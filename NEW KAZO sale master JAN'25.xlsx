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ID" sheetId="1" r:id="rId4"/>
    <sheet state="visible" name="MAIN DATA" sheetId="2" r:id="rId5"/>
    <sheet state="visible" name="MAIN PIVOT" sheetId="3" r:id="rId6"/>
    <sheet state="visible" name="RETAILER FILE MASTER" sheetId="4" r:id="rId7"/>
  </sheets>
  <definedNames>
    <definedName hidden="1" localSheetId="1" name="_xlnm._FilterDatabase">'MAIN DATA'!$A$1:$BX$246</definedName>
    <definedName hidden="1" localSheetId="3" name="_xlnm._FilterDatabase">'RETAILER FILE MASTER'!$A$1:$G$16</definedName>
    <definedName hidden="1" localSheetId="1" name="Z_BDD8BA1E_9FCA_41B9_85B6_8E9E4E4BDA69_.wvu.FilterData">'MAIN DATA'!$A$1:$BX$16771</definedName>
  </definedNames>
  <calcPr/>
  <customWorkbookViews>
    <customWorkbookView activeSheetId="0" maximized="1" windowHeight="0" windowWidth="0" guid="{BDD8BA1E-9FCA-41B9-85B6-8E9E4E4BDA69}" name="Filter 1"/>
  </customWorkbookViews>
  <pivotCaches>
    <pivotCache cacheId="0" r:id="rId8"/>
  </pivotCaches>
</workbook>
</file>

<file path=xl/sharedStrings.xml><?xml version="1.0" encoding="utf-8"?>
<sst xmlns="http://schemas.openxmlformats.org/spreadsheetml/2006/main" count="68181" uniqueCount="127">
  <si>
    <t>Name</t>
  </si>
  <si>
    <t>File-Id</t>
  </si>
  <si>
    <t>Imported Data</t>
  </si>
  <si>
    <t>1rxt06_ZJ_zk4SQFgLxSfDlwO31-RivoL</t>
  </si>
  <si>
    <t>NEW KAZO sale master JAN'25</t>
  </si>
  <si>
    <t>1Uzda-4PPPQvvhOICyHkDaMiQ98YTe8Sa8yFGoOIhsQA</t>
  </si>
  <si>
    <t>POS SALE SFA.(1-2-25)xlsx</t>
  </si>
  <si>
    <t>1jg_USnSoWxCcMAIozMGJs-x7pSe1TVGKlKTtCx7INc8</t>
  </si>
  <si>
    <t>J&amp; J SALE JAN-25</t>
  </si>
  <si>
    <t>1XYY6kmo-lJL8fli-MQxiwvPJNXMxDaiqL28tZX5q9WM</t>
  </si>
  <si>
    <t>SRS REWARI SALE JAN-25</t>
  </si>
  <si>
    <t>142cCHw6-Gw-abssmHbWchNr6FFOolPg7xDf2e7lFgh0</t>
  </si>
  <si>
    <t>SHREE RAM BHIWANI ALL BRND SALE JAN-25</t>
  </si>
  <si>
    <t>18DMKWVJhQmqIrtSuAVHGssnFgrIZOUtis-8bPJC3MNM</t>
  </si>
  <si>
    <t>Brand</t>
  </si>
  <si>
    <t>Store Type</t>
  </si>
  <si>
    <t>CUSTOMER_NAME</t>
  </si>
  <si>
    <t>DESTINATION SITE</t>
  </si>
  <si>
    <t>CHECK</t>
  </si>
  <si>
    <t>BillNo.</t>
  </si>
  <si>
    <t>Date</t>
  </si>
  <si>
    <t>month</t>
  </si>
  <si>
    <t>year</t>
  </si>
  <si>
    <t>EAN Code</t>
  </si>
  <si>
    <t>Style</t>
  </si>
  <si>
    <t>STYLE AS PER GINESYS</t>
  </si>
  <si>
    <t>Size</t>
  </si>
  <si>
    <t>Qty</t>
  </si>
  <si>
    <t>MRP</t>
  </si>
  <si>
    <t>TMRP</t>
  </si>
  <si>
    <t>Retailer Discount</t>
  </si>
  <si>
    <t>Company Discount</t>
  </si>
  <si>
    <t>Discount</t>
  </si>
  <si>
    <t>Net Amount</t>
  </si>
  <si>
    <t>MR$P CHECK</t>
  </si>
  <si>
    <t>DIVISION</t>
  </si>
  <si>
    <t>SECTION</t>
  </si>
  <si>
    <t>DEPARTMENT</t>
  </si>
  <si>
    <t>Sale Type</t>
  </si>
  <si>
    <t>Week NO</t>
  </si>
  <si>
    <t>festival</t>
  </si>
  <si>
    <t>Offer</t>
  </si>
  <si>
    <t>SEASON</t>
  </si>
  <si>
    <t>Item</t>
  </si>
  <si>
    <t>CORE/ SEASON</t>
  </si>
  <si>
    <t>UID</t>
  </si>
  <si>
    <t>Dis%</t>
  </si>
  <si>
    <t>Department</t>
  </si>
  <si>
    <t>Season</t>
  </si>
  <si>
    <t>Core/MH/CF</t>
  </si>
  <si>
    <t>Offer Valid</t>
  </si>
  <si>
    <t>Sale or return</t>
  </si>
  <si>
    <t>Bill Qty</t>
  </si>
  <si>
    <t>Bill MRP</t>
  </si>
  <si>
    <t>Bill Dis</t>
  </si>
  <si>
    <t>Bill Amt</t>
  </si>
  <si>
    <t>bill Dis%</t>
  </si>
  <si>
    <t>Status</t>
  </si>
  <si>
    <t>App Dis%</t>
  </si>
  <si>
    <t>App Disc cal</t>
  </si>
  <si>
    <t>App Disc Actual</t>
  </si>
  <si>
    <t>revise Net Amount</t>
  </si>
  <si>
    <t>Fresh Margin</t>
  </si>
  <si>
    <t>EOSS Margin</t>
  </si>
  <si>
    <t>Promo Margin</t>
  </si>
  <si>
    <t>GST WSP/MRP(Fresh)</t>
  </si>
  <si>
    <t>GST WSP/MRP(EOSS)</t>
  </si>
  <si>
    <t>Margin Cal(F)</t>
  </si>
  <si>
    <t>Margin Cal(E)</t>
  </si>
  <si>
    <t>GST Prov Rate</t>
  </si>
  <si>
    <t>GST Prov Amount</t>
  </si>
  <si>
    <t>Billed Amount</t>
  </si>
  <si>
    <t>Actual GST %</t>
  </si>
  <si>
    <t>GST Amt</t>
  </si>
  <si>
    <t>New Cost</t>
  </si>
  <si>
    <t>Input GST</t>
  </si>
  <si>
    <t>Contribution</t>
  </si>
  <si>
    <t>Claim Amt</t>
  </si>
  <si>
    <t>Amount Collectable</t>
  </si>
  <si>
    <t>Claim%toMRP</t>
  </si>
  <si>
    <t>DiffinDiscount</t>
  </si>
  <si>
    <t>Billing Margin%</t>
  </si>
  <si>
    <t>Billed Value</t>
  </si>
  <si>
    <t>CN for Books</t>
  </si>
  <si>
    <t>KAZO</t>
  </si>
  <si>
    <t>Jan</t>
  </si>
  <si>
    <t>2025</t>
  </si>
  <si>
    <t/>
  </si>
  <si>
    <t>SUM of Qty</t>
  </si>
  <si>
    <t>SUM of TMRP</t>
  </si>
  <si>
    <t>SUM of Discount</t>
  </si>
  <si>
    <t>SUM of Net Amount</t>
  </si>
  <si>
    <t>#N/A</t>
  </si>
  <si>
    <t>#REF!</t>
  </si>
  <si>
    <t>J AND J ASSOCIATES B</t>
  </si>
  <si>
    <t>SFR</t>
  </si>
  <si>
    <t>SFR-OHM SIRSA WOMEN</t>
  </si>
  <si>
    <t>SFR-PANIPAT</t>
  </si>
  <si>
    <t>SHREE RAM ENTERPRISES BHIWANI B</t>
  </si>
  <si>
    <t>SHYAM RETAIL STORES(SOR)</t>
  </si>
  <si>
    <t>SHYAM RETAIL REWARI NEW</t>
  </si>
  <si>
    <t>Grand Total</t>
  </si>
  <si>
    <t>MONTH</t>
  </si>
  <si>
    <t>BRAND</t>
  </si>
  <si>
    <t>STATUS</t>
  </si>
  <si>
    <t>CLOSE STATUS</t>
  </si>
  <si>
    <t>updated</t>
  </si>
  <si>
    <t>ADARSH EMPORIUM 2</t>
  </si>
  <si>
    <t xml:space="preserve">CLOSE  </t>
  </si>
  <si>
    <t>AMW LIFESTYLE PVT. LTD.</t>
  </si>
  <si>
    <t>CLOSE</t>
  </si>
  <si>
    <t>DONE</t>
  </si>
  <si>
    <t>JAIN SONS</t>
  </si>
  <si>
    <t>JMD CREATION WARDROBE</t>
  </si>
  <si>
    <t>WARDROBE JMD CREATIONS</t>
  </si>
  <si>
    <t>NIRMAL STORES B</t>
  </si>
  <si>
    <t>NIRMAL STORES GUR B</t>
  </si>
  <si>
    <t>SHYAM RETAIL SADAR SOR</t>
  </si>
  <si>
    <t>NILL SALE</t>
  </si>
  <si>
    <t>SONU EMPORIUM KAZO</t>
  </si>
  <si>
    <t>close by virender sir</t>
  </si>
  <si>
    <t>(blank)</t>
  </si>
  <si>
    <t>JMD CLOTHING WARDROBE B</t>
  </si>
  <si>
    <t>LUDHIANA FASHION MALL B</t>
  </si>
  <si>
    <t>BM GUPTA ESTATE PVT LTD(CELIO)</t>
  </si>
  <si>
    <t>BMG RETAIL(CELIO)</t>
  </si>
  <si>
    <t>CLOSED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</si>
</sst>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&quot;/&quot;mmm&quot;/&quot;yyyy"/>
    <numFmt numFmtId="165" formatCode="#0.####################0"/>
    <numFmt numFmtId="166" formatCode="m/d/yyyy"/>
  </numFmts>
  <fonts count="16">
    <font>
      <sz val="10.0"/>
      <color rgb="FF000000"/>
      <name val="Arial"/>
      <scheme val="minor"/>
    </font>
    <font>
      <sz val="10.0"/>
      <color theme="1"/>
      <name val="Arial"/>
      <scheme val="minor"/>
    </font>
    <font>
      <sz val="10.0"/>
      <color rgb="FFB31412"/>
      <name val="&quot;Roboto Mono&quot;"/>
    </font>
    <font>
      <b/>
      <sz val="8.0"/>
      <color theme="1"/>
      <name val="Calibri"/>
    </font>
    <font>
      <b/>
      <sz val="8.0"/>
      <color rgb="FFFF0000"/>
      <name val="Calibri"/>
    </font>
    <font>
      <sz val="8.0"/>
      <color theme="1"/>
      <name val="Calibri"/>
    </font>
    <font>
      <b/>
      <sz val="9.0"/>
      <color theme="1"/>
      <name val="Calibri"/>
    </font>
    <font>
      <sz val="9.0"/>
      <color theme="1"/>
      <name val="Calibri"/>
    </font>
    <font>
      <color theme="1"/>
      <name val="Arial"/>
      <scheme val="minor"/>
    </font>
    <font>
      <color theme="1"/>
      <name val="Arial"/>
    </font>
    <font>
      <i/>
      <color theme="1"/>
      <name val="Calibri"/>
    </font>
    <font>
      <i/>
      <sz val="10.0"/>
      <color theme="1"/>
      <name val="Calibri"/>
    </font>
    <font>
      <b/>
      <color theme="1"/>
      <name val="Arial"/>
    </font>
    <font>
      <sz val="11.0"/>
      <color rgb="FF000000"/>
      <name val="Calibri"/>
    </font>
    <font>
      <sz val="11.0"/>
      <color theme="1"/>
      <name val="Calibri"/>
    </font>
    <font>
      <sz val="10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FFFE"/>
        <bgColor rgb="FFFFFFFE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999999"/>
      </left>
      <top style="thin">
        <color rgb="FF999999"/>
      </top>
    </border>
    <border>
      <left style="thin">
        <color rgb="FF999999"/>
      </left>
    </border>
    <border>
      <right style="thin">
        <color rgb="FFFFFFFF"/>
      </right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1" numFmtId="0" xfId="0" applyFont="1"/>
    <xf borderId="0" fillId="3" fontId="3" numFmtId="0" xfId="0" applyAlignment="1" applyFill="1" applyFont="1">
      <alignment vertical="bottom"/>
    </xf>
    <xf borderId="0" fillId="3" fontId="3" numFmtId="164" xfId="0" applyAlignment="1" applyFont="1" applyNumberFormat="1">
      <alignment vertical="bottom"/>
    </xf>
    <xf borderId="0" fillId="3" fontId="4" numFmtId="0" xfId="0" applyAlignment="1" applyFont="1">
      <alignment vertical="bottom"/>
    </xf>
    <xf borderId="0" fillId="3" fontId="3" numFmtId="1" xfId="0" applyAlignment="1" applyFont="1" applyNumberFormat="1">
      <alignment vertical="bottom"/>
    </xf>
    <xf borderId="0" fillId="3" fontId="3" numFmtId="0" xfId="0" applyAlignment="1" applyFont="1">
      <alignment readingOrder="0" vertical="bottom"/>
    </xf>
    <xf borderId="0" fillId="3" fontId="4" numFmtId="1" xfId="0" applyAlignment="1" applyFont="1" applyNumberFormat="1">
      <alignment vertical="bottom"/>
    </xf>
    <xf borderId="0" fillId="3" fontId="3" numFmtId="165" xfId="0" applyAlignment="1" applyFont="1" applyNumberFormat="1">
      <alignment vertical="bottom"/>
    </xf>
    <xf borderId="0" fillId="3" fontId="3" numFmtId="0" xfId="0" applyFont="1"/>
    <xf borderId="0" fillId="3" fontId="3" numFmtId="2" xfId="0" applyAlignment="1" applyFont="1" applyNumberFormat="1">
      <alignment vertical="bottom"/>
    </xf>
    <xf borderId="0" fillId="3" fontId="5" numFmtId="0" xfId="0" applyAlignment="1" applyFont="1">
      <alignment vertical="bottom"/>
    </xf>
    <xf borderId="0" fillId="0" fontId="6" numFmtId="0" xfId="0" applyAlignment="1" applyFont="1">
      <alignment horizontal="center" vertical="bottom"/>
    </xf>
    <xf borderId="0" fillId="0" fontId="7" numFmtId="0" xfId="0" applyAlignment="1" applyFont="1">
      <alignment horizontal="center" vertical="bottom"/>
    </xf>
    <xf borderId="0" fillId="0" fontId="8" numFmtId="0" xfId="0" applyFont="1"/>
    <xf borderId="0" fillId="0" fontId="9" numFmtId="0" xfId="0" applyAlignment="1" applyFont="1">
      <alignment vertical="bottom"/>
    </xf>
    <xf borderId="0" fillId="0" fontId="8" numFmtId="164" xfId="0" applyFont="1" applyNumberFormat="1"/>
    <xf borderId="0" fillId="0" fontId="8" numFmtId="1" xfId="0" applyFont="1" applyNumberFormat="1"/>
    <xf borderId="0" fillId="0" fontId="9" numFmtId="165" xfId="0" applyAlignment="1" applyFont="1" applyNumberFormat="1">
      <alignment vertical="bottom"/>
    </xf>
    <xf borderId="0" fillId="0" fontId="9" numFmtId="0" xfId="0" applyAlignment="1" applyFont="1">
      <alignment horizontal="center" vertical="bottom"/>
    </xf>
    <xf borderId="0" fillId="4" fontId="10" numFmtId="0" xfId="0" applyAlignment="1" applyFill="1" applyFont="1">
      <alignment vertical="bottom"/>
    </xf>
    <xf borderId="0" fillId="4" fontId="11" numFmtId="0" xfId="0" applyAlignment="1" applyFont="1">
      <alignment vertical="bottom"/>
    </xf>
    <xf borderId="0" fillId="4" fontId="12" numFmtId="0" xfId="0" applyAlignment="1" applyFont="1">
      <alignment vertical="bottom"/>
    </xf>
    <xf borderId="0" fillId="4" fontId="12" numFmtId="0" xfId="0" applyAlignment="1" applyFont="1">
      <alignment shrinkToFit="0" vertical="bottom" wrapText="0"/>
    </xf>
    <xf borderId="0" fillId="4" fontId="1" numFmtId="0" xfId="0" applyAlignment="1" applyFont="1">
      <alignment readingOrder="0"/>
    </xf>
    <xf borderId="0" fillId="5" fontId="13" numFmtId="166" xfId="0" applyAlignment="1" applyFill="1" applyFont="1" applyNumberFormat="1">
      <alignment readingOrder="0" shrinkToFit="0" vertical="bottom" wrapText="0"/>
    </xf>
    <xf borderId="0" fillId="5" fontId="13" numFmtId="0" xfId="0" applyAlignment="1" applyFont="1">
      <alignment readingOrder="0" shrinkToFit="0" vertical="bottom" wrapText="0"/>
    </xf>
    <xf borderId="0" fillId="5" fontId="9" numFmtId="0" xfId="0" applyAlignment="1" applyFont="1">
      <alignment readingOrder="0" vertical="bottom"/>
    </xf>
    <xf borderId="0" fillId="5" fontId="9" numFmtId="0" xfId="0" applyAlignment="1" applyFont="1">
      <alignment vertical="bottom"/>
    </xf>
    <xf borderId="0" fillId="5" fontId="1" numFmtId="0" xfId="0" applyFont="1"/>
    <xf borderId="0" fillId="5" fontId="1" numFmtId="0" xfId="0" applyAlignment="1" applyFont="1">
      <alignment readingOrder="0"/>
    </xf>
    <xf borderId="1" fillId="5" fontId="14" numFmtId="0" xfId="0" applyAlignment="1" applyBorder="1" applyFont="1">
      <alignment readingOrder="0" shrinkToFit="0" vertical="bottom" wrapText="0"/>
    </xf>
    <xf borderId="2" fillId="5" fontId="14" numFmtId="0" xfId="0" applyAlignment="1" applyBorder="1" applyFont="1">
      <alignment readingOrder="0" shrinkToFit="0" vertical="bottom" wrapText="0"/>
    </xf>
    <xf borderId="3" fillId="5" fontId="15" numFmtId="0" xfId="0" applyAlignment="1" applyBorder="1" applyFont="1">
      <alignment readingOrder="0" vertical="bottom"/>
    </xf>
    <xf borderId="0" fillId="5" fontId="15" numFmtId="0" xfId="0" applyAlignment="1" applyFont="1">
      <alignment readingOrder="0" vertical="bottom"/>
    </xf>
    <xf borderId="0" fillId="5" fontId="8" numFmtId="0" xfId="0" applyFont="1"/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BX16771" sheet="MAIN DATA"/>
  </cacheSource>
  <cacheFields>
    <cacheField name="Brand" numFmtId="0">
      <sharedItems>
        <s v="KAZO"/>
        <s v=""/>
      </sharedItems>
    </cacheField>
    <cacheField name="Store Type" numFmtId="0">
      <sharedItems containsString="0" containsBlank="1">
        <m/>
      </sharedItems>
    </cacheField>
    <cacheField name="CUSTOMER_NAME" numFmtId="0">
      <sharedItems containsBlank="1">
        <s v="#REF!"/>
        <s v="SFR"/>
        <s v="J AND J ASSOCIATES B"/>
        <s v="SHYAM RETAIL STORES(SOR)"/>
        <s v="SHREE RAM ENTERPRISES BHIWANI B"/>
        <s v="#N/A"/>
        <m/>
      </sharedItems>
    </cacheField>
    <cacheField name="DESTINATION SITE" numFmtId="0">
      <sharedItems containsBlank="1">
        <s v="#REF!"/>
        <s v="SFR-OHM SIRSA WOMEN"/>
        <s v="SFR-PANIPAT"/>
        <s v="J AND J ASSOCIATES B"/>
        <s v="SHYAM RETAIL REWARI NEW"/>
        <s v="SHREE RAM ENTERPRISES BHIWANI B"/>
        <s v="#N/A"/>
        <m/>
      </sharedItems>
    </cacheField>
    <cacheField name="CHECK" numFmtId="0">
      <sharedItems>
        <s v=""/>
      </sharedItems>
    </cacheField>
    <cacheField name="BillNo." numFmtId="0">
      <sharedItems containsBlank="1">
        <s v="#REF!"/>
        <s v="SFCM00768/Jan-25"/>
        <s v="SFCM00762/Jan-25"/>
        <s v="SFCM01473/Jan-25"/>
        <s v="SFCM01474/Jan-25"/>
        <s v="SFCM00795/Jan-25"/>
        <s v="SFCM00796/Jan-25"/>
        <s v="SFCM01471/Jan-25"/>
        <s v="SFCM01472/Jan-25"/>
        <s v="SFCM00772/Jan-25"/>
        <s v="SFCM00771/Jan-25"/>
        <s v="SFCM00819/Jan-25"/>
        <s v="SFCM00789/Jan-25"/>
        <s v="SFCM00827/Jan-25"/>
        <s v="SFCM00782/Jan-25"/>
        <s v="SFCM00818/Jan-25"/>
        <s v="SFCM00806/Jan-25"/>
        <s v="SFCM00778/Jan-25"/>
        <s v="SFCM00792/Jan-25"/>
        <s v="SFCM00809/Jan-25"/>
        <s v="01AS-0024224   "/>
        <s v="01AS-0024231   "/>
        <s v="01AS-0024232   "/>
        <s v="CM\13139\01-25"/>
        <s v="CM\13153\01-25"/>
        <s v="CM\13183\01-25"/>
        <s v="CM\13199\01-25"/>
        <s v="CM\13310\01-25"/>
        <s v="CM\13412\01-25"/>
        <s v="CM\13787\01-25"/>
        <s v="CM\13802\01-25"/>
        <s v="CM\13817\01-25"/>
        <s v="CM\13904\01-25"/>
        <s v="CM\14007\01-25"/>
        <s v="S/24-25/592"/>
        <s v="S/24-25/654"/>
        <s v="S/24-25/846"/>
        <s v="#N/A"/>
        <m/>
      </sharedItems>
    </cacheField>
    <cacheField name="Date">
      <sharedItems containsDate="1" containsBlank="1" containsMixedTypes="1">
        <s v="#REF!"/>
        <d v="2025-01-03T00:00:00Z"/>
        <d v="2025-01-01T00:00:00Z"/>
        <d v="2025-01-25T00:00:00Z"/>
        <d v="2025-01-12T00:00:00Z"/>
        <d v="2025-01-04T00:00:00Z"/>
        <d v="2025-01-22T00:00:00Z"/>
        <d v="2025-01-10T00:00:00Z"/>
        <d v="2025-01-26T00:00:00Z"/>
        <d v="2025-01-08T00:00:00Z"/>
        <d v="2025-01-17T00:00:00Z"/>
        <d v="2025-01-05T00:00:00Z"/>
        <d v="2025-01-11T00:00:00Z"/>
        <d v="2025-01-19T00:00:00Z"/>
        <d v="2025-01-23T00:00:00Z"/>
        <d v="2025-01-02T00:00:00Z"/>
        <d v="2025-01-13T00:00:00Z"/>
        <d v="2025-01-31T00:00:00Z"/>
        <m/>
      </sharedItems>
    </cacheField>
    <cacheField name="month" numFmtId="0">
      <sharedItems>
        <s v="#REF!"/>
        <s v="Jan"/>
        <s v=""/>
      </sharedItems>
    </cacheField>
    <cacheField name="year" numFmtId="0">
      <sharedItems>
        <s v="#REF!"/>
        <s v="2025"/>
        <s v=""/>
      </sharedItems>
    </cacheField>
    <cacheField name="EAN Code">
      <sharedItems containsBlank="1" containsMixedTypes="1" containsNumber="1" containsInteger="1">
        <s v="#REF!"/>
        <n v="8.903331859267E12"/>
        <n v="8.903331861536E12"/>
        <n v="8.903331837982E12"/>
        <n v="8.910000001865E12"/>
        <n v="8.903331861E12"/>
        <n v="8.903331860591E12"/>
        <n v="8.903331783708E12"/>
        <n v="8.903331795534E12"/>
        <n v="8.903331771545E12"/>
        <n v="8.903331771514E12"/>
        <n v="8.903331791079E12"/>
        <n v="8.903331860966E12"/>
        <n v="8.903331795602E12"/>
        <n v="8.903331795558E12"/>
        <n v="8.903331821752E12"/>
        <n v="8.903331863073E12"/>
        <n v="8.903331857119E12"/>
        <n v="8.903331792663E12"/>
        <n v="8.903331799662E12"/>
        <n v="8.90333179296E12"/>
        <n v="8.903331797828E12"/>
        <n v="8.903331860959E12"/>
        <n v="8.903331834691E12"/>
        <n v="8.903331794681E12"/>
        <n v="8.903331857102E12"/>
        <n v="8.903331821639E12"/>
        <n v="8.90333184328E12"/>
        <n v="8.903331821646E12"/>
        <n v="8.903331863349E12"/>
        <n v="8.903331863288E12"/>
        <n v="8.903331862687E12"/>
        <n v="8.903331883996E12"/>
        <n v="8.903331900839E12"/>
        <n v="8.903331896811E12"/>
        <n v="8.903331799617E12"/>
        <n v="8.903331803567E12"/>
        <n v="8.910000006259E12"/>
        <n v="8.903331771453E12"/>
        <n v="8.903331863615E12"/>
        <n v="8.903331880971E12"/>
        <n v="8.90333183552E12"/>
        <n v="8.903331836374E12"/>
        <n v="8.903331857492E12"/>
        <n v="8.910000019471E12"/>
        <n v="8.90333186308E12"/>
        <n v="8.903331792816E12"/>
        <n v="8.903331863868E12"/>
        <n v="8.903331863882E12"/>
        <m/>
      </sharedItems>
    </cacheField>
    <cacheField name="Style" numFmtId="0">
      <sharedItems containsBlank="1">
        <s v="#REF!"/>
        <s v="KZ00107 BROWNL01"/>
        <s v="KZ00078 LTPNKXL01"/>
        <s v="125448 MLWMVE"/>
        <s v="KZ00009 BLACK"/>
        <s v="KZ00061 BKGDCL01"/>
        <s v="KZ00045 BGGNCL01"/>
        <s v="124233 BEIGE"/>
        <s v="124567 CHOCOLATE BROWN"/>
        <s v="124103 GREEN"/>
        <s v="124498 DRSBLC"/>
        <s v="KZ00060 BLACKL01"/>
        <s v="124567 PINK"/>
        <s v="125211 WHITE"/>
        <s v="KZ00252 GREEN"/>
        <s v="KZ00063 KHAKIM01"/>
        <s v="124522 TORTOISE SHELL"/>
        <s v="124631 TWMV"/>
        <s v="124525 BLACK"/>
        <s v="124601 GREEN"/>
        <s v="KZ00057 BRWXL01"/>
        <s v="125377 YELLOW"/>
        <s v="124552 PORT ROYALE"/>
        <s v="KZ00063 KHAKIL01"/>
        <s v="125210 PURPLE"/>
        <s v="125411"/>
        <s v="KZ00217 BLACK"/>
        <s v="KZ00214 BLACK"/>
        <s v="KZ00516 YELLOWL01"/>
        <s v="KZ00635 ORNGEM01"/>
        <s v="KZ00591 BLACKL01"/>
        <s v="124630 TWMV"/>
        <s v="124720 COPPER COMBO"/>
        <s v="KZ00110 BLACK"/>
        <s v="124103 BLU"/>
        <s v="KZ00219 BEIGE"/>
        <s v="KZ00397 BLACKL01"/>
        <s v="125392 LILAC"/>
        <s v="125409 PINK"/>
        <s v="KZ00075 BLACKS01"/>
        <s v="KZ00193 BEIGE"/>
        <s v="124524 BLACK"/>
        <s v="KZ00254 BEIGE"/>
        <s v="#N/A"/>
        <m/>
      </sharedItems>
    </cacheField>
    <cacheField name="STYLE AS PER GINESYS" numFmtId="0">
      <sharedItems>
        <s v=""/>
        <s v="KZ00107 BROWNL01"/>
        <s v="KZ00078 LTPNKXL01"/>
        <s v="125448 MLWMVE"/>
        <s v="KZ00009 BLACK"/>
        <s v="KZ00061 BKGDCL01"/>
        <s v="KZ00045 BGGNCL01"/>
        <s v="124233 BEIGE"/>
        <s v="124567 CHOCOLATE BROWN"/>
        <s v="124103 GREEN"/>
        <s v="124498 DRSBLC"/>
        <s v="KZ00060 BLACKL01"/>
        <s v="124567 PINK"/>
        <s v="125211 WHITE"/>
        <s v="KZ00252 GREEN"/>
        <s v="KZ00063 KHAKIM01"/>
        <s v="124522 TORTOISE SHELL"/>
        <s v="124631 TWMV"/>
        <s v="124525 BLACK"/>
        <s v="124601 GREEN"/>
        <s v="KZ00057 BRWXL01"/>
        <s v="125377 YELLOW"/>
        <s v="124552 PORT ROYALE"/>
        <s v="KZ00063 KHAKIL01"/>
        <s v="125210 PURPLE"/>
        <s v="125411 BRW"/>
        <s v="KZ00217 BLACK"/>
        <s v="KZ00214 BLACK"/>
        <s v="KZ00516 YELLOWL01"/>
        <s v="KZ00635 ORNGEM01"/>
        <s v="KZ00591 BLACKL01"/>
        <s v="124630 TWMV"/>
        <s v="124720 COPPER COMBO"/>
        <s v="KZ00110 BLACK"/>
        <s v="124103 BLU"/>
        <s v="KZ00219 BEIGE"/>
        <s v="KZ00397 BLACKL01"/>
        <s v="125392 LILAC"/>
        <s v="125409 PINK"/>
        <s v="KZ00075 BLACKS01"/>
        <s v="KZ00193 BEIGE"/>
        <s v="124524 BLACK"/>
        <s v="KZ00254 BEIGE"/>
      </sharedItems>
    </cacheField>
    <cacheField name="Size" numFmtId="0">
      <sharedItems>
        <s v=""/>
        <s v="L"/>
        <s v="XL"/>
        <s v="M"/>
        <s v="XS"/>
        <s v="S"/>
      </sharedItems>
    </cacheField>
    <cacheField name="Qty">
      <sharedItems containsBlank="1" containsMixedTypes="1" containsNumber="1" containsInteger="1">
        <s v="#REF!"/>
        <n v="1.0"/>
        <n v="-1.0"/>
        <n v="2.0"/>
        <m/>
      </sharedItems>
    </cacheField>
    <cacheField name="MRP">
      <sharedItems containsBlank="1" containsMixedTypes="1" containsNumber="1" containsInteger="1">
        <s v="#REF!"/>
        <n v="5990.0"/>
        <n v="3490.0"/>
        <n v="3990.0"/>
        <n v="2790.0"/>
        <n v="2990.0"/>
        <n v="2490.0"/>
        <n v="2690.0"/>
        <n v="3690.0"/>
        <n v="3290.0"/>
        <n v="2190.0"/>
        <n v="1990.0"/>
        <n v="1790.0"/>
        <n v="1590.0"/>
        <n v="1690.0"/>
        <n v="4490.0"/>
        <n v="2290.0"/>
        <n v="1890.0"/>
        <n v="4990.0"/>
        <m/>
      </sharedItems>
    </cacheField>
    <cacheField name="TMRP">
      <sharedItems containsBlank="1" containsMixedTypes="1" containsNumber="1" containsInteger="1">
        <s v="#REF!"/>
        <n v="5990.0"/>
        <n v="3490.0"/>
        <n v="3990.0"/>
        <n v="-2790.0"/>
        <n v="2990.0"/>
        <n v="2490.0"/>
        <n v="2690.0"/>
        <n v="-2490.0"/>
        <n v="-3990.0"/>
        <n v="3690.0"/>
        <n v="3290.0"/>
        <n v="5380.0"/>
        <n v="2190.0"/>
        <n v="1990.0"/>
        <n v="6580.0"/>
        <n v="1790.0"/>
        <n v="-2690.0"/>
        <n v="1590.0"/>
        <n v="1690.0"/>
        <n v="4490.0"/>
        <n v="2290.0"/>
        <n v="1890.0"/>
        <n v="4990.0"/>
        <m/>
      </sharedItems>
    </cacheField>
    <cacheField name="Retailer Discount">
      <sharedItems containsBlank="1" containsMixedTypes="1" containsNumber="1" containsInteger="1">
        <s v="#REF!"/>
        <n v="0.0"/>
        <m/>
      </sharedItems>
    </cacheField>
    <cacheField name="Company Discount">
      <sharedItems containsBlank="1" containsMixedTypes="1" containsNumber="1">
        <s v="#REF!"/>
        <n v="1797.0"/>
        <n v="1047.0"/>
        <n v="1596.0"/>
        <n v="0.0"/>
        <n v="897.0"/>
        <n v="747.0"/>
        <n v="807.0"/>
        <n v="987.0"/>
        <n v="1614.0"/>
        <n v="657.0"/>
        <n v="597.0"/>
        <n v="1974.0"/>
        <n v="538.0"/>
        <n v="447.5"/>
        <n v="-538.0"/>
        <n v="996.0"/>
        <n v="796.0"/>
        <n v="-996.0"/>
        <n v="1245.0"/>
        <n v="-747.0"/>
        <n v="795.0"/>
        <n v="845.0"/>
        <n v="1347.0"/>
        <n v="687.0"/>
        <n v="945.0"/>
        <n v="1145.0"/>
        <n v="716.0"/>
        <n v="1497.0"/>
        <n v="1196.0"/>
        <n v="876.0"/>
        <n v="1495.0"/>
        <n v="895.0"/>
        <n v="537.0"/>
        <m/>
      </sharedItems>
    </cacheField>
    <cacheField name="Discount">
      <sharedItems containsBlank="1" containsMixedTypes="1" containsNumber="1">
        <s v="#REF!"/>
        <n v="1797.0"/>
        <n v="1047.0"/>
        <n v="1596.0"/>
        <n v="0.0"/>
        <n v="897.0"/>
        <n v="747.0"/>
        <n v="807.0"/>
        <n v="987.0"/>
        <n v="1614.0"/>
        <n v="657.0"/>
        <n v="597.0"/>
        <n v="1974.0"/>
        <n v="538.0"/>
        <n v="447.5"/>
        <n v="-538.0"/>
        <n v="996.0"/>
        <n v="796.0"/>
        <n v="-996.0"/>
        <n v="1245.0"/>
        <n v="-747.0"/>
        <n v="795.0"/>
        <n v="845.0"/>
        <n v="1347.0"/>
        <n v="687.0"/>
        <n v="945.0"/>
        <n v="1145.0"/>
        <n v="716.0"/>
        <n v="1497.0"/>
        <n v="1196.0"/>
        <n v="876.0"/>
        <n v="1495.0"/>
        <n v="895.0"/>
        <n v="537.0"/>
        <m/>
      </sharedItems>
    </cacheField>
    <cacheField name="Net Amount">
      <sharedItems containsBlank="1" containsMixedTypes="1" containsNumber="1">
        <s v="#REF!"/>
        <n v="4193.0"/>
        <n v="2443.0"/>
        <n v="2394.0"/>
        <n v="-2790.0"/>
        <n v="2093.0"/>
        <n v="1743.0"/>
        <n v="1883.0"/>
        <n v="2490.0"/>
        <n v="-2490.0"/>
        <n v="-3990.0"/>
        <n v="3690.0"/>
        <n v="2303.0"/>
        <n v="3766.0"/>
        <n v="1533.0"/>
        <n v="1393.0"/>
        <n v="4606.0"/>
        <n v="2152.0"/>
        <n v="1342.5"/>
        <n v="-2152.0"/>
        <n v="1494.0"/>
        <n v="1194.0"/>
        <n v="-1494.0"/>
        <n v="1245.0"/>
        <n v="-1743.0"/>
        <n v="795.0"/>
        <n v="845.0"/>
        <n v="3143.0"/>
        <n v="1603.0"/>
        <n v="945.0"/>
        <n v="1145.0"/>
        <n v="1074.0"/>
        <n v="3493.0"/>
        <n v="1794.0"/>
        <n v="1314.0"/>
        <n v="1495.0"/>
        <n v="895.0"/>
        <n v="1253.0"/>
        <m/>
      </sharedItems>
    </cacheField>
    <cacheField name="MR$P CHECK">
      <sharedItems containsMixedTypes="1" containsNumber="1" containsInteger="1">
        <e v="#VALUE!"/>
        <n v="0.0"/>
        <s v=""/>
      </sharedItems>
    </cacheField>
    <cacheField name="DIVISION" numFmtId="0">
      <sharedItems>
        <s v=""/>
        <s v="Apparel"/>
      </sharedItems>
    </cacheField>
    <cacheField name="SECTION" numFmtId="0">
      <sharedItems>
        <s v=""/>
        <s v="Female"/>
      </sharedItems>
    </cacheField>
    <cacheField name="DEPARTMENT" numFmtId="0">
      <sharedItems>
        <s v=""/>
        <s v="Jacket"/>
        <s v="Sweater"/>
        <s v="Dress"/>
        <s v="Shirt"/>
        <s v="Trouser"/>
        <s v="Top"/>
        <s v="T Shirt"/>
        <s v="jegging"/>
      </sharedItems>
    </cacheField>
    <cacheField name="Sale Type" numFmtId="0">
      <sharedItems containsString="0" containsBlank="1">
        <m/>
      </sharedItems>
    </cacheField>
    <cacheField name="Week NO" numFmtId="0">
      <sharedItems containsString="0" containsBlank="1">
        <m/>
      </sharedItems>
    </cacheField>
    <cacheField name="festival" numFmtId="0">
      <sharedItems containsString="0" containsBlank="1">
        <m/>
      </sharedItems>
    </cacheField>
    <cacheField name="Offer" numFmtId="0">
      <sharedItems containsBlank="1">
        <e v="#N/A"/>
        <s v="EOSS: B1G30%,B2G40%, B3G50%"/>
        <s v="Flat50%"/>
        <m/>
      </sharedItems>
    </cacheField>
    <cacheField name="SEASON" numFmtId="0">
      <sharedItems>
        <s v=""/>
        <s v="AW23"/>
        <s v="AW22"/>
        <s v="SS23"/>
        <s v="SS24"/>
      </sharedItems>
    </cacheField>
    <cacheField name="Item" numFmtId="0">
      <sharedItems containsString="0" containsBlank="1">
        <m/>
      </sharedItems>
    </cacheField>
    <cacheField name="CORE/ SEASON" numFmtId="0">
      <sharedItems containsString="0" containsBlank="1">
        <m/>
      </sharedItems>
    </cacheField>
    <cacheField name="UID" numFmtId="0">
      <sharedItems containsString="0" containsBlank="1">
        <m/>
      </sharedItems>
    </cacheField>
    <cacheField name="Dis%" numFmtId="0">
      <sharedItems containsString="0" containsBlank="1">
        <m/>
      </sharedItems>
    </cacheField>
    <cacheField name="department2" numFmtId="0">
      <sharedItems containsString="0" containsBlank="1">
        <m/>
      </sharedItems>
    </cacheField>
    <cacheField name="season2" numFmtId="0">
      <sharedItems containsString="0" containsBlank="1">
        <m/>
      </sharedItems>
    </cacheField>
    <cacheField name="Core/MH/CF" numFmtId="0">
      <sharedItems containsString="0" containsBlank="1">
        <m/>
      </sharedItems>
    </cacheField>
    <cacheField name="Offer Valid" numFmtId="0">
      <sharedItems containsString="0" containsBlank="1">
        <m/>
      </sharedItems>
    </cacheField>
    <cacheField name="Sale or return" numFmtId="0">
      <sharedItems containsString="0" containsBlank="1">
        <m/>
      </sharedItems>
    </cacheField>
    <cacheField name="Bill Qty" numFmtId="0">
      <sharedItems containsString="0" containsBlank="1">
        <m/>
      </sharedItems>
    </cacheField>
    <cacheField name="Bill MRP" numFmtId="0">
      <sharedItems containsString="0" containsBlank="1">
        <m/>
      </sharedItems>
    </cacheField>
    <cacheField name="Bill Dis" numFmtId="0">
      <sharedItems containsString="0" containsBlank="1">
        <m/>
      </sharedItems>
    </cacheField>
    <cacheField name="Bill Amt" numFmtId="0">
      <sharedItems containsString="0" containsBlank="1">
        <m/>
      </sharedItems>
    </cacheField>
    <cacheField name="bill Dis%" numFmtId="0">
      <sharedItems containsString="0" containsBlank="1">
        <m/>
      </sharedItems>
    </cacheField>
    <cacheField name="Status" numFmtId="0">
      <sharedItems containsString="0" containsBlank="1">
        <m/>
      </sharedItems>
    </cacheField>
    <cacheField name="App Dis%" numFmtId="0">
      <sharedItems containsString="0" containsBlank="1">
        <m/>
      </sharedItems>
    </cacheField>
    <cacheField name="App Disc cal" numFmtId="0">
      <sharedItems containsString="0" containsBlank="1">
        <m/>
      </sharedItems>
    </cacheField>
    <cacheField name="App Disc Actual" numFmtId="0">
      <sharedItems containsString="0" containsBlank="1">
        <m/>
      </sharedItems>
    </cacheField>
    <cacheField name="revise Net Amount" numFmtId="0">
      <sharedItems containsString="0" containsBlank="1">
        <m/>
      </sharedItems>
    </cacheField>
    <cacheField name="Fresh Margin" numFmtId="0">
      <sharedItems containsString="0" containsBlank="1">
        <m/>
      </sharedItems>
    </cacheField>
    <cacheField name="EOSS Margin" numFmtId="0">
      <sharedItems containsString="0" containsBlank="1">
        <m/>
      </sharedItems>
    </cacheField>
    <cacheField name="Promo Margin" numFmtId="0">
      <sharedItems containsString="0" containsBlank="1">
        <m/>
      </sharedItems>
    </cacheField>
    <cacheField name="GST WSP/MRP(Fresh)" numFmtId="0">
      <sharedItems containsString="0" containsBlank="1">
        <m/>
      </sharedItems>
    </cacheField>
    <cacheField name="GST WSP/MRP(EOSS)" numFmtId="0">
      <sharedItems containsString="0" containsBlank="1">
        <m/>
      </sharedItems>
    </cacheField>
    <cacheField name="Margin Cal(F)" numFmtId="0">
      <sharedItems containsString="0" containsBlank="1">
        <m/>
      </sharedItems>
    </cacheField>
    <cacheField name="Margin Cal(E)" numFmtId="0">
      <sharedItems containsString="0" containsBlank="1">
        <m/>
      </sharedItems>
    </cacheField>
    <cacheField name="GST Prov Rate" numFmtId="0">
      <sharedItems containsString="0" containsBlank="1">
        <m/>
      </sharedItems>
    </cacheField>
    <cacheField name="GST Prov Amount" numFmtId="0">
      <sharedItems containsString="0" containsBlank="1">
        <m/>
      </sharedItems>
    </cacheField>
    <cacheField name="fresh margin2" numFmtId="0">
      <sharedItems containsString="0" containsBlank="1">
        <m/>
      </sharedItems>
    </cacheField>
    <cacheField name="Billed Amount" numFmtId="0">
      <sharedItems containsString="0" containsBlank="1">
        <m/>
      </sharedItems>
    </cacheField>
    <cacheField name="eoss margin2" numFmtId="0">
      <sharedItems containsString="0" containsBlank="1">
        <m/>
      </sharedItems>
    </cacheField>
    <cacheField name="Actual GST %" numFmtId="0">
      <sharedItems containsString="0" containsBlank="1">
        <m/>
      </sharedItems>
    </cacheField>
    <cacheField name="GST Amt" numFmtId="0">
      <sharedItems containsString="0" containsBlank="1">
        <m/>
      </sharedItems>
    </cacheField>
    <cacheField name="New Cost" numFmtId="0">
      <sharedItems containsString="0" containsBlank="1">
        <m/>
      </sharedItems>
    </cacheField>
    <cacheField name="Input GST" numFmtId="0">
      <sharedItems containsString="0" containsBlank="1">
        <m/>
      </sharedItems>
    </cacheField>
    <cacheField name="Contribution" numFmtId="0">
      <sharedItems containsString="0" containsBlank="1">
        <m/>
      </sharedItems>
    </cacheField>
    <cacheField name="Claim Amt" numFmtId="0">
      <sharedItems containsString="0" containsBlank="1">
        <m/>
      </sharedItems>
    </cacheField>
    <cacheField name="Amount Collectable" numFmtId="0">
      <sharedItems containsString="0" containsBlank="1">
        <m/>
      </sharedItems>
    </cacheField>
    <cacheField name="Claim%toMRP" numFmtId="0">
      <sharedItems containsString="0" containsBlank="1">
        <m/>
      </sharedItems>
    </cacheField>
    <cacheField name="DiffinDiscount" numFmtId="0">
      <sharedItems containsString="0" containsBlank="1">
        <m/>
      </sharedItems>
    </cacheField>
    <cacheField name="Billing Margin%" numFmtId="0">
      <sharedItems containsString="0" containsBlank="1">
        <m/>
      </sharedItems>
    </cacheField>
    <cacheField name="Billed Value" numFmtId="0">
      <sharedItems containsString="0" containsBlank="1">
        <m/>
      </sharedItems>
    </cacheField>
    <cacheField name="CN for Books" numFmtId="0">
      <sharedItems containsString="0" containsBlank="1">
        <m/>
      </sharedItems>
    </cacheField>
    <cacheField name="diffindiscount2" numFmtId="0">
      <sharedItems containsString="0" containsBlank="1">
        <m/>
      </sharedItems>
    </cacheField>
    <cacheField name="billing margin%2" numFmtId="0">
      <sharedItems containsString="0" containsBlank="1">
        <m/>
      </sharedItems>
    </cacheField>
    <cacheField name="billed value2" numFmtId="0">
      <sharedItems containsString="0" containsBlank="1">
        <m/>
      </sharedItems>
    </cacheField>
    <cacheField name="cn for books2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MAIN PIVOT" cacheId="0" dataCaption="" compact="0" compactData="0">
  <location ref="A1:F10" firstHeaderRow="0" firstDataRow="3" firstDataCol="0"/>
  <pivotFields>
    <pivotField name="Brand" compact="0" outline="0" multipleItemSelectionAllowed="1" showAll="0">
      <items>
        <item x="0"/>
        <item x="1"/>
        <item t="default"/>
      </items>
    </pivotField>
    <pivotField name="Store Type" compact="0" outline="0" multipleItemSelectionAllowed="1" showAll="0">
      <items>
        <item x="0"/>
        <item t="default"/>
      </items>
    </pivotField>
    <pivotField name="CUSTOMER_NAME" axis="axisRow" compact="0" outline="0" multipleItemSelectionAllowed="1" showAll="0" sortType="ascending" defaultSubtotal="0">
      <items>
        <item x="6"/>
        <item x="5"/>
        <item x="0"/>
        <item x="2"/>
        <item x="1"/>
        <item x="4"/>
        <item x="3"/>
      </items>
    </pivotField>
    <pivotField name="DESTINATION SITE" axis="axisRow" compact="0" outline="0" multipleItemSelectionAllowed="1" showAll="0" sortType="ascending">
      <items>
        <item x="7"/>
        <item x="6"/>
        <item x="0"/>
        <item x="3"/>
        <item x="1"/>
        <item x="2"/>
        <item x="5"/>
        <item x="4"/>
        <item t="default"/>
      </items>
    </pivotField>
    <pivotField name="CHECK" compact="0" outline="0" multipleItemSelectionAllowed="1" showAll="0">
      <items>
        <item x="0"/>
        <item t="default"/>
      </items>
    </pivotField>
    <pivotField name="BillNo.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month" compact="0" outline="0" multipleItemSelectionAllowed="1" showAll="0">
      <items>
        <item x="0"/>
        <item x="1"/>
        <item x="2"/>
        <item t="default"/>
      </items>
    </pivotField>
    <pivotField name="year" compact="0" outline="0" multipleItemSelectionAllowed="1" showAll="0">
      <items>
        <item x="0"/>
        <item x="1"/>
        <item x="2"/>
        <item t="default"/>
      </items>
    </pivotField>
    <pivotField name="EAN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Sty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STYLE AS PER GINESY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Siz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Qty" dataField="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R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TMRP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Retailer Discount" compact="0" outline="0" multipleItemSelectionAllowed="1" showAll="0">
      <items>
        <item x="0"/>
        <item x="1"/>
        <item x="2"/>
        <item t="default"/>
      </items>
    </pivotField>
    <pivotField name="Company Di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Disc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Net Am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MR$P CHECK" compact="0" outline="0" multipleItemSelectionAllowed="1" showAll="0">
      <items>
        <item x="0"/>
        <item x="1"/>
        <item x="2"/>
        <item t="default"/>
      </items>
    </pivotField>
    <pivotField name="DIVISION" compact="0" outline="0" multipleItemSelectionAllowed="1" showAll="0">
      <items>
        <item x="0"/>
        <item x="1"/>
        <item t="default"/>
      </items>
    </pivotField>
    <pivotField name="SECTION" compact="0" outline="0" multipleItemSelectionAllowed="1" showAll="0">
      <items>
        <item x="0"/>
        <item x="1"/>
        <item t="default"/>
      </items>
    </pivotField>
    <pivotField name="DEPARTM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Sale Type" compact="0" outline="0" multipleItemSelectionAllowed="1" showAll="0">
      <items>
        <item x="0"/>
        <item t="default"/>
      </items>
    </pivotField>
    <pivotField name="Week NO" compact="0" outline="0" multipleItemSelectionAllowed="1" showAll="0">
      <items>
        <item x="0"/>
        <item t="default"/>
      </items>
    </pivotField>
    <pivotField name="festival" compact="0" outline="0" multipleItemSelectionAllowed="1" showAll="0">
      <items>
        <item x="0"/>
        <item t="default"/>
      </items>
    </pivotField>
    <pivotField name="Offer" compact="0" outline="0" multipleItemSelectionAllowed="1" showAll="0">
      <items>
        <item x="0"/>
        <item x="1"/>
        <item x="2"/>
        <item x="3"/>
        <item t="default"/>
      </items>
    </pivotField>
    <pivotField name="SEAS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Item" compact="0" outline="0" multipleItemSelectionAllowed="1" showAll="0">
      <items>
        <item x="0"/>
        <item t="default"/>
      </items>
    </pivotField>
    <pivotField name="CORE/ SEASON" compact="0" outline="0" multipleItemSelectionAllowed="1" showAll="0">
      <items>
        <item x="0"/>
        <item t="default"/>
      </items>
    </pivotField>
    <pivotField name="UID" compact="0" outline="0" multipleItemSelectionAllowed="1" showAll="0">
      <items>
        <item x="0"/>
        <item t="default"/>
      </items>
    </pivotField>
    <pivotField name="Dis%" compact="0" outline="0" multipleItemSelectionAllowed="1" showAll="0">
      <items>
        <item x="0"/>
        <item t="default"/>
      </items>
    </pivotField>
    <pivotField name="department2" compact="0" outline="0" multipleItemSelectionAllowed="1" showAll="0">
      <items>
        <item x="0"/>
        <item t="default"/>
      </items>
    </pivotField>
    <pivotField name="season2" compact="0" outline="0" multipleItemSelectionAllowed="1" showAll="0">
      <items>
        <item x="0"/>
        <item t="default"/>
      </items>
    </pivotField>
    <pivotField name="Core/MH/CF" compact="0" outline="0" multipleItemSelectionAllowed="1" showAll="0">
      <items>
        <item x="0"/>
        <item t="default"/>
      </items>
    </pivotField>
    <pivotField name="Offer Valid" compact="0" outline="0" multipleItemSelectionAllowed="1" showAll="0">
      <items>
        <item x="0"/>
        <item t="default"/>
      </items>
    </pivotField>
    <pivotField name="Sale or return" compact="0" outline="0" multipleItemSelectionAllowed="1" showAll="0">
      <items>
        <item x="0"/>
        <item t="default"/>
      </items>
    </pivotField>
    <pivotField name="Bill Qty" compact="0" outline="0" multipleItemSelectionAllowed="1" showAll="0">
      <items>
        <item x="0"/>
        <item t="default"/>
      </items>
    </pivotField>
    <pivotField name="Bill MRP" compact="0" outline="0" multipleItemSelectionAllowed="1" showAll="0">
      <items>
        <item x="0"/>
        <item t="default"/>
      </items>
    </pivotField>
    <pivotField name="Bill Dis" compact="0" outline="0" multipleItemSelectionAllowed="1" showAll="0">
      <items>
        <item x="0"/>
        <item t="default"/>
      </items>
    </pivotField>
    <pivotField name="Bill Amt" compact="0" outline="0" multipleItemSelectionAllowed="1" showAll="0">
      <items>
        <item x="0"/>
        <item t="default"/>
      </items>
    </pivotField>
    <pivotField name="bill Dis%" compact="0" outline="0" multipleItemSelectionAllowed="1" showAll="0">
      <items>
        <item x="0"/>
        <item t="default"/>
      </items>
    </pivotField>
    <pivotField name="Status" compact="0" outline="0" multipleItemSelectionAllowed="1" showAll="0">
      <items>
        <item x="0"/>
        <item t="default"/>
      </items>
    </pivotField>
    <pivotField name="App Dis%" compact="0" outline="0" multipleItemSelectionAllowed="1" showAll="0">
      <items>
        <item x="0"/>
        <item t="default"/>
      </items>
    </pivotField>
    <pivotField name="App Disc cal" compact="0" outline="0" multipleItemSelectionAllowed="1" showAll="0">
      <items>
        <item x="0"/>
        <item t="default"/>
      </items>
    </pivotField>
    <pivotField name="App Disc Actual" compact="0" outline="0" multipleItemSelectionAllowed="1" showAll="0">
      <items>
        <item x="0"/>
        <item t="default"/>
      </items>
    </pivotField>
    <pivotField name="revise Net Amount" compact="0" outline="0" multipleItemSelectionAllowed="1" showAll="0">
      <items>
        <item x="0"/>
        <item t="default"/>
      </items>
    </pivotField>
    <pivotField name="Fresh Margin" compact="0" outline="0" multipleItemSelectionAllowed="1" showAll="0">
      <items>
        <item x="0"/>
        <item t="default"/>
      </items>
    </pivotField>
    <pivotField name="EOSS Margin" compact="0" outline="0" multipleItemSelectionAllowed="1" showAll="0">
      <items>
        <item x="0"/>
        <item t="default"/>
      </items>
    </pivotField>
    <pivotField name="Promo Margin" compact="0" outline="0" multipleItemSelectionAllowed="1" showAll="0">
      <items>
        <item x="0"/>
        <item t="default"/>
      </items>
    </pivotField>
    <pivotField name="GST WSP/MRP(Fresh)" compact="0" outline="0" multipleItemSelectionAllowed="1" showAll="0">
      <items>
        <item x="0"/>
        <item t="default"/>
      </items>
    </pivotField>
    <pivotField name="GST WSP/MRP(EOSS)" compact="0" outline="0" multipleItemSelectionAllowed="1" showAll="0">
      <items>
        <item x="0"/>
        <item t="default"/>
      </items>
    </pivotField>
    <pivotField name="Margin Cal(F)" compact="0" outline="0" multipleItemSelectionAllowed="1" showAll="0">
      <items>
        <item x="0"/>
        <item t="default"/>
      </items>
    </pivotField>
    <pivotField name="Margin Cal(E)" compact="0" outline="0" multipleItemSelectionAllowed="1" showAll="0">
      <items>
        <item x="0"/>
        <item t="default"/>
      </items>
    </pivotField>
    <pivotField name="GST Prov Rate" compact="0" outline="0" multipleItemSelectionAllowed="1" showAll="0">
      <items>
        <item x="0"/>
        <item t="default"/>
      </items>
    </pivotField>
    <pivotField name="GST Prov Amount" compact="0" outline="0" multipleItemSelectionAllowed="1" showAll="0">
      <items>
        <item x="0"/>
        <item t="default"/>
      </items>
    </pivotField>
    <pivotField name="fresh margin2" compact="0" outline="0" multipleItemSelectionAllowed="1" showAll="0">
      <items>
        <item x="0"/>
        <item t="default"/>
      </items>
    </pivotField>
    <pivotField name="Billed Amount" compact="0" outline="0" multipleItemSelectionAllowed="1" showAll="0">
      <items>
        <item x="0"/>
        <item t="default"/>
      </items>
    </pivotField>
    <pivotField name="eoss margin2" compact="0" outline="0" multipleItemSelectionAllowed="1" showAll="0">
      <items>
        <item x="0"/>
        <item t="default"/>
      </items>
    </pivotField>
    <pivotField name="Actual GST %" compact="0" outline="0" multipleItemSelectionAllowed="1" showAll="0">
      <items>
        <item x="0"/>
        <item t="default"/>
      </items>
    </pivotField>
    <pivotField name="GST Amt" compact="0" outline="0" multipleItemSelectionAllowed="1" showAll="0">
      <items>
        <item x="0"/>
        <item t="default"/>
      </items>
    </pivotField>
    <pivotField name="New Cost" compact="0" outline="0" multipleItemSelectionAllowed="1" showAll="0">
      <items>
        <item x="0"/>
        <item t="default"/>
      </items>
    </pivotField>
    <pivotField name="Input GST" compact="0" outline="0" multipleItemSelectionAllowed="1" showAll="0">
      <items>
        <item x="0"/>
        <item t="default"/>
      </items>
    </pivotField>
    <pivotField name="Contribution" compact="0" outline="0" multipleItemSelectionAllowed="1" showAll="0">
      <items>
        <item x="0"/>
        <item t="default"/>
      </items>
    </pivotField>
    <pivotField name="Claim Amt" compact="0" outline="0" multipleItemSelectionAllowed="1" showAll="0">
      <items>
        <item x="0"/>
        <item t="default"/>
      </items>
    </pivotField>
    <pivotField name="Amount Collectable" compact="0" outline="0" multipleItemSelectionAllowed="1" showAll="0">
      <items>
        <item x="0"/>
        <item t="default"/>
      </items>
    </pivotField>
    <pivotField name="Claim%toMRP" compact="0" outline="0" multipleItemSelectionAllowed="1" showAll="0">
      <items>
        <item x="0"/>
        <item t="default"/>
      </items>
    </pivotField>
    <pivotField name="DiffinDiscount" compact="0" outline="0" multipleItemSelectionAllowed="1" showAll="0">
      <items>
        <item x="0"/>
        <item t="default"/>
      </items>
    </pivotField>
    <pivotField name="Billing Margin%" compact="0" outline="0" multipleItemSelectionAllowed="1" showAll="0">
      <items>
        <item x="0"/>
        <item t="default"/>
      </items>
    </pivotField>
    <pivotField name="Billed Value" compact="0" outline="0" multipleItemSelectionAllowed="1" showAll="0">
      <items>
        <item x="0"/>
        <item t="default"/>
      </items>
    </pivotField>
    <pivotField name="CN for Books" compact="0" outline="0" multipleItemSelectionAllowed="1" showAll="0">
      <items>
        <item x="0"/>
        <item t="default"/>
      </items>
    </pivotField>
    <pivotField name="diffindiscount2" compact="0" outline="0" multipleItemSelectionAllowed="1" showAll="0">
      <items>
        <item x="0"/>
        <item t="default"/>
      </items>
    </pivotField>
    <pivotField name="billing margin%2" compact="0" outline="0" multipleItemSelectionAllowed="1" showAll="0">
      <items>
        <item x="0"/>
        <item t="default"/>
      </items>
    </pivotField>
    <pivotField name="billed value2" compact="0" outline="0" multipleItemSelectionAllowed="1" showAll="0">
      <items>
        <item x="0"/>
        <item t="default"/>
      </items>
    </pivotField>
    <pivotField name="cn for books2" compact="0" outline="0" multipleItemSelectionAllowed="1" showAll="0">
      <items>
        <item x="0"/>
        <item t="default"/>
      </items>
    </pivotField>
  </pivotFields>
  <rowFields>
    <field x="2"/>
    <field x="3"/>
  </rowFields>
  <colFields>
    <field x="-2"/>
  </colFields>
  <dataFields>
    <dataField name="SUM of Qty" fld="13" baseField="0"/>
    <dataField name="SUM of TMRP" fld="15" baseField="0"/>
    <dataField name="SUM of Discount" fld="18" baseField="0"/>
    <dataField name="SUM of Net Amount" fld="19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3.63"/>
    <col customWidth="1" min="2" max="2" width="45.38"/>
    <col customWidth="1" min="3" max="3" width="28.1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 t="s">
        <v>4</v>
      </c>
      <c r="B2" s="1" t="s">
        <v>5</v>
      </c>
      <c r="C2" s="3" t="str">
        <f>IFERROR(__xludf.DUMMYFUNCTION("IMPORTRANGE(""https://docs.google.com/spreadsheets/d/1Uzda-4PPPQvvhOICyHkDaMiQ98YTe8Sa8yFGoOIhsQA/edit?usp=drivesdk"",""Sheet2!A1:A1"")"),"#REF!")</f>
        <v>#REF!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 t="s">
        <v>6</v>
      </c>
      <c r="B3" s="1" t="s">
        <v>7</v>
      </c>
      <c r="C3" s="3" t="str">
        <f>IFERROR(__xludf.DUMMYFUNCTION("IMPORTRANGE(""https://docs.google.com/spreadsheets/d/1jg_USnSoWxCcMAIozMGJs-x7pSe1TVGKlKTtCx7INc8/edit?usp=drivesdk"",""Sheet2!A1:A1"")"),"CUSTOMER_NAME")</f>
        <v>CUSTOMER_NAME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" t="s">
        <v>8</v>
      </c>
      <c r="B4" s="1" t="s">
        <v>9</v>
      </c>
      <c r="C4" s="3" t="str">
        <f>IFERROR(__xludf.DUMMYFUNCTION("IMPORTRANGE(""https://docs.google.com/spreadsheets/d/1XYY6kmo-lJL8fli-MQxiwvPJNXMxDaiqL28tZX5q9WM/edit?usp=drivesdk"",""Sheet2!A1:A1"")"),"CUSTOMER_NAME")</f>
        <v>CUSTOMER_NAME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" t="s">
        <v>10</v>
      </c>
      <c r="B5" s="1" t="s">
        <v>11</v>
      </c>
      <c r="C5" s="3" t="str">
        <f>IFERROR(__xludf.DUMMYFUNCTION("IMPORTRANGE(""https://docs.google.com/spreadsheets/d/142cCHw6-Gw-abssmHbWchNr6FFOolPg7xDf2e7lFgh0/edit?usp=drivesdk"",""Sheet2!A1:A1"")"),"CUSTOMER_NAME")</f>
        <v>CUSTOMER_NAME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" t="s">
        <v>12</v>
      </c>
      <c r="B6" s="1" t="s">
        <v>13</v>
      </c>
      <c r="C6" s="3" t="str">
        <f>IFERROR(__xludf.DUMMYFUNCTION("IMPORTRANGE(""https://docs.google.com/spreadsheets/d/18DMKWVJhQmqIrtSuAVHGssnFgrIZOUtis-8bPJC3MNM/edit?usp=drivesdk"",""Sheet2!A1:A1"")"),"CUSTOMER_NAME")</f>
        <v>CUSTOMER_NAME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"/>
      <c r="B7" s="1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"/>
      <c r="B8" s="1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"/>
      <c r="B9" s="1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"/>
      <c r="B10" s="1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"/>
      <c r="B11" s="1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>
      <c r="A1065" s="3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>
      <c r="A1066" s="3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>
      <c r="A1067" s="3"/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>
      <c r="A1068" s="3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>
      <c r="A1069" s="3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>
      <c r="A1070" s="3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>
      <c r="A1071" s="3"/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>
      <c r="A1073" s="3"/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>
      <c r="A1074" s="3"/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>
      <c r="A1075" s="3"/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>
      <c r="A1076" s="3"/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>
      <c r="A1077" s="3"/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>
      <c r="A1078" s="3"/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>
      <c r="A1079" s="3"/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>
      <c r="A1080" s="3"/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>
      <c r="A1081" s="3"/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>
      <c r="A1082" s="3"/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>
      <c r="A1083" s="3"/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>
      <c r="A1084" s="3"/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>
      <c r="A1085" s="3"/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>
      <c r="A1086" s="3"/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>
      <c r="A1087" s="3"/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>
      <c r="A1088" s="3"/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>
      <c r="A1089" s="3"/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>
      <c r="A1090" s="3"/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>
      <c r="A1091" s="3"/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>
      <c r="A1092" s="3"/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>
      <c r="A1093" s="3"/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>
      <c r="A1094" s="3"/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>
      <c r="A1095" s="3"/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>
      <c r="A1096" s="3"/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>
      <c r="A1097" s="3"/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>
      <c r="A1098" s="3"/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>
      <c r="A1099" s="3"/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>
      <c r="A1100" s="3"/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>
      <c r="A1101" s="3"/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>
      <c r="A1102" s="3"/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>
      <c r="A1103" s="3"/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>
      <c r="A1104" s="3"/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>
      <c r="A1105" s="3"/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>
      <c r="A1106" s="3"/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>
      <c r="A1107" s="3"/>
      <c r="B1107" s="3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>
      <c r="A1108" s="3"/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>
      <c r="A1109" s="3"/>
      <c r="B1109" s="3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>
      <c r="A1110" s="3"/>
      <c r="B1110" s="3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>
      <c r="A1111" s="3"/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>
      <c r="A1112" s="3"/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>
      <c r="A1113" s="3"/>
      <c r="B1113" s="3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>
      <c r="A1114" s="3"/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>
      <c r="A1115" s="3"/>
      <c r="B1115" s="3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>
      <c r="A1116" s="3"/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>
      <c r="A1117" s="3"/>
      <c r="B1117" s="3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>
      <c r="A1118" s="3"/>
      <c r="B1118" s="3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>
      <c r="A1119" s="3"/>
      <c r="B1119" s="3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>
      <c r="A1120" s="3"/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>
      <c r="A1121" s="3"/>
      <c r="B1121" s="3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>
      <c r="A1122" s="3"/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>
      <c r="A1123" s="3"/>
      <c r="B1123" s="3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>
      <c r="A1124" s="3"/>
      <c r="B1124" s="3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>
      <c r="A1125" s="3"/>
      <c r="B1125" s="3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>
      <c r="A1126" s="3"/>
      <c r="B1126" s="3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>
      <c r="A1127" s="3"/>
      <c r="B1127" s="3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>
      <c r="A1128" s="3"/>
      <c r="B1128" s="3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>
      <c r="A1129" s="3"/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>
      <c r="A1130" s="3"/>
      <c r="B1130" s="3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>
      <c r="A1131" s="3"/>
      <c r="B1131" s="3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>
      <c r="A1132" s="3"/>
      <c r="B1132" s="3"/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>
      <c r="A1133" s="3"/>
      <c r="B1133" s="3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>
      <c r="A1134" s="3"/>
      <c r="B1134" s="3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>
      <c r="A1135" s="3"/>
      <c r="B1135" s="3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>
      <c r="A1136" s="3"/>
      <c r="B1136" s="3"/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>
      <c r="A1137" s="3"/>
      <c r="B1137" s="3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>
      <c r="A1138" s="3"/>
      <c r="B1138" s="3"/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>
      <c r="A1139" s="3"/>
      <c r="B1139" s="3"/>
      <c r="C1139" s="3"/>
      <c r="D1139" s="3"/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>
      <c r="A1140" s="3"/>
      <c r="B1140" s="3"/>
      <c r="C1140" s="3"/>
      <c r="D1140" s="3"/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>
      <c r="A1141" s="3"/>
      <c r="B1141" s="3"/>
      <c r="C1141" s="3"/>
      <c r="D1141" s="3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>
      <c r="A1142" s="3"/>
      <c r="B1142" s="3"/>
      <c r="C1142" s="3"/>
      <c r="D1142" s="3"/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>
      <c r="A1143" s="3"/>
      <c r="B1143" s="3"/>
      <c r="C1143" s="3"/>
      <c r="D1143" s="3"/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>
      <c r="A1144" s="3"/>
      <c r="B1144" s="3"/>
      <c r="C1144" s="3"/>
      <c r="D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>
      <c r="A1145" s="3"/>
      <c r="B1145" s="3"/>
      <c r="C1145" s="3"/>
      <c r="D1145" s="3"/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>
      <c r="A1146" s="3"/>
      <c r="B1146" s="3"/>
      <c r="C1146" s="3"/>
      <c r="D1146" s="3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>
      <c r="A1147" s="3"/>
      <c r="B1147" s="3"/>
      <c r="C1147" s="3"/>
      <c r="D1147" s="3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>
      <c r="A1148" s="3"/>
      <c r="B1148" s="3"/>
      <c r="C1148" s="3"/>
      <c r="D1148" s="3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>
      <c r="A1149" s="3"/>
      <c r="B1149" s="3"/>
      <c r="C1149" s="3"/>
      <c r="D1149" s="3"/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>
      <c r="A1150" s="3"/>
      <c r="B1150" s="3"/>
      <c r="C1150" s="3"/>
      <c r="D1150" s="3"/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>
      <c r="A1151" s="3"/>
      <c r="B1151" s="3"/>
      <c r="C1151" s="3"/>
      <c r="D1151" s="3"/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>
      <c r="A1152" s="3"/>
      <c r="B1152" s="3"/>
      <c r="C1152" s="3"/>
      <c r="D1152" s="3"/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>
      <c r="A1153" s="3"/>
      <c r="B1153" s="3"/>
      <c r="C1153" s="3"/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>
      <c r="A1154" s="3"/>
      <c r="B1154" s="3"/>
      <c r="C1154" s="3"/>
      <c r="D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>
      <c r="A1155" s="3"/>
      <c r="B1155" s="3"/>
      <c r="C1155" s="3"/>
      <c r="D1155" s="3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>
      <c r="A1156" s="3"/>
      <c r="B1156" s="3"/>
      <c r="C1156" s="3"/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>
      <c r="A1157" s="3"/>
      <c r="B1157" s="3"/>
      <c r="C1157" s="3"/>
      <c r="D1157" s="3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>
      <c r="A1158" s="3"/>
      <c r="B1158" s="3"/>
      <c r="C1158" s="3"/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>
      <c r="A1159" s="3"/>
      <c r="B1159" s="3"/>
      <c r="C1159" s="3"/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>
      <c r="A1160" s="3"/>
      <c r="B1160" s="3"/>
      <c r="C1160" s="3"/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>
      <c r="A1161" s="3"/>
      <c r="B1161" s="3"/>
      <c r="C1161" s="3"/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>
      <c r="A1162" s="3"/>
      <c r="B1162" s="3"/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>
      <c r="A1163" s="3"/>
      <c r="B1163" s="3"/>
      <c r="C1163" s="3"/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>
      <c r="A1164" s="3"/>
      <c r="B1164" s="3"/>
      <c r="C1164" s="3"/>
      <c r="D1164" s="3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>
      <c r="A1165" s="3"/>
      <c r="B1165" s="3"/>
      <c r="C1165" s="3"/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>
      <c r="A1166" s="3"/>
      <c r="B1166" s="3"/>
      <c r="C1166" s="3"/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>
      <c r="A1167" s="3"/>
      <c r="B1167" s="3"/>
      <c r="C1167" s="3"/>
      <c r="D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>
      <c r="A1168" s="3"/>
      <c r="B1168" s="3"/>
      <c r="C1168" s="3"/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>
      <c r="A1169" s="3"/>
      <c r="B1169" s="3"/>
      <c r="C1169" s="3"/>
      <c r="D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>
      <c r="A1170" s="3"/>
      <c r="B1170" s="3"/>
      <c r="C1170" s="3"/>
      <c r="D1170" s="3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>
      <c r="A1171" s="3"/>
      <c r="B1171" s="3"/>
      <c r="C1171" s="3"/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>
      <c r="A1172" s="3"/>
      <c r="B1172" s="3"/>
      <c r="C1172" s="3"/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>
      <c r="A1173" s="3"/>
      <c r="B1173" s="3"/>
      <c r="C1173" s="3"/>
      <c r="D1173" s="3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>
      <c r="A1174" s="3"/>
      <c r="B1174" s="3"/>
      <c r="C1174" s="3"/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>
      <c r="A1175" s="3"/>
      <c r="B1175" s="3"/>
      <c r="C1175" s="3"/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>
      <c r="A1176" s="3"/>
      <c r="B1176" s="3"/>
      <c r="C1176" s="3"/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>
      <c r="A1177" s="3"/>
      <c r="B1177" s="3"/>
      <c r="C1177" s="3"/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>
      <c r="A1178" s="3"/>
      <c r="B1178" s="3"/>
      <c r="C1178" s="3"/>
      <c r="D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>
      <c r="A1179" s="3"/>
      <c r="B1179" s="3"/>
      <c r="C1179" s="3"/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>
      <c r="A1180" s="3"/>
      <c r="B1180" s="3"/>
      <c r="C1180" s="3"/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>
      <c r="A1181" s="3"/>
      <c r="B1181" s="3"/>
      <c r="C1181" s="3"/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>
      <c r="A1182" s="3"/>
      <c r="B1182" s="3"/>
      <c r="C1182" s="3"/>
      <c r="D1182" s="3"/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>
      <c r="A1183" s="3"/>
      <c r="B1183" s="3"/>
      <c r="C1183" s="3"/>
      <c r="D1183" s="3"/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>
      <c r="A1184" s="3"/>
      <c r="B1184" s="3"/>
      <c r="C1184" s="3"/>
      <c r="D1184" s="3"/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>
      <c r="A1185" s="3"/>
      <c r="B1185" s="3"/>
      <c r="C1185" s="3"/>
      <c r="D1185" s="3"/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>
      <c r="A1186" s="3"/>
      <c r="B1186" s="3"/>
      <c r="C1186" s="3"/>
      <c r="D1186" s="3"/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>
      <c r="A1187" s="3"/>
      <c r="B1187" s="3"/>
      <c r="C1187" s="3"/>
      <c r="D1187" s="3"/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>
      <c r="A1188" s="3"/>
      <c r="B1188" s="3"/>
      <c r="C1188" s="3"/>
      <c r="D1188" s="3"/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>
      <c r="A1189" s="3"/>
      <c r="B1189" s="3"/>
      <c r="C1189" s="3"/>
      <c r="D1189" s="3"/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>
      <c r="A1190" s="3"/>
      <c r="B1190" s="3"/>
      <c r="C1190" s="3"/>
      <c r="D1190" s="3"/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>
      <c r="A1191" s="3"/>
      <c r="B1191" s="3"/>
      <c r="C1191" s="3"/>
      <c r="D1191" s="3"/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>
      <c r="A1192" s="3"/>
      <c r="B1192" s="3"/>
      <c r="C1192" s="3"/>
      <c r="D1192" s="3"/>
      <c r="E1192" s="3"/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>
      <c r="A1193" s="3"/>
      <c r="B1193" s="3"/>
      <c r="C1193" s="3"/>
      <c r="D1193" s="3"/>
      <c r="E1193" s="3"/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>
      <c r="A1194" s="3"/>
      <c r="B1194" s="3"/>
      <c r="C1194" s="3"/>
      <c r="D1194" s="3"/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>
      <c r="A1195" s="3"/>
      <c r="B1195" s="3"/>
      <c r="C1195" s="3"/>
      <c r="D1195" s="3"/>
      <c r="E1195" s="3"/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>
      <c r="A1196" s="3"/>
      <c r="B1196" s="3"/>
      <c r="C1196" s="3"/>
      <c r="D1196" s="3"/>
      <c r="E1196" s="3"/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>
      <c r="A1197" s="3"/>
      <c r="B1197" s="3"/>
      <c r="C1197" s="3"/>
      <c r="D1197" s="3"/>
      <c r="E1197" s="3"/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>
      <c r="A1198" s="3"/>
      <c r="B1198" s="3"/>
      <c r="C1198" s="3"/>
      <c r="D1198" s="3"/>
      <c r="E1198" s="3"/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>
      <c r="A1199" s="3"/>
      <c r="B1199" s="3"/>
      <c r="C1199" s="3"/>
      <c r="D1199" s="3"/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>
      <c r="A1200" s="3"/>
      <c r="B1200" s="3"/>
      <c r="C1200" s="3"/>
      <c r="D1200" s="3"/>
      <c r="E1200" s="3"/>
      <c r="F1200" s="3"/>
      <c r="G1200" s="3"/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>
      <c r="A1201" s="3"/>
      <c r="B1201" s="3"/>
      <c r="C1201" s="3"/>
      <c r="D1201" s="3"/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>
      <c r="A1202" s="3"/>
      <c r="B1202" s="3"/>
      <c r="C1202" s="3"/>
      <c r="D1202" s="3"/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>
      <c r="A1203" s="3"/>
      <c r="B1203" s="3"/>
      <c r="C1203" s="3"/>
      <c r="D1203" s="3"/>
      <c r="E1203" s="3"/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>
      <c r="A1204" s="3"/>
      <c r="B1204" s="3"/>
      <c r="C1204" s="3"/>
      <c r="D1204" s="3"/>
      <c r="E1204" s="3"/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>
      <c r="A1205" s="3"/>
      <c r="B1205" s="3"/>
      <c r="C1205" s="3"/>
      <c r="D1205" s="3"/>
      <c r="E1205" s="3"/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>
      <c r="A1206" s="3"/>
      <c r="B1206" s="3"/>
      <c r="C1206" s="3"/>
      <c r="D1206" s="3"/>
      <c r="E1206" s="3"/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>
      <c r="A1207" s="3"/>
      <c r="B1207" s="3"/>
      <c r="C1207" s="3"/>
      <c r="D1207" s="3"/>
      <c r="E1207" s="3"/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>
      <c r="A1208" s="3"/>
      <c r="B1208" s="3"/>
      <c r="C1208" s="3"/>
      <c r="D1208" s="3"/>
      <c r="E1208" s="3"/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>
      <c r="A1209" s="3"/>
      <c r="B1209" s="3"/>
      <c r="C1209" s="3"/>
      <c r="D1209" s="3"/>
      <c r="E1209" s="3"/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>
      <c r="A1210" s="3"/>
      <c r="B1210" s="3"/>
      <c r="C1210" s="3"/>
      <c r="D1210" s="3"/>
      <c r="E1210" s="3"/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>
      <c r="A1211" s="3"/>
      <c r="B1211" s="3"/>
      <c r="C1211" s="3"/>
      <c r="D1211" s="3"/>
      <c r="E1211" s="3"/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>
      <c r="A1212" s="3"/>
      <c r="B1212" s="3"/>
      <c r="C1212" s="3"/>
      <c r="D1212" s="3"/>
      <c r="E1212" s="3"/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>
      <c r="A1213" s="3"/>
      <c r="B1213" s="3"/>
      <c r="C1213" s="3"/>
      <c r="D1213" s="3"/>
      <c r="E1213" s="3"/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>
      <c r="A1214" s="3"/>
      <c r="B1214" s="3"/>
      <c r="C1214" s="3"/>
      <c r="D1214" s="3"/>
      <c r="E1214" s="3"/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>
      <c r="A1215" s="3"/>
      <c r="B1215" s="3"/>
      <c r="C1215" s="3"/>
      <c r="D1215" s="3"/>
      <c r="E1215" s="3"/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>
      <c r="A1216" s="3"/>
      <c r="B1216" s="3"/>
      <c r="C1216" s="3"/>
      <c r="D1216" s="3"/>
      <c r="E1216" s="3"/>
      <c r="F1216" s="3"/>
      <c r="G1216" s="3"/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>
      <c r="A1217" s="3"/>
      <c r="B1217" s="3"/>
      <c r="C1217" s="3"/>
      <c r="D1217" s="3"/>
      <c r="E1217" s="3"/>
      <c r="F1217" s="3"/>
      <c r="G1217" s="3"/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>
      <c r="A1218" s="3"/>
      <c r="B1218" s="3"/>
      <c r="C1218" s="3"/>
      <c r="D1218" s="3"/>
      <c r="E1218" s="3"/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>
      <c r="A1219" s="3"/>
      <c r="B1219" s="3"/>
      <c r="C1219" s="3"/>
      <c r="D1219" s="3"/>
      <c r="E1219" s="3"/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>
      <c r="A1220" s="3"/>
      <c r="B1220" s="3"/>
      <c r="C1220" s="3"/>
      <c r="D1220" s="3"/>
      <c r="E1220" s="3"/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>
      <c r="A1221" s="3"/>
      <c r="B1221" s="3"/>
      <c r="C1221" s="3"/>
      <c r="D1221" s="3"/>
      <c r="E1221" s="3"/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>
      <c r="A1222" s="3"/>
      <c r="B1222" s="3"/>
      <c r="C1222" s="3"/>
      <c r="D1222" s="3"/>
      <c r="E1222" s="3"/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>
      <c r="A1223" s="3"/>
      <c r="B1223" s="3"/>
      <c r="C1223" s="3"/>
      <c r="D1223" s="3"/>
      <c r="E1223" s="3"/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>
      <c r="A1224" s="3"/>
      <c r="B1224" s="3"/>
      <c r="C1224" s="3"/>
      <c r="D1224" s="3"/>
      <c r="E1224" s="3"/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>
      <c r="A1225" s="3"/>
      <c r="B1225" s="3"/>
      <c r="C1225" s="3"/>
      <c r="D1225" s="3"/>
      <c r="E1225" s="3"/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>
      <c r="A1226" s="3"/>
      <c r="B1226" s="3"/>
      <c r="C1226" s="3"/>
      <c r="D1226" s="3"/>
      <c r="E1226" s="3"/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>
      <c r="A1227" s="3"/>
      <c r="B1227" s="3"/>
      <c r="C1227" s="3"/>
      <c r="D1227" s="3"/>
      <c r="E1227" s="3"/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>
      <c r="A1228" s="3"/>
      <c r="B1228" s="3"/>
      <c r="C1228" s="3"/>
      <c r="D1228" s="3"/>
      <c r="E1228" s="3"/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>
      <c r="A1229" s="3"/>
      <c r="B1229" s="3"/>
      <c r="C1229" s="3"/>
      <c r="D1229" s="3"/>
      <c r="E1229" s="3"/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>
      <c r="A1230" s="3"/>
      <c r="B1230" s="3"/>
      <c r="C1230" s="3"/>
      <c r="D1230" s="3"/>
      <c r="E1230" s="3"/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>
      <c r="A1231" s="3"/>
      <c r="B1231" s="3"/>
      <c r="C1231" s="3"/>
      <c r="D1231" s="3"/>
      <c r="E1231" s="3"/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>
      <c r="A1232" s="3"/>
      <c r="B1232" s="3"/>
      <c r="C1232" s="3"/>
      <c r="D1232" s="3"/>
      <c r="E1232" s="3"/>
      <c r="F1232" s="3"/>
      <c r="G1232" s="3"/>
      <c r="H1232" s="3"/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>
      <c r="A1233" s="3"/>
      <c r="B1233" s="3"/>
      <c r="C1233" s="3"/>
      <c r="D1233" s="3"/>
      <c r="E1233" s="3"/>
      <c r="F1233" s="3"/>
      <c r="G1233" s="3"/>
      <c r="H1233" s="3"/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>
      <c r="A1234" s="3"/>
      <c r="B1234" s="3"/>
      <c r="C1234" s="3"/>
      <c r="D1234" s="3"/>
      <c r="E1234" s="3"/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>
      <c r="A1235" s="3"/>
      <c r="B1235" s="3"/>
      <c r="C1235" s="3"/>
      <c r="D1235" s="3"/>
      <c r="E1235" s="3"/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>
      <c r="A1236" s="3"/>
      <c r="B1236" s="3"/>
      <c r="C1236" s="3"/>
      <c r="D1236" s="3"/>
      <c r="E1236" s="3"/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>
      <c r="A1237" s="3"/>
      <c r="B1237" s="3"/>
      <c r="C1237" s="3"/>
      <c r="D1237" s="3"/>
      <c r="E1237" s="3"/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>
      <c r="A1238" s="3"/>
      <c r="B1238" s="3"/>
      <c r="C1238" s="3"/>
      <c r="D1238" s="3"/>
      <c r="E1238" s="3"/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>
      <c r="A1239" s="3"/>
      <c r="B1239" s="3"/>
      <c r="C1239" s="3"/>
      <c r="D1239" s="3"/>
      <c r="E1239" s="3"/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>
      <c r="A1240" s="3"/>
      <c r="B1240" s="3"/>
      <c r="C1240" s="3"/>
      <c r="D1240" s="3"/>
      <c r="E1240" s="3"/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>
      <c r="A1241" s="3"/>
      <c r="B1241" s="3"/>
      <c r="C1241" s="3"/>
      <c r="D1241" s="3"/>
      <c r="E1241" s="3"/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>
      <c r="A1242" s="3"/>
      <c r="B1242" s="3"/>
      <c r="C1242" s="3"/>
      <c r="D1242" s="3"/>
      <c r="E1242" s="3"/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>
      <c r="A1243" s="3"/>
      <c r="B1243" s="3"/>
      <c r="C1243" s="3"/>
      <c r="D1243" s="3"/>
      <c r="E1243" s="3"/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>
      <c r="A1244" s="3"/>
      <c r="B1244" s="3"/>
      <c r="C1244" s="3"/>
      <c r="D1244" s="3"/>
      <c r="E1244" s="3"/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>
      <c r="A1245" s="3"/>
      <c r="B1245" s="3"/>
      <c r="C1245" s="3"/>
      <c r="D1245" s="3"/>
      <c r="E1245" s="3"/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>
      <c r="A1246" s="3"/>
      <c r="B1246" s="3"/>
      <c r="C1246" s="3"/>
      <c r="D1246" s="3"/>
      <c r="E1246" s="3"/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>
      <c r="A1247" s="3"/>
      <c r="B1247" s="3"/>
      <c r="C1247" s="3"/>
      <c r="D1247" s="3"/>
      <c r="E1247" s="3"/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>
      <c r="A1248" s="3"/>
      <c r="B1248" s="3"/>
      <c r="C1248" s="3"/>
      <c r="D1248" s="3"/>
      <c r="E1248" s="3"/>
      <c r="F1248" s="3"/>
      <c r="G1248" s="3"/>
      <c r="H1248" s="3"/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>
      <c r="A1249" s="3"/>
      <c r="B1249" s="3"/>
      <c r="C1249" s="3"/>
      <c r="D1249" s="3"/>
      <c r="E1249" s="3"/>
      <c r="F1249" s="3"/>
      <c r="G1249" s="3"/>
      <c r="H1249" s="3"/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>
      <c r="A1250" s="3"/>
      <c r="B1250" s="3"/>
      <c r="C1250" s="3"/>
      <c r="D1250" s="3"/>
      <c r="E1250" s="3"/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>
      <c r="A1251" s="3"/>
      <c r="B1251" s="3"/>
      <c r="C1251" s="3"/>
      <c r="D1251" s="3"/>
      <c r="E1251" s="3"/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>
      <c r="A1252" s="3"/>
      <c r="B1252" s="3"/>
      <c r="C1252" s="3"/>
      <c r="D1252" s="3"/>
      <c r="E1252" s="3"/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>
      <c r="A1253" s="3"/>
      <c r="B1253" s="3"/>
      <c r="C1253" s="3"/>
      <c r="D1253" s="3"/>
      <c r="E1253" s="3"/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>
      <c r="A1254" s="3"/>
      <c r="B1254" s="3"/>
      <c r="C1254" s="3"/>
      <c r="D1254" s="3"/>
      <c r="E1254" s="3"/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>
      <c r="A1255" s="3"/>
      <c r="B1255" s="3"/>
      <c r="C1255" s="3"/>
      <c r="D1255" s="3"/>
      <c r="E1255" s="3"/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>
      <c r="A1256" s="3"/>
      <c r="B1256" s="3"/>
      <c r="C1256" s="3"/>
      <c r="D1256" s="3"/>
      <c r="E1256" s="3"/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>
      <c r="A1257" s="3"/>
      <c r="B1257" s="3"/>
      <c r="C1257" s="3"/>
      <c r="D1257" s="3"/>
      <c r="E1257" s="3"/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>
      <c r="A1258" s="3"/>
      <c r="B1258" s="3"/>
      <c r="C1258" s="3"/>
      <c r="D1258" s="3"/>
      <c r="E1258" s="3"/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>
      <c r="A1259" s="3"/>
      <c r="B1259" s="3"/>
      <c r="C1259" s="3"/>
      <c r="D1259" s="3"/>
      <c r="E1259" s="3"/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>
      <c r="A1260" s="3"/>
      <c r="B1260" s="3"/>
      <c r="C1260" s="3"/>
      <c r="D1260" s="3"/>
      <c r="E1260" s="3"/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>
      <c r="A1261" s="3"/>
      <c r="B1261" s="3"/>
      <c r="C1261" s="3"/>
      <c r="D1261" s="3"/>
      <c r="E1261" s="3"/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>
      <c r="A1262" s="3"/>
      <c r="B1262" s="3"/>
      <c r="C1262" s="3"/>
      <c r="D1262" s="3"/>
      <c r="E1262" s="3"/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>
      <c r="A1263" s="3"/>
      <c r="B1263" s="3"/>
      <c r="C1263" s="3"/>
      <c r="D1263" s="3"/>
      <c r="E1263" s="3"/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>
      <c r="A1264" s="3"/>
      <c r="B1264" s="3"/>
      <c r="C1264" s="3"/>
      <c r="D1264" s="3"/>
      <c r="E1264" s="3"/>
      <c r="F1264" s="3"/>
      <c r="G1264" s="3"/>
      <c r="H1264" s="3"/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>
      <c r="A1265" s="3"/>
      <c r="B1265" s="3"/>
      <c r="C1265" s="3"/>
      <c r="D1265" s="3"/>
      <c r="E1265" s="3"/>
      <c r="F1265" s="3"/>
      <c r="G1265" s="3"/>
      <c r="H1265" s="3"/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>
      <c r="A1266" s="3"/>
      <c r="B1266" s="3"/>
      <c r="C1266" s="3"/>
      <c r="D1266" s="3"/>
      <c r="E1266" s="3"/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>
      <c r="A1267" s="3"/>
      <c r="B1267" s="3"/>
      <c r="C1267" s="3"/>
      <c r="D1267" s="3"/>
      <c r="E1267" s="3"/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>
      <c r="A1268" s="3"/>
      <c r="B1268" s="3"/>
      <c r="C1268" s="3"/>
      <c r="D1268" s="3"/>
      <c r="E1268" s="3"/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>
      <c r="A1269" s="3"/>
      <c r="B1269" s="3"/>
      <c r="C1269" s="3"/>
      <c r="D1269" s="3"/>
      <c r="E1269" s="3"/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>
      <c r="A1270" s="3"/>
      <c r="B1270" s="3"/>
      <c r="C1270" s="3"/>
      <c r="D1270" s="3"/>
      <c r="E1270" s="3"/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>
      <c r="A1271" s="3"/>
      <c r="B1271" s="3"/>
      <c r="C1271" s="3"/>
      <c r="D1271" s="3"/>
      <c r="E1271" s="3"/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>
      <c r="A1272" s="3"/>
      <c r="B1272" s="3"/>
      <c r="C1272" s="3"/>
      <c r="D1272" s="3"/>
      <c r="E1272" s="3"/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>
      <c r="A1273" s="3"/>
      <c r="B1273" s="3"/>
      <c r="C1273" s="3"/>
      <c r="D1273" s="3"/>
      <c r="E1273" s="3"/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>
      <c r="A1274" s="3"/>
      <c r="B1274" s="3"/>
      <c r="C1274" s="3"/>
      <c r="D1274" s="3"/>
      <c r="E1274" s="3"/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>
      <c r="A1275" s="3"/>
      <c r="B1275" s="3"/>
      <c r="C1275" s="3"/>
      <c r="D1275" s="3"/>
      <c r="E1275" s="3"/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>
      <c r="A1276" s="3"/>
      <c r="B1276" s="3"/>
      <c r="C1276" s="3"/>
      <c r="D1276" s="3"/>
      <c r="E1276" s="3"/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>
      <c r="A1277" s="3"/>
      <c r="B1277" s="3"/>
      <c r="C1277" s="3"/>
      <c r="D1277" s="3"/>
      <c r="E1277" s="3"/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>
      <c r="A1278" s="3"/>
      <c r="B1278" s="3"/>
      <c r="C1278" s="3"/>
      <c r="D1278" s="3"/>
      <c r="E1278" s="3"/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>
      <c r="A1279" s="3"/>
      <c r="B1279" s="3"/>
      <c r="C1279" s="3"/>
      <c r="D1279" s="3"/>
      <c r="E1279" s="3"/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>
      <c r="A1280" s="3"/>
      <c r="B1280" s="3"/>
      <c r="C1280" s="3"/>
      <c r="D1280" s="3"/>
      <c r="E1280" s="3"/>
      <c r="F1280" s="3"/>
      <c r="G1280" s="3"/>
      <c r="H1280" s="3"/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>
      <c r="A1281" s="3"/>
      <c r="B1281" s="3"/>
      <c r="C1281" s="3"/>
      <c r="D1281" s="3"/>
      <c r="E1281" s="3"/>
      <c r="F1281" s="3"/>
      <c r="G1281" s="3"/>
      <c r="H1281" s="3"/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>
      <c r="A1282" s="3"/>
      <c r="B1282" s="3"/>
      <c r="C1282" s="3"/>
      <c r="D1282" s="3"/>
      <c r="E1282" s="3"/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>
      <c r="A1283" s="3"/>
      <c r="B1283" s="3"/>
      <c r="C1283" s="3"/>
      <c r="D1283" s="3"/>
      <c r="E1283" s="3"/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>
      <c r="A1284" s="3"/>
      <c r="B1284" s="3"/>
      <c r="C1284" s="3"/>
      <c r="D1284" s="3"/>
      <c r="E1284" s="3"/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>
      <c r="A1285" s="3"/>
      <c r="B1285" s="3"/>
      <c r="C1285" s="3"/>
      <c r="D1285" s="3"/>
      <c r="E1285" s="3"/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>
      <c r="A1286" s="3"/>
      <c r="B1286" s="3"/>
      <c r="C1286" s="3"/>
      <c r="D1286" s="3"/>
      <c r="E1286" s="3"/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>
      <c r="A1287" s="3"/>
      <c r="B1287" s="3"/>
      <c r="C1287" s="3"/>
      <c r="D1287" s="3"/>
      <c r="E1287" s="3"/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>
      <c r="A1288" s="3"/>
      <c r="B1288" s="3"/>
      <c r="C1288" s="3"/>
      <c r="D1288" s="3"/>
      <c r="E1288" s="3"/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>
      <c r="A1289" s="3"/>
      <c r="B1289" s="3"/>
      <c r="C1289" s="3"/>
      <c r="D1289" s="3"/>
      <c r="E1289" s="3"/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>
      <c r="A1290" s="3"/>
      <c r="B1290" s="3"/>
      <c r="C1290" s="3"/>
      <c r="D1290" s="3"/>
      <c r="E1290" s="3"/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>
      <c r="A1291" s="3"/>
      <c r="B1291" s="3"/>
      <c r="C1291" s="3"/>
      <c r="D1291" s="3"/>
      <c r="E1291" s="3"/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>
      <c r="A1292" s="3"/>
      <c r="B1292" s="3"/>
      <c r="C1292" s="3"/>
      <c r="D1292" s="3"/>
      <c r="E1292" s="3"/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>
      <c r="A1293" s="3"/>
      <c r="B1293" s="3"/>
      <c r="C1293" s="3"/>
      <c r="D1293" s="3"/>
      <c r="E1293" s="3"/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>
      <c r="A1294" s="3"/>
      <c r="B1294" s="3"/>
      <c r="C1294" s="3"/>
      <c r="D1294" s="3"/>
      <c r="E1294" s="3"/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>
      <c r="A1295" s="3"/>
      <c r="B1295" s="3"/>
      <c r="C1295" s="3"/>
      <c r="D1295" s="3"/>
      <c r="E1295" s="3"/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>
      <c r="A1296" s="3"/>
      <c r="B1296" s="3"/>
      <c r="C1296" s="3"/>
      <c r="D1296" s="3"/>
      <c r="E1296" s="3"/>
      <c r="F1296" s="3"/>
      <c r="G1296" s="3"/>
      <c r="H1296" s="3"/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</row>
    <row r="1297">
      <c r="A1297" s="3"/>
      <c r="B1297" s="3"/>
      <c r="C1297" s="3"/>
      <c r="D1297" s="3"/>
      <c r="E1297" s="3"/>
      <c r="F1297" s="3"/>
      <c r="G1297" s="3"/>
      <c r="H1297" s="3"/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>
      <c r="A1298" s="3"/>
      <c r="B1298" s="3"/>
      <c r="C1298" s="3"/>
      <c r="D1298" s="3"/>
      <c r="E1298" s="3"/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>
      <c r="A1299" s="3"/>
      <c r="B1299" s="3"/>
      <c r="C1299" s="3"/>
      <c r="D1299" s="3"/>
      <c r="E1299" s="3"/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>
      <c r="A1300" s="3"/>
      <c r="B1300" s="3"/>
      <c r="C1300" s="3"/>
      <c r="D1300" s="3"/>
      <c r="E1300" s="3"/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>
      <c r="A1301" s="3"/>
      <c r="B1301" s="3"/>
      <c r="C1301" s="3"/>
      <c r="D1301" s="3"/>
      <c r="E1301" s="3"/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>
      <c r="A1302" s="3"/>
      <c r="B1302" s="3"/>
      <c r="C1302" s="3"/>
      <c r="D1302" s="3"/>
      <c r="E1302" s="3"/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</row>
    <row r="1303">
      <c r="A1303" s="3"/>
      <c r="B1303" s="3"/>
      <c r="C1303" s="3"/>
      <c r="D1303" s="3"/>
      <c r="E1303" s="3"/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</row>
    <row r="1304">
      <c r="A1304" s="3"/>
      <c r="B1304" s="3"/>
      <c r="C1304" s="3"/>
      <c r="D1304" s="3"/>
      <c r="E1304" s="3"/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</row>
    <row r="1305">
      <c r="A1305" s="3"/>
      <c r="B1305" s="3"/>
      <c r="C1305" s="3"/>
      <c r="D1305" s="3"/>
      <c r="E1305" s="3"/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</row>
    <row r="1306">
      <c r="A1306" s="3"/>
      <c r="B1306" s="3"/>
      <c r="C1306" s="3"/>
      <c r="D1306" s="3"/>
      <c r="E1306" s="3"/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</row>
    <row r="1307">
      <c r="A1307" s="3"/>
      <c r="B1307" s="3"/>
      <c r="C1307" s="3"/>
      <c r="D1307" s="3"/>
      <c r="E1307" s="3"/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</row>
    <row r="1308">
      <c r="A1308" s="3"/>
      <c r="B1308" s="3"/>
      <c r="C1308" s="3"/>
      <c r="D1308" s="3"/>
      <c r="E1308" s="3"/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</row>
    <row r="1309">
      <c r="A1309" s="3"/>
      <c r="B1309" s="3"/>
      <c r="C1309" s="3"/>
      <c r="D1309" s="3"/>
      <c r="E1309" s="3"/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</row>
    <row r="1310">
      <c r="A1310" s="3"/>
      <c r="B1310" s="3"/>
      <c r="C1310" s="3"/>
      <c r="D1310" s="3"/>
      <c r="E1310" s="3"/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</row>
    <row r="1311">
      <c r="A1311" s="3"/>
      <c r="B1311" s="3"/>
      <c r="C1311" s="3"/>
      <c r="D1311" s="3"/>
      <c r="E1311" s="3"/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</row>
    <row r="1312">
      <c r="A1312" s="3"/>
      <c r="B1312" s="3"/>
      <c r="C1312" s="3"/>
      <c r="D1312" s="3"/>
      <c r="E1312" s="3"/>
      <c r="F1312" s="3"/>
      <c r="G1312" s="3"/>
      <c r="H1312" s="3"/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</row>
    <row r="1313">
      <c r="A1313" s="3"/>
      <c r="B1313" s="3"/>
      <c r="C1313" s="3"/>
      <c r="D1313" s="3"/>
      <c r="E1313" s="3"/>
      <c r="F1313" s="3"/>
      <c r="G1313" s="3"/>
      <c r="H1313" s="3"/>
      <c r="I1313" s="3"/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</row>
    <row r="1314">
      <c r="A1314" s="3"/>
      <c r="B1314" s="3"/>
      <c r="C1314" s="3"/>
      <c r="D1314" s="3"/>
      <c r="E1314" s="3"/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</row>
    <row r="1315">
      <c r="A1315" s="3"/>
      <c r="B1315" s="3"/>
      <c r="C1315" s="3"/>
      <c r="D1315" s="3"/>
      <c r="E1315" s="3"/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</row>
    <row r="1316">
      <c r="A1316" s="3"/>
      <c r="B1316" s="3"/>
      <c r="C1316" s="3"/>
      <c r="D1316" s="3"/>
      <c r="E1316" s="3"/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</row>
    <row r="1317">
      <c r="A1317" s="3"/>
      <c r="B1317" s="3"/>
      <c r="C1317" s="3"/>
      <c r="D1317" s="3"/>
      <c r="E1317" s="3"/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</row>
    <row r="1318">
      <c r="A1318" s="3"/>
      <c r="B1318" s="3"/>
      <c r="C1318" s="3"/>
      <c r="D1318" s="3"/>
      <c r="E1318" s="3"/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</row>
    <row r="1319">
      <c r="A1319" s="3"/>
      <c r="B1319" s="3"/>
      <c r="C1319" s="3"/>
      <c r="D1319" s="3"/>
      <c r="E1319" s="3"/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</row>
    <row r="1320">
      <c r="A1320" s="3"/>
      <c r="B1320" s="3"/>
      <c r="C1320" s="3"/>
      <c r="D1320" s="3"/>
      <c r="E1320" s="3"/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</row>
    <row r="1321">
      <c r="A1321" s="3"/>
      <c r="B1321" s="3"/>
      <c r="C1321" s="3"/>
      <c r="D1321" s="3"/>
      <c r="E1321" s="3"/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</row>
    <row r="1322">
      <c r="A1322" s="3"/>
      <c r="B1322" s="3"/>
      <c r="C1322" s="3"/>
      <c r="D1322" s="3"/>
      <c r="E1322" s="3"/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</row>
    <row r="1323">
      <c r="A1323" s="3"/>
      <c r="B1323" s="3"/>
      <c r="C1323" s="3"/>
      <c r="D1323" s="3"/>
      <c r="E1323" s="3"/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</row>
    <row r="1324">
      <c r="A1324" s="3"/>
      <c r="B1324" s="3"/>
      <c r="C1324" s="3"/>
      <c r="D1324" s="3"/>
      <c r="E1324" s="3"/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</row>
    <row r="1325">
      <c r="A1325" s="3"/>
      <c r="B1325" s="3"/>
      <c r="C1325" s="3"/>
      <c r="D1325" s="3"/>
      <c r="E1325" s="3"/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>
      <c r="A1326" s="3"/>
      <c r="B1326" s="3"/>
      <c r="C1326" s="3"/>
      <c r="D1326" s="3"/>
      <c r="E1326" s="3"/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</row>
    <row r="1327">
      <c r="A1327" s="3"/>
      <c r="B1327" s="3"/>
      <c r="C1327" s="3"/>
      <c r="D1327" s="3"/>
      <c r="E1327" s="3"/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</row>
    <row r="1328">
      <c r="A1328" s="3"/>
      <c r="B1328" s="3"/>
      <c r="C1328" s="3"/>
      <c r="D1328" s="3"/>
      <c r="E1328" s="3"/>
      <c r="F1328" s="3"/>
      <c r="G1328" s="3"/>
      <c r="H1328" s="3"/>
      <c r="I1328" s="3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</row>
    <row r="1329">
      <c r="A1329" s="3"/>
      <c r="B1329" s="3"/>
      <c r="C1329" s="3"/>
      <c r="D1329" s="3"/>
      <c r="E1329" s="3"/>
      <c r="F1329" s="3"/>
      <c r="G1329" s="3"/>
      <c r="H1329" s="3"/>
      <c r="I1329" s="3"/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</row>
    <row r="1330">
      <c r="A1330" s="3"/>
      <c r="B1330" s="3"/>
      <c r="C1330" s="3"/>
      <c r="D1330" s="3"/>
      <c r="E1330" s="3"/>
      <c r="F1330" s="3"/>
      <c r="G1330" s="3"/>
      <c r="H1330" s="3"/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</row>
    <row r="1331">
      <c r="A1331" s="3"/>
      <c r="B1331" s="3"/>
      <c r="C1331" s="3"/>
      <c r="D1331" s="3"/>
      <c r="E1331" s="3"/>
      <c r="F1331" s="3"/>
      <c r="G1331" s="3"/>
      <c r="H1331" s="3"/>
      <c r="I1331" s="3"/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</row>
    <row r="1332">
      <c r="A1332" s="3"/>
      <c r="B1332" s="3"/>
      <c r="C1332" s="3"/>
      <c r="D1332" s="3"/>
      <c r="E1332" s="3"/>
      <c r="F1332" s="3"/>
      <c r="G1332" s="3"/>
      <c r="H1332" s="3"/>
      <c r="I1332" s="3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</row>
    <row r="1333">
      <c r="A1333" s="3"/>
      <c r="B1333" s="3"/>
      <c r="C1333" s="3"/>
      <c r="D1333" s="3"/>
      <c r="E1333" s="3"/>
      <c r="F1333" s="3"/>
      <c r="G1333" s="3"/>
      <c r="H1333" s="3"/>
      <c r="I1333" s="3"/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</row>
    <row r="1334">
      <c r="A1334" s="3"/>
      <c r="B1334" s="3"/>
      <c r="C1334" s="3"/>
      <c r="D1334" s="3"/>
      <c r="E1334" s="3"/>
      <c r="F1334" s="3"/>
      <c r="G1334" s="3"/>
      <c r="H1334" s="3"/>
      <c r="I1334" s="3"/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</row>
    <row r="1335">
      <c r="A1335" s="3"/>
      <c r="B1335" s="3"/>
      <c r="C1335" s="3"/>
      <c r="D1335" s="3"/>
      <c r="E1335" s="3"/>
      <c r="F1335" s="3"/>
      <c r="G1335" s="3"/>
      <c r="H1335" s="3"/>
      <c r="I1335" s="3"/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</row>
    <row r="1336">
      <c r="A1336" s="3"/>
      <c r="B1336" s="3"/>
      <c r="C1336" s="3"/>
      <c r="D1336" s="3"/>
      <c r="E1336" s="3"/>
      <c r="F1336" s="3"/>
      <c r="G1336" s="3"/>
      <c r="H1336" s="3"/>
      <c r="I1336" s="3"/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</row>
    <row r="1337">
      <c r="A1337" s="3"/>
      <c r="B1337" s="3"/>
      <c r="C1337" s="3"/>
      <c r="D1337" s="3"/>
      <c r="E1337" s="3"/>
      <c r="F1337" s="3"/>
      <c r="G1337" s="3"/>
      <c r="H1337" s="3"/>
      <c r="I1337" s="3"/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</row>
    <row r="1338">
      <c r="A1338" s="3"/>
      <c r="B1338" s="3"/>
      <c r="C1338" s="3"/>
      <c r="D1338" s="3"/>
      <c r="E1338" s="3"/>
      <c r="F1338" s="3"/>
      <c r="G1338" s="3"/>
      <c r="H1338" s="3"/>
      <c r="I1338" s="3"/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</row>
    <row r="1339">
      <c r="A1339" s="3"/>
      <c r="B1339" s="3"/>
      <c r="C1339" s="3"/>
      <c r="D1339" s="3"/>
      <c r="E1339" s="3"/>
      <c r="F1339" s="3"/>
      <c r="G1339" s="3"/>
      <c r="H1339" s="3"/>
      <c r="I1339" s="3"/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</row>
    <row r="1340">
      <c r="A1340" s="3"/>
      <c r="B1340" s="3"/>
      <c r="C1340" s="3"/>
      <c r="D1340" s="3"/>
      <c r="E1340" s="3"/>
      <c r="F1340" s="3"/>
      <c r="G1340" s="3"/>
      <c r="H1340" s="3"/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</row>
    <row r="1341">
      <c r="A1341" s="3"/>
      <c r="B1341" s="3"/>
      <c r="C1341" s="3"/>
      <c r="D1341" s="3"/>
      <c r="E1341" s="3"/>
      <c r="F1341" s="3"/>
      <c r="G1341" s="3"/>
      <c r="H1341" s="3"/>
      <c r="I1341" s="3"/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</row>
    <row r="1342">
      <c r="A1342" s="3"/>
      <c r="B1342" s="3"/>
      <c r="C1342" s="3"/>
      <c r="D1342" s="3"/>
      <c r="E1342" s="3"/>
      <c r="F1342" s="3"/>
      <c r="G1342" s="3"/>
      <c r="H1342" s="3"/>
      <c r="I1342" s="3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</row>
    <row r="1343">
      <c r="A1343" s="3"/>
      <c r="B1343" s="3"/>
      <c r="C1343" s="3"/>
      <c r="D1343" s="3"/>
      <c r="E1343" s="3"/>
      <c r="F1343" s="3"/>
      <c r="G1343" s="3"/>
      <c r="H1343" s="3"/>
      <c r="I1343" s="3"/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</row>
    <row r="1344">
      <c r="A1344" s="3"/>
      <c r="B1344" s="3"/>
      <c r="C1344" s="3"/>
      <c r="D1344" s="3"/>
      <c r="E1344" s="3"/>
      <c r="F1344" s="3"/>
      <c r="G1344" s="3"/>
      <c r="H1344" s="3"/>
      <c r="I1344" s="3"/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</row>
    <row r="1345">
      <c r="A1345" s="3"/>
      <c r="B1345" s="3"/>
      <c r="C1345" s="3"/>
      <c r="D1345" s="3"/>
      <c r="E1345" s="3"/>
      <c r="F1345" s="3"/>
      <c r="G1345" s="3"/>
      <c r="H1345" s="3"/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</row>
    <row r="1346">
      <c r="A1346" s="3"/>
      <c r="B1346" s="3"/>
      <c r="C1346" s="3"/>
      <c r="D1346" s="3"/>
      <c r="E1346" s="3"/>
      <c r="F1346" s="3"/>
      <c r="G1346" s="3"/>
      <c r="H1346" s="3"/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</row>
    <row r="1347">
      <c r="A1347" s="3"/>
      <c r="B1347" s="3"/>
      <c r="C1347" s="3"/>
      <c r="D1347" s="3"/>
      <c r="E1347" s="3"/>
      <c r="F1347" s="3"/>
      <c r="G1347" s="3"/>
      <c r="H1347" s="3"/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</row>
    <row r="1348">
      <c r="A1348" s="3"/>
      <c r="B1348" s="3"/>
      <c r="C1348" s="3"/>
      <c r="D1348" s="3"/>
      <c r="E1348" s="3"/>
      <c r="F1348" s="3"/>
      <c r="G1348" s="3"/>
      <c r="H1348" s="3"/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</row>
    <row r="1349">
      <c r="A1349" s="3"/>
      <c r="B1349" s="3"/>
      <c r="C1349" s="3"/>
      <c r="D1349" s="3"/>
      <c r="E1349" s="3"/>
      <c r="F1349" s="3"/>
      <c r="G1349" s="3"/>
      <c r="H1349" s="3"/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</row>
    <row r="1350">
      <c r="A1350" s="3"/>
      <c r="B1350" s="3"/>
      <c r="C1350" s="3"/>
      <c r="D1350" s="3"/>
      <c r="E1350" s="3"/>
      <c r="F1350" s="3"/>
      <c r="G1350" s="3"/>
      <c r="H1350" s="3"/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</row>
    <row r="1351">
      <c r="A1351" s="3"/>
      <c r="B1351" s="3"/>
      <c r="C1351" s="3"/>
      <c r="D1351" s="3"/>
      <c r="E1351" s="3"/>
      <c r="F1351" s="3"/>
      <c r="G1351" s="3"/>
      <c r="H1351" s="3"/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</row>
    <row r="1352">
      <c r="A1352" s="3"/>
      <c r="B1352" s="3"/>
      <c r="C1352" s="3"/>
      <c r="D1352" s="3"/>
      <c r="E1352" s="3"/>
      <c r="F1352" s="3"/>
      <c r="G1352" s="3"/>
      <c r="H1352" s="3"/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</row>
    <row r="1353">
      <c r="A1353" s="3"/>
      <c r="B1353" s="3"/>
      <c r="C1353" s="3"/>
      <c r="D1353" s="3"/>
      <c r="E1353" s="3"/>
      <c r="F1353" s="3"/>
      <c r="G1353" s="3"/>
      <c r="H1353" s="3"/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</row>
    <row r="1354">
      <c r="A1354" s="3"/>
      <c r="B1354" s="3"/>
      <c r="C1354" s="3"/>
      <c r="D1354" s="3"/>
      <c r="E1354" s="3"/>
      <c r="F1354" s="3"/>
      <c r="G1354" s="3"/>
      <c r="H1354" s="3"/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</row>
    <row r="1355">
      <c r="A1355" s="3"/>
      <c r="B1355" s="3"/>
      <c r="C1355" s="3"/>
      <c r="D1355" s="3"/>
      <c r="E1355" s="3"/>
      <c r="F1355" s="3"/>
      <c r="G1355" s="3"/>
      <c r="H1355" s="3"/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</row>
    <row r="1356">
      <c r="A1356" s="3"/>
      <c r="B1356" s="3"/>
      <c r="C1356" s="3"/>
      <c r="D1356" s="3"/>
      <c r="E1356" s="3"/>
      <c r="F1356" s="3"/>
      <c r="G1356" s="3"/>
      <c r="H1356" s="3"/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</row>
    <row r="1357">
      <c r="A1357" s="3"/>
      <c r="B1357" s="3"/>
      <c r="C1357" s="3"/>
      <c r="D1357" s="3"/>
      <c r="E1357" s="3"/>
      <c r="F1357" s="3"/>
      <c r="G1357" s="3"/>
      <c r="H1357" s="3"/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</row>
    <row r="1358">
      <c r="A1358" s="3"/>
      <c r="B1358" s="3"/>
      <c r="C1358" s="3"/>
      <c r="D1358" s="3"/>
      <c r="E1358" s="3"/>
      <c r="F1358" s="3"/>
      <c r="G1358" s="3"/>
      <c r="H1358" s="3"/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</row>
    <row r="1359">
      <c r="A1359" s="3"/>
      <c r="B1359" s="3"/>
      <c r="C1359" s="3"/>
      <c r="D1359" s="3"/>
      <c r="E1359" s="3"/>
      <c r="F1359" s="3"/>
      <c r="G1359" s="3"/>
      <c r="H1359" s="3"/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</row>
    <row r="1360">
      <c r="A1360" s="3"/>
      <c r="B1360" s="3"/>
      <c r="C1360" s="3"/>
      <c r="D1360" s="3"/>
      <c r="E1360" s="3"/>
      <c r="F1360" s="3"/>
      <c r="G1360" s="3"/>
      <c r="H1360" s="3"/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</row>
    <row r="1361">
      <c r="A1361" s="3"/>
      <c r="B1361" s="3"/>
      <c r="C1361" s="3"/>
      <c r="D1361" s="3"/>
      <c r="E1361" s="3"/>
      <c r="F1361" s="3"/>
      <c r="G1361" s="3"/>
      <c r="H1361" s="3"/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</row>
    <row r="1362">
      <c r="A1362" s="3"/>
      <c r="B1362" s="3"/>
      <c r="C1362" s="3"/>
      <c r="D1362" s="3"/>
      <c r="E1362" s="3"/>
      <c r="F1362" s="3"/>
      <c r="G1362" s="3"/>
      <c r="H1362" s="3"/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</row>
    <row r="1363">
      <c r="A1363" s="3"/>
      <c r="B1363" s="3"/>
      <c r="C1363" s="3"/>
      <c r="D1363" s="3"/>
      <c r="E1363" s="3"/>
      <c r="F1363" s="3"/>
      <c r="G1363" s="3"/>
      <c r="H1363" s="3"/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</row>
    <row r="1364">
      <c r="A1364" s="3"/>
      <c r="B1364" s="3"/>
      <c r="C1364" s="3"/>
      <c r="D1364" s="3"/>
      <c r="E1364" s="3"/>
      <c r="F1364" s="3"/>
      <c r="G1364" s="3"/>
      <c r="H1364" s="3"/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</row>
    <row r="1365">
      <c r="A1365" s="3"/>
      <c r="B1365" s="3"/>
      <c r="C1365" s="3"/>
      <c r="D1365" s="3"/>
      <c r="E1365" s="3"/>
      <c r="F1365" s="3"/>
      <c r="G1365" s="3"/>
      <c r="H1365" s="3"/>
      <c r="I1365" s="3"/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</row>
    <row r="1366">
      <c r="A1366" s="3"/>
      <c r="B1366" s="3"/>
      <c r="C1366" s="3"/>
      <c r="D1366" s="3"/>
      <c r="E1366" s="3"/>
      <c r="F1366" s="3"/>
      <c r="G1366" s="3"/>
      <c r="H1366" s="3"/>
      <c r="I1366" s="3"/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</row>
    <row r="1367">
      <c r="A1367" s="3"/>
      <c r="B1367" s="3"/>
      <c r="C1367" s="3"/>
      <c r="D1367" s="3"/>
      <c r="E1367" s="3"/>
      <c r="F1367" s="3"/>
      <c r="G1367" s="3"/>
      <c r="H1367" s="3"/>
      <c r="I1367" s="3"/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</row>
    <row r="1368">
      <c r="A1368" s="3"/>
      <c r="B1368" s="3"/>
      <c r="C1368" s="3"/>
      <c r="D1368" s="3"/>
      <c r="E1368" s="3"/>
      <c r="F1368" s="3"/>
      <c r="G1368" s="3"/>
      <c r="H1368" s="3"/>
      <c r="I1368" s="3"/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</row>
    <row r="1369">
      <c r="A1369" s="3"/>
      <c r="B1369" s="3"/>
      <c r="C1369" s="3"/>
      <c r="D1369" s="3"/>
      <c r="E1369" s="3"/>
      <c r="F1369" s="3"/>
      <c r="G1369" s="3"/>
      <c r="H1369" s="3"/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</row>
    <row r="1370">
      <c r="A1370" s="3"/>
      <c r="B1370" s="3"/>
      <c r="C1370" s="3"/>
      <c r="D1370" s="3"/>
      <c r="E1370" s="3"/>
      <c r="F1370" s="3"/>
      <c r="G1370" s="3"/>
      <c r="H1370" s="3"/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</row>
    <row r="1371">
      <c r="A1371" s="3"/>
      <c r="B1371" s="3"/>
      <c r="C1371" s="3"/>
      <c r="D1371" s="3"/>
      <c r="E1371" s="3"/>
      <c r="F1371" s="3"/>
      <c r="G1371" s="3"/>
      <c r="H1371" s="3"/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</row>
    <row r="1372">
      <c r="A1372" s="3"/>
      <c r="B1372" s="3"/>
      <c r="C1372" s="3"/>
      <c r="D1372" s="3"/>
      <c r="E1372" s="3"/>
      <c r="F1372" s="3"/>
      <c r="G1372" s="3"/>
      <c r="H1372" s="3"/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</row>
    <row r="1373">
      <c r="A1373" s="3"/>
      <c r="B1373" s="3"/>
      <c r="C1373" s="3"/>
      <c r="D1373" s="3"/>
      <c r="E1373" s="3"/>
      <c r="F1373" s="3"/>
      <c r="G1373" s="3"/>
      <c r="H1373" s="3"/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</row>
    <row r="1374">
      <c r="A1374" s="3"/>
      <c r="B1374" s="3"/>
      <c r="C1374" s="3"/>
      <c r="D1374" s="3"/>
      <c r="E1374" s="3"/>
      <c r="F1374" s="3"/>
      <c r="G1374" s="3"/>
      <c r="H1374" s="3"/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</row>
    <row r="1375">
      <c r="A1375" s="3"/>
      <c r="B1375" s="3"/>
      <c r="C1375" s="3"/>
      <c r="D1375" s="3"/>
      <c r="E1375" s="3"/>
      <c r="F1375" s="3"/>
      <c r="G1375" s="3"/>
      <c r="H1375" s="3"/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</row>
    <row r="1376">
      <c r="A1376" s="3"/>
      <c r="B1376" s="3"/>
      <c r="C1376" s="3"/>
      <c r="D1376" s="3"/>
      <c r="E1376" s="3"/>
      <c r="F1376" s="3"/>
      <c r="G1376" s="3"/>
      <c r="H1376" s="3"/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</row>
    <row r="1377">
      <c r="A1377" s="3"/>
      <c r="B1377" s="3"/>
      <c r="C1377" s="3"/>
      <c r="D1377" s="3"/>
      <c r="E1377" s="3"/>
      <c r="F1377" s="3"/>
      <c r="G1377" s="3"/>
      <c r="H1377" s="3"/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</row>
    <row r="1378">
      <c r="A1378" s="3"/>
      <c r="B1378" s="3"/>
      <c r="C1378" s="3"/>
      <c r="D1378" s="3"/>
      <c r="E1378" s="3"/>
      <c r="F1378" s="3"/>
      <c r="G1378" s="3"/>
      <c r="H1378" s="3"/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</row>
    <row r="1379">
      <c r="A1379" s="3"/>
      <c r="B1379" s="3"/>
      <c r="C1379" s="3"/>
      <c r="D1379" s="3"/>
      <c r="E1379" s="3"/>
      <c r="F1379" s="3"/>
      <c r="G1379" s="3"/>
      <c r="H1379" s="3"/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</row>
    <row r="1380">
      <c r="A1380" s="3"/>
      <c r="B1380" s="3"/>
      <c r="C1380" s="3"/>
      <c r="D1380" s="3"/>
      <c r="E1380" s="3"/>
      <c r="F1380" s="3"/>
      <c r="G1380" s="3"/>
      <c r="H1380" s="3"/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</row>
    <row r="1381">
      <c r="A1381" s="3"/>
      <c r="B1381" s="3"/>
      <c r="C1381" s="3"/>
      <c r="D1381" s="3"/>
      <c r="E1381" s="3"/>
      <c r="F1381" s="3"/>
      <c r="G1381" s="3"/>
      <c r="H1381" s="3"/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</row>
    <row r="1382">
      <c r="A1382" s="3"/>
      <c r="B1382" s="3"/>
      <c r="C1382" s="3"/>
      <c r="D1382" s="3"/>
      <c r="E1382" s="3"/>
      <c r="F1382" s="3"/>
      <c r="G1382" s="3"/>
      <c r="H1382" s="3"/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</row>
    <row r="1383">
      <c r="A1383" s="3"/>
      <c r="B1383" s="3"/>
      <c r="C1383" s="3"/>
      <c r="D1383" s="3"/>
      <c r="E1383" s="3"/>
      <c r="F1383" s="3"/>
      <c r="G1383" s="3"/>
      <c r="H1383" s="3"/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</row>
    <row r="1384">
      <c r="A1384" s="3"/>
      <c r="B1384" s="3"/>
      <c r="C1384" s="3"/>
      <c r="D1384" s="3"/>
      <c r="E1384" s="3"/>
      <c r="F1384" s="3"/>
      <c r="G1384" s="3"/>
      <c r="H1384" s="3"/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</row>
    <row r="1385">
      <c r="A1385" s="3"/>
      <c r="B1385" s="3"/>
      <c r="C1385" s="3"/>
      <c r="D1385" s="3"/>
      <c r="E1385" s="3"/>
      <c r="F1385" s="3"/>
      <c r="G1385" s="3"/>
      <c r="H1385" s="3"/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</row>
    <row r="1386">
      <c r="A1386" s="3"/>
      <c r="B1386" s="3"/>
      <c r="C1386" s="3"/>
      <c r="D1386" s="3"/>
      <c r="E1386" s="3"/>
      <c r="F1386" s="3"/>
      <c r="G1386" s="3"/>
      <c r="H1386" s="3"/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</row>
    <row r="1387">
      <c r="A1387" s="3"/>
      <c r="B1387" s="3"/>
      <c r="C1387" s="3"/>
      <c r="D1387" s="3"/>
      <c r="E1387" s="3"/>
      <c r="F1387" s="3"/>
      <c r="G1387" s="3"/>
      <c r="H1387" s="3"/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</row>
    <row r="1388">
      <c r="A1388" s="3"/>
      <c r="B1388" s="3"/>
      <c r="C1388" s="3"/>
      <c r="D1388" s="3"/>
      <c r="E1388" s="3"/>
      <c r="F1388" s="3"/>
      <c r="G1388" s="3"/>
      <c r="H1388" s="3"/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</row>
    <row r="1389">
      <c r="A1389" s="3"/>
      <c r="B1389" s="3"/>
      <c r="C1389" s="3"/>
      <c r="D1389" s="3"/>
      <c r="E1389" s="3"/>
      <c r="F1389" s="3"/>
      <c r="G1389" s="3"/>
      <c r="H1389" s="3"/>
      <c r="I1389" s="3"/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</row>
    <row r="1390">
      <c r="A1390" s="3"/>
      <c r="B1390" s="3"/>
      <c r="C1390" s="3"/>
      <c r="D1390" s="3"/>
      <c r="E1390" s="3"/>
      <c r="F1390" s="3"/>
      <c r="G1390" s="3"/>
      <c r="H1390" s="3"/>
      <c r="I1390" s="3"/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</row>
    <row r="1391">
      <c r="A1391" s="3"/>
      <c r="B1391" s="3"/>
      <c r="C1391" s="3"/>
      <c r="D1391" s="3"/>
      <c r="E1391" s="3"/>
      <c r="F1391" s="3"/>
      <c r="G1391" s="3"/>
      <c r="H1391" s="3"/>
      <c r="I1391" s="3"/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</row>
    <row r="1392">
      <c r="A1392" s="3"/>
      <c r="B1392" s="3"/>
      <c r="C1392" s="3"/>
      <c r="D1392" s="3"/>
      <c r="E1392" s="3"/>
      <c r="F1392" s="3"/>
      <c r="G1392" s="3"/>
      <c r="H1392" s="3"/>
      <c r="I1392" s="3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</row>
    <row r="1393">
      <c r="A1393" s="3"/>
      <c r="B1393" s="3"/>
      <c r="C1393" s="3"/>
      <c r="D1393" s="3"/>
      <c r="E1393" s="3"/>
      <c r="F1393" s="3"/>
      <c r="G1393" s="3"/>
      <c r="H1393" s="3"/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</row>
    <row r="1394">
      <c r="A1394" s="3"/>
      <c r="B1394" s="3"/>
      <c r="C1394" s="3"/>
      <c r="D1394" s="3"/>
      <c r="E1394" s="3"/>
      <c r="F1394" s="3"/>
      <c r="G1394" s="3"/>
      <c r="H1394" s="3"/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</row>
    <row r="1395">
      <c r="A1395" s="3"/>
      <c r="B1395" s="3"/>
      <c r="C1395" s="3"/>
      <c r="D1395" s="3"/>
      <c r="E1395" s="3"/>
      <c r="F1395" s="3"/>
      <c r="G1395" s="3"/>
      <c r="H1395" s="3"/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</row>
    <row r="1396">
      <c r="A1396" s="3"/>
      <c r="B1396" s="3"/>
      <c r="C1396" s="3"/>
      <c r="D1396" s="3"/>
      <c r="E1396" s="3"/>
      <c r="F1396" s="3"/>
      <c r="G1396" s="3"/>
      <c r="H1396" s="3"/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</row>
    <row r="1397">
      <c r="A1397" s="3"/>
      <c r="B1397" s="3"/>
      <c r="C1397" s="3"/>
      <c r="D1397" s="3"/>
      <c r="E1397" s="3"/>
      <c r="F1397" s="3"/>
      <c r="G1397" s="3"/>
      <c r="H1397" s="3"/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</row>
    <row r="1398">
      <c r="A1398" s="3"/>
      <c r="B1398" s="3"/>
      <c r="C1398" s="3"/>
      <c r="D1398" s="3"/>
      <c r="E1398" s="3"/>
      <c r="F1398" s="3"/>
      <c r="G1398" s="3"/>
      <c r="H1398" s="3"/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</row>
    <row r="1399">
      <c r="A1399" s="3"/>
      <c r="B1399" s="3"/>
      <c r="C1399" s="3"/>
      <c r="D1399" s="3"/>
      <c r="E1399" s="3"/>
      <c r="F1399" s="3"/>
      <c r="G1399" s="3"/>
      <c r="H1399" s="3"/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</row>
    <row r="1400">
      <c r="A1400" s="3"/>
      <c r="B1400" s="3"/>
      <c r="C1400" s="3"/>
      <c r="D1400" s="3"/>
      <c r="E1400" s="3"/>
      <c r="F1400" s="3"/>
      <c r="G1400" s="3"/>
      <c r="H1400" s="3"/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</row>
    <row r="1401">
      <c r="A1401" s="3"/>
      <c r="B1401" s="3"/>
      <c r="C1401" s="3"/>
      <c r="D1401" s="3"/>
      <c r="E1401" s="3"/>
      <c r="F1401" s="3"/>
      <c r="G1401" s="3"/>
      <c r="H1401" s="3"/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</row>
    <row r="1402">
      <c r="A1402" s="3"/>
      <c r="B1402" s="3"/>
      <c r="C1402" s="3"/>
      <c r="D1402" s="3"/>
      <c r="E1402" s="3"/>
      <c r="F1402" s="3"/>
      <c r="G1402" s="3"/>
      <c r="H1402" s="3"/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</row>
    <row r="1403">
      <c r="A1403" s="3"/>
      <c r="B1403" s="3"/>
      <c r="C1403" s="3"/>
      <c r="D1403" s="3"/>
      <c r="E1403" s="3"/>
      <c r="F1403" s="3"/>
      <c r="G1403" s="3"/>
      <c r="H1403" s="3"/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</row>
    <row r="1404">
      <c r="A1404" s="3"/>
      <c r="B1404" s="3"/>
      <c r="C1404" s="3"/>
      <c r="D1404" s="3"/>
      <c r="E1404" s="3"/>
      <c r="F1404" s="3"/>
      <c r="G1404" s="3"/>
      <c r="H1404" s="3"/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</row>
    <row r="1405">
      <c r="A1405" s="3"/>
      <c r="B1405" s="3"/>
      <c r="C1405" s="3"/>
      <c r="D1405" s="3"/>
      <c r="E1405" s="3"/>
      <c r="F1405" s="3"/>
      <c r="G1405" s="3"/>
      <c r="H1405" s="3"/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</row>
    <row r="1406">
      <c r="A1406" s="3"/>
      <c r="B1406" s="3"/>
      <c r="C1406" s="3"/>
      <c r="D1406" s="3"/>
      <c r="E1406" s="3"/>
      <c r="F1406" s="3"/>
      <c r="G1406" s="3"/>
      <c r="H1406" s="3"/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</row>
    <row r="1407">
      <c r="A1407" s="3"/>
      <c r="B1407" s="3"/>
      <c r="C1407" s="3"/>
      <c r="D1407" s="3"/>
      <c r="E1407" s="3"/>
      <c r="F1407" s="3"/>
      <c r="G1407" s="3"/>
      <c r="H1407" s="3"/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</row>
    <row r="1408">
      <c r="A1408" s="3"/>
      <c r="B1408" s="3"/>
      <c r="C1408" s="3"/>
      <c r="D1408" s="3"/>
      <c r="E1408" s="3"/>
      <c r="F1408" s="3"/>
      <c r="G1408" s="3"/>
      <c r="H1408" s="3"/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</row>
    <row r="1409">
      <c r="A1409" s="3"/>
      <c r="B1409" s="3"/>
      <c r="C1409" s="3"/>
      <c r="D1409" s="3"/>
      <c r="E1409" s="3"/>
      <c r="F1409" s="3"/>
      <c r="G1409" s="3"/>
      <c r="H1409" s="3"/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</row>
    <row r="1410">
      <c r="A1410" s="3"/>
      <c r="B1410" s="3"/>
      <c r="C1410" s="3"/>
      <c r="D1410" s="3"/>
      <c r="E1410" s="3"/>
      <c r="F1410" s="3"/>
      <c r="G1410" s="3"/>
      <c r="H1410" s="3"/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</row>
    <row r="1411">
      <c r="A1411" s="3"/>
      <c r="B1411" s="3"/>
      <c r="C1411" s="3"/>
      <c r="D1411" s="3"/>
      <c r="E1411" s="3"/>
      <c r="F1411" s="3"/>
      <c r="G1411" s="3"/>
      <c r="H1411" s="3"/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</row>
    <row r="1412">
      <c r="A1412" s="3"/>
      <c r="B1412" s="3"/>
      <c r="C1412" s="3"/>
      <c r="D1412" s="3"/>
      <c r="E1412" s="3"/>
      <c r="F1412" s="3"/>
      <c r="G1412" s="3"/>
      <c r="H1412" s="3"/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</row>
    <row r="1413">
      <c r="A1413" s="3"/>
      <c r="B1413" s="3"/>
      <c r="C1413" s="3"/>
      <c r="D1413" s="3"/>
      <c r="E1413" s="3"/>
      <c r="F1413" s="3"/>
      <c r="G1413" s="3"/>
      <c r="H1413" s="3"/>
      <c r="I1413" s="3"/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</row>
    <row r="1414">
      <c r="A1414" s="3"/>
      <c r="B1414" s="3"/>
      <c r="C1414" s="3"/>
      <c r="D1414" s="3"/>
      <c r="E1414" s="3"/>
      <c r="F1414" s="3"/>
      <c r="G1414" s="3"/>
      <c r="H1414" s="3"/>
      <c r="I1414" s="3"/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</row>
    <row r="1415">
      <c r="A1415" s="3"/>
      <c r="B1415" s="3"/>
      <c r="C1415" s="3"/>
      <c r="D1415" s="3"/>
      <c r="E1415" s="3"/>
      <c r="F1415" s="3"/>
      <c r="G1415" s="3"/>
      <c r="H1415" s="3"/>
      <c r="I1415" s="3"/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</row>
    <row r="1416">
      <c r="A1416" s="3"/>
      <c r="B1416" s="3"/>
      <c r="C1416" s="3"/>
      <c r="D1416" s="3"/>
      <c r="E1416" s="3"/>
      <c r="F1416" s="3"/>
      <c r="G1416" s="3"/>
      <c r="H1416" s="3"/>
      <c r="I1416" s="3"/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</row>
    <row r="1417">
      <c r="A1417" s="3"/>
      <c r="B1417" s="3"/>
      <c r="C1417" s="3"/>
      <c r="D1417" s="3"/>
      <c r="E1417" s="3"/>
      <c r="F1417" s="3"/>
      <c r="G1417" s="3"/>
      <c r="H1417" s="3"/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</row>
    <row r="1418">
      <c r="A1418" s="3"/>
      <c r="B1418" s="3"/>
      <c r="C1418" s="3"/>
      <c r="D1418" s="3"/>
      <c r="E1418" s="3"/>
      <c r="F1418" s="3"/>
      <c r="G1418" s="3"/>
      <c r="H1418" s="3"/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</row>
    <row r="1419">
      <c r="A1419" s="3"/>
      <c r="B1419" s="3"/>
      <c r="C1419" s="3"/>
      <c r="D1419" s="3"/>
      <c r="E1419" s="3"/>
      <c r="F1419" s="3"/>
      <c r="G1419" s="3"/>
      <c r="H1419" s="3"/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</row>
    <row r="1420">
      <c r="A1420" s="3"/>
      <c r="B1420" s="3"/>
      <c r="C1420" s="3"/>
      <c r="D1420" s="3"/>
      <c r="E1420" s="3"/>
      <c r="F1420" s="3"/>
      <c r="G1420" s="3"/>
      <c r="H1420" s="3"/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</row>
    <row r="1421">
      <c r="A1421" s="3"/>
      <c r="B1421" s="3"/>
      <c r="C1421" s="3"/>
      <c r="D1421" s="3"/>
      <c r="E1421" s="3"/>
      <c r="F1421" s="3"/>
      <c r="G1421" s="3"/>
      <c r="H1421" s="3"/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</row>
    <row r="1422">
      <c r="A1422" s="3"/>
      <c r="B1422" s="3"/>
      <c r="C1422" s="3"/>
      <c r="D1422" s="3"/>
      <c r="E1422" s="3"/>
      <c r="F1422" s="3"/>
      <c r="G1422" s="3"/>
      <c r="H1422" s="3"/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</row>
    <row r="1423">
      <c r="A1423" s="3"/>
      <c r="B1423" s="3"/>
      <c r="C1423" s="3"/>
      <c r="D1423" s="3"/>
      <c r="E1423" s="3"/>
      <c r="F1423" s="3"/>
      <c r="G1423" s="3"/>
      <c r="H1423" s="3"/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</row>
    <row r="1424">
      <c r="A1424" s="3"/>
      <c r="B1424" s="3"/>
      <c r="C1424" s="3"/>
      <c r="D1424" s="3"/>
      <c r="E1424" s="3"/>
      <c r="F1424" s="3"/>
      <c r="G1424" s="3"/>
      <c r="H1424" s="3"/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</row>
    <row r="1425">
      <c r="A1425" s="3"/>
      <c r="B1425" s="3"/>
      <c r="C1425" s="3"/>
      <c r="D1425" s="3"/>
      <c r="E1425" s="3"/>
      <c r="F1425" s="3"/>
      <c r="G1425" s="3"/>
      <c r="H1425" s="3"/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</row>
    <row r="1426">
      <c r="A1426" s="3"/>
      <c r="B1426" s="3"/>
      <c r="C1426" s="3"/>
      <c r="D1426" s="3"/>
      <c r="E1426" s="3"/>
      <c r="F1426" s="3"/>
      <c r="G1426" s="3"/>
      <c r="H1426" s="3"/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</row>
    <row r="1427">
      <c r="A1427" s="3"/>
      <c r="B1427" s="3"/>
      <c r="C1427" s="3"/>
      <c r="D1427" s="3"/>
      <c r="E1427" s="3"/>
      <c r="F1427" s="3"/>
      <c r="G1427" s="3"/>
      <c r="H1427" s="3"/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</row>
    <row r="1428">
      <c r="A1428" s="3"/>
      <c r="B1428" s="3"/>
      <c r="C1428" s="3"/>
      <c r="D1428" s="3"/>
      <c r="E1428" s="3"/>
      <c r="F1428" s="3"/>
      <c r="G1428" s="3"/>
      <c r="H1428" s="3"/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</row>
    <row r="1429">
      <c r="A1429" s="3"/>
      <c r="B1429" s="3"/>
      <c r="C1429" s="3"/>
      <c r="D1429" s="3"/>
      <c r="E1429" s="3"/>
      <c r="F1429" s="3"/>
      <c r="G1429" s="3"/>
      <c r="H1429" s="3"/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</row>
    <row r="1430">
      <c r="A1430" s="3"/>
      <c r="B1430" s="3"/>
      <c r="C1430" s="3"/>
      <c r="D1430" s="3"/>
      <c r="E1430" s="3"/>
      <c r="F1430" s="3"/>
      <c r="G1430" s="3"/>
      <c r="H1430" s="3"/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</row>
    <row r="1431">
      <c r="A1431" s="3"/>
      <c r="B1431" s="3"/>
      <c r="C1431" s="3"/>
      <c r="D1431" s="3"/>
      <c r="E1431" s="3"/>
      <c r="F1431" s="3"/>
      <c r="G1431" s="3"/>
      <c r="H1431" s="3"/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</row>
    <row r="1432">
      <c r="A1432" s="3"/>
      <c r="B1432" s="3"/>
      <c r="C1432" s="3"/>
      <c r="D1432" s="3"/>
      <c r="E1432" s="3"/>
      <c r="F1432" s="3"/>
      <c r="G1432" s="3"/>
      <c r="H1432" s="3"/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</row>
    <row r="1433">
      <c r="A1433" s="3"/>
      <c r="B1433" s="3"/>
      <c r="C1433" s="3"/>
      <c r="D1433" s="3"/>
      <c r="E1433" s="3"/>
      <c r="F1433" s="3"/>
      <c r="G1433" s="3"/>
      <c r="H1433" s="3"/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</row>
    <row r="1434">
      <c r="A1434" s="3"/>
      <c r="B1434" s="3"/>
      <c r="C1434" s="3"/>
      <c r="D1434" s="3"/>
      <c r="E1434" s="3"/>
      <c r="F1434" s="3"/>
      <c r="G1434" s="3"/>
      <c r="H1434" s="3"/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</row>
    <row r="1435">
      <c r="A1435" s="3"/>
      <c r="B1435" s="3"/>
      <c r="C1435" s="3"/>
      <c r="D1435" s="3"/>
      <c r="E1435" s="3"/>
      <c r="F1435" s="3"/>
      <c r="G1435" s="3"/>
      <c r="H1435" s="3"/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</row>
    <row r="1436">
      <c r="A1436" s="3"/>
      <c r="B1436" s="3"/>
      <c r="C1436" s="3"/>
      <c r="D1436" s="3"/>
      <c r="E1436" s="3"/>
      <c r="F1436" s="3"/>
      <c r="G1436" s="3"/>
      <c r="H1436" s="3"/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</row>
    <row r="1437">
      <c r="A1437" s="3"/>
      <c r="B1437" s="3"/>
      <c r="C1437" s="3"/>
      <c r="D1437" s="3"/>
      <c r="E1437" s="3"/>
      <c r="F1437" s="3"/>
      <c r="G1437" s="3"/>
      <c r="H1437" s="3"/>
      <c r="I1437" s="3"/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</row>
    <row r="1438">
      <c r="A1438" s="3"/>
      <c r="B1438" s="3"/>
      <c r="C1438" s="3"/>
      <c r="D1438" s="3"/>
      <c r="E1438" s="3"/>
      <c r="F1438" s="3"/>
      <c r="G1438" s="3"/>
      <c r="H1438" s="3"/>
      <c r="I1438" s="3"/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</row>
    <row r="1439">
      <c r="A1439" s="3"/>
      <c r="B1439" s="3"/>
      <c r="C1439" s="3"/>
      <c r="D1439" s="3"/>
      <c r="E1439" s="3"/>
      <c r="F1439" s="3"/>
      <c r="G1439" s="3"/>
      <c r="H1439" s="3"/>
      <c r="I1439" s="3"/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</row>
    <row r="1440">
      <c r="A1440" s="3"/>
      <c r="B1440" s="3"/>
      <c r="C1440" s="3"/>
      <c r="D1440" s="3"/>
      <c r="E1440" s="3"/>
      <c r="F1440" s="3"/>
      <c r="G1440" s="3"/>
      <c r="H1440" s="3"/>
      <c r="I1440" s="3"/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</row>
    <row r="1441">
      <c r="A1441" s="3"/>
      <c r="B1441" s="3"/>
      <c r="C1441" s="3"/>
      <c r="D1441" s="3"/>
      <c r="E1441" s="3"/>
      <c r="F1441" s="3"/>
      <c r="G1441" s="3"/>
      <c r="H1441" s="3"/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</row>
    <row r="1442">
      <c r="A1442" s="3"/>
      <c r="B1442" s="3"/>
      <c r="C1442" s="3"/>
      <c r="D1442" s="3"/>
      <c r="E1442" s="3"/>
      <c r="F1442" s="3"/>
      <c r="G1442" s="3"/>
      <c r="H1442" s="3"/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</row>
    <row r="1443">
      <c r="A1443" s="3"/>
      <c r="B1443" s="3"/>
      <c r="C1443" s="3"/>
      <c r="D1443" s="3"/>
      <c r="E1443" s="3"/>
      <c r="F1443" s="3"/>
      <c r="G1443" s="3"/>
      <c r="H1443" s="3"/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</row>
    <row r="1444">
      <c r="A1444" s="3"/>
      <c r="B1444" s="3"/>
      <c r="C1444" s="3"/>
      <c r="D1444" s="3"/>
      <c r="E1444" s="3"/>
      <c r="F1444" s="3"/>
      <c r="G1444" s="3"/>
      <c r="H1444" s="3"/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</row>
    <row r="1445">
      <c r="A1445" s="3"/>
      <c r="B1445" s="3"/>
      <c r="C1445" s="3"/>
      <c r="D1445" s="3"/>
      <c r="E1445" s="3"/>
      <c r="F1445" s="3"/>
      <c r="G1445" s="3"/>
      <c r="H1445" s="3"/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</row>
    <row r="1446">
      <c r="A1446" s="3"/>
      <c r="B1446" s="3"/>
      <c r="C1446" s="3"/>
      <c r="D1446" s="3"/>
      <c r="E1446" s="3"/>
      <c r="F1446" s="3"/>
      <c r="G1446" s="3"/>
      <c r="H1446" s="3"/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</row>
    <row r="1447">
      <c r="A1447" s="3"/>
      <c r="B1447" s="3"/>
      <c r="C1447" s="3"/>
      <c r="D1447" s="3"/>
      <c r="E1447" s="3"/>
      <c r="F1447" s="3"/>
      <c r="G1447" s="3"/>
      <c r="H1447" s="3"/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</row>
    <row r="1448">
      <c r="A1448" s="3"/>
      <c r="B1448" s="3"/>
      <c r="C1448" s="3"/>
      <c r="D1448" s="3"/>
      <c r="E1448" s="3"/>
      <c r="F1448" s="3"/>
      <c r="G1448" s="3"/>
      <c r="H1448" s="3"/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</row>
    <row r="1449">
      <c r="A1449" s="3"/>
      <c r="B1449" s="3"/>
      <c r="C1449" s="3"/>
      <c r="D1449" s="3"/>
      <c r="E1449" s="3"/>
      <c r="F1449" s="3"/>
      <c r="G1449" s="3"/>
      <c r="H1449" s="3"/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</row>
    <row r="1450">
      <c r="A1450" s="3"/>
      <c r="B1450" s="3"/>
      <c r="C1450" s="3"/>
      <c r="D1450" s="3"/>
      <c r="E1450" s="3"/>
      <c r="F1450" s="3"/>
      <c r="G1450" s="3"/>
      <c r="H1450" s="3"/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</row>
    <row r="1451">
      <c r="A1451" s="3"/>
      <c r="B1451" s="3"/>
      <c r="C1451" s="3"/>
      <c r="D1451" s="3"/>
      <c r="E1451" s="3"/>
      <c r="F1451" s="3"/>
      <c r="G1451" s="3"/>
      <c r="H1451" s="3"/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</row>
    <row r="1452">
      <c r="A1452" s="3"/>
      <c r="B1452" s="3"/>
      <c r="C1452" s="3"/>
      <c r="D1452" s="3"/>
      <c r="E1452" s="3"/>
      <c r="F1452" s="3"/>
      <c r="G1452" s="3"/>
      <c r="H1452" s="3"/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</row>
    <row r="1453">
      <c r="A1453" s="3"/>
      <c r="B1453" s="3"/>
      <c r="C1453" s="3"/>
      <c r="D1453" s="3"/>
      <c r="E1453" s="3"/>
      <c r="F1453" s="3"/>
      <c r="G1453" s="3"/>
      <c r="H1453" s="3"/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</row>
    <row r="1454">
      <c r="A1454" s="3"/>
      <c r="B1454" s="3"/>
      <c r="C1454" s="3"/>
      <c r="D1454" s="3"/>
      <c r="E1454" s="3"/>
      <c r="F1454" s="3"/>
      <c r="G1454" s="3"/>
      <c r="H1454" s="3"/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</row>
    <row r="1455">
      <c r="A1455" s="3"/>
      <c r="B1455" s="3"/>
      <c r="C1455" s="3"/>
      <c r="D1455" s="3"/>
      <c r="E1455" s="3"/>
      <c r="F1455" s="3"/>
      <c r="G1455" s="3"/>
      <c r="H1455" s="3"/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</row>
    <row r="1456">
      <c r="A1456" s="3"/>
      <c r="B1456" s="3"/>
      <c r="C1456" s="3"/>
      <c r="D1456" s="3"/>
      <c r="E1456" s="3"/>
      <c r="F1456" s="3"/>
      <c r="G1456" s="3"/>
      <c r="H1456" s="3"/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</row>
    <row r="1457">
      <c r="A1457" s="3"/>
      <c r="B1457" s="3"/>
      <c r="C1457" s="3"/>
      <c r="D1457" s="3"/>
      <c r="E1457" s="3"/>
      <c r="F1457" s="3"/>
      <c r="G1457" s="3"/>
      <c r="H1457" s="3"/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</row>
    <row r="1458">
      <c r="A1458" s="3"/>
      <c r="B1458" s="3"/>
      <c r="C1458" s="3"/>
      <c r="D1458" s="3"/>
      <c r="E1458" s="3"/>
      <c r="F1458" s="3"/>
      <c r="G1458" s="3"/>
      <c r="H1458" s="3"/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</row>
    <row r="1459">
      <c r="A1459" s="3"/>
      <c r="B1459" s="3"/>
      <c r="C1459" s="3"/>
      <c r="D1459" s="3"/>
      <c r="E1459" s="3"/>
      <c r="F1459" s="3"/>
      <c r="G1459" s="3"/>
      <c r="H1459" s="3"/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</row>
    <row r="1460">
      <c r="A1460" s="3"/>
      <c r="B1460" s="3"/>
      <c r="C1460" s="3"/>
      <c r="D1460" s="3"/>
      <c r="E1460" s="3"/>
      <c r="F1460" s="3"/>
      <c r="G1460" s="3"/>
      <c r="H1460" s="3"/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</row>
    <row r="1461">
      <c r="A1461" s="3"/>
      <c r="B1461" s="3"/>
      <c r="C1461" s="3"/>
      <c r="D1461" s="3"/>
      <c r="E1461" s="3"/>
      <c r="F1461" s="3"/>
      <c r="G1461" s="3"/>
      <c r="H1461" s="3"/>
      <c r="I1461" s="3"/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</row>
    <row r="1462">
      <c r="A1462" s="3"/>
      <c r="B1462" s="3"/>
      <c r="C1462" s="3"/>
      <c r="D1462" s="3"/>
      <c r="E1462" s="3"/>
      <c r="F1462" s="3"/>
      <c r="G1462" s="3"/>
      <c r="H1462" s="3"/>
      <c r="I1462" s="3"/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</row>
    <row r="1463">
      <c r="A1463" s="3"/>
      <c r="B1463" s="3"/>
      <c r="C1463" s="3"/>
      <c r="D1463" s="3"/>
      <c r="E1463" s="3"/>
      <c r="F1463" s="3"/>
      <c r="G1463" s="3"/>
      <c r="H1463" s="3"/>
      <c r="I1463" s="3"/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</row>
    <row r="1464">
      <c r="A1464" s="3"/>
      <c r="B1464" s="3"/>
      <c r="C1464" s="3"/>
      <c r="D1464" s="3"/>
      <c r="E1464" s="3"/>
      <c r="F1464" s="3"/>
      <c r="G1464" s="3"/>
      <c r="H1464" s="3"/>
      <c r="I1464" s="3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</row>
    <row r="1465">
      <c r="A1465" s="3"/>
      <c r="B1465" s="3"/>
      <c r="C1465" s="3"/>
      <c r="D1465" s="3"/>
      <c r="E1465" s="3"/>
      <c r="F1465" s="3"/>
      <c r="G1465" s="3"/>
      <c r="H1465" s="3"/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</row>
    <row r="1466">
      <c r="A1466" s="3"/>
      <c r="B1466" s="3"/>
      <c r="C1466" s="3"/>
      <c r="D1466" s="3"/>
      <c r="E1466" s="3"/>
      <c r="F1466" s="3"/>
      <c r="G1466" s="3"/>
      <c r="H1466" s="3"/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</row>
    <row r="1467">
      <c r="A1467" s="3"/>
      <c r="B1467" s="3"/>
      <c r="C1467" s="3"/>
      <c r="D1467" s="3"/>
      <c r="E1467" s="3"/>
      <c r="F1467" s="3"/>
      <c r="G1467" s="3"/>
      <c r="H1467" s="3"/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</row>
    <row r="1468">
      <c r="A1468" s="3"/>
      <c r="B1468" s="3"/>
      <c r="C1468" s="3"/>
      <c r="D1468" s="3"/>
      <c r="E1468" s="3"/>
      <c r="F1468" s="3"/>
      <c r="G1468" s="3"/>
      <c r="H1468" s="3"/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</row>
    <row r="1469">
      <c r="A1469" s="3"/>
      <c r="B1469" s="3"/>
      <c r="C1469" s="3"/>
      <c r="D1469" s="3"/>
      <c r="E1469" s="3"/>
      <c r="F1469" s="3"/>
      <c r="G1469" s="3"/>
      <c r="H1469" s="3"/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</row>
    <row r="1470">
      <c r="A1470" s="3"/>
      <c r="B1470" s="3"/>
      <c r="C1470" s="3"/>
      <c r="D1470" s="3"/>
      <c r="E1470" s="3"/>
      <c r="F1470" s="3"/>
      <c r="G1470" s="3"/>
      <c r="H1470" s="3"/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</row>
    <row r="1471">
      <c r="A1471" s="3"/>
      <c r="B1471" s="3"/>
      <c r="C1471" s="3"/>
      <c r="D1471" s="3"/>
      <c r="E1471" s="3"/>
      <c r="F1471" s="3"/>
      <c r="G1471" s="3"/>
      <c r="H1471" s="3"/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</row>
    <row r="1472">
      <c r="A1472" s="3"/>
      <c r="B1472" s="3"/>
      <c r="C1472" s="3"/>
      <c r="D1472" s="3"/>
      <c r="E1472" s="3"/>
      <c r="F1472" s="3"/>
      <c r="G1472" s="3"/>
      <c r="H1472" s="3"/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</row>
    <row r="1473">
      <c r="A1473" s="3"/>
      <c r="B1473" s="3"/>
      <c r="C1473" s="3"/>
      <c r="D1473" s="3"/>
      <c r="E1473" s="3"/>
      <c r="F1473" s="3"/>
      <c r="G1473" s="3"/>
      <c r="H1473" s="3"/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</row>
    <row r="1474">
      <c r="A1474" s="3"/>
      <c r="B1474" s="3"/>
      <c r="C1474" s="3"/>
      <c r="D1474" s="3"/>
      <c r="E1474" s="3"/>
      <c r="F1474" s="3"/>
      <c r="G1474" s="3"/>
      <c r="H1474" s="3"/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</row>
    <row r="1475">
      <c r="A1475" s="3"/>
      <c r="B1475" s="3"/>
      <c r="C1475" s="3"/>
      <c r="D1475" s="3"/>
      <c r="E1475" s="3"/>
      <c r="F1475" s="3"/>
      <c r="G1475" s="3"/>
      <c r="H1475" s="3"/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</row>
    <row r="1476">
      <c r="A1476" s="3"/>
      <c r="B1476" s="3"/>
      <c r="C1476" s="3"/>
      <c r="D1476" s="3"/>
      <c r="E1476" s="3"/>
      <c r="F1476" s="3"/>
      <c r="G1476" s="3"/>
      <c r="H1476" s="3"/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</row>
    <row r="1477">
      <c r="A1477" s="3"/>
      <c r="B1477" s="3"/>
      <c r="C1477" s="3"/>
      <c r="D1477" s="3"/>
      <c r="E1477" s="3"/>
      <c r="F1477" s="3"/>
      <c r="G1477" s="3"/>
      <c r="H1477" s="3"/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</row>
    <row r="1478">
      <c r="A1478" s="3"/>
      <c r="B1478" s="3"/>
      <c r="C1478" s="3"/>
      <c r="D1478" s="3"/>
      <c r="E1478" s="3"/>
      <c r="F1478" s="3"/>
      <c r="G1478" s="3"/>
      <c r="H1478" s="3"/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</row>
    <row r="1479">
      <c r="A1479" s="3"/>
      <c r="B1479" s="3"/>
      <c r="C1479" s="3"/>
      <c r="D1479" s="3"/>
      <c r="E1479" s="3"/>
      <c r="F1479" s="3"/>
      <c r="G1479" s="3"/>
      <c r="H1479" s="3"/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</row>
    <row r="1480">
      <c r="A1480" s="3"/>
      <c r="B1480" s="3"/>
      <c r="C1480" s="3"/>
      <c r="D1480" s="3"/>
      <c r="E1480" s="3"/>
      <c r="F1480" s="3"/>
      <c r="G1480" s="3"/>
      <c r="H1480" s="3"/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</row>
    <row r="1481">
      <c r="A1481" s="3"/>
      <c r="B1481" s="3"/>
      <c r="C1481" s="3"/>
      <c r="D1481" s="3"/>
      <c r="E1481" s="3"/>
      <c r="F1481" s="3"/>
      <c r="G1481" s="3"/>
      <c r="H1481" s="3"/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</row>
    <row r="1482">
      <c r="A1482" s="3"/>
      <c r="B1482" s="3"/>
      <c r="C1482" s="3"/>
      <c r="D1482" s="3"/>
      <c r="E1482" s="3"/>
      <c r="F1482" s="3"/>
      <c r="G1482" s="3"/>
      <c r="H1482" s="3"/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</row>
    <row r="1483">
      <c r="A1483" s="3"/>
      <c r="B1483" s="3"/>
      <c r="C1483" s="3"/>
      <c r="D1483" s="3"/>
      <c r="E1483" s="3"/>
      <c r="F1483" s="3"/>
      <c r="G1483" s="3"/>
      <c r="H1483" s="3"/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</row>
    <row r="1484">
      <c r="A1484" s="3"/>
      <c r="B1484" s="3"/>
      <c r="C1484" s="3"/>
      <c r="D1484" s="3"/>
      <c r="E1484" s="3"/>
      <c r="F1484" s="3"/>
      <c r="G1484" s="3"/>
      <c r="H1484" s="3"/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</row>
    <row r="1485">
      <c r="A1485" s="3"/>
      <c r="B1485" s="3"/>
      <c r="C1485" s="3"/>
      <c r="D1485" s="3"/>
      <c r="E1485" s="3"/>
      <c r="F1485" s="3"/>
      <c r="G1485" s="3"/>
      <c r="H1485" s="3"/>
      <c r="I1485" s="3"/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</row>
    <row r="1486">
      <c r="A1486" s="3"/>
      <c r="B1486" s="3"/>
      <c r="C1486" s="3"/>
      <c r="D1486" s="3"/>
      <c r="E1486" s="3"/>
      <c r="F1486" s="3"/>
      <c r="G1486" s="3"/>
      <c r="H1486" s="3"/>
      <c r="I1486" s="3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</row>
    <row r="1487">
      <c r="A1487" s="3"/>
      <c r="B1487" s="3"/>
      <c r="C1487" s="3"/>
      <c r="D1487" s="3"/>
      <c r="E1487" s="3"/>
      <c r="F1487" s="3"/>
      <c r="G1487" s="3"/>
      <c r="H1487" s="3"/>
      <c r="I1487" s="3"/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</row>
    <row r="1488">
      <c r="A1488" s="3"/>
      <c r="B1488" s="3"/>
      <c r="C1488" s="3"/>
      <c r="D1488" s="3"/>
      <c r="E1488" s="3"/>
      <c r="F1488" s="3"/>
      <c r="G1488" s="3"/>
      <c r="H1488" s="3"/>
      <c r="I1488" s="3"/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</row>
    <row r="1489">
      <c r="A1489" s="3"/>
      <c r="B1489" s="3"/>
      <c r="C1489" s="3"/>
      <c r="D1489" s="3"/>
      <c r="E1489" s="3"/>
      <c r="F1489" s="3"/>
      <c r="G1489" s="3"/>
      <c r="H1489" s="3"/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</row>
    <row r="1490">
      <c r="A1490" s="3"/>
      <c r="B1490" s="3"/>
      <c r="C1490" s="3"/>
      <c r="D1490" s="3"/>
      <c r="E1490" s="3"/>
      <c r="F1490" s="3"/>
      <c r="G1490" s="3"/>
      <c r="H1490" s="3"/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</row>
    <row r="1491">
      <c r="A1491" s="3"/>
      <c r="B1491" s="3"/>
      <c r="C1491" s="3"/>
      <c r="D1491" s="3"/>
      <c r="E1491" s="3"/>
      <c r="F1491" s="3"/>
      <c r="G1491" s="3"/>
      <c r="H1491" s="3"/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</row>
    <row r="1492">
      <c r="A1492" s="3"/>
      <c r="B1492" s="3"/>
      <c r="C1492" s="3"/>
      <c r="D1492" s="3"/>
      <c r="E1492" s="3"/>
      <c r="F1492" s="3"/>
      <c r="G1492" s="3"/>
      <c r="H1492" s="3"/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</row>
    <row r="1493">
      <c r="A1493" s="3"/>
      <c r="B1493" s="3"/>
      <c r="C1493" s="3"/>
      <c r="D1493" s="3"/>
      <c r="E1493" s="3"/>
      <c r="F1493" s="3"/>
      <c r="G1493" s="3"/>
      <c r="H1493" s="3"/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</row>
    <row r="1494">
      <c r="A1494" s="3"/>
      <c r="B1494" s="3"/>
      <c r="C1494" s="3"/>
      <c r="D1494" s="3"/>
      <c r="E1494" s="3"/>
      <c r="F1494" s="3"/>
      <c r="G1494" s="3"/>
      <c r="H1494" s="3"/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</row>
    <row r="1495">
      <c r="A1495" s="3"/>
      <c r="B1495" s="3"/>
      <c r="C1495" s="3"/>
      <c r="D1495" s="3"/>
      <c r="E1495" s="3"/>
      <c r="F1495" s="3"/>
      <c r="G1495" s="3"/>
      <c r="H1495" s="3"/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</row>
    <row r="1496">
      <c r="A1496" s="3"/>
      <c r="B1496" s="3"/>
      <c r="C1496" s="3"/>
      <c r="D1496" s="3"/>
      <c r="E1496" s="3"/>
      <c r="F1496" s="3"/>
      <c r="G1496" s="3"/>
      <c r="H1496" s="3"/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</row>
    <row r="1497">
      <c r="A1497" s="3"/>
      <c r="B1497" s="3"/>
      <c r="C1497" s="3"/>
      <c r="D1497" s="3"/>
      <c r="E1497" s="3"/>
      <c r="F1497" s="3"/>
      <c r="G1497" s="3"/>
      <c r="H1497" s="3"/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</row>
    <row r="1498">
      <c r="A1498" s="3"/>
      <c r="B1498" s="3"/>
      <c r="C1498" s="3"/>
      <c r="D1498" s="3"/>
      <c r="E1498" s="3"/>
      <c r="F1498" s="3"/>
      <c r="G1498" s="3"/>
      <c r="H1498" s="3"/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</row>
    <row r="1499">
      <c r="A1499" s="3"/>
      <c r="B1499" s="3"/>
      <c r="C1499" s="3"/>
      <c r="D1499" s="3"/>
      <c r="E1499" s="3"/>
      <c r="F1499" s="3"/>
      <c r="G1499" s="3"/>
      <c r="H1499" s="3"/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</row>
    <row r="1500">
      <c r="A1500" s="3"/>
      <c r="B1500" s="3"/>
      <c r="C1500" s="3"/>
      <c r="D1500" s="3"/>
      <c r="E1500" s="3"/>
      <c r="F1500" s="3"/>
      <c r="G1500" s="3"/>
      <c r="H1500" s="3"/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</row>
    <row r="1501">
      <c r="A1501" s="3"/>
      <c r="B1501" s="3"/>
      <c r="C1501" s="3"/>
      <c r="D1501" s="3"/>
      <c r="E1501" s="3"/>
      <c r="F1501" s="3"/>
      <c r="G1501" s="3"/>
      <c r="H1501" s="3"/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</row>
    <row r="1502">
      <c r="A1502" s="3"/>
      <c r="B1502" s="3"/>
      <c r="C1502" s="3"/>
      <c r="D1502" s="3"/>
      <c r="E1502" s="3"/>
      <c r="F1502" s="3"/>
      <c r="G1502" s="3"/>
      <c r="H1502" s="3"/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</row>
    <row r="1503">
      <c r="A1503" s="3"/>
      <c r="B1503" s="3"/>
      <c r="C1503" s="3"/>
      <c r="D1503" s="3"/>
      <c r="E1503" s="3"/>
      <c r="F1503" s="3"/>
      <c r="G1503" s="3"/>
      <c r="H1503" s="3"/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</row>
    <row r="1504">
      <c r="A1504" s="3"/>
      <c r="B1504" s="3"/>
      <c r="C1504" s="3"/>
      <c r="D1504" s="3"/>
      <c r="E1504" s="3"/>
      <c r="F1504" s="3"/>
      <c r="G1504" s="3"/>
      <c r="H1504" s="3"/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</row>
    <row r="1505">
      <c r="A1505" s="3"/>
      <c r="B1505" s="3"/>
      <c r="C1505" s="3"/>
      <c r="D1505" s="3"/>
      <c r="E1505" s="3"/>
      <c r="F1505" s="3"/>
      <c r="G1505" s="3"/>
      <c r="H1505" s="3"/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</row>
    <row r="1506">
      <c r="A1506" s="3"/>
      <c r="B1506" s="3"/>
      <c r="C1506" s="3"/>
      <c r="D1506" s="3"/>
      <c r="E1506" s="3"/>
      <c r="F1506" s="3"/>
      <c r="G1506" s="3"/>
      <c r="H1506" s="3"/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</row>
    <row r="1507">
      <c r="A1507" s="3"/>
      <c r="B1507" s="3"/>
      <c r="C1507" s="3"/>
      <c r="D1507" s="3"/>
      <c r="E1507" s="3"/>
      <c r="F1507" s="3"/>
      <c r="G1507" s="3"/>
      <c r="H1507" s="3"/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</row>
    <row r="1508">
      <c r="A1508" s="3"/>
      <c r="B1508" s="3"/>
      <c r="C1508" s="3"/>
      <c r="D1508" s="3"/>
      <c r="E1508" s="3"/>
      <c r="F1508" s="3"/>
      <c r="G1508" s="3"/>
      <c r="H1508" s="3"/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</row>
    <row r="1509">
      <c r="A1509" s="3"/>
      <c r="B1509" s="3"/>
      <c r="C1509" s="3"/>
      <c r="D1509" s="3"/>
      <c r="E1509" s="3"/>
      <c r="F1509" s="3"/>
      <c r="G1509" s="3"/>
      <c r="H1509" s="3"/>
      <c r="I1509" s="3"/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</row>
    <row r="1510">
      <c r="A1510" s="3"/>
      <c r="B1510" s="3"/>
      <c r="C1510" s="3"/>
      <c r="D1510" s="3"/>
      <c r="E1510" s="3"/>
      <c r="F1510" s="3"/>
      <c r="G1510" s="3"/>
      <c r="H1510" s="3"/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</row>
    <row r="1511">
      <c r="A1511" s="3"/>
      <c r="B1511" s="3"/>
      <c r="C1511" s="3"/>
      <c r="D1511" s="3"/>
      <c r="E1511" s="3"/>
      <c r="F1511" s="3"/>
      <c r="G1511" s="3"/>
      <c r="H1511" s="3"/>
      <c r="I1511" s="3"/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</row>
    <row r="1512">
      <c r="A1512" s="3"/>
      <c r="B1512" s="3"/>
      <c r="C1512" s="3"/>
      <c r="D1512" s="3"/>
      <c r="E1512" s="3"/>
      <c r="F1512" s="3"/>
      <c r="G1512" s="3"/>
      <c r="H1512" s="3"/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</row>
    <row r="1513">
      <c r="A1513" s="3"/>
      <c r="B1513" s="3"/>
      <c r="C1513" s="3"/>
      <c r="D1513" s="3"/>
      <c r="E1513" s="3"/>
      <c r="F1513" s="3"/>
      <c r="G1513" s="3"/>
      <c r="H1513" s="3"/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</row>
    <row r="1514">
      <c r="A1514" s="3"/>
      <c r="B1514" s="3"/>
      <c r="C1514" s="3"/>
      <c r="D1514" s="3"/>
      <c r="E1514" s="3"/>
      <c r="F1514" s="3"/>
      <c r="G1514" s="3"/>
      <c r="H1514" s="3"/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</row>
    <row r="1515">
      <c r="A1515" s="3"/>
      <c r="B1515" s="3"/>
      <c r="C1515" s="3"/>
      <c r="D1515" s="3"/>
      <c r="E1515" s="3"/>
      <c r="F1515" s="3"/>
      <c r="G1515" s="3"/>
      <c r="H1515" s="3"/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</row>
    <row r="1516">
      <c r="A1516" s="3"/>
      <c r="B1516" s="3"/>
      <c r="C1516" s="3"/>
      <c r="D1516" s="3"/>
      <c r="E1516" s="3"/>
      <c r="F1516" s="3"/>
      <c r="G1516" s="3"/>
      <c r="H1516" s="3"/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</row>
    <row r="1517">
      <c r="A1517" s="3"/>
      <c r="B1517" s="3"/>
      <c r="C1517" s="3"/>
      <c r="D1517" s="3"/>
      <c r="E1517" s="3"/>
      <c r="F1517" s="3"/>
      <c r="G1517" s="3"/>
      <c r="H1517" s="3"/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</row>
    <row r="1518">
      <c r="A1518" s="3"/>
      <c r="B1518" s="3"/>
      <c r="C1518" s="3"/>
      <c r="D1518" s="3"/>
      <c r="E1518" s="3"/>
      <c r="F1518" s="3"/>
      <c r="G1518" s="3"/>
      <c r="H1518" s="3"/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</row>
    <row r="1519">
      <c r="A1519" s="3"/>
      <c r="B1519" s="3"/>
      <c r="C1519" s="3"/>
      <c r="D1519" s="3"/>
      <c r="E1519" s="3"/>
      <c r="F1519" s="3"/>
      <c r="G1519" s="3"/>
      <c r="H1519" s="3"/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</row>
    <row r="1520">
      <c r="A1520" s="3"/>
      <c r="B1520" s="3"/>
      <c r="C1520" s="3"/>
      <c r="D1520" s="3"/>
      <c r="E1520" s="3"/>
      <c r="F1520" s="3"/>
      <c r="G1520" s="3"/>
      <c r="H1520" s="3"/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</row>
    <row r="1521">
      <c r="A1521" s="3"/>
      <c r="B1521" s="3"/>
      <c r="C1521" s="3"/>
      <c r="D1521" s="3"/>
      <c r="E1521" s="3"/>
      <c r="F1521" s="3"/>
      <c r="G1521" s="3"/>
      <c r="H1521" s="3"/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</row>
    <row r="1522">
      <c r="A1522" s="3"/>
      <c r="B1522" s="3"/>
      <c r="C1522" s="3"/>
      <c r="D1522" s="3"/>
      <c r="E1522" s="3"/>
      <c r="F1522" s="3"/>
      <c r="G1522" s="3"/>
      <c r="H1522" s="3"/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</row>
    <row r="1523">
      <c r="A1523" s="3"/>
      <c r="B1523" s="3"/>
      <c r="C1523" s="3"/>
      <c r="D1523" s="3"/>
      <c r="E1523" s="3"/>
      <c r="F1523" s="3"/>
      <c r="G1523" s="3"/>
      <c r="H1523" s="3"/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</row>
    <row r="1524">
      <c r="A1524" s="3"/>
      <c r="B1524" s="3"/>
      <c r="C1524" s="3"/>
      <c r="D1524" s="3"/>
      <c r="E1524" s="3"/>
      <c r="F1524" s="3"/>
      <c r="G1524" s="3"/>
      <c r="H1524" s="3"/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</row>
    <row r="1525">
      <c r="A1525" s="3"/>
      <c r="B1525" s="3"/>
      <c r="C1525" s="3"/>
      <c r="D1525" s="3"/>
      <c r="E1525" s="3"/>
      <c r="F1525" s="3"/>
      <c r="G1525" s="3"/>
      <c r="H1525" s="3"/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</row>
    <row r="1526">
      <c r="A1526" s="3"/>
      <c r="B1526" s="3"/>
      <c r="C1526" s="3"/>
      <c r="D1526" s="3"/>
      <c r="E1526" s="3"/>
      <c r="F1526" s="3"/>
      <c r="G1526" s="3"/>
      <c r="H1526" s="3"/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</row>
    <row r="1527">
      <c r="A1527" s="3"/>
      <c r="B1527" s="3"/>
      <c r="C1527" s="3"/>
      <c r="D1527" s="3"/>
      <c r="E1527" s="3"/>
      <c r="F1527" s="3"/>
      <c r="G1527" s="3"/>
      <c r="H1527" s="3"/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</row>
    <row r="1528">
      <c r="A1528" s="3"/>
      <c r="B1528" s="3"/>
      <c r="C1528" s="3"/>
      <c r="D1528" s="3"/>
      <c r="E1528" s="3"/>
      <c r="F1528" s="3"/>
      <c r="G1528" s="3"/>
      <c r="H1528" s="3"/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</row>
    <row r="1529">
      <c r="A1529" s="3"/>
      <c r="B1529" s="3"/>
      <c r="C1529" s="3"/>
      <c r="D1529" s="3"/>
      <c r="E1529" s="3"/>
      <c r="F1529" s="3"/>
      <c r="G1529" s="3"/>
      <c r="H1529" s="3"/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</row>
    <row r="1530">
      <c r="A1530" s="3"/>
      <c r="B1530" s="3"/>
      <c r="C1530" s="3"/>
      <c r="D1530" s="3"/>
      <c r="E1530" s="3"/>
      <c r="F1530" s="3"/>
      <c r="G1530" s="3"/>
      <c r="H1530" s="3"/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</row>
    <row r="1531">
      <c r="A1531" s="3"/>
      <c r="B1531" s="3"/>
      <c r="C1531" s="3"/>
      <c r="D1531" s="3"/>
      <c r="E1531" s="3"/>
      <c r="F1531" s="3"/>
      <c r="G1531" s="3"/>
      <c r="H1531" s="3"/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</row>
    <row r="1532">
      <c r="A1532" s="3"/>
      <c r="B1532" s="3"/>
      <c r="C1532" s="3"/>
      <c r="D1532" s="3"/>
      <c r="E1532" s="3"/>
      <c r="F1532" s="3"/>
      <c r="G1532" s="3"/>
      <c r="H1532" s="3"/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</row>
    <row r="1533">
      <c r="A1533" s="3"/>
      <c r="B1533" s="3"/>
      <c r="C1533" s="3"/>
      <c r="D1533" s="3"/>
      <c r="E1533" s="3"/>
      <c r="F1533" s="3"/>
      <c r="G1533" s="3"/>
      <c r="H1533" s="3"/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</row>
    <row r="1534">
      <c r="A1534" s="3"/>
      <c r="B1534" s="3"/>
      <c r="C1534" s="3"/>
      <c r="D1534" s="3"/>
      <c r="E1534" s="3"/>
      <c r="F1534" s="3"/>
      <c r="G1534" s="3"/>
      <c r="H1534" s="3"/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</row>
    <row r="1535">
      <c r="A1535" s="3"/>
      <c r="B1535" s="3"/>
      <c r="C1535" s="3"/>
      <c r="D1535" s="3"/>
      <c r="E1535" s="3"/>
      <c r="F1535" s="3"/>
      <c r="G1535" s="3"/>
      <c r="H1535" s="3"/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</row>
    <row r="1536">
      <c r="A1536" s="3"/>
      <c r="B1536" s="3"/>
      <c r="C1536" s="3"/>
      <c r="D1536" s="3"/>
      <c r="E1536" s="3"/>
      <c r="F1536" s="3"/>
      <c r="G1536" s="3"/>
      <c r="H1536" s="3"/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</row>
    <row r="1537">
      <c r="A1537" s="3"/>
      <c r="B1537" s="3"/>
      <c r="C1537" s="3"/>
      <c r="D1537" s="3"/>
      <c r="E1537" s="3"/>
      <c r="F1537" s="3"/>
      <c r="G1537" s="3"/>
      <c r="H1537" s="3"/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</row>
    <row r="1538">
      <c r="A1538" s="3"/>
      <c r="B1538" s="3"/>
      <c r="C1538" s="3"/>
      <c r="D1538" s="3"/>
      <c r="E1538" s="3"/>
      <c r="F1538" s="3"/>
      <c r="G1538" s="3"/>
      <c r="H1538" s="3"/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</row>
    <row r="1539">
      <c r="A1539" s="3"/>
      <c r="B1539" s="3"/>
      <c r="C1539" s="3"/>
      <c r="D1539" s="3"/>
      <c r="E1539" s="3"/>
      <c r="F1539" s="3"/>
      <c r="G1539" s="3"/>
      <c r="H1539" s="3"/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</row>
    <row r="1540">
      <c r="A1540" s="3"/>
      <c r="B1540" s="3"/>
      <c r="C1540" s="3"/>
      <c r="D1540" s="3"/>
      <c r="E1540" s="3"/>
      <c r="F1540" s="3"/>
      <c r="G1540" s="3"/>
      <c r="H1540" s="3"/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</row>
    <row r="1541">
      <c r="A1541" s="3"/>
      <c r="B1541" s="3"/>
      <c r="C1541" s="3"/>
      <c r="D1541" s="3"/>
      <c r="E1541" s="3"/>
      <c r="F1541" s="3"/>
      <c r="G1541" s="3"/>
      <c r="H1541" s="3"/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</row>
    <row r="1542">
      <c r="A1542" s="3"/>
      <c r="B1542" s="3"/>
      <c r="C1542" s="3"/>
      <c r="D1542" s="3"/>
      <c r="E1542" s="3"/>
      <c r="F1542" s="3"/>
      <c r="G1542" s="3"/>
      <c r="H1542" s="3"/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</row>
    <row r="1543">
      <c r="A1543" s="3"/>
      <c r="B1543" s="3"/>
      <c r="C1543" s="3"/>
      <c r="D1543" s="3"/>
      <c r="E1543" s="3"/>
      <c r="F1543" s="3"/>
      <c r="G1543" s="3"/>
      <c r="H1543" s="3"/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</row>
    <row r="1544">
      <c r="A1544" s="3"/>
      <c r="B1544" s="3"/>
      <c r="C1544" s="3"/>
      <c r="D1544" s="3"/>
      <c r="E1544" s="3"/>
      <c r="F1544" s="3"/>
      <c r="G1544" s="3"/>
      <c r="H1544" s="3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</row>
    <row r="1545">
      <c r="A1545" s="3"/>
      <c r="B1545" s="3"/>
      <c r="C1545" s="3"/>
      <c r="D1545" s="3"/>
      <c r="E1545" s="3"/>
      <c r="F1545" s="3"/>
      <c r="G1545" s="3"/>
      <c r="H1545" s="3"/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</row>
    <row r="1546">
      <c r="A1546" s="3"/>
      <c r="B1546" s="3"/>
      <c r="C1546" s="3"/>
      <c r="D1546" s="3"/>
      <c r="E1546" s="3"/>
      <c r="F1546" s="3"/>
      <c r="G1546" s="3"/>
      <c r="H1546" s="3"/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</row>
    <row r="1547">
      <c r="A1547" s="3"/>
      <c r="B1547" s="3"/>
      <c r="C1547" s="3"/>
      <c r="D1547" s="3"/>
      <c r="E1547" s="3"/>
      <c r="F1547" s="3"/>
      <c r="G1547" s="3"/>
      <c r="H1547" s="3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</row>
    <row r="1548">
      <c r="A1548" s="3"/>
      <c r="B1548" s="3"/>
      <c r="C1548" s="3"/>
      <c r="D1548" s="3"/>
      <c r="E1548" s="3"/>
      <c r="F1548" s="3"/>
      <c r="G1548" s="3"/>
      <c r="H1548" s="3"/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</row>
    <row r="1549">
      <c r="A1549" s="3"/>
      <c r="B1549" s="3"/>
      <c r="C1549" s="3"/>
      <c r="D1549" s="3"/>
      <c r="E1549" s="3"/>
      <c r="F1549" s="3"/>
      <c r="G1549" s="3"/>
      <c r="H1549" s="3"/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</row>
    <row r="1550">
      <c r="A1550" s="3"/>
      <c r="B1550" s="3"/>
      <c r="C1550" s="3"/>
      <c r="D1550" s="3"/>
      <c r="E1550" s="3"/>
      <c r="F1550" s="3"/>
      <c r="G1550" s="3"/>
      <c r="H1550" s="3"/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</row>
    <row r="1551">
      <c r="A1551" s="3"/>
      <c r="B1551" s="3"/>
      <c r="C1551" s="3"/>
      <c r="D1551" s="3"/>
      <c r="E1551" s="3"/>
      <c r="F1551" s="3"/>
      <c r="G1551" s="3"/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</row>
    <row r="1552">
      <c r="A1552" s="3"/>
      <c r="B1552" s="3"/>
      <c r="C1552" s="3"/>
      <c r="D1552" s="3"/>
      <c r="E1552" s="3"/>
      <c r="F1552" s="3"/>
      <c r="G1552" s="3"/>
      <c r="H1552" s="3"/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</row>
    <row r="1553">
      <c r="A1553" s="3"/>
      <c r="B1553" s="3"/>
      <c r="C1553" s="3"/>
      <c r="D1553" s="3"/>
      <c r="E1553" s="3"/>
      <c r="F1553" s="3"/>
      <c r="G1553" s="3"/>
      <c r="H1553" s="3"/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</row>
    <row r="1554">
      <c r="A1554" s="3"/>
      <c r="B1554" s="3"/>
      <c r="C1554" s="3"/>
      <c r="D1554" s="3"/>
      <c r="E1554" s="3"/>
      <c r="F1554" s="3"/>
      <c r="G1554" s="3"/>
      <c r="H1554" s="3"/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</row>
    <row r="1555">
      <c r="A1555" s="3"/>
      <c r="B1555" s="3"/>
      <c r="C1555" s="3"/>
      <c r="D1555" s="3"/>
      <c r="E1555" s="3"/>
      <c r="F1555" s="3"/>
      <c r="G1555" s="3"/>
      <c r="H1555" s="3"/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</row>
    <row r="1556">
      <c r="A1556" s="3"/>
      <c r="B1556" s="3"/>
      <c r="C1556" s="3"/>
      <c r="D1556" s="3"/>
      <c r="E1556" s="3"/>
      <c r="F1556" s="3"/>
      <c r="G1556" s="3"/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</row>
    <row r="1557">
      <c r="A1557" s="3"/>
      <c r="B1557" s="3"/>
      <c r="C1557" s="3"/>
      <c r="D1557" s="3"/>
      <c r="E1557" s="3"/>
      <c r="F1557" s="3"/>
      <c r="G1557" s="3"/>
      <c r="H1557" s="3"/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</row>
    <row r="1558">
      <c r="A1558" s="3"/>
      <c r="B1558" s="3"/>
      <c r="C1558" s="3"/>
      <c r="D1558" s="3"/>
      <c r="E1558" s="3"/>
      <c r="F1558" s="3"/>
      <c r="G1558" s="3"/>
      <c r="H1558" s="3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</row>
    <row r="1559">
      <c r="A1559" s="3"/>
      <c r="B1559" s="3"/>
      <c r="C1559" s="3"/>
      <c r="D1559" s="3"/>
      <c r="E1559" s="3"/>
      <c r="F1559" s="3"/>
      <c r="G1559" s="3"/>
      <c r="H1559" s="3"/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</row>
    <row r="1560">
      <c r="A1560" s="3"/>
      <c r="B1560" s="3"/>
      <c r="C1560" s="3"/>
      <c r="D1560" s="3"/>
      <c r="E1560" s="3"/>
      <c r="F1560" s="3"/>
      <c r="G1560" s="3"/>
      <c r="H1560" s="3"/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</row>
    <row r="1561">
      <c r="A1561" s="3"/>
      <c r="B1561" s="3"/>
      <c r="C1561" s="3"/>
      <c r="D1561" s="3"/>
      <c r="E1561" s="3"/>
      <c r="F1561" s="3"/>
      <c r="G1561" s="3"/>
      <c r="H1561" s="3"/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</row>
    <row r="1562">
      <c r="A1562" s="3"/>
      <c r="B1562" s="3"/>
      <c r="C1562" s="3"/>
      <c r="D1562" s="3"/>
      <c r="E1562" s="3"/>
      <c r="F1562" s="3"/>
      <c r="G1562" s="3"/>
      <c r="H1562" s="3"/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</row>
    <row r="1563">
      <c r="A1563" s="3"/>
      <c r="B1563" s="3"/>
      <c r="C1563" s="3"/>
      <c r="D1563" s="3"/>
      <c r="E1563" s="3"/>
      <c r="F1563" s="3"/>
      <c r="G1563" s="3"/>
      <c r="H1563" s="3"/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</row>
    <row r="1564">
      <c r="A1564" s="3"/>
      <c r="B1564" s="3"/>
      <c r="C1564" s="3"/>
      <c r="D1564" s="3"/>
      <c r="E1564" s="3"/>
      <c r="F1564" s="3"/>
      <c r="G1564" s="3"/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</row>
    <row r="1565">
      <c r="A1565" s="3"/>
      <c r="B1565" s="3"/>
      <c r="C1565" s="3"/>
      <c r="D1565" s="3"/>
      <c r="E1565" s="3"/>
      <c r="F1565" s="3"/>
      <c r="G1565" s="3"/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</row>
    <row r="1566">
      <c r="A1566" s="3"/>
      <c r="B1566" s="3"/>
      <c r="C1566" s="3"/>
      <c r="D1566" s="3"/>
      <c r="E1566" s="3"/>
      <c r="F1566" s="3"/>
      <c r="G1566" s="3"/>
      <c r="H1566" s="3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</row>
    <row r="1567">
      <c r="A1567" s="3"/>
      <c r="B1567" s="3"/>
      <c r="C1567" s="3"/>
      <c r="D1567" s="3"/>
      <c r="E1567" s="3"/>
      <c r="F1567" s="3"/>
      <c r="G1567" s="3"/>
      <c r="H1567" s="3"/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</row>
    <row r="1568">
      <c r="A1568" s="3"/>
      <c r="B1568" s="3"/>
      <c r="C1568" s="3"/>
      <c r="D1568" s="3"/>
      <c r="E1568" s="3"/>
      <c r="F1568" s="3"/>
      <c r="G1568" s="3"/>
      <c r="H1568" s="3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</row>
    <row r="1569">
      <c r="A1569" s="3"/>
      <c r="B1569" s="3"/>
      <c r="C1569" s="3"/>
      <c r="D1569" s="3"/>
      <c r="E1569" s="3"/>
      <c r="F1569" s="3"/>
      <c r="G1569" s="3"/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</row>
    <row r="1570">
      <c r="A1570" s="3"/>
      <c r="B1570" s="3"/>
      <c r="C1570" s="3"/>
      <c r="D1570" s="3"/>
      <c r="E1570" s="3"/>
      <c r="F1570" s="3"/>
      <c r="G1570" s="3"/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</row>
    <row r="1571">
      <c r="A1571" s="3"/>
      <c r="B1571" s="3"/>
      <c r="C1571" s="3"/>
      <c r="D1571" s="3"/>
      <c r="E1571" s="3"/>
      <c r="F1571" s="3"/>
      <c r="G1571" s="3"/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</row>
    <row r="1572">
      <c r="A1572" s="3"/>
      <c r="B1572" s="3"/>
      <c r="C1572" s="3"/>
      <c r="D1572" s="3"/>
      <c r="E1572" s="3"/>
      <c r="F1572" s="3"/>
      <c r="G1572" s="3"/>
      <c r="H1572" s="3"/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</row>
    <row r="1573">
      <c r="A1573" s="3"/>
      <c r="B1573" s="3"/>
      <c r="C1573" s="3"/>
      <c r="D1573" s="3"/>
      <c r="E1573" s="3"/>
      <c r="F1573" s="3"/>
      <c r="G1573" s="3"/>
      <c r="H1573" s="3"/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</row>
    <row r="1574">
      <c r="A1574" s="3"/>
      <c r="B1574" s="3"/>
      <c r="C1574" s="3"/>
      <c r="D1574" s="3"/>
      <c r="E1574" s="3"/>
      <c r="F1574" s="3"/>
      <c r="G1574" s="3"/>
      <c r="H1574" s="3"/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</row>
    <row r="1575">
      <c r="A1575" s="3"/>
      <c r="B1575" s="3"/>
      <c r="C1575" s="3"/>
      <c r="D1575" s="3"/>
      <c r="E1575" s="3"/>
      <c r="F1575" s="3"/>
      <c r="G1575" s="3"/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</row>
    <row r="1576">
      <c r="A1576" s="3"/>
      <c r="B1576" s="3"/>
      <c r="C1576" s="3"/>
      <c r="D1576" s="3"/>
      <c r="E1576" s="3"/>
      <c r="F1576" s="3"/>
      <c r="G1576" s="3"/>
      <c r="H1576" s="3"/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</row>
    <row r="1577">
      <c r="A1577" s="3"/>
      <c r="B1577" s="3"/>
      <c r="C1577" s="3"/>
      <c r="D1577" s="3"/>
      <c r="E1577" s="3"/>
      <c r="F1577" s="3"/>
      <c r="G1577" s="3"/>
      <c r="H1577" s="3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</row>
    <row r="1578">
      <c r="A1578" s="3"/>
      <c r="B1578" s="3"/>
      <c r="C1578" s="3"/>
      <c r="D1578" s="3"/>
      <c r="E1578" s="3"/>
      <c r="F1578" s="3"/>
      <c r="G1578" s="3"/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</row>
    <row r="1579">
      <c r="A1579" s="3"/>
      <c r="B1579" s="3"/>
      <c r="C1579" s="3"/>
      <c r="D1579" s="3"/>
      <c r="E1579" s="3"/>
      <c r="F1579" s="3"/>
      <c r="G1579" s="3"/>
      <c r="H1579" s="3"/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</row>
    <row r="1580">
      <c r="A1580" s="3"/>
      <c r="B1580" s="3"/>
      <c r="C1580" s="3"/>
      <c r="D1580" s="3"/>
      <c r="E1580" s="3"/>
      <c r="F1580" s="3"/>
      <c r="G1580" s="3"/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</row>
    <row r="1581">
      <c r="A1581" s="3"/>
      <c r="B1581" s="3"/>
      <c r="C1581" s="3"/>
      <c r="D1581" s="3"/>
      <c r="E1581" s="3"/>
      <c r="F1581" s="3"/>
      <c r="G1581" s="3"/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</row>
    <row r="1582">
      <c r="A1582" s="3"/>
      <c r="B1582" s="3"/>
      <c r="C1582" s="3"/>
      <c r="D1582" s="3"/>
      <c r="E1582" s="3"/>
      <c r="F1582" s="3"/>
      <c r="G1582" s="3"/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</row>
    <row r="1583">
      <c r="A1583" s="3"/>
      <c r="B1583" s="3"/>
      <c r="C1583" s="3"/>
      <c r="D1583" s="3"/>
      <c r="E1583" s="3"/>
      <c r="F1583" s="3"/>
      <c r="G1583" s="3"/>
      <c r="H1583" s="3"/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</row>
    <row r="1584">
      <c r="A1584" s="3"/>
      <c r="B1584" s="3"/>
      <c r="C1584" s="3"/>
      <c r="D1584" s="3"/>
      <c r="E1584" s="3"/>
      <c r="F1584" s="3"/>
      <c r="G1584" s="3"/>
      <c r="H1584" s="3"/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</row>
    <row r="1585">
      <c r="A1585" s="3"/>
      <c r="B1585" s="3"/>
      <c r="C1585" s="3"/>
      <c r="D1585" s="3"/>
      <c r="E1585" s="3"/>
      <c r="F1585" s="3"/>
      <c r="G1585" s="3"/>
      <c r="H1585" s="3"/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</row>
    <row r="1586">
      <c r="A1586" s="3"/>
      <c r="B1586" s="3"/>
      <c r="C1586" s="3"/>
      <c r="D1586" s="3"/>
      <c r="E1586" s="3"/>
      <c r="F1586" s="3"/>
      <c r="G1586" s="3"/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</row>
    <row r="1587">
      <c r="A1587" s="3"/>
      <c r="B1587" s="3"/>
      <c r="C1587" s="3"/>
      <c r="D1587" s="3"/>
      <c r="E1587" s="3"/>
      <c r="F1587" s="3"/>
      <c r="G1587" s="3"/>
      <c r="H1587" s="3"/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</row>
    <row r="1588">
      <c r="A1588" s="3"/>
      <c r="B1588" s="3"/>
      <c r="C1588" s="3"/>
      <c r="D1588" s="3"/>
      <c r="E1588" s="3"/>
      <c r="F1588" s="3"/>
      <c r="G1588" s="3"/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</row>
    <row r="1589">
      <c r="A1589" s="3"/>
      <c r="B1589" s="3"/>
      <c r="C1589" s="3"/>
      <c r="D1589" s="3"/>
      <c r="E1589" s="3"/>
      <c r="F1589" s="3"/>
      <c r="G1589" s="3"/>
      <c r="H1589" s="3"/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</row>
    <row r="1590">
      <c r="A1590" s="3"/>
      <c r="B1590" s="3"/>
      <c r="C1590" s="3"/>
      <c r="D1590" s="3"/>
      <c r="E1590" s="3"/>
      <c r="F1590" s="3"/>
      <c r="G1590" s="3"/>
      <c r="H1590" s="3"/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</row>
    <row r="1591">
      <c r="A1591" s="3"/>
      <c r="B1591" s="3"/>
      <c r="C1591" s="3"/>
      <c r="D1591" s="3"/>
      <c r="E1591" s="3"/>
      <c r="F1591" s="3"/>
      <c r="G1591" s="3"/>
      <c r="H1591" s="3"/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</row>
    <row r="1592">
      <c r="A1592" s="3"/>
      <c r="B1592" s="3"/>
      <c r="C1592" s="3"/>
      <c r="D1592" s="3"/>
      <c r="E1592" s="3"/>
      <c r="F1592" s="3"/>
      <c r="G1592" s="3"/>
      <c r="H1592" s="3"/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</row>
    <row r="1593">
      <c r="A1593" s="3"/>
      <c r="B1593" s="3"/>
      <c r="C1593" s="3"/>
      <c r="D1593" s="3"/>
      <c r="E1593" s="3"/>
      <c r="F1593" s="3"/>
      <c r="G1593" s="3"/>
      <c r="H1593" s="3"/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</row>
    <row r="1594">
      <c r="A1594" s="3"/>
      <c r="B1594" s="3"/>
      <c r="C1594" s="3"/>
      <c r="D1594" s="3"/>
      <c r="E1594" s="3"/>
      <c r="F1594" s="3"/>
      <c r="G1594" s="3"/>
      <c r="H1594" s="3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</row>
    <row r="1595">
      <c r="A1595" s="3"/>
      <c r="B1595" s="3"/>
      <c r="C1595" s="3"/>
      <c r="D1595" s="3"/>
      <c r="E1595" s="3"/>
      <c r="F1595" s="3"/>
      <c r="G1595" s="3"/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</row>
    <row r="1596">
      <c r="A1596" s="3"/>
      <c r="B1596" s="3"/>
      <c r="C1596" s="3"/>
      <c r="D1596" s="3"/>
      <c r="E1596" s="3"/>
      <c r="F1596" s="3"/>
      <c r="G1596" s="3"/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</row>
    <row r="1597">
      <c r="A1597" s="3"/>
      <c r="B1597" s="3"/>
      <c r="C1597" s="3"/>
      <c r="D1597" s="3"/>
      <c r="E1597" s="3"/>
      <c r="F1597" s="3"/>
      <c r="G1597" s="3"/>
      <c r="H1597" s="3"/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</row>
    <row r="1598">
      <c r="A1598" s="3"/>
      <c r="B1598" s="3"/>
      <c r="C1598" s="3"/>
      <c r="D1598" s="3"/>
      <c r="E1598" s="3"/>
      <c r="F1598" s="3"/>
      <c r="G1598" s="3"/>
      <c r="H1598" s="3"/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</row>
    <row r="1599">
      <c r="A1599" s="3"/>
      <c r="B1599" s="3"/>
      <c r="C1599" s="3"/>
      <c r="D1599" s="3"/>
      <c r="E1599" s="3"/>
      <c r="F1599" s="3"/>
      <c r="G1599" s="3"/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</row>
    <row r="1600">
      <c r="A1600" s="3"/>
      <c r="B1600" s="3"/>
      <c r="C1600" s="3"/>
      <c r="D1600" s="3"/>
      <c r="E1600" s="3"/>
      <c r="F1600" s="3"/>
      <c r="G1600" s="3"/>
      <c r="H1600" s="3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</row>
    <row r="1601">
      <c r="A1601" s="3"/>
      <c r="B1601" s="3"/>
      <c r="C1601" s="3"/>
      <c r="D1601" s="3"/>
      <c r="E1601" s="3"/>
      <c r="F1601" s="3"/>
      <c r="G1601" s="3"/>
      <c r="H1601" s="3"/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</row>
    <row r="1602">
      <c r="A1602" s="3"/>
      <c r="B1602" s="3"/>
      <c r="C1602" s="3"/>
      <c r="D1602" s="3"/>
      <c r="E1602" s="3"/>
      <c r="F1602" s="3"/>
      <c r="G1602" s="3"/>
      <c r="H1602" s="3"/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</row>
    <row r="1603">
      <c r="A1603" s="3"/>
      <c r="B1603" s="3"/>
      <c r="C1603" s="3"/>
      <c r="D1603" s="3"/>
      <c r="E1603" s="3"/>
      <c r="F1603" s="3"/>
      <c r="G1603" s="3"/>
      <c r="H1603" s="3"/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</row>
    <row r="1604">
      <c r="A1604" s="3"/>
      <c r="B1604" s="3"/>
      <c r="C1604" s="3"/>
      <c r="D1604" s="3"/>
      <c r="E1604" s="3"/>
      <c r="F1604" s="3"/>
      <c r="G1604" s="3"/>
      <c r="H1604" s="3"/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</row>
    <row r="1605">
      <c r="A1605" s="3"/>
      <c r="B1605" s="3"/>
      <c r="C1605" s="3"/>
      <c r="D1605" s="3"/>
      <c r="E1605" s="3"/>
      <c r="F1605" s="3"/>
      <c r="G1605" s="3"/>
      <c r="H1605" s="3"/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</row>
    <row r="1606">
      <c r="A1606" s="3"/>
      <c r="B1606" s="3"/>
      <c r="C1606" s="3"/>
      <c r="D1606" s="3"/>
      <c r="E1606" s="3"/>
      <c r="F1606" s="3"/>
      <c r="G1606" s="3"/>
      <c r="H1606" s="3"/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</row>
    <row r="1607">
      <c r="A1607" s="3"/>
      <c r="B1607" s="3"/>
      <c r="C1607" s="3"/>
      <c r="D1607" s="3"/>
      <c r="E1607" s="3"/>
      <c r="F1607" s="3"/>
      <c r="G1607" s="3"/>
      <c r="H1607" s="3"/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</row>
    <row r="1608">
      <c r="A1608" s="3"/>
      <c r="B1608" s="3"/>
      <c r="C1608" s="3"/>
      <c r="D1608" s="3"/>
      <c r="E1608" s="3"/>
      <c r="F1608" s="3"/>
      <c r="G1608" s="3"/>
      <c r="H1608" s="3"/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</row>
    <row r="1609">
      <c r="A1609" s="3"/>
      <c r="B1609" s="3"/>
      <c r="C1609" s="3"/>
      <c r="D1609" s="3"/>
      <c r="E1609" s="3"/>
      <c r="F1609" s="3"/>
      <c r="G1609" s="3"/>
      <c r="H1609" s="3"/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</row>
    <row r="1610">
      <c r="A1610" s="3"/>
      <c r="B1610" s="3"/>
      <c r="C1610" s="3"/>
      <c r="D1610" s="3"/>
      <c r="E1610" s="3"/>
      <c r="F1610" s="3"/>
      <c r="G1610" s="3"/>
      <c r="H1610" s="3"/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</row>
    <row r="1611">
      <c r="A1611" s="3"/>
      <c r="B1611" s="3"/>
      <c r="C1611" s="3"/>
      <c r="D1611" s="3"/>
      <c r="E1611" s="3"/>
      <c r="F1611" s="3"/>
      <c r="G1611" s="3"/>
      <c r="H1611" s="3"/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</row>
    <row r="1612">
      <c r="A1612" s="3"/>
      <c r="B1612" s="3"/>
      <c r="C1612" s="3"/>
      <c r="D1612" s="3"/>
      <c r="E1612" s="3"/>
      <c r="F1612" s="3"/>
      <c r="G1612" s="3"/>
      <c r="H1612" s="3"/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</row>
    <row r="1613">
      <c r="A1613" s="3"/>
      <c r="B1613" s="3"/>
      <c r="C1613" s="3"/>
      <c r="D1613" s="3"/>
      <c r="E1613" s="3"/>
      <c r="F1613" s="3"/>
      <c r="G1613" s="3"/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</row>
    <row r="1614">
      <c r="A1614" s="3"/>
      <c r="B1614" s="3"/>
      <c r="C1614" s="3"/>
      <c r="D1614" s="3"/>
      <c r="E1614" s="3"/>
      <c r="F1614" s="3"/>
      <c r="G1614" s="3"/>
      <c r="H1614" s="3"/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</row>
    <row r="1615">
      <c r="A1615" s="3"/>
      <c r="B1615" s="3"/>
      <c r="C1615" s="3"/>
      <c r="D1615" s="3"/>
      <c r="E1615" s="3"/>
      <c r="F1615" s="3"/>
      <c r="G1615" s="3"/>
      <c r="H1615" s="3"/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</row>
    <row r="1616">
      <c r="A1616" s="3"/>
      <c r="B1616" s="3"/>
      <c r="C1616" s="3"/>
      <c r="D1616" s="3"/>
      <c r="E1616" s="3"/>
      <c r="F1616" s="3"/>
      <c r="G1616" s="3"/>
      <c r="H1616" s="3"/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</row>
    <row r="1617">
      <c r="A1617" s="3"/>
      <c r="B1617" s="3"/>
      <c r="C1617" s="3"/>
      <c r="D1617" s="3"/>
      <c r="E1617" s="3"/>
      <c r="F1617" s="3"/>
      <c r="G1617" s="3"/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</row>
    <row r="1618">
      <c r="A1618" s="3"/>
      <c r="B1618" s="3"/>
      <c r="C1618" s="3"/>
      <c r="D1618" s="3"/>
      <c r="E1618" s="3"/>
      <c r="F1618" s="3"/>
      <c r="G1618" s="3"/>
      <c r="H1618" s="3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</row>
    <row r="1619">
      <c r="A1619" s="3"/>
      <c r="B1619" s="3"/>
      <c r="C1619" s="3"/>
      <c r="D1619" s="3"/>
      <c r="E1619" s="3"/>
      <c r="F1619" s="3"/>
      <c r="G1619" s="3"/>
      <c r="H1619" s="3"/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</row>
    <row r="1620">
      <c r="A1620" s="3"/>
      <c r="B1620" s="3"/>
      <c r="C1620" s="3"/>
      <c r="D1620" s="3"/>
      <c r="E1620" s="3"/>
      <c r="F1620" s="3"/>
      <c r="G1620" s="3"/>
      <c r="H1620" s="3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</row>
    <row r="1621">
      <c r="A1621" s="3"/>
      <c r="B1621" s="3"/>
      <c r="C1621" s="3"/>
      <c r="D1621" s="3"/>
      <c r="E1621" s="3"/>
      <c r="F1621" s="3"/>
      <c r="G1621" s="3"/>
      <c r="H1621" s="3"/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</row>
    <row r="1622">
      <c r="A1622" s="3"/>
      <c r="B1622" s="3"/>
      <c r="C1622" s="3"/>
      <c r="D1622" s="3"/>
      <c r="E1622" s="3"/>
      <c r="F1622" s="3"/>
      <c r="G1622" s="3"/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</row>
    <row r="1623">
      <c r="A1623" s="3"/>
      <c r="B1623" s="3"/>
      <c r="C1623" s="3"/>
      <c r="D1623" s="3"/>
      <c r="E1623" s="3"/>
      <c r="F1623" s="3"/>
      <c r="G1623" s="3"/>
      <c r="H1623" s="3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</row>
    <row r="1624">
      <c r="A1624" s="3"/>
      <c r="B1624" s="3"/>
      <c r="C1624" s="3"/>
      <c r="D1624" s="3"/>
      <c r="E1624" s="3"/>
      <c r="F1624" s="3"/>
      <c r="G1624" s="3"/>
      <c r="H1624" s="3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</row>
    <row r="1625">
      <c r="A1625" s="3"/>
      <c r="B1625" s="3"/>
      <c r="C1625" s="3"/>
      <c r="D1625" s="3"/>
      <c r="E1625" s="3"/>
      <c r="F1625" s="3"/>
      <c r="G1625" s="3"/>
      <c r="H1625" s="3"/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</row>
    <row r="1626">
      <c r="A1626" s="3"/>
      <c r="B1626" s="3"/>
      <c r="C1626" s="3"/>
      <c r="D1626" s="3"/>
      <c r="E1626" s="3"/>
      <c r="F1626" s="3"/>
      <c r="G1626" s="3"/>
      <c r="H1626" s="3"/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</row>
    <row r="1627">
      <c r="A1627" s="3"/>
      <c r="B1627" s="3"/>
      <c r="C1627" s="3"/>
      <c r="D1627" s="3"/>
      <c r="E1627" s="3"/>
      <c r="F1627" s="3"/>
      <c r="G1627" s="3"/>
      <c r="H1627" s="3"/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</row>
    <row r="1628">
      <c r="A1628" s="3"/>
      <c r="B1628" s="3"/>
      <c r="C1628" s="3"/>
      <c r="D1628" s="3"/>
      <c r="E1628" s="3"/>
      <c r="F1628" s="3"/>
      <c r="G1628" s="3"/>
      <c r="H1628" s="3"/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</row>
    <row r="1629">
      <c r="A1629" s="3"/>
      <c r="B1629" s="3"/>
      <c r="C1629" s="3"/>
      <c r="D1629" s="3"/>
      <c r="E1629" s="3"/>
      <c r="F1629" s="3"/>
      <c r="G1629" s="3"/>
      <c r="H1629" s="3"/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</row>
    <row r="1630">
      <c r="A1630" s="3"/>
      <c r="B1630" s="3"/>
      <c r="C1630" s="3"/>
      <c r="D1630" s="3"/>
      <c r="E1630" s="3"/>
      <c r="F1630" s="3"/>
      <c r="G1630" s="3"/>
      <c r="H1630" s="3"/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</row>
    <row r="1631">
      <c r="A1631" s="3"/>
      <c r="B1631" s="3"/>
      <c r="C1631" s="3"/>
      <c r="D1631" s="3"/>
      <c r="E1631" s="3"/>
      <c r="F1631" s="3"/>
      <c r="G1631" s="3"/>
      <c r="H1631" s="3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</row>
    <row r="1632">
      <c r="A1632" s="3"/>
      <c r="B1632" s="3"/>
      <c r="C1632" s="3"/>
      <c r="D1632" s="3"/>
      <c r="E1632" s="3"/>
      <c r="F1632" s="3"/>
      <c r="G1632" s="3"/>
      <c r="H1632" s="3"/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</row>
    <row r="1633">
      <c r="A1633" s="3"/>
      <c r="B1633" s="3"/>
      <c r="C1633" s="3"/>
      <c r="D1633" s="3"/>
      <c r="E1633" s="3"/>
      <c r="F1633" s="3"/>
      <c r="G1633" s="3"/>
      <c r="H1633" s="3"/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</row>
    <row r="1634">
      <c r="A1634" s="3"/>
      <c r="B1634" s="3"/>
      <c r="C1634" s="3"/>
      <c r="D1634" s="3"/>
      <c r="E1634" s="3"/>
      <c r="F1634" s="3"/>
      <c r="G1634" s="3"/>
      <c r="H1634" s="3"/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</row>
    <row r="1635">
      <c r="A1635" s="3"/>
      <c r="B1635" s="3"/>
      <c r="C1635" s="3"/>
      <c r="D1635" s="3"/>
      <c r="E1635" s="3"/>
      <c r="F1635" s="3"/>
      <c r="G1635" s="3"/>
      <c r="H1635" s="3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</row>
    <row r="1636">
      <c r="A1636" s="3"/>
      <c r="B1636" s="3"/>
      <c r="C1636" s="3"/>
      <c r="D1636" s="3"/>
      <c r="E1636" s="3"/>
      <c r="F1636" s="3"/>
      <c r="G1636" s="3"/>
      <c r="H1636" s="3"/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</row>
    <row r="1637">
      <c r="A1637" s="3"/>
      <c r="B1637" s="3"/>
      <c r="C1637" s="3"/>
      <c r="D1637" s="3"/>
      <c r="E1637" s="3"/>
      <c r="F1637" s="3"/>
      <c r="G1637" s="3"/>
      <c r="H1637" s="3"/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</row>
    <row r="1638">
      <c r="A1638" s="3"/>
      <c r="B1638" s="3"/>
      <c r="C1638" s="3"/>
      <c r="D1638" s="3"/>
      <c r="E1638" s="3"/>
      <c r="F1638" s="3"/>
      <c r="G1638" s="3"/>
      <c r="H1638" s="3"/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</row>
    <row r="1639">
      <c r="A1639" s="3"/>
      <c r="B1639" s="3"/>
      <c r="C1639" s="3"/>
      <c r="D1639" s="3"/>
      <c r="E1639" s="3"/>
      <c r="F1639" s="3"/>
      <c r="G1639" s="3"/>
      <c r="H1639" s="3"/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</row>
    <row r="1640">
      <c r="A1640" s="3"/>
      <c r="B1640" s="3"/>
      <c r="C1640" s="3"/>
      <c r="D1640" s="3"/>
      <c r="E1640" s="3"/>
      <c r="F1640" s="3"/>
      <c r="G1640" s="3"/>
      <c r="H1640" s="3"/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</row>
    <row r="1641">
      <c r="A1641" s="3"/>
      <c r="B1641" s="3"/>
      <c r="C1641" s="3"/>
      <c r="D1641" s="3"/>
      <c r="E1641" s="3"/>
      <c r="F1641" s="3"/>
      <c r="G1641" s="3"/>
      <c r="H1641" s="3"/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</row>
    <row r="1642">
      <c r="A1642" s="3"/>
      <c r="B1642" s="3"/>
      <c r="C1642" s="3"/>
      <c r="D1642" s="3"/>
      <c r="E1642" s="3"/>
      <c r="F1642" s="3"/>
      <c r="G1642" s="3"/>
      <c r="H1642" s="3"/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</row>
    <row r="1643">
      <c r="A1643" s="3"/>
      <c r="B1643" s="3"/>
      <c r="C1643" s="3"/>
      <c r="D1643" s="3"/>
      <c r="E1643" s="3"/>
      <c r="F1643" s="3"/>
      <c r="G1643" s="3"/>
      <c r="H1643" s="3"/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</row>
    <row r="1644">
      <c r="A1644" s="3"/>
      <c r="B1644" s="3"/>
      <c r="C1644" s="3"/>
      <c r="D1644" s="3"/>
      <c r="E1644" s="3"/>
      <c r="F1644" s="3"/>
      <c r="G1644" s="3"/>
      <c r="H1644" s="3"/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</row>
    <row r="1645">
      <c r="A1645" s="3"/>
      <c r="B1645" s="3"/>
      <c r="C1645" s="3"/>
      <c r="D1645" s="3"/>
      <c r="E1645" s="3"/>
      <c r="F1645" s="3"/>
      <c r="G1645" s="3"/>
      <c r="H1645" s="3"/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</row>
    <row r="1646">
      <c r="A1646" s="3"/>
      <c r="B1646" s="3"/>
      <c r="C1646" s="3"/>
      <c r="D1646" s="3"/>
      <c r="E1646" s="3"/>
      <c r="F1646" s="3"/>
      <c r="G1646" s="3"/>
      <c r="H1646" s="3"/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</row>
    <row r="1647">
      <c r="A1647" s="3"/>
      <c r="B1647" s="3"/>
      <c r="C1647" s="3"/>
      <c r="D1647" s="3"/>
      <c r="E1647" s="3"/>
      <c r="F1647" s="3"/>
      <c r="G1647" s="3"/>
      <c r="H1647" s="3"/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</row>
    <row r="1648">
      <c r="A1648" s="3"/>
      <c r="B1648" s="3"/>
      <c r="C1648" s="3"/>
      <c r="D1648" s="3"/>
      <c r="E1648" s="3"/>
      <c r="F1648" s="3"/>
      <c r="G1648" s="3"/>
      <c r="H1648" s="3"/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</row>
    <row r="1649">
      <c r="A1649" s="3"/>
      <c r="B1649" s="3"/>
      <c r="C1649" s="3"/>
      <c r="D1649" s="3"/>
      <c r="E1649" s="3"/>
      <c r="F1649" s="3"/>
      <c r="G1649" s="3"/>
      <c r="H1649" s="3"/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</row>
    <row r="1650">
      <c r="A1650" s="3"/>
      <c r="B1650" s="3"/>
      <c r="C1650" s="3"/>
      <c r="D1650" s="3"/>
      <c r="E1650" s="3"/>
      <c r="F1650" s="3"/>
      <c r="G1650" s="3"/>
      <c r="H1650" s="3"/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</row>
    <row r="1651">
      <c r="A1651" s="3"/>
      <c r="B1651" s="3"/>
      <c r="C1651" s="3"/>
      <c r="D1651" s="3"/>
      <c r="E1651" s="3"/>
      <c r="F1651" s="3"/>
      <c r="G1651" s="3"/>
      <c r="H1651" s="3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</row>
    <row r="1652">
      <c r="A1652" s="3"/>
      <c r="B1652" s="3"/>
      <c r="C1652" s="3"/>
      <c r="D1652" s="3"/>
      <c r="E1652" s="3"/>
      <c r="F1652" s="3"/>
      <c r="G1652" s="3"/>
      <c r="H1652" s="3"/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</row>
    <row r="1653">
      <c r="A1653" s="3"/>
      <c r="B1653" s="3"/>
      <c r="C1653" s="3"/>
      <c r="D1653" s="3"/>
      <c r="E1653" s="3"/>
      <c r="F1653" s="3"/>
      <c r="G1653" s="3"/>
      <c r="H1653" s="3"/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</row>
    <row r="1654">
      <c r="A1654" s="3"/>
      <c r="B1654" s="3"/>
      <c r="C1654" s="3"/>
      <c r="D1654" s="3"/>
      <c r="E1654" s="3"/>
      <c r="F1654" s="3"/>
      <c r="G1654" s="3"/>
      <c r="H1654" s="3"/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</row>
    <row r="1655">
      <c r="A1655" s="3"/>
      <c r="B1655" s="3"/>
      <c r="C1655" s="3"/>
      <c r="D1655" s="3"/>
      <c r="E1655" s="3"/>
      <c r="F1655" s="3"/>
      <c r="G1655" s="3"/>
      <c r="H1655" s="3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</row>
    <row r="1656">
      <c r="A1656" s="3"/>
      <c r="B1656" s="3"/>
      <c r="C1656" s="3"/>
      <c r="D1656" s="3"/>
      <c r="E1656" s="3"/>
      <c r="F1656" s="3"/>
      <c r="G1656" s="3"/>
      <c r="H1656" s="3"/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</row>
    <row r="1657">
      <c r="A1657" s="3"/>
      <c r="B1657" s="3"/>
      <c r="C1657" s="3"/>
      <c r="D1657" s="3"/>
      <c r="E1657" s="3"/>
      <c r="F1657" s="3"/>
      <c r="G1657" s="3"/>
      <c r="H1657" s="3"/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</row>
    <row r="1658">
      <c r="A1658" s="3"/>
      <c r="B1658" s="3"/>
      <c r="C1658" s="3"/>
      <c r="D1658" s="3"/>
      <c r="E1658" s="3"/>
      <c r="F1658" s="3"/>
      <c r="G1658" s="3"/>
      <c r="H1658" s="3"/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</row>
    <row r="1659">
      <c r="A1659" s="3"/>
      <c r="B1659" s="3"/>
      <c r="C1659" s="3"/>
      <c r="D1659" s="3"/>
      <c r="E1659" s="3"/>
      <c r="F1659" s="3"/>
      <c r="G1659" s="3"/>
      <c r="H1659" s="3"/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</row>
    <row r="1660">
      <c r="A1660" s="3"/>
      <c r="B1660" s="3"/>
      <c r="C1660" s="3"/>
      <c r="D1660" s="3"/>
      <c r="E1660" s="3"/>
      <c r="F1660" s="3"/>
      <c r="G1660" s="3"/>
      <c r="H1660" s="3"/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</row>
    <row r="1661">
      <c r="A1661" s="3"/>
      <c r="B1661" s="3"/>
      <c r="C1661" s="3"/>
      <c r="D1661" s="3"/>
      <c r="E1661" s="3"/>
      <c r="F1661" s="3"/>
      <c r="G1661" s="3"/>
      <c r="H1661" s="3"/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</row>
    <row r="1662">
      <c r="A1662" s="3"/>
      <c r="B1662" s="3"/>
      <c r="C1662" s="3"/>
      <c r="D1662" s="3"/>
      <c r="E1662" s="3"/>
      <c r="F1662" s="3"/>
      <c r="G1662" s="3"/>
      <c r="H1662" s="3"/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</row>
    <row r="1663">
      <c r="A1663" s="3"/>
      <c r="B1663" s="3"/>
      <c r="C1663" s="3"/>
      <c r="D1663" s="3"/>
      <c r="E1663" s="3"/>
      <c r="F1663" s="3"/>
      <c r="G1663" s="3"/>
      <c r="H1663" s="3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</row>
    <row r="1664">
      <c r="A1664" s="3"/>
      <c r="B1664" s="3"/>
      <c r="C1664" s="3"/>
      <c r="D1664" s="3"/>
      <c r="E1664" s="3"/>
      <c r="F1664" s="3"/>
      <c r="G1664" s="3"/>
      <c r="H1664" s="3"/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</row>
    <row r="1665">
      <c r="A1665" s="3"/>
      <c r="B1665" s="3"/>
      <c r="C1665" s="3"/>
      <c r="D1665" s="3"/>
      <c r="E1665" s="3"/>
      <c r="F1665" s="3"/>
      <c r="G1665" s="3"/>
      <c r="H1665" s="3"/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</row>
    <row r="1666">
      <c r="A1666" s="3"/>
      <c r="B1666" s="3"/>
      <c r="C1666" s="3"/>
      <c r="D1666" s="3"/>
      <c r="E1666" s="3"/>
      <c r="F1666" s="3"/>
      <c r="G1666" s="3"/>
      <c r="H1666" s="3"/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</row>
    <row r="1667">
      <c r="A1667" s="3"/>
      <c r="B1667" s="3"/>
      <c r="C1667" s="3"/>
      <c r="D1667" s="3"/>
      <c r="E1667" s="3"/>
      <c r="F1667" s="3"/>
      <c r="G1667" s="3"/>
      <c r="H1667" s="3"/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</row>
    <row r="1668">
      <c r="A1668" s="3"/>
      <c r="B1668" s="3"/>
      <c r="C1668" s="3"/>
      <c r="D1668" s="3"/>
      <c r="E1668" s="3"/>
      <c r="F1668" s="3"/>
      <c r="G1668" s="3"/>
      <c r="H1668" s="3"/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</row>
    <row r="1669">
      <c r="A1669" s="3"/>
      <c r="B1669" s="3"/>
      <c r="C1669" s="3"/>
      <c r="D1669" s="3"/>
      <c r="E1669" s="3"/>
      <c r="F1669" s="3"/>
      <c r="G1669" s="3"/>
      <c r="H1669" s="3"/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</row>
    <row r="1670">
      <c r="A1670" s="3"/>
      <c r="B1670" s="3"/>
      <c r="C1670" s="3"/>
      <c r="D1670" s="3"/>
      <c r="E1670" s="3"/>
      <c r="F1670" s="3"/>
      <c r="G1670" s="3"/>
      <c r="H1670" s="3"/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</row>
    <row r="1671">
      <c r="A1671" s="3"/>
      <c r="B1671" s="3"/>
      <c r="C1671" s="3"/>
      <c r="D1671" s="3"/>
      <c r="E1671" s="3"/>
      <c r="F1671" s="3"/>
      <c r="G1671" s="3"/>
      <c r="H1671" s="3"/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</row>
    <row r="1672">
      <c r="A1672" s="3"/>
      <c r="B1672" s="3"/>
      <c r="C1672" s="3"/>
      <c r="D1672" s="3"/>
      <c r="E1672" s="3"/>
      <c r="F1672" s="3"/>
      <c r="G1672" s="3"/>
      <c r="H1672" s="3"/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</row>
    <row r="1673">
      <c r="A1673" s="3"/>
      <c r="B1673" s="3"/>
      <c r="C1673" s="3"/>
      <c r="D1673" s="3"/>
      <c r="E1673" s="3"/>
      <c r="F1673" s="3"/>
      <c r="G1673" s="3"/>
      <c r="H1673" s="3"/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</row>
    <row r="1674">
      <c r="A1674" s="3"/>
      <c r="B1674" s="3"/>
      <c r="C1674" s="3"/>
      <c r="D1674" s="3"/>
      <c r="E1674" s="3"/>
      <c r="F1674" s="3"/>
      <c r="G1674" s="3"/>
      <c r="H1674" s="3"/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</row>
    <row r="1675">
      <c r="A1675" s="3"/>
      <c r="B1675" s="3"/>
      <c r="C1675" s="3"/>
      <c r="D1675" s="3"/>
      <c r="E1675" s="3"/>
      <c r="F1675" s="3"/>
      <c r="G1675" s="3"/>
      <c r="H1675" s="3"/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</row>
    <row r="1676">
      <c r="A1676" s="3"/>
      <c r="B1676" s="3"/>
      <c r="C1676" s="3"/>
      <c r="D1676" s="3"/>
      <c r="E1676" s="3"/>
      <c r="F1676" s="3"/>
      <c r="G1676" s="3"/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</row>
    <row r="1677">
      <c r="A1677" s="3"/>
      <c r="B1677" s="3"/>
      <c r="C1677" s="3"/>
      <c r="D1677" s="3"/>
      <c r="E1677" s="3"/>
      <c r="F1677" s="3"/>
      <c r="G1677" s="3"/>
      <c r="H1677" s="3"/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</row>
    <row r="1678">
      <c r="A1678" s="3"/>
      <c r="B1678" s="3"/>
      <c r="C1678" s="3"/>
      <c r="D1678" s="3"/>
      <c r="E1678" s="3"/>
      <c r="F1678" s="3"/>
      <c r="G1678" s="3"/>
      <c r="H1678" s="3"/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</row>
    <row r="1679">
      <c r="A1679" s="3"/>
      <c r="B1679" s="3"/>
      <c r="C1679" s="3"/>
      <c r="D1679" s="3"/>
      <c r="E1679" s="3"/>
      <c r="F1679" s="3"/>
      <c r="G1679" s="3"/>
      <c r="H1679" s="3"/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</row>
    <row r="1680">
      <c r="A1680" s="3"/>
      <c r="B1680" s="3"/>
      <c r="C1680" s="3"/>
      <c r="D1680" s="3"/>
      <c r="E1680" s="3"/>
      <c r="F1680" s="3"/>
      <c r="G1680" s="3"/>
      <c r="H1680" s="3"/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</row>
    <row r="1681">
      <c r="A1681" s="3"/>
      <c r="B1681" s="3"/>
      <c r="C1681" s="3"/>
      <c r="D1681" s="3"/>
      <c r="E1681" s="3"/>
      <c r="F1681" s="3"/>
      <c r="G1681" s="3"/>
      <c r="H1681" s="3"/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</row>
    <row r="1682">
      <c r="A1682" s="3"/>
      <c r="B1682" s="3"/>
      <c r="C1682" s="3"/>
      <c r="D1682" s="3"/>
      <c r="E1682" s="3"/>
      <c r="F1682" s="3"/>
      <c r="G1682" s="3"/>
      <c r="H1682" s="3"/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</row>
    <row r="1683">
      <c r="A1683" s="3"/>
      <c r="B1683" s="3"/>
      <c r="C1683" s="3"/>
      <c r="D1683" s="3"/>
      <c r="E1683" s="3"/>
      <c r="F1683" s="3"/>
      <c r="G1683" s="3"/>
      <c r="H1683" s="3"/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</row>
    <row r="1684">
      <c r="A1684" s="3"/>
      <c r="B1684" s="3"/>
      <c r="C1684" s="3"/>
      <c r="D1684" s="3"/>
      <c r="E1684" s="3"/>
      <c r="F1684" s="3"/>
      <c r="G1684" s="3"/>
      <c r="H1684" s="3"/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</row>
    <row r="1685">
      <c r="A1685" s="3"/>
      <c r="B1685" s="3"/>
      <c r="C1685" s="3"/>
      <c r="D1685" s="3"/>
      <c r="E1685" s="3"/>
      <c r="F1685" s="3"/>
      <c r="G1685" s="3"/>
      <c r="H1685" s="3"/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</row>
    <row r="1686">
      <c r="A1686" s="3"/>
      <c r="B1686" s="3"/>
      <c r="C1686" s="3"/>
      <c r="D1686" s="3"/>
      <c r="E1686" s="3"/>
      <c r="F1686" s="3"/>
      <c r="G1686" s="3"/>
      <c r="H1686" s="3"/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</row>
    <row r="1687">
      <c r="A1687" s="3"/>
      <c r="B1687" s="3"/>
      <c r="C1687" s="3"/>
      <c r="D1687" s="3"/>
      <c r="E1687" s="3"/>
      <c r="F1687" s="3"/>
      <c r="G1687" s="3"/>
      <c r="H1687" s="3"/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</row>
    <row r="1688">
      <c r="A1688" s="3"/>
      <c r="B1688" s="3"/>
      <c r="C1688" s="3"/>
      <c r="D1688" s="3"/>
      <c r="E1688" s="3"/>
      <c r="F1688" s="3"/>
      <c r="G1688" s="3"/>
      <c r="H1688" s="3"/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</row>
    <row r="1689">
      <c r="A1689" s="3"/>
      <c r="B1689" s="3"/>
      <c r="C1689" s="3"/>
      <c r="D1689" s="3"/>
      <c r="E1689" s="3"/>
      <c r="F1689" s="3"/>
      <c r="G1689" s="3"/>
      <c r="H1689" s="3"/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</row>
    <row r="1690">
      <c r="A1690" s="3"/>
      <c r="B1690" s="3"/>
      <c r="C1690" s="3"/>
      <c r="D1690" s="3"/>
      <c r="E1690" s="3"/>
      <c r="F1690" s="3"/>
      <c r="G1690" s="3"/>
      <c r="H1690" s="3"/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</row>
    <row r="1691">
      <c r="A1691" s="3"/>
      <c r="B1691" s="3"/>
      <c r="C1691" s="3"/>
      <c r="D1691" s="3"/>
      <c r="E1691" s="3"/>
      <c r="F1691" s="3"/>
      <c r="G1691" s="3"/>
      <c r="H1691" s="3"/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</row>
    <row r="1692">
      <c r="A1692" s="3"/>
      <c r="B1692" s="3"/>
      <c r="C1692" s="3"/>
      <c r="D1692" s="3"/>
      <c r="E1692" s="3"/>
      <c r="F1692" s="3"/>
      <c r="G1692" s="3"/>
      <c r="H1692" s="3"/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</row>
    <row r="1693">
      <c r="A1693" s="3"/>
      <c r="B1693" s="3"/>
      <c r="C1693" s="3"/>
      <c r="D1693" s="3"/>
      <c r="E1693" s="3"/>
      <c r="F1693" s="3"/>
      <c r="G1693" s="3"/>
      <c r="H1693" s="3"/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</row>
    <row r="1694">
      <c r="A1694" s="3"/>
      <c r="B1694" s="3"/>
      <c r="C1694" s="3"/>
      <c r="D1694" s="3"/>
      <c r="E1694" s="3"/>
      <c r="F1694" s="3"/>
      <c r="G1694" s="3"/>
      <c r="H1694" s="3"/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</row>
    <row r="1695">
      <c r="A1695" s="3"/>
      <c r="B1695" s="3"/>
      <c r="C1695" s="3"/>
      <c r="D1695" s="3"/>
      <c r="E1695" s="3"/>
      <c r="F1695" s="3"/>
      <c r="G1695" s="3"/>
      <c r="H1695" s="3"/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</row>
    <row r="1696">
      <c r="A1696" s="3"/>
      <c r="B1696" s="3"/>
      <c r="C1696" s="3"/>
      <c r="D1696" s="3"/>
      <c r="E1696" s="3"/>
      <c r="F1696" s="3"/>
      <c r="G1696" s="3"/>
      <c r="H1696" s="3"/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</row>
    <row r="1697">
      <c r="A1697" s="3"/>
      <c r="B1697" s="3"/>
      <c r="C1697" s="3"/>
      <c r="D1697" s="3"/>
      <c r="E1697" s="3"/>
      <c r="F1697" s="3"/>
      <c r="G1697" s="3"/>
      <c r="H1697" s="3"/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</row>
    <row r="1698">
      <c r="A1698" s="3"/>
      <c r="B1698" s="3"/>
      <c r="C1698" s="3"/>
      <c r="D1698" s="3"/>
      <c r="E1698" s="3"/>
      <c r="F1698" s="3"/>
      <c r="G1698" s="3"/>
      <c r="H1698" s="3"/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</row>
    <row r="1699">
      <c r="A1699" s="3"/>
      <c r="B1699" s="3"/>
      <c r="C1699" s="3"/>
      <c r="D1699" s="3"/>
      <c r="E1699" s="3"/>
      <c r="F1699" s="3"/>
      <c r="G1699" s="3"/>
      <c r="H1699" s="3"/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</row>
    <row r="1700">
      <c r="A1700" s="3"/>
      <c r="B1700" s="3"/>
      <c r="C1700" s="3"/>
      <c r="D1700" s="3"/>
      <c r="E1700" s="3"/>
      <c r="F1700" s="3"/>
      <c r="G1700" s="3"/>
      <c r="H1700" s="3"/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</row>
    <row r="1701">
      <c r="A1701" s="3"/>
      <c r="B1701" s="3"/>
      <c r="C1701" s="3"/>
      <c r="D1701" s="3"/>
      <c r="E1701" s="3"/>
      <c r="F1701" s="3"/>
      <c r="G1701" s="3"/>
      <c r="H1701" s="3"/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</row>
    <row r="1702">
      <c r="A1702" s="3"/>
      <c r="B1702" s="3"/>
      <c r="C1702" s="3"/>
      <c r="D1702" s="3"/>
      <c r="E1702" s="3"/>
      <c r="F1702" s="3"/>
      <c r="G1702" s="3"/>
      <c r="H1702" s="3"/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</row>
    <row r="1703">
      <c r="A1703" s="3"/>
      <c r="B1703" s="3"/>
      <c r="C1703" s="3"/>
      <c r="D1703" s="3"/>
      <c r="E1703" s="3"/>
      <c r="F1703" s="3"/>
      <c r="G1703" s="3"/>
      <c r="H1703" s="3"/>
      <c r="I1703" s="3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</row>
    <row r="1704">
      <c r="A1704" s="3"/>
      <c r="B1704" s="3"/>
      <c r="C1704" s="3"/>
      <c r="D1704" s="3"/>
      <c r="E1704" s="3"/>
      <c r="F1704" s="3"/>
      <c r="G1704" s="3"/>
      <c r="H1704" s="3"/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</row>
    <row r="1705">
      <c r="A1705" s="3"/>
      <c r="B1705" s="3"/>
      <c r="C1705" s="3"/>
      <c r="D1705" s="3"/>
      <c r="E1705" s="3"/>
      <c r="F1705" s="3"/>
      <c r="G1705" s="3"/>
      <c r="H1705" s="3"/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</row>
    <row r="1706">
      <c r="A1706" s="3"/>
      <c r="B1706" s="3"/>
      <c r="C1706" s="3"/>
      <c r="D1706" s="3"/>
      <c r="E1706" s="3"/>
      <c r="F1706" s="3"/>
      <c r="G1706" s="3"/>
      <c r="H1706" s="3"/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</row>
    <row r="1707">
      <c r="A1707" s="3"/>
      <c r="B1707" s="3"/>
      <c r="C1707" s="3"/>
      <c r="D1707" s="3"/>
      <c r="E1707" s="3"/>
      <c r="F1707" s="3"/>
      <c r="G1707" s="3"/>
      <c r="H1707" s="3"/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</row>
    <row r="1708">
      <c r="A1708" s="3"/>
      <c r="B1708" s="3"/>
      <c r="C1708" s="3"/>
      <c r="D1708" s="3"/>
      <c r="E1708" s="3"/>
      <c r="F1708" s="3"/>
      <c r="G1708" s="3"/>
      <c r="H1708" s="3"/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</row>
    <row r="1709">
      <c r="A1709" s="3"/>
      <c r="B1709" s="3"/>
      <c r="C1709" s="3"/>
      <c r="D1709" s="3"/>
      <c r="E1709" s="3"/>
      <c r="F1709" s="3"/>
      <c r="G1709" s="3"/>
      <c r="H1709" s="3"/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</row>
    <row r="1710">
      <c r="A1710" s="3"/>
      <c r="B1710" s="3"/>
      <c r="C1710" s="3"/>
      <c r="D1710" s="3"/>
      <c r="E1710" s="3"/>
      <c r="F1710" s="3"/>
      <c r="G1710" s="3"/>
      <c r="H1710" s="3"/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</row>
    <row r="1711">
      <c r="A1711" s="3"/>
      <c r="B1711" s="3"/>
      <c r="C1711" s="3"/>
      <c r="D1711" s="3"/>
      <c r="E1711" s="3"/>
      <c r="F1711" s="3"/>
      <c r="G1711" s="3"/>
      <c r="H1711" s="3"/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</row>
    <row r="1712">
      <c r="A1712" s="3"/>
      <c r="B1712" s="3"/>
      <c r="C1712" s="3"/>
      <c r="D1712" s="3"/>
      <c r="E1712" s="3"/>
      <c r="F1712" s="3"/>
      <c r="G1712" s="3"/>
      <c r="H1712" s="3"/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</row>
    <row r="1713">
      <c r="A1713" s="3"/>
      <c r="B1713" s="3"/>
      <c r="C1713" s="3"/>
      <c r="D1713" s="3"/>
      <c r="E1713" s="3"/>
      <c r="F1713" s="3"/>
      <c r="G1713" s="3"/>
      <c r="H1713" s="3"/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</row>
    <row r="1714">
      <c r="A1714" s="3"/>
      <c r="B1714" s="3"/>
      <c r="C1714" s="3"/>
      <c r="D1714" s="3"/>
      <c r="E1714" s="3"/>
      <c r="F1714" s="3"/>
      <c r="G1714" s="3"/>
      <c r="H1714" s="3"/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</row>
    <row r="1715">
      <c r="A1715" s="3"/>
      <c r="B1715" s="3"/>
      <c r="C1715" s="3"/>
      <c r="D1715" s="3"/>
      <c r="E1715" s="3"/>
      <c r="F1715" s="3"/>
      <c r="G1715" s="3"/>
      <c r="H1715" s="3"/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</row>
    <row r="1716">
      <c r="A1716" s="3"/>
      <c r="B1716" s="3"/>
      <c r="C1716" s="3"/>
      <c r="D1716" s="3"/>
      <c r="E1716" s="3"/>
      <c r="F1716" s="3"/>
      <c r="G1716" s="3"/>
      <c r="H1716" s="3"/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</row>
    <row r="1717">
      <c r="A1717" s="3"/>
      <c r="B1717" s="3"/>
      <c r="C1717" s="3"/>
      <c r="D1717" s="3"/>
      <c r="E1717" s="3"/>
      <c r="F1717" s="3"/>
      <c r="G1717" s="3"/>
      <c r="H1717" s="3"/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</row>
    <row r="1718">
      <c r="A1718" s="3"/>
      <c r="B1718" s="3"/>
      <c r="C1718" s="3"/>
      <c r="D1718" s="3"/>
      <c r="E1718" s="3"/>
      <c r="F1718" s="3"/>
      <c r="G1718" s="3"/>
      <c r="H1718" s="3"/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</row>
    <row r="1719">
      <c r="A1719" s="3"/>
      <c r="B1719" s="3"/>
      <c r="C1719" s="3"/>
      <c r="D1719" s="3"/>
      <c r="E1719" s="3"/>
      <c r="F1719" s="3"/>
      <c r="G1719" s="3"/>
      <c r="H1719" s="3"/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</row>
    <row r="1720">
      <c r="A1720" s="3"/>
      <c r="B1720" s="3"/>
      <c r="C1720" s="3"/>
      <c r="D1720" s="3"/>
      <c r="E1720" s="3"/>
      <c r="F1720" s="3"/>
      <c r="G1720" s="3"/>
      <c r="H1720" s="3"/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</row>
    <row r="1721">
      <c r="A1721" s="3"/>
      <c r="B1721" s="3"/>
      <c r="C1721" s="3"/>
      <c r="D1721" s="3"/>
      <c r="E1721" s="3"/>
      <c r="F1721" s="3"/>
      <c r="G1721" s="3"/>
      <c r="H1721" s="3"/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</row>
    <row r="1722">
      <c r="A1722" s="3"/>
      <c r="B1722" s="3"/>
      <c r="C1722" s="3"/>
      <c r="D1722" s="3"/>
      <c r="E1722" s="3"/>
      <c r="F1722" s="3"/>
      <c r="G1722" s="3"/>
      <c r="H1722" s="3"/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</row>
    <row r="1723">
      <c r="A1723" s="3"/>
      <c r="B1723" s="3"/>
      <c r="C1723" s="3"/>
      <c r="D1723" s="3"/>
      <c r="E1723" s="3"/>
      <c r="F1723" s="3"/>
      <c r="G1723" s="3"/>
      <c r="H1723" s="3"/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</row>
    <row r="1724">
      <c r="A1724" s="3"/>
      <c r="B1724" s="3"/>
      <c r="C1724" s="3"/>
      <c r="D1724" s="3"/>
      <c r="E1724" s="3"/>
      <c r="F1724" s="3"/>
      <c r="G1724" s="3"/>
      <c r="H1724" s="3"/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</row>
    <row r="1725">
      <c r="A1725" s="3"/>
      <c r="B1725" s="3"/>
      <c r="C1725" s="3"/>
      <c r="D1725" s="3"/>
      <c r="E1725" s="3"/>
      <c r="F1725" s="3"/>
      <c r="G1725" s="3"/>
      <c r="H1725" s="3"/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</row>
    <row r="1726">
      <c r="A1726" s="3"/>
      <c r="B1726" s="3"/>
      <c r="C1726" s="3"/>
      <c r="D1726" s="3"/>
      <c r="E1726" s="3"/>
      <c r="F1726" s="3"/>
      <c r="G1726" s="3"/>
      <c r="H1726" s="3"/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</row>
    <row r="1727">
      <c r="A1727" s="3"/>
      <c r="B1727" s="3"/>
      <c r="C1727" s="3"/>
      <c r="D1727" s="3"/>
      <c r="E1727" s="3"/>
      <c r="F1727" s="3"/>
      <c r="G1727" s="3"/>
      <c r="H1727" s="3"/>
      <c r="I1727" s="3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</row>
    <row r="1728">
      <c r="A1728" s="3"/>
      <c r="B1728" s="3"/>
      <c r="C1728" s="3"/>
      <c r="D1728" s="3"/>
      <c r="E1728" s="3"/>
      <c r="F1728" s="3"/>
      <c r="G1728" s="3"/>
      <c r="H1728" s="3"/>
      <c r="I1728" s="3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</row>
    <row r="1729">
      <c r="A1729" s="3"/>
      <c r="B1729" s="3"/>
      <c r="C1729" s="3"/>
      <c r="D1729" s="3"/>
      <c r="E1729" s="3"/>
      <c r="F1729" s="3"/>
      <c r="G1729" s="3"/>
      <c r="H1729" s="3"/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</row>
    <row r="1730">
      <c r="A1730" s="3"/>
      <c r="B1730" s="3"/>
      <c r="C1730" s="3"/>
      <c r="D1730" s="3"/>
      <c r="E1730" s="3"/>
      <c r="F1730" s="3"/>
      <c r="G1730" s="3"/>
      <c r="H1730" s="3"/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</row>
    <row r="1731">
      <c r="A1731" s="3"/>
      <c r="B1731" s="3"/>
      <c r="C1731" s="3"/>
      <c r="D1731" s="3"/>
      <c r="E1731" s="3"/>
      <c r="F1731" s="3"/>
      <c r="G1731" s="3"/>
      <c r="H1731" s="3"/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</row>
    <row r="1732">
      <c r="A1732" s="3"/>
      <c r="B1732" s="3"/>
      <c r="C1732" s="3"/>
      <c r="D1732" s="3"/>
      <c r="E1732" s="3"/>
      <c r="F1732" s="3"/>
      <c r="G1732" s="3"/>
      <c r="H1732" s="3"/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</row>
    <row r="1733">
      <c r="A1733" s="3"/>
      <c r="B1733" s="3"/>
      <c r="C1733" s="3"/>
      <c r="D1733" s="3"/>
      <c r="E1733" s="3"/>
      <c r="F1733" s="3"/>
      <c r="G1733" s="3"/>
      <c r="H1733" s="3"/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</row>
    <row r="1734">
      <c r="A1734" s="3"/>
      <c r="B1734" s="3"/>
      <c r="C1734" s="3"/>
      <c r="D1734" s="3"/>
      <c r="E1734" s="3"/>
      <c r="F1734" s="3"/>
      <c r="G1734" s="3"/>
      <c r="H1734" s="3"/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</row>
    <row r="1735">
      <c r="A1735" s="3"/>
      <c r="B1735" s="3"/>
      <c r="C1735" s="3"/>
      <c r="D1735" s="3"/>
      <c r="E1735" s="3"/>
      <c r="F1735" s="3"/>
      <c r="G1735" s="3"/>
      <c r="H1735" s="3"/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</row>
    <row r="1736">
      <c r="A1736" s="3"/>
      <c r="B1736" s="3"/>
      <c r="C1736" s="3"/>
      <c r="D1736" s="3"/>
      <c r="E1736" s="3"/>
      <c r="F1736" s="3"/>
      <c r="G1736" s="3"/>
      <c r="H1736" s="3"/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</row>
    <row r="1737">
      <c r="A1737" s="3"/>
      <c r="B1737" s="3"/>
      <c r="C1737" s="3"/>
      <c r="D1737" s="3"/>
      <c r="E1737" s="3"/>
      <c r="F1737" s="3"/>
      <c r="G1737" s="3"/>
      <c r="H1737" s="3"/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</row>
    <row r="1738">
      <c r="A1738" s="3"/>
      <c r="B1738" s="3"/>
      <c r="C1738" s="3"/>
      <c r="D1738" s="3"/>
      <c r="E1738" s="3"/>
      <c r="F1738" s="3"/>
      <c r="G1738" s="3"/>
      <c r="H1738" s="3"/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</row>
    <row r="1739">
      <c r="A1739" s="3"/>
      <c r="B1739" s="3"/>
      <c r="C1739" s="3"/>
      <c r="D1739" s="3"/>
      <c r="E1739" s="3"/>
      <c r="F1739" s="3"/>
      <c r="G1739" s="3"/>
      <c r="H1739" s="3"/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</row>
    <row r="1740">
      <c r="A1740" s="3"/>
      <c r="B1740" s="3"/>
      <c r="C1740" s="3"/>
      <c r="D1740" s="3"/>
      <c r="E1740" s="3"/>
      <c r="F1740" s="3"/>
      <c r="G1740" s="3"/>
      <c r="H1740" s="3"/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</row>
    <row r="1741">
      <c r="A1741" s="3"/>
      <c r="B1741" s="3"/>
      <c r="C1741" s="3"/>
      <c r="D1741" s="3"/>
      <c r="E1741" s="3"/>
      <c r="F1741" s="3"/>
      <c r="G1741" s="3"/>
      <c r="H1741" s="3"/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</row>
    <row r="1742">
      <c r="A1742" s="3"/>
      <c r="B1742" s="3"/>
      <c r="C1742" s="3"/>
      <c r="D1742" s="3"/>
      <c r="E1742" s="3"/>
      <c r="F1742" s="3"/>
      <c r="G1742" s="3"/>
      <c r="H1742" s="3"/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</row>
    <row r="1743">
      <c r="A1743" s="3"/>
      <c r="B1743" s="3"/>
      <c r="C1743" s="3"/>
      <c r="D1743" s="3"/>
      <c r="E1743" s="3"/>
      <c r="F1743" s="3"/>
      <c r="G1743" s="3"/>
      <c r="H1743" s="3"/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</row>
    <row r="1744">
      <c r="A1744" s="3"/>
      <c r="B1744" s="3"/>
      <c r="C1744" s="3"/>
      <c r="D1744" s="3"/>
      <c r="E1744" s="3"/>
      <c r="F1744" s="3"/>
      <c r="G1744" s="3"/>
      <c r="H1744" s="3"/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</row>
    <row r="1745">
      <c r="A1745" s="3"/>
      <c r="B1745" s="3"/>
      <c r="C1745" s="3"/>
      <c r="D1745" s="3"/>
      <c r="E1745" s="3"/>
      <c r="F1745" s="3"/>
      <c r="G1745" s="3"/>
      <c r="H1745" s="3"/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</row>
    <row r="1746">
      <c r="A1746" s="3"/>
      <c r="B1746" s="3"/>
      <c r="C1746" s="3"/>
      <c r="D1746" s="3"/>
      <c r="E1746" s="3"/>
      <c r="F1746" s="3"/>
      <c r="G1746" s="3"/>
      <c r="H1746" s="3"/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</row>
    <row r="1747">
      <c r="A1747" s="3"/>
      <c r="B1747" s="3"/>
      <c r="C1747" s="3"/>
      <c r="D1747" s="3"/>
      <c r="E1747" s="3"/>
      <c r="F1747" s="3"/>
      <c r="G1747" s="3"/>
      <c r="H1747" s="3"/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</row>
    <row r="1748">
      <c r="A1748" s="3"/>
      <c r="B1748" s="3"/>
      <c r="C1748" s="3"/>
      <c r="D1748" s="3"/>
      <c r="E1748" s="3"/>
      <c r="F1748" s="3"/>
      <c r="G1748" s="3"/>
      <c r="H1748" s="3"/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</row>
    <row r="1749">
      <c r="A1749" s="3"/>
      <c r="B1749" s="3"/>
      <c r="C1749" s="3"/>
      <c r="D1749" s="3"/>
      <c r="E1749" s="3"/>
      <c r="F1749" s="3"/>
      <c r="G1749" s="3"/>
      <c r="H1749" s="3"/>
      <c r="I1749" s="3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</row>
    <row r="1750">
      <c r="A1750" s="3"/>
      <c r="B1750" s="3"/>
      <c r="C1750" s="3"/>
      <c r="D1750" s="3"/>
      <c r="E1750" s="3"/>
      <c r="F1750" s="3"/>
      <c r="G1750" s="3"/>
      <c r="H1750" s="3"/>
      <c r="I1750" s="3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</row>
    <row r="1751">
      <c r="A1751" s="3"/>
      <c r="B1751" s="3"/>
      <c r="C1751" s="3"/>
      <c r="D1751" s="3"/>
      <c r="E1751" s="3"/>
      <c r="F1751" s="3"/>
      <c r="G1751" s="3"/>
      <c r="H1751" s="3"/>
      <c r="I1751" s="3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</row>
    <row r="1752">
      <c r="A1752" s="3"/>
      <c r="B1752" s="3"/>
      <c r="C1752" s="3"/>
      <c r="D1752" s="3"/>
      <c r="E1752" s="3"/>
      <c r="F1752" s="3"/>
      <c r="G1752" s="3"/>
      <c r="H1752" s="3"/>
      <c r="I1752" s="3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</row>
    <row r="1753">
      <c r="A1753" s="3"/>
      <c r="B1753" s="3"/>
      <c r="C1753" s="3"/>
      <c r="D1753" s="3"/>
      <c r="E1753" s="3"/>
      <c r="F1753" s="3"/>
      <c r="G1753" s="3"/>
      <c r="H1753" s="3"/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</row>
    <row r="1754">
      <c r="A1754" s="3"/>
      <c r="B1754" s="3"/>
      <c r="C1754" s="3"/>
      <c r="D1754" s="3"/>
      <c r="E1754" s="3"/>
      <c r="F1754" s="3"/>
      <c r="G1754" s="3"/>
      <c r="H1754" s="3"/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</row>
    <row r="1755">
      <c r="A1755" s="3"/>
      <c r="B1755" s="3"/>
      <c r="C1755" s="3"/>
      <c r="D1755" s="3"/>
      <c r="E1755" s="3"/>
      <c r="F1755" s="3"/>
      <c r="G1755" s="3"/>
      <c r="H1755" s="3"/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</row>
    <row r="1756">
      <c r="A1756" s="3"/>
      <c r="B1756" s="3"/>
      <c r="C1756" s="3"/>
      <c r="D1756" s="3"/>
      <c r="E1756" s="3"/>
      <c r="F1756" s="3"/>
      <c r="G1756" s="3"/>
      <c r="H1756" s="3"/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</row>
    <row r="1757">
      <c r="A1757" s="3"/>
      <c r="B1757" s="3"/>
      <c r="C1757" s="3"/>
      <c r="D1757" s="3"/>
      <c r="E1757" s="3"/>
      <c r="F1757" s="3"/>
      <c r="G1757" s="3"/>
      <c r="H1757" s="3"/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</row>
    <row r="1758">
      <c r="A1758" s="3"/>
      <c r="B1758" s="3"/>
      <c r="C1758" s="3"/>
      <c r="D1758" s="3"/>
      <c r="E1758" s="3"/>
      <c r="F1758" s="3"/>
      <c r="G1758" s="3"/>
      <c r="H1758" s="3"/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</row>
    <row r="1759">
      <c r="A1759" s="3"/>
      <c r="B1759" s="3"/>
      <c r="C1759" s="3"/>
      <c r="D1759" s="3"/>
      <c r="E1759" s="3"/>
      <c r="F1759" s="3"/>
      <c r="G1759" s="3"/>
      <c r="H1759" s="3"/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</row>
    <row r="1760">
      <c r="A1760" s="3"/>
      <c r="B1760" s="3"/>
      <c r="C1760" s="3"/>
      <c r="D1760" s="3"/>
      <c r="E1760" s="3"/>
      <c r="F1760" s="3"/>
      <c r="G1760" s="3"/>
      <c r="H1760" s="3"/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</row>
    <row r="1761">
      <c r="A1761" s="3"/>
      <c r="B1761" s="3"/>
      <c r="C1761" s="3"/>
      <c r="D1761" s="3"/>
      <c r="E1761" s="3"/>
      <c r="F1761" s="3"/>
      <c r="G1761" s="3"/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</row>
    <row r="1762">
      <c r="A1762" s="3"/>
      <c r="B1762" s="3"/>
      <c r="C1762" s="3"/>
      <c r="D1762" s="3"/>
      <c r="E1762" s="3"/>
      <c r="F1762" s="3"/>
      <c r="G1762" s="3"/>
      <c r="H1762" s="3"/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</row>
    <row r="1763">
      <c r="A1763" s="3"/>
      <c r="B1763" s="3"/>
      <c r="C1763" s="3"/>
      <c r="D1763" s="3"/>
      <c r="E1763" s="3"/>
      <c r="F1763" s="3"/>
      <c r="G1763" s="3"/>
      <c r="H1763" s="3"/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</row>
    <row r="1764">
      <c r="A1764" s="3"/>
      <c r="B1764" s="3"/>
      <c r="C1764" s="3"/>
      <c r="D1764" s="3"/>
      <c r="E1764" s="3"/>
      <c r="F1764" s="3"/>
      <c r="G1764" s="3"/>
      <c r="H1764" s="3"/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</row>
    <row r="1765">
      <c r="A1765" s="3"/>
      <c r="B1765" s="3"/>
      <c r="C1765" s="3"/>
      <c r="D1765" s="3"/>
      <c r="E1765" s="3"/>
      <c r="F1765" s="3"/>
      <c r="G1765" s="3"/>
      <c r="H1765" s="3"/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</row>
    <row r="1766">
      <c r="A1766" s="3"/>
      <c r="B1766" s="3"/>
      <c r="C1766" s="3"/>
      <c r="D1766" s="3"/>
      <c r="E1766" s="3"/>
      <c r="F1766" s="3"/>
      <c r="G1766" s="3"/>
      <c r="H1766" s="3"/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</row>
    <row r="1767">
      <c r="A1767" s="3"/>
      <c r="B1767" s="3"/>
      <c r="C1767" s="3"/>
      <c r="D1767" s="3"/>
      <c r="E1767" s="3"/>
      <c r="F1767" s="3"/>
      <c r="G1767" s="3"/>
      <c r="H1767" s="3"/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</row>
    <row r="1768">
      <c r="A1768" s="3"/>
      <c r="B1768" s="3"/>
      <c r="C1768" s="3"/>
      <c r="D1768" s="3"/>
      <c r="E1768" s="3"/>
      <c r="F1768" s="3"/>
      <c r="G1768" s="3"/>
      <c r="H1768" s="3"/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</row>
    <row r="1769">
      <c r="A1769" s="3"/>
      <c r="B1769" s="3"/>
      <c r="C1769" s="3"/>
      <c r="D1769" s="3"/>
      <c r="E1769" s="3"/>
      <c r="F1769" s="3"/>
      <c r="G1769" s="3"/>
      <c r="H1769" s="3"/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</row>
    <row r="1770">
      <c r="A1770" s="3"/>
      <c r="B1770" s="3"/>
      <c r="C1770" s="3"/>
      <c r="D1770" s="3"/>
      <c r="E1770" s="3"/>
      <c r="F1770" s="3"/>
      <c r="G1770" s="3"/>
      <c r="H1770" s="3"/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</row>
    <row r="1771">
      <c r="A1771" s="3"/>
      <c r="B1771" s="3"/>
      <c r="C1771" s="3"/>
      <c r="D1771" s="3"/>
      <c r="E1771" s="3"/>
      <c r="F1771" s="3"/>
      <c r="G1771" s="3"/>
      <c r="H1771" s="3"/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</row>
    <row r="1772">
      <c r="A1772" s="3"/>
      <c r="B1772" s="3"/>
      <c r="C1772" s="3"/>
      <c r="D1772" s="3"/>
      <c r="E1772" s="3"/>
      <c r="F1772" s="3"/>
      <c r="G1772" s="3"/>
      <c r="H1772" s="3"/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</row>
    <row r="1773">
      <c r="A1773" s="3"/>
      <c r="B1773" s="3"/>
      <c r="C1773" s="3"/>
      <c r="D1773" s="3"/>
      <c r="E1773" s="3"/>
      <c r="F1773" s="3"/>
      <c r="G1773" s="3"/>
      <c r="H1773" s="3"/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</row>
    <row r="1774">
      <c r="A1774" s="3"/>
      <c r="B1774" s="3"/>
      <c r="C1774" s="3"/>
      <c r="D1774" s="3"/>
      <c r="E1774" s="3"/>
      <c r="F1774" s="3"/>
      <c r="G1774" s="3"/>
      <c r="H1774" s="3"/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</row>
    <row r="1775">
      <c r="A1775" s="3"/>
      <c r="B1775" s="3"/>
      <c r="C1775" s="3"/>
      <c r="D1775" s="3"/>
      <c r="E1775" s="3"/>
      <c r="F1775" s="3"/>
      <c r="G1775" s="3"/>
      <c r="H1775" s="3"/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</row>
    <row r="1776">
      <c r="A1776" s="3"/>
      <c r="B1776" s="3"/>
      <c r="C1776" s="3"/>
      <c r="D1776" s="3"/>
      <c r="E1776" s="3"/>
      <c r="F1776" s="3"/>
      <c r="G1776" s="3"/>
      <c r="H1776" s="3"/>
      <c r="I1776" s="3"/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</row>
    <row r="1777">
      <c r="A1777" s="3"/>
      <c r="B1777" s="3"/>
      <c r="C1777" s="3"/>
      <c r="D1777" s="3"/>
      <c r="E1777" s="3"/>
      <c r="F1777" s="3"/>
      <c r="G1777" s="3"/>
      <c r="H1777" s="3"/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</row>
    <row r="1778">
      <c r="A1778" s="3"/>
      <c r="B1778" s="3"/>
      <c r="C1778" s="3"/>
      <c r="D1778" s="3"/>
      <c r="E1778" s="3"/>
      <c r="F1778" s="3"/>
      <c r="G1778" s="3"/>
      <c r="H1778" s="3"/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</row>
    <row r="1779">
      <c r="A1779" s="3"/>
      <c r="B1779" s="3"/>
      <c r="C1779" s="3"/>
      <c r="D1779" s="3"/>
      <c r="E1779" s="3"/>
      <c r="F1779" s="3"/>
      <c r="G1779" s="3"/>
      <c r="H1779" s="3"/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</row>
    <row r="1780">
      <c r="A1780" s="3"/>
      <c r="B1780" s="3"/>
      <c r="C1780" s="3"/>
      <c r="D1780" s="3"/>
      <c r="E1780" s="3"/>
      <c r="F1780" s="3"/>
      <c r="G1780" s="3"/>
      <c r="H1780" s="3"/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</row>
    <row r="1781">
      <c r="A1781" s="3"/>
      <c r="B1781" s="3"/>
      <c r="C1781" s="3"/>
      <c r="D1781" s="3"/>
      <c r="E1781" s="3"/>
      <c r="F1781" s="3"/>
      <c r="G1781" s="3"/>
      <c r="H1781" s="3"/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</row>
    <row r="1782">
      <c r="A1782" s="3"/>
      <c r="B1782" s="3"/>
      <c r="C1782" s="3"/>
      <c r="D1782" s="3"/>
      <c r="E1782" s="3"/>
      <c r="F1782" s="3"/>
      <c r="G1782" s="3"/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</row>
    <row r="1783">
      <c r="A1783" s="3"/>
      <c r="B1783" s="3"/>
      <c r="C1783" s="3"/>
      <c r="D1783" s="3"/>
      <c r="E1783" s="3"/>
      <c r="F1783" s="3"/>
      <c r="G1783" s="3"/>
      <c r="H1783" s="3"/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</row>
    <row r="1784">
      <c r="A1784" s="3"/>
      <c r="B1784" s="3"/>
      <c r="C1784" s="3"/>
      <c r="D1784" s="3"/>
      <c r="E1784" s="3"/>
      <c r="F1784" s="3"/>
      <c r="G1784" s="3"/>
      <c r="H1784" s="3"/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</row>
    <row r="1785">
      <c r="A1785" s="3"/>
      <c r="B1785" s="3"/>
      <c r="C1785" s="3"/>
      <c r="D1785" s="3"/>
      <c r="E1785" s="3"/>
      <c r="F1785" s="3"/>
      <c r="G1785" s="3"/>
      <c r="H1785" s="3"/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</row>
    <row r="1786">
      <c r="A1786" s="3"/>
      <c r="B1786" s="3"/>
      <c r="C1786" s="3"/>
      <c r="D1786" s="3"/>
      <c r="E1786" s="3"/>
      <c r="F1786" s="3"/>
      <c r="G1786" s="3"/>
      <c r="H1786" s="3"/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</row>
    <row r="1787">
      <c r="A1787" s="3"/>
      <c r="B1787" s="3"/>
      <c r="C1787" s="3"/>
      <c r="D1787" s="3"/>
      <c r="E1787" s="3"/>
      <c r="F1787" s="3"/>
      <c r="G1787" s="3"/>
      <c r="H1787" s="3"/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</row>
    <row r="1788">
      <c r="A1788" s="3"/>
      <c r="B1788" s="3"/>
      <c r="C1788" s="3"/>
      <c r="D1788" s="3"/>
      <c r="E1788" s="3"/>
      <c r="F1788" s="3"/>
      <c r="G1788" s="3"/>
      <c r="H1788" s="3"/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</row>
    <row r="1789">
      <c r="A1789" s="3"/>
      <c r="B1789" s="3"/>
      <c r="C1789" s="3"/>
      <c r="D1789" s="3"/>
      <c r="E1789" s="3"/>
      <c r="F1789" s="3"/>
      <c r="G1789" s="3"/>
      <c r="H1789" s="3"/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</row>
    <row r="1790">
      <c r="A1790" s="3"/>
      <c r="B1790" s="3"/>
      <c r="C1790" s="3"/>
      <c r="D1790" s="3"/>
      <c r="E1790" s="3"/>
      <c r="F1790" s="3"/>
      <c r="G1790" s="3"/>
      <c r="H1790" s="3"/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</row>
    <row r="1791">
      <c r="A1791" s="3"/>
      <c r="B1791" s="3"/>
      <c r="C1791" s="3"/>
      <c r="D1791" s="3"/>
      <c r="E1791" s="3"/>
      <c r="F1791" s="3"/>
      <c r="G1791" s="3"/>
      <c r="H1791" s="3"/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</row>
    <row r="1792">
      <c r="A1792" s="3"/>
      <c r="B1792" s="3"/>
      <c r="C1792" s="3"/>
      <c r="D1792" s="3"/>
      <c r="E1792" s="3"/>
      <c r="F1792" s="3"/>
      <c r="G1792" s="3"/>
      <c r="H1792" s="3"/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</row>
    <row r="1793">
      <c r="A1793" s="3"/>
      <c r="B1793" s="3"/>
      <c r="C1793" s="3"/>
      <c r="D1793" s="3"/>
      <c r="E1793" s="3"/>
      <c r="F1793" s="3"/>
      <c r="G1793" s="3"/>
      <c r="H1793" s="3"/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</row>
    <row r="1794">
      <c r="A1794" s="3"/>
      <c r="B1794" s="3"/>
      <c r="C1794" s="3"/>
      <c r="D1794" s="3"/>
      <c r="E1794" s="3"/>
      <c r="F1794" s="3"/>
      <c r="G1794" s="3"/>
      <c r="H1794" s="3"/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</row>
    <row r="1795">
      <c r="A1795" s="3"/>
      <c r="B1795" s="3"/>
      <c r="C1795" s="3"/>
      <c r="D1795" s="3"/>
      <c r="E1795" s="3"/>
      <c r="F1795" s="3"/>
      <c r="G1795" s="3"/>
      <c r="H1795" s="3"/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</row>
    <row r="1796">
      <c r="A1796" s="3"/>
      <c r="B1796" s="3"/>
      <c r="C1796" s="3"/>
      <c r="D1796" s="3"/>
      <c r="E1796" s="3"/>
      <c r="F1796" s="3"/>
      <c r="G1796" s="3"/>
      <c r="H1796" s="3"/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</row>
    <row r="1797">
      <c r="A1797" s="3"/>
      <c r="B1797" s="3"/>
      <c r="C1797" s="3"/>
      <c r="D1797" s="3"/>
      <c r="E1797" s="3"/>
      <c r="F1797" s="3"/>
      <c r="G1797" s="3"/>
      <c r="H1797" s="3"/>
      <c r="I1797" s="3"/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</row>
    <row r="1798">
      <c r="A1798" s="3"/>
      <c r="B1798" s="3"/>
      <c r="C1798" s="3"/>
      <c r="D1798" s="3"/>
      <c r="E1798" s="3"/>
      <c r="F1798" s="3"/>
      <c r="G1798" s="3"/>
      <c r="H1798" s="3"/>
      <c r="I1798" s="3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</row>
    <row r="1799">
      <c r="A1799" s="3"/>
      <c r="B1799" s="3"/>
      <c r="C1799" s="3"/>
      <c r="D1799" s="3"/>
      <c r="E1799" s="3"/>
      <c r="F1799" s="3"/>
      <c r="G1799" s="3"/>
      <c r="H1799" s="3"/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</row>
    <row r="1800">
      <c r="A1800" s="3"/>
      <c r="B1800" s="3"/>
      <c r="C1800" s="3"/>
      <c r="D1800" s="3"/>
      <c r="E1800" s="3"/>
      <c r="F1800" s="3"/>
      <c r="G1800" s="3"/>
      <c r="H1800" s="3"/>
      <c r="I1800" s="3"/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</row>
    <row r="1801">
      <c r="A1801" s="3"/>
      <c r="B1801" s="3"/>
      <c r="C1801" s="3"/>
      <c r="D1801" s="3"/>
      <c r="E1801" s="3"/>
      <c r="F1801" s="3"/>
      <c r="G1801" s="3"/>
      <c r="H1801" s="3"/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</row>
    <row r="1802">
      <c r="A1802" s="3"/>
      <c r="B1802" s="3"/>
      <c r="C1802" s="3"/>
      <c r="D1802" s="3"/>
      <c r="E1802" s="3"/>
      <c r="F1802" s="3"/>
      <c r="G1802" s="3"/>
      <c r="H1802" s="3"/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</row>
    <row r="1803">
      <c r="A1803" s="3"/>
      <c r="B1803" s="3"/>
      <c r="C1803" s="3"/>
      <c r="D1803" s="3"/>
      <c r="E1803" s="3"/>
      <c r="F1803" s="3"/>
      <c r="G1803" s="3"/>
      <c r="H1803" s="3"/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</row>
    <row r="1804">
      <c r="A1804" s="3"/>
      <c r="B1804" s="3"/>
      <c r="C1804" s="3"/>
      <c r="D1804" s="3"/>
      <c r="E1804" s="3"/>
      <c r="F1804" s="3"/>
      <c r="G1804" s="3"/>
      <c r="H1804" s="3"/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</row>
    <row r="1805">
      <c r="A1805" s="3"/>
      <c r="B1805" s="3"/>
      <c r="C1805" s="3"/>
      <c r="D1805" s="3"/>
      <c r="E1805" s="3"/>
      <c r="F1805" s="3"/>
      <c r="G1805" s="3"/>
      <c r="H1805" s="3"/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</row>
    <row r="1806">
      <c r="A1806" s="3"/>
      <c r="B1806" s="3"/>
      <c r="C1806" s="3"/>
      <c r="D1806" s="3"/>
      <c r="E1806" s="3"/>
      <c r="F1806" s="3"/>
      <c r="G1806" s="3"/>
      <c r="H1806" s="3"/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</row>
    <row r="1807">
      <c r="A1807" s="3"/>
      <c r="B1807" s="3"/>
      <c r="C1807" s="3"/>
      <c r="D1807" s="3"/>
      <c r="E1807" s="3"/>
      <c r="F1807" s="3"/>
      <c r="G1807" s="3"/>
      <c r="H1807" s="3"/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</row>
    <row r="1808">
      <c r="A1808" s="3"/>
      <c r="B1808" s="3"/>
      <c r="C1808" s="3"/>
      <c r="D1808" s="3"/>
      <c r="E1808" s="3"/>
      <c r="F1808" s="3"/>
      <c r="G1808" s="3"/>
      <c r="H1808" s="3"/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</row>
    <row r="1809">
      <c r="A1809" s="3"/>
      <c r="B1809" s="3"/>
      <c r="C1809" s="3"/>
      <c r="D1809" s="3"/>
      <c r="E1809" s="3"/>
      <c r="F1809" s="3"/>
      <c r="G1809" s="3"/>
      <c r="H1809" s="3"/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</row>
    <row r="1810">
      <c r="A1810" s="3"/>
      <c r="B1810" s="3"/>
      <c r="C1810" s="3"/>
      <c r="D1810" s="3"/>
      <c r="E1810" s="3"/>
      <c r="F1810" s="3"/>
      <c r="G1810" s="3"/>
      <c r="H1810" s="3"/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</row>
    <row r="1811">
      <c r="A1811" s="3"/>
      <c r="B1811" s="3"/>
      <c r="C1811" s="3"/>
      <c r="D1811" s="3"/>
      <c r="E1811" s="3"/>
      <c r="F1811" s="3"/>
      <c r="G1811" s="3"/>
      <c r="H1811" s="3"/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</row>
    <row r="1812">
      <c r="A1812" s="3"/>
      <c r="B1812" s="3"/>
      <c r="C1812" s="3"/>
      <c r="D1812" s="3"/>
      <c r="E1812" s="3"/>
      <c r="F1812" s="3"/>
      <c r="G1812" s="3"/>
      <c r="H1812" s="3"/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</row>
    <row r="1813">
      <c r="A1813" s="3"/>
      <c r="B1813" s="3"/>
      <c r="C1813" s="3"/>
      <c r="D1813" s="3"/>
      <c r="E1813" s="3"/>
      <c r="F1813" s="3"/>
      <c r="G1813" s="3"/>
      <c r="H1813" s="3"/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</row>
    <row r="1814">
      <c r="A1814" s="3"/>
      <c r="B1814" s="3"/>
      <c r="C1814" s="3"/>
      <c r="D1814" s="3"/>
      <c r="E1814" s="3"/>
      <c r="F1814" s="3"/>
      <c r="G1814" s="3"/>
      <c r="H1814" s="3"/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</row>
    <row r="1815">
      <c r="A1815" s="3"/>
      <c r="B1815" s="3"/>
      <c r="C1815" s="3"/>
      <c r="D1815" s="3"/>
      <c r="E1815" s="3"/>
      <c r="F1815" s="3"/>
      <c r="G1815" s="3"/>
      <c r="H1815" s="3"/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</row>
    <row r="1816">
      <c r="A1816" s="3"/>
      <c r="B1816" s="3"/>
      <c r="C1816" s="3"/>
      <c r="D1816" s="3"/>
      <c r="E1816" s="3"/>
      <c r="F1816" s="3"/>
      <c r="G1816" s="3"/>
      <c r="H1816" s="3"/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</row>
    <row r="1817">
      <c r="A1817" s="3"/>
      <c r="B1817" s="3"/>
      <c r="C1817" s="3"/>
      <c r="D1817" s="3"/>
      <c r="E1817" s="3"/>
      <c r="F1817" s="3"/>
      <c r="G1817" s="3"/>
      <c r="H1817" s="3"/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</row>
    <row r="1818">
      <c r="A1818" s="3"/>
      <c r="B1818" s="3"/>
      <c r="C1818" s="3"/>
      <c r="D1818" s="3"/>
      <c r="E1818" s="3"/>
      <c r="F1818" s="3"/>
      <c r="G1818" s="3"/>
      <c r="H1818" s="3"/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</row>
    <row r="1819">
      <c r="A1819" s="3"/>
      <c r="B1819" s="3"/>
      <c r="C1819" s="3"/>
      <c r="D1819" s="3"/>
      <c r="E1819" s="3"/>
      <c r="F1819" s="3"/>
      <c r="G1819" s="3"/>
      <c r="H1819" s="3"/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</row>
    <row r="1820">
      <c r="A1820" s="3"/>
      <c r="B1820" s="3"/>
      <c r="C1820" s="3"/>
      <c r="D1820" s="3"/>
      <c r="E1820" s="3"/>
      <c r="F1820" s="3"/>
      <c r="G1820" s="3"/>
      <c r="H1820" s="3"/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</row>
    <row r="1821">
      <c r="A1821" s="3"/>
      <c r="B1821" s="3"/>
      <c r="C1821" s="3"/>
      <c r="D1821" s="3"/>
      <c r="E1821" s="3"/>
      <c r="F1821" s="3"/>
      <c r="G1821" s="3"/>
      <c r="H1821" s="3"/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</row>
    <row r="1822">
      <c r="A1822" s="3"/>
      <c r="B1822" s="3"/>
      <c r="C1822" s="3"/>
      <c r="D1822" s="3"/>
      <c r="E1822" s="3"/>
      <c r="F1822" s="3"/>
      <c r="G1822" s="3"/>
      <c r="H1822" s="3"/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</row>
    <row r="1823">
      <c r="A1823" s="3"/>
      <c r="B1823" s="3"/>
      <c r="C1823" s="3"/>
      <c r="D1823" s="3"/>
      <c r="E1823" s="3"/>
      <c r="F1823" s="3"/>
      <c r="G1823" s="3"/>
      <c r="H1823" s="3"/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</row>
    <row r="1824">
      <c r="A1824" s="3"/>
      <c r="B1824" s="3"/>
      <c r="C1824" s="3"/>
      <c r="D1824" s="3"/>
      <c r="E1824" s="3"/>
      <c r="F1824" s="3"/>
      <c r="G1824" s="3"/>
      <c r="H1824" s="3"/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</row>
    <row r="1825">
      <c r="A1825" s="3"/>
      <c r="B1825" s="3"/>
      <c r="C1825" s="3"/>
      <c r="D1825" s="3"/>
      <c r="E1825" s="3"/>
      <c r="F1825" s="3"/>
      <c r="G1825" s="3"/>
      <c r="H1825" s="3"/>
      <c r="I1825" s="3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</row>
    <row r="1826">
      <c r="A1826" s="3"/>
      <c r="B1826" s="3"/>
      <c r="C1826" s="3"/>
      <c r="D1826" s="3"/>
      <c r="E1826" s="3"/>
      <c r="F1826" s="3"/>
      <c r="G1826" s="3"/>
      <c r="H1826" s="3"/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</row>
    <row r="1827">
      <c r="A1827" s="3"/>
      <c r="B1827" s="3"/>
      <c r="C1827" s="3"/>
      <c r="D1827" s="3"/>
      <c r="E1827" s="3"/>
      <c r="F1827" s="3"/>
      <c r="G1827" s="3"/>
      <c r="H1827" s="3"/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</row>
    <row r="1828">
      <c r="A1828" s="3"/>
      <c r="B1828" s="3"/>
      <c r="C1828" s="3"/>
      <c r="D1828" s="3"/>
      <c r="E1828" s="3"/>
      <c r="F1828" s="3"/>
      <c r="G1828" s="3"/>
      <c r="H1828" s="3"/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</row>
    <row r="1829">
      <c r="A1829" s="3"/>
      <c r="B1829" s="3"/>
      <c r="C1829" s="3"/>
      <c r="D1829" s="3"/>
      <c r="E1829" s="3"/>
      <c r="F1829" s="3"/>
      <c r="G1829" s="3"/>
      <c r="H1829" s="3"/>
      <c r="I1829" s="3"/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</row>
    <row r="1830">
      <c r="A1830" s="3"/>
      <c r="B1830" s="3"/>
      <c r="C1830" s="3"/>
      <c r="D1830" s="3"/>
      <c r="E1830" s="3"/>
      <c r="F1830" s="3"/>
      <c r="G1830" s="3"/>
      <c r="H1830" s="3"/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</row>
    <row r="1831">
      <c r="A1831" s="3"/>
      <c r="B1831" s="3"/>
      <c r="C1831" s="3"/>
      <c r="D1831" s="3"/>
      <c r="E1831" s="3"/>
      <c r="F1831" s="3"/>
      <c r="G1831" s="3"/>
      <c r="H1831" s="3"/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</row>
    <row r="1832">
      <c r="A1832" s="3"/>
      <c r="B1832" s="3"/>
      <c r="C1832" s="3"/>
      <c r="D1832" s="3"/>
      <c r="E1832" s="3"/>
      <c r="F1832" s="3"/>
      <c r="G1832" s="3"/>
      <c r="H1832" s="3"/>
      <c r="I1832" s="3"/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</row>
    <row r="1833">
      <c r="A1833" s="3"/>
      <c r="B1833" s="3"/>
      <c r="C1833" s="3"/>
      <c r="D1833" s="3"/>
      <c r="E1833" s="3"/>
      <c r="F1833" s="3"/>
      <c r="G1833" s="3"/>
      <c r="H1833" s="3"/>
      <c r="I1833" s="3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</row>
    <row r="1834">
      <c r="A1834" s="3"/>
      <c r="B1834" s="3"/>
      <c r="C1834" s="3"/>
      <c r="D1834" s="3"/>
      <c r="E1834" s="3"/>
      <c r="F1834" s="3"/>
      <c r="G1834" s="3"/>
      <c r="H1834" s="3"/>
      <c r="I1834" s="3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</row>
    <row r="1835">
      <c r="A1835" s="3"/>
      <c r="B1835" s="3"/>
      <c r="C1835" s="3"/>
      <c r="D1835" s="3"/>
      <c r="E1835" s="3"/>
      <c r="F1835" s="3"/>
      <c r="G1835" s="3"/>
      <c r="H1835" s="3"/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</row>
    <row r="1836">
      <c r="A1836" s="3"/>
      <c r="B1836" s="3"/>
      <c r="C1836" s="3"/>
      <c r="D1836" s="3"/>
      <c r="E1836" s="3"/>
      <c r="F1836" s="3"/>
      <c r="G1836" s="3"/>
      <c r="H1836" s="3"/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</row>
    <row r="1837">
      <c r="A1837" s="3"/>
      <c r="B1837" s="3"/>
      <c r="C1837" s="3"/>
      <c r="D1837" s="3"/>
      <c r="E1837" s="3"/>
      <c r="F1837" s="3"/>
      <c r="G1837" s="3"/>
      <c r="H1837" s="3"/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</row>
    <row r="1838">
      <c r="A1838" s="3"/>
      <c r="B1838" s="3"/>
      <c r="C1838" s="3"/>
      <c r="D1838" s="3"/>
      <c r="E1838" s="3"/>
      <c r="F1838" s="3"/>
      <c r="G1838" s="3"/>
      <c r="H1838" s="3"/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</row>
    <row r="1839">
      <c r="A1839" s="3"/>
      <c r="B1839" s="3"/>
      <c r="C1839" s="3"/>
      <c r="D1839" s="3"/>
      <c r="E1839" s="3"/>
      <c r="F1839" s="3"/>
      <c r="G1839" s="3"/>
      <c r="H1839" s="3"/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</row>
    <row r="1840">
      <c r="A1840" s="3"/>
      <c r="B1840" s="3"/>
      <c r="C1840" s="3"/>
      <c r="D1840" s="3"/>
      <c r="E1840" s="3"/>
      <c r="F1840" s="3"/>
      <c r="G1840" s="3"/>
      <c r="H1840" s="3"/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</row>
    <row r="1841">
      <c r="A1841" s="3"/>
      <c r="B1841" s="3"/>
      <c r="C1841" s="3"/>
      <c r="D1841" s="3"/>
      <c r="E1841" s="3"/>
      <c r="F1841" s="3"/>
      <c r="G1841" s="3"/>
      <c r="H1841" s="3"/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</row>
    <row r="1842">
      <c r="A1842" s="3"/>
      <c r="B1842" s="3"/>
      <c r="C1842" s="3"/>
      <c r="D1842" s="3"/>
      <c r="E1842" s="3"/>
      <c r="F1842" s="3"/>
      <c r="G1842" s="3"/>
      <c r="H1842" s="3"/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</row>
    <row r="1843">
      <c r="A1843" s="3"/>
      <c r="B1843" s="3"/>
      <c r="C1843" s="3"/>
      <c r="D1843" s="3"/>
      <c r="E1843" s="3"/>
      <c r="F1843" s="3"/>
      <c r="G1843" s="3"/>
      <c r="H1843" s="3"/>
      <c r="I1843" s="3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</row>
    <row r="1844">
      <c r="A1844" s="3"/>
      <c r="B1844" s="3"/>
      <c r="C1844" s="3"/>
      <c r="D1844" s="3"/>
      <c r="E1844" s="3"/>
      <c r="F1844" s="3"/>
      <c r="G1844" s="3"/>
      <c r="H1844" s="3"/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</row>
    <row r="1845">
      <c r="A1845" s="3"/>
      <c r="B1845" s="3"/>
      <c r="C1845" s="3"/>
      <c r="D1845" s="3"/>
      <c r="E1845" s="3"/>
      <c r="F1845" s="3"/>
      <c r="G1845" s="3"/>
      <c r="H1845" s="3"/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</row>
    <row r="1846">
      <c r="A1846" s="3"/>
      <c r="B1846" s="3"/>
      <c r="C1846" s="3"/>
      <c r="D1846" s="3"/>
      <c r="E1846" s="3"/>
      <c r="F1846" s="3"/>
      <c r="G1846" s="3"/>
      <c r="H1846" s="3"/>
      <c r="I1846" s="3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</row>
    <row r="1847">
      <c r="A1847" s="3"/>
      <c r="B1847" s="3"/>
      <c r="C1847" s="3"/>
      <c r="D1847" s="3"/>
      <c r="E1847" s="3"/>
      <c r="F1847" s="3"/>
      <c r="G1847" s="3"/>
      <c r="H1847" s="3"/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</row>
    <row r="1848">
      <c r="A1848" s="3"/>
      <c r="B1848" s="3"/>
      <c r="C1848" s="3"/>
      <c r="D1848" s="3"/>
      <c r="E1848" s="3"/>
      <c r="F1848" s="3"/>
      <c r="G1848" s="3"/>
      <c r="H1848" s="3"/>
      <c r="I1848" s="3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</row>
    <row r="1849">
      <c r="A1849" s="3"/>
      <c r="B1849" s="3"/>
      <c r="C1849" s="3"/>
      <c r="D1849" s="3"/>
      <c r="E1849" s="3"/>
      <c r="F1849" s="3"/>
      <c r="G1849" s="3"/>
      <c r="H1849" s="3"/>
      <c r="I1849" s="3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</row>
    <row r="1850">
      <c r="A1850" s="3"/>
      <c r="B1850" s="3"/>
      <c r="C1850" s="3"/>
      <c r="D1850" s="3"/>
      <c r="E1850" s="3"/>
      <c r="F1850" s="3"/>
      <c r="G1850" s="3"/>
      <c r="H1850" s="3"/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</row>
    <row r="1851">
      <c r="A1851" s="3"/>
      <c r="B1851" s="3"/>
      <c r="C1851" s="3"/>
      <c r="D1851" s="3"/>
      <c r="E1851" s="3"/>
      <c r="F1851" s="3"/>
      <c r="G1851" s="3"/>
      <c r="H1851" s="3"/>
      <c r="I1851" s="3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</row>
    <row r="1852">
      <c r="A1852" s="3"/>
      <c r="B1852" s="3"/>
      <c r="C1852" s="3"/>
      <c r="D1852" s="3"/>
      <c r="E1852" s="3"/>
      <c r="F1852" s="3"/>
      <c r="G1852" s="3"/>
      <c r="H1852" s="3"/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</row>
    <row r="1853">
      <c r="A1853" s="3"/>
      <c r="B1853" s="3"/>
      <c r="C1853" s="3"/>
      <c r="D1853" s="3"/>
      <c r="E1853" s="3"/>
      <c r="F1853" s="3"/>
      <c r="G1853" s="3"/>
      <c r="H1853" s="3"/>
      <c r="I1853" s="3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</row>
    <row r="1854">
      <c r="A1854" s="3"/>
      <c r="B1854" s="3"/>
      <c r="C1854" s="3"/>
      <c r="D1854" s="3"/>
      <c r="E1854" s="3"/>
      <c r="F1854" s="3"/>
      <c r="G1854" s="3"/>
      <c r="H1854" s="3"/>
      <c r="I1854" s="3"/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</row>
    <row r="1855">
      <c r="A1855" s="3"/>
      <c r="B1855" s="3"/>
      <c r="C1855" s="3"/>
      <c r="D1855" s="3"/>
      <c r="E1855" s="3"/>
      <c r="F1855" s="3"/>
      <c r="G1855" s="3"/>
      <c r="H1855" s="3"/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</row>
    <row r="1856">
      <c r="A1856" s="3"/>
      <c r="B1856" s="3"/>
      <c r="C1856" s="3"/>
      <c r="D1856" s="3"/>
      <c r="E1856" s="3"/>
      <c r="F1856" s="3"/>
      <c r="G1856" s="3"/>
      <c r="H1856" s="3"/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</row>
    <row r="1857">
      <c r="A1857" s="3"/>
      <c r="B1857" s="3"/>
      <c r="C1857" s="3"/>
      <c r="D1857" s="3"/>
      <c r="E1857" s="3"/>
      <c r="F1857" s="3"/>
      <c r="G1857" s="3"/>
      <c r="H1857" s="3"/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</row>
    <row r="1858">
      <c r="A1858" s="3"/>
      <c r="B1858" s="3"/>
      <c r="C1858" s="3"/>
      <c r="D1858" s="3"/>
      <c r="E1858" s="3"/>
      <c r="F1858" s="3"/>
      <c r="G1858" s="3"/>
      <c r="H1858" s="3"/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</row>
    <row r="1859">
      <c r="A1859" s="3"/>
      <c r="B1859" s="3"/>
      <c r="C1859" s="3"/>
      <c r="D1859" s="3"/>
      <c r="E1859" s="3"/>
      <c r="F1859" s="3"/>
      <c r="G1859" s="3"/>
      <c r="H1859" s="3"/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</row>
    <row r="1860">
      <c r="A1860" s="3"/>
      <c r="B1860" s="3"/>
      <c r="C1860" s="3"/>
      <c r="D1860" s="3"/>
      <c r="E1860" s="3"/>
      <c r="F1860" s="3"/>
      <c r="G1860" s="3"/>
      <c r="H1860" s="3"/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</row>
    <row r="1861">
      <c r="A1861" s="3"/>
      <c r="B1861" s="3"/>
      <c r="C1861" s="3"/>
      <c r="D1861" s="3"/>
      <c r="E1861" s="3"/>
      <c r="F1861" s="3"/>
      <c r="G1861" s="3"/>
      <c r="H1861" s="3"/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</row>
    <row r="1862">
      <c r="A1862" s="3"/>
      <c r="B1862" s="3"/>
      <c r="C1862" s="3"/>
      <c r="D1862" s="3"/>
      <c r="E1862" s="3"/>
      <c r="F1862" s="3"/>
      <c r="G1862" s="3"/>
      <c r="H1862" s="3"/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</row>
    <row r="1863">
      <c r="A1863" s="3"/>
      <c r="B1863" s="3"/>
      <c r="C1863" s="3"/>
      <c r="D1863" s="3"/>
      <c r="E1863" s="3"/>
      <c r="F1863" s="3"/>
      <c r="G1863" s="3"/>
      <c r="H1863" s="3"/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</row>
    <row r="1864">
      <c r="A1864" s="3"/>
      <c r="B1864" s="3"/>
      <c r="C1864" s="3"/>
      <c r="D1864" s="3"/>
      <c r="E1864" s="3"/>
      <c r="F1864" s="3"/>
      <c r="G1864" s="3"/>
      <c r="H1864" s="3"/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</row>
    <row r="1865">
      <c r="A1865" s="3"/>
      <c r="B1865" s="3"/>
      <c r="C1865" s="3"/>
      <c r="D1865" s="3"/>
      <c r="E1865" s="3"/>
      <c r="F1865" s="3"/>
      <c r="G1865" s="3"/>
      <c r="H1865" s="3"/>
      <c r="I1865" s="3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</row>
    <row r="1866">
      <c r="A1866" s="3"/>
      <c r="B1866" s="3"/>
      <c r="C1866" s="3"/>
      <c r="D1866" s="3"/>
      <c r="E1866" s="3"/>
      <c r="F1866" s="3"/>
      <c r="G1866" s="3"/>
      <c r="H1866" s="3"/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</row>
    <row r="1867">
      <c r="A1867" s="3"/>
      <c r="B1867" s="3"/>
      <c r="C1867" s="3"/>
      <c r="D1867" s="3"/>
      <c r="E1867" s="3"/>
      <c r="F1867" s="3"/>
      <c r="G1867" s="3"/>
      <c r="H1867" s="3"/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</row>
    <row r="1868">
      <c r="A1868" s="3"/>
      <c r="B1868" s="3"/>
      <c r="C1868" s="3"/>
      <c r="D1868" s="3"/>
      <c r="E1868" s="3"/>
      <c r="F1868" s="3"/>
      <c r="G1868" s="3"/>
      <c r="H1868" s="3"/>
      <c r="I1868" s="3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</row>
    <row r="1869">
      <c r="A1869" s="3"/>
      <c r="B1869" s="3"/>
      <c r="C1869" s="3"/>
      <c r="D1869" s="3"/>
      <c r="E1869" s="3"/>
      <c r="F1869" s="3"/>
      <c r="G1869" s="3"/>
      <c r="H1869" s="3"/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</row>
    <row r="1870">
      <c r="A1870" s="3"/>
      <c r="B1870" s="3"/>
      <c r="C1870" s="3"/>
      <c r="D1870" s="3"/>
      <c r="E1870" s="3"/>
      <c r="F1870" s="3"/>
      <c r="G1870" s="3"/>
      <c r="H1870" s="3"/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</row>
    <row r="1871">
      <c r="A1871" s="3"/>
      <c r="B1871" s="3"/>
      <c r="C1871" s="3"/>
      <c r="D1871" s="3"/>
      <c r="E1871" s="3"/>
      <c r="F1871" s="3"/>
      <c r="G1871" s="3"/>
      <c r="H1871" s="3"/>
      <c r="I1871" s="3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</row>
    <row r="1872">
      <c r="A1872" s="3"/>
      <c r="B1872" s="3"/>
      <c r="C1872" s="3"/>
      <c r="D1872" s="3"/>
      <c r="E1872" s="3"/>
      <c r="F1872" s="3"/>
      <c r="G1872" s="3"/>
      <c r="H1872" s="3"/>
      <c r="I1872" s="3"/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</row>
    <row r="1873">
      <c r="A1873" s="3"/>
      <c r="B1873" s="3"/>
      <c r="C1873" s="3"/>
      <c r="D1873" s="3"/>
      <c r="E1873" s="3"/>
      <c r="F1873" s="3"/>
      <c r="G1873" s="3"/>
      <c r="H1873" s="3"/>
      <c r="I1873" s="3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</row>
    <row r="1874">
      <c r="A1874" s="3"/>
      <c r="B1874" s="3"/>
      <c r="C1874" s="3"/>
      <c r="D1874" s="3"/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</row>
    <row r="1875">
      <c r="A1875" s="3"/>
      <c r="B1875" s="3"/>
      <c r="C1875" s="3"/>
      <c r="D1875" s="3"/>
      <c r="E1875" s="3"/>
      <c r="F1875" s="3"/>
      <c r="G1875" s="3"/>
      <c r="H1875" s="3"/>
      <c r="I1875" s="3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</row>
    <row r="1876">
      <c r="A1876" s="3"/>
      <c r="B1876" s="3"/>
      <c r="C1876" s="3"/>
      <c r="D1876" s="3"/>
      <c r="E1876" s="3"/>
      <c r="F1876" s="3"/>
      <c r="G1876" s="3"/>
      <c r="H1876" s="3"/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</row>
    <row r="1877">
      <c r="A1877" s="3"/>
      <c r="B1877" s="3"/>
      <c r="C1877" s="3"/>
      <c r="D1877" s="3"/>
      <c r="E1877" s="3"/>
      <c r="F1877" s="3"/>
      <c r="G1877" s="3"/>
      <c r="H1877" s="3"/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</row>
    <row r="1878">
      <c r="A1878" s="3"/>
      <c r="B1878" s="3"/>
      <c r="C1878" s="3"/>
      <c r="D1878" s="3"/>
      <c r="E1878" s="3"/>
      <c r="F1878" s="3"/>
      <c r="G1878" s="3"/>
      <c r="H1878" s="3"/>
      <c r="I1878" s="3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</row>
    <row r="1879">
      <c r="A1879" s="3"/>
      <c r="B1879" s="3"/>
      <c r="C1879" s="3"/>
      <c r="D1879" s="3"/>
      <c r="E1879" s="3"/>
      <c r="F1879" s="3"/>
      <c r="G1879" s="3"/>
      <c r="H1879" s="3"/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</row>
    <row r="1880">
      <c r="A1880" s="3"/>
      <c r="B1880" s="3"/>
      <c r="C1880" s="3"/>
      <c r="D1880" s="3"/>
      <c r="E1880" s="3"/>
      <c r="F1880" s="3"/>
      <c r="G1880" s="3"/>
      <c r="H1880" s="3"/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</row>
    <row r="1881">
      <c r="A1881" s="3"/>
      <c r="B1881" s="3"/>
      <c r="C1881" s="3"/>
      <c r="D1881" s="3"/>
      <c r="E1881" s="3"/>
      <c r="F1881" s="3"/>
      <c r="G1881" s="3"/>
      <c r="H1881" s="3"/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</row>
    <row r="1882">
      <c r="A1882" s="3"/>
      <c r="B1882" s="3"/>
      <c r="C1882" s="3"/>
      <c r="D1882" s="3"/>
      <c r="E1882" s="3"/>
      <c r="F1882" s="3"/>
      <c r="G1882" s="3"/>
      <c r="H1882" s="3"/>
      <c r="I1882" s="3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</row>
    <row r="1883">
      <c r="A1883" s="3"/>
      <c r="B1883" s="3"/>
      <c r="C1883" s="3"/>
      <c r="D1883" s="3"/>
      <c r="E1883" s="3"/>
      <c r="F1883" s="3"/>
      <c r="G1883" s="3"/>
      <c r="H1883" s="3"/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</row>
    <row r="1884">
      <c r="A1884" s="3"/>
      <c r="B1884" s="3"/>
      <c r="C1884" s="3"/>
      <c r="D1884" s="3"/>
      <c r="E1884" s="3"/>
      <c r="F1884" s="3"/>
      <c r="G1884" s="3"/>
      <c r="H1884" s="3"/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</row>
    <row r="1885">
      <c r="A1885" s="3"/>
      <c r="B1885" s="3"/>
      <c r="C1885" s="3"/>
      <c r="D1885" s="3"/>
      <c r="E1885" s="3"/>
      <c r="F1885" s="3"/>
      <c r="G1885" s="3"/>
      <c r="H1885" s="3"/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</row>
    <row r="1886">
      <c r="A1886" s="3"/>
      <c r="B1886" s="3"/>
      <c r="C1886" s="3"/>
      <c r="D1886" s="3"/>
      <c r="E1886" s="3"/>
      <c r="F1886" s="3"/>
      <c r="G1886" s="3"/>
      <c r="H1886" s="3"/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</row>
    <row r="1887">
      <c r="A1887" s="3"/>
      <c r="B1887" s="3"/>
      <c r="C1887" s="3"/>
      <c r="D1887" s="3"/>
      <c r="E1887" s="3"/>
      <c r="F1887" s="3"/>
      <c r="G1887" s="3"/>
      <c r="H1887" s="3"/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</row>
    <row r="1888">
      <c r="A1888" s="3"/>
      <c r="B1888" s="3"/>
      <c r="C1888" s="3"/>
      <c r="D1888" s="3"/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</row>
    <row r="1889">
      <c r="A1889" s="3"/>
      <c r="B1889" s="3"/>
      <c r="C1889" s="3"/>
      <c r="D1889" s="3"/>
      <c r="E1889" s="3"/>
      <c r="F1889" s="3"/>
      <c r="G1889" s="3"/>
      <c r="H1889" s="3"/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</row>
    <row r="1890">
      <c r="A1890" s="3"/>
      <c r="B1890" s="3"/>
      <c r="C1890" s="3"/>
      <c r="D1890" s="3"/>
      <c r="E1890" s="3"/>
      <c r="F1890" s="3"/>
      <c r="G1890" s="3"/>
      <c r="H1890" s="3"/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</row>
    <row r="1891">
      <c r="A1891" s="3"/>
      <c r="B1891" s="3"/>
      <c r="C1891" s="3"/>
      <c r="D1891" s="3"/>
      <c r="E1891" s="3"/>
      <c r="F1891" s="3"/>
      <c r="G1891" s="3"/>
      <c r="H1891" s="3"/>
      <c r="I1891" s="3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</row>
    <row r="1892">
      <c r="A1892" s="3"/>
      <c r="B1892" s="3"/>
      <c r="C1892" s="3"/>
      <c r="D1892" s="3"/>
      <c r="E1892" s="3"/>
      <c r="F1892" s="3"/>
      <c r="G1892" s="3"/>
      <c r="H1892" s="3"/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</row>
    <row r="1893">
      <c r="A1893" s="3"/>
      <c r="B1893" s="3"/>
      <c r="C1893" s="3"/>
      <c r="D1893" s="3"/>
      <c r="E1893" s="3"/>
      <c r="F1893" s="3"/>
      <c r="G1893" s="3"/>
      <c r="H1893" s="3"/>
      <c r="I1893" s="3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</row>
    <row r="1894">
      <c r="A1894" s="3"/>
      <c r="B1894" s="3"/>
      <c r="C1894" s="3"/>
      <c r="D1894" s="3"/>
      <c r="E1894" s="3"/>
      <c r="F1894" s="3"/>
      <c r="G1894" s="3"/>
      <c r="H1894" s="3"/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</row>
    <row r="1895">
      <c r="A1895" s="3"/>
      <c r="B1895" s="3"/>
      <c r="C1895" s="3"/>
      <c r="D1895" s="3"/>
      <c r="E1895" s="3"/>
      <c r="F1895" s="3"/>
      <c r="G1895" s="3"/>
      <c r="H1895" s="3"/>
      <c r="I1895" s="3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</row>
    <row r="1896">
      <c r="A1896" s="3"/>
      <c r="B1896" s="3"/>
      <c r="C1896" s="3"/>
      <c r="D1896" s="3"/>
      <c r="E1896" s="3"/>
      <c r="F1896" s="3"/>
      <c r="G1896" s="3"/>
      <c r="H1896" s="3"/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</row>
    <row r="1897">
      <c r="A1897" s="3"/>
      <c r="B1897" s="3"/>
      <c r="C1897" s="3"/>
      <c r="D1897" s="3"/>
      <c r="E1897" s="3"/>
      <c r="F1897" s="3"/>
      <c r="G1897" s="3"/>
      <c r="H1897" s="3"/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</row>
    <row r="1898">
      <c r="A1898" s="3"/>
      <c r="B1898" s="3"/>
      <c r="C1898" s="3"/>
      <c r="D1898" s="3"/>
      <c r="E1898" s="3"/>
      <c r="F1898" s="3"/>
      <c r="G1898" s="3"/>
      <c r="H1898" s="3"/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</row>
    <row r="1899">
      <c r="A1899" s="3"/>
      <c r="B1899" s="3"/>
      <c r="C1899" s="3"/>
      <c r="D1899" s="3"/>
      <c r="E1899" s="3"/>
      <c r="F1899" s="3"/>
      <c r="G1899" s="3"/>
      <c r="H1899" s="3"/>
      <c r="I1899" s="3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</row>
    <row r="1900">
      <c r="A1900" s="3"/>
      <c r="B1900" s="3"/>
      <c r="C1900" s="3"/>
      <c r="D1900" s="3"/>
      <c r="E1900" s="3"/>
      <c r="F1900" s="3"/>
      <c r="G1900" s="3"/>
      <c r="H1900" s="3"/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</row>
    <row r="1901">
      <c r="A1901" s="3"/>
      <c r="B1901" s="3"/>
      <c r="C1901" s="3"/>
      <c r="D1901" s="3"/>
      <c r="E1901" s="3"/>
      <c r="F1901" s="3"/>
      <c r="G1901" s="3"/>
      <c r="H1901" s="3"/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</row>
    <row r="1902">
      <c r="A1902" s="3"/>
      <c r="B1902" s="3"/>
      <c r="C1902" s="3"/>
      <c r="D1902" s="3"/>
      <c r="E1902" s="3"/>
      <c r="F1902" s="3"/>
      <c r="G1902" s="3"/>
      <c r="H1902" s="3"/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</row>
    <row r="1903">
      <c r="A1903" s="3"/>
      <c r="B1903" s="3"/>
      <c r="C1903" s="3"/>
      <c r="D1903" s="3"/>
      <c r="E1903" s="3"/>
      <c r="F1903" s="3"/>
      <c r="G1903" s="3"/>
      <c r="H1903" s="3"/>
      <c r="I1903" s="3"/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</row>
    <row r="1904">
      <c r="A1904" s="3"/>
      <c r="B1904" s="3"/>
      <c r="C1904" s="3"/>
      <c r="D1904" s="3"/>
      <c r="E1904" s="3"/>
      <c r="F1904" s="3"/>
      <c r="G1904" s="3"/>
      <c r="H1904" s="3"/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</row>
    <row r="1905">
      <c r="A1905" s="3"/>
      <c r="B1905" s="3"/>
      <c r="C1905" s="3"/>
      <c r="D1905" s="3"/>
      <c r="E1905" s="3"/>
      <c r="F1905" s="3"/>
      <c r="G1905" s="3"/>
      <c r="H1905" s="3"/>
      <c r="I1905" s="3"/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</row>
    <row r="1906">
      <c r="A1906" s="3"/>
      <c r="B1906" s="3"/>
      <c r="C1906" s="3"/>
      <c r="D1906" s="3"/>
      <c r="E1906" s="3"/>
      <c r="F1906" s="3"/>
      <c r="G1906" s="3"/>
      <c r="H1906" s="3"/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</row>
    <row r="1907">
      <c r="A1907" s="3"/>
      <c r="B1907" s="3"/>
      <c r="C1907" s="3"/>
      <c r="D1907" s="3"/>
      <c r="E1907" s="3"/>
      <c r="F1907" s="3"/>
      <c r="G1907" s="3"/>
      <c r="H1907" s="3"/>
      <c r="I1907" s="3"/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</row>
    <row r="1908">
      <c r="A1908" s="3"/>
      <c r="B1908" s="3"/>
      <c r="C1908" s="3"/>
      <c r="D1908" s="3"/>
      <c r="E1908" s="3"/>
      <c r="F1908" s="3"/>
      <c r="G1908" s="3"/>
      <c r="H1908" s="3"/>
      <c r="I1908" s="3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</row>
    <row r="1909">
      <c r="A1909" s="3"/>
      <c r="B1909" s="3"/>
      <c r="C1909" s="3"/>
      <c r="D1909" s="3"/>
      <c r="E1909" s="3"/>
      <c r="F1909" s="3"/>
      <c r="G1909" s="3"/>
      <c r="H1909" s="3"/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</row>
    <row r="1910">
      <c r="A1910" s="3"/>
      <c r="B1910" s="3"/>
      <c r="C1910" s="3"/>
      <c r="D1910" s="3"/>
      <c r="E1910" s="3"/>
      <c r="F1910" s="3"/>
      <c r="G1910" s="3"/>
      <c r="H1910" s="3"/>
      <c r="I1910" s="3"/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</row>
    <row r="1911">
      <c r="A1911" s="3"/>
      <c r="B1911" s="3"/>
      <c r="C1911" s="3"/>
      <c r="D1911" s="3"/>
      <c r="E1911" s="3"/>
      <c r="F1911" s="3"/>
      <c r="G1911" s="3"/>
      <c r="H1911" s="3"/>
      <c r="I1911" s="3"/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</row>
    <row r="1912">
      <c r="A1912" s="3"/>
      <c r="B1912" s="3"/>
      <c r="C1912" s="3"/>
      <c r="D1912" s="3"/>
      <c r="E1912" s="3"/>
      <c r="F1912" s="3"/>
      <c r="G1912" s="3"/>
      <c r="H1912" s="3"/>
      <c r="I1912" s="3"/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</row>
    <row r="1913">
      <c r="A1913" s="3"/>
      <c r="B1913" s="3"/>
      <c r="C1913" s="3"/>
      <c r="D1913" s="3"/>
      <c r="E1913" s="3"/>
      <c r="F1913" s="3"/>
      <c r="G1913" s="3"/>
      <c r="H1913" s="3"/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</row>
    <row r="1914">
      <c r="A1914" s="3"/>
      <c r="B1914" s="3"/>
      <c r="C1914" s="3"/>
      <c r="D1914" s="3"/>
      <c r="E1914" s="3"/>
      <c r="F1914" s="3"/>
      <c r="G1914" s="3"/>
      <c r="H1914" s="3"/>
      <c r="I1914" s="3"/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</row>
    <row r="1915">
      <c r="A1915" s="3"/>
      <c r="B1915" s="3"/>
      <c r="C1915" s="3"/>
      <c r="D1915" s="3"/>
      <c r="E1915" s="3"/>
      <c r="F1915" s="3"/>
      <c r="G1915" s="3"/>
      <c r="H1915" s="3"/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</row>
    <row r="1916">
      <c r="A1916" s="3"/>
      <c r="B1916" s="3"/>
      <c r="C1916" s="3"/>
      <c r="D1916" s="3"/>
      <c r="E1916" s="3"/>
      <c r="F1916" s="3"/>
      <c r="G1916" s="3"/>
      <c r="H1916" s="3"/>
      <c r="I1916" s="3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</row>
    <row r="1917">
      <c r="A1917" s="3"/>
      <c r="B1917" s="3"/>
      <c r="C1917" s="3"/>
      <c r="D1917" s="3"/>
      <c r="E1917" s="3"/>
      <c r="F1917" s="3"/>
      <c r="G1917" s="3"/>
      <c r="H1917" s="3"/>
      <c r="I1917" s="3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</row>
    <row r="1918">
      <c r="A1918" s="3"/>
      <c r="B1918" s="3"/>
      <c r="C1918" s="3"/>
      <c r="D1918" s="3"/>
      <c r="E1918" s="3"/>
      <c r="F1918" s="3"/>
      <c r="G1918" s="3"/>
      <c r="H1918" s="3"/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</row>
    <row r="1919">
      <c r="A1919" s="3"/>
      <c r="B1919" s="3"/>
      <c r="C1919" s="3"/>
      <c r="D1919" s="3"/>
      <c r="E1919" s="3"/>
      <c r="F1919" s="3"/>
      <c r="G1919" s="3"/>
      <c r="H1919" s="3"/>
      <c r="I1919" s="3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</row>
    <row r="1920">
      <c r="A1920" s="3"/>
      <c r="B1920" s="3"/>
      <c r="C1920" s="3"/>
      <c r="D1920" s="3"/>
      <c r="E1920" s="3"/>
      <c r="F1920" s="3"/>
      <c r="G1920" s="3"/>
      <c r="H1920" s="3"/>
      <c r="I1920" s="3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</row>
    <row r="1921">
      <c r="A1921" s="3"/>
      <c r="B1921" s="3"/>
      <c r="C1921" s="3"/>
      <c r="D1921" s="3"/>
      <c r="E1921" s="3"/>
      <c r="F1921" s="3"/>
      <c r="G1921" s="3"/>
      <c r="H1921" s="3"/>
      <c r="I1921" s="3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</row>
    <row r="1922">
      <c r="A1922" s="3"/>
      <c r="B1922" s="3"/>
      <c r="C1922" s="3"/>
      <c r="D1922" s="3"/>
      <c r="E1922" s="3"/>
      <c r="F1922" s="3"/>
      <c r="G1922" s="3"/>
      <c r="H1922" s="3"/>
      <c r="I1922" s="3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</row>
    <row r="1923">
      <c r="A1923" s="3"/>
      <c r="B1923" s="3"/>
      <c r="C1923" s="3"/>
      <c r="D1923" s="3"/>
      <c r="E1923" s="3"/>
      <c r="F1923" s="3"/>
      <c r="G1923" s="3"/>
      <c r="H1923" s="3"/>
      <c r="I1923" s="3"/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</row>
    <row r="1924">
      <c r="A1924" s="3"/>
      <c r="B1924" s="3"/>
      <c r="C1924" s="3"/>
      <c r="D1924" s="3"/>
      <c r="E1924" s="3"/>
      <c r="F1924" s="3"/>
      <c r="G1924" s="3"/>
      <c r="H1924" s="3"/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</row>
    <row r="1925">
      <c r="A1925" s="3"/>
      <c r="B1925" s="3"/>
      <c r="C1925" s="3"/>
      <c r="D1925" s="3"/>
      <c r="E1925" s="3"/>
      <c r="F1925" s="3"/>
      <c r="G1925" s="3"/>
      <c r="H1925" s="3"/>
      <c r="I1925" s="3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</row>
    <row r="1926">
      <c r="A1926" s="3"/>
      <c r="B1926" s="3"/>
      <c r="C1926" s="3"/>
      <c r="D1926" s="3"/>
      <c r="E1926" s="3"/>
      <c r="F1926" s="3"/>
      <c r="G1926" s="3"/>
      <c r="H1926" s="3"/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</row>
    <row r="1927">
      <c r="A1927" s="3"/>
      <c r="B1927" s="3"/>
      <c r="C1927" s="3"/>
      <c r="D1927" s="3"/>
      <c r="E1927" s="3"/>
      <c r="F1927" s="3"/>
      <c r="G1927" s="3"/>
      <c r="H1927" s="3"/>
      <c r="I1927" s="3"/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</row>
    <row r="1928">
      <c r="A1928" s="3"/>
      <c r="B1928" s="3"/>
      <c r="C1928" s="3"/>
      <c r="D1928" s="3"/>
      <c r="E1928" s="3"/>
      <c r="F1928" s="3"/>
      <c r="G1928" s="3"/>
      <c r="H1928" s="3"/>
      <c r="I1928" s="3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</row>
    <row r="1929">
      <c r="A1929" s="3"/>
      <c r="B1929" s="3"/>
      <c r="C1929" s="3"/>
      <c r="D1929" s="3"/>
      <c r="E1929" s="3"/>
      <c r="F1929" s="3"/>
      <c r="G1929" s="3"/>
      <c r="H1929" s="3"/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</row>
    <row r="1930">
      <c r="A1930" s="3"/>
      <c r="B1930" s="3"/>
      <c r="C1930" s="3"/>
      <c r="D1930" s="3"/>
      <c r="E1930" s="3"/>
      <c r="F1930" s="3"/>
      <c r="G1930" s="3"/>
      <c r="H1930" s="3"/>
      <c r="I1930" s="3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</row>
    <row r="1931">
      <c r="A1931" s="3"/>
      <c r="B1931" s="3"/>
      <c r="C1931" s="3"/>
      <c r="D1931" s="3"/>
      <c r="E1931" s="3"/>
      <c r="F1931" s="3"/>
      <c r="G1931" s="3"/>
      <c r="H1931" s="3"/>
      <c r="I1931" s="3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</row>
    <row r="1932">
      <c r="A1932" s="3"/>
      <c r="B1932" s="3"/>
      <c r="C1932" s="3"/>
      <c r="D1932" s="3"/>
      <c r="E1932" s="3"/>
      <c r="F1932" s="3"/>
      <c r="G1932" s="3"/>
      <c r="H1932" s="3"/>
      <c r="I1932" s="3"/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</row>
    <row r="1933">
      <c r="A1933" s="3"/>
      <c r="B1933" s="3"/>
      <c r="C1933" s="3"/>
      <c r="D1933" s="3"/>
      <c r="E1933" s="3"/>
      <c r="F1933" s="3"/>
      <c r="G1933" s="3"/>
      <c r="H1933" s="3"/>
      <c r="I1933" s="3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</row>
    <row r="1934">
      <c r="A1934" s="3"/>
      <c r="B1934" s="3"/>
      <c r="C1934" s="3"/>
      <c r="D1934" s="3"/>
      <c r="E1934" s="3"/>
      <c r="F1934" s="3"/>
      <c r="G1934" s="3"/>
      <c r="H1934" s="3"/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</row>
    <row r="1935">
      <c r="A1935" s="3"/>
      <c r="B1935" s="3"/>
      <c r="C1935" s="3"/>
      <c r="D1935" s="3"/>
      <c r="E1935" s="3"/>
      <c r="F1935" s="3"/>
      <c r="G1935" s="3"/>
      <c r="H1935" s="3"/>
      <c r="I1935" s="3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</row>
    <row r="1936">
      <c r="A1936" s="3"/>
      <c r="B1936" s="3"/>
      <c r="C1936" s="3"/>
      <c r="D1936" s="3"/>
      <c r="E1936" s="3"/>
      <c r="F1936" s="3"/>
      <c r="G1936" s="3"/>
      <c r="H1936" s="3"/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</row>
    <row r="1937">
      <c r="A1937" s="3"/>
      <c r="B1937" s="3"/>
      <c r="C1937" s="3"/>
      <c r="D1937" s="3"/>
      <c r="E1937" s="3"/>
      <c r="F1937" s="3"/>
      <c r="G1937" s="3"/>
      <c r="H1937" s="3"/>
      <c r="I1937" s="3"/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</row>
    <row r="1938">
      <c r="A1938" s="3"/>
      <c r="B1938" s="3"/>
      <c r="C1938" s="3"/>
      <c r="D1938" s="3"/>
      <c r="E1938" s="3"/>
      <c r="F1938" s="3"/>
      <c r="G1938" s="3"/>
      <c r="H1938" s="3"/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</row>
    <row r="1939">
      <c r="A1939" s="3"/>
      <c r="B1939" s="3"/>
      <c r="C1939" s="3"/>
      <c r="D1939" s="3"/>
      <c r="E1939" s="3"/>
      <c r="F1939" s="3"/>
      <c r="G1939" s="3"/>
      <c r="H1939" s="3"/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</row>
    <row r="1940">
      <c r="A1940" s="3"/>
      <c r="B1940" s="3"/>
      <c r="C1940" s="3"/>
      <c r="D1940" s="3"/>
      <c r="E1940" s="3"/>
      <c r="F1940" s="3"/>
      <c r="G1940" s="3"/>
      <c r="H1940" s="3"/>
      <c r="I1940" s="3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</row>
    <row r="1941">
      <c r="A1941" s="3"/>
      <c r="B1941" s="3"/>
      <c r="C1941" s="3"/>
      <c r="D1941" s="3"/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</row>
    <row r="1942">
      <c r="A1942" s="3"/>
      <c r="B1942" s="3"/>
      <c r="C1942" s="3"/>
      <c r="D1942" s="3"/>
      <c r="E1942" s="3"/>
      <c r="F1942" s="3"/>
      <c r="G1942" s="3"/>
      <c r="H1942" s="3"/>
      <c r="I1942" s="3"/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</row>
    <row r="1943">
      <c r="A1943" s="3"/>
      <c r="B1943" s="3"/>
      <c r="C1943" s="3"/>
      <c r="D1943" s="3"/>
      <c r="E1943" s="3"/>
      <c r="F1943" s="3"/>
      <c r="G1943" s="3"/>
      <c r="H1943" s="3"/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</row>
    <row r="1944">
      <c r="A1944" s="3"/>
      <c r="B1944" s="3"/>
      <c r="C1944" s="3"/>
      <c r="D1944" s="3"/>
      <c r="E1944" s="3"/>
      <c r="F1944" s="3"/>
      <c r="G1944" s="3"/>
      <c r="H1944" s="3"/>
      <c r="I1944" s="3"/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</row>
    <row r="1945">
      <c r="A1945" s="3"/>
      <c r="B1945" s="3"/>
      <c r="C1945" s="3"/>
      <c r="D1945" s="3"/>
      <c r="E1945" s="3"/>
      <c r="F1945" s="3"/>
      <c r="G1945" s="3"/>
      <c r="H1945" s="3"/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</row>
    <row r="1946">
      <c r="A1946" s="3"/>
      <c r="B1946" s="3"/>
      <c r="C1946" s="3"/>
      <c r="D1946" s="3"/>
      <c r="E1946" s="3"/>
      <c r="F1946" s="3"/>
      <c r="G1946" s="3"/>
      <c r="H1946" s="3"/>
      <c r="I1946" s="3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</row>
    <row r="1947">
      <c r="A1947" s="3"/>
      <c r="B1947" s="3"/>
      <c r="C1947" s="3"/>
      <c r="D1947" s="3"/>
      <c r="E1947" s="3"/>
      <c r="F1947" s="3"/>
      <c r="G1947" s="3"/>
      <c r="H1947" s="3"/>
      <c r="I1947" s="3"/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</row>
    <row r="1948">
      <c r="A1948" s="3"/>
      <c r="B1948" s="3"/>
      <c r="C1948" s="3"/>
      <c r="D1948" s="3"/>
      <c r="E1948" s="3"/>
      <c r="F1948" s="3"/>
      <c r="G1948" s="3"/>
      <c r="H1948" s="3"/>
      <c r="I1948" s="3"/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</row>
    <row r="1949">
      <c r="A1949" s="3"/>
      <c r="B1949" s="3"/>
      <c r="C1949" s="3"/>
      <c r="D1949" s="3"/>
      <c r="E1949" s="3"/>
      <c r="F1949" s="3"/>
      <c r="G1949" s="3"/>
      <c r="H1949" s="3"/>
      <c r="I1949" s="3"/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</row>
    <row r="1950">
      <c r="A1950" s="3"/>
      <c r="B1950" s="3"/>
      <c r="C1950" s="3"/>
      <c r="D1950" s="3"/>
      <c r="E1950" s="3"/>
      <c r="F1950" s="3"/>
      <c r="G1950" s="3"/>
      <c r="H1950" s="3"/>
      <c r="I1950" s="3"/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</row>
    <row r="1951">
      <c r="A1951" s="3"/>
      <c r="B1951" s="3"/>
      <c r="C1951" s="3"/>
      <c r="D1951" s="3"/>
      <c r="E1951" s="3"/>
      <c r="F1951" s="3"/>
      <c r="G1951" s="3"/>
      <c r="H1951" s="3"/>
      <c r="I1951" s="3"/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</row>
    <row r="1952">
      <c r="A1952" s="3"/>
      <c r="B1952" s="3"/>
      <c r="C1952" s="3"/>
      <c r="D1952" s="3"/>
      <c r="E1952" s="3"/>
      <c r="F1952" s="3"/>
      <c r="G1952" s="3"/>
      <c r="H1952" s="3"/>
      <c r="I1952" s="3"/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</row>
    <row r="1953">
      <c r="A1953" s="3"/>
      <c r="B1953" s="3"/>
      <c r="C1953" s="3"/>
      <c r="D1953" s="3"/>
      <c r="E1953" s="3"/>
      <c r="F1953" s="3"/>
      <c r="G1953" s="3"/>
      <c r="H1953" s="3"/>
      <c r="I1953" s="3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</row>
    <row r="1954">
      <c r="A1954" s="3"/>
      <c r="B1954" s="3"/>
      <c r="C1954" s="3"/>
      <c r="D1954" s="3"/>
      <c r="E1954" s="3"/>
      <c r="F1954" s="3"/>
      <c r="G1954" s="3"/>
      <c r="H1954" s="3"/>
      <c r="I1954" s="3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</row>
    <row r="1955">
      <c r="A1955" s="3"/>
      <c r="B1955" s="3"/>
      <c r="C1955" s="3"/>
      <c r="D1955" s="3"/>
      <c r="E1955" s="3"/>
      <c r="F1955" s="3"/>
      <c r="G1955" s="3"/>
      <c r="H1955" s="3"/>
      <c r="I1955" s="3"/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</row>
    <row r="1956">
      <c r="A1956" s="3"/>
      <c r="B1956" s="3"/>
      <c r="C1956" s="3"/>
      <c r="D1956" s="3"/>
      <c r="E1956" s="3"/>
      <c r="F1956" s="3"/>
      <c r="G1956" s="3"/>
      <c r="H1956" s="3"/>
      <c r="I1956" s="3"/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</row>
    <row r="1957">
      <c r="A1957" s="3"/>
      <c r="B1957" s="3"/>
      <c r="C1957" s="3"/>
      <c r="D1957" s="3"/>
      <c r="E1957" s="3"/>
      <c r="F1957" s="3"/>
      <c r="G1957" s="3"/>
      <c r="H1957" s="3"/>
      <c r="I1957" s="3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</row>
    <row r="1958">
      <c r="A1958" s="3"/>
      <c r="B1958" s="3"/>
      <c r="C1958" s="3"/>
      <c r="D1958" s="3"/>
      <c r="E1958" s="3"/>
      <c r="F1958" s="3"/>
      <c r="G1958" s="3"/>
      <c r="H1958" s="3"/>
      <c r="I1958" s="3"/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</row>
    <row r="1959">
      <c r="A1959" s="3"/>
      <c r="B1959" s="3"/>
      <c r="C1959" s="3"/>
      <c r="D1959" s="3"/>
      <c r="E1959" s="3"/>
      <c r="F1959" s="3"/>
      <c r="G1959" s="3"/>
      <c r="H1959" s="3"/>
      <c r="I1959" s="3"/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</row>
    <row r="1960">
      <c r="A1960" s="3"/>
      <c r="B1960" s="3"/>
      <c r="C1960" s="3"/>
      <c r="D1960" s="3"/>
      <c r="E1960" s="3"/>
      <c r="F1960" s="3"/>
      <c r="G1960" s="3"/>
      <c r="H1960" s="3"/>
      <c r="I1960" s="3"/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</row>
    <row r="1961">
      <c r="A1961" s="3"/>
      <c r="B1961" s="3"/>
      <c r="C1961" s="3"/>
      <c r="D1961" s="3"/>
      <c r="E1961" s="3"/>
      <c r="F1961" s="3"/>
      <c r="G1961" s="3"/>
      <c r="H1961" s="3"/>
      <c r="I1961" s="3"/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</row>
    <row r="1962">
      <c r="A1962" s="3"/>
      <c r="B1962" s="3"/>
      <c r="C1962" s="3"/>
      <c r="D1962" s="3"/>
      <c r="E1962" s="3"/>
      <c r="F1962" s="3"/>
      <c r="G1962" s="3"/>
      <c r="H1962" s="3"/>
      <c r="I1962" s="3"/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</row>
    <row r="1963">
      <c r="A1963" s="3"/>
      <c r="B1963" s="3"/>
      <c r="C1963" s="3"/>
      <c r="D1963" s="3"/>
      <c r="E1963" s="3"/>
      <c r="F1963" s="3"/>
      <c r="G1963" s="3"/>
      <c r="H1963" s="3"/>
      <c r="I1963" s="3"/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</row>
    <row r="1964">
      <c r="A1964" s="3"/>
      <c r="B1964" s="3"/>
      <c r="C1964" s="3"/>
      <c r="D1964" s="3"/>
      <c r="E1964" s="3"/>
      <c r="F1964" s="3"/>
      <c r="G1964" s="3"/>
      <c r="H1964" s="3"/>
      <c r="I1964" s="3"/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</row>
    <row r="1965">
      <c r="A1965" s="3"/>
      <c r="B1965" s="3"/>
      <c r="C1965" s="3"/>
      <c r="D1965" s="3"/>
      <c r="E1965" s="3"/>
      <c r="F1965" s="3"/>
      <c r="G1965" s="3"/>
      <c r="H1965" s="3"/>
      <c r="I1965" s="3"/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</row>
    <row r="1966">
      <c r="A1966" s="3"/>
      <c r="B1966" s="3"/>
      <c r="C1966" s="3"/>
      <c r="D1966" s="3"/>
      <c r="E1966" s="3"/>
      <c r="F1966" s="3"/>
      <c r="G1966" s="3"/>
      <c r="H1966" s="3"/>
      <c r="I1966" s="3"/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</row>
    <row r="1967">
      <c r="A1967" s="3"/>
      <c r="B1967" s="3"/>
      <c r="C1967" s="3"/>
      <c r="D1967" s="3"/>
      <c r="E1967" s="3"/>
      <c r="F1967" s="3"/>
      <c r="G1967" s="3"/>
      <c r="H1967" s="3"/>
      <c r="I1967" s="3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</row>
    <row r="1968">
      <c r="A1968" s="3"/>
      <c r="B1968" s="3"/>
      <c r="C1968" s="3"/>
      <c r="D1968" s="3"/>
      <c r="E1968" s="3"/>
      <c r="F1968" s="3"/>
      <c r="G1968" s="3"/>
      <c r="H1968" s="3"/>
      <c r="I1968" s="3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</row>
    <row r="1969">
      <c r="A1969" s="3"/>
      <c r="B1969" s="3"/>
      <c r="C1969" s="3"/>
      <c r="D1969" s="3"/>
      <c r="E1969" s="3"/>
      <c r="F1969" s="3"/>
      <c r="G1969" s="3"/>
      <c r="H1969" s="3"/>
      <c r="I1969" s="3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</row>
    <row r="1970">
      <c r="A1970" s="3"/>
      <c r="B1970" s="3"/>
      <c r="C1970" s="3"/>
      <c r="D1970" s="3"/>
      <c r="E1970" s="3"/>
      <c r="F1970" s="3"/>
      <c r="G1970" s="3"/>
      <c r="H1970" s="3"/>
      <c r="I1970" s="3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</row>
    <row r="1971">
      <c r="A1971" s="3"/>
      <c r="B1971" s="3"/>
      <c r="C1971" s="3"/>
      <c r="D1971" s="3"/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</row>
    <row r="1972">
      <c r="A1972" s="3"/>
      <c r="B1972" s="3"/>
      <c r="C1972" s="3"/>
      <c r="D1972" s="3"/>
      <c r="E1972" s="3"/>
      <c r="F1972" s="3"/>
      <c r="G1972" s="3"/>
      <c r="H1972" s="3"/>
      <c r="I1972" s="3"/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</row>
    <row r="1973">
      <c r="A1973" s="3"/>
      <c r="B1973" s="3"/>
      <c r="C1973" s="3"/>
      <c r="D1973" s="3"/>
      <c r="E1973" s="3"/>
      <c r="F1973" s="3"/>
      <c r="G1973" s="3"/>
      <c r="H1973" s="3"/>
      <c r="I1973" s="3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</row>
    <row r="1974">
      <c r="A1974" s="3"/>
      <c r="B1974" s="3"/>
      <c r="C1974" s="3"/>
      <c r="D1974" s="3"/>
      <c r="E1974" s="3"/>
      <c r="F1974" s="3"/>
      <c r="G1974" s="3"/>
      <c r="H1974" s="3"/>
      <c r="I1974" s="3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</row>
    <row r="1975">
      <c r="A1975" s="3"/>
      <c r="B1975" s="3"/>
      <c r="C1975" s="3"/>
      <c r="D1975" s="3"/>
      <c r="E1975" s="3"/>
      <c r="F1975" s="3"/>
      <c r="G1975" s="3"/>
      <c r="H1975" s="3"/>
      <c r="I1975" s="3"/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</row>
    <row r="1976">
      <c r="A1976" s="3"/>
      <c r="B1976" s="3"/>
      <c r="C1976" s="3"/>
      <c r="D1976" s="3"/>
      <c r="E1976" s="3"/>
      <c r="F1976" s="3"/>
      <c r="G1976" s="3"/>
      <c r="H1976" s="3"/>
      <c r="I1976" s="3"/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</row>
    <row r="1977">
      <c r="A1977" s="3"/>
      <c r="B1977" s="3"/>
      <c r="C1977" s="3"/>
      <c r="D1977" s="3"/>
      <c r="E1977" s="3"/>
      <c r="F1977" s="3"/>
      <c r="G1977" s="3"/>
      <c r="H1977" s="3"/>
      <c r="I1977" s="3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</row>
    <row r="1978">
      <c r="A1978" s="3"/>
      <c r="B1978" s="3"/>
      <c r="C1978" s="3"/>
      <c r="D1978" s="3"/>
      <c r="E1978" s="3"/>
      <c r="F1978" s="3"/>
      <c r="G1978" s="3"/>
      <c r="H1978" s="3"/>
      <c r="I1978" s="3"/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</row>
    <row r="1979">
      <c r="A1979" s="3"/>
      <c r="B1979" s="3"/>
      <c r="C1979" s="3"/>
      <c r="D1979" s="3"/>
      <c r="E1979" s="3"/>
      <c r="F1979" s="3"/>
      <c r="G1979" s="3"/>
      <c r="H1979" s="3"/>
      <c r="I1979" s="3"/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</row>
    <row r="1980">
      <c r="A1980" s="3"/>
      <c r="B1980" s="3"/>
      <c r="C1980" s="3"/>
      <c r="D1980" s="3"/>
      <c r="E1980" s="3"/>
      <c r="F1980" s="3"/>
      <c r="G1980" s="3"/>
      <c r="H1980" s="3"/>
      <c r="I1980" s="3"/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</row>
    <row r="1981">
      <c r="A1981" s="3"/>
      <c r="B1981" s="3"/>
      <c r="C1981" s="3"/>
      <c r="D1981" s="3"/>
      <c r="E1981" s="3"/>
      <c r="F1981" s="3"/>
      <c r="G1981" s="3"/>
      <c r="H1981" s="3"/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</row>
    <row r="1982">
      <c r="A1982" s="3"/>
      <c r="B1982" s="3"/>
      <c r="C1982" s="3"/>
      <c r="D1982" s="3"/>
      <c r="E1982" s="3"/>
      <c r="F1982" s="3"/>
      <c r="G1982" s="3"/>
      <c r="H1982" s="3"/>
      <c r="I1982" s="3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</row>
    <row r="1983">
      <c r="A1983" s="3"/>
      <c r="B1983" s="3"/>
      <c r="C1983" s="3"/>
      <c r="D1983" s="3"/>
      <c r="E1983" s="3"/>
      <c r="F1983" s="3"/>
      <c r="G1983" s="3"/>
      <c r="H1983" s="3"/>
      <c r="I1983" s="3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</row>
    <row r="1984">
      <c r="A1984" s="3"/>
      <c r="B1984" s="3"/>
      <c r="C1984" s="3"/>
      <c r="D1984" s="3"/>
      <c r="E1984" s="3"/>
      <c r="F1984" s="3"/>
      <c r="G1984" s="3"/>
      <c r="H1984" s="3"/>
      <c r="I1984" s="3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</row>
    <row r="1985">
      <c r="A1985" s="3"/>
      <c r="B1985" s="3"/>
      <c r="C1985" s="3"/>
      <c r="D1985" s="3"/>
      <c r="E1985" s="3"/>
      <c r="F1985" s="3"/>
      <c r="G1985" s="3"/>
      <c r="H1985" s="3"/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</row>
    <row r="1986">
      <c r="A1986" s="3"/>
      <c r="B1986" s="3"/>
      <c r="C1986" s="3"/>
      <c r="D1986" s="3"/>
      <c r="E1986" s="3"/>
      <c r="F1986" s="3"/>
      <c r="G1986" s="3"/>
      <c r="H1986" s="3"/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</row>
    <row r="1987">
      <c r="A1987" s="3"/>
      <c r="B1987" s="3"/>
      <c r="C1987" s="3"/>
      <c r="D1987" s="3"/>
      <c r="E1987" s="3"/>
      <c r="F1987" s="3"/>
      <c r="G1987" s="3"/>
      <c r="H1987" s="3"/>
      <c r="I1987" s="3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</row>
    <row r="1988">
      <c r="A1988" s="3"/>
      <c r="B1988" s="3"/>
      <c r="C1988" s="3"/>
      <c r="D1988" s="3"/>
      <c r="E1988" s="3"/>
      <c r="F1988" s="3"/>
      <c r="G1988" s="3"/>
      <c r="H1988" s="3"/>
      <c r="I1988" s="3"/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</row>
    <row r="1989">
      <c r="A1989" s="3"/>
      <c r="B1989" s="3"/>
      <c r="C1989" s="3"/>
      <c r="D1989" s="3"/>
      <c r="E1989" s="3"/>
      <c r="F1989" s="3"/>
      <c r="G1989" s="3"/>
      <c r="H1989" s="3"/>
      <c r="I1989" s="3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</row>
    <row r="1990">
      <c r="A1990" s="3"/>
      <c r="B1990" s="3"/>
      <c r="C1990" s="3"/>
      <c r="D1990" s="3"/>
      <c r="E1990" s="3"/>
      <c r="F1990" s="3"/>
      <c r="G1990" s="3"/>
      <c r="H1990" s="3"/>
      <c r="I1990" s="3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</row>
    <row r="1991">
      <c r="A1991" s="3"/>
      <c r="B1991" s="3"/>
      <c r="C1991" s="3"/>
      <c r="D1991" s="3"/>
      <c r="E1991" s="3"/>
      <c r="F1991" s="3"/>
      <c r="G1991" s="3"/>
      <c r="H1991" s="3"/>
      <c r="I1991" s="3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</row>
    <row r="1992">
      <c r="A1992" s="3"/>
      <c r="B1992" s="3"/>
      <c r="C1992" s="3"/>
      <c r="D1992" s="3"/>
      <c r="E1992" s="3"/>
      <c r="F1992" s="3"/>
      <c r="G1992" s="3"/>
      <c r="H1992" s="3"/>
      <c r="I1992" s="3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</row>
    <row r="1993">
      <c r="A1993" s="3"/>
      <c r="B1993" s="3"/>
      <c r="C1993" s="3"/>
      <c r="D1993" s="3"/>
      <c r="E1993" s="3"/>
      <c r="F1993" s="3"/>
      <c r="G1993" s="3"/>
      <c r="H1993" s="3"/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</row>
    <row r="1994">
      <c r="A1994" s="3"/>
      <c r="B1994" s="3"/>
      <c r="C1994" s="3"/>
      <c r="D1994" s="3"/>
      <c r="E1994" s="3"/>
      <c r="F1994" s="3"/>
      <c r="G1994" s="3"/>
      <c r="H1994" s="3"/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</row>
    <row r="1995">
      <c r="A1995" s="3"/>
      <c r="B1995" s="3"/>
      <c r="C1995" s="3"/>
      <c r="D1995" s="3"/>
      <c r="E1995" s="3"/>
      <c r="F1995" s="3"/>
      <c r="G1995" s="3"/>
      <c r="H1995" s="3"/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</row>
    <row r="1996">
      <c r="A1996" s="3"/>
      <c r="B1996" s="3"/>
      <c r="C1996" s="3"/>
      <c r="D1996" s="3"/>
      <c r="E1996" s="3"/>
      <c r="F1996" s="3"/>
      <c r="G1996" s="3"/>
      <c r="H1996" s="3"/>
      <c r="I1996" s="3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</row>
    <row r="1997">
      <c r="A1997" s="3"/>
      <c r="B1997" s="3"/>
      <c r="C1997" s="3"/>
      <c r="D1997" s="3"/>
      <c r="E1997" s="3"/>
      <c r="F1997" s="3"/>
      <c r="G1997" s="3"/>
      <c r="H1997" s="3"/>
      <c r="I1997" s="3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</row>
    <row r="1998">
      <c r="A1998" s="3"/>
      <c r="B1998" s="3"/>
      <c r="C1998" s="3"/>
      <c r="D1998" s="3"/>
      <c r="E1998" s="3"/>
      <c r="F1998" s="3"/>
      <c r="G1998" s="3"/>
      <c r="H1998" s="3"/>
      <c r="I1998" s="3"/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</row>
    <row r="1999">
      <c r="A1999" s="3"/>
      <c r="B1999" s="3"/>
      <c r="C1999" s="3"/>
      <c r="D1999" s="3"/>
      <c r="E1999" s="3"/>
      <c r="F1999" s="3"/>
      <c r="G1999" s="3"/>
      <c r="H1999" s="3"/>
      <c r="I1999" s="3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</row>
    <row r="2000">
      <c r="A2000" s="3"/>
      <c r="B2000" s="3"/>
      <c r="C2000" s="3"/>
      <c r="D2000" s="3"/>
      <c r="E2000" s="3"/>
      <c r="F2000" s="3"/>
      <c r="G2000" s="3"/>
      <c r="H2000" s="3"/>
      <c r="I2000" s="3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</row>
    <row r="2001">
      <c r="A2001" s="3"/>
      <c r="B2001" s="3"/>
      <c r="C2001" s="3"/>
      <c r="D2001" s="3"/>
      <c r="E2001" s="3"/>
      <c r="F2001" s="3"/>
      <c r="G2001" s="3"/>
      <c r="H2001" s="3"/>
      <c r="I2001" s="3"/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</row>
    <row r="2002">
      <c r="A2002" s="3"/>
      <c r="B2002" s="3"/>
      <c r="C2002" s="3"/>
      <c r="D2002" s="3"/>
      <c r="E2002" s="3"/>
      <c r="F2002" s="3"/>
      <c r="G2002" s="3"/>
      <c r="H2002" s="3"/>
      <c r="I2002" s="3"/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</row>
    <row r="2003">
      <c r="A2003" s="3"/>
      <c r="B2003" s="3"/>
      <c r="C2003" s="3"/>
      <c r="D2003" s="3"/>
      <c r="E2003" s="3"/>
      <c r="F2003" s="3"/>
      <c r="G2003" s="3"/>
      <c r="H2003" s="3"/>
      <c r="I2003" s="3"/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</row>
    <row r="2004">
      <c r="A2004" s="3"/>
      <c r="B2004" s="3"/>
      <c r="C2004" s="3"/>
      <c r="D2004" s="3"/>
      <c r="E2004" s="3"/>
      <c r="F2004" s="3"/>
      <c r="G2004" s="3"/>
      <c r="H2004" s="3"/>
      <c r="I2004" s="3"/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</row>
    <row r="2005">
      <c r="A2005" s="3"/>
      <c r="B2005" s="3"/>
      <c r="C2005" s="3"/>
      <c r="D2005" s="3"/>
      <c r="E2005" s="3"/>
      <c r="F2005" s="3"/>
      <c r="G2005" s="3"/>
      <c r="H2005" s="3"/>
      <c r="I2005" s="3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</row>
    <row r="2006">
      <c r="A2006" s="3"/>
      <c r="B2006" s="3"/>
      <c r="C2006" s="3"/>
      <c r="D2006" s="3"/>
      <c r="E2006" s="3"/>
      <c r="F2006" s="3"/>
      <c r="G2006" s="3"/>
      <c r="H2006" s="3"/>
      <c r="I2006" s="3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</row>
    <row r="2007">
      <c r="A2007" s="3"/>
      <c r="B2007" s="3"/>
      <c r="C2007" s="3"/>
      <c r="D2007" s="3"/>
      <c r="E2007" s="3"/>
      <c r="F2007" s="3"/>
      <c r="G2007" s="3"/>
      <c r="H2007" s="3"/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</row>
    <row r="2008">
      <c r="A2008" s="3"/>
      <c r="B2008" s="3"/>
      <c r="C2008" s="3"/>
      <c r="D2008" s="3"/>
      <c r="E2008" s="3"/>
      <c r="F2008" s="3"/>
      <c r="G2008" s="3"/>
      <c r="H2008" s="3"/>
      <c r="I2008" s="3"/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</row>
    <row r="2009">
      <c r="A2009" s="3"/>
      <c r="B2009" s="3"/>
      <c r="C2009" s="3"/>
      <c r="D2009" s="3"/>
      <c r="E2009" s="3"/>
      <c r="F2009" s="3"/>
      <c r="G2009" s="3"/>
      <c r="H2009" s="3"/>
      <c r="I2009" s="3"/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</row>
    <row r="2010">
      <c r="A2010" s="3"/>
      <c r="B2010" s="3"/>
      <c r="C2010" s="3"/>
      <c r="D2010" s="3"/>
      <c r="E2010" s="3"/>
      <c r="F2010" s="3"/>
      <c r="G2010" s="3"/>
      <c r="H2010" s="3"/>
      <c r="I2010" s="3"/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</row>
    <row r="2011">
      <c r="A2011" s="3"/>
      <c r="B2011" s="3"/>
      <c r="C2011" s="3"/>
      <c r="D2011" s="3"/>
      <c r="E2011" s="3"/>
      <c r="F2011" s="3"/>
      <c r="G2011" s="3"/>
      <c r="H2011" s="3"/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</row>
    <row r="2012">
      <c r="A2012" s="3"/>
      <c r="B2012" s="3"/>
      <c r="C2012" s="3"/>
      <c r="D2012" s="3"/>
      <c r="E2012" s="3"/>
      <c r="F2012" s="3"/>
      <c r="G2012" s="3"/>
      <c r="H2012" s="3"/>
      <c r="I2012" s="3"/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</row>
    <row r="2013">
      <c r="A2013" s="3"/>
      <c r="B2013" s="3"/>
      <c r="C2013" s="3"/>
      <c r="D2013" s="3"/>
      <c r="E2013" s="3"/>
      <c r="F2013" s="3"/>
      <c r="G2013" s="3"/>
      <c r="H2013" s="3"/>
      <c r="I2013" s="3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</row>
    <row r="2014">
      <c r="A2014" s="3"/>
      <c r="B2014" s="3"/>
      <c r="C2014" s="3"/>
      <c r="D2014" s="3"/>
      <c r="E2014" s="3"/>
      <c r="F2014" s="3"/>
      <c r="G2014" s="3"/>
      <c r="H2014" s="3"/>
      <c r="I2014" s="3"/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</row>
    <row r="2015">
      <c r="A2015" s="3"/>
      <c r="B2015" s="3"/>
      <c r="C2015" s="3"/>
      <c r="D2015" s="3"/>
      <c r="E2015" s="3"/>
      <c r="F2015" s="3"/>
      <c r="G2015" s="3"/>
      <c r="H2015" s="3"/>
      <c r="I2015" s="3"/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</row>
    <row r="2016">
      <c r="A2016" s="3"/>
      <c r="B2016" s="3"/>
      <c r="C2016" s="3"/>
      <c r="D2016" s="3"/>
      <c r="E2016" s="3"/>
      <c r="F2016" s="3"/>
      <c r="G2016" s="3"/>
      <c r="H2016" s="3"/>
      <c r="I2016" s="3"/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</row>
    <row r="2017">
      <c r="A2017" s="3"/>
      <c r="B2017" s="3"/>
      <c r="C2017" s="3"/>
      <c r="D2017" s="3"/>
      <c r="E2017" s="3"/>
      <c r="F2017" s="3"/>
      <c r="G2017" s="3"/>
      <c r="H2017" s="3"/>
      <c r="I2017" s="3"/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</row>
    <row r="2018">
      <c r="A2018" s="3"/>
      <c r="B2018" s="3"/>
      <c r="C2018" s="3"/>
      <c r="D2018" s="3"/>
      <c r="E2018" s="3"/>
      <c r="F2018" s="3"/>
      <c r="G2018" s="3"/>
      <c r="H2018" s="3"/>
      <c r="I2018" s="3"/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</row>
    <row r="2019">
      <c r="A2019" s="3"/>
      <c r="B2019" s="3"/>
      <c r="C2019" s="3"/>
      <c r="D2019" s="3"/>
      <c r="E2019" s="3"/>
      <c r="F2019" s="3"/>
      <c r="G2019" s="3"/>
      <c r="H2019" s="3"/>
      <c r="I2019" s="3"/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</row>
    <row r="2020">
      <c r="A2020" s="3"/>
      <c r="B2020" s="3"/>
      <c r="C2020" s="3"/>
      <c r="D2020" s="3"/>
      <c r="E2020" s="3"/>
      <c r="F2020" s="3"/>
      <c r="G2020" s="3"/>
      <c r="H2020" s="3"/>
      <c r="I2020" s="3"/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</row>
    <row r="2021">
      <c r="A2021" s="3"/>
      <c r="B2021" s="3"/>
      <c r="C2021" s="3"/>
      <c r="D2021" s="3"/>
      <c r="E2021" s="3"/>
      <c r="F2021" s="3"/>
      <c r="G2021" s="3"/>
      <c r="H2021" s="3"/>
      <c r="I2021" s="3"/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</row>
    <row r="2022">
      <c r="A2022" s="3"/>
      <c r="B2022" s="3"/>
      <c r="C2022" s="3"/>
      <c r="D2022" s="3"/>
      <c r="E2022" s="3"/>
      <c r="F2022" s="3"/>
      <c r="G2022" s="3"/>
      <c r="H2022" s="3"/>
      <c r="I2022" s="3"/>
      <c r="J2022" s="3"/>
      <c r="K2022" s="3"/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</row>
    <row r="2023">
      <c r="A2023" s="3"/>
      <c r="B2023" s="3"/>
      <c r="C2023" s="3"/>
      <c r="D2023" s="3"/>
      <c r="E2023" s="3"/>
      <c r="F2023" s="3"/>
      <c r="G2023" s="3"/>
      <c r="H2023" s="3"/>
      <c r="I2023" s="3"/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</row>
    <row r="2024">
      <c r="A2024" s="3"/>
      <c r="B2024" s="3"/>
      <c r="C2024" s="3"/>
      <c r="D2024" s="3"/>
      <c r="E2024" s="3"/>
      <c r="F2024" s="3"/>
      <c r="G2024" s="3"/>
      <c r="H2024" s="3"/>
      <c r="I2024" s="3"/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</row>
    <row r="2025">
      <c r="A2025" s="3"/>
      <c r="B2025" s="3"/>
      <c r="C2025" s="3"/>
      <c r="D2025" s="3"/>
      <c r="E2025" s="3"/>
      <c r="F2025" s="3"/>
      <c r="G2025" s="3"/>
      <c r="H2025" s="3"/>
      <c r="I2025" s="3"/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</row>
    <row r="2026">
      <c r="A2026" s="3"/>
      <c r="B2026" s="3"/>
      <c r="C2026" s="3"/>
      <c r="D2026" s="3"/>
      <c r="E2026" s="3"/>
      <c r="F2026" s="3"/>
      <c r="G2026" s="3"/>
      <c r="H2026" s="3"/>
      <c r="I2026" s="3"/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</row>
    <row r="2027">
      <c r="A2027" s="3"/>
      <c r="B2027" s="3"/>
      <c r="C2027" s="3"/>
      <c r="D2027" s="3"/>
      <c r="E2027" s="3"/>
      <c r="F2027" s="3"/>
      <c r="G2027" s="3"/>
      <c r="H2027" s="3"/>
      <c r="I2027" s="3"/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</row>
    <row r="2028">
      <c r="A2028" s="3"/>
      <c r="B2028" s="3"/>
      <c r="C2028" s="3"/>
      <c r="D2028" s="3"/>
      <c r="E2028" s="3"/>
      <c r="F2028" s="3"/>
      <c r="G2028" s="3"/>
      <c r="H2028" s="3"/>
      <c r="I2028" s="3"/>
      <c r="J2028" s="3"/>
      <c r="K2028" s="3"/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</row>
    <row r="2029">
      <c r="A2029" s="3"/>
      <c r="B2029" s="3"/>
      <c r="C2029" s="3"/>
      <c r="D2029" s="3"/>
      <c r="E2029" s="3"/>
      <c r="F2029" s="3"/>
      <c r="G2029" s="3"/>
      <c r="H2029" s="3"/>
      <c r="I2029" s="3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</row>
    <row r="2030">
      <c r="A2030" s="3"/>
      <c r="B2030" s="3"/>
      <c r="C2030" s="3"/>
      <c r="D2030" s="3"/>
      <c r="E2030" s="3"/>
      <c r="F2030" s="3"/>
      <c r="G2030" s="3"/>
      <c r="H2030" s="3"/>
      <c r="I2030" s="3"/>
      <c r="J2030" s="3"/>
      <c r="K2030" s="3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</row>
    <row r="2031">
      <c r="A2031" s="3"/>
      <c r="B2031" s="3"/>
      <c r="C2031" s="3"/>
      <c r="D2031" s="3"/>
      <c r="E2031" s="3"/>
      <c r="F2031" s="3"/>
      <c r="G2031" s="3"/>
      <c r="H2031" s="3"/>
      <c r="I2031" s="3"/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</row>
    <row r="2032">
      <c r="A2032" s="3"/>
      <c r="B2032" s="3"/>
      <c r="C2032" s="3"/>
      <c r="D2032" s="3"/>
      <c r="E2032" s="3"/>
      <c r="F2032" s="3"/>
      <c r="G2032" s="3"/>
      <c r="H2032" s="3"/>
      <c r="I2032" s="3"/>
      <c r="J2032" s="3"/>
      <c r="K2032" s="3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</row>
    <row r="2033">
      <c r="A2033" s="3"/>
      <c r="B2033" s="3"/>
      <c r="C2033" s="3"/>
      <c r="D2033" s="3"/>
      <c r="E2033" s="3"/>
      <c r="F2033" s="3"/>
      <c r="G2033" s="3"/>
      <c r="H2033" s="3"/>
      <c r="I2033" s="3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</row>
    <row r="2034">
      <c r="A2034" s="3"/>
      <c r="B2034" s="3"/>
      <c r="C2034" s="3"/>
      <c r="D2034" s="3"/>
      <c r="E2034" s="3"/>
      <c r="F2034" s="3"/>
      <c r="G2034" s="3"/>
      <c r="H2034" s="3"/>
      <c r="I2034" s="3"/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</row>
    <row r="2035">
      <c r="A2035" s="3"/>
      <c r="B2035" s="3"/>
      <c r="C2035" s="3"/>
      <c r="D2035" s="3"/>
      <c r="E2035" s="3"/>
      <c r="F2035" s="3"/>
      <c r="G2035" s="3"/>
      <c r="H2035" s="3"/>
      <c r="I2035" s="3"/>
      <c r="J2035" s="3"/>
      <c r="K2035" s="3"/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</row>
    <row r="2036">
      <c r="A2036" s="3"/>
      <c r="B2036" s="3"/>
      <c r="C2036" s="3"/>
      <c r="D2036" s="3"/>
      <c r="E2036" s="3"/>
      <c r="F2036" s="3"/>
      <c r="G2036" s="3"/>
      <c r="H2036" s="3"/>
      <c r="I2036" s="3"/>
      <c r="J2036" s="3"/>
      <c r="K2036" s="3"/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</row>
    <row r="2037">
      <c r="A2037" s="3"/>
      <c r="B2037" s="3"/>
      <c r="C2037" s="3"/>
      <c r="D2037" s="3"/>
      <c r="E2037" s="3"/>
      <c r="F2037" s="3"/>
      <c r="G2037" s="3"/>
      <c r="H2037" s="3"/>
      <c r="I2037" s="3"/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</row>
    <row r="2038">
      <c r="A2038" s="3"/>
      <c r="B2038" s="3"/>
      <c r="C2038" s="3"/>
      <c r="D2038" s="3"/>
      <c r="E2038" s="3"/>
      <c r="F2038" s="3"/>
      <c r="G2038" s="3"/>
      <c r="H2038" s="3"/>
      <c r="I2038" s="3"/>
      <c r="J2038" s="3"/>
      <c r="K2038" s="3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</row>
    <row r="2039">
      <c r="A2039" s="3"/>
      <c r="B2039" s="3"/>
      <c r="C2039" s="3"/>
      <c r="D2039" s="3"/>
      <c r="E2039" s="3"/>
      <c r="F2039" s="3"/>
      <c r="G2039" s="3"/>
      <c r="H2039" s="3"/>
      <c r="I2039" s="3"/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</row>
    <row r="2040">
      <c r="A2040" s="3"/>
      <c r="B2040" s="3"/>
      <c r="C2040" s="3"/>
      <c r="D2040" s="3"/>
      <c r="E2040" s="3"/>
      <c r="F2040" s="3"/>
      <c r="G2040" s="3"/>
      <c r="H2040" s="3"/>
      <c r="I2040" s="3"/>
      <c r="J2040" s="3"/>
      <c r="K2040" s="3"/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</row>
    <row r="2041">
      <c r="A2041" s="3"/>
      <c r="B2041" s="3"/>
      <c r="C2041" s="3"/>
      <c r="D2041" s="3"/>
      <c r="E2041" s="3"/>
      <c r="F2041" s="3"/>
      <c r="G2041" s="3"/>
      <c r="H2041" s="3"/>
      <c r="I2041" s="3"/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</row>
    <row r="2042">
      <c r="A2042" s="3"/>
      <c r="B2042" s="3"/>
      <c r="C2042" s="3"/>
      <c r="D2042" s="3"/>
      <c r="E2042" s="3"/>
      <c r="F2042" s="3"/>
      <c r="G2042" s="3"/>
      <c r="H2042" s="3"/>
      <c r="I2042" s="3"/>
      <c r="J2042" s="3"/>
      <c r="K2042" s="3"/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</row>
    <row r="2043">
      <c r="A2043" s="3"/>
      <c r="B2043" s="3"/>
      <c r="C2043" s="3"/>
      <c r="D2043" s="3"/>
      <c r="E2043" s="3"/>
      <c r="F2043" s="3"/>
      <c r="G2043" s="3"/>
      <c r="H2043" s="3"/>
      <c r="I2043" s="3"/>
      <c r="J2043" s="3"/>
      <c r="K2043" s="3"/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</row>
    <row r="2044">
      <c r="A2044" s="3"/>
      <c r="B2044" s="3"/>
      <c r="C2044" s="3"/>
      <c r="D2044" s="3"/>
      <c r="E2044" s="3"/>
      <c r="F2044" s="3"/>
      <c r="G2044" s="3"/>
      <c r="H2044" s="3"/>
      <c r="I2044" s="3"/>
      <c r="J2044" s="3"/>
      <c r="K2044" s="3"/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</row>
    <row r="2045">
      <c r="A2045" s="3"/>
      <c r="B2045" s="3"/>
      <c r="C2045" s="3"/>
      <c r="D2045" s="3"/>
      <c r="E2045" s="3"/>
      <c r="F2045" s="3"/>
      <c r="G2045" s="3"/>
      <c r="H2045" s="3"/>
      <c r="I2045" s="3"/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</row>
    <row r="2046">
      <c r="A2046" s="3"/>
      <c r="B2046" s="3"/>
      <c r="C2046" s="3"/>
      <c r="D2046" s="3"/>
      <c r="E2046" s="3"/>
      <c r="F2046" s="3"/>
      <c r="G2046" s="3"/>
      <c r="H2046" s="3"/>
      <c r="I2046" s="3"/>
      <c r="J2046" s="3"/>
      <c r="K2046" s="3"/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</row>
    <row r="2047">
      <c r="A2047" s="3"/>
      <c r="B2047" s="3"/>
      <c r="C2047" s="3"/>
      <c r="D2047" s="3"/>
      <c r="E2047" s="3"/>
      <c r="F2047" s="3"/>
      <c r="G2047" s="3"/>
      <c r="H2047" s="3"/>
      <c r="I2047" s="3"/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</row>
    <row r="2048">
      <c r="A2048" s="3"/>
      <c r="B2048" s="3"/>
      <c r="C2048" s="3"/>
      <c r="D2048" s="3"/>
      <c r="E2048" s="3"/>
      <c r="F2048" s="3"/>
      <c r="G2048" s="3"/>
      <c r="H2048" s="3"/>
      <c r="I2048" s="3"/>
      <c r="J2048" s="3"/>
      <c r="K2048" s="3"/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</row>
    <row r="2049">
      <c r="A2049" s="3"/>
      <c r="B2049" s="3"/>
      <c r="C2049" s="3"/>
      <c r="D2049" s="3"/>
      <c r="E2049" s="3"/>
      <c r="F2049" s="3"/>
      <c r="G2049" s="3"/>
      <c r="H2049" s="3"/>
      <c r="I2049" s="3"/>
      <c r="J2049" s="3"/>
      <c r="K2049" s="3"/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</row>
    <row r="2050">
      <c r="A2050" s="3"/>
      <c r="B2050" s="3"/>
      <c r="C2050" s="3"/>
      <c r="D2050" s="3"/>
      <c r="E2050" s="3"/>
      <c r="F2050" s="3"/>
      <c r="G2050" s="3"/>
      <c r="H2050" s="3"/>
      <c r="I2050" s="3"/>
      <c r="J2050" s="3"/>
      <c r="K2050" s="3"/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</row>
    <row r="2051">
      <c r="A2051" s="3"/>
      <c r="B2051" s="3"/>
      <c r="C2051" s="3"/>
      <c r="D2051" s="3"/>
      <c r="E2051" s="3"/>
      <c r="F2051" s="3"/>
      <c r="G2051" s="3"/>
      <c r="H2051" s="3"/>
      <c r="I2051" s="3"/>
      <c r="J2051" s="3"/>
      <c r="K2051" s="3"/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</row>
    <row r="2052">
      <c r="A2052" s="3"/>
      <c r="B2052" s="3"/>
      <c r="C2052" s="3"/>
      <c r="D2052" s="3"/>
      <c r="E2052" s="3"/>
      <c r="F2052" s="3"/>
      <c r="G2052" s="3"/>
      <c r="H2052" s="3"/>
      <c r="I2052" s="3"/>
      <c r="J2052" s="3"/>
      <c r="K2052" s="3"/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</row>
    <row r="2053">
      <c r="A2053" s="3"/>
      <c r="B2053" s="3"/>
      <c r="C2053" s="3"/>
      <c r="D2053" s="3"/>
      <c r="E2053" s="3"/>
      <c r="F2053" s="3"/>
      <c r="G2053" s="3"/>
      <c r="H2053" s="3"/>
      <c r="I2053" s="3"/>
      <c r="J2053" s="3"/>
      <c r="K2053" s="3"/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</row>
    <row r="2054">
      <c r="A2054" s="3"/>
      <c r="B2054" s="3"/>
      <c r="C2054" s="3"/>
      <c r="D2054" s="3"/>
      <c r="E2054" s="3"/>
      <c r="F2054" s="3"/>
      <c r="G2054" s="3"/>
      <c r="H2054" s="3"/>
      <c r="I2054" s="3"/>
      <c r="J2054" s="3"/>
      <c r="K2054" s="3"/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</row>
    <row r="2055">
      <c r="A2055" s="3"/>
      <c r="B2055" s="3"/>
      <c r="C2055" s="3"/>
      <c r="D2055" s="3"/>
      <c r="E2055" s="3"/>
      <c r="F2055" s="3"/>
      <c r="G2055" s="3"/>
      <c r="H2055" s="3"/>
      <c r="I2055" s="3"/>
      <c r="J2055" s="3"/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</row>
    <row r="2056">
      <c r="A2056" s="3"/>
      <c r="B2056" s="3"/>
      <c r="C2056" s="3"/>
      <c r="D2056" s="3"/>
      <c r="E2056" s="3"/>
      <c r="F2056" s="3"/>
      <c r="G2056" s="3"/>
      <c r="H2056" s="3"/>
      <c r="I2056" s="3"/>
      <c r="J2056" s="3"/>
      <c r="K2056" s="3"/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</row>
    <row r="2057">
      <c r="A2057" s="3"/>
      <c r="B2057" s="3"/>
      <c r="C2057" s="3"/>
      <c r="D2057" s="3"/>
      <c r="E2057" s="3"/>
      <c r="F2057" s="3"/>
      <c r="G2057" s="3"/>
      <c r="H2057" s="3"/>
      <c r="I2057" s="3"/>
      <c r="J2057" s="3"/>
      <c r="K2057" s="3"/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</row>
    <row r="2058">
      <c r="A2058" s="3"/>
      <c r="B2058" s="3"/>
      <c r="C2058" s="3"/>
      <c r="D2058" s="3"/>
      <c r="E2058" s="3"/>
      <c r="F2058" s="3"/>
      <c r="G2058" s="3"/>
      <c r="H2058" s="3"/>
      <c r="I2058" s="3"/>
      <c r="J2058" s="3"/>
      <c r="K2058" s="3"/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</row>
    <row r="2059">
      <c r="A2059" s="3"/>
      <c r="B2059" s="3"/>
      <c r="C2059" s="3"/>
      <c r="D2059" s="3"/>
      <c r="E2059" s="3"/>
      <c r="F2059" s="3"/>
      <c r="G2059" s="3"/>
      <c r="H2059" s="3"/>
      <c r="I2059" s="3"/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</row>
    <row r="2060">
      <c r="A2060" s="3"/>
      <c r="B2060" s="3"/>
      <c r="C2060" s="3"/>
      <c r="D2060" s="3"/>
      <c r="E2060" s="3"/>
      <c r="F2060" s="3"/>
      <c r="G2060" s="3"/>
      <c r="H2060" s="3"/>
      <c r="I2060" s="3"/>
      <c r="J2060" s="3"/>
      <c r="K2060" s="3"/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</row>
    <row r="2061">
      <c r="A2061" s="3"/>
      <c r="B2061" s="3"/>
      <c r="C2061" s="3"/>
      <c r="D2061" s="3"/>
      <c r="E2061" s="3"/>
      <c r="F2061" s="3"/>
      <c r="G2061" s="3"/>
      <c r="H2061" s="3"/>
      <c r="I2061" s="3"/>
      <c r="J2061" s="3"/>
      <c r="K2061" s="3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</row>
    <row r="2062">
      <c r="A2062" s="3"/>
      <c r="B2062" s="3"/>
      <c r="C2062" s="3"/>
      <c r="D2062" s="3"/>
      <c r="E2062" s="3"/>
      <c r="F2062" s="3"/>
      <c r="G2062" s="3"/>
      <c r="H2062" s="3"/>
      <c r="I2062" s="3"/>
      <c r="J2062" s="3"/>
      <c r="K2062" s="3"/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</row>
    <row r="2063">
      <c r="A2063" s="3"/>
      <c r="B2063" s="3"/>
      <c r="C2063" s="3"/>
      <c r="D2063" s="3"/>
      <c r="E2063" s="3"/>
      <c r="F2063" s="3"/>
      <c r="G2063" s="3"/>
      <c r="H2063" s="3"/>
      <c r="I2063" s="3"/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</row>
    <row r="2064">
      <c r="A2064" s="3"/>
      <c r="B2064" s="3"/>
      <c r="C2064" s="3"/>
      <c r="D2064" s="3"/>
      <c r="E2064" s="3"/>
      <c r="F2064" s="3"/>
      <c r="G2064" s="3"/>
      <c r="H2064" s="3"/>
      <c r="I2064" s="3"/>
      <c r="J2064" s="3"/>
      <c r="K2064" s="3"/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</row>
    <row r="2065">
      <c r="A2065" s="3"/>
      <c r="B2065" s="3"/>
      <c r="C2065" s="3"/>
      <c r="D2065" s="3"/>
      <c r="E2065" s="3"/>
      <c r="F2065" s="3"/>
      <c r="G2065" s="3"/>
      <c r="H2065" s="3"/>
      <c r="I2065" s="3"/>
      <c r="J2065" s="3"/>
      <c r="K2065" s="3"/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</row>
    <row r="2066">
      <c r="A2066" s="3"/>
      <c r="B2066" s="3"/>
      <c r="C2066" s="3"/>
      <c r="D2066" s="3"/>
      <c r="E2066" s="3"/>
      <c r="F2066" s="3"/>
      <c r="G2066" s="3"/>
      <c r="H2066" s="3"/>
      <c r="I2066" s="3"/>
      <c r="J2066" s="3"/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</row>
    <row r="2067">
      <c r="A2067" s="3"/>
      <c r="B2067" s="3"/>
      <c r="C2067" s="3"/>
      <c r="D2067" s="3"/>
      <c r="E2067" s="3"/>
      <c r="F2067" s="3"/>
      <c r="G2067" s="3"/>
      <c r="H2067" s="3"/>
      <c r="I2067" s="3"/>
      <c r="J2067" s="3"/>
      <c r="K2067" s="3"/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</row>
    <row r="2068">
      <c r="A2068" s="3"/>
      <c r="B2068" s="3"/>
      <c r="C2068" s="3"/>
      <c r="D2068" s="3"/>
      <c r="E2068" s="3"/>
      <c r="F2068" s="3"/>
      <c r="G2068" s="3"/>
      <c r="H2068" s="3"/>
      <c r="I2068" s="3"/>
      <c r="J2068" s="3"/>
      <c r="K2068" s="3"/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</row>
    <row r="2069">
      <c r="A2069" s="3"/>
      <c r="B2069" s="3"/>
      <c r="C2069" s="3"/>
      <c r="D2069" s="3"/>
      <c r="E2069" s="3"/>
      <c r="F2069" s="3"/>
      <c r="G2069" s="3"/>
      <c r="H2069" s="3"/>
      <c r="I2069" s="3"/>
      <c r="J2069" s="3"/>
      <c r="K2069" s="3"/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</row>
    <row r="2070">
      <c r="A2070" s="3"/>
      <c r="B2070" s="3"/>
      <c r="C2070" s="3"/>
      <c r="D2070" s="3"/>
      <c r="E2070" s="3"/>
      <c r="F2070" s="3"/>
      <c r="G2070" s="3"/>
      <c r="H2070" s="3"/>
      <c r="I2070" s="3"/>
      <c r="J2070" s="3"/>
      <c r="K2070" s="3"/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</row>
    <row r="2071">
      <c r="A2071" s="3"/>
      <c r="B2071" s="3"/>
      <c r="C2071" s="3"/>
      <c r="D2071" s="3"/>
      <c r="E2071" s="3"/>
      <c r="F2071" s="3"/>
      <c r="G2071" s="3"/>
      <c r="H2071" s="3"/>
      <c r="I2071" s="3"/>
      <c r="J2071" s="3"/>
      <c r="K2071" s="3"/>
      <c r="L2071" s="3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</row>
    <row r="2072">
      <c r="A2072" s="3"/>
      <c r="B2072" s="3"/>
      <c r="C2072" s="3"/>
      <c r="D2072" s="3"/>
      <c r="E2072" s="3"/>
      <c r="F2072" s="3"/>
      <c r="G2072" s="3"/>
      <c r="H2072" s="3"/>
      <c r="I2072" s="3"/>
      <c r="J2072" s="3"/>
      <c r="K2072" s="3"/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</row>
    <row r="2073">
      <c r="A2073" s="3"/>
      <c r="B2073" s="3"/>
      <c r="C2073" s="3"/>
      <c r="D2073" s="3"/>
      <c r="E2073" s="3"/>
      <c r="F2073" s="3"/>
      <c r="G2073" s="3"/>
      <c r="H2073" s="3"/>
      <c r="I2073" s="3"/>
      <c r="J2073" s="3"/>
      <c r="K2073" s="3"/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</row>
    <row r="2074">
      <c r="A2074" s="3"/>
      <c r="B2074" s="3"/>
      <c r="C2074" s="3"/>
      <c r="D2074" s="3"/>
      <c r="E2074" s="3"/>
      <c r="F2074" s="3"/>
      <c r="G2074" s="3"/>
      <c r="H2074" s="3"/>
      <c r="I2074" s="3"/>
      <c r="J2074" s="3"/>
      <c r="K2074" s="3"/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</row>
    <row r="2075">
      <c r="A2075" s="3"/>
      <c r="B2075" s="3"/>
      <c r="C2075" s="3"/>
      <c r="D2075" s="3"/>
      <c r="E2075" s="3"/>
      <c r="F2075" s="3"/>
      <c r="G2075" s="3"/>
      <c r="H2075" s="3"/>
      <c r="I2075" s="3"/>
      <c r="J2075" s="3"/>
      <c r="K2075" s="3"/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</row>
    <row r="2076">
      <c r="A2076" s="3"/>
      <c r="B2076" s="3"/>
      <c r="C2076" s="3"/>
      <c r="D2076" s="3"/>
      <c r="E2076" s="3"/>
      <c r="F2076" s="3"/>
      <c r="G2076" s="3"/>
      <c r="H2076" s="3"/>
      <c r="I2076" s="3"/>
      <c r="J2076" s="3"/>
      <c r="K2076" s="3"/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</row>
    <row r="2077">
      <c r="A2077" s="3"/>
      <c r="B2077" s="3"/>
      <c r="C2077" s="3"/>
      <c r="D2077" s="3"/>
      <c r="E2077" s="3"/>
      <c r="F2077" s="3"/>
      <c r="G2077" s="3"/>
      <c r="H2077" s="3"/>
      <c r="I2077" s="3"/>
      <c r="J2077" s="3"/>
      <c r="K2077" s="3"/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</row>
    <row r="2078">
      <c r="A2078" s="3"/>
      <c r="B2078" s="3"/>
      <c r="C2078" s="3"/>
      <c r="D2078" s="3"/>
      <c r="E2078" s="3"/>
      <c r="F2078" s="3"/>
      <c r="G2078" s="3"/>
      <c r="H2078" s="3"/>
      <c r="I2078" s="3"/>
      <c r="J2078" s="3"/>
      <c r="K2078" s="3"/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</row>
    <row r="2079">
      <c r="A2079" s="3"/>
      <c r="B2079" s="3"/>
      <c r="C2079" s="3"/>
      <c r="D2079" s="3"/>
      <c r="E2079" s="3"/>
      <c r="F2079" s="3"/>
      <c r="G2079" s="3"/>
      <c r="H2079" s="3"/>
      <c r="I2079" s="3"/>
      <c r="J2079" s="3"/>
      <c r="K2079" s="3"/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</row>
    <row r="2080">
      <c r="A2080" s="3"/>
      <c r="B2080" s="3"/>
      <c r="C2080" s="3"/>
      <c r="D2080" s="3"/>
      <c r="E2080" s="3"/>
      <c r="F2080" s="3"/>
      <c r="G2080" s="3"/>
      <c r="H2080" s="3"/>
      <c r="I2080" s="3"/>
      <c r="J2080" s="3"/>
      <c r="K2080" s="3"/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</row>
    <row r="2081">
      <c r="A2081" s="3"/>
      <c r="B2081" s="3"/>
      <c r="C2081" s="3"/>
      <c r="D2081" s="3"/>
      <c r="E2081" s="3"/>
      <c r="F2081" s="3"/>
      <c r="G2081" s="3"/>
      <c r="H2081" s="3"/>
      <c r="I2081" s="3"/>
      <c r="J2081" s="3"/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</row>
    <row r="2082">
      <c r="A2082" s="3"/>
      <c r="B2082" s="3"/>
      <c r="C2082" s="3"/>
      <c r="D2082" s="3"/>
      <c r="E2082" s="3"/>
      <c r="F2082" s="3"/>
      <c r="G2082" s="3"/>
      <c r="H2082" s="3"/>
      <c r="I2082" s="3"/>
      <c r="J2082" s="3"/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</row>
    <row r="2083">
      <c r="A2083" s="3"/>
      <c r="B2083" s="3"/>
      <c r="C2083" s="3"/>
      <c r="D2083" s="3"/>
      <c r="E2083" s="3"/>
      <c r="F2083" s="3"/>
      <c r="G2083" s="3"/>
      <c r="H2083" s="3"/>
      <c r="I2083" s="3"/>
      <c r="J2083" s="3"/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</row>
    <row r="2084">
      <c r="A2084" s="3"/>
      <c r="B2084" s="3"/>
      <c r="C2084" s="3"/>
      <c r="D2084" s="3"/>
      <c r="E2084" s="3"/>
      <c r="F2084" s="3"/>
      <c r="G2084" s="3"/>
      <c r="H2084" s="3"/>
      <c r="I2084" s="3"/>
      <c r="J2084" s="3"/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</row>
    <row r="2085">
      <c r="A2085" s="3"/>
      <c r="B2085" s="3"/>
      <c r="C2085" s="3"/>
      <c r="D2085" s="3"/>
      <c r="E2085" s="3"/>
      <c r="F2085" s="3"/>
      <c r="G2085" s="3"/>
      <c r="H2085" s="3"/>
      <c r="I2085" s="3"/>
      <c r="J2085" s="3"/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</row>
    <row r="2086">
      <c r="A2086" s="3"/>
      <c r="B2086" s="3"/>
      <c r="C2086" s="3"/>
      <c r="D2086" s="3"/>
      <c r="E2086" s="3"/>
      <c r="F2086" s="3"/>
      <c r="G2086" s="3"/>
      <c r="H2086" s="3"/>
      <c r="I2086" s="3"/>
      <c r="J2086" s="3"/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</row>
    <row r="2087">
      <c r="A2087" s="3"/>
      <c r="B2087" s="3"/>
      <c r="C2087" s="3"/>
      <c r="D2087" s="3"/>
      <c r="E2087" s="3"/>
      <c r="F2087" s="3"/>
      <c r="G2087" s="3"/>
      <c r="H2087" s="3"/>
      <c r="I2087" s="3"/>
      <c r="J2087" s="3"/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</row>
    <row r="2088">
      <c r="A2088" s="3"/>
      <c r="B2088" s="3"/>
      <c r="C2088" s="3"/>
      <c r="D2088" s="3"/>
      <c r="E2088" s="3"/>
      <c r="F2088" s="3"/>
      <c r="G2088" s="3"/>
      <c r="H2088" s="3"/>
      <c r="I2088" s="3"/>
      <c r="J2088" s="3"/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</row>
    <row r="2089">
      <c r="A2089" s="3"/>
      <c r="B2089" s="3"/>
      <c r="C2089" s="3"/>
      <c r="D2089" s="3"/>
      <c r="E2089" s="3"/>
      <c r="F2089" s="3"/>
      <c r="G2089" s="3"/>
      <c r="H2089" s="3"/>
      <c r="I2089" s="3"/>
      <c r="J2089" s="3"/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</row>
    <row r="2090">
      <c r="A2090" s="3"/>
      <c r="B2090" s="3"/>
      <c r="C2090" s="3"/>
      <c r="D2090" s="3"/>
      <c r="E2090" s="3"/>
      <c r="F2090" s="3"/>
      <c r="G2090" s="3"/>
      <c r="H2090" s="3"/>
      <c r="I2090" s="3"/>
      <c r="J2090" s="3"/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</row>
    <row r="2091">
      <c r="A2091" s="3"/>
      <c r="B2091" s="3"/>
      <c r="C2091" s="3"/>
      <c r="D2091" s="3"/>
      <c r="E2091" s="3"/>
      <c r="F2091" s="3"/>
      <c r="G2091" s="3"/>
      <c r="H2091" s="3"/>
      <c r="I2091" s="3"/>
      <c r="J2091" s="3"/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</row>
    <row r="2092">
      <c r="A2092" s="3"/>
      <c r="B2092" s="3"/>
      <c r="C2092" s="3"/>
      <c r="D2092" s="3"/>
      <c r="E2092" s="3"/>
      <c r="F2092" s="3"/>
      <c r="G2092" s="3"/>
      <c r="H2092" s="3"/>
      <c r="I2092" s="3"/>
      <c r="J2092" s="3"/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</row>
    <row r="2093">
      <c r="A2093" s="3"/>
      <c r="B2093" s="3"/>
      <c r="C2093" s="3"/>
      <c r="D2093" s="3"/>
      <c r="E2093" s="3"/>
      <c r="F2093" s="3"/>
      <c r="G2093" s="3"/>
      <c r="H2093" s="3"/>
      <c r="I2093" s="3"/>
      <c r="J2093" s="3"/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</row>
    <row r="2094">
      <c r="A2094" s="3"/>
      <c r="B2094" s="3"/>
      <c r="C2094" s="3"/>
      <c r="D2094" s="3"/>
      <c r="E2094" s="3"/>
      <c r="F2094" s="3"/>
      <c r="G2094" s="3"/>
      <c r="H2094" s="3"/>
      <c r="I2094" s="3"/>
      <c r="J2094" s="3"/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</row>
    <row r="2095">
      <c r="A2095" s="3"/>
      <c r="B2095" s="3"/>
      <c r="C2095" s="3"/>
      <c r="D2095" s="3"/>
      <c r="E2095" s="3"/>
      <c r="F2095" s="3"/>
      <c r="G2095" s="3"/>
      <c r="H2095" s="3"/>
      <c r="I2095" s="3"/>
      <c r="J2095" s="3"/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</row>
    <row r="2096">
      <c r="A2096" s="3"/>
      <c r="B2096" s="3"/>
      <c r="C2096" s="3"/>
      <c r="D2096" s="3"/>
      <c r="E2096" s="3"/>
      <c r="F2096" s="3"/>
      <c r="G2096" s="3"/>
      <c r="H2096" s="3"/>
      <c r="I2096" s="3"/>
      <c r="J2096" s="3"/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</row>
    <row r="2097">
      <c r="A2097" s="3"/>
      <c r="B2097" s="3"/>
      <c r="C2097" s="3"/>
      <c r="D2097" s="3"/>
      <c r="E2097" s="3"/>
      <c r="F2097" s="3"/>
      <c r="G2097" s="3"/>
      <c r="H2097" s="3"/>
      <c r="I2097" s="3"/>
      <c r="J2097" s="3"/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</row>
    <row r="2098">
      <c r="A2098" s="3"/>
      <c r="B2098" s="3"/>
      <c r="C2098" s="3"/>
      <c r="D2098" s="3"/>
      <c r="E2098" s="3"/>
      <c r="F2098" s="3"/>
      <c r="G2098" s="3"/>
      <c r="H2098" s="3"/>
      <c r="I2098" s="3"/>
      <c r="J2098" s="3"/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</row>
    <row r="2099">
      <c r="A2099" s="3"/>
      <c r="B2099" s="3"/>
      <c r="C2099" s="3"/>
      <c r="D2099" s="3"/>
      <c r="E2099" s="3"/>
      <c r="F2099" s="3"/>
      <c r="G2099" s="3"/>
      <c r="H2099" s="3"/>
      <c r="I2099" s="3"/>
      <c r="J2099" s="3"/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</row>
    <row r="2100">
      <c r="A2100" s="3"/>
      <c r="B2100" s="3"/>
      <c r="C2100" s="3"/>
      <c r="D2100" s="3"/>
      <c r="E2100" s="3"/>
      <c r="F2100" s="3"/>
      <c r="G2100" s="3"/>
      <c r="H2100" s="3"/>
      <c r="I2100" s="3"/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</row>
    <row r="2101">
      <c r="A2101" s="3"/>
      <c r="B2101" s="3"/>
      <c r="C2101" s="3"/>
      <c r="D2101" s="3"/>
      <c r="E2101" s="3"/>
      <c r="F2101" s="3"/>
      <c r="G2101" s="3"/>
      <c r="H2101" s="3"/>
      <c r="I2101" s="3"/>
      <c r="J2101" s="3"/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</row>
    <row r="2102">
      <c r="A2102" s="3"/>
      <c r="B2102" s="3"/>
      <c r="C2102" s="3"/>
      <c r="D2102" s="3"/>
      <c r="E2102" s="3"/>
      <c r="F2102" s="3"/>
      <c r="G2102" s="3"/>
      <c r="H2102" s="3"/>
      <c r="I2102" s="3"/>
      <c r="J2102" s="3"/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</row>
    <row r="2103">
      <c r="A2103" s="3"/>
      <c r="B2103" s="3"/>
      <c r="C2103" s="3"/>
      <c r="D2103" s="3"/>
      <c r="E2103" s="3"/>
      <c r="F2103" s="3"/>
      <c r="G2103" s="3"/>
      <c r="H2103" s="3"/>
      <c r="I2103" s="3"/>
      <c r="J2103" s="3"/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</row>
    <row r="2104">
      <c r="A2104" s="3"/>
      <c r="B2104" s="3"/>
      <c r="C2104" s="3"/>
      <c r="D2104" s="3"/>
      <c r="E2104" s="3"/>
      <c r="F2104" s="3"/>
      <c r="G2104" s="3"/>
      <c r="H2104" s="3"/>
      <c r="I2104" s="3"/>
      <c r="J2104" s="3"/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</row>
    <row r="2105">
      <c r="A2105" s="3"/>
      <c r="B2105" s="3"/>
      <c r="C2105" s="3"/>
      <c r="D2105" s="3"/>
      <c r="E2105" s="3"/>
      <c r="F2105" s="3"/>
      <c r="G2105" s="3"/>
      <c r="H2105" s="3"/>
      <c r="I2105" s="3"/>
      <c r="J2105" s="3"/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</row>
    <row r="2106">
      <c r="A2106" s="3"/>
      <c r="B2106" s="3"/>
      <c r="C2106" s="3"/>
      <c r="D2106" s="3"/>
      <c r="E2106" s="3"/>
      <c r="F2106" s="3"/>
      <c r="G2106" s="3"/>
      <c r="H2106" s="3"/>
      <c r="I2106" s="3"/>
      <c r="J2106" s="3"/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</row>
    <row r="2107">
      <c r="A2107" s="3"/>
      <c r="B2107" s="3"/>
      <c r="C2107" s="3"/>
      <c r="D2107" s="3"/>
      <c r="E2107" s="3"/>
      <c r="F2107" s="3"/>
      <c r="G2107" s="3"/>
      <c r="H2107" s="3"/>
      <c r="I2107" s="3"/>
      <c r="J2107" s="3"/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</row>
    <row r="2108">
      <c r="A2108" s="3"/>
      <c r="B2108" s="3"/>
      <c r="C2108" s="3"/>
      <c r="D2108" s="3"/>
      <c r="E2108" s="3"/>
      <c r="F2108" s="3"/>
      <c r="G2108" s="3"/>
      <c r="H2108" s="3"/>
      <c r="I2108" s="3"/>
      <c r="J2108" s="3"/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</row>
    <row r="2109">
      <c r="A2109" s="3"/>
      <c r="B2109" s="3"/>
      <c r="C2109" s="3"/>
      <c r="D2109" s="3"/>
      <c r="E2109" s="3"/>
      <c r="F2109" s="3"/>
      <c r="G2109" s="3"/>
      <c r="H2109" s="3"/>
      <c r="I2109" s="3"/>
      <c r="J2109" s="3"/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</row>
    <row r="2110">
      <c r="A2110" s="3"/>
      <c r="B2110" s="3"/>
      <c r="C2110" s="3"/>
      <c r="D2110" s="3"/>
      <c r="E2110" s="3"/>
      <c r="F2110" s="3"/>
      <c r="G2110" s="3"/>
      <c r="H2110" s="3"/>
      <c r="I2110" s="3"/>
      <c r="J2110" s="3"/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</row>
    <row r="2111">
      <c r="A2111" s="3"/>
      <c r="B2111" s="3"/>
      <c r="C2111" s="3"/>
      <c r="D2111" s="3"/>
      <c r="E2111" s="3"/>
      <c r="F2111" s="3"/>
      <c r="G2111" s="3"/>
      <c r="H2111" s="3"/>
      <c r="I2111" s="3"/>
      <c r="J2111" s="3"/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</row>
    <row r="2112">
      <c r="A2112" s="3"/>
      <c r="B2112" s="3"/>
      <c r="C2112" s="3"/>
      <c r="D2112" s="3"/>
      <c r="E2112" s="3"/>
      <c r="F2112" s="3"/>
      <c r="G2112" s="3"/>
      <c r="H2112" s="3"/>
      <c r="I2112" s="3"/>
      <c r="J2112" s="3"/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</row>
    <row r="2113">
      <c r="A2113" s="3"/>
      <c r="B2113" s="3"/>
      <c r="C2113" s="3"/>
      <c r="D2113" s="3"/>
      <c r="E2113" s="3"/>
      <c r="F2113" s="3"/>
      <c r="G2113" s="3"/>
      <c r="H2113" s="3"/>
      <c r="I2113" s="3"/>
      <c r="J2113" s="3"/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</row>
    <row r="2114">
      <c r="A2114" s="3"/>
      <c r="B2114" s="3"/>
      <c r="C2114" s="3"/>
      <c r="D2114" s="3"/>
      <c r="E2114" s="3"/>
      <c r="F2114" s="3"/>
      <c r="G2114" s="3"/>
      <c r="H2114" s="3"/>
      <c r="I2114" s="3"/>
      <c r="J2114" s="3"/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</row>
    <row r="2115">
      <c r="A2115" s="3"/>
      <c r="B2115" s="3"/>
      <c r="C2115" s="3"/>
      <c r="D2115" s="3"/>
      <c r="E2115" s="3"/>
      <c r="F2115" s="3"/>
      <c r="G2115" s="3"/>
      <c r="H2115" s="3"/>
      <c r="I2115" s="3"/>
      <c r="J2115" s="3"/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</row>
    <row r="2116">
      <c r="A2116" s="3"/>
      <c r="B2116" s="3"/>
      <c r="C2116" s="3"/>
      <c r="D2116" s="3"/>
      <c r="E2116" s="3"/>
      <c r="F2116" s="3"/>
      <c r="G2116" s="3"/>
      <c r="H2116" s="3"/>
      <c r="I2116" s="3"/>
      <c r="J2116" s="3"/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</row>
    <row r="2117">
      <c r="A2117" s="3"/>
      <c r="B2117" s="3"/>
      <c r="C2117" s="3"/>
      <c r="D2117" s="3"/>
      <c r="E2117" s="3"/>
      <c r="F2117" s="3"/>
      <c r="G2117" s="3"/>
      <c r="H2117" s="3"/>
      <c r="I2117" s="3"/>
      <c r="J2117" s="3"/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</row>
    <row r="2118">
      <c r="A2118" s="3"/>
      <c r="B2118" s="3"/>
      <c r="C2118" s="3"/>
      <c r="D2118" s="3"/>
      <c r="E2118" s="3"/>
      <c r="F2118" s="3"/>
      <c r="G2118" s="3"/>
      <c r="H2118" s="3"/>
      <c r="I2118" s="3"/>
      <c r="J2118" s="3"/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</row>
    <row r="2119">
      <c r="A2119" s="3"/>
      <c r="B2119" s="3"/>
      <c r="C2119" s="3"/>
      <c r="D2119" s="3"/>
      <c r="E2119" s="3"/>
      <c r="F2119" s="3"/>
      <c r="G2119" s="3"/>
      <c r="H2119" s="3"/>
      <c r="I2119" s="3"/>
      <c r="J2119" s="3"/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</row>
    <row r="2120">
      <c r="A2120" s="3"/>
      <c r="B2120" s="3"/>
      <c r="C2120" s="3"/>
      <c r="D2120" s="3"/>
      <c r="E2120" s="3"/>
      <c r="F2120" s="3"/>
      <c r="G2120" s="3"/>
      <c r="H2120" s="3"/>
      <c r="I2120" s="3"/>
      <c r="J2120" s="3"/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</row>
    <row r="2121">
      <c r="A2121" s="3"/>
      <c r="B2121" s="3"/>
      <c r="C2121" s="3"/>
      <c r="D2121" s="3"/>
      <c r="E2121" s="3"/>
      <c r="F2121" s="3"/>
      <c r="G2121" s="3"/>
      <c r="H2121" s="3"/>
      <c r="I2121" s="3"/>
      <c r="J2121" s="3"/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</row>
    <row r="2122">
      <c r="A2122" s="3"/>
      <c r="B2122" s="3"/>
      <c r="C2122" s="3"/>
      <c r="D2122" s="3"/>
      <c r="E2122" s="3"/>
      <c r="F2122" s="3"/>
      <c r="G2122" s="3"/>
      <c r="H2122" s="3"/>
      <c r="I2122" s="3"/>
      <c r="J2122" s="3"/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</row>
    <row r="2123">
      <c r="A2123" s="3"/>
      <c r="B2123" s="3"/>
      <c r="C2123" s="3"/>
      <c r="D2123" s="3"/>
      <c r="E2123" s="3"/>
      <c r="F2123" s="3"/>
      <c r="G2123" s="3"/>
      <c r="H2123" s="3"/>
      <c r="I2123" s="3"/>
      <c r="J2123" s="3"/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</row>
    <row r="2124">
      <c r="A2124" s="3"/>
      <c r="B2124" s="3"/>
      <c r="C2124" s="3"/>
      <c r="D2124" s="3"/>
      <c r="E2124" s="3"/>
      <c r="F2124" s="3"/>
      <c r="G2124" s="3"/>
      <c r="H2124" s="3"/>
      <c r="I2124" s="3"/>
      <c r="J2124" s="3"/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</row>
    <row r="2125">
      <c r="A2125" s="3"/>
      <c r="B2125" s="3"/>
      <c r="C2125" s="3"/>
      <c r="D2125" s="3"/>
      <c r="E2125" s="3"/>
      <c r="F2125" s="3"/>
      <c r="G2125" s="3"/>
      <c r="H2125" s="3"/>
      <c r="I2125" s="3"/>
      <c r="J2125" s="3"/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</row>
    <row r="2126">
      <c r="A2126" s="3"/>
      <c r="B2126" s="3"/>
      <c r="C2126" s="3"/>
      <c r="D2126" s="3"/>
      <c r="E2126" s="3"/>
      <c r="F2126" s="3"/>
      <c r="G2126" s="3"/>
      <c r="H2126" s="3"/>
      <c r="I2126" s="3"/>
      <c r="J2126" s="3"/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</row>
    <row r="2127">
      <c r="A2127" s="3"/>
      <c r="B2127" s="3"/>
      <c r="C2127" s="3"/>
      <c r="D2127" s="3"/>
      <c r="E2127" s="3"/>
      <c r="F2127" s="3"/>
      <c r="G2127" s="3"/>
      <c r="H2127" s="3"/>
      <c r="I2127" s="3"/>
      <c r="J2127" s="3"/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</row>
    <row r="2128">
      <c r="A2128" s="3"/>
      <c r="B2128" s="3"/>
      <c r="C2128" s="3"/>
      <c r="D2128" s="3"/>
      <c r="E2128" s="3"/>
      <c r="F2128" s="3"/>
      <c r="G2128" s="3"/>
      <c r="H2128" s="3"/>
      <c r="I2128" s="3"/>
      <c r="J2128" s="3"/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</row>
    <row r="2129">
      <c r="A2129" s="3"/>
      <c r="B2129" s="3"/>
      <c r="C2129" s="3"/>
      <c r="D2129" s="3"/>
      <c r="E2129" s="3"/>
      <c r="F2129" s="3"/>
      <c r="G2129" s="3"/>
      <c r="H2129" s="3"/>
      <c r="I2129" s="3"/>
      <c r="J2129" s="3"/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</row>
    <row r="2130">
      <c r="A2130" s="3"/>
      <c r="B2130" s="3"/>
      <c r="C2130" s="3"/>
      <c r="D2130" s="3"/>
      <c r="E2130" s="3"/>
      <c r="F2130" s="3"/>
      <c r="G2130" s="3"/>
      <c r="H2130" s="3"/>
      <c r="I2130" s="3"/>
      <c r="J2130" s="3"/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</row>
    <row r="2131">
      <c r="A2131" s="3"/>
      <c r="B2131" s="3"/>
      <c r="C2131" s="3"/>
      <c r="D2131" s="3"/>
      <c r="E2131" s="3"/>
      <c r="F2131" s="3"/>
      <c r="G2131" s="3"/>
      <c r="H2131" s="3"/>
      <c r="I2131" s="3"/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</row>
    <row r="2132">
      <c r="A2132" s="3"/>
      <c r="B2132" s="3"/>
      <c r="C2132" s="3"/>
      <c r="D2132" s="3"/>
      <c r="E2132" s="3"/>
      <c r="F2132" s="3"/>
      <c r="G2132" s="3"/>
      <c r="H2132" s="3"/>
      <c r="I2132" s="3"/>
      <c r="J2132" s="3"/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</row>
    <row r="2133">
      <c r="A2133" s="3"/>
      <c r="B2133" s="3"/>
      <c r="C2133" s="3"/>
      <c r="D2133" s="3"/>
      <c r="E2133" s="3"/>
      <c r="F2133" s="3"/>
      <c r="G2133" s="3"/>
      <c r="H2133" s="3"/>
      <c r="I2133" s="3"/>
      <c r="J2133" s="3"/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</row>
    <row r="2134">
      <c r="A2134" s="3"/>
      <c r="B2134" s="3"/>
      <c r="C2134" s="3"/>
      <c r="D2134" s="3"/>
      <c r="E2134" s="3"/>
      <c r="F2134" s="3"/>
      <c r="G2134" s="3"/>
      <c r="H2134" s="3"/>
      <c r="I2134" s="3"/>
      <c r="J2134" s="3"/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</row>
    <row r="2135">
      <c r="A2135" s="3"/>
      <c r="B2135" s="3"/>
      <c r="C2135" s="3"/>
      <c r="D2135" s="3"/>
      <c r="E2135" s="3"/>
      <c r="F2135" s="3"/>
      <c r="G2135" s="3"/>
      <c r="H2135" s="3"/>
      <c r="I2135" s="3"/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</row>
    <row r="2136">
      <c r="A2136" s="3"/>
      <c r="B2136" s="3"/>
      <c r="C2136" s="3"/>
      <c r="D2136" s="3"/>
      <c r="E2136" s="3"/>
      <c r="F2136" s="3"/>
      <c r="G2136" s="3"/>
      <c r="H2136" s="3"/>
      <c r="I2136" s="3"/>
      <c r="J2136" s="3"/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</row>
    <row r="2137">
      <c r="A2137" s="3"/>
      <c r="B2137" s="3"/>
      <c r="C2137" s="3"/>
      <c r="D2137" s="3"/>
      <c r="E2137" s="3"/>
      <c r="F2137" s="3"/>
      <c r="G2137" s="3"/>
      <c r="H2137" s="3"/>
      <c r="I2137" s="3"/>
      <c r="J2137" s="3"/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</row>
    <row r="2138">
      <c r="A2138" s="3"/>
      <c r="B2138" s="3"/>
      <c r="C2138" s="3"/>
      <c r="D2138" s="3"/>
      <c r="E2138" s="3"/>
      <c r="F2138" s="3"/>
      <c r="G2138" s="3"/>
      <c r="H2138" s="3"/>
      <c r="I2138" s="3"/>
      <c r="J2138" s="3"/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</row>
    <row r="2139">
      <c r="A2139" s="3"/>
      <c r="B2139" s="3"/>
      <c r="C2139" s="3"/>
      <c r="D2139" s="3"/>
      <c r="E2139" s="3"/>
      <c r="F2139" s="3"/>
      <c r="G2139" s="3"/>
      <c r="H2139" s="3"/>
      <c r="I2139" s="3"/>
      <c r="J2139" s="3"/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</row>
    <row r="2140">
      <c r="A2140" s="3"/>
      <c r="B2140" s="3"/>
      <c r="C2140" s="3"/>
      <c r="D2140" s="3"/>
      <c r="E2140" s="3"/>
      <c r="F2140" s="3"/>
      <c r="G2140" s="3"/>
      <c r="H2140" s="3"/>
      <c r="I2140" s="3"/>
      <c r="J2140" s="3"/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</row>
    <row r="2141">
      <c r="A2141" s="3"/>
      <c r="B2141" s="3"/>
      <c r="C2141" s="3"/>
      <c r="D2141" s="3"/>
      <c r="E2141" s="3"/>
      <c r="F2141" s="3"/>
      <c r="G2141" s="3"/>
      <c r="H2141" s="3"/>
      <c r="I2141" s="3"/>
      <c r="J2141" s="3"/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</row>
    <row r="2142">
      <c r="A2142" s="3"/>
      <c r="B2142" s="3"/>
      <c r="C2142" s="3"/>
      <c r="D2142" s="3"/>
      <c r="E2142" s="3"/>
      <c r="F2142" s="3"/>
      <c r="G2142" s="3"/>
      <c r="H2142" s="3"/>
      <c r="I2142" s="3"/>
      <c r="J2142" s="3"/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</row>
    <row r="2143">
      <c r="A2143" s="3"/>
      <c r="B2143" s="3"/>
      <c r="C2143" s="3"/>
      <c r="D2143" s="3"/>
      <c r="E2143" s="3"/>
      <c r="F2143" s="3"/>
      <c r="G2143" s="3"/>
      <c r="H2143" s="3"/>
      <c r="I2143" s="3"/>
      <c r="J2143" s="3"/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</row>
    <row r="2144">
      <c r="A2144" s="3"/>
      <c r="B2144" s="3"/>
      <c r="C2144" s="3"/>
      <c r="D2144" s="3"/>
      <c r="E2144" s="3"/>
      <c r="F2144" s="3"/>
      <c r="G2144" s="3"/>
      <c r="H2144" s="3"/>
      <c r="I2144" s="3"/>
      <c r="J2144" s="3"/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</row>
    <row r="2145">
      <c r="A2145" s="3"/>
      <c r="B2145" s="3"/>
      <c r="C2145" s="3"/>
      <c r="D2145" s="3"/>
      <c r="E2145" s="3"/>
      <c r="F2145" s="3"/>
      <c r="G2145" s="3"/>
      <c r="H2145" s="3"/>
      <c r="I2145" s="3"/>
      <c r="J2145" s="3"/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</row>
    <row r="2146">
      <c r="A2146" s="3"/>
      <c r="B2146" s="3"/>
      <c r="C2146" s="3"/>
      <c r="D2146" s="3"/>
      <c r="E2146" s="3"/>
      <c r="F2146" s="3"/>
      <c r="G2146" s="3"/>
      <c r="H2146" s="3"/>
      <c r="I2146" s="3"/>
      <c r="J2146" s="3"/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</row>
    <row r="2147">
      <c r="A2147" s="3"/>
      <c r="B2147" s="3"/>
      <c r="C2147" s="3"/>
      <c r="D2147" s="3"/>
      <c r="E2147" s="3"/>
      <c r="F2147" s="3"/>
      <c r="G2147" s="3"/>
      <c r="H2147" s="3"/>
      <c r="I2147" s="3"/>
      <c r="J2147" s="3"/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</row>
    <row r="2148">
      <c r="A2148" s="3"/>
      <c r="B2148" s="3"/>
      <c r="C2148" s="3"/>
      <c r="D2148" s="3"/>
      <c r="E2148" s="3"/>
      <c r="F2148" s="3"/>
      <c r="G2148" s="3"/>
      <c r="H2148" s="3"/>
      <c r="I2148" s="3"/>
      <c r="J2148" s="3"/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</row>
    <row r="2149">
      <c r="A2149" s="3"/>
      <c r="B2149" s="3"/>
      <c r="C2149" s="3"/>
      <c r="D2149" s="3"/>
      <c r="E2149" s="3"/>
      <c r="F2149" s="3"/>
      <c r="G2149" s="3"/>
      <c r="H2149" s="3"/>
      <c r="I2149" s="3"/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</row>
    <row r="2150">
      <c r="A2150" s="3"/>
      <c r="B2150" s="3"/>
      <c r="C2150" s="3"/>
      <c r="D2150" s="3"/>
      <c r="E2150" s="3"/>
      <c r="F2150" s="3"/>
      <c r="G2150" s="3"/>
      <c r="H2150" s="3"/>
      <c r="I2150" s="3"/>
      <c r="J2150" s="3"/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</row>
    <row r="2151">
      <c r="A2151" s="3"/>
      <c r="B2151" s="3"/>
      <c r="C2151" s="3"/>
      <c r="D2151" s="3"/>
      <c r="E2151" s="3"/>
      <c r="F2151" s="3"/>
      <c r="G2151" s="3"/>
      <c r="H2151" s="3"/>
      <c r="I2151" s="3"/>
      <c r="J2151" s="3"/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</row>
    <row r="2152">
      <c r="A2152" s="3"/>
      <c r="B2152" s="3"/>
      <c r="C2152" s="3"/>
      <c r="D2152" s="3"/>
      <c r="E2152" s="3"/>
      <c r="F2152" s="3"/>
      <c r="G2152" s="3"/>
      <c r="H2152" s="3"/>
      <c r="I2152" s="3"/>
      <c r="J2152" s="3"/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</row>
    <row r="2153">
      <c r="A2153" s="3"/>
      <c r="B2153" s="3"/>
      <c r="C2153" s="3"/>
      <c r="D2153" s="3"/>
      <c r="E2153" s="3"/>
      <c r="F2153" s="3"/>
      <c r="G2153" s="3"/>
      <c r="H2153" s="3"/>
      <c r="I2153" s="3"/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</row>
    <row r="2154">
      <c r="A2154" s="3"/>
      <c r="B2154" s="3"/>
      <c r="C2154" s="3"/>
      <c r="D2154" s="3"/>
      <c r="E2154" s="3"/>
      <c r="F2154" s="3"/>
      <c r="G2154" s="3"/>
      <c r="H2154" s="3"/>
      <c r="I2154" s="3"/>
      <c r="J2154" s="3"/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</row>
    <row r="2155">
      <c r="A2155" s="3"/>
      <c r="B2155" s="3"/>
      <c r="C2155" s="3"/>
      <c r="D2155" s="3"/>
      <c r="E2155" s="3"/>
      <c r="F2155" s="3"/>
      <c r="G2155" s="3"/>
      <c r="H2155" s="3"/>
      <c r="I2155" s="3"/>
      <c r="J2155" s="3"/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</row>
    <row r="2156">
      <c r="A2156" s="3"/>
      <c r="B2156" s="3"/>
      <c r="C2156" s="3"/>
      <c r="D2156" s="3"/>
      <c r="E2156" s="3"/>
      <c r="F2156" s="3"/>
      <c r="G2156" s="3"/>
      <c r="H2156" s="3"/>
      <c r="I2156" s="3"/>
      <c r="J2156" s="3"/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</row>
    <row r="2157">
      <c r="A2157" s="3"/>
      <c r="B2157" s="3"/>
      <c r="C2157" s="3"/>
      <c r="D2157" s="3"/>
      <c r="E2157" s="3"/>
      <c r="F2157" s="3"/>
      <c r="G2157" s="3"/>
      <c r="H2157" s="3"/>
      <c r="I2157" s="3"/>
      <c r="J2157" s="3"/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</row>
    <row r="2158">
      <c r="A2158" s="3"/>
      <c r="B2158" s="3"/>
      <c r="C2158" s="3"/>
      <c r="D2158" s="3"/>
      <c r="E2158" s="3"/>
      <c r="F2158" s="3"/>
      <c r="G2158" s="3"/>
      <c r="H2158" s="3"/>
      <c r="I2158" s="3"/>
      <c r="J2158" s="3"/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</row>
    <row r="2159">
      <c r="A2159" s="3"/>
      <c r="B2159" s="3"/>
      <c r="C2159" s="3"/>
      <c r="D2159" s="3"/>
      <c r="E2159" s="3"/>
      <c r="F2159" s="3"/>
      <c r="G2159" s="3"/>
      <c r="H2159" s="3"/>
      <c r="I2159" s="3"/>
      <c r="J2159" s="3"/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</row>
    <row r="2160">
      <c r="A2160" s="3"/>
      <c r="B2160" s="3"/>
      <c r="C2160" s="3"/>
      <c r="D2160" s="3"/>
      <c r="E2160" s="3"/>
      <c r="F2160" s="3"/>
      <c r="G2160" s="3"/>
      <c r="H2160" s="3"/>
      <c r="I2160" s="3"/>
      <c r="J2160" s="3"/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</row>
    <row r="2161">
      <c r="A2161" s="3"/>
      <c r="B2161" s="3"/>
      <c r="C2161" s="3"/>
      <c r="D2161" s="3"/>
      <c r="E2161" s="3"/>
      <c r="F2161" s="3"/>
      <c r="G2161" s="3"/>
      <c r="H2161" s="3"/>
      <c r="I2161" s="3"/>
      <c r="J2161" s="3"/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</row>
    <row r="2162">
      <c r="A2162" s="3"/>
      <c r="B2162" s="3"/>
      <c r="C2162" s="3"/>
      <c r="D2162" s="3"/>
      <c r="E2162" s="3"/>
      <c r="F2162" s="3"/>
      <c r="G2162" s="3"/>
      <c r="H2162" s="3"/>
      <c r="I2162" s="3"/>
      <c r="J2162" s="3"/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</row>
    <row r="2163">
      <c r="A2163" s="3"/>
      <c r="B2163" s="3"/>
      <c r="C2163" s="3"/>
      <c r="D2163" s="3"/>
      <c r="E2163" s="3"/>
      <c r="F2163" s="3"/>
      <c r="G2163" s="3"/>
      <c r="H2163" s="3"/>
      <c r="I2163" s="3"/>
      <c r="J2163" s="3"/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</row>
    <row r="2164">
      <c r="A2164" s="3"/>
      <c r="B2164" s="3"/>
      <c r="C2164" s="3"/>
      <c r="D2164" s="3"/>
      <c r="E2164" s="3"/>
      <c r="F2164" s="3"/>
      <c r="G2164" s="3"/>
      <c r="H2164" s="3"/>
      <c r="I2164" s="3"/>
      <c r="J2164" s="3"/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</row>
    <row r="2165">
      <c r="A2165" s="3"/>
      <c r="B2165" s="3"/>
      <c r="C2165" s="3"/>
      <c r="D2165" s="3"/>
      <c r="E2165" s="3"/>
      <c r="F2165" s="3"/>
      <c r="G2165" s="3"/>
      <c r="H2165" s="3"/>
      <c r="I2165" s="3"/>
      <c r="J2165" s="3"/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</row>
    <row r="2166">
      <c r="A2166" s="3"/>
      <c r="B2166" s="3"/>
      <c r="C2166" s="3"/>
      <c r="D2166" s="3"/>
      <c r="E2166" s="3"/>
      <c r="F2166" s="3"/>
      <c r="G2166" s="3"/>
      <c r="H2166" s="3"/>
      <c r="I2166" s="3"/>
      <c r="J2166" s="3"/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</row>
    <row r="2167">
      <c r="A2167" s="3"/>
      <c r="B2167" s="3"/>
      <c r="C2167" s="3"/>
      <c r="D2167" s="3"/>
      <c r="E2167" s="3"/>
      <c r="F2167" s="3"/>
      <c r="G2167" s="3"/>
      <c r="H2167" s="3"/>
      <c r="I2167" s="3"/>
      <c r="J2167" s="3"/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</row>
    <row r="2168">
      <c r="A2168" s="3"/>
      <c r="B2168" s="3"/>
      <c r="C2168" s="3"/>
      <c r="D2168" s="3"/>
      <c r="E2168" s="3"/>
      <c r="F2168" s="3"/>
      <c r="G2168" s="3"/>
      <c r="H2168" s="3"/>
      <c r="I2168" s="3"/>
      <c r="J2168" s="3"/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</row>
    <row r="2169">
      <c r="A2169" s="3"/>
      <c r="B2169" s="3"/>
      <c r="C2169" s="3"/>
      <c r="D2169" s="3"/>
      <c r="E2169" s="3"/>
      <c r="F2169" s="3"/>
      <c r="G2169" s="3"/>
      <c r="H2169" s="3"/>
      <c r="I2169" s="3"/>
      <c r="J2169" s="3"/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</row>
    <row r="2170">
      <c r="A2170" s="3"/>
      <c r="B2170" s="3"/>
      <c r="C2170" s="3"/>
      <c r="D2170" s="3"/>
      <c r="E2170" s="3"/>
      <c r="F2170" s="3"/>
      <c r="G2170" s="3"/>
      <c r="H2170" s="3"/>
      <c r="I2170" s="3"/>
      <c r="J2170" s="3"/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</row>
    <row r="2171">
      <c r="A2171" s="3"/>
      <c r="B2171" s="3"/>
      <c r="C2171" s="3"/>
      <c r="D2171" s="3"/>
      <c r="E2171" s="3"/>
      <c r="F2171" s="3"/>
      <c r="G2171" s="3"/>
      <c r="H2171" s="3"/>
      <c r="I2171" s="3"/>
      <c r="J2171" s="3"/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</row>
    <row r="2172">
      <c r="A2172" s="3"/>
      <c r="B2172" s="3"/>
      <c r="C2172" s="3"/>
      <c r="D2172" s="3"/>
      <c r="E2172" s="3"/>
      <c r="F2172" s="3"/>
      <c r="G2172" s="3"/>
      <c r="H2172" s="3"/>
      <c r="I2172" s="3"/>
      <c r="J2172" s="3"/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</row>
    <row r="2173">
      <c r="A2173" s="3"/>
      <c r="B2173" s="3"/>
      <c r="C2173" s="3"/>
      <c r="D2173" s="3"/>
      <c r="E2173" s="3"/>
      <c r="F2173" s="3"/>
      <c r="G2173" s="3"/>
      <c r="H2173" s="3"/>
      <c r="I2173" s="3"/>
      <c r="J2173" s="3"/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</row>
    <row r="2174">
      <c r="A2174" s="3"/>
      <c r="B2174" s="3"/>
      <c r="C2174" s="3"/>
      <c r="D2174" s="3"/>
      <c r="E2174" s="3"/>
      <c r="F2174" s="3"/>
      <c r="G2174" s="3"/>
      <c r="H2174" s="3"/>
      <c r="I2174" s="3"/>
      <c r="J2174" s="3"/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</row>
    <row r="2175">
      <c r="A2175" s="3"/>
      <c r="B2175" s="3"/>
      <c r="C2175" s="3"/>
      <c r="D2175" s="3"/>
      <c r="E2175" s="3"/>
      <c r="F2175" s="3"/>
      <c r="G2175" s="3"/>
      <c r="H2175" s="3"/>
      <c r="I2175" s="3"/>
      <c r="J2175" s="3"/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</row>
    <row r="2176">
      <c r="A2176" s="3"/>
      <c r="B2176" s="3"/>
      <c r="C2176" s="3"/>
      <c r="D2176" s="3"/>
      <c r="E2176" s="3"/>
      <c r="F2176" s="3"/>
      <c r="G2176" s="3"/>
      <c r="H2176" s="3"/>
      <c r="I2176" s="3"/>
      <c r="J2176" s="3"/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</row>
    <row r="2177">
      <c r="A2177" s="3"/>
      <c r="B2177" s="3"/>
      <c r="C2177" s="3"/>
      <c r="D2177" s="3"/>
      <c r="E2177" s="3"/>
      <c r="F2177" s="3"/>
      <c r="G2177" s="3"/>
      <c r="H2177" s="3"/>
      <c r="I2177" s="3"/>
      <c r="J2177" s="3"/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</row>
    <row r="2178">
      <c r="A2178" s="3"/>
      <c r="B2178" s="3"/>
      <c r="C2178" s="3"/>
      <c r="D2178" s="3"/>
      <c r="E2178" s="3"/>
      <c r="F2178" s="3"/>
      <c r="G2178" s="3"/>
      <c r="H2178" s="3"/>
      <c r="I2178" s="3"/>
      <c r="J2178" s="3"/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</row>
    <row r="2179">
      <c r="A2179" s="3"/>
      <c r="B2179" s="3"/>
      <c r="C2179" s="3"/>
      <c r="D2179" s="3"/>
      <c r="E2179" s="3"/>
      <c r="F2179" s="3"/>
      <c r="G2179" s="3"/>
      <c r="H2179" s="3"/>
      <c r="I2179" s="3"/>
      <c r="J2179" s="3"/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</row>
    <row r="2180">
      <c r="A2180" s="3"/>
      <c r="B2180" s="3"/>
      <c r="C2180" s="3"/>
      <c r="D2180" s="3"/>
      <c r="E2180" s="3"/>
      <c r="F2180" s="3"/>
      <c r="G2180" s="3"/>
      <c r="H2180" s="3"/>
      <c r="I2180" s="3"/>
      <c r="J2180" s="3"/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</row>
    <row r="2181">
      <c r="A2181" s="3"/>
      <c r="B2181" s="3"/>
      <c r="C2181" s="3"/>
      <c r="D2181" s="3"/>
      <c r="E2181" s="3"/>
      <c r="F2181" s="3"/>
      <c r="G2181" s="3"/>
      <c r="H2181" s="3"/>
      <c r="I2181" s="3"/>
      <c r="J2181" s="3"/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</row>
    <row r="2182">
      <c r="A2182" s="3"/>
      <c r="B2182" s="3"/>
      <c r="C2182" s="3"/>
      <c r="D2182" s="3"/>
      <c r="E2182" s="3"/>
      <c r="F2182" s="3"/>
      <c r="G2182" s="3"/>
      <c r="H2182" s="3"/>
      <c r="I2182" s="3"/>
      <c r="J2182" s="3"/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</row>
    <row r="2183">
      <c r="A2183" s="3"/>
      <c r="B2183" s="3"/>
      <c r="C2183" s="3"/>
      <c r="D2183" s="3"/>
      <c r="E2183" s="3"/>
      <c r="F2183" s="3"/>
      <c r="G2183" s="3"/>
      <c r="H2183" s="3"/>
      <c r="I2183" s="3"/>
      <c r="J2183" s="3"/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</row>
    <row r="2184">
      <c r="A2184" s="3"/>
      <c r="B2184" s="3"/>
      <c r="C2184" s="3"/>
      <c r="D2184" s="3"/>
      <c r="E2184" s="3"/>
      <c r="F2184" s="3"/>
      <c r="G2184" s="3"/>
      <c r="H2184" s="3"/>
      <c r="I2184" s="3"/>
      <c r="J2184" s="3"/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</row>
    <row r="2185">
      <c r="A2185" s="3"/>
      <c r="B2185" s="3"/>
      <c r="C2185" s="3"/>
      <c r="D2185" s="3"/>
      <c r="E2185" s="3"/>
      <c r="F2185" s="3"/>
      <c r="G2185" s="3"/>
      <c r="H2185" s="3"/>
      <c r="I2185" s="3"/>
      <c r="J2185" s="3"/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</row>
    <row r="2186">
      <c r="A2186" s="3"/>
      <c r="B2186" s="3"/>
      <c r="C2186" s="3"/>
      <c r="D2186" s="3"/>
      <c r="E2186" s="3"/>
      <c r="F2186" s="3"/>
      <c r="G2186" s="3"/>
      <c r="H2186" s="3"/>
      <c r="I2186" s="3"/>
      <c r="J2186" s="3"/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</row>
    <row r="2187">
      <c r="A2187" s="3"/>
      <c r="B2187" s="3"/>
      <c r="C2187" s="3"/>
      <c r="D2187" s="3"/>
      <c r="E2187" s="3"/>
      <c r="F2187" s="3"/>
      <c r="G2187" s="3"/>
      <c r="H2187" s="3"/>
      <c r="I2187" s="3"/>
      <c r="J2187" s="3"/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</row>
    <row r="2188">
      <c r="A2188" s="3"/>
      <c r="B2188" s="3"/>
      <c r="C2188" s="3"/>
      <c r="D2188" s="3"/>
      <c r="E2188" s="3"/>
      <c r="F2188" s="3"/>
      <c r="G2188" s="3"/>
      <c r="H2188" s="3"/>
      <c r="I2188" s="3"/>
      <c r="J2188" s="3"/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</row>
    <row r="2189">
      <c r="A2189" s="3"/>
      <c r="B2189" s="3"/>
      <c r="C2189" s="3"/>
      <c r="D2189" s="3"/>
      <c r="E2189" s="3"/>
      <c r="F2189" s="3"/>
      <c r="G2189" s="3"/>
      <c r="H2189" s="3"/>
      <c r="I2189" s="3"/>
      <c r="J2189" s="3"/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</row>
    <row r="2190">
      <c r="A2190" s="3"/>
      <c r="B2190" s="3"/>
      <c r="C2190" s="3"/>
      <c r="D2190" s="3"/>
      <c r="E2190" s="3"/>
      <c r="F2190" s="3"/>
      <c r="G2190" s="3"/>
      <c r="H2190" s="3"/>
      <c r="I2190" s="3"/>
      <c r="J2190" s="3"/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</row>
    <row r="2191">
      <c r="A2191" s="3"/>
      <c r="B2191" s="3"/>
      <c r="C2191" s="3"/>
      <c r="D2191" s="3"/>
      <c r="E2191" s="3"/>
      <c r="F2191" s="3"/>
      <c r="G2191" s="3"/>
      <c r="H2191" s="3"/>
      <c r="I2191" s="3"/>
      <c r="J2191" s="3"/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</row>
    <row r="2192">
      <c r="A2192" s="3"/>
      <c r="B2192" s="3"/>
      <c r="C2192" s="3"/>
      <c r="D2192" s="3"/>
      <c r="E2192" s="3"/>
      <c r="F2192" s="3"/>
      <c r="G2192" s="3"/>
      <c r="H2192" s="3"/>
      <c r="I2192" s="3"/>
      <c r="J2192" s="3"/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</row>
    <row r="2193">
      <c r="A2193" s="3"/>
      <c r="B2193" s="3"/>
      <c r="C2193" s="3"/>
      <c r="D2193" s="3"/>
      <c r="E2193" s="3"/>
      <c r="F2193" s="3"/>
      <c r="G2193" s="3"/>
      <c r="H2193" s="3"/>
      <c r="I2193" s="3"/>
      <c r="J2193" s="3"/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</row>
    <row r="2194">
      <c r="A2194" s="3"/>
      <c r="B2194" s="3"/>
      <c r="C2194" s="3"/>
      <c r="D2194" s="3"/>
      <c r="E2194" s="3"/>
      <c r="F2194" s="3"/>
      <c r="G2194" s="3"/>
      <c r="H2194" s="3"/>
      <c r="I2194" s="3"/>
      <c r="J2194" s="3"/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</row>
    <row r="2195">
      <c r="A2195" s="3"/>
      <c r="B2195" s="3"/>
      <c r="C2195" s="3"/>
      <c r="D2195" s="3"/>
      <c r="E2195" s="3"/>
      <c r="F2195" s="3"/>
      <c r="G2195" s="3"/>
      <c r="H2195" s="3"/>
      <c r="I2195" s="3"/>
      <c r="J2195" s="3"/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</row>
    <row r="2196">
      <c r="A2196" s="3"/>
      <c r="B2196" s="3"/>
      <c r="C2196" s="3"/>
      <c r="D2196" s="3"/>
      <c r="E2196" s="3"/>
      <c r="F2196" s="3"/>
      <c r="G2196" s="3"/>
      <c r="H2196" s="3"/>
      <c r="I2196" s="3"/>
      <c r="J2196" s="3"/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</row>
    <row r="2197">
      <c r="A2197" s="3"/>
      <c r="B2197" s="3"/>
      <c r="C2197" s="3"/>
      <c r="D2197" s="3"/>
      <c r="E2197" s="3"/>
      <c r="F2197" s="3"/>
      <c r="G2197" s="3"/>
      <c r="H2197" s="3"/>
      <c r="I2197" s="3"/>
      <c r="J2197" s="3"/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</row>
    <row r="2198">
      <c r="A2198" s="3"/>
      <c r="B2198" s="3"/>
      <c r="C2198" s="3"/>
      <c r="D2198" s="3"/>
      <c r="E2198" s="3"/>
      <c r="F2198" s="3"/>
      <c r="G2198" s="3"/>
      <c r="H2198" s="3"/>
      <c r="I2198" s="3"/>
      <c r="J2198" s="3"/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</row>
    <row r="2199">
      <c r="A2199" s="3"/>
      <c r="B2199" s="3"/>
      <c r="C2199" s="3"/>
      <c r="D2199" s="3"/>
      <c r="E2199" s="3"/>
      <c r="F2199" s="3"/>
      <c r="G2199" s="3"/>
      <c r="H2199" s="3"/>
      <c r="I2199" s="3"/>
      <c r="J2199" s="3"/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</row>
    <row r="2200">
      <c r="A2200" s="3"/>
      <c r="B2200" s="3"/>
      <c r="C2200" s="3"/>
      <c r="D2200" s="3"/>
      <c r="E2200" s="3"/>
      <c r="F2200" s="3"/>
      <c r="G2200" s="3"/>
      <c r="H2200" s="3"/>
      <c r="I2200" s="3"/>
      <c r="J2200" s="3"/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</row>
    <row r="2201">
      <c r="A2201" s="3"/>
      <c r="B2201" s="3"/>
      <c r="C2201" s="3"/>
      <c r="D2201" s="3"/>
      <c r="E2201" s="3"/>
      <c r="F2201" s="3"/>
      <c r="G2201" s="3"/>
      <c r="H2201" s="3"/>
      <c r="I2201" s="3"/>
      <c r="J2201" s="3"/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</row>
    <row r="2202">
      <c r="A2202" s="3"/>
      <c r="B2202" s="3"/>
      <c r="C2202" s="3"/>
      <c r="D2202" s="3"/>
      <c r="E2202" s="3"/>
      <c r="F2202" s="3"/>
      <c r="G2202" s="3"/>
      <c r="H2202" s="3"/>
      <c r="I2202" s="3"/>
      <c r="J2202" s="3"/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</row>
    <row r="2203">
      <c r="A2203" s="3"/>
      <c r="B2203" s="3"/>
      <c r="C2203" s="3"/>
      <c r="D2203" s="3"/>
      <c r="E2203" s="3"/>
      <c r="F2203" s="3"/>
      <c r="G2203" s="3"/>
      <c r="H2203" s="3"/>
      <c r="I2203" s="3"/>
      <c r="J2203" s="3"/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</row>
    <row r="2204">
      <c r="A2204" s="3"/>
      <c r="B2204" s="3"/>
      <c r="C2204" s="3"/>
      <c r="D2204" s="3"/>
      <c r="E2204" s="3"/>
      <c r="F2204" s="3"/>
      <c r="G2204" s="3"/>
      <c r="H2204" s="3"/>
      <c r="I2204" s="3"/>
      <c r="J2204" s="3"/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</row>
    <row r="2205">
      <c r="A2205" s="3"/>
      <c r="B2205" s="3"/>
      <c r="C2205" s="3"/>
      <c r="D2205" s="3"/>
      <c r="E2205" s="3"/>
      <c r="F2205" s="3"/>
      <c r="G2205" s="3"/>
      <c r="H2205" s="3"/>
      <c r="I2205" s="3"/>
      <c r="J2205" s="3"/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</row>
    <row r="2206">
      <c r="A2206" s="3"/>
      <c r="B2206" s="3"/>
      <c r="C2206" s="3"/>
      <c r="D2206" s="3"/>
      <c r="E2206" s="3"/>
      <c r="F2206" s="3"/>
      <c r="G2206" s="3"/>
      <c r="H2206" s="3"/>
      <c r="I2206" s="3"/>
      <c r="J2206" s="3"/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</row>
    <row r="2207">
      <c r="A2207" s="3"/>
      <c r="B2207" s="3"/>
      <c r="C2207" s="3"/>
      <c r="D2207" s="3"/>
      <c r="E2207" s="3"/>
      <c r="F2207" s="3"/>
      <c r="G2207" s="3"/>
      <c r="H2207" s="3"/>
      <c r="I2207" s="3"/>
      <c r="J2207" s="3"/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</row>
    <row r="2208">
      <c r="A2208" s="3"/>
      <c r="B2208" s="3"/>
      <c r="C2208" s="3"/>
      <c r="D2208" s="3"/>
      <c r="E2208" s="3"/>
      <c r="F2208" s="3"/>
      <c r="G2208" s="3"/>
      <c r="H2208" s="3"/>
      <c r="I2208" s="3"/>
      <c r="J2208" s="3"/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</row>
    <row r="2209">
      <c r="A2209" s="3"/>
      <c r="B2209" s="3"/>
      <c r="C2209" s="3"/>
      <c r="D2209" s="3"/>
      <c r="E2209" s="3"/>
      <c r="F2209" s="3"/>
      <c r="G2209" s="3"/>
      <c r="H2209" s="3"/>
      <c r="I2209" s="3"/>
      <c r="J2209" s="3"/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</row>
    <row r="2210">
      <c r="A2210" s="3"/>
      <c r="B2210" s="3"/>
      <c r="C2210" s="3"/>
      <c r="D2210" s="3"/>
      <c r="E2210" s="3"/>
      <c r="F2210" s="3"/>
      <c r="G2210" s="3"/>
      <c r="H2210" s="3"/>
      <c r="I2210" s="3"/>
      <c r="J2210" s="3"/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</row>
    <row r="2211">
      <c r="A2211" s="3"/>
      <c r="B2211" s="3"/>
      <c r="C2211" s="3"/>
      <c r="D2211" s="3"/>
      <c r="E2211" s="3"/>
      <c r="F2211" s="3"/>
      <c r="G2211" s="3"/>
      <c r="H2211" s="3"/>
      <c r="I2211" s="3"/>
      <c r="J2211" s="3"/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</row>
    <row r="2212">
      <c r="A2212" s="3"/>
      <c r="B2212" s="3"/>
      <c r="C2212" s="3"/>
      <c r="D2212" s="3"/>
      <c r="E2212" s="3"/>
      <c r="F2212" s="3"/>
      <c r="G2212" s="3"/>
      <c r="H2212" s="3"/>
      <c r="I2212" s="3"/>
      <c r="J2212" s="3"/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</row>
    <row r="2213">
      <c r="A2213" s="3"/>
      <c r="B2213" s="3"/>
      <c r="C2213" s="3"/>
      <c r="D2213" s="3"/>
      <c r="E2213" s="3"/>
      <c r="F2213" s="3"/>
      <c r="G2213" s="3"/>
      <c r="H2213" s="3"/>
      <c r="I2213" s="3"/>
      <c r="J2213" s="3"/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</row>
    <row r="2214">
      <c r="A2214" s="3"/>
      <c r="B2214" s="3"/>
      <c r="C2214" s="3"/>
      <c r="D2214" s="3"/>
      <c r="E2214" s="3"/>
      <c r="F2214" s="3"/>
      <c r="G2214" s="3"/>
      <c r="H2214" s="3"/>
      <c r="I2214" s="3"/>
      <c r="J2214" s="3"/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</row>
    <row r="2215">
      <c r="A2215" s="3"/>
      <c r="B2215" s="3"/>
      <c r="C2215" s="3"/>
      <c r="D2215" s="3"/>
      <c r="E2215" s="3"/>
      <c r="F2215" s="3"/>
      <c r="G2215" s="3"/>
      <c r="H2215" s="3"/>
      <c r="I2215" s="3"/>
      <c r="J2215" s="3"/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</row>
    <row r="2216">
      <c r="A2216" s="3"/>
      <c r="B2216" s="3"/>
      <c r="C2216" s="3"/>
      <c r="D2216" s="3"/>
      <c r="E2216" s="3"/>
      <c r="F2216" s="3"/>
      <c r="G2216" s="3"/>
      <c r="H2216" s="3"/>
      <c r="I2216" s="3"/>
      <c r="J2216" s="3"/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</row>
    <row r="2217">
      <c r="A2217" s="3"/>
      <c r="B2217" s="3"/>
      <c r="C2217" s="3"/>
      <c r="D2217" s="3"/>
      <c r="E2217" s="3"/>
      <c r="F2217" s="3"/>
      <c r="G2217" s="3"/>
      <c r="H2217" s="3"/>
      <c r="I2217" s="3"/>
      <c r="J2217" s="3"/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</row>
    <row r="2218">
      <c r="A2218" s="3"/>
      <c r="B2218" s="3"/>
      <c r="C2218" s="3"/>
      <c r="D2218" s="3"/>
      <c r="E2218" s="3"/>
      <c r="F2218" s="3"/>
      <c r="G2218" s="3"/>
      <c r="H2218" s="3"/>
      <c r="I2218" s="3"/>
      <c r="J2218" s="3"/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</row>
    <row r="2219">
      <c r="A2219" s="3"/>
      <c r="B2219" s="3"/>
      <c r="C2219" s="3"/>
      <c r="D2219" s="3"/>
      <c r="E2219" s="3"/>
      <c r="F2219" s="3"/>
      <c r="G2219" s="3"/>
      <c r="H2219" s="3"/>
      <c r="I2219" s="3"/>
      <c r="J2219" s="3"/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</row>
    <row r="2220">
      <c r="A2220" s="3"/>
      <c r="B2220" s="3"/>
      <c r="C2220" s="3"/>
      <c r="D2220" s="3"/>
      <c r="E2220" s="3"/>
      <c r="F2220" s="3"/>
      <c r="G2220" s="3"/>
      <c r="H2220" s="3"/>
      <c r="I2220" s="3"/>
      <c r="J2220" s="3"/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</row>
    <row r="2221">
      <c r="A2221" s="3"/>
      <c r="B2221" s="3"/>
      <c r="C2221" s="3"/>
      <c r="D2221" s="3"/>
      <c r="E2221" s="3"/>
      <c r="F2221" s="3"/>
      <c r="G2221" s="3"/>
      <c r="H2221" s="3"/>
      <c r="I2221" s="3"/>
      <c r="J2221" s="3"/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</row>
    <row r="2222">
      <c r="A2222" s="3"/>
      <c r="B2222" s="3"/>
      <c r="C2222" s="3"/>
      <c r="D2222" s="3"/>
      <c r="E2222" s="3"/>
      <c r="F2222" s="3"/>
      <c r="G2222" s="3"/>
      <c r="H2222" s="3"/>
      <c r="I2222" s="3"/>
      <c r="J2222" s="3"/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</row>
    <row r="2223">
      <c r="A2223" s="3"/>
      <c r="B2223" s="3"/>
      <c r="C2223" s="3"/>
      <c r="D2223" s="3"/>
      <c r="E2223" s="3"/>
      <c r="F2223" s="3"/>
      <c r="G2223" s="3"/>
      <c r="H2223" s="3"/>
      <c r="I2223" s="3"/>
      <c r="J2223" s="3"/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</row>
    <row r="2224">
      <c r="A2224" s="3"/>
      <c r="B2224" s="3"/>
      <c r="C2224" s="3"/>
      <c r="D2224" s="3"/>
      <c r="E2224" s="3"/>
      <c r="F2224" s="3"/>
      <c r="G2224" s="3"/>
      <c r="H2224" s="3"/>
      <c r="I2224" s="3"/>
      <c r="J2224" s="3"/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</row>
    <row r="2225">
      <c r="A2225" s="3"/>
      <c r="B2225" s="3"/>
      <c r="C2225" s="3"/>
      <c r="D2225" s="3"/>
      <c r="E2225" s="3"/>
      <c r="F2225" s="3"/>
      <c r="G2225" s="3"/>
      <c r="H2225" s="3"/>
      <c r="I2225" s="3"/>
      <c r="J2225" s="3"/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</row>
    <row r="2226">
      <c r="A2226" s="3"/>
      <c r="B2226" s="3"/>
      <c r="C2226" s="3"/>
      <c r="D2226" s="3"/>
      <c r="E2226" s="3"/>
      <c r="F2226" s="3"/>
      <c r="G2226" s="3"/>
      <c r="H2226" s="3"/>
      <c r="I2226" s="3"/>
      <c r="J2226" s="3"/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</row>
    <row r="2227">
      <c r="A2227" s="3"/>
      <c r="B2227" s="3"/>
      <c r="C2227" s="3"/>
      <c r="D2227" s="3"/>
      <c r="E2227" s="3"/>
      <c r="F2227" s="3"/>
      <c r="G2227" s="3"/>
      <c r="H2227" s="3"/>
      <c r="I2227" s="3"/>
      <c r="J2227" s="3"/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</row>
    <row r="2228">
      <c r="A2228" s="3"/>
      <c r="B2228" s="3"/>
      <c r="C2228" s="3"/>
      <c r="D2228" s="3"/>
      <c r="E2228" s="3"/>
      <c r="F2228" s="3"/>
      <c r="G2228" s="3"/>
      <c r="H2228" s="3"/>
      <c r="I2228" s="3"/>
      <c r="J2228" s="3"/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</row>
    <row r="2229">
      <c r="A2229" s="3"/>
      <c r="B2229" s="3"/>
      <c r="C2229" s="3"/>
      <c r="D2229" s="3"/>
      <c r="E2229" s="3"/>
      <c r="F2229" s="3"/>
      <c r="G2229" s="3"/>
      <c r="H2229" s="3"/>
      <c r="I2229" s="3"/>
      <c r="J2229" s="3"/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</row>
    <row r="2230">
      <c r="A2230" s="3"/>
      <c r="B2230" s="3"/>
      <c r="C2230" s="3"/>
      <c r="D2230" s="3"/>
      <c r="E2230" s="3"/>
      <c r="F2230" s="3"/>
      <c r="G2230" s="3"/>
      <c r="H2230" s="3"/>
      <c r="I2230" s="3"/>
      <c r="J2230" s="3"/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</row>
    <row r="2231">
      <c r="A2231" s="3"/>
      <c r="B2231" s="3"/>
      <c r="C2231" s="3"/>
      <c r="D2231" s="3"/>
      <c r="E2231" s="3"/>
      <c r="F2231" s="3"/>
      <c r="G2231" s="3"/>
      <c r="H2231" s="3"/>
      <c r="I2231" s="3"/>
      <c r="J2231" s="3"/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</row>
    <row r="2232">
      <c r="A2232" s="3"/>
      <c r="B2232" s="3"/>
      <c r="C2232" s="3"/>
      <c r="D2232" s="3"/>
      <c r="E2232" s="3"/>
      <c r="F2232" s="3"/>
      <c r="G2232" s="3"/>
      <c r="H2232" s="3"/>
      <c r="I2232" s="3"/>
      <c r="J2232" s="3"/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</row>
    <row r="2233">
      <c r="A2233" s="3"/>
      <c r="B2233" s="3"/>
      <c r="C2233" s="3"/>
      <c r="D2233" s="3"/>
      <c r="E2233" s="3"/>
      <c r="F2233" s="3"/>
      <c r="G2233" s="3"/>
      <c r="H2233" s="3"/>
      <c r="I2233" s="3"/>
      <c r="J2233" s="3"/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</row>
    <row r="2234">
      <c r="A2234" s="3"/>
      <c r="B2234" s="3"/>
      <c r="C2234" s="3"/>
      <c r="D2234" s="3"/>
      <c r="E2234" s="3"/>
      <c r="F2234" s="3"/>
      <c r="G2234" s="3"/>
      <c r="H2234" s="3"/>
      <c r="I2234" s="3"/>
      <c r="J2234" s="3"/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</row>
    <row r="2235">
      <c r="A2235" s="3"/>
      <c r="B2235" s="3"/>
      <c r="C2235" s="3"/>
      <c r="D2235" s="3"/>
      <c r="E2235" s="3"/>
      <c r="F2235" s="3"/>
      <c r="G2235" s="3"/>
      <c r="H2235" s="3"/>
      <c r="I2235" s="3"/>
      <c r="J2235" s="3"/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</row>
    <row r="2236">
      <c r="A2236" s="3"/>
      <c r="B2236" s="3"/>
      <c r="C2236" s="3"/>
      <c r="D2236" s="3"/>
      <c r="E2236" s="3"/>
      <c r="F2236" s="3"/>
      <c r="G2236" s="3"/>
      <c r="H2236" s="3"/>
      <c r="I2236" s="3"/>
      <c r="J2236" s="3"/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</row>
    <row r="2237">
      <c r="A2237" s="3"/>
      <c r="B2237" s="3"/>
      <c r="C2237" s="3"/>
      <c r="D2237" s="3"/>
      <c r="E2237" s="3"/>
      <c r="F2237" s="3"/>
      <c r="G2237" s="3"/>
      <c r="H2237" s="3"/>
      <c r="I2237" s="3"/>
      <c r="J2237" s="3"/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</row>
    <row r="2238">
      <c r="A2238" s="3"/>
      <c r="B2238" s="3"/>
      <c r="C2238" s="3"/>
      <c r="D2238" s="3"/>
      <c r="E2238" s="3"/>
      <c r="F2238" s="3"/>
      <c r="G2238" s="3"/>
      <c r="H2238" s="3"/>
      <c r="I2238" s="3"/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</row>
    <row r="2239">
      <c r="A2239" s="3"/>
      <c r="B2239" s="3"/>
      <c r="C2239" s="3"/>
      <c r="D2239" s="3"/>
      <c r="E2239" s="3"/>
      <c r="F2239" s="3"/>
      <c r="G2239" s="3"/>
      <c r="H2239" s="3"/>
      <c r="I2239" s="3"/>
      <c r="J2239" s="3"/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</row>
    <row r="2240">
      <c r="A2240" s="3"/>
      <c r="B2240" s="3"/>
      <c r="C2240" s="3"/>
      <c r="D2240" s="3"/>
      <c r="E2240" s="3"/>
      <c r="F2240" s="3"/>
      <c r="G2240" s="3"/>
      <c r="H2240" s="3"/>
      <c r="I2240" s="3"/>
      <c r="J2240" s="3"/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</row>
    <row r="2241">
      <c r="A2241" s="3"/>
      <c r="B2241" s="3"/>
      <c r="C2241" s="3"/>
      <c r="D2241" s="3"/>
      <c r="E2241" s="3"/>
      <c r="F2241" s="3"/>
      <c r="G2241" s="3"/>
      <c r="H2241" s="3"/>
      <c r="I2241" s="3"/>
      <c r="J2241" s="3"/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</row>
    <row r="2242">
      <c r="A2242" s="3"/>
      <c r="B2242" s="3"/>
      <c r="C2242" s="3"/>
      <c r="D2242" s="3"/>
      <c r="E2242" s="3"/>
      <c r="F2242" s="3"/>
      <c r="G2242" s="3"/>
      <c r="H2242" s="3"/>
      <c r="I2242" s="3"/>
      <c r="J2242" s="3"/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</row>
    <row r="2243">
      <c r="A2243" s="3"/>
      <c r="B2243" s="3"/>
      <c r="C2243" s="3"/>
      <c r="D2243" s="3"/>
      <c r="E2243" s="3"/>
      <c r="F2243" s="3"/>
      <c r="G2243" s="3"/>
      <c r="H2243" s="3"/>
      <c r="I2243" s="3"/>
      <c r="J2243" s="3"/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</row>
    <row r="2244">
      <c r="A2244" s="3"/>
      <c r="B2244" s="3"/>
      <c r="C2244" s="3"/>
      <c r="D2244" s="3"/>
      <c r="E2244" s="3"/>
      <c r="F2244" s="3"/>
      <c r="G2244" s="3"/>
      <c r="H2244" s="3"/>
      <c r="I2244" s="3"/>
      <c r="J2244" s="3"/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</row>
    <row r="2245">
      <c r="A2245" s="3"/>
      <c r="B2245" s="3"/>
      <c r="C2245" s="3"/>
      <c r="D2245" s="3"/>
      <c r="E2245" s="3"/>
      <c r="F2245" s="3"/>
      <c r="G2245" s="3"/>
      <c r="H2245" s="3"/>
      <c r="I2245" s="3"/>
      <c r="J2245" s="3"/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</row>
    <row r="2246">
      <c r="A2246" s="3"/>
      <c r="B2246" s="3"/>
      <c r="C2246" s="3"/>
      <c r="D2246" s="3"/>
      <c r="E2246" s="3"/>
      <c r="F2246" s="3"/>
      <c r="G2246" s="3"/>
      <c r="H2246" s="3"/>
      <c r="I2246" s="3"/>
      <c r="J2246" s="3"/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</row>
    <row r="2247">
      <c r="A2247" s="3"/>
      <c r="B2247" s="3"/>
      <c r="C2247" s="3"/>
      <c r="D2247" s="3"/>
      <c r="E2247" s="3"/>
      <c r="F2247" s="3"/>
      <c r="G2247" s="3"/>
      <c r="H2247" s="3"/>
      <c r="I2247" s="3"/>
      <c r="J2247" s="3"/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</row>
    <row r="2248">
      <c r="A2248" s="3"/>
      <c r="B2248" s="3"/>
      <c r="C2248" s="3"/>
      <c r="D2248" s="3"/>
      <c r="E2248" s="3"/>
      <c r="F2248" s="3"/>
      <c r="G2248" s="3"/>
      <c r="H2248" s="3"/>
      <c r="I2248" s="3"/>
      <c r="J2248" s="3"/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</row>
    <row r="2249">
      <c r="A2249" s="3"/>
      <c r="B2249" s="3"/>
      <c r="C2249" s="3"/>
      <c r="D2249" s="3"/>
      <c r="E2249" s="3"/>
      <c r="F2249" s="3"/>
      <c r="G2249" s="3"/>
      <c r="H2249" s="3"/>
      <c r="I2249" s="3"/>
      <c r="J2249" s="3"/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</row>
    <row r="2250">
      <c r="A2250" s="3"/>
      <c r="B2250" s="3"/>
      <c r="C2250" s="3"/>
      <c r="D2250" s="3"/>
      <c r="E2250" s="3"/>
      <c r="F2250" s="3"/>
      <c r="G2250" s="3"/>
      <c r="H2250" s="3"/>
      <c r="I2250" s="3"/>
      <c r="J2250" s="3"/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</row>
    <row r="2251">
      <c r="A2251" s="3"/>
      <c r="B2251" s="3"/>
      <c r="C2251" s="3"/>
      <c r="D2251" s="3"/>
      <c r="E2251" s="3"/>
      <c r="F2251" s="3"/>
      <c r="G2251" s="3"/>
      <c r="H2251" s="3"/>
      <c r="I2251" s="3"/>
      <c r="J2251" s="3"/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</row>
    <row r="2252">
      <c r="A2252" s="3"/>
      <c r="B2252" s="3"/>
      <c r="C2252" s="3"/>
      <c r="D2252" s="3"/>
      <c r="E2252" s="3"/>
      <c r="F2252" s="3"/>
      <c r="G2252" s="3"/>
      <c r="H2252" s="3"/>
      <c r="I2252" s="3"/>
      <c r="J2252" s="3"/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</row>
    <row r="2253">
      <c r="A2253" s="3"/>
      <c r="B2253" s="3"/>
      <c r="C2253" s="3"/>
      <c r="D2253" s="3"/>
      <c r="E2253" s="3"/>
      <c r="F2253" s="3"/>
      <c r="G2253" s="3"/>
      <c r="H2253" s="3"/>
      <c r="I2253" s="3"/>
      <c r="J2253" s="3"/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</row>
    <row r="2254">
      <c r="A2254" s="3"/>
      <c r="B2254" s="3"/>
      <c r="C2254" s="3"/>
      <c r="D2254" s="3"/>
      <c r="E2254" s="3"/>
      <c r="F2254" s="3"/>
      <c r="G2254" s="3"/>
      <c r="H2254" s="3"/>
      <c r="I2254" s="3"/>
      <c r="J2254" s="3"/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</row>
    <row r="2255">
      <c r="A2255" s="3"/>
      <c r="B2255" s="3"/>
      <c r="C2255" s="3"/>
      <c r="D2255" s="3"/>
      <c r="E2255" s="3"/>
      <c r="F2255" s="3"/>
      <c r="G2255" s="3"/>
      <c r="H2255" s="3"/>
      <c r="I2255" s="3"/>
      <c r="J2255" s="3"/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</row>
    <row r="2256">
      <c r="A2256" s="3"/>
      <c r="B2256" s="3"/>
      <c r="C2256" s="3"/>
      <c r="D2256" s="3"/>
      <c r="E2256" s="3"/>
      <c r="F2256" s="3"/>
      <c r="G2256" s="3"/>
      <c r="H2256" s="3"/>
      <c r="I2256" s="3"/>
      <c r="J2256" s="3"/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</row>
    <row r="2257">
      <c r="A2257" s="3"/>
      <c r="B2257" s="3"/>
      <c r="C2257" s="3"/>
      <c r="D2257" s="3"/>
      <c r="E2257" s="3"/>
      <c r="F2257" s="3"/>
      <c r="G2257" s="3"/>
      <c r="H2257" s="3"/>
      <c r="I2257" s="3"/>
      <c r="J2257" s="3"/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</row>
    <row r="2258">
      <c r="A2258" s="3"/>
      <c r="B2258" s="3"/>
      <c r="C2258" s="3"/>
      <c r="D2258" s="3"/>
      <c r="E2258" s="3"/>
      <c r="F2258" s="3"/>
      <c r="G2258" s="3"/>
      <c r="H2258" s="3"/>
      <c r="I2258" s="3"/>
      <c r="J2258" s="3"/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</row>
    <row r="2259">
      <c r="A2259" s="3"/>
      <c r="B2259" s="3"/>
      <c r="C2259" s="3"/>
      <c r="D2259" s="3"/>
      <c r="E2259" s="3"/>
      <c r="F2259" s="3"/>
      <c r="G2259" s="3"/>
      <c r="H2259" s="3"/>
      <c r="I2259" s="3"/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</row>
    <row r="2260">
      <c r="A2260" s="3"/>
      <c r="B2260" s="3"/>
      <c r="C2260" s="3"/>
      <c r="D2260" s="3"/>
      <c r="E2260" s="3"/>
      <c r="F2260" s="3"/>
      <c r="G2260" s="3"/>
      <c r="H2260" s="3"/>
      <c r="I2260" s="3"/>
      <c r="J2260" s="3"/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</row>
    <row r="2261">
      <c r="A2261" s="3"/>
      <c r="B2261" s="3"/>
      <c r="C2261" s="3"/>
      <c r="D2261" s="3"/>
      <c r="E2261" s="3"/>
      <c r="F2261" s="3"/>
      <c r="G2261" s="3"/>
      <c r="H2261" s="3"/>
      <c r="I2261" s="3"/>
      <c r="J2261" s="3"/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</row>
    <row r="2262">
      <c r="A2262" s="3"/>
      <c r="B2262" s="3"/>
      <c r="C2262" s="3"/>
      <c r="D2262" s="3"/>
      <c r="E2262" s="3"/>
      <c r="F2262" s="3"/>
      <c r="G2262" s="3"/>
      <c r="H2262" s="3"/>
      <c r="I2262" s="3"/>
      <c r="J2262" s="3"/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</row>
    <row r="2263">
      <c r="A2263" s="3"/>
      <c r="B2263" s="3"/>
      <c r="C2263" s="3"/>
      <c r="D2263" s="3"/>
      <c r="E2263" s="3"/>
      <c r="F2263" s="3"/>
      <c r="G2263" s="3"/>
      <c r="H2263" s="3"/>
      <c r="I2263" s="3"/>
      <c r="J2263" s="3"/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</row>
    <row r="2264">
      <c r="A2264" s="3"/>
      <c r="B2264" s="3"/>
      <c r="C2264" s="3"/>
      <c r="D2264" s="3"/>
      <c r="E2264" s="3"/>
      <c r="F2264" s="3"/>
      <c r="G2264" s="3"/>
      <c r="H2264" s="3"/>
      <c r="I2264" s="3"/>
      <c r="J2264" s="3"/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</row>
    <row r="2265">
      <c r="A2265" s="3"/>
      <c r="B2265" s="3"/>
      <c r="C2265" s="3"/>
      <c r="D2265" s="3"/>
      <c r="E2265" s="3"/>
      <c r="F2265" s="3"/>
      <c r="G2265" s="3"/>
      <c r="H2265" s="3"/>
      <c r="I2265" s="3"/>
      <c r="J2265" s="3"/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</row>
    <row r="2266">
      <c r="A2266" s="3"/>
      <c r="B2266" s="3"/>
      <c r="C2266" s="3"/>
      <c r="D2266" s="3"/>
      <c r="E2266" s="3"/>
      <c r="F2266" s="3"/>
      <c r="G2266" s="3"/>
      <c r="H2266" s="3"/>
      <c r="I2266" s="3"/>
      <c r="J2266" s="3"/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</row>
    <row r="2267">
      <c r="A2267" s="3"/>
      <c r="B2267" s="3"/>
      <c r="C2267" s="3"/>
      <c r="D2267" s="3"/>
      <c r="E2267" s="3"/>
      <c r="F2267" s="3"/>
      <c r="G2267" s="3"/>
      <c r="H2267" s="3"/>
      <c r="I2267" s="3"/>
      <c r="J2267" s="3"/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</row>
    <row r="2268">
      <c r="A2268" s="3"/>
      <c r="B2268" s="3"/>
      <c r="C2268" s="3"/>
      <c r="D2268" s="3"/>
      <c r="E2268" s="3"/>
      <c r="F2268" s="3"/>
      <c r="G2268" s="3"/>
      <c r="H2268" s="3"/>
      <c r="I2268" s="3"/>
      <c r="J2268" s="3"/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</row>
    <row r="2269">
      <c r="A2269" s="3"/>
      <c r="B2269" s="3"/>
      <c r="C2269" s="3"/>
      <c r="D2269" s="3"/>
      <c r="E2269" s="3"/>
      <c r="F2269" s="3"/>
      <c r="G2269" s="3"/>
      <c r="H2269" s="3"/>
      <c r="I2269" s="3"/>
      <c r="J2269" s="3"/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</row>
    <row r="2270">
      <c r="A2270" s="3"/>
      <c r="B2270" s="3"/>
      <c r="C2270" s="3"/>
      <c r="D2270" s="3"/>
      <c r="E2270" s="3"/>
      <c r="F2270" s="3"/>
      <c r="G2270" s="3"/>
      <c r="H2270" s="3"/>
      <c r="I2270" s="3"/>
      <c r="J2270" s="3"/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</row>
    <row r="2271">
      <c r="A2271" s="3"/>
      <c r="B2271" s="3"/>
      <c r="C2271" s="3"/>
      <c r="D2271" s="3"/>
      <c r="E2271" s="3"/>
      <c r="F2271" s="3"/>
      <c r="G2271" s="3"/>
      <c r="H2271" s="3"/>
      <c r="I2271" s="3"/>
      <c r="J2271" s="3"/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</row>
    <row r="2272">
      <c r="A2272" s="3"/>
      <c r="B2272" s="3"/>
      <c r="C2272" s="3"/>
      <c r="D2272" s="3"/>
      <c r="E2272" s="3"/>
      <c r="F2272" s="3"/>
      <c r="G2272" s="3"/>
      <c r="H2272" s="3"/>
      <c r="I2272" s="3"/>
      <c r="J2272" s="3"/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</row>
    <row r="2273">
      <c r="A2273" s="3"/>
      <c r="B2273" s="3"/>
      <c r="C2273" s="3"/>
      <c r="D2273" s="3"/>
      <c r="E2273" s="3"/>
      <c r="F2273" s="3"/>
      <c r="G2273" s="3"/>
      <c r="H2273" s="3"/>
      <c r="I2273" s="3"/>
      <c r="J2273" s="3"/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</row>
    <row r="2274">
      <c r="A2274" s="3"/>
      <c r="B2274" s="3"/>
      <c r="C2274" s="3"/>
      <c r="D2274" s="3"/>
      <c r="E2274" s="3"/>
      <c r="F2274" s="3"/>
      <c r="G2274" s="3"/>
      <c r="H2274" s="3"/>
      <c r="I2274" s="3"/>
      <c r="J2274" s="3"/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</row>
    <row r="2275">
      <c r="A2275" s="3"/>
      <c r="B2275" s="3"/>
      <c r="C2275" s="3"/>
      <c r="D2275" s="3"/>
      <c r="E2275" s="3"/>
      <c r="F2275" s="3"/>
      <c r="G2275" s="3"/>
      <c r="H2275" s="3"/>
      <c r="I2275" s="3"/>
      <c r="J2275" s="3"/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</row>
    <row r="2276">
      <c r="A2276" s="3"/>
      <c r="B2276" s="3"/>
      <c r="C2276" s="3"/>
      <c r="D2276" s="3"/>
      <c r="E2276" s="3"/>
      <c r="F2276" s="3"/>
      <c r="G2276" s="3"/>
      <c r="H2276" s="3"/>
      <c r="I2276" s="3"/>
      <c r="J2276" s="3"/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</row>
    <row r="2277">
      <c r="A2277" s="3"/>
      <c r="B2277" s="3"/>
      <c r="C2277" s="3"/>
      <c r="D2277" s="3"/>
      <c r="E2277" s="3"/>
      <c r="F2277" s="3"/>
      <c r="G2277" s="3"/>
      <c r="H2277" s="3"/>
      <c r="I2277" s="3"/>
      <c r="J2277" s="3"/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</row>
    <row r="2278">
      <c r="A2278" s="3"/>
      <c r="B2278" s="3"/>
      <c r="C2278" s="3"/>
      <c r="D2278" s="3"/>
      <c r="E2278" s="3"/>
      <c r="F2278" s="3"/>
      <c r="G2278" s="3"/>
      <c r="H2278" s="3"/>
      <c r="I2278" s="3"/>
      <c r="J2278" s="3"/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</row>
    <row r="2279">
      <c r="A2279" s="3"/>
      <c r="B2279" s="3"/>
      <c r="C2279" s="3"/>
      <c r="D2279" s="3"/>
      <c r="E2279" s="3"/>
      <c r="F2279" s="3"/>
      <c r="G2279" s="3"/>
      <c r="H2279" s="3"/>
      <c r="I2279" s="3"/>
      <c r="J2279" s="3"/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</row>
    <row r="2280">
      <c r="A2280" s="3"/>
      <c r="B2280" s="3"/>
      <c r="C2280" s="3"/>
      <c r="D2280" s="3"/>
      <c r="E2280" s="3"/>
      <c r="F2280" s="3"/>
      <c r="G2280" s="3"/>
      <c r="H2280" s="3"/>
      <c r="I2280" s="3"/>
      <c r="J2280" s="3"/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</row>
    <row r="2281">
      <c r="A2281" s="3"/>
      <c r="B2281" s="3"/>
      <c r="C2281" s="3"/>
      <c r="D2281" s="3"/>
      <c r="E2281" s="3"/>
      <c r="F2281" s="3"/>
      <c r="G2281" s="3"/>
      <c r="H2281" s="3"/>
      <c r="I2281" s="3"/>
      <c r="J2281" s="3"/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</row>
    <row r="2282">
      <c r="A2282" s="3"/>
      <c r="B2282" s="3"/>
      <c r="C2282" s="3"/>
      <c r="D2282" s="3"/>
      <c r="E2282" s="3"/>
      <c r="F2282" s="3"/>
      <c r="G2282" s="3"/>
      <c r="H2282" s="3"/>
      <c r="I2282" s="3"/>
      <c r="J2282" s="3"/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</row>
    <row r="2283">
      <c r="A2283" s="3"/>
      <c r="B2283" s="3"/>
      <c r="C2283" s="3"/>
      <c r="D2283" s="3"/>
      <c r="E2283" s="3"/>
      <c r="F2283" s="3"/>
      <c r="G2283" s="3"/>
      <c r="H2283" s="3"/>
      <c r="I2283" s="3"/>
      <c r="J2283" s="3"/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</row>
    <row r="2284">
      <c r="A2284" s="3"/>
      <c r="B2284" s="3"/>
      <c r="C2284" s="3"/>
      <c r="D2284" s="3"/>
      <c r="E2284" s="3"/>
      <c r="F2284" s="3"/>
      <c r="G2284" s="3"/>
      <c r="H2284" s="3"/>
      <c r="I2284" s="3"/>
      <c r="J2284" s="3"/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</row>
    <row r="2285">
      <c r="A2285" s="3"/>
      <c r="B2285" s="3"/>
      <c r="C2285" s="3"/>
      <c r="D2285" s="3"/>
      <c r="E2285" s="3"/>
      <c r="F2285" s="3"/>
      <c r="G2285" s="3"/>
      <c r="H2285" s="3"/>
      <c r="I2285" s="3"/>
      <c r="J2285" s="3"/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</row>
    <row r="2286">
      <c r="A2286" s="3"/>
      <c r="B2286" s="3"/>
      <c r="C2286" s="3"/>
      <c r="D2286" s="3"/>
      <c r="E2286" s="3"/>
      <c r="F2286" s="3"/>
      <c r="G2286" s="3"/>
      <c r="H2286" s="3"/>
      <c r="I2286" s="3"/>
      <c r="J2286" s="3"/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</row>
    <row r="2287">
      <c r="A2287" s="3"/>
      <c r="B2287" s="3"/>
      <c r="C2287" s="3"/>
      <c r="D2287" s="3"/>
      <c r="E2287" s="3"/>
      <c r="F2287" s="3"/>
      <c r="G2287" s="3"/>
      <c r="H2287" s="3"/>
      <c r="I2287" s="3"/>
      <c r="J2287" s="3"/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</row>
    <row r="2288">
      <c r="A2288" s="3"/>
      <c r="B2288" s="3"/>
      <c r="C2288" s="3"/>
      <c r="D2288" s="3"/>
      <c r="E2288" s="3"/>
      <c r="F2288" s="3"/>
      <c r="G2288" s="3"/>
      <c r="H2288" s="3"/>
      <c r="I2288" s="3"/>
      <c r="J2288" s="3"/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</row>
    <row r="2289">
      <c r="A2289" s="3"/>
      <c r="B2289" s="3"/>
      <c r="C2289" s="3"/>
      <c r="D2289" s="3"/>
      <c r="E2289" s="3"/>
      <c r="F2289" s="3"/>
      <c r="G2289" s="3"/>
      <c r="H2289" s="3"/>
      <c r="I2289" s="3"/>
      <c r="J2289" s="3"/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</row>
    <row r="2290">
      <c r="A2290" s="3"/>
      <c r="B2290" s="3"/>
      <c r="C2290" s="3"/>
      <c r="D2290" s="3"/>
      <c r="E2290" s="3"/>
      <c r="F2290" s="3"/>
      <c r="G2290" s="3"/>
      <c r="H2290" s="3"/>
      <c r="I2290" s="3"/>
      <c r="J2290" s="3"/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</row>
    <row r="2291">
      <c r="A2291" s="3"/>
      <c r="B2291" s="3"/>
      <c r="C2291" s="3"/>
      <c r="D2291" s="3"/>
      <c r="E2291" s="3"/>
      <c r="F2291" s="3"/>
      <c r="G2291" s="3"/>
      <c r="H2291" s="3"/>
      <c r="I2291" s="3"/>
      <c r="J2291" s="3"/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</row>
    <row r="2292">
      <c r="A2292" s="3"/>
      <c r="B2292" s="3"/>
      <c r="C2292" s="3"/>
      <c r="D2292" s="3"/>
      <c r="E2292" s="3"/>
      <c r="F2292" s="3"/>
      <c r="G2292" s="3"/>
      <c r="H2292" s="3"/>
      <c r="I2292" s="3"/>
      <c r="J2292" s="3"/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</row>
    <row r="2293">
      <c r="A2293" s="3"/>
      <c r="B2293" s="3"/>
      <c r="C2293" s="3"/>
      <c r="D2293" s="3"/>
      <c r="E2293" s="3"/>
      <c r="F2293" s="3"/>
      <c r="G2293" s="3"/>
      <c r="H2293" s="3"/>
      <c r="I2293" s="3"/>
      <c r="J2293" s="3"/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</row>
    <row r="2294">
      <c r="A2294" s="3"/>
      <c r="B2294" s="3"/>
      <c r="C2294" s="3"/>
      <c r="D2294" s="3"/>
      <c r="E2294" s="3"/>
      <c r="F2294" s="3"/>
      <c r="G2294" s="3"/>
      <c r="H2294" s="3"/>
      <c r="I2294" s="3"/>
      <c r="J2294" s="3"/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</row>
    <row r="2295">
      <c r="A2295" s="3"/>
      <c r="B2295" s="3"/>
      <c r="C2295" s="3"/>
      <c r="D2295" s="3"/>
      <c r="E2295" s="3"/>
      <c r="F2295" s="3"/>
      <c r="G2295" s="3"/>
      <c r="H2295" s="3"/>
      <c r="I2295" s="3"/>
      <c r="J2295" s="3"/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</row>
    <row r="2296">
      <c r="A2296" s="3"/>
      <c r="B2296" s="3"/>
      <c r="C2296" s="3"/>
      <c r="D2296" s="3"/>
      <c r="E2296" s="3"/>
      <c r="F2296" s="3"/>
      <c r="G2296" s="3"/>
      <c r="H2296" s="3"/>
      <c r="I2296" s="3"/>
      <c r="J2296" s="3"/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</row>
    <row r="2297">
      <c r="A2297" s="3"/>
      <c r="B2297" s="3"/>
      <c r="C2297" s="3"/>
      <c r="D2297" s="3"/>
      <c r="E2297" s="3"/>
      <c r="F2297" s="3"/>
      <c r="G2297" s="3"/>
      <c r="H2297" s="3"/>
      <c r="I2297" s="3"/>
      <c r="J2297" s="3"/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</row>
    <row r="2298">
      <c r="A2298" s="3"/>
      <c r="B2298" s="3"/>
      <c r="C2298" s="3"/>
      <c r="D2298" s="3"/>
      <c r="E2298" s="3"/>
      <c r="F2298" s="3"/>
      <c r="G2298" s="3"/>
      <c r="H2298" s="3"/>
      <c r="I2298" s="3"/>
      <c r="J2298" s="3"/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</row>
    <row r="2299">
      <c r="A2299" s="3"/>
      <c r="B2299" s="3"/>
      <c r="C2299" s="3"/>
      <c r="D2299" s="3"/>
      <c r="E2299" s="3"/>
      <c r="F2299" s="3"/>
      <c r="G2299" s="3"/>
      <c r="H2299" s="3"/>
      <c r="I2299" s="3"/>
      <c r="J2299" s="3"/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</row>
    <row r="2300">
      <c r="A2300" s="3"/>
      <c r="B2300" s="3"/>
      <c r="C2300" s="3"/>
      <c r="D2300" s="3"/>
      <c r="E2300" s="3"/>
      <c r="F2300" s="3"/>
      <c r="G2300" s="3"/>
      <c r="H2300" s="3"/>
      <c r="I2300" s="3"/>
      <c r="J2300" s="3"/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</row>
    <row r="2301">
      <c r="A2301" s="3"/>
      <c r="B2301" s="3"/>
      <c r="C2301" s="3"/>
      <c r="D2301" s="3"/>
      <c r="E2301" s="3"/>
      <c r="F2301" s="3"/>
      <c r="G2301" s="3"/>
      <c r="H2301" s="3"/>
      <c r="I2301" s="3"/>
      <c r="J2301" s="3"/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</row>
    <row r="2302">
      <c r="A2302" s="3"/>
      <c r="B2302" s="3"/>
      <c r="C2302" s="3"/>
      <c r="D2302" s="3"/>
      <c r="E2302" s="3"/>
      <c r="F2302" s="3"/>
      <c r="G2302" s="3"/>
      <c r="H2302" s="3"/>
      <c r="I2302" s="3"/>
      <c r="J2302" s="3"/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</row>
    <row r="2303">
      <c r="A2303" s="3"/>
      <c r="B2303" s="3"/>
      <c r="C2303" s="3"/>
      <c r="D2303" s="3"/>
      <c r="E2303" s="3"/>
      <c r="F2303" s="3"/>
      <c r="G2303" s="3"/>
      <c r="H2303" s="3"/>
      <c r="I2303" s="3"/>
      <c r="J2303" s="3"/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</row>
    <row r="2304">
      <c r="A2304" s="3"/>
      <c r="B2304" s="3"/>
      <c r="C2304" s="3"/>
      <c r="D2304" s="3"/>
      <c r="E2304" s="3"/>
      <c r="F2304" s="3"/>
      <c r="G2304" s="3"/>
      <c r="H2304" s="3"/>
      <c r="I2304" s="3"/>
      <c r="J2304" s="3"/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</row>
    <row r="2305">
      <c r="A2305" s="3"/>
      <c r="B2305" s="3"/>
      <c r="C2305" s="3"/>
      <c r="D2305" s="3"/>
      <c r="E2305" s="3"/>
      <c r="F2305" s="3"/>
      <c r="G2305" s="3"/>
      <c r="H2305" s="3"/>
      <c r="I2305" s="3"/>
      <c r="J2305" s="3"/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</row>
    <row r="2306">
      <c r="A2306" s="3"/>
      <c r="B2306" s="3"/>
      <c r="C2306" s="3"/>
      <c r="D2306" s="3"/>
      <c r="E2306" s="3"/>
      <c r="F2306" s="3"/>
      <c r="G2306" s="3"/>
      <c r="H2306" s="3"/>
      <c r="I2306" s="3"/>
      <c r="J2306" s="3"/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</row>
    <row r="2307">
      <c r="A2307" s="3"/>
      <c r="B2307" s="3"/>
      <c r="C2307" s="3"/>
      <c r="D2307" s="3"/>
      <c r="E2307" s="3"/>
      <c r="F2307" s="3"/>
      <c r="G2307" s="3"/>
      <c r="H2307" s="3"/>
      <c r="I2307" s="3"/>
      <c r="J2307" s="3"/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</row>
    <row r="2308">
      <c r="A2308" s="3"/>
      <c r="B2308" s="3"/>
      <c r="C2308" s="3"/>
      <c r="D2308" s="3"/>
      <c r="E2308" s="3"/>
      <c r="F2308" s="3"/>
      <c r="G2308" s="3"/>
      <c r="H2308" s="3"/>
      <c r="I2308" s="3"/>
      <c r="J2308" s="3"/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</row>
    <row r="2309">
      <c r="A2309" s="3"/>
      <c r="B2309" s="3"/>
      <c r="C2309" s="3"/>
      <c r="D2309" s="3"/>
      <c r="E2309" s="3"/>
      <c r="F2309" s="3"/>
      <c r="G2309" s="3"/>
      <c r="H2309" s="3"/>
      <c r="I2309" s="3"/>
      <c r="J2309" s="3"/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</row>
    <row r="2310">
      <c r="A2310" s="3"/>
      <c r="B2310" s="3"/>
      <c r="C2310" s="3"/>
      <c r="D2310" s="3"/>
      <c r="E2310" s="3"/>
      <c r="F2310" s="3"/>
      <c r="G2310" s="3"/>
      <c r="H2310" s="3"/>
      <c r="I2310" s="3"/>
      <c r="J2310" s="3"/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</row>
    <row r="2311">
      <c r="A2311" s="3"/>
      <c r="B2311" s="3"/>
      <c r="C2311" s="3"/>
      <c r="D2311" s="3"/>
      <c r="E2311" s="3"/>
      <c r="F2311" s="3"/>
      <c r="G2311" s="3"/>
      <c r="H2311" s="3"/>
      <c r="I2311" s="3"/>
      <c r="J2311" s="3"/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</row>
    <row r="2312">
      <c r="A2312" s="3"/>
      <c r="B2312" s="3"/>
      <c r="C2312" s="3"/>
      <c r="D2312" s="3"/>
      <c r="E2312" s="3"/>
      <c r="F2312" s="3"/>
      <c r="G2312" s="3"/>
      <c r="H2312" s="3"/>
      <c r="I2312" s="3"/>
      <c r="J2312" s="3"/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</row>
    <row r="2313">
      <c r="A2313" s="3"/>
      <c r="B2313" s="3"/>
      <c r="C2313" s="3"/>
      <c r="D2313" s="3"/>
      <c r="E2313" s="3"/>
      <c r="F2313" s="3"/>
      <c r="G2313" s="3"/>
      <c r="H2313" s="3"/>
      <c r="I2313" s="3"/>
      <c r="J2313" s="3"/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</row>
    <row r="2314">
      <c r="A2314" s="3"/>
      <c r="B2314" s="3"/>
      <c r="C2314" s="3"/>
      <c r="D2314" s="3"/>
      <c r="E2314" s="3"/>
      <c r="F2314" s="3"/>
      <c r="G2314" s="3"/>
      <c r="H2314" s="3"/>
      <c r="I2314" s="3"/>
      <c r="J2314" s="3"/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</row>
    <row r="2315">
      <c r="A2315" s="3"/>
      <c r="B2315" s="3"/>
      <c r="C2315" s="3"/>
      <c r="D2315" s="3"/>
      <c r="E2315" s="3"/>
      <c r="F2315" s="3"/>
      <c r="G2315" s="3"/>
      <c r="H2315" s="3"/>
      <c r="I2315" s="3"/>
      <c r="J2315" s="3"/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</row>
    <row r="2316">
      <c r="A2316" s="3"/>
      <c r="B2316" s="3"/>
      <c r="C2316" s="3"/>
      <c r="D2316" s="3"/>
      <c r="E2316" s="3"/>
      <c r="F2316" s="3"/>
      <c r="G2316" s="3"/>
      <c r="H2316" s="3"/>
      <c r="I2316" s="3"/>
      <c r="J2316" s="3"/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</row>
    <row r="2317">
      <c r="A2317" s="3"/>
      <c r="B2317" s="3"/>
      <c r="C2317" s="3"/>
      <c r="D2317" s="3"/>
      <c r="E2317" s="3"/>
      <c r="F2317" s="3"/>
      <c r="G2317" s="3"/>
      <c r="H2317" s="3"/>
      <c r="I2317" s="3"/>
      <c r="J2317" s="3"/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</row>
    <row r="2318">
      <c r="A2318" s="3"/>
      <c r="B2318" s="3"/>
      <c r="C2318" s="3"/>
      <c r="D2318" s="3"/>
      <c r="E2318" s="3"/>
      <c r="F2318" s="3"/>
      <c r="G2318" s="3"/>
      <c r="H2318" s="3"/>
      <c r="I2318" s="3"/>
      <c r="J2318" s="3"/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</row>
    <row r="2319">
      <c r="A2319" s="3"/>
      <c r="B2319" s="3"/>
      <c r="C2319" s="3"/>
      <c r="D2319" s="3"/>
      <c r="E2319" s="3"/>
      <c r="F2319" s="3"/>
      <c r="G2319" s="3"/>
      <c r="H2319" s="3"/>
      <c r="I2319" s="3"/>
      <c r="J2319" s="3"/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</row>
    <row r="2320">
      <c r="A2320" s="3"/>
      <c r="B2320" s="3"/>
      <c r="C2320" s="3"/>
      <c r="D2320" s="3"/>
      <c r="E2320" s="3"/>
      <c r="F2320" s="3"/>
      <c r="G2320" s="3"/>
      <c r="H2320" s="3"/>
      <c r="I2320" s="3"/>
      <c r="J2320" s="3"/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</row>
    <row r="2321">
      <c r="A2321" s="3"/>
      <c r="B2321" s="3"/>
      <c r="C2321" s="3"/>
      <c r="D2321" s="3"/>
      <c r="E2321" s="3"/>
      <c r="F2321" s="3"/>
      <c r="G2321" s="3"/>
      <c r="H2321" s="3"/>
      <c r="I2321" s="3"/>
      <c r="J2321" s="3"/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</row>
    <row r="2322">
      <c r="A2322" s="3"/>
      <c r="B2322" s="3"/>
      <c r="C2322" s="3"/>
      <c r="D2322" s="3"/>
      <c r="E2322" s="3"/>
      <c r="F2322" s="3"/>
      <c r="G2322" s="3"/>
      <c r="H2322" s="3"/>
      <c r="I2322" s="3"/>
      <c r="J2322" s="3"/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</row>
    <row r="2323">
      <c r="A2323" s="3"/>
      <c r="B2323" s="3"/>
      <c r="C2323" s="3"/>
      <c r="D2323" s="3"/>
      <c r="E2323" s="3"/>
      <c r="F2323" s="3"/>
      <c r="G2323" s="3"/>
      <c r="H2323" s="3"/>
      <c r="I2323" s="3"/>
      <c r="J2323" s="3"/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</row>
    <row r="2324">
      <c r="A2324" s="3"/>
      <c r="B2324" s="3"/>
      <c r="C2324" s="3"/>
      <c r="D2324" s="3"/>
      <c r="E2324" s="3"/>
      <c r="F2324" s="3"/>
      <c r="G2324" s="3"/>
      <c r="H2324" s="3"/>
      <c r="I2324" s="3"/>
      <c r="J2324" s="3"/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</row>
    <row r="2325">
      <c r="A2325" s="3"/>
      <c r="B2325" s="3"/>
      <c r="C2325" s="3"/>
      <c r="D2325" s="3"/>
      <c r="E2325" s="3"/>
      <c r="F2325" s="3"/>
      <c r="G2325" s="3"/>
      <c r="H2325" s="3"/>
      <c r="I2325" s="3"/>
      <c r="J2325" s="3"/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</row>
    <row r="2326">
      <c r="A2326" s="3"/>
      <c r="B2326" s="3"/>
      <c r="C2326" s="3"/>
      <c r="D2326" s="3"/>
      <c r="E2326" s="3"/>
      <c r="F2326" s="3"/>
      <c r="G2326" s="3"/>
      <c r="H2326" s="3"/>
      <c r="I2326" s="3"/>
      <c r="J2326" s="3"/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</row>
    <row r="2327">
      <c r="A2327" s="3"/>
      <c r="B2327" s="3"/>
      <c r="C2327" s="3"/>
      <c r="D2327" s="3"/>
      <c r="E2327" s="3"/>
      <c r="F2327" s="3"/>
      <c r="G2327" s="3"/>
      <c r="H2327" s="3"/>
      <c r="I2327" s="3"/>
      <c r="J2327" s="3"/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</row>
    <row r="2328">
      <c r="A2328" s="3"/>
      <c r="B2328" s="3"/>
      <c r="C2328" s="3"/>
      <c r="D2328" s="3"/>
      <c r="E2328" s="3"/>
      <c r="F2328" s="3"/>
      <c r="G2328" s="3"/>
      <c r="H2328" s="3"/>
      <c r="I2328" s="3"/>
      <c r="J2328" s="3"/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</row>
    <row r="2329">
      <c r="A2329" s="3"/>
      <c r="B2329" s="3"/>
      <c r="C2329" s="3"/>
      <c r="D2329" s="3"/>
      <c r="E2329" s="3"/>
      <c r="F2329" s="3"/>
      <c r="G2329" s="3"/>
      <c r="H2329" s="3"/>
      <c r="I2329" s="3"/>
      <c r="J2329" s="3"/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</row>
    <row r="2330">
      <c r="A2330" s="3"/>
      <c r="B2330" s="3"/>
      <c r="C2330" s="3"/>
      <c r="D2330" s="3"/>
      <c r="E2330" s="3"/>
      <c r="F2330" s="3"/>
      <c r="G2330" s="3"/>
      <c r="H2330" s="3"/>
      <c r="I2330" s="3"/>
      <c r="J2330" s="3"/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</row>
    <row r="2331">
      <c r="A2331" s="3"/>
      <c r="B2331" s="3"/>
      <c r="C2331" s="3"/>
      <c r="D2331" s="3"/>
      <c r="E2331" s="3"/>
      <c r="F2331" s="3"/>
      <c r="G2331" s="3"/>
      <c r="H2331" s="3"/>
      <c r="I2331" s="3"/>
      <c r="J2331" s="3"/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</row>
    <row r="2332">
      <c r="A2332" s="3"/>
      <c r="B2332" s="3"/>
      <c r="C2332" s="3"/>
      <c r="D2332" s="3"/>
      <c r="E2332" s="3"/>
      <c r="F2332" s="3"/>
      <c r="G2332" s="3"/>
      <c r="H2332" s="3"/>
      <c r="I2332" s="3"/>
      <c r="J2332" s="3"/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</row>
    <row r="2333">
      <c r="A2333" s="3"/>
      <c r="B2333" s="3"/>
      <c r="C2333" s="3"/>
      <c r="D2333" s="3"/>
      <c r="E2333" s="3"/>
      <c r="F2333" s="3"/>
      <c r="G2333" s="3"/>
      <c r="H2333" s="3"/>
      <c r="I2333" s="3"/>
      <c r="J2333" s="3"/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</row>
    <row r="2334">
      <c r="A2334" s="3"/>
      <c r="B2334" s="3"/>
      <c r="C2334" s="3"/>
      <c r="D2334" s="3"/>
      <c r="E2334" s="3"/>
      <c r="F2334" s="3"/>
      <c r="G2334" s="3"/>
      <c r="H2334" s="3"/>
      <c r="I2334" s="3"/>
      <c r="J2334" s="3"/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</row>
    <row r="2335">
      <c r="A2335" s="3"/>
      <c r="B2335" s="3"/>
      <c r="C2335" s="3"/>
      <c r="D2335" s="3"/>
      <c r="E2335" s="3"/>
      <c r="F2335" s="3"/>
      <c r="G2335" s="3"/>
      <c r="H2335" s="3"/>
      <c r="I2335" s="3"/>
      <c r="J2335" s="3"/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</row>
    <row r="2336">
      <c r="A2336" s="3"/>
      <c r="B2336" s="3"/>
      <c r="C2336" s="3"/>
      <c r="D2336" s="3"/>
      <c r="E2336" s="3"/>
      <c r="F2336" s="3"/>
      <c r="G2336" s="3"/>
      <c r="H2336" s="3"/>
      <c r="I2336" s="3"/>
      <c r="J2336" s="3"/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</row>
    <row r="2337">
      <c r="A2337" s="3"/>
      <c r="B2337" s="3"/>
      <c r="C2337" s="3"/>
      <c r="D2337" s="3"/>
      <c r="E2337" s="3"/>
      <c r="F2337" s="3"/>
      <c r="G2337" s="3"/>
      <c r="H2337" s="3"/>
      <c r="I2337" s="3"/>
      <c r="J2337" s="3"/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</row>
    <row r="2338">
      <c r="A2338" s="3"/>
      <c r="B2338" s="3"/>
      <c r="C2338" s="3"/>
      <c r="D2338" s="3"/>
      <c r="E2338" s="3"/>
      <c r="F2338" s="3"/>
      <c r="G2338" s="3"/>
      <c r="H2338" s="3"/>
      <c r="I2338" s="3"/>
      <c r="J2338" s="3"/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</row>
    <row r="2339">
      <c r="A2339" s="3"/>
      <c r="B2339" s="3"/>
      <c r="C2339" s="3"/>
      <c r="D2339" s="3"/>
      <c r="E2339" s="3"/>
      <c r="F2339" s="3"/>
      <c r="G2339" s="3"/>
      <c r="H2339" s="3"/>
      <c r="I2339" s="3"/>
      <c r="J2339" s="3"/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</row>
    <row r="2340">
      <c r="A2340" s="3"/>
      <c r="B2340" s="3"/>
      <c r="C2340" s="3"/>
      <c r="D2340" s="3"/>
      <c r="E2340" s="3"/>
      <c r="F2340" s="3"/>
      <c r="G2340" s="3"/>
      <c r="H2340" s="3"/>
      <c r="I2340" s="3"/>
      <c r="J2340" s="3"/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</row>
    <row r="2341">
      <c r="A2341" s="3"/>
      <c r="B2341" s="3"/>
      <c r="C2341" s="3"/>
      <c r="D2341" s="3"/>
      <c r="E2341" s="3"/>
      <c r="F2341" s="3"/>
      <c r="G2341" s="3"/>
      <c r="H2341" s="3"/>
      <c r="I2341" s="3"/>
      <c r="J2341" s="3"/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</row>
    <row r="2342">
      <c r="A2342" s="3"/>
      <c r="B2342" s="3"/>
      <c r="C2342" s="3"/>
      <c r="D2342" s="3"/>
      <c r="E2342" s="3"/>
      <c r="F2342" s="3"/>
      <c r="G2342" s="3"/>
      <c r="H2342" s="3"/>
      <c r="I2342" s="3"/>
      <c r="J2342" s="3"/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</row>
    <row r="2343">
      <c r="A2343" s="3"/>
      <c r="B2343" s="3"/>
      <c r="C2343" s="3"/>
      <c r="D2343" s="3"/>
      <c r="E2343" s="3"/>
      <c r="F2343" s="3"/>
      <c r="G2343" s="3"/>
      <c r="H2343" s="3"/>
      <c r="I2343" s="3"/>
      <c r="J2343" s="3"/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</row>
    <row r="2344">
      <c r="A2344" s="3"/>
      <c r="B2344" s="3"/>
      <c r="C2344" s="3"/>
      <c r="D2344" s="3"/>
      <c r="E2344" s="3"/>
      <c r="F2344" s="3"/>
      <c r="G2344" s="3"/>
      <c r="H2344" s="3"/>
      <c r="I2344" s="3"/>
      <c r="J2344" s="3"/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</row>
    <row r="2345">
      <c r="A2345" s="3"/>
      <c r="B2345" s="3"/>
      <c r="C2345" s="3"/>
      <c r="D2345" s="3"/>
      <c r="E2345" s="3"/>
      <c r="F2345" s="3"/>
      <c r="G2345" s="3"/>
      <c r="H2345" s="3"/>
      <c r="I2345" s="3"/>
      <c r="J2345" s="3"/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</row>
    <row r="2346">
      <c r="A2346" s="3"/>
      <c r="B2346" s="3"/>
      <c r="C2346" s="3"/>
      <c r="D2346" s="3"/>
      <c r="E2346" s="3"/>
      <c r="F2346" s="3"/>
      <c r="G2346" s="3"/>
      <c r="H2346" s="3"/>
      <c r="I2346" s="3"/>
      <c r="J2346" s="3"/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</row>
    <row r="2347">
      <c r="A2347" s="3"/>
      <c r="B2347" s="3"/>
      <c r="C2347" s="3"/>
      <c r="D2347" s="3"/>
      <c r="E2347" s="3"/>
      <c r="F2347" s="3"/>
      <c r="G2347" s="3"/>
      <c r="H2347" s="3"/>
      <c r="I2347" s="3"/>
      <c r="J2347" s="3"/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</row>
    <row r="2348">
      <c r="A2348" s="3"/>
      <c r="B2348" s="3"/>
      <c r="C2348" s="3"/>
      <c r="D2348" s="3"/>
      <c r="E2348" s="3"/>
      <c r="F2348" s="3"/>
      <c r="G2348" s="3"/>
      <c r="H2348" s="3"/>
      <c r="I2348" s="3"/>
      <c r="J2348" s="3"/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</row>
    <row r="2349">
      <c r="A2349" s="3"/>
      <c r="B2349" s="3"/>
      <c r="C2349" s="3"/>
      <c r="D2349" s="3"/>
      <c r="E2349" s="3"/>
      <c r="F2349" s="3"/>
      <c r="G2349" s="3"/>
      <c r="H2349" s="3"/>
      <c r="I2349" s="3"/>
      <c r="J2349" s="3"/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</row>
    <row r="2350">
      <c r="A2350" s="3"/>
      <c r="B2350" s="3"/>
      <c r="C2350" s="3"/>
      <c r="D2350" s="3"/>
      <c r="E2350" s="3"/>
      <c r="F2350" s="3"/>
      <c r="G2350" s="3"/>
      <c r="H2350" s="3"/>
      <c r="I2350" s="3"/>
      <c r="J2350" s="3"/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</row>
    <row r="2351">
      <c r="A2351" s="3"/>
      <c r="B2351" s="3"/>
      <c r="C2351" s="3"/>
      <c r="D2351" s="3"/>
      <c r="E2351" s="3"/>
      <c r="F2351" s="3"/>
      <c r="G2351" s="3"/>
      <c r="H2351" s="3"/>
      <c r="I2351" s="3"/>
      <c r="J2351" s="3"/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</row>
    <row r="2352">
      <c r="A2352" s="3"/>
      <c r="B2352" s="3"/>
      <c r="C2352" s="3"/>
      <c r="D2352" s="3"/>
      <c r="E2352" s="3"/>
      <c r="F2352" s="3"/>
      <c r="G2352" s="3"/>
      <c r="H2352" s="3"/>
      <c r="I2352" s="3"/>
      <c r="J2352" s="3"/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</row>
    <row r="2353">
      <c r="A2353" s="3"/>
      <c r="B2353" s="3"/>
      <c r="C2353" s="3"/>
      <c r="D2353" s="3"/>
      <c r="E2353" s="3"/>
      <c r="F2353" s="3"/>
      <c r="G2353" s="3"/>
      <c r="H2353" s="3"/>
      <c r="I2353" s="3"/>
      <c r="J2353" s="3"/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</row>
    <row r="2354">
      <c r="A2354" s="3"/>
      <c r="B2354" s="3"/>
      <c r="C2354" s="3"/>
      <c r="D2354" s="3"/>
      <c r="E2354" s="3"/>
      <c r="F2354" s="3"/>
      <c r="G2354" s="3"/>
      <c r="H2354" s="3"/>
      <c r="I2354" s="3"/>
      <c r="J2354" s="3"/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</row>
    <row r="2355">
      <c r="A2355" s="3"/>
      <c r="B2355" s="3"/>
      <c r="C2355" s="3"/>
      <c r="D2355" s="3"/>
      <c r="E2355" s="3"/>
      <c r="F2355" s="3"/>
      <c r="G2355" s="3"/>
      <c r="H2355" s="3"/>
      <c r="I2355" s="3"/>
      <c r="J2355" s="3"/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</row>
    <row r="2356">
      <c r="A2356" s="3"/>
      <c r="B2356" s="3"/>
      <c r="C2356" s="3"/>
      <c r="D2356" s="3"/>
      <c r="E2356" s="3"/>
      <c r="F2356" s="3"/>
      <c r="G2356" s="3"/>
      <c r="H2356" s="3"/>
      <c r="I2356" s="3"/>
      <c r="J2356" s="3"/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</row>
    <row r="2357">
      <c r="A2357" s="3"/>
      <c r="B2357" s="3"/>
      <c r="C2357" s="3"/>
      <c r="D2357" s="3"/>
      <c r="E2357" s="3"/>
      <c r="F2357" s="3"/>
      <c r="G2357" s="3"/>
      <c r="H2357" s="3"/>
      <c r="I2357" s="3"/>
      <c r="J2357" s="3"/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</row>
    <row r="2358">
      <c r="A2358" s="3"/>
      <c r="B2358" s="3"/>
      <c r="C2358" s="3"/>
      <c r="D2358" s="3"/>
      <c r="E2358" s="3"/>
      <c r="F2358" s="3"/>
      <c r="G2358" s="3"/>
      <c r="H2358" s="3"/>
      <c r="I2358" s="3"/>
      <c r="J2358" s="3"/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</row>
    <row r="2359">
      <c r="A2359" s="3"/>
      <c r="B2359" s="3"/>
      <c r="C2359" s="3"/>
      <c r="D2359" s="3"/>
      <c r="E2359" s="3"/>
      <c r="F2359" s="3"/>
      <c r="G2359" s="3"/>
      <c r="H2359" s="3"/>
      <c r="I2359" s="3"/>
      <c r="J2359" s="3"/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</row>
    <row r="2360">
      <c r="A2360" s="3"/>
      <c r="B2360" s="3"/>
      <c r="C2360" s="3"/>
      <c r="D2360" s="3"/>
      <c r="E2360" s="3"/>
      <c r="F2360" s="3"/>
      <c r="G2360" s="3"/>
      <c r="H2360" s="3"/>
      <c r="I2360" s="3"/>
      <c r="J2360" s="3"/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</row>
    <row r="2361">
      <c r="A2361" s="3"/>
      <c r="B2361" s="3"/>
      <c r="C2361" s="3"/>
      <c r="D2361" s="3"/>
      <c r="E2361" s="3"/>
      <c r="F2361" s="3"/>
      <c r="G2361" s="3"/>
      <c r="H2361" s="3"/>
      <c r="I2361" s="3"/>
      <c r="J2361" s="3"/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</row>
    <row r="2362">
      <c r="A2362" s="3"/>
      <c r="B2362" s="3"/>
      <c r="C2362" s="3"/>
      <c r="D2362" s="3"/>
      <c r="E2362" s="3"/>
      <c r="F2362" s="3"/>
      <c r="G2362" s="3"/>
      <c r="H2362" s="3"/>
      <c r="I2362" s="3"/>
      <c r="J2362" s="3"/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</row>
    <row r="2363">
      <c r="A2363" s="3"/>
      <c r="B2363" s="3"/>
      <c r="C2363" s="3"/>
      <c r="D2363" s="3"/>
      <c r="E2363" s="3"/>
      <c r="F2363" s="3"/>
      <c r="G2363" s="3"/>
      <c r="H2363" s="3"/>
      <c r="I2363" s="3"/>
      <c r="J2363" s="3"/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</row>
    <row r="2364">
      <c r="A2364" s="3"/>
      <c r="B2364" s="3"/>
      <c r="C2364" s="3"/>
      <c r="D2364" s="3"/>
      <c r="E2364" s="3"/>
      <c r="F2364" s="3"/>
      <c r="G2364" s="3"/>
      <c r="H2364" s="3"/>
      <c r="I2364" s="3"/>
      <c r="J2364" s="3"/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</row>
    <row r="2365">
      <c r="A2365" s="3"/>
      <c r="B2365" s="3"/>
      <c r="C2365" s="3"/>
      <c r="D2365" s="3"/>
      <c r="E2365" s="3"/>
      <c r="F2365" s="3"/>
      <c r="G2365" s="3"/>
      <c r="H2365" s="3"/>
      <c r="I2365" s="3"/>
      <c r="J2365" s="3"/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</row>
    <row r="2366">
      <c r="A2366" s="3"/>
      <c r="B2366" s="3"/>
      <c r="C2366" s="3"/>
      <c r="D2366" s="3"/>
      <c r="E2366" s="3"/>
      <c r="F2366" s="3"/>
      <c r="G2366" s="3"/>
      <c r="H2366" s="3"/>
      <c r="I2366" s="3"/>
      <c r="J2366" s="3"/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</row>
    <row r="2367">
      <c r="A2367" s="3"/>
      <c r="B2367" s="3"/>
      <c r="C2367" s="3"/>
      <c r="D2367" s="3"/>
      <c r="E2367" s="3"/>
      <c r="F2367" s="3"/>
      <c r="G2367" s="3"/>
      <c r="H2367" s="3"/>
      <c r="I2367" s="3"/>
      <c r="J2367" s="3"/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</row>
    <row r="2368">
      <c r="A2368" s="3"/>
      <c r="B2368" s="3"/>
      <c r="C2368" s="3"/>
      <c r="D2368" s="3"/>
      <c r="E2368" s="3"/>
      <c r="F2368" s="3"/>
      <c r="G2368" s="3"/>
      <c r="H2368" s="3"/>
      <c r="I2368" s="3"/>
      <c r="J2368" s="3"/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</row>
    <row r="2369">
      <c r="A2369" s="3"/>
      <c r="B2369" s="3"/>
      <c r="C2369" s="3"/>
      <c r="D2369" s="3"/>
      <c r="E2369" s="3"/>
      <c r="F2369" s="3"/>
      <c r="G2369" s="3"/>
      <c r="H2369" s="3"/>
      <c r="I2369" s="3"/>
      <c r="J2369" s="3"/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</row>
    <row r="2370">
      <c r="A2370" s="3"/>
      <c r="B2370" s="3"/>
      <c r="C2370" s="3"/>
      <c r="D2370" s="3"/>
      <c r="E2370" s="3"/>
      <c r="F2370" s="3"/>
      <c r="G2370" s="3"/>
      <c r="H2370" s="3"/>
      <c r="I2370" s="3"/>
      <c r="J2370" s="3"/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</row>
    <row r="2371">
      <c r="A2371" s="3"/>
      <c r="B2371" s="3"/>
      <c r="C2371" s="3"/>
      <c r="D2371" s="3"/>
      <c r="E2371" s="3"/>
      <c r="F2371" s="3"/>
      <c r="G2371" s="3"/>
      <c r="H2371" s="3"/>
      <c r="I2371" s="3"/>
      <c r="J2371" s="3"/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</row>
    <row r="2372">
      <c r="A2372" s="3"/>
      <c r="B2372" s="3"/>
      <c r="C2372" s="3"/>
      <c r="D2372" s="3"/>
      <c r="E2372" s="3"/>
      <c r="F2372" s="3"/>
      <c r="G2372" s="3"/>
      <c r="H2372" s="3"/>
      <c r="I2372" s="3"/>
      <c r="J2372" s="3"/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</row>
    <row r="2373">
      <c r="A2373" s="3"/>
      <c r="B2373" s="3"/>
      <c r="C2373" s="3"/>
      <c r="D2373" s="3"/>
      <c r="E2373" s="3"/>
      <c r="F2373" s="3"/>
      <c r="G2373" s="3"/>
      <c r="H2373" s="3"/>
      <c r="I2373" s="3"/>
      <c r="J2373" s="3"/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</row>
    <row r="2374">
      <c r="A2374" s="3"/>
      <c r="B2374" s="3"/>
      <c r="C2374" s="3"/>
      <c r="D2374" s="3"/>
      <c r="E2374" s="3"/>
      <c r="F2374" s="3"/>
      <c r="G2374" s="3"/>
      <c r="H2374" s="3"/>
      <c r="I2374" s="3"/>
      <c r="J2374" s="3"/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</row>
    <row r="2375">
      <c r="A2375" s="3"/>
      <c r="B2375" s="3"/>
      <c r="C2375" s="3"/>
      <c r="D2375" s="3"/>
      <c r="E2375" s="3"/>
      <c r="F2375" s="3"/>
      <c r="G2375" s="3"/>
      <c r="H2375" s="3"/>
      <c r="I2375" s="3"/>
      <c r="J2375" s="3"/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</row>
    <row r="2376">
      <c r="A2376" s="3"/>
      <c r="B2376" s="3"/>
      <c r="C2376" s="3"/>
      <c r="D2376" s="3"/>
      <c r="E2376" s="3"/>
      <c r="F2376" s="3"/>
      <c r="G2376" s="3"/>
      <c r="H2376" s="3"/>
      <c r="I2376" s="3"/>
      <c r="J2376" s="3"/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</row>
    <row r="2377">
      <c r="A2377" s="3"/>
      <c r="B2377" s="3"/>
      <c r="C2377" s="3"/>
      <c r="D2377" s="3"/>
      <c r="E2377" s="3"/>
      <c r="F2377" s="3"/>
      <c r="G2377" s="3"/>
      <c r="H2377" s="3"/>
      <c r="I2377" s="3"/>
      <c r="J2377" s="3"/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</row>
    <row r="2378">
      <c r="A2378" s="3"/>
      <c r="B2378" s="3"/>
      <c r="C2378" s="3"/>
      <c r="D2378" s="3"/>
      <c r="E2378" s="3"/>
      <c r="F2378" s="3"/>
      <c r="G2378" s="3"/>
      <c r="H2378" s="3"/>
      <c r="I2378" s="3"/>
      <c r="J2378" s="3"/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</row>
    <row r="2379">
      <c r="A2379" s="3"/>
      <c r="B2379" s="3"/>
      <c r="C2379" s="3"/>
      <c r="D2379" s="3"/>
      <c r="E2379" s="3"/>
      <c r="F2379" s="3"/>
      <c r="G2379" s="3"/>
      <c r="H2379" s="3"/>
      <c r="I2379" s="3"/>
      <c r="J2379" s="3"/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</row>
    <row r="2380">
      <c r="A2380" s="3"/>
      <c r="B2380" s="3"/>
      <c r="C2380" s="3"/>
      <c r="D2380" s="3"/>
      <c r="E2380" s="3"/>
      <c r="F2380" s="3"/>
      <c r="G2380" s="3"/>
      <c r="H2380" s="3"/>
      <c r="I2380" s="3"/>
      <c r="J2380" s="3"/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</row>
    <row r="2381">
      <c r="A2381" s="3"/>
      <c r="B2381" s="3"/>
      <c r="C2381" s="3"/>
      <c r="D2381" s="3"/>
      <c r="E2381" s="3"/>
      <c r="F2381" s="3"/>
      <c r="G2381" s="3"/>
      <c r="H2381" s="3"/>
      <c r="I2381" s="3"/>
      <c r="J2381" s="3"/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</row>
    <row r="2382">
      <c r="A2382" s="3"/>
      <c r="B2382" s="3"/>
      <c r="C2382" s="3"/>
      <c r="D2382" s="3"/>
      <c r="E2382" s="3"/>
      <c r="F2382" s="3"/>
      <c r="G2382" s="3"/>
      <c r="H2382" s="3"/>
      <c r="I2382" s="3"/>
      <c r="J2382" s="3"/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</row>
    <row r="2383">
      <c r="A2383" s="3"/>
      <c r="B2383" s="3"/>
      <c r="C2383" s="3"/>
      <c r="D2383" s="3"/>
      <c r="E2383" s="3"/>
      <c r="F2383" s="3"/>
      <c r="G2383" s="3"/>
      <c r="H2383" s="3"/>
      <c r="I2383" s="3"/>
      <c r="J2383" s="3"/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</row>
    <row r="2384">
      <c r="A2384" s="3"/>
      <c r="B2384" s="3"/>
      <c r="C2384" s="3"/>
      <c r="D2384" s="3"/>
      <c r="E2384" s="3"/>
      <c r="F2384" s="3"/>
      <c r="G2384" s="3"/>
      <c r="H2384" s="3"/>
      <c r="I2384" s="3"/>
      <c r="J2384" s="3"/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</row>
    <row r="2385">
      <c r="A2385" s="3"/>
      <c r="B2385" s="3"/>
      <c r="C2385" s="3"/>
      <c r="D2385" s="3"/>
      <c r="E2385" s="3"/>
      <c r="F2385" s="3"/>
      <c r="G2385" s="3"/>
      <c r="H2385" s="3"/>
      <c r="I2385" s="3"/>
      <c r="J2385" s="3"/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</row>
    <row r="2386">
      <c r="A2386" s="3"/>
      <c r="B2386" s="3"/>
      <c r="C2386" s="3"/>
      <c r="D2386" s="3"/>
      <c r="E2386" s="3"/>
      <c r="F2386" s="3"/>
      <c r="G2386" s="3"/>
      <c r="H2386" s="3"/>
      <c r="I2386" s="3"/>
      <c r="J2386" s="3"/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</row>
    <row r="2387">
      <c r="A2387" s="3"/>
      <c r="B2387" s="3"/>
      <c r="C2387" s="3"/>
      <c r="D2387" s="3"/>
      <c r="E2387" s="3"/>
      <c r="F2387" s="3"/>
      <c r="G2387" s="3"/>
      <c r="H2387" s="3"/>
      <c r="I2387" s="3"/>
      <c r="J2387" s="3"/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</row>
    <row r="2388">
      <c r="A2388" s="3"/>
      <c r="B2388" s="3"/>
      <c r="C2388" s="3"/>
      <c r="D2388" s="3"/>
      <c r="E2388" s="3"/>
      <c r="F2388" s="3"/>
      <c r="G2388" s="3"/>
      <c r="H2388" s="3"/>
      <c r="I2388" s="3"/>
      <c r="J2388" s="3"/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</row>
    <row r="2389">
      <c r="A2389" s="3"/>
      <c r="B2389" s="3"/>
      <c r="C2389" s="3"/>
      <c r="D2389" s="3"/>
      <c r="E2389" s="3"/>
      <c r="F2389" s="3"/>
      <c r="G2389" s="3"/>
      <c r="H2389" s="3"/>
      <c r="I2389" s="3"/>
      <c r="J2389" s="3"/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</row>
    <row r="2390">
      <c r="A2390" s="3"/>
      <c r="B2390" s="3"/>
      <c r="C2390" s="3"/>
      <c r="D2390" s="3"/>
      <c r="E2390" s="3"/>
      <c r="F2390" s="3"/>
      <c r="G2390" s="3"/>
      <c r="H2390" s="3"/>
      <c r="I2390" s="3"/>
      <c r="J2390" s="3"/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</row>
    <row r="2391">
      <c r="A2391" s="3"/>
      <c r="B2391" s="3"/>
      <c r="C2391" s="3"/>
      <c r="D2391" s="3"/>
      <c r="E2391" s="3"/>
      <c r="F2391" s="3"/>
      <c r="G2391" s="3"/>
      <c r="H2391" s="3"/>
      <c r="I2391" s="3"/>
      <c r="J2391" s="3"/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</row>
    <row r="2392">
      <c r="A2392" s="3"/>
      <c r="B2392" s="3"/>
      <c r="C2392" s="3"/>
      <c r="D2392" s="3"/>
      <c r="E2392" s="3"/>
      <c r="F2392" s="3"/>
      <c r="G2392" s="3"/>
      <c r="H2392" s="3"/>
      <c r="I2392" s="3"/>
      <c r="J2392" s="3"/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</row>
    <row r="2393">
      <c r="A2393" s="3"/>
      <c r="B2393" s="3"/>
      <c r="C2393" s="3"/>
      <c r="D2393" s="3"/>
      <c r="E2393" s="3"/>
      <c r="F2393" s="3"/>
      <c r="G2393" s="3"/>
      <c r="H2393" s="3"/>
      <c r="I2393" s="3"/>
      <c r="J2393" s="3"/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</row>
    <row r="2394">
      <c r="A2394" s="3"/>
      <c r="B2394" s="3"/>
      <c r="C2394" s="3"/>
      <c r="D2394" s="3"/>
      <c r="E2394" s="3"/>
      <c r="F2394" s="3"/>
      <c r="G2394" s="3"/>
      <c r="H2394" s="3"/>
      <c r="I2394" s="3"/>
      <c r="J2394" s="3"/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</row>
    <row r="2395">
      <c r="A2395" s="3"/>
      <c r="B2395" s="3"/>
      <c r="C2395" s="3"/>
      <c r="D2395" s="3"/>
      <c r="E2395" s="3"/>
      <c r="F2395" s="3"/>
      <c r="G2395" s="3"/>
      <c r="H2395" s="3"/>
      <c r="I2395" s="3"/>
      <c r="J2395" s="3"/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</row>
    <row r="2396">
      <c r="A2396" s="3"/>
      <c r="B2396" s="3"/>
      <c r="C2396" s="3"/>
      <c r="D2396" s="3"/>
      <c r="E2396" s="3"/>
      <c r="F2396" s="3"/>
      <c r="G2396" s="3"/>
      <c r="H2396" s="3"/>
      <c r="I2396" s="3"/>
      <c r="J2396" s="3"/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</row>
    <row r="2397">
      <c r="A2397" s="3"/>
      <c r="B2397" s="3"/>
      <c r="C2397" s="3"/>
      <c r="D2397" s="3"/>
      <c r="E2397" s="3"/>
      <c r="F2397" s="3"/>
      <c r="G2397" s="3"/>
      <c r="H2397" s="3"/>
      <c r="I2397" s="3"/>
      <c r="J2397" s="3"/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</row>
    <row r="2398">
      <c r="A2398" s="3"/>
      <c r="B2398" s="3"/>
      <c r="C2398" s="3"/>
      <c r="D2398" s="3"/>
      <c r="E2398" s="3"/>
      <c r="F2398" s="3"/>
      <c r="G2398" s="3"/>
      <c r="H2398" s="3"/>
      <c r="I2398" s="3"/>
      <c r="J2398" s="3"/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</row>
    <row r="2399">
      <c r="A2399" s="3"/>
      <c r="B2399" s="3"/>
      <c r="C2399" s="3"/>
      <c r="D2399" s="3"/>
      <c r="E2399" s="3"/>
      <c r="F2399" s="3"/>
      <c r="G2399" s="3"/>
      <c r="H2399" s="3"/>
      <c r="I2399" s="3"/>
      <c r="J2399" s="3"/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</row>
    <row r="2400">
      <c r="A2400" s="3"/>
      <c r="B2400" s="3"/>
      <c r="C2400" s="3"/>
      <c r="D2400" s="3"/>
      <c r="E2400" s="3"/>
      <c r="F2400" s="3"/>
      <c r="G2400" s="3"/>
      <c r="H2400" s="3"/>
      <c r="I2400" s="3"/>
      <c r="J2400" s="3"/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</row>
    <row r="2401">
      <c r="A2401" s="3"/>
      <c r="B2401" s="3"/>
      <c r="C2401" s="3"/>
      <c r="D2401" s="3"/>
      <c r="E2401" s="3"/>
      <c r="F2401" s="3"/>
      <c r="G2401" s="3"/>
      <c r="H2401" s="3"/>
      <c r="I2401" s="3"/>
      <c r="J2401" s="3"/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</row>
    <row r="2402">
      <c r="A2402" s="3"/>
      <c r="B2402" s="3"/>
      <c r="C2402" s="3"/>
      <c r="D2402" s="3"/>
      <c r="E2402" s="3"/>
      <c r="F2402" s="3"/>
      <c r="G2402" s="3"/>
      <c r="H2402" s="3"/>
      <c r="I2402" s="3"/>
      <c r="J2402" s="3"/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</row>
    <row r="2403">
      <c r="A2403" s="3"/>
      <c r="B2403" s="3"/>
      <c r="C2403" s="3"/>
      <c r="D2403" s="3"/>
      <c r="E2403" s="3"/>
      <c r="F2403" s="3"/>
      <c r="G2403" s="3"/>
      <c r="H2403" s="3"/>
      <c r="I2403" s="3"/>
      <c r="J2403" s="3"/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</row>
    <row r="2404">
      <c r="A2404" s="3"/>
      <c r="B2404" s="3"/>
      <c r="C2404" s="3"/>
      <c r="D2404" s="3"/>
      <c r="E2404" s="3"/>
      <c r="F2404" s="3"/>
      <c r="G2404" s="3"/>
      <c r="H2404" s="3"/>
      <c r="I2404" s="3"/>
      <c r="J2404" s="3"/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</row>
    <row r="2405">
      <c r="A2405" s="3"/>
      <c r="B2405" s="3"/>
      <c r="C2405" s="3"/>
      <c r="D2405" s="3"/>
      <c r="E2405" s="3"/>
      <c r="F2405" s="3"/>
      <c r="G2405" s="3"/>
      <c r="H2405" s="3"/>
      <c r="I2405" s="3"/>
      <c r="J2405" s="3"/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</row>
    <row r="2406">
      <c r="A2406" s="3"/>
      <c r="B2406" s="3"/>
      <c r="C2406" s="3"/>
      <c r="D2406" s="3"/>
      <c r="E2406" s="3"/>
      <c r="F2406" s="3"/>
      <c r="G2406" s="3"/>
      <c r="H2406" s="3"/>
      <c r="I2406" s="3"/>
      <c r="J2406" s="3"/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</row>
    <row r="2407">
      <c r="A2407" s="3"/>
      <c r="B2407" s="3"/>
      <c r="C2407" s="3"/>
      <c r="D2407" s="3"/>
      <c r="E2407" s="3"/>
      <c r="F2407" s="3"/>
      <c r="G2407" s="3"/>
      <c r="H2407" s="3"/>
      <c r="I2407" s="3"/>
      <c r="J2407" s="3"/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</row>
    <row r="2408">
      <c r="A2408" s="3"/>
      <c r="B2408" s="3"/>
      <c r="C2408" s="3"/>
      <c r="D2408" s="3"/>
      <c r="E2408" s="3"/>
      <c r="F2408" s="3"/>
      <c r="G2408" s="3"/>
      <c r="H2408" s="3"/>
      <c r="I2408" s="3"/>
      <c r="J2408" s="3"/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</row>
    <row r="2409">
      <c r="A2409" s="3"/>
      <c r="B2409" s="3"/>
      <c r="C2409" s="3"/>
      <c r="D2409" s="3"/>
      <c r="E2409" s="3"/>
      <c r="F2409" s="3"/>
      <c r="G2409" s="3"/>
      <c r="H2409" s="3"/>
      <c r="I2409" s="3"/>
      <c r="J2409" s="3"/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</row>
    <row r="2410">
      <c r="A2410" s="3"/>
      <c r="B2410" s="3"/>
      <c r="C2410" s="3"/>
      <c r="D2410" s="3"/>
      <c r="E2410" s="3"/>
      <c r="F2410" s="3"/>
      <c r="G2410" s="3"/>
      <c r="H2410" s="3"/>
      <c r="I2410" s="3"/>
      <c r="J2410" s="3"/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</row>
    <row r="2411">
      <c r="A2411" s="3"/>
      <c r="B2411" s="3"/>
      <c r="C2411" s="3"/>
      <c r="D2411" s="3"/>
      <c r="E2411" s="3"/>
      <c r="F2411" s="3"/>
      <c r="G2411" s="3"/>
      <c r="H2411" s="3"/>
      <c r="I2411" s="3"/>
      <c r="J2411" s="3"/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</row>
    <row r="2412">
      <c r="A2412" s="3"/>
      <c r="B2412" s="3"/>
      <c r="C2412" s="3"/>
      <c r="D2412" s="3"/>
      <c r="E2412" s="3"/>
      <c r="F2412" s="3"/>
      <c r="G2412" s="3"/>
      <c r="H2412" s="3"/>
      <c r="I2412" s="3"/>
      <c r="J2412" s="3"/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</row>
    <row r="2413">
      <c r="A2413" s="3"/>
      <c r="B2413" s="3"/>
      <c r="C2413" s="3"/>
      <c r="D2413" s="3"/>
      <c r="E2413" s="3"/>
      <c r="F2413" s="3"/>
      <c r="G2413" s="3"/>
      <c r="H2413" s="3"/>
      <c r="I2413" s="3"/>
      <c r="J2413" s="3"/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</row>
    <row r="2414">
      <c r="A2414" s="3"/>
      <c r="B2414" s="3"/>
      <c r="C2414" s="3"/>
      <c r="D2414" s="3"/>
      <c r="E2414" s="3"/>
      <c r="F2414" s="3"/>
      <c r="G2414" s="3"/>
      <c r="H2414" s="3"/>
      <c r="I2414" s="3"/>
      <c r="J2414" s="3"/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</row>
    <row r="2415">
      <c r="A2415" s="3"/>
      <c r="B2415" s="3"/>
      <c r="C2415" s="3"/>
      <c r="D2415" s="3"/>
      <c r="E2415" s="3"/>
      <c r="F2415" s="3"/>
      <c r="G2415" s="3"/>
      <c r="H2415" s="3"/>
      <c r="I2415" s="3"/>
      <c r="J2415" s="3"/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</row>
    <row r="2416">
      <c r="A2416" s="3"/>
      <c r="B2416" s="3"/>
      <c r="C2416" s="3"/>
      <c r="D2416" s="3"/>
      <c r="E2416" s="3"/>
      <c r="F2416" s="3"/>
      <c r="G2416" s="3"/>
      <c r="H2416" s="3"/>
      <c r="I2416" s="3"/>
      <c r="J2416" s="3"/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</row>
    <row r="2417">
      <c r="A2417" s="3"/>
      <c r="B2417" s="3"/>
      <c r="C2417" s="3"/>
      <c r="D2417" s="3"/>
      <c r="E2417" s="3"/>
      <c r="F2417" s="3"/>
      <c r="G2417" s="3"/>
      <c r="H2417" s="3"/>
      <c r="I2417" s="3"/>
      <c r="J2417" s="3"/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</row>
    <row r="2418">
      <c r="A2418" s="3"/>
      <c r="B2418" s="3"/>
      <c r="C2418" s="3"/>
      <c r="D2418" s="3"/>
      <c r="E2418" s="3"/>
      <c r="F2418" s="3"/>
      <c r="G2418" s="3"/>
      <c r="H2418" s="3"/>
      <c r="I2418" s="3"/>
      <c r="J2418" s="3"/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</row>
    <row r="2419">
      <c r="A2419" s="3"/>
      <c r="B2419" s="3"/>
      <c r="C2419" s="3"/>
      <c r="D2419" s="3"/>
      <c r="E2419" s="3"/>
      <c r="F2419" s="3"/>
      <c r="G2419" s="3"/>
      <c r="H2419" s="3"/>
      <c r="I2419" s="3"/>
      <c r="J2419" s="3"/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</row>
    <row r="2420">
      <c r="A2420" s="3"/>
      <c r="B2420" s="3"/>
      <c r="C2420" s="3"/>
      <c r="D2420" s="3"/>
      <c r="E2420" s="3"/>
      <c r="F2420" s="3"/>
      <c r="G2420" s="3"/>
      <c r="H2420" s="3"/>
      <c r="I2420" s="3"/>
      <c r="J2420" s="3"/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</row>
    <row r="2421">
      <c r="A2421" s="3"/>
      <c r="B2421" s="3"/>
      <c r="C2421" s="3"/>
      <c r="D2421" s="3"/>
      <c r="E2421" s="3"/>
      <c r="F2421" s="3"/>
      <c r="G2421" s="3"/>
      <c r="H2421" s="3"/>
      <c r="I2421" s="3"/>
      <c r="J2421" s="3"/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</row>
    <row r="2422">
      <c r="A2422" s="3"/>
      <c r="B2422" s="3"/>
      <c r="C2422" s="3"/>
      <c r="D2422" s="3"/>
      <c r="E2422" s="3"/>
      <c r="F2422" s="3"/>
      <c r="G2422" s="3"/>
      <c r="H2422" s="3"/>
      <c r="I2422" s="3"/>
      <c r="J2422" s="3"/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</row>
    <row r="2423">
      <c r="A2423" s="3"/>
      <c r="B2423" s="3"/>
      <c r="C2423" s="3"/>
      <c r="D2423" s="3"/>
      <c r="E2423" s="3"/>
      <c r="F2423" s="3"/>
      <c r="G2423" s="3"/>
      <c r="H2423" s="3"/>
      <c r="I2423" s="3"/>
      <c r="J2423" s="3"/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</row>
    <row r="2424">
      <c r="A2424" s="3"/>
      <c r="B2424" s="3"/>
      <c r="C2424" s="3"/>
      <c r="D2424" s="3"/>
      <c r="E2424" s="3"/>
      <c r="F2424" s="3"/>
      <c r="G2424" s="3"/>
      <c r="H2424" s="3"/>
      <c r="I2424" s="3"/>
      <c r="J2424" s="3"/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</row>
    <row r="2425">
      <c r="A2425" s="3"/>
      <c r="B2425" s="3"/>
      <c r="C2425" s="3"/>
      <c r="D2425" s="3"/>
      <c r="E2425" s="3"/>
      <c r="F2425" s="3"/>
      <c r="G2425" s="3"/>
      <c r="H2425" s="3"/>
      <c r="I2425" s="3"/>
      <c r="J2425" s="3"/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</row>
    <row r="2426">
      <c r="A2426" s="3"/>
      <c r="B2426" s="3"/>
      <c r="C2426" s="3"/>
      <c r="D2426" s="3"/>
      <c r="E2426" s="3"/>
      <c r="F2426" s="3"/>
      <c r="G2426" s="3"/>
      <c r="H2426" s="3"/>
      <c r="I2426" s="3"/>
      <c r="J2426" s="3"/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</row>
    <row r="2427">
      <c r="A2427" s="3"/>
      <c r="B2427" s="3"/>
      <c r="C2427" s="3"/>
      <c r="D2427" s="3"/>
      <c r="E2427" s="3"/>
      <c r="F2427" s="3"/>
      <c r="G2427" s="3"/>
      <c r="H2427" s="3"/>
      <c r="I2427" s="3"/>
      <c r="J2427" s="3"/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</row>
    <row r="2428">
      <c r="A2428" s="3"/>
      <c r="B2428" s="3"/>
      <c r="C2428" s="3"/>
      <c r="D2428" s="3"/>
      <c r="E2428" s="3"/>
      <c r="F2428" s="3"/>
      <c r="G2428" s="3"/>
      <c r="H2428" s="3"/>
      <c r="I2428" s="3"/>
      <c r="J2428" s="3"/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</row>
    <row r="2429">
      <c r="A2429" s="3"/>
      <c r="B2429" s="3"/>
      <c r="C2429" s="3"/>
      <c r="D2429" s="3"/>
      <c r="E2429" s="3"/>
      <c r="F2429" s="3"/>
      <c r="G2429" s="3"/>
      <c r="H2429" s="3"/>
      <c r="I2429" s="3"/>
      <c r="J2429" s="3"/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</row>
    <row r="2430">
      <c r="A2430" s="3"/>
      <c r="B2430" s="3"/>
      <c r="C2430" s="3"/>
      <c r="D2430" s="3"/>
      <c r="E2430" s="3"/>
      <c r="F2430" s="3"/>
      <c r="G2430" s="3"/>
      <c r="H2430" s="3"/>
      <c r="I2430" s="3"/>
      <c r="J2430" s="3"/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</row>
    <row r="2431">
      <c r="A2431" s="3"/>
      <c r="B2431" s="3"/>
      <c r="C2431" s="3"/>
      <c r="D2431" s="3"/>
      <c r="E2431" s="3"/>
      <c r="F2431" s="3"/>
      <c r="G2431" s="3"/>
      <c r="H2431" s="3"/>
      <c r="I2431" s="3"/>
      <c r="J2431" s="3"/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</row>
    <row r="2432">
      <c r="A2432" s="3"/>
      <c r="B2432" s="3"/>
      <c r="C2432" s="3"/>
      <c r="D2432" s="3"/>
      <c r="E2432" s="3"/>
      <c r="F2432" s="3"/>
      <c r="G2432" s="3"/>
      <c r="H2432" s="3"/>
      <c r="I2432" s="3"/>
      <c r="J2432" s="3"/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</row>
    <row r="2433">
      <c r="A2433" s="3"/>
      <c r="B2433" s="3"/>
      <c r="C2433" s="3"/>
      <c r="D2433" s="3"/>
      <c r="E2433" s="3"/>
      <c r="F2433" s="3"/>
      <c r="G2433" s="3"/>
      <c r="H2433" s="3"/>
      <c r="I2433" s="3"/>
      <c r="J2433" s="3"/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</row>
    <row r="2434">
      <c r="A2434" s="3"/>
      <c r="B2434" s="3"/>
      <c r="C2434" s="3"/>
      <c r="D2434" s="3"/>
      <c r="E2434" s="3"/>
      <c r="F2434" s="3"/>
      <c r="G2434" s="3"/>
      <c r="H2434" s="3"/>
      <c r="I2434" s="3"/>
      <c r="J2434" s="3"/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</row>
    <row r="2435">
      <c r="A2435" s="3"/>
      <c r="B2435" s="3"/>
      <c r="C2435" s="3"/>
      <c r="D2435" s="3"/>
      <c r="E2435" s="3"/>
      <c r="F2435" s="3"/>
      <c r="G2435" s="3"/>
      <c r="H2435" s="3"/>
      <c r="I2435" s="3"/>
      <c r="J2435" s="3"/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</row>
    <row r="2436">
      <c r="A2436" s="3"/>
      <c r="B2436" s="3"/>
      <c r="C2436" s="3"/>
      <c r="D2436" s="3"/>
      <c r="E2436" s="3"/>
      <c r="F2436" s="3"/>
      <c r="G2436" s="3"/>
      <c r="H2436" s="3"/>
      <c r="I2436" s="3"/>
      <c r="J2436" s="3"/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</row>
    <row r="2437">
      <c r="A2437" s="3"/>
      <c r="B2437" s="3"/>
      <c r="C2437" s="3"/>
      <c r="D2437" s="3"/>
      <c r="E2437" s="3"/>
      <c r="F2437" s="3"/>
      <c r="G2437" s="3"/>
      <c r="H2437" s="3"/>
      <c r="I2437" s="3"/>
      <c r="J2437" s="3"/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</row>
    <row r="2438">
      <c r="A2438" s="3"/>
      <c r="B2438" s="3"/>
      <c r="C2438" s="3"/>
      <c r="D2438" s="3"/>
      <c r="E2438" s="3"/>
      <c r="F2438" s="3"/>
      <c r="G2438" s="3"/>
      <c r="H2438" s="3"/>
      <c r="I2438" s="3"/>
      <c r="J2438" s="3"/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</row>
    <row r="2439">
      <c r="A2439" s="3"/>
      <c r="B2439" s="3"/>
      <c r="C2439" s="3"/>
      <c r="D2439" s="3"/>
      <c r="E2439" s="3"/>
      <c r="F2439" s="3"/>
      <c r="G2439" s="3"/>
      <c r="H2439" s="3"/>
      <c r="I2439" s="3"/>
      <c r="J2439" s="3"/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</row>
    <row r="2440">
      <c r="A2440" s="3"/>
      <c r="B2440" s="3"/>
      <c r="C2440" s="3"/>
      <c r="D2440" s="3"/>
      <c r="E2440" s="3"/>
      <c r="F2440" s="3"/>
      <c r="G2440" s="3"/>
      <c r="H2440" s="3"/>
      <c r="I2440" s="3"/>
      <c r="J2440" s="3"/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</row>
    <row r="2441">
      <c r="A2441" s="3"/>
      <c r="B2441" s="3"/>
      <c r="C2441" s="3"/>
      <c r="D2441" s="3"/>
      <c r="E2441" s="3"/>
      <c r="F2441" s="3"/>
      <c r="G2441" s="3"/>
      <c r="H2441" s="3"/>
      <c r="I2441" s="3"/>
      <c r="J2441" s="3"/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</row>
    <row r="2442">
      <c r="A2442" s="3"/>
      <c r="B2442" s="3"/>
      <c r="C2442" s="3"/>
      <c r="D2442" s="3"/>
      <c r="E2442" s="3"/>
      <c r="F2442" s="3"/>
      <c r="G2442" s="3"/>
      <c r="H2442" s="3"/>
      <c r="I2442" s="3"/>
      <c r="J2442" s="3"/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</row>
    <row r="2443">
      <c r="A2443" s="3"/>
      <c r="B2443" s="3"/>
      <c r="C2443" s="3"/>
      <c r="D2443" s="3"/>
      <c r="E2443" s="3"/>
      <c r="F2443" s="3"/>
      <c r="G2443" s="3"/>
      <c r="H2443" s="3"/>
      <c r="I2443" s="3"/>
      <c r="J2443" s="3"/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</row>
    <row r="2444">
      <c r="A2444" s="3"/>
      <c r="B2444" s="3"/>
      <c r="C2444" s="3"/>
      <c r="D2444" s="3"/>
      <c r="E2444" s="3"/>
      <c r="F2444" s="3"/>
      <c r="G2444" s="3"/>
      <c r="H2444" s="3"/>
      <c r="I2444" s="3"/>
      <c r="J2444" s="3"/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</row>
    <row r="2445">
      <c r="A2445" s="3"/>
      <c r="B2445" s="3"/>
      <c r="C2445" s="3"/>
      <c r="D2445" s="3"/>
      <c r="E2445" s="3"/>
      <c r="F2445" s="3"/>
      <c r="G2445" s="3"/>
      <c r="H2445" s="3"/>
      <c r="I2445" s="3"/>
      <c r="J2445" s="3"/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</row>
    <row r="2446">
      <c r="A2446" s="3"/>
      <c r="B2446" s="3"/>
      <c r="C2446" s="3"/>
      <c r="D2446" s="3"/>
      <c r="E2446" s="3"/>
      <c r="F2446" s="3"/>
      <c r="G2446" s="3"/>
      <c r="H2446" s="3"/>
      <c r="I2446" s="3"/>
      <c r="J2446" s="3"/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</row>
    <row r="2447">
      <c r="A2447" s="3"/>
      <c r="B2447" s="3"/>
      <c r="C2447" s="3"/>
      <c r="D2447" s="3"/>
      <c r="E2447" s="3"/>
      <c r="F2447" s="3"/>
      <c r="G2447" s="3"/>
      <c r="H2447" s="3"/>
      <c r="I2447" s="3"/>
      <c r="J2447" s="3"/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</row>
    <row r="2448">
      <c r="A2448" s="3"/>
      <c r="B2448" s="3"/>
      <c r="C2448" s="3"/>
      <c r="D2448" s="3"/>
      <c r="E2448" s="3"/>
      <c r="F2448" s="3"/>
      <c r="G2448" s="3"/>
      <c r="H2448" s="3"/>
      <c r="I2448" s="3"/>
      <c r="J2448" s="3"/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</row>
    <row r="2449">
      <c r="A2449" s="3"/>
      <c r="B2449" s="3"/>
      <c r="C2449" s="3"/>
      <c r="D2449" s="3"/>
      <c r="E2449" s="3"/>
      <c r="F2449" s="3"/>
      <c r="G2449" s="3"/>
      <c r="H2449" s="3"/>
      <c r="I2449" s="3"/>
      <c r="J2449" s="3"/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</row>
    <row r="2450">
      <c r="A2450" s="3"/>
      <c r="B2450" s="3"/>
      <c r="C2450" s="3"/>
      <c r="D2450" s="3"/>
      <c r="E2450" s="3"/>
      <c r="F2450" s="3"/>
      <c r="G2450" s="3"/>
      <c r="H2450" s="3"/>
      <c r="I2450" s="3"/>
      <c r="J2450" s="3"/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</row>
    <row r="2451">
      <c r="A2451" s="3"/>
      <c r="B2451" s="3"/>
      <c r="C2451" s="3"/>
      <c r="D2451" s="3"/>
      <c r="E2451" s="3"/>
      <c r="F2451" s="3"/>
      <c r="G2451" s="3"/>
      <c r="H2451" s="3"/>
      <c r="I2451" s="3"/>
      <c r="J2451" s="3"/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</row>
    <row r="2452">
      <c r="A2452" s="3"/>
      <c r="B2452" s="3"/>
      <c r="C2452" s="3"/>
      <c r="D2452" s="3"/>
      <c r="E2452" s="3"/>
      <c r="F2452" s="3"/>
      <c r="G2452" s="3"/>
      <c r="H2452" s="3"/>
      <c r="I2452" s="3"/>
      <c r="J2452" s="3"/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</row>
    <row r="2453">
      <c r="A2453" s="3"/>
      <c r="B2453" s="3"/>
      <c r="C2453" s="3"/>
      <c r="D2453" s="3"/>
      <c r="E2453" s="3"/>
      <c r="F2453" s="3"/>
      <c r="G2453" s="3"/>
      <c r="H2453" s="3"/>
      <c r="I2453" s="3"/>
      <c r="J2453" s="3"/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</row>
    <row r="2454">
      <c r="A2454" s="3"/>
      <c r="B2454" s="3"/>
      <c r="C2454" s="3"/>
      <c r="D2454" s="3"/>
      <c r="E2454" s="3"/>
      <c r="F2454" s="3"/>
      <c r="G2454" s="3"/>
      <c r="H2454" s="3"/>
      <c r="I2454" s="3"/>
      <c r="J2454" s="3"/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</row>
    <row r="2455">
      <c r="A2455" s="3"/>
      <c r="B2455" s="3"/>
      <c r="C2455" s="3"/>
      <c r="D2455" s="3"/>
      <c r="E2455" s="3"/>
      <c r="F2455" s="3"/>
      <c r="G2455" s="3"/>
      <c r="H2455" s="3"/>
      <c r="I2455" s="3"/>
      <c r="J2455" s="3"/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</row>
    <row r="2456">
      <c r="A2456" s="3"/>
      <c r="B2456" s="3"/>
      <c r="C2456" s="3"/>
      <c r="D2456" s="3"/>
      <c r="E2456" s="3"/>
      <c r="F2456" s="3"/>
      <c r="G2456" s="3"/>
      <c r="H2456" s="3"/>
      <c r="I2456" s="3"/>
      <c r="J2456" s="3"/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</row>
    <row r="2457">
      <c r="A2457" s="3"/>
      <c r="B2457" s="3"/>
      <c r="C2457" s="3"/>
      <c r="D2457" s="3"/>
      <c r="E2457" s="3"/>
      <c r="F2457" s="3"/>
      <c r="G2457" s="3"/>
      <c r="H2457" s="3"/>
      <c r="I2457" s="3"/>
      <c r="J2457" s="3"/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</row>
    <row r="2458">
      <c r="A2458" s="3"/>
      <c r="B2458" s="3"/>
      <c r="C2458" s="3"/>
      <c r="D2458" s="3"/>
      <c r="E2458" s="3"/>
      <c r="F2458" s="3"/>
      <c r="G2458" s="3"/>
      <c r="H2458" s="3"/>
      <c r="I2458" s="3"/>
      <c r="J2458" s="3"/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</row>
    <row r="2459">
      <c r="A2459" s="3"/>
      <c r="B2459" s="3"/>
      <c r="C2459" s="3"/>
      <c r="D2459" s="3"/>
      <c r="E2459" s="3"/>
      <c r="F2459" s="3"/>
      <c r="G2459" s="3"/>
      <c r="H2459" s="3"/>
      <c r="I2459" s="3"/>
      <c r="J2459" s="3"/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</row>
    <row r="2460">
      <c r="A2460" s="3"/>
      <c r="B2460" s="3"/>
      <c r="C2460" s="3"/>
      <c r="D2460" s="3"/>
      <c r="E2460" s="3"/>
      <c r="F2460" s="3"/>
      <c r="G2460" s="3"/>
      <c r="H2460" s="3"/>
      <c r="I2460" s="3"/>
      <c r="J2460" s="3"/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</row>
    <row r="2461">
      <c r="A2461" s="3"/>
      <c r="B2461" s="3"/>
      <c r="C2461" s="3"/>
      <c r="D2461" s="3"/>
      <c r="E2461" s="3"/>
      <c r="F2461" s="3"/>
      <c r="G2461" s="3"/>
      <c r="H2461" s="3"/>
      <c r="I2461" s="3"/>
      <c r="J2461" s="3"/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</row>
    <row r="2462">
      <c r="A2462" s="3"/>
      <c r="B2462" s="3"/>
      <c r="C2462" s="3"/>
      <c r="D2462" s="3"/>
      <c r="E2462" s="3"/>
      <c r="F2462" s="3"/>
      <c r="G2462" s="3"/>
      <c r="H2462" s="3"/>
      <c r="I2462" s="3"/>
      <c r="J2462" s="3"/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</row>
    <row r="2463">
      <c r="A2463" s="3"/>
      <c r="B2463" s="3"/>
      <c r="C2463" s="3"/>
      <c r="D2463" s="3"/>
      <c r="E2463" s="3"/>
      <c r="F2463" s="3"/>
      <c r="G2463" s="3"/>
      <c r="H2463" s="3"/>
      <c r="I2463" s="3"/>
      <c r="J2463" s="3"/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</row>
    <row r="2464">
      <c r="A2464" s="3"/>
      <c r="B2464" s="3"/>
      <c r="C2464" s="3"/>
      <c r="D2464" s="3"/>
      <c r="E2464" s="3"/>
      <c r="F2464" s="3"/>
      <c r="G2464" s="3"/>
      <c r="H2464" s="3"/>
      <c r="I2464" s="3"/>
      <c r="J2464" s="3"/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</row>
    <row r="2465">
      <c r="A2465" s="3"/>
      <c r="B2465" s="3"/>
      <c r="C2465" s="3"/>
      <c r="D2465" s="3"/>
      <c r="E2465" s="3"/>
      <c r="F2465" s="3"/>
      <c r="G2465" s="3"/>
      <c r="H2465" s="3"/>
      <c r="I2465" s="3"/>
      <c r="J2465" s="3"/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</row>
    <row r="2466">
      <c r="A2466" s="3"/>
      <c r="B2466" s="3"/>
      <c r="C2466" s="3"/>
      <c r="D2466" s="3"/>
      <c r="E2466" s="3"/>
      <c r="F2466" s="3"/>
      <c r="G2466" s="3"/>
      <c r="H2466" s="3"/>
      <c r="I2466" s="3"/>
      <c r="J2466" s="3"/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</row>
    <row r="2467">
      <c r="A2467" s="3"/>
      <c r="B2467" s="3"/>
      <c r="C2467" s="3"/>
      <c r="D2467" s="3"/>
      <c r="E2467" s="3"/>
      <c r="F2467" s="3"/>
      <c r="G2467" s="3"/>
      <c r="H2467" s="3"/>
      <c r="I2467" s="3"/>
      <c r="J2467" s="3"/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</row>
    <row r="2468">
      <c r="A2468" s="3"/>
      <c r="B2468" s="3"/>
      <c r="C2468" s="3"/>
      <c r="D2468" s="3"/>
      <c r="E2468" s="3"/>
      <c r="F2468" s="3"/>
      <c r="G2468" s="3"/>
      <c r="H2468" s="3"/>
      <c r="I2468" s="3"/>
      <c r="J2468" s="3"/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</row>
    <row r="2469">
      <c r="A2469" s="3"/>
      <c r="B2469" s="3"/>
      <c r="C2469" s="3"/>
      <c r="D2469" s="3"/>
      <c r="E2469" s="3"/>
      <c r="F2469" s="3"/>
      <c r="G2469" s="3"/>
      <c r="H2469" s="3"/>
      <c r="I2469" s="3"/>
      <c r="J2469" s="3"/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</row>
    <row r="2470">
      <c r="A2470" s="3"/>
      <c r="B2470" s="3"/>
      <c r="C2470" s="3"/>
      <c r="D2470" s="3"/>
      <c r="E2470" s="3"/>
      <c r="F2470" s="3"/>
      <c r="G2470" s="3"/>
      <c r="H2470" s="3"/>
      <c r="I2470" s="3"/>
      <c r="J2470" s="3"/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</row>
    <row r="2471">
      <c r="A2471" s="3"/>
      <c r="B2471" s="3"/>
      <c r="C2471" s="3"/>
      <c r="D2471" s="3"/>
      <c r="E2471" s="3"/>
      <c r="F2471" s="3"/>
      <c r="G2471" s="3"/>
      <c r="H2471" s="3"/>
      <c r="I2471" s="3"/>
      <c r="J2471" s="3"/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</row>
    <row r="2472">
      <c r="A2472" s="3"/>
      <c r="B2472" s="3"/>
      <c r="C2472" s="3"/>
      <c r="D2472" s="3"/>
      <c r="E2472" s="3"/>
      <c r="F2472" s="3"/>
      <c r="G2472" s="3"/>
      <c r="H2472" s="3"/>
      <c r="I2472" s="3"/>
      <c r="J2472" s="3"/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</row>
    <row r="2473">
      <c r="A2473" s="3"/>
      <c r="B2473" s="3"/>
      <c r="C2473" s="3"/>
      <c r="D2473" s="3"/>
      <c r="E2473" s="3"/>
      <c r="F2473" s="3"/>
      <c r="G2473" s="3"/>
      <c r="H2473" s="3"/>
      <c r="I2473" s="3"/>
      <c r="J2473" s="3"/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</row>
    <row r="2474">
      <c r="A2474" s="3"/>
      <c r="B2474" s="3"/>
      <c r="C2474" s="3"/>
      <c r="D2474" s="3"/>
      <c r="E2474" s="3"/>
      <c r="F2474" s="3"/>
      <c r="G2474" s="3"/>
      <c r="H2474" s="3"/>
      <c r="I2474" s="3"/>
      <c r="J2474" s="3"/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</row>
    <row r="2475">
      <c r="A2475" s="3"/>
      <c r="B2475" s="3"/>
      <c r="C2475" s="3"/>
      <c r="D2475" s="3"/>
      <c r="E2475" s="3"/>
      <c r="F2475" s="3"/>
      <c r="G2475" s="3"/>
      <c r="H2475" s="3"/>
      <c r="I2475" s="3"/>
      <c r="J2475" s="3"/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</row>
    <row r="2476">
      <c r="A2476" s="3"/>
      <c r="B2476" s="3"/>
      <c r="C2476" s="3"/>
      <c r="D2476" s="3"/>
      <c r="E2476" s="3"/>
      <c r="F2476" s="3"/>
      <c r="G2476" s="3"/>
      <c r="H2476" s="3"/>
      <c r="I2476" s="3"/>
      <c r="J2476" s="3"/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</row>
    <row r="2477">
      <c r="A2477" s="3"/>
      <c r="B2477" s="3"/>
      <c r="C2477" s="3"/>
      <c r="D2477" s="3"/>
      <c r="E2477" s="3"/>
      <c r="F2477" s="3"/>
      <c r="G2477" s="3"/>
      <c r="H2477" s="3"/>
      <c r="I2477" s="3"/>
      <c r="J2477" s="3"/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</row>
    <row r="2478">
      <c r="A2478" s="3"/>
      <c r="B2478" s="3"/>
      <c r="C2478" s="3"/>
      <c r="D2478" s="3"/>
      <c r="E2478" s="3"/>
      <c r="F2478" s="3"/>
      <c r="G2478" s="3"/>
      <c r="H2478" s="3"/>
      <c r="I2478" s="3"/>
      <c r="J2478" s="3"/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</row>
    <row r="2479">
      <c r="A2479" s="3"/>
      <c r="B2479" s="3"/>
      <c r="C2479" s="3"/>
      <c r="D2479" s="3"/>
      <c r="E2479" s="3"/>
      <c r="F2479" s="3"/>
      <c r="G2479" s="3"/>
      <c r="H2479" s="3"/>
      <c r="I2479" s="3"/>
      <c r="J2479" s="3"/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</row>
    <row r="2480">
      <c r="A2480" s="3"/>
      <c r="B2480" s="3"/>
      <c r="C2480" s="3"/>
      <c r="D2480" s="3"/>
      <c r="E2480" s="3"/>
      <c r="F2480" s="3"/>
      <c r="G2480" s="3"/>
      <c r="H2480" s="3"/>
      <c r="I2480" s="3"/>
      <c r="J2480" s="3"/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</row>
    <row r="2481">
      <c r="A2481" s="3"/>
      <c r="B2481" s="3"/>
      <c r="C2481" s="3"/>
      <c r="D2481" s="3"/>
      <c r="E2481" s="3"/>
      <c r="F2481" s="3"/>
      <c r="G2481" s="3"/>
      <c r="H2481" s="3"/>
      <c r="I2481" s="3"/>
      <c r="J2481" s="3"/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</row>
    <row r="2482">
      <c r="A2482" s="3"/>
      <c r="B2482" s="3"/>
      <c r="C2482" s="3"/>
      <c r="D2482" s="3"/>
      <c r="E2482" s="3"/>
      <c r="F2482" s="3"/>
      <c r="G2482" s="3"/>
      <c r="H2482" s="3"/>
      <c r="I2482" s="3"/>
      <c r="J2482" s="3"/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</row>
    <row r="2483">
      <c r="A2483" s="3"/>
      <c r="B2483" s="3"/>
      <c r="C2483" s="3"/>
      <c r="D2483" s="3"/>
      <c r="E2483" s="3"/>
      <c r="F2483" s="3"/>
      <c r="G2483" s="3"/>
      <c r="H2483" s="3"/>
      <c r="I2483" s="3"/>
      <c r="J2483" s="3"/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</row>
    <row r="2484">
      <c r="A2484" s="3"/>
      <c r="B2484" s="3"/>
      <c r="C2484" s="3"/>
      <c r="D2484" s="3"/>
      <c r="E2484" s="3"/>
      <c r="F2484" s="3"/>
      <c r="G2484" s="3"/>
      <c r="H2484" s="3"/>
      <c r="I2484" s="3"/>
      <c r="J2484" s="3"/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</row>
    <row r="2485">
      <c r="A2485" s="3"/>
      <c r="B2485" s="3"/>
      <c r="C2485" s="3"/>
      <c r="D2485" s="3"/>
      <c r="E2485" s="3"/>
      <c r="F2485" s="3"/>
      <c r="G2485" s="3"/>
      <c r="H2485" s="3"/>
      <c r="I2485" s="3"/>
      <c r="J2485" s="3"/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</row>
    <row r="2486">
      <c r="A2486" s="3"/>
      <c r="B2486" s="3"/>
      <c r="C2486" s="3"/>
      <c r="D2486" s="3"/>
      <c r="E2486" s="3"/>
      <c r="F2486" s="3"/>
      <c r="G2486" s="3"/>
      <c r="H2486" s="3"/>
      <c r="I2486" s="3"/>
      <c r="J2486" s="3"/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</row>
    <row r="2487">
      <c r="A2487" s="3"/>
      <c r="B2487" s="3"/>
      <c r="C2487" s="3"/>
      <c r="D2487" s="3"/>
      <c r="E2487" s="3"/>
      <c r="F2487" s="3"/>
      <c r="G2487" s="3"/>
      <c r="H2487" s="3"/>
      <c r="I2487" s="3"/>
      <c r="J2487" s="3"/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</row>
    <row r="2488">
      <c r="A2488" s="3"/>
      <c r="B2488" s="3"/>
      <c r="C2488" s="3"/>
      <c r="D2488" s="3"/>
      <c r="E2488" s="3"/>
      <c r="F2488" s="3"/>
      <c r="G2488" s="3"/>
      <c r="H2488" s="3"/>
      <c r="I2488" s="3"/>
      <c r="J2488" s="3"/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</row>
    <row r="2489">
      <c r="A2489" s="3"/>
      <c r="B2489" s="3"/>
      <c r="C2489" s="3"/>
      <c r="D2489" s="3"/>
      <c r="E2489" s="3"/>
      <c r="F2489" s="3"/>
      <c r="G2489" s="3"/>
      <c r="H2489" s="3"/>
      <c r="I2489" s="3"/>
      <c r="J2489" s="3"/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</row>
    <row r="2490">
      <c r="A2490" s="3"/>
      <c r="B2490" s="3"/>
      <c r="C2490" s="3"/>
      <c r="D2490" s="3"/>
      <c r="E2490" s="3"/>
      <c r="F2490" s="3"/>
      <c r="G2490" s="3"/>
      <c r="H2490" s="3"/>
      <c r="I2490" s="3"/>
      <c r="J2490" s="3"/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</row>
    <row r="2491">
      <c r="A2491" s="3"/>
      <c r="B2491" s="3"/>
      <c r="C2491" s="3"/>
      <c r="D2491" s="3"/>
      <c r="E2491" s="3"/>
      <c r="F2491" s="3"/>
      <c r="G2491" s="3"/>
      <c r="H2491" s="3"/>
      <c r="I2491" s="3"/>
      <c r="J2491" s="3"/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</row>
    <row r="2492">
      <c r="A2492" s="3"/>
      <c r="B2492" s="3"/>
      <c r="C2492" s="3"/>
      <c r="D2492" s="3"/>
      <c r="E2492" s="3"/>
      <c r="F2492" s="3"/>
      <c r="G2492" s="3"/>
      <c r="H2492" s="3"/>
      <c r="I2492" s="3"/>
      <c r="J2492" s="3"/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</row>
    <row r="2493">
      <c r="A2493" s="3"/>
      <c r="B2493" s="3"/>
      <c r="C2493" s="3"/>
      <c r="D2493" s="3"/>
      <c r="E2493" s="3"/>
      <c r="F2493" s="3"/>
      <c r="G2493" s="3"/>
      <c r="H2493" s="3"/>
      <c r="I2493" s="3"/>
      <c r="J2493" s="3"/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</row>
    <row r="2494">
      <c r="A2494" s="3"/>
      <c r="B2494" s="3"/>
      <c r="C2494" s="3"/>
      <c r="D2494" s="3"/>
      <c r="E2494" s="3"/>
      <c r="F2494" s="3"/>
      <c r="G2494" s="3"/>
      <c r="H2494" s="3"/>
      <c r="I2494" s="3"/>
      <c r="J2494" s="3"/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</row>
    <row r="2495">
      <c r="A2495" s="3"/>
      <c r="B2495" s="3"/>
      <c r="C2495" s="3"/>
      <c r="D2495" s="3"/>
      <c r="E2495" s="3"/>
      <c r="F2495" s="3"/>
      <c r="G2495" s="3"/>
      <c r="H2495" s="3"/>
      <c r="I2495" s="3"/>
      <c r="J2495" s="3"/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</row>
    <row r="2496">
      <c r="A2496" s="3"/>
      <c r="B2496" s="3"/>
      <c r="C2496" s="3"/>
      <c r="D2496" s="3"/>
      <c r="E2496" s="3"/>
      <c r="F2496" s="3"/>
      <c r="G2496" s="3"/>
      <c r="H2496" s="3"/>
      <c r="I2496" s="3"/>
      <c r="J2496" s="3"/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</row>
    <row r="2497">
      <c r="A2497" s="3"/>
      <c r="B2497" s="3"/>
      <c r="C2497" s="3"/>
      <c r="D2497" s="3"/>
      <c r="E2497" s="3"/>
      <c r="F2497" s="3"/>
      <c r="G2497" s="3"/>
      <c r="H2497" s="3"/>
      <c r="I2497" s="3"/>
      <c r="J2497" s="3"/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</row>
    <row r="2498">
      <c r="A2498" s="3"/>
      <c r="B2498" s="3"/>
      <c r="C2498" s="3"/>
      <c r="D2498" s="3"/>
      <c r="E2498" s="3"/>
      <c r="F2498" s="3"/>
      <c r="G2498" s="3"/>
      <c r="H2498" s="3"/>
      <c r="I2498" s="3"/>
      <c r="J2498" s="3"/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</row>
    <row r="2499">
      <c r="A2499" s="3"/>
      <c r="B2499" s="3"/>
      <c r="C2499" s="3"/>
      <c r="D2499" s="3"/>
      <c r="E2499" s="3"/>
      <c r="F2499" s="3"/>
      <c r="G2499" s="3"/>
      <c r="H2499" s="3"/>
      <c r="I2499" s="3"/>
      <c r="J2499" s="3"/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</row>
    <row r="2500">
      <c r="A2500" s="3"/>
      <c r="B2500" s="3"/>
      <c r="C2500" s="3"/>
      <c r="D2500" s="3"/>
      <c r="E2500" s="3"/>
      <c r="F2500" s="3"/>
      <c r="G2500" s="3"/>
      <c r="H2500" s="3"/>
      <c r="I2500" s="3"/>
      <c r="J2500" s="3"/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</row>
    <row r="2501">
      <c r="A2501" s="3"/>
      <c r="B2501" s="3"/>
      <c r="C2501" s="3"/>
      <c r="D2501" s="3"/>
      <c r="E2501" s="3"/>
      <c r="F2501" s="3"/>
      <c r="G2501" s="3"/>
      <c r="H2501" s="3"/>
      <c r="I2501" s="3"/>
      <c r="J2501" s="3"/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</row>
    <row r="2502">
      <c r="A2502" s="3"/>
      <c r="B2502" s="3"/>
      <c r="C2502" s="3"/>
      <c r="D2502" s="3"/>
      <c r="E2502" s="3"/>
      <c r="F2502" s="3"/>
      <c r="G2502" s="3"/>
      <c r="H2502" s="3"/>
      <c r="I2502" s="3"/>
      <c r="J2502" s="3"/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</row>
    <row r="2503">
      <c r="A2503" s="3"/>
      <c r="B2503" s="3"/>
      <c r="C2503" s="3"/>
      <c r="D2503" s="3"/>
      <c r="E2503" s="3"/>
      <c r="F2503" s="3"/>
      <c r="G2503" s="3"/>
      <c r="H2503" s="3"/>
      <c r="I2503" s="3"/>
      <c r="J2503" s="3"/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</row>
    <row r="2504">
      <c r="A2504" s="3"/>
      <c r="B2504" s="3"/>
      <c r="C2504" s="3"/>
      <c r="D2504" s="3"/>
      <c r="E2504" s="3"/>
      <c r="F2504" s="3"/>
      <c r="G2504" s="3"/>
      <c r="H2504" s="3"/>
      <c r="I2504" s="3"/>
      <c r="J2504" s="3"/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</row>
    <row r="2505">
      <c r="A2505" s="3"/>
      <c r="B2505" s="3"/>
      <c r="C2505" s="3"/>
      <c r="D2505" s="3"/>
      <c r="E2505" s="3"/>
      <c r="F2505" s="3"/>
      <c r="G2505" s="3"/>
      <c r="H2505" s="3"/>
      <c r="I2505" s="3"/>
      <c r="J2505" s="3"/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</row>
    <row r="2506">
      <c r="A2506" s="3"/>
      <c r="B2506" s="3"/>
      <c r="C2506" s="3"/>
      <c r="D2506" s="3"/>
      <c r="E2506" s="3"/>
      <c r="F2506" s="3"/>
      <c r="G2506" s="3"/>
      <c r="H2506" s="3"/>
      <c r="I2506" s="3"/>
      <c r="J2506" s="3"/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</row>
    <row r="2507">
      <c r="A2507" s="3"/>
      <c r="B2507" s="3"/>
      <c r="C2507" s="3"/>
      <c r="D2507" s="3"/>
      <c r="E2507" s="3"/>
      <c r="F2507" s="3"/>
      <c r="G2507" s="3"/>
      <c r="H2507" s="3"/>
      <c r="I2507" s="3"/>
      <c r="J2507" s="3"/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</row>
    <row r="2508">
      <c r="A2508" s="3"/>
      <c r="B2508" s="3"/>
      <c r="C2508" s="3"/>
      <c r="D2508" s="3"/>
      <c r="E2508" s="3"/>
      <c r="F2508" s="3"/>
      <c r="G2508" s="3"/>
      <c r="H2508" s="3"/>
      <c r="I2508" s="3"/>
      <c r="J2508" s="3"/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</row>
    <row r="2509">
      <c r="A2509" s="3"/>
      <c r="B2509" s="3"/>
      <c r="C2509" s="3"/>
      <c r="D2509" s="3"/>
      <c r="E2509" s="3"/>
      <c r="F2509" s="3"/>
      <c r="G2509" s="3"/>
      <c r="H2509" s="3"/>
      <c r="I2509" s="3"/>
      <c r="J2509" s="3"/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</row>
    <row r="2510">
      <c r="A2510" s="3"/>
      <c r="B2510" s="3"/>
      <c r="C2510" s="3"/>
      <c r="D2510" s="3"/>
      <c r="E2510" s="3"/>
      <c r="F2510" s="3"/>
      <c r="G2510" s="3"/>
      <c r="H2510" s="3"/>
      <c r="I2510" s="3"/>
      <c r="J2510" s="3"/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</row>
    <row r="2511">
      <c r="A2511" s="3"/>
      <c r="B2511" s="3"/>
      <c r="C2511" s="3"/>
      <c r="D2511" s="3"/>
      <c r="E2511" s="3"/>
      <c r="F2511" s="3"/>
      <c r="G2511" s="3"/>
      <c r="H2511" s="3"/>
      <c r="I2511" s="3"/>
      <c r="J2511" s="3"/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</row>
    <row r="2512">
      <c r="A2512" s="3"/>
      <c r="B2512" s="3"/>
      <c r="C2512" s="3"/>
      <c r="D2512" s="3"/>
      <c r="E2512" s="3"/>
      <c r="F2512" s="3"/>
      <c r="G2512" s="3"/>
      <c r="H2512" s="3"/>
      <c r="I2512" s="3"/>
      <c r="J2512" s="3"/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</row>
    <row r="2513">
      <c r="A2513" s="3"/>
      <c r="B2513" s="3"/>
      <c r="C2513" s="3"/>
      <c r="D2513" s="3"/>
      <c r="E2513" s="3"/>
      <c r="F2513" s="3"/>
      <c r="G2513" s="3"/>
      <c r="H2513" s="3"/>
      <c r="I2513" s="3"/>
      <c r="J2513" s="3"/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</row>
    <row r="2514">
      <c r="A2514" s="3"/>
      <c r="B2514" s="3"/>
      <c r="C2514" s="3"/>
      <c r="D2514" s="3"/>
      <c r="E2514" s="3"/>
      <c r="F2514" s="3"/>
      <c r="G2514" s="3"/>
      <c r="H2514" s="3"/>
      <c r="I2514" s="3"/>
      <c r="J2514" s="3"/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</row>
    <row r="2515">
      <c r="A2515" s="3"/>
      <c r="B2515" s="3"/>
      <c r="C2515" s="3"/>
      <c r="D2515" s="3"/>
      <c r="E2515" s="3"/>
      <c r="F2515" s="3"/>
      <c r="G2515" s="3"/>
      <c r="H2515" s="3"/>
      <c r="I2515" s="3"/>
      <c r="J2515" s="3"/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</row>
    <row r="2516">
      <c r="A2516" s="3"/>
      <c r="B2516" s="3"/>
      <c r="C2516" s="3"/>
      <c r="D2516" s="3"/>
      <c r="E2516" s="3"/>
      <c r="F2516" s="3"/>
      <c r="G2516" s="3"/>
      <c r="H2516" s="3"/>
      <c r="I2516" s="3"/>
      <c r="J2516" s="3"/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</row>
    <row r="2517">
      <c r="A2517" s="3"/>
      <c r="B2517" s="3"/>
      <c r="C2517" s="3"/>
      <c r="D2517" s="3"/>
      <c r="E2517" s="3"/>
      <c r="F2517" s="3"/>
      <c r="G2517" s="3"/>
      <c r="H2517" s="3"/>
      <c r="I2517" s="3"/>
      <c r="J2517" s="3"/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</row>
    <row r="2518">
      <c r="A2518" s="3"/>
      <c r="B2518" s="3"/>
      <c r="C2518" s="3"/>
      <c r="D2518" s="3"/>
      <c r="E2518" s="3"/>
      <c r="F2518" s="3"/>
      <c r="G2518" s="3"/>
      <c r="H2518" s="3"/>
      <c r="I2518" s="3"/>
      <c r="J2518" s="3"/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</row>
    <row r="2519">
      <c r="A2519" s="3"/>
      <c r="B2519" s="3"/>
      <c r="C2519" s="3"/>
      <c r="D2519" s="3"/>
      <c r="E2519" s="3"/>
      <c r="F2519" s="3"/>
      <c r="G2519" s="3"/>
      <c r="H2519" s="3"/>
      <c r="I2519" s="3"/>
      <c r="J2519" s="3"/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</row>
    <row r="2520">
      <c r="A2520" s="3"/>
      <c r="B2520" s="3"/>
      <c r="C2520" s="3"/>
      <c r="D2520" s="3"/>
      <c r="E2520" s="3"/>
      <c r="F2520" s="3"/>
      <c r="G2520" s="3"/>
      <c r="H2520" s="3"/>
      <c r="I2520" s="3"/>
      <c r="J2520" s="3"/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</row>
    <row r="2521">
      <c r="A2521" s="3"/>
      <c r="B2521" s="3"/>
      <c r="C2521" s="3"/>
      <c r="D2521" s="3"/>
      <c r="E2521" s="3"/>
      <c r="F2521" s="3"/>
      <c r="G2521" s="3"/>
      <c r="H2521" s="3"/>
      <c r="I2521" s="3"/>
      <c r="J2521" s="3"/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</row>
    <row r="2522">
      <c r="A2522" s="3"/>
      <c r="B2522" s="3"/>
      <c r="C2522" s="3"/>
      <c r="D2522" s="3"/>
      <c r="E2522" s="3"/>
      <c r="F2522" s="3"/>
      <c r="G2522" s="3"/>
      <c r="H2522" s="3"/>
      <c r="I2522" s="3"/>
      <c r="J2522" s="3"/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</row>
    <row r="2523">
      <c r="A2523" s="3"/>
      <c r="B2523" s="3"/>
      <c r="C2523" s="3"/>
      <c r="D2523" s="3"/>
      <c r="E2523" s="3"/>
      <c r="F2523" s="3"/>
      <c r="G2523" s="3"/>
      <c r="H2523" s="3"/>
      <c r="I2523" s="3"/>
      <c r="J2523" s="3"/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</row>
    <row r="2524">
      <c r="A2524" s="3"/>
      <c r="B2524" s="3"/>
      <c r="C2524" s="3"/>
      <c r="D2524" s="3"/>
      <c r="E2524" s="3"/>
      <c r="F2524" s="3"/>
      <c r="G2524" s="3"/>
      <c r="H2524" s="3"/>
      <c r="I2524" s="3"/>
      <c r="J2524" s="3"/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</row>
    <row r="2525">
      <c r="A2525" s="3"/>
      <c r="B2525" s="3"/>
      <c r="C2525" s="3"/>
      <c r="D2525" s="3"/>
      <c r="E2525" s="3"/>
      <c r="F2525" s="3"/>
      <c r="G2525" s="3"/>
      <c r="H2525" s="3"/>
      <c r="I2525" s="3"/>
      <c r="J2525" s="3"/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</row>
    <row r="2526">
      <c r="A2526" s="3"/>
      <c r="B2526" s="3"/>
      <c r="C2526" s="3"/>
      <c r="D2526" s="3"/>
      <c r="E2526" s="3"/>
      <c r="F2526" s="3"/>
      <c r="G2526" s="3"/>
      <c r="H2526" s="3"/>
      <c r="I2526" s="3"/>
      <c r="J2526" s="3"/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</row>
    <row r="2527">
      <c r="A2527" s="3"/>
      <c r="B2527" s="3"/>
      <c r="C2527" s="3"/>
      <c r="D2527" s="3"/>
      <c r="E2527" s="3"/>
      <c r="F2527" s="3"/>
      <c r="G2527" s="3"/>
      <c r="H2527" s="3"/>
      <c r="I2527" s="3"/>
      <c r="J2527" s="3"/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</row>
    <row r="2528">
      <c r="A2528" s="3"/>
      <c r="B2528" s="3"/>
      <c r="C2528" s="3"/>
      <c r="D2528" s="3"/>
      <c r="E2528" s="3"/>
      <c r="F2528" s="3"/>
      <c r="G2528" s="3"/>
      <c r="H2528" s="3"/>
      <c r="I2528" s="3"/>
      <c r="J2528" s="3"/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</row>
    <row r="2529">
      <c r="A2529" s="3"/>
      <c r="B2529" s="3"/>
      <c r="C2529" s="3"/>
      <c r="D2529" s="3"/>
      <c r="E2529" s="3"/>
      <c r="F2529" s="3"/>
      <c r="G2529" s="3"/>
      <c r="H2529" s="3"/>
      <c r="I2529" s="3"/>
      <c r="J2529" s="3"/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</row>
    <row r="2530">
      <c r="A2530" s="3"/>
      <c r="B2530" s="3"/>
      <c r="C2530" s="3"/>
      <c r="D2530" s="3"/>
      <c r="E2530" s="3"/>
      <c r="F2530" s="3"/>
      <c r="G2530" s="3"/>
      <c r="H2530" s="3"/>
      <c r="I2530" s="3"/>
      <c r="J2530" s="3"/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</row>
    <row r="2531">
      <c r="A2531" s="3"/>
      <c r="B2531" s="3"/>
      <c r="C2531" s="3"/>
      <c r="D2531" s="3"/>
      <c r="E2531" s="3"/>
      <c r="F2531" s="3"/>
      <c r="G2531" s="3"/>
      <c r="H2531" s="3"/>
      <c r="I2531" s="3"/>
      <c r="J2531" s="3"/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</row>
    <row r="2532">
      <c r="A2532" s="3"/>
      <c r="B2532" s="3"/>
      <c r="C2532" s="3"/>
      <c r="D2532" s="3"/>
      <c r="E2532" s="3"/>
      <c r="F2532" s="3"/>
      <c r="G2532" s="3"/>
      <c r="H2532" s="3"/>
      <c r="I2532" s="3"/>
      <c r="J2532" s="3"/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</row>
    <row r="2533">
      <c r="A2533" s="3"/>
      <c r="B2533" s="3"/>
      <c r="C2533" s="3"/>
      <c r="D2533" s="3"/>
      <c r="E2533" s="3"/>
      <c r="F2533" s="3"/>
      <c r="G2533" s="3"/>
      <c r="H2533" s="3"/>
      <c r="I2533" s="3"/>
      <c r="J2533" s="3"/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</row>
    <row r="2534">
      <c r="A2534" s="3"/>
      <c r="B2534" s="3"/>
      <c r="C2534" s="3"/>
      <c r="D2534" s="3"/>
      <c r="E2534" s="3"/>
      <c r="F2534" s="3"/>
      <c r="G2534" s="3"/>
      <c r="H2534" s="3"/>
      <c r="I2534" s="3"/>
      <c r="J2534" s="3"/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</row>
    <row r="2535">
      <c r="A2535" s="3"/>
      <c r="B2535" s="3"/>
      <c r="C2535" s="3"/>
      <c r="D2535" s="3"/>
      <c r="E2535" s="3"/>
      <c r="F2535" s="3"/>
      <c r="G2535" s="3"/>
      <c r="H2535" s="3"/>
      <c r="I2535" s="3"/>
      <c r="J2535" s="3"/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</row>
    <row r="2536">
      <c r="A2536" s="3"/>
      <c r="B2536" s="3"/>
      <c r="C2536" s="3"/>
      <c r="D2536" s="3"/>
      <c r="E2536" s="3"/>
      <c r="F2536" s="3"/>
      <c r="G2536" s="3"/>
      <c r="H2536" s="3"/>
      <c r="I2536" s="3"/>
      <c r="J2536" s="3"/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</row>
    <row r="2537">
      <c r="A2537" s="3"/>
      <c r="B2537" s="3"/>
      <c r="C2537" s="3"/>
      <c r="D2537" s="3"/>
      <c r="E2537" s="3"/>
      <c r="F2537" s="3"/>
      <c r="G2537" s="3"/>
      <c r="H2537" s="3"/>
      <c r="I2537" s="3"/>
      <c r="J2537" s="3"/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</row>
    <row r="2538">
      <c r="A2538" s="3"/>
      <c r="B2538" s="3"/>
      <c r="C2538" s="3"/>
      <c r="D2538" s="3"/>
      <c r="E2538" s="3"/>
      <c r="F2538" s="3"/>
      <c r="G2538" s="3"/>
      <c r="H2538" s="3"/>
      <c r="I2538" s="3"/>
      <c r="J2538" s="3"/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</row>
    <row r="2539">
      <c r="A2539" s="3"/>
      <c r="B2539" s="3"/>
      <c r="C2539" s="3"/>
      <c r="D2539" s="3"/>
      <c r="E2539" s="3"/>
      <c r="F2539" s="3"/>
      <c r="G2539" s="3"/>
      <c r="H2539" s="3"/>
      <c r="I2539" s="3"/>
      <c r="J2539" s="3"/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</row>
    <row r="2540">
      <c r="A2540" s="3"/>
      <c r="B2540" s="3"/>
      <c r="C2540" s="3"/>
      <c r="D2540" s="3"/>
      <c r="E2540" s="3"/>
      <c r="F2540" s="3"/>
      <c r="G2540" s="3"/>
      <c r="H2540" s="3"/>
      <c r="I2540" s="3"/>
      <c r="J2540" s="3"/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</row>
    <row r="2541">
      <c r="A2541" s="3"/>
      <c r="B2541" s="3"/>
      <c r="C2541" s="3"/>
      <c r="D2541" s="3"/>
      <c r="E2541" s="3"/>
      <c r="F2541" s="3"/>
      <c r="G2541" s="3"/>
      <c r="H2541" s="3"/>
      <c r="I2541" s="3"/>
      <c r="J2541" s="3"/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</row>
    <row r="2542">
      <c r="A2542" s="3"/>
      <c r="B2542" s="3"/>
      <c r="C2542" s="3"/>
      <c r="D2542" s="3"/>
      <c r="E2542" s="3"/>
      <c r="F2542" s="3"/>
      <c r="G2542" s="3"/>
      <c r="H2542" s="3"/>
      <c r="I2542" s="3"/>
      <c r="J2542" s="3"/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</row>
    <row r="2543">
      <c r="A2543" s="3"/>
      <c r="B2543" s="3"/>
      <c r="C2543" s="3"/>
      <c r="D2543" s="3"/>
      <c r="E2543" s="3"/>
      <c r="F2543" s="3"/>
      <c r="G2543" s="3"/>
      <c r="H2543" s="3"/>
      <c r="I2543" s="3"/>
      <c r="J2543" s="3"/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</row>
    <row r="2544">
      <c r="A2544" s="3"/>
      <c r="B2544" s="3"/>
      <c r="C2544" s="3"/>
      <c r="D2544" s="3"/>
      <c r="E2544" s="3"/>
      <c r="F2544" s="3"/>
      <c r="G2544" s="3"/>
      <c r="H2544" s="3"/>
      <c r="I2544" s="3"/>
      <c r="J2544" s="3"/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</row>
    <row r="2545">
      <c r="A2545" s="3"/>
      <c r="B2545" s="3"/>
      <c r="C2545" s="3"/>
      <c r="D2545" s="3"/>
      <c r="E2545" s="3"/>
      <c r="F2545" s="3"/>
      <c r="G2545" s="3"/>
      <c r="H2545" s="3"/>
      <c r="I2545" s="3"/>
      <c r="J2545" s="3"/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</row>
    <row r="2546">
      <c r="A2546" s="3"/>
      <c r="B2546" s="3"/>
      <c r="C2546" s="3"/>
      <c r="D2546" s="3"/>
      <c r="E2546" s="3"/>
      <c r="F2546" s="3"/>
      <c r="G2546" s="3"/>
      <c r="H2546" s="3"/>
      <c r="I2546" s="3"/>
      <c r="J2546" s="3"/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</row>
    <row r="2547">
      <c r="A2547" s="3"/>
      <c r="B2547" s="3"/>
      <c r="C2547" s="3"/>
      <c r="D2547" s="3"/>
      <c r="E2547" s="3"/>
      <c r="F2547" s="3"/>
      <c r="G2547" s="3"/>
      <c r="H2547" s="3"/>
      <c r="I2547" s="3"/>
      <c r="J2547" s="3"/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</row>
    <row r="2548">
      <c r="A2548" s="3"/>
      <c r="B2548" s="3"/>
      <c r="C2548" s="3"/>
      <c r="D2548" s="3"/>
      <c r="E2548" s="3"/>
      <c r="F2548" s="3"/>
      <c r="G2548" s="3"/>
      <c r="H2548" s="3"/>
      <c r="I2548" s="3"/>
      <c r="J2548" s="3"/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</row>
    <row r="2549">
      <c r="A2549" s="3"/>
      <c r="B2549" s="3"/>
      <c r="C2549" s="3"/>
      <c r="D2549" s="3"/>
      <c r="E2549" s="3"/>
      <c r="F2549" s="3"/>
      <c r="G2549" s="3"/>
      <c r="H2549" s="3"/>
      <c r="I2549" s="3"/>
      <c r="J2549" s="3"/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</row>
    <row r="2550">
      <c r="A2550" s="3"/>
      <c r="B2550" s="3"/>
      <c r="C2550" s="3"/>
      <c r="D2550" s="3"/>
      <c r="E2550" s="3"/>
      <c r="F2550" s="3"/>
      <c r="G2550" s="3"/>
      <c r="H2550" s="3"/>
      <c r="I2550" s="3"/>
      <c r="J2550" s="3"/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</row>
    <row r="2551">
      <c r="A2551" s="3"/>
      <c r="B2551" s="3"/>
      <c r="C2551" s="3"/>
      <c r="D2551" s="3"/>
      <c r="E2551" s="3"/>
      <c r="F2551" s="3"/>
      <c r="G2551" s="3"/>
      <c r="H2551" s="3"/>
      <c r="I2551" s="3"/>
      <c r="J2551" s="3"/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</row>
    <row r="2552">
      <c r="A2552" s="3"/>
      <c r="B2552" s="3"/>
      <c r="C2552" s="3"/>
      <c r="D2552" s="3"/>
      <c r="E2552" s="3"/>
      <c r="F2552" s="3"/>
      <c r="G2552" s="3"/>
      <c r="H2552" s="3"/>
      <c r="I2552" s="3"/>
      <c r="J2552" s="3"/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</row>
    <row r="2553">
      <c r="A2553" s="3"/>
      <c r="B2553" s="3"/>
      <c r="C2553" s="3"/>
      <c r="D2553" s="3"/>
      <c r="E2553" s="3"/>
      <c r="F2553" s="3"/>
      <c r="G2553" s="3"/>
      <c r="H2553" s="3"/>
      <c r="I2553" s="3"/>
      <c r="J2553" s="3"/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</row>
    <row r="2554">
      <c r="A2554" s="3"/>
      <c r="B2554" s="3"/>
      <c r="C2554" s="3"/>
      <c r="D2554" s="3"/>
      <c r="E2554" s="3"/>
      <c r="F2554" s="3"/>
      <c r="G2554" s="3"/>
      <c r="H2554" s="3"/>
      <c r="I2554" s="3"/>
      <c r="J2554" s="3"/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</row>
    <row r="2555">
      <c r="A2555" s="3"/>
      <c r="B2555" s="3"/>
      <c r="C2555" s="3"/>
      <c r="D2555" s="3"/>
      <c r="E2555" s="3"/>
      <c r="F2555" s="3"/>
      <c r="G2555" s="3"/>
      <c r="H2555" s="3"/>
      <c r="I2555" s="3"/>
      <c r="J2555" s="3"/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</row>
    <row r="2556">
      <c r="A2556" s="3"/>
      <c r="B2556" s="3"/>
      <c r="C2556" s="3"/>
      <c r="D2556" s="3"/>
      <c r="E2556" s="3"/>
      <c r="F2556" s="3"/>
      <c r="G2556" s="3"/>
      <c r="H2556" s="3"/>
      <c r="I2556" s="3"/>
      <c r="J2556" s="3"/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</row>
    <row r="2557">
      <c r="A2557" s="3"/>
      <c r="B2557" s="3"/>
      <c r="C2557" s="3"/>
      <c r="D2557" s="3"/>
      <c r="E2557" s="3"/>
      <c r="F2557" s="3"/>
      <c r="G2557" s="3"/>
      <c r="H2557" s="3"/>
      <c r="I2557" s="3"/>
      <c r="J2557" s="3"/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</row>
    <row r="2558">
      <c r="A2558" s="3"/>
      <c r="B2558" s="3"/>
      <c r="C2558" s="3"/>
      <c r="D2558" s="3"/>
      <c r="E2558" s="3"/>
      <c r="F2558" s="3"/>
      <c r="G2558" s="3"/>
      <c r="H2558" s="3"/>
      <c r="I2558" s="3"/>
      <c r="J2558" s="3"/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</row>
    <row r="2559">
      <c r="A2559" s="3"/>
      <c r="B2559" s="3"/>
      <c r="C2559" s="3"/>
      <c r="D2559" s="3"/>
      <c r="E2559" s="3"/>
      <c r="F2559" s="3"/>
      <c r="G2559" s="3"/>
      <c r="H2559" s="3"/>
      <c r="I2559" s="3"/>
      <c r="J2559" s="3"/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</row>
    <row r="2560">
      <c r="A2560" s="3"/>
      <c r="B2560" s="3"/>
      <c r="C2560" s="3"/>
      <c r="D2560" s="3"/>
      <c r="E2560" s="3"/>
      <c r="F2560" s="3"/>
      <c r="G2560" s="3"/>
      <c r="H2560" s="3"/>
      <c r="I2560" s="3"/>
      <c r="J2560" s="3"/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</row>
    <row r="2561">
      <c r="A2561" s="3"/>
      <c r="B2561" s="3"/>
      <c r="C2561" s="3"/>
      <c r="D2561" s="3"/>
      <c r="E2561" s="3"/>
      <c r="F2561" s="3"/>
      <c r="G2561" s="3"/>
      <c r="H2561" s="3"/>
      <c r="I2561" s="3"/>
      <c r="J2561" s="3"/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</row>
    <row r="2562">
      <c r="A2562" s="3"/>
      <c r="B2562" s="3"/>
      <c r="C2562" s="3"/>
      <c r="D2562" s="3"/>
      <c r="E2562" s="3"/>
      <c r="F2562" s="3"/>
      <c r="G2562" s="3"/>
      <c r="H2562" s="3"/>
      <c r="I2562" s="3"/>
      <c r="J2562" s="3"/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</row>
    <row r="2563">
      <c r="A2563" s="3"/>
      <c r="B2563" s="3"/>
      <c r="C2563" s="3"/>
      <c r="D2563" s="3"/>
      <c r="E2563" s="3"/>
      <c r="F2563" s="3"/>
      <c r="G2563" s="3"/>
      <c r="H2563" s="3"/>
      <c r="I2563" s="3"/>
      <c r="J2563" s="3"/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</row>
    <row r="2564">
      <c r="A2564" s="3"/>
      <c r="B2564" s="3"/>
      <c r="C2564" s="3"/>
      <c r="D2564" s="3"/>
      <c r="E2564" s="3"/>
      <c r="F2564" s="3"/>
      <c r="G2564" s="3"/>
      <c r="H2564" s="3"/>
      <c r="I2564" s="3"/>
      <c r="J2564" s="3"/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</row>
    <row r="2565">
      <c r="A2565" s="3"/>
      <c r="B2565" s="3"/>
      <c r="C2565" s="3"/>
      <c r="D2565" s="3"/>
      <c r="E2565" s="3"/>
      <c r="F2565" s="3"/>
      <c r="G2565" s="3"/>
      <c r="H2565" s="3"/>
      <c r="I2565" s="3"/>
      <c r="J2565" s="3"/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</row>
    <row r="2566">
      <c r="A2566" s="3"/>
      <c r="B2566" s="3"/>
      <c r="C2566" s="3"/>
      <c r="D2566" s="3"/>
      <c r="E2566" s="3"/>
      <c r="F2566" s="3"/>
      <c r="G2566" s="3"/>
      <c r="H2566" s="3"/>
      <c r="I2566" s="3"/>
      <c r="J2566" s="3"/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</row>
    <row r="2567">
      <c r="A2567" s="3"/>
      <c r="B2567" s="3"/>
      <c r="C2567" s="3"/>
      <c r="D2567" s="3"/>
      <c r="E2567" s="3"/>
      <c r="F2567" s="3"/>
      <c r="G2567" s="3"/>
      <c r="H2567" s="3"/>
      <c r="I2567" s="3"/>
      <c r="J2567" s="3"/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</row>
    <row r="2568">
      <c r="A2568" s="3"/>
      <c r="B2568" s="3"/>
      <c r="C2568" s="3"/>
      <c r="D2568" s="3"/>
      <c r="E2568" s="3"/>
      <c r="F2568" s="3"/>
      <c r="G2568" s="3"/>
      <c r="H2568" s="3"/>
      <c r="I2568" s="3"/>
      <c r="J2568" s="3"/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</row>
    <row r="2569">
      <c r="A2569" s="3"/>
      <c r="B2569" s="3"/>
      <c r="C2569" s="3"/>
      <c r="D2569" s="3"/>
      <c r="E2569" s="3"/>
      <c r="F2569" s="3"/>
      <c r="G2569" s="3"/>
      <c r="H2569" s="3"/>
      <c r="I2569" s="3"/>
      <c r="J2569" s="3"/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</row>
    <row r="2570">
      <c r="A2570" s="3"/>
      <c r="B2570" s="3"/>
      <c r="C2570" s="3"/>
      <c r="D2570" s="3"/>
      <c r="E2570" s="3"/>
      <c r="F2570" s="3"/>
      <c r="G2570" s="3"/>
      <c r="H2570" s="3"/>
      <c r="I2570" s="3"/>
      <c r="J2570" s="3"/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</row>
    <row r="2571">
      <c r="A2571" s="3"/>
      <c r="B2571" s="3"/>
      <c r="C2571" s="3"/>
      <c r="D2571" s="3"/>
      <c r="E2571" s="3"/>
      <c r="F2571" s="3"/>
      <c r="G2571" s="3"/>
      <c r="H2571" s="3"/>
      <c r="I2571" s="3"/>
      <c r="J2571" s="3"/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</row>
    <row r="2572">
      <c r="A2572" s="3"/>
      <c r="B2572" s="3"/>
      <c r="C2572" s="3"/>
      <c r="D2572" s="3"/>
      <c r="E2572" s="3"/>
      <c r="F2572" s="3"/>
      <c r="G2572" s="3"/>
      <c r="H2572" s="3"/>
      <c r="I2572" s="3"/>
      <c r="J2572" s="3"/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</row>
    <row r="2573">
      <c r="A2573" s="3"/>
      <c r="B2573" s="3"/>
      <c r="C2573" s="3"/>
      <c r="D2573" s="3"/>
      <c r="E2573" s="3"/>
      <c r="F2573" s="3"/>
      <c r="G2573" s="3"/>
      <c r="H2573" s="3"/>
      <c r="I2573" s="3"/>
      <c r="J2573" s="3"/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</row>
    <row r="2574">
      <c r="A2574" s="3"/>
      <c r="B2574" s="3"/>
      <c r="C2574" s="3"/>
      <c r="D2574" s="3"/>
      <c r="E2574" s="3"/>
      <c r="F2574" s="3"/>
      <c r="G2574" s="3"/>
      <c r="H2574" s="3"/>
      <c r="I2574" s="3"/>
      <c r="J2574" s="3"/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</row>
    <row r="2575">
      <c r="A2575" s="3"/>
      <c r="B2575" s="3"/>
      <c r="C2575" s="3"/>
      <c r="D2575" s="3"/>
      <c r="E2575" s="3"/>
      <c r="F2575" s="3"/>
      <c r="G2575" s="3"/>
      <c r="H2575" s="3"/>
      <c r="I2575" s="3"/>
      <c r="J2575" s="3"/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</row>
    <row r="2576">
      <c r="A2576" s="3"/>
      <c r="B2576" s="3"/>
      <c r="C2576" s="3"/>
      <c r="D2576" s="3"/>
      <c r="E2576" s="3"/>
      <c r="F2576" s="3"/>
      <c r="G2576" s="3"/>
      <c r="H2576" s="3"/>
      <c r="I2576" s="3"/>
      <c r="J2576" s="3"/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</row>
    <row r="2577">
      <c r="A2577" s="3"/>
      <c r="B2577" s="3"/>
      <c r="C2577" s="3"/>
      <c r="D2577" s="3"/>
      <c r="E2577" s="3"/>
      <c r="F2577" s="3"/>
      <c r="G2577" s="3"/>
      <c r="H2577" s="3"/>
      <c r="I2577" s="3"/>
      <c r="J2577" s="3"/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</row>
    <row r="2578">
      <c r="A2578" s="3"/>
      <c r="B2578" s="3"/>
      <c r="C2578" s="3"/>
      <c r="D2578" s="3"/>
      <c r="E2578" s="3"/>
      <c r="F2578" s="3"/>
      <c r="G2578" s="3"/>
      <c r="H2578" s="3"/>
      <c r="I2578" s="3"/>
      <c r="J2578" s="3"/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</row>
    <row r="2579">
      <c r="A2579" s="3"/>
      <c r="B2579" s="3"/>
      <c r="C2579" s="3"/>
      <c r="D2579" s="3"/>
      <c r="E2579" s="3"/>
      <c r="F2579" s="3"/>
      <c r="G2579" s="3"/>
      <c r="H2579" s="3"/>
      <c r="I2579" s="3"/>
      <c r="J2579" s="3"/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</row>
    <row r="2580">
      <c r="A2580" s="3"/>
      <c r="B2580" s="3"/>
      <c r="C2580" s="3"/>
      <c r="D2580" s="3"/>
      <c r="E2580" s="3"/>
      <c r="F2580" s="3"/>
      <c r="G2580" s="3"/>
      <c r="H2580" s="3"/>
      <c r="I2580" s="3"/>
      <c r="J2580" s="3"/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</row>
    <row r="2581">
      <c r="A2581" s="3"/>
      <c r="B2581" s="3"/>
      <c r="C2581" s="3"/>
      <c r="D2581" s="3"/>
      <c r="E2581" s="3"/>
      <c r="F2581" s="3"/>
      <c r="G2581" s="3"/>
      <c r="H2581" s="3"/>
      <c r="I2581" s="3"/>
      <c r="J2581" s="3"/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</row>
    <row r="2582">
      <c r="A2582" s="3"/>
      <c r="B2582" s="3"/>
      <c r="C2582" s="3"/>
      <c r="D2582" s="3"/>
      <c r="E2582" s="3"/>
      <c r="F2582" s="3"/>
      <c r="G2582" s="3"/>
      <c r="H2582" s="3"/>
      <c r="I2582" s="3"/>
      <c r="J2582" s="3"/>
      <c r="K2582" s="3"/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</row>
    <row r="2583">
      <c r="A2583" s="3"/>
      <c r="B2583" s="3"/>
      <c r="C2583" s="3"/>
      <c r="D2583" s="3"/>
      <c r="E2583" s="3"/>
      <c r="F2583" s="3"/>
      <c r="G2583" s="3"/>
      <c r="H2583" s="3"/>
      <c r="I2583" s="3"/>
      <c r="J2583" s="3"/>
      <c r="K2583" s="3"/>
      <c r="L2583" s="3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</row>
    <row r="2584">
      <c r="A2584" s="3"/>
      <c r="B2584" s="3"/>
      <c r="C2584" s="3"/>
      <c r="D2584" s="3"/>
      <c r="E2584" s="3"/>
      <c r="F2584" s="3"/>
      <c r="G2584" s="3"/>
      <c r="H2584" s="3"/>
      <c r="I2584" s="3"/>
      <c r="J2584" s="3"/>
      <c r="K2584" s="3"/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</row>
    <row r="2585">
      <c r="A2585" s="3"/>
      <c r="B2585" s="3"/>
      <c r="C2585" s="3"/>
      <c r="D2585" s="3"/>
      <c r="E2585" s="3"/>
      <c r="F2585" s="3"/>
      <c r="G2585" s="3"/>
      <c r="H2585" s="3"/>
      <c r="I2585" s="3"/>
      <c r="J2585" s="3"/>
      <c r="K2585" s="3"/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</row>
    <row r="2586">
      <c r="A2586" s="3"/>
      <c r="B2586" s="3"/>
      <c r="C2586" s="3"/>
      <c r="D2586" s="3"/>
      <c r="E2586" s="3"/>
      <c r="F2586" s="3"/>
      <c r="G2586" s="3"/>
      <c r="H2586" s="3"/>
      <c r="I2586" s="3"/>
      <c r="J2586" s="3"/>
      <c r="K2586" s="3"/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</row>
    <row r="2587">
      <c r="A2587" s="3"/>
      <c r="B2587" s="3"/>
      <c r="C2587" s="3"/>
      <c r="D2587" s="3"/>
      <c r="E2587" s="3"/>
      <c r="F2587" s="3"/>
      <c r="G2587" s="3"/>
      <c r="H2587" s="3"/>
      <c r="I2587" s="3"/>
      <c r="J2587" s="3"/>
      <c r="K2587" s="3"/>
      <c r="L2587" s="3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</row>
    <row r="2588">
      <c r="A2588" s="3"/>
      <c r="B2588" s="3"/>
      <c r="C2588" s="3"/>
      <c r="D2588" s="3"/>
      <c r="E2588" s="3"/>
      <c r="F2588" s="3"/>
      <c r="G2588" s="3"/>
      <c r="H2588" s="3"/>
      <c r="I2588" s="3"/>
      <c r="J2588" s="3"/>
      <c r="K2588" s="3"/>
      <c r="L2588" s="3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</row>
    <row r="2589">
      <c r="A2589" s="3"/>
      <c r="B2589" s="3"/>
      <c r="C2589" s="3"/>
      <c r="D2589" s="3"/>
      <c r="E2589" s="3"/>
      <c r="F2589" s="3"/>
      <c r="G2589" s="3"/>
      <c r="H2589" s="3"/>
      <c r="I2589" s="3"/>
      <c r="J2589" s="3"/>
      <c r="K2589" s="3"/>
      <c r="L2589" s="3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</row>
    <row r="2590">
      <c r="A2590" s="3"/>
      <c r="B2590" s="3"/>
      <c r="C2590" s="3"/>
      <c r="D2590" s="3"/>
      <c r="E2590" s="3"/>
      <c r="F2590" s="3"/>
      <c r="G2590" s="3"/>
      <c r="H2590" s="3"/>
      <c r="I2590" s="3"/>
      <c r="J2590" s="3"/>
      <c r="K2590" s="3"/>
      <c r="L2590" s="3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</row>
    <row r="2591">
      <c r="A2591" s="3"/>
      <c r="B2591" s="3"/>
      <c r="C2591" s="3"/>
      <c r="D2591" s="3"/>
      <c r="E2591" s="3"/>
      <c r="F2591" s="3"/>
      <c r="G2591" s="3"/>
      <c r="H2591" s="3"/>
      <c r="I2591" s="3"/>
      <c r="J2591" s="3"/>
      <c r="K2591" s="3"/>
      <c r="L2591" s="3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</row>
    <row r="2592">
      <c r="A2592" s="3"/>
      <c r="B2592" s="3"/>
      <c r="C2592" s="3"/>
      <c r="D2592" s="3"/>
      <c r="E2592" s="3"/>
      <c r="F2592" s="3"/>
      <c r="G2592" s="3"/>
      <c r="H2592" s="3"/>
      <c r="I2592" s="3"/>
      <c r="J2592" s="3"/>
      <c r="K2592" s="3"/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</row>
    <row r="2593">
      <c r="A2593" s="3"/>
      <c r="B2593" s="3"/>
      <c r="C2593" s="3"/>
      <c r="D2593" s="3"/>
      <c r="E2593" s="3"/>
      <c r="F2593" s="3"/>
      <c r="G2593" s="3"/>
      <c r="H2593" s="3"/>
      <c r="I2593" s="3"/>
      <c r="J2593" s="3"/>
      <c r="K2593" s="3"/>
      <c r="L2593" s="3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</row>
    <row r="2594">
      <c r="A2594" s="3"/>
      <c r="B2594" s="3"/>
      <c r="C2594" s="3"/>
      <c r="D2594" s="3"/>
      <c r="E2594" s="3"/>
      <c r="F2594" s="3"/>
      <c r="G2594" s="3"/>
      <c r="H2594" s="3"/>
      <c r="I2594" s="3"/>
      <c r="J2594" s="3"/>
      <c r="K2594" s="3"/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</row>
    <row r="2595">
      <c r="A2595" s="3"/>
      <c r="B2595" s="3"/>
      <c r="C2595" s="3"/>
      <c r="D2595" s="3"/>
      <c r="E2595" s="3"/>
      <c r="F2595" s="3"/>
      <c r="G2595" s="3"/>
      <c r="H2595" s="3"/>
      <c r="I2595" s="3"/>
      <c r="J2595" s="3"/>
      <c r="K2595" s="3"/>
      <c r="L2595" s="3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</row>
    <row r="2596">
      <c r="A2596" s="3"/>
      <c r="B2596" s="3"/>
      <c r="C2596" s="3"/>
      <c r="D2596" s="3"/>
      <c r="E2596" s="3"/>
      <c r="F2596" s="3"/>
      <c r="G2596" s="3"/>
      <c r="H2596" s="3"/>
      <c r="I2596" s="3"/>
      <c r="J2596" s="3"/>
      <c r="K2596" s="3"/>
      <c r="L2596" s="3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</row>
    <row r="2597">
      <c r="A2597" s="3"/>
      <c r="B2597" s="3"/>
      <c r="C2597" s="3"/>
      <c r="D2597" s="3"/>
      <c r="E2597" s="3"/>
      <c r="F2597" s="3"/>
      <c r="G2597" s="3"/>
      <c r="H2597" s="3"/>
      <c r="I2597" s="3"/>
      <c r="J2597" s="3"/>
      <c r="K2597" s="3"/>
      <c r="L2597" s="3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</row>
    <row r="2598">
      <c r="A2598" s="3"/>
      <c r="B2598" s="3"/>
      <c r="C2598" s="3"/>
      <c r="D2598" s="3"/>
      <c r="E2598" s="3"/>
      <c r="F2598" s="3"/>
      <c r="G2598" s="3"/>
      <c r="H2598" s="3"/>
      <c r="I2598" s="3"/>
      <c r="J2598" s="3"/>
      <c r="K2598" s="3"/>
      <c r="L2598" s="3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</row>
    <row r="2599">
      <c r="A2599" s="3"/>
      <c r="B2599" s="3"/>
      <c r="C2599" s="3"/>
      <c r="D2599" s="3"/>
      <c r="E2599" s="3"/>
      <c r="F2599" s="3"/>
      <c r="G2599" s="3"/>
      <c r="H2599" s="3"/>
      <c r="I2599" s="3"/>
      <c r="J2599" s="3"/>
      <c r="K2599" s="3"/>
      <c r="L2599" s="3"/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</row>
    <row r="2600">
      <c r="A2600" s="3"/>
      <c r="B2600" s="3"/>
      <c r="C2600" s="3"/>
      <c r="D2600" s="3"/>
      <c r="E2600" s="3"/>
      <c r="F2600" s="3"/>
      <c r="G2600" s="3"/>
      <c r="H2600" s="3"/>
      <c r="I2600" s="3"/>
      <c r="J2600" s="3"/>
      <c r="K2600" s="3"/>
      <c r="L2600" s="3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</row>
    <row r="2601">
      <c r="A2601" s="3"/>
      <c r="B2601" s="3"/>
      <c r="C2601" s="3"/>
      <c r="D2601" s="3"/>
      <c r="E2601" s="3"/>
      <c r="F2601" s="3"/>
      <c r="G2601" s="3"/>
      <c r="H2601" s="3"/>
      <c r="I2601" s="3"/>
      <c r="J2601" s="3"/>
      <c r="K2601" s="3"/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  <c r="Y2601" s="3"/>
      <c r="Z2601" s="3"/>
    </row>
    <row r="2602">
      <c r="A2602" s="3"/>
      <c r="B2602" s="3"/>
      <c r="C2602" s="3"/>
      <c r="D2602" s="3"/>
      <c r="E2602" s="3"/>
      <c r="F2602" s="3"/>
      <c r="G2602" s="3"/>
      <c r="H2602" s="3"/>
      <c r="I2602" s="3"/>
      <c r="J2602" s="3"/>
      <c r="K2602" s="3"/>
      <c r="L2602" s="3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</row>
    <row r="2603">
      <c r="A2603" s="3"/>
      <c r="B2603" s="3"/>
      <c r="C2603" s="3"/>
      <c r="D2603" s="3"/>
      <c r="E2603" s="3"/>
      <c r="F2603" s="3"/>
      <c r="G2603" s="3"/>
      <c r="H2603" s="3"/>
      <c r="I2603" s="3"/>
      <c r="J2603" s="3"/>
      <c r="K2603" s="3"/>
      <c r="L2603" s="3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</row>
    <row r="2604">
      <c r="A2604" s="3"/>
      <c r="B2604" s="3"/>
      <c r="C2604" s="3"/>
      <c r="D2604" s="3"/>
      <c r="E2604" s="3"/>
      <c r="F2604" s="3"/>
      <c r="G2604" s="3"/>
      <c r="H2604" s="3"/>
      <c r="I2604" s="3"/>
      <c r="J2604" s="3"/>
      <c r="K2604" s="3"/>
      <c r="L2604" s="3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</row>
    <row r="2605">
      <c r="A2605" s="3"/>
      <c r="B2605" s="3"/>
      <c r="C2605" s="3"/>
      <c r="D2605" s="3"/>
      <c r="E2605" s="3"/>
      <c r="F2605" s="3"/>
      <c r="G2605" s="3"/>
      <c r="H2605" s="3"/>
      <c r="I2605" s="3"/>
      <c r="J2605" s="3"/>
      <c r="K2605" s="3"/>
      <c r="L2605" s="3"/>
      <c r="M2605" s="3"/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</row>
    <row r="2606">
      <c r="A2606" s="3"/>
      <c r="B2606" s="3"/>
      <c r="C2606" s="3"/>
      <c r="D2606" s="3"/>
      <c r="E2606" s="3"/>
      <c r="F2606" s="3"/>
      <c r="G2606" s="3"/>
      <c r="H2606" s="3"/>
      <c r="I2606" s="3"/>
      <c r="J2606" s="3"/>
      <c r="K2606" s="3"/>
      <c r="L2606" s="3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</row>
    <row r="2607">
      <c r="A2607" s="3"/>
      <c r="B2607" s="3"/>
      <c r="C2607" s="3"/>
      <c r="D2607" s="3"/>
      <c r="E2607" s="3"/>
      <c r="F2607" s="3"/>
      <c r="G2607" s="3"/>
      <c r="H2607" s="3"/>
      <c r="I2607" s="3"/>
      <c r="J2607" s="3"/>
      <c r="K2607" s="3"/>
      <c r="L2607" s="3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</row>
    <row r="2608">
      <c r="A2608" s="3"/>
      <c r="B2608" s="3"/>
      <c r="C2608" s="3"/>
      <c r="D2608" s="3"/>
      <c r="E2608" s="3"/>
      <c r="F2608" s="3"/>
      <c r="G2608" s="3"/>
      <c r="H2608" s="3"/>
      <c r="I2608" s="3"/>
      <c r="J2608" s="3"/>
      <c r="K2608" s="3"/>
      <c r="L2608" s="3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</row>
    <row r="2609">
      <c r="A2609" s="3"/>
      <c r="B2609" s="3"/>
      <c r="C2609" s="3"/>
      <c r="D2609" s="3"/>
      <c r="E2609" s="3"/>
      <c r="F2609" s="3"/>
      <c r="G2609" s="3"/>
      <c r="H2609" s="3"/>
      <c r="I2609" s="3"/>
      <c r="J2609" s="3"/>
      <c r="K2609" s="3"/>
      <c r="L2609" s="3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</row>
    <row r="2610">
      <c r="A2610" s="3"/>
      <c r="B2610" s="3"/>
      <c r="C2610" s="3"/>
      <c r="D2610" s="3"/>
      <c r="E2610" s="3"/>
      <c r="F2610" s="3"/>
      <c r="G2610" s="3"/>
      <c r="H2610" s="3"/>
      <c r="I2610" s="3"/>
      <c r="J2610" s="3"/>
      <c r="K2610" s="3"/>
      <c r="L2610" s="3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</row>
    <row r="2611">
      <c r="A2611" s="3"/>
      <c r="B2611" s="3"/>
      <c r="C2611" s="3"/>
      <c r="D2611" s="3"/>
      <c r="E2611" s="3"/>
      <c r="F2611" s="3"/>
      <c r="G2611" s="3"/>
      <c r="H2611" s="3"/>
      <c r="I2611" s="3"/>
      <c r="J2611" s="3"/>
      <c r="K2611" s="3"/>
      <c r="L2611" s="3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</row>
    <row r="2612">
      <c r="A2612" s="3"/>
      <c r="B2612" s="3"/>
      <c r="C2612" s="3"/>
      <c r="D2612" s="3"/>
      <c r="E2612" s="3"/>
      <c r="F2612" s="3"/>
      <c r="G2612" s="3"/>
      <c r="H2612" s="3"/>
      <c r="I2612" s="3"/>
      <c r="J2612" s="3"/>
      <c r="K2612" s="3"/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</row>
    <row r="2613">
      <c r="A2613" s="3"/>
      <c r="B2613" s="3"/>
      <c r="C2613" s="3"/>
      <c r="D2613" s="3"/>
      <c r="E2613" s="3"/>
      <c r="F2613" s="3"/>
      <c r="G2613" s="3"/>
      <c r="H2613" s="3"/>
      <c r="I2613" s="3"/>
      <c r="J2613" s="3"/>
      <c r="K2613" s="3"/>
      <c r="L2613" s="3"/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</row>
    <row r="2614">
      <c r="A2614" s="3"/>
      <c r="B2614" s="3"/>
      <c r="C2614" s="3"/>
      <c r="D2614" s="3"/>
      <c r="E2614" s="3"/>
      <c r="F2614" s="3"/>
      <c r="G2614" s="3"/>
      <c r="H2614" s="3"/>
      <c r="I2614" s="3"/>
      <c r="J2614" s="3"/>
      <c r="K2614" s="3"/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</row>
    <row r="2615">
      <c r="A2615" s="3"/>
      <c r="B2615" s="3"/>
      <c r="C2615" s="3"/>
      <c r="D2615" s="3"/>
      <c r="E2615" s="3"/>
      <c r="F2615" s="3"/>
      <c r="G2615" s="3"/>
      <c r="H2615" s="3"/>
      <c r="I2615" s="3"/>
      <c r="J2615" s="3"/>
      <c r="K2615" s="3"/>
      <c r="L2615" s="3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</row>
    <row r="2616">
      <c r="A2616" s="3"/>
      <c r="B2616" s="3"/>
      <c r="C2616" s="3"/>
      <c r="D2616" s="3"/>
      <c r="E2616" s="3"/>
      <c r="F2616" s="3"/>
      <c r="G2616" s="3"/>
      <c r="H2616" s="3"/>
      <c r="I2616" s="3"/>
      <c r="J2616" s="3"/>
      <c r="K2616" s="3"/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</row>
    <row r="2617">
      <c r="A2617" s="3"/>
      <c r="B2617" s="3"/>
      <c r="C2617" s="3"/>
      <c r="D2617" s="3"/>
      <c r="E2617" s="3"/>
      <c r="F2617" s="3"/>
      <c r="G2617" s="3"/>
      <c r="H2617" s="3"/>
      <c r="I2617" s="3"/>
      <c r="J2617" s="3"/>
      <c r="K2617" s="3"/>
      <c r="L2617" s="3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</row>
    <row r="2618">
      <c r="A2618" s="3"/>
      <c r="B2618" s="3"/>
      <c r="C2618" s="3"/>
      <c r="D2618" s="3"/>
      <c r="E2618" s="3"/>
      <c r="F2618" s="3"/>
      <c r="G2618" s="3"/>
      <c r="H2618" s="3"/>
      <c r="I2618" s="3"/>
      <c r="J2618" s="3"/>
      <c r="K2618" s="3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</row>
    <row r="2619">
      <c r="A2619" s="3"/>
      <c r="B2619" s="3"/>
      <c r="C2619" s="3"/>
      <c r="D2619" s="3"/>
      <c r="E2619" s="3"/>
      <c r="F2619" s="3"/>
      <c r="G2619" s="3"/>
      <c r="H2619" s="3"/>
      <c r="I2619" s="3"/>
      <c r="J2619" s="3"/>
      <c r="K2619" s="3"/>
      <c r="L2619" s="3"/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/>
    </row>
    <row r="2620">
      <c r="A2620" s="3"/>
      <c r="B2620" s="3"/>
      <c r="C2620" s="3"/>
      <c r="D2620" s="3"/>
      <c r="E2620" s="3"/>
      <c r="F2620" s="3"/>
      <c r="G2620" s="3"/>
      <c r="H2620" s="3"/>
      <c r="I2620" s="3"/>
      <c r="J2620" s="3"/>
      <c r="K2620" s="3"/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</row>
    <row r="2621">
      <c r="A2621" s="3"/>
      <c r="B2621" s="3"/>
      <c r="C2621" s="3"/>
      <c r="D2621" s="3"/>
      <c r="E2621" s="3"/>
      <c r="F2621" s="3"/>
      <c r="G2621" s="3"/>
      <c r="H2621" s="3"/>
      <c r="I2621" s="3"/>
      <c r="J2621" s="3"/>
      <c r="K2621" s="3"/>
      <c r="L2621" s="3"/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</row>
    <row r="2622">
      <c r="A2622" s="3"/>
      <c r="B2622" s="3"/>
      <c r="C2622" s="3"/>
      <c r="D2622" s="3"/>
      <c r="E2622" s="3"/>
      <c r="F2622" s="3"/>
      <c r="G2622" s="3"/>
      <c r="H2622" s="3"/>
      <c r="I2622" s="3"/>
      <c r="J2622" s="3"/>
      <c r="K2622" s="3"/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</row>
    <row r="2623">
      <c r="A2623" s="3"/>
      <c r="B2623" s="3"/>
      <c r="C2623" s="3"/>
      <c r="D2623" s="3"/>
      <c r="E2623" s="3"/>
      <c r="F2623" s="3"/>
      <c r="G2623" s="3"/>
      <c r="H2623" s="3"/>
      <c r="I2623" s="3"/>
      <c r="J2623" s="3"/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</row>
    <row r="2624">
      <c r="A2624" s="3"/>
      <c r="B2624" s="3"/>
      <c r="C2624" s="3"/>
      <c r="D2624" s="3"/>
      <c r="E2624" s="3"/>
      <c r="F2624" s="3"/>
      <c r="G2624" s="3"/>
      <c r="H2624" s="3"/>
      <c r="I2624" s="3"/>
      <c r="J2624" s="3"/>
      <c r="K2624" s="3"/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</row>
    <row r="2625">
      <c r="A2625" s="3"/>
      <c r="B2625" s="3"/>
      <c r="C2625" s="3"/>
      <c r="D2625" s="3"/>
      <c r="E2625" s="3"/>
      <c r="F2625" s="3"/>
      <c r="G2625" s="3"/>
      <c r="H2625" s="3"/>
      <c r="I2625" s="3"/>
      <c r="J2625" s="3"/>
      <c r="K2625" s="3"/>
      <c r="L2625" s="3"/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</row>
    <row r="2626">
      <c r="A2626" s="3"/>
      <c r="B2626" s="3"/>
      <c r="C2626" s="3"/>
      <c r="D2626" s="3"/>
      <c r="E2626" s="3"/>
      <c r="F2626" s="3"/>
      <c r="G2626" s="3"/>
      <c r="H2626" s="3"/>
      <c r="I2626" s="3"/>
      <c r="J2626" s="3"/>
      <c r="K2626" s="3"/>
      <c r="L2626" s="3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</row>
    <row r="2627">
      <c r="A2627" s="3"/>
      <c r="B2627" s="3"/>
      <c r="C2627" s="3"/>
      <c r="D2627" s="3"/>
      <c r="E2627" s="3"/>
      <c r="F2627" s="3"/>
      <c r="G2627" s="3"/>
      <c r="H2627" s="3"/>
      <c r="I2627" s="3"/>
      <c r="J2627" s="3"/>
      <c r="K2627" s="3"/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</row>
    <row r="2628">
      <c r="A2628" s="3"/>
      <c r="B2628" s="3"/>
      <c r="C2628" s="3"/>
      <c r="D2628" s="3"/>
      <c r="E2628" s="3"/>
      <c r="F2628" s="3"/>
      <c r="G2628" s="3"/>
      <c r="H2628" s="3"/>
      <c r="I2628" s="3"/>
      <c r="J2628" s="3"/>
      <c r="K2628" s="3"/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</row>
    <row r="2629">
      <c r="A2629" s="3"/>
      <c r="B2629" s="3"/>
      <c r="C2629" s="3"/>
      <c r="D2629" s="3"/>
      <c r="E2629" s="3"/>
      <c r="F2629" s="3"/>
      <c r="G2629" s="3"/>
      <c r="H2629" s="3"/>
      <c r="I2629" s="3"/>
      <c r="J2629" s="3"/>
      <c r="K2629" s="3"/>
      <c r="L2629" s="3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</row>
    <row r="2630">
      <c r="A2630" s="3"/>
      <c r="B2630" s="3"/>
      <c r="C2630" s="3"/>
      <c r="D2630" s="3"/>
      <c r="E2630" s="3"/>
      <c r="F2630" s="3"/>
      <c r="G2630" s="3"/>
      <c r="H2630" s="3"/>
      <c r="I2630" s="3"/>
      <c r="J2630" s="3"/>
      <c r="K2630" s="3"/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</row>
    <row r="2631">
      <c r="A2631" s="3"/>
      <c r="B2631" s="3"/>
      <c r="C2631" s="3"/>
      <c r="D2631" s="3"/>
      <c r="E2631" s="3"/>
      <c r="F2631" s="3"/>
      <c r="G2631" s="3"/>
      <c r="H2631" s="3"/>
      <c r="I2631" s="3"/>
      <c r="J2631" s="3"/>
      <c r="K2631" s="3"/>
      <c r="L2631" s="3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</row>
    <row r="2632">
      <c r="A2632" s="3"/>
      <c r="B2632" s="3"/>
      <c r="C2632" s="3"/>
      <c r="D2632" s="3"/>
      <c r="E2632" s="3"/>
      <c r="F2632" s="3"/>
      <c r="G2632" s="3"/>
      <c r="H2632" s="3"/>
      <c r="I2632" s="3"/>
      <c r="J2632" s="3"/>
      <c r="K2632" s="3"/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</row>
    <row r="2633">
      <c r="A2633" s="3"/>
      <c r="B2633" s="3"/>
      <c r="C2633" s="3"/>
      <c r="D2633" s="3"/>
      <c r="E2633" s="3"/>
      <c r="F2633" s="3"/>
      <c r="G2633" s="3"/>
      <c r="H2633" s="3"/>
      <c r="I2633" s="3"/>
      <c r="J2633" s="3"/>
      <c r="K2633" s="3"/>
      <c r="L2633" s="3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/>
    </row>
    <row r="2634">
      <c r="A2634" s="3"/>
      <c r="B2634" s="3"/>
      <c r="C2634" s="3"/>
      <c r="D2634" s="3"/>
      <c r="E2634" s="3"/>
      <c r="F2634" s="3"/>
      <c r="G2634" s="3"/>
      <c r="H2634" s="3"/>
      <c r="I2634" s="3"/>
      <c r="J2634" s="3"/>
      <c r="K2634" s="3"/>
      <c r="L2634" s="3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</row>
    <row r="2635">
      <c r="A2635" s="3"/>
      <c r="B2635" s="3"/>
      <c r="C2635" s="3"/>
      <c r="D2635" s="3"/>
      <c r="E2635" s="3"/>
      <c r="F2635" s="3"/>
      <c r="G2635" s="3"/>
      <c r="H2635" s="3"/>
      <c r="I2635" s="3"/>
      <c r="J2635" s="3"/>
      <c r="K2635" s="3"/>
      <c r="L2635" s="3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</row>
    <row r="2636">
      <c r="A2636" s="3"/>
      <c r="B2636" s="3"/>
      <c r="C2636" s="3"/>
      <c r="D2636" s="3"/>
      <c r="E2636" s="3"/>
      <c r="F2636" s="3"/>
      <c r="G2636" s="3"/>
      <c r="H2636" s="3"/>
      <c r="I2636" s="3"/>
      <c r="J2636" s="3"/>
      <c r="K2636" s="3"/>
      <c r="L2636" s="3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</row>
    <row r="2637">
      <c r="A2637" s="3"/>
      <c r="B2637" s="3"/>
      <c r="C2637" s="3"/>
      <c r="D2637" s="3"/>
      <c r="E2637" s="3"/>
      <c r="F2637" s="3"/>
      <c r="G2637" s="3"/>
      <c r="H2637" s="3"/>
      <c r="I2637" s="3"/>
      <c r="J2637" s="3"/>
      <c r="K2637" s="3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</row>
    <row r="2638">
      <c r="A2638" s="3"/>
      <c r="B2638" s="3"/>
      <c r="C2638" s="3"/>
      <c r="D2638" s="3"/>
      <c r="E2638" s="3"/>
      <c r="F2638" s="3"/>
      <c r="G2638" s="3"/>
      <c r="H2638" s="3"/>
      <c r="I2638" s="3"/>
      <c r="J2638" s="3"/>
      <c r="K2638" s="3"/>
      <c r="L2638" s="3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</row>
    <row r="2639">
      <c r="A2639" s="3"/>
      <c r="B2639" s="3"/>
      <c r="C2639" s="3"/>
      <c r="D2639" s="3"/>
      <c r="E2639" s="3"/>
      <c r="F2639" s="3"/>
      <c r="G2639" s="3"/>
      <c r="H2639" s="3"/>
      <c r="I2639" s="3"/>
      <c r="J2639" s="3"/>
      <c r="K2639" s="3"/>
      <c r="L2639" s="3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</row>
    <row r="2640">
      <c r="A2640" s="3"/>
      <c r="B2640" s="3"/>
      <c r="C2640" s="3"/>
      <c r="D2640" s="3"/>
      <c r="E2640" s="3"/>
      <c r="F2640" s="3"/>
      <c r="G2640" s="3"/>
      <c r="H2640" s="3"/>
      <c r="I2640" s="3"/>
      <c r="J2640" s="3"/>
      <c r="K2640" s="3"/>
      <c r="L2640" s="3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</row>
    <row r="2641">
      <c r="A2641" s="3"/>
      <c r="B2641" s="3"/>
      <c r="C2641" s="3"/>
      <c r="D2641" s="3"/>
      <c r="E2641" s="3"/>
      <c r="F2641" s="3"/>
      <c r="G2641" s="3"/>
      <c r="H2641" s="3"/>
      <c r="I2641" s="3"/>
      <c r="J2641" s="3"/>
      <c r="K2641" s="3"/>
      <c r="L2641" s="3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</row>
    <row r="2642">
      <c r="A2642" s="3"/>
      <c r="B2642" s="3"/>
      <c r="C2642" s="3"/>
      <c r="D2642" s="3"/>
      <c r="E2642" s="3"/>
      <c r="F2642" s="3"/>
      <c r="G2642" s="3"/>
      <c r="H2642" s="3"/>
      <c r="I2642" s="3"/>
      <c r="J2642" s="3"/>
      <c r="K2642" s="3"/>
      <c r="L2642" s="3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</row>
    <row r="2643">
      <c r="A2643" s="3"/>
      <c r="B2643" s="3"/>
      <c r="C2643" s="3"/>
      <c r="D2643" s="3"/>
      <c r="E2643" s="3"/>
      <c r="F2643" s="3"/>
      <c r="G2643" s="3"/>
      <c r="H2643" s="3"/>
      <c r="I2643" s="3"/>
      <c r="J2643" s="3"/>
      <c r="K2643" s="3"/>
      <c r="L2643" s="3"/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</row>
    <row r="2644">
      <c r="A2644" s="3"/>
      <c r="B2644" s="3"/>
      <c r="C2644" s="3"/>
      <c r="D2644" s="3"/>
      <c r="E2644" s="3"/>
      <c r="F2644" s="3"/>
      <c r="G2644" s="3"/>
      <c r="H2644" s="3"/>
      <c r="I2644" s="3"/>
      <c r="J2644" s="3"/>
      <c r="K2644" s="3"/>
      <c r="L2644" s="3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</row>
    <row r="2645">
      <c r="A2645" s="3"/>
      <c r="B2645" s="3"/>
      <c r="C2645" s="3"/>
      <c r="D2645" s="3"/>
      <c r="E2645" s="3"/>
      <c r="F2645" s="3"/>
      <c r="G2645" s="3"/>
      <c r="H2645" s="3"/>
      <c r="I2645" s="3"/>
      <c r="J2645" s="3"/>
      <c r="K2645" s="3"/>
      <c r="L2645" s="3"/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3"/>
    </row>
    <row r="2646">
      <c r="A2646" s="3"/>
      <c r="B2646" s="3"/>
      <c r="C2646" s="3"/>
      <c r="D2646" s="3"/>
      <c r="E2646" s="3"/>
      <c r="F2646" s="3"/>
      <c r="G2646" s="3"/>
      <c r="H2646" s="3"/>
      <c r="I2646" s="3"/>
      <c r="J2646" s="3"/>
      <c r="K2646" s="3"/>
      <c r="L2646" s="3"/>
      <c r="M2646" s="3"/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</row>
    <row r="2647">
      <c r="A2647" s="3"/>
      <c r="B2647" s="3"/>
      <c r="C2647" s="3"/>
      <c r="D2647" s="3"/>
      <c r="E2647" s="3"/>
      <c r="F2647" s="3"/>
      <c r="G2647" s="3"/>
      <c r="H2647" s="3"/>
      <c r="I2647" s="3"/>
      <c r="J2647" s="3"/>
      <c r="K2647" s="3"/>
      <c r="L2647" s="3"/>
      <c r="M2647" s="3"/>
      <c r="N2647" s="3"/>
      <c r="O2647" s="3"/>
      <c r="P2647" s="3"/>
      <c r="Q2647" s="3"/>
      <c r="R2647" s="3"/>
      <c r="S2647" s="3"/>
      <c r="T2647" s="3"/>
      <c r="U2647" s="3"/>
      <c r="V2647" s="3"/>
      <c r="W2647" s="3"/>
      <c r="X2647" s="3"/>
      <c r="Y2647" s="3"/>
      <c r="Z2647" s="3"/>
    </row>
    <row r="2648">
      <c r="A2648" s="3"/>
      <c r="B2648" s="3"/>
      <c r="C2648" s="3"/>
      <c r="D2648" s="3"/>
      <c r="E2648" s="3"/>
      <c r="F2648" s="3"/>
      <c r="G2648" s="3"/>
      <c r="H2648" s="3"/>
      <c r="I2648" s="3"/>
      <c r="J2648" s="3"/>
      <c r="K2648" s="3"/>
      <c r="L2648" s="3"/>
      <c r="M2648" s="3"/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  <c r="Y2648" s="3"/>
      <c r="Z2648" s="3"/>
    </row>
    <row r="2649">
      <c r="A2649" s="3"/>
      <c r="B2649" s="3"/>
      <c r="C2649" s="3"/>
      <c r="D2649" s="3"/>
      <c r="E2649" s="3"/>
      <c r="F2649" s="3"/>
      <c r="G2649" s="3"/>
      <c r="H2649" s="3"/>
      <c r="I2649" s="3"/>
      <c r="J2649" s="3"/>
      <c r="K2649" s="3"/>
      <c r="L2649" s="3"/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3"/>
      <c r="Y2649" s="3"/>
      <c r="Z2649" s="3"/>
    </row>
    <row r="2650">
      <c r="A2650" s="3"/>
      <c r="B2650" s="3"/>
      <c r="C2650" s="3"/>
      <c r="D2650" s="3"/>
      <c r="E2650" s="3"/>
      <c r="F2650" s="3"/>
      <c r="G2650" s="3"/>
      <c r="H2650" s="3"/>
      <c r="I2650" s="3"/>
      <c r="J2650" s="3"/>
      <c r="K2650" s="3"/>
      <c r="L2650" s="3"/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</row>
    <row r="2651">
      <c r="A2651" s="3"/>
      <c r="B2651" s="3"/>
      <c r="C2651" s="3"/>
      <c r="D2651" s="3"/>
      <c r="E2651" s="3"/>
      <c r="F2651" s="3"/>
      <c r="G2651" s="3"/>
      <c r="H2651" s="3"/>
      <c r="I2651" s="3"/>
      <c r="J2651" s="3"/>
      <c r="K2651" s="3"/>
      <c r="L2651" s="3"/>
      <c r="M2651" s="3"/>
      <c r="N2651" s="3"/>
      <c r="O2651" s="3"/>
      <c r="P2651" s="3"/>
      <c r="Q2651" s="3"/>
      <c r="R2651" s="3"/>
      <c r="S2651" s="3"/>
      <c r="T2651" s="3"/>
      <c r="U2651" s="3"/>
      <c r="V2651" s="3"/>
      <c r="W2651" s="3"/>
      <c r="X2651" s="3"/>
      <c r="Y2651" s="3"/>
      <c r="Z2651" s="3"/>
    </row>
    <row r="2652">
      <c r="A2652" s="3"/>
      <c r="B2652" s="3"/>
      <c r="C2652" s="3"/>
      <c r="D2652" s="3"/>
      <c r="E2652" s="3"/>
      <c r="F2652" s="3"/>
      <c r="G2652" s="3"/>
      <c r="H2652" s="3"/>
      <c r="I2652" s="3"/>
      <c r="J2652" s="3"/>
      <c r="K2652" s="3"/>
      <c r="L2652" s="3"/>
      <c r="M2652" s="3"/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</row>
    <row r="2653">
      <c r="A2653" s="3"/>
      <c r="B2653" s="3"/>
      <c r="C2653" s="3"/>
      <c r="D2653" s="3"/>
      <c r="E2653" s="3"/>
      <c r="F2653" s="3"/>
      <c r="G2653" s="3"/>
      <c r="H2653" s="3"/>
      <c r="I2653" s="3"/>
      <c r="J2653" s="3"/>
      <c r="K2653" s="3"/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  <c r="Y2653" s="3"/>
      <c r="Z2653" s="3"/>
    </row>
    <row r="2654">
      <c r="A2654" s="3"/>
      <c r="B2654" s="3"/>
      <c r="C2654" s="3"/>
      <c r="D2654" s="3"/>
      <c r="E2654" s="3"/>
      <c r="F2654" s="3"/>
      <c r="G2654" s="3"/>
      <c r="H2654" s="3"/>
      <c r="I2654" s="3"/>
      <c r="J2654" s="3"/>
      <c r="K2654" s="3"/>
      <c r="L2654" s="3"/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/>
    </row>
    <row r="2655">
      <c r="A2655" s="3"/>
      <c r="B2655" s="3"/>
      <c r="C2655" s="3"/>
      <c r="D2655" s="3"/>
      <c r="E2655" s="3"/>
      <c r="F2655" s="3"/>
      <c r="G2655" s="3"/>
      <c r="H2655" s="3"/>
      <c r="I2655" s="3"/>
      <c r="J2655" s="3"/>
      <c r="K2655" s="3"/>
      <c r="L2655" s="3"/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</row>
    <row r="2656">
      <c r="A2656" s="3"/>
      <c r="B2656" s="3"/>
      <c r="C2656" s="3"/>
      <c r="D2656" s="3"/>
      <c r="E2656" s="3"/>
      <c r="F2656" s="3"/>
      <c r="G2656" s="3"/>
      <c r="H2656" s="3"/>
      <c r="I2656" s="3"/>
      <c r="J2656" s="3"/>
      <c r="K2656" s="3"/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/>
    </row>
    <row r="2657">
      <c r="A2657" s="3"/>
      <c r="B2657" s="3"/>
      <c r="C2657" s="3"/>
      <c r="D2657" s="3"/>
      <c r="E2657" s="3"/>
      <c r="F2657" s="3"/>
      <c r="G2657" s="3"/>
      <c r="H2657" s="3"/>
      <c r="I2657" s="3"/>
      <c r="J2657" s="3"/>
      <c r="K2657" s="3"/>
      <c r="L2657" s="3"/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  <c r="Y2657" s="3"/>
      <c r="Z2657" s="3"/>
    </row>
    <row r="2658">
      <c r="A2658" s="3"/>
      <c r="B2658" s="3"/>
      <c r="C2658" s="3"/>
      <c r="D2658" s="3"/>
      <c r="E2658" s="3"/>
      <c r="F2658" s="3"/>
      <c r="G2658" s="3"/>
      <c r="H2658" s="3"/>
      <c r="I2658" s="3"/>
      <c r="J2658" s="3"/>
      <c r="K2658" s="3"/>
      <c r="L2658" s="3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</row>
    <row r="2659">
      <c r="A2659" s="3"/>
      <c r="B2659" s="3"/>
      <c r="C2659" s="3"/>
      <c r="D2659" s="3"/>
      <c r="E2659" s="3"/>
      <c r="F2659" s="3"/>
      <c r="G2659" s="3"/>
      <c r="H2659" s="3"/>
      <c r="I2659" s="3"/>
      <c r="J2659" s="3"/>
      <c r="K2659" s="3"/>
      <c r="L2659" s="3"/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3"/>
      <c r="Y2659" s="3"/>
      <c r="Z2659" s="3"/>
    </row>
    <row r="2660">
      <c r="A2660" s="3"/>
      <c r="B2660" s="3"/>
      <c r="C2660" s="3"/>
      <c r="D2660" s="3"/>
      <c r="E2660" s="3"/>
      <c r="F2660" s="3"/>
      <c r="G2660" s="3"/>
      <c r="H2660" s="3"/>
      <c r="I2660" s="3"/>
      <c r="J2660" s="3"/>
      <c r="K2660" s="3"/>
      <c r="L2660" s="3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</row>
    <row r="2661">
      <c r="A2661" s="3"/>
      <c r="B2661" s="3"/>
      <c r="C2661" s="3"/>
      <c r="D2661" s="3"/>
      <c r="E2661" s="3"/>
      <c r="F2661" s="3"/>
      <c r="G2661" s="3"/>
      <c r="H2661" s="3"/>
      <c r="I2661" s="3"/>
      <c r="J2661" s="3"/>
      <c r="K2661" s="3"/>
      <c r="L2661" s="3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</row>
    <row r="2662">
      <c r="A2662" s="3"/>
      <c r="B2662" s="3"/>
      <c r="C2662" s="3"/>
      <c r="D2662" s="3"/>
      <c r="E2662" s="3"/>
      <c r="F2662" s="3"/>
      <c r="G2662" s="3"/>
      <c r="H2662" s="3"/>
      <c r="I2662" s="3"/>
      <c r="J2662" s="3"/>
      <c r="K2662" s="3"/>
      <c r="L2662" s="3"/>
      <c r="M2662" s="3"/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</row>
    <row r="2663">
      <c r="A2663" s="3"/>
      <c r="B2663" s="3"/>
      <c r="C2663" s="3"/>
      <c r="D2663" s="3"/>
      <c r="E2663" s="3"/>
      <c r="F2663" s="3"/>
      <c r="G2663" s="3"/>
      <c r="H2663" s="3"/>
      <c r="I2663" s="3"/>
      <c r="J2663" s="3"/>
      <c r="K2663" s="3"/>
      <c r="L2663" s="3"/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</row>
    <row r="2664">
      <c r="A2664" s="3"/>
      <c r="B2664" s="3"/>
      <c r="C2664" s="3"/>
      <c r="D2664" s="3"/>
      <c r="E2664" s="3"/>
      <c r="F2664" s="3"/>
      <c r="G2664" s="3"/>
      <c r="H2664" s="3"/>
      <c r="I2664" s="3"/>
      <c r="J2664" s="3"/>
      <c r="K2664" s="3"/>
      <c r="L2664" s="3"/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</row>
    <row r="2665">
      <c r="A2665" s="3"/>
      <c r="B2665" s="3"/>
      <c r="C2665" s="3"/>
      <c r="D2665" s="3"/>
      <c r="E2665" s="3"/>
      <c r="F2665" s="3"/>
      <c r="G2665" s="3"/>
      <c r="H2665" s="3"/>
      <c r="I2665" s="3"/>
      <c r="J2665" s="3"/>
      <c r="K2665" s="3"/>
      <c r="L2665" s="3"/>
      <c r="M2665" s="3"/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</row>
    <row r="2666">
      <c r="A2666" s="3"/>
      <c r="B2666" s="3"/>
      <c r="C2666" s="3"/>
      <c r="D2666" s="3"/>
      <c r="E2666" s="3"/>
      <c r="F2666" s="3"/>
      <c r="G2666" s="3"/>
      <c r="H2666" s="3"/>
      <c r="I2666" s="3"/>
      <c r="J2666" s="3"/>
      <c r="K2666" s="3"/>
      <c r="L2666" s="3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3"/>
    </row>
    <row r="2667">
      <c r="A2667" s="3"/>
      <c r="B2667" s="3"/>
      <c r="C2667" s="3"/>
      <c r="D2667" s="3"/>
      <c r="E2667" s="3"/>
      <c r="F2667" s="3"/>
      <c r="G2667" s="3"/>
      <c r="H2667" s="3"/>
      <c r="I2667" s="3"/>
      <c r="J2667" s="3"/>
      <c r="K2667" s="3"/>
      <c r="L2667" s="3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  <c r="X2667" s="3"/>
      <c r="Y2667" s="3"/>
      <c r="Z2667" s="3"/>
    </row>
    <row r="2668">
      <c r="A2668" s="3"/>
      <c r="B2668" s="3"/>
      <c r="C2668" s="3"/>
      <c r="D2668" s="3"/>
      <c r="E2668" s="3"/>
      <c r="F2668" s="3"/>
      <c r="G2668" s="3"/>
      <c r="H2668" s="3"/>
      <c r="I2668" s="3"/>
      <c r="J2668" s="3"/>
      <c r="K2668" s="3"/>
      <c r="L2668" s="3"/>
      <c r="M2668" s="3"/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  <c r="Y2668" s="3"/>
      <c r="Z2668" s="3"/>
    </row>
    <row r="2669">
      <c r="A2669" s="3"/>
      <c r="B2669" s="3"/>
      <c r="C2669" s="3"/>
      <c r="D2669" s="3"/>
      <c r="E2669" s="3"/>
      <c r="F2669" s="3"/>
      <c r="G2669" s="3"/>
      <c r="H2669" s="3"/>
      <c r="I2669" s="3"/>
      <c r="J2669" s="3"/>
      <c r="K2669" s="3"/>
      <c r="L2669" s="3"/>
      <c r="M2669" s="3"/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3"/>
      <c r="Y2669" s="3"/>
      <c r="Z2669" s="3"/>
    </row>
    <row r="2670">
      <c r="A2670" s="3"/>
      <c r="B2670" s="3"/>
      <c r="C2670" s="3"/>
      <c r="D2670" s="3"/>
      <c r="E2670" s="3"/>
      <c r="F2670" s="3"/>
      <c r="G2670" s="3"/>
      <c r="H2670" s="3"/>
      <c r="I2670" s="3"/>
      <c r="J2670" s="3"/>
      <c r="K2670" s="3"/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</row>
    <row r="2671">
      <c r="A2671" s="3"/>
      <c r="B2671" s="3"/>
      <c r="C2671" s="3"/>
      <c r="D2671" s="3"/>
      <c r="E2671" s="3"/>
      <c r="F2671" s="3"/>
      <c r="G2671" s="3"/>
      <c r="H2671" s="3"/>
      <c r="I2671" s="3"/>
      <c r="J2671" s="3"/>
      <c r="K2671" s="3"/>
      <c r="L2671" s="3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</row>
    <row r="2672">
      <c r="A2672" s="3"/>
      <c r="B2672" s="3"/>
      <c r="C2672" s="3"/>
      <c r="D2672" s="3"/>
      <c r="E2672" s="3"/>
      <c r="F2672" s="3"/>
      <c r="G2672" s="3"/>
      <c r="H2672" s="3"/>
      <c r="I2672" s="3"/>
      <c r="J2672" s="3"/>
      <c r="K2672" s="3"/>
      <c r="L2672" s="3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</row>
    <row r="2673">
      <c r="A2673" s="3"/>
      <c r="B2673" s="3"/>
      <c r="C2673" s="3"/>
      <c r="D2673" s="3"/>
      <c r="E2673" s="3"/>
      <c r="F2673" s="3"/>
      <c r="G2673" s="3"/>
      <c r="H2673" s="3"/>
      <c r="I2673" s="3"/>
      <c r="J2673" s="3"/>
      <c r="K2673" s="3"/>
      <c r="L2673" s="3"/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</row>
    <row r="2674">
      <c r="A2674" s="3"/>
      <c r="B2674" s="3"/>
      <c r="C2674" s="3"/>
      <c r="D2674" s="3"/>
      <c r="E2674" s="3"/>
      <c r="F2674" s="3"/>
      <c r="G2674" s="3"/>
      <c r="H2674" s="3"/>
      <c r="I2674" s="3"/>
      <c r="J2674" s="3"/>
      <c r="K2674" s="3"/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</row>
    <row r="2675">
      <c r="A2675" s="3"/>
      <c r="B2675" s="3"/>
      <c r="C2675" s="3"/>
      <c r="D2675" s="3"/>
      <c r="E2675" s="3"/>
      <c r="F2675" s="3"/>
      <c r="G2675" s="3"/>
      <c r="H2675" s="3"/>
      <c r="I2675" s="3"/>
      <c r="J2675" s="3"/>
      <c r="K2675" s="3"/>
      <c r="L2675" s="3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</row>
    <row r="2676">
      <c r="A2676" s="3"/>
      <c r="B2676" s="3"/>
      <c r="C2676" s="3"/>
      <c r="D2676" s="3"/>
      <c r="E2676" s="3"/>
      <c r="F2676" s="3"/>
      <c r="G2676" s="3"/>
      <c r="H2676" s="3"/>
      <c r="I2676" s="3"/>
      <c r="J2676" s="3"/>
      <c r="K2676" s="3"/>
      <c r="L2676" s="3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3"/>
    </row>
    <row r="2677">
      <c r="A2677" s="3"/>
      <c r="B2677" s="3"/>
      <c r="C2677" s="3"/>
      <c r="D2677" s="3"/>
      <c r="E2677" s="3"/>
      <c r="F2677" s="3"/>
      <c r="G2677" s="3"/>
      <c r="H2677" s="3"/>
      <c r="I2677" s="3"/>
      <c r="J2677" s="3"/>
      <c r="K2677" s="3"/>
      <c r="L2677" s="3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  <c r="X2677" s="3"/>
      <c r="Y2677" s="3"/>
      <c r="Z2677" s="3"/>
    </row>
    <row r="2678">
      <c r="A2678" s="3"/>
      <c r="B2678" s="3"/>
      <c r="C2678" s="3"/>
      <c r="D2678" s="3"/>
      <c r="E2678" s="3"/>
      <c r="F2678" s="3"/>
      <c r="G2678" s="3"/>
      <c r="H2678" s="3"/>
      <c r="I2678" s="3"/>
      <c r="J2678" s="3"/>
      <c r="K2678" s="3"/>
      <c r="L2678" s="3"/>
      <c r="M2678" s="3"/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</row>
    <row r="2679">
      <c r="A2679" s="3"/>
      <c r="B2679" s="3"/>
      <c r="C2679" s="3"/>
      <c r="D2679" s="3"/>
      <c r="E2679" s="3"/>
      <c r="F2679" s="3"/>
      <c r="G2679" s="3"/>
      <c r="H2679" s="3"/>
      <c r="I2679" s="3"/>
      <c r="J2679" s="3"/>
      <c r="K2679" s="3"/>
      <c r="L2679" s="3"/>
      <c r="M2679" s="3"/>
      <c r="N2679" s="3"/>
      <c r="O2679" s="3"/>
      <c r="P2679" s="3"/>
      <c r="Q2679" s="3"/>
      <c r="R2679" s="3"/>
      <c r="S2679" s="3"/>
      <c r="T2679" s="3"/>
      <c r="U2679" s="3"/>
      <c r="V2679" s="3"/>
      <c r="W2679" s="3"/>
      <c r="X2679" s="3"/>
      <c r="Y2679" s="3"/>
      <c r="Z2679" s="3"/>
    </row>
    <row r="2680">
      <c r="A2680" s="3"/>
      <c r="B2680" s="3"/>
      <c r="C2680" s="3"/>
      <c r="D2680" s="3"/>
      <c r="E2680" s="3"/>
      <c r="F2680" s="3"/>
      <c r="G2680" s="3"/>
      <c r="H2680" s="3"/>
      <c r="I2680" s="3"/>
      <c r="J2680" s="3"/>
      <c r="K2680" s="3"/>
      <c r="L2680" s="3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</row>
    <row r="2681">
      <c r="A2681" s="3"/>
      <c r="B2681" s="3"/>
      <c r="C2681" s="3"/>
      <c r="D2681" s="3"/>
      <c r="E2681" s="3"/>
      <c r="F2681" s="3"/>
      <c r="G2681" s="3"/>
      <c r="H2681" s="3"/>
      <c r="I2681" s="3"/>
      <c r="J2681" s="3"/>
      <c r="K2681" s="3"/>
      <c r="L2681" s="3"/>
      <c r="M2681" s="3"/>
      <c r="N2681" s="3"/>
      <c r="O2681" s="3"/>
      <c r="P2681" s="3"/>
      <c r="Q2681" s="3"/>
      <c r="R2681" s="3"/>
      <c r="S2681" s="3"/>
      <c r="T2681" s="3"/>
      <c r="U2681" s="3"/>
      <c r="V2681" s="3"/>
      <c r="W2681" s="3"/>
      <c r="X2681" s="3"/>
      <c r="Y2681" s="3"/>
      <c r="Z2681" s="3"/>
    </row>
    <row r="2682">
      <c r="A2682" s="3"/>
      <c r="B2682" s="3"/>
      <c r="C2682" s="3"/>
      <c r="D2682" s="3"/>
      <c r="E2682" s="3"/>
      <c r="F2682" s="3"/>
      <c r="G2682" s="3"/>
      <c r="H2682" s="3"/>
      <c r="I2682" s="3"/>
      <c r="J2682" s="3"/>
      <c r="K2682" s="3"/>
      <c r="L2682" s="3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  <c r="Y2682" s="3"/>
      <c r="Z2682" s="3"/>
    </row>
    <row r="2683">
      <c r="A2683" s="3"/>
      <c r="B2683" s="3"/>
      <c r="C2683" s="3"/>
      <c r="D2683" s="3"/>
      <c r="E2683" s="3"/>
      <c r="F2683" s="3"/>
      <c r="G2683" s="3"/>
      <c r="H2683" s="3"/>
      <c r="I2683" s="3"/>
      <c r="J2683" s="3"/>
      <c r="K2683" s="3"/>
      <c r="L2683" s="3"/>
      <c r="M2683" s="3"/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3"/>
      <c r="Y2683" s="3"/>
      <c r="Z2683" s="3"/>
    </row>
    <row r="2684">
      <c r="A2684" s="3"/>
      <c r="B2684" s="3"/>
      <c r="C2684" s="3"/>
      <c r="D2684" s="3"/>
      <c r="E2684" s="3"/>
      <c r="F2684" s="3"/>
      <c r="G2684" s="3"/>
      <c r="H2684" s="3"/>
      <c r="I2684" s="3"/>
      <c r="J2684" s="3"/>
      <c r="K2684" s="3"/>
      <c r="L2684" s="3"/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</row>
    <row r="2685">
      <c r="A2685" s="3"/>
      <c r="B2685" s="3"/>
      <c r="C2685" s="3"/>
      <c r="D2685" s="3"/>
      <c r="E2685" s="3"/>
      <c r="F2685" s="3"/>
      <c r="G2685" s="3"/>
      <c r="H2685" s="3"/>
      <c r="I2685" s="3"/>
      <c r="J2685" s="3"/>
      <c r="K2685" s="3"/>
      <c r="L2685" s="3"/>
      <c r="M2685" s="3"/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7.75"/>
    <col customWidth="1" min="4" max="4" width="30.25"/>
    <col customWidth="1" min="6" max="6" width="14.88"/>
    <col customWidth="1" min="7" max="7" width="21.13"/>
    <col customWidth="1" min="10" max="10" width="15.38"/>
    <col customWidth="1" min="11" max="12" width="37.13"/>
  </cols>
  <sheetData>
    <row r="1">
      <c r="A1" s="4" t="s">
        <v>14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5" t="s">
        <v>20</v>
      </c>
      <c r="H1" s="6" t="s">
        <v>21</v>
      </c>
      <c r="I1" s="6" t="s">
        <v>22</v>
      </c>
      <c r="J1" s="7" t="s">
        <v>23</v>
      </c>
      <c r="K1" s="4" t="s">
        <v>24</v>
      </c>
      <c r="L1" s="8" t="s">
        <v>25</v>
      </c>
      <c r="M1" s="4" t="s">
        <v>26</v>
      </c>
      <c r="N1" s="4" t="s">
        <v>27</v>
      </c>
      <c r="O1" s="7" t="s">
        <v>28</v>
      </c>
      <c r="P1" s="9" t="s">
        <v>29</v>
      </c>
      <c r="Q1" s="7" t="s">
        <v>30</v>
      </c>
      <c r="R1" s="10" t="s">
        <v>31</v>
      </c>
      <c r="S1" s="7" t="s">
        <v>32</v>
      </c>
      <c r="T1" s="7" t="s">
        <v>33</v>
      </c>
      <c r="U1" s="7" t="s">
        <v>34</v>
      </c>
      <c r="V1" s="4" t="s">
        <v>35</v>
      </c>
      <c r="W1" s="4" t="s">
        <v>36</v>
      </c>
      <c r="X1" s="4" t="s">
        <v>37</v>
      </c>
      <c r="Y1" s="4" t="s">
        <v>38</v>
      </c>
      <c r="Z1" s="11" t="s">
        <v>39</v>
      </c>
      <c r="AA1" s="11" t="s">
        <v>40</v>
      </c>
      <c r="AB1" s="4" t="s">
        <v>41</v>
      </c>
      <c r="AC1" s="4" t="s">
        <v>42</v>
      </c>
      <c r="AD1" s="4" t="s">
        <v>43</v>
      </c>
      <c r="AE1" s="4" t="s">
        <v>44</v>
      </c>
      <c r="AF1" s="4" t="s">
        <v>45</v>
      </c>
      <c r="AG1" s="12" t="s">
        <v>46</v>
      </c>
      <c r="AH1" s="4" t="s">
        <v>47</v>
      </c>
      <c r="AI1" s="4" t="s">
        <v>48</v>
      </c>
      <c r="AJ1" s="4" t="s">
        <v>49</v>
      </c>
      <c r="AK1" s="4" t="s">
        <v>50</v>
      </c>
      <c r="AL1" s="4" t="s">
        <v>51</v>
      </c>
      <c r="AM1" s="4" t="s">
        <v>52</v>
      </c>
      <c r="AN1" s="4" t="s">
        <v>53</v>
      </c>
      <c r="AO1" s="4" t="s">
        <v>54</v>
      </c>
      <c r="AP1" s="4" t="s">
        <v>55</v>
      </c>
      <c r="AQ1" s="4" t="s">
        <v>56</v>
      </c>
      <c r="AR1" s="12" t="s">
        <v>57</v>
      </c>
      <c r="AS1" s="12" t="s">
        <v>58</v>
      </c>
      <c r="AT1" s="12" t="s">
        <v>59</v>
      </c>
      <c r="AU1" s="12" t="s">
        <v>60</v>
      </c>
      <c r="AV1" s="12" t="s">
        <v>61</v>
      </c>
      <c r="AW1" s="4" t="s">
        <v>62</v>
      </c>
      <c r="AX1" s="4" t="s">
        <v>63</v>
      </c>
      <c r="AY1" s="4" t="s">
        <v>64</v>
      </c>
      <c r="AZ1" s="4" t="s">
        <v>65</v>
      </c>
      <c r="BA1" s="4" t="s">
        <v>66</v>
      </c>
      <c r="BB1" s="4" t="s">
        <v>67</v>
      </c>
      <c r="BC1" s="4" t="s">
        <v>68</v>
      </c>
      <c r="BD1" s="4" t="s">
        <v>69</v>
      </c>
      <c r="BE1" s="4" t="s">
        <v>70</v>
      </c>
      <c r="BF1" s="4" t="s">
        <v>62</v>
      </c>
      <c r="BG1" s="4" t="s">
        <v>71</v>
      </c>
      <c r="BH1" s="4" t="s">
        <v>63</v>
      </c>
      <c r="BI1" s="12" t="s">
        <v>72</v>
      </c>
      <c r="BJ1" s="12" t="s">
        <v>73</v>
      </c>
      <c r="BK1" s="4" t="s">
        <v>74</v>
      </c>
      <c r="BL1" s="4" t="s">
        <v>75</v>
      </c>
      <c r="BM1" s="4" t="s">
        <v>76</v>
      </c>
      <c r="BN1" s="4" t="s">
        <v>77</v>
      </c>
      <c r="BO1" s="4" t="s">
        <v>78</v>
      </c>
      <c r="BP1" s="4" t="s">
        <v>79</v>
      </c>
      <c r="BQ1" s="4" t="s">
        <v>80</v>
      </c>
      <c r="BR1" s="13" t="s">
        <v>81</v>
      </c>
      <c r="BS1" s="13" t="s">
        <v>82</v>
      </c>
      <c r="BT1" s="13" t="s">
        <v>83</v>
      </c>
      <c r="BU1" s="14" t="s">
        <v>80</v>
      </c>
      <c r="BV1" s="15" t="s">
        <v>81</v>
      </c>
      <c r="BW1" s="15" t="s">
        <v>82</v>
      </c>
      <c r="BX1" s="15" t="s">
        <v>83</v>
      </c>
    </row>
    <row r="2">
      <c r="A2" s="16" t="str">
        <f t="array" ref="A2:A16771">IF(C2:C16771="","","KAZO")</f>
        <v>KAZO</v>
      </c>
      <c r="C2" s="17" t="str">
        <f>IFERROR(__xludf.DUMMYFUNCTION("QUERY({IMPORTRANGE(SheetID!B2,""Sheet2!A2:A"");IMPORTRANGE(SheetID!B3,""Sheet2!A2:A"");IMPORTRANGE(SheetID!B4,""Sheet2!A2:A"");IMPORTRANGE(SheetID!B5,""Sheet2!A2:A"");IMPORTRANGE(SheetID!B6,""Sheet2!A2:A"");IMPORTRANGE(SheetID!B7,""Sheet2!A2:A"");IMPORTRA"&amp;"NGE(SheetID!B8,""Sheet2!A2:A"");IMPORTRANGE(SheetID!B9,""Sheet2!A2:A"");IMPORTRANGE(SheetID!B10,""Sheet2!A2:A"");IMPORTRANGE(SheetID!B11,""Sheet2!A2:A"");IMPORTRANGE(SheetID!B12,""Sheet2!A2:A"");IMPORTRANGE(SheetID!B13,""Sheet2!A2:A"");IMPORTRANGE(SheetID"&amp;"!B14,""Sheet2!A2:A"");IMPORTRANGE(SheetID!B15,""Sheet2!A2:A"");IMPORTRANGE(SheetID!B16,""Sheet2!A2:A"");IMPORTRANGE(SheetID!B17,""Sheet2!A2:A"");IMPORTRANGE(SheetID!B18,""Sheet2!A2:A"");IMPORTRANGE(SheetID!B19,""Sheet2!A2:A"");IMPORTRANGE(SheetID!B20,""Sh"&amp;"eet2!A2:A"");IMPORTRANGE(SheetID!B21,""Sheet2!A2:A"");IMPORTRANGE(SheetID!B22,""Sheet2!A2:A"");IMPORTRANGE(SheetID!B23,""Sheet2!A2:A"");IMPORTRANGE(SheetID!B24,""Sheet2!A2:A"");IMPORTRANGE(SheetID!B25,""Sheet2!A2:A"");IMPORTRANGE(SheetID!B26,""Sheet2!A2:A"&amp;""");IMPORTRANGE(SheetID!B27,""Sheet2!A2:A"");IMPORTRANGE(SheetID!B28,""Sheet2!A2:A"");IMPORTRANGE(SheetID!B29,""Sheet2!A2:A"");IMPORTRANGE(SheetID!B30,""Sheet2!A2:A"");IMPORTRANGE(SheetID!B31,""Sheet2!A2:A"");IMPORTRANGE(SheetID!B32,""Sheet2!A2:A"");IMPOR"&amp;"TRANGE(SheetID!B33,""Sheet2!A2:A"");IMPORTRANGE(SheetID!B34,""Sheet2!A2:A"");IMPORTRANGE(SheetID!B35,""Sheet2!A2:A"")},""select * where Col1 is not null"")"),"#REF!")</f>
        <v>#REF!</v>
      </c>
      <c r="D2" s="17" t="str">
        <f>IFERROR(__xludf.DUMMYFUNCTION("QUERY({IMPORTRANGE(SheetID!B2,""Sheet2!B2:B"");IMPORTRANGE(SheetID!B3,""Sheet2!B2:B"");IMPORTRANGE(SheetID!B4,""Sheet2!B2:B"");IMPORTRANGE(SheetID!B5,""Sheet2!B2:B"");IMPORTRANGE(SheetID!B6,""Sheet2!B2:B"");IMPORTRANGE(SheetID!B7,""Sheet2!B2:B"");IMPORTRA"&amp;"NGE(SheetID!B8,""Sheet2!B2:B"");IMPORTRANGE(SheetID!B9,""Sheet2!B2:B"");IMPORTRANGE(SheetID!B10,""Sheet2!B2:B"");IMPORTRANGE(SheetID!B11,""Sheet2!B2:B"");IMPORTRANGE(SheetID!B12,""Sheet2!B2:B"");IMPORTRANGE(SheetID!B13,""Sheet2!B2:B"");IMPORTRANGE(SheetID"&amp;"!B14,""Sheet2!B2:B"");IMPORTRANGE(SheetID!B15,""Sheet2!B2:B"");IMPORTRANGE(SheetID!B16,""Sheet2!B2:B"");IMPORTRANGE(SheetID!B17,""Sheet2!B2:B"");IMPORTRANGE(SheetID!B18,""Sheet2!B2:B"");IMPORTRANGE(SheetID!B19,""Sheet2!B2:B"");IMPORTRANGE(SheetID!B20,""Sh"&amp;"eet2!B2:B"");IMPORTRANGE(SheetID!B21,""Sheet2!B2:B"");IMPORTRANGE(SheetID!B22,""Sheet2!B2:B"");IMPORTRANGE(SheetID!B23,""Sheet2!B2:B"");IMPORTRANGE(SheetID!B24,""Sheet2!B2:B"");IMPORTRANGE(SheetID!B25,""Sheet2!B2:B"");IMPORTRANGE(SheetID!B26,""Sheet2!B2:B"&amp;""");IMPORTRANGE(SheetID!B27,""Sheet2!B2:B"");IMPORTRANGE(SheetID!B28,""Sheet2!B2:B"");IMPORTRANGE(SheetID!B29,""Sheet2!B2:B"");IMPORTRANGE(SheetID!B30,""Sheet2!B2:B"");IMPORTRANGE(SheetID!B31,""Sheet2!B2:B"");IMPORTRANGE(SheetID!B32,""Sheet2!B2:B"");IMPOR"&amp;"TRANGE(SheetID!B33,""Sheet2!B2:B"");IMPORTRANGE(SheetID!B34,""Sheet2!B2:B"");IMPORTRANGE(SheetID!B35,""Sheet2!B2:B"")},""select * where Col1 is not null"")"),"#REF!")</f>
        <v>#REF!</v>
      </c>
      <c r="E2" s="16" t="str">
        <f>IFERROR(__xludf.DUMMYFUNCTION("ARRAYFORMULA(IF(D2:D16771="""","""",if(A2:A16771&amp;C2:C16771&amp;D2:D16771=IFNA(VLOOKUP(A2:A16771&amp;C2:C16771&amp;D2:D16771,IMPORTRANGE(""1xmCKLljz_kuDZQIAF-mCHnEM0qTOdOFyXjSf9YRLGJ8"",""Sheet1!l2:l""),1,0),""""),""ok"","""")))"),"")</f>
        <v/>
      </c>
      <c r="F2" s="16" t="str">
        <f>IFERROR(__xludf.DUMMYFUNCTION("QUERY({IMPORTRANGE(SheetID!B2,""Sheet2!D2:D"");IMPORTRANGE(SheetID!B3,""Sheet2!D2:D"");IMPORTRANGE(SheetID!B4,""Sheet2!D2:D"");IMPORTRANGE(SheetID!B5,""Sheet2!D2:D"");IMPORTRANGE(SheetID!B6,""Sheet2!D2:D"");IMPORTRANGE(SheetID!B7,""Sheet2!D2:D"");IMPORTRA"&amp;"NGE(SheetID!B8,""Sheet2!D2:D"");IMPORTRANGE(SheetID!B9,""Sheet2!D2:D"");IMPORTRANGE(SheetID!B10,""Sheet2!D2:D"");IMPORTRANGE(SheetID!B11,""Sheet2!D2:D"");IMPORTRANGE(SheetID!B12,""Sheet2!D2:D"");IMPORTRANGE(SheetID!B13,""Sheet2!D2:D"");IMPORTRANGE(SheetID"&amp;"!B14,""Sheet2!D2:D"");IMPORTRANGE(SheetID!B15,""Sheet2!D2:D"");IMPORTRANGE(SheetID!B16,""Sheet2!D2:D"");IMPORTRANGE(SheetID!B17,""Sheet2!D2:D"");IMPORTRANGE(SheetID!B18,""Sheet2!D2:D"");IMPORTRANGE(SheetID!B19,""Sheet2!D2:D"");IMPORTRANGE(SheetID!B20,""Sh"&amp;"eet2!D2:D"");IMPORTRANGE(SheetID!B21,""Sheet2!D2:D"");IMPORTRANGE(SheetID!B22,""Sheet2!D2:D"");IMPORTRANGE(SheetID!B23,""Sheet2!D2:D"");IMPORTRANGE(SheetID!B24,""Sheet2!D2:D"");IMPORTRANGE(SheetID!B25,""Sheet2!D2:D"");IMPORTRANGE(SheetID!B26,""Sheet2!D2:D"&amp;""");IMPORTRANGE(SheetID!B27,""Sheet2!D2:D"");IMPORTRANGE(SheetID!B28,""Sheet2!D2:D"");IMPORTRANGE(SheetID!B29,""Sheet2!D2:D"");IMPORTRANGE(SheetID!B30,""Sheet2!D2:D"");IMPORTRANGE(SheetID!B31,""Sheet2!D2:D"");IMPORTRANGE(SheetID!B32,""Sheet2!D2:D"");IMPOR"&amp;"TRANGE(SheetID!B33,""Sheet2!D2:D"");IMPORTRANGE(SheetID!B34,""Sheet2!D2:D"");IMPORTRANGE(SheetID!B35,""Sheet2!D2:D"")},""select * where Col1 is not null"")"),"#REF!")</f>
        <v>#REF!</v>
      </c>
      <c r="G2" s="18" t="str">
        <f>IFERROR(__xludf.DUMMYFUNCTION("QUERY({IMPORTRANGE(SheetID!B2,""Sheet2!C2:C"");IMPORTRANGE(SheetID!B3,""Sheet2!C2:C"");IMPORTRANGE(SheetID!B4,""Sheet2!C2:C"");IMPORTRANGE(SheetID!B5,""Sheet2!C2:C"");IMPORTRANGE(SheetID!B6,""Sheet2!C2:C"");IMPORTRANGE(SheetID!B7,""Sheet2!C2:C"");IMPORTRA"&amp;"NGE(SheetID!B8,""Sheet2!C2:C"");IMPORTRANGE(SheetID!B9,""Sheet2!C2:C"");IMPORTRANGE(SheetID!B10,""Sheet2!C2:C"");IMPORTRANGE(SheetID!B11,""Sheet2!C2:C"");IMPORTRANGE(SheetID!B12,""Sheet2!C2:C"");IMPORTRANGE(SheetID!B13,""Sheet2!C2:C"");IMPORTRANGE(SheetID"&amp;"!B14,""Sheet2!C2:C"");IMPORTRANGE(SheetID!B15,""Sheet2!C2:C"");IMPORTRANGE(SheetID!B16,""Sheet2!C2:C"");IMPORTRANGE(SheetID!B17,""Sheet2!C2:C"");IMPORTRANGE(SheetID!B18,""Sheet2!C2:C"");IMPORTRANGE(SheetID!B19,""Sheet2!C2:C"");IMPORTRANGE(SheetID!B20,""Sh"&amp;"eet2!C2:C"");IMPORTRANGE(SheetID!B21,""Sheet2!C2:C"");IMPORTRANGE(SheetID!B22,""Sheet2!C2:C"");IMPORTRANGE(SheetID!B23,""Sheet2!C2:C"");IMPORTRANGE(SheetID!B24,""Sheet2!C2:C"");IMPORTRANGE(SheetID!B25,""Sheet2!C2:C"");IMPORTRANGE(SheetID!B26,""Sheet2!C2:C"&amp;""");IMPORTRANGE(SheetID!B27,""Sheet2!C2:C"");IMPORTRANGE(SheetID!B28,""Sheet2!C2:C"");IMPORTRANGE(SheetID!B29,""Sheet2!C2:C"");IMPORTRANGE(SheetID!B30,""Sheet2!C2:C"");IMPORTRANGE(SheetID!B31,""Sheet2!C2:C"");IMPORTRANGE(SheetID!B32,""Sheet2!C2:C"");IMPOR"&amp;"TRANGE(SheetID!B33,""Sheet2!C2:C"");IMPORTRANGE(SheetID!B34,""Sheet2!C2:C"");IMPORTRANGE(SheetID!B35,""Sheet2!C2:C"")},""select * where Col1 is not null"")"),"#REF!")</f>
        <v>#REF!</v>
      </c>
      <c r="H2" s="16" t="str">
        <f t="array" ref="H2:H16771">IF(G2:G16771="","",TEXT(G2:G16771,"MMM"))</f>
        <v>#REF!</v>
      </c>
      <c r="I2" s="16" t="str">
        <f t="array" ref="I2:I16771">IF(G2:G16771="","",TEXT(G2:G16771,"YYYY"))</f>
        <v>#REF!</v>
      </c>
      <c r="J2" s="19" t="str">
        <f>IFERROR(__xludf.DUMMYFUNCTION("QUERY({IMPORTRANGE(SheetID!B2,""Sheet2!E2:E"");IMPORTRANGE(SheetID!B3,""Sheet2!E2:E"");IMPORTRANGE(SheetID!B4,""Sheet2!E2:E"");IMPORTRANGE(SheetID!B5,""Sheet2!E2:E"");IMPORTRANGE(SheetID!B6,""Sheet2!E2:E"");IMPORTRANGE(SheetID!B7,""Sheet2!E2:E"");IMPORTRA"&amp;"NGE(SheetID!B8,""Sheet2!E2:E"");IMPORTRANGE(SheetID!B9,""Sheet2!E2:E"");IMPORTRANGE(SheetID!B10,""Sheet2!E2:E"");IMPORTRANGE(SheetID!B11,""Sheet2!E2:E"");IMPORTRANGE(SheetID!B12,""Sheet2!E2:E"");IMPORTRANGE(SheetID!B13,""Sheet2!E2:E"");IMPORTRANGE(SheetID"&amp;"!B14,""Sheet2!E2:E"");IMPORTRANGE(SheetID!B15,""Sheet2!E2:E"");IMPORTRANGE(SheetID!B16,""Sheet2!E2:E"");IMPORTRANGE(SheetID!B17,""Sheet2!E2:E"");IMPORTRANGE(SheetID!B18,""Sheet2!E2:E"");IMPORTRANGE(SheetID!B19,""Sheet2!E2:E"");IMPORTRANGE(SheetID!B20,""Sh"&amp;"eet2!E2:E"");IMPORTRANGE(SheetID!B21,""Sheet2!E2:E"");IMPORTRANGE(SheetID!B22,""Sheet2!E2:E"");IMPORTRANGE(SheetID!B23,""Sheet2!E2:E"");IMPORTRANGE(SheetID!B24,""Sheet2!E2:E"");IMPORTRANGE(SheetID!B25,""Sheet2!E2:E"");IMPORTRANGE(SheetID!B26,""Sheet2!E2:E"&amp;""");IMPORTRANGE(SheetID!B27,""Sheet2!E2:E"");IMPORTRANGE(SheetID!B28,""Sheet2!E2:E"");IMPORTRANGE(SheetID!B29,""Sheet2!E2:E"");IMPORTRANGE(SheetID!B30,""Sheet2!E2:E"");IMPORTRANGE(SheetID!B31,""Sheet2!E2:E"");IMPORTRANGE(SheetID!B32,""Sheet2!E2:E"");IMPOR"&amp;"TRANGE(SheetID!B33,""Sheet2!E2:E"");IMPORTRANGE(SheetID!B34,""Sheet2!E2:E"");IMPORTRANGE(SheetID!B35,""Sheet2!E2:E"")},""select * where Col1 is not null"")"),"#REF!")</f>
        <v>#REF!</v>
      </c>
      <c r="K2" s="16" t="str">
        <f>IFERROR(__xludf.DUMMYFUNCTION("QUERY({IMPORTRANGE(SheetID!B2,""Sheet2!F2:F"");IMPORTRANGE(SheetID!B3,""Sheet2!F2:F"");IMPORTRANGE(SheetID!B4,""Sheet2!F2:F"");IMPORTRANGE(SheetID!B5,""Sheet2!F2:F"");IMPORTRANGE(SheetID!B6,""Sheet2!F2:F"");IMPORTRANGE(SheetID!B7,""Sheet2!F2:F"");IMPORTRA"&amp;"NGE(SheetID!B8,""Sheet2!F2:F"");IMPORTRANGE(SheetID!B9,""Sheet2!F2:F"");IMPORTRANGE(SheetID!B10,""Sheet2!F2:F"");IMPORTRANGE(SheetID!B11,""Sheet2!F2:F"");IMPORTRANGE(SheetID!B12,""Sheet2!F2:F"");IMPORTRANGE(SheetID!B13,""Sheet2!F2:F"");IMPORTRANGE(SheetID"&amp;"!B14,""Sheet2!F2:F"");IMPORTRANGE(SheetID!B15,""Sheet2!F2:F"");IMPORTRANGE(SheetID!B16,""Sheet2!F2:F"");IMPORTRANGE(SheetID!B17,""Sheet2!F2:F"");IMPORTRANGE(SheetID!B18,""Sheet2!F2:F"");IMPORTRANGE(SheetID!B19,""Sheet2!F2:F"");IMPORTRANGE(SheetID!B20,""Sh"&amp;"eet2!F2:F"");IMPORTRANGE(SheetID!B21,""Sheet2!F2:F"");IMPORTRANGE(SheetID!B22,""Sheet2!F2:F"");IMPORTRANGE(SheetID!B23,""Sheet2!F2:F"");IMPORTRANGE(SheetID!B24,""Sheet2!F2:F"");IMPORTRANGE(SheetID!B25,""Sheet2!F2:F"");IMPORTRANGE(SheetID!B26,""Sheet2!F2:F"&amp;""");IMPORTRANGE(SheetID!B27,""Sheet2!F2:F"");IMPORTRANGE(SheetID!B28,""Sheet2!F2:F"");IMPORTRANGE(SheetID!B29,""Sheet2!F2:F"");IMPORTRANGE(SheetID!B30,""Sheet2!F2:F"");IMPORTRANGE(SheetID!B31,""Sheet2!F2:F"");IMPORTRANGE(SheetID!B32,""Sheet2!F2:F"");IMPOR"&amp;"TRANGE(SheetID!B33,""Sheet2!F2:F"");IMPORTRANGE(SheetID!B34,""Sheet2!F2:F"");IMPORTRANGE(SheetID!B35,""Sheet2!F2:F"")},""select * where Col1 is not null"")"),"#REF!")</f>
        <v>#REF!</v>
      </c>
      <c r="L2" s="16" t="str">
        <f>IFERROR(__xludf.DUMMYFUNCTION("ArrayFormula(IFNA( VLOOKUP($J$2:$J16771,IMPORTRANGE(""1BWrcDncAHhlcR_KwHXJqlB78B-yfKZGY7bQR-L6Swxw"",""KAZO!a1:f""),2,0),""""))"),"")</f>
        <v/>
      </c>
      <c r="M2" s="16" t="str">
        <f>IFERROR(__xludf.DUMMYFUNCTION("ArrayFormula(IFNA( VLOOKUP($J$2:$J16771,IMPORTRANGE(""1BWrcDncAHhlcR_KwHXJqlB78B-yfKZGY7bQR-L6Swxw"",""KAZO!a1:f""),3,0),""""))"),"")</f>
        <v/>
      </c>
      <c r="N2" s="17" t="str">
        <f>IFERROR(__xludf.DUMMYFUNCTION("QUERY({IMPORTRANGE(SheetID!B2,""Sheet2!G2:G"");IMPORTRANGE(SheetID!B3,""Sheet2!G2:G"");IMPORTRANGE(SheetID!B4,""Sheet2!G2:G"");IMPORTRANGE(SheetID!B5,""Sheet2!G2:G"");IMPORTRANGE(SheetID!B6,""Sheet2!G2:G"");IMPORTRANGE(SheetID!B7,""Sheet2!G2:G"");IMPORTRA"&amp;"NGE(SheetID!B8,""Sheet2!G2:G"");IMPORTRANGE(SheetID!B9,""Sheet2!G2:G"");IMPORTRANGE(SheetID!B10,""Sheet2!G2:G"");IMPORTRANGE(SheetID!B11,""Sheet2!G2:G"");IMPORTRANGE(SheetID!B12,""Sheet2!G2:G"");IMPORTRANGE(SheetID!B13,""Sheet2!G2:G"");IMPORTRANGE(SheetID"&amp;"!B14,""Sheet2!G2:G"");IMPORTRANGE(SheetID!B15,""Sheet2!G2:G"");IMPORTRANGE(SheetID!B16,""Sheet2!G2:G"");IMPORTRANGE(SheetID!B17,""Sheet2!G2:G"");IMPORTRANGE(SheetID!B18,""Sheet2!G2:G"");IMPORTRANGE(SheetID!B19,""Sheet2!G2:G"");IMPORTRANGE(SheetID!B20,""Sh"&amp;"eet2!G2:G"");IMPORTRANGE(SheetID!B21,""Sheet2!G2:G"");IMPORTRANGE(SheetID!B22,""Sheet2!G2:G"");IMPORTRANGE(SheetID!B23,""Sheet2!G2:G"");IMPORTRANGE(SheetID!B24,""Sheet2!G2:G"");IMPORTRANGE(SheetID!B25,""Sheet2!G2:G"");IMPORTRANGE(SheetID!B26,""Sheet2!G2:G"&amp;""");IMPORTRANGE(SheetID!B27,""Sheet2!G2:G"");IMPORTRANGE(SheetID!B28,""Sheet2!G2:G"");IMPORTRANGE(SheetID!B29,""Sheet2!G2:G"");IMPORTRANGE(SheetID!B30,""Sheet2!G2:G"");IMPORTRANGE(SheetID!B31,""Sheet2!G2:G"");IMPORTRANGE(SheetID!B32,""Sheet2!G2:G"");IMPOR"&amp;"TRANGE(SheetID!B33,""Sheet2!G2:G"");IMPORTRANGE(SheetID!B34,""Sheet2!G2:G"");IMPORTRANGE(SheetID!B35,""Sheet2!G2:G"")},""select * where Col1 is not null"")"),"#REF!")</f>
        <v>#REF!</v>
      </c>
      <c r="O2" s="17" t="str">
        <f>IFERROR(__xludf.DUMMYFUNCTION("QUERY({IMPORTRANGE(SheetID!B2,""Sheet2!H2:H"");IMPORTRANGE(SheetID!B3,""Sheet2!H2:H"");IMPORTRANGE(SheetID!B4,""Sheet2!H2:H"");IMPORTRANGE(SheetID!B5,""Sheet2!H2:H"");IMPORTRANGE(SheetID!B6,""Sheet2!H2:H"");IMPORTRANGE(SheetID!B7,""Sheet2!H2:H"");IMPORTRA"&amp;"NGE(SheetID!B8,""Sheet2!H2:H"");IMPORTRANGE(SheetID!B9,""Sheet2!H2:H"");IMPORTRANGE(SheetID!B10,""Sheet2!H2:H"");IMPORTRANGE(SheetID!B11,""Sheet2!H2:H"");IMPORTRANGE(SheetID!B12,""Sheet2!H2:H"");IMPORTRANGE(SheetID!B13,""Sheet2!H2:H"");IMPORTRANGE(SheetID"&amp;"!B14,""Sheet2!H2:H"");IMPORTRANGE(SheetID!B15,""Sheet2!H2:H"");IMPORTRANGE(SheetID!B16,""Sheet2!H2:H"");IMPORTRANGE(SheetID!B17,""Sheet2!H2:H"");IMPORTRANGE(SheetID!B18,""Sheet2!H2:H"");IMPORTRANGE(SheetID!B19,""Sheet2!H2:H"");IMPORTRANGE(SheetID!B20,""Sh"&amp;"eet2!H2:H"");IMPORTRANGE(SheetID!B21,""Sheet2!H2:H"");IMPORTRANGE(SheetID!B22,""Sheet2!H2:H"");IMPORTRANGE(SheetID!B23,""Sheet2!H2:H"");IMPORTRANGE(SheetID!B24,""Sheet2!H2:H"");IMPORTRANGE(SheetID!B25,""Sheet2!H2:H"");IMPORTRANGE(SheetID!B26,""Sheet2!H2:H"&amp;""");IMPORTRANGE(SheetID!B27,""Sheet2!H2:H"");IMPORTRANGE(SheetID!B28,""Sheet2!H2:H"");IMPORTRANGE(SheetID!B29,""Sheet2!H2:H"");IMPORTRANGE(SheetID!B30,""Sheet2!H2:H"");IMPORTRANGE(SheetID!B31,""Sheet2!H2:H"");IMPORTRANGE(SheetID!B32,""Sheet2!H2:H"");IMPOR"&amp;"TRANGE(SheetID!B33,""Sheet2!H2:H"");IMPORTRANGE(SheetID!B34,""Sheet2!H2:H"");IMPORTRANGE(SheetID!B35,""Sheet2!H2:H"")},""select * where Col1 is not null"")"),"#REF!")</f>
        <v>#REF!</v>
      </c>
      <c r="P2" s="17" t="str">
        <f>IFERROR(__xludf.DUMMYFUNCTION("QUERY({IMPORTRANGE(SheetID!B2,""Sheet2!I2:I"");IMPORTRANGE(SheetID!B3,""Sheet2!I2:I"");IMPORTRANGE(SheetID!B4,""Sheet2!I2:I"");IMPORTRANGE(SheetID!B5,""Sheet2!I2:I"");IMPORTRANGE(SheetID!B6,""Sheet2!I2:I"");IMPORTRANGE(SheetID!B7,""Sheet2!I2:I"");IMPORTRA"&amp;"NGE(SheetID!B8,""Sheet2!I2:I"");IMPORTRANGE(SheetID!B9,""Sheet2!I2:I"");IMPORTRANGE(SheetID!B10,""Sheet2!I2:I"");IMPORTRANGE(SheetID!B11,""Sheet2!I2:I"");IMPORTRANGE(SheetID!B12,""Sheet2!I2:I"");IMPORTRANGE(SheetID!B13,""Sheet2!I2:I"");IMPORTRANGE(SheetID"&amp;"!B14,""Sheet2!I2:I"");IMPORTRANGE(SheetID!B15,""Sheet2!I2:I"");IMPORTRANGE(SheetID!B16,""Sheet2!I2:I"");IMPORTRANGE(SheetID!B17,""Sheet2!I2:I"");IMPORTRANGE(SheetID!B18,""Sheet2!I2:I"");IMPORTRANGE(SheetID!B19,""Sheet2!I2:I"");IMPORTRANGE(SheetID!B20,""Sh"&amp;"eet2!I2:I"");IMPORTRANGE(SheetID!B21,""Sheet2!I2:I"");IMPORTRANGE(SheetID!B22,""Sheet2!I2:I"");IMPORTRANGE(SheetID!B23,""Sheet2!I2:I"");IMPORTRANGE(SheetID!B24,""Sheet2!I2:I"");IMPORTRANGE(SheetID!B25,""Sheet2!I2:I"");IMPORTRANGE(SheetID!B26,""Sheet2!I2:I"&amp;""");IMPORTRANGE(SheetID!B27,""Sheet2!I2:I"");IMPORTRANGE(SheetID!B28,""Sheet2!I2:I"");IMPORTRANGE(SheetID!B29,""Sheet2!I2:I"");IMPORTRANGE(SheetID!B30,""Sheet2!I2:I"");IMPORTRANGE(SheetID!B31,""Sheet2!I2:I"");IMPORTRANGE(SheetID!B32,""Sheet2!I2:I"");IMPOR"&amp;"TRANGE(SheetID!B33,""Sheet2!I2:I"");IMPORTRANGE(SheetID!B34,""Sheet2!I2:I"");IMPORTRANGE(SheetID!B35,""Sheet2!I2:I"")},""select * where Col1 is not null"")"),"#REF!")</f>
        <v>#REF!</v>
      </c>
      <c r="Q2" s="17" t="str">
        <f>IFERROR(__xludf.DUMMYFUNCTION("QUERY({IMPORTRANGE(SheetID!B2,""Sheet2!J2:J"");IMPORTRANGE(SheetID!B3,""Sheet2!J2:J"");IMPORTRANGE(SheetID!B4,""Sheet2!J2:J"");IMPORTRANGE(SheetID!B5,""Sheet2!J2:J"");IMPORTRANGE(SheetID!B6,""Sheet2!J2:J"");IMPORTRANGE(SheetID!B7,""Sheet2!J2:J"");IMPORTRA"&amp;"NGE(SheetID!B8,""Sheet2!J2:J"");IMPORTRANGE(SheetID!B9,""Sheet2!J2:J"");IMPORTRANGE(SheetID!B10,""Sheet2!J2:J"");IMPORTRANGE(SheetID!B11,""Sheet2!J2:J"");IMPORTRANGE(SheetID!B12,""Sheet2!J2:J"");IMPORTRANGE(SheetID!B13,""Sheet2!J2:J"");IMPORTRANGE(SheetID"&amp;"!B14,""Sheet2!J2:J"");IMPORTRANGE(SheetID!B15,""Sheet2!J2:J"");IMPORTRANGE(SheetID!B16,""Sheet2!J2:J"");IMPORTRANGE(SheetID!B17,""Sheet2!J2:J"");IMPORTRANGE(SheetID!B18,""Sheet2!J2:J"");IMPORTRANGE(SheetID!B19,""Sheet2!J2:J"");IMPORTRANGE(SheetID!B20,""Sh"&amp;"eet2!J2:J"");IMPORTRANGE(SheetID!B21,""Sheet2!J2:J"");IMPORTRANGE(SheetID!B22,""Sheet2!J2:J"");IMPORTRANGE(SheetID!B23,""Sheet2!J2:J"");IMPORTRANGE(SheetID!B24,""Sheet2!J2:J"");IMPORTRANGE(SheetID!B25,""Sheet2!J2:J"");IMPORTRANGE(SheetID!B26,""Sheet2!J2:J"&amp;""");IMPORTRANGE(SheetID!B27,""Sheet2!J2:J"");IMPORTRANGE(SheetID!B28,""Sheet2!J2:J"");IMPORTRANGE(SheetID!B29,""Sheet2!J2:J"");IMPORTRANGE(SheetID!B30,""Sheet2!J2:J"");IMPORTRANGE(SheetID!B31,""Sheet2!J2:J"");IMPORTRANGE(SheetID!B32,""Sheet2!J2:J"");IMPOR"&amp;"TRANGE(SheetID!B33,""Sheet2!J2:J"");IMPORTRANGE(SheetID!B34,""Sheet2!J2:J"");IMPORTRANGE(SheetID!B35,""Sheet2!J2:J"")},""select * where Col1 is not null"")"),"#REF!")</f>
        <v>#REF!</v>
      </c>
      <c r="R2" s="20" t="str">
        <f>IFERROR(__xludf.DUMMYFUNCTION("QUERY({IMPORTRANGE(SheetID!B2,""Sheet2!K2:K"");IMPORTRANGE(SheetID!B3,""Sheet2!K2:K"");IMPORTRANGE(SheetID!B4,""Sheet2!K2:K"");IMPORTRANGE(SheetID!B5,""Sheet2!K2:K"");IMPORTRANGE(SheetID!B6,""Sheet2!K2:K"");IMPORTRANGE(SheetID!B7,""Sheet2!K2:K"");IMPORTRA"&amp;"NGE(SheetID!B8,""Sheet2!K2:K"");IMPORTRANGE(SheetID!B9,""Sheet2!K2:K"");IMPORTRANGE(SheetID!B10,""Sheet2!K2:K"");IMPORTRANGE(SheetID!B11,""Sheet2!K2:K"");IMPORTRANGE(SheetID!B12,""Sheet2!K2:K"");IMPORTRANGE(SheetID!B13,""Sheet2!K2:K"");IMPORTRANGE(SheetID"&amp;"!B14,""Sheet2!K2:K"");IMPORTRANGE(SheetID!B15,""Sheet2!K2:K"");IMPORTRANGE(SheetID!B16,""Sheet2!K2:K"");IMPORTRANGE(SheetID!B17,""Sheet2!K2:K"");IMPORTRANGE(SheetID!B18,""Sheet2!K2:K"");IMPORTRANGE(SheetID!B19,""Sheet2!K2:K"");IMPORTRANGE(SheetID!B20,""Sh"&amp;"eet2!K2:K"");IMPORTRANGE(SheetID!B21,""Sheet2!K2:K"");IMPORTRANGE(SheetID!B22,""Sheet2!K2:K"");IMPORTRANGE(SheetID!B23,""Sheet2!K2:K"");IMPORTRANGE(SheetID!B24,""Sheet2!K2:K"");IMPORTRANGE(SheetID!B25,""Sheet2!K2:K"");IMPORTRANGE(SheetID!B26,""Sheet2!K2:K"&amp;""");IMPORTRANGE(SheetID!B27,""Sheet2!K2:K"");IMPORTRANGE(SheetID!B28,""Sheet2!K2:K"");IMPORTRANGE(SheetID!B29,""Sheet2!K2:K"");IMPORTRANGE(SheetID!B30,""Sheet2!K2:K"");IMPORTRANGE(SheetID!B31,""Sheet2!K2:K"");IMPORTRANGE(SheetID!B32,""Sheet2!K2:K"");IMPOR"&amp;"TRANGE(SheetID!B33,""Sheet2!K2:K"");IMPORTRANGE(SheetID!B34,""Sheet2!K2:K"");IMPORTRANGE(SheetID!B35,""Sheet2!K2:K"")},""select * where Col1 is not null"")"),"#REF!")</f>
        <v>#REF!</v>
      </c>
      <c r="S2" s="17" t="str">
        <f>IFERROR(__xludf.DUMMYFUNCTION("QUERY({IMPORTRANGE(SheetID!B2,""Sheet2!L2:L"");IMPORTRANGE(SheetID!B3,""Sheet2!L2:L"");IMPORTRANGE(SheetID!B4,""Sheet2!L2:L"");IMPORTRANGE(SheetID!B5,""Sheet2!L2:L"");IMPORTRANGE(SheetID!B6,""Sheet2!L2:L"");IMPORTRANGE(SheetID!B7,""Sheet2!L2:L"");IMPORTRA"&amp;"NGE(SheetID!B8,""Sheet2!L2:L"");IMPORTRANGE(SheetID!B9,""Sheet2!L2:L"");IMPORTRANGE(SheetID!B10,""Sheet2!L2:L"");IMPORTRANGE(SheetID!B11,""Sheet2!L2:L"");IMPORTRANGE(SheetID!B12,""Sheet2!L2:L"");IMPORTRANGE(SheetID!B13,""Sheet2!L2:L"");IMPORTRANGE(SheetID"&amp;"!B14,""Sheet2!L2:L"");IMPORTRANGE(SheetID!B15,""Sheet2!L2:L"");IMPORTRANGE(SheetID!B16,""Sheet2!L2:L"");IMPORTRANGE(SheetID!B17,""Sheet2!L2:L"");IMPORTRANGE(SheetID!B18,""Sheet2!L2:L"");IMPORTRANGE(SheetID!B19,""Sheet2!L2:L"");IMPORTRANGE(SheetID!B20,""Sh"&amp;"eet2!L2:L"");IMPORTRANGE(SheetID!B21,""Sheet2!L2:L"");IMPORTRANGE(SheetID!B22,""Sheet2!L2:L"");IMPORTRANGE(SheetID!B23,""Sheet2!L2:L"");IMPORTRANGE(SheetID!B24,""Sheet2!L2:L"");IMPORTRANGE(SheetID!B25,""Sheet2!L2:L"");IMPORTRANGE(SheetID!B26,""Sheet2!L2:L"&amp;""");IMPORTRANGE(SheetID!B27,""Sheet2!L2:L"");IMPORTRANGE(SheetID!B28,""Sheet2!L2:L"");IMPORTRANGE(SheetID!B29,""Sheet2!L2:L"");IMPORTRANGE(SheetID!B30,""Sheet2!L2:L"");IMPORTRANGE(SheetID!B31,""Sheet2!L2:L"");IMPORTRANGE(SheetID!B32,""Sheet2!L2:L"");IMPOR"&amp;"TRANGE(SheetID!B33,""Sheet2!L2:L"");IMPORTRANGE(SheetID!B34,""Sheet2!L2:L"");IMPORTRANGE(SheetID!B35,""Sheet2!L2:L"")},""select * where Col1 is not null"")"),"#REF!")</f>
        <v>#REF!</v>
      </c>
      <c r="T2" s="17" t="str">
        <f>IFERROR(__xludf.DUMMYFUNCTION("QUERY({IMPORTRANGE(SheetID!B2,""Sheet2!M2:M"");IMPORTRANGE(SheetID!B3,""Sheet2!M2:M"");IMPORTRANGE(SheetID!B4,""Sheet2!M2:M"");IMPORTRANGE(SheetID!B5,""Sheet2!M2:M"");IMPORTRANGE(SheetID!B6,""Sheet2!M2:M"");IMPORTRANGE(SheetID!B7,""Sheet2!M2:M"");IMPORTRA"&amp;"NGE(SheetID!B8,""Sheet2!M2:M"");IMPORTRANGE(SheetID!B9,""Sheet2!M2:M"");IMPORTRANGE(SheetID!B10,""Sheet2!M2:M"");IMPORTRANGE(SheetID!B11,""Sheet2!M2:M"");IMPORTRANGE(SheetID!B12,""Sheet2!M2:M"");IMPORTRANGE(SheetID!B13,""Sheet2!M2:M"");IMPORTRANGE(SheetID"&amp;"!B14,""Sheet2!M2:M"");IMPORTRANGE(SheetID!B15,""Sheet2!M2:M"");IMPORTRANGE(SheetID!B16,""Sheet2!M2:M"");IMPORTRANGE(SheetID!B17,""Sheet2!M2:M"");IMPORTRANGE(SheetID!B18,""Sheet2!M2:M"");IMPORTRANGE(SheetID!B19,""Sheet2!M2:M"");IMPORTRANGE(SheetID!B20,""Sh"&amp;"eet2!M2:M"");IMPORTRANGE(SheetID!B21,""Sheet2!M2:M"");IMPORTRANGE(SheetID!B22,""Sheet2!M2:M"");IMPORTRANGE(SheetID!B23,""Sheet2!M2:M"");IMPORTRANGE(SheetID!B24,""Sheet2!M2:M"");IMPORTRANGE(SheetID!B25,""Sheet2!M2:M"");IMPORTRANGE(SheetID!B26,""Sheet2!M2:M"&amp;""");IMPORTRANGE(SheetID!B27,""Sheet2!M2:M"");IMPORTRANGE(SheetID!B28,""Sheet2!M2:M"");IMPORTRANGE(SheetID!B29,""Sheet2!M2:M"");IMPORTRANGE(SheetID!B30,""Sheet2!M2:M"");IMPORTRANGE(SheetID!B31,""Sheet2!M2:M"");IMPORTRANGE(SheetID!B32,""Sheet2!M2:M"");IMPOR"&amp;"TRANGE(SheetID!B33,""Sheet2!M2:M"");IMPORTRANGE(SheetID!B34,""Sheet2!M2:M"");IMPORTRANGE(SheetID!B35,""Sheet2!M2:M"")},""select * where Col1 is not null"")"),"#REF!")</f>
        <v>#REF!</v>
      </c>
      <c r="U2" s="21" t="str">
        <f t="array" ref="U2:U16771">IF(T2:T16771="","",S2:S16771+T2:T16771-P2:P16771)</f>
        <v>#VALUE!</v>
      </c>
      <c r="V2" s="16" t="str">
        <f>IFERROR(__xludf.DUMMYFUNCTION("ArrayFormula(IFNA( VLOOKUP($J$2:$J16771,IMPORTRANGE(""1BWrcDncAHhlcR_KwHXJqlB78B-yfKZGY7bQR-L6Swxw"",""KAZO!a1:f""),4,0),""""))"),"")</f>
        <v/>
      </c>
      <c r="W2" s="16" t="str">
        <f>IFERROR(__xludf.DUMMYFUNCTION("ArrayFormula(IFNA( VLOOKUP($J$2:$J16771,IMPORTRANGE(""1BWrcDncAHhlcR_KwHXJqlB78B-yfKZGY7bQR-L6Swxw"",""KAZO!a1:f""),5,0),""""))"),"")</f>
        <v/>
      </c>
      <c r="X2" s="16" t="str">
        <f>IFERROR(__xludf.DUMMYFUNCTION("ArrayFormula(IFNA( VLOOKUP($J$2:$J16771,IMPORTRANGE(""1BWrcDncAHhlcR_KwHXJqlB78B-yfKZGY7bQR-L6Swxw"",""KAZO!a1:f""),6,0),""""))"),"")</f>
        <v/>
      </c>
      <c r="AB2" s="21" t="str">
        <f>IFERROR(__xludf.DUMMYFUNCTION("ArrayFormula(VLOOKUP(QUERY({IMPORTRANGE(SheetID!B2,""Sheet2!C2:C"");IMPORTRANGE(SheetID!B3,""Sheet2!C2:C"");IMPORTRANGE(SheetID!B4,""Sheet2!C2:C"");IMPORTRANGE(SheetID!B5,""Sheet2!C2:C"");IMPORTRANGE(SheetID!B6,""Sheet2!C2:C"");IMPORTRANGE(SheetID!B7,""Sh"&amp;"eet2!C2:C"");IMPORTRANGE(SheetID!B8,""Sheet2!C2:C"");IMPORTRANGE(SheetID!B9,""Sheet2!C2:C"");IMPORTRANGE(SheetID!B10,""Sheet2!C2:C"");IMPORTRANGE(SheetID!B11,""Sheet2!C2:C"")},""select * where Col1 is not null""),IMPORTRANGE(""1zIuTbEJOe0gmW4DV6LVK0NT61Pl"&amp;"YtOuxGvvsLUEINdI"",""Sheet1!A1:U""),21,0))"),"#N/A")</f>
        <v>#N/A</v>
      </c>
      <c r="AC2" s="17" t="str">
        <f>IFERROR(__xludf.DUMMYFUNCTION("ArrayFormula(IFNA(VLOOKUP($J$2:$J16771,IMPORTRANGE(""1BWrcDncAHhlcR_KwHXJqlB78B-yfKZGY7bQR-L6Swxw"",""KAZO!a1:H""),8,0),""""))"),"")</f>
        <v/>
      </c>
    </row>
    <row r="3">
      <c r="A3" s="16" t="s">
        <v>84</v>
      </c>
      <c r="C3" s="16" t="str">
        <f>IFERROR(__xludf.DUMMYFUNCTION("""COMPUTED_VALUE"""),"SFR")</f>
        <v>SFR</v>
      </c>
      <c r="D3" s="16" t="str">
        <f>IFERROR(__xludf.DUMMYFUNCTION("""COMPUTED_VALUE"""),"SFR-OHM SIRSA WOMEN")</f>
        <v>SFR-OHM SIRSA WOMEN</v>
      </c>
      <c r="E3" s="16" t="str">
        <f>IFERROR(__xludf.DUMMYFUNCTION("""COMPUTED_VALUE"""),"")</f>
        <v/>
      </c>
      <c r="F3" s="16" t="str">
        <f>IFERROR(__xludf.DUMMYFUNCTION("""COMPUTED_VALUE"""),"SFCM00768/Jan-25")</f>
        <v>SFCM00768/Jan-25</v>
      </c>
      <c r="G3" s="18">
        <f>IFERROR(__xludf.DUMMYFUNCTION("""COMPUTED_VALUE"""),45660.0)</f>
        <v>45660</v>
      </c>
      <c r="H3" s="16" t="s">
        <v>85</v>
      </c>
      <c r="I3" s="16" t="s">
        <v>86</v>
      </c>
      <c r="J3" s="19">
        <f>IFERROR(__xludf.DUMMYFUNCTION("""COMPUTED_VALUE"""),8.903331859267E12)</f>
        <v>8903331859267</v>
      </c>
      <c r="K3" s="16" t="str">
        <f>IFERROR(__xludf.DUMMYFUNCTION("""COMPUTED_VALUE"""),"KZ00107 BROWNL01")</f>
        <v>KZ00107 BROWNL01</v>
      </c>
      <c r="L3" s="16" t="str">
        <f>IFERROR(__xludf.DUMMYFUNCTION("""COMPUTED_VALUE"""),"KZ00107 BROWNL01")</f>
        <v>KZ00107 BROWNL01</v>
      </c>
      <c r="M3" s="16" t="str">
        <f>IFERROR(__xludf.DUMMYFUNCTION("""COMPUTED_VALUE"""),"L")</f>
        <v>L</v>
      </c>
      <c r="N3" s="19">
        <f>IFERROR(__xludf.DUMMYFUNCTION("""COMPUTED_VALUE"""),1.0)</f>
        <v>1</v>
      </c>
      <c r="O3" s="19">
        <f>IFERROR(__xludf.DUMMYFUNCTION("""COMPUTED_VALUE"""),5990.0)</f>
        <v>5990</v>
      </c>
      <c r="P3" s="19">
        <f>IFERROR(__xludf.DUMMYFUNCTION("""COMPUTED_VALUE"""),5990.0)</f>
        <v>5990</v>
      </c>
      <c r="Q3" s="19">
        <f>IFERROR(__xludf.DUMMYFUNCTION("""COMPUTED_VALUE"""),0.0)</f>
        <v>0</v>
      </c>
      <c r="R3" s="19">
        <f>IFERROR(__xludf.DUMMYFUNCTION("""COMPUTED_VALUE"""),1797.0)</f>
        <v>1797</v>
      </c>
      <c r="S3" s="19">
        <f>IFERROR(__xludf.DUMMYFUNCTION("""COMPUTED_VALUE"""),1797.0)</f>
        <v>1797</v>
      </c>
      <c r="T3" s="19">
        <f>IFERROR(__xludf.DUMMYFUNCTION("""COMPUTED_VALUE"""),4193.0)</f>
        <v>4193</v>
      </c>
      <c r="U3" s="16">
        <v>0.0</v>
      </c>
      <c r="V3" s="16" t="str">
        <f>IFERROR(__xludf.DUMMYFUNCTION("""COMPUTED_VALUE"""),"Apparel")</f>
        <v>Apparel</v>
      </c>
      <c r="W3" s="16" t="str">
        <f>IFERROR(__xludf.DUMMYFUNCTION("""COMPUTED_VALUE"""),"Female")</f>
        <v>Female</v>
      </c>
      <c r="X3" s="16" t="str">
        <f>IFERROR(__xludf.DUMMYFUNCTION("""COMPUTED_VALUE"""),"Jacket")</f>
        <v>Jacket</v>
      </c>
      <c r="AB3" s="16" t="str">
        <f>IFERROR(__xludf.DUMMYFUNCTION("""COMPUTED_VALUE"""),"EOSS: B1G30%,B2G40%, B3G50%")</f>
        <v>EOSS: B1G30%,B2G40%, B3G50%</v>
      </c>
      <c r="AC3" s="16" t="str">
        <f>IFERROR(__xludf.DUMMYFUNCTION("""COMPUTED_VALUE"""),"AW23")</f>
        <v>AW23</v>
      </c>
    </row>
    <row r="4">
      <c r="A4" s="16" t="s">
        <v>84</v>
      </c>
      <c r="C4" s="16" t="str">
        <f>IFERROR(__xludf.DUMMYFUNCTION("""COMPUTED_VALUE"""),"SFR")</f>
        <v>SFR</v>
      </c>
      <c r="D4" s="16" t="str">
        <f>IFERROR(__xludf.DUMMYFUNCTION("""COMPUTED_VALUE"""),"SFR-OHM SIRSA WOMEN")</f>
        <v>SFR-OHM SIRSA WOMEN</v>
      </c>
      <c r="E4" s="16" t="str">
        <f>IFERROR(__xludf.DUMMYFUNCTION("""COMPUTED_VALUE"""),"")</f>
        <v/>
      </c>
      <c r="F4" s="16" t="str">
        <f>IFERROR(__xludf.DUMMYFUNCTION("""COMPUTED_VALUE"""),"SFCM00762/Jan-25")</f>
        <v>SFCM00762/Jan-25</v>
      </c>
      <c r="G4" s="18">
        <f>IFERROR(__xludf.DUMMYFUNCTION("""COMPUTED_VALUE"""),45658.0)</f>
        <v>45658</v>
      </c>
      <c r="H4" s="16" t="s">
        <v>85</v>
      </c>
      <c r="I4" s="16" t="s">
        <v>86</v>
      </c>
      <c r="J4" s="19">
        <f>IFERROR(__xludf.DUMMYFUNCTION("""COMPUTED_VALUE"""),8.903331861536E12)</f>
        <v>8903331861536</v>
      </c>
      <c r="K4" s="16" t="str">
        <f>IFERROR(__xludf.DUMMYFUNCTION("""COMPUTED_VALUE"""),"KZ00078 LTPNKXL01")</f>
        <v>KZ00078 LTPNKXL01</v>
      </c>
      <c r="L4" s="16" t="str">
        <f>IFERROR(__xludf.DUMMYFUNCTION("""COMPUTED_VALUE"""),"KZ00078 LTPNKXL01")</f>
        <v>KZ00078 LTPNKXL01</v>
      </c>
      <c r="M4" s="16" t="str">
        <f>IFERROR(__xludf.DUMMYFUNCTION("""COMPUTED_VALUE"""),"XL")</f>
        <v>XL</v>
      </c>
      <c r="N4" s="19">
        <f>IFERROR(__xludf.DUMMYFUNCTION("""COMPUTED_VALUE"""),1.0)</f>
        <v>1</v>
      </c>
      <c r="O4" s="19">
        <f>IFERROR(__xludf.DUMMYFUNCTION("""COMPUTED_VALUE"""),3490.0)</f>
        <v>3490</v>
      </c>
      <c r="P4" s="19">
        <f>IFERROR(__xludf.DUMMYFUNCTION("""COMPUTED_VALUE"""),3490.0)</f>
        <v>3490</v>
      </c>
      <c r="Q4" s="19">
        <f>IFERROR(__xludf.DUMMYFUNCTION("""COMPUTED_VALUE"""),0.0)</f>
        <v>0</v>
      </c>
      <c r="R4" s="19">
        <f>IFERROR(__xludf.DUMMYFUNCTION("""COMPUTED_VALUE"""),1047.0)</f>
        <v>1047</v>
      </c>
      <c r="S4" s="19">
        <f>IFERROR(__xludf.DUMMYFUNCTION("""COMPUTED_VALUE"""),1047.0)</f>
        <v>1047</v>
      </c>
      <c r="T4" s="19">
        <f>IFERROR(__xludf.DUMMYFUNCTION("""COMPUTED_VALUE"""),2443.0)</f>
        <v>2443</v>
      </c>
      <c r="U4" s="16">
        <v>0.0</v>
      </c>
      <c r="V4" s="16" t="str">
        <f>IFERROR(__xludf.DUMMYFUNCTION("""COMPUTED_VALUE"""),"Apparel")</f>
        <v>Apparel</v>
      </c>
      <c r="W4" s="16" t="str">
        <f>IFERROR(__xludf.DUMMYFUNCTION("""COMPUTED_VALUE"""),"Female")</f>
        <v>Female</v>
      </c>
      <c r="X4" s="16" t="str">
        <f>IFERROR(__xludf.DUMMYFUNCTION("""COMPUTED_VALUE"""),"Sweater")</f>
        <v>Sweater</v>
      </c>
      <c r="AB4" s="16" t="str">
        <f>IFERROR(__xludf.DUMMYFUNCTION("""COMPUTED_VALUE"""),"EOSS: B1G30%,B2G40%, B3G50%")</f>
        <v>EOSS: B1G30%,B2G40%, B3G50%</v>
      </c>
      <c r="AC4" s="16" t="str">
        <f>IFERROR(__xludf.DUMMYFUNCTION("""COMPUTED_VALUE"""),"AW23")</f>
        <v>AW23</v>
      </c>
    </row>
    <row r="5">
      <c r="A5" s="16" t="s">
        <v>84</v>
      </c>
      <c r="C5" s="16" t="str">
        <f>IFERROR(__xludf.DUMMYFUNCTION("""COMPUTED_VALUE"""),"SFR")</f>
        <v>SFR</v>
      </c>
      <c r="D5" s="16" t="str">
        <f>IFERROR(__xludf.DUMMYFUNCTION("""COMPUTED_VALUE"""),"SFR-PANIPAT")</f>
        <v>SFR-PANIPAT</v>
      </c>
      <c r="E5" s="16" t="str">
        <f>IFERROR(__xludf.DUMMYFUNCTION("""COMPUTED_VALUE"""),"")</f>
        <v/>
      </c>
      <c r="F5" s="16" t="str">
        <f>IFERROR(__xludf.DUMMYFUNCTION("""COMPUTED_VALUE"""),"SFCM01473/Jan-25")</f>
        <v>SFCM01473/Jan-25</v>
      </c>
      <c r="G5" s="18">
        <f>IFERROR(__xludf.DUMMYFUNCTION("""COMPUTED_VALUE"""),45682.0)</f>
        <v>45682</v>
      </c>
      <c r="H5" s="16" t="s">
        <v>85</v>
      </c>
      <c r="I5" s="16" t="s">
        <v>86</v>
      </c>
      <c r="J5" s="19">
        <f>IFERROR(__xludf.DUMMYFUNCTION("""COMPUTED_VALUE"""),8.903331837982E12)</f>
        <v>8903331837982</v>
      </c>
      <c r="K5" s="16" t="str">
        <f>IFERROR(__xludf.DUMMYFUNCTION("""COMPUTED_VALUE"""),"125448 MLWMVE")</f>
        <v>125448 MLWMVE</v>
      </c>
      <c r="L5" s="16" t="str">
        <f>IFERROR(__xludf.DUMMYFUNCTION("""COMPUTED_VALUE"""),"125448 MLWMVE")</f>
        <v>125448 MLWMVE</v>
      </c>
      <c r="M5" s="16" t="str">
        <f>IFERROR(__xludf.DUMMYFUNCTION("""COMPUTED_VALUE"""),"L")</f>
        <v>L</v>
      </c>
      <c r="N5" s="19">
        <f>IFERROR(__xludf.DUMMYFUNCTION("""COMPUTED_VALUE"""),1.0)</f>
        <v>1</v>
      </c>
      <c r="O5" s="19">
        <f>IFERROR(__xludf.DUMMYFUNCTION("""COMPUTED_VALUE"""),3990.0)</f>
        <v>3990</v>
      </c>
      <c r="P5" s="19">
        <f>IFERROR(__xludf.DUMMYFUNCTION("""COMPUTED_VALUE"""),3990.0)</f>
        <v>3990</v>
      </c>
      <c r="Q5" s="19">
        <f>IFERROR(__xludf.DUMMYFUNCTION("""COMPUTED_VALUE"""),0.0)</f>
        <v>0</v>
      </c>
      <c r="R5" s="19">
        <f>IFERROR(__xludf.DUMMYFUNCTION("""COMPUTED_VALUE"""),1596.0)</f>
        <v>1596</v>
      </c>
      <c r="S5" s="19">
        <f>IFERROR(__xludf.DUMMYFUNCTION("""COMPUTED_VALUE"""),1596.0)</f>
        <v>1596</v>
      </c>
      <c r="T5" s="19">
        <f>IFERROR(__xludf.DUMMYFUNCTION("""COMPUTED_VALUE"""),2394.0)</f>
        <v>2394</v>
      </c>
      <c r="U5" s="16">
        <v>0.0</v>
      </c>
      <c r="V5" s="16" t="str">
        <f>IFERROR(__xludf.DUMMYFUNCTION("""COMPUTED_VALUE"""),"Apparel")</f>
        <v>Apparel</v>
      </c>
      <c r="W5" s="16" t="str">
        <f>IFERROR(__xludf.DUMMYFUNCTION("""COMPUTED_VALUE"""),"Female")</f>
        <v>Female</v>
      </c>
      <c r="X5" s="16" t="str">
        <f>IFERROR(__xludf.DUMMYFUNCTION("""COMPUTED_VALUE"""),"Dress")</f>
        <v>Dress</v>
      </c>
      <c r="AB5" s="16" t="str">
        <f>IFERROR(__xludf.DUMMYFUNCTION("""COMPUTED_VALUE"""),"Flat50%")</f>
        <v>Flat50%</v>
      </c>
      <c r="AC5" s="16" t="str">
        <f>IFERROR(__xludf.DUMMYFUNCTION("""COMPUTED_VALUE"""),"AW23")</f>
        <v>AW23</v>
      </c>
    </row>
    <row r="6">
      <c r="A6" s="16" t="s">
        <v>84</v>
      </c>
      <c r="C6" s="16" t="str">
        <f>IFERROR(__xludf.DUMMYFUNCTION("""COMPUTED_VALUE"""),"SFR")</f>
        <v>SFR</v>
      </c>
      <c r="D6" s="16" t="str">
        <f>IFERROR(__xludf.DUMMYFUNCTION("""COMPUTED_VALUE"""),"SFR-PANIPAT")</f>
        <v>SFR-PANIPAT</v>
      </c>
      <c r="E6" s="16" t="str">
        <f>IFERROR(__xludf.DUMMYFUNCTION("""COMPUTED_VALUE"""),"")</f>
        <v/>
      </c>
      <c r="F6" s="16" t="str">
        <f>IFERROR(__xludf.DUMMYFUNCTION("""COMPUTED_VALUE"""),"SFCM01474/Jan-25")</f>
        <v>SFCM01474/Jan-25</v>
      </c>
      <c r="G6" s="18">
        <f>IFERROR(__xludf.DUMMYFUNCTION("""COMPUTED_VALUE"""),45682.0)</f>
        <v>45682</v>
      </c>
      <c r="H6" s="16" t="s">
        <v>85</v>
      </c>
      <c r="I6" s="16" t="s">
        <v>86</v>
      </c>
      <c r="J6" s="19">
        <f>IFERROR(__xludf.DUMMYFUNCTION("""COMPUTED_VALUE"""),8.910000001865E12)</f>
        <v>8910000001865</v>
      </c>
      <c r="K6" s="16" t="str">
        <f>IFERROR(__xludf.DUMMYFUNCTION("""COMPUTED_VALUE"""),"KZ00009 BLACK")</f>
        <v>KZ00009 BLACK</v>
      </c>
      <c r="L6" s="16" t="str">
        <f>IFERROR(__xludf.DUMMYFUNCTION("""COMPUTED_VALUE"""),"KZ00009 BLACK")</f>
        <v>KZ00009 BLACK</v>
      </c>
      <c r="M6" s="16" t="str">
        <f>IFERROR(__xludf.DUMMYFUNCTION("""COMPUTED_VALUE"""),"L")</f>
        <v>L</v>
      </c>
      <c r="N6" s="19">
        <f>IFERROR(__xludf.DUMMYFUNCTION("""COMPUTED_VALUE"""),-1.0)</f>
        <v>-1</v>
      </c>
      <c r="O6" s="19">
        <f>IFERROR(__xludf.DUMMYFUNCTION("""COMPUTED_VALUE"""),2790.0)</f>
        <v>2790</v>
      </c>
      <c r="P6" s="19">
        <f>IFERROR(__xludf.DUMMYFUNCTION("""COMPUTED_VALUE"""),-2790.0)</f>
        <v>-2790</v>
      </c>
      <c r="Q6" s="19">
        <f>IFERROR(__xludf.DUMMYFUNCTION("""COMPUTED_VALUE"""),0.0)</f>
        <v>0</v>
      </c>
      <c r="R6" s="19">
        <f>IFERROR(__xludf.DUMMYFUNCTION("""COMPUTED_VALUE"""),0.0)</f>
        <v>0</v>
      </c>
      <c r="S6" s="19">
        <f>IFERROR(__xludf.DUMMYFUNCTION("""COMPUTED_VALUE"""),0.0)</f>
        <v>0</v>
      </c>
      <c r="T6" s="19">
        <f>IFERROR(__xludf.DUMMYFUNCTION("""COMPUTED_VALUE"""),-2790.0)</f>
        <v>-2790</v>
      </c>
      <c r="U6" s="16">
        <v>0.0</v>
      </c>
      <c r="V6" s="16" t="str">
        <f>IFERROR(__xludf.DUMMYFUNCTION("""COMPUTED_VALUE"""),"Apparel")</f>
        <v>Apparel</v>
      </c>
      <c r="W6" s="16" t="str">
        <f>IFERROR(__xludf.DUMMYFUNCTION("""COMPUTED_VALUE"""),"Female")</f>
        <v>Female</v>
      </c>
      <c r="X6" s="16" t="str">
        <f>IFERROR(__xludf.DUMMYFUNCTION("""COMPUTED_VALUE"""),"Shirt")</f>
        <v>Shirt</v>
      </c>
      <c r="AB6" s="16" t="str">
        <f>IFERROR(__xludf.DUMMYFUNCTION("""COMPUTED_VALUE"""),"Flat50%")</f>
        <v>Flat50%</v>
      </c>
      <c r="AC6" s="16" t="str">
        <f>IFERROR(__xludf.DUMMYFUNCTION("""COMPUTED_VALUE"""),"AW23")</f>
        <v>AW23</v>
      </c>
    </row>
    <row r="7">
      <c r="A7" s="16" t="s">
        <v>84</v>
      </c>
      <c r="C7" s="16" t="str">
        <f>IFERROR(__xludf.DUMMYFUNCTION("""COMPUTED_VALUE"""),"SFR")</f>
        <v>SFR</v>
      </c>
      <c r="D7" s="16" t="str">
        <f>IFERROR(__xludf.DUMMYFUNCTION("""COMPUTED_VALUE"""),"SFR-OHM SIRSA WOMEN")</f>
        <v>SFR-OHM SIRSA WOMEN</v>
      </c>
      <c r="E7" s="16" t="str">
        <f>IFERROR(__xludf.DUMMYFUNCTION("""COMPUTED_VALUE"""),"")</f>
        <v/>
      </c>
      <c r="F7" s="16" t="str">
        <f>IFERROR(__xludf.DUMMYFUNCTION("""COMPUTED_VALUE"""),"SFCM00795/Jan-25")</f>
        <v>SFCM00795/Jan-25</v>
      </c>
      <c r="G7" s="18">
        <f>IFERROR(__xludf.DUMMYFUNCTION("""COMPUTED_VALUE"""),45669.0)</f>
        <v>45669</v>
      </c>
      <c r="H7" s="16" t="s">
        <v>85</v>
      </c>
      <c r="I7" s="16" t="s">
        <v>86</v>
      </c>
      <c r="J7" s="19">
        <f>IFERROR(__xludf.DUMMYFUNCTION("""COMPUTED_VALUE"""),8.903331861E12)</f>
        <v>8903331861000</v>
      </c>
      <c r="K7" s="16" t="str">
        <f>IFERROR(__xludf.DUMMYFUNCTION("""COMPUTED_VALUE"""),"KZ00061 BKGDCL01")</f>
        <v>KZ00061 BKGDCL01</v>
      </c>
      <c r="L7" s="16" t="str">
        <f>IFERROR(__xludf.DUMMYFUNCTION("""COMPUTED_VALUE"""),"KZ00061 BKGDCL01")</f>
        <v>KZ00061 BKGDCL01</v>
      </c>
      <c r="M7" s="16" t="str">
        <f>IFERROR(__xludf.DUMMYFUNCTION("""COMPUTED_VALUE"""),"L")</f>
        <v>L</v>
      </c>
      <c r="N7" s="19">
        <f>IFERROR(__xludf.DUMMYFUNCTION("""COMPUTED_VALUE"""),1.0)</f>
        <v>1</v>
      </c>
      <c r="O7" s="19">
        <f>IFERROR(__xludf.DUMMYFUNCTION("""COMPUTED_VALUE"""),2990.0)</f>
        <v>2990</v>
      </c>
      <c r="P7" s="19">
        <f>IFERROR(__xludf.DUMMYFUNCTION("""COMPUTED_VALUE"""),2990.0)</f>
        <v>2990</v>
      </c>
      <c r="Q7" s="19">
        <f>IFERROR(__xludf.DUMMYFUNCTION("""COMPUTED_VALUE"""),0.0)</f>
        <v>0</v>
      </c>
      <c r="R7" s="19">
        <f>IFERROR(__xludf.DUMMYFUNCTION("""COMPUTED_VALUE"""),897.0)</f>
        <v>897</v>
      </c>
      <c r="S7" s="19">
        <f>IFERROR(__xludf.DUMMYFUNCTION("""COMPUTED_VALUE"""),897.0)</f>
        <v>897</v>
      </c>
      <c r="T7" s="19">
        <f>IFERROR(__xludf.DUMMYFUNCTION("""COMPUTED_VALUE"""),2093.0)</f>
        <v>2093</v>
      </c>
      <c r="U7" s="16">
        <v>0.0</v>
      </c>
      <c r="V7" s="16" t="str">
        <f>IFERROR(__xludf.DUMMYFUNCTION("""COMPUTED_VALUE"""),"Apparel")</f>
        <v>Apparel</v>
      </c>
      <c r="W7" s="16" t="str">
        <f>IFERROR(__xludf.DUMMYFUNCTION("""COMPUTED_VALUE"""),"Female")</f>
        <v>Female</v>
      </c>
      <c r="X7" s="16" t="str">
        <f>IFERROR(__xludf.DUMMYFUNCTION("""COMPUTED_VALUE"""),"Sweater")</f>
        <v>Sweater</v>
      </c>
      <c r="AB7" s="16" t="str">
        <f>IFERROR(__xludf.DUMMYFUNCTION("""COMPUTED_VALUE"""),"EOSS: B1G30%,B2G40%, B3G50%")</f>
        <v>EOSS: B1G30%,B2G40%, B3G50%</v>
      </c>
      <c r="AC7" s="16" t="str">
        <f>IFERROR(__xludf.DUMMYFUNCTION("""COMPUTED_VALUE"""),"AW23")</f>
        <v>AW23</v>
      </c>
    </row>
    <row r="8">
      <c r="A8" s="16" t="s">
        <v>84</v>
      </c>
      <c r="C8" s="16" t="str">
        <f>IFERROR(__xludf.DUMMYFUNCTION("""COMPUTED_VALUE"""),"SFR")</f>
        <v>SFR</v>
      </c>
      <c r="D8" s="16" t="str">
        <f>IFERROR(__xludf.DUMMYFUNCTION("""COMPUTED_VALUE"""),"SFR-OHM SIRSA WOMEN")</f>
        <v>SFR-OHM SIRSA WOMEN</v>
      </c>
      <c r="E8" s="16" t="str">
        <f>IFERROR(__xludf.DUMMYFUNCTION("""COMPUTED_VALUE"""),"")</f>
        <v/>
      </c>
      <c r="F8" s="16" t="str">
        <f>IFERROR(__xludf.DUMMYFUNCTION("""COMPUTED_VALUE"""),"SFCM00795/Jan-25")</f>
        <v>SFCM00795/Jan-25</v>
      </c>
      <c r="G8" s="18">
        <f>IFERROR(__xludf.DUMMYFUNCTION("""COMPUTED_VALUE"""),45669.0)</f>
        <v>45669</v>
      </c>
      <c r="H8" s="16" t="s">
        <v>85</v>
      </c>
      <c r="I8" s="16" t="s">
        <v>86</v>
      </c>
      <c r="J8" s="19">
        <f>IFERROR(__xludf.DUMMYFUNCTION("""COMPUTED_VALUE"""),8.903331860591E12)</f>
        <v>8903331860591</v>
      </c>
      <c r="K8" s="16" t="str">
        <f>IFERROR(__xludf.DUMMYFUNCTION("""COMPUTED_VALUE"""),"KZ00045 BGGNCL01")</f>
        <v>KZ00045 BGGNCL01</v>
      </c>
      <c r="L8" s="16" t="str">
        <f>IFERROR(__xludf.DUMMYFUNCTION("""COMPUTED_VALUE"""),"KZ00045 BGGNCL01")</f>
        <v>KZ00045 BGGNCL01</v>
      </c>
      <c r="M8" s="16" t="str">
        <f>IFERROR(__xludf.DUMMYFUNCTION("""COMPUTED_VALUE"""),"L")</f>
        <v>L</v>
      </c>
      <c r="N8" s="19">
        <f>IFERROR(__xludf.DUMMYFUNCTION("""COMPUTED_VALUE"""),1.0)</f>
        <v>1</v>
      </c>
      <c r="O8" s="19">
        <f>IFERROR(__xludf.DUMMYFUNCTION("""COMPUTED_VALUE"""),2490.0)</f>
        <v>2490</v>
      </c>
      <c r="P8" s="19">
        <f>IFERROR(__xludf.DUMMYFUNCTION("""COMPUTED_VALUE"""),2490.0)</f>
        <v>2490</v>
      </c>
      <c r="Q8" s="19">
        <f>IFERROR(__xludf.DUMMYFUNCTION("""COMPUTED_VALUE"""),0.0)</f>
        <v>0</v>
      </c>
      <c r="R8" s="19">
        <f>IFERROR(__xludf.DUMMYFUNCTION("""COMPUTED_VALUE"""),747.0)</f>
        <v>747</v>
      </c>
      <c r="S8" s="19">
        <f>IFERROR(__xludf.DUMMYFUNCTION("""COMPUTED_VALUE"""),747.0)</f>
        <v>747</v>
      </c>
      <c r="T8" s="19">
        <f>IFERROR(__xludf.DUMMYFUNCTION("""COMPUTED_VALUE"""),1743.0)</f>
        <v>1743</v>
      </c>
      <c r="U8" s="16">
        <v>0.0</v>
      </c>
      <c r="V8" s="16" t="str">
        <f>IFERROR(__xludf.DUMMYFUNCTION("""COMPUTED_VALUE"""),"Apparel")</f>
        <v>Apparel</v>
      </c>
      <c r="W8" s="16" t="str">
        <f>IFERROR(__xludf.DUMMYFUNCTION("""COMPUTED_VALUE"""),"Female")</f>
        <v>Female</v>
      </c>
      <c r="X8" s="16" t="str">
        <f>IFERROR(__xludf.DUMMYFUNCTION("""COMPUTED_VALUE"""),"Sweater")</f>
        <v>Sweater</v>
      </c>
      <c r="AB8" s="16" t="str">
        <f>IFERROR(__xludf.DUMMYFUNCTION("""COMPUTED_VALUE"""),"EOSS: B1G30%,B2G40%, B3G50%")</f>
        <v>EOSS: B1G30%,B2G40%, B3G50%</v>
      </c>
      <c r="AC8" s="16" t="str">
        <f>IFERROR(__xludf.DUMMYFUNCTION("""COMPUTED_VALUE"""),"AW23")</f>
        <v>AW23</v>
      </c>
    </row>
    <row r="9">
      <c r="A9" s="16" t="s">
        <v>84</v>
      </c>
      <c r="C9" s="16" t="str">
        <f>IFERROR(__xludf.DUMMYFUNCTION("""COMPUTED_VALUE"""),"SFR")</f>
        <v>SFR</v>
      </c>
      <c r="D9" s="16" t="str">
        <f>IFERROR(__xludf.DUMMYFUNCTION("""COMPUTED_VALUE"""),"SFR-OHM SIRSA WOMEN")</f>
        <v>SFR-OHM SIRSA WOMEN</v>
      </c>
      <c r="E9" s="16" t="str">
        <f>IFERROR(__xludf.DUMMYFUNCTION("""COMPUTED_VALUE"""),"")</f>
        <v/>
      </c>
      <c r="F9" s="16" t="str">
        <f>IFERROR(__xludf.DUMMYFUNCTION("""COMPUTED_VALUE"""),"SFCM00795/Jan-25")</f>
        <v>SFCM00795/Jan-25</v>
      </c>
      <c r="G9" s="18">
        <f>IFERROR(__xludf.DUMMYFUNCTION("""COMPUTED_VALUE"""),45669.0)</f>
        <v>45669</v>
      </c>
      <c r="H9" s="16" t="s">
        <v>85</v>
      </c>
      <c r="I9" s="16" t="s">
        <v>86</v>
      </c>
      <c r="J9" s="19">
        <f>IFERROR(__xludf.DUMMYFUNCTION("""COMPUTED_VALUE"""),8.903331783708E12)</f>
        <v>8903331783708</v>
      </c>
      <c r="K9" s="16" t="str">
        <f>IFERROR(__xludf.DUMMYFUNCTION("""COMPUTED_VALUE"""),"124233 BEIGE")</f>
        <v>124233 BEIGE</v>
      </c>
      <c r="L9" s="16" t="str">
        <f>IFERROR(__xludf.DUMMYFUNCTION("""COMPUTED_VALUE"""),"124233 BEIGE")</f>
        <v>124233 BEIGE</v>
      </c>
      <c r="M9" s="16" t="str">
        <f>IFERROR(__xludf.DUMMYFUNCTION("""COMPUTED_VALUE"""),"M")</f>
        <v>M</v>
      </c>
      <c r="N9" s="19">
        <f>IFERROR(__xludf.DUMMYFUNCTION("""COMPUTED_VALUE"""),1.0)</f>
        <v>1</v>
      </c>
      <c r="O9" s="19">
        <f>IFERROR(__xludf.DUMMYFUNCTION("""COMPUTED_VALUE"""),2990.0)</f>
        <v>2990</v>
      </c>
      <c r="P9" s="19">
        <f>IFERROR(__xludf.DUMMYFUNCTION("""COMPUTED_VALUE"""),2990.0)</f>
        <v>2990</v>
      </c>
      <c r="Q9" s="19">
        <f>IFERROR(__xludf.DUMMYFUNCTION("""COMPUTED_VALUE"""),0.0)</f>
        <v>0</v>
      </c>
      <c r="R9" s="19">
        <f>IFERROR(__xludf.DUMMYFUNCTION("""COMPUTED_VALUE"""),897.0)</f>
        <v>897</v>
      </c>
      <c r="S9" s="19">
        <f>IFERROR(__xludf.DUMMYFUNCTION("""COMPUTED_VALUE"""),897.0)</f>
        <v>897</v>
      </c>
      <c r="T9" s="19">
        <f>IFERROR(__xludf.DUMMYFUNCTION("""COMPUTED_VALUE"""),2093.0)</f>
        <v>2093</v>
      </c>
      <c r="U9" s="16">
        <v>0.0</v>
      </c>
      <c r="V9" s="16" t="str">
        <f>IFERROR(__xludf.DUMMYFUNCTION("""COMPUTED_VALUE"""),"Apparel")</f>
        <v>Apparel</v>
      </c>
      <c r="W9" s="16" t="str">
        <f>IFERROR(__xludf.DUMMYFUNCTION("""COMPUTED_VALUE"""),"Female")</f>
        <v>Female</v>
      </c>
      <c r="X9" s="16" t="str">
        <f>IFERROR(__xludf.DUMMYFUNCTION("""COMPUTED_VALUE"""),"Trouser")</f>
        <v>Trouser</v>
      </c>
      <c r="AB9" s="16" t="str">
        <f>IFERROR(__xludf.DUMMYFUNCTION("""COMPUTED_VALUE"""),"EOSS: B1G30%,B2G40%, B3G50%")</f>
        <v>EOSS: B1G30%,B2G40%, B3G50%</v>
      </c>
      <c r="AC9" s="16" t="str">
        <f>IFERROR(__xludf.DUMMYFUNCTION("""COMPUTED_VALUE"""),"AW22")</f>
        <v>AW22</v>
      </c>
    </row>
    <row r="10">
      <c r="A10" s="16" t="s">
        <v>84</v>
      </c>
      <c r="C10" s="16" t="str">
        <f>IFERROR(__xludf.DUMMYFUNCTION("""COMPUTED_VALUE"""),"SFR")</f>
        <v>SFR</v>
      </c>
      <c r="D10" s="16" t="str">
        <f>IFERROR(__xludf.DUMMYFUNCTION("""COMPUTED_VALUE"""),"SFR-OHM SIRSA WOMEN")</f>
        <v>SFR-OHM SIRSA WOMEN</v>
      </c>
      <c r="E10" s="16" t="str">
        <f>IFERROR(__xludf.DUMMYFUNCTION("""COMPUTED_VALUE"""),"")</f>
        <v/>
      </c>
      <c r="F10" s="16" t="str">
        <f>IFERROR(__xludf.DUMMYFUNCTION("""COMPUTED_VALUE"""),"SFCM00796/Jan-25")</f>
        <v>SFCM00796/Jan-25</v>
      </c>
      <c r="G10" s="18">
        <f>IFERROR(__xludf.DUMMYFUNCTION("""COMPUTED_VALUE"""),45669.0)</f>
        <v>45669</v>
      </c>
      <c r="H10" s="16" t="s">
        <v>85</v>
      </c>
      <c r="I10" s="16" t="s">
        <v>86</v>
      </c>
      <c r="J10" s="19">
        <f>IFERROR(__xludf.DUMMYFUNCTION("""COMPUTED_VALUE"""),8.903331795534E12)</f>
        <v>8903331795534</v>
      </c>
      <c r="K10" s="16" t="str">
        <f>IFERROR(__xludf.DUMMYFUNCTION("""COMPUTED_VALUE"""),"124567 CHOCOLATE BROWN")</f>
        <v>124567 CHOCOLATE BROWN</v>
      </c>
      <c r="L10" s="16" t="str">
        <f>IFERROR(__xludf.DUMMYFUNCTION("""COMPUTED_VALUE"""),"124567 CHOCOLATE BROWN")</f>
        <v>124567 CHOCOLATE BROWN</v>
      </c>
      <c r="M10" s="16" t="str">
        <f>IFERROR(__xludf.DUMMYFUNCTION("""COMPUTED_VALUE"""),"M")</f>
        <v>M</v>
      </c>
      <c r="N10" s="19">
        <f>IFERROR(__xludf.DUMMYFUNCTION("""COMPUTED_VALUE"""),1.0)</f>
        <v>1</v>
      </c>
      <c r="O10" s="19">
        <f>IFERROR(__xludf.DUMMYFUNCTION("""COMPUTED_VALUE"""),2690.0)</f>
        <v>2690</v>
      </c>
      <c r="P10" s="19">
        <f>IFERROR(__xludf.DUMMYFUNCTION("""COMPUTED_VALUE"""),2690.0)</f>
        <v>2690</v>
      </c>
      <c r="Q10" s="19">
        <f>IFERROR(__xludf.DUMMYFUNCTION("""COMPUTED_VALUE"""),0.0)</f>
        <v>0</v>
      </c>
      <c r="R10" s="19">
        <f>IFERROR(__xludf.DUMMYFUNCTION("""COMPUTED_VALUE"""),807.0)</f>
        <v>807</v>
      </c>
      <c r="S10" s="19">
        <f>IFERROR(__xludf.DUMMYFUNCTION("""COMPUTED_VALUE"""),807.0)</f>
        <v>807</v>
      </c>
      <c r="T10" s="19">
        <f>IFERROR(__xludf.DUMMYFUNCTION("""COMPUTED_VALUE"""),1883.0)</f>
        <v>1883</v>
      </c>
      <c r="U10" s="16">
        <v>0.0</v>
      </c>
      <c r="V10" s="16" t="str">
        <f>IFERROR(__xludf.DUMMYFUNCTION("""COMPUTED_VALUE"""),"Apparel")</f>
        <v>Apparel</v>
      </c>
      <c r="W10" s="16" t="str">
        <f>IFERROR(__xludf.DUMMYFUNCTION("""COMPUTED_VALUE"""),"Female")</f>
        <v>Female</v>
      </c>
      <c r="X10" s="16" t="str">
        <f>IFERROR(__xludf.DUMMYFUNCTION("""COMPUTED_VALUE"""),"Sweater")</f>
        <v>Sweater</v>
      </c>
      <c r="AB10" s="16" t="str">
        <f>IFERROR(__xludf.DUMMYFUNCTION("""COMPUTED_VALUE"""),"EOSS: B1G30%,B2G40%, B3G50%")</f>
        <v>EOSS: B1G30%,B2G40%, B3G50%</v>
      </c>
      <c r="AC10" s="16" t="str">
        <f>IFERROR(__xludf.DUMMYFUNCTION("""COMPUTED_VALUE"""),"AW22")</f>
        <v>AW22</v>
      </c>
    </row>
    <row r="11">
      <c r="A11" s="16" t="s">
        <v>84</v>
      </c>
      <c r="C11" s="16" t="str">
        <f>IFERROR(__xludf.DUMMYFUNCTION("""COMPUTED_VALUE"""),"SFR")</f>
        <v>SFR</v>
      </c>
      <c r="D11" s="16" t="str">
        <f>IFERROR(__xludf.DUMMYFUNCTION("""COMPUTED_VALUE"""),"SFR-PANIPAT")</f>
        <v>SFR-PANIPAT</v>
      </c>
      <c r="E11" s="16" t="str">
        <f>IFERROR(__xludf.DUMMYFUNCTION("""COMPUTED_VALUE"""),"")</f>
        <v/>
      </c>
      <c r="F11" s="16" t="str">
        <f>IFERROR(__xludf.DUMMYFUNCTION("""COMPUTED_VALUE"""),"SFCM01471/Jan-25")</f>
        <v>SFCM01471/Jan-25</v>
      </c>
      <c r="G11" s="18">
        <f>IFERROR(__xludf.DUMMYFUNCTION("""COMPUTED_VALUE"""),45682.0)</f>
        <v>45682</v>
      </c>
      <c r="H11" s="16" t="s">
        <v>85</v>
      </c>
      <c r="I11" s="16" t="s">
        <v>86</v>
      </c>
      <c r="J11" s="19">
        <f>IFERROR(__xludf.DUMMYFUNCTION("""COMPUTED_VALUE"""),8.903331771545E12)</f>
        <v>8903331771545</v>
      </c>
      <c r="K11" s="16" t="str">
        <f>IFERROR(__xludf.DUMMYFUNCTION("""COMPUTED_VALUE"""),"124103 GREEN")</f>
        <v>124103 GREEN</v>
      </c>
      <c r="L11" s="16" t="str">
        <f>IFERROR(__xludf.DUMMYFUNCTION("""COMPUTED_VALUE"""),"124103 GREEN")</f>
        <v>124103 GREEN</v>
      </c>
      <c r="M11" s="16" t="str">
        <f>IFERROR(__xludf.DUMMYFUNCTION("""COMPUTED_VALUE"""),"XS")</f>
        <v>XS</v>
      </c>
      <c r="N11" s="19">
        <f>IFERROR(__xludf.DUMMYFUNCTION("""COMPUTED_VALUE"""),1.0)</f>
        <v>1</v>
      </c>
      <c r="O11" s="19">
        <f>IFERROR(__xludf.DUMMYFUNCTION("""COMPUTED_VALUE"""),2490.0)</f>
        <v>2490</v>
      </c>
      <c r="P11" s="19">
        <f>IFERROR(__xludf.DUMMYFUNCTION("""COMPUTED_VALUE"""),2490.0)</f>
        <v>2490</v>
      </c>
      <c r="Q11" s="19">
        <f>IFERROR(__xludf.DUMMYFUNCTION("""COMPUTED_VALUE"""),0.0)</f>
        <v>0</v>
      </c>
      <c r="R11" s="19">
        <f>IFERROR(__xludf.DUMMYFUNCTION("""COMPUTED_VALUE"""),0.0)</f>
        <v>0</v>
      </c>
      <c r="S11" s="19">
        <f>IFERROR(__xludf.DUMMYFUNCTION("""COMPUTED_VALUE"""),0.0)</f>
        <v>0</v>
      </c>
      <c r="T11" s="19">
        <f>IFERROR(__xludf.DUMMYFUNCTION("""COMPUTED_VALUE"""),2490.0)</f>
        <v>2490</v>
      </c>
      <c r="U11" s="16">
        <v>0.0</v>
      </c>
      <c r="V11" s="16" t="str">
        <f>IFERROR(__xludf.DUMMYFUNCTION("""COMPUTED_VALUE"""),"Apparel")</f>
        <v>Apparel</v>
      </c>
      <c r="W11" s="16" t="str">
        <f>IFERROR(__xludf.DUMMYFUNCTION("""COMPUTED_VALUE"""),"Female")</f>
        <v>Female</v>
      </c>
      <c r="X11" s="16" t="str">
        <f>IFERROR(__xludf.DUMMYFUNCTION("""COMPUTED_VALUE"""),"Trouser")</f>
        <v>Trouser</v>
      </c>
      <c r="AB11" s="16" t="str">
        <f>IFERROR(__xludf.DUMMYFUNCTION("""COMPUTED_VALUE"""),"Flat50%")</f>
        <v>Flat50%</v>
      </c>
      <c r="AC11" s="16" t="str">
        <f>IFERROR(__xludf.DUMMYFUNCTION("""COMPUTED_VALUE"""),"AW22")</f>
        <v>AW22</v>
      </c>
    </row>
    <row r="12">
      <c r="A12" s="16" t="s">
        <v>84</v>
      </c>
      <c r="C12" s="16" t="str">
        <f>IFERROR(__xludf.DUMMYFUNCTION("""COMPUTED_VALUE"""),"SFR")</f>
        <v>SFR</v>
      </c>
      <c r="D12" s="16" t="str">
        <f>IFERROR(__xludf.DUMMYFUNCTION("""COMPUTED_VALUE"""),"SFR-PANIPAT")</f>
        <v>SFR-PANIPAT</v>
      </c>
      <c r="E12" s="16" t="str">
        <f>IFERROR(__xludf.DUMMYFUNCTION("""COMPUTED_VALUE"""),"")</f>
        <v/>
      </c>
      <c r="F12" s="16" t="str">
        <f>IFERROR(__xludf.DUMMYFUNCTION("""COMPUTED_VALUE"""),"SFCM01471/Jan-25")</f>
        <v>SFCM01471/Jan-25</v>
      </c>
      <c r="G12" s="18">
        <f>IFERROR(__xludf.DUMMYFUNCTION("""COMPUTED_VALUE"""),45682.0)</f>
        <v>45682</v>
      </c>
      <c r="H12" s="16" t="s">
        <v>85</v>
      </c>
      <c r="I12" s="16" t="s">
        <v>86</v>
      </c>
      <c r="J12" s="19">
        <f>IFERROR(__xludf.DUMMYFUNCTION("""COMPUTED_VALUE"""),8.903331771514E12)</f>
        <v>8903331771514</v>
      </c>
      <c r="K12" s="16" t="str">
        <f>IFERROR(__xludf.DUMMYFUNCTION("""COMPUTED_VALUE"""),"124103 GREEN")</f>
        <v>124103 GREEN</v>
      </c>
      <c r="L12" s="16" t="str">
        <f>IFERROR(__xludf.DUMMYFUNCTION("""COMPUTED_VALUE"""),"124103 GREEN")</f>
        <v>124103 GREEN</v>
      </c>
      <c r="M12" s="16" t="str">
        <f>IFERROR(__xludf.DUMMYFUNCTION("""COMPUTED_VALUE"""),"M")</f>
        <v>M</v>
      </c>
      <c r="N12" s="19">
        <f>IFERROR(__xludf.DUMMYFUNCTION("""COMPUTED_VALUE"""),-1.0)</f>
        <v>-1</v>
      </c>
      <c r="O12" s="19">
        <f>IFERROR(__xludf.DUMMYFUNCTION("""COMPUTED_VALUE"""),2490.0)</f>
        <v>2490</v>
      </c>
      <c r="P12" s="19">
        <f>IFERROR(__xludf.DUMMYFUNCTION("""COMPUTED_VALUE"""),-2490.0)</f>
        <v>-2490</v>
      </c>
      <c r="Q12" s="19">
        <f>IFERROR(__xludf.DUMMYFUNCTION("""COMPUTED_VALUE"""),0.0)</f>
        <v>0</v>
      </c>
      <c r="R12" s="19">
        <f>IFERROR(__xludf.DUMMYFUNCTION("""COMPUTED_VALUE"""),0.0)</f>
        <v>0</v>
      </c>
      <c r="S12" s="19">
        <f>IFERROR(__xludf.DUMMYFUNCTION("""COMPUTED_VALUE"""),0.0)</f>
        <v>0</v>
      </c>
      <c r="T12" s="19">
        <f>IFERROR(__xludf.DUMMYFUNCTION("""COMPUTED_VALUE"""),-2490.0)</f>
        <v>-2490</v>
      </c>
      <c r="U12" s="16">
        <v>0.0</v>
      </c>
      <c r="V12" s="16" t="str">
        <f>IFERROR(__xludf.DUMMYFUNCTION("""COMPUTED_VALUE"""),"Apparel")</f>
        <v>Apparel</v>
      </c>
      <c r="W12" s="16" t="str">
        <f>IFERROR(__xludf.DUMMYFUNCTION("""COMPUTED_VALUE"""),"Female")</f>
        <v>Female</v>
      </c>
      <c r="X12" s="16" t="str">
        <f>IFERROR(__xludf.DUMMYFUNCTION("""COMPUTED_VALUE"""),"Trouser")</f>
        <v>Trouser</v>
      </c>
      <c r="AB12" s="16" t="str">
        <f>IFERROR(__xludf.DUMMYFUNCTION("""COMPUTED_VALUE"""),"Flat50%")</f>
        <v>Flat50%</v>
      </c>
      <c r="AC12" s="16" t="str">
        <f>IFERROR(__xludf.DUMMYFUNCTION("""COMPUTED_VALUE"""),"AW22")</f>
        <v>AW22</v>
      </c>
    </row>
    <row r="13">
      <c r="A13" s="16" t="s">
        <v>84</v>
      </c>
      <c r="C13" s="16" t="str">
        <f>IFERROR(__xludf.DUMMYFUNCTION("""COMPUTED_VALUE"""),"SFR")</f>
        <v>SFR</v>
      </c>
      <c r="D13" s="16" t="str">
        <f>IFERROR(__xludf.DUMMYFUNCTION("""COMPUTED_VALUE"""),"SFR-PANIPAT")</f>
        <v>SFR-PANIPAT</v>
      </c>
      <c r="E13" s="16" t="str">
        <f>IFERROR(__xludf.DUMMYFUNCTION("""COMPUTED_VALUE"""),"")</f>
        <v/>
      </c>
      <c r="F13" s="16" t="str">
        <f>IFERROR(__xludf.DUMMYFUNCTION("""COMPUTED_VALUE"""),"SFCM01472/Jan-25")</f>
        <v>SFCM01472/Jan-25</v>
      </c>
      <c r="G13" s="18">
        <f>IFERROR(__xludf.DUMMYFUNCTION("""COMPUTED_VALUE"""),45682.0)</f>
        <v>45682</v>
      </c>
      <c r="H13" s="16" t="s">
        <v>85</v>
      </c>
      <c r="I13" s="16" t="s">
        <v>86</v>
      </c>
      <c r="J13" s="19">
        <f>IFERROR(__xludf.DUMMYFUNCTION("""COMPUTED_VALUE"""),8.903331837982E12)</f>
        <v>8903331837982</v>
      </c>
      <c r="K13" s="16" t="str">
        <f>IFERROR(__xludf.DUMMYFUNCTION("""COMPUTED_VALUE"""),"125448 MLWMVE")</f>
        <v>125448 MLWMVE</v>
      </c>
      <c r="L13" s="16" t="str">
        <f>IFERROR(__xludf.DUMMYFUNCTION("""COMPUTED_VALUE"""),"125448 MLWMVE")</f>
        <v>125448 MLWMVE</v>
      </c>
      <c r="M13" s="16" t="str">
        <f>IFERROR(__xludf.DUMMYFUNCTION("""COMPUTED_VALUE"""),"L")</f>
        <v>L</v>
      </c>
      <c r="N13" s="19">
        <f>IFERROR(__xludf.DUMMYFUNCTION("""COMPUTED_VALUE"""),-1.0)</f>
        <v>-1</v>
      </c>
      <c r="O13" s="19">
        <f>IFERROR(__xludf.DUMMYFUNCTION("""COMPUTED_VALUE"""),3990.0)</f>
        <v>3990</v>
      </c>
      <c r="P13" s="19">
        <f>IFERROR(__xludf.DUMMYFUNCTION("""COMPUTED_VALUE"""),-3990.0)</f>
        <v>-3990</v>
      </c>
      <c r="Q13" s="19">
        <f>IFERROR(__xludf.DUMMYFUNCTION("""COMPUTED_VALUE"""),0.0)</f>
        <v>0</v>
      </c>
      <c r="R13" s="19">
        <f>IFERROR(__xludf.DUMMYFUNCTION("""COMPUTED_VALUE"""),0.0)</f>
        <v>0</v>
      </c>
      <c r="S13" s="19">
        <f>IFERROR(__xludf.DUMMYFUNCTION("""COMPUTED_VALUE"""),0.0)</f>
        <v>0</v>
      </c>
      <c r="T13" s="19">
        <f>IFERROR(__xludf.DUMMYFUNCTION("""COMPUTED_VALUE"""),-3990.0)</f>
        <v>-3990</v>
      </c>
      <c r="U13" s="16">
        <v>0.0</v>
      </c>
      <c r="V13" s="16" t="str">
        <f>IFERROR(__xludf.DUMMYFUNCTION("""COMPUTED_VALUE"""),"Apparel")</f>
        <v>Apparel</v>
      </c>
      <c r="W13" s="16" t="str">
        <f>IFERROR(__xludf.DUMMYFUNCTION("""COMPUTED_VALUE"""),"Female")</f>
        <v>Female</v>
      </c>
      <c r="X13" s="16" t="str">
        <f>IFERROR(__xludf.DUMMYFUNCTION("""COMPUTED_VALUE"""),"Dress")</f>
        <v>Dress</v>
      </c>
      <c r="AB13" s="16" t="str">
        <f>IFERROR(__xludf.DUMMYFUNCTION("""COMPUTED_VALUE"""),"Flat50%")</f>
        <v>Flat50%</v>
      </c>
      <c r="AC13" s="16" t="str">
        <f>IFERROR(__xludf.DUMMYFUNCTION("""COMPUTED_VALUE"""),"AW23")</f>
        <v>AW23</v>
      </c>
    </row>
    <row r="14">
      <c r="A14" s="16" t="s">
        <v>84</v>
      </c>
      <c r="C14" s="16" t="str">
        <f>IFERROR(__xludf.DUMMYFUNCTION("""COMPUTED_VALUE"""),"SFR")</f>
        <v>SFR</v>
      </c>
      <c r="D14" s="16" t="str">
        <f>IFERROR(__xludf.DUMMYFUNCTION("""COMPUTED_VALUE"""),"SFR-PANIPAT")</f>
        <v>SFR-PANIPAT</v>
      </c>
      <c r="E14" s="16" t="str">
        <f>IFERROR(__xludf.DUMMYFUNCTION("""COMPUTED_VALUE"""),"")</f>
        <v/>
      </c>
      <c r="F14" s="16" t="str">
        <f>IFERROR(__xludf.DUMMYFUNCTION("""COMPUTED_VALUE"""),"SFCM01472/Jan-25")</f>
        <v>SFCM01472/Jan-25</v>
      </c>
      <c r="G14" s="18">
        <f>IFERROR(__xludf.DUMMYFUNCTION("""COMPUTED_VALUE"""),45682.0)</f>
        <v>45682</v>
      </c>
      <c r="H14" s="16" t="s">
        <v>85</v>
      </c>
      <c r="I14" s="16" t="s">
        <v>86</v>
      </c>
      <c r="J14" s="19">
        <f>IFERROR(__xludf.DUMMYFUNCTION("""COMPUTED_VALUE"""),8.903331791079E12)</f>
        <v>8903331791079</v>
      </c>
      <c r="K14" s="16" t="str">
        <f>IFERROR(__xludf.DUMMYFUNCTION("""COMPUTED_VALUE"""),"124498 DRSBLC")</f>
        <v>124498 DRSBLC</v>
      </c>
      <c r="L14" s="16" t="str">
        <f>IFERROR(__xludf.DUMMYFUNCTION("""COMPUTED_VALUE"""),"124498 DRSBLC")</f>
        <v>124498 DRSBLC</v>
      </c>
      <c r="M14" s="16" t="str">
        <f>IFERROR(__xludf.DUMMYFUNCTION("""COMPUTED_VALUE"""),"XS")</f>
        <v>XS</v>
      </c>
      <c r="N14" s="19">
        <f>IFERROR(__xludf.DUMMYFUNCTION("""COMPUTED_VALUE"""),1.0)</f>
        <v>1</v>
      </c>
      <c r="O14" s="19">
        <f>IFERROR(__xludf.DUMMYFUNCTION("""COMPUTED_VALUE"""),3690.0)</f>
        <v>3690</v>
      </c>
      <c r="P14" s="19">
        <f>IFERROR(__xludf.DUMMYFUNCTION("""COMPUTED_VALUE"""),3690.0)</f>
        <v>3690</v>
      </c>
      <c r="Q14" s="19">
        <f>IFERROR(__xludf.DUMMYFUNCTION("""COMPUTED_VALUE"""),0.0)</f>
        <v>0</v>
      </c>
      <c r="R14" s="19">
        <f>IFERROR(__xludf.DUMMYFUNCTION("""COMPUTED_VALUE"""),0.0)</f>
        <v>0</v>
      </c>
      <c r="S14" s="19">
        <f>IFERROR(__xludf.DUMMYFUNCTION("""COMPUTED_VALUE"""),0.0)</f>
        <v>0</v>
      </c>
      <c r="T14" s="19">
        <f>IFERROR(__xludf.DUMMYFUNCTION("""COMPUTED_VALUE"""),3690.0)</f>
        <v>3690</v>
      </c>
      <c r="U14" s="16">
        <v>0.0</v>
      </c>
      <c r="V14" s="16" t="str">
        <f>IFERROR(__xludf.DUMMYFUNCTION("""COMPUTED_VALUE"""),"Apparel")</f>
        <v>Apparel</v>
      </c>
      <c r="W14" s="16" t="str">
        <f>IFERROR(__xludf.DUMMYFUNCTION("""COMPUTED_VALUE"""),"Female")</f>
        <v>Female</v>
      </c>
      <c r="X14" s="16" t="str">
        <f>IFERROR(__xludf.DUMMYFUNCTION("""COMPUTED_VALUE"""),"Dress")</f>
        <v>Dress</v>
      </c>
      <c r="AB14" s="16" t="str">
        <f>IFERROR(__xludf.DUMMYFUNCTION("""COMPUTED_VALUE"""),"Flat50%")</f>
        <v>Flat50%</v>
      </c>
      <c r="AC14" s="16" t="str">
        <f>IFERROR(__xludf.DUMMYFUNCTION("""COMPUTED_VALUE"""),"AW22")</f>
        <v>AW22</v>
      </c>
    </row>
    <row r="15">
      <c r="A15" s="16" t="s">
        <v>84</v>
      </c>
      <c r="C15" s="16" t="str">
        <f>IFERROR(__xludf.DUMMYFUNCTION("""COMPUTED_VALUE"""),"SFR")</f>
        <v>SFR</v>
      </c>
      <c r="D15" s="16" t="str">
        <f>IFERROR(__xludf.DUMMYFUNCTION("""COMPUTED_VALUE"""),"SFR-OHM SIRSA WOMEN")</f>
        <v>SFR-OHM SIRSA WOMEN</v>
      </c>
      <c r="E15" s="16" t="str">
        <f>IFERROR(__xludf.DUMMYFUNCTION("""COMPUTED_VALUE"""),"")</f>
        <v/>
      </c>
      <c r="F15" s="16" t="str">
        <f>IFERROR(__xludf.DUMMYFUNCTION("""COMPUTED_VALUE"""),"SFCM00772/Jan-25")</f>
        <v>SFCM00772/Jan-25</v>
      </c>
      <c r="G15" s="18">
        <f>IFERROR(__xludf.DUMMYFUNCTION("""COMPUTED_VALUE"""),45661.0)</f>
        <v>45661</v>
      </c>
      <c r="H15" s="16" t="s">
        <v>85</v>
      </c>
      <c r="I15" s="16" t="s">
        <v>86</v>
      </c>
      <c r="J15" s="19">
        <f>IFERROR(__xludf.DUMMYFUNCTION("""COMPUTED_VALUE"""),8.903331860966E12)</f>
        <v>8903331860966</v>
      </c>
      <c r="K15" s="16" t="str">
        <f>IFERROR(__xludf.DUMMYFUNCTION("""COMPUTED_VALUE"""),"KZ00060 BLACKL01")</f>
        <v>KZ00060 BLACKL01</v>
      </c>
      <c r="L15" s="16" t="str">
        <f>IFERROR(__xludf.DUMMYFUNCTION("""COMPUTED_VALUE"""),"KZ00060 BLACKL01")</f>
        <v>KZ00060 BLACKL01</v>
      </c>
      <c r="M15" s="16" t="str">
        <f>IFERROR(__xludf.DUMMYFUNCTION("""COMPUTED_VALUE"""),"L")</f>
        <v>L</v>
      </c>
      <c r="N15" s="19">
        <f>IFERROR(__xludf.DUMMYFUNCTION("""COMPUTED_VALUE"""),1.0)</f>
        <v>1</v>
      </c>
      <c r="O15" s="19">
        <f>IFERROR(__xludf.DUMMYFUNCTION("""COMPUTED_VALUE"""),3290.0)</f>
        <v>3290</v>
      </c>
      <c r="P15" s="19">
        <f>IFERROR(__xludf.DUMMYFUNCTION("""COMPUTED_VALUE"""),3290.0)</f>
        <v>3290</v>
      </c>
      <c r="Q15" s="19">
        <f>IFERROR(__xludf.DUMMYFUNCTION("""COMPUTED_VALUE"""),0.0)</f>
        <v>0</v>
      </c>
      <c r="R15" s="19">
        <f>IFERROR(__xludf.DUMMYFUNCTION("""COMPUTED_VALUE"""),987.0)</f>
        <v>987</v>
      </c>
      <c r="S15" s="19">
        <f>IFERROR(__xludf.DUMMYFUNCTION("""COMPUTED_VALUE"""),987.0)</f>
        <v>987</v>
      </c>
      <c r="T15" s="19">
        <f>IFERROR(__xludf.DUMMYFUNCTION("""COMPUTED_VALUE"""),2303.0)</f>
        <v>2303</v>
      </c>
      <c r="U15" s="16">
        <v>0.0</v>
      </c>
      <c r="V15" s="16" t="str">
        <f>IFERROR(__xludf.DUMMYFUNCTION("""COMPUTED_VALUE"""),"Apparel")</f>
        <v>Apparel</v>
      </c>
      <c r="W15" s="16" t="str">
        <f>IFERROR(__xludf.DUMMYFUNCTION("""COMPUTED_VALUE"""),"Female")</f>
        <v>Female</v>
      </c>
      <c r="X15" s="16" t="str">
        <f>IFERROR(__xludf.DUMMYFUNCTION("""COMPUTED_VALUE"""),"Sweater")</f>
        <v>Sweater</v>
      </c>
      <c r="AB15" s="16" t="str">
        <f>IFERROR(__xludf.DUMMYFUNCTION("""COMPUTED_VALUE"""),"EOSS: B1G30%,B2G40%, B3G50%")</f>
        <v>EOSS: B1G30%,B2G40%, B3G50%</v>
      </c>
      <c r="AC15" s="16" t="str">
        <f>IFERROR(__xludf.DUMMYFUNCTION("""COMPUTED_VALUE"""),"AW23")</f>
        <v>AW23</v>
      </c>
    </row>
    <row r="16">
      <c r="A16" s="16" t="s">
        <v>84</v>
      </c>
      <c r="C16" s="16" t="str">
        <f>IFERROR(__xludf.DUMMYFUNCTION("""COMPUTED_VALUE"""),"SFR")</f>
        <v>SFR</v>
      </c>
      <c r="D16" s="16" t="str">
        <f>IFERROR(__xludf.DUMMYFUNCTION("""COMPUTED_VALUE"""),"SFR-OHM SIRSA WOMEN")</f>
        <v>SFR-OHM SIRSA WOMEN</v>
      </c>
      <c r="E16" s="16" t="str">
        <f>IFERROR(__xludf.DUMMYFUNCTION("""COMPUTED_VALUE"""),"")</f>
        <v/>
      </c>
      <c r="F16" s="16" t="str">
        <f>IFERROR(__xludf.DUMMYFUNCTION("""COMPUTED_VALUE"""),"SFCM00771/Jan-25")</f>
        <v>SFCM00771/Jan-25</v>
      </c>
      <c r="G16" s="18">
        <f>IFERROR(__xludf.DUMMYFUNCTION("""COMPUTED_VALUE"""),45661.0)</f>
        <v>45661</v>
      </c>
      <c r="H16" s="16" t="s">
        <v>85</v>
      </c>
      <c r="I16" s="16" t="s">
        <v>86</v>
      </c>
      <c r="J16" s="19">
        <f>IFERROR(__xludf.DUMMYFUNCTION("""COMPUTED_VALUE"""),8.903331795602E12)</f>
        <v>8903331795602</v>
      </c>
      <c r="K16" s="16" t="str">
        <f>IFERROR(__xludf.DUMMYFUNCTION("""COMPUTED_VALUE"""),"124567 PINK")</f>
        <v>124567 PINK</v>
      </c>
      <c r="L16" s="16" t="str">
        <f>IFERROR(__xludf.DUMMYFUNCTION("""COMPUTED_VALUE"""),"124567 PINK")</f>
        <v>124567 PINK</v>
      </c>
      <c r="M16" s="16" t="str">
        <f>IFERROR(__xludf.DUMMYFUNCTION("""COMPUTED_VALUE"""),"XL")</f>
        <v>XL</v>
      </c>
      <c r="N16" s="19">
        <f>IFERROR(__xludf.DUMMYFUNCTION("""COMPUTED_VALUE"""),1.0)</f>
        <v>1</v>
      </c>
      <c r="O16" s="19">
        <f>IFERROR(__xludf.DUMMYFUNCTION("""COMPUTED_VALUE"""),2690.0)</f>
        <v>2690</v>
      </c>
      <c r="P16" s="19">
        <f>IFERROR(__xludf.DUMMYFUNCTION("""COMPUTED_VALUE"""),2690.0)</f>
        <v>2690</v>
      </c>
      <c r="Q16" s="19">
        <f>IFERROR(__xludf.DUMMYFUNCTION("""COMPUTED_VALUE"""),0.0)</f>
        <v>0</v>
      </c>
      <c r="R16" s="19">
        <f>IFERROR(__xludf.DUMMYFUNCTION("""COMPUTED_VALUE"""),807.0)</f>
        <v>807</v>
      </c>
      <c r="S16" s="19">
        <f>IFERROR(__xludf.DUMMYFUNCTION("""COMPUTED_VALUE"""),807.0)</f>
        <v>807</v>
      </c>
      <c r="T16" s="19">
        <f>IFERROR(__xludf.DUMMYFUNCTION("""COMPUTED_VALUE"""),1883.0)</f>
        <v>1883</v>
      </c>
      <c r="U16" s="16">
        <v>0.0</v>
      </c>
      <c r="V16" s="16" t="str">
        <f>IFERROR(__xludf.DUMMYFUNCTION("""COMPUTED_VALUE"""),"Apparel")</f>
        <v>Apparel</v>
      </c>
      <c r="W16" s="16" t="str">
        <f>IFERROR(__xludf.DUMMYFUNCTION("""COMPUTED_VALUE"""),"Female")</f>
        <v>Female</v>
      </c>
      <c r="X16" s="16" t="str">
        <f>IFERROR(__xludf.DUMMYFUNCTION("""COMPUTED_VALUE"""),"Sweater")</f>
        <v>Sweater</v>
      </c>
      <c r="AB16" s="16" t="str">
        <f>IFERROR(__xludf.DUMMYFUNCTION("""COMPUTED_VALUE"""),"EOSS: B1G30%,B2G40%, B3G50%")</f>
        <v>EOSS: B1G30%,B2G40%, B3G50%</v>
      </c>
      <c r="AC16" s="16" t="str">
        <f>IFERROR(__xludf.DUMMYFUNCTION("""COMPUTED_VALUE"""),"AW22")</f>
        <v>AW22</v>
      </c>
    </row>
    <row r="17">
      <c r="A17" s="16" t="s">
        <v>84</v>
      </c>
      <c r="C17" s="16" t="str">
        <f>IFERROR(__xludf.DUMMYFUNCTION("""COMPUTED_VALUE"""),"SFR")</f>
        <v>SFR</v>
      </c>
      <c r="D17" s="16" t="str">
        <f>IFERROR(__xludf.DUMMYFUNCTION("""COMPUTED_VALUE"""),"SFR-OHM SIRSA WOMEN")</f>
        <v>SFR-OHM SIRSA WOMEN</v>
      </c>
      <c r="E17" s="16" t="str">
        <f>IFERROR(__xludf.DUMMYFUNCTION("""COMPUTED_VALUE"""),"")</f>
        <v/>
      </c>
      <c r="F17" s="16" t="str">
        <f>IFERROR(__xludf.DUMMYFUNCTION("""COMPUTED_VALUE"""),"SFCM00771/Jan-25")</f>
        <v>SFCM00771/Jan-25</v>
      </c>
      <c r="G17" s="18">
        <f>IFERROR(__xludf.DUMMYFUNCTION("""COMPUTED_VALUE"""),45661.0)</f>
        <v>45661</v>
      </c>
      <c r="H17" s="16" t="s">
        <v>85</v>
      </c>
      <c r="I17" s="16" t="s">
        <v>86</v>
      </c>
      <c r="J17" s="19">
        <f>IFERROR(__xludf.DUMMYFUNCTION("""COMPUTED_VALUE"""),8.903331795558E12)</f>
        <v>8903331795558</v>
      </c>
      <c r="K17" s="16" t="str">
        <f>IFERROR(__xludf.DUMMYFUNCTION("""COMPUTED_VALUE"""),"124567 CHOCOLATE BROWN")</f>
        <v>124567 CHOCOLATE BROWN</v>
      </c>
      <c r="L17" s="16" t="str">
        <f>IFERROR(__xludf.DUMMYFUNCTION("""COMPUTED_VALUE"""),"124567 CHOCOLATE BROWN")</f>
        <v>124567 CHOCOLATE BROWN</v>
      </c>
      <c r="M17" s="16" t="str">
        <f>IFERROR(__xludf.DUMMYFUNCTION("""COMPUTED_VALUE"""),"XL")</f>
        <v>XL</v>
      </c>
      <c r="N17" s="19">
        <f>IFERROR(__xludf.DUMMYFUNCTION("""COMPUTED_VALUE"""),2.0)</f>
        <v>2</v>
      </c>
      <c r="O17" s="19">
        <f>IFERROR(__xludf.DUMMYFUNCTION("""COMPUTED_VALUE"""),2690.0)</f>
        <v>2690</v>
      </c>
      <c r="P17" s="19">
        <f>IFERROR(__xludf.DUMMYFUNCTION("""COMPUTED_VALUE"""),5380.0)</f>
        <v>5380</v>
      </c>
      <c r="Q17" s="19">
        <f>IFERROR(__xludf.DUMMYFUNCTION("""COMPUTED_VALUE"""),0.0)</f>
        <v>0</v>
      </c>
      <c r="R17" s="19">
        <f>IFERROR(__xludf.DUMMYFUNCTION("""COMPUTED_VALUE"""),1614.0)</f>
        <v>1614</v>
      </c>
      <c r="S17" s="19">
        <f>IFERROR(__xludf.DUMMYFUNCTION("""COMPUTED_VALUE"""),1614.0)</f>
        <v>1614</v>
      </c>
      <c r="T17" s="19">
        <f>IFERROR(__xludf.DUMMYFUNCTION("""COMPUTED_VALUE"""),3766.0)</f>
        <v>3766</v>
      </c>
      <c r="U17" s="16">
        <v>0.0</v>
      </c>
      <c r="V17" s="16" t="str">
        <f>IFERROR(__xludf.DUMMYFUNCTION("""COMPUTED_VALUE"""),"Apparel")</f>
        <v>Apparel</v>
      </c>
      <c r="W17" s="16" t="str">
        <f>IFERROR(__xludf.DUMMYFUNCTION("""COMPUTED_VALUE"""),"Female")</f>
        <v>Female</v>
      </c>
      <c r="X17" s="16" t="str">
        <f>IFERROR(__xludf.DUMMYFUNCTION("""COMPUTED_VALUE"""),"Sweater")</f>
        <v>Sweater</v>
      </c>
      <c r="AB17" s="16" t="str">
        <f>IFERROR(__xludf.DUMMYFUNCTION("""COMPUTED_VALUE"""),"EOSS: B1G30%,B2G40%, B3G50%")</f>
        <v>EOSS: B1G30%,B2G40%, B3G50%</v>
      </c>
      <c r="AC17" s="16" t="str">
        <f>IFERROR(__xludf.DUMMYFUNCTION("""COMPUTED_VALUE"""),"AW22")</f>
        <v>AW22</v>
      </c>
    </row>
    <row r="18">
      <c r="A18" s="16" t="s">
        <v>84</v>
      </c>
      <c r="C18" s="16" t="str">
        <f>IFERROR(__xludf.DUMMYFUNCTION("""COMPUTED_VALUE"""),"SFR")</f>
        <v>SFR</v>
      </c>
      <c r="D18" s="16" t="str">
        <f>IFERROR(__xludf.DUMMYFUNCTION("""COMPUTED_VALUE"""),"SFR-OHM SIRSA WOMEN")</f>
        <v>SFR-OHM SIRSA WOMEN</v>
      </c>
      <c r="E18" s="16" t="str">
        <f>IFERROR(__xludf.DUMMYFUNCTION("""COMPUTED_VALUE"""),"")</f>
        <v/>
      </c>
      <c r="F18" s="16" t="str">
        <f>IFERROR(__xludf.DUMMYFUNCTION("""COMPUTED_VALUE"""),"SFCM00771/Jan-25")</f>
        <v>SFCM00771/Jan-25</v>
      </c>
      <c r="G18" s="18">
        <f>IFERROR(__xludf.DUMMYFUNCTION("""COMPUTED_VALUE"""),45661.0)</f>
        <v>45661</v>
      </c>
      <c r="H18" s="16" t="s">
        <v>85</v>
      </c>
      <c r="I18" s="16" t="s">
        <v>86</v>
      </c>
      <c r="J18" s="19">
        <f>IFERROR(__xludf.DUMMYFUNCTION("""COMPUTED_VALUE"""),8.903331821752E12)</f>
        <v>8903331821752</v>
      </c>
      <c r="K18" s="16" t="str">
        <f>IFERROR(__xludf.DUMMYFUNCTION("""COMPUTED_VALUE"""),"125211 WHITE")</f>
        <v>125211 WHITE</v>
      </c>
      <c r="L18" s="16" t="str">
        <f>IFERROR(__xludf.DUMMYFUNCTION("""COMPUTED_VALUE"""),"125211 WHITE")</f>
        <v>125211 WHITE</v>
      </c>
      <c r="M18" s="16" t="str">
        <f>IFERROR(__xludf.DUMMYFUNCTION("""COMPUTED_VALUE"""),"S")</f>
        <v>S</v>
      </c>
      <c r="N18" s="19">
        <f>IFERROR(__xludf.DUMMYFUNCTION("""COMPUTED_VALUE"""),1.0)</f>
        <v>1</v>
      </c>
      <c r="O18" s="19">
        <f>IFERROR(__xludf.DUMMYFUNCTION("""COMPUTED_VALUE"""),2490.0)</f>
        <v>2490</v>
      </c>
      <c r="P18" s="19">
        <f>IFERROR(__xludf.DUMMYFUNCTION("""COMPUTED_VALUE"""),2490.0)</f>
        <v>2490</v>
      </c>
      <c r="Q18" s="19">
        <f>IFERROR(__xludf.DUMMYFUNCTION("""COMPUTED_VALUE"""),0.0)</f>
        <v>0</v>
      </c>
      <c r="R18" s="19">
        <f>IFERROR(__xludf.DUMMYFUNCTION("""COMPUTED_VALUE"""),747.0)</f>
        <v>747</v>
      </c>
      <c r="S18" s="19">
        <f>IFERROR(__xludf.DUMMYFUNCTION("""COMPUTED_VALUE"""),747.0)</f>
        <v>747</v>
      </c>
      <c r="T18" s="19">
        <f>IFERROR(__xludf.DUMMYFUNCTION("""COMPUTED_VALUE"""),1743.0)</f>
        <v>1743</v>
      </c>
      <c r="U18" s="16">
        <v>0.0</v>
      </c>
      <c r="V18" s="16" t="str">
        <f>IFERROR(__xludf.DUMMYFUNCTION("""COMPUTED_VALUE"""),"Apparel")</f>
        <v>Apparel</v>
      </c>
      <c r="W18" s="16" t="str">
        <f>IFERROR(__xludf.DUMMYFUNCTION("""COMPUTED_VALUE"""),"Female")</f>
        <v>Female</v>
      </c>
      <c r="X18" s="16" t="str">
        <f>IFERROR(__xludf.DUMMYFUNCTION("""COMPUTED_VALUE"""),"Top")</f>
        <v>Top</v>
      </c>
      <c r="AB18" s="16" t="str">
        <f>IFERROR(__xludf.DUMMYFUNCTION("""COMPUTED_VALUE"""),"EOSS: B1G30%,B2G40%, B3G50%")</f>
        <v>EOSS: B1G30%,B2G40%, B3G50%</v>
      </c>
      <c r="AC18" s="16" t="str">
        <f>IFERROR(__xludf.DUMMYFUNCTION("""COMPUTED_VALUE"""),"SS23")</f>
        <v>SS23</v>
      </c>
    </row>
    <row r="19">
      <c r="A19" s="16" t="s">
        <v>84</v>
      </c>
      <c r="C19" s="16" t="str">
        <f>IFERROR(__xludf.DUMMYFUNCTION("""COMPUTED_VALUE"""),"SFR")</f>
        <v>SFR</v>
      </c>
      <c r="D19" s="16" t="str">
        <f>IFERROR(__xludf.DUMMYFUNCTION("""COMPUTED_VALUE"""),"SFR-OHM SIRSA WOMEN")</f>
        <v>SFR-OHM SIRSA WOMEN</v>
      </c>
      <c r="E19" s="16" t="str">
        <f>IFERROR(__xludf.DUMMYFUNCTION("""COMPUTED_VALUE"""),"")</f>
        <v/>
      </c>
      <c r="F19" s="16" t="str">
        <f>IFERROR(__xludf.DUMMYFUNCTION("""COMPUTED_VALUE"""),"SFCM00819/Jan-25")</f>
        <v>SFCM00819/Jan-25</v>
      </c>
      <c r="G19" s="18">
        <f>IFERROR(__xludf.DUMMYFUNCTION("""COMPUTED_VALUE"""),45679.0)</f>
        <v>45679</v>
      </c>
      <c r="H19" s="16" t="s">
        <v>85</v>
      </c>
      <c r="I19" s="16" t="s">
        <v>86</v>
      </c>
      <c r="J19" s="19">
        <f>IFERROR(__xludf.DUMMYFUNCTION("""COMPUTED_VALUE"""),8.903331863073E12)</f>
        <v>8903331863073</v>
      </c>
      <c r="K19" s="16" t="str">
        <f>IFERROR(__xludf.DUMMYFUNCTION("""COMPUTED_VALUE"""),"KZ00252 GREEN")</f>
        <v>KZ00252 GREEN</v>
      </c>
      <c r="L19" s="16" t="str">
        <f>IFERROR(__xludf.DUMMYFUNCTION("""COMPUTED_VALUE"""),"KZ00252 GREEN")</f>
        <v>KZ00252 GREEN</v>
      </c>
      <c r="M19" s="16" t="str">
        <f>IFERROR(__xludf.DUMMYFUNCTION("""COMPUTED_VALUE"""),"L")</f>
        <v>L</v>
      </c>
      <c r="N19" s="19">
        <f>IFERROR(__xludf.DUMMYFUNCTION("""COMPUTED_VALUE"""),1.0)</f>
        <v>1</v>
      </c>
      <c r="O19" s="19">
        <f>IFERROR(__xludf.DUMMYFUNCTION("""COMPUTED_VALUE"""),2190.0)</f>
        <v>2190</v>
      </c>
      <c r="P19" s="19">
        <f>IFERROR(__xludf.DUMMYFUNCTION("""COMPUTED_VALUE"""),2190.0)</f>
        <v>2190</v>
      </c>
      <c r="Q19" s="19">
        <f>IFERROR(__xludf.DUMMYFUNCTION("""COMPUTED_VALUE"""),0.0)</f>
        <v>0</v>
      </c>
      <c r="R19" s="19">
        <f>IFERROR(__xludf.DUMMYFUNCTION("""COMPUTED_VALUE"""),657.0)</f>
        <v>657</v>
      </c>
      <c r="S19" s="19">
        <f>IFERROR(__xludf.DUMMYFUNCTION("""COMPUTED_VALUE"""),657.0)</f>
        <v>657</v>
      </c>
      <c r="T19" s="19">
        <f>IFERROR(__xludf.DUMMYFUNCTION("""COMPUTED_VALUE"""),1533.0)</f>
        <v>1533</v>
      </c>
      <c r="U19" s="16">
        <v>0.0</v>
      </c>
      <c r="V19" s="16" t="str">
        <f>IFERROR(__xludf.DUMMYFUNCTION("""COMPUTED_VALUE"""),"Apparel")</f>
        <v>Apparel</v>
      </c>
      <c r="W19" s="16" t="str">
        <f>IFERROR(__xludf.DUMMYFUNCTION("""COMPUTED_VALUE"""),"Female")</f>
        <v>Female</v>
      </c>
      <c r="X19" s="16" t="str">
        <f>IFERROR(__xludf.DUMMYFUNCTION("""COMPUTED_VALUE"""),"Shirt")</f>
        <v>Shirt</v>
      </c>
      <c r="AB19" s="16" t="str">
        <f>IFERROR(__xludf.DUMMYFUNCTION("""COMPUTED_VALUE"""),"Flat50%")</f>
        <v>Flat50%</v>
      </c>
      <c r="AC19" s="16" t="str">
        <f>IFERROR(__xludf.DUMMYFUNCTION("""COMPUTED_VALUE"""),"AW23")</f>
        <v>AW23</v>
      </c>
    </row>
    <row r="20">
      <c r="A20" s="16" t="s">
        <v>84</v>
      </c>
      <c r="C20" s="16" t="str">
        <f>IFERROR(__xludf.DUMMYFUNCTION("""COMPUTED_VALUE"""),"SFR")</f>
        <v>SFR</v>
      </c>
      <c r="D20" s="16" t="str">
        <f>IFERROR(__xludf.DUMMYFUNCTION("""COMPUTED_VALUE"""),"SFR-OHM SIRSA WOMEN")</f>
        <v>SFR-OHM SIRSA WOMEN</v>
      </c>
      <c r="E20" s="16" t="str">
        <f>IFERROR(__xludf.DUMMYFUNCTION("""COMPUTED_VALUE"""),"")</f>
        <v/>
      </c>
      <c r="F20" s="16" t="str">
        <f>IFERROR(__xludf.DUMMYFUNCTION("""COMPUTED_VALUE"""),"SFCM00789/Jan-25")</f>
        <v>SFCM00789/Jan-25</v>
      </c>
      <c r="G20" s="18">
        <f>IFERROR(__xludf.DUMMYFUNCTION("""COMPUTED_VALUE"""),45667.0)</f>
        <v>45667</v>
      </c>
      <c r="H20" s="16" t="s">
        <v>85</v>
      </c>
      <c r="I20" s="16" t="s">
        <v>86</v>
      </c>
      <c r="J20" s="19">
        <f>IFERROR(__xludf.DUMMYFUNCTION("""COMPUTED_VALUE"""),8.903331857119E12)</f>
        <v>8903331857119</v>
      </c>
      <c r="K20" s="16" t="str">
        <f>IFERROR(__xludf.DUMMYFUNCTION("""COMPUTED_VALUE"""),"KZ00063 KHAKIM01")</f>
        <v>KZ00063 KHAKIM01</v>
      </c>
      <c r="L20" s="16" t="str">
        <f>IFERROR(__xludf.DUMMYFUNCTION("""COMPUTED_VALUE"""),"KZ00063 KHAKIM01")</f>
        <v>KZ00063 KHAKIM01</v>
      </c>
      <c r="M20" s="16" t="str">
        <f>IFERROR(__xludf.DUMMYFUNCTION("""COMPUTED_VALUE"""),"M")</f>
        <v>M</v>
      </c>
      <c r="N20" s="19">
        <f>IFERROR(__xludf.DUMMYFUNCTION("""COMPUTED_VALUE"""),1.0)</f>
        <v>1</v>
      </c>
      <c r="O20" s="19">
        <f>IFERROR(__xludf.DUMMYFUNCTION("""COMPUTED_VALUE"""),2990.0)</f>
        <v>2990</v>
      </c>
      <c r="P20" s="19">
        <f>IFERROR(__xludf.DUMMYFUNCTION("""COMPUTED_VALUE"""),2990.0)</f>
        <v>2990</v>
      </c>
      <c r="Q20" s="19">
        <f>IFERROR(__xludf.DUMMYFUNCTION("""COMPUTED_VALUE"""),0.0)</f>
        <v>0</v>
      </c>
      <c r="R20" s="19">
        <f>IFERROR(__xludf.DUMMYFUNCTION("""COMPUTED_VALUE"""),897.0)</f>
        <v>897</v>
      </c>
      <c r="S20" s="19">
        <f>IFERROR(__xludf.DUMMYFUNCTION("""COMPUTED_VALUE"""),897.0)</f>
        <v>897</v>
      </c>
      <c r="T20" s="19">
        <f>IFERROR(__xludf.DUMMYFUNCTION("""COMPUTED_VALUE"""),2093.0)</f>
        <v>2093</v>
      </c>
      <c r="U20" s="16">
        <v>0.0</v>
      </c>
      <c r="V20" s="16" t="str">
        <f>IFERROR(__xludf.DUMMYFUNCTION("""COMPUTED_VALUE"""),"Apparel")</f>
        <v>Apparel</v>
      </c>
      <c r="W20" s="16" t="str">
        <f>IFERROR(__xludf.DUMMYFUNCTION("""COMPUTED_VALUE"""),"Female")</f>
        <v>Female</v>
      </c>
      <c r="X20" s="16" t="str">
        <f>IFERROR(__xludf.DUMMYFUNCTION("""COMPUTED_VALUE"""),"Sweater")</f>
        <v>Sweater</v>
      </c>
      <c r="AB20" s="16" t="str">
        <f>IFERROR(__xludf.DUMMYFUNCTION("""COMPUTED_VALUE"""),"EOSS: B1G30%,B2G40%, B3G50%")</f>
        <v>EOSS: B1G30%,B2G40%, B3G50%</v>
      </c>
      <c r="AC20" s="16" t="str">
        <f>IFERROR(__xludf.DUMMYFUNCTION("""COMPUTED_VALUE"""),"AW23")</f>
        <v>AW23</v>
      </c>
    </row>
    <row r="21">
      <c r="A21" s="16" t="s">
        <v>84</v>
      </c>
      <c r="C21" s="16" t="str">
        <f>IFERROR(__xludf.DUMMYFUNCTION("""COMPUTED_VALUE"""),"SFR")</f>
        <v>SFR</v>
      </c>
      <c r="D21" s="16" t="str">
        <f>IFERROR(__xludf.DUMMYFUNCTION("""COMPUTED_VALUE"""),"SFR-OHM SIRSA WOMEN")</f>
        <v>SFR-OHM SIRSA WOMEN</v>
      </c>
      <c r="E21" s="16" t="str">
        <f>IFERROR(__xludf.DUMMYFUNCTION("""COMPUTED_VALUE"""),"")</f>
        <v/>
      </c>
      <c r="F21" s="16" t="str">
        <f>IFERROR(__xludf.DUMMYFUNCTION("""COMPUTED_VALUE"""),"SFCM00827/Jan-25")</f>
        <v>SFCM00827/Jan-25</v>
      </c>
      <c r="G21" s="18">
        <f>IFERROR(__xludf.DUMMYFUNCTION("""COMPUTED_VALUE"""),45683.0)</f>
        <v>45683</v>
      </c>
      <c r="H21" s="16" t="s">
        <v>85</v>
      </c>
      <c r="I21" s="16" t="s">
        <v>86</v>
      </c>
      <c r="J21" s="19">
        <f>IFERROR(__xludf.DUMMYFUNCTION("""COMPUTED_VALUE"""),8.903331792663E12)</f>
        <v>8903331792663</v>
      </c>
      <c r="K21" s="16" t="str">
        <f>IFERROR(__xludf.DUMMYFUNCTION("""COMPUTED_VALUE"""),"124522 TORTOISE SHELL")</f>
        <v>124522 TORTOISE SHELL</v>
      </c>
      <c r="L21" s="16" t="str">
        <f>IFERROR(__xludf.DUMMYFUNCTION("""COMPUTED_VALUE"""),"124522 TORTOISE SHELL")</f>
        <v>124522 TORTOISE SHELL</v>
      </c>
      <c r="M21" s="16" t="str">
        <f>IFERROR(__xludf.DUMMYFUNCTION("""COMPUTED_VALUE"""),"M")</f>
        <v>M</v>
      </c>
      <c r="N21" s="19">
        <f>IFERROR(__xludf.DUMMYFUNCTION("""COMPUTED_VALUE"""),1.0)</f>
        <v>1</v>
      </c>
      <c r="O21" s="19">
        <f>IFERROR(__xludf.DUMMYFUNCTION("""COMPUTED_VALUE"""),2990.0)</f>
        <v>2990</v>
      </c>
      <c r="P21" s="19">
        <f>IFERROR(__xludf.DUMMYFUNCTION("""COMPUTED_VALUE"""),2990.0)</f>
        <v>2990</v>
      </c>
      <c r="Q21" s="19">
        <f>IFERROR(__xludf.DUMMYFUNCTION("""COMPUTED_VALUE"""),0.0)</f>
        <v>0</v>
      </c>
      <c r="R21" s="19">
        <f>IFERROR(__xludf.DUMMYFUNCTION("""COMPUTED_VALUE"""),897.0)</f>
        <v>897</v>
      </c>
      <c r="S21" s="19">
        <f>IFERROR(__xludf.DUMMYFUNCTION("""COMPUTED_VALUE"""),897.0)</f>
        <v>897</v>
      </c>
      <c r="T21" s="19">
        <f>IFERROR(__xludf.DUMMYFUNCTION("""COMPUTED_VALUE"""),2093.0)</f>
        <v>2093</v>
      </c>
      <c r="U21" s="16">
        <v>0.0</v>
      </c>
      <c r="V21" s="16" t="str">
        <f>IFERROR(__xludf.DUMMYFUNCTION("""COMPUTED_VALUE"""),"Apparel")</f>
        <v>Apparel</v>
      </c>
      <c r="W21" s="16" t="str">
        <f>IFERROR(__xludf.DUMMYFUNCTION("""COMPUTED_VALUE"""),"Female")</f>
        <v>Female</v>
      </c>
      <c r="X21" s="16" t="str">
        <f>IFERROR(__xludf.DUMMYFUNCTION("""COMPUTED_VALUE"""),"Trouser")</f>
        <v>Trouser</v>
      </c>
      <c r="AB21" s="16" t="str">
        <f>IFERROR(__xludf.DUMMYFUNCTION("""COMPUTED_VALUE"""),"Flat50%")</f>
        <v>Flat50%</v>
      </c>
      <c r="AC21" s="16" t="str">
        <f>IFERROR(__xludf.DUMMYFUNCTION("""COMPUTED_VALUE"""),"SS23")</f>
        <v>SS23</v>
      </c>
    </row>
    <row r="22">
      <c r="A22" s="16" t="s">
        <v>84</v>
      </c>
      <c r="C22" s="16" t="str">
        <f>IFERROR(__xludf.DUMMYFUNCTION("""COMPUTED_VALUE"""),"SFR")</f>
        <v>SFR</v>
      </c>
      <c r="D22" s="16" t="str">
        <f>IFERROR(__xludf.DUMMYFUNCTION("""COMPUTED_VALUE"""),"SFR-OHM SIRSA WOMEN")</f>
        <v>SFR-OHM SIRSA WOMEN</v>
      </c>
      <c r="E22" s="16" t="str">
        <f>IFERROR(__xludf.DUMMYFUNCTION("""COMPUTED_VALUE"""),"")</f>
        <v/>
      </c>
      <c r="F22" s="16" t="str">
        <f>IFERROR(__xludf.DUMMYFUNCTION("""COMPUTED_VALUE"""),"SFCM00827/Jan-25")</f>
        <v>SFCM00827/Jan-25</v>
      </c>
      <c r="G22" s="18">
        <f>IFERROR(__xludf.DUMMYFUNCTION("""COMPUTED_VALUE"""),45683.0)</f>
        <v>45683</v>
      </c>
      <c r="H22" s="16" t="s">
        <v>85</v>
      </c>
      <c r="I22" s="16" t="s">
        <v>86</v>
      </c>
      <c r="J22" s="19">
        <f>IFERROR(__xludf.DUMMYFUNCTION("""COMPUTED_VALUE"""),8.903331799662E12)</f>
        <v>8903331799662</v>
      </c>
      <c r="K22" s="16" t="str">
        <f>IFERROR(__xludf.DUMMYFUNCTION("""COMPUTED_VALUE"""),"124631 TWMV")</f>
        <v>124631 TWMV</v>
      </c>
      <c r="L22" s="16" t="str">
        <f>IFERROR(__xludf.DUMMYFUNCTION("""COMPUTED_VALUE"""),"124631 TWMV")</f>
        <v>124631 TWMV</v>
      </c>
      <c r="M22" s="16" t="str">
        <f>IFERROR(__xludf.DUMMYFUNCTION("""COMPUTED_VALUE"""),"M")</f>
        <v>M</v>
      </c>
      <c r="N22" s="19">
        <f>IFERROR(__xludf.DUMMYFUNCTION("""COMPUTED_VALUE"""),1.0)</f>
        <v>1</v>
      </c>
      <c r="O22" s="19">
        <f>IFERROR(__xludf.DUMMYFUNCTION("""COMPUTED_VALUE"""),1990.0)</f>
        <v>1990</v>
      </c>
      <c r="P22" s="19">
        <f>IFERROR(__xludf.DUMMYFUNCTION("""COMPUTED_VALUE"""),1990.0)</f>
        <v>1990</v>
      </c>
      <c r="Q22" s="19">
        <f>IFERROR(__xludf.DUMMYFUNCTION("""COMPUTED_VALUE"""),0.0)</f>
        <v>0</v>
      </c>
      <c r="R22" s="19">
        <f>IFERROR(__xludf.DUMMYFUNCTION("""COMPUTED_VALUE"""),597.0)</f>
        <v>597</v>
      </c>
      <c r="S22" s="19">
        <f>IFERROR(__xludf.DUMMYFUNCTION("""COMPUTED_VALUE"""),597.0)</f>
        <v>597</v>
      </c>
      <c r="T22" s="19">
        <f>IFERROR(__xludf.DUMMYFUNCTION("""COMPUTED_VALUE"""),1393.0)</f>
        <v>1393</v>
      </c>
      <c r="U22" s="16">
        <v>0.0</v>
      </c>
      <c r="V22" s="16" t="str">
        <f>IFERROR(__xludf.DUMMYFUNCTION("""COMPUTED_VALUE"""),"Apparel")</f>
        <v>Apparel</v>
      </c>
      <c r="W22" s="16" t="str">
        <f>IFERROR(__xludf.DUMMYFUNCTION("""COMPUTED_VALUE"""),"Female")</f>
        <v>Female</v>
      </c>
      <c r="X22" s="16" t="str">
        <f>IFERROR(__xludf.DUMMYFUNCTION("""COMPUTED_VALUE"""),"Top")</f>
        <v>Top</v>
      </c>
      <c r="AB22" s="16" t="str">
        <f>IFERROR(__xludf.DUMMYFUNCTION("""COMPUTED_VALUE"""),"Flat50%")</f>
        <v>Flat50%</v>
      </c>
      <c r="AC22" s="16" t="str">
        <f>IFERROR(__xludf.DUMMYFUNCTION("""COMPUTED_VALUE"""),"AW22")</f>
        <v>AW22</v>
      </c>
    </row>
    <row r="23">
      <c r="A23" s="16" t="s">
        <v>84</v>
      </c>
      <c r="C23" s="16" t="str">
        <f>IFERROR(__xludf.DUMMYFUNCTION("""COMPUTED_VALUE"""),"SFR")</f>
        <v>SFR</v>
      </c>
      <c r="D23" s="16" t="str">
        <f>IFERROR(__xludf.DUMMYFUNCTION("""COMPUTED_VALUE"""),"SFR-OHM SIRSA WOMEN")</f>
        <v>SFR-OHM SIRSA WOMEN</v>
      </c>
      <c r="E23" s="16" t="str">
        <f>IFERROR(__xludf.DUMMYFUNCTION("""COMPUTED_VALUE"""),"")</f>
        <v/>
      </c>
      <c r="F23" s="16" t="str">
        <f>IFERROR(__xludf.DUMMYFUNCTION("""COMPUTED_VALUE"""),"SFCM00782/Jan-25")</f>
        <v>SFCM00782/Jan-25</v>
      </c>
      <c r="G23" s="18">
        <f>IFERROR(__xludf.DUMMYFUNCTION("""COMPUTED_VALUE"""),45665.0)</f>
        <v>45665</v>
      </c>
      <c r="H23" s="16" t="s">
        <v>85</v>
      </c>
      <c r="I23" s="16" t="s">
        <v>86</v>
      </c>
      <c r="J23" s="19">
        <f>IFERROR(__xludf.DUMMYFUNCTION("""COMPUTED_VALUE"""),8.90333179296E12)</f>
        <v>8903331792960</v>
      </c>
      <c r="K23" s="16" t="str">
        <f>IFERROR(__xludf.DUMMYFUNCTION("""COMPUTED_VALUE"""),"124525 BLACK")</f>
        <v>124525 BLACK</v>
      </c>
      <c r="L23" s="16" t="str">
        <f>IFERROR(__xludf.DUMMYFUNCTION("""COMPUTED_VALUE"""),"124525 BLACK")</f>
        <v>124525 BLACK</v>
      </c>
      <c r="M23" s="16" t="str">
        <f>IFERROR(__xludf.DUMMYFUNCTION("""COMPUTED_VALUE"""),"M")</f>
        <v>M</v>
      </c>
      <c r="N23" s="19">
        <f>IFERROR(__xludf.DUMMYFUNCTION("""COMPUTED_VALUE"""),2.0)</f>
        <v>2</v>
      </c>
      <c r="O23" s="19">
        <f>IFERROR(__xludf.DUMMYFUNCTION("""COMPUTED_VALUE"""),3290.0)</f>
        <v>3290</v>
      </c>
      <c r="P23" s="19">
        <f>IFERROR(__xludf.DUMMYFUNCTION("""COMPUTED_VALUE"""),6580.0)</f>
        <v>6580</v>
      </c>
      <c r="Q23" s="19">
        <f>IFERROR(__xludf.DUMMYFUNCTION("""COMPUTED_VALUE"""),0.0)</f>
        <v>0</v>
      </c>
      <c r="R23" s="19">
        <f>IFERROR(__xludf.DUMMYFUNCTION("""COMPUTED_VALUE"""),1974.0)</f>
        <v>1974</v>
      </c>
      <c r="S23" s="19">
        <f>IFERROR(__xludf.DUMMYFUNCTION("""COMPUTED_VALUE"""),1974.0)</f>
        <v>1974</v>
      </c>
      <c r="T23" s="19">
        <f>IFERROR(__xludf.DUMMYFUNCTION("""COMPUTED_VALUE"""),4606.0)</f>
        <v>4606</v>
      </c>
      <c r="U23" s="16">
        <v>0.0</v>
      </c>
      <c r="V23" s="16" t="str">
        <f>IFERROR(__xludf.DUMMYFUNCTION("""COMPUTED_VALUE"""),"Apparel")</f>
        <v>Apparel</v>
      </c>
      <c r="W23" s="16" t="str">
        <f>IFERROR(__xludf.DUMMYFUNCTION("""COMPUTED_VALUE"""),"Female")</f>
        <v>Female</v>
      </c>
      <c r="X23" s="16" t="str">
        <f>IFERROR(__xludf.DUMMYFUNCTION("""COMPUTED_VALUE"""),"Trouser")</f>
        <v>Trouser</v>
      </c>
      <c r="AB23" s="16" t="str">
        <f>IFERROR(__xludf.DUMMYFUNCTION("""COMPUTED_VALUE"""),"EOSS: B1G30%,B2G40%, B3G50%")</f>
        <v>EOSS: B1G30%,B2G40%, B3G50%</v>
      </c>
      <c r="AC23" s="16" t="str">
        <f>IFERROR(__xludf.DUMMYFUNCTION("""COMPUTED_VALUE"""),"SS23")</f>
        <v>SS23</v>
      </c>
    </row>
    <row r="24">
      <c r="A24" s="16" t="s">
        <v>84</v>
      </c>
      <c r="C24" s="16" t="str">
        <f>IFERROR(__xludf.DUMMYFUNCTION("""COMPUTED_VALUE"""),"SFR")</f>
        <v>SFR</v>
      </c>
      <c r="D24" s="16" t="str">
        <f>IFERROR(__xludf.DUMMYFUNCTION("""COMPUTED_VALUE"""),"SFR-OHM SIRSA WOMEN")</f>
        <v>SFR-OHM SIRSA WOMEN</v>
      </c>
      <c r="E24" s="16" t="str">
        <f>IFERROR(__xludf.DUMMYFUNCTION("""COMPUTED_VALUE"""),"")</f>
        <v/>
      </c>
      <c r="F24" s="16" t="str">
        <f>IFERROR(__xludf.DUMMYFUNCTION("""COMPUTED_VALUE"""),"SFCM00818/Jan-25")</f>
        <v>SFCM00818/Jan-25</v>
      </c>
      <c r="G24" s="18">
        <f>IFERROR(__xludf.DUMMYFUNCTION("""COMPUTED_VALUE"""),45679.0)</f>
        <v>45679</v>
      </c>
      <c r="H24" s="16" t="s">
        <v>85</v>
      </c>
      <c r="I24" s="16" t="s">
        <v>86</v>
      </c>
      <c r="J24" s="19">
        <f>IFERROR(__xludf.DUMMYFUNCTION("""COMPUTED_VALUE"""),8.903331797828E12)</f>
        <v>8903331797828</v>
      </c>
      <c r="K24" s="16" t="str">
        <f>IFERROR(__xludf.DUMMYFUNCTION("""COMPUTED_VALUE"""),"124601 GREEN")</f>
        <v>124601 GREEN</v>
      </c>
      <c r="L24" s="16" t="str">
        <f>IFERROR(__xludf.DUMMYFUNCTION("""COMPUTED_VALUE"""),"124601 GREEN")</f>
        <v>124601 GREEN</v>
      </c>
      <c r="M24" s="16" t="str">
        <f>IFERROR(__xludf.DUMMYFUNCTION("""COMPUTED_VALUE"""),"S")</f>
        <v>S</v>
      </c>
      <c r="N24" s="19">
        <f>IFERROR(__xludf.DUMMYFUNCTION("""COMPUTED_VALUE"""),1.0)</f>
        <v>1</v>
      </c>
      <c r="O24" s="19">
        <f>IFERROR(__xludf.DUMMYFUNCTION("""COMPUTED_VALUE"""),2690.0)</f>
        <v>2690</v>
      </c>
      <c r="P24" s="19">
        <f>IFERROR(__xludf.DUMMYFUNCTION("""COMPUTED_VALUE"""),2690.0)</f>
        <v>2690</v>
      </c>
      <c r="Q24" s="19">
        <f>IFERROR(__xludf.DUMMYFUNCTION("""COMPUTED_VALUE"""),0.0)</f>
        <v>0</v>
      </c>
      <c r="R24" s="19">
        <f>IFERROR(__xludf.DUMMYFUNCTION("""COMPUTED_VALUE"""),538.0)</f>
        <v>538</v>
      </c>
      <c r="S24" s="19">
        <f>IFERROR(__xludf.DUMMYFUNCTION("""COMPUTED_VALUE"""),538.0)</f>
        <v>538</v>
      </c>
      <c r="T24" s="19">
        <f>IFERROR(__xludf.DUMMYFUNCTION("""COMPUTED_VALUE"""),2152.0)</f>
        <v>2152</v>
      </c>
      <c r="U24" s="16">
        <v>0.0</v>
      </c>
      <c r="V24" s="16" t="str">
        <f>IFERROR(__xludf.DUMMYFUNCTION("""COMPUTED_VALUE"""),"Apparel")</f>
        <v>Apparel</v>
      </c>
      <c r="W24" s="16" t="str">
        <f>IFERROR(__xludf.DUMMYFUNCTION("""COMPUTED_VALUE"""),"Female")</f>
        <v>Female</v>
      </c>
      <c r="X24" s="16" t="str">
        <f>IFERROR(__xludf.DUMMYFUNCTION("""COMPUTED_VALUE"""),"Sweater")</f>
        <v>Sweater</v>
      </c>
      <c r="AB24" s="16" t="str">
        <f>IFERROR(__xludf.DUMMYFUNCTION("""COMPUTED_VALUE"""),"Flat50%")</f>
        <v>Flat50%</v>
      </c>
      <c r="AC24" s="16" t="str">
        <f>IFERROR(__xludf.DUMMYFUNCTION("""COMPUTED_VALUE"""),"AW22")</f>
        <v>AW22</v>
      </c>
    </row>
    <row r="25">
      <c r="A25" s="16" t="s">
        <v>84</v>
      </c>
      <c r="C25" s="16" t="str">
        <f>IFERROR(__xludf.DUMMYFUNCTION("""COMPUTED_VALUE"""),"SFR")</f>
        <v>SFR</v>
      </c>
      <c r="D25" s="16" t="str">
        <f>IFERROR(__xludf.DUMMYFUNCTION("""COMPUTED_VALUE"""),"SFR-OHM SIRSA WOMEN")</f>
        <v>SFR-OHM SIRSA WOMEN</v>
      </c>
      <c r="E25" s="16" t="str">
        <f>IFERROR(__xludf.DUMMYFUNCTION("""COMPUTED_VALUE"""),"")</f>
        <v/>
      </c>
      <c r="F25" s="16" t="str">
        <f>IFERROR(__xludf.DUMMYFUNCTION("""COMPUTED_VALUE"""),"SFCM00806/Jan-25")</f>
        <v>SFCM00806/Jan-25</v>
      </c>
      <c r="G25" s="18">
        <f>IFERROR(__xludf.DUMMYFUNCTION("""COMPUTED_VALUE"""),45674.0)</f>
        <v>45674</v>
      </c>
      <c r="H25" s="16" t="s">
        <v>85</v>
      </c>
      <c r="I25" s="16" t="s">
        <v>86</v>
      </c>
      <c r="J25" s="19">
        <f>IFERROR(__xludf.DUMMYFUNCTION("""COMPUTED_VALUE"""),8.903331860959E12)</f>
        <v>8903331860959</v>
      </c>
      <c r="K25" s="16" t="str">
        <f>IFERROR(__xludf.DUMMYFUNCTION("""COMPUTED_VALUE"""),"KZ00057 BRWXL01")</f>
        <v>KZ00057 BRWXL01</v>
      </c>
      <c r="L25" s="16" t="str">
        <f>IFERROR(__xludf.DUMMYFUNCTION("""COMPUTED_VALUE"""),"KZ00057 BRWXL01")</f>
        <v>KZ00057 BRWXL01</v>
      </c>
      <c r="M25" s="16" t="str">
        <f>IFERROR(__xludf.DUMMYFUNCTION("""COMPUTED_VALUE"""),"XL")</f>
        <v>XL</v>
      </c>
      <c r="N25" s="19">
        <f>IFERROR(__xludf.DUMMYFUNCTION("""COMPUTED_VALUE"""),1.0)</f>
        <v>1</v>
      </c>
      <c r="O25" s="19">
        <f>IFERROR(__xludf.DUMMYFUNCTION("""COMPUTED_VALUE"""),2990.0)</f>
        <v>2990</v>
      </c>
      <c r="P25" s="19">
        <f>IFERROR(__xludf.DUMMYFUNCTION("""COMPUTED_VALUE"""),2990.0)</f>
        <v>2990</v>
      </c>
      <c r="Q25" s="19">
        <f>IFERROR(__xludf.DUMMYFUNCTION("""COMPUTED_VALUE"""),0.0)</f>
        <v>0</v>
      </c>
      <c r="R25" s="19">
        <f>IFERROR(__xludf.DUMMYFUNCTION("""COMPUTED_VALUE"""),897.0)</f>
        <v>897</v>
      </c>
      <c r="S25" s="19">
        <f>IFERROR(__xludf.DUMMYFUNCTION("""COMPUTED_VALUE"""),897.0)</f>
        <v>897</v>
      </c>
      <c r="T25" s="19">
        <f>IFERROR(__xludf.DUMMYFUNCTION("""COMPUTED_VALUE"""),2093.0)</f>
        <v>2093</v>
      </c>
      <c r="U25" s="16">
        <v>0.0</v>
      </c>
      <c r="V25" s="16" t="str">
        <f>IFERROR(__xludf.DUMMYFUNCTION("""COMPUTED_VALUE"""),"Apparel")</f>
        <v>Apparel</v>
      </c>
      <c r="W25" s="16" t="str">
        <f>IFERROR(__xludf.DUMMYFUNCTION("""COMPUTED_VALUE"""),"Female")</f>
        <v>Female</v>
      </c>
      <c r="X25" s="16" t="str">
        <f>IFERROR(__xludf.DUMMYFUNCTION("""COMPUTED_VALUE"""),"Sweater")</f>
        <v>Sweater</v>
      </c>
      <c r="AB25" s="16" t="str">
        <f>IFERROR(__xludf.DUMMYFUNCTION("""COMPUTED_VALUE"""),"EOSS: B1G30%,B2G40%, B3G50%")</f>
        <v>EOSS: B1G30%,B2G40%, B3G50%</v>
      </c>
      <c r="AC25" s="16" t="str">
        <f>IFERROR(__xludf.DUMMYFUNCTION("""COMPUTED_VALUE"""),"AW23")</f>
        <v>AW23</v>
      </c>
    </row>
    <row r="26">
      <c r="A26" s="16" t="s">
        <v>84</v>
      </c>
      <c r="C26" s="16" t="str">
        <f>IFERROR(__xludf.DUMMYFUNCTION("""COMPUTED_VALUE"""),"SFR")</f>
        <v>SFR</v>
      </c>
      <c r="D26" s="16" t="str">
        <f>IFERROR(__xludf.DUMMYFUNCTION("""COMPUTED_VALUE"""),"SFR-OHM SIRSA WOMEN")</f>
        <v>SFR-OHM SIRSA WOMEN</v>
      </c>
      <c r="E26" s="16" t="str">
        <f>IFERROR(__xludf.DUMMYFUNCTION("""COMPUTED_VALUE"""),"")</f>
        <v/>
      </c>
      <c r="F26" s="16" t="str">
        <f>IFERROR(__xludf.DUMMYFUNCTION("""COMPUTED_VALUE"""),"SFCM00778/Jan-25")</f>
        <v>SFCM00778/Jan-25</v>
      </c>
      <c r="G26" s="18">
        <f>IFERROR(__xludf.DUMMYFUNCTION("""COMPUTED_VALUE"""),45662.0)</f>
        <v>45662</v>
      </c>
      <c r="H26" s="16" t="s">
        <v>85</v>
      </c>
      <c r="I26" s="16" t="s">
        <v>86</v>
      </c>
      <c r="J26" s="19">
        <f>IFERROR(__xludf.DUMMYFUNCTION("""COMPUTED_VALUE"""),8.903331834691E12)</f>
        <v>8903331834691</v>
      </c>
      <c r="K26" s="16" t="str">
        <f>IFERROR(__xludf.DUMMYFUNCTION("""COMPUTED_VALUE"""),"125377 YELLOW")</f>
        <v>125377 YELLOW</v>
      </c>
      <c r="L26" s="16" t="str">
        <f>IFERROR(__xludf.DUMMYFUNCTION("""COMPUTED_VALUE"""),"125377 YELLOW")</f>
        <v>125377 YELLOW</v>
      </c>
      <c r="M26" s="16" t="str">
        <f>IFERROR(__xludf.DUMMYFUNCTION("""COMPUTED_VALUE"""),"XS")</f>
        <v>XS</v>
      </c>
      <c r="N26" s="19">
        <f>IFERROR(__xludf.DUMMYFUNCTION("""COMPUTED_VALUE"""),1.0)</f>
        <v>1</v>
      </c>
      <c r="O26" s="19">
        <f>IFERROR(__xludf.DUMMYFUNCTION("""COMPUTED_VALUE"""),1790.0)</f>
        <v>1790</v>
      </c>
      <c r="P26" s="19">
        <f>IFERROR(__xludf.DUMMYFUNCTION("""COMPUTED_VALUE"""),1790.0)</f>
        <v>1790</v>
      </c>
      <c r="Q26" s="19">
        <f>IFERROR(__xludf.DUMMYFUNCTION("""COMPUTED_VALUE"""),0.0)</f>
        <v>0</v>
      </c>
      <c r="R26" s="19">
        <f>IFERROR(__xludf.DUMMYFUNCTION("""COMPUTED_VALUE"""),447.5)</f>
        <v>447.5</v>
      </c>
      <c r="S26" s="19">
        <f>IFERROR(__xludf.DUMMYFUNCTION("""COMPUTED_VALUE"""),447.5)</f>
        <v>447.5</v>
      </c>
      <c r="T26" s="19">
        <f>IFERROR(__xludf.DUMMYFUNCTION("""COMPUTED_VALUE"""),1342.5)</f>
        <v>1342.5</v>
      </c>
      <c r="U26" s="16">
        <v>0.0</v>
      </c>
      <c r="V26" s="16" t="str">
        <f>IFERROR(__xludf.DUMMYFUNCTION("""COMPUTED_VALUE"""),"Apparel")</f>
        <v>Apparel</v>
      </c>
      <c r="W26" s="16" t="str">
        <f>IFERROR(__xludf.DUMMYFUNCTION("""COMPUTED_VALUE"""),"Female")</f>
        <v>Female</v>
      </c>
      <c r="X26" s="16" t="str">
        <f>IFERROR(__xludf.DUMMYFUNCTION("""COMPUTED_VALUE"""),"T Shirt")</f>
        <v>T Shirt</v>
      </c>
      <c r="AB26" s="16" t="str">
        <f>IFERROR(__xludf.DUMMYFUNCTION("""COMPUTED_VALUE"""),"EOSS: B1G30%,B2G40%, B3G50%")</f>
        <v>EOSS: B1G30%,B2G40%, B3G50%</v>
      </c>
      <c r="AC26" s="16" t="str">
        <f>IFERROR(__xludf.DUMMYFUNCTION("""COMPUTED_VALUE"""),"SS23")</f>
        <v>SS23</v>
      </c>
    </row>
    <row r="27">
      <c r="A27" s="16" t="s">
        <v>84</v>
      </c>
      <c r="C27" s="16" t="str">
        <f>IFERROR(__xludf.DUMMYFUNCTION("""COMPUTED_VALUE"""),"SFR")</f>
        <v>SFR</v>
      </c>
      <c r="D27" s="16" t="str">
        <f>IFERROR(__xludf.DUMMYFUNCTION("""COMPUTED_VALUE"""),"SFR-OHM SIRSA WOMEN")</f>
        <v>SFR-OHM SIRSA WOMEN</v>
      </c>
      <c r="E27" s="16" t="str">
        <f>IFERROR(__xludf.DUMMYFUNCTION("""COMPUTED_VALUE"""),"")</f>
        <v/>
      </c>
      <c r="F27" s="16" t="str">
        <f>IFERROR(__xludf.DUMMYFUNCTION("""COMPUTED_VALUE"""),"SFCM00792/Jan-25")</f>
        <v>SFCM00792/Jan-25</v>
      </c>
      <c r="G27" s="18">
        <f>IFERROR(__xludf.DUMMYFUNCTION("""COMPUTED_VALUE"""),45668.0)</f>
        <v>45668</v>
      </c>
      <c r="H27" s="16" t="s">
        <v>85</v>
      </c>
      <c r="I27" s="16" t="s">
        <v>86</v>
      </c>
      <c r="J27" s="19">
        <f>IFERROR(__xludf.DUMMYFUNCTION("""COMPUTED_VALUE"""),8.903331794681E12)</f>
        <v>8903331794681</v>
      </c>
      <c r="K27" s="16" t="str">
        <f>IFERROR(__xludf.DUMMYFUNCTION("""COMPUTED_VALUE"""),"124552 PORT ROYALE")</f>
        <v>124552 PORT ROYALE</v>
      </c>
      <c r="L27" s="16" t="str">
        <f>IFERROR(__xludf.DUMMYFUNCTION("""COMPUTED_VALUE"""),"124552 PORT ROYALE")</f>
        <v>124552 PORT ROYALE</v>
      </c>
      <c r="M27" s="16" t="str">
        <f>IFERROR(__xludf.DUMMYFUNCTION("""COMPUTED_VALUE"""),"L")</f>
        <v>L</v>
      </c>
      <c r="N27" s="19">
        <f>IFERROR(__xludf.DUMMYFUNCTION("""COMPUTED_VALUE"""),1.0)</f>
        <v>1</v>
      </c>
      <c r="O27" s="19">
        <f>IFERROR(__xludf.DUMMYFUNCTION("""COMPUTED_VALUE"""),2490.0)</f>
        <v>2490</v>
      </c>
      <c r="P27" s="19">
        <f>IFERROR(__xludf.DUMMYFUNCTION("""COMPUTED_VALUE"""),2490.0)</f>
        <v>2490</v>
      </c>
      <c r="Q27" s="19">
        <f>IFERROR(__xludf.DUMMYFUNCTION("""COMPUTED_VALUE"""),0.0)</f>
        <v>0</v>
      </c>
      <c r="R27" s="19">
        <f>IFERROR(__xludf.DUMMYFUNCTION("""COMPUTED_VALUE"""),747.0)</f>
        <v>747</v>
      </c>
      <c r="S27" s="19">
        <f>IFERROR(__xludf.DUMMYFUNCTION("""COMPUTED_VALUE"""),747.0)</f>
        <v>747</v>
      </c>
      <c r="T27" s="19">
        <f>IFERROR(__xludf.DUMMYFUNCTION("""COMPUTED_VALUE"""),1743.0)</f>
        <v>1743</v>
      </c>
      <c r="U27" s="16">
        <v>0.0</v>
      </c>
      <c r="V27" s="16" t="str">
        <f>IFERROR(__xludf.DUMMYFUNCTION("""COMPUTED_VALUE"""),"Apparel")</f>
        <v>Apparel</v>
      </c>
      <c r="W27" s="16" t="str">
        <f>IFERROR(__xludf.DUMMYFUNCTION("""COMPUTED_VALUE"""),"Female")</f>
        <v>Female</v>
      </c>
      <c r="X27" s="16" t="str">
        <f>IFERROR(__xludf.DUMMYFUNCTION("""COMPUTED_VALUE"""),"Top")</f>
        <v>Top</v>
      </c>
      <c r="AB27" s="16" t="str">
        <f>IFERROR(__xludf.DUMMYFUNCTION("""COMPUTED_VALUE"""),"EOSS: B1G30%,B2G40%, B3G50%")</f>
        <v>EOSS: B1G30%,B2G40%, B3G50%</v>
      </c>
      <c r="AC27" s="16" t="str">
        <f>IFERROR(__xludf.DUMMYFUNCTION("""COMPUTED_VALUE"""),"AW22")</f>
        <v>AW22</v>
      </c>
    </row>
    <row r="28">
      <c r="A28" s="16" t="s">
        <v>84</v>
      </c>
      <c r="C28" s="16" t="str">
        <f>IFERROR(__xludf.DUMMYFUNCTION("""COMPUTED_VALUE"""),"SFR")</f>
        <v>SFR</v>
      </c>
      <c r="D28" s="16" t="str">
        <f>IFERROR(__xludf.DUMMYFUNCTION("""COMPUTED_VALUE"""),"SFR-OHM SIRSA WOMEN")</f>
        <v>SFR-OHM SIRSA WOMEN</v>
      </c>
      <c r="E28" s="16" t="str">
        <f>IFERROR(__xludf.DUMMYFUNCTION("""COMPUTED_VALUE"""),"")</f>
        <v/>
      </c>
      <c r="F28" s="16" t="str">
        <f>IFERROR(__xludf.DUMMYFUNCTION("""COMPUTED_VALUE"""),"SFCM00819/Jan-25")</f>
        <v>SFCM00819/Jan-25</v>
      </c>
      <c r="G28" s="18">
        <f>IFERROR(__xludf.DUMMYFUNCTION("""COMPUTED_VALUE"""),45679.0)</f>
        <v>45679</v>
      </c>
      <c r="H28" s="16" t="s">
        <v>85</v>
      </c>
      <c r="I28" s="16" t="s">
        <v>86</v>
      </c>
      <c r="J28" s="19">
        <f>IFERROR(__xludf.DUMMYFUNCTION("""COMPUTED_VALUE"""),8.903331797828E12)</f>
        <v>8903331797828</v>
      </c>
      <c r="K28" s="16" t="str">
        <f>IFERROR(__xludf.DUMMYFUNCTION("""COMPUTED_VALUE"""),"124601 GREEN")</f>
        <v>124601 GREEN</v>
      </c>
      <c r="L28" s="16" t="str">
        <f>IFERROR(__xludf.DUMMYFUNCTION("""COMPUTED_VALUE"""),"124601 GREEN")</f>
        <v>124601 GREEN</v>
      </c>
      <c r="M28" s="16" t="str">
        <f>IFERROR(__xludf.DUMMYFUNCTION("""COMPUTED_VALUE"""),"S")</f>
        <v>S</v>
      </c>
      <c r="N28" s="19">
        <f>IFERROR(__xludf.DUMMYFUNCTION("""COMPUTED_VALUE"""),-1.0)</f>
        <v>-1</v>
      </c>
      <c r="O28" s="19">
        <f>IFERROR(__xludf.DUMMYFUNCTION("""COMPUTED_VALUE"""),2690.0)</f>
        <v>2690</v>
      </c>
      <c r="P28" s="19">
        <f>IFERROR(__xludf.DUMMYFUNCTION("""COMPUTED_VALUE"""),-2690.0)</f>
        <v>-2690</v>
      </c>
      <c r="Q28" s="19">
        <f>IFERROR(__xludf.DUMMYFUNCTION("""COMPUTED_VALUE"""),0.0)</f>
        <v>0</v>
      </c>
      <c r="R28" s="19">
        <f>IFERROR(__xludf.DUMMYFUNCTION("""COMPUTED_VALUE"""),-538.0)</f>
        <v>-538</v>
      </c>
      <c r="S28" s="19">
        <f>IFERROR(__xludf.DUMMYFUNCTION("""COMPUTED_VALUE"""),-538.0)</f>
        <v>-538</v>
      </c>
      <c r="T28" s="19">
        <f>IFERROR(__xludf.DUMMYFUNCTION("""COMPUTED_VALUE"""),-2152.0)</f>
        <v>-2152</v>
      </c>
      <c r="U28" s="16">
        <v>0.0</v>
      </c>
      <c r="V28" s="16" t="str">
        <f>IFERROR(__xludf.DUMMYFUNCTION("""COMPUTED_VALUE"""),"Apparel")</f>
        <v>Apparel</v>
      </c>
      <c r="W28" s="16" t="str">
        <f>IFERROR(__xludf.DUMMYFUNCTION("""COMPUTED_VALUE"""),"Female")</f>
        <v>Female</v>
      </c>
      <c r="X28" s="16" t="str">
        <f>IFERROR(__xludf.DUMMYFUNCTION("""COMPUTED_VALUE"""),"Sweater")</f>
        <v>Sweater</v>
      </c>
      <c r="AB28" s="16" t="str">
        <f>IFERROR(__xludf.DUMMYFUNCTION("""COMPUTED_VALUE"""),"Flat50%")</f>
        <v>Flat50%</v>
      </c>
      <c r="AC28" s="16" t="str">
        <f>IFERROR(__xludf.DUMMYFUNCTION("""COMPUTED_VALUE"""),"AW22")</f>
        <v>AW22</v>
      </c>
    </row>
    <row r="29">
      <c r="A29" s="16" t="s">
        <v>84</v>
      </c>
      <c r="C29" s="16" t="str">
        <f>IFERROR(__xludf.DUMMYFUNCTION("""COMPUTED_VALUE"""),"SFR")</f>
        <v>SFR</v>
      </c>
      <c r="D29" s="16" t="str">
        <f>IFERROR(__xludf.DUMMYFUNCTION("""COMPUTED_VALUE"""),"SFR-OHM SIRSA WOMEN")</f>
        <v>SFR-OHM SIRSA WOMEN</v>
      </c>
      <c r="E29" s="16" t="str">
        <f>IFERROR(__xludf.DUMMYFUNCTION("""COMPUTED_VALUE"""),"")</f>
        <v/>
      </c>
      <c r="F29" s="16" t="str">
        <f>IFERROR(__xludf.DUMMYFUNCTION("""COMPUTED_VALUE"""),"SFCM00819/Jan-25")</f>
        <v>SFCM00819/Jan-25</v>
      </c>
      <c r="G29" s="18">
        <f>IFERROR(__xludf.DUMMYFUNCTION("""COMPUTED_VALUE"""),45679.0)</f>
        <v>45679</v>
      </c>
      <c r="H29" s="16" t="s">
        <v>85</v>
      </c>
      <c r="I29" s="16" t="s">
        <v>86</v>
      </c>
      <c r="J29" s="19">
        <f>IFERROR(__xludf.DUMMYFUNCTION("""COMPUTED_VALUE"""),8.903331797828E12)</f>
        <v>8903331797828</v>
      </c>
      <c r="K29" s="16" t="str">
        <f>IFERROR(__xludf.DUMMYFUNCTION("""COMPUTED_VALUE"""),"124601 GREEN")</f>
        <v>124601 GREEN</v>
      </c>
      <c r="L29" s="16" t="str">
        <f>IFERROR(__xludf.DUMMYFUNCTION("""COMPUTED_VALUE"""),"124601 GREEN")</f>
        <v>124601 GREEN</v>
      </c>
      <c r="M29" s="16" t="str">
        <f>IFERROR(__xludf.DUMMYFUNCTION("""COMPUTED_VALUE"""),"S")</f>
        <v>S</v>
      </c>
      <c r="N29" s="19">
        <f>IFERROR(__xludf.DUMMYFUNCTION("""COMPUTED_VALUE"""),1.0)</f>
        <v>1</v>
      </c>
      <c r="O29" s="19">
        <f>IFERROR(__xludf.DUMMYFUNCTION("""COMPUTED_VALUE"""),2690.0)</f>
        <v>2690</v>
      </c>
      <c r="P29" s="19">
        <f>IFERROR(__xludf.DUMMYFUNCTION("""COMPUTED_VALUE"""),2690.0)</f>
        <v>2690</v>
      </c>
      <c r="Q29" s="19">
        <f>IFERROR(__xludf.DUMMYFUNCTION("""COMPUTED_VALUE"""),0.0)</f>
        <v>0</v>
      </c>
      <c r="R29" s="19">
        <f>IFERROR(__xludf.DUMMYFUNCTION("""COMPUTED_VALUE"""),807.0)</f>
        <v>807</v>
      </c>
      <c r="S29" s="19">
        <f>IFERROR(__xludf.DUMMYFUNCTION("""COMPUTED_VALUE"""),807.0)</f>
        <v>807</v>
      </c>
      <c r="T29" s="19">
        <f>IFERROR(__xludf.DUMMYFUNCTION("""COMPUTED_VALUE"""),1883.0)</f>
        <v>1883</v>
      </c>
      <c r="U29" s="16">
        <v>0.0</v>
      </c>
      <c r="V29" s="16" t="str">
        <f>IFERROR(__xludf.DUMMYFUNCTION("""COMPUTED_VALUE"""),"Apparel")</f>
        <v>Apparel</v>
      </c>
      <c r="W29" s="16" t="str">
        <f>IFERROR(__xludf.DUMMYFUNCTION("""COMPUTED_VALUE"""),"Female")</f>
        <v>Female</v>
      </c>
      <c r="X29" s="16" t="str">
        <f>IFERROR(__xludf.DUMMYFUNCTION("""COMPUTED_VALUE"""),"Sweater")</f>
        <v>Sweater</v>
      </c>
      <c r="AB29" s="16" t="str">
        <f>IFERROR(__xludf.DUMMYFUNCTION("""COMPUTED_VALUE"""),"Flat50%")</f>
        <v>Flat50%</v>
      </c>
      <c r="AC29" s="16" t="str">
        <f>IFERROR(__xludf.DUMMYFUNCTION("""COMPUTED_VALUE"""),"AW22")</f>
        <v>AW22</v>
      </c>
    </row>
    <row r="30">
      <c r="A30" s="16" t="s">
        <v>84</v>
      </c>
      <c r="C30" s="16" t="str">
        <f>IFERROR(__xludf.DUMMYFUNCTION("""COMPUTED_VALUE"""),"SFR")</f>
        <v>SFR</v>
      </c>
      <c r="D30" s="16" t="str">
        <f>IFERROR(__xludf.DUMMYFUNCTION("""COMPUTED_VALUE"""),"SFR-OHM SIRSA WOMEN")</f>
        <v>SFR-OHM SIRSA WOMEN</v>
      </c>
      <c r="E30" s="16" t="str">
        <f>IFERROR(__xludf.DUMMYFUNCTION("""COMPUTED_VALUE"""),"")</f>
        <v/>
      </c>
      <c r="F30" s="16" t="str">
        <f>IFERROR(__xludf.DUMMYFUNCTION("""COMPUTED_VALUE"""),"SFCM00809/Jan-25")</f>
        <v>SFCM00809/Jan-25</v>
      </c>
      <c r="G30" s="18">
        <f>IFERROR(__xludf.DUMMYFUNCTION("""COMPUTED_VALUE"""),45676.0)</f>
        <v>45676</v>
      </c>
      <c r="H30" s="16" t="s">
        <v>85</v>
      </c>
      <c r="I30" s="16" t="s">
        <v>86</v>
      </c>
      <c r="J30" s="19">
        <f>IFERROR(__xludf.DUMMYFUNCTION("""COMPUTED_VALUE"""),8.903331857102E12)</f>
        <v>8903331857102</v>
      </c>
      <c r="K30" s="16" t="str">
        <f>IFERROR(__xludf.DUMMYFUNCTION("""COMPUTED_VALUE"""),"KZ00063 KHAKIL01")</f>
        <v>KZ00063 KHAKIL01</v>
      </c>
      <c r="L30" s="16" t="str">
        <f>IFERROR(__xludf.DUMMYFUNCTION("""COMPUTED_VALUE"""),"KZ00063 KHAKIL01")</f>
        <v>KZ00063 KHAKIL01</v>
      </c>
      <c r="M30" s="16" t="str">
        <f>IFERROR(__xludf.DUMMYFUNCTION("""COMPUTED_VALUE"""),"L")</f>
        <v>L</v>
      </c>
      <c r="N30" s="19">
        <f>IFERROR(__xludf.DUMMYFUNCTION("""COMPUTED_VALUE"""),1.0)</f>
        <v>1</v>
      </c>
      <c r="O30" s="19">
        <f>IFERROR(__xludf.DUMMYFUNCTION("""COMPUTED_VALUE"""),2990.0)</f>
        <v>2990</v>
      </c>
      <c r="P30" s="19">
        <f>IFERROR(__xludf.DUMMYFUNCTION("""COMPUTED_VALUE"""),2990.0)</f>
        <v>2990</v>
      </c>
      <c r="Q30" s="19">
        <f>IFERROR(__xludf.DUMMYFUNCTION("""COMPUTED_VALUE"""),0.0)</f>
        <v>0</v>
      </c>
      <c r="R30" s="19">
        <f>IFERROR(__xludf.DUMMYFUNCTION("""COMPUTED_VALUE"""),897.0)</f>
        <v>897</v>
      </c>
      <c r="S30" s="19">
        <f>IFERROR(__xludf.DUMMYFUNCTION("""COMPUTED_VALUE"""),897.0)</f>
        <v>897</v>
      </c>
      <c r="T30" s="19">
        <f>IFERROR(__xludf.DUMMYFUNCTION("""COMPUTED_VALUE"""),2093.0)</f>
        <v>2093</v>
      </c>
      <c r="U30" s="16">
        <v>0.0</v>
      </c>
      <c r="V30" s="16" t="str">
        <f>IFERROR(__xludf.DUMMYFUNCTION("""COMPUTED_VALUE"""),"Apparel")</f>
        <v>Apparel</v>
      </c>
      <c r="W30" s="16" t="str">
        <f>IFERROR(__xludf.DUMMYFUNCTION("""COMPUTED_VALUE"""),"Female")</f>
        <v>Female</v>
      </c>
      <c r="X30" s="16" t="str">
        <f>IFERROR(__xludf.DUMMYFUNCTION("""COMPUTED_VALUE"""),"Sweater")</f>
        <v>Sweater</v>
      </c>
      <c r="AB30" s="16" t="str">
        <f>IFERROR(__xludf.DUMMYFUNCTION("""COMPUTED_VALUE"""),"EOSS: B1G30%,B2G40%, B3G50%")</f>
        <v>EOSS: B1G30%,B2G40%, B3G50%</v>
      </c>
      <c r="AC30" s="16" t="str">
        <f>IFERROR(__xludf.DUMMYFUNCTION("""COMPUTED_VALUE"""),"AW23")</f>
        <v>AW23</v>
      </c>
    </row>
    <row r="31">
      <c r="A31" s="16" t="s">
        <v>84</v>
      </c>
      <c r="C31" s="16" t="str">
        <f>IFERROR(__xludf.DUMMYFUNCTION("""COMPUTED_VALUE"""),"J AND J ASSOCIATES B")</f>
        <v>J AND J ASSOCIATES B</v>
      </c>
      <c r="D31" s="16" t="str">
        <f>IFERROR(__xludf.DUMMYFUNCTION("""COMPUTED_VALUE"""),"J AND J ASSOCIATES B")</f>
        <v>J AND J ASSOCIATES B</v>
      </c>
      <c r="E31" s="16" t="str">
        <f>IFERROR(__xludf.DUMMYFUNCTION("""COMPUTED_VALUE"""),"")</f>
        <v/>
      </c>
      <c r="F31" s="16" t="str">
        <f>IFERROR(__xludf.DUMMYFUNCTION("""COMPUTED_VALUE"""),"01AS-0024224   ")</f>
        <v>01AS-0024224   </v>
      </c>
      <c r="G31" s="18">
        <f>IFERROR(__xludf.DUMMYFUNCTION("""COMPUTED_VALUE"""),45679.0)</f>
        <v>45679</v>
      </c>
      <c r="H31" s="16" t="s">
        <v>85</v>
      </c>
      <c r="I31" s="16" t="s">
        <v>86</v>
      </c>
      <c r="J31" s="19">
        <f>IFERROR(__xludf.DUMMYFUNCTION("""COMPUTED_VALUE"""),8.903331821639E12)</f>
        <v>8903331821639</v>
      </c>
      <c r="K31" s="16" t="str">
        <f>IFERROR(__xludf.DUMMYFUNCTION("""COMPUTED_VALUE"""),"125210 PURPLE")</f>
        <v>125210 PURPLE</v>
      </c>
      <c r="L31" s="16" t="str">
        <f>IFERROR(__xludf.DUMMYFUNCTION("""COMPUTED_VALUE"""),"125210 PURPLE")</f>
        <v>125210 PURPLE</v>
      </c>
      <c r="M31" s="16" t="str">
        <f>IFERROR(__xludf.DUMMYFUNCTION("""COMPUTED_VALUE"""),"L")</f>
        <v>L</v>
      </c>
      <c r="N31" s="19">
        <f>IFERROR(__xludf.DUMMYFUNCTION("""COMPUTED_VALUE"""),1.0)</f>
        <v>1</v>
      </c>
      <c r="O31" s="19">
        <f>IFERROR(__xludf.DUMMYFUNCTION("""COMPUTED_VALUE"""),2490.0)</f>
        <v>2490</v>
      </c>
      <c r="P31" s="19">
        <f>IFERROR(__xludf.DUMMYFUNCTION("""COMPUTED_VALUE"""),2490.0)</f>
        <v>2490</v>
      </c>
      <c r="Q31" s="19">
        <f>IFERROR(__xludf.DUMMYFUNCTION("""COMPUTED_VALUE"""),0.0)</f>
        <v>0</v>
      </c>
      <c r="R31" s="19">
        <f>IFERROR(__xludf.DUMMYFUNCTION("""COMPUTED_VALUE"""),996.0)</f>
        <v>996</v>
      </c>
      <c r="S31" s="19">
        <f>IFERROR(__xludf.DUMMYFUNCTION("""COMPUTED_VALUE"""),996.0)</f>
        <v>996</v>
      </c>
      <c r="T31" s="19">
        <f>IFERROR(__xludf.DUMMYFUNCTION("""COMPUTED_VALUE"""),1494.0)</f>
        <v>1494</v>
      </c>
      <c r="U31" s="16">
        <v>0.0</v>
      </c>
      <c r="V31" s="16" t="str">
        <f>IFERROR(__xludf.DUMMYFUNCTION("""COMPUTED_VALUE"""),"Apparel")</f>
        <v>Apparel</v>
      </c>
      <c r="W31" s="16" t="str">
        <f>IFERROR(__xludf.DUMMYFUNCTION("""COMPUTED_VALUE"""),"Female")</f>
        <v>Female</v>
      </c>
      <c r="X31" s="16" t="str">
        <f>IFERROR(__xludf.DUMMYFUNCTION("""COMPUTED_VALUE"""),"Top")</f>
        <v>Top</v>
      </c>
      <c r="AB31" s="16" t="str">
        <f>IFERROR(__xludf.DUMMYFUNCTION("""COMPUTED_VALUE"""),"Flat50%")</f>
        <v>Flat50%</v>
      </c>
      <c r="AC31" s="16" t="str">
        <f>IFERROR(__xludf.DUMMYFUNCTION("""COMPUTED_VALUE"""),"SS23")</f>
        <v>SS23</v>
      </c>
    </row>
    <row r="32">
      <c r="A32" s="16" t="s">
        <v>84</v>
      </c>
      <c r="C32" s="16" t="str">
        <f>IFERROR(__xludf.DUMMYFUNCTION("""COMPUTED_VALUE"""),"J AND J ASSOCIATES B")</f>
        <v>J AND J ASSOCIATES B</v>
      </c>
      <c r="D32" s="16" t="str">
        <f>IFERROR(__xludf.DUMMYFUNCTION("""COMPUTED_VALUE"""),"J AND J ASSOCIATES B")</f>
        <v>J AND J ASSOCIATES B</v>
      </c>
      <c r="E32" s="16" t="str">
        <f>IFERROR(__xludf.DUMMYFUNCTION("""COMPUTED_VALUE"""),"")</f>
        <v/>
      </c>
      <c r="F32" s="16" t="str">
        <f>IFERROR(__xludf.DUMMYFUNCTION("""COMPUTED_VALUE"""),"01AS-0024224   ")</f>
        <v>01AS-0024224   </v>
      </c>
      <c r="G32" s="18">
        <f>IFERROR(__xludf.DUMMYFUNCTION("""COMPUTED_VALUE"""),45679.0)</f>
        <v>45679</v>
      </c>
      <c r="H32" s="16" t="s">
        <v>85</v>
      </c>
      <c r="I32" s="16" t="s">
        <v>86</v>
      </c>
      <c r="J32" s="19">
        <f>IFERROR(__xludf.DUMMYFUNCTION("""COMPUTED_VALUE"""),8.90333184328E12)</f>
        <v>8903331843280</v>
      </c>
      <c r="K32" s="16" t="str">
        <f>IFERROR(__xludf.DUMMYFUNCTION("""COMPUTED_VALUE"""),"125411")</f>
        <v>125411</v>
      </c>
      <c r="L32" s="16" t="str">
        <f>IFERROR(__xludf.DUMMYFUNCTION("""COMPUTED_VALUE"""),"125411 BRW")</f>
        <v>125411 BRW</v>
      </c>
      <c r="M32" s="16" t="str">
        <f>IFERROR(__xludf.DUMMYFUNCTION("""COMPUTED_VALUE"""),"XS")</f>
        <v>XS</v>
      </c>
      <c r="N32" s="19">
        <f>IFERROR(__xludf.DUMMYFUNCTION("""COMPUTED_VALUE"""),1.0)</f>
        <v>1</v>
      </c>
      <c r="O32" s="19">
        <f>IFERROR(__xludf.DUMMYFUNCTION("""COMPUTED_VALUE"""),1990.0)</f>
        <v>1990</v>
      </c>
      <c r="P32" s="19">
        <f>IFERROR(__xludf.DUMMYFUNCTION("""COMPUTED_VALUE"""),1990.0)</f>
        <v>1990</v>
      </c>
      <c r="Q32" s="19">
        <f>IFERROR(__xludf.DUMMYFUNCTION("""COMPUTED_VALUE"""),0.0)</f>
        <v>0</v>
      </c>
      <c r="R32" s="19">
        <f>IFERROR(__xludf.DUMMYFUNCTION("""COMPUTED_VALUE"""),796.0)</f>
        <v>796</v>
      </c>
      <c r="S32" s="19">
        <f>IFERROR(__xludf.DUMMYFUNCTION("""COMPUTED_VALUE"""),796.0)</f>
        <v>796</v>
      </c>
      <c r="T32" s="19">
        <f>IFERROR(__xludf.DUMMYFUNCTION("""COMPUTED_VALUE"""),1194.0)</f>
        <v>1194</v>
      </c>
      <c r="U32" s="16">
        <v>0.0</v>
      </c>
      <c r="V32" s="16" t="str">
        <f>IFERROR(__xludf.DUMMYFUNCTION("""COMPUTED_VALUE"""),"Apparel")</f>
        <v>Apparel</v>
      </c>
      <c r="W32" s="16" t="str">
        <f>IFERROR(__xludf.DUMMYFUNCTION("""COMPUTED_VALUE"""),"Female")</f>
        <v>Female</v>
      </c>
      <c r="X32" s="16" t="str">
        <f>IFERROR(__xludf.DUMMYFUNCTION("""COMPUTED_VALUE"""),"T Shirt")</f>
        <v>T Shirt</v>
      </c>
      <c r="AB32" s="16" t="str">
        <f>IFERROR(__xludf.DUMMYFUNCTION("""COMPUTED_VALUE"""),"Flat50%")</f>
        <v>Flat50%</v>
      </c>
      <c r="AC32" s="16" t="str">
        <f>IFERROR(__xludf.DUMMYFUNCTION("""COMPUTED_VALUE"""),"AW23")</f>
        <v>AW23</v>
      </c>
    </row>
    <row r="33">
      <c r="A33" s="16" t="s">
        <v>84</v>
      </c>
      <c r="C33" s="16" t="str">
        <f>IFERROR(__xludf.DUMMYFUNCTION("""COMPUTED_VALUE"""),"J AND J ASSOCIATES B")</f>
        <v>J AND J ASSOCIATES B</v>
      </c>
      <c r="D33" s="16" t="str">
        <f>IFERROR(__xludf.DUMMYFUNCTION("""COMPUTED_VALUE"""),"J AND J ASSOCIATES B")</f>
        <v>J AND J ASSOCIATES B</v>
      </c>
      <c r="E33" s="16" t="str">
        <f>IFERROR(__xludf.DUMMYFUNCTION("""COMPUTED_VALUE"""),"")</f>
        <v/>
      </c>
      <c r="F33" s="16" t="str">
        <f>IFERROR(__xludf.DUMMYFUNCTION("""COMPUTED_VALUE"""),"01AS-0024231   ")</f>
        <v>01AS-0024231   </v>
      </c>
      <c r="G33" s="18">
        <f>IFERROR(__xludf.DUMMYFUNCTION("""COMPUTED_VALUE"""),45679.0)</f>
        <v>45679</v>
      </c>
      <c r="H33" s="16" t="s">
        <v>85</v>
      </c>
      <c r="I33" s="16" t="s">
        <v>86</v>
      </c>
      <c r="J33" s="19">
        <f>IFERROR(__xludf.DUMMYFUNCTION("""COMPUTED_VALUE"""),8.903331821639E12)</f>
        <v>8903331821639</v>
      </c>
      <c r="K33" s="16" t="str">
        <f>IFERROR(__xludf.DUMMYFUNCTION("""COMPUTED_VALUE"""),"125210 PURPLE")</f>
        <v>125210 PURPLE</v>
      </c>
      <c r="L33" s="16" t="str">
        <f>IFERROR(__xludf.DUMMYFUNCTION("""COMPUTED_VALUE"""),"125210 PURPLE")</f>
        <v>125210 PURPLE</v>
      </c>
      <c r="M33" s="16" t="str">
        <f>IFERROR(__xludf.DUMMYFUNCTION("""COMPUTED_VALUE"""),"L")</f>
        <v>L</v>
      </c>
      <c r="N33" s="19">
        <f>IFERROR(__xludf.DUMMYFUNCTION("""COMPUTED_VALUE"""),-1.0)</f>
        <v>-1</v>
      </c>
      <c r="O33" s="19">
        <f>IFERROR(__xludf.DUMMYFUNCTION("""COMPUTED_VALUE"""),2490.0)</f>
        <v>2490</v>
      </c>
      <c r="P33" s="19">
        <f>IFERROR(__xludf.DUMMYFUNCTION("""COMPUTED_VALUE"""),-2490.0)</f>
        <v>-2490</v>
      </c>
      <c r="Q33" s="19">
        <f>IFERROR(__xludf.DUMMYFUNCTION("""COMPUTED_VALUE"""),0.0)</f>
        <v>0</v>
      </c>
      <c r="R33" s="19">
        <f>IFERROR(__xludf.DUMMYFUNCTION("""COMPUTED_VALUE"""),-996.0)</f>
        <v>-996</v>
      </c>
      <c r="S33" s="19">
        <f>IFERROR(__xludf.DUMMYFUNCTION("""COMPUTED_VALUE"""),-996.0)</f>
        <v>-996</v>
      </c>
      <c r="T33" s="19">
        <f>IFERROR(__xludf.DUMMYFUNCTION("""COMPUTED_VALUE"""),-1494.0)</f>
        <v>-1494</v>
      </c>
      <c r="U33" s="16">
        <v>0.0</v>
      </c>
      <c r="V33" s="16" t="str">
        <f>IFERROR(__xludf.DUMMYFUNCTION("""COMPUTED_VALUE"""),"Apparel")</f>
        <v>Apparel</v>
      </c>
      <c r="W33" s="16" t="str">
        <f>IFERROR(__xludf.DUMMYFUNCTION("""COMPUTED_VALUE"""),"Female")</f>
        <v>Female</v>
      </c>
      <c r="X33" s="16" t="str">
        <f>IFERROR(__xludf.DUMMYFUNCTION("""COMPUTED_VALUE"""),"Top")</f>
        <v>Top</v>
      </c>
      <c r="AB33" s="16" t="str">
        <f>IFERROR(__xludf.DUMMYFUNCTION("""COMPUTED_VALUE"""),"Flat50%")</f>
        <v>Flat50%</v>
      </c>
      <c r="AC33" s="16" t="str">
        <f>IFERROR(__xludf.DUMMYFUNCTION("""COMPUTED_VALUE"""),"SS23")</f>
        <v>SS23</v>
      </c>
    </row>
    <row r="34">
      <c r="A34" s="16" t="s">
        <v>84</v>
      </c>
      <c r="C34" s="16" t="str">
        <f>IFERROR(__xludf.DUMMYFUNCTION("""COMPUTED_VALUE"""),"J AND J ASSOCIATES B")</f>
        <v>J AND J ASSOCIATES B</v>
      </c>
      <c r="D34" s="16" t="str">
        <f>IFERROR(__xludf.DUMMYFUNCTION("""COMPUTED_VALUE"""),"J AND J ASSOCIATES B")</f>
        <v>J AND J ASSOCIATES B</v>
      </c>
      <c r="E34" s="16" t="str">
        <f>IFERROR(__xludf.DUMMYFUNCTION("""COMPUTED_VALUE"""),"")</f>
        <v/>
      </c>
      <c r="F34" s="16" t="str">
        <f>IFERROR(__xludf.DUMMYFUNCTION("""COMPUTED_VALUE"""),"01AS-0024232   ")</f>
        <v>01AS-0024232   </v>
      </c>
      <c r="G34" s="18">
        <f>IFERROR(__xludf.DUMMYFUNCTION("""COMPUTED_VALUE"""),45680.0)</f>
        <v>45680</v>
      </c>
      <c r="H34" s="16" t="s">
        <v>85</v>
      </c>
      <c r="I34" s="16" t="s">
        <v>86</v>
      </c>
      <c r="J34" s="19">
        <f>IFERROR(__xludf.DUMMYFUNCTION("""COMPUTED_VALUE"""),8.903331821646E12)</f>
        <v>8903331821646</v>
      </c>
      <c r="K34" s="16" t="str">
        <f>IFERROR(__xludf.DUMMYFUNCTION("""COMPUTED_VALUE"""),"125210 PURPLE")</f>
        <v>125210 PURPLE</v>
      </c>
      <c r="L34" s="16" t="str">
        <f>IFERROR(__xludf.DUMMYFUNCTION("""COMPUTED_VALUE"""),"125210 PURPLE")</f>
        <v>125210 PURPLE</v>
      </c>
      <c r="M34" s="16" t="str">
        <f>IFERROR(__xludf.DUMMYFUNCTION("""COMPUTED_VALUE"""),"M")</f>
        <v>M</v>
      </c>
      <c r="N34" s="19">
        <f>IFERROR(__xludf.DUMMYFUNCTION("""COMPUTED_VALUE"""),1.0)</f>
        <v>1</v>
      </c>
      <c r="O34" s="19">
        <f>IFERROR(__xludf.DUMMYFUNCTION("""COMPUTED_VALUE"""),2490.0)</f>
        <v>2490</v>
      </c>
      <c r="P34" s="19">
        <f>IFERROR(__xludf.DUMMYFUNCTION("""COMPUTED_VALUE"""),2490.0)</f>
        <v>2490</v>
      </c>
      <c r="Q34" s="19">
        <f>IFERROR(__xludf.DUMMYFUNCTION("""COMPUTED_VALUE"""),0.0)</f>
        <v>0</v>
      </c>
      <c r="R34" s="19">
        <f>IFERROR(__xludf.DUMMYFUNCTION("""COMPUTED_VALUE"""),1245.0)</f>
        <v>1245</v>
      </c>
      <c r="S34" s="19">
        <f>IFERROR(__xludf.DUMMYFUNCTION("""COMPUTED_VALUE"""),1245.0)</f>
        <v>1245</v>
      </c>
      <c r="T34" s="19">
        <f>IFERROR(__xludf.DUMMYFUNCTION("""COMPUTED_VALUE"""),1245.0)</f>
        <v>1245</v>
      </c>
      <c r="U34" s="16">
        <v>0.0</v>
      </c>
      <c r="V34" s="16" t="str">
        <f>IFERROR(__xludf.DUMMYFUNCTION("""COMPUTED_VALUE"""),"Apparel")</f>
        <v>Apparel</v>
      </c>
      <c r="W34" s="16" t="str">
        <f>IFERROR(__xludf.DUMMYFUNCTION("""COMPUTED_VALUE"""),"Female")</f>
        <v>Female</v>
      </c>
      <c r="X34" s="16" t="str">
        <f>IFERROR(__xludf.DUMMYFUNCTION("""COMPUTED_VALUE"""),"Top")</f>
        <v>Top</v>
      </c>
      <c r="AB34" s="16" t="str">
        <f>IFERROR(__xludf.DUMMYFUNCTION("""COMPUTED_VALUE"""),"Flat50%")</f>
        <v>Flat50%</v>
      </c>
      <c r="AC34" s="16" t="str">
        <f>IFERROR(__xludf.DUMMYFUNCTION("""COMPUTED_VALUE"""),"SS23")</f>
        <v>SS23</v>
      </c>
    </row>
    <row r="35">
      <c r="A35" s="16" t="s">
        <v>84</v>
      </c>
      <c r="C35" s="16" t="str">
        <f>IFERROR(__xludf.DUMMYFUNCTION("""COMPUTED_VALUE"""),"SHYAM RETAIL STORES(SOR)")</f>
        <v>SHYAM RETAIL STORES(SOR)</v>
      </c>
      <c r="D35" s="16" t="str">
        <f>IFERROR(__xludf.DUMMYFUNCTION("""COMPUTED_VALUE"""),"SHYAM RETAIL REWARI NEW")</f>
        <v>SHYAM RETAIL REWARI NEW</v>
      </c>
      <c r="E35" s="16" t="str">
        <f>IFERROR(__xludf.DUMMYFUNCTION("""COMPUTED_VALUE"""),"")</f>
        <v/>
      </c>
      <c r="F35" s="16" t="str">
        <f>IFERROR(__xludf.DUMMYFUNCTION("""COMPUTED_VALUE"""),"CM\13139\01-25")</f>
        <v>CM\13139\01-25</v>
      </c>
      <c r="G35" s="18">
        <f>IFERROR(__xludf.DUMMYFUNCTION("""COMPUTED_VALUE"""),45658.0)</f>
        <v>45658</v>
      </c>
      <c r="H35" s="16" t="s">
        <v>85</v>
      </c>
      <c r="I35" s="16" t="s">
        <v>86</v>
      </c>
      <c r="J35" s="19">
        <f>IFERROR(__xludf.DUMMYFUNCTION("""COMPUTED_VALUE"""),8.903331821646E12)</f>
        <v>8903331821646</v>
      </c>
      <c r="K35" s="16" t="str">
        <f>IFERROR(__xludf.DUMMYFUNCTION("""COMPUTED_VALUE"""),"125210 PURPLE")</f>
        <v>125210 PURPLE</v>
      </c>
      <c r="L35" s="16" t="str">
        <f>IFERROR(__xludf.DUMMYFUNCTION("""COMPUTED_VALUE"""),"125210 PURPLE")</f>
        <v>125210 PURPLE</v>
      </c>
      <c r="M35" s="16" t="str">
        <f>IFERROR(__xludf.DUMMYFUNCTION("""COMPUTED_VALUE"""),"M")</f>
        <v>M</v>
      </c>
      <c r="N35" s="19">
        <f>IFERROR(__xludf.DUMMYFUNCTION("""COMPUTED_VALUE"""),-1.0)</f>
        <v>-1</v>
      </c>
      <c r="O35" s="19">
        <f>IFERROR(__xludf.DUMMYFUNCTION("""COMPUTED_VALUE"""),2490.0)</f>
        <v>2490</v>
      </c>
      <c r="P35" s="19">
        <f>IFERROR(__xludf.DUMMYFUNCTION("""COMPUTED_VALUE"""),-2490.0)</f>
        <v>-2490</v>
      </c>
      <c r="Q35" s="19">
        <f>IFERROR(__xludf.DUMMYFUNCTION("""COMPUTED_VALUE"""),0.0)</f>
        <v>0</v>
      </c>
      <c r="R35" s="19">
        <f>IFERROR(__xludf.DUMMYFUNCTION("""COMPUTED_VALUE"""),-747.0)</f>
        <v>-747</v>
      </c>
      <c r="S35" s="19">
        <f>IFERROR(__xludf.DUMMYFUNCTION("""COMPUTED_VALUE"""),-747.0)</f>
        <v>-747</v>
      </c>
      <c r="T35" s="19">
        <f>IFERROR(__xludf.DUMMYFUNCTION("""COMPUTED_VALUE"""),-1743.0)</f>
        <v>-1743</v>
      </c>
      <c r="U35" s="16">
        <v>0.0</v>
      </c>
      <c r="V35" s="16" t="str">
        <f>IFERROR(__xludf.DUMMYFUNCTION("""COMPUTED_VALUE"""),"Apparel")</f>
        <v>Apparel</v>
      </c>
      <c r="W35" s="16" t="str">
        <f>IFERROR(__xludf.DUMMYFUNCTION("""COMPUTED_VALUE"""),"Female")</f>
        <v>Female</v>
      </c>
      <c r="X35" s="16" t="str">
        <f>IFERROR(__xludf.DUMMYFUNCTION("""COMPUTED_VALUE"""),"Top")</f>
        <v>Top</v>
      </c>
      <c r="AB35" s="16" t="str">
        <f>IFERROR(__xludf.DUMMYFUNCTION("""COMPUTED_VALUE"""),"EOSS: B1G30%,B2G40%, B3G50%")</f>
        <v>EOSS: B1G30%,B2G40%, B3G50%</v>
      </c>
      <c r="AC35" s="16" t="str">
        <f>IFERROR(__xludf.DUMMYFUNCTION("""COMPUTED_VALUE"""),"SS23")</f>
        <v>SS23</v>
      </c>
    </row>
    <row r="36">
      <c r="A36" s="16" t="s">
        <v>84</v>
      </c>
      <c r="C36" s="16" t="str">
        <f>IFERROR(__xludf.DUMMYFUNCTION("""COMPUTED_VALUE"""),"SHYAM RETAIL STORES(SOR)")</f>
        <v>SHYAM RETAIL STORES(SOR)</v>
      </c>
      <c r="D36" s="16" t="str">
        <f>IFERROR(__xludf.DUMMYFUNCTION("""COMPUTED_VALUE"""),"SHYAM RETAIL REWARI NEW")</f>
        <v>SHYAM RETAIL REWARI NEW</v>
      </c>
      <c r="E36" s="16" t="str">
        <f>IFERROR(__xludf.DUMMYFUNCTION("""COMPUTED_VALUE"""),"")</f>
        <v/>
      </c>
      <c r="F36" s="16" t="str">
        <f>IFERROR(__xludf.DUMMYFUNCTION("""COMPUTED_VALUE"""),"CM\13153\01-25")</f>
        <v>CM\13153\01-25</v>
      </c>
      <c r="G36" s="18">
        <f>IFERROR(__xludf.DUMMYFUNCTION("""COMPUTED_VALUE"""),45658.0)</f>
        <v>45658</v>
      </c>
      <c r="H36" s="16" t="s">
        <v>85</v>
      </c>
      <c r="I36" s="16" t="s">
        <v>86</v>
      </c>
      <c r="J36" s="19">
        <f>IFERROR(__xludf.DUMMYFUNCTION("""COMPUTED_VALUE"""),8.903331863349E12)</f>
        <v>8903331863349</v>
      </c>
      <c r="K36" s="16" t="str">
        <f>IFERROR(__xludf.DUMMYFUNCTION("""COMPUTED_VALUE"""),"KZ00217 BLACK")</f>
        <v>KZ00217 BLACK</v>
      </c>
      <c r="L36" s="16" t="str">
        <f>IFERROR(__xludf.DUMMYFUNCTION("""COMPUTED_VALUE"""),"KZ00217 BLACK")</f>
        <v>KZ00217 BLACK</v>
      </c>
      <c r="M36" s="16" t="str">
        <f>IFERROR(__xludf.DUMMYFUNCTION("""COMPUTED_VALUE"""),"M")</f>
        <v>M</v>
      </c>
      <c r="N36" s="19">
        <f>IFERROR(__xludf.DUMMYFUNCTION("""COMPUTED_VALUE"""),1.0)</f>
        <v>1</v>
      </c>
      <c r="O36" s="19">
        <f>IFERROR(__xludf.DUMMYFUNCTION("""COMPUTED_VALUE"""),1590.0)</f>
        <v>1590</v>
      </c>
      <c r="P36" s="19">
        <f>IFERROR(__xludf.DUMMYFUNCTION("""COMPUTED_VALUE"""),1590.0)</f>
        <v>1590</v>
      </c>
      <c r="Q36" s="19">
        <f>IFERROR(__xludf.DUMMYFUNCTION("""COMPUTED_VALUE"""),0.0)</f>
        <v>0</v>
      </c>
      <c r="R36" s="19">
        <f>IFERROR(__xludf.DUMMYFUNCTION("""COMPUTED_VALUE"""),795.0)</f>
        <v>795</v>
      </c>
      <c r="S36" s="19">
        <f>IFERROR(__xludf.DUMMYFUNCTION("""COMPUTED_VALUE"""),795.0)</f>
        <v>795</v>
      </c>
      <c r="T36" s="19">
        <f>IFERROR(__xludf.DUMMYFUNCTION("""COMPUTED_VALUE"""),795.0)</f>
        <v>795</v>
      </c>
      <c r="U36" s="16">
        <v>0.0</v>
      </c>
      <c r="V36" s="16" t="str">
        <f>IFERROR(__xludf.DUMMYFUNCTION("""COMPUTED_VALUE"""),"Apparel")</f>
        <v>Apparel</v>
      </c>
      <c r="W36" s="16" t="str">
        <f>IFERROR(__xludf.DUMMYFUNCTION("""COMPUTED_VALUE"""),"Female")</f>
        <v>Female</v>
      </c>
      <c r="X36" s="16" t="str">
        <f>IFERROR(__xludf.DUMMYFUNCTION("""COMPUTED_VALUE"""),"Top")</f>
        <v>Top</v>
      </c>
      <c r="AB36" s="16" t="str">
        <f>IFERROR(__xludf.DUMMYFUNCTION("""COMPUTED_VALUE"""),"EOSS: B1G30%,B2G40%, B3G50%")</f>
        <v>EOSS: B1G30%,B2G40%, B3G50%</v>
      </c>
      <c r="AC36" s="16" t="str">
        <f>IFERROR(__xludf.DUMMYFUNCTION("""COMPUTED_VALUE"""),"AW23")</f>
        <v>AW23</v>
      </c>
    </row>
    <row r="37">
      <c r="A37" s="16" t="s">
        <v>84</v>
      </c>
      <c r="C37" s="16" t="str">
        <f>IFERROR(__xludf.DUMMYFUNCTION("""COMPUTED_VALUE"""),"SHYAM RETAIL STORES(SOR)")</f>
        <v>SHYAM RETAIL STORES(SOR)</v>
      </c>
      <c r="D37" s="16" t="str">
        <f>IFERROR(__xludf.DUMMYFUNCTION("""COMPUTED_VALUE"""),"SHYAM RETAIL REWARI NEW")</f>
        <v>SHYAM RETAIL REWARI NEW</v>
      </c>
      <c r="E37" s="16" t="str">
        <f>IFERROR(__xludf.DUMMYFUNCTION("""COMPUTED_VALUE"""),"")</f>
        <v/>
      </c>
      <c r="F37" s="16" t="str">
        <f>IFERROR(__xludf.DUMMYFUNCTION("""COMPUTED_VALUE"""),"CM\13153\01-25")</f>
        <v>CM\13153\01-25</v>
      </c>
      <c r="G37" s="18">
        <f>IFERROR(__xludf.DUMMYFUNCTION("""COMPUTED_VALUE"""),45658.0)</f>
        <v>45658</v>
      </c>
      <c r="H37" s="16" t="s">
        <v>85</v>
      </c>
      <c r="I37" s="16" t="s">
        <v>86</v>
      </c>
      <c r="J37" s="19">
        <f>IFERROR(__xludf.DUMMYFUNCTION("""COMPUTED_VALUE"""),8.903331863288E12)</f>
        <v>8903331863288</v>
      </c>
      <c r="K37" s="16" t="str">
        <f>IFERROR(__xludf.DUMMYFUNCTION("""COMPUTED_VALUE"""),"KZ00217 BLACK")</f>
        <v>KZ00217 BLACK</v>
      </c>
      <c r="L37" s="16" t="str">
        <f>IFERROR(__xludf.DUMMYFUNCTION("""COMPUTED_VALUE"""),"KZ00217 BLACK")</f>
        <v>KZ00217 BLACK</v>
      </c>
      <c r="M37" s="16" t="str">
        <f>IFERROR(__xludf.DUMMYFUNCTION("""COMPUTED_VALUE"""),"L")</f>
        <v>L</v>
      </c>
      <c r="N37" s="19">
        <f>IFERROR(__xludf.DUMMYFUNCTION("""COMPUTED_VALUE"""),1.0)</f>
        <v>1</v>
      </c>
      <c r="O37" s="19">
        <f>IFERROR(__xludf.DUMMYFUNCTION("""COMPUTED_VALUE"""),1590.0)</f>
        <v>1590</v>
      </c>
      <c r="P37" s="19">
        <f>IFERROR(__xludf.DUMMYFUNCTION("""COMPUTED_VALUE"""),1590.0)</f>
        <v>1590</v>
      </c>
      <c r="Q37" s="19">
        <f>IFERROR(__xludf.DUMMYFUNCTION("""COMPUTED_VALUE"""),0.0)</f>
        <v>0</v>
      </c>
      <c r="R37" s="19">
        <f>IFERROR(__xludf.DUMMYFUNCTION("""COMPUTED_VALUE"""),795.0)</f>
        <v>795</v>
      </c>
      <c r="S37" s="19">
        <f>IFERROR(__xludf.DUMMYFUNCTION("""COMPUTED_VALUE"""),795.0)</f>
        <v>795</v>
      </c>
      <c r="T37" s="19">
        <f>IFERROR(__xludf.DUMMYFUNCTION("""COMPUTED_VALUE"""),795.0)</f>
        <v>795</v>
      </c>
      <c r="U37" s="16">
        <v>0.0</v>
      </c>
      <c r="V37" s="16" t="str">
        <f>IFERROR(__xludf.DUMMYFUNCTION("""COMPUTED_VALUE"""),"Apparel")</f>
        <v>Apparel</v>
      </c>
      <c r="W37" s="16" t="str">
        <f>IFERROR(__xludf.DUMMYFUNCTION("""COMPUTED_VALUE"""),"Female")</f>
        <v>Female</v>
      </c>
      <c r="X37" s="16" t="str">
        <f>IFERROR(__xludf.DUMMYFUNCTION("""COMPUTED_VALUE"""),"Top")</f>
        <v>Top</v>
      </c>
      <c r="AB37" s="16" t="str">
        <f>IFERROR(__xludf.DUMMYFUNCTION("""COMPUTED_VALUE"""),"EOSS: B1G30%,B2G40%, B3G50%")</f>
        <v>EOSS: B1G30%,B2G40%, B3G50%</v>
      </c>
      <c r="AC37" s="16" t="str">
        <f>IFERROR(__xludf.DUMMYFUNCTION("""COMPUTED_VALUE"""),"AW23")</f>
        <v>AW23</v>
      </c>
    </row>
    <row r="38">
      <c r="A38" s="16" t="s">
        <v>84</v>
      </c>
      <c r="C38" s="16" t="str">
        <f>IFERROR(__xludf.DUMMYFUNCTION("""COMPUTED_VALUE"""),"SHYAM RETAIL STORES(SOR)")</f>
        <v>SHYAM RETAIL STORES(SOR)</v>
      </c>
      <c r="D38" s="16" t="str">
        <f>IFERROR(__xludf.DUMMYFUNCTION("""COMPUTED_VALUE"""),"SHYAM RETAIL REWARI NEW")</f>
        <v>SHYAM RETAIL REWARI NEW</v>
      </c>
      <c r="E38" s="16" t="str">
        <f>IFERROR(__xludf.DUMMYFUNCTION("""COMPUTED_VALUE"""),"")</f>
        <v/>
      </c>
      <c r="F38" s="16" t="str">
        <f>IFERROR(__xludf.DUMMYFUNCTION("""COMPUTED_VALUE"""),"CM\13153\01-25")</f>
        <v>CM\13153\01-25</v>
      </c>
      <c r="G38" s="18">
        <f>IFERROR(__xludf.DUMMYFUNCTION("""COMPUTED_VALUE"""),45658.0)</f>
        <v>45658</v>
      </c>
      <c r="H38" s="16" t="s">
        <v>85</v>
      </c>
      <c r="I38" s="16" t="s">
        <v>86</v>
      </c>
      <c r="J38" s="19">
        <f>IFERROR(__xludf.DUMMYFUNCTION("""COMPUTED_VALUE"""),8.903331862687E12)</f>
        <v>8903331862687</v>
      </c>
      <c r="K38" s="16" t="str">
        <f>IFERROR(__xludf.DUMMYFUNCTION("""COMPUTED_VALUE"""),"KZ00214 BLACK")</f>
        <v>KZ00214 BLACK</v>
      </c>
      <c r="L38" s="16" t="str">
        <f>IFERROR(__xludf.DUMMYFUNCTION("""COMPUTED_VALUE"""),"KZ00214 BLACK")</f>
        <v>KZ00214 BLACK</v>
      </c>
      <c r="M38" s="16" t="str">
        <f>IFERROR(__xludf.DUMMYFUNCTION("""COMPUTED_VALUE"""),"L")</f>
        <v>L</v>
      </c>
      <c r="N38" s="19">
        <f>IFERROR(__xludf.DUMMYFUNCTION("""COMPUTED_VALUE"""),1.0)</f>
        <v>1</v>
      </c>
      <c r="O38" s="19">
        <f>IFERROR(__xludf.DUMMYFUNCTION("""COMPUTED_VALUE"""),1690.0)</f>
        <v>1690</v>
      </c>
      <c r="P38" s="19">
        <f>IFERROR(__xludf.DUMMYFUNCTION("""COMPUTED_VALUE"""),1690.0)</f>
        <v>1690</v>
      </c>
      <c r="Q38" s="19">
        <f>IFERROR(__xludf.DUMMYFUNCTION("""COMPUTED_VALUE"""),0.0)</f>
        <v>0</v>
      </c>
      <c r="R38" s="19">
        <f>IFERROR(__xludf.DUMMYFUNCTION("""COMPUTED_VALUE"""),845.0)</f>
        <v>845</v>
      </c>
      <c r="S38" s="19">
        <f>IFERROR(__xludf.DUMMYFUNCTION("""COMPUTED_VALUE"""),845.0)</f>
        <v>845</v>
      </c>
      <c r="T38" s="19">
        <f>IFERROR(__xludf.DUMMYFUNCTION("""COMPUTED_VALUE"""),845.0)</f>
        <v>845</v>
      </c>
      <c r="U38" s="16">
        <v>0.0</v>
      </c>
      <c r="V38" s="16" t="str">
        <f>IFERROR(__xludf.DUMMYFUNCTION("""COMPUTED_VALUE"""),"Apparel")</f>
        <v>Apparel</v>
      </c>
      <c r="W38" s="16" t="str">
        <f>IFERROR(__xludf.DUMMYFUNCTION("""COMPUTED_VALUE"""),"Female")</f>
        <v>Female</v>
      </c>
      <c r="X38" s="16" t="str">
        <f>IFERROR(__xludf.DUMMYFUNCTION("""COMPUTED_VALUE"""),"Top")</f>
        <v>Top</v>
      </c>
      <c r="AB38" s="16" t="str">
        <f>IFERROR(__xludf.DUMMYFUNCTION("""COMPUTED_VALUE"""),"EOSS: B1G30%,B2G40%, B3G50%")</f>
        <v>EOSS: B1G30%,B2G40%, B3G50%</v>
      </c>
      <c r="AC38" s="16" t="str">
        <f>IFERROR(__xludf.DUMMYFUNCTION("""COMPUTED_VALUE"""),"AW23")</f>
        <v>AW23</v>
      </c>
    </row>
    <row r="39">
      <c r="A39" s="16" t="s">
        <v>84</v>
      </c>
      <c r="C39" s="16" t="str">
        <f>IFERROR(__xludf.DUMMYFUNCTION("""COMPUTED_VALUE"""),"SHYAM RETAIL STORES(SOR)")</f>
        <v>SHYAM RETAIL STORES(SOR)</v>
      </c>
      <c r="D39" s="16" t="str">
        <f>IFERROR(__xludf.DUMMYFUNCTION("""COMPUTED_VALUE"""),"SHYAM RETAIL REWARI NEW")</f>
        <v>SHYAM RETAIL REWARI NEW</v>
      </c>
      <c r="E39" s="16" t="str">
        <f>IFERROR(__xludf.DUMMYFUNCTION("""COMPUTED_VALUE"""),"")</f>
        <v/>
      </c>
      <c r="F39" s="16" t="str">
        <f>IFERROR(__xludf.DUMMYFUNCTION("""COMPUTED_VALUE"""),"CM\13183\01-25")</f>
        <v>CM\13183\01-25</v>
      </c>
      <c r="G39" s="18">
        <f>IFERROR(__xludf.DUMMYFUNCTION("""COMPUTED_VALUE"""),45659.0)</f>
        <v>45659</v>
      </c>
      <c r="H39" s="16" t="s">
        <v>85</v>
      </c>
      <c r="I39" s="16" t="s">
        <v>86</v>
      </c>
      <c r="J39" s="19">
        <f>IFERROR(__xludf.DUMMYFUNCTION("""COMPUTED_VALUE"""),8.903331883996E12)</f>
        <v>8903331883996</v>
      </c>
      <c r="K39" s="16" t="str">
        <f>IFERROR(__xludf.DUMMYFUNCTION("""COMPUTED_VALUE"""),"KZ00516 YELLOWL01")</f>
        <v>KZ00516 YELLOWL01</v>
      </c>
      <c r="L39" s="16" t="str">
        <f>IFERROR(__xludf.DUMMYFUNCTION("""COMPUTED_VALUE"""),"KZ00516 YELLOWL01")</f>
        <v>KZ00516 YELLOWL01</v>
      </c>
      <c r="M39" s="16" t="str">
        <f>IFERROR(__xludf.DUMMYFUNCTION("""COMPUTED_VALUE"""),"L")</f>
        <v>L</v>
      </c>
      <c r="N39" s="19">
        <f>IFERROR(__xludf.DUMMYFUNCTION("""COMPUTED_VALUE"""),1.0)</f>
        <v>1</v>
      </c>
      <c r="O39" s="19">
        <f>IFERROR(__xludf.DUMMYFUNCTION("""COMPUTED_VALUE"""),2490.0)</f>
        <v>2490</v>
      </c>
      <c r="P39" s="19">
        <f>IFERROR(__xludf.DUMMYFUNCTION("""COMPUTED_VALUE"""),2490.0)</f>
        <v>2490</v>
      </c>
      <c r="Q39" s="19">
        <f>IFERROR(__xludf.DUMMYFUNCTION("""COMPUTED_VALUE"""),0.0)</f>
        <v>0</v>
      </c>
      <c r="R39" s="19">
        <f>IFERROR(__xludf.DUMMYFUNCTION("""COMPUTED_VALUE"""),996.0)</f>
        <v>996</v>
      </c>
      <c r="S39" s="19">
        <f>IFERROR(__xludf.DUMMYFUNCTION("""COMPUTED_VALUE"""),996.0)</f>
        <v>996</v>
      </c>
      <c r="T39" s="19">
        <f>IFERROR(__xludf.DUMMYFUNCTION("""COMPUTED_VALUE"""),1494.0)</f>
        <v>1494</v>
      </c>
      <c r="U39" s="16">
        <v>0.0</v>
      </c>
      <c r="V39" s="16" t="str">
        <f>IFERROR(__xludf.DUMMYFUNCTION("""COMPUTED_VALUE"""),"Apparel")</f>
        <v>Apparel</v>
      </c>
      <c r="W39" s="16" t="str">
        <f>IFERROR(__xludf.DUMMYFUNCTION("""COMPUTED_VALUE"""),"Female")</f>
        <v>Female</v>
      </c>
      <c r="X39" s="16" t="str">
        <f>IFERROR(__xludf.DUMMYFUNCTION("""COMPUTED_VALUE"""),"Top")</f>
        <v>Top</v>
      </c>
      <c r="AB39" s="16" t="str">
        <f>IFERROR(__xludf.DUMMYFUNCTION("""COMPUTED_VALUE"""),"EOSS: B1G30%,B2G40%, B3G50%")</f>
        <v>EOSS: B1G30%,B2G40%, B3G50%</v>
      </c>
      <c r="AC39" s="16" t="str">
        <f>IFERROR(__xludf.DUMMYFUNCTION("""COMPUTED_VALUE"""),"SS24")</f>
        <v>SS24</v>
      </c>
    </row>
    <row r="40">
      <c r="A40" s="16" t="s">
        <v>84</v>
      </c>
      <c r="C40" s="16" t="str">
        <f>IFERROR(__xludf.DUMMYFUNCTION("""COMPUTED_VALUE"""),"SHYAM RETAIL STORES(SOR)")</f>
        <v>SHYAM RETAIL STORES(SOR)</v>
      </c>
      <c r="D40" s="16" t="str">
        <f>IFERROR(__xludf.DUMMYFUNCTION("""COMPUTED_VALUE"""),"SHYAM RETAIL REWARI NEW")</f>
        <v>SHYAM RETAIL REWARI NEW</v>
      </c>
      <c r="E40" s="16" t="str">
        <f>IFERROR(__xludf.DUMMYFUNCTION("""COMPUTED_VALUE"""),"")</f>
        <v/>
      </c>
      <c r="F40" s="16" t="str">
        <f>IFERROR(__xludf.DUMMYFUNCTION("""COMPUTED_VALUE"""),"CM\13183\01-25")</f>
        <v>CM\13183\01-25</v>
      </c>
      <c r="G40" s="18">
        <f>IFERROR(__xludf.DUMMYFUNCTION("""COMPUTED_VALUE"""),45659.0)</f>
        <v>45659</v>
      </c>
      <c r="H40" s="16" t="s">
        <v>85</v>
      </c>
      <c r="I40" s="16" t="s">
        <v>86</v>
      </c>
      <c r="J40" s="19">
        <f>IFERROR(__xludf.DUMMYFUNCTION("""COMPUTED_VALUE"""),8.903331900839E12)</f>
        <v>8903331900839</v>
      </c>
      <c r="K40" s="16" t="str">
        <f>IFERROR(__xludf.DUMMYFUNCTION("""COMPUTED_VALUE"""),"KZ00635 ORNGEM01")</f>
        <v>KZ00635 ORNGEM01</v>
      </c>
      <c r="L40" s="16" t="str">
        <f>IFERROR(__xludf.DUMMYFUNCTION("""COMPUTED_VALUE"""),"KZ00635 ORNGEM01")</f>
        <v>KZ00635 ORNGEM01</v>
      </c>
      <c r="M40" s="16" t="str">
        <f>IFERROR(__xludf.DUMMYFUNCTION("""COMPUTED_VALUE"""),"M")</f>
        <v>M</v>
      </c>
      <c r="N40" s="19">
        <f>IFERROR(__xludf.DUMMYFUNCTION("""COMPUTED_VALUE"""),1.0)</f>
        <v>1</v>
      </c>
      <c r="O40" s="19">
        <f>IFERROR(__xludf.DUMMYFUNCTION("""COMPUTED_VALUE"""),1990.0)</f>
        <v>1990</v>
      </c>
      <c r="P40" s="19">
        <f>IFERROR(__xludf.DUMMYFUNCTION("""COMPUTED_VALUE"""),1990.0)</f>
        <v>1990</v>
      </c>
      <c r="Q40" s="19">
        <f>IFERROR(__xludf.DUMMYFUNCTION("""COMPUTED_VALUE"""),0.0)</f>
        <v>0</v>
      </c>
      <c r="R40" s="19">
        <f>IFERROR(__xludf.DUMMYFUNCTION("""COMPUTED_VALUE"""),796.0)</f>
        <v>796</v>
      </c>
      <c r="S40" s="19">
        <f>IFERROR(__xludf.DUMMYFUNCTION("""COMPUTED_VALUE"""),796.0)</f>
        <v>796</v>
      </c>
      <c r="T40" s="19">
        <f>IFERROR(__xludf.DUMMYFUNCTION("""COMPUTED_VALUE"""),1194.0)</f>
        <v>1194</v>
      </c>
      <c r="U40" s="16">
        <v>0.0</v>
      </c>
      <c r="V40" s="16" t="str">
        <f>IFERROR(__xludf.DUMMYFUNCTION("""COMPUTED_VALUE"""),"Apparel")</f>
        <v>Apparel</v>
      </c>
      <c r="W40" s="16" t="str">
        <f>IFERROR(__xludf.DUMMYFUNCTION("""COMPUTED_VALUE"""),"Female")</f>
        <v>Female</v>
      </c>
      <c r="X40" s="16" t="str">
        <f>IFERROR(__xludf.DUMMYFUNCTION("""COMPUTED_VALUE"""),"Top")</f>
        <v>Top</v>
      </c>
      <c r="AB40" s="16" t="str">
        <f>IFERROR(__xludf.DUMMYFUNCTION("""COMPUTED_VALUE"""),"EOSS: B1G30%,B2G40%, B3G50%")</f>
        <v>EOSS: B1G30%,B2G40%, B3G50%</v>
      </c>
      <c r="AC40" s="16" t="str">
        <f>IFERROR(__xludf.DUMMYFUNCTION("""COMPUTED_VALUE"""),"SS24")</f>
        <v>SS24</v>
      </c>
    </row>
    <row r="41">
      <c r="A41" s="16" t="s">
        <v>84</v>
      </c>
      <c r="C41" s="16" t="str">
        <f>IFERROR(__xludf.DUMMYFUNCTION("""COMPUTED_VALUE"""),"SHYAM RETAIL STORES(SOR)")</f>
        <v>SHYAM RETAIL STORES(SOR)</v>
      </c>
      <c r="D41" s="16" t="str">
        <f>IFERROR(__xludf.DUMMYFUNCTION("""COMPUTED_VALUE"""),"SHYAM RETAIL REWARI NEW")</f>
        <v>SHYAM RETAIL REWARI NEW</v>
      </c>
      <c r="E41" s="16" t="str">
        <f>IFERROR(__xludf.DUMMYFUNCTION("""COMPUTED_VALUE"""),"")</f>
        <v/>
      </c>
      <c r="F41" s="16" t="str">
        <f>IFERROR(__xludf.DUMMYFUNCTION("""COMPUTED_VALUE"""),"CM\13199\01-25")</f>
        <v>CM\13199\01-25</v>
      </c>
      <c r="G41" s="18">
        <f>IFERROR(__xludf.DUMMYFUNCTION("""COMPUTED_VALUE"""),45659.0)</f>
        <v>45659</v>
      </c>
      <c r="H41" s="16" t="s">
        <v>85</v>
      </c>
      <c r="I41" s="16" t="s">
        <v>86</v>
      </c>
      <c r="J41" s="19">
        <f>IFERROR(__xludf.DUMMYFUNCTION("""COMPUTED_VALUE"""),8.903331896811E12)</f>
        <v>8903331896811</v>
      </c>
      <c r="K41" s="16" t="str">
        <f>IFERROR(__xludf.DUMMYFUNCTION("""COMPUTED_VALUE"""),"KZ00591 BLACKL01")</f>
        <v>KZ00591 BLACKL01</v>
      </c>
      <c r="L41" s="16" t="str">
        <f>IFERROR(__xludf.DUMMYFUNCTION("""COMPUTED_VALUE"""),"KZ00591 BLACKL01")</f>
        <v>KZ00591 BLACKL01</v>
      </c>
      <c r="M41" s="16" t="str">
        <f>IFERROR(__xludf.DUMMYFUNCTION("""COMPUTED_VALUE"""),"L")</f>
        <v>L</v>
      </c>
      <c r="N41" s="19">
        <f>IFERROR(__xludf.DUMMYFUNCTION("""COMPUTED_VALUE"""),1.0)</f>
        <v>1</v>
      </c>
      <c r="O41" s="19">
        <f>IFERROR(__xludf.DUMMYFUNCTION("""COMPUTED_VALUE"""),3490.0)</f>
        <v>3490</v>
      </c>
      <c r="P41" s="19">
        <f>IFERROR(__xludf.DUMMYFUNCTION("""COMPUTED_VALUE"""),3490.0)</f>
        <v>3490</v>
      </c>
      <c r="Q41" s="19">
        <f>IFERROR(__xludf.DUMMYFUNCTION("""COMPUTED_VALUE"""),0.0)</f>
        <v>0</v>
      </c>
      <c r="R41" s="19">
        <f>IFERROR(__xludf.DUMMYFUNCTION("""COMPUTED_VALUE"""),1047.0)</f>
        <v>1047</v>
      </c>
      <c r="S41" s="19">
        <f>IFERROR(__xludf.DUMMYFUNCTION("""COMPUTED_VALUE"""),1047.0)</f>
        <v>1047</v>
      </c>
      <c r="T41" s="19">
        <f>IFERROR(__xludf.DUMMYFUNCTION("""COMPUTED_VALUE"""),2443.0)</f>
        <v>2443</v>
      </c>
      <c r="U41" s="16">
        <v>0.0</v>
      </c>
      <c r="V41" s="16" t="str">
        <f>IFERROR(__xludf.DUMMYFUNCTION("""COMPUTED_VALUE"""),"Apparel")</f>
        <v>Apparel</v>
      </c>
      <c r="W41" s="16" t="str">
        <f>IFERROR(__xludf.DUMMYFUNCTION("""COMPUTED_VALUE"""),"Female")</f>
        <v>Female</v>
      </c>
      <c r="X41" s="16" t="str">
        <f>IFERROR(__xludf.DUMMYFUNCTION("""COMPUTED_VALUE"""),"Dress")</f>
        <v>Dress</v>
      </c>
      <c r="AB41" s="16" t="str">
        <f>IFERROR(__xludf.DUMMYFUNCTION("""COMPUTED_VALUE"""),"EOSS: B1G30%,B2G40%, B3G50%")</f>
        <v>EOSS: B1G30%,B2G40%, B3G50%</v>
      </c>
      <c r="AC41" s="16" t="str">
        <f>IFERROR(__xludf.DUMMYFUNCTION("""COMPUTED_VALUE"""),"SS24")</f>
        <v>SS24</v>
      </c>
    </row>
    <row r="42">
      <c r="A42" s="16" t="s">
        <v>84</v>
      </c>
      <c r="C42" s="16" t="str">
        <f>IFERROR(__xludf.DUMMYFUNCTION("""COMPUTED_VALUE"""),"SHYAM RETAIL STORES(SOR)")</f>
        <v>SHYAM RETAIL STORES(SOR)</v>
      </c>
      <c r="D42" s="16" t="str">
        <f>IFERROR(__xludf.DUMMYFUNCTION("""COMPUTED_VALUE"""),"SHYAM RETAIL REWARI NEW")</f>
        <v>SHYAM RETAIL REWARI NEW</v>
      </c>
      <c r="E42" s="16" t="str">
        <f>IFERROR(__xludf.DUMMYFUNCTION("""COMPUTED_VALUE"""),"")</f>
        <v/>
      </c>
      <c r="F42" s="16" t="str">
        <f>IFERROR(__xludf.DUMMYFUNCTION("""COMPUTED_VALUE"""),"CM\13310\01-25")</f>
        <v>CM\13310\01-25</v>
      </c>
      <c r="G42" s="18">
        <f>IFERROR(__xludf.DUMMYFUNCTION("""COMPUTED_VALUE"""),45661.0)</f>
        <v>45661</v>
      </c>
      <c r="H42" s="16" t="s">
        <v>85</v>
      </c>
      <c r="I42" s="16" t="s">
        <v>86</v>
      </c>
      <c r="J42" s="19">
        <f>IFERROR(__xludf.DUMMYFUNCTION("""COMPUTED_VALUE"""),8.903331799617E12)</f>
        <v>8903331799617</v>
      </c>
      <c r="K42" s="16" t="str">
        <f>IFERROR(__xludf.DUMMYFUNCTION("""COMPUTED_VALUE"""),"124630 TWMV")</f>
        <v>124630 TWMV</v>
      </c>
      <c r="L42" s="16" t="str">
        <f>IFERROR(__xludf.DUMMYFUNCTION("""COMPUTED_VALUE"""),"124630 TWMV")</f>
        <v>124630 TWMV</v>
      </c>
      <c r="M42" s="16" t="str">
        <f>IFERROR(__xludf.DUMMYFUNCTION("""COMPUTED_VALUE"""),"M")</f>
        <v>M</v>
      </c>
      <c r="N42" s="19">
        <f>IFERROR(__xludf.DUMMYFUNCTION("""COMPUTED_VALUE"""),1.0)</f>
        <v>1</v>
      </c>
      <c r="O42" s="19">
        <f>IFERROR(__xludf.DUMMYFUNCTION("""COMPUTED_VALUE"""),3490.0)</f>
        <v>3490</v>
      </c>
      <c r="P42" s="19">
        <f>IFERROR(__xludf.DUMMYFUNCTION("""COMPUTED_VALUE"""),3490.0)</f>
        <v>3490</v>
      </c>
      <c r="Q42" s="19">
        <f>IFERROR(__xludf.DUMMYFUNCTION("""COMPUTED_VALUE"""),0.0)</f>
        <v>0</v>
      </c>
      <c r="R42" s="19">
        <f>IFERROR(__xludf.DUMMYFUNCTION("""COMPUTED_VALUE"""),1047.0)</f>
        <v>1047</v>
      </c>
      <c r="S42" s="19">
        <f>IFERROR(__xludf.DUMMYFUNCTION("""COMPUTED_VALUE"""),1047.0)</f>
        <v>1047</v>
      </c>
      <c r="T42" s="19">
        <f>IFERROR(__xludf.DUMMYFUNCTION("""COMPUTED_VALUE"""),2443.0)</f>
        <v>2443</v>
      </c>
      <c r="U42" s="16">
        <v>0.0</v>
      </c>
      <c r="V42" s="16" t="str">
        <f>IFERROR(__xludf.DUMMYFUNCTION("""COMPUTED_VALUE"""),"Apparel")</f>
        <v>Apparel</v>
      </c>
      <c r="W42" s="16" t="str">
        <f>IFERROR(__xludf.DUMMYFUNCTION("""COMPUTED_VALUE"""),"Female")</f>
        <v>Female</v>
      </c>
      <c r="X42" s="16" t="str">
        <f>IFERROR(__xludf.DUMMYFUNCTION("""COMPUTED_VALUE"""),"Dress")</f>
        <v>Dress</v>
      </c>
      <c r="AB42" s="16" t="str">
        <f>IFERROR(__xludf.DUMMYFUNCTION("""COMPUTED_VALUE"""),"EOSS: B1G30%,B2G40%, B3G50%")</f>
        <v>EOSS: B1G30%,B2G40%, B3G50%</v>
      </c>
      <c r="AC42" s="16" t="str">
        <f>IFERROR(__xludf.DUMMYFUNCTION("""COMPUTED_VALUE"""),"AW22")</f>
        <v>AW22</v>
      </c>
    </row>
    <row r="43">
      <c r="A43" s="16" t="s">
        <v>84</v>
      </c>
      <c r="C43" s="16" t="str">
        <f>IFERROR(__xludf.DUMMYFUNCTION("""COMPUTED_VALUE"""),"SHYAM RETAIL STORES(SOR)")</f>
        <v>SHYAM RETAIL STORES(SOR)</v>
      </c>
      <c r="D43" s="16" t="str">
        <f>IFERROR(__xludf.DUMMYFUNCTION("""COMPUTED_VALUE"""),"SHYAM RETAIL REWARI NEW")</f>
        <v>SHYAM RETAIL REWARI NEW</v>
      </c>
      <c r="E43" s="16" t="str">
        <f>IFERROR(__xludf.DUMMYFUNCTION("""COMPUTED_VALUE"""),"")</f>
        <v/>
      </c>
      <c r="F43" s="16" t="str">
        <f>IFERROR(__xludf.DUMMYFUNCTION("""COMPUTED_VALUE"""),"CM\13412\01-25")</f>
        <v>CM\13412\01-25</v>
      </c>
      <c r="G43" s="18">
        <f>IFERROR(__xludf.DUMMYFUNCTION("""COMPUTED_VALUE"""),45662.0)</f>
        <v>45662</v>
      </c>
      <c r="H43" s="16" t="s">
        <v>85</v>
      </c>
      <c r="I43" s="16" t="s">
        <v>86</v>
      </c>
      <c r="J43" s="19">
        <f>IFERROR(__xludf.DUMMYFUNCTION("""COMPUTED_VALUE"""),8.903331803567E12)</f>
        <v>8903331803567</v>
      </c>
      <c r="K43" s="16" t="str">
        <f>IFERROR(__xludf.DUMMYFUNCTION("""COMPUTED_VALUE"""),"124720 COPPER COMBO")</f>
        <v>124720 COPPER COMBO</v>
      </c>
      <c r="L43" s="16" t="str">
        <f>IFERROR(__xludf.DUMMYFUNCTION("""COMPUTED_VALUE"""),"124720 COPPER COMBO")</f>
        <v>124720 COPPER COMBO</v>
      </c>
      <c r="M43" s="16" t="str">
        <f>IFERROR(__xludf.DUMMYFUNCTION("""COMPUTED_VALUE"""),"S")</f>
        <v>S</v>
      </c>
      <c r="N43" s="19">
        <f>IFERROR(__xludf.DUMMYFUNCTION("""COMPUTED_VALUE"""),1.0)</f>
        <v>1</v>
      </c>
      <c r="O43" s="19">
        <f>IFERROR(__xludf.DUMMYFUNCTION("""COMPUTED_VALUE"""),4490.0)</f>
        <v>4490</v>
      </c>
      <c r="P43" s="19">
        <f>IFERROR(__xludf.DUMMYFUNCTION("""COMPUTED_VALUE"""),4490.0)</f>
        <v>4490</v>
      </c>
      <c r="Q43" s="19">
        <f>IFERROR(__xludf.DUMMYFUNCTION("""COMPUTED_VALUE"""),0.0)</f>
        <v>0</v>
      </c>
      <c r="R43" s="19">
        <f>IFERROR(__xludf.DUMMYFUNCTION("""COMPUTED_VALUE"""),1347.0)</f>
        <v>1347</v>
      </c>
      <c r="S43" s="19">
        <f>IFERROR(__xludf.DUMMYFUNCTION("""COMPUTED_VALUE"""),1347.0)</f>
        <v>1347</v>
      </c>
      <c r="T43" s="19">
        <f>IFERROR(__xludf.DUMMYFUNCTION("""COMPUTED_VALUE"""),3143.0)</f>
        <v>3143</v>
      </c>
      <c r="U43" s="16">
        <v>0.0</v>
      </c>
      <c r="V43" s="16" t="str">
        <f>IFERROR(__xludf.DUMMYFUNCTION("""COMPUTED_VALUE"""),"Apparel")</f>
        <v>Apparel</v>
      </c>
      <c r="W43" s="16" t="str">
        <f>IFERROR(__xludf.DUMMYFUNCTION("""COMPUTED_VALUE"""),"Female")</f>
        <v>Female</v>
      </c>
      <c r="X43" s="16" t="str">
        <f>IFERROR(__xludf.DUMMYFUNCTION("""COMPUTED_VALUE"""),"Dress")</f>
        <v>Dress</v>
      </c>
      <c r="AB43" s="16" t="str">
        <f>IFERROR(__xludf.DUMMYFUNCTION("""COMPUTED_VALUE"""),"EOSS: B1G30%,B2G40%, B3G50%")</f>
        <v>EOSS: B1G30%,B2G40%, B3G50%</v>
      </c>
      <c r="AC43" s="16" t="str">
        <f>IFERROR(__xludf.DUMMYFUNCTION("""COMPUTED_VALUE"""),"SS23")</f>
        <v>SS23</v>
      </c>
    </row>
    <row r="44">
      <c r="A44" s="16" t="s">
        <v>84</v>
      </c>
      <c r="C44" s="16" t="str">
        <f>IFERROR(__xludf.DUMMYFUNCTION("""COMPUTED_VALUE"""),"SHYAM RETAIL STORES(SOR)")</f>
        <v>SHYAM RETAIL STORES(SOR)</v>
      </c>
      <c r="D44" s="16" t="str">
        <f>IFERROR(__xludf.DUMMYFUNCTION("""COMPUTED_VALUE"""),"SHYAM RETAIL REWARI NEW")</f>
        <v>SHYAM RETAIL REWARI NEW</v>
      </c>
      <c r="E44" s="16" t="str">
        <f>IFERROR(__xludf.DUMMYFUNCTION("""COMPUTED_VALUE"""),"")</f>
        <v/>
      </c>
      <c r="F44" s="16" t="str">
        <f>IFERROR(__xludf.DUMMYFUNCTION("""COMPUTED_VALUE"""),"CM\13787\01-25")</f>
        <v>CM\13787\01-25</v>
      </c>
      <c r="G44" s="18">
        <f>IFERROR(__xludf.DUMMYFUNCTION("""COMPUTED_VALUE"""),45668.0)</f>
        <v>45668</v>
      </c>
      <c r="H44" s="16" t="s">
        <v>85</v>
      </c>
      <c r="I44" s="16" t="s">
        <v>86</v>
      </c>
      <c r="J44" s="19">
        <f>IFERROR(__xludf.DUMMYFUNCTION("""COMPUTED_VALUE"""),8.910000006259E12)</f>
        <v>8910000006259</v>
      </c>
      <c r="K44" s="16" t="str">
        <f>IFERROR(__xludf.DUMMYFUNCTION("""COMPUTED_VALUE"""),"KZ00110 BLACK")</f>
        <v>KZ00110 BLACK</v>
      </c>
      <c r="L44" s="16" t="str">
        <f>IFERROR(__xludf.DUMMYFUNCTION("""COMPUTED_VALUE"""),"KZ00110 BLACK")</f>
        <v>KZ00110 BLACK</v>
      </c>
      <c r="M44" s="16" t="str">
        <f>IFERROR(__xludf.DUMMYFUNCTION("""COMPUTED_VALUE"""),"L")</f>
        <v>L</v>
      </c>
      <c r="N44" s="19">
        <f>IFERROR(__xludf.DUMMYFUNCTION("""COMPUTED_VALUE"""),1.0)</f>
        <v>1</v>
      </c>
      <c r="O44" s="19">
        <f>IFERROR(__xludf.DUMMYFUNCTION("""COMPUTED_VALUE"""),2290.0)</f>
        <v>2290</v>
      </c>
      <c r="P44" s="19">
        <f>IFERROR(__xludf.DUMMYFUNCTION("""COMPUTED_VALUE"""),2290.0)</f>
        <v>2290</v>
      </c>
      <c r="Q44" s="19">
        <f>IFERROR(__xludf.DUMMYFUNCTION("""COMPUTED_VALUE"""),0.0)</f>
        <v>0</v>
      </c>
      <c r="R44" s="19">
        <f>IFERROR(__xludf.DUMMYFUNCTION("""COMPUTED_VALUE"""),687.0)</f>
        <v>687</v>
      </c>
      <c r="S44" s="19">
        <f>IFERROR(__xludf.DUMMYFUNCTION("""COMPUTED_VALUE"""),687.0)</f>
        <v>687</v>
      </c>
      <c r="T44" s="19">
        <f>IFERROR(__xludf.DUMMYFUNCTION("""COMPUTED_VALUE"""),1603.0)</f>
        <v>1603</v>
      </c>
      <c r="U44" s="16">
        <v>0.0</v>
      </c>
      <c r="V44" s="16" t="str">
        <f>IFERROR(__xludf.DUMMYFUNCTION("""COMPUTED_VALUE"""),"Apparel")</f>
        <v>Apparel</v>
      </c>
      <c r="W44" s="16" t="str">
        <f>IFERROR(__xludf.DUMMYFUNCTION("""COMPUTED_VALUE"""),"Female")</f>
        <v>Female</v>
      </c>
      <c r="X44" s="16" t="str">
        <f>IFERROR(__xludf.DUMMYFUNCTION("""COMPUTED_VALUE"""),"Shirt")</f>
        <v>Shirt</v>
      </c>
      <c r="AB44" s="16" t="str">
        <f>IFERROR(__xludf.DUMMYFUNCTION("""COMPUTED_VALUE"""),"EOSS: B1G30%,B2G40%, B3G50%")</f>
        <v>EOSS: B1G30%,B2G40%, B3G50%</v>
      </c>
      <c r="AC44" s="16" t="str">
        <f>IFERROR(__xludf.DUMMYFUNCTION("""COMPUTED_VALUE"""),"AW23")</f>
        <v>AW23</v>
      </c>
    </row>
    <row r="45">
      <c r="A45" s="16" t="s">
        <v>84</v>
      </c>
      <c r="C45" s="16" t="str">
        <f>IFERROR(__xludf.DUMMYFUNCTION("""COMPUTED_VALUE"""),"SHYAM RETAIL STORES(SOR)")</f>
        <v>SHYAM RETAIL STORES(SOR)</v>
      </c>
      <c r="D45" s="16" t="str">
        <f>IFERROR(__xludf.DUMMYFUNCTION("""COMPUTED_VALUE"""),"SHYAM RETAIL REWARI NEW")</f>
        <v>SHYAM RETAIL REWARI NEW</v>
      </c>
      <c r="E45" s="16" t="str">
        <f>IFERROR(__xludf.DUMMYFUNCTION("""COMPUTED_VALUE"""),"")</f>
        <v/>
      </c>
      <c r="F45" s="16" t="str">
        <f>IFERROR(__xludf.DUMMYFUNCTION("""COMPUTED_VALUE"""),"CM\13802\01-25")</f>
        <v>CM\13802\01-25</v>
      </c>
      <c r="G45" s="18">
        <f>IFERROR(__xludf.DUMMYFUNCTION("""COMPUTED_VALUE"""),45668.0)</f>
        <v>45668</v>
      </c>
      <c r="H45" s="16" t="s">
        <v>85</v>
      </c>
      <c r="I45" s="16" t="s">
        <v>86</v>
      </c>
      <c r="J45" s="19">
        <f>IFERROR(__xludf.DUMMYFUNCTION("""COMPUTED_VALUE"""),8.903331771453E12)</f>
        <v>8903331771453</v>
      </c>
      <c r="K45" s="16" t="str">
        <f>IFERROR(__xludf.DUMMYFUNCTION("""COMPUTED_VALUE"""),"124103 BLU")</f>
        <v>124103 BLU</v>
      </c>
      <c r="L45" s="16" t="str">
        <f>IFERROR(__xludf.DUMMYFUNCTION("""COMPUTED_VALUE"""),"124103 BLU")</f>
        <v>124103 BLU</v>
      </c>
      <c r="M45" s="16" t="str">
        <f>IFERROR(__xludf.DUMMYFUNCTION("""COMPUTED_VALUE"""),"L")</f>
        <v>L</v>
      </c>
      <c r="N45" s="19">
        <f>IFERROR(__xludf.DUMMYFUNCTION("""COMPUTED_VALUE"""),1.0)</f>
        <v>1</v>
      </c>
      <c r="O45" s="19">
        <f>IFERROR(__xludf.DUMMYFUNCTION("""COMPUTED_VALUE"""),2490.0)</f>
        <v>2490</v>
      </c>
      <c r="P45" s="19">
        <f>IFERROR(__xludf.DUMMYFUNCTION("""COMPUTED_VALUE"""),2490.0)</f>
        <v>2490</v>
      </c>
      <c r="Q45" s="19">
        <f>IFERROR(__xludf.DUMMYFUNCTION("""COMPUTED_VALUE"""),0.0)</f>
        <v>0</v>
      </c>
      <c r="R45" s="19">
        <f>IFERROR(__xludf.DUMMYFUNCTION("""COMPUTED_VALUE"""),1245.0)</f>
        <v>1245</v>
      </c>
      <c r="S45" s="19">
        <f>IFERROR(__xludf.DUMMYFUNCTION("""COMPUTED_VALUE"""),1245.0)</f>
        <v>1245</v>
      </c>
      <c r="T45" s="19">
        <f>IFERROR(__xludf.DUMMYFUNCTION("""COMPUTED_VALUE"""),1245.0)</f>
        <v>1245</v>
      </c>
      <c r="U45" s="16">
        <v>0.0</v>
      </c>
      <c r="V45" s="16" t="str">
        <f>IFERROR(__xludf.DUMMYFUNCTION("""COMPUTED_VALUE"""),"Apparel")</f>
        <v>Apparel</v>
      </c>
      <c r="W45" s="16" t="str">
        <f>IFERROR(__xludf.DUMMYFUNCTION("""COMPUTED_VALUE"""),"Female")</f>
        <v>Female</v>
      </c>
      <c r="X45" s="16" t="str">
        <f>IFERROR(__xludf.DUMMYFUNCTION("""COMPUTED_VALUE"""),"Trouser")</f>
        <v>Trouser</v>
      </c>
      <c r="AB45" s="16" t="str">
        <f>IFERROR(__xludf.DUMMYFUNCTION("""COMPUTED_VALUE"""),"EOSS: B1G30%,B2G40%, B3G50%")</f>
        <v>EOSS: B1G30%,B2G40%, B3G50%</v>
      </c>
      <c r="AC45" s="16" t="str">
        <f>IFERROR(__xludf.DUMMYFUNCTION("""COMPUTED_VALUE"""),"AW22")</f>
        <v>AW22</v>
      </c>
    </row>
    <row r="46">
      <c r="A46" s="16" t="s">
        <v>84</v>
      </c>
      <c r="C46" s="16" t="str">
        <f>IFERROR(__xludf.DUMMYFUNCTION("""COMPUTED_VALUE"""),"SHYAM RETAIL STORES(SOR)")</f>
        <v>SHYAM RETAIL STORES(SOR)</v>
      </c>
      <c r="D46" s="16" t="str">
        <f>IFERROR(__xludf.DUMMYFUNCTION("""COMPUTED_VALUE"""),"SHYAM RETAIL REWARI NEW")</f>
        <v>SHYAM RETAIL REWARI NEW</v>
      </c>
      <c r="E46" s="16" t="str">
        <f>IFERROR(__xludf.DUMMYFUNCTION("""COMPUTED_VALUE"""),"")</f>
        <v/>
      </c>
      <c r="F46" s="16" t="str">
        <f>IFERROR(__xludf.DUMMYFUNCTION("""COMPUTED_VALUE"""),"CM\13802\01-25")</f>
        <v>CM\13802\01-25</v>
      </c>
      <c r="G46" s="18">
        <f>IFERROR(__xludf.DUMMYFUNCTION("""COMPUTED_VALUE"""),45668.0)</f>
        <v>45668</v>
      </c>
      <c r="H46" s="16" t="s">
        <v>85</v>
      </c>
      <c r="I46" s="16" t="s">
        <v>86</v>
      </c>
      <c r="J46" s="19">
        <f>IFERROR(__xludf.DUMMYFUNCTION("""COMPUTED_VALUE"""),8.903331863615E12)</f>
        <v>8903331863615</v>
      </c>
      <c r="K46" s="16" t="str">
        <f>IFERROR(__xludf.DUMMYFUNCTION("""COMPUTED_VALUE"""),"KZ00219 BEIGE")</f>
        <v>KZ00219 BEIGE</v>
      </c>
      <c r="L46" s="16" t="str">
        <f>IFERROR(__xludf.DUMMYFUNCTION("""COMPUTED_VALUE"""),"KZ00219 BEIGE")</f>
        <v>KZ00219 BEIGE</v>
      </c>
      <c r="M46" s="16" t="str">
        <f>IFERROR(__xludf.DUMMYFUNCTION("""COMPUTED_VALUE"""),"L")</f>
        <v>L</v>
      </c>
      <c r="N46" s="19">
        <f>IFERROR(__xludf.DUMMYFUNCTION("""COMPUTED_VALUE"""),1.0)</f>
        <v>1</v>
      </c>
      <c r="O46" s="19">
        <f>IFERROR(__xludf.DUMMYFUNCTION("""COMPUTED_VALUE"""),1890.0)</f>
        <v>1890</v>
      </c>
      <c r="P46" s="19">
        <f>IFERROR(__xludf.DUMMYFUNCTION("""COMPUTED_VALUE"""),1890.0)</f>
        <v>1890</v>
      </c>
      <c r="Q46" s="19">
        <f>IFERROR(__xludf.DUMMYFUNCTION("""COMPUTED_VALUE"""),0.0)</f>
        <v>0</v>
      </c>
      <c r="R46" s="19">
        <f>IFERROR(__xludf.DUMMYFUNCTION("""COMPUTED_VALUE"""),945.0)</f>
        <v>945</v>
      </c>
      <c r="S46" s="19">
        <f>IFERROR(__xludf.DUMMYFUNCTION("""COMPUTED_VALUE"""),945.0)</f>
        <v>945</v>
      </c>
      <c r="T46" s="19">
        <f>IFERROR(__xludf.DUMMYFUNCTION("""COMPUTED_VALUE"""),945.0)</f>
        <v>945</v>
      </c>
      <c r="U46" s="16">
        <v>0.0</v>
      </c>
      <c r="V46" s="16" t="str">
        <f>IFERROR(__xludf.DUMMYFUNCTION("""COMPUTED_VALUE"""),"Apparel")</f>
        <v>Apparel</v>
      </c>
      <c r="W46" s="16" t="str">
        <f>IFERROR(__xludf.DUMMYFUNCTION("""COMPUTED_VALUE"""),"Female")</f>
        <v>Female</v>
      </c>
      <c r="X46" s="16" t="str">
        <f>IFERROR(__xludf.DUMMYFUNCTION("""COMPUTED_VALUE"""),"Top")</f>
        <v>Top</v>
      </c>
      <c r="AB46" s="16" t="str">
        <f>IFERROR(__xludf.DUMMYFUNCTION("""COMPUTED_VALUE"""),"EOSS: B1G30%,B2G40%, B3G50%")</f>
        <v>EOSS: B1G30%,B2G40%, B3G50%</v>
      </c>
      <c r="AC46" s="16" t="str">
        <f>IFERROR(__xludf.DUMMYFUNCTION("""COMPUTED_VALUE"""),"AW23")</f>
        <v>AW23</v>
      </c>
    </row>
    <row r="47">
      <c r="A47" s="16" t="s">
        <v>84</v>
      </c>
      <c r="C47" s="16" t="str">
        <f>IFERROR(__xludf.DUMMYFUNCTION("""COMPUTED_VALUE"""),"SHYAM RETAIL STORES(SOR)")</f>
        <v>SHYAM RETAIL STORES(SOR)</v>
      </c>
      <c r="D47" s="16" t="str">
        <f>IFERROR(__xludf.DUMMYFUNCTION("""COMPUTED_VALUE"""),"SHYAM RETAIL REWARI NEW")</f>
        <v>SHYAM RETAIL REWARI NEW</v>
      </c>
      <c r="E47" s="16" t="str">
        <f>IFERROR(__xludf.DUMMYFUNCTION("""COMPUTED_VALUE"""),"")</f>
        <v/>
      </c>
      <c r="F47" s="16" t="str">
        <f>IFERROR(__xludf.DUMMYFUNCTION("""COMPUTED_VALUE"""),"CM\13802\01-25")</f>
        <v>CM\13802\01-25</v>
      </c>
      <c r="G47" s="18">
        <f>IFERROR(__xludf.DUMMYFUNCTION("""COMPUTED_VALUE"""),45668.0)</f>
        <v>45668</v>
      </c>
      <c r="H47" s="16" t="s">
        <v>85</v>
      </c>
      <c r="I47" s="16" t="s">
        <v>86</v>
      </c>
      <c r="J47" s="19">
        <f>IFERROR(__xludf.DUMMYFUNCTION("""COMPUTED_VALUE"""),8.903331880971E12)</f>
        <v>8903331880971</v>
      </c>
      <c r="K47" s="16" t="str">
        <f>IFERROR(__xludf.DUMMYFUNCTION("""COMPUTED_VALUE"""),"KZ00397 BLACKL01")</f>
        <v>KZ00397 BLACKL01</v>
      </c>
      <c r="L47" s="16" t="str">
        <f>IFERROR(__xludf.DUMMYFUNCTION("""COMPUTED_VALUE"""),"KZ00397 BLACKL01")</f>
        <v>KZ00397 BLACKL01</v>
      </c>
      <c r="M47" s="16" t="str">
        <f>IFERROR(__xludf.DUMMYFUNCTION("""COMPUTED_VALUE"""),"L")</f>
        <v>L</v>
      </c>
      <c r="N47" s="19">
        <f>IFERROR(__xludf.DUMMYFUNCTION("""COMPUTED_VALUE"""),1.0)</f>
        <v>1</v>
      </c>
      <c r="O47" s="19">
        <f>IFERROR(__xludf.DUMMYFUNCTION("""COMPUTED_VALUE"""),2290.0)</f>
        <v>2290</v>
      </c>
      <c r="P47" s="19">
        <f>IFERROR(__xludf.DUMMYFUNCTION("""COMPUTED_VALUE"""),2290.0)</f>
        <v>2290</v>
      </c>
      <c r="Q47" s="19">
        <f>IFERROR(__xludf.DUMMYFUNCTION("""COMPUTED_VALUE"""),0.0)</f>
        <v>0</v>
      </c>
      <c r="R47" s="19">
        <f>IFERROR(__xludf.DUMMYFUNCTION("""COMPUTED_VALUE"""),1145.0)</f>
        <v>1145</v>
      </c>
      <c r="S47" s="19">
        <f>IFERROR(__xludf.DUMMYFUNCTION("""COMPUTED_VALUE"""),1145.0)</f>
        <v>1145</v>
      </c>
      <c r="T47" s="19">
        <f>IFERROR(__xludf.DUMMYFUNCTION("""COMPUTED_VALUE"""),1145.0)</f>
        <v>1145</v>
      </c>
      <c r="U47" s="16">
        <v>0.0</v>
      </c>
      <c r="V47" s="16" t="str">
        <f>IFERROR(__xludf.DUMMYFUNCTION("""COMPUTED_VALUE"""),"Apparel")</f>
        <v>Apparel</v>
      </c>
      <c r="W47" s="16" t="str">
        <f>IFERROR(__xludf.DUMMYFUNCTION("""COMPUTED_VALUE"""),"Female")</f>
        <v>Female</v>
      </c>
      <c r="X47" s="16" t="str">
        <f>IFERROR(__xludf.DUMMYFUNCTION("""COMPUTED_VALUE"""),"jegging")</f>
        <v>jegging</v>
      </c>
      <c r="AB47" s="16" t="str">
        <f>IFERROR(__xludf.DUMMYFUNCTION("""COMPUTED_VALUE"""),"EOSS: B1G30%,B2G40%, B3G50%")</f>
        <v>EOSS: B1G30%,B2G40%, B3G50%</v>
      </c>
      <c r="AC47" s="16" t="str">
        <f>IFERROR(__xludf.DUMMYFUNCTION("""COMPUTED_VALUE"""),"SS24")</f>
        <v>SS24</v>
      </c>
    </row>
    <row r="48">
      <c r="A48" s="16" t="s">
        <v>84</v>
      </c>
      <c r="C48" s="16" t="str">
        <f>IFERROR(__xludf.DUMMYFUNCTION("""COMPUTED_VALUE"""),"SHYAM RETAIL STORES(SOR)")</f>
        <v>SHYAM RETAIL STORES(SOR)</v>
      </c>
      <c r="D48" s="16" t="str">
        <f>IFERROR(__xludf.DUMMYFUNCTION("""COMPUTED_VALUE"""),"SHYAM RETAIL REWARI NEW")</f>
        <v>SHYAM RETAIL REWARI NEW</v>
      </c>
      <c r="E48" s="16" t="str">
        <f>IFERROR(__xludf.DUMMYFUNCTION("""COMPUTED_VALUE"""),"")</f>
        <v/>
      </c>
      <c r="F48" s="16" t="str">
        <f>IFERROR(__xludf.DUMMYFUNCTION("""COMPUTED_VALUE"""),"CM\13817\01-25")</f>
        <v>CM\13817\01-25</v>
      </c>
      <c r="G48" s="18">
        <f>IFERROR(__xludf.DUMMYFUNCTION("""COMPUTED_VALUE"""),45668.0)</f>
        <v>45668</v>
      </c>
      <c r="H48" s="16" t="s">
        <v>85</v>
      </c>
      <c r="I48" s="16" t="s">
        <v>86</v>
      </c>
      <c r="J48" s="19">
        <f>IFERROR(__xludf.DUMMYFUNCTION("""COMPUTED_VALUE"""),8.90333183552E12)</f>
        <v>8903331835520</v>
      </c>
      <c r="K48" s="16" t="str">
        <f>IFERROR(__xludf.DUMMYFUNCTION("""COMPUTED_VALUE"""),"125392 LILAC")</f>
        <v>125392 LILAC</v>
      </c>
      <c r="L48" s="16" t="str">
        <f>IFERROR(__xludf.DUMMYFUNCTION("""COMPUTED_VALUE"""),"125392 LILAC")</f>
        <v>125392 LILAC</v>
      </c>
      <c r="M48" s="16" t="str">
        <f>IFERROR(__xludf.DUMMYFUNCTION("""COMPUTED_VALUE"""),"M")</f>
        <v>M</v>
      </c>
      <c r="N48" s="19">
        <f>IFERROR(__xludf.DUMMYFUNCTION("""COMPUTED_VALUE"""),1.0)</f>
        <v>1</v>
      </c>
      <c r="O48" s="19">
        <f>IFERROR(__xludf.DUMMYFUNCTION("""COMPUTED_VALUE"""),1790.0)</f>
        <v>1790</v>
      </c>
      <c r="P48" s="19">
        <f>IFERROR(__xludf.DUMMYFUNCTION("""COMPUTED_VALUE"""),1790.0)</f>
        <v>1790</v>
      </c>
      <c r="Q48" s="19">
        <f>IFERROR(__xludf.DUMMYFUNCTION("""COMPUTED_VALUE"""),0.0)</f>
        <v>0</v>
      </c>
      <c r="R48" s="19">
        <f>IFERROR(__xludf.DUMMYFUNCTION("""COMPUTED_VALUE"""),716.0)</f>
        <v>716</v>
      </c>
      <c r="S48" s="19">
        <f>IFERROR(__xludf.DUMMYFUNCTION("""COMPUTED_VALUE"""),716.0)</f>
        <v>716</v>
      </c>
      <c r="T48" s="19">
        <f>IFERROR(__xludf.DUMMYFUNCTION("""COMPUTED_VALUE"""),1074.0)</f>
        <v>1074</v>
      </c>
      <c r="U48" s="16">
        <v>0.0</v>
      </c>
      <c r="V48" s="16" t="str">
        <f>IFERROR(__xludf.DUMMYFUNCTION("""COMPUTED_VALUE"""),"Apparel")</f>
        <v>Apparel</v>
      </c>
      <c r="W48" s="16" t="str">
        <f>IFERROR(__xludf.DUMMYFUNCTION("""COMPUTED_VALUE"""),"Female")</f>
        <v>Female</v>
      </c>
      <c r="X48" s="16" t="str">
        <f>IFERROR(__xludf.DUMMYFUNCTION("""COMPUTED_VALUE"""),"Top")</f>
        <v>Top</v>
      </c>
      <c r="AB48" s="16" t="str">
        <f>IFERROR(__xludf.DUMMYFUNCTION("""COMPUTED_VALUE"""),"EOSS: B1G30%,B2G40%, B3G50%")</f>
        <v>EOSS: B1G30%,B2G40%, B3G50%</v>
      </c>
      <c r="AC48" s="16" t="str">
        <f>IFERROR(__xludf.DUMMYFUNCTION("""COMPUTED_VALUE"""),"SS23")</f>
        <v>SS23</v>
      </c>
    </row>
    <row r="49">
      <c r="A49" s="16" t="s">
        <v>84</v>
      </c>
      <c r="C49" s="16" t="str">
        <f>IFERROR(__xludf.DUMMYFUNCTION("""COMPUTED_VALUE"""),"SHYAM RETAIL STORES(SOR)")</f>
        <v>SHYAM RETAIL STORES(SOR)</v>
      </c>
      <c r="D49" s="16" t="str">
        <f>IFERROR(__xludf.DUMMYFUNCTION("""COMPUTED_VALUE"""),"SHYAM RETAIL REWARI NEW")</f>
        <v>SHYAM RETAIL REWARI NEW</v>
      </c>
      <c r="E49" s="16" t="str">
        <f>IFERROR(__xludf.DUMMYFUNCTION("""COMPUTED_VALUE"""),"")</f>
        <v/>
      </c>
      <c r="F49" s="16" t="str">
        <f>IFERROR(__xludf.DUMMYFUNCTION("""COMPUTED_VALUE"""),"CM\13817\01-25")</f>
        <v>CM\13817\01-25</v>
      </c>
      <c r="G49" s="18">
        <f>IFERROR(__xludf.DUMMYFUNCTION("""COMPUTED_VALUE"""),45668.0)</f>
        <v>45668</v>
      </c>
      <c r="H49" s="16" t="s">
        <v>85</v>
      </c>
      <c r="I49" s="16" t="s">
        <v>86</v>
      </c>
      <c r="J49" s="19">
        <f>IFERROR(__xludf.DUMMYFUNCTION("""COMPUTED_VALUE"""),8.903331836374E12)</f>
        <v>8903331836374</v>
      </c>
      <c r="K49" s="16" t="str">
        <f>IFERROR(__xludf.DUMMYFUNCTION("""COMPUTED_VALUE"""),"125409 PINK")</f>
        <v>125409 PINK</v>
      </c>
      <c r="L49" s="16" t="str">
        <f>IFERROR(__xludf.DUMMYFUNCTION("""COMPUTED_VALUE"""),"125409 PINK")</f>
        <v>125409 PINK</v>
      </c>
      <c r="M49" s="16" t="str">
        <f>IFERROR(__xludf.DUMMYFUNCTION("""COMPUTED_VALUE"""),"L")</f>
        <v>L</v>
      </c>
      <c r="N49" s="19">
        <f>IFERROR(__xludf.DUMMYFUNCTION("""COMPUTED_VALUE"""),1.0)</f>
        <v>1</v>
      </c>
      <c r="O49" s="19">
        <f>IFERROR(__xludf.DUMMYFUNCTION("""COMPUTED_VALUE"""),1790.0)</f>
        <v>1790</v>
      </c>
      <c r="P49" s="19">
        <f>IFERROR(__xludf.DUMMYFUNCTION("""COMPUTED_VALUE"""),1790.0)</f>
        <v>1790</v>
      </c>
      <c r="Q49" s="19">
        <f>IFERROR(__xludf.DUMMYFUNCTION("""COMPUTED_VALUE"""),0.0)</f>
        <v>0</v>
      </c>
      <c r="R49" s="19">
        <f>IFERROR(__xludf.DUMMYFUNCTION("""COMPUTED_VALUE"""),716.0)</f>
        <v>716</v>
      </c>
      <c r="S49" s="19">
        <f>IFERROR(__xludf.DUMMYFUNCTION("""COMPUTED_VALUE"""),716.0)</f>
        <v>716</v>
      </c>
      <c r="T49" s="19">
        <f>IFERROR(__xludf.DUMMYFUNCTION("""COMPUTED_VALUE"""),1074.0)</f>
        <v>1074</v>
      </c>
      <c r="U49" s="16">
        <v>0.0</v>
      </c>
      <c r="V49" s="16" t="str">
        <f>IFERROR(__xludf.DUMMYFUNCTION("""COMPUTED_VALUE"""),"Apparel")</f>
        <v>Apparel</v>
      </c>
      <c r="W49" s="16" t="str">
        <f>IFERROR(__xludf.DUMMYFUNCTION("""COMPUTED_VALUE"""),"Female")</f>
        <v>Female</v>
      </c>
      <c r="X49" s="16" t="str">
        <f>IFERROR(__xludf.DUMMYFUNCTION("""COMPUTED_VALUE"""),"T Shirt")</f>
        <v>T Shirt</v>
      </c>
      <c r="AB49" s="16" t="str">
        <f>IFERROR(__xludf.DUMMYFUNCTION("""COMPUTED_VALUE"""),"EOSS: B1G30%,B2G40%, B3G50%")</f>
        <v>EOSS: B1G30%,B2G40%, B3G50%</v>
      </c>
      <c r="AC49" s="16" t="str">
        <f>IFERROR(__xludf.DUMMYFUNCTION("""COMPUTED_VALUE"""),"AW23")</f>
        <v>AW23</v>
      </c>
    </row>
    <row r="50">
      <c r="A50" s="16" t="s">
        <v>84</v>
      </c>
      <c r="C50" s="16" t="str">
        <f>IFERROR(__xludf.DUMMYFUNCTION("""COMPUTED_VALUE"""),"SHYAM RETAIL STORES(SOR)")</f>
        <v>SHYAM RETAIL STORES(SOR)</v>
      </c>
      <c r="D50" s="16" t="str">
        <f>IFERROR(__xludf.DUMMYFUNCTION("""COMPUTED_VALUE"""),"SHYAM RETAIL REWARI NEW")</f>
        <v>SHYAM RETAIL REWARI NEW</v>
      </c>
      <c r="E50" s="16" t="str">
        <f>IFERROR(__xludf.DUMMYFUNCTION("""COMPUTED_VALUE"""),"")</f>
        <v/>
      </c>
      <c r="F50" s="16" t="str">
        <f>IFERROR(__xludf.DUMMYFUNCTION("""COMPUTED_VALUE"""),"CM\13904\01-25")</f>
        <v>CM\13904\01-25</v>
      </c>
      <c r="G50" s="18">
        <f>IFERROR(__xludf.DUMMYFUNCTION("""COMPUTED_VALUE"""),45669.0)</f>
        <v>45669</v>
      </c>
      <c r="H50" s="16" t="s">
        <v>85</v>
      </c>
      <c r="I50" s="16" t="s">
        <v>86</v>
      </c>
      <c r="J50" s="19">
        <f>IFERROR(__xludf.DUMMYFUNCTION("""COMPUTED_VALUE"""),8.903331857492E12)</f>
        <v>8903331857492</v>
      </c>
      <c r="K50" s="16" t="str">
        <f>IFERROR(__xludf.DUMMYFUNCTION("""COMPUTED_VALUE"""),"KZ00075 BLACKS01")</f>
        <v>KZ00075 BLACKS01</v>
      </c>
      <c r="L50" s="16" t="str">
        <f>IFERROR(__xludf.DUMMYFUNCTION("""COMPUTED_VALUE"""),"KZ00075 BLACKS01")</f>
        <v>KZ00075 BLACKS01</v>
      </c>
      <c r="M50" s="16" t="str">
        <f>IFERROR(__xludf.DUMMYFUNCTION("""COMPUTED_VALUE"""),"S")</f>
        <v>S</v>
      </c>
      <c r="N50" s="19">
        <f>IFERROR(__xludf.DUMMYFUNCTION("""COMPUTED_VALUE"""),1.0)</f>
        <v>1</v>
      </c>
      <c r="O50" s="19">
        <f>IFERROR(__xludf.DUMMYFUNCTION("""COMPUTED_VALUE"""),3490.0)</f>
        <v>3490</v>
      </c>
      <c r="P50" s="19">
        <f>IFERROR(__xludf.DUMMYFUNCTION("""COMPUTED_VALUE"""),3490.0)</f>
        <v>3490</v>
      </c>
      <c r="Q50" s="19">
        <f>IFERROR(__xludf.DUMMYFUNCTION("""COMPUTED_VALUE"""),0.0)</f>
        <v>0</v>
      </c>
      <c r="R50" s="19">
        <f>IFERROR(__xludf.DUMMYFUNCTION("""COMPUTED_VALUE"""),1047.0)</f>
        <v>1047</v>
      </c>
      <c r="S50" s="19">
        <f>IFERROR(__xludf.DUMMYFUNCTION("""COMPUTED_VALUE"""),1047.0)</f>
        <v>1047</v>
      </c>
      <c r="T50" s="19">
        <f>IFERROR(__xludf.DUMMYFUNCTION("""COMPUTED_VALUE"""),2443.0)</f>
        <v>2443</v>
      </c>
      <c r="U50" s="16">
        <v>0.0</v>
      </c>
      <c r="V50" s="16" t="str">
        <f>IFERROR(__xludf.DUMMYFUNCTION("""COMPUTED_VALUE"""),"Apparel")</f>
        <v>Apparel</v>
      </c>
      <c r="W50" s="16" t="str">
        <f>IFERROR(__xludf.DUMMYFUNCTION("""COMPUTED_VALUE"""),"Female")</f>
        <v>Female</v>
      </c>
      <c r="X50" s="16" t="str">
        <f>IFERROR(__xludf.DUMMYFUNCTION("""COMPUTED_VALUE"""),"Sweater")</f>
        <v>Sweater</v>
      </c>
      <c r="AB50" s="16" t="str">
        <f>IFERROR(__xludf.DUMMYFUNCTION("""COMPUTED_VALUE"""),"EOSS: B1G30%,B2G40%, B3G50%")</f>
        <v>EOSS: B1G30%,B2G40%, B3G50%</v>
      </c>
      <c r="AC50" s="16" t="str">
        <f>IFERROR(__xludf.DUMMYFUNCTION("""COMPUTED_VALUE"""),"AW23")</f>
        <v>AW23</v>
      </c>
    </row>
    <row r="51">
      <c r="A51" s="16" t="s">
        <v>84</v>
      </c>
      <c r="C51" s="16" t="str">
        <f>IFERROR(__xludf.DUMMYFUNCTION("""COMPUTED_VALUE"""),"SHYAM RETAIL STORES(SOR)")</f>
        <v>SHYAM RETAIL STORES(SOR)</v>
      </c>
      <c r="D51" s="16" t="str">
        <f>IFERROR(__xludf.DUMMYFUNCTION("""COMPUTED_VALUE"""),"SHYAM RETAIL REWARI NEW")</f>
        <v>SHYAM RETAIL REWARI NEW</v>
      </c>
      <c r="E51" s="16" t="str">
        <f>IFERROR(__xludf.DUMMYFUNCTION("""COMPUTED_VALUE"""),"")</f>
        <v/>
      </c>
      <c r="F51" s="16" t="str">
        <f>IFERROR(__xludf.DUMMYFUNCTION("""COMPUTED_VALUE"""),"CM\14007\01-25")</f>
        <v>CM\14007\01-25</v>
      </c>
      <c r="G51" s="18">
        <f>IFERROR(__xludf.DUMMYFUNCTION("""COMPUTED_VALUE"""),45670.0)</f>
        <v>45670</v>
      </c>
      <c r="H51" s="16" t="s">
        <v>85</v>
      </c>
      <c r="I51" s="16" t="s">
        <v>86</v>
      </c>
      <c r="J51" s="19">
        <f>IFERROR(__xludf.DUMMYFUNCTION("""COMPUTED_VALUE"""),8.910000019471E12)</f>
        <v>8910000019471</v>
      </c>
      <c r="K51" s="16" t="str">
        <f>IFERROR(__xludf.DUMMYFUNCTION("""COMPUTED_VALUE"""),"KZ00193 BEIGE")</f>
        <v>KZ00193 BEIGE</v>
      </c>
      <c r="L51" s="16" t="str">
        <f>IFERROR(__xludf.DUMMYFUNCTION("""COMPUTED_VALUE"""),"KZ00193 BEIGE")</f>
        <v>KZ00193 BEIGE</v>
      </c>
      <c r="M51" s="16" t="str">
        <f>IFERROR(__xludf.DUMMYFUNCTION("""COMPUTED_VALUE"""),"L")</f>
        <v>L</v>
      </c>
      <c r="N51" s="19">
        <f>IFERROR(__xludf.DUMMYFUNCTION("""COMPUTED_VALUE"""),1.0)</f>
        <v>1</v>
      </c>
      <c r="O51" s="19">
        <f>IFERROR(__xludf.DUMMYFUNCTION("""COMPUTED_VALUE"""),4990.0)</f>
        <v>4990</v>
      </c>
      <c r="P51" s="19">
        <f>IFERROR(__xludf.DUMMYFUNCTION("""COMPUTED_VALUE"""),4990.0)</f>
        <v>4990</v>
      </c>
      <c r="Q51" s="19">
        <f>IFERROR(__xludf.DUMMYFUNCTION("""COMPUTED_VALUE"""),0.0)</f>
        <v>0</v>
      </c>
      <c r="R51" s="19">
        <f>IFERROR(__xludf.DUMMYFUNCTION("""COMPUTED_VALUE"""),1497.0)</f>
        <v>1497</v>
      </c>
      <c r="S51" s="19">
        <f>IFERROR(__xludf.DUMMYFUNCTION("""COMPUTED_VALUE"""),1497.0)</f>
        <v>1497</v>
      </c>
      <c r="T51" s="19">
        <f>IFERROR(__xludf.DUMMYFUNCTION("""COMPUTED_VALUE"""),3493.0)</f>
        <v>3493</v>
      </c>
      <c r="U51" s="16">
        <v>0.0</v>
      </c>
      <c r="V51" s="16" t="str">
        <f>IFERROR(__xludf.DUMMYFUNCTION("""COMPUTED_VALUE"""),"Apparel")</f>
        <v>Apparel</v>
      </c>
      <c r="W51" s="16" t="str">
        <f>IFERROR(__xludf.DUMMYFUNCTION("""COMPUTED_VALUE"""),"Female")</f>
        <v>Female</v>
      </c>
      <c r="X51" s="16" t="str">
        <f>IFERROR(__xludf.DUMMYFUNCTION("""COMPUTED_VALUE"""),"Dress")</f>
        <v>Dress</v>
      </c>
      <c r="AB51" s="16" t="str">
        <f>IFERROR(__xludf.DUMMYFUNCTION("""COMPUTED_VALUE"""),"EOSS: B1G30%,B2G40%, B3G50%")</f>
        <v>EOSS: B1G30%,B2G40%, B3G50%</v>
      </c>
      <c r="AC51" s="16" t="str">
        <f>IFERROR(__xludf.DUMMYFUNCTION("""COMPUTED_VALUE"""),"AW23")</f>
        <v>AW23</v>
      </c>
    </row>
    <row r="52">
      <c r="A52" s="16" t="s">
        <v>84</v>
      </c>
      <c r="C52" s="16" t="str">
        <f>IFERROR(__xludf.DUMMYFUNCTION("""COMPUTED_VALUE"""),"SHREE RAM ENTERPRISES BHIWANI B")</f>
        <v>SHREE RAM ENTERPRISES BHIWANI B</v>
      </c>
      <c r="D52" s="16" t="str">
        <f>IFERROR(__xludf.DUMMYFUNCTION("""COMPUTED_VALUE"""),"SHREE RAM ENTERPRISES BHIWANI B")</f>
        <v>SHREE RAM ENTERPRISES BHIWANI B</v>
      </c>
      <c r="E52" s="16" t="str">
        <f>IFERROR(__xludf.DUMMYFUNCTION("""COMPUTED_VALUE"""),"")</f>
        <v/>
      </c>
      <c r="F52" s="16" t="str">
        <f>IFERROR(__xludf.DUMMYFUNCTION("""COMPUTED_VALUE"""),"S/24-25/592")</f>
        <v>S/24-25/592</v>
      </c>
      <c r="G52" s="18">
        <f>IFERROR(__xludf.DUMMYFUNCTION("""COMPUTED_VALUE"""),45661.0)</f>
        <v>45661</v>
      </c>
      <c r="H52" s="16" t="s">
        <v>85</v>
      </c>
      <c r="I52" s="16" t="s">
        <v>86</v>
      </c>
      <c r="J52" s="19">
        <f>IFERROR(__xludf.DUMMYFUNCTION("""COMPUTED_VALUE"""),8.903331783708E12)</f>
        <v>8903331783708</v>
      </c>
      <c r="K52" s="16" t="str">
        <f>IFERROR(__xludf.DUMMYFUNCTION("""COMPUTED_VALUE"""),"124233 BEIGE")</f>
        <v>124233 BEIGE</v>
      </c>
      <c r="L52" s="16" t="str">
        <f>IFERROR(__xludf.DUMMYFUNCTION("""COMPUTED_VALUE"""),"124233 BEIGE")</f>
        <v>124233 BEIGE</v>
      </c>
      <c r="M52" s="16" t="str">
        <f>IFERROR(__xludf.DUMMYFUNCTION("""COMPUTED_VALUE"""),"M")</f>
        <v>M</v>
      </c>
      <c r="N52" s="19">
        <f>IFERROR(__xludf.DUMMYFUNCTION("""COMPUTED_VALUE"""),1.0)</f>
        <v>1</v>
      </c>
      <c r="O52" s="19">
        <f>IFERROR(__xludf.DUMMYFUNCTION("""COMPUTED_VALUE"""),2990.0)</f>
        <v>2990</v>
      </c>
      <c r="P52" s="19">
        <f>IFERROR(__xludf.DUMMYFUNCTION("""COMPUTED_VALUE"""),2990.0)</f>
        <v>2990</v>
      </c>
      <c r="Q52" s="19">
        <f>IFERROR(__xludf.DUMMYFUNCTION("""COMPUTED_VALUE"""),0.0)</f>
        <v>0</v>
      </c>
      <c r="R52" s="19">
        <f>IFERROR(__xludf.DUMMYFUNCTION("""COMPUTED_VALUE"""),1196.0)</f>
        <v>1196</v>
      </c>
      <c r="S52" s="19">
        <f>IFERROR(__xludf.DUMMYFUNCTION("""COMPUTED_VALUE"""),1196.0)</f>
        <v>1196</v>
      </c>
      <c r="T52" s="19">
        <f>IFERROR(__xludf.DUMMYFUNCTION("""COMPUTED_VALUE"""),1794.0)</f>
        <v>1794</v>
      </c>
      <c r="U52" s="16">
        <v>0.0</v>
      </c>
      <c r="V52" s="16" t="str">
        <f>IFERROR(__xludf.DUMMYFUNCTION("""COMPUTED_VALUE"""),"Apparel")</f>
        <v>Apparel</v>
      </c>
      <c r="W52" s="16" t="str">
        <f>IFERROR(__xludf.DUMMYFUNCTION("""COMPUTED_VALUE"""),"Female")</f>
        <v>Female</v>
      </c>
      <c r="X52" s="16" t="str">
        <f>IFERROR(__xludf.DUMMYFUNCTION("""COMPUTED_VALUE"""),"Trouser")</f>
        <v>Trouser</v>
      </c>
      <c r="AB52" s="16" t="str">
        <f>IFERROR(__xludf.DUMMYFUNCTION("""COMPUTED_VALUE"""),"EOSS: B1G30%,B2G40%, B3G50%")</f>
        <v>EOSS: B1G30%,B2G40%, B3G50%</v>
      </c>
      <c r="AC52" s="16" t="str">
        <f>IFERROR(__xludf.DUMMYFUNCTION("""COMPUTED_VALUE"""),"AW22")</f>
        <v>AW22</v>
      </c>
    </row>
    <row r="53">
      <c r="A53" s="16" t="s">
        <v>84</v>
      </c>
      <c r="C53" s="16" t="str">
        <f>IFERROR(__xludf.DUMMYFUNCTION("""COMPUTED_VALUE"""),"SHREE RAM ENTERPRISES BHIWANI B")</f>
        <v>SHREE RAM ENTERPRISES BHIWANI B</v>
      </c>
      <c r="D53" s="16" t="str">
        <f>IFERROR(__xludf.DUMMYFUNCTION("""COMPUTED_VALUE"""),"SHREE RAM ENTERPRISES BHIWANI B")</f>
        <v>SHREE RAM ENTERPRISES BHIWANI B</v>
      </c>
      <c r="E53" s="16" t="str">
        <f>IFERROR(__xludf.DUMMYFUNCTION("""COMPUTED_VALUE"""),"")</f>
        <v/>
      </c>
      <c r="F53" s="16" t="str">
        <f>IFERROR(__xludf.DUMMYFUNCTION("""COMPUTED_VALUE"""),"S/24-25/592")</f>
        <v>S/24-25/592</v>
      </c>
      <c r="G53" s="18">
        <f>IFERROR(__xludf.DUMMYFUNCTION("""COMPUTED_VALUE"""),45661.0)</f>
        <v>45661</v>
      </c>
      <c r="H53" s="16" t="s">
        <v>85</v>
      </c>
      <c r="I53" s="16" t="s">
        <v>86</v>
      </c>
      <c r="J53" s="19">
        <f>IFERROR(__xludf.DUMMYFUNCTION("""COMPUTED_VALUE"""),8.90333186308E12)</f>
        <v>8903331863080</v>
      </c>
      <c r="K53" s="16" t="str">
        <f>IFERROR(__xludf.DUMMYFUNCTION("""COMPUTED_VALUE"""),"KZ00252 GREEN")</f>
        <v>KZ00252 GREEN</v>
      </c>
      <c r="L53" s="16" t="str">
        <f>IFERROR(__xludf.DUMMYFUNCTION("""COMPUTED_VALUE"""),"KZ00252 GREEN")</f>
        <v>KZ00252 GREEN</v>
      </c>
      <c r="M53" s="16" t="str">
        <f>IFERROR(__xludf.DUMMYFUNCTION("""COMPUTED_VALUE"""),"M")</f>
        <v>M</v>
      </c>
      <c r="N53" s="19">
        <f>IFERROR(__xludf.DUMMYFUNCTION("""COMPUTED_VALUE"""),1.0)</f>
        <v>1</v>
      </c>
      <c r="O53" s="19">
        <f>IFERROR(__xludf.DUMMYFUNCTION("""COMPUTED_VALUE"""),2190.0)</f>
        <v>2190</v>
      </c>
      <c r="P53" s="19">
        <f>IFERROR(__xludf.DUMMYFUNCTION("""COMPUTED_VALUE"""),2190.0)</f>
        <v>2190</v>
      </c>
      <c r="Q53" s="19">
        <f>IFERROR(__xludf.DUMMYFUNCTION("""COMPUTED_VALUE"""),0.0)</f>
        <v>0</v>
      </c>
      <c r="R53" s="19">
        <f>IFERROR(__xludf.DUMMYFUNCTION("""COMPUTED_VALUE"""),876.0)</f>
        <v>876</v>
      </c>
      <c r="S53" s="19">
        <f>IFERROR(__xludf.DUMMYFUNCTION("""COMPUTED_VALUE"""),876.0)</f>
        <v>876</v>
      </c>
      <c r="T53" s="19">
        <f>IFERROR(__xludf.DUMMYFUNCTION("""COMPUTED_VALUE"""),1314.0)</f>
        <v>1314</v>
      </c>
      <c r="U53" s="16">
        <v>0.0</v>
      </c>
      <c r="V53" s="16" t="str">
        <f>IFERROR(__xludf.DUMMYFUNCTION("""COMPUTED_VALUE"""),"Apparel")</f>
        <v>Apparel</v>
      </c>
      <c r="W53" s="16" t="str">
        <f>IFERROR(__xludf.DUMMYFUNCTION("""COMPUTED_VALUE"""),"Female")</f>
        <v>Female</v>
      </c>
      <c r="X53" s="16" t="str">
        <f>IFERROR(__xludf.DUMMYFUNCTION("""COMPUTED_VALUE"""),"Shirt")</f>
        <v>Shirt</v>
      </c>
      <c r="AB53" s="16" t="str">
        <f>IFERROR(__xludf.DUMMYFUNCTION("""COMPUTED_VALUE"""),"EOSS: B1G30%,B2G40%, B3G50%")</f>
        <v>EOSS: B1G30%,B2G40%, B3G50%</v>
      </c>
      <c r="AC53" s="16" t="str">
        <f>IFERROR(__xludf.DUMMYFUNCTION("""COMPUTED_VALUE"""),"AW23")</f>
        <v>AW23</v>
      </c>
    </row>
    <row r="54">
      <c r="A54" s="16" t="s">
        <v>84</v>
      </c>
      <c r="C54" s="16" t="str">
        <f>IFERROR(__xludf.DUMMYFUNCTION("""COMPUTED_VALUE"""),"SHREE RAM ENTERPRISES BHIWANI B")</f>
        <v>SHREE RAM ENTERPRISES BHIWANI B</v>
      </c>
      <c r="D54" s="16" t="str">
        <f>IFERROR(__xludf.DUMMYFUNCTION("""COMPUTED_VALUE"""),"SHREE RAM ENTERPRISES BHIWANI B")</f>
        <v>SHREE RAM ENTERPRISES BHIWANI B</v>
      </c>
      <c r="E54" s="16" t="str">
        <f>IFERROR(__xludf.DUMMYFUNCTION("""COMPUTED_VALUE"""),"")</f>
        <v/>
      </c>
      <c r="F54" s="16" t="str">
        <f>IFERROR(__xludf.DUMMYFUNCTION("""COMPUTED_VALUE"""),"S/24-25/654")</f>
        <v>S/24-25/654</v>
      </c>
      <c r="G54" s="18">
        <f>IFERROR(__xludf.DUMMYFUNCTION("""COMPUTED_VALUE"""),45668.0)</f>
        <v>45668</v>
      </c>
      <c r="H54" s="16" t="s">
        <v>85</v>
      </c>
      <c r="I54" s="16" t="s">
        <v>86</v>
      </c>
      <c r="J54" s="19">
        <f>IFERROR(__xludf.DUMMYFUNCTION("""COMPUTED_VALUE"""),8.903331792816E12)</f>
        <v>8903331792816</v>
      </c>
      <c r="K54" s="16" t="str">
        <f>IFERROR(__xludf.DUMMYFUNCTION("""COMPUTED_VALUE"""),"124524 BLACK")</f>
        <v>124524 BLACK</v>
      </c>
      <c r="L54" s="16" t="str">
        <f>IFERROR(__xludf.DUMMYFUNCTION("""COMPUTED_VALUE"""),"124524 BLACK")</f>
        <v>124524 BLACK</v>
      </c>
      <c r="M54" s="16" t="str">
        <f>IFERROR(__xludf.DUMMYFUNCTION("""COMPUTED_VALUE"""),"M")</f>
        <v>M</v>
      </c>
      <c r="N54" s="19">
        <f>IFERROR(__xludf.DUMMYFUNCTION("""COMPUTED_VALUE"""),1.0)</f>
        <v>1</v>
      </c>
      <c r="O54" s="19">
        <f>IFERROR(__xludf.DUMMYFUNCTION("""COMPUTED_VALUE"""),2990.0)</f>
        <v>2990</v>
      </c>
      <c r="P54" s="19">
        <f>IFERROR(__xludf.DUMMYFUNCTION("""COMPUTED_VALUE"""),2990.0)</f>
        <v>2990</v>
      </c>
      <c r="Q54" s="19">
        <f>IFERROR(__xludf.DUMMYFUNCTION("""COMPUTED_VALUE"""),0.0)</f>
        <v>0</v>
      </c>
      <c r="R54" s="19">
        <f>IFERROR(__xludf.DUMMYFUNCTION("""COMPUTED_VALUE"""),1495.0)</f>
        <v>1495</v>
      </c>
      <c r="S54" s="19">
        <f>IFERROR(__xludf.DUMMYFUNCTION("""COMPUTED_VALUE"""),1495.0)</f>
        <v>1495</v>
      </c>
      <c r="T54" s="19">
        <f>IFERROR(__xludf.DUMMYFUNCTION("""COMPUTED_VALUE"""),1495.0)</f>
        <v>1495</v>
      </c>
      <c r="U54" s="16">
        <v>0.0</v>
      </c>
      <c r="V54" s="16" t="str">
        <f>IFERROR(__xludf.DUMMYFUNCTION("""COMPUTED_VALUE"""),"Apparel")</f>
        <v>Apparel</v>
      </c>
      <c r="W54" s="16" t="str">
        <f>IFERROR(__xludf.DUMMYFUNCTION("""COMPUTED_VALUE"""),"Female")</f>
        <v>Female</v>
      </c>
      <c r="X54" s="16" t="str">
        <f>IFERROR(__xludf.DUMMYFUNCTION("""COMPUTED_VALUE"""),"Trouser")</f>
        <v>Trouser</v>
      </c>
      <c r="AB54" s="16" t="str">
        <f>IFERROR(__xludf.DUMMYFUNCTION("""COMPUTED_VALUE"""),"EOSS: B1G30%,B2G40%, B3G50%")</f>
        <v>EOSS: B1G30%,B2G40%, B3G50%</v>
      </c>
      <c r="AC54" s="16" t="str">
        <f>IFERROR(__xludf.DUMMYFUNCTION("""COMPUTED_VALUE"""),"SS23")</f>
        <v>SS23</v>
      </c>
    </row>
    <row r="55">
      <c r="A55" s="16" t="s">
        <v>84</v>
      </c>
      <c r="C55" s="16" t="str">
        <f>IFERROR(__xludf.DUMMYFUNCTION("""COMPUTED_VALUE"""),"SHREE RAM ENTERPRISES BHIWANI B")</f>
        <v>SHREE RAM ENTERPRISES BHIWANI B</v>
      </c>
      <c r="D55" s="16" t="str">
        <f>IFERROR(__xludf.DUMMYFUNCTION("""COMPUTED_VALUE"""),"SHREE RAM ENTERPRISES BHIWANI B")</f>
        <v>SHREE RAM ENTERPRISES BHIWANI B</v>
      </c>
      <c r="E55" s="16" t="str">
        <f>IFERROR(__xludf.DUMMYFUNCTION("""COMPUTED_VALUE"""),"")</f>
        <v/>
      </c>
      <c r="F55" s="16" t="str">
        <f>IFERROR(__xludf.DUMMYFUNCTION("""COMPUTED_VALUE"""),"S/24-25/654")</f>
        <v>S/24-25/654</v>
      </c>
      <c r="G55" s="18">
        <f>IFERROR(__xludf.DUMMYFUNCTION("""COMPUTED_VALUE"""),45668.0)</f>
        <v>45668</v>
      </c>
      <c r="H55" s="16" t="s">
        <v>85</v>
      </c>
      <c r="I55" s="16" t="s">
        <v>86</v>
      </c>
      <c r="J55" s="19">
        <f>IFERROR(__xludf.DUMMYFUNCTION("""COMPUTED_VALUE"""),8.903331863615E12)</f>
        <v>8903331863615</v>
      </c>
      <c r="K55" s="16" t="str">
        <f>IFERROR(__xludf.DUMMYFUNCTION("""COMPUTED_VALUE"""),"KZ00219 BEIGE")</f>
        <v>KZ00219 BEIGE</v>
      </c>
      <c r="L55" s="16" t="str">
        <f>IFERROR(__xludf.DUMMYFUNCTION("""COMPUTED_VALUE"""),"KZ00219 BEIGE")</f>
        <v>KZ00219 BEIGE</v>
      </c>
      <c r="M55" s="16" t="str">
        <f>IFERROR(__xludf.DUMMYFUNCTION("""COMPUTED_VALUE"""),"L")</f>
        <v>L</v>
      </c>
      <c r="N55" s="19">
        <f>IFERROR(__xludf.DUMMYFUNCTION("""COMPUTED_VALUE"""),1.0)</f>
        <v>1</v>
      </c>
      <c r="O55" s="19">
        <f>IFERROR(__xludf.DUMMYFUNCTION("""COMPUTED_VALUE"""),1890.0)</f>
        <v>1890</v>
      </c>
      <c r="P55" s="19">
        <f>IFERROR(__xludf.DUMMYFUNCTION("""COMPUTED_VALUE"""),1890.0)</f>
        <v>1890</v>
      </c>
      <c r="Q55" s="19">
        <f>IFERROR(__xludf.DUMMYFUNCTION("""COMPUTED_VALUE"""),0.0)</f>
        <v>0</v>
      </c>
      <c r="R55" s="19">
        <f>IFERROR(__xludf.DUMMYFUNCTION("""COMPUTED_VALUE"""),945.0)</f>
        <v>945</v>
      </c>
      <c r="S55" s="19">
        <f>IFERROR(__xludf.DUMMYFUNCTION("""COMPUTED_VALUE"""),945.0)</f>
        <v>945</v>
      </c>
      <c r="T55" s="19">
        <f>IFERROR(__xludf.DUMMYFUNCTION("""COMPUTED_VALUE"""),945.0)</f>
        <v>945</v>
      </c>
      <c r="U55" s="16">
        <v>0.0</v>
      </c>
      <c r="V55" s="16" t="str">
        <f>IFERROR(__xludf.DUMMYFUNCTION("""COMPUTED_VALUE"""),"Apparel")</f>
        <v>Apparel</v>
      </c>
      <c r="W55" s="16" t="str">
        <f>IFERROR(__xludf.DUMMYFUNCTION("""COMPUTED_VALUE"""),"Female")</f>
        <v>Female</v>
      </c>
      <c r="X55" s="16" t="str">
        <f>IFERROR(__xludf.DUMMYFUNCTION("""COMPUTED_VALUE"""),"Top")</f>
        <v>Top</v>
      </c>
      <c r="AB55" s="16" t="str">
        <f>IFERROR(__xludf.DUMMYFUNCTION("""COMPUTED_VALUE"""),"EOSS: B1G30%,B2G40%, B3G50%")</f>
        <v>EOSS: B1G30%,B2G40%, B3G50%</v>
      </c>
      <c r="AC55" s="16" t="str">
        <f>IFERROR(__xludf.DUMMYFUNCTION("""COMPUTED_VALUE"""),"AW23")</f>
        <v>AW23</v>
      </c>
    </row>
    <row r="56">
      <c r="A56" s="16" t="s">
        <v>84</v>
      </c>
      <c r="C56" s="16" t="str">
        <f>IFERROR(__xludf.DUMMYFUNCTION("""COMPUTED_VALUE"""),"SHREE RAM ENTERPRISES BHIWANI B")</f>
        <v>SHREE RAM ENTERPRISES BHIWANI B</v>
      </c>
      <c r="D56" s="16" t="str">
        <f>IFERROR(__xludf.DUMMYFUNCTION("""COMPUTED_VALUE"""),"SHREE RAM ENTERPRISES BHIWANI B")</f>
        <v>SHREE RAM ENTERPRISES BHIWANI B</v>
      </c>
      <c r="E56" s="16" t="str">
        <f>IFERROR(__xludf.DUMMYFUNCTION("""COMPUTED_VALUE"""),"")</f>
        <v/>
      </c>
      <c r="F56" s="16" t="str">
        <f>IFERROR(__xludf.DUMMYFUNCTION("""COMPUTED_VALUE"""),"S/24-25/654")</f>
        <v>S/24-25/654</v>
      </c>
      <c r="G56" s="18">
        <f>IFERROR(__xludf.DUMMYFUNCTION("""COMPUTED_VALUE"""),45668.0)</f>
        <v>45668</v>
      </c>
      <c r="H56" s="16" t="s">
        <v>85</v>
      </c>
      <c r="I56" s="16" t="s">
        <v>86</v>
      </c>
      <c r="J56" s="19">
        <f>IFERROR(__xludf.DUMMYFUNCTION("""COMPUTED_VALUE"""),8.903331863868E12)</f>
        <v>8903331863868</v>
      </c>
      <c r="K56" s="16" t="str">
        <f>IFERROR(__xludf.DUMMYFUNCTION("""COMPUTED_VALUE"""),"KZ00254 BEIGE")</f>
        <v>KZ00254 BEIGE</v>
      </c>
      <c r="L56" s="16" t="str">
        <f>IFERROR(__xludf.DUMMYFUNCTION("""COMPUTED_VALUE"""),"KZ00254 BEIGE")</f>
        <v>KZ00254 BEIGE</v>
      </c>
      <c r="M56" s="16" t="str">
        <f>IFERROR(__xludf.DUMMYFUNCTION("""COMPUTED_VALUE"""),"M")</f>
        <v>M</v>
      </c>
      <c r="N56" s="19">
        <f>IFERROR(__xludf.DUMMYFUNCTION("""COMPUTED_VALUE"""),1.0)</f>
        <v>1</v>
      </c>
      <c r="O56" s="19">
        <f>IFERROR(__xludf.DUMMYFUNCTION("""COMPUTED_VALUE"""),1790.0)</f>
        <v>1790</v>
      </c>
      <c r="P56" s="19">
        <f>IFERROR(__xludf.DUMMYFUNCTION("""COMPUTED_VALUE"""),1790.0)</f>
        <v>1790</v>
      </c>
      <c r="Q56" s="19">
        <f>IFERROR(__xludf.DUMMYFUNCTION("""COMPUTED_VALUE"""),0.0)</f>
        <v>0</v>
      </c>
      <c r="R56" s="19">
        <f>IFERROR(__xludf.DUMMYFUNCTION("""COMPUTED_VALUE"""),895.0)</f>
        <v>895</v>
      </c>
      <c r="S56" s="19">
        <f>IFERROR(__xludf.DUMMYFUNCTION("""COMPUTED_VALUE"""),895.0)</f>
        <v>895</v>
      </c>
      <c r="T56" s="19">
        <f>IFERROR(__xludf.DUMMYFUNCTION("""COMPUTED_VALUE"""),895.0)</f>
        <v>895</v>
      </c>
      <c r="U56" s="16">
        <v>0.0</v>
      </c>
      <c r="V56" s="16" t="str">
        <f>IFERROR(__xludf.DUMMYFUNCTION("""COMPUTED_VALUE"""),"Apparel")</f>
        <v>Apparel</v>
      </c>
      <c r="W56" s="16" t="str">
        <f>IFERROR(__xludf.DUMMYFUNCTION("""COMPUTED_VALUE"""),"Female")</f>
        <v>Female</v>
      </c>
      <c r="X56" s="16" t="str">
        <f>IFERROR(__xludf.DUMMYFUNCTION("""COMPUTED_VALUE"""),"Shirt")</f>
        <v>Shirt</v>
      </c>
      <c r="AB56" s="16" t="str">
        <f>IFERROR(__xludf.DUMMYFUNCTION("""COMPUTED_VALUE"""),"EOSS: B1G30%,B2G40%, B3G50%")</f>
        <v>EOSS: B1G30%,B2G40%, B3G50%</v>
      </c>
      <c r="AC56" s="16" t="str">
        <f>IFERROR(__xludf.DUMMYFUNCTION("""COMPUTED_VALUE"""),"AW23")</f>
        <v>AW23</v>
      </c>
    </row>
    <row r="57">
      <c r="A57" s="16" t="s">
        <v>84</v>
      </c>
      <c r="C57" s="16" t="str">
        <f>IFERROR(__xludf.DUMMYFUNCTION("""COMPUTED_VALUE"""),"SHREE RAM ENTERPRISES BHIWANI B")</f>
        <v>SHREE RAM ENTERPRISES BHIWANI B</v>
      </c>
      <c r="D57" s="16" t="str">
        <f>IFERROR(__xludf.DUMMYFUNCTION("""COMPUTED_VALUE"""),"SHREE RAM ENTERPRISES BHIWANI B")</f>
        <v>SHREE RAM ENTERPRISES BHIWANI B</v>
      </c>
      <c r="E57" s="16" t="str">
        <f>IFERROR(__xludf.DUMMYFUNCTION("""COMPUTED_VALUE"""),"")</f>
        <v/>
      </c>
      <c r="F57" s="16" t="str">
        <f>IFERROR(__xludf.DUMMYFUNCTION("""COMPUTED_VALUE"""),"S/24-25/846")</f>
        <v>S/24-25/846</v>
      </c>
      <c r="G57" s="18">
        <f>IFERROR(__xludf.DUMMYFUNCTION("""COMPUTED_VALUE"""),45688.0)</f>
        <v>45688</v>
      </c>
      <c r="H57" s="16" t="s">
        <v>85</v>
      </c>
      <c r="I57" s="16" t="s">
        <v>86</v>
      </c>
      <c r="J57" s="19">
        <f>IFERROR(__xludf.DUMMYFUNCTION("""COMPUTED_VALUE"""),8.903331863882E12)</f>
        <v>8903331863882</v>
      </c>
      <c r="K57" s="16" t="str">
        <f>IFERROR(__xludf.DUMMYFUNCTION("""COMPUTED_VALUE"""),"KZ00254 BEIGE")</f>
        <v>KZ00254 BEIGE</v>
      </c>
      <c r="L57" s="16" t="str">
        <f>IFERROR(__xludf.DUMMYFUNCTION("""COMPUTED_VALUE"""),"KZ00254 BEIGE")</f>
        <v>KZ00254 BEIGE</v>
      </c>
      <c r="M57" s="16" t="str">
        <f>IFERROR(__xludf.DUMMYFUNCTION("""COMPUTED_VALUE"""),"XL")</f>
        <v>XL</v>
      </c>
      <c r="N57" s="19">
        <f>IFERROR(__xludf.DUMMYFUNCTION("""COMPUTED_VALUE"""),1.0)</f>
        <v>1</v>
      </c>
      <c r="O57" s="19">
        <f>IFERROR(__xludf.DUMMYFUNCTION("""COMPUTED_VALUE"""),1790.0)</f>
        <v>1790</v>
      </c>
      <c r="P57" s="19">
        <f>IFERROR(__xludf.DUMMYFUNCTION("""COMPUTED_VALUE"""),1790.0)</f>
        <v>1790</v>
      </c>
      <c r="Q57" s="19">
        <f>IFERROR(__xludf.DUMMYFUNCTION("""COMPUTED_VALUE"""),0.0)</f>
        <v>0</v>
      </c>
      <c r="R57" s="19">
        <f>IFERROR(__xludf.DUMMYFUNCTION("""COMPUTED_VALUE"""),537.0)</f>
        <v>537</v>
      </c>
      <c r="S57" s="19">
        <f>IFERROR(__xludf.DUMMYFUNCTION("""COMPUTED_VALUE"""),537.0)</f>
        <v>537</v>
      </c>
      <c r="T57" s="19">
        <f>IFERROR(__xludf.DUMMYFUNCTION("""COMPUTED_VALUE"""),1253.0)</f>
        <v>1253</v>
      </c>
      <c r="U57" s="16">
        <v>0.0</v>
      </c>
      <c r="V57" s="16" t="str">
        <f>IFERROR(__xludf.DUMMYFUNCTION("""COMPUTED_VALUE"""),"Apparel")</f>
        <v>Apparel</v>
      </c>
      <c r="W57" s="16" t="str">
        <f>IFERROR(__xludf.DUMMYFUNCTION("""COMPUTED_VALUE"""),"Female")</f>
        <v>Female</v>
      </c>
      <c r="X57" s="16" t="str">
        <f>IFERROR(__xludf.DUMMYFUNCTION("""COMPUTED_VALUE"""),"Shirt")</f>
        <v>Shirt</v>
      </c>
      <c r="AB57" s="16" t="str">
        <f>IFERROR(__xludf.DUMMYFUNCTION("""COMPUTED_VALUE"""),"Flat50%")</f>
        <v>Flat50%</v>
      </c>
      <c r="AC57" s="16" t="str">
        <f>IFERROR(__xludf.DUMMYFUNCTION("""COMPUTED_VALUE"""),"AW23")</f>
        <v>AW23</v>
      </c>
    </row>
    <row r="58">
      <c r="A58" s="16" t="s">
        <v>84</v>
      </c>
      <c r="C58" s="16" t="str">
        <f>IFERROR(__xludf.DUMMYFUNCTION("""COMPUTED_VALUE"""),"#N/A")</f>
        <v>#N/A</v>
      </c>
      <c r="D58" s="16" t="str">
        <f>IFERROR(__xludf.DUMMYFUNCTION("""COMPUTED_VALUE"""),"#N/A")</f>
        <v>#N/A</v>
      </c>
      <c r="E58" s="16" t="str">
        <f>IFERROR(__xludf.DUMMYFUNCTION("""COMPUTED_VALUE"""),"")</f>
        <v/>
      </c>
      <c r="F58" s="16" t="str">
        <f>IFERROR(__xludf.DUMMYFUNCTION("""COMPUTED_VALUE"""),"#N/A")</f>
        <v>#N/A</v>
      </c>
      <c r="G58" s="18"/>
      <c r="H58" s="16" t="s">
        <v>87</v>
      </c>
      <c r="I58" s="16" t="s">
        <v>87</v>
      </c>
      <c r="J58" s="19"/>
      <c r="K58" s="16" t="str">
        <f>IFERROR(__xludf.DUMMYFUNCTION("""COMPUTED_VALUE"""),"#N/A")</f>
        <v>#N/A</v>
      </c>
      <c r="L58" s="16" t="str">
        <f>IFERROR(__xludf.DUMMYFUNCTION("""COMPUTED_VALUE"""),"")</f>
        <v/>
      </c>
      <c r="M58" s="16" t="str">
        <f>IFERROR(__xludf.DUMMYFUNCTION("""COMPUTED_VALUE"""),"")</f>
        <v/>
      </c>
      <c r="U58" s="16" t="s">
        <v>87</v>
      </c>
      <c r="V58" s="16" t="str">
        <f>IFERROR(__xludf.DUMMYFUNCTION("""COMPUTED_VALUE"""),"")</f>
        <v/>
      </c>
      <c r="W58" s="16" t="str">
        <f>IFERROR(__xludf.DUMMYFUNCTION("""COMPUTED_VALUE"""),"")</f>
        <v/>
      </c>
      <c r="X58" s="16" t="str">
        <f>IFERROR(__xludf.DUMMYFUNCTION("""COMPUTED_VALUE"""),"")</f>
        <v/>
      </c>
      <c r="AC58" s="16" t="str">
        <f>IFERROR(__xludf.DUMMYFUNCTION("""COMPUTED_VALUE"""),"")</f>
        <v/>
      </c>
    </row>
    <row r="59">
      <c r="A59" s="16" t="s">
        <v>84</v>
      </c>
      <c r="C59" s="16" t="str">
        <f>IFERROR(__xludf.DUMMYFUNCTION("""COMPUTED_VALUE"""),"#N/A")</f>
        <v>#N/A</v>
      </c>
      <c r="D59" s="16" t="str">
        <f>IFERROR(__xludf.DUMMYFUNCTION("""COMPUTED_VALUE"""),"#N/A")</f>
        <v>#N/A</v>
      </c>
      <c r="E59" s="16" t="str">
        <f>IFERROR(__xludf.DUMMYFUNCTION("""COMPUTED_VALUE"""),"")</f>
        <v/>
      </c>
      <c r="F59" s="16" t="str">
        <f>IFERROR(__xludf.DUMMYFUNCTION("""COMPUTED_VALUE"""),"#N/A")</f>
        <v>#N/A</v>
      </c>
      <c r="G59" s="18"/>
      <c r="H59" s="16" t="s">
        <v>87</v>
      </c>
      <c r="I59" s="16" t="s">
        <v>87</v>
      </c>
      <c r="J59" s="19"/>
      <c r="K59" s="16" t="str">
        <f>IFERROR(__xludf.DUMMYFUNCTION("""COMPUTED_VALUE"""),"#N/A")</f>
        <v>#N/A</v>
      </c>
      <c r="L59" s="16" t="str">
        <f>IFERROR(__xludf.DUMMYFUNCTION("""COMPUTED_VALUE"""),"")</f>
        <v/>
      </c>
      <c r="M59" s="16" t="str">
        <f>IFERROR(__xludf.DUMMYFUNCTION("""COMPUTED_VALUE"""),"")</f>
        <v/>
      </c>
      <c r="U59" s="16" t="s">
        <v>87</v>
      </c>
      <c r="V59" s="16" t="str">
        <f>IFERROR(__xludf.DUMMYFUNCTION("""COMPUTED_VALUE"""),"")</f>
        <v/>
      </c>
      <c r="W59" s="16" t="str">
        <f>IFERROR(__xludf.DUMMYFUNCTION("""COMPUTED_VALUE"""),"")</f>
        <v/>
      </c>
      <c r="X59" s="16" t="str">
        <f>IFERROR(__xludf.DUMMYFUNCTION("""COMPUTED_VALUE"""),"")</f>
        <v/>
      </c>
      <c r="AC59" s="16" t="str">
        <f>IFERROR(__xludf.DUMMYFUNCTION("""COMPUTED_VALUE"""),"")</f>
        <v/>
      </c>
    </row>
    <row r="60">
      <c r="A60" s="16" t="s">
        <v>84</v>
      </c>
      <c r="C60" s="16" t="str">
        <f>IFERROR(__xludf.DUMMYFUNCTION("""COMPUTED_VALUE"""),"#N/A")</f>
        <v>#N/A</v>
      </c>
      <c r="D60" s="16" t="str">
        <f>IFERROR(__xludf.DUMMYFUNCTION("""COMPUTED_VALUE"""),"#N/A")</f>
        <v>#N/A</v>
      </c>
      <c r="E60" s="16" t="str">
        <f>IFERROR(__xludf.DUMMYFUNCTION("""COMPUTED_VALUE"""),"")</f>
        <v/>
      </c>
      <c r="F60" s="16" t="str">
        <f>IFERROR(__xludf.DUMMYFUNCTION("""COMPUTED_VALUE"""),"#N/A")</f>
        <v>#N/A</v>
      </c>
      <c r="G60" s="18"/>
      <c r="H60" s="16" t="s">
        <v>87</v>
      </c>
      <c r="I60" s="16" t="s">
        <v>87</v>
      </c>
      <c r="J60" s="19"/>
      <c r="K60" s="16" t="str">
        <f>IFERROR(__xludf.DUMMYFUNCTION("""COMPUTED_VALUE"""),"#N/A")</f>
        <v>#N/A</v>
      </c>
      <c r="L60" s="16" t="str">
        <f>IFERROR(__xludf.DUMMYFUNCTION("""COMPUTED_VALUE"""),"")</f>
        <v/>
      </c>
      <c r="M60" s="16" t="str">
        <f>IFERROR(__xludf.DUMMYFUNCTION("""COMPUTED_VALUE"""),"")</f>
        <v/>
      </c>
      <c r="U60" s="16" t="s">
        <v>87</v>
      </c>
      <c r="V60" s="16" t="str">
        <f>IFERROR(__xludf.DUMMYFUNCTION("""COMPUTED_VALUE"""),"")</f>
        <v/>
      </c>
      <c r="W60" s="16" t="str">
        <f>IFERROR(__xludf.DUMMYFUNCTION("""COMPUTED_VALUE"""),"")</f>
        <v/>
      </c>
      <c r="X60" s="16" t="str">
        <f>IFERROR(__xludf.DUMMYFUNCTION("""COMPUTED_VALUE"""),"")</f>
        <v/>
      </c>
      <c r="AC60" s="16" t="str">
        <f>IFERROR(__xludf.DUMMYFUNCTION("""COMPUTED_VALUE"""),"")</f>
        <v/>
      </c>
    </row>
    <row r="61">
      <c r="A61" s="16" t="s">
        <v>84</v>
      </c>
      <c r="C61" s="16" t="str">
        <f>IFERROR(__xludf.DUMMYFUNCTION("""COMPUTED_VALUE"""),"#N/A")</f>
        <v>#N/A</v>
      </c>
      <c r="D61" s="16" t="str">
        <f>IFERROR(__xludf.DUMMYFUNCTION("""COMPUTED_VALUE"""),"#N/A")</f>
        <v>#N/A</v>
      </c>
      <c r="E61" s="16" t="str">
        <f>IFERROR(__xludf.DUMMYFUNCTION("""COMPUTED_VALUE"""),"")</f>
        <v/>
      </c>
      <c r="F61" s="16" t="str">
        <f>IFERROR(__xludf.DUMMYFUNCTION("""COMPUTED_VALUE"""),"#N/A")</f>
        <v>#N/A</v>
      </c>
      <c r="G61" s="18"/>
      <c r="H61" s="16" t="s">
        <v>87</v>
      </c>
      <c r="I61" s="16" t="s">
        <v>87</v>
      </c>
      <c r="J61" s="19"/>
      <c r="K61" s="16" t="str">
        <f>IFERROR(__xludf.DUMMYFUNCTION("""COMPUTED_VALUE"""),"#N/A")</f>
        <v>#N/A</v>
      </c>
      <c r="L61" s="16" t="str">
        <f>IFERROR(__xludf.DUMMYFUNCTION("""COMPUTED_VALUE"""),"")</f>
        <v/>
      </c>
      <c r="M61" s="16" t="str">
        <f>IFERROR(__xludf.DUMMYFUNCTION("""COMPUTED_VALUE"""),"")</f>
        <v/>
      </c>
      <c r="U61" s="16" t="s">
        <v>87</v>
      </c>
      <c r="V61" s="16" t="str">
        <f>IFERROR(__xludf.DUMMYFUNCTION("""COMPUTED_VALUE"""),"")</f>
        <v/>
      </c>
      <c r="W61" s="16" t="str">
        <f>IFERROR(__xludf.DUMMYFUNCTION("""COMPUTED_VALUE"""),"")</f>
        <v/>
      </c>
      <c r="X61" s="16" t="str">
        <f>IFERROR(__xludf.DUMMYFUNCTION("""COMPUTED_VALUE"""),"")</f>
        <v/>
      </c>
      <c r="AC61" s="16" t="str">
        <f>IFERROR(__xludf.DUMMYFUNCTION("""COMPUTED_VALUE"""),"")</f>
        <v/>
      </c>
    </row>
    <row r="62">
      <c r="A62" s="16" t="s">
        <v>84</v>
      </c>
      <c r="C62" s="16" t="str">
        <f>IFERROR(__xludf.DUMMYFUNCTION("""COMPUTED_VALUE"""),"#N/A")</f>
        <v>#N/A</v>
      </c>
      <c r="D62" s="16" t="str">
        <f>IFERROR(__xludf.DUMMYFUNCTION("""COMPUTED_VALUE"""),"#N/A")</f>
        <v>#N/A</v>
      </c>
      <c r="E62" s="16" t="str">
        <f>IFERROR(__xludf.DUMMYFUNCTION("""COMPUTED_VALUE"""),"")</f>
        <v/>
      </c>
      <c r="F62" s="16" t="str">
        <f>IFERROR(__xludf.DUMMYFUNCTION("""COMPUTED_VALUE"""),"#N/A")</f>
        <v>#N/A</v>
      </c>
      <c r="G62" s="18"/>
      <c r="H62" s="16" t="s">
        <v>87</v>
      </c>
      <c r="I62" s="16" t="s">
        <v>87</v>
      </c>
      <c r="J62" s="19"/>
      <c r="K62" s="16" t="str">
        <f>IFERROR(__xludf.DUMMYFUNCTION("""COMPUTED_VALUE"""),"#N/A")</f>
        <v>#N/A</v>
      </c>
      <c r="L62" s="16" t="str">
        <f>IFERROR(__xludf.DUMMYFUNCTION("""COMPUTED_VALUE"""),"")</f>
        <v/>
      </c>
      <c r="M62" s="16" t="str">
        <f>IFERROR(__xludf.DUMMYFUNCTION("""COMPUTED_VALUE"""),"")</f>
        <v/>
      </c>
      <c r="U62" s="16" t="s">
        <v>87</v>
      </c>
      <c r="V62" s="16" t="str">
        <f>IFERROR(__xludf.DUMMYFUNCTION("""COMPUTED_VALUE"""),"")</f>
        <v/>
      </c>
      <c r="W62" s="16" t="str">
        <f>IFERROR(__xludf.DUMMYFUNCTION("""COMPUTED_VALUE"""),"")</f>
        <v/>
      </c>
      <c r="X62" s="16" t="str">
        <f>IFERROR(__xludf.DUMMYFUNCTION("""COMPUTED_VALUE"""),"")</f>
        <v/>
      </c>
      <c r="AC62" s="16" t="str">
        <f>IFERROR(__xludf.DUMMYFUNCTION("""COMPUTED_VALUE"""),"")</f>
        <v/>
      </c>
    </row>
    <row r="63">
      <c r="A63" s="16" t="s">
        <v>84</v>
      </c>
      <c r="C63" s="16" t="str">
        <f>IFERROR(__xludf.DUMMYFUNCTION("""COMPUTED_VALUE"""),"#N/A")</f>
        <v>#N/A</v>
      </c>
      <c r="D63" s="16" t="str">
        <f>IFERROR(__xludf.DUMMYFUNCTION("""COMPUTED_VALUE"""),"#N/A")</f>
        <v>#N/A</v>
      </c>
      <c r="E63" s="16" t="str">
        <f>IFERROR(__xludf.DUMMYFUNCTION("""COMPUTED_VALUE"""),"")</f>
        <v/>
      </c>
      <c r="F63" s="16" t="str">
        <f>IFERROR(__xludf.DUMMYFUNCTION("""COMPUTED_VALUE"""),"#N/A")</f>
        <v>#N/A</v>
      </c>
      <c r="G63" s="18"/>
      <c r="H63" s="16" t="s">
        <v>87</v>
      </c>
      <c r="I63" s="16" t="s">
        <v>87</v>
      </c>
      <c r="J63" s="19"/>
      <c r="K63" s="16" t="str">
        <f>IFERROR(__xludf.DUMMYFUNCTION("""COMPUTED_VALUE"""),"#N/A")</f>
        <v>#N/A</v>
      </c>
      <c r="L63" s="16" t="str">
        <f>IFERROR(__xludf.DUMMYFUNCTION("""COMPUTED_VALUE"""),"")</f>
        <v/>
      </c>
      <c r="M63" s="16" t="str">
        <f>IFERROR(__xludf.DUMMYFUNCTION("""COMPUTED_VALUE"""),"")</f>
        <v/>
      </c>
      <c r="U63" s="16" t="s">
        <v>87</v>
      </c>
      <c r="V63" s="16" t="str">
        <f>IFERROR(__xludf.DUMMYFUNCTION("""COMPUTED_VALUE"""),"")</f>
        <v/>
      </c>
      <c r="W63" s="16" t="str">
        <f>IFERROR(__xludf.DUMMYFUNCTION("""COMPUTED_VALUE"""),"")</f>
        <v/>
      </c>
      <c r="X63" s="16" t="str">
        <f>IFERROR(__xludf.DUMMYFUNCTION("""COMPUTED_VALUE"""),"")</f>
        <v/>
      </c>
      <c r="AC63" s="16" t="str">
        <f>IFERROR(__xludf.DUMMYFUNCTION("""COMPUTED_VALUE"""),"")</f>
        <v/>
      </c>
    </row>
    <row r="64">
      <c r="A64" s="16" t="s">
        <v>84</v>
      </c>
      <c r="C64" s="16" t="str">
        <f>IFERROR(__xludf.DUMMYFUNCTION("""COMPUTED_VALUE"""),"#N/A")</f>
        <v>#N/A</v>
      </c>
      <c r="D64" s="16" t="str">
        <f>IFERROR(__xludf.DUMMYFUNCTION("""COMPUTED_VALUE"""),"#N/A")</f>
        <v>#N/A</v>
      </c>
      <c r="E64" s="16" t="str">
        <f>IFERROR(__xludf.DUMMYFUNCTION("""COMPUTED_VALUE"""),"")</f>
        <v/>
      </c>
      <c r="F64" s="16" t="str">
        <f>IFERROR(__xludf.DUMMYFUNCTION("""COMPUTED_VALUE"""),"#N/A")</f>
        <v>#N/A</v>
      </c>
      <c r="G64" s="18"/>
      <c r="H64" s="16" t="s">
        <v>87</v>
      </c>
      <c r="I64" s="16" t="s">
        <v>87</v>
      </c>
      <c r="J64" s="19"/>
      <c r="K64" s="16" t="str">
        <f>IFERROR(__xludf.DUMMYFUNCTION("""COMPUTED_VALUE"""),"#N/A")</f>
        <v>#N/A</v>
      </c>
      <c r="L64" s="16" t="str">
        <f>IFERROR(__xludf.DUMMYFUNCTION("""COMPUTED_VALUE"""),"")</f>
        <v/>
      </c>
      <c r="M64" s="16" t="str">
        <f>IFERROR(__xludf.DUMMYFUNCTION("""COMPUTED_VALUE"""),"")</f>
        <v/>
      </c>
      <c r="U64" s="16" t="s">
        <v>87</v>
      </c>
      <c r="V64" s="16" t="str">
        <f>IFERROR(__xludf.DUMMYFUNCTION("""COMPUTED_VALUE"""),"")</f>
        <v/>
      </c>
      <c r="W64" s="16" t="str">
        <f>IFERROR(__xludf.DUMMYFUNCTION("""COMPUTED_VALUE"""),"")</f>
        <v/>
      </c>
      <c r="X64" s="16" t="str">
        <f>IFERROR(__xludf.DUMMYFUNCTION("""COMPUTED_VALUE"""),"")</f>
        <v/>
      </c>
      <c r="AC64" s="16" t="str">
        <f>IFERROR(__xludf.DUMMYFUNCTION("""COMPUTED_VALUE"""),"")</f>
        <v/>
      </c>
    </row>
    <row r="65">
      <c r="A65" s="16" t="s">
        <v>84</v>
      </c>
      <c r="C65" s="16" t="str">
        <f>IFERROR(__xludf.DUMMYFUNCTION("""COMPUTED_VALUE"""),"#N/A")</f>
        <v>#N/A</v>
      </c>
      <c r="D65" s="16" t="str">
        <f>IFERROR(__xludf.DUMMYFUNCTION("""COMPUTED_VALUE"""),"#N/A")</f>
        <v>#N/A</v>
      </c>
      <c r="E65" s="16" t="str">
        <f>IFERROR(__xludf.DUMMYFUNCTION("""COMPUTED_VALUE"""),"")</f>
        <v/>
      </c>
      <c r="F65" s="16" t="str">
        <f>IFERROR(__xludf.DUMMYFUNCTION("""COMPUTED_VALUE"""),"#N/A")</f>
        <v>#N/A</v>
      </c>
      <c r="G65" s="18"/>
      <c r="H65" s="16" t="s">
        <v>87</v>
      </c>
      <c r="I65" s="16" t="s">
        <v>87</v>
      </c>
      <c r="J65" s="19"/>
      <c r="K65" s="16" t="str">
        <f>IFERROR(__xludf.DUMMYFUNCTION("""COMPUTED_VALUE"""),"#N/A")</f>
        <v>#N/A</v>
      </c>
      <c r="L65" s="16" t="str">
        <f>IFERROR(__xludf.DUMMYFUNCTION("""COMPUTED_VALUE"""),"")</f>
        <v/>
      </c>
      <c r="M65" s="16" t="str">
        <f>IFERROR(__xludf.DUMMYFUNCTION("""COMPUTED_VALUE"""),"")</f>
        <v/>
      </c>
      <c r="U65" s="16" t="s">
        <v>87</v>
      </c>
      <c r="V65" s="16" t="str">
        <f>IFERROR(__xludf.DUMMYFUNCTION("""COMPUTED_VALUE"""),"")</f>
        <v/>
      </c>
      <c r="W65" s="16" t="str">
        <f>IFERROR(__xludf.DUMMYFUNCTION("""COMPUTED_VALUE"""),"")</f>
        <v/>
      </c>
      <c r="X65" s="16" t="str">
        <f>IFERROR(__xludf.DUMMYFUNCTION("""COMPUTED_VALUE"""),"")</f>
        <v/>
      </c>
      <c r="AC65" s="16" t="str">
        <f>IFERROR(__xludf.DUMMYFUNCTION("""COMPUTED_VALUE"""),"")</f>
        <v/>
      </c>
    </row>
    <row r="66">
      <c r="A66" s="16" t="s">
        <v>84</v>
      </c>
      <c r="C66" s="16" t="str">
        <f>IFERROR(__xludf.DUMMYFUNCTION("""COMPUTED_VALUE"""),"#N/A")</f>
        <v>#N/A</v>
      </c>
      <c r="D66" s="16" t="str">
        <f>IFERROR(__xludf.DUMMYFUNCTION("""COMPUTED_VALUE"""),"#N/A")</f>
        <v>#N/A</v>
      </c>
      <c r="E66" s="16" t="str">
        <f>IFERROR(__xludf.DUMMYFUNCTION("""COMPUTED_VALUE"""),"")</f>
        <v/>
      </c>
      <c r="F66" s="16" t="str">
        <f>IFERROR(__xludf.DUMMYFUNCTION("""COMPUTED_VALUE"""),"#N/A")</f>
        <v>#N/A</v>
      </c>
      <c r="G66" s="18"/>
      <c r="H66" s="16" t="s">
        <v>87</v>
      </c>
      <c r="I66" s="16" t="s">
        <v>87</v>
      </c>
      <c r="J66" s="19"/>
      <c r="K66" s="16" t="str">
        <f>IFERROR(__xludf.DUMMYFUNCTION("""COMPUTED_VALUE"""),"#N/A")</f>
        <v>#N/A</v>
      </c>
      <c r="L66" s="16" t="str">
        <f>IFERROR(__xludf.DUMMYFUNCTION("""COMPUTED_VALUE"""),"")</f>
        <v/>
      </c>
      <c r="M66" s="16" t="str">
        <f>IFERROR(__xludf.DUMMYFUNCTION("""COMPUTED_VALUE"""),"")</f>
        <v/>
      </c>
      <c r="U66" s="16" t="s">
        <v>87</v>
      </c>
      <c r="V66" s="16" t="str">
        <f>IFERROR(__xludf.DUMMYFUNCTION("""COMPUTED_VALUE"""),"")</f>
        <v/>
      </c>
      <c r="W66" s="16" t="str">
        <f>IFERROR(__xludf.DUMMYFUNCTION("""COMPUTED_VALUE"""),"")</f>
        <v/>
      </c>
      <c r="X66" s="16" t="str">
        <f>IFERROR(__xludf.DUMMYFUNCTION("""COMPUTED_VALUE"""),"")</f>
        <v/>
      </c>
      <c r="AC66" s="16" t="str">
        <f>IFERROR(__xludf.DUMMYFUNCTION("""COMPUTED_VALUE"""),"")</f>
        <v/>
      </c>
    </row>
    <row r="67">
      <c r="A67" s="16" t="s">
        <v>84</v>
      </c>
      <c r="C67" s="16" t="str">
        <f>IFERROR(__xludf.DUMMYFUNCTION("""COMPUTED_VALUE"""),"#N/A")</f>
        <v>#N/A</v>
      </c>
      <c r="D67" s="16" t="str">
        <f>IFERROR(__xludf.DUMMYFUNCTION("""COMPUTED_VALUE"""),"#N/A")</f>
        <v>#N/A</v>
      </c>
      <c r="E67" s="16" t="str">
        <f>IFERROR(__xludf.DUMMYFUNCTION("""COMPUTED_VALUE"""),"")</f>
        <v/>
      </c>
      <c r="F67" s="16" t="str">
        <f>IFERROR(__xludf.DUMMYFUNCTION("""COMPUTED_VALUE"""),"#N/A")</f>
        <v>#N/A</v>
      </c>
      <c r="G67" s="18"/>
      <c r="H67" s="16" t="s">
        <v>87</v>
      </c>
      <c r="I67" s="16" t="s">
        <v>87</v>
      </c>
      <c r="J67" s="19"/>
      <c r="K67" s="16" t="str">
        <f>IFERROR(__xludf.DUMMYFUNCTION("""COMPUTED_VALUE"""),"#N/A")</f>
        <v>#N/A</v>
      </c>
      <c r="L67" s="16" t="str">
        <f>IFERROR(__xludf.DUMMYFUNCTION("""COMPUTED_VALUE"""),"")</f>
        <v/>
      </c>
      <c r="M67" s="16" t="str">
        <f>IFERROR(__xludf.DUMMYFUNCTION("""COMPUTED_VALUE"""),"")</f>
        <v/>
      </c>
      <c r="U67" s="16" t="s">
        <v>87</v>
      </c>
      <c r="V67" s="16" t="str">
        <f>IFERROR(__xludf.DUMMYFUNCTION("""COMPUTED_VALUE"""),"")</f>
        <v/>
      </c>
      <c r="W67" s="16" t="str">
        <f>IFERROR(__xludf.DUMMYFUNCTION("""COMPUTED_VALUE"""),"")</f>
        <v/>
      </c>
      <c r="X67" s="16" t="str">
        <f>IFERROR(__xludf.DUMMYFUNCTION("""COMPUTED_VALUE"""),"")</f>
        <v/>
      </c>
      <c r="AC67" s="16" t="str">
        <f>IFERROR(__xludf.DUMMYFUNCTION("""COMPUTED_VALUE"""),"")</f>
        <v/>
      </c>
    </row>
    <row r="68">
      <c r="A68" s="16" t="s">
        <v>84</v>
      </c>
      <c r="C68" s="16" t="str">
        <f>IFERROR(__xludf.DUMMYFUNCTION("""COMPUTED_VALUE"""),"#N/A")</f>
        <v>#N/A</v>
      </c>
      <c r="D68" s="16" t="str">
        <f>IFERROR(__xludf.DUMMYFUNCTION("""COMPUTED_VALUE"""),"#N/A")</f>
        <v>#N/A</v>
      </c>
      <c r="E68" s="16" t="str">
        <f>IFERROR(__xludf.DUMMYFUNCTION("""COMPUTED_VALUE"""),"")</f>
        <v/>
      </c>
      <c r="F68" s="16" t="str">
        <f>IFERROR(__xludf.DUMMYFUNCTION("""COMPUTED_VALUE"""),"#N/A")</f>
        <v>#N/A</v>
      </c>
      <c r="G68" s="18"/>
      <c r="H68" s="16" t="s">
        <v>87</v>
      </c>
      <c r="I68" s="16" t="s">
        <v>87</v>
      </c>
      <c r="J68" s="19"/>
      <c r="K68" s="16" t="str">
        <f>IFERROR(__xludf.DUMMYFUNCTION("""COMPUTED_VALUE"""),"#N/A")</f>
        <v>#N/A</v>
      </c>
      <c r="L68" s="16" t="str">
        <f>IFERROR(__xludf.DUMMYFUNCTION("""COMPUTED_VALUE"""),"")</f>
        <v/>
      </c>
      <c r="M68" s="16" t="str">
        <f>IFERROR(__xludf.DUMMYFUNCTION("""COMPUTED_VALUE"""),"")</f>
        <v/>
      </c>
      <c r="U68" s="16" t="s">
        <v>87</v>
      </c>
      <c r="V68" s="16" t="str">
        <f>IFERROR(__xludf.DUMMYFUNCTION("""COMPUTED_VALUE"""),"")</f>
        <v/>
      </c>
      <c r="W68" s="16" t="str">
        <f>IFERROR(__xludf.DUMMYFUNCTION("""COMPUTED_VALUE"""),"")</f>
        <v/>
      </c>
      <c r="X68" s="16" t="str">
        <f>IFERROR(__xludf.DUMMYFUNCTION("""COMPUTED_VALUE"""),"")</f>
        <v/>
      </c>
      <c r="AC68" s="16" t="str">
        <f>IFERROR(__xludf.DUMMYFUNCTION("""COMPUTED_VALUE"""),"")</f>
        <v/>
      </c>
    </row>
    <row r="69">
      <c r="A69" s="16" t="s">
        <v>84</v>
      </c>
      <c r="C69" s="16" t="str">
        <f>IFERROR(__xludf.DUMMYFUNCTION("""COMPUTED_VALUE"""),"#N/A")</f>
        <v>#N/A</v>
      </c>
      <c r="D69" s="16" t="str">
        <f>IFERROR(__xludf.DUMMYFUNCTION("""COMPUTED_VALUE"""),"#N/A")</f>
        <v>#N/A</v>
      </c>
      <c r="E69" s="16" t="str">
        <f>IFERROR(__xludf.DUMMYFUNCTION("""COMPUTED_VALUE"""),"")</f>
        <v/>
      </c>
      <c r="F69" s="16" t="str">
        <f>IFERROR(__xludf.DUMMYFUNCTION("""COMPUTED_VALUE"""),"#N/A")</f>
        <v>#N/A</v>
      </c>
      <c r="G69" s="18"/>
      <c r="H69" s="16" t="s">
        <v>87</v>
      </c>
      <c r="I69" s="16" t="s">
        <v>87</v>
      </c>
      <c r="J69" s="19"/>
      <c r="K69" s="16" t="str">
        <f>IFERROR(__xludf.DUMMYFUNCTION("""COMPUTED_VALUE"""),"#N/A")</f>
        <v>#N/A</v>
      </c>
      <c r="L69" s="16" t="str">
        <f>IFERROR(__xludf.DUMMYFUNCTION("""COMPUTED_VALUE"""),"")</f>
        <v/>
      </c>
      <c r="M69" s="16" t="str">
        <f>IFERROR(__xludf.DUMMYFUNCTION("""COMPUTED_VALUE"""),"")</f>
        <v/>
      </c>
      <c r="U69" s="16" t="s">
        <v>87</v>
      </c>
      <c r="V69" s="16" t="str">
        <f>IFERROR(__xludf.DUMMYFUNCTION("""COMPUTED_VALUE"""),"")</f>
        <v/>
      </c>
      <c r="W69" s="16" t="str">
        <f>IFERROR(__xludf.DUMMYFUNCTION("""COMPUTED_VALUE"""),"")</f>
        <v/>
      </c>
      <c r="X69" s="16" t="str">
        <f>IFERROR(__xludf.DUMMYFUNCTION("""COMPUTED_VALUE"""),"")</f>
        <v/>
      </c>
      <c r="AC69" s="16" t="str">
        <f>IFERROR(__xludf.DUMMYFUNCTION("""COMPUTED_VALUE"""),"")</f>
        <v/>
      </c>
    </row>
    <row r="70">
      <c r="A70" s="16" t="s">
        <v>84</v>
      </c>
      <c r="C70" s="16" t="str">
        <f>IFERROR(__xludf.DUMMYFUNCTION("""COMPUTED_VALUE"""),"#N/A")</f>
        <v>#N/A</v>
      </c>
      <c r="D70" s="16" t="str">
        <f>IFERROR(__xludf.DUMMYFUNCTION("""COMPUTED_VALUE"""),"#N/A")</f>
        <v>#N/A</v>
      </c>
      <c r="E70" s="16" t="str">
        <f>IFERROR(__xludf.DUMMYFUNCTION("""COMPUTED_VALUE"""),"")</f>
        <v/>
      </c>
      <c r="F70" s="16" t="str">
        <f>IFERROR(__xludf.DUMMYFUNCTION("""COMPUTED_VALUE"""),"#N/A")</f>
        <v>#N/A</v>
      </c>
      <c r="G70" s="18"/>
      <c r="H70" s="16" t="s">
        <v>87</v>
      </c>
      <c r="I70" s="16" t="s">
        <v>87</v>
      </c>
      <c r="J70" s="19"/>
      <c r="K70" s="16" t="str">
        <f>IFERROR(__xludf.DUMMYFUNCTION("""COMPUTED_VALUE"""),"#N/A")</f>
        <v>#N/A</v>
      </c>
      <c r="L70" s="16" t="str">
        <f>IFERROR(__xludf.DUMMYFUNCTION("""COMPUTED_VALUE"""),"")</f>
        <v/>
      </c>
      <c r="M70" s="16" t="str">
        <f>IFERROR(__xludf.DUMMYFUNCTION("""COMPUTED_VALUE"""),"")</f>
        <v/>
      </c>
      <c r="U70" s="16" t="s">
        <v>87</v>
      </c>
      <c r="V70" s="16" t="str">
        <f>IFERROR(__xludf.DUMMYFUNCTION("""COMPUTED_VALUE"""),"")</f>
        <v/>
      </c>
      <c r="W70" s="16" t="str">
        <f>IFERROR(__xludf.DUMMYFUNCTION("""COMPUTED_VALUE"""),"")</f>
        <v/>
      </c>
      <c r="X70" s="16" t="str">
        <f>IFERROR(__xludf.DUMMYFUNCTION("""COMPUTED_VALUE"""),"")</f>
        <v/>
      </c>
      <c r="AC70" s="16" t="str">
        <f>IFERROR(__xludf.DUMMYFUNCTION("""COMPUTED_VALUE"""),"")</f>
        <v/>
      </c>
    </row>
    <row r="71">
      <c r="A71" s="16" t="s">
        <v>84</v>
      </c>
      <c r="C71" s="16" t="str">
        <f>IFERROR(__xludf.DUMMYFUNCTION("""COMPUTED_VALUE"""),"#N/A")</f>
        <v>#N/A</v>
      </c>
      <c r="D71" s="16" t="str">
        <f>IFERROR(__xludf.DUMMYFUNCTION("""COMPUTED_VALUE"""),"#N/A")</f>
        <v>#N/A</v>
      </c>
      <c r="E71" s="16" t="str">
        <f>IFERROR(__xludf.DUMMYFUNCTION("""COMPUTED_VALUE"""),"")</f>
        <v/>
      </c>
      <c r="F71" s="16" t="str">
        <f>IFERROR(__xludf.DUMMYFUNCTION("""COMPUTED_VALUE"""),"#N/A")</f>
        <v>#N/A</v>
      </c>
      <c r="G71" s="18"/>
      <c r="H71" s="16" t="s">
        <v>87</v>
      </c>
      <c r="I71" s="16" t="s">
        <v>87</v>
      </c>
      <c r="J71" s="19"/>
      <c r="K71" s="16" t="str">
        <f>IFERROR(__xludf.DUMMYFUNCTION("""COMPUTED_VALUE"""),"#N/A")</f>
        <v>#N/A</v>
      </c>
      <c r="L71" s="16" t="str">
        <f>IFERROR(__xludf.DUMMYFUNCTION("""COMPUTED_VALUE"""),"")</f>
        <v/>
      </c>
      <c r="M71" s="16" t="str">
        <f>IFERROR(__xludf.DUMMYFUNCTION("""COMPUTED_VALUE"""),"")</f>
        <v/>
      </c>
      <c r="U71" s="16" t="s">
        <v>87</v>
      </c>
      <c r="V71" s="16" t="str">
        <f>IFERROR(__xludf.DUMMYFUNCTION("""COMPUTED_VALUE"""),"")</f>
        <v/>
      </c>
      <c r="W71" s="16" t="str">
        <f>IFERROR(__xludf.DUMMYFUNCTION("""COMPUTED_VALUE"""),"")</f>
        <v/>
      </c>
      <c r="X71" s="16" t="str">
        <f>IFERROR(__xludf.DUMMYFUNCTION("""COMPUTED_VALUE"""),"")</f>
        <v/>
      </c>
      <c r="AC71" s="16" t="str">
        <f>IFERROR(__xludf.DUMMYFUNCTION("""COMPUTED_VALUE"""),"")</f>
        <v/>
      </c>
    </row>
    <row r="72">
      <c r="A72" s="16" t="s">
        <v>84</v>
      </c>
      <c r="C72" s="16" t="str">
        <f>IFERROR(__xludf.DUMMYFUNCTION("""COMPUTED_VALUE"""),"#N/A")</f>
        <v>#N/A</v>
      </c>
      <c r="D72" s="16" t="str">
        <f>IFERROR(__xludf.DUMMYFUNCTION("""COMPUTED_VALUE"""),"#N/A")</f>
        <v>#N/A</v>
      </c>
      <c r="E72" s="16" t="str">
        <f>IFERROR(__xludf.DUMMYFUNCTION("""COMPUTED_VALUE"""),"")</f>
        <v/>
      </c>
      <c r="F72" s="16" t="str">
        <f>IFERROR(__xludf.DUMMYFUNCTION("""COMPUTED_VALUE"""),"#N/A")</f>
        <v>#N/A</v>
      </c>
      <c r="G72" s="18"/>
      <c r="H72" s="16" t="s">
        <v>87</v>
      </c>
      <c r="I72" s="16" t="s">
        <v>87</v>
      </c>
      <c r="J72" s="19"/>
      <c r="K72" s="16" t="str">
        <f>IFERROR(__xludf.DUMMYFUNCTION("""COMPUTED_VALUE"""),"#N/A")</f>
        <v>#N/A</v>
      </c>
      <c r="L72" s="16" t="str">
        <f>IFERROR(__xludf.DUMMYFUNCTION("""COMPUTED_VALUE"""),"")</f>
        <v/>
      </c>
      <c r="M72" s="16" t="str">
        <f>IFERROR(__xludf.DUMMYFUNCTION("""COMPUTED_VALUE"""),"")</f>
        <v/>
      </c>
      <c r="U72" s="16" t="s">
        <v>87</v>
      </c>
      <c r="V72" s="16" t="str">
        <f>IFERROR(__xludf.DUMMYFUNCTION("""COMPUTED_VALUE"""),"")</f>
        <v/>
      </c>
      <c r="W72" s="16" t="str">
        <f>IFERROR(__xludf.DUMMYFUNCTION("""COMPUTED_VALUE"""),"")</f>
        <v/>
      </c>
      <c r="X72" s="16" t="str">
        <f>IFERROR(__xludf.DUMMYFUNCTION("""COMPUTED_VALUE"""),"")</f>
        <v/>
      </c>
      <c r="AC72" s="16" t="str">
        <f>IFERROR(__xludf.DUMMYFUNCTION("""COMPUTED_VALUE"""),"")</f>
        <v/>
      </c>
    </row>
    <row r="73">
      <c r="A73" s="16" t="s">
        <v>84</v>
      </c>
      <c r="C73" s="16" t="str">
        <f>IFERROR(__xludf.DUMMYFUNCTION("""COMPUTED_VALUE"""),"#N/A")</f>
        <v>#N/A</v>
      </c>
      <c r="D73" s="16" t="str">
        <f>IFERROR(__xludf.DUMMYFUNCTION("""COMPUTED_VALUE"""),"#N/A")</f>
        <v>#N/A</v>
      </c>
      <c r="E73" s="16" t="str">
        <f>IFERROR(__xludf.DUMMYFUNCTION("""COMPUTED_VALUE"""),"")</f>
        <v/>
      </c>
      <c r="F73" s="16" t="str">
        <f>IFERROR(__xludf.DUMMYFUNCTION("""COMPUTED_VALUE"""),"#N/A")</f>
        <v>#N/A</v>
      </c>
      <c r="G73" s="18"/>
      <c r="H73" s="16" t="s">
        <v>87</v>
      </c>
      <c r="I73" s="16" t="s">
        <v>87</v>
      </c>
      <c r="J73" s="19"/>
      <c r="K73" s="16" t="str">
        <f>IFERROR(__xludf.DUMMYFUNCTION("""COMPUTED_VALUE"""),"#N/A")</f>
        <v>#N/A</v>
      </c>
      <c r="L73" s="16" t="str">
        <f>IFERROR(__xludf.DUMMYFUNCTION("""COMPUTED_VALUE"""),"")</f>
        <v/>
      </c>
      <c r="M73" s="16" t="str">
        <f>IFERROR(__xludf.DUMMYFUNCTION("""COMPUTED_VALUE"""),"")</f>
        <v/>
      </c>
      <c r="U73" s="16" t="s">
        <v>87</v>
      </c>
      <c r="V73" s="16" t="str">
        <f>IFERROR(__xludf.DUMMYFUNCTION("""COMPUTED_VALUE"""),"")</f>
        <v/>
      </c>
      <c r="W73" s="16" t="str">
        <f>IFERROR(__xludf.DUMMYFUNCTION("""COMPUTED_VALUE"""),"")</f>
        <v/>
      </c>
      <c r="X73" s="16" t="str">
        <f>IFERROR(__xludf.DUMMYFUNCTION("""COMPUTED_VALUE"""),"")</f>
        <v/>
      </c>
      <c r="AC73" s="16" t="str">
        <f>IFERROR(__xludf.DUMMYFUNCTION("""COMPUTED_VALUE"""),"")</f>
        <v/>
      </c>
    </row>
    <row r="74">
      <c r="A74" s="16" t="s">
        <v>84</v>
      </c>
      <c r="C74" s="16" t="str">
        <f>IFERROR(__xludf.DUMMYFUNCTION("""COMPUTED_VALUE"""),"#N/A")</f>
        <v>#N/A</v>
      </c>
      <c r="D74" s="16" t="str">
        <f>IFERROR(__xludf.DUMMYFUNCTION("""COMPUTED_VALUE"""),"#N/A")</f>
        <v>#N/A</v>
      </c>
      <c r="E74" s="16" t="str">
        <f>IFERROR(__xludf.DUMMYFUNCTION("""COMPUTED_VALUE"""),"")</f>
        <v/>
      </c>
      <c r="F74" s="16" t="str">
        <f>IFERROR(__xludf.DUMMYFUNCTION("""COMPUTED_VALUE"""),"#N/A")</f>
        <v>#N/A</v>
      </c>
      <c r="G74" s="18"/>
      <c r="H74" s="16" t="s">
        <v>87</v>
      </c>
      <c r="I74" s="16" t="s">
        <v>87</v>
      </c>
      <c r="J74" s="19"/>
      <c r="K74" s="16" t="str">
        <f>IFERROR(__xludf.DUMMYFUNCTION("""COMPUTED_VALUE"""),"#N/A")</f>
        <v>#N/A</v>
      </c>
      <c r="L74" s="16" t="str">
        <f>IFERROR(__xludf.DUMMYFUNCTION("""COMPUTED_VALUE"""),"")</f>
        <v/>
      </c>
      <c r="M74" s="16" t="str">
        <f>IFERROR(__xludf.DUMMYFUNCTION("""COMPUTED_VALUE"""),"")</f>
        <v/>
      </c>
      <c r="U74" s="16" t="s">
        <v>87</v>
      </c>
      <c r="V74" s="16" t="str">
        <f>IFERROR(__xludf.DUMMYFUNCTION("""COMPUTED_VALUE"""),"")</f>
        <v/>
      </c>
      <c r="W74" s="16" t="str">
        <f>IFERROR(__xludf.DUMMYFUNCTION("""COMPUTED_VALUE"""),"")</f>
        <v/>
      </c>
      <c r="X74" s="16" t="str">
        <f>IFERROR(__xludf.DUMMYFUNCTION("""COMPUTED_VALUE"""),"")</f>
        <v/>
      </c>
      <c r="AC74" s="16" t="str">
        <f>IFERROR(__xludf.DUMMYFUNCTION("""COMPUTED_VALUE"""),"")</f>
        <v/>
      </c>
    </row>
    <row r="75">
      <c r="A75" s="16" t="s">
        <v>84</v>
      </c>
      <c r="C75" s="16" t="str">
        <f>IFERROR(__xludf.DUMMYFUNCTION("""COMPUTED_VALUE"""),"#N/A")</f>
        <v>#N/A</v>
      </c>
      <c r="D75" s="16" t="str">
        <f>IFERROR(__xludf.DUMMYFUNCTION("""COMPUTED_VALUE"""),"#N/A")</f>
        <v>#N/A</v>
      </c>
      <c r="E75" s="16" t="str">
        <f>IFERROR(__xludf.DUMMYFUNCTION("""COMPUTED_VALUE"""),"")</f>
        <v/>
      </c>
      <c r="F75" s="16" t="str">
        <f>IFERROR(__xludf.DUMMYFUNCTION("""COMPUTED_VALUE"""),"#N/A")</f>
        <v>#N/A</v>
      </c>
      <c r="G75" s="18"/>
      <c r="H75" s="16" t="s">
        <v>87</v>
      </c>
      <c r="I75" s="16" t="s">
        <v>87</v>
      </c>
      <c r="J75" s="19"/>
      <c r="K75" s="16" t="str">
        <f>IFERROR(__xludf.DUMMYFUNCTION("""COMPUTED_VALUE"""),"#N/A")</f>
        <v>#N/A</v>
      </c>
      <c r="L75" s="16" t="str">
        <f>IFERROR(__xludf.DUMMYFUNCTION("""COMPUTED_VALUE"""),"")</f>
        <v/>
      </c>
      <c r="M75" s="16" t="str">
        <f>IFERROR(__xludf.DUMMYFUNCTION("""COMPUTED_VALUE"""),"")</f>
        <v/>
      </c>
      <c r="U75" s="16" t="s">
        <v>87</v>
      </c>
      <c r="V75" s="16" t="str">
        <f>IFERROR(__xludf.DUMMYFUNCTION("""COMPUTED_VALUE"""),"")</f>
        <v/>
      </c>
      <c r="W75" s="16" t="str">
        <f>IFERROR(__xludf.DUMMYFUNCTION("""COMPUTED_VALUE"""),"")</f>
        <v/>
      </c>
      <c r="X75" s="16" t="str">
        <f>IFERROR(__xludf.DUMMYFUNCTION("""COMPUTED_VALUE"""),"")</f>
        <v/>
      </c>
      <c r="AC75" s="16" t="str">
        <f>IFERROR(__xludf.DUMMYFUNCTION("""COMPUTED_VALUE"""),"")</f>
        <v/>
      </c>
    </row>
    <row r="76">
      <c r="A76" s="16" t="s">
        <v>84</v>
      </c>
      <c r="C76" s="16" t="str">
        <f>IFERROR(__xludf.DUMMYFUNCTION("""COMPUTED_VALUE"""),"#N/A")</f>
        <v>#N/A</v>
      </c>
      <c r="D76" s="16" t="str">
        <f>IFERROR(__xludf.DUMMYFUNCTION("""COMPUTED_VALUE"""),"#N/A")</f>
        <v>#N/A</v>
      </c>
      <c r="E76" s="16" t="str">
        <f>IFERROR(__xludf.DUMMYFUNCTION("""COMPUTED_VALUE"""),"")</f>
        <v/>
      </c>
      <c r="F76" s="16" t="str">
        <f>IFERROR(__xludf.DUMMYFUNCTION("""COMPUTED_VALUE"""),"#N/A")</f>
        <v>#N/A</v>
      </c>
      <c r="G76" s="18"/>
      <c r="H76" s="16" t="s">
        <v>87</v>
      </c>
      <c r="I76" s="16" t="s">
        <v>87</v>
      </c>
      <c r="J76" s="19"/>
      <c r="K76" s="16" t="str">
        <f>IFERROR(__xludf.DUMMYFUNCTION("""COMPUTED_VALUE"""),"#N/A")</f>
        <v>#N/A</v>
      </c>
      <c r="L76" s="16" t="str">
        <f>IFERROR(__xludf.DUMMYFUNCTION("""COMPUTED_VALUE"""),"")</f>
        <v/>
      </c>
      <c r="M76" s="16" t="str">
        <f>IFERROR(__xludf.DUMMYFUNCTION("""COMPUTED_VALUE"""),"")</f>
        <v/>
      </c>
      <c r="U76" s="16" t="s">
        <v>87</v>
      </c>
      <c r="V76" s="16" t="str">
        <f>IFERROR(__xludf.DUMMYFUNCTION("""COMPUTED_VALUE"""),"")</f>
        <v/>
      </c>
      <c r="W76" s="16" t="str">
        <f>IFERROR(__xludf.DUMMYFUNCTION("""COMPUTED_VALUE"""),"")</f>
        <v/>
      </c>
      <c r="X76" s="16" t="str">
        <f>IFERROR(__xludf.DUMMYFUNCTION("""COMPUTED_VALUE"""),"")</f>
        <v/>
      </c>
      <c r="AC76" s="16" t="str">
        <f>IFERROR(__xludf.DUMMYFUNCTION("""COMPUTED_VALUE"""),"")</f>
        <v/>
      </c>
    </row>
    <row r="77">
      <c r="A77" s="16" t="s">
        <v>84</v>
      </c>
      <c r="C77" s="16" t="str">
        <f>IFERROR(__xludf.DUMMYFUNCTION("""COMPUTED_VALUE"""),"#N/A")</f>
        <v>#N/A</v>
      </c>
      <c r="D77" s="16" t="str">
        <f>IFERROR(__xludf.DUMMYFUNCTION("""COMPUTED_VALUE"""),"#N/A")</f>
        <v>#N/A</v>
      </c>
      <c r="E77" s="16" t="str">
        <f>IFERROR(__xludf.DUMMYFUNCTION("""COMPUTED_VALUE"""),"")</f>
        <v/>
      </c>
      <c r="F77" s="16" t="str">
        <f>IFERROR(__xludf.DUMMYFUNCTION("""COMPUTED_VALUE"""),"#N/A")</f>
        <v>#N/A</v>
      </c>
      <c r="G77" s="18"/>
      <c r="H77" s="16" t="s">
        <v>87</v>
      </c>
      <c r="I77" s="16" t="s">
        <v>87</v>
      </c>
      <c r="J77" s="19"/>
      <c r="K77" s="16" t="str">
        <f>IFERROR(__xludf.DUMMYFUNCTION("""COMPUTED_VALUE"""),"#N/A")</f>
        <v>#N/A</v>
      </c>
      <c r="L77" s="16" t="str">
        <f>IFERROR(__xludf.DUMMYFUNCTION("""COMPUTED_VALUE"""),"")</f>
        <v/>
      </c>
      <c r="M77" s="16" t="str">
        <f>IFERROR(__xludf.DUMMYFUNCTION("""COMPUTED_VALUE"""),"")</f>
        <v/>
      </c>
      <c r="U77" s="16" t="s">
        <v>87</v>
      </c>
      <c r="V77" s="16" t="str">
        <f>IFERROR(__xludf.DUMMYFUNCTION("""COMPUTED_VALUE"""),"")</f>
        <v/>
      </c>
      <c r="W77" s="16" t="str">
        <f>IFERROR(__xludf.DUMMYFUNCTION("""COMPUTED_VALUE"""),"")</f>
        <v/>
      </c>
      <c r="X77" s="16" t="str">
        <f>IFERROR(__xludf.DUMMYFUNCTION("""COMPUTED_VALUE"""),"")</f>
        <v/>
      </c>
      <c r="AC77" s="16" t="str">
        <f>IFERROR(__xludf.DUMMYFUNCTION("""COMPUTED_VALUE"""),"")</f>
        <v/>
      </c>
    </row>
    <row r="78">
      <c r="A78" s="16" t="s">
        <v>84</v>
      </c>
      <c r="C78" s="16" t="str">
        <f>IFERROR(__xludf.DUMMYFUNCTION("""COMPUTED_VALUE"""),"#N/A")</f>
        <v>#N/A</v>
      </c>
      <c r="D78" s="16" t="str">
        <f>IFERROR(__xludf.DUMMYFUNCTION("""COMPUTED_VALUE"""),"#N/A")</f>
        <v>#N/A</v>
      </c>
      <c r="E78" s="16" t="str">
        <f>IFERROR(__xludf.DUMMYFUNCTION("""COMPUTED_VALUE"""),"")</f>
        <v/>
      </c>
      <c r="F78" s="16" t="str">
        <f>IFERROR(__xludf.DUMMYFUNCTION("""COMPUTED_VALUE"""),"#N/A")</f>
        <v>#N/A</v>
      </c>
      <c r="G78" s="18"/>
      <c r="H78" s="16" t="s">
        <v>87</v>
      </c>
      <c r="I78" s="16" t="s">
        <v>87</v>
      </c>
      <c r="J78" s="19"/>
      <c r="K78" s="16" t="str">
        <f>IFERROR(__xludf.DUMMYFUNCTION("""COMPUTED_VALUE"""),"#N/A")</f>
        <v>#N/A</v>
      </c>
      <c r="L78" s="16" t="str">
        <f>IFERROR(__xludf.DUMMYFUNCTION("""COMPUTED_VALUE"""),"")</f>
        <v/>
      </c>
      <c r="M78" s="16" t="str">
        <f>IFERROR(__xludf.DUMMYFUNCTION("""COMPUTED_VALUE"""),"")</f>
        <v/>
      </c>
      <c r="U78" s="16" t="s">
        <v>87</v>
      </c>
      <c r="V78" s="16" t="str">
        <f>IFERROR(__xludf.DUMMYFUNCTION("""COMPUTED_VALUE"""),"")</f>
        <v/>
      </c>
      <c r="W78" s="16" t="str">
        <f>IFERROR(__xludf.DUMMYFUNCTION("""COMPUTED_VALUE"""),"")</f>
        <v/>
      </c>
      <c r="X78" s="16" t="str">
        <f>IFERROR(__xludf.DUMMYFUNCTION("""COMPUTED_VALUE"""),"")</f>
        <v/>
      </c>
      <c r="AC78" s="16" t="str">
        <f>IFERROR(__xludf.DUMMYFUNCTION("""COMPUTED_VALUE"""),"")</f>
        <v/>
      </c>
    </row>
    <row r="79">
      <c r="A79" s="16" t="s">
        <v>84</v>
      </c>
      <c r="C79" s="16" t="str">
        <f>IFERROR(__xludf.DUMMYFUNCTION("""COMPUTED_VALUE"""),"#N/A")</f>
        <v>#N/A</v>
      </c>
      <c r="D79" s="16" t="str">
        <f>IFERROR(__xludf.DUMMYFUNCTION("""COMPUTED_VALUE"""),"#N/A")</f>
        <v>#N/A</v>
      </c>
      <c r="E79" s="16" t="str">
        <f>IFERROR(__xludf.DUMMYFUNCTION("""COMPUTED_VALUE"""),"")</f>
        <v/>
      </c>
      <c r="F79" s="16" t="str">
        <f>IFERROR(__xludf.DUMMYFUNCTION("""COMPUTED_VALUE"""),"#N/A")</f>
        <v>#N/A</v>
      </c>
      <c r="G79" s="18"/>
      <c r="H79" s="16" t="s">
        <v>87</v>
      </c>
      <c r="I79" s="16" t="s">
        <v>87</v>
      </c>
      <c r="J79" s="19"/>
      <c r="K79" s="16" t="str">
        <f>IFERROR(__xludf.DUMMYFUNCTION("""COMPUTED_VALUE"""),"#N/A")</f>
        <v>#N/A</v>
      </c>
      <c r="L79" s="16" t="str">
        <f>IFERROR(__xludf.DUMMYFUNCTION("""COMPUTED_VALUE"""),"")</f>
        <v/>
      </c>
      <c r="M79" s="16" t="str">
        <f>IFERROR(__xludf.DUMMYFUNCTION("""COMPUTED_VALUE"""),"")</f>
        <v/>
      </c>
      <c r="U79" s="16" t="s">
        <v>87</v>
      </c>
      <c r="V79" s="16" t="str">
        <f>IFERROR(__xludf.DUMMYFUNCTION("""COMPUTED_VALUE"""),"")</f>
        <v/>
      </c>
      <c r="W79" s="16" t="str">
        <f>IFERROR(__xludf.DUMMYFUNCTION("""COMPUTED_VALUE"""),"")</f>
        <v/>
      </c>
      <c r="X79" s="16" t="str">
        <f>IFERROR(__xludf.DUMMYFUNCTION("""COMPUTED_VALUE"""),"")</f>
        <v/>
      </c>
      <c r="AC79" s="16" t="str">
        <f>IFERROR(__xludf.DUMMYFUNCTION("""COMPUTED_VALUE"""),"")</f>
        <v/>
      </c>
    </row>
    <row r="80">
      <c r="A80" s="16" t="s">
        <v>84</v>
      </c>
      <c r="C80" s="16" t="str">
        <f>IFERROR(__xludf.DUMMYFUNCTION("""COMPUTED_VALUE"""),"#N/A")</f>
        <v>#N/A</v>
      </c>
      <c r="D80" s="16" t="str">
        <f>IFERROR(__xludf.DUMMYFUNCTION("""COMPUTED_VALUE"""),"#N/A")</f>
        <v>#N/A</v>
      </c>
      <c r="E80" s="16" t="str">
        <f>IFERROR(__xludf.DUMMYFUNCTION("""COMPUTED_VALUE"""),"")</f>
        <v/>
      </c>
      <c r="F80" s="16" t="str">
        <f>IFERROR(__xludf.DUMMYFUNCTION("""COMPUTED_VALUE"""),"#N/A")</f>
        <v>#N/A</v>
      </c>
      <c r="G80" s="18"/>
      <c r="H80" s="16" t="s">
        <v>87</v>
      </c>
      <c r="I80" s="16" t="s">
        <v>87</v>
      </c>
      <c r="J80" s="19"/>
      <c r="K80" s="16" t="str">
        <f>IFERROR(__xludf.DUMMYFUNCTION("""COMPUTED_VALUE"""),"#N/A")</f>
        <v>#N/A</v>
      </c>
      <c r="L80" s="16" t="str">
        <f>IFERROR(__xludf.DUMMYFUNCTION("""COMPUTED_VALUE"""),"")</f>
        <v/>
      </c>
      <c r="M80" s="16" t="str">
        <f>IFERROR(__xludf.DUMMYFUNCTION("""COMPUTED_VALUE"""),"")</f>
        <v/>
      </c>
      <c r="U80" s="16" t="s">
        <v>87</v>
      </c>
      <c r="V80" s="16" t="str">
        <f>IFERROR(__xludf.DUMMYFUNCTION("""COMPUTED_VALUE"""),"")</f>
        <v/>
      </c>
      <c r="W80" s="16" t="str">
        <f>IFERROR(__xludf.DUMMYFUNCTION("""COMPUTED_VALUE"""),"")</f>
        <v/>
      </c>
      <c r="X80" s="16" t="str">
        <f>IFERROR(__xludf.DUMMYFUNCTION("""COMPUTED_VALUE"""),"")</f>
        <v/>
      </c>
      <c r="AC80" s="16" t="str">
        <f>IFERROR(__xludf.DUMMYFUNCTION("""COMPUTED_VALUE"""),"")</f>
        <v/>
      </c>
    </row>
    <row r="81">
      <c r="A81" s="16" t="s">
        <v>84</v>
      </c>
      <c r="C81" s="16" t="str">
        <f>IFERROR(__xludf.DUMMYFUNCTION("""COMPUTED_VALUE"""),"#N/A")</f>
        <v>#N/A</v>
      </c>
      <c r="D81" s="16" t="str">
        <f>IFERROR(__xludf.DUMMYFUNCTION("""COMPUTED_VALUE"""),"#N/A")</f>
        <v>#N/A</v>
      </c>
      <c r="E81" s="16" t="str">
        <f>IFERROR(__xludf.DUMMYFUNCTION("""COMPUTED_VALUE"""),"")</f>
        <v/>
      </c>
      <c r="F81" s="16" t="str">
        <f>IFERROR(__xludf.DUMMYFUNCTION("""COMPUTED_VALUE"""),"#N/A")</f>
        <v>#N/A</v>
      </c>
      <c r="G81" s="18"/>
      <c r="H81" s="16" t="s">
        <v>87</v>
      </c>
      <c r="I81" s="16" t="s">
        <v>87</v>
      </c>
      <c r="J81" s="19"/>
      <c r="K81" s="16" t="str">
        <f>IFERROR(__xludf.DUMMYFUNCTION("""COMPUTED_VALUE"""),"#N/A")</f>
        <v>#N/A</v>
      </c>
      <c r="L81" s="16" t="str">
        <f>IFERROR(__xludf.DUMMYFUNCTION("""COMPUTED_VALUE"""),"")</f>
        <v/>
      </c>
      <c r="M81" s="16" t="str">
        <f>IFERROR(__xludf.DUMMYFUNCTION("""COMPUTED_VALUE"""),"")</f>
        <v/>
      </c>
      <c r="U81" s="16" t="s">
        <v>87</v>
      </c>
      <c r="V81" s="16" t="str">
        <f>IFERROR(__xludf.DUMMYFUNCTION("""COMPUTED_VALUE"""),"")</f>
        <v/>
      </c>
      <c r="W81" s="16" t="str">
        <f>IFERROR(__xludf.DUMMYFUNCTION("""COMPUTED_VALUE"""),"")</f>
        <v/>
      </c>
      <c r="X81" s="16" t="str">
        <f>IFERROR(__xludf.DUMMYFUNCTION("""COMPUTED_VALUE"""),"")</f>
        <v/>
      </c>
      <c r="AC81" s="16" t="str">
        <f>IFERROR(__xludf.DUMMYFUNCTION("""COMPUTED_VALUE"""),"")</f>
        <v/>
      </c>
    </row>
    <row r="82">
      <c r="A82" s="16" t="s">
        <v>84</v>
      </c>
      <c r="C82" s="16" t="str">
        <f>IFERROR(__xludf.DUMMYFUNCTION("""COMPUTED_VALUE"""),"#N/A")</f>
        <v>#N/A</v>
      </c>
      <c r="D82" s="16" t="str">
        <f>IFERROR(__xludf.DUMMYFUNCTION("""COMPUTED_VALUE"""),"#N/A")</f>
        <v>#N/A</v>
      </c>
      <c r="E82" s="16" t="str">
        <f>IFERROR(__xludf.DUMMYFUNCTION("""COMPUTED_VALUE"""),"")</f>
        <v/>
      </c>
      <c r="F82" s="16" t="str">
        <f>IFERROR(__xludf.DUMMYFUNCTION("""COMPUTED_VALUE"""),"#N/A")</f>
        <v>#N/A</v>
      </c>
      <c r="G82" s="18"/>
      <c r="H82" s="16" t="s">
        <v>87</v>
      </c>
      <c r="I82" s="16" t="s">
        <v>87</v>
      </c>
      <c r="J82" s="19"/>
      <c r="K82" s="16" t="str">
        <f>IFERROR(__xludf.DUMMYFUNCTION("""COMPUTED_VALUE"""),"#N/A")</f>
        <v>#N/A</v>
      </c>
      <c r="L82" s="16" t="str">
        <f>IFERROR(__xludf.DUMMYFUNCTION("""COMPUTED_VALUE"""),"")</f>
        <v/>
      </c>
      <c r="M82" s="16" t="str">
        <f>IFERROR(__xludf.DUMMYFUNCTION("""COMPUTED_VALUE"""),"")</f>
        <v/>
      </c>
      <c r="U82" s="16" t="s">
        <v>87</v>
      </c>
      <c r="V82" s="16" t="str">
        <f>IFERROR(__xludf.DUMMYFUNCTION("""COMPUTED_VALUE"""),"")</f>
        <v/>
      </c>
      <c r="W82" s="16" t="str">
        <f>IFERROR(__xludf.DUMMYFUNCTION("""COMPUTED_VALUE"""),"")</f>
        <v/>
      </c>
      <c r="X82" s="16" t="str">
        <f>IFERROR(__xludf.DUMMYFUNCTION("""COMPUTED_VALUE"""),"")</f>
        <v/>
      </c>
      <c r="AC82" s="16" t="str">
        <f>IFERROR(__xludf.DUMMYFUNCTION("""COMPUTED_VALUE"""),"")</f>
        <v/>
      </c>
    </row>
    <row r="83">
      <c r="A83" s="16" t="s">
        <v>84</v>
      </c>
      <c r="C83" s="16" t="str">
        <f>IFERROR(__xludf.DUMMYFUNCTION("""COMPUTED_VALUE"""),"#N/A")</f>
        <v>#N/A</v>
      </c>
      <c r="D83" s="16" t="str">
        <f>IFERROR(__xludf.DUMMYFUNCTION("""COMPUTED_VALUE"""),"#N/A")</f>
        <v>#N/A</v>
      </c>
      <c r="E83" s="16" t="str">
        <f>IFERROR(__xludf.DUMMYFUNCTION("""COMPUTED_VALUE"""),"")</f>
        <v/>
      </c>
      <c r="F83" s="16" t="str">
        <f>IFERROR(__xludf.DUMMYFUNCTION("""COMPUTED_VALUE"""),"#N/A")</f>
        <v>#N/A</v>
      </c>
      <c r="G83" s="18"/>
      <c r="H83" s="16" t="s">
        <v>87</v>
      </c>
      <c r="I83" s="16" t="s">
        <v>87</v>
      </c>
      <c r="J83" s="19"/>
      <c r="K83" s="16" t="str">
        <f>IFERROR(__xludf.DUMMYFUNCTION("""COMPUTED_VALUE"""),"#N/A")</f>
        <v>#N/A</v>
      </c>
      <c r="L83" s="16" t="str">
        <f>IFERROR(__xludf.DUMMYFUNCTION("""COMPUTED_VALUE"""),"")</f>
        <v/>
      </c>
      <c r="M83" s="16" t="str">
        <f>IFERROR(__xludf.DUMMYFUNCTION("""COMPUTED_VALUE"""),"")</f>
        <v/>
      </c>
      <c r="U83" s="16" t="s">
        <v>87</v>
      </c>
      <c r="V83" s="16" t="str">
        <f>IFERROR(__xludf.DUMMYFUNCTION("""COMPUTED_VALUE"""),"")</f>
        <v/>
      </c>
      <c r="W83" s="16" t="str">
        <f>IFERROR(__xludf.DUMMYFUNCTION("""COMPUTED_VALUE"""),"")</f>
        <v/>
      </c>
      <c r="X83" s="16" t="str">
        <f>IFERROR(__xludf.DUMMYFUNCTION("""COMPUTED_VALUE"""),"")</f>
        <v/>
      </c>
      <c r="AC83" s="16" t="str">
        <f>IFERROR(__xludf.DUMMYFUNCTION("""COMPUTED_VALUE"""),"")</f>
        <v/>
      </c>
    </row>
    <row r="84">
      <c r="A84" s="16" t="s">
        <v>84</v>
      </c>
      <c r="C84" s="16" t="str">
        <f>IFERROR(__xludf.DUMMYFUNCTION("""COMPUTED_VALUE"""),"#N/A")</f>
        <v>#N/A</v>
      </c>
      <c r="D84" s="16" t="str">
        <f>IFERROR(__xludf.DUMMYFUNCTION("""COMPUTED_VALUE"""),"#N/A")</f>
        <v>#N/A</v>
      </c>
      <c r="E84" s="16" t="str">
        <f>IFERROR(__xludf.DUMMYFUNCTION("""COMPUTED_VALUE"""),"")</f>
        <v/>
      </c>
      <c r="F84" s="16" t="str">
        <f>IFERROR(__xludf.DUMMYFUNCTION("""COMPUTED_VALUE"""),"#N/A")</f>
        <v>#N/A</v>
      </c>
      <c r="G84" s="18"/>
      <c r="H84" s="16" t="s">
        <v>87</v>
      </c>
      <c r="I84" s="16" t="s">
        <v>87</v>
      </c>
      <c r="J84" s="19"/>
      <c r="K84" s="16" t="str">
        <f>IFERROR(__xludf.DUMMYFUNCTION("""COMPUTED_VALUE"""),"#N/A")</f>
        <v>#N/A</v>
      </c>
      <c r="L84" s="16" t="str">
        <f>IFERROR(__xludf.DUMMYFUNCTION("""COMPUTED_VALUE"""),"")</f>
        <v/>
      </c>
      <c r="M84" s="16" t="str">
        <f>IFERROR(__xludf.DUMMYFUNCTION("""COMPUTED_VALUE"""),"")</f>
        <v/>
      </c>
      <c r="U84" s="16" t="s">
        <v>87</v>
      </c>
      <c r="V84" s="16" t="str">
        <f>IFERROR(__xludf.DUMMYFUNCTION("""COMPUTED_VALUE"""),"")</f>
        <v/>
      </c>
      <c r="W84" s="16" t="str">
        <f>IFERROR(__xludf.DUMMYFUNCTION("""COMPUTED_VALUE"""),"")</f>
        <v/>
      </c>
      <c r="X84" s="16" t="str">
        <f>IFERROR(__xludf.DUMMYFUNCTION("""COMPUTED_VALUE"""),"")</f>
        <v/>
      </c>
      <c r="AC84" s="16" t="str">
        <f>IFERROR(__xludf.DUMMYFUNCTION("""COMPUTED_VALUE"""),"")</f>
        <v/>
      </c>
    </row>
    <row r="85">
      <c r="A85" s="16" t="s">
        <v>84</v>
      </c>
      <c r="C85" s="16" t="str">
        <f>IFERROR(__xludf.DUMMYFUNCTION("""COMPUTED_VALUE"""),"#N/A")</f>
        <v>#N/A</v>
      </c>
      <c r="D85" s="16" t="str">
        <f>IFERROR(__xludf.DUMMYFUNCTION("""COMPUTED_VALUE"""),"#N/A")</f>
        <v>#N/A</v>
      </c>
      <c r="E85" s="16" t="str">
        <f>IFERROR(__xludf.DUMMYFUNCTION("""COMPUTED_VALUE"""),"")</f>
        <v/>
      </c>
      <c r="F85" s="16" t="str">
        <f>IFERROR(__xludf.DUMMYFUNCTION("""COMPUTED_VALUE"""),"#N/A")</f>
        <v>#N/A</v>
      </c>
      <c r="G85" s="18"/>
      <c r="H85" s="16" t="s">
        <v>87</v>
      </c>
      <c r="I85" s="16" t="s">
        <v>87</v>
      </c>
      <c r="J85" s="19"/>
      <c r="K85" s="16" t="str">
        <f>IFERROR(__xludf.DUMMYFUNCTION("""COMPUTED_VALUE"""),"#N/A")</f>
        <v>#N/A</v>
      </c>
      <c r="L85" s="16" t="str">
        <f>IFERROR(__xludf.DUMMYFUNCTION("""COMPUTED_VALUE"""),"")</f>
        <v/>
      </c>
      <c r="M85" s="16" t="str">
        <f>IFERROR(__xludf.DUMMYFUNCTION("""COMPUTED_VALUE"""),"")</f>
        <v/>
      </c>
      <c r="U85" s="16" t="s">
        <v>87</v>
      </c>
      <c r="V85" s="16" t="str">
        <f>IFERROR(__xludf.DUMMYFUNCTION("""COMPUTED_VALUE"""),"")</f>
        <v/>
      </c>
      <c r="W85" s="16" t="str">
        <f>IFERROR(__xludf.DUMMYFUNCTION("""COMPUTED_VALUE"""),"")</f>
        <v/>
      </c>
      <c r="X85" s="16" t="str">
        <f>IFERROR(__xludf.DUMMYFUNCTION("""COMPUTED_VALUE"""),"")</f>
        <v/>
      </c>
      <c r="AC85" s="16" t="str">
        <f>IFERROR(__xludf.DUMMYFUNCTION("""COMPUTED_VALUE"""),"")</f>
        <v/>
      </c>
    </row>
    <row r="86">
      <c r="A86" s="16" t="s">
        <v>84</v>
      </c>
      <c r="C86" s="16" t="str">
        <f>IFERROR(__xludf.DUMMYFUNCTION("""COMPUTED_VALUE"""),"#N/A")</f>
        <v>#N/A</v>
      </c>
      <c r="D86" s="16" t="str">
        <f>IFERROR(__xludf.DUMMYFUNCTION("""COMPUTED_VALUE"""),"#N/A")</f>
        <v>#N/A</v>
      </c>
      <c r="E86" s="16" t="str">
        <f>IFERROR(__xludf.DUMMYFUNCTION("""COMPUTED_VALUE"""),"")</f>
        <v/>
      </c>
      <c r="F86" s="16" t="str">
        <f>IFERROR(__xludf.DUMMYFUNCTION("""COMPUTED_VALUE"""),"#N/A")</f>
        <v>#N/A</v>
      </c>
      <c r="G86" s="18"/>
      <c r="H86" s="16" t="s">
        <v>87</v>
      </c>
      <c r="I86" s="16" t="s">
        <v>87</v>
      </c>
      <c r="J86" s="19"/>
      <c r="K86" s="16" t="str">
        <f>IFERROR(__xludf.DUMMYFUNCTION("""COMPUTED_VALUE"""),"#N/A")</f>
        <v>#N/A</v>
      </c>
      <c r="L86" s="16" t="str">
        <f>IFERROR(__xludf.DUMMYFUNCTION("""COMPUTED_VALUE"""),"")</f>
        <v/>
      </c>
      <c r="M86" s="16" t="str">
        <f>IFERROR(__xludf.DUMMYFUNCTION("""COMPUTED_VALUE"""),"")</f>
        <v/>
      </c>
      <c r="U86" s="16" t="s">
        <v>87</v>
      </c>
      <c r="V86" s="16" t="str">
        <f>IFERROR(__xludf.DUMMYFUNCTION("""COMPUTED_VALUE"""),"")</f>
        <v/>
      </c>
      <c r="W86" s="16" t="str">
        <f>IFERROR(__xludf.DUMMYFUNCTION("""COMPUTED_VALUE"""),"")</f>
        <v/>
      </c>
      <c r="X86" s="16" t="str">
        <f>IFERROR(__xludf.DUMMYFUNCTION("""COMPUTED_VALUE"""),"")</f>
        <v/>
      </c>
      <c r="AC86" s="16" t="str">
        <f>IFERROR(__xludf.DUMMYFUNCTION("""COMPUTED_VALUE"""),"")</f>
        <v/>
      </c>
    </row>
    <row r="87">
      <c r="A87" s="16" t="s">
        <v>87</v>
      </c>
      <c r="E87" s="16" t="str">
        <f>IFERROR(__xludf.DUMMYFUNCTION("""COMPUTED_VALUE"""),"")</f>
        <v/>
      </c>
      <c r="G87" s="18"/>
      <c r="H87" s="16" t="s">
        <v>87</v>
      </c>
      <c r="I87" s="16" t="s">
        <v>87</v>
      </c>
      <c r="J87" s="19"/>
      <c r="L87" s="16" t="str">
        <f>IFERROR(__xludf.DUMMYFUNCTION("""COMPUTED_VALUE"""),"")</f>
        <v/>
      </c>
      <c r="M87" s="16" t="str">
        <f>IFERROR(__xludf.DUMMYFUNCTION("""COMPUTED_VALUE"""),"")</f>
        <v/>
      </c>
      <c r="U87" s="16" t="s">
        <v>87</v>
      </c>
      <c r="V87" s="16" t="str">
        <f>IFERROR(__xludf.DUMMYFUNCTION("""COMPUTED_VALUE"""),"")</f>
        <v/>
      </c>
      <c r="W87" s="16" t="str">
        <f>IFERROR(__xludf.DUMMYFUNCTION("""COMPUTED_VALUE"""),"")</f>
        <v/>
      </c>
      <c r="X87" s="16" t="str">
        <f>IFERROR(__xludf.DUMMYFUNCTION("""COMPUTED_VALUE"""),"")</f>
        <v/>
      </c>
      <c r="AC87" s="16" t="str">
        <f>IFERROR(__xludf.DUMMYFUNCTION("""COMPUTED_VALUE"""),"")</f>
        <v/>
      </c>
    </row>
    <row r="88">
      <c r="A88" s="16" t="s">
        <v>87</v>
      </c>
      <c r="E88" s="16" t="str">
        <f>IFERROR(__xludf.DUMMYFUNCTION("""COMPUTED_VALUE"""),"")</f>
        <v/>
      </c>
      <c r="G88" s="18"/>
      <c r="H88" s="16" t="s">
        <v>87</v>
      </c>
      <c r="I88" s="16" t="s">
        <v>87</v>
      </c>
      <c r="J88" s="19"/>
      <c r="L88" s="16" t="str">
        <f>IFERROR(__xludf.DUMMYFUNCTION("""COMPUTED_VALUE"""),"")</f>
        <v/>
      </c>
      <c r="M88" s="16" t="str">
        <f>IFERROR(__xludf.DUMMYFUNCTION("""COMPUTED_VALUE"""),"")</f>
        <v/>
      </c>
      <c r="U88" s="16" t="s">
        <v>87</v>
      </c>
      <c r="V88" s="16" t="str">
        <f>IFERROR(__xludf.DUMMYFUNCTION("""COMPUTED_VALUE"""),"")</f>
        <v/>
      </c>
      <c r="W88" s="16" t="str">
        <f>IFERROR(__xludf.DUMMYFUNCTION("""COMPUTED_VALUE"""),"")</f>
        <v/>
      </c>
      <c r="X88" s="16" t="str">
        <f>IFERROR(__xludf.DUMMYFUNCTION("""COMPUTED_VALUE"""),"")</f>
        <v/>
      </c>
      <c r="AC88" s="16" t="str">
        <f>IFERROR(__xludf.DUMMYFUNCTION("""COMPUTED_VALUE"""),"")</f>
        <v/>
      </c>
    </row>
    <row r="89">
      <c r="A89" s="16" t="s">
        <v>87</v>
      </c>
      <c r="E89" s="16" t="str">
        <f>IFERROR(__xludf.DUMMYFUNCTION("""COMPUTED_VALUE"""),"")</f>
        <v/>
      </c>
      <c r="G89" s="18"/>
      <c r="H89" s="16" t="s">
        <v>87</v>
      </c>
      <c r="I89" s="16" t="s">
        <v>87</v>
      </c>
      <c r="J89" s="19"/>
      <c r="L89" s="16" t="str">
        <f>IFERROR(__xludf.DUMMYFUNCTION("""COMPUTED_VALUE"""),"")</f>
        <v/>
      </c>
      <c r="M89" s="16" t="str">
        <f>IFERROR(__xludf.DUMMYFUNCTION("""COMPUTED_VALUE"""),"")</f>
        <v/>
      </c>
      <c r="U89" s="16" t="s">
        <v>87</v>
      </c>
      <c r="V89" s="16" t="str">
        <f>IFERROR(__xludf.DUMMYFUNCTION("""COMPUTED_VALUE"""),"")</f>
        <v/>
      </c>
      <c r="W89" s="16" t="str">
        <f>IFERROR(__xludf.DUMMYFUNCTION("""COMPUTED_VALUE"""),"")</f>
        <v/>
      </c>
      <c r="X89" s="16" t="str">
        <f>IFERROR(__xludf.DUMMYFUNCTION("""COMPUTED_VALUE"""),"")</f>
        <v/>
      </c>
      <c r="AC89" s="16" t="str">
        <f>IFERROR(__xludf.DUMMYFUNCTION("""COMPUTED_VALUE"""),"")</f>
        <v/>
      </c>
    </row>
    <row r="90">
      <c r="A90" s="16" t="s">
        <v>87</v>
      </c>
      <c r="E90" s="16" t="str">
        <f>IFERROR(__xludf.DUMMYFUNCTION("""COMPUTED_VALUE"""),"")</f>
        <v/>
      </c>
      <c r="G90" s="18"/>
      <c r="H90" s="16" t="s">
        <v>87</v>
      </c>
      <c r="I90" s="16" t="s">
        <v>87</v>
      </c>
      <c r="J90" s="19"/>
      <c r="L90" s="16" t="str">
        <f>IFERROR(__xludf.DUMMYFUNCTION("""COMPUTED_VALUE"""),"")</f>
        <v/>
      </c>
      <c r="M90" s="16" t="str">
        <f>IFERROR(__xludf.DUMMYFUNCTION("""COMPUTED_VALUE"""),"")</f>
        <v/>
      </c>
      <c r="U90" s="16" t="s">
        <v>87</v>
      </c>
      <c r="V90" s="16" t="str">
        <f>IFERROR(__xludf.DUMMYFUNCTION("""COMPUTED_VALUE"""),"")</f>
        <v/>
      </c>
      <c r="W90" s="16" t="str">
        <f>IFERROR(__xludf.DUMMYFUNCTION("""COMPUTED_VALUE"""),"")</f>
        <v/>
      </c>
      <c r="X90" s="16" t="str">
        <f>IFERROR(__xludf.DUMMYFUNCTION("""COMPUTED_VALUE"""),"")</f>
        <v/>
      </c>
      <c r="AC90" s="16" t="str">
        <f>IFERROR(__xludf.DUMMYFUNCTION("""COMPUTED_VALUE"""),"")</f>
        <v/>
      </c>
    </row>
    <row r="91">
      <c r="A91" s="16" t="s">
        <v>87</v>
      </c>
      <c r="E91" s="16" t="str">
        <f>IFERROR(__xludf.DUMMYFUNCTION("""COMPUTED_VALUE"""),"")</f>
        <v/>
      </c>
      <c r="G91" s="18"/>
      <c r="H91" s="16" t="s">
        <v>87</v>
      </c>
      <c r="I91" s="16" t="s">
        <v>87</v>
      </c>
      <c r="J91" s="19"/>
      <c r="L91" s="16" t="str">
        <f>IFERROR(__xludf.DUMMYFUNCTION("""COMPUTED_VALUE"""),"")</f>
        <v/>
      </c>
      <c r="M91" s="16" t="str">
        <f>IFERROR(__xludf.DUMMYFUNCTION("""COMPUTED_VALUE"""),"")</f>
        <v/>
      </c>
      <c r="U91" s="16" t="s">
        <v>87</v>
      </c>
      <c r="V91" s="16" t="str">
        <f>IFERROR(__xludf.DUMMYFUNCTION("""COMPUTED_VALUE"""),"")</f>
        <v/>
      </c>
      <c r="W91" s="16" t="str">
        <f>IFERROR(__xludf.DUMMYFUNCTION("""COMPUTED_VALUE"""),"")</f>
        <v/>
      </c>
      <c r="X91" s="16" t="str">
        <f>IFERROR(__xludf.DUMMYFUNCTION("""COMPUTED_VALUE"""),"")</f>
        <v/>
      </c>
      <c r="AC91" s="16" t="str">
        <f>IFERROR(__xludf.DUMMYFUNCTION("""COMPUTED_VALUE"""),"")</f>
        <v/>
      </c>
    </row>
    <row r="92">
      <c r="A92" s="16" t="s">
        <v>87</v>
      </c>
      <c r="E92" s="16" t="str">
        <f>IFERROR(__xludf.DUMMYFUNCTION("""COMPUTED_VALUE"""),"")</f>
        <v/>
      </c>
      <c r="G92" s="18"/>
      <c r="H92" s="16" t="s">
        <v>87</v>
      </c>
      <c r="I92" s="16" t="s">
        <v>87</v>
      </c>
      <c r="J92" s="19"/>
      <c r="L92" s="16" t="str">
        <f>IFERROR(__xludf.DUMMYFUNCTION("""COMPUTED_VALUE"""),"")</f>
        <v/>
      </c>
      <c r="M92" s="16" t="str">
        <f>IFERROR(__xludf.DUMMYFUNCTION("""COMPUTED_VALUE"""),"")</f>
        <v/>
      </c>
      <c r="U92" s="16" t="s">
        <v>87</v>
      </c>
      <c r="V92" s="16" t="str">
        <f>IFERROR(__xludf.DUMMYFUNCTION("""COMPUTED_VALUE"""),"")</f>
        <v/>
      </c>
      <c r="W92" s="16" t="str">
        <f>IFERROR(__xludf.DUMMYFUNCTION("""COMPUTED_VALUE"""),"")</f>
        <v/>
      </c>
      <c r="X92" s="16" t="str">
        <f>IFERROR(__xludf.DUMMYFUNCTION("""COMPUTED_VALUE"""),"")</f>
        <v/>
      </c>
      <c r="AC92" s="16" t="str">
        <f>IFERROR(__xludf.DUMMYFUNCTION("""COMPUTED_VALUE"""),"")</f>
        <v/>
      </c>
    </row>
    <row r="93">
      <c r="A93" s="16" t="s">
        <v>87</v>
      </c>
      <c r="E93" s="16" t="str">
        <f>IFERROR(__xludf.DUMMYFUNCTION("""COMPUTED_VALUE"""),"")</f>
        <v/>
      </c>
      <c r="G93" s="18"/>
      <c r="H93" s="16" t="s">
        <v>87</v>
      </c>
      <c r="I93" s="16" t="s">
        <v>87</v>
      </c>
      <c r="J93" s="19"/>
      <c r="L93" s="16" t="str">
        <f>IFERROR(__xludf.DUMMYFUNCTION("""COMPUTED_VALUE"""),"")</f>
        <v/>
      </c>
      <c r="M93" s="16" t="str">
        <f>IFERROR(__xludf.DUMMYFUNCTION("""COMPUTED_VALUE"""),"")</f>
        <v/>
      </c>
      <c r="U93" s="16" t="s">
        <v>87</v>
      </c>
      <c r="V93" s="16" t="str">
        <f>IFERROR(__xludf.DUMMYFUNCTION("""COMPUTED_VALUE"""),"")</f>
        <v/>
      </c>
      <c r="W93" s="16" t="str">
        <f>IFERROR(__xludf.DUMMYFUNCTION("""COMPUTED_VALUE"""),"")</f>
        <v/>
      </c>
      <c r="X93" s="16" t="str">
        <f>IFERROR(__xludf.DUMMYFUNCTION("""COMPUTED_VALUE"""),"")</f>
        <v/>
      </c>
      <c r="AC93" s="16" t="str">
        <f>IFERROR(__xludf.DUMMYFUNCTION("""COMPUTED_VALUE"""),"")</f>
        <v/>
      </c>
    </row>
    <row r="94">
      <c r="A94" s="16" t="s">
        <v>87</v>
      </c>
      <c r="E94" s="16" t="str">
        <f>IFERROR(__xludf.DUMMYFUNCTION("""COMPUTED_VALUE"""),"")</f>
        <v/>
      </c>
      <c r="G94" s="18"/>
      <c r="H94" s="16" t="s">
        <v>87</v>
      </c>
      <c r="I94" s="16" t="s">
        <v>87</v>
      </c>
      <c r="J94" s="19"/>
      <c r="L94" s="16" t="str">
        <f>IFERROR(__xludf.DUMMYFUNCTION("""COMPUTED_VALUE"""),"")</f>
        <v/>
      </c>
      <c r="M94" s="16" t="str">
        <f>IFERROR(__xludf.DUMMYFUNCTION("""COMPUTED_VALUE"""),"")</f>
        <v/>
      </c>
      <c r="U94" s="16" t="s">
        <v>87</v>
      </c>
      <c r="V94" s="16" t="str">
        <f>IFERROR(__xludf.DUMMYFUNCTION("""COMPUTED_VALUE"""),"")</f>
        <v/>
      </c>
      <c r="W94" s="16" t="str">
        <f>IFERROR(__xludf.DUMMYFUNCTION("""COMPUTED_VALUE"""),"")</f>
        <v/>
      </c>
      <c r="X94" s="16" t="str">
        <f>IFERROR(__xludf.DUMMYFUNCTION("""COMPUTED_VALUE"""),"")</f>
        <v/>
      </c>
      <c r="AC94" s="16" t="str">
        <f>IFERROR(__xludf.DUMMYFUNCTION("""COMPUTED_VALUE"""),"")</f>
        <v/>
      </c>
    </row>
    <row r="95">
      <c r="A95" s="16" t="s">
        <v>87</v>
      </c>
      <c r="E95" s="16" t="str">
        <f>IFERROR(__xludf.DUMMYFUNCTION("""COMPUTED_VALUE"""),"")</f>
        <v/>
      </c>
      <c r="G95" s="18"/>
      <c r="H95" s="16" t="s">
        <v>87</v>
      </c>
      <c r="I95" s="16" t="s">
        <v>87</v>
      </c>
      <c r="J95" s="19"/>
      <c r="L95" s="16" t="str">
        <f>IFERROR(__xludf.DUMMYFUNCTION("""COMPUTED_VALUE"""),"")</f>
        <v/>
      </c>
      <c r="M95" s="16" t="str">
        <f>IFERROR(__xludf.DUMMYFUNCTION("""COMPUTED_VALUE"""),"")</f>
        <v/>
      </c>
      <c r="U95" s="16" t="s">
        <v>87</v>
      </c>
      <c r="V95" s="16" t="str">
        <f>IFERROR(__xludf.DUMMYFUNCTION("""COMPUTED_VALUE"""),"")</f>
        <v/>
      </c>
      <c r="W95" s="16" t="str">
        <f>IFERROR(__xludf.DUMMYFUNCTION("""COMPUTED_VALUE"""),"")</f>
        <v/>
      </c>
      <c r="X95" s="16" t="str">
        <f>IFERROR(__xludf.DUMMYFUNCTION("""COMPUTED_VALUE"""),"")</f>
        <v/>
      </c>
      <c r="AC95" s="16" t="str">
        <f>IFERROR(__xludf.DUMMYFUNCTION("""COMPUTED_VALUE"""),"")</f>
        <v/>
      </c>
    </row>
    <row r="96">
      <c r="A96" s="16" t="s">
        <v>87</v>
      </c>
      <c r="E96" s="16" t="str">
        <f>IFERROR(__xludf.DUMMYFUNCTION("""COMPUTED_VALUE"""),"")</f>
        <v/>
      </c>
      <c r="G96" s="18"/>
      <c r="H96" s="16" t="s">
        <v>87</v>
      </c>
      <c r="I96" s="16" t="s">
        <v>87</v>
      </c>
      <c r="J96" s="19"/>
      <c r="L96" s="16" t="str">
        <f>IFERROR(__xludf.DUMMYFUNCTION("""COMPUTED_VALUE"""),"")</f>
        <v/>
      </c>
      <c r="M96" s="16" t="str">
        <f>IFERROR(__xludf.DUMMYFUNCTION("""COMPUTED_VALUE"""),"")</f>
        <v/>
      </c>
      <c r="U96" s="16" t="s">
        <v>87</v>
      </c>
      <c r="V96" s="16" t="str">
        <f>IFERROR(__xludf.DUMMYFUNCTION("""COMPUTED_VALUE"""),"")</f>
        <v/>
      </c>
      <c r="W96" s="16" t="str">
        <f>IFERROR(__xludf.DUMMYFUNCTION("""COMPUTED_VALUE"""),"")</f>
        <v/>
      </c>
      <c r="X96" s="16" t="str">
        <f>IFERROR(__xludf.DUMMYFUNCTION("""COMPUTED_VALUE"""),"")</f>
        <v/>
      </c>
      <c r="AC96" s="16" t="str">
        <f>IFERROR(__xludf.DUMMYFUNCTION("""COMPUTED_VALUE"""),"")</f>
        <v/>
      </c>
    </row>
    <row r="97">
      <c r="A97" s="16" t="s">
        <v>87</v>
      </c>
      <c r="E97" s="16" t="str">
        <f>IFERROR(__xludf.DUMMYFUNCTION("""COMPUTED_VALUE"""),"")</f>
        <v/>
      </c>
      <c r="G97" s="18"/>
      <c r="H97" s="16" t="s">
        <v>87</v>
      </c>
      <c r="I97" s="16" t="s">
        <v>87</v>
      </c>
      <c r="J97" s="19"/>
      <c r="L97" s="16" t="str">
        <f>IFERROR(__xludf.DUMMYFUNCTION("""COMPUTED_VALUE"""),"")</f>
        <v/>
      </c>
      <c r="M97" s="16" t="str">
        <f>IFERROR(__xludf.DUMMYFUNCTION("""COMPUTED_VALUE"""),"")</f>
        <v/>
      </c>
      <c r="U97" s="16" t="s">
        <v>87</v>
      </c>
      <c r="V97" s="16" t="str">
        <f>IFERROR(__xludf.DUMMYFUNCTION("""COMPUTED_VALUE"""),"")</f>
        <v/>
      </c>
      <c r="W97" s="16" t="str">
        <f>IFERROR(__xludf.DUMMYFUNCTION("""COMPUTED_VALUE"""),"")</f>
        <v/>
      </c>
      <c r="X97" s="16" t="str">
        <f>IFERROR(__xludf.DUMMYFUNCTION("""COMPUTED_VALUE"""),"")</f>
        <v/>
      </c>
      <c r="AC97" s="16" t="str">
        <f>IFERROR(__xludf.DUMMYFUNCTION("""COMPUTED_VALUE"""),"")</f>
        <v/>
      </c>
    </row>
    <row r="98">
      <c r="A98" s="16" t="s">
        <v>87</v>
      </c>
      <c r="E98" s="16" t="str">
        <f>IFERROR(__xludf.DUMMYFUNCTION("""COMPUTED_VALUE"""),"")</f>
        <v/>
      </c>
      <c r="G98" s="18"/>
      <c r="H98" s="16" t="s">
        <v>87</v>
      </c>
      <c r="I98" s="16" t="s">
        <v>87</v>
      </c>
      <c r="J98" s="19"/>
      <c r="L98" s="16" t="str">
        <f>IFERROR(__xludf.DUMMYFUNCTION("""COMPUTED_VALUE"""),"")</f>
        <v/>
      </c>
      <c r="M98" s="16" t="str">
        <f>IFERROR(__xludf.DUMMYFUNCTION("""COMPUTED_VALUE"""),"")</f>
        <v/>
      </c>
      <c r="U98" s="16" t="s">
        <v>87</v>
      </c>
      <c r="V98" s="16" t="str">
        <f>IFERROR(__xludf.DUMMYFUNCTION("""COMPUTED_VALUE"""),"")</f>
        <v/>
      </c>
      <c r="W98" s="16" t="str">
        <f>IFERROR(__xludf.DUMMYFUNCTION("""COMPUTED_VALUE"""),"")</f>
        <v/>
      </c>
      <c r="X98" s="16" t="str">
        <f>IFERROR(__xludf.DUMMYFUNCTION("""COMPUTED_VALUE"""),"")</f>
        <v/>
      </c>
      <c r="AC98" s="16" t="str">
        <f>IFERROR(__xludf.DUMMYFUNCTION("""COMPUTED_VALUE"""),"")</f>
        <v/>
      </c>
    </row>
    <row r="99">
      <c r="A99" s="16" t="s">
        <v>87</v>
      </c>
      <c r="E99" s="16" t="str">
        <f>IFERROR(__xludf.DUMMYFUNCTION("""COMPUTED_VALUE"""),"")</f>
        <v/>
      </c>
      <c r="G99" s="18"/>
      <c r="H99" s="16" t="s">
        <v>87</v>
      </c>
      <c r="I99" s="16" t="s">
        <v>87</v>
      </c>
      <c r="J99" s="19"/>
      <c r="L99" s="16" t="str">
        <f>IFERROR(__xludf.DUMMYFUNCTION("""COMPUTED_VALUE"""),"")</f>
        <v/>
      </c>
      <c r="M99" s="16" t="str">
        <f>IFERROR(__xludf.DUMMYFUNCTION("""COMPUTED_VALUE"""),"")</f>
        <v/>
      </c>
      <c r="U99" s="16" t="s">
        <v>87</v>
      </c>
      <c r="V99" s="16" t="str">
        <f>IFERROR(__xludf.DUMMYFUNCTION("""COMPUTED_VALUE"""),"")</f>
        <v/>
      </c>
      <c r="W99" s="16" t="str">
        <f>IFERROR(__xludf.DUMMYFUNCTION("""COMPUTED_VALUE"""),"")</f>
        <v/>
      </c>
      <c r="X99" s="16" t="str">
        <f>IFERROR(__xludf.DUMMYFUNCTION("""COMPUTED_VALUE"""),"")</f>
        <v/>
      </c>
      <c r="AC99" s="16" t="str">
        <f>IFERROR(__xludf.DUMMYFUNCTION("""COMPUTED_VALUE"""),"")</f>
        <v/>
      </c>
    </row>
    <row r="100">
      <c r="A100" s="16" t="s">
        <v>87</v>
      </c>
      <c r="E100" s="16" t="str">
        <f>IFERROR(__xludf.DUMMYFUNCTION("""COMPUTED_VALUE"""),"")</f>
        <v/>
      </c>
      <c r="G100" s="18"/>
      <c r="H100" s="16" t="s">
        <v>87</v>
      </c>
      <c r="I100" s="16" t="s">
        <v>87</v>
      </c>
      <c r="J100" s="19"/>
      <c r="L100" s="16" t="str">
        <f>IFERROR(__xludf.DUMMYFUNCTION("""COMPUTED_VALUE"""),"")</f>
        <v/>
      </c>
      <c r="M100" s="16" t="str">
        <f>IFERROR(__xludf.DUMMYFUNCTION("""COMPUTED_VALUE"""),"")</f>
        <v/>
      </c>
      <c r="U100" s="16" t="s">
        <v>87</v>
      </c>
      <c r="V100" s="16" t="str">
        <f>IFERROR(__xludf.DUMMYFUNCTION("""COMPUTED_VALUE"""),"")</f>
        <v/>
      </c>
      <c r="W100" s="16" t="str">
        <f>IFERROR(__xludf.DUMMYFUNCTION("""COMPUTED_VALUE"""),"")</f>
        <v/>
      </c>
      <c r="X100" s="16" t="str">
        <f>IFERROR(__xludf.DUMMYFUNCTION("""COMPUTED_VALUE"""),"")</f>
        <v/>
      </c>
      <c r="AC100" s="16" t="str">
        <f>IFERROR(__xludf.DUMMYFUNCTION("""COMPUTED_VALUE"""),"")</f>
        <v/>
      </c>
    </row>
    <row r="101">
      <c r="A101" s="16" t="s">
        <v>87</v>
      </c>
      <c r="E101" s="16" t="str">
        <f>IFERROR(__xludf.DUMMYFUNCTION("""COMPUTED_VALUE"""),"")</f>
        <v/>
      </c>
      <c r="G101" s="18"/>
      <c r="H101" s="16" t="s">
        <v>87</v>
      </c>
      <c r="I101" s="16" t="s">
        <v>87</v>
      </c>
      <c r="J101" s="19"/>
      <c r="L101" s="16" t="str">
        <f>IFERROR(__xludf.DUMMYFUNCTION("""COMPUTED_VALUE"""),"")</f>
        <v/>
      </c>
      <c r="M101" s="16" t="str">
        <f>IFERROR(__xludf.DUMMYFUNCTION("""COMPUTED_VALUE"""),"")</f>
        <v/>
      </c>
      <c r="U101" s="16" t="s">
        <v>87</v>
      </c>
      <c r="V101" s="16" t="str">
        <f>IFERROR(__xludf.DUMMYFUNCTION("""COMPUTED_VALUE"""),"")</f>
        <v/>
      </c>
      <c r="W101" s="16" t="str">
        <f>IFERROR(__xludf.DUMMYFUNCTION("""COMPUTED_VALUE"""),"")</f>
        <v/>
      </c>
      <c r="X101" s="16" t="str">
        <f>IFERROR(__xludf.DUMMYFUNCTION("""COMPUTED_VALUE"""),"")</f>
        <v/>
      </c>
      <c r="AC101" s="16" t="str">
        <f>IFERROR(__xludf.DUMMYFUNCTION("""COMPUTED_VALUE"""),"")</f>
        <v/>
      </c>
    </row>
    <row r="102">
      <c r="A102" s="16" t="s">
        <v>87</v>
      </c>
      <c r="E102" s="16" t="str">
        <f>IFERROR(__xludf.DUMMYFUNCTION("""COMPUTED_VALUE"""),"")</f>
        <v/>
      </c>
      <c r="G102" s="18"/>
      <c r="H102" s="16" t="s">
        <v>87</v>
      </c>
      <c r="I102" s="16" t="s">
        <v>87</v>
      </c>
      <c r="J102" s="19"/>
      <c r="L102" s="16" t="str">
        <f>IFERROR(__xludf.DUMMYFUNCTION("""COMPUTED_VALUE"""),"")</f>
        <v/>
      </c>
      <c r="M102" s="16" t="str">
        <f>IFERROR(__xludf.DUMMYFUNCTION("""COMPUTED_VALUE"""),"")</f>
        <v/>
      </c>
      <c r="U102" s="16" t="s">
        <v>87</v>
      </c>
      <c r="V102" s="16" t="str">
        <f>IFERROR(__xludf.DUMMYFUNCTION("""COMPUTED_VALUE"""),"")</f>
        <v/>
      </c>
      <c r="W102" s="16" t="str">
        <f>IFERROR(__xludf.DUMMYFUNCTION("""COMPUTED_VALUE"""),"")</f>
        <v/>
      </c>
      <c r="X102" s="16" t="str">
        <f>IFERROR(__xludf.DUMMYFUNCTION("""COMPUTED_VALUE"""),"")</f>
        <v/>
      </c>
      <c r="AC102" s="16" t="str">
        <f>IFERROR(__xludf.DUMMYFUNCTION("""COMPUTED_VALUE"""),"")</f>
        <v/>
      </c>
    </row>
    <row r="103">
      <c r="A103" s="16" t="s">
        <v>87</v>
      </c>
      <c r="E103" s="16" t="str">
        <f>IFERROR(__xludf.DUMMYFUNCTION("""COMPUTED_VALUE"""),"")</f>
        <v/>
      </c>
      <c r="G103" s="18"/>
      <c r="H103" s="16" t="s">
        <v>87</v>
      </c>
      <c r="I103" s="16" t="s">
        <v>87</v>
      </c>
      <c r="J103" s="19"/>
      <c r="L103" s="16" t="str">
        <f>IFERROR(__xludf.DUMMYFUNCTION("""COMPUTED_VALUE"""),"")</f>
        <v/>
      </c>
      <c r="M103" s="16" t="str">
        <f>IFERROR(__xludf.DUMMYFUNCTION("""COMPUTED_VALUE"""),"")</f>
        <v/>
      </c>
      <c r="U103" s="16" t="s">
        <v>87</v>
      </c>
      <c r="V103" s="16" t="str">
        <f>IFERROR(__xludf.DUMMYFUNCTION("""COMPUTED_VALUE"""),"")</f>
        <v/>
      </c>
      <c r="W103" s="16" t="str">
        <f>IFERROR(__xludf.DUMMYFUNCTION("""COMPUTED_VALUE"""),"")</f>
        <v/>
      </c>
      <c r="X103" s="16" t="str">
        <f>IFERROR(__xludf.DUMMYFUNCTION("""COMPUTED_VALUE"""),"")</f>
        <v/>
      </c>
      <c r="AC103" s="16" t="str">
        <f>IFERROR(__xludf.DUMMYFUNCTION("""COMPUTED_VALUE"""),"")</f>
        <v/>
      </c>
    </row>
    <row r="104">
      <c r="A104" s="16" t="s">
        <v>87</v>
      </c>
      <c r="E104" s="16" t="str">
        <f>IFERROR(__xludf.DUMMYFUNCTION("""COMPUTED_VALUE"""),"")</f>
        <v/>
      </c>
      <c r="G104" s="18"/>
      <c r="H104" s="16" t="s">
        <v>87</v>
      </c>
      <c r="I104" s="16" t="s">
        <v>87</v>
      </c>
      <c r="J104" s="19"/>
      <c r="L104" s="16" t="str">
        <f>IFERROR(__xludf.DUMMYFUNCTION("""COMPUTED_VALUE"""),"")</f>
        <v/>
      </c>
      <c r="M104" s="16" t="str">
        <f>IFERROR(__xludf.DUMMYFUNCTION("""COMPUTED_VALUE"""),"")</f>
        <v/>
      </c>
      <c r="U104" s="16" t="s">
        <v>87</v>
      </c>
      <c r="V104" s="16" t="str">
        <f>IFERROR(__xludf.DUMMYFUNCTION("""COMPUTED_VALUE"""),"")</f>
        <v/>
      </c>
      <c r="W104" s="16" t="str">
        <f>IFERROR(__xludf.DUMMYFUNCTION("""COMPUTED_VALUE"""),"")</f>
        <v/>
      </c>
      <c r="X104" s="16" t="str">
        <f>IFERROR(__xludf.DUMMYFUNCTION("""COMPUTED_VALUE"""),"")</f>
        <v/>
      </c>
      <c r="AC104" s="16" t="str">
        <f>IFERROR(__xludf.DUMMYFUNCTION("""COMPUTED_VALUE"""),"")</f>
        <v/>
      </c>
    </row>
    <row r="105">
      <c r="A105" s="16" t="s">
        <v>87</v>
      </c>
      <c r="E105" s="16" t="str">
        <f>IFERROR(__xludf.DUMMYFUNCTION("""COMPUTED_VALUE"""),"")</f>
        <v/>
      </c>
      <c r="G105" s="18"/>
      <c r="H105" s="16" t="s">
        <v>87</v>
      </c>
      <c r="I105" s="16" t="s">
        <v>87</v>
      </c>
      <c r="J105" s="19"/>
      <c r="L105" s="16" t="str">
        <f>IFERROR(__xludf.DUMMYFUNCTION("""COMPUTED_VALUE"""),"")</f>
        <v/>
      </c>
      <c r="M105" s="16" t="str">
        <f>IFERROR(__xludf.DUMMYFUNCTION("""COMPUTED_VALUE"""),"")</f>
        <v/>
      </c>
      <c r="U105" s="16" t="s">
        <v>87</v>
      </c>
      <c r="V105" s="16" t="str">
        <f>IFERROR(__xludf.DUMMYFUNCTION("""COMPUTED_VALUE"""),"")</f>
        <v/>
      </c>
      <c r="W105" s="16" t="str">
        <f>IFERROR(__xludf.DUMMYFUNCTION("""COMPUTED_VALUE"""),"")</f>
        <v/>
      </c>
      <c r="X105" s="16" t="str">
        <f>IFERROR(__xludf.DUMMYFUNCTION("""COMPUTED_VALUE"""),"")</f>
        <v/>
      </c>
      <c r="AC105" s="16" t="str">
        <f>IFERROR(__xludf.DUMMYFUNCTION("""COMPUTED_VALUE"""),"")</f>
        <v/>
      </c>
    </row>
    <row r="106">
      <c r="A106" s="16" t="s">
        <v>87</v>
      </c>
      <c r="E106" s="16" t="str">
        <f>IFERROR(__xludf.DUMMYFUNCTION("""COMPUTED_VALUE"""),"")</f>
        <v/>
      </c>
      <c r="G106" s="18"/>
      <c r="H106" s="16" t="s">
        <v>87</v>
      </c>
      <c r="I106" s="16" t="s">
        <v>87</v>
      </c>
      <c r="J106" s="19"/>
      <c r="L106" s="16" t="str">
        <f>IFERROR(__xludf.DUMMYFUNCTION("""COMPUTED_VALUE"""),"")</f>
        <v/>
      </c>
      <c r="M106" s="16" t="str">
        <f>IFERROR(__xludf.DUMMYFUNCTION("""COMPUTED_VALUE"""),"")</f>
        <v/>
      </c>
      <c r="U106" s="16" t="s">
        <v>87</v>
      </c>
      <c r="V106" s="16" t="str">
        <f>IFERROR(__xludf.DUMMYFUNCTION("""COMPUTED_VALUE"""),"")</f>
        <v/>
      </c>
      <c r="W106" s="16" t="str">
        <f>IFERROR(__xludf.DUMMYFUNCTION("""COMPUTED_VALUE"""),"")</f>
        <v/>
      </c>
      <c r="X106" s="16" t="str">
        <f>IFERROR(__xludf.DUMMYFUNCTION("""COMPUTED_VALUE"""),"")</f>
        <v/>
      </c>
      <c r="AC106" s="16" t="str">
        <f>IFERROR(__xludf.DUMMYFUNCTION("""COMPUTED_VALUE"""),"")</f>
        <v/>
      </c>
    </row>
    <row r="107">
      <c r="A107" s="16" t="s">
        <v>87</v>
      </c>
      <c r="E107" s="16" t="str">
        <f>IFERROR(__xludf.DUMMYFUNCTION("""COMPUTED_VALUE"""),"")</f>
        <v/>
      </c>
      <c r="G107" s="18"/>
      <c r="H107" s="16" t="s">
        <v>87</v>
      </c>
      <c r="I107" s="16" t="s">
        <v>87</v>
      </c>
      <c r="J107" s="19"/>
      <c r="L107" s="16" t="str">
        <f>IFERROR(__xludf.DUMMYFUNCTION("""COMPUTED_VALUE"""),"")</f>
        <v/>
      </c>
      <c r="M107" s="16" t="str">
        <f>IFERROR(__xludf.DUMMYFUNCTION("""COMPUTED_VALUE"""),"")</f>
        <v/>
      </c>
      <c r="U107" s="16" t="s">
        <v>87</v>
      </c>
      <c r="V107" s="16" t="str">
        <f>IFERROR(__xludf.DUMMYFUNCTION("""COMPUTED_VALUE"""),"")</f>
        <v/>
      </c>
      <c r="W107" s="16" t="str">
        <f>IFERROR(__xludf.DUMMYFUNCTION("""COMPUTED_VALUE"""),"")</f>
        <v/>
      </c>
      <c r="X107" s="16" t="str">
        <f>IFERROR(__xludf.DUMMYFUNCTION("""COMPUTED_VALUE"""),"")</f>
        <v/>
      </c>
      <c r="AC107" s="16" t="str">
        <f>IFERROR(__xludf.DUMMYFUNCTION("""COMPUTED_VALUE"""),"")</f>
        <v/>
      </c>
    </row>
    <row r="108">
      <c r="A108" s="16" t="s">
        <v>87</v>
      </c>
      <c r="E108" s="16" t="str">
        <f>IFERROR(__xludf.DUMMYFUNCTION("""COMPUTED_VALUE"""),"")</f>
        <v/>
      </c>
      <c r="G108" s="18"/>
      <c r="H108" s="16" t="s">
        <v>87</v>
      </c>
      <c r="I108" s="16" t="s">
        <v>87</v>
      </c>
      <c r="J108" s="19"/>
      <c r="L108" s="16" t="str">
        <f>IFERROR(__xludf.DUMMYFUNCTION("""COMPUTED_VALUE"""),"")</f>
        <v/>
      </c>
      <c r="M108" s="16" t="str">
        <f>IFERROR(__xludf.DUMMYFUNCTION("""COMPUTED_VALUE"""),"")</f>
        <v/>
      </c>
      <c r="U108" s="16" t="s">
        <v>87</v>
      </c>
      <c r="V108" s="16" t="str">
        <f>IFERROR(__xludf.DUMMYFUNCTION("""COMPUTED_VALUE"""),"")</f>
        <v/>
      </c>
      <c r="W108" s="16" t="str">
        <f>IFERROR(__xludf.DUMMYFUNCTION("""COMPUTED_VALUE"""),"")</f>
        <v/>
      </c>
      <c r="X108" s="16" t="str">
        <f>IFERROR(__xludf.DUMMYFUNCTION("""COMPUTED_VALUE"""),"")</f>
        <v/>
      </c>
      <c r="AC108" s="16" t="str">
        <f>IFERROR(__xludf.DUMMYFUNCTION("""COMPUTED_VALUE"""),"")</f>
        <v/>
      </c>
    </row>
    <row r="109">
      <c r="A109" s="16" t="s">
        <v>87</v>
      </c>
      <c r="E109" s="16" t="str">
        <f>IFERROR(__xludf.DUMMYFUNCTION("""COMPUTED_VALUE"""),"")</f>
        <v/>
      </c>
      <c r="G109" s="18"/>
      <c r="H109" s="16" t="s">
        <v>87</v>
      </c>
      <c r="I109" s="16" t="s">
        <v>87</v>
      </c>
      <c r="J109" s="19"/>
      <c r="L109" s="16" t="str">
        <f>IFERROR(__xludf.DUMMYFUNCTION("""COMPUTED_VALUE"""),"")</f>
        <v/>
      </c>
      <c r="M109" s="16" t="str">
        <f>IFERROR(__xludf.DUMMYFUNCTION("""COMPUTED_VALUE"""),"")</f>
        <v/>
      </c>
      <c r="U109" s="16" t="s">
        <v>87</v>
      </c>
      <c r="V109" s="16" t="str">
        <f>IFERROR(__xludf.DUMMYFUNCTION("""COMPUTED_VALUE"""),"")</f>
        <v/>
      </c>
      <c r="W109" s="16" t="str">
        <f>IFERROR(__xludf.DUMMYFUNCTION("""COMPUTED_VALUE"""),"")</f>
        <v/>
      </c>
      <c r="X109" s="16" t="str">
        <f>IFERROR(__xludf.DUMMYFUNCTION("""COMPUTED_VALUE"""),"")</f>
        <v/>
      </c>
      <c r="AC109" s="16" t="str">
        <f>IFERROR(__xludf.DUMMYFUNCTION("""COMPUTED_VALUE"""),"")</f>
        <v/>
      </c>
    </row>
    <row r="110">
      <c r="A110" s="16" t="s">
        <v>87</v>
      </c>
      <c r="E110" s="16" t="str">
        <f>IFERROR(__xludf.DUMMYFUNCTION("""COMPUTED_VALUE"""),"")</f>
        <v/>
      </c>
      <c r="G110" s="18"/>
      <c r="H110" s="16" t="s">
        <v>87</v>
      </c>
      <c r="I110" s="16" t="s">
        <v>87</v>
      </c>
      <c r="J110" s="19"/>
      <c r="L110" s="16" t="str">
        <f>IFERROR(__xludf.DUMMYFUNCTION("""COMPUTED_VALUE"""),"")</f>
        <v/>
      </c>
      <c r="M110" s="16" t="str">
        <f>IFERROR(__xludf.DUMMYFUNCTION("""COMPUTED_VALUE"""),"")</f>
        <v/>
      </c>
      <c r="U110" s="16" t="s">
        <v>87</v>
      </c>
      <c r="V110" s="16" t="str">
        <f>IFERROR(__xludf.DUMMYFUNCTION("""COMPUTED_VALUE"""),"")</f>
        <v/>
      </c>
      <c r="W110" s="16" t="str">
        <f>IFERROR(__xludf.DUMMYFUNCTION("""COMPUTED_VALUE"""),"")</f>
        <v/>
      </c>
      <c r="X110" s="16" t="str">
        <f>IFERROR(__xludf.DUMMYFUNCTION("""COMPUTED_VALUE"""),"")</f>
        <v/>
      </c>
      <c r="AC110" s="16" t="str">
        <f>IFERROR(__xludf.DUMMYFUNCTION("""COMPUTED_VALUE"""),"")</f>
        <v/>
      </c>
    </row>
    <row r="111">
      <c r="A111" s="16" t="s">
        <v>87</v>
      </c>
      <c r="E111" s="16" t="str">
        <f>IFERROR(__xludf.DUMMYFUNCTION("""COMPUTED_VALUE"""),"")</f>
        <v/>
      </c>
      <c r="G111" s="18"/>
      <c r="H111" s="16" t="s">
        <v>87</v>
      </c>
      <c r="I111" s="16" t="s">
        <v>87</v>
      </c>
      <c r="J111" s="19"/>
      <c r="L111" s="16" t="str">
        <f>IFERROR(__xludf.DUMMYFUNCTION("""COMPUTED_VALUE"""),"")</f>
        <v/>
      </c>
      <c r="M111" s="16" t="str">
        <f>IFERROR(__xludf.DUMMYFUNCTION("""COMPUTED_VALUE"""),"")</f>
        <v/>
      </c>
      <c r="U111" s="16" t="s">
        <v>87</v>
      </c>
      <c r="V111" s="16" t="str">
        <f>IFERROR(__xludf.DUMMYFUNCTION("""COMPUTED_VALUE"""),"")</f>
        <v/>
      </c>
      <c r="W111" s="16" t="str">
        <f>IFERROR(__xludf.DUMMYFUNCTION("""COMPUTED_VALUE"""),"")</f>
        <v/>
      </c>
      <c r="X111" s="16" t="str">
        <f>IFERROR(__xludf.DUMMYFUNCTION("""COMPUTED_VALUE"""),"")</f>
        <v/>
      </c>
      <c r="AC111" s="16" t="str">
        <f>IFERROR(__xludf.DUMMYFUNCTION("""COMPUTED_VALUE"""),"")</f>
        <v/>
      </c>
    </row>
    <row r="112">
      <c r="A112" s="16" t="s">
        <v>87</v>
      </c>
      <c r="E112" s="16" t="str">
        <f>IFERROR(__xludf.DUMMYFUNCTION("""COMPUTED_VALUE"""),"")</f>
        <v/>
      </c>
      <c r="G112" s="18"/>
      <c r="H112" s="16" t="s">
        <v>87</v>
      </c>
      <c r="I112" s="16" t="s">
        <v>87</v>
      </c>
      <c r="J112" s="19"/>
      <c r="L112" s="16" t="str">
        <f>IFERROR(__xludf.DUMMYFUNCTION("""COMPUTED_VALUE"""),"")</f>
        <v/>
      </c>
      <c r="M112" s="16" t="str">
        <f>IFERROR(__xludf.DUMMYFUNCTION("""COMPUTED_VALUE"""),"")</f>
        <v/>
      </c>
      <c r="U112" s="16" t="s">
        <v>87</v>
      </c>
      <c r="V112" s="16" t="str">
        <f>IFERROR(__xludf.DUMMYFUNCTION("""COMPUTED_VALUE"""),"")</f>
        <v/>
      </c>
      <c r="W112" s="16" t="str">
        <f>IFERROR(__xludf.DUMMYFUNCTION("""COMPUTED_VALUE"""),"")</f>
        <v/>
      </c>
      <c r="X112" s="16" t="str">
        <f>IFERROR(__xludf.DUMMYFUNCTION("""COMPUTED_VALUE"""),"")</f>
        <v/>
      </c>
      <c r="AC112" s="16" t="str">
        <f>IFERROR(__xludf.DUMMYFUNCTION("""COMPUTED_VALUE"""),"")</f>
        <v/>
      </c>
    </row>
    <row r="113">
      <c r="A113" s="16" t="s">
        <v>87</v>
      </c>
      <c r="E113" s="16" t="str">
        <f>IFERROR(__xludf.DUMMYFUNCTION("""COMPUTED_VALUE"""),"")</f>
        <v/>
      </c>
      <c r="G113" s="18"/>
      <c r="H113" s="16" t="s">
        <v>87</v>
      </c>
      <c r="I113" s="16" t="s">
        <v>87</v>
      </c>
      <c r="J113" s="19"/>
      <c r="L113" s="16" t="str">
        <f>IFERROR(__xludf.DUMMYFUNCTION("""COMPUTED_VALUE"""),"")</f>
        <v/>
      </c>
      <c r="M113" s="16" t="str">
        <f>IFERROR(__xludf.DUMMYFUNCTION("""COMPUTED_VALUE"""),"")</f>
        <v/>
      </c>
      <c r="U113" s="16" t="s">
        <v>87</v>
      </c>
      <c r="V113" s="16" t="str">
        <f>IFERROR(__xludf.DUMMYFUNCTION("""COMPUTED_VALUE"""),"")</f>
        <v/>
      </c>
      <c r="W113" s="16" t="str">
        <f>IFERROR(__xludf.DUMMYFUNCTION("""COMPUTED_VALUE"""),"")</f>
        <v/>
      </c>
      <c r="X113" s="16" t="str">
        <f>IFERROR(__xludf.DUMMYFUNCTION("""COMPUTED_VALUE"""),"")</f>
        <v/>
      </c>
      <c r="AC113" s="16" t="str">
        <f>IFERROR(__xludf.DUMMYFUNCTION("""COMPUTED_VALUE"""),"")</f>
        <v/>
      </c>
    </row>
    <row r="114">
      <c r="A114" s="16" t="s">
        <v>87</v>
      </c>
      <c r="E114" s="16" t="str">
        <f>IFERROR(__xludf.DUMMYFUNCTION("""COMPUTED_VALUE"""),"")</f>
        <v/>
      </c>
      <c r="G114" s="18"/>
      <c r="H114" s="16" t="s">
        <v>87</v>
      </c>
      <c r="I114" s="16" t="s">
        <v>87</v>
      </c>
      <c r="J114" s="19"/>
      <c r="L114" s="16" t="str">
        <f>IFERROR(__xludf.DUMMYFUNCTION("""COMPUTED_VALUE"""),"")</f>
        <v/>
      </c>
      <c r="M114" s="16" t="str">
        <f>IFERROR(__xludf.DUMMYFUNCTION("""COMPUTED_VALUE"""),"")</f>
        <v/>
      </c>
      <c r="U114" s="16" t="s">
        <v>87</v>
      </c>
      <c r="V114" s="16" t="str">
        <f>IFERROR(__xludf.DUMMYFUNCTION("""COMPUTED_VALUE"""),"")</f>
        <v/>
      </c>
      <c r="W114" s="16" t="str">
        <f>IFERROR(__xludf.DUMMYFUNCTION("""COMPUTED_VALUE"""),"")</f>
        <v/>
      </c>
      <c r="X114" s="16" t="str">
        <f>IFERROR(__xludf.DUMMYFUNCTION("""COMPUTED_VALUE"""),"")</f>
        <v/>
      </c>
      <c r="AC114" s="16" t="str">
        <f>IFERROR(__xludf.DUMMYFUNCTION("""COMPUTED_VALUE"""),"")</f>
        <v/>
      </c>
    </row>
    <row r="115">
      <c r="A115" s="16" t="s">
        <v>87</v>
      </c>
      <c r="E115" s="16" t="str">
        <f>IFERROR(__xludf.DUMMYFUNCTION("""COMPUTED_VALUE"""),"")</f>
        <v/>
      </c>
      <c r="G115" s="18"/>
      <c r="H115" s="16" t="s">
        <v>87</v>
      </c>
      <c r="I115" s="16" t="s">
        <v>87</v>
      </c>
      <c r="J115" s="19"/>
      <c r="L115" s="16" t="str">
        <f>IFERROR(__xludf.DUMMYFUNCTION("""COMPUTED_VALUE"""),"")</f>
        <v/>
      </c>
      <c r="M115" s="16" t="str">
        <f>IFERROR(__xludf.DUMMYFUNCTION("""COMPUTED_VALUE"""),"")</f>
        <v/>
      </c>
      <c r="U115" s="16" t="s">
        <v>87</v>
      </c>
      <c r="V115" s="16" t="str">
        <f>IFERROR(__xludf.DUMMYFUNCTION("""COMPUTED_VALUE"""),"")</f>
        <v/>
      </c>
      <c r="W115" s="16" t="str">
        <f>IFERROR(__xludf.DUMMYFUNCTION("""COMPUTED_VALUE"""),"")</f>
        <v/>
      </c>
      <c r="X115" s="16" t="str">
        <f>IFERROR(__xludf.DUMMYFUNCTION("""COMPUTED_VALUE"""),"")</f>
        <v/>
      </c>
      <c r="AC115" s="16" t="str">
        <f>IFERROR(__xludf.DUMMYFUNCTION("""COMPUTED_VALUE"""),"")</f>
        <v/>
      </c>
    </row>
    <row r="116">
      <c r="A116" s="16" t="s">
        <v>87</v>
      </c>
      <c r="E116" s="16" t="str">
        <f>IFERROR(__xludf.DUMMYFUNCTION("""COMPUTED_VALUE"""),"")</f>
        <v/>
      </c>
      <c r="G116" s="18"/>
      <c r="H116" s="16" t="s">
        <v>87</v>
      </c>
      <c r="I116" s="16" t="s">
        <v>87</v>
      </c>
      <c r="J116" s="19"/>
      <c r="L116" s="16" t="str">
        <f>IFERROR(__xludf.DUMMYFUNCTION("""COMPUTED_VALUE"""),"")</f>
        <v/>
      </c>
      <c r="M116" s="16" t="str">
        <f>IFERROR(__xludf.DUMMYFUNCTION("""COMPUTED_VALUE"""),"")</f>
        <v/>
      </c>
      <c r="U116" s="16" t="s">
        <v>87</v>
      </c>
      <c r="V116" s="16" t="str">
        <f>IFERROR(__xludf.DUMMYFUNCTION("""COMPUTED_VALUE"""),"")</f>
        <v/>
      </c>
      <c r="W116" s="16" t="str">
        <f>IFERROR(__xludf.DUMMYFUNCTION("""COMPUTED_VALUE"""),"")</f>
        <v/>
      </c>
      <c r="X116" s="16" t="str">
        <f>IFERROR(__xludf.DUMMYFUNCTION("""COMPUTED_VALUE"""),"")</f>
        <v/>
      </c>
      <c r="AC116" s="16" t="str">
        <f>IFERROR(__xludf.DUMMYFUNCTION("""COMPUTED_VALUE"""),"")</f>
        <v/>
      </c>
    </row>
    <row r="117">
      <c r="A117" s="16" t="s">
        <v>87</v>
      </c>
      <c r="E117" s="16" t="str">
        <f>IFERROR(__xludf.DUMMYFUNCTION("""COMPUTED_VALUE"""),"")</f>
        <v/>
      </c>
      <c r="G117" s="18"/>
      <c r="H117" s="16" t="s">
        <v>87</v>
      </c>
      <c r="I117" s="16" t="s">
        <v>87</v>
      </c>
      <c r="J117" s="19"/>
      <c r="L117" s="16" t="str">
        <f>IFERROR(__xludf.DUMMYFUNCTION("""COMPUTED_VALUE"""),"")</f>
        <v/>
      </c>
      <c r="M117" s="16" t="str">
        <f>IFERROR(__xludf.DUMMYFUNCTION("""COMPUTED_VALUE"""),"")</f>
        <v/>
      </c>
      <c r="U117" s="16" t="s">
        <v>87</v>
      </c>
      <c r="V117" s="16" t="str">
        <f>IFERROR(__xludf.DUMMYFUNCTION("""COMPUTED_VALUE"""),"")</f>
        <v/>
      </c>
      <c r="W117" s="16" t="str">
        <f>IFERROR(__xludf.DUMMYFUNCTION("""COMPUTED_VALUE"""),"")</f>
        <v/>
      </c>
      <c r="X117" s="16" t="str">
        <f>IFERROR(__xludf.DUMMYFUNCTION("""COMPUTED_VALUE"""),"")</f>
        <v/>
      </c>
      <c r="AC117" s="16" t="str">
        <f>IFERROR(__xludf.DUMMYFUNCTION("""COMPUTED_VALUE"""),"")</f>
        <v/>
      </c>
    </row>
    <row r="118">
      <c r="A118" s="16" t="s">
        <v>87</v>
      </c>
      <c r="E118" s="16" t="str">
        <f>IFERROR(__xludf.DUMMYFUNCTION("""COMPUTED_VALUE"""),"")</f>
        <v/>
      </c>
      <c r="G118" s="18"/>
      <c r="H118" s="16" t="s">
        <v>87</v>
      </c>
      <c r="I118" s="16" t="s">
        <v>87</v>
      </c>
      <c r="J118" s="19"/>
      <c r="L118" s="16" t="str">
        <f>IFERROR(__xludf.DUMMYFUNCTION("""COMPUTED_VALUE"""),"")</f>
        <v/>
      </c>
      <c r="M118" s="16" t="str">
        <f>IFERROR(__xludf.DUMMYFUNCTION("""COMPUTED_VALUE"""),"")</f>
        <v/>
      </c>
      <c r="U118" s="16" t="s">
        <v>87</v>
      </c>
      <c r="V118" s="16" t="str">
        <f>IFERROR(__xludf.DUMMYFUNCTION("""COMPUTED_VALUE"""),"")</f>
        <v/>
      </c>
      <c r="W118" s="16" t="str">
        <f>IFERROR(__xludf.DUMMYFUNCTION("""COMPUTED_VALUE"""),"")</f>
        <v/>
      </c>
      <c r="X118" s="16" t="str">
        <f>IFERROR(__xludf.DUMMYFUNCTION("""COMPUTED_VALUE"""),"")</f>
        <v/>
      </c>
      <c r="AC118" s="16" t="str">
        <f>IFERROR(__xludf.DUMMYFUNCTION("""COMPUTED_VALUE"""),"")</f>
        <v/>
      </c>
    </row>
    <row r="119">
      <c r="A119" s="16" t="s">
        <v>87</v>
      </c>
      <c r="E119" s="16" t="str">
        <f>IFERROR(__xludf.DUMMYFUNCTION("""COMPUTED_VALUE"""),"")</f>
        <v/>
      </c>
      <c r="G119" s="18"/>
      <c r="H119" s="16" t="s">
        <v>87</v>
      </c>
      <c r="I119" s="16" t="s">
        <v>87</v>
      </c>
      <c r="J119" s="19"/>
      <c r="L119" s="16" t="str">
        <f>IFERROR(__xludf.DUMMYFUNCTION("""COMPUTED_VALUE"""),"")</f>
        <v/>
      </c>
      <c r="M119" s="16" t="str">
        <f>IFERROR(__xludf.DUMMYFUNCTION("""COMPUTED_VALUE"""),"")</f>
        <v/>
      </c>
      <c r="U119" s="16" t="s">
        <v>87</v>
      </c>
      <c r="V119" s="16" t="str">
        <f>IFERROR(__xludf.DUMMYFUNCTION("""COMPUTED_VALUE"""),"")</f>
        <v/>
      </c>
      <c r="W119" s="16" t="str">
        <f>IFERROR(__xludf.DUMMYFUNCTION("""COMPUTED_VALUE"""),"")</f>
        <v/>
      </c>
      <c r="X119" s="16" t="str">
        <f>IFERROR(__xludf.DUMMYFUNCTION("""COMPUTED_VALUE"""),"")</f>
        <v/>
      </c>
      <c r="AC119" s="16" t="str">
        <f>IFERROR(__xludf.DUMMYFUNCTION("""COMPUTED_VALUE"""),"")</f>
        <v/>
      </c>
    </row>
    <row r="120">
      <c r="A120" s="16" t="s">
        <v>87</v>
      </c>
      <c r="E120" s="16" t="str">
        <f>IFERROR(__xludf.DUMMYFUNCTION("""COMPUTED_VALUE"""),"")</f>
        <v/>
      </c>
      <c r="G120" s="18"/>
      <c r="H120" s="16" t="s">
        <v>87</v>
      </c>
      <c r="I120" s="16" t="s">
        <v>87</v>
      </c>
      <c r="J120" s="19"/>
      <c r="L120" s="16" t="str">
        <f>IFERROR(__xludf.DUMMYFUNCTION("""COMPUTED_VALUE"""),"")</f>
        <v/>
      </c>
      <c r="M120" s="16" t="str">
        <f>IFERROR(__xludf.DUMMYFUNCTION("""COMPUTED_VALUE"""),"")</f>
        <v/>
      </c>
      <c r="U120" s="16" t="s">
        <v>87</v>
      </c>
      <c r="V120" s="16" t="str">
        <f>IFERROR(__xludf.DUMMYFUNCTION("""COMPUTED_VALUE"""),"")</f>
        <v/>
      </c>
      <c r="W120" s="16" t="str">
        <f>IFERROR(__xludf.DUMMYFUNCTION("""COMPUTED_VALUE"""),"")</f>
        <v/>
      </c>
      <c r="X120" s="16" t="str">
        <f>IFERROR(__xludf.DUMMYFUNCTION("""COMPUTED_VALUE"""),"")</f>
        <v/>
      </c>
      <c r="AC120" s="16" t="str">
        <f>IFERROR(__xludf.DUMMYFUNCTION("""COMPUTED_VALUE"""),"")</f>
        <v/>
      </c>
    </row>
    <row r="121">
      <c r="A121" s="16" t="s">
        <v>87</v>
      </c>
      <c r="E121" s="16" t="str">
        <f>IFERROR(__xludf.DUMMYFUNCTION("""COMPUTED_VALUE"""),"")</f>
        <v/>
      </c>
      <c r="G121" s="18"/>
      <c r="H121" s="16" t="s">
        <v>87</v>
      </c>
      <c r="I121" s="16" t="s">
        <v>87</v>
      </c>
      <c r="J121" s="19"/>
      <c r="L121" s="16" t="str">
        <f>IFERROR(__xludf.DUMMYFUNCTION("""COMPUTED_VALUE"""),"")</f>
        <v/>
      </c>
      <c r="M121" s="16" t="str">
        <f>IFERROR(__xludf.DUMMYFUNCTION("""COMPUTED_VALUE"""),"")</f>
        <v/>
      </c>
      <c r="U121" s="16" t="s">
        <v>87</v>
      </c>
      <c r="V121" s="16" t="str">
        <f>IFERROR(__xludf.DUMMYFUNCTION("""COMPUTED_VALUE"""),"")</f>
        <v/>
      </c>
      <c r="W121" s="16" t="str">
        <f>IFERROR(__xludf.DUMMYFUNCTION("""COMPUTED_VALUE"""),"")</f>
        <v/>
      </c>
      <c r="X121" s="16" t="str">
        <f>IFERROR(__xludf.DUMMYFUNCTION("""COMPUTED_VALUE"""),"")</f>
        <v/>
      </c>
      <c r="AC121" s="16" t="str">
        <f>IFERROR(__xludf.DUMMYFUNCTION("""COMPUTED_VALUE"""),"")</f>
        <v/>
      </c>
    </row>
    <row r="122">
      <c r="A122" s="16" t="s">
        <v>87</v>
      </c>
      <c r="E122" s="16" t="str">
        <f>IFERROR(__xludf.DUMMYFUNCTION("""COMPUTED_VALUE"""),"")</f>
        <v/>
      </c>
      <c r="G122" s="18"/>
      <c r="H122" s="16" t="s">
        <v>87</v>
      </c>
      <c r="I122" s="16" t="s">
        <v>87</v>
      </c>
      <c r="J122" s="19"/>
      <c r="L122" s="16" t="str">
        <f>IFERROR(__xludf.DUMMYFUNCTION("""COMPUTED_VALUE"""),"")</f>
        <v/>
      </c>
      <c r="M122" s="16" t="str">
        <f>IFERROR(__xludf.DUMMYFUNCTION("""COMPUTED_VALUE"""),"")</f>
        <v/>
      </c>
      <c r="U122" s="16" t="s">
        <v>87</v>
      </c>
      <c r="V122" s="16" t="str">
        <f>IFERROR(__xludf.DUMMYFUNCTION("""COMPUTED_VALUE"""),"")</f>
        <v/>
      </c>
      <c r="W122" s="16" t="str">
        <f>IFERROR(__xludf.DUMMYFUNCTION("""COMPUTED_VALUE"""),"")</f>
        <v/>
      </c>
      <c r="X122" s="16" t="str">
        <f>IFERROR(__xludf.DUMMYFUNCTION("""COMPUTED_VALUE"""),"")</f>
        <v/>
      </c>
      <c r="AC122" s="16" t="str">
        <f>IFERROR(__xludf.DUMMYFUNCTION("""COMPUTED_VALUE"""),"")</f>
        <v/>
      </c>
    </row>
    <row r="123">
      <c r="A123" s="16" t="s">
        <v>87</v>
      </c>
      <c r="E123" s="16" t="str">
        <f>IFERROR(__xludf.DUMMYFUNCTION("""COMPUTED_VALUE"""),"")</f>
        <v/>
      </c>
      <c r="G123" s="18"/>
      <c r="H123" s="16" t="s">
        <v>87</v>
      </c>
      <c r="I123" s="16" t="s">
        <v>87</v>
      </c>
      <c r="J123" s="19"/>
      <c r="L123" s="16" t="str">
        <f>IFERROR(__xludf.DUMMYFUNCTION("""COMPUTED_VALUE"""),"")</f>
        <v/>
      </c>
      <c r="M123" s="16" t="str">
        <f>IFERROR(__xludf.DUMMYFUNCTION("""COMPUTED_VALUE"""),"")</f>
        <v/>
      </c>
      <c r="U123" s="16" t="s">
        <v>87</v>
      </c>
      <c r="V123" s="16" t="str">
        <f>IFERROR(__xludf.DUMMYFUNCTION("""COMPUTED_VALUE"""),"")</f>
        <v/>
      </c>
      <c r="W123" s="16" t="str">
        <f>IFERROR(__xludf.DUMMYFUNCTION("""COMPUTED_VALUE"""),"")</f>
        <v/>
      </c>
      <c r="X123" s="16" t="str">
        <f>IFERROR(__xludf.DUMMYFUNCTION("""COMPUTED_VALUE"""),"")</f>
        <v/>
      </c>
      <c r="AC123" s="16" t="str">
        <f>IFERROR(__xludf.DUMMYFUNCTION("""COMPUTED_VALUE"""),"")</f>
        <v/>
      </c>
    </row>
    <row r="124">
      <c r="A124" s="16" t="s">
        <v>87</v>
      </c>
      <c r="E124" s="16" t="str">
        <f>IFERROR(__xludf.DUMMYFUNCTION("""COMPUTED_VALUE"""),"")</f>
        <v/>
      </c>
      <c r="G124" s="18"/>
      <c r="H124" s="16" t="s">
        <v>87</v>
      </c>
      <c r="I124" s="16" t="s">
        <v>87</v>
      </c>
      <c r="J124" s="19"/>
      <c r="L124" s="16" t="str">
        <f>IFERROR(__xludf.DUMMYFUNCTION("""COMPUTED_VALUE"""),"")</f>
        <v/>
      </c>
      <c r="M124" s="16" t="str">
        <f>IFERROR(__xludf.DUMMYFUNCTION("""COMPUTED_VALUE"""),"")</f>
        <v/>
      </c>
      <c r="U124" s="16" t="s">
        <v>87</v>
      </c>
      <c r="V124" s="16" t="str">
        <f>IFERROR(__xludf.DUMMYFUNCTION("""COMPUTED_VALUE"""),"")</f>
        <v/>
      </c>
      <c r="W124" s="16" t="str">
        <f>IFERROR(__xludf.DUMMYFUNCTION("""COMPUTED_VALUE"""),"")</f>
        <v/>
      </c>
      <c r="X124" s="16" t="str">
        <f>IFERROR(__xludf.DUMMYFUNCTION("""COMPUTED_VALUE"""),"")</f>
        <v/>
      </c>
      <c r="AC124" s="16" t="str">
        <f>IFERROR(__xludf.DUMMYFUNCTION("""COMPUTED_VALUE"""),"")</f>
        <v/>
      </c>
    </row>
    <row r="125">
      <c r="A125" s="16" t="s">
        <v>87</v>
      </c>
      <c r="E125" s="16" t="str">
        <f>IFERROR(__xludf.DUMMYFUNCTION("""COMPUTED_VALUE"""),"")</f>
        <v/>
      </c>
      <c r="G125" s="18"/>
      <c r="H125" s="16" t="s">
        <v>87</v>
      </c>
      <c r="I125" s="16" t="s">
        <v>87</v>
      </c>
      <c r="J125" s="19"/>
      <c r="L125" s="16" t="str">
        <f>IFERROR(__xludf.DUMMYFUNCTION("""COMPUTED_VALUE"""),"")</f>
        <v/>
      </c>
      <c r="M125" s="16" t="str">
        <f>IFERROR(__xludf.DUMMYFUNCTION("""COMPUTED_VALUE"""),"")</f>
        <v/>
      </c>
      <c r="U125" s="16" t="s">
        <v>87</v>
      </c>
      <c r="V125" s="16" t="str">
        <f>IFERROR(__xludf.DUMMYFUNCTION("""COMPUTED_VALUE"""),"")</f>
        <v/>
      </c>
      <c r="W125" s="16" t="str">
        <f>IFERROR(__xludf.DUMMYFUNCTION("""COMPUTED_VALUE"""),"")</f>
        <v/>
      </c>
      <c r="X125" s="16" t="str">
        <f>IFERROR(__xludf.DUMMYFUNCTION("""COMPUTED_VALUE"""),"")</f>
        <v/>
      </c>
      <c r="AC125" s="16" t="str">
        <f>IFERROR(__xludf.DUMMYFUNCTION("""COMPUTED_VALUE"""),"")</f>
        <v/>
      </c>
    </row>
    <row r="126">
      <c r="A126" s="16" t="s">
        <v>87</v>
      </c>
      <c r="E126" s="16" t="str">
        <f>IFERROR(__xludf.DUMMYFUNCTION("""COMPUTED_VALUE"""),"")</f>
        <v/>
      </c>
      <c r="G126" s="18"/>
      <c r="H126" s="16" t="s">
        <v>87</v>
      </c>
      <c r="I126" s="16" t="s">
        <v>87</v>
      </c>
      <c r="J126" s="19"/>
      <c r="L126" s="16" t="str">
        <f>IFERROR(__xludf.DUMMYFUNCTION("""COMPUTED_VALUE"""),"")</f>
        <v/>
      </c>
      <c r="M126" s="16" t="str">
        <f>IFERROR(__xludf.DUMMYFUNCTION("""COMPUTED_VALUE"""),"")</f>
        <v/>
      </c>
      <c r="U126" s="16" t="s">
        <v>87</v>
      </c>
      <c r="V126" s="16" t="str">
        <f>IFERROR(__xludf.DUMMYFUNCTION("""COMPUTED_VALUE"""),"")</f>
        <v/>
      </c>
      <c r="W126" s="16" t="str">
        <f>IFERROR(__xludf.DUMMYFUNCTION("""COMPUTED_VALUE"""),"")</f>
        <v/>
      </c>
      <c r="X126" s="16" t="str">
        <f>IFERROR(__xludf.DUMMYFUNCTION("""COMPUTED_VALUE"""),"")</f>
        <v/>
      </c>
      <c r="AC126" s="16" t="str">
        <f>IFERROR(__xludf.DUMMYFUNCTION("""COMPUTED_VALUE"""),"")</f>
        <v/>
      </c>
    </row>
    <row r="127">
      <c r="A127" s="16" t="s">
        <v>87</v>
      </c>
      <c r="E127" s="16" t="str">
        <f>IFERROR(__xludf.DUMMYFUNCTION("""COMPUTED_VALUE"""),"")</f>
        <v/>
      </c>
      <c r="G127" s="18"/>
      <c r="H127" s="16" t="s">
        <v>87</v>
      </c>
      <c r="I127" s="16" t="s">
        <v>87</v>
      </c>
      <c r="J127" s="19"/>
      <c r="L127" s="16" t="str">
        <f>IFERROR(__xludf.DUMMYFUNCTION("""COMPUTED_VALUE"""),"")</f>
        <v/>
      </c>
      <c r="M127" s="16" t="str">
        <f>IFERROR(__xludf.DUMMYFUNCTION("""COMPUTED_VALUE"""),"")</f>
        <v/>
      </c>
      <c r="U127" s="16" t="s">
        <v>87</v>
      </c>
      <c r="V127" s="16" t="str">
        <f>IFERROR(__xludf.DUMMYFUNCTION("""COMPUTED_VALUE"""),"")</f>
        <v/>
      </c>
      <c r="W127" s="16" t="str">
        <f>IFERROR(__xludf.DUMMYFUNCTION("""COMPUTED_VALUE"""),"")</f>
        <v/>
      </c>
      <c r="X127" s="16" t="str">
        <f>IFERROR(__xludf.DUMMYFUNCTION("""COMPUTED_VALUE"""),"")</f>
        <v/>
      </c>
      <c r="AC127" s="16" t="str">
        <f>IFERROR(__xludf.DUMMYFUNCTION("""COMPUTED_VALUE"""),"")</f>
        <v/>
      </c>
    </row>
    <row r="128">
      <c r="A128" s="16" t="s">
        <v>87</v>
      </c>
      <c r="E128" s="16" t="str">
        <f>IFERROR(__xludf.DUMMYFUNCTION("""COMPUTED_VALUE"""),"")</f>
        <v/>
      </c>
      <c r="G128" s="18"/>
      <c r="H128" s="16" t="s">
        <v>87</v>
      </c>
      <c r="I128" s="16" t="s">
        <v>87</v>
      </c>
      <c r="J128" s="19"/>
      <c r="L128" s="16" t="str">
        <f>IFERROR(__xludf.DUMMYFUNCTION("""COMPUTED_VALUE"""),"")</f>
        <v/>
      </c>
      <c r="M128" s="16" t="str">
        <f>IFERROR(__xludf.DUMMYFUNCTION("""COMPUTED_VALUE"""),"")</f>
        <v/>
      </c>
      <c r="U128" s="16" t="s">
        <v>87</v>
      </c>
      <c r="V128" s="16" t="str">
        <f>IFERROR(__xludf.DUMMYFUNCTION("""COMPUTED_VALUE"""),"")</f>
        <v/>
      </c>
      <c r="W128" s="16" t="str">
        <f>IFERROR(__xludf.DUMMYFUNCTION("""COMPUTED_VALUE"""),"")</f>
        <v/>
      </c>
      <c r="X128" s="16" t="str">
        <f>IFERROR(__xludf.DUMMYFUNCTION("""COMPUTED_VALUE"""),"")</f>
        <v/>
      </c>
      <c r="AC128" s="16" t="str">
        <f>IFERROR(__xludf.DUMMYFUNCTION("""COMPUTED_VALUE"""),"")</f>
        <v/>
      </c>
    </row>
    <row r="129">
      <c r="A129" s="16" t="s">
        <v>87</v>
      </c>
      <c r="E129" s="16" t="str">
        <f>IFERROR(__xludf.DUMMYFUNCTION("""COMPUTED_VALUE"""),"")</f>
        <v/>
      </c>
      <c r="G129" s="18"/>
      <c r="H129" s="16" t="s">
        <v>87</v>
      </c>
      <c r="I129" s="16" t="s">
        <v>87</v>
      </c>
      <c r="J129" s="19"/>
      <c r="L129" s="16" t="str">
        <f>IFERROR(__xludf.DUMMYFUNCTION("""COMPUTED_VALUE"""),"")</f>
        <v/>
      </c>
      <c r="M129" s="16" t="str">
        <f>IFERROR(__xludf.DUMMYFUNCTION("""COMPUTED_VALUE"""),"")</f>
        <v/>
      </c>
      <c r="U129" s="16" t="s">
        <v>87</v>
      </c>
      <c r="V129" s="16" t="str">
        <f>IFERROR(__xludf.DUMMYFUNCTION("""COMPUTED_VALUE"""),"")</f>
        <v/>
      </c>
      <c r="W129" s="16" t="str">
        <f>IFERROR(__xludf.DUMMYFUNCTION("""COMPUTED_VALUE"""),"")</f>
        <v/>
      </c>
      <c r="X129" s="16" t="str">
        <f>IFERROR(__xludf.DUMMYFUNCTION("""COMPUTED_VALUE"""),"")</f>
        <v/>
      </c>
      <c r="AC129" s="16" t="str">
        <f>IFERROR(__xludf.DUMMYFUNCTION("""COMPUTED_VALUE"""),"")</f>
        <v/>
      </c>
    </row>
    <row r="130">
      <c r="A130" s="16" t="s">
        <v>87</v>
      </c>
      <c r="E130" s="16" t="str">
        <f>IFERROR(__xludf.DUMMYFUNCTION("""COMPUTED_VALUE"""),"")</f>
        <v/>
      </c>
      <c r="G130" s="18"/>
      <c r="H130" s="16" t="s">
        <v>87</v>
      </c>
      <c r="I130" s="16" t="s">
        <v>87</v>
      </c>
      <c r="J130" s="19"/>
      <c r="L130" s="16" t="str">
        <f>IFERROR(__xludf.DUMMYFUNCTION("""COMPUTED_VALUE"""),"")</f>
        <v/>
      </c>
      <c r="M130" s="16" t="str">
        <f>IFERROR(__xludf.DUMMYFUNCTION("""COMPUTED_VALUE"""),"")</f>
        <v/>
      </c>
      <c r="U130" s="16" t="s">
        <v>87</v>
      </c>
      <c r="V130" s="16" t="str">
        <f>IFERROR(__xludf.DUMMYFUNCTION("""COMPUTED_VALUE"""),"")</f>
        <v/>
      </c>
      <c r="W130" s="16" t="str">
        <f>IFERROR(__xludf.DUMMYFUNCTION("""COMPUTED_VALUE"""),"")</f>
        <v/>
      </c>
      <c r="X130" s="16" t="str">
        <f>IFERROR(__xludf.DUMMYFUNCTION("""COMPUTED_VALUE"""),"")</f>
        <v/>
      </c>
      <c r="AC130" s="16" t="str">
        <f>IFERROR(__xludf.DUMMYFUNCTION("""COMPUTED_VALUE"""),"")</f>
        <v/>
      </c>
    </row>
    <row r="131">
      <c r="A131" s="16" t="s">
        <v>87</v>
      </c>
      <c r="E131" s="16" t="str">
        <f>IFERROR(__xludf.DUMMYFUNCTION("""COMPUTED_VALUE"""),"")</f>
        <v/>
      </c>
      <c r="G131" s="18"/>
      <c r="H131" s="16" t="s">
        <v>87</v>
      </c>
      <c r="I131" s="16" t="s">
        <v>87</v>
      </c>
      <c r="J131" s="19"/>
      <c r="L131" s="16" t="str">
        <f>IFERROR(__xludf.DUMMYFUNCTION("""COMPUTED_VALUE"""),"")</f>
        <v/>
      </c>
      <c r="M131" s="16" t="str">
        <f>IFERROR(__xludf.DUMMYFUNCTION("""COMPUTED_VALUE"""),"")</f>
        <v/>
      </c>
      <c r="U131" s="16" t="s">
        <v>87</v>
      </c>
      <c r="V131" s="16" t="str">
        <f>IFERROR(__xludf.DUMMYFUNCTION("""COMPUTED_VALUE"""),"")</f>
        <v/>
      </c>
      <c r="W131" s="16" t="str">
        <f>IFERROR(__xludf.DUMMYFUNCTION("""COMPUTED_VALUE"""),"")</f>
        <v/>
      </c>
      <c r="X131" s="16" t="str">
        <f>IFERROR(__xludf.DUMMYFUNCTION("""COMPUTED_VALUE"""),"")</f>
        <v/>
      </c>
      <c r="AC131" s="16" t="str">
        <f>IFERROR(__xludf.DUMMYFUNCTION("""COMPUTED_VALUE"""),"")</f>
        <v/>
      </c>
    </row>
    <row r="132">
      <c r="A132" s="16" t="s">
        <v>87</v>
      </c>
      <c r="E132" s="16" t="str">
        <f>IFERROR(__xludf.DUMMYFUNCTION("""COMPUTED_VALUE"""),"")</f>
        <v/>
      </c>
      <c r="G132" s="18"/>
      <c r="H132" s="16" t="s">
        <v>87</v>
      </c>
      <c r="I132" s="16" t="s">
        <v>87</v>
      </c>
      <c r="J132" s="19"/>
      <c r="L132" s="16" t="str">
        <f>IFERROR(__xludf.DUMMYFUNCTION("""COMPUTED_VALUE"""),"")</f>
        <v/>
      </c>
      <c r="M132" s="16" t="str">
        <f>IFERROR(__xludf.DUMMYFUNCTION("""COMPUTED_VALUE"""),"")</f>
        <v/>
      </c>
      <c r="U132" s="16" t="s">
        <v>87</v>
      </c>
      <c r="V132" s="16" t="str">
        <f>IFERROR(__xludf.DUMMYFUNCTION("""COMPUTED_VALUE"""),"")</f>
        <v/>
      </c>
      <c r="W132" s="16" t="str">
        <f>IFERROR(__xludf.DUMMYFUNCTION("""COMPUTED_VALUE"""),"")</f>
        <v/>
      </c>
      <c r="X132" s="16" t="str">
        <f>IFERROR(__xludf.DUMMYFUNCTION("""COMPUTED_VALUE"""),"")</f>
        <v/>
      </c>
      <c r="AC132" s="16" t="str">
        <f>IFERROR(__xludf.DUMMYFUNCTION("""COMPUTED_VALUE"""),"")</f>
        <v/>
      </c>
    </row>
    <row r="133">
      <c r="A133" s="16" t="s">
        <v>87</v>
      </c>
      <c r="E133" s="16" t="str">
        <f>IFERROR(__xludf.DUMMYFUNCTION("""COMPUTED_VALUE"""),"")</f>
        <v/>
      </c>
      <c r="G133" s="18"/>
      <c r="H133" s="16" t="s">
        <v>87</v>
      </c>
      <c r="I133" s="16" t="s">
        <v>87</v>
      </c>
      <c r="J133" s="19"/>
      <c r="L133" s="16" t="str">
        <f>IFERROR(__xludf.DUMMYFUNCTION("""COMPUTED_VALUE"""),"")</f>
        <v/>
      </c>
      <c r="M133" s="16" t="str">
        <f>IFERROR(__xludf.DUMMYFUNCTION("""COMPUTED_VALUE"""),"")</f>
        <v/>
      </c>
      <c r="U133" s="16" t="s">
        <v>87</v>
      </c>
      <c r="V133" s="16" t="str">
        <f>IFERROR(__xludf.DUMMYFUNCTION("""COMPUTED_VALUE"""),"")</f>
        <v/>
      </c>
      <c r="W133" s="16" t="str">
        <f>IFERROR(__xludf.DUMMYFUNCTION("""COMPUTED_VALUE"""),"")</f>
        <v/>
      </c>
      <c r="X133" s="16" t="str">
        <f>IFERROR(__xludf.DUMMYFUNCTION("""COMPUTED_VALUE"""),"")</f>
        <v/>
      </c>
      <c r="AC133" s="16" t="str">
        <f>IFERROR(__xludf.DUMMYFUNCTION("""COMPUTED_VALUE"""),"")</f>
        <v/>
      </c>
    </row>
    <row r="134">
      <c r="A134" s="16" t="s">
        <v>87</v>
      </c>
      <c r="E134" s="16" t="str">
        <f>IFERROR(__xludf.DUMMYFUNCTION("""COMPUTED_VALUE"""),"")</f>
        <v/>
      </c>
      <c r="G134" s="18"/>
      <c r="H134" s="16" t="s">
        <v>87</v>
      </c>
      <c r="I134" s="16" t="s">
        <v>87</v>
      </c>
      <c r="J134" s="19"/>
      <c r="L134" s="16" t="str">
        <f>IFERROR(__xludf.DUMMYFUNCTION("""COMPUTED_VALUE"""),"")</f>
        <v/>
      </c>
      <c r="M134" s="16" t="str">
        <f>IFERROR(__xludf.DUMMYFUNCTION("""COMPUTED_VALUE"""),"")</f>
        <v/>
      </c>
      <c r="U134" s="16" t="s">
        <v>87</v>
      </c>
      <c r="V134" s="16" t="str">
        <f>IFERROR(__xludf.DUMMYFUNCTION("""COMPUTED_VALUE"""),"")</f>
        <v/>
      </c>
      <c r="W134" s="16" t="str">
        <f>IFERROR(__xludf.DUMMYFUNCTION("""COMPUTED_VALUE"""),"")</f>
        <v/>
      </c>
      <c r="X134" s="16" t="str">
        <f>IFERROR(__xludf.DUMMYFUNCTION("""COMPUTED_VALUE"""),"")</f>
        <v/>
      </c>
      <c r="AC134" s="16" t="str">
        <f>IFERROR(__xludf.DUMMYFUNCTION("""COMPUTED_VALUE"""),"")</f>
        <v/>
      </c>
    </row>
    <row r="135">
      <c r="A135" s="16" t="s">
        <v>87</v>
      </c>
      <c r="E135" s="16" t="str">
        <f>IFERROR(__xludf.DUMMYFUNCTION("""COMPUTED_VALUE"""),"")</f>
        <v/>
      </c>
      <c r="G135" s="18"/>
      <c r="H135" s="16" t="s">
        <v>87</v>
      </c>
      <c r="I135" s="16" t="s">
        <v>87</v>
      </c>
      <c r="J135" s="19"/>
      <c r="L135" s="16" t="str">
        <f>IFERROR(__xludf.DUMMYFUNCTION("""COMPUTED_VALUE"""),"")</f>
        <v/>
      </c>
      <c r="M135" s="16" t="str">
        <f>IFERROR(__xludf.DUMMYFUNCTION("""COMPUTED_VALUE"""),"")</f>
        <v/>
      </c>
      <c r="U135" s="16" t="s">
        <v>87</v>
      </c>
      <c r="V135" s="16" t="str">
        <f>IFERROR(__xludf.DUMMYFUNCTION("""COMPUTED_VALUE"""),"")</f>
        <v/>
      </c>
      <c r="W135" s="16" t="str">
        <f>IFERROR(__xludf.DUMMYFUNCTION("""COMPUTED_VALUE"""),"")</f>
        <v/>
      </c>
      <c r="X135" s="16" t="str">
        <f>IFERROR(__xludf.DUMMYFUNCTION("""COMPUTED_VALUE"""),"")</f>
        <v/>
      </c>
      <c r="AC135" s="16" t="str">
        <f>IFERROR(__xludf.DUMMYFUNCTION("""COMPUTED_VALUE"""),"")</f>
        <v/>
      </c>
    </row>
    <row r="136">
      <c r="A136" s="16" t="s">
        <v>87</v>
      </c>
      <c r="E136" s="16" t="str">
        <f>IFERROR(__xludf.DUMMYFUNCTION("""COMPUTED_VALUE"""),"")</f>
        <v/>
      </c>
      <c r="G136" s="18"/>
      <c r="H136" s="16" t="s">
        <v>87</v>
      </c>
      <c r="I136" s="16" t="s">
        <v>87</v>
      </c>
      <c r="J136" s="19"/>
      <c r="L136" s="16" t="str">
        <f>IFERROR(__xludf.DUMMYFUNCTION("""COMPUTED_VALUE"""),"")</f>
        <v/>
      </c>
      <c r="M136" s="16" t="str">
        <f>IFERROR(__xludf.DUMMYFUNCTION("""COMPUTED_VALUE"""),"")</f>
        <v/>
      </c>
      <c r="U136" s="16" t="s">
        <v>87</v>
      </c>
      <c r="V136" s="16" t="str">
        <f>IFERROR(__xludf.DUMMYFUNCTION("""COMPUTED_VALUE"""),"")</f>
        <v/>
      </c>
      <c r="W136" s="16" t="str">
        <f>IFERROR(__xludf.DUMMYFUNCTION("""COMPUTED_VALUE"""),"")</f>
        <v/>
      </c>
      <c r="X136" s="16" t="str">
        <f>IFERROR(__xludf.DUMMYFUNCTION("""COMPUTED_VALUE"""),"")</f>
        <v/>
      </c>
      <c r="AC136" s="16" t="str">
        <f>IFERROR(__xludf.DUMMYFUNCTION("""COMPUTED_VALUE"""),"")</f>
        <v/>
      </c>
    </row>
    <row r="137">
      <c r="A137" s="16" t="s">
        <v>87</v>
      </c>
      <c r="E137" s="16" t="str">
        <f>IFERROR(__xludf.DUMMYFUNCTION("""COMPUTED_VALUE"""),"")</f>
        <v/>
      </c>
      <c r="G137" s="18"/>
      <c r="H137" s="16" t="s">
        <v>87</v>
      </c>
      <c r="I137" s="16" t="s">
        <v>87</v>
      </c>
      <c r="J137" s="19"/>
      <c r="L137" s="16" t="str">
        <f>IFERROR(__xludf.DUMMYFUNCTION("""COMPUTED_VALUE"""),"")</f>
        <v/>
      </c>
      <c r="M137" s="16" t="str">
        <f>IFERROR(__xludf.DUMMYFUNCTION("""COMPUTED_VALUE"""),"")</f>
        <v/>
      </c>
      <c r="U137" s="16" t="s">
        <v>87</v>
      </c>
      <c r="V137" s="16" t="str">
        <f>IFERROR(__xludf.DUMMYFUNCTION("""COMPUTED_VALUE"""),"")</f>
        <v/>
      </c>
      <c r="W137" s="16" t="str">
        <f>IFERROR(__xludf.DUMMYFUNCTION("""COMPUTED_VALUE"""),"")</f>
        <v/>
      </c>
      <c r="X137" s="16" t="str">
        <f>IFERROR(__xludf.DUMMYFUNCTION("""COMPUTED_VALUE"""),"")</f>
        <v/>
      </c>
      <c r="AC137" s="16" t="str">
        <f>IFERROR(__xludf.DUMMYFUNCTION("""COMPUTED_VALUE"""),"")</f>
        <v/>
      </c>
    </row>
    <row r="138">
      <c r="A138" s="16" t="s">
        <v>87</v>
      </c>
      <c r="E138" s="16" t="str">
        <f>IFERROR(__xludf.DUMMYFUNCTION("""COMPUTED_VALUE"""),"")</f>
        <v/>
      </c>
      <c r="G138" s="18"/>
      <c r="H138" s="16" t="s">
        <v>87</v>
      </c>
      <c r="I138" s="16" t="s">
        <v>87</v>
      </c>
      <c r="J138" s="19"/>
      <c r="L138" s="16" t="str">
        <f>IFERROR(__xludf.DUMMYFUNCTION("""COMPUTED_VALUE"""),"")</f>
        <v/>
      </c>
      <c r="M138" s="16" t="str">
        <f>IFERROR(__xludf.DUMMYFUNCTION("""COMPUTED_VALUE"""),"")</f>
        <v/>
      </c>
      <c r="U138" s="16" t="s">
        <v>87</v>
      </c>
      <c r="V138" s="16" t="str">
        <f>IFERROR(__xludf.DUMMYFUNCTION("""COMPUTED_VALUE"""),"")</f>
        <v/>
      </c>
      <c r="W138" s="16" t="str">
        <f>IFERROR(__xludf.DUMMYFUNCTION("""COMPUTED_VALUE"""),"")</f>
        <v/>
      </c>
      <c r="X138" s="16" t="str">
        <f>IFERROR(__xludf.DUMMYFUNCTION("""COMPUTED_VALUE"""),"")</f>
        <v/>
      </c>
      <c r="AC138" s="16" t="str">
        <f>IFERROR(__xludf.DUMMYFUNCTION("""COMPUTED_VALUE"""),"")</f>
        <v/>
      </c>
    </row>
    <row r="139">
      <c r="A139" s="16" t="s">
        <v>87</v>
      </c>
      <c r="E139" s="16" t="str">
        <f>IFERROR(__xludf.DUMMYFUNCTION("""COMPUTED_VALUE"""),"")</f>
        <v/>
      </c>
      <c r="G139" s="18"/>
      <c r="H139" s="16" t="s">
        <v>87</v>
      </c>
      <c r="I139" s="16" t="s">
        <v>87</v>
      </c>
      <c r="J139" s="19"/>
      <c r="L139" s="16" t="str">
        <f>IFERROR(__xludf.DUMMYFUNCTION("""COMPUTED_VALUE"""),"")</f>
        <v/>
      </c>
      <c r="M139" s="16" t="str">
        <f>IFERROR(__xludf.DUMMYFUNCTION("""COMPUTED_VALUE"""),"")</f>
        <v/>
      </c>
      <c r="U139" s="16" t="s">
        <v>87</v>
      </c>
      <c r="V139" s="16" t="str">
        <f>IFERROR(__xludf.DUMMYFUNCTION("""COMPUTED_VALUE"""),"")</f>
        <v/>
      </c>
      <c r="W139" s="16" t="str">
        <f>IFERROR(__xludf.DUMMYFUNCTION("""COMPUTED_VALUE"""),"")</f>
        <v/>
      </c>
      <c r="X139" s="16" t="str">
        <f>IFERROR(__xludf.DUMMYFUNCTION("""COMPUTED_VALUE"""),"")</f>
        <v/>
      </c>
      <c r="AC139" s="16" t="str">
        <f>IFERROR(__xludf.DUMMYFUNCTION("""COMPUTED_VALUE"""),"")</f>
        <v/>
      </c>
    </row>
    <row r="140">
      <c r="A140" s="16" t="s">
        <v>87</v>
      </c>
      <c r="E140" s="16" t="str">
        <f>IFERROR(__xludf.DUMMYFUNCTION("""COMPUTED_VALUE"""),"")</f>
        <v/>
      </c>
      <c r="G140" s="18"/>
      <c r="H140" s="16" t="s">
        <v>87</v>
      </c>
      <c r="I140" s="16" t="s">
        <v>87</v>
      </c>
      <c r="J140" s="19"/>
      <c r="L140" s="16" t="str">
        <f>IFERROR(__xludf.DUMMYFUNCTION("""COMPUTED_VALUE"""),"")</f>
        <v/>
      </c>
      <c r="M140" s="16" t="str">
        <f>IFERROR(__xludf.DUMMYFUNCTION("""COMPUTED_VALUE"""),"")</f>
        <v/>
      </c>
      <c r="U140" s="16" t="s">
        <v>87</v>
      </c>
      <c r="V140" s="16" t="str">
        <f>IFERROR(__xludf.DUMMYFUNCTION("""COMPUTED_VALUE"""),"")</f>
        <v/>
      </c>
      <c r="W140" s="16" t="str">
        <f>IFERROR(__xludf.DUMMYFUNCTION("""COMPUTED_VALUE"""),"")</f>
        <v/>
      </c>
      <c r="X140" s="16" t="str">
        <f>IFERROR(__xludf.DUMMYFUNCTION("""COMPUTED_VALUE"""),"")</f>
        <v/>
      </c>
      <c r="AC140" s="16" t="str">
        <f>IFERROR(__xludf.DUMMYFUNCTION("""COMPUTED_VALUE"""),"")</f>
        <v/>
      </c>
    </row>
    <row r="141">
      <c r="A141" s="16" t="s">
        <v>87</v>
      </c>
      <c r="E141" s="16" t="str">
        <f>IFERROR(__xludf.DUMMYFUNCTION("""COMPUTED_VALUE"""),"")</f>
        <v/>
      </c>
      <c r="G141" s="18"/>
      <c r="H141" s="16" t="s">
        <v>87</v>
      </c>
      <c r="I141" s="16" t="s">
        <v>87</v>
      </c>
      <c r="J141" s="19"/>
      <c r="L141" s="16" t="str">
        <f>IFERROR(__xludf.DUMMYFUNCTION("""COMPUTED_VALUE"""),"")</f>
        <v/>
      </c>
      <c r="M141" s="16" t="str">
        <f>IFERROR(__xludf.DUMMYFUNCTION("""COMPUTED_VALUE"""),"")</f>
        <v/>
      </c>
      <c r="U141" s="16" t="s">
        <v>87</v>
      </c>
      <c r="V141" s="16" t="str">
        <f>IFERROR(__xludf.DUMMYFUNCTION("""COMPUTED_VALUE"""),"")</f>
        <v/>
      </c>
      <c r="W141" s="16" t="str">
        <f>IFERROR(__xludf.DUMMYFUNCTION("""COMPUTED_VALUE"""),"")</f>
        <v/>
      </c>
      <c r="X141" s="16" t="str">
        <f>IFERROR(__xludf.DUMMYFUNCTION("""COMPUTED_VALUE"""),"")</f>
        <v/>
      </c>
      <c r="AC141" s="16" t="str">
        <f>IFERROR(__xludf.DUMMYFUNCTION("""COMPUTED_VALUE"""),"")</f>
        <v/>
      </c>
    </row>
    <row r="142">
      <c r="A142" s="16" t="s">
        <v>87</v>
      </c>
      <c r="E142" s="16" t="str">
        <f>IFERROR(__xludf.DUMMYFUNCTION("""COMPUTED_VALUE"""),"")</f>
        <v/>
      </c>
      <c r="G142" s="18"/>
      <c r="H142" s="16" t="s">
        <v>87</v>
      </c>
      <c r="I142" s="16" t="s">
        <v>87</v>
      </c>
      <c r="J142" s="19"/>
      <c r="L142" s="16" t="str">
        <f>IFERROR(__xludf.DUMMYFUNCTION("""COMPUTED_VALUE"""),"")</f>
        <v/>
      </c>
      <c r="M142" s="16" t="str">
        <f>IFERROR(__xludf.DUMMYFUNCTION("""COMPUTED_VALUE"""),"")</f>
        <v/>
      </c>
      <c r="U142" s="16" t="s">
        <v>87</v>
      </c>
      <c r="V142" s="16" t="str">
        <f>IFERROR(__xludf.DUMMYFUNCTION("""COMPUTED_VALUE"""),"")</f>
        <v/>
      </c>
      <c r="W142" s="16" t="str">
        <f>IFERROR(__xludf.DUMMYFUNCTION("""COMPUTED_VALUE"""),"")</f>
        <v/>
      </c>
      <c r="X142" s="16" t="str">
        <f>IFERROR(__xludf.DUMMYFUNCTION("""COMPUTED_VALUE"""),"")</f>
        <v/>
      </c>
      <c r="AC142" s="16" t="str">
        <f>IFERROR(__xludf.DUMMYFUNCTION("""COMPUTED_VALUE"""),"")</f>
        <v/>
      </c>
    </row>
    <row r="143">
      <c r="A143" s="16" t="s">
        <v>87</v>
      </c>
      <c r="E143" s="16" t="str">
        <f>IFERROR(__xludf.DUMMYFUNCTION("""COMPUTED_VALUE"""),"")</f>
        <v/>
      </c>
      <c r="G143" s="18"/>
      <c r="H143" s="16" t="s">
        <v>87</v>
      </c>
      <c r="I143" s="16" t="s">
        <v>87</v>
      </c>
      <c r="J143" s="19"/>
      <c r="L143" s="16" t="str">
        <f>IFERROR(__xludf.DUMMYFUNCTION("""COMPUTED_VALUE"""),"")</f>
        <v/>
      </c>
      <c r="M143" s="16" t="str">
        <f>IFERROR(__xludf.DUMMYFUNCTION("""COMPUTED_VALUE"""),"")</f>
        <v/>
      </c>
      <c r="U143" s="16" t="s">
        <v>87</v>
      </c>
      <c r="V143" s="16" t="str">
        <f>IFERROR(__xludf.DUMMYFUNCTION("""COMPUTED_VALUE"""),"")</f>
        <v/>
      </c>
      <c r="W143" s="16" t="str">
        <f>IFERROR(__xludf.DUMMYFUNCTION("""COMPUTED_VALUE"""),"")</f>
        <v/>
      </c>
      <c r="X143" s="16" t="str">
        <f>IFERROR(__xludf.DUMMYFUNCTION("""COMPUTED_VALUE"""),"")</f>
        <v/>
      </c>
      <c r="AC143" s="16" t="str">
        <f>IFERROR(__xludf.DUMMYFUNCTION("""COMPUTED_VALUE"""),"")</f>
        <v/>
      </c>
    </row>
    <row r="144">
      <c r="A144" s="16" t="s">
        <v>87</v>
      </c>
      <c r="E144" s="16" t="str">
        <f>IFERROR(__xludf.DUMMYFUNCTION("""COMPUTED_VALUE"""),"")</f>
        <v/>
      </c>
      <c r="G144" s="18"/>
      <c r="H144" s="16" t="s">
        <v>87</v>
      </c>
      <c r="I144" s="16" t="s">
        <v>87</v>
      </c>
      <c r="J144" s="19"/>
      <c r="L144" s="16" t="str">
        <f>IFERROR(__xludf.DUMMYFUNCTION("""COMPUTED_VALUE"""),"")</f>
        <v/>
      </c>
      <c r="M144" s="16" t="str">
        <f>IFERROR(__xludf.DUMMYFUNCTION("""COMPUTED_VALUE"""),"")</f>
        <v/>
      </c>
      <c r="U144" s="16" t="s">
        <v>87</v>
      </c>
      <c r="V144" s="16" t="str">
        <f>IFERROR(__xludf.DUMMYFUNCTION("""COMPUTED_VALUE"""),"")</f>
        <v/>
      </c>
      <c r="W144" s="16" t="str">
        <f>IFERROR(__xludf.DUMMYFUNCTION("""COMPUTED_VALUE"""),"")</f>
        <v/>
      </c>
      <c r="X144" s="16" t="str">
        <f>IFERROR(__xludf.DUMMYFUNCTION("""COMPUTED_VALUE"""),"")</f>
        <v/>
      </c>
      <c r="AC144" s="16" t="str">
        <f>IFERROR(__xludf.DUMMYFUNCTION("""COMPUTED_VALUE"""),"")</f>
        <v/>
      </c>
    </row>
    <row r="145">
      <c r="A145" s="16" t="s">
        <v>87</v>
      </c>
      <c r="E145" s="16" t="str">
        <f>IFERROR(__xludf.DUMMYFUNCTION("""COMPUTED_VALUE"""),"")</f>
        <v/>
      </c>
      <c r="G145" s="18"/>
      <c r="H145" s="16" t="s">
        <v>87</v>
      </c>
      <c r="I145" s="16" t="s">
        <v>87</v>
      </c>
      <c r="J145" s="19"/>
      <c r="L145" s="16" t="str">
        <f>IFERROR(__xludf.DUMMYFUNCTION("""COMPUTED_VALUE"""),"")</f>
        <v/>
      </c>
      <c r="M145" s="16" t="str">
        <f>IFERROR(__xludf.DUMMYFUNCTION("""COMPUTED_VALUE"""),"")</f>
        <v/>
      </c>
      <c r="U145" s="16" t="s">
        <v>87</v>
      </c>
      <c r="V145" s="16" t="str">
        <f>IFERROR(__xludf.DUMMYFUNCTION("""COMPUTED_VALUE"""),"")</f>
        <v/>
      </c>
      <c r="W145" s="16" t="str">
        <f>IFERROR(__xludf.DUMMYFUNCTION("""COMPUTED_VALUE"""),"")</f>
        <v/>
      </c>
      <c r="X145" s="16" t="str">
        <f>IFERROR(__xludf.DUMMYFUNCTION("""COMPUTED_VALUE"""),"")</f>
        <v/>
      </c>
      <c r="AC145" s="16" t="str">
        <f>IFERROR(__xludf.DUMMYFUNCTION("""COMPUTED_VALUE"""),"")</f>
        <v/>
      </c>
    </row>
    <row r="146">
      <c r="A146" s="16" t="s">
        <v>87</v>
      </c>
      <c r="E146" s="16" t="str">
        <f>IFERROR(__xludf.DUMMYFUNCTION("""COMPUTED_VALUE"""),"")</f>
        <v/>
      </c>
      <c r="G146" s="18"/>
      <c r="H146" s="16" t="s">
        <v>87</v>
      </c>
      <c r="I146" s="16" t="s">
        <v>87</v>
      </c>
      <c r="J146" s="19"/>
      <c r="L146" s="16" t="str">
        <f>IFERROR(__xludf.DUMMYFUNCTION("""COMPUTED_VALUE"""),"")</f>
        <v/>
      </c>
      <c r="M146" s="16" t="str">
        <f>IFERROR(__xludf.DUMMYFUNCTION("""COMPUTED_VALUE"""),"")</f>
        <v/>
      </c>
      <c r="U146" s="16" t="s">
        <v>87</v>
      </c>
      <c r="V146" s="16" t="str">
        <f>IFERROR(__xludf.DUMMYFUNCTION("""COMPUTED_VALUE"""),"")</f>
        <v/>
      </c>
      <c r="W146" s="16" t="str">
        <f>IFERROR(__xludf.DUMMYFUNCTION("""COMPUTED_VALUE"""),"")</f>
        <v/>
      </c>
      <c r="X146" s="16" t="str">
        <f>IFERROR(__xludf.DUMMYFUNCTION("""COMPUTED_VALUE"""),"")</f>
        <v/>
      </c>
      <c r="AC146" s="16" t="str">
        <f>IFERROR(__xludf.DUMMYFUNCTION("""COMPUTED_VALUE"""),"")</f>
        <v/>
      </c>
    </row>
    <row r="147">
      <c r="A147" s="16" t="s">
        <v>87</v>
      </c>
      <c r="E147" s="16" t="str">
        <f>IFERROR(__xludf.DUMMYFUNCTION("""COMPUTED_VALUE"""),"")</f>
        <v/>
      </c>
      <c r="G147" s="18"/>
      <c r="H147" s="16" t="s">
        <v>87</v>
      </c>
      <c r="I147" s="16" t="s">
        <v>87</v>
      </c>
      <c r="J147" s="19"/>
      <c r="L147" s="16" t="str">
        <f>IFERROR(__xludf.DUMMYFUNCTION("""COMPUTED_VALUE"""),"")</f>
        <v/>
      </c>
      <c r="M147" s="16" t="str">
        <f>IFERROR(__xludf.DUMMYFUNCTION("""COMPUTED_VALUE"""),"")</f>
        <v/>
      </c>
      <c r="U147" s="16" t="s">
        <v>87</v>
      </c>
      <c r="V147" s="16" t="str">
        <f>IFERROR(__xludf.DUMMYFUNCTION("""COMPUTED_VALUE"""),"")</f>
        <v/>
      </c>
      <c r="W147" s="16" t="str">
        <f>IFERROR(__xludf.DUMMYFUNCTION("""COMPUTED_VALUE"""),"")</f>
        <v/>
      </c>
      <c r="X147" s="16" t="str">
        <f>IFERROR(__xludf.DUMMYFUNCTION("""COMPUTED_VALUE"""),"")</f>
        <v/>
      </c>
      <c r="AC147" s="16" t="str">
        <f>IFERROR(__xludf.DUMMYFUNCTION("""COMPUTED_VALUE"""),"")</f>
        <v/>
      </c>
    </row>
    <row r="148">
      <c r="A148" s="16" t="s">
        <v>87</v>
      </c>
      <c r="E148" s="16" t="str">
        <f>IFERROR(__xludf.DUMMYFUNCTION("""COMPUTED_VALUE"""),"")</f>
        <v/>
      </c>
      <c r="G148" s="18"/>
      <c r="H148" s="16" t="s">
        <v>87</v>
      </c>
      <c r="I148" s="16" t="s">
        <v>87</v>
      </c>
      <c r="J148" s="19"/>
      <c r="L148" s="16" t="str">
        <f>IFERROR(__xludf.DUMMYFUNCTION("""COMPUTED_VALUE"""),"")</f>
        <v/>
      </c>
      <c r="M148" s="16" t="str">
        <f>IFERROR(__xludf.DUMMYFUNCTION("""COMPUTED_VALUE"""),"")</f>
        <v/>
      </c>
      <c r="U148" s="16" t="s">
        <v>87</v>
      </c>
      <c r="V148" s="16" t="str">
        <f>IFERROR(__xludf.DUMMYFUNCTION("""COMPUTED_VALUE"""),"")</f>
        <v/>
      </c>
      <c r="W148" s="16" t="str">
        <f>IFERROR(__xludf.DUMMYFUNCTION("""COMPUTED_VALUE"""),"")</f>
        <v/>
      </c>
      <c r="X148" s="16" t="str">
        <f>IFERROR(__xludf.DUMMYFUNCTION("""COMPUTED_VALUE"""),"")</f>
        <v/>
      </c>
      <c r="AC148" s="16" t="str">
        <f>IFERROR(__xludf.DUMMYFUNCTION("""COMPUTED_VALUE"""),"")</f>
        <v/>
      </c>
    </row>
    <row r="149">
      <c r="A149" s="16" t="s">
        <v>87</v>
      </c>
      <c r="E149" s="16" t="str">
        <f>IFERROR(__xludf.DUMMYFUNCTION("""COMPUTED_VALUE"""),"")</f>
        <v/>
      </c>
      <c r="G149" s="18"/>
      <c r="H149" s="16" t="s">
        <v>87</v>
      </c>
      <c r="I149" s="16" t="s">
        <v>87</v>
      </c>
      <c r="J149" s="19"/>
      <c r="L149" s="16" t="str">
        <f>IFERROR(__xludf.DUMMYFUNCTION("""COMPUTED_VALUE"""),"")</f>
        <v/>
      </c>
      <c r="M149" s="16" t="str">
        <f>IFERROR(__xludf.DUMMYFUNCTION("""COMPUTED_VALUE"""),"")</f>
        <v/>
      </c>
      <c r="U149" s="16" t="s">
        <v>87</v>
      </c>
      <c r="V149" s="16" t="str">
        <f>IFERROR(__xludf.DUMMYFUNCTION("""COMPUTED_VALUE"""),"")</f>
        <v/>
      </c>
      <c r="W149" s="16" t="str">
        <f>IFERROR(__xludf.DUMMYFUNCTION("""COMPUTED_VALUE"""),"")</f>
        <v/>
      </c>
      <c r="X149" s="16" t="str">
        <f>IFERROR(__xludf.DUMMYFUNCTION("""COMPUTED_VALUE"""),"")</f>
        <v/>
      </c>
      <c r="AC149" s="16" t="str">
        <f>IFERROR(__xludf.DUMMYFUNCTION("""COMPUTED_VALUE"""),"")</f>
        <v/>
      </c>
    </row>
    <row r="150">
      <c r="A150" s="16" t="s">
        <v>87</v>
      </c>
      <c r="E150" s="16" t="str">
        <f>IFERROR(__xludf.DUMMYFUNCTION("""COMPUTED_VALUE"""),"")</f>
        <v/>
      </c>
      <c r="G150" s="18"/>
      <c r="H150" s="16" t="s">
        <v>87</v>
      </c>
      <c r="I150" s="16" t="s">
        <v>87</v>
      </c>
      <c r="J150" s="19"/>
      <c r="L150" s="16" t="str">
        <f>IFERROR(__xludf.DUMMYFUNCTION("""COMPUTED_VALUE"""),"")</f>
        <v/>
      </c>
      <c r="M150" s="16" t="str">
        <f>IFERROR(__xludf.DUMMYFUNCTION("""COMPUTED_VALUE"""),"")</f>
        <v/>
      </c>
      <c r="U150" s="16" t="s">
        <v>87</v>
      </c>
      <c r="V150" s="16" t="str">
        <f>IFERROR(__xludf.DUMMYFUNCTION("""COMPUTED_VALUE"""),"")</f>
        <v/>
      </c>
      <c r="W150" s="16" t="str">
        <f>IFERROR(__xludf.DUMMYFUNCTION("""COMPUTED_VALUE"""),"")</f>
        <v/>
      </c>
      <c r="X150" s="16" t="str">
        <f>IFERROR(__xludf.DUMMYFUNCTION("""COMPUTED_VALUE"""),"")</f>
        <v/>
      </c>
      <c r="AC150" s="16" t="str">
        <f>IFERROR(__xludf.DUMMYFUNCTION("""COMPUTED_VALUE"""),"")</f>
        <v/>
      </c>
    </row>
    <row r="151">
      <c r="A151" s="16" t="s">
        <v>87</v>
      </c>
      <c r="E151" s="16" t="str">
        <f>IFERROR(__xludf.DUMMYFUNCTION("""COMPUTED_VALUE"""),"")</f>
        <v/>
      </c>
      <c r="G151" s="18"/>
      <c r="H151" s="16" t="s">
        <v>87</v>
      </c>
      <c r="I151" s="16" t="s">
        <v>87</v>
      </c>
      <c r="J151" s="19"/>
      <c r="L151" s="16" t="str">
        <f>IFERROR(__xludf.DUMMYFUNCTION("""COMPUTED_VALUE"""),"")</f>
        <v/>
      </c>
      <c r="M151" s="16" t="str">
        <f>IFERROR(__xludf.DUMMYFUNCTION("""COMPUTED_VALUE"""),"")</f>
        <v/>
      </c>
      <c r="U151" s="16" t="s">
        <v>87</v>
      </c>
      <c r="V151" s="16" t="str">
        <f>IFERROR(__xludf.DUMMYFUNCTION("""COMPUTED_VALUE"""),"")</f>
        <v/>
      </c>
      <c r="W151" s="16" t="str">
        <f>IFERROR(__xludf.DUMMYFUNCTION("""COMPUTED_VALUE"""),"")</f>
        <v/>
      </c>
      <c r="X151" s="16" t="str">
        <f>IFERROR(__xludf.DUMMYFUNCTION("""COMPUTED_VALUE"""),"")</f>
        <v/>
      </c>
      <c r="AC151" s="16" t="str">
        <f>IFERROR(__xludf.DUMMYFUNCTION("""COMPUTED_VALUE"""),"")</f>
        <v/>
      </c>
    </row>
    <row r="152">
      <c r="A152" s="16" t="s">
        <v>87</v>
      </c>
      <c r="E152" s="16" t="str">
        <f>IFERROR(__xludf.DUMMYFUNCTION("""COMPUTED_VALUE"""),"")</f>
        <v/>
      </c>
      <c r="G152" s="18"/>
      <c r="H152" s="16" t="s">
        <v>87</v>
      </c>
      <c r="I152" s="16" t="s">
        <v>87</v>
      </c>
      <c r="J152" s="19"/>
      <c r="L152" s="16" t="str">
        <f>IFERROR(__xludf.DUMMYFUNCTION("""COMPUTED_VALUE"""),"")</f>
        <v/>
      </c>
      <c r="M152" s="16" t="str">
        <f>IFERROR(__xludf.DUMMYFUNCTION("""COMPUTED_VALUE"""),"")</f>
        <v/>
      </c>
      <c r="U152" s="16" t="s">
        <v>87</v>
      </c>
      <c r="V152" s="16" t="str">
        <f>IFERROR(__xludf.DUMMYFUNCTION("""COMPUTED_VALUE"""),"")</f>
        <v/>
      </c>
      <c r="W152" s="16" t="str">
        <f>IFERROR(__xludf.DUMMYFUNCTION("""COMPUTED_VALUE"""),"")</f>
        <v/>
      </c>
      <c r="X152" s="16" t="str">
        <f>IFERROR(__xludf.DUMMYFUNCTION("""COMPUTED_VALUE"""),"")</f>
        <v/>
      </c>
      <c r="AC152" s="16" t="str">
        <f>IFERROR(__xludf.DUMMYFUNCTION("""COMPUTED_VALUE"""),"")</f>
        <v/>
      </c>
    </row>
    <row r="153">
      <c r="A153" s="16" t="s">
        <v>87</v>
      </c>
      <c r="E153" s="16" t="str">
        <f>IFERROR(__xludf.DUMMYFUNCTION("""COMPUTED_VALUE"""),"")</f>
        <v/>
      </c>
      <c r="G153" s="18"/>
      <c r="H153" s="16" t="s">
        <v>87</v>
      </c>
      <c r="I153" s="16" t="s">
        <v>87</v>
      </c>
      <c r="J153" s="19"/>
      <c r="L153" s="16" t="str">
        <f>IFERROR(__xludf.DUMMYFUNCTION("""COMPUTED_VALUE"""),"")</f>
        <v/>
      </c>
      <c r="M153" s="16" t="str">
        <f>IFERROR(__xludf.DUMMYFUNCTION("""COMPUTED_VALUE"""),"")</f>
        <v/>
      </c>
      <c r="U153" s="16" t="s">
        <v>87</v>
      </c>
      <c r="V153" s="16" t="str">
        <f>IFERROR(__xludf.DUMMYFUNCTION("""COMPUTED_VALUE"""),"")</f>
        <v/>
      </c>
      <c r="W153" s="16" t="str">
        <f>IFERROR(__xludf.DUMMYFUNCTION("""COMPUTED_VALUE"""),"")</f>
        <v/>
      </c>
      <c r="X153" s="16" t="str">
        <f>IFERROR(__xludf.DUMMYFUNCTION("""COMPUTED_VALUE"""),"")</f>
        <v/>
      </c>
      <c r="AC153" s="16" t="str">
        <f>IFERROR(__xludf.DUMMYFUNCTION("""COMPUTED_VALUE"""),"")</f>
        <v/>
      </c>
    </row>
    <row r="154">
      <c r="A154" s="16" t="s">
        <v>87</v>
      </c>
      <c r="E154" s="16" t="str">
        <f>IFERROR(__xludf.DUMMYFUNCTION("""COMPUTED_VALUE"""),"")</f>
        <v/>
      </c>
      <c r="G154" s="18"/>
      <c r="H154" s="16" t="s">
        <v>87</v>
      </c>
      <c r="I154" s="16" t="s">
        <v>87</v>
      </c>
      <c r="J154" s="19"/>
      <c r="L154" s="16" t="str">
        <f>IFERROR(__xludf.DUMMYFUNCTION("""COMPUTED_VALUE"""),"")</f>
        <v/>
      </c>
      <c r="M154" s="16" t="str">
        <f>IFERROR(__xludf.DUMMYFUNCTION("""COMPUTED_VALUE"""),"")</f>
        <v/>
      </c>
      <c r="U154" s="16" t="s">
        <v>87</v>
      </c>
      <c r="V154" s="16" t="str">
        <f>IFERROR(__xludf.DUMMYFUNCTION("""COMPUTED_VALUE"""),"")</f>
        <v/>
      </c>
      <c r="W154" s="16" t="str">
        <f>IFERROR(__xludf.DUMMYFUNCTION("""COMPUTED_VALUE"""),"")</f>
        <v/>
      </c>
      <c r="X154" s="16" t="str">
        <f>IFERROR(__xludf.DUMMYFUNCTION("""COMPUTED_VALUE"""),"")</f>
        <v/>
      </c>
      <c r="AC154" s="16" t="str">
        <f>IFERROR(__xludf.DUMMYFUNCTION("""COMPUTED_VALUE"""),"")</f>
        <v/>
      </c>
    </row>
    <row r="155">
      <c r="A155" s="16" t="s">
        <v>87</v>
      </c>
      <c r="E155" s="16" t="str">
        <f>IFERROR(__xludf.DUMMYFUNCTION("""COMPUTED_VALUE"""),"")</f>
        <v/>
      </c>
      <c r="G155" s="18"/>
      <c r="H155" s="16" t="s">
        <v>87</v>
      </c>
      <c r="I155" s="16" t="s">
        <v>87</v>
      </c>
      <c r="J155" s="19"/>
      <c r="L155" s="16" t="str">
        <f>IFERROR(__xludf.DUMMYFUNCTION("""COMPUTED_VALUE"""),"")</f>
        <v/>
      </c>
      <c r="M155" s="16" t="str">
        <f>IFERROR(__xludf.DUMMYFUNCTION("""COMPUTED_VALUE"""),"")</f>
        <v/>
      </c>
      <c r="U155" s="16" t="s">
        <v>87</v>
      </c>
      <c r="V155" s="16" t="str">
        <f>IFERROR(__xludf.DUMMYFUNCTION("""COMPUTED_VALUE"""),"")</f>
        <v/>
      </c>
      <c r="W155" s="16" t="str">
        <f>IFERROR(__xludf.DUMMYFUNCTION("""COMPUTED_VALUE"""),"")</f>
        <v/>
      </c>
      <c r="X155" s="16" t="str">
        <f>IFERROR(__xludf.DUMMYFUNCTION("""COMPUTED_VALUE"""),"")</f>
        <v/>
      </c>
      <c r="AC155" s="16" t="str">
        <f>IFERROR(__xludf.DUMMYFUNCTION("""COMPUTED_VALUE"""),"")</f>
        <v/>
      </c>
    </row>
    <row r="156">
      <c r="A156" s="16" t="s">
        <v>87</v>
      </c>
      <c r="E156" s="16" t="str">
        <f>IFERROR(__xludf.DUMMYFUNCTION("""COMPUTED_VALUE"""),"")</f>
        <v/>
      </c>
      <c r="G156" s="18"/>
      <c r="H156" s="16" t="s">
        <v>87</v>
      </c>
      <c r="I156" s="16" t="s">
        <v>87</v>
      </c>
      <c r="J156" s="19"/>
      <c r="L156" s="16" t="str">
        <f>IFERROR(__xludf.DUMMYFUNCTION("""COMPUTED_VALUE"""),"")</f>
        <v/>
      </c>
      <c r="M156" s="16" t="str">
        <f>IFERROR(__xludf.DUMMYFUNCTION("""COMPUTED_VALUE"""),"")</f>
        <v/>
      </c>
      <c r="U156" s="16" t="s">
        <v>87</v>
      </c>
      <c r="V156" s="16" t="str">
        <f>IFERROR(__xludf.DUMMYFUNCTION("""COMPUTED_VALUE"""),"")</f>
        <v/>
      </c>
      <c r="W156" s="16" t="str">
        <f>IFERROR(__xludf.DUMMYFUNCTION("""COMPUTED_VALUE"""),"")</f>
        <v/>
      </c>
      <c r="X156" s="16" t="str">
        <f>IFERROR(__xludf.DUMMYFUNCTION("""COMPUTED_VALUE"""),"")</f>
        <v/>
      </c>
      <c r="AC156" s="16" t="str">
        <f>IFERROR(__xludf.DUMMYFUNCTION("""COMPUTED_VALUE"""),"")</f>
        <v/>
      </c>
    </row>
    <row r="157">
      <c r="A157" s="16" t="s">
        <v>87</v>
      </c>
      <c r="E157" s="16" t="str">
        <f>IFERROR(__xludf.DUMMYFUNCTION("""COMPUTED_VALUE"""),"")</f>
        <v/>
      </c>
      <c r="G157" s="18"/>
      <c r="H157" s="16" t="s">
        <v>87</v>
      </c>
      <c r="I157" s="16" t="s">
        <v>87</v>
      </c>
      <c r="J157" s="19"/>
      <c r="L157" s="16" t="str">
        <f>IFERROR(__xludf.DUMMYFUNCTION("""COMPUTED_VALUE"""),"")</f>
        <v/>
      </c>
      <c r="M157" s="16" t="str">
        <f>IFERROR(__xludf.DUMMYFUNCTION("""COMPUTED_VALUE"""),"")</f>
        <v/>
      </c>
      <c r="U157" s="16" t="s">
        <v>87</v>
      </c>
      <c r="V157" s="16" t="str">
        <f>IFERROR(__xludf.DUMMYFUNCTION("""COMPUTED_VALUE"""),"")</f>
        <v/>
      </c>
      <c r="W157" s="16" t="str">
        <f>IFERROR(__xludf.DUMMYFUNCTION("""COMPUTED_VALUE"""),"")</f>
        <v/>
      </c>
      <c r="X157" s="16" t="str">
        <f>IFERROR(__xludf.DUMMYFUNCTION("""COMPUTED_VALUE"""),"")</f>
        <v/>
      </c>
      <c r="AC157" s="16" t="str">
        <f>IFERROR(__xludf.DUMMYFUNCTION("""COMPUTED_VALUE"""),"")</f>
        <v/>
      </c>
    </row>
    <row r="158">
      <c r="A158" s="16" t="s">
        <v>87</v>
      </c>
      <c r="E158" s="16" t="str">
        <f>IFERROR(__xludf.DUMMYFUNCTION("""COMPUTED_VALUE"""),"")</f>
        <v/>
      </c>
      <c r="G158" s="18"/>
      <c r="H158" s="16" t="s">
        <v>87</v>
      </c>
      <c r="I158" s="16" t="s">
        <v>87</v>
      </c>
      <c r="J158" s="19"/>
      <c r="L158" s="16" t="str">
        <f>IFERROR(__xludf.DUMMYFUNCTION("""COMPUTED_VALUE"""),"")</f>
        <v/>
      </c>
      <c r="M158" s="16" t="str">
        <f>IFERROR(__xludf.DUMMYFUNCTION("""COMPUTED_VALUE"""),"")</f>
        <v/>
      </c>
      <c r="U158" s="16" t="s">
        <v>87</v>
      </c>
      <c r="V158" s="16" t="str">
        <f>IFERROR(__xludf.DUMMYFUNCTION("""COMPUTED_VALUE"""),"")</f>
        <v/>
      </c>
      <c r="W158" s="16" t="str">
        <f>IFERROR(__xludf.DUMMYFUNCTION("""COMPUTED_VALUE"""),"")</f>
        <v/>
      </c>
      <c r="X158" s="16" t="str">
        <f>IFERROR(__xludf.DUMMYFUNCTION("""COMPUTED_VALUE"""),"")</f>
        <v/>
      </c>
      <c r="AC158" s="16" t="str">
        <f>IFERROR(__xludf.DUMMYFUNCTION("""COMPUTED_VALUE"""),"")</f>
        <v/>
      </c>
    </row>
    <row r="159">
      <c r="A159" s="16" t="s">
        <v>87</v>
      </c>
      <c r="E159" s="16" t="str">
        <f>IFERROR(__xludf.DUMMYFUNCTION("""COMPUTED_VALUE"""),"")</f>
        <v/>
      </c>
      <c r="G159" s="18"/>
      <c r="H159" s="16" t="s">
        <v>87</v>
      </c>
      <c r="I159" s="16" t="s">
        <v>87</v>
      </c>
      <c r="J159" s="19"/>
      <c r="L159" s="16" t="str">
        <f>IFERROR(__xludf.DUMMYFUNCTION("""COMPUTED_VALUE"""),"")</f>
        <v/>
      </c>
      <c r="M159" s="16" t="str">
        <f>IFERROR(__xludf.DUMMYFUNCTION("""COMPUTED_VALUE"""),"")</f>
        <v/>
      </c>
      <c r="U159" s="16" t="s">
        <v>87</v>
      </c>
      <c r="V159" s="16" t="str">
        <f>IFERROR(__xludf.DUMMYFUNCTION("""COMPUTED_VALUE"""),"")</f>
        <v/>
      </c>
      <c r="W159" s="16" t="str">
        <f>IFERROR(__xludf.DUMMYFUNCTION("""COMPUTED_VALUE"""),"")</f>
        <v/>
      </c>
      <c r="X159" s="16" t="str">
        <f>IFERROR(__xludf.DUMMYFUNCTION("""COMPUTED_VALUE"""),"")</f>
        <v/>
      </c>
      <c r="AC159" s="16" t="str">
        <f>IFERROR(__xludf.DUMMYFUNCTION("""COMPUTED_VALUE"""),"")</f>
        <v/>
      </c>
    </row>
    <row r="160">
      <c r="A160" s="16" t="s">
        <v>87</v>
      </c>
      <c r="E160" s="16" t="str">
        <f>IFERROR(__xludf.DUMMYFUNCTION("""COMPUTED_VALUE"""),"")</f>
        <v/>
      </c>
      <c r="G160" s="18"/>
      <c r="H160" s="16" t="s">
        <v>87</v>
      </c>
      <c r="I160" s="16" t="s">
        <v>87</v>
      </c>
      <c r="J160" s="19"/>
      <c r="L160" s="16" t="str">
        <f>IFERROR(__xludf.DUMMYFUNCTION("""COMPUTED_VALUE"""),"")</f>
        <v/>
      </c>
      <c r="M160" s="16" t="str">
        <f>IFERROR(__xludf.DUMMYFUNCTION("""COMPUTED_VALUE"""),"")</f>
        <v/>
      </c>
      <c r="U160" s="16" t="s">
        <v>87</v>
      </c>
      <c r="V160" s="16" t="str">
        <f>IFERROR(__xludf.DUMMYFUNCTION("""COMPUTED_VALUE"""),"")</f>
        <v/>
      </c>
      <c r="W160" s="16" t="str">
        <f>IFERROR(__xludf.DUMMYFUNCTION("""COMPUTED_VALUE"""),"")</f>
        <v/>
      </c>
      <c r="X160" s="16" t="str">
        <f>IFERROR(__xludf.DUMMYFUNCTION("""COMPUTED_VALUE"""),"")</f>
        <v/>
      </c>
      <c r="AC160" s="16" t="str">
        <f>IFERROR(__xludf.DUMMYFUNCTION("""COMPUTED_VALUE"""),"")</f>
        <v/>
      </c>
    </row>
    <row r="161">
      <c r="A161" s="16" t="s">
        <v>87</v>
      </c>
      <c r="E161" s="16" t="str">
        <f>IFERROR(__xludf.DUMMYFUNCTION("""COMPUTED_VALUE"""),"")</f>
        <v/>
      </c>
      <c r="G161" s="18"/>
      <c r="H161" s="16" t="s">
        <v>87</v>
      </c>
      <c r="I161" s="16" t="s">
        <v>87</v>
      </c>
      <c r="J161" s="19"/>
      <c r="L161" s="16" t="str">
        <f>IFERROR(__xludf.DUMMYFUNCTION("""COMPUTED_VALUE"""),"")</f>
        <v/>
      </c>
      <c r="M161" s="16" t="str">
        <f>IFERROR(__xludf.DUMMYFUNCTION("""COMPUTED_VALUE"""),"")</f>
        <v/>
      </c>
      <c r="U161" s="16" t="s">
        <v>87</v>
      </c>
      <c r="V161" s="16" t="str">
        <f>IFERROR(__xludf.DUMMYFUNCTION("""COMPUTED_VALUE"""),"")</f>
        <v/>
      </c>
      <c r="W161" s="16" t="str">
        <f>IFERROR(__xludf.DUMMYFUNCTION("""COMPUTED_VALUE"""),"")</f>
        <v/>
      </c>
      <c r="X161" s="16" t="str">
        <f>IFERROR(__xludf.DUMMYFUNCTION("""COMPUTED_VALUE"""),"")</f>
        <v/>
      </c>
      <c r="AC161" s="16" t="str">
        <f>IFERROR(__xludf.DUMMYFUNCTION("""COMPUTED_VALUE"""),"")</f>
        <v/>
      </c>
    </row>
    <row r="162">
      <c r="A162" s="16" t="s">
        <v>87</v>
      </c>
      <c r="E162" s="16" t="str">
        <f>IFERROR(__xludf.DUMMYFUNCTION("""COMPUTED_VALUE"""),"")</f>
        <v/>
      </c>
      <c r="G162" s="18"/>
      <c r="H162" s="16" t="s">
        <v>87</v>
      </c>
      <c r="I162" s="16" t="s">
        <v>87</v>
      </c>
      <c r="J162" s="19"/>
      <c r="L162" s="16" t="str">
        <f>IFERROR(__xludf.DUMMYFUNCTION("""COMPUTED_VALUE"""),"")</f>
        <v/>
      </c>
      <c r="M162" s="16" t="str">
        <f>IFERROR(__xludf.DUMMYFUNCTION("""COMPUTED_VALUE"""),"")</f>
        <v/>
      </c>
      <c r="U162" s="16" t="s">
        <v>87</v>
      </c>
      <c r="V162" s="16" t="str">
        <f>IFERROR(__xludf.DUMMYFUNCTION("""COMPUTED_VALUE"""),"")</f>
        <v/>
      </c>
      <c r="W162" s="16" t="str">
        <f>IFERROR(__xludf.DUMMYFUNCTION("""COMPUTED_VALUE"""),"")</f>
        <v/>
      </c>
      <c r="X162" s="16" t="str">
        <f>IFERROR(__xludf.DUMMYFUNCTION("""COMPUTED_VALUE"""),"")</f>
        <v/>
      </c>
      <c r="AC162" s="16" t="str">
        <f>IFERROR(__xludf.DUMMYFUNCTION("""COMPUTED_VALUE"""),"")</f>
        <v/>
      </c>
    </row>
    <row r="163">
      <c r="A163" s="16" t="s">
        <v>87</v>
      </c>
      <c r="E163" s="16" t="str">
        <f>IFERROR(__xludf.DUMMYFUNCTION("""COMPUTED_VALUE"""),"")</f>
        <v/>
      </c>
      <c r="G163" s="18"/>
      <c r="H163" s="16" t="s">
        <v>87</v>
      </c>
      <c r="I163" s="16" t="s">
        <v>87</v>
      </c>
      <c r="J163" s="19"/>
      <c r="L163" s="16" t="str">
        <f>IFERROR(__xludf.DUMMYFUNCTION("""COMPUTED_VALUE"""),"")</f>
        <v/>
      </c>
      <c r="M163" s="16" t="str">
        <f>IFERROR(__xludf.DUMMYFUNCTION("""COMPUTED_VALUE"""),"")</f>
        <v/>
      </c>
      <c r="U163" s="16" t="s">
        <v>87</v>
      </c>
      <c r="V163" s="16" t="str">
        <f>IFERROR(__xludf.DUMMYFUNCTION("""COMPUTED_VALUE"""),"")</f>
        <v/>
      </c>
      <c r="W163" s="16" t="str">
        <f>IFERROR(__xludf.DUMMYFUNCTION("""COMPUTED_VALUE"""),"")</f>
        <v/>
      </c>
      <c r="X163" s="16" t="str">
        <f>IFERROR(__xludf.DUMMYFUNCTION("""COMPUTED_VALUE"""),"")</f>
        <v/>
      </c>
      <c r="AC163" s="16" t="str">
        <f>IFERROR(__xludf.DUMMYFUNCTION("""COMPUTED_VALUE"""),"")</f>
        <v/>
      </c>
    </row>
    <row r="164">
      <c r="A164" s="16" t="s">
        <v>87</v>
      </c>
      <c r="E164" s="16" t="str">
        <f>IFERROR(__xludf.DUMMYFUNCTION("""COMPUTED_VALUE"""),"")</f>
        <v/>
      </c>
      <c r="G164" s="18"/>
      <c r="H164" s="16" t="s">
        <v>87</v>
      </c>
      <c r="I164" s="16" t="s">
        <v>87</v>
      </c>
      <c r="J164" s="19"/>
      <c r="L164" s="16" t="str">
        <f>IFERROR(__xludf.DUMMYFUNCTION("""COMPUTED_VALUE"""),"")</f>
        <v/>
      </c>
      <c r="M164" s="16" t="str">
        <f>IFERROR(__xludf.DUMMYFUNCTION("""COMPUTED_VALUE"""),"")</f>
        <v/>
      </c>
      <c r="U164" s="16" t="s">
        <v>87</v>
      </c>
      <c r="V164" s="16" t="str">
        <f>IFERROR(__xludf.DUMMYFUNCTION("""COMPUTED_VALUE"""),"")</f>
        <v/>
      </c>
      <c r="W164" s="16" t="str">
        <f>IFERROR(__xludf.DUMMYFUNCTION("""COMPUTED_VALUE"""),"")</f>
        <v/>
      </c>
      <c r="X164" s="16" t="str">
        <f>IFERROR(__xludf.DUMMYFUNCTION("""COMPUTED_VALUE"""),"")</f>
        <v/>
      </c>
      <c r="AC164" s="16" t="str">
        <f>IFERROR(__xludf.DUMMYFUNCTION("""COMPUTED_VALUE"""),"")</f>
        <v/>
      </c>
    </row>
    <row r="165">
      <c r="A165" s="16" t="s">
        <v>87</v>
      </c>
      <c r="E165" s="16" t="str">
        <f>IFERROR(__xludf.DUMMYFUNCTION("""COMPUTED_VALUE"""),"")</f>
        <v/>
      </c>
      <c r="G165" s="18"/>
      <c r="H165" s="16" t="s">
        <v>87</v>
      </c>
      <c r="I165" s="16" t="s">
        <v>87</v>
      </c>
      <c r="J165" s="19"/>
      <c r="L165" s="16" t="str">
        <f>IFERROR(__xludf.DUMMYFUNCTION("""COMPUTED_VALUE"""),"")</f>
        <v/>
      </c>
      <c r="M165" s="16" t="str">
        <f>IFERROR(__xludf.DUMMYFUNCTION("""COMPUTED_VALUE"""),"")</f>
        <v/>
      </c>
      <c r="U165" s="16" t="s">
        <v>87</v>
      </c>
      <c r="V165" s="16" t="str">
        <f>IFERROR(__xludf.DUMMYFUNCTION("""COMPUTED_VALUE"""),"")</f>
        <v/>
      </c>
      <c r="W165" s="16" t="str">
        <f>IFERROR(__xludf.DUMMYFUNCTION("""COMPUTED_VALUE"""),"")</f>
        <v/>
      </c>
      <c r="X165" s="16" t="str">
        <f>IFERROR(__xludf.DUMMYFUNCTION("""COMPUTED_VALUE"""),"")</f>
        <v/>
      </c>
      <c r="AC165" s="16" t="str">
        <f>IFERROR(__xludf.DUMMYFUNCTION("""COMPUTED_VALUE"""),"")</f>
        <v/>
      </c>
    </row>
    <row r="166">
      <c r="A166" s="16" t="s">
        <v>87</v>
      </c>
      <c r="E166" s="16" t="str">
        <f>IFERROR(__xludf.DUMMYFUNCTION("""COMPUTED_VALUE"""),"")</f>
        <v/>
      </c>
      <c r="G166" s="18"/>
      <c r="H166" s="16" t="s">
        <v>87</v>
      </c>
      <c r="I166" s="16" t="s">
        <v>87</v>
      </c>
      <c r="J166" s="19"/>
      <c r="L166" s="16" t="str">
        <f>IFERROR(__xludf.DUMMYFUNCTION("""COMPUTED_VALUE"""),"")</f>
        <v/>
      </c>
      <c r="M166" s="16" t="str">
        <f>IFERROR(__xludf.DUMMYFUNCTION("""COMPUTED_VALUE"""),"")</f>
        <v/>
      </c>
      <c r="U166" s="16" t="s">
        <v>87</v>
      </c>
      <c r="V166" s="16" t="str">
        <f>IFERROR(__xludf.DUMMYFUNCTION("""COMPUTED_VALUE"""),"")</f>
        <v/>
      </c>
      <c r="W166" s="16" t="str">
        <f>IFERROR(__xludf.DUMMYFUNCTION("""COMPUTED_VALUE"""),"")</f>
        <v/>
      </c>
      <c r="X166" s="16" t="str">
        <f>IFERROR(__xludf.DUMMYFUNCTION("""COMPUTED_VALUE"""),"")</f>
        <v/>
      </c>
      <c r="AC166" s="16" t="str">
        <f>IFERROR(__xludf.DUMMYFUNCTION("""COMPUTED_VALUE"""),"")</f>
        <v/>
      </c>
    </row>
    <row r="167">
      <c r="A167" s="16" t="s">
        <v>87</v>
      </c>
      <c r="E167" s="16" t="str">
        <f>IFERROR(__xludf.DUMMYFUNCTION("""COMPUTED_VALUE"""),"")</f>
        <v/>
      </c>
      <c r="G167" s="18"/>
      <c r="H167" s="16" t="s">
        <v>87</v>
      </c>
      <c r="I167" s="16" t="s">
        <v>87</v>
      </c>
      <c r="J167" s="19"/>
      <c r="L167" s="16" t="str">
        <f>IFERROR(__xludf.DUMMYFUNCTION("""COMPUTED_VALUE"""),"")</f>
        <v/>
      </c>
      <c r="M167" s="16" t="str">
        <f>IFERROR(__xludf.DUMMYFUNCTION("""COMPUTED_VALUE"""),"")</f>
        <v/>
      </c>
      <c r="U167" s="16" t="s">
        <v>87</v>
      </c>
      <c r="V167" s="16" t="str">
        <f>IFERROR(__xludf.DUMMYFUNCTION("""COMPUTED_VALUE"""),"")</f>
        <v/>
      </c>
      <c r="W167" s="16" t="str">
        <f>IFERROR(__xludf.DUMMYFUNCTION("""COMPUTED_VALUE"""),"")</f>
        <v/>
      </c>
      <c r="X167" s="16" t="str">
        <f>IFERROR(__xludf.DUMMYFUNCTION("""COMPUTED_VALUE"""),"")</f>
        <v/>
      </c>
      <c r="AC167" s="16" t="str">
        <f>IFERROR(__xludf.DUMMYFUNCTION("""COMPUTED_VALUE"""),"")</f>
        <v/>
      </c>
    </row>
    <row r="168">
      <c r="A168" s="16" t="s">
        <v>87</v>
      </c>
      <c r="E168" s="16" t="str">
        <f>IFERROR(__xludf.DUMMYFUNCTION("""COMPUTED_VALUE"""),"")</f>
        <v/>
      </c>
      <c r="G168" s="18"/>
      <c r="H168" s="16" t="s">
        <v>87</v>
      </c>
      <c r="I168" s="16" t="s">
        <v>87</v>
      </c>
      <c r="J168" s="19"/>
      <c r="L168" s="16" t="str">
        <f>IFERROR(__xludf.DUMMYFUNCTION("""COMPUTED_VALUE"""),"")</f>
        <v/>
      </c>
      <c r="M168" s="16" t="str">
        <f>IFERROR(__xludf.DUMMYFUNCTION("""COMPUTED_VALUE"""),"")</f>
        <v/>
      </c>
      <c r="U168" s="16" t="s">
        <v>87</v>
      </c>
      <c r="V168" s="16" t="str">
        <f>IFERROR(__xludf.DUMMYFUNCTION("""COMPUTED_VALUE"""),"")</f>
        <v/>
      </c>
      <c r="W168" s="16" t="str">
        <f>IFERROR(__xludf.DUMMYFUNCTION("""COMPUTED_VALUE"""),"")</f>
        <v/>
      </c>
      <c r="X168" s="16" t="str">
        <f>IFERROR(__xludf.DUMMYFUNCTION("""COMPUTED_VALUE"""),"")</f>
        <v/>
      </c>
      <c r="AC168" s="16" t="str">
        <f>IFERROR(__xludf.DUMMYFUNCTION("""COMPUTED_VALUE"""),"")</f>
        <v/>
      </c>
    </row>
    <row r="169">
      <c r="A169" s="16" t="s">
        <v>87</v>
      </c>
      <c r="E169" s="16" t="str">
        <f>IFERROR(__xludf.DUMMYFUNCTION("""COMPUTED_VALUE"""),"")</f>
        <v/>
      </c>
      <c r="G169" s="18"/>
      <c r="H169" s="16" t="s">
        <v>87</v>
      </c>
      <c r="I169" s="16" t="s">
        <v>87</v>
      </c>
      <c r="J169" s="19"/>
      <c r="L169" s="16" t="str">
        <f>IFERROR(__xludf.DUMMYFUNCTION("""COMPUTED_VALUE"""),"")</f>
        <v/>
      </c>
      <c r="M169" s="16" t="str">
        <f>IFERROR(__xludf.DUMMYFUNCTION("""COMPUTED_VALUE"""),"")</f>
        <v/>
      </c>
      <c r="U169" s="16" t="s">
        <v>87</v>
      </c>
      <c r="V169" s="16" t="str">
        <f>IFERROR(__xludf.DUMMYFUNCTION("""COMPUTED_VALUE"""),"")</f>
        <v/>
      </c>
      <c r="W169" s="16" t="str">
        <f>IFERROR(__xludf.DUMMYFUNCTION("""COMPUTED_VALUE"""),"")</f>
        <v/>
      </c>
      <c r="X169" s="16" t="str">
        <f>IFERROR(__xludf.DUMMYFUNCTION("""COMPUTED_VALUE"""),"")</f>
        <v/>
      </c>
      <c r="AC169" s="16" t="str">
        <f>IFERROR(__xludf.DUMMYFUNCTION("""COMPUTED_VALUE"""),"")</f>
        <v/>
      </c>
    </row>
    <row r="170">
      <c r="A170" s="16" t="s">
        <v>87</v>
      </c>
      <c r="E170" s="16" t="str">
        <f>IFERROR(__xludf.DUMMYFUNCTION("""COMPUTED_VALUE"""),"")</f>
        <v/>
      </c>
      <c r="G170" s="18"/>
      <c r="H170" s="16" t="s">
        <v>87</v>
      </c>
      <c r="I170" s="16" t="s">
        <v>87</v>
      </c>
      <c r="J170" s="19"/>
      <c r="L170" s="16" t="str">
        <f>IFERROR(__xludf.DUMMYFUNCTION("""COMPUTED_VALUE"""),"")</f>
        <v/>
      </c>
      <c r="M170" s="16" t="str">
        <f>IFERROR(__xludf.DUMMYFUNCTION("""COMPUTED_VALUE"""),"")</f>
        <v/>
      </c>
      <c r="U170" s="16" t="s">
        <v>87</v>
      </c>
      <c r="V170" s="16" t="str">
        <f>IFERROR(__xludf.DUMMYFUNCTION("""COMPUTED_VALUE"""),"")</f>
        <v/>
      </c>
      <c r="W170" s="16" t="str">
        <f>IFERROR(__xludf.DUMMYFUNCTION("""COMPUTED_VALUE"""),"")</f>
        <v/>
      </c>
      <c r="X170" s="16" t="str">
        <f>IFERROR(__xludf.DUMMYFUNCTION("""COMPUTED_VALUE"""),"")</f>
        <v/>
      </c>
      <c r="AC170" s="16" t="str">
        <f>IFERROR(__xludf.DUMMYFUNCTION("""COMPUTED_VALUE"""),"")</f>
        <v/>
      </c>
    </row>
    <row r="171">
      <c r="A171" s="16" t="s">
        <v>87</v>
      </c>
      <c r="E171" s="16" t="str">
        <f>IFERROR(__xludf.DUMMYFUNCTION("""COMPUTED_VALUE"""),"")</f>
        <v/>
      </c>
      <c r="G171" s="18"/>
      <c r="H171" s="16" t="s">
        <v>87</v>
      </c>
      <c r="I171" s="16" t="s">
        <v>87</v>
      </c>
      <c r="J171" s="19"/>
      <c r="L171" s="16" t="str">
        <f>IFERROR(__xludf.DUMMYFUNCTION("""COMPUTED_VALUE"""),"")</f>
        <v/>
      </c>
      <c r="M171" s="16" t="str">
        <f>IFERROR(__xludf.DUMMYFUNCTION("""COMPUTED_VALUE"""),"")</f>
        <v/>
      </c>
      <c r="U171" s="16" t="s">
        <v>87</v>
      </c>
      <c r="V171" s="16" t="str">
        <f>IFERROR(__xludf.DUMMYFUNCTION("""COMPUTED_VALUE"""),"")</f>
        <v/>
      </c>
      <c r="W171" s="16" t="str">
        <f>IFERROR(__xludf.DUMMYFUNCTION("""COMPUTED_VALUE"""),"")</f>
        <v/>
      </c>
      <c r="X171" s="16" t="str">
        <f>IFERROR(__xludf.DUMMYFUNCTION("""COMPUTED_VALUE"""),"")</f>
        <v/>
      </c>
      <c r="AC171" s="16" t="str">
        <f>IFERROR(__xludf.DUMMYFUNCTION("""COMPUTED_VALUE"""),"")</f>
        <v/>
      </c>
    </row>
    <row r="172">
      <c r="A172" s="16" t="s">
        <v>87</v>
      </c>
      <c r="E172" s="16" t="str">
        <f>IFERROR(__xludf.DUMMYFUNCTION("""COMPUTED_VALUE"""),"")</f>
        <v/>
      </c>
      <c r="G172" s="18"/>
      <c r="H172" s="16" t="s">
        <v>87</v>
      </c>
      <c r="I172" s="16" t="s">
        <v>87</v>
      </c>
      <c r="J172" s="19"/>
      <c r="L172" s="16" t="str">
        <f>IFERROR(__xludf.DUMMYFUNCTION("""COMPUTED_VALUE"""),"")</f>
        <v/>
      </c>
      <c r="M172" s="16" t="str">
        <f>IFERROR(__xludf.DUMMYFUNCTION("""COMPUTED_VALUE"""),"")</f>
        <v/>
      </c>
      <c r="U172" s="16" t="s">
        <v>87</v>
      </c>
      <c r="V172" s="16" t="str">
        <f>IFERROR(__xludf.DUMMYFUNCTION("""COMPUTED_VALUE"""),"")</f>
        <v/>
      </c>
      <c r="W172" s="16" t="str">
        <f>IFERROR(__xludf.DUMMYFUNCTION("""COMPUTED_VALUE"""),"")</f>
        <v/>
      </c>
      <c r="X172" s="16" t="str">
        <f>IFERROR(__xludf.DUMMYFUNCTION("""COMPUTED_VALUE"""),"")</f>
        <v/>
      </c>
      <c r="AC172" s="16" t="str">
        <f>IFERROR(__xludf.DUMMYFUNCTION("""COMPUTED_VALUE"""),"")</f>
        <v/>
      </c>
    </row>
    <row r="173">
      <c r="A173" s="16" t="s">
        <v>87</v>
      </c>
      <c r="E173" s="16" t="str">
        <f>IFERROR(__xludf.DUMMYFUNCTION("""COMPUTED_VALUE"""),"")</f>
        <v/>
      </c>
      <c r="G173" s="18"/>
      <c r="H173" s="16" t="s">
        <v>87</v>
      </c>
      <c r="I173" s="16" t="s">
        <v>87</v>
      </c>
      <c r="J173" s="19"/>
      <c r="L173" s="16" t="str">
        <f>IFERROR(__xludf.DUMMYFUNCTION("""COMPUTED_VALUE"""),"")</f>
        <v/>
      </c>
      <c r="M173" s="16" t="str">
        <f>IFERROR(__xludf.DUMMYFUNCTION("""COMPUTED_VALUE"""),"")</f>
        <v/>
      </c>
      <c r="U173" s="16" t="s">
        <v>87</v>
      </c>
      <c r="V173" s="16" t="str">
        <f>IFERROR(__xludf.DUMMYFUNCTION("""COMPUTED_VALUE"""),"")</f>
        <v/>
      </c>
      <c r="W173" s="16" t="str">
        <f>IFERROR(__xludf.DUMMYFUNCTION("""COMPUTED_VALUE"""),"")</f>
        <v/>
      </c>
      <c r="X173" s="16" t="str">
        <f>IFERROR(__xludf.DUMMYFUNCTION("""COMPUTED_VALUE"""),"")</f>
        <v/>
      </c>
      <c r="AC173" s="16" t="str">
        <f>IFERROR(__xludf.DUMMYFUNCTION("""COMPUTED_VALUE"""),"")</f>
        <v/>
      </c>
    </row>
    <row r="174">
      <c r="A174" s="16" t="s">
        <v>87</v>
      </c>
      <c r="E174" s="16" t="str">
        <f>IFERROR(__xludf.DUMMYFUNCTION("""COMPUTED_VALUE"""),"")</f>
        <v/>
      </c>
      <c r="G174" s="18"/>
      <c r="H174" s="16" t="s">
        <v>87</v>
      </c>
      <c r="I174" s="16" t="s">
        <v>87</v>
      </c>
      <c r="J174" s="19"/>
      <c r="L174" s="16" t="str">
        <f>IFERROR(__xludf.DUMMYFUNCTION("""COMPUTED_VALUE"""),"")</f>
        <v/>
      </c>
      <c r="M174" s="16" t="str">
        <f>IFERROR(__xludf.DUMMYFUNCTION("""COMPUTED_VALUE"""),"")</f>
        <v/>
      </c>
      <c r="U174" s="16" t="s">
        <v>87</v>
      </c>
      <c r="V174" s="16" t="str">
        <f>IFERROR(__xludf.DUMMYFUNCTION("""COMPUTED_VALUE"""),"")</f>
        <v/>
      </c>
      <c r="W174" s="16" t="str">
        <f>IFERROR(__xludf.DUMMYFUNCTION("""COMPUTED_VALUE"""),"")</f>
        <v/>
      </c>
      <c r="X174" s="16" t="str">
        <f>IFERROR(__xludf.DUMMYFUNCTION("""COMPUTED_VALUE"""),"")</f>
        <v/>
      </c>
      <c r="AC174" s="16" t="str">
        <f>IFERROR(__xludf.DUMMYFUNCTION("""COMPUTED_VALUE"""),"")</f>
        <v/>
      </c>
    </row>
    <row r="175">
      <c r="A175" s="16" t="s">
        <v>87</v>
      </c>
      <c r="E175" s="16" t="str">
        <f>IFERROR(__xludf.DUMMYFUNCTION("""COMPUTED_VALUE"""),"")</f>
        <v/>
      </c>
      <c r="G175" s="18"/>
      <c r="H175" s="16" t="s">
        <v>87</v>
      </c>
      <c r="I175" s="16" t="s">
        <v>87</v>
      </c>
      <c r="J175" s="19"/>
      <c r="L175" s="16" t="str">
        <f>IFERROR(__xludf.DUMMYFUNCTION("""COMPUTED_VALUE"""),"")</f>
        <v/>
      </c>
      <c r="M175" s="16" t="str">
        <f>IFERROR(__xludf.DUMMYFUNCTION("""COMPUTED_VALUE"""),"")</f>
        <v/>
      </c>
      <c r="U175" s="16" t="s">
        <v>87</v>
      </c>
      <c r="V175" s="16" t="str">
        <f>IFERROR(__xludf.DUMMYFUNCTION("""COMPUTED_VALUE"""),"")</f>
        <v/>
      </c>
      <c r="W175" s="16" t="str">
        <f>IFERROR(__xludf.DUMMYFUNCTION("""COMPUTED_VALUE"""),"")</f>
        <v/>
      </c>
      <c r="X175" s="16" t="str">
        <f>IFERROR(__xludf.DUMMYFUNCTION("""COMPUTED_VALUE"""),"")</f>
        <v/>
      </c>
      <c r="AC175" s="16" t="str">
        <f>IFERROR(__xludf.DUMMYFUNCTION("""COMPUTED_VALUE"""),"")</f>
        <v/>
      </c>
    </row>
    <row r="176">
      <c r="A176" s="16" t="s">
        <v>87</v>
      </c>
      <c r="E176" s="16" t="str">
        <f>IFERROR(__xludf.DUMMYFUNCTION("""COMPUTED_VALUE"""),"")</f>
        <v/>
      </c>
      <c r="G176" s="18"/>
      <c r="H176" s="16" t="s">
        <v>87</v>
      </c>
      <c r="I176" s="16" t="s">
        <v>87</v>
      </c>
      <c r="J176" s="19"/>
      <c r="L176" s="16" t="str">
        <f>IFERROR(__xludf.DUMMYFUNCTION("""COMPUTED_VALUE"""),"")</f>
        <v/>
      </c>
      <c r="M176" s="16" t="str">
        <f>IFERROR(__xludf.DUMMYFUNCTION("""COMPUTED_VALUE"""),"")</f>
        <v/>
      </c>
      <c r="U176" s="16" t="s">
        <v>87</v>
      </c>
      <c r="V176" s="16" t="str">
        <f>IFERROR(__xludf.DUMMYFUNCTION("""COMPUTED_VALUE"""),"")</f>
        <v/>
      </c>
      <c r="W176" s="16" t="str">
        <f>IFERROR(__xludf.DUMMYFUNCTION("""COMPUTED_VALUE"""),"")</f>
        <v/>
      </c>
      <c r="X176" s="16" t="str">
        <f>IFERROR(__xludf.DUMMYFUNCTION("""COMPUTED_VALUE"""),"")</f>
        <v/>
      </c>
      <c r="AC176" s="16" t="str">
        <f>IFERROR(__xludf.DUMMYFUNCTION("""COMPUTED_VALUE"""),"")</f>
        <v/>
      </c>
    </row>
    <row r="177">
      <c r="A177" s="16" t="s">
        <v>87</v>
      </c>
      <c r="E177" s="16" t="str">
        <f>IFERROR(__xludf.DUMMYFUNCTION("""COMPUTED_VALUE"""),"")</f>
        <v/>
      </c>
      <c r="G177" s="18"/>
      <c r="H177" s="16" t="s">
        <v>87</v>
      </c>
      <c r="I177" s="16" t="s">
        <v>87</v>
      </c>
      <c r="J177" s="19"/>
      <c r="L177" s="16" t="str">
        <f>IFERROR(__xludf.DUMMYFUNCTION("""COMPUTED_VALUE"""),"")</f>
        <v/>
      </c>
      <c r="M177" s="16" t="str">
        <f>IFERROR(__xludf.DUMMYFUNCTION("""COMPUTED_VALUE"""),"")</f>
        <v/>
      </c>
      <c r="U177" s="16" t="s">
        <v>87</v>
      </c>
      <c r="V177" s="16" t="str">
        <f>IFERROR(__xludf.DUMMYFUNCTION("""COMPUTED_VALUE"""),"")</f>
        <v/>
      </c>
      <c r="W177" s="16" t="str">
        <f>IFERROR(__xludf.DUMMYFUNCTION("""COMPUTED_VALUE"""),"")</f>
        <v/>
      </c>
      <c r="X177" s="16" t="str">
        <f>IFERROR(__xludf.DUMMYFUNCTION("""COMPUTED_VALUE"""),"")</f>
        <v/>
      </c>
      <c r="AC177" s="16" t="str">
        <f>IFERROR(__xludf.DUMMYFUNCTION("""COMPUTED_VALUE"""),"")</f>
        <v/>
      </c>
    </row>
    <row r="178">
      <c r="A178" s="16" t="s">
        <v>87</v>
      </c>
      <c r="E178" s="16" t="str">
        <f>IFERROR(__xludf.DUMMYFUNCTION("""COMPUTED_VALUE"""),"")</f>
        <v/>
      </c>
      <c r="G178" s="18"/>
      <c r="H178" s="16" t="s">
        <v>87</v>
      </c>
      <c r="I178" s="16" t="s">
        <v>87</v>
      </c>
      <c r="J178" s="19"/>
      <c r="L178" s="16" t="str">
        <f>IFERROR(__xludf.DUMMYFUNCTION("""COMPUTED_VALUE"""),"")</f>
        <v/>
      </c>
      <c r="M178" s="16" t="str">
        <f>IFERROR(__xludf.DUMMYFUNCTION("""COMPUTED_VALUE"""),"")</f>
        <v/>
      </c>
      <c r="U178" s="16" t="s">
        <v>87</v>
      </c>
      <c r="V178" s="16" t="str">
        <f>IFERROR(__xludf.DUMMYFUNCTION("""COMPUTED_VALUE"""),"")</f>
        <v/>
      </c>
      <c r="W178" s="16" t="str">
        <f>IFERROR(__xludf.DUMMYFUNCTION("""COMPUTED_VALUE"""),"")</f>
        <v/>
      </c>
      <c r="X178" s="16" t="str">
        <f>IFERROR(__xludf.DUMMYFUNCTION("""COMPUTED_VALUE"""),"")</f>
        <v/>
      </c>
      <c r="AC178" s="16" t="str">
        <f>IFERROR(__xludf.DUMMYFUNCTION("""COMPUTED_VALUE"""),"")</f>
        <v/>
      </c>
    </row>
    <row r="179">
      <c r="A179" s="16" t="s">
        <v>87</v>
      </c>
      <c r="E179" s="16" t="str">
        <f>IFERROR(__xludf.DUMMYFUNCTION("""COMPUTED_VALUE"""),"")</f>
        <v/>
      </c>
      <c r="G179" s="18"/>
      <c r="H179" s="16" t="s">
        <v>87</v>
      </c>
      <c r="I179" s="16" t="s">
        <v>87</v>
      </c>
      <c r="J179" s="19"/>
      <c r="L179" s="16" t="str">
        <f>IFERROR(__xludf.DUMMYFUNCTION("""COMPUTED_VALUE"""),"")</f>
        <v/>
      </c>
      <c r="M179" s="16" t="str">
        <f>IFERROR(__xludf.DUMMYFUNCTION("""COMPUTED_VALUE"""),"")</f>
        <v/>
      </c>
      <c r="U179" s="16" t="s">
        <v>87</v>
      </c>
      <c r="V179" s="16" t="str">
        <f>IFERROR(__xludf.DUMMYFUNCTION("""COMPUTED_VALUE"""),"")</f>
        <v/>
      </c>
      <c r="W179" s="16" t="str">
        <f>IFERROR(__xludf.DUMMYFUNCTION("""COMPUTED_VALUE"""),"")</f>
        <v/>
      </c>
      <c r="X179" s="16" t="str">
        <f>IFERROR(__xludf.DUMMYFUNCTION("""COMPUTED_VALUE"""),"")</f>
        <v/>
      </c>
      <c r="AC179" s="16" t="str">
        <f>IFERROR(__xludf.DUMMYFUNCTION("""COMPUTED_VALUE"""),"")</f>
        <v/>
      </c>
    </row>
    <row r="180">
      <c r="A180" s="16" t="s">
        <v>87</v>
      </c>
      <c r="E180" s="16" t="str">
        <f>IFERROR(__xludf.DUMMYFUNCTION("""COMPUTED_VALUE"""),"")</f>
        <v/>
      </c>
      <c r="G180" s="18"/>
      <c r="H180" s="16" t="s">
        <v>87</v>
      </c>
      <c r="I180" s="16" t="s">
        <v>87</v>
      </c>
      <c r="J180" s="19"/>
      <c r="L180" s="16" t="str">
        <f>IFERROR(__xludf.DUMMYFUNCTION("""COMPUTED_VALUE"""),"")</f>
        <v/>
      </c>
      <c r="M180" s="16" t="str">
        <f>IFERROR(__xludf.DUMMYFUNCTION("""COMPUTED_VALUE"""),"")</f>
        <v/>
      </c>
      <c r="U180" s="16" t="s">
        <v>87</v>
      </c>
      <c r="V180" s="16" t="str">
        <f>IFERROR(__xludf.DUMMYFUNCTION("""COMPUTED_VALUE"""),"")</f>
        <v/>
      </c>
      <c r="W180" s="16" t="str">
        <f>IFERROR(__xludf.DUMMYFUNCTION("""COMPUTED_VALUE"""),"")</f>
        <v/>
      </c>
      <c r="X180" s="16" t="str">
        <f>IFERROR(__xludf.DUMMYFUNCTION("""COMPUTED_VALUE"""),"")</f>
        <v/>
      </c>
      <c r="AC180" s="16" t="str">
        <f>IFERROR(__xludf.DUMMYFUNCTION("""COMPUTED_VALUE"""),"")</f>
        <v/>
      </c>
    </row>
    <row r="181">
      <c r="A181" s="16" t="s">
        <v>87</v>
      </c>
      <c r="E181" s="16" t="str">
        <f>IFERROR(__xludf.DUMMYFUNCTION("""COMPUTED_VALUE"""),"")</f>
        <v/>
      </c>
      <c r="G181" s="18"/>
      <c r="H181" s="16" t="s">
        <v>87</v>
      </c>
      <c r="I181" s="16" t="s">
        <v>87</v>
      </c>
      <c r="J181" s="19"/>
      <c r="L181" s="16" t="str">
        <f>IFERROR(__xludf.DUMMYFUNCTION("""COMPUTED_VALUE"""),"")</f>
        <v/>
      </c>
      <c r="M181" s="16" t="str">
        <f>IFERROR(__xludf.DUMMYFUNCTION("""COMPUTED_VALUE"""),"")</f>
        <v/>
      </c>
      <c r="U181" s="16" t="s">
        <v>87</v>
      </c>
      <c r="V181" s="16" t="str">
        <f>IFERROR(__xludf.DUMMYFUNCTION("""COMPUTED_VALUE"""),"")</f>
        <v/>
      </c>
      <c r="W181" s="16" t="str">
        <f>IFERROR(__xludf.DUMMYFUNCTION("""COMPUTED_VALUE"""),"")</f>
        <v/>
      </c>
      <c r="X181" s="16" t="str">
        <f>IFERROR(__xludf.DUMMYFUNCTION("""COMPUTED_VALUE"""),"")</f>
        <v/>
      </c>
      <c r="AC181" s="16" t="str">
        <f>IFERROR(__xludf.DUMMYFUNCTION("""COMPUTED_VALUE"""),"")</f>
        <v/>
      </c>
    </row>
    <row r="182">
      <c r="A182" s="16" t="s">
        <v>87</v>
      </c>
      <c r="E182" s="16" t="str">
        <f>IFERROR(__xludf.DUMMYFUNCTION("""COMPUTED_VALUE"""),"")</f>
        <v/>
      </c>
      <c r="G182" s="18"/>
      <c r="H182" s="16" t="s">
        <v>87</v>
      </c>
      <c r="I182" s="16" t="s">
        <v>87</v>
      </c>
      <c r="J182" s="19"/>
      <c r="L182" s="16" t="str">
        <f>IFERROR(__xludf.DUMMYFUNCTION("""COMPUTED_VALUE"""),"")</f>
        <v/>
      </c>
      <c r="M182" s="16" t="str">
        <f>IFERROR(__xludf.DUMMYFUNCTION("""COMPUTED_VALUE"""),"")</f>
        <v/>
      </c>
      <c r="U182" s="16" t="s">
        <v>87</v>
      </c>
      <c r="V182" s="16" t="str">
        <f>IFERROR(__xludf.DUMMYFUNCTION("""COMPUTED_VALUE"""),"")</f>
        <v/>
      </c>
      <c r="W182" s="16" t="str">
        <f>IFERROR(__xludf.DUMMYFUNCTION("""COMPUTED_VALUE"""),"")</f>
        <v/>
      </c>
      <c r="X182" s="16" t="str">
        <f>IFERROR(__xludf.DUMMYFUNCTION("""COMPUTED_VALUE"""),"")</f>
        <v/>
      </c>
      <c r="AC182" s="16" t="str">
        <f>IFERROR(__xludf.DUMMYFUNCTION("""COMPUTED_VALUE"""),"")</f>
        <v/>
      </c>
    </row>
    <row r="183">
      <c r="A183" s="16" t="s">
        <v>87</v>
      </c>
      <c r="E183" s="16" t="str">
        <f>IFERROR(__xludf.DUMMYFUNCTION("""COMPUTED_VALUE"""),"")</f>
        <v/>
      </c>
      <c r="G183" s="18"/>
      <c r="H183" s="16" t="s">
        <v>87</v>
      </c>
      <c r="I183" s="16" t="s">
        <v>87</v>
      </c>
      <c r="J183" s="19"/>
      <c r="L183" s="16" t="str">
        <f>IFERROR(__xludf.DUMMYFUNCTION("""COMPUTED_VALUE"""),"")</f>
        <v/>
      </c>
      <c r="M183" s="16" t="str">
        <f>IFERROR(__xludf.DUMMYFUNCTION("""COMPUTED_VALUE"""),"")</f>
        <v/>
      </c>
      <c r="U183" s="16" t="s">
        <v>87</v>
      </c>
      <c r="V183" s="16" t="str">
        <f>IFERROR(__xludf.DUMMYFUNCTION("""COMPUTED_VALUE"""),"")</f>
        <v/>
      </c>
      <c r="W183" s="16" t="str">
        <f>IFERROR(__xludf.DUMMYFUNCTION("""COMPUTED_VALUE"""),"")</f>
        <v/>
      </c>
      <c r="X183" s="16" t="str">
        <f>IFERROR(__xludf.DUMMYFUNCTION("""COMPUTED_VALUE"""),"")</f>
        <v/>
      </c>
      <c r="AC183" s="16" t="str">
        <f>IFERROR(__xludf.DUMMYFUNCTION("""COMPUTED_VALUE"""),"")</f>
        <v/>
      </c>
    </row>
    <row r="184">
      <c r="A184" s="16" t="s">
        <v>87</v>
      </c>
      <c r="E184" s="16" t="str">
        <f>IFERROR(__xludf.DUMMYFUNCTION("""COMPUTED_VALUE"""),"")</f>
        <v/>
      </c>
      <c r="G184" s="18"/>
      <c r="H184" s="16" t="s">
        <v>87</v>
      </c>
      <c r="I184" s="16" t="s">
        <v>87</v>
      </c>
      <c r="J184" s="19"/>
      <c r="L184" s="16" t="str">
        <f>IFERROR(__xludf.DUMMYFUNCTION("""COMPUTED_VALUE"""),"")</f>
        <v/>
      </c>
      <c r="M184" s="16" t="str">
        <f>IFERROR(__xludf.DUMMYFUNCTION("""COMPUTED_VALUE"""),"")</f>
        <v/>
      </c>
      <c r="U184" s="16" t="s">
        <v>87</v>
      </c>
      <c r="V184" s="16" t="str">
        <f>IFERROR(__xludf.DUMMYFUNCTION("""COMPUTED_VALUE"""),"")</f>
        <v/>
      </c>
      <c r="W184" s="16" t="str">
        <f>IFERROR(__xludf.DUMMYFUNCTION("""COMPUTED_VALUE"""),"")</f>
        <v/>
      </c>
      <c r="X184" s="16" t="str">
        <f>IFERROR(__xludf.DUMMYFUNCTION("""COMPUTED_VALUE"""),"")</f>
        <v/>
      </c>
      <c r="AC184" s="16" t="str">
        <f>IFERROR(__xludf.DUMMYFUNCTION("""COMPUTED_VALUE"""),"")</f>
        <v/>
      </c>
    </row>
    <row r="185">
      <c r="A185" s="16" t="s">
        <v>87</v>
      </c>
      <c r="E185" s="16" t="str">
        <f>IFERROR(__xludf.DUMMYFUNCTION("""COMPUTED_VALUE"""),"")</f>
        <v/>
      </c>
      <c r="G185" s="18"/>
      <c r="H185" s="16" t="s">
        <v>87</v>
      </c>
      <c r="I185" s="16" t="s">
        <v>87</v>
      </c>
      <c r="J185" s="19"/>
      <c r="L185" s="16" t="str">
        <f>IFERROR(__xludf.DUMMYFUNCTION("""COMPUTED_VALUE"""),"")</f>
        <v/>
      </c>
      <c r="M185" s="16" t="str">
        <f>IFERROR(__xludf.DUMMYFUNCTION("""COMPUTED_VALUE"""),"")</f>
        <v/>
      </c>
      <c r="U185" s="16" t="s">
        <v>87</v>
      </c>
      <c r="V185" s="16" t="str">
        <f>IFERROR(__xludf.DUMMYFUNCTION("""COMPUTED_VALUE"""),"")</f>
        <v/>
      </c>
      <c r="W185" s="16" t="str">
        <f>IFERROR(__xludf.DUMMYFUNCTION("""COMPUTED_VALUE"""),"")</f>
        <v/>
      </c>
      <c r="X185" s="16" t="str">
        <f>IFERROR(__xludf.DUMMYFUNCTION("""COMPUTED_VALUE"""),"")</f>
        <v/>
      </c>
      <c r="AC185" s="16" t="str">
        <f>IFERROR(__xludf.DUMMYFUNCTION("""COMPUTED_VALUE"""),"")</f>
        <v/>
      </c>
    </row>
    <row r="186">
      <c r="A186" s="16" t="s">
        <v>87</v>
      </c>
      <c r="E186" s="16" t="str">
        <f>IFERROR(__xludf.DUMMYFUNCTION("""COMPUTED_VALUE"""),"")</f>
        <v/>
      </c>
      <c r="G186" s="18"/>
      <c r="H186" s="16" t="s">
        <v>87</v>
      </c>
      <c r="I186" s="16" t="s">
        <v>87</v>
      </c>
      <c r="J186" s="19"/>
      <c r="L186" s="16" t="str">
        <f>IFERROR(__xludf.DUMMYFUNCTION("""COMPUTED_VALUE"""),"")</f>
        <v/>
      </c>
      <c r="M186" s="16" t="str">
        <f>IFERROR(__xludf.DUMMYFUNCTION("""COMPUTED_VALUE"""),"")</f>
        <v/>
      </c>
      <c r="U186" s="16" t="s">
        <v>87</v>
      </c>
      <c r="V186" s="16" t="str">
        <f>IFERROR(__xludf.DUMMYFUNCTION("""COMPUTED_VALUE"""),"")</f>
        <v/>
      </c>
      <c r="W186" s="16" t="str">
        <f>IFERROR(__xludf.DUMMYFUNCTION("""COMPUTED_VALUE"""),"")</f>
        <v/>
      </c>
      <c r="X186" s="16" t="str">
        <f>IFERROR(__xludf.DUMMYFUNCTION("""COMPUTED_VALUE"""),"")</f>
        <v/>
      </c>
      <c r="AC186" s="16" t="str">
        <f>IFERROR(__xludf.DUMMYFUNCTION("""COMPUTED_VALUE"""),"")</f>
        <v/>
      </c>
    </row>
    <row r="187">
      <c r="A187" s="16" t="s">
        <v>87</v>
      </c>
      <c r="E187" s="16" t="str">
        <f>IFERROR(__xludf.DUMMYFUNCTION("""COMPUTED_VALUE"""),"")</f>
        <v/>
      </c>
      <c r="G187" s="18"/>
      <c r="H187" s="16" t="s">
        <v>87</v>
      </c>
      <c r="I187" s="16" t="s">
        <v>87</v>
      </c>
      <c r="J187" s="19"/>
      <c r="L187" s="16" t="str">
        <f>IFERROR(__xludf.DUMMYFUNCTION("""COMPUTED_VALUE"""),"")</f>
        <v/>
      </c>
      <c r="M187" s="16" t="str">
        <f>IFERROR(__xludf.DUMMYFUNCTION("""COMPUTED_VALUE"""),"")</f>
        <v/>
      </c>
      <c r="U187" s="16" t="s">
        <v>87</v>
      </c>
      <c r="V187" s="16" t="str">
        <f>IFERROR(__xludf.DUMMYFUNCTION("""COMPUTED_VALUE"""),"")</f>
        <v/>
      </c>
      <c r="W187" s="16" t="str">
        <f>IFERROR(__xludf.DUMMYFUNCTION("""COMPUTED_VALUE"""),"")</f>
        <v/>
      </c>
      <c r="X187" s="16" t="str">
        <f>IFERROR(__xludf.DUMMYFUNCTION("""COMPUTED_VALUE"""),"")</f>
        <v/>
      </c>
      <c r="AC187" s="16" t="str">
        <f>IFERROR(__xludf.DUMMYFUNCTION("""COMPUTED_VALUE"""),"")</f>
        <v/>
      </c>
    </row>
    <row r="188">
      <c r="A188" s="16" t="s">
        <v>87</v>
      </c>
      <c r="E188" s="16" t="str">
        <f>IFERROR(__xludf.DUMMYFUNCTION("""COMPUTED_VALUE"""),"")</f>
        <v/>
      </c>
      <c r="G188" s="18"/>
      <c r="H188" s="16" t="s">
        <v>87</v>
      </c>
      <c r="I188" s="16" t="s">
        <v>87</v>
      </c>
      <c r="J188" s="19"/>
      <c r="L188" s="16" t="str">
        <f>IFERROR(__xludf.DUMMYFUNCTION("""COMPUTED_VALUE"""),"")</f>
        <v/>
      </c>
      <c r="M188" s="16" t="str">
        <f>IFERROR(__xludf.DUMMYFUNCTION("""COMPUTED_VALUE"""),"")</f>
        <v/>
      </c>
      <c r="U188" s="16" t="s">
        <v>87</v>
      </c>
      <c r="V188" s="16" t="str">
        <f>IFERROR(__xludf.DUMMYFUNCTION("""COMPUTED_VALUE"""),"")</f>
        <v/>
      </c>
      <c r="W188" s="16" t="str">
        <f>IFERROR(__xludf.DUMMYFUNCTION("""COMPUTED_VALUE"""),"")</f>
        <v/>
      </c>
      <c r="X188" s="16" t="str">
        <f>IFERROR(__xludf.DUMMYFUNCTION("""COMPUTED_VALUE"""),"")</f>
        <v/>
      </c>
      <c r="AC188" s="16" t="str">
        <f>IFERROR(__xludf.DUMMYFUNCTION("""COMPUTED_VALUE"""),"")</f>
        <v/>
      </c>
    </row>
    <row r="189">
      <c r="A189" s="16" t="s">
        <v>87</v>
      </c>
      <c r="E189" s="16" t="str">
        <f>IFERROR(__xludf.DUMMYFUNCTION("""COMPUTED_VALUE"""),"")</f>
        <v/>
      </c>
      <c r="G189" s="18"/>
      <c r="H189" s="16" t="s">
        <v>87</v>
      </c>
      <c r="I189" s="16" t="s">
        <v>87</v>
      </c>
      <c r="J189" s="19"/>
      <c r="L189" s="16" t="str">
        <f>IFERROR(__xludf.DUMMYFUNCTION("""COMPUTED_VALUE"""),"")</f>
        <v/>
      </c>
      <c r="M189" s="16" t="str">
        <f>IFERROR(__xludf.DUMMYFUNCTION("""COMPUTED_VALUE"""),"")</f>
        <v/>
      </c>
      <c r="U189" s="16" t="s">
        <v>87</v>
      </c>
      <c r="V189" s="16" t="str">
        <f>IFERROR(__xludf.DUMMYFUNCTION("""COMPUTED_VALUE"""),"")</f>
        <v/>
      </c>
      <c r="W189" s="16" t="str">
        <f>IFERROR(__xludf.DUMMYFUNCTION("""COMPUTED_VALUE"""),"")</f>
        <v/>
      </c>
      <c r="X189" s="16" t="str">
        <f>IFERROR(__xludf.DUMMYFUNCTION("""COMPUTED_VALUE"""),"")</f>
        <v/>
      </c>
      <c r="AC189" s="16" t="str">
        <f>IFERROR(__xludf.DUMMYFUNCTION("""COMPUTED_VALUE"""),"")</f>
        <v/>
      </c>
    </row>
    <row r="190">
      <c r="A190" s="16" t="s">
        <v>87</v>
      </c>
      <c r="E190" s="16" t="str">
        <f>IFERROR(__xludf.DUMMYFUNCTION("""COMPUTED_VALUE"""),"")</f>
        <v/>
      </c>
      <c r="G190" s="18"/>
      <c r="H190" s="16" t="s">
        <v>87</v>
      </c>
      <c r="I190" s="16" t="s">
        <v>87</v>
      </c>
      <c r="J190" s="19"/>
      <c r="L190" s="16" t="str">
        <f>IFERROR(__xludf.DUMMYFUNCTION("""COMPUTED_VALUE"""),"")</f>
        <v/>
      </c>
      <c r="M190" s="16" t="str">
        <f>IFERROR(__xludf.DUMMYFUNCTION("""COMPUTED_VALUE"""),"")</f>
        <v/>
      </c>
      <c r="U190" s="16" t="s">
        <v>87</v>
      </c>
      <c r="V190" s="16" t="str">
        <f>IFERROR(__xludf.DUMMYFUNCTION("""COMPUTED_VALUE"""),"")</f>
        <v/>
      </c>
      <c r="W190" s="16" t="str">
        <f>IFERROR(__xludf.DUMMYFUNCTION("""COMPUTED_VALUE"""),"")</f>
        <v/>
      </c>
      <c r="X190" s="16" t="str">
        <f>IFERROR(__xludf.DUMMYFUNCTION("""COMPUTED_VALUE"""),"")</f>
        <v/>
      </c>
      <c r="AC190" s="16" t="str">
        <f>IFERROR(__xludf.DUMMYFUNCTION("""COMPUTED_VALUE"""),"")</f>
        <v/>
      </c>
    </row>
    <row r="191">
      <c r="A191" s="16" t="s">
        <v>87</v>
      </c>
      <c r="E191" s="16" t="str">
        <f>IFERROR(__xludf.DUMMYFUNCTION("""COMPUTED_VALUE"""),"")</f>
        <v/>
      </c>
      <c r="G191" s="18"/>
      <c r="H191" s="16" t="s">
        <v>87</v>
      </c>
      <c r="I191" s="16" t="s">
        <v>87</v>
      </c>
      <c r="J191" s="19"/>
      <c r="L191" s="16" t="str">
        <f>IFERROR(__xludf.DUMMYFUNCTION("""COMPUTED_VALUE"""),"")</f>
        <v/>
      </c>
      <c r="M191" s="16" t="str">
        <f>IFERROR(__xludf.DUMMYFUNCTION("""COMPUTED_VALUE"""),"")</f>
        <v/>
      </c>
      <c r="U191" s="16" t="s">
        <v>87</v>
      </c>
      <c r="V191" s="16" t="str">
        <f>IFERROR(__xludf.DUMMYFUNCTION("""COMPUTED_VALUE"""),"")</f>
        <v/>
      </c>
      <c r="W191" s="16" t="str">
        <f>IFERROR(__xludf.DUMMYFUNCTION("""COMPUTED_VALUE"""),"")</f>
        <v/>
      </c>
      <c r="X191" s="16" t="str">
        <f>IFERROR(__xludf.DUMMYFUNCTION("""COMPUTED_VALUE"""),"")</f>
        <v/>
      </c>
      <c r="AC191" s="16" t="str">
        <f>IFERROR(__xludf.DUMMYFUNCTION("""COMPUTED_VALUE"""),"")</f>
        <v/>
      </c>
    </row>
    <row r="192">
      <c r="A192" s="16" t="s">
        <v>87</v>
      </c>
      <c r="E192" s="16" t="str">
        <f>IFERROR(__xludf.DUMMYFUNCTION("""COMPUTED_VALUE"""),"")</f>
        <v/>
      </c>
      <c r="G192" s="18"/>
      <c r="H192" s="16" t="s">
        <v>87</v>
      </c>
      <c r="I192" s="16" t="s">
        <v>87</v>
      </c>
      <c r="J192" s="19"/>
      <c r="L192" s="16" t="str">
        <f>IFERROR(__xludf.DUMMYFUNCTION("""COMPUTED_VALUE"""),"")</f>
        <v/>
      </c>
      <c r="M192" s="16" t="str">
        <f>IFERROR(__xludf.DUMMYFUNCTION("""COMPUTED_VALUE"""),"")</f>
        <v/>
      </c>
      <c r="U192" s="16" t="s">
        <v>87</v>
      </c>
      <c r="V192" s="16" t="str">
        <f>IFERROR(__xludf.DUMMYFUNCTION("""COMPUTED_VALUE"""),"")</f>
        <v/>
      </c>
      <c r="W192" s="16" t="str">
        <f>IFERROR(__xludf.DUMMYFUNCTION("""COMPUTED_VALUE"""),"")</f>
        <v/>
      </c>
      <c r="X192" s="16" t="str">
        <f>IFERROR(__xludf.DUMMYFUNCTION("""COMPUTED_VALUE"""),"")</f>
        <v/>
      </c>
      <c r="AC192" s="16" t="str">
        <f>IFERROR(__xludf.DUMMYFUNCTION("""COMPUTED_VALUE"""),"")</f>
        <v/>
      </c>
    </row>
    <row r="193">
      <c r="A193" s="16" t="s">
        <v>87</v>
      </c>
      <c r="E193" s="16" t="str">
        <f>IFERROR(__xludf.DUMMYFUNCTION("""COMPUTED_VALUE"""),"")</f>
        <v/>
      </c>
      <c r="G193" s="18"/>
      <c r="H193" s="16" t="s">
        <v>87</v>
      </c>
      <c r="I193" s="16" t="s">
        <v>87</v>
      </c>
      <c r="J193" s="19"/>
      <c r="L193" s="16" t="str">
        <f>IFERROR(__xludf.DUMMYFUNCTION("""COMPUTED_VALUE"""),"")</f>
        <v/>
      </c>
      <c r="M193" s="16" t="str">
        <f>IFERROR(__xludf.DUMMYFUNCTION("""COMPUTED_VALUE"""),"")</f>
        <v/>
      </c>
      <c r="U193" s="16" t="s">
        <v>87</v>
      </c>
      <c r="V193" s="16" t="str">
        <f>IFERROR(__xludf.DUMMYFUNCTION("""COMPUTED_VALUE"""),"")</f>
        <v/>
      </c>
      <c r="W193" s="16" t="str">
        <f>IFERROR(__xludf.DUMMYFUNCTION("""COMPUTED_VALUE"""),"")</f>
        <v/>
      </c>
      <c r="X193" s="16" t="str">
        <f>IFERROR(__xludf.DUMMYFUNCTION("""COMPUTED_VALUE"""),"")</f>
        <v/>
      </c>
      <c r="AC193" s="16" t="str">
        <f>IFERROR(__xludf.DUMMYFUNCTION("""COMPUTED_VALUE"""),"")</f>
        <v/>
      </c>
    </row>
    <row r="194">
      <c r="A194" s="16" t="s">
        <v>87</v>
      </c>
      <c r="E194" s="16" t="str">
        <f>IFERROR(__xludf.DUMMYFUNCTION("""COMPUTED_VALUE"""),"")</f>
        <v/>
      </c>
      <c r="G194" s="18"/>
      <c r="H194" s="16" t="s">
        <v>87</v>
      </c>
      <c r="I194" s="16" t="s">
        <v>87</v>
      </c>
      <c r="J194" s="19"/>
      <c r="L194" s="16" t="str">
        <f>IFERROR(__xludf.DUMMYFUNCTION("""COMPUTED_VALUE"""),"")</f>
        <v/>
      </c>
      <c r="M194" s="16" t="str">
        <f>IFERROR(__xludf.DUMMYFUNCTION("""COMPUTED_VALUE"""),"")</f>
        <v/>
      </c>
      <c r="U194" s="16" t="s">
        <v>87</v>
      </c>
      <c r="V194" s="16" t="str">
        <f>IFERROR(__xludf.DUMMYFUNCTION("""COMPUTED_VALUE"""),"")</f>
        <v/>
      </c>
      <c r="W194" s="16" t="str">
        <f>IFERROR(__xludf.DUMMYFUNCTION("""COMPUTED_VALUE"""),"")</f>
        <v/>
      </c>
      <c r="X194" s="16" t="str">
        <f>IFERROR(__xludf.DUMMYFUNCTION("""COMPUTED_VALUE"""),"")</f>
        <v/>
      </c>
      <c r="AC194" s="16" t="str">
        <f>IFERROR(__xludf.DUMMYFUNCTION("""COMPUTED_VALUE"""),"")</f>
        <v/>
      </c>
    </row>
    <row r="195">
      <c r="A195" s="16" t="s">
        <v>87</v>
      </c>
      <c r="E195" s="16" t="str">
        <f>IFERROR(__xludf.DUMMYFUNCTION("""COMPUTED_VALUE"""),"")</f>
        <v/>
      </c>
      <c r="G195" s="18"/>
      <c r="H195" s="16" t="s">
        <v>87</v>
      </c>
      <c r="I195" s="16" t="s">
        <v>87</v>
      </c>
      <c r="J195" s="19"/>
      <c r="L195" s="16" t="str">
        <f>IFERROR(__xludf.DUMMYFUNCTION("""COMPUTED_VALUE"""),"")</f>
        <v/>
      </c>
      <c r="M195" s="16" t="str">
        <f>IFERROR(__xludf.DUMMYFUNCTION("""COMPUTED_VALUE"""),"")</f>
        <v/>
      </c>
      <c r="U195" s="16" t="s">
        <v>87</v>
      </c>
      <c r="V195" s="16" t="str">
        <f>IFERROR(__xludf.DUMMYFUNCTION("""COMPUTED_VALUE"""),"")</f>
        <v/>
      </c>
      <c r="W195" s="16" t="str">
        <f>IFERROR(__xludf.DUMMYFUNCTION("""COMPUTED_VALUE"""),"")</f>
        <v/>
      </c>
      <c r="X195" s="16" t="str">
        <f>IFERROR(__xludf.DUMMYFUNCTION("""COMPUTED_VALUE"""),"")</f>
        <v/>
      </c>
      <c r="AC195" s="16" t="str">
        <f>IFERROR(__xludf.DUMMYFUNCTION("""COMPUTED_VALUE"""),"")</f>
        <v/>
      </c>
    </row>
    <row r="196">
      <c r="A196" s="16" t="s">
        <v>87</v>
      </c>
      <c r="E196" s="16" t="str">
        <f>IFERROR(__xludf.DUMMYFUNCTION("""COMPUTED_VALUE"""),"")</f>
        <v/>
      </c>
      <c r="G196" s="18"/>
      <c r="H196" s="16" t="s">
        <v>87</v>
      </c>
      <c r="I196" s="16" t="s">
        <v>87</v>
      </c>
      <c r="J196" s="19"/>
      <c r="L196" s="16" t="str">
        <f>IFERROR(__xludf.DUMMYFUNCTION("""COMPUTED_VALUE"""),"")</f>
        <v/>
      </c>
      <c r="M196" s="16" t="str">
        <f>IFERROR(__xludf.DUMMYFUNCTION("""COMPUTED_VALUE"""),"")</f>
        <v/>
      </c>
      <c r="U196" s="16" t="s">
        <v>87</v>
      </c>
      <c r="V196" s="16" t="str">
        <f>IFERROR(__xludf.DUMMYFUNCTION("""COMPUTED_VALUE"""),"")</f>
        <v/>
      </c>
      <c r="W196" s="16" t="str">
        <f>IFERROR(__xludf.DUMMYFUNCTION("""COMPUTED_VALUE"""),"")</f>
        <v/>
      </c>
      <c r="X196" s="16" t="str">
        <f>IFERROR(__xludf.DUMMYFUNCTION("""COMPUTED_VALUE"""),"")</f>
        <v/>
      </c>
      <c r="AC196" s="16" t="str">
        <f>IFERROR(__xludf.DUMMYFUNCTION("""COMPUTED_VALUE"""),"")</f>
        <v/>
      </c>
    </row>
    <row r="197">
      <c r="A197" s="16" t="s">
        <v>87</v>
      </c>
      <c r="E197" s="16" t="str">
        <f>IFERROR(__xludf.DUMMYFUNCTION("""COMPUTED_VALUE"""),"")</f>
        <v/>
      </c>
      <c r="G197" s="18"/>
      <c r="H197" s="16" t="s">
        <v>87</v>
      </c>
      <c r="I197" s="16" t="s">
        <v>87</v>
      </c>
      <c r="J197" s="19"/>
      <c r="L197" s="16" t="str">
        <f>IFERROR(__xludf.DUMMYFUNCTION("""COMPUTED_VALUE"""),"")</f>
        <v/>
      </c>
      <c r="M197" s="16" t="str">
        <f>IFERROR(__xludf.DUMMYFUNCTION("""COMPUTED_VALUE"""),"")</f>
        <v/>
      </c>
      <c r="U197" s="16" t="s">
        <v>87</v>
      </c>
      <c r="V197" s="16" t="str">
        <f>IFERROR(__xludf.DUMMYFUNCTION("""COMPUTED_VALUE"""),"")</f>
        <v/>
      </c>
      <c r="W197" s="16" t="str">
        <f>IFERROR(__xludf.DUMMYFUNCTION("""COMPUTED_VALUE"""),"")</f>
        <v/>
      </c>
      <c r="X197" s="16" t="str">
        <f>IFERROR(__xludf.DUMMYFUNCTION("""COMPUTED_VALUE"""),"")</f>
        <v/>
      </c>
      <c r="AC197" s="16" t="str">
        <f>IFERROR(__xludf.DUMMYFUNCTION("""COMPUTED_VALUE"""),"")</f>
        <v/>
      </c>
    </row>
    <row r="198">
      <c r="A198" s="16" t="s">
        <v>87</v>
      </c>
      <c r="E198" s="16" t="str">
        <f>IFERROR(__xludf.DUMMYFUNCTION("""COMPUTED_VALUE"""),"")</f>
        <v/>
      </c>
      <c r="G198" s="18"/>
      <c r="H198" s="16" t="s">
        <v>87</v>
      </c>
      <c r="I198" s="16" t="s">
        <v>87</v>
      </c>
      <c r="J198" s="19"/>
      <c r="L198" s="16" t="str">
        <f>IFERROR(__xludf.DUMMYFUNCTION("""COMPUTED_VALUE"""),"")</f>
        <v/>
      </c>
      <c r="M198" s="16" t="str">
        <f>IFERROR(__xludf.DUMMYFUNCTION("""COMPUTED_VALUE"""),"")</f>
        <v/>
      </c>
      <c r="U198" s="16" t="s">
        <v>87</v>
      </c>
      <c r="V198" s="16" t="str">
        <f>IFERROR(__xludf.DUMMYFUNCTION("""COMPUTED_VALUE"""),"")</f>
        <v/>
      </c>
      <c r="W198" s="16" t="str">
        <f>IFERROR(__xludf.DUMMYFUNCTION("""COMPUTED_VALUE"""),"")</f>
        <v/>
      </c>
      <c r="X198" s="16" t="str">
        <f>IFERROR(__xludf.DUMMYFUNCTION("""COMPUTED_VALUE"""),"")</f>
        <v/>
      </c>
      <c r="AC198" s="16" t="str">
        <f>IFERROR(__xludf.DUMMYFUNCTION("""COMPUTED_VALUE"""),"")</f>
        <v/>
      </c>
    </row>
    <row r="199">
      <c r="A199" s="16" t="s">
        <v>87</v>
      </c>
      <c r="E199" s="16" t="str">
        <f>IFERROR(__xludf.DUMMYFUNCTION("""COMPUTED_VALUE"""),"")</f>
        <v/>
      </c>
      <c r="G199" s="18"/>
      <c r="H199" s="16" t="s">
        <v>87</v>
      </c>
      <c r="I199" s="16" t="s">
        <v>87</v>
      </c>
      <c r="J199" s="19"/>
      <c r="L199" s="16" t="str">
        <f>IFERROR(__xludf.DUMMYFUNCTION("""COMPUTED_VALUE"""),"")</f>
        <v/>
      </c>
      <c r="M199" s="16" t="str">
        <f>IFERROR(__xludf.DUMMYFUNCTION("""COMPUTED_VALUE"""),"")</f>
        <v/>
      </c>
      <c r="U199" s="16" t="s">
        <v>87</v>
      </c>
      <c r="V199" s="16" t="str">
        <f>IFERROR(__xludf.DUMMYFUNCTION("""COMPUTED_VALUE"""),"")</f>
        <v/>
      </c>
      <c r="W199" s="16" t="str">
        <f>IFERROR(__xludf.DUMMYFUNCTION("""COMPUTED_VALUE"""),"")</f>
        <v/>
      </c>
      <c r="X199" s="16" t="str">
        <f>IFERROR(__xludf.DUMMYFUNCTION("""COMPUTED_VALUE"""),"")</f>
        <v/>
      </c>
      <c r="AC199" s="16" t="str">
        <f>IFERROR(__xludf.DUMMYFUNCTION("""COMPUTED_VALUE"""),"")</f>
        <v/>
      </c>
    </row>
    <row r="200">
      <c r="A200" s="16" t="s">
        <v>87</v>
      </c>
      <c r="E200" s="16" t="str">
        <f>IFERROR(__xludf.DUMMYFUNCTION("""COMPUTED_VALUE"""),"")</f>
        <v/>
      </c>
      <c r="G200" s="18"/>
      <c r="H200" s="16" t="s">
        <v>87</v>
      </c>
      <c r="I200" s="16" t="s">
        <v>87</v>
      </c>
      <c r="J200" s="19"/>
      <c r="L200" s="16" t="str">
        <f>IFERROR(__xludf.DUMMYFUNCTION("""COMPUTED_VALUE"""),"")</f>
        <v/>
      </c>
      <c r="M200" s="16" t="str">
        <f>IFERROR(__xludf.DUMMYFUNCTION("""COMPUTED_VALUE"""),"")</f>
        <v/>
      </c>
      <c r="U200" s="16" t="s">
        <v>87</v>
      </c>
      <c r="V200" s="16" t="str">
        <f>IFERROR(__xludf.DUMMYFUNCTION("""COMPUTED_VALUE"""),"")</f>
        <v/>
      </c>
      <c r="W200" s="16" t="str">
        <f>IFERROR(__xludf.DUMMYFUNCTION("""COMPUTED_VALUE"""),"")</f>
        <v/>
      </c>
      <c r="X200" s="16" t="str">
        <f>IFERROR(__xludf.DUMMYFUNCTION("""COMPUTED_VALUE"""),"")</f>
        <v/>
      </c>
      <c r="AC200" s="16" t="str">
        <f>IFERROR(__xludf.DUMMYFUNCTION("""COMPUTED_VALUE"""),"")</f>
        <v/>
      </c>
    </row>
    <row r="201">
      <c r="A201" s="16" t="s">
        <v>87</v>
      </c>
      <c r="E201" s="16" t="str">
        <f>IFERROR(__xludf.DUMMYFUNCTION("""COMPUTED_VALUE"""),"")</f>
        <v/>
      </c>
      <c r="G201" s="18"/>
      <c r="H201" s="16" t="s">
        <v>87</v>
      </c>
      <c r="I201" s="16" t="s">
        <v>87</v>
      </c>
      <c r="J201" s="19"/>
      <c r="L201" s="16" t="str">
        <f>IFERROR(__xludf.DUMMYFUNCTION("""COMPUTED_VALUE"""),"")</f>
        <v/>
      </c>
      <c r="M201" s="16" t="str">
        <f>IFERROR(__xludf.DUMMYFUNCTION("""COMPUTED_VALUE"""),"")</f>
        <v/>
      </c>
      <c r="U201" s="16" t="s">
        <v>87</v>
      </c>
      <c r="V201" s="16" t="str">
        <f>IFERROR(__xludf.DUMMYFUNCTION("""COMPUTED_VALUE"""),"")</f>
        <v/>
      </c>
      <c r="W201" s="16" t="str">
        <f>IFERROR(__xludf.DUMMYFUNCTION("""COMPUTED_VALUE"""),"")</f>
        <v/>
      </c>
      <c r="X201" s="16" t="str">
        <f>IFERROR(__xludf.DUMMYFUNCTION("""COMPUTED_VALUE"""),"")</f>
        <v/>
      </c>
      <c r="AC201" s="16" t="str">
        <f>IFERROR(__xludf.DUMMYFUNCTION("""COMPUTED_VALUE"""),"")</f>
        <v/>
      </c>
    </row>
    <row r="202">
      <c r="A202" s="16" t="s">
        <v>87</v>
      </c>
      <c r="E202" s="16" t="str">
        <f>IFERROR(__xludf.DUMMYFUNCTION("""COMPUTED_VALUE"""),"")</f>
        <v/>
      </c>
      <c r="G202" s="18"/>
      <c r="H202" s="16" t="s">
        <v>87</v>
      </c>
      <c r="I202" s="16" t="s">
        <v>87</v>
      </c>
      <c r="J202" s="19"/>
      <c r="L202" s="16" t="str">
        <f>IFERROR(__xludf.DUMMYFUNCTION("""COMPUTED_VALUE"""),"")</f>
        <v/>
      </c>
      <c r="M202" s="16" t="str">
        <f>IFERROR(__xludf.DUMMYFUNCTION("""COMPUTED_VALUE"""),"")</f>
        <v/>
      </c>
      <c r="U202" s="16" t="s">
        <v>87</v>
      </c>
      <c r="V202" s="16" t="str">
        <f>IFERROR(__xludf.DUMMYFUNCTION("""COMPUTED_VALUE"""),"")</f>
        <v/>
      </c>
      <c r="W202" s="16" t="str">
        <f>IFERROR(__xludf.DUMMYFUNCTION("""COMPUTED_VALUE"""),"")</f>
        <v/>
      </c>
      <c r="X202" s="16" t="str">
        <f>IFERROR(__xludf.DUMMYFUNCTION("""COMPUTED_VALUE"""),"")</f>
        <v/>
      </c>
      <c r="AC202" s="16" t="str">
        <f>IFERROR(__xludf.DUMMYFUNCTION("""COMPUTED_VALUE"""),"")</f>
        <v/>
      </c>
    </row>
    <row r="203">
      <c r="A203" s="16" t="s">
        <v>87</v>
      </c>
      <c r="E203" s="16" t="str">
        <f>IFERROR(__xludf.DUMMYFUNCTION("""COMPUTED_VALUE"""),"")</f>
        <v/>
      </c>
      <c r="G203" s="18"/>
      <c r="H203" s="16" t="s">
        <v>87</v>
      </c>
      <c r="I203" s="16" t="s">
        <v>87</v>
      </c>
      <c r="J203" s="19"/>
      <c r="L203" s="16" t="str">
        <f>IFERROR(__xludf.DUMMYFUNCTION("""COMPUTED_VALUE"""),"")</f>
        <v/>
      </c>
      <c r="M203" s="16" t="str">
        <f>IFERROR(__xludf.DUMMYFUNCTION("""COMPUTED_VALUE"""),"")</f>
        <v/>
      </c>
      <c r="U203" s="16" t="s">
        <v>87</v>
      </c>
      <c r="V203" s="16" t="str">
        <f>IFERROR(__xludf.DUMMYFUNCTION("""COMPUTED_VALUE"""),"")</f>
        <v/>
      </c>
      <c r="W203" s="16" t="str">
        <f>IFERROR(__xludf.DUMMYFUNCTION("""COMPUTED_VALUE"""),"")</f>
        <v/>
      </c>
      <c r="X203" s="16" t="str">
        <f>IFERROR(__xludf.DUMMYFUNCTION("""COMPUTED_VALUE"""),"")</f>
        <v/>
      </c>
      <c r="AC203" s="16" t="str">
        <f>IFERROR(__xludf.DUMMYFUNCTION("""COMPUTED_VALUE"""),"")</f>
        <v/>
      </c>
    </row>
    <row r="204">
      <c r="A204" s="16" t="s">
        <v>87</v>
      </c>
      <c r="E204" s="16" t="str">
        <f>IFERROR(__xludf.DUMMYFUNCTION("""COMPUTED_VALUE"""),"")</f>
        <v/>
      </c>
      <c r="G204" s="18"/>
      <c r="H204" s="16" t="s">
        <v>87</v>
      </c>
      <c r="I204" s="16" t="s">
        <v>87</v>
      </c>
      <c r="J204" s="19"/>
      <c r="L204" s="16" t="str">
        <f>IFERROR(__xludf.DUMMYFUNCTION("""COMPUTED_VALUE"""),"")</f>
        <v/>
      </c>
      <c r="M204" s="16" t="str">
        <f>IFERROR(__xludf.DUMMYFUNCTION("""COMPUTED_VALUE"""),"")</f>
        <v/>
      </c>
      <c r="U204" s="16" t="s">
        <v>87</v>
      </c>
      <c r="V204" s="16" t="str">
        <f>IFERROR(__xludf.DUMMYFUNCTION("""COMPUTED_VALUE"""),"")</f>
        <v/>
      </c>
      <c r="W204" s="16" t="str">
        <f>IFERROR(__xludf.DUMMYFUNCTION("""COMPUTED_VALUE"""),"")</f>
        <v/>
      </c>
      <c r="X204" s="16" t="str">
        <f>IFERROR(__xludf.DUMMYFUNCTION("""COMPUTED_VALUE"""),"")</f>
        <v/>
      </c>
      <c r="AC204" s="16" t="str">
        <f>IFERROR(__xludf.DUMMYFUNCTION("""COMPUTED_VALUE"""),"")</f>
        <v/>
      </c>
    </row>
    <row r="205">
      <c r="A205" s="16" t="s">
        <v>87</v>
      </c>
      <c r="E205" s="16" t="str">
        <f>IFERROR(__xludf.DUMMYFUNCTION("""COMPUTED_VALUE"""),"")</f>
        <v/>
      </c>
      <c r="G205" s="18"/>
      <c r="H205" s="16" t="s">
        <v>87</v>
      </c>
      <c r="I205" s="16" t="s">
        <v>87</v>
      </c>
      <c r="J205" s="19"/>
      <c r="L205" s="16" t="str">
        <f>IFERROR(__xludf.DUMMYFUNCTION("""COMPUTED_VALUE"""),"")</f>
        <v/>
      </c>
      <c r="M205" s="16" t="str">
        <f>IFERROR(__xludf.DUMMYFUNCTION("""COMPUTED_VALUE"""),"")</f>
        <v/>
      </c>
      <c r="U205" s="16" t="s">
        <v>87</v>
      </c>
      <c r="V205" s="16" t="str">
        <f>IFERROR(__xludf.DUMMYFUNCTION("""COMPUTED_VALUE"""),"")</f>
        <v/>
      </c>
      <c r="W205" s="16" t="str">
        <f>IFERROR(__xludf.DUMMYFUNCTION("""COMPUTED_VALUE"""),"")</f>
        <v/>
      </c>
      <c r="X205" s="16" t="str">
        <f>IFERROR(__xludf.DUMMYFUNCTION("""COMPUTED_VALUE"""),"")</f>
        <v/>
      </c>
      <c r="AC205" s="16" t="str">
        <f>IFERROR(__xludf.DUMMYFUNCTION("""COMPUTED_VALUE"""),"")</f>
        <v/>
      </c>
    </row>
    <row r="206">
      <c r="A206" s="16" t="s">
        <v>87</v>
      </c>
      <c r="E206" s="16" t="str">
        <f>IFERROR(__xludf.DUMMYFUNCTION("""COMPUTED_VALUE"""),"")</f>
        <v/>
      </c>
      <c r="G206" s="18"/>
      <c r="H206" s="16" t="s">
        <v>87</v>
      </c>
      <c r="I206" s="16" t="s">
        <v>87</v>
      </c>
      <c r="J206" s="19"/>
      <c r="L206" s="16" t="str">
        <f>IFERROR(__xludf.DUMMYFUNCTION("""COMPUTED_VALUE"""),"")</f>
        <v/>
      </c>
      <c r="M206" s="16" t="str">
        <f>IFERROR(__xludf.DUMMYFUNCTION("""COMPUTED_VALUE"""),"")</f>
        <v/>
      </c>
      <c r="U206" s="16" t="s">
        <v>87</v>
      </c>
      <c r="V206" s="16" t="str">
        <f>IFERROR(__xludf.DUMMYFUNCTION("""COMPUTED_VALUE"""),"")</f>
        <v/>
      </c>
      <c r="W206" s="16" t="str">
        <f>IFERROR(__xludf.DUMMYFUNCTION("""COMPUTED_VALUE"""),"")</f>
        <v/>
      </c>
      <c r="X206" s="16" t="str">
        <f>IFERROR(__xludf.DUMMYFUNCTION("""COMPUTED_VALUE"""),"")</f>
        <v/>
      </c>
      <c r="AC206" s="16" t="str">
        <f>IFERROR(__xludf.DUMMYFUNCTION("""COMPUTED_VALUE"""),"")</f>
        <v/>
      </c>
    </row>
    <row r="207">
      <c r="A207" s="16" t="s">
        <v>87</v>
      </c>
      <c r="E207" s="16" t="str">
        <f>IFERROR(__xludf.DUMMYFUNCTION("""COMPUTED_VALUE"""),"")</f>
        <v/>
      </c>
      <c r="G207" s="18"/>
      <c r="H207" s="16" t="s">
        <v>87</v>
      </c>
      <c r="I207" s="16" t="s">
        <v>87</v>
      </c>
      <c r="J207" s="19"/>
      <c r="L207" s="16" t="str">
        <f>IFERROR(__xludf.DUMMYFUNCTION("""COMPUTED_VALUE"""),"")</f>
        <v/>
      </c>
      <c r="M207" s="16" t="str">
        <f>IFERROR(__xludf.DUMMYFUNCTION("""COMPUTED_VALUE"""),"")</f>
        <v/>
      </c>
      <c r="U207" s="16" t="s">
        <v>87</v>
      </c>
      <c r="V207" s="16" t="str">
        <f>IFERROR(__xludf.DUMMYFUNCTION("""COMPUTED_VALUE"""),"")</f>
        <v/>
      </c>
      <c r="W207" s="16" t="str">
        <f>IFERROR(__xludf.DUMMYFUNCTION("""COMPUTED_VALUE"""),"")</f>
        <v/>
      </c>
      <c r="X207" s="16" t="str">
        <f>IFERROR(__xludf.DUMMYFUNCTION("""COMPUTED_VALUE"""),"")</f>
        <v/>
      </c>
      <c r="AC207" s="16" t="str">
        <f>IFERROR(__xludf.DUMMYFUNCTION("""COMPUTED_VALUE"""),"")</f>
        <v/>
      </c>
    </row>
    <row r="208">
      <c r="A208" s="16" t="s">
        <v>87</v>
      </c>
      <c r="E208" s="16" t="str">
        <f>IFERROR(__xludf.DUMMYFUNCTION("""COMPUTED_VALUE"""),"")</f>
        <v/>
      </c>
      <c r="G208" s="18"/>
      <c r="H208" s="16" t="s">
        <v>87</v>
      </c>
      <c r="I208" s="16" t="s">
        <v>87</v>
      </c>
      <c r="J208" s="19"/>
      <c r="L208" s="16" t="str">
        <f>IFERROR(__xludf.DUMMYFUNCTION("""COMPUTED_VALUE"""),"")</f>
        <v/>
      </c>
      <c r="M208" s="16" t="str">
        <f>IFERROR(__xludf.DUMMYFUNCTION("""COMPUTED_VALUE"""),"")</f>
        <v/>
      </c>
      <c r="U208" s="16" t="s">
        <v>87</v>
      </c>
      <c r="V208" s="16" t="str">
        <f>IFERROR(__xludf.DUMMYFUNCTION("""COMPUTED_VALUE"""),"")</f>
        <v/>
      </c>
      <c r="W208" s="16" t="str">
        <f>IFERROR(__xludf.DUMMYFUNCTION("""COMPUTED_VALUE"""),"")</f>
        <v/>
      </c>
      <c r="X208" s="16" t="str">
        <f>IFERROR(__xludf.DUMMYFUNCTION("""COMPUTED_VALUE"""),"")</f>
        <v/>
      </c>
      <c r="AC208" s="16" t="str">
        <f>IFERROR(__xludf.DUMMYFUNCTION("""COMPUTED_VALUE"""),"")</f>
        <v/>
      </c>
    </row>
    <row r="209">
      <c r="A209" s="16" t="s">
        <v>87</v>
      </c>
      <c r="E209" s="16" t="str">
        <f>IFERROR(__xludf.DUMMYFUNCTION("""COMPUTED_VALUE"""),"")</f>
        <v/>
      </c>
      <c r="G209" s="18"/>
      <c r="H209" s="16" t="s">
        <v>87</v>
      </c>
      <c r="I209" s="16" t="s">
        <v>87</v>
      </c>
      <c r="J209" s="19"/>
      <c r="L209" s="16" t="str">
        <f>IFERROR(__xludf.DUMMYFUNCTION("""COMPUTED_VALUE"""),"")</f>
        <v/>
      </c>
      <c r="M209" s="16" t="str">
        <f>IFERROR(__xludf.DUMMYFUNCTION("""COMPUTED_VALUE"""),"")</f>
        <v/>
      </c>
      <c r="U209" s="16" t="s">
        <v>87</v>
      </c>
      <c r="V209" s="16" t="str">
        <f>IFERROR(__xludf.DUMMYFUNCTION("""COMPUTED_VALUE"""),"")</f>
        <v/>
      </c>
      <c r="W209" s="16" t="str">
        <f>IFERROR(__xludf.DUMMYFUNCTION("""COMPUTED_VALUE"""),"")</f>
        <v/>
      </c>
      <c r="X209" s="16" t="str">
        <f>IFERROR(__xludf.DUMMYFUNCTION("""COMPUTED_VALUE"""),"")</f>
        <v/>
      </c>
      <c r="AC209" s="16" t="str">
        <f>IFERROR(__xludf.DUMMYFUNCTION("""COMPUTED_VALUE"""),"")</f>
        <v/>
      </c>
    </row>
    <row r="210">
      <c r="A210" s="16" t="s">
        <v>87</v>
      </c>
      <c r="E210" s="16" t="str">
        <f>IFERROR(__xludf.DUMMYFUNCTION("""COMPUTED_VALUE"""),"")</f>
        <v/>
      </c>
      <c r="G210" s="18"/>
      <c r="H210" s="16" t="s">
        <v>87</v>
      </c>
      <c r="I210" s="16" t="s">
        <v>87</v>
      </c>
      <c r="J210" s="19"/>
      <c r="L210" s="16" t="str">
        <f>IFERROR(__xludf.DUMMYFUNCTION("""COMPUTED_VALUE"""),"")</f>
        <v/>
      </c>
      <c r="M210" s="16" t="str">
        <f>IFERROR(__xludf.DUMMYFUNCTION("""COMPUTED_VALUE"""),"")</f>
        <v/>
      </c>
      <c r="U210" s="16" t="s">
        <v>87</v>
      </c>
      <c r="V210" s="16" t="str">
        <f>IFERROR(__xludf.DUMMYFUNCTION("""COMPUTED_VALUE"""),"")</f>
        <v/>
      </c>
      <c r="W210" s="16" t="str">
        <f>IFERROR(__xludf.DUMMYFUNCTION("""COMPUTED_VALUE"""),"")</f>
        <v/>
      </c>
      <c r="X210" s="16" t="str">
        <f>IFERROR(__xludf.DUMMYFUNCTION("""COMPUTED_VALUE"""),"")</f>
        <v/>
      </c>
      <c r="AC210" s="16" t="str">
        <f>IFERROR(__xludf.DUMMYFUNCTION("""COMPUTED_VALUE"""),"")</f>
        <v/>
      </c>
    </row>
    <row r="211">
      <c r="A211" s="16" t="s">
        <v>87</v>
      </c>
      <c r="E211" s="16" t="str">
        <f>IFERROR(__xludf.DUMMYFUNCTION("""COMPUTED_VALUE"""),"")</f>
        <v/>
      </c>
      <c r="G211" s="18"/>
      <c r="H211" s="16" t="s">
        <v>87</v>
      </c>
      <c r="I211" s="16" t="s">
        <v>87</v>
      </c>
      <c r="J211" s="19"/>
      <c r="L211" s="16" t="str">
        <f>IFERROR(__xludf.DUMMYFUNCTION("""COMPUTED_VALUE"""),"")</f>
        <v/>
      </c>
      <c r="M211" s="16" t="str">
        <f>IFERROR(__xludf.DUMMYFUNCTION("""COMPUTED_VALUE"""),"")</f>
        <v/>
      </c>
      <c r="U211" s="16" t="s">
        <v>87</v>
      </c>
      <c r="V211" s="16" t="str">
        <f>IFERROR(__xludf.DUMMYFUNCTION("""COMPUTED_VALUE"""),"")</f>
        <v/>
      </c>
      <c r="W211" s="16" t="str">
        <f>IFERROR(__xludf.DUMMYFUNCTION("""COMPUTED_VALUE"""),"")</f>
        <v/>
      </c>
      <c r="X211" s="16" t="str">
        <f>IFERROR(__xludf.DUMMYFUNCTION("""COMPUTED_VALUE"""),"")</f>
        <v/>
      </c>
      <c r="AC211" s="16" t="str">
        <f>IFERROR(__xludf.DUMMYFUNCTION("""COMPUTED_VALUE"""),"")</f>
        <v/>
      </c>
    </row>
    <row r="212">
      <c r="A212" s="16" t="s">
        <v>87</v>
      </c>
      <c r="E212" s="16" t="str">
        <f>IFERROR(__xludf.DUMMYFUNCTION("""COMPUTED_VALUE"""),"")</f>
        <v/>
      </c>
      <c r="G212" s="18"/>
      <c r="H212" s="16" t="s">
        <v>87</v>
      </c>
      <c r="I212" s="16" t="s">
        <v>87</v>
      </c>
      <c r="J212" s="19"/>
      <c r="L212" s="16" t="str">
        <f>IFERROR(__xludf.DUMMYFUNCTION("""COMPUTED_VALUE"""),"")</f>
        <v/>
      </c>
      <c r="M212" s="16" t="str">
        <f>IFERROR(__xludf.DUMMYFUNCTION("""COMPUTED_VALUE"""),"")</f>
        <v/>
      </c>
      <c r="U212" s="16" t="s">
        <v>87</v>
      </c>
      <c r="V212" s="16" t="str">
        <f>IFERROR(__xludf.DUMMYFUNCTION("""COMPUTED_VALUE"""),"")</f>
        <v/>
      </c>
      <c r="W212" s="16" t="str">
        <f>IFERROR(__xludf.DUMMYFUNCTION("""COMPUTED_VALUE"""),"")</f>
        <v/>
      </c>
      <c r="X212" s="16" t="str">
        <f>IFERROR(__xludf.DUMMYFUNCTION("""COMPUTED_VALUE"""),"")</f>
        <v/>
      </c>
      <c r="AC212" s="16" t="str">
        <f>IFERROR(__xludf.DUMMYFUNCTION("""COMPUTED_VALUE"""),"")</f>
        <v/>
      </c>
    </row>
    <row r="213">
      <c r="A213" s="16" t="s">
        <v>87</v>
      </c>
      <c r="E213" s="16" t="str">
        <f>IFERROR(__xludf.DUMMYFUNCTION("""COMPUTED_VALUE"""),"")</f>
        <v/>
      </c>
      <c r="G213" s="18"/>
      <c r="H213" s="16" t="s">
        <v>87</v>
      </c>
      <c r="I213" s="16" t="s">
        <v>87</v>
      </c>
      <c r="J213" s="19"/>
      <c r="L213" s="16" t="str">
        <f>IFERROR(__xludf.DUMMYFUNCTION("""COMPUTED_VALUE"""),"")</f>
        <v/>
      </c>
      <c r="M213" s="16" t="str">
        <f>IFERROR(__xludf.DUMMYFUNCTION("""COMPUTED_VALUE"""),"")</f>
        <v/>
      </c>
      <c r="U213" s="16" t="s">
        <v>87</v>
      </c>
      <c r="V213" s="16" t="str">
        <f>IFERROR(__xludf.DUMMYFUNCTION("""COMPUTED_VALUE"""),"")</f>
        <v/>
      </c>
      <c r="W213" s="16" t="str">
        <f>IFERROR(__xludf.DUMMYFUNCTION("""COMPUTED_VALUE"""),"")</f>
        <v/>
      </c>
      <c r="X213" s="16" t="str">
        <f>IFERROR(__xludf.DUMMYFUNCTION("""COMPUTED_VALUE"""),"")</f>
        <v/>
      </c>
      <c r="AC213" s="16" t="str">
        <f>IFERROR(__xludf.DUMMYFUNCTION("""COMPUTED_VALUE"""),"")</f>
        <v/>
      </c>
    </row>
    <row r="214">
      <c r="A214" s="16" t="s">
        <v>87</v>
      </c>
      <c r="E214" s="16" t="str">
        <f>IFERROR(__xludf.DUMMYFUNCTION("""COMPUTED_VALUE"""),"")</f>
        <v/>
      </c>
      <c r="G214" s="18"/>
      <c r="H214" s="16" t="s">
        <v>87</v>
      </c>
      <c r="I214" s="16" t="s">
        <v>87</v>
      </c>
      <c r="J214" s="19"/>
      <c r="L214" s="16" t="str">
        <f>IFERROR(__xludf.DUMMYFUNCTION("""COMPUTED_VALUE"""),"")</f>
        <v/>
      </c>
      <c r="M214" s="16" t="str">
        <f>IFERROR(__xludf.DUMMYFUNCTION("""COMPUTED_VALUE"""),"")</f>
        <v/>
      </c>
      <c r="U214" s="16" t="s">
        <v>87</v>
      </c>
      <c r="V214" s="16" t="str">
        <f>IFERROR(__xludf.DUMMYFUNCTION("""COMPUTED_VALUE"""),"")</f>
        <v/>
      </c>
      <c r="W214" s="16" t="str">
        <f>IFERROR(__xludf.DUMMYFUNCTION("""COMPUTED_VALUE"""),"")</f>
        <v/>
      </c>
      <c r="X214" s="16" t="str">
        <f>IFERROR(__xludf.DUMMYFUNCTION("""COMPUTED_VALUE"""),"")</f>
        <v/>
      </c>
      <c r="AC214" s="16" t="str">
        <f>IFERROR(__xludf.DUMMYFUNCTION("""COMPUTED_VALUE"""),"")</f>
        <v/>
      </c>
    </row>
    <row r="215">
      <c r="A215" s="16" t="s">
        <v>87</v>
      </c>
      <c r="E215" s="16" t="str">
        <f>IFERROR(__xludf.DUMMYFUNCTION("""COMPUTED_VALUE"""),"")</f>
        <v/>
      </c>
      <c r="G215" s="18"/>
      <c r="H215" s="16" t="s">
        <v>87</v>
      </c>
      <c r="I215" s="16" t="s">
        <v>87</v>
      </c>
      <c r="J215" s="19"/>
      <c r="L215" s="16" t="str">
        <f>IFERROR(__xludf.DUMMYFUNCTION("""COMPUTED_VALUE"""),"")</f>
        <v/>
      </c>
      <c r="M215" s="16" t="str">
        <f>IFERROR(__xludf.DUMMYFUNCTION("""COMPUTED_VALUE"""),"")</f>
        <v/>
      </c>
      <c r="U215" s="16" t="s">
        <v>87</v>
      </c>
      <c r="V215" s="16" t="str">
        <f>IFERROR(__xludf.DUMMYFUNCTION("""COMPUTED_VALUE"""),"")</f>
        <v/>
      </c>
      <c r="W215" s="16" t="str">
        <f>IFERROR(__xludf.DUMMYFUNCTION("""COMPUTED_VALUE"""),"")</f>
        <v/>
      </c>
      <c r="X215" s="16" t="str">
        <f>IFERROR(__xludf.DUMMYFUNCTION("""COMPUTED_VALUE"""),"")</f>
        <v/>
      </c>
      <c r="AC215" s="16" t="str">
        <f>IFERROR(__xludf.DUMMYFUNCTION("""COMPUTED_VALUE"""),"")</f>
        <v/>
      </c>
    </row>
    <row r="216">
      <c r="A216" s="16" t="s">
        <v>87</v>
      </c>
      <c r="E216" s="16" t="str">
        <f>IFERROR(__xludf.DUMMYFUNCTION("""COMPUTED_VALUE"""),"")</f>
        <v/>
      </c>
      <c r="G216" s="18"/>
      <c r="H216" s="16" t="s">
        <v>87</v>
      </c>
      <c r="I216" s="16" t="s">
        <v>87</v>
      </c>
      <c r="J216" s="19"/>
      <c r="L216" s="16" t="str">
        <f>IFERROR(__xludf.DUMMYFUNCTION("""COMPUTED_VALUE"""),"")</f>
        <v/>
      </c>
      <c r="M216" s="16" t="str">
        <f>IFERROR(__xludf.DUMMYFUNCTION("""COMPUTED_VALUE"""),"")</f>
        <v/>
      </c>
      <c r="U216" s="16" t="s">
        <v>87</v>
      </c>
      <c r="V216" s="16" t="str">
        <f>IFERROR(__xludf.DUMMYFUNCTION("""COMPUTED_VALUE"""),"")</f>
        <v/>
      </c>
      <c r="W216" s="16" t="str">
        <f>IFERROR(__xludf.DUMMYFUNCTION("""COMPUTED_VALUE"""),"")</f>
        <v/>
      </c>
      <c r="X216" s="16" t="str">
        <f>IFERROR(__xludf.DUMMYFUNCTION("""COMPUTED_VALUE"""),"")</f>
        <v/>
      </c>
      <c r="AC216" s="16" t="str">
        <f>IFERROR(__xludf.DUMMYFUNCTION("""COMPUTED_VALUE"""),"")</f>
        <v/>
      </c>
    </row>
    <row r="217">
      <c r="A217" s="16" t="s">
        <v>87</v>
      </c>
      <c r="E217" s="16" t="str">
        <f>IFERROR(__xludf.DUMMYFUNCTION("""COMPUTED_VALUE"""),"")</f>
        <v/>
      </c>
      <c r="G217" s="18"/>
      <c r="H217" s="16" t="s">
        <v>87</v>
      </c>
      <c r="I217" s="16" t="s">
        <v>87</v>
      </c>
      <c r="J217" s="19"/>
      <c r="L217" s="16" t="str">
        <f>IFERROR(__xludf.DUMMYFUNCTION("""COMPUTED_VALUE"""),"")</f>
        <v/>
      </c>
      <c r="M217" s="16" t="str">
        <f>IFERROR(__xludf.DUMMYFUNCTION("""COMPUTED_VALUE"""),"")</f>
        <v/>
      </c>
      <c r="U217" s="16" t="s">
        <v>87</v>
      </c>
      <c r="V217" s="16" t="str">
        <f>IFERROR(__xludf.DUMMYFUNCTION("""COMPUTED_VALUE"""),"")</f>
        <v/>
      </c>
      <c r="W217" s="16" t="str">
        <f>IFERROR(__xludf.DUMMYFUNCTION("""COMPUTED_VALUE"""),"")</f>
        <v/>
      </c>
      <c r="X217" s="16" t="str">
        <f>IFERROR(__xludf.DUMMYFUNCTION("""COMPUTED_VALUE"""),"")</f>
        <v/>
      </c>
      <c r="AC217" s="16" t="str">
        <f>IFERROR(__xludf.DUMMYFUNCTION("""COMPUTED_VALUE"""),"")</f>
        <v/>
      </c>
    </row>
    <row r="218">
      <c r="A218" s="16" t="s">
        <v>87</v>
      </c>
      <c r="E218" s="16" t="str">
        <f>IFERROR(__xludf.DUMMYFUNCTION("""COMPUTED_VALUE"""),"")</f>
        <v/>
      </c>
      <c r="G218" s="18"/>
      <c r="H218" s="16" t="s">
        <v>87</v>
      </c>
      <c r="I218" s="16" t="s">
        <v>87</v>
      </c>
      <c r="J218" s="19"/>
      <c r="L218" s="16" t="str">
        <f>IFERROR(__xludf.DUMMYFUNCTION("""COMPUTED_VALUE"""),"")</f>
        <v/>
      </c>
      <c r="M218" s="16" t="str">
        <f>IFERROR(__xludf.DUMMYFUNCTION("""COMPUTED_VALUE"""),"")</f>
        <v/>
      </c>
      <c r="U218" s="16" t="s">
        <v>87</v>
      </c>
      <c r="V218" s="16" t="str">
        <f>IFERROR(__xludf.DUMMYFUNCTION("""COMPUTED_VALUE"""),"")</f>
        <v/>
      </c>
      <c r="W218" s="16" t="str">
        <f>IFERROR(__xludf.DUMMYFUNCTION("""COMPUTED_VALUE"""),"")</f>
        <v/>
      </c>
      <c r="X218" s="16" t="str">
        <f>IFERROR(__xludf.DUMMYFUNCTION("""COMPUTED_VALUE"""),"")</f>
        <v/>
      </c>
      <c r="AC218" s="16" t="str">
        <f>IFERROR(__xludf.DUMMYFUNCTION("""COMPUTED_VALUE"""),"")</f>
        <v/>
      </c>
    </row>
    <row r="219">
      <c r="A219" s="16" t="s">
        <v>87</v>
      </c>
      <c r="E219" s="16" t="str">
        <f>IFERROR(__xludf.DUMMYFUNCTION("""COMPUTED_VALUE"""),"")</f>
        <v/>
      </c>
      <c r="G219" s="18"/>
      <c r="H219" s="16" t="s">
        <v>87</v>
      </c>
      <c r="I219" s="16" t="s">
        <v>87</v>
      </c>
      <c r="J219" s="19"/>
      <c r="L219" s="16" t="str">
        <f>IFERROR(__xludf.DUMMYFUNCTION("""COMPUTED_VALUE"""),"")</f>
        <v/>
      </c>
      <c r="M219" s="16" t="str">
        <f>IFERROR(__xludf.DUMMYFUNCTION("""COMPUTED_VALUE"""),"")</f>
        <v/>
      </c>
      <c r="U219" s="16" t="s">
        <v>87</v>
      </c>
      <c r="V219" s="16" t="str">
        <f>IFERROR(__xludf.DUMMYFUNCTION("""COMPUTED_VALUE"""),"")</f>
        <v/>
      </c>
      <c r="W219" s="16" t="str">
        <f>IFERROR(__xludf.DUMMYFUNCTION("""COMPUTED_VALUE"""),"")</f>
        <v/>
      </c>
      <c r="X219" s="16" t="str">
        <f>IFERROR(__xludf.DUMMYFUNCTION("""COMPUTED_VALUE"""),"")</f>
        <v/>
      </c>
      <c r="AC219" s="16" t="str">
        <f>IFERROR(__xludf.DUMMYFUNCTION("""COMPUTED_VALUE"""),"")</f>
        <v/>
      </c>
    </row>
    <row r="220">
      <c r="A220" s="16" t="s">
        <v>87</v>
      </c>
      <c r="E220" s="16" t="str">
        <f>IFERROR(__xludf.DUMMYFUNCTION("""COMPUTED_VALUE"""),"")</f>
        <v/>
      </c>
      <c r="G220" s="18"/>
      <c r="H220" s="16" t="s">
        <v>87</v>
      </c>
      <c r="I220" s="16" t="s">
        <v>87</v>
      </c>
      <c r="J220" s="19"/>
      <c r="L220" s="16" t="str">
        <f>IFERROR(__xludf.DUMMYFUNCTION("""COMPUTED_VALUE"""),"")</f>
        <v/>
      </c>
      <c r="M220" s="16" t="str">
        <f>IFERROR(__xludf.DUMMYFUNCTION("""COMPUTED_VALUE"""),"")</f>
        <v/>
      </c>
      <c r="U220" s="16" t="s">
        <v>87</v>
      </c>
      <c r="V220" s="16" t="str">
        <f>IFERROR(__xludf.DUMMYFUNCTION("""COMPUTED_VALUE"""),"")</f>
        <v/>
      </c>
      <c r="W220" s="16" t="str">
        <f>IFERROR(__xludf.DUMMYFUNCTION("""COMPUTED_VALUE"""),"")</f>
        <v/>
      </c>
      <c r="X220" s="16" t="str">
        <f>IFERROR(__xludf.DUMMYFUNCTION("""COMPUTED_VALUE"""),"")</f>
        <v/>
      </c>
      <c r="AC220" s="16" t="str">
        <f>IFERROR(__xludf.DUMMYFUNCTION("""COMPUTED_VALUE"""),"")</f>
        <v/>
      </c>
    </row>
    <row r="221">
      <c r="A221" s="16" t="s">
        <v>87</v>
      </c>
      <c r="E221" s="16" t="str">
        <f>IFERROR(__xludf.DUMMYFUNCTION("""COMPUTED_VALUE"""),"")</f>
        <v/>
      </c>
      <c r="G221" s="18"/>
      <c r="H221" s="16" t="s">
        <v>87</v>
      </c>
      <c r="I221" s="16" t="s">
        <v>87</v>
      </c>
      <c r="J221" s="19"/>
      <c r="L221" s="16" t="str">
        <f>IFERROR(__xludf.DUMMYFUNCTION("""COMPUTED_VALUE"""),"")</f>
        <v/>
      </c>
      <c r="M221" s="16" t="str">
        <f>IFERROR(__xludf.DUMMYFUNCTION("""COMPUTED_VALUE"""),"")</f>
        <v/>
      </c>
      <c r="U221" s="16" t="s">
        <v>87</v>
      </c>
      <c r="V221" s="16" t="str">
        <f>IFERROR(__xludf.DUMMYFUNCTION("""COMPUTED_VALUE"""),"")</f>
        <v/>
      </c>
      <c r="W221" s="16" t="str">
        <f>IFERROR(__xludf.DUMMYFUNCTION("""COMPUTED_VALUE"""),"")</f>
        <v/>
      </c>
      <c r="X221" s="16" t="str">
        <f>IFERROR(__xludf.DUMMYFUNCTION("""COMPUTED_VALUE"""),"")</f>
        <v/>
      </c>
      <c r="AC221" s="16" t="str">
        <f>IFERROR(__xludf.DUMMYFUNCTION("""COMPUTED_VALUE"""),"")</f>
        <v/>
      </c>
    </row>
    <row r="222">
      <c r="A222" s="16" t="s">
        <v>87</v>
      </c>
      <c r="E222" s="16" t="str">
        <f>IFERROR(__xludf.DUMMYFUNCTION("""COMPUTED_VALUE"""),"")</f>
        <v/>
      </c>
      <c r="G222" s="18"/>
      <c r="H222" s="16" t="s">
        <v>87</v>
      </c>
      <c r="I222" s="16" t="s">
        <v>87</v>
      </c>
      <c r="J222" s="19"/>
      <c r="L222" s="16" t="str">
        <f>IFERROR(__xludf.DUMMYFUNCTION("""COMPUTED_VALUE"""),"")</f>
        <v/>
      </c>
      <c r="M222" s="16" t="str">
        <f>IFERROR(__xludf.DUMMYFUNCTION("""COMPUTED_VALUE"""),"")</f>
        <v/>
      </c>
      <c r="U222" s="16" t="s">
        <v>87</v>
      </c>
      <c r="V222" s="16" t="str">
        <f>IFERROR(__xludf.DUMMYFUNCTION("""COMPUTED_VALUE"""),"")</f>
        <v/>
      </c>
      <c r="W222" s="16" t="str">
        <f>IFERROR(__xludf.DUMMYFUNCTION("""COMPUTED_VALUE"""),"")</f>
        <v/>
      </c>
      <c r="X222" s="16" t="str">
        <f>IFERROR(__xludf.DUMMYFUNCTION("""COMPUTED_VALUE"""),"")</f>
        <v/>
      </c>
      <c r="AC222" s="16" t="str">
        <f>IFERROR(__xludf.DUMMYFUNCTION("""COMPUTED_VALUE"""),"")</f>
        <v/>
      </c>
    </row>
    <row r="223">
      <c r="A223" s="16" t="s">
        <v>87</v>
      </c>
      <c r="E223" s="16" t="str">
        <f>IFERROR(__xludf.DUMMYFUNCTION("""COMPUTED_VALUE"""),"")</f>
        <v/>
      </c>
      <c r="G223" s="18"/>
      <c r="H223" s="16" t="s">
        <v>87</v>
      </c>
      <c r="I223" s="16" t="s">
        <v>87</v>
      </c>
      <c r="J223" s="19"/>
      <c r="L223" s="16" t="str">
        <f>IFERROR(__xludf.DUMMYFUNCTION("""COMPUTED_VALUE"""),"")</f>
        <v/>
      </c>
      <c r="M223" s="16" t="str">
        <f>IFERROR(__xludf.DUMMYFUNCTION("""COMPUTED_VALUE"""),"")</f>
        <v/>
      </c>
      <c r="U223" s="16" t="s">
        <v>87</v>
      </c>
      <c r="V223" s="16" t="str">
        <f>IFERROR(__xludf.DUMMYFUNCTION("""COMPUTED_VALUE"""),"")</f>
        <v/>
      </c>
      <c r="W223" s="16" t="str">
        <f>IFERROR(__xludf.DUMMYFUNCTION("""COMPUTED_VALUE"""),"")</f>
        <v/>
      </c>
      <c r="X223" s="16" t="str">
        <f>IFERROR(__xludf.DUMMYFUNCTION("""COMPUTED_VALUE"""),"")</f>
        <v/>
      </c>
      <c r="AC223" s="16" t="str">
        <f>IFERROR(__xludf.DUMMYFUNCTION("""COMPUTED_VALUE"""),"")</f>
        <v/>
      </c>
    </row>
    <row r="224">
      <c r="A224" s="16" t="s">
        <v>87</v>
      </c>
      <c r="E224" s="16" t="str">
        <f>IFERROR(__xludf.DUMMYFUNCTION("""COMPUTED_VALUE"""),"")</f>
        <v/>
      </c>
      <c r="G224" s="18"/>
      <c r="H224" s="16" t="s">
        <v>87</v>
      </c>
      <c r="I224" s="16" t="s">
        <v>87</v>
      </c>
      <c r="J224" s="19"/>
      <c r="L224" s="16" t="str">
        <f>IFERROR(__xludf.DUMMYFUNCTION("""COMPUTED_VALUE"""),"")</f>
        <v/>
      </c>
      <c r="M224" s="16" t="str">
        <f>IFERROR(__xludf.DUMMYFUNCTION("""COMPUTED_VALUE"""),"")</f>
        <v/>
      </c>
      <c r="U224" s="16" t="s">
        <v>87</v>
      </c>
      <c r="V224" s="16" t="str">
        <f>IFERROR(__xludf.DUMMYFUNCTION("""COMPUTED_VALUE"""),"")</f>
        <v/>
      </c>
      <c r="W224" s="16" t="str">
        <f>IFERROR(__xludf.DUMMYFUNCTION("""COMPUTED_VALUE"""),"")</f>
        <v/>
      </c>
      <c r="X224" s="16" t="str">
        <f>IFERROR(__xludf.DUMMYFUNCTION("""COMPUTED_VALUE"""),"")</f>
        <v/>
      </c>
      <c r="AC224" s="16" t="str">
        <f>IFERROR(__xludf.DUMMYFUNCTION("""COMPUTED_VALUE"""),"")</f>
        <v/>
      </c>
    </row>
    <row r="225">
      <c r="A225" s="16" t="s">
        <v>87</v>
      </c>
      <c r="E225" s="16" t="str">
        <f>IFERROR(__xludf.DUMMYFUNCTION("""COMPUTED_VALUE"""),"")</f>
        <v/>
      </c>
      <c r="G225" s="18"/>
      <c r="H225" s="16" t="s">
        <v>87</v>
      </c>
      <c r="I225" s="16" t="s">
        <v>87</v>
      </c>
      <c r="J225" s="19"/>
      <c r="L225" s="16" t="str">
        <f>IFERROR(__xludf.DUMMYFUNCTION("""COMPUTED_VALUE"""),"")</f>
        <v/>
      </c>
      <c r="M225" s="16" t="str">
        <f>IFERROR(__xludf.DUMMYFUNCTION("""COMPUTED_VALUE"""),"")</f>
        <v/>
      </c>
      <c r="U225" s="16" t="s">
        <v>87</v>
      </c>
      <c r="V225" s="16" t="str">
        <f>IFERROR(__xludf.DUMMYFUNCTION("""COMPUTED_VALUE"""),"")</f>
        <v/>
      </c>
      <c r="W225" s="16" t="str">
        <f>IFERROR(__xludf.DUMMYFUNCTION("""COMPUTED_VALUE"""),"")</f>
        <v/>
      </c>
      <c r="X225" s="16" t="str">
        <f>IFERROR(__xludf.DUMMYFUNCTION("""COMPUTED_VALUE"""),"")</f>
        <v/>
      </c>
      <c r="AC225" s="16" t="str">
        <f>IFERROR(__xludf.DUMMYFUNCTION("""COMPUTED_VALUE"""),"")</f>
        <v/>
      </c>
    </row>
    <row r="226">
      <c r="A226" s="16" t="s">
        <v>87</v>
      </c>
      <c r="E226" s="16" t="str">
        <f>IFERROR(__xludf.DUMMYFUNCTION("""COMPUTED_VALUE"""),"")</f>
        <v/>
      </c>
      <c r="G226" s="18"/>
      <c r="H226" s="16" t="s">
        <v>87</v>
      </c>
      <c r="I226" s="16" t="s">
        <v>87</v>
      </c>
      <c r="J226" s="19"/>
      <c r="L226" s="16" t="str">
        <f>IFERROR(__xludf.DUMMYFUNCTION("""COMPUTED_VALUE"""),"")</f>
        <v/>
      </c>
      <c r="M226" s="16" t="str">
        <f>IFERROR(__xludf.DUMMYFUNCTION("""COMPUTED_VALUE"""),"")</f>
        <v/>
      </c>
      <c r="U226" s="16" t="s">
        <v>87</v>
      </c>
      <c r="V226" s="16" t="str">
        <f>IFERROR(__xludf.DUMMYFUNCTION("""COMPUTED_VALUE"""),"")</f>
        <v/>
      </c>
      <c r="W226" s="16" t="str">
        <f>IFERROR(__xludf.DUMMYFUNCTION("""COMPUTED_VALUE"""),"")</f>
        <v/>
      </c>
      <c r="X226" s="16" t="str">
        <f>IFERROR(__xludf.DUMMYFUNCTION("""COMPUTED_VALUE"""),"")</f>
        <v/>
      </c>
      <c r="AC226" s="16" t="str">
        <f>IFERROR(__xludf.DUMMYFUNCTION("""COMPUTED_VALUE"""),"")</f>
        <v/>
      </c>
    </row>
    <row r="227">
      <c r="A227" s="16" t="s">
        <v>87</v>
      </c>
      <c r="E227" s="16" t="str">
        <f>IFERROR(__xludf.DUMMYFUNCTION("""COMPUTED_VALUE"""),"")</f>
        <v/>
      </c>
      <c r="G227" s="18"/>
      <c r="H227" s="16" t="s">
        <v>87</v>
      </c>
      <c r="I227" s="16" t="s">
        <v>87</v>
      </c>
      <c r="J227" s="19"/>
      <c r="L227" s="16" t="str">
        <f>IFERROR(__xludf.DUMMYFUNCTION("""COMPUTED_VALUE"""),"")</f>
        <v/>
      </c>
      <c r="M227" s="16" t="str">
        <f>IFERROR(__xludf.DUMMYFUNCTION("""COMPUTED_VALUE"""),"")</f>
        <v/>
      </c>
      <c r="U227" s="16" t="s">
        <v>87</v>
      </c>
      <c r="V227" s="16" t="str">
        <f>IFERROR(__xludf.DUMMYFUNCTION("""COMPUTED_VALUE"""),"")</f>
        <v/>
      </c>
      <c r="W227" s="16" t="str">
        <f>IFERROR(__xludf.DUMMYFUNCTION("""COMPUTED_VALUE"""),"")</f>
        <v/>
      </c>
      <c r="X227" s="16" t="str">
        <f>IFERROR(__xludf.DUMMYFUNCTION("""COMPUTED_VALUE"""),"")</f>
        <v/>
      </c>
      <c r="AC227" s="16" t="str">
        <f>IFERROR(__xludf.DUMMYFUNCTION("""COMPUTED_VALUE"""),"")</f>
        <v/>
      </c>
    </row>
    <row r="228">
      <c r="A228" s="16" t="s">
        <v>87</v>
      </c>
      <c r="E228" s="16" t="str">
        <f>IFERROR(__xludf.DUMMYFUNCTION("""COMPUTED_VALUE"""),"")</f>
        <v/>
      </c>
      <c r="G228" s="18"/>
      <c r="H228" s="16" t="s">
        <v>87</v>
      </c>
      <c r="I228" s="16" t="s">
        <v>87</v>
      </c>
      <c r="J228" s="19"/>
      <c r="L228" s="16" t="str">
        <f>IFERROR(__xludf.DUMMYFUNCTION("""COMPUTED_VALUE"""),"")</f>
        <v/>
      </c>
      <c r="M228" s="16" t="str">
        <f>IFERROR(__xludf.DUMMYFUNCTION("""COMPUTED_VALUE"""),"")</f>
        <v/>
      </c>
      <c r="U228" s="16" t="s">
        <v>87</v>
      </c>
      <c r="V228" s="16" t="str">
        <f>IFERROR(__xludf.DUMMYFUNCTION("""COMPUTED_VALUE"""),"")</f>
        <v/>
      </c>
      <c r="W228" s="16" t="str">
        <f>IFERROR(__xludf.DUMMYFUNCTION("""COMPUTED_VALUE"""),"")</f>
        <v/>
      </c>
      <c r="X228" s="16" t="str">
        <f>IFERROR(__xludf.DUMMYFUNCTION("""COMPUTED_VALUE"""),"")</f>
        <v/>
      </c>
      <c r="AC228" s="16" t="str">
        <f>IFERROR(__xludf.DUMMYFUNCTION("""COMPUTED_VALUE"""),"")</f>
        <v/>
      </c>
    </row>
    <row r="229">
      <c r="A229" s="16" t="s">
        <v>87</v>
      </c>
      <c r="E229" s="16" t="str">
        <f>IFERROR(__xludf.DUMMYFUNCTION("""COMPUTED_VALUE"""),"")</f>
        <v/>
      </c>
      <c r="G229" s="18"/>
      <c r="H229" s="16" t="s">
        <v>87</v>
      </c>
      <c r="I229" s="16" t="s">
        <v>87</v>
      </c>
      <c r="J229" s="19"/>
      <c r="L229" s="16" t="str">
        <f>IFERROR(__xludf.DUMMYFUNCTION("""COMPUTED_VALUE"""),"")</f>
        <v/>
      </c>
      <c r="M229" s="16" t="str">
        <f>IFERROR(__xludf.DUMMYFUNCTION("""COMPUTED_VALUE"""),"")</f>
        <v/>
      </c>
      <c r="U229" s="16" t="s">
        <v>87</v>
      </c>
      <c r="V229" s="16" t="str">
        <f>IFERROR(__xludf.DUMMYFUNCTION("""COMPUTED_VALUE"""),"")</f>
        <v/>
      </c>
      <c r="W229" s="16" t="str">
        <f>IFERROR(__xludf.DUMMYFUNCTION("""COMPUTED_VALUE"""),"")</f>
        <v/>
      </c>
      <c r="X229" s="16" t="str">
        <f>IFERROR(__xludf.DUMMYFUNCTION("""COMPUTED_VALUE"""),"")</f>
        <v/>
      </c>
      <c r="AC229" s="16" t="str">
        <f>IFERROR(__xludf.DUMMYFUNCTION("""COMPUTED_VALUE"""),"")</f>
        <v/>
      </c>
    </row>
    <row r="230">
      <c r="A230" s="16" t="s">
        <v>87</v>
      </c>
      <c r="E230" s="16" t="str">
        <f>IFERROR(__xludf.DUMMYFUNCTION("""COMPUTED_VALUE"""),"")</f>
        <v/>
      </c>
      <c r="G230" s="18"/>
      <c r="H230" s="16" t="s">
        <v>87</v>
      </c>
      <c r="I230" s="16" t="s">
        <v>87</v>
      </c>
      <c r="J230" s="19"/>
      <c r="L230" s="16" t="str">
        <f>IFERROR(__xludf.DUMMYFUNCTION("""COMPUTED_VALUE"""),"")</f>
        <v/>
      </c>
      <c r="M230" s="16" t="str">
        <f>IFERROR(__xludf.DUMMYFUNCTION("""COMPUTED_VALUE"""),"")</f>
        <v/>
      </c>
      <c r="U230" s="16" t="s">
        <v>87</v>
      </c>
      <c r="V230" s="16" t="str">
        <f>IFERROR(__xludf.DUMMYFUNCTION("""COMPUTED_VALUE"""),"")</f>
        <v/>
      </c>
      <c r="W230" s="16" t="str">
        <f>IFERROR(__xludf.DUMMYFUNCTION("""COMPUTED_VALUE"""),"")</f>
        <v/>
      </c>
      <c r="X230" s="16" t="str">
        <f>IFERROR(__xludf.DUMMYFUNCTION("""COMPUTED_VALUE"""),"")</f>
        <v/>
      </c>
      <c r="AC230" s="16" t="str">
        <f>IFERROR(__xludf.DUMMYFUNCTION("""COMPUTED_VALUE"""),"")</f>
        <v/>
      </c>
    </row>
    <row r="231">
      <c r="A231" s="16" t="s">
        <v>87</v>
      </c>
      <c r="E231" s="16" t="str">
        <f>IFERROR(__xludf.DUMMYFUNCTION("""COMPUTED_VALUE"""),"")</f>
        <v/>
      </c>
      <c r="G231" s="18"/>
      <c r="H231" s="16" t="s">
        <v>87</v>
      </c>
      <c r="I231" s="16" t="s">
        <v>87</v>
      </c>
      <c r="J231" s="19"/>
      <c r="L231" s="16" t="str">
        <f>IFERROR(__xludf.DUMMYFUNCTION("""COMPUTED_VALUE"""),"")</f>
        <v/>
      </c>
      <c r="M231" s="16" t="str">
        <f>IFERROR(__xludf.DUMMYFUNCTION("""COMPUTED_VALUE"""),"")</f>
        <v/>
      </c>
      <c r="U231" s="16" t="s">
        <v>87</v>
      </c>
      <c r="V231" s="16" t="str">
        <f>IFERROR(__xludf.DUMMYFUNCTION("""COMPUTED_VALUE"""),"")</f>
        <v/>
      </c>
      <c r="W231" s="16" t="str">
        <f>IFERROR(__xludf.DUMMYFUNCTION("""COMPUTED_VALUE"""),"")</f>
        <v/>
      </c>
      <c r="X231" s="16" t="str">
        <f>IFERROR(__xludf.DUMMYFUNCTION("""COMPUTED_VALUE"""),"")</f>
        <v/>
      </c>
      <c r="AC231" s="16" t="str">
        <f>IFERROR(__xludf.DUMMYFUNCTION("""COMPUTED_VALUE"""),"")</f>
        <v/>
      </c>
    </row>
    <row r="232">
      <c r="A232" s="16" t="s">
        <v>87</v>
      </c>
      <c r="E232" s="16" t="str">
        <f>IFERROR(__xludf.DUMMYFUNCTION("""COMPUTED_VALUE"""),"")</f>
        <v/>
      </c>
      <c r="G232" s="18"/>
      <c r="H232" s="16" t="s">
        <v>87</v>
      </c>
      <c r="I232" s="16" t="s">
        <v>87</v>
      </c>
      <c r="J232" s="19"/>
      <c r="L232" s="16" t="str">
        <f>IFERROR(__xludf.DUMMYFUNCTION("""COMPUTED_VALUE"""),"")</f>
        <v/>
      </c>
      <c r="M232" s="16" t="str">
        <f>IFERROR(__xludf.DUMMYFUNCTION("""COMPUTED_VALUE"""),"")</f>
        <v/>
      </c>
      <c r="U232" s="16" t="s">
        <v>87</v>
      </c>
      <c r="V232" s="16" t="str">
        <f>IFERROR(__xludf.DUMMYFUNCTION("""COMPUTED_VALUE"""),"")</f>
        <v/>
      </c>
      <c r="W232" s="16" t="str">
        <f>IFERROR(__xludf.DUMMYFUNCTION("""COMPUTED_VALUE"""),"")</f>
        <v/>
      </c>
      <c r="X232" s="16" t="str">
        <f>IFERROR(__xludf.DUMMYFUNCTION("""COMPUTED_VALUE"""),"")</f>
        <v/>
      </c>
      <c r="AC232" s="16" t="str">
        <f>IFERROR(__xludf.DUMMYFUNCTION("""COMPUTED_VALUE"""),"")</f>
        <v/>
      </c>
    </row>
    <row r="233">
      <c r="A233" s="16" t="s">
        <v>87</v>
      </c>
      <c r="E233" s="16" t="str">
        <f>IFERROR(__xludf.DUMMYFUNCTION("""COMPUTED_VALUE"""),"")</f>
        <v/>
      </c>
      <c r="G233" s="18"/>
      <c r="H233" s="16" t="s">
        <v>87</v>
      </c>
      <c r="I233" s="16" t="s">
        <v>87</v>
      </c>
      <c r="J233" s="19"/>
      <c r="L233" s="16" t="str">
        <f>IFERROR(__xludf.DUMMYFUNCTION("""COMPUTED_VALUE"""),"")</f>
        <v/>
      </c>
      <c r="M233" s="16" t="str">
        <f>IFERROR(__xludf.DUMMYFUNCTION("""COMPUTED_VALUE"""),"")</f>
        <v/>
      </c>
      <c r="U233" s="16" t="s">
        <v>87</v>
      </c>
      <c r="V233" s="16" t="str">
        <f>IFERROR(__xludf.DUMMYFUNCTION("""COMPUTED_VALUE"""),"")</f>
        <v/>
      </c>
      <c r="W233" s="16" t="str">
        <f>IFERROR(__xludf.DUMMYFUNCTION("""COMPUTED_VALUE"""),"")</f>
        <v/>
      </c>
      <c r="X233" s="16" t="str">
        <f>IFERROR(__xludf.DUMMYFUNCTION("""COMPUTED_VALUE"""),"")</f>
        <v/>
      </c>
      <c r="AC233" s="16" t="str">
        <f>IFERROR(__xludf.DUMMYFUNCTION("""COMPUTED_VALUE"""),"")</f>
        <v/>
      </c>
    </row>
    <row r="234">
      <c r="A234" s="16" t="s">
        <v>87</v>
      </c>
      <c r="E234" s="16" t="str">
        <f>IFERROR(__xludf.DUMMYFUNCTION("""COMPUTED_VALUE"""),"")</f>
        <v/>
      </c>
      <c r="G234" s="18"/>
      <c r="H234" s="16" t="s">
        <v>87</v>
      </c>
      <c r="I234" s="16" t="s">
        <v>87</v>
      </c>
      <c r="J234" s="19"/>
      <c r="L234" s="16" t="str">
        <f>IFERROR(__xludf.DUMMYFUNCTION("""COMPUTED_VALUE"""),"")</f>
        <v/>
      </c>
      <c r="M234" s="16" t="str">
        <f>IFERROR(__xludf.DUMMYFUNCTION("""COMPUTED_VALUE"""),"")</f>
        <v/>
      </c>
      <c r="U234" s="16" t="s">
        <v>87</v>
      </c>
      <c r="V234" s="16" t="str">
        <f>IFERROR(__xludf.DUMMYFUNCTION("""COMPUTED_VALUE"""),"")</f>
        <v/>
      </c>
      <c r="W234" s="16" t="str">
        <f>IFERROR(__xludf.DUMMYFUNCTION("""COMPUTED_VALUE"""),"")</f>
        <v/>
      </c>
      <c r="X234" s="16" t="str">
        <f>IFERROR(__xludf.DUMMYFUNCTION("""COMPUTED_VALUE"""),"")</f>
        <v/>
      </c>
      <c r="AC234" s="16" t="str">
        <f>IFERROR(__xludf.DUMMYFUNCTION("""COMPUTED_VALUE"""),"")</f>
        <v/>
      </c>
    </row>
    <row r="235">
      <c r="A235" s="16" t="s">
        <v>87</v>
      </c>
      <c r="E235" s="16" t="str">
        <f>IFERROR(__xludf.DUMMYFUNCTION("""COMPUTED_VALUE"""),"")</f>
        <v/>
      </c>
      <c r="G235" s="18"/>
      <c r="H235" s="16" t="s">
        <v>87</v>
      </c>
      <c r="I235" s="16" t="s">
        <v>87</v>
      </c>
      <c r="J235" s="19"/>
      <c r="L235" s="16" t="str">
        <f>IFERROR(__xludf.DUMMYFUNCTION("""COMPUTED_VALUE"""),"")</f>
        <v/>
      </c>
      <c r="M235" s="16" t="str">
        <f>IFERROR(__xludf.DUMMYFUNCTION("""COMPUTED_VALUE"""),"")</f>
        <v/>
      </c>
      <c r="U235" s="16" t="s">
        <v>87</v>
      </c>
      <c r="V235" s="16" t="str">
        <f>IFERROR(__xludf.DUMMYFUNCTION("""COMPUTED_VALUE"""),"")</f>
        <v/>
      </c>
      <c r="W235" s="16" t="str">
        <f>IFERROR(__xludf.DUMMYFUNCTION("""COMPUTED_VALUE"""),"")</f>
        <v/>
      </c>
      <c r="X235" s="16" t="str">
        <f>IFERROR(__xludf.DUMMYFUNCTION("""COMPUTED_VALUE"""),"")</f>
        <v/>
      </c>
      <c r="AC235" s="16" t="str">
        <f>IFERROR(__xludf.DUMMYFUNCTION("""COMPUTED_VALUE"""),"")</f>
        <v/>
      </c>
    </row>
    <row r="236">
      <c r="A236" s="16" t="s">
        <v>87</v>
      </c>
      <c r="E236" s="16" t="str">
        <f>IFERROR(__xludf.DUMMYFUNCTION("""COMPUTED_VALUE"""),"")</f>
        <v/>
      </c>
      <c r="G236" s="18"/>
      <c r="H236" s="16" t="s">
        <v>87</v>
      </c>
      <c r="I236" s="16" t="s">
        <v>87</v>
      </c>
      <c r="J236" s="19"/>
      <c r="L236" s="16" t="str">
        <f>IFERROR(__xludf.DUMMYFUNCTION("""COMPUTED_VALUE"""),"")</f>
        <v/>
      </c>
      <c r="M236" s="16" t="str">
        <f>IFERROR(__xludf.DUMMYFUNCTION("""COMPUTED_VALUE"""),"")</f>
        <v/>
      </c>
      <c r="U236" s="16" t="s">
        <v>87</v>
      </c>
      <c r="V236" s="16" t="str">
        <f>IFERROR(__xludf.DUMMYFUNCTION("""COMPUTED_VALUE"""),"")</f>
        <v/>
      </c>
      <c r="W236" s="16" t="str">
        <f>IFERROR(__xludf.DUMMYFUNCTION("""COMPUTED_VALUE"""),"")</f>
        <v/>
      </c>
      <c r="X236" s="16" t="str">
        <f>IFERROR(__xludf.DUMMYFUNCTION("""COMPUTED_VALUE"""),"")</f>
        <v/>
      </c>
      <c r="AC236" s="16" t="str">
        <f>IFERROR(__xludf.DUMMYFUNCTION("""COMPUTED_VALUE"""),"")</f>
        <v/>
      </c>
    </row>
    <row r="237">
      <c r="A237" s="16" t="s">
        <v>87</v>
      </c>
      <c r="E237" s="16" t="str">
        <f>IFERROR(__xludf.DUMMYFUNCTION("""COMPUTED_VALUE"""),"")</f>
        <v/>
      </c>
      <c r="G237" s="18"/>
      <c r="H237" s="16" t="s">
        <v>87</v>
      </c>
      <c r="I237" s="16" t="s">
        <v>87</v>
      </c>
      <c r="J237" s="19"/>
      <c r="L237" s="16" t="str">
        <f>IFERROR(__xludf.DUMMYFUNCTION("""COMPUTED_VALUE"""),"")</f>
        <v/>
      </c>
      <c r="M237" s="16" t="str">
        <f>IFERROR(__xludf.DUMMYFUNCTION("""COMPUTED_VALUE"""),"")</f>
        <v/>
      </c>
      <c r="U237" s="16" t="s">
        <v>87</v>
      </c>
      <c r="V237" s="16" t="str">
        <f>IFERROR(__xludf.DUMMYFUNCTION("""COMPUTED_VALUE"""),"")</f>
        <v/>
      </c>
      <c r="W237" s="16" t="str">
        <f>IFERROR(__xludf.DUMMYFUNCTION("""COMPUTED_VALUE"""),"")</f>
        <v/>
      </c>
      <c r="X237" s="16" t="str">
        <f>IFERROR(__xludf.DUMMYFUNCTION("""COMPUTED_VALUE"""),"")</f>
        <v/>
      </c>
      <c r="AC237" s="16" t="str">
        <f>IFERROR(__xludf.DUMMYFUNCTION("""COMPUTED_VALUE"""),"")</f>
        <v/>
      </c>
    </row>
    <row r="238">
      <c r="A238" s="16" t="s">
        <v>87</v>
      </c>
      <c r="E238" s="16" t="str">
        <f>IFERROR(__xludf.DUMMYFUNCTION("""COMPUTED_VALUE"""),"")</f>
        <v/>
      </c>
      <c r="G238" s="18"/>
      <c r="H238" s="16" t="s">
        <v>87</v>
      </c>
      <c r="I238" s="16" t="s">
        <v>87</v>
      </c>
      <c r="J238" s="19"/>
      <c r="L238" s="16" t="str">
        <f>IFERROR(__xludf.DUMMYFUNCTION("""COMPUTED_VALUE"""),"")</f>
        <v/>
      </c>
      <c r="M238" s="16" t="str">
        <f>IFERROR(__xludf.DUMMYFUNCTION("""COMPUTED_VALUE"""),"")</f>
        <v/>
      </c>
      <c r="U238" s="16" t="s">
        <v>87</v>
      </c>
      <c r="V238" s="16" t="str">
        <f>IFERROR(__xludf.DUMMYFUNCTION("""COMPUTED_VALUE"""),"")</f>
        <v/>
      </c>
      <c r="W238" s="16" t="str">
        <f>IFERROR(__xludf.DUMMYFUNCTION("""COMPUTED_VALUE"""),"")</f>
        <v/>
      </c>
      <c r="X238" s="16" t="str">
        <f>IFERROR(__xludf.DUMMYFUNCTION("""COMPUTED_VALUE"""),"")</f>
        <v/>
      </c>
      <c r="AC238" s="16" t="str">
        <f>IFERROR(__xludf.DUMMYFUNCTION("""COMPUTED_VALUE"""),"")</f>
        <v/>
      </c>
    </row>
    <row r="239">
      <c r="A239" s="16" t="s">
        <v>87</v>
      </c>
      <c r="E239" s="16" t="str">
        <f>IFERROR(__xludf.DUMMYFUNCTION("""COMPUTED_VALUE"""),"")</f>
        <v/>
      </c>
      <c r="G239" s="18"/>
      <c r="H239" s="16" t="s">
        <v>87</v>
      </c>
      <c r="I239" s="16" t="s">
        <v>87</v>
      </c>
      <c r="J239" s="19"/>
      <c r="L239" s="16" t="str">
        <f>IFERROR(__xludf.DUMMYFUNCTION("""COMPUTED_VALUE"""),"")</f>
        <v/>
      </c>
      <c r="M239" s="16" t="str">
        <f>IFERROR(__xludf.DUMMYFUNCTION("""COMPUTED_VALUE"""),"")</f>
        <v/>
      </c>
      <c r="U239" s="16" t="s">
        <v>87</v>
      </c>
      <c r="V239" s="16" t="str">
        <f>IFERROR(__xludf.DUMMYFUNCTION("""COMPUTED_VALUE"""),"")</f>
        <v/>
      </c>
      <c r="W239" s="16" t="str">
        <f>IFERROR(__xludf.DUMMYFUNCTION("""COMPUTED_VALUE"""),"")</f>
        <v/>
      </c>
      <c r="X239" s="16" t="str">
        <f>IFERROR(__xludf.DUMMYFUNCTION("""COMPUTED_VALUE"""),"")</f>
        <v/>
      </c>
      <c r="AC239" s="16" t="str">
        <f>IFERROR(__xludf.DUMMYFUNCTION("""COMPUTED_VALUE"""),"")</f>
        <v/>
      </c>
    </row>
    <row r="240">
      <c r="A240" s="16" t="s">
        <v>87</v>
      </c>
      <c r="E240" s="16" t="str">
        <f>IFERROR(__xludf.DUMMYFUNCTION("""COMPUTED_VALUE"""),"")</f>
        <v/>
      </c>
      <c r="G240" s="18"/>
      <c r="H240" s="16" t="s">
        <v>87</v>
      </c>
      <c r="I240" s="16" t="s">
        <v>87</v>
      </c>
      <c r="J240" s="19"/>
      <c r="L240" s="16" t="str">
        <f>IFERROR(__xludf.DUMMYFUNCTION("""COMPUTED_VALUE"""),"")</f>
        <v/>
      </c>
      <c r="M240" s="16" t="str">
        <f>IFERROR(__xludf.DUMMYFUNCTION("""COMPUTED_VALUE"""),"")</f>
        <v/>
      </c>
      <c r="U240" s="16" t="s">
        <v>87</v>
      </c>
      <c r="V240" s="16" t="str">
        <f>IFERROR(__xludf.DUMMYFUNCTION("""COMPUTED_VALUE"""),"")</f>
        <v/>
      </c>
      <c r="W240" s="16" t="str">
        <f>IFERROR(__xludf.DUMMYFUNCTION("""COMPUTED_VALUE"""),"")</f>
        <v/>
      </c>
      <c r="X240" s="16" t="str">
        <f>IFERROR(__xludf.DUMMYFUNCTION("""COMPUTED_VALUE"""),"")</f>
        <v/>
      </c>
      <c r="AC240" s="16" t="str">
        <f>IFERROR(__xludf.DUMMYFUNCTION("""COMPUTED_VALUE"""),"")</f>
        <v/>
      </c>
    </row>
    <row r="241">
      <c r="A241" s="16" t="s">
        <v>87</v>
      </c>
      <c r="E241" s="16" t="str">
        <f>IFERROR(__xludf.DUMMYFUNCTION("""COMPUTED_VALUE"""),"")</f>
        <v/>
      </c>
      <c r="G241" s="18"/>
      <c r="H241" s="16" t="s">
        <v>87</v>
      </c>
      <c r="I241" s="16" t="s">
        <v>87</v>
      </c>
      <c r="J241" s="19"/>
      <c r="L241" s="16" t="str">
        <f>IFERROR(__xludf.DUMMYFUNCTION("""COMPUTED_VALUE"""),"")</f>
        <v/>
      </c>
      <c r="M241" s="16" t="str">
        <f>IFERROR(__xludf.DUMMYFUNCTION("""COMPUTED_VALUE"""),"")</f>
        <v/>
      </c>
      <c r="U241" s="16" t="s">
        <v>87</v>
      </c>
      <c r="V241" s="16" t="str">
        <f>IFERROR(__xludf.DUMMYFUNCTION("""COMPUTED_VALUE"""),"")</f>
        <v/>
      </c>
      <c r="W241" s="16" t="str">
        <f>IFERROR(__xludf.DUMMYFUNCTION("""COMPUTED_VALUE"""),"")</f>
        <v/>
      </c>
      <c r="X241" s="16" t="str">
        <f>IFERROR(__xludf.DUMMYFUNCTION("""COMPUTED_VALUE"""),"")</f>
        <v/>
      </c>
      <c r="AC241" s="16" t="str">
        <f>IFERROR(__xludf.DUMMYFUNCTION("""COMPUTED_VALUE"""),"")</f>
        <v/>
      </c>
    </row>
    <row r="242">
      <c r="A242" s="16" t="s">
        <v>87</v>
      </c>
      <c r="E242" s="16" t="str">
        <f>IFERROR(__xludf.DUMMYFUNCTION("""COMPUTED_VALUE"""),"")</f>
        <v/>
      </c>
      <c r="G242" s="18"/>
      <c r="H242" s="16" t="s">
        <v>87</v>
      </c>
      <c r="I242" s="16" t="s">
        <v>87</v>
      </c>
      <c r="J242" s="19"/>
      <c r="L242" s="16" t="str">
        <f>IFERROR(__xludf.DUMMYFUNCTION("""COMPUTED_VALUE"""),"")</f>
        <v/>
      </c>
      <c r="M242" s="16" t="str">
        <f>IFERROR(__xludf.DUMMYFUNCTION("""COMPUTED_VALUE"""),"")</f>
        <v/>
      </c>
      <c r="U242" s="16" t="s">
        <v>87</v>
      </c>
      <c r="V242" s="16" t="str">
        <f>IFERROR(__xludf.DUMMYFUNCTION("""COMPUTED_VALUE"""),"")</f>
        <v/>
      </c>
      <c r="W242" s="16" t="str">
        <f>IFERROR(__xludf.DUMMYFUNCTION("""COMPUTED_VALUE"""),"")</f>
        <v/>
      </c>
      <c r="X242" s="16" t="str">
        <f>IFERROR(__xludf.DUMMYFUNCTION("""COMPUTED_VALUE"""),"")</f>
        <v/>
      </c>
      <c r="AC242" s="16" t="str">
        <f>IFERROR(__xludf.DUMMYFUNCTION("""COMPUTED_VALUE"""),"")</f>
        <v/>
      </c>
    </row>
    <row r="243">
      <c r="A243" s="16" t="s">
        <v>87</v>
      </c>
      <c r="E243" s="16" t="str">
        <f>IFERROR(__xludf.DUMMYFUNCTION("""COMPUTED_VALUE"""),"")</f>
        <v/>
      </c>
      <c r="G243" s="18"/>
      <c r="H243" s="16" t="s">
        <v>87</v>
      </c>
      <c r="I243" s="16" t="s">
        <v>87</v>
      </c>
      <c r="J243" s="19"/>
      <c r="L243" s="16" t="str">
        <f>IFERROR(__xludf.DUMMYFUNCTION("""COMPUTED_VALUE"""),"")</f>
        <v/>
      </c>
      <c r="M243" s="16" t="str">
        <f>IFERROR(__xludf.DUMMYFUNCTION("""COMPUTED_VALUE"""),"")</f>
        <v/>
      </c>
      <c r="U243" s="16" t="s">
        <v>87</v>
      </c>
      <c r="V243" s="16" t="str">
        <f>IFERROR(__xludf.DUMMYFUNCTION("""COMPUTED_VALUE"""),"")</f>
        <v/>
      </c>
      <c r="W243" s="16" t="str">
        <f>IFERROR(__xludf.DUMMYFUNCTION("""COMPUTED_VALUE"""),"")</f>
        <v/>
      </c>
      <c r="X243" s="16" t="str">
        <f>IFERROR(__xludf.DUMMYFUNCTION("""COMPUTED_VALUE"""),"")</f>
        <v/>
      </c>
      <c r="AC243" s="16" t="str">
        <f>IFERROR(__xludf.DUMMYFUNCTION("""COMPUTED_VALUE"""),"")</f>
        <v/>
      </c>
    </row>
    <row r="244">
      <c r="A244" s="16" t="s">
        <v>87</v>
      </c>
      <c r="E244" s="16" t="str">
        <f>IFERROR(__xludf.DUMMYFUNCTION("""COMPUTED_VALUE"""),"")</f>
        <v/>
      </c>
      <c r="G244" s="18"/>
      <c r="H244" s="16" t="s">
        <v>87</v>
      </c>
      <c r="I244" s="16" t="s">
        <v>87</v>
      </c>
      <c r="J244" s="19"/>
      <c r="L244" s="16" t="str">
        <f>IFERROR(__xludf.DUMMYFUNCTION("""COMPUTED_VALUE"""),"")</f>
        <v/>
      </c>
      <c r="M244" s="16" t="str">
        <f>IFERROR(__xludf.DUMMYFUNCTION("""COMPUTED_VALUE"""),"")</f>
        <v/>
      </c>
      <c r="U244" s="16" t="s">
        <v>87</v>
      </c>
      <c r="V244" s="16" t="str">
        <f>IFERROR(__xludf.DUMMYFUNCTION("""COMPUTED_VALUE"""),"")</f>
        <v/>
      </c>
      <c r="W244" s="16" t="str">
        <f>IFERROR(__xludf.DUMMYFUNCTION("""COMPUTED_VALUE"""),"")</f>
        <v/>
      </c>
      <c r="X244" s="16" t="str">
        <f>IFERROR(__xludf.DUMMYFUNCTION("""COMPUTED_VALUE"""),"")</f>
        <v/>
      </c>
      <c r="AC244" s="16" t="str">
        <f>IFERROR(__xludf.DUMMYFUNCTION("""COMPUTED_VALUE"""),"")</f>
        <v/>
      </c>
    </row>
    <row r="245">
      <c r="A245" s="16" t="s">
        <v>87</v>
      </c>
      <c r="E245" s="16" t="str">
        <f>IFERROR(__xludf.DUMMYFUNCTION("""COMPUTED_VALUE"""),"")</f>
        <v/>
      </c>
      <c r="G245" s="18"/>
      <c r="H245" s="16" t="s">
        <v>87</v>
      </c>
      <c r="I245" s="16" t="s">
        <v>87</v>
      </c>
      <c r="J245" s="19"/>
      <c r="L245" s="16" t="str">
        <f>IFERROR(__xludf.DUMMYFUNCTION("""COMPUTED_VALUE"""),"")</f>
        <v/>
      </c>
      <c r="M245" s="16" t="str">
        <f>IFERROR(__xludf.DUMMYFUNCTION("""COMPUTED_VALUE"""),"")</f>
        <v/>
      </c>
      <c r="U245" s="16" t="s">
        <v>87</v>
      </c>
      <c r="V245" s="16" t="str">
        <f>IFERROR(__xludf.DUMMYFUNCTION("""COMPUTED_VALUE"""),"")</f>
        <v/>
      </c>
      <c r="W245" s="16" t="str">
        <f>IFERROR(__xludf.DUMMYFUNCTION("""COMPUTED_VALUE"""),"")</f>
        <v/>
      </c>
      <c r="X245" s="16" t="str">
        <f>IFERROR(__xludf.DUMMYFUNCTION("""COMPUTED_VALUE"""),"")</f>
        <v/>
      </c>
      <c r="AC245" s="16" t="str">
        <f>IFERROR(__xludf.DUMMYFUNCTION("""COMPUTED_VALUE"""),"")</f>
        <v/>
      </c>
    </row>
    <row r="246">
      <c r="A246" s="16" t="s">
        <v>87</v>
      </c>
      <c r="E246" s="16" t="str">
        <f>IFERROR(__xludf.DUMMYFUNCTION("""COMPUTED_VALUE"""),"")</f>
        <v/>
      </c>
      <c r="G246" s="18"/>
      <c r="H246" s="16" t="s">
        <v>87</v>
      </c>
      <c r="I246" s="16" t="s">
        <v>87</v>
      </c>
      <c r="J246" s="19"/>
      <c r="L246" s="16" t="str">
        <f>IFERROR(__xludf.DUMMYFUNCTION("""COMPUTED_VALUE"""),"")</f>
        <v/>
      </c>
      <c r="M246" s="16" t="str">
        <f>IFERROR(__xludf.DUMMYFUNCTION("""COMPUTED_VALUE"""),"")</f>
        <v/>
      </c>
      <c r="U246" s="16" t="s">
        <v>87</v>
      </c>
      <c r="V246" s="16" t="str">
        <f>IFERROR(__xludf.DUMMYFUNCTION("""COMPUTED_VALUE"""),"")</f>
        <v/>
      </c>
      <c r="W246" s="16" t="str">
        <f>IFERROR(__xludf.DUMMYFUNCTION("""COMPUTED_VALUE"""),"")</f>
        <v/>
      </c>
      <c r="X246" s="16" t="str">
        <f>IFERROR(__xludf.DUMMYFUNCTION("""COMPUTED_VALUE"""),"")</f>
        <v/>
      </c>
      <c r="AC246" s="16" t="str">
        <f>IFERROR(__xludf.DUMMYFUNCTION("""COMPUTED_VALUE"""),"")</f>
        <v/>
      </c>
    </row>
    <row r="247">
      <c r="A247" s="16" t="s">
        <v>87</v>
      </c>
      <c r="E247" s="16" t="str">
        <f>IFERROR(__xludf.DUMMYFUNCTION("""COMPUTED_VALUE"""),"")</f>
        <v/>
      </c>
      <c r="G247" s="18"/>
      <c r="H247" s="16" t="s">
        <v>87</v>
      </c>
      <c r="I247" s="16" t="s">
        <v>87</v>
      </c>
      <c r="J247" s="19"/>
      <c r="L247" s="16" t="str">
        <f>IFERROR(__xludf.DUMMYFUNCTION("""COMPUTED_VALUE"""),"")</f>
        <v/>
      </c>
      <c r="M247" s="16" t="str">
        <f>IFERROR(__xludf.DUMMYFUNCTION("""COMPUTED_VALUE"""),"")</f>
        <v/>
      </c>
      <c r="U247" s="16" t="s">
        <v>87</v>
      </c>
      <c r="V247" s="16" t="str">
        <f>IFERROR(__xludf.DUMMYFUNCTION("""COMPUTED_VALUE"""),"")</f>
        <v/>
      </c>
      <c r="W247" s="16" t="str">
        <f>IFERROR(__xludf.DUMMYFUNCTION("""COMPUTED_VALUE"""),"")</f>
        <v/>
      </c>
      <c r="X247" s="16" t="str">
        <f>IFERROR(__xludf.DUMMYFUNCTION("""COMPUTED_VALUE"""),"")</f>
        <v/>
      </c>
      <c r="AC247" s="16" t="str">
        <f>IFERROR(__xludf.DUMMYFUNCTION("""COMPUTED_VALUE"""),"")</f>
        <v/>
      </c>
    </row>
    <row r="248">
      <c r="A248" s="16" t="s">
        <v>87</v>
      </c>
      <c r="E248" s="16" t="str">
        <f>IFERROR(__xludf.DUMMYFUNCTION("""COMPUTED_VALUE"""),"")</f>
        <v/>
      </c>
      <c r="G248" s="18"/>
      <c r="H248" s="16" t="s">
        <v>87</v>
      </c>
      <c r="I248" s="16" t="s">
        <v>87</v>
      </c>
      <c r="J248" s="19"/>
      <c r="L248" s="16" t="str">
        <f>IFERROR(__xludf.DUMMYFUNCTION("""COMPUTED_VALUE"""),"")</f>
        <v/>
      </c>
      <c r="M248" s="16" t="str">
        <f>IFERROR(__xludf.DUMMYFUNCTION("""COMPUTED_VALUE"""),"")</f>
        <v/>
      </c>
      <c r="U248" s="16" t="s">
        <v>87</v>
      </c>
      <c r="V248" s="16" t="str">
        <f>IFERROR(__xludf.DUMMYFUNCTION("""COMPUTED_VALUE"""),"")</f>
        <v/>
      </c>
      <c r="W248" s="16" t="str">
        <f>IFERROR(__xludf.DUMMYFUNCTION("""COMPUTED_VALUE"""),"")</f>
        <v/>
      </c>
      <c r="X248" s="16" t="str">
        <f>IFERROR(__xludf.DUMMYFUNCTION("""COMPUTED_VALUE"""),"")</f>
        <v/>
      </c>
      <c r="AC248" s="16" t="str">
        <f>IFERROR(__xludf.DUMMYFUNCTION("""COMPUTED_VALUE"""),"")</f>
        <v/>
      </c>
    </row>
    <row r="249">
      <c r="A249" s="16" t="s">
        <v>87</v>
      </c>
      <c r="E249" s="16" t="str">
        <f>IFERROR(__xludf.DUMMYFUNCTION("""COMPUTED_VALUE"""),"")</f>
        <v/>
      </c>
      <c r="G249" s="18"/>
      <c r="H249" s="16" t="s">
        <v>87</v>
      </c>
      <c r="I249" s="16" t="s">
        <v>87</v>
      </c>
      <c r="J249" s="19"/>
      <c r="L249" s="16" t="str">
        <f>IFERROR(__xludf.DUMMYFUNCTION("""COMPUTED_VALUE"""),"")</f>
        <v/>
      </c>
      <c r="M249" s="16" t="str">
        <f>IFERROR(__xludf.DUMMYFUNCTION("""COMPUTED_VALUE"""),"")</f>
        <v/>
      </c>
      <c r="U249" s="16" t="s">
        <v>87</v>
      </c>
      <c r="V249" s="16" t="str">
        <f>IFERROR(__xludf.DUMMYFUNCTION("""COMPUTED_VALUE"""),"")</f>
        <v/>
      </c>
      <c r="W249" s="16" t="str">
        <f>IFERROR(__xludf.DUMMYFUNCTION("""COMPUTED_VALUE"""),"")</f>
        <v/>
      </c>
      <c r="X249" s="16" t="str">
        <f>IFERROR(__xludf.DUMMYFUNCTION("""COMPUTED_VALUE"""),"")</f>
        <v/>
      </c>
      <c r="AC249" s="16" t="str">
        <f>IFERROR(__xludf.DUMMYFUNCTION("""COMPUTED_VALUE"""),"")</f>
        <v/>
      </c>
    </row>
    <row r="250">
      <c r="A250" s="16" t="s">
        <v>87</v>
      </c>
      <c r="E250" s="16" t="str">
        <f>IFERROR(__xludf.DUMMYFUNCTION("""COMPUTED_VALUE"""),"")</f>
        <v/>
      </c>
      <c r="G250" s="18"/>
      <c r="H250" s="16" t="s">
        <v>87</v>
      </c>
      <c r="I250" s="16" t="s">
        <v>87</v>
      </c>
      <c r="J250" s="19"/>
      <c r="L250" s="16" t="str">
        <f>IFERROR(__xludf.DUMMYFUNCTION("""COMPUTED_VALUE"""),"")</f>
        <v/>
      </c>
      <c r="M250" s="16" t="str">
        <f>IFERROR(__xludf.DUMMYFUNCTION("""COMPUTED_VALUE"""),"")</f>
        <v/>
      </c>
      <c r="U250" s="16" t="s">
        <v>87</v>
      </c>
      <c r="V250" s="16" t="str">
        <f>IFERROR(__xludf.DUMMYFUNCTION("""COMPUTED_VALUE"""),"")</f>
        <v/>
      </c>
      <c r="W250" s="16" t="str">
        <f>IFERROR(__xludf.DUMMYFUNCTION("""COMPUTED_VALUE"""),"")</f>
        <v/>
      </c>
      <c r="X250" s="16" t="str">
        <f>IFERROR(__xludf.DUMMYFUNCTION("""COMPUTED_VALUE"""),"")</f>
        <v/>
      </c>
      <c r="AC250" s="16" t="str">
        <f>IFERROR(__xludf.DUMMYFUNCTION("""COMPUTED_VALUE"""),"")</f>
        <v/>
      </c>
    </row>
    <row r="251">
      <c r="A251" s="16" t="s">
        <v>87</v>
      </c>
      <c r="E251" s="16" t="str">
        <f>IFERROR(__xludf.DUMMYFUNCTION("""COMPUTED_VALUE"""),"")</f>
        <v/>
      </c>
      <c r="G251" s="18"/>
      <c r="H251" s="16" t="s">
        <v>87</v>
      </c>
      <c r="I251" s="16" t="s">
        <v>87</v>
      </c>
      <c r="J251" s="19"/>
      <c r="L251" s="16" t="str">
        <f>IFERROR(__xludf.DUMMYFUNCTION("""COMPUTED_VALUE"""),"")</f>
        <v/>
      </c>
      <c r="M251" s="16" t="str">
        <f>IFERROR(__xludf.DUMMYFUNCTION("""COMPUTED_VALUE"""),"")</f>
        <v/>
      </c>
      <c r="U251" s="16" t="s">
        <v>87</v>
      </c>
      <c r="V251" s="16" t="str">
        <f>IFERROR(__xludf.DUMMYFUNCTION("""COMPUTED_VALUE"""),"")</f>
        <v/>
      </c>
      <c r="W251" s="16" t="str">
        <f>IFERROR(__xludf.DUMMYFUNCTION("""COMPUTED_VALUE"""),"")</f>
        <v/>
      </c>
      <c r="X251" s="16" t="str">
        <f>IFERROR(__xludf.DUMMYFUNCTION("""COMPUTED_VALUE"""),"")</f>
        <v/>
      </c>
      <c r="AC251" s="16" t="str">
        <f>IFERROR(__xludf.DUMMYFUNCTION("""COMPUTED_VALUE"""),"")</f>
        <v/>
      </c>
    </row>
    <row r="252">
      <c r="A252" s="16" t="s">
        <v>87</v>
      </c>
      <c r="E252" s="16" t="str">
        <f>IFERROR(__xludf.DUMMYFUNCTION("""COMPUTED_VALUE"""),"")</f>
        <v/>
      </c>
      <c r="G252" s="18"/>
      <c r="H252" s="16" t="s">
        <v>87</v>
      </c>
      <c r="I252" s="16" t="s">
        <v>87</v>
      </c>
      <c r="J252" s="19"/>
      <c r="L252" s="16" t="str">
        <f>IFERROR(__xludf.DUMMYFUNCTION("""COMPUTED_VALUE"""),"")</f>
        <v/>
      </c>
      <c r="M252" s="16" t="str">
        <f>IFERROR(__xludf.DUMMYFUNCTION("""COMPUTED_VALUE"""),"")</f>
        <v/>
      </c>
      <c r="U252" s="16" t="s">
        <v>87</v>
      </c>
      <c r="V252" s="16" t="str">
        <f>IFERROR(__xludf.DUMMYFUNCTION("""COMPUTED_VALUE"""),"")</f>
        <v/>
      </c>
      <c r="W252" s="16" t="str">
        <f>IFERROR(__xludf.DUMMYFUNCTION("""COMPUTED_VALUE"""),"")</f>
        <v/>
      </c>
      <c r="X252" s="16" t="str">
        <f>IFERROR(__xludf.DUMMYFUNCTION("""COMPUTED_VALUE"""),"")</f>
        <v/>
      </c>
      <c r="AC252" s="16" t="str">
        <f>IFERROR(__xludf.DUMMYFUNCTION("""COMPUTED_VALUE"""),"")</f>
        <v/>
      </c>
    </row>
    <row r="253">
      <c r="A253" s="16" t="s">
        <v>87</v>
      </c>
      <c r="E253" s="16" t="str">
        <f>IFERROR(__xludf.DUMMYFUNCTION("""COMPUTED_VALUE"""),"")</f>
        <v/>
      </c>
      <c r="G253" s="18"/>
      <c r="H253" s="16" t="s">
        <v>87</v>
      </c>
      <c r="I253" s="16" t="s">
        <v>87</v>
      </c>
      <c r="J253" s="19"/>
      <c r="L253" s="16" t="str">
        <f>IFERROR(__xludf.DUMMYFUNCTION("""COMPUTED_VALUE"""),"")</f>
        <v/>
      </c>
      <c r="M253" s="16" t="str">
        <f>IFERROR(__xludf.DUMMYFUNCTION("""COMPUTED_VALUE"""),"")</f>
        <v/>
      </c>
      <c r="U253" s="16" t="s">
        <v>87</v>
      </c>
      <c r="V253" s="16" t="str">
        <f>IFERROR(__xludf.DUMMYFUNCTION("""COMPUTED_VALUE"""),"")</f>
        <v/>
      </c>
      <c r="W253" s="16" t="str">
        <f>IFERROR(__xludf.DUMMYFUNCTION("""COMPUTED_VALUE"""),"")</f>
        <v/>
      </c>
      <c r="X253" s="16" t="str">
        <f>IFERROR(__xludf.DUMMYFUNCTION("""COMPUTED_VALUE"""),"")</f>
        <v/>
      </c>
      <c r="AC253" s="16" t="str">
        <f>IFERROR(__xludf.DUMMYFUNCTION("""COMPUTED_VALUE"""),"")</f>
        <v/>
      </c>
    </row>
    <row r="254">
      <c r="A254" s="16" t="s">
        <v>87</v>
      </c>
      <c r="E254" s="16" t="str">
        <f>IFERROR(__xludf.DUMMYFUNCTION("""COMPUTED_VALUE"""),"")</f>
        <v/>
      </c>
      <c r="G254" s="18"/>
      <c r="H254" s="16" t="s">
        <v>87</v>
      </c>
      <c r="I254" s="16" t="s">
        <v>87</v>
      </c>
      <c r="J254" s="19"/>
      <c r="L254" s="16" t="str">
        <f>IFERROR(__xludf.DUMMYFUNCTION("""COMPUTED_VALUE"""),"")</f>
        <v/>
      </c>
      <c r="M254" s="16" t="str">
        <f>IFERROR(__xludf.DUMMYFUNCTION("""COMPUTED_VALUE"""),"")</f>
        <v/>
      </c>
      <c r="U254" s="16" t="s">
        <v>87</v>
      </c>
      <c r="V254" s="16" t="str">
        <f>IFERROR(__xludf.DUMMYFUNCTION("""COMPUTED_VALUE"""),"")</f>
        <v/>
      </c>
      <c r="W254" s="16" t="str">
        <f>IFERROR(__xludf.DUMMYFUNCTION("""COMPUTED_VALUE"""),"")</f>
        <v/>
      </c>
      <c r="X254" s="16" t="str">
        <f>IFERROR(__xludf.DUMMYFUNCTION("""COMPUTED_VALUE"""),"")</f>
        <v/>
      </c>
      <c r="AC254" s="16" t="str">
        <f>IFERROR(__xludf.DUMMYFUNCTION("""COMPUTED_VALUE"""),"")</f>
        <v/>
      </c>
    </row>
    <row r="255">
      <c r="A255" s="16" t="s">
        <v>87</v>
      </c>
      <c r="E255" s="16" t="str">
        <f>IFERROR(__xludf.DUMMYFUNCTION("""COMPUTED_VALUE"""),"")</f>
        <v/>
      </c>
      <c r="G255" s="18"/>
      <c r="H255" s="16" t="s">
        <v>87</v>
      </c>
      <c r="I255" s="16" t="s">
        <v>87</v>
      </c>
      <c r="J255" s="19"/>
      <c r="L255" s="16" t="str">
        <f>IFERROR(__xludf.DUMMYFUNCTION("""COMPUTED_VALUE"""),"")</f>
        <v/>
      </c>
      <c r="M255" s="16" t="str">
        <f>IFERROR(__xludf.DUMMYFUNCTION("""COMPUTED_VALUE"""),"")</f>
        <v/>
      </c>
      <c r="U255" s="16" t="s">
        <v>87</v>
      </c>
      <c r="V255" s="16" t="str">
        <f>IFERROR(__xludf.DUMMYFUNCTION("""COMPUTED_VALUE"""),"")</f>
        <v/>
      </c>
      <c r="W255" s="16" t="str">
        <f>IFERROR(__xludf.DUMMYFUNCTION("""COMPUTED_VALUE"""),"")</f>
        <v/>
      </c>
      <c r="X255" s="16" t="str">
        <f>IFERROR(__xludf.DUMMYFUNCTION("""COMPUTED_VALUE"""),"")</f>
        <v/>
      </c>
      <c r="AC255" s="16" t="str">
        <f>IFERROR(__xludf.DUMMYFUNCTION("""COMPUTED_VALUE"""),"")</f>
        <v/>
      </c>
    </row>
    <row r="256">
      <c r="A256" s="16" t="s">
        <v>87</v>
      </c>
      <c r="E256" s="16" t="str">
        <f>IFERROR(__xludf.DUMMYFUNCTION("""COMPUTED_VALUE"""),"")</f>
        <v/>
      </c>
      <c r="G256" s="18"/>
      <c r="H256" s="16" t="s">
        <v>87</v>
      </c>
      <c r="I256" s="16" t="s">
        <v>87</v>
      </c>
      <c r="J256" s="19"/>
      <c r="L256" s="16" t="str">
        <f>IFERROR(__xludf.DUMMYFUNCTION("""COMPUTED_VALUE"""),"")</f>
        <v/>
      </c>
      <c r="M256" s="16" t="str">
        <f>IFERROR(__xludf.DUMMYFUNCTION("""COMPUTED_VALUE"""),"")</f>
        <v/>
      </c>
      <c r="U256" s="16" t="s">
        <v>87</v>
      </c>
      <c r="V256" s="16" t="str">
        <f>IFERROR(__xludf.DUMMYFUNCTION("""COMPUTED_VALUE"""),"")</f>
        <v/>
      </c>
      <c r="W256" s="16" t="str">
        <f>IFERROR(__xludf.DUMMYFUNCTION("""COMPUTED_VALUE"""),"")</f>
        <v/>
      </c>
      <c r="X256" s="16" t="str">
        <f>IFERROR(__xludf.DUMMYFUNCTION("""COMPUTED_VALUE"""),"")</f>
        <v/>
      </c>
      <c r="AC256" s="16" t="str">
        <f>IFERROR(__xludf.DUMMYFUNCTION("""COMPUTED_VALUE"""),"")</f>
        <v/>
      </c>
    </row>
    <row r="257">
      <c r="A257" s="16" t="s">
        <v>87</v>
      </c>
      <c r="E257" s="16" t="str">
        <f>IFERROR(__xludf.DUMMYFUNCTION("""COMPUTED_VALUE"""),"")</f>
        <v/>
      </c>
      <c r="G257" s="18"/>
      <c r="H257" s="16" t="s">
        <v>87</v>
      </c>
      <c r="I257" s="16" t="s">
        <v>87</v>
      </c>
      <c r="J257" s="19"/>
      <c r="L257" s="16" t="str">
        <f>IFERROR(__xludf.DUMMYFUNCTION("""COMPUTED_VALUE"""),"")</f>
        <v/>
      </c>
      <c r="M257" s="16" t="str">
        <f>IFERROR(__xludf.DUMMYFUNCTION("""COMPUTED_VALUE"""),"")</f>
        <v/>
      </c>
      <c r="U257" s="16" t="s">
        <v>87</v>
      </c>
      <c r="V257" s="16" t="str">
        <f>IFERROR(__xludf.DUMMYFUNCTION("""COMPUTED_VALUE"""),"")</f>
        <v/>
      </c>
      <c r="W257" s="16" t="str">
        <f>IFERROR(__xludf.DUMMYFUNCTION("""COMPUTED_VALUE"""),"")</f>
        <v/>
      </c>
      <c r="X257" s="16" t="str">
        <f>IFERROR(__xludf.DUMMYFUNCTION("""COMPUTED_VALUE"""),"")</f>
        <v/>
      </c>
      <c r="AC257" s="16" t="str">
        <f>IFERROR(__xludf.DUMMYFUNCTION("""COMPUTED_VALUE"""),"")</f>
        <v/>
      </c>
    </row>
    <row r="258">
      <c r="A258" s="16" t="s">
        <v>87</v>
      </c>
      <c r="E258" s="16" t="str">
        <f>IFERROR(__xludf.DUMMYFUNCTION("""COMPUTED_VALUE"""),"")</f>
        <v/>
      </c>
      <c r="G258" s="18"/>
      <c r="H258" s="16" t="s">
        <v>87</v>
      </c>
      <c r="I258" s="16" t="s">
        <v>87</v>
      </c>
      <c r="J258" s="19"/>
      <c r="L258" s="16" t="str">
        <f>IFERROR(__xludf.DUMMYFUNCTION("""COMPUTED_VALUE"""),"")</f>
        <v/>
      </c>
      <c r="M258" s="16" t="str">
        <f>IFERROR(__xludf.DUMMYFUNCTION("""COMPUTED_VALUE"""),"")</f>
        <v/>
      </c>
      <c r="U258" s="16" t="s">
        <v>87</v>
      </c>
      <c r="V258" s="16" t="str">
        <f>IFERROR(__xludf.DUMMYFUNCTION("""COMPUTED_VALUE"""),"")</f>
        <v/>
      </c>
      <c r="W258" s="16" t="str">
        <f>IFERROR(__xludf.DUMMYFUNCTION("""COMPUTED_VALUE"""),"")</f>
        <v/>
      </c>
      <c r="X258" s="16" t="str">
        <f>IFERROR(__xludf.DUMMYFUNCTION("""COMPUTED_VALUE"""),"")</f>
        <v/>
      </c>
      <c r="AC258" s="16" t="str">
        <f>IFERROR(__xludf.DUMMYFUNCTION("""COMPUTED_VALUE"""),"")</f>
        <v/>
      </c>
    </row>
    <row r="259">
      <c r="A259" s="16" t="s">
        <v>87</v>
      </c>
      <c r="E259" s="16" t="str">
        <f>IFERROR(__xludf.DUMMYFUNCTION("""COMPUTED_VALUE"""),"")</f>
        <v/>
      </c>
      <c r="G259" s="18"/>
      <c r="H259" s="16" t="s">
        <v>87</v>
      </c>
      <c r="I259" s="16" t="s">
        <v>87</v>
      </c>
      <c r="J259" s="19"/>
      <c r="L259" s="16" t="str">
        <f>IFERROR(__xludf.DUMMYFUNCTION("""COMPUTED_VALUE"""),"")</f>
        <v/>
      </c>
      <c r="M259" s="16" t="str">
        <f>IFERROR(__xludf.DUMMYFUNCTION("""COMPUTED_VALUE"""),"")</f>
        <v/>
      </c>
      <c r="U259" s="16" t="s">
        <v>87</v>
      </c>
      <c r="V259" s="16" t="str">
        <f>IFERROR(__xludf.DUMMYFUNCTION("""COMPUTED_VALUE"""),"")</f>
        <v/>
      </c>
      <c r="W259" s="16" t="str">
        <f>IFERROR(__xludf.DUMMYFUNCTION("""COMPUTED_VALUE"""),"")</f>
        <v/>
      </c>
      <c r="X259" s="16" t="str">
        <f>IFERROR(__xludf.DUMMYFUNCTION("""COMPUTED_VALUE"""),"")</f>
        <v/>
      </c>
      <c r="AC259" s="16" t="str">
        <f>IFERROR(__xludf.DUMMYFUNCTION("""COMPUTED_VALUE"""),"")</f>
        <v/>
      </c>
    </row>
    <row r="260">
      <c r="A260" s="16" t="s">
        <v>87</v>
      </c>
      <c r="E260" s="16" t="str">
        <f>IFERROR(__xludf.DUMMYFUNCTION("""COMPUTED_VALUE"""),"")</f>
        <v/>
      </c>
      <c r="G260" s="18"/>
      <c r="H260" s="16" t="s">
        <v>87</v>
      </c>
      <c r="I260" s="16" t="s">
        <v>87</v>
      </c>
      <c r="J260" s="19"/>
      <c r="L260" s="16" t="str">
        <f>IFERROR(__xludf.DUMMYFUNCTION("""COMPUTED_VALUE"""),"")</f>
        <v/>
      </c>
      <c r="M260" s="16" t="str">
        <f>IFERROR(__xludf.DUMMYFUNCTION("""COMPUTED_VALUE"""),"")</f>
        <v/>
      </c>
      <c r="U260" s="16" t="s">
        <v>87</v>
      </c>
      <c r="V260" s="16" t="str">
        <f>IFERROR(__xludf.DUMMYFUNCTION("""COMPUTED_VALUE"""),"")</f>
        <v/>
      </c>
      <c r="W260" s="16" t="str">
        <f>IFERROR(__xludf.DUMMYFUNCTION("""COMPUTED_VALUE"""),"")</f>
        <v/>
      </c>
      <c r="X260" s="16" t="str">
        <f>IFERROR(__xludf.DUMMYFUNCTION("""COMPUTED_VALUE"""),"")</f>
        <v/>
      </c>
      <c r="AC260" s="16" t="str">
        <f>IFERROR(__xludf.DUMMYFUNCTION("""COMPUTED_VALUE"""),"")</f>
        <v/>
      </c>
    </row>
    <row r="261">
      <c r="A261" s="16" t="s">
        <v>87</v>
      </c>
      <c r="E261" s="16" t="str">
        <f>IFERROR(__xludf.DUMMYFUNCTION("""COMPUTED_VALUE"""),"")</f>
        <v/>
      </c>
      <c r="G261" s="18"/>
      <c r="H261" s="16" t="s">
        <v>87</v>
      </c>
      <c r="I261" s="16" t="s">
        <v>87</v>
      </c>
      <c r="J261" s="19"/>
      <c r="L261" s="16" t="str">
        <f>IFERROR(__xludf.DUMMYFUNCTION("""COMPUTED_VALUE"""),"")</f>
        <v/>
      </c>
      <c r="M261" s="16" t="str">
        <f>IFERROR(__xludf.DUMMYFUNCTION("""COMPUTED_VALUE"""),"")</f>
        <v/>
      </c>
      <c r="U261" s="16" t="s">
        <v>87</v>
      </c>
      <c r="V261" s="16" t="str">
        <f>IFERROR(__xludf.DUMMYFUNCTION("""COMPUTED_VALUE"""),"")</f>
        <v/>
      </c>
      <c r="W261" s="16" t="str">
        <f>IFERROR(__xludf.DUMMYFUNCTION("""COMPUTED_VALUE"""),"")</f>
        <v/>
      </c>
      <c r="X261" s="16" t="str">
        <f>IFERROR(__xludf.DUMMYFUNCTION("""COMPUTED_VALUE"""),"")</f>
        <v/>
      </c>
      <c r="AC261" s="16" t="str">
        <f>IFERROR(__xludf.DUMMYFUNCTION("""COMPUTED_VALUE"""),"")</f>
        <v/>
      </c>
    </row>
    <row r="262">
      <c r="A262" s="16" t="s">
        <v>87</v>
      </c>
      <c r="E262" s="16" t="str">
        <f>IFERROR(__xludf.DUMMYFUNCTION("""COMPUTED_VALUE"""),"")</f>
        <v/>
      </c>
      <c r="G262" s="18"/>
      <c r="H262" s="16" t="s">
        <v>87</v>
      </c>
      <c r="I262" s="16" t="s">
        <v>87</v>
      </c>
      <c r="J262" s="19"/>
      <c r="L262" s="16" t="str">
        <f>IFERROR(__xludf.DUMMYFUNCTION("""COMPUTED_VALUE"""),"")</f>
        <v/>
      </c>
      <c r="M262" s="16" t="str">
        <f>IFERROR(__xludf.DUMMYFUNCTION("""COMPUTED_VALUE"""),"")</f>
        <v/>
      </c>
      <c r="U262" s="16" t="s">
        <v>87</v>
      </c>
      <c r="V262" s="16" t="str">
        <f>IFERROR(__xludf.DUMMYFUNCTION("""COMPUTED_VALUE"""),"")</f>
        <v/>
      </c>
      <c r="W262" s="16" t="str">
        <f>IFERROR(__xludf.DUMMYFUNCTION("""COMPUTED_VALUE"""),"")</f>
        <v/>
      </c>
      <c r="X262" s="16" t="str">
        <f>IFERROR(__xludf.DUMMYFUNCTION("""COMPUTED_VALUE"""),"")</f>
        <v/>
      </c>
      <c r="AC262" s="16" t="str">
        <f>IFERROR(__xludf.DUMMYFUNCTION("""COMPUTED_VALUE"""),"")</f>
        <v/>
      </c>
    </row>
    <row r="263">
      <c r="A263" s="16" t="s">
        <v>87</v>
      </c>
      <c r="E263" s="16" t="str">
        <f>IFERROR(__xludf.DUMMYFUNCTION("""COMPUTED_VALUE"""),"")</f>
        <v/>
      </c>
      <c r="G263" s="18"/>
      <c r="H263" s="16" t="s">
        <v>87</v>
      </c>
      <c r="I263" s="16" t="s">
        <v>87</v>
      </c>
      <c r="J263" s="19"/>
      <c r="L263" s="16" t="str">
        <f>IFERROR(__xludf.DUMMYFUNCTION("""COMPUTED_VALUE"""),"")</f>
        <v/>
      </c>
      <c r="M263" s="16" t="str">
        <f>IFERROR(__xludf.DUMMYFUNCTION("""COMPUTED_VALUE"""),"")</f>
        <v/>
      </c>
      <c r="U263" s="16" t="s">
        <v>87</v>
      </c>
      <c r="V263" s="16" t="str">
        <f>IFERROR(__xludf.DUMMYFUNCTION("""COMPUTED_VALUE"""),"")</f>
        <v/>
      </c>
      <c r="W263" s="16" t="str">
        <f>IFERROR(__xludf.DUMMYFUNCTION("""COMPUTED_VALUE"""),"")</f>
        <v/>
      </c>
      <c r="X263" s="16" t="str">
        <f>IFERROR(__xludf.DUMMYFUNCTION("""COMPUTED_VALUE"""),"")</f>
        <v/>
      </c>
      <c r="AC263" s="16" t="str">
        <f>IFERROR(__xludf.DUMMYFUNCTION("""COMPUTED_VALUE"""),"")</f>
        <v/>
      </c>
    </row>
    <row r="264">
      <c r="A264" s="16" t="s">
        <v>87</v>
      </c>
      <c r="E264" s="16" t="str">
        <f>IFERROR(__xludf.DUMMYFUNCTION("""COMPUTED_VALUE"""),"")</f>
        <v/>
      </c>
      <c r="G264" s="18"/>
      <c r="H264" s="16" t="s">
        <v>87</v>
      </c>
      <c r="I264" s="16" t="s">
        <v>87</v>
      </c>
      <c r="J264" s="19"/>
      <c r="L264" s="16" t="str">
        <f>IFERROR(__xludf.DUMMYFUNCTION("""COMPUTED_VALUE"""),"")</f>
        <v/>
      </c>
      <c r="M264" s="16" t="str">
        <f>IFERROR(__xludf.DUMMYFUNCTION("""COMPUTED_VALUE"""),"")</f>
        <v/>
      </c>
      <c r="U264" s="16" t="s">
        <v>87</v>
      </c>
      <c r="V264" s="16" t="str">
        <f>IFERROR(__xludf.DUMMYFUNCTION("""COMPUTED_VALUE"""),"")</f>
        <v/>
      </c>
      <c r="W264" s="16" t="str">
        <f>IFERROR(__xludf.DUMMYFUNCTION("""COMPUTED_VALUE"""),"")</f>
        <v/>
      </c>
      <c r="X264" s="16" t="str">
        <f>IFERROR(__xludf.DUMMYFUNCTION("""COMPUTED_VALUE"""),"")</f>
        <v/>
      </c>
      <c r="AC264" s="16" t="str">
        <f>IFERROR(__xludf.DUMMYFUNCTION("""COMPUTED_VALUE"""),"")</f>
        <v/>
      </c>
    </row>
    <row r="265">
      <c r="A265" s="16" t="s">
        <v>87</v>
      </c>
      <c r="E265" s="16" t="str">
        <f>IFERROR(__xludf.DUMMYFUNCTION("""COMPUTED_VALUE"""),"")</f>
        <v/>
      </c>
      <c r="G265" s="18"/>
      <c r="H265" s="16" t="s">
        <v>87</v>
      </c>
      <c r="I265" s="16" t="s">
        <v>87</v>
      </c>
      <c r="J265" s="19"/>
      <c r="L265" s="16" t="str">
        <f>IFERROR(__xludf.DUMMYFUNCTION("""COMPUTED_VALUE"""),"")</f>
        <v/>
      </c>
      <c r="M265" s="16" t="str">
        <f>IFERROR(__xludf.DUMMYFUNCTION("""COMPUTED_VALUE"""),"")</f>
        <v/>
      </c>
      <c r="U265" s="16" t="s">
        <v>87</v>
      </c>
      <c r="V265" s="16" t="str">
        <f>IFERROR(__xludf.DUMMYFUNCTION("""COMPUTED_VALUE"""),"")</f>
        <v/>
      </c>
      <c r="W265" s="16" t="str">
        <f>IFERROR(__xludf.DUMMYFUNCTION("""COMPUTED_VALUE"""),"")</f>
        <v/>
      </c>
      <c r="X265" s="16" t="str">
        <f>IFERROR(__xludf.DUMMYFUNCTION("""COMPUTED_VALUE"""),"")</f>
        <v/>
      </c>
      <c r="AC265" s="16" t="str">
        <f>IFERROR(__xludf.DUMMYFUNCTION("""COMPUTED_VALUE"""),"")</f>
        <v/>
      </c>
    </row>
    <row r="266">
      <c r="A266" s="16" t="s">
        <v>87</v>
      </c>
      <c r="E266" s="16" t="str">
        <f>IFERROR(__xludf.DUMMYFUNCTION("""COMPUTED_VALUE"""),"")</f>
        <v/>
      </c>
      <c r="G266" s="18"/>
      <c r="H266" s="16" t="s">
        <v>87</v>
      </c>
      <c r="I266" s="16" t="s">
        <v>87</v>
      </c>
      <c r="J266" s="19"/>
      <c r="L266" s="16" t="str">
        <f>IFERROR(__xludf.DUMMYFUNCTION("""COMPUTED_VALUE"""),"")</f>
        <v/>
      </c>
      <c r="M266" s="16" t="str">
        <f>IFERROR(__xludf.DUMMYFUNCTION("""COMPUTED_VALUE"""),"")</f>
        <v/>
      </c>
      <c r="U266" s="16" t="s">
        <v>87</v>
      </c>
      <c r="V266" s="16" t="str">
        <f>IFERROR(__xludf.DUMMYFUNCTION("""COMPUTED_VALUE"""),"")</f>
        <v/>
      </c>
      <c r="W266" s="16" t="str">
        <f>IFERROR(__xludf.DUMMYFUNCTION("""COMPUTED_VALUE"""),"")</f>
        <v/>
      </c>
      <c r="X266" s="16" t="str">
        <f>IFERROR(__xludf.DUMMYFUNCTION("""COMPUTED_VALUE"""),"")</f>
        <v/>
      </c>
      <c r="AC266" s="16" t="str">
        <f>IFERROR(__xludf.DUMMYFUNCTION("""COMPUTED_VALUE"""),"")</f>
        <v/>
      </c>
    </row>
    <row r="267">
      <c r="A267" s="16" t="s">
        <v>87</v>
      </c>
      <c r="E267" s="16" t="str">
        <f>IFERROR(__xludf.DUMMYFUNCTION("""COMPUTED_VALUE"""),"")</f>
        <v/>
      </c>
      <c r="G267" s="18"/>
      <c r="H267" s="16" t="s">
        <v>87</v>
      </c>
      <c r="I267" s="16" t="s">
        <v>87</v>
      </c>
      <c r="J267" s="19"/>
      <c r="L267" s="16" t="str">
        <f>IFERROR(__xludf.DUMMYFUNCTION("""COMPUTED_VALUE"""),"")</f>
        <v/>
      </c>
      <c r="M267" s="16" t="str">
        <f>IFERROR(__xludf.DUMMYFUNCTION("""COMPUTED_VALUE"""),"")</f>
        <v/>
      </c>
      <c r="U267" s="16" t="s">
        <v>87</v>
      </c>
      <c r="V267" s="16" t="str">
        <f>IFERROR(__xludf.DUMMYFUNCTION("""COMPUTED_VALUE"""),"")</f>
        <v/>
      </c>
      <c r="W267" s="16" t="str">
        <f>IFERROR(__xludf.DUMMYFUNCTION("""COMPUTED_VALUE"""),"")</f>
        <v/>
      </c>
      <c r="X267" s="16" t="str">
        <f>IFERROR(__xludf.DUMMYFUNCTION("""COMPUTED_VALUE"""),"")</f>
        <v/>
      </c>
      <c r="AC267" s="16" t="str">
        <f>IFERROR(__xludf.DUMMYFUNCTION("""COMPUTED_VALUE"""),"")</f>
        <v/>
      </c>
    </row>
    <row r="268">
      <c r="A268" s="16" t="s">
        <v>87</v>
      </c>
      <c r="E268" s="16" t="str">
        <f>IFERROR(__xludf.DUMMYFUNCTION("""COMPUTED_VALUE"""),"")</f>
        <v/>
      </c>
      <c r="G268" s="18"/>
      <c r="H268" s="16" t="s">
        <v>87</v>
      </c>
      <c r="I268" s="16" t="s">
        <v>87</v>
      </c>
      <c r="J268" s="19"/>
      <c r="L268" s="16" t="str">
        <f>IFERROR(__xludf.DUMMYFUNCTION("""COMPUTED_VALUE"""),"")</f>
        <v/>
      </c>
      <c r="M268" s="16" t="str">
        <f>IFERROR(__xludf.DUMMYFUNCTION("""COMPUTED_VALUE"""),"")</f>
        <v/>
      </c>
      <c r="U268" s="16" t="s">
        <v>87</v>
      </c>
      <c r="V268" s="16" t="str">
        <f>IFERROR(__xludf.DUMMYFUNCTION("""COMPUTED_VALUE"""),"")</f>
        <v/>
      </c>
      <c r="W268" s="16" t="str">
        <f>IFERROR(__xludf.DUMMYFUNCTION("""COMPUTED_VALUE"""),"")</f>
        <v/>
      </c>
      <c r="X268" s="16" t="str">
        <f>IFERROR(__xludf.DUMMYFUNCTION("""COMPUTED_VALUE"""),"")</f>
        <v/>
      </c>
      <c r="AC268" s="16" t="str">
        <f>IFERROR(__xludf.DUMMYFUNCTION("""COMPUTED_VALUE"""),"")</f>
        <v/>
      </c>
    </row>
    <row r="269">
      <c r="A269" s="16" t="s">
        <v>87</v>
      </c>
      <c r="E269" s="16" t="str">
        <f>IFERROR(__xludf.DUMMYFUNCTION("""COMPUTED_VALUE"""),"")</f>
        <v/>
      </c>
      <c r="G269" s="18"/>
      <c r="H269" s="16" t="s">
        <v>87</v>
      </c>
      <c r="I269" s="16" t="s">
        <v>87</v>
      </c>
      <c r="J269" s="19"/>
      <c r="L269" s="16" t="str">
        <f>IFERROR(__xludf.DUMMYFUNCTION("""COMPUTED_VALUE"""),"")</f>
        <v/>
      </c>
      <c r="M269" s="16" t="str">
        <f>IFERROR(__xludf.DUMMYFUNCTION("""COMPUTED_VALUE"""),"")</f>
        <v/>
      </c>
      <c r="U269" s="16" t="s">
        <v>87</v>
      </c>
      <c r="V269" s="16" t="str">
        <f>IFERROR(__xludf.DUMMYFUNCTION("""COMPUTED_VALUE"""),"")</f>
        <v/>
      </c>
      <c r="W269" s="16" t="str">
        <f>IFERROR(__xludf.DUMMYFUNCTION("""COMPUTED_VALUE"""),"")</f>
        <v/>
      </c>
      <c r="X269" s="16" t="str">
        <f>IFERROR(__xludf.DUMMYFUNCTION("""COMPUTED_VALUE"""),"")</f>
        <v/>
      </c>
      <c r="AC269" s="16" t="str">
        <f>IFERROR(__xludf.DUMMYFUNCTION("""COMPUTED_VALUE"""),"")</f>
        <v/>
      </c>
    </row>
    <row r="270">
      <c r="A270" s="16" t="s">
        <v>87</v>
      </c>
      <c r="E270" s="16" t="str">
        <f>IFERROR(__xludf.DUMMYFUNCTION("""COMPUTED_VALUE"""),"")</f>
        <v/>
      </c>
      <c r="G270" s="18"/>
      <c r="H270" s="16" t="s">
        <v>87</v>
      </c>
      <c r="I270" s="16" t="s">
        <v>87</v>
      </c>
      <c r="J270" s="19"/>
      <c r="L270" s="16" t="str">
        <f>IFERROR(__xludf.DUMMYFUNCTION("""COMPUTED_VALUE"""),"")</f>
        <v/>
      </c>
      <c r="M270" s="16" t="str">
        <f>IFERROR(__xludf.DUMMYFUNCTION("""COMPUTED_VALUE"""),"")</f>
        <v/>
      </c>
      <c r="U270" s="16" t="s">
        <v>87</v>
      </c>
      <c r="V270" s="16" t="str">
        <f>IFERROR(__xludf.DUMMYFUNCTION("""COMPUTED_VALUE"""),"")</f>
        <v/>
      </c>
      <c r="W270" s="16" t="str">
        <f>IFERROR(__xludf.DUMMYFUNCTION("""COMPUTED_VALUE"""),"")</f>
        <v/>
      </c>
      <c r="X270" s="16" t="str">
        <f>IFERROR(__xludf.DUMMYFUNCTION("""COMPUTED_VALUE"""),"")</f>
        <v/>
      </c>
      <c r="AC270" s="16" t="str">
        <f>IFERROR(__xludf.DUMMYFUNCTION("""COMPUTED_VALUE"""),"")</f>
        <v/>
      </c>
    </row>
    <row r="271">
      <c r="A271" s="16" t="s">
        <v>87</v>
      </c>
      <c r="E271" s="16" t="str">
        <f>IFERROR(__xludf.DUMMYFUNCTION("""COMPUTED_VALUE"""),"")</f>
        <v/>
      </c>
      <c r="G271" s="18"/>
      <c r="H271" s="16" t="s">
        <v>87</v>
      </c>
      <c r="I271" s="16" t="s">
        <v>87</v>
      </c>
      <c r="J271" s="19"/>
      <c r="L271" s="16" t="str">
        <f>IFERROR(__xludf.DUMMYFUNCTION("""COMPUTED_VALUE"""),"")</f>
        <v/>
      </c>
      <c r="M271" s="16" t="str">
        <f>IFERROR(__xludf.DUMMYFUNCTION("""COMPUTED_VALUE"""),"")</f>
        <v/>
      </c>
      <c r="U271" s="16" t="s">
        <v>87</v>
      </c>
      <c r="V271" s="16" t="str">
        <f>IFERROR(__xludf.DUMMYFUNCTION("""COMPUTED_VALUE"""),"")</f>
        <v/>
      </c>
      <c r="W271" s="16" t="str">
        <f>IFERROR(__xludf.DUMMYFUNCTION("""COMPUTED_VALUE"""),"")</f>
        <v/>
      </c>
      <c r="X271" s="16" t="str">
        <f>IFERROR(__xludf.DUMMYFUNCTION("""COMPUTED_VALUE"""),"")</f>
        <v/>
      </c>
      <c r="AC271" s="16" t="str">
        <f>IFERROR(__xludf.DUMMYFUNCTION("""COMPUTED_VALUE"""),"")</f>
        <v/>
      </c>
    </row>
    <row r="272">
      <c r="A272" s="16" t="s">
        <v>87</v>
      </c>
      <c r="E272" s="16" t="str">
        <f>IFERROR(__xludf.DUMMYFUNCTION("""COMPUTED_VALUE"""),"")</f>
        <v/>
      </c>
      <c r="G272" s="18"/>
      <c r="H272" s="16" t="s">
        <v>87</v>
      </c>
      <c r="I272" s="16" t="s">
        <v>87</v>
      </c>
      <c r="J272" s="19"/>
      <c r="L272" s="16" t="str">
        <f>IFERROR(__xludf.DUMMYFUNCTION("""COMPUTED_VALUE"""),"")</f>
        <v/>
      </c>
      <c r="M272" s="16" t="str">
        <f>IFERROR(__xludf.DUMMYFUNCTION("""COMPUTED_VALUE"""),"")</f>
        <v/>
      </c>
      <c r="U272" s="16" t="s">
        <v>87</v>
      </c>
      <c r="V272" s="16" t="str">
        <f>IFERROR(__xludf.DUMMYFUNCTION("""COMPUTED_VALUE"""),"")</f>
        <v/>
      </c>
      <c r="W272" s="16" t="str">
        <f>IFERROR(__xludf.DUMMYFUNCTION("""COMPUTED_VALUE"""),"")</f>
        <v/>
      </c>
      <c r="X272" s="16" t="str">
        <f>IFERROR(__xludf.DUMMYFUNCTION("""COMPUTED_VALUE"""),"")</f>
        <v/>
      </c>
      <c r="AC272" s="16" t="str">
        <f>IFERROR(__xludf.DUMMYFUNCTION("""COMPUTED_VALUE"""),"")</f>
        <v/>
      </c>
    </row>
    <row r="273">
      <c r="A273" s="16" t="s">
        <v>87</v>
      </c>
      <c r="E273" s="16" t="str">
        <f>IFERROR(__xludf.DUMMYFUNCTION("""COMPUTED_VALUE"""),"")</f>
        <v/>
      </c>
      <c r="G273" s="18"/>
      <c r="H273" s="16" t="s">
        <v>87</v>
      </c>
      <c r="I273" s="16" t="s">
        <v>87</v>
      </c>
      <c r="J273" s="19"/>
      <c r="L273" s="16" t="str">
        <f>IFERROR(__xludf.DUMMYFUNCTION("""COMPUTED_VALUE"""),"")</f>
        <v/>
      </c>
      <c r="M273" s="16" t="str">
        <f>IFERROR(__xludf.DUMMYFUNCTION("""COMPUTED_VALUE"""),"")</f>
        <v/>
      </c>
      <c r="U273" s="16" t="s">
        <v>87</v>
      </c>
      <c r="V273" s="16" t="str">
        <f>IFERROR(__xludf.DUMMYFUNCTION("""COMPUTED_VALUE"""),"")</f>
        <v/>
      </c>
      <c r="W273" s="16" t="str">
        <f>IFERROR(__xludf.DUMMYFUNCTION("""COMPUTED_VALUE"""),"")</f>
        <v/>
      </c>
      <c r="X273" s="16" t="str">
        <f>IFERROR(__xludf.DUMMYFUNCTION("""COMPUTED_VALUE"""),"")</f>
        <v/>
      </c>
      <c r="AC273" s="16" t="str">
        <f>IFERROR(__xludf.DUMMYFUNCTION("""COMPUTED_VALUE"""),"")</f>
        <v/>
      </c>
    </row>
    <row r="274">
      <c r="A274" s="16" t="s">
        <v>87</v>
      </c>
      <c r="E274" s="16" t="str">
        <f>IFERROR(__xludf.DUMMYFUNCTION("""COMPUTED_VALUE"""),"")</f>
        <v/>
      </c>
      <c r="G274" s="18"/>
      <c r="H274" s="16" t="s">
        <v>87</v>
      </c>
      <c r="I274" s="16" t="s">
        <v>87</v>
      </c>
      <c r="J274" s="19"/>
      <c r="L274" s="16" t="str">
        <f>IFERROR(__xludf.DUMMYFUNCTION("""COMPUTED_VALUE"""),"")</f>
        <v/>
      </c>
      <c r="M274" s="16" t="str">
        <f>IFERROR(__xludf.DUMMYFUNCTION("""COMPUTED_VALUE"""),"")</f>
        <v/>
      </c>
      <c r="U274" s="16" t="s">
        <v>87</v>
      </c>
      <c r="V274" s="16" t="str">
        <f>IFERROR(__xludf.DUMMYFUNCTION("""COMPUTED_VALUE"""),"")</f>
        <v/>
      </c>
      <c r="W274" s="16" t="str">
        <f>IFERROR(__xludf.DUMMYFUNCTION("""COMPUTED_VALUE"""),"")</f>
        <v/>
      </c>
      <c r="X274" s="16" t="str">
        <f>IFERROR(__xludf.DUMMYFUNCTION("""COMPUTED_VALUE"""),"")</f>
        <v/>
      </c>
      <c r="AC274" s="16" t="str">
        <f>IFERROR(__xludf.DUMMYFUNCTION("""COMPUTED_VALUE"""),"")</f>
        <v/>
      </c>
    </row>
    <row r="275">
      <c r="A275" s="16" t="s">
        <v>87</v>
      </c>
      <c r="E275" s="16" t="str">
        <f>IFERROR(__xludf.DUMMYFUNCTION("""COMPUTED_VALUE"""),"")</f>
        <v/>
      </c>
      <c r="G275" s="18"/>
      <c r="H275" s="16" t="s">
        <v>87</v>
      </c>
      <c r="I275" s="16" t="s">
        <v>87</v>
      </c>
      <c r="J275" s="19"/>
      <c r="L275" s="16" t="str">
        <f>IFERROR(__xludf.DUMMYFUNCTION("""COMPUTED_VALUE"""),"")</f>
        <v/>
      </c>
      <c r="M275" s="16" t="str">
        <f>IFERROR(__xludf.DUMMYFUNCTION("""COMPUTED_VALUE"""),"")</f>
        <v/>
      </c>
      <c r="U275" s="16" t="s">
        <v>87</v>
      </c>
      <c r="V275" s="16" t="str">
        <f>IFERROR(__xludf.DUMMYFUNCTION("""COMPUTED_VALUE"""),"")</f>
        <v/>
      </c>
      <c r="W275" s="16" t="str">
        <f>IFERROR(__xludf.DUMMYFUNCTION("""COMPUTED_VALUE"""),"")</f>
        <v/>
      </c>
      <c r="X275" s="16" t="str">
        <f>IFERROR(__xludf.DUMMYFUNCTION("""COMPUTED_VALUE"""),"")</f>
        <v/>
      </c>
      <c r="AC275" s="16" t="str">
        <f>IFERROR(__xludf.DUMMYFUNCTION("""COMPUTED_VALUE"""),"")</f>
        <v/>
      </c>
    </row>
    <row r="276">
      <c r="A276" s="16" t="s">
        <v>87</v>
      </c>
      <c r="E276" s="16" t="str">
        <f>IFERROR(__xludf.DUMMYFUNCTION("""COMPUTED_VALUE"""),"")</f>
        <v/>
      </c>
      <c r="G276" s="18"/>
      <c r="H276" s="16" t="s">
        <v>87</v>
      </c>
      <c r="I276" s="16" t="s">
        <v>87</v>
      </c>
      <c r="J276" s="19"/>
      <c r="L276" s="16" t="str">
        <f>IFERROR(__xludf.DUMMYFUNCTION("""COMPUTED_VALUE"""),"")</f>
        <v/>
      </c>
      <c r="M276" s="16" t="str">
        <f>IFERROR(__xludf.DUMMYFUNCTION("""COMPUTED_VALUE"""),"")</f>
        <v/>
      </c>
      <c r="U276" s="16" t="s">
        <v>87</v>
      </c>
      <c r="V276" s="16" t="str">
        <f>IFERROR(__xludf.DUMMYFUNCTION("""COMPUTED_VALUE"""),"")</f>
        <v/>
      </c>
      <c r="W276" s="16" t="str">
        <f>IFERROR(__xludf.DUMMYFUNCTION("""COMPUTED_VALUE"""),"")</f>
        <v/>
      </c>
      <c r="X276" s="16" t="str">
        <f>IFERROR(__xludf.DUMMYFUNCTION("""COMPUTED_VALUE"""),"")</f>
        <v/>
      </c>
      <c r="AC276" s="16" t="str">
        <f>IFERROR(__xludf.DUMMYFUNCTION("""COMPUTED_VALUE"""),"")</f>
        <v/>
      </c>
    </row>
    <row r="277">
      <c r="A277" s="16" t="s">
        <v>87</v>
      </c>
      <c r="E277" s="16" t="str">
        <f>IFERROR(__xludf.DUMMYFUNCTION("""COMPUTED_VALUE"""),"")</f>
        <v/>
      </c>
      <c r="G277" s="18"/>
      <c r="H277" s="16" t="s">
        <v>87</v>
      </c>
      <c r="I277" s="16" t="s">
        <v>87</v>
      </c>
      <c r="J277" s="19"/>
      <c r="L277" s="16" t="str">
        <f>IFERROR(__xludf.DUMMYFUNCTION("""COMPUTED_VALUE"""),"")</f>
        <v/>
      </c>
      <c r="M277" s="16" t="str">
        <f>IFERROR(__xludf.DUMMYFUNCTION("""COMPUTED_VALUE"""),"")</f>
        <v/>
      </c>
      <c r="U277" s="16" t="s">
        <v>87</v>
      </c>
      <c r="V277" s="16" t="str">
        <f>IFERROR(__xludf.DUMMYFUNCTION("""COMPUTED_VALUE"""),"")</f>
        <v/>
      </c>
      <c r="W277" s="16" t="str">
        <f>IFERROR(__xludf.DUMMYFUNCTION("""COMPUTED_VALUE"""),"")</f>
        <v/>
      </c>
      <c r="X277" s="16" t="str">
        <f>IFERROR(__xludf.DUMMYFUNCTION("""COMPUTED_VALUE"""),"")</f>
        <v/>
      </c>
      <c r="AC277" s="16" t="str">
        <f>IFERROR(__xludf.DUMMYFUNCTION("""COMPUTED_VALUE"""),"")</f>
        <v/>
      </c>
    </row>
    <row r="278">
      <c r="A278" s="16" t="s">
        <v>87</v>
      </c>
      <c r="E278" s="16" t="str">
        <f>IFERROR(__xludf.DUMMYFUNCTION("""COMPUTED_VALUE"""),"")</f>
        <v/>
      </c>
      <c r="G278" s="18"/>
      <c r="H278" s="16" t="s">
        <v>87</v>
      </c>
      <c r="I278" s="16" t="s">
        <v>87</v>
      </c>
      <c r="J278" s="19"/>
      <c r="L278" s="16" t="str">
        <f>IFERROR(__xludf.DUMMYFUNCTION("""COMPUTED_VALUE"""),"")</f>
        <v/>
      </c>
      <c r="M278" s="16" t="str">
        <f>IFERROR(__xludf.DUMMYFUNCTION("""COMPUTED_VALUE"""),"")</f>
        <v/>
      </c>
      <c r="U278" s="16" t="s">
        <v>87</v>
      </c>
      <c r="V278" s="16" t="str">
        <f>IFERROR(__xludf.DUMMYFUNCTION("""COMPUTED_VALUE"""),"")</f>
        <v/>
      </c>
      <c r="W278" s="16" t="str">
        <f>IFERROR(__xludf.DUMMYFUNCTION("""COMPUTED_VALUE"""),"")</f>
        <v/>
      </c>
      <c r="X278" s="16" t="str">
        <f>IFERROR(__xludf.DUMMYFUNCTION("""COMPUTED_VALUE"""),"")</f>
        <v/>
      </c>
      <c r="AC278" s="16" t="str">
        <f>IFERROR(__xludf.DUMMYFUNCTION("""COMPUTED_VALUE"""),"")</f>
        <v/>
      </c>
    </row>
    <row r="279">
      <c r="A279" s="16" t="s">
        <v>87</v>
      </c>
      <c r="E279" s="16" t="str">
        <f>IFERROR(__xludf.DUMMYFUNCTION("""COMPUTED_VALUE"""),"")</f>
        <v/>
      </c>
      <c r="G279" s="18"/>
      <c r="H279" s="16" t="s">
        <v>87</v>
      </c>
      <c r="I279" s="16" t="s">
        <v>87</v>
      </c>
      <c r="J279" s="19"/>
      <c r="L279" s="16" t="str">
        <f>IFERROR(__xludf.DUMMYFUNCTION("""COMPUTED_VALUE"""),"")</f>
        <v/>
      </c>
      <c r="M279" s="16" t="str">
        <f>IFERROR(__xludf.DUMMYFUNCTION("""COMPUTED_VALUE"""),"")</f>
        <v/>
      </c>
      <c r="U279" s="16" t="s">
        <v>87</v>
      </c>
      <c r="V279" s="16" t="str">
        <f>IFERROR(__xludf.DUMMYFUNCTION("""COMPUTED_VALUE"""),"")</f>
        <v/>
      </c>
      <c r="W279" s="16" t="str">
        <f>IFERROR(__xludf.DUMMYFUNCTION("""COMPUTED_VALUE"""),"")</f>
        <v/>
      </c>
      <c r="X279" s="16" t="str">
        <f>IFERROR(__xludf.DUMMYFUNCTION("""COMPUTED_VALUE"""),"")</f>
        <v/>
      </c>
      <c r="AC279" s="16" t="str">
        <f>IFERROR(__xludf.DUMMYFUNCTION("""COMPUTED_VALUE"""),"")</f>
        <v/>
      </c>
    </row>
    <row r="280">
      <c r="A280" s="16" t="s">
        <v>87</v>
      </c>
      <c r="E280" s="16" t="str">
        <f>IFERROR(__xludf.DUMMYFUNCTION("""COMPUTED_VALUE"""),"")</f>
        <v/>
      </c>
      <c r="G280" s="18"/>
      <c r="H280" s="16" t="s">
        <v>87</v>
      </c>
      <c r="I280" s="16" t="s">
        <v>87</v>
      </c>
      <c r="J280" s="19"/>
      <c r="L280" s="16" t="str">
        <f>IFERROR(__xludf.DUMMYFUNCTION("""COMPUTED_VALUE"""),"")</f>
        <v/>
      </c>
      <c r="M280" s="16" t="str">
        <f>IFERROR(__xludf.DUMMYFUNCTION("""COMPUTED_VALUE"""),"")</f>
        <v/>
      </c>
      <c r="U280" s="16" t="s">
        <v>87</v>
      </c>
      <c r="V280" s="16" t="str">
        <f>IFERROR(__xludf.DUMMYFUNCTION("""COMPUTED_VALUE"""),"")</f>
        <v/>
      </c>
      <c r="W280" s="16" t="str">
        <f>IFERROR(__xludf.DUMMYFUNCTION("""COMPUTED_VALUE"""),"")</f>
        <v/>
      </c>
      <c r="X280" s="16" t="str">
        <f>IFERROR(__xludf.DUMMYFUNCTION("""COMPUTED_VALUE"""),"")</f>
        <v/>
      </c>
      <c r="AC280" s="16" t="str">
        <f>IFERROR(__xludf.DUMMYFUNCTION("""COMPUTED_VALUE"""),"")</f>
        <v/>
      </c>
    </row>
    <row r="281">
      <c r="A281" s="16" t="s">
        <v>87</v>
      </c>
      <c r="E281" s="16" t="str">
        <f>IFERROR(__xludf.DUMMYFUNCTION("""COMPUTED_VALUE"""),"")</f>
        <v/>
      </c>
      <c r="G281" s="18"/>
      <c r="H281" s="16" t="s">
        <v>87</v>
      </c>
      <c r="I281" s="16" t="s">
        <v>87</v>
      </c>
      <c r="J281" s="19"/>
      <c r="L281" s="16" t="str">
        <f>IFERROR(__xludf.DUMMYFUNCTION("""COMPUTED_VALUE"""),"")</f>
        <v/>
      </c>
      <c r="M281" s="16" t="str">
        <f>IFERROR(__xludf.DUMMYFUNCTION("""COMPUTED_VALUE"""),"")</f>
        <v/>
      </c>
      <c r="U281" s="16" t="s">
        <v>87</v>
      </c>
      <c r="V281" s="16" t="str">
        <f>IFERROR(__xludf.DUMMYFUNCTION("""COMPUTED_VALUE"""),"")</f>
        <v/>
      </c>
      <c r="W281" s="16" t="str">
        <f>IFERROR(__xludf.DUMMYFUNCTION("""COMPUTED_VALUE"""),"")</f>
        <v/>
      </c>
      <c r="X281" s="16" t="str">
        <f>IFERROR(__xludf.DUMMYFUNCTION("""COMPUTED_VALUE"""),"")</f>
        <v/>
      </c>
      <c r="AC281" s="16" t="str">
        <f>IFERROR(__xludf.DUMMYFUNCTION("""COMPUTED_VALUE"""),"")</f>
        <v/>
      </c>
    </row>
    <row r="282">
      <c r="A282" s="16" t="s">
        <v>87</v>
      </c>
      <c r="E282" s="16" t="str">
        <f>IFERROR(__xludf.DUMMYFUNCTION("""COMPUTED_VALUE"""),"")</f>
        <v/>
      </c>
      <c r="G282" s="18"/>
      <c r="H282" s="16" t="s">
        <v>87</v>
      </c>
      <c r="I282" s="16" t="s">
        <v>87</v>
      </c>
      <c r="J282" s="19"/>
      <c r="L282" s="16" t="str">
        <f>IFERROR(__xludf.DUMMYFUNCTION("""COMPUTED_VALUE"""),"")</f>
        <v/>
      </c>
      <c r="M282" s="16" t="str">
        <f>IFERROR(__xludf.DUMMYFUNCTION("""COMPUTED_VALUE"""),"")</f>
        <v/>
      </c>
      <c r="U282" s="16" t="s">
        <v>87</v>
      </c>
      <c r="V282" s="16" t="str">
        <f>IFERROR(__xludf.DUMMYFUNCTION("""COMPUTED_VALUE"""),"")</f>
        <v/>
      </c>
      <c r="W282" s="16" t="str">
        <f>IFERROR(__xludf.DUMMYFUNCTION("""COMPUTED_VALUE"""),"")</f>
        <v/>
      </c>
      <c r="X282" s="16" t="str">
        <f>IFERROR(__xludf.DUMMYFUNCTION("""COMPUTED_VALUE"""),"")</f>
        <v/>
      </c>
      <c r="AC282" s="16" t="str">
        <f>IFERROR(__xludf.DUMMYFUNCTION("""COMPUTED_VALUE"""),"")</f>
        <v/>
      </c>
    </row>
    <row r="283">
      <c r="A283" s="16" t="s">
        <v>87</v>
      </c>
      <c r="E283" s="16" t="str">
        <f>IFERROR(__xludf.DUMMYFUNCTION("""COMPUTED_VALUE"""),"")</f>
        <v/>
      </c>
      <c r="G283" s="18"/>
      <c r="H283" s="16" t="s">
        <v>87</v>
      </c>
      <c r="I283" s="16" t="s">
        <v>87</v>
      </c>
      <c r="J283" s="19"/>
      <c r="L283" s="16" t="str">
        <f>IFERROR(__xludf.DUMMYFUNCTION("""COMPUTED_VALUE"""),"")</f>
        <v/>
      </c>
      <c r="M283" s="16" t="str">
        <f>IFERROR(__xludf.DUMMYFUNCTION("""COMPUTED_VALUE"""),"")</f>
        <v/>
      </c>
      <c r="U283" s="16" t="s">
        <v>87</v>
      </c>
      <c r="V283" s="16" t="str">
        <f>IFERROR(__xludf.DUMMYFUNCTION("""COMPUTED_VALUE"""),"")</f>
        <v/>
      </c>
      <c r="W283" s="16" t="str">
        <f>IFERROR(__xludf.DUMMYFUNCTION("""COMPUTED_VALUE"""),"")</f>
        <v/>
      </c>
      <c r="X283" s="16" t="str">
        <f>IFERROR(__xludf.DUMMYFUNCTION("""COMPUTED_VALUE"""),"")</f>
        <v/>
      </c>
      <c r="AC283" s="16" t="str">
        <f>IFERROR(__xludf.DUMMYFUNCTION("""COMPUTED_VALUE"""),"")</f>
        <v/>
      </c>
    </row>
    <row r="284">
      <c r="A284" s="16" t="s">
        <v>87</v>
      </c>
      <c r="E284" s="16" t="str">
        <f>IFERROR(__xludf.DUMMYFUNCTION("""COMPUTED_VALUE"""),"")</f>
        <v/>
      </c>
      <c r="G284" s="18"/>
      <c r="H284" s="16" t="s">
        <v>87</v>
      </c>
      <c r="I284" s="16" t="s">
        <v>87</v>
      </c>
      <c r="J284" s="19"/>
      <c r="L284" s="16" t="str">
        <f>IFERROR(__xludf.DUMMYFUNCTION("""COMPUTED_VALUE"""),"")</f>
        <v/>
      </c>
      <c r="M284" s="16" t="str">
        <f>IFERROR(__xludf.DUMMYFUNCTION("""COMPUTED_VALUE"""),"")</f>
        <v/>
      </c>
      <c r="U284" s="16" t="s">
        <v>87</v>
      </c>
      <c r="V284" s="16" t="str">
        <f>IFERROR(__xludf.DUMMYFUNCTION("""COMPUTED_VALUE"""),"")</f>
        <v/>
      </c>
      <c r="W284" s="16" t="str">
        <f>IFERROR(__xludf.DUMMYFUNCTION("""COMPUTED_VALUE"""),"")</f>
        <v/>
      </c>
      <c r="X284" s="16" t="str">
        <f>IFERROR(__xludf.DUMMYFUNCTION("""COMPUTED_VALUE"""),"")</f>
        <v/>
      </c>
      <c r="AC284" s="16" t="str">
        <f>IFERROR(__xludf.DUMMYFUNCTION("""COMPUTED_VALUE"""),"")</f>
        <v/>
      </c>
    </row>
    <row r="285">
      <c r="A285" s="16" t="s">
        <v>87</v>
      </c>
      <c r="E285" s="16" t="str">
        <f>IFERROR(__xludf.DUMMYFUNCTION("""COMPUTED_VALUE"""),"")</f>
        <v/>
      </c>
      <c r="G285" s="18"/>
      <c r="H285" s="16" t="s">
        <v>87</v>
      </c>
      <c r="I285" s="16" t="s">
        <v>87</v>
      </c>
      <c r="J285" s="19"/>
      <c r="L285" s="16" t="str">
        <f>IFERROR(__xludf.DUMMYFUNCTION("""COMPUTED_VALUE"""),"")</f>
        <v/>
      </c>
      <c r="M285" s="16" t="str">
        <f>IFERROR(__xludf.DUMMYFUNCTION("""COMPUTED_VALUE"""),"")</f>
        <v/>
      </c>
      <c r="U285" s="16" t="s">
        <v>87</v>
      </c>
      <c r="V285" s="16" t="str">
        <f>IFERROR(__xludf.DUMMYFUNCTION("""COMPUTED_VALUE"""),"")</f>
        <v/>
      </c>
      <c r="W285" s="16" t="str">
        <f>IFERROR(__xludf.DUMMYFUNCTION("""COMPUTED_VALUE"""),"")</f>
        <v/>
      </c>
      <c r="X285" s="16" t="str">
        <f>IFERROR(__xludf.DUMMYFUNCTION("""COMPUTED_VALUE"""),"")</f>
        <v/>
      </c>
      <c r="AC285" s="16" t="str">
        <f>IFERROR(__xludf.DUMMYFUNCTION("""COMPUTED_VALUE"""),"")</f>
        <v/>
      </c>
    </row>
    <row r="286">
      <c r="A286" s="16" t="s">
        <v>87</v>
      </c>
      <c r="E286" s="16" t="str">
        <f>IFERROR(__xludf.DUMMYFUNCTION("""COMPUTED_VALUE"""),"")</f>
        <v/>
      </c>
      <c r="G286" s="18"/>
      <c r="H286" s="16" t="s">
        <v>87</v>
      </c>
      <c r="I286" s="16" t="s">
        <v>87</v>
      </c>
      <c r="J286" s="19"/>
      <c r="L286" s="16" t="str">
        <f>IFERROR(__xludf.DUMMYFUNCTION("""COMPUTED_VALUE"""),"")</f>
        <v/>
      </c>
      <c r="M286" s="16" t="str">
        <f>IFERROR(__xludf.DUMMYFUNCTION("""COMPUTED_VALUE"""),"")</f>
        <v/>
      </c>
      <c r="U286" s="16" t="s">
        <v>87</v>
      </c>
      <c r="V286" s="16" t="str">
        <f>IFERROR(__xludf.DUMMYFUNCTION("""COMPUTED_VALUE"""),"")</f>
        <v/>
      </c>
      <c r="W286" s="16" t="str">
        <f>IFERROR(__xludf.DUMMYFUNCTION("""COMPUTED_VALUE"""),"")</f>
        <v/>
      </c>
      <c r="X286" s="16" t="str">
        <f>IFERROR(__xludf.DUMMYFUNCTION("""COMPUTED_VALUE"""),"")</f>
        <v/>
      </c>
      <c r="AC286" s="16" t="str">
        <f>IFERROR(__xludf.DUMMYFUNCTION("""COMPUTED_VALUE"""),"")</f>
        <v/>
      </c>
    </row>
    <row r="287">
      <c r="A287" s="16" t="s">
        <v>87</v>
      </c>
      <c r="E287" s="16" t="str">
        <f>IFERROR(__xludf.DUMMYFUNCTION("""COMPUTED_VALUE"""),"")</f>
        <v/>
      </c>
      <c r="G287" s="18"/>
      <c r="H287" s="16" t="s">
        <v>87</v>
      </c>
      <c r="I287" s="16" t="s">
        <v>87</v>
      </c>
      <c r="J287" s="19"/>
      <c r="L287" s="16" t="str">
        <f>IFERROR(__xludf.DUMMYFUNCTION("""COMPUTED_VALUE"""),"")</f>
        <v/>
      </c>
      <c r="M287" s="16" t="str">
        <f>IFERROR(__xludf.DUMMYFUNCTION("""COMPUTED_VALUE"""),"")</f>
        <v/>
      </c>
      <c r="U287" s="16" t="s">
        <v>87</v>
      </c>
      <c r="V287" s="16" t="str">
        <f>IFERROR(__xludf.DUMMYFUNCTION("""COMPUTED_VALUE"""),"")</f>
        <v/>
      </c>
      <c r="W287" s="16" t="str">
        <f>IFERROR(__xludf.DUMMYFUNCTION("""COMPUTED_VALUE"""),"")</f>
        <v/>
      </c>
      <c r="X287" s="16" t="str">
        <f>IFERROR(__xludf.DUMMYFUNCTION("""COMPUTED_VALUE"""),"")</f>
        <v/>
      </c>
      <c r="AC287" s="16" t="str">
        <f>IFERROR(__xludf.DUMMYFUNCTION("""COMPUTED_VALUE"""),"")</f>
        <v/>
      </c>
    </row>
    <row r="288">
      <c r="A288" s="16" t="s">
        <v>87</v>
      </c>
      <c r="E288" s="16" t="str">
        <f>IFERROR(__xludf.DUMMYFUNCTION("""COMPUTED_VALUE"""),"")</f>
        <v/>
      </c>
      <c r="G288" s="18"/>
      <c r="H288" s="16" t="s">
        <v>87</v>
      </c>
      <c r="I288" s="16" t="s">
        <v>87</v>
      </c>
      <c r="J288" s="19"/>
      <c r="L288" s="16" t="str">
        <f>IFERROR(__xludf.DUMMYFUNCTION("""COMPUTED_VALUE"""),"")</f>
        <v/>
      </c>
      <c r="M288" s="16" t="str">
        <f>IFERROR(__xludf.DUMMYFUNCTION("""COMPUTED_VALUE"""),"")</f>
        <v/>
      </c>
      <c r="U288" s="16" t="s">
        <v>87</v>
      </c>
      <c r="V288" s="16" t="str">
        <f>IFERROR(__xludf.DUMMYFUNCTION("""COMPUTED_VALUE"""),"")</f>
        <v/>
      </c>
      <c r="W288" s="16" t="str">
        <f>IFERROR(__xludf.DUMMYFUNCTION("""COMPUTED_VALUE"""),"")</f>
        <v/>
      </c>
      <c r="X288" s="16" t="str">
        <f>IFERROR(__xludf.DUMMYFUNCTION("""COMPUTED_VALUE"""),"")</f>
        <v/>
      </c>
      <c r="AC288" s="16" t="str">
        <f>IFERROR(__xludf.DUMMYFUNCTION("""COMPUTED_VALUE"""),"")</f>
        <v/>
      </c>
    </row>
    <row r="289">
      <c r="A289" s="16" t="s">
        <v>87</v>
      </c>
      <c r="E289" s="16" t="str">
        <f>IFERROR(__xludf.DUMMYFUNCTION("""COMPUTED_VALUE"""),"")</f>
        <v/>
      </c>
      <c r="G289" s="18"/>
      <c r="H289" s="16" t="s">
        <v>87</v>
      </c>
      <c r="I289" s="16" t="s">
        <v>87</v>
      </c>
      <c r="J289" s="19"/>
      <c r="L289" s="16" t="str">
        <f>IFERROR(__xludf.DUMMYFUNCTION("""COMPUTED_VALUE"""),"")</f>
        <v/>
      </c>
      <c r="M289" s="16" t="str">
        <f>IFERROR(__xludf.DUMMYFUNCTION("""COMPUTED_VALUE"""),"")</f>
        <v/>
      </c>
      <c r="U289" s="16" t="s">
        <v>87</v>
      </c>
      <c r="V289" s="16" t="str">
        <f>IFERROR(__xludf.DUMMYFUNCTION("""COMPUTED_VALUE"""),"")</f>
        <v/>
      </c>
      <c r="W289" s="16" t="str">
        <f>IFERROR(__xludf.DUMMYFUNCTION("""COMPUTED_VALUE"""),"")</f>
        <v/>
      </c>
      <c r="X289" s="16" t="str">
        <f>IFERROR(__xludf.DUMMYFUNCTION("""COMPUTED_VALUE"""),"")</f>
        <v/>
      </c>
      <c r="AC289" s="16" t="str">
        <f>IFERROR(__xludf.DUMMYFUNCTION("""COMPUTED_VALUE"""),"")</f>
        <v/>
      </c>
    </row>
    <row r="290">
      <c r="A290" s="16" t="s">
        <v>87</v>
      </c>
      <c r="E290" s="16" t="str">
        <f>IFERROR(__xludf.DUMMYFUNCTION("""COMPUTED_VALUE"""),"")</f>
        <v/>
      </c>
      <c r="G290" s="18"/>
      <c r="H290" s="16" t="s">
        <v>87</v>
      </c>
      <c r="I290" s="16" t="s">
        <v>87</v>
      </c>
      <c r="J290" s="19"/>
      <c r="L290" s="16" t="str">
        <f>IFERROR(__xludf.DUMMYFUNCTION("""COMPUTED_VALUE"""),"")</f>
        <v/>
      </c>
      <c r="M290" s="16" t="str">
        <f>IFERROR(__xludf.DUMMYFUNCTION("""COMPUTED_VALUE"""),"")</f>
        <v/>
      </c>
      <c r="U290" s="16" t="s">
        <v>87</v>
      </c>
      <c r="V290" s="16" t="str">
        <f>IFERROR(__xludf.DUMMYFUNCTION("""COMPUTED_VALUE"""),"")</f>
        <v/>
      </c>
      <c r="W290" s="16" t="str">
        <f>IFERROR(__xludf.DUMMYFUNCTION("""COMPUTED_VALUE"""),"")</f>
        <v/>
      </c>
      <c r="X290" s="16" t="str">
        <f>IFERROR(__xludf.DUMMYFUNCTION("""COMPUTED_VALUE"""),"")</f>
        <v/>
      </c>
      <c r="AC290" s="16" t="str">
        <f>IFERROR(__xludf.DUMMYFUNCTION("""COMPUTED_VALUE"""),"")</f>
        <v/>
      </c>
    </row>
    <row r="291">
      <c r="A291" s="16" t="s">
        <v>87</v>
      </c>
      <c r="E291" s="16" t="str">
        <f>IFERROR(__xludf.DUMMYFUNCTION("""COMPUTED_VALUE"""),"")</f>
        <v/>
      </c>
      <c r="G291" s="18"/>
      <c r="H291" s="16" t="s">
        <v>87</v>
      </c>
      <c r="I291" s="16" t="s">
        <v>87</v>
      </c>
      <c r="J291" s="19"/>
      <c r="L291" s="16" t="str">
        <f>IFERROR(__xludf.DUMMYFUNCTION("""COMPUTED_VALUE"""),"")</f>
        <v/>
      </c>
      <c r="M291" s="16" t="str">
        <f>IFERROR(__xludf.DUMMYFUNCTION("""COMPUTED_VALUE"""),"")</f>
        <v/>
      </c>
      <c r="U291" s="16" t="s">
        <v>87</v>
      </c>
      <c r="V291" s="16" t="str">
        <f>IFERROR(__xludf.DUMMYFUNCTION("""COMPUTED_VALUE"""),"")</f>
        <v/>
      </c>
      <c r="W291" s="16" t="str">
        <f>IFERROR(__xludf.DUMMYFUNCTION("""COMPUTED_VALUE"""),"")</f>
        <v/>
      </c>
      <c r="X291" s="16" t="str">
        <f>IFERROR(__xludf.DUMMYFUNCTION("""COMPUTED_VALUE"""),"")</f>
        <v/>
      </c>
      <c r="AC291" s="16" t="str">
        <f>IFERROR(__xludf.DUMMYFUNCTION("""COMPUTED_VALUE"""),"")</f>
        <v/>
      </c>
    </row>
    <row r="292">
      <c r="A292" s="16" t="s">
        <v>87</v>
      </c>
      <c r="E292" s="16" t="str">
        <f>IFERROR(__xludf.DUMMYFUNCTION("""COMPUTED_VALUE"""),"")</f>
        <v/>
      </c>
      <c r="G292" s="18"/>
      <c r="H292" s="16" t="s">
        <v>87</v>
      </c>
      <c r="I292" s="16" t="s">
        <v>87</v>
      </c>
      <c r="J292" s="19"/>
      <c r="L292" s="16" t="str">
        <f>IFERROR(__xludf.DUMMYFUNCTION("""COMPUTED_VALUE"""),"")</f>
        <v/>
      </c>
      <c r="M292" s="16" t="str">
        <f>IFERROR(__xludf.DUMMYFUNCTION("""COMPUTED_VALUE"""),"")</f>
        <v/>
      </c>
      <c r="U292" s="16" t="s">
        <v>87</v>
      </c>
      <c r="V292" s="16" t="str">
        <f>IFERROR(__xludf.DUMMYFUNCTION("""COMPUTED_VALUE"""),"")</f>
        <v/>
      </c>
      <c r="W292" s="16" t="str">
        <f>IFERROR(__xludf.DUMMYFUNCTION("""COMPUTED_VALUE"""),"")</f>
        <v/>
      </c>
      <c r="X292" s="16" t="str">
        <f>IFERROR(__xludf.DUMMYFUNCTION("""COMPUTED_VALUE"""),"")</f>
        <v/>
      </c>
      <c r="AC292" s="16" t="str">
        <f>IFERROR(__xludf.DUMMYFUNCTION("""COMPUTED_VALUE"""),"")</f>
        <v/>
      </c>
    </row>
    <row r="293">
      <c r="A293" s="16" t="s">
        <v>87</v>
      </c>
      <c r="E293" s="16" t="str">
        <f>IFERROR(__xludf.DUMMYFUNCTION("""COMPUTED_VALUE"""),"")</f>
        <v/>
      </c>
      <c r="G293" s="18"/>
      <c r="H293" s="16" t="s">
        <v>87</v>
      </c>
      <c r="I293" s="16" t="s">
        <v>87</v>
      </c>
      <c r="J293" s="19"/>
      <c r="L293" s="16" t="str">
        <f>IFERROR(__xludf.DUMMYFUNCTION("""COMPUTED_VALUE"""),"")</f>
        <v/>
      </c>
      <c r="M293" s="16" t="str">
        <f>IFERROR(__xludf.DUMMYFUNCTION("""COMPUTED_VALUE"""),"")</f>
        <v/>
      </c>
      <c r="U293" s="16" t="s">
        <v>87</v>
      </c>
      <c r="V293" s="16" t="str">
        <f>IFERROR(__xludf.DUMMYFUNCTION("""COMPUTED_VALUE"""),"")</f>
        <v/>
      </c>
      <c r="W293" s="16" t="str">
        <f>IFERROR(__xludf.DUMMYFUNCTION("""COMPUTED_VALUE"""),"")</f>
        <v/>
      </c>
      <c r="X293" s="16" t="str">
        <f>IFERROR(__xludf.DUMMYFUNCTION("""COMPUTED_VALUE"""),"")</f>
        <v/>
      </c>
      <c r="AC293" s="16" t="str">
        <f>IFERROR(__xludf.DUMMYFUNCTION("""COMPUTED_VALUE"""),"")</f>
        <v/>
      </c>
    </row>
    <row r="294">
      <c r="A294" s="16" t="s">
        <v>87</v>
      </c>
      <c r="E294" s="16" t="str">
        <f>IFERROR(__xludf.DUMMYFUNCTION("""COMPUTED_VALUE"""),"")</f>
        <v/>
      </c>
      <c r="G294" s="18"/>
      <c r="H294" s="16" t="s">
        <v>87</v>
      </c>
      <c r="I294" s="16" t="s">
        <v>87</v>
      </c>
      <c r="J294" s="19"/>
      <c r="L294" s="16" t="str">
        <f>IFERROR(__xludf.DUMMYFUNCTION("""COMPUTED_VALUE"""),"")</f>
        <v/>
      </c>
      <c r="M294" s="16" t="str">
        <f>IFERROR(__xludf.DUMMYFUNCTION("""COMPUTED_VALUE"""),"")</f>
        <v/>
      </c>
      <c r="U294" s="16" t="s">
        <v>87</v>
      </c>
      <c r="V294" s="16" t="str">
        <f>IFERROR(__xludf.DUMMYFUNCTION("""COMPUTED_VALUE"""),"")</f>
        <v/>
      </c>
      <c r="W294" s="16" t="str">
        <f>IFERROR(__xludf.DUMMYFUNCTION("""COMPUTED_VALUE"""),"")</f>
        <v/>
      </c>
      <c r="X294" s="16" t="str">
        <f>IFERROR(__xludf.DUMMYFUNCTION("""COMPUTED_VALUE"""),"")</f>
        <v/>
      </c>
      <c r="AC294" s="16" t="str">
        <f>IFERROR(__xludf.DUMMYFUNCTION("""COMPUTED_VALUE"""),"")</f>
        <v/>
      </c>
    </row>
    <row r="295">
      <c r="A295" s="16" t="s">
        <v>87</v>
      </c>
      <c r="E295" s="16" t="str">
        <f>IFERROR(__xludf.DUMMYFUNCTION("""COMPUTED_VALUE"""),"")</f>
        <v/>
      </c>
      <c r="G295" s="18"/>
      <c r="H295" s="16" t="s">
        <v>87</v>
      </c>
      <c r="I295" s="16" t="s">
        <v>87</v>
      </c>
      <c r="J295" s="19"/>
      <c r="L295" s="16" t="str">
        <f>IFERROR(__xludf.DUMMYFUNCTION("""COMPUTED_VALUE"""),"")</f>
        <v/>
      </c>
      <c r="M295" s="16" t="str">
        <f>IFERROR(__xludf.DUMMYFUNCTION("""COMPUTED_VALUE"""),"")</f>
        <v/>
      </c>
      <c r="U295" s="16" t="s">
        <v>87</v>
      </c>
      <c r="V295" s="16" t="str">
        <f>IFERROR(__xludf.DUMMYFUNCTION("""COMPUTED_VALUE"""),"")</f>
        <v/>
      </c>
      <c r="W295" s="16" t="str">
        <f>IFERROR(__xludf.DUMMYFUNCTION("""COMPUTED_VALUE"""),"")</f>
        <v/>
      </c>
      <c r="X295" s="16" t="str">
        <f>IFERROR(__xludf.DUMMYFUNCTION("""COMPUTED_VALUE"""),"")</f>
        <v/>
      </c>
      <c r="AC295" s="16" t="str">
        <f>IFERROR(__xludf.DUMMYFUNCTION("""COMPUTED_VALUE"""),"")</f>
        <v/>
      </c>
    </row>
    <row r="296">
      <c r="A296" s="16" t="s">
        <v>87</v>
      </c>
      <c r="E296" s="16" t="str">
        <f>IFERROR(__xludf.DUMMYFUNCTION("""COMPUTED_VALUE"""),"")</f>
        <v/>
      </c>
      <c r="G296" s="18"/>
      <c r="H296" s="16" t="s">
        <v>87</v>
      </c>
      <c r="I296" s="16" t="s">
        <v>87</v>
      </c>
      <c r="J296" s="19"/>
      <c r="L296" s="16" t="str">
        <f>IFERROR(__xludf.DUMMYFUNCTION("""COMPUTED_VALUE"""),"")</f>
        <v/>
      </c>
      <c r="M296" s="16" t="str">
        <f>IFERROR(__xludf.DUMMYFUNCTION("""COMPUTED_VALUE"""),"")</f>
        <v/>
      </c>
      <c r="U296" s="16" t="s">
        <v>87</v>
      </c>
      <c r="V296" s="16" t="str">
        <f>IFERROR(__xludf.DUMMYFUNCTION("""COMPUTED_VALUE"""),"")</f>
        <v/>
      </c>
      <c r="W296" s="16" t="str">
        <f>IFERROR(__xludf.DUMMYFUNCTION("""COMPUTED_VALUE"""),"")</f>
        <v/>
      </c>
      <c r="X296" s="16" t="str">
        <f>IFERROR(__xludf.DUMMYFUNCTION("""COMPUTED_VALUE"""),"")</f>
        <v/>
      </c>
      <c r="AC296" s="16" t="str">
        <f>IFERROR(__xludf.DUMMYFUNCTION("""COMPUTED_VALUE"""),"")</f>
        <v/>
      </c>
    </row>
    <row r="297">
      <c r="A297" s="16" t="s">
        <v>87</v>
      </c>
      <c r="E297" s="16" t="str">
        <f>IFERROR(__xludf.DUMMYFUNCTION("""COMPUTED_VALUE"""),"")</f>
        <v/>
      </c>
      <c r="G297" s="18"/>
      <c r="H297" s="16" t="s">
        <v>87</v>
      </c>
      <c r="I297" s="16" t="s">
        <v>87</v>
      </c>
      <c r="J297" s="19"/>
      <c r="L297" s="16" t="str">
        <f>IFERROR(__xludf.DUMMYFUNCTION("""COMPUTED_VALUE"""),"")</f>
        <v/>
      </c>
      <c r="M297" s="16" t="str">
        <f>IFERROR(__xludf.DUMMYFUNCTION("""COMPUTED_VALUE"""),"")</f>
        <v/>
      </c>
      <c r="U297" s="16" t="s">
        <v>87</v>
      </c>
      <c r="V297" s="16" t="str">
        <f>IFERROR(__xludf.DUMMYFUNCTION("""COMPUTED_VALUE"""),"")</f>
        <v/>
      </c>
      <c r="W297" s="16" t="str">
        <f>IFERROR(__xludf.DUMMYFUNCTION("""COMPUTED_VALUE"""),"")</f>
        <v/>
      </c>
      <c r="X297" s="16" t="str">
        <f>IFERROR(__xludf.DUMMYFUNCTION("""COMPUTED_VALUE"""),"")</f>
        <v/>
      </c>
      <c r="AC297" s="16" t="str">
        <f>IFERROR(__xludf.DUMMYFUNCTION("""COMPUTED_VALUE"""),"")</f>
        <v/>
      </c>
    </row>
    <row r="298">
      <c r="A298" s="16" t="s">
        <v>87</v>
      </c>
      <c r="E298" s="16" t="str">
        <f>IFERROR(__xludf.DUMMYFUNCTION("""COMPUTED_VALUE"""),"")</f>
        <v/>
      </c>
      <c r="G298" s="18"/>
      <c r="H298" s="16" t="s">
        <v>87</v>
      </c>
      <c r="I298" s="16" t="s">
        <v>87</v>
      </c>
      <c r="J298" s="19"/>
      <c r="L298" s="16" t="str">
        <f>IFERROR(__xludf.DUMMYFUNCTION("""COMPUTED_VALUE"""),"")</f>
        <v/>
      </c>
      <c r="M298" s="16" t="str">
        <f>IFERROR(__xludf.DUMMYFUNCTION("""COMPUTED_VALUE"""),"")</f>
        <v/>
      </c>
      <c r="U298" s="16" t="s">
        <v>87</v>
      </c>
      <c r="V298" s="16" t="str">
        <f>IFERROR(__xludf.DUMMYFUNCTION("""COMPUTED_VALUE"""),"")</f>
        <v/>
      </c>
      <c r="W298" s="16" t="str">
        <f>IFERROR(__xludf.DUMMYFUNCTION("""COMPUTED_VALUE"""),"")</f>
        <v/>
      </c>
      <c r="X298" s="16" t="str">
        <f>IFERROR(__xludf.DUMMYFUNCTION("""COMPUTED_VALUE"""),"")</f>
        <v/>
      </c>
      <c r="AC298" s="16" t="str">
        <f>IFERROR(__xludf.DUMMYFUNCTION("""COMPUTED_VALUE"""),"")</f>
        <v/>
      </c>
    </row>
    <row r="299">
      <c r="A299" s="16" t="s">
        <v>87</v>
      </c>
      <c r="E299" s="16" t="str">
        <f>IFERROR(__xludf.DUMMYFUNCTION("""COMPUTED_VALUE"""),"")</f>
        <v/>
      </c>
      <c r="G299" s="18"/>
      <c r="H299" s="16" t="s">
        <v>87</v>
      </c>
      <c r="I299" s="16" t="s">
        <v>87</v>
      </c>
      <c r="J299" s="19"/>
      <c r="L299" s="16" t="str">
        <f>IFERROR(__xludf.DUMMYFUNCTION("""COMPUTED_VALUE"""),"")</f>
        <v/>
      </c>
      <c r="M299" s="16" t="str">
        <f>IFERROR(__xludf.DUMMYFUNCTION("""COMPUTED_VALUE"""),"")</f>
        <v/>
      </c>
      <c r="U299" s="16" t="s">
        <v>87</v>
      </c>
      <c r="V299" s="16" t="str">
        <f>IFERROR(__xludf.DUMMYFUNCTION("""COMPUTED_VALUE"""),"")</f>
        <v/>
      </c>
      <c r="W299" s="16" t="str">
        <f>IFERROR(__xludf.DUMMYFUNCTION("""COMPUTED_VALUE"""),"")</f>
        <v/>
      </c>
      <c r="X299" s="16" t="str">
        <f>IFERROR(__xludf.DUMMYFUNCTION("""COMPUTED_VALUE"""),"")</f>
        <v/>
      </c>
      <c r="AC299" s="16" t="str">
        <f>IFERROR(__xludf.DUMMYFUNCTION("""COMPUTED_VALUE"""),"")</f>
        <v/>
      </c>
    </row>
    <row r="300">
      <c r="A300" s="16" t="s">
        <v>87</v>
      </c>
      <c r="E300" s="16" t="str">
        <f>IFERROR(__xludf.DUMMYFUNCTION("""COMPUTED_VALUE"""),"")</f>
        <v/>
      </c>
      <c r="G300" s="18"/>
      <c r="H300" s="16" t="s">
        <v>87</v>
      </c>
      <c r="I300" s="16" t="s">
        <v>87</v>
      </c>
      <c r="J300" s="19"/>
      <c r="L300" s="16" t="str">
        <f>IFERROR(__xludf.DUMMYFUNCTION("""COMPUTED_VALUE"""),"")</f>
        <v/>
      </c>
      <c r="M300" s="16" t="str">
        <f>IFERROR(__xludf.DUMMYFUNCTION("""COMPUTED_VALUE"""),"")</f>
        <v/>
      </c>
      <c r="U300" s="16" t="s">
        <v>87</v>
      </c>
      <c r="V300" s="16" t="str">
        <f>IFERROR(__xludf.DUMMYFUNCTION("""COMPUTED_VALUE"""),"")</f>
        <v/>
      </c>
      <c r="W300" s="16" t="str">
        <f>IFERROR(__xludf.DUMMYFUNCTION("""COMPUTED_VALUE"""),"")</f>
        <v/>
      </c>
      <c r="X300" s="16" t="str">
        <f>IFERROR(__xludf.DUMMYFUNCTION("""COMPUTED_VALUE"""),"")</f>
        <v/>
      </c>
      <c r="AC300" s="16" t="str">
        <f>IFERROR(__xludf.DUMMYFUNCTION("""COMPUTED_VALUE"""),"")</f>
        <v/>
      </c>
    </row>
    <row r="301">
      <c r="A301" s="16" t="s">
        <v>87</v>
      </c>
      <c r="E301" s="16" t="str">
        <f>IFERROR(__xludf.DUMMYFUNCTION("""COMPUTED_VALUE"""),"")</f>
        <v/>
      </c>
      <c r="G301" s="18"/>
      <c r="H301" s="16" t="s">
        <v>87</v>
      </c>
      <c r="I301" s="16" t="s">
        <v>87</v>
      </c>
      <c r="J301" s="19"/>
      <c r="L301" s="16" t="str">
        <f>IFERROR(__xludf.DUMMYFUNCTION("""COMPUTED_VALUE"""),"")</f>
        <v/>
      </c>
      <c r="M301" s="16" t="str">
        <f>IFERROR(__xludf.DUMMYFUNCTION("""COMPUTED_VALUE"""),"")</f>
        <v/>
      </c>
      <c r="U301" s="16" t="s">
        <v>87</v>
      </c>
      <c r="V301" s="16" t="str">
        <f>IFERROR(__xludf.DUMMYFUNCTION("""COMPUTED_VALUE"""),"")</f>
        <v/>
      </c>
      <c r="W301" s="16" t="str">
        <f>IFERROR(__xludf.DUMMYFUNCTION("""COMPUTED_VALUE"""),"")</f>
        <v/>
      </c>
      <c r="X301" s="16" t="str">
        <f>IFERROR(__xludf.DUMMYFUNCTION("""COMPUTED_VALUE"""),"")</f>
        <v/>
      </c>
      <c r="AC301" s="16" t="str">
        <f>IFERROR(__xludf.DUMMYFUNCTION("""COMPUTED_VALUE"""),"")</f>
        <v/>
      </c>
    </row>
    <row r="302">
      <c r="A302" s="16" t="s">
        <v>87</v>
      </c>
      <c r="E302" s="16" t="str">
        <f>IFERROR(__xludf.DUMMYFUNCTION("""COMPUTED_VALUE"""),"")</f>
        <v/>
      </c>
      <c r="G302" s="18"/>
      <c r="H302" s="16" t="s">
        <v>87</v>
      </c>
      <c r="I302" s="16" t="s">
        <v>87</v>
      </c>
      <c r="J302" s="19"/>
      <c r="L302" s="16" t="str">
        <f>IFERROR(__xludf.DUMMYFUNCTION("""COMPUTED_VALUE"""),"")</f>
        <v/>
      </c>
      <c r="M302" s="16" t="str">
        <f>IFERROR(__xludf.DUMMYFUNCTION("""COMPUTED_VALUE"""),"")</f>
        <v/>
      </c>
      <c r="U302" s="16" t="s">
        <v>87</v>
      </c>
      <c r="V302" s="16" t="str">
        <f>IFERROR(__xludf.DUMMYFUNCTION("""COMPUTED_VALUE"""),"")</f>
        <v/>
      </c>
      <c r="W302" s="16" t="str">
        <f>IFERROR(__xludf.DUMMYFUNCTION("""COMPUTED_VALUE"""),"")</f>
        <v/>
      </c>
      <c r="X302" s="16" t="str">
        <f>IFERROR(__xludf.DUMMYFUNCTION("""COMPUTED_VALUE"""),"")</f>
        <v/>
      </c>
      <c r="AC302" s="16" t="str">
        <f>IFERROR(__xludf.DUMMYFUNCTION("""COMPUTED_VALUE"""),"")</f>
        <v/>
      </c>
    </row>
    <row r="303">
      <c r="A303" s="16" t="s">
        <v>87</v>
      </c>
      <c r="E303" s="16" t="str">
        <f>IFERROR(__xludf.DUMMYFUNCTION("""COMPUTED_VALUE"""),"")</f>
        <v/>
      </c>
      <c r="G303" s="18"/>
      <c r="H303" s="16" t="s">
        <v>87</v>
      </c>
      <c r="I303" s="16" t="s">
        <v>87</v>
      </c>
      <c r="J303" s="19"/>
      <c r="L303" s="16" t="str">
        <f>IFERROR(__xludf.DUMMYFUNCTION("""COMPUTED_VALUE"""),"")</f>
        <v/>
      </c>
      <c r="M303" s="16" t="str">
        <f>IFERROR(__xludf.DUMMYFUNCTION("""COMPUTED_VALUE"""),"")</f>
        <v/>
      </c>
      <c r="U303" s="16" t="s">
        <v>87</v>
      </c>
      <c r="V303" s="16" t="str">
        <f>IFERROR(__xludf.DUMMYFUNCTION("""COMPUTED_VALUE"""),"")</f>
        <v/>
      </c>
      <c r="W303" s="16" t="str">
        <f>IFERROR(__xludf.DUMMYFUNCTION("""COMPUTED_VALUE"""),"")</f>
        <v/>
      </c>
      <c r="X303" s="16" t="str">
        <f>IFERROR(__xludf.DUMMYFUNCTION("""COMPUTED_VALUE"""),"")</f>
        <v/>
      </c>
      <c r="AC303" s="16" t="str">
        <f>IFERROR(__xludf.DUMMYFUNCTION("""COMPUTED_VALUE"""),"")</f>
        <v/>
      </c>
    </row>
    <row r="304">
      <c r="A304" s="16" t="s">
        <v>87</v>
      </c>
      <c r="E304" s="16" t="str">
        <f>IFERROR(__xludf.DUMMYFUNCTION("""COMPUTED_VALUE"""),"")</f>
        <v/>
      </c>
      <c r="G304" s="18"/>
      <c r="H304" s="16" t="s">
        <v>87</v>
      </c>
      <c r="I304" s="16" t="s">
        <v>87</v>
      </c>
      <c r="J304" s="19"/>
      <c r="L304" s="16" t="str">
        <f>IFERROR(__xludf.DUMMYFUNCTION("""COMPUTED_VALUE"""),"")</f>
        <v/>
      </c>
      <c r="M304" s="16" t="str">
        <f>IFERROR(__xludf.DUMMYFUNCTION("""COMPUTED_VALUE"""),"")</f>
        <v/>
      </c>
      <c r="U304" s="16" t="s">
        <v>87</v>
      </c>
      <c r="V304" s="16" t="str">
        <f>IFERROR(__xludf.DUMMYFUNCTION("""COMPUTED_VALUE"""),"")</f>
        <v/>
      </c>
      <c r="W304" s="16" t="str">
        <f>IFERROR(__xludf.DUMMYFUNCTION("""COMPUTED_VALUE"""),"")</f>
        <v/>
      </c>
      <c r="X304" s="16" t="str">
        <f>IFERROR(__xludf.DUMMYFUNCTION("""COMPUTED_VALUE"""),"")</f>
        <v/>
      </c>
      <c r="AC304" s="16" t="str">
        <f>IFERROR(__xludf.DUMMYFUNCTION("""COMPUTED_VALUE"""),"")</f>
        <v/>
      </c>
    </row>
    <row r="305">
      <c r="A305" s="16" t="s">
        <v>87</v>
      </c>
      <c r="E305" s="16" t="str">
        <f>IFERROR(__xludf.DUMMYFUNCTION("""COMPUTED_VALUE"""),"")</f>
        <v/>
      </c>
      <c r="G305" s="18"/>
      <c r="H305" s="16" t="s">
        <v>87</v>
      </c>
      <c r="I305" s="16" t="s">
        <v>87</v>
      </c>
      <c r="J305" s="19"/>
      <c r="L305" s="16" t="str">
        <f>IFERROR(__xludf.DUMMYFUNCTION("""COMPUTED_VALUE"""),"")</f>
        <v/>
      </c>
      <c r="M305" s="16" t="str">
        <f>IFERROR(__xludf.DUMMYFUNCTION("""COMPUTED_VALUE"""),"")</f>
        <v/>
      </c>
      <c r="U305" s="16" t="s">
        <v>87</v>
      </c>
      <c r="V305" s="16" t="str">
        <f>IFERROR(__xludf.DUMMYFUNCTION("""COMPUTED_VALUE"""),"")</f>
        <v/>
      </c>
      <c r="W305" s="16" t="str">
        <f>IFERROR(__xludf.DUMMYFUNCTION("""COMPUTED_VALUE"""),"")</f>
        <v/>
      </c>
      <c r="X305" s="16" t="str">
        <f>IFERROR(__xludf.DUMMYFUNCTION("""COMPUTED_VALUE"""),"")</f>
        <v/>
      </c>
      <c r="AC305" s="16" t="str">
        <f>IFERROR(__xludf.DUMMYFUNCTION("""COMPUTED_VALUE"""),"")</f>
        <v/>
      </c>
    </row>
    <row r="306">
      <c r="A306" s="16" t="s">
        <v>87</v>
      </c>
      <c r="E306" s="16" t="str">
        <f>IFERROR(__xludf.DUMMYFUNCTION("""COMPUTED_VALUE"""),"")</f>
        <v/>
      </c>
      <c r="G306" s="18"/>
      <c r="H306" s="16" t="s">
        <v>87</v>
      </c>
      <c r="I306" s="16" t="s">
        <v>87</v>
      </c>
      <c r="J306" s="19"/>
      <c r="L306" s="16" t="str">
        <f>IFERROR(__xludf.DUMMYFUNCTION("""COMPUTED_VALUE"""),"")</f>
        <v/>
      </c>
      <c r="M306" s="16" t="str">
        <f>IFERROR(__xludf.DUMMYFUNCTION("""COMPUTED_VALUE"""),"")</f>
        <v/>
      </c>
      <c r="U306" s="16" t="s">
        <v>87</v>
      </c>
      <c r="V306" s="16" t="str">
        <f>IFERROR(__xludf.DUMMYFUNCTION("""COMPUTED_VALUE"""),"")</f>
        <v/>
      </c>
      <c r="W306" s="16" t="str">
        <f>IFERROR(__xludf.DUMMYFUNCTION("""COMPUTED_VALUE"""),"")</f>
        <v/>
      </c>
      <c r="X306" s="16" t="str">
        <f>IFERROR(__xludf.DUMMYFUNCTION("""COMPUTED_VALUE"""),"")</f>
        <v/>
      </c>
      <c r="AC306" s="16" t="str">
        <f>IFERROR(__xludf.DUMMYFUNCTION("""COMPUTED_VALUE"""),"")</f>
        <v/>
      </c>
    </row>
    <row r="307">
      <c r="A307" s="16" t="s">
        <v>87</v>
      </c>
      <c r="E307" s="16" t="str">
        <f>IFERROR(__xludf.DUMMYFUNCTION("""COMPUTED_VALUE"""),"")</f>
        <v/>
      </c>
      <c r="G307" s="18"/>
      <c r="H307" s="16" t="s">
        <v>87</v>
      </c>
      <c r="I307" s="16" t="s">
        <v>87</v>
      </c>
      <c r="J307" s="19"/>
      <c r="L307" s="16" t="str">
        <f>IFERROR(__xludf.DUMMYFUNCTION("""COMPUTED_VALUE"""),"")</f>
        <v/>
      </c>
      <c r="M307" s="16" t="str">
        <f>IFERROR(__xludf.DUMMYFUNCTION("""COMPUTED_VALUE"""),"")</f>
        <v/>
      </c>
      <c r="U307" s="16" t="s">
        <v>87</v>
      </c>
      <c r="V307" s="16" t="str">
        <f>IFERROR(__xludf.DUMMYFUNCTION("""COMPUTED_VALUE"""),"")</f>
        <v/>
      </c>
      <c r="W307" s="16" t="str">
        <f>IFERROR(__xludf.DUMMYFUNCTION("""COMPUTED_VALUE"""),"")</f>
        <v/>
      </c>
      <c r="X307" s="16" t="str">
        <f>IFERROR(__xludf.DUMMYFUNCTION("""COMPUTED_VALUE"""),"")</f>
        <v/>
      </c>
      <c r="AC307" s="16" t="str">
        <f>IFERROR(__xludf.DUMMYFUNCTION("""COMPUTED_VALUE"""),"")</f>
        <v/>
      </c>
    </row>
    <row r="308">
      <c r="A308" s="16" t="s">
        <v>87</v>
      </c>
      <c r="E308" s="16" t="str">
        <f>IFERROR(__xludf.DUMMYFUNCTION("""COMPUTED_VALUE"""),"")</f>
        <v/>
      </c>
      <c r="G308" s="18"/>
      <c r="H308" s="16" t="s">
        <v>87</v>
      </c>
      <c r="I308" s="16" t="s">
        <v>87</v>
      </c>
      <c r="J308" s="19"/>
      <c r="L308" s="16" t="str">
        <f>IFERROR(__xludf.DUMMYFUNCTION("""COMPUTED_VALUE"""),"")</f>
        <v/>
      </c>
      <c r="M308" s="16" t="str">
        <f>IFERROR(__xludf.DUMMYFUNCTION("""COMPUTED_VALUE"""),"")</f>
        <v/>
      </c>
      <c r="U308" s="16" t="s">
        <v>87</v>
      </c>
      <c r="V308" s="16" t="str">
        <f>IFERROR(__xludf.DUMMYFUNCTION("""COMPUTED_VALUE"""),"")</f>
        <v/>
      </c>
      <c r="W308" s="16" t="str">
        <f>IFERROR(__xludf.DUMMYFUNCTION("""COMPUTED_VALUE"""),"")</f>
        <v/>
      </c>
      <c r="X308" s="16" t="str">
        <f>IFERROR(__xludf.DUMMYFUNCTION("""COMPUTED_VALUE"""),"")</f>
        <v/>
      </c>
      <c r="AC308" s="16" t="str">
        <f>IFERROR(__xludf.DUMMYFUNCTION("""COMPUTED_VALUE"""),"")</f>
        <v/>
      </c>
    </row>
    <row r="309">
      <c r="A309" s="16" t="s">
        <v>87</v>
      </c>
      <c r="E309" s="16" t="str">
        <f>IFERROR(__xludf.DUMMYFUNCTION("""COMPUTED_VALUE"""),"")</f>
        <v/>
      </c>
      <c r="G309" s="18"/>
      <c r="H309" s="16" t="s">
        <v>87</v>
      </c>
      <c r="I309" s="16" t="s">
        <v>87</v>
      </c>
      <c r="J309" s="19"/>
      <c r="L309" s="16" t="str">
        <f>IFERROR(__xludf.DUMMYFUNCTION("""COMPUTED_VALUE"""),"")</f>
        <v/>
      </c>
      <c r="M309" s="16" t="str">
        <f>IFERROR(__xludf.DUMMYFUNCTION("""COMPUTED_VALUE"""),"")</f>
        <v/>
      </c>
      <c r="U309" s="16" t="s">
        <v>87</v>
      </c>
      <c r="V309" s="16" t="str">
        <f>IFERROR(__xludf.DUMMYFUNCTION("""COMPUTED_VALUE"""),"")</f>
        <v/>
      </c>
      <c r="W309" s="16" t="str">
        <f>IFERROR(__xludf.DUMMYFUNCTION("""COMPUTED_VALUE"""),"")</f>
        <v/>
      </c>
      <c r="X309" s="16" t="str">
        <f>IFERROR(__xludf.DUMMYFUNCTION("""COMPUTED_VALUE"""),"")</f>
        <v/>
      </c>
      <c r="AC309" s="16" t="str">
        <f>IFERROR(__xludf.DUMMYFUNCTION("""COMPUTED_VALUE"""),"")</f>
        <v/>
      </c>
    </row>
    <row r="310">
      <c r="A310" s="16" t="s">
        <v>87</v>
      </c>
      <c r="E310" s="16" t="str">
        <f>IFERROR(__xludf.DUMMYFUNCTION("""COMPUTED_VALUE"""),"")</f>
        <v/>
      </c>
      <c r="G310" s="18"/>
      <c r="H310" s="16" t="s">
        <v>87</v>
      </c>
      <c r="I310" s="16" t="s">
        <v>87</v>
      </c>
      <c r="J310" s="19"/>
      <c r="L310" s="16" t="str">
        <f>IFERROR(__xludf.DUMMYFUNCTION("""COMPUTED_VALUE"""),"")</f>
        <v/>
      </c>
      <c r="M310" s="16" t="str">
        <f>IFERROR(__xludf.DUMMYFUNCTION("""COMPUTED_VALUE"""),"")</f>
        <v/>
      </c>
      <c r="U310" s="16" t="s">
        <v>87</v>
      </c>
      <c r="V310" s="16" t="str">
        <f>IFERROR(__xludf.DUMMYFUNCTION("""COMPUTED_VALUE"""),"")</f>
        <v/>
      </c>
      <c r="W310" s="16" t="str">
        <f>IFERROR(__xludf.DUMMYFUNCTION("""COMPUTED_VALUE"""),"")</f>
        <v/>
      </c>
      <c r="X310" s="16" t="str">
        <f>IFERROR(__xludf.DUMMYFUNCTION("""COMPUTED_VALUE"""),"")</f>
        <v/>
      </c>
      <c r="AC310" s="16" t="str">
        <f>IFERROR(__xludf.DUMMYFUNCTION("""COMPUTED_VALUE"""),"")</f>
        <v/>
      </c>
    </row>
    <row r="311">
      <c r="A311" s="16" t="s">
        <v>87</v>
      </c>
      <c r="E311" s="16" t="str">
        <f>IFERROR(__xludf.DUMMYFUNCTION("""COMPUTED_VALUE"""),"")</f>
        <v/>
      </c>
      <c r="G311" s="18"/>
      <c r="H311" s="16" t="s">
        <v>87</v>
      </c>
      <c r="I311" s="16" t="s">
        <v>87</v>
      </c>
      <c r="J311" s="19"/>
      <c r="L311" s="16" t="str">
        <f>IFERROR(__xludf.DUMMYFUNCTION("""COMPUTED_VALUE"""),"")</f>
        <v/>
      </c>
      <c r="M311" s="16" t="str">
        <f>IFERROR(__xludf.DUMMYFUNCTION("""COMPUTED_VALUE"""),"")</f>
        <v/>
      </c>
      <c r="U311" s="16" t="s">
        <v>87</v>
      </c>
      <c r="V311" s="16" t="str">
        <f>IFERROR(__xludf.DUMMYFUNCTION("""COMPUTED_VALUE"""),"")</f>
        <v/>
      </c>
      <c r="W311" s="16" t="str">
        <f>IFERROR(__xludf.DUMMYFUNCTION("""COMPUTED_VALUE"""),"")</f>
        <v/>
      </c>
      <c r="X311" s="16" t="str">
        <f>IFERROR(__xludf.DUMMYFUNCTION("""COMPUTED_VALUE"""),"")</f>
        <v/>
      </c>
      <c r="AC311" s="16" t="str">
        <f>IFERROR(__xludf.DUMMYFUNCTION("""COMPUTED_VALUE"""),"")</f>
        <v/>
      </c>
    </row>
    <row r="312">
      <c r="A312" s="16" t="s">
        <v>87</v>
      </c>
      <c r="E312" s="16" t="str">
        <f>IFERROR(__xludf.DUMMYFUNCTION("""COMPUTED_VALUE"""),"")</f>
        <v/>
      </c>
      <c r="G312" s="18"/>
      <c r="H312" s="16" t="s">
        <v>87</v>
      </c>
      <c r="I312" s="16" t="s">
        <v>87</v>
      </c>
      <c r="J312" s="19"/>
      <c r="L312" s="16" t="str">
        <f>IFERROR(__xludf.DUMMYFUNCTION("""COMPUTED_VALUE"""),"")</f>
        <v/>
      </c>
      <c r="M312" s="16" t="str">
        <f>IFERROR(__xludf.DUMMYFUNCTION("""COMPUTED_VALUE"""),"")</f>
        <v/>
      </c>
      <c r="U312" s="16" t="s">
        <v>87</v>
      </c>
      <c r="V312" s="16" t="str">
        <f>IFERROR(__xludf.DUMMYFUNCTION("""COMPUTED_VALUE"""),"")</f>
        <v/>
      </c>
      <c r="W312" s="16" t="str">
        <f>IFERROR(__xludf.DUMMYFUNCTION("""COMPUTED_VALUE"""),"")</f>
        <v/>
      </c>
      <c r="X312" s="16" t="str">
        <f>IFERROR(__xludf.DUMMYFUNCTION("""COMPUTED_VALUE"""),"")</f>
        <v/>
      </c>
      <c r="AC312" s="16" t="str">
        <f>IFERROR(__xludf.DUMMYFUNCTION("""COMPUTED_VALUE"""),"")</f>
        <v/>
      </c>
    </row>
    <row r="313">
      <c r="A313" s="16" t="s">
        <v>87</v>
      </c>
      <c r="E313" s="16" t="str">
        <f>IFERROR(__xludf.DUMMYFUNCTION("""COMPUTED_VALUE"""),"")</f>
        <v/>
      </c>
      <c r="G313" s="18"/>
      <c r="H313" s="16" t="s">
        <v>87</v>
      </c>
      <c r="I313" s="16" t="s">
        <v>87</v>
      </c>
      <c r="J313" s="19"/>
      <c r="L313" s="16" t="str">
        <f>IFERROR(__xludf.DUMMYFUNCTION("""COMPUTED_VALUE"""),"")</f>
        <v/>
      </c>
      <c r="M313" s="16" t="str">
        <f>IFERROR(__xludf.DUMMYFUNCTION("""COMPUTED_VALUE"""),"")</f>
        <v/>
      </c>
      <c r="U313" s="16" t="s">
        <v>87</v>
      </c>
      <c r="V313" s="16" t="str">
        <f>IFERROR(__xludf.DUMMYFUNCTION("""COMPUTED_VALUE"""),"")</f>
        <v/>
      </c>
      <c r="W313" s="16" t="str">
        <f>IFERROR(__xludf.DUMMYFUNCTION("""COMPUTED_VALUE"""),"")</f>
        <v/>
      </c>
      <c r="X313" s="16" t="str">
        <f>IFERROR(__xludf.DUMMYFUNCTION("""COMPUTED_VALUE"""),"")</f>
        <v/>
      </c>
      <c r="AC313" s="16" t="str">
        <f>IFERROR(__xludf.DUMMYFUNCTION("""COMPUTED_VALUE"""),"")</f>
        <v/>
      </c>
    </row>
    <row r="314">
      <c r="A314" s="16" t="s">
        <v>87</v>
      </c>
      <c r="E314" s="16" t="str">
        <f>IFERROR(__xludf.DUMMYFUNCTION("""COMPUTED_VALUE"""),"")</f>
        <v/>
      </c>
      <c r="G314" s="18"/>
      <c r="H314" s="16" t="s">
        <v>87</v>
      </c>
      <c r="I314" s="16" t="s">
        <v>87</v>
      </c>
      <c r="J314" s="19"/>
      <c r="L314" s="16" t="str">
        <f>IFERROR(__xludf.DUMMYFUNCTION("""COMPUTED_VALUE"""),"")</f>
        <v/>
      </c>
      <c r="M314" s="16" t="str">
        <f>IFERROR(__xludf.DUMMYFUNCTION("""COMPUTED_VALUE"""),"")</f>
        <v/>
      </c>
      <c r="U314" s="16" t="s">
        <v>87</v>
      </c>
      <c r="V314" s="16" t="str">
        <f>IFERROR(__xludf.DUMMYFUNCTION("""COMPUTED_VALUE"""),"")</f>
        <v/>
      </c>
      <c r="W314" s="16" t="str">
        <f>IFERROR(__xludf.DUMMYFUNCTION("""COMPUTED_VALUE"""),"")</f>
        <v/>
      </c>
      <c r="X314" s="16" t="str">
        <f>IFERROR(__xludf.DUMMYFUNCTION("""COMPUTED_VALUE"""),"")</f>
        <v/>
      </c>
      <c r="AC314" s="16" t="str">
        <f>IFERROR(__xludf.DUMMYFUNCTION("""COMPUTED_VALUE"""),"")</f>
        <v/>
      </c>
    </row>
    <row r="315">
      <c r="A315" s="16" t="s">
        <v>87</v>
      </c>
      <c r="E315" s="16" t="str">
        <f>IFERROR(__xludf.DUMMYFUNCTION("""COMPUTED_VALUE"""),"")</f>
        <v/>
      </c>
      <c r="G315" s="18"/>
      <c r="H315" s="16" t="s">
        <v>87</v>
      </c>
      <c r="I315" s="16" t="s">
        <v>87</v>
      </c>
      <c r="J315" s="19"/>
      <c r="L315" s="16" t="str">
        <f>IFERROR(__xludf.DUMMYFUNCTION("""COMPUTED_VALUE"""),"")</f>
        <v/>
      </c>
      <c r="M315" s="16" t="str">
        <f>IFERROR(__xludf.DUMMYFUNCTION("""COMPUTED_VALUE"""),"")</f>
        <v/>
      </c>
      <c r="U315" s="16" t="s">
        <v>87</v>
      </c>
      <c r="V315" s="16" t="str">
        <f>IFERROR(__xludf.DUMMYFUNCTION("""COMPUTED_VALUE"""),"")</f>
        <v/>
      </c>
      <c r="W315" s="16" t="str">
        <f>IFERROR(__xludf.DUMMYFUNCTION("""COMPUTED_VALUE"""),"")</f>
        <v/>
      </c>
      <c r="X315" s="16" t="str">
        <f>IFERROR(__xludf.DUMMYFUNCTION("""COMPUTED_VALUE"""),"")</f>
        <v/>
      </c>
      <c r="AC315" s="16" t="str">
        <f>IFERROR(__xludf.DUMMYFUNCTION("""COMPUTED_VALUE"""),"")</f>
        <v/>
      </c>
    </row>
    <row r="316">
      <c r="A316" s="16" t="s">
        <v>87</v>
      </c>
      <c r="E316" s="16" t="str">
        <f>IFERROR(__xludf.DUMMYFUNCTION("""COMPUTED_VALUE"""),"")</f>
        <v/>
      </c>
      <c r="G316" s="18"/>
      <c r="H316" s="16" t="s">
        <v>87</v>
      </c>
      <c r="I316" s="16" t="s">
        <v>87</v>
      </c>
      <c r="J316" s="19"/>
      <c r="L316" s="16" t="str">
        <f>IFERROR(__xludf.DUMMYFUNCTION("""COMPUTED_VALUE"""),"")</f>
        <v/>
      </c>
      <c r="M316" s="16" t="str">
        <f>IFERROR(__xludf.DUMMYFUNCTION("""COMPUTED_VALUE"""),"")</f>
        <v/>
      </c>
      <c r="U316" s="16" t="s">
        <v>87</v>
      </c>
      <c r="V316" s="16" t="str">
        <f>IFERROR(__xludf.DUMMYFUNCTION("""COMPUTED_VALUE"""),"")</f>
        <v/>
      </c>
      <c r="W316" s="16" t="str">
        <f>IFERROR(__xludf.DUMMYFUNCTION("""COMPUTED_VALUE"""),"")</f>
        <v/>
      </c>
      <c r="X316" s="16" t="str">
        <f>IFERROR(__xludf.DUMMYFUNCTION("""COMPUTED_VALUE"""),"")</f>
        <v/>
      </c>
      <c r="AC316" s="16" t="str">
        <f>IFERROR(__xludf.DUMMYFUNCTION("""COMPUTED_VALUE"""),"")</f>
        <v/>
      </c>
    </row>
    <row r="317">
      <c r="A317" s="16" t="s">
        <v>87</v>
      </c>
      <c r="E317" s="16" t="str">
        <f>IFERROR(__xludf.DUMMYFUNCTION("""COMPUTED_VALUE"""),"")</f>
        <v/>
      </c>
      <c r="G317" s="18"/>
      <c r="H317" s="16" t="s">
        <v>87</v>
      </c>
      <c r="I317" s="16" t="s">
        <v>87</v>
      </c>
      <c r="J317" s="19"/>
      <c r="L317" s="16" t="str">
        <f>IFERROR(__xludf.DUMMYFUNCTION("""COMPUTED_VALUE"""),"")</f>
        <v/>
      </c>
      <c r="M317" s="16" t="str">
        <f>IFERROR(__xludf.DUMMYFUNCTION("""COMPUTED_VALUE"""),"")</f>
        <v/>
      </c>
      <c r="U317" s="16" t="s">
        <v>87</v>
      </c>
      <c r="V317" s="16" t="str">
        <f>IFERROR(__xludf.DUMMYFUNCTION("""COMPUTED_VALUE"""),"")</f>
        <v/>
      </c>
      <c r="W317" s="16" t="str">
        <f>IFERROR(__xludf.DUMMYFUNCTION("""COMPUTED_VALUE"""),"")</f>
        <v/>
      </c>
      <c r="X317" s="16" t="str">
        <f>IFERROR(__xludf.DUMMYFUNCTION("""COMPUTED_VALUE"""),"")</f>
        <v/>
      </c>
      <c r="AC317" s="16" t="str">
        <f>IFERROR(__xludf.DUMMYFUNCTION("""COMPUTED_VALUE"""),"")</f>
        <v/>
      </c>
    </row>
    <row r="318">
      <c r="A318" s="16" t="s">
        <v>87</v>
      </c>
      <c r="E318" s="16" t="str">
        <f>IFERROR(__xludf.DUMMYFUNCTION("""COMPUTED_VALUE"""),"")</f>
        <v/>
      </c>
      <c r="G318" s="18"/>
      <c r="H318" s="16" t="s">
        <v>87</v>
      </c>
      <c r="I318" s="16" t="s">
        <v>87</v>
      </c>
      <c r="J318" s="19"/>
      <c r="L318" s="16" t="str">
        <f>IFERROR(__xludf.DUMMYFUNCTION("""COMPUTED_VALUE"""),"")</f>
        <v/>
      </c>
      <c r="M318" s="16" t="str">
        <f>IFERROR(__xludf.DUMMYFUNCTION("""COMPUTED_VALUE"""),"")</f>
        <v/>
      </c>
      <c r="U318" s="16" t="s">
        <v>87</v>
      </c>
      <c r="V318" s="16" t="str">
        <f>IFERROR(__xludf.DUMMYFUNCTION("""COMPUTED_VALUE"""),"")</f>
        <v/>
      </c>
      <c r="W318" s="16" t="str">
        <f>IFERROR(__xludf.DUMMYFUNCTION("""COMPUTED_VALUE"""),"")</f>
        <v/>
      </c>
      <c r="X318" s="16" t="str">
        <f>IFERROR(__xludf.DUMMYFUNCTION("""COMPUTED_VALUE"""),"")</f>
        <v/>
      </c>
      <c r="AC318" s="16" t="str">
        <f>IFERROR(__xludf.DUMMYFUNCTION("""COMPUTED_VALUE"""),"")</f>
        <v/>
      </c>
    </row>
    <row r="319">
      <c r="A319" s="16" t="s">
        <v>87</v>
      </c>
      <c r="E319" s="16" t="str">
        <f>IFERROR(__xludf.DUMMYFUNCTION("""COMPUTED_VALUE"""),"")</f>
        <v/>
      </c>
      <c r="G319" s="18"/>
      <c r="H319" s="16" t="s">
        <v>87</v>
      </c>
      <c r="I319" s="16" t="s">
        <v>87</v>
      </c>
      <c r="J319" s="19"/>
      <c r="L319" s="16" t="str">
        <f>IFERROR(__xludf.DUMMYFUNCTION("""COMPUTED_VALUE"""),"")</f>
        <v/>
      </c>
      <c r="M319" s="16" t="str">
        <f>IFERROR(__xludf.DUMMYFUNCTION("""COMPUTED_VALUE"""),"")</f>
        <v/>
      </c>
      <c r="U319" s="16" t="s">
        <v>87</v>
      </c>
      <c r="V319" s="16" t="str">
        <f>IFERROR(__xludf.DUMMYFUNCTION("""COMPUTED_VALUE"""),"")</f>
        <v/>
      </c>
      <c r="W319" s="16" t="str">
        <f>IFERROR(__xludf.DUMMYFUNCTION("""COMPUTED_VALUE"""),"")</f>
        <v/>
      </c>
      <c r="X319" s="16" t="str">
        <f>IFERROR(__xludf.DUMMYFUNCTION("""COMPUTED_VALUE"""),"")</f>
        <v/>
      </c>
      <c r="AC319" s="16" t="str">
        <f>IFERROR(__xludf.DUMMYFUNCTION("""COMPUTED_VALUE"""),"")</f>
        <v/>
      </c>
    </row>
    <row r="320">
      <c r="A320" s="16" t="s">
        <v>87</v>
      </c>
      <c r="E320" s="16" t="str">
        <f>IFERROR(__xludf.DUMMYFUNCTION("""COMPUTED_VALUE"""),"")</f>
        <v/>
      </c>
      <c r="G320" s="18"/>
      <c r="H320" s="16" t="s">
        <v>87</v>
      </c>
      <c r="I320" s="16" t="s">
        <v>87</v>
      </c>
      <c r="J320" s="19"/>
      <c r="L320" s="16" t="str">
        <f>IFERROR(__xludf.DUMMYFUNCTION("""COMPUTED_VALUE"""),"")</f>
        <v/>
      </c>
      <c r="M320" s="16" t="str">
        <f>IFERROR(__xludf.DUMMYFUNCTION("""COMPUTED_VALUE"""),"")</f>
        <v/>
      </c>
      <c r="U320" s="16" t="s">
        <v>87</v>
      </c>
      <c r="V320" s="16" t="str">
        <f>IFERROR(__xludf.DUMMYFUNCTION("""COMPUTED_VALUE"""),"")</f>
        <v/>
      </c>
      <c r="W320" s="16" t="str">
        <f>IFERROR(__xludf.DUMMYFUNCTION("""COMPUTED_VALUE"""),"")</f>
        <v/>
      </c>
      <c r="X320" s="16" t="str">
        <f>IFERROR(__xludf.DUMMYFUNCTION("""COMPUTED_VALUE"""),"")</f>
        <v/>
      </c>
      <c r="AC320" s="16" t="str">
        <f>IFERROR(__xludf.DUMMYFUNCTION("""COMPUTED_VALUE"""),"")</f>
        <v/>
      </c>
    </row>
    <row r="321">
      <c r="A321" s="16" t="s">
        <v>87</v>
      </c>
      <c r="E321" s="16" t="str">
        <f>IFERROR(__xludf.DUMMYFUNCTION("""COMPUTED_VALUE"""),"")</f>
        <v/>
      </c>
      <c r="G321" s="18"/>
      <c r="H321" s="16" t="s">
        <v>87</v>
      </c>
      <c r="I321" s="16" t="s">
        <v>87</v>
      </c>
      <c r="J321" s="19"/>
      <c r="L321" s="16" t="str">
        <f>IFERROR(__xludf.DUMMYFUNCTION("""COMPUTED_VALUE"""),"")</f>
        <v/>
      </c>
      <c r="M321" s="16" t="str">
        <f>IFERROR(__xludf.DUMMYFUNCTION("""COMPUTED_VALUE"""),"")</f>
        <v/>
      </c>
      <c r="U321" s="16" t="s">
        <v>87</v>
      </c>
      <c r="V321" s="16" t="str">
        <f>IFERROR(__xludf.DUMMYFUNCTION("""COMPUTED_VALUE"""),"")</f>
        <v/>
      </c>
      <c r="W321" s="16" t="str">
        <f>IFERROR(__xludf.DUMMYFUNCTION("""COMPUTED_VALUE"""),"")</f>
        <v/>
      </c>
      <c r="X321" s="16" t="str">
        <f>IFERROR(__xludf.DUMMYFUNCTION("""COMPUTED_VALUE"""),"")</f>
        <v/>
      </c>
      <c r="AC321" s="16" t="str">
        <f>IFERROR(__xludf.DUMMYFUNCTION("""COMPUTED_VALUE"""),"")</f>
        <v/>
      </c>
    </row>
    <row r="322">
      <c r="A322" s="16" t="s">
        <v>87</v>
      </c>
      <c r="E322" s="16" t="str">
        <f>IFERROR(__xludf.DUMMYFUNCTION("""COMPUTED_VALUE"""),"")</f>
        <v/>
      </c>
      <c r="G322" s="18"/>
      <c r="H322" s="16" t="s">
        <v>87</v>
      </c>
      <c r="I322" s="16" t="s">
        <v>87</v>
      </c>
      <c r="J322" s="19"/>
      <c r="L322" s="16" t="str">
        <f>IFERROR(__xludf.DUMMYFUNCTION("""COMPUTED_VALUE"""),"")</f>
        <v/>
      </c>
      <c r="M322" s="16" t="str">
        <f>IFERROR(__xludf.DUMMYFUNCTION("""COMPUTED_VALUE"""),"")</f>
        <v/>
      </c>
      <c r="U322" s="16" t="s">
        <v>87</v>
      </c>
      <c r="V322" s="16" t="str">
        <f>IFERROR(__xludf.DUMMYFUNCTION("""COMPUTED_VALUE"""),"")</f>
        <v/>
      </c>
      <c r="W322" s="16" t="str">
        <f>IFERROR(__xludf.DUMMYFUNCTION("""COMPUTED_VALUE"""),"")</f>
        <v/>
      </c>
      <c r="X322" s="16" t="str">
        <f>IFERROR(__xludf.DUMMYFUNCTION("""COMPUTED_VALUE"""),"")</f>
        <v/>
      </c>
      <c r="AC322" s="16" t="str">
        <f>IFERROR(__xludf.DUMMYFUNCTION("""COMPUTED_VALUE"""),"")</f>
        <v/>
      </c>
    </row>
    <row r="323">
      <c r="A323" s="16" t="s">
        <v>87</v>
      </c>
      <c r="E323" s="16" t="str">
        <f>IFERROR(__xludf.DUMMYFUNCTION("""COMPUTED_VALUE"""),"")</f>
        <v/>
      </c>
      <c r="G323" s="18"/>
      <c r="H323" s="16" t="s">
        <v>87</v>
      </c>
      <c r="I323" s="16" t="s">
        <v>87</v>
      </c>
      <c r="J323" s="19"/>
      <c r="L323" s="16" t="str">
        <f>IFERROR(__xludf.DUMMYFUNCTION("""COMPUTED_VALUE"""),"")</f>
        <v/>
      </c>
      <c r="M323" s="16" t="str">
        <f>IFERROR(__xludf.DUMMYFUNCTION("""COMPUTED_VALUE"""),"")</f>
        <v/>
      </c>
      <c r="U323" s="16" t="s">
        <v>87</v>
      </c>
      <c r="V323" s="16" t="str">
        <f>IFERROR(__xludf.DUMMYFUNCTION("""COMPUTED_VALUE"""),"")</f>
        <v/>
      </c>
      <c r="W323" s="16" t="str">
        <f>IFERROR(__xludf.DUMMYFUNCTION("""COMPUTED_VALUE"""),"")</f>
        <v/>
      </c>
      <c r="X323" s="16" t="str">
        <f>IFERROR(__xludf.DUMMYFUNCTION("""COMPUTED_VALUE"""),"")</f>
        <v/>
      </c>
      <c r="AC323" s="16" t="str">
        <f>IFERROR(__xludf.DUMMYFUNCTION("""COMPUTED_VALUE"""),"")</f>
        <v/>
      </c>
    </row>
    <row r="324">
      <c r="A324" s="16" t="s">
        <v>87</v>
      </c>
      <c r="E324" s="16" t="str">
        <f>IFERROR(__xludf.DUMMYFUNCTION("""COMPUTED_VALUE"""),"")</f>
        <v/>
      </c>
      <c r="G324" s="18"/>
      <c r="H324" s="16" t="s">
        <v>87</v>
      </c>
      <c r="I324" s="16" t="s">
        <v>87</v>
      </c>
      <c r="J324" s="19"/>
      <c r="L324" s="16" t="str">
        <f>IFERROR(__xludf.DUMMYFUNCTION("""COMPUTED_VALUE"""),"")</f>
        <v/>
      </c>
      <c r="M324" s="16" t="str">
        <f>IFERROR(__xludf.DUMMYFUNCTION("""COMPUTED_VALUE"""),"")</f>
        <v/>
      </c>
      <c r="U324" s="16" t="s">
        <v>87</v>
      </c>
      <c r="V324" s="16" t="str">
        <f>IFERROR(__xludf.DUMMYFUNCTION("""COMPUTED_VALUE"""),"")</f>
        <v/>
      </c>
      <c r="W324" s="16" t="str">
        <f>IFERROR(__xludf.DUMMYFUNCTION("""COMPUTED_VALUE"""),"")</f>
        <v/>
      </c>
      <c r="X324" s="16" t="str">
        <f>IFERROR(__xludf.DUMMYFUNCTION("""COMPUTED_VALUE"""),"")</f>
        <v/>
      </c>
      <c r="AC324" s="16" t="str">
        <f>IFERROR(__xludf.DUMMYFUNCTION("""COMPUTED_VALUE"""),"")</f>
        <v/>
      </c>
    </row>
    <row r="325">
      <c r="A325" s="16" t="s">
        <v>87</v>
      </c>
      <c r="E325" s="16" t="str">
        <f>IFERROR(__xludf.DUMMYFUNCTION("""COMPUTED_VALUE"""),"")</f>
        <v/>
      </c>
      <c r="G325" s="18"/>
      <c r="H325" s="16" t="s">
        <v>87</v>
      </c>
      <c r="I325" s="16" t="s">
        <v>87</v>
      </c>
      <c r="J325" s="19"/>
      <c r="L325" s="16" t="str">
        <f>IFERROR(__xludf.DUMMYFUNCTION("""COMPUTED_VALUE"""),"")</f>
        <v/>
      </c>
      <c r="M325" s="16" t="str">
        <f>IFERROR(__xludf.DUMMYFUNCTION("""COMPUTED_VALUE"""),"")</f>
        <v/>
      </c>
      <c r="U325" s="16" t="s">
        <v>87</v>
      </c>
      <c r="V325" s="16" t="str">
        <f>IFERROR(__xludf.DUMMYFUNCTION("""COMPUTED_VALUE"""),"")</f>
        <v/>
      </c>
      <c r="W325" s="16" t="str">
        <f>IFERROR(__xludf.DUMMYFUNCTION("""COMPUTED_VALUE"""),"")</f>
        <v/>
      </c>
      <c r="X325" s="16" t="str">
        <f>IFERROR(__xludf.DUMMYFUNCTION("""COMPUTED_VALUE"""),"")</f>
        <v/>
      </c>
      <c r="AC325" s="16" t="str">
        <f>IFERROR(__xludf.DUMMYFUNCTION("""COMPUTED_VALUE"""),"")</f>
        <v/>
      </c>
    </row>
    <row r="326">
      <c r="A326" s="16" t="s">
        <v>87</v>
      </c>
      <c r="E326" s="16" t="str">
        <f>IFERROR(__xludf.DUMMYFUNCTION("""COMPUTED_VALUE"""),"")</f>
        <v/>
      </c>
      <c r="G326" s="18"/>
      <c r="H326" s="16" t="s">
        <v>87</v>
      </c>
      <c r="I326" s="16" t="s">
        <v>87</v>
      </c>
      <c r="J326" s="19"/>
      <c r="L326" s="16" t="str">
        <f>IFERROR(__xludf.DUMMYFUNCTION("""COMPUTED_VALUE"""),"")</f>
        <v/>
      </c>
      <c r="M326" s="16" t="str">
        <f>IFERROR(__xludf.DUMMYFUNCTION("""COMPUTED_VALUE"""),"")</f>
        <v/>
      </c>
      <c r="U326" s="16" t="s">
        <v>87</v>
      </c>
      <c r="V326" s="16" t="str">
        <f>IFERROR(__xludf.DUMMYFUNCTION("""COMPUTED_VALUE"""),"")</f>
        <v/>
      </c>
      <c r="W326" s="16" t="str">
        <f>IFERROR(__xludf.DUMMYFUNCTION("""COMPUTED_VALUE"""),"")</f>
        <v/>
      </c>
      <c r="X326" s="16" t="str">
        <f>IFERROR(__xludf.DUMMYFUNCTION("""COMPUTED_VALUE"""),"")</f>
        <v/>
      </c>
      <c r="AC326" s="16" t="str">
        <f>IFERROR(__xludf.DUMMYFUNCTION("""COMPUTED_VALUE"""),"")</f>
        <v/>
      </c>
    </row>
    <row r="327">
      <c r="A327" s="16" t="s">
        <v>87</v>
      </c>
      <c r="E327" s="16" t="str">
        <f>IFERROR(__xludf.DUMMYFUNCTION("""COMPUTED_VALUE"""),"")</f>
        <v/>
      </c>
      <c r="G327" s="18"/>
      <c r="H327" s="16" t="s">
        <v>87</v>
      </c>
      <c r="I327" s="16" t="s">
        <v>87</v>
      </c>
      <c r="J327" s="19"/>
      <c r="L327" s="16" t="str">
        <f>IFERROR(__xludf.DUMMYFUNCTION("""COMPUTED_VALUE"""),"")</f>
        <v/>
      </c>
      <c r="M327" s="16" t="str">
        <f>IFERROR(__xludf.DUMMYFUNCTION("""COMPUTED_VALUE"""),"")</f>
        <v/>
      </c>
      <c r="U327" s="16" t="s">
        <v>87</v>
      </c>
      <c r="V327" s="16" t="str">
        <f>IFERROR(__xludf.DUMMYFUNCTION("""COMPUTED_VALUE"""),"")</f>
        <v/>
      </c>
      <c r="W327" s="16" t="str">
        <f>IFERROR(__xludf.DUMMYFUNCTION("""COMPUTED_VALUE"""),"")</f>
        <v/>
      </c>
      <c r="X327" s="16" t="str">
        <f>IFERROR(__xludf.DUMMYFUNCTION("""COMPUTED_VALUE"""),"")</f>
        <v/>
      </c>
      <c r="AC327" s="16" t="str">
        <f>IFERROR(__xludf.DUMMYFUNCTION("""COMPUTED_VALUE"""),"")</f>
        <v/>
      </c>
    </row>
    <row r="328">
      <c r="A328" s="16" t="s">
        <v>87</v>
      </c>
      <c r="E328" s="16" t="str">
        <f>IFERROR(__xludf.DUMMYFUNCTION("""COMPUTED_VALUE"""),"")</f>
        <v/>
      </c>
      <c r="G328" s="18"/>
      <c r="H328" s="16" t="s">
        <v>87</v>
      </c>
      <c r="I328" s="16" t="s">
        <v>87</v>
      </c>
      <c r="J328" s="19"/>
      <c r="L328" s="16" t="str">
        <f>IFERROR(__xludf.DUMMYFUNCTION("""COMPUTED_VALUE"""),"")</f>
        <v/>
      </c>
      <c r="M328" s="16" t="str">
        <f>IFERROR(__xludf.DUMMYFUNCTION("""COMPUTED_VALUE"""),"")</f>
        <v/>
      </c>
      <c r="U328" s="16" t="s">
        <v>87</v>
      </c>
      <c r="V328" s="16" t="str">
        <f>IFERROR(__xludf.DUMMYFUNCTION("""COMPUTED_VALUE"""),"")</f>
        <v/>
      </c>
      <c r="W328" s="16" t="str">
        <f>IFERROR(__xludf.DUMMYFUNCTION("""COMPUTED_VALUE"""),"")</f>
        <v/>
      </c>
      <c r="X328" s="16" t="str">
        <f>IFERROR(__xludf.DUMMYFUNCTION("""COMPUTED_VALUE"""),"")</f>
        <v/>
      </c>
      <c r="AC328" s="16" t="str">
        <f>IFERROR(__xludf.DUMMYFUNCTION("""COMPUTED_VALUE"""),"")</f>
        <v/>
      </c>
    </row>
    <row r="329">
      <c r="A329" s="16" t="s">
        <v>87</v>
      </c>
      <c r="E329" s="16" t="str">
        <f>IFERROR(__xludf.DUMMYFUNCTION("""COMPUTED_VALUE"""),"")</f>
        <v/>
      </c>
      <c r="G329" s="18"/>
      <c r="H329" s="16" t="s">
        <v>87</v>
      </c>
      <c r="I329" s="16" t="s">
        <v>87</v>
      </c>
      <c r="J329" s="19"/>
      <c r="L329" s="16" t="str">
        <f>IFERROR(__xludf.DUMMYFUNCTION("""COMPUTED_VALUE"""),"")</f>
        <v/>
      </c>
      <c r="M329" s="16" t="str">
        <f>IFERROR(__xludf.DUMMYFUNCTION("""COMPUTED_VALUE"""),"")</f>
        <v/>
      </c>
      <c r="U329" s="16" t="s">
        <v>87</v>
      </c>
      <c r="V329" s="16" t="str">
        <f>IFERROR(__xludf.DUMMYFUNCTION("""COMPUTED_VALUE"""),"")</f>
        <v/>
      </c>
      <c r="W329" s="16" t="str">
        <f>IFERROR(__xludf.DUMMYFUNCTION("""COMPUTED_VALUE"""),"")</f>
        <v/>
      </c>
      <c r="X329" s="16" t="str">
        <f>IFERROR(__xludf.DUMMYFUNCTION("""COMPUTED_VALUE"""),"")</f>
        <v/>
      </c>
      <c r="AC329" s="16" t="str">
        <f>IFERROR(__xludf.DUMMYFUNCTION("""COMPUTED_VALUE"""),"")</f>
        <v/>
      </c>
    </row>
    <row r="330">
      <c r="A330" s="16" t="s">
        <v>87</v>
      </c>
      <c r="E330" s="16" t="str">
        <f>IFERROR(__xludf.DUMMYFUNCTION("""COMPUTED_VALUE"""),"")</f>
        <v/>
      </c>
      <c r="G330" s="18"/>
      <c r="H330" s="16" t="s">
        <v>87</v>
      </c>
      <c r="I330" s="16" t="s">
        <v>87</v>
      </c>
      <c r="J330" s="19"/>
      <c r="L330" s="16" t="str">
        <f>IFERROR(__xludf.DUMMYFUNCTION("""COMPUTED_VALUE"""),"")</f>
        <v/>
      </c>
      <c r="M330" s="16" t="str">
        <f>IFERROR(__xludf.DUMMYFUNCTION("""COMPUTED_VALUE"""),"")</f>
        <v/>
      </c>
      <c r="U330" s="16" t="s">
        <v>87</v>
      </c>
      <c r="V330" s="16" t="str">
        <f>IFERROR(__xludf.DUMMYFUNCTION("""COMPUTED_VALUE"""),"")</f>
        <v/>
      </c>
      <c r="W330" s="16" t="str">
        <f>IFERROR(__xludf.DUMMYFUNCTION("""COMPUTED_VALUE"""),"")</f>
        <v/>
      </c>
      <c r="X330" s="16" t="str">
        <f>IFERROR(__xludf.DUMMYFUNCTION("""COMPUTED_VALUE"""),"")</f>
        <v/>
      </c>
      <c r="AC330" s="16" t="str">
        <f>IFERROR(__xludf.DUMMYFUNCTION("""COMPUTED_VALUE"""),"")</f>
        <v/>
      </c>
    </row>
    <row r="331">
      <c r="A331" s="16" t="s">
        <v>87</v>
      </c>
      <c r="E331" s="16" t="str">
        <f>IFERROR(__xludf.DUMMYFUNCTION("""COMPUTED_VALUE"""),"")</f>
        <v/>
      </c>
      <c r="G331" s="18"/>
      <c r="H331" s="16" t="s">
        <v>87</v>
      </c>
      <c r="I331" s="16" t="s">
        <v>87</v>
      </c>
      <c r="J331" s="19"/>
      <c r="L331" s="16" t="str">
        <f>IFERROR(__xludf.DUMMYFUNCTION("""COMPUTED_VALUE"""),"")</f>
        <v/>
      </c>
      <c r="M331" s="16" t="str">
        <f>IFERROR(__xludf.DUMMYFUNCTION("""COMPUTED_VALUE"""),"")</f>
        <v/>
      </c>
      <c r="U331" s="16" t="s">
        <v>87</v>
      </c>
      <c r="V331" s="16" t="str">
        <f>IFERROR(__xludf.DUMMYFUNCTION("""COMPUTED_VALUE"""),"")</f>
        <v/>
      </c>
      <c r="W331" s="16" t="str">
        <f>IFERROR(__xludf.DUMMYFUNCTION("""COMPUTED_VALUE"""),"")</f>
        <v/>
      </c>
      <c r="X331" s="16" t="str">
        <f>IFERROR(__xludf.DUMMYFUNCTION("""COMPUTED_VALUE"""),"")</f>
        <v/>
      </c>
      <c r="AC331" s="16" t="str">
        <f>IFERROR(__xludf.DUMMYFUNCTION("""COMPUTED_VALUE"""),"")</f>
        <v/>
      </c>
    </row>
    <row r="332">
      <c r="A332" s="16" t="s">
        <v>87</v>
      </c>
      <c r="E332" s="16" t="str">
        <f>IFERROR(__xludf.DUMMYFUNCTION("""COMPUTED_VALUE"""),"")</f>
        <v/>
      </c>
      <c r="G332" s="18"/>
      <c r="H332" s="16" t="s">
        <v>87</v>
      </c>
      <c r="I332" s="16" t="s">
        <v>87</v>
      </c>
      <c r="J332" s="19"/>
      <c r="L332" s="16" t="str">
        <f>IFERROR(__xludf.DUMMYFUNCTION("""COMPUTED_VALUE"""),"")</f>
        <v/>
      </c>
      <c r="M332" s="16" t="str">
        <f>IFERROR(__xludf.DUMMYFUNCTION("""COMPUTED_VALUE"""),"")</f>
        <v/>
      </c>
      <c r="U332" s="16" t="s">
        <v>87</v>
      </c>
      <c r="V332" s="16" t="str">
        <f>IFERROR(__xludf.DUMMYFUNCTION("""COMPUTED_VALUE"""),"")</f>
        <v/>
      </c>
      <c r="W332" s="16" t="str">
        <f>IFERROR(__xludf.DUMMYFUNCTION("""COMPUTED_VALUE"""),"")</f>
        <v/>
      </c>
      <c r="X332" s="16" t="str">
        <f>IFERROR(__xludf.DUMMYFUNCTION("""COMPUTED_VALUE"""),"")</f>
        <v/>
      </c>
      <c r="AC332" s="16" t="str">
        <f>IFERROR(__xludf.DUMMYFUNCTION("""COMPUTED_VALUE"""),"")</f>
        <v/>
      </c>
    </row>
    <row r="333">
      <c r="A333" s="16" t="s">
        <v>87</v>
      </c>
      <c r="E333" s="16" t="str">
        <f>IFERROR(__xludf.DUMMYFUNCTION("""COMPUTED_VALUE"""),"")</f>
        <v/>
      </c>
      <c r="G333" s="18"/>
      <c r="H333" s="16" t="s">
        <v>87</v>
      </c>
      <c r="I333" s="16" t="s">
        <v>87</v>
      </c>
      <c r="J333" s="19"/>
      <c r="L333" s="16" t="str">
        <f>IFERROR(__xludf.DUMMYFUNCTION("""COMPUTED_VALUE"""),"")</f>
        <v/>
      </c>
      <c r="M333" s="16" t="str">
        <f>IFERROR(__xludf.DUMMYFUNCTION("""COMPUTED_VALUE"""),"")</f>
        <v/>
      </c>
      <c r="U333" s="16" t="s">
        <v>87</v>
      </c>
      <c r="V333" s="16" t="str">
        <f>IFERROR(__xludf.DUMMYFUNCTION("""COMPUTED_VALUE"""),"")</f>
        <v/>
      </c>
      <c r="W333" s="16" t="str">
        <f>IFERROR(__xludf.DUMMYFUNCTION("""COMPUTED_VALUE"""),"")</f>
        <v/>
      </c>
      <c r="X333" s="16" t="str">
        <f>IFERROR(__xludf.DUMMYFUNCTION("""COMPUTED_VALUE"""),"")</f>
        <v/>
      </c>
      <c r="AC333" s="16" t="str">
        <f>IFERROR(__xludf.DUMMYFUNCTION("""COMPUTED_VALUE"""),"")</f>
        <v/>
      </c>
    </row>
    <row r="334">
      <c r="A334" s="16" t="s">
        <v>87</v>
      </c>
      <c r="E334" s="16" t="str">
        <f>IFERROR(__xludf.DUMMYFUNCTION("""COMPUTED_VALUE"""),"")</f>
        <v/>
      </c>
      <c r="G334" s="18"/>
      <c r="H334" s="16" t="s">
        <v>87</v>
      </c>
      <c r="I334" s="16" t="s">
        <v>87</v>
      </c>
      <c r="J334" s="19"/>
      <c r="L334" s="16" t="str">
        <f>IFERROR(__xludf.DUMMYFUNCTION("""COMPUTED_VALUE"""),"")</f>
        <v/>
      </c>
      <c r="M334" s="16" t="str">
        <f>IFERROR(__xludf.DUMMYFUNCTION("""COMPUTED_VALUE"""),"")</f>
        <v/>
      </c>
      <c r="U334" s="16" t="s">
        <v>87</v>
      </c>
      <c r="V334" s="16" t="str">
        <f>IFERROR(__xludf.DUMMYFUNCTION("""COMPUTED_VALUE"""),"")</f>
        <v/>
      </c>
      <c r="W334" s="16" t="str">
        <f>IFERROR(__xludf.DUMMYFUNCTION("""COMPUTED_VALUE"""),"")</f>
        <v/>
      </c>
      <c r="X334" s="16" t="str">
        <f>IFERROR(__xludf.DUMMYFUNCTION("""COMPUTED_VALUE"""),"")</f>
        <v/>
      </c>
      <c r="AC334" s="16" t="str">
        <f>IFERROR(__xludf.DUMMYFUNCTION("""COMPUTED_VALUE"""),"")</f>
        <v/>
      </c>
    </row>
    <row r="335">
      <c r="A335" s="16" t="s">
        <v>87</v>
      </c>
      <c r="E335" s="16" t="str">
        <f>IFERROR(__xludf.DUMMYFUNCTION("""COMPUTED_VALUE"""),"")</f>
        <v/>
      </c>
      <c r="G335" s="18"/>
      <c r="H335" s="16" t="s">
        <v>87</v>
      </c>
      <c r="I335" s="16" t="s">
        <v>87</v>
      </c>
      <c r="J335" s="19"/>
      <c r="L335" s="16" t="str">
        <f>IFERROR(__xludf.DUMMYFUNCTION("""COMPUTED_VALUE"""),"")</f>
        <v/>
      </c>
      <c r="M335" s="16" t="str">
        <f>IFERROR(__xludf.DUMMYFUNCTION("""COMPUTED_VALUE"""),"")</f>
        <v/>
      </c>
      <c r="U335" s="16" t="s">
        <v>87</v>
      </c>
      <c r="V335" s="16" t="str">
        <f>IFERROR(__xludf.DUMMYFUNCTION("""COMPUTED_VALUE"""),"")</f>
        <v/>
      </c>
      <c r="W335" s="16" t="str">
        <f>IFERROR(__xludf.DUMMYFUNCTION("""COMPUTED_VALUE"""),"")</f>
        <v/>
      </c>
      <c r="X335" s="16" t="str">
        <f>IFERROR(__xludf.DUMMYFUNCTION("""COMPUTED_VALUE"""),"")</f>
        <v/>
      </c>
      <c r="AC335" s="16" t="str">
        <f>IFERROR(__xludf.DUMMYFUNCTION("""COMPUTED_VALUE"""),"")</f>
        <v/>
      </c>
    </row>
    <row r="336">
      <c r="A336" s="16" t="s">
        <v>87</v>
      </c>
      <c r="E336" s="16" t="str">
        <f>IFERROR(__xludf.DUMMYFUNCTION("""COMPUTED_VALUE"""),"")</f>
        <v/>
      </c>
      <c r="G336" s="18"/>
      <c r="H336" s="16" t="s">
        <v>87</v>
      </c>
      <c r="I336" s="16" t="s">
        <v>87</v>
      </c>
      <c r="J336" s="19"/>
      <c r="L336" s="16" t="str">
        <f>IFERROR(__xludf.DUMMYFUNCTION("""COMPUTED_VALUE"""),"")</f>
        <v/>
      </c>
      <c r="M336" s="16" t="str">
        <f>IFERROR(__xludf.DUMMYFUNCTION("""COMPUTED_VALUE"""),"")</f>
        <v/>
      </c>
      <c r="U336" s="16" t="s">
        <v>87</v>
      </c>
      <c r="V336" s="16" t="str">
        <f>IFERROR(__xludf.DUMMYFUNCTION("""COMPUTED_VALUE"""),"")</f>
        <v/>
      </c>
      <c r="W336" s="16" t="str">
        <f>IFERROR(__xludf.DUMMYFUNCTION("""COMPUTED_VALUE"""),"")</f>
        <v/>
      </c>
      <c r="X336" s="16" t="str">
        <f>IFERROR(__xludf.DUMMYFUNCTION("""COMPUTED_VALUE"""),"")</f>
        <v/>
      </c>
      <c r="AC336" s="16" t="str">
        <f>IFERROR(__xludf.DUMMYFUNCTION("""COMPUTED_VALUE"""),"")</f>
        <v/>
      </c>
    </row>
    <row r="337">
      <c r="A337" s="16" t="s">
        <v>87</v>
      </c>
      <c r="E337" s="16" t="str">
        <f>IFERROR(__xludf.DUMMYFUNCTION("""COMPUTED_VALUE"""),"")</f>
        <v/>
      </c>
      <c r="G337" s="18"/>
      <c r="H337" s="16" t="s">
        <v>87</v>
      </c>
      <c r="I337" s="16" t="s">
        <v>87</v>
      </c>
      <c r="J337" s="19"/>
      <c r="L337" s="16" t="str">
        <f>IFERROR(__xludf.DUMMYFUNCTION("""COMPUTED_VALUE"""),"")</f>
        <v/>
      </c>
      <c r="M337" s="16" t="str">
        <f>IFERROR(__xludf.DUMMYFUNCTION("""COMPUTED_VALUE"""),"")</f>
        <v/>
      </c>
      <c r="U337" s="16" t="s">
        <v>87</v>
      </c>
      <c r="V337" s="16" t="str">
        <f>IFERROR(__xludf.DUMMYFUNCTION("""COMPUTED_VALUE"""),"")</f>
        <v/>
      </c>
      <c r="W337" s="16" t="str">
        <f>IFERROR(__xludf.DUMMYFUNCTION("""COMPUTED_VALUE"""),"")</f>
        <v/>
      </c>
      <c r="X337" s="16" t="str">
        <f>IFERROR(__xludf.DUMMYFUNCTION("""COMPUTED_VALUE"""),"")</f>
        <v/>
      </c>
      <c r="AC337" s="16" t="str">
        <f>IFERROR(__xludf.DUMMYFUNCTION("""COMPUTED_VALUE"""),"")</f>
        <v/>
      </c>
    </row>
    <row r="338">
      <c r="A338" s="16" t="s">
        <v>87</v>
      </c>
      <c r="E338" s="16" t="str">
        <f>IFERROR(__xludf.DUMMYFUNCTION("""COMPUTED_VALUE"""),"")</f>
        <v/>
      </c>
      <c r="G338" s="18"/>
      <c r="H338" s="16" t="s">
        <v>87</v>
      </c>
      <c r="I338" s="16" t="s">
        <v>87</v>
      </c>
      <c r="J338" s="19"/>
      <c r="L338" s="16" t="str">
        <f>IFERROR(__xludf.DUMMYFUNCTION("""COMPUTED_VALUE"""),"")</f>
        <v/>
      </c>
      <c r="M338" s="16" t="str">
        <f>IFERROR(__xludf.DUMMYFUNCTION("""COMPUTED_VALUE"""),"")</f>
        <v/>
      </c>
      <c r="U338" s="16" t="s">
        <v>87</v>
      </c>
      <c r="V338" s="16" t="str">
        <f>IFERROR(__xludf.DUMMYFUNCTION("""COMPUTED_VALUE"""),"")</f>
        <v/>
      </c>
      <c r="W338" s="16" t="str">
        <f>IFERROR(__xludf.DUMMYFUNCTION("""COMPUTED_VALUE"""),"")</f>
        <v/>
      </c>
      <c r="X338" s="16" t="str">
        <f>IFERROR(__xludf.DUMMYFUNCTION("""COMPUTED_VALUE"""),"")</f>
        <v/>
      </c>
      <c r="AC338" s="16" t="str">
        <f>IFERROR(__xludf.DUMMYFUNCTION("""COMPUTED_VALUE"""),"")</f>
        <v/>
      </c>
    </row>
    <row r="339">
      <c r="A339" s="16" t="s">
        <v>87</v>
      </c>
      <c r="E339" s="16" t="str">
        <f>IFERROR(__xludf.DUMMYFUNCTION("""COMPUTED_VALUE"""),"")</f>
        <v/>
      </c>
      <c r="G339" s="18"/>
      <c r="H339" s="16" t="s">
        <v>87</v>
      </c>
      <c r="I339" s="16" t="s">
        <v>87</v>
      </c>
      <c r="J339" s="19"/>
      <c r="L339" s="16" t="str">
        <f>IFERROR(__xludf.DUMMYFUNCTION("""COMPUTED_VALUE"""),"")</f>
        <v/>
      </c>
      <c r="M339" s="16" t="str">
        <f>IFERROR(__xludf.DUMMYFUNCTION("""COMPUTED_VALUE"""),"")</f>
        <v/>
      </c>
      <c r="U339" s="16" t="s">
        <v>87</v>
      </c>
      <c r="V339" s="16" t="str">
        <f>IFERROR(__xludf.DUMMYFUNCTION("""COMPUTED_VALUE"""),"")</f>
        <v/>
      </c>
      <c r="W339" s="16" t="str">
        <f>IFERROR(__xludf.DUMMYFUNCTION("""COMPUTED_VALUE"""),"")</f>
        <v/>
      </c>
      <c r="X339" s="16" t="str">
        <f>IFERROR(__xludf.DUMMYFUNCTION("""COMPUTED_VALUE"""),"")</f>
        <v/>
      </c>
      <c r="AC339" s="16" t="str">
        <f>IFERROR(__xludf.DUMMYFUNCTION("""COMPUTED_VALUE"""),"")</f>
        <v/>
      </c>
    </row>
    <row r="340">
      <c r="A340" s="16" t="s">
        <v>87</v>
      </c>
      <c r="E340" s="16" t="str">
        <f>IFERROR(__xludf.DUMMYFUNCTION("""COMPUTED_VALUE"""),"")</f>
        <v/>
      </c>
      <c r="G340" s="18"/>
      <c r="H340" s="16" t="s">
        <v>87</v>
      </c>
      <c r="I340" s="16" t="s">
        <v>87</v>
      </c>
      <c r="J340" s="19"/>
      <c r="L340" s="16" t="str">
        <f>IFERROR(__xludf.DUMMYFUNCTION("""COMPUTED_VALUE"""),"")</f>
        <v/>
      </c>
      <c r="M340" s="16" t="str">
        <f>IFERROR(__xludf.DUMMYFUNCTION("""COMPUTED_VALUE"""),"")</f>
        <v/>
      </c>
      <c r="U340" s="16" t="s">
        <v>87</v>
      </c>
      <c r="V340" s="16" t="str">
        <f>IFERROR(__xludf.DUMMYFUNCTION("""COMPUTED_VALUE"""),"")</f>
        <v/>
      </c>
      <c r="W340" s="16" t="str">
        <f>IFERROR(__xludf.DUMMYFUNCTION("""COMPUTED_VALUE"""),"")</f>
        <v/>
      </c>
      <c r="X340" s="16" t="str">
        <f>IFERROR(__xludf.DUMMYFUNCTION("""COMPUTED_VALUE"""),"")</f>
        <v/>
      </c>
      <c r="AC340" s="16" t="str">
        <f>IFERROR(__xludf.DUMMYFUNCTION("""COMPUTED_VALUE"""),"")</f>
        <v/>
      </c>
    </row>
    <row r="341">
      <c r="A341" s="16" t="s">
        <v>87</v>
      </c>
      <c r="E341" s="16" t="str">
        <f>IFERROR(__xludf.DUMMYFUNCTION("""COMPUTED_VALUE"""),"")</f>
        <v/>
      </c>
      <c r="G341" s="18"/>
      <c r="H341" s="16" t="s">
        <v>87</v>
      </c>
      <c r="I341" s="16" t="s">
        <v>87</v>
      </c>
      <c r="J341" s="19"/>
      <c r="L341" s="16" t="str">
        <f>IFERROR(__xludf.DUMMYFUNCTION("""COMPUTED_VALUE"""),"")</f>
        <v/>
      </c>
      <c r="M341" s="16" t="str">
        <f>IFERROR(__xludf.DUMMYFUNCTION("""COMPUTED_VALUE"""),"")</f>
        <v/>
      </c>
      <c r="U341" s="16" t="s">
        <v>87</v>
      </c>
      <c r="V341" s="16" t="str">
        <f>IFERROR(__xludf.DUMMYFUNCTION("""COMPUTED_VALUE"""),"")</f>
        <v/>
      </c>
      <c r="W341" s="16" t="str">
        <f>IFERROR(__xludf.DUMMYFUNCTION("""COMPUTED_VALUE"""),"")</f>
        <v/>
      </c>
      <c r="X341" s="16" t="str">
        <f>IFERROR(__xludf.DUMMYFUNCTION("""COMPUTED_VALUE"""),"")</f>
        <v/>
      </c>
      <c r="AC341" s="16" t="str">
        <f>IFERROR(__xludf.DUMMYFUNCTION("""COMPUTED_VALUE"""),"")</f>
        <v/>
      </c>
    </row>
    <row r="342">
      <c r="A342" s="16" t="s">
        <v>87</v>
      </c>
      <c r="E342" s="16" t="str">
        <f>IFERROR(__xludf.DUMMYFUNCTION("""COMPUTED_VALUE"""),"")</f>
        <v/>
      </c>
      <c r="G342" s="18"/>
      <c r="H342" s="16" t="s">
        <v>87</v>
      </c>
      <c r="I342" s="16" t="s">
        <v>87</v>
      </c>
      <c r="J342" s="19"/>
      <c r="L342" s="16" t="str">
        <f>IFERROR(__xludf.DUMMYFUNCTION("""COMPUTED_VALUE"""),"")</f>
        <v/>
      </c>
      <c r="M342" s="16" t="str">
        <f>IFERROR(__xludf.DUMMYFUNCTION("""COMPUTED_VALUE"""),"")</f>
        <v/>
      </c>
      <c r="U342" s="16" t="s">
        <v>87</v>
      </c>
      <c r="V342" s="16" t="str">
        <f>IFERROR(__xludf.DUMMYFUNCTION("""COMPUTED_VALUE"""),"")</f>
        <v/>
      </c>
      <c r="W342" s="16" t="str">
        <f>IFERROR(__xludf.DUMMYFUNCTION("""COMPUTED_VALUE"""),"")</f>
        <v/>
      </c>
      <c r="X342" s="16" t="str">
        <f>IFERROR(__xludf.DUMMYFUNCTION("""COMPUTED_VALUE"""),"")</f>
        <v/>
      </c>
      <c r="AC342" s="16" t="str">
        <f>IFERROR(__xludf.DUMMYFUNCTION("""COMPUTED_VALUE"""),"")</f>
        <v/>
      </c>
    </row>
    <row r="343">
      <c r="A343" s="16" t="s">
        <v>87</v>
      </c>
      <c r="E343" s="16" t="str">
        <f>IFERROR(__xludf.DUMMYFUNCTION("""COMPUTED_VALUE"""),"")</f>
        <v/>
      </c>
      <c r="G343" s="18"/>
      <c r="H343" s="16" t="s">
        <v>87</v>
      </c>
      <c r="I343" s="16" t="s">
        <v>87</v>
      </c>
      <c r="J343" s="19"/>
      <c r="L343" s="16" t="str">
        <f>IFERROR(__xludf.DUMMYFUNCTION("""COMPUTED_VALUE"""),"")</f>
        <v/>
      </c>
      <c r="M343" s="16" t="str">
        <f>IFERROR(__xludf.DUMMYFUNCTION("""COMPUTED_VALUE"""),"")</f>
        <v/>
      </c>
      <c r="U343" s="16" t="s">
        <v>87</v>
      </c>
      <c r="V343" s="16" t="str">
        <f>IFERROR(__xludf.DUMMYFUNCTION("""COMPUTED_VALUE"""),"")</f>
        <v/>
      </c>
      <c r="W343" s="16" t="str">
        <f>IFERROR(__xludf.DUMMYFUNCTION("""COMPUTED_VALUE"""),"")</f>
        <v/>
      </c>
      <c r="X343" s="16" t="str">
        <f>IFERROR(__xludf.DUMMYFUNCTION("""COMPUTED_VALUE"""),"")</f>
        <v/>
      </c>
      <c r="AC343" s="16" t="str">
        <f>IFERROR(__xludf.DUMMYFUNCTION("""COMPUTED_VALUE"""),"")</f>
        <v/>
      </c>
    </row>
    <row r="344">
      <c r="A344" s="16" t="s">
        <v>87</v>
      </c>
      <c r="E344" s="16" t="str">
        <f>IFERROR(__xludf.DUMMYFUNCTION("""COMPUTED_VALUE"""),"")</f>
        <v/>
      </c>
      <c r="G344" s="18"/>
      <c r="H344" s="16" t="s">
        <v>87</v>
      </c>
      <c r="I344" s="16" t="s">
        <v>87</v>
      </c>
      <c r="J344" s="19"/>
      <c r="L344" s="16" t="str">
        <f>IFERROR(__xludf.DUMMYFUNCTION("""COMPUTED_VALUE"""),"")</f>
        <v/>
      </c>
      <c r="M344" s="16" t="str">
        <f>IFERROR(__xludf.DUMMYFUNCTION("""COMPUTED_VALUE"""),"")</f>
        <v/>
      </c>
      <c r="U344" s="16" t="s">
        <v>87</v>
      </c>
      <c r="V344" s="16" t="str">
        <f>IFERROR(__xludf.DUMMYFUNCTION("""COMPUTED_VALUE"""),"")</f>
        <v/>
      </c>
      <c r="W344" s="16" t="str">
        <f>IFERROR(__xludf.DUMMYFUNCTION("""COMPUTED_VALUE"""),"")</f>
        <v/>
      </c>
      <c r="X344" s="16" t="str">
        <f>IFERROR(__xludf.DUMMYFUNCTION("""COMPUTED_VALUE"""),"")</f>
        <v/>
      </c>
      <c r="AC344" s="16" t="str">
        <f>IFERROR(__xludf.DUMMYFUNCTION("""COMPUTED_VALUE"""),"")</f>
        <v/>
      </c>
    </row>
    <row r="345">
      <c r="A345" s="16" t="s">
        <v>87</v>
      </c>
      <c r="E345" s="16" t="str">
        <f>IFERROR(__xludf.DUMMYFUNCTION("""COMPUTED_VALUE"""),"")</f>
        <v/>
      </c>
      <c r="G345" s="18"/>
      <c r="H345" s="16" t="s">
        <v>87</v>
      </c>
      <c r="I345" s="16" t="s">
        <v>87</v>
      </c>
      <c r="J345" s="19"/>
      <c r="L345" s="16" t="str">
        <f>IFERROR(__xludf.DUMMYFUNCTION("""COMPUTED_VALUE"""),"")</f>
        <v/>
      </c>
      <c r="M345" s="16" t="str">
        <f>IFERROR(__xludf.DUMMYFUNCTION("""COMPUTED_VALUE"""),"")</f>
        <v/>
      </c>
      <c r="U345" s="16" t="s">
        <v>87</v>
      </c>
      <c r="V345" s="16" t="str">
        <f>IFERROR(__xludf.DUMMYFUNCTION("""COMPUTED_VALUE"""),"")</f>
        <v/>
      </c>
      <c r="W345" s="16" t="str">
        <f>IFERROR(__xludf.DUMMYFUNCTION("""COMPUTED_VALUE"""),"")</f>
        <v/>
      </c>
      <c r="X345" s="16" t="str">
        <f>IFERROR(__xludf.DUMMYFUNCTION("""COMPUTED_VALUE"""),"")</f>
        <v/>
      </c>
      <c r="AC345" s="16" t="str">
        <f>IFERROR(__xludf.DUMMYFUNCTION("""COMPUTED_VALUE"""),"")</f>
        <v/>
      </c>
    </row>
    <row r="346">
      <c r="A346" s="16" t="s">
        <v>87</v>
      </c>
      <c r="E346" s="16" t="str">
        <f>IFERROR(__xludf.DUMMYFUNCTION("""COMPUTED_VALUE"""),"")</f>
        <v/>
      </c>
      <c r="G346" s="18"/>
      <c r="H346" s="16" t="s">
        <v>87</v>
      </c>
      <c r="I346" s="16" t="s">
        <v>87</v>
      </c>
      <c r="J346" s="19"/>
      <c r="L346" s="16" t="str">
        <f>IFERROR(__xludf.DUMMYFUNCTION("""COMPUTED_VALUE"""),"")</f>
        <v/>
      </c>
      <c r="M346" s="16" t="str">
        <f>IFERROR(__xludf.DUMMYFUNCTION("""COMPUTED_VALUE"""),"")</f>
        <v/>
      </c>
      <c r="U346" s="16" t="s">
        <v>87</v>
      </c>
      <c r="V346" s="16" t="str">
        <f>IFERROR(__xludf.DUMMYFUNCTION("""COMPUTED_VALUE"""),"")</f>
        <v/>
      </c>
      <c r="W346" s="16" t="str">
        <f>IFERROR(__xludf.DUMMYFUNCTION("""COMPUTED_VALUE"""),"")</f>
        <v/>
      </c>
      <c r="X346" s="16" t="str">
        <f>IFERROR(__xludf.DUMMYFUNCTION("""COMPUTED_VALUE"""),"")</f>
        <v/>
      </c>
      <c r="AC346" s="16" t="str">
        <f>IFERROR(__xludf.DUMMYFUNCTION("""COMPUTED_VALUE"""),"")</f>
        <v/>
      </c>
    </row>
    <row r="347">
      <c r="A347" s="16" t="s">
        <v>87</v>
      </c>
      <c r="E347" s="16" t="str">
        <f>IFERROR(__xludf.DUMMYFUNCTION("""COMPUTED_VALUE"""),"")</f>
        <v/>
      </c>
      <c r="G347" s="18"/>
      <c r="H347" s="16" t="s">
        <v>87</v>
      </c>
      <c r="I347" s="16" t="s">
        <v>87</v>
      </c>
      <c r="J347" s="19"/>
      <c r="L347" s="16" t="str">
        <f>IFERROR(__xludf.DUMMYFUNCTION("""COMPUTED_VALUE"""),"")</f>
        <v/>
      </c>
      <c r="M347" s="16" t="str">
        <f>IFERROR(__xludf.DUMMYFUNCTION("""COMPUTED_VALUE"""),"")</f>
        <v/>
      </c>
      <c r="U347" s="16" t="s">
        <v>87</v>
      </c>
      <c r="V347" s="16" t="str">
        <f>IFERROR(__xludf.DUMMYFUNCTION("""COMPUTED_VALUE"""),"")</f>
        <v/>
      </c>
      <c r="W347" s="16" t="str">
        <f>IFERROR(__xludf.DUMMYFUNCTION("""COMPUTED_VALUE"""),"")</f>
        <v/>
      </c>
      <c r="X347" s="16" t="str">
        <f>IFERROR(__xludf.DUMMYFUNCTION("""COMPUTED_VALUE"""),"")</f>
        <v/>
      </c>
      <c r="AC347" s="16" t="str">
        <f>IFERROR(__xludf.DUMMYFUNCTION("""COMPUTED_VALUE"""),"")</f>
        <v/>
      </c>
    </row>
    <row r="348">
      <c r="A348" s="16" t="s">
        <v>87</v>
      </c>
      <c r="E348" s="16" t="str">
        <f>IFERROR(__xludf.DUMMYFUNCTION("""COMPUTED_VALUE"""),"")</f>
        <v/>
      </c>
      <c r="G348" s="18"/>
      <c r="H348" s="16" t="s">
        <v>87</v>
      </c>
      <c r="I348" s="16" t="s">
        <v>87</v>
      </c>
      <c r="J348" s="19"/>
      <c r="L348" s="16" t="str">
        <f>IFERROR(__xludf.DUMMYFUNCTION("""COMPUTED_VALUE"""),"")</f>
        <v/>
      </c>
      <c r="M348" s="16" t="str">
        <f>IFERROR(__xludf.DUMMYFUNCTION("""COMPUTED_VALUE"""),"")</f>
        <v/>
      </c>
      <c r="U348" s="16" t="s">
        <v>87</v>
      </c>
      <c r="V348" s="16" t="str">
        <f>IFERROR(__xludf.DUMMYFUNCTION("""COMPUTED_VALUE"""),"")</f>
        <v/>
      </c>
      <c r="W348" s="16" t="str">
        <f>IFERROR(__xludf.DUMMYFUNCTION("""COMPUTED_VALUE"""),"")</f>
        <v/>
      </c>
      <c r="X348" s="16" t="str">
        <f>IFERROR(__xludf.DUMMYFUNCTION("""COMPUTED_VALUE"""),"")</f>
        <v/>
      </c>
      <c r="AC348" s="16" t="str">
        <f>IFERROR(__xludf.DUMMYFUNCTION("""COMPUTED_VALUE"""),"")</f>
        <v/>
      </c>
    </row>
    <row r="349">
      <c r="A349" s="16" t="s">
        <v>87</v>
      </c>
      <c r="E349" s="16" t="str">
        <f>IFERROR(__xludf.DUMMYFUNCTION("""COMPUTED_VALUE"""),"")</f>
        <v/>
      </c>
      <c r="G349" s="18"/>
      <c r="H349" s="16" t="s">
        <v>87</v>
      </c>
      <c r="I349" s="16" t="s">
        <v>87</v>
      </c>
      <c r="J349" s="19"/>
      <c r="L349" s="16" t="str">
        <f>IFERROR(__xludf.DUMMYFUNCTION("""COMPUTED_VALUE"""),"")</f>
        <v/>
      </c>
      <c r="M349" s="16" t="str">
        <f>IFERROR(__xludf.DUMMYFUNCTION("""COMPUTED_VALUE"""),"")</f>
        <v/>
      </c>
      <c r="U349" s="16" t="s">
        <v>87</v>
      </c>
      <c r="V349" s="16" t="str">
        <f>IFERROR(__xludf.DUMMYFUNCTION("""COMPUTED_VALUE"""),"")</f>
        <v/>
      </c>
      <c r="W349" s="16" t="str">
        <f>IFERROR(__xludf.DUMMYFUNCTION("""COMPUTED_VALUE"""),"")</f>
        <v/>
      </c>
      <c r="X349" s="16" t="str">
        <f>IFERROR(__xludf.DUMMYFUNCTION("""COMPUTED_VALUE"""),"")</f>
        <v/>
      </c>
      <c r="AC349" s="16" t="str">
        <f>IFERROR(__xludf.DUMMYFUNCTION("""COMPUTED_VALUE"""),"")</f>
        <v/>
      </c>
    </row>
    <row r="350">
      <c r="A350" s="16" t="s">
        <v>87</v>
      </c>
      <c r="E350" s="16" t="str">
        <f>IFERROR(__xludf.DUMMYFUNCTION("""COMPUTED_VALUE"""),"")</f>
        <v/>
      </c>
      <c r="G350" s="18"/>
      <c r="H350" s="16" t="s">
        <v>87</v>
      </c>
      <c r="I350" s="16" t="s">
        <v>87</v>
      </c>
      <c r="J350" s="19"/>
      <c r="L350" s="16" t="str">
        <f>IFERROR(__xludf.DUMMYFUNCTION("""COMPUTED_VALUE"""),"")</f>
        <v/>
      </c>
      <c r="M350" s="16" t="str">
        <f>IFERROR(__xludf.DUMMYFUNCTION("""COMPUTED_VALUE"""),"")</f>
        <v/>
      </c>
      <c r="U350" s="16" t="s">
        <v>87</v>
      </c>
      <c r="V350" s="16" t="str">
        <f>IFERROR(__xludf.DUMMYFUNCTION("""COMPUTED_VALUE"""),"")</f>
        <v/>
      </c>
      <c r="W350" s="16" t="str">
        <f>IFERROR(__xludf.DUMMYFUNCTION("""COMPUTED_VALUE"""),"")</f>
        <v/>
      </c>
      <c r="X350" s="16" t="str">
        <f>IFERROR(__xludf.DUMMYFUNCTION("""COMPUTED_VALUE"""),"")</f>
        <v/>
      </c>
      <c r="AC350" s="16" t="str">
        <f>IFERROR(__xludf.DUMMYFUNCTION("""COMPUTED_VALUE"""),"")</f>
        <v/>
      </c>
    </row>
    <row r="351">
      <c r="A351" s="16" t="s">
        <v>87</v>
      </c>
      <c r="E351" s="16" t="str">
        <f>IFERROR(__xludf.DUMMYFUNCTION("""COMPUTED_VALUE"""),"")</f>
        <v/>
      </c>
      <c r="G351" s="18"/>
      <c r="H351" s="16" t="s">
        <v>87</v>
      </c>
      <c r="I351" s="16" t="s">
        <v>87</v>
      </c>
      <c r="J351" s="19"/>
      <c r="L351" s="16" t="str">
        <f>IFERROR(__xludf.DUMMYFUNCTION("""COMPUTED_VALUE"""),"")</f>
        <v/>
      </c>
      <c r="M351" s="16" t="str">
        <f>IFERROR(__xludf.DUMMYFUNCTION("""COMPUTED_VALUE"""),"")</f>
        <v/>
      </c>
      <c r="U351" s="16" t="s">
        <v>87</v>
      </c>
      <c r="V351" s="16" t="str">
        <f>IFERROR(__xludf.DUMMYFUNCTION("""COMPUTED_VALUE"""),"")</f>
        <v/>
      </c>
      <c r="W351" s="16" t="str">
        <f>IFERROR(__xludf.DUMMYFUNCTION("""COMPUTED_VALUE"""),"")</f>
        <v/>
      </c>
      <c r="X351" s="16" t="str">
        <f>IFERROR(__xludf.DUMMYFUNCTION("""COMPUTED_VALUE"""),"")</f>
        <v/>
      </c>
      <c r="AC351" s="16" t="str">
        <f>IFERROR(__xludf.DUMMYFUNCTION("""COMPUTED_VALUE"""),"")</f>
        <v/>
      </c>
    </row>
    <row r="352">
      <c r="A352" s="16" t="s">
        <v>87</v>
      </c>
      <c r="E352" s="16" t="str">
        <f>IFERROR(__xludf.DUMMYFUNCTION("""COMPUTED_VALUE"""),"")</f>
        <v/>
      </c>
      <c r="G352" s="18"/>
      <c r="H352" s="16" t="s">
        <v>87</v>
      </c>
      <c r="I352" s="16" t="s">
        <v>87</v>
      </c>
      <c r="J352" s="19"/>
      <c r="L352" s="16" t="str">
        <f>IFERROR(__xludf.DUMMYFUNCTION("""COMPUTED_VALUE"""),"")</f>
        <v/>
      </c>
      <c r="M352" s="16" t="str">
        <f>IFERROR(__xludf.DUMMYFUNCTION("""COMPUTED_VALUE"""),"")</f>
        <v/>
      </c>
      <c r="U352" s="16" t="s">
        <v>87</v>
      </c>
      <c r="V352" s="16" t="str">
        <f>IFERROR(__xludf.DUMMYFUNCTION("""COMPUTED_VALUE"""),"")</f>
        <v/>
      </c>
      <c r="W352" s="16" t="str">
        <f>IFERROR(__xludf.DUMMYFUNCTION("""COMPUTED_VALUE"""),"")</f>
        <v/>
      </c>
      <c r="X352" s="16" t="str">
        <f>IFERROR(__xludf.DUMMYFUNCTION("""COMPUTED_VALUE"""),"")</f>
        <v/>
      </c>
      <c r="AC352" s="16" t="str">
        <f>IFERROR(__xludf.DUMMYFUNCTION("""COMPUTED_VALUE"""),"")</f>
        <v/>
      </c>
    </row>
    <row r="353">
      <c r="A353" s="16" t="s">
        <v>87</v>
      </c>
      <c r="E353" s="16" t="str">
        <f>IFERROR(__xludf.DUMMYFUNCTION("""COMPUTED_VALUE"""),"")</f>
        <v/>
      </c>
      <c r="G353" s="18"/>
      <c r="H353" s="16" t="s">
        <v>87</v>
      </c>
      <c r="I353" s="16" t="s">
        <v>87</v>
      </c>
      <c r="J353" s="19"/>
      <c r="L353" s="16" t="str">
        <f>IFERROR(__xludf.DUMMYFUNCTION("""COMPUTED_VALUE"""),"")</f>
        <v/>
      </c>
      <c r="M353" s="16" t="str">
        <f>IFERROR(__xludf.DUMMYFUNCTION("""COMPUTED_VALUE"""),"")</f>
        <v/>
      </c>
      <c r="U353" s="16" t="s">
        <v>87</v>
      </c>
      <c r="V353" s="16" t="str">
        <f>IFERROR(__xludf.DUMMYFUNCTION("""COMPUTED_VALUE"""),"")</f>
        <v/>
      </c>
      <c r="W353" s="16" t="str">
        <f>IFERROR(__xludf.DUMMYFUNCTION("""COMPUTED_VALUE"""),"")</f>
        <v/>
      </c>
      <c r="X353" s="16" t="str">
        <f>IFERROR(__xludf.DUMMYFUNCTION("""COMPUTED_VALUE"""),"")</f>
        <v/>
      </c>
      <c r="AC353" s="16" t="str">
        <f>IFERROR(__xludf.DUMMYFUNCTION("""COMPUTED_VALUE"""),"")</f>
        <v/>
      </c>
    </row>
    <row r="354">
      <c r="A354" s="16" t="s">
        <v>87</v>
      </c>
      <c r="E354" s="16" t="str">
        <f>IFERROR(__xludf.DUMMYFUNCTION("""COMPUTED_VALUE"""),"")</f>
        <v/>
      </c>
      <c r="G354" s="18"/>
      <c r="H354" s="16" t="s">
        <v>87</v>
      </c>
      <c r="I354" s="16" t="s">
        <v>87</v>
      </c>
      <c r="J354" s="19"/>
      <c r="L354" s="16" t="str">
        <f>IFERROR(__xludf.DUMMYFUNCTION("""COMPUTED_VALUE"""),"")</f>
        <v/>
      </c>
      <c r="M354" s="16" t="str">
        <f>IFERROR(__xludf.DUMMYFUNCTION("""COMPUTED_VALUE"""),"")</f>
        <v/>
      </c>
      <c r="U354" s="16" t="s">
        <v>87</v>
      </c>
      <c r="V354" s="16" t="str">
        <f>IFERROR(__xludf.DUMMYFUNCTION("""COMPUTED_VALUE"""),"")</f>
        <v/>
      </c>
      <c r="W354" s="16" t="str">
        <f>IFERROR(__xludf.DUMMYFUNCTION("""COMPUTED_VALUE"""),"")</f>
        <v/>
      </c>
      <c r="X354" s="16" t="str">
        <f>IFERROR(__xludf.DUMMYFUNCTION("""COMPUTED_VALUE"""),"")</f>
        <v/>
      </c>
      <c r="AC354" s="16" t="str">
        <f>IFERROR(__xludf.DUMMYFUNCTION("""COMPUTED_VALUE"""),"")</f>
        <v/>
      </c>
    </row>
    <row r="355">
      <c r="A355" s="16" t="s">
        <v>87</v>
      </c>
      <c r="E355" s="16" t="str">
        <f>IFERROR(__xludf.DUMMYFUNCTION("""COMPUTED_VALUE"""),"")</f>
        <v/>
      </c>
      <c r="G355" s="18"/>
      <c r="H355" s="16" t="s">
        <v>87</v>
      </c>
      <c r="I355" s="16" t="s">
        <v>87</v>
      </c>
      <c r="J355" s="19"/>
      <c r="L355" s="16" t="str">
        <f>IFERROR(__xludf.DUMMYFUNCTION("""COMPUTED_VALUE"""),"")</f>
        <v/>
      </c>
      <c r="M355" s="16" t="str">
        <f>IFERROR(__xludf.DUMMYFUNCTION("""COMPUTED_VALUE"""),"")</f>
        <v/>
      </c>
      <c r="U355" s="16" t="s">
        <v>87</v>
      </c>
      <c r="V355" s="16" t="str">
        <f>IFERROR(__xludf.DUMMYFUNCTION("""COMPUTED_VALUE"""),"")</f>
        <v/>
      </c>
      <c r="W355" s="16" t="str">
        <f>IFERROR(__xludf.DUMMYFUNCTION("""COMPUTED_VALUE"""),"")</f>
        <v/>
      </c>
      <c r="X355" s="16" t="str">
        <f>IFERROR(__xludf.DUMMYFUNCTION("""COMPUTED_VALUE"""),"")</f>
        <v/>
      </c>
      <c r="AC355" s="16" t="str">
        <f>IFERROR(__xludf.DUMMYFUNCTION("""COMPUTED_VALUE"""),"")</f>
        <v/>
      </c>
    </row>
    <row r="356">
      <c r="A356" s="16" t="s">
        <v>87</v>
      </c>
      <c r="E356" s="16" t="str">
        <f>IFERROR(__xludf.DUMMYFUNCTION("""COMPUTED_VALUE"""),"")</f>
        <v/>
      </c>
      <c r="G356" s="18"/>
      <c r="H356" s="16" t="s">
        <v>87</v>
      </c>
      <c r="I356" s="16" t="s">
        <v>87</v>
      </c>
      <c r="J356" s="19"/>
      <c r="L356" s="16" t="str">
        <f>IFERROR(__xludf.DUMMYFUNCTION("""COMPUTED_VALUE"""),"")</f>
        <v/>
      </c>
      <c r="M356" s="16" t="str">
        <f>IFERROR(__xludf.DUMMYFUNCTION("""COMPUTED_VALUE"""),"")</f>
        <v/>
      </c>
      <c r="U356" s="16" t="s">
        <v>87</v>
      </c>
      <c r="V356" s="16" t="str">
        <f>IFERROR(__xludf.DUMMYFUNCTION("""COMPUTED_VALUE"""),"")</f>
        <v/>
      </c>
      <c r="W356" s="16" t="str">
        <f>IFERROR(__xludf.DUMMYFUNCTION("""COMPUTED_VALUE"""),"")</f>
        <v/>
      </c>
      <c r="X356" s="16" t="str">
        <f>IFERROR(__xludf.DUMMYFUNCTION("""COMPUTED_VALUE"""),"")</f>
        <v/>
      </c>
      <c r="AC356" s="16" t="str">
        <f>IFERROR(__xludf.DUMMYFUNCTION("""COMPUTED_VALUE"""),"")</f>
        <v/>
      </c>
    </row>
    <row r="357">
      <c r="A357" s="16" t="s">
        <v>87</v>
      </c>
      <c r="E357" s="16" t="str">
        <f>IFERROR(__xludf.DUMMYFUNCTION("""COMPUTED_VALUE"""),"")</f>
        <v/>
      </c>
      <c r="G357" s="18"/>
      <c r="H357" s="16" t="s">
        <v>87</v>
      </c>
      <c r="I357" s="16" t="s">
        <v>87</v>
      </c>
      <c r="J357" s="19"/>
      <c r="L357" s="16" t="str">
        <f>IFERROR(__xludf.DUMMYFUNCTION("""COMPUTED_VALUE"""),"")</f>
        <v/>
      </c>
      <c r="M357" s="16" t="str">
        <f>IFERROR(__xludf.DUMMYFUNCTION("""COMPUTED_VALUE"""),"")</f>
        <v/>
      </c>
      <c r="U357" s="16" t="s">
        <v>87</v>
      </c>
      <c r="V357" s="16" t="str">
        <f>IFERROR(__xludf.DUMMYFUNCTION("""COMPUTED_VALUE"""),"")</f>
        <v/>
      </c>
      <c r="W357" s="16" t="str">
        <f>IFERROR(__xludf.DUMMYFUNCTION("""COMPUTED_VALUE"""),"")</f>
        <v/>
      </c>
      <c r="X357" s="16" t="str">
        <f>IFERROR(__xludf.DUMMYFUNCTION("""COMPUTED_VALUE"""),"")</f>
        <v/>
      </c>
      <c r="AC357" s="16" t="str">
        <f>IFERROR(__xludf.DUMMYFUNCTION("""COMPUTED_VALUE"""),"")</f>
        <v/>
      </c>
    </row>
    <row r="358">
      <c r="A358" s="16" t="s">
        <v>87</v>
      </c>
      <c r="E358" s="16" t="str">
        <f>IFERROR(__xludf.DUMMYFUNCTION("""COMPUTED_VALUE"""),"")</f>
        <v/>
      </c>
      <c r="G358" s="18"/>
      <c r="H358" s="16" t="s">
        <v>87</v>
      </c>
      <c r="I358" s="16" t="s">
        <v>87</v>
      </c>
      <c r="J358" s="19"/>
      <c r="L358" s="16" t="str">
        <f>IFERROR(__xludf.DUMMYFUNCTION("""COMPUTED_VALUE"""),"")</f>
        <v/>
      </c>
      <c r="M358" s="16" t="str">
        <f>IFERROR(__xludf.DUMMYFUNCTION("""COMPUTED_VALUE"""),"")</f>
        <v/>
      </c>
      <c r="U358" s="16" t="s">
        <v>87</v>
      </c>
      <c r="V358" s="16" t="str">
        <f>IFERROR(__xludf.DUMMYFUNCTION("""COMPUTED_VALUE"""),"")</f>
        <v/>
      </c>
      <c r="W358" s="16" t="str">
        <f>IFERROR(__xludf.DUMMYFUNCTION("""COMPUTED_VALUE"""),"")</f>
        <v/>
      </c>
      <c r="X358" s="16" t="str">
        <f>IFERROR(__xludf.DUMMYFUNCTION("""COMPUTED_VALUE"""),"")</f>
        <v/>
      </c>
      <c r="AC358" s="16" t="str">
        <f>IFERROR(__xludf.DUMMYFUNCTION("""COMPUTED_VALUE"""),"")</f>
        <v/>
      </c>
    </row>
    <row r="359">
      <c r="A359" s="16" t="s">
        <v>87</v>
      </c>
      <c r="E359" s="16" t="str">
        <f>IFERROR(__xludf.DUMMYFUNCTION("""COMPUTED_VALUE"""),"")</f>
        <v/>
      </c>
      <c r="G359" s="18"/>
      <c r="H359" s="16" t="s">
        <v>87</v>
      </c>
      <c r="I359" s="16" t="s">
        <v>87</v>
      </c>
      <c r="J359" s="19"/>
      <c r="L359" s="16" t="str">
        <f>IFERROR(__xludf.DUMMYFUNCTION("""COMPUTED_VALUE"""),"")</f>
        <v/>
      </c>
      <c r="M359" s="16" t="str">
        <f>IFERROR(__xludf.DUMMYFUNCTION("""COMPUTED_VALUE"""),"")</f>
        <v/>
      </c>
      <c r="U359" s="16" t="s">
        <v>87</v>
      </c>
      <c r="V359" s="16" t="str">
        <f>IFERROR(__xludf.DUMMYFUNCTION("""COMPUTED_VALUE"""),"")</f>
        <v/>
      </c>
      <c r="W359" s="16" t="str">
        <f>IFERROR(__xludf.DUMMYFUNCTION("""COMPUTED_VALUE"""),"")</f>
        <v/>
      </c>
      <c r="X359" s="16" t="str">
        <f>IFERROR(__xludf.DUMMYFUNCTION("""COMPUTED_VALUE"""),"")</f>
        <v/>
      </c>
      <c r="AC359" s="16" t="str">
        <f>IFERROR(__xludf.DUMMYFUNCTION("""COMPUTED_VALUE"""),"")</f>
        <v/>
      </c>
    </row>
    <row r="360">
      <c r="A360" s="16" t="s">
        <v>87</v>
      </c>
      <c r="E360" s="16" t="str">
        <f>IFERROR(__xludf.DUMMYFUNCTION("""COMPUTED_VALUE"""),"")</f>
        <v/>
      </c>
      <c r="G360" s="18"/>
      <c r="H360" s="16" t="s">
        <v>87</v>
      </c>
      <c r="I360" s="16" t="s">
        <v>87</v>
      </c>
      <c r="J360" s="19"/>
      <c r="L360" s="16" t="str">
        <f>IFERROR(__xludf.DUMMYFUNCTION("""COMPUTED_VALUE"""),"")</f>
        <v/>
      </c>
      <c r="M360" s="16" t="str">
        <f>IFERROR(__xludf.DUMMYFUNCTION("""COMPUTED_VALUE"""),"")</f>
        <v/>
      </c>
      <c r="U360" s="16" t="s">
        <v>87</v>
      </c>
      <c r="V360" s="16" t="str">
        <f>IFERROR(__xludf.DUMMYFUNCTION("""COMPUTED_VALUE"""),"")</f>
        <v/>
      </c>
      <c r="W360" s="16" t="str">
        <f>IFERROR(__xludf.DUMMYFUNCTION("""COMPUTED_VALUE"""),"")</f>
        <v/>
      </c>
      <c r="X360" s="16" t="str">
        <f>IFERROR(__xludf.DUMMYFUNCTION("""COMPUTED_VALUE"""),"")</f>
        <v/>
      </c>
      <c r="AC360" s="16" t="str">
        <f>IFERROR(__xludf.DUMMYFUNCTION("""COMPUTED_VALUE"""),"")</f>
        <v/>
      </c>
    </row>
    <row r="361">
      <c r="A361" s="16" t="s">
        <v>87</v>
      </c>
      <c r="E361" s="16" t="str">
        <f>IFERROR(__xludf.DUMMYFUNCTION("""COMPUTED_VALUE"""),"")</f>
        <v/>
      </c>
      <c r="G361" s="18"/>
      <c r="H361" s="16" t="s">
        <v>87</v>
      </c>
      <c r="I361" s="16" t="s">
        <v>87</v>
      </c>
      <c r="J361" s="19"/>
      <c r="L361" s="16" t="str">
        <f>IFERROR(__xludf.DUMMYFUNCTION("""COMPUTED_VALUE"""),"")</f>
        <v/>
      </c>
      <c r="M361" s="16" t="str">
        <f>IFERROR(__xludf.DUMMYFUNCTION("""COMPUTED_VALUE"""),"")</f>
        <v/>
      </c>
      <c r="U361" s="16" t="s">
        <v>87</v>
      </c>
      <c r="V361" s="16" t="str">
        <f>IFERROR(__xludf.DUMMYFUNCTION("""COMPUTED_VALUE"""),"")</f>
        <v/>
      </c>
      <c r="W361" s="16" t="str">
        <f>IFERROR(__xludf.DUMMYFUNCTION("""COMPUTED_VALUE"""),"")</f>
        <v/>
      </c>
      <c r="X361" s="16" t="str">
        <f>IFERROR(__xludf.DUMMYFUNCTION("""COMPUTED_VALUE"""),"")</f>
        <v/>
      </c>
      <c r="AC361" s="16" t="str">
        <f>IFERROR(__xludf.DUMMYFUNCTION("""COMPUTED_VALUE"""),"")</f>
        <v/>
      </c>
    </row>
    <row r="362">
      <c r="A362" s="16" t="s">
        <v>87</v>
      </c>
      <c r="E362" s="16" t="str">
        <f>IFERROR(__xludf.DUMMYFUNCTION("""COMPUTED_VALUE"""),"")</f>
        <v/>
      </c>
      <c r="G362" s="18"/>
      <c r="H362" s="16" t="s">
        <v>87</v>
      </c>
      <c r="I362" s="16" t="s">
        <v>87</v>
      </c>
      <c r="J362" s="19"/>
      <c r="L362" s="16" t="str">
        <f>IFERROR(__xludf.DUMMYFUNCTION("""COMPUTED_VALUE"""),"")</f>
        <v/>
      </c>
      <c r="M362" s="16" t="str">
        <f>IFERROR(__xludf.DUMMYFUNCTION("""COMPUTED_VALUE"""),"")</f>
        <v/>
      </c>
      <c r="U362" s="16" t="s">
        <v>87</v>
      </c>
      <c r="V362" s="16" t="str">
        <f>IFERROR(__xludf.DUMMYFUNCTION("""COMPUTED_VALUE"""),"")</f>
        <v/>
      </c>
      <c r="W362" s="16" t="str">
        <f>IFERROR(__xludf.DUMMYFUNCTION("""COMPUTED_VALUE"""),"")</f>
        <v/>
      </c>
      <c r="X362" s="16" t="str">
        <f>IFERROR(__xludf.DUMMYFUNCTION("""COMPUTED_VALUE"""),"")</f>
        <v/>
      </c>
      <c r="AC362" s="16" t="str">
        <f>IFERROR(__xludf.DUMMYFUNCTION("""COMPUTED_VALUE"""),"")</f>
        <v/>
      </c>
    </row>
    <row r="363">
      <c r="A363" s="16" t="s">
        <v>87</v>
      </c>
      <c r="E363" s="16" t="str">
        <f>IFERROR(__xludf.DUMMYFUNCTION("""COMPUTED_VALUE"""),"")</f>
        <v/>
      </c>
      <c r="G363" s="18"/>
      <c r="H363" s="16" t="s">
        <v>87</v>
      </c>
      <c r="I363" s="16" t="s">
        <v>87</v>
      </c>
      <c r="J363" s="19"/>
      <c r="L363" s="16" t="str">
        <f>IFERROR(__xludf.DUMMYFUNCTION("""COMPUTED_VALUE"""),"")</f>
        <v/>
      </c>
      <c r="M363" s="16" t="str">
        <f>IFERROR(__xludf.DUMMYFUNCTION("""COMPUTED_VALUE"""),"")</f>
        <v/>
      </c>
      <c r="U363" s="16" t="s">
        <v>87</v>
      </c>
      <c r="V363" s="16" t="str">
        <f>IFERROR(__xludf.DUMMYFUNCTION("""COMPUTED_VALUE"""),"")</f>
        <v/>
      </c>
      <c r="W363" s="16" t="str">
        <f>IFERROR(__xludf.DUMMYFUNCTION("""COMPUTED_VALUE"""),"")</f>
        <v/>
      </c>
      <c r="X363" s="16" t="str">
        <f>IFERROR(__xludf.DUMMYFUNCTION("""COMPUTED_VALUE"""),"")</f>
        <v/>
      </c>
      <c r="AC363" s="16" t="str">
        <f>IFERROR(__xludf.DUMMYFUNCTION("""COMPUTED_VALUE"""),"")</f>
        <v/>
      </c>
    </row>
    <row r="364">
      <c r="A364" s="16" t="s">
        <v>87</v>
      </c>
      <c r="E364" s="16" t="str">
        <f>IFERROR(__xludf.DUMMYFUNCTION("""COMPUTED_VALUE"""),"")</f>
        <v/>
      </c>
      <c r="G364" s="18"/>
      <c r="H364" s="16" t="s">
        <v>87</v>
      </c>
      <c r="I364" s="16" t="s">
        <v>87</v>
      </c>
      <c r="J364" s="19"/>
      <c r="L364" s="16" t="str">
        <f>IFERROR(__xludf.DUMMYFUNCTION("""COMPUTED_VALUE"""),"")</f>
        <v/>
      </c>
      <c r="M364" s="16" t="str">
        <f>IFERROR(__xludf.DUMMYFUNCTION("""COMPUTED_VALUE"""),"")</f>
        <v/>
      </c>
      <c r="U364" s="16" t="s">
        <v>87</v>
      </c>
      <c r="V364" s="16" t="str">
        <f>IFERROR(__xludf.DUMMYFUNCTION("""COMPUTED_VALUE"""),"")</f>
        <v/>
      </c>
      <c r="W364" s="16" t="str">
        <f>IFERROR(__xludf.DUMMYFUNCTION("""COMPUTED_VALUE"""),"")</f>
        <v/>
      </c>
      <c r="X364" s="16" t="str">
        <f>IFERROR(__xludf.DUMMYFUNCTION("""COMPUTED_VALUE"""),"")</f>
        <v/>
      </c>
      <c r="AC364" s="16" t="str">
        <f>IFERROR(__xludf.DUMMYFUNCTION("""COMPUTED_VALUE"""),"")</f>
        <v/>
      </c>
    </row>
    <row r="365">
      <c r="A365" s="16" t="s">
        <v>87</v>
      </c>
      <c r="E365" s="16" t="str">
        <f>IFERROR(__xludf.DUMMYFUNCTION("""COMPUTED_VALUE"""),"")</f>
        <v/>
      </c>
      <c r="G365" s="18"/>
      <c r="H365" s="16" t="s">
        <v>87</v>
      </c>
      <c r="I365" s="16" t="s">
        <v>87</v>
      </c>
      <c r="J365" s="19"/>
      <c r="L365" s="16" t="str">
        <f>IFERROR(__xludf.DUMMYFUNCTION("""COMPUTED_VALUE"""),"")</f>
        <v/>
      </c>
      <c r="M365" s="16" t="str">
        <f>IFERROR(__xludf.DUMMYFUNCTION("""COMPUTED_VALUE"""),"")</f>
        <v/>
      </c>
      <c r="U365" s="16" t="s">
        <v>87</v>
      </c>
      <c r="V365" s="16" t="str">
        <f>IFERROR(__xludf.DUMMYFUNCTION("""COMPUTED_VALUE"""),"")</f>
        <v/>
      </c>
      <c r="W365" s="16" t="str">
        <f>IFERROR(__xludf.DUMMYFUNCTION("""COMPUTED_VALUE"""),"")</f>
        <v/>
      </c>
      <c r="X365" s="16" t="str">
        <f>IFERROR(__xludf.DUMMYFUNCTION("""COMPUTED_VALUE"""),"")</f>
        <v/>
      </c>
      <c r="AC365" s="16" t="str">
        <f>IFERROR(__xludf.DUMMYFUNCTION("""COMPUTED_VALUE"""),"")</f>
        <v/>
      </c>
    </row>
    <row r="366">
      <c r="A366" s="16" t="s">
        <v>87</v>
      </c>
      <c r="E366" s="16" t="str">
        <f>IFERROR(__xludf.DUMMYFUNCTION("""COMPUTED_VALUE"""),"")</f>
        <v/>
      </c>
      <c r="G366" s="18"/>
      <c r="H366" s="16" t="s">
        <v>87</v>
      </c>
      <c r="I366" s="16" t="s">
        <v>87</v>
      </c>
      <c r="J366" s="19"/>
      <c r="L366" s="16" t="str">
        <f>IFERROR(__xludf.DUMMYFUNCTION("""COMPUTED_VALUE"""),"")</f>
        <v/>
      </c>
      <c r="M366" s="16" t="str">
        <f>IFERROR(__xludf.DUMMYFUNCTION("""COMPUTED_VALUE"""),"")</f>
        <v/>
      </c>
      <c r="U366" s="16" t="s">
        <v>87</v>
      </c>
      <c r="V366" s="16" t="str">
        <f>IFERROR(__xludf.DUMMYFUNCTION("""COMPUTED_VALUE"""),"")</f>
        <v/>
      </c>
      <c r="W366" s="16" t="str">
        <f>IFERROR(__xludf.DUMMYFUNCTION("""COMPUTED_VALUE"""),"")</f>
        <v/>
      </c>
      <c r="X366" s="16" t="str">
        <f>IFERROR(__xludf.DUMMYFUNCTION("""COMPUTED_VALUE"""),"")</f>
        <v/>
      </c>
      <c r="AC366" s="16" t="str">
        <f>IFERROR(__xludf.DUMMYFUNCTION("""COMPUTED_VALUE"""),"")</f>
        <v/>
      </c>
    </row>
    <row r="367">
      <c r="A367" s="16" t="s">
        <v>87</v>
      </c>
      <c r="E367" s="16" t="str">
        <f>IFERROR(__xludf.DUMMYFUNCTION("""COMPUTED_VALUE"""),"")</f>
        <v/>
      </c>
      <c r="G367" s="18"/>
      <c r="H367" s="16" t="s">
        <v>87</v>
      </c>
      <c r="I367" s="16" t="s">
        <v>87</v>
      </c>
      <c r="J367" s="19"/>
      <c r="L367" s="16" t="str">
        <f>IFERROR(__xludf.DUMMYFUNCTION("""COMPUTED_VALUE"""),"")</f>
        <v/>
      </c>
      <c r="M367" s="16" t="str">
        <f>IFERROR(__xludf.DUMMYFUNCTION("""COMPUTED_VALUE"""),"")</f>
        <v/>
      </c>
      <c r="U367" s="16" t="s">
        <v>87</v>
      </c>
      <c r="V367" s="16" t="str">
        <f>IFERROR(__xludf.DUMMYFUNCTION("""COMPUTED_VALUE"""),"")</f>
        <v/>
      </c>
      <c r="W367" s="16" t="str">
        <f>IFERROR(__xludf.DUMMYFUNCTION("""COMPUTED_VALUE"""),"")</f>
        <v/>
      </c>
      <c r="X367" s="16" t="str">
        <f>IFERROR(__xludf.DUMMYFUNCTION("""COMPUTED_VALUE"""),"")</f>
        <v/>
      </c>
      <c r="AC367" s="16" t="str">
        <f>IFERROR(__xludf.DUMMYFUNCTION("""COMPUTED_VALUE"""),"")</f>
        <v/>
      </c>
    </row>
    <row r="368">
      <c r="A368" s="16" t="s">
        <v>87</v>
      </c>
      <c r="E368" s="16" t="str">
        <f>IFERROR(__xludf.DUMMYFUNCTION("""COMPUTED_VALUE"""),"")</f>
        <v/>
      </c>
      <c r="G368" s="18"/>
      <c r="H368" s="16" t="s">
        <v>87</v>
      </c>
      <c r="I368" s="16" t="s">
        <v>87</v>
      </c>
      <c r="J368" s="19"/>
      <c r="L368" s="16" t="str">
        <f>IFERROR(__xludf.DUMMYFUNCTION("""COMPUTED_VALUE"""),"")</f>
        <v/>
      </c>
      <c r="M368" s="16" t="str">
        <f>IFERROR(__xludf.DUMMYFUNCTION("""COMPUTED_VALUE"""),"")</f>
        <v/>
      </c>
      <c r="U368" s="16" t="s">
        <v>87</v>
      </c>
      <c r="V368" s="16" t="str">
        <f>IFERROR(__xludf.DUMMYFUNCTION("""COMPUTED_VALUE"""),"")</f>
        <v/>
      </c>
      <c r="W368" s="16" t="str">
        <f>IFERROR(__xludf.DUMMYFUNCTION("""COMPUTED_VALUE"""),"")</f>
        <v/>
      </c>
      <c r="X368" s="16" t="str">
        <f>IFERROR(__xludf.DUMMYFUNCTION("""COMPUTED_VALUE"""),"")</f>
        <v/>
      </c>
      <c r="AC368" s="16" t="str">
        <f>IFERROR(__xludf.DUMMYFUNCTION("""COMPUTED_VALUE"""),"")</f>
        <v/>
      </c>
    </row>
    <row r="369">
      <c r="A369" s="16" t="s">
        <v>87</v>
      </c>
      <c r="E369" s="16" t="str">
        <f>IFERROR(__xludf.DUMMYFUNCTION("""COMPUTED_VALUE"""),"")</f>
        <v/>
      </c>
      <c r="G369" s="18"/>
      <c r="H369" s="16" t="s">
        <v>87</v>
      </c>
      <c r="I369" s="16" t="s">
        <v>87</v>
      </c>
      <c r="J369" s="19"/>
      <c r="L369" s="16" t="str">
        <f>IFERROR(__xludf.DUMMYFUNCTION("""COMPUTED_VALUE"""),"")</f>
        <v/>
      </c>
      <c r="M369" s="16" t="str">
        <f>IFERROR(__xludf.DUMMYFUNCTION("""COMPUTED_VALUE"""),"")</f>
        <v/>
      </c>
      <c r="U369" s="16" t="s">
        <v>87</v>
      </c>
      <c r="V369" s="16" t="str">
        <f>IFERROR(__xludf.DUMMYFUNCTION("""COMPUTED_VALUE"""),"")</f>
        <v/>
      </c>
      <c r="W369" s="16" t="str">
        <f>IFERROR(__xludf.DUMMYFUNCTION("""COMPUTED_VALUE"""),"")</f>
        <v/>
      </c>
      <c r="X369" s="16" t="str">
        <f>IFERROR(__xludf.DUMMYFUNCTION("""COMPUTED_VALUE"""),"")</f>
        <v/>
      </c>
      <c r="AC369" s="16" t="str">
        <f>IFERROR(__xludf.DUMMYFUNCTION("""COMPUTED_VALUE"""),"")</f>
        <v/>
      </c>
    </row>
    <row r="370">
      <c r="A370" s="16" t="s">
        <v>87</v>
      </c>
      <c r="E370" s="16" t="str">
        <f>IFERROR(__xludf.DUMMYFUNCTION("""COMPUTED_VALUE"""),"")</f>
        <v/>
      </c>
      <c r="G370" s="18"/>
      <c r="H370" s="16" t="s">
        <v>87</v>
      </c>
      <c r="I370" s="16" t="s">
        <v>87</v>
      </c>
      <c r="J370" s="19"/>
      <c r="L370" s="16" t="str">
        <f>IFERROR(__xludf.DUMMYFUNCTION("""COMPUTED_VALUE"""),"")</f>
        <v/>
      </c>
      <c r="M370" s="16" t="str">
        <f>IFERROR(__xludf.DUMMYFUNCTION("""COMPUTED_VALUE"""),"")</f>
        <v/>
      </c>
      <c r="U370" s="16" t="s">
        <v>87</v>
      </c>
      <c r="V370" s="16" t="str">
        <f>IFERROR(__xludf.DUMMYFUNCTION("""COMPUTED_VALUE"""),"")</f>
        <v/>
      </c>
      <c r="W370" s="16" t="str">
        <f>IFERROR(__xludf.DUMMYFUNCTION("""COMPUTED_VALUE"""),"")</f>
        <v/>
      </c>
      <c r="X370" s="16" t="str">
        <f>IFERROR(__xludf.DUMMYFUNCTION("""COMPUTED_VALUE"""),"")</f>
        <v/>
      </c>
      <c r="AC370" s="16" t="str">
        <f>IFERROR(__xludf.DUMMYFUNCTION("""COMPUTED_VALUE"""),"")</f>
        <v/>
      </c>
    </row>
    <row r="371">
      <c r="A371" s="16" t="s">
        <v>87</v>
      </c>
      <c r="E371" s="16" t="str">
        <f>IFERROR(__xludf.DUMMYFUNCTION("""COMPUTED_VALUE"""),"")</f>
        <v/>
      </c>
      <c r="G371" s="18"/>
      <c r="H371" s="16" t="s">
        <v>87</v>
      </c>
      <c r="I371" s="16" t="s">
        <v>87</v>
      </c>
      <c r="J371" s="19"/>
      <c r="L371" s="16" t="str">
        <f>IFERROR(__xludf.DUMMYFUNCTION("""COMPUTED_VALUE"""),"")</f>
        <v/>
      </c>
      <c r="M371" s="16" t="str">
        <f>IFERROR(__xludf.DUMMYFUNCTION("""COMPUTED_VALUE"""),"")</f>
        <v/>
      </c>
      <c r="U371" s="16" t="s">
        <v>87</v>
      </c>
      <c r="V371" s="16" t="str">
        <f>IFERROR(__xludf.DUMMYFUNCTION("""COMPUTED_VALUE"""),"")</f>
        <v/>
      </c>
      <c r="W371" s="16" t="str">
        <f>IFERROR(__xludf.DUMMYFUNCTION("""COMPUTED_VALUE"""),"")</f>
        <v/>
      </c>
      <c r="X371" s="16" t="str">
        <f>IFERROR(__xludf.DUMMYFUNCTION("""COMPUTED_VALUE"""),"")</f>
        <v/>
      </c>
      <c r="AC371" s="16" t="str">
        <f>IFERROR(__xludf.DUMMYFUNCTION("""COMPUTED_VALUE"""),"")</f>
        <v/>
      </c>
    </row>
    <row r="372">
      <c r="A372" s="16" t="s">
        <v>87</v>
      </c>
      <c r="E372" s="16" t="str">
        <f>IFERROR(__xludf.DUMMYFUNCTION("""COMPUTED_VALUE"""),"")</f>
        <v/>
      </c>
      <c r="G372" s="18"/>
      <c r="H372" s="16" t="s">
        <v>87</v>
      </c>
      <c r="I372" s="16" t="s">
        <v>87</v>
      </c>
      <c r="J372" s="19"/>
      <c r="L372" s="16" t="str">
        <f>IFERROR(__xludf.DUMMYFUNCTION("""COMPUTED_VALUE"""),"")</f>
        <v/>
      </c>
      <c r="M372" s="16" t="str">
        <f>IFERROR(__xludf.DUMMYFUNCTION("""COMPUTED_VALUE"""),"")</f>
        <v/>
      </c>
      <c r="U372" s="16" t="s">
        <v>87</v>
      </c>
      <c r="V372" s="16" t="str">
        <f>IFERROR(__xludf.DUMMYFUNCTION("""COMPUTED_VALUE"""),"")</f>
        <v/>
      </c>
      <c r="W372" s="16" t="str">
        <f>IFERROR(__xludf.DUMMYFUNCTION("""COMPUTED_VALUE"""),"")</f>
        <v/>
      </c>
      <c r="X372" s="16" t="str">
        <f>IFERROR(__xludf.DUMMYFUNCTION("""COMPUTED_VALUE"""),"")</f>
        <v/>
      </c>
      <c r="AC372" s="16" t="str">
        <f>IFERROR(__xludf.DUMMYFUNCTION("""COMPUTED_VALUE"""),"")</f>
        <v/>
      </c>
    </row>
    <row r="373">
      <c r="A373" s="16" t="s">
        <v>87</v>
      </c>
      <c r="E373" s="16" t="str">
        <f>IFERROR(__xludf.DUMMYFUNCTION("""COMPUTED_VALUE"""),"")</f>
        <v/>
      </c>
      <c r="G373" s="18"/>
      <c r="H373" s="16" t="s">
        <v>87</v>
      </c>
      <c r="I373" s="16" t="s">
        <v>87</v>
      </c>
      <c r="J373" s="19"/>
      <c r="L373" s="16" t="str">
        <f>IFERROR(__xludf.DUMMYFUNCTION("""COMPUTED_VALUE"""),"")</f>
        <v/>
      </c>
      <c r="M373" s="16" t="str">
        <f>IFERROR(__xludf.DUMMYFUNCTION("""COMPUTED_VALUE"""),"")</f>
        <v/>
      </c>
      <c r="U373" s="16" t="s">
        <v>87</v>
      </c>
      <c r="V373" s="16" t="str">
        <f>IFERROR(__xludf.DUMMYFUNCTION("""COMPUTED_VALUE"""),"")</f>
        <v/>
      </c>
      <c r="W373" s="16" t="str">
        <f>IFERROR(__xludf.DUMMYFUNCTION("""COMPUTED_VALUE"""),"")</f>
        <v/>
      </c>
      <c r="X373" s="16" t="str">
        <f>IFERROR(__xludf.DUMMYFUNCTION("""COMPUTED_VALUE"""),"")</f>
        <v/>
      </c>
      <c r="AC373" s="16" t="str">
        <f>IFERROR(__xludf.DUMMYFUNCTION("""COMPUTED_VALUE"""),"")</f>
        <v/>
      </c>
    </row>
    <row r="374">
      <c r="A374" s="16" t="s">
        <v>87</v>
      </c>
      <c r="E374" s="16" t="str">
        <f>IFERROR(__xludf.DUMMYFUNCTION("""COMPUTED_VALUE"""),"")</f>
        <v/>
      </c>
      <c r="G374" s="18"/>
      <c r="H374" s="16" t="s">
        <v>87</v>
      </c>
      <c r="I374" s="16" t="s">
        <v>87</v>
      </c>
      <c r="J374" s="19"/>
      <c r="L374" s="16" t="str">
        <f>IFERROR(__xludf.DUMMYFUNCTION("""COMPUTED_VALUE"""),"")</f>
        <v/>
      </c>
      <c r="M374" s="16" t="str">
        <f>IFERROR(__xludf.DUMMYFUNCTION("""COMPUTED_VALUE"""),"")</f>
        <v/>
      </c>
      <c r="U374" s="16" t="s">
        <v>87</v>
      </c>
      <c r="V374" s="16" t="str">
        <f>IFERROR(__xludf.DUMMYFUNCTION("""COMPUTED_VALUE"""),"")</f>
        <v/>
      </c>
      <c r="W374" s="16" t="str">
        <f>IFERROR(__xludf.DUMMYFUNCTION("""COMPUTED_VALUE"""),"")</f>
        <v/>
      </c>
      <c r="X374" s="16" t="str">
        <f>IFERROR(__xludf.DUMMYFUNCTION("""COMPUTED_VALUE"""),"")</f>
        <v/>
      </c>
      <c r="AC374" s="16" t="str">
        <f>IFERROR(__xludf.DUMMYFUNCTION("""COMPUTED_VALUE"""),"")</f>
        <v/>
      </c>
    </row>
    <row r="375">
      <c r="A375" s="16" t="s">
        <v>87</v>
      </c>
      <c r="E375" s="16" t="str">
        <f>IFERROR(__xludf.DUMMYFUNCTION("""COMPUTED_VALUE"""),"")</f>
        <v/>
      </c>
      <c r="G375" s="18"/>
      <c r="H375" s="16" t="s">
        <v>87</v>
      </c>
      <c r="I375" s="16" t="s">
        <v>87</v>
      </c>
      <c r="J375" s="19"/>
      <c r="L375" s="16" t="str">
        <f>IFERROR(__xludf.DUMMYFUNCTION("""COMPUTED_VALUE"""),"")</f>
        <v/>
      </c>
      <c r="M375" s="16" t="str">
        <f>IFERROR(__xludf.DUMMYFUNCTION("""COMPUTED_VALUE"""),"")</f>
        <v/>
      </c>
      <c r="U375" s="16" t="s">
        <v>87</v>
      </c>
      <c r="V375" s="16" t="str">
        <f>IFERROR(__xludf.DUMMYFUNCTION("""COMPUTED_VALUE"""),"")</f>
        <v/>
      </c>
      <c r="W375" s="16" t="str">
        <f>IFERROR(__xludf.DUMMYFUNCTION("""COMPUTED_VALUE"""),"")</f>
        <v/>
      </c>
      <c r="X375" s="16" t="str">
        <f>IFERROR(__xludf.DUMMYFUNCTION("""COMPUTED_VALUE"""),"")</f>
        <v/>
      </c>
      <c r="AC375" s="16" t="str">
        <f>IFERROR(__xludf.DUMMYFUNCTION("""COMPUTED_VALUE"""),"")</f>
        <v/>
      </c>
    </row>
    <row r="376">
      <c r="A376" s="16" t="s">
        <v>87</v>
      </c>
      <c r="E376" s="16" t="str">
        <f>IFERROR(__xludf.DUMMYFUNCTION("""COMPUTED_VALUE"""),"")</f>
        <v/>
      </c>
      <c r="G376" s="18"/>
      <c r="H376" s="16" t="s">
        <v>87</v>
      </c>
      <c r="I376" s="16" t="s">
        <v>87</v>
      </c>
      <c r="J376" s="19"/>
      <c r="L376" s="16" t="str">
        <f>IFERROR(__xludf.DUMMYFUNCTION("""COMPUTED_VALUE"""),"")</f>
        <v/>
      </c>
      <c r="M376" s="16" t="str">
        <f>IFERROR(__xludf.DUMMYFUNCTION("""COMPUTED_VALUE"""),"")</f>
        <v/>
      </c>
      <c r="U376" s="16" t="s">
        <v>87</v>
      </c>
      <c r="V376" s="16" t="str">
        <f>IFERROR(__xludf.DUMMYFUNCTION("""COMPUTED_VALUE"""),"")</f>
        <v/>
      </c>
      <c r="W376" s="16" t="str">
        <f>IFERROR(__xludf.DUMMYFUNCTION("""COMPUTED_VALUE"""),"")</f>
        <v/>
      </c>
      <c r="X376" s="16" t="str">
        <f>IFERROR(__xludf.DUMMYFUNCTION("""COMPUTED_VALUE"""),"")</f>
        <v/>
      </c>
      <c r="AC376" s="16" t="str">
        <f>IFERROR(__xludf.DUMMYFUNCTION("""COMPUTED_VALUE"""),"")</f>
        <v/>
      </c>
    </row>
    <row r="377">
      <c r="A377" s="16" t="s">
        <v>87</v>
      </c>
      <c r="E377" s="16" t="str">
        <f>IFERROR(__xludf.DUMMYFUNCTION("""COMPUTED_VALUE"""),"")</f>
        <v/>
      </c>
      <c r="G377" s="18"/>
      <c r="H377" s="16" t="s">
        <v>87</v>
      </c>
      <c r="I377" s="16" t="s">
        <v>87</v>
      </c>
      <c r="J377" s="19"/>
      <c r="L377" s="16" t="str">
        <f>IFERROR(__xludf.DUMMYFUNCTION("""COMPUTED_VALUE"""),"")</f>
        <v/>
      </c>
      <c r="M377" s="16" t="str">
        <f>IFERROR(__xludf.DUMMYFUNCTION("""COMPUTED_VALUE"""),"")</f>
        <v/>
      </c>
      <c r="U377" s="16" t="s">
        <v>87</v>
      </c>
      <c r="V377" s="16" t="str">
        <f>IFERROR(__xludf.DUMMYFUNCTION("""COMPUTED_VALUE"""),"")</f>
        <v/>
      </c>
      <c r="W377" s="16" t="str">
        <f>IFERROR(__xludf.DUMMYFUNCTION("""COMPUTED_VALUE"""),"")</f>
        <v/>
      </c>
      <c r="X377" s="16" t="str">
        <f>IFERROR(__xludf.DUMMYFUNCTION("""COMPUTED_VALUE"""),"")</f>
        <v/>
      </c>
      <c r="AC377" s="16" t="str">
        <f>IFERROR(__xludf.DUMMYFUNCTION("""COMPUTED_VALUE"""),"")</f>
        <v/>
      </c>
    </row>
    <row r="378">
      <c r="A378" s="16" t="s">
        <v>87</v>
      </c>
      <c r="E378" s="16" t="str">
        <f>IFERROR(__xludf.DUMMYFUNCTION("""COMPUTED_VALUE"""),"")</f>
        <v/>
      </c>
      <c r="G378" s="18"/>
      <c r="H378" s="16" t="s">
        <v>87</v>
      </c>
      <c r="I378" s="16" t="s">
        <v>87</v>
      </c>
      <c r="J378" s="19"/>
      <c r="L378" s="16" t="str">
        <f>IFERROR(__xludf.DUMMYFUNCTION("""COMPUTED_VALUE"""),"")</f>
        <v/>
      </c>
      <c r="M378" s="16" t="str">
        <f>IFERROR(__xludf.DUMMYFUNCTION("""COMPUTED_VALUE"""),"")</f>
        <v/>
      </c>
      <c r="U378" s="16" t="s">
        <v>87</v>
      </c>
      <c r="V378" s="16" t="str">
        <f>IFERROR(__xludf.DUMMYFUNCTION("""COMPUTED_VALUE"""),"")</f>
        <v/>
      </c>
      <c r="W378" s="16" t="str">
        <f>IFERROR(__xludf.DUMMYFUNCTION("""COMPUTED_VALUE"""),"")</f>
        <v/>
      </c>
      <c r="X378" s="16" t="str">
        <f>IFERROR(__xludf.DUMMYFUNCTION("""COMPUTED_VALUE"""),"")</f>
        <v/>
      </c>
      <c r="AC378" s="16" t="str">
        <f>IFERROR(__xludf.DUMMYFUNCTION("""COMPUTED_VALUE"""),"")</f>
        <v/>
      </c>
    </row>
    <row r="379">
      <c r="A379" s="16" t="s">
        <v>87</v>
      </c>
      <c r="E379" s="16" t="str">
        <f>IFERROR(__xludf.DUMMYFUNCTION("""COMPUTED_VALUE"""),"")</f>
        <v/>
      </c>
      <c r="G379" s="18"/>
      <c r="H379" s="16" t="s">
        <v>87</v>
      </c>
      <c r="I379" s="16" t="s">
        <v>87</v>
      </c>
      <c r="J379" s="19"/>
      <c r="L379" s="16" t="str">
        <f>IFERROR(__xludf.DUMMYFUNCTION("""COMPUTED_VALUE"""),"")</f>
        <v/>
      </c>
      <c r="M379" s="16" t="str">
        <f>IFERROR(__xludf.DUMMYFUNCTION("""COMPUTED_VALUE"""),"")</f>
        <v/>
      </c>
      <c r="U379" s="16" t="s">
        <v>87</v>
      </c>
      <c r="V379" s="16" t="str">
        <f>IFERROR(__xludf.DUMMYFUNCTION("""COMPUTED_VALUE"""),"")</f>
        <v/>
      </c>
      <c r="W379" s="16" t="str">
        <f>IFERROR(__xludf.DUMMYFUNCTION("""COMPUTED_VALUE"""),"")</f>
        <v/>
      </c>
      <c r="X379" s="16" t="str">
        <f>IFERROR(__xludf.DUMMYFUNCTION("""COMPUTED_VALUE"""),"")</f>
        <v/>
      </c>
      <c r="AC379" s="16" t="str">
        <f>IFERROR(__xludf.DUMMYFUNCTION("""COMPUTED_VALUE"""),"")</f>
        <v/>
      </c>
    </row>
    <row r="380">
      <c r="A380" s="16" t="s">
        <v>87</v>
      </c>
      <c r="E380" s="16" t="str">
        <f>IFERROR(__xludf.DUMMYFUNCTION("""COMPUTED_VALUE"""),"")</f>
        <v/>
      </c>
      <c r="G380" s="18"/>
      <c r="H380" s="16" t="s">
        <v>87</v>
      </c>
      <c r="I380" s="16" t="s">
        <v>87</v>
      </c>
      <c r="J380" s="19"/>
      <c r="L380" s="16" t="str">
        <f>IFERROR(__xludf.DUMMYFUNCTION("""COMPUTED_VALUE"""),"")</f>
        <v/>
      </c>
      <c r="M380" s="16" t="str">
        <f>IFERROR(__xludf.DUMMYFUNCTION("""COMPUTED_VALUE"""),"")</f>
        <v/>
      </c>
      <c r="U380" s="16" t="s">
        <v>87</v>
      </c>
      <c r="V380" s="16" t="str">
        <f>IFERROR(__xludf.DUMMYFUNCTION("""COMPUTED_VALUE"""),"")</f>
        <v/>
      </c>
      <c r="W380" s="16" t="str">
        <f>IFERROR(__xludf.DUMMYFUNCTION("""COMPUTED_VALUE"""),"")</f>
        <v/>
      </c>
      <c r="X380" s="16" t="str">
        <f>IFERROR(__xludf.DUMMYFUNCTION("""COMPUTED_VALUE"""),"")</f>
        <v/>
      </c>
      <c r="AC380" s="16" t="str">
        <f>IFERROR(__xludf.DUMMYFUNCTION("""COMPUTED_VALUE"""),"")</f>
        <v/>
      </c>
    </row>
    <row r="381">
      <c r="A381" s="16" t="s">
        <v>87</v>
      </c>
      <c r="E381" s="16" t="str">
        <f>IFERROR(__xludf.DUMMYFUNCTION("""COMPUTED_VALUE"""),"")</f>
        <v/>
      </c>
      <c r="G381" s="18"/>
      <c r="H381" s="16" t="s">
        <v>87</v>
      </c>
      <c r="I381" s="16" t="s">
        <v>87</v>
      </c>
      <c r="J381" s="19"/>
      <c r="L381" s="16" t="str">
        <f>IFERROR(__xludf.DUMMYFUNCTION("""COMPUTED_VALUE"""),"")</f>
        <v/>
      </c>
      <c r="M381" s="16" t="str">
        <f>IFERROR(__xludf.DUMMYFUNCTION("""COMPUTED_VALUE"""),"")</f>
        <v/>
      </c>
      <c r="U381" s="16" t="s">
        <v>87</v>
      </c>
      <c r="V381" s="16" t="str">
        <f>IFERROR(__xludf.DUMMYFUNCTION("""COMPUTED_VALUE"""),"")</f>
        <v/>
      </c>
      <c r="W381" s="16" t="str">
        <f>IFERROR(__xludf.DUMMYFUNCTION("""COMPUTED_VALUE"""),"")</f>
        <v/>
      </c>
      <c r="X381" s="16" t="str">
        <f>IFERROR(__xludf.DUMMYFUNCTION("""COMPUTED_VALUE"""),"")</f>
        <v/>
      </c>
      <c r="AC381" s="16" t="str">
        <f>IFERROR(__xludf.DUMMYFUNCTION("""COMPUTED_VALUE"""),"")</f>
        <v/>
      </c>
    </row>
    <row r="382">
      <c r="A382" s="16" t="s">
        <v>87</v>
      </c>
      <c r="E382" s="16" t="str">
        <f>IFERROR(__xludf.DUMMYFUNCTION("""COMPUTED_VALUE"""),"")</f>
        <v/>
      </c>
      <c r="G382" s="18"/>
      <c r="H382" s="16" t="s">
        <v>87</v>
      </c>
      <c r="I382" s="16" t="s">
        <v>87</v>
      </c>
      <c r="J382" s="19"/>
      <c r="L382" s="16" t="str">
        <f>IFERROR(__xludf.DUMMYFUNCTION("""COMPUTED_VALUE"""),"")</f>
        <v/>
      </c>
      <c r="M382" s="16" t="str">
        <f>IFERROR(__xludf.DUMMYFUNCTION("""COMPUTED_VALUE"""),"")</f>
        <v/>
      </c>
      <c r="U382" s="16" t="s">
        <v>87</v>
      </c>
      <c r="V382" s="16" t="str">
        <f>IFERROR(__xludf.DUMMYFUNCTION("""COMPUTED_VALUE"""),"")</f>
        <v/>
      </c>
      <c r="W382" s="16" t="str">
        <f>IFERROR(__xludf.DUMMYFUNCTION("""COMPUTED_VALUE"""),"")</f>
        <v/>
      </c>
      <c r="X382" s="16" t="str">
        <f>IFERROR(__xludf.DUMMYFUNCTION("""COMPUTED_VALUE"""),"")</f>
        <v/>
      </c>
      <c r="AC382" s="16" t="str">
        <f>IFERROR(__xludf.DUMMYFUNCTION("""COMPUTED_VALUE"""),"")</f>
        <v/>
      </c>
    </row>
    <row r="383">
      <c r="A383" s="16" t="s">
        <v>87</v>
      </c>
      <c r="E383" s="16" t="str">
        <f>IFERROR(__xludf.DUMMYFUNCTION("""COMPUTED_VALUE"""),"")</f>
        <v/>
      </c>
      <c r="G383" s="18"/>
      <c r="H383" s="16" t="s">
        <v>87</v>
      </c>
      <c r="I383" s="16" t="s">
        <v>87</v>
      </c>
      <c r="J383" s="19"/>
      <c r="L383" s="16" t="str">
        <f>IFERROR(__xludf.DUMMYFUNCTION("""COMPUTED_VALUE"""),"")</f>
        <v/>
      </c>
      <c r="M383" s="16" t="str">
        <f>IFERROR(__xludf.DUMMYFUNCTION("""COMPUTED_VALUE"""),"")</f>
        <v/>
      </c>
      <c r="U383" s="16" t="s">
        <v>87</v>
      </c>
      <c r="V383" s="16" t="str">
        <f>IFERROR(__xludf.DUMMYFUNCTION("""COMPUTED_VALUE"""),"")</f>
        <v/>
      </c>
      <c r="W383" s="16" t="str">
        <f>IFERROR(__xludf.DUMMYFUNCTION("""COMPUTED_VALUE"""),"")</f>
        <v/>
      </c>
      <c r="X383" s="16" t="str">
        <f>IFERROR(__xludf.DUMMYFUNCTION("""COMPUTED_VALUE"""),"")</f>
        <v/>
      </c>
      <c r="AC383" s="16" t="str">
        <f>IFERROR(__xludf.DUMMYFUNCTION("""COMPUTED_VALUE"""),"")</f>
        <v/>
      </c>
    </row>
    <row r="384">
      <c r="A384" s="16" t="s">
        <v>87</v>
      </c>
      <c r="E384" s="16" t="str">
        <f>IFERROR(__xludf.DUMMYFUNCTION("""COMPUTED_VALUE"""),"")</f>
        <v/>
      </c>
      <c r="G384" s="18"/>
      <c r="H384" s="16" t="s">
        <v>87</v>
      </c>
      <c r="I384" s="16" t="s">
        <v>87</v>
      </c>
      <c r="J384" s="19"/>
      <c r="L384" s="16" t="str">
        <f>IFERROR(__xludf.DUMMYFUNCTION("""COMPUTED_VALUE"""),"")</f>
        <v/>
      </c>
      <c r="M384" s="16" t="str">
        <f>IFERROR(__xludf.DUMMYFUNCTION("""COMPUTED_VALUE"""),"")</f>
        <v/>
      </c>
      <c r="U384" s="16" t="s">
        <v>87</v>
      </c>
      <c r="V384" s="16" t="str">
        <f>IFERROR(__xludf.DUMMYFUNCTION("""COMPUTED_VALUE"""),"")</f>
        <v/>
      </c>
      <c r="W384" s="16" t="str">
        <f>IFERROR(__xludf.DUMMYFUNCTION("""COMPUTED_VALUE"""),"")</f>
        <v/>
      </c>
      <c r="X384" s="16" t="str">
        <f>IFERROR(__xludf.DUMMYFUNCTION("""COMPUTED_VALUE"""),"")</f>
        <v/>
      </c>
      <c r="AC384" s="16" t="str">
        <f>IFERROR(__xludf.DUMMYFUNCTION("""COMPUTED_VALUE"""),"")</f>
        <v/>
      </c>
    </row>
    <row r="385">
      <c r="A385" s="16" t="s">
        <v>87</v>
      </c>
      <c r="E385" s="16" t="str">
        <f>IFERROR(__xludf.DUMMYFUNCTION("""COMPUTED_VALUE"""),"")</f>
        <v/>
      </c>
      <c r="G385" s="18"/>
      <c r="H385" s="16" t="s">
        <v>87</v>
      </c>
      <c r="I385" s="16" t="s">
        <v>87</v>
      </c>
      <c r="J385" s="19"/>
      <c r="L385" s="16" t="str">
        <f>IFERROR(__xludf.DUMMYFUNCTION("""COMPUTED_VALUE"""),"")</f>
        <v/>
      </c>
      <c r="M385" s="16" t="str">
        <f>IFERROR(__xludf.DUMMYFUNCTION("""COMPUTED_VALUE"""),"")</f>
        <v/>
      </c>
      <c r="U385" s="16" t="s">
        <v>87</v>
      </c>
      <c r="V385" s="16" t="str">
        <f>IFERROR(__xludf.DUMMYFUNCTION("""COMPUTED_VALUE"""),"")</f>
        <v/>
      </c>
      <c r="W385" s="16" t="str">
        <f>IFERROR(__xludf.DUMMYFUNCTION("""COMPUTED_VALUE"""),"")</f>
        <v/>
      </c>
      <c r="X385" s="16" t="str">
        <f>IFERROR(__xludf.DUMMYFUNCTION("""COMPUTED_VALUE"""),"")</f>
        <v/>
      </c>
      <c r="AC385" s="16" t="str">
        <f>IFERROR(__xludf.DUMMYFUNCTION("""COMPUTED_VALUE"""),"")</f>
        <v/>
      </c>
    </row>
    <row r="386">
      <c r="A386" s="16" t="s">
        <v>87</v>
      </c>
      <c r="E386" s="16" t="str">
        <f>IFERROR(__xludf.DUMMYFUNCTION("""COMPUTED_VALUE"""),"")</f>
        <v/>
      </c>
      <c r="G386" s="18"/>
      <c r="H386" s="16" t="s">
        <v>87</v>
      </c>
      <c r="I386" s="16" t="s">
        <v>87</v>
      </c>
      <c r="J386" s="19"/>
      <c r="L386" s="16" t="str">
        <f>IFERROR(__xludf.DUMMYFUNCTION("""COMPUTED_VALUE"""),"")</f>
        <v/>
      </c>
      <c r="M386" s="16" t="str">
        <f>IFERROR(__xludf.DUMMYFUNCTION("""COMPUTED_VALUE"""),"")</f>
        <v/>
      </c>
      <c r="U386" s="16" t="s">
        <v>87</v>
      </c>
      <c r="V386" s="16" t="str">
        <f>IFERROR(__xludf.DUMMYFUNCTION("""COMPUTED_VALUE"""),"")</f>
        <v/>
      </c>
      <c r="W386" s="16" t="str">
        <f>IFERROR(__xludf.DUMMYFUNCTION("""COMPUTED_VALUE"""),"")</f>
        <v/>
      </c>
      <c r="X386" s="16" t="str">
        <f>IFERROR(__xludf.DUMMYFUNCTION("""COMPUTED_VALUE"""),"")</f>
        <v/>
      </c>
      <c r="AC386" s="16" t="str">
        <f>IFERROR(__xludf.DUMMYFUNCTION("""COMPUTED_VALUE"""),"")</f>
        <v/>
      </c>
    </row>
    <row r="387">
      <c r="A387" s="16" t="s">
        <v>87</v>
      </c>
      <c r="E387" s="16" t="str">
        <f>IFERROR(__xludf.DUMMYFUNCTION("""COMPUTED_VALUE"""),"")</f>
        <v/>
      </c>
      <c r="G387" s="18"/>
      <c r="H387" s="16" t="s">
        <v>87</v>
      </c>
      <c r="I387" s="16" t="s">
        <v>87</v>
      </c>
      <c r="J387" s="19"/>
      <c r="L387" s="16" t="str">
        <f>IFERROR(__xludf.DUMMYFUNCTION("""COMPUTED_VALUE"""),"")</f>
        <v/>
      </c>
      <c r="M387" s="16" t="str">
        <f>IFERROR(__xludf.DUMMYFUNCTION("""COMPUTED_VALUE"""),"")</f>
        <v/>
      </c>
      <c r="U387" s="16" t="s">
        <v>87</v>
      </c>
      <c r="V387" s="16" t="str">
        <f>IFERROR(__xludf.DUMMYFUNCTION("""COMPUTED_VALUE"""),"")</f>
        <v/>
      </c>
      <c r="W387" s="16" t="str">
        <f>IFERROR(__xludf.DUMMYFUNCTION("""COMPUTED_VALUE"""),"")</f>
        <v/>
      </c>
      <c r="X387" s="16" t="str">
        <f>IFERROR(__xludf.DUMMYFUNCTION("""COMPUTED_VALUE"""),"")</f>
        <v/>
      </c>
      <c r="AC387" s="16" t="str">
        <f>IFERROR(__xludf.DUMMYFUNCTION("""COMPUTED_VALUE"""),"")</f>
        <v/>
      </c>
    </row>
    <row r="388">
      <c r="A388" s="16" t="s">
        <v>87</v>
      </c>
      <c r="E388" s="16" t="str">
        <f>IFERROR(__xludf.DUMMYFUNCTION("""COMPUTED_VALUE"""),"")</f>
        <v/>
      </c>
      <c r="G388" s="18"/>
      <c r="H388" s="16" t="s">
        <v>87</v>
      </c>
      <c r="I388" s="16" t="s">
        <v>87</v>
      </c>
      <c r="J388" s="19"/>
      <c r="L388" s="16" t="str">
        <f>IFERROR(__xludf.DUMMYFUNCTION("""COMPUTED_VALUE"""),"")</f>
        <v/>
      </c>
      <c r="M388" s="16" t="str">
        <f>IFERROR(__xludf.DUMMYFUNCTION("""COMPUTED_VALUE"""),"")</f>
        <v/>
      </c>
      <c r="U388" s="16" t="s">
        <v>87</v>
      </c>
      <c r="V388" s="16" t="str">
        <f>IFERROR(__xludf.DUMMYFUNCTION("""COMPUTED_VALUE"""),"")</f>
        <v/>
      </c>
      <c r="W388" s="16" t="str">
        <f>IFERROR(__xludf.DUMMYFUNCTION("""COMPUTED_VALUE"""),"")</f>
        <v/>
      </c>
      <c r="X388" s="16" t="str">
        <f>IFERROR(__xludf.DUMMYFUNCTION("""COMPUTED_VALUE"""),"")</f>
        <v/>
      </c>
      <c r="AC388" s="16" t="str">
        <f>IFERROR(__xludf.DUMMYFUNCTION("""COMPUTED_VALUE"""),"")</f>
        <v/>
      </c>
    </row>
    <row r="389">
      <c r="A389" s="16" t="s">
        <v>87</v>
      </c>
      <c r="E389" s="16" t="str">
        <f>IFERROR(__xludf.DUMMYFUNCTION("""COMPUTED_VALUE"""),"")</f>
        <v/>
      </c>
      <c r="G389" s="18"/>
      <c r="H389" s="16" t="s">
        <v>87</v>
      </c>
      <c r="I389" s="16" t="s">
        <v>87</v>
      </c>
      <c r="J389" s="19"/>
      <c r="L389" s="16" t="str">
        <f>IFERROR(__xludf.DUMMYFUNCTION("""COMPUTED_VALUE"""),"")</f>
        <v/>
      </c>
      <c r="M389" s="16" t="str">
        <f>IFERROR(__xludf.DUMMYFUNCTION("""COMPUTED_VALUE"""),"")</f>
        <v/>
      </c>
      <c r="U389" s="16" t="s">
        <v>87</v>
      </c>
      <c r="V389" s="16" t="str">
        <f>IFERROR(__xludf.DUMMYFUNCTION("""COMPUTED_VALUE"""),"")</f>
        <v/>
      </c>
      <c r="W389" s="16" t="str">
        <f>IFERROR(__xludf.DUMMYFUNCTION("""COMPUTED_VALUE"""),"")</f>
        <v/>
      </c>
      <c r="X389" s="16" t="str">
        <f>IFERROR(__xludf.DUMMYFUNCTION("""COMPUTED_VALUE"""),"")</f>
        <v/>
      </c>
      <c r="AC389" s="16" t="str">
        <f>IFERROR(__xludf.DUMMYFUNCTION("""COMPUTED_VALUE"""),"")</f>
        <v/>
      </c>
    </row>
    <row r="390">
      <c r="A390" s="16" t="s">
        <v>87</v>
      </c>
      <c r="E390" s="16" t="str">
        <f>IFERROR(__xludf.DUMMYFUNCTION("""COMPUTED_VALUE"""),"")</f>
        <v/>
      </c>
      <c r="G390" s="18"/>
      <c r="H390" s="16" t="s">
        <v>87</v>
      </c>
      <c r="I390" s="16" t="s">
        <v>87</v>
      </c>
      <c r="J390" s="19"/>
      <c r="L390" s="16" t="str">
        <f>IFERROR(__xludf.DUMMYFUNCTION("""COMPUTED_VALUE"""),"")</f>
        <v/>
      </c>
      <c r="M390" s="16" t="str">
        <f>IFERROR(__xludf.DUMMYFUNCTION("""COMPUTED_VALUE"""),"")</f>
        <v/>
      </c>
      <c r="U390" s="16" t="s">
        <v>87</v>
      </c>
      <c r="V390" s="16" t="str">
        <f>IFERROR(__xludf.DUMMYFUNCTION("""COMPUTED_VALUE"""),"")</f>
        <v/>
      </c>
      <c r="W390" s="16" t="str">
        <f>IFERROR(__xludf.DUMMYFUNCTION("""COMPUTED_VALUE"""),"")</f>
        <v/>
      </c>
      <c r="X390" s="16" t="str">
        <f>IFERROR(__xludf.DUMMYFUNCTION("""COMPUTED_VALUE"""),"")</f>
        <v/>
      </c>
      <c r="AC390" s="16" t="str">
        <f>IFERROR(__xludf.DUMMYFUNCTION("""COMPUTED_VALUE"""),"")</f>
        <v/>
      </c>
    </row>
    <row r="391">
      <c r="A391" s="16" t="s">
        <v>87</v>
      </c>
      <c r="E391" s="16" t="str">
        <f>IFERROR(__xludf.DUMMYFUNCTION("""COMPUTED_VALUE"""),"")</f>
        <v/>
      </c>
      <c r="G391" s="18"/>
      <c r="H391" s="16" t="s">
        <v>87</v>
      </c>
      <c r="I391" s="16" t="s">
        <v>87</v>
      </c>
      <c r="J391" s="19"/>
      <c r="L391" s="16" t="str">
        <f>IFERROR(__xludf.DUMMYFUNCTION("""COMPUTED_VALUE"""),"")</f>
        <v/>
      </c>
      <c r="M391" s="16" t="str">
        <f>IFERROR(__xludf.DUMMYFUNCTION("""COMPUTED_VALUE"""),"")</f>
        <v/>
      </c>
      <c r="U391" s="16" t="s">
        <v>87</v>
      </c>
      <c r="V391" s="16" t="str">
        <f>IFERROR(__xludf.DUMMYFUNCTION("""COMPUTED_VALUE"""),"")</f>
        <v/>
      </c>
      <c r="W391" s="16" t="str">
        <f>IFERROR(__xludf.DUMMYFUNCTION("""COMPUTED_VALUE"""),"")</f>
        <v/>
      </c>
      <c r="X391" s="16" t="str">
        <f>IFERROR(__xludf.DUMMYFUNCTION("""COMPUTED_VALUE"""),"")</f>
        <v/>
      </c>
      <c r="AC391" s="16" t="str">
        <f>IFERROR(__xludf.DUMMYFUNCTION("""COMPUTED_VALUE"""),"")</f>
        <v/>
      </c>
    </row>
    <row r="392">
      <c r="A392" s="16" t="s">
        <v>87</v>
      </c>
      <c r="E392" s="16" t="str">
        <f>IFERROR(__xludf.DUMMYFUNCTION("""COMPUTED_VALUE"""),"")</f>
        <v/>
      </c>
      <c r="G392" s="18"/>
      <c r="H392" s="16" t="s">
        <v>87</v>
      </c>
      <c r="I392" s="16" t="s">
        <v>87</v>
      </c>
      <c r="J392" s="19"/>
      <c r="L392" s="16" t="str">
        <f>IFERROR(__xludf.DUMMYFUNCTION("""COMPUTED_VALUE"""),"")</f>
        <v/>
      </c>
      <c r="M392" s="16" t="str">
        <f>IFERROR(__xludf.DUMMYFUNCTION("""COMPUTED_VALUE"""),"")</f>
        <v/>
      </c>
      <c r="U392" s="16" t="s">
        <v>87</v>
      </c>
      <c r="V392" s="16" t="str">
        <f>IFERROR(__xludf.DUMMYFUNCTION("""COMPUTED_VALUE"""),"")</f>
        <v/>
      </c>
      <c r="W392" s="16" t="str">
        <f>IFERROR(__xludf.DUMMYFUNCTION("""COMPUTED_VALUE"""),"")</f>
        <v/>
      </c>
      <c r="X392" s="16" t="str">
        <f>IFERROR(__xludf.DUMMYFUNCTION("""COMPUTED_VALUE"""),"")</f>
        <v/>
      </c>
      <c r="AC392" s="16" t="str">
        <f>IFERROR(__xludf.DUMMYFUNCTION("""COMPUTED_VALUE"""),"")</f>
        <v/>
      </c>
    </row>
    <row r="393">
      <c r="A393" s="16" t="s">
        <v>87</v>
      </c>
      <c r="E393" s="16" t="str">
        <f>IFERROR(__xludf.DUMMYFUNCTION("""COMPUTED_VALUE"""),"")</f>
        <v/>
      </c>
      <c r="G393" s="18"/>
      <c r="H393" s="16" t="s">
        <v>87</v>
      </c>
      <c r="I393" s="16" t="s">
        <v>87</v>
      </c>
      <c r="J393" s="19"/>
      <c r="L393" s="16" t="str">
        <f>IFERROR(__xludf.DUMMYFUNCTION("""COMPUTED_VALUE"""),"")</f>
        <v/>
      </c>
      <c r="M393" s="16" t="str">
        <f>IFERROR(__xludf.DUMMYFUNCTION("""COMPUTED_VALUE"""),"")</f>
        <v/>
      </c>
      <c r="U393" s="16" t="s">
        <v>87</v>
      </c>
      <c r="V393" s="16" t="str">
        <f>IFERROR(__xludf.DUMMYFUNCTION("""COMPUTED_VALUE"""),"")</f>
        <v/>
      </c>
      <c r="W393" s="16" t="str">
        <f>IFERROR(__xludf.DUMMYFUNCTION("""COMPUTED_VALUE"""),"")</f>
        <v/>
      </c>
      <c r="X393" s="16" t="str">
        <f>IFERROR(__xludf.DUMMYFUNCTION("""COMPUTED_VALUE"""),"")</f>
        <v/>
      </c>
      <c r="AC393" s="16" t="str">
        <f>IFERROR(__xludf.DUMMYFUNCTION("""COMPUTED_VALUE"""),"")</f>
        <v/>
      </c>
    </row>
    <row r="394">
      <c r="A394" s="16" t="s">
        <v>87</v>
      </c>
      <c r="E394" s="16" t="str">
        <f>IFERROR(__xludf.DUMMYFUNCTION("""COMPUTED_VALUE"""),"")</f>
        <v/>
      </c>
      <c r="G394" s="18"/>
      <c r="H394" s="16" t="s">
        <v>87</v>
      </c>
      <c r="I394" s="16" t="s">
        <v>87</v>
      </c>
      <c r="J394" s="19"/>
      <c r="L394" s="16" t="str">
        <f>IFERROR(__xludf.DUMMYFUNCTION("""COMPUTED_VALUE"""),"")</f>
        <v/>
      </c>
      <c r="M394" s="16" t="str">
        <f>IFERROR(__xludf.DUMMYFUNCTION("""COMPUTED_VALUE"""),"")</f>
        <v/>
      </c>
      <c r="U394" s="16" t="s">
        <v>87</v>
      </c>
      <c r="V394" s="16" t="str">
        <f>IFERROR(__xludf.DUMMYFUNCTION("""COMPUTED_VALUE"""),"")</f>
        <v/>
      </c>
      <c r="W394" s="16" t="str">
        <f>IFERROR(__xludf.DUMMYFUNCTION("""COMPUTED_VALUE"""),"")</f>
        <v/>
      </c>
      <c r="X394" s="16" t="str">
        <f>IFERROR(__xludf.DUMMYFUNCTION("""COMPUTED_VALUE"""),"")</f>
        <v/>
      </c>
      <c r="AC394" s="16" t="str">
        <f>IFERROR(__xludf.DUMMYFUNCTION("""COMPUTED_VALUE"""),"")</f>
        <v/>
      </c>
    </row>
    <row r="395">
      <c r="A395" s="16" t="s">
        <v>87</v>
      </c>
      <c r="E395" s="16" t="str">
        <f>IFERROR(__xludf.DUMMYFUNCTION("""COMPUTED_VALUE"""),"")</f>
        <v/>
      </c>
      <c r="G395" s="18"/>
      <c r="H395" s="16" t="s">
        <v>87</v>
      </c>
      <c r="I395" s="16" t="s">
        <v>87</v>
      </c>
      <c r="J395" s="19"/>
      <c r="L395" s="16" t="str">
        <f>IFERROR(__xludf.DUMMYFUNCTION("""COMPUTED_VALUE"""),"")</f>
        <v/>
      </c>
      <c r="M395" s="16" t="str">
        <f>IFERROR(__xludf.DUMMYFUNCTION("""COMPUTED_VALUE"""),"")</f>
        <v/>
      </c>
      <c r="U395" s="16" t="s">
        <v>87</v>
      </c>
      <c r="V395" s="16" t="str">
        <f>IFERROR(__xludf.DUMMYFUNCTION("""COMPUTED_VALUE"""),"")</f>
        <v/>
      </c>
      <c r="W395" s="16" t="str">
        <f>IFERROR(__xludf.DUMMYFUNCTION("""COMPUTED_VALUE"""),"")</f>
        <v/>
      </c>
      <c r="X395" s="16" t="str">
        <f>IFERROR(__xludf.DUMMYFUNCTION("""COMPUTED_VALUE"""),"")</f>
        <v/>
      </c>
      <c r="AC395" s="16" t="str">
        <f>IFERROR(__xludf.DUMMYFUNCTION("""COMPUTED_VALUE"""),"")</f>
        <v/>
      </c>
    </row>
    <row r="396">
      <c r="A396" s="16" t="s">
        <v>87</v>
      </c>
      <c r="E396" s="16" t="str">
        <f>IFERROR(__xludf.DUMMYFUNCTION("""COMPUTED_VALUE"""),"")</f>
        <v/>
      </c>
      <c r="G396" s="18"/>
      <c r="H396" s="16" t="s">
        <v>87</v>
      </c>
      <c r="I396" s="16" t="s">
        <v>87</v>
      </c>
      <c r="J396" s="19"/>
      <c r="L396" s="16" t="str">
        <f>IFERROR(__xludf.DUMMYFUNCTION("""COMPUTED_VALUE"""),"")</f>
        <v/>
      </c>
      <c r="M396" s="16" t="str">
        <f>IFERROR(__xludf.DUMMYFUNCTION("""COMPUTED_VALUE"""),"")</f>
        <v/>
      </c>
      <c r="U396" s="16" t="s">
        <v>87</v>
      </c>
      <c r="V396" s="16" t="str">
        <f>IFERROR(__xludf.DUMMYFUNCTION("""COMPUTED_VALUE"""),"")</f>
        <v/>
      </c>
      <c r="W396" s="16" t="str">
        <f>IFERROR(__xludf.DUMMYFUNCTION("""COMPUTED_VALUE"""),"")</f>
        <v/>
      </c>
      <c r="X396" s="16" t="str">
        <f>IFERROR(__xludf.DUMMYFUNCTION("""COMPUTED_VALUE"""),"")</f>
        <v/>
      </c>
      <c r="AC396" s="16" t="str">
        <f>IFERROR(__xludf.DUMMYFUNCTION("""COMPUTED_VALUE"""),"")</f>
        <v/>
      </c>
    </row>
    <row r="397">
      <c r="A397" s="16" t="s">
        <v>87</v>
      </c>
      <c r="E397" s="16" t="str">
        <f>IFERROR(__xludf.DUMMYFUNCTION("""COMPUTED_VALUE"""),"")</f>
        <v/>
      </c>
      <c r="G397" s="18"/>
      <c r="H397" s="16" t="s">
        <v>87</v>
      </c>
      <c r="I397" s="16" t="s">
        <v>87</v>
      </c>
      <c r="J397" s="19"/>
      <c r="L397" s="16" t="str">
        <f>IFERROR(__xludf.DUMMYFUNCTION("""COMPUTED_VALUE"""),"")</f>
        <v/>
      </c>
      <c r="M397" s="16" t="str">
        <f>IFERROR(__xludf.DUMMYFUNCTION("""COMPUTED_VALUE"""),"")</f>
        <v/>
      </c>
      <c r="U397" s="16" t="s">
        <v>87</v>
      </c>
      <c r="V397" s="16" t="str">
        <f>IFERROR(__xludf.DUMMYFUNCTION("""COMPUTED_VALUE"""),"")</f>
        <v/>
      </c>
      <c r="W397" s="16" t="str">
        <f>IFERROR(__xludf.DUMMYFUNCTION("""COMPUTED_VALUE"""),"")</f>
        <v/>
      </c>
      <c r="X397" s="16" t="str">
        <f>IFERROR(__xludf.DUMMYFUNCTION("""COMPUTED_VALUE"""),"")</f>
        <v/>
      </c>
      <c r="AC397" s="16" t="str">
        <f>IFERROR(__xludf.DUMMYFUNCTION("""COMPUTED_VALUE"""),"")</f>
        <v/>
      </c>
    </row>
    <row r="398">
      <c r="A398" s="16" t="s">
        <v>87</v>
      </c>
      <c r="E398" s="16" t="str">
        <f>IFERROR(__xludf.DUMMYFUNCTION("""COMPUTED_VALUE"""),"")</f>
        <v/>
      </c>
      <c r="G398" s="18"/>
      <c r="H398" s="16" t="s">
        <v>87</v>
      </c>
      <c r="I398" s="16" t="s">
        <v>87</v>
      </c>
      <c r="J398" s="19"/>
      <c r="L398" s="16" t="str">
        <f>IFERROR(__xludf.DUMMYFUNCTION("""COMPUTED_VALUE"""),"")</f>
        <v/>
      </c>
      <c r="M398" s="16" t="str">
        <f>IFERROR(__xludf.DUMMYFUNCTION("""COMPUTED_VALUE"""),"")</f>
        <v/>
      </c>
      <c r="U398" s="16" t="s">
        <v>87</v>
      </c>
      <c r="V398" s="16" t="str">
        <f>IFERROR(__xludf.DUMMYFUNCTION("""COMPUTED_VALUE"""),"")</f>
        <v/>
      </c>
      <c r="W398" s="16" t="str">
        <f>IFERROR(__xludf.DUMMYFUNCTION("""COMPUTED_VALUE"""),"")</f>
        <v/>
      </c>
      <c r="X398" s="16" t="str">
        <f>IFERROR(__xludf.DUMMYFUNCTION("""COMPUTED_VALUE"""),"")</f>
        <v/>
      </c>
      <c r="AC398" s="16" t="str">
        <f>IFERROR(__xludf.DUMMYFUNCTION("""COMPUTED_VALUE"""),"")</f>
        <v/>
      </c>
    </row>
    <row r="399">
      <c r="A399" s="16" t="s">
        <v>87</v>
      </c>
      <c r="E399" s="16" t="str">
        <f>IFERROR(__xludf.DUMMYFUNCTION("""COMPUTED_VALUE"""),"")</f>
        <v/>
      </c>
      <c r="G399" s="18"/>
      <c r="H399" s="16" t="s">
        <v>87</v>
      </c>
      <c r="I399" s="16" t="s">
        <v>87</v>
      </c>
      <c r="J399" s="19"/>
      <c r="L399" s="16" t="str">
        <f>IFERROR(__xludf.DUMMYFUNCTION("""COMPUTED_VALUE"""),"")</f>
        <v/>
      </c>
      <c r="M399" s="16" t="str">
        <f>IFERROR(__xludf.DUMMYFUNCTION("""COMPUTED_VALUE"""),"")</f>
        <v/>
      </c>
      <c r="U399" s="16" t="s">
        <v>87</v>
      </c>
      <c r="V399" s="16" t="str">
        <f>IFERROR(__xludf.DUMMYFUNCTION("""COMPUTED_VALUE"""),"")</f>
        <v/>
      </c>
      <c r="W399" s="16" t="str">
        <f>IFERROR(__xludf.DUMMYFUNCTION("""COMPUTED_VALUE"""),"")</f>
        <v/>
      </c>
      <c r="X399" s="16" t="str">
        <f>IFERROR(__xludf.DUMMYFUNCTION("""COMPUTED_VALUE"""),"")</f>
        <v/>
      </c>
      <c r="AC399" s="16" t="str">
        <f>IFERROR(__xludf.DUMMYFUNCTION("""COMPUTED_VALUE"""),"")</f>
        <v/>
      </c>
    </row>
    <row r="400">
      <c r="A400" s="16" t="s">
        <v>87</v>
      </c>
      <c r="E400" s="16" t="str">
        <f>IFERROR(__xludf.DUMMYFUNCTION("""COMPUTED_VALUE"""),"")</f>
        <v/>
      </c>
      <c r="G400" s="18"/>
      <c r="H400" s="16" t="s">
        <v>87</v>
      </c>
      <c r="I400" s="16" t="s">
        <v>87</v>
      </c>
      <c r="J400" s="19"/>
      <c r="L400" s="16" t="str">
        <f>IFERROR(__xludf.DUMMYFUNCTION("""COMPUTED_VALUE"""),"")</f>
        <v/>
      </c>
      <c r="M400" s="16" t="str">
        <f>IFERROR(__xludf.DUMMYFUNCTION("""COMPUTED_VALUE"""),"")</f>
        <v/>
      </c>
      <c r="U400" s="16" t="s">
        <v>87</v>
      </c>
      <c r="V400" s="16" t="str">
        <f>IFERROR(__xludf.DUMMYFUNCTION("""COMPUTED_VALUE"""),"")</f>
        <v/>
      </c>
      <c r="W400" s="16" t="str">
        <f>IFERROR(__xludf.DUMMYFUNCTION("""COMPUTED_VALUE"""),"")</f>
        <v/>
      </c>
      <c r="X400" s="16" t="str">
        <f>IFERROR(__xludf.DUMMYFUNCTION("""COMPUTED_VALUE"""),"")</f>
        <v/>
      </c>
      <c r="AC400" s="16" t="str">
        <f>IFERROR(__xludf.DUMMYFUNCTION("""COMPUTED_VALUE"""),"")</f>
        <v/>
      </c>
    </row>
    <row r="401">
      <c r="A401" s="16" t="s">
        <v>87</v>
      </c>
      <c r="E401" s="16" t="str">
        <f>IFERROR(__xludf.DUMMYFUNCTION("""COMPUTED_VALUE"""),"")</f>
        <v/>
      </c>
      <c r="G401" s="18"/>
      <c r="H401" s="16" t="s">
        <v>87</v>
      </c>
      <c r="I401" s="16" t="s">
        <v>87</v>
      </c>
      <c r="J401" s="19"/>
      <c r="L401" s="16" t="str">
        <f>IFERROR(__xludf.DUMMYFUNCTION("""COMPUTED_VALUE"""),"")</f>
        <v/>
      </c>
      <c r="M401" s="16" t="str">
        <f>IFERROR(__xludf.DUMMYFUNCTION("""COMPUTED_VALUE"""),"")</f>
        <v/>
      </c>
      <c r="U401" s="16" t="s">
        <v>87</v>
      </c>
      <c r="V401" s="16" t="str">
        <f>IFERROR(__xludf.DUMMYFUNCTION("""COMPUTED_VALUE"""),"")</f>
        <v/>
      </c>
      <c r="W401" s="16" t="str">
        <f>IFERROR(__xludf.DUMMYFUNCTION("""COMPUTED_VALUE"""),"")</f>
        <v/>
      </c>
      <c r="X401" s="16" t="str">
        <f>IFERROR(__xludf.DUMMYFUNCTION("""COMPUTED_VALUE"""),"")</f>
        <v/>
      </c>
      <c r="AC401" s="16" t="str">
        <f>IFERROR(__xludf.DUMMYFUNCTION("""COMPUTED_VALUE"""),"")</f>
        <v/>
      </c>
    </row>
    <row r="402">
      <c r="A402" s="16" t="s">
        <v>87</v>
      </c>
      <c r="E402" s="16" t="str">
        <f>IFERROR(__xludf.DUMMYFUNCTION("""COMPUTED_VALUE"""),"")</f>
        <v/>
      </c>
      <c r="G402" s="18"/>
      <c r="H402" s="16" t="s">
        <v>87</v>
      </c>
      <c r="I402" s="16" t="s">
        <v>87</v>
      </c>
      <c r="J402" s="19"/>
      <c r="L402" s="16" t="str">
        <f>IFERROR(__xludf.DUMMYFUNCTION("""COMPUTED_VALUE"""),"")</f>
        <v/>
      </c>
      <c r="M402" s="16" t="str">
        <f>IFERROR(__xludf.DUMMYFUNCTION("""COMPUTED_VALUE"""),"")</f>
        <v/>
      </c>
      <c r="U402" s="16" t="s">
        <v>87</v>
      </c>
      <c r="V402" s="16" t="str">
        <f>IFERROR(__xludf.DUMMYFUNCTION("""COMPUTED_VALUE"""),"")</f>
        <v/>
      </c>
      <c r="W402" s="16" t="str">
        <f>IFERROR(__xludf.DUMMYFUNCTION("""COMPUTED_VALUE"""),"")</f>
        <v/>
      </c>
      <c r="X402" s="16" t="str">
        <f>IFERROR(__xludf.DUMMYFUNCTION("""COMPUTED_VALUE"""),"")</f>
        <v/>
      </c>
      <c r="AC402" s="16" t="str">
        <f>IFERROR(__xludf.DUMMYFUNCTION("""COMPUTED_VALUE"""),"")</f>
        <v/>
      </c>
    </row>
    <row r="403">
      <c r="A403" s="16" t="s">
        <v>87</v>
      </c>
      <c r="E403" s="16" t="str">
        <f>IFERROR(__xludf.DUMMYFUNCTION("""COMPUTED_VALUE"""),"")</f>
        <v/>
      </c>
      <c r="G403" s="18"/>
      <c r="H403" s="16" t="s">
        <v>87</v>
      </c>
      <c r="I403" s="16" t="s">
        <v>87</v>
      </c>
      <c r="J403" s="19"/>
      <c r="L403" s="16" t="str">
        <f>IFERROR(__xludf.DUMMYFUNCTION("""COMPUTED_VALUE"""),"")</f>
        <v/>
      </c>
      <c r="M403" s="16" t="str">
        <f>IFERROR(__xludf.DUMMYFUNCTION("""COMPUTED_VALUE"""),"")</f>
        <v/>
      </c>
      <c r="U403" s="16" t="s">
        <v>87</v>
      </c>
      <c r="V403" s="16" t="str">
        <f>IFERROR(__xludf.DUMMYFUNCTION("""COMPUTED_VALUE"""),"")</f>
        <v/>
      </c>
      <c r="W403" s="16" t="str">
        <f>IFERROR(__xludf.DUMMYFUNCTION("""COMPUTED_VALUE"""),"")</f>
        <v/>
      </c>
      <c r="X403" s="16" t="str">
        <f>IFERROR(__xludf.DUMMYFUNCTION("""COMPUTED_VALUE"""),"")</f>
        <v/>
      </c>
      <c r="AC403" s="16" t="str">
        <f>IFERROR(__xludf.DUMMYFUNCTION("""COMPUTED_VALUE"""),"")</f>
        <v/>
      </c>
    </row>
    <row r="404">
      <c r="A404" s="16" t="s">
        <v>87</v>
      </c>
      <c r="E404" s="16" t="str">
        <f>IFERROR(__xludf.DUMMYFUNCTION("""COMPUTED_VALUE"""),"")</f>
        <v/>
      </c>
      <c r="G404" s="18"/>
      <c r="H404" s="16" t="s">
        <v>87</v>
      </c>
      <c r="I404" s="16" t="s">
        <v>87</v>
      </c>
      <c r="J404" s="19"/>
      <c r="L404" s="16" t="str">
        <f>IFERROR(__xludf.DUMMYFUNCTION("""COMPUTED_VALUE"""),"")</f>
        <v/>
      </c>
      <c r="M404" s="16" t="str">
        <f>IFERROR(__xludf.DUMMYFUNCTION("""COMPUTED_VALUE"""),"")</f>
        <v/>
      </c>
      <c r="U404" s="16" t="s">
        <v>87</v>
      </c>
      <c r="V404" s="16" t="str">
        <f>IFERROR(__xludf.DUMMYFUNCTION("""COMPUTED_VALUE"""),"")</f>
        <v/>
      </c>
      <c r="W404" s="16" t="str">
        <f>IFERROR(__xludf.DUMMYFUNCTION("""COMPUTED_VALUE"""),"")</f>
        <v/>
      </c>
      <c r="X404" s="16" t="str">
        <f>IFERROR(__xludf.DUMMYFUNCTION("""COMPUTED_VALUE"""),"")</f>
        <v/>
      </c>
      <c r="AC404" s="16" t="str">
        <f>IFERROR(__xludf.DUMMYFUNCTION("""COMPUTED_VALUE"""),"")</f>
        <v/>
      </c>
    </row>
    <row r="405">
      <c r="A405" s="16" t="s">
        <v>87</v>
      </c>
      <c r="E405" s="16" t="str">
        <f>IFERROR(__xludf.DUMMYFUNCTION("""COMPUTED_VALUE"""),"")</f>
        <v/>
      </c>
      <c r="G405" s="18"/>
      <c r="H405" s="16" t="s">
        <v>87</v>
      </c>
      <c r="I405" s="16" t="s">
        <v>87</v>
      </c>
      <c r="J405" s="19"/>
      <c r="L405" s="16" t="str">
        <f>IFERROR(__xludf.DUMMYFUNCTION("""COMPUTED_VALUE"""),"")</f>
        <v/>
      </c>
      <c r="M405" s="16" t="str">
        <f>IFERROR(__xludf.DUMMYFUNCTION("""COMPUTED_VALUE"""),"")</f>
        <v/>
      </c>
      <c r="U405" s="16" t="s">
        <v>87</v>
      </c>
      <c r="V405" s="16" t="str">
        <f>IFERROR(__xludf.DUMMYFUNCTION("""COMPUTED_VALUE"""),"")</f>
        <v/>
      </c>
      <c r="W405" s="16" t="str">
        <f>IFERROR(__xludf.DUMMYFUNCTION("""COMPUTED_VALUE"""),"")</f>
        <v/>
      </c>
      <c r="X405" s="16" t="str">
        <f>IFERROR(__xludf.DUMMYFUNCTION("""COMPUTED_VALUE"""),"")</f>
        <v/>
      </c>
      <c r="AC405" s="16" t="str">
        <f>IFERROR(__xludf.DUMMYFUNCTION("""COMPUTED_VALUE"""),"")</f>
        <v/>
      </c>
    </row>
    <row r="406">
      <c r="A406" s="16" t="s">
        <v>87</v>
      </c>
      <c r="E406" s="16" t="str">
        <f>IFERROR(__xludf.DUMMYFUNCTION("""COMPUTED_VALUE"""),"")</f>
        <v/>
      </c>
      <c r="G406" s="18"/>
      <c r="H406" s="16" t="s">
        <v>87</v>
      </c>
      <c r="I406" s="16" t="s">
        <v>87</v>
      </c>
      <c r="J406" s="19"/>
      <c r="L406" s="16" t="str">
        <f>IFERROR(__xludf.DUMMYFUNCTION("""COMPUTED_VALUE"""),"")</f>
        <v/>
      </c>
      <c r="M406" s="16" t="str">
        <f>IFERROR(__xludf.DUMMYFUNCTION("""COMPUTED_VALUE"""),"")</f>
        <v/>
      </c>
      <c r="U406" s="16" t="s">
        <v>87</v>
      </c>
      <c r="V406" s="16" t="str">
        <f>IFERROR(__xludf.DUMMYFUNCTION("""COMPUTED_VALUE"""),"")</f>
        <v/>
      </c>
      <c r="W406" s="16" t="str">
        <f>IFERROR(__xludf.DUMMYFUNCTION("""COMPUTED_VALUE"""),"")</f>
        <v/>
      </c>
      <c r="X406" s="16" t="str">
        <f>IFERROR(__xludf.DUMMYFUNCTION("""COMPUTED_VALUE"""),"")</f>
        <v/>
      </c>
      <c r="AC406" s="16" t="str">
        <f>IFERROR(__xludf.DUMMYFUNCTION("""COMPUTED_VALUE"""),"")</f>
        <v/>
      </c>
    </row>
    <row r="407">
      <c r="A407" s="16" t="s">
        <v>87</v>
      </c>
      <c r="E407" s="16" t="str">
        <f>IFERROR(__xludf.DUMMYFUNCTION("""COMPUTED_VALUE"""),"")</f>
        <v/>
      </c>
      <c r="G407" s="18"/>
      <c r="H407" s="16" t="s">
        <v>87</v>
      </c>
      <c r="I407" s="16" t="s">
        <v>87</v>
      </c>
      <c r="J407" s="19"/>
      <c r="L407" s="16" t="str">
        <f>IFERROR(__xludf.DUMMYFUNCTION("""COMPUTED_VALUE"""),"")</f>
        <v/>
      </c>
      <c r="M407" s="16" t="str">
        <f>IFERROR(__xludf.DUMMYFUNCTION("""COMPUTED_VALUE"""),"")</f>
        <v/>
      </c>
      <c r="U407" s="16" t="s">
        <v>87</v>
      </c>
      <c r="V407" s="16" t="str">
        <f>IFERROR(__xludf.DUMMYFUNCTION("""COMPUTED_VALUE"""),"")</f>
        <v/>
      </c>
      <c r="W407" s="16" t="str">
        <f>IFERROR(__xludf.DUMMYFUNCTION("""COMPUTED_VALUE"""),"")</f>
        <v/>
      </c>
      <c r="X407" s="16" t="str">
        <f>IFERROR(__xludf.DUMMYFUNCTION("""COMPUTED_VALUE"""),"")</f>
        <v/>
      </c>
      <c r="AC407" s="16" t="str">
        <f>IFERROR(__xludf.DUMMYFUNCTION("""COMPUTED_VALUE"""),"")</f>
        <v/>
      </c>
    </row>
    <row r="408">
      <c r="A408" s="16" t="s">
        <v>87</v>
      </c>
      <c r="E408" s="16" t="str">
        <f>IFERROR(__xludf.DUMMYFUNCTION("""COMPUTED_VALUE"""),"")</f>
        <v/>
      </c>
      <c r="G408" s="18"/>
      <c r="H408" s="16" t="s">
        <v>87</v>
      </c>
      <c r="I408" s="16" t="s">
        <v>87</v>
      </c>
      <c r="J408" s="19"/>
      <c r="L408" s="16" t="str">
        <f>IFERROR(__xludf.DUMMYFUNCTION("""COMPUTED_VALUE"""),"")</f>
        <v/>
      </c>
      <c r="M408" s="16" t="str">
        <f>IFERROR(__xludf.DUMMYFUNCTION("""COMPUTED_VALUE"""),"")</f>
        <v/>
      </c>
      <c r="U408" s="16" t="s">
        <v>87</v>
      </c>
      <c r="V408" s="16" t="str">
        <f>IFERROR(__xludf.DUMMYFUNCTION("""COMPUTED_VALUE"""),"")</f>
        <v/>
      </c>
      <c r="W408" s="16" t="str">
        <f>IFERROR(__xludf.DUMMYFUNCTION("""COMPUTED_VALUE"""),"")</f>
        <v/>
      </c>
      <c r="X408" s="16" t="str">
        <f>IFERROR(__xludf.DUMMYFUNCTION("""COMPUTED_VALUE"""),"")</f>
        <v/>
      </c>
      <c r="AC408" s="16" t="str">
        <f>IFERROR(__xludf.DUMMYFUNCTION("""COMPUTED_VALUE"""),"")</f>
        <v/>
      </c>
    </row>
    <row r="409">
      <c r="A409" s="16" t="s">
        <v>87</v>
      </c>
      <c r="E409" s="16" t="str">
        <f>IFERROR(__xludf.DUMMYFUNCTION("""COMPUTED_VALUE"""),"")</f>
        <v/>
      </c>
      <c r="G409" s="18"/>
      <c r="H409" s="16" t="s">
        <v>87</v>
      </c>
      <c r="I409" s="16" t="s">
        <v>87</v>
      </c>
      <c r="J409" s="19"/>
      <c r="L409" s="16" t="str">
        <f>IFERROR(__xludf.DUMMYFUNCTION("""COMPUTED_VALUE"""),"")</f>
        <v/>
      </c>
      <c r="M409" s="16" t="str">
        <f>IFERROR(__xludf.DUMMYFUNCTION("""COMPUTED_VALUE"""),"")</f>
        <v/>
      </c>
      <c r="U409" s="16" t="s">
        <v>87</v>
      </c>
      <c r="V409" s="16" t="str">
        <f>IFERROR(__xludf.DUMMYFUNCTION("""COMPUTED_VALUE"""),"")</f>
        <v/>
      </c>
      <c r="W409" s="16" t="str">
        <f>IFERROR(__xludf.DUMMYFUNCTION("""COMPUTED_VALUE"""),"")</f>
        <v/>
      </c>
      <c r="X409" s="16" t="str">
        <f>IFERROR(__xludf.DUMMYFUNCTION("""COMPUTED_VALUE"""),"")</f>
        <v/>
      </c>
      <c r="AC409" s="16" t="str">
        <f>IFERROR(__xludf.DUMMYFUNCTION("""COMPUTED_VALUE"""),"")</f>
        <v/>
      </c>
    </row>
    <row r="410">
      <c r="A410" s="16" t="s">
        <v>87</v>
      </c>
      <c r="E410" s="16" t="str">
        <f>IFERROR(__xludf.DUMMYFUNCTION("""COMPUTED_VALUE"""),"")</f>
        <v/>
      </c>
      <c r="G410" s="18"/>
      <c r="H410" s="16" t="s">
        <v>87</v>
      </c>
      <c r="I410" s="16" t="s">
        <v>87</v>
      </c>
      <c r="J410" s="19"/>
      <c r="L410" s="16" t="str">
        <f>IFERROR(__xludf.DUMMYFUNCTION("""COMPUTED_VALUE"""),"")</f>
        <v/>
      </c>
      <c r="M410" s="16" t="str">
        <f>IFERROR(__xludf.DUMMYFUNCTION("""COMPUTED_VALUE"""),"")</f>
        <v/>
      </c>
      <c r="U410" s="16" t="s">
        <v>87</v>
      </c>
      <c r="V410" s="16" t="str">
        <f>IFERROR(__xludf.DUMMYFUNCTION("""COMPUTED_VALUE"""),"")</f>
        <v/>
      </c>
      <c r="W410" s="16" t="str">
        <f>IFERROR(__xludf.DUMMYFUNCTION("""COMPUTED_VALUE"""),"")</f>
        <v/>
      </c>
      <c r="X410" s="16" t="str">
        <f>IFERROR(__xludf.DUMMYFUNCTION("""COMPUTED_VALUE"""),"")</f>
        <v/>
      </c>
      <c r="AC410" s="16" t="str">
        <f>IFERROR(__xludf.DUMMYFUNCTION("""COMPUTED_VALUE"""),"")</f>
        <v/>
      </c>
    </row>
    <row r="411">
      <c r="A411" s="16" t="s">
        <v>87</v>
      </c>
      <c r="E411" s="16" t="str">
        <f>IFERROR(__xludf.DUMMYFUNCTION("""COMPUTED_VALUE"""),"")</f>
        <v/>
      </c>
      <c r="G411" s="18"/>
      <c r="H411" s="16" t="s">
        <v>87</v>
      </c>
      <c r="I411" s="16" t="s">
        <v>87</v>
      </c>
      <c r="J411" s="19"/>
      <c r="L411" s="16" t="str">
        <f>IFERROR(__xludf.DUMMYFUNCTION("""COMPUTED_VALUE"""),"")</f>
        <v/>
      </c>
      <c r="M411" s="16" t="str">
        <f>IFERROR(__xludf.DUMMYFUNCTION("""COMPUTED_VALUE"""),"")</f>
        <v/>
      </c>
      <c r="U411" s="16" t="s">
        <v>87</v>
      </c>
      <c r="V411" s="16" t="str">
        <f>IFERROR(__xludf.DUMMYFUNCTION("""COMPUTED_VALUE"""),"")</f>
        <v/>
      </c>
      <c r="W411" s="16" t="str">
        <f>IFERROR(__xludf.DUMMYFUNCTION("""COMPUTED_VALUE"""),"")</f>
        <v/>
      </c>
      <c r="X411" s="16" t="str">
        <f>IFERROR(__xludf.DUMMYFUNCTION("""COMPUTED_VALUE"""),"")</f>
        <v/>
      </c>
      <c r="AC411" s="16" t="str">
        <f>IFERROR(__xludf.DUMMYFUNCTION("""COMPUTED_VALUE"""),"")</f>
        <v/>
      </c>
    </row>
    <row r="412">
      <c r="A412" s="16" t="s">
        <v>87</v>
      </c>
      <c r="E412" s="16" t="str">
        <f>IFERROR(__xludf.DUMMYFUNCTION("""COMPUTED_VALUE"""),"")</f>
        <v/>
      </c>
      <c r="G412" s="18"/>
      <c r="H412" s="16" t="s">
        <v>87</v>
      </c>
      <c r="I412" s="16" t="s">
        <v>87</v>
      </c>
      <c r="J412" s="19"/>
      <c r="L412" s="16" t="str">
        <f>IFERROR(__xludf.DUMMYFUNCTION("""COMPUTED_VALUE"""),"")</f>
        <v/>
      </c>
      <c r="M412" s="16" t="str">
        <f>IFERROR(__xludf.DUMMYFUNCTION("""COMPUTED_VALUE"""),"")</f>
        <v/>
      </c>
      <c r="U412" s="16" t="s">
        <v>87</v>
      </c>
      <c r="V412" s="16" t="str">
        <f>IFERROR(__xludf.DUMMYFUNCTION("""COMPUTED_VALUE"""),"")</f>
        <v/>
      </c>
      <c r="W412" s="16" t="str">
        <f>IFERROR(__xludf.DUMMYFUNCTION("""COMPUTED_VALUE"""),"")</f>
        <v/>
      </c>
      <c r="X412" s="16" t="str">
        <f>IFERROR(__xludf.DUMMYFUNCTION("""COMPUTED_VALUE"""),"")</f>
        <v/>
      </c>
      <c r="AC412" s="16" t="str">
        <f>IFERROR(__xludf.DUMMYFUNCTION("""COMPUTED_VALUE"""),"")</f>
        <v/>
      </c>
    </row>
    <row r="413">
      <c r="A413" s="16" t="s">
        <v>87</v>
      </c>
      <c r="E413" s="16" t="str">
        <f>IFERROR(__xludf.DUMMYFUNCTION("""COMPUTED_VALUE"""),"")</f>
        <v/>
      </c>
      <c r="G413" s="18"/>
      <c r="H413" s="16" t="s">
        <v>87</v>
      </c>
      <c r="I413" s="16" t="s">
        <v>87</v>
      </c>
      <c r="J413" s="19"/>
      <c r="L413" s="16" t="str">
        <f>IFERROR(__xludf.DUMMYFUNCTION("""COMPUTED_VALUE"""),"")</f>
        <v/>
      </c>
      <c r="M413" s="16" t="str">
        <f>IFERROR(__xludf.DUMMYFUNCTION("""COMPUTED_VALUE"""),"")</f>
        <v/>
      </c>
      <c r="U413" s="16" t="s">
        <v>87</v>
      </c>
      <c r="V413" s="16" t="str">
        <f>IFERROR(__xludf.DUMMYFUNCTION("""COMPUTED_VALUE"""),"")</f>
        <v/>
      </c>
      <c r="W413" s="16" t="str">
        <f>IFERROR(__xludf.DUMMYFUNCTION("""COMPUTED_VALUE"""),"")</f>
        <v/>
      </c>
      <c r="X413" s="16" t="str">
        <f>IFERROR(__xludf.DUMMYFUNCTION("""COMPUTED_VALUE"""),"")</f>
        <v/>
      </c>
      <c r="AC413" s="16" t="str">
        <f>IFERROR(__xludf.DUMMYFUNCTION("""COMPUTED_VALUE"""),"")</f>
        <v/>
      </c>
    </row>
    <row r="414">
      <c r="A414" s="16" t="s">
        <v>87</v>
      </c>
      <c r="E414" s="16" t="str">
        <f>IFERROR(__xludf.DUMMYFUNCTION("""COMPUTED_VALUE"""),"")</f>
        <v/>
      </c>
      <c r="G414" s="18"/>
      <c r="H414" s="16" t="s">
        <v>87</v>
      </c>
      <c r="I414" s="16" t="s">
        <v>87</v>
      </c>
      <c r="J414" s="19"/>
      <c r="L414" s="16" t="str">
        <f>IFERROR(__xludf.DUMMYFUNCTION("""COMPUTED_VALUE"""),"")</f>
        <v/>
      </c>
      <c r="M414" s="16" t="str">
        <f>IFERROR(__xludf.DUMMYFUNCTION("""COMPUTED_VALUE"""),"")</f>
        <v/>
      </c>
      <c r="U414" s="16" t="s">
        <v>87</v>
      </c>
      <c r="V414" s="16" t="str">
        <f>IFERROR(__xludf.DUMMYFUNCTION("""COMPUTED_VALUE"""),"")</f>
        <v/>
      </c>
      <c r="W414" s="16" t="str">
        <f>IFERROR(__xludf.DUMMYFUNCTION("""COMPUTED_VALUE"""),"")</f>
        <v/>
      </c>
      <c r="X414" s="16" t="str">
        <f>IFERROR(__xludf.DUMMYFUNCTION("""COMPUTED_VALUE"""),"")</f>
        <v/>
      </c>
      <c r="AC414" s="16" t="str">
        <f>IFERROR(__xludf.DUMMYFUNCTION("""COMPUTED_VALUE"""),"")</f>
        <v/>
      </c>
    </row>
    <row r="415">
      <c r="A415" s="16" t="s">
        <v>87</v>
      </c>
      <c r="E415" s="16" t="str">
        <f>IFERROR(__xludf.DUMMYFUNCTION("""COMPUTED_VALUE"""),"")</f>
        <v/>
      </c>
      <c r="G415" s="18"/>
      <c r="H415" s="16" t="s">
        <v>87</v>
      </c>
      <c r="I415" s="16" t="s">
        <v>87</v>
      </c>
      <c r="J415" s="19"/>
      <c r="L415" s="16" t="str">
        <f>IFERROR(__xludf.DUMMYFUNCTION("""COMPUTED_VALUE"""),"")</f>
        <v/>
      </c>
      <c r="M415" s="16" t="str">
        <f>IFERROR(__xludf.DUMMYFUNCTION("""COMPUTED_VALUE"""),"")</f>
        <v/>
      </c>
      <c r="U415" s="16" t="s">
        <v>87</v>
      </c>
      <c r="V415" s="16" t="str">
        <f>IFERROR(__xludf.DUMMYFUNCTION("""COMPUTED_VALUE"""),"")</f>
        <v/>
      </c>
      <c r="W415" s="16" t="str">
        <f>IFERROR(__xludf.DUMMYFUNCTION("""COMPUTED_VALUE"""),"")</f>
        <v/>
      </c>
      <c r="X415" s="16" t="str">
        <f>IFERROR(__xludf.DUMMYFUNCTION("""COMPUTED_VALUE"""),"")</f>
        <v/>
      </c>
      <c r="AC415" s="16" t="str">
        <f>IFERROR(__xludf.DUMMYFUNCTION("""COMPUTED_VALUE"""),"")</f>
        <v/>
      </c>
    </row>
    <row r="416">
      <c r="A416" s="16" t="s">
        <v>87</v>
      </c>
      <c r="E416" s="16" t="str">
        <f>IFERROR(__xludf.DUMMYFUNCTION("""COMPUTED_VALUE"""),"")</f>
        <v/>
      </c>
      <c r="G416" s="18"/>
      <c r="H416" s="16" t="s">
        <v>87</v>
      </c>
      <c r="I416" s="16" t="s">
        <v>87</v>
      </c>
      <c r="J416" s="19"/>
      <c r="L416" s="16" t="str">
        <f>IFERROR(__xludf.DUMMYFUNCTION("""COMPUTED_VALUE"""),"")</f>
        <v/>
      </c>
      <c r="M416" s="16" t="str">
        <f>IFERROR(__xludf.DUMMYFUNCTION("""COMPUTED_VALUE"""),"")</f>
        <v/>
      </c>
      <c r="U416" s="16" t="s">
        <v>87</v>
      </c>
      <c r="V416" s="16" t="str">
        <f>IFERROR(__xludf.DUMMYFUNCTION("""COMPUTED_VALUE"""),"")</f>
        <v/>
      </c>
      <c r="W416" s="16" t="str">
        <f>IFERROR(__xludf.DUMMYFUNCTION("""COMPUTED_VALUE"""),"")</f>
        <v/>
      </c>
      <c r="X416" s="16" t="str">
        <f>IFERROR(__xludf.DUMMYFUNCTION("""COMPUTED_VALUE"""),"")</f>
        <v/>
      </c>
      <c r="AC416" s="16" t="str">
        <f>IFERROR(__xludf.DUMMYFUNCTION("""COMPUTED_VALUE"""),"")</f>
        <v/>
      </c>
    </row>
    <row r="417">
      <c r="A417" s="16" t="s">
        <v>87</v>
      </c>
      <c r="E417" s="16" t="str">
        <f>IFERROR(__xludf.DUMMYFUNCTION("""COMPUTED_VALUE"""),"")</f>
        <v/>
      </c>
      <c r="G417" s="18"/>
      <c r="H417" s="16" t="s">
        <v>87</v>
      </c>
      <c r="I417" s="16" t="s">
        <v>87</v>
      </c>
      <c r="J417" s="19"/>
      <c r="L417" s="16" t="str">
        <f>IFERROR(__xludf.DUMMYFUNCTION("""COMPUTED_VALUE"""),"")</f>
        <v/>
      </c>
      <c r="M417" s="16" t="str">
        <f>IFERROR(__xludf.DUMMYFUNCTION("""COMPUTED_VALUE"""),"")</f>
        <v/>
      </c>
      <c r="U417" s="16" t="s">
        <v>87</v>
      </c>
      <c r="V417" s="16" t="str">
        <f>IFERROR(__xludf.DUMMYFUNCTION("""COMPUTED_VALUE"""),"")</f>
        <v/>
      </c>
      <c r="W417" s="16" t="str">
        <f>IFERROR(__xludf.DUMMYFUNCTION("""COMPUTED_VALUE"""),"")</f>
        <v/>
      </c>
      <c r="X417" s="16" t="str">
        <f>IFERROR(__xludf.DUMMYFUNCTION("""COMPUTED_VALUE"""),"")</f>
        <v/>
      </c>
      <c r="AC417" s="16" t="str">
        <f>IFERROR(__xludf.DUMMYFUNCTION("""COMPUTED_VALUE"""),"")</f>
        <v/>
      </c>
    </row>
    <row r="418">
      <c r="A418" s="16" t="s">
        <v>87</v>
      </c>
      <c r="E418" s="16" t="str">
        <f>IFERROR(__xludf.DUMMYFUNCTION("""COMPUTED_VALUE"""),"")</f>
        <v/>
      </c>
      <c r="G418" s="18"/>
      <c r="H418" s="16" t="s">
        <v>87</v>
      </c>
      <c r="I418" s="16" t="s">
        <v>87</v>
      </c>
      <c r="J418" s="19"/>
      <c r="L418" s="16" t="str">
        <f>IFERROR(__xludf.DUMMYFUNCTION("""COMPUTED_VALUE"""),"")</f>
        <v/>
      </c>
      <c r="M418" s="16" t="str">
        <f>IFERROR(__xludf.DUMMYFUNCTION("""COMPUTED_VALUE"""),"")</f>
        <v/>
      </c>
      <c r="U418" s="16" t="s">
        <v>87</v>
      </c>
      <c r="V418" s="16" t="str">
        <f>IFERROR(__xludf.DUMMYFUNCTION("""COMPUTED_VALUE"""),"")</f>
        <v/>
      </c>
      <c r="W418" s="16" t="str">
        <f>IFERROR(__xludf.DUMMYFUNCTION("""COMPUTED_VALUE"""),"")</f>
        <v/>
      </c>
      <c r="X418" s="16" t="str">
        <f>IFERROR(__xludf.DUMMYFUNCTION("""COMPUTED_VALUE"""),"")</f>
        <v/>
      </c>
      <c r="AC418" s="16" t="str">
        <f>IFERROR(__xludf.DUMMYFUNCTION("""COMPUTED_VALUE"""),"")</f>
        <v/>
      </c>
    </row>
    <row r="419">
      <c r="A419" s="16" t="s">
        <v>87</v>
      </c>
      <c r="E419" s="16" t="str">
        <f>IFERROR(__xludf.DUMMYFUNCTION("""COMPUTED_VALUE"""),"")</f>
        <v/>
      </c>
      <c r="G419" s="18"/>
      <c r="H419" s="16" t="s">
        <v>87</v>
      </c>
      <c r="I419" s="16" t="s">
        <v>87</v>
      </c>
      <c r="J419" s="19"/>
      <c r="L419" s="16" t="str">
        <f>IFERROR(__xludf.DUMMYFUNCTION("""COMPUTED_VALUE"""),"")</f>
        <v/>
      </c>
      <c r="M419" s="16" t="str">
        <f>IFERROR(__xludf.DUMMYFUNCTION("""COMPUTED_VALUE"""),"")</f>
        <v/>
      </c>
      <c r="U419" s="16" t="s">
        <v>87</v>
      </c>
      <c r="V419" s="16" t="str">
        <f>IFERROR(__xludf.DUMMYFUNCTION("""COMPUTED_VALUE"""),"")</f>
        <v/>
      </c>
      <c r="W419" s="16" t="str">
        <f>IFERROR(__xludf.DUMMYFUNCTION("""COMPUTED_VALUE"""),"")</f>
        <v/>
      </c>
      <c r="X419" s="16" t="str">
        <f>IFERROR(__xludf.DUMMYFUNCTION("""COMPUTED_VALUE"""),"")</f>
        <v/>
      </c>
      <c r="AC419" s="16" t="str">
        <f>IFERROR(__xludf.DUMMYFUNCTION("""COMPUTED_VALUE"""),"")</f>
        <v/>
      </c>
    </row>
    <row r="420">
      <c r="A420" s="16" t="s">
        <v>87</v>
      </c>
      <c r="E420" s="16" t="str">
        <f>IFERROR(__xludf.DUMMYFUNCTION("""COMPUTED_VALUE"""),"")</f>
        <v/>
      </c>
      <c r="G420" s="18"/>
      <c r="H420" s="16" t="s">
        <v>87</v>
      </c>
      <c r="I420" s="16" t="s">
        <v>87</v>
      </c>
      <c r="J420" s="19"/>
      <c r="L420" s="16" t="str">
        <f>IFERROR(__xludf.DUMMYFUNCTION("""COMPUTED_VALUE"""),"")</f>
        <v/>
      </c>
      <c r="M420" s="16" t="str">
        <f>IFERROR(__xludf.DUMMYFUNCTION("""COMPUTED_VALUE"""),"")</f>
        <v/>
      </c>
      <c r="U420" s="16" t="s">
        <v>87</v>
      </c>
      <c r="V420" s="16" t="str">
        <f>IFERROR(__xludf.DUMMYFUNCTION("""COMPUTED_VALUE"""),"")</f>
        <v/>
      </c>
      <c r="W420" s="16" t="str">
        <f>IFERROR(__xludf.DUMMYFUNCTION("""COMPUTED_VALUE"""),"")</f>
        <v/>
      </c>
      <c r="X420" s="16" t="str">
        <f>IFERROR(__xludf.DUMMYFUNCTION("""COMPUTED_VALUE"""),"")</f>
        <v/>
      </c>
      <c r="AC420" s="16" t="str">
        <f>IFERROR(__xludf.DUMMYFUNCTION("""COMPUTED_VALUE"""),"")</f>
        <v/>
      </c>
    </row>
    <row r="421">
      <c r="A421" s="16" t="s">
        <v>87</v>
      </c>
      <c r="E421" s="16" t="str">
        <f>IFERROR(__xludf.DUMMYFUNCTION("""COMPUTED_VALUE"""),"")</f>
        <v/>
      </c>
      <c r="G421" s="18"/>
      <c r="H421" s="16" t="s">
        <v>87</v>
      </c>
      <c r="I421" s="16" t="s">
        <v>87</v>
      </c>
      <c r="J421" s="19"/>
      <c r="L421" s="16" t="str">
        <f>IFERROR(__xludf.DUMMYFUNCTION("""COMPUTED_VALUE"""),"")</f>
        <v/>
      </c>
      <c r="M421" s="16" t="str">
        <f>IFERROR(__xludf.DUMMYFUNCTION("""COMPUTED_VALUE"""),"")</f>
        <v/>
      </c>
      <c r="U421" s="16" t="s">
        <v>87</v>
      </c>
      <c r="V421" s="16" t="str">
        <f>IFERROR(__xludf.DUMMYFUNCTION("""COMPUTED_VALUE"""),"")</f>
        <v/>
      </c>
      <c r="W421" s="16" t="str">
        <f>IFERROR(__xludf.DUMMYFUNCTION("""COMPUTED_VALUE"""),"")</f>
        <v/>
      </c>
      <c r="X421" s="16" t="str">
        <f>IFERROR(__xludf.DUMMYFUNCTION("""COMPUTED_VALUE"""),"")</f>
        <v/>
      </c>
      <c r="AC421" s="16" t="str">
        <f>IFERROR(__xludf.DUMMYFUNCTION("""COMPUTED_VALUE"""),"")</f>
        <v/>
      </c>
    </row>
    <row r="422">
      <c r="A422" s="16" t="s">
        <v>87</v>
      </c>
      <c r="E422" s="16" t="str">
        <f>IFERROR(__xludf.DUMMYFUNCTION("""COMPUTED_VALUE"""),"")</f>
        <v/>
      </c>
      <c r="G422" s="18"/>
      <c r="H422" s="16" t="s">
        <v>87</v>
      </c>
      <c r="I422" s="16" t="s">
        <v>87</v>
      </c>
      <c r="J422" s="19"/>
      <c r="L422" s="16" t="str">
        <f>IFERROR(__xludf.DUMMYFUNCTION("""COMPUTED_VALUE"""),"")</f>
        <v/>
      </c>
      <c r="M422" s="16" t="str">
        <f>IFERROR(__xludf.DUMMYFUNCTION("""COMPUTED_VALUE"""),"")</f>
        <v/>
      </c>
      <c r="U422" s="16" t="s">
        <v>87</v>
      </c>
      <c r="V422" s="16" t="str">
        <f>IFERROR(__xludf.DUMMYFUNCTION("""COMPUTED_VALUE"""),"")</f>
        <v/>
      </c>
      <c r="W422" s="16" t="str">
        <f>IFERROR(__xludf.DUMMYFUNCTION("""COMPUTED_VALUE"""),"")</f>
        <v/>
      </c>
      <c r="X422" s="16" t="str">
        <f>IFERROR(__xludf.DUMMYFUNCTION("""COMPUTED_VALUE"""),"")</f>
        <v/>
      </c>
      <c r="AC422" s="16" t="str">
        <f>IFERROR(__xludf.DUMMYFUNCTION("""COMPUTED_VALUE"""),"")</f>
        <v/>
      </c>
    </row>
    <row r="423">
      <c r="A423" s="16" t="s">
        <v>87</v>
      </c>
      <c r="E423" s="16" t="str">
        <f>IFERROR(__xludf.DUMMYFUNCTION("""COMPUTED_VALUE"""),"")</f>
        <v/>
      </c>
      <c r="G423" s="18"/>
      <c r="H423" s="16" t="s">
        <v>87</v>
      </c>
      <c r="I423" s="16" t="s">
        <v>87</v>
      </c>
      <c r="J423" s="19"/>
      <c r="L423" s="16" t="str">
        <f>IFERROR(__xludf.DUMMYFUNCTION("""COMPUTED_VALUE"""),"")</f>
        <v/>
      </c>
      <c r="M423" s="16" t="str">
        <f>IFERROR(__xludf.DUMMYFUNCTION("""COMPUTED_VALUE"""),"")</f>
        <v/>
      </c>
      <c r="U423" s="16" t="s">
        <v>87</v>
      </c>
      <c r="V423" s="16" t="str">
        <f>IFERROR(__xludf.DUMMYFUNCTION("""COMPUTED_VALUE"""),"")</f>
        <v/>
      </c>
      <c r="W423" s="16" t="str">
        <f>IFERROR(__xludf.DUMMYFUNCTION("""COMPUTED_VALUE"""),"")</f>
        <v/>
      </c>
      <c r="X423" s="16" t="str">
        <f>IFERROR(__xludf.DUMMYFUNCTION("""COMPUTED_VALUE"""),"")</f>
        <v/>
      </c>
      <c r="AC423" s="16" t="str">
        <f>IFERROR(__xludf.DUMMYFUNCTION("""COMPUTED_VALUE"""),"")</f>
        <v/>
      </c>
    </row>
    <row r="424">
      <c r="A424" s="16" t="s">
        <v>87</v>
      </c>
      <c r="E424" s="16" t="str">
        <f>IFERROR(__xludf.DUMMYFUNCTION("""COMPUTED_VALUE"""),"")</f>
        <v/>
      </c>
      <c r="G424" s="18"/>
      <c r="H424" s="16" t="s">
        <v>87</v>
      </c>
      <c r="I424" s="16" t="s">
        <v>87</v>
      </c>
      <c r="J424" s="19"/>
      <c r="L424" s="16" t="str">
        <f>IFERROR(__xludf.DUMMYFUNCTION("""COMPUTED_VALUE"""),"")</f>
        <v/>
      </c>
      <c r="M424" s="16" t="str">
        <f>IFERROR(__xludf.DUMMYFUNCTION("""COMPUTED_VALUE"""),"")</f>
        <v/>
      </c>
      <c r="U424" s="16" t="s">
        <v>87</v>
      </c>
      <c r="V424" s="16" t="str">
        <f>IFERROR(__xludf.DUMMYFUNCTION("""COMPUTED_VALUE"""),"")</f>
        <v/>
      </c>
      <c r="W424" s="16" t="str">
        <f>IFERROR(__xludf.DUMMYFUNCTION("""COMPUTED_VALUE"""),"")</f>
        <v/>
      </c>
      <c r="X424" s="16" t="str">
        <f>IFERROR(__xludf.DUMMYFUNCTION("""COMPUTED_VALUE"""),"")</f>
        <v/>
      </c>
      <c r="AC424" s="16" t="str">
        <f>IFERROR(__xludf.DUMMYFUNCTION("""COMPUTED_VALUE"""),"")</f>
        <v/>
      </c>
    </row>
    <row r="425">
      <c r="A425" s="16" t="s">
        <v>87</v>
      </c>
      <c r="E425" s="16" t="str">
        <f>IFERROR(__xludf.DUMMYFUNCTION("""COMPUTED_VALUE"""),"")</f>
        <v/>
      </c>
      <c r="G425" s="18"/>
      <c r="H425" s="16" t="s">
        <v>87</v>
      </c>
      <c r="I425" s="16" t="s">
        <v>87</v>
      </c>
      <c r="J425" s="19"/>
      <c r="L425" s="16" t="str">
        <f>IFERROR(__xludf.DUMMYFUNCTION("""COMPUTED_VALUE"""),"")</f>
        <v/>
      </c>
      <c r="M425" s="16" t="str">
        <f>IFERROR(__xludf.DUMMYFUNCTION("""COMPUTED_VALUE"""),"")</f>
        <v/>
      </c>
      <c r="U425" s="16" t="s">
        <v>87</v>
      </c>
      <c r="V425" s="16" t="str">
        <f>IFERROR(__xludf.DUMMYFUNCTION("""COMPUTED_VALUE"""),"")</f>
        <v/>
      </c>
      <c r="W425" s="16" t="str">
        <f>IFERROR(__xludf.DUMMYFUNCTION("""COMPUTED_VALUE"""),"")</f>
        <v/>
      </c>
      <c r="X425" s="16" t="str">
        <f>IFERROR(__xludf.DUMMYFUNCTION("""COMPUTED_VALUE"""),"")</f>
        <v/>
      </c>
      <c r="AC425" s="16" t="str">
        <f>IFERROR(__xludf.DUMMYFUNCTION("""COMPUTED_VALUE"""),"")</f>
        <v/>
      </c>
    </row>
    <row r="426">
      <c r="A426" s="16" t="s">
        <v>87</v>
      </c>
      <c r="E426" s="16" t="str">
        <f>IFERROR(__xludf.DUMMYFUNCTION("""COMPUTED_VALUE"""),"")</f>
        <v/>
      </c>
      <c r="G426" s="18"/>
      <c r="H426" s="16" t="s">
        <v>87</v>
      </c>
      <c r="I426" s="16" t="s">
        <v>87</v>
      </c>
      <c r="J426" s="19"/>
      <c r="L426" s="16" t="str">
        <f>IFERROR(__xludf.DUMMYFUNCTION("""COMPUTED_VALUE"""),"")</f>
        <v/>
      </c>
      <c r="M426" s="16" t="str">
        <f>IFERROR(__xludf.DUMMYFUNCTION("""COMPUTED_VALUE"""),"")</f>
        <v/>
      </c>
      <c r="U426" s="16" t="s">
        <v>87</v>
      </c>
      <c r="V426" s="16" t="str">
        <f>IFERROR(__xludf.DUMMYFUNCTION("""COMPUTED_VALUE"""),"")</f>
        <v/>
      </c>
      <c r="W426" s="16" t="str">
        <f>IFERROR(__xludf.DUMMYFUNCTION("""COMPUTED_VALUE"""),"")</f>
        <v/>
      </c>
      <c r="X426" s="16" t="str">
        <f>IFERROR(__xludf.DUMMYFUNCTION("""COMPUTED_VALUE"""),"")</f>
        <v/>
      </c>
      <c r="AC426" s="16" t="str">
        <f>IFERROR(__xludf.DUMMYFUNCTION("""COMPUTED_VALUE"""),"")</f>
        <v/>
      </c>
    </row>
    <row r="427">
      <c r="A427" s="16" t="s">
        <v>87</v>
      </c>
      <c r="E427" s="16" t="str">
        <f>IFERROR(__xludf.DUMMYFUNCTION("""COMPUTED_VALUE"""),"")</f>
        <v/>
      </c>
      <c r="G427" s="18"/>
      <c r="H427" s="16" t="s">
        <v>87</v>
      </c>
      <c r="I427" s="16" t="s">
        <v>87</v>
      </c>
      <c r="J427" s="19"/>
      <c r="L427" s="16" t="str">
        <f>IFERROR(__xludf.DUMMYFUNCTION("""COMPUTED_VALUE"""),"")</f>
        <v/>
      </c>
      <c r="M427" s="16" t="str">
        <f>IFERROR(__xludf.DUMMYFUNCTION("""COMPUTED_VALUE"""),"")</f>
        <v/>
      </c>
      <c r="U427" s="16" t="s">
        <v>87</v>
      </c>
      <c r="V427" s="16" t="str">
        <f>IFERROR(__xludf.DUMMYFUNCTION("""COMPUTED_VALUE"""),"")</f>
        <v/>
      </c>
      <c r="W427" s="16" t="str">
        <f>IFERROR(__xludf.DUMMYFUNCTION("""COMPUTED_VALUE"""),"")</f>
        <v/>
      </c>
      <c r="X427" s="16" t="str">
        <f>IFERROR(__xludf.DUMMYFUNCTION("""COMPUTED_VALUE"""),"")</f>
        <v/>
      </c>
      <c r="AC427" s="16" t="str">
        <f>IFERROR(__xludf.DUMMYFUNCTION("""COMPUTED_VALUE"""),"")</f>
        <v/>
      </c>
    </row>
    <row r="428">
      <c r="A428" s="16" t="s">
        <v>87</v>
      </c>
      <c r="E428" s="16" t="str">
        <f>IFERROR(__xludf.DUMMYFUNCTION("""COMPUTED_VALUE"""),"")</f>
        <v/>
      </c>
      <c r="G428" s="18"/>
      <c r="H428" s="16" t="s">
        <v>87</v>
      </c>
      <c r="I428" s="16" t="s">
        <v>87</v>
      </c>
      <c r="J428" s="19"/>
      <c r="L428" s="16" t="str">
        <f>IFERROR(__xludf.DUMMYFUNCTION("""COMPUTED_VALUE"""),"")</f>
        <v/>
      </c>
      <c r="M428" s="16" t="str">
        <f>IFERROR(__xludf.DUMMYFUNCTION("""COMPUTED_VALUE"""),"")</f>
        <v/>
      </c>
      <c r="U428" s="16" t="s">
        <v>87</v>
      </c>
      <c r="V428" s="16" t="str">
        <f>IFERROR(__xludf.DUMMYFUNCTION("""COMPUTED_VALUE"""),"")</f>
        <v/>
      </c>
      <c r="W428" s="16" t="str">
        <f>IFERROR(__xludf.DUMMYFUNCTION("""COMPUTED_VALUE"""),"")</f>
        <v/>
      </c>
      <c r="X428" s="16" t="str">
        <f>IFERROR(__xludf.DUMMYFUNCTION("""COMPUTED_VALUE"""),"")</f>
        <v/>
      </c>
      <c r="AC428" s="16" t="str">
        <f>IFERROR(__xludf.DUMMYFUNCTION("""COMPUTED_VALUE"""),"")</f>
        <v/>
      </c>
    </row>
    <row r="429">
      <c r="A429" s="16" t="s">
        <v>87</v>
      </c>
      <c r="E429" s="16" t="str">
        <f>IFERROR(__xludf.DUMMYFUNCTION("""COMPUTED_VALUE"""),"")</f>
        <v/>
      </c>
      <c r="G429" s="18"/>
      <c r="H429" s="16" t="s">
        <v>87</v>
      </c>
      <c r="I429" s="16" t="s">
        <v>87</v>
      </c>
      <c r="J429" s="19"/>
      <c r="L429" s="16" t="str">
        <f>IFERROR(__xludf.DUMMYFUNCTION("""COMPUTED_VALUE"""),"")</f>
        <v/>
      </c>
      <c r="M429" s="16" t="str">
        <f>IFERROR(__xludf.DUMMYFUNCTION("""COMPUTED_VALUE"""),"")</f>
        <v/>
      </c>
      <c r="U429" s="16" t="s">
        <v>87</v>
      </c>
      <c r="V429" s="16" t="str">
        <f>IFERROR(__xludf.DUMMYFUNCTION("""COMPUTED_VALUE"""),"")</f>
        <v/>
      </c>
      <c r="W429" s="16" t="str">
        <f>IFERROR(__xludf.DUMMYFUNCTION("""COMPUTED_VALUE"""),"")</f>
        <v/>
      </c>
      <c r="X429" s="16" t="str">
        <f>IFERROR(__xludf.DUMMYFUNCTION("""COMPUTED_VALUE"""),"")</f>
        <v/>
      </c>
      <c r="AC429" s="16" t="str">
        <f>IFERROR(__xludf.DUMMYFUNCTION("""COMPUTED_VALUE"""),"")</f>
        <v/>
      </c>
    </row>
    <row r="430">
      <c r="A430" s="16" t="s">
        <v>87</v>
      </c>
      <c r="E430" s="16" t="str">
        <f>IFERROR(__xludf.DUMMYFUNCTION("""COMPUTED_VALUE"""),"")</f>
        <v/>
      </c>
      <c r="G430" s="18"/>
      <c r="H430" s="16" t="s">
        <v>87</v>
      </c>
      <c r="I430" s="16" t="s">
        <v>87</v>
      </c>
      <c r="J430" s="19"/>
      <c r="L430" s="16" t="str">
        <f>IFERROR(__xludf.DUMMYFUNCTION("""COMPUTED_VALUE"""),"")</f>
        <v/>
      </c>
      <c r="M430" s="16" t="str">
        <f>IFERROR(__xludf.DUMMYFUNCTION("""COMPUTED_VALUE"""),"")</f>
        <v/>
      </c>
      <c r="U430" s="16" t="s">
        <v>87</v>
      </c>
      <c r="V430" s="16" t="str">
        <f>IFERROR(__xludf.DUMMYFUNCTION("""COMPUTED_VALUE"""),"")</f>
        <v/>
      </c>
      <c r="W430" s="16" t="str">
        <f>IFERROR(__xludf.DUMMYFUNCTION("""COMPUTED_VALUE"""),"")</f>
        <v/>
      </c>
      <c r="X430" s="16" t="str">
        <f>IFERROR(__xludf.DUMMYFUNCTION("""COMPUTED_VALUE"""),"")</f>
        <v/>
      </c>
      <c r="AC430" s="16" t="str">
        <f>IFERROR(__xludf.DUMMYFUNCTION("""COMPUTED_VALUE"""),"")</f>
        <v/>
      </c>
    </row>
    <row r="431">
      <c r="A431" s="16" t="s">
        <v>87</v>
      </c>
      <c r="E431" s="16" t="str">
        <f>IFERROR(__xludf.DUMMYFUNCTION("""COMPUTED_VALUE"""),"")</f>
        <v/>
      </c>
      <c r="G431" s="18"/>
      <c r="H431" s="16" t="s">
        <v>87</v>
      </c>
      <c r="I431" s="16" t="s">
        <v>87</v>
      </c>
      <c r="J431" s="19"/>
      <c r="L431" s="16" t="str">
        <f>IFERROR(__xludf.DUMMYFUNCTION("""COMPUTED_VALUE"""),"")</f>
        <v/>
      </c>
      <c r="M431" s="16" t="str">
        <f>IFERROR(__xludf.DUMMYFUNCTION("""COMPUTED_VALUE"""),"")</f>
        <v/>
      </c>
      <c r="U431" s="16" t="s">
        <v>87</v>
      </c>
      <c r="V431" s="16" t="str">
        <f>IFERROR(__xludf.DUMMYFUNCTION("""COMPUTED_VALUE"""),"")</f>
        <v/>
      </c>
      <c r="W431" s="16" t="str">
        <f>IFERROR(__xludf.DUMMYFUNCTION("""COMPUTED_VALUE"""),"")</f>
        <v/>
      </c>
      <c r="X431" s="16" t="str">
        <f>IFERROR(__xludf.DUMMYFUNCTION("""COMPUTED_VALUE"""),"")</f>
        <v/>
      </c>
      <c r="AC431" s="16" t="str">
        <f>IFERROR(__xludf.DUMMYFUNCTION("""COMPUTED_VALUE"""),"")</f>
        <v/>
      </c>
    </row>
    <row r="432">
      <c r="A432" s="16" t="s">
        <v>87</v>
      </c>
      <c r="E432" s="16" t="str">
        <f>IFERROR(__xludf.DUMMYFUNCTION("""COMPUTED_VALUE"""),"")</f>
        <v/>
      </c>
      <c r="G432" s="18"/>
      <c r="H432" s="16" t="s">
        <v>87</v>
      </c>
      <c r="I432" s="16" t="s">
        <v>87</v>
      </c>
      <c r="J432" s="19"/>
      <c r="L432" s="16" t="str">
        <f>IFERROR(__xludf.DUMMYFUNCTION("""COMPUTED_VALUE"""),"")</f>
        <v/>
      </c>
      <c r="M432" s="16" t="str">
        <f>IFERROR(__xludf.DUMMYFUNCTION("""COMPUTED_VALUE"""),"")</f>
        <v/>
      </c>
      <c r="U432" s="16" t="s">
        <v>87</v>
      </c>
      <c r="V432" s="16" t="str">
        <f>IFERROR(__xludf.DUMMYFUNCTION("""COMPUTED_VALUE"""),"")</f>
        <v/>
      </c>
      <c r="W432" s="16" t="str">
        <f>IFERROR(__xludf.DUMMYFUNCTION("""COMPUTED_VALUE"""),"")</f>
        <v/>
      </c>
      <c r="X432" s="16" t="str">
        <f>IFERROR(__xludf.DUMMYFUNCTION("""COMPUTED_VALUE"""),"")</f>
        <v/>
      </c>
      <c r="AC432" s="16" t="str">
        <f>IFERROR(__xludf.DUMMYFUNCTION("""COMPUTED_VALUE"""),"")</f>
        <v/>
      </c>
    </row>
    <row r="433">
      <c r="A433" s="16" t="s">
        <v>87</v>
      </c>
      <c r="E433" s="16" t="str">
        <f>IFERROR(__xludf.DUMMYFUNCTION("""COMPUTED_VALUE"""),"")</f>
        <v/>
      </c>
      <c r="G433" s="18"/>
      <c r="H433" s="16" t="s">
        <v>87</v>
      </c>
      <c r="I433" s="16" t="s">
        <v>87</v>
      </c>
      <c r="J433" s="19"/>
      <c r="L433" s="16" t="str">
        <f>IFERROR(__xludf.DUMMYFUNCTION("""COMPUTED_VALUE"""),"")</f>
        <v/>
      </c>
      <c r="M433" s="16" t="str">
        <f>IFERROR(__xludf.DUMMYFUNCTION("""COMPUTED_VALUE"""),"")</f>
        <v/>
      </c>
      <c r="U433" s="16" t="s">
        <v>87</v>
      </c>
      <c r="V433" s="16" t="str">
        <f>IFERROR(__xludf.DUMMYFUNCTION("""COMPUTED_VALUE"""),"")</f>
        <v/>
      </c>
      <c r="W433" s="16" t="str">
        <f>IFERROR(__xludf.DUMMYFUNCTION("""COMPUTED_VALUE"""),"")</f>
        <v/>
      </c>
      <c r="X433" s="16" t="str">
        <f>IFERROR(__xludf.DUMMYFUNCTION("""COMPUTED_VALUE"""),"")</f>
        <v/>
      </c>
      <c r="AC433" s="16" t="str">
        <f>IFERROR(__xludf.DUMMYFUNCTION("""COMPUTED_VALUE"""),"")</f>
        <v/>
      </c>
    </row>
    <row r="434">
      <c r="A434" s="16" t="s">
        <v>87</v>
      </c>
      <c r="E434" s="16" t="str">
        <f>IFERROR(__xludf.DUMMYFUNCTION("""COMPUTED_VALUE"""),"")</f>
        <v/>
      </c>
      <c r="G434" s="18"/>
      <c r="H434" s="16" t="s">
        <v>87</v>
      </c>
      <c r="I434" s="16" t="s">
        <v>87</v>
      </c>
      <c r="J434" s="19"/>
      <c r="L434" s="16" t="str">
        <f>IFERROR(__xludf.DUMMYFUNCTION("""COMPUTED_VALUE"""),"")</f>
        <v/>
      </c>
      <c r="M434" s="16" t="str">
        <f>IFERROR(__xludf.DUMMYFUNCTION("""COMPUTED_VALUE"""),"")</f>
        <v/>
      </c>
      <c r="U434" s="16" t="s">
        <v>87</v>
      </c>
      <c r="V434" s="16" t="str">
        <f>IFERROR(__xludf.DUMMYFUNCTION("""COMPUTED_VALUE"""),"")</f>
        <v/>
      </c>
      <c r="W434" s="16" t="str">
        <f>IFERROR(__xludf.DUMMYFUNCTION("""COMPUTED_VALUE"""),"")</f>
        <v/>
      </c>
      <c r="X434" s="16" t="str">
        <f>IFERROR(__xludf.DUMMYFUNCTION("""COMPUTED_VALUE"""),"")</f>
        <v/>
      </c>
      <c r="AC434" s="16" t="str">
        <f>IFERROR(__xludf.DUMMYFUNCTION("""COMPUTED_VALUE"""),"")</f>
        <v/>
      </c>
    </row>
    <row r="435">
      <c r="A435" s="16" t="s">
        <v>87</v>
      </c>
      <c r="E435" s="16" t="str">
        <f>IFERROR(__xludf.DUMMYFUNCTION("""COMPUTED_VALUE"""),"")</f>
        <v/>
      </c>
      <c r="G435" s="18"/>
      <c r="H435" s="16" t="s">
        <v>87</v>
      </c>
      <c r="I435" s="16" t="s">
        <v>87</v>
      </c>
      <c r="J435" s="19"/>
      <c r="L435" s="16" t="str">
        <f>IFERROR(__xludf.DUMMYFUNCTION("""COMPUTED_VALUE"""),"")</f>
        <v/>
      </c>
      <c r="M435" s="16" t="str">
        <f>IFERROR(__xludf.DUMMYFUNCTION("""COMPUTED_VALUE"""),"")</f>
        <v/>
      </c>
      <c r="U435" s="16" t="s">
        <v>87</v>
      </c>
      <c r="V435" s="16" t="str">
        <f>IFERROR(__xludf.DUMMYFUNCTION("""COMPUTED_VALUE"""),"")</f>
        <v/>
      </c>
      <c r="W435" s="16" t="str">
        <f>IFERROR(__xludf.DUMMYFUNCTION("""COMPUTED_VALUE"""),"")</f>
        <v/>
      </c>
      <c r="X435" s="16" t="str">
        <f>IFERROR(__xludf.DUMMYFUNCTION("""COMPUTED_VALUE"""),"")</f>
        <v/>
      </c>
      <c r="AC435" s="16" t="str">
        <f>IFERROR(__xludf.DUMMYFUNCTION("""COMPUTED_VALUE"""),"")</f>
        <v/>
      </c>
    </row>
    <row r="436">
      <c r="A436" s="16" t="s">
        <v>87</v>
      </c>
      <c r="E436" s="16" t="str">
        <f>IFERROR(__xludf.DUMMYFUNCTION("""COMPUTED_VALUE"""),"")</f>
        <v/>
      </c>
      <c r="G436" s="18"/>
      <c r="H436" s="16" t="s">
        <v>87</v>
      </c>
      <c r="I436" s="16" t="s">
        <v>87</v>
      </c>
      <c r="J436" s="19"/>
      <c r="L436" s="16" t="str">
        <f>IFERROR(__xludf.DUMMYFUNCTION("""COMPUTED_VALUE"""),"")</f>
        <v/>
      </c>
      <c r="M436" s="16" t="str">
        <f>IFERROR(__xludf.DUMMYFUNCTION("""COMPUTED_VALUE"""),"")</f>
        <v/>
      </c>
      <c r="U436" s="16" t="s">
        <v>87</v>
      </c>
      <c r="V436" s="16" t="str">
        <f>IFERROR(__xludf.DUMMYFUNCTION("""COMPUTED_VALUE"""),"")</f>
        <v/>
      </c>
      <c r="W436" s="16" t="str">
        <f>IFERROR(__xludf.DUMMYFUNCTION("""COMPUTED_VALUE"""),"")</f>
        <v/>
      </c>
      <c r="X436" s="16" t="str">
        <f>IFERROR(__xludf.DUMMYFUNCTION("""COMPUTED_VALUE"""),"")</f>
        <v/>
      </c>
      <c r="AC436" s="16" t="str">
        <f>IFERROR(__xludf.DUMMYFUNCTION("""COMPUTED_VALUE"""),"")</f>
        <v/>
      </c>
    </row>
    <row r="437">
      <c r="A437" s="16" t="s">
        <v>87</v>
      </c>
      <c r="E437" s="16" t="str">
        <f>IFERROR(__xludf.DUMMYFUNCTION("""COMPUTED_VALUE"""),"")</f>
        <v/>
      </c>
      <c r="G437" s="18"/>
      <c r="H437" s="16" t="s">
        <v>87</v>
      </c>
      <c r="I437" s="16" t="s">
        <v>87</v>
      </c>
      <c r="J437" s="19"/>
      <c r="L437" s="16" t="str">
        <f>IFERROR(__xludf.DUMMYFUNCTION("""COMPUTED_VALUE"""),"")</f>
        <v/>
      </c>
      <c r="M437" s="16" t="str">
        <f>IFERROR(__xludf.DUMMYFUNCTION("""COMPUTED_VALUE"""),"")</f>
        <v/>
      </c>
      <c r="U437" s="16" t="s">
        <v>87</v>
      </c>
      <c r="V437" s="16" t="str">
        <f>IFERROR(__xludf.DUMMYFUNCTION("""COMPUTED_VALUE"""),"")</f>
        <v/>
      </c>
      <c r="W437" s="16" t="str">
        <f>IFERROR(__xludf.DUMMYFUNCTION("""COMPUTED_VALUE"""),"")</f>
        <v/>
      </c>
      <c r="X437" s="16" t="str">
        <f>IFERROR(__xludf.DUMMYFUNCTION("""COMPUTED_VALUE"""),"")</f>
        <v/>
      </c>
      <c r="AC437" s="16" t="str">
        <f>IFERROR(__xludf.DUMMYFUNCTION("""COMPUTED_VALUE"""),"")</f>
        <v/>
      </c>
    </row>
    <row r="438">
      <c r="A438" s="16" t="s">
        <v>87</v>
      </c>
      <c r="E438" s="16" t="str">
        <f>IFERROR(__xludf.DUMMYFUNCTION("""COMPUTED_VALUE"""),"")</f>
        <v/>
      </c>
      <c r="G438" s="18"/>
      <c r="H438" s="16" t="s">
        <v>87</v>
      </c>
      <c r="I438" s="16" t="s">
        <v>87</v>
      </c>
      <c r="J438" s="19"/>
      <c r="L438" s="16" t="str">
        <f>IFERROR(__xludf.DUMMYFUNCTION("""COMPUTED_VALUE"""),"")</f>
        <v/>
      </c>
      <c r="M438" s="16" t="str">
        <f>IFERROR(__xludf.DUMMYFUNCTION("""COMPUTED_VALUE"""),"")</f>
        <v/>
      </c>
      <c r="U438" s="16" t="s">
        <v>87</v>
      </c>
      <c r="V438" s="16" t="str">
        <f>IFERROR(__xludf.DUMMYFUNCTION("""COMPUTED_VALUE"""),"")</f>
        <v/>
      </c>
      <c r="W438" s="16" t="str">
        <f>IFERROR(__xludf.DUMMYFUNCTION("""COMPUTED_VALUE"""),"")</f>
        <v/>
      </c>
      <c r="X438" s="16" t="str">
        <f>IFERROR(__xludf.DUMMYFUNCTION("""COMPUTED_VALUE"""),"")</f>
        <v/>
      </c>
      <c r="AC438" s="16" t="str">
        <f>IFERROR(__xludf.DUMMYFUNCTION("""COMPUTED_VALUE"""),"")</f>
        <v/>
      </c>
    </row>
    <row r="439">
      <c r="A439" s="16" t="s">
        <v>87</v>
      </c>
      <c r="E439" s="16" t="str">
        <f>IFERROR(__xludf.DUMMYFUNCTION("""COMPUTED_VALUE"""),"")</f>
        <v/>
      </c>
      <c r="G439" s="18"/>
      <c r="H439" s="16" t="s">
        <v>87</v>
      </c>
      <c r="I439" s="16" t="s">
        <v>87</v>
      </c>
      <c r="J439" s="19"/>
      <c r="L439" s="16" t="str">
        <f>IFERROR(__xludf.DUMMYFUNCTION("""COMPUTED_VALUE"""),"")</f>
        <v/>
      </c>
      <c r="M439" s="16" t="str">
        <f>IFERROR(__xludf.DUMMYFUNCTION("""COMPUTED_VALUE"""),"")</f>
        <v/>
      </c>
      <c r="U439" s="16" t="s">
        <v>87</v>
      </c>
      <c r="V439" s="16" t="str">
        <f>IFERROR(__xludf.DUMMYFUNCTION("""COMPUTED_VALUE"""),"")</f>
        <v/>
      </c>
      <c r="W439" s="16" t="str">
        <f>IFERROR(__xludf.DUMMYFUNCTION("""COMPUTED_VALUE"""),"")</f>
        <v/>
      </c>
      <c r="X439" s="16" t="str">
        <f>IFERROR(__xludf.DUMMYFUNCTION("""COMPUTED_VALUE"""),"")</f>
        <v/>
      </c>
      <c r="AC439" s="16" t="str">
        <f>IFERROR(__xludf.DUMMYFUNCTION("""COMPUTED_VALUE"""),"")</f>
        <v/>
      </c>
    </row>
    <row r="440">
      <c r="A440" s="16" t="s">
        <v>87</v>
      </c>
      <c r="E440" s="16" t="str">
        <f>IFERROR(__xludf.DUMMYFUNCTION("""COMPUTED_VALUE"""),"")</f>
        <v/>
      </c>
      <c r="G440" s="18"/>
      <c r="H440" s="16" t="s">
        <v>87</v>
      </c>
      <c r="I440" s="16" t="s">
        <v>87</v>
      </c>
      <c r="J440" s="19"/>
      <c r="L440" s="16" t="str">
        <f>IFERROR(__xludf.DUMMYFUNCTION("""COMPUTED_VALUE"""),"")</f>
        <v/>
      </c>
      <c r="M440" s="16" t="str">
        <f>IFERROR(__xludf.DUMMYFUNCTION("""COMPUTED_VALUE"""),"")</f>
        <v/>
      </c>
      <c r="U440" s="16" t="s">
        <v>87</v>
      </c>
      <c r="V440" s="16" t="str">
        <f>IFERROR(__xludf.DUMMYFUNCTION("""COMPUTED_VALUE"""),"")</f>
        <v/>
      </c>
      <c r="W440" s="16" t="str">
        <f>IFERROR(__xludf.DUMMYFUNCTION("""COMPUTED_VALUE"""),"")</f>
        <v/>
      </c>
      <c r="X440" s="16" t="str">
        <f>IFERROR(__xludf.DUMMYFUNCTION("""COMPUTED_VALUE"""),"")</f>
        <v/>
      </c>
      <c r="AC440" s="16" t="str">
        <f>IFERROR(__xludf.DUMMYFUNCTION("""COMPUTED_VALUE"""),"")</f>
        <v/>
      </c>
    </row>
    <row r="441">
      <c r="A441" s="16" t="s">
        <v>87</v>
      </c>
      <c r="E441" s="16" t="str">
        <f>IFERROR(__xludf.DUMMYFUNCTION("""COMPUTED_VALUE"""),"")</f>
        <v/>
      </c>
      <c r="G441" s="18"/>
      <c r="H441" s="16" t="s">
        <v>87</v>
      </c>
      <c r="I441" s="16" t="s">
        <v>87</v>
      </c>
      <c r="J441" s="19"/>
      <c r="L441" s="16" t="str">
        <f>IFERROR(__xludf.DUMMYFUNCTION("""COMPUTED_VALUE"""),"")</f>
        <v/>
      </c>
      <c r="M441" s="16" t="str">
        <f>IFERROR(__xludf.DUMMYFUNCTION("""COMPUTED_VALUE"""),"")</f>
        <v/>
      </c>
      <c r="U441" s="16" t="s">
        <v>87</v>
      </c>
      <c r="V441" s="16" t="str">
        <f>IFERROR(__xludf.DUMMYFUNCTION("""COMPUTED_VALUE"""),"")</f>
        <v/>
      </c>
      <c r="W441" s="16" t="str">
        <f>IFERROR(__xludf.DUMMYFUNCTION("""COMPUTED_VALUE"""),"")</f>
        <v/>
      </c>
      <c r="X441" s="16" t="str">
        <f>IFERROR(__xludf.DUMMYFUNCTION("""COMPUTED_VALUE"""),"")</f>
        <v/>
      </c>
      <c r="AC441" s="16" t="str">
        <f>IFERROR(__xludf.DUMMYFUNCTION("""COMPUTED_VALUE"""),"")</f>
        <v/>
      </c>
    </row>
    <row r="442">
      <c r="A442" s="16" t="s">
        <v>87</v>
      </c>
      <c r="E442" s="16" t="str">
        <f>IFERROR(__xludf.DUMMYFUNCTION("""COMPUTED_VALUE"""),"")</f>
        <v/>
      </c>
      <c r="G442" s="18"/>
      <c r="H442" s="16" t="s">
        <v>87</v>
      </c>
      <c r="I442" s="16" t="s">
        <v>87</v>
      </c>
      <c r="J442" s="19"/>
      <c r="L442" s="16" t="str">
        <f>IFERROR(__xludf.DUMMYFUNCTION("""COMPUTED_VALUE"""),"")</f>
        <v/>
      </c>
      <c r="M442" s="16" t="str">
        <f>IFERROR(__xludf.DUMMYFUNCTION("""COMPUTED_VALUE"""),"")</f>
        <v/>
      </c>
      <c r="U442" s="16" t="s">
        <v>87</v>
      </c>
      <c r="V442" s="16" t="str">
        <f>IFERROR(__xludf.DUMMYFUNCTION("""COMPUTED_VALUE"""),"")</f>
        <v/>
      </c>
      <c r="W442" s="16" t="str">
        <f>IFERROR(__xludf.DUMMYFUNCTION("""COMPUTED_VALUE"""),"")</f>
        <v/>
      </c>
      <c r="X442" s="16" t="str">
        <f>IFERROR(__xludf.DUMMYFUNCTION("""COMPUTED_VALUE"""),"")</f>
        <v/>
      </c>
      <c r="AC442" s="16" t="str">
        <f>IFERROR(__xludf.DUMMYFUNCTION("""COMPUTED_VALUE"""),"")</f>
        <v/>
      </c>
    </row>
    <row r="443">
      <c r="A443" s="16" t="s">
        <v>87</v>
      </c>
      <c r="E443" s="16" t="str">
        <f>IFERROR(__xludf.DUMMYFUNCTION("""COMPUTED_VALUE"""),"")</f>
        <v/>
      </c>
      <c r="G443" s="18"/>
      <c r="H443" s="16" t="s">
        <v>87</v>
      </c>
      <c r="I443" s="16" t="s">
        <v>87</v>
      </c>
      <c r="J443" s="19"/>
      <c r="L443" s="16" t="str">
        <f>IFERROR(__xludf.DUMMYFUNCTION("""COMPUTED_VALUE"""),"")</f>
        <v/>
      </c>
      <c r="M443" s="16" t="str">
        <f>IFERROR(__xludf.DUMMYFUNCTION("""COMPUTED_VALUE"""),"")</f>
        <v/>
      </c>
      <c r="U443" s="16" t="s">
        <v>87</v>
      </c>
      <c r="V443" s="16" t="str">
        <f>IFERROR(__xludf.DUMMYFUNCTION("""COMPUTED_VALUE"""),"")</f>
        <v/>
      </c>
      <c r="W443" s="16" t="str">
        <f>IFERROR(__xludf.DUMMYFUNCTION("""COMPUTED_VALUE"""),"")</f>
        <v/>
      </c>
      <c r="X443" s="16" t="str">
        <f>IFERROR(__xludf.DUMMYFUNCTION("""COMPUTED_VALUE"""),"")</f>
        <v/>
      </c>
      <c r="AC443" s="16" t="str">
        <f>IFERROR(__xludf.DUMMYFUNCTION("""COMPUTED_VALUE"""),"")</f>
        <v/>
      </c>
    </row>
    <row r="444">
      <c r="A444" s="16" t="s">
        <v>87</v>
      </c>
      <c r="E444" s="16" t="str">
        <f>IFERROR(__xludf.DUMMYFUNCTION("""COMPUTED_VALUE"""),"")</f>
        <v/>
      </c>
      <c r="G444" s="18"/>
      <c r="H444" s="16" t="s">
        <v>87</v>
      </c>
      <c r="I444" s="16" t="s">
        <v>87</v>
      </c>
      <c r="J444" s="19"/>
      <c r="L444" s="16" t="str">
        <f>IFERROR(__xludf.DUMMYFUNCTION("""COMPUTED_VALUE"""),"")</f>
        <v/>
      </c>
      <c r="M444" s="16" t="str">
        <f>IFERROR(__xludf.DUMMYFUNCTION("""COMPUTED_VALUE"""),"")</f>
        <v/>
      </c>
      <c r="U444" s="16" t="s">
        <v>87</v>
      </c>
      <c r="V444" s="16" t="str">
        <f>IFERROR(__xludf.DUMMYFUNCTION("""COMPUTED_VALUE"""),"")</f>
        <v/>
      </c>
      <c r="W444" s="16" t="str">
        <f>IFERROR(__xludf.DUMMYFUNCTION("""COMPUTED_VALUE"""),"")</f>
        <v/>
      </c>
      <c r="X444" s="16" t="str">
        <f>IFERROR(__xludf.DUMMYFUNCTION("""COMPUTED_VALUE"""),"")</f>
        <v/>
      </c>
      <c r="AC444" s="16" t="str">
        <f>IFERROR(__xludf.DUMMYFUNCTION("""COMPUTED_VALUE"""),"")</f>
        <v/>
      </c>
    </row>
    <row r="445">
      <c r="A445" s="16" t="s">
        <v>87</v>
      </c>
      <c r="E445" s="16" t="str">
        <f>IFERROR(__xludf.DUMMYFUNCTION("""COMPUTED_VALUE"""),"")</f>
        <v/>
      </c>
      <c r="G445" s="18"/>
      <c r="H445" s="16" t="s">
        <v>87</v>
      </c>
      <c r="I445" s="16" t="s">
        <v>87</v>
      </c>
      <c r="J445" s="19"/>
      <c r="L445" s="16" t="str">
        <f>IFERROR(__xludf.DUMMYFUNCTION("""COMPUTED_VALUE"""),"")</f>
        <v/>
      </c>
      <c r="M445" s="16" t="str">
        <f>IFERROR(__xludf.DUMMYFUNCTION("""COMPUTED_VALUE"""),"")</f>
        <v/>
      </c>
      <c r="U445" s="16" t="s">
        <v>87</v>
      </c>
      <c r="V445" s="16" t="str">
        <f>IFERROR(__xludf.DUMMYFUNCTION("""COMPUTED_VALUE"""),"")</f>
        <v/>
      </c>
      <c r="W445" s="16" t="str">
        <f>IFERROR(__xludf.DUMMYFUNCTION("""COMPUTED_VALUE"""),"")</f>
        <v/>
      </c>
      <c r="X445" s="16" t="str">
        <f>IFERROR(__xludf.DUMMYFUNCTION("""COMPUTED_VALUE"""),"")</f>
        <v/>
      </c>
      <c r="AC445" s="16" t="str">
        <f>IFERROR(__xludf.DUMMYFUNCTION("""COMPUTED_VALUE"""),"")</f>
        <v/>
      </c>
    </row>
    <row r="446">
      <c r="A446" s="16" t="s">
        <v>87</v>
      </c>
      <c r="E446" s="16" t="str">
        <f>IFERROR(__xludf.DUMMYFUNCTION("""COMPUTED_VALUE"""),"")</f>
        <v/>
      </c>
      <c r="G446" s="18"/>
      <c r="H446" s="16" t="s">
        <v>87</v>
      </c>
      <c r="I446" s="16" t="s">
        <v>87</v>
      </c>
      <c r="J446" s="19"/>
      <c r="L446" s="16" t="str">
        <f>IFERROR(__xludf.DUMMYFUNCTION("""COMPUTED_VALUE"""),"")</f>
        <v/>
      </c>
      <c r="M446" s="16" t="str">
        <f>IFERROR(__xludf.DUMMYFUNCTION("""COMPUTED_VALUE"""),"")</f>
        <v/>
      </c>
      <c r="U446" s="16" t="s">
        <v>87</v>
      </c>
      <c r="V446" s="16" t="str">
        <f>IFERROR(__xludf.DUMMYFUNCTION("""COMPUTED_VALUE"""),"")</f>
        <v/>
      </c>
      <c r="W446" s="16" t="str">
        <f>IFERROR(__xludf.DUMMYFUNCTION("""COMPUTED_VALUE"""),"")</f>
        <v/>
      </c>
      <c r="X446" s="16" t="str">
        <f>IFERROR(__xludf.DUMMYFUNCTION("""COMPUTED_VALUE"""),"")</f>
        <v/>
      </c>
      <c r="AC446" s="16" t="str">
        <f>IFERROR(__xludf.DUMMYFUNCTION("""COMPUTED_VALUE"""),"")</f>
        <v/>
      </c>
    </row>
    <row r="447">
      <c r="A447" s="16" t="s">
        <v>87</v>
      </c>
      <c r="E447" s="16" t="str">
        <f>IFERROR(__xludf.DUMMYFUNCTION("""COMPUTED_VALUE"""),"")</f>
        <v/>
      </c>
      <c r="G447" s="18"/>
      <c r="H447" s="16" t="s">
        <v>87</v>
      </c>
      <c r="I447" s="16" t="s">
        <v>87</v>
      </c>
      <c r="J447" s="19"/>
      <c r="L447" s="16" t="str">
        <f>IFERROR(__xludf.DUMMYFUNCTION("""COMPUTED_VALUE"""),"")</f>
        <v/>
      </c>
      <c r="M447" s="16" t="str">
        <f>IFERROR(__xludf.DUMMYFUNCTION("""COMPUTED_VALUE"""),"")</f>
        <v/>
      </c>
      <c r="U447" s="16" t="s">
        <v>87</v>
      </c>
      <c r="V447" s="16" t="str">
        <f>IFERROR(__xludf.DUMMYFUNCTION("""COMPUTED_VALUE"""),"")</f>
        <v/>
      </c>
      <c r="W447" s="16" t="str">
        <f>IFERROR(__xludf.DUMMYFUNCTION("""COMPUTED_VALUE"""),"")</f>
        <v/>
      </c>
      <c r="X447" s="16" t="str">
        <f>IFERROR(__xludf.DUMMYFUNCTION("""COMPUTED_VALUE"""),"")</f>
        <v/>
      </c>
      <c r="AC447" s="16" t="str">
        <f>IFERROR(__xludf.DUMMYFUNCTION("""COMPUTED_VALUE"""),"")</f>
        <v/>
      </c>
    </row>
    <row r="448">
      <c r="A448" s="16" t="s">
        <v>87</v>
      </c>
      <c r="E448" s="16" t="str">
        <f>IFERROR(__xludf.DUMMYFUNCTION("""COMPUTED_VALUE"""),"")</f>
        <v/>
      </c>
      <c r="G448" s="18"/>
      <c r="H448" s="16" t="s">
        <v>87</v>
      </c>
      <c r="I448" s="16" t="s">
        <v>87</v>
      </c>
      <c r="J448" s="19"/>
      <c r="L448" s="16" t="str">
        <f>IFERROR(__xludf.DUMMYFUNCTION("""COMPUTED_VALUE"""),"")</f>
        <v/>
      </c>
      <c r="M448" s="16" t="str">
        <f>IFERROR(__xludf.DUMMYFUNCTION("""COMPUTED_VALUE"""),"")</f>
        <v/>
      </c>
      <c r="U448" s="16" t="s">
        <v>87</v>
      </c>
      <c r="V448" s="16" t="str">
        <f>IFERROR(__xludf.DUMMYFUNCTION("""COMPUTED_VALUE"""),"")</f>
        <v/>
      </c>
      <c r="W448" s="16" t="str">
        <f>IFERROR(__xludf.DUMMYFUNCTION("""COMPUTED_VALUE"""),"")</f>
        <v/>
      </c>
      <c r="X448" s="16" t="str">
        <f>IFERROR(__xludf.DUMMYFUNCTION("""COMPUTED_VALUE"""),"")</f>
        <v/>
      </c>
      <c r="AC448" s="16" t="str">
        <f>IFERROR(__xludf.DUMMYFUNCTION("""COMPUTED_VALUE"""),"")</f>
        <v/>
      </c>
    </row>
    <row r="449">
      <c r="A449" s="16" t="s">
        <v>87</v>
      </c>
      <c r="E449" s="16" t="str">
        <f>IFERROR(__xludf.DUMMYFUNCTION("""COMPUTED_VALUE"""),"")</f>
        <v/>
      </c>
      <c r="G449" s="18"/>
      <c r="H449" s="16" t="s">
        <v>87</v>
      </c>
      <c r="I449" s="16" t="s">
        <v>87</v>
      </c>
      <c r="J449" s="19"/>
      <c r="L449" s="16" t="str">
        <f>IFERROR(__xludf.DUMMYFUNCTION("""COMPUTED_VALUE"""),"")</f>
        <v/>
      </c>
      <c r="M449" s="16" t="str">
        <f>IFERROR(__xludf.DUMMYFUNCTION("""COMPUTED_VALUE"""),"")</f>
        <v/>
      </c>
      <c r="U449" s="16" t="s">
        <v>87</v>
      </c>
      <c r="V449" s="16" t="str">
        <f>IFERROR(__xludf.DUMMYFUNCTION("""COMPUTED_VALUE"""),"")</f>
        <v/>
      </c>
      <c r="W449" s="16" t="str">
        <f>IFERROR(__xludf.DUMMYFUNCTION("""COMPUTED_VALUE"""),"")</f>
        <v/>
      </c>
      <c r="X449" s="16" t="str">
        <f>IFERROR(__xludf.DUMMYFUNCTION("""COMPUTED_VALUE"""),"")</f>
        <v/>
      </c>
      <c r="AC449" s="16" t="str">
        <f>IFERROR(__xludf.DUMMYFUNCTION("""COMPUTED_VALUE"""),"")</f>
        <v/>
      </c>
    </row>
    <row r="450">
      <c r="A450" s="16" t="s">
        <v>87</v>
      </c>
      <c r="E450" s="16" t="str">
        <f>IFERROR(__xludf.DUMMYFUNCTION("""COMPUTED_VALUE"""),"")</f>
        <v/>
      </c>
      <c r="G450" s="18"/>
      <c r="H450" s="16" t="s">
        <v>87</v>
      </c>
      <c r="I450" s="16" t="s">
        <v>87</v>
      </c>
      <c r="J450" s="19"/>
      <c r="L450" s="16" t="str">
        <f>IFERROR(__xludf.DUMMYFUNCTION("""COMPUTED_VALUE"""),"")</f>
        <v/>
      </c>
      <c r="M450" s="16" t="str">
        <f>IFERROR(__xludf.DUMMYFUNCTION("""COMPUTED_VALUE"""),"")</f>
        <v/>
      </c>
      <c r="U450" s="16" t="s">
        <v>87</v>
      </c>
      <c r="V450" s="16" t="str">
        <f>IFERROR(__xludf.DUMMYFUNCTION("""COMPUTED_VALUE"""),"")</f>
        <v/>
      </c>
      <c r="W450" s="16" t="str">
        <f>IFERROR(__xludf.DUMMYFUNCTION("""COMPUTED_VALUE"""),"")</f>
        <v/>
      </c>
      <c r="X450" s="16" t="str">
        <f>IFERROR(__xludf.DUMMYFUNCTION("""COMPUTED_VALUE"""),"")</f>
        <v/>
      </c>
      <c r="AC450" s="16" t="str">
        <f>IFERROR(__xludf.DUMMYFUNCTION("""COMPUTED_VALUE"""),"")</f>
        <v/>
      </c>
    </row>
    <row r="451">
      <c r="A451" s="16" t="s">
        <v>87</v>
      </c>
      <c r="E451" s="16" t="str">
        <f>IFERROR(__xludf.DUMMYFUNCTION("""COMPUTED_VALUE"""),"")</f>
        <v/>
      </c>
      <c r="G451" s="18"/>
      <c r="H451" s="16" t="s">
        <v>87</v>
      </c>
      <c r="I451" s="16" t="s">
        <v>87</v>
      </c>
      <c r="J451" s="19"/>
      <c r="L451" s="16" t="str">
        <f>IFERROR(__xludf.DUMMYFUNCTION("""COMPUTED_VALUE"""),"")</f>
        <v/>
      </c>
      <c r="M451" s="16" t="str">
        <f>IFERROR(__xludf.DUMMYFUNCTION("""COMPUTED_VALUE"""),"")</f>
        <v/>
      </c>
      <c r="U451" s="16" t="s">
        <v>87</v>
      </c>
      <c r="V451" s="16" t="str">
        <f>IFERROR(__xludf.DUMMYFUNCTION("""COMPUTED_VALUE"""),"")</f>
        <v/>
      </c>
      <c r="W451" s="16" t="str">
        <f>IFERROR(__xludf.DUMMYFUNCTION("""COMPUTED_VALUE"""),"")</f>
        <v/>
      </c>
      <c r="X451" s="16" t="str">
        <f>IFERROR(__xludf.DUMMYFUNCTION("""COMPUTED_VALUE"""),"")</f>
        <v/>
      </c>
      <c r="AC451" s="16" t="str">
        <f>IFERROR(__xludf.DUMMYFUNCTION("""COMPUTED_VALUE"""),"")</f>
        <v/>
      </c>
    </row>
    <row r="452">
      <c r="A452" s="16" t="s">
        <v>87</v>
      </c>
      <c r="E452" s="16" t="str">
        <f>IFERROR(__xludf.DUMMYFUNCTION("""COMPUTED_VALUE"""),"")</f>
        <v/>
      </c>
      <c r="G452" s="18"/>
      <c r="H452" s="16" t="s">
        <v>87</v>
      </c>
      <c r="I452" s="16" t="s">
        <v>87</v>
      </c>
      <c r="J452" s="19"/>
      <c r="L452" s="16" t="str">
        <f>IFERROR(__xludf.DUMMYFUNCTION("""COMPUTED_VALUE"""),"")</f>
        <v/>
      </c>
      <c r="M452" s="16" t="str">
        <f>IFERROR(__xludf.DUMMYFUNCTION("""COMPUTED_VALUE"""),"")</f>
        <v/>
      </c>
      <c r="U452" s="16" t="s">
        <v>87</v>
      </c>
      <c r="V452" s="16" t="str">
        <f>IFERROR(__xludf.DUMMYFUNCTION("""COMPUTED_VALUE"""),"")</f>
        <v/>
      </c>
      <c r="W452" s="16" t="str">
        <f>IFERROR(__xludf.DUMMYFUNCTION("""COMPUTED_VALUE"""),"")</f>
        <v/>
      </c>
      <c r="X452" s="16" t="str">
        <f>IFERROR(__xludf.DUMMYFUNCTION("""COMPUTED_VALUE"""),"")</f>
        <v/>
      </c>
      <c r="AC452" s="16" t="str">
        <f>IFERROR(__xludf.DUMMYFUNCTION("""COMPUTED_VALUE"""),"")</f>
        <v/>
      </c>
    </row>
    <row r="453">
      <c r="A453" s="16" t="s">
        <v>87</v>
      </c>
      <c r="E453" s="16" t="str">
        <f>IFERROR(__xludf.DUMMYFUNCTION("""COMPUTED_VALUE"""),"")</f>
        <v/>
      </c>
      <c r="G453" s="18"/>
      <c r="H453" s="16" t="s">
        <v>87</v>
      </c>
      <c r="I453" s="16" t="s">
        <v>87</v>
      </c>
      <c r="J453" s="19"/>
      <c r="L453" s="16" t="str">
        <f>IFERROR(__xludf.DUMMYFUNCTION("""COMPUTED_VALUE"""),"")</f>
        <v/>
      </c>
      <c r="M453" s="16" t="str">
        <f>IFERROR(__xludf.DUMMYFUNCTION("""COMPUTED_VALUE"""),"")</f>
        <v/>
      </c>
      <c r="U453" s="16" t="s">
        <v>87</v>
      </c>
      <c r="V453" s="16" t="str">
        <f>IFERROR(__xludf.DUMMYFUNCTION("""COMPUTED_VALUE"""),"")</f>
        <v/>
      </c>
      <c r="W453" s="16" t="str">
        <f>IFERROR(__xludf.DUMMYFUNCTION("""COMPUTED_VALUE"""),"")</f>
        <v/>
      </c>
      <c r="X453" s="16" t="str">
        <f>IFERROR(__xludf.DUMMYFUNCTION("""COMPUTED_VALUE"""),"")</f>
        <v/>
      </c>
      <c r="AC453" s="16" t="str">
        <f>IFERROR(__xludf.DUMMYFUNCTION("""COMPUTED_VALUE"""),"")</f>
        <v/>
      </c>
    </row>
    <row r="454">
      <c r="A454" s="16" t="s">
        <v>87</v>
      </c>
      <c r="E454" s="16" t="str">
        <f>IFERROR(__xludf.DUMMYFUNCTION("""COMPUTED_VALUE"""),"")</f>
        <v/>
      </c>
      <c r="G454" s="18"/>
      <c r="H454" s="16" t="s">
        <v>87</v>
      </c>
      <c r="I454" s="16" t="s">
        <v>87</v>
      </c>
      <c r="J454" s="19"/>
      <c r="L454" s="16" t="str">
        <f>IFERROR(__xludf.DUMMYFUNCTION("""COMPUTED_VALUE"""),"")</f>
        <v/>
      </c>
      <c r="M454" s="16" t="str">
        <f>IFERROR(__xludf.DUMMYFUNCTION("""COMPUTED_VALUE"""),"")</f>
        <v/>
      </c>
      <c r="U454" s="16" t="s">
        <v>87</v>
      </c>
      <c r="V454" s="16" t="str">
        <f>IFERROR(__xludf.DUMMYFUNCTION("""COMPUTED_VALUE"""),"")</f>
        <v/>
      </c>
      <c r="W454" s="16" t="str">
        <f>IFERROR(__xludf.DUMMYFUNCTION("""COMPUTED_VALUE"""),"")</f>
        <v/>
      </c>
      <c r="X454" s="16" t="str">
        <f>IFERROR(__xludf.DUMMYFUNCTION("""COMPUTED_VALUE"""),"")</f>
        <v/>
      </c>
      <c r="AC454" s="16" t="str">
        <f>IFERROR(__xludf.DUMMYFUNCTION("""COMPUTED_VALUE"""),"")</f>
        <v/>
      </c>
    </row>
    <row r="455">
      <c r="A455" s="16" t="s">
        <v>87</v>
      </c>
      <c r="E455" s="16" t="str">
        <f>IFERROR(__xludf.DUMMYFUNCTION("""COMPUTED_VALUE"""),"")</f>
        <v/>
      </c>
      <c r="G455" s="18"/>
      <c r="H455" s="16" t="s">
        <v>87</v>
      </c>
      <c r="I455" s="16" t="s">
        <v>87</v>
      </c>
      <c r="J455" s="19"/>
      <c r="L455" s="16" t="str">
        <f>IFERROR(__xludf.DUMMYFUNCTION("""COMPUTED_VALUE"""),"")</f>
        <v/>
      </c>
      <c r="M455" s="16" t="str">
        <f>IFERROR(__xludf.DUMMYFUNCTION("""COMPUTED_VALUE"""),"")</f>
        <v/>
      </c>
      <c r="U455" s="16" t="s">
        <v>87</v>
      </c>
      <c r="V455" s="16" t="str">
        <f>IFERROR(__xludf.DUMMYFUNCTION("""COMPUTED_VALUE"""),"")</f>
        <v/>
      </c>
      <c r="W455" s="16" t="str">
        <f>IFERROR(__xludf.DUMMYFUNCTION("""COMPUTED_VALUE"""),"")</f>
        <v/>
      </c>
      <c r="X455" s="16" t="str">
        <f>IFERROR(__xludf.DUMMYFUNCTION("""COMPUTED_VALUE"""),"")</f>
        <v/>
      </c>
      <c r="AC455" s="16" t="str">
        <f>IFERROR(__xludf.DUMMYFUNCTION("""COMPUTED_VALUE"""),"")</f>
        <v/>
      </c>
    </row>
    <row r="456">
      <c r="A456" s="16" t="s">
        <v>87</v>
      </c>
      <c r="E456" s="16" t="str">
        <f>IFERROR(__xludf.DUMMYFUNCTION("""COMPUTED_VALUE"""),"")</f>
        <v/>
      </c>
      <c r="G456" s="18"/>
      <c r="H456" s="16" t="s">
        <v>87</v>
      </c>
      <c r="I456" s="16" t="s">
        <v>87</v>
      </c>
      <c r="J456" s="19"/>
      <c r="L456" s="16" t="str">
        <f>IFERROR(__xludf.DUMMYFUNCTION("""COMPUTED_VALUE"""),"")</f>
        <v/>
      </c>
      <c r="M456" s="16" t="str">
        <f>IFERROR(__xludf.DUMMYFUNCTION("""COMPUTED_VALUE"""),"")</f>
        <v/>
      </c>
      <c r="U456" s="16" t="s">
        <v>87</v>
      </c>
      <c r="V456" s="16" t="str">
        <f>IFERROR(__xludf.DUMMYFUNCTION("""COMPUTED_VALUE"""),"")</f>
        <v/>
      </c>
      <c r="W456" s="16" t="str">
        <f>IFERROR(__xludf.DUMMYFUNCTION("""COMPUTED_VALUE"""),"")</f>
        <v/>
      </c>
      <c r="X456" s="16" t="str">
        <f>IFERROR(__xludf.DUMMYFUNCTION("""COMPUTED_VALUE"""),"")</f>
        <v/>
      </c>
      <c r="AC456" s="16" t="str">
        <f>IFERROR(__xludf.DUMMYFUNCTION("""COMPUTED_VALUE"""),"")</f>
        <v/>
      </c>
    </row>
    <row r="457">
      <c r="A457" s="16" t="s">
        <v>87</v>
      </c>
      <c r="E457" s="16" t="str">
        <f>IFERROR(__xludf.DUMMYFUNCTION("""COMPUTED_VALUE"""),"")</f>
        <v/>
      </c>
      <c r="G457" s="18"/>
      <c r="H457" s="16" t="s">
        <v>87</v>
      </c>
      <c r="I457" s="16" t="s">
        <v>87</v>
      </c>
      <c r="J457" s="19"/>
      <c r="L457" s="16" t="str">
        <f>IFERROR(__xludf.DUMMYFUNCTION("""COMPUTED_VALUE"""),"")</f>
        <v/>
      </c>
      <c r="M457" s="16" t="str">
        <f>IFERROR(__xludf.DUMMYFUNCTION("""COMPUTED_VALUE"""),"")</f>
        <v/>
      </c>
      <c r="U457" s="16" t="s">
        <v>87</v>
      </c>
      <c r="V457" s="16" t="str">
        <f>IFERROR(__xludf.DUMMYFUNCTION("""COMPUTED_VALUE"""),"")</f>
        <v/>
      </c>
      <c r="W457" s="16" t="str">
        <f>IFERROR(__xludf.DUMMYFUNCTION("""COMPUTED_VALUE"""),"")</f>
        <v/>
      </c>
      <c r="X457" s="16" t="str">
        <f>IFERROR(__xludf.DUMMYFUNCTION("""COMPUTED_VALUE"""),"")</f>
        <v/>
      </c>
      <c r="AC457" s="16" t="str">
        <f>IFERROR(__xludf.DUMMYFUNCTION("""COMPUTED_VALUE"""),"")</f>
        <v/>
      </c>
    </row>
    <row r="458">
      <c r="A458" s="16" t="s">
        <v>87</v>
      </c>
      <c r="E458" s="16" t="str">
        <f>IFERROR(__xludf.DUMMYFUNCTION("""COMPUTED_VALUE"""),"")</f>
        <v/>
      </c>
      <c r="G458" s="18"/>
      <c r="H458" s="16" t="s">
        <v>87</v>
      </c>
      <c r="I458" s="16" t="s">
        <v>87</v>
      </c>
      <c r="J458" s="19"/>
      <c r="L458" s="16" t="str">
        <f>IFERROR(__xludf.DUMMYFUNCTION("""COMPUTED_VALUE"""),"")</f>
        <v/>
      </c>
      <c r="M458" s="16" t="str">
        <f>IFERROR(__xludf.DUMMYFUNCTION("""COMPUTED_VALUE"""),"")</f>
        <v/>
      </c>
      <c r="U458" s="16" t="s">
        <v>87</v>
      </c>
      <c r="V458" s="16" t="str">
        <f>IFERROR(__xludf.DUMMYFUNCTION("""COMPUTED_VALUE"""),"")</f>
        <v/>
      </c>
      <c r="W458" s="16" t="str">
        <f>IFERROR(__xludf.DUMMYFUNCTION("""COMPUTED_VALUE"""),"")</f>
        <v/>
      </c>
      <c r="X458" s="16" t="str">
        <f>IFERROR(__xludf.DUMMYFUNCTION("""COMPUTED_VALUE"""),"")</f>
        <v/>
      </c>
      <c r="AC458" s="16" t="str">
        <f>IFERROR(__xludf.DUMMYFUNCTION("""COMPUTED_VALUE"""),"")</f>
        <v/>
      </c>
    </row>
    <row r="459">
      <c r="A459" s="16" t="s">
        <v>87</v>
      </c>
      <c r="E459" s="16" t="str">
        <f>IFERROR(__xludf.DUMMYFUNCTION("""COMPUTED_VALUE"""),"")</f>
        <v/>
      </c>
      <c r="G459" s="18"/>
      <c r="H459" s="16" t="s">
        <v>87</v>
      </c>
      <c r="I459" s="16" t="s">
        <v>87</v>
      </c>
      <c r="J459" s="19"/>
      <c r="L459" s="16" t="str">
        <f>IFERROR(__xludf.DUMMYFUNCTION("""COMPUTED_VALUE"""),"")</f>
        <v/>
      </c>
      <c r="M459" s="16" t="str">
        <f>IFERROR(__xludf.DUMMYFUNCTION("""COMPUTED_VALUE"""),"")</f>
        <v/>
      </c>
      <c r="U459" s="16" t="s">
        <v>87</v>
      </c>
      <c r="V459" s="16" t="str">
        <f>IFERROR(__xludf.DUMMYFUNCTION("""COMPUTED_VALUE"""),"")</f>
        <v/>
      </c>
      <c r="W459" s="16" t="str">
        <f>IFERROR(__xludf.DUMMYFUNCTION("""COMPUTED_VALUE"""),"")</f>
        <v/>
      </c>
      <c r="X459" s="16" t="str">
        <f>IFERROR(__xludf.DUMMYFUNCTION("""COMPUTED_VALUE"""),"")</f>
        <v/>
      </c>
      <c r="AC459" s="16" t="str">
        <f>IFERROR(__xludf.DUMMYFUNCTION("""COMPUTED_VALUE"""),"")</f>
        <v/>
      </c>
    </row>
    <row r="460">
      <c r="A460" s="16" t="s">
        <v>87</v>
      </c>
      <c r="E460" s="16" t="str">
        <f>IFERROR(__xludf.DUMMYFUNCTION("""COMPUTED_VALUE"""),"")</f>
        <v/>
      </c>
      <c r="G460" s="18"/>
      <c r="H460" s="16" t="s">
        <v>87</v>
      </c>
      <c r="I460" s="16" t="s">
        <v>87</v>
      </c>
      <c r="J460" s="19"/>
      <c r="L460" s="16" t="str">
        <f>IFERROR(__xludf.DUMMYFUNCTION("""COMPUTED_VALUE"""),"")</f>
        <v/>
      </c>
      <c r="M460" s="16" t="str">
        <f>IFERROR(__xludf.DUMMYFUNCTION("""COMPUTED_VALUE"""),"")</f>
        <v/>
      </c>
      <c r="U460" s="16" t="s">
        <v>87</v>
      </c>
      <c r="V460" s="16" t="str">
        <f>IFERROR(__xludf.DUMMYFUNCTION("""COMPUTED_VALUE"""),"")</f>
        <v/>
      </c>
      <c r="W460" s="16" t="str">
        <f>IFERROR(__xludf.DUMMYFUNCTION("""COMPUTED_VALUE"""),"")</f>
        <v/>
      </c>
      <c r="X460" s="16" t="str">
        <f>IFERROR(__xludf.DUMMYFUNCTION("""COMPUTED_VALUE"""),"")</f>
        <v/>
      </c>
      <c r="AC460" s="16" t="str">
        <f>IFERROR(__xludf.DUMMYFUNCTION("""COMPUTED_VALUE"""),"")</f>
        <v/>
      </c>
    </row>
    <row r="461">
      <c r="A461" s="16" t="s">
        <v>87</v>
      </c>
      <c r="E461" s="16" t="str">
        <f>IFERROR(__xludf.DUMMYFUNCTION("""COMPUTED_VALUE"""),"")</f>
        <v/>
      </c>
      <c r="G461" s="18"/>
      <c r="H461" s="16" t="s">
        <v>87</v>
      </c>
      <c r="I461" s="16" t="s">
        <v>87</v>
      </c>
      <c r="J461" s="19"/>
      <c r="L461" s="16" t="str">
        <f>IFERROR(__xludf.DUMMYFUNCTION("""COMPUTED_VALUE"""),"")</f>
        <v/>
      </c>
      <c r="M461" s="16" t="str">
        <f>IFERROR(__xludf.DUMMYFUNCTION("""COMPUTED_VALUE"""),"")</f>
        <v/>
      </c>
      <c r="U461" s="16" t="s">
        <v>87</v>
      </c>
      <c r="V461" s="16" t="str">
        <f>IFERROR(__xludf.DUMMYFUNCTION("""COMPUTED_VALUE"""),"")</f>
        <v/>
      </c>
      <c r="W461" s="16" t="str">
        <f>IFERROR(__xludf.DUMMYFUNCTION("""COMPUTED_VALUE"""),"")</f>
        <v/>
      </c>
      <c r="X461" s="16" t="str">
        <f>IFERROR(__xludf.DUMMYFUNCTION("""COMPUTED_VALUE"""),"")</f>
        <v/>
      </c>
      <c r="AC461" s="16" t="str">
        <f>IFERROR(__xludf.DUMMYFUNCTION("""COMPUTED_VALUE"""),"")</f>
        <v/>
      </c>
    </row>
    <row r="462">
      <c r="A462" s="16" t="s">
        <v>87</v>
      </c>
      <c r="E462" s="16" t="str">
        <f>IFERROR(__xludf.DUMMYFUNCTION("""COMPUTED_VALUE"""),"")</f>
        <v/>
      </c>
      <c r="G462" s="18"/>
      <c r="H462" s="16" t="s">
        <v>87</v>
      </c>
      <c r="I462" s="16" t="s">
        <v>87</v>
      </c>
      <c r="J462" s="19"/>
      <c r="L462" s="16" t="str">
        <f>IFERROR(__xludf.DUMMYFUNCTION("""COMPUTED_VALUE"""),"")</f>
        <v/>
      </c>
      <c r="M462" s="16" t="str">
        <f>IFERROR(__xludf.DUMMYFUNCTION("""COMPUTED_VALUE"""),"")</f>
        <v/>
      </c>
      <c r="U462" s="16" t="s">
        <v>87</v>
      </c>
      <c r="V462" s="16" t="str">
        <f>IFERROR(__xludf.DUMMYFUNCTION("""COMPUTED_VALUE"""),"")</f>
        <v/>
      </c>
      <c r="W462" s="16" t="str">
        <f>IFERROR(__xludf.DUMMYFUNCTION("""COMPUTED_VALUE"""),"")</f>
        <v/>
      </c>
      <c r="X462" s="16" t="str">
        <f>IFERROR(__xludf.DUMMYFUNCTION("""COMPUTED_VALUE"""),"")</f>
        <v/>
      </c>
      <c r="AC462" s="16" t="str">
        <f>IFERROR(__xludf.DUMMYFUNCTION("""COMPUTED_VALUE"""),"")</f>
        <v/>
      </c>
    </row>
    <row r="463">
      <c r="A463" s="16" t="s">
        <v>87</v>
      </c>
      <c r="E463" s="16" t="str">
        <f>IFERROR(__xludf.DUMMYFUNCTION("""COMPUTED_VALUE"""),"")</f>
        <v/>
      </c>
      <c r="G463" s="18"/>
      <c r="H463" s="16" t="s">
        <v>87</v>
      </c>
      <c r="I463" s="16" t="s">
        <v>87</v>
      </c>
      <c r="J463" s="19"/>
      <c r="L463" s="16" t="str">
        <f>IFERROR(__xludf.DUMMYFUNCTION("""COMPUTED_VALUE"""),"")</f>
        <v/>
      </c>
      <c r="M463" s="16" t="str">
        <f>IFERROR(__xludf.DUMMYFUNCTION("""COMPUTED_VALUE"""),"")</f>
        <v/>
      </c>
      <c r="U463" s="16" t="s">
        <v>87</v>
      </c>
      <c r="V463" s="16" t="str">
        <f>IFERROR(__xludf.DUMMYFUNCTION("""COMPUTED_VALUE"""),"")</f>
        <v/>
      </c>
      <c r="W463" s="16" t="str">
        <f>IFERROR(__xludf.DUMMYFUNCTION("""COMPUTED_VALUE"""),"")</f>
        <v/>
      </c>
      <c r="X463" s="16" t="str">
        <f>IFERROR(__xludf.DUMMYFUNCTION("""COMPUTED_VALUE"""),"")</f>
        <v/>
      </c>
      <c r="AC463" s="16" t="str">
        <f>IFERROR(__xludf.DUMMYFUNCTION("""COMPUTED_VALUE"""),"")</f>
        <v/>
      </c>
    </row>
    <row r="464">
      <c r="A464" s="16" t="s">
        <v>87</v>
      </c>
      <c r="E464" s="16" t="str">
        <f>IFERROR(__xludf.DUMMYFUNCTION("""COMPUTED_VALUE"""),"")</f>
        <v/>
      </c>
      <c r="G464" s="18"/>
      <c r="H464" s="16" t="s">
        <v>87</v>
      </c>
      <c r="I464" s="16" t="s">
        <v>87</v>
      </c>
      <c r="J464" s="19"/>
      <c r="L464" s="16" t="str">
        <f>IFERROR(__xludf.DUMMYFUNCTION("""COMPUTED_VALUE"""),"")</f>
        <v/>
      </c>
      <c r="M464" s="16" t="str">
        <f>IFERROR(__xludf.DUMMYFUNCTION("""COMPUTED_VALUE"""),"")</f>
        <v/>
      </c>
      <c r="U464" s="16" t="s">
        <v>87</v>
      </c>
      <c r="V464" s="16" t="str">
        <f>IFERROR(__xludf.DUMMYFUNCTION("""COMPUTED_VALUE"""),"")</f>
        <v/>
      </c>
      <c r="W464" s="16" t="str">
        <f>IFERROR(__xludf.DUMMYFUNCTION("""COMPUTED_VALUE"""),"")</f>
        <v/>
      </c>
      <c r="X464" s="16" t="str">
        <f>IFERROR(__xludf.DUMMYFUNCTION("""COMPUTED_VALUE"""),"")</f>
        <v/>
      </c>
      <c r="AC464" s="16" t="str">
        <f>IFERROR(__xludf.DUMMYFUNCTION("""COMPUTED_VALUE"""),"")</f>
        <v/>
      </c>
    </row>
    <row r="465">
      <c r="A465" s="16" t="s">
        <v>87</v>
      </c>
      <c r="E465" s="16" t="str">
        <f>IFERROR(__xludf.DUMMYFUNCTION("""COMPUTED_VALUE"""),"")</f>
        <v/>
      </c>
      <c r="G465" s="18"/>
      <c r="H465" s="16" t="s">
        <v>87</v>
      </c>
      <c r="I465" s="16" t="s">
        <v>87</v>
      </c>
      <c r="J465" s="19"/>
      <c r="L465" s="16" t="str">
        <f>IFERROR(__xludf.DUMMYFUNCTION("""COMPUTED_VALUE"""),"")</f>
        <v/>
      </c>
      <c r="M465" s="16" t="str">
        <f>IFERROR(__xludf.DUMMYFUNCTION("""COMPUTED_VALUE"""),"")</f>
        <v/>
      </c>
      <c r="U465" s="16" t="s">
        <v>87</v>
      </c>
      <c r="V465" s="16" t="str">
        <f>IFERROR(__xludf.DUMMYFUNCTION("""COMPUTED_VALUE"""),"")</f>
        <v/>
      </c>
      <c r="W465" s="16" t="str">
        <f>IFERROR(__xludf.DUMMYFUNCTION("""COMPUTED_VALUE"""),"")</f>
        <v/>
      </c>
      <c r="X465" s="16" t="str">
        <f>IFERROR(__xludf.DUMMYFUNCTION("""COMPUTED_VALUE"""),"")</f>
        <v/>
      </c>
      <c r="AC465" s="16" t="str">
        <f>IFERROR(__xludf.DUMMYFUNCTION("""COMPUTED_VALUE"""),"")</f>
        <v/>
      </c>
    </row>
    <row r="466">
      <c r="A466" s="16" t="s">
        <v>87</v>
      </c>
      <c r="E466" s="16" t="str">
        <f>IFERROR(__xludf.DUMMYFUNCTION("""COMPUTED_VALUE"""),"")</f>
        <v/>
      </c>
      <c r="G466" s="18"/>
      <c r="H466" s="16" t="s">
        <v>87</v>
      </c>
      <c r="I466" s="16" t="s">
        <v>87</v>
      </c>
      <c r="J466" s="19"/>
      <c r="L466" s="16" t="str">
        <f>IFERROR(__xludf.DUMMYFUNCTION("""COMPUTED_VALUE"""),"")</f>
        <v/>
      </c>
      <c r="M466" s="16" t="str">
        <f>IFERROR(__xludf.DUMMYFUNCTION("""COMPUTED_VALUE"""),"")</f>
        <v/>
      </c>
      <c r="U466" s="16" t="s">
        <v>87</v>
      </c>
      <c r="V466" s="16" t="str">
        <f>IFERROR(__xludf.DUMMYFUNCTION("""COMPUTED_VALUE"""),"")</f>
        <v/>
      </c>
      <c r="W466" s="16" t="str">
        <f>IFERROR(__xludf.DUMMYFUNCTION("""COMPUTED_VALUE"""),"")</f>
        <v/>
      </c>
      <c r="X466" s="16" t="str">
        <f>IFERROR(__xludf.DUMMYFUNCTION("""COMPUTED_VALUE"""),"")</f>
        <v/>
      </c>
      <c r="AC466" s="16" t="str">
        <f>IFERROR(__xludf.DUMMYFUNCTION("""COMPUTED_VALUE"""),"")</f>
        <v/>
      </c>
    </row>
    <row r="467">
      <c r="A467" s="16" t="s">
        <v>87</v>
      </c>
      <c r="E467" s="16" t="str">
        <f>IFERROR(__xludf.DUMMYFUNCTION("""COMPUTED_VALUE"""),"")</f>
        <v/>
      </c>
      <c r="G467" s="18"/>
      <c r="H467" s="16" t="s">
        <v>87</v>
      </c>
      <c r="I467" s="16" t="s">
        <v>87</v>
      </c>
      <c r="J467" s="19"/>
      <c r="L467" s="16" t="str">
        <f>IFERROR(__xludf.DUMMYFUNCTION("""COMPUTED_VALUE"""),"")</f>
        <v/>
      </c>
      <c r="M467" s="16" t="str">
        <f>IFERROR(__xludf.DUMMYFUNCTION("""COMPUTED_VALUE"""),"")</f>
        <v/>
      </c>
      <c r="U467" s="16" t="s">
        <v>87</v>
      </c>
      <c r="V467" s="16" t="str">
        <f>IFERROR(__xludf.DUMMYFUNCTION("""COMPUTED_VALUE"""),"")</f>
        <v/>
      </c>
      <c r="W467" s="16" t="str">
        <f>IFERROR(__xludf.DUMMYFUNCTION("""COMPUTED_VALUE"""),"")</f>
        <v/>
      </c>
      <c r="X467" s="16" t="str">
        <f>IFERROR(__xludf.DUMMYFUNCTION("""COMPUTED_VALUE"""),"")</f>
        <v/>
      </c>
      <c r="AC467" s="16" t="str">
        <f>IFERROR(__xludf.DUMMYFUNCTION("""COMPUTED_VALUE"""),"")</f>
        <v/>
      </c>
    </row>
    <row r="468">
      <c r="A468" s="16" t="s">
        <v>87</v>
      </c>
      <c r="E468" s="16" t="str">
        <f>IFERROR(__xludf.DUMMYFUNCTION("""COMPUTED_VALUE"""),"")</f>
        <v/>
      </c>
      <c r="G468" s="18"/>
      <c r="H468" s="16" t="s">
        <v>87</v>
      </c>
      <c r="I468" s="16" t="s">
        <v>87</v>
      </c>
      <c r="J468" s="19"/>
      <c r="L468" s="16" t="str">
        <f>IFERROR(__xludf.DUMMYFUNCTION("""COMPUTED_VALUE"""),"")</f>
        <v/>
      </c>
      <c r="M468" s="16" t="str">
        <f>IFERROR(__xludf.DUMMYFUNCTION("""COMPUTED_VALUE"""),"")</f>
        <v/>
      </c>
      <c r="U468" s="16" t="s">
        <v>87</v>
      </c>
      <c r="V468" s="16" t="str">
        <f>IFERROR(__xludf.DUMMYFUNCTION("""COMPUTED_VALUE"""),"")</f>
        <v/>
      </c>
      <c r="W468" s="16" t="str">
        <f>IFERROR(__xludf.DUMMYFUNCTION("""COMPUTED_VALUE"""),"")</f>
        <v/>
      </c>
      <c r="X468" s="16" t="str">
        <f>IFERROR(__xludf.DUMMYFUNCTION("""COMPUTED_VALUE"""),"")</f>
        <v/>
      </c>
      <c r="AC468" s="16" t="str">
        <f>IFERROR(__xludf.DUMMYFUNCTION("""COMPUTED_VALUE"""),"")</f>
        <v/>
      </c>
    </row>
    <row r="469">
      <c r="A469" s="16" t="s">
        <v>87</v>
      </c>
      <c r="E469" s="16" t="str">
        <f>IFERROR(__xludf.DUMMYFUNCTION("""COMPUTED_VALUE"""),"")</f>
        <v/>
      </c>
      <c r="G469" s="18"/>
      <c r="H469" s="16" t="s">
        <v>87</v>
      </c>
      <c r="I469" s="16" t="s">
        <v>87</v>
      </c>
      <c r="J469" s="19"/>
      <c r="L469" s="16" t="str">
        <f>IFERROR(__xludf.DUMMYFUNCTION("""COMPUTED_VALUE"""),"")</f>
        <v/>
      </c>
      <c r="M469" s="16" t="str">
        <f>IFERROR(__xludf.DUMMYFUNCTION("""COMPUTED_VALUE"""),"")</f>
        <v/>
      </c>
      <c r="U469" s="16" t="s">
        <v>87</v>
      </c>
      <c r="V469" s="16" t="str">
        <f>IFERROR(__xludf.DUMMYFUNCTION("""COMPUTED_VALUE"""),"")</f>
        <v/>
      </c>
      <c r="W469" s="16" t="str">
        <f>IFERROR(__xludf.DUMMYFUNCTION("""COMPUTED_VALUE"""),"")</f>
        <v/>
      </c>
      <c r="X469" s="16" t="str">
        <f>IFERROR(__xludf.DUMMYFUNCTION("""COMPUTED_VALUE"""),"")</f>
        <v/>
      </c>
      <c r="AC469" s="16" t="str">
        <f>IFERROR(__xludf.DUMMYFUNCTION("""COMPUTED_VALUE"""),"")</f>
        <v/>
      </c>
    </row>
    <row r="470">
      <c r="A470" s="16" t="s">
        <v>87</v>
      </c>
      <c r="E470" s="16" t="str">
        <f>IFERROR(__xludf.DUMMYFUNCTION("""COMPUTED_VALUE"""),"")</f>
        <v/>
      </c>
      <c r="G470" s="18"/>
      <c r="H470" s="16" t="s">
        <v>87</v>
      </c>
      <c r="I470" s="16" t="s">
        <v>87</v>
      </c>
      <c r="J470" s="19"/>
      <c r="L470" s="16" t="str">
        <f>IFERROR(__xludf.DUMMYFUNCTION("""COMPUTED_VALUE"""),"")</f>
        <v/>
      </c>
      <c r="M470" s="16" t="str">
        <f>IFERROR(__xludf.DUMMYFUNCTION("""COMPUTED_VALUE"""),"")</f>
        <v/>
      </c>
      <c r="U470" s="16" t="s">
        <v>87</v>
      </c>
      <c r="V470" s="16" t="str">
        <f>IFERROR(__xludf.DUMMYFUNCTION("""COMPUTED_VALUE"""),"")</f>
        <v/>
      </c>
      <c r="W470" s="16" t="str">
        <f>IFERROR(__xludf.DUMMYFUNCTION("""COMPUTED_VALUE"""),"")</f>
        <v/>
      </c>
      <c r="X470" s="16" t="str">
        <f>IFERROR(__xludf.DUMMYFUNCTION("""COMPUTED_VALUE"""),"")</f>
        <v/>
      </c>
      <c r="AC470" s="16" t="str">
        <f>IFERROR(__xludf.DUMMYFUNCTION("""COMPUTED_VALUE"""),"")</f>
        <v/>
      </c>
    </row>
    <row r="471">
      <c r="A471" s="16" t="s">
        <v>87</v>
      </c>
      <c r="E471" s="16" t="str">
        <f>IFERROR(__xludf.DUMMYFUNCTION("""COMPUTED_VALUE"""),"")</f>
        <v/>
      </c>
      <c r="G471" s="18"/>
      <c r="H471" s="16" t="s">
        <v>87</v>
      </c>
      <c r="I471" s="16" t="s">
        <v>87</v>
      </c>
      <c r="J471" s="19"/>
      <c r="L471" s="16" t="str">
        <f>IFERROR(__xludf.DUMMYFUNCTION("""COMPUTED_VALUE"""),"")</f>
        <v/>
      </c>
      <c r="M471" s="16" t="str">
        <f>IFERROR(__xludf.DUMMYFUNCTION("""COMPUTED_VALUE"""),"")</f>
        <v/>
      </c>
      <c r="U471" s="16" t="s">
        <v>87</v>
      </c>
      <c r="V471" s="16" t="str">
        <f>IFERROR(__xludf.DUMMYFUNCTION("""COMPUTED_VALUE"""),"")</f>
        <v/>
      </c>
      <c r="W471" s="16" t="str">
        <f>IFERROR(__xludf.DUMMYFUNCTION("""COMPUTED_VALUE"""),"")</f>
        <v/>
      </c>
      <c r="X471" s="16" t="str">
        <f>IFERROR(__xludf.DUMMYFUNCTION("""COMPUTED_VALUE"""),"")</f>
        <v/>
      </c>
      <c r="AC471" s="16" t="str">
        <f>IFERROR(__xludf.DUMMYFUNCTION("""COMPUTED_VALUE"""),"")</f>
        <v/>
      </c>
    </row>
    <row r="472">
      <c r="A472" s="16" t="s">
        <v>87</v>
      </c>
      <c r="E472" s="16" t="str">
        <f>IFERROR(__xludf.DUMMYFUNCTION("""COMPUTED_VALUE"""),"")</f>
        <v/>
      </c>
      <c r="G472" s="18"/>
      <c r="H472" s="16" t="s">
        <v>87</v>
      </c>
      <c r="I472" s="16" t="s">
        <v>87</v>
      </c>
      <c r="J472" s="19"/>
      <c r="L472" s="16" t="str">
        <f>IFERROR(__xludf.DUMMYFUNCTION("""COMPUTED_VALUE"""),"")</f>
        <v/>
      </c>
      <c r="M472" s="16" t="str">
        <f>IFERROR(__xludf.DUMMYFUNCTION("""COMPUTED_VALUE"""),"")</f>
        <v/>
      </c>
      <c r="U472" s="16" t="s">
        <v>87</v>
      </c>
      <c r="V472" s="16" t="str">
        <f>IFERROR(__xludf.DUMMYFUNCTION("""COMPUTED_VALUE"""),"")</f>
        <v/>
      </c>
      <c r="W472" s="16" t="str">
        <f>IFERROR(__xludf.DUMMYFUNCTION("""COMPUTED_VALUE"""),"")</f>
        <v/>
      </c>
      <c r="X472" s="16" t="str">
        <f>IFERROR(__xludf.DUMMYFUNCTION("""COMPUTED_VALUE"""),"")</f>
        <v/>
      </c>
      <c r="AC472" s="16" t="str">
        <f>IFERROR(__xludf.DUMMYFUNCTION("""COMPUTED_VALUE"""),"")</f>
        <v/>
      </c>
    </row>
    <row r="473">
      <c r="A473" s="16" t="s">
        <v>87</v>
      </c>
      <c r="E473" s="16" t="str">
        <f>IFERROR(__xludf.DUMMYFUNCTION("""COMPUTED_VALUE"""),"")</f>
        <v/>
      </c>
      <c r="G473" s="18"/>
      <c r="H473" s="16" t="s">
        <v>87</v>
      </c>
      <c r="I473" s="16" t="s">
        <v>87</v>
      </c>
      <c r="J473" s="19"/>
      <c r="L473" s="16" t="str">
        <f>IFERROR(__xludf.DUMMYFUNCTION("""COMPUTED_VALUE"""),"")</f>
        <v/>
      </c>
      <c r="M473" s="16" t="str">
        <f>IFERROR(__xludf.DUMMYFUNCTION("""COMPUTED_VALUE"""),"")</f>
        <v/>
      </c>
      <c r="U473" s="16" t="s">
        <v>87</v>
      </c>
      <c r="V473" s="16" t="str">
        <f>IFERROR(__xludf.DUMMYFUNCTION("""COMPUTED_VALUE"""),"")</f>
        <v/>
      </c>
      <c r="W473" s="16" t="str">
        <f>IFERROR(__xludf.DUMMYFUNCTION("""COMPUTED_VALUE"""),"")</f>
        <v/>
      </c>
      <c r="X473" s="16" t="str">
        <f>IFERROR(__xludf.DUMMYFUNCTION("""COMPUTED_VALUE"""),"")</f>
        <v/>
      </c>
      <c r="AC473" s="16" t="str">
        <f>IFERROR(__xludf.DUMMYFUNCTION("""COMPUTED_VALUE"""),"")</f>
        <v/>
      </c>
    </row>
    <row r="474">
      <c r="A474" s="16" t="s">
        <v>87</v>
      </c>
      <c r="E474" s="16" t="str">
        <f>IFERROR(__xludf.DUMMYFUNCTION("""COMPUTED_VALUE"""),"")</f>
        <v/>
      </c>
      <c r="G474" s="18"/>
      <c r="H474" s="16" t="s">
        <v>87</v>
      </c>
      <c r="I474" s="16" t="s">
        <v>87</v>
      </c>
      <c r="J474" s="19"/>
      <c r="L474" s="16" t="str">
        <f>IFERROR(__xludf.DUMMYFUNCTION("""COMPUTED_VALUE"""),"")</f>
        <v/>
      </c>
      <c r="M474" s="16" t="str">
        <f>IFERROR(__xludf.DUMMYFUNCTION("""COMPUTED_VALUE"""),"")</f>
        <v/>
      </c>
      <c r="U474" s="16" t="s">
        <v>87</v>
      </c>
      <c r="V474" s="16" t="str">
        <f>IFERROR(__xludf.DUMMYFUNCTION("""COMPUTED_VALUE"""),"")</f>
        <v/>
      </c>
      <c r="W474" s="16" t="str">
        <f>IFERROR(__xludf.DUMMYFUNCTION("""COMPUTED_VALUE"""),"")</f>
        <v/>
      </c>
      <c r="X474" s="16" t="str">
        <f>IFERROR(__xludf.DUMMYFUNCTION("""COMPUTED_VALUE"""),"")</f>
        <v/>
      </c>
      <c r="AC474" s="16" t="str">
        <f>IFERROR(__xludf.DUMMYFUNCTION("""COMPUTED_VALUE"""),"")</f>
        <v/>
      </c>
    </row>
    <row r="475">
      <c r="A475" s="16" t="s">
        <v>87</v>
      </c>
      <c r="E475" s="16" t="str">
        <f>IFERROR(__xludf.DUMMYFUNCTION("""COMPUTED_VALUE"""),"")</f>
        <v/>
      </c>
      <c r="G475" s="18"/>
      <c r="H475" s="16" t="s">
        <v>87</v>
      </c>
      <c r="I475" s="16" t="s">
        <v>87</v>
      </c>
      <c r="J475" s="19"/>
      <c r="L475" s="16" t="str">
        <f>IFERROR(__xludf.DUMMYFUNCTION("""COMPUTED_VALUE"""),"")</f>
        <v/>
      </c>
      <c r="M475" s="16" t="str">
        <f>IFERROR(__xludf.DUMMYFUNCTION("""COMPUTED_VALUE"""),"")</f>
        <v/>
      </c>
      <c r="U475" s="16" t="s">
        <v>87</v>
      </c>
      <c r="V475" s="16" t="str">
        <f>IFERROR(__xludf.DUMMYFUNCTION("""COMPUTED_VALUE"""),"")</f>
        <v/>
      </c>
      <c r="W475" s="16" t="str">
        <f>IFERROR(__xludf.DUMMYFUNCTION("""COMPUTED_VALUE"""),"")</f>
        <v/>
      </c>
      <c r="X475" s="16" t="str">
        <f>IFERROR(__xludf.DUMMYFUNCTION("""COMPUTED_VALUE"""),"")</f>
        <v/>
      </c>
      <c r="AC475" s="16" t="str">
        <f>IFERROR(__xludf.DUMMYFUNCTION("""COMPUTED_VALUE"""),"")</f>
        <v/>
      </c>
    </row>
    <row r="476">
      <c r="A476" s="16" t="s">
        <v>87</v>
      </c>
      <c r="E476" s="16" t="str">
        <f>IFERROR(__xludf.DUMMYFUNCTION("""COMPUTED_VALUE"""),"")</f>
        <v/>
      </c>
      <c r="G476" s="18"/>
      <c r="H476" s="16" t="s">
        <v>87</v>
      </c>
      <c r="I476" s="16" t="s">
        <v>87</v>
      </c>
      <c r="J476" s="19"/>
      <c r="L476" s="16" t="str">
        <f>IFERROR(__xludf.DUMMYFUNCTION("""COMPUTED_VALUE"""),"")</f>
        <v/>
      </c>
      <c r="M476" s="16" t="str">
        <f>IFERROR(__xludf.DUMMYFUNCTION("""COMPUTED_VALUE"""),"")</f>
        <v/>
      </c>
      <c r="U476" s="16" t="s">
        <v>87</v>
      </c>
      <c r="V476" s="16" t="str">
        <f>IFERROR(__xludf.DUMMYFUNCTION("""COMPUTED_VALUE"""),"")</f>
        <v/>
      </c>
      <c r="W476" s="16" t="str">
        <f>IFERROR(__xludf.DUMMYFUNCTION("""COMPUTED_VALUE"""),"")</f>
        <v/>
      </c>
      <c r="X476" s="16" t="str">
        <f>IFERROR(__xludf.DUMMYFUNCTION("""COMPUTED_VALUE"""),"")</f>
        <v/>
      </c>
      <c r="AC476" s="16" t="str">
        <f>IFERROR(__xludf.DUMMYFUNCTION("""COMPUTED_VALUE"""),"")</f>
        <v/>
      </c>
    </row>
    <row r="477">
      <c r="A477" s="16" t="s">
        <v>87</v>
      </c>
      <c r="E477" s="16" t="str">
        <f>IFERROR(__xludf.DUMMYFUNCTION("""COMPUTED_VALUE"""),"")</f>
        <v/>
      </c>
      <c r="G477" s="18"/>
      <c r="H477" s="16" t="s">
        <v>87</v>
      </c>
      <c r="I477" s="16" t="s">
        <v>87</v>
      </c>
      <c r="J477" s="19"/>
      <c r="L477" s="16" t="str">
        <f>IFERROR(__xludf.DUMMYFUNCTION("""COMPUTED_VALUE"""),"")</f>
        <v/>
      </c>
      <c r="M477" s="16" t="str">
        <f>IFERROR(__xludf.DUMMYFUNCTION("""COMPUTED_VALUE"""),"")</f>
        <v/>
      </c>
      <c r="U477" s="16" t="s">
        <v>87</v>
      </c>
      <c r="V477" s="16" t="str">
        <f>IFERROR(__xludf.DUMMYFUNCTION("""COMPUTED_VALUE"""),"")</f>
        <v/>
      </c>
      <c r="W477" s="16" t="str">
        <f>IFERROR(__xludf.DUMMYFUNCTION("""COMPUTED_VALUE"""),"")</f>
        <v/>
      </c>
      <c r="X477" s="16" t="str">
        <f>IFERROR(__xludf.DUMMYFUNCTION("""COMPUTED_VALUE"""),"")</f>
        <v/>
      </c>
      <c r="AC477" s="16" t="str">
        <f>IFERROR(__xludf.DUMMYFUNCTION("""COMPUTED_VALUE"""),"")</f>
        <v/>
      </c>
    </row>
    <row r="478">
      <c r="A478" s="16" t="s">
        <v>87</v>
      </c>
      <c r="E478" s="16" t="str">
        <f>IFERROR(__xludf.DUMMYFUNCTION("""COMPUTED_VALUE"""),"")</f>
        <v/>
      </c>
      <c r="G478" s="18"/>
      <c r="H478" s="16" t="s">
        <v>87</v>
      </c>
      <c r="I478" s="16" t="s">
        <v>87</v>
      </c>
      <c r="J478" s="19"/>
      <c r="L478" s="16" t="str">
        <f>IFERROR(__xludf.DUMMYFUNCTION("""COMPUTED_VALUE"""),"")</f>
        <v/>
      </c>
      <c r="M478" s="16" t="str">
        <f>IFERROR(__xludf.DUMMYFUNCTION("""COMPUTED_VALUE"""),"")</f>
        <v/>
      </c>
      <c r="U478" s="16" t="s">
        <v>87</v>
      </c>
      <c r="V478" s="16" t="str">
        <f>IFERROR(__xludf.DUMMYFUNCTION("""COMPUTED_VALUE"""),"")</f>
        <v/>
      </c>
      <c r="W478" s="16" t="str">
        <f>IFERROR(__xludf.DUMMYFUNCTION("""COMPUTED_VALUE"""),"")</f>
        <v/>
      </c>
      <c r="X478" s="16" t="str">
        <f>IFERROR(__xludf.DUMMYFUNCTION("""COMPUTED_VALUE"""),"")</f>
        <v/>
      </c>
      <c r="AC478" s="16" t="str">
        <f>IFERROR(__xludf.DUMMYFUNCTION("""COMPUTED_VALUE"""),"")</f>
        <v/>
      </c>
    </row>
    <row r="479">
      <c r="A479" s="16" t="s">
        <v>87</v>
      </c>
      <c r="E479" s="16" t="str">
        <f>IFERROR(__xludf.DUMMYFUNCTION("""COMPUTED_VALUE"""),"")</f>
        <v/>
      </c>
      <c r="G479" s="18"/>
      <c r="H479" s="16" t="s">
        <v>87</v>
      </c>
      <c r="I479" s="16" t="s">
        <v>87</v>
      </c>
      <c r="J479" s="19"/>
      <c r="L479" s="16" t="str">
        <f>IFERROR(__xludf.DUMMYFUNCTION("""COMPUTED_VALUE"""),"")</f>
        <v/>
      </c>
      <c r="M479" s="16" t="str">
        <f>IFERROR(__xludf.DUMMYFUNCTION("""COMPUTED_VALUE"""),"")</f>
        <v/>
      </c>
      <c r="U479" s="16" t="s">
        <v>87</v>
      </c>
      <c r="V479" s="16" t="str">
        <f>IFERROR(__xludf.DUMMYFUNCTION("""COMPUTED_VALUE"""),"")</f>
        <v/>
      </c>
      <c r="W479" s="16" t="str">
        <f>IFERROR(__xludf.DUMMYFUNCTION("""COMPUTED_VALUE"""),"")</f>
        <v/>
      </c>
      <c r="X479" s="16" t="str">
        <f>IFERROR(__xludf.DUMMYFUNCTION("""COMPUTED_VALUE"""),"")</f>
        <v/>
      </c>
      <c r="AC479" s="16" t="str">
        <f>IFERROR(__xludf.DUMMYFUNCTION("""COMPUTED_VALUE"""),"")</f>
        <v/>
      </c>
    </row>
    <row r="480">
      <c r="A480" s="16" t="s">
        <v>87</v>
      </c>
      <c r="E480" s="16" t="str">
        <f>IFERROR(__xludf.DUMMYFUNCTION("""COMPUTED_VALUE"""),"")</f>
        <v/>
      </c>
      <c r="G480" s="18"/>
      <c r="H480" s="16" t="s">
        <v>87</v>
      </c>
      <c r="I480" s="16" t="s">
        <v>87</v>
      </c>
      <c r="J480" s="19"/>
      <c r="L480" s="16" t="str">
        <f>IFERROR(__xludf.DUMMYFUNCTION("""COMPUTED_VALUE"""),"")</f>
        <v/>
      </c>
      <c r="M480" s="16" t="str">
        <f>IFERROR(__xludf.DUMMYFUNCTION("""COMPUTED_VALUE"""),"")</f>
        <v/>
      </c>
      <c r="U480" s="16" t="s">
        <v>87</v>
      </c>
      <c r="V480" s="16" t="str">
        <f>IFERROR(__xludf.DUMMYFUNCTION("""COMPUTED_VALUE"""),"")</f>
        <v/>
      </c>
      <c r="W480" s="16" t="str">
        <f>IFERROR(__xludf.DUMMYFUNCTION("""COMPUTED_VALUE"""),"")</f>
        <v/>
      </c>
      <c r="X480" s="16" t="str">
        <f>IFERROR(__xludf.DUMMYFUNCTION("""COMPUTED_VALUE"""),"")</f>
        <v/>
      </c>
      <c r="AC480" s="16" t="str">
        <f>IFERROR(__xludf.DUMMYFUNCTION("""COMPUTED_VALUE"""),"")</f>
        <v/>
      </c>
    </row>
    <row r="481">
      <c r="A481" s="16" t="s">
        <v>87</v>
      </c>
      <c r="E481" s="16" t="str">
        <f>IFERROR(__xludf.DUMMYFUNCTION("""COMPUTED_VALUE"""),"")</f>
        <v/>
      </c>
      <c r="G481" s="18"/>
      <c r="H481" s="16" t="s">
        <v>87</v>
      </c>
      <c r="I481" s="16" t="s">
        <v>87</v>
      </c>
      <c r="J481" s="19"/>
      <c r="L481" s="16" t="str">
        <f>IFERROR(__xludf.DUMMYFUNCTION("""COMPUTED_VALUE"""),"")</f>
        <v/>
      </c>
      <c r="M481" s="16" t="str">
        <f>IFERROR(__xludf.DUMMYFUNCTION("""COMPUTED_VALUE"""),"")</f>
        <v/>
      </c>
      <c r="U481" s="16" t="s">
        <v>87</v>
      </c>
      <c r="V481" s="16" t="str">
        <f>IFERROR(__xludf.DUMMYFUNCTION("""COMPUTED_VALUE"""),"")</f>
        <v/>
      </c>
      <c r="W481" s="16" t="str">
        <f>IFERROR(__xludf.DUMMYFUNCTION("""COMPUTED_VALUE"""),"")</f>
        <v/>
      </c>
      <c r="X481" s="16" t="str">
        <f>IFERROR(__xludf.DUMMYFUNCTION("""COMPUTED_VALUE"""),"")</f>
        <v/>
      </c>
      <c r="AC481" s="16" t="str">
        <f>IFERROR(__xludf.DUMMYFUNCTION("""COMPUTED_VALUE"""),"")</f>
        <v/>
      </c>
    </row>
    <row r="482">
      <c r="A482" s="16" t="s">
        <v>87</v>
      </c>
      <c r="E482" s="16" t="str">
        <f>IFERROR(__xludf.DUMMYFUNCTION("""COMPUTED_VALUE"""),"")</f>
        <v/>
      </c>
      <c r="G482" s="18"/>
      <c r="H482" s="16" t="s">
        <v>87</v>
      </c>
      <c r="I482" s="16" t="s">
        <v>87</v>
      </c>
      <c r="J482" s="19"/>
      <c r="L482" s="16" t="str">
        <f>IFERROR(__xludf.DUMMYFUNCTION("""COMPUTED_VALUE"""),"")</f>
        <v/>
      </c>
      <c r="M482" s="16" t="str">
        <f>IFERROR(__xludf.DUMMYFUNCTION("""COMPUTED_VALUE"""),"")</f>
        <v/>
      </c>
      <c r="U482" s="16" t="s">
        <v>87</v>
      </c>
      <c r="V482" s="16" t="str">
        <f>IFERROR(__xludf.DUMMYFUNCTION("""COMPUTED_VALUE"""),"")</f>
        <v/>
      </c>
      <c r="W482" s="16" t="str">
        <f>IFERROR(__xludf.DUMMYFUNCTION("""COMPUTED_VALUE"""),"")</f>
        <v/>
      </c>
      <c r="X482" s="16" t="str">
        <f>IFERROR(__xludf.DUMMYFUNCTION("""COMPUTED_VALUE"""),"")</f>
        <v/>
      </c>
      <c r="AC482" s="16" t="str">
        <f>IFERROR(__xludf.DUMMYFUNCTION("""COMPUTED_VALUE"""),"")</f>
        <v/>
      </c>
    </row>
    <row r="483">
      <c r="A483" s="16" t="s">
        <v>87</v>
      </c>
      <c r="E483" s="16" t="str">
        <f>IFERROR(__xludf.DUMMYFUNCTION("""COMPUTED_VALUE"""),"")</f>
        <v/>
      </c>
      <c r="G483" s="18"/>
      <c r="H483" s="16" t="s">
        <v>87</v>
      </c>
      <c r="I483" s="16" t="s">
        <v>87</v>
      </c>
      <c r="J483" s="19"/>
      <c r="L483" s="16" t="str">
        <f>IFERROR(__xludf.DUMMYFUNCTION("""COMPUTED_VALUE"""),"")</f>
        <v/>
      </c>
      <c r="M483" s="16" t="str">
        <f>IFERROR(__xludf.DUMMYFUNCTION("""COMPUTED_VALUE"""),"")</f>
        <v/>
      </c>
      <c r="U483" s="16" t="s">
        <v>87</v>
      </c>
      <c r="V483" s="16" t="str">
        <f>IFERROR(__xludf.DUMMYFUNCTION("""COMPUTED_VALUE"""),"")</f>
        <v/>
      </c>
      <c r="W483" s="16" t="str">
        <f>IFERROR(__xludf.DUMMYFUNCTION("""COMPUTED_VALUE"""),"")</f>
        <v/>
      </c>
      <c r="X483" s="16" t="str">
        <f>IFERROR(__xludf.DUMMYFUNCTION("""COMPUTED_VALUE"""),"")</f>
        <v/>
      </c>
      <c r="AC483" s="16" t="str">
        <f>IFERROR(__xludf.DUMMYFUNCTION("""COMPUTED_VALUE"""),"")</f>
        <v/>
      </c>
    </row>
    <row r="484">
      <c r="A484" s="16" t="s">
        <v>87</v>
      </c>
      <c r="E484" s="16" t="str">
        <f>IFERROR(__xludf.DUMMYFUNCTION("""COMPUTED_VALUE"""),"")</f>
        <v/>
      </c>
      <c r="G484" s="18"/>
      <c r="H484" s="16" t="s">
        <v>87</v>
      </c>
      <c r="I484" s="16" t="s">
        <v>87</v>
      </c>
      <c r="J484" s="19"/>
      <c r="L484" s="16" t="str">
        <f>IFERROR(__xludf.DUMMYFUNCTION("""COMPUTED_VALUE"""),"")</f>
        <v/>
      </c>
      <c r="M484" s="16" t="str">
        <f>IFERROR(__xludf.DUMMYFUNCTION("""COMPUTED_VALUE"""),"")</f>
        <v/>
      </c>
      <c r="U484" s="16" t="s">
        <v>87</v>
      </c>
      <c r="V484" s="16" t="str">
        <f>IFERROR(__xludf.DUMMYFUNCTION("""COMPUTED_VALUE"""),"")</f>
        <v/>
      </c>
      <c r="W484" s="16" t="str">
        <f>IFERROR(__xludf.DUMMYFUNCTION("""COMPUTED_VALUE"""),"")</f>
        <v/>
      </c>
      <c r="X484" s="16" t="str">
        <f>IFERROR(__xludf.DUMMYFUNCTION("""COMPUTED_VALUE"""),"")</f>
        <v/>
      </c>
      <c r="AC484" s="16" t="str">
        <f>IFERROR(__xludf.DUMMYFUNCTION("""COMPUTED_VALUE"""),"")</f>
        <v/>
      </c>
    </row>
    <row r="485">
      <c r="A485" s="16" t="s">
        <v>87</v>
      </c>
      <c r="E485" s="16" t="str">
        <f>IFERROR(__xludf.DUMMYFUNCTION("""COMPUTED_VALUE"""),"")</f>
        <v/>
      </c>
      <c r="G485" s="18"/>
      <c r="H485" s="16" t="s">
        <v>87</v>
      </c>
      <c r="I485" s="16" t="s">
        <v>87</v>
      </c>
      <c r="J485" s="19"/>
      <c r="L485" s="16" t="str">
        <f>IFERROR(__xludf.DUMMYFUNCTION("""COMPUTED_VALUE"""),"")</f>
        <v/>
      </c>
      <c r="M485" s="16" t="str">
        <f>IFERROR(__xludf.DUMMYFUNCTION("""COMPUTED_VALUE"""),"")</f>
        <v/>
      </c>
      <c r="U485" s="16" t="s">
        <v>87</v>
      </c>
      <c r="V485" s="16" t="str">
        <f>IFERROR(__xludf.DUMMYFUNCTION("""COMPUTED_VALUE"""),"")</f>
        <v/>
      </c>
      <c r="W485" s="16" t="str">
        <f>IFERROR(__xludf.DUMMYFUNCTION("""COMPUTED_VALUE"""),"")</f>
        <v/>
      </c>
      <c r="X485" s="16" t="str">
        <f>IFERROR(__xludf.DUMMYFUNCTION("""COMPUTED_VALUE"""),"")</f>
        <v/>
      </c>
      <c r="AC485" s="16" t="str">
        <f>IFERROR(__xludf.DUMMYFUNCTION("""COMPUTED_VALUE"""),"")</f>
        <v/>
      </c>
    </row>
    <row r="486">
      <c r="A486" s="16" t="s">
        <v>87</v>
      </c>
      <c r="E486" s="16" t="str">
        <f>IFERROR(__xludf.DUMMYFUNCTION("""COMPUTED_VALUE"""),"")</f>
        <v/>
      </c>
      <c r="G486" s="18"/>
      <c r="H486" s="16" t="s">
        <v>87</v>
      </c>
      <c r="I486" s="16" t="s">
        <v>87</v>
      </c>
      <c r="J486" s="19"/>
      <c r="L486" s="16" t="str">
        <f>IFERROR(__xludf.DUMMYFUNCTION("""COMPUTED_VALUE"""),"")</f>
        <v/>
      </c>
      <c r="M486" s="16" t="str">
        <f>IFERROR(__xludf.DUMMYFUNCTION("""COMPUTED_VALUE"""),"")</f>
        <v/>
      </c>
      <c r="U486" s="16" t="s">
        <v>87</v>
      </c>
      <c r="V486" s="16" t="str">
        <f>IFERROR(__xludf.DUMMYFUNCTION("""COMPUTED_VALUE"""),"")</f>
        <v/>
      </c>
      <c r="W486" s="16" t="str">
        <f>IFERROR(__xludf.DUMMYFUNCTION("""COMPUTED_VALUE"""),"")</f>
        <v/>
      </c>
      <c r="X486" s="16" t="str">
        <f>IFERROR(__xludf.DUMMYFUNCTION("""COMPUTED_VALUE"""),"")</f>
        <v/>
      </c>
      <c r="AC486" s="16" t="str">
        <f>IFERROR(__xludf.DUMMYFUNCTION("""COMPUTED_VALUE"""),"")</f>
        <v/>
      </c>
    </row>
    <row r="487">
      <c r="A487" s="16" t="s">
        <v>87</v>
      </c>
      <c r="E487" s="16" t="str">
        <f>IFERROR(__xludf.DUMMYFUNCTION("""COMPUTED_VALUE"""),"")</f>
        <v/>
      </c>
      <c r="G487" s="18"/>
      <c r="H487" s="16" t="s">
        <v>87</v>
      </c>
      <c r="I487" s="16" t="s">
        <v>87</v>
      </c>
      <c r="J487" s="19"/>
      <c r="L487" s="16" t="str">
        <f>IFERROR(__xludf.DUMMYFUNCTION("""COMPUTED_VALUE"""),"")</f>
        <v/>
      </c>
      <c r="M487" s="16" t="str">
        <f>IFERROR(__xludf.DUMMYFUNCTION("""COMPUTED_VALUE"""),"")</f>
        <v/>
      </c>
      <c r="U487" s="16" t="s">
        <v>87</v>
      </c>
      <c r="V487" s="16" t="str">
        <f>IFERROR(__xludf.DUMMYFUNCTION("""COMPUTED_VALUE"""),"")</f>
        <v/>
      </c>
      <c r="W487" s="16" t="str">
        <f>IFERROR(__xludf.DUMMYFUNCTION("""COMPUTED_VALUE"""),"")</f>
        <v/>
      </c>
      <c r="X487" s="16" t="str">
        <f>IFERROR(__xludf.DUMMYFUNCTION("""COMPUTED_VALUE"""),"")</f>
        <v/>
      </c>
      <c r="AC487" s="16" t="str">
        <f>IFERROR(__xludf.DUMMYFUNCTION("""COMPUTED_VALUE"""),"")</f>
        <v/>
      </c>
    </row>
    <row r="488">
      <c r="A488" s="16" t="s">
        <v>87</v>
      </c>
      <c r="E488" s="16" t="str">
        <f>IFERROR(__xludf.DUMMYFUNCTION("""COMPUTED_VALUE"""),"")</f>
        <v/>
      </c>
      <c r="G488" s="18"/>
      <c r="H488" s="16" t="s">
        <v>87</v>
      </c>
      <c r="I488" s="16" t="s">
        <v>87</v>
      </c>
      <c r="J488" s="19"/>
      <c r="L488" s="16" t="str">
        <f>IFERROR(__xludf.DUMMYFUNCTION("""COMPUTED_VALUE"""),"")</f>
        <v/>
      </c>
      <c r="M488" s="16" t="str">
        <f>IFERROR(__xludf.DUMMYFUNCTION("""COMPUTED_VALUE"""),"")</f>
        <v/>
      </c>
      <c r="U488" s="16" t="s">
        <v>87</v>
      </c>
      <c r="V488" s="16" t="str">
        <f>IFERROR(__xludf.DUMMYFUNCTION("""COMPUTED_VALUE"""),"")</f>
        <v/>
      </c>
      <c r="W488" s="16" t="str">
        <f>IFERROR(__xludf.DUMMYFUNCTION("""COMPUTED_VALUE"""),"")</f>
        <v/>
      </c>
      <c r="X488" s="16" t="str">
        <f>IFERROR(__xludf.DUMMYFUNCTION("""COMPUTED_VALUE"""),"")</f>
        <v/>
      </c>
      <c r="AC488" s="16" t="str">
        <f>IFERROR(__xludf.DUMMYFUNCTION("""COMPUTED_VALUE"""),"")</f>
        <v/>
      </c>
    </row>
    <row r="489">
      <c r="A489" s="16" t="s">
        <v>87</v>
      </c>
      <c r="E489" s="16" t="str">
        <f>IFERROR(__xludf.DUMMYFUNCTION("""COMPUTED_VALUE"""),"")</f>
        <v/>
      </c>
      <c r="G489" s="18"/>
      <c r="H489" s="16" t="s">
        <v>87</v>
      </c>
      <c r="I489" s="16" t="s">
        <v>87</v>
      </c>
      <c r="J489" s="19"/>
      <c r="L489" s="16" t="str">
        <f>IFERROR(__xludf.DUMMYFUNCTION("""COMPUTED_VALUE"""),"")</f>
        <v/>
      </c>
      <c r="M489" s="16" t="str">
        <f>IFERROR(__xludf.DUMMYFUNCTION("""COMPUTED_VALUE"""),"")</f>
        <v/>
      </c>
      <c r="U489" s="16" t="s">
        <v>87</v>
      </c>
      <c r="V489" s="16" t="str">
        <f>IFERROR(__xludf.DUMMYFUNCTION("""COMPUTED_VALUE"""),"")</f>
        <v/>
      </c>
      <c r="W489" s="16" t="str">
        <f>IFERROR(__xludf.DUMMYFUNCTION("""COMPUTED_VALUE"""),"")</f>
        <v/>
      </c>
      <c r="X489" s="16" t="str">
        <f>IFERROR(__xludf.DUMMYFUNCTION("""COMPUTED_VALUE"""),"")</f>
        <v/>
      </c>
      <c r="AC489" s="16" t="str">
        <f>IFERROR(__xludf.DUMMYFUNCTION("""COMPUTED_VALUE"""),"")</f>
        <v/>
      </c>
    </row>
    <row r="490">
      <c r="A490" s="16" t="s">
        <v>87</v>
      </c>
      <c r="E490" s="16" t="str">
        <f>IFERROR(__xludf.DUMMYFUNCTION("""COMPUTED_VALUE"""),"")</f>
        <v/>
      </c>
      <c r="G490" s="18"/>
      <c r="H490" s="16" t="s">
        <v>87</v>
      </c>
      <c r="I490" s="16" t="s">
        <v>87</v>
      </c>
      <c r="J490" s="19"/>
      <c r="L490" s="16" t="str">
        <f>IFERROR(__xludf.DUMMYFUNCTION("""COMPUTED_VALUE"""),"")</f>
        <v/>
      </c>
      <c r="M490" s="16" t="str">
        <f>IFERROR(__xludf.DUMMYFUNCTION("""COMPUTED_VALUE"""),"")</f>
        <v/>
      </c>
      <c r="U490" s="16" t="s">
        <v>87</v>
      </c>
      <c r="V490" s="16" t="str">
        <f>IFERROR(__xludf.DUMMYFUNCTION("""COMPUTED_VALUE"""),"")</f>
        <v/>
      </c>
      <c r="W490" s="16" t="str">
        <f>IFERROR(__xludf.DUMMYFUNCTION("""COMPUTED_VALUE"""),"")</f>
        <v/>
      </c>
      <c r="X490" s="16" t="str">
        <f>IFERROR(__xludf.DUMMYFUNCTION("""COMPUTED_VALUE"""),"")</f>
        <v/>
      </c>
      <c r="AC490" s="16" t="str">
        <f>IFERROR(__xludf.DUMMYFUNCTION("""COMPUTED_VALUE"""),"")</f>
        <v/>
      </c>
    </row>
    <row r="491">
      <c r="A491" s="16" t="s">
        <v>87</v>
      </c>
      <c r="E491" s="16" t="str">
        <f>IFERROR(__xludf.DUMMYFUNCTION("""COMPUTED_VALUE"""),"")</f>
        <v/>
      </c>
      <c r="G491" s="18"/>
      <c r="H491" s="16" t="s">
        <v>87</v>
      </c>
      <c r="I491" s="16" t="s">
        <v>87</v>
      </c>
      <c r="J491" s="19"/>
      <c r="L491" s="16" t="str">
        <f>IFERROR(__xludf.DUMMYFUNCTION("""COMPUTED_VALUE"""),"")</f>
        <v/>
      </c>
      <c r="M491" s="16" t="str">
        <f>IFERROR(__xludf.DUMMYFUNCTION("""COMPUTED_VALUE"""),"")</f>
        <v/>
      </c>
      <c r="U491" s="16" t="s">
        <v>87</v>
      </c>
      <c r="V491" s="16" t="str">
        <f>IFERROR(__xludf.DUMMYFUNCTION("""COMPUTED_VALUE"""),"")</f>
        <v/>
      </c>
      <c r="W491" s="16" t="str">
        <f>IFERROR(__xludf.DUMMYFUNCTION("""COMPUTED_VALUE"""),"")</f>
        <v/>
      </c>
      <c r="X491" s="16" t="str">
        <f>IFERROR(__xludf.DUMMYFUNCTION("""COMPUTED_VALUE"""),"")</f>
        <v/>
      </c>
      <c r="AC491" s="16" t="str">
        <f>IFERROR(__xludf.DUMMYFUNCTION("""COMPUTED_VALUE"""),"")</f>
        <v/>
      </c>
    </row>
    <row r="492">
      <c r="A492" s="16" t="s">
        <v>87</v>
      </c>
      <c r="E492" s="16" t="str">
        <f>IFERROR(__xludf.DUMMYFUNCTION("""COMPUTED_VALUE"""),"")</f>
        <v/>
      </c>
      <c r="G492" s="18"/>
      <c r="H492" s="16" t="s">
        <v>87</v>
      </c>
      <c r="I492" s="16" t="s">
        <v>87</v>
      </c>
      <c r="J492" s="19"/>
      <c r="L492" s="16" t="str">
        <f>IFERROR(__xludf.DUMMYFUNCTION("""COMPUTED_VALUE"""),"")</f>
        <v/>
      </c>
      <c r="M492" s="16" t="str">
        <f>IFERROR(__xludf.DUMMYFUNCTION("""COMPUTED_VALUE"""),"")</f>
        <v/>
      </c>
      <c r="U492" s="16" t="s">
        <v>87</v>
      </c>
      <c r="V492" s="16" t="str">
        <f>IFERROR(__xludf.DUMMYFUNCTION("""COMPUTED_VALUE"""),"")</f>
        <v/>
      </c>
      <c r="W492" s="16" t="str">
        <f>IFERROR(__xludf.DUMMYFUNCTION("""COMPUTED_VALUE"""),"")</f>
        <v/>
      </c>
      <c r="X492" s="16" t="str">
        <f>IFERROR(__xludf.DUMMYFUNCTION("""COMPUTED_VALUE"""),"")</f>
        <v/>
      </c>
      <c r="AC492" s="16" t="str">
        <f>IFERROR(__xludf.DUMMYFUNCTION("""COMPUTED_VALUE"""),"")</f>
        <v/>
      </c>
    </row>
    <row r="493">
      <c r="A493" s="16" t="s">
        <v>87</v>
      </c>
      <c r="E493" s="16" t="str">
        <f>IFERROR(__xludf.DUMMYFUNCTION("""COMPUTED_VALUE"""),"")</f>
        <v/>
      </c>
      <c r="G493" s="18"/>
      <c r="H493" s="16" t="s">
        <v>87</v>
      </c>
      <c r="I493" s="16" t="s">
        <v>87</v>
      </c>
      <c r="J493" s="19"/>
      <c r="L493" s="16" t="str">
        <f>IFERROR(__xludf.DUMMYFUNCTION("""COMPUTED_VALUE"""),"")</f>
        <v/>
      </c>
      <c r="M493" s="16" t="str">
        <f>IFERROR(__xludf.DUMMYFUNCTION("""COMPUTED_VALUE"""),"")</f>
        <v/>
      </c>
      <c r="U493" s="16" t="s">
        <v>87</v>
      </c>
      <c r="V493" s="16" t="str">
        <f>IFERROR(__xludf.DUMMYFUNCTION("""COMPUTED_VALUE"""),"")</f>
        <v/>
      </c>
      <c r="W493" s="16" t="str">
        <f>IFERROR(__xludf.DUMMYFUNCTION("""COMPUTED_VALUE"""),"")</f>
        <v/>
      </c>
      <c r="X493" s="16" t="str">
        <f>IFERROR(__xludf.DUMMYFUNCTION("""COMPUTED_VALUE"""),"")</f>
        <v/>
      </c>
      <c r="AC493" s="16" t="str">
        <f>IFERROR(__xludf.DUMMYFUNCTION("""COMPUTED_VALUE"""),"")</f>
        <v/>
      </c>
    </row>
    <row r="494">
      <c r="A494" s="16" t="s">
        <v>87</v>
      </c>
      <c r="E494" s="16" t="str">
        <f>IFERROR(__xludf.DUMMYFUNCTION("""COMPUTED_VALUE"""),"")</f>
        <v/>
      </c>
      <c r="G494" s="18"/>
      <c r="H494" s="16" t="s">
        <v>87</v>
      </c>
      <c r="I494" s="16" t="s">
        <v>87</v>
      </c>
      <c r="J494" s="19"/>
      <c r="L494" s="16" t="str">
        <f>IFERROR(__xludf.DUMMYFUNCTION("""COMPUTED_VALUE"""),"")</f>
        <v/>
      </c>
      <c r="M494" s="16" t="str">
        <f>IFERROR(__xludf.DUMMYFUNCTION("""COMPUTED_VALUE"""),"")</f>
        <v/>
      </c>
      <c r="U494" s="16" t="s">
        <v>87</v>
      </c>
      <c r="V494" s="16" t="str">
        <f>IFERROR(__xludf.DUMMYFUNCTION("""COMPUTED_VALUE"""),"")</f>
        <v/>
      </c>
      <c r="W494" s="16" t="str">
        <f>IFERROR(__xludf.DUMMYFUNCTION("""COMPUTED_VALUE"""),"")</f>
        <v/>
      </c>
      <c r="X494" s="16" t="str">
        <f>IFERROR(__xludf.DUMMYFUNCTION("""COMPUTED_VALUE"""),"")</f>
        <v/>
      </c>
      <c r="AC494" s="16" t="str">
        <f>IFERROR(__xludf.DUMMYFUNCTION("""COMPUTED_VALUE"""),"")</f>
        <v/>
      </c>
    </row>
    <row r="495">
      <c r="A495" s="16" t="s">
        <v>87</v>
      </c>
      <c r="E495" s="16" t="str">
        <f>IFERROR(__xludf.DUMMYFUNCTION("""COMPUTED_VALUE"""),"")</f>
        <v/>
      </c>
      <c r="G495" s="18"/>
      <c r="H495" s="16" t="s">
        <v>87</v>
      </c>
      <c r="I495" s="16" t="s">
        <v>87</v>
      </c>
      <c r="J495" s="19"/>
      <c r="L495" s="16" t="str">
        <f>IFERROR(__xludf.DUMMYFUNCTION("""COMPUTED_VALUE"""),"")</f>
        <v/>
      </c>
      <c r="M495" s="16" t="str">
        <f>IFERROR(__xludf.DUMMYFUNCTION("""COMPUTED_VALUE"""),"")</f>
        <v/>
      </c>
      <c r="U495" s="16" t="s">
        <v>87</v>
      </c>
      <c r="V495" s="16" t="str">
        <f>IFERROR(__xludf.DUMMYFUNCTION("""COMPUTED_VALUE"""),"")</f>
        <v/>
      </c>
      <c r="W495" s="16" t="str">
        <f>IFERROR(__xludf.DUMMYFUNCTION("""COMPUTED_VALUE"""),"")</f>
        <v/>
      </c>
      <c r="X495" s="16" t="str">
        <f>IFERROR(__xludf.DUMMYFUNCTION("""COMPUTED_VALUE"""),"")</f>
        <v/>
      </c>
      <c r="AC495" s="16" t="str">
        <f>IFERROR(__xludf.DUMMYFUNCTION("""COMPUTED_VALUE"""),"")</f>
        <v/>
      </c>
    </row>
    <row r="496">
      <c r="A496" s="16" t="s">
        <v>87</v>
      </c>
      <c r="E496" s="16" t="str">
        <f>IFERROR(__xludf.DUMMYFUNCTION("""COMPUTED_VALUE"""),"")</f>
        <v/>
      </c>
      <c r="G496" s="18"/>
      <c r="H496" s="16" t="s">
        <v>87</v>
      </c>
      <c r="I496" s="16" t="s">
        <v>87</v>
      </c>
      <c r="J496" s="19"/>
      <c r="L496" s="16" t="str">
        <f>IFERROR(__xludf.DUMMYFUNCTION("""COMPUTED_VALUE"""),"")</f>
        <v/>
      </c>
      <c r="M496" s="16" t="str">
        <f>IFERROR(__xludf.DUMMYFUNCTION("""COMPUTED_VALUE"""),"")</f>
        <v/>
      </c>
      <c r="U496" s="16" t="s">
        <v>87</v>
      </c>
      <c r="V496" s="16" t="str">
        <f>IFERROR(__xludf.DUMMYFUNCTION("""COMPUTED_VALUE"""),"")</f>
        <v/>
      </c>
      <c r="W496" s="16" t="str">
        <f>IFERROR(__xludf.DUMMYFUNCTION("""COMPUTED_VALUE"""),"")</f>
        <v/>
      </c>
      <c r="X496" s="16" t="str">
        <f>IFERROR(__xludf.DUMMYFUNCTION("""COMPUTED_VALUE"""),"")</f>
        <v/>
      </c>
      <c r="AC496" s="16" t="str">
        <f>IFERROR(__xludf.DUMMYFUNCTION("""COMPUTED_VALUE"""),"")</f>
        <v/>
      </c>
    </row>
    <row r="497">
      <c r="A497" s="16" t="s">
        <v>87</v>
      </c>
      <c r="E497" s="16" t="str">
        <f>IFERROR(__xludf.DUMMYFUNCTION("""COMPUTED_VALUE"""),"")</f>
        <v/>
      </c>
      <c r="G497" s="18"/>
      <c r="H497" s="16" t="s">
        <v>87</v>
      </c>
      <c r="I497" s="16" t="s">
        <v>87</v>
      </c>
      <c r="J497" s="19"/>
      <c r="L497" s="16" t="str">
        <f>IFERROR(__xludf.DUMMYFUNCTION("""COMPUTED_VALUE"""),"")</f>
        <v/>
      </c>
      <c r="M497" s="16" t="str">
        <f>IFERROR(__xludf.DUMMYFUNCTION("""COMPUTED_VALUE"""),"")</f>
        <v/>
      </c>
      <c r="U497" s="16" t="s">
        <v>87</v>
      </c>
      <c r="V497" s="16" t="str">
        <f>IFERROR(__xludf.DUMMYFUNCTION("""COMPUTED_VALUE"""),"")</f>
        <v/>
      </c>
      <c r="W497" s="16" t="str">
        <f>IFERROR(__xludf.DUMMYFUNCTION("""COMPUTED_VALUE"""),"")</f>
        <v/>
      </c>
      <c r="X497" s="16" t="str">
        <f>IFERROR(__xludf.DUMMYFUNCTION("""COMPUTED_VALUE"""),"")</f>
        <v/>
      </c>
      <c r="AC497" s="16" t="str">
        <f>IFERROR(__xludf.DUMMYFUNCTION("""COMPUTED_VALUE"""),"")</f>
        <v/>
      </c>
    </row>
    <row r="498">
      <c r="A498" s="16" t="s">
        <v>87</v>
      </c>
      <c r="E498" s="16" t="str">
        <f>IFERROR(__xludf.DUMMYFUNCTION("""COMPUTED_VALUE"""),"")</f>
        <v/>
      </c>
      <c r="G498" s="18"/>
      <c r="H498" s="16" t="s">
        <v>87</v>
      </c>
      <c r="I498" s="16" t="s">
        <v>87</v>
      </c>
      <c r="J498" s="19"/>
      <c r="L498" s="16" t="str">
        <f>IFERROR(__xludf.DUMMYFUNCTION("""COMPUTED_VALUE"""),"")</f>
        <v/>
      </c>
      <c r="M498" s="16" t="str">
        <f>IFERROR(__xludf.DUMMYFUNCTION("""COMPUTED_VALUE"""),"")</f>
        <v/>
      </c>
      <c r="U498" s="16" t="s">
        <v>87</v>
      </c>
      <c r="V498" s="16" t="str">
        <f>IFERROR(__xludf.DUMMYFUNCTION("""COMPUTED_VALUE"""),"")</f>
        <v/>
      </c>
      <c r="W498" s="16" t="str">
        <f>IFERROR(__xludf.DUMMYFUNCTION("""COMPUTED_VALUE"""),"")</f>
        <v/>
      </c>
      <c r="X498" s="16" t="str">
        <f>IFERROR(__xludf.DUMMYFUNCTION("""COMPUTED_VALUE"""),"")</f>
        <v/>
      </c>
      <c r="AC498" s="16" t="str">
        <f>IFERROR(__xludf.DUMMYFUNCTION("""COMPUTED_VALUE"""),"")</f>
        <v/>
      </c>
    </row>
    <row r="499">
      <c r="A499" s="16" t="s">
        <v>87</v>
      </c>
      <c r="E499" s="16" t="str">
        <f>IFERROR(__xludf.DUMMYFUNCTION("""COMPUTED_VALUE"""),"")</f>
        <v/>
      </c>
      <c r="G499" s="18"/>
      <c r="H499" s="16" t="s">
        <v>87</v>
      </c>
      <c r="I499" s="16" t="s">
        <v>87</v>
      </c>
      <c r="J499" s="19"/>
      <c r="L499" s="16" t="str">
        <f>IFERROR(__xludf.DUMMYFUNCTION("""COMPUTED_VALUE"""),"")</f>
        <v/>
      </c>
      <c r="M499" s="16" t="str">
        <f>IFERROR(__xludf.DUMMYFUNCTION("""COMPUTED_VALUE"""),"")</f>
        <v/>
      </c>
      <c r="U499" s="16" t="s">
        <v>87</v>
      </c>
      <c r="V499" s="16" t="str">
        <f>IFERROR(__xludf.DUMMYFUNCTION("""COMPUTED_VALUE"""),"")</f>
        <v/>
      </c>
      <c r="W499" s="16" t="str">
        <f>IFERROR(__xludf.DUMMYFUNCTION("""COMPUTED_VALUE"""),"")</f>
        <v/>
      </c>
      <c r="X499" s="16" t="str">
        <f>IFERROR(__xludf.DUMMYFUNCTION("""COMPUTED_VALUE"""),"")</f>
        <v/>
      </c>
      <c r="AC499" s="16" t="str">
        <f>IFERROR(__xludf.DUMMYFUNCTION("""COMPUTED_VALUE"""),"")</f>
        <v/>
      </c>
    </row>
    <row r="500">
      <c r="A500" s="16" t="s">
        <v>87</v>
      </c>
      <c r="E500" s="16" t="str">
        <f>IFERROR(__xludf.DUMMYFUNCTION("""COMPUTED_VALUE"""),"")</f>
        <v/>
      </c>
      <c r="G500" s="18"/>
      <c r="H500" s="16" t="s">
        <v>87</v>
      </c>
      <c r="I500" s="16" t="s">
        <v>87</v>
      </c>
      <c r="J500" s="19"/>
      <c r="L500" s="16" t="str">
        <f>IFERROR(__xludf.DUMMYFUNCTION("""COMPUTED_VALUE"""),"")</f>
        <v/>
      </c>
      <c r="M500" s="16" t="str">
        <f>IFERROR(__xludf.DUMMYFUNCTION("""COMPUTED_VALUE"""),"")</f>
        <v/>
      </c>
      <c r="U500" s="16" t="s">
        <v>87</v>
      </c>
      <c r="V500" s="16" t="str">
        <f>IFERROR(__xludf.DUMMYFUNCTION("""COMPUTED_VALUE"""),"")</f>
        <v/>
      </c>
      <c r="W500" s="16" t="str">
        <f>IFERROR(__xludf.DUMMYFUNCTION("""COMPUTED_VALUE"""),"")</f>
        <v/>
      </c>
      <c r="X500" s="16" t="str">
        <f>IFERROR(__xludf.DUMMYFUNCTION("""COMPUTED_VALUE"""),"")</f>
        <v/>
      </c>
      <c r="AC500" s="16" t="str">
        <f>IFERROR(__xludf.DUMMYFUNCTION("""COMPUTED_VALUE"""),"")</f>
        <v/>
      </c>
    </row>
    <row r="501">
      <c r="A501" s="16" t="s">
        <v>87</v>
      </c>
      <c r="E501" s="16" t="str">
        <f>IFERROR(__xludf.DUMMYFUNCTION("""COMPUTED_VALUE"""),"")</f>
        <v/>
      </c>
      <c r="G501" s="18"/>
      <c r="H501" s="16" t="s">
        <v>87</v>
      </c>
      <c r="I501" s="16" t="s">
        <v>87</v>
      </c>
      <c r="J501" s="19"/>
      <c r="L501" s="16" t="str">
        <f>IFERROR(__xludf.DUMMYFUNCTION("""COMPUTED_VALUE"""),"")</f>
        <v/>
      </c>
      <c r="M501" s="16" t="str">
        <f>IFERROR(__xludf.DUMMYFUNCTION("""COMPUTED_VALUE"""),"")</f>
        <v/>
      </c>
      <c r="U501" s="16" t="s">
        <v>87</v>
      </c>
      <c r="V501" s="16" t="str">
        <f>IFERROR(__xludf.DUMMYFUNCTION("""COMPUTED_VALUE"""),"")</f>
        <v/>
      </c>
      <c r="W501" s="16" t="str">
        <f>IFERROR(__xludf.DUMMYFUNCTION("""COMPUTED_VALUE"""),"")</f>
        <v/>
      </c>
      <c r="X501" s="16" t="str">
        <f>IFERROR(__xludf.DUMMYFUNCTION("""COMPUTED_VALUE"""),"")</f>
        <v/>
      </c>
      <c r="AC501" s="16" t="str">
        <f>IFERROR(__xludf.DUMMYFUNCTION("""COMPUTED_VALUE"""),"")</f>
        <v/>
      </c>
    </row>
    <row r="502">
      <c r="A502" s="16" t="s">
        <v>87</v>
      </c>
      <c r="E502" s="16" t="str">
        <f>IFERROR(__xludf.DUMMYFUNCTION("""COMPUTED_VALUE"""),"")</f>
        <v/>
      </c>
      <c r="G502" s="18"/>
      <c r="H502" s="16" t="s">
        <v>87</v>
      </c>
      <c r="I502" s="16" t="s">
        <v>87</v>
      </c>
      <c r="J502" s="19"/>
      <c r="L502" s="16" t="str">
        <f>IFERROR(__xludf.DUMMYFUNCTION("""COMPUTED_VALUE"""),"")</f>
        <v/>
      </c>
      <c r="M502" s="16" t="str">
        <f>IFERROR(__xludf.DUMMYFUNCTION("""COMPUTED_VALUE"""),"")</f>
        <v/>
      </c>
      <c r="U502" s="16" t="s">
        <v>87</v>
      </c>
      <c r="V502" s="16" t="str">
        <f>IFERROR(__xludf.DUMMYFUNCTION("""COMPUTED_VALUE"""),"")</f>
        <v/>
      </c>
      <c r="W502" s="16" t="str">
        <f>IFERROR(__xludf.DUMMYFUNCTION("""COMPUTED_VALUE"""),"")</f>
        <v/>
      </c>
      <c r="X502" s="16" t="str">
        <f>IFERROR(__xludf.DUMMYFUNCTION("""COMPUTED_VALUE"""),"")</f>
        <v/>
      </c>
      <c r="AC502" s="16" t="str">
        <f>IFERROR(__xludf.DUMMYFUNCTION("""COMPUTED_VALUE"""),"")</f>
        <v/>
      </c>
    </row>
    <row r="503">
      <c r="A503" s="16" t="s">
        <v>87</v>
      </c>
      <c r="E503" s="16" t="str">
        <f>IFERROR(__xludf.DUMMYFUNCTION("""COMPUTED_VALUE"""),"")</f>
        <v/>
      </c>
      <c r="G503" s="18"/>
      <c r="H503" s="16" t="s">
        <v>87</v>
      </c>
      <c r="I503" s="16" t="s">
        <v>87</v>
      </c>
      <c r="J503" s="19"/>
      <c r="L503" s="16" t="str">
        <f>IFERROR(__xludf.DUMMYFUNCTION("""COMPUTED_VALUE"""),"")</f>
        <v/>
      </c>
      <c r="M503" s="16" t="str">
        <f>IFERROR(__xludf.DUMMYFUNCTION("""COMPUTED_VALUE"""),"")</f>
        <v/>
      </c>
      <c r="U503" s="16" t="s">
        <v>87</v>
      </c>
      <c r="V503" s="16" t="str">
        <f>IFERROR(__xludf.DUMMYFUNCTION("""COMPUTED_VALUE"""),"")</f>
        <v/>
      </c>
      <c r="W503" s="16" t="str">
        <f>IFERROR(__xludf.DUMMYFUNCTION("""COMPUTED_VALUE"""),"")</f>
        <v/>
      </c>
      <c r="X503" s="16" t="str">
        <f>IFERROR(__xludf.DUMMYFUNCTION("""COMPUTED_VALUE"""),"")</f>
        <v/>
      </c>
      <c r="AC503" s="16" t="str">
        <f>IFERROR(__xludf.DUMMYFUNCTION("""COMPUTED_VALUE"""),"")</f>
        <v/>
      </c>
    </row>
    <row r="504">
      <c r="A504" s="16" t="s">
        <v>87</v>
      </c>
      <c r="E504" s="16" t="str">
        <f>IFERROR(__xludf.DUMMYFUNCTION("""COMPUTED_VALUE"""),"")</f>
        <v/>
      </c>
      <c r="G504" s="18"/>
      <c r="H504" s="16" t="s">
        <v>87</v>
      </c>
      <c r="I504" s="16" t="s">
        <v>87</v>
      </c>
      <c r="J504" s="19"/>
      <c r="L504" s="16" t="str">
        <f>IFERROR(__xludf.DUMMYFUNCTION("""COMPUTED_VALUE"""),"")</f>
        <v/>
      </c>
      <c r="M504" s="16" t="str">
        <f>IFERROR(__xludf.DUMMYFUNCTION("""COMPUTED_VALUE"""),"")</f>
        <v/>
      </c>
      <c r="U504" s="16" t="s">
        <v>87</v>
      </c>
      <c r="V504" s="16" t="str">
        <f>IFERROR(__xludf.DUMMYFUNCTION("""COMPUTED_VALUE"""),"")</f>
        <v/>
      </c>
      <c r="W504" s="16" t="str">
        <f>IFERROR(__xludf.DUMMYFUNCTION("""COMPUTED_VALUE"""),"")</f>
        <v/>
      </c>
      <c r="X504" s="16" t="str">
        <f>IFERROR(__xludf.DUMMYFUNCTION("""COMPUTED_VALUE"""),"")</f>
        <v/>
      </c>
      <c r="AC504" s="16" t="str">
        <f>IFERROR(__xludf.DUMMYFUNCTION("""COMPUTED_VALUE"""),"")</f>
        <v/>
      </c>
    </row>
    <row r="505">
      <c r="A505" s="16" t="s">
        <v>87</v>
      </c>
      <c r="E505" s="16" t="str">
        <f>IFERROR(__xludf.DUMMYFUNCTION("""COMPUTED_VALUE"""),"")</f>
        <v/>
      </c>
      <c r="G505" s="18"/>
      <c r="H505" s="16" t="s">
        <v>87</v>
      </c>
      <c r="I505" s="16" t="s">
        <v>87</v>
      </c>
      <c r="J505" s="19"/>
      <c r="L505" s="16" t="str">
        <f>IFERROR(__xludf.DUMMYFUNCTION("""COMPUTED_VALUE"""),"")</f>
        <v/>
      </c>
      <c r="M505" s="16" t="str">
        <f>IFERROR(__xludf.DUMMYFUNCTION("""COMPUTED_VALUE"""),"")</f>
        <v/>
      </c>
      <c r="U505" s="16" t="s">
        <v>87</v>
      </c>
      <c r="V505" s="16" t="str">
        <f>IFERROR(__xludf.DUMMYFUNCTION("""COMPUTED_VALUE"""),"")</f>
        <v/>
      </c>
      <c r="W505" s="16" t="str">
        <f>IFERROR(__xludf.DUMMYFUNCTION("""COMPUTED_VALUE"""),"")</f>
        <v/>
      </c>
      <c r="X505" s="16" t="str">
        <f>IFERROR(__xludf.DUMMYFUNCTION("""COMPUTED_VALUE"""),"")</f>
        <v/>
      </c>
      <c r="AC505" s="16" t="str">
        <f>IFERROR(__xludf.DUMMYFUNCTION("""COMPUTED_VALUE"""),"")</f>
        <v/>
      </c>
    </row>
    <row r="506">
      <c r="A506" s="16" t="s">
        <v>87</v>
      </c>
      <c r="E506" s="16" t="str">
        <f>IFERROR(__xludf.DUMMYFUNCTION("""COMPUTED_VALUE"""),"")</f>
        <v/>
      </c>
      <c r="G506" s="18"/>
      <c r="H506" s="16" t="s">
        <v>87</v>
      </c>
      <c r="I506" s="16" t="s">
        <v>87</v>
      </c>
      <c r="J506" s="19"/>
      <c r="L506" s="16" t="str">
        <f>IFERROR(__xludf.DUMMYFUNCTION("""COMPUTED_VALUE"""),"")</f>
        <v/>
      </c>
      <c r="M506" s="16" t="str">
        <f>IFERROR(__xludf.DUMMYFUNCTION("""COMPUTED_VALUE"""),"")</f>
        <v/>
      </c>
      <c r="U506" s="16" t="s">
        <v>87</v>
      </c>
      <c r="V506" s="16" t="str">
        <f>IFERROR(__xludf.DUMMYFUNCTION("""COMPUTED_VALUE"""),"")</f>
        <v/>
      </c>
      <c r="W506" s="16" t="str">
        <f>IFERROR(__xludf.DUMMYFUNCTION("""COMPUTED_VALUE"""),"")</f>
        <v/>
      </c>
      <c r="X506" s="16" t="str">
        <f>IFERROR(__xludf.DUMMYFUNCTION("""COMPUTED_VALUE"""),"")</f>
        <v/>
      </c>
      <c r="AC506" s="16" t="str">
        <f>IFERROR(__xludf.DUMMYFUNCTION("""COMPUTED_VALUE"""),"")</f>
        <v/>
      </c>
    </row>
    <row r="507">
      <c r="A507" s="16" t="s">
        <v>87</v>
      </c>
      <c r="E507" s="16" t="str">
        <f>IFERROR(__xludf.DUMMYFUNCTION("""COMPUTED_VALUE"""),"")</f>
        <v/>
      </c>
      <c r="G507" s="18"/>
      <c r="H507" s="16" t="s">
        <v>87</v>
      </c>
      <c r="I507" s="16" t="s">
        <v>87</v>
      </c>
      <c r="J507" s="19"/>
      <c r="L507" s="16" t="str">
        <f>IFERROR(__xludf.DUMMYFUNCTION("""COMPUTED_VALUE"""),"")</f>
        <v/>
      </c>
      <c r="M507" s="16" t="str">
        <f>IFERROR(__xludf.DUMMYFUNCTION("""COMPUTED_VALUE"""),"")</f>
        <v/>
      </c>
      <c r="U507" s="16" t="s">
        <v>87</v>
      </c>
      <c r="V507" s="16" t="str">
        <f>IFERROR(__xludf.DUMMYFUNCTION("""COMPUTED_VALUE"""),"")</f>
        <v/>
      </c>
      <c r="W507" s="16" t="str">
        <f>IFERROR(__xludf.DUMMYFUNCTION("""COMPUTED_VALUE"""),"")</f>
        <v/>
      </c>
      <c r="X507" s="16" t="str">
        <f>IFERROR(__xludf.DUMMYFUNCTION("""COMPUTED_VALUE"""),"")</f>
        <v/>
      </c>
      <c r="AC507" s="16" t="str">
        <f>IFERROR(__xludf.DUMMYFUNCTION("""COMPUTED_VALUE"""),"")</f>
        <v/>
      </c>
    </row>
    <row r="508">
      <c r="A508" s="16" t="s">
        <v>87</v>
      </c>
      <c r="E508" s="16" t="str">
        <f>IFERROR(__xludf.DUMMYFUNCTION("""COMPUTED_VALUE"""),"")</f>
        <v/>
      </c>
      <c r="G508" s="18"/>
      <c r="H508" s="16" t="s">
        <v>87</v>
      </c>
      <c r="I508" s="16" t="s">
        <v>87</v>
      </c>
      <c r="J508" s="19"/>
      <c r="L508" s="16" t="str">
        <f>IFERROR(__xludf.DUMMYFUNCTION("""COMPUTED_VALUE"""),"")</f>
        <v/>
      </c>
      <c r="M508" s="16" t="str">
        <f>IFERROR(__xludf.DUMMYFUNCTION("""COMPUTED_VALUE"""),"")</f>
        <v/>
      </c>
      <c r="U508" s="16" t="s">
        <v>87</v>
      </c>
      <c r="V508" s="16" t="str">
        <f>IFERROR(__xludf.DUMMYFUNCTION("""COMPUTED_VALUE"""),"")</f>
        <v/>
      </c>
      <c r="W508" s="16" t="str">
        <f>IFERROR(__xludf.DUMMYFUNCTION("""COMPUTED_VALUE"""),"")</f>
        <v/>
      </c>
      <c r="X508" s="16" t="str">
        <f>IFERROR(__xludf.DUMMYFUNCTION("""COMPUTED_VALUE"""),"")</f>
        <v/>
      </c>
      <c r="AC508" s="16" t="str">
        <f>IFERROR(__xludf.DUMMYFUNCTION("""COMPUTED_VALUE"""),"")</f>
        <v/>
      </c>
    </row>
    <row r="509">
      <c r="A509" s="16" t="s">
        <v>87</v>
      </c>
      <c r="E509" s="16" t="str">
        <f>IFERROR(__xludf.DUMMYFUNCTION("""COMPUTED_VALUE"""),"")</f>
        <v/>
      </c>
      <c r="G509" s="18"/>
      <c r="H509" s="16" t="s">
        <v>87</v>
      </c>
      <c r="I509" s="16" t="s">
        <v>87</v>
      </c>
      <c r="J509" s="19"/>
      <c r="L509" s="16" t="str">
        <f>IFERROR(__xludf.DUMMYFUNCTION("""COMPUTED_VALUE"""),"")</f>
        <v/>
      </c>
      <c r="M509" s="16" t="str">
        <f>IFERROR(__xludf.DUMMYFUNCTION("""COMPUTED_VALUE"""),"")</f>
        <v/>
      </c>
      <c r="U509" s="16" t="s">
        <v>87</v>
      </c>
      <c r="V509" s="16" t="str">
        <f>IFERROR(__xludf.DUMMYFUNCTION("""COMPUTED_VALUE"""),"")</f>
        <v/>
      </c>
      <c r="W509" s="16" t="str">
        <f>IFERROR(__xludf.DUMMYFUNCTION("""COMPUTED_VALUE"""),"")</f>
        <v/>
      </c>
      <c r="X509" s="16" t="str">
        <f>IFERROR(__xludf.DUMMYFUNCTION("""COMPUTED_VALUE"""),"")</f>
        <v/>
      </c>
      <c r="AC509" s="16" t="str">
        <f>IFERROR(__xludf.DUMMYFUNCTION("""COMPUTED_VALUE"""),"")</f>
        <v/>
      </c>
    </row>
    <row r="510">
      <c r="A510" s="16" t="s">
        <v>87</v>
      </c>
      <c r="E510" s="16" t="str">
        <f>IFERROR(__xludf.DUMMYFUNCTION("""COMPUTED_VALUE"""),"")</f>
        <v/>
      </c>
      <c r="G510" s="18"/>
      <c r="H510" s="16" t="s">
        <v>87</v>
      </c>
      <c r="I510" s="16" t="s">
        <v>87</v>
      </c>
      <c r="J510" s="19"/>
      <c r="L510" s="16" t="str">
        <f>IFERROR(__xludf.DUMMYFUNCTION("""COMPUTED_VALUE"""),"")</f>
        <v/>
      </c>
      <c r="M510" s="16" t="str">
        <f>IFERROR(__xludf.DUMMYFUNCTION("""COMPUTED_VALUE"""),"")</f>
        <v/>
      </c>
      <c r="U510" s="16" t="s">
        <v>87</v>
      </c>
      <c r="V510" s="16" t="str">
        <f>IFERROR(__xludf.DUMMYFUNCTION("""COMPUTED_VALUE"""),"")</f>
        <v/>
      </c>
      <c r="W510" s="16" t="str">
        <f>IFERROR(__xludf.DUMMYFUNCTION("""COMPUTED_VALUE"""),"")</f>
        <v/>
      </c>
      <c r="X510" s="16" t="str">
        <f>IFERROR(__xludf.DUMMYFUNCTION("""COMPUTED_VALUE"""),"")</f>
        <v/>
      </c>
      <c r="AC510" s="16" t="str">
        <f>IFERROR(__xludf.DUMMYFUNCTION("""COMPUTED_VALUE"""),"")</f>
        <v/>
      </c>
    </row>
    <row r="511">
      <c r="A511" s="16" t="s">
        <v>87</v>
      </c>
      <c r="E511" s="16" t="str">
        <f>IFERROR(__xludf.DUMMYFUNCTION("""COMPUTED_VALUE"""),"")</f>
        <v/>
      </c>
      <c r="G511" s="18"/>
      <c r="H511" s="16" t="s">
        <v>87</v>
      </c>
      <c r="I511" s="16" t="s">
        <v>87</v>
      </c>
      <c r="J511" s="19"/>
      <c r="L511" s="16" t="str">
        <f>IFERROR(__xludf.DUMMYFUNCTION("""COMPUTED_VALUE"""),"")</f>
        <v/>
      </c>
      <c r="M511" s="16" t="str">
        <f>IFERROR(__xludf.DUMMYFUNCTION("""COMPUTED_VALUE"""),"")</f>
        <v/>
      </c>
      <c r="U511" s="16" t="s">
        <v>87</v>
      </c>
      <c r="V511" s="16" t="str">
        <f>IFERROR(__xludf.DUMMYFUNCTION("""COMPUTED_VALUE"""),"")</f>
        <v/>
      </c>
      <c r="W511" s="16" t="str">
        <f>IFERROR(__xludf.DUMMYFUNCTION("""COMPUTED_VALUE"""),"")</f>
        <v/>
      </c>
      <c r="X511" s="16" t="str">
        <f>IFERROR(__xludf.DUMMYFUNCTION("""COMPUTED_VALUE"""),"")</f>
        <v/>
      </c>
      <c r="AC511" s="16" t="str">
        <f>IFERROR(__xludf.DUMMYFUNCTION("""COMPUTED_VALUE"""),"")</f>
        <v/>
      </c>
    </row>
    <row r="512">
      <c r="A512" s="16" t="s">
        <v>87</v>
      </c>
      <c r="E512" s="16" t="str">
        <f>IFERROR(__xludf.DUMMYFUNCTION("""COMPUTED_VALUE"""),"")</f>
        <v/>
      </c>
      <c r="G512" s="18"/>
      <c r="H512" s="16" t="s">
        <v>87</v>
      </c>
      <c r="I512" s="16" t="s">
        <v>87</v>
      </c>
      <c r="J512" s="19"/>
      <c r="L512" s="16" t="str">
        <f>IFERROR(__xludf.DUMMYFUNCTION("""COMPUTED_VALUE"""),"")</f>
        <v/>
      </c>
      <c r="M512" s="16" t="str">
        <f>IFERROR(__xludf.DUMMYFUNCTION("""COMPUTED_VALUE"""),"")</f>
        <v/>
      </c>
      <c r="U512" s="16" t="s">
        <v>87</v>
      </c>
      <c r="V512" s="16" t="str">
        <f>IFERROR(__xludf.DUMMYFUNCTION("""COMPUTED_VALUE"""),"")</f>
        <v/>
      </c>
      <c r="W512" s="16" t="str">
        <f>IFERROR(__xludf.DUMMYFUNCTION("""COMPUTED_VALUE"""),"")</f>
        <v/>
      </c>
      <c r="X512" s="16" t="str">
        <f>IFERROR(__xludf.DUMMYFUNCTION("""COMPUTED_VALUE"""),"")</f>
        <v/>
      </c>
      <c r="AC512" s="16" t="str">
        <f>IFERROR(__xludf.DUMMYFUNCTION("""COMPUTED_VALUE"""),"")</f>
        <v/>
      </c>
    </row>
    <row r="513">
      <c r="A513" s="16" t="s">
        <v>87</v>
      </c>
      <c r="E513" s="16" t="str">
        <f>IFERROR(__xludf.DUMMYFUNCTION("""COMPUTED_VALUE"""),"")</f>
        <v/>
      </c>
      <c r="G513" s="18"/>
      <c r="H513" s="16" t="s">
        <v>87</v>
      </c>
      <c r="I513" s="16" t="s">
        <v>87</v>
      </c>
      <c r="J513" s="19"/>
      <c r="L513" s="16" t="str">
        <f>IFERROR(__xludf.DUMMYFUNCTION("""COMPUTED_VALUE"""),"")</f>
        <v/>
      </c>
      <c r="M513" s="16" t="str">
        <f>IFERROR(__xludf.DUMMYFUNCTION("""COMPUTED_VALUE"""),"")</f>
        <v/>
      </c>
      <c r="U513" s="16" t="s">
        <v>87</v>
      </c>
      <c r="V513" s="16" t="str">
        <f>IFERROR(__xludf.DUMMYFUNCTION("""COMPUTED_VALUE"""),"")</f>
        <v/>
      </c>
      <c r="W513" s="16" t="str">
        <f>IFERROR(__xludf.DUMMYFUNCTION("""COMPUTED_VALUE"""),"")</f>
        <v/>
      </c>
      <c r="X513" s="16" t="str">
        <f>IFERROR(__xludf.DUMMYFUNCTION("""COMPUTED_VALUE"""),"")</f>
        <v/>
      </c>
      <c r="AC513" s="16" t="str">
        <f>IFERROR(__xludf.DUMMYFUNCTION("""COMPUTED_VALUE"""),"")</f>
        <v/>
      </c>
    </row>
    <row r="514">
      <c r="A514" s="16" t="s">
        <v>87</v>
      </c>
      <c r="E514" s="16" t="str">
        <f>IFERROR(__xludf.DUMMYFUNCTION("""COMPUTED_VALUE"""),"")</f>
        <v/>
      </c>
      <c r="G514" s="18"/>
      <c r="H514" s="16" t="s">
        <v>87</v>
      </c>
      <c r="I514" s="16" t="s">
        <v>87</v>
      </c>
      <c r="J514" s="19"/>
      <c r="L514" s="16" t="str">
        <f>IFERROR(__xludf.DUMMYFUNCTION("""COMPUTED_VALUE"""),"")</f>
        <v/>
      </c>
      <c r="M514" s="16" t="str">
        <f>IFERROR(__xludf.DUMMYFUNCTION("""COMPUTED_VALUE"""),"")</f>
        <v/>
      </c>
      <c r="U514" s="16" t="s">
        <v>87</v>
      </c>
      <c r="V514" s="16" t="str">
        <f>IFERROR(__xludf.DUMMYFUNCTION("""COMPUTED_VALUE"""),"")</f>
        <v/>
      </c>
      <c r="W514" s="16" t="str">
        <f>IFERROR(__xludf.DUMMYFUNCTION("""COMPUTED_VALUE"""),"")</f>
        <v/>
      </c>
      <c r="X514" s="16" t="str">
        <f>IFERROR(__xludf.DUMMYFUNCTION("""COMPUTED_VALUE"""),"")</f>
        <v/>
      </c>
      <c r="AC514" s="16" t="str">
        <f>IFERROR(__xludf.DUMMYFUNCTION("""COMPUTED_VALUE"""),"")</f>
        <v/>
      </c>
    </row>
    <row r="515">
      <c r="A515" s="16" t="s">
        <v>87</v>
      </c>
      <c r="E515" s="16" t="str">
        <f>IFERROR(__xludf.DUMMYFUNCTION("""COMPUTED_VALUE"""),"")</f>
        <v/>
      </c>
      <c r="G515" s="18"/>
      <c r="H515" s="16" t="s">
        <v>87</v>
      </c>
      <c r="I515" s="16" t="s">
        <v>87</v>
      </c>
      <c r="J515" s="19"/>
      <c r="L515" s="16" t="str">
        <f>IFERROR(__xludf.DUMMYFUNCTION("""COMPUTED_VALUE"""),"")</f>
        <v/>
      </c>
      <c r="M515" s="16" t="str">
        <f>IFERROR(__xludf.DUMMYFUNCTION("""COMPUTED_VALUE"""),"")</f>
        <v/>
      </c>
      <c r="U515" s="16" t="s">
        <v>87</v>
      </c>
      <c r="V515" s="16" t="str">
        <f>IFERROR(__xludf.DUMMYFUNCTION("""COMPUTED_VALUE"""),"")</f>
        <v/>
      </c>
      <c r="W515" s="16" t="str">
        <f>IFERROR(__xludf.DUMMYFUNCTION("""COMPUTED_VALUE"""),"")</f>
        <v/>
      </c>
      <c r="X515" s="16" t="str">
        <f>IFERROR(__xludf.DUMMYFUNCTION("""COMPUTED_VALUE"""),"")</f>
        <v/>
      </c>
      <c r="AC515" s="16" t="str">
        <f>IFERROR(__xludf.DUMMYFUNCTION("""COMPUTED_VALUE"""),"")</f>
        <v/>
      </c>
    </row>
    <row r="516">
      <c r="A516" s="16" t="s">
        <v>87</v>
      </c>
      <c r="E516" s="16" t="str">
        <f>IFERROR(__xludf.DUMMYFUNCTION("""COMPUTED_VALUE"""),"")</f>
        <v/>
      </c>
      <c r="G516" s="18"/>
      <c r="H516" s="16" t="s">
        <v>87</v>
      </c>
      <c r="I516" s="16" t="s">
        <v>87</v>
      </c>
      <c r="J516" s="19"/>
      <c r="L516" s="16" t="str">
        <f>IFERROR(__xludf.DUMMYFUNCTION("""COMPUTED_VALUE"""),"")</f>
        <v/>
      </c>
      <c r="M516" s="16" t="str">
        <f>IFERROR(__xludf.DUMMYFUNCTION("""COMPUTED_VALUE"""),"")</f>
        <v/>
      </c>
      <c r="U516" s="16" t="s">
        <v>87</v>
      </c>
      <c r="V516" s="16" t="str">
        <f>IFERROR(__xludf.DUMMYFUNCTION("""COMPUTED_VALUE"""),"")</f>
        <v/>
      </c>
      <c r="W516" s="16" t="str">
        <f>IFERROR(__xludf.DUMMYFUNCTION("""COMPUTED_VALUE"""),"")</f>
        <v/>
      </c>
      <c r="X516" s="16" t="str">
        <f>IFERROR(__xludf.DUMMYFUNCTION("""COMPUTED_VALUE"""),"")</f>
        <v/>
      </c>
      <c r="AC516" s="16" t="str">
        <f>IFERROR(__xludf.DUMMYFUNCTION("""COMPUTED_VALUE"""),"")</f>
        <v/>
      </c>
    </row>
    <row r="517">
      <c r="A517" s="16" t="s">
        <v>87</v>
      </c>
      <c r="E517" s="16" t="str">
        <f>IFERROR(__xludf.DUMMYFUNCTION("""COMPUTED_VALUE"""),"")</f>
        <v/>
      </c>
      <c r="G517" s="18"/>
      <c r="H517" s="16" t="s">
        <v>87</v>
      </c>
      <c r="I517" s="16" t="s">
        <v>87</v>
      </c>
      <c r="J517" s="19"/>
      <c r="L517" s="16" t="str">
        <f>IFERROR(__xludf.DUMMYFUNCTION("""COMPUTED_VALUE"""),"")</f>
        <v/>
      </c>
      <c r="M517" s="16" t="str">
        <f>IFERROR(__xludf.DUMMYFUNCTION("""COMPUTED_VALUE"""),"")</f>
        <v/>
      </c>
      <c r="U517" s="16" t="s">
        <v>87</v>
      </c>
      <c r="V517" s="16" t="str">
        <f>IFERROR(__xludf.DUMMYFUNCTION("""COMPUTED_VALUE"""),"")</f>
        <v/>
      </c>
      <c r="W517" s="16" t="str">
        <f>IFERROR(__xludf.DUMMYFUNCTION("""COMPUTED_VALUE"""),"")</f>
        <v/>
      </c>
      <c r="X517" s="16" t="str">
        <f>IFERROR(__xludf.DUMMYFUNCTION("""COMPUTED_VALUE"""),"")</f>
        <v/>
      </c>
      <c r="AC517" s="16" t="str">
        <f>IFERROR(__xludf.DUMMYFUNCTION("""COMPUTED_VALUE"""),"")</f>
        <v/>
      </c>
    </row>
    <row r="518">
      <c r="A518" s="16" t="s">
        <v>87</v>
      </c>
      <c r="E518" s="16" t="str">
        <f>IFERROR(__xludf.DUMMYFUNCTION("""COMPUTED_VALUE"""),"")</f>
        <v/>
      </c>
      <c r="G518" s="18"/>
      <c r="H518" s="16" t="s">
        <v>87</v>
      </c>
      <c r="I518" s="16" t="s">
        <v>87</v>
      </c>
      <c r="J518" s="19"/>
      <c r="L518" s="16" t="str">
        <f>IFERROR(__xludf.DUMMYFUNCTION("""COMPUTED_VALUE"""),"")</f>
        <v/>
      </c>
      <c r="M518" s="16" t="str">
        <f>IFERROR(__xludf.DUMMYFUNCTION("""COMPUTED_VALUE"""),"")</f>
        <v/>
      </c>
      <c r="U518" s="16" t="s">
        <v>87</v>
      </c>
      <c r="V518" s="16" t="str">
        <f>IFERROR(__xludf.DUMMYFUNCTION("""COMPUTED_VALUE"""),"")</f>
        <v/>
      </c>
      <c r="W518" s="16" t="str">
        <f>IFERROR(__xludf.DUMMYFUNCTION("""COMPUTED_VALUE"""),"")</f>
        <v/>
      </c>
      <c r="X518" s="16" t="str">
        <f>IFERROR(__xludf.DUMMYFUNCTION("""COMPUTED_VALUE"""),"")</f>
        <v/>
      </c>
      <c r="AC518" s="16" t="str">
        <f>IFERROR(__xludf.DUMMYFUNCTION("""COMPUTED_VALUE"""),"")</f>
        <v/>
      </c>
    </row>
    <row r="519">
      <c r="A519" s="16" t="s">
        <v>87</v>
      </c>
      <c r="E519" s="16" t="str">
        <f>IFERROR(__xludf.DUMMYFUNCTION("""COMPUTED_VALUE"""),"")</f>
        <v/>
      </c>
      <c r="G519" s="18"/>
      <c r="H519" s="16" t="s">
        <v>87</v>
      </c>
      <c r="I519" s="16" t="s">
        <v>87</v>
      </c>
      <c r="J519" s="19"/>
      <c r="L519" s="16" t="str">
        <f>IFERROR(__xludf.DUMMYFUNCTION("""COMPUTED_VALUE"""),"")</f>
        <v/>
      </c>
      <c r="M519" s="16" t="str">
        <f>IFERROR(__xludf.DUMMYFUNCTION("""COMPUTED_VALUE"""),"")</f>
        <v/>
      </c>
      <c r="U519" s="16" t="s">
        <v>87</v>
      </c>
      <c r="V519" s="16" t="str">
        <f>IFERROR(__xludf.DUMMYFUNCTION("""COMPUTED_VALUE"""),"")</f>
        <v/>
      </c>
      <c r="W519" s="16" t="str">
        <f>IFERROR(__xludf.DUMMYFUNCTION("""COMPUTED_VALUE"""),"")</f>
        <v/>
      </c>
      <c r="X519" s="16" t="str">
        <f>IFERROR(__xludf.DUMMYFUNCTION("""COMPUTED_VALUE"""),"")</f>
        <v/>
      </c>
      <c r="AC519" s="16" t="str">
        <f>IFERROR(__xludf.DUMMYFUNCTION("""COMPUTED_VALUE"""),"")</f>
        <v/>
      </c>
    </row>
    <row r="520">
      <c r="A520" s="16" t="s">
        <v>87</v>
      </c>
      <c r="E520" s="16" t="str">
        <f>IFERROR(__xludf.DUMMYFUNCTION("""COMPUTED_VALUE"""),"")</f>
        <v/>
      </c>
      <c r="G520" s="18"/>
      <c r="H520" s="16" t="s">
        <v>87</v>
      </c>
      <c r="I520" s="16" t="s">
        <v>87</v>
      </c>
      <c r="J520" s="19"/>
      <c r="L520" s="16" t="str">
        <f>IFERROR(__xludf.DUMMYFUNCTION("""COMPUTED_VALUE"""),"")</f>
        <v/>
      </c>
      <c r="M520" s="16" t="str">
        <f>IFERROR(__xludf.DUMMYFUNCTION("""COMPUTED_VALUE"""),"")</f>
        <v/>
      </c>
      <c r="U520" s="16" t="s">
        <v>87</v>
      </c>
      <c r="V520" s="16" t="str">
        <f>IFERROR(__xludf.DUMMYFUNCTION("""COMPUTED_VALUE"""),"")</f>
        <v/>
      </c>
      <c r="W520" s="16" t="str">
        <f>IFERROR(__xludf.DUMMYFUNCTION("""COMPUTED_VALUE"""),"")</f>
        <v/>
      </c>
      <c r="X520" s="16" t="str">
        <f>IFERROR(__xludf.DUMMYFUNCTION("""COMPUTED_VALUE"""),"")</f>
        <v/>
      </c>
      <c r="AC520" s="16" t="str">
        <f>IFERROR(__xludf.DUMMYFUNCTION("""COMPUTED_VALUE"""),"")</f>
        <v/>
      </c>
    </row>
    <row r="521">
      <c r="A521" s="16" t="s">
        <v>87</v>
      </c>
      <c r="E521" s="16" t="str">
        <f>IFERROR(__xludf.DUMMYFUNCTION("""COMPUTED_VALUE"""),"")</f>
        <v/>
      </c>
      <c r="G521" s="18"/>
      <c r="H521" s="16" t="s">
        <v>87</v>
      </c>
      <c r="I521" s="16" t="s">
        <v>87</v>
      </c>
      <c r="J521" s="19"/>
      <c r="L521" s="16" t="str">
        <f>IFERROR(__xludf.DUMMYFUNCTION("""COMPUTED_VALUE"""),"")</f>
        <v/>
      </c>
      <c r="M521" s="16" t="str">
        <f>IFERROR(__xludf.DUMMYFUNCTION("""COMPUTED_VALUE"""),"")</f>
        <v/>
      </c>
      <c r="U521" s="16" t="s">
        <v>87</v>
      </c>
      <c r="V521" s="16" t="str">
        <f>IFERROR(__xludf.DUMMYFUNCTION("""COMPUTED_VALUE"""),"")</f>
        <v/>
      </c>
      <c r="W521" s="16" t="str">
        <f>IFERROR(__xludf.DUMMYFUNCTION("""COMPUTED_VALUE"""),"")</f>
        <v/>
      </c>
      <c r="X521" s="16" t="str">
        <f>IFERROR(__xludf.DUMMYFUNCTION("""COMPUTED_VALUE"""),"")</f>
        <v/>
      </c>
      <c r="AC521" s="16" t="str">
        <f>IFERROR(__xludf.DUMMYFUNCTION("""COMPUTED_VALUE"""),"")</f>
        <v/>
      </c>
    </row>
    <row r="522">
      <c r="A522" s="16" t="s">
        <v>87</v>
      </c>
      <c r="E522" s="16" t="str">
        <f>IFERROR(__xludf.DUMMYFUNCTION("""COMPUTED_VALUE"""),"")</f>
        <v/>
      </c>
      <c r="G522" s="18"/>
      <c r="H522" s="16" t="s">
        <v>87</v>
      </c>
      <c r="I522" s="16" t="s">
        <v>87</v>
      </c>
      <c r="J522" s="19"/>
      <c r="L522" s="16" t="str">
        <f>IFERROR(__xludf.DUMMYFUNCTION("""COMPUTED_VALUE"""),"")</f>
        <v/>
      </c>
      <c r="M522" s="16" t="str">
        <f>IFERROR(__xludf.DUMMYFUNCTION("""COMPUTED_VALUE"""),"")</f>
        <v/>
      </c>
      <c r="U522" s="16" t="s">
        <v>87</v>
      </c>
      <c r="V522" s="16" t="str">
        <f>IFERROR(__xludf.DUMMYFUNCTION("""COMPUTED_VALUE"""),"")</f>
        <v/>
      </c>
      <c r="W522" s="16" t="str">
        <f>IFERROR(__xludf.DUMMYFUNCTION("""COMPUTED_VALUE"""),"")</f>
        <v/>
      </c>
      <c r="X522" s="16" t="str">
        <f>IFERROR(__xludf.DUMMYFUNCTION("""COMPUTED_VALUE"""),"")</f>
        <v/>
      </c>
      <c r="AC522" s="16" t="str">
        <f>IFERROR(__xludf.DUMMYFUNCTION("""COMPUTED_VALUE"""),"")</f>
        <v/>
      </c>
    </row>
    <row r="523">
      <c r="A523" s="16" t="s">
        <v>87</v>
      </c>
      <c r="E523" s="16" t="str">
        <f>IFERROR(__xludf.DUMMYFUNCTION("""COMPUTED_VALUE"""),"")</f>
        <v/>
      </c>
      <c r="G523" s="18"/>
      <c r="H523" s="16" t="s">
        <v>87</v>
      </c>
      <c r="I523" s="16" t="s">
        <v>87</v>
      </c>
      <c r="J523" s="19"/>
      <c r="L523" s="16" t="str">
        <f>IFERROR(__xludf.DUMMYFUNCTION("""COMPUTED_VALUE"""),"")</f>
        <v/>
      </c>
      <c r="M523" s="16" t="str">
        <f>IFERROR(__xludf.DUMMYFUNCTION("""COMPUTED_VALUE"""),"")</f>
        <v/>
      </c>
      <c r="U523" s="16" t="s">
        <v>87</v>
      </c>
      <c r="V523" s="16" t="str">
        <f>IFERROR(__xludf.DUMMYFUNCTION("""COMPUTED_VALUE"""),"")</f>
        <v/>
      </c>
      <c r="W523" s="16" t="str">
        <f>IFERROR(__xludf.DUMMYFUNCTION("""COMPUTED_VALUE"""),"")</f>
        <v/>
      </c>
      <c r="X523" s="16" t="str">
        <f>IFERROR(__xludf.DUMMYFUNCTION("""COMPUTED_VALUE"""),"")</f>
        <v/>
      </c>
      <c r="AC523" s="16" t="str">
        <f>IFERROR(__xludf.DUMMYFUNCTION("""COMPUTED_VALUE"""),"")</f>
        <v/>
      </c>
    </row>
    <row r="524">
      <c r="A524" s="16" t="s">
        <v>87</v>
      </c>
      <c r="E524" s="16" t="str">
        <f>IFERROR(__xludf.DUMMYFUNCTION("""COMPUTED_VALUE"""),"")</f>
        <v/>
      </c>
      <c r="G524" s="18"/>
      <c r="H524" s="16" t="s">
        <v>87</v>
      </c>
      <c r="I524" s="16" t="s">
        <v>87</v>
      </c>
      <c r="J524" s="19"/>
      <c r="L524" s="16" t="str">
        <f>IFERROR(__xludf.DUMMYFUNCTION("""COMPUTED_VALUE"""),"")</f>
        <v/>
      </c>
      <c r="M524" s="16" t="str">
        <f>IFERROR(__xludf.DUMMYFUNCTION("""COMPUTED_VALUE"""),"")</f>
        <v/>
      </c>
      <c r="U524" s="16" t="s">
        <v>87</v>
      </c>
      <c r="V524" s="16" t="str">
        <f>IFERROR(__xludf.DUMMYFUNCTION("""COMPUTED_VALUE"""),"")</f>
        <v/>
      </c>
      <c r="W524" s="16" t="str">
        <f>IFERROR(__xludf.DUMMYFUNCTION("""COMPUTED_VALUE"""),"")</f>
        <v/>
      </c>
      <c r="X524" s="16" t="str">
        <f>IFERROR(__xludf.DUMMYFUNCTION("""COMPUTED_VALUE"""),"")</f>
        <v/>
      </c>
      <c r="AC524" s="16" t="str">
        <f>IFERROR(__xludf.DUMMYFUNCTION("""COMPUTED_VALUE"""),"")</f>
        <v/>
      </c>
    </row>
    <row r="525">
      <c r="A525" s="16" t="s">
        <v>87</v>
      </c>
      <c r="E525" s="16" t="str">
        <f>IFERROR(__xludf.DUMMYFUNCTION("""COMPUTED_VALUE"""),"")</f>
        <v/>
      </c>
      <c r="G525" s="18"/>
      <c r="H525" s="16" t="s">
        <v>87</v>
      </c>
      <c r="I525" s="16" t="s">
        <v>87</v>
      </c>
      <c r="J525" s="19"/>
      <c r="L525" s="16" t="str">
        <f>IFERROR(__xludf.DUMMYFUNCTION("""COMPUTED_VALUE"""),"")</f>
        <v/>
      </c>
      <c r="M525" s="16" t="str">
        <f>IFERROR(__xludf.DUMMYFUNCTION("""COMPUTED_VALUE"""),"")</f>
        <v/>
      </c>
      <c r="U525" s="16" t="s">
        <v>87</v>
      </c>
      <c r="V525" s="16" t="str">
        <f>IFERROR(__xludf.DUMMYFUNCTION("""COMPUTED_VALUE"""),"")</f>
        <v/>
      </c>
      <c r="W525" s="16" t="str">
        <f>IFERROR(__xludf.DUMMYFUNCTION("""COMPUTED_VALUE"""),"")</f>
        <v/>
      </c>
      <c r="X525" s="16" t="str">
        <f>IFERROR(__xludf.DUMMYFUNCTION("""COMPUTED_VALUE"""),"")</f>
        <v/>
      </c>
      <c r="AC525" s="16" t="str">
        <f>IFERROR(__xludf.DUMMYFUNCTION("""COMPUTED_VALUE"""),"")</f>
        <v/>
      </c>
    </row>
    <row r="526">
      <c r="A526" s="16" t="s">
        <v>87</v>
      </c>
      <c r="E526" s="16" t="str">
        <f>IFERROR(__xludf.DUMMYFUNCTION("""COMPUTED_VALUE"""),"")</f>
        <v/>
      </c>
      <c r="G526" s="18"/>
      <c r="H526" s="16" t="s">
        <v>87</v>
      </c>
      <c r="I526" s="16" t="s">
        <v>87</v>
      </c>
      <c r="J526" s="19"/>
      <c r="L526" s="16" t="str">
        <f>IFERROR(__xludf.DUMMYFUNCTION("""COMPUTED_VALUE"""),"")</f>
        <v/>
      </c>
      <c r="M526" s="16" t="str">
        <f>IFERROR(__xludf.DUMMYFUNCTION("""COMPUTED_VALUE"""),"")</f>
        <v/>
      </c>
      <c r="U526" s="16" t="s">
        <v>87</v>
      </c>
      <c r="V526" s="16" t="str">
        <f>IFERROR(__xludf.DUMMYFUNCTION("""COMPUTED_VALUE"""),"")</f>
        <v/>
      </c>
      <c r="W526" s="16" t="str">
        <f>IFERROR(__xludf.DUMMYFUNCTION("""COMPUTED_VALUE"""),"")</f>
        <v/>
      </c>
      <c r="X526" s="16" t="str">
        <f>IFERROR(__xludf.DUMMYFUNCTION("""COMPUTED_VALUE"""),"")</f>
        <v/>
      </c>
      <c r="AC526" s="16" t="str">
        <f>IFERROR(__xludf.DUMMYFUNCTION("""COMPUTED_VALUE"""),"")</f>
        <v/>
      </c>
    </row>
    <row r="527">
      <c r="A527" s="16" t="s">
        <v>87</v>
      </c>
      <c r="E527" s="16" t="str">
        <f>IFERROR(__xludf.DUMMYFUNCTION("""COMPUTED_VALUE"""),"")</f>
        <v/>
      </c>
      <c r="G527" s="18"/>
      <c r="H527" s="16" t="s">
        <v>87</v>
      </c>
      <c r="I527" s="16" t="s">
        <v>87</v>
      </c>
      <c r="J527" s="19"/>
      <c r="L527" s="16" t="str">
        <f>IFERROR(__xludf.DUMMYFUNCTION("""COMPUTED_VALUE"""),"")</f>
        <v/>
      </c>
      <c r="M527" s="16" t="str">
        <f>IFERROR(__xludf.DUMMYFUNCTION("""COMPUTED_VALUE"""),"")</f>
        <v/>
      </c>
      <c r="U527" s="16" t="s">
        <v>87</v>
      </c>
      <c r="V527" s="16" t="str">
        <f>IFERROR(__xludf.DUMMYFUNCTION("""COMPUTED_VALUE"""),"")</f>
        <v/>
      </c>
      <c r="W527" s="16" t="str">
        <f>IFERROR(__xludf.DUMMYFUNCTION("""COMPUTED_VALUE"""),"")</f>
        <v/>
      </c>
      <c r="X527" s="16" t="str">
        <f>IFERROR(__xludf.DUMMYFUNCTION("""COMPUTED_VALUE"""),"")</f>
        <v/>
      </c>
      <c r="AC527" s="16" t="str">
        <f>IFERROR(__xludf.DUMMYFUNCTION("""COMPUTED_VALUE"""),"")</f>
        <v/>
      </c>
    </row>
    <row r="528">
      <c r="A528" s="16" t="s">
        <v>87</v>
      </c>
      <c r="E528" s="16" t="str">
        <f>IFERROR(__xludf.DUMMYFUNCTION("""COMPUTED_VALUE"""),"")</f>
        <v/>
      </c>
      <c r="G528" s="18"/>
      <c r="H528" s="16" t="s">
        <v>87</v>
      </c>
      <c r="I528" s="16" t="s">
        <v>87</v>
      </c>
      <c r="J528" s="19"/>
      <c r="L528" s="16" t="str">
        <f>IFERROR(__xludf.DUMMYFUNCTION("""COMPUTED_VALUE"""),"")</f>
        <v/>
      </c>
      <c r="M528" s="16" t="str">
        <f>IFERROR(__xludf.DUMMYFUNCTION("""COMPUTED_VALUE"""),"")</f>
        <v/>
      </c>
      <c r="U528" s="16" t="s">
        <v>87</v>
      </c>
      <c r="V528" s="16" t="str">
        <f>IFERROR(__xludf.DUMMYFUNCTION("""COMPUTED_VALUE"""),"")</f>
        <v/>
      </c>
      <c r="W528" s="16" t="str">
        <f>IFERROR(__xludf.DUMMYFUNCTION("""COMPUTED_VALUE"""),"")</f>
        <v/>
      </c>
      <c r="X528" s="16" t="str">
        <f>IFERROR(__xludf.DUMMYFUNCTION("""COMPUTED_VALUE"""),"")</f>
        <v/>
      </c>
      <c r="AC528" s="16" t="str">
        <f>IFERROR(__xludf.DUMMYFUNCTION("""COMPUTED_VALUE"""),"")</f>
        <v/>
      </c>
    </row>
    <row r="529">
      <c r="A529" s="16" t="s">
        <v>87</v>
      </c>
      <c r="E529" s="16" t="str">
        <f>IFERROR(__xludf.DUMMYFUNCTION("""COMPUTED_VALUE"""),"")</f>
        <v/>
      </c>
      <c r="G529" s="18"/>
      <c r="H529" s="16" t="s">
        <v>87</v>
      </c>
      <c r="I529" s="16" t="s">
        <v>87</v>
      </c>
      <c r="J529" s="19"/>
      <c r="L529" s="16" t="str">
        <f>IFERROR(__xludf.DUMMYFUNCTION("""COMPUTED_VALUE"""),"")</f>
        <v/>
      </c>
      <c r="M529" s="16" t="str">
        <f>IFERROR(__xludf.DUMMYFUNCTION("""COMPUTED_VALUE"""),"")</f>
        <v/>
      </c>
      <c r="U529" s="16" t="s">
        <v>87</v>
      </c>
      <c r="V529" s="16" t="str">
        <f>IFERROR(__xludf.DUMMYFUNCTION("""COMPUTED_VALUE"""),"")</f>
        <v/>
      </c>
      <c r="W529" s="16" t="str">
        <f>IFERROR(__xludf.DUMMYFUNCTION("""COMPUTED_VALUE"""),"")</f>
        <v/>
      </c>
      <c r="X529" s="16" t="str">
        <f>IFERROR(__xludf.DUMMYFUNCTION("""COMPUTED_VALUE"""),"")</f>
        <v/>
      </c>
      <c r="AC529" s="16" t="str">
        <f>IFERROR(__xludf.DUMMYFUNCTION("""COMPUTED_VALUE"""),"")</f>
        <v/>
      </c>
    </row>
    <row r="530">
      <c r="A530" s="16" t="s">
        <v>87</v>
      </c>
      <c r="E530" s="16" t="str">
        <f>IFERROR(__xludf.DUMMYFUNCTION("""COMPUTED_VALUE"""),"")</f>
        <v/>
      </c>
      <c r="G530" s="18"/>
      <c r="H530" s="16" t="s">
        <v>87</v>
      </c>
      <c r="I530" s="16" t="s">
        <v>87</v>
      </c>
      <c r="J530" s="19"/>
      <c r="L530" s="16" t="str">
        <f>IFERROR(__xludf.DUMMYFUNCTION("""COMPUTED_VALUE"""),"")</f>
        <v/>
      </c>
      <c r="M530" s="16" t="str">
        <f>IFERROR(__xludf.DUMMYFUNCTION("""COMPUTED_VALUE"""),"")</f>
        <v/>
      </c>
      <c r="U530" s="16" t="s">
        <v>87</v>
      </c>
      <c r="V530" s="16" t="str">
        <f>IFERROR(__xludf.DUMMYFUNCTION("""COMPUTED_VALUE"""),"")</f>
        <v/>
      </c>
      <c r="W530" s="16" t="str">
        <f>IFERROR(__xludf.DUMMYFUNCTION("""COMPUTED_VALUE"""),"")</f>
        <v/>
      </c>
      <c r="X530" s="16" t="str">
        <f>IFERROR(__xludf.DUMMYFUNCTION("""COMPUTED_VALUE"""),"")</f>
        <v/>
      </c>
      <c r="AC530" s="16" t="str">
        <f>IFERROR(__xludf.DUMMYFUNCTION("""COMPUTED_VALUE"""),"")</f>
        <v/>
      </c>
    </row>
    <row r="531">
      <c r="A531" s="16" t="s">
        <v>87</v>
      </c>
      <c r="E531" s="16" t="str">
        <f>IFERROR(__xludf.DUMMYFUNCTION("""COMPUTED_VALUE"""),"")</f>
        <v/>
      </c>
      <c r="G531" s="18"/>
      <c r="H531" s="16" t="s">
        <v>87</v>
      </c>
      <c r="I531" s="16" t="s">
        <v>87</v>
      </c>
      <c r="J531" s="19"/>
      <c r="L531" s="16" t="str">
        <f>IFERROR(__xludf.DUMMYFUNCTION("""COMPUTED_VALUE"""),"")</f>
        <v/>
      </c>
      <c r="M531" s="16" t="str">
        <f>IFERROR(__xludf.DUMMYFUNCTION("""COMPUTED_VALUE"""),"")</f>
        <v/>
      </c>
      <c r="U531" s="16" t="s">
        <v>87</v>
      </c>
      <c r="V531" s="16" t="str">
        <f>IFERROR(__xludf.DUMMYFUNCTION("""COMPUTED_VALUE"""),"")</f>
        <v/>
      </c>
      <c r="W531" s="16" t="str">
        <f>IFERROR(__xludf.DUMMYFUNCTION("""COMPUTED_VALUE"""),"")</f>
        <v/>
      </c>
      <c r="X531" s="16" t="str">
        <f>IFERROR(__xludf.DUMMYFUNCTION("""COMPUTED_VALUE"""),"")</f>
        <v/>
      </c>
      <c r="AC531" s="16" t="str">
        <f>IFERROR(__xludf.DUMMYFUNCTION("""COMPUTED_VALUE"""),"")</f>
        <v/>
      </c>
    </row>
    <row r="532">
      <c r="A532" s="16" t="s">
        <v>87</v>
      </c>
      <c r="E532" s="16" t="str">
        <f>IFERROR(__xludf.DUMMYFUNCTION("""COMPUTED_VALUE"""),"")</f>
        <v/>
      </c>
      <c r="G532" s="18"/>
      <c r="H532" s="16" t="s">
        <v>87</v>
      </c>
      <c r="I532" s="16" t="s">
        <v>87</v>
      </c>
      <c r="J532" s="19"/>
      <c r="L532" s="16" t="str">
        <f>IFERROR(__xludf.DUMMYFUNCTION("""COMPUTED_VALUE"""),"")</f>
        <v/>
      </c>
      <c r="M532" s="16" t="str">
        <f>IFERROR(__xludf.DUMMYFUNCTION("""COMPUTED_VALUE"""),"")</f>
        <v/>
      </c>
      <c r="U532" s="16" t="s">
        <v>87</v>
      </c>
      <c r="V532" s="16" t="str">
        <f>IFERROR(__xludf.DUMMYFUNCTION("""COMPUTED_VALUE"""),"")</f>
        <v/>
      </c>
      <c r="W532" s="16" t="str">
        <f>IFERROR(__xludf.DUMMYFUNCTION("""COMPUTED_VALUE"""),"")</f>
        <v/>
      </c>
      <c r="X532" s="16" t="str">
        <f>IFERROR(__xludf.DUMMYFUNCTION("""COMPUTED_VALUE"""),"")</f>
        <v/>
      </c>
      <c r="AC532" s="16" t="str">
        <f>IFERROR(__xludf.DUMMYFUNCTION("""COMPUTED_VALUE"""),"")</f>
        <v/>
      </c>
    </row>
    <row r="533">
      <c r="A533" s="16" t="s">
        <v>87</v>
      </c>
      <c r="E533" s="16" t="str">
        <f>IFERROR(__xludf.DUMMYFUNCTION("""COMPUTED_VALUE"""),"")</f>
        <v/>
      </c>
      <c r="G533" s="18"/>
      <c r="H533" s="16" t="s">
        <v>87</v>
      </c>
      <c r="I533" s="16" t="s">
        <v>87</v>
      </c>
      <c r="J533" s="19"/>
      <c r="L533" s="16" t="str">
        <f>IFERROR(__xludf.DUMMYFUNCTION("""COMPUTED_VALUE"""),"")</f>
        <v/>
      </c>
      <c r="M533" s="16" t="str">
        <f>IFERROR(__xludf.DUMMYFUNCTION("""COMPUTED_VALUE"""),"")</f>
        <v/>
      </c>
      <c r="U533" s="16" t="s">
        <v>87</v>
      </c>
      <c r="V533" s="16" t="str">
        <f>IFERROR(__xludf.DUMMYFUNCTION("""COMPUTED_VALUE"""),"")</f>
        <v/>
      </c>
      <c r="W533" s="16" t="str">
        <f>IFERROR(__xludf.DUMMYFUNCTION("""COMPUTED_VALUE"""),"")</f>
        <v/>
      </c>
      <c r="X533" s="16" t="str">
        <f>IFERROR(__xludf.DUMMYFUNCTION("""COMPUTED_VALUE"""),"")</f>
        <v/>
      </c>
      <c r="AC533" s="16" t="str">
        <f>IFERROR(__xludf.DUMMYFUNCTION("""COMPUTED_VALUE"""),"")</f>
        <v/>
      </c>
    </row>
    <row r="534">
      <c r="A534" s="16" t="s">
        <v>87</v>
      </c>
      <c r="E534" s="16" t="str">
        <f>IFERROR(__xludf.DUMMYFUNCTION("""COMPUTED_VALUE"""),"")</f>
        <v/>
      </c>
      <c r="G534" s="18"/>
      <c r="H534" s="16" t="s">
        <v>87</v>
      </c>
      <c r="I534" s="16" t="s">
        <v>87</v>
      </c>
      <c r="J534" s="19"/>
      <c r="L534" s="16" t="str">
        <f>IFERROR(__xludf.DUMMYFUNCTION("""COMPUTED_VALUE"""),"")</f>
        <v/>
      </c>
      <c r="M534" s="16" t="str">
        <f>IFERROR(__xludf.DUMMYFUNCTION("""COMPUTED_VALUE"""),"")</f>
        <v/>
      </c>
      <c r="U534" s="16" t="s">
        <v>87</v>
      </c>
      <c r="V534" s="16" t="str">
        <f>IFERROR(__xludf.DUMMYFUNCTION("""COMPUTED_VALUE"""),"")</f>
        <v/>
      </c>
      <c r="W534" s="16" t="str">
        <f>IFERROR(__xludf.DUMMYFUNCTION("""COMPUTED_VALUE"""),"")</f>
        <v/>
      </c>
      <c r="X534" s="16" t="str">
        <f>IFERROR(__xludf.DUMMYFUNCTION("""COMPUTED_VALUE"""),"")</f>
        <v/>
      </c>
      <c r="AC534" s="16" t="str">
        <f>IFERROR(__xludf.DUMMYFUNCTION("""COMPUTED_VALUE"""),"")</f>
        <v/>
      </c>
    </row>
    <row r="535">
      <c r="A535" s="16" t="s">
        <v>87</v>
      </c>
      <c r="E535" s="16" t="str">
        <f>IFERROR(__xludf.DUMMYFUNCTION("""COMPUTED_VALUE"""),"")</f>
        <v/>
      </c>
      <c r="G535" s="18"/>
      <c r="H535" s="16" t="s">
        <v>87</v>
      </c>
      <c r="I535" s="16" t="s">
        <v>87</v>
      </c>
      <c r="J535" s="19"/>
      <c r="L535" s="16" t="str">
        <f>IFERROR(__xludf.DUMMYFUNCTION("""COMPUTED_VALUE"""),"")</f>
        <v/>
      </c>
      <c r="M535" s="16" t="str">
        <f>IFERROR(__xludf.DUMMYFUNCTION("""COMPUTED_VALUE"""),"")</f>
        <v/>
      </c>
      <c r="U535" s="16" t="s">
        <v>87</v>
      </c>
      <c r="V535" s="16" t="str">
        <f>IFERROR(__xludf.DUMMYFUNCTION("""COMPUTED_VALUE"""),"")</f>
        <v/>
      </c>
      <c r="W535" s="16" t="str">
        <f>IFERROR(__xludf.DUMMYFUNCTION("""COMPUTED_VALUE"""),"")</f>
        <v/>
      </c>
      <c r="X535" s="16" t="str">
        <f>IFERROR(__xludf.DUMMYFUNCTION("""COMPUTED_VALUE"""),"")</f>
        <v/>
      </c>
      <c r="AC535" s="16" t="str">
        <f>IFERROR(__xludf.DUMMYFUNCTION("""COMPUTED_VALUE"""),"")</f>
        <v/>
      </c>
    </row>
    <row r="536">
      <c r="A536" s="16" t="s">
        <v>87</v>
      </c>
      <c r="E536" s="16" t="str">
        <f>IFERROR(__xludf.DUMMYFUNCTION("""COMPUTED_VALUE"""),"")</f>
        <v/>
      </c>
      <c r="G536" s="18"/>
      <c r="H536" s="16" t="s">
        <v>87</v>
      </c>
      <c r="I536" s="16" t="s">
        <v>87</v>
      </c>
      <c r="J536" s="19"/>
      <c r="L536" s="16" t="str">
        <f>IFERROR(__xludf.DUMMYFUNCTION("""COMPUTED_VALUE"""),"")</f>
        <v/>
      </c>
      <c r="M536" s="16" t="str">
        <f>IFERROR(__xludf.DUMMYFUNCTION("""COMPUTED_VALUE"""),"")</f>
        <v/>
      </c>
      <c r="U536" s="16" t="s">
        <v>87</v>
      </c>
      <c r="V536" s="16" t="str">
        <f>IFERROR(__xludf.DUMMYFUNCTION("""COMPUTED_VALUE"""),"")</f>
        <v/>
      </c>
      <c r="W536" s="16" t="str">
        <f>IFERROR(__xludf.DUMMYFUNCTION("""COMPUTED_VALUE"""),"")</f>
        <v/>
      </c>
      <c r="X536" s="16" t="str">
        <f>IFERROR(__xludf.DUMMYFUNCTION("""COMPUTED_VALUE"""),"")</f>
        <v/>
      </c>
      <c r="AC536" s="16" t="str">
        <f>IFERROR(__xludf.DUMMYFUNCTION("""COMPUTED_VALUE"""),"")</f>
        <v/>
      </c>
    </row>
    <row r="537">
      <c r="A537" s="16" t="s">
        <v>87</v>
      </c>
      <c r="E537" s="16" t="str">
        <f>IFERROR(__xludf.DUMMYFUNCTION("""COMPUTED_VALUE"""),"")</f>
        <v/>
      </c>
      <c r="G537" s="18"/>
      <c r="H537" s="16" t="s">
        <v>87</v>
      </c>
      <c r="I537" s="16" t="s">
        <v>87</v>
      </c>
      <c r="J537" s="19"/>
      <c r="L537" s="16" t="str">
        <f>IFERROR(__xludf.DUMMYFUNCTION("""COMPUTED_VALUE"""),"")</f>
        <v/>
      </c>
      <c r="M537" s="16" t="str">
        <f>IFERROR(__xludf.DUMMYFUNCTION("""COMPUTED_VALUE"""),"")</f>
        <v/>
      </c>
      <c r="U537" s="16" t="s">
        <v>87</v>
      </c>
      <c r="V537" s="16" t="str">
        <f>IFERROR(__xludf.DUMMYFUNCTION("""COMPUTED_VALUE"""),"")</f>
        <v/>
      </c>
      <c r="W537" s="16" t="str">
        <f>IFERROR(__xludf.DUMMYFUNCTION("""COMPUTED_VALUE"""),"")</f>
        <v/>
      </c>
      <c r="X537" s="16" t="str">
        <f>IFERROR(__xludf.DUMMYFUNCTION("""COMPUTED_VALUE"""),"")</f>
        <v/>
      </c>
      <c r="AC537" s="16" t="str">
        <f>IFERROR(__xludf.DUMMYFUNCTION("""COMPUTED_VALUE"""),"")</f>
        <v/>
      </c>
    </row>
    <row r="538">
      <c r="A538" s="16" t="s">
        <v>87</v>
      </c>
      <c r="E538" s="16" t="str">
        <f>IFERROR(__xludf.DUMMYFUNCTION("""COMPUTED_VALUE"""),"")</f>
        <v/>
      </c>
      <c r="G538" s="18"/>
      <c r="H538" s="16" t="s">
        <v>87</v>
      </c>
      <c r="I538" s="16" t="s">
        <v>87</v>
      </c>
      <c r="J538" s="19"/>
      <c r="L538" s="16" t="str">
        <f>IFERROR(__xludf.DUMMYFUNCTION("""COMPUTED_VALUE"""),"")</f>
        <v/>
      </c>
      <c r="M538" s="16" t="str">
        <f>IFERROR(__xludf.DUMMYFUNCTION("""COMPUTED_VALUE"""),"")</f>
        <v/>
      </c>
      <c r="U538" s="16" t="s">
        <v>87</v>
      </c>
      <c r="V538" s="16" t="str">
        <f>IFERROR(__xludf.DUMMYFUNCTION("""COMPUTED_VALUE"""),"")</f>
        <v/>
      </c>
      <c r="W538" s="16" t="str">
        <f>IFERROR(__xludf.DUMMYFUNCTION("""COMPUTED_VALUE"""),"")</f>
        <v/>
      </c>
      <c r="X538" s="16" t="str">
        <f>IFERROR(__xludf.DUMMYFUNCTION("""COMPUTED_VALUE"""),"")</f>
        <v/>
      </c>
      <c r="AC538" s="16" t="str">
        <f>IFERROR(__xludf.DUMMYFUNCTION("""COMPUTED_VALUE"""),"")</f>
        <v/>
      </c>
    </row>
    <row r="539">
      <c r="A539" s="16" t="s">
        <v>87</v>
      </c>
      <c r="E539" s="16" t="str">
        <f>IFERROR(__xludf.DUMMYFUNCTION("""COMPUTED_VALUE"""),"")</f>
        <v/>
      </c>
      <c r="G539" s="18"/>
      <c r="H539" s="16" t="s">
        <v>87</v>
      </c>
      <c r="I539" s="16" t="s">
        <v>87</v>
      </c>
      <c r="J539" s="19"/>
      <c r="L539" s="16" t="str">
        <f>IFERROR(__xludf.DUMMYFUNCTION("""COMPUTED_VALUE"""),"")</f>
        <v/>
      </c>
      <c r="M539" s="16" t="str">
        <f>IFERROR(__xludf.DUMMYFUNCTION("""COMPUTED_VALUE"""),"")</f>
        <v/>
      </c>
      <c r="U539" s="16" t="s">
        <v>87</v>
      </c>
      <c r="V539" s="16" t="str">
        <f>IFERROR(__xludf.DUMMYFUNCTION("""COMPUTED_VALUE"""),"")</f>
        <v/>
      </c>
      <c r="W539" s="16" t="str">
        <f>IFERROR(__xludf.DUMMYFUNCTION("""COMPUTED_VALUE"""),"")</f>
        <v/>
      </c>
      <c r="X539" s="16" t="str">
        <f>IFERROR(__xludf.DUMMYFUNCTION("""COMPUTED_VALUE"""),"")</f>
        <v/>
      </c>
      <c r="AC539" s="16" t="str">
        <f>IFERROR(__xludf.DUMMYFUNCTION("""COMPUTED_VALUE"""),"")</f>
        <v/>
      </c>
    </row>
    <row r="540">
      <c r="A540" s="16" t="s">
        <v>87</v>
      </c>
      <c r="E540" s="16" t="str">
        <f>IFERROR(__xludf.DUMMYFUNCTION("""COMPUTED_VALUE"""),"")</f>
        <v/>
      </c>
      <c r="G540" s="18"/>
      <c r="H540" s="16" t="s">
        <v>87</v>
      </c>
      <c r="I540" s="16" t="s">
        <v>87</v>
      </c>
      <c r="J540" s="19"/>
      <c r="L540" s="16" t="str">
        <f>IFERROR(__xludf.DUMMYFUNCTION("""COMPUTED_VALUE"""),"")</f>
        <v/>
      </c>
      <c r="M540" s="16" t="str">
        <f>IFERROR(__xludf.DUMMYFUNCTION("""COMPUTED_VALUE"""),"")</f>
        <v/>
      </c>
      <c r="U540" s="16" t="s">
        <v>87</v>
      </c>
      <c r="V540" s="16" t="str">
        <f>IFERROR(__xludf.DUMMYFUNCTION("""COMPUTED_VALUE"""),"")</f>
        <v/>
      </c>
      <c r="W540" s="16" t="str">
        <f>IFERROR(__xludf.DUMMYFUNCTION("""COMPUTED_VALUE"""),"")</f>
        <v/>
      </c>
      <c r="X540" s="16" t="str">
        <f>IFERROR(__xludf.DUMMYFUNCTION("""COMPUTED_VALUE"""),"")</f>
        <v/>
      </c>
      <c r="AC540" s="16" t="str">
        <f>IFERROR(__xludf.DUMMYFUNCTION("""COMPUTED_VALUE"""),"")</f>
        <v/>
      </c>
    </row>
    <row r="541">
      <c r="A541" s="16" t="s">
        <v>87</v>
      </c>
      <c r="E541" s="16" t="str">
        <f>IFERROR(__xludf.DUMMYFUNCTION("""COMPUTED_VALUE"""),"")</f>
        <v/>
      </c>
      <c r="G541" s="18"/>
      <c r="H541" s="16" t="s">
        <v>87</v>
      </c>
      <c r="I541" s="16" t="s">
        <v>87</v>
      </c>
      <c r="J541" s="19"/>
      <c r="L541" s="16" t="str">
        <f>IFERROR(__xludf.DUMMYFUNCTION("""COMPUTED_VALUE"""),"")</f>
        <v/>
      </c>
      <c r="M541" s="16" t="str">
        <f>IFERROR(__xludf.DUMMYFUNCTION("""COMPUTED_VALUE"""),"")</f>
        <v/>
      </c>
      <c r="U541" s="16" t="s">
        <v>87</v>
      </c>
      <c r="V541" s="16" t="str">
        <f>IFERROR(__xludf.DUMMYFUNCTION("""COMPUTED_VALUE"""),"")</f>
        <v/>
      </c>
      <c r="W541" s="16" t="str">
        <f>IFERROR(__xludf.DUMMYFUNCTION("""COMPUTED_VALUE"""),"")</f>
        <v/>
      </c>
      <c r="X541" s="16" t="str">
        <f>IFERROR(__xludf.DUMMYFUNCTION("""COMPUTED_VALUE"""),"")</f>
        <v/>
      </c>
      <c r="AC541" s="16" t="str">
        <f>IFERROR(__xludf.DUMMYFUNCTION("""COMPUTED_VALUE"""),"")</f>
        <v/>
      </c>
    </row>
    <row r="542">
      <c r="A542" s="16" t="s">
        <v>87</v>
      </c>
      <c r="E542" s="16" t="str">
        <f>IFERROR(__xludf.DUMMYFUNCTION("""COMPUTED_VALUE"""),"")</f>
        <v/>
      </c>
      <c r="G542" s="18"/>
      <c r="H542" s="16" t="s">
        <v>87</v>
      </c>
      <c r="I542" s="16" t="s">
        <v>87</v>
      </c>
      <c r="J542" s="19"/>
      <c r="L542" s="16" t="str">
        <f>IFERROR(__xludf.DUMMYFUNCTION("""COMPUTED_VALUE"""),"")</f>
        <v/>
      </c>
      <c r="M542" s="16" t="str">
        <f>IFERROR(__xludf.DUMMYFUNCTION("""COMPUTED_VALUE"""),"")</f>
        <v/>
      </c>
      <c r="U542" s="16" t="s">
        <v>87</v>
      </c>
      <c r="V542" s="16" t="str">
        <f>IFERROR(__xludf.DUMMYFUNCTION("""COMPUTED_VALUE"""),"")</f>
        <v/>
      </c>
      <c r="W542" s="16" t="str">
        <f>IFERROR(__xludf.DUMMYFUNCTION("""COMPUTED_VALUE"""),"")</f>
        <v/>
      </c>
      <c r="X542" s="16" t="str">
        <f>IFERROR(__xludf.DUMMYFUNCTION("""COMPUTED_VALUE"""),"")</f>
        <v/>
      </c>
      <c r="AC542" s="16" t="str">
        <f>IFERROR(__xludf.DUMMYFUNCTION("""COMPUTED_VALUE"""),"")</f>
        <v/>
      </c>
    </row>
    <row r="543">
      <c r="A543" s="16" t="s">
        <v>87</v>
      </c>
      <c r="E543" s="16" t="str">
        <f>IFERROR(__xludf.DUMMYFUNCTION("""COMPUTED_VALUE"""),"")</f>
        <v/>
      </c>
      <c r="G543" s="18"/>
      <c r="H543" s="16" t="s">
        <v>87</v>
      </c>
      <c r="I543" s="16" t="s">
        <v>87</v>
      </c>
      <c r="J543" s="19"/>
      <c r="L543" s="16" t="str">
        <f>IFERROR(__xludf.DUMMYFUNCTION("""COMPUTED_VALUE"""),"")</f>
        <v/>
      </c>
      <c r="M543" s="16" t="str">
        <f>IFERROR(__xludf.DUMMYFUNCTION("""COMPUTED_VALUE"""),"")</f>
        <v/>
      </c>
      <c r="U543" s="16" t="s">
        <v>87</v>
      </c>
      <c r="V543" s="16" t="str">
        <f>IFERROR(__xludf.DUMMYFUNCTION("""COMPUTED_VALUE"""),"")</f>
        <v/>
      </c>
      <c r="W543" s="16" t="str">
        <f>IFERROR(__xludf.DUMMYFUNCTION("""COMPUTED_VALUE"""),"")</f>
        <v/>
      </c>
      <c r="X543" s="16" t="str">
        <f>IFERROR(__xludf.DUMMYFUNCTION("""COMPUTED_VALUE"""),"")</f>
        <v/>
      </c>
      <c r="AC543" s="16" t="str">
        <f>IFERROR(__xludf.DUMMYFUNCTION("""COMPUTED_VALUE"""),"")</f>
        <v/>
      </c>
    </row>
    <row r="544">
      <c r="A544" s="16" t="s">
        <v>87</v>
      </c>
      <c r="E544" s="16" t="str">
        <f>IFERROR(__xludf.DUMMYFUNCTION("""COMPUTED_VALUE"""),"")</f>
        <v/>
      </c>
      <c r="G544" s="18"/>
      <c r="H544" s="16" t="s">
        <v>87</v>
      </c>
      <c r="I544" s="16" t="s">
        <v>87</v>
      </c>
      <c r="J544" s="19"/>
      <c r="L544" s="16" t="str">
        <f>IFERROR(__xludf.DUMMYFUNCTION("""COMPUTED_VALUE"""),"")</f>
        <v/>
      </c>
      <c r="M544" s="16" t="str">
        <f>IFERROR(__xludf.DUMMYFUNCTION("""COMPUTED_VALUE"""),"")</f>
        <v/>
      </c>
      <c r="U544" s="16" t="s">
        <v>87</v>
      </c>
      <c r="V544" s="16" t="str">
        <f>IFERROR(__xludf.DUMMYFUNCTION("""COMPUTED_VALUE"""),"")</f>
        <v/>
      </c>
      <c r="W544" s="16" t="str">
        <f>IFERROR(__xludf.DUMMYFUNCTION("""COMPUTED_VALUE"""),"")</f>
        <v/>
      </c>
      <c r="X544" s="16" t="str">
        <f>IFERROR(__xludf.DUMMYFUNCTION("""COMPUTED_VALUE"""),"")</f>
        <v/>
      </c>
      <c r="AC544" s="16" t="str">
        <f>IFERROR(__xludf.DUMMYFUNCTION("""COMPUTED_VALUE"""),"")</f>
        <v/>
      </c>
    </row>
    <row r="545">
      <c r="A545" s="16" t="s">
        <v>87</v>
      </c>
      <c r="E545" s="16" t="str">
        <f>IFERROR(__xludf.DUMMYFUNCTION("""COMPUTED_VALUE"""),"")</f>
        <v/>
      </c>
      <c r="G545" s="18"/>
      <c r="H545" s="16" t="s">
        <v>87</v>
      </c>
      <c r="I545" s="16" t="s">
        <v>87</v>
      </c>
      <c r="J545" s="19"/>
      <c r="L545" s="16" t="str">
        <f>IFERROR(__xludf.DUMMYFUNCTION("""COMPUTED_VALUE"""),"")</f>
        <v/>
      </c>
      <c r="M545" s="16" t="str">
        <f>IFERROR(__xludf.DUMMYFUNCTION("""COMPUTED_VALUE"""),"")</f>
        <v/>
      </c>
      <c r="U545" s="16" t="s">
        <v>87</v>
      </c>
      <c r="V545" s="16" t="str">
        <f>IFERROR(__xludf.DUMMYFUNCTION("""COMPUTED_VALUE"""),"")</f>
        <v/>
      </c>
      <c r="W545" s="16" t="str">
        <f>IFERROR(__xludf.DUMMYFUNCTION("""COMPUTED_VALUE"""),"")</f>
        <v/>
      </c>
      <c r="X545" s="16" t="str">
        <f>IFERROR(__xludf.DUMMYFUNCTION("""COMPUTED_VALUE"""),"")</f>
        <v/>
      </c>
      <c r="AC545" s="16" t="str">
        <f>IFERROR(__xludf.DUMMYFUNCTION("""COMPUTED_VALUE"""),"")</f>
        <v/>
      </c>
    </row>
    <row r="546">
      <c r="A546" s="16" t="s">
        <v>87</v>
      </c>
      <c r="E546" s="16" t="str">
        <f>IFERROR(__xludf.DUMMYFUNCTION("""COMPUTED_VALUE"""),"")</f>
        <v/>
      </c>
      <c r="G546" s="18"/>
      <c r="H546" s="16" t="s">
        <v>87</v>
      </c>
      <c r="I546" s="16" t="s">
        <v>87</v>
      </c>
      <c r="J546" s="19"/>
      <c r="L546" s="16" t="str">
        <f>IFERROR(__xludf.DUMMYFUNCTION("""COMPUTED_VALUE"""),"")</f>
        <v/>
      </c>
      <c r="M546" s="16" t="str">
        <f>IFERROR(__xludf.DUMMYFUNCTION("""COMPUTED_VALUE"""),"")</f>
        <v/>
      </c>
      <c r="U546" s="16" t="s">
        <v>87</v>
      </c>
      <c r="V546" s="16" t="str">
        <f>IFERROR(__xludf.DUMMYFUNCTION("""COMPUTED_VALUE"""),"")</f>
        <v/>
      </c>
      <c r="W546" s="16" t="str">
        <f>IFERROR(__xludf.DUMMYFUNCTION("""COMPUTED_VALUE"""),"")</f>
        <v/>
      </c>
      <c r="X546" s="16" t="str">
        <f>IFERROR(__xludf.DUMMYFUNCTION("""COMPUTED_VALUE"""),"")</f>
        <v/>
      </c>
      <c r="AC546" s="16" t="str">
        <f>IFERROR(__xludf.DUMMYFUNCTION("""COMPUTED_VALUE"""),"")</f>
        <v/>
      </c>
    </row>
    <row r="547">
      <c r="A547" s="16" t="s">
        <v>87</v>
      </c>
      <c r="E547" s="16" t="str">
        <f>IFERROR(__xludf.DUMMYFUNCTION("""COMPUTED_VALUE"""),"")</f>
        <v/>
      </c>
      <c r="G547" s="18"/>
      <c r="H547" s="16" t="s">
        <v>87</v>
      </c>
      <c r="I547" s="16" t="s">
        <v>87</v>
      </c>
      <c r="J547" s="19"/>
      <c r="L547" s="16" t="str">
        <f>IFERROR(__xludf.DUMMYFUNCTION("""COMPUTED_VALUE"""),"")</f>
        <v/>
      </c>
      <c r="M547" s="16" t="str">
        <f>IFERROR(__xludf.DUMMYFUNCTION("""COMPUTED_VALUE"""),"")</f>
        <v/>
      </c>
      <c r="U547" s="16" t="s">
        <v>87</v>
      </c>
      <c r="V547" s="16" t="str">
        <f>IFERROR(__xludf.DUMMYFUNCTION("""COMPUTED_VALUE"""),"")</f>
        <v/>
      </c>
      <c r="W547" s="16" t="str">
        <f>IFERROR(__xludf.DUMMYFUNCTION("""COMPUTED_VALUE"""),"")</f>
        <v/>
      </c>
      <c r="X547" s="16" t="str">
        <f>IFERROR(__xludf.DUMMYFUNCTION("""COMPUTED_VALUE"""),"")</f>
        <v/>
      </c>
      <c r="AC547" s="16" t="str">
        <f>IFERROR(__xludf.DUMMYFUNCTION("""COMPUTED_VALUE"""),"")</f>
        <v/>
      </c>
    </row>
    <row r="548">
      <c r="A548" s="16" t="s">
        <v>87</v>
      </c>
      <c r="E548" s="16" t="str">
        <f>IFERROR(__xludf.DUMMYFUNCTION("""COMPUTED_VALUE"""),"")</f>
        <v/>
      </c>
      <c r="G548" s="18"/>
      <c r="H548" s="16" t="s">
        <v>87</v>
      </c>
      <c r="I548" s="16" t="s">
        <v>87</v>
      </c>
      <c r="J548" s="19"/>
      <c r="L548" s="16" t="str">
        <f>IFERROR(__xludf.DUMMYFUNCTION("""COMPUTED_VALUE"""),"")</f>
        <v/>
      </c>
      <c r="M548" s="16" t="str">
        <f>IFERROR(__xludf.DUMMYFUNCTION("""COMPUTED_VALUE"""),"")</f>
        <v/>
      </c>
      <c r="U548" s="16" t="s">
        <v>87</v>
      </c>
      <c r="V548" s="16" t="str">
        <f>IFERROR(__xludf.DUMMYFUNCTION("""COMPUTED_VALUE"""),"")</f>
        <v/>
      </c>
      <c r="W548" s="16" t="str">
        <f>IFERROR(__xludf.DUMMYFUNCTION("""COMPUTED_VALUE"""),"")</f>
        <v/>
      </c>
      <c r="X548" s="16" t="str">
        <f>IFERROR(__xludf.DUMMYFUNCTION("""COMPUTED_VALUE"""),"")</f>
        <v/>
      </c>
      <c r="AC548" s="16" t="str">
        <f>IFERROR(__xludf.DUMMYFUNCTION("""COMPUTED_VALUE"""),"")</f>
        <v/>
      </c>
    </row>
    <row r="549">
      <c r="A549" s="16" t="s">
        <v>87</v>
      </c>
      <c r="E549" s="16" t="str">
        <f>IFERROR(__xludf.DUMMYFUNCTION("""COMPUTED_VALUE"""),"")</f>
        <v/>
      </c>
      <c r="G549" s="18"/>
      <c r="H549" s="16" t="s">
        <v>87</v>
      </c>
      <c r="I549" s="16" t="s">
        <v>87</v>
      </c>
      <c r="J549" s="19"/>
      <c r="L549" s="16" t="str">
        <f>IFERROR(__xludf.DUMMYFUNCTION("""COMPUTED_VALUE"""),"")</f>
        <v/>
      </c>
      <c r="M549" s="16" t="str">
        <f>IFERROR(__xludf.DUMMYFUNCTION("""COMPUTED_VALUE"""),"")</f>
        <v/>
      </c>
      <c r="U549" s="16" t="s">
        <v>87</v>
      </c>
      <c r="V549" s="16" t="str">
        <f>IFERROR(__xludf.DUMMYFUNCTION("""COMPUTED_VALUE"""),"")</f>
        <v/>
      </c>
      <c r="W549" s="16" t="str">
        <f>IFERROR(__xludf.DUMMYFUNCTION("""COMPUTED_VALUE"""),"")</f>
        <v/>
      </c>
      <c r="X549" s="16" t="str">
        <f>IFERROR(__xludf.DUMMYFUNCTION("""COMPUTED_VALUE"""),"")</f>
        <v/>
      </c>
      <c r="AC549" s="16" t="str">
        <f>IFERROR(__xludf.DUMMYFUNCTION("""COMPUTED_VALUE"""),"")</f>
        <v/>
      </c>
    </row>
    <row r="550">
      <c r="A550" s="16" t="s">
        <v>87</v>
      </c>
      <c r="E550" s="16" t="str">
        <f>IFERROR(__xludf.DUMMYFUNCTION("""COMPUTED_VALUE"""),"")</f>
        <v/>
      </c>
      <c r="G550" s="18"/>
      <c r="H550" s="16" t="s">
        <v>87</v>
      </c>
      <c r="I550" s="16" t="s">
        <v>87</v>
      </c>
      <c r="J550" s="19"/>
      <c r="L550" s="16" t="str">
        <f>IFERROR(__xludf.DUMMYFUNCTION("""COMPUTED_VALUE"""),"")</f>
        <v/>
      </c>
      <c r="M550" s="16" t="str">
        <f>IFERROR(__xludf.DUMMYFUNCTION("""COMPUTED_VALUE"""),"")</f>
        <v/>
      </c>
      <c r="U550" s="16" t="s">
        <v>87</v>
      </c>
      <c r="V550" s="16" t="str">
        <f>IFERROR(__xludf.DUMMYFUNCTION("""COMPUTED_VALUE"""),"")</f>
        <v/>
      </c>
      <c r="W550" s="16" t="str">
        <f>IFERROR(__xludf.DUMMYFUNCTION("""COMPUTED_VALUE"""),"")</f>
        <v/>
      </c>
      <c r="X550" s="16" t="str">
        <f>IFERROR(__xludf.DUMMYFUNCTION("""COMPUTED_VALUE"""),"")</f>
        <v/>
      </c>
      <c r="AC550" s="16" t="str">
        <f>IFERROR(__xludf.DUMMYFUNCTION("""COMPUTED_VALUE"""),"")</f>
        <v/>
      </c>
    </row>
    <row r="551">
      <c r="A551" s="16" t="s">
        <v>87</v>
      </c>
      <c r="E551" s="16" t="str">
        <f>IFERROR(__xludf.DUMMYFUNCTION("""COMPUTED_VALUE"""),"")</f>
        <v/>
      </c>
      <c r="G551" s="18"/>
      <c r="H551" s="16" t="s">
        <v>87</v>
      </c>
      <c r="I551" s="16" t="s">
        <v>87</v>
      </c>
      <c r="J551" s="19"/>
      <c r="L551" s="16" t="str">
        <f>IFERROR(__xludf.DUMMYFUNCTION("""COMPUTED_VALUE"""),"")</f>
        <v/>
      </c>
      <c r="M551" s="16" t="str">
        <f>IFERROR(__xludf.DUMMYFUNCTION("""COMPUTED_VALUE"""),"")</f>
        <v/>
      </c>
      <c r="U551" s="16" t="s">
        <v>87</v>
      </c>
      <c r="V551" s="16" t="str">
        <f>IFERROR(__xludf.DUMMYFUNCTION("""COMPUTED_VALUE"""),"")</f>
        <v/>
      </c>
      <c r="W551" s="16" t="str">
        <f>IFERROR(__xludf.DUMMYFUNCTION("""COMPUTED_VALUE"""),"")</f>
        <v/>
      </c>
      <c r="X551" s="16" t="str">
        <f>IFERROR(__xludf.DUMMYFUNCTION("""COMPUTED_VALUE"""),"")</f>
        <v/>
      </c>
      <c r="AC551" s="16" t="str">
        <f>IFERROR(__xludf.DUMMYFUNCTION("""COMPUTED_VALUE"""),"")</f>
        <v/>
      </c>
    </row>
    <row r="552">
      <c r="A552" s="16" t="s">
        <v>87</v>
      </c>
      <c r="E552" s="16" t="str">
        <f>IFERROR(__xludf.DUMMYFUNCTION("""COMPUTED_VALUE"""),"")</f>
        <v/>
      </c>
      <c r="G552" s="18"/>
      <c r="H552" s="16" t="s">
        <v>87</v>
      </c>
      <c r="I552" s="16" t="s">
        <v>87</v>
      </c>
      <c r="J552" s="19"/>
      <c r="L552" s="16" t="str">
        <f>IFERROR(__xludf.DUMMYFUNCTION("""COMPUTED_VALUE"""),"")</f>
        <v/>
      </c>
      <c r="M552" s="16" t="str">
        <f>IFERROR(__xludf.DUMMYFUNCTION("""COMPUTED_VALUE"""),"")</f>
        <v/>
      </c>
      <c r="U552" s="16" t="s">
        <v>87</v>
      </c>
      <c r="V552" s="16" t="str">
        <f>IFERROR(__xludf.DUMMYFUNCTION("""COMPUTED_VALUE"""),"")</f>
        <v/>
      </c>
      <c r="W552" s="16" t="str">
        <f>IFERROR(__xludf.DUMMYFUNCTION("""COMPUTED_VALUE"""),"")</f>
        <v/>
      </c>
      <c r="X552" s="16" t="str">
        <f>IFERROR(__xludf.DUMMYFUNCTION("""COMPUTED_VALUE"""),"")</f>
        <v/>
      </c>
      <c r="AC552" s="16" t="str">
        <f>IFERROR(__xludf.DUMMYFUNCTION("""COMPUTED_VALUE"""),"")</f>
        <v/>
      </c>
    </row>
    <row r="553">
      <c r="A553" s="16" t="s">
        <v>87</v>
      </c>
      <c r="E553" s="16" t="str">
        <f>IFERROR(__xludf.DUMMYFUNCTION("""COMPUTED_VALUE"""),"")</f>
        <v/>
      </c>
      <c r="G553" s="18"/>
      <c r="H553" s="16" t="s">
        <v>87</v>
      </c>
      <c r="I553" s="16" t="s">
        <v>87</v>
      </c>
      <c r="J553" s="19"/>
      <c r="L553" s="16" t="str">
        <f>IFERROR(__xludf.DUMMYFUNCTION("""COMPUTED_VALUE"""),"")</f>
        <v/>
      </c>
      <c r="M553" s="16" t="str">
        <f>IFERROR(__xludf.DUMMYFUNCTION("""COMPUTED_VALUE"""),"")</f>
        <v/>
      </c>
      <c r="U553" s="16" t="s">
        <v>87</v>
      </c>
      <c r="V553" s="16" t="str">
        <f>IFERROR(__xludf.DUMMYFUNCTION("""COMPUTED_VALUE"""),"")</f>
        <v/>
      </c>
      <c r="W553" s="16" t="str">
        <f>IFERROR(__xludf.DUMMYFUNCTION("""COMPUTED_VALUE"""),"")</f>
        <v/>
      </c>
      <c r="X553" s="16" t="str">
        <f>IFERROR(__xludf.DUMMYFUNCTION("""COMPUTED_VALUE"""),"")</f>
        <v/>
      </c>
      <c r="AC553" s="16" t="str">
        <f>IFERROR(__xludf.DUMMYFUNCTION("""COMPUTED_VALUE"""),"")</f>
        <v/>
      </c>
    </row>
    <row r="554">
      <c r="A554" s="16" t="s">
        <v>87</v>
      </c>
      <c r="E554" s="16" t="str">
        <f>IFERROR(__xludf.DUMMYFUNCTION("""COMPUTED_VALUE"""),"")</f>
        <v/>
      </c>
      <c r="G554" s="18"/>
      <c r="H554" s="16" t="s">
        <v>87</v>
      </c>
      <c r="I554" s="16" t="s">
        <v>87</v>
      </c>
      <c r="J554" s="19"/>
      <c r="L554" s="16" t="str">
        <f>IFERROR(__xludf.DUMMYFUNCTION("""COMPUTED_VALUE"""),"")</f>
        <v/>
      </c>
      <c r="M554" s="16" t="str">
        <f>IFERROR(__xludf.DUMMYFUNCTION("""COMPUTED_VALUE"""),"")</f>
        <v/>
      </c>
      <c r="U554" s="16" t="s">
        <v>87</v>
      </c>
      <c r="V554" s="16" t="str">
        <f>IFERROR(__xludf.DUMMYFUNCTION("""COMPUTED_VALUE"""),"")</f>
        <v/>
      </c>
      <c r="W554" s="16" t="str">
        <f>IFERROR(__xludf.DUMMYFUNCTION("""COMPUTED_VALUE"""),"")</f>
        <v/>
      </c>
      <c r="X554" s="16" t="str">
        <f>IFERROR(__xludf.DUMMYFUNCTION("""COMPUTED_VALUE"""),"")</f>
        <v/>
      </c>
      <c r="AC554" s="16" t="str">
        <f>IFERROR(__xludf.DUMMYFUNCTION("""COMPUTED_VALUE"""),"")</f>
        <v/>
      </c>
    </row>
    <row r="555">
      <c r="A555" s="16" t="s">
        <v>87</v>
      </c>
      <c r="E555" s="16" t="str">
        <f>IFERROR(__xludf.DUMMYFUNCTION("""COMPUTED_VALUE"""),"")</f>
        <v/>
      </c>
      <c r="G555" s="18"/>
      <c r="H555" s="16" t="s">
        <v>87</v>
      </c>
      <c r="I555" s="16" t="s">
        <v>87</v>
      </c>
      <c r="J555" s="19"/>
      <c r="L555" s="16" t="str">
        <f>IFERROR(__xludf.DUMMYFUNCTION("""COMPUTED_VALUE"""),"")</f>
        <v/>
      </c>
      <c r="M555" s="16" t="str">
        <f>IFERROR(__xludf.DUMMYFUNCTION("""COMPUTED_VALUE"""),"")</f>
        <v/>
      </c>
      <c r="U555" s="16" t="s">
        <v>87</v>
      </c>
      <c r="V555" s="16" t="str">
        <f>IFERROR(__xludf.DUMMYFUNCTION("""COMPUTED_VALUE"""),"")</f>
        <v/>
      </c>
      <c r="W555" s="16" t="str">
        <f>IFERROR(__xludf.DUMMYFUNCTION("""COMPUTED_VALUE"""),"")</f>
        <v/>
      </c>
      <c r="X555" s="16" t="str">
        <f>IFERROR(__xludf.DUMMYFUNCTION("""COMPUTED_VALUE"""),"")</f>
        <v/>
      </c>
      <c r="AC555" s="16" t="str">
        <f>IFERROR(__xludf.DUMMYFUNCTION("""COMPUTED_VALUE"""),"")</f>
        <v/>
      </c>
    </row>
    <row r="556">
      <c r="A556" s="16" t="s">
        <v>87</v>
      </c>
      <c r="E556" s="16" t="str">
        <f>IFERROR(__xludf.DUMMYFUNCTION("""COMPUTED_VALUE"""),"")</f>
        <v/>
      </c>
      <c r="G556" s="18"/>
      <c r="H556" s="16" t="s">
        <v>87</v>
      </c>
      <c r="I556" s="16" t="s">
        <v>87</v>
      </c>
      <c r="J556" s="19"/>
      <c r="L556" s="16" t="str">
        <f>IFERROR(__xludf.DUMMYFUNCTION("""COMPUTED_VALUE"""),"")</f>
        <v/>
      </c>
      <c r="M556" s="16" t="str">
        <f>IFERROR(__xludf.DUMMYFUNCTION("""COMPUTED_VALUE"""),"")</f>
        <v/>
      </c>
      <c r="U556" s="16" t="s">
        <v>87</v>
      </c>
      <c r="V556" s="16" t="str">
        <f>IFERROR(__xludf.DUMMYFUNCTION("""COMPUTED_VALUE"""),"")</f>
        <v/>
      </c>
      <c r="W556" s="16" t="str">
        <f>IFERROR(__xludf.DUMMYFUNCTION("""COMPUTED_VALUE"""),"")</f>
        <v/>
      </c>
      <c r="X556" s="16" t="str">
        <f>IFERROR(__xludf.DUMMYFUNCTION("""COMPUTED_VALUE"""),"")</f>
        <v/>
      </c>
      <c r="AC556" s="16" t="str">
        <f>IFERROR(__xludf.DUMMYFUNCTION("""COMPUTED_VALUE"""),"")</f>
        <v/>
      </c>
    </row>
    <row r="557">
      <c r="A557" s="16" t="s">
        <v>87</v>
      </c>
      <c r="E557" s="16" t="str">
        <f>IFERROR(__xludf.DUMMYFUNCTION("""COMPUTED_VALUE"""),"")</f>
        <v/>
      </c>
      <c r="G557" s="18"/>
      <c r="H557" s="16" t="s">
        <v>87</v>
      </c>
      <c r="I557" s="16" t="s">
        <v>87</v>
      </c>
      <c r="J557" s="19"/>
      <c r="L557" s="16" t="str">
        <f>IFERROR(__xludf.DUMMYFUNCTION("""COMPUTED_VALUE"""),"")</f>
        <v/>
      </c>
      <c r="M557" s="16" t="str">
        <f>IFERROR(__xludf.DUMMYFUNCTION("""COMPUTED_VALUE"""),"")</f>
        <v/>
      </c>
      <c r="U557" s="16" t="s">
        <v>87</v>
      </c>
      <c r="V557" s="16" t="str">
        <f>IFERROR(__xludf.DUMMYFUNCTION("""COMPUTED_VALUE"""),"")</f>
        <v/>
      </c>
      <c r="W557" s="16" t="str">
        <f>IFERROR(__xludf.DUMMYFUNCTION("""COMPUTED_VALUE"""),"")</f>
        <v/>
      </c>
      <c r="X557" s="16" t="str">
        <f>IFERROR(__xludf.DUMMYFUNCTION("""COMPUTED_VALUE"""),"")</f>
        <v/>
      </c>
      <c r="AC557" s="16" t="str">
        <f>IFERROR(__xludf.DUMMYFUNCTION("""COMPUTED_VALUE"""),"")</f>
        <v/>
      </c>
    </row>
    <row r="558">
      <c r="A558" s="16" t="s">
        <v>87</v>
      </c>
      <c r="E558" s="16" t="str">
        <f>IFERROR(__xludf.DUMMYFUNCTION("""COMPUTED_VALUE"""),"")</f>
        <v/>
      </c>
      <c r="G558" s="18"/>
      <c r="H558" s="16" t="s">
        <v>87</v>
      </c>
      <c r="I558" s="16" t="s">
        <v>87</v>
      </c>
      <c r="J558" s="19"/>
      <c r="L558" s="16" t="str">
        <f>IFERROR(__xludf.DUMMYFUNCTION("""COMPUTED_VALUE"""),"")</f>
        <v/>
      </c>
      <c r="M558" s="16" t="str">
        <f>IFERROR(__xludf.DUMMYFUNCTION("""COMPUTED_VALUE"""),"")</f>
        <v/>
      </c>
      <c r="U558" s="16" t="s">
        <v>87</v>
      </c>
      <c r="V558" s="16" t="str">
        <f>IFERROR(__xludf.DUMMYFUNCTION("""COMPUTED_VALUE"""),"")</f>
        <v/>
      </c>
      <c r="W558" s="16" t="str">
        <f>IFERROR(__xludf.DUMMYFUNCTION("""COMPUTED_VALUE"""),"")</f>
        <v/>
      </c>
      <c r="X558" s="16" t="str">
        <f>IFERROR(__xludf.DUMMYFUNCTION("""COMPUTED_VALUE"""),"")</f>
        <v/>
      </c>
      <c r="AC558" s="16" t="str">
        <f>IFERROR(__xludf.DUMMYFUNCTION("""COMPUTED_VALUE"""),"")</f>
        <v/>
      </c>
    </row>
    <row r="559">
      <c r="A559" s="16" t="s">
        <v>87</v>
      </c>
      <c r="E559" s="16" t="str">
        <f>IFERROR(__xludf.DUMMYFUNCTION("""COMPUTED_VALUE"""),"")</f>
        <v/>
      </c>
      <c r="G559" s="18"/>
      <c r="H559" s="16" t="s">
        <v>87</v>
      </c>
      <c r="I559" s="16" t="s">
        <v>87</v>
      </c>
      <c r="J559" s="19"/>
      <c r="L559" s="16" t="str">
        <f>IFERROR(__xludf.DUMMYFUNCTION("""COMPUTED_VALUE"""),"")</f>
        <v/>
      </c>
      <c r="M559" s="16" t="str">
        <f>IFERROR(__xludf.DUMMYFUNCTION("""COMPUTED_VALUE"""),"")</f>
        <v/>
      </c>
      <c r="U559" s="16" t="s">
        <v>87</v>
      </c>
      <c r="V559" s="16" t="str">
        <f>IFERROR(__xludf.DUMMYFUNCTION("""COMPUTED_VALUE"""),"")</f>
        <v/>
      </c>
      <c r="W559" s="16" t="str">
        <f>IFERROR(__xludf.DUMMYFUNCTION("""COMPUTED_VALUE"""),"")</f>
        <v/>
      </c>
      <c r="X559" s="16" t="str">
        <f>IFERROR(__xludf.DUMMYFUNCTION("""COMPUTED_VALUE"""),"")</f>
        <v/>
      </c>
      <c r="AC559" s="16" t="str">
        <f>IFERROR(__xludf.DUMMYFUNCTION("""COMPUTED_VALUE"""),"")</f>
        <v/>
      </c>
    </row>
    <row r="560">
      <c r="A560" s="16" t="s">
        <v>87</v>
      </c>
      <c r="E560" s="16" t="str">
        <f>IFERROR(__xludf.DUMMYFUNCTION("""COMPUTED_VALUE"""),"")</f>
        <v/>
      </c>
      <c r="G560" s="18"/>
      <c r="H560" s="16" t="s">
        <v>87</v>
      </c>
      <c r="I560" s="16" t="s">
        <v>87</v>
      </c>
      <c r="J560" s="19"/>
      <c r="L560" s="16" t="str">
        <f>IFERROR(__xludf.DUMMYFUNCTION("""COMPUTED_VALUE"""),"")</f>
        <v/>
      </c>
      <c r="M560" s="16" t="str">
        <f>IFERROR(__xludf.DUMMYFUNCTION("""COMPUTED_VALUE"""),"")</f>
        <v/>
      </c>
      <c r="U560" s="16" t="s">
        <v>87</v>
      </c>
      <c r="V560" s="16" t="str">
        <f>IFERROR(__xludf.DUMMYFUNCTION("""COMPUTED_VALUE"""),"")</f>
        <v/>
      </c>
      <c r="W560" s="16" t="str">
        <f>IFERROR(__xludf.DUMMYFUNCTION("""COMPUTED_VALUE"""),"")</f>
        <v/>
      </c>
      <c r="X560" s="16" t="str">
        <f>IFERROR(__xludf.DUMMYFUNCTION("""COMPUTED_VALUE"""),"")</f>
        <v/>
      </c>
      <c r="AC560" s="16" t="str">
        <f>IFERROR(__xludf.DUMMYFUNCTION("""COMPUTED_VALUE"""),"")</f>
        <v/>
      </c>
    </row>
    <row r="561">
      <c r="A561" s="16" t="s">
        <v>87</v>
      </c>
      <c r="E561" s="16" t="str">
        <f>IFERROR(__xludf.DUMMYFUNCTION("""COMPUTED_VALUE"""),"")</f>
        <v/>
      </c>
      <c r="G561" s="18"/>
      <c r="H561" s="16" t="s">
        <v>87</v>
      </c>
      <c r="I561" s="16" t="s">
        <v>87</v>
      </c>
      <c r="J561" s="19"/>
      <c r="L561" s="16" t="str">
        <f>IFERROR(__xludf.DUMMYFUNCTION("""COMPUTED_VALUE"""),"")</f>
        <v/>
      </c>
      <c r="M561" s="16" t="str">
        <f>IFERROR(__xludf.DUMMYFUNCTION("""COMPUTED_VALUE"""),"")</f>
        <v/>
      </c>
      <c r="U561" s="16" t="s">
        <v>87</v>
      </c>
      <c r="V561" s="16" t="str">
        <f>IFERROR(__xludf.DUMMYFUNCTION("""COMPUTED_VALUE"""),"")</f>
        <v/>
      </c>
      <c r="W561" s="16" t="str">
        <f>IFERROR(__xludf.DUMMYFUNCTION("""COMPUTED_VALUE"""),"")</f>
        <v/>
      </c>
      <c r="X561" s="16" t="str">
        <f>IFERROR(__xludf.DUMMYFUNCTION("""COMPUTED_VALUE"""),"")</f>
        <v/>
      </c>
      <c r="AC561" s="16" t="str">
        <f>IFERROR(__xludf.DUMMYFUNCTION("""COMPUTED_VALUE"""),"")</f>
        <v/>
      </c>
    </row>
    <row r="562">
      <c r="A562" s="16" t="s">
        <v>87</v>
      </c>
      <c r="E562" s="16" t="str">
        <f>IFERROR(__xludf.DUMMYFUNCTION("""COMPUTED_VALUE"""),"")</f>
        <v/>
      </c>
      <c r="G562" s="18"/>
      <c r="H562" s="16" t="s">
        <v>87</v>
      </c>
      <c r="I562" s="16" t="s">
        <v>87</v>
      </c>
      <c r="J562" s="19"/>
      <c r="L562" s="16" t="str">
        <f>IFERROR(__xludf.DUMMYFUNCTION("""COMPUTED_VALUE"""),"")</f>
        <v/>
      </c>
      <c r="M562" s="16" t="str">
        <f>IFERROR(__xludf.DUMMYFUNCTION("""COMPUTED_VALUE"""),"")</f>
        <v/>
      </c>
      <c r="U562" s="16" t="s">
        <v>87</v>
      </c>
      <c r="V562" s="16" t="str">
        <f>IFERROR(__xludf.DUMMYFUNCTION("""COMPUTED_VALUE"""),"")</f>
        <v/>
      </c>
      <c r="W562" s="16" t="str">
        <f>IFERROR(__xludf.DUMMYFUNCTION("""COMPUTED_VALUE"""),"")</f>
        <v/>
      </c>
      <c r="X562" s="16" t="str">
        <f>IFERROR(__xludf.DUMMYFUNCTION("""COMPUTED_VALUE"""),"")</f>
        <v/>
      </c>
      <c r="AC562" s="16" t="str">
        <f>IFERROR(__xludf.DUMMYFUNCTION("""COMPUTED_VALUE"""),"")</f>
        <v/>
      </c>
    </row>
    <row r="563">
      <c r="A563" s="16" t="s">
        <v>87</v>
      </c>
      <c r="E563" s="16" t="str">
        <f>IFERROR(__xludf.DUMMYFUNCTION("""COMPUTED_VALUE"""),"")</f>
        <v/>
      </c>
      <c r="G563" s="18"/>
      <c r="H563" s="16" t="s">
        <v>87</v>
      </c>
      <c r="I563" s="16" t="s">
        <v>87</v>
      </c>
      <c r="J563" s="19"/>
      <c r="L563" s="16" t="str">
        <f>IFERROR(__xludf.DUMMYFUNCTION("""COMPUTED_VALUE"""),"")</f>
        <v/>
      </c>
      <c r="M563" s="16" t="str">
        <f>IFERROR(__xludf.DUMMYFUNCTION("""COMPUTED_VALUE"""),"")</f>
        <v/>
      </c>
      <c r="U563" s="16" t="s">
        <v>87</v>
      </c>
      <c r="V563" s="16" t="str">
        <f>IFERROR(__xludf.DUMMYFUNCTION("""COMPUTED_VALUE"""),"")</f>
        <v/>
      </c>
      <c r="W563" s="16" t="str">
        <f>IFERROR(__xludf.DUMMYFUNCTION("""COMPUTED_VALUE"""),"")</f>
        <v/>
      </c>
      <c r="X563" s="16" t="str">
        <f>IFERROR(__xludf.DUMMYFUNCTION("""COMPUTED_VALUE"""),"")</f>
        <v/>
      </c>
      <c r="AC563" s="16" t="str">
        <f>IFERROR(__xludf.DUMMYFUNCTION("""COMPUTED_VALUE"""),"")</f>
        <v/>
      </c>
    </row>
    <row r="564">
      <c r="A564" s="16" t="s">
        <v>87</v>
      </c>
      <c r="E564" s="16" t="str">
        <f>IFERROR(__xludf.DUMMYFUNCTION("""COMPUTED_VALUE"""),"")</f>
        <v/>
      </c>
      <c r="G564" s="18"/>
      <c r="H564" s="16" t="s">
        <v>87</v>
      </c>
      <c r="I564" s="16" t="s">
        <v>87</v>
      </c>
      <c r="J564" s="19"/>
      <c r="L564" s="16" t="str">
        <f>IFERROR(__xludf.DUMMYFUNCTION("""COMPUTED_VALUE"""),"")</f>
        <v/>
      </c>
      <c r="M564" s="16" t="str">
        <f>IFERROR(__xludf.DUMMYFUNCTION("""COMPUTED_VALUE"""),"")</f>
        <v/>
      </c>
      <c r="U564" s="16" t="s">
        <v>87</v>
      </c>
      <c r="V564" s="16" t="str">
        <f>IFERROR(__xludf.DUMMYFUNCTION("""COMPUTED_VALUE"""),"")</f>
        <v/>
      </c>
      <c r="W564" s="16" t="str">
        <f>IFERROR(__xludf.DUMMYFUNCTION("""COMPUTED_VALUE"""),"")</f>
        <v/>
      </c>
      <c r="X564" s="16" t="str">
        <f>IFERROR(__xludf.DUMMYFUNCTION("""COMPUTED_VALUE"""),"")</f>
        <v/>
      </c>
      <c r="AC564" s="16" t="str">
        <f>IFERROR(__xludf.DUMMYFUNCTION("""COMPUTED_VALUE"""),"")</f>
        <v/>
      </c>
    </row>
    <row r="565">
      <c r="A565" s="16" t="s">
        <v>87</v>
      </c>
      <c r="E565" s="16" t="str">
        <f>IFERROR(__xludf.DUMMYFUNCTION("""COMPUTED_VALUE"""),"")</f>
        <v/>
      </c>
      <c r="G565" s="18"/>
      <c r="H565" s="16" t="s">
        <v>87</v>
      </c>
      <c r="I565" s="16" t="s">
        <v>87</v>
      </c>
      <c r="J565" s="19"/>
      <c r="L565" s="16" t="str">
        <f>IFERROR(__xludf.DUMMYFUNCTION("""COMPUTED_VALUE"""),"")</f>
        <v/>
      </c>
      <c r="M565" s="16" t="str">
        <f>IFERROR(__xludf.DUMMYFUNCTION("""COMPUTED_VALUE"""),"")</f>
        <v/>
      </c>
      <c r="U565" s="16" t="s">
        <v>87</v>
      </c>
      <c r="V565" s="16" t="str">
        <f>IFERROR(__xludf.DUMMYFUNCTION("""COMPUTED_VALUE"""),"")</f>
        <v/>
      </c>
      <c r="W565" s="16" t="str">
        <f>IFERROR(__xludf.DUMMYFUNCTION("""COMPUTED_VALUE"""),"")</f>
        <v/>
      </c>
      <c r="X565" s="16" t="str">
        <f>IFERROR(__xludf.DUMMYFUNCTION("""COMPUTED_VALUE"""),"")</f>
        <v/>
      </c>
      <c r="AC565" s="16" t="str">
        <f>IFERROR(__xludf.DUMMYFUNCTION("""COMPUTED_VALUE"""),"")</f>
        <v/>
      </c>
    </row>
    <row r="566">
      <c r="A566" s="16" t="s">
        <v>87</v>
      </c>
      <c r="E566" s="16" t="str">
        <f>IFERROR(__xludf.DUMMYFUNCTION("""COMPUTED_VALUE"""),"")</f>
        <v/>
      </c>
      <c r="G566" s="18"/>
      <c r="H566" s="16" t="s">
        <v>87</v>
      </c>
      <c r="I566" s="16" t="s">
        <v>87</v>
      </c>
      <c r="J566" s="19"/>
      <c r="L566" s="16" t="str">
        <f>IFERROR(__xludf.DUMMYFUNCTION("""COMPUTED_VALUE"""),"")</f>
        <v/>
      </c>
      <c r="M566" s="16" t="str">
        <f>IFERROR(__xludf.DUMMYFUNCTION("""COMPUTED_VALUE"""),"")</f>
        <v/>
      </c>
      <c r="U566" s="16" t="s">
        <v>87</v>
      </c>
      <c r="V566" s="16" t="str">
        <f>IFERROR(__xludf.DUMMYFUNCTION("""COMPUTED_VALUE"""),"")</f>
        <v/>
      </c>
      <c r="W566" s="16" t="str">
        <f>IFERROR(__xludf.DUMMYFUNCTION("""COMPUTED_VALUE"""),"")</f>
        <v/>
      </c>
      <c r="X566" s="16" t="str">
        <f>IFERROR(__xludf.DUMMYFUNCTION("""COMPUTED_VALUE"""),"")</f>
        <v/>
      </c>
      <c r="AC566" s="16" t="str">
        <f>IFERROR(__xludf.DUMMYFUNCTION("""COMPUTED_VALUE"""),"")</f>
        <v/>
      </c>
    </row>
    <row r="567">
      <c r="A567" s="16" t="s">
        <v>87</v>
      </c>
      <c r="E567" s="16" t="str">
        <f>IFERROR(__xludf.DUMMYFUNCTION("""COMPUTED_VALUE"""),"")</f>
        <v/>
      </c>
      <c r="G567" s="18"/>
      <c r="H567" s="16" t="s">
        <v>87</v>
      </c>
      <c r="I567" s="16" t="s">
        <v>87</v>
      </c>
      <c r="J567" s="19"/>
      <c r="L567" s="16" t="str">
        <f>IFERROR(__xludf.DUMMYFUNCTION("""COMPUTED_VALUE"""),"")</f>
        <v/>
      </c>
      <c r="M567" s="16" t="str">
        <f>IFERROR(__xludf.DUMMYFUNCTION("""COMPUTED_VALUE"""),"")</f>
        <v/>
      </c>
      <c r="U567" s="16" t="s">
        <v>87</v>
      </c>
      <c r="V567" s="16" t="str">
        <f>IFERROR(__xludf.DUMMYFUNCTION("""COMPUTED_VALUE"""),"")</f>
        <v/>
      </c>
      <c r="W567" s="16" t="str">
        <f>IFERROR(__xludf.DUMMYFUNCTION("""COMPUTED_VALUE"""),"")</f>
        <v/>
      </c>
      <c r="X567" s="16" t="str">
        <f>IFERROR(__xludf.DUMMYFUNCTION("""COMPUTED_VALUE"""),"")</f>
        <v/>
      </c>
      <c r="AC567" s="16" t="str">
        <f>IFERROR(__xludf.DUMMYFUNCTION("""COMPUTED_VALUE"""),"")</f>
        <v/>
      </c>
    </row>
    <row r="568">
      <c r="A568" s="16" t="s">
        <v>87</v>
      </c>
      <c r="E568" s="16" t="str">
        <f>IFERROR(__xludf.DUMMYFUNCTION("""COMPUTED_VALUE"""),"")</f>
        <v/>
      </c>
      <c r="G568" s="18"/>
      <c r="H568" s="16" t="s">
        <v>87</v>
      </c>
      <c r="I568" s="16" t="s">
        <v>87</v>
      </c>
      <c r="J568" s="19"/>
      <c r="L568" s="16" t="str">
        <f>IFERROR(__xludf.DUMMYFUNCTION("""COMPUTED_VALUE"""),"")</f>
        <v/>
      </c>
      <c r="M568" s="16" t="str">
        <f>IFERROR(__xludf.DUMMYFUNCTION("""COMPUTED_VALUE"""),"")</f>
        <v/>
      </c>
      <c r="U568" s="16" t="s">
        <v>87</v>
      </c>
      <c r="V568" s="16" t="str">
        <f>IFERROR(__xludf.DUMMYFUNCTION("""COMPUTED_VALUE"""),"")</f>
        <v/>
      </c>
      <c r="W568" s="16" t="str">
        <f>IFERROR(__xludf.DUMMYFUNCTION("""COMPUTED_VALUE"""),"")</f>
        <v/>
      </c>
      <c r="X568" s="16" t="str">
        <f>IFERROR(__xludf.DUMMYFUNCTION("""COMPUTED_VALUE"""),"")</f>
        <v/>
      </c>
      <c r="AC568" s="16" t="str">
        <f>IFERROR(__xludf.DUMMYFUNCTION("""COMPUTED_VALUE"""),"")</f>
        <v/>
      </c>
    </row>
    <row r="569">
      <c r="A569" s="16" t="s">
        <v>87</v>
      </c>
      <c r="E569" s="16" t="str">
        <f>IFERROR(__xludf.DUMMYFUNCTION("""COMPUTED_VALUE"""),"")</f>
        <v/>
      </c>
      <c r="G569" s="18"/>
      <c r="H569" s="16" t="s">
        <v>87</v>
      </c>
      <c r="I569" s="16" t="s">
        <v>87</v>
      </c>
      <c r="J569" s="19"/>
      <c r="L569" s="16" t="str">
        <f>IFERROR(__xludf.DUMMYFUNCTION("""COMPUTED_VALUE"""),"")</f>
        <v/>
      </c>
      <c r="M569" s="16" t="str">
        <f>IFERROR(__xludf.DUMMYFUNCTION("""COMPUTED_VALUE"""),"")</f>
        <v/>
      </c>
      <c r="U569" s="16" t="s">
        <v>87</v>
      </c>
      <c r="V569" s="16" t="str">
        <f>IFERROR(__xludf.DUMMYFUNCTION("""COMPUTED_VALUE"""),"")</f>
        <v/>
      </c>
      <c r="W569" s="16" t="str">
        <f>IFERROR(__xludf.DUMMYFUNCTION("""COMPUTED_VALUE"""),"")</f>
        <v/>
      </c>
      <c r="X569" s="16" t="str">
        <f>IFERROR(__xludf.DUMMYFUNCTION("""COMPUTED_VALUE"""),"")</f>
        <v/>
      </c>
      <c r="AC569" s="16" t="str">
        <f>IFERROR(__xludf.DUMMYFUNCTION("""COMPUTED_VALUE"""),"")</f>
        <v/>
      </c>
    </row>
    <row r="570">
      <c r="A570" s="16" t="s">
        <v>87</v>
      </c>
      <c r="E570" s="16" t="str">
        <f>IFERROR(__xludf.DUMMYFUNCTION("""COMPUTED_VALUE"""),"")</f>
        <v/>
      </c>
      <c r="G570" s="18"/>
      <c r="H570" s="16" t="s">
        <v>87</v>
      </c>
      <c r="I570" s="16" t="s">
        <v>87</v>
      </c>
      <c r="J570" s="19"/>
      <c r="L570" s="16" t="str">
        <f>IFERROR(__xludf.DUMMYFUNCTION("""COMPUTED_VALUE"""),"")</f>
        <v/>
      </c>
      <c r="M570" s="16" t="str">
        <f>IFERROR(__xludf.DUMMYFUNCTION("""COMPUTED_VALUE"""),"")</f>
        <v/>
      </c>
      <c r="U570" s="16" t="s">
        <v>87</v>
      </c>
      <c r="V570" s="16" t="str">
        <f>IFERROR(__xludf.DUMMYFUNCTION("""COMPUTED_VALUE"""),"")</f>
        <v/>
      </c>
      <c r="W570" s="16" t="str">
        <f>IFERROR(__xludf.DUMMYFUNCTION("""COMPUTED_VALUE"""),"")</f>
        <v/>
      </c>
      <c r="X570" s="16" t="str">
        <f>IFERROR(__xludf.DUMMYFUNCTION("""COMPUTED_VALUE"""),"")</f>
        <v/>
      </c>
      <c r="AC570" s="16" t="str">
        <f>IFERROR(__xludf.DUMMYFUNCTION("""COMPUTED_VALUE"""),"")</f>
        <v/>
      </c>
    </row>
    <row r="571">
      <c r="A571" s="16" t="s">
        <v>87</v>
      </c>
      <c r="E571" s="16" t="str">
        <f>IFERROR(__xludf.DUMMYFUNCTION("""COMPUTED_VALUE"""),"")</f>
        <v/>
      </c>
      <c r="G571" s="18"/>
      <c r="H571" s="16" t="s">
        <v>87</v>
      </c>
      <c r="I571" s="16" t="s">
        <v>87</v>
      </c>
      <c r="J571" s="19"/>
      <c r="L571" s="16" t="str">
        <f>IFERROR(__xludf.DUMMYFUNCTION("""COMPUTED_VALUE"""),"")</f>
        <v/>
      </c>
      <c r="M571" s="16" t="str">
        <f>IFERROR(__xludf.DUMMYFUNCTION("""COMPUTED_VALUE"""),"")</f>
        <v/>
      </c>
      <c r="U571" s="16" t="s">
        <v>87</v>
      </c>
      <c r="V571" s="16" t="str">
        <f>IFERROR(__xludf.DUMMYFUNCTION("""COMPUTED_VALUE"""),"")</f>
        <v/>
      </c>
      <c r="W571" s="16" t="str">
        <f>IFERROR(__xludf.DUMMYFUNCTION("""COMPUTED_VALUE"""),"")</f>
        <v/>
      </c>
      <c r="X571" s="16" t="str">
        <f>IFERROR(__xludf.DUMMYFUNCTION("""COMPUTED_VALUE"""),"")</f>
        <v/>
      </c>
      <c r="AC571" s="16" t="str">
        <f>IFERROR(__xludf.DUMMYFUNCTION("""COMPUTED_VALUE"""),"")</f>
        <v/>
      </c>
    </row>
    <row r="572">
      <c r="A572" s="16" t="s">
        <v>87</v>
      </c>
      <c r="E572" s="16" t="str">
        <f>IFERROR(__xludf.DUMMYFUNCTION("""COMPUTED_VALUE"""),"")</f>
        <v/>
      </c>
      <c r="G572" s="18"/>
      <c r="H572" s="16" t="s">
        <v>87</v>
      </c>
      <c r="I572" s="16" t="s">
        <v>87</v>
      </c>
      <c r="J572" s="19"/>
      <c r="L572" s="16" t="str">
        <f>IFERROR(__xludf.DUMMYFUNCTION("""COMPUTED_VALUE"""),"")</f>
        <v/>
      </c>
      <c r="M572" s="16" t="str">
        <f>IFERROR(__xludf.DUMMYFUNCTION("""COMPUTED_VALUE"""),"")</f>
        <v/>
      </c>
      <c r="U572" s="16" t="s">
        <v>87</v>
      </c>
      <c r="V572" s="16" t="str">
        <f>IFERROR(__xludf.DUMMYFUNCTION("""COMPUTED_VALUE"""),"")</f>
        <v/>
      </c>
      <c r="W572" s="16" t="str">
        <f>IFERROR(__xludf.DUMMYFUNCTION("""COMPUTED_VALUE"""),"")</f>
        <v/>
      </c>
      <c r="X572" s="16" t="str">
        <f>IFERROR(__xludf.DUMMYFUNCTION("""COMPUTED_VALUE"""),"")</f>
        <v/>
      </c>
      <c r="AC572" s="16" t="str">
        <f>IFERROR(__xludf.DUMMYFUNCTION("""COMPUTED_VALUE"""),"")</f>
        <v/>
      </c>
    </row>
    <row r="573">
      <c r="A573" s="16" t="s">
        <v>87</v>
      </c>
      <c r="E573" s="16" t="str">
        <f>IFERROR(__xludf.DUMMYFUNCTION("""COMPUTED_VALUE"""),"")</f>
        <v/>
      </c>
      <c r="G573" s="18"/>
      <c r="H573" s="16" t="s">
        <v>87</v>
      </c>
      <c r="I573" s="16" t="s">
        <v>87</v>
      </c>
      <c r="J573" s="19"/>
      <c r="L573" s="16" t="str">
        <f>IFERROR(__xludf.DUMMYFUNCTION("""COMPUTED_VALUE"""),"")</f>
        <v/>
      </c>
      <c r="M573" s="16" t="str">
        <f>IFERROR(__xludf.DUMMYFUNCTION("""COMPUTED_VALUE"""),"")</f>
        <v/>
      </c>
      <c r="U573" s="16" t="s">
        <v>87</v>
      </c>
      <c r="V573" s="16" t="str">
        <f>IFERROR(__xludf.DUMMYFUNCTION("""COMPUTED_VALUE"""),"")</f>
        <v/>
      </c>
      <c r="W573" s="16" t="str">
        <f>IFERROR(__xludf.DUMMYFUNCTION("""COMPUTED_VALUE"""),"")</f>
        <v/>
      </c>
      <c r="X573" s="16" t="str">
        <f>IFERROR(__xludf.DUMMYFUNCTION("""COMPUTED_VALUE"""),"")</f>
        <v/>
      </c>
      <c r="AC573" s="16" t="str">
        <f>IFERROR(__xludf.DUMMYFUNCTION("""COMPUTED_VALUE"""),"")</f>
        <v/>
      </c>
    </row>
    <row r="574">
      <c r="A574" s="16" t="s">
        <v>87</v>
      </c>
      <c r="E574" s="16" t="str">
        <f>IFERROR(__xludf.DUMMYFUNCTION("""COMPUTED_VALUE"""),"")</f>
        <v/>
      </c>
      <c r="G574" s="18"/>
      <c r="H574" s="16" t="s">
        <v>87</v>
      </c>
      <c r="I574" s="16" t="s">
        <v>87</v>
      </c>
      <c r="J574" s="19"/>
      <c r="L574" s="16" t="str">
        <f>IFERROR(__xludf.DUMMYFUNCTION("""COMPUTED_VALUE"""),"")</f>
        <v/>
      </c>
      <c r="M574" s="16" t="str">
        <f>IFERROR(__xludf.DUMMYFUNCTION("""COMPUTED_VALUE"""),"")</f>
        <v/>
      </c>
      <c r="U574" s="16" t="s">
        <v>87</v>
      </c>
      <c r="V574" s="16" t="str">
        <f>IFERROR(__xludf.DUMMYFUNCTION("""COMPUTED_VALUE"""),"")</f>
        <v/>
      </c>
      <c r="W574" s="16" t="str">
        <f>IFERROR(__xludf.DUMMYFUNCTION("""COMPUTED_VALUE"""),"")</f>
        <v/>
      </c>
      <c r="X574" s="16" t="str">
        <f>IFERROR(__xludf.DUMMYFUNCTION("""COMPUTED_VALUE"""),"")</f>
        <v/>
      </c>
      <c r="AC574" s="16" t="str">
        <f>IFERROR(__xludf.DUMMYFUNCTION("""COMPUTED_VALUE"""),"")</f>
        <v/>
      </c>
    </row>
    <row r="575">
      <c r="A575" s="16" t="s">
        <v>87</v>
      </c>
      <c r="E575" s="16" t="str">
        <f>IFERROR(__xludf.DUMMYFUNCTION("""COMPUTED_VALUE"""),"")</f>
        <v/>
      </c>
      <c r="G575" s="18"/>
      <c r="H575" s="16" t="s">
        <v>87</v>
      </c>
      <c r="I575" s="16" t="s">
        <v>87</v>
      </c>
      <c r="J575" s="19"/>
      <c r="L575" s="16" t="str">
        <f>IFERROR(__xludf.DUMMYFUNCTION("""COMPUTED_VALUE"""),"")</f>
        <v/>
      </c>
      <c r="M575" s="16" t="str">
        <f>IFERROR(__xludf.DUMMYFUNCTION("""COMPUTED_VALUE"""),"")</f>
        <v/>
      </c>
      <c r="U575" s="16" t="s">
        <v>87</v>
      </c>
      <c r="V575" s="16" t="str">
        <f>IFERROR(__xludf.DUMMYFUNCTION("""COMPUTED_VALUE"""),"")</f>
        <v/>
      </c>
      <c r="W575" s="16" t="str">
        <f>IFERROR(__xludf.DUMMYFUNCTION("""COMPUTED_VALUE"""),"")</f>
        <v/>
      </c>
      <c r="X575" s="16" t="str">
        <f>IFERROR(__xludf.DUMMYFUNCTION("""COMPUTED_VALUE"""),"")</f>
        <v/>
      </c>
      <c r="AC575" s="16" t="str">
        <f>IFERROR(__xludf.DUMMYFUNCTION("""COMPUTED_VALUE"""),"")</f>
        <v/>
      </c>
    </row>
    <row r="576">
      <c r="A576" s="16" t="s">
        <v>87</v>
      </c>
      <c r="E576" s="16" t="str">
        <f>IFERROR(__xludf.DUMMYFUNCTION("""COMPUTED_VALUE"""),"")</f>
        <v/>
      </c>
      <c r="G576" s="18"/>
      <c r="H576" s="16" t="s">
        <v>87</v>
      </c>
      <c r="I576" s="16" t="s">
        <v>87</v>
      </c>
      <c r="J576" s="19"/>
      <c r="L576" s="16" t="str">
        <f>IFERROR(__xludf.DUMMYFUNCTION("""COMPUTED_VALUE"""),"")</f>
        <v/>
      </c>
      <c r="M576" s="16" t="str">
        <f>IFERROR(__xludf.DUMMYFUNCTION("""COMPUTED_VALUE"""),"")</f>
        <v/>
      </c>
      <c r="U576" s="16" t="s">
        <v>87</v>
      </c>
      <c r="V576" s="16" t="str">
        <f>IFERROR(__xludf.DUMMYFUNCTION("""COMPUTED_VALUE"""),"")</f>
        <v/>
      </c>
      <c r="W576" s="16" t="str">
        <f>IFERROR(__xludf.DUMMYFUNCTION("""COMPUTED_VALUE"""),"")</f>
        <v/>
      </c>
      <c r="X576" s="16" t="str">
        <f>IFERROR(__xludf.DUMMYFUNCTION("""COMPUTED_VALUE"""),"")</f>
        <v/>
      </c>
      <c r="AC576" s="16" t="str">
        <f>IFERROR(__xludf.DUMMYFUNCTION("""COMPUTED_VALUE"""),"")</f>
        <v/>
      </c>
    </row>
    <row r="577">
      <c r="A577" s="16" t="s">
        <v>87</v>
      </c>
      <c r="E577" s="16" t="str">
        <f>IFERROR(__xludf.DUMMYFUNCTION("""COMPUTED_VALUE"""),"")</f>
        <v/>
      </c>
      <c r="G577" s="18"/>
      <c r="H577" s="16" t="s">
        <v>87</v>
      </c>
      <c r="I577" s="16" t="s">
        <v>87</v>
      </c>
      <c r="J577" s="19"/>
      <c r="L577" s="16" t="str">
        <f>IFERROR(__xludf.DUMMYFUNCTION("""COMPUTED_VALUE"""),"")</f>
        <v/>
      </c>
      <c r="M577" s="16" t="str">
        <f>IFERROR(__xludf.DUMMYFUNCTION("""COMPUTED_VALUE"""),"")</f>
        <v/>
      </c>
      <c r="U577" s="16" t="s">
        <v>87</v>
      </c>
      <c r="V577" s="16" t="str">
        <f>IFERROR(__xludf.DUMMYFUNCTION("""COMPUTED_VALUE"""),"")</f>
        <v/>
      </c>
      <c r="W577" s="16" t="str">
        <f>IFERROR(__xludf.DUMMYFUNCTION("""COMPUTED_VALUE"""),"")</f>
        <v/>
      </c>
      <c r="X577" s="16" t="str">
        <f>IFERROR(__xludf.DUMMYFUNCTION("""COMPUTED_VALUE"""),"")</f>
        <v/>
      </c>
      <c r="AC577" s="16" t="str">
        <f>IFERROR(__xludf.DUMMYFUNCTION("""COMPUTED_VALUE"""),"")</f>
        <v/>
      </c>
    </row>
    <row r="578">
      <c r="A578" s="16" t="s">
        <v>87</v>
      </c>
      <c r="E578" s="16" t="str">
        <f>IFERROR(__xludf.DUMMYFUNCTION("""COMPUTED_VALUE"""),"")</f>
        <v/>
      </c>
      <c r="G578" s="18"/>
      <c r="H578" s="16" t="s">
        <v>87</v>
      </c>
      <c r="I578" s="16" t="s">
        <v>87</v>
      </c>
      <c r="J578" s="19"/>
      <c r="L578" s="16" t="str">
        <f>IFERROR(__xludf.DUMMYFUNCTION("""COMPUTED_VALUE"""),"")</f>
        <v/>
      </c>
      <c r="M578" s="16" t="str">
        <f>IFERROR(__xludf.DUMMYFUNCTION("""COMPUTED_VALUE"""),"")</f>
        <v/>
      </c>
      <c r="U578" s="16" t="s">
        <v>87</v>
      </c>
      <c r="V578" s="16" t="str">
        <f>IFERROR(__xludf.DUMMYFUNCTION("""COMPUTED_VALUE"""),"")</f>
        <v/>
      </c>
      <c r="W578" s="16" t="str">
        <f>IFERROR(__xludf.DUMMYFUNCTION("""COMPUTED_VALUE"""),"")</f>
        <v/>
      </c>
      <c r="X578" s="16" t="str">
        <f>IFERROR(__xludf.DUMMYFUNCTION("""COMPUTED_VALUE"""),"")</f>
        <v/>
      </c>
      <c r="AC578" s="16" t="str">
        <f>IFERROR(__xludf.DUMMYFUNCTION("""COMPUTED_VALUE"""),"")</f>
        <v/>
      </c>
    </row>
    <row r="579">
      <c r="A579" s="16" t="s">
        <v>87</v>
      </c>
      <c r="E579" s="16" t="str">
        <f>IFERROR(__xludf.DUMMYFUNCTION("""COMPUTED_VALUE"""),"")</f>
        <v/>
      </c>
      <c r="G579" s="18"/>
      <c r="H579" s="16" t="s">
        <v>87</v>
      </c>
      <c r="I579" s="16" t="s">
        <v>87</v>
      </c>
      <c r="J579" s="19"/>
      <c r="L579" s="16" t="str">
        <f>IFERROR(__xludf.DUMMYFUNCTION("""COMPUTED_VALUE"""),"")</f>
        <v/>
      </c>
      <c r="M579" s="16" t="str">
        <f>IFERROR(__xludf.DUMMYFUNCTION("""COMPUTED_VALUE"""),"")</f>
        <v/>
      </c>
      <c r="U579" s="16" t="s">
        <v>87</v>
      </c>
      <c r="V579" s="16" t="str">
        <f>IFERROR(__xludf.DUMMYFUNCTION("""COMPUTED_VALUE"""),"")</f>
        <v/>
      </c>
      <c r="W579" s="16" t="str">
        <f>IFERROR(__xludf.DUMMYFUNCTION("""COMPUTED_VALUE"""),"")</f>
        <v/>
      </c>
      <c r="X579" s="16" t="str">
        <f>IFERROR(__xludf.DUMMYFUNCTION("""COMPUTED_VALUE"""),"")</f>
        <v/>
      </c>
      <c r="AC579" s="16" t="str">
        <f>IFERROR(__xludf.DUMMYFUNCTION("""COMPUTED_VALUE"""),"")</f>
        <v/>
      </c>
    </row>
    <row r="580">
      <c r="A580" s="16" t="s">
        <v>87</v>
      </c>
      <c r="E580" s="16" t="str">
        <f>IFERROR(__xludf.DUMMYFUNCTION("""COMPUTED_VALUE"""),"")</f>
        <v/>
      </c>
      <c r="G580" s="18"/>
      <c r="H580" s="16" t="s">
        <v>87</v>
      </c>
      <c r="I580" s="16" t="s">
        <v>87</v>
      </c>
      <c r="J580" s="19"/>
      <c r="L580" s="16" t="str">
        <f>IFERROR(__xludf.DUMMYFUNCTION("""COMPUTED_VALUE"""),"")</f>
        <v/>
      </c>
      <c r="M580" s="16" t="str">
        <f>IFERROR(__xludf.DUMMYFUNCTION("""COMPUTED_VALUE"""),"")</f>
        <v/>
      </c>
      <c r="U580" s="16" t="s">
        <v>87</v>
      </c>
      <c r="V580" s="16" t="str">
        <f>IFERROR(__xludf.DUMMYFUNCTION("""COMPUTED_VALUE"""),"")</f>
        <v/>
      </c>
      <c r="W580" s="16" t="str">
        <f>IFERROR(__xludf.DUMMYFUNCTION("""COMPUTED_VALUE"""),"")</f>
        <v/>
      </c>
      <c r="X580" s="16" t="str">
        <f>IFERROR(__xludf.DUMMYFUNCTION("""COMPUTED_VALUE"""),"")</f>
        <v/>
      </c>
      <c r="AC580" s="16" t="str">
        <f>IFERROR(__xludf.DUMMYFUNCTION("""COMPUTED_VALUE"""),"")</f>
        <v/>
      </c>
    </row>
    <row r="581">
      <c r="A581" s="16" t="s">
        <v>87</v>
      </c>
      <c r="E581" s="16" t="str">
        <f>IFERROR(__xludf.DUMMYFUNCTION("""COMPUTED_VALUE"""),"")</f>
        <v/>
      </c>
      <c r="G581" s="18"/>
      <c r="H581" s="16" t="s">
        <v>87</v>
      </c>
      <c r="I581" s="16" t="s">
        <v>87</v>
      </c>
      <c r="J581" s="19"/>
      <c r="L581" s="16" t="str">
        <f>IFERROR(__xludf.DUMMYFUNCTION("""COMPUTED_VALUE"""),"")</f>
        <v/>
      </c>
      <c r="M581" s="16" t="str">
        <f>IFERROR(__xludf.DUMMYFUNCTION("""COMPUTED_VALUE"""),"")</f>
        <v/>
      </c>
      <c r="U581" s="16" t="s">
        <v>87</v>
      </c>
      <c r="V581" s="16" t="str">
        <f>IFERROR(__xludf.DUMMYFUNCTION("""COMPUTED_VALUE"""),"")</f>
        <v/>
      </c>
      <c r="W581" s="16" t="str">
        <f>IFERROR(__xludf.DUMMYFUNCTION("""COMPUTED_VALUE"""),"")</f>
        <v/>
      </c>
      <c r="X581" s="16" t="str">
        <f>IFERROR(__xludf.DUMMYFUNCTION("""COMPUTED_VALUE"""),"")</f>
        <v/>
      </c>
      <c r="AC581" s="16" t="str">
        <f>IFERROR(__xludf.DUMMYFUNCTION("""COMPUTED_VALUE"""),"")</f>
        <v/>
      </c>
    </row>
    <row r="582">
      <c r="A582" s="16" t="s">
        <v>87</v>
      </c>
      <c r="E582" s="16" t="str">
        <f>IFERROR(__xludf.DUMMYFUNCTION("""COMPUTED_VALUE"""),"")</f>
        <v/>
      </c>
      <c r="G582" s="18"/>
      <c r="H582" s="16" t="s">
        <v>87</v>
      </c>
      <c r="I582" s="16" t="s">
        <v>87</v>
      </c>
      <c r="J582" s="19"/>
      <c r="L582" s="16" t="str">
        <f>IFERROR(__xludf.DUMMYFUNCTION("""COMPUTED_VALUE"""),"")</f>
        <v/>
      </c>
      <c r="M582" s="16" t="str">
        <f>IFERROR(__xludf.DUMMYFUNCTION("""COMPUTED_VALUE"""),"")</f>
        <v/>
      </c>
      <c r="U582" s="16" t="s">
        <v>87</v>
      </c>
      <c r="V582" s="16" t="str">
        <f>IFERROR(__xludf.DUMMYFUNCTION("""COMPUTED_VALUE"""),"")</f>
        <v/>
      </c>
      <c r="W582" s="16" t="str">
        <f>IFERROR(__xludf.DUMMYFUNCTION("""COMPUTED_VALUE"""),"")</f>
        <v/>
      </c>
      <c r="X582" s="16" t="str">
        <f>IFERROR(__xludf.DUMMYFUNCTION("""COMPUTED_VALUE"""),"")</f>
        <v/>
      </c>
      <c r="AC582" s="16" t="str">
        <f>IFERROR(__xludf.DUMMYFUNCTION("""COMPUTED_VALUE"""),"")</f>
        <v/>
      </c>
    </row>
    <row r="583">
      <c r="A583" s="16" t="s">
        <v>87</v>
      </c>
      <c r="E583" s="16" t="str">
        <f>IFERROR(__xludf.DUMMYFUNCTION("""COMPUTED_VALUE"""),"")</f>
        <v/>
      </c>
      <c r="G583" s="18"/>
      <c r="H583" s="16" t="s">
        <v>87</v>
      </c>
      <c r="I583" s="16" t="s">
        <v>87</v>
      </c>
      <c r="J583" s="19"/>
      <c r="L583" s="16" t="str">
        <f>IFERROR(__xludf.DUMMYFUNCTION("""COMPUTED_VALUE"""),"")</f>
        <v/>
      </c>
      <c r="M583" s="16" t="str">
        <f>IFERROR(__xludf.DUMMYFUNCTION("""COMPUTED_VALUE"""),"")</f>
        <v/>
      </c>
      <c r="U583" s="16" t="s">
        <v>87</v>
      </c>
      <c r="V583" s="16" t="str">
        <f>IFERROR(__xludf.DUMMYFUNCTION("""COMPUTED_VALUE"""),"")</f>
        <v/>
      </c>
      <c r="W583" s="16" t="str">
        <f>IFERROR(__xludf.DUMMYFUNCTION("""COMPUTED_VALUE"""),"")</f>
        <v/>
      </c>
      <c r="X583" s="16" t="str">
        <f>IFERROR(__xludf.DUMMYFUNCTION("""COMPUTED_VALUE"""),"")</f>
        <v/>
      </c>
      <c r="AC583" s="16" t="str">
        <f>IFERROR(__xludf.DUMMYFUNCTION("""COMPUTED_VALUE"""),"")</f>
        <v/>
      </c>
    </row>
    <row r="584">
      <c r="A584" s="16" t="s">
        <v>87</v>
      </c>
      <c r="E584" s="16" t="str">
        <f>IFERROR(__xludf.DUMMYFUNCTION("""COMPUTED_VALUE"""),"")</f>
        <v/>
      </c>
      <c r="G584" s="18"/>
      <c r="H584" s="16" t="s">
        <v>87</v>
      </c>
      <c r="I584" s="16" t="s">
        <v>87</v>
      </c>
      <c r="J584" s="19"/>
      <c r="L584" s="16" t="str">
        <f>IFERROR(__xludf.DUMMYFUNCTION("""COMPUTED_VALUE"""),"")</f>
        <v/>
      </c>
      <c r="M584" s="16" t="str">
        <f>IFERROR(__xludf.DUMMYFUNCTION("""COMPUTED_VALUE"""),"")</f>
        <v/>
      </c>
      <c r="U584" s="16" t="s">
        <v>87</v>
      </c>
      <c r="V584" s="16" t="str">
        <f>IFERROR(__xludf.DUMMYFUNCTION("""COMPUTED_VALUE"""),"")</f>
        <v/>
      </c>
      <c r="W584" s="16" t="str">
        <f>IFERROR(__xludf.DUMMYFUNCTION("""COMPUTED_VALUE"""),"")</f>
        <v/>
      </c>
      <c r="X584" s="16" t="str">
        <f>IFERROR(__xludf.DUMMYFUNCTION("""COMPUTED_VALUE"""),"")</f>
        <v/>
      </c>
      <c r="AC584" s="16" t="str">
        <f>IFERROR(__xludf.DUMMYFUNCTION("""COMPUTED_VALUE"""),"")</f>
        <v/>
      </c>
    </row>
    <row r="585">
      <c r="A585" s="16" t="s">
        <v>87</v>
      </c>
      <c r="E585" s="16" t="str">
        <f>IFERROR(__xludf.DUMMYFUNCTION("""COMPUTED_VALUE"""),"")</f>
        <v/>
      </c>
      <c r="G585" s="18"/>
      <c r="H585" s="16" t="s">
        <v>87</v>
      </c>
      <c r="I585" s="16" t="s">
        <v>87</v>
      </c>
      <c r="J585" s="19"/>
      <c r="L585" s="16" t="str">
        <f>IFERROR(__xludf.DUMMYFUNCTION("""COMPUTED_VALUE"""),"")</f>
        <v/>
      </c>
      <c r="M585" s="16" t="str">
        <f>IFERROR(__xludf.DUMMYFUNCTION("""COMPUTED_VALUE"""),"")</f>
        <v/>
      </c>
      <c r="U585" s="16" t="s">
        <v>87</v>
      </c>
      <c r="V585" s="16" t="str">
        <f>IFERROR(__xludf.DUMMYFUNCTION("""COMPUTED_VALUE"""),"")</f>
        <v/>
      </c>
      <c r="W585" s="16" t="str">
        <f>IFERROR(__xludf.DUMMYFUNCTION("""COMPUTED_VALUE"""),"")</f>
        <v/>
      </c>
      <c r="X585" s="16" t="str">
        <f>IFERROR(__xludf.DUMMYFUNCTION("""COMPUTED_VALUE"""),"")</f>
        <v/>
      </c>
      <c r="AC585" s="16" t="str">
        <f>IFERROR(__xludf.DUMMYFUNCTION("""COMPUTED_VALUE"""),"")</f>
        <v/>
      </c>
    </row>
    <row r="586">
      <c r="A586" s="16" t="s">
        <v>87</v>
      </c>
      <c r="E586" s="16" t="str">
        <f>IFERROR(__xludf.DUMMYFUNCTION("""COMPUTED_VALUE"""),"")</f>
        <v/>
      </c>
      <c r="G586" s="18"/>
      <c r="H586" s="16" t="s">
        <v>87</v>
      </c>
      <c r="I586" s="16" t="s">
        <v>87</v>
      </c>
      <c r="J586" s="19"/>
      <c r="L586" s="16" t="str">
        <f>IFERROR(__xludf.DUMMYFUNCTION("""COMPUTED_VALUE"""),"")</f>
        <v/>
      </c>
      <c r="M586" s="16" t="str">
        <f>IFERROR(__xludf.DUMMYFUNCTION("""COMPUTED_VALUE"""),"")</f>
        <v/>
      </c>
      <c r="U586" s="16" t="s">
        <v>87</v>
      </c>
      <c r="V586" s="16" t="str">
        <f>IFERROR(__xludf.DUMMYFUNCTION("""COMPUTED_VALUE"""),"")</f>
        <v/>
      </c>
      <c r="W586" s="16" t="str">
        <f>IFERROR(__xludf.DUMMYFUNCTION("""COMPUTED_VALUE"""),"")</f>
        <v/>
      </c>
      <c r="X586" s="16" t="str">
        <f>IFERROR(__xludf.DUMMYFUNCTION("""COMPUTED_VALUE"""),"")</f>
        <v/>
      </c>
      <c r="AC586" s="16" t="str">
        <f>IFERROR(__xludf.DUMMYFUNCTION("""COMPUTED_VALUE"""),"")</f>
        <v/>
      </c>
    </row>
    <row r="587">
      <c r="A587" s="16" t="s">
        <v>87</v>
      </c>
      <c r="E587" s="16" t="str">
        <f>IFERROR(__xludf.DUMMYFUNCTION("""COMPUTED_VALUE"""),"")</f>
        <v/>
      </c>
      <c r="G587" s="18"/>
      <c r="H587" s="16" t="s">
        <v>87</v>
      </c>
      <c r="I587" s="16" t="s">
        <v>87</v>
      </c>
      <c r="J587" s="19"/>
      <c r="L587" s="16" t="str">
        <f>IFERROR(__xludf.DUMMYFUNCTION("""COMPUTED_VALUE"""),"")</f>
        <v/>
      </c>
      <c r="M587" s="16" t="str">
        <f>IFERROR(__xludf.DUMMYFUNCTION("""COMPUTED_VALUE"""),"")</f>
        <v/>
      </c>
      <c r="U587" s="16" t="s">
        <v>87</v>
      </c>
      <c r="V587" s="16" t="str">
        <f>IFERROR(__xludf.DUMMYFUNCTION("""COMPUTED_VALUE"""),"")</f>
        <v/>
      </c>
      <c r="W587" s="16" t="str">
        <f>IFERROR(__xludf.DUMMYFUNCTION("""COMPUTED_VALUE"""),"")</f>
        <v/>
      </c>
      <c r="X587" s="16" t="str">
        <f>IFERROR(__xludf.DUMMYFUNCTION("""COMPUTED_VALUE"""),"")</f>
        <v/>
      </c>
      <c r="AC587" s="16" t="str">
        <f>IFERROR(__xludf.DUMMYFUNCTION("""COMPUTED_VALUE"""),"")</f>
        <v/>
      </c>
    </row>
    <row r="588">
      <c r="A588" s="16" t="s">
        <v>87</v>
      </c>
      <c r="E588" s="16" t="str">
        <f>IFERROR(__xludf.DUMMYFUNCTION("""COMPUTED_VALUE"""),"")</f>
        <v/>
      </c>
      <c r="G588" s="18"/>
      <c r="H588" s="16" t="s">
        <v>87</v>
      </c>
      <c r="I588" s="16" t="s">
        <v>87</v>
      </c>
      <c r="J588" s="19"/>
      <c r="L588" s="16" t="str">
        <f>IFERROR(__xludf.DUMMYFUNCTION("""COMPUTED_VALUE"""),"")</f>
        <v/>
      </c>
      <c r="M588" s="16" t="str">
        <f>IFERROR(__xludf.DUMMYFUNCTION("""COMPUTED_VALUE"""),"")</f>
        <v/>
      </c>
      <c r="U588" s="16" t="s">
        <v>87</v>
      </c>
      <c r="V588" s="16" t="str">
        <f>IFERROR(__xludf.DUMMYFUNCTION("""COMPUTED_VALUE"""),"")</f>
        <v/>
      </c>
      <c r="W588" s="16" t="str">
        <f>IFERROR(__xludf.DUMMYFUNCTION("""COMPUTED_VALUE"""),"")</f>
        <v/>
      </c>
      <c r="X588" s="16" t="str">
        <f>IFERROR(__xludf.DUMMYFUNCTION("""COMPUTED_VALUE"""),"")</f>
        <v/>
      </c>
      <c r="AC588" s="16" t="str">
        <f>IFERROR(__xludf.DUMMYFUNCTION("""COMPUTED_VALUE"""),"")</f>
        <v/>
      </c>
    </row>
    <row r="589">
      <c r="A589" s="16" t="s">
        <v>87</v>
      </c>
      <c r="E589" s="16" t="str">
        <f>IFERROR(__xludf.DUMMYFUNCTION("""COMPUTED_VALUE"""),"")</f>
        <v/>
      </c>
      <c r="G589" s="18"/>
      <c r="H589" s="16" t="s">
        <v>87</v>
      </c>
      <c r="I589" s="16" t="s">
        <v>87</v>
      </c>
      <c r="J589" s="19"/>
      <c r="L589" s="16" t="str">
        <f>IFERROR(__xludf.DUMMYFUNCTION("""COMPUTED_VALUE"""),"")</f>
        <v/>
      </c>
      <c r="M589" s="16" t="str">
        <f>IFERROR(__xludf.DUMMYFUNCTION("""COMPUTED_VALUE"""),"")</f>
        <v/>
      </c>
      <c r="U589" s="16" t="s">
        <v>87</v>
      </c>
      <c r="V589" s="16" t="str">
        <f>IFERROR(__xludf.DUMMYFUNCTION("""COMPUTED_VALUE"""),"")</f>
        <v/>
      </c>
      <c r="W589" s="16" t="str">
        <f>IFERROR(__xludf.DUMMYFUNCTION("""COMPUTED_VALUE"""),"")</f>
        <v/>
      </c>
      <c r="X589" s="16" t="str">
        <f>IFERROR(__xludf.DUMMYFUNCTION("""COMPUTED_VALUE"""),"")</f>
        <v/>
      </c>
      <c r="AC589" s="16" t="str">
        <f>IFERROR(__xludf.DUMMYFUNCTION("""COMPUTED_VALUE"""),"")</f>
        <v/>
      </c>
    </row>
    <row r="590">
      <c r="A590" s="16" t="s">
        <v>87</v>
      </c>
      <c r="E590" s="16" t="str">
        <f>IFERROR(__xludf.DUMMYFUNCTION("""COMPUTED_VALUE"""),"")</f>
        <v/>
      </c>
      <c r="G590" s="18"/>
      <c r="H590" s="16" t="s">
        <v>87</v>
      </c>
      <c r="I590" s="16" t="s">
        <v>87</v>
      </c>
      <c r="J590" s="19"/>
      <c r="L590" s="16" t="str">
        <f>IFERROR(__xludf.DUMMYFUNCTION("""COMPUTED_VALUE"""),"")</f>
        <v/>
      </c>
      <c r="M590" s="16" t="str">
        <f>IFERROR(__xludf.DUMMYFUNCTION("""COMPUTED_VALUE"""),"")</f>
        <v/>
      </c>
      <c r="U590" s="16" t="s">
        <v>87</v>
      </c>
      <c r="V590" s="16" t="str">
        <f>IFERROR(__xludf.DUMMYFUNCTION("""COMPUTED_VALUE"""),"")</f>
        <v/>
      </c>
      <c r="W590" s="16" t="str">
        <f>IFERROR(__xludf.DUMMYFUNCTION("""COMPUTED_VALUE"""),"")</f>
        <v/>
      </c>
      <c r="X590" s="16" t="str">
        <f>IFERROR(__xludf.DUMMYFUNCTION("""COMPUTED_VALUE"""),"")</f>
        <v/>
      </c>
      <c r="AC590" s="16" t="str">
        <f>IFERROR(__xludf.DUMMYFUNCTION("""COMPUTED_VALUE"""),"")</f>
        <v/>
      </c>
    </row>
    <row r="591">
      <c r="A591" s="16" t="s">
        <v>87</v>
      </c>
      <c r="E591" s="16" t="str">
        <f>IFERROR(__xludf.DUMMYFUNCTION("""COMPUTED_VALUE"""),"")</f>
        <v/>
      </c>
      <c r="G591" s="18"/>
      <c r="H591" s="16" t="s">
        <v>87</v>
      </c>
      <c r="I591" s="16" t="s">
        <v>87</v>
      </c>
      <c r="J591" s="19"/>
      <c r="L591" s="16" t="str">
        <f>IFERROR(__xludf.DUMMYFUNCTION("""COMPUTED_VALUE"""),"")</f>
        <v/>
      </c>
      <c r="M591" s="16" t="str">
        <f>IFERROR(__xludf.DUMMYFUNCTION("""COMPUTED_VALUE"""),"")</f>
        <v/>
      </c>
      <c r="U591" s="16" t="s">
        <v>87</v>
      </c>
      <c r="V591" s="16" t="str">
        <f>IFERROR(__xludf.DUMMYFUNCTION("""COMPUTED_VALUE"""),"")</f>
        <v/>
      </c>
      <c r="W591" s="16" t="str">
        <f>IFERROR(__xludf.DUMMYFUNCTION("""COMPUTED_VALUE"""),"")</f>
        <v/>
      </c>
      <c r="X591" s="16" t="str">
        <f>IFERROR(__xludf.DUMMYFUNCTION("""COMPUTED_VALUE"""),"")</f>
        <v/>
      </c>
      <c r="AC591" s="16" t="str">
        <f>IFERROR(__xludf.DUMMYFUNCTION("""COMPUTED_VALUE"""),"")</f>
        <v/>
      </c>
    </row>
    <row r="592">
      <c r="A592" s="16" t="s">
        <v>87</v>
      </c>
      <c r="E592" s="16" t="str">
        <f>IFERROR(__xludf.DUMMYFUNCTION("""COMPUTED_VALUE"""),"")</f>
        <v/>
      </c>
      <c r="G592" s="18"/>
      <c r="H592" s="16" t="s">
        <v>87</v>
      </c>
      <c r="I592" s="16" t="s">
        <v>87</v>
      </c>
      <c r="J592" s="19"/>
      <c r="L592" s="16" t="str">
        <f>IFERROR(__xludf.DUMMYFUNCTION("""COMPUTED_VALUE"""),"")</f>
        <v/>
      </c>
      <c r="M592" s="16" t="str">
        <f>IFERROR(__xludf.DUMMYFUNCTION("""COMPUTED_VALUE"""),"")</f>
        <v/>
      </c>
      <c r="U592" s="16" t="s">
        <v>87</v>
      </c>
      <c r="V592" s="16" t="str">
        <f>IFERROR(__xludf.DUMMYFUNCTION("""COMPUTED_VALUE"""),"")</f>
        <v/>
      </c>
      <c r="W592" s="16" t="str">
        <f>IFERROR(__xludf.DUMMYFUNCTION("""COMPUTED_VALUE"""),"")</f>
        <v/>
      </c>
      <c r="X592" s="16" t="str">
        <f>IFERROR(__xludf.DUMMYFUNCTION("""COMPUTED_VALUE"""),"")</f>
        <v/>
      </c>
      <c r="AC592" s="16" t="str">
        <f>IFERROR(__xludf.DUMMYFUNCTION("""COMPUTED_VALUE"""),"")</f>
        <v/>
      </c>
    </row>
    <row r="593">
      <c r="A593" s="16" t="s">
        <v>87</v>
      </c>
      <c r="E593" s="16" t="str">
        <f>IFERROR(__xludf.DUMMYFUNCTION("""COMPUTED_VALUE"""),"")</f>
        <v/>
      </c>
      <c r="G593" s="18"/>
      <c r="H593" s="16" t="s">
        <v>87</v>
      </c>
      <c r="I593" s="16" t="s">
        <v>87</v>
      </c>
      <c r="J593" s="19"/>
      <c r="L593" s="16" t="str">
        <f>IFERROR(__xludf.DUMMYFUNCTION("""COMPUTED_VALUE"""),"")</f>
        <v/>
      </c>
      <c r="M593" s="16" t="str">
        <f>IFERROR(__xludf.DUMMYFUNCTION("""COMPUTED_VALUE"""),"")</f>
        <v/>
      </c>
      <c r="U593" s="16" t="s">
        <v>87</v>
      </c>
      <c r="V593" s="16" t="str">
        <f>IFERROR(__xludf.DUMMYFUNCTION("""COMPUTED_VALUE"""),"")</f>
        <v/>
      </c>
      <c r="W593" s="16" t="str">
        <f>IFERROR(__xludf.DUMMYFUNCTION("""COMPUTED_VALUE"""),"")</f>
        <v/>
      </c>
      <c r="X593" s="16" t="str">
        <f>IFERROR(__xludf.DUMMYFUNCTION("""COMPUTED_VALUE"""),"")</f>
        <v/>
      </c>
      <c r="AC593" s="16" t="str">
        <f>IFERROR(__xludf.DUMMYFUNCTION("""COMPUTED_VALUE"""),"")</f>
        <v/>
      </c>
    </row>
    <row r="594">
      <c r="A594" s="16" t="s">
        <v>87</v>
      </c>
      <c r="E594" s="16" t="str">
        <f>IFERROR(__xludf.DUMMYFUNCTION("""COMPUTED_VALUE"""),"")</f>
        <v/>
      </c>
      <c r="G594" s="18"/>
      <c r="H594" s="16" t="s">
        <v>87</v>
      </c>
      <c r="I594" s="16" t="s">
        <v>87</v>
      </c>
      <c r="J594" s="19"/>
      <c r="L594" s="16" t="str">
        <f>IFERROR(__xludf.DUMMYFUNCTION("""COMPUTED_VALUE"""),"")</f>
        <v/>
      </c>
      <c r="M594" s="16" t="str">
        <f>IFERROR(__xludf.DUMMYFUNCTION("""COMPUTED_VALUE"""),"")</f>
        <v/>
      </c>
      <c r="U594" s="16" t="s">
        <v>87</v>
      </c>
      <c r="V594" s="16" t="str">
        <f>IFERROR(__xludf.DUMMYFUNCTION("""COMPUTED_VALUE"""),"")</f>
        <v/>
      </c>
      <c r="W594" s="16" t="str">
        <f>IFERROR(__xludf.DUMMYFUNCTION("""COMPUTED_VALUE"""),"")</f>
        <v/>
      </c>
      <c r="X594" s="16" t="str">
        <f>IFERROR(__xludf.DUMMYFUNCTION("""COMPUTED_VALUE"""),"")</f>
        <v/>
      </c>
      <c r="AC594" s="16" t="str">
        <f>IFERROR(__xludf.DUMMYFUNCTION("""COMPUTED_VALUE"""),"")</f>
        <v/>
      </c>
    </row>
    <row r="595">
      <c r="A595" s="16" t="s">
        <v>87</v>
      </c>
      <c r="E595" s="16" t="str">
        <f>IFERROR(__xludf.DUMMYFUNCTION("""COMPUTED_VALUE"""),"")</f>
        <v/>
      </c>
      <c r="G595" s="18"/>
      <c r="H595" s="16" t="s">
        <v>87</v>
      </c>
      <c r="I595" s="16" t="s">
        <v>87</v>
      </c>
      <c r="J595" s="19"/>
      <c r="L595" s="16" t="str">
        <f>IFERROR(__xludf.DUMMYFUNCTION("""COMPUTED_VALUE"""),"")</f>
        <v/>
      </c>
      <c r="M595" s="16" t="str">
        <f>IFERROR(__xludf.DUMMYFUNCTION("""COMPUTED_VALUE"""),"")</f>
        <v/>
      </c>
      <c r="U595" s="16" t="s">
        <v>87</v>
      </c>
      <c r="V595" s="16" t="str">
        <f>IFERROR(__xludf.DUMMYFUNCTION("""COMPUTED_VALUE"""),"")</f>
        <v/>
      </c>
      <c r="W595" s="16" t="str">
        <f>IFERROR(__xludf.DUMMYFUNCTION("""COMPUTED_VALUE"""),"")</f>
        <v/>
      </c>
      <c r="X595" s="16" t="str">
        <f>IFERROR(__xludf.DUMMYFUNCTION("""COMPUTED_VALUE"""),"")</f>
        <v/>
      </c>
      <c r="AC595" s="16" t="str">
        <f>IFERROR(__xludf.DUMMYFUNCTION("""COMPUTED_VALUE"""),"")</f>
        <v/>
      </c>
    </row>
    <row r="596">
      <c r="A596" s="16" t="s">
        <v>87</v>
      </c>
      <c r="E596" s="16" t="str">
        <f>IFERROR(__xludf.DUMMYFUNCTION("""COMPUTED_VALUE"""),"")</f>
        <v/>
      </c>
      <c r="G596" s="18"/>
      <c r="H596" s="16" t="s">
        <v>87</v>
      </c>
      <c r="I596" s="16" t="s">
        <v>87</v>
      </c>
      <c r="J596" s="19"/>
      <c r="L596" s="16" t="str">
        <f>IFERROR(__xludf.DUMMYFUNCTION("""COMPUTED_VALUE"""),"")</f>
        <v/>
      </c>
      <c r="M596" s="16" t="str">
        <f>IFERROR(__xludf.DUMMYFUNCTION("""COMPUTED_VALUE"""),"")</f>
        <v/>
      </c>
      <c r="U596" s="16" t="s">
        <v>87</v>
      </c>
      <c r="V596" s="16" t="str">
        <f>IFERROR(__xludf.DUMMYFUNCTION("""COMPUTED_VALUE"""),"")</f>
        <v/>
      </c>
      <c r="W596" s="16" t="str">
        <f>IFERROR(__xludf.DUMMYFUNCTION("""COMPUTED_VALUE"""),"")</f>
        <v/>
      </c>
      <c r="X596" s="16" t="str">
        <f>IFERROR(__xludf.DUMMYFUNCTION("""COMPUTED_VALUE"""),"")</f>
        <v/>
      </c>
      <c r="AC596" s="16" t="str">
        <f>IFERROR(__xludf.DUMMYFUNCTION("""COMPUTED_VALUE"""),"")</f>
        <v/>
      </c>
    </row>
    <row r="597">
      <c r="A597" s="16" t="s">
        <v>87</v>
      </c>
      <c r="E597" s="16" t="str">
        <f>IFERROR(__xludf.DUMMYFUNCTION("""COMPUTED_VALUE"""),"")</f>
        <v/>
      </c>
      <c r="G597" s="18"/>
      <c r="H597" s="16" t="s">
        <v>87</v>
      </c>
      <c r="I597" s="16" t="s">
        <v>87</v>
      </c>
      <c r="J597" s="19"/>
      <c r="L597" s="16" t="str">
        <f>IFERROR(__xludf.DUMMYFUNCTION("""COMPUTED_VALUE"""),"")</f>
        <v/>
      </c>
      <c r="M597" s="16" t="str">
        <f>IFERROR(__xludf.DUMMYFUNCTION("""COMPUTED_VALUE"""),"")</f>
        <v/>
      </c>
      <c r="U597" s="16" t="s">
        <v>87</v>
      </c>
      <c r="V597" s="16" t="str">
        <f>IFERROR(__xludf.DUMMYFUNCTION("""COMPUTED_VALUE"""),"")</f>
        <v/>
      </c>
      <c r="W597" s="16" t="str">
        <f>IFERROR(__xludf.DUMMYFUNCTION("""COMPUTED_VALUE"""),"")</f>
        <v/>
      </c>
      <c r="X597" s="16" t="str">
        <f>IFERROR(__xludf.DUMMYFUNCTION("""COMPUTED_VALUE"""),"")</f>
        <v/>
      </c>
      <c r="AC597" s="16" t="str">
        <f>IFERROR(__xludf.DUMMYFUNCTION("""COMPUTED_VALUE"""),"")</f>
        <v/>
      </c>
    </row>
    <row r="598">
      <c r="A598" s="16" t="s">
        <v>87</v>
      </c>
      <c r="E598" s="16" t="str">
        <f>IFERROR(__xludf.DUMMYFUNCTION("""COMPUTED_VALUE"""),"")</f>
        <v/>
      </c>
      <c r="G598" s="18"/>
      <c r="H598" s="16" t="s">
        <v>87</v>
      </c>
      <c r="I598" s="16" t="s">
        <v>87</v>
      </c>
      <c r="J598" s="19"/>
      <c r="L598" s="16" t="str">
        <f>IFERROR(__xludf.DUMMYFUNCTION("""COMPUTED_VALUE"""),"")</f>
        <v/>
      </c>
      <c r="M598" s="16" t="str">
        <f>IFERROR(__xludf.DUMMYFUNCTION("""COMPUTED_VALUE"""),"")</f>
        <v/>
      </c>
      <c r="U598" s="16" t="s">
        <v>87</v>
      </c>
      <c r="V598" s="16" t="str">
        <f>IFERROR(__xludf.DUMMYFUNCTION("""COMPUTED_VALUE"""),"")</f>
        <v/>
      </c>
      <c r="W598" s="16" t="str">
        <f>IFERROR(__xludf.DUMMYFUNCTION("""COMPUTED_VALUE"""),"")</f>
        <v/>
      </c>
      <c r="X598" s="16" t="str">
        <f>IFERROR(__xludf.DUMMYFUNCTION("""COMPUTED_VALUE"""),"")</f>
        <v/>
      </c>
      <c r="AC598" s="16" t="str">
        <f>IFERROR(__xludf.DUMMYFUNCTION("""COMPUTED_VALUE"""),"")</f>
        <v/>
      </c>
    </row>
    <row r="599">
      <c r="A599" s="16" t="s">
        <v>87</v>
      </c>
      <c r="E599" s="16" t="str">
        <f>IFERROR(__xludf.DUMMYFUNCTION("""COMPUTED_VALUE"""),"")</f>
        <v/>
      </c>
      <c r="G599" s="18"/>
      <c r="H599" s="16" t="s">
        <v>87</v>
      </c>
      <c r="I599" s="16" t="s">
        <v>87</v>
      </c>
      <c r="J599" s="19"/>
      <c r="L599" s="16" t="str">
        <f>IFERROR(__xludf.DUMMYFUNCTION("""COMPUTED_VALUE"""),"")</f>
        <v/>
      </c>
      <c r="M599" s="16" t="str">
        <f>IFERROR(__xludf.DUMMYFUNCTION("""COMPUTED_VALUE"""),"")</f>
        <v/>
      </c>
      <c r="U599" s="16" t="s">
        <v>87</v>
      </c>
      <c r="V599" s="16" t="str">
        <f>IFERROR(__xludf.DUMMYFUNCTION("""COMPUTED_VALUE"""),"")</f>
        <v/>
      </c>
      <c r="W599" s="16" t="str">
        <f>IFERROR(__xludf.DUMMYFUNCTION("""COMPUTED_VALUE"""),"")</f>
        <v/>
      </c>
      <c r="X599" s="16" t="str">
        <f>IFERROR(__xludf.DUMMYFUNCTION("""COMPUTED_VALUE"""),"")</f>
        <v/>
      </c>
      <c r="AC599" s="16" t="str">
        <f>IFERROR(__xludf.DUMMYFUNCTION("""COMPUTED_VALUE"""),"")</f>
        <v/>
      </c>
    </row>
    <row r="600">
      <c r="A600" s="16" t="s">
        <v>87</v>
      </c>
      <c r="E600" s="16" t="str">
        <f>IFERROR(__xludf.DUMMYFUNCTION("""COMPUTED_VALUE"""),"")</f>
        <v/>
      </c>
      <c r="G600" s="18"/>
      <c r="H600" s="16" t="s">
        <v>87</v>
      </c>
      <c r="I600" s="16" t="s">
        <v>87</v>
      </c>
      <c r="J600" s="19"/>
      <c r="L600" s="16" t="str">
        <f>IFERROR(__xludf.DUMMYFUNCTION("""COMPUTED_VALUE"""),"")</f>
        <v/>
      </c>
      <c r="M600" s="16" t="str">
        <f>IFERROR(__xludf.DUMMYFUNCTION("""COMPUTED_VALUE"""),"")</f>
        <v/>
      </c>
      <c r="U600" s="16" t="s">
        <v>87</v>
      </c>
      <c r="V600" s="16" t="str">
        <f>IFERROR(__xludf.DUMMYFUNCTION("""COMPUTED_VALUE"""),"")</f>
        <v/>
      </c>
      <c r="W600" s="16" t="str">
        <f>IFERROR(__xludf.DUMMYFUNCTION("""COMPUTED_VALUE"""),"")</f>
        <v/>
      </c>
      <c r="X600" s="16" t="str">
        <f>IFERROR(__xludf.DUMMYFUNCTION("""COMPUTED_VALUE"""),"")</f>
        <v/>
      </c>
      <c r="AC600" s="16" t="str">
        <f>IFERROR(__xludf.DUMMYFUNCTION("""COMPUTED_VALUE"""),"")</f>
        <v/>
      </c>
    </row>
    <row r="601">
      <c r="A601" s="16" t="s">
        <v>87</v>
      </c>
      <c r="E601" s="16" t="str">
        <f>IFERROR(__xludf.DUMMYFUNCTION("""COMPUTED_VALUE"""),"")</f>
        <v/>
      </c>
      <c r="G601" s="18"/>
      <c r="H601" s="16" t="s">
        <v>87</v>
      </c>
      <c r="I601" s="16" t="s">
        <v>87</v>
      </c>
      <c r="J601" s="19"/>
      <c r="L601" s="16" t="str">
        <f>IFERROR(__xludf.DUMMYFUNCTION("""COMPUTED_VALUE"""),"")</f>
        <v/>
      </c>
      <c r="M601" s="16" t="str">
        <f>IFERROR(__xludf.DUMMYFUNCTION("""COMPUTED_VALUE"""),"")</f>
        <v/>
      </c>
      <c r="U601" s="16" t="s">
        <v>87</v>
      </c>
      <c r="V601" s="16" t="str">
        <f>IFERROR(__xludf.DUMMYFUNCTION("""COMPUTED_VALUE"""),"")</f>
        <v/>
      </c>
      <c r="W601" s="16" t="str">
        <f>IFERROR(__xludf.DUMMYFUNCTION("""COMPUTED_VALUE"""),"")</f>
        <v/>
      </c>
      <c r="X601" s="16" t="str">
        <f>IFERROR(__xludf.DUMMYFUNCTION("""COMPUTED_VALUE"""),"")</f>
        <v/>
      </c>
      <c r="AC601" s="16" t="str">
        <f>IFERROR(__xludf.DUMMYFUNCTION("""COMPUTED_VALUE"""),"")</f>
        <v/>
      </c>
    </row>
    <row r="602">
      <c r="A602" s="16" t="s">
        <v>87</v>
      </c>
      <c r="E602" s="16" t="str">
        <f>IFERROR(__xludf.DUMMYFUNCTION("""COMPUTED_VALUE"""),"")</f>
        <v/>
      </c>
      <c r="G602" s="18"/>
      <c r="H602" s="16" t="s">
        <v>87</v>
      </c>
      <c r="I602" s="16" t="s">
        <v>87</v>
      </c>
      <c r="J602" s="19"/>
      <c r="L602" s="16" t="str">
        <f>IFERROR(__xludf.DUMMYFUNCTION("""COMPUTED_VALUE"""),"")</f>
        <v/>
      </c>
      <c r="M602" s="16" t="str">
        <f>IFERROR(__xludf.DUMMYFUNCTION("""COMPUTED_VALUE"""),"")</f>
        <v/>
      </c>
      <c r="U602" s="16" t="s">
        <v>87</v>
      </c>
      <c r="V602" s="16" t="str">
        <f>IFERROR(__xludf.DUMMYFUNCTION("""COMPUTED_VALUE"""),"")</f>
        <v/>
      </c>
      <c r="W602" s="16" t="str">
        <f>IFERROR(__xludf.DUMMYFUNCTION("""COMPUTED_VALUE"""),"")</f>
        <v/>
      </c>
      <c r="X602" s="16" t="str">
        <f>IFERROR(__xludf.DUMMYFUNCTION("""COMPUTED_VALUE"""),"")</f>
        <v/>
      </c>
      <c r="AC602" s="16" t="str">
        <f>IFERROR(__xludf.DUMMYFUNCTION("""COMPUTED_VALUE"""),"")</f>
        <v/>
      </c>
    </row>
    <row r="603">
      <c r="A603" s="16" t="s">
        <v>87</v>
      </c>
      <c r="E603" s="16" t="str">
        <f>IFERROR(__xludf.DUMMYFUNCTION("""COMPUTED_VALUE"""),"")</f>
        <v/>
      </c>
      <c r="G603" s="18"/>
      <c r="H603" s="16" t="s">
        <v>87</v>
      </c>
      <c r="I603" s="16" t="s">
        <v>87</v>
      </c>
      <c r="J603" s="19"/>
      <c r="L603" s="16" t="str">
        <f>IFERROR(__xludf.DUMMYFUNCTION("""COMPUTED_VALUE"""),"")</f>
        <v/>
      </c>
      <c r="M603" s="16" t="str">
        <f>IFERROR(__xludf.DUMMYFUNCTION("""COMPUTED_VALUE"""),"")</f>
        <v/>
      </c>
      <c r="U603" s="16" t="s">
        <v>87</v>
      </c>
      <c r="V603" s="16" t="str">
        <f>IFERROR(__xludf.DUMMYFUNCTION("""COMPUTED_VALUE"""),"")</f>
        <v/>
      </c>
      <c r="W603" s="16" t="str">
        <f>IFERROR(__xludf.DUMMYFUNCTION("""COMPUTED_VALUE"""),"")</f>
        <v/>
      </c>
      <c r="X603" s="16" t="str">
        <f>IFERROR(__xludf.DUMMYFUNCTION("""COMPUTED_VALUE"""),"")</f>
        <v/>
      </c>
      <c r="AC603" s="16" t="str">
        <f>IFERROR(__xludf.DUMMYFUNCTION("""COMPUTED_VALUE"""),"")</f>
        <v/>
      </c>
    </row>
    <row r="604">
      <c r="A604" s="16" t="s">
        <v>87</v>
      </c>
      <c r="E604" s="16" t="str">
        <f>IFERROR(__xludf.DUMMYFUNCTION("""COMPUTED_VALUE"""),"")</f>
        <v/>
      </c>
      <c r="G604" s="18"/>
      <c r="H604" s="16" t="s">
        <v>87</v>
      </c>
      <c r="I604" s="16" t="s">
        <v>87</v>
      </c>
      <c r="J604" s="19"/>
      <c r="L604" s="16" t="str">
        <f>IFERROR(__xludf.DUMMYFUNCTION("""COMPUTED_VALUE"""),"")</f>
        <v/>
      </c>
      <c r="M604" s="16" t="str">
        <f>IFERROR(__xludf.DUMMYFUNCTION("""COMPUTED_VALUE"""),"")</f>
        <v/>
      </c>
      <c r="U604" s="16" t="s">
        <v>87</v>
      </c>
      <c r="V604" s="16" t="str">
        <f>IFERROR(__xludf.DUMMYFUNCTION("""COMPUTED_VALUE"""),"")</f>
        <v/>
      </c>
      <c r="W604" s="16" t="str">
        <f>IFERROR(__xludf.DUMMYFUNCTION("""COMPUTED_VALUE"""),"")</f>
        <v/>
      </c>
      <c r="X604" s="16" t="str">
        <f>IFERROR(__xludf.DUMMYFUNCTION("""COMPUTED_VALUE"""),"")</f>
        <v/>
      </c>
      <c r="AC604" s="16" t="str">
        <f>IFERROR(__xludf.DUMMYFUNCTION("""COMPUTED_VALUE"""),"")</f>
        <v/>
      </c>
    </row>
    <row r="605">
      <c r="A605" s="16" t="s">
        <v>87</v>
      </c>
      <c r="E605" s="16" t="str">
        <f>IFERROR(__xludf.DUMMYFUNCTION("""COMPUTED_VALUE"""),"")</f>
        <v/>
      </c>
      <c r="G605" s="18"/>
      <c r="H605" s="16" t="s">
        <v>87</v>
      </c>
      <c r="I605" s="16" t="s">
        <v>87</v>
      </c>
      <c r="J605" s="19"/>
      <c r="L605" s="16" t="str">
        <f>IFERROR(__xludf.DUMMYFUNCTION("""COMPUTED_VALUE"""),"")</f>
        <v/>
      </c>
      <c r="M605" s="16" t="str">
        <f>IFERROR(__xludf.DUMMYFUNCTION("""COMPUTED_VALUE"""),"")</f>
        <v/>
      </c>
      <c r="U605" s="16" t="s">
        <v>87</v>
      </c>
      <c r="V605" s="16" t="str">
        <f>IFERROR(__xludf.DUMMYFUNCTION("""COMPUTED_VALUE"""),"")</f>
        <v/>
      </c>
      <c r="W605" s="16" t="str">
        <f>IFERROR(__xludf.DUMMYFUNCTION("""COMPUTED_VALUE"""),"")</f>
        <v/>
      </c>
      <c r="X605" s="16" t="str">
        <f>IFERROR(__xludf.DUMMYFUNCTION("""COMPUTED_VALUE"""),"")</f>
        <v/>
      </c>
      <c r="AC605" s="16" t="str">
        <f>IFERROR(__xludf.DUMMYFUNCTION("""COMPUTED_VALUE"""),"")</f>
        <v/>
      </c>
    </row>
    <row r="606">
      <c r="A606" s="16" t="s">
        <v>87</v>
      </c>
      <c r="E606" s="16" t="str">
        <f>IFERROR(__xludf.DUMMYFUNCTION("""COMPUTED_VALUE"""),"")</f>
        <v/>
      </c>
      <c r="G606" s="18"/>
      <c r="H606" s="16" t="s">
        <v>87</v>
      </c>
      <c r="I606" s="16" t="s">
        <v>87</v>
      </c>
      <c r="J606" s="19"/>
      <c r="L606" s="16" t="str">
        <f>IFERROR(__xludf.DUMMYFUNCTION("""COMPUTED_VALUE"""),"")</f>
        <v/>
      </c>
      <c r="M606" s="16" t="str">
        <f>IFERROR(__xludf.DUMMYFUNCTION("""COMPUTED_VALUE"""),"")</f>
        <v/>
      </c>
      <c r="U606" s="16" t="s">
        <v>87</v>
      </c>
      <c r="V606" s="16" t="str">
        <f>IFERROR(__xludf.DUMMYFUNCTION("""COMPUTED_VALUE"""),"")</f>
        <v/>
      </c>
      <c r="W606" s="16" t="str">
        <f>IFERROR(__xludf.DUMMYFUNCTION("""COMPUTED_VALUE"""),"")</f>
        <v/>
      </c>
      <c r="X606" s="16" t="str">
        <f>IFERROR(__xludf.DUMMYFUNCTION("""COMPUTED_VALUE"""),"")</f>
        <v/>
      </c>
      <c r="AC606" s="16" t="str">
        <f>IFERROR(__xludf.DUMMYFUNCTION("""COMPUTED_VALUE"""),"")</f>
        <v/>
      </c>
    </row>
    <row r="607">
      <c r="A607" s="16" t="s">
        <v>87</v>
      </c>
      <c r="E607" s="16" t="str">
        <f>IFERROR(__xludf.DUMMYFUNCTION("""COMPUTED_VALUE"""),"")</f>
        <v/>
      </c>
      <c r="G607" s="18"/>
      <c r="H607" s="16" t="s">
        <v>87</v>
      </c>
      <c r="I607" s="16" t="s">
        <v>87</v>
      </c>
      <c r="J607" s="19"/>
      <c r="L607" s="16" t="str">
        <f>IFERROR(__xludf.DUMMYFUNCTION("""COMPUTED_VALUE"""),"")</f>
        <v/>
      </c>
      <c r="M607" s="16" t="str">
        <f>IFERROR(__xludf.DUMMYFUNCTION("""COMPUTED_VALUE"""),"")</f>
        <v/>
      </c>
      <c r="U607" s="16" t="s">
        <v>87</v>
      </c>
      <c r="V607" s="16" t="str">
        <f>IFERROR(__xludf.DUMMYFUNCTION("""COMPUTED_VALUE"""),"")</f>
        <v/>
      </c>
      <c r="W607" s="16" t="str">
        <f>IFERROR(__xludf.DUMMYFUNCTION("""COMPUTED_VALUE"""),"")</f>
        <v/>
      </c>
      <c r="X607" s="16" t="str">
        <f>IFERROR(__xludf.DUMMYFUNCTION("""COMPUTED_VALUE"""),"")</f>
        <v/>
      </c>
      <c r="AC607" s="16" t="str">
        <f>IFERROR(__xludf.DUMMYFUNCTION("""COMPUTED_VALUE"""),"")</f>
        <v/>
      </c>
    </row>
    <row r="608">
      <c r="A608" s="16" t="s">
        <v>87</v>
      </c>
      <c r="E608" s="16" t="str">
        <f>IFERROR(__xludf.DUMMYFUNCTION("""COMPUTED_VALUE"""),"")</f>
        <v/>
      </c>
      <c r="G608" s="18"/>
      <c r="H608" s="16" t="s">
        <v>87</v>
      </c>
      <c r="I608" s="16" t="s">
        <v>87</v>
      </c>
      <c r="J608" s="19"/>
      <c r="L608" s="16" t="str">
        <f>IFERROR(__xludf.DUMMYFUNCTION("""COMPUTED_VALUE"""),"")</f>
        <v/>
      </c>
      <c r="M608" s="16" t="str">
        <f>IFERROR(__xludf.DUMMYFUNCTION("""COMPUTED_VALUE"""),"")</f>
        <v/>
      </c>
      <c r="U608" s="16" t="s">
        <v>87</v>
      </c>
      <c r="V608" s="16" t="str">
        <f>IFERROR(__xludf.DUMMYFUNCTION("""COMPUTED_VALUE"""),"")</f>
        <v/>
      </c>
      <c r="W608" s="16" t="str">
        <f>IFERROR(__xludf.DUMMYFUNCTION("""COMPUTED_VALUE"""),"")</f>
        <v/>
      </c>
      <c r="X608" s="16" t="str">
        <f>IFERROR(__xludf.DUMMYFUNCTION("""COMPUTED_VALUE"""),"")</f>
        <v/>
      </c>
      <c r="AC608" s="16" t="str">
        <f>IFERROR(__xludf.DUMMYFUNCTION("""COMPUTED_VALUE"""),"")</f>
        <v/>
      </c>
    </row>
    <row r="609">
      <c r="A609" s="16" t="s">
        <v>87</v>
      </c>
      <c r="E609" s="16" t="str">
        <f>IFERROR(__xludf.DUMMYFUNCTION("""COMPUTED_VALUE"""),"")</f>
        <v/>
      </c>
      <c r="G609" s="18"/>
      <c r="H609" s="16" t="s">
        <v>87</v>
      </c>
      <c r="I609" s="16" t="s">
        <v>87</v>
      </c>
      <c r="J609" s="19"/>
      <c r="L609" s="16" t="str">
        <f>IFERROR(__xludf.DUMMYFUNCTION("""COMPUTED_VALUE"""),"")</f>
        <v/>
      </c>
      <c r="M609" s="16" t="str">
        <f>IFERROR(__xludf.DUMMYFUNCTION("""COMPUTED_VALUE"""),"")</f>
        <v/>
      </c>
      <c r="U609" s="16" t="s">
        <v>87</v>
      </c>
      <c r="V609" s="16" t="str">
        <f>IFERROR(__xludf.DUMMYFUNCTION("""COMPUTED_VALUE"""),"")</f>
        <v/>
      </c>
      <c r="W609" s="16" t="str">
        <f>IFERROR(__xludf.DUMMYFUNCTION("""COMPUTED_VALUE"""),"")</f>
        <v/>
      </c>
      <c r="X609" s="16" t="str">
        <f>IFERROR(__xludf.DUMMYFUNCTION("""COMPUTED_VALUE"""),"")</f>
        <v/>
      </c>
      <c r="AC609" s="16" t="str">
        <f>IFERROR(__xludf.DUMMYFUNCTION("""COMPUTED_VALUE"""),"")</f>
        <v/>
      </c>
    </row>
    <row r="610">
      <c r="A610" s="16" t="s">
        <v>87</v>
      </c>
      <c r="E610" s="16" t="str">
        <f>IFERROR(__xludf.DUMMYFUNCTION("""COMPUTED_VALUE"""),"")</f>
        <v/>
      </c>
      <c r="G610" s="18"/>
      <c r="H610" s="16" t="s">
        <v>87</v>
      </c>
      <c r="I610" s="16" t="s">
        <v>87</v>
      </c>
      <c r="J610" s="19"/>
      <c r="L610" s="16" t="str">
        <f>IFERROR(__xludf.DUMMYFUNCTION("""COMPUTED_VALUE"""),"")</f>
        <v/>
      </c>
      <c r="M610" s="16" t="str">
        <f>IFERROR(__xludf.DUMMYFUNCTION("""COMPUTED_VALUE"""),"")</f>
        <v/>
      </c>
      <c r="U610" s="16" t="s">
        <v>87</v>
      </c>
      <c r="V610" s="16" t="str">
        <f>IFERROR(__xludf.DUMMYFUNCTION("""COMPUTED_VALUE"""),"")</f>
        <v/>
      </c>
      <c r="W610" s="16" t="str">
        <f>IFERROR(__xludf.DUMMYFUNCTION("""COMPUTED_VALUE"""),"")</f>
        <v/>
      </c>
      <c r="X610" s="16" t="str">
        <f>IFERROR(__xludf.DUMMYFUNCTION("""COMPUTED_VALUE"""),"")</f>
        <v/>
      </c>
      <c r="AC610" s="16" t="str">
        <f>IFERROR(__xludf.DUMMYFUNCTION("""COMPUTED_VALUE"""),"")</f>
        <v/>
      </c>
    </row>
    <row r="611">
      <c r="A611" s="16" t="s">
        <v>87</v>
      </c>
      <c r="E611" s="16" t="str">
        <f>IFERROR(__xludf.DUMMYFUNCTION("""COMPUTED_VALUE"""),"")</f>
        <v/>
      </c>
      <c r="G611" s="18"/>
      <c r="H611" s="16" t="s">
        <v>87</v>
      </c>
      <c r="I611" s="16" t="s">
        <v>87</v>
      </c>
      <c r="J611" s="19"/>
      <c r="L611" s="16" t="str">
        <f>IFERROR(__xludf.DUMMYFUNCTION("""COMPUTED_VALUE"""),"")</f>
        <v/>
      </c>
      <c r="M611" s="16" t="str">
        <f>IFERROR(__xludf.DUMMYFUNCTION("""COMPUTED_VALUE"""),"")</f>
        <v/>
      </c>
      <c r="U611" s="16" t="s">
        <v>87</v>
      </c>
      <c r="V611" s="16" t="str">
        <f>IFERROR(__xludf.DUMMYFUNCTION("""COMPUTED_VALUE"""),"")</f>
        <v/>
      </c>
      <c r="W611" s="16" t="str">
        <f>IFERROR(__xludf.DUMMYFUNCTION("""COMPUTED_VALUE"""),"")</f>
        <v/>
      </c>
      <c r="X611" s="16" t="str">
        <f>IFERROR(__xludf.DUMMYFUNCTION("""COMPUTED_VALUE"""),"")</f>
        <v/>
      </c>
      <c r="AC611" s="16" t="str">
        <f>IFERROR(__xludf.DUMMYFUNCTION("""COMPUTED_VALUE"""),"")</f>
        <v/>
      </c>
    </row>
    <row r="612">
      <c r="A612" s="16" t="s">
        <v>87</v>
      </c>
      <c r="E612" s="16" t="str">
        <f>IFERROR(__xludf.DUMMYFUNCTION("""COMPUTED_VALUE"""),"")</f>
        <v/>
      </c>
      <c r="G612" s="18"/>
      <c r="H612" s="16" t="s">
        <v>87</v>
      </c>
      <c r="I612" s="16" t="s">
        <v>87</v>
      </c>
      <c r="J612" s="19"/>
      <c r="L612" s="16" t="str">
        <f>IFERROR(__xludf.DUMMYFUNCTION("""COMPUTED_VALUE"""),"")</f>
        <v/>
      </c>
      <c r="M612" s="16" t="str">
        <f>IFERROR(__xludf.DUMMYFUNCTION("""COMPUTED_VALUE"""),"")</f>
        <v/>
      </c>
      <c r="U612" s="16" t="s">
        <v>87</v>
      </c>
      <c r="V612" s="16" t="str">
        <f>IFERROR(__xludf.DUMMYFUNCTION("""COMPUTED_VALUE"""),"")</f>
        <v/>
      </c>
      <c r="W612" s="16" t="str">
        <f>IFERROR(__xludf.DUMMYFUNCTION("""COMPUTED_VALUE"""),"")</f>
        <v/>
      </c>
      <c r="X612" s="16" t="str">
        <f>IFERROR(__xludf.DUMMYFUNCTION("""COMPUTED_VALUE"""),"")</f>
        <v/>
      </c>
      <c r="AC612" s="16" t="str">
        <f>IFERROR(__xludf.DUMMYFUNCTION("""COMPUTED_VALUE"""),"")</f>
        <v/>
      </c>
    </row>
    <row r="613">
      <c r="A613" s="16" t="s">
        <v>87</v>
      </c>
      <c r="E613" s="16" t="str">
        <f>IFERROR(__xludf.DUMMYFUNCTION("""COMPUTED_VALUE"""),"")</f>
        <v/>
      </c>
      <c r="G613" s="18"/>
      <c r="H613" s="16" t="s">
        <v>87</v>
      </c>
      <c r="I613" s="16" t="s">
        <v>87</v>
      </c>
      <c r="J613" s="19"/>
      <c r="L613" s="16" t="str">
        <f>IFERROR(__xludf.DUMMYFUNCTION("""COMPUTED_VALUE"""),"")</f>
        <v/>
      </c>
      <c r="M613" s="16" t="str">
        <f>IFERROR(__xludf.DUMMYFUNCTION("""COMPUTED_VALUE"""),"")</f>
        <v/>
      </c>
      <c r="U613" s="16" t="s">
        <v>87</v>
      </c>
      <c r="V613" s="16" t="str">
        <f>IFERROR(__xludf.DUMMYFUNCTION("""COMPUTED_VALUE"""),"")</f>
        <v/>
      </c>
      <c r="W613" s="16" t="str">
        <f>IFERROR(__xludf.DUMMYFUNCTION("""COMPUTED_VALUE"""),"")</f>
        <v/>
      </c>
      <c r="X613" s="16" t="str">
        <f>IFERROR(__xludf.DUMMYFUNCTION("""COMPUTED_VALUE"""),"")</f>
        <v/>
      </c>
      <c r="AC613" s="16" t="str">
        <f>IFERROR(__xludf.DUMMYFUNCTION("""COMPUTED_VALUE"""),"")</f>
        <v/>
      </c>
    </row>
    <row r="614">
      <c r="A614" s="16" t="s">
        <v>87</v>
      </c>
      <c r="E614" s="16" t="str">
        <f>IFERROR(__xludf.DUMMYFUNCTION("""COMPUTED_VALUE"""),"")</f>
        <v/>
      </c>
      <c r="G614" s="18"/>
      <c r="H614" s="16" t="s">
        <v>87</v>
      </c>
      <c r="I614" s="16" t="s">
        <v>87</v>
      </c>
      <c r="J614" s="19"/>
      <c r="L614" s="16" t="str">
        <f>IFERROR(__xludf.DUMMYFUNCTION("""COMPUTED_VALUE"""),"")</f>
        <v/>
      </c>
      <c r="M614" s="16" t="str">
        <f>IFERROR(__xludf.DUMMYFUNCTION("""COMPUTED_VALUE"""),"")</f>
        <v/>
      </c>
      <c r="U614" s="16" t="s">
        <v>87</v>
      </c>
      <c r="V614" s="16" t="str">
        <f>IFERROR(__xludf.DUMMYFUNCTION("""COMPUTED_VALUE"""),"")</f>
        <v/>
      </c>
      <c r="W614" s="16" t="str">
        <f>IFERROR(__xludf.DUMMYFUNCTION("""COMPUTED_VALUE"""),"")</f>
        <v/>
      </c>
      <c r="X614" s="16" t="str">
        <f>IFERROR(__xludf.DUMMYFUNCTION("""COMPUTED_VALUE"""),"")</f>
        <v/>
      </c>
      <c r="AC614" s="16" t="str">
        <f>IFERROR(__xludf.DUMMYFUNCTION("""COMPUTED_VALUE"""),"")</f>
        <v/>
      </c>
    </row>
    <row r="615">
      <c r="A615" s="16" t="s">
        <v>87</v>
      </c>
      <c r="E615" s="16" t="str">
        <f>IFERROR(__xludf.DUMMYFUNCTION("""COMPUTED_VALUE"""),"")</f>
        <v/>
      </c>
      <c r="G615" s="18"/>
      <c r="H615" s="16" t="s">
        <v>87</v>
      </c>
      <c r="I615" s="16" t="s">
        <v>87</v>
      </c>
      <c r="J615" s="19"/>
      <c r="L615" s="16" t="str">
        <f>IFERROR(__xludf.DUMMYFUNCTION("""COMPUTED_VALUE"""),"")</f>
        <v/>
      </c>
      <c r="M615" s="16" t="str">
        <f>IFERROR(__xludf.DUMMYFUNCTION("""COMPUTED_VALUE"""),"")</f>
        <v/>
      </c>
      <c r="U615" s="16" t="s">
        <v>87</v>
      </c>
      <c r="V615" s="16" t="str">
        <f>IFERROR(__xludf.DUMMYFUNCTION("""COMPUTED_VALUE"""),"")</f>
        <v/>
      </c>
      <c r="W615" s="16" t="str">
        <f>IFERROR(__xludf.DUMMYFUNCTION("""COMPUTED_VALUE"""),"")</f>
        <v/>
      </c>
      <c r="X615" s="16" t="str">
        <f>IFERROR(__xludf.DUMMYFUNCTION("""COMPUTED_VALUE"""),"")</f>
        <v/>
      </c>
      <c r="AC615" s="16" t="str">
        <f>IFERROR(__xludf.DUMMYFUNCTION("""COMPUTED_VALUE"""),"")</f>
        <v/>
      </c>
    </row>
    <row r="616">
      <c r="A616" s="16" t="s">
        <v>87</v>
      </c>
      <c r="E616" s="16" t="str">
        <f>IFERROR(__xludf.DUMMYFUNCTION("""COMPUTED_VALUE"""),"")</f>
        <v/>
      </c>
      <c r="G616" s="18"/>
      <c r="H616" s="16" t="s">
        <v>87</v>
      </c>
      <c r="I616" s="16" t="s">
        <v>87</v>
      </c>
      <c r="J616" s="19"/>
      <c r="L616" s="16" t="str">
        <f>IFERROR(__xludf.DUMMYFUNCTION("""COMPUTED_VALUE"""),"")</f>
        <v/>
      </c>
      <c r="M616" s="16" t="str">
        <f>IFERROR(__xludf.DUMMYFUNCTION("""COMPUTED_VALUE"""),"")</f>
        <v/>
      </c>
      <c r="U616" s="16" t="s">
        <v>87</v>
      </c>
      <c r="V616" s="16" t="str">
        <f>IFERROR(__xludf.DUMMYFUNCTION("""COMPUTED_VALUE"""),"")</f>
        <v/>
      </c>
      <c r="W616" s="16" t="str">
        <f>IFERROR(__xludf.DUMMYFUNCTION("""COMPUTED_VALUE"""),"")</f>
        <v/>
      </c>
      <c r="X616" s="16" t="str">
        <f>IFERROR(__xludf.DUMMYFUNCTION("""COMPUTED_VALUE"""),"")</f>
        <v/>
      </c>
      <c r="AC616" s="16" t="str">
        <f>IFERROR(__xludf.DUMMYFUNCTION("""COMPUTED_VALUE"""),"")</f>
        <v/>
      </c>
    </row>
    <row r="617">
      <c r="A617" s="16" t="s">
        <v>87</v>
      </c>
      <c r="E617" s="16" t="str">
        <f>IFERROR(__xludf.DUMMYFUNCTION("""COMPUTED_VALUE"""),"")</f>
        <v/>
      </c>
      <c r="G617" s="18"/>
      <c r="H617" s="16" t="s">
        <v>87</v>
      </c>
      <c r="I617" s="16" t="s">
        <v>87</v>
      </c>
      <c r="J617" s="19"/>
      <c r="L617" s="16" t="str">
        <f>IFERROR(__xludf.DUMMYFUNCTION("""COMPUTED_VALUE"""),"")</f>
        <v/>
      </c>
      <c r="M617" s="16" t="str">
        <f>IFERROR(__xludf.DUMMYFUNCTION("""COMPUTED_VALUE"""),"")</f>
        <v/>
      </c>
      <c r="U617" s="16" t="s">
        <v>87</v>
      </c>
      <c r="V617" s="16" t="str">
        <f>IFERROR(__xludf.DUMMYFUNCTION("""COMPUTED_VALUE"""),"")</f>
        <v/>
      </c>
      <c r="W617" s="16" t="str">
        <f>IFERROR(__xludf.DUMMYFUNCTION("""COMPUTED_VALUE"""),"")</f>
        <v/>
      </c>
      <c r="X617" s="16" t="str">
        <f>IFERROR(__xludf.DUMMYFUNCTION("""COMPUTED_VALUE"""),"")</f>
        <v/>
      </c>
      <c r="AC617" s="16" t="str">
        <f>IFERROR(__xludf.DUMMYFUNCTION("""COMPUTED_VALUE"""),"")</f>
        <v/>
      </c>
    </row>
    <row r="618">
      <c r="A618" s="16" t="s">
        <v>87</v>
      </c>
      <c r="E618" s="16" t="str">
        <f>IFERROR(__xludf.DUMMYFUNCTION("""COMPUTED_VALUE"""),"")</f>
        <v/>
      </c>
      <c r="G618" s="18"/>
      <c r="H618" s="16" t="s">
        <v>87</v>
      </c>
      <c r="I618" s="16" t="s">
        <v>87</v>
      </c>
      <c r="J618" s="19"/>
      <c r="L618" s="16" t="str">
        <f>IFERROR(__xludf.DUMMYFUNCTION("""COMPUTED_VALUE"""),"")</f>
        <v/>
      </c>
      <c r="M618" s="16" t="str">
        <f>IFERROR(__xludf.DUMMYFUNCTION("""COMPUTED_VALUE"""),"")</f>
        <v/>
      </c>
      <c r="U618" s="16" t="s">
        <v>87</v>
      </c>
      <c r="V618" s="16" t="str">
        <f>IFERROR(__xludf.DUMMYFUNCTION("""COMPUTED_VALUE"""),"")</f>
        <v/>
      </c>
      <c r="W618" s="16" t="str">
        <f>IFERROR(__xludf.DUMMYFUNCTION("""COMPUTED_VALUE"""),"")</f>
        <v/>
      </c>
      <c r="X618" s="16" t="str">
        <f>IFERROR(__xludf.DUMMYFUNCTION("""COMPUTED_VALUE"""),"")</f>
        <v/>
      </c>
      <c r="AC618" s="16" t="str">
        <f>IFERROR(__xludf.DUMMYFUNCTION("""COMPUTED_VALUE"""),"")</f>
        <v/>
      </c>
    </row>
    <row r="619">
      <c r="A619" s="16" t="s">
        <v>87</v>
      </c>
      <c r="E619" s="16" t="str">
        <f>IFERROR(__xludf.DUMMYFUNCTION("""COMPUTED_VALUE"""),"")</f>
        <v/>
      </c>
      <c r="G619" s="18"/>
      <c r="H619" s="16" t="s">
        <v>87</v>
      </c>
      <c r="I619" s="16" t="s">
        <v>87</v>
      </c>
      <c r="J619" s="19"/>
      <c r="L619" s="16" t="str">
        <f>IFERROR(__xludf.DUMMYFUNCTION("""COMPUTED_VALUE"""),"")</f>
        <v/>
      </c>
      <c r="M619" s="16" t="str">
        <f>IFERROR(__xludf.DUMMYFUNCTION("""COMPUTED_VALUE"""),"")</f>
        <v/>
      </c>
      <c r="U619" s="16" t="s">
        <v>87</v>
      </c>
      <c r="V619" s="16" t="str">
        <f>IFERROR(__xludf.DUMMYFUNCTION("""COMPUTED_VALUE"""),"")</f>
        <v/>
      </c>
      <c r="W619" s="16" t="str">
        <f>IFERROR(__xludf.DUMMYFUNCTION("""COMPUTED_VALUE"""),"")</f>
        <v/>
      </c>
      <c r="X619" s="16" t="str">
        <f>IFERROR(__xludf.DUMMYFUNCTION("""COMPUTED_VALUE"""),"")</f>
        <v/>
      </c>
      <c r="AC619" s="16" t="str">
        <f>IFERROR(__xludf.DUMMYFUNCTION("""COMPUTED_VALUE"""),"")</f>
        <v/>
      </c>
    </row>
    <row r="620">
      <c r="A620" s="16" t="s">
        <v>87</v>
      </c>
      <c r="E620" s="16" t="str">
        <f>IFERROR(__xludf.DUMMYFUNCTION("""COMPUTED_VALUE"""),"")</f>
        <v/>
      </c>
      <c r="G620" s="18"/>
      <c r="H620" s="16" t="s">
        <v>87</v>
      </c>
      <c r="I620" s="16" t="s">
        <v>87</v>
      </c>
      <c r="J620" s="19"/>
      <c r="L620" s="16" t="str">
        <f>IFERROR(__xludf.DUMMYFUNCTION("""COMPUTED_VALUE"""),"")</f>
        <v/>
      </c>
      <c r="M620" s="16" t="str">
        <f>IFERROR(__xludf.DUMMYFUNCTION("""COMPUTED_VALUE"""),"")</f>
        <v/>
      </c>
      <c r="U620" s="16" t="s">
        <v>87</v>
      </c>
      <c r="V620" s="16" t="str">
        <f>IFERROR(__xludf.DUMMYFUNCTION("""COMPUTED_VALUE"""),"")</f>
        <v/>
      </c>
      <c r="W620" s="16" t="str">
        <f>IFERROR(__xludf.DUMMYFUNCTION("""COMPUTED_VALUE"""),"")</f>
        <v/>
      </c>
      <c r="X620" s="16" t="str">
        <f>IFERROR(__xludf.DUMMYFUNCTION("""COMPUTED_VALUE"""),"")</f>
        <v/>
      </c>
      <c r="AC620" s="16" t="str">
        <f>IFERROR(__xludf.DUMMYFUNCTION("""COMPUTED_VALUE"""),"")</f>
        <v/>
      </c>
    </row>
    <row r="621">
      <c r="A621" s="16" t="s">
        <v>87</v>
      </c>
      <c r="E621" s="16" t="str">
        <f>IFERROR(__xludf.DUMMYFUNCTION("""COMPUTED_VALUE"""),"")</f>
        <v/>
      </c>
      <c r="G621" s="18"/>
      <c r="H621" s="16" t="s">
        <v>87</v>
      </c>
      <c r="I621" s="16" t="s">
        <v>87</v>
      </c>
      <c r="J621" s="19"/>
      <c r="L621" s="16" t="str">
        <f>IFERROR(__xludf.DUMMYFUNCTION("""COMPUTED_VALUE"""),"")</f>
        <v/>
      </c>
      <c r="M621" s="16" t="str">
        <f>IFERROR(__xludf.DUMMYFUNCTION("""COMPUTED_VALUE"""),"")</f>
        <v/>
      </c>
      <c r="U621" s="16" t="s">
        <v>87</v>
      </c>
      <c r="V621" s="16" t="str">
        <f>IFERROR(__xludf.DUMMYFUNCTION("""COMPUTED_VALUE"""),"")</f>
        <v/>
      </c>
      <c r="W621" s="16" t="str">
        <f>IFERROR(__xludf.DUMMYFUNCTION("""COMPUTED_VALUE"""),"")</f>
        <v/>
      </c>
      <c r="X621" s="16" t="str">
        <f>IFERROR(__xludf.DUMMYFUNCTION("""COMPUTED_VALUE"""),"")</f>
        <v/>
      </c>
      <c r="AC621" s="16" t="str">
        <f>IFERROR(__xludf.DUMMYFUNCTION("""COMPUTED_VALUE"""),"")</f>
        <v/>
      </c>
    </row>
    <row r="622">
      <c r="A622" s="16" t="s">
        <v>87</v>
      </c>
      <c r="E622" s="16" t="str">
        <f>IFERROR(__xludf.DUMMYFUNCTION("""COMPUTED_VALUE"""),"")</f>
        <v/>
      </c>
      <c r="G622" s="18"/>
      <c r="H622" s="16" t="s">
        <v>87</v>
      </c>
      <c r="I622" s="16" t="s">
        <v>87</v>
      </c>
      <c r="J622" s="19"/>
      <c r="L622" s="16" t="str">
        <f>IFERROR(__xludf.DUMMYFUNCTION("""COMPUTED_VALUE"""),"")</f>
        <v/>
      </c>
      <c r="M622" s="16" t="str">
        <f>IFERROR(__xludf.DUMMYFUNCTION("""COMPUTED_VALUE"""),"")</f>
        <v/>
      </c>
      <c r="U622" s="16" t="s">
        <v>87</v>
      </c>
      <c r="V622" s="16" t="str">
        <f>IFERROR(__xludf.DUMMYFUNCTION("""COMPUTED_VALUE"""),"")</f>
        <v/>
      </c>
      <c r="W622" s="16" t="str">
        <f>IFERROR(__xludf.DUMMYFUNCTION("""COMPUTED_VALUE"""),"")</f>
        <v/>
      </c>
      <c r="X622" s="16" t="str">
        <f>IFERROR(__xludf.DUMMYFUNCTION("""COMPUTED_VALUE"""),"")</f>
        <v/>
      </c>
      <c r="AC622" s="16" t="str">
        <f>IFERROR(__xludf.DUMMYFUNCTION("""COMPUTED_VALUE"""),"")</f>
        <v/>
      </c>
    </row>
    <row r="623">
      <c r="A623" s="16" t="s">
        <v>87</v>
      </c>
      <c r="E623" s="16" t="str">
        <f>IFERROR(__xludf.DUMMYFUNCTION("""COMPUTED_VALUE"""),"")</f>
        <v/>
      </c>
      <c r="G623" s="18"/>
      <c r="H623" s="16" t="s">
        <v>87</v>
      </c>
      <c r="I623" s="16" t="s">
        <v>87</v>
      </c>
      <c r="J623" s="19"/>
      <c r="L623" s="16" t="str">
        <f>IFERROR(__xludf.DUMMYFUNCTION("""COMPUTED_VALUE"""),"")</f>
        <v/>
      </c>
      <c r="M623" s="16" t="str">
        <f>IFERROR(__xludf.DUMMYFUNCTION("""COMPUTED_VALUE"""),"")</f>
        <v/>
      </c>
      <c r="U623" s="16" t="s">
        <v>87</v>
      </c>
      <c r="V623" s="16" t="str">
        <f>IFERROR(__xludf.DUMMYFUNCTION("""COMPUTED_VALUE"""),"")</f>
        <v/>
      </c>
      <c r="W623" s="16" t="str">
        <f>IFERROR(__xludf.DUMMYFUNCTION("""COMPUTED_VALUE"""),"")</f>
        <v/>
      </c>
      <c r="X623" s="16" t="str">
        <f>IFERROR(__xludf.DUMMYFUNCTION("""COMPUTED_VALUE"""),"")</f>
        <v/>
      </c>
      <c r="AC623" s="16" t="str">
        <f>IFERROR(__xludf.DUMMYFUNCTION("""COMPUTED_VALUE"""),"")</f>
        <v/>
      </c>
    </row>
    <row r="624">
      <c r="A624" s="16" t="s">
        <v>87</v>
      </c>
      <c r="E624" s="16" t="str">
        <f>IFERROR(__xludf.DUMMYFUNCTION("""COMPUTED_VALUE"""),"")</f>
        <v/>
      </c>
      <c r="G624" s="18"/>
      <c r="H624" s="16" t="s">
        <v>87</v>
      </c>
      <c r="I624" s="16" t="s">
        <v>87</v>
      </c>
      <c r="J624" s="19"/>
      <c r="L624" s="16" t="str">
        <f>IFERROR(__xludf.DUMMYFUNCTION("""COMPUTED_VALUE"""),"")</f>
        <v/>
      </c>
      <c r="M624" s="16" t="str">
        <f>IFERROR(__xludf.DUMMYFUNCTION("""COMPUTED_VALUE"""),"")</f>
        <v/>
      </c>
      <c r="U624" s="16" t="s">
        <v>87</v>
      </c>
      <c r="V624" s="16" t="str">
        <f>IFERROR(__xludf.DUMMYFUNCTION("""COMPUTED_VALUE"""),"")</f>
        <v/>
      </c>
      <c r="W624" s="16" t="str">
        <f>IFERROR(__xludf.DUMMYFUNCTION("""COMPUTED_VALUE"""),"")</f>
        <v/>
      </c>
      <c r="X624" s="16" t="str">
        <f>IFERROR(__xludf.DUMMYFUNCTION("""COMPUTED_VALUE"""),"")</f>
        <v/>
      </c>
      <c r="AC624" s="16" t="str">
        <f>IFERROR(__xludf.DUMMYFUNCTION("""COMPUTED_VALUE"""),"")</f>
        <v/>
      </c>
    </row>
    <row r="625">
      <c r="A625" s="16" t="s">
        <v>87</v>
      </c>
      <c r="E625" s="16" t="str">
        <f>IFERROR(__xludf.DUMMYFUNCTION("""COMPUTED_VALUE"""),"")</f>
        <v/>
      </c>
      <c r="G625" s="18"/>
      <c r="H625" s="16" t="s">
        <v>87</v>
      </c>
      <c r="I625" s="16" t="s">
        <v>87</v>
      </c>
      <c r="J625" s="19"/>
      <c r="L625" s="16" t="str">
        <f>IFERROR(__xludf.DUMMYFUNCTION("""COMPUTED_VALUE"""),"")</f>
        <v/>
      </c>
      <c r="M625" s="16" t="str">
        <f>IFERROR(__xludf.DUMMYFUNCTION("""COMPUTED_VALUE"""),"")</f>
        <v/>
      </c>
      <c r="U625" s="16" t="s">
        <v>87</v>
      </c>
      <c r="V625" s="16" t="str">
        <f>IFERROR(__xludf.DUMMYFUNCTION("""COMPUTED_VALUE"""),"")</f>
        <v/>
      </c>
      <c r="W625" s="16" t="str">
        <f>IFERROR(__xludf.DUMMYFUNCTION("""COMPUTED_VALUE"""),"")</f>
        <v/>
      </c>
      <c r="X625" s="16" t="str">
        <f>IFERROR(__xludf.DUMMYFUNCTION("""COMPUTED_VALUE"""),"")</f>
        <v/>
      </c>
      <c r="AC625" s="16" t="str">
        <f>IFERROR(__xludf.DUMMYFUNCTION("""COMPUTED_VALUE"""),"")</f>
        <v/>
      </c>
    </row>
    <row r="626">
      <c r="A626" s="16" t="s">
        <v>87</v>
      </c>
      <c r="E626" s="16" t="str">
        <f>IFERROR(__xludf.DUMMYFUNCTION("""COMPUTED_VALUE"""),"")</f>
        <v/>
      </c>
      <c r="G626" s="18"/>
      <c r="H626" s="16" t="s">
        <v>87</v>
      </c>
      <c r="I626" s="16" t="s">
        <v>87</v>
      </c>
      <c r="J626" s="19"/>
      <c r="L626" s="16" t="str">
        <f>IFERROR(__xludf.DUMMYFUNCTION("""COMPUTED_VALUE"""),"")</f>
        <v/>
      </c>
      <c r="M626" s="16" t="str">
        <f>IFERROR(__xludf.DUMMYFUNCTION("""COMPUTED_VALUE"""),"")</f>
        <v/>
      </c>
      <c r="U626" s="16" t="s">
        <v>87</v>
      </c>
      <c r="V626" s="16" t="str">
        <f>IFERROR(__xludf.DUMMYFUNCTION("""COMPUTED_VALUE"""),"")</f>
        <v/>
      </c>
      <c r="W626" s="16" t="str">
        <f>IFERROR(__xludf.DUMMYFUNCTION("""COMPUTED_VALUE"""),"")</f>
        <v/>
      </c>
      <c r="X626" s="16" t="str">
        <f>IFERROR(__xludf.DUMMYFUNCTION("""COMPUTED_VALUE"""),"")</f>
        <v/>
      </c>
      <c r="AC626" s="16" t="str">
        <f>IFERROR(__xludf.DUMMYFUNCTION("""COMPUTED_VALUE"""),"")</f>
        <v/>
      </c>
    </row>
    <row r="627">
      <c r="A627" s="16" t="s">
        <v>87</v>
      </c>
      <c r="E627" s="16" t="str">
        <f>IFERROR(__xludf.DUMMYFUNCTION("""COMPUTED_VALUE"""),"")</f>
        <v/>
      </c>
      <c r="G627" s="18"/>
      <c r="H627" s="16" t="s">
        <v>87</v>
      </c>
      <c r="I627" s="16" t="s">
        <v>87</v>
      </c>
      <c r="J627" s="19"/>
      <c r="L627" s="16" t="str">
        <f>IFERROR(__xludf.DUMMYFUNCTION("""COMPUTED_VALUE"""),"")</f>
        <v/>
      </c>
      <c r="M627" s="16" t="str">
        <f>IFERROR(__xludf.DUMMYFUNCTION("""COMPUTED_VALUE"""),"")</f>
        <v/>
      </c>
      <c r="U627" s="16" t="s">
        <v>87</v>
      </c>
      <c r="V627" s="16" t="str">
        <f>IFERROR(__xludf.DUMMYFUNCTION("""COMPUTED_VALUE"""),"")</f>
        <v/>
      </c>
      <c r="W627" s="16" t="str">
        <f>IFERROR(__xludf.DUMMYFUNCTION("""COMPUTED_VALUE"""),"")</f>
        <v/>
      </c>
      <c r="X627" s="16" t="str">
        <f>IFERROR(__xludf.DUMMYFUNCTION("""COMPUTED_VALUE"""),"")</f>
        <v/>
      </c>
      <c r="AC627" s="16" t="str">
        <f>IFERROR(__xludf.DUMMYFUNCTION("""COMPUTED_VALUE"""),"")</f>
        <v/>
      </c>
    </row>
    <row r="628">
      <c r="A628" s="16" t="s">
        <v>87</v>
      </c>
      <c r="E628" s="16" t="str">
        <f>IFERROR(__xludf.DUMMYFUNCTION("""COMPUTED_VALUE"""),"")</f>
        <v/>
      </c>
      <c r="G628" s="18"/>
      <c r="H628" s="16" t="s">
        <v>87</v>
      </c>
      <c r="I628" s="16" t="s">
        <v>87</v>
      </c>
      <c r="J628" s="19"/>
      <c r="L628" s="16" t="str">
        <f>IFERROR(__xludf.DUMMYFUNCTION("""COMPUTED_VALUE"""),"")</f>
        <v/>
      </c>
      <c r="M628" s="16" t="str">
        <f>IFERROR(__xludf.DUMMYFUNCTION("""COMPUTED_VALUE"""),"")</f>
        <v/>
      </c>
      <c r="U628" s="16" t="s">
        <v>87</v>
      </c>
      <c r="V628" s="16" t="str">
        <f>IFERROR(__xludf.DUMMYFUNCTION("""COMPUTED_VALUE"""),"")</f>
        <v/>
      </c>
      <c r="W628" s="16" t="str">
        <f>IFERROR(__xludf.DUMMYFUNCTION("""COMPUTED_VALUE"""),"")</f>
        <v/>
      </c>
      <c r="X628" s="16" t="str">
        <f>IFERROR(__xludf.DUMMYFUNCTION("""COMPUTED_VALUE"""),"")</f>
        <v/>
      </c>
      <c r="AC628" s="16" t="str">
        <f>IFERROR(__xludf.DUMMYFUNCTION("""COMPUTED_VALUE"""),"")</f>
        <v/>
      </c>
    </row>
    <row r="629">
      <c r="A629" s="16" t="s">
        <v>87</v>
      </c>
      <c r="E629" s="16" t="str">
        <f>IFERROR(__xludf.DUMMYFUNCTION("""COMPUTED_VALUE"""),"")</f>
        <v/>
      </c>
      <c r="G629" s="18"/>
      <c r="H629" s="16" t="s">
        <v>87</v>
      </c>
      <c r="I629" s="16" t="s">
        <v>87</v>
      </c>
      <c r="J629" s="19"/>
      <c r="L629" s="16" t="str">
        <f>IFERROR(__xludf.DUMMYFUNCTION("""COMPUTED_VALUE"""),"")</f>
        <v/>
      </c>
      <c r="M629" s="16" t="str">
        <f>IFERROR(__xludf.DUMMYFUNCTION("""COMPUTED_VALUE"""),"")</f>
        <v/>
      </c>
      <c r="U629" s="16" t="s">
        <v>87</v>
      </c>
      <c r="V629" s="16" t="str">
        <f>IFERROR(__xludf.DUMMYFUNCTION("""COMPUTED_VALUE"""),"")</f>
        <v/>
      </c>
      <c r="W629" s="16" t="str">
        <f>IFERROR(__xludf.DUMMYFUNCTION("""COMPUTED_VALUE"""),"")</f>
        <v/>
      </c>
      <c r="X629" s="16" t="str">
        <f>IFERROR(__xludf.DUMMYFUNCTION("""COMPUTED_VALUE"""),"")</f>
        <v/>
      </c>
      <c r="AC629" s="16" t="str">
        <f>IFERROR(__xludf.DUMMYFUNCTION("""COMPUTED_VALUE"""),"")</f>
        <v/>
      </c>
    </row>
    <row r="630">
      <c r="A630" s="16" t="s">
        <v>87</v>
      </c>
      <c r="E630" s="16" t="str">
        <f>IFERROR(__xludf.DUMMYFUNCTION("""COMPUTED_VALUE"""),"")</f>
        <v/>
      </c>
      <c r="G630" s="18"/>
      <c r="H630" s="16" t="s">
        <v>87</v>
      </c>
      <c r="I630" s="16" t="s">
        <v>87</v>
      </c>
      <c r="J630" s="19"/>
      <c r="L630" s="16" t="str">
        <f>IFERROR(__xludf.DUMMYFUNCTION("""COMPUTED_VALUE"""),"")</f>
        <v/>
      </c>
      <c r="M630" s="16" t="str">
        <f>IFERROR(__xludf.DUMMYFUNCTION("""COMPUTED_VALUE"""),"")</f>
        <v/>
      </c>
      <c r="U630" s="16" t="s">
        <v>87</v>
      </c>
      <c r="V630" s="16" t="str">
        <f>IFERROR(__xludf.DUMMYFUNCTION("""COMPUTED_VALUE"""),"")</f>
        <v/>
      </c>
      <c r="W630" s="16" t="str">
        <f>IFERROR(__xludf.DUMMYFUNCTION("""COMPUTED_VALUE"""),"")</f>
        <v/>
      </c>
      <c r="X630" s="16" t="str">
        <f>IFERROR(__xludf.DUMMYFUNCTION("""COMPUTED_VALUE"""),"")</f>
        <v/>
      </c>
      <c r="AC630" s="16" t="str">
        <f>IFERROR(__xludf.DUMMYFUNCTION("""COMPUTED_VALUE"""),"")</f>
        <v/>
      </c>
    </row>
    <row r="631">
      <c r="A631" s="16" t="s">
        <v>87</v>
      </c>
      <c r="E631" s="16" t="str">
        <f>IFERROR(__xludf.DUMMYFUNCTION("""COMPUTED_VALUE"""),"")</f>
        <v/>
      </c>
      <c r="G631" s="18"/>
      <c r="H631" s="16" t="s">
        <v>87</v>
      </c>
      <c r="I631" s="16" t="s">
        <v>87</v>
      </c>
      <c r="J631" s="19"/>
      <c r="L631" s="16" t="str">
        <f>IFERROR(__xludf.DUMMYFUNCTION("""COMPUTED_VALUE"""),"")</f>
        <v/>
      </c>
      <c r="M631" s="16" t="str">
        <f>IFERROR(__xludf.DUMMYFUNCTION("""COMPUTED_VALUE"""),"")</f>
        <v/>
      </c>
      <c r="U631" s="16" t="s">
        <v>87</v>
      </c>
      <c r="V631" s="16" t="str">
        <f>IFERROR(__xludf.DUMMYFUNCTION("""COMPUTED_VALUE"""),"")</f>
        <v/>
      </c>
      <c r="W631" s="16" t="str">
        <f>IFERROR(__xludf.DUMMYFUNCTION("""COMPUTED_VALUE"""),"")</f>
        <v/>
      </c>
      <c r="X631" s="16" t="str">
        <f>IFERROR(__xludf.DUMMYFUNCTION("""COMPUTED_VALUE"""),"")</f>
        <v/>
      </c>
      <c r="AC631" s="16" t="str">
        <f>IFERROR(__xludf.DUMMYFUNCTION("""COMPUTED_VALUE"""),"")</f>
        <v/>
      </c>
    </row>
    <row r="632">
      <c r="A632" s="16" t="s">
        <v>87</v>
      </c>
      <c r="E632" s="16" t="str">
        <f>IFERROR(__xludf.DUMMYFUNCTION("""COMPUTED_VALUE"""),"")</f>
        <v/>
      </c>
      <c r="G632" s="18"/>
      <c r="H632" s="16" t="s">
        <v>87</v>
      </c>
      <c r="I632" s="16" t="s">
        <v>87</v>
      </c>
      <c r="J632" s="19"/>
      <c r="L632" s="16" t="str">
        <f>IFERROR(__xludf.DUMMYFUNCTION("""COMPUTED_VALUE"""),"")</f>
        <v/>
      </c>
      <c r="M632" s="16" t="str">
        <f>IFERROR(__xludf.DUMMYFUNCTION("""COMPUTED_VALUE"""),"")</f>
        <v/>
      </c>
      <c r="U632" s="16" t="s">
        <v>87</v>
      </c>
      <c r="V632" s="16" t="str">
        <f>IFERROR(__xludf.DUMMYFUNCTION("""COMPUTED_VALUE"""),"")</f>
        <v/>
      </c>
      <c r="W632" s="16" t="str">
        <f>IFERROR(__xludf.DUMMYFUNCTION("""COMPUTED_VALUE"""),"")</f>
        <v/>
      </c>
      <c r="X632" s="16" t="str">
        <f>IFERROR(__xludf.DUMMYFUNCTION("""COMPUTED_VALUE"""),"")</f>
        <v/>
      </c>
      <c r="AC632" s="16" t="str">
        <f>IFERROR(__xludf.DUMMYFUNCTION("""COMPUTED_VALUE"""),"")</f>
        <v/>
      </c>
    </row>
    <row r="633">
      <c r="A633" s="16" t="s">
        <v>87</v>
      </c>
      <c r="E633" s="16" t="str">
        <f>IFERROR(__xludf.DUMMYFUNCTION("""COMPUTED_VALUE"""),"")</f>
        <v/>
      </c>
      <c r="G633" s="18"/>
      <c r="H633" s="16" t="s">
        <v>87</v>
      </c>
      <c r="I633" s="16" t="s">
        <v>87</v>
      </c>
      <c r="J633" s="19"/>
      <c r="L633" s="16" t="str">
        <f>IFERROR(__xludf.DUMMYFUNCTION("""COMPUTED_VALUE"""),"")</f>
        <v/>
      </c>
      <c r="M633" s="16" t="str">
        <f>IFERROR(__xludf.DUMMYFUNCTION("""COMPUTED_VALUE"""),"")</f>
        <v/>
      </c>
      <c r="U633" s="16" t="s">
        <v>87</v>
      </c>
      <c r="V633" s="16" t="str">
        <f>IFERROR(__xludf.DUMMYFUNCTION("""COMPUTED_VALUE"""),"")</f>
        <v/>
      </c>
      <c r="W633" s="16" t="str">
        <f>IFERROR(__xludf.DUMMYFUNCTION("""COMPUTED_VALUE"""),"")</f>
        <v/>
      </c>
      <c r="X633" s="16" t="str">
        <f>IFERROR(__xludf.DUMMYFUNCTION("""COMPUTED_VALUE"""),"")</f>
        <v/>
      </c>
      <c r="AC633" s="16" t="str">
        <f>IFERROR(__xludf.DUMMYFUNCTION("""COMPUTED_VALUE"""),"")</f>
        <v/>
      </c>
    </row>
    <row r="634">
      <c r="A634" s="16" t="s">
        <v>87</v>
      </c>
      <c r="E634" s="16" t="str">
        <f>IFERROR(__xludf.DUMMYFUNCTION("""COMPUTED_VALUE"""),"")</f>
        <v/>
      </c>
      <c r="G634" s="18"/>
      <c r="H634" s="16" t="s">
        <v>87</v>
      </c>
      <c r="I634" s="16" t="s">
        <v>87</v>
      </c>
      <c r="J634" s="19"/>
      <c r="L634" s="16" t="str">
        <f>IFERROR(__xludf.DUMMYFUNCTION("""COMPUTED_VALUE"""),"")</f>
        <v/>
      </c>
      <c r="M634" s="16" t="str">
        <f>IFERROR(__xludf.DUMMYFUNCTION("""COMPUTED_VALUE"""),"")</f>
        <v/>
      </c>
      <c r="U634" s="16" t="s">
        <v>87</v>
      </c>
      <c r="V634" s="16" t="str">
        <f>IFERROR(__xludf.DUMMYFUNCTION("""COMPUTED_VALUE"""),"")</f>
        <v/>
      </c>
      <c r="W634" s="16" t="str">
        <f>IFERROR(__xludf.DUMMYFUNCTION("""COMPUTED_VALUE"""),"")</f>
        <v/>
      </c>
      <c r="X634" s="16" t="str">
        <f>IFERROR(__xludf.DUMMYFUNCTION("""COMPUTED_VALUE"""),"")</f>
        <v/>
      </c>
      <c r="AC634" s="16" t="str">
        <f>IFERROR(__xludf.DUMMYFUNCTION("""COMPUTED_VALUE"""),"")</f>
        <v/>
      </c>
    </row>
    <row r="635">
      <c r="A635" s="16" t="s">
        <v>87</v>
      </c>
      <c r="E635" s="16" t="str">
        <f>IFERROR(__xludf.DUMMYFUNCTION("""COMPUTED_VALUE"""),"")</f>
        <v/>
      </c>
      <c r="G635" s="18"/>
      <c r="H635" s="16" t="s">
        <v>87</v>
      </c>
      <c r="I635" s="16" t="s">
        <v>87</v>
      </c>
      <c r="J635" s="19"/>
      <c r="L635" s="16" t="str">
        <f>IFERROR(__xludf.DUMMYFUNCTION("""COMPUTED_VALUE"""),"")</f>
        <v/>
      </c>
      <c r="M635" s="16" t="str">
        <f>IFERROR(__xludf.DUMMYFUNCTION("""COMPUTED_VALUE"""),"")</f>
        <v/>
      </c>
      <c r="U635" s="16" t="s">
        <v>87</v>
      </c>
      <c r="V635" s="16" t="str">
        <f>IFERROR(__xludf.DUMMYFUNCTION("""COMPUTED_VALUE"""),"")</f>
        <v/>
      </c>
      <c r="W635" s="16" t="str">
        <f>IFERROR(__xludf.DUMMYFUNCTION("""COMPUTED_VALUE"""),"")</f>
        <v/>
      </c>
      <c r="X635" s="16" t="str">
        <f>IFERROR(__xludf.DUMMYFUNCTION("""COMPUTED_VALUE"""),"")</f>
        <v/>
      </c>
      <c r="AC635" s="16" t="str">
        <f>IFERROR(__xludf.DUMMYFUNCTION("""COMPUTED_VALUE"""),"")</f>
        <v/>
      </c>
    </row>
    <row r="636">
      <c r="A636" s="16" t="s">
        <v>87</v>
      </c>
      <c r="E636" s="16" t="str">
        <f>IFERROR(__xludf.DUMMYFUNCTION("""COMPUTED_VALUE"""),"")</f>
        <v/>
      </c>
      <c r="G636" s="18"/>
      <c r="H636" s="16" t="s">
        <v>87</v>
      </c>
      <c r="I636" s="16" t="s">
        <v>87</v>
      </c>
      <c r="J636" s="19"/>
      <c r="L636" s="16" t="str">
        <f>IFERROR(__xludf.DUMMYFUNCTION("""COMPUTED_VALUE"""),"")</f>
        <v/>
      </c>
      <c r="M636" s="16" t="str">
        <f>IFERROR(__xludf.DUMMYFUNCTION("""COMPUTED_VALUE"""),"")</f>
        <v/>
      </c>
      <c r="U636" s="16" t="s">
        <v>87</v>
      </c>
      <c r="V636" s="16" t="str">
        <f>IFERROR(__xludf.DUMMYFUNCTION("""COMPUTED_VALUE"""),"")</f>
        <v/>
      </c>
      <c r="W636" s="16" t="str">
        <f>IFERROR(__xludf.DUMMYFUNCTION("""COMPUTED_VALUE"""),"")</f>
        <v/>
      </c>
      <c r="X636" s="16" t="str">
        <f>IFERROR(__xludf.DUMMYFUNCTION("""COMPUTED_VALUE"""),"")</f>
        <v/>
      </c>
      <c r="AC636" s="16" t="str">
        <f>IFERROR(__xludf.DUMMYFUNCTION("""COMPUTED_VALUE"""),"")</f>
        <v/>
      </c>
    </row>
    <row r="637">
      <c r="A637" s="16" t="s">
        <v>87</v>
      </c>
      <c r="E637" s="16" t="str">
        <f>IFERROR(__xludf.DUMMYFUNCTION("""COMPUTED_VALUE"""),"")</f>
        <v/>
      </c>
      <c r="G637" s="18"/>
      <c r="H637" s="16" t="s">
        <v>87</v>
      </c>
      <c r="I637" s="16" t="s">
        <v>87</v>
      </c>
      <c r="J637" s="19"/>
      <c r="L637" s="16" t="str">
        <f>IFERROR(__xludf.DUMMYFUNCTION("""COMPUTED_VALUE"""),"")</f>
        <v/>
      </c>
      <c r="M637" s="16" t="str">
        <f>IFERROR(__xludf.DUMMYFUNCTION("""COMPUTED_VALUE"""),"")</f>
        <v/>
      </c>
      <c r="U637" s="16" t="s">
        <v>87</v>
      </c>
      <c r="V637" s="16" t="str">
        <f>IFERROR(__xludf.DUMMYFUNCTION("""COMPUTED_VALUE"""),"")</f>
        <v/>
      </c>
      <c r="W637" s="16" t="str">
        <f>IFERROR(__xludf.DUMMYFUNCTION("""COMPUTED_VALUE"""),"")</f>
        <v/>
      </c>
      <c r="X637" s="16" t="str">
        <f>IFERROR(__xludf.DUMMYFUNCTION("""COMPUTED_VALUE"""),"")</f>
        <v/>
      </c>
      <c r="AC637" s="16" t="str">
        <f>IFERROR(__xludf.DUMMYFUNCTION("""COMPUTED_VALUE"""),"")</f>
        <v/>
      </c>
    </row>
    <row r="638">
      <c r="A638" s="16" t="s">
        <v>87</v>
      </c>
      <c r="E638" s="16" t="str">
        <f>IFERROR(__xludf.DUMMYFUNCTION("""COMPUTED_VALUE"""),"")</f>
        <v/>
      </c>
      <c r="G638" s="18"/>
      <c r="H638" s="16" t="s">
        <v>87</v>
      </c>
      <c r="I638" s="16" t="s">
        <v>87</v>
      </c>
      <c r="J638" s="19"/>
      <c r="L638" s="16" t="str">
        <f>IFERROR(__xludf.DUMMYFUNCTION("""COMPUTED_VALUE"""),"")</f>
        <v/>
      </c>
      <c r="M638" s="16" t="str">
        <f>IFERROR(__xludf.DUMMYFUNCTION("""COMPUTED_VALUE"""),"")</f>
        <v/>
      </c>
      <c r="U638" s="16" t="s">
        <v>87</v>
      </c>
      <c r="V638" s="16" t="str">
        <f>IFERROR(__xludf.DUMMYFUNCTION("""COMPUTED_VALUE"""),"")</f>
        <v/>
      </c>
      <c r="W638" s="16" t="str">
        <f>IFERROR(__xludf.DUMMYFUNCTION("""COMPUTED_VALUE"""),"")</f>
        <v/>
      </c>
      <c r="X638" s="16" t="str">
        <f>IFERROR(__xludf.DUMMYFUNCTION("""COMPUTED_VALUE"""),"")</f>
        <v/>
      </c>
      <c r="AC638" s="16" t="str">
        <f>IFERROR(__xludf.DUMMYFUNCTION("""COMPUTED_VALUE"""),"")</f>
        <v/>
      </c>
    </row>
    <row r="639">
      <c r="A639" s="16" t="s">
        <v>87</v>
      </c>
      <c r="E639" s="16" t="str">
        <f>IFERROR(__xludf.DUMMYFUNCTION("""COMPUTED_VALUE"""),"")</f>
        <v/>
      </c>
      <c r="G639" s="18"/>
      <c r="H639" s="16" t="s">
        <v>87</v>
      </c>
      <c r="I639" s="16" t="s">
        <v>87</v>
      </c>
      <c r="J639" s="19"/>
      <c r="L639" s="16" t="str">
        <f>IFERROR(__xludf.DUMMYFUNCTION("""COMPUTED_VALUE"""),"")</f>
        <v/>
      </c>
      <c r="M639" s="16" t="str">
        <f>IFERROR(__xludf.DUMMYFUNCTION("""COMPUTED_VALUE"""),"")</f>
        <v/>
      </c>
      <c r="U639" s="16" t="s">
        <v>87</v>
      </c>
      <c r="V639" s="16" t="str">
        <f>IFERROR(__xludf.DUMMYFUNCTION("""COMPUTED_VALUE"""),"")</f>
        <v/>
      </c>
      <c r="W639" s="16" t="str">
        <f>IFERROR(__xludf.DUMMYFUNCTION("""COMPUTED_VALUE"""),"")</f>
        <v/>
      </c>
      <c r="X639" s="16" t="str">
        <f>IFERROR(__xludf.DUMMYFUNCTION("""COMPUTED_VALUE"""),"")</f>
        <v/>
      </c>
      <c r="AC639" s="16" t="str">
        <f>IFERROR(__xludf.DUMMYFUNCTION("""COMPUTED_VALUE"""),"")</f>
        <v/>
      </c>
    </row>
    <row r="640">
      <c r="A640" s="16" t="s">
        <v>87</v>
      </c>
      <c r="E640" s="16" t="str">
        <f>IFERROR(__xludf.DUMMYFUNCTION("""COMPUTED_VALUE"""),"")</f>
        <v/>
      </c>
      <c r="G640" s="18"/>
      <c r="H640" s="16" t="s">
        <v>87</v>
      </c>
      <c r="I640" s="16" t="s">
        <v>87</v>
      </c>
      <c r="J640" s="19"/>
      <c r="L640" s="16" t="str">
        <f>IFERROR(__xludf.DUMMYFUNCTION("""COMPUTED_VALUE"""),"")</f>
        <v/>
      </c>
      <c r="M640" s="16" t="str">
        <f>IFERROR(__xludf.DUMMYFUNCTION("""COMPUTED_VALUE"""),"")</f>
        <v/>
      </c>
      <c r="U640" s="16" t="s">
        <v>87</v>
      </c>
      <c r="V640" s="16" t="str">
        <f>IFERROR(__xludf.DUMMYFUNCTION("""COMPUTED_VALUE"""),"")</f>
        <v/>
      </c>
      <c r="W640" s="16" t="str">
        <f>IFERROR(__xludf.DUMMYFUNCTION("""COMPUTED_VALUE"""),"")</f>
        <v/>
      </c>
      <c r="X640" s="16" t="str">
        <f>IFERROR(__xludf.DUMMYFUNCTION("""COMPUTED_VALUE"""),"")</f>
        <v/>
      </c>
      <c r="AC640" s="16" t="str">
        <f>IFERROR(__xludf.DUMMYFUNCTION("""COMPUTED_VALUE"""),"")</f>
        <v/>
      </c>
    </row>
    <row r="641">
      <c r="A641" s="16" t="s">
        <v>87</v>
      </c>
      <c r="E641" s="16" t="str">
        <f>IFERROR(__xludf.DUMMYFUNCTION("""COMPUTED_VALUE"""),"")</f>
        <v/>
      </c>
      <c r="G641" s="18"/>
      <c r="H641" s="16" t="s">
        <v>87</v>
      </c>
      <c r="I641" s="16" t="s">
        <v>87</v>
      </c>
      <c r="J641" s="19"/>
      <c r="L641" s="16" t="str">
        <f>IFERROR(__xludf.DUMMYFUNCTION("""COMPUTED_VALUE"""),"")</f>
        <v/>
      </c>
      <c r="M641" s="16" t="str">
        <f>IFERROR(__xludf.DUMMYFUNCTION("""COMPUTED_VALUE"""),"")</f>
        <v/>
      </c>
      <c r="U641" s="16" t="s">
        <v>87</v>
      </c>
      <c r="V641" s="16" t="str">
        <f>IFERROR(__xludf.DUMMYFUNCTION("""COMPUTED_VALUE"""),"")</f>
        <v/>
      </c>
      <c r="W641" s="16" t="str">
        <f>IFERROR(__xludf.DUMMYFUNCTION("""COMPUTED_VALUE"""),"")</f>
        <v/>
      </c>
      <c r="X641" s="16" t="str">
        <f>IFERROR(__xludf.DUMMYFUNCTION("""COMPUTED_VALUE"""),"")</f>
        <v/>
      </c>
      <c r="AC641" s="16" t="str">
        <f>IFERROR(__xludf.DUMMYFUNCTION("""COMPUTED_VALUE"""),"")</f>
        <v/>
      </c>
    </row>
    <row r="642">
      <c r="A642" s="16" t="s">
        <v>87</v>
      </c>
      <c r="E642" s="16" t="str">
        <f>IFERROR(__xludf.DUMMYFUNCTION("""COMPUTED_VALUE"""),"")</f>
        <v/>
      </c>
      <c r="G642" s="18"/>
      <c r="H642" s="16" t="s">
        <v>87</v>
      </c>
      <c r="I642" s="16" t="s">
        <v>87</v>
      </c>
      <c r="J642" s="19"/>
      <c r="L642" s="16" t="str">
        <f>IFERROR(__xludf.DUMMYFUNCTION("""COMPUTED_VALUE"""),"")</f>
        <v/>
      </c>
      <c r="M642" s="16" t="str">
        <f>IFERROR(__xludf.DUMMYFUNCTION("""COMPUTED_VALUE"""),"")</f>
        <v/>
      </c>
      <c r="U642" s="16" t="s">
        <v>87</v>
      </c>
      <c r="V642" s="16" t="str">
        <f>IFERROR(__xludf.DUMMYFUNCTION("""COMPUTED_VALUE"""),"")</f>
        <v/>
      </c>
      <c r="W642" s="16" t="str">
        <f>IFERROR(__xludf.DUMMYFUNCTION("""COMPUTED_VALUE"""),"")</f>
        <v/>
      </c>
      <c r="X642" s="16" t="str">
        <f>IFERROR(__xludf.DUMMYFUNCTION("""COMPUTED_VALUE"""),"")</f>
        <v/>
      </c>
      <c r="AC642" s="16" t="str">
        <f>IFERROR(__xludf.DUMMYFUNCTION("""COMPUTED_VALUE"""),"")</f>
        <v/>
      </c>
    </row>
    <row r="643">
      <c r="A643" s="16" t="s">
        <v>87</v>
      </c>
      <c r="E643" s="16" t="str">
        <f>IFERROR(__xludf.DUMMYFUNCTION("""COMPUTED_VALUE"""),"")</f>
        <v/>
      </c>
      <c r="G643" s="18"/>
      <c r="H643" s="16" t="s">
        <v>87</v>
      </c>
      <c r="I643" s="16" t="s">
        <v>87</v>
      </c>
      <c r="J643" s="19"/>
      <c r="L643" s="16" t="str">
        <f>IFERROR(__xludf.DUMMYFUNCTION("""COMPUTED_VALUE"""),"")</f>
        <v/>
      </c>
      <c r="M643" s="16" t="str">
        <f>IFERROR(__xludf.DUMMYFUNCTION("""COMPUTED_VALUE"""),"")</f>
        <v/>
      </c>
      <c r="U643" s="16" t="s">
        <v>87</v>
      </c>
      <c r="V643" s="16" t="str">
        <f>IFERROR(__xludf.DUMMYFUNCTION("""COMPUTED_VALUE"""),"")</f>
        <v/>
      </c>
      <c r="W643" s="16" t="str">
        <f>IFERROR(__xludf.DUMMYFUNCTION("""COMPUTED_VALUE"""),"")</f>
        <v/>
      </c>
      <c r="X643" s="16" t="str">
        <f>IFERROR(__xludf.DUMMYFUNCTION("""COMPUTED_VALUE"""),"")</f>
        <v/>
      </c>
      <c r="AC643" s="16" t="str">
        <f>IFERROR(__xludf.DUMMYFUNCTION("""COMPUTED_VALUE"""),"")</f>
        <v/>
      </c>
    </row>
    <row r="644">
      <c r="A644" s="16" t="s">
        <v>87</v>
      </c>
      <c r="E644" s="16" t="str">
        <f>IFERROR(__xludf.DUMMYFUNCTION("""COMPUTED_VALUE"""),"")</f>
        <v/>
      </c>
      <c r="G644" s="18"/>
      <c r="H644" s="16" t="s">
        <v>87</v>
      </c>
      <c r="I644" s="16" t="s">
        <v>87</v>
      </c>
      <c r="J644" s="19"/>
      <c r="L644" s="16" t="str">
        <f>IFERROR(__xludf.DUMMYFUNCTION("""COMPUTED_VALUE"""),"")</f>
        <v/>
      </c>
      <c r="M644" s="16" t="str">
        <f>IFERROR(__xludf.DUMMYFUNCTION("""COMPUTED_VALUE"""),"")</f>
        <v/>
      </c>
      <c r="U644" s="16" t="s">
        <v>87</v>
      </c>
      <c r="V644" s="16" t="str">
        <f>IFERROR(__xludf.DUMMYFUNCTION("""COMPUTED_VALUE"""),"")</f>
        <v/>
      </c>
      <c r="W644" s="16" t="str">
        <f>IFERROR(__xludf.DUMMYFUNCTION("""COMPUTED_VALUE"""),"")</f>
        <v/>
      </c>
      <c r="X644" s="16" t="str">
        <f>IFERROR(__xludf.DUMMYFUNCTION("""COMPUTED_VALUE"""),"")</f>
        <v/>
      </c>
      <c r="AC644" s="16" t="str">
        <f>IFERROR(__xludf.DUMMYFUNCTION("""COMPUTED_VALUE"""),"")</f>
        <v/>
      </c>
    </row>
    <row r="645">
      <c r="A645" s="16" t="s">
        <v>87</v>
      </c>
      <c r="E645" s="16" t="str">
        <f>IFERROR(__xludf.DUMMYFUNCTION("""COMPUTED_VALUE"""),"")</f>
        <v/>
      </c>
      <c r="G645" s="18"/>
      <c r="H645" s="16" t="s">
        <v>87</v>
      </c>
      <c r="I645" s="16" t="s">
        <v>87</v>
      </c>
      <c r="J645" s="19"/>
      <c r="L645" s="16" t="str">
        <f>IFERROR(__xludf.DUMMYFUNCTION("""COMPUTED_VALUE"""),"")</f>
        <v/>
      </c>
      <c r="M645" s="16" t="str">
        <f>IFERROR(__xludf.DUMMYFUNCTION("""COMPUTED_VALUE"""),"")</f>
        <v/>
      </c>
      <c r="U645" s="16" t="s">
        <v>87</v>
      </c>
      <c r="V645" s="16" t="str">
        <f>IFERROR(__xludf.DUMMYFUNCTION("""COMPUTED_VALUE"""),"")</f>
        <v/>
      </c>
      <c r="W645" s="16" t="str">
        <f>IFERROR(__xludf.DUMMYFUNCTION("""COMPUTED_VALUE"""),"")</f>
        <v/>
      </c>
      <c r="X645" s="16" t="str">
        <f>IFERROR(__xludf.DUMMYFUNCTION("""COMPUTED_VALUE"""),"")</f>
        <v/>
      </c>
      <c r="AC645" s="16" t="str">
        <f>IFERROR(__xludf.DUMMYFUNCTION("""COMPUTED_VALUE"""),"")</f>
        <v/>
      </c>
    </row>
    <row r="646">
      <c r="A646" s="16" t="s">
        <v>87</v>
      </c>
      <c r="E646" s="16" t="str">
        <f>IFERROR(__xludf.DUMMYFUNCTION("""COMPUTED_VALUE"""),"")</f>
        <v/>
      </c>
      <c r="G646" s="18"/>
      <c r="H646" s="16" t="s">
        <v>87</v>
      </c>
      <c r="I646" s="16" t="s">
        <v>87</v>
      </c>
      <c r="J646" s="19"/>
      <c r="L646" s="16" t="str">
        <f>IFERROR(__xludf.DUMMYFUNCTION("""COMPUTED_VALUE"""),"")</f>
        <v/>
      </c>
      <c r="M646" s="16" t="str">
        <f>IFERROR(__xludf.DUMMYFUNCTION("""COMPUTED_VALUE"""),"")</f>
        <v/>
      </c>
      <c r="U646" s="16" t="s">
        <v>87</v>
      </c>
      <c r="V646" s="16" t="str">
        <f>IFERROR(__xludf.DUMMYFUNCTION("""COMPUTED_VALUE"""),"")</f>
        <v/>
      </c>
      <c r="W646" s="16" t="str">
        <f>IFERROR(__xludf.DUMMYFUNCTION("""COMPUTED_VALUE"""),"")</f>
        <v/>
      </c>
      <c r="X646" s="16" t="str">
        <f>IFERROR(__xludf.DUMMYFUNCTION("""COMPUTED_VALUE"""),"")</f>
        <v/>
      </c>
      <c r="AC646" s="16" t="str">
        <f>IFERROR(__xludf.DUMMYFUNCTION("""COMPUTED_VALUE"""),"")</f>
        <v/>
      </c>
    </row>
    <row r="647">
      <c r="A647" s="16" t="s">
        <v>87</v>
      </c>
      <c r="E647" s="16" t="str">
        <f>IFERROR(__xludf.DUMMYFUNCTION("""COMPUTED_VALUE"""),"")</f>
        <v/>
      </c>
      <c r="G647" s="18"/>
      <c r="H647" s="16" t="s">
        <v>87</v>
      </c>
      <c r="I647" s="16" t="s">
        <v>87</v>
      </c>
      <c r="J647" s="19"/>
      <c r="L647" s="16" t="str">
        <f>IFERROR(__xludf.DUMMYFUNCTION("""COMPUTED_VALUE"""),"")</f>
        <v/>
      </c>
      <c r="M647" s="16" t="str">
        <f>IFERROR(__xludf.DUMMYFUNCTION("""COMPUTED_VALUE"""),"")</f>
        <v/>
      </c>
      <c r="U647" s="16" t="s">
        <v>87</v>
      </c>
      <c r="V647" s="16" t="str">
        <f>IFERROR(__xludf.DUMMYFUNCTION("""COMPUTED_VALUE"""),"")</f>
        <v/>
      </c>
      <c r="W647" s="16" t="str">
        <f>IFERROR(__xludf.DUMMYFUNCTION("""COMPUTED_VALUE"""),"")</f>
        <v/>
      </c>
      <c r="X647" s="16" t="str">
        <f>IFERROR(__xludf.DUMMYFUNCTION("""COMPUTED_VALUE"""),"")</f>
        <v/>
      </c>
      <c r="AC647" s="16" t="str">
        <f>IFERROR(__xludf.DUMMYFUNCTION("""COMPUTED_VALUE"""),"")</f>
        <v/>
      </c>
    </row>
    <row r="648">
      <c r="A648" s="16" t="s">
        <v>87</v>
      </c>
      <c r="E648" s="16" t="str">
        <f>IFERROR(__xludf.DUMMYFUNCTION("""COMPUTED_VALUE"""),"")</f>
        <v/>
      </c>
      <c r="G648" s="18"/>
      <c r="H648" s="16" t="s">
        <v>87</v>
      </c>
      <c r="I648" s="16" t="s">
        <v>87</v>
      </c>
      <c r="J648" s="19"/>
      <c r="L648" s="16" t="str">
        <f>IFERROR(__xludf.DUMMYFUNCTION("""COMPUTED_VALUE"""),"")</f>
        <v/>
      </c>
      <c r="M648" s="16" t="str">
        <f>IFERROR(__xludf.DUMMYFUNCTION("""COMPUTED_VALUE"""),"")</f>
        <v/>
      </c>
      <c r="U648" s="16" t="s">
        <v>87</v>
      </c>
      <c r="V648" s="16" t="str">
        <f>IFERROR(__xludf.DUMMYFUNCTION("""COMPUTED_VALUE"""),"")</f>
        <v/>
      </c>
      <c r="W648" s="16" t="str">
        <f>IFERROR(__xludf.DUMMYFUNCTION("""COMPUTED_VALUE"""),"")</f>
        <v/>
      </c>
      <c r="X648" s="16" t="str">
        <f>IFERROR(__xludf.DUMMYFUNCTION("""COMPUTED_VALUE"""),"")</f>
        <v/>
      </c>
      <c r="AC648" s="16" t="str">
        <f>IFERROR(__xludf.DUMMYFUNCTION("""COMPUTED_VALUE"""),"")</f>
        <v/>
      </c>
    </row>
    <row r="649">
      <c r="A649" s="16" t="s">
        <v>87</v>
      </c>
      <c r="E649" s="16" t="str">
        <f>IFERROR(__xludf.DUMMYFUNCTION("""COMPUTED_VALUE"""),"")</f>
        <v/>
      </c>
      <c r="G649" s="18"/>
      <c r="H649" s="16" t="s">
        <v>87</v>
      </c>
      <c r="I649" s="16" t="s">
        <v>87</v>
      </c>
      <c r="J649" s="19"/>
      <c r="L649" s="16" t="str">
        <f>IFERROR(__xludf.DUMMYFUNCTION("""COMPUTED_VALUE"""),"")</f>
        <v/>
      </c>
      <c r="M649" s="16" t="str">
        <f>IFERROR(__xludf.DUMMYFUNCTION("""COMPUTED_VALUE"""),"")</f>
        <v/>
      </c>
      <c r="U649" s="16" t="s">
        <v>87</v>
      </c>
      <c r="V649" s="16" t="str">
        <f>IFERROR(__xludf.DUMMYFUNCTION("""COMPUTED_VALUE"""),"")</f>
        <v/>
      </c>
      <c r="W649" s="16" t="str">
        <f>IFERROR(__xludf.DUMMYFUNCTION("""COMPUTED_VALUE"""),"")</f>
        <v/>
      </c>
      <c r="X649" s="16" t="str">
        <f>IFERROR(__xludf.DUMMYFUNCTION("""COMPUTED_VALUE"""),"")</f>
        <v/>
      </c>
      <c r="AC649" s="16" t="str">
        <f>IFERROR(__xludf.DUMMYFUNCTION("""COMPUTED_VALUE"""),"")</f>
        <v/>
      </c>
    </row>
    <row r="650">
      <c r="A650" s="16" t="s">
        <v>87</v>
      </c>
      <c r="E650" s="16" t="str">
        <f>IFERROR(__xludf.DUMMYFUNCTION("""COMPUTED_VALUE"""),"")</f>
        <v/>
      </c>
      <c r="G650" s="18"/>
      <c r="H650" s="16" t="s">
        <v>87</v>
      </c>
      <c r="I650" s="16" t="s">
        <v>87</v>
      </c>
      <c r="J650" s="19"/>
      <c r="L650" s="16" t="str">
        <f>IFERROR(__xludf.DUMMYFUNCTION("""COMPUTED_VALUE"""),"")</f>
        <v/>
      </c>
      <c r="M650" s="16" t="str">
        <f>IFERROR(__xludf.DUMMYFUNCTION("""COMPUTED_VALUE"""),"")</f>
        <v/>
      </c>
      <c r="U650" s="16" t="s">
        <v>87</v>
      </c>
      <c r="V650" s="16" t="str">
        <f>IFERROR(__xludf.DUMMYFUNCTION("""COMPUTED_VALUE"""),"")</f>
        <v/>
      </c>
      <c r="W650" s="16" t="str">
        <f>IFERROR(__xludf.DUMMYFUNCTION("""COMPUTED_VALUE"""),"")</f>
        <v/>
      </c>
      <c r="X650" s="16" t="str">
        <f>IFERROR(__xludf.DUMMYFUNCTION("""COMPUTED_VALUE"""),"")</f>
        <v/>
      </c>
      <c r="AC650" s="16" t="str">
        <f>IFERROR(__xludf.DUMMYFUNCTION("""COMPUTED_VALUE"""),"")</f>
        <v/>
      </c>
    </row>
    <row r="651">
      <c r="A651" s="16" t="s">
        <v>87</v>
      </c>
      <c r="E651" s="16" t="str">
        <f>IFERROR(__xludf.DUMMYFUNCTION("""COMPUTED_VALUE"""),"")</f>
        <v/>
      </c>
      <c r="G651" s="18"/>
      <c r="H651" s="16" t="s">
        <v>87</v>
      </c>
      <c r="I651" s="16" t="s">
        <v>87</v>
      </c>
      <c r="J651" s="19"/>
      <c r="L651" s="16" t="str">
        <f>IFERROR(__xludf.DUMMYFUNCTION("""COMPUTED_VALUE"""),"")</f>
        <v/>
      </c>
      <c r="M651" s="16" t="str">
        <f>IFERROR(__xludf.DUMMYFUNCTION("""COMPUTED_VALUE"""),"")</f>
        <v/>
      </c>
      <c r="U651" s="16" t="s">
        <v>87</v>
      </c>
      <c r="V651" s="16" t="str">
        <f>IFERROR(__xludf.DUMMYFUNCTION("""COMPUTED_VALUE"""),"")</f>
        <v/>
      </c>
      <c r="W651" s="16" t="str">
        <f>IFERROR(__xludf.DUMMYFUNCTION("""COMPUTED_VALUE"""),"")</f>
        <v/>
      </c>
      <c r="X651" s="16" t="str">
        <f>IFERROR(__xludf.DUMMYFUNCTION("""COMPUTED_VALUE"""),"")</f>
        <v/>
      </c>
      <c r="AC651" s="16" t="str">
        <f>IFERROR(__xludf.DUMMYFUNCTION("""COMPUTED_VALUE"""),"")</f>
        <v/>
      </c>
    </row>
    <row r="652">
      <c r="A652" s="16" t="s">
        <v>87</v>
      </c>
      <c r="E652" s="16" t="str">
        <f>IFERROR(__xludf.DUMMYFUNCTION("""COMPUTED_VALUE"""),"")</f>
        <v/>
      </c>
      <c r="G652" s="18"/>
      <c r="H652" s="16" t="s">
        <v>87</v>
      </c>
      <c r="I652" s="16" t="s">
        <v>87</v>
      </c>
      <c r="J652" s="19"/>
      <c r="L652" s="16" t="str">
        <f>IFERROR(__xludf.DUMMYFUNCTION("""COMPUTED_VALUE"""),"")</f>
        <v/>
      </c>
      <c r="M652" s="16" t="str">
        <f>IFERROR(__xludf.DUMMYFUNCTION("""COMPUTED_VALUE"""),"")</f>
        <v/>
      </c>
      <c r="U652" s="16" t="s">
        <v>87</v>
      </c>
      <c r="V652" s="16" t="str">
        <f>IFERROR(__xludf.DUMMYFUNCTION("""COMPUTED_VALUE"""),"")</f>
        <v/>
      </c>
      <c r="W652" s="16" t="str">
        <f>IFERROR(__xludf.DUMMYFUNCTION("""COMPUTED_VALUE"""),"")</f>
        <v/>
      </c>
      <c r="X652" s="16" t="str">
        <f>IFERROR(__xludf.DUMMYFUNCTION("""COMPUTED_VALUE"""),"")</f>
        <v/>
      </c>
      <c r="AC652" s="16" t="str">
        <f>IFERROR(__xludf.DUMMYFUNCTION("""COMPUTED_VALUE"""),"")</f>
        <v/>
      </c>
    </row>
    <row r="653">
      <c r="A653" s="16" t="s">
        <v>87</v>
      </c>
      <c r="E653" s="16" t="str">
        <f>IFERROR(__xludf.DUMMYFUNCTION("""COMPUTED_VALUE"""),"")</f>
        <v/>
      </c>
      <c r="G653" s="18"/>
      <c r="H653" s="16" t="s">
        <v>87</v>
      </c>
      <c r="I653" s="16" t="s">
        <v>87</v>
      </c>
      <c r="J653" s="19"/>
      <c r="L653" s="16" t="str">
        <f>IFERROR(__xludf.DUMMYFUNCTION("""COMPUTED_VALUE"""),"")</f>
        <v/>
      </c>
      <c r="M653" s="16" t="str">
        <f>IFERROR(__xludf.DUMMYFUNCTION("""COMPUTED_VALUE"""),"")</f>
        <v/>
      </c>
      <c r="U653" s="16" t="s">
        <v>87</v>
      </c>
      <c r="V653" s="16" t="str">
        <f>IFERROR(__xludf.DUMMYFUNCTION("""COMPUTED_VALUE"""),"")</f>
        <v/>
      </c>
      <c r="W653" s="16" t="str">
        <f>IFERROR(__xludf.DUMMYFUNCTION("""COMPUTED_VALUE"""),"")</f>
        <v/>
      </c>
      <c r="X653" s="16" t="str">
        <f>IFERROR(__xludf.DUMMYFUNCTION("""COMPUTED_VALUE"""),"")</f>
        <v/>
      </c>
      <c r="AC653" s="16" t="str">
        <f>IFERROR(__xludf.DUMMYFUNCTION("""COMPUTED_VALUE"""),"")</f>
        <v/>
      </c>
    </row>
    <row r="654">
      <c r="A654" s="16" t="s">
        <v>87</v>
      </c>
      <c r="E654" s="16" t="str">
        <f>IFERROR(__xludf.DUMMYFUNCTION("""COMPUTED_VALUE"""),"")</f>
        <v/>
      </c>
      <c r="G654" s="18"/>
      <c r="H654" s="16" t="s">
        <v>87</v>
      </c>
      <c r="I654" s="16" t="s">
        <v>87</v>
      </c>
      <c r="J654" s="19"/>
      <c r="L654" s="16" t="str">
        <f>IFERROR(__xludf.DUMMYFUNCTION("""COMPUTED_VALUE"""),"")</f>
        <v/>
      </c>
      <c r="M654" s="16" t="str">
        <f>IFERROR(__xludf.DUMMYFUNCTION("""COMPUTED_VALUE"""),"")</f>
        <v/>
      </c>
      <c r="U654" s="16" t="s">
        <v>87</v>
      </c>
      <c r="V654" s="16" t="str">
        <f>IFERROR(__xludf.DUMMYFUNCTION("""COMPUTED_VALUE"""),"")</f>
        <v/>
      </c>
      <c r="W654" s="16" t="str">
        <f>IFERROR(__xludf.DUMMYFUNCTION("""COMPUTED_VALUE"""),"")</f>
        <v/>
      </c>
      <c r="X654" s="16" t="str">
        <f>IFERROR(__xludf.DUMMYFUNCTION("""COMPUTED_VALUE"""),"")</f>
        <v/>
      </c>
      <c r="AC654" s="16" t="str">
        <f>IFERROR(__xludf.DUMMYFUNCTION("""COMPUTED_VALUE"""),"")</f>
        <v/>
      </c>
    </row>
    <row r="655">
      <c r="A655" s="16" t="s">
        <v>87</v>
      </c>
      <c r="E655" s="16" t="str">
        <f>IFERROR(__xludf.DUMMYFUNCTION("""COMPUTED_VALUE"""),"")</f>
        <v/>
      </c>
      <c r="G655" s="18"/>
      <c r="H655" s="16" t="s">
        <v>87</v>
      </c>
      <c r="I655" s="16" t="s">
        <v>87</v>
      </c>
      <c r="J655" s="19"/>
      <c r="L655" s="16" t="str">
        <f>IFERROR(__xludf.DUMMYFUNCTION("""COMPUTED_VALUE"""),"")</f>
        <v/>
      </c>
      <c r="M655" s="16" t="str">
        <f>IFERROR(__xludf.DUMMYFUNCTION("""COMPUTED_VALUE"""),"")</f>
        <v/>
      </c>
      <c r="U655" s="16" t="s">
        <v>87</v>
      </c>
      <c r="V655" s="16" t="str">
        <f>IFERROR(__xludf.DUMMYFUNCTION("""COMPUTED_VALUE"""),"")</f>
        <v/>
      </c>
      <c r="W655" s="16" t="str">
        <f>IFERROR(__xludf.DUMMYFUNCTION("""COMPUTED_VALUE"""),"")</f>
        <v/>
      </c>
      <c r="X655" s="16" t="str">
        <f>IFERROR(__xludf.DUMMYFUNCTION("""COMPUTED_VALUE"""),"")</f>
        <v/>
      </c>
      <c r="AC655" s="16" t="str">
        <f>IFERROR(__xludf.DUMMYFUNCTION("""COMPUTED_VALUE"""),"")</f>
        <v/>
      </c>
    </row>
    <row r="656">
      <c r="A656" s="16" t="s">
        <v>87</v>
      </c>
      <c r="E656" s="16" t="str">
        <f>IFERROR(__xludf.DUMMYFUNCTION("""COMPUTED_VALUE"""),"")</f>
        <v/>
      </c>
      <c r="G656" s="18"/>
      <c r="H656" s="16" t="s">
        <v>87</v>
      </c>
      <c r="I656" s="16" t="s">
        <v>87</v>
      </c>
      <c r="J656" s="19"/>
      <c r="L656" s="16" t="str">
        <f>IFERROR(__xludf.DUMMYFUNCTION("""COMPUTED_VALUE"""),"")</f>
        <v/>
      </c>
      <c r="M656" s="16" t="str">
        <f>IFERROR(__xludf.DUMMYFUNCTION("""COMPUTED_VALUE"""),"")</f>
        <v/>
      </c>
      <c r="U656" s="16" t="s">
        <v>87</v>
      </c>
      <c r="V656" s="16" t="str">
        <f>IFERROR(__xludf.DUMMYFUNCTION("""COMPUTED_VALUE"""),"")</f>
        <v/>
      </c>
      <c r="W656" s="16" t="str">
        <f>IFERROR(__xludf.DUMMYFUNCTION("""COMPUTED_VALUE"""),"")</f>
        <v/>
      </c>
      <c r="X656" s="16" t="str">
        <f>IFERROR(__xludf.DUMMYFUNCTION("""COMPUTED_VALUE"""),"")</f>
        <v/>
      </c>
      <c r="AC656" s="16" t="str">
        <f>IFERROR(__xludf.DUMMYFUNCTION("""COMPUTED_VALUE"""),"")</f>
        <v/>
      </c>
    </row>
    <row r="657">
      <c r="A657" s="16" t="s">
        <v>87</v>
      </c>
      <c r="E657" s="16" t="str">
        <f>IFERROR(__xludf.DUMMYFUNCTION("""COMPUTED_VALUE"""),"")</f>
        <v/>
      </c>
      <c r="G657" s="18"/>
      <c r="H657" s="16" t="s">
        <v>87</v>
      </c>
      <c r="I657" s="16" t="s">
        <v>87</v>
      </c>
      <c r="J657" s="19"/>
      <c r="L657" s="16" t="str">
        <f>IFERROR(__xludf.DUMMYFUNCTION("""COMPUTED_VALUE"""),"")</f>
        <v/>
      </c>
      <c r="M657" s="16" t="str">
        <f>IFERROR(__xludf.DUMMYFUNCTION("""COMPUTED_VALUE"""),"")</f>
        <v/>
      </c>
      <c r="U657" s="16" t="s">
        <v>87</v>
      </c>
      <c r="V657" s="16" t="str">
        <f>IFERROR(__xludf.DUMMYFUNCTION("""COMPUTED_VALUE"""),"")</f>
        <v/>
      </c>
      <c r="W657" s="16" t="str">
        <f>IFERROR(__xludf.DUMMYFUNCTION("""COMPUTED_VALUE"""),"")</f>
        <v/>
      </c>
      <c r="X657" s="16" t="str">
        <f>IFERROR(__xludf.DUMMYFUNCTION("""COMPUTED_VALUE"""),"")</f>
        <v/>
      </c>
      <c r="AC657" s="16" t="str">
        <f>IFERROR(__xludf.DUMMYFUNCTION("""COMPUTED_VALUE"""),"")</f>
        <v/>
      </c>
    </row>
    <row r="658">
      <c r="A658" s="16" t="s">
        <v>87</v>
      </c>
      <c r="E658" s="16" t="str">
        <f>IFERROR(__xludf.DUMMYFUNCTION("""COMPUTED_VALUE"""),"")</f>
        <v/>
      </c>
      <c r="G658" s="18"/>
      <c r="H658" s="16" t="s">
        <v>87</v>
      </c>
      <c r="I658" s="16" t="s">
        <v>87</v>
      </c>
      <c r="J658" s="19"/>
      <c r="L658" s="16" t="str">
        <f>IFERROR(__xludf.DUMMYFUNCTION("""COMPUTED_VALUE"""),"")</f>
        <v/>
      </c>
      <c r="M658" s="16" t="str">
        <f>IFERROR(__xludf.DUMMYFUNCTION("""COMPUTED_VALUE"""),"")</f>
        <v/>
      </c>
      <c r="U658" s="16" t="s">
        <v>87</v>
      </c>
      <c r="V658" s="16" t="str">
        <f>IFERROR(__xludf.DUMMYFUNCTION("""COMPUTED_VALUE"""),"")</f>
        <v/>
      </c>
      <c r="W658" s="16" t="str">
        <f>IFERROR(__xludf.DUMMYFUNCTION("""COMPUTED_VALUE"""),"")</f>
        <v/>
      </c>
      <c r="X658" s="16" t="str">
        <f>IFERROR(__xludf.DUMMYFUNCTION("""COMPUTED_VALUE"""),"")</f>
        <v/>
      </c>
      <c r="AC658" s="16" t="str">
        <f>IFERROR(__xludf.DUMMYFUNCTION("""COMPUTED_VALUE"""),"")</f>
        <v/>
      </c>
    </row>
    <row r="659">
      <c r="A659" s="16" t="s">
        <v>87</v>
      </c>
      <c r="E659" s="16" t="str">
        <f>IFERROR(__xludf.DUMMYFUNCTION("""COMPUTED_VALUE"""),"")</f>
        <v/>
      </c>
      <c r="G659" s="18"/>
      <c r="H659" s="16" t="s">
        <v>87</v>
      </c>
      <c r="I659" s="16" t="s">
        <v>87</v>
      </c>
      <c r="J659" s="19"/>
      <c r="L659" s="16" t="str">
        <f>IFERROR(__xludf.DUMMYFUNCTION("""COMPUTED_VALUE"""),"")</f>
        <v/>
      </c>
      <c r="M659" s="16" t="str">
        <f>IFERROR(__xludf.DUMMYFUNCTION("""COMPUTED_VALUE"""),"")</f>
        <v/>
      </c>
      <c r="U659" s="16" t="s">
        <v>87</v>
      </c>
      <c r="V659" s="16" t="str">
        <f>IFERROR(__xludf.DUMMYFUNCTION("""COMPUTED_VALUE"""),"")</f>
        <v/>
      </c>
      <c r="W659" s="16" t="str">
        <f>IFERROR(__xludf.DUMMYFUNCTION("""COMPUTED_VALUE"""),"")</f>
        <v/>
      </c>
      <c r="X659" s="16" t="str">
        <f>IFERROR(__xludf.DUMMYFUNCTION("""COMPUTED_VALUE"""),"")</f>
        <v/>
      </c>
      <c r="AC659" s="16" t="str">
        <f>IFERROR(__xludf.DUMMYFUNCTION("""COMPUTED_VALUE"""),"")</f>
        <v/>
      </c>
    </row>
    <row r="660">
      <c r="A660" s="16" t="s">
        <v>87</v>
      </c>
      <c r="E660" s="16" t="str">
        <f>IFERROR(__xludf.DUMMYFUNCTION("""COMPUTED_VALUE"""),"")</f>
        <v/>
      </c>
      <c r="G660" s="18"/>
      <c r="H660" s="16" t="s">
        <v>87</v>
      </c>
      <c r="I660" s="16" t="s">
        <v>87</v>
      </c>
      <c r="J660" s="19"/>
      <c r="L660" s="16" t="str">
        <f>IFERROR(__xludf.DUMMYFUNCTION("""COMPUTED_VALUE"""),"")</f>
        <v/>
      </c>
      <c r="M660" s="16" t="str">
        <f>IFERROR(__xludf.DUMMYFUNCTION("""COMPUTED_VALUE"""),"")</f>
        <v/>
      </c>
      <c r="U660" s="16" t="s">
        <v>87</v>
      </c>
      <c r="V660" s="16" t="str">
        <f>IFERROR(__xludf.DUMMYFUNCTION("""COMPUTED_VALUE"""),"")</f>
        <v/>
      </c>
      <c r="W660" s="16" t="str">
        <f>IFERROR(__xludf.DUMMYFUNCTION("""COMPUTED_VALUE"""),"")</f>
        <v/>
      </c>
      <c r="X660" s="16" t="str">
        <f>IFERROR(__xludf.DUMMYFUNCTION("""COMPUTED_VALUE"""),"")</f>
        <v/>
      </c>
      <c r="AC660" s="16" t="str">
        <f>IFERROR(__xludf.DUMMYFUNCTION("""COMPUTED_VALUE"""),"")</f>
        <v/>
      </c>
    </row>
    <row r="661">
      <c r="A661" s="16" t="s">
        <v>87</v>
      </c>
      <c r="E661" s="16" t="str">
        <f>IFERROR(__xludf.DUMMYFUNCTION("""COMPUTED_VALUE"""),"")</f>
        <v/>
      </c>
      <c r="G661" s="18"/>
      <c r="H661" s="16" t="s">
        <v>87</v>
      </c>
      <c r="I661" s="16" t="s">
        <v>87</v>
      </c>
      <c r="J661" s="19"/>
      <c r="L661" s="16" t="str">
        <f>IFERROR(__xludf.DUMMYFUNCTION("""COMPUTED_VALUE"""),"")</f>
        <v/>
      </c>
      <c r="M661" s="16" t="str">
        <f>IFERROR(__xludf.DUMMYFUNCTION("""COMPUTED_VALUE"""),"")</f>
        <v/>
      </c>
      <c r="U661" s="16" t="s">
        <v>87</v>
      </c>
      <c r="V661" s="16" t="str">
        <f>IFERROR(__xludf.DUMMYFUNCTION("""COMPUTED_VALUE"""),"")</f>
        <v/>
      </c>
      <c r="W661" s="16" t="str">
        <f>IFERROR(__xludf.DUMMYFUNCTION("""COMPUTED_VALUE"""),"")</f>
        <v/>
      </c>
      <c r="X661" s="16" t="str">
        <f>IFERROR(__xludf.DUMMYFUNCTION("""COMPUTED_VALUE"""),"")</f>
        <v/>
      </c>
      <c r="AC661" s="16" t="str">
        <f>IFERROR(__xludf.DUMMYFUNCTION("""COMPUTED_VALUE"""),"")</f>
        <v/>
      </c>
    </row>
    <row r="662">
      <c r="A662" s="16" t="s">
        <v>87</v>
      </c>
      <c r="E662" s="16" t="str">
        <f>IFERROR(__xludf.DUMMYFUNCTION("""COMPUTED_VALUE"""),"")</f>
        <v/>
      </c>
      <c r="G662" s="18"/>
      <c r="H662" s="16" t="s">
        <v>87</v>
      </c>
      <c r="I662" s="16" t="s">
        <v>87</v>
      </c>
      <c r="J662" s="19"/>
      <c r="L662" s="16" t="str">
        <f>IFERROR(__xludf.DUMMYFUNCTION("""COMPUTED_VALUE"""),"")</f>
        <v/>
      </c>
      <c r="M662" s="16" t="str">
        <f>IFERROR(__xludf.DUMMYFUNCTION("""COMPUTED_VALUE"""),"")</f>
        <v/>
      </c>
      <c r="U662" s="16" t="s">
        <v>87</v>
      </c>
      <c r="V662" s="16" t="str">
        <f>IFERROR(__xludf.DUMMYFUNCTION("""COMPUTED_VALUE"""),"")</f>
        <v/>
      </c>
      <c r="W662" s="16" t="str">
        <f>IFERROR(__xludf.DUMMYFUNCTION("""COMPUTED_VALUE"""),"")</f>
        <v/>
      </c>
      <c r="X662" s="16" t="str">
        <f>IFERROR(__xludf.DUMMYFUNCTION("""COMPUTED_VALUE"""),"")</f>
        <v/>
      </c>
      <c r="AC662" s="16" t="str">
        <f>IFERROR(__xludf.DUMMYFUNCTION("""COMPUTED_VALUE"""),"")</f>
        <v/>
      </c>
    </row>
    <row r="663">
      <c r="A663" s="16" t="s">
        <v>87</v>
      </c>
      <c r="E663" s="16" t="str">
        <f>IFERROR(__xludf.DUMMYFUNCTION("""COMPUTED_VALUE"""),"")</f>
        <v/>
      </c>
      <c r="G663" s="18"/>
      <c r="H663" s="16" t="s">
        <v>87</v>
      </c>
      <c r="I663" s="16" t="s">
        <v>87</v>
      </c>
      <c r="J663" s="19"/>
      <c r="L663" s="16" t="str">
        <f>IFERROR(__xludf.DUMMYFUNCTION("""COMPUTED_VALUE"""),"")</f>
        <v/>
      </c>
      <c r="M663" s="16" t="str">
        <f>IFERROR(__xludf.DUMMYFUNCTION("""COMPUTED_VALUE"""),"")</f>
        <v/>
      </c>
      <c r="U663" s="16" t="s">
        <v>87</v>
      </c>
      <c r="V663" s="16" t="str">
        <f>IFERROR(__xludf.DUMMYFUNCTION("""COMPUTED_VALUE"""),"")</f>
        <v/>
      </c>
      <c r="W663" s="16" t="str">
        <f>IFERROR(__xludf.DUMMYFUNCTION("""COMPUTED_VALUE"""),"")</f>
        <v/>
      </c>
      <c r="X663" s="16" t="str">
        <f>IFERROR(__xludf.DUMMYFUNCTION("""COMPUTED_VALUE"""),"")</f>
        <v/>
      </c>
      <c r="AC663" s="16" t="str">
        <f>IFERROR(__xludf.DUMMYFUNCTION("""COMPUTED_VALUE"""),"")</f>
        <v/>
      </c>
    </row>
    <row r="664">
      <c r="A664" s="16" t="s">
        <v>87</v>
      </c>
      <c r="E664" s="16" t="str">
        <f>IFERROR(__xludf.DUMMYFUNCTION("""COMPUTED_VALUE"""),"")</f>
        <v/>
      </c>
      <c r="G664" s="18"/>
      <c r="H664" s="16" t="s">
        <v>87</v>
      </c>
      <c r="I664" s="16" t="s">
        <v>87</v>
      </c>
      <c r="J664" s="19"/>
      <c r="L664" s="16" t="str">
        <f>IFERROR(__xludf.DUMMYFUNCTION("""COMPUTED_VALUE"""),"")</f>
        <v/>
      </c>
      <c r="M664" s="16" t="str">
        <f>IFERROR(__xludf.DUMMYFUNCTION("""COMPUTED_VALUE"""),"")</f>
        <v/>
      </c>
      <c r="U664" s="16" t="s">
        <v>87</v>
      </c>
      <c r="V664" s="16" t="str">
        <f>IFERROR(__xludf.DUMMYFUNCTION("""COMPUTED_VALUE"""),"")</f>
        <v/>
      </c>
      <c r="W664" s="16" t="str">
        <f>IFERROR(__xludf.DUMMYFUNCTION("""COMPUTED_VALUE"""),"")</f>
        <v/>
      </c>
      <c r="X664" s="16" t="str">
        <f>IFERROR(__xludf.DUMMYFUNCTION("""COMPUTED_VALUE"""),"")</f>
        <v/>
      </c>
      <c r="AC664" s="16" t="str">
        <f>IFERROR(__xludf.DUMMYFUNCTION("""COMPUTED_VALUE"""),"")</f>
        <v/>
      </c>
    </row>
    <row r="665">
      <c r="A665" s="16" t="s">
        <v>87</v>
      </c>
      <c r="E665" s="16" t="str">
        <f>IFERROR(__xludf.DUMMYFUNCTION("""COMPUTED_VALUE"""),"")</f>
        <v/>
      </c>
      <c r="G665" s="18"/>
      <c r="H665" s="16" t="s">
        <v>87</v>
      </c>
      <c r="I665" s="16" t="s">
        <v>87</v>
      </c>
      <c r="J665" s="19"/>
      <c r="L665" s="16" t="str">
        <f>IFERROR(__xludf.DUMMYFUNCTION("""COMPUTED_VALUE"""),"")</f>
        <v/>
      </c>
      <c r="M665" s="16" t="str">
        <f>IFERROR(__xludf.DUMMYFUNCTION("""COMPUTED_VALUE"""),"")</f>
        <v/>
      </c>
      <c r="U665" s="16" t="s">
        <v>87</v>
      </c>
      <c r="V665" s="16" t="str">
        <f>IFERROR(__xludf.DUMMYFUNCTION("""COMPUTED_VALUE"""),"")</f>
        <v/>
      </c>
      <c r="W665" s="16" t="str">
        <f>IFERROR(__xludf.DUMMYFUNCTION("""COMPUTED_VALUE"""),"")</f>
        <v/>
      </c>
      <c r="X665" s="16" t="str">
        <f>IFERROR(__xludf.DUMMYFUNCTION("""COMPUTED_VALUE"""),"")</f>
        <v/>
      </c>
      <c r="AC665" s="16" t="str">
        <f>IFERROR(__xludf.DUMMYFUNCTION("""COMPUTED_VALUE"""),"")</f>
        <v/>
      </c>
    </row>
    <row r="666">
      <c r="A666" s="16" t="s">
        <v>87</v>
      </c>
      <c r="E666" s="16" t="str">
        <f>IFERROR(__xludf.DUMMYFUNCTION("""COMPUTED_VALUE"""),"")</f>
        <v/>
      </c>
      <c r="G666" s="18"/>
      <c r="H666" s="16" t="s">
        <v>87</v>
      </c>
      <c r="I666" s="16" t="s">
        <v>87</v>
      </c>
      <c r="J666" s="19"/>
      <c r="L666" s="16" t="str">
        <f>IFERROR(__xludf.DUMMYFUNCTION("""COMPUTED_VALUE"""),"")</f>
        <v/>
      </c>
      <c r="M666" s="16" t="str">
        <f>IFERROR(__xludf.DUMMYFUNCTION("""COMPUTED_VALUE"""),"")</f>
        <v/>
      </c>
      <c r="U666" s="16" t="s">
        <v>87</v>
      </c>
      <c r="V666" s="16" t="str">
        <f>IFERROR(__xludf.DUMMYFUNCTION("""COMPUTED_VALUE"""),"")</f>
        <v/>
      </c>
      <c r="W666" s="16" t="str">
        <f>IFERROR(__xludf.DUMMYFUNCTION("""COMPUTED_VALUE"""),"")</f>
        <v/>
      </c>
      <c r="X666" s="16" t="str">
        <f>IFERROR(__xludf.DUMMYFUNCTION("""COMPUTED_VALUE"""),"")</f>
        <v/>
      </c>
      <c r="AC666" s="16" t="str">
        <f>IFERROR(__xludf.DUMMYFUNCTION("""COMPUTED_VALUE"""),"")</f>
        <v/>
      </c>
    </row>
    <row r="667">
      <c r="A667" s="16" t="s">
        <v>87</v>
      </c>
      <c r="E667" s="16" t="str">
        <f>IFERROR(__xludf.DUMMYFUNCTION("""COMPUTED_VALUE"""),"")</f>
        <v/>
      </c>
      <c r="G667" s="18"/>
      <c r="H667" s="16" t="s">
        <v>87</v>
      </c>
      <c r="I667" s="16" t="s">
        <v>87</v>
      </c>
      <c r="J667" s="19"/>
      <c r="L667" s="16" t="str">
        <f>IFERROR(__xludf.DUMMYFUNCTION("""COMPUTED_VALUE"""),"")</f>
        <v/>
      </c>
      <c r="M667" s="16" t="str">
        <f>IFERROR(__xludf.DUMMYFUNCTION("""COMPUTED_VALUE"""),"")</f>
        <v/>
      </c>
      <c r="U667" s="16" t="s">
        <v>87</v>
      </c>
      <c r="V667" s="16" t="str">
        <f>IFERROR(__xludf.DUMMYFUNCTION("""COMPUTED_VALUE"""),"")</f>
        <v/>
      </c>
      <c r="W667" s="16" t="str">
        <f>IFERROR(__xludf.DUMMYFUNCTION("""COMPUTED_VALUE"""),"")</f>
        <v/>
      </c>
      <c r="X667" s="16" t="str">
        <f>IFERROR(__xludf.DUMMYFUNCTION("""COMPUTED_VALUE"""),"")</f>
        <v/>
      </c>
      <c r="AC667" s="16" t="str">
        <f>IFERROR(__xludf.DUMMYFUNCTION("""COMPUTED_VALUE"""),"")</f>
        <v/>
      </c>
    </row>
    <row r="668">
      <c r="A668" s="16" t="s">
        <v>87</v>
      </c>
      <c r="E668" s="16" t="str">
        <f>IFERROR(__xludf.DUMMYFUNCTION("""COMPUTED_VALUE"""),"")</f>
        <v/>
      </c>
      <c r="G668" s="18"/>
      <c r="H668" s="16" t="s">
        <v>87</v>
      </c>
      <c r="I668" s="16" t="s">
        <v>87</v>
      </c>
      <c r="J668" s="19"/>
      <c r="L668" s="16" t="str">
        <f>IFERROR(__xludf.DUMMYFUNCTION("""COMPUTED_VALUE"""),"")</f>
        <v/>
      </c>
      <c r="M668" s="16" t="str">
        <f>IFERROR(__xludf.DUMMYFUNCTION("""COMPUTED_VALUE"""),"")</f>
        <v/>
      </c>
      <c r="U668" s="16" t="s">
        <v>87</v>
      </c>
      <c r="V668" s="16" t="str">
        <f>IFERROR(__xludf.DUMMYFUNCTION("""COMPUTED_VALUE"""),"")</f>
        <v/>
      </c>
      <c r="W668" s="16" t="str">
        <f>IFERROR(__xludf.DUMMYFUNCTION("""COMPUTED_VALUE"""),"")</f>
        <v/>
      </c>
      <c r="X668" s="16" t="str">
        <f>IFERROR(__xludf.DUMMYFUNCTION("""COMPUTED_VALUE"""),"")</f>
        <v/>
      </c>
      <c r="AC668" s="16" t="str">
        <f>IFERROR(__xludf.DUMMYFUNCTION("""COMPUTED_VALUE"""),"")</f>
        <v/>
      </c>
    </row>
    <row r="669">
      <c r="A669" s="16" t="s">
        <v>87</v>
      </c>
      <c r="E669" s="16" t="str">
        <f>IFERROR(__xludf.DUMMYFUNCTION("""COMPUTED_VALUE"""),"")</f>
        <v/>
      </c>
      <c r="G669" s="18"/>
      <c r="H669" s="16" t="s">
        <v>87</v>
      </c>
      <c r="I669" s="16" t="s">
        <v>87</v>
      </c>
      <c r="J669" s="19"/>
      <c r="L669" s="16" t="str">
        <f>IFERROR(__xludf.DUMMYFUNCTION("""COMPUTED_VALUE"""),"")</f>
        <v/>
      </c>
      <c r="M669" s="16" t="str">
        <f>IFERROR(__xludf.DUMMYFUNCTION("""COMPUTED_VALUE"""),"")</f>
        <v/>
      </c>
      <c r="U669" s="16" t="s">
        <v>87</v>
      </c>
      <c r="V669" s="16" t="str">
        <f>IFERROR(__xludf.DUMMYFUNCTION("""COMPUTED_VALUE"""),"")</f>
        <v/>
      </c>
      <c r="W669" s="16" t="str">
        <f>IFERROR(__xludf.DUMMYFUNCTION("""COMPUTED_VALUE"""),"")</f>
        <v/>
      </c>
      <c r="X669" s="16" t="str">
        <f>IFERROR(__xludf.DUMMYFUNCTION("""COMPUTED_VALUE"""),"")</f>
        <v/>
      </c>
      <c r="AC669" s="16" t="str">
        <f>IFERROR(__xludf.DUMMYFUNCTION("""COMPUTED_VALUE"""),"")</f>
        <v/>
      </c>
    </row>
    <row r="670">
      <c r="A670" s="16" t="s">
        <v>87</v>
      </c>
      <c r="E670" s="16" t="str">
        <f>IFERROR(__xludf.DUMMYFUNCTION("""COMPUTED_VALUE"""),"")</f>
        <v/>
      </c>
      <c r="G670" s="18"/>
      <c r="H670" s="16" t="s">
        <v>87</v>
      </c>
      <c r="I670" s="16" t="s">
        <v>87</v>
      </c>
      <c r="J670" s="19"/>
      <c r="L670" s="16" t="str">
        <f>IFERROR(__xludf.DUMMYFUNCTION("""COMPUTED_VALUE"""),"")</f>
        <v/>
      </c>
      <c r="M670" s="16" t="str">
        <f>IFERROR(__xludf.DUMMYFUNCTION("""COMPUTED_VALUE"""),"")</f>
        <v/>
      </c>
      <c r="U670" s="16" t="s">
        <v>87</v>
      </c>
      <c r="V670" s="16" t="str">
        <f>IFERROR(__xludf.DUMMYFUNCTION("""COMPUTED_VALUE"""),"")</f>
        <v/>
      </c>
      <c r="W670" s="16" t="str">
        <f>IFERROR(__xludf.DUMMYFUNCTION("""COMPUTED_VALUE"""),"")</f>
        <v/>
      </c>
      <c r="X670" s="16" t="str">
        <f>IFERROR(__xludf.DUMMYFUNCTION("""COMPUTED_VALUE"""),"")</f>
        <v/>
      </c>
      <c r="AC670" s="16" t="str">
        <f>IFERROR(__xludf.DUMMYFUNCTION("""COMPUTED_VALUE"""),"")</f>
        <v/>
      </c>
    </row>
    <row r="671">
      <c r="A671" s="16" t="s">
        <v>87</v>
      </c>
      <c r="E671" s="16" t="str">
        <f>IFERROR(__xludf.DUMMYFUNCTION("""COMPUTED_VALUE"""),"")</f>
        <v/>
      </c>
      <c r="G671" s="18"/>
      <c r="H671" s="16" t="s">
        <v>87</v>
      </c>
      <c r="I671" s="16" t="s">
        <v>87</v>
      </c>
      <c r="J671" s="19"/>
      <c r="L671" s="16" t="str">
        <f>IFERROR(__xludf.DUMMYFUNCTION("""COMPUTED_VALUE"""),"")</f>
        <v/>
      </c>
      <c r="M671" s="16" t="str">
        <f>IFERROR(__xludf.DUMMYFUNCTION("""COMPUTED_VALUE"""),"")</f>
        <v/>
      </c>
      <c r="U671" s="16" t="s">
        <v>87</v>
      </c>
      <c r="V671" s="16" t="str">
        <f>IFERROR(__xludf.DUMMYFUNCTION("""COMPUTED_VALUE"""),"")</f>
        <v/>
      </c>
      <c r="W671" s="16" t="str">
        <f>IFERROR(__xludf.DUMMYFUNCTION("""COMPUTED_VALUE"""),"")</f>
        <v/>
      </c>
      <c r="X671" s="16" t="str">
        <f>IFERROR(__xludf.DUMMYFUNCTION("""COMPUTED_VALUE"""),"")</f>
        <v/>
      </c>
      <c r="AC671" s="16" t="str">
        <f>IFERROR(__xludf.DUMMYFUNCTION("""COMPUTED_VALUE"""),"")</f>
        <v/>
      </c>
    </row>
    <row r="672">
      <c r="A672" s="16" t="s">
        <v>87</v>
      </c>
      <c r="E672" s="16" t="str">
        <f>IFERROR(__xludf.DUMMYFUNCTION("""COMPUTED_VALUE"""),"")</f>
        <v/>
      </c>
      <c r="G672" s="18"/>
      <c r="H672" s="16" t="s">
        <v>87</v>
      </c>
      <c r="I672" s="16" t="s">
        <v>87</v>
      </c>
      <c r="J672" s="19"/>
      <c r="L672" s="16" t="str">
        <f>IFERROR(__xludf.DUMMYFUNCTION("""COMPUTED_VALUE"""),"")</f>
        <v/>
      </c>
      <c r="M672" s="16" t="str">
        <f>IFERROR(__xludf.DUMMYFUNCTION("""COMPUTED_VALUE"""),"")</f>
        <v/>
      </c>
      <c r="U672" s="16" t="s">
        <v>87</v>
      </c>
      <c r="V672" s="16" t="str">
        <f>IFERROR(__xludf.DUMMYFUNCTION("""COMPUTED_VALUE"""),"")</f>
        <v/>
      </c>
      <c r="W672" s="16" t="str">
        <f>IFERROR(__xludf.DUMMYFUNCTION("""COMPUTED_VALUE"""),"")</f>
        <v/>
      </c>
      <c r="X672" s="16" t="str">
        <f>IFERROR(__xludf.DUMMYFUNCTION("""COMPUTED_VALUE"""),"")</f>
        <v/>
      </c>
      <c r="AC672" s="16" t="str">
        <f>IFERROR(__xludf.DUMMYFUNCTION("""COMPUTED_VALUE"""),"")</f>
        <v/>
      </c>
    </row>
    <row r="673">
      <c r="A673" s="16" t="s">
        <v>87</v>
      </c>
      <c r="E673" s="16" t="str">
        <f>IFERROR(__xludf.DUMMYFUNCTION("""COMPUTED_VALUE"""),"")</f>
        <v/>
      </c>
      <c r="G673" s="18"/>
      <c r="H673" s="16" t="s">
        <v>87</v>
      </c>
      <c r="I673" s="16" t="s">
        <v>87</v>
      </c>
      <c r="J673" s="19"/>
      <c r="L673" s="16" t="str">
        <f>IFERROR(__xludf.DUMMYFUNCTION("""COMPUTED_VALUE"""),"")</f>
        <v/>
      </c>
      <c r="M673" s="16" t="str">
        <f>IFERROR(__xludf.DUMMYFUNCTION("""COMPUTED_VALUE"""),"")</f>
        <v/>
      </c>
      <c r="U673" s="16" t="s">
        <v>87</v>
      </c>
      <c r="V673" s="16" t="str">
        <f>IFERROR(__xludf.DUMMYFUNCTION("""COMPUTED_VALUE"""),"")</f>
        <v/>
      </c>
      <c r="W673" s="16" t="str">
        <f>IFERROR(__xludf.DUMMYFUNCTION("""COMPUTED_VALUE"""),"")</f>
        <v/>
      </c>
      <c r="X673" s="16" t="str">
        <f>IFERROR(__xludf.DUMMYFUNCTION("""COMPUTED_VALUE"""),"")</f>
        <v/>
      </c>
      <c r="AC673" s="16" t="str">
        <f>IFERROR(__xludf.DUMMYFUNCTION("""COMPUTED_VALUE"""),"")</f>
        <v/>
      </c>
    </row>
    <row r="674">
      <c r="A674" s="16" t="s">
        <v>87</v>
      </c>
      <c r="E674" s="16" t="str">
        <f>IFERROR(__xludf.DUMMYFUNCTION("""COMPUTED_VALUE"""),"")</f>
        <v/>
      </c>
      <c r="G674" s="18"/>
      <c r="H674" s="16" t="s">
        <v>87</v>
      </c>
      <c r="I674" s="16" t="s">
        <v>87</v>
      </c>
      <c r="J674" s="19"/>
      <c r="L674" s="16" t="str">
        <f>IFERROR(__xludf.DUMMYFUNCTION("""COMPUTED_VALUE"""),"")</f>
        <v/>
      </c>
      <c r="M674" s="16" t="str">
        <f>IFERROR(__xludf.DUMMYFUNCTION("""COMPUTED_VALUE"""),"")</f>
        <v/>
      </c>
      <c r="U674" s="16" t="s">
        <v>87</v>
      </c>
      <c r="V674" s="16" t="str">
        <f>IFERROR(__xludf.DUMMYFUNCTION("""COMPUTED_VALUE"""),"")</f>
        <v/>
      </c>
      <c r="W674" s="16" t="str">
        <f>IFERROR(__xludf.DUMMYFUNCTION("""COMPUTED_VALUE"""),"")</f>
        <v/>
      </c>
      <c r="X674" s="16" t="str">
        <f>IFERROR(__xludf.DUMMYFUNCTION("""COMPUTED_VALUE"""),"")</f>
        <v/>
      </c>
      <c r="AC674" s="16" t="str">
        <f>IFERROR(__xludf.DUMMYFUNCTION("""COMPUTED_VALUE"""),"")</f>
        <v/>
      </c>
    </row>
    <row r="675">
      <c r="A675" s="16" t="s">
        <v>87</v>
      </c>
      <c r="E675" s="16" t="str">
        <f>IFERROR(__xludf.DUMMYFUNCTION("""COMPUTED_VALUE"""),"")</f>
        <v/>
      </c>
      <c r="G675" s="18"/>
      <c r="H675" s="16" t="s">
        <v>87</v>
      </c>
      <c r="I675" s="16" t="s">
        <v>87</v>
      </c>
      <c r="J675" s="19"/>
      <c r="L675" s="16" t="str">
        <f>IFERROR(__xludf.DUMMYFUNCTION("""COMPUTED_VALUE"""),"")</f>
        <v/>
      </c>
      <c r="M675" s="16" t="str">
        <f>IFERROR(__xludf.DUMMYFUNCTION("""COMPUTED_VALUE"""),"")</f>
        <v/>
      </c>
      <c r="U675" s="16" t="s">
        <v>87</v>
      </c>
      <c r="V675" s="16" t="str">
        <f>IFERROR(__xludf.DUMMYFUNCTION("""COMPUTED_VALUE"""),"")</f>
        <v/>
      </c>
      <c r="W675" s="16" t="str">
        <f>IFERROR(__xludf.DUMMYFUNCTION("""COMPUTED_VALUE"""),"")</f>
        <v/>
      </c>
      <c r="X675" s="16" t="str">
        <f>IFERROR(__xludf.DUMMYFUNCTION("""COMPUTED_VALUE"""),"")</f>
        <v/>
      </c>
      <c r="AC675" s="16" t="str">
        <f>IFERROR(__xludf.DUMMYFUNCTION("""COMPUTED_VALUE"""),"")</f>
        <v/>
      </c>
    </row>
    <row r="676">
      <c r="A676" s="16" t="s">
        <v>87</v>
      </c>
      <c r="E676" s="16" t="str">
        <f>IFERROR(__xludf.DUMMYFUNCTION("""COMPUTED_VALUE"""),"")</f>
        <v/>
      </c>
      <c r="G676" s="18"/>
      <c r="H676" s="16" t="s">
        <v>87</v>
      </c>
      <c r="I676" s="16" t="s">
        <v>87</v>
      </c>
      <c r="J676" s="19"/>
      <c r="L676" s="16" t="str">
        <f>IFERROR(__xludf.DUMMYFUNCTION("""COMPUTED_VALUE"""),"")</f>
        <v/>
      </c>
      <c r="M676" s="16" t="str">
        <f>IFERROR(__xludf.DUMMYFUNCTION("""COMPUTED_VALUE"""),"")</f>
        <v/>
      </c>
      <c r="U676" s="16" t="s">
        <v>87</v>
      </c>
      <c r="V676" s="16" t="str">
        <f>IFERROR(__xludf.DUMMYFUNCTION("""COMPUTED_VALUE"""),"")</f>
        <v/>
      </c>
      <c r="W676" s="16" t="str">
        <f>IFERROR(__xludf.DUMMYFUNCTION("""COMPUTED_VALUE"""),"")</f>
        <v/>
      </c>
      <c r="X676" s="16" t="str">
        <f>IFERROR(__xludf.DUMMYFUNCTION("""COMPUTED_VALUE"""),"")</f>
        <v/>
      </c>
      <c r="AC676" s="16" t="str">
        <f>IFERROR(__xludf.DUMMYFUNCTION("""COMPUTED_VALUE"""),"")</f>
        <v/>
      </c>
    </row>
    <row r="677">
      <c r="A677" s="16" t="s">
        <v>87</v>
      </c>
      <c r="E677" s="16" t="str">
        <f>IFERROR(__xludf.DUMMYFUNCTION("""COMPUTED_VALUE"""),"")</f>
        <v/>
      </c>
      <c r="G677" s="18"/>
      <c r="H677" s="16" t="s">
        <v>87</v>
      </c>
      <c r="I677" s="16" t="s">
        <v>87</v>
      </c>
      <c r="J677" s="19"/>
      <c r="L677" s="16" t="str">
        <f>IFERROR(__xludf.DUMMYFUNCTION("""COMPUTED_VALUE"""),"")</f>
        <v/>
      </c>
      <c r="M677" s="16" t="str">
        <f>IFERROR(__xludf.DUMMYFUNCTION("""COMPUTED_VALUE"""),"")</f>
        <v/>
      </c>
      <c r="U677" s="16" t="s">
        <v>87</v>
      </c>
      <c r="V677" s="16" t="str">
        <f>IFERROR(__xludf.DUMMYFUNCTION("""COMPUTED_VALUE"""),"")</f>
        <v/>
      </c>
      <c r="W677" s="16" t="str">
        <f>IFERROR(__xludf.DUMMYFUNCTION("""COMPUTED_VALUE"""),"")</f>
        <v/>
      </c>
      <c r="X677" s="16" t="str">
        <f>IFERROR(__xludf.DUMMYFUNCTION("""COMPUTED_VALUE"""),"")</f>
        <v/>
      </c>
      <c r="AC677" s="16" t="str">
        <f>IFERROR(__xludf.DUMMYFUNCTION("""COMPUTED_VALUE"""),"")</f>
        <v/>
      </c>
    </row>
    <row r="678">
      <c r="A678" s="16" t="s">
        <v>87</v>
      </c>
      <c r="E678" s="16" t="str">
        <f>IFERROR(__xludf.DUMMYFUNCTION("""COMPUTED_VALUE"""),"")</f>
        <v/>
      </c>
      <c r="G678" s="18"/>
      <c r="H678" s="16" t="s">
        <v>87</v>
      </c>
      <c r="I678" s="16" t="s">
        <v>87</v>
      </c>
      <c r="J678" s="19"/>
      <c r="L678" s="16" t="str">
        <f>IFERROR(__xludf.DUMMYFUNCTION("""COMPUTED_VALUE"""),"")</f>
        <v/>
      </c>
      <c r="M678" s="16" t="str">
        <f>IFERROR(__xludf.DUMMYFUNCTION("""COMPUTED_VALUE"""),"")</f>
        <v/>
      </c>
      <c r="U678" s="16" t="s">
        <v>87</v>
      </c>
      <c r="V678" s="16" t="str">
        <f>IFERROR(__xludf.DUMMYFUNCTION("""COMPUTED_VALUE"""),"")</f>
        <v/>
      </c>
      <c r="W678" s="16" t="str">
        <f>IFERROR(__xludf.DUMMYFUNCTION("""COMPUTED_VALUE"""),"")</f>
        <v/>
      </c>
      <c r="X678" s="16" t="str">
        <f>IFERROR(__xludf.DUMMYFUNCTION("""COMPUTED_VALUE"""),"")</f>
        <v/>
      </c>
      <c r="AC678" s="16" t="str">
        <f>IFERROR(__xludf.DUMMYFUNCTION("""COMPUTED_VALUE"""),"")</f>
        <v/>
      </c>
    </row>
    <row r="679">
      <c r="A679" s="16" t="s">
        <v>87</v>
      </c>
      <c r="E679" s="16" t="str">
        <f>IFERROR(__xludf.DUMMYFUNCTION("""COMPUTED_VALUE"""),"")</f>
        <v/>
      </c>
      <c r="G679" s="18"/>
      <c r="H679" s="16" t="s">
        <v>87</v>
      </c>
      <c r="I679" s="16" t="s">
        <v>87</v>
      </c>
      <c r="J679" s="19"/>
      <c r="L679" s="16" t="str">
        <f>IFERROR(__xludf.DUMMYFUNCTION("""COMPUTED_VALUE"""),"")</f>
        <v/>
      </c>
      <c r="M679" s="16" t="str">
        <f>IFERROR(__xludf.DUMMYFUNCTION("""COMPUTED_VALUE"""),"")</f>
        <v/>
      </c>
      <c r="U679" s="16" t="s">
        <v>87</v>
      </c>
      <c r="V679" s="16" t="str">
        <f>IFERROR(__xludf.DUMMYFUNCTION("""COMPUTED_VALUE"""),"")</f>
        <v/>
      </c>
      <c r="W679" s="16" t="str">
        <f>IFERROR(__xludf.DUMMYFUNCTION("""COMPUTED_VALUE"""),"")</f>
        <v/>
      </c>
      <c r="X679" s="16" t="str">
        <f>IFERROR(__xludf.DUMMYFUNCTION("""COMPUTED_VALUE"""),"")</f>
        <v/>
      </c>
      <c r="AC679" s="16" t="str">
        <f>IFERROR(__xludf.DUMMYFUNCTION("""COMPUTED_VALUE"""),"")</f>
        <v/>
      </c>
    </row>
    <row r="680">
      <c r="A680" s="16" t="s">
        <v>87</v>
      </c>
      <c r="E680" s="16" t="str">
        <f>IFERROR(__xludf.DUMMYFUNCTION("""COMPUTED_VALUE"""),"")</f>
        <v/>
      </c>
      <c r="G680" s="18"/>
      <c r="H680" s="16" t="s">
        <v>87</v>
      </c>
      <c r="I680" s="16" t="s">
        <v>87</v>
      </c>
      <c r="J680" s="19"/>
      <c r="L680" s="16" t="str">
        <f>IFERROR(__xludf.DUMMYFUNCTION("""COMPUTED_VALUE"""),"")</f>
        <v/>
      </c>
      <c r="M680" s="16" t="str">
        <f>IFERROR(__xludf.DUMMYFUNCTION("""COMPUTED_VALUE"""),"")</f>
        <v/>
      </c>
      <c r="U680" s="16" t="s">
        <v>87</v>
      </c>
      <c r="V680" s="16" t="str">
        <f>IFERROR(__xludf.DUMMYFUNCTION("""COMPUTED_VALUE"""),"")</f>
        <v/>
      </c>
      <c r="W680" s="16" t="str">
        <f>IFERROR(__xludf.DUMMYFUNCTION("""COMPUTED_VALUE"""),"")</f>
        <v/>
      </c>
      <c r="X680" s="16" t="str">
        <f>IFERROR(__xludf.DUMMYFUNCTION("""COMPUTED_VALUE"""),"")</f>
        <v/>
      </c>
      <c r="AC680" s="16" t="str">
        <f>IFERROR(__xludf.DUMMYFUNCTION("""COMPUTED_VALUE"""),"")</f>
        <v/>
      </c>
    </row>
    <row r="681">
      <c r="A681" s="16" t="s">
        <v>87</v>
      </c>
      <c r="E681" s="16" t="str">
        <f>IFERROR(__xludf.DUMMYFUNCTION("""COMPUTED_VALUE"""),"")</f>
        <v/>
      </c>
      <c r="G681" s="18"/>
      <c r="H681" s="16" t="s">
        <v>87</v>
      </c>
      <c r="I681" s="16" t="s">
        <v>87</v>
      </c>
      <c r="J681" s="19"/>
      <c r="L681" s="16" t="str">
        <f>IFERROR(__xludf.DUMMYFUNCTION("""COMPUTED_VALUE"""),"")</f>
        <v/>
      </c>
      <c r="M681" s="16" t="str">
        <f>IFERROR(__xludf.DUMMYFUNCTION("""COMPUTED_VALUE"""),"")</f>
        <v/>
      </c>
      <c r="U681" s="16" t="s">
        <v>87</v>
      </c>
      <c r="V681" s="16" t="str">
        <f>IFERROR(__xludf.DUMMYFUNCTION("""COMPUTED_VALUE"""),"")</f>
        <v/>
      </c>
      <c r="W681" s="16" t="str">
        <f>IFERROR(__xludf.DUMMYFUNCTION("""COMPUTED_VALUE"""),"")</f>
        <v/>
      </c>
      <c r="X681" s="16" t="str">
        <f>IFERROR(__xludf.DUMMYFUNCTION("""COMPUTED_VALUE"""),"")</f>
        <v/>
      </c>
      <c r="AC681" s="16" t="str">
        <f>IFERROR(__xludf.DUMMYFUNCTION("""COMPUTED_VALUE"""),"")</f>
        <v/>
      </c>
    </row>
    <row r="682">
      <c r="A682" s="16" t="s">
        <v>87</v>
      </c>
      <c r="E682" s="16" t="str">
        <f>IFERROR(__xludf.DUMMYFUNCTION("""COMPUTED_VALUE"""),"")</f>
        <v/>
      </c>
      <c r="G682" s="18"/>
      <c r="H682" s="16" t="s">
        <v>87</v>
      </c>
      <c r="I682" s="16" t="s">
        <v>87</v>
      </c>
      <c r="J682" s="19"/>
      <c r="L682" s="16" t="str">
        <f>IFERROR(__xludf.DUMMYFUNCTION("""COMPUTED_VALUE"""),"")</f>
        <v/>
      </c>
      <c r="M682" s="16" t="str">
        <f>IFERROR(__xludf.DUMMYFUNCTION("""COMPUTED_VALUE"""),"")</f>
        <v/>
      </c>
      <c r="U682" s="16" t="s">
        <v>87</v>
      </c>
      <c r="V682" s="16" t="str">
        <f>IFERROR(__xludf.DUMMYFUNCTION("""COMPUTED_VALUE"""),"")</f>
        <v/>
      </c>
      <c r="W682" s="16" t="str">
        <f>IFERROR(__xludf.DUMMYFUNCTION("""COMPUTED_VALUE"""),"")</f>
        <v/>
      </c>
      <c r="X682" s="16" t="str">
        <f>IFERROR(__xludf.DUMMYFUNCTION("""COMPUTED_VALUE"""),"")</f>
        <v/>
      </c>
      <c r="AC682" s="16" t="str">
        <f>IFERROR(__xludf.DUMMYFUNCTION("""COMPUTED_VALUE"""),"")</f>
        <v/>
      </c>
    </row>
    <row r="683">
      <c r="A683" s="16" t="s">
        <v>87</v>
      </c>
      <c r="E683" s="16" t="str">
        <f>IFERROR(__xludf.DUMMYFUNCTION("""COMPUTED_VALUE"""),"")</f>
        <v/>
      </c>
      <c r="G683" s="18"/>
      <c r="H683" s="16" t="s">
        <v>87</v>
      </c>
      <c r="I683" s="16" t="s">
        <v>87</v>
      </c>
      <c r="J683" s="19"/>
      <c r="L683" s="16" t="str">
        <f>IFERROR(__xludf.DUMMYFUNCTION("""COMPUTED_VALUE"""),"")</f>
        <v/>
      </c>
      <c r="M683" s="16" t="str">
        <f>IFERROR(__xludf.DUMMYFUNCTION("""COMPUTED_VALUE"""),"")</f>
        <v/>
      </c>
      <c r="U683" s="16" t="s">
        <v>87</v>
      </c>
      <c r="V683" s="16" t="str">
        <f>IFERROR(__xludf.DUMMYFUNCTION("""COMPUTED_VALUE"""),"")</f>
        <v/>
      </c>
      <c r="W683" s="16" t="str">
        <f>IFERROR(__xludf.DUMMYFUNCTION("""COMPUTED_VALUE"""),"")</f>
        <v/>
      </c>
      <c r="X683" s="16" t="str">
        <f>IFERROR(__xludf.DUMMYFUNCTION("""COMPUTED_VALUE"""),"")</f>
        <v/>
      </c>
      <c r="AC683" s="16" t="str">
        <f>IFERROR(__xludf.DUMMYFUNCTION("""COMPUTED_VALUE"""),"")</f>
        <v/>
      </c>
    </row>
    <row r="684">
      <c r="A684" s="16" t="s">
        <v>87</v>
      </c>
      <c r="E684" s="16" t="str">
        <f>IFERROR(__xludf.DUMMYFUNCTION("""COMPUTED_VALUE"""),"")</f>
        <v/>
      </c>
      <c r="G684" s="18"/>
      <c r="H684" s="16" t="s">
        <v>87</v>
      </c>
      <c r="I684" s="16" t="s">
        <v>87</v>
      </c>
      <c r="J684" s="19"/>
      <c r="L684" s="16" t="str">
        <f>IFERROR(__xludf.DUMMYFUNCTION("""COMPUTED_VALUE"""),"")</f>
        <v/>
      </c>
      <c r="M684" s="16" t="str">
        <f>IFERROR(__xludf.DUMMYFUNCTION("""COMPUTED_VALUE"""),"")</f>
        <v/>
      </c>
      <c r="U684" s="16" t="s">
        <v>87</v>
      </c>
      <c r="V684" s="16" t="str">
        <f>IFERROR(__xludf.DUMMYFUNCTION("""COMPUTED_VALUE"""),"")</f>
        <v/>
      </c>
      <c r="W684" s="16" t="str">
        <f>IFERROR(__xludf.DUMMYFUNCTION("""COMPUTED_VALUE"""),"")</f>
        <v/>
      </c>
      <c r="X684" s="16" t="str">
        <f>IFERROR(__xludf.DUMMYFUNCTION("""COMPUTED_VALUE"""),"")</f>
        <v/>
      </c>
      <c r="AC684" s="16" t="str">
        <f>IFERROR(__xludf.DUMMYFUNCTION("""COMPUTED_VALUE"""),"")</f>
        <v/>
      </c>
    </row>
    <row r="685">
      <c r="A685" s="16" t="s">
        <v>87</v>
      </c>
      <c r="E685" s="16" t="str">
        <f>IFERROR(__xludf.DUMMYFUNCTION("""COMPUTED_VALUE"""),"")</f>
        <v/>
      </c>
      <c r="G685" s="18"/>
      <c r="H685" s="16" t="s">
        <v>87</v>
      </c>
      <c r="I685" s="16" t="s">
        <v>87</v>
      </c>
      <c r="J685" s="19"/>
      <c r="L685" s="16" t="str">
        <f>IFERROR(__xludf.DUMMYFUNCTION("""COMPUTED_VALUE"""),"")</f>
        <v/>
      </c>
      <c r="M685" s="16" t="str">
        <f>IFERROR(__xludf.DUMMYFUNCTION("""COMPUTED_VALUE"""),"")</f>
        <v/>
      </c>
      <c r="U685" s="16" t="s">
        <v>87</v>
      </c>
      <c r="V685" s="16" t="str">
        <f>IFERROR(__xludf.DUMMYFUNCTION("""COMPUTED_VALUE"""),"")</f>
        <v/>
      </c>
      <c r="W685" s="16" t="str">
        <f>IFERROR(__xludf.DUMMYFUNCTION("""COMPUTED_VALUE"""),"")</f>
        <v/>
      </c>
      <c r="X685" s="16" t="str">
        <f>IFERROR(__xludf.DUMMYFUNCTION("""COMPUTED_VALUE"""),"")</f>
        <v/>
      </c>
      <c r="AC685" s="16" t="str">
        <f>IFERROR(__xludf.DUMMYFUNCTION("""COMPUTED_VALUE"""),"")</f>
        <v/>
      </c>
    </row>
    <row r="686">
      <c r="A686" s="16" t="s">
        <v>87</v>
      </c>
      <c r="E686" s="16" t="str">
        <f>IFERROR(__xludf.DUMMYFUNCTION("""COMPUTED_VALUE"""),"")</f>
        <v/>
      </c>
      <c r="G686" s="18"/>
      <c r="H686" s="16" t="s">
        <v>87</v>
      </c>
      <c r="I686" s="16" t="s">
        <v>87</v>
      </c>
      <c r="J686" s="19"/>
      <c r="L686" s="16" t="str">
        <f>IFERROR(__xludf.DUMMYFUNCTION("""COMPUTED_VALUE"""),"")</f>
        <v/>
      </c>
      <c r="M686" s="16" t="str">
        <f>IFERROR(__xludf.DUMMYFUNCTION("""COMPUTED_VALUE"""),"")</f>
        <v/>
      </c>
      <c r="U686" s="16" t="s">
        <v>87</v>
      </c>
      <c r="V686" s="16" t="str">
        <f>IFERROR(__xludf.DUMMYFUNCTION("""COMPUTED_VALUE"""),"")</f>
        <v/>
      </c>
      <c r="W686" s="16" t="str">
        <f>IFERROR(__xludf.DUMMYFUNCTION("""COMPUTED_VALUE"""),"")</f>
        <v/>
      </c>
      <c r="X686" s="16" t="str">
        <f>IFERROR(__xludf.DUMMYFUNCTION("""COMPUTED_VALUE"""),"")</f>
        <v/>
      </c>
      <c r="AC686" s="16" t="str">
        <f>IFERROR(__xludf.DUMMYFUNCTION("""COMPUTED_VALUE"""),"")</f>
        <v/>
      </c>
    </row>
    <row r="687">
      <c r="A687" s="16" t="s">
        <v>87</v>
      </c>
      <c r="E687" s="16" t="str">
        <f>IFERROR(__xludf.DUMMYFUNCTION("""COMPUTED_VALUE"""),"")</f>
        <v/>
      </c>
      <c r="G687" s="18"/>
      <c r="H687" s="16" t="s">
        <v>87</v>
      </c>
      <c r="I687" s="16" t="s">
        <v>87</v>
      </c>
      <c r="J687" s="19"/>
      <c r="L687" s="16" t="str">
        <f>IFERROR(__xludf.DUMMYFUNCTION("""COMPUTED_VALUE"""),"")</f>
        <v/>
      </c>
      <c r="M687" s="16" t="str">
        <f>IFERROR(__xludf.DUMMYFUNCTION("""COMPUTED_VALUE"""),"")</f>
        <v/>
      </c>
      <c r="U687" s="16" t="s">
        <v>87</v>
      </c>
      <c r="V687" s="16" t="str">
        <f>IFERROR(__xludf.DUMMYFUNCTION("""COMPUTED_VALUE"""),"")</f>
        <v/>
      </c>
      <c r="W687" s="16" t="str">
        <f>IFERROR(__xludf.DUMMYFUNCTION("""COMPUTED_VALUE"""),"")</f>
        <v/>
      </c>
      <c r="X687" s="16" t="str">
        <f>IFERROR(__xludf.DUMMYFUNCTION("""COMPUTED_VALUE"""),"")</f>
        <v/>
      </c>
      <c r="AC687" s="16" t="str">
        <f>IFERROR(__xludf.DUMMYFUNCTION("""COMPUTED_VALUE"""),"")</f>
        <v/>
      </c>
    </row>
    <row r="688">
      <c r="A688" s="16" t="s">
        <v>87</v>
      </c>
      <c r="E688" s="16" t="str">
        <f>IFERROR(__xludf.DUMMYFUNCTION("""COMPUTED_VALUE"""),"")</f>
        <v/>
      </c>
      <c r="G688" s="18"/>
      <c r="H688" s="16" t="s">
        <v>87</v>
      </c>
      <c r="I688" s="16" t="s">
        <v>87</v>
      </c>
      <c r="J688" s="19"/>
      <c r="L688" s="16" t="str">
        <f>IFERROR(__xludf.DUMMYFUNCTION("""COMPUTED_VALUE"""),"")</f>
        <v/>
      </c>
      <c r="M688" s="16" t="str">
        <f>IFERROR(__xludf.DUMMYFUNCTION("""COMPUTED_VALUE"""),"")</f>
        <v/>
      </c>
      <c r="U688" s="16" t="s">
        <v>87</v>
      </c>
      <c r="V688" s="16" t="str">
        <f>IFERROR(__xludf.DUMMYFUNCTION("""COMPUTED_VALUE"""),"")</f>
        <v/>
      </c>
      <c r="W688" s="16" t="str">
        <f>IFERROR(__xludf.DUMMYFUNCTION("""COMPUTED_VALUE"""),"")</f>
        <v/>
      </c>
      <c r="X688" s="16" t="str">
        <f>IFERROR(__xludf.DUMMYFUNCTION("""COMPUTED_VALUE"""),"")</f>
        <v/>
      </c>
      <c r="AC688" s="16" t="str">
        <f>IFERROR(__xludf.DUMMYFUNCTION("""COMPUTED_VALUE"""),"")</f>
        <v/>
      </c>
    </row>
    <row r="689">
      <c r="A689" s="16" t="s">
        <v>87</v>
      </c>
      <c r="E689" s="16" t="str">
        <f>IFERROR(__xludf.DUMMYFUNCTION("""COMPUTED_VALUE"""),"")</f>
        <v/>
      </c>
      <c r="G689" s="18"/>
      <c r="H689" s="16" t="s">
        <v>87</v>
      </c>
      <c r="I689" s="16" t="s">
        <v>87</v>
      </c>
      <c r="J689" s="19"/>
      <c r="L689" s="16" t="str">
        <f>IFERROR(__xludf.DUMMYFUNCTION("""COMPUTED_VALUE"""),"")</f>
        <v/>
      </c>
      <c r="M689" s="16" t="str">
        <f>IFERROR(__xludf.DUMMYFUNCTION("""COMPUTED_VALUE"""),"")</f>
        <v/>
      </c>
      <c r="U689" s="16" t="s">
        <v>87</v>
      </c>
      <c r="V689" s="16" t="str">
        <f>IFERROR(__xludf.DUMMYFUNCTION("""COMPUTED_VALUE"""),"")</f>
        <v/>
      </c>
      <c r="W689" s="16" t="str">
        <f>IFERROR(__xludf.DUMMYFUNCTION("""COMPUTED_VALUE"""),"")</f>
        <v/>
      </c>
      <c r="X689" s="16" t="str">
        <f>IFERROR(__xludf.DUMMYFUNCTION("""COMPUTED_VALUE"""),"")</f>
        <v/>
      </c>
      <c r="AC689" s="16" t="str">
        <f>IFERROR(__xludf.DUMMYFUNCTION("""COMPUTED_VALUE"""),"")</f>
        <v/>
      </c>
    </row>
    <row r="690">
      <c r="A690" s="16" t="s">
        <v>87</v>
      </c>
      <c r="E690" s="16" t="str">
        <f>IFERROR(__xludf.DUMMYFUNCTION("""COMPUTED_VALUE"""),"")</f>
        <v/>
      </c>
      <c r="G690" s="18"/>
      <c r="H690" s="16" t="s">
        <v>87</v>
      </c>
      <c r="I690" s="16" t="s">
        <v>87</v>
      </c>
      <c r="J690" s="19"/>
      <c r="L690" s="16" t="str">
        <f>IFERROR(__xludf.DUMMYFUNCTION("""COMPUTED_VALUE"""),"")</f>
        <v/>
      </c>
      <c r="M690" s="16" t="str">
        <f>IFERROR(__xludf.DUMMYFUNCTION("""COMPUTED_VALUE"""),"")</f>
        <v/>
      </c>
      <c r="U690" s="16" t="s">
        <v>87</v>
      </c>
      <c r="V690" s="16" t="str">
        <f>IFERROR(__xludf.DUMMYFUNCTION("""COMPUTED_VALUE"""),"")</f>
        <v/>
      </c>
      <c r="W690" s="16" t="str">
        <f>IFERROR(__xludf.DUMMYFUNCTION("""COMPUTED_VALUE"""),"")</f>
        <v/>
      </c>
      <c r="X690" s="16" t="str">
        <f>IFERROR(__xludf.DUMMYFUNCTION("""COMPUTED_VALUE"""),"")</f>
        <v/>
      </c>
      <c r="AC690" s="16" t="str">
        <f>IFERROR(__xludf.DUMMYFUNCTION("""COMPUTED_VALUE"""),"")</f>
        <v/>
      </c>
    </row>
    <row r="691">
      <c r="A691" s="16" t="s">
        <v>87</v>
      </c>
      <c r="E691" s="16" t="str">
        <f>IFERROR(__xludf.DUMMYFUNCTION("""COMPUTED_VALUE"""),"")</f>
        <v/>
      </c>
      <c r="G691" s="18"/>
      <c r="H691" s="16" t="s">
        <v>87</v>
      </c>
      <c r="I691" s="16" t="s">
        <v>87</v>
      </c>
      <c r="J691" s="19"/>
      <c r="L691" s="16" t="str">
        <f>IFERROR(__xludf.DUMMYFUNCTION("""COMPUTED_VALUE"""),"")</f>
        <v/>
      </c>
      <c r="M691" s="16" t="str">
        <f>IFERROR(__xludf.DUMMYFUNCTION("""COMPUTED_VALUE"""),"")</f>
        <v/>
      </c>
      <c r="U691" s="16" t="s">
        <v>87</v>
      </c>
      <c r="V691" s="16" t="str">
        <f>IFERROR(__xludf.DUMMYFUNCTION("""COMPUTED_VALUE"""),"")</f>
        <v/>
      </c>
      <c r="W691" s="16" t="str">
        <f>IFERROR(__xludf.DUMMYFUNCTION("""COMPUTED_VALUE"""),"")</f>
        <v/>
      </c>
      <c r="X691" s="16" t="str">
        <f>IFERROR(__xludf.DUMMYFUNCTION("""COMPUTED_VALUE"""),"")</f>
        <v/>
      </c>
      <c r="AC691" s="16" t="str">
        <f>IFERROR(__xludf.DUMMYFUNCTION("""COMPUTED_VALUE"""),"")</f>
        <v/>
      </c>
    </row>
    <row r="692">
      <c r="A692" s="16" t="s">
        <v>87</v>
      </c>
      <c r="E692" s="16" t="str">
        <f>IFERROR(__xludf.DUMMYFUNCTION("""COMPUTED_VALUE"""),"")</f>
        <v/>
      </c>
      <c r="G692" s="18"/>
      <c r="H692" s="16" t="s">
        <v>87</v>
      </c>
      <c r="I692" s="16" t="s">
        <v>87</v>
      </c>
      <c r="J692" s="19"/>
      <c r="L692" s="16" t="str">
        <f>IFERROR(__xludf.DUMMYFUNCTION("""COMPUTED_VALUE"""),"")</f>
        <v/>
      </c>
      <c r="M692" s="16" t="str">
        <f>IFERROR(__xludf.DUMMYFUNCTION("""COMPUTED_VALUE"""),"")</f>
        <v/>
      </c>
      <c r="U692" s="16" t="s">
        <v>87</v>
      </c>
      <c r="V692" s="16" t="str">
        <f>IFERROR(__xludf.DUMMYFUNCTION("""COMPUTED_VALUE"""),"")</f>
        <v/>
      </c>
      <c r="W692" s="16" t="str">
        <f>IFERROR(__xludf.DUMMYFUNCTION("""COMPUTED_VALUE"""),"")</f>
        <v/>
      </c>
      <c r="X692" s="16" t="str">
        <f>IFERROR(__xludf.DUMMYFUNCTION("""COMPUTED_VALUE"""),"")</f>
        <v/>
      </c>
      <c r="AC692" s="16" t="str">
        <f>IFERROR(__xludf.DUMMYFUNCTION("""COMPUTED_VALUE"""),"")</f>
        <v/>
      </c>
    </row>
    <row r="693">
      <c r="A693" s="16" t="s">
        <v>87</v>
      </c>
      <c r="E693" s="16" t="str">
        <f>IFERROR(__xludf.DUMMYFUNCTION("""COMPUTED_VALUE"""),"")</f>
        <v/>
      </c>
      <c r="G693" s="18"/>
      <c r="H693" s="16" t="s">
        <v>87</v>
      </c>
      <c r="I693" s="16" t="s">
        <v>87</v>
      </c>
      <c r="J693" s="19"/>
      <c r="L693" s="16" t="str">
        <f>IFERROR(__xludf.DUMMYFUNCTION("""COMPUTED_VALUE"""),"")</f>
        <v/>
      </c>
      <c r="M693" s="16" t="str">
        <f>IFERROR(__xludf.DUMMYFUNCTION("""COMPUTED_VALUE"""),"")</f>
        <v/>
      </c>
      <c r="U693" s="16" t="s">
        <v>87</v>
      </c>
      <c r="V693" s="16" t="str">
        <f>IFERROR(__xludf.DUMMYFUNCTION("""COMPUTED_VALUE"""),"")</f>
        <v/>
      </c>
      <c r="W693" s="16" t="str">
        <f>IFERROR(__xludf.DUMMYFUNCTION("""COMPUTED_VALUE"""),"")</f>
        <v/>
      </c>
      <c r="X693" s="16" t="str">
        <f>IFERROR(__xludf.DUMMYFUNCTION("""COMPUTED_VALUE"""),"")</f>
        <v/>
      </c>
      <c r="AC693" s="16" t="str">
        <f>IFERROR(__xludf.DUMMYFUNCTION("""COMPUTED_VALUE"""),"")</f>
        <v/>
      </c>
    </row>
    <row r="694">
      <c r="A694" s="16" t="s">
        <v>87</v>
      </c>
      <c r="E694" s="16" t="str">
        <f>IFERROR(__xludf.DUMMYFUNCTION("""COMPUTED_VALUE"""),"")</f>
        <v/>
      </c>
      <c r="G694" s="18"/>
      <c r="H694" s="16" t="s">
        <v>87</v>
      </c>
      <c r="I694" s="16" t="s">
        <v>87</v>
      </c>
      <c r="J694" s="19"/>
      <c r="L694" s="16" t="str">
        <f>IFERROR(__xludf.DUMMYFUNCTION("""COMPUTED_VALUE"""),"")</f>
        <v/>
      </c>
      <c r="M694" s="16" t="str">
        <f>IFERROR(__xludf.DUMMYFUNCTION("""COMPUTED_VALUE"""),"")</f>
        <v/>
      </c>
      <c r="U694" s="16" t="s">
        <v>87</v>
      </c>
      <c r="V694" s="16" t="str">
        <f>IFERROR(__xludf.DUMMYFUNCTION("""COMPUTED_VALUE"""),"")</f>
        <v/>
      </c>
      <c r="W694" s="16" t="str">
        <f>IFERROR(__xludf.DUMMYFUNCTION("""COMPUTED_VALUE"""),"")</f>
        <v/>
      </c>
      <c r="X694" s="16" t="str">
        <f>IFERROR(__xludf.DUMMYFUNCTION("""COMPUTED_VALUE"""),"")</f>
        <v/>
      </c>
      <c r="AC694" s="16" t="str">
        <f>IFERROR(__xludf.DUMMYFUNCTION("""COMPUTED_VALUE"""),"")</f>
        <v/>
      </c>
    </row>
    <row r="695">
      <c r="A695" s="16" t="s">
        <v>87</v>
      </c>
      <c r="E695" s="16" t="str">
        <f>IFERROR(__xludf.DUMMYFUNCTION("""COMPUTED_VALUE"""),"")</f>
        <v/>
      </c>
      <c r="G695" s="18"/>
      <c r="H695" s="16" t="s">
        <v>87</v>
      </c>
      <c r="I695" s="16" t="s">
        <v>87</v>
      </c>
      <c r="J695" s="19"/>
      <c r="L695" s="16" t="str">
        <f>IFERROR(__xludf.DUMMYFUNCTION("""COMPUTED_VALUE"""),"")</f>
        <v/>
      </c>
      <c r="M695" s="16" t="str">
        <f>IFERROR(__xludf.DUMMYFUNCTION("""COMPUTED_VALUE"""),"")</f>
        <v/>
      </c>
      <c r="U695" s="16" t="s">
        <v>87</v>
      </c>
      <c r="V695" s="16" t="str">
        <f>IFERROR(__xludf.DUMMYFUNCTION("""COMPUTED_VALUE"""),"")</f>
        <v/>
      </c>
      <c r="W695" s="16" t="str">
        <f>IFERROR(__xludf.DUMMYFUNCTION("""COMPUTED_VALUE"""),"")</f>
        <v/>
      </c>
      <c r="X695" s="16" t="str">
        <f>IFERROR(__xludf.DUMMYFUNCTION("""COMPUTED_VALUE"""),"")</f>
        <v/>
      </c>
      <c r="AC695" s="16" t="str">
        <f>IFERROR(__xludf.DUMMYFUNCTION("""COMPUTED_VALUE"""),"")</f>
        <v/>
      </c>
    </row>
    <row r="696">
      <c r="A696" s="16" t="s">
        <v>87</v>
      </c>
      <c r="E696" s="16" t="str">
        <f>IFERROR(__xludf.DUMMYFUNCTION("""COMPUTED_VALUE"""),"")</f>
        <v/>
      </c>
      <c r="G696" s="18"/>
      <c r="H696" s="16" t="s">
        <v>87</v>
      </c>
      <c r="I696" s="16" t="s">
        <v>87</v>
      </c>
      <c r="J696" s="19"/>
      <c r="L696" s="16" t="str">
        <f>IFERROR(__xludf.DUMMYFUNCTION("""COMPUTED_VALUE"""),"")</f>
        <v/>
      </c>
      <c r="M696" s="16" t="str">
        <f>IFERROR(__xludf.DUMMYFUNCTION("""COMPUTED_VALUE"""),"")</f>
        <v/>
      </c>
      <c r="U696" s="16" t="s">
        <v>87</v>
      </c>
      <c r="V696" s="16" t="str">
        <f>IFERROR(__xludf.DUMMYFUNCTION("""COMPUTED_VALUE"""),"")</f>
        <v/>
      </c>
      <c r="W696" s="16" t="str">
        <f>IFERROR(__xludf.DUMMYFUNCTION("""COMPUTED_VALUE"""),"")</f>
        <v/>
      </c>
      <c r="X696" s="16" t="str">
        <f>IFERROR(__xludf.DUMMYFUNCTION("""COMPUTED_VALUE"""),"")</f>
        <v/>
      </c>
      <c r="AC696" s="16" t="str">
        <f>IFERROR(__xludf.DUMMYFUNCTION("""COMPUTED_VALUE"""),"")</f>
        <v/>
      </c>
    </row>
    <row r="697">
      <c r="A697" s="16" t="s">
        <v>87</v>
      </c>
      <c r="E697" s="16" t="str">
        <f>IFERROR(__xludf.DUMMYFUNCTION("""COMPUTED_VALUE"""),"")</f>
        <v/>
      </c>
      <c r="G697" s="18"/>
      <c r="H697" s="16" t="s">
        <v>87</v>
      </c>
      <c r="I697" s="16" t="s">
        <v>87</v>
      </c>
      <c r="J697" s="19"/>
      <c r="L697" s="16" t="str">
        <f>IFERROR(__xludf.DUMMYFUNCTION("""COMPUTED_VALUE"""),"")</f>
        <v/>
      </c>
      <c r="M697" s="16" t="str">
        <f>IFERROR(__xludf.DUMMYFUNCTION("""COMPUTED_VALUE"""),"")</f>
        <v/>
      </c>
      <c r="U697" s="16" t="s">
        <v>87</v>
      </c>
      <c r="V697" s="16" t="str">
        <f>IFERROR(__xludf.DUMMYFUNCTION("""COMPUTED_VALUE"""),"")</f>
        <v/>
      </c>
      <c r="W697" s="16" t="str">
        <f>IFERROR(__xludf.DUMMYFUNCTION("""COMPUTED_VALUE"""),"")</f>
        <v/>
      </c>
      <c r="X697" s="16" t="str">
        <f>IFERROR(__xludf.DUMMYFUNCTION("""COMPUTED_VALUE"""),"")</f>
        <v/>
      </c>
      <c r="AC697" s="16" t="str">
        <f>IFERROR(__xludf.DUMMYFUNCTION("""COMPUTED_VALUE"""),"")</f>
        <v/>
      </c>
    </row>
    <row r="698">
      <c r="A698" s="16" t="s">
        <v>87</v>
      </c>
      <c r="E698" s="16" t="str">
        <f>IFERROR(__xludf.DUMMYFUNCTION("""COMPUTED_VALUE"""),"")</f>
        <v/>
      </c>
      <c r="G698" s="18"/>
      <c r="H698" s="16" t="s">
        <v>87</v>
      </c>
      <c r="I698" s="16" t="s">
        <v>87</v>
      </c>
      <c r="J698" s="19"/>
      <c r="L698" s="16" t="str">
        <f>IFERROR(__xludf.DUMMYFUNCTION("""COMPUTED_VALUE"""),"")</f>
        <v/>
      </c>
      <c r="M698" s="16" t="str">
        <f>IFERROR(__xludf.DUMMYFUNCTION("""COMPUTED_VALUE"""),"")</f>
        <v/>
      </c>
      <c r="U698" s="16" t="s">
        <v>87</v>
      </c>
      <c r="V698" s="16" t="str">
        <f>IFERROR(__xludf.DUMMYFUNCTION("""COMPUTED_VALUE"""),"")</f>
        <v/>
      </c>
      <c r="W698" s="16" t="str">
        <f>IFERROR(__xludf.DUMMYFUNCTION("""COMPUTED_VALUE"""),"")</f>
        <v/>
      </c>
      <c r="X698" s="16" t="str">
        <f>IFERROR(__xludf.DUMMYFUNCTION("""COMPUTED_VALUE"""),"")</f>
        <v/>
      </c>
      <c r="AC698" s="16" t="str">
        <f>IFERROR(__xludf.DUMMYFUNCTION("""COMPUTED_VALUE"""),"")</f>
        <v/>
      </c>
    </row>
    <row r="699">
      <c r="A699" s="16" t="s">
        <v>87</v>
      </c>
      <c r="E699" s="16" t="str">
        <f>IFERROR(__xludf.DUMMYFUNCTION("""COMPUTED_VALUE"""),"")</f>
        <v/>
      </c>
      <c r="G699" s="18"/>
      <c r="H699" s="16" t="s">
        <v>87</v>
      </c>
      <c r="I699" s="16" t="s">
        <v>87</v>
      </c>
      <c r="J699" s="19"/>
      <c r="L699" s="16" t="str">
        <f>IFERROR(__xludf.DUMMYFUNCTION("""COMPUTED_VALUE"""),"")</f>
        <v/>
      </c>
      <c r="M699" s="16" t="str">
        <f>IFERROR(__xludf.DUMMYFUNCTION("""COMPUTED_VALUE"""),"")</f>
        <v/>
      </c>
      <c r="U699" s="16" t="s">
        <v>87</v>
      </c>
      <c r="V699" s="16" t="str">
        <f>IFERROR(__xludf.DUMMYFUNCTION("""COMPUTED_VALUE"""),"")</f>
        <v/>
      </c>
      <c r="W699" s="16" t="str">
        <f>IFERROR(__xludf.DUMMYFUNCTION("""COMPUTED_VALUE"""),"")</f>
        <v/>
      </c>
      <c r="X699" s="16" t="str">
        <f>IFERROR(__xludf.DUMMYFUNCTION("""COMPUTED_VALUE"""),"")</f>
        <v/>
      </c>
      <c r="AC699" s="16" t="str">
        <f>IFERROR(__xludf.DUMMYFUNCTION("""COMPUTED_VALUE"""),"")</f>
        <v/>
      </c>
    </row>
    <row r="700">
      <c r="A700" s="16" t="s">
        <v>87</v>
      </c>
      <c r="E700" s="16" t="str">
        <f>IFERROR(__xludf.DUMMYFUNCTION("""COMPUTED_VALUE"""),"")</f>
        <v/>
      </c>
      <c r="G700" s="18"/>
      <c r="H700" s="16" t="s">
        <v>87</v>
      </c>
      <c r="I700" s="16" t="s">
        <v>87</v>
      </c>
      <c r="J700" s="19"/>
      <c r="L700" s="16" t="str">
        <f>IFERROR(__xludf.DUMMYFUNCTION("""COMPUTED_VALUE"""),"")</f>
        <v/>
      </c>
      <c r="M700" s="16" t="str">
        <f>IFERROR(__xludf.DUMMYFUNCTION("""COMPUTED_VALUE"""),"")</f>
        <v/>
      </c>
      <c r="U700" s="16" t="s">
        <v>87</v>
      </c>
      <c r="V700" s="16" t="str">
        <f>IFERROR(__xludf.DUMMYFUNCTION("""COMPUTED_VALUE"""),"")</f>
        <v/>
      </c>
      <c r="W700" s="16" t="str">
        <f>IFERROR(__xludf.DUMMYFUNCTION("""COMPUTED_VALUE"""),"")</f>
        <v/>
      </c>
      <c r="X700" s="16" t="str">
        <f>IFERROR(__xludf.DUMMYFUNCTION("""COMPUTED_VALUE"""),"")</f>
        <v/>
      </c>
      <c r="AC700" s="16" t="str">
        <f>IFERROR(__xludf.DUMMYFUNCTION("""COMPUTED_VALUE"""),"")</f>
        <v/>
      </c>
    </row>
    <row r="701">
      <c r="A701" s="16" t="s">
        <v>87</v>
      </c>
      <c r="E701" s="16" t="str">
        <f>IFERROR(__xludf.DUMMYFUNCTION("""COMPUTED_VALUE"""),"")</f>
        <v/>
      </c>
      <c r="G701" s="18"/>
      <c r="H701" s="16" t="s">
        <v>87</v>
      </c>
      <c r="I701" s="16" t="s">
        <v>87</v>
      </c>
      <c r="J701" s="19"/>
      <c r="L701" s="16" t="str">
        <f>IFERROR(__xludf.DUMMYFUNCTION("""COMPUTED_VALUE"""),"")</f>
        <v/>
      </c>
      <c r="M701" s="16" t="str">
        <f>IFERROR(__xludf.DUMMYFUNCTION("""COMPUTED_VALUE"""),"")</f>
        <v/>
      </c>
      <c r="U701" s="16" t="s">
        <v>87</v>
      </c>
      <c r="V701" s="16" t="str">
        <f>IFERROR(__xludf.DUMMYFUNCTION("""COMPUTED_VALUE"""),"")</f>
        <v/>
      </c>
      <c r="W701" s="16" t="str">
        <f>IFERROR(__xludf.DUMMYFUNCTION("""COMPUTED_VALUE"""),"")</f>
        <v/>
      </c>
      <c r="X701" s="16" t="str">
        <f>IFERROR(__xludf.DUMMYFUNCTION("""COMPUTED_VALUE"""),"")</f>
        <v/>
      </c>
      <c r="AC701" s="16" t="str">
        <f>IFERROR(__xludf.DUMMYFUNCTION("""COMPUTED_VALUE"""),"")</f>
        <v/>
      </c>
    </row>
    <row r="702">
      <c r="A702" s="16" t="s">
        <v>87</v>
      </c>
      <c r="E702" s="16" t="str">
        <f>IFERROR(__xludf.DUMMYFUNCTION("""COMPUTED_VALUE"""),"")</f>
        <v/>
      </c>
      <c r="G702" s="18"/>
      <c r="H702" s="16" t="s">
        <v>87</v>
      </c>
      <c r="I702" s="16" t="s">
        <v>87</v>
      </c>
      <c r="J702" s="19"/>
      <c r="L702" s="16" t="str">
        <f>IFERROR(__xludf.DUMMYFUNCTION("""COMPUTED_VALUE"""),"")</f>
        <v/>
      </c>
      <c r="M702" s="16" t="str">
        <f>IFERROR(__xludf.DUMMYFUNCTION("""COMPUTED_VALUE"""),"")</f>
        <v/>
      </c>
      <c r="U702" s="16" t="s">
        <v>87</v>
      </c>
      <c r="V702" s="16" t="str">
        <f>IFERROR(__xludf.DUMMYFUNCTION("""COMPUTED_VALUE"""),"")</f>
        <v/>
      </c>
      <c r="W702" s="16" t="str">
        <f>IFERROR(__xludf.DUMMYFUNCTION("""COMPUTED_VALUE"""),"")</f>
        <v/>
      </c>
      <c r="X702" s="16" t="str">
        <f>IFERROR(__xludf.DUMMYFUNCTION("""COMPUTED_VALUE"""),"")</f>
        <v/>
      </c>
      <c r="AC702" s="16" t="str">
        <f>IFERROR(__xludf.DUMMYFUNCTION("""COMPUTED_VALUE"""),"")</f>
        <v/>
      </c>
    </row>
    <row r="703">
      <c r="A703" s="16" t="s">
        <v>87</v>
      </c>
      <c r="E703" s="16" t="str">
        <f>IFERROR(__xludf.DUMMYFUNCTION("""COMPUTED_VALUE"""),"")</f>
        <v/>
      </c>
      <c r="G703" s="18"/>
      <c r="H703" s="16" t="s">
        <v>87</v>
      </c>
      <c r="I703" s="16" t="s">
        <v>87</v>
      </c>
      <c r="J703" s="19"/>
      <c r="L703" s="16" t="str">
        <f>IFERROR(__xludf.DUMMYFUNCTION("""COMPUTED_VALUE"""),"")</f>
        <v/>
      </c>
      <c r="M703" s="16" t="str">
        <f>IFERROR(__xludf.DUMMYFUNCTION("""COMPUTED_VALUE"""),"")</f>
        <v/>
      </c>
      <c r="U703" s="16" t="s">
        <v>87</v>
      </c>
      <c r="V703" s="16" t="str">
        <f>IFERROR(__xludf.DUMMYFUNCTION("""COMPUTED_VALUE"""),"")</f>
        <v/>
      </c>
      <c r="W703" s="16" t="str">
        <f>IFERROR(__xludf.DUMMYFUNCTION("""COMPUTED_VALUE"""),"")</f>
        <v/>
      </c>
      <c r="X703" s="16" t="str">
        <f>IFERROR(__xludf.DUMMYFUNCTION("""COMPUTED_VALUE"""),"")</f>
        <v/>
      </c>
      <c r="AC703" s="16" t="str">
        <f>IFERROR(__xludf.DUMMYFUNCTION("""COMPUTED_VALUE"""),"")</f>
        <v/>
      </c>
    </row>
    <row r="704">
      <c r="A704" s="16" t="s">
        <v>87</v>
      </c>
      <c r="E704" s="16" t="str">
        <f>IFERROR(__xludf.DUMMYFUNCTION("""COMPUTED_VALUE"""),"")</f>
        <v/>
      </c>
      <c r="G704" s="18"/>
      <c r="H704" s="16" t="s">
        <v>87</v>
      </c>
      <c r="I704" s="16" t="s">
        <v>87</v>
      </c>
      <c r="J704" s="19"/>
      <c r="L704" s="16" t="str">
        <f>IFERROR(__xludf.DUMMYFUNCTION("""COMPUTED_VALUE"""),"")</f>
        <v/>
      </c>
      <c r="M704" s="16" t="str">
        <f>IFERROR(__xludf.DUMMYFUNCTION("""COMPUTED_VALUE"""),"")</f>
        <v/>
      </c>
      <c r="U704" s="16" t="s">
        <v>87</v>
      </c>
      <c r="V704" s="16" t="str">
        <f>IFERROR(__xludf.DUMMYFUNCTION("""COMPUTED_VALUE"""),"")</f>
        <v/>
      </c>
      <c r="W704" s="16" t="str">
        <f>IFERROR(__xludf.DUMMYFUNCTION("""COMPUTED_VALUE"""),"")</f>
        <v/>
      </c>
      <c r="X704" s="16" t="str">
        <f>IFERROR(__xludf.DUMMYFUNCTION("""COMPUTED_VALUE"""),"")</f>
        <v/>
      </c>
      <c r="AC704" s="16" t="str">
        <f>IFERROR(__xludf.DUMMYFUNCTION("""COMPUTED_VALUE"""),"")</f>
        <v/>
      </c>
    </row>
    <row r="705">
      <c r="A705" s="16" t="s">
        <v>87</v>
      </c>
      <c r="E705" s="16" t="str">
        <f>IFERROR(__xludf.DUMMYFUNCTION("""COMPUTED_VALUE"""),"")</f>
        <v/>
      </c>
      <c r="G705" s="18"/>
      <c r="H705" s="16" t="s">
        <v>87</v>
      </c>
      <c r="I705" s="16" t="s">
        <v>87</v>
      </c>
      <c r="J705" s="19"/>
      <c r="L705" s="16" t="str">
        <f>IFERROR(__xludf.DUMMYFUNCTION("""COMPUTED_VALUE"""),"")</f>
        <v/>
      </c>
      <c r="M705" s="16" t="str">
        <f>IFERROR(__xludf.DUMMYFUNCTION("""COMPUTED_VALUE"""),"")</f>
        <v/>
      </c>
      <c r="U705" s="16" t="s">
        <v>87</v>
      </c>
      <c r="V705" s="16" t="str">
        <f>IFERROR(__xludf.DUMMYFUNCTION("""COMPUTED_VALUE"""),"")</f>
        <v/>
      </c>
      <c r="W705" s="16" t="str">
        <f>IFERROR(__xludf.DUMMYFUNCTION("""COMPUTED_VALUE"""),"")</f>
        <v/>
      </c>
      <c r="X705" s="16" t="str">
        <f>IFERROR(__xludf.DUMMYFUNCTION("""COMPUTED_VALUE"""),"")</f>
        <v/>
      </c>
      <c r="AC705" s="16" t="str">
        <f>IFERROR(__xludf.DUMMYFUNCTION("""COMPUTED_VALUE"""),"")</f>
        <v/>
      </c>
    </row>
    <row r="706">
      <c r="A706" s="16" t="s">
        <v>87</v>
      </c>
      <c r="E706" s="16" t="str">
        <f>IFERROR(__xludf.DUMMYFUNCTION("""COMPUTED_VALUE"""),"")</f>
        <v/>
      </c>
      <c r="G706" s="18"/>
      <c r="H706" s="16" t="s">
        <v>87</v>
      </c>
      <c r="I706" s="16" t="s">
        <v>87</v>
      </c>
      <c r="J706" s="19"/>
      <c r="L706" s="16" t="str">
        <f>IFERROR(__xludf.DUMMYFUNCTION("""COMPUTED_VALUE"""),"")</f>
        <v/>
      </c>
      <c r="M706" s="16" t="str">
        <f>IFERROR(__xludf.DUMMYFUNCTION("""COMPUTED_VALUE"""),"")</f>
        <v/>
      </c>
      <c r="U706" s="16" t="s">
        <v>87</v>
      </c>
      <c r="V706" s="16" t="str">
        <f>IFERROR(__xludf.DUMMYFUNCTION("""COMPUTED_VALUE"""),"")</f>
        <v/>
      </c>
      <c r="W706" s="16" t="str">
        <f>IFERROR(__xludf.DUMMYFUNCTION("""COMPUTED_VALUE"""),"")</f>
        <v/>
      </c>
      <c r="X706" s="16" t="str">
        <f>IFERROR(__xludf.DUMMYFUNCTION("""COMPUTED_VALUE"""),"")</f>
        <v/>
      </c>
      <c r="AC706" s="16" t="str">
        <f>IFERROR(__xludf.DUMMYFUNCTION("""COMPUTED_VALUE"""),"")</f>
        <v/>
      </c>
    </row>
    <row r="707">
      <c r="A707" s="16" t="s">
        <v>87</v>
      </c>
      <c r="E707" s="16" t="str">
        <f>IFERROR(__xludf.DUMMYFUNCTION("""COMPUTED_VALUE"""),"")</f>
        <v/>
      </c>
      <c r="G707" s="18"/>
      <c r="H707" s="16" t="s">
        <v>87</v>
      </c>
      <c r="I707" s="16" t="s">
        <v>87</v>
      </c>
      <c r="J707" s="19"/>
      <c r="L707" s="16" t="str">
        <f>IFERROR(__xludf.DUMMYFUNCTION("""COMPUTED_VALUE"""),"")</f>
        <v/>
      </c>
      <c r="M707" s="16" t="str">
        <f>IFERROR(__xludf.DUMMYFUNCTION("""COMPUTED_VALUE"""),"")</f>
        <v/>
      </c>
      <c r="U707" s="16" t="s">
        <v>87</v>
      </c>
      <c r="V707" s="16" t="str">
        <f>IFERROR(__xludf.DUMMYFUNCTION("""COMPUTED_VALUE"""),"")</f>
        <v/>
      </c>
      <c r="W707" s="16" t="str">
        <f>IFERROR(__xludf.DUMMYFUNCTION("""COMPUTED_VALUE"""),"")</f>
        <v/>
      </c>
      <c r="X707" s="16" t="str">
        <f>IFERROR(__xludf.DUMMYFUNCTION("""COMPUTED_VALUE"""),"")</f>
        <v/>
      </c>
      <c r="AC707" s="16" t="str">
        <f>IFERROR(__xludf.DUMMYFUNCTION("""COMPUTED_VALUE"""),"")</f>
        <v/>
      </c>
    </row>
    <row r="708">
      <c r="A708" s="16" t="s">
        <v>87</v>
      </c>
      <c r="E708" s="16" t="str">
        <f>IFERROR(__xludf.DUMMYFUNCTION("""COMPUTED_VALUE"""),"")</f>
        <v/>
      </c>
      <c r="G708" s="18"/>
      <c r="H708" s="16" t="s">
        <v>87</v>
      </c>
      <c r="I708" s="16" t="s">
        <v>87</v>
      </c>
      <c r="J708" s="19"/>
      <c r="L708" s="16" t="str">
        <f>IFERROR(__xludf.DUMMYFUNCTION("""COMPUTED_VALUE"""),"")</f>
        <v/>
      </c>
      <c r="M708" s="16" t="str">
        <f>IFERROR(__xludf.DUMMYFUNCTION("""COMPUTED_VALUE"""),"")</f>
        <v/>
      </c>
      <c r="U708" s="16" t="s">
        <v>87</v>
      </c>
      <c r="V708" s="16" t="str">
        <f>IFERROR(__xludf.DUMMYFUNCTION("""COMPUTED_VALUE"""),"")</f>
        <v/>
      </c>
      <c r="W708" s="16" t="str">
        <f>IFERROR(__xludf.DUMMYFUNCTION("""COMPUTED_VALUE"""),"")</f>
        <v/>
      </c>
      <c r="X708" s="16" t="str">
        <f>IFERROR(__xludf.DUMMYFUNCTION("""COMPUTED_VALUE"""),"")</f>
        <v/>
      </c>
      <c r="AC708" s="16" t="str">
        <f>IFERROR(__xludf.DUMMYFUNCTION("""COMPUTED_VALUE"""),"")</f>
        <v/>
      </c>
    </row>
    <row r="709">
      <c r="A709" s="16" t="s">
        <v>87</v>
      </c>
      <c r="E709" s="16" t="str">
        <f>IFERROR(__xludf.DUMMYFUNCTION("""COMPUTED_VALUE"""),"")</f>
        <v/>
      </c>
      <c r="G709" s="18"/>
      <c r="H709" s="16" t="s">
        <v>87</v>
      </c>
      <c r="I709" s="16" t="s">
        <v>87</v>
      </c>
      <c r="J709" s="19"/>
      <c r="L709" s="16" t="str">
        <f>IFERROR(__xludf.DUMMYFUNCTION("""COMPUTED_VALUE"""),"")</f>
        <v/>
      </c>
      <c r="M709" s="16" t="str">
        <f>IFERROR(__xludf.DUMMYFUNCTION("""COMPUTED_VALUE"""),"")</f>
        <v/>
      </c>
      <c r="U709" s="16" t="s">
        <v>87</v>
      </c>
      <c r="V709" s="16" t="str">
        <f>IFERROR(__xludf.DUMMYFUNCTION("""COMPUTED_VALUE"""),"")</f>
        <v/>
      </c>
      <c r="W709" s="16" t="str">
        <f>IFERROR(__xludf.DUMMYFUNCTION("""COMPUTED_VALUE"""),"")</f>
        <v/>
      </c>
      <c r="X709" s="16" t="str">
        <f>IFERROR(__xludf.DUMMYFUNCTION("""COMPUTED_VALUE"""),"")</f>
        <v/>
      </c>
      <c r="AC709" s="16" t="str">
        <f>IFERROR(__xludf.DUMMYFUNCTION("""COMPUTED_VALUE"""),"")</f>
        <v/>
      </c>
    </row>
    <row r="710">
      <c r="A710" s="16" t="s">
        <v>87</v>
      </c>
      <c r="E710" s="16" t="str">
        <f>IFERROR(__xludf.DUMMYFUNCTION("""COMPUTED_VALUE"""),"")</f>
        <v/>
      </c>
      <c r="G710" s="18"/>
      <c r="H710" s="16" t="s">
        <v>87</v>
      </c>
      <c r="I710" s="16" t="s">
        <v>87</v>
      </c>
      <c r="J710" s="19"/>
      <c r="L710" s="16" t="str">
        <f>IFERROR(__xludf.DUMMYFUNCTION("""COMPUTED_VALUE"""),"")</f>
        <v/>
      </c>
      <c r="M710" s="16" t="str">
        <f>IFERROR(__xludf.DUMMYFUNCTION("""COMPUTED_VALUE"""),"")</f>
        <v/>
      </c>
      <c r="U710" s="16" t="s">
        <v>87</v>
      </c>
      <c r="V710" s="16" t="str">
        <f>IFERROR(__xludf.DUMMYFUNCTION("""COMPUTED_VALUE"""),"")</f>
        <v/>
      </c>
      <c r="W710" s="16" t="str">
        <f>IFERROR(__xludf.DUMMYFUNCTION("""COMPUTED_VALUE"""),"")</f>
        <v/>
      </c>
      <c r="X710" s="16" t="str">
        <f>IFERROR(__xludf.DUMMYFUNCTION("""COMPUTED_VALUE"""),"")</f>
        <v/>
      </c>
      <c r="AC710" s="16" t="str">
        <f>IFERROR(__xludf.DUMMYFUNCTION("""COMPUTED_VALUE"""),"")</f>
        <v/>
      </c>
    </row>
    <row r="711">
      <c r="A711" s="16" t="s">
        <v>87</v>
      </c>
      <c r="E711" s="16" t="str">
        <f>IFERROR(__xludf.DUMMYFUNCTION("""COMPUTED_VALUE"""),"")</f>
        <v/>
      </c>
      <c r="G711" s="18"/>
      <c r="H711" s="16" t="s">
        <v>87</v>
      </c>
      <c r="I711" s="16" t="s">
        <v>87</v>
      </c>
      <c r="J711" s="19"/>
      <c r="L711" s="16" t="str">
        <f>IFERROR(__xludf.DUMMYFUNCTION("""COMPUTED_VALUE"""),"")</f>
        <v/>
      </c>
      <c r="M711" s="16" t="str">
        <f>IFERROR(__xludf.DUMMYFUNCTION("""COMPUTED_VALUE"""),"")</f>
        <v/>
      </c>
      <c r="U711" s="16" t="s">
        <v>87</v>
      </c>
      <c r="V711" s="16" t="str">
        <f>IFERROR(__xludf.DUMMYFUNCTION("""COMPUTED_VALUE"""),"")</f>
        <v/>
      </c>
      <c r="W711" s="16" t="str">
        <f>IFERROR(__xludf.DUMMYFUNCTION("""COMPUTED_VALUE"""),"")</f>
        <v/>
      </c>
      <c r="X711" s="16" t="str">
        <f>IFERROR(__xludf.DUMMYFUNCTION("""COMPUTED_VALUE"""),"")</f>
        <v/>
      </c>
      <c r="AC711" s="16" t="str">
        <f>IFERROR(__xludf.DUMMYFUNCTION("""COMPUTED_VALUE"""),"")</f>
        <v/>
      </c>
    </row>
    <row r="712">
      <c r="A712" s="16" t="s">
        <v>87</v>
      </c>
      <c r="E712" s="16" t="str">
        <f>IFERROR(__xludf.DUMMYFUNCTION("""COMPUTED_VALUE"""),"")</f>
        <v/>
      </c>
      <c r="G712" s="18"/>
      <c r="H712" s="16" t="s">
        <v>87</v>
      </c>
      <c r="I712" s="16" t="s">
        <v>87</v>
      </c>
      <c r="J712" s="19"/>
      <c r="L712" s="16" t="str">
        <f>IFERROR(__xludf.DUMMYFUNCTION("""COMPUTED_VALUE"""),"")</f>
        <v/>
      </c>
      <c r="M712" s="16" t="str">
        <f>IFERROR(__xludf.DUMMYFUNCTION("""COMPUTED_VALUE"""),"")</f>
        <v/>
      </c>
      <c r="U712" s="16" t="s">
        <v>87</v>
      </c>
      <c r="V712" s="16" t="str">
        <f>IFERROR(__xludf.DUMMYFUNCTION("""COMPUTED_VALUE"""),"")</f>
        <v/>
      </c>
      <c r="W712" s="16" t="str">
        <f>IFERROR(__xludf.DUMMYFUNCTION("""COMPUTED_VALUE"""),"")</f>
        <v/>
      </c>
      <c r="X712" s="16" t="str">
        <f>IFERROR(__xludf.DUMMYFUNCTION("""COMPUTED_VALUE"""),"")</f>
        <v/>
      </c>
      <c r="AC712" s="16" t="str">
        <f>IFERROR(__xludf.DUMMYFUNCTION("""COMPUTED_VALUE"""),"")</f>
        <v/>
      </c>
    </row>
    <row r="713">
      <c r="A713" s="16" t="s">
        <v>87</v>
      </c>
      <c r="E713" s="16" t="str">
        <f>IFERROR(__xludf.DUMMYFUNCTION("""COMPUTED_VALUE"""),"")</f>
        <v/>
      </c>
      <c r="G713" s="18"/>
      <c r="H713" s="16" t="s">
        <v>87</v>
      </c>
      <c r="I713" s="16" t="s">
        <v>87</v>
      </c>
      <c r="J713" s="19"/>
      <c r="L713" s="16" t="str">
        <f>IFERROR(__xludf.DUMMYFUNCTION("""COMPUTED_VALUE"""),"")</f>
        <v/>
      </c>
      <c r="M713" s="16" t="str">
        <f>IFERROR(__xludf.DUMMYFUNCTION("""COMPUTED_VALUE"""),"")</f>
        <v/>
      </c>
      <c r="U713" s="16" t="s">
        <v>87</v>
      </c>
      <c r="V713" s="16" t="str">
        <f>IFERROR(__xludf.DUMMYFUNCTION("""COMPUTED_VALUE"""),"")</f>
        <v/>
      </c>
      <c r="W713" s="16" t="str">
        <f>IFERROR(__xludf.DUMMYFUNCTION("""COMPUTED_VALUE"""),"")</f>
        <v/>
      </c>
      <c r="X713" s="16" t="str">
        <f>IFERROR(__xludf.DUMMYFUNCTION("""COMPUTED_VALUE"""),"")</f>
        <v/>
      </c>
      <c r="AC713" s="16" t="str">
        <f>IFERROR(__xludf.DUMMYFUNCTION("""COMPUTED_VALUE"""),"")</f>
        <v/>
      </c>
    </row>
    <row r="714">
      <c r="A714" s="16" t="s">
        <v>87</v>
      </c>
      <c r="E714" s="16" t="str">
        <f>IFERROR(__xludf.DUMMYFUNCTION("""COMPUTED_VALUE"""),"")</f>
        <v/>
      </c>
      <c r="G714" s="18"/>
      <c r="H714" s="16" t="s">
        <v>87</v>
      </c>
      <c r="I714" s="16" t="s">
        <v>87</v>
      </c>
      <c r="J714" s="19"/>
      <c r="L714" s="16" t="str">
        <f>IFERROR(__xludf.DUMMYFUNCTION("""COMPUTED_VALUE"""),"")</f>
        <v/>
      </c>
      <c r="M714" s="16" t="str">
        <f>IFERROR(__xludf.DUMMYFUNCTION("""COMPUTED_VALUE"""),"")</f>
        <v/>
      </c>
      <c r="U714" s="16" t="s">
        <v>87</v>
      </c>
      <c r="V714" s="16" t="str">
        <f>IFERROR(__xludf.DUMMYFUNCTION("""COMPUTED_VALUE"""),"")</f>
        <v/>
      </c>
      <c r="W714" s="16" t="str">
        <f>IFERROR(__xludf.DUMMYFUNCTION("""COMPUTED_VALUE"""),"")</f>
        <v/>
      </c>
      <c r="X714" s="16" t="str">
        <f>IFERROR(__xludf.DUMMYFUNCTION("""COMPUTED_VALUE"""),"")</f>
        <v/>
      </c>
      <c r="AC714" s="16" t="str">
        <f>IFERROR(__xludf.DUMMYFUNCTION("""COMPUTED_VALUE"""),"")</f>
        <v/>
      </c>
    </row>
    <row r="715">
      <c r="A715" s="16" t="s">
        <v>87</v>
      </c>
      <c r="E715" s="16" t="str">
        <f>IFERROR(__xludf.DUMMYFUNCTION("""COMPUTED_VALUE"""),"")</f>
        <v/>
      </c>
      <c r="G715" s="18"/>
      <c r="H715" s="16" t="s">
        <v>87</v>
      </c>
      <c r="I715" s="16" t="s">
        <v>87</v>
      </c>
      <c r="J715" s="19"/>
      <c r="L715" s="16" t="str">
        <f>IFERROR(__xludf.DUMMYFUNCTION("""COMPUTED_VALUE"""),"")</f>
        <v/>
      </c>
      <c r="M715" s="16" t="str">
        <f>IFERROR(__xludf.DUMMYFUNCTION("""COMPUTED_VALUE"""),"")</f>
        <v/>
      </c>
      <c r="U715" s="16" t="s">
        <v>87</v>
      </c>
      <c r="V715" s="16" t="str">
        <f>IFERROR(__xludf.DUMMYFUNCTION("""COMPUTED_VALUE"""),"")</f>
        <v/>
      </c>
      <c r="W715" s="16" t="str">
        <f>IFERROR(__xludf.DUMMYFUNCTION("""COMPUTED_VALUE"""),"")</f>
        <v/>
      </c>
      <c r="X715" s="16" t="str">
        <f>IFERROR(__xludf.DUMMYFUNCTION("""COMPUTED_VALUE"""),"")</f>
        <v/>
      </c>
      <c r="AC715" s="16" t="str">
        <f>IFERROR(__xludf.DUMMYFUNCTION("""COMPUTED_VALUE"""),"")</f>
        <v/>
      </c>
    </row>
    <row r="716">
      <c r="A716" s="16" t="s">
        <v>87</v>
      </c>
      <c r="E716" s="16" t="str">
        <f>IFERROR(__xludf.DUMMYFUNCTION("""COMPUTED_VALUE"""),"")</f>
        <v/>
      </c>
      <c r="G716" s="18"/>
      <c r="H716" s="16" t="s">
        <v>87</v>
      </c>
      <c r="I716" s="16" t="s">
        <v>87</v>
      </c>
      <c r="J716" s="19"/>
      <c r="L716" s="16" t="str">
        <f>IFERROR(__xludf.DUMMYFUNCTION("""COMPUTED_VALUE"""),"")</f>
        <v/>
      </c>
      <c r="M716" s="16" t="str">
        <f>IFERROR(__xludf.DUMMYFUNCTION("""COMPUTED_VALUE"""),"")</f>
        <v/>
      </c>
      <c r="U716" s="16" t="s">
        <v>87</v>
      </c>
      <c r="V716" s="16" t="str">
        <f>IFERROR(__xludf.DUMMYFUNCTION("""COMPUTED_VALUE"""),"")</f>
        <v/>
      </c>
      <c r="W716" s="16" t="str">
        <f>IFERROR(__xludf.DUMMYFUNCTION("""COMPUTED_VALUE"""),"")</f>
        <v/>
      </c>
      <c r="X716" s="16" t="str">
        <f>IFERROR(__xludf.DUMMYFUNCTION("""COMPUTED_VALUE"""),"")</f>
        <v/>
      </c>
      <c r="AC716" s="16" t="str">
        <f>IFERROR(__xludf.DUMMYFUNCTION("""COMPUTED_VALUE"""),"")</f>
        <v/>
      </c>
    </row>
    <row r="717">
      <c r="A717" s="16" t="s">
        <v>87</v>
      </c>
      <c r="E717" s="16" t="str">
        <f>IFERROR(__xludf.DUMMYFUNCTION("""COMPUTED_VALUE"""),"")</f>
        <v/>
      </c>
      <c r="G717" s="18"/>
      <c r="H717" s="16" t="s">
        <v>87</v>
      </c>
      <c r="I717" s="16" t="s">
        <v>87</v>
      </c>
      <c r="J717" s="19"/>
      <c r="L717" s="16" t="str">
        <f>IFERROR(__xludf.DUMMYFUNCTION("""COMPUTED_VALUE"""),"")</f>
        <v/>
      </c>
      <c r="M717" s="16" t="str">
        <f>IFERROR(__xludf.DUMMYFUNCTION("""COMPUTED_VALUE"""),"")</f>
        <v/>
      </c>
      <c r="U717" s="16" t="s">
        <v>87</v>
      </c>
      <c r="V717" s="16" t="str">
        <f>IFERROR(__xludf.DUMMYFUNCTION("""COMPUTED_VALUE"""),"")</f>
        <v/>
      </c>
      <c r="W717" s="16" t="str">
        <f>IFERROR(__xludf.DUMMYFUNCTION("""COMPUTED_VALUE"""),"")</f>
        <v/>
      </c>
      <c r="X717" s="16" t="str">
        <f>IFERROR(__xludf.DUMMYFUNCTION("""COMPUTED_VALUE"""),"")</f>
        <v/>
      </c>
      <c r="AC717" s="16" t="str">
        <f>IFERROR(__xludf.DUMMYFUNCTION("""COMPUTED_VALUE"""),"")</f>
        <v/>
      </c>
    </row>
    <row r="718">
      <c r="A718" s="16" t="s">
        <v>87</v>
      </c>
      <c r="E718" s="16" t="str">
        <f>IFERROR(__xludf.DUMMYFUNCTION("""COMPUTED_VALUE"""),"")</f>
        <v/>
      </c>
      <c r="G718" s="18"/>
      <c r="H718" s="16" t="s">
        <v>87</v>
      </c>
      <c r="I718" s="16" t="s">
        <v>87</v>
      </c>
      <c r="J718" s="19"/>
      <c r="L718" s="16" t="str">
        <f>IFERROR(__xludf.DUMMYFUNCTION("""COMPUTED_VALUE"""),"")</f>
        <v/>
      </c>
      <c r="M718" s="16" t="str">
        <f>IFERROR(__xludf.DUMMYFUNCTION("""COMPUTED_VALUE"""),"")</f>
        <v/>
      </c>
      <c r="U718" s="16" t="s">
        <v>87</v>
      </c>
      <c r="V718" s="16" t="str">
        <f>IFERROR(__xludf.DUMMYFUNCTION("""COMPUTED_VALUE"""),"")</f>
        <v/>
      </c>
      <c r="W718" s="16" t="str">
        <f>IFERROR(__xludf.DUMMYFUNCTION("""COMPUTED_VALUE"""),"")</f>
        <v/>
      </c>
      <c r="X718" s="16" t="str">
        <f>IFERROR(__xludf.DUMMYFUNCTION("""COMPUTED_VALUE"""),"")</f>
        <v/>
      </c>
      <c r="AC718" s="16" t="str">
        <f>IFERROR(__xludf.DUMMYFUNCTION("""COMPUTED_VALUE"""),"")</f>
        <v/>
      </c>
    </row>
    <row r="719">
      <c r="A719" s="16" t="s">
        <v>87</v>
      </c>
      <c r="E719" s="16" t="str">
        <f>IFERROR(__xludf.DUMMYFUNCTION("""COMPUTED_VALUE"""),"")</f>
        <v/>
      </c>
      <c r="G719" s="18"/>
      <c r="H719" s="16" t="s">
        <v>87</v>
      </c>
      <c r="I719" s="16" t="s">
        <v>87</v>
      </c>
      <c r="J719" s="19"/>
      <c r="L719" s="16" t="str">
        <f>IFERROR(__xludf.DUMMYFUNCTION("""COMPUTED_VALUE"""),"")</f>
        <v/>
      </c>
      <c r="M719" s="16" t="str">
        <f>IFERROR(__xludf.DUMMYFUNCTION("""COMPUTED_VALUE"""),"")</f>
        <v/>
      </c>
      <c r="U719" s="16" t="s">
        <v>87</v>
      </c>
      <c r="V719" s="16" t="str">
        <f>IFERROR(__xludf.DUMMYFUNCTION("""COMPUTED_VALUE"""),"")</f>
        <v/>
      </c>
      <c r="W719" s="16" t="str">
        <f>IFERROR(__xludf.DUMMYFUNCTION("""COMPUTED_VALUE"""),"")</f>
        <v/>
      </c>
      <c r="X719" s="16" t="str">
        <f>IFERROR(__xludf.DUMMYFUNCTION("""COMPUTED_VALUE"""),"")</f>
        <v/>
      </c>
      <c r="AC719" s="16" t="str">
        <f>IFERROR(__xludf.DUMMYFUNCTION("""COMPUTED_VALUE"""),"")</f>
        <v/>
      </c>
    </row>
    <row r="720">
      <c r="A720" s="16" t="s">
        <v>87</v>
      </c>
      <c r="E720" s="16" t="str">
        <f>IFERROR(__xludf.DUMMYFUNCTION("""COMPUTED_VALUE"""),"")</f>
        <v/>
      </c>
      <c r="G720" s="18"/>
      <c r="H720" s="16" t="s">
        <v>87</v>
      </c>
      <c r="I720" s="16" t="s">
        <v>87</v>
      </c>
      <c r="J720" s="19"/>
      <c r="L720" s="16" t="str">
        <f>IFERROR(__xludf.DUMMYFUNCTION("""COMPUTED_VALUE"""),"")</f>
        <v/>
      </c>
      <c r="M720" s="16" t="str">
        <f>IFERROR(__xludf.DUMMYFUNCTION("""COMPUTED_VALUE"""),"")</f>
        <v/>
      </c>
      <c r="U720" s="16" t="s">
        <v>87</v>
      </c>
      <c r="V720" s="16" t="str">
        <f>IFERROR(__xludf.DUMMYFUNCTION("""COMPUTED_VALUE"""),"")</f>
        <v/>
      </c>
      <c r="W720" s="16" t="str">
        <f>IFERROR(__xludf.DUMMYFUNCTION("""COMPUTED_VALUE"""),"")</f>
        <v/>
      </c>
      <c r="X720" s="16" t="str">
        <f>IFERROR(__xludf.DUMMYFUNCTION("""COMPUTED_VALUE"""),"")</f>
        <v/>
      </c>
      <c r="AC720" s="16" t="str">
        <f>IFERROR(__xludf.DUMMYFUNCTION("""COMPUTED_VALUE"""),"")</f>
        <v/>
      </c>
    </row>
    <row r="721">
      <c r="A721" s="16" t="s">
        <v>87</v>
      </c>
      <c r="E721" s="16" t="str">
        <f>IFERROR(__xludf.DUMMYFUNCTION("""COMPUTED_VALUE"""),"")</f>
        <v/>
      </c>
      <c r="G721" s="18"/>
      <c r="H721" s="16" t="s">
        <v>87</v>
      </c>
      <c r="I721" s="16" t="s">
        <v>87</v>
      </c>
      <c r="J721" s="19"/>
      <c r="L721" s="16" t="str">
        <f>IFERROR(__xludf.DUMMYFUNCTION("""COMPUTED_VALUE"""),"")</f>
        <v/>
      </c>
      <c r="M721" s="16" t="str">
        <f>IFERROR(__xludf.DUMMYFUNCTION("""COMPUTED_VALUE"""),"")</f>
        <v/>
      </c>
      <c r="U721" s="16" t="s">
        <v>87</v>
      </c>
      <c r="V721" s="16" t="str">
        <f>IFERROR(__xludf.DUMMYFUNCTION("""COMPUTED_VALUE"""),"")</f>
        <v/>
      </c>
      <c r="W721" s="16" t="str">
        <f>IFERROR(__xludf.DUMMYFUNCTION("""COMPUTED_VALUE"""),"")</f>
        <v/>
      </c>
      <c r="X721" s="16" t="str">
        <f>IFERROR(__xludf.DUMMYFUNCTION("""COMPUTED_VALUE"""),"")</f>
        <v/>
      </c>
      <c r="AC721" s="16" t="str">
        <f>IFERROR(__xludf.DUMMYFUNCTION("""COMPUTED_VALUE"""),"")</f>
        <v/>
      </c>
    </row>
    <row r="722">
      <c r="A722" s="16" t="s">
        <v>87</v>
      </c>
      <c r="E722" s="16" t="str">
        <f>IFERROR(__xludf.DUMMYFUNCTION("""COMPUTED_VALUE"""),"")</f>
        <v/>
      </c>
      <c r="G722" s="18"/>
      <c r="H722" s="16" t="s">
        <v>87</v>
      </c>
      <c r="I722" s="16" t="s">
        <v>87</v>
      </c>
      <c r="J722" s="19"/>
      <c r="L722" s="16" t="str">
        <f>IFERROR(__xludf.DUMMYFUNCTION("""COMPUTED_VALUE"""),"")</f>
        <v/>
      </c>
      <c r="M722" s="16" t="str">
        <f>IFERROR(__xludf.DUMMYFUNCTION("""COMPUTED_VALUE"""),"")</f>
        <v/>
      </c>
      <c r="U722" s="16" t="s">
        <v>87</v>
      </c>
      <c r="V722" s="16" t="str">
        <f>IFERROR(__xludf.DUMMYFUNCTION("""COMPUTED_VALUE"""),"")</f>
        <v/>
      </c>
      <c r="W722" s="16" t="str">
        <f>IFERROR(__xludf.DUMMYFUNCTION("""COMPUTED_VALUE"""),"")</f>
        <v/>
      </c>
      <c r="X722" s="16" t="str">
        <f>IFERROR(__xludf.DUMMYFUNCTION("""COMPUTED_VALUE"""),"")</f>
        <v/>
      </c>
      <c r="AC722" s="16" t="str">
        <f>IFERROR(__xludf.DUMMYFUNCTION("""COMPUTED_VALUE"""),"")</f>
        <v/>
      </c>
    </row>
    <row r="723">
      <c r="A723" s="16" t="s">
        <v>87</v>
      </c>
      <c r="E723" s="16" t="str">
        <f>IFERROR(__xludf.DUMMYFUNCTION("""COMPUTED_VALUE"""),"")</f>
        <v/>
      </c>
      <c r="G723" s="18"/>
      <c r="H723" s="16" t="s">
        <v>87</v>
      </c>
      <c r="I723" s="16" t="s">
        <v>87</v>
      </c>
      <c r="J723" s="19"/>
      <c r="L723" s="16" t="str">
        <f>IFERROR(__xludf.DUMMYFUNCTION("""COMPUTED_VALUE"""),"")</f>
        <v/>
      </c>
      <c r="M723" s="16" t="str">
        <f>IFERROR(__xludf.DUMMYFUNCTION("""COMPUTED_VALUE"""),"")</f>
        <v/>
      </c>
      <c r="U723" s="16" t="s">
        <v>87</v>
      </c>
      <c r="V723" s="16" t="str">
        <f>IFERROR(__xludf.DUMMYFUNCTION("""COMPUTED_VALUE"""),"")</f>
        <v/>
      </c>
      <c r="W723" s="16" t="str">
        <f>IFERROR(__xludf.DUMMYFUNCTION("""COMPUTED_VALUE"""),"")</f>
        <v/>
      </c>
      <c r="X723" s="16" t="str">
        <f>IFERROR(__xludf.DUMMYFUNCTION("""COMPUTED_VALUE"""),"")</f>
        <v/>
      </c>
      <c r="AC723" s="16" t="str">
        <f>IFERROR(__xludf.DUMMYFUNCTION("""COMPUTED_VALUE"""),"")</f>
        <v/>
      </c>
    </row>
    <row r="724">
      <c r="A724" s="16" t="s">
        <v>87</v>
      </c>
      <c r="E724" s="16" t="str">
        <f>IFERROR(__xludf.DUMMYFUNCTION("""COMPUTED_VALUE"""),"")</f>
        <v/>
      </c>
      <c r="G724" s="18"/>
      <c r="H724" s="16" t="s">
        <v>87</v>
      </c>
      <c r="I724" s="16" t="s">
        <v>87</v>
      </c>
      <c r="J724" s="19"/>
      <c r="L724" s="16" t="str">
        <f>IFERROR(__xludf.DUMMYFUNCTION("""COMPUTED_VALUE"""),"")</f>
        <v/>
      </c>
      <c r="M724" s="16" t="str">
        <f>IFERROR(__xludf.DUMMYFUNCTION("""COMPUTED_VALUE"""),"")</f>
        <v/>
      </c>
      <c r="U724" s="16" t="s">
        <v>87</v>
      </c>
      <c r="V724" s="16" t="str">
        <f>IFERROR(__xludf.DUMMYFUNCTION("""COMPUTED_VALUE"""),"")</f>
        <v/>
      </c>
      <c r="W724" s="16" t="str">
        <f>IFERROR(__xludf.DUMMYFUNCTION("""COMPUTED_VALUE"""),"")</f>
        <v/>
      </c>
      <c r="X724" s="16" t="str">
        <f>IFERROR(__xludf.DUMMYFUNCTION("""COMPUTED_VALUE"""),"")</f>
        <v/>
      </c>
      <c r="AC724" s="16" t="str">
        <f>IFERROR(__xludf.DUMMYFUNCTION("""COMPUTED_VALUE"""),"")</f>
        <v/>
      </c>
    </row>
    <row r="725">
      <c r="A725" s="16" t="s">
        <v>87</v>
      </c>
      <c r="E725" s="16" t="str">
        <f>IFERROR(__xludf.DUMMYFUNCTION("""COMPUTED_VALUE"""),"")</f>
        <v/>
      </c>
      <c r="G725" s="18"/>
      <c r="H725" s="16" t="s">
        <v>87</v>
      </c>
      <c r="I725" s="16" t="s">
        <v>87</v>
      </c>
      <c r="J725" s="19"/>
      <c r="L725" s="16" t="str">
        <f>IFERROR(__xludf.DUMMYFUNCTION("""COMPUTED_VALUE"""),"")</f>
        <v/>
      </c>
      <c r="M725" s="16" t="str">
        <f>IFERROR(__xludf.DUMMYFUNCTION("""COMPUTED_VALUE"""),"")</f>
        <v/>
      </c>
      <c r="U725" s="16" t="s">
        <v>87</v>
      </c>
      <c r="V725" s="16" t="str">
        <f>IFERROR(__xludf.DUMMYFUNCTION("""COMPUTED_VALUE"""),"")</f>
        <v/>
      </c>
      <c r="W725" s="16" t="str">
        <f>IFERROR(__xludf.DUMMYFUNCTION("""COMPUTED_VALUE"""),"")</f>
        <v/>
      </c>
      <c r="X725" s="16" t="str">
        <f>IFERROR(__xludf.DUMMYFUNCTION("""COMPUTED_VALUE"""),"")</f>
        <v/>
      </c>
      <c r="AC725" s="16" t="str">
        <f>IFERROR(__xludf.DUMMYFUNCTION("""COMPUTED_VALUE"""),"")</f>
        <v/>
      </c>
    </row>
    <row r="726">
      <c r="A726" s="16" t="s">
        <v>87</v>
      </c>
      <c r="E726" s="16" t="str">
        <f>IFERROR(__xludf.DUMMYFUNCTION("""COMPUTED_VALUE"""),"")</f>
        <v/>
      </c>
      <c r="G726" s="18"/>
      <c r="H726" s="16" t="s">
        <v>87</v>
      </c>
      <c r="I726" s="16" t="s">
        <v>87</v>
      </c>
      <c r="J726" s="19"/>
      <c r="L726" s="16" t="str">
        <f>IFERROR(__xludf.DUMMYFUNCTION("""COMPUTED_VALUE"""),"")</f>
        <v/>
      </c>
      <c r="M726" s="16" t="str">
        <f>IFERROR(__xludf.DUMMYFUNCTION("""COMPUTED_VALUE"""),"")</f>
        <v/>
      </c>
      <c r="U726" s="16" t="s">
        <v>87</v>
      </c>
      <c r="V726" s="16" t="str">
        <f>IFERROR(__xludf.DUMMYFUNCTION("""COMPUTED_VALUE"""),"")</f>
        <v/>
      </c>
      <c r="W726" s="16" t="str">
        <f>IFERROR(__xludf.DUMMYFUNCTION("""COMPUTED_VALUE"""),"")</f>
        <v/>
      </c>
      <c r="X726" s="16" t="str">
        <f>IFERROR(__xludf.DUMMYFUNCTION("""COMPUTED_VALUE"""),"")</f>
        <v/>
      </c>
      <c r="AC726" s="16" t="str">
        <f>IFERROR(__xludf.DUMMYFUNCTION("""COMPUTED_VALUE"""),"")</f>
        <v/>
      </c>
    </row>
    <row r="727">
      <c r="A727" s="16" t="s">
        <v>87</v>
      </c>
      <c r="E727" s="16" t="str">
        <f>IFERROR(__xludf.DUMMYFUNCTION("""COMPUTED_VALUE"""),"")</f>
        <v/>
      </c>
      <c r="G727" s="18"/>
      <c r="H727" s="16" t="s">
        <v>87</v>
      </c>
      <c r="I727" s="16" t="s">
        <v>87</v>
      </c>
      <c r="J727" s="19"/>
      <c r="L727" s="16" t="str">
        <f>IFERROR(__xludf.DUMMYFUNCTION("""COMPUTED_VALUE"""),"")</f>
        <v/>
      </c>
      <c r="M727" s="16" t="str">
        <f>IFERROR(__xludf.DUMMYFUNCTION("""COMPUTED_VALUE"""),"")</f>
        <v/>
      </c>
      <c r="U727" s="16" t="s">
        <v>87</v>
      </c>
      <c r="V727" s="16" t="str">
        <f>IFERROR(__xludf.DUMMYFUNCTION("""COMPUTED_VALUE"""),"")</f>
        <v/>
      </c>
      <c r="W727" s="16" t="str">
        <f>IFERROR(__xludf.DUMMYFUNCTION("""COMPUTED_VALUE"""),"")</f>
        <v/>
      </c>
      <c r="X727" s="16" t="str">
        <f>IFERROR(__xludf.DUMMYFUNCTION("""COMPUTED_VALUE"""),"")</f>
        <v/>
      </c>
      <c r="AC727" s="16" t="str">
        <f>IFERROR(__xludf.DUMMYFUNCTION("""COMPUTED_VALUE"""),"")</f>
        <v/>
      </c>
    </row>
    <row r="728">
      <c r="A728" s="16" t="s">
        <v>87</v>
      </c>
      <c r="E728" s="16" t="str">
        <f>IFERROR(__xludf.DUMMYFUNCTION("""COMPUTED_VALUE"""),"")</f>
        <v/>
      </c>
      <c r="G728" s="18"/>
      <c r="H728" s="16" t="s">
        <v>87</v>
      </c>
      <c r="I728" s="16" t="s">
        <v>87</v>
      </c>
      <c r="J728" s="19"/>
      <c r="L728" s="16" t="str">
        <f>IFERROR(__xludf.DUMMYFUNCTION("""COMPUTED_VALUE"""),"")</f>
        <v/>
      </c>
      <c r="M728" s="16" t="str">
        <f>IFERROR(__xludf.DUMMYFUNCTION("""COMPUTED_VALUE"""),"")</f>
        <v/>
      </c>
      <c r="U728" s="16" t="s">
        <v>87</v>
      </c>
      <c r="V728" s="16" t="str">
        <f>IFERROR(__xludf.DUMMYFUNCTION("""COMPUTED_VALUE"""),"")</f>
        <v/>
      </c>
      <c r="W728" s="16" t="str">
        <f>IFERROR(__xludf.DUMMYFUNCTION("""COMPUTED_VALUE"""),"")</f>
        <v/>
      </c>
      <c r="X728" s="16" t="str">
        <f>IFERROR(__xludf.DUMMYFUNCTION("""COMPUTED_VALUE"""),"")</f>
        <v/>
      </c>
      <c r="AC728" s="16" t="str">
        <f>IFERROR(__xludf.DUMMYFUNCTION("""COMPUTED_VALUE"""),"")</f>
        <v/>
      </c>
    </row>
    <row r="729">
      <c r="A729" s="16" t="s">
        <v>87</v>
      </c>
      <c r="E729" s="16" t="str">
        <f>IFERROR(__xludf.DUMMYFUNCTION("""COMPUTED_VALUE"""),"")</f>
        <v/>
      </c>
      <c r="G729" s="18"/>
      <c r="H729" s="16" t="s">
        <v>87</v>
      </c>
      <c r="I729" s="16" t="s">
        <v>87</v>
      </c>
      <c r="J729" s="19"/>
      <c r="L729" s="16" t="str">
        <f>IFERROR(__xludf.DUMMYFUNCTION("""COMPUTED_VALUE"""),"")</f>
        <v/>
      </c>
      <c r="M729" s="16" t="str">
        <f>IFERROR(__xludf.DUMMYFUNCTION("""COMPUTED_VALUE"""),"")</f>
        <v/>
      </c>
      <c r="U729" s="16" t="s">
        <v>87</v>
      </c>
      <c r="V729" s="16" t="str">
        <f>IFERROR(__xludf.DUMMYFUNCTION("""COMPUTED_VALUE"""),"")</f>
        <v/>
      </c>
      <c r="W729" s="16" t="str">
        <f>IFERROR(__xludf.DUMMYFUNCTION("""COMPUTED_VALUE"""),"")</f>
        <v/>
      </c>
      <c r="X729" s="16" t="str">
        <f>IFERROR(__xludf.DUMMYFUNCTION("""COMPUTED_VALUE"""),"")</f>
        <v/>
      </c>
      <c r="AC729" s="16" t="str">
        <f>IFERROR(__xludf.DUMMYFUNCTION("""COMPUTED_VALUE"""),"")</f>
        <v/>
      </c>
    </row>
    <row r="730">
      <c r="A730" s="16" t="s">
        <v>87</v>
      </c>
      <c r="E730" s="16" t="str">
        <f>IFERROR(__xludf.DUMMYFUNCTION("""COMPUTED_VALUE"""),"")</f>
        <v/>
      </c>
      <c r="G730" s="18"/>
      <c r="H730" s="16" t="s">
        <v>87</v>
      </c>
      <c r="I730" s="16" t="s">
        <v>87</v>
      </c>
      <c r="J730" s="19"/>
      <c r="L730" s="16" t="str">
        <f>IFERROR(__xludf.DUMMYFUNCTION("""COMPUTED_VALUE"""),"")</f>
        <v/>
      </c>
      <c r="M730" s="16" t="str">
        <f>IFERROR(__xludf.DUMMYFUNCTION("""COMPUTED_VALUE"""),"")</f>
        <v/>
      </c>
      <c r="U730" s="16" t="s">
        <v>87</v>
      </c>
      <c r="V730" s="16" t="str">
        <f>IFERROR(__xludf.DUMMYFUNCTION("""COMPUTED_VALUE"""),"")</f>
        <v/>
      </c>
      <c r="W730" s="16" t="str">
        <f>IFERROR(__xludf.DUMMYFUNCTION("""COMPUTED_VALUE"""),"")</f>
        <v/>
      </c>
      <c r="X730" s="16" t="str">
        <f>IFERROR(__xludf.DUMMYFUNCTION("""COMPUTED_VALUE"""),"")</f>
        <v/>
      </c>
      <c r="AC730" s="16" t="str">
        <f>IFERROR(__xludf.DUMMYFUNCTION("""COMPUTED_VALUE"""),"")</f>
        <v/>
      </c>
    </row>
    <row r="731">
      <c r="A731" s="16" t="s">
        <v>87</v>
      </c>
      <c r="E731" s="16" t="str">
        <f>IFERROR(__xludf.DUMMYFUNCTION("""COMPUTED_VALUE"""),"")</f>
        <v/>
      </c>
      <c r="G731" s="18"/>
      <c r="H731" s="16" t="s">
        <v>87</v>
      </c>
      <c r="I731" s="16" t="s">
        <v>87</v>
      </c>
      <c r="J731" s="19"/>
      <c r="L731" s="16" t="str">
        <f>IFERROR(__xludf.DUMMYFUNCTION("""COMPUTED_VALUE"""),"")</f>
        <v/>
      </c>
      <c r="M731" s="16" t="str">
        <f>IFERROR(__xludf.DUMMYFUNCTION("""COMPUTED_VALUE"""),"")</f>
        <v/>
      </c>
      <c r="U731" s="16" t="s">
        <v>87</v>
      </c>
      <c r="V731" s="16" t="str">
        <f>IFERROR(__xludf.DUMMYFUNCTION("""COMPUTED_VALUE"""),"")</f>
        <v/>
      </c>
      <c r="W731" s="16" t="str">
        <f>IFERROR(__xludf.DUMMYFUNCTION("""COMPUTED_VALUE"""),"")</f>
        <v/>
      </c>
      <c r="X731" s="16" t="str">
        <f>IFERROR(__xludf.DUMMYFUNCTION("""COMPUTED_VALUE"""),"")</f>
        <v/>
      </c>
      <c r="AC731" s="16" t="str">
        <f>IFERROR(__xludf.DUMMYFUNCTION("""COMPUTED_VALUE"""),"")</f>
        <v/>
      </c>
    </row>
    <row r="732">
      <c r="A732" s="16" t="s">
        <v>87</v>
      </c>
      <c r="E732" s="16" t="str">
        <f>IFERROR(__xludf.DUMMYFUNCTION("""COMPUTED_VALUE"""),"")</f>
        <v/>
      </c>
      <c r="G732" s="18"/>
      <c r="H732" s="16" t="s">
        <v>87</v>
      </c>
      <c r="I732" s="16" t="s">
        <v>87</v>
      </c>
      <c r="J732" s="19"/>
      <c r="L732" s="16" t="str">
        <f>IFERROR(__xludf.DUMMYFUNCTION("""COMPUTED_VALUE"""),"")</f>
        <v/>
      </c>
      <c r="M732" s="16" t="str">
        <f>IFERROR(__xludf.DUMMYFUNCTION("""COMPUTED_VALUE"""),"")</f>
        <v/>
      </c>
      <c r="U732" s="16" t="s">
        <v>87</v>
      </c>
      <c r="V732" s="16" t="str">
        <f>IFERROR(__xludf.DUMMYFUNCTION("""COMPUTED_VALUE"""),"")</f>
        <v/>
      </c>
      <c r="W732" s="16" t="str">
        <f>IFERROR(__xludf.DUMMYFUNCTION("""COMPUTED_VALUE"""),"")</f>
        <v/>
      </c>
      <c r="X732" s="16" t="str">
        <f>IFERROR(__xludf.DUMMYFUNCTION("""COMPUTED_VALUE"""),"")</f>
        <v/>
      </c>
      <c r="AC732" s="16" t="str">
        <f>IFERROR(__xludf.DUMMYFUNCTION("""COMPUTED_VALUE"""),"")</f>
        <v/>
      </c>
    </row>
    <row r="733">
      <c r="A733" s="16" t="s">
        <v>87</v>
      </c>
      <c r="E733" s="16" t="str">
        <f>IFERROR(__xludf.DUMMYFUNCTION("""COMPUTED_VALUE"""),"")</f>
        <v/>
      </c>
      <c r="G733" s="18"/>
      <c r="H733" s="16" t="s">
        <v>87</v>
      </c>
      <c r="I733" s="16" t="s">
        <v>87</v>
      </c>
      <c r="J733" s="19"/>
      <c r="L733" s="16" t="str">
        <f>IFERROR(__xludf.DUMMYFUNCTION("""COMPUTED_VALUE"""),"")</f>
        <v/>
      </c>
      <c r="M733" s="16" t="str">
        <f>IFERROR(__xludf.DUMMYFUNCTION("""COMPUTED_VALUE"""),"")</f>
        <v/>
      </c>
      <c r="U733" s="16" t="s">
        <v>87</v>
      </c>
      <c r="V733" s="16" t="str">
        <f>IFERROR(__xludf.DUMMYFUNCTION("""COMPUTED_VALUE"""),"")</f>
        <v/>
      </c>
      <c r="W733" s="16" t="str">
        <f>IFERROR(__xludf.DUMMYFUNCTION("""COMPUTED_VALUE"""),"")</f>
        <v/>
      </c>
      <c r="X733" s="16" t="str">
        <f>IFERROR(__xludf.DUMMYFUNCTION("""COMPUTED_VALUE"""),"")</f>
        <v/>
      </c>
      <c r="AC733" s="16" t="str">
        <f>IFERROR(__xludf.DUMMYFUNCTION("""COMPUTED_VALUE"""),"")</f>
        <v/>
      </c>
    </row>
    <row r="734">
      <c r="A734" s="16" t="s">
        <v>87</v>
      </c>
      <c r="E734" s="16" t="str">
        <f>IFERROR(__xludf.DUMMYFUNCTION("""COMPUTED_VALUE"""),"")</f>
        <v/>
      </c>
      <c r="G734" s="18"/>
      <c r="H734" s="16" t="s">
        <v>87</v>
      </c>
      <c r="I734" s="16" t="s">
        <v>87</v>
      </c>
      <c r="J734" s="19"/>
      <c r="L734" s="16" t="str">
        <f>IFERROR(__xludf.DUMMYFUNCTION("""COMPUTED_VALUE"""),"")</f>
        <v/>
      </c>
      <c r="M734" s="16" t="str">
        <f>IFERROR(__xludf.DUMMYFUNCTION("""COMPUTED_VALUE"""),"")</f>
        <v/>
      </c>
      <c r="U734" s="16" t="s">
        <v>87</v>
      </c>
      <c r="V734" s="16" t="str">
        <f>IFERROR(__xludf.DUMMYFUNCTION("""COMPUTED_VALUE"""),"")</f>
        <v/>
      </c>
      <c r="W734" s="16" t="str">
        <f>IFERROR(__xludf.DUMMYFUNCTION("""COMPUTED_VALUE"""),"")</f>
        <v/>
      </c>
      <c r="X734" s="16" t="str">
        <f>IFERROR(__xludf.DUMMYFUNCTION("""COMPUTED_VALUE"""),"")</f>
        <v/>
      </c>
      <c r="AC734" s="16" t="str">
        <f>IFERROR(__xludf.DUMMYFUNCTION("""COMPUTED_VALUE"""),"")</f>
        <v/>
      </c>
    </row>
    <row r="735">
      <c r="A735" s="16" t="s">
        <v>87</v>
      </c>
      <c r="E735" s="16" t="str">
        <f>IFERROR(__xludf.DUMMYFUNCTION("""COMPUTED_VALUE"""),"")</f>
        <v/>
      </c>
      <c r="G735" s="18"/>
      <c r="H735" s="16" t="s">
        <v>87</v>
      </c>
      <c r="I735" s="16" t="s">
        <v>87</v>
      </c>
      <c r="J735" s="19"/>
      <c r="L735" s="16" t="str">
        <f>IFERROR(__xludf.DUMMYFUNCTION("""COMPUTED_VALUE"""),"")</f>
        <v/>
      </c>
      <c r="M735" s="16" t="str">
        <f>IFERROR(__xludf.DUMMYFUNCTION("""COMPUTED_VALUE"""),"")</f>
        <v/>
      </c>
      <c r="U735" s="16" t="s">
        <v>87</v>
      </c>
      <c r="V735" s="16" t="str">
        <f>IFERROR(__xludf.DUMMYFUNCTION("""COMPUTED_VALUE"""),"")</f>
        <v/>
      </c>
      <c r="W735" s="16" t="str">
        <f>IFERROR(__xludf.DUMMYFUNCTION("""COMPUTED_VALUE"""),"")</f>
        <v/>
      </c>
      <c r="X735" s="16" t="str">
        <f>IFERROR(__xludf.DUMMYFUNCTION("""COMPUTED_VALUE"""),"")</f>
        <v/>
      </c>
      <c r="AC735" s="16" t="str">
        <f>IFERROR(__xludf.DUMMYFUNCTION("""COMPUTED_VALUE"""),"")</f>
        <v/>
      </c>
    </row>
    <row r="736">
      <c r="A736" s="16" t="s">
        <v>87</v>
      </c>
      <c r="E736" s="16" t="str">
        <f>IFERROR(__xludf.DUMMYFUNCTION("""COMPUTED_VALUE"""),"")</f>
        <v/>
      </c>
      <c r="G736" s="18"/>
      <c r="H736" s="16" t="s">
        <v>87</v>
      </c>
      <c r="I736" s="16" t="s">
        <v>87</v>
      </c>
      <c r="J736" s="19"/>
      <c r="L736" s="16" t="str">
        <f>IFERROR(__xludf.DUMMYFUNCTION("""COMPUTED_VALUE"""),"")</f>
        <v/>
      </c>
      <c r="M736" s="16" t="str">
        <f>IFERROR(__xludf.DUMMYFUNCTION("""COMPUTED_VALUE"""),"")</f>
        <v/>
      </c>
      <c r="U736" s="16" t="s">
        <v>87</v>
      </c>
      <c r="V736" s="16" t="str">
        <f>IFERROR(__xludf.DUMMYFUNCTION("""COMPUTED_VALUE"""),"")</f>
        <v/>
      </c>
      <c r="W736" s="16" t="str">
        <f>IFERROR(__xludf.DUMMYFUNCTION("""COMPUTED_VALUE"""),"")</f>
        <v/>
      </c>
      <c r="X736" s="16" t="str">
        <f>IFERROR(__xludf.DUMMYFUNCTION("""COMPUTED_VALUE"""),"")</f>
        <v/>
      </c>
      <c r="AC736" s="16" t="str">
        <f>IFERROR(__xludf.DUMMYFUNCTION("""COMPUTED_VALUE"""),"")</f>
        <v/>
      </c>
    </row>
    <row r="737">
      <c r="A737" s="16" t="s">
        <v>87</v>
      </c>
      <c r="E737" s="16" t="str">
        <f>IFERROR(__xludf.DUMMYFUNCTION("""COMPUTED_VALUE"""),"")</f>
        <v/>
      </c>
      <c r="G737" s="18"/>
      <c r="H737" s="16" t="s">
        <v>87</v>
      </c>
      <c r="I737" s="16" t="s">
        <v>87</v>
      </c>
      <c r="J737" s="19"/>
      <c r="L737" s="16" t="str">
        <f>IFERROR(__xludf.DUMMYFUNCTION("""COMPUTED_VALUE"""),"")</f>
        <v/>
      </c>
      <c r="M737" s="16" t="str">
        <f>IFERROR(__xludf.DUMMYFUNCTION("""COMPUTED_VALUE"""),"")</f>
        <v/>
      </c>
      <c r="U737" s="16" t="s">
        <v>87</v>
      </c>
      <c r="V737" s="16" t="str">
        <f>IFERROR(__xludf.DUMMYFUNCTION("""COMPUTED_VALUE"""),"")</f>
        <v/>
      </c>
      <c r="W737" s="16" t="str">
        <f>IFERROR(__xludf.DUMMYFUNCTION("""COMPUTED_VALUE"""),"")</f>
        <v/>
      </c>
      <c r="X737" s="16" t="str">
        <f>IFERROR(__xludf.DUMMYFUNCTION("""COMPUTED_VALUE"""),"")</f>
        <v/>
      </c>
      <c r="AC737" s="16" t="str">
        <f>IFERROR(__xludf.DUMMYFUNCTION("""COMPUTED_VALUE"""),"")</f>
        <v/>
      </c>
    </row>
    <row r="738">
      <c r="A738" s="16" t="s">
        <v>87</v>
      </c>
      <c r="E738" s="16" t="str">
        <f>IFERROR(__xludf.DUMMYFUNCTION("""COMPUTED_VALUE"""),"")</f>
        <v/>
      </c>
      <c r="G738" s="18"/>
      <c r="H738" s="16" t="s">
        <v>87</v>
      </c>
      <c r="I738" s="16" t="s">
        <v>87</v>
      </c>
      <c r="J738" s="19"/>
      <c r="L738" s="16" t="str">
        <f>IFERROR(__xludf.DUMMYFUNCTION("""COMPUTED_VALUE"""),"")</f>
        <v/>
      </c>
      <c r="M738" s="16" t="str">
        <f>IFERROR(__xludf.DUMMYFUNCTION("""COMPUTED_VALUE"""),"")</f>
        <v/>
      </c>
      <c r="U738" s="16" t="s">
        <v>87</v>
      </c>
      <c r="V738" s="16" t="str">
        <f>IFERROR(__xludf.DUMMYFUNCTION("""COMPUTED_VALUE"""),"")</f>
        <v/>
      </c>
      <c r="W738" s="16" t="str">
        <f>IFERROR(__xludf.DUMMYFUNCTION("""COMPUTED_VALUE"""),"")</f>
        <v/>
      </c>
      <c r="X738" s="16" t="str">
        <f>IFERROR(__xludf.DUMMYFUNCTION("""COMPUTED_VALUE"""),"")</f>
        <v/>
      </c>
      <c r="AC738" s="16" t="str">
        <f>IFERROR(__xludf.DUMMYFUNCTION("""COMPUTED_VALUE"""),"")</f>
        <v/>
      </c>
    </row>
    <row r="739">
      <c r="A739" s="16" t="s">
        <v>87</v>
      </c>
      <c r="E739" s="16" t="str">
        <f>IFERROR(__xludf.DUMMYFUNCTION("""COMPUTED_VALUE"""),"")</f>
        <v/>
      </c>
      <c r="G739" s="18"/>
      <c r="H739" s="16" t="s">
        <v>87</v>
      </c>
      <c r="I739" s="16" t="s">
        <v>87</v>
      </c>
      <c r="J739" s="19"/>
      <c r="L739" s="16" t="str">
        <f>IFERROR(__xludf.DUMMYFUNCTION("""COMPUTED_VALUE"""),"")</f>
        <v/>
      </c>
      <c r="M739" s="16" t="str">
        <f>IFERROR(__xludf.DUMMYFUNCTION("""COMPUTED_VALUE"""),"")</f>
        <v/>
      </c>
      <c r="U739" s="16" t="s">
        <v>87</v>
      </c>
      <c r="V739" s="16" t="str">
        <f>IFERROR(__xludf.DUMMYFUNCTION("""COMPUTED_VALUE"""),"")</f>
        <v/>
      </c>
      <c r="W739" s="16" t="str">
        <f>IFERROR(__xludf.DUMMYFUNCTION("""COMPUTED_VALUE"""),"")</f>
        <v/>
      </c>
      <c r="X739" s="16" t="str">
        <f>IFERROR(__xludf.DUMMYFUNCTION("""COMPUTED_VALUE"""),"")</f>
        <v/>
      </c>
      <c r="AC739" s="16" t="str">
        <f>IFERROR(__xludf.DUMMYFUNCTION("""COMPUTED_VALUE"""),"")</f>
        <v/>
      </c>
    </row>
    <row r="740">
      <c r="A740" s="16" t="s">
        <v>87</v>
      </c>
      <c r="E740" s="16" t="str">
        <f>IFERROR(__xludf.DUMMYFUNCTION("""COMPUTED_VALUE"""),"")</f>
        <v/>
      </c>
      <c r="G740" s="18"/>
      <c r="H740" s="16" t="s">
        <v>87</v>
      </c>
      <c r="I740" s="16" t="s">
        <v>87</v>
      </c>
      <c r="J740" s="19"/>
      <c r="L740" s="16" t="str">
        <f>IFERROR(__xludf.DUMMYFUNCTION("""COMPUTED_VALUE"""),"")</f>
        <v/>
      </c>
      <c r="M740" s="16" t="str">
        <f>IFERROR(__xludf.DUMMYFUNCTION("""COMPUTED_VALUE"""),"")</f>
        <v/>
      </c>
      <c r="U740" s="16" t="s">
        <v>87</v>
      </c>
      <c r="V740" s="16" t="str">
        <f>IFERROR(__xludf.DUMMYFUNCTION("""COMPUTED_VALUE"""),"")</f>
        <v/>
      </c>
      <c r="W740" s="16" t="str">
        <f>IFERROR(__xludf.DUMMYFUNCTION("""COMPUTED_VALUE"""),"")</f>
        <v/>
      </c>
      <c r="X740" s="16" t="str">
        <f>IFERROR(__xludf.DUMMYFUNCTION("""COMPUTED_VALUE"""),"")</f>
        <v/>
      </c>
      <c r="AC740" s="16" t="str">
        <f>IFERROR(__xludf.DUMMYFUNCTION("""COMPUTED_VALUE"""),"")</f>
        <v/>
      </c>
    </row>
    <row r="741">
      <c r="A741" s="16" t="s">
        <v>87</v>
      </c>
      <c r="E741" s="16" t="str">
        <f>IFERROR(__xludf.DUMMYFUNCTION("""COMPUTED_VALUE"""),"")</f>
        <v/>
      </c>
      <c r="G741" s="18"/>
      <c r="H741" s="16" t="s">
        <v>87</v>
      </c>
      <c r="I741" s="16" t="s">
        <v>87</v>
      </c>
      <c r="J741" s="19"/>
      <c r="L741" s="16" t="str">
        <f>IFERROR(__xludf.DUMMYFUNCTION("""COMPUTED_VALUE"""),"")</f>
        <v/>
      </c>
      <c r="M741" s="16" t="str">
        <f>IFERROR(__xludf.DUMMYFUNCTION("""COMPUTED_VALUE"""),"")</f>
        <v/>
      </c>
      <c r="U741" s="16" t="s">
        <v>87</v>
      </c>
      <c r="V741" s="16" t="str">
        <f>IFERROR(__xludf.DUMMYFUNCTION("""COMPUTED_VALUE"""),"")</f>
        <v/>
      </c>
      <c r="W741" s="16" t="str">
        <f>IFERROR(__xludf.DUMMYFUNCTION("""COMPUTED_VALUE"""),"")</f>
        <v/>
      </c>
      <c r="X741" s="16" t="str">
        <f>IFERROR(__xludf.DUMMYFUNCTION("""COMPUTED_VALUE"""),"")</f>
        <v/>
      </c>
      <c r="AC741" s="16" t="str">
        <f>IFERROR(__xludf.DUMMYFUNCTION("""COMPUTED_VALUE"""),"")</f>
        <v/>
      </c>
    </row>
    <row r="742">
      <c r="A742" s="16" t="s">
        <v>87</v>
      </c>
      <c r="E742" s="16" t="str">
        <f>IFERROR(__xludf.DUMMYFUNCTION("""COMPUTED_VALUE"""),"")</f>
        <v/>
      </c>
      <c r="G742" s="18"/>
      <c r="H742" s="16" t="s">
        <v>87</v>
      </c>
      <c r="I742" s="16" t="s">
        <v>87</v>
      </c>
      <c r="J742" s="19"/>
      <c r="L742" s="16" t="str">
        <f>IFERROR(__xludf.DUMMYFUNCTION("""COMPUTED_VALUE"""),"")</f>
        <v/>
      </c>
      <c r="M742" s="16" t="str">
        <f>IFERROR(__xludf.DUMMYFUNCTION("""COMPUTED_VALUE"""),"")</f>
        <v/>
      </c>
      <c r="U742" s="16" t="s">
        <v>87</v>
      </c>
      <c r="V742" s="16" t="str">
        <f>IFERROR(__xludf.DUMMYFUNCTION("""COMPUTED_VALUE"""),"")</f>
        <v/>
      </c>
      <c r="W742" s="16" t="str">
        <f>IFERROR(__xludf.DUMMYFUNCTION("""COMPUTED_VALUE"""),"")</f>
        <v/>
      </c>
      <c r="X742" s="16" t="str">
        <f>IFERROR(__xludf.DUMMYFUNCTION("""COMPUTED_VALUE"""),"")</f>
        <v/>
      </c>
      <c r="AC742" s="16" t="str">
        <f>IFERROR(__xludf.DUMMYFUNCTION("""COMPUTED_VALUE"""),"")</f>
        <v/>
      </c>
    </row>
    <row r="743">
      <c r="A743" s="16" t="s">
        <v>87</v>
      </c>
      <c r="E743" s="16" t="str">
        <f>IFERROR(__xludf.DUMMYFUNCTION("""COMPUTED_VALUE"""),"")</f>
        <v/>
      </c>
      <c r="G743" s="18"/>
      <c r="H743" s="16" t="s">
        <v>87</v>
      </c>
      <c r="I743" s="16" t="s">
        <v>87</v>
      </c>
      <c r="J743" s="19"/>
      <c r="L743" s="16" t="str">
        <f>IFERROR(__xludf.DUMMYFUNCTION("""COMPUTED_VALUE"""),"")</f>
        <v/>
      </c>
      <c r="M743" s="16" t="str">
        <f>IFERROR(__xludf.DUMMYFUNCTION("""COMPUTED_VALUE"""),"")</f>
        <v/>
      </c>
      <c r="U743" s="16" t="s">
        <v>87</v>
      </c>
      <c r="V743" s="16" t="str">
        <f>IFERROR(__xludf.DUMMYFUNCTION("""COMPUTED_VALUE"""),"")</f>
        <v/>
      </c>
      <c r="W743" s="16" t="str">
        <f>IFERROR(__xludf.DUMMYFUNCTION("""COMPUTED_VALUE"""),"")</f>
        <v/>
      </c>
      <c r="X743" s="16" t="str">
        <f>IFERROR(__xludf.DUMMYFUNCTION("""COMPUTED_VALUE"""),"")</f>
        <v/>
      </c>
      <c r="AC743" s="16" t="str">
        <f>IFERROR(__xludf.DUMMYFUNCTION("""COMPUTED_VALUE"""),"")</f>
        <v/>
      </c>
    </row>
    <row r="744">
      <c r="A744" s="16" t="s">
        <v>87</v>
      </c>
      <c r="E744" s="16" t="str">
        <f>IFERROR(__xludf.DUMMYFUNCTION("""COMPUTED_VALUE"""),"")</f>
        <v/>
      </c>
      <c r="G744" s="18"/>
      <c r="H744" s="16" t="s">
        <v>87</v>
      </c>
      <c r="I744" s="16" t="s">
        <v>87</v>
      </c>
      <c r="J744" s="19"/>
      <c r="L744" s="16" t="str">
        <f>IFERROR(__xludf.DUMMYFUNCTION("""COMPUTED_VALUE"""),"")</f>
        <v/>
      </c>
      <c r="M744" s="16" t="str">
        <f>IFERROR(__xludf.DUMMYFUNCTION("""COMPUTED_VALUE"""),"")</f>
        <v/>
      </c>
      <c r="U744" s="16" t="s">
        <v>87</v>
      </c>
      <c r="V744" s="16" t="str">
        <f>IFERROR(__xludf.DUMMYFUNCTION("""COMPUTED_VALUE"""),"")</f>
        <v/>
      </c>
      <c r="W744" s="16" t="str">
        <f>IFERROR(__xludf.DUMMYFUNCTION("""COMPUTED_VALUE"""),"")</f>
        <v/>
      </c>
      <c r="X744" s="16" t="str">
        <f>IFERROR(__xludf.DUMMYFUNCTION("""COMPUTED_VALUE"""),"")</f>
        <v/>
      </c>
      <c r="AC744" s="16" t="str">
        <f>IFERROR(__xludf.DUMMYFUNCTION("""COMPUTED_VALUE"""),"")</f>
        <v/>
      </c>
    </row>
    <row r="745">
      <c r="A745" s="16" t="s">
        <v>87</v>
      </c>
      <c r="E745" s="16" t="str">
        <f>IFERROR(__xludf.DUMMYFUNCTION("""COMPUTED_VALUE"""),"")</f>
        <v/>
      </c>
      <c r="G745" s="18"/>
      <c r="H745" s="16" t="s">
        <v>87</v>
      </c>
      <c r="I745" s="16" t="s">
        <v>87</v>
      </c>
      <c r="J745" s="19"/>
      <c r="L745" s="16" t="str">
        <f>IFERROR(__xludf.DUMMYFUNCTION("""COMPUTED_VALUE"""),"")</f>
        <v/>
      </c>
      <c r="M745" s="16" t="str">
        <f>IFERROR(__xludf.DUMMYFUNCTION("""COMPUTED_VALUE"""),"")</f>
        <v/>
      </c>
      <c r="U745" s="16" t="s">
        <v>87</v>
      </c>
      <c r="V745" s="16" t="str">
        <f>IFERROR(__xludf.DUMMYFUNCTION("""COMPUTED_VALUE"""),"")</f>
        <v/>
      </c>
      <c r="W745" s="16" t="str">
        <f>IFERROR(__xludf.DUMMYFUNCTION("""COMPUTED_VALUE"""),"")</f>
        <v/>
      </c>
      <c r="X745" s="16" t="str">
        <f>IFERROR(__xludf.DUMMYFUNCTION("""COMPUTED_VALUE"""),"")</f>
        <v/>
      </c>
      <c r="AC745" s="16" t="str">
        <f>IFERROR(__xludf.DUMMYFUNCTION("""COMPUTED_VALUE"""),"")</f>
        <v/>
      </c>
    </row>
    <row r="746">
      <c r="A746" s="16" t="s">
        <v>87</v>
      </c>
      <c r="E746" s="16" t="str">
        <f>IFERROR(__xludf.DUMMYFUNCTION("""COMPUTED_VALUE"""),"")</f>
        <v/>
      </c>
      <c r="G746" s="18"/>
      <c r="H746" s="16" t="s">
        <v>87</v>
      </c>
      <c r="I746" s="16" t="s">
        <v>87</v>
      </c>
      <c r="J746" s="19"/>
      <c r="L746" s="16" t="str">
        <f>IFERROR(__xludf.DUMMYFUNCTION("""COMPUTED_VALUE"""),"")</f>
        <v/>
      </c>
      <c r="M746" s="16" t="str">
        <f>IFERROR(__xludf.DUMMYFUNCTION("""COMPUTED_VALUE"""),"")</f>
        <v/>
      </c>
      <c r="U746" s="16" t="s">
        <v>87</v>
      </c>
      <c r="V746" s="16" t="str">
        <f>IFERROR(__xludf.DUMMYFUNCTION("""COMPUTED_VALUE"""),"")</f>
        <v/>
      </c>
      <c r="W746" s="16" t="str">
        <f>IFERROR(__xludf.DUMMYFUNCTION("""COMPUTED_VALUE"""),"")</f>
        <v/>
      </c>
      <c r="X746" s="16" t="str">
        <f>IFERROR(__xludf.DUMMYFUNCTION("""COMPUTED_VALUE"""),"")</f>
        <v/>
      </c>
      <c r="AC746" s="16" t="str">
        <f>IFERROR(__xludf.DUMMYFUNCTION("""COMPUTED_VALUE"""),"")</f>
        <v/>
      </c>
    </row>
    <row r="747">
      <c r="A747" s="16" t="s">
        <v>87</v>
      </c>
      <c r="E747" s="16" t="str">
        <f>IFERROR(__xludf.DUMMYFUNCTION("""COMPUTED_VALUE"""),"")</f>
        <v/>
      </c>
      <c r="G747" s="18"/>
      <c r="H747" s="16" t="s">
        <v>87</v>
      </c>
      <c r="I747" s="16" t="s">
        <v>87</v>
      </c>
      <c r="J747" s="19"/>
      <c r="L747" s="16" t="str">
        <f>IFERROR(__xludf.DUMMYFUNCTION("""COMPUTED_VALUE"""),"")</f>
        <v/>
      </c>
      <c r="M747" s="16" t="str">
        <f>IFERROR(__xludf.DUMMYFUNCTION("""COMPUTED_VALUE"""),"")</f>
        <v/>
      </c>
      <c r="U747" s="16" t="s">
        <v>87</v>
      </c>
      <c r="V747" s="16" t="str">
        <f>IFERROR(__xludf.DUMMYFUNCTION("""COMPUTED_VALUE"""),"")</f>
        <v/>
      </c>
      <c r="W747" s="16" t="str">
        <f>IFERROR(__xludf.DUMMYFUNCTION("""COMPUTED_VALUE"""),"")</f>
        <v/>
      </c>
      <c r="X747" s="16" t="str">
        <f>IFERROR(__xludf.DUMMYFUNCTION("""COMPUTED_VALUE"""),"")</f>
        <v/>
      </c>
      <c r="AC747" s="16" t="str">
        <f>IFERROR(__xludf.DUMMYFUNCTION("""COMPUTED_VALUE"""),"")</f>
        <v/>
      </c>
    </row>
    <row r="748">
      <c r="A748" s="16" t="s">
        <v>87</v>
      </c>
      <c r="E748" s="16" t="str">
        <f>IFERROR(__xludf.DUMMYFUNCTION("""COMPUTED_VALUE"""),"")</f>
        <v/>
      </c>
      <c r="G748" s="18"/>
      <c r="H748" s="16" t="s">
        <v>87</v>
      </c>
      <c r="I748" s="16" t="s">
        <v>87</v>
      </c>
      <c r="J748" s="19"/>
      <c r="L748" s="16" t="str">
        <f>IFERROR(__xludf.DUMMYFUNCTION("""COMPUTED_VALUE"""),"")</f>
        <v/>
      </c>
      <c r="M748" s="16" t="str">
        <f>IFERROR(__xludf.DUMMYFUNCTION("""COMPUTED_VALUE"""),"")</f>
        <v/>
      </c>
      <c r="U748" s="16" t="s">
        <v>87</v>
      </c>
      <c r="V748" s="16" t="str">
        <f>IFERROR(__xludf.DUMMYFUNCTION("""COMPUTED_VALUE"""),"")</f>
        <v/>
      </c>
      <c r="W748" s="16" t="str">
        <f>IFERROR(__xludf.DUMMYFUNCTION("""COMPUTED_VALUE"""),"")</f>
        <v/>
      </c>
      <c r="X748" s="16" t="str">
        <f>IFERROR(__xludf.DUMMYFUNCTION("""COMPUTED_VALUE"""),"")</f>
        <v/>
      </c>
      <c r="AC748" s="16" t="str">
        <f>IFERROR(__xludf.DUMMYFUNCTION("""COMPUTED_VALUE"""),"")</f>
        <v/>
      </c>
    </row>
    <row r="749">
      <c r="A749" s="16" t="s">
        <v>87</v>
      </c>
      <c r="E749" s="16" t="str">
        <f>IFERROR(__xludf.DUMMYFUNCTION("""COMPUTED_VALUE"""),"")</f>
        <v/>
      </c>
      <c r="G749" s="18"/>
      <c r="H749" s="16" t="s">
        <v>87</v>
      </c>
      <c r="I749" s="16" t="s">
        <v>87</v>
      </c>
      <c r="J749" s="19"/>
      <c r="L749" s="16" t="str">
        <f>IFERROR(__xludf.DUMMYFUNCTION("""COMPUTED_VALUE"""),"")</f>
        <v/>
      </c>
      <c r="M749" s="16" t="str">
        <f>IFERROR(__xludf.DUMMYFUNCTION("""COMPUTED_VALUE"""),"")</f>
        <v/>
      </c>
      <c r="U749" s="16" t="s">
        <v>87</v>
      </c>
      <c r="V749" s="16" t="str">
        <f>IFERROR(__xludf.DUMMYFUNCTION("""COMPUTED_VALUE"""),"")</f>
        <v/>
      </c>
      <c r="W749" s="16" t="str">
        <f>IFERROR(__xludf.DUMMYFUNCTION("""COMPUTED_VALUE"""),"")</f>
        <v/>
      </c>
      <c r="X749" s="16" t="str">
        <f>IFERROR(__xludf.DUMMYFUNCTION("""COMPUTED_VALUE"""),"")</f>
        <v/>
      </c>
      <c r="AC749" s="16" t="str">
        <f>IFERROR(__xludf.DUMMYFUNCTION("""COMPUTED_VALUE"""),"")</f>
        <v/>
      </c>
    </row>
    <row r="750">
      <c r="A750" s="16" t="s">
        <v>87</v>
      </c>
      <c r="E750" s="16" t="str">
        <f>IFERROR(__xludf.DUMMYFUNCTION("""COMPUTED_VALUE"""),"")</f>
        <v/>
      </c>
      <c r="G750" s="18"/>
      <c r="H750" s="16" t="s">
        <v>87</v>
      </c>
      <c r="I750" s="16" t="s">
        <v>87</v>
      </c>
      <c r="J750" s="19"/>
      <c r="L750" s="16" t="str">
        <f>IFERROR(__xludf.DUMMYFUNCTION("""COMPUTED_VALUE"""),"")</f>
        <v/>
      </c>
      <c r="M750" s="16" t="str">
        <f>IFERROR(__xludf.DUMMYFUNCTION("""COMPUTED_VALUE"""),"")</f>
        <v/>
      </c>
      <c r="U750" s="16" t="s">
        <v>87</v>
      </c>
      <c r="V750" s="16" t="str">
        <f>IFERROR(__xludf.DUMMYFUNCTION("""COMPUTED_VALUE"""),"")</f>
        <v/>
      </c>
      <c r="W750" s="16" t="str">
        <f>IFERROR(__xludf.DUMMYFUNCTION("""COMPUTED_VALUE"""),"")</f>
        <v/>
      </c>
      <c r="X750" s="16" t="str">
        <f>IFERROR(__xludf.DUMMYFUNCTION("""COMPUTED_VALUE"""),"")</f>
        <v/>
      </c>
      <c r="AC750" s="16" t="str">
        <f>IFERROR(__xludf.DUMMYFUNCTION("""COMPUTED_VALUE"""),"")</f>
        <v/>
      </c>
    </row>
    <row r="751">
      <c r="A751" s="16" t="s">
        <v>87</v>
      </c>
      <c r="E751" s="16" t="str">
        <f>IFERROR(__xludf.DUMMYFUNCTION("""COMPUTED_VALUE"""),"")</f>
        <v/>
      </c>
      <c r="G751" s="18"/>
      <c r="H751" s="16" t="s">
        <v>87</v>
      </c>
      <c r="I751" s="16" t="s">
        <v>87</v>
      </c>
      <c r="J751" s="19"/>
      <c r="L751" s="16" t="str">
        <f>IFERROR(__xludf.DUMMYFUNCTION("""COMPUTED_VALUE"""),"")</f>
        <v/>
      </c>
      <c r="M751" s="16" t="str">
        <f>IFERROR(__xludf.DUMMYFUNCTION("""COMPUTED_VALUE"""),"")</f>
        <v/>
      </c>
      <c r="U751" s="16" t="s">
        <v>87</v>
      </c>
      <c r="V751" s="16" t="str">
        <f>IFERROR(__xludf.DUMMYFUNCTION("""COMPUTED_VALUE"""),"")</f>
        <v/>
      </c>
      <c r="W751" s="16" t="str">
        <f>IFERROR(__xludf.DUMMYFUNCTION("""COMPUTED_VALUE"""),"")</f>
        <v/>
      </c>
      <c r="X751" s="16" t="str">
        <f>IFERROR(__xludf.DUMMYFUNCTION("""COMPUTED_VALUE"""),"")</f>
        <v/>
      </c>
      <c r="AC751" s="16" t="str">
        <f>IFERROR(__xludf.DUMMYFUNCTION("""COMPUTED_VALUE"""),"")</f>
        <v/>
      </c>
    </row>
    <row r="752">
      <c r="A752" s="16" t="s">
        <v>87</v>
      </c>
      <c r="E752" s="16" t="str">
        <f>IFERROR(__xludf.DUMMYFUNCTION("""COMPUTED_VALUE"""),"")</f>
        <v/>
      </c>
      <c r="G752" s="18"/>
      <c r="H752" s="16" t="s">
        <v>87</v>
      </c>
      <c r="I752" s="16" t="s">
        <v>87</v>
      </c>
      <c r="J752" s="19"/>
      <c r="L752" s="16" t="str">
        <f>IFERROR(__xludf.DUMMYFUNCTION("""COMPUTED_VALUE"""),"")</f>
        <v/>
      </c>
      <c r="M752" s="16" t="str">
        <f>IFERROR(__xludf.DUMMYFUNCTION("""COMPUTED_VALUE"""),"")</f>
        <v/>
      </c>
      <c r="U752" s="16" t="s">
        <v>87</v>
      </c>
      <c r="V752" s="16" t="str">
        <f>IFERROR(__xludf.DUMMYFUNCTION("""COMPUTED_VALUE"""),"")</f>
        <v/>
      </c>
      <c r="W752" s="16" t="str">
        <f>IFERROR(__xludf.DUMMYFUNCTION("""COMPUTED_VALUE"""),"")</f>
        <v/>
      </c>
      <c r="X752" s="16" t="str">
        <f>IFERROR(__xludf.DUMMYFUNCTION("""COMPUTED_VALUE"""),"")</f>
        <v/>
      </c>
      <c r="AC752" s="16" t="str">
        <f>IFERROR(__xludf.DUMMYFUNCTION("""COMPUTED_VALUE"""),"")</f>
        <v/>
      </c>
    </row>
    <row r="753">
      <c r="A753" s="16" t="s">
        <v>87</v>
      </c>
      <c r="E753" s="16" t="str">
        <f>IFERROR(__xludf.DUMMYFUNCTION("""COMPUTED_VALUE"""),"")</f>
        <v/>
      </c>
      <c r="G753" s="18"/>
      <c r="H753" s="16" t="s">
        <v>87</v>
      </c>
      <c r="I753" s="16" t="s">
        <v>87</v>
      </c>
      <c r="J753" s="19"/>
      <c r="L753" s="16" t="str">
        <f>IFERROR(__xludf.DUMMYFUNCTION("""COMPUTED_VALUE"""),"")</f>
        <v/>
      </c>
      <c r="M753" s="16" t="str">
        <f>IFERROR(__xludf.DUMMYFUNCTION("""COMPUTED_VALUE"""),"")</f>
        <v/>
      </c>
      <c r="U753" s="16" t="s">
        <v>87</v>
      </c>
      <c r="V753" s="16" t="str">
        <f>IFERROR(__xludf.DUMMYFUNCTION("""COMPUTED_VALUE"""),"")</f>
        <v/>
      </c>
      <c r="W753" s="16" t="str">
        <f>IFERROR(__xludf.DUMMYFUNCTION("""COMPUTED_VALUE"""),"")</f>
        <v/>
      </c>
      <c r="X753" s="16" t="str">
        <f>IFERROR(__xludf.DUMMYFUNCTION("""COMPUTED_VALUE"""),"")</f>
        <v/>
      </c>
      <c r="AC753" s="16" t="str">
        <f>IFERROR(__xludf.DUMMYFUNCTION("""COMPUTED_VALUE"""),"")</f>
        <v/>
      </c>
    </row>
    <row r="754">
      <c r="A754" s="16" t="s">
        <v>87</v>
      </c>
      <c r="E754" s="16" t="str">
        <f>IFERROR(__xludf.DUMMYFUNCTION("""COMPUTED_VALUE"""),"")</f>
        <v/>
      </c>
      <c r="G754" s="18"/>
      <c r="H754" s="16" t="s">
        <v>87</v>
      </c>
      <c r="I754" s="16" t="s">
        <v>87</v>
      </c>
      <c r="J754" s="19"/>
      <c r="L754" s="16" t="str">
        <f>IFERROR(__xludf.DUMMYFUNCTION("""COMPUTED_VALUE"""),"")</f>
        <v/>
      </c>
      <c r="M754" s="16" t="str">
        <f>IFERROR(__xludf.DUMMYFUNCTION("""COMPUTED_VALUE"""),"")</f>
        <v/>
      </c>
      <c r="U754" s="16" t="s">
        <v>87</v>
      </c>
      <c r="V754" s="16" t="str">
        <f>IFERROR(__xludf.DUMMYFUNCTION("""COMPUTED_VALUE"""),"")</f>
        <v/>
      </c>
      <c r="W754" s="16" t="str">
        <f>IFERROR(__xludf.DUMMYFUNCTION("""COMPUTED_VALUE"""),"")</f>
        <v/>
      </c>
      <c r="X754" s="16" t="str">
        <f>IFERROR(__xludf.DUMMYFUNCTION("""COMPUTED_VALUE"""),"")</f>
        <v/>
      </c>
      <c r="AC754" s="16" t="str">
        <f>IFERROR(__xludf.DUMMYFUNCTION("""COMPUTED_VALUE"""),"")</f>
        <v/>
      </c>
    </row>
    <row r="755">
      <c r="A755" s="16" t="s">
        <v>87</v>
      </c>
      <c r="E755" s="16" t="str">
        <f>IFERROR(__xludf.DUMMYFUNCTION("""COMPUTED_VALUE"""),"")</f>
        <v/>
      </c>
      <c r="G755" s="18"/>
      <c r="H755" s="16" t="s">
        <v>87</v>
      </c>
      <c r="I755" s="16" t="s">
        <v>87</v>
      </c>
      <c r="J755" s="19"/>
      <c r="L755" s="16" t="str">
        <f>IFERROR(__xludf.DUMMYFUNCTION("""COMPUTED_VALUE"""),"")</f>
        <v/>
      </c>
      <c r="M755" s="16" t="str">
        <f>IFERROR(__xludf.DUMMYFUNCTION("""COMPUTED_VALUE"""),"")</f>
        <v/>
      </c>
      <c r="U755" s="16" t="s">
        <v>87</v>
      </c>
      <c r="V755" s="16" t="str">
        <f>IFERROR(__xludf.DUMMYFUNCTION("""COMPUTED_VALUE"""),"")</f>
        <v/>
      </c>
      <c r="W755" s="16" t="str">
        <f>IFERROR(__xludf.DUMMYFUNCTION("""COMPUTED_VALUE"""),"")</f>
        <v/>
      </c>
      <c r="X755" s="16" t="str">
        <f>IFERROR(__xludf.DUMMYFUNCTION("""COMPUTED_VALUE"""),"")</f>
        <v/>
      </c>
      <c r="AC755" s="16" t="str">
        <f>IFERROR(__xludf.DUMMYFUNCTION("""COMPUTED_VALUE"""),"")</f>
        <v/>
      </c>
    </row>
    <row r="756">
      <c r="A756" s="16" t="s">
        <v>87</v>
      </c>
      <c r="E756" s="16" t="str">
        <f>IFERROR(__xludf.DUMMYFUNCTION("""COMPUTED_VALUE"""),"")</f>
        <v/>
      </c>
      <c r="G756" s="18"/>
      <c r="H756" s="16" t="s">
        <v>87</v>
      </c>
      <c r="I756" s="16" t="s">
        <v>87</v>
      </c>
      <c r="J756" s="19"/>
      <c r="L756" s="16" t="str">
        <f>IFERROR(__xludf.DUMMYFUNCTION("""COMPUTED_VALUE"""),"")</f>
        <v/>
      </c>
      <c r="M756" s="16" t="str">
        <f>IFERROR(__xludf.DUMMYFUNCTION("""COMPUTED_VALUE"""),"")</f>
        <v/>
      </c>
      <c r="U756" s="16" t="s">
        <v>87</v>
      </c>
      <c r="V756" s="16" t="str">
        <f>IFERROR(__xludf.DUMMYFUNCTION("""COMPUTED_VALUE"""),"")</f>
        <v/>
      </c>
      <c r="W756" s="16" t="str">
        <f>IFERROR(__xludf.DUMMYFUNCTION("""COMPUTED_VALUE"""),"")</f>
        <v/>
      </c>
      <c r="X756" s="16" t="str">
        <f>IFERROR(__xludf.DUMMYFUNCTION("""COMPUTED_VALUE"""),"")</f>
        <v/>
      </c>
      <c r="AC756" s="16" t="str">
        <f>IFERROR(__xludf.DUMMYFUNCTION("""COMPUTED_VALUE"""),"")</f>
        <v/>
      </c>
    </row>
    <row r="757">
      <c r="A757" s="16" t="s">
        <v>87</v>
      </c>
      <c r="E757" s="16" t="str">
        <f>IFERROR(__xludf.DUMMYFUNCTION("""COMPUTED_VALUE"""),"")</f>
        <v/>
      </c>
      <c r="G757" s="18"/>
      <c r="H757" s="16" t="s">
        <v>87</v>
      </c>
      <c r="I757" s="16" t="s">
        <v>87</v>
      </c>
      <c r="J757" s="19"/>
      <c r="L757" s="16" t="str">
        <f>IFERROR(__xludf.DUMMYFUNCTION("""COMPUTED_VALUE"""),"")</f>
        <v/>
      </c>
      <c r="M757" s="16" t="str">
        <f>IFERROR(__xludf.DUMMYFUNCTION("""COMPUTED_VALUE"""),"")</f>
        <v/>
      </c>
      <c r="U757" s="16" t="s">
        <v>87</v>
      </c>
      <c r="V757" s="16" t="str">
        <f>IFERROR(__xludf.DUMMYFUNCTION("""COMPUTED_VALUE"""),"")</f>
        <v/>
      </c>
      <c r="W757" s="16" t="str">
        <f>IFERROR(__xludf.DUMMYFUNCTION("""COMPUTED_VALUE"""),"")</f>
        <v/>
      </c>
      <c r="X757" s="16" t="str">
        <f>IFERROR(__xludf.DUMMYFUNCTION("""COMPUTED_VALUE"""),"")</f>
        <v/>
      </c>
      <c r="AC757" s="16" t="str">
        <f>IFERROR(__xludf.DUMMYFUNCTION("""COMPUTED_VALUE"""),"")</f>
        <v/>
      </c>
    </row>
    <row r="758">
      <c r="A758" s="16" t="s">
        <v>87</v>
      </c>
      <c r="E758" s="16" t="str">
        <f>IFERROR(__xludf.DUMMYFUNCTION("""COMPUTED_VALUE"""),"")</f>
        <v/>
      </c>
      <c r="G758" s="18"/>
      <c r="H758" s="16" t="s">
        <v>87</v>
      </c>
      <c r="I758" s="16" t="s">
        <v>87</v>
      </c>
      <c r="J758" s="19"/>
      <c r="L758" s="16" t="str">
        <f>IFERROR(__xludf.DUMMYFUNCTION("""COMPUTED_VALUE"""),"")</f>
        <v/>
      </c>
      <c r="M758" s="16" t="str">
        <f>IFERROR(__xludf.DUMMYFUNCTION("""COMPUTED_VALUE"""),"")</f>
        <v/>
      </c>
      <c r="U758" s="16" t="s">
        <v>87</v>
      </c>
      <c r="V758" s="16" t="str">
        <f>IFERROR(__xludf.DUMMYFUNCTION("""COMPUTED_VALUE"""),"")</f>
        <v/>
      </c>
      <c r="W758" s="16" t="str">
        <f>IFERROR(__xludf.DUMMYFUNCTION("""COMPUTED_VALUE"""),"")</f>
        <v/>
      </c>
      <c r="X758" s="16" t="str">
        <f>IFERROR(__xludf.DUMMYFUNCTION("""COMPUTED_VALUE"""),"")</f>
        <v/>
      </c>
      <c r="AC758" s="16" t="str">
        <f>IFERROR(__xludf.DUMMYFUNCTION("""COMPUTED_VALUE"""),"")</f>
        <v/>
      </c>
    </row>
    <row r="759">
      <c r="A759" s="16" t="s">
        <v>87</v>
      </c>
      <c r="E759" s="16" t="str">
        <f>IFERROR(__xludf.DUMMYFUNCTION("""COMPUTED_VALUE"""),"")</f>
        <v/>
      </c>
      <c r="G759" s="18"/>
      <c r="H759" s="16" t="s">
        <v>87</v>
      </c>
      <c r="I759" s="16" t="s">
        <v>87</v>
      </c>
      <c r="J759" s="19"/>
      <c r="L759" s="16" t="str">
        <f>IFERROR(__xludf.DUMMYFUNCTION("""COMPUTED_VALUE"""),"")</f>
        <v/>
      </c>
      <c r="M759" s="16" t="str">
        <f>IFERROR(__xludf.DUMMYFUNCTION("""COMPUTED_VALUE"""),"")</f>
        <v/>
      </c>
      <c r="U759" s="16" t="s">
        <v>87</v>
      </c>
      <c r="V759" s="16" t="str">
        <f>IFERROR(__xludf.DUMMYFUNCTION("""COMPUTED_VALUE"""),"")</f>
        <v/>
      </c>
      <c r="W759" s="16" t="str">
        <f>IFERROR(__xludf.DUMMYFUNCTION("""COMPUTED_VALUE"""),"")</f>
        <v/>
      </c>
      <c r="X759" s="16" t="str">
        <f>IFERROR(__xludf.DUMMYFUNCTION("""COMPUTED_VALUE"""),"")</f>
        <v/>
      </c>
      <c r="AC759" s="16" t="str">
        <f>IFERROR(__xludf.DUMMYFUNCTION("""COMPUTED_VALUE"""),"")</f>
        <v/>
      </c>
    </row>
    <row r="760">
      <c r="A760" s="16" t="s">
        <v>87</v>
      </c>
      <c r="E760" s="16" t="str">
        <f>IFERROR(__xludf.DUMMYFUNCTION("""COMPUTED_VALUE"""),"")</f>
        <v/>
      </c>
      <c r="G760" s="18"/>
      <c r="H760" s="16" t="s">
        <v>87</v>
      </c>
      <c r="I760" s="16" t="s">
        <v>87</v>
      </c>
      <c r="J760" s="19"/>
      <c r="L760" s="16" t="str">
        <f>IFERROR(__xludf.DUMMYFUNCTION("""COMPUTED_VALUE"""),"")</f>
        <v/>
      </c>
      <c r="M760" s="16" t="str">
        <f>IFERROR(__xludf.DUMMYFUNCTION("""COMPUTED_VALUE"""),"")</f>
        <v/>
      </c>
      <c r="U760" s="16" t="s">
        <v>87</v>
      </c>
      <c r="V760" s="16" t="str">
        <f>IFERROR(__xludf.DUMMYFUNCTION("""COMPUTED_VALUE"""),"")</f>
        <v/>
      </c>
      <c r="W760" s="16" t="str">
        <f>IFERROR(__xludf.DUMMYFUNCTION("""COMPUTED_VALUE"""),"")</f>
        <v/>
      </c>
      <c r="X760" s="16" t="str">
        <f>IFERROR(__xludf.DUMMYFUNCTION("""COMPUTED_VALUE"""),"")</f>
        <v/>
      </c>
      <c r="AC760" s="16" t="str">
        <f>IFERROR(__xludf.DUMMYFUNCTION("""COMPUTED_VALUE"""),"")</f>
        <v/>
      </c>
    </row>
    <row r="761">
      <c r="A761" s="16" t="s">
        <v>87</v>
      </c>
      <c r="E761" s="16" t="str">
        <f>IFERROR(__xludf.DUMMYFUNCTION("""COMPUTED_VALUE"""),"")</f>
        <v/>
      </c>
      <c r="G761" s="18"/>
      <c r="H761" s="16" t="s">
        <v>87</v>
      </c>
      <c r="I761" s="16" t="s">
        <v>87</v>
      </c>
      <c r="J761" s="19"/>
      <c r="L761" s="16" t="str">
        <f>IFERROR(__xludf.DUMMYFUNCTION("""COMPUTED_VALUE"""),"")</f>
        <v/>
      </c>
      <c r="M761" s="16" t="str">
        <f>IFERROR(__xludf.DUMMYFUNCTION("""COMPUTED_VALUE"""),"")</f>
        <v/>
      </c>
      <c r="U761" s="16" t="s">
        <v>87</v>
      </c>
      <c r="V761" s="16" t="str">
        <f>IFERROR(__xludf.DUMMYFUNCTION("""COMPUTED_VALUE"""),"")</f>
        <v/>
      </c>
      <c r="W761" s="16" t="str">
        <f>IFERROR(__xludf.DUMMYFUNCTION("""COMPUTED_VALUE"""),"")</f>
        <v/>
      </c>
      <c r="X761" s="16" t="str">
        <f>IFERROR(__xludf.DUMMYFUNCTION("""COMPUTED_VALUE"""),"")</f>
        <v/>
      </c>
      <c r="AC761" s="16" t="str">
        <f>IFERROR(__xludf.DUMMYFUNCTION("""COMPUTED_VALUE"""),"")</f>
        <v/>
      </c>
    </row>
    <row r="762">
      <c r="A762" s="16" t="s">
        <v>87</v>
      </c>
      <c r="E762" s="16" t="str">
        <f>IFERROR(__xludf.DUMMYFUNCTION("""COMPUTED_VALUE"""),"")</f>
        <v/>
      </c>
      <c r="G762" s="18"/>
      <c r="H762" s="16" t="s">
        <v>87</v>
      </c>
      <c r="I762" s="16" t="s">
        <v>87</v>
      </c>
      <c r="J762" s="19"/>
      <c r="L762" s="16" t="str">
        <f>IFERROR(__xludf.DUMMYFUNCTION("""COMPUTED_VALUE"""),"")</f>
        <v/>
      </c>
      <c r="M762" s="16" t="str">
        <f>IFERROR(__xludf.DUMMYFUNCTION("""COMPUTED_VALUE"""),"")</f>
        <v/>
      </c>
      <c r="U762" s="16" t="s">
        <v>87</v>
      </c>
      <c r="V762" s="16" t="str">
        <f>IFERROR(__xludf.DUMMYFUNCTION("""COMPUTED_VALUE"""),"")</f>
        <v/>
      </c>
      <c r="W762" s="16" t="str">
        <f>IFERROR(__xludf.DUMMYFUNCTION("""COMPUTED_VALUE"""),"")</f>
        <v/>
      </c>
      <c r="X762" s="16" t="str">
        <f>IFERROR(__xludf.DUMMYFUNCTION("""COMPUTED_VALUE"""),"")</f>
        <v/>
      </c>
      <c r="AC762" s="16" t="str">
        <f>IFERROR(__xludf.DUMMYFUNCTION("""COMPUTED_VALUE"""),"")</f>
        <v/>
      </c>
    </row>
    <row r="763">
      <c r="A763" s="16" t="s">
        <v>87</v>
      </c>
      <c r="E763" s="16" t="str">
        <f>IFERROR(__xludf.DUMMYFUNCTION("""COMPUTED_VALUE"""),"")</f>
        <v/>
      </c>
      <c r="G763" s="18"/>
      <c r="H763" s="16" t="s">
        <v>87</v>
      </c>
      <c r="I763" s="16" t="s">
        <v>87</v>
      </c>
      <c r="J763" s="19"/>
      <c r="L763" s="16" t="str">
        <f>IFERROR(__xludf.DUMMYFUNCTION("""COMPUTED_VALUE"""),"")</f>
        <v/>
      </c>
      <c r="M763" s="16" t="str">
        <f>IFERROR(__xludf.DUMMYFUNCTION("""COMPUTED_VALUE"""),"")</f>
        <v/>
      </c>
      <c r="U763" s="16" t="s">
        <v>87</v>
      </c>
      <c r="V763" s="16" t="str">
        <f>IFERROR(__xludf.DUMMYFUNCTION("""COMPUTED_VALUE"""),"")</f>
        <v/>
      </c>
      <c r="W763" s="16" t="str">
        <f>IFERROR(__xludf.DUMMYFUNCTION("""COMPUTED_VALUE"""),"")</f>
        <v/>
      </c>
      <c r="X763" s="16" t="str">
        <f>IFERROR(__xludf.DUMMYFUNCTION("""COMPUTED_VALUE"""),"")</f>
        <v/>
      </c>
      <c r="AC763" s="16" t="str">
        <f>IFERROR(__xludf.DUMMYFUNCTION("""COMPUTED_VALUE"""),"")</f>
        <v/>
      </c>
    </row>
    <row r="764">
      <c r="A764" s="16" t="s">
        <v>87</v>
      </c>
      <c r="E764" s="16" t="str">
        <f>IFERROR(__xludf.DUMMYFUNCTION("""COMPUTED_VALUE"""),"")</f>
        <v/>
      </c>
      <c r="G764" s="18"/>
      <c r="H764" s="16" t="s">
        <v>87</v>
      </c>
      <c r="I764" s="16" t="s">
        <v>87</v>
      </c>
      <c r="J764" s="19"/>
      <c r="L764" s="16" t="str">
        <f>IFERROR(__xludf.DUMMYFUNCTION("""COMPUTED_VALUE"""),"")</f>
        <v/>
      </c>
      <c r="M764" s="16" t="str">
        <f>IFERROR(__xludf.DUMMYFUNCTION("""COMPUTED_VALUE"""),"")</f>
        <v/>
      </c>
      <c r="U764" s="16" t="s">
        <v>87</v>
      </c>
      <c r="V764" s="16" t="str">
        <f>IFERROR(__xludf.DUMMYFUNCTION("""COMPUTED_VALUE"""),"")</f>
        <v/>
      </c>
      <c r="W764" s="16" t="str">
        <f>IFERROR(__xludf.DUMMYFUNCTION("""COMPUTED_VALUE"""),"")</f>
        <v/>
      </c>
      <c r="X764" s="16" t="str">
        <f>IFERROR(__xludf.DUMMYFUNCTION("""COMPUTED_VALUE"""),"")</f>
        <v/>
      </c>
      <c r="AC764" s="16" t="str">
        <f>IFERROR(__xludf.DUMMYFUNCTION("""COMPUTED_VALUE"""),"")</f>
        <v/>
      </c>
    </row>
    <row r="765">
      <c r="A765" s="16" t="s">
        <v>87</v>
      </c>
      <c r="E765" s="16" t="str">
        <f>IFERROR(__xludf.DUMMYFUNCTION("""COMPUTED_VALUE"""),"")</f>
        <v/>
      </c>
      <c r="G765" s="18"/>
      <c r="H765" s="16" t="s">
        <v>87</v>
      </c>
      <c r="I765" s="16" t="s">
        <v>87</v>
      </c>
      <c r="J765" s="19"/>
      <c r="L765" s="16" t="str">
        <f>IFERROR(__xludf.DUMMYFUNCTION("""COMPUTED_VALUE"""),"")</f>
        <v/>
      </c>
      <c r="M765" s="16" t="str">
        <f>IFERROR(__xludf.DUMMYFUNCTION("""COMPUTED_VALUE"""),"")</f>
        <v/>
      </c>
      <c r="U765" s="16" t="s">
        <v>87</v>
      </c>
      <c r="V765" s="16" t="str">
        <f>IFERROR(__xludf.DUMMYFUNCTION("""COMPUTED_VALUE"""),"")</f>
        <v/>
      </c>
      <c r="W765" s="16" t="str">
        <f>IFERROR(__xludf.DUMMYFUNCTION("""COMPUTED_VALUE"""),"")</f>
        <v/>
      </c>
      <c r="X765" s="16" t="str">
        <f>IFERROR(__xludf.DUMMYFUNCTION("""COMPUTED_VALUE"""),"")</f>
        <v/>
      </c>
      <c r="AC765" s="16" t="str">
        <f>IFERROR(__xludf.DUMMYFUNCTION("""COMPUTED_VALUE"""),"")</f>
        <v/>
      </c>
    </row>
    <row r="766">
      <c r="A766" s="16" t="s">
        <v>87</v>
      </c>
      <c r="E766" s="16" t="str">
        <f>IFERROR(__xludf.DUMMYFUNCTION("""COMPUTED_VALUE"""),"")</f>
        <v/>
      </c>
      <c r="G766" s="18"/>
      <c r="H766" s="16" t="s">
        <v>87</v>
      </c>
      <c r="I766" s="16" t="s">
        <v>87</v>
      </c>
      <c r="J766" s="19"/>
      <c r="L766" s="16" t="str">
        <f>IFERROR(__xludf.DUMMYFUNCTION("""COMPUTED_VALUE"""),"")</f>
        <v/>
      </c>
      <c r="M766" s="16" t="str">
        <f>IFERROR(__xludf.DUMMYFUNCTION("""COMPUTED_VALUE"""),"")</f>
        <v/>
      </c>
      <c r="U766" s="16" t="s">
        <v>87</v>
      </c>
      <c r="V766" s="16" t="str">
        <f>IFERROR(__xludf.DUMMYFUNCTION("""COMPUTED_VALUE"""),"")</f>
        <v/>
      </c>
      <c r="W766" s="16" t="str">
        <f>IFERROR(__xludf.DUMMYFUNCTION("""COMPUTED_VALUE"""),"")</f>
        <v/>
      </c>
      <c r="X766" s="16" t="str">
        <f>IFERROR(__xludf.DUMMYFUNCTION("""COMPUTED_VALUE"""),"")</f>
        <v/>
      </c>
      <c r="AC766" s="16" t="str">
        <f>IFERROR(__xludf.DUMMYFUNCTION("""COMPUTED_VALUE"""),"")</f>
        <v/>
      </c>
    </row>
    <row r="767">
      <c r="A767" s="16" t="s">
        <v>87</v>
      </c>
      <c r="E767" s="16" t="str">
        <f>IFERROR(__xludf.DUMMYFUNCTION("""COMPUTED_VALUE"""),"")</f>
        <v/>
      </c>
      <c r="G767" s="18"/>
      <c r="H767" s="16" t="s">
        <v>87</v>
      </c>
      <c r="I767" s="16" t="s">
        <v>87</v>
      </c>
      <c r="J767" s="19"/>
      <c r="L767" s="16" t="str">
        <f>IFERROR(__xludf.DUMMYFUNCTION("""COMPUTED_VALUE"""),"")</f>
        <v/>
      </c>
      <c r="M767" s="16" t="str">
        <f>IFERROR(__xludf.DUMMYFUNCTION("""COMPUTED_VALUE"""),"")</f>
        <v/>
      </c>
      <c r="U767" s="16" t="s">
        <v>87</v>
      </c>
      <c r="V767" s="16" t="str">
        <f>IFERROR(__xludf.DUMMYFUNCTION("""COMPUTED_VALUE"""),"")</f>
        <v/>
      </c>
      <c r="W767" s="16" t="str">
        <f>IFERROR(__xludf.DUMMYFUNCTION("""COMPUTED_VALUE"""),"")</f>
        <v/>
      </c>
      <c r="X767" s="16" t="str">
        <f>IFERROR(__xludf.DUMMYFUNCTION("""COMPUTED_VALUE"""),"")</f>
        <v/>
      </c>
      <c r="AC767" s="16" t="str">
        <f>IFERROR(__xludf.DUMMYFUNCTION("""COMPUTED_VALUE"""),"")</f>
        <v/>
      </c>
    </row>
    <row r="768">
      <c r="A768" s="16" t="s">
        <v>87</v>
      </c>
      <c r="E768" s="16" t="str">
        <f>IFERROR(__xludf.DUMMYFUNCTION("""COMPUTED_VALUE"""),"")</f>
        <v/>
      </c>
      <c r="G768" s="18"/>
      <c r="H768" s="16" t="s">
        <v>87</v>
      </c>
      <c r="I768" s="16" t="s">
        <v>87</v>
      </c>
      <c r="J768" s="19"/>
      <c r="L768" s="16" t="str">
        <f>IFERROR(__xludf.DUMMYFUNCTION("""COMPUTED_VALUE"""),"")</f>
        <v/>
      </c>
      <c r="M768" s="16" t="str">
        <f>IFERROR(__xludf.DUMMYFUNCTION("""COMPUTED_VALUE"""),"")</f>
        <v/>
      </c>
      <c r="U768" s="16" t="s">
        <v>87</v>
      </c>
      <c r="V768" s="16" t="str">
        <f>IFERROR(__xludf.DUMMYFUNCTION("""COMPUTED_VALUE"""),"")</f>
        <v/>
      </c>
      <c r="W768" s="16" t="str">
        <f>IFERROR(__xludf.DUMMYFUNCTION("""COMPUTED_VALUE"""),"")</f>
        <v/>
      </c>
      <c r="X768" s="16" t="str">
        <f>IFERROR(__xludf.DUMMYFUNCTION("""COMPUTED_VALUE"""),"")</f>
        <v/>
      </c>
      <c r="AC768" s="16" t="str">
        <f>IFERROR(__xludf.DUMMYFUNCTION("""COMPUTED_VALUE"""),"")</f>
        <v/>
      </c>
    </row>
    <row r="769">
      <c r="A769" s="16" t="s">
        <v>87</v>
      </c>
      <c r="E769" s="16" t="str">
        <f>IFERROR(__xludf.DUMMYFUNCTION("""COMPUTED_VALUE"""),"")</f>
        <v/>
      </c>
      <c r="G769" s="18"/>
      <c r="H769" s="16" t="s">
        <v>87</v>
      </c>
      <c r="I769" s="16" t="s">
        <v>87</v>
      </c>
      <c r="J769" s="19"/>
      <c r="L769" s="16" t="str">
        <f>IFERROR(__xludf.DUMMYFUNCTION("""COMPUTED_VALUE"""),"")</f>
        <v/>
      </c>
      <c r="M769" s="16" t="str">
        <f>IFERROR(__xludf.DUMMYFUNCTION("""COMPUTED_VALUE"""),"")</f>
        <v/>
      </c>
      <c r="U769" s="16" t="s">
        <v>87</v>
      </c>
      <c r="V769" s="16" t="str">
        <f>IFERROR(__xludf.DUMMYFUNCTION("""COMPUTED_VALUE"""),"")</f>
        <v/>
      </c>
      <c r="W769" s="16" t="str">
        <f>IFERROR(__xludf.DUMMYFUNCTION("""COMPUTED_VALUE"""),"")</f>
        <v/>
      </c>
      <c r="X769" s="16" t="str">
        <f>IFERROR(__xludf.DUMMYFUNCTION("""COMPUTED_VALUE"""),"")</f>
        <v/>
      </c>
      <c r="AC769" s="16" t="str">
        <f>IFERROR(__xludf.DUMMYFUNCTION("""COMPUTED_VALUE"""),"")</f>
        <v/>
      </c>
    </row>
    <row r="770">
      <c r="A770" s="16" t="s">
        <v>87</v>
      </c>
      <c r="E770" s="16" t="str">
        <f>IFERROR(__xludf.DUMMYFUNCTION("""COMPUTED_VALUE"""),"")</f>
        <v/>
      </c>
      <c r="G770" s="18"/>
      <c r="H770" s="16" t="s">
        <v>87</v>
      </c>
      <c r="I770" s="16" t="s">
        <v>87</v>
      </c>
      <c r="J770" s="19"/>
      <c r="L770" s="16" t="str">
        <f>IFERROR(__xludf.DUMMYFUNCTION("""COMPUTED_VALUE"""),"")</f>
        <v/>
      </c>
      <c r="M770" s="16" t="str">
        <f>IFERROR(__xludf.DUMMYFUNCTION("""COMPUTED_VALUE"""),"")</f>
        <v/>
      </c>
      <c r="U770" s="16" t="s">
        <v>87</v>
      </c>
      <c r="V770" s="16" t="str">
        <f>IFERROR(__xludf.DUMMYFUNCTION("""COMPUTED_VALUE"""),"")</f>
        <v/>
      </c>
      <c r="W770" s="16" t="str">
        <f>IFERROR(__xludf.DUMMYFUNCTION("""COMPUTED_VALUE"""),"")</f>
        <v/>
      </c>
      <c r="X770" s="16" t="str">
        <f>IFERROR(__xludf.DUMMYFUNCTION("""COMPUTED_VALUE"""),"")</f>
        <v/>
      </c>
      <c r="AC770" s="16" t="str">
        <f>IFERROR(__xludf.DUMMYFUNCTION("""COMPUTED_VALUE"""),"")</f>
        <v/>
      </c>
    </row>
    <row r="771">
      <c r="A771" s="16" t="s">
        <v>87</v>
      </c>
      <c r="E771" s="16" t="str">
        <f>IFERROR(__xludf.DUMMYFUNCTION("""COMPUTED_VALUE"""),"")</f>
        <v/>
      </c>
      <c r="G771" s="18"/>
      <c r="H771" s="16" t="s">
        <v>87</v>
      </c>
      <c r="I771" s="16" t="s">
        <v>87</v>
      </c>
      <c r="J771" s="19"/>
      <c r="L771" s="16" t="str">
        <f>IFERROR(__xludf.DUMMYFUNCTION("""COMPUTED_VALUE"""),"")</f>
        <v/>
      </c>
      <c r="M771" s="16" t="str">
        <f>IFERROR(__xludf.DUMMYFUNCTION("""COMPUTED_VALUE"""),"")</f>
        <v/>
      </c>
      <c r="U771" s="16" t="s">
        <v>87</v>
      </c>
      <c r="V771" s="16" t="str">
        <f>IFERROR(__xludf.DUMMYFUNCTION("""COMPUTED_VALUE"""),"")</f>
        <v/>
      </c>
      <c r="W771" s="16" t="str">
        <f>IFERROR(__xludf.DUMMYFUNCTION("""COMPUTED_VALUE"""),"")</f>
        <v/>
      </c>
      <c r="X771" s="16" t="str">
        <f>IFERROR(__xludf.DUMMYFUNCTION("""COMPUTED_VALUE"""),"")</f>
        <v/>
      </c>
      <c r="AC771" s="16" t="str">
        <f>IFERROR(__xludf.DUMMYFUNCTION("""COMPUTED_VALUE"""),"")</f>
        <v/>
      </c>
    </row>
    <row r="772">
      <c r="A772" s="16" t="s">
        <v>87</v>
      </c>
      <c r="E772" s="16" t="str">
        <f>IFERROR(__xludf.DUMMYFUNCTION("""COMPUTED_VALUE"""),"")</f>
        <v/>
      </c>
      <c r="G772" s="18"/>
      <c r="H772" s="16" t="s">
        <v>87</v>
      </c>
      <c r="I772" s="16" t="s">
        <v>87</v>
      </c>
      <c r="J772" s="19"/>
      <c r="L772" s="16" t="str">
        <f>IFERROR(__xludf.DUMMYFUNCTION("""COMPUTED_VALUE"""),"")</f>
        <v/>
      </c>
      <c r="M772" s="16" t="str">
        <f>IFERROR(__xludf.DUMMYFUNCTION("""COMPUTED_VALUE"""),"")</f>
        <v/>
      </c>
      <c r="U772" s="16" t="s">
        <v>87</v>
      </c>
      <c r="V772" s="16" t="str">
        <f>IFERROR(__xludf.DUMMYFUNCTION("""COMPUTED_VALUE"""),"")</f>
        <v/>
      </c>
      <c r="W772" s="16" t="str">
        <f>IFERROR(__xludf.DUMMYFUNCTION("""COMPUTED_VALUE"""),"")</f>
        <v/>
      </c>
      <c r="X772" s="16" t="str">
        <f>IFERROR(__xludf.DUMMYFUNCTION("""COMPUTED_VALUE"""),"")</f>
        <v/>
      </c>
      <c r="AC772" s="16" t="str">
        <f>IFERROR(__xludf.DUMMYFUNCTION("""COMPUTED_VALUE"""),"")</f>
        <v/>
      </c>
    </row>
    <row r="773">
      <c r="A773" s="16" t="s">
        <v>87</v>
      </c>
      <c r="E773" s="16" t="str">
        <f>IFERROR(__xludf.DUMMYFUNCTION("""COMPUTED_VALUE"""),"")</f>
        <v/>
      </c>
      <c r="G773" s="18"/>
      <c r="H773" s="16" t="s">
        <v>87</v>
      </c>
      <c r="I773" s="16" t="s">
        <v>87</v>
      </c>
      <c r="J773" s="19"/>
      <c r="L773" s="16" t="str">
        <f>IFERROR(__xludf.DUMMYFUNCTION("""COMPUTED_VALUE"""),"")</f>
        <v/>
      </c>
      <c r="M773" s="16" t="str">
        <f>IFERROR(__xludf.DUMMYFUNCTION("""COMPUTED_VALUE"""),"")</f>
        <v/>
      </c>
      <c r="U773" s="16" t="s">
        <v>87</v>
      </c>
      <c r="V773" s="16" t="str">
        <f>IFERROR(__xludf.DUMMYFUNCTION("""COMPUTED_VALUE"""),"")</f>
        <v/>
      </c>
      <c r="W773" s="16" t="str">
        <f>IFERROR(__xludf.DUMMYFUNCTION("""COMPUTED_VALUE"""),"")</f>
        <v/>
      </c>
      <c r="X773" s="16" t="str">
        <f>IFERROR(__xludf.DUMMYFUNCTION("""COMPUTED_VALUE"""),"")</f>
        <v/>
      </c>
      <c r="AC773" s="16" t="str">
        <f>IFERROR(__xludf.DUMMYFUNCTION("""COMPUTED_VALUE"""),"")</f>
        <v/>
      </c>
    </row>
    <row r="774">
      <c r="A774" s="16" t="s">
        <v>87</v>
      </c>
      <c r="E774" s="16" t="str">
        <f>IFERROR(__xludf.DUMMYFUNCTION("""COMPUTED_VALUE"""),"")</f>
        <v/>
      </c>
      <c r="G774" s="18"/>
      <c r="H774" s="16" t="s">
        <v>87</v>
      </c>
      <c r="I774" s="16" t="s">
        <v>87</v>
      </c>
      <c r="J774" s="19"/>
      <c r="L774" s="16" t="str">
        <f>IFERROR(__xludf.DUMMYFUNCTION("""COMPUTED_VALUE"""),"")</f>
        <v/>
      </c>
      <c r="M774" s="16" t="str">
        <f>IFERROR(__xludf.DUMMYFUNCTION("""COMPUTED_VALUE"""),"")</f>
        <v/>
      </c>
      <c r="U774" s="16" t="s">
        <v>87</v>
      </c>
      <c r="V774" s="16" t="str">
        <f>IFERROR(__xludf.DUMMYFUNCTION("""COMPUTED_VALUE"""),"")</f>
        <v/>
      </c>
      <c r="W774" s="16" t="str">
        <f>IFERROR(__xludf.DUMMYFUNCTION("""COMPUTED_VALUE"""),"")</f>
        <v/>
      </c>
      <c r="X774" s="16" t="str">
        <f>IFERROR(__xludf.DUMMYFUNCTION("""COMPUTED_VALUE"""),"")</f>
        <v/>
      </c>
      <c r="AC774" s="16" t="str">
        <f>IFERROR(__xludf.DUMMYFUNCTION("""COMPUTED_VALUE"""),"")</f>
        <v/>
      </c>
    </row>
    <row r="775">
      <c r="A775" s="16" t="s">
        <v>87</v>
      </c>
      <c r="E775" s="16" t="str">
        <f>IFERROR(__xludf.DUMMYFUNCTION("""COMPUTED_VALUE"""),"")</f>
        <v/>
      </c>
      <c r="G775" s="18"/>
      <c r="H775" s="16" t="s">
        <v>87</v>
      </c>
      <c r="I775" s="16" t="s">
        <v>87</v>
      </c>
      <c r="J775" s="19"/>
      <c r="L775" s="16" t="str">
        <f>IFERROR(__xludf.DUMMYFUNCTION("""COMPUTED_VALUE"""),"")</f>
        <v/>
      </c>
      <c r="M775" s="16" t="str">
        <f>IFERROR(__xludf.DUMMYFUNCTION("""COMPUTED_VALUE"""),"")</f>
        <v/>
      </c>
      <c r="U775" s="16" t="s">
        <v>87</v>
      </c>
      <c r="V775" s="16" t="str">
        <f>IFERROR(__xludf.DUMMYFUNCTION("""COMPUTED_VALUE"""),"")</f>
        <v/>
      </c>
      <c r="W775" s="16" t="str">
        <f>IFERROR(__xludf.DUMMYFUNCTION("""COMPUTED_VALUE"""),"")</f>
        <v/>
      </c>
      <c r="X775" s="16" t="str">
        <f>IFERROR(__xludf.DUMMYFUNCTION("""COMPUTED_VALUE"""),"")</f>
        <v/>
      </c>
      <c r="AC775" s="16" t="str">
        <f>IFERROR(__xludf.DUMMYFUNCTION("""COMPUTED_VALUE"""),"")</f>
        <v/>
      </c>
    </row>
    <row r="776">
      <c r="A776" s="16" t="s">
        <v>87</v>
      </c>
      <c r="E776" s="16" t="str">
        <f>IFERROR(__xludf.DUMMYFUNCTION("""COMPUTED_VALUE"""),"")</f>
        <v/>
      </c>
      <c r="G776" s="18"/>
      <c r="H776" s="16" t="s">
        <v>87</v>
      </c>
      <c r="I776" s="16" t="s">
        <v>87</v>
      </c>
      <c r="J776" s="19"/>
      <c r="L776" s="16" t="str">
        <f>IFERROR(__xludf.DUMMYFUNCTION("""COMPUTED_VALUE"""),"")</f>
        <v/>
      </c>
      <c r="M776" s="16" t="str">
        <f>IFERROR(__xludf.DUMMYFUNCTION("""COMPUTED_VALUE"""),"")</f>
        <v/>
      </c>
      <c r="U776" s="16" t="s">
        <v>87</v>
      </c>
      <c r="V776" s="16" t="str">
        <f>IFERROR(__xludf.DUMMYFUNCTION("""COMPUTED_VALUE"""),"")</f>
        <v/>
      </c>
      <c r="W776" s="16" t="str">
        <f>IFERROR(__xludf.DUMMYFUNCTION("""COMPUTED_VALUE"""),"")</f>
        <v/>
      </c>
      <c r="X776" s="16" t="str">
        <f>IFERROR(__xludf.DUMMYFUNCTION("""COMPUTED_VALUE"""),"")</f>
        <v/>
      </c>
      <c r="AC776" s="16" t="str">
        <f>IFERROR(__xludf.DUMMYFUNCTION("""COMPUTED_VALUE"""),"")</f>
        <v/>
      </c>
    </row>
    <row r="777">
      <c r="A777" s="16" t="s">
        <v>87</v>
      </c>
      <c r="E777" s="16" t="str">
        <f>IFERROR(__xludf.DUMMYFUNCTION("""COMPUTED_VALUE"""),"")</f>
        <v/>
      </c>
      <c r="G777" s="18"/>
      <c r="H777" s="16" t="s">
        <v>87</v>
      </c>
      <c r="I777" s="16" t="s">
        <v>87</v>
      </c>
      <c r="J777" s="19"/>
      <c r="L777" s="16" t="str">
        <f>IFERROR(__xludf.DUMMYFUNCTION("""COMPUTED_VALUE"""),"")</f>
        <v/>
      </c>
      <c r="M777" s="16" t="str">
        <f>IFERROR(__xludf.DUMMYFUNCTION("""COMPUTED_VALUE"""),"")</f>
        <v/>
      </c>
      <c r="U777" s="16" t="s">
        <v>87</v>
      </c>
      <c r="V777" s="16" t="str">
        <f>IFERROR(__xludf.DUMMYFUNCTION("""COMPUTED_VALUE"""),"")</f>
        <v/>
      </c>
      <c r="W777" s="16" t="str">
        <f>IFERROR(__xludf.DUMMYFUNCTION("""COMPUTED_VALUE"""),"")</f>
        <v/>
      </c>
      <c r="X777" s="16" t="str">
        <f>IFERROR(__xludf.DUMMYFUNCTION("""COMPUTED_VALUE"""),"")</f>
        <v/>
      </c>
      <c r="AC777" s="16" t="str">
        <f>IFERROR(__xludf.DUMMYFUNCTION("""COMPUTED_VALUE"""),"")</f>
        <v/>
      </c>
    </row>
    <row r="778">
      <c r="A778" s="16" t="s">
        <v>87</v>
      </c>
      <c r="E778" s="16" t="str">
        <f>IFERROR(__xludf.DUMMYFUNCTION("""COMPUTED_VALUE"""),"")</f>
        <v/>
      </c>
      <c r="G778" s="18"/>
      <c r="H778" s="16" t="s">
        <v>87</v>
      </c>
      <c r="I778" s="16" t="s">
        <v>87</v>
      </c>
      <c r="J778" s="19"/>
      <c r="L778" s="16" t="str">
        <f>IFERROR(__xludf.DUMMYFUNCTION("""COMPUTED_VALUE"""),"")</f>
        <v/>
      </c>
      <c r="M778" s="16" t="str">
        <f>IFERROR(__xludf.DUMMYFUNCTION("""COMPUTED_VALUE"""),"")</f>
        <v/>
      </c>
      <c r="U778" s="16" t="s">
        <v>87</v>
      </c>
      <c r="V778" s="16" t="str">
        <f>IFERROR(__xludf.DUMMYFUNCTION("""COMPUTED_VALUE"""),"")</f>
        <v/>
      </c>
      <c r="W778" s="16" t="str">
        <f>IFERROR(__xludf.DUMMYFUNCTION("""COMPUTED_VALUE"""),"")</f>
        <v/>
      </c>
      <c r="X778" s="16" t="str">
        <f>IFERROR(__xludf.DUMMYFUNCTION("""COMPUTED_VALUE"""),"")</f>
        <v/>
      </c>
      <c r="AC778" s="16" t="str">
        <f>IFERROR(__xludf.DUMMYFUNCTION("""COMPUTED_VALUE"""),"")</f>
        <v/>
      </c>
    </row>
    <row r="779">
      <c r="A779" s="16" t="s">
        <v>87</v>
      </c>
      <c r="E779" s="16" t="str">
        <f>IFERROR(__xludf.DUMMYFUNCTION("""COMPUTED_VALUE"""),"")</f>
        <v/>
      </c>
      <c r="G779" s="18"/>
      <c r="H779" s="16" t="s">
        <v>87</v>
      </c>
      <c r="I779" s="16" t="s">
        <v>87</v>
      </c>
      <c r="J779" s="19"/>
      <c r="L779" s="16" t="str">
        <f>IFERROR(__xludf.DUMMYFUNCTION("""COMPUTED_VALUE"""),"")</f>
        <v/>
      </c>
      <c r="M779" s="16" t="str">
        <f>IFERROR(__xludf.DUMMYFUNCTION("""COMPUTED_VALUE"""),"")</f>
        <v/>
      </c>
      <c r="U779" s="16" t="s">
        <v>87</v>
      </c>
      <c r="V779" s="16" t="str">
        <f>IFERROR(__xludf.DUMMYFUNCTION("""COMPUTED_VALUE"""),"")</f>
        <v/>
      </c>
      <c r="W779" s="16" t="str">
        <f>IFERROR(__xludf.DUMMYFUNCTION("""COMPUTED_VALUE"""),"")</f>
        <v/>
      </c>
      <c r="X779" s="16" t="str">
        <f>IFERROR(__xludf.DUMMYFUNCTION("""COMPUTED_VALUE"""),"")</f>
        <v/>
      </c>
      <c r="AC779" s="16" t="str">
        <f>IFERROR(__xludf.DUMMYFUNCTION("""COMPUTED_VALUE"""),"")</f>
        <v/>
      </c>
    </row>
    <row r="780">
      <c r="A780" s="16" t="s">
        <v>87</v>
      </c>
      <c r="E780" s="16" t="str">
        <f>IFERROR(__xludf.DUMMYFUNCTION("""COMPUTED_VALUE"""),"")</f>
        <v/>
      </c>
      <c r="G780" s="18"/>
      <c r="H780" s="16" t="s">
        <v>87</v>
      </c>
      <c r="I780" s="16" t="s">
        <v>87</v>
      </c>
      <c r="J780" s="19"/>
      <c r="L780" s="16" t="str">
        <f>IFERROR(__xludf.DUMMYFUNCTION("""COMPUTED_VALUE"""),"")</f>
        <v/>
      </c>
      <c r="M780" s="16" t="str">
        <f>IFERROR(__xludf.DUMMYFUNCTION("""COMPUTED_VALUE"""),"")</f>
        <v/>
      </c>
      <c r="U780" s="16" t="s">
        <v>87</v>
      </c>
      <c r="V780" s="16" t="str">
        <f>IFERROR(__xludf.DUMMYFUNCTION("""COMPUTED_VALUE"""),"")</f>
        <v/>
      </c>
      <c r="W780" s="16" t="str">
        <f>IFERROR(__xludf.DUMMYFUNCTION("""COMPUTED_VALUE"""),"")</f>
        <v/>
      </c>
      <c r="X780" s="16" t="str">
        <f>IFERROR(__xludf.DUMMYFUNCTION("""COMPUTED_VALUE"""),"")</f>
        <v/>
      </c>
      <c r="AC780" s="16" t="str">
        <f>IFERROR(__xludf.DUMMYFUNCTION("""COMPUTED_VALUE"""),"")</f>
        <v/>
      </c>
    </row>
    <row r="781">
      <c r="A781" s="16" t="s">
        <v>87</v>
      </c>
      <c r="E781" s="16" t="str">
        <f>IFERROR(__xludf.DUMMYFUNCTION("""COMPUTED_VALUE"""),"")</f>
        <v/>
      </c>
      <c r="G781" s="18"/>
      <c r="H781" s="16" t="s">
        <v>87</v>
      </c>
      <c r="I781" s="16" t="s">
        <v>87</v>
      </c>
      <c r="J781" s="19"/>
      <c r="L781" s="16" t="str">
        <f>IFERROR(__xludf.DUMMYFUNCTION("""COMPUTED_VALUE"""),"")</f>
        <v/>
      </c>
      <c r="M781" s="16" t="str">
        <f>IFERROR(__xludf.DUMMYFUNCTION("""COMPUTED_VALUE"""),"")</f>
        <v/>
      </c>
      <c r="U781" s="16" t="s">
        <v>87</v>
      </c>
      <c r="V781" s="16" t="str">
        <f>IFERROR(__xludf.DUMMYFUNCTION("""COMPUTED_VALUE"""),"")</f>
        <v/>
      </c>
      <c r="W781" s="16" t="str">
        <f>IFERROR(__xludf.DUMMYFUNCTION("""COMPUTED_VALUE"""),"")</f>
        <v/>
      </c>
      <c r="X781" s="16" t="str">
        <f>IFERROR(__xludf.DUMMYFUNCTION("""COMPUTED_VALUE"""),"")</f>
        <v/>
      </c>
      <c r="AC781" s="16" t="str">
        <f>IFERROR(__xludf.DUMMYFUNCTION("""COMPUTED_VALUE"""),"")</f>
        <v/>
      </c>
    </row>
    <row r="782">
      <c r="A782" s="16" t="s">
        <v>87</v>
      </c>
      <c r="E782" s="16" t="str">
        <f>IFERROR(__xludf.DUMMYFUNCTION("""COMPUTED_VALUE"""),"")</f>
        <v/>
      </c>
      <c r="G782" s="18"/>
      <c r="H782" s="16" t="s">
        <v>87</v>
      </c>
      <c r="I782" s="16" t="s">
        <v>87</v>
      </c>
      <c r="J782" s="19"/>
      <c r="L782" s="16" t="str">
        <f>IFERROR(__xludf.DUMMYFUNCTION("""COMPUTED_VALUE"""),"")</f>
        <v/>
      </c>
      <c r="M782" s="16" t="str">
        <f>IFERROR(__xludf.DUMMYFUNCTION("""COMPUTED_VALUE"""),"")</f>
        <v/>
      </c>
      <c r="U782" s="16" t="s">
        <v>87</v>
      </c>
      <c r="V782" s="16" t="str">
        <f>IFERROR(__xludf.DUMMYFUNCTION("""COMPUTED_VALUE"""),"")</f>
        <v/>
      </c>
      <c r="W782" s="16" t="str">
        <f>IFERROR(__xludf.DUMMYFUNCTION("""COMPUTED_VALUE"""),"")</f>
        <v/>
      </c>
      <c r="X782" s="16" t="str">
        <f>IFERROR(__xludf.DUMMYFUNCTION("""COMPUTED_VALUE"""),"")</f>
        <v/>
      </c>
      <c r="AC782" s="16" t="str">
        <f>IFERROR(__xludf.DUMMYFUNCTION("""COMPUTED_VALUE"""),"")</f>
        <v/>
      </c>
    </row>
    <row r="783">
      <c r="A783" s="16" t="s">
        <v>87</v>
      </c>
      <c r="E783" s="16" t="str">
        <f>IFERROR(__xludf.DUMMYFUNCTION("""COMPUTED_VALUE"""),"")</f>
        <v/>
      </c>
      <c r="G783" s="18"/>
      <c r="H783" s="16" t="s">
        <v>87</v>
      </c>
      <c r="I783" s="16" t="s">
        <v>87</v>
      </c>
      <c r="J783" s="19"/>
      <c r="L783" s="16" t="str">
        <f>IFERROR(__xludf.DUMMYFUNCTION("""COMPUTED_VALUE"""),"")</f>
        <v/>
      </c>
      <c r="M783" s="16" t="str">
        <f>IFERROR(__xludf.DUMMYFUNCTION("""COMPUTED_VALUE"""),"")</f>
        <v/>
      </c>
      <c r="U783" s="16" t="s">
        <v>87</v>
      </c>
      <c r="V783" s="16" t="str">
        <f>IFERROR(__xludf.DUMMYFUNCTION("""COMPUTED_VALUE"""),"")</f>
        <v/>
      </c>
      <c r="W783" s="16" t="str">
        <f>IFERROR(__xludf.DUMMYFUNCTION("""COMPUTED_VALUE"""),"")</f>
        <v/>
      </c>
      <c r="X783" s="16" t="str">
        <f>IFERROR(__xludf.DUMMYFUNCTION("""COMPUTED_VALUE"""),"")</f>
        <v/>
      </c>
      <c r="AC783" s="16" t="str">
        <f>IFERROR(__xludf.DUMMYFUNCTION("""COMPUTED_VALUE"""),"")</f>
        <v/>
      </c>
    </row>
    <row r="784">
      <c r="A784" s="16" t="s">
        <v>87</v>
      </c>
      <c r="E784" s="16" t="str">
        <f>IFERROR(__xludf.DUMMYFUNCTION("""COMPUTED_VALUE"""),"")</f>
        <v/>
      </c>
      <c r="G784" s="18"/>
      <c r="H784" s="16" t="s">
        <v>87</v>
      </c>
      <c r="I784" s="16" t="s">
        <v>87</v>
      </c>
      <c r="J784" s="19"/>
      <c r="L784" s="16" t="str">
        <f>IFERROR(__xludf.DUMMYFUNCTION("""COMPUTED_VALUE"""),"")</f>
        <v/>
      </c>
      <c r="M784" s="16" t="str">
        <f>IFERROR(__xludf.DUMMYFUNCTION("""COMPUTED_VALUE"""),"")</f>
        <v/>
      </c>
      <c r="U784" s="16" t="s">
        <v>87</v>
      </c>
      <c r="V784" s="16" t="str">
        <f>IFERROR(__xludf.DUMMYFUNCTION("""COMPUTED_VALUE"""),"")</f>
        <v/>
      </c>
      <c r="W784" s="16" t="str">
        <f>IFERROR(__xludf.DUMMYFUNCTION("""COMPUTED_VALUE"""),"")</f>
        <v/>
      </c>
      <c r="X784" s="16" t="str">
        <f>IFERROR(__xludf.DUMMYFUNCTION("""COMPUTED_VALUE"""),"")</f>
        <v/>
      </c>
      <c r="AC784" s="16" t="str">
        <f>IFERROR(__xludf.DUMMYFUNCTION("""COMPUTED_VALUE"""),"")</f>
        <v/>
      </c>
    </row>
    <row r="785">
      <c r="A785" s="16" t="s">
        <v>87</v>
      </c>
      <c r="E785" s="16" t="str">
        <f>IFERROR(__xludf.DUMMYFUNCTION("""COMPUTED_VALUE"""),"")</f>
        <v/>
      </c>
      <c r="G785" s="18"/>
      <c r="H785" s="16" t="s">
        <v>87</v>
      </c>
      <c r="I785" s="16" t="s">
        <v>87</v>
      </c>
      <c r="J785" s="19"/>
      <c r="L785" s="16" t="str">
        <f>IFERROR(__xludf.DUMMYFUNCTION("""COMPUTED_VALUE"""),"")</f>
        <v/>
      </c>
      <c r="M785" s="16" t="str">
        <f>IFERROR(__xludf.DUMMYFUNCTION("""COMPUTED_VALUE"""),"")</f>
        <v/>
      </c>
      <c r="U785" s="16" t="s">
        <v>87</v>
      </c>
      <c r="V785" s="16" t="str">
        <f>IFERROR(__xludf.DUMMYFUNCTION("""COMPUTED_VALUE"""),"")</f>
        <v/>
      </c>
      <c r="W785" s="16" t="str">
        <f>IFERROR(__xludf.DUMMYFUNCTION("""COMPUTED_VALUE"""),"")</f>
        <v/>
      </c>
      <c r="X785" s="16" t="str">
        <f>IFERROR(__xludf.DUMMYFUNCTION("""COMPUTED_VALUE"""),"")</f>
        <v/>
      </c>
      <c r="AC785" s="16" t="str">
        <f>IFERROR(__xludf.DUMMYFUNCTION("""COMPUTED_VALUE"""),"")</f>
        <v/>
      </c>
    </row>
    <row r="786">
      <c r="A786" s="16" t="s">
        <v>87</v>
      </c>
      <c r="E786" s="16" t="str">
        <f>IFERROR(__xludf.DUMMYFUNCTION("""COMPUTED_VALUE"""),"")</f>
        <v/>
      </c>
      <c r="G786" s="18"/>
      <c r="H786" s="16" t="s">
        <v>87</v>
      </c>
      <c r="I786" s="16" t="s">
        <v>87</v>
      </c>
      <c r="J786" s="19"/>
      <c r="L786" s="16" t="str">
        <f>IFERROR(__xludf.DUMMYFUNCTION("""COMPUTED_VALUE"""),"")</f>
        <v/>
      </c>
      <c r="M786" s="16" t="str">
        <f>IFERROR(__xludf.DUMMYFUNCTION("""COMPUTED_VALUE"""),"")</f>
        <v/>
      </c>
      <c r="U786" s="16" t="s">
        <v>87</v>
      </c>
      <c r="V786" s="16" t="str">
        <f>IFERROR(__xludf.DUMMYFUNCTION("""COMPUTED_VALUE"""),"")</f>
        <v/>
      </c>
      <c r="W786" s="16" t="str">
        <f>IFERROR(__xludf.DUMMYFUNCTION("""COMPUTED_VALUE"""),"")</f>
        <v/>
      </c>
      <c r="X786" s="16" t="str">
        <f>IFERROR(__xludf.DUMMYFUNCTION("""COMPUTED_VALUE"""),"")</f>
        <v/>
      </c>
      <c r="AC786" s="16" t="str">
        <f>IFERROR(__xludf.DUMMYFUNCTION("""COMPUTED_VALUE"""),"")</f>
        <v/>
      </c>
    </row>
    <row r="787">
      <c r="A787" s="16" t="s">
        <v>87</v>
      </c>
      <c r="E787" s="16" t="str">
        <f>IFERROR(__xludf.DUMMYFUNCTION("""COMPUTED_VALUE"""),"")</f>
        <v/>
      </c>
      <c r="G787" s="18"/>
      <c r="H787" s="16" t="s">
        <v>87</v>
      </c>
      <c r="I787" s="16" t="s">
        <v>87</v>
      </c>
      <c r="J787" s="19"/>
      <c r="L787" s="16" t="str">
        <f>IFERROR(__xludf.DUMMYFUNCTION("""COMPUTED_VALUE"""),"")</f>
        <v/>
      </c>
      <c r="M787" s="16" t="str">
        <f>IFERROR(__xludf.DUMMYFUNCTION("""COMPUTED_VALUE"""),"")</f>
        <v/>
      </c>
      <c r="U787" s="16" t="s">
        <v>87</v>
      </c>
      <c r="V787" s="16" t="str">
        <f>IFERROR(__xludf.DUMMYFUNCTION("""COMPUTED_VALUE"""),"")</f>
        <v/>
      </c>
      <c r="W787" s="16" t="str">
        <f>IFERROR(__xludf.DUMMYFUNCTION("""COMPUTED_VALUE"""),"")</f>
        <v/>
      </c>
      <c r="X787" s="16" t="str">
        <f>IFERROR(__xludf.DUMMYFUNCTION("""COMPUTED_VALUE"""),"")</f>
        <v/>
      </c>
      <c r="AC787" s="16" t="str">
        <f>IFERROR(__xludf.DUMMYFUNCTION("""COMPUTED_VALUE"""),"")</f>
        <v/>
      </c>
    </row>
    <row r="788">
      <c r="A788" s="16" t="s">
        <v>87</v>
      </c>
      <c r="E788" s="16" t="str">
        <f>IFERROR(__xludf.DUMMYFUNCTION("""COMPUTED_VALUE"""),"")</f>
        <v/>
      </c>
      <c r="G788" s="18"/>
      <c r="H788" s="16" t="s">
        <v>87</v>
      </c>
      <c r="I788" s="16" t="s">
        <v>87</v>
      </c>
      <c r="J788" s="19"/>
      <c r="L788" s="16" t="str">
        <f>IFERROR(__xludf.DUMMYFUNCTION("""COMPUTED_VALUE"""),"")</f>
        <v/>
      </c>
      <c r="M788" s="16" t="str">
        <f>IFERROR(__xludf.DUMMYFUNCTION("""COMPUTED_VALUE"""),"")</f>
        <v/>
      </c>
      <c r="U788" s="16" t="s">
        <v>87</v>
      </c>
      <c r="V788" s="16" t="str">
        <f>IFERROR(__xludf.DUMMYFUNCTION("""COMPUTED_VALUE"""),"")</f>
        <v/>
      </c>
      <c r="W788" s="16" t="str">
        <f>IFERROR(__xludf.DUMMYFUNCTION("""COMPUTED_VALUE"""),"")</f>
        <v/>
      </c>
      <c r="X788" s="16" t="str">
        <f>IFERROR(__xludf.DUMMYFUNCTION("""COMPUTED_VALUE"""),"")</f>
        <v/>
      </c>
      <c r="AC788" s="16" t="str">
        <f>IFERROR(__xludf.DUMMYFUNCTION("""COMPUTED_VALUE"""),"")</f>
        <v/>
      </c>
    </row>
    <row r="789">
      <c r="A789" s="16" t="s">
        <v>87</v>
      </c>
      <c r="E789" s="16" t="str">
        <f>IFERROR(__xludf.DUMMYFUNCTION("""COMPUTED_VALUE"""),"")</f>
        <v/>
      </c>
      <c r="G789" s="18"/>
      <c r="H789" s="16" t="s">
        <v>87</v>
      </c>
      <c r="I789" s="16" t="s">
        <v>87</v>
      </c>
      <c r="J789" s="19"/>
      <c r="L789" s="16" t="str">
        <f>IFERROR(__xludf.DUMMYFUNCTION("""COMPUTED_VALUE"""),"")</f>
        <v/>
      </c>
      <c r="M789" s="16" t="str">
        <f>IFERROR(__xludf.DUMMYFUNCTION("""COMPUTED_VALUE"""),"")</f>
        <v/>
      </c>
      <c r="U789" s="16" t="s">
        <v>87</v>
      </c>
      <c r="V789" s="16" t="str">
        <f>IFERROR(__xludf.DUMMYFUNCTION("""COMPUTED_VALUE"""),"")</f>
        <v/>
      </c>
      <c r="W789" s="16" t="str">
        <f>IFERROR(__xludf.DUMMYFUNCTION("""COMPUTED_VALUE"""),"")</f>
        <v/>
      </c>
      <c r="X789" s="16" t="str">
        <f>IFERROR(__xludf.DUMMYFUNCTION("""COMPUTED_VALUE"""),"")</f>
        <v/>
      </c>
      <c r="AC789" s="16" t="str">
        <f>IFERROR(__xludf.DUMMYFUNCTION("""COMPUTED_VALUE"""),"")</f>
        <v/>
      </c>
    </row>
    <row r="790">
      <c r="A790" s="16" t="s">
        <v>87</v>
      </c>
      <c r="E790" s="16" t="str">
        <f>IFERROR(__xludf.DUMMYFUNCTION("""COMPUTED_VALUE"""),"")</f>
        <v/>
      </c>
      <c r="G790" s="18"/>
      <c r="H790" s="16" t="s">
        <v>87</v>
      </c>
      <c r="I790" s="16" t="s">
        <v>87</v>
      </c>
      <c r="J790" s="19"/>
      <c r="L790" s="16" t="str">
        <f>IFERROR(__xludf.DUMMYFUNCTION("""COMPUTED_VALUE"""),"")</f>
        <v/>
      </c>
      <c r="M790" s="16" t="str">
        <f>IFERROR(__xludf.DUMMYFUNCTION("""COMPUTED_VALUE"""),"")</f>
        <v/>
      </c>
      <c r="U790" s="16" t="s">
        <v>87</v>
      </c>
      <c r="V790" s="16" t="str">
        <f>IFERROR(__xludf.DUMMYFUNCTION("""COMPUTED_VALUE"""),"")</f>
        <v/>
      </c>
      <c r="W790" s="16" t="str">
        <f>IFERROR(__xludf.DUMMYFUNCTION("""COMPUTED_VALUE"""),"")</f>
        <v/>
      </c>
      <c r="X790" s="16" t="str">
        <f>IFERROR(__xludf.DUMMYFUNCTION("""COMPUTED_VALUE"""),"")</f>
        <v/>
      </c>
      <c r="AC790" s="16" t="str">
        <f>IFERROR(__xludf.DUMMYFUNCTION("""COMPUTED_VALUE"""),"")</f>
        <v/>
      </c>
    </row>
    <row r="791">
      <c r="A791" s="16" t="s">
        <v>87</v>
      </c>
      <c r="E791" s="16" t="str">
        <f>IFERROR(__xludf.DUMMYFUNCTION("""COMPUTED_VALUE"""),"")</f>
        <v/>
      </c>
      <c r="G791" s="18"/>
      <c r="H791" s="16" t="s">
        <v>87</v>
      </c>
      <c r="I791" s="16" t="s">
        <v>87</v>
      </c>
      <c r="J791" s="19"/>
      <c r="L791" s="16" t="str">
        <f>IFERROR(__xludf.DUMMYFUNCTION("""COMPUTED_VALUE"""),"")</f>
        <v/>
      </c>
      <c r="M791" s="16" t="str">
        <f>IFERROR(__xludf.DUMMYFUNCTION("""COMPUTED_VALUE"""),"")</f>
        <v/>
      </c>
      <c r="U791" s="16" t="s">
        <v>87</v>
      </c>
      <c r="V791" s="16" t="str">
        <f>IFERROR(__xludf.DUMMYFUNCTION("""COMPUTED_VALUE"""),"")</f>
        <v/>
      </c>
      <c r="W791" s="16" t="str">
        <f>IFERROR(__xludf.DUMMYFUNCTION("""COMPUTED_VALUE"""),"")</f>
        <v/>
      </c>
      <c r="X791" s="16" t="str">
        <f>IFERROR(__xludf.DUMMYFUNCTION("""COMPUTED_VALUE"""),"")</f>
        <v/>
      </c>
      <c r="AC791" s="16" t="str">
        <f>IFERROR(__xludf.DUMMYFUNCTION("""COMPUTED_VALUE"""),"")</f>
        <v/>
      </c>
    </row>
    <row r="792">
      <c r="A792" s="16" t="s">
        <v>87</v>
      </c>
      <c r="E792" s="16" t="str">
        <f>IFERROR(__xludf.DUMMYFUNCTION("""COMPUTED_VALUE"""),"")</f>
        <v/>
      </c>
      <c r="G792" s="18"/>
      <c r="H792" s="16" t="s">
        <v>87</v>
      </c>
      <c r="I792" s="16" t="s">
        <v>87</v>
      </c>
      <c r="J792" s="19"/>
      <c r="L792" s="16" t="str">
        <f>IFERROR(__xludf.DUMMYFUNCTION("""COMPUTED_VALUE"""),"")</f>
        <v/>
      </c>
      <c r="M792" s="16" t="str">
        <f>IFERROR(__xludf.DUMMYFUNCTION("""COMPUTED_VALUE"""),"")</f>
        <v/>
      </c>
      <c r="U792" s="16" t="s">
        <v>87</v>
      </c>
      <c r="V792" s="16" t="str">
        <f>IFERROR(__xludf.DUMMYFUNCTION("""COMPUTED_VALUE"""),"")</f>
        <v/>
      </c>
      <c r="W792" s="16" t="str">
        <f>IFERROR(__xludf.DUMMYFUNCTION("""COMPUTED_VALUE"""),"")</f>
        <v/>
      </c>
      <c r="X792" s="16" t="str">
        <f>IFERROR(__xludf.DUMMYFUNCTION("""COMPUTED_VALUE"""),"")</f>
        <v/>
      </c>
      <c r="AC792" s="16" t="str">
        <f>IFERROR(__xludf.DUMMYFUNCTION("""COMPUTED_VALUE"""),"")</f>
        <v/>
      </c>
    </row>
    <row r="793">
      <c r="A793" s="16" t="s">
        <v>87</v>
      </c>
      <c r="E793" s="16" t="str">
        <f>IFERROR(__xludf.DUMMYFUNCTION("""COMPUTED_VALUE"""),"")</f>
        <v/>
      </c>
      <c r="G793" s="18"/>
      <c r="H793" s="16" t="s">
        <v>87</v>
      </c>
      <c r="I793" s="16" t="s">
        <v>87</v>
      </c>
      <c r="J793" s="19"/>
      <c r="L793" s="16" t="str">
        <f>IFERROR(__xludf.DUMMYFUNCTION("""COMPUTED_VALUE"""),"")</f>
        <v/>
      </c>
      <c r="M793" s="16" t="str">
        <f>IFERROR(__xludf.DUMMYFUNCTION("""COMPUTED_VALUE"""),"")</f>
        <v/>
      </c>
      <c r="U793" s="16" t="s">
        <v>87</v>
      </c>
      <c r="V793" s="16" t="str">
        <f>IFERROR(__xludf.DUMMYFUNCTION("""COMPUTED_VALUE"""),"")</f>
        <v/>
      </c>
      <c r="W793" s="16" t="str">
        <f>IFERROR(__xludf.DUMMYFUNCTION("""COMPUTED_VALUE"""),"")</f>
        <v/>
      </c>
      <c r="X793" s="16" t="str">
        <f>IFERROR(__xludf.DUMMYFUNCTION("""COMPUTED_VALUE"""),"")</f>
        <v/>
      </c>
      <c r="AC793" s="16" t="str">
        <f>IFERROR(__xludf.DUMMYFUNCTION("""COMPUTED_VALUE"""),"")</f>
        <v/>
      </c>
    </row>
    <row r="794">
      <c r="A794" s="16" t="s">
        <v>87</v>
      </c>
      <c r="E794" s="16" t="str">
        <f>IFERROR(__xludf.DUMMYFUNCTION("""COMPUTED_VALUE"""),"")</f>
        <v/>
      </c>
      <c r="G794" s="18"/>
      <c r="H794" s="16" t="s">
        <v>87</v>
      </c>
      <c r="I794" s="16" t="s">
        <v>87</v>
      </c>
      <c r="J794" s="19"/>
      <c r="L794" s="16" t="str">
        <f>IFERROR(__xludf.DUMMYFUNCTION("""COMPUTED_VALUE"""),"")</f>
        <v/>
      </c>
      <c r="M794" s="16" t="str">
        <f>IFERROR(__xludf.DUMMYFUNCTION("""COMPUTED_VALUE"""),"")</f>
        <v/>
      </c>
      <c r="U794" s="16" t="s">
        <v>87</v>
      </c>
      <c r="V794" s="16" t="str">
        <f>IFERROR(__xludf.DUMMYFUNCTION("""COMPUTED_VALUE"""),"")</f>
        <v/>
      </c>
      <c r="W794" s="16" t="str">
        <f>IFERROR(__xludf.DUMMYFUNCTION("""COMPUTED_VALUE"""),"")</f>
        <v/>
      </c>
      <c r="X794" s="16" t="str">
        <f>IFERROR(__xludf.DUMMYFUNCTION("""COMPUTED_VALUE"""),"")</f>
        <v/>
      </c>
      <c r="AC794" s="16" t="str">
        <f>IFERROR(__xludf.DUMMYFUNCTION("""COMPUTED_VALUE"""),"")</f>
        <v/>
      </c>
    </row>
    <row r="795">
      <c r="A795" s="16" t="s">
        <v>87</v>
      </c>
      <c r="E795" s="16" t="str">
        <f>IFERROR(__xludf.DUMMYFUNCTION("""COMPUTED_VALUE"""),"")</f>
        <v/>
      </c>
      <c r="G795" s="18"/>
      <c r="H795" s="16" t="s">
        <v>87</v>
      </c>
      <c r="I795" s="16" t="s">
        <v>87</v>
      </c>
      <c r="J795" s="19"/>
      <c r="L795" s="16" t="str">
        <f>IFERROR(__xludf.DUMMYFUNCTION("""COMPUTED_VALUE"""),"")</f>
        <v/>
      </c>
      <c r="M795" s="16" t="str">
        <f>IFERROR(__xludf.DUMMYFUNCTION("""COMPUTED_VALUE"""),"")</f>
        <v/>
      </c>
      <c r="U795" s="16" t="s">
        <v>87</v>
      </c>
      <c r="V795" s="16" t="str">
        <f>IFERROR(__xludf.DUMMYFUNCTION("""COMPUTED_VALUE"""),"")</f>
        <v/>
      </c>
      <c r="W795" s="16" t="str">
        <f>IFERROR(__xludf.DUMMYFUNCTION("""COMPUTED_VALUE"""),"")</f>
        <v/>
      </c>
      <c r="X795" s="16" t="str">
        <f>IFERROR(__xludf.DUMMYFUNCTION("""COMPUTED_VALUE"""),"")</f>
        <v/>
      </c>
      <c r="AC795" s="16" t="str">
        <f>IFERROR(__xludf.DUMMYFUNCTION("""COMPUTED_VALUE"""),"")</f>
        <v/>
      </c>
    </row>
    <row r="796">
      <c r="A796" s="16" t="s">
        <v>87</v>
      </c>
      <c r="E796" s="16" t="str">
        <f>IFERROR(__xludf.DUMMYFUNCTION("""COMPUTED_VALUE"""),"")</f>
        <v/>
      </c>
      <c r="G796" s="18"/>
      <c r="H796" s="16" t="s">
        <v>87</v>
      </c>
      <c r="I796" s="16" t="s">
        <v>87</v>
      </c>
      <c r="J796" s="19"/>
      <c r="L796" s="16" t="str">
        <f>IFERROR(__xludf.DUMMYFUNCTION("""COMPUTED_VALUE"""),"")</f>
        <v/>
      </c>
      <c r="M796" s="16" t="str">
        <f>IFERROR(__xludf.DUMMYFUNCTION("""COMPUTED_VALUE"""),"")</f>
        <v/>
      </c>
      <c r="U796" s="16" t="s">
        <v>87</v>
      </c>
      <c r="V796" s="16" t="str">
        <f>IFERROR(__xludf.DUMMYFUNCTION("""COMPUTED_VALUE"""),"")</f>
        <v/>
      </c>
      <c r="W796" s="16" t="str">
        <f>IFERROR(__xludf.DUMMYFUNCTION("""COMPUTED_VALUE"""),"")</f>
        <v/>
      </c>
      <c r="X796" s="16" t="str">
        <f>IFERROR(__xludf.DUMMYFUNCTION("""COMPUTED_VALUE"""),"")</f>
        <v/>
      </c>
      <c r="AC796" s="16" t="str">
        <f>IFERROR(__xludf.DUMMYFUNCTION("""COMPUTED_VALUE"""),"")</f>
        <v/>
      </c>
    </row>
    <row r="797">
      <c r="A797" s="16" t="s">
        <v>87</v>
      </c>
      <c r="E797" s="16" t="str">
        <f>IFERROR(__xludf.DUMMYFUNCTION("""COMPUTED_VALUE"""),"")</f>
        <v/>
      </c>
      <c r="G797" s="18"/>
      <c r="H797" s="16" t="s">
        <v>87</v>
      </c>
      <c r="I797" s="16" t="s">
        <v>87</v>
      </c>
      <c r="J797" s="19"/>
      <c r="L797" s="16" t="str">
        <f>IFERROR(__xludf.DUMMYFUNCTION("""COMPUTED_VALUE"""),"")</f>
        <v/>
      </c>
      <c r="M797" s="16" t="str">
        <f>IFERROR(__xludf.DUMMYFUNCTION("""COMPUTED_VALUE"""),"")</f>
        <v/>
      </c>
      <c r="U797" s="16" t="s">
        <v>87</v>
      </c>
      <c r="V797" s="16" t="str">
        <f>IFERROR(__xludf.DUMMYFUNCTION("""COMPUTED_VALUE"""),"")</f>
        <v/>
      </c>
      <c r="W797" s="16" t="str">
        <f>IFERROR(__xludf.DUMMYFUNCTION("""COMPUTED_VALUE"""),"")</f>
        <v/>
      </c>
      <c r="X797" s="16" t="str">
        <f>IFERROR(__xludf.DUMMYFUNCTION("""COMPUTED_VALUE"""),"")</f>
        <v/>
      </c>
      <c r="AC797" s="16" t="str">
        <f>IFERROR(__xludf.DUMMYFUNCTION("""COMPUTED_VALUE"""),"")</f>
        <v/>
      </c>
    </row>
    <row r="798">
      <c r="A798" s="16" t="s">
        <v>87</v>
      </c>
      <c r="E798" s="16" t="str">
        <f>IFERROR(__xludf.DUMMYFUNCTION("""COMPUTED_VALUE"""),"")</f>
        <v/>
      </c>
      <c r="G798" s="18"/>
      <c r="H798" s="16" t="s">
        <v>87</v>
      </c>
      <c r="I798" s="16" t="s">
        <v>87</v>
      </c>
      <c r="J798" s="19"/>
      <c r="L798" s="16" t="str">
        <f>IFERROR(__xludf.DUMMYFUNCTION("""COMPUTED_VALUE"""),"")</f>
        <v/>
      </c>
      <c r="M798" s="16" t="str">
        <f>IFERROR(__xludf.DUMMYFUNCTION("""COMPUTED_VALUE"""),"")</f>
        <v/>
      </c>
      <c r="U798" s="16" t="s">
        <v>87</v>
      </c>
      <c r="V798" s="16" t="str">
        <f>IFERROR(__xludf.DUMMYFUNCTION("""COMPUTED_VALUE"""),"")</f>
        <v/>
      </c>
      <c r="W798" s="16" t="str">
        <f>IFERROR(__xludf.DUMMYFUNCTION("""COMPUTED_VALUE"""),"")</f>
        <v/>
      </c>
      <c r="X798" s="16" t="str">
        <f>IFERROR(__xludf.DUMMYFUNCTION("""COMPUTED_VALUE"""),"")</f>
        <v/>
      </c>
      <c r="AC798" s="16" t="str">
        <f>IFERROR(__xludf.DUMMYFUNCTION("""COMPUTED_VALUE"""),"")</f>
        <v/>
      </c>
    </row>
    <row r="799">
      <c r="A799" s="16" t="s">
        <v>87</v>
      </c>
      <c r="E799" s="16" t="str">
        <f>IFERROR(__xludf.DUMMYFUNCTION("""COMPUTED_VALUE"""),"")</f>
        <v/>
      </c>
      <c r="G799" s="18"/>
      <c r="H799" s="16" t="s">
        <v>87</v>
      </c>
      <c r="I799" s="16" t="s">
        <v>87</v>
      </c>
      <c r="J799" s="19"/>
      <c r="L799" s="16" t="str">
        <f>IFERROR(__xludf.DUMMYFUNCTION("""COMPUTED_VALUE"""),"")</f>
        <v/>
      </c>
      <c r="M799" s="16" t="str">
        <f>IFERROR(__xludf.DUMMYFUNCTION("""COMPUTED_VALUE"""),"")</f>
        <v/>
      </c>
      <c r="U799" s="16" t="s">
        <v>87</v>
      </c>
      <c r="V799" s="16" t="str">
        <f>IFERROR(__xludf.DUMMYFUNCTION("""COMPUTED_VALUE"""),"")</f>
        <v/>
      </c>
      <c r="W799" s="16" t="str">
        <f>IFERROR(__xludf.DUMMYFUNCTION("""COMPUTED_VALUE"""),"")</f>
        <v/>
      </c>
      <c r="X799" s="16" t="str">
        <f>IFERROR(__xludf.DUMMYFUNCTION("""COMPUTED_VALUE"""),"")</f>
        <v/>
      </c>
      <c r="AC799" s="16" t="str">
        <f>IFERROR(__xludf.DUMMYFUNCTION("""COMPUTED_VALUE"""),"")</f>
        <v/>
      </c>
    </row>
    <row r="800">
      <c r="A800" s="16" t="s">
        <v>87</v>
      </c>
      <c r="E800" s="16" t="str">
        <f>IFERROR(__xludf.DUMMYFUNCTION("""COMPUTED_VALUE"""),"")</f>
        <v/>
      </c>
      <c r="G800" s="18"/>
      <c r="H800" s="16" t="s">
        <v>87</v>
      </c>
      <c r="I800" s="16" t="s">
        <v>87</v>
      </c>
      <c r="J800" s="19"/>
      <c r="L800" s="16" t="str">
        <f>IFERROR(__xludf.DUMMYFUNCTION("""COMPUTED_VALUE"""),"")</f>
        <v/>
      </c>
      <c r="M800" s="16" t="str">
        <f>IFERROR(__xludf.DUMMYFUNCTION("""COMPUTED_VALUE"""),"")</f>
        <v/>
      </c>
      <c r="U800" s="16" t="s">
        <v>87</v>
      </c>
      <c r="V800" s="16" t="str">
        <f>IFERROR(__xludf.DUMMYFUNCTION("""COMPUTED_VALUE"""),"")</f>
        <v/>
      </c>
      <c r="W800" s="16" t="str">
        <f>IFERROR(__xludf.DUMMYFUNCTION("""COMPUTED_VALUE"""),"")</f>
        <v/>
      </c>
      <c r="X800" s="16" t="str">
        <f>IFERROR(__xludf.DUMMYFUNCTION("""COMPUTED_VALUE"""),"")</f>
        <v/>
      </c>
      <c r="AC800" s="16" t="str">
        <f>IFERROR(__xludf.DUMMYFUNCTION("""COMPUTED_VALUE"""),"")</f>
        <v/>
      </c>
    </row>
    <row r="801">
      <c r="A801" s="16" t="s">
        <v>87</v>
      </c>
      <c r="E801" s="16" t="str">
        <f>IFERROR(__xludf.DUMMYFUNCTION("""COMPUTED_VALUE"""),"")</f>
        <v/>
      </c>
      <c r="G801" s="18"/>
      <c r="H801" s="16" t="s">
        <v>87</v>
      </c>
      <c r="I801" s="16" t="s">
        <v>87</v>
      </c>
      <c r="J801" s="19"/>
      <c r="L801" s="16" t="str">
        <f>IFERROR(__xludf.DUMMYFUNCTION("""COMPUTED_VALUE"""),"")</f>
        <v/>
      </c>
      <c r="M801" s="16" t="str">
        <f>IFERROR(__xludf.DUMMYFUNCTION("""COMPUTED_VALUE"""),"")</f>
        <v/>
      </c>
      <c r="U801" s="16" t="s">
        <v>87</v>
      </c>
      <c r="V801" s="16" t="str">
        <f>IFERROR(__xludf.DUMMYFUNCTION("""COMPUTED_VALUE"""),"")</f>
        <v/>
      </c>
      <c r="W801" s="16" t="str">
        <f>IFERROR(__xludf.DUMMYFUNCTION("""COMPUTED_VALUE"""),"")</f>
        <v/>
      </c>
      <c r="X801" s="16" t="str">
        <f>IFERROR(__xludf.DUMMYFUNCTION("""COMPUTED_VALUE"""),"")</f>
        <v/>
      </c>
      <c r="AC801" s="16" t="str">
        <f>IFERROR(__xludf.DUMMYFUNCTION("""COMPUTED_VALUE"""),"")</f>
        <v/>
      </c>
    </row>
    <row r="802">
      <c r="A802" s="16" t="s">
        <v>87</v>
      </c>
      <c r="E802" s="16" t="str">
        <f>IFERROR(__xludf.DUMMYFUNCTION("""COMPUTED_VALUE"""),"")</f>
        <v/>
      </c>
      <c r="G802" s="18"/>
      <c r="H802" s="16" t="s">
        <v>87</v>
      </c>
      <c r="I802" s="16" t="s">
        <v>87</v>
      </c>
      <c r="J802" s="19"/>
      <c r="L802" s="16" t="str">
        <f>IFERROR(__xludf.DUMMYFUNCTION("""COMPUTED_VALUE"""),"")</f>
        <v/>
      </c>
      <c r="M802" s="16" t="str">
        <f>IFERROR(__xludf.DUMMYFUNCTION("""COMPUTED_VALUE"""),"")</f>
        <v/>
      </c>
      <c r="U802" s="16" t="s">
        <v>87</v>
      </c>
      <c r="V802" s="16" t="str">
        <f>IFERROR(__xludf.DUMMYFUNCTION("""COMPUTED_VALUE"""),"")</f>
        <v/>
      </c>
      <c r="W802" s="16" t="str">
        <f>IFERROR(__xludf.DUMMYFUNCTION("""COMPUTED_VALUE"""),"")</f>
        <v/>
      </c>
      <c r="X802" s="16" t="str">
        <f>IFERROR(__xludf.DUMMYFUNCTION("""COMPUTED_VALUE"""),"")</f>
        <v/>
      </c>
      <c r="AC802" s="16" t="str">
        <f>IFERROR(__xludf.DUMMYFUNCTION("""COMPUTED_VALUE"""),"")</f>
        <v/>
      </c>
    </row>
    <row r="803">
      <c r="A803" s="16" t="s">
        <v>87</v>
      </c>
      <c r="E803" s="16" t="str">
        <f>IFERROR(__xludf.DUMMYFUNCTION("""COMPUTED_VALUE"""),"")</f>
        <v/>
      </c>
      <c r="G803" s="18"/>
      <c r="H803" s="16" t="s">
        <v>87</v>
      </c>
      <c r="I803" s="16" t="s">
        <v>87</v>
      </c>
      <c r="J803" s="19"/>
      <c r="L803" s="16" t="str">
        <f>IFERROR(__xludf.DUMMYFUNCTION("""COMPUTED_VALUE"""),"")</f>
        <v/>
      </c>
      <c r="M803" s="16" t="str">
        <f>IFERROR(__xludf.DUMMYFUNCTION("""COMPUTED_VALUE"""),"")</f>
        <v/>
      </c>
      <c r="U803" s="16" t="s">
        <v>87</v>
      </c>
      <c r="V803" s="16" t="str">
        <f>IFERROR(__xludf.DUMMYFUNCTION("""COMPUTED_VALUE"""),"")</f>
        <v/>
      </c>
      <c r="W803" s="16" t="str">
        <f>IFERROR(__xludf.DUMMYFUNCTION("""COMPUTED_VALUE"""),"")</f>
        <v/>
      </c>
      <c r="X803" s="16" t="str">
        <f>IFERROR(__xludf.DUMMYFUNCTION("""COMPUTED_VALUE"""),"")</f>
        <v/>
      </c>
      <c r="AC803" s="16" t="str">
        <f>IFERROR(__xludf.DUMMYFUNCTION("""COMPUTED_VALUE"""),"")</f>
        <v/>
      </c>
    </row>
    <row r="804">
      <c r="A804" s="16" t="s">
        <v>87</v>
      </c>
      <c r="E804" s="16" t="str">
        <f>IFERROR(__xludf.DUMMYFUNCTION("""COMPUTED_VALUE"""),"")</f>
        <v/>
      </c>
      <c r="G804" s="18"/>
      <c r="H804" s="16" t="s">
        <v>87</v>
      </c>
      <c r="I804" s="16" t="s">
        <v>87</v>
      </c>
      <c r="J804" s="19"/>
      <c r="L804" s="16" t="str">
        <f>IFERROR(__xludf.DUMMYFUNCTION("""COMPUTED_VALUE"""),"")</f>
        <v/>
      </c>
      <c r="M804" s="16" t="str">
        <f>IFERROR(__xludf.DUMMYFUNCTION("""COMPUTED_VALUE"""),"")</f>
        <v/>
      </c>
      <c r="U804" s="16" t="s">
        <v>87</v>
      </c>
      <c r="V804" s="16" t="str">
        <f>IFERROR(__xludf.DUMMYFUNCTION("""COMPUTED_VALUE"""),"")</f>
        <v/>
      </c>
      <c r="W804" s="16" t="str">
        <f>IFERROR(__xludf.DUMMYFUNCTION("""COMPUTED_VALUE"""),"")</f>
        <v/>
      </c>
      <c r="X804" s="16" t="str">
        <f>IFERROR(__xludf.DUMMYFUNCTION("""COMPUTED_VALUE"""),"")</f>
        <v/>
      </c>
      <c r="AC804" s="16" t="str">
        <f>IFERROR(__xludf.DUMMYFUNCTION("""COMPUTED_VALUE"""),"")</f>
        <v/>
      </c>
    </row>
    <row r="805">
      <c r="A805" s="16" t="s">
        <v>87</v>
      </c>
      <c r="E805" s="16" t="str">
        <f>IFERROR(__xludf.DUMMYFUNCTION("""COMPUTED_VALUE"""),"")</f>
        <v/>
      </c>
      <c r="G805" s="18"/>
      <c r="H805" s="16" t="s">
        <v>87</v>
      </c>
      <c r="I805" s="16" t="s">
        <v>87</v>
      </c>
      <c r="J805" s="19"/>
      <c r="L805" s="16" t="str">
        <f>IFERROR(__xludf.DUMMYFUNCTION("""COMPUTED_VALUE"""),"")</f>
        <v/>
      </c>
      <c r="M805" s="16" t="str">
        <f>IFERROR(__xludf.DUMMYFUNCTION("""COMPUTED_VALUE"""),"")</f>
        <v/>
      </c>
      <c r="U805" s="16" t="s">
        <v>87</v>
      </c>
      <c r="V805" s="16" t="str">
        <f>IFERROR(__xludf.DUMMYFUNCTION("""COMPUTED_VALUE"""),"")</f>
        <v/>
      </c>
      <c r="W805" s="16" t="str">
        <f>IFERROR(__xludf.DUMMYFUNCTION("""COMPUTED_VALUE"""),"")</f>
        <v/>
      </c>
      <c r="X805" s="16" t="str">
        <f>IFERROR(__xludf.DUMMYFUNCTION("""COMPUTED_VALUE"""),"")</f>
        <v/>
      </c>
      <c r="AC805" s="16" t="str">
        <f>IFERROR(__xludf.DUMMYFUNCTION("""COMPUTED_VALUE"""),"")</f>
        <v/>
      </c>
    </row>
    <row r="806">
      <c r="A806" s="16" t="s">
        <v>87</v>
      </c>
      <c r="E806" s="16" t="str">
        <f>IFERROR(__xludf.DUMMYFUNCTION("""COMPUTED_VALUE"""),"")</f>
        <v/>
      </c>
      <c r="G806" s="18"/>
      <c r="H806" s="16" t="s">
        <v>87</v>
      </c>
      <c r="I806" s="16" t="s">
        <v>87</v>
      </c>
      <c r="J806" s="19"/>
      <c r="L806" s="16" t="str">
        <f>IFERROR(__xludf.DUMMYFUNCTION("""COMPUTED_VALUE"""),"")</f>
        <v/>
      </c>
      <c r="M806" s="16" t="str">
        <f>IFERROR(__xludf.DUMMYFUNCTION("""COMPUTED_VALUE"""),"")</f>
        <v/>
      </c>
      <c r="U806" s="16" t="s">
        <v>87</v>
      </c>
      <c r="V806" s="16" t="str">
        <f>IFERROR(__xludf.DUMMYFUNCTION("""COMPUTED_VALUE"""),"")</f>
        <v/>
      </c>
      <c r="W806" s="16" t="str">
        <f>IFERROR(__xludf.DUMMYFUNCTION("""COMPUTED_VALUE"""),"")</f>
        <v/>
      </c>
      <c r="X806" s="16" t="str">
        <f>IFERROR(__xludf.DUMMYFUNCTION("""COMPUTED_VALUE"""),"")</f>
        <v/>
      </c>
      <c r="AC806" s="16" t="str">
        <f>IFERROR(__xludf.DUMMYFUNCTION("""COMPUTED_VALUE"""),"")</f>
        <v/>
      </c>
    </row>
    <row r="807">
      <c r="A807" s="16" t="s">
        <v>87</v>
      </c>
      <c r="E807" s="16" t="str">
        <f>IFERROR(__xludf.DUMMYFUNCTION("""COMPUTED_VALUE"""),"")</f>
        <v/>
      </c>
      <c r="G807" s="18"/>
      <c r="H807" s="16" t="s">
        <v>87</v>
      </c>
      <c r="I807" s="16" t="s">
        <v>87</v>
      </c>
      <c r="J807" s="19"/>
      <c r="L807" s="16" t="str">
        <f>IFERROR(__xludf.DUMMYFUNCTION("""COMPUTED_VALUE"""),"")</f>
        <v/>
      </c>
      <c r="M807" s="16" t="str">
        <f>IFERROR(__xludf.DUMMYFUNCTION("""COMPUTED_VALUE"""),"")</f>
        <v/>
      </c>
      <c r="U807" s="16" t="s">
        <v>87</v>
      </c>
      <c r="V807" s="16" t="str">
        <f>IFERROR(__xludf.DUMMYFUNCTION("""COMPUTED_VALUE"""),"")</f>
        <v/>
      </c>
      <c r="W807" s="16" t="str">
        <f>IFERROR(__xludf.DUMMYFUNCTION("""COMPUTED_VALUE"""),"")</f>
        <v/>
      </c>
      <c r="X807" s="16" t="str">
        <f>IFERROR(__xludf.DUMMYFUNCTION("""COMPUTED_VALUE"""),"")</f>
        <v/>
      </c>
      <c r="AC807" s="16" t="str">
        <f>IFERROR(__xludf.DUMMYFUNCTION("""COMPUTED_VALUE"""),"")</f>
        <v/>
      </c>
    </row>
    <row r="808">
      <c r="A808" s="16" t="s">
        <v>87</v>
      </c>
      <c r="E808" s="16" t="str">
        <f>IFERROR(__xludf.DUMMYFUNCTION("""COMPUTED_VALUE"""),"")</f>
        <v/>
      </c>
      <c r="G808" s="18"/>
      <c r="H808" s="16" t="s">
        <v>87</v>
      </c>
      <c r="I808" s="16" t="s">
        <v>87</v>
      </c>
      <c r="J808" s="19"/>
      <c r="L808" s="16" t="str">
        <f>IFERROR(__xludf.DUMMYFUNCTION("""COMPUTED_VALUE"""),"")</f>
        <v/>
      </c>
      <c r="M808" s="16" t="str">
        <f>IFERROR(__xludf.DUMMYFUNCTION("""COMPUTED_VALUE"""),"")</f>
        <v/>
      </c>
      <c r="U808" s="16" t="s">
        <v>87</v>
      </c>
      <c r="V808" s="16" t="str">
        <f>IFERROR(__xludf.DUMMYFUNCTION("""COMPUTED_VALUE"""),"")</f>
        <v/>
      </c>
      <c r="W808" s="16" t="str">
        <f>IFERROR(__xludf.DUMMYFUNCTION("""COMPUTED_VALUE"""),"")</f>
        <v/>
      </c>
      <c r="X808" s="16" t="str">
        <f>IFERROR(__xludf.DUMMYFUNCTION("""COMPUTED_VALUE"""),"")</f>
        <v/>
      </c>
      <c r="AC808" s="16" t="str">
        <f>IFERROR(__xludf.DUMMYFUNCTION("""COMPUTED_VALUE"""),"")</f>
        <v/>
      </c>
    </row>
    <row r="809">
      <c r="A809" s="16" t="s">
        <v>87</v>
      </c>
      <c r="E809" s="16" t="str">
        <f>IFERROR(__xludf.DUMMYFUNCTION("""COMPUTED_VALUE"""),"")</f>
        <v/>
      </c>
      <c r="G809" s="18"/>
      <c r="H809" s="16" t="s">
        <v>87</v>
      </c>
      <c r="I809" s="16" t="s">
        <v>87</v>
      </c>
      <c r="J809" s="19"/>
      <c r="L809" s="16" t="str">
        <f>IFERROR(__xludf.DUMMYFUNCTION("""COMPUTED_VALUE"""),"")</f>
        <v/>
      </c>
      <c r="M809" s="16" t="str">
        <f>IFERROR(__xludf.DUMMYFUNCTION("""COMPUTED_VALUE"""),"")</f>
        <v/>
      </c>
      <c r="U809" s="16" t="s">
        <v>87</v>
      </c>
      <c r="V809" s="16" t="str">
        <f>IFERROR(__xludf.DUMMYFUNCTION("""COMPUTED_VALUE"""),"")</f>
        <v/>
      </c>
      <c r="W809" s="16" t="str">
        <f>IFERROR(__xludf.DUMMYFUNCTION("""COMPUTED_VALUE"""),"")</f>
        <v/>
      </c>
      <c r="X809" s="16" t="str">
        <f>IFERROR(__xludf.DUMMYFUNCTION("""COMPUTED_VALUE"""),"")</f>
        <v/>
      </c>
      <c r="AC809" s="16" t="str">
        <f>IFERROR(__xludf.DUMMYFUNCTION("""COMPUTED_VALUE"""),"")</f>
        <v/>
      </c>
    </row>
    <row r="810">
      <c r="A810" s="16" t="s">
        <v>87</v>
      </c>
      <c r="E810" s="16" t="str">
        <f>IFERROR(__xludf.DUMMYFUNCTION("""COMPUTED_VALUE"""),"")</f>
        <v/>
      </c>
      <c r="G810" s="18"/>
      <c r="H810" s="16" t="s">
        <v>87</v>
      </c>
      <c r="I810" s="16" t="s">
        <v>87</v>
      </c>
      <c r="J810" s="19"/>
      <c r="L810" s="16" t="str">
        <f>IFERROR(__xludf.DUMMYFUNCTION("""COMPUTED_VALUE"""),"")</f>
        <v/>
      </c>
      <c r="M810" s="16" t="str">
        <f>IFERROR(__xludf.DUMMYFUNCTION("""COMPUTED_VALUE"""),"")</f>
        <v/>
      </c>
      <c r="U810" s="16" t="s">
        <v>87</v>
      </c>
      <c r="V810" s="16" t="str">
        <f>IFERROR(__xludf.DUMMYFUNCTION("""COMPUTED_VALUE"""),"")</f>
        <v/>
      </c>
      <c r="W810" s="16" t="str">
        <f>IFERROR(__xludf.DUMMYFUNCTION("""COMPUTED_VALUE"""),"")</f>
        <v/>
      </c>
      <c r="X810" s="16" t="str">
        <f>IFERROR(__xludf.DUMMYFUNCTION("""COMPUTED_VALUE"""),"")</f>
        <v/>
      </c>
      <c r="AC810" s="16" t="str">
        <f>IFERROR(__xludf.DUMMYFUNCTION("""COMPUTED_VALUE"""),"")</f>
        <v/>
      </c>
    </row>
    <row r="811">
      <c r="A811" s="16" t="s">
        <v>87</v>
      </c>
      <c r="E811" s="16" t="str">
        <f>IFERROR(__xludf.DUMMYFUNCTION("""COMPUTED_VALUE"""),"")</f>
        <v/>
      </c>
      <c r="G811" s="18"/>
      <c r="H811" s="16" t="s">
        <v>87</v>
      </c>
      <c r="I811" s="16" t="s">
        <v>87</v>
      </c>
      <c r="J811" s="19"/>
      <c r="L811" s="16" t="str">
        <f>IFERROR(__xludf.DUMMYFUNCTION("""COMPUTED_VALUE"""),"")</f>
        <v/>
      </c>
      <c r="M811" s="16" t="str">
        <f>IFERROR(__xludf.DUMMYFUNCTION("""COMPUTED_VALUE"""),"")</f>
        <v/>
      </c>
      <c r="U811" s="16" t="s">
        <v>87</v>
      </c>
      <c r="V811" s="16" t="str">
        <f>IFERROR(__xludf.DUMMYFUNCTION("""COMPUTED_VALUE"""),"")</f>
        <v/>
      </c>
      <c r="W811" s="16" t="str">
        <f>IFERROR(__xludf.DUMMYFUNCTION("""COMPUTED_VALUE"""),"")</f>
        <v/>
      </c>
      <c r="X811" s="16" t="str">
        <f>IFERROR(__xludf.DUMMYFUNCTION("""COMPUTED_VALUE"""),"")</f>
        <v/>
      </c>
      <c r="AC811" s="16" t="str">
        <f>IFERROR(__xludf.DUMMYFUNCTION("""COMPUTED_VALUE"""),"")</f>
        <v/>
      </c>
    </row>
    <row r="812">
      <c r="A812" s="16" t="s">
        <v>87</v>
      </c>
      <c r="E812" s="16" t="str">
        <f>IFERROR(__xludf.DUMMYFUNCTION("""COMPUTED_VALUE"""),"")</f>
        <v/>
      </c>
      <c r="G812" s="18"/>
      <c r="H812" s="16" t="s">
        <v>87</v>
      </c>
      <c r="I812" s="16" t="s">
        <v>87</v>
      </c>
      <c r="J812" s="19"/>
      <c r="L812" s="16" t="str">
        <f>IFERROR(__xludf.DUMMYFUNCTION("""COMPUTED_VALUE"""),"")</f>
        <v/>
      </c>
      <c r="M812" s="16" t="str">
        <f>IFERROR(__xludf.DUMMYFUNCTION("""COMPUTED_VALUE"""),"")</f>
        <v/>
      </c>
      <c r="U812" s="16" t="s">
        <v>87</v>
      </c>
      <c r="V812" s="16" t="str">
        <f>IFERROR(__xludf.DUMMYFUNCTION("""COMPUTED_VALUE"""),"")</f>
        <v/>
      </c>
      <c r="W812" s="16" t="str">
        <f>IFERROR(__xludf.DUMMYFUNCTION("""COMPUTED_VALUE"""),"")</f>
        <v/>
      </c>
      <c r="X812" s="16" t="str">
        <f>IFERROR(__xludf.DUMMYFUNCTION("""COMPUTED_VALUE"""),"")</f>
        <v/>
      </c>
      <c r="AC812" s="16" t="str">
        <f>IFERROR(__xludf.DUMMYFUNCTION("""COMPUTED_VALUE"""),"")</f>
        <v/>
      </c>
    </row>
    <row r="813">
      <c r="A813" s="16" t="s">
        <v>87</v>
      </c>
      <c r="E813" s="16" t="str">
        <f>IFERROR(__xludf.DUMMYFUNCTION("""COMPUTED_VALUE"""),"")</f>
        <v/>
      </c>
      <c r="G813" s="18"/>
      <c r="H813" s="16" t="s">
        <v>87</v>
      </c>
      <c r="I813" s="16" t="s">
        <v>87</v>
      </c>
      <c r="J813" s="19"/>
      <c r="L813" s="16" t="str">
        <f>IFERROR(__xludf.DUMMYFUNCTION("""COMPUTED_VALUE"""),"")</f>
        <v/>
      </c>
      <c r="M813" s="16" t="str">
        <f>IFERROR(__xludf.DUMMYFUNCTION("""COMPUTED_VALUE"""),"")</f>
        <v/>
      </c>
      <c r="U813" s="16" t="s">
        <v>87</v>
      </c>
      <c r="V813" s="16" t="str">
        <f>IFERROR(__xludf.DUMMYFUNCTION("""COMPUTED_VALUE"""),"")</f>
        <v/>
      </c>
      <c r="W813" s="16" t="str">
        <f>IFERROR(__xludf.DUMMYFUNCTION("""COMPUTED_VALUE"""),"")</f>
        <v/>
      </c>
      <c r="X813" s="16" t="str">
        <f>IFERROR(__xludf.DUMMYFUNCTION("""COMPUTED_VALUE"""),"")</f>
        <v/>
      </c>
      <c r="AC813" s="16" t="str">
        <f>IFERROR(__xludf.DUMMYFUNCTION("""COMPUTED_VALUE"""),"")</f>
        <v/>
      </c>
    </row>
    <row r="814">
      <c r="A814" s="16" t="s">
        <v>87</v>
      </c>
      <c r="E814" s="16" t="str">
        <f>IFERROR(__xludf.DUMMYFUNCTION("""COMPUTED_VALUE"""),"")</f>
        <v/>
      </c>
      <c r="G814" s="18"/>
      <c r="H814" s="16" t="s">
        <v>87</v>
      </c>
      <c r="I814" s="16" t="s">
        <v>87</v>
      </c>
      <c r="J814" s="19"/>
      <c r="L814" s="16" t="str">
        <f>IFERROR(__xludf.DUMMYFUNCTION("""COMPUTED_VALUE"""),"")</f>
        <v/>
      </c>
      <c r="M814" s="16" t="str">
        <f>IFERROR(__xludf.DUMMYFUNCTION("""COMPUTED_VALUE"""),"")</f>
        <v/>
      </c>
      <c r="U814" s="16" t="s">
        <v>87</v>
      </c>
      <c r="V814" s="16" t="str">
        <f>IFERROR(__xludf.DUMMYFUNCTION("""COMPUTED_VALUE"""),"")</f>
        <v/>
      </c>
      <c r="W814" s="16" t="str">
        <f>IFERROR(__xludf.DUMMYFUNCTION("""COMPUTED_VALUE"""),"")</f>
        <v/>
      </c>
      <c r="X814" s="16" t="str">
        <f>IFERROR(__xludf.DUMMYFUNCTION("""COMPUTED_VALUE"""),"")</f>
        <v/>
      </c>
      <c r="AC814" s="16" t="str">
        <f>IFERROR(__xludf.DUMMYFUNCTION("""COMPUTED_VALUE"""),"")</f>
        <v/>
      </c>
    </row>
    <row r="815">
      <c r="A815" s="16" t="s">
        <v>87</v>
      </c>
      <c r="E815" s="16" t="str">
        <f>IFERROR(__xludf.DUMMYFUNCTION("""COMPUTED_VALUE"""),"")</f>
        <v/>
      </c>
      <c r="G815" s="18"/>
      <c r="H815" s="16" t="s">
        <v>87</v>
      </c>
      <c r="I815" s="16" t="s">
        <v>87</v>
      </c>
      <c r="J815" s="19"/>
      <c r="L815" s="16" t="str">
        <f>IFERROR(__xludf.DUMMYFUNCTION("""COMPUTED_VALUE"""),"")</f>
        <v/>
      </c>
      <c r="M815" s="16" t="str">
        <f>IFERROR(__xludf.DUMMYFUNCTION("""COMPUTED_VALUE"""),"")</f>
        <v/>
      </c>
      <c r="U815" s="16" t="s">
        <v>87</v>
      </c>
      <c r="V815" s="16" t="str">
        <f>IFERROR(__xludf.DUMMYFUNCTION("""COMPUTED_VALUE"""),"")</f>
        <v/>
      </c>
      <c r="W815" s="16" t="str">
        <f>IFERROR(__xludf.DUMMYFUNCTION("""COMPUTED_VALUE"""),"")</f>
        <v/>
      </c>
      <c r="X815" s="16" t="str">
        <f>IFERROR(__xludf.DUMMYFUNCTION("""COMPUTED_VALUE"""),"")</f>
        <v/>
      </c>
      <c r="AC815" s="16" t="str">
        <f>IFERROR(__xludf.DUMMYFUNCTION("""COMPUTED_VALUE"""),"")</f>
        <v/>
      </c>
    </row>
    <row r="816">
      <c r="A816" s="16" t="s">
        <v>87</v>
      </c>
      <c r="E816" s="16" t="str">
        <f>IFERROR(__xludf.DUMMYFUNCTION("""COMPUTED_VALUE"""),"")</f>
        <v/>
      </c>
      <c r="G816" s="18"/>
      <c r="H816" s="16" t="s">
        <v>87</v>
      </c>
      <c r="I816" s="16" t="s">
        <v>87</v>
      </c>
      <c r="J816" s="19"/>
      <c r="L816" s="16" t="str">
        <f>IFERROR(__xludf.DUMMYFUNCTION("""COMPUTED_VALUE"""),"")</f>
        <v/>
      </c>
      <c r="M816" s="16" t="str">
        <f>IFERROR(__xludf.DUMMYFUNCTION("""COMPUTED_VALUE"""),"")</f>
        <v/>
      </c>
      <c r="U816" s="16" t="s">
        <v>87</v>
      </c>
      <c r="V816" s="16" t="str">
        <f>IFERROR(__xludf.DUMMYFUNCTION("""COMPUTED_VALUE"""),"")</f>
        <v/>
      </c>
      <c r="W816" s="16" t="str">
        <f>IFERROR(__xludf.DUMMYFUNCTION("""COMPUTED_VALUE"""),"")</f>
        <v/>
      </c>
      <c r="X816" s="16" t="str">
        <f>IFERROR(__xludf.DUMMYFUNCTION("""COMPUTED_VALUE"""),"")</f>
        <v/>
      </c>
      <c r="AC816" s="16" t="str">
        <f>IFERROR(__xludf.DUMMYFUNCTION("""COMPUTED_VALUE"""),"")</f>
        <v/>
      </c>
    </row>
    <row r="817">
      <c r="A817" s="16" t="s">
        <v>87</v>
      </c>
      <c r="E817" s="16" t="str">
        <f>IFERROR(__xludf.DUMMYFUNCTION("""COMPUTED_VALUE"""),"")</f>
        <v/>
      </c>
      <c r="G817" s="18"/>
      <c r="H817" s="16" t="s">
        <v>87</v>
      </c>
      <c r="I817" s="16" t="s">
        <v>87</v>
      </c>
      <c r="J817" s="19"/>
      <c r="L817" s="16" t="str">
        <f>IFERROR(__xludf.DUMMYFUNCTION("""COMPUTED_VALUE"""),"")</f>
        <v/>
      </c>
      <c r="M817" s="16" t="str">
        <f>IFERROR(__xludf.DUMMYFUNCTION("""COMPUTED_VALUE"""),"")</f>
        <v/>
      </c>
      <c r="U817" s="16" t="s">
        <v>87</v>
      </c>
      <c r="V817" s="16" t="str">
        <f>IFERROR(__xludf.DUMMYFUNCTION("""COMPUTED_VALUE"""),"")</f>
        <v/>
      </c>
      <c r="W817" s="16" t="str">
        <f>IFERROR(__xludf.DUMMYFUNCTION("""COMPUTED_VALUE"""),"")</f>
        <v/>
      </c>
      <c r="X817" s="16" t="str">
        <f>IFERROR(__xludf.DUMMYFUNCTION("""COMPUTED_VALUE"""),"")</f>
        <v/>
      </c>
      <c r="AC817" s="16" t="str">
        <f>IFERROR(__xludf.DUMMYFUNCTION("""COMPUTED_VALUE"""),"")</f>
        <v/>
      </c>
    </row>
    <row r="818">
      <c r="A818" s="16" t="s">
        <v>87</v>
      </c>
      <c r="E818" s="16" t="str">
        <f>IFERROR(__xludf.DUMMYFUNCTION("""COMPUTED_VALUE"""),"")</f>
        <v/>
      </c>
      <c r="G818" s="18"/>
      <c r="H818" s="16" t="s">
        <v>87</v>
      </c>
      <c r="I818" s="16" t="s">
        <v>87</v>
      </c>
      <c r="J818" s="19"/>
      <c r="L818" s="16" t="str">
        <f>IFERROR(__xludf.DUMMYFUNCTION("""COMPUTED_VALUE"""),"")</f>
        <v/>
      </c>
      <c r="M818" s="16" t="str">
        <f>IFERROR(__xludf.DUMMYFUNCTION("""COMPUTED_VALUE"""),"")</f>
        <v/>
      </c>
      <c r="U818" s="16" t="s">
        <v>87</v>
      </c>
      <c r="V818" s="16" t="str">
        <f>IFERROR(__xludf.DUMMYFUNCTION("""COMPUTED_VALUE"""),"")</f>
        <v/>
      </c>
      <c r="W818" s="16" t="str">
        <f>IFERROR(__xludf.DUMMYFUNCTION("""COMPUTED_VALUE"""),"")</f>
        <v/>
      </c>
      <c r="X818" s="16" t="str">
        <f>IFERROR(__xludf.DUMMYFUNCTION("""COMPUTED_VALUE"""),"")</f>
        <v/>
      </c>
      <c r="AC818" s="16" t="str">
        <f>IFERROR(__xludf.DUMMYFUNCTION("""COMPUTED_VALUE"""),"")</f>
        <v/>
      </c>
    </row>
    <row r="819">
      <c r="A819" s="16" t="s">
        <v>87</v>
      </c>
      <c r="E819" s="16" t="str">
        <f>IFERROR(__xludf.DUMMYFUNCTION("""COMPUTED_VALUE"""),"")</f>
        <v/>
      </c>
      <c r="G819" s="18"/>
      <c r="H819" s="16" t="s">
        <v>87</v>
      </c>
      <c r="I819" s="16" t="s">
        <v>87</v>
      </c>
      <c r="J819" s="19"/>
      <c r="L819" s="16" t="str">
        <f>IFERROR(__xludf.DUMMYFUNCTION("""COMPUTED_VALUE"""),"")</f>
        <v/>
      </c>
      <c r="M819" s="16" t="str">
        <f>IFERROR(__xludf.DUMMYFUNCTION("""COMPUTED_VALUE"""),"")</f>
        <v/>
      </c>
      <c r="U819" s="16" t="s">
        <v>87</v>
      </c>
      <c r="V819" s="16" t="str">
        <f>IFERROR(__xludf.DUMMYFUNCTION("""COMPUTED_VALUE"""),"")</f>
        <v/>
      </c>
      <c r="W819" s="16" t="str">
        <f>IFERROR(__xludf.DUMMYFUNCTION("""COMPUTED_VALUE"""),"")</f>
        <v/>
      </c>
      <c r="X819" s="16" t="str">
        <f>IFERROR(__xludf.DUMMYFUNCTION("""COMPUTED_VALUE"""),"")</f>
        <v/>
      </c>
      <c r="AC819" s="16" t="str">
        <f>IFERROR(__xludf.DUMMYFUNCTION("""COMPUTED_VALUE"""),"")</f>
        <v/>
      </c>
    </row>
    <row r="820">
      <c r="A820" s="16" t="s">
        <v>87</v>
      </c>
      <c r="E820" s="16" t="str">
        <f>IFERROR(__xludf.DUMMYFUNCTION("""COMPUTED_VALUE"""),"")</f>
        <v/>
      </c>
      <c r="G820" s="18"/>
      <c r="H820" s="16" t="s">
        <v>87</v>
      </c>
      <c r="I820" s="16" t="s">
        <v>87</v>
      </c>
      <c r="J820" s="19"/>
      <c r="L820" s="16" t="str">
        <f>IFERROR(__xludf.DUMMYFUNCTION("""COMPUTED_VALUE"""),"")</f>
        <v/>
      </c>
      <c r="M820" s="16" t="str">
        <f>IFERROR(__xludf.DUMMYFUNCTION("""COMPUTED_VALUE"""),"")</f>
        <v/>
      </c>
      <c r="U820" s="16" t="s">
        <v>87</v>
      </c>
      <c r="V820" s="16" t="str">
        <f>IFERROR(__xludf.DUMMYFUNCTION("""COMPUTED_VALUE"""),"")</f>
        <v/>
      </c>
      <c r="W820" s="16" t="str">
        <f>IFERROR(__xludf.DUMMYFUNCTION("""COMPUTED_VALUE"""),"")</f>
        <v/>
      </c>
      <c r="X820" s="16" t="str">
        <f>IFERROR(__xludf.DUMMYFUNCTION("""COMPUTED_VALUE"""),"")</f>
        <v/>
      </c>
      <c r="AC820" s="16" t="str">
        <f>IFERROR(__xludf.DUMMYFUNCTION("""COMPUTED_VALUE"""),"")</f>
        <v/>
      </c>
    </row>
    <row r="821">
      <c r="A821" s="16" t="s">
        <v>87</v>
      </c>
      <c r="E821" s="16" t="str">
        <f>IFERROR(__xludf.DUMMYFUNCTION("""COMPUTED_VALUE"""),"")</f>
        <v/>
      </c>
      <c r="G821" s="18"/>
      <c r="H821" s="16" t="s">
        <v>87</v>
      </c>
      <c r="I821" s="16" t="s">
        <v>87</v>
      </c>
      <c r="J821" s="19"/>
      <c r="L821" s="16" t="str">
        <f>IFERROR(__xludf.DUMMYFUNCTION("""COMPUTED_VALUE"""),"")</f>
        <v/>
      </c>
      <c r="M821" s="16" t="str">
        <f>IFERROR(__xludf.DUMMYFUNCTION("""COMPUTED_VALUE"""),"")</f>
        <v/>
      </c>
      <c r="U821" s="16" t="s">
        <v>87</v>
      </c>
      <c r="V821" s="16" t="str">
        <f>IFERROR(__xludf.DUMMYFUNCTION("""COMPUTED_VALUE"""),"")</f>
        <v/>
      </c>
      <c r="W821" s="16" t="str">
        <f>IFERROR(__xludf.DUMMYFUNCTION("""COMPUTED_VALUE"""),"")</f>
        <v/>
      </c>
      <c r="X821" s="16" t="str">
        <f>IFERROR(__xludf.DUMMYFUNCTION("""COMPUTED_VALUE"""),"")</f>
        <v/>
      </c>
      <c r="AC821" s="16" t="str">
        <f>IFERROR(__xludf.DUMMYFUNCTION("""COMPUTED_VALUE"""),"")</f>
        <v/>
      </c>
    </row>
    <row r="822">
      <c r="A822" s="16" t="s">
        <v>87</v>
      </c>
      <c r="E822" s="16" t="str">
        <f>IFERROR(__xludf.DUMMYFUNCTION("""COMPUTED_VALUE"""),"")</f>
        <v/>
      </c>
      <c r="G822" s="18"/>
      <c r="H822" s="16" t="s">
        <v>87</v>
      </c>
      <c r="I822" s="16" t="s">
        <v>87</v>
      </c>
      <c r="J822" s="19"/>
      <c r="L822" s="16" t="str">
        <f>IFERROR(__xludf.DUMMYFUNCTION("""COMPUTED_VALUE"""),"")</f>
        <v/>
      </c>
      <c r="M822" s="16" t="str">
        <f>IFERROR(__xludf.DUMMYFUNCTION("""COMPUTED_VALUE"""),"")</f>
        <v/>
      </c>
      <c r="U822" s="16" t="s">
        <v>87</v>
      </c>
      <c r="V822" s="16" t="str">
        <f>IFERROR(__xludf.DUMMYFUNCTION("""COMPUTED_VALUE"""),"")</f>
        <v/>
      </c>
      <c r="W822" s="16" t="str">
        <f>IFERROR(__xludf.DUMMYFUNCTION("""COMPUTED_VALUE"""),"")</f>
        <v/>
      </c>
      <c r="X822" s="16" t="str">
        <f>IFERROR(__xludf.DUMMYFUNCTION("""COMPUTED_VALUE"""),"")</f>
        <v/>
      </c>
      <c r="AC822" s="16" t="str">
        <f>IFERROR(__xludf.DUMMYFUNCTION("""COMPUTED_VALUE"""),"")</f>
        <v/>
      </c>
    </row>
    <row r="823">
      <c r="A823" s="16" t="s">
        <v>87</v>
      </c>
      <c r="E823" s="16" t="str">
        <f>IFERROR(__xludf.DUMMYFUNCTION("""COMPUTED_VALUE"""),"")</f>
        <v/>
      </c>
      <c r="G823" s="18"/>
      <c r="H823" s="16" t="s">
        <v>87</v>
      </c>
      <c r="I823" s="16" t="s">
        <v>87</v>
      </c>
      <c r="J823" s="19"/>
      <c r="L823" s="16" t="str">
        <f>IFERROR(__xludf.DUMMYFUNCTION("""COMPUTED_VALUE"""),"")</f>
        <v/>
      </c>
      <c r="M823" s="16" t="str">
        <f>IFERROR(__xludf.DUMMYFUNCTION("""COMPUTED_VALUE"""),"")</f>
        <v/>
      </c>
      <c r="U823" s="16" t="s">
        <v>87</v>
      </c>
      <c r="V823" s="16" t="str">
        <f>IFERROR(__xludf.DUMMYFUNCTION("""COMPUTED_VALUE"""),"")</f>
        <v/>
      </c>
      <c r="W823" s="16" t="str">
        <f>IFERROR(__xludf.DUMMYFUNCTION("""COMPUTED_VALUE"""),"")</f>
        <v/>
      </c>
      <c r="X823" s="16" t="str">
        <f>IFERROR(__xludf.DUMMYFUNCTION("""COMPUTED_VALUE"""),"")</f>
        <v/>
      </c>
      <c r="AC823" s="16" t="str">
        <f>IFERROR(__xludf.DUMMYFUNCTION("""COMPUTED_VALUE"""),"")</f>
        <v/>
      </c>
    </row>
    <row r="824">
      <c r="A824" s="16" t="s">
        <v>87</v>
      </c>
      <c r="E824" s="16" t="str">
        <f>IFERROR(__xludf.DUMMYFUNCTION("""COMPUTED_VALUE"""),"")</f>
        <v/>
      </c>
      <c r="G824" s="18"/>
      <c r="H824" s="16" t="s">
        <v>87</v>
      </c>
      <c r="I824" s="16" t="s">
        <v>87</v>
      </c>
      <c r="J824" s="19"/>
      <c r="L824" s="16" t="str">
        <f>IFERROR(__xludf.DUMMYFUNCTION("""COMPUTED_VALUE"""),"")</f>
        <v/>
      </c>
      <c r="M824" s="16" t="str">
        <f>IFERROR(__xludf.DUMMYFUNCTION("""COMPUTED_VALUE"""),"")</f>
        <v/>
      </c>
      <c r="U824" s="16" t="s">
        <v>87</v>
      </c>
      <c r="V824" s="16" t="str">
        <f>IFERROR(__xludf.DUMMYFUNCTION("""COMPUTED_VALUE"""),"")</f>
        <v/>
      </c>
      <c r="W824" s="16" t="str">
        <f>IFERROR(__xludf.DUMMYFUNCTION("""COMPUTED_VALUE"""),"")</f>
        <v/>
      </c>
      <c r="X824" s="16" t="str">
        <f>IFERROR(__xludf.DUMMYFUNCTION("""COMPUTED_VALUE"""),"")</f>
        <v/>
      </c>
      <c r="AC824" s="16" t="str">
        <f>IFERROR(__xludf.DUMMYFUNCTION("""COMPUTED_VALUE"""),"")</f>
        <v/>
      </c>
    </row>
    <row r="825">
      <c r="A825" s="16" t="s">
        <v>87</v>
      </c>
      <c r="E825" s="16" t="str">
        <f>IFERROR(__xludf.DUMMYFUNCTION("""COMPUTED_VALUE"""),"")</f>
        <v/>
      </c>
      <c r="G825" s="18"/>
      <c r="H825" s="16" t="s">
        <v>87</v>
      </c>
      <c r="I825" s="16" t="s">
        <v>87</v>
      </c>
      <c r="J825" s="19"/>
      <c r="L825" s="16" t="str">
        <f>IFERROR(__xludf.DUMMYFUNCTION("""COMPUTED_VALUE"""),"")</f>
        <v/>
      </c>
      <c r="M825" s="16" t="str">
        <f>IFERROR(__xludf.DUMMYFUNCTION("""COMPUTED_VALUE"""),"")</f>
        <v/>
      </c>
      <c r="U825" s="16" t="s">
        <v>87</v>
      </c>
      <c r="V825" s="16" t="str">
        <f>IFERROR(__xludf.DUMMYFUNCTION("""COMPUTED_VALUE"""),"")</f>
        <v/>
      </c>
      <c r="W825" s="16" t="str">
        <f>IFERROR(__xludf.DUMMYFUNCTION("""COMPUTED_VALUE"""),"")</f>
        <v/>
      </c>
      <c r="X825" s="16" t="str">
        <f>IFERROR(__xludf.DUMMYFUNCTION("""COMPUTED_VALUE"""),"")</f>
        <v/>
      </c>
      <c r="AC825" s="16" t="str">
        <f>IFERROR(__xludf.DUMMYFUNCTION("""COMPUTED_VALUE"""),"")</f>
        <v/>
      </c>
    </row>
    <row r="826">
      <c r="A826" s="16" t="s">
        <v>87</v>
      </c>
      <c r="E826" s="16" t="str">
        <f>IFERROR(__xludf.DUMMYFUNCTION("""COMPUTED_VALUE"""),"")</f>
        <v/>
      </c>
      <c r="G826" s="18"/>
      <c r="H826" s="16" t="s">
        <v>87</v>
      </c>
      <c r="I826" s="16" t="s">
        <v>87</v>
      </c>
      <c r="J826" s="19"/>
      <c r="L826" s="16" t="str">
        <f>IFERROR(__xludf.DUMMYFUNCTION("""COMPUTED_VALUE"""),"")</f>
        <v/>
      </c>
      <c r="M826" s="16" t="str">
        <f>IFERROR(__xludf.DUMMYFUNCTION("""COMPUTED_VALUE"""),"")</f>
        <v/>
      </c>
      <c r="U826" s="16" t="s">
        <v>87</v>
      </c>
      <c r="V826" s="16" t="str">
        <f>IFERROR(__xludf.DUMMYFUNCTION("""COMPUTED_VALUE"""),"")</f>
        <v/>
      </c>
      <c r="W826" s="16" t="str">
        <f>IFERROR(__xludf.DUMMYFUNCTION("""COMPUTED_VALUE"""),"")</f>
        <v/>
      </c>
      <c r="X826" s="16" t="str">
        <f>IFERROR(__xludf.DUMMYFUNCTION("""COMPUTED_VALUE"""),"")</f>
        <v/>
      </c>
      <c r="AC826" s="16" t="str">
        <f>IFERROR(__xludf.DUMMYFUNCTION("""COMPUTED_VALUE"""),"")</f>
        <v/>
      </c>
    </row>
    <row r="827">
      <c r="A827" s="16" t="s">
        <v>87</v>
      </c>
      <c r="E827" s="16" t="str">
        <f>IFERROR(__xludf.DUMMYFUNCTION("""COMPUTED_VALUE"""),"")</f>
        <v/>
      </c>
      <c r="G827" s="18"/>
      <c r="H827" s="16" t="s">
        <v>87</v>
      </c>
      <c r="I827" s="16" t="s">
        <v>87</v>
      </c>
      <c r="J827" s="19"/>
      <c r="L827" s="16" t="str">
        <f>IFERROR(__xludf.DUMMYFUNCTION("""COMPUTED_VALUE"""),"")</f>
        <v/>
      </c>
      <c r="M827" s="16" t="str">
        <f>IFERROR(__xludf.DUMMYFUNCTION("""COMPUTED_VALUE"""),"")</f>
        <v/>
      </c>
      <c r="U827" s="16" t="s">
        <v>87</v>
      </c>
      <c r="V827" s="16" t="str">
        <f>IFERROR(__xludf.DUMMYFUNCTION("""COMPUTED_VALUE"""),"")</f>
        <v/>
      </c>
      <c r="W827" s="16" t="str">
        <f>IFERROR(__xludf.DUMMYFUNCTION("""COMPUTED_VALUE"""),"")</f>
        <v/>
      </c>
      <c r="X827" s="16" t="str">
        <f>IFERROR(__xludf.DUMMYFUNCTION("""COMPUTED_VALUE"""),"")</f>
        <v/>
      </c>
      <c r="AC827" s="16" t="str">
        <f>IFERROR(__xludf.DUMMYFUNCTION("""COMPUTED_VALUE"""),"")</f>
        <v/>
      </c>
    </row>
    <row r="828">
      <c r="A828" s="16" t="s">
        <v>87</v>
      </c>
      <c r="E828" s="16" t="str">
        <f>IFERROR(__xludf.DUMMYFUNCTION("""COMPUTED_VALUE"""),"")</f>
        <v/>
      </c>
      <c r="G828" s="18"/>
      <c r="H828" s="16" t="s">
        <v>87</v>
      </c>
      <c r="I828" s="16" t="s">
        <v>87</v>
      </c>
      <c r="J828" s="19"/>
      <c r="L828" s="16" t="str">
        <f>IFERROR(__xludf.DUMMYFUNCTION("""COMPUTED_VALUE"""),"")</f>
        <v/>
      </c>
      <c r="M828" s="16" t="str">
        <f>IFERROR(__xludf.DUMMYFUNCTION("""COMPUTED_VALUE"""),"")</f>
        <v/>
      </c>
      <c r="U828" s="16" t="s">
        <v>87</v>
      </c>
      <c r="V828" s="16" t="str">
        <f>IFERROR(__xludf.DUMMYFUNCTION("""COMPUTED_VALUE"""),"")</f>
        <v/>
      </c>
      <c r="W828" s="16" t="str">
        <f>IFERROR(__xludf.DUMMYFUNCTION("""COMPUTED_VALUE"""),"")</f>
        <v/>
      </c>
      <c r="X828" s="16" t="str">
        <f>IFERROR(__xludf.DUMMYFUNCTION("""COMPUTED_VALUE"""),"")</f>
        <v/>
      </c>
      <c r="AC828" s="16" t="str">
        <f>IFERROR(__xludf.DUMMYFUNCTION("""COMPUTED_VALUE"""),"")</f>
        <v/>
      </c>
    </row>
    <row r="829">
      <c r="A829" s="16" t="s">
        <v>87</v>
      </c>
      <c r="E829" s="16" t="str">
        <f>IFERROR(__xludf.DUMMYFUNCTION("""COMPUTED_VALUE"""),"")</f>
        <v/>
      </c>
      <c r="G829" s="18"/>
      <c r="H829" s="16" t="s">
        <v>87</v>
      </c>
      <c r="I829" s="16" t="s">
        <v>87</v>
      </c>
      <c r="J829" s="19"/>
      <c r="L829" s="16" t="str">
        <f>IFERROR(__xludf.DUMMYFUNCTION("""COMPUTED_VALUE"""),"")</f>
        <v/>
      </c>
      <c r="M829" s="16" t="str">
        <f>IFERROR(__xludf.DUMMYFUNCTION("""COMPUTED_VALUE"""),"")</f>
        <v/>
      </c>
      <c r="U829" s="16" t="s">
        <v>87</v>
      </c>
      <c r="V829" s="16" t="str">
        <f>IFERROR(__xludf.DUMMYFUNCTION("""COMPUTED_VALUE"""),"")</f>
        <v/>
      </c>
      <c r="W829" s="16" t="str">
        <f>IFERROR(__xludf.DUMMYFUNCTION("""COMPUTED_VALUE"""),"")</f>
        <v/>
      </c>
      <c r="X829" s="16" t="str">
        <f>IFERROR(__xludf.DUMMYFUNCTION("""COMPUTED_VALUE"""),"")</f>
        <v/>
      </c>
      <c r="AC829" s="16" t="str">
        <f>IFERROR(__xludf.DUMMYFUNCTION("""COMPUTED_VALUE"""),"")</f>
        <v/>
      </c>
    </row>
    <row r="830">
      <c r="A830" s="16" t="s">
        <v>87</v>
      </c>
      <c r="E830" s="16" t="str">
        <f>IFERROR(__xludf.DUMMYFUNCTION("""COMPUTED_VALUE"""),"")</f>
        <v/>
      </c>
      <c r="G830" s="18"/>
      <c r="H830" s="16" t="s">
        <v>87</v>
      </c>
      <c r="I830" s="16" t="s">
        <v>87</v>
      </c>
      <c r="J830" s="19"/>
      <c r="L830" s="16" t="str">
        <f>IFERROR(__xludf.DUMMYFUNCTION("""COMPUTED_VALUE"""),"")</f>
        <v/>
      </c>
      <c r="M830" s="16" t="str">
        <f>IFERROR(__xludf.DUMMYFUNCTION("""COMPUTED_VALUE"""),"")</f>
        <v/>
      </c>
      <c r="U830" s="16" t="s">
        <v>87</v>
      </c>
      <c r="V830" s="16" t="str">
        <f>IFERROR(__xludf.DUMMYFUNCTION("""COMPUTED_VALUE"""),"")</f>
        <v/>
      </c>
      <c r="W830" s="16" t="str">
        <f>IFERROR(__xludf.DUMMYFUNCTION("""COMPUTED_VALUE"""),"")</f>
        <v/>
      </c>
      <c r="X830" s="16" t="str">
        <f>IFERROR(__xludf.DUMMYFUNCTION("""COMPUTED_VALUE"""),"")</f>
        <v/>
      </c>
      <c r="AC830" s="16" t="str">
        <f>IFERROR(__xludf.DUMMYFUNCTION("""COMPUTED_VALUE"""),"")</f>
        <v/>
      </c>
    </row>
    <row r="831">
      <c r="A831" s="16" t="s">
        <v>87</v>
      </c>
      <c r="E831" s="16" t="str">
        <f>IFERROR(__xludf.DUMMYFUNCTION("""COMPUTED_VALUE"""),"")</f>
        <v/>
      </c>
      <c r="G831" s="18"/>
      <c r="H831" s="16" t="s">
        <v>87</v>
      </c>
      <c r="I831" s="16" t="s">
        <v>87</v>
      </c>
      <c r="J831" s="19"/>
      <c r="L831" s="16" t="str">
        <f>IFERROR(__xludf.DUMMYFUNCTION("""COMPUTED_VALUE"""),"")</f>
        <v/>
      </c>
      <c r="M831" s="16" t="str">
        <f>IFERROR(__xludf.DUMMYFUNCTION("""COMPUTED_VALUE"""),"")</f>
        <v/>
      </c>
      <c r="U831" s="16" t="s">
        <v>87</v>
      </c>
      <c r="V831" s="16" t="str">
        <f>IFERROR(__xludf.DUMMYFUNCTION("""COMPUTED_VALUE"""),"")</f>
        <v/>
      </c>
      <c r="W831" s="16" t="str">
        <f>IFERROR(__xludf.DUMMYFUNCTION("""COMPUTED_VALUE"""),"")</f>
        <v/>
      </c>
      <c r="X831" s="16" t="str">
        <f>IFERROR(__xludf.DUMMYFUNCTION("""COMPUTED_VALUE"""),"")</f>
        <v/>
      </c>
      <c r="AC831" s="16" t="str">
        <f>IFERROR(__xludf.DUMMYFUNCTION("""COMPUTED_VALUE"""),"")</f>
        <v/>
      </c>
    </row>
    <row r="832">
      <c r="A832" s="16" t="s">
        <v>87</v>
      </c>
      <c r="E832" s="16" t="str">
        <f>IFERROR(__xludf.DUMMYFUNCTION("""COMPUTED_VALUE"""),"")</f>
        <v/>
      </c>
      <c r="G832" s="18"/>
      <c r="H832" s="16" t="s">
        <v>87</v>
      </c>
      <c r="I832" s="16" t="s">
        <v>87</v>
      </c>
      <c r="J832" s="19"/>
      <c r="L832" s="16" t="str">
        <f>IFERROR(__xludf.DUMMYFUNCTION("""COMPUTED_VALUE"""),"")</f>
        <v/>
      </c>
      <c r="M832" s="16" t="str">
        <f>IFERROR(__xludf.DUMMYFUNCTION("""COMPUTED_VALUE"""),"")</f>
        <v/>
      </c>
      <c r="U832" s="16" t="s">
        <v>87</v>
      </c>
      <c r="V832" s="16" t="str">
        <f>IFERROR(__xludf.DUMMYFUNCTION("""COMPUTED_VALUE"""),"")</f>
        <v/>
      </c>
      <c r="W832" s="16" t="str">
        <f>IFERROR(__xludf.DUMMYFUNCTION("""COMPUTED_VALUE"""),"")</f>
        <v/>
      </c>
      <c r="X832" s="16" t="str">
        <f>IFERROR(__xludf.DUMMYFUNCTION("""COMPUTED_VALUE"""),"")</f>
        <v/>
      </c>
      <c r="AC832" s="16" t="str">
        <f>IFERROR(__xludf.DUMMYFUNCTION("""COMPUTED_VALUE"""),"")</f>
        <v/>
      </c>
    </row>
    <row r="833">
      <c r="A833" s="16" t="s">
        <v>87</v>
      </c>
      <c r="E833" s="16" t="str">
        <f>IFERROR(__xludf.DUMMYFUNCTION("""COMPUTED_VALUE"""),"")</f>
        <v/>
      </c>
      <c r="G833" s="18"/>
      <c r="H833" s="16" t="s">
        <v>87</v>
      </c>
      <c r="I833" s="16" t="s">
        <v>87</v>
      </c>
      <c r="J833" s="19"/>
      <c r="L833" s="16" t="str">
        <f>IFERROR(__xludf.DUMMYFUNCTION("""COMPUTED_VALUE"""),"")</f>
        <v/>
      </c>
      <c r="M833" s="16" t="str">
        <f>IFERROR(__xludf.DUMMYFUNCTION("""COMPUTED_VALUE"""),"")</f>
        <v/>
      </c>
      <c r="U833" s="16" t="s">
        <v>87</v>
      </c>
      <c r="V833" s="16" t="str">
        <f>IFERROR(__xludf.DUMMYFUNCTION("""COMPUTED_VALUE"""),"")</f>
        <v/>
      </c>
      <c r="W833" s="16" t="str">
        <f>IFERROR(__xludf.DUMMYFUNCTION("""COMPUTED_VALUE"""),"")</f>
        <v/>
      </c>
      <c r="X833" s="16" t="str">
        <f>IFERROR(__xludf.DUMMYFUNCTION("""COMPUTED_VALUE"""),"")</f>
        <v/>
      </c>
      <c r="AC833" s="16" t="str">
        <f>IFERROR(__xludf.DUMMYFUNCTION("""COMPUTED_VALUE"""),"")</f>
        <v/>
      </c>
    </row>
    <row r="834">
      <c r="A834" s="16" t="s">
        <v>87</v>
      </c>
      <c r="E834" s="16" t="str">
        <f>IFERROR(__xludf.DUMMYFUNCTION("""COMPUTED_VALUE"""),"")</f>
        <v/>
      </c>
      <c r="G834" s="18"/>
      <c r="H834" s="16" t="s">
        <v>87</v>
      </c>
      <c r="I834" s="16" t="s">
        <v>87</v>
      </c>
      <c r="J834" s="19"/>
      <c r="L834" s="16" t="str">
        <f>IFERROR(__xludf.DUMMYFUNCTION("""COMPUTED_VALUE"""),"")</f>
        <v/>
      </c>
      <c r="M834" s="16" t="str">
        <f>IFERROR(__xludf.DUMMYFUNCTION("""COMPUTED_VALUE"""),"")</f>
        <v/>
      </c>
      <c r="U834" s="16" t="s">
        <v>87</v>
      </c>
      <c r="V834" s="16" t="str">
        <f>IFERROR(__xludf.DUMMYFUNCTION("""COMPUTED_VALUE"""),"")</f>
        <v/>
      </c>
      <c r="W834" s="16" t="str">
        <f>IFERROR(__xludf.DUMMYFUNCTION("""COMPUTED_VALUE"""),"")</f>
        <v/>
      </c>
      <c r="X834" s="16" t="str">
        <f>IFERROR(__xludf.DUMMYFUNCTION("""COMPUTED_VALUE"""),"")</f>
        <v/>
      </c>
      <c r="AC834" s="16" t="str">
        <f>IFERROR(__xludf.DUMMYFUNCTION("""COMPUTED_VALUE"""),"")</f>
        <v/>
      </c>
    </row>
    <row r="835">
      <c r="A835" s="16" t="s">
        <v>87</v>
      </c>
      <c r="E835" s="16" t="str">
        <f>IFERROR(__xludf.DUMMYFUNCTION("""COMPUTED_VALUE"""),"")</f>
        <v/>
      </c>
      <c r="G835" s="18"/>
      <c r="H835" s="16" t="s">
        <v>87</v>
      </c>
      <c r="I835" s="16" t="s">
        <v>87</v>
      </c>
      <c r="J835" s="19"/>
      <c r="L835" s="16" t="str">
        <f>IFERROR(__xludf.DUMMYFUNCTION("""COMPUTED_VALUE"""),"")</f>
        <v/>
      </c>
      <c r="M835" s="16" t="str">
        <f>IFERROR(__xludf.DUMMYFUNCTION("""COMPUTED_VALUE"""),"")</f>
        <v/>
      </c>
      <c r="U835" s="16" t="s">
        <v>87</v>
      </c>
      <c r="V835" s="16" t="str">
        <f>IFERROR(__xludf.DUMMYFUNCTION("""COMPUTED_VALUE"""),"")</f>
        <v/>
      </c>
      <c r="W835" s="16" t="str">
        <f>IFERROR(__xludf.DUMMYFUNCTION("""COMPUTED_VALUE"""),"")</f>
        <v/>
      </c>
      <c r="X835" s="16" t="str">
        <f>IFERROR(__xludf.DUMMYFUNCTION("""COMPUTED_VALUE"""),"")</f>
        <v/>
      </c>
      <c r="AC835" s="16" t="str">
        <f>IFERROR(__xludf.DUMMYFUNCTION("""COMPUTED_VALUE"""),"")</f>
        <v/>
      </c>
    </row>
    <row r="836">
      <c r="A836" s="16" t="s">
        <v>87</v>
      </c>
      <c r="E836" s="16" t="str">
        <f>IFERROR(__xludf.DUMMYFUNCTION("""COMPUTED_VALUE"""),"")</f>
        <v/>
      </c>
      <c r="G836" s="18"/>
      <c r="H836" s="16" t="s">
        <v>87</v>
      </c>
      <c r="I836" s="16" t="s">
        <v>87</v>
      </c>
      <c r="J836" s="19"/>
      <c r="L836" s="16" t="str">
        <f>IFERROR(__xludf.DUMMYFUNCTION("""COMPUTED_VALUE"""),"")</f>
        <v/>
      </c>
      <c r="M836" s="16" t="str">
        <f>IFERROR(__xludf.DUMMYFUNCTION("""COMPUTED_VALUE"""),"")</f>
        <v/>
      </c>
      <c r="U836" s="16" t="s">
        <v>87</v>
      </c>
      <c r="V836" s="16" t="str">
        <f>IFERROR(__xludf.DUMMYFUNCTION("""COMPUTED_VALUE"""),"")</f>
        <v/>
      </c>
      <c r="W836" s="16" t="str">
        <f>IFERROR(__xludf.DUMMYFUNCTION("""COMPUTED_VALUE"""),"")</f>
        <v/>
      </c>
      <c r="X836" s="16" t="str">
        <f>IFERROR(__xludf.DUMMYFUNCTION("""COMPUTED_VALUE"""),"")</f>
        <v/>
      </c>
      <c r="AC836" s="16" t="str">
        <f>IFERROR(__xludf.DUMMYFUNCTION("""COMPUTED_VALUE"""),"")</f>
        <v/>
      </c>
    </row>
    <row r="837">
      <c r="A837" s="16" t="s">
        <v>87</v>
      </c>
      <c r="E837" s="16" t="str">
        <f>IFERROR(__xludf.DUMMYFUNCTION("""COMPUTED_VALUE"""),"")</f>
        <v/>
      </c>
      <c r="G837" s="18"/>
      <c r="H837" s="16" t="s">
        <v>87</v>
      </c>
      <c r="I837" s="16" t="s">
        <v>87</v>
      </c>
      <c r="J837" s="19"/>
      <c r="L837" s="16" t="str">
        <f>IFERROR(__xludf.DUMMYFUNCTION("""COMPUTED_VALUE"""),"")</f>
        <v/>
      </c>
      <c r="M837" s="16" t="str">
        <f>IFERROR(__xludf.DUMMYFUNCTION("""COMPUTED_VALUE"""),"")</f>
        <v/>
      </c>
      <c r="U837" s="16" t="s">
        <v>87</v>
      </c>
      <c r="V837" s="16" t="str">
        <f>IFERROR(__xludf.DUMMYFUNCTION("""COMPUTED_VALUE"""),"")</f>
        <v/>
      </c>
      <c r="W837" s="16" t="str">
        <f>IFERROR(__xludf.DUMMYFUNCTION("""COMPUTED_VALUE"""),"")</f>
        <v/>
      </c>
      <c r="X837" s="16" t="str">
        <f>IFERROR(__xludf.DUMMYFUNCTION("""COMPUTED_VALUE"""),"")</f>
        <v/>
      </c>
      <c r="AC837" s="16" t="str">
        <f>IFERROR(__xludf.DUMMYFUNCTION("""COMPUTED_VALUE"""),"")</f>
        <v/>
      </c>
    </row>
    <row r="838">
      <c r="A838" s="16" t="s">
        <v>87</v>
      </c>
      <c r="E838" s="16" t="str">
        <f>IFERROR(__xludf.DUMMYFUNCTION("""COMPUTED_VALUE"""),"")</f>
        <v/>
      </c>
      <c r="G838" s="18"/>
      <c r="H838" s="16" t="s">
        <v>87</v>
      </c>
      <c r="I838" s="16" t="s">
        <v>87</v>
      </c>
      <c r="J838" s="19"/>
      <c r="L838" s="16" t="str">
        <f>IFERROR(__xludf.DUMMYFUNCTION("""COMPUTED_VALUE"""),"")</f>
        <v/>
      </c>
      <c r="M838" s="16" t="str">
        <f>IFERROR(__xludf.DUMMYFUNCTION("""COMPUTED_VALUE"""),"")</f>
        <v/>
      </c>
      <c r="U838" s="16" t="s">
        <v>87</v>
      </c>
      <c r="V838" s="16" t="str">
        <f>IFERROR(__xludf.DUMMYFUNCTION("""COMPUTED_VALUE"""),"")</f>
        <v/>
      </c>
      <c r="W838" s="16" t="str">
        <f>IFERROR(__xludf.DUMMYFUNCTION("""COMPUTED_VALUE"""),"")</f>
        <v/>
      </c>
      <c r="X838" s="16" t="str">
        <f>IFERROR(__xludf.DUMMYFUNCTION("""COMPUTED_VALUE"""),"")</f>
        <v/>
      </c>
      <c r="AC838" s="16" t="str">
        <f>IFERROR(__xludf.DUMMYFUNCTION("""COMPUTED_VALUE"""),"")</f>
        <v/>
      </c>
    </row>
    <row r="839">
      <c r="A839" s="16" t="s">
        <v>87</v>
      </c>
      <c r="E839" s="16" t="str">
        <f>IFERROR(__xludf.DUMMYFUNCTION("""COMPUTED_VALUE"""),"")</f>
        <v/>
      </c>
      <c r="G839" s="18"/>
      <c r="H839" s="16" t="s">
        <v>87</v>
      </c>
      <c r="I839" s="16" t="s">
        <v>87</v>
      </c>
      <c r="J839" s="19"/>
      <c r="L839" s="16" t="str">
        <f>IFERROR(__xludf.DUMMYFUNCTION("""COMPUTED_VALUE"""),"")</f>
        <v/>
      </c>
      <c r="M839" s="16" t="str">
        <f>IFERROR(__xludf.DUMMYFUNCTION("""COMPUTED_VALUE"""),"")</f>
        <v/>
      </c>
      <c r="U839" s="16" t="s">
        <v>87</v>
      </c>
      <c r="V839" s="16" t="str">
        <f>IFERROR(__xludf.DUMMYFUNCTION("""COMPUTED_VALUE"""),"")</f>
        <v/>
      </c>
      <c r="W839" s="16" t="str">
        <f>IFERROR(__xludf.DUMMYFUNCTION("""COMPUTED_VALUE"""),"")</f>
        <v/>
      </c>
      <c r="X839" s="16" t="str">
        <f>IFERROR(__xludf.DUMMYFUNCTION("""COMPUTED_VALUE"""),"")</f>
        <v/>
      </c>
      <c r="AC839" s="16" t="str">
        <f>IFERROR(__xludf.DUMMYFUNCTION("""COMPUTED_VALUE"""),"")</f>
        <v/>
      </c>
    </row>
    <row r="840">
      <c r="A840" s="16" t="s">
        <v>87</v>
      </c>
      <c r="E840" s="16" t="str">
        <f>IFERROR(__xludf.DUMMYFUNCTION("""COMPUTED_VALUE"""),"")</f>
        <v/>
      </c>
      <c r="G840" s="18"/>
      <c r="H840" s="16" t="s">
        <v>87</v>
      </c>
      <c r="I840" s="16" t="s">
        <v>87</v>
      </c>
      <c r="J840" s="19"/>
      <c r="L840" s="16" t="str">
        <f>IFERROR(__xludf.DUMMYFUNCTION("""COMPUTED_VALUE"""),"")</f>
        <v/>
      </c>
      <c r="M840" s="16" t="str">
        <f>IFERROR(__xludf.DUMMYFUNCTION("""COMPUTED_VALUE"""),"")</f>
        <v/>
      </c>
      <c r="U840" s="16" t="s">
        <v>87</v>
      </c>
      <c r="V840" s="16" t="str">
        <f>IFERROR(__xludf.DUMMYFUNCTION("""COMPUTED_VALUE"""),"")</f>
        <v/>
      </c>
      <c r="W840" s="16" t="str">
        <f>IFERROR(__xludf.DUMMYFUNCTION("""COMPUTED_VALUE"""),"")</f>
        <v/>
      </c>
      <c r="X840" s="16" t="str">
        <f>IFERROR(__xludf.DUMMYFUNCTION("""COMPUTED_VALUE"""),"")</f>
        <v/>
      </c>
      <c r="AC840" s="16" t="str">
        <f>IFERROR(__xludf.DUMMYFUNCTION("""COMPUTED_VALUE"""),"")</f>
        <v/>
      </c>
    </row>
    <row r="841">
      <c r="A841" s="16" t="s">
        <v>87</v>
      </c>
      <c r="E841" s="16" t="str">
        <f>IFERROR(__xludf.DUMMYFUNCTION("""COMPUTED_VALUE"""),"")</f>
        <v/>
      </c>
      <c r="G841" s="18"/>
      <c r="H841" s="16" t="s">
        <v>87</v>
      </c>
      <c r="I841" s="16" t="s">
        <v>87</v>
      </c>
      <c r="J841" s="19"/>
      <c r="L841" s="16" t="str">
        <f>IFERROR(__xludf.DUMMYFUNCTION("""COMPUTED_VALUE"""),"")</f>
        <v/>
      </c>
      <c r="M841" s="16" t="str">
        <f>IFERROR(__xludf.DUMMYFUNCTION("""COMPUTED_VALUE"""),"")</f>
        <v/>
      </c>
      <c r="U841" s="16" t="s">
        <v>87</v>
      </c>
      <c r="V841" s="16" t="str">
        <f>IFERROR(__xludf.DUMMYFUNCTION("""COMPUTED_VALUE"""),"")</f>
        <v/>
      </c>
      <c r="W841" s="16" t="str">
        <f>IFERROR(__xludf.DUMMYFUNCTION("""COMPUTED_VALUE"""),"")</f>
        <v/>
      </c>
      <c r="X841" s="16" t="str">
        <f>IFERROR(__xludf.DUMMYFUNCTION("""COMPUTED_VALUE"""),"")</f>
        <v/>
      </c>
      <c r="AC841" s="16" t="str">
        <f>IFERROR(__xludf.DUMMYFUNCTION("""COMPUTED_VALUE"""),"")</f>
        <v/>
      </c>
    </row>
    <row r="842">
      <c r="A842" s="16" t="s">
        <v>87</v>
      </c>
      <c r="E842" s="16" t="str">
        <f>IFERROR(__xludf.DUMMYFUNCTION("""COMPUTED_VALUE"""),"")</f>
        <v/>
      </c>
      <c r="G842" s="18"/>
      <c r="H842" s="16" t="s">
        <v>87</v>
      </c>
      <c r="I842" s="16" t="s">
        <v>87</v>
      </c>
      <c r="J842" s="19"/>
      <c r="L842" s="16" t="str">
        <f>IFERROR(__xludf.DUMMYFUNCTION("""COMPUTED_VALUE"""),"")</f>
        <v/>
      </c>
      <c r="M842" s="16" t="str">
        <f>IFERROR(__xludf.DUMMYFUNCTION("""COMPUTED_VALUE"""),"")</f>
        <v/>
      </c>
      <c r="U842" s="16" t="s">
        <v>87</v>
      </c>
      <c r="V842" s="16" t="str">
        <f>IFERROR(__xludf.DUMMYFUNCTION("""COMPUTED_VALUE"""),"")</f>
        <v/>
      </c>
      <c r="W842" s="16" t="str">
        <f>IFERROR(__xludf.DUMMYFUNCTION("""COMPUTED_VALUE"""),"")</f>
        <v/>
      </c>
      <c r="X842" s="16" t="str">
        <f>IFERROR(__xludf.DUMMYFUNCTION("""COMPUTED_VALUE"""),"")</f>
        <v/>
      </c>
      <c r="AC842" s="16" t="str">
        <f>IFERROR(__xludf.DUMMYFUNCTION("""COMPUTED_VALUE"""),"")</f>
        <v/>
      </c>
    </row>
    <row r="843">
      <c r="A843" s="16" t="s">
        <v>87</v>
      </c>
      <c r="E843" s="16" t="str">
        <f>IFERROR(__xludf.DUMMYFUNCTION("""COMPUTED_VALUE"""),"")</f>
        <v/>
      </c>
      <c r="G843" s="18"/>
      <c r="H843" s="16" t="s">
        <v>87</v>
      </c>
      <c r="I843" s="16" t="s">
        <v>87</v>
      </c>
      <c r="J843" s="19"/>
      <c r="L843" s="16" t="str">
        <f>IFERROR(__xludf.DUMMYFUNCTION("""COMPUTED_VALUE"""),"")</f>
        <v/>
      </c>
      <c r="M843" s="16" t="str">
        <f>IFERROR(__xludf.DUMMYFUNCTION("""COMPUTED_VALUE"""),"")</f>
        <v/>
      </c>
      <c r="U843" s="16" t="s">
        <v>87</v>
      </c>
      <c r="V843" s="16" t="str">
        <f>IFERROR(__xludf.DUMMYFUNCTION("""COMPUTED_VALUE"""),"")</f>
        <v/>
      </c>
      <c r="W843" s="16" t="str">
        <f>IFERROR(__xludf.DUMMYFUNCTION("""COMPUTED_VALUE"""),"")</f>
        <v/>
      </c>
      <c r="X843" s="16" t="str">
        <f>IFERROR(__xludf.DUMMYFUNCTION("""COMPUTED_VALUE"""),"")</f>
        <v/>
      </c>
      <c r="AC843" s="16" t="str">
        <f>IFERROR(__xludf.DUMMYFUNCTION("""COMPUTED_VALUE"""),"")</f>
        <v/>
      </c>
    </row>
    <row r="844">
      <c r="A844" s="16" t="s">
        <v>87</v>
      </c>
      <c r="E844" s="16" t="str">
        <f>IFERROR(__xludf.DUMMYFUNCTION("""COMPUTED_VALUE"""),"")</f>
        <v/>
      </c>
      <c r="G844" s="18"/>
      <c r="H844" s="16" t="s">
        <v>87</v>
      </c>
      <c r="I844" s="16" t="s">
        <v>87</v>
      </c>
      <c r="J844" s="19"/>
      <c r="L844" s="16" t="str">
        <f>IFERROR(__xludf.DUMMYFUNCTION("""COMPUTED_VALUE"""),"")</f>
        <v/>
      </c>
      <c r="M844" s="16" t="str">
        <f>IFERROR(__xludf.DUMMYFUNCTION("""COMPUTED_VALUE"""),"")</f>
        <v/>
      </c>
      <c r="U844" s="16" t="s">
        <v>87</v>
      </c>
      <c r="V844" s="16" t="str">
        <f>IFERROR(__xludf.DUMMYFUNCTION("""COMPUTED_VALUE"""),"")</f>
        <v/>
      </c>
      <c r="W844" s="16" t="str">
        <f>IFERROR(__xludf.DUMMYFUNCTION("""COMPUTED_VALUE"""),"")</f>
        <v/>
      </c>
      <c r="X844" s="16" t="str">
        <f>IFERROR(__xludf.DUMMYFUNCTION("""COMPUTED_VALUE"""),"")</f>
        <v/>
      </c>
      <c r="AC844" s="16" t="str">
        <f>IFERROR(__xludf.DUMMYFUNCTION("""COMPUTED_VALUE"""),"")</f>
        <v/>
      </c>
    </row>
    <row r="845">
      <c r="A845" s="16" t="s">
        <v>87</v>
      </c>
      <c r="E845" s="16" t="str">
        <f>IFERROR(__xludf.DUMMYFUNCTION("""COMPUTED_VALUE"""),"")</f>
        <v/>
      </c>
      <c r="G845" s="18"/>
      <c r="H845" s="16" t="s">
        <v>87</v>
      </c>
      <c r="I845" s="16" t="s">
        <v>87</v>
      </c>
      <c r="J845" s="19"/>
      <c r="L845" s="16" t="str">
        <f>IFERROR(__xludf.DUMMYFUNCTION("""COMPUTED_VALUE"""),"")</f>
        <v/>
      </c>
      <c r="M845" s="16" t="str">
        <f>IFERROR(__xludf.DUMMYFUNCTION("""COMPUTED_VALUE"""),"")</f>
        <v/>
      </c>
      <c r="U845" s="16" t="s">
        <v>87</v>
      </c>
      <c r="V845" s="16" t="str">
        <f>IFERROR(__xludf.DUMMYFUNCTION("""COMPUTED_VALUE"""),"")</f>
        <v/>
      </c>
      <c r="W845" s="16" t="str">
        <f>IFERROR(__xludf.DUMMYFUNCTION("""COMPUTED_VALUE"""),"")</f>
        <v/>
      </c>
      <c r="X845" s="16" t="str">
        <f>IFERROR(__xludf.DUMMYFUNCTION("""COMPUTED_VALUE"""),"")</f>
        <v/>
      </c>
      <c r="AC845" s="16" t="str">
        <f>IFERROR(__xludf.DUMMYFUNCTION("""COMPUTED_VALUE"""),"")</f>
        <v/>
      </c>
    </row>
    <row r="846">
      <c r="A846" s="16" t="s">
        <v>87</v>
      </c>
      <c r="E846" s="16" t="str">
        <f>IFERROR(__xludf.DUMMYFUNCTION("""COMPUTED_VALUE"""),"")</f>
        <v/>
      </c>
      <c r="G846" s="18"/>
      <c r="H846" s="16" t="s">
        <v>87</v>
      </c>
      <c r="I846" s="16" t="s">
        <v>87</v>
      </c>
      <c r="J846" s="19"/>
      <c r="L846" s="16" t="str">
        <f>IFERROR(__xludf.DUMMYFUNCTION("""COMPUTED_VALUE"""),"")</f>
        <v/>
      </c>
      <c r="M846" s="16" t="str">
        <f>IFERROR(__xludf.DUMMYFUNCTION("""COMPUTED_VALUE"""),"")</f>
        <v/>
      </c>
      <c r="U846" s="16" t="s">
        <v>87</v>
      </c>
      <c r="V846" s="16" t="str">
        <f>IFERROR(__xludf.DUMMYFUNCTION("""COMPUTED_VALUE"""),"")</f>
        <v/>
      </c>
      <c r="W846" s="16" t="str">
        <f>IFERROR(__xludf.DUMMYFUNCTION("""COMPUTED_VALUE"""),"")</f>
        <v/>
      </c>
      <c r="X846" s="16" t="str">
        <f>IFERROR(__xludf.DUMMYFUNCTION("""COMPUTED_VALUE"""),"")</f>
        <v/>
      </c>
      <c r="AC846" s="16" t="str">
        <f>IFERROR(__xludf.DUMMYFUNCTION("""COMPUTED_VALUE"""),"")</f>
        <v/>
      </c>
    </row>
    <row r="847">
      <c r="A847" s="16" t="s">
        <v>87</v>
      </c>
      <c r="E847" s="16" t="str">
        <f>IFERROR(__xludf.DUMMYFUNCTION("""COMPUTED_VALUE"""),"")</f>
        <v/>
      </c>
      <c r="G847" s="18"/>
      <c r="H847" s="16" t="s">
        <v>87</v>
      </c>
      <c r="I847" s="16" t="s">
        <v>87</v>
      </c>
      <c r="J847" s="19"/>
      <c r="L847" s="16" t="str">
        <f>IFERROR(__xludf.DUMMYFUNCTION("""COMPUTED_VALUE"""),"")</f>
        <v/>
      </c>
      <c r="M847" s="16" t="str">
        <f>IFERROR(__xludf.DUMMYFUNCTION("""COMPUTED_VALUE"""),"")</f>
        <v/>
      </c>
      <c r="U847" s="16" t="s">
        <v>87</v>
      </c>
      <c r="V847" s="16" t="str">
        <f>IFERROR(__xludf.DUMMYFUNCTION("""COMPUTED_VALUE"""),"")</f>
        <v/>
      </c>
      <c r="W847" s="16" t="str">
        <f>IFERROR(__xludf.DUMMYFUNCTION("""COMPUTED_VALUE"""),"")</f>
        <v/>
      </c>
      <c r="X847" s="16" t="str">
        <f>IFERROR(__xludf.DUMMYFUNCTION("""COMPUTED_VALUE"""),"")</f>
        <v/>
      </c>
      <c r="AC847" s="16" t="str">
        <f>IFERROR(__xludf.DUMMYFUNCTION("""COMPUTED_VALUE"""),"")</f>
        <v/>
      </c>
    </row>
    <row r="848">
      <c r="A848" s="16" t="s">
        <v>87</v>
      </c>
      <c r="E848" s="16" t="str">
        <f>IFERROR(__xludf.DUMMYFUNCTION("""COMPUTED_VALUE"""),"")</f>
        <v/>
      </c>
      <c r="G848" s="18"/>
      <c r="H848" s="16" t="s">
        <v>87</v>
      </c>
      <c r="I848" s="16" t="s">
        <v>87</v>
      </c>
      <c r="J848" s="19"/>
      <c r="L848" s="16" t="str">
        <f>IFERROR(__xludf.DUMMYFUNCTION("""COMPUTED_VALUE"""),"")</f>
        <v/>
      </c>
      <c r="M848" s="16" t="str">
        <f>IFERROR(__xludf.DUMMYFUNCTION("""COMPUTED_VALUE"""),"")</f>
        <v/>
      </c>
      <c r="U848" s="16" t="s">
        <v>87</v>
      </c>
      <c r="V848" s="16" t="str">
        <f>IFERROR(__xludf.DUMMYFUNCTION("""COMPUTED_VALUE"""),"")</f>
        <v/>
      </c>
      <c r="W848" s="16" t="str">
        <f>IFERROR(__xludf.DUMMYFUNCTION("""COMPUTED_VALUE"""),"")</f>
        <v/>
      </c>
      <c r="X848" s="16" t="str">
        <f>IFERROR(__xludf.DUMMYFUNCTION("""COMPUTED_VALUE"""),"")</f>
        <v/>
      </c>
      <c r="AC848" s="16" t="str">
        <f>IFERROR(__xludf.DUMMYFUNCTION("""COMPUTED_VALUE"""),"")</f>
        <v/>
      </c>
    </row>
    <row r="849">
      <c r="A849" s="16" t="s">
        <v>87</v>
      </c>
      <c r="E849" s="16" t="str">
        <f>IFERROR(__xludf.DUMMYFUNCTION("""COMPUTED_VALUE"""),"")</f>
        <v/>
      </c>
      <c r="G849" s="18"/>
      <c r="H849" s="16" t="s">
        <v>87</v>
      </c>
      <c r="I849" s="16" t="s">
        <v>87</v>
      </c>
      <c r="J849" s="19"/>
      <c r="L849" s="16" t="str">
        <f>IFERROR(__xludf.DUMMYFUNCTION("""COMPUTED_VALUE"""),"")</f>
        <v/>
      </c>
      <c r="M849" s="16" t="str">
        <f>IFERROR(__xludf.DUMMYFUNCTION("""COMPUTED_VALUE"""),"")</f>
        <v/>
      </c>
      <c r="U849" s="16" t="s">
        <v>87</v>
      </c>
      <c r="V849" s="16" t="str">
        <f>IFERROR(__xludf.DUMMYFUNCTION("""COMPUTED_VALUE"""),"")</f>
        <v/>
      </c>
      <c r="W849" s="16" t="str">
        <f>IFERROR(__xludf.DUMMYFUNCTION("""COMPUTED_VALUE"""),"")</f>
        <v/>
      </c>
      <c r="X849" s="16" t="str">
        <f>IFERROR(__xludf.DUMMYFUNCTION("""COMPUTED_VALUE"""),"")</f>
        <v/>
      </c>
      <c r="AC849" s="16" t="str">
        <f>IFERROR(__xludf.DUMMYFUNCTION("""COMPUTED_VALUE"""),"")</f>
        <v/>
      </c>
    </row>
    <row r="850">
      <c r="A850" s="16" t="s">
        <v>87</v>
      </c>
      <c r="E850" s="16" t="str">
        <f>IFERROR(__xludf.DUMMYFUNCTION("""COMPUTED_VALUE"""),"")</f>
        <v/>
      </c>
      <c r="G850" s="18"/>
      <c r="H850" s="16" t="s">
        <v>87</v>
      </c>
      <c r="I850" s="16" t="s">
        <v>87</v>
      </c>
      <c r="J850" s="19"/>
      <c r="L850" s="16" t="str">
        <f>IFERROR(__xludf.DUMMYFUNCTION("""COMPUTED_VALUE"""),"")</f>
        <v/>
      </c>
      <c r="M850" s="16" t="str">
        <f>IFERROR(__xludf.DUMMYFUNCTION("""COMPUTED_VALUE"""),"")</f>
        <v/>
      </c>
      <c r="U850" s="16" t="s">
        <v>87</v>
      </c>
      <c r="V850" s="16" t="str">
        <f>IFERROR(__xludf.DUMMYFUNCTION("""COMPUTED_VALUE"""),"")</f>
        <v/>
      </c>
      <c r="W850" s="16" t="str">
        <f>IFERROR(__xludf.DUMMYFUNCTION("""COMPUTED_VALUE"""),"")</f>
        <v/>
      </c>
      <c r="X850" s="16" t="str">
        <f>IFERROR(__xludf.DUMMYFUNCTION("""COMPUTED_VALUE"""),"")</f>
        <v/>
      </c>
      <c r="AC850" s="16" t="str">
        <f>IFERROR(__xludf.DUMMYFUNCTION("""COMPUTED_VALUE"""),"")</f>
        <v/>
      </c>
    </row>
    <row r="851">
      <c r="A851" s="16" t="s">
        <v>87</v>
      </c>
      <c r="E851" s="16" t="str">
        <f>IFERROR(__xludf.DUMMYFUNCTION("""COMPUTED_VALUE"""),"")</f>
        <v/>
      </c>
      <c r="G851" s="18"/>
      <c r="H851" s="16" t="s">
        <v>87</v>
      </c>
      <c r="I851" s="16" t="s">
        <v>87</v>
      </c>
      <c r="J851" s="19"/>
      <c r="L851" s="16" t="str">
        <f>IFERROR(__xludf.DUMMYFUNCTION("""COMPUTED_VALUE"""),"")</f>
        <v/>
      </c>
      <c r="M851" s="16" t="str">
        <f>IFERROR(__xludf.DUMMYFUNCTION("""COMPUTED_VALUE"""),"")</f>
        <v/>
      </c>
      <c r="U851" s="16" t="s">
        <v>87</v>
      </c>
      <c r="V851" s="16" t="str">
        <f>IFERROR(__xludf.DUMMYFUNCTION("""COMPUTED_VALUE"""),"")</f>
        <v/>
      </c>
      <c r="W851" s="16" t="str">
        <f>IFERROR(__xludf.DUMMYFUNCTION("""COMPUTED_VALUE"""),"")</f>
        <v/>
      </c>
      <c r="X851" s="16" t="str">
        <f>IFERROR(__xludf.DUMMYFUNCTION("""COMPUTED_VALUE"""),"")</f>
        <v/>
      </c>
      <c r="AC851" s="16" t="str">
        <f>IFERROR(__xludf.DUMMYFUNCTION("""COMPUTED_VALUE"""),"")</f>
        <v/>
      </c>
    </row>
    <row r="852">
      <c r="A852" s="16" t="s">
        <v>87</v>
      </c>
      <c r="E852" s="16" t="str">
        <f>IFERROR(__xludf.DUMMYFUNCTION("""COMPUTED_VALUE"""),"")</f>
        <v/>
      </c>
      <c r="G852" s="18"/>
      <c r="H852" s="16" t="s">
        <v>87</v>
      </c>
      <c r="I852" s="16" t="s">
        <v>87</v>
      </c>
      <c r="J852" s="19"/>
      <c r="L852" s="16" t="str">
        <f>IFERROR(__xludf.DUMMYFUNCTION("""COMPUTED_VALUE"""),"")</f>
        <v/>
      </c>
      <c r="M852" s="16" t="str">
        <f>IFERROR(__xludf.DUMMYFUNCTION("""COMPUTED_VALUE"""),"")</f>
        <v/>
      </c>
      <c r="U852" s="16" t="s">
        <v>87</v>
      </c>
      <c r="V852" s="16" t="str">
        <f>IFERROR(__xludf.DUMMYFUNCTION("""COMPUTED_VALUE"""),"")</f>
        <v/>
      </c>
      <c r="W852" s="16" t="str">
        <f>IFERROR(__xludf.DUMMYFUNCTION("""COMPUTED_VALUE"""),"")</f>
        <v/>
      </c>
      <c r="X852" s="16" t="str">
        <f>IFERROR(__xludf.DUMMYFUNCTION("""COMPUTED_VALUE"""),"")</f>
        <v/>
      </c>
      <c r="AC852" s="16" t="str">
        <f>IFERROR(__xludf.DUMMYFUNCTION("""COMPUTED_VALUE"""),"")</f>
        <v/>
      </c>
    </row>
    <row r="853">
      <c r="A853" s="16" t="s">
        <v>87</v>
      </c>
      <c r="E853" s="16" t="str">
        <f>IFERROR(__xludf.DUMMYFUNCTION("""COMPUTED_VALUE"""),"")</f>
        <v/>
      </c>
      <c r="G853" s="18"/>
      <c r="H853" s="16" t="s">
        <v>87</v>
      </c>
      <c r="I853" s="16" t="s">
        <v>87</v>
      </c>
      <c r="J853" s="19"/>
      <c r="L853" s="16" t="str">
        <f>IFERROR(__xludf.DUMMYFUNCTION("""COMPUTED_VALUE"""),"")</f>
        <v/>
      </c>
      <c r="M853" s="16" t="str">
        <f>IFERROR(__xludf.DUMMYFUNCTION("""COMPUTED_VALUE"""),"")</f>
        <v/>
      </c>
      <c r="U853" s="16" t="s">
        <v>87</v>
      </c>
      <c r="V853" s="16" t="str">
        <f>IFERROR(__xludf.DUMMYFUNCTION("""COMPUTED_VALUE"""),"")</f>
        <v/>
      </c>
      <c r="W853" s="16" t="str">
        <f>IFERROR(__xludf.DUMMYFUNCTION("""COMPUTED_VALUE"""),"")</f>
        <v/>
      </c>
      <c r="X853" s="16" t="str">
        <f>IFERROR(__xludf.DUMMYFUNCTION("""COMPUTED_VALUE"""),"")</f>
        <v/>
      </c>
      <c r="AC853" s="16" t="str">
        <f>IFERROR(__xludf.DUMMYFUNCTION("""COMPUTED_VALUE"""),"")</f>
        <v/>
      </c>
    </row>
    <row r="854">
      <c r="A854" s="16" t="s">
        <v>87</v>
      </c>
      <c r="E854" s="16" t="str">
        <f>IFERROR(__xludf.DUMMYFUNCTION("""COMPUTED_VALUE"""),"")</f>
        <v/>
      </c>
      <c r="G854" s="18"/>
      <c r="H854" s="16" t="s">
        <v>87</v>
      </c>
      <c r="I854" s="16" t="s">
        <v>87</v>
      </c>
      <c r="J854" s="19"/>
      <c r="L854" s="16" t="str">
        <f>IFERROR(__xludf.DUMMYFUNCTION("""COMPUTED_VALUE"""),"")</f>
        <v/>
      </c>
      <c r="M854" s="16" t="str">
        <f>IFERROR(__xludf.DUMMYFUNCTION("""COMPUTED_VALUE"""),"")</f>
        <v/>
      </c>
      <c r="U854" s="16" t="s">
        <v>87</v>
      </c>
      <c r="V854" s="16" t="str">
        <f>IFERROR(__xludf.DUMMYFUNCTION("""COMPUTED_VALUE"""),"")</f>
        <v/>
      </c>
      <c r="W854" s="16" t="str">
        <f>IFERROR(__xludf.DUMMYFUNCTION("""COMPUTED_VALUE"""),"")</f>
        <v/>
      </c>
      <c r="X854" s="16" t="str">
        <f>IFERROR(__xludf.DUMMYFUNCTION("""COMPUTED_VALUE"""),"")</f>
        <v/>
      </c>
      <c r="AC854" s="16" t="str">
        <f>IFERROR(__xludf.DUMMYFUNCTION("""COMPUTED_VALUE"""),"")</f>
        <v/>
      </c>
    </row>
    <row r="855">
      <c r="A855" s="16" t="s">
        <v>87</v>
      </c>
      <c r="E855" s="16" t="str">
        <f>IFERROR(__xludf.DUMMYFUNCTION("""COMPUTED_VALUE"""),"")</f>
        <v/>
      </c>
      <c r="G855" s="18"/>
      <c r="H855" s="16" t="s">
        <v>87</v>
      </c>
      <c r="I855" s="16" t="s">
        <v>87</v>
      </c>
      <c r="J855" s="19"/>
      <c r="L855" s="16" t="str">
        <f>IFERROR(__xludf.DUMMYFUNCTION("""COMPUTED_VALUE"""),"")</f>
        <v/>
      </c>
      <c r="M855" s="16" t="str">
        <f>IFERROR(__xludf.DUMMYFUNCTION("""COMPUTED_VALUE"""),"")</f>
        <v/>
      </c>
      <c r="U855" s="16" t="s">
        <v>87</v>
      </c>
      <c r="V855" s="16" t="str">
        <f>IFERROR(__xludf.DUMMYFUNCTION("""COMPUTED_VALUE"""),"")</f>
        <v/>
      </c>
      <c r="W855" s="16" t="str">
        <f>IFERROR(__xludf.DUMMYFUNCTION("""COMPUTED_VALUE"""),"")</f>
        <v/>
      </c>
      <c r="X855" s="16" t="str">
        <f>IFERROR(__xludf.DUMMYFUNCTION("""COMPUTED_VALUE"""),"")</f>
        <v/>
      </c>
      <c r="AC855" s="16" t="str">
        <f>IFERROR(__xludf.DUMMYFUNCTION("""COMPUTED_VALUE"""),"")</f>
        <v/>
      </c>
    </row>
    <row r="856">
      <c r="A856" s="16" t="s">
        <v>87</v>
      </c>
      <c r="E856" s="16" t="str">
        <f>IFERROR(__xludf.DUMMYFUNCTION("""COMPUTED_VALUE"""),"")</f>
        <v/>
      </c>
      <c r="G856" s="18"/>
      <c r="H856" s="16" t="s">
        <v>87</v>
      </c>
      <c r="I856" s="16" t="s">
        <v>87</v>
      </c>
      <c r="J856" s="19"/>
      <c r="L856" s="16" t="str">
        <f>IFERROR(__xludf.DUMMYFUNCTION("""COMPUTED_VALUE"""),"")</f>
        <v/>
      </c>
      <c r="M856" s="16" t="str">
        <f>IFERROR(__xludf.DUMMYFUNCTION("""COMPUTED_VALUE"""),"")</f>
        <v/>
      </c>
      <c r="U856" s="16" t="s">
        <v>87</v>
      </c>
      <c r="V856" s="16" t="str">
        <f>IFERROR(__xludf.DUMMYFUNCTION("""COMPUTED_VALUE"""),"")</f>
        <v/>
      </c>
      <c r="W856" s="16" t="str">
        <f>IFERROR(__xludf.DUMMYFUNCTION("""COMPUTED_VALUE"""),"")</f>
        <v/>
      </c>
      <c r="X856" s="16" t="str">
        <f>IFERROR(__xludf.DUMMYFUNCTION("""COMPUTED_VALUE"""),"")</f>
        <v/>
      </c>
      <c r="AC856" s="16" t="str">
        <f>IFERROR(__xludf.DUMMYFUNCTION("""COMPUTED_VALUE"""),"")</f>
        <v/>
      </c>
    </row>
    <row r="857">
      <c r="A857" s="16" t="s">
        <v>87</v>
      </c>
      <c r="E857" s="16" t="str">
        <f>IFERROR(__xludf.DUMMYFUNCTION("""COMPUTED_VALUE"""),"")</f>
        <v/>
      </c>
      <c r="G857" s="18"/>
      <c r="H857" s="16" t="s">
        <v>87</v>
      </c>
      <c r="I857" s="16" t="s">
        <v>87</v>
      </c>
      <c r="J857" s="19"/>
      <c r="L857" s="16" t="str">
        <f>IFERROR(__xludf.DUMMYFUNCTION("""COMPUTED_VALUE"""),"")</f>
        <v/>
      </c>
      <c r="M857" s="16" t="str">
        <f>IFERROR(__xludf.DUMMYFUNCTION("""COMPUTED_VALUE"""),"")</f>
        <v/>
      </c>
      <c r="U857" s="16" t="s">
        <v>87</v>
      </c>
      <c r="V857" s="16" t="str">
        <f>IFERROR(__xludf.DUMMYFUNCTION("""COMPUTED_VALUE"""),"")</f>
        <v/>
      </c>
      <c r="W857" s="16" t="str">
        <f>IFERROR(__xludf.DUMMYFUNCTION("""COMPUTED_VALUE"""),"")</f>
        <v/>
      </c>
      <c r="X857" s="16" t="str">
        <f>IFERROR(__xludf.DUMMYFUNCTION("""COMPUTED_VALUE"""),"")</f>
        <v/>
      </c>
      <c r="AC857" s="16" t="str">
        <f>IFERROR(__xludf.DUMMYFUNCTION("""COMPUTED_VALUE"""),"")</f>
        <v/>
      </c>
    </row>
    <row r="858">
      <c r="A858" s="16" t="s">
        <v>87</v>
      </c>
      <c r="E858" s="16" t="str">
        <f>IFERROR(__xludf.DUMMYFUNCTION("""COMPUTED_VALUE"""),"")</f>
        <v/>
      </c>
      <c r="G858" s="18"/>
      <c r="H858" s="16" t="s">
        <v>87</v>
      </c>
      <c r="I858" s="16" t="s">
        <v>87</v>
      </c>
      <c r="J858" s="19"/>
      <c r="L858" s="16" t="str">
        <f>IFERROR(__xludf.DUMMYFUNCTION("""COMPUTED_VALUE"""),"")</f>
        <v/>
      </c>
      <c r="M858" s="16" t="str">
        <f>IFERROR(__xludf.DUMMYFUNCTION("""COMPUTED_VALUE"""),"")</f>
        <v/>
      </c>
      <c r="U858" s="16" t="s">
        <v>87</v>
      </c>
      <c r="V858" s="16" t="str">
        <f>IFERROR(__xludf.DUMMYFUNCTION("""COMPUTED_VALUE"""),"")</f>
        <v/>
      </c>
      <c r="W858" s="16" t="str">
        <f>IFERROR(__xludf.DUMMYFUNCTION("""COMPUTED_VALUE"""),"")</f>
        <v/>
      </c>
      <c r="X858" s="16" t="str">
        <f>IFERROR(__xludf.DUMMYFUNCTION("""COMPUTED_VALUE"""),"")</f>
        <v/>
      </c>
      <c r="AC858" s="16" t="str">
        <f>IFERROR(__xludf.DUMMYFUNCTION("""COMPUTED_VALUE"""),"")</f>
        <v/>
      </c>
    </row>
    <row r="859">
      <c r="A859" s="16" t="s">
        <v>87</v>
      </c>
      <c r="E859" s="16" t="str">
        <f>IFERROR(__xludf.DUMMYFUNCTION("""COMPUTED_VALUE"""),"")</f>
        <v/>
      </c>
      <c r="G859" s="18"/>
      <c r="H859" s="16" t="s">
        <v>87</v>
      </c>
      <c r="I859" s="16" t="s">
        <v>87</v>
      </c>
      <c r="J859" s="19"/>
      <c r="L859" s="16" t="str">
        <f>IFERROR(__xludf.DUMMYFUNCTION("""COMPUTED_VALUE"""),"")</f>
        <v/>
      </c>
      <c r="M859" s="16" t="str">
        <f>IFERROR(__xludf.DUMMYFUNCTION("""COMPUTED_VALUE"""),"")</f>
        <v/>
      </c>
      <c r="U859" s="16" t="s">
        <v>87</v>
      </c>
      <c r="V859" s="16" t="str">
        <f>IFERROR(__xludf.DUMMYFUNCTION("""COMPUTED_VALUE"""),"")</f>
        <v/>
      </c>
      <c r="W859" s="16" t="str">
        <f>IFERROR(__xludf.DUMMYFUNCTION("""COMPUTED_VALUE"""),"")</f>
        <v/>
      </c>
      <c r="X859" s="16" t="str">
        <f>IFERROR(__xludf.DUMMYFUNCTION("""COMPUTED_VALUE"""),"")</f>
        <v/>
      </c>
      <c r="AC859" s="16" t="str">
        <f>IFERROR(__xludf.DUMMYFUNCTION("""COMPUTED_VALUE"""),"")</f>
        <v/>
      </c>
    </row>
    <row r="860">
      <c r="A860" s="16" t="s">
        <v>87</v>
      </c>
      <c r="E860" s="16" t="str">
        <f>IFERROR(__xludf.DUMMYFUNCTION("""COMPUTED_VALUE"""),"")</f>
        <v/>
      </c>
      <c r="G860" s="18"/>
      <c r="H860" s="16" t="s">
        <v>87</v>
      </c>
      <c r="I860" s="16" t="s">
        <v>87</v>
      </c>
      <c r="J860" s="19"/>
      <c r="L860" s="16" t="str">
        <f>IFERROR(__xludf.DUMMYFUNCTION("""COMPUTED_VALUE"""),"")</f>
        <v/>
      </c>
      <c r="M860" s="16" t="str">
        <f>IFERROR(__xludf.DUMMYFUNCTION("""COMPUTED_VALUE"""),"")</f>
        <v/>
      </c>
      <c r="U860" s="16" t="s">
        <v>87</v>
      </c>
      <c r="V860" s="16" t="str">
        <f>IFERROR(__xludf.DUMMYFUNCTION("""COMPUTED_VALUE"""),"")</f>
        <v/>
      </c>
      <c r="W860" s="16" t="str">
        <f>IFERROR(__xludf.DUMMYFUNCTION("""COMPUTED_VALUE"""),"")</f>
        <v/>
      </c>
      <c r="X860" s="16" t="str">
        <f>IFERROR(__xludf.DUMMYFUNCTION("""COMPUTED_VALUE"""),"")</f>
        <v/>
      </c>
      <c r="AC860" s="16" t="str">
        <f>IFERROR(__xludf.DUMMYFUNCTION("""COMPUTED_VALUE"""),"")</f>
        <v/>
      </c>
    </row>
    <row r="861">
      <c r="A861" s="16" t="s">
        <v>87</v>
      </c>
      <c r="E861" s="16" t="str">
        <f>IFERROR(__xludf.DUMMYFUNCTION("""COMPUTED_VALUE"""),"")</f>
        <v/>
      </c>
      <c r="G861" s="18"/>
      <c r="H861" s="16" t="s">
        <v>87</v>
      </c>
      <c r="I861" s="16" t="s">
        <v>87</v>
      </c>
      <c r="J861" s="19"/>
      <c r="L861" s="16" t="str">
        <f>IFERROR(__xludf.DUMMYFUNCTION("""COMPUTED_VALUE"""),"")</f>
        <v/>
      </c>
      <c r="M861" s="16" t="str">
        <f>IFERROR(__xludf.DUMMYFUNCTION("""COMPUTED_VALUE"""),"")</f>
        <v/>
      </c>
      <c r="U861" s="16" t="s">
        <v>87</v>
      </c>
      <c r="V861" s="16" t="str">
        <f>IFERROR(__xludf.DUMMYFUNCTION("""COMPUTED_VALUE"""),"")</f>
        <v/>
      </c>
      <c r="W861" s="16" t="str">
        <f>IFERROR(__xludf.DUMMYFUNCTION("""COMPUTED_VALUE"""),"")</f>
        <v/>
      </c>
      <c r="X861" s="16" t="str">
        <f>IFERROR(__xludf.DUMMYFUNCTION("""COMPUTED_VALUE"""),"")</f>
        <v/>
      </c>
      <c r="AC861" s="16" t="str">
        <f>IFERROR(__xludf.DUMMYFUNCTION("""COMPUTED_VALUE"""),"")</f>
        <v/>
      </c>
    </row>
    <row r="862">
      <c r="A862" s="16" t="s">
        <v>87</v>
      </c>
      <c r="E862" s="16" t="str">
        <f>IFERROR(__xludf.DUMMYFUNCTION("""COMPUTED_VALUE"""),"")</f>
        <v/>
      </c>
      <c r="G862" s="18"/>
      <c r="H862" s="16" t="s">
        <v>87</v>
      </c>
      <c r="I862" s="16" t="s">
        <v>87</v>
      </c>
      <c r="J862" s="19"/>
      <c r="L862" s="16" t="str">
        <f>IFERROR(__xludf.DUMMYFUNCTION("""COMPUTED_VALUE"""),"")</f>
        <v/>
      </c>
      <c r="M862" s="16" t="str">
        <f>IFERROR(__xludf.DUMMYFUNCTION("""COMPUTED_VALUE"""),"")</f>
        <v/>
      </c>
      <c r="U862" s="16" t="s">
        <v>87</v>
      </c>
      <c r="V862" s="16" t="str">
        <f>IFERROR(__xludf.DUMMYFUNCTION("""COMPUTED_VALUE"""),"")</f>
        <v/>
      </c>
      <c r="W862" s="16" t="str">
        <f>IFERROR(__xludf.DUMMYFUNCTION("""COMPUTED_VALUE"""),"")</f>
        <v/>
      </c>
      <c r="X862" s="16" t="str">
        <f>IFERROR(__xludf.DUMMYFUNCTION("""COMPUTED_VALUE"""),"")</f>
        <v/>
      </c>
      <c r="AC862" s="16" t="str">
        <f>IFERROR(__xludf.DUMMYFUNCTION("""COMPUTED_VALUE"""),"")</f>
        <v/>
      </c>
    </row>
    <row r="863">
      <c r="A863" s="16" t="s">
        <v>87</v>
      </c>
      <c r="E863" s="16" t="str">
        <f>IFERROR(__xludf.DUMMYFUNCTION("""COMPUTED_VALUE"""),"")</f>
        <v/>
      </c>
      <c r="G863" s="18"/>
      <c r="H863" s="16" t="s">
        <v>87</v>
      </c>
      <c r="I863" s="16" t="s">
        <v>87</v>
      </c>
      <c r="J863" s="19"/>
      <c r="L863" s="16" t="str">
        <f>IFERROR(__xludf.DUMMYFUNCTION("""COMPUTED_VALUE"""),"")</f>
        <v/>
      </c>
      <c r="M863" s="16" t="str">
        <f>IFERROR(__xludf.DUMMYFUNCTION("""COMPUTED_VALUE"""),"")</f>
        <v/>
      </c>
      <c r="U863" s="16" t="s">
        <v>87</v>
      </c>
      <c r="V863" s="16" t="str">
        <f>IFERROR(__xludf.DUMMYFUNCTION("""COMPUTED_VALUE"""),"")</f>
        <v/>
      </c>
      <c r="W863" s="16" t="str">
        <f>IFERROR(__xludf.DUMMYFUNCTION("""COMPUTED_VALUE"""),"")</f>
        <v/>
      </c>
      <c r="X863" s="16" t="str">
        <f>IFERROR(__xludf.DUMMYFUNCTION("""COMPUTED_VALUE"""),"")</f>
        <v/>
      </c>
      <c r="AC863" s="16" t="str">
        <f>IFERROR(__xludf.DUMMYFUNCTION("""COMPUTED_VALUE"""),"")</f>
        <v/>
      </c>
    </row>
    <row r="864">
      <c r="A864" s="16" t="s">
        <v>87</v>
      </c>
      <c r="E864" s="16" t="str">
        <f>IFERROR(__xludf.DUMMYFUNCTION("""COMPUTED_VALUE"""),"")</f>
        <v/>
      </c>
      <c r="G864" s="18"/>
      <c r="H864" s="16" t="s">
        <v>87</v>
      </c>
      <c r="I864" s="16" t="s">
        <v>87</v>
      </c>
      <c r="J864" s="19"/>
      <c r="L864" s="16" t="str">
        <f>IFERROR(__xludf.DUMMYFUNCTION("""COMPUTED_VALUE"""),"")</f>
        <v/>
      </c>
      <c r="M864" s="16" t="str">
        <f>IFERROR(__xludf.DUMMYFUNCTION("""COMPUTED_VALUE"""),"")</f>
        <v/>
      </c>
      <c r="U864" s="16" t="s">
        <v>87</v>
      </c>
      <c r="V864" s="16" t="str">
        <f>IFERROR(__xludf.DUMMYFUNCTION("""COMPUTED_VALUE"""),"")</f>
        <v/>
      </c>
      <c r="W864" s="16" t="str">
        <f>IFERROR(__xludf.DUMMYFUNCTION("""COMPUTED_VALUE"""),"")</f>
        <v/>
      </c>
      <c r="X864" s="16" t="str">
        <f>IFERROR(__xludf.DUMMYFUNCTION("""COMPUTED_VALUE"""),"")</f>
        <v/>
      </c>
      <c r="AC864" s="16" t="str">
        <f>IFERROR(__xludf.DUMMYFUNCTION("""COMPUTED_VALUE"""),"")</f>
        <v/>
      </c>
    </row>
    <row r="865">
      <c r="A865" s="16" t="s">
        <v>87</v>
      </c>
      <c r="E865" s="16" t="str">
        <f>IFERROR(__xludf.DUMMYFUNCTION("""COMPUTED_VALUE"""),"")</f>
        <v/>
      </c>
      <c r="G865" s="18"/>
      <c r="H865" s="16" t="s">
        <v>87</v>
      </c>
      <c r="I865" s="16" t="s">
        <v>87</v>
      </c>
      <c r="J865" s="19"/>
      <c r="L865" s="16" t="str">
        <f>IFERROR(__xludf.DUMMYFUNCTION("""COMPUTED_VALUE"""),"")</f>
        <v/>
      </c>
      <c r="M865" s="16" t="str">
        <f>IFERROR(__xludf.DUMMYFUNCTION("""COMPUTED_VALUE"""),"")</f>
        <v/>
      </c>
      <c r="U865" s="16" t="s">
        <v>87</v>
      </c>
      <c r="V865" s="16" t="str">
        <f>IFERROR(__xludf.DUMMYFUNCTION("""COMPUTED_VALUE"""),"")</f>
        <v/>
      </c>
      <c r="W865" s="16" t="str">
        <f>IFERROR(__xludf.DUMMYFUNCTION("""COMPUTED_VALUE"""),"")</f>
        <v/>
      </c>
      <c r="X865" s="16" t="str">
        <f>IFERROR(__xludf.DUMMYFUNCTION("""COMPUTED_VALUE"""),"")</f>
        <v/>
      </c>
      <c r="AC865" s="16" t="str">
        <f>IFERROR(__xludf.DUMMYFUNCTION("""COMPUTED_VALUE"""),"")</f>
        <v/>
      </c>
    </row>
    <row r="866">
      <c r="A866" s="16" t="s">
        <v>87</v>
      </c>
      <c r="E866" s="16" t="str">
        <f>IFERROR(__xludf.DUMMYFUNCTION("""COMPUTED_VALUE"""),"")</f>
        <v/>
      </c>
      <c r="G866" s="18"/>
      <c r="H866" s="16" t="s">
        <v>87</v>
      </c>
      <c r="I866" s="16" t="s">
        <v>87</v>
      </c>
      <c r="J866" s="19"/>
      <c r="L866" s="16" t="str">
        <f>IFERROR(__xludf.DUMMYFUNCTION("""COMPUTED_VALUE"""),"")</f>
        <v/>
      </c>
      <c r="M866" s="16" t="str">
        <f>IFERROR(__xludf.DUMMYFUNCTION("""COMPUTED_VALUE"""),"")</f>
        <v/>
      </c>
      <c r="U866" s="16" t="s">
        <v>87</v>
      </c>
      <c r="V866" s="16" t="str">
        <f>IFERROR(__xludf.DUMMYFUNCTION("""COMPUTED_VALUE"""),"")</f>
        <v/>
      </c>
      <c r="W866" s="16" t="str">
        <f>IFERROR(__xludf.DUMMYFUNCTION("""COMPUTED_VALUE"""),"")</f>
        <v/>
      </c>
      <c r="X866" s="16" t="str">
        <f>IFERROR(__xludf.DUMMYFUNCTION("""COMPUTED_VALUE"""),"")</f>
        <v/>
      </c>
      <c r="AC866" s="16" t="str">
        <f>IFERROR(__xludf.DUMMYFUNCTION("""COMPUTED_VALUE"""),"")</f>
        <v/>
      </c>
    </row>
    <row r="867">
      <c r="A867" s="16" t="s">
        <v>87</v>
      </c>
      <c r="E867" s="16" t="str">
        <f>IFERROR(__xludf.DUMMYFUNCTION("""COMPUTED_VALUE"""),"")</f>
        <v/>
      </c>
      <c r="G867" s="18"/>
      <c r="H867" s="16" t="s">
        <v>87</v>
      </c>
      <c r="I867" s="16" t="s">
        <v>87</v>
      </c>
      <c r="J867" s="19"/>
      <c r="L867" s="16" t="str">
        <f>IFERROR(__xludf.DUMMYFUNCTION("""COMPUTED_VALUE"""),"")</f>
        <v/>
      </c>
      <c r="M867" s="16" t="str">
        <f>IFERROR(__xludf.DUMMYFUNCTION("""COMPUTED_VALUE"""),"")</f>
        <v/>
      </c>
      <c r="U867" s="16" t="s">
        <v>87</v>
      </c>
      <c r="V867" s="16" t="str">
        <f>IFERROR(__xludf.DUMMYFUNCTION("""COMPUTED_VALUE"""),"")</f>
        <v/>
      </c>
      <c r="W867" s="16" t="str">
        <f>IFERROR(__xludf.DUMMYFUNCTION("""COMPUTED_VALUE"""),"")</f>
        <v/>
      </c>
      <c r="X867" s="16" t="str">
        <f>IFERROR(__xludf.DUMMYFUNCTION("""COMPUTED_VALUE"""),"")</f>
        <v/>
      </c>
      <c r="AC867" s="16" t="str">
        <f>IFERROR(__xludf.DUMMYFUNCTION("""COMPUTED_VALUE"""),"")</f>
        <v/>
      </c>
    </row>
    <row r="868">
      <c r="A868" s="16" t="s">
        <v>87</v>
      </c>
      <c r="E868" s="16" t="str">
        <f>IFERROR(__xludf.DUMMYFUNCTION("""COMPUTED_VALUE"""),"")</f>
        <v/>
      </c>
      <c r="G868" s="18"/>
      <c r="H868" s="16" t="s">
        <v>87</v>
      </c>
      <c r="I868" s="16" t="s">
        <v>87</v>
      </c>
      <c r="J868" s="19"/>
      <c r="L868" s="16" t="str">
        <f>IFERROR(__xludf.DUMMYFUNCTION("""COMPUTED_VALUE"""),"")</f>
        <v/>
      </c>
      <c r="M868" s="16" t="str">
        <f>IFERROR(__xludf.DUMMYFUNCTION("""COMPUTED_VALUE"""),"")</f>
        <v/>
      </c>
      <c r="U868" s="16" t="s">
        <v>87</v>
      </c>
      <c r="V868" s="16" t="str">
        <f>IFERROR(__xludf.DUMMYFUNCTION("""COMPUTED_VALUE"""),"")</f>
        <v/>
      </c>
      <c r="W868" s="16" t="str">
        <f>IFERROR(__xludf.DUMMYFUNCTION("""COMPUTED_VALUE"""),"")</f>
        <v/>
      </c>
      <c r="X868" s="16" t="str">
        <f>IFERROR(__xludf.DUMMYFUNCTION("""COMPUTED_VALUE"""),"")</f>
        <v/>
      </c>
      <c r="AC868" s="16" t="str">
        <f>IFERROR(__xludf.DUMMYFUNCTION("""COMPUTED_VALUE"""),"")</f>
        <v/>
      </c>
    </row>
    <row r="869">
      <c r="A869" s="16" t="s">
        <v>87</v>
      </c>
      <c r="E869" s="16" t="str">
        <f>IFERROR(__xludf.DUMMYFUNCTION("""COMPUTED_VALUE"""),"")</f>
        <v/>
      </c>
      <c r="G869" s="18"/>
      <c r="H869" s="16" t="s">
        <v>87</v>
      </c>
      <c r="I869" s="16" t="s">
        <v>87</v>
      </c>
      <c r="J869" s="19"/>
      <c r="L869" s="16" t="str">
        <f>IFERROR(__xludf.DUMMYFUNCTION("""COMPUTED_VALUE"""),"")</f>
        <v/>
      </c>
      <c r="M869" s="16" t="str">
        <f>IFERROR(__xludf.DUMMYFUNCTION("""COMPUTED_VALUE"""),"")</f>
        <v/>
      </c>
      <c r="U869" s="16" t="s">
        <v>87</v>
      </c>
      <c r="V869" s="16" t="str">
        <f>IFERROR(__xludf.DUMMYFUNCTION("""COMPUTED_VALUE"""),"")</f>
        <v/>
      </c>
      <c r="W869" s="16" t="str">
        <f>IFERROR(__xludf.DUMMYFUNCTION("""COMPUTED_VALUE"""),"")</f>
        <v/>
      </c>
      <c r="X869" s="16" t="str">
        <f>IFERROR(__xludf.DUMMYFUNCTION("""COMPUTED_VALUE"""),"")</f>
        <v/>
      </c>
      <c r="AC869" s="16" t="str">
        <f>IFERROR(__xludf.DUMMYFUNCTION("""COMPUTED_VALUE"""),"")</f>
        <v/>
      </c>
    </row>
    <row r="870">
      <c r="A870" s="16" t="s">
        <v>87</v>
      </c>
      <c r="E870" s="16" t="str">
        <f>IFERROR(__xludf.DUMMYFUNCTION("""COMPUTED_VALUE"""),"")</f>
        <v/>
      </c>
      <c r="G870" s="18"/>
      <c r="H870" s="16" t="s">
        <v>87</v>
      </c>
      <c r="I870" s="16" t="s">
        <v>87</v>
      </c>
      <c r="J870" s="19"/>
      <c r="L870" s="16" t="str">
        <f>IFERROR(__xludf.DUMMYFUNCTION("""COMPUTED_VALUE"""),"")</f>
        <v/>
      </c>
      <c r="M870" s="16" t="str">
        <f>IFERROR(__xludf.DUMMYFUNCTION("""COMPUTED_VALUE"""),"")</f>
        <v/>
      </c>
      <c r="U870" s="16" t="s">
        <v>87</v>
      </c>
      <c r="V870" s="16" t="str">
        <f>IFERROR(__xludf.DUMMYFUNCTION("""COMPUTED_VALUE"""),"")</f>
        <v/>
      </c>
      <c r="W870" s="16" t="str">
        <f>IFERROR(__xludf.DUMMYFUNCTION("""COMPUTED_VALUE"""),"")</f>
        <v/>
      </c>
      <c r="X870" s="16" t="str">
        <f>IFERROR(__xludf.DUMMYFUNCTION("""COMPUTED_VALUE"""),"")</f>
        <v/>
      </c>
      <c r="AC870" s="16" t="str">
        <f>IFERROR(__xludf.DUMMYFUNCTION("""COMPUTED_VALUE"""),"")</f>
        <v/>
      </c>
    </row>
    <row r="871">
      <c r="A871" s="16" t="s">
        <v>87</v>
      </c>
      <c r="E871" s="16" t="str">
        <f>IFERROR(__xludf.DUMMYFUNCTION("""COMPUTED_VALUE"""),"")</f>
        <v/>
      </c>
      <c r="G871" s="18"/>
      <c r="H871" s="16" t="s">
        <v>87</v>
      </c>
      <c r="I871" s="16" t="s">
        <v>87</v>
      </c>
      <c r="J871" s="19"/>
      <c r="L871" s="16" t="str">
        <f>IFERROR(__xludf.DUMMYFUNCTION("""COMPUTED_VALUE"""),"")</f>
        <v/>
      </c>
      <c r="M871" s="16" t="str">
        <f>IFERROR(__xludf.DUMMYFUNCTION("""COMPUTED_VALUE"""),"")</f>
        <v/>
      </c>
      <c r="U871" s="16" t="s">
        <v>87</v>
      </c>
      <c r="V871" s="16" t="str">
        <f>IFERROR(__xludf.DUMMYFUNCTION("""COMPUTED_VALUE"""),"")</f>
        <v/>
      </c>
      <c r="W871" s="16" t="str">
        <f>IFERROR(__xludf.DUMMYFUNCTION("""COMPUTED_VALUE"""),"")</f>
        <v/>
      </c>
      <c r="X871" s="16" t="str">
        <f>IFERROR(__xludf.DUMMYFUNCTION("""COMPUTED_VALUE"""),"")</f>
        <v/>
      </c>
      <c r="AC871" s="16" t="str">
        <f>IFERROR(__xludf.DUMMYFUNCTION("""COMPUTED_VALUE"""),"")</f>
        <v/>
      </c>
    </row>
    <row r="872">
      <c r="A872" s="16" t="s">
        <v>87</v>
      </c>
      <c r="E872" s="16" t="str">
        <f>IFERROR(__xludf.DUMMYFUNCTION("""COMPUTED_VALUE"""),"")</f>
        <v/>
      </c>
      <c r="G872" s="18"/>
      <c r="H872" s="16" t="s">
        <v>87</v>
      </c>
      <c r="I872" s="16" t="s">
        <v>87</v>
      </c>
      <c r="J872" s="19"/>
      <c r="L872" s="16" t="str">
        <f>IFERROR(__xludf.DUMMYFUNCTION("""COMPUTED_VALUE"""),"")</f>
        <v/>
      </c>
      <c r="M872" s="16" t="str">
        <f>IFERROR(__xludf.DUMMYFUNCTION("""COMPUTED_VALUE"""),"")</f>
        <v/>
      </c>
      <c r="U872" s="16" t="s">
        <v>87</v>
      </c>
      <c r="V872" s="16" t="str">
        <f>IFERROR(__xludf.DUMMYFUNCTION("""COMPUTED_VALUE"""),"")</f>
        <v/>
      </c>
      <c r="W872" s="16" t="str">
        <f>IFERROR(__xludf.DUMMYFUNCTION("""COMPUTED_VALUE"""),"")</f>
        <v/>
      </c>
      <c r="X872" s="16" t="str">
        <f>IFERROR(__xludf.DUMMYFUNCTION("""COMPUTED_VALUE"""),"")</f>
        <v/>
      </c>
      <c r="AC872" s="16" t="str">
        <f>IFERROR(__xludf.DUMMYFUNCTION("""COMPUTED_VALUE"""),"")</f>
        <v/>
      </c>
    </row>
    <row r="873">
      <c r="A873" s="16" t="s">
        <v>87</v>
      </c>
      <c r="E873" s="16" t="str">
        <f>IFERROR(__xludf.DUMMYFUNCTION("""COMPUTED_VALUE"""),"")</f>
        <v/>
      </c>
      <c r="G873" s="18"/>
      <c r="H873" s="16" t="s">
        <v>87</v>
      </c>
      <c r="I873" s="16" t="s">
        <v>87</v>
      </c>
      <c r="J873" s="19"/>
      <c r="L873" s="16" t="str">
        <f>IFERROR(__xludf.DUMMYFUNCTION("""COMPUTED_VALUE"""),"")</f>
        <v/>
      </c>
      <c r="M873" s="16" t="str">
        <f>IFERROR(__xludf.DUMMYFUNCTION("""COMPUTED_VALUE"""),"")</f>
        <v/>
      </c>
      <c r="U873" s="16" t="s">
        <v>87</v>
      </c>
      <c r="V873" s="16" t="str">
        <f>IFERROR(__xludf.DUMMYFUNCTION("""COMPUTED_VALUE"""),"")</f>
        <v/>
      </c>
      <c r="W873" s="16" t="str">
        <f>IFERROR(__xludf.DUMMYFUNCTION("""COMPUTED_VALUE"""),"")</f>
        <v/>
      </c>
      <c r="X873" s="16" t="str">
        <f>IFERROR(__xludf.DUMMYFUNCTION("""COMPUTED_VALUE"""),"")</f>
        <v/>
      </c>
      <c r="AC873" s="16" t="str">
        <f>IFERROR(__xludf.DUMMYFUNCTION("""COMPUTED_VALUE"""),"")</f>
        <v/>
      </c>
    </row>
    <row r="874">
      <c r="A874" s="16" t="s">
        <v>87</v>
      </c>
      <c r="E874" s="16" t="str">
        <f>IFERROR(__xludf.DUMMYFUNCTION("""COMPUTED_VALUE"""),"")</f>
        <v/>
      </c>
      <c r="G874" s="18"/>
      <c r="H874" s="16" t="s">
        <v>87</v>
      </c>
      <c r="I874" s="16" t="s">
        <v>87</v>
      </c>
      <c r="J874" s="19"/>
      <c r="L874" s="16" t="str">
        <f>IFERROR(__xludf.DUMMYFUNCTION("""COMPUTED_VALUE"""),"")</f>
        <v/>
      </c>
      <c r="M874" s="16" t="str">
        <f>IFERROR(__xludf.DUMMYFUNCTION("""COMPUTED_VALUE"""),"")</f>
        <v/>
      </c>
      <c r="U874" s="16" t="s">
        <v>87</v>
      </c>
      <c r="V874" s="16" t="str">
        <f>IFERROR(__xludf.DUMMYFUNCTION("""COMPUTED_VALUE"""),"")</f>
        <v/>
      </c>
      <c r="W874" s="16" t="str">
        <f>IFERROR(__xludf.DUMMYFUNCTION("""COMPUTED_VALUE"""),"")</f>
        <v/>
      </c>
      <c r="X874" s="16" t="str">
        <f>IFERROR(__xludf.DUMMYFUNCTION("""COMPUTED_VALUE"""),"")</f>
        <v/>
      </c>
      <c r="AC874" s="16" t="str">
        <f>IFERROR(__xludf.DUMMYFUNCTION("""COMPUTED_VALUE"""),"")</f>
        <v/>
      </c>
    </row>
    <row r="875">
      <c r="A875" s="16" t="s">
        <v>87</v>
      </c>
      <c r="E875" s="16" t="str">
        <f>IFERROR(__xludf.DUMMYFUNCTION("""COMPUTED_VALUE"""),"")</f>
        <v/>
      </c>
      <c r="G875" s="18"/>
      <c r="H875" s="16" t="s">
        <v>87</v>
      </c>
      <c r="I875" s="16" t="s">
        <v>87</v>
      </c>
      <c r="J875" s="19"/>
      <c r="L875" s="16" t="str">
        <f>IFERROR(__xludf.DUMMYFUNCTION("""COMPUTED_VALUE"""),"")</f>
        <v/>
      </c>
      <c r="M875" s="16" t="str">
        <f>IFERROR(__xludf.DUMMYFUNCTION("""COMPUTED_VALUE"""),"")</f>
        <v/>
      </c>
      <c r="U875" s="16" t="s">
        <v>87</v>
      </c>
      <c r="V875" s="16" t="str">
        <f>IFERROR(__xludf.DUMMYFUNCTION("""COMPUTED_VALUE"""),"")</f>
        <v/>
      </c>
      <c r="W875" s="16" t="str">
        <f>IFERROR(__xludf.DUMMYFUNCTION("""COMPUTED_VALUE"""),"")</f>
        <v/>
      </c>
      <c r="X875" s="16" t="str">
        <f>IFERROR(__xludf.DUMMYFUNCTION("""COMPUTED_VALUE"""),"")</f>
        <v/>
      </c>
      <c r="AC875" s="16" t="str">
        <f>IFERROR(__xludf.DUMMYFUNCTION("""COMPUTED_VALUE"""),"")</f>
        <v/>
      </c>
    </row>
    <row r="876">
      <c r="A876" s="16" t="s">
        <v>87</v>
      </c>
      <c r="E876" s="16" t="str">
        <f>IFERROR(__xludf.DUMMYFUNCTION("""COMPUTED_VALUE"""),"")</f>
        <v/>
      </c>
      <c r="G876" s="18"/>
      <c r="H876" s="16" t="s">
        <v>87</v>
      </c>
      <c r="I876" s="16" t="s">
        <v>87</v>
      </c>
      <c r="J876" s="19"/>
      <c r="L876" s="16" t="str">
        <f>IFERROR(__xludf.DUMMYFUNCTION("""COMPUTED_VALUE"""),"")</f>
        <v/>
      </c>
      <c r="M876" s="16" t="str">
        <f>IFERROR(__xludf.DUMMYFUNCTION("""COMPUTED_VALUE"""),"")</f>
        <v/>
      </c>
      <c r="U876" s="16" t="s">
        <v>87</v>
      </c>
      <c r="V876" s="16" t="str">
        <f>IFERROR(__xludf.DUMMYFUNCTION("""COMPUTED_VALUE"""),"")</f>
        <v/>
      </c>
      <c r="W876" s="16" t="str">
        <f>IFERROR(__xludf.DUMMYFUNCTION("""COMPUTED_VALUE"""),"")</f>
        <v/>
      </c>
      <c r="X876" s="16" t="str">
        <f>IFERROR(__xludf.DUMMYFUNCTION("""COMPUTED_VALUE"""),"")</f>
        <v/>
      </c>
      <c r="AC876" s="16" t="str">
        <f>IFERROR(__xludf.DUMMYFUNCTION("""COMPUTED_VALUE"""),"")</f>
        <v/>
      </c>
    </row>
    <row r="877">
      <c r="A877" s="16" t="s">
        <v>87</v>
      </c>
      <c r="E877" s="16" t="str">
        <f>IFERROR(__xludf.DUMMYFUNCTION("""COMPUTED_VALUE"""),"")</f>
        <v/>
      </c>
      <c r="G877" s="18"/>
      <c r="H877" s="16" t="s">
        <v>87</v>
      </c>
      <c r="I877" s="16" t="s">
        <v>87</v>
      </c>
      <c r="J877" s="19"/>
      <c r="L877" s="16" t="str">
        <f>IFERROR(__xludf.DUMMYFUNCTION("""COMPUTED_VALUE"""),"")</f>
        <v/>
      </c>
      <c r="M877" s="16" t="str">
        <f>IFERROR(__xludf.DUMMYFUNCTION("""COMPUTED_VALUE"""),"")</f>
        <v/>
      </c>
      <c r="U877" s="16" t="s">
        <v>87</v>
      </c>
      <c r="V877" s="16" t="str">
        <f>IFERROR(__xludf.DUMMYFUNCTION("""COMPUTED_VALUE"""),"")</f>
        <v/>
      </c>
      <c r="W877" s="16" t="str">
        <f>IFERROR(__xludf.DUMMYFUNCTION("""COMPUTED_VALUE"""),"")</f>
        <v/>
      </c>
      <c r="X877" s="16" t="str">
        <f>IFERROR(__xludf.DUMMYFUNCTION("""COMPUTED_VALUE"""),"")</f>
        <v/>
      </c>
      <c r="AC877" s="16" t="str">
        <f>IFERROR(__xludf.DUMMYFUNCTION("""COMPUTED_VALUE"""),"")</f>
        <v/>
      </c>
    </row>
    <row r="878">
      <c r="A878" s="16" t="s">
        <v>87</v>
      </c>
      <c r="E878" s="16" t="str">
        <f>IFERROR(__xludf.DUMMYFUNCTION("""COMPUTED_VALUE"""),"")</f>
        <v/>
      </c>
      <c r="G878" s="18"/>
      <c r="H878" s="16" t="s">
        <v>87</v>
      </c>
      <c r="I878" s="16" t="s">
        <v>87</v>
      </c>
      <c r="J878" s="19"/>
      <c r="L878" s="16" t="str">
        <f>IFERROR(__xludf.DUMMYFUNCTION("""COMPUTED_VALUE"""),"")</f>
        <v/>
      </c>
      <c r="M878" s="16" t="str">
        <f>IFERROR(__xludf.DUMMYFUNCTION("""COMPUTED_VALUE"""),"")</f>
        <v/>
      </c>
      <c r="U878" s="16" t="s">
        <v>87</v>
      </c>
      <c r="V878" s="16" t="str">
        <f>IFERROR(__xludf.DUMMYFUNCTION("""COMPUTED_VALUE"""),"")</f>
        <v/>
      </c>
      <c r="W878" s="16" t="str">
        <f>IFERROR(__xludf.DUMMYFUNCTION("""COMPUTED_VALUE"""),"")</f>
        <v/>
      </c>
      <c r="X878" s="16" t="str">
        <f>IFERROR(__xludf.DUMMYFUNCTION("""COMPUTED_VALUE"""),"")</f>
        <v/>
      </c>
      <c r="AC878" s="16" t="str">
        <f>IFERROR(__xludf.DUMMYFUNCTION("""COMPUTED_VALUE"""),"")</f>
        <v/>
      </c>
    </row>
    <row r="879">
      <c r="A879" s="16" t="s">
        <v>87</v>
      </c>
      <c r="E879" s="16" t="str">
        <f>IFERROR(__xludf.DUMMYFUNCTION("""COMPUTED_VALUE"""),"")</f>
        <v/>
      </c>
      <c r="G879" s="18"/>
      <c r="H879" s="16" t="s">
        <v>87</v>
      </c>
      <c r="I879" s="16" t="s">
        <v>87</v>
      </c>
      <c r="J879" s="19"/>
      <c r="L879" s="16" t="str">
        <f>IFERROR(__xludf.DUMMYFUNCTION("""COMPUTED_VALUE"""),"")</f>
        <v/>
      </c>
      <c r="M879" s="16" t="str">
        <f>IFERROR(__xludf.DUMMYFUNCTION("""COMPUTED_VALUE"""),"")</f>
        <v/>
      </c>
      <c r="U879" s="16" t="s">
        <v>87</v>
      </c>
      <c r="V879" s="16" t="str">
        <f>IFERROR(__xludf.DUMMYFUNCTION("""COMPUTED_VALUE"""),"")</f>
        <v/>
      </c>
      <c r="W879" s="16" t="str">
        <f>IFERROR(__xludf.DUMMYFUNCTION("""COMPUTED_VALUE"""),"")</f>
        <v/>
      </c>
      <c r="X879" s="16" t="str">
        <f>IFERROR(__xludf.DUMMYFUNCTION("""COMPUTED_VALUE"""),"")</f>
        <v/>
      </c>
      <c r="AC879" s="16" t="str">
        <f>IFERROR(__xludf.DUMMYFUNCTION("""COMPUTED_VALUE"""),"")</f>
        <v/>
      </c>
    </row>
    <row r="880">
      <c r="A880" s="16" t="s">
        <v>87</v>
      </c>
      <c r="E880" s="16" t="str">
        <f>IFERROR(__xludf.DUMMYFUNCTION("""COMPUTED_VALUE"""),"")</f>
        <v/>
      </c>
      <c r="G880" s="18"/>
      <c r="H880" s="16" t="s">
        <v>87</v>
      </c>
      <c r="I880" s="16" t="s">
        <v>87</v>
      </c>
      <c r="J880" s="19"/>
      <c r="L880" s="16" t="str">
        <f>IFERROR(__xludf.DUMMYFUNCTION("""COMPUTED_VALUE"""),"")</f>
        <v/>
      </c>
      <c r="M880" s="16" t="str">
        <f>IFERROR(__xludf.DUMMYFUNCTION("""COMPUTED_VALUE"""),"")</f>
        <v/>
      </c>
      <c r="U880" s="16" t="s">
        <v>87</v>
      </c>
      <c r="V880" s="16" t="str">
        <f>IFERROR(__xludf.DUMMYFUNCTION("""COMPUTED_VALUE"""),"")</f>
        <v/>
      </c>
      <c r="W880" s="16" t="str">
        <f>IFERROR(__xludf.DUMMYFUNCTION("""COMPUTED_VALUE"""),"")</f>
        <v/>
      </c>
      <c r="X880" s="16" t="str">
        <f>IFERROR(__xludf.DUMMYFUNCTION("""COMPUTED_VALUE"""),"")</f>
        <v/>
      </c>
      <c r="AC880" s="16" t="str">
        <f>IFERROR(__xludf.DUMMYFUNCTION("""COMPUTED_VALUE"""),"")</f>
        <v/>
      </c>
    </row>
    <row r="881">
      <c r="A881" s="16" t="s">
        <v>87</v>
      </c>
      <c r="E881" s="16" t="str">
        <f>IFERROR(__xludf.DUMMYFUNCTION("""COMPUTED_VALUE"""),"")</f>
        <v/>
      </c>
      <c r="G881" s="18"/>
      <c r="H881" s="16" t="s">
        <v>87</v>
      </c>
      <c r="I881" s="16" t="s">
        <v>87</v>
      </c>
      <c r="J881" s="19"/>
      <c r="L881" s="16" t="str">
        <f>IFERROR(__xludf.DUMMYFUNCTION("""COMPUTED_VALUE"""),"")</f>
        <v/>
      </c>
      <c r="M881" s="16" t="str">
        <f>IFERROR(__xludf.DUMMYFUNCTION("""COMPUTED_VALUE"""),"")</f>
        <v/>
      </c>
      <c r="U881" s="16" t="s">
        <v>87</v>
      </c>
      <c r="V881" s="16" t="str">
        <f>IFERROR(__xludf.DUMMYFUNCTION("""COMPUTED_VALUE"""),"")</f>
        <v/>
      </c>
      <c r="W881" s="16" t="str">
        <f>IFERROR(__xludf.DUMMYFUNCTION("""COMPUTED_VALUE"""),"")</f>
        <v/>
      </c>
      <c r="X881" s="16" t="str">
        <f>IFERROR(__xludf.DUMMYFUNCTION("""COMPUTED_VALUE"""),"")</f>
        <v/>
      </c>
      <c r="AC881" s="16" t="str">
        <f>IFERROR(__xludf.DUMMYFUNCTION("""COMPUTED_VALUE"""),"")</f>
        <v/>
      </c>
    </row>
    <row r="882">
      <c r="A882" s="16" t="s">
        <v>87</v>
      </c>
      <c r="E882" s="16" t="str">
        <f>IFERROR(__xludf.DUMMYFUNCTION("""COMPUTED_VALUE"""),"")</f>
        <v/>
      </c>
      <c r="G882" s="18"/>
      <c r="H882" s="16" t="s">
        <v>87</v>
      </c>
      <c r="I882" s="16" t="s">
        <v>87</v>
      </c>
      <c r="J882" s="19"/>
      <c r="L882" s="16" t="str">
        <f>IFERROR(__xludf.DUMMYFUNCTION("""COMPUTED_VALUE"""),"")</f>
        <v/>
      </c>
      <c r="M882" s="16" t="str">
        <f>IFERROR(__xludf.DUMMYFUNCTION("""COMPUTED_VALUE"""),"")</f>
        <v/>
      </c>
      <c r="U882" s="16" t="s">
        <v>87</v>
      </c>
      <c r="V882" s="16" t="str">
        <f>IFERROR(__xludf.DUMMYFUNCTION("""COMPUTED_VALUE"""),"")</f>
        <v/>
      </c>
      <c r="W882" s="16" t="str">
        <f>IFERROR(__xludf.DUMMYFUNCTION("""COMPUTED_VALUE"""),"")</f>
        <v/>
      </c>
      <c r="X882" s="16" t="str">
        <f>IFERROR(__xludf.DUMMYFUNCTION("""COMPUTED_VALUE"""),"")</f>
        <v/>
      </c>
      <c r="AC882" s="16" t="str">
        <f>IFERROR(__xludf.DUMMYFUNCTION("""COMPUTED_VALUE"""),"")</f>
        <v/>
      </c>
    </row>
    <row r="883">
      <c r="A883" s="16" t="s">
        <v>87</v>
      </c>
      <c r="E883" s="16" t="str">
        <f>IFERROR(__xludf.DUMMYFUNCTION("""COMPUTED_VALUE"""),"")</f>
        <v/>
      </c>
      <c r="G883" s="18"/>
      <c r="H883" s="16" t="s">
        <v>87</v>
      </c>
      <c r="I883" s="16" t="s">
        <v>87</v>
      </c>
      <c r="J883" s="19"/>
      <c r="L883" s="16" t="str">
        <f>IFERROR(__xludf.DUMMYFUNCTION("""COMPUTED_VALUE"""),"")</f>
        <v/>
      </c>
      <c r="M883" s="16" t="str">
        <f>IFERROR(__xludf.DUMMYFUNCTION("""COMPUTED_VALUE"""),"")</f>
        <v/>
      </c>
      <c r="U883" s="16" t="s">
        <v>87</v>
      </c>
      <c r="V883" s="16" t="str">
        <f>IFERROR(__xludf.DUMMYFUNCTION("""COMPUTED_VALUE"""),"")</f>
        <v/>
      </c>
      <c r="W883" s="16" t="str">
        <f>IFERROR(__xludf.DUMMYFUNCTION("""COMPUTED_VALUE"""),"")</f>
        <v/>
      </c>
      <c r="X883" s="16" t="str">
        <f>IFERROR(__xludf.DUMMYFUNCTION("""COMPUTED_VALUE"""),"")</f>
        <v/>
      </c>
      <c r="AC883" s="16" t="str">
        <f>IFERROR(__xludf.DUMMYFUNCTION("""COMPUTED_VALUE"""),"")</f>
        <v/>
      </c>
    </row>
    <row r="884">
      <c r="A884" s="16" t="s">
        <v>87</v>
      </c>
      <c r="E884" s="16" t="str">
        <f>IFERROR(__xludf.DUMMYFUNCTION("""COMPUTED_VALUE"""),"")</f>
        <v/>
      </c>
      <c r="G884" s="18"/>
      <c r="H884" s="16" t="s">
        <v>87</v>
      </c>
      <c r="I884" s="16" t="s">
        <v>87</v>
      </c>
      <c r="J884" s="19"/>
      <c r="L884" s="16" t="str">
        <f>IFERROR(__xludf.DUMMYFUNCTION("""COMPUTED_VALUE"""),"")</f>
        <v/>
      </c>
      <c r="M884" s="16" t="str">
        <f>IFERROR(__xludf.DUMMYFUNCTION("""COMPUTED_VALUE"""),"")</f>
        <v/>
      </c>
      <c r="U884" s="16" t="s">
        <v>87</v>
      </c>
      <c r="V884" s="16" t="str">
        <f>IFERROR(__xludf.DUMMYFUNCTION("""COMPUTED_VALUE"""),"")</f>
        <v/>
      </c>
      <c r="W884" s="16" t="str">
        <f>IFERROR(__xludf.DUMMYFUNCTION("""COMPUTED_VALUE"""),"")</f>
        <v/>
      </c>
      <c r="X884" s="16" t="str">
        <f>IFERROR(__xludf.DUMMYFUNCTION("""COMPUTED_VALUE"""),"")</f>
        <v/>
      </c>
      <c r="AC884" s="16" t="str">
        <f>IFERROR(__xludf.DUMMYFUNCTION("""COMPUTED_VALUE"""),"")</f>
        <v/>
      </c>
    </row>
    <row r="885">
      <c r="A885" s="16" t="s">
        <v>87</v>
      </c>
      <c r="E885" s="16" t="str">
        <f>IFERROR(__xludf.DUMMYFUNCTION("""COMPUTED_VALUE"""),"")</f>
        <v/>
      </c>
      <c r="G885" s="18"/>
      <c r="H885" s="16" t="s">
        <v>87</v>
      </c>
      <c r="I885" s="16" t="s">
        <v>87</v>
      </c>
      <c r="J885" s="19"/>
      <c r="L885" s="16" t="str">
        <f>IFERROR(__xludf.DUMMYFUNCTION("""COMPUTED_VALUE"""),"")</f>
        <v/>
      </c>
      <c r="M885" s="16" t="str">
        <f>IFERROR(__xludf.DUMMYFUNCTION("""COMPUTED_VALUE"""),"")</f>
        <v/>
      </c>
      <c r="U885" s="16" t="s">
        <v>87</v>
      </c>
      <c r="V885" s="16" t="str">
        <f>IFERROR(__xludf.DUMMYFUNCTION("""COMPUTED_VALUE"""),"")</f>
        <v/>
      </c>
      <c r="W885" s="16" t="str">
        <f>IFERROR(__xludf.DUMMYFUNCTION("""COMPUTED_VALUE"""),"")</f>
        <v/>
      </c>
      <c r="X885" s="16" t="str">
        <f>IFERROR(__xludf.DUMMYFUNCTION("""COMPUTED_VALUE"""),"")</f>
        <v/>
      </c>
      <c r="AC885" s="16" t="str">
        <f>IFERROR(__xludf.DUMMYFUNCTION("""COMPUTED_VALUE"""),"")</f>
        <v/>
      </c>
    </row>
    <row r="886">
      <c r="A886" s="16" t="s">
        <v>87</v>
      </c>
      <c r="E886" s="16" t="str">
        <f>IFERROR(__xludf.DUMMYFUNCTION("""COMPUTED_VALUE"""),"")</f>
        <v/>
      </c>
      <c r="G886" s="18"/>
      <c r="H886" s="16" t="s">
        <v>87</v>
      </c>
      <c r="I886" s="16" t="s">
        <v>87</v>
      </c>
      <c r="J886" s="19"/>
      <c r="L886" s="16" t="str">
        <f>IFERROR(__xludf.DUMMYFUNCTION("""COMPUTED_VALUE"""),"")</f>
        <v/>
      </c>
      <c r="M886" s="16" t="str">
        <f>IFERROR(__xludf.DUMMYFUNCTION("""COMPUTED_VALUE"""),"")</f>
        <v/>
      </c>
      <c r="U886" s="16" t="s">
        <v>87</v>
      </c>
      <c r="V886" s="16" t="str">
        <f>IFERROR(__xludf.DUMMYFUNCTION("""COMPUTED_VALUE"""),"")</f>
        <v/>
      </c>
      <c r="W886" s="16" t="str">
        <f>IFERROR(__xludf.DUMMYFUNCTION("""COMPUTED_VALUE"""),"")</f>
        <v/>
      </c>
      <c r="X886" s="16" t="str">
        <f>IFERROR(__xludf.DUMMYFUNCTION("""COMPUTED_VALUE"""),"")</f>
        <v/>
      </c>
      <c r="AC886" s="16" t="str">
        <f>IFERROR(__xludf.DUMMYFUNCTION("""COMPUTED_VALUE"""),"")</f>
        <v/>
      </c>
    </row>
    <row r="887">
      <c r="A887" s="16" t="s">
        <v>87</v>
      </c>
      <c r="E887" s="16" t="str">
        <f>IFERROR(__xludf.DUMMYFUNCTION("""COMPUTED_VALUE"""),"")</f>
        <v/>
      </c>
      <c r="G887" s="18"/>
      <c r="H887" s="16" t="s">
        <v>87</v>
      </c>
      <c r="I887" s="16" t="s">
        <v>87</v>
      </c>
      <c r="J887" s="19"/>
      <c r="L887" s="16" t="str">
        <f>IFERROR(__xludf.DUMMYFUNCTION("""COMPUTED_VALUE"""),"")</f>
        <v/>
      </c>
      <c r="M887" s="16" t="str">
        <f>IFERROR(__xludf.DUMMYFUNCTION("""COMPUTED_VALUE"""),"")</f>
        <v/>
      </c>
      <c r="U887" s="16" t="s">
        <v>87</v>
      </c>
      <c r="V887" s="16" t="str">
        <f>IFERROR(__xludf.DUMMYFUNCTION("""COMPUTED_VALUE"""),"")</f>
        <v/>
      </c>
      <c r="W887" s="16" t="str">
        <f>IFERROR(__xludf.DUMMYFUNCTION("""COMPUTED_VALUE"""),"")</f>
        <v/>
      </c>
      <c r="X887" s="16" t="str">
        <f>IFERROR(__xludf.DUMMYFUNCTION("""COMPUTED_VALUE"""),"")</f>
        <v/>
      </c>
      <c r="AC887" s="16" t="str">
        <f>IFERROR(__xludf.DUMMYFUNCTION("""COMPUTED_VALUE"""),"")</f>
        <v/>
      </c>
    </row>
    <row r="888">
      <c r="A888" s="16" t="s">
        <v>87</v>
      </c>
      <c r="E888" s="16" t="str">
        <f>IFERROR(__xludf.DUMMYFUNCTION("""COMPUTED_VALUE"""),"")</f>
        <v/>
      </c>
      <c r="G888" s="18"/>
      <c r="H888" s="16" t="s">
        <v>87</v>
      </c>
      <c r="I888" s="16" t="s">
        <v>87</v>
      </c>
      <c r="J888" s="19"/>
      <c r="L888" s="16" t="str">
        <f>IFERROR(__xludf.DUMMYFUNCTION("""COMPUTED_VALUE"""),"")</f>
        <v/>
      </c>
      <c r="M888" s="16" t="str">
        <f>IFERROR(__xludf.DUMMYFUNCTION("""COMPUTED_VALUE"""),"")</f>
        <v/>
      </c>
      <c r="U888" s="16" t="s">
        <v>87</v>
      </c>
      <c r="V888" s="16" t="str">
        <f>IFERROR(__xludf.DUMMYFUNCTION("""COMPUTED_VALUE"""),"")</f>
        <v/>
      </c>
      <c r="W888" s="16" t="str">
        <f>IFERROR(__xludf.DUMMYFUNCTION("""COMPUTED_VALUE"""),"")</f>
        <v/>
      </c>
      <c r="X888" s="16" t="str">
        <f>IFERROR(__xludf.DUMMYFUNCTION("""COMPUTED_VALUE"""),"")</f>
        <v/>
      </c>
      <c r="AC888" s="16" t="str">
        <f>IFERROR(__xludf.DUMMYFUNCTION("""COMPUTED_VALUE"""),"")</f>
        <v/>
      </c>
    </row>
    <row r="889">
      <c r="A889" s="16" t="s">
        <v>87</v>
      </c>
      <c r="E889" s="16" t="str">
        <f>IFERROR(__xludf.DUMMYFUNCTION("""COMPUTED_VALUE"""),"")</f>
        <v/>
      </c>
      <c r="G889" s="18"/>
      <c r="H889" s="16" t="s">
        <v>87</v>
      </c>
      <c r="I889" s="16" t="s">
        <v>87</v>
      </c>
      <c r="J889" s="19"/>
      <c r="L889" s="16" t="str">
        <f>IFERROR(__xludf.DUMMYFUNCTION("""COMPUTED_VALUE"""),"")</f>
        <v/>
      </c>
      <c r="M889" s="16" t="str">
        <f>IFERROR(__xludf.DUMMYFUNCTION("""COMPUTED_VALUE"""),"")</f>
        <v/>
      </c>
      <c r="U889" s="16" t="s">
        <v>87</v>
      </c>
      <c r="V889" s="16" t="str">
        <f>IFERROR(__xludf.DUMMYFUNCTION("""COMPUTED_VALUE"""),"")</f>
        <v/>
      </c>
      <c r="W889" s="16" t="str">
        <f>IFERROR(__xludf.DUMMYFUNCTION("""COMPUTED_VALUE"""),"")</f>
        <v/>
      </c>
      <c r="X889" s="16" t="str">
        <f>IFERROR(__xludf.DUMMYFUNCTION("""COMPUTED_VALUE"""),"")</f>
        <v/>
      </c>
      <c r="AC889" s="16" t="str">
        <f>IFERROR(__xludf.DUMMYFUNCTION("""COMPUTED_VALUE"""),"")</f>
        <v/>
      </c>
    </row>
    <row r="890">
      <c r="A890" s="16" t="s">
        <v>87</v>
      </c>
      <c r="E890" s="16" t="str">
        <f>IFERROR(__xludf.DUMMYFUNCTION("""COMPUTED_VALUE"""),"")</f>
        <v/>
      </c>
      <c r="G890" s="18"/>
      <c r="H890" s="16" t="s">
        <v>87</v>
      </c>
      <c r="I890" s="16" t="s">
        <v>87</v>
      </c>
      <c r="J890" s="19"/>
      <c r="L890" s="16" t="str">
        <f>IFERROR(__xludf.DUMMYFUNCTION("""COMPUTED_VALUE"""),"")</f>
        <v/>
      </c>
      <c r="M890" s="16" t="str">
        <f>IFERROR(__xludf.DUMMYFUNCTION("""COMPUTED_VALUE"""),"")</f>
        <v/>
      </c>
      <c r="U890" s="16" t="s">
        <v>87</v>
      </c>
      <c r="V890" s="16" t="str">
        <f>IFERROR(__xludf.DUMMYFUNCTION("""COMPUTED_VALUE"""),"")</f>
        <v/>
      </c>
      <c r="W890" s="16" t="str">
        <f>IFERROR(__xludf.DUMMYFUNCTION("""COMPUTED_VALUE"""),"")</f>
        <v/>
      </c>
      <c r="X890" s="16" t="str">
        <f>IFERROR(__xludf.DUMMYFUNCTION("""COMPUTED_VALUE"""),"")</f>
        <v/>
      </c>
      <c r="AC890" s="16" t="str">
        <f>IFERROR(__xludf.DUMMYFUNCTION("""COMPUTED_VALUE"""),"")</f>
        <v/>
      </c>
    </row>
    <row r="891">
      <c r="A891" s="16" t="s">
        <v>87</v>
      </c>
      <c r="E891" s="16" t="str">
        <f>IFERROR(__xludf.DUMMYFUNCTION("""COMPUTED_VALUE"""),"")</f>
        <v/>
      </c>
      <c r="G891" s="18"/>
      <c r="H891" s="16" t="s">
        <v>87</v>
      </c>
      <c r="I891" s="16" t="s">
        <v>87</v>
      </c>
      <c r="J891" s="19"/>
      <c r="L891" s="16" t="str">
        <f>IFERROR(__xludf.DUMMYFUNCTION("""COMPUTED_VALUE"""),"")</f>
        <v/>
      </c>
      <c r="M891" s="16" t="str">
        <f>IFERROR(__xludf.DUMMYFUNCTION("""COMPUTED_VALUE"""),"")</f>
        <v/>
      </c>
      <c r="U891" s="16" t="s">
        <v>87</v>
      </c>
      <c r="V891" s="16" t="str">
        <f>IFERROR(__xludf.DUMMYFUNCTION("""COMPUTED_VALUE"""),"")</f>
        <v/>
      </c>
      <c r="W891" s="16" t="str">
        <f>IFERROR(__xludf.DUMMYFUNCTION("""COMPUTED_VALUE"""),"")</f>
        <v/>
      </c>
      <c r="X891" s="16" t="str">
        <f>IFERROR(__xludf.DUMMYFUNCTION("""COMPUTED_VALUE"""),"")</f>
        <v/>
      </c>
      <c r="AC891" s="16" t="str">
        <f>IFERROR(__xludf.DUMMYFUNCTION("""COMPUTED_VALUE"""),"")</f>
        <v/>
      </c>
    </row>
    <row r="892">
      <c r="A892" s="16" t="s">
        <v>87</v>
      </c>
      <c r="E892" s="16" t="str">
        <f>IFERROR(__xludf.DUMMYFUNCTION("""COMPUTED_VALUE"""),"")</f>
        <v/>
      </c>
      <c r="G892" s="18"/>
      <c r="H892" s="16" t="s">
        <v>87</v>
      </c>
      <c r="I892" s="16" t="s">
        <v>87</v>
      </c>
      <c r="J892" s="19"/>
      <c r="L892" s="16" t="str">
        <f>IFERROR(__xludf.DUMMYFUNCTION("""COMPUTED_VALUE"""),"")</f>
        <v/>
      </c>
      <c r="M892" s="16" t="str">
        <f>IFERROR(__xludf.DUMMYFUNCTION("""COMPUTED_VALUE"""),"")</f>
        <v/>
      </c>
      <c r="U892" s="16" t="s">
        <v>87</v>
      </c>
      <c r="V892" s="16" t="str">
        <f>IFERROR(__xludf.DUMMYFUNCTION("""COMPUTED_VALUE"""),"")</f>
        <v/>
      </c>
      <c r="W892" s="16" t="str">
        <f>IFERROR(__xludf.DUMMYFUNCTION("""COMPUTED_VALUE"""),"")</f>
        <v/>
      </c>
      <c r="X892" s="16" t="str">
        <f>IFERROR(__xludf.DUMMYFUNCTION("""COMPUTED_VALUE"""),"")</f>
        <v/>
      </c>
      <c r="AC892" s="16" t="str">
        <f>IFERROR(__xludf.DUMMYFUNCTION("""COMPUTED_VALUE"""),"")</f>
        <v/>
      </c>
    </row>
    <row r="893">
      <c r="A893" s="16" t="s">
        <v>87</v>
      </c>
      <c r="E893" s="16" t="str">
        <f>IFERROR(__xludf.DUMMYFUNCTION("""COMPUTED_VALUE"""),"")</f>
        <v/>
      </c>
      <c r="G893" s="18"/>
      <c r="H893" s="16" t="s">
        <v>87</v>
      </c>
      <c r="I893" s="16" t="s">
        <v>87</v>
      </c>
      <c r="J893" s="19"/>
      <c r="L893" s="16" t="str">
        <f>IFERROR(__xludf.DUMMYFUNCTION("""COMPUTED_VALUE"""),"")</f>
        <v/>
      </c>
      <c r="M893" s="16" t="str">
        <f>IFERROR(__xludf.DUMMYFUNCTION("""COMPUTED_VALUE"""),"")</f>
        <v/>
      </c>
      <c r="U893" s="16" t="s">
        <v>87</v>
      </c>
      <c r="V893" s="16" t="str">
        <f>IFERROR(__xludf.DUMMYFUNCTION("""COMPUTED_VALUE"""),"")</f>
        <v/>
      </c>
      <c r="W893" s="16" t="str">
        <f>IFERROR(__xludf.DUMMYFUNCTION("""COMPUTED_VALUE"""),"")</f>
        <v/>
      </c>
      <c r="X893" s="16" t="str">
        <f>IFERROR(__xludf.DUMMYFUNCTION("""COMPUTED_VALUE"""),"")</f>
        <v/>
      </c>
      <c r="AC893" s="16" t="str">
        <f>IFERROR(__xludf.DUMMYFUNCTION("""COMPUTED_VALUE"""),"")</f>
        <v/>
      </c>
    </row>
    <row r="894">
      <c r="A894" s="16" t="s">
        <v>87</v>
      </c>
      <c r="E894" s="16" t="str">
        <f>IFERROR(__xludf.DUMMYFUNCTION("""COMPUTED_VALUE"""),"")</f>
        <v/>
      </c>
      <c r="G894" s="18"/>
      <c r="H894" s="16" t="s">
        <v>87</v>
      </c>
      <c r="I894" s="16" t="s">
        <v>87</v>
      </c>
      <c r="J894" s="19"/>
      <c r="L894" s="16" t="str">
        <f>IFERROR(__xludf.DUMMYFUNCTION("""COMPUTED_VALUE"""),"")</f>
        <v/>
      </c>
      <c r="M894" s="16" t="str">
        <f>IFERROR(__xludf.DUMMYFUNCTION("""COMPUTED_VALUE"""),"")</f>
        <v/>
      </c>
      <c r="U894" s="16" t="s">
        <v>87</v>
      </c>
      <c r="V894" s="16" t="str">
        <f>IFERROR(__xludf.DUMMYFUNCTION("""COMPUTED_VALUE"""),"")</f>
        <v/>
      </c>
      <c r="W894" s="16" t="str">
        <f>IFERROR(__xludf.DUMMYFUNCTION("""COMPUTED_VALUE"""),"")</f>
        <v/>
      </c>
      <c r="X894" s="16" t="str">
        <f>IFERROR(__xludf.DUMMYFUNCTION("""COMPUTED_VALUE"""),"")</f>
        <v/>
      </c>
      <c r="AC894" s="16" t="str">
        <f>IFERROR(__xludf.DUMMYFUNCTION("""COMPUTED_VALUE"""),"")</f>
        <v/>
      </c>
    </row>
    <row r="895">
      <c r="A895" s="16" t="s">
        <v>87</v>
      </c>
      <c r="E895" s="16" t="str">
        <f>IFERROR(__xludf.DUMMYFUNCTION("""COMPUTED_VALUE"""),"")</f>
        <v/>
      </c>
      <c r="G895" s="18"/>
      <c r="H895" s="16" t="s">
        <v>87</v>
      </c>
      <c r="I895" s="16" t="s">
        <v>87</v>
      </c>
      <c r="J895" s="19"/>
      <c r="L895" s="16" t="str">
        <f>IFERROR(__xludf.DUMMYFUNCTION("""COMPUTED_VALUE"""),"")</f>
        <v/>
      </c>
      <c r="M895" s="16" t="str">
        <f>IFERROR(__xludf.DUMMYFUNCTION("""COMPUTED_VALUE"""),"")</f>
        <v/>
      </c>
      <c r="U895" s="16" t="s">
        <v>87</v>
      </c>
      <c r="V895" s="16" t="str">
        <f>IFERROR(__xludf.DUMMYFUNCTION("""COMPUTED_VALUE"""),"")</f>
        <v/>
      </c>
      <c r="W895" s="16" t="str">
        <f>IFERROR(__xludf.DUMMYFUNCTION("""COMPUTED_VALUE"""),"")</f>
        <v/>
      </c>
      <c r="X895" s="16" t="str">
        <f>IFERROR(__xludf.DUMMYFUNCTION("""COMPUTED_VALUE"""),"")</f>
        <v/>
      </c>
      <c r="AC895" s="16" t="str">
        <f>IFERROR(__xludf.DUMMYFUNCTION("""COMPUTED_VALUE"""),"")</f>
        <v/>
      </c>
    </row>
    <row r="896">
      <c r="A896" s="16" t="s">
        <v>87</v>
      </c>
      <c r="E896" s="16" t="str">
        <f>IFERROR(__xludf.DUMMYFUNCTION("""COMPUTED_VALUE"""),"")</f>
        <v/>
      </c>
      <c r="G896" s="18"/>
      <c r="H896" s="16" t="s">
        <v>87</v>
      </c>
      <c r="I896" s="16" t="s">
        <v>87</v>
      </c>
      <c r="J896" s="19"/>
      <c r="L896" s="16" t="str">
        <f>IFERROR(__xludf.DUMMYFUNCTION("""COMPUTED_VALUE"""),"")</f>
        <v/>
      </c>
      <c r="M896" s="16" t="str">
        <f>IFERROR(__xludf.DUMMYFUNCTION("""COMPUTED_VALUE"""),"")</f>
        <v/>
      </c>
      <c r="U896" s="16" t="s">
        <v>87</v>
      </c>
      <c r="V896" s="16" t="str">
        <f>IFERROR(__xludf.DUMMYFUNCTION("""COMPUTED_VALUE"""),"")</f>
        <v/>
      </c>
      <c r="W896" s="16" t="str">
        <f>IFERROR(__xludf.DUMMYFUNCTION("""COMPUTED_VALUE"""),"")</f>
        <v/>
      </c>
      <c r="X896" s="16" t="str">
        <f>IFERROR(__xludf.DUMMYFUNCTION("""COMPUTED_VALUE"""),"")</f>
        <v/>
      </c>
      <c r="AC896" s="16" t="str">
        <f>IFERROR(__xludf.DUMMYFUNCTION("""COMPUTED_VALUE"""),"")</f>
        <v/>
      </c>
    </row>
    <row r="897">
      <c r="A897" s="16" t="s">
        <v>87</v>
      </c>
      <c r="E897" s="16" t="str">
        <f>IFERROR(__xludf.DUMMYFUNCTION("""COMPUTED_VALUE"""),"")</f>
        <v/>
      </c>
      <c r="G897" s="18"/>
      <c r="H897" s="16" t="s">
        <v>87</v>
      </c>
      <c r="I897" s="16" t="s">
        <v>87</v>
      </c>
      <c r="J897" s="19"/>
      <c r="L897" s="16" t="str">
        <f>IFERROR(__xludf.DUMMYFUNCTION("""COMPUTED_VALUE"""),"")</f>
        <v/>
      </c>
      <c r="M897" s="16" t="str">
        <f>IFERROR(__xludf.DUMMYFUNCTION("""COMPUTED_VALUE"""),"")</f>
        <v/>
      </c>
      <c r="U897" s="16" t="s">
        <v>87</v>
      </c>
      <c r="V897" s="16" t="str">
        <f>IFERROR(__xludf.DUMMYFUNCTION("""COMPUTED_VALUE"""),"")</f>
        <v/>
      </c>
      <c r="W897" s="16" t="str">
        <f>IFERROR(__xludf.DUMMYFUNCTION("""COMPUTED_VALUE"""),"")</f>
        <v/>
      </c>
      <c r="X897" s="16" t="str">
        <f>IFERROR(__xludf.DUMMYFUNCTION("""COMPUTED_VALUE"""),"")</f>
        <v/>
      </c>
      <c r="AC897" s="16" t="str">
        <f>IFERROR(__xludf.DUMMYFUNCTION("""COMPUTED_VALUE"""),"")</f>
        <v/>
      </c>
    </row>
    <row r="898">
      <c r="A898" s="16" t="s">
        <v>87</v>
      </c>
      <c r="E898" s="16" t="str">
        <f>IFERROR(__xludf.DUMMYFUNCTION("""COMPUTED_VALUE"""),"")</f>
        <v/>
      </c>
      <c r="G898" s="18"/>
      <c r="H898" s="16" t="s">
        <v>87</v>
      </c>
      <c r="I898" s="16" t="s">
        <v>87</v>
      </c>
      <c r="J898" s="19"/>
      <c r="L898" s="16" t="str">
        <f>IFERROR(__xludf.DUMMYFUNCTION("""COMPUTED_VALUE"""),"")</f>
        <v/>
      </c>
      <c r="M898" s="16" t="str">
        <f>IFERROR(__xludf.DUMMYFUNCTION("""COMPUTED_VALUE"""),"")</f>
        <v/>
      </c>
      <c r="U898" s="16" t="s">
        <v>87</v>
      </c>
      <c r="V898" s="16" t="str">
        <f>IFERROR(__xludf.DUMMYFUNCTION("""COMPUTED_VALUE"""),"")</f>
        <v/>
      </c>
      <c r="W898" s="16" t="str">
        <f>IFERROR(__xludf.DUMMYFUNCTION("""COMPUTED_VALUE"""),"")</f>
        <v/>
      </c>
      <c r="X898" s="16" t="str">
        <f>IFERROR(__xludf.DUMMYFUNCTION("""COMPUTED_VALUE"""),"")</f>
        <v/>
      </c>
      <c r="AC898" s="16" t="str">
        <f>IFERROR(__xludf.DUMMYFUNCTION("""COMPUTED_VALUE"""),"")</f>
        <v/>
      </c>
    </row>
    <row r="899">
      <c r="A899" s="16" t="s">
        <v>87</v>
      </c>
      <c r="E899" s="16" t="str">
        <f>IFERROR(__xludf.DUMMYFUNCTION("""COMPUTED_VALUE"""),"")</f>
        <v/>
      </c>
      <c r="G899" s="18"/>
      <c r="H899" s="16" t="s">
        <v>87</v>
      </c>
      <c r="I899" s="16" t="s">
        <v>87</v>
      </c>
      <c r="J899" s="19"/>
      <c r="L899" s="16" t="str">
        <f>IFERROR(__xludf.DUMMYFUNCTION("""COMPUTED_VALUE"""),"")</f>
        <v/>
      </c>
      <c r="M899" s="16" t="str">
        <f>IFERROR(__xludf.DUMMYFUNCTION("""COMPUTED_VALUE"""),"")</f>
        <v/>
      </c>
      <c r="U899" s="16" t="s">
        <v>87</v>
      </c>
      <c r="V899" s="16" t="str">
        <f>IFERROR(__xludf.DUMMYFUNCTION("""COMPUTED_VALUE"""),"")</f>
        <v/>
      </c>
      <c r="W899" s="16" t="str">
        <f>IFERROR(__xludf.DUMMYFUNCTION("""COMPUTED_VALUE"""),"")</f>
        <v/>
      </c>
      <c r="X899" s="16" t="str">
        <f>IFERROR(__xludf.DUMMYFUNCTION("""COMPUTED_VALUE"""),"")</f>
        <v/>
      </c>
      <c r="AC899" s="16" t="str">
        <f>IFERROR(__xludf.DUMMYFUNCTION("""COMPUTED_VALUE"""),"")</f>
        <v/>
      </c>
    </row>
    <row r="900">
      <c r="A900" s="16" t="s">
        <v>87</v>
      </c>
      <c r="E900" s="16" t="str">
        <f>IFERROR(__xludf.DUMMYFUNCTION("""COMPUTED_VALUE"""),"")</f>
        <v/>
      </c>
      <c r="G900" s="18"/>
      <c r="H900" s="16" t="s">
        <v>87</v>
      </c>
      <c r="I900" s="16" t="s">
        <v>87</v>
      </c>
      <c r="J900" s="19"/>
      <c r="L900" s="16" t="str">
        <f>IFERROR(__xludf.DUMMYFUNCTION("""COMPUTED_VALUE"""),"")</f>
        <v/>
      </c>
      <c r="M900" s="16" t="str">
        <f>IFERROR(__xludf.DUMMYFUNCTION("""COMPUTED_VALUE"""),"")</f>
        <v/>
      </c>
      <c r="U900" s="16" t="s">
        <v>87</v>
      </c>
      <c r="V900" s="16" t="str">
        <f>IFERROR(__xludf.DUMMYFUNCTION("""COMPUTED_VALUE"""),"")</f>
        <v/>
      </c>
      <c r="W900" s="16" t="str">
        <f>IFERROR(__xludf.DUMMYFUNCTION("""COMPUTED_VALUE"""),"")</f>
        <v/>
      </c>
      <c r="X900" s="16" t="str">
        <f>IFERROR(__xludf.DUMMYFUNCTION("""COMPUTED_VALUE"""),"")</f>
        <v/>
      </c>
      <c r="AC900" s="16" t="str">
        <f>IFERROR(__xludf.DUMMYFUNCTION("""COMPUTED_VALUE"""),"")</f>
        <v/>
      </c>
    </row>
    <row r="901">
      <c r="A901" s="16" t="s">
        <v>87</v>
      </c>
      <c r="E901" s="16" t="str">
        <f>IFERROR(__xludf.DUMMYFUNCTION("""COMPUTED_VALUE"""),"")</f>
        <v/>
      </c>
      <c r="G901" s="18"/>
      <c r="H901" s="16" t="s">
        <v>87</v>
      </c>
      <c r="I901" s="16" t="s">
        <v>87</v>
      </c>
      <c r="J901" s="19"/>
      <c r="L901" s="16" t="str">
        <f>IFERROR(__xludf.DUMMYFUNCTION("""COMPUTED_VALUE"""),"")</f>
        <v/>
      </c>
      <c r="M901" s="16" t="str">
        <f>IFERROR(__xludf.DUMMYFUNCTION("""COMPUTED_VALUE"""),"")</f>
        <v/>
      </c>
      <c r="U901" s="16" t="s">
        <v>87</v>
      </c>
      <c r="V901" s="16" t="str">
        <f>IFERROR(__xludf.DUMMYFUNCTION("""COMPUTED_VALUE"""),"")</f>
        <v/>
      </c>
      <c r="W901" s="16" t="str">
        <f>IFERROR(__xludf.DUMMYFUNCTION("""COMPUTED_VALUE"""),"")</f>
        <v/>
      </c>
      <c r="X901" s="16" t="str">
        <f>IFERROR(__xludf.DUMMYFUNCTION("""COMPUTED_VALUE"""),"")</f>
        <v/>
      </c>
      <c r="AC901" s="16" t="str">
        <f>IFERROR(__xludf.DUMMYFUNCTION("""COMPUTED_VALUE"""),"")</f>
        <v/>
      </c>
    </row>
    <row r="902">
      <c r="A902" s="16" t="s">
        <v>87</v>
      </c>
      <c r="E902" s="16" t="str">
        <f>IFERROR(__xludf.DUMMYFUNCTION("""COMPUTED_VALUE"""),"")</f>
        <v/>
      </c>
      <c r="G902" s="18"/>
      <c r="H902" s="16" t="s">
        <v>87</v>
      </c>
      <c r="I902" s="16" t="s">
        <v>87</v>
      </c>
      <c r="J902" s="19"/>
      <c r="L902" s="16" t="str">
        <f>IFERROR(__xludf.DUMMYFUNCTION("""COMPUTED_VALUE"""),"")</f>
        <v/>
      </c>
      <c r="M902" s="16" t="str">
        <f>IFERROR(__xludf.DUMMYFUNCTION("""COMPUTED_VALUE"""),"")</f>
        <v/>
      </c>
      <c r="U902" s="16" t="s">
        <v>87</v>
      </c>
      <c r="V902" s="16" t="str">
        <f>IFERROR(__xludf.DUMMYFUNCTION("""COMPUTED_VALUE"""),"")</f>
        <v/>
      </c>
      <c r="W902" s="16" t="str">
        <f>IFERROR(__xludf.DUMMYFUNCTION("""COMPUTED_VALUE"""),"")</f>
        <v/>
      </c>
      <c r="X902" s="16" t="str">
        <f>IFERROR(__xludf.DUMMYFUNCTION("""COMPUTED_VALUE"""),"")</f>
        <v/>
      </c>
      <c r="AC902" s="16" t="str">
        <f>IFERROR(__xludf.DUMMYFUNCTION("""COMPUTED_VALUE"""),"")</f>
        <v/>
      </c>
    </row>
    <row r="903">
      <c r="A903" s="16" t="s">
        <v>87</v>
      </c>
      <c r="E903" s="16" t="str">
        <f>IFERROR(__xludf.DUMMYFUNCTION("""COMPUTED_VALUE"""),"")</f>
        <v/>
      </c>
      <c r="G903" s="18"/>
      <c r="H903" s="16" t="s">
        <v>87</v>
      </c>
      <c r="I903" s="16" t="s">
        <v>87</v>
      </c>
      <c r="J903" s="19"/>
      <c r="L903" s="16" t="str">
        <f>IFERROR(__xludf.DUMMYFUNCTION("""COMPUTED_VALUE"""),"")</f>
        <v/>
      </c>
      <c r="M903" s="16" t="str">
        <f>IFERROR(__xludf.DUMMYFUNCTION("""COMPUTED_VALUE"""),"")</f>
        <v/>
      </c>
      <c r="U903" s="16" t="s">
        <v>87</v>
      </c>
      <c r="V903" s="16" t="str">
        <f>IFERROR(__xludf.DUMMYFUNCTION("""COMPUTED_VALUE"""),"")</f>
        <v/>
      </c>
      <c r="W903" s="16" t="str">
        <f>IFERROR(__xludf.DUMMYFUNCTION("""COMPUTED_VALUE"""),"")</f>
        <v/>
      </c>
      <c r="X903" s="16" t="str">
        <f>IFERROR(__xludf.DUMMYFUNCTION("""COMPUTED_VALUE"""),"")</f>
        <v/>
      </c>
      <c r="AC903" s="16" t="str">
        <f>IFERROR(__xludf.DUMMYFUNCTION("""COMPUTED_VALUE"""),"")</f>
        <v/>
      </c>
    </row>
    <row r="904">
      <c r="A904" s="16" t="s">
        <v>87</v>
      </c>
      <c r="E904" s="16" t="str">
        <f>IFERROR(__xludf.DUMMYFUNCTION("""COMPUTED_VALUE"""),"")</f>
        <v/>
      </c>
      <c r="G904" s="18"/>
      <c r="H904" s="16" t="s">
        <v>87</v>
      </c>
      <c r="I904" s="16" t="s">
        <v>87</v>
      </c>
      <c r="J904" s="19"/>
      <c r="L904" s="16" t="str">
        <f>IFERROR(__xludf.DUMMYFUNCTION("""COMPUTED_VALUE"""),"")</f>
        <v/>
      </c>
      <c r="M904" s="16" t="str">
        <f>IFERROR(__xludf.DUMMYFUNCTION("""COMPUTED_VALUE"""),"")</f>
        <v/>
      </c>
      <c r="U904" s="16" t="s">
        <v>87</v>
      </c>
      <c r="V904" s="16" t="str">
        <f>IFERROR(__xludf.DUMMYFUNCTION("""COMPUTED_VALUE"""),"")</f>
        <v/>
      </c>
      <c r="W904" s="16" t="str">
        <f>IFERROR(__xludf.DUMMYFUNCTION("""COMPUTED_VALUE"""),"")</f>
        <v/>
      </c>
      <c r="X904" s="16" t="str">
        <f>IFERROR(__xludf.DUMMYFUNCTION("""COMPUTED_VALUE"""),"")</f>
        <v/>
      </c>
      <c r="AC904" s="16" t="str">
        <f>IFERROR(__xludf.DUMMYFUNCTION("""COMPUTED_VALUE"""),"")</f>
        <v/>
      </c>
    </row>
    <row r="905">
      <c r="A905" s="16" t="s">
        <v>87</v>
      </c>
      <c r="E905" s="16" t="str">
        <f>IFERROR(__xludf.DUMMYFUNCTION("""COMPUTED_VALUE"""),"")</f>
        <v/>
      </c>
      <c r="G905" s="18"/>
      <c r="H905" s="16" t="s">
        <v>87</v>
      </c>
      <c r="I905" s="16" t="s">
        <v>87</v>
      </c>
      <c r="J905" s="19"/>
      <c r="L905" s="16" t="str">
        <f>IFERROR(__xludf.DUMMYFUNCTION("""COMPUTED_VALUE"""),"")</f>
        <v/>
      </c>
      <c r="M905" s="16" t="str">
        <f>IFERROR(__xludf.DUMMYFUNCTION("""COMPUTED_VALUE"""),"")</f>
        <v/>
      </c>
      <c r="U905" s="16" t="s">
        <v>87</v>
      </c>
      <c r="V905" s="16" t="str">
        <f>IFERROR(__xludf.DUMMYFUNCTION("""COMPUTED_VALUE"""),"")</f>
        <v/>
      </c>
      <c r="W905" s="16" t="str">
        <f>IFERROR(__xludf.DUMMYFUNCTION("""COMPUTED_VALUE"""),"")</f>
        <v/>
      </c>
      <c r="X905" s="16" t="str">
        <f>IFERROR(__xludf.DUMMYFUNCTION("""COMPUTED_VALUE"""),"")</f>
        <v/>
      </c>
      <c r="AC905" s="16" t="str">
        <f>IFERROR(__xludf.DUMMYFUNCTION("""COMPUTED_VALUE"""),"")</f>
        <v/>
      </c>
    </row>
    <row r="906">
      <c r="A906" s="16" t="s">
        <v>87</v>
      </c>
      <c r="E906" s="16" t="str">
        <f>IFERROR(__xludf.DUMMYFUNCTION("""COMPUTED_VALUE"""),"")</f>
        <v/>
      </c>
      <c r="G906" s="18"/>
      <c r="H906" s="16" t="s">
        <v>87</v>
      </c>
      <c r="I906" s="16" t="s">
        <v>87</v>
      </c>
      <c r="J906" s="19"/>
      <c r="L906" s="16" t="str">
        <f>IFERROR(__xludf.DUMMYFUNCTION("""COMPUTED_VALUE"""),"")</f>
        <v/>
      </c>
      <c r="M906" s="16" t="str">
        <f>IFERROR(__xludf.DUMMYFUNCTION("""COMPUTED_VALUE"""),"")</f>
        <v/>
      </c>
      <c r="U906" s="16" t="s">
        <v>87</v>
      </c>
      <c r="V906" s="16" t="str">
        <f>IFERROR(__xludf.DUMMYFUNCTION("""COMPUTED_VALUE"""),"")</f>
        <v/>
      </c>
      <c r="W906" s="16" t="str">
        <f>IFERROR(__xludf.DUMMYFUNCTION("""COMPUTED_VALUE"""),"")</f>
        <v/>
      </c>
      <c r="X906" s="16" t="str">
        <f>IFERROR(__xludf.DUMMYFUNCTION("""COMPUTED_VALUE"""),"")</f>
        <v/>
      </c>
      <c r="AC906" s="16" t="str">
        <f>IFERROR(__xludf.DUMMYFUNCTION("""COMPUTED_VALUE"""),"")</f>
        <v/>
      </c>
    </row>
    <row r="907">
      <c r="A907" s="16" t="s">
        <v>87</v>
      </c>
      <c r="E907" s="16" t="str">
        <f>IFERROR(__xludf.DUMMYFUNCTION("""COMPUTED_VALUE"""),"")</f>
        <v/>
      </c>
      <c r="G907" s="18"/>
      <c r="H907" s="16" t="s">
        <v>87</v>
      </c>
      <c r="I907" s="16" t="s">
        <v>87</v>
      </c>
      <c r="J907" s="19"/>
      <c r="L907" s="16" t="str">
        <f>IFERROR(__xludf.DUMMYFUNCTION("""COMPUTED_VALUE"""),"")</f>
        <v/>
      </c>
      <c r="M907" s="16" t="str">
        <f>IFERROR(__xludf.DUMMYFUNCTION("""COMPUTED_VALUE"""),"")</f>
        <v/>
      </c>
      <c r="U907" s="16" t="s">
        <v>87</v>
      </c>
      <c r="V907" s="16" t="str">
        <f>IFERROR(__xludf.DUMMYFUNCTION("""COMPUTED_VALUE"""),"")</f>
        <v/>
      </c>
      <c r="W907" s="16" t="str">
        <f>IFERROR(__xludf.DUMMYFUNCTION("""COMPUTED_VALUE"""),"")</f>
        <v/>
      </c>
      <c r="X907" s="16" t="str">
        <f>IFERROR(__xludf.DUMMYFUNCTION("""COMPUTED_VALUE"""),"")</f>
        <v/>
      </c>
      <c r="AC907" s="16" t="str">
        <f>IFERROR(__xludf.DUMMYFUNCTION("""COMPUTED_VALUE"""),"")</f>
        <v/>
      </c>
    </row>
    <row r="908">
      <c r="A908" s="16" t="s">
        <v>87</v>
      </c>
      <c r="E908" s="16" t="str">
        <f>IFERROR(__xludf.DUMMYFUNCTION("""COMPUTED_VALUE"""),"")</f>
        <v/>
      </c>
      <c r="G908" s="18"/>
      <c r="H908" s="16" t="s">
        <v>87</v>
      </c>
      <c r="I908" s="16" t="s">
        <v>87</v>
      </c>
      <c r="J908" s="19"/>
      <c r="L908" s="16" t="str">
        <f>IFERROR(__xludf.DUMMYFUNCTION("""COMPUTED_VALUE"""),"")</f>
        <v/>
      </c>
      <c r="M908" s="16" t="str">
        <f>IFERROR(__xludf.DUMMYFUNCTION("""COMPUTED_VALUE"""),"")</f>
        <v/>
      </c>
      <c r="U908" s="16" t="s">
        <v>87</v>
      </c>
      <c r="V908" s="16" t="str">
        <f>IFERROR(__xludf.DUMMYFUNCTION("""COMPUTED_VALUE"""),"")</f>
        <v/>
      </c>
      <c r="W908" s="16" t="str">
        <f>IFERROR(__xludf.DUMMYFUNCTION("""COMPUTED_VALUE"""),"")</f>
        <v/>
      </c>
      <c r="X908" s="16" t="str">
        <f>IFERROR(__xludf.DUMMYFUNCTION("""COMPUTED_VALUE"""),"")</f>
        <v/>
      </c>
      <c r="AC908" s="16" t="str">
        <f>IFERROR(__xludf.DUMMYFUNCTION("""COMPUTED_VALUE"""),"")</f>
        <v/>
      </c>
    </row>
    <row r="909">
      <c r="A909" s="16" t="s">
        <v>87</v>
      </c>
      <c r="E909" s="16" t="str">
        <f>IFERROR(__xludf.DUMMYFUNCTION("""COMPUTED_VALUE"""),"")</f>
        <v/>
      </c>
      <c r="G909" s="18"/>
      <c r="H909" s="16" t="s">
        <v>87</v>
      </c>
      <c r="I909" s="16" t="s">
        <v>87</v>
      </c>
      <c r="J909" s="19"/>
      <c r="L909" s="16" t="str">
        <f>IFERROR(__xludf.DUMMYFUNCTION("""COMPUTED_VALUE"""),"")</f>
        <v/>
      </c>
      <c r="M909" s="16" t="str">
        <f>IFERROR(__xludf.DUMMYFUNCTION("""COMPUTED_VALUE"""),"")</f>
        <v/>
      </c>
      <c r="U909" s="16" t="s">
        <v>87</v>
      </c>
      <c r="V909" s="16" t="str">
        <f>IFERROR(__xludf.DUMMYFUNCTION("""COMPUTED_VALUE"""),"")</f>
        <v/>
      </c>
      <c r="W909" s="16" t="str">
        <f>IFERROR(__xludf.DUMMYFUNCTION("""COMPUTED_VALUE"""),"")</f>
        <v/>
      </c>
      <c r="X909" s="16" t="str">
        <f>IFERROR(__xludf.DUMMYFUNCTION("""COMPUTED_VALUE"""),"")</f>
        <v/>
      </c>
      <c r="AC909" s="16" t="str">
        <f>IFERROR(__xludf.DUMMYFUNCTION("""COMPUTED_VALUE"""),"")</f>
        <v/>
      </c>
    </row>
    <row r="910">
      <c r="A910" s="16" t="s">
        <v>87</v>
      </c>
      <c r="E910" s="16" t="str">
        <f>IFERROR(__xludf.DUMMYFUNCTION("""COMPUTED_VALUE"""),"")</f>
        <v/>
      </c>
      <c r="G910" s="18"/>
      <c r="H910" s="16" t="s">
        <v>87</v>
      </c>
      <c r="I910" s="16" t="s">
        <v>87</v>
      </c>
      <c r="J910" s="19"/>
      <c r="L910" s="16" t="str">
        <f>IFERROR(__xludf.DUMMYFUNCTION("""COMPUTED_VALUE"""),"")</f>
        <v/>
      </c>
      <c r="M910" s="16" t="str">
        <f>IFERROR(__xludf.DUMMYFUNCTION("""COMPUTED_VALUE"""),"")</f>
        <v/>
      </c>
      <c r="U910" s="16" t="s">
        <v>87</v>
      </c>
      <c r="V910" s="16" t="str">
        <f>IFERROR(__xludf.DUMMYFUNCTION("""COMPUTED_VALUE"""),"")</f>
        <v/>
      </c>
      <c r="W910" s="16" t="str">
        <f>IFERROR(__xludf.DUMMYFUNCTION("""COMPUTED_VALUE"""),"")</f>
        <v/>
      </c>
      <c r="X910" s="16" t="str">
        <f>IFERROR(__xludf.DUMMYFUNCTION("""COMPUTED_VALUE"""),"")</f>
        <v/>
      </c>
      <c r="AC910" s="16" t="str">
        <f>IFERROR(__xludf.DUMMYFUNCTION("""COMPUTED_VALUE"""),"")</f>
        <v/>
      </c>
    </row>
    <row r="911">
      <c r="A911" s="16" t="s">
        <v>87</v>
      </c>
      <c r="E911" s="16" t="str">
        <f>IFERROR(__xludf.DUMMYFUNCTION("""COMPUTED_VALUE"""),"")</f>
        <v/>
      </c>
      <c r="G911" s="18"/>
      <c r="H911" s="16" t="s">
        <v>87</v>
      </c>
      <c r="I911" s="16" t="s">
        <v>87</v>
      </c>
      <c r="J911" s="19"/>
      <c r="L911" s="16" t="str">
        <f>IFERROR(__xludf.DUMMYFUNCTION("""COMPUTED_VALUE"""),"")</f>
        <v/>
      </c>
      <c r="M911" s="16" t="str">
        <f>IFERROR(__xludf.DUMMYFUNCTION("""COMPUTED_VALUE"""),"")</f>
        <v/>
      </c>
      <c r="U911" s="16" t="s">
        <v>87</v>
      </c>
      <c r="V911" s="16" t="str">
        <f>IFERROR(__xludf.DUMMYFUNCTION("""COMPUTED_VALUE"""),"")</f>
        <v/>
      </c>
      <c r="W911" s="16" t="str">
        <f>IFERROR(__xludf.DUMMYFUNCTION("""COMPUTED_VALUE"""),"")</f>
        <v/>
      </c>
      <c r="X911" s="16" t="str">
        <f>IFERROR(__xludf.DUMMYFUNCTION("""COMPUTED_VALUE"""),"")</f>
        <v/>
      </c>
      <c r="AC911" s="16" t="str">
        <f>IFERROR(__xludf.DUMMYFUNCTION("""COMPUTED_VALUE"""),"")</f>
        <v/>
      </c>
    </row>
    <row r="912">
      <c r="A912" s="16" t="s">
        <v>87</v>
      </c>
      <c r="E912" s="16" t="str">
        <f>IFERROR(__xludf.DUMMYFUNCTION("""COMPUTED_VALUE"""),"")</f>
        <v/>
      </c>
      <c r="G912" s="18"/>
      <c r="H912" s="16" t="s">
        <v>87</v>
      </c>
      <c r="I912" s="16" t="s">
        <v>87</v>
      </c>
      <c r="J912" s="19"/>
      <c r="L912" s="16" t="str">
        <f>IFERROR(__xludf.DUMMYFUNCTION("""COMPUTED_VALUE"""),"")</f>
        <v/>
      </c>
      <c r="M912" s="16" t="str">
        <f>IFERROR(__xludf.DUMMYFUNCTION("""COMPUTED_VALUE"""),"")</f>
        <v/>
      </c>
      <c r="U912" s="16" t="s">
        <v>87</v>
      </c>
      <c r="V912" s="16" t="str">
        <f>IFERROR(__xludf.DUMMYFUNCTION("""COMPUTED_VALUE"""),"")</f>
        <v/>
      </c>
      <c r="W912" s="16" t="str">
        <f>IFERROR(__xludf.DUMMYFUNCTION("""COMPUTED_VALUE"""),"")</f>
        <v/>
      </c>
      <c r="X912" s="16" t="str">
        <f>IFERROR(__xludf.DUMMYFUNCTION("""COMPUTED_VALUE"""),"")</f>
        <v/>
      </c>
      <c r="AC912" s="16" t="str">
        <f>IFERROR(__xludf.DUMMYFUNCTION("""COMPUTED_VALUE"""),"")</f>
        <v/>
      </c>
    </row>
    <row r="913">
      <c r="A913" s="16" t="s">
        <v>87</v>
      </c>
      <c r="E913" s="16" t="str">
        <f>IFERROR(__xludf.DUMMYFUNCTION("""COMPUTED_VALUE"""),"")</f>
        <v/>
      </c>
      <c r="G913" s="18"/>
      <c r="H913" s="16" t="s">
        <v>87</v>
      </c>
      <c r="I913" s="16" t="s">
        <v>87</v>
      </c>
      <c r="J913" s="19"/>
      <c r="L913" s="16" t="str">
        <f>IFERROR(__xludf.DUMMYFUNCTION("""COMPUTED_VALUE"""),"")</f>
        <v/>
      </c>
      <c r="M913" s="16" t="str">
        <f>IFERROR(__xludf.DUMMYFUNCTION("""COMPUTED_VALUE"""),"")</f>
        <v/>
      </c>
      <c r="U913" s="16" t="s">
        <v>87</v>
      </c>
      <c r="V913" s="16" t="str">
        <f>IFERROR(__xludf.DUMMYFUNCTION("""COMPUTED_VALUE"""),"")</f>
        <v/>
      </c>
      <c r="W913" s="16" t="str">
        <f>IFERROR(__xludf.DUMMYFUNCTION("""COMPUTED_VALUE"""),"")</f>
        <v/>
      </c>
      <c r="X913" s="16" t="str">
        <f>IFERROR(__xludf.DUMMYFUNCTION("""COMPUTED_VALUE"""),"")</f>
        <v/>
      </c>
      <c r="AC913" s="16" t="str">
        <f>IFERROR(__xludf.DUMMYFUNCTION("""COMPUTED_VALUE"""),"")</f>
        <v/>
      </c>
    </row>
    <row r="914">
      <c r="A914" s="16" t="s">
        <v>87</v>
      </c>
      <c r="E914" s="16" t="str">
        <f>IFERROR(__xludf.DUMMYFUNCTION("""COMPUTED_VALUE"""),"")</f>
        <v/>
      </c>
      <c r="G914" s="18"/>
      <c r="H914" s="16" t="s">
        <v>87</v>
      </c>
      <c r="I914" s="16" t="s">
        <v>87</v>
      </c>
      <c r="J914" s="19"/>
      <c r="L914" s="16" t="str">
        <f>IFERROR(__xludf.DUMMYFUNCTION("""COMPUTED_VALUE"""),"")</f>
        <v/>
      </c>
      <c r="M914" s="16" t="str">
        <f>IFERROR(__xludf.DUMMYFUNCTION("""COMPUTED_VALUE"""),"")</f>
        <v/>
      </c>
      <c r="U914" s="16" t="s">
        <v>87</v>
      </c>
      <c r="V914" s="16" t="str">
        <f>IFERROR(__xludf.DUMMYFUNCTION("""COMPUTED_VALUE"""),"")</f>
        <v/>
      </c>
      <c r="W914" s="16" t="str">
        <f>IFERROR(__xludf.DUMMYFUNCTION("""COMPUTED_VALUE"""),"")</f>
        <v/>
      </c>
      <c r="X914" s="16" t="str">
        <f>IFERROR(__xludf.DUMMYFUNCTION("""COMPUTED_VALUE"""),"")</f>
        <v/>
      </c>
      <c r="AC914" s="16" t="str">
        <f>IFERROR(__xludf.DUMMYFUNCTION("""COMPUTED_VALUE"""),"")</f>
        <v/>
      </c>
    </row>
    <row r="915">
      <c r="A915" s="16" t="s">
        <v>87</v>
      </c>
      <c r="E915" s="16" t="str">
        <f>IFERROR(__xludf.DUMMYFUNCTION("""COMPUTED_VALUE"""),"")</f>
        <v/>
      </c>
      <c r="G915" s="18"/>
      <c r="H915" s="16" t="s">
        <v>87</v>
      </c>
      <c r="I915" s="16" t="s">
        <v>87</v>
      </c>
      <c r="J915" s="19"/>
      <c r="L915" s="16" t="str">
        <f>IFERROR(__xludf.DUMMYFUNCTION("""COMPUTED_VALUE"""),"")</f>
        <v/>
      </c>
      <c r="M915" s="16" t="str">
        <f>IFERROR(__xludf.DUMMYFUNCTION("""COMPUTED_VALUE"""),"")</f>
        <v/>
      </c>
      <c r="U915" s="16" t="s">
        <v>87</v>
      </c>
      <c r="V915" s="16" t="str">
        <f>IFERROR(__xludf.DUMMYFUNCTION("""COMPUTED_VALUE"""),"")</f>
        <v/>
      </c>
      <c r="W915" s="16" t="str">
        <f>IFERROR(__xludf.DUMMYFUNCTION("""COMPUTED_VALUE"""),"")</f>
        <v/>
      </c>
      <c r="X915" s="16" t="str">
        <f>IFERROR(__xludf.DUMMYFUNCTION("""COMPUTED_VALUE"""),"")</f>
        <v/>
      </c>
      <c r="AC915" s="16" t="str">
        <f>IFERROR(__xludf.DUMMYFUNCTION("""COMPUTED_VALUE"""),"")</f>
        <v/>
      </c>
    </row>
    <row r="916">
      <c r="A916" s="16" t="s">
        <v>87</v>
      </c>
      <c r="E916" s="16" t="str">
        <f>IFERROR(__xludf.DUMMYFUNCTION("""COMPUTED_VALUE"""),"")</f>
        <v/>
      </c>
      <c r="G916" s="18"/>
      <c r="H916" s="16" t="s">
        <v>87</v>
      </c>
      <c r="I916" s="16" t="s">
        <v>87</v>
      </c>
      <c r="J916" s="19"/>
      <c r="L916" s="16" t="str">
        <f>IFERROR(__xludf.DUMMYFUNCTION("""COMPUTED_VALUE"""),"")</f>
        <v/>
      </c>
      <c r="M916" s="16" t="str">
        <f>IFERROR(__xludf.DUMMYFUNCTION("""COMPUTED_VALUE"""),"")</f>
        <v/>
      </c>
      <c r="U916" s="16" t="s">
        <v>87</v>
      </c>
      <c r="V916" s="16" t="str">
        <f>IFERROR(__xludf.DUMMYFUNCTION("""COMPUTED_VALUE"""),"")</f>
        <v/>
      </c>
      <c r="W916" s="16" t="str">
        <f>IFERROR(__xludf.DUMMYFUNCTION("""COMPUTED_VALUE"""),"")</f>
        <v/>
      </c>
      <c r="X916" s="16" t="str">
        <f>IFERROR(__xludf.DUMMYFUNCTION("""COMPUTED_VALUE"""),"")</f>
        <v/>
      </c>
      <c r="AC916" s="16" t="str">
        <f>IFERROR(__xludf.DUMMYFUNCTION("""COMPUTED_VALUE"""),"")</f>
        <v/>
      </c>
    </row>
    <row r="917">
      <c r="A917" s="16" t="s">
        <v>87</v>
      </c>
      <c r="E917" s="16" t="str">
        <f>IFERROR(__xludf.DUMMYFUNCTION("""COMPUTED_VALUE"""),"")</f>
        <v/>
      </c>
      <c r="G917" s="18"/>
      <c r="H917" s="16" t="s">
        <v>87</v>
      </c>
      <c r="I917" s="16" t="s">
        <v>87</v>
      </c>
      <c r="J917" s="19"/>
      <c r="L917" s="16" t="str">
        <f>IFERROR(__xludf.DUMMYFUNCTION("""COMPUTED_VALUE"""),"")</f>
        <v/>
      </c>
      <c r="M917" s="16" t="str">
        <f>IFERROR(__xludf.DUMMYFUNCTION("""COMPUTED_VALUE"""),"")</f>
        <v/>
      </c>
      <c r="U917" s="16" t="s">
        <v>87</v>
      </c>
      <c r="V917" s="16" t="str">
        <f>IFERROR(__xludf.DUMMYFUNCTION("""COMPUTED_VALUE"""),"")</f>
        <v/>
      </c>
      <c r="W917" s="16" t="str">
        <f>IFERROR(__xludf.DUMMYFUNCTION("""COMPUTED_VALUE"""),"")</f>
        <v/>
      </c>
      <c r="X917" s="16" t="str">
        <f>IFERROR(__xludf.DUMMYFUNCTION("""COMPUTED_VALUE"""),"")</f>
        <v/>
      </c>
      <c r="AC917" s="16" t="str">
        <f>IFERROR(__xludf.DUMMYFUNCTION("""COMPUTED_VALUE"""),"")</f>
        <v/>
      </c>
    </row>
    <row r="918">
      <c r="A918" s="16" t="s">
        <v>87</v>
      </c>
      <c r="E918" s="16" t="str">
        <f>IFERROR(__xludf.DUMMYFUNCTION("""COMPUTED_VALUE"""),"")</f>
        <v/>
      </c>
      <c r="G918" s="18"/>
      <c r="H918" s="16" t="s">
        <v>87</v>
      </c>
      <c r="I918" s="16" t="s">
        <v>87</v>
      </c>
      <c r="J918" s="19"/>
      <c r="L918" s="16" t="str">
        <f>IFERROR(__xludf.DUMMYFUNCTION("""COMPUTED_VALUE"""),"")</f>
        <v/>
      </c>
      <c r="M918" s="16" t="str">
        <f>IFERROR(__xludf.DUMMYFUNCTION("""COMPUTED_VALUE"""),"")</f>
        <v/>
      </c>
      <c r="U918" s="16" t="s">
        <v>87</v>
      </c>
      <c r="V918" s="16" t="str">
        <f>IFERROR(__xludf.DUMMYFUNCTION("""COMPUTED_VALUE"""),"")</f>
        <v/>
      </c>
      <c r="W918" s="16" t="str">
        <f>IFERROR(__xludf.DUMMYFUNCTION("""COMPUTED_VALUE"""),"")</f>
        <v/>
      </c>
      <c r="X918" s="16" t="str">
        <f>IFERROR(__xludf.DUMMYFUNCTION("""COMPUTED_VALUE"""),"")</f>
        <v/>
      </c>
      <c r="AC918" s="16" t="str">
        <f>IFERROR(__xludf.DUMMYFUNCTION("""COMPUTED_VALUE"""),"")</f>
        <v/>
      </c>
    </row>
    <row r="919">
      <c r="A919" s="16" t="s">
        <v>87</v>
      </c>
      <c r="E919" s="16" t="str">
        <f>IFERROR(__xludf.DUMMYFUNCTION("""COMPUTED_VALUE"""),"")</f>
        <v/>
      </c>
      <c r="G919" s="18"/>
      <c r="H919" s="16" t="s">
        <v>87</v>
      </c>
      <c r="I919" s="16" t="s">
        <v>87</v>
      </c>
      <c r="J919" s="19"/>
      <c r="L919" s="16" t="str">
        <f>IFERROR(__xludf.DUMMYFUNCTION("""COMPUTED_VALUE"""),"")</f>
        <v/>
      </c>
      <c r="M919" s="16" t="str">
        <f>IFERROR(__xludf.DUMMYFUNCTION("""COMPUTED_VALUE"""),"")</f>
        <v/>
      </c>
      <c r="U919" s="16" t="s">
        <v>87</v>
      </c>
      <c r="V919" s="16" t="str">
        <f>IFERROR(__xludf.DUMMYFUNCTION("""COMPUTED_VALUE"""),"")</f>
        <v/>
      </c>
      <c r="W919" s="16" t="str">
        <f>IFERROR(__xludf.DUMMYFUNCTION("""COMPUTED_VALUE"""),"")</f>
        <v/>
      </c>
      <c r="X919" s="16" t="str">
        <f>IFERROR(__xludf.DUMMYFUNCTION("""COMPUTED_VALUE"""),"")</f>
        <v/>
      </c>
      <c r="AC919" s="16" t="str">
        <f>IFERROR(__xludf.DUMMYFUNCTION("""COMPUTED_VALUE"""),"")</f>
        <v/>
      </c>
    </row>
    <row r="920">
      <c r="A920" s="16" t="s">
        <v>87</v>
      </c>
      <c r="E920" s="16" t="str">
        <f>IFERROR(__xludf.DUMMYFUNCTION("""COMPUTED_VALUE"""),"")</f>
        <v/>
      </c>
      <c r="G920" s="18"/>
      <c r="H920" s="16" t="s">
        <v>87</v>
      </c>
      <c r="I920" s="16" t="s">
        <v>87</v>
      </c>
      <c r="J920" s="19"/>
      <c r="L920" s="16" t="str">
        <f>IFERROR(__xludf.DUMMYFUNCTION("""COMPUTED_VALUE"""),"")</f>
        <v/>
      </c>
      <c r="M920" s="16" t="str">
        <f>IFERROR(__xludf.DUMMYFUNCTION("""COMPUTED_VALUE"""),"")</f>
        <v/>
      </c>
      <c r="U920" s="16" t="s">
        <v>87</v>
      </c>
      <c r="V920" s="16" t="str">
        <f>IFERROR(__xludf.DUMMYFUNCTION("""COMPUTED_VALUE"""),"")</f>
        <v/>
      </c>
      <c r="W920" s="16" t="str">
        <f>IFERROR(__xludf.DUMMYFUNCTION("""COMPUTED_VALUE"""),"")</f>
        <v/>
      </c>
      <c r="X920" s="16" t="str">
        <f>IFERROR(__xludf.DUMMYFUNCTION("""COMPUTED_VALUE"""),"")</f>
        <v/>
      </c>
      <c r="AC920" s="16" t="str">
        <f>IFERROR(__xludf.DUMMYFUNCTION("""COMPUTED_VALUE"""),"")</f>
        <v/>
      </c>
    </row>
    <row r="921">
      <c r="A921" s="16" t="s">
        <v>87</v>
      </c>
      <c r="E921" s="16" t="str">
        <f>IFERROR(__xludf.DUMMYFUNCTION("""COMPUTED_VALUE"""),"")</f>
        <v/>
      </c>
      <c r="G921" s="18"/>
      <c r="H921" s="16" t="s">
        <v>87</v>
      </c>
      <c r="I921" s="16" t="s">
        <v>87</v>
      </c>
      <c r="J921" s="19"/>
      <c r="L921" s="16" t="str">
        <f>IFERROR(__xludf.DUMMYFUNCTION("""COMPUTED_VALUE"""),"")</f>
        <v/>
      </c>
      <c r="M921" s="16" t="str">
        <f>IFERROR(__xludf.DUMMYFUNCTION("""COMPUTED_VALUE"""),"")</f>
        <v/>
      </c>
      <c r="U921" s="16" t="s">
        <v>87</v>
      </c>
      <c r="V921" s="16" t="str">
        <f>IFERROR(__xludf.DUMMYFUNCTION("""COMPUTED_VALUE"""),"")</f>
        <v/>
      </c>
      <c r="W921" s="16" t="str">
        <f>IFERROR(__xludf.DUMMYFUNCTION("""COMPUTED_VALUE"""),"")</f>
        <v/>
      </c>
      <c r="X921" s="16" t="str">
        <f>IFERROR(__xludf.DUMMYFUNCTION("""COMPUTED_VALUE"""),"")</f>
        <v/>
      </c>
      <c r="AC921" s="16" t="str">
        <f>IFERROR(__xludf.DUMMYFUNCTION("""COMPUTED_VALUE"""),"")</f>
        <v/>
      </c>
    </row>
    <row r="922">
      <c r="A922" s="16" t="s">
        <v>87</v>
      </c>
      <c r="E922" s="16" t="str">
        <f>IFERROR(__xludf.DUMMYFUNCTION("""COMPUTED_VALUE"""),"")</f>
        <v/>
      </c>
      <c r="G922" s="18"/>
      <c r="H922" s="16" t="s">
        <v>87</v>
      </c>
      <c r="I922" s="16" t="s">
        <v>87</v>
      </c>
      <c r="J922" s="19"/>
      <c r="L922" s="16" t="str">
        <f>IFERROR(__xludf.DUMMYFUNCTION("""COMPUTED_VALUE"""),"")</f>
        <v/>
      </c>
      <c r="M922" s="16" t="str">
        <f>IFERROR(__xludf.DUMMYFUNCTION("""COMPUTED_VALUE"""),"")</f>
        <v/>
      </c>
      <c r="U922" s="16" t="s">
        <v>87</v>
      </c>
      <c r="V922" s="16" t="str">
        <f>IFERROR(__xludf.DUMMYFUNCTION("""COMPUTED_VALUE"""),"")</f>
        <v/>
      </c>
      <c r="W922" s="16" t="str">
        <f>IFERROR(__xludf.DUMMYFUNCTION("""COMPUTED_VALUE"""),"")</f>
        <v/>
      </c>
      <c r="X922" s="16" t="str">
        <f>IFERROR(__xludf.DUMMYFUNCTION("""COMPUTED_VALUE"""),"")</f>
        <v/>
      </c>
      <c r="AC922" s="16" t="str">
        <f>IFERROR(__xludf.DUMMYFUNCTION("""COMPUTED_VALUE"""),"")</f>
        <v/>
      </c>
    </row>
    <row r="923">
      <c r="A923" s="16" t="s">
        <v>87</v>
      </c>
      <c r="E923" s="16" t="str">
        <f>IFERROR(__xludf.DUMMYFUNCTION("""COMPUTED_VALUE"""),"")</f>
        <v/>
      </c>
      <c r="G923" s="18"/>
      <c r="H923" s="16" t="s">
        <v>87</v>
      </c>
      <c r="I923" s="16" t="s">
        <v>87</v>
      </c>
      <c r="J923" s="19"/>
      <c r="L923" s="16" t="str">
        <f>IFERROR(__xludf.DUMMYFUNCTION("""COMPUTED_VALUE"""),"")</f>
        <v/>
      </c>
      <c r="M923" s="16" t="str">
        <f>IFERROR(__xludf.DUMMYFUNCTION("""COMPUTED_VALUE"""),"")</f>
        <v/>
      </c>
      <c r="U923" s="16" t="s">
        <v>87</v>
      </c>
      <c r="V923" s="16" t="str">
        <f>IFERROR(__xludf.DUMMYFUNCTION("""COMPUTED_VALUE"""),"")</f>
        <v/>
      </c>
      <c r="W923" s="16" t="str">
        <f>IFERROR(__xludf.DUMMYFUNCTION("""COMPUTED_VALUE"""),"")</f>
        <v/>
      </c>
      <c r="X923" s="16" t="str">
        <f>IFERROR(__xludf.DUMMYFUNCTION("""COMPUTED_VALUE"""),"")</f>
        <v/>
      </c>
      <c r="AC923" s="16" t="str">
        <f>IFERROR(__xludf.DUMMYFUNCTION("""COMPUTED_VALUE"""),"")</f>
        <v/>
      </c>
    </row>
    <row r="924">
      <c r="A924" s="16" t="s">
        <v>87</v>
      </c>
      <c r="E924" s="16" t="str">
        <f>IFERROR(__xludf.DUMMYFUNCTION("""COMPUTED_VALUE"""),"")</f>
        <v/>
      </c>
      <c r="G924" s="18"/>
      <c r="H924" s="16" t="s">
        <v>87</v>
      </c>
      <c r="I924" s="16" t="s">
        <v>87</v>
      </c>
      <c r="J924" s="19"/>
      <c r="L924" s="16" t="str">
        <f>IFERROR(__xludf.DUMMYFUNCTION("""COMPUTED_VALUE"""),"")</f>
        <v/>
      </c>
      <c r="M924" s="16" t="str">
        <f>IFERROR(__xludf.DUMMYFUNCTION("""COMPUTED_VALUE"""),"")</f>
        <v/>
      </c>
      <c r="U924" s="16" t="s">
        <v>87</v>
      </c>
      <c r="V924" s="16" t="str">
        <f>IFERROR(__xludf.DUMMYFUNCTION("""COMPUTED_VALUE"""),"")</f>
        <v/>
      </c>
      <c r="W924" s="16" t="str">
        <f>IFERROR(__xludf.DUMMYFUNCTION("""COMPUTED_VALUE"""),"")</f>
        <v/>
      </c>
      <c r="X924" s="16" t="str">
        <f>IFERROR(__xludf.DUMMYFUNCTION("""COMPUTED_VALUE"""),"")</f>
        <v/>
      </c>
      <c r="AC924" s="16" t="str">
        <f>IFERROR(__xludf.DUMMYFUNCTION("""COMPUTED_VALUE"""),"")</f>
        <v/>
      </c>
    </row>
    <row r="925">
      <c r="A925" s="16" t="s">
        <v>87</v>
      </c>
      <c r="E925" s="16" t="str">
        <f>IFERROR(__xludf.DUMMYFUNCTION("""COMPUTED_VALUE"""),"")</f>
        <v/>
      </c>
      <c r="G925" s="18"/>
      <c r="H925" s="16" t="s">
        <v>87</v>
      </c>
      <c r="I925" s="16" t="s">
        <v>87</v>
      </c>
      <c r="J925" s="19"/>
      <c r="L925" s="16" t="str">
        <f>IFERROR(__xludf.DUMMYFUNCTION("""COMPUTED_VALUE"""),"")</f>
        <v/>
      </c>
      <c r="M925" s="16" t="str">
        <f>IFERROR(__xludf.DUMMYFUNCTION("""COMPUTED_VALUE"""),"")</f>
        <v/>
      </c>
      <c r="U925" s="16" t="s">
        <v>87</v>
      </c>
      <c r="V925" s="16" t="str">
        <f>IFERROR(__xludf.DUMMYFUNCTION("""COMPUTED_VALUE"""),"")</f>
        <v/>
      </c>
      <c r="W925" s="16" t="str">
        <f>IFERROR(__xludf.DUMMYFUNCTION("""COMPUTED_VALUE"""),"")</f>
        <v/>
      </c>
      <c r="X925" s="16" t="str">
        <f>IFERROR(__xludf.DUMMYFUNCTION("""COMPUTED_VALUE"""),"")</f>
        <v/>
      </c>
      <c r="AC925" s="16" t="str">
        <f>IFERROR(__xludf.DUMMYFUNCTION("""COMPUTED_VALUE"""),"")</f>
        <v/>
      </c>
    </row>
    <row r="926">
      <c r="A926" s="16" t="s">
        <v>87</v>
      </c>
      <c r="E926" s="16" t="str">
        <f>IFERROR(__xludf.DUMMYFUNCTION("""COMPUTED_VALUE"""),"")</f>
        <v/>
      </c>
      <c r="G926" s="18"/>
      <c r="H926" s="16" t="s">
        <v>87</v>
      </c>
      <c r="I926" s="16" t="s">
        <v>87</v>
      </c>
      <c r="J926" s="19"/>
      <c r="L926" s="16" t="str">
        <f>IFERROR(__xludf.DUMMYFUNCTION("""COMPUTED_VALUE"""),"")</f>
        <v/>
      </c>
      <c r="M926" s="16" t="str">
        <f>IFERROR(__xludf.DUMMYFUNCTION("""COMPUTED_VALUE"""),"")</f>
        <v/>
      </c>
      <c r="U926" s="16" t="s">
        <v>87</v>
      </c>
      <c r="V926" s="16" t="str">
        <f>IFERROR(__xludf.DUMMYFUNCTION("""COMPUTED_VALUE"""),"")</f>
        <v/>
      </c>
      <c r="W926" s="16" t="str">
        <f>IFERROR(__xludf.DUMMYFUNCTION("""COMPUTED_VALUE"""),"")</f>
        <v/>
      </c>
      <c r="X926" s="16" t="str">
        <f>IFERROR(__xludf.DUMMYFUNCTION("""COMPUTED_VALUE"""),"")</f>
        <v/>
      </c>
      <c r="AC926" s="16" t="str">
        <f>IFERROR(__xludf.DUMMYFUNCTION("""COMPUTED_VALUE"""),"")</f>
        <v/>
      </c>
    </row>
    <row r="927">
      <c r="A927" s="16" t="s">
        <v>87</v>
      </c>
      <c r="E927" s="16" t="str">
        <f>IFERROR(__xludf.DUMMYFUNCTION("""COMPUTED_VALUE"""),"")</f>
        <v/>
      </c>
      <c r="G927" s="18"/>
      <c r="H927" s="16" t="s">
        <v>87</v>
      </c>
      <c r="I927" s="16" t="s">
        <v>87</v>
      </c>
      <c r="J927" s="19"/>
      <c r="L927" s="16" t="str">
        <f>IFERROR(__xludf.DUMMYFUNCTION("""COMPUTED_VALUE"""),"")</f>
        <v/>
      </c>
      <c r="M927" s="16" t="str">
        <f>IFERROR(__xludf.DUMMYFUNCTION("""COMPUTED_VALUE"""),"")</f>
        <v/>
      </c>
      <c r="U927" s="16" t="s">
        <v>87</v>
      </c>
      <c r="V927" s="16" t="str">
        <f>IFERROR(__xludf.DUMMYFUNCTION("""COMPUTED_VALUE"""),"")</f>
        <v/>
      </c>
      <c r="W927" s="16" t="str">
        <f>IFERROR(__xludf.DUMMYFUNCTION("""COMPUTED_VALUE"""),"")</f>
        <v/>
      </c>
      <c r="X927" s="16" t="str">
        <f>IFERROR(__xludf.DUMMYFUNCTION("""COMPUTED_VALUE"""),"")</f>
        <v/>
      </c>
      <c r="AC927" s="16" t="str">
        <f>IFERROR(__xludf.DUMMYFUNCTION("""COMPUTED_VALUE"""),"")</f>
        <v/>
      </c>
    </row>
    <row r="928">
      <c r="A928" s="16" t="s">
        <v>87</v>
      </c>
      <c r="E928" s="16" t="str">
        <f>IFERROR(__xludf.DUMMYFUNCTION("""COMPUTED_VALUE"""),"")</f>
        <v/>
      </c>
      <c r="G928" s="18"/>
      <c r="H928" s="16" t="s">
        <v>87</v>
      </c>
      <c r="I928" s="16" t="s">
        <v>87</v>
      </c>
      <c r="J928" s="19"/>
      <c r="L928" s="16" t="str">
        <f>IFERROR(__xludf.DUMMYFUNCTION("""COMPUTED_VALUE"""),"")</f>
        <v/>
      </c>
      <c r="M928" s="16" t="str">
        <f>IFERROR(__xludf.DUMMYFUNCTION("""COMPUTED_VALUE"""),"")</f>
        <v/>
      </c>
      <c r="U928" s="16" t="s">
        <v>87</v>
      </c>
      <c r="V928" s="16" t="str">
        <f>IFERROR(__xludf.DUMMYFUNCTION("""COMPUTED_VALUE"""),"")</f>
        <v/>
      </c>
      <c r="W928" s="16" t="str">
        <f>IFERROR(__xludf.DUMMYFUNCTION("""COMPUTED_VALUE"""),"")</f>
        <v/>
      </c>
      <c r="X928" s="16" t="str">
        <f>IFERROR(__xludf.DUMMYFUNCTION("""COMPUTED_VALUE"""),"")</f>
        <v/>
      </c>
      <c r="AC928" s="16" t="str">
        <f>IFERROR(__xludf.DUMMYFUNCTION("""COMPUTED_VALUE"""),"")</f>
        <v/>
      </c>
    </row>
    <row r="929">
      <c r="A929" s="16" t="s">
        <v>87</v>
      </c>
      <c r="E929" s="16" t="str">
        <f>IFERROR(__xludf.DUMMYFUNCTION("""COMPUTED_VALUE"""),"")</f>
        <v/>
      </c>
      <c r="G929" s="18"/>
      <c r="H929" s="16" t="s">
        <v>87</v>
      </c>
      <c r="I929" s="16" t="s">
        <v>87</v>
      </c>
      <c r="J929" s="19"/>
      <c r="L929" s="16" t="str">
        <f>IFERROR(__xludf.DUMMYFUNCTION("""COMPUTED_VALUE"""),"")</f>
        <v/>
      </c>
      <c r="M929" s="16" t="str">
        <f>IFERROR(__xludf.DUMMYFUNCTION("""COMPUTED_VALUE"""),"")</f>
        <v/>
      </c>
      <c r="U929" s="16" t="s">
        <v>87</v>
      </c>
      <c r="V929" s="16" t="str">
        <f>IFERROR(__xludf.DUMMYFUNCTION("""COMPUTED_VALUE"""),"")</f>
        <v/>
      </c>
      <c r="W929" s="16" t="str">
        <f>IFERROR(__xludf.DUMMYFUNCTION("""COMPUTED_VALUE"""),"")</f>
        <v/>
      </c>
      <c r="X929" s="16" t="str">
        <f>IFERROR(__xludf.DUMMYFUNCTION("""COMPUTED_VALUE"""),"")</f>
        <v/>
      </c>
      <c r="AC929" s="16" t="str">
        <f>IFERROR(__xludf.DUMMYFUNCTION("""COMPUTED_VALUE"""),"")</f>
        <v/>
      </c>
    </row>
    <row r="930">
      <c r="A930" s="16" t="s">
        <v>87</v>
      </c>
      <c r="E930" s="16" t="str">
        <f>IFERROR(__xludf.DUMMYFUNCTION("""COMPUTED_VALUE"""),"")</f>
        <v/>
      </c>
      <c r="G930" s="18"/>
      <c r="H930" s="16" t="s">
        <v>87</v>
      </c>
      <c r="I930" s="16" t="s">
        <v>87</v>
      </c>
      <c r="J930" s="19"/>
      <c r="L930" s="16" t="str">
        <f>IFERROR(__xludf.DUMMYFUNCTION("""COMPUTED_VALUE"""),"")</f>
        <v/>
      </c>
      <c r="M930" s="16" t="str">
        <f>IFERROR(__xludf.DUMMYFUNCTION("""COMPUTED_VALUE"""),"")</f>
        <v/>
      </c>
      <c r="U930" s="16" t="s">
        <v>87</v>
      </c>
      <c r="V930" s="16" t="str">
        <f>IFERROR(__xludf.DUMMYFUNCTION("""COMPUTED_VALUE"""),"")</f>
        <v/>
      </c>
      <c r="W930" s="16" t="str">
        <f>IFERROR(__xludf.DUMMYFUNCTION("""COMPUTED_VALUE"""),"")</f>
        <v/>
      </c>
      <c r="X930" s="16" t="str">
        <f>IFERROR(__xludf.DUMMYFUNCTION("""COMPUTED_VALUE"""),"")</f>
        <v/>
      </c>
      <c r="AC930" s="16" t="str">
        <f>IFERROR(__xludf.DUMMYFUNCTION("""COMPUTED_VALUE"""),"")</f>
        <v/>
      </c>
    </row>
    <row r="931">
      <c r="A931" s="16" t="s">
        <v>87</v>
      </c>
      <c r="E931" s="16" t="str">
        <f>IFERROR(__xludf.DUMMYFUNCTION("""COMPUTED_VALUE"""),"")</f>
        <v/>
      </c>
      <c r="G931" s="18"/>
      <c r="H931" s="16" t="s">
        <v>87</v>
      </c>
      <c r="I931" s="16" t="s">
        <v>87</v>
      </c>
      <c r="J931" s="19"/>
      <c r="L931" s="16" t="str">
        <f>IFERROR(__xludf.DUMMYFUNCTION("""COMPUTED_VALUE"""),"")</f>
        <v/>
      </c>
      <c r="M931" s="16" t="str">
        <f>IFERROR(__xludf.DUMMYFUNCTION("""COMPUTED_VALUE"""),"")</f>
        <v/>
      </c>
      <c r="U931" s="16" t="s">
        <v>87</v>
      </c>
      <c r="V931" s="16" t="str">
        <f>IFERROR(__xludf.DUMMYFUNCTION("""COMPUTED_VALUE"""),"")</f>
        <v/>
      </c>
      <c r="W931" s="16" t="str">
        <f>IFERROR(__xludf.DUMMYFUNCTION("""COMPUTED_VALUE"""),"")</f>
        <v/>
      </c>
      <c r="X931" s="16" t="str">
        <f>IFERROR(__xludf.DUMMYFUNCTION("""COMPUTED_VALUE"""),"")</f>
        <v/>
      </c>
      <c r="AC931" s="16" t="str">
        <f>IFERROR(__xludf.DUMMYFUNCTION("""COMPUTED_VALUE"""),"")</f>
        <v/>
      </c>
    </row>
    <row r="932">
      <c r="A932" s="16" t="s">
        <v>87</v>
      </c>
      <c r="E932" s="16" t="str">
        <f>IFERROR(__xludf.DUMMYFUNCTION("""COMPUTED_VALUE"""),"")</f>
        <v/>
      </c>
      <c r="G932" s="18"/>
      <c r="H932" s="16" t="s">
        <v>87</v>
      </c>
      <c r="I932" s="16" t="s">
        <v>87</v>
      </c>
      <c r="J932" s="19"/>
      <c r="L932" s="16" t="str">
        <f>IFERROR(__xludf.DUMMYFUNCTION("""COMPUTED_VALUE"""),"")</f>
        <v/>
      </c>
      <c r="M932" s="16" t="str">
        <f>IFERROR(__xludf.DUMMYFUNCTION("""COMPUTED_VALUE"""),"")</f>
        <v/>
      </c>
      <c r="U932" s="16" t="s">
        <v>87</v>
      </c>
      <c r="V932" s="16" t="str">
        <f>IFERROR(__xludf.DUMMYFUNCTION("""COMPUTED_VALUE"""),"")</f>
        <v/>
      </c>
      <c r="W932" s="16" t="str">
        <f>IFERROR(__xludf.DUMMYFUNCTION("""COMPUTED_VALUE"""),"")</f>
        <v/>
      </c>
      <c r="X932" s="16" t="str">
        <f>IFERROR(__xludf.DUMMYFUNCTION("""COMPUTED_VALUE"""),"")</f>
        <v/>
      </c>
      <c r="AC932" s="16" t="str">
        <f>IFERROR(__xludf.DUMMYFUNCTION("""COMPUTED_VALUE"""),"")</f>
        <v/>
      </c>
    </row>
    <row r="933">
      <c r="A933" s="16" t="s">
        <v>87</v>
      </c>
      <c r="E933" s="16" t="str">
        <f>IFERROR(__xludf.DUMMYFUNCTION("""COMPUTED_VALUE"""),"")</f>
        <v/>
      </c>
      <c r="G933" s="18"/>
      <c r="H933" s="16" t="s">
        <v>87</v>
      </c>
      <c r="I933" s="16" t="s">
        <v>87</v>
      </c>
      <c r="J933" s="19"/>
      <c r="L933" s="16" t="str">
        <f>IFERROR(__xludf.DUMMYFUNCTION("""COMPUTED_VALUE"""),"")</f>
        <v/>
      </c>
      <c r="M933" s="16" t="str">
        <f>IFERROR(__xludf.DUMMYFUNCTION("""COMPUTED_VALUE"""),"")</f>
        <v/>
      </c>
      <c r="U933" s="16" t="s">
        <v>87</v>
      </c>
      <c r="V933" s="16" t="str">
        <f>IFERROR(__xludf.DUMMYFUNCTION("""COMPUTED_VALUE"""),"")</f>
        <v/>
      </c>
      <c r="W933" s="16" t="str">
        <f>IFERROR(__xludf.DUMMYFUNCTION("""COMPUTED_VALUE"""),"")</f>
        <v/>
      </c>
      <c r="X933" s="16" t="str">
        <f>IFERROR(__xludf.DUMMYFUNCTION("""COMPUTED_VALUE"""),"")</f>
        <v/>
      </c>
      <c r="AC933" s="16" t="str">
        <f>IFERROR(__xludf.DUMMYFUNCTION("""COMPUTED_VALUE"""),"")</f>
        <v/>
      </c>
    </row>
    <row r="934">
      <c r="A934" s="16" t="s">
        <v>87</v>
      </c>
      <c r="E934" s="16" t="str">
        <f>IFERROR(__xludf.DUMMYFUNCTION("""COMPUTED_VALUE"""),"")</f>
        <v/>
      </c>
      <c r="G934" s="18"/>
      <c r="H934" s="16" t="s">
        <v>87</v>
      </c>
      <c r="I934" s="16" t="s">
        <v>87</v>
      </c>
      <c r="J934" s="19"/>
      <c r="L934" s="16" t="str">
        <f>IFERROR(__xludf.DUMMYFUNCTION("""COMPUTED_VALUE"""),"")</f>
        <v/>
      </c>
      <c r="M934" s="16" t="str">
        <f>IFERROR(__xludf.DUMMYFUNCTION("""COMPUTED_VALUE"""),"")</f>
        <v/>
      </c>
      <c r="U934" s="16" t="s">
        <v>87</v>
      </c>
      <c r="V934" s="16" t="str">
        <f>IFERROR(__xludf.DUMMYFUNCTION("""COMPUTED_VALUE"""),"")</f>
        <v/>
      </c>
      <c r="W934" s="16" t="str">
        <f>IFERROR(__xludf.DUMMYFUNCTION("""COMPUTED_VALUE"""),"")</f>
        <v/>
      </c>
      <c r="X934" s="16" t="str">
        <f>IFERROR(__xludf.DUMMYFUNCTION("""COMPUTED_VALUE"""),"")</f>
        <v/>
      </c>
      <c r="AC934" s="16" t="str">
        <f>IFERROR(__xludf.DUMMYFUNCTION("""COMPUTED_VALUE"""),"")</f>
        <v/>
      </c>
    </row>
    <row r="935">
      <c r="A935" s="16" t="s">
        <v>87</v>
      </c>
      <c r="E935" s="16" t="str">
        <f>IFERROR(__xludf.DUMMYFUNCTION("""COMPUTED_VALUE"""),"")</f>
        <v/>
      </c>
      <c r="G935" s="18"/>
      <c r="H935" s="16" t="s">
        <v>87</v>
      </c>
      <c r="I935" s="16" t="s">
        <v>87</v>
      </c>
      <c r="J935" s="19"/>
      <c r="L935" s="16" t="str">
        <f>IFERROR(__xludf.DUMMYFUNCTION("""COMPUTED_VALUE"""),"")</f>
        <v/>
      </c>
      <c r="M935" s="16" t="str">
        <f>IFERROR(__xludf.DUMMYFUNCTION("""COMPUTED_VALUE"""),"")</f>
        <v/>
      </c>
      <c r="U935" s="16" t="s">
        <v>87</v>
      </c>
      <c r="V935" s="16" t="str">
        <f>IFERROR(__xludf.DUMMYFUNCTION("""COMPUTED_VALUE"""),"")</f>
        <v/>
      </c>
      <c r="W935" s="16" t="str">
        <f>IFERROR(__xludf.DUMMYFUNCTION("""COMPUTED_VALUE"""),"")</f>
        <v/>
      </c>
      <c r="X935" s="16" t="str">
        <f>IFERROR(__xludf.DUMMYFUNCTION("""COMPUTED_VALUE"""),"")</f>
        <v/>
      </c>
      <c r="AC935" s="16" t="str">
        <f>IFERROR(__xludf.DUMMYFUNCTION("""COMPUTED_VALUE"""),"")</f>
        <v/>
      </c>
    </row>
    <row r="936">
      <c r="A936" s="16" t="s">
        <v>87</v>
      </c>
      <c r="E936" s="16" t="str">
        <f>IFERROR(__xludf.DUMMYFUNCTION("""COMPUTED_VALUE"""),"")</f>
        <v/>
      </c>
      <c r="G936" s="18"/>
      <c r="H936" s="16" t="s">
        <v>87</v>
      </c>
      <c r="I936" s="16" t="s">
        <v>87</v>
      </c>
      <c r="J936" s="19"/>
      <c r="L936" s="16" t="str">
        <f>IFERROR(__xludf.DUMMYFUNCTION("""COMPUTED_VALUE"""),"")</f>
        <v/>
      </c>
      <c r="M936" s="16" t="str">
        <f>IFERROR(__xludf.DUMMYFUNCTION("""COMPUTED_VALUE"""),"")</f>
        <v/>
      </c>
      <c r="U936" s="16" t="s">
        <v>87</v>
      </c>
      <c r="V936" s="16" t="str">
        <f>IFERROR(__xludf.DUMMYFUNCTION("""COMPUTED_VALUE"""),"")</f>
        <v/>
      </c>
      <c r="W936" s="16" t="str">
        <f>IFERROR(__xludf.DUMMYFUNCTION("""COMPUTED_VALUE"""),"")</f>
        <v/>
      </c>
      <c r="X936" s="16" t="str">
        <f>IFERROR(__xludf.DUMMYFUNCTION("""COMPUTED_VALUE"""),"")</f>
        <v/>
      </c>
      <c r="AC936" s="16" t="str">
        <f>IFERROR(__xludf.DUMMYFUNCTION("""COMPUTED_VALUE"""),"")</f>
        <v/>
      </c>
    </row>
    <row r="937">
      <c r="A937" s="16" t="s">
        <v>87</v>
      </c>
      <c r="E937" s="16" t="str">
        <f>IFERROR(__xludf.DUMMYFUNCTION("""COMPUTED_VALUE"""),"")</f>
        <v/>
      </c>
      <c r="G937" s="18"/>
      <c r="H937" s="16" t="s">
        <v>87</v>
      </c>
      <c r="I937" s="16" t="s">
        <v>87</v>
      </c>
      <c r="J937" s="19"/>
      <c r="L937" s="16" t="str">
        <f>IFERROR(__xludf.DUMMYFUNCTION("""COMPUTED_VALUE"""),"")</f>
        <v/>
      </c>
      <c r="M937" s="16" t="str">
        <f>IFERROR(__xludf.DUMMYFUNCTION("""COMPUTED_VALUE"""),"")</f>
        <v/>
      </c>
      <c r="U937" s="16" t="s">
        <v>87</v>
      </c>
      <c r="V937" s="16" t="str">
        <f>IFERROR(__xludf.DUMMYFUNCTION("""COMPUTED_VALUE"""),"")</f>
        <v/>
      </c>
      <c r="W937" s="16" t="str">
        <f>IFERROR(__xludf.DUMMYFUNCTION("""COMPUTED_VALUE"""),"")</f>
        <v/>
      </c>
      <c r="X937" s="16" t="str">
        <f>IFERROR(__xludf.DUMMYFUNCTION("""COMPUTED_VALUE"""),"")</f>
        <v/>
      </c>
      <c r="AC937" s="16" t="str">
        <f>IFERROR(__xludf.DUMMYFUNCTION("""COMPUTED_VALUE"""),"")</f>
        <v/>
      </c>
    </row>
    <row r="938">
      <c r="A938" s="16" t="s">
        <v>87</v>
      </c>
      <c r="E938" s="16" t="str">
        <f>IFERROR(__xludf.DUMMYFUNCTION("""COMPUTED_VALUE"""),"")</f>
        <v/>
      </c>
      <c r="G938" s="18"/>
      <c r="H938" s="16" t="s">
        <v>87</v>
      </c>
      <c r="I938" s="16" t="s">
        <v>87</v>
      </c>
      <c r="J938" s="19"/>
      <c r="L938" s="16" t="str">
        <f>IFERROR(__xludf.DUMMYFUNCTION("""COMPUTED_VALUE"""),"")</f>
        <v/>
      </c>
      <c r="M938" s="16" t="str">
        <f>IFERROR(__xludf.DUMMYFUNCTION("""COMPUTED_VALUE"""),"")</f>
        <v/>
      </c>
      <c r="U938" s="16" t="s">
        <v>87</v>
      </c>
      <c r="V938" s="16" t="str">
        <f>IFERROR(__xludf.DUMMYFUNCTION("""COMPUTED_VALUE"""),"")</f>
        <v/>
      </c>
      <c r="W938" s="16" t="str">
        <f>IFERROR(__xludf.DUMMYFUNCTION("""COMPUTED_VALUE"""),"")</f>
        <v/>
      </c>
      <c r="X938" s="16" t="str">
        <f>IFERROR(__xludf.DUMMYFUNCTION("""COMPUTED_VALUE"""),"")</f>
        <v/>
      </c>
      <c r="AC938" s="16" t="str">
        <f>IFERROR(__xludf.DUMMYFUNCTION("""COMPUTED_VALUE"""),"")</f>
        <v/>
      </c>
    </row>
    <row r="939">
      <c r="A939" s="16" t="s">
        <v>87</v>
      </c>
      <c r="E939" s="16" t="str">
        <f>IFERROR(__xludf.DUMMYFUNCTION("""COMPUTED_VALUE"""),"")</f>
        <v/>
      </c>
      <c r="G939" s="18"/>
      <c r="H939" s="16" t="s">
        <v>87</v>
      </c>
      <c r="I939" s="16" t="s">
        <v>87</v>
      </c>
      <c r="J939" s="19"/>
      <c r="L939" s="16" t="str">
        <f>IFERROR(__xludf.DUMMYFUNCTION("""COMPUTED_VALUE"""),"")</f>
        <v/>
      </c>
      <c r="M939" s="16" t="str">
        <f>IFERROR(__xludf.DUMMYFUNCTION("""COMPUTED_VALUE"""),"")</f>
        <v/>
      </c>
      <c r="U939" s="16" t="s">
        <v>87</v>
      </c>
      <c r="V939" s="16" t="str">
        <f>IFERROR(__xludf.DUMMYFUNCTION("""COMPUTED_VALUE"""),"")</f>
        <v/>
      </c>
      <c r="W939" s="16" t="str">
        <f>IFERROR(__xludf.DUMMYFUNCTION("""COMPUTED_VALUE"""),"")</f>
        <v/>
      </c>
      <c r="X939" s="16" t="str">
        <f>IFERROR(__xludf.DUMMYFUNCTION("""COMPUTED_VALUE"""),"")</f>
        <v/>
      </c>
      <c r="AC939" s="16" t="str">
        <f>IFERROR(__xludf.DUMMYFUNCTION("""COMPUTED_VALUE"""),"")</f>
        <v/>
      </c>
    </row>
    <row r="940">
      <c r="A940" s="16" t="s">
        <v>87</v>
      </c>
      <c r="E940" s="16" t="str">
        <f>IFERROR(__xludf.DUMMYFUNCTION("""COMPUTED_VALUE"""),"")</f>
        <v/>
      </c>
      <c r="G940" s="18"/>
      <c r="H940" s="16" t="s">
        <v>87</v>
      </c>
      <c r="I940" s="16" t="s">
        <v>87</v>
      </c>
      <c r="J940" s="19"/>
      <c r="L940" s="16" t="str">
        <f>IFERROR(__xludf.DUMMYFUNCTION("""COMPUTED_VALUE"""),"")</f>
        <v/>
      </c>
      <c r="M940" s="16" t="str">
        <f>IFERROR(__xludf.DUMMYFUNCTION("""COMPUTED_VALUE"""),"")</f>
        <v/>
      </c>
      <c r="U940" s="16" t="s">
        <v>87</v>
      </c>
      <c r="V940" s="16" t="str">
        <f>IFERROR(__xludf.DUMMYFUNCTION("""COMPUTED_VALUE"""),"")</f>
        <v/>
      </c>
      <c r="W940" s="16" t="str">
        <f>IFERROR(__xludf.DUMMYFUNCTION("""COMPUTED_VALUE"""),"")</f>
        <v/>
      </c>
      <c r="X940" s="16" t="str">
        <f>IFERROR(__xludf.DUMMYFUNCTION("""COMPUTED_VALUE"""),"")</f>
        <v/>
      </c>
      <c r="AC940" s="16" t="str">
        <f>IFERROR(__xludf.DUMMYFUNCTION("""COMPUTED_VALUE"""),"")</f>
        <v/>
      </c>
    </row>
    <row r="941">
      <c r="A941" s="16" t="s">
        <v>87</v>
      </c>
      <c r="E941" s="16" t="str">
        <f>IFERROR(__xludf.DUMMYFUNCTION("""COMPUTED_VALUE"""),"")</f>
        <v/>
      </c>
      <c r="G941" s="18"/>
      <c r="H941" s="16" t="s">
        <v>87</v>
      </c>
      <c r="I941" s="16" t="s">
        <v>87</v>
      </c>
      <c r="J941" s="19"/>
      <c r="L941" s="16" t="str">
        <f>IFERROR(__xludf.DUMMYFUNCTION("""COMPUTED_VALUE"""),"")</f>
        <v/>
      </c>
      <c r="M941" s="16" t="str">
        <f>IFERROR(__xludf.DUMMYFUNCTION("""COMPUTED_VALUE"""),"")</f>
        <v/>
      </c>
      <c r="U941" s="16" t="s">
        <v>87</v>
      </c>
      <c r="V941" s="16" t="str">
        <f>IFERROR(__xludf.DUMMYFUNCTION("""COMPUTED_VALUE"""),"")</f>
        <v/>
      </c>
      <c r="W941" s="16" t="str">
        <f>IFERROR(__xludf.DUMMYFUNCTION("""COMPUTED_VALUE"""),"")</f>
        <v/>
      </c>
      <c r="X941" s="16" t="str">
        <f>IFERROR(__xludf.DUMMYFUNCTION("""COMPUTED_VALUE"""),"")</f>
        <v/>
      </c>
      <c r="AC941" s="16" t="str">
        <f>IFERROR(__xludf.DUMMYFUNCTION("""COMPUTED_VALUE"""),"")</f>
        <v/>
      </c>
    </row>
    <row r="942">
      <c r="A942" s="16" t="s">
        <v>87</v>
      </c>
      <c r="E942" s="16" t="str">
        <f>IFERROR(__xludf.DUMMYFUNCTION("""COMPUTED_VALUE"""),"")</f>
        <v/>
      </c>
      <c r="G942" s="18"/>
      <c r="H942" s="16" t="s">
        <v>87</v>
      </c>
      <c r="I942" s="16" t="s">
        <v>87</v>
      </c>
      <c r="J942" s="19"/>
      <c r="L942" s="16" t="str">
        <f>IFERROR(__xludf.DUMMYFUNCTION("""COMPUTED_VALUE"""),"")</f>
        <v/>
      </c>
      <c r="M942" s="16" t="str">
        <f>IFERROR(__xludf.DUMMYFUNCTION("""COMPUTED_VALUE"""),"")</f>
        <v/>
      </c>
      <c r="U942" s="16" t="s">
        <v>87</v>
      </c>
      <c r="V942" s="16" t="str">
        <f>IFERROR(__xludf.DUMMYFUNCTION("""COMPUTED_VALUE"""),"")</f>
        <v/>
      </c>
      <c r="W942" s="16" t="str">
        <f>IFERROR(__xludf.DUMMYFUNCTION("""COMPUTED_VALUE"""),"")</f>
        <v/>
      </c>
      <c r="X942" s="16" t="str">
        <f>IFERROR(__xludf.DUMMYFUNCTION("""COMPUTED_VALUE"""),"")</f>
        <v/>
      </c>
      <c r="AC942" s="16" t="str">
        <f>IFERROR(__xludf.DUMMYFUNCTION("""COMPUTED_VALUE"""),"")</f>
        <v/>
      </c>
    </row>
    <row r="943">
      <c r="A943" s="16" t="s">
        <v>87</v>
      </c>
      <c r="E943" s="16" t="str">
        <f>IFERROR(__xludf.DUMMYFUNCTION("""COMPUTED_VALUE"""),"")</f>
        <v/>
      </c>
      <c r="G943" s="18"/>
      <c r="H943" s="16" t="s">
        <v>87</v>
      </c>
      <c r="I943" s="16" t="s">
        <v>87</v>
      </c>
      <c r="J943" s="19"/>
      <c r="L943" s="16" t="str">
        <f>IFERROR(__xludf.DUMMYFUNCTION("""COMPUTED_VALUE"""),"")</f>
        <v/>
      </c>
      <c r="M943" s="16" t="str">
        <f>IFERROR(__xludf.DUMMYFUNCTION("""COMPUTED_VALUE"""),"")</f>
        <v/>
      </c>
      <c r="U943" s="16" t="s">
        <v>87</v>
      </c>
      <c r="V943" s="16" t="str">
        <f>IFERROR(__xludf.DUMMYFUNCTION("""COMPUTED_VALUE"""),"")</f>
        <v/>
      </c>
      <c r="W943" s="16" t="str">
        <f>IFERROR(__xludf.DUMMYFUNCTION("""COMPUTED_VALUE"""),"")</f>
        <v/>
      </c>
      <c r="X943" s="16" t="str">
        <f>IFERROR(__xludf.DUMMYFUNCTION("""COMPUTED_VALUE"""),"")</f>
        <v/>
      </c>
      <c r="AC943" s="16" t="str">
        <f>IFERROR(__xludf.DUMMYFUNCTION("""COMPUTED_VALUE"""),"")</f>
        <v/>
      </c>
    </row>
    <row r="944">
      <c r="A944" s="16" t="s">
        <v>87</v>
      </c>
      <c r="E944" s="16" t="str">
        <f>IFERROR(__xludf.DUMMYFUNCTION("""COMPUTED_VALUE"""),"")</f>
        <v/>
      </c>
      <c r="G944" s="18"/>
      <c r="H944" s="16" t="s">
        <v>87</v>
      </c>
      <c r="I944" s="16" t="s">
        <v>87</v>
      </c>
      <c r="J944" s="19"/>
      <c r="L944" s="16" t="str">
        <f>IFERROR(__xludf.DUMMYFUNCTION("""COMPUTED_VALUE"""),"")</f>
        <v/>
      </c>
      <c r="M944" s="16" t="str">
        <f>IFERROR(__xludf.DUMMYFUNCTION("""COMPUTED_VALUE"""),"")</f>
        <v/>
      </c>
      <c r="U944" s="16" t="s">
        <v>87</v>
      </c>
      <c r="V944" s="16" t="str">
        <f>IFERROR(__xludf.DUMMYFUNCTION("""COMPUTED_VALUE"""),"")</f>
        <v/>
      </c>
      <c r="W944" s="16" t="str">
        <f>IFERROR(__xludf.DUMMYFUNCTION("""COMPUTED_VALUE"""),"")</f>
        <v/>
      </c>
      <c r="X944" s="16" t="str">
        <f>IFERROR(__xludf.DUMMYFUNCTION("""COMPUTED_VALUE"""),"")</f>
        <v/>
      </c>
      <c r="AC944" s="16" t="str">
        <f>IFERROR(__xludf.DUMMYFUNCTION("""COMPUTED_VALUE"""),"")</f>
        <v/>
      </c>
    </row>
    <row r="945">
      <c r="A945" s="16" t="s">
        <v>87</v>
      </c>
      <c r="E945" s="16" t="str">
        <f>IFERROR(__xludf.DUMMYFUNCTION("""COMPUTED_VALUE"""),"")</f>
        <v/>
      </c>
      <c r="G945" s="18"/>
      <c r="H945" s="16" t="s">
        <v>87</v>
      </c>
      <c r="I945" s="16" t="s">
        <v>87</v>
      </c>
      <c r="J945" s="19"/>
      <c r="L945" s="16" t="str">
        <f>IFERROR(__xludf.DUMMYFUNCTION("""COMPUTED_VALUE"""),"")</f>
        <v/>
      </c>
      <c r="M945" s="16" t="str">
        <f>IFERROR(__xludf.DUMMYFUNCTION("""COMPUTED_VALUE"""),"")</f>
        <v/>
      </c>
      <c r="U945" s="16" t="s">
        <v>87</v>
      </c>
      <c r="V945" s="16" t="str">
        <f>IFERROR(__xludf.DUMMYFUNCTION("""COMPUTED_VALUE"""),"")</f>
        <v/>
      </c>
      <c r="W945" s="16" t="str">
        <f>IFERROR(__xludf.DUMMYFUNCTION("""COMPUTED_VALUE"""),"")</f>
        <v/>
      </c>
      <c r="X945" s="16" t="str">
        <f>IFERROR(__xludf.DUMMYFUNCTION("""COMPUTED_VALUE"""),"")</f>
        <v/>
      </c>
      <c r="AC945" s="16" t="str">
        <f>IFERROR(__xludf.DUMMYFUNCTION("""COMPUTED_VALUE"""),"")</f>
        <v/>
      </c>
    </row>
    <row r="946">
      <c r="A946" s="16" t="s">
        <v>87</v>
      </c>
      <c r="E946" s="16" t="str">
        <f>IFERROR(__xludf.DUMMYFUNCTION("""COMPUTED_VALUE"""),"")</f>
        <v/>
      </c>
      <c r="G946" s="18"/>
      <c r="H946" s="16" t="s">
        <v>87</v>
      </c>
      <c r="I946" s="16" t="s">
        <v>87</v>
      </c>
      <c r="J946" s="19"/>
      <c r="L946" s="16" t="str">
        <f>IFERROR(__xludf.DUMMYFUNCTION("""COMPUTED_VALUE"""),"")</f>
        <v/>
      </c>
      <c r="M946" s="16" t="str">
        <f>IFERROR(__xludf.DUMMYFUNCTION("""COMPUTED_VALUE"""),"")</f>
        <v/>
      </c>
      <c r="U946" s="16" t="s">
        <v>87</v>
      </c>
      <c r="V946" s="16" t="str">
        <f>IFERROR(__xludf.DUMMYFUNCTION("""COMPUTED_VALUE"""),"")</f>
        <v/>
      </c>
      <c r="W946" s="16" t="str">
        <f>IFERROR(__xludf.DUMMYFUNCTION("""COMPUTED_VALUE"""),"")</f>
        <v/>
      </c>
      <c r="X946" s="16" t="str">
        <f>IFERROR(__xludf.DUMMYFUNCTION("""COMPUTED_VALUE"""),"")</f>
        <v/>
      </c>
      <c r="AC946" s="16" t="str">
        <f>IFERROR(__xludf.DUMMYFUNCTION("""COMPUTED_VALUE"""),"")</f>
        <v/>
      </c>
    </row>
    <row r="947">
      <c r="A947" s="16" t="s">
        <v>87</v>
      </c>
      <c r="E947" s="16" t="str">
        <f>IFERROR(__xludf.DUMMYFUNCTION("""COMPUTED_VALUE"""),"")</f>
        <v/>
      </c>
      <c r="G947" s="18"/>
      <c r="H947" s="16" t="s">
        <v>87</v>
      </c>
      <c r="I947" s="16" t="s">
        <v>87</v>
      </c>
      <c r="J947" s="19"/>
      <c r="L947" s="16" t="str">
        <f>IFERROR(__xludf.DUMMYFUNCTION("""COMPUTED_VALUE"""),"")</f>
        <v/>
      </c>
      <c r="M947" s="16" t="str">
        <f>IFERROR(__xludf.DUMMYFUNCTION("""COMPUTED_VALUE"""),"")</f>
        <v/>
      </c>
      <c r="U947" s="16" t="s">
        <v>87</v>
      </c>
      <c r="V947" s="16" t="str">
        <f>IFERROR(__xludf.DUMMYFUNCTION("""COMPUTED_VALUE"""),"")</f>
        <v/>
      </c>
      <c r="W947" s="16" t="str">
        <f>IFERROR(__xludf.DUMMYFUNCTION("""COMPUTED_VALUE"""),"")</f>
        <v/>
      </c>
      <c r="X947" s="16" t="str">
        <f>IFERROR(__xludf.DUMMYFUNCTION("""COMPUTED_VALUE"""),"")</f>
        <v/>
      </c>
      <c r="AC947" s="16" t="str">
        <f>IFERROR(__xludf.DUMMYFUNCTION("""COMPUTED_VALUE"""),"")</f>
        <v/>
      </c>
    </row>
    <row r="948">
      <c r="A948" s="16" t="s">
        <v>87</v>
      </c>
      <c r="E948" s="16" t="str">
        <f>IFERROR(__xludf.DUMMYFUNCTION("""COMPUTED_VALUE"""),"")</f>
        <v/>
      </c>
      <c r="G948" s="18"/>
      <c r="H948" s="16" t="s">
        <v>87</v>
      </c>
      <c r="I948" s="16" t="s">
        <v>87</v>
      </c>
      <c r="J948" s="19"/>
      <c r="L948" s="16" t="str">
        <f>IFERROR(__xludf.DUMMYFUNCTION("""COMPUTED_VALUE"""),"")</f>
        <v/>
      </c>
      <c r="M948" s="16" t="str">
        <f>IFERROR(__xludf.DUMMYFUNCTION("""COMPUTED_VALUE"""),"")</f>
        <v/>
      </c>
      <c r="U948" s="16" t="s">
        <v>87</v>
      </c>
      <c r="V948" s="16" t="str">
        <f>IFERROR(__xludf.DUMMYFUNCTION("""COMPUTED_VALUE"""),"")</f>
        <v/>
      </c>
      <c r="W948" s="16" t="str">
        <f>IFERROR(__xludf.DUMMYFUNCTION("""COMPUTED_VALUE"""),"")</f>
        <v/>
      </c>
      <c r="X948" s="16" t="str">
        <f>IFERROR(__xludf.DUMMYFUNCTION("""COMPUTED_VALUE"""),"")</f>
        <v/>
      </c>
      <c r="AC948" s="16" t="str">
        <f>IFERROR(__xludf.DUMMYFUNCTION("""COMPUTED_VALUE"""),"")</f>
        <v/>
      </c>
    </row>
    <row r="949">
      <c r="A949" s="16" t="s">
        <v>87</v>
      </c>
      <c r="E949" s="16" t="str">
        <f>IFERROR(__xludf.DUMMYFUNCTION("""COMPUTED_VALUE"""),"")</f>
        <v/>
      </c>
      <c r="G949" s="18"/>
      <c r="H949" s="16" t="s">
        <v>87</v>
      </c>
      <c r="I949" s="16" t="s">
        <v>87</v>
      </c>
      <c r="J949" s="19"/>
      <c r="L949" s="16" t="str">
        <f>IFERROR(__xludf.DUMMYFUNCTION("""COMPUTED_VALUE"""),"")</f>
        <v/>
      </c>
      <c r="M949" s="16" t="str">
        <f>IFERROR(__xludf.DUMMYFUNCTION("""COMPUTED_VALUE"""),"")</f>
        <v/>
      </c>
      <c r="U949" s="16" t="s">
        <v>87</v>
      </c>
      <c r="V949" s="16" t="str">
        <f>IFERROR(__xludf.DUMMYFUNCTION("""COMPUTED_VALUE"""),"")</f>
        <v/>
      </c>
      <c r="W949" s="16" t="str">
        <f>IFERROR(__xludf.DUMMYFUNCTION("""COMPUTED_VALUE"""),"")</f>
        <v/>
      </c>
      <c r="X949" s="16" t="str">
        <f>IFERROR(__xludf.DUMMYFUNCTION("""COMPUTED_VALUE"""),"")</f>
        <v/>
      </c>
      <c r="AC949" s="16" t="str">
        <f>IFERROR(__xludf.DUMMYFUNCTION("""COMPUTED_VALUE"""),"")</f>
        <v/>
      </c>
    </row>
    <row r="950">
      <c r="A950" s="16" t="s">
        <v>87</v>
      </c>
      <c r="E950" s="16" t="str">
        <f>IFERROR(__xludf.DUMMYFUNCTION("""COMPUTED_VALUE"""),"")</f>
        <v/>
      </c>
      <c r="G950" s="18"/>
      <c r="H950" s="16" t="s">
        <v>87</v>
      </c>
      <c r="I950" s="16" t="s">
        <v>87</v>
      </c>
      <c r="J950" s="19"/>
      <c r="L950" s="16" t="str">
        <f>IFERROR(__xludf.DUMMYFUNCTION("""COMPUTED_VALUE"""),"")</f>
        <v/>
      </c>
      <c r="M950" s="16" t="str">
        <f>IFERROR(__xludf.DUMMYFUNCTION("""COMPUTED_VALUE"""),"")</f>
        <v/>
      </c>
      <c r="U950" s="16" t="s">
        <v>87</v>
      </c>
      <c r="V950" s="16" t="str">
        <f>IFERROR(__xludf.DUMMYFUNCTION("""COMPUTED_VALUE"""),"")</f>
        <v/>
      </c>
      <c r="W950" s="16" t="str">
        <f>IFERROR(__xludf.DUMMYFUNCTION("""COMPUTED_VALUE"""),"")</f>
        <v/>
      </c>
      <c r="X950" s="16" t="str">
        <f>IFERROR(__xludf.DUMMYFUNCTION("""COMPUTED_VALUE"""),"")</f>
        <v/>
      </c>
      <c r="AC950" s="16" t="str">
        <f>IFERROR(__xludf.DUMMYFUNCTION("""COMPUTED_VALUE"""),"")</f>
        <v/>
      </c>
    </row>
    <row r="951">
      <c r="A951" s="16" t="s">
        <v>87</v>
      </c>
      <c r="E951" s="16" t="str">
        <f>IFERROR(__xludf.DUMMYFUNCTION("""COMPUTED_VALUE"""),"")</f>
        <v/>
      </c>
      <c r="G951" s="18"/>
      <c r="H951" s="16" t="s">
        <v>87</v>
      </c>
      <c r="I951" s="16" t="s">
        <v>87</v>
      </c>
      <c r="J951" s="19"/>
      <c r="L951" s="16" t="str">
        <f>IFERROR(__xludf.DUMMYFUNCTION("""COMPUTED_VALUE"""),"")</f>
        <v/>
      </c>
      <c r="M951" s="16" t="str">
        <f>IFERROR(__xludf.DUMMYFUNCTION("""COMPUTED_VALUE"""),"")</f>
        <v/>
      </c>
      <c r="U951" s="16" t="s">
        <v>87</v>
      </c>
      <c r="V951" s="16" t="str">
        <f>IFERROR(__xludf.DUMMYFUNCTION("""COMPUTED_VALUE"""),"")</f>
        <v/>
      </c>
      <c r="W951" s="16" t="str">
        <f>IFERROR(__xludf.DUMMYFUNCTION("""COMPUTED_VALUE"""),"")</f>
        <v/>
      </c>
      <c r="X951" s="16" t="str">
        <f>IFERROR(__xludf.DUMMYFUNCTION("""COMPUTED_VALUE"""),"")</f>
        <v/>
      </c>
      <c r="AC951" s="16" t="str">
        <f>IFERROR(__xludf.DUMMYFUNCTION("""COMPUTED_VALUE"""),"")</f>
        <v/>
      </c>
    </row>
    <row r="952">
      <c r="A952" s="16" t="s">
        <v>87</v>
      </c>
      <c r="E952" s="16" t="str">
        <f>IFERROR(__xludf.DUMMYFUNCTION("""COMPUTED_VALUE"""),"")</f>
        <v/>
      </c>
      <c r="G952" s="18"/>
      <c r="H952" s="16" t="s">
        <v>87</v>
      </c>
      <c r="I952" s="16" t="s">
        <v>87</v>
      </c>
      <c r="J952" s="19"/>
      <c r="L952" s="16" t="str">
        <f>IFERROR(__xludf.DUMMYFUNCTION("""COMPUTED_VALUE"""),"")</f>
        <v/>
      </c>
      <c r="M952" s="16" t="str">
        <f>IFERROR(__xludf.DUMMYFUNCTION("""COMPUTED_VALUE"""),"")</f>
        <v/>
      </c>
      <c r="U952" s="16" t="s">
        <v>87</v>
      </c>
      <c r="V952" s="16" t="str">
        <f>IFERROR(__xludf.DUMMYFUNCTION("""COMPUTED_VALUE"""),"")</f>
        <v/>
      </c>
      <c r="W952" s="16" t="str">
        <f>IFERROR(__xludf.DUMMYFUNCTION("""COMPUTED_VALUE"""),"")</f>
        <v/>
      </c>
      <c r="X952" s="16" t="str">
        <f>IFERROR(__xludf.DUMMYFUNCTION("""COMPUTED_VALUE"""),"")</f>
        <v/>
      </c>
      <c r="AC952" s="16" t="str">
        <f>IFERROR(__xludf.DUMMYFUNCTION("""COMPUTED_VALUE"""),"")</f>
        <v/>
      </c>
    </row>
    <row r="953">
      <c r="A953" s="16" t="s">
        <v>87</v>
      </c>
      <c r="E953" s="16" t="str">
        <f>IFERROR(__xludf.DUMMYFUNCTION("""COMPUTED_VALUE"""),"")</f>
        <v/>
      </c>
      <c r="G953" s="18"/>
      <c r="H953" s="16" t="s">
        <v>87</v>
      </c>
      <c r="I953" s="16" t="s">
        <v>87</v>
      </c>
      <c r="J953" s="19"/>
      <c r="L953" s="16" t="str">
        <f>IFERROR(__xludf.DUMMYFUNCTION("""COMPUTED_VALUE"""),"")</f>
        <v/>
      </c>
      <c r="M953" s="16" t="str">
        <f>IFERROR(__xludf.DUMMYFUNCTION("""COMPUTED_VALUE"""),"")</f>
        <v/>
      </c>
      <c r="U953" s="16" t="s">
        <v>87</v>
      </c>
      <c r="V953" s="16" t="str">
        <f>IFERROR(__xludf.DUMMYFUNCTION("""COMPUTED_VALUE"""),"")</f>
        <v/>
      </c>
      <c r="W953" s="16" t="str">
        <f>IFERROR(__xludf.DUMMYFUNCTION("""COMPUTED_VALUE"""),"")</f>
        <v/>
      </c>
      <c r="X953" s="16" t="str">
        <f>IFERROR(__xludf.DUMMYFUNCTION("""COMPUTED_VALUE"""),"")</f>
        <v/>
      </c>
      <c r="AC953" s="16" t="str">
        <f>IFERROR(__xludf.DUMMYFUNCTION("""COMPUTED_VALUE"""),"")</f>
        <v/>
      </c>
    </row>
    <row r="954">
      <c r="A954" s="16" t="s">
        <v>87</v>
      </c>
      <c r="E954" s="16" t="str">
        <f>IFERROR(__xludf.DUMMYFUNCTION("""COMPUTED_VALUE"""),"")</f>
        <v/>
      </c>
      <c r="G954" s="18"/>
      <c r="H954" s="16" t="s">
        <v>87</v>
      </c>
      <c r="I954" s="16" t="s">
        <v>87</v>
      </c>
      <c r="J954" s="19"/>
      <c r="L954" s="16" t="str">
        <f>IFERROR(__xludf.DUMMYFUNCTION("""COMPUTED_VALUE"""),"")</f>
        <v/>
      </c>
      <c r="M954" s="16" t="str">
        <f>IFERROR(__xludf.DUMMYFUNCTION("""COMPUTED_VALUE"""),"")</f>
        <v/>
      </c>
      <c r="U954" s="16" t="s">
        <v>87</v>
      </c>
      <c r="V954" s="16" t="str">
        <f>IFERROR(__xludf.DUMMYFUNCTION("""COMPUTED_VALUE"""),"")</f>
        <v/>
      </c>
      <c r="W954" s="16" t="str">
        <f>IFERROR(__xludf.DUMMYFUNCTION("""COMPUTED_VALUE"""),"")</f>
        <v/>
      </c>
      <c r="X954" s="16" t="str">
        <f>IFERROR(__xludf.DUMMYFUNCTION("""COMPUTED_VALUE"""),"")</f>
        <v/>
      </c>
      <c r="AC954" s="16" t="str">
        <f>IFERROR(__xludf.DUMMYFUNCTION("""COMPUTED_VALUE"""),"")</f>
        <v/>
      </c>
    </row>
    <row r="955">
      <c r="A955" s="16" t="s">
        <v>87</v>
      </c>
      <c r="E955" s="16" t="str">
        <f>IFERROR(__xludf.DUMMYFUNCTION("""COMPUTED_VALUE"""),"")</f>
        <v/>
      </c>
      <c r="G955" s="18"/>
      <c r="H955" s="16" t="s">
        <v>87</v>
      </c>
      <c r="I955" s="16" t="s">
        <v>87</v>
      </c>
      <c r="J955" s="19"/>
      <c r="L955" s="16" t="str">
        <f>IFERROR(__xludf.DUMMYFUNCTION("""COMPUTED_VALUE"""),"")</f>
        <v/>
      </c>
      <c r="M955" s="16" t="str">
        <f>IFERROR(__xludf.DUMMYFUNCTION("""COMPUTED_VALUE"""),"")</f>
        <v/>
      </c>
      <c r="U955" s="16" t="s">
        <v>87</v>
      </c>
      <c r="V955" s="16" t="str">
        <f>IFERROR(__xludf.DUMMYFUNCTION("""COMPUTED_VALUE"""),"")</f>
        <v/>
      </c>
      <c r="W955" s="16" t="str">
        <f>IFERROR(__xludf.DUMMYFUNCTION("""COMPUTED_VALUE"""),"")</f>
        <v/>
      </c>
      <c r="X955" s="16" t="str">
        <f>IFERROR(__xludf.DUMMYFUNCTION("""COMPUTED_VALUE"""),"")</f>
        <v/>
      </c>
      <c r="AC955" s="16" t="str">
        <f>IFERROR(__xludf.DUMMYFUNCTION("""COMPUTED_VALUE"""),"")</f>
        <v/>
      </c>
    </row>
    <row r="956">
      <c r="A956" s="16" t="s">
        <v>87</v>
      </c>
      <c r="E956" s="16" t="str">
        <f>IFERROR(__xludf.DUMMYFUNCTION("""COMPUTED_VALUE"""),"")</f>
        <v/>
      </c>
      <c r="G956" s="18"/>
      <c r="H956" s="16" t="s">
        <v>87</v>
      </c>
      <c r="I956" s="16" t="s">
        <v>87</v>
      </c>
      <c r="J956" s="19"/>
      <c r="L956" s="16" t="str">
        <f>IFERROR(__xludf.DUMMYFUNCTION("""COMPUTED_VALUE"""),"")</f>
        <v/>
      </c>
      <c r="M956" s="16" t="str">
        <f>IFERROR(__xludf.DUMMYFUNCTION("""COMPUTED_VALUE"""),"")</f>
        <v/>
      </c>
      <c r="U956" s="16" t="s">
        <v>87</v>
      </c>
      <c r="V956" s="16" t="str">
        <f>IFERROR(__xludf.DUMMYFUNCTION("""COMPUTED_VALUE"""),"")</f>
        <v/>
      </c>
      <c r="W956" s="16" t="str">
        <f>IFERROR(__xludf.DUMMYFUNCTION("""COMPUTED_VALUE"""),"")</f>
        <v/>
      </c>
      <c r="X956" s="16" t="str">
        <f>IFERROR(__xludf.DUMMYFUNCTION("""COMPUTED_VALUE"""),"")</f>
        <v/>
      </c>
      <c r="AC956" s="16" t="str">
        <f>IFERROR(__xludf.DUMMYFUNCTION("""COMPUTED_VALUE"""),"")</f>
        <v/>
      </c>
    </row>
    <row r="957">
      <c r="A957" s="16" t="s">
        <v>87</v>
      </c>
      <c r="E957" s="16" t="str">
        <f>IFERROR(__xludf.DUMMYFUNCTION("""COMPUTED_VALUE"""),"")</f>
        <v/>
      </c>
      <c r="G957" s="18"/>
      <c r="H957" s="16" t="s">
        <v>87</v>
      </c>
      <c r="I957" s="16" t="s">
        <v>87</v>
      </c>
      <c r="J957" s="19"/>
      <c r="L957" s="16" t="str">
        <f>IFERROR(__xludf.DUMMYFUNCTION("""COMPUTED_VALUE"""),"")</f>
        <v/>
      </c>
      <c r="M957" s="16" t="str">
        <f>IFERROR(__xludf.DUMMYFUNCTION("""COMPUTED_VALUE"""),"")</f>
        <v/>
      </c>
      <c r="U957" s="16" t="s">
        <v>87</v>
      </c>
      <c r="V957" s="16" t="str">
        <f>IFERROR(__xludf.DUMMYFUNCTION("""COMPUTED_VALUE"""),"")</f>
        <v/>
      </c>
      <c r="W957" s="16" t="str">
        <f>IFERROR(__xludf.DUMMYFUNCTION("""COMPUTED_VALUE"""),"")</f>
        <v/>
      </c>
      <c r="X957" s="16" t="str">
        <f>IFERROR(__xludf.DUMMYFUNCTION("""COMPUTED_VALUE"""),"")</f>
        <v/>
      </c>
      <c r="AC957" s="16" t="str">
        <f>IFERROR(__xludf.DUMMYFUNCTION("""COMPUTED_VALUE"""),"")</f>
        <v/>
      </c>
    </row>
    <row r="958">
      <c r="A958" s="16" t="s">
        <v>87</v>
      </c>
      <c r="E958" s="16" t="str">
        <f>IFERROR(__xludf.DUMMYFUNCTION("""COMPUTED_VALUE"""),"")</f>
        <v/>
      </c>
      <c r="G958" s="18"/>
      <c r="H958" s="16" t="s">
        <v>87</v>
      </c>
      <c r="I958" s="16" t="s">
        <v>87</v>
      </c>
      <c r="J958" s="19"/>
      <c r="L958" s="16" t="str">
        <f>IFERROR(__xludf.DUMMYFUNCTION("""COMPUTED_VALUE"""),"")</f>
        <v/>
      </c>
      <c r="M958" s="16" t="str">
        <f>IFERROR(__xludf.DUMMYFUNCTION("""COMPUTED_VALUE"""),"")</f>
        <v/>
      </c>
      <c r="U958" s="16" t="s">
        <v>87</v>
      </c>
      <c r="V958" s="16" t="str">
        <f>IFERROR(__xludf.DUMMYFUNCTION("""COMPUTED_VALUE"""),"")</f>
        <v/>
      </c>
      <c r="W958" s="16" t="str">
        <f>IFERROR(__xludf.DUMMYFUNCTION("""COMPUTED_VALUE"""),"")</f>
        <v/>
      </c>
      <c r="X958" s="16" t="str">
        <f>IFERROR(__xludf.DUMMYFUNCTION("""COMPUTED_VALUE"""),"")</f>
        <v/>
      </c>
      <c r="AC958" s="16" t="str">
        <f>IFERROR(__xludf.DUMMYFUNCTION("""COMPUTED_VALUE"""),"")</f>
        <v/>
      </c>
    </row>
    <row r="959">
      <c r="A959" s="16" t="s">
        <v>87</v>
      </c>
      <c r="E959" s="16" t="str">
        <f>IFERROR(__xludf.DUMMYFUNCTION("""COMPUTED_VALUE"""),"")</f>
        <v/>
      </c>
      <c r="G959" s="18"/>
      <c r="H959" s="16" t="s">
        <v>87</v>
      </c>
      <c r="I959" s="16" t="s">
        <v>87</v>
      </c>
      <c r="J959" s="19"/>
      <c r="L959" s="16" t="str">
        <f>IFERROR(__xludf.DUMMYFUNCTION("""COMPUTED_VALUE"""),"")</f>
        <v/>
      </c>
      <c r="M959" s="16" t="str">
        <f>IFERROR(__xludf.DUMMYFUNCTION("""COMPUTED_VALUE"""),"")</f>
        <v/>
      </c>
      <c r="U959" s="16" t="s">
        <v>87</v>
      </c>
      <c r="V959" s="16" t="str">
        <f>IFERROR(__xludf.DUMMYFUNCTION("""COMPUTED_VALUE"""),"")</f>
        <v/>
      </c>
      <c r="W959" s="16" t="str">
        <f>IFERROR(__xludf.DUMMYFUNCTION("""COMPUTED_VALUE"""),"")</f>
        <v/>
      </c>
      <c r="X959" s="16" t="str">
        <f>IFERROR(__xludf.DUMMYFUNCTION("""COMPUTED_VALUE"""),"")</f>
        <v/>
      </c>
      <c r="AC959" s="16" t="str">
        <f>IFERROR(__xludf.DUMMYFUNCTION("""COMPUTED_VALUE"""),"")</f>
        <v/>
      </c>
    </row>
    <row r="960">
      <c r="A960" s="16" t="s">
        <v>87</v>
      </c>
      <c r="E960" s="16" t="str">
        <f>IFERROR(__xludf.DUMMYFUNCTION("""COMPUTED_VALUE"""),"")</f>
        <v/>
      </c>
      <c r="G960" s="18"/>
      <c r="H960" s="16" t="s">
        <v>87</v>
      </c>
      <c r="I960" s="16" t="s">
        <v>87</v>
      </c>
      <c r="J960" s="19"/>
      <c r="L960" s="16" t="str">
        <f>IFERROR(__xludf.DUMMYFUNCTION("""COMPUTED_VALUE"""),"")</f>
        <v/>
      </c>
      <c r="M960" s="16" t="str">
        <f>IFERROR(__xludf.DUMMYFUNCTION("""COMPUTED_VALUE"""),"")</f>
        <v/>
      </c>
      <c r="U960" s="16" t="s">
        <v>87</v>
      </c>
      <c r="V960" s="16" t="str">
        <f>IFERROR(__xludf.DUMMYFUNCTION("""COMPUTED_VALUE"""),"")</f>
        <v/>
      </c>
      <c r="W960" s="16" t="str">
        <f>IFERROR(__xludf.DUMMYFUNCTION("""COMPUTED_VALUE"""),"")</f>
        <v/>
      </c>
      <c r="X960" s="16" t="str">
        <f>IFERROR(__xludf.DUMMYFUNCTION("""COMPUTED_VALUE"""),"")</f>
        <v/>
      </c>
      <c r="AC960" s="16" t="str">
        <f>IFERROR(__xludf.DUMMYFUNCTION("""COMPUTED_VALUE"""),"")</f>
        <v/>
      </c>
    </row>
    <row r="961">
      <c r="A961" s="16" t="s">
        <v>87</v>
      </c>
      <c r="E961" s="16" t="str">
        <f>IFERROR(__xludf.DUMMYFUNCTION("""COMPUTED_VALUE"""),"")</f>
        <v/>
      </c>
      <c r="G961" s="18"/>
      <c r="H961" s="16" t="s">
        <v>87</v>
      </c>
      <c r="I961" s="16" t="s">
        <v>87</v>
      </c>
      <c r="J961" s="19"/>
      <c r="L961" s="16" t="str">
        <f>IFERROR(__xludf.DUMMYFUNCTION("""COMPUTED_VALUE"""),"")</f>
        <v/>
      </c>
      <c r="M961" s="16" t="str">
        <f>IFERROR(__xludf.DUMMYFUNCTION("""COMPUTED_VALUE"""),"")</f>
        <v/>
      </c>
      <c r="U961" s="16" t="s">
        <v>87</v>
      </c>
      <c r="V961" s="16" t="str">
        <f>IFERROR(__xludf.DUMMYFUNCTION("""COMPUTED_VALUE"""),"")</f>
        <v/>
      </c>
      <c r="W961" s="16" t="str">
        <f>IFERROR(__xludf.DUMMYFUNCTION("""COMPUTED_VALUE"""),"")</f>
        <v/>
      </c>
      <c r="X961" s="16" t="str">
        <f>IFERROR(__xludf.DUMMYFUNCTION("""COMPUTED_VALUE"""),"")</f>
        <v/>
      </c>
      <c r="AC961" s="16" t="str">
        <f>IFERROR(__xludf.DUMMYFUNCTION("""COMPUTED_VALUE"""),"")</f>
        <v/>
      </c>
    </row>
    <row r="962">
      <c r="A962" s="16" t="s">
        <v>87</v>
      </c>
      <c r="E962" s="16" t="str">
        <f>IFERROR(__xludf.DUMMYFUNCTION("""COMPUTED_VALUE"""),"")</f>
        <v/>
      </c>
      <c r="G962" s="18"/>
      <c r="H962" s="16" t="s">
        <v>87</v>
      </c>
      <c r="I962" s="16" t="s">
        <v>87</v>
      </c>
      <c r="J962" s="19"/>
      <c r="L962" s="16" t="str">
        <f>IFERROR(__xludf.DUMMYFUNCTION("""COMPUTED_VALUE"""),"")</f>
        <v/>
      </c>
      <c r="M962" s="16" t="str">
        <f>IFERROR(__xludf.DUMMYFUNCTION("""COMPUTED_VALUE"""),"")</f>
        <v/>
      </c>
      <c r="U962" s="16" t="s">
        <v>87</v>
      </c>
      <c r="V962" s="16" t="str">
        <f>IFERROR(__xludf.DUMMYFUNCTION("""COMPUTED_VALUE"""),"")</f>
        <v/>
      </c>
      <c r="W962" s="16" t="str">
        <f>IFERROR(__xludf.DUMMYFUNCTION("""COMPUTED_VALUE"""),"")</f>
        <v/>
      </c>
      <c r="X962" s="16" t="str">
        <f>IFERROR(__xludf.DUMMYFUNCTION("""COMPUTED_VALUE"""),"")</f>
        <v/>
      </c>
      <c r="AC962" s="16" t="str">
        <f>IFERROR(__xludf.DUMMYFUNCTION("""COMPUTED_VALUE"""),"")</f>
        <v/>
      </c>
    </row>
    <row r="963">
      <c r="A963" s="16" t="s">
        <v>87</v>
      </c>
      <c r="E963" s="16" t="str">
        <f>IFERROR(__xludf.DUMMYFUNCTION("""COMPUTED_VALUE"""),"")</f>
        <v/>
      </c>
      <c r="G963" s="18"/>
      <c r="H963" s="16" t="s">
        <v>87</v>
      </c>
      <c r="I963" s="16" t="s">
        <v>87</v>
      </c>
      <c r="J963" s="19"/>
      <c r="L963" s="16" t="str">
        <f>IFERROR(__xludf.DUMMYFUNCTION("""COMPUTED_VALUE"""),"")</f>
        <v/>
      </c>
      <c r="M963" s="16" t="str">
        <f>IFERROR(__xludf.DUMMYFUNCTION("""COMPUTED_VALUE"""),"")</f>
        <v/>
      </c>
      <c r="U963" s="16" t="s">
        <v>87</v>
      </c>
      <c r="V963" s="16" t="str">
        <f>IFERROR(__xludf.DUMMYFUNCTION("""COMPUTED_VALUE"""),"")</f>
        <v/>
      </c>
      <c r="W963" s="16" t="str">
        <f>IFERROR(__xludf.DUMMYFUNCTION("""COMPUTED_VALUE"""),"")</f>
        <v/>
      </c>
      <c r="X963" s="16" t="str">
        <f>IFERROR(__xludf.DUMMYFUNCTION("""COMPUTED_VALUE"""),"")</f>
        <v/>
      </c>
      <c r="AC963" s="16" t="str">
        <f>IFERROR(__xludf.DUMMYFUNCTION("""COMPUTED_VALUE"""),"")</f>
        <v/>
      </c>
    </row>
    <row r="964">
      <c r="A964" s="16" t="s">
        <v>87</v>
      </c>
      <c r="E964" s="16" t="str">
        <f>IFERROR(__xludf.DUMMYFUNCTION("""COMPUTED_VALUE"""),"")</f>
        <v/>
      </c>
      <c r="G964" s="18"/>
      <c r="H964" s="16" t="s">
        <v>87</v>
      </c>
      <c r="I964" s="16" t="s">
        <v>87</v>
      </c>
      <c r="J964" s="19"/>
      <c r="L964" s="16" t="str">
        <f>IFERROR(__xludf.DUMMYFUNCTION("""COMPUTED_VALUE"""),"")</f>
        <v/>
      </c>
      <c r="M964" s="16" t="str">
        <f>IFERROR(__xludf.DUMMYFUNCTION("""COMPUTED_VALUE"""),"")</f>
        <v/>
      </c>
      <c r="U964" s="16" t="s">
        <v>87</v>
      </c>
      <c r="V964" s="16" t="str">
        <f>IFERROR(__xludf.DUMMYFUNCTION("""COMPUTED_VALUE"""),"")</f>
        <v/>
      </c>
      <c r="W964" s="16" t="str">
        <f>IFERROR(__xludf.DUMMYFUNCTION("""COMPUTED_VALUE"""),"")</f>
        <v/>
      </c>
      <c r="X964" s="16" t="str">
        <f>IFERROR(__xludf.DUMMYFUNCTION("""COMPUTED_VALUE"""),"")</f>
        <v/>
      </c>
      <c r="AC964" s="16" t="str">
        <f>IFERROR(__xludf.DUMMYFUNCTION("""COMPUTED_VALUE"""),"")</f>
        <v/>
      </c>
    </row>
    <row r="965">
      <c r="A965" s="16" t="s">
        <v>87</v>
      </c>
      <c r="E965" s="16" t="str">
        <f>IFERROR(__xludf.DUMMYFUNCTION("""COMPUTED_VALUE"""),"")</f>
        <v/>
      </c>
      <c r="G965" s="18"/>
      <c r="H965" s="16" t="s">
        <v>87</v>
      </c>
      <c r="I965" s="16" t="s">
        <v>87</v>
      </c>
      <c r="J965" s="19"/>
      <c r="L965" s="16" t="str">
        <f>IFERROR(__xludf.DUMMYFUNCTION("""COMPUTED_VALUE"""),"")</f>
        <v/>
      </c>
      <c r="M965" s="16" t="str">
        <f>IFERROR(__xludf.DUMMYFUNCTION("""COMPUTED_VALUE"""),"")</f>
        <v/>
      </c>
      <c r="U965" s="16" t="s">
        <v>87</v>
      </c>
      <c r="V965" s="16" t="str">
        <f>IFERROR(__xludf.DUMMYFUNCTION("""COMPUTED_VALUE"""),"")</f>
        <v/>
      </c>
      <c r="W965" s="16" t="str">
        <f>IFERROR(__xludf.DUMMYFUNCTION("""COMPUTED_VALUE"""),"")</f>
        <v/>
      </c>
      <c r="X965" s="16" t="str">
        <f>IFERROR(__xludf.DUMMYFUNCTION("""COMPUTED_VALUE"""),"")</f>
        <v/>
      </c>
      <c r="AC965" s="16" t="str">
        <f>IFERROR(__xludf.DUMMYFUNCTION("""COMPUTED_VALUE"""),"")</f>
        <v/>
      </c>
    </row>
    <row r="966">
      <c r="A966" s="16" t="s">
        <v>87</v>
      </c>
      <c r="E966" s="16" t="str">
        <f>IFERROR(__xludf.DUMMYFUNCTION("""COMPUTED_VALUE"""),"")</f>
        <v/>
      </c>
      <c r="G966" s="18"/>
      <c r="H966" s="16" t="s">
        <v>87</v>
      </c>
      <c r="I966" s="16" t="s">
        <v>87</v>
      </c>
      <c r="J966" s="19"/>
      <c r="L966" s="16" t="str">
        <f>IFERROR(__xludf.DUMMYFUNCTION("""COMPUTED_VALUE"""),"")</f>
        <v/>
      </c>
      <c r="M966" s="16" t="str">
        <f>IFERROR(__xludf.DUMMYFUNCTION("""COMPUTED_VALUE"""),"")</f>
        <v/>
      </c>
      <c r="U966" s="16" t="s">
        <v>87</v>
      </c>
      <c r="V966" s="16" t="str">
        <f>IFERROR(__xludf.DUMMYFUNCTION("""COMPUTED_VALUE"""),"")</f>
        <v/>
      </c>
      <c r="W966" s="16" t="str">
        <f>IFERROR(__xludf.DUMMYFUNCTION("""COMPUTED_VALUE"""),"")</f>
        <v/>
      </c>
      <c r="X966" s="16" t="str">
        <f>IFERROR(__xludf.DUMMYFUNCTION("""COMPUTED_VALUE"""),"")</f>
        <v/>
      </c>
      <c r="AC966" s="16" t="str">
        <f>IFERROR(__xludf.DUMMYFUNCTION("""COMPUTED_VALUE"""),"")</f>
        <v/>
      </c>
    </row>
    <row r="967">
      <c r="A967" s="16" t="s">
        <v>87</v>
      </c>
      <c r="E967" s="16" t="str">
        <f>IFERROR(__xludf.DUMMYFUNCTION("""COMPUTED_VALUE"""),"")</f>
        <v/>
      </c>
      <c r="G967" s="18"/>
      <c r="H967" s="16" t="s">
        <v>87</v>
      </c>
      <c r="I967" s="16" t="s">
        <v>87</v>
      </c>
      <c r="J967" s="19"/>
      <c r="L967" s="16" t="str">
        <f>IFERROR(__xludf.DUMMYFUNCTION("""COMPUTED_VALUE"""),"")</f>
        <v/>
      </c>
      <c r="M967" s="16" t="str">
        <f>IFERROR(__xludf.DUMMYFUNCTION("""COMPUTED_VALUE"""),"")</f>
        <v/>
      </c>
      <c r="U967" s="16" t="s">
        <v>87</v>
      </c>
      <c r="V967" s="16" t="str">
        <f>IFERROR(__xludf.DUMMYFUNCTION("""COMPUTED_VALUE"""),"")</f>
        <v/>
      </c>
      <c r="W967" s="16" t="str">
        <f>IFERROR(__xludf.DUMMYFUNCTION("""COMPUTED_VALUE"""),"")</f>
        <v/>
      </c>
      <c r="X967" s="16" t="str">
        <f>IFERROR(__xludf.DUMMYFUNCTION("""COMPUTED_VALUE"""),"")</f>
        <v/>
      </c>
      <c r="AC967" s="16" t="str">
        <f>IFERROR(__xludf.DUMMYFUNCTION("""COMPUTED_VALUE"""),"")</f>
        <v/>
      </c>
    </row>
    <row r="968">
      <c r="A968" s="16" t="s">
        <v>87</v>
      </c>
      <c r="E968" s="16" t="str">
        <f>IFERROR(__xludf.DUMMYFUNCTION("""COMPUTED_VALUE"""),"")</f>
        <v/>
      </c>
      <c r="G968" s="18"/>
      <c r="H968" s="16" t="s">
        <v>87</v>
      </c>
      <c r="I968" s="16" t="s">
        <v>87</v>
      </c>
      <c r="J968" s="19"/>
      <c r="L968" s="16" t="str">
        <f>IFERROR(__xludf.DUMMYFUNCTION("""COMPUTED_VALUE"""),"")</f>
        <v/>
      </c>
      <c r="M968" s="16" t="str">
        <f>IFERROR(__xludf.DUMMYFUNCTION("""COMPUTED_VALUE"""),"")</f>
        <v/>
      </c>
      <c r="U968" s="16" t="s">
        <v>87</v>
      </c>
      <c r="V968" s="16" t="str">
        <f>IFERROR(__xludf.DUMMYFUNCTION("""COMPUTED_VALUE"""),"")</f>
        <v/>
      </c>
      <c r="W968" s="16" t="str">
        <f>IFERROR(__xludf.DUMMYFUNCTION("""COMPUTED_VALUE"""),"")</f>
        <v/>
      </c>
      <c r="X968" s="16" t="str">
        <f>IFERROR(__xludf.DUMMYFUNCTION("""COMPUTED_VALUE"""),"")</f>
        <v/>
      </c>
      <c r="AC968" s="16" t="str">
        <f>IFERROR(__xludf.DUMMYFUNCTION("""COMPUTED_VALUE"""),"")</f>
        <v/>
      </c>
    </row>
    <row r="969">
      <c r="A969" s="16" t="s">
        <v>87</v>
      </c>
      <c r="E969" s="16" t="str">
        <f>IFERROR(__xludf.DUMMYFUNCTION("""COMPUTED_VALUE"""),"")</f>
        <v/>
      </c>
      <c r="G969" s="18"/>
      <c r="H969" s="16" t="s">
        <v>87</v>
      </c>
      <c r="I969" s="16" t="s">
        <v>87</v>
      </c>
      <c r="J969" s="19"/>
      <c r="L969" s="16" t="str">
        <f>IFERROR(__xludf.DUMMYFUNCTION("""COMPUTED_VALUE"""),"")</f>
        <v/>
      </c>
      <c r="M969" s="16" t="str">
        <f>IFERROR(__xludf.DUMMYFUNCTION("""COMPUTED_VALUE"""),"")</f>
        <v/>
      </c>
      <c r="U969" s="16" t="s">
        <v>87</v>
      </c>
      <c r="V969" s="16" t="str">
        <f>IFERROR(__xludf.DUMMYFUNCTION("""COMPUTED_VALUE"""),"")</f>
        <v/>
      </c>
      <c r="W969" s="16" t="str">
        <f>IFERROR(__xludf.DUMMYFUNCTION("""COMPUTED_VALUE"""),"")</f>
        <v/>
      </c>
      <c r="X969" s="16" t="str">
        <f>IFERROR(__xludf.DUMMYFUNCTION("""COMPUTED_VALUE"""),"")</f>
        <v/>
      </c>
      <c r="AC969" s="16" t="str">
        <f>IFERROR(__xludf.DUMMYFUNCTION("""COMPUTED_VALUE"""),"")</f>
        <v/>
      </c>
    </row>
    <row r="970">
      <c r="A970" s="16" t="s">
        <v>87</v>
      </c>
      <c r="E970" s="16" t="str">
        <f>IFERROR(__xludf.DUMMYFUNCTION("""COMPUTED_VALUE"""),"")</f>
        <v/>
      </c>
      <c r="G970" s="18"/>
      <c r="H970" s="16" t="s">
        <v>87</v>
      </c>
      <c r="I970" s="16" t="s">
        <v>87</v>
      </c>
      <c r="J970" s="19"/>
      <c r="L970" s="16" t="str">
        <f>IFERROR(__xludf.DUMMYFUNCTION("""COMPUTED_VALUE"""),"")</f>
        <v/>
      </c>
      <c r="M970" s="16" t="str">
        <f>IFERROR(__xludf.DUMMYFUNCTION("""COMPUTED_VALUE"""),"")</f>
        <v/>
      </c>
      <c r="U970" s="16" t="s">
        <v>87</v>
      </c>
      <c r="V970" s="16" t="str">
        <f>IFERROR(__xludf.DUMMYFUNCTION("""COMPUTED_VALUE"""),"")</f>
        <v/>
      </c>
      <c r="W970" s="16" t="str">
        <f>IFERROR(__xludf.DUMMYFUNCTION("""COMPUTED_VALUE"""),"")</f>
        <v/>
      </c>
      <c r="X970" s="16" t="str">
        <f>IFERROR(__xludf.DUMMYFUNCTION("""COMPUTED_VALUE"""),"")</f>
        <v/>
      </c>
      <c r="AC970" s="16" t="str">
        <f>IFERROR(__xludf.DUMMYFUNCTION("""COMPUTED_VALUE"""),"")</f>
        <v/>
      </c>
    </row>
    <row r="971">
      <c r="A971" s="16" t="s">
        <v>87</v>
      </c>
      <c r="E971" s="16" t="str">
        <f>IFERROR(__xludf.DUMMYFUNCTION("""COMPUTED_VALUE"""),"")</f>
        <v/>
      </c>
      <c r="G971" s="18"/>
      <c r="H971" s="16" t="s">
        <v>87</v>
      </c>
      <c r="I971" s="16" t="s">
        <v>87</v>
      </c>
      <c r="J971" s="19"/>
      <c r="L971" s="16" t="str">
        <f>IFERROR(__xludf.DUMMYFUNCTION("""COMPUTED_VALUE"""),"")</f>
        <v/>
      </c>
      <c r="M971" s="16" t="str">
        <f>IFERROR(__xludf.DUMMYFUNCTION("""COMPUTED_VALUE"""),"")</f>
        <v/>
      </c>
      <c r="U971" s="16" t="s">
        <v>87</v>
      </c>
      <c r="V971" s="16" t="str">
        <f>IFERROR(__xludf.DUMMYFUNCTION("""COMPUTED_VALUE"""),"")</f>
        <v/>
      </c>
      <c r="W971" s="16" t="str">
        <f>IFERROR(__xludf.DUMMYFUNCTION("""COMPUTED_VALUE"""),"")</f>
        <v/>
      </c>
      <c r="X971" s="16" t="str">
        <f>IFERROR(__xludf.DUMMYFUNCTION("""COMPUTED_VALUE"""),"")</f>
        <v/>
      </c>
      <c r="AC971" s="16" t="str">
        <f>IFERROR(__xludf.DUMMYFUNCTION("""COMPUTED_VALUE"""),"")</f>
        <v/>
      </c>
    </row>
    <row r="972">
      <c r="A972" s="16" t="s">
        <v>87</v>
      </c>
      <c r="E972" s="16" t="str">
        <f>IFERROR(__xludf.DUMMYFUNCTION("""COMPUTED_VALUE"""),"")</f>
        <v/>
      </c>
      <c r="G972" s="18"/>
      <c r="H972" s="16" t="s">
        <v>87</v>
      </c>
      <c r="I972" s="16" t="s">
        <v>87</v>
      </c>
      <c r="J972" s="19"/>
      <c r="L972" s="16" t="str">
        <f>IFERROR(__xludf.DUMMYFUNCTION("""COMPUTED_VALUE"""),"")</f>
        <v/>
      </c>
      <c r="M972" s="16" t="str">
        <f>IFERROR(__xludf.DUMMYFUNCTION("""COMPUTED_VALUE"""),"")</f>
        <v/>
      </c>
      <c r="U972" s="16" t="s">
        <v>87</v>
      </c>
      <c r="V972" s="16" t="str">
        <f>IFERROR(__xludf.DUMMYFUNCTION("""COMPUTED_VALUE"""),"")</f>
        <v/>
      </c>
      <c r="W972" s="16" t="str">
        <f>IFERROR(__xludf.DUMMYFUNCTION("""COMPUTED_VALUE"""),"")</f>
        <v/>
      </c>
      <c r="X972" s="16" t="str">
        <f>IFERROR(__xludf.DUMMYFUNCTION("""COMPUTED_VALUE"""),"")</f>
        <v/>
      </c>
      <c r="AC972" s="16" t="str">
        <f>IFERROR(__xludf.DUMMYFUNCTION("""COMPUTED_VALUE"""),"")</f>
        <v/>
      </c>
    </row>
    <row r="973">
      <c r="A973" s="16" t="s">
        <v>87</v>
      </c>
      <c r="E973" s="16" t="str">
        <f>IFERROR(__xludf.DUMMYFUNCTION("""COMPUTED_VALUE"""),"")</f>
        <v/>
      </c>
      <c r="G973" s="18"/>
      <c r="H973" s="16" t="s">
        <v>87</v>
      </c>
      <c r="I973" s="16" t="s">
        <v>87</v>
      </c>
      <c r="J973" s="19"/>
      <c r="L973" s="16" t="str">
        <f>IFERROR(__xludf.DUMMYFUNCTION("""COMPUTED_VALUE"""),"")</f>
        <v/>
      </c>
      <c r="M973" s="16" t="str">
        <f>IFERROR(__xludf.DUMMYFUNCTION("""COMPUTED_VALUE"""),"")</f>
        <v/>
      </c>
      <c r="U973" s="16" t="s">
        <v>87</v>
      </c>
      <c r="V973" s="16" t="str">
        <f>IFERROR(__xludf.DUMMYFUNCTION("""COMPUTED_VALUE"""),"")</f>
        <v/>
      </c>
      <c r="W973" s="16" t="str">
        <f>IFERROR(__xludf.DUMMYFUNCTION("""COMPUTED_VALUE"""),"")</f>
        <v/>
      </c>
      <c r="X973" s="16" t="str">
        <f>IFERROR(__xludf.DUMMYFUNCTION("""COMPUTED_VALUE"""),"")</f>
        <v/>
      </c>
      <c r="AC973" s="16" t="str">
        <f>IFERROR(__xludf.DUMMYFUNCTION("""COMPUTED_VALUE"""),"")</f>
        <v/>
      </c>
    </row>
    <row r="974">
      <c r="A974" s="16" t="s">
        <v>87</v>
      </c>
      <c r="E974" s="16" t="str">
        <f>IFERROR(__xludf.DUMMYFUNCTION("""COMPUTED_VALUE"""),"")</f>
        <v/>
      </c>
      <c r="G974" s="18"/>
      <c r="H974" s="16" t="s">
        <v>87</v>
      </c>
      <c r="I974" s="16" t="s">
        <v>87</v>
      </c>
      <c r="J974" s="19"/>
      <c r="L974" s="16" t="str">
        <f>IFERROR(__xludf.DUMMYFUNCTION("""COMPUTED_VALUE"""),"")</f>
        <v/>
      </c>
      <c r="M974" s="16" t="str">
        <f>IFERROR(__xludf.DUMMYFUNCTION("""COMPUTED_VALUE"""),"")</f>
        <v/>
      </c>
      <c r="U974" s="16" t="s">
        <v>87</v>
      </c>
      <c r="V974" s="16" t="str">
        <f>IFERROR(__xludf.DUMMYFUNCTION("""COMPUTED_VALUE"""),"")</f>
        <v/>
      </c>
      <c r="W974" s="16" t="str">
        <f>IFERROR(__xludf.DUMMYFUNCTION("""COMPUTED_VALUE"""),"")</f>
        <v/>
      </c>
      <c r="X974" s="16" t="str">
        <f>IFERROR(__xludf.DUMMYFUNCTION("""COMPUTED_VALUE"""),"")</f>
        <v/>
      </c>
      <c r="AC974" s="16" t="str">
        <f>IFERROR(__xludf.DUMMYFUNCTION("""COMPUTED_VALUE"""),"")</f>
        <v/>
      </c>
    </row>
    <row r="975">
      <c r="A975" s="16" t="s">
        <v>87</v>
      </c>
      <c r="E975" s="16" t="str">
        <f>IFERROR(__xludf.DUMMYFUNCTION("""COMPUTED_VALUE"""),"")</f>
        <v/>
      </c>
      <c r="G975" s="18"/>
      <c r="H975" s="16" t="s">
        <v>87</v>
      </c>
      <c r="I975" s="16" t="s">
        <v>87</v>
      </c>
      <c r="J975" s="19"/>
      <c r="L975" s="16" t="str">
        <f>IFERROR(__xludf.DUMMYFUNCTION("""COMPUTED_VALUE"""),"")</f>
        <v/>
      </c>
      <c r="M975" s="16" t="str">
        <f>IFERROR(__xludf.DUMMYFUNCTION("""COMPUTED_VALUE"""),"")</f>
        <v/>
      </c>
      <c r="U975" s="16" t="s">
        <v>87</v>
      </c>
      <c r="V975" s="16" t="str">
        <f>IFERROR(__xludf.DUMMYFUNCTION("""COMPUTED_VALUE"""),"")</f>
        <v/>
      </c>
      <c r="W975" s="16" t="str">
        <f>IFERROR(__xludf.DUMMYFUNCTION("""COMPUTED_VALUE"""),"")</f>
        <v/>
      </c>
      <c r="X975" s="16" t="str">
        <f>IFERROR(__xludf.DUMMYFUNCTION("""COMPUTED_VALUE"""),"")</f>
        <v/>
      </c>
      <c r="AC975" s="16" t="str">
        <f>IFERROR(__xludf.DUMMYFUNCTION("""COMPUTED_VALUE"""),"")</f>
        <v/>
      </c>
    </row>
    <row r="976">
      <c r="A976" s="16" t="s">
        <v>87</v>
      </c>
      <c r="E976" s="16" t="str">
        <f>IFERROR(__xludf.DUMMYFUNCTION("""COMPUTED_VALUE"""),"")</f>
        <v/>
      </c>
      <c r="G976" s="18"/>
      <c r="H976" s="16" t="s">
        <v>87</v>
      </c>
      <c r="I976" s="16" t="s">
        <v>87</v>
      </c>
      <c r="J976" s="19"/>
      <c r="L976" s="16" t="str">
        <f>IFERROR(__xludf.DUMMYFUNCTION("""COMPUTED_VALUE"""),"")</f>
        <v/>
      </c>
      <c r="M976" s="16" t="str">
        <f>IFERROR(__xludf.DUMMYFUNCTION("""COMPUTED_VALUE"""),"")</f>
        <v/>
      </c>
      <c r="U976" s="16" t="s">
        <v>87</v>
      </c>
      <c r="V976" s="16" t="str">
        <f>IFERROR(__xludf.DUMMYFUNCTION("""COMPUTED_VALUE"""),"")</f>
        <v/>
      </c>
      <c r="W976" s="16" t="str">
        <f>IFERROR(__xludf.DUMMYFUNCTION("""COMPUTED_VALUE"""),"")</f>
        <v/>
      </c>
      <c r="X976" s="16" t="str">
        <f>IFERROR(__xludf.DUMMYFUNCTION("""COMPUTED_VALUE"""),"")</f>
        <v/>
      </c>
      <c r="AC976" s="16" t="str">
        <f>IFERROR(__xludf.DUMMYFUNCTION("""COMPUTED_VALUE"""),"")</f>
        <v/>
      </c>
    </row>
    <row r="977">
      <c r="A977" s="16" t="s">
        <v>87</v>
      </c>
      <c r="E977" s="16" t="str">
        <f>IFERROR(__xludf.DUMMYFUNCTION("""COMPUTED_VALUE"""),"")</f>
        <v/>
      </c>
      <c r="G977" s="18"/>
      <c r="H977" s="16" t="s">
        <v>87</v>
      </c>
      <c r="I977" s="16" t="s">
        <v>87</v>
      </c>
      <c r="J977" s="19"/>
      <c r="L977" s="16" t="str">
        <f>IFERROR(__xludf.DUMMYFUNCTION("""COMPUTED_VALUE"""),"")</f>
        <v/>
      </c>
      <c r="M977" s="16" t="str">
        <f>IFERROR(__xludf.DUMMYFUNCTION("""COMPUTED_VALUE"""),"")</f>
        <v/>
      </c>
      <c r="U977" s="16" t="s">
        <v>87</v>
      </c>
      <c r="V977" s="16" t="str">
        <f>IFERROR(__xludf.DUMMYFUNCTION("""COMPUTED_VALUE"""),"")</f>
        <v/>
      </c>
      <c r="W977" s="16" t="str">
        <f>IFERROR(__xludf.DUMMYFUNCTION("""COMPUTED_VALUE"""),"")</f>
        <v/>
      </c>
      <c r="X977" s="16" t="str">
        <f>IFERROR(__xludf.DUMMYFUNCTION("""COMPUTED_VALUE"""),"")</f>
        <v/>
      </c>
      <c r="AC977" s="16" t="str">
        <f>IFERROR(__xludf.DUMMYFUNCTION("""COMPUTED_VALUE"""),"")</f>
        <v/>
      </c>
    </row>
    <row r="978">
      <c r="A978" s="16" t="s">
        <v>87</v>
      </c>
      <c r="E978" s="16" t="str">
        <f>IFERROR(__xludf.DUMMYFUNCTION("""COMPUTED_VALUE"""),"")</f>
        <v/>
      </c>
      <c r="G978" s="18"/>
      <c r="H978" s="16" t="s">
        <v>87</v>
      </c>
      <c r="I978" s="16" t="s">
        <v>87</v>
      </c>
      <c r="J978" s="19"/>
      <c r="L978" s="16" t="str">
        <f>IFERROR(__xludf.DUMMYFUNCTION("""COMPUTED_VALUE"""),"")</f>
        <v/>
      </c>
      <c r="M978" s="16" t="str">
        <f>IFERROR(__xludf.DUMMYFUNCTION("""COMPUTED_VALUE"""),"")</f>
        <v/>
      </c>
      <c r="U978" s="16" t="s">
        <v>87</v>
      </c>
      <c r="V978" s="16" t="str">
        <f>IFERROR(__xludf.DUMMYFUNCTION("""COMPUTED_VALUE"""),"")</f>
        <v/>
      </c>
      <c r="W978" s="16" t="str">
        <f>IFERROR(__xludf.DUMMYFUNCTION("""COMPUTED_VALUE"""),"")</f>
        <v/>
      </c>
      <c r="X978" s="16" t="str">
        <f>IFERROR(__xludf.DUMMYFUNCTION("""COMPUTED_VALUE"""),"")</f>
        <v/>
      </c>
      <c r="AC978" s="16" t="str">
        <f>IFERROR(__xludf.DUMMYFUNCTION("""COMPUTED_VALUE"""),"")</f>
        <v/>
      </c>
    </row>
    <row r="979">
      <c r="A979" s="16" t="s">
        <v>87</v>
      </c>
      <c r="E979" s="16" t="str">
        <f>IFERROR(__xludf.DUMMYFUNCTION("""COMPUTED_VALUE"""),"")</f>
        <v/>
      </c>
      <c r="G979" s="18"/>
      <c r="H979" s="16" t="s">
        <v>87</v>
      </c>
      <c r="I979" s="16" t="s">
        <v>87</v>
      </c>
      <c r="J979" s="19"/>
      <c r="L979" s="16" t="str">
        <f>IFERROR(__xludf.DUMMYFUNCTION("""COMPUTED_VALUE"""),"")</f>
        <v/>
      </c>
      <c r="M979" s="16" t="str">
        <f>IFERROR(__xludf.DUMMYFUNCTION("""COMPUTED_VALUE"""),"")</f>
        <v/>
      </c>
      <c r="U979" s="16" t="s">
        <v>87</v>
      </c>
      <c r="V979" s="16" t="str">
        <f>IFERROR(__xludf.DUMMYFUNCTION("""COMPUTED_VALUE"""),"")</f>
        <v/>
      </c>
      <c r="W979" s="16" t="str">
        <f>IFERROR(__xludf.DUMMYFUNCTION("""COMPUTED_VALUE"""),"")</f>
        <v/>
      </c>
      <c r="X979" s="16" t="str">
        <f>IFERROR(__xludf.DUMMYFUNCTION("""COMPUTED_VALUE"""),"")</f>
        <v/>
      </c>
      <c r="AC979" s="16" t="str">
        <f>IFERROR(__xludf.DUMMYFUNCTION("""COMPUTED_VALUE"""),"")</f>
        <v/>
      </c>
    </row>
    <row r="980">
      <c r="A980" s="16" t="s">
        <v>87</v>
      </c>
      <c r="E980" s="16" t="str">
        <f>IFERROR(__xludf.DUMMYFUNCTION("""COMPUTED_VALUE"""),"")</f>
        <v/>
      </c>
      <c r="G980" s="18"/>
      <c r="H980" s="16" t="s">
        <v>87</v>
      </c>
      <c r="I980" s="16" t="s">
        <v>87</v>
      </c>
      <c r="J980" s="19"/>
      <c r="L980" s="16" t="str">
        <f>IFERROR(__xludf.DUMMYFUNCTION("""COMPUTED_VALUE"""),"")</f>
        <v/>
      </c>
      <c r="M980" s="16" t="str">
        <f>IFERROR(__xludf.DUMMYFUNCTION("""COMPUTED_VALUE"""),"")</f>
        <v/>
      </c>
      <c r="U980" s="16" t="s">
        <v>87</v>
      </c>
      <c r="V980" s="16" t="str">
        <f>IFERROR(__xludf.DUMMYFUNCTION("""COMPUTED_VALUE"""),"")</f>
        <v/>
      </c>
      <c r="W980" s="16" t="str">
        <f>IFERROR(__xludf.DUMMYFUNCTION("""COMPUTED_VALUE"""),"")</f>
        <v/>
      </c>
      <c r="X980" s="16" t="str">
        <f>IFERROR(__xludf.DUMMYFUNCTION("""COMPUTED_VALUE"""),"")</f>
        <v/>
      </c>
      <c r="AC980" s="16" t="str">
        <f>IFERROR(__xludf.DUMMYFUNCTION("""COMPUTED_VALUE"""),"")</f>
        <v/>
      </c>
    </row>
    <row r="981">
      <c r="A981" s="16" t="s">
        <v>87</v>
      </c>
      <c r="E981" s="16" t="str">
        <f>IFERROR(__xludf.DUMMYFUNCTION("""COMPUTED_VALUE"""),"")</f>
        <v/>
      </c>
      <c r="G981" s="18"/>
      <c r="H981" s="16" t="s">
        <v>87</v>
      </c>
      <c r="I981" s="16" t="s">
        <v>87</v>
      </c>
      <c r="J981" s="19"/>
      <c r="L981" s="16" t="str">
        <f>IFERROR(__xludf.DUMMYFUNCTION("""COMPUTED_VALUE"""),"")</f>
        <v/>
      </c>
      <c r="M981" s="16" t="str">
        <f>IFERROR(__xludf.DUMMYFUNCTION("""COMPUTED_VALUE"""),"")</f>
        <v/>
      </c>
      <c r="U981" s="16" t="s">
        <v>87</v>
      </c>
      <c r="V981" s="16" t="str">
        <f>IFERROR(__xludf.DUMMYFUNCTION("""COMPUTED_VALUE"""),"")</f>
        <v/>
      </c>
      <c r="W981" s="16" t="str">
        <f>IFERROR(__xludf.DUMMYFUNCTION("""COMPUTED_VALUE"""),"")</f>
        <v/>
      </c>
      <c r="X981" s="16" t="str">
        <f>IFERROR(__xludf.DUMMYFUNCTION("""COMPUTED_VALUE"""),"")</f>
        <v/>
      </c>
      <c r="AC981" s="16" t="str">
        <f>IFERROR(__xludf.DUMMYFUNCTION("""COMPUTED_VALUE"""),"")</f>
        <v/>
      </c>
    </row>
    <row r="982">
      <c r="A982" s="16" t="s">
        <v>87</v>
      </c>
      <c r="E982" s="16" t="str">
        <f>IFERROR(__xludf.DUMMYFUNCTION("""COMPUTED_VALUE"""),"")</f>
        <v/>
      </c>
      <c r="G982" s="18"/>
      <c r="H982" s="16" t="s">
        <v>87</v>
      </c>
      <c r="I982" s="16" t="s">
        <v>87</v>
      </c>
      <c r="J982" s="19"/>
      <c r="L982" s="16" t="str">
        <f>IFERROR(__xludf.DUMMYFUNCTION("""COMPUTED_VALUE"""),"")</f>
        <v/>
      </c>
      <c r="M982" s="16" t="str">
        <f>IFERROR(__xludf.DUMMYFUNCTION("""COMPUTED_VALUE"""),"")</f>
        <v/>
      </c>
      <c r="U982" s="16" t="s">
        <v>87</v>
      </c>
      <c r="V982" s="16" t="str">
        <f>IFERROR(__xludf.DUMMYFUNCTION("""COMPUTED_VALUE"""),"")</f>
        <v/>
      </c>
      <c r="W982" s="16" t="str">
        <f>IFERROR(__xludf.DUMMYFUNCTION("""COMPUTED_VALUE"""),"")</f>
        <v/>
      </c>
      <c r="X982" s="16" t="str">
        <f>IFERROR(__xludf.DUMMYFUNCTION("""COMPUTED_VALUE"""),"")</f>
        <v/>
      </c>
      <c r="AC982" s="16" t="str">
        <f>IFERROR(__xludf.DUMMYFUNCTION("""COMPUTED_VALUE"""),"")</f>
        <v/>
      </c>
    </row>
    <row r="983">
      <c r="A983" s="16" t="s">
        <v>87</v>
      </c>
      <c r="E983" s="16" t="str">
        <f>IFERROR(__xludf.DUMMYFUNCTION("""COMPUTED_VALUE"""),"")</f>
        <v/>
      </c>
      <c r="G983" s="18"/>
      <c r="H983" s="16" t="s">
        <v>87</v>
      </c>
      <c r="I983" s="16" t="s">
        <v>87</v>
      </c>
      <c r="J983" s="19"/>
      <c r="L983" s="16" t="str">
        <f>IFERROR(__xludf.DUMMYFUNCTION("""COMPUTED_VALUE"""),"")</f>
        <v/>
      </c>
      <c r="M983" s="16" t="str">
        <f>IFERROR(__xludf.DUMMYFUNCTION("""COMPUTED_VALUE"""),"")</f>
        <v/>
      </c>
      <c r="U983" s="16" t="s">
        <v>87</v>
      </c>
      <c r="V983" s="16" t="str">
        <f>IFERROR(__xludf.DUMMYFUNCTION("""COMPUTED_VALUE"""),"")</f>
        <v/>
      </c>
      <c r="W983" s="16" t="str">
        <f>IFERROR(__xludf.DUMMYFUNCTION("""COMPUTED_VALUE"""),"")</f>
        <v/>
      </c>
      <c r="X983" s="16" t="str">
        <f>IFERROR(__xludf.DUMMYFUNCTION("""COMPUTED_VALUE"""),"")</f>
        <v/>
      </c>
      <c r="AC983" s="16" t="str">
        <f>IFERROR(__xludf.DUMMYFUNCTION("""COMPUTED_VALUE"""),"")</f>
        <v/>
      </c>
    </row>
    <row r="984">
      <c r="A984" s="16" t="s">
        <v>87</v>
      </c>
      <c r="E984" s="16" t="str">
        <f>IFERROR(__xludf.DUMMYFUNCTION("""COMPUTED_VALUE"""),"")</f>
        <v/>
      </c>
      <c r="G984" s="18"/>
      <c r="H984" s="16" t="s">
        <v>87</v>
      </c>
      <c r="I984" s="16" t="s">
        <v>87</v>
      </c>
      <c r="J984" s="19"/>
      <c r="L984" s="16" t="str">
        <f>IFERROR(__xludf.DUMMYFUNCTION("""COMPUTED_VALUE"""),"")</f>
        <v/>
      </c>
      <c r="M984" s="16" t="str">
        <f>IFERROR(__xludf.DUMMYFUNCTION("""COMPUTED_VALUE"""),"")</f>
        <v/>
      </c>
      <c r="U984" s="16" t="s">
        <v>87</v>
      </c>
      <c r="V984" s="16" t="str">
        <f>IFERROR(__xludf.DUMMYFUNCTION("""COMPUTED_VALUE"""),"")</f>
        <v/>
      </c>
      <c r="W984" s="16" t="str">
        <f>IFERROR(__xludf.DUMMYFUNCTION("""COMPUTED_VALUE"""),"")</f>
        <v/>
      </c>
      <c r="X984" s="16" t="str">
        <f>IFERROR(__xludf.DUMMYFUNCTION("""COMPUTED_VALUE"""),"")</f>
        <v/>
      </c>
      <c r="AC984" s="16" t="str">
        <f>IFERROR(__xludf.DUMMYFUNCTION("""COMPUTED_VALUE"""),"")</f>
        <v/>
      </c>
    </row>
    <row r="985">
      <c r="A985" s="16" t="s">
        <v>87</v>
      </c>
      <c r="E985" s="16" t="str">
        <f>IFERROR(__xludf.DUMMYFUNCTION("""COMPUTED_VALUE"""),"")</f>
        <v/>
      </c>
      <c r="G985" s="18"/>
      <c r="H985" s="16" t="s">
        <v>87</v>
      </c>
      <c r="I985" s="16" t="s">
        <v>87</v>
      </c>
      <c r="J985" s="19"/>
      <c r="L985" s="16" t="str">
        <f>IFERROR(__xludf.DUMMYFUNCTION("""COMPUTED_VALUE"""),"")</f>
        <v/>
      </c>
      <c r="M985" s="16" t="str">
        <f>IFERROR(__xludf.DUMMYFUNCTION("""COMPUTED_VALUE"""),"")</f>
        <v/>
      </c>
      <c r="U985" s="16" t="s">
        <v>87</v>
      </c>
      <c r="V985" s="16" t="str">
        <f>IFERROR(__xludf.DUMMYFUNCTION("""COMPUTED_VALUE"""),"")</f>
        <v/>
      </c>
      <c r="W985" s="16" t="str">
        <f>IFERROR(__xludf.DUMMYFUNCTION("""COMPUTED_VALUE"""),"")</f>
        <v/>
      </c>
      <c r="X985" s="16" t="str">
        <f>IFERROR(__xludf.DUMMYFUNCTION("""COMPUTED_VALUE"""),"")</f>
        <v/>
      </c>
      <c r="AC985" s="16" t="str">
        <f>IFERROR(__xludf.DUMMYFUNCTION("""COMPUTED_VALUE"""),"")</f>
        <v/>
      </c>
    </row>
    <row r="986">
      <c r="A986" s="16" t="s">
        <v>87</v>
      </c>
      <c r="E986" s="16" t="str">
        <f>IFERROR(__xludf.DUMMYFUNCTION("""COMPUTED_VALUE"""),"")</f>
        <v/>
      </c>
      <c r="G986" s="18"/>
      <c r="H986" s="16" t="s">
        <v>87</v>
      </c>
      <c r="I986" s="16" t="s">
        <v>87</v>
      </c>
      <c r="J986" s="19"/>
      <c r="L986" s="16" t="str">
        <f>IFERROR(__xludf.DUMMYFUNCTION("""COMPUTED_VALUE"""),"")</f>
        <v/>
      </c>
      <c r="M986" s="16" t="str">
        <f>IFERROR(__xludf.DUMMYFUNCTION("""COMPUTED_VALUE"""),"")</f>
        <v/>
      </c>
      <c r="U986" s="16" t="s">
        <v>87</v>
      </c>
      <c r="V986" s="16" t="str">
        <f>IFERROR(__xludf.DUMMYFUNCTION("""COMPUTED_VALUE"""),"")</f>
        <v/>
      </c>
      <c r="W986" s="16" t="str">
        <f>IFERROR(__xludf.DUMMYFUNCTION("""COMPUTED_VALUE"""),"")</f>
        <v/>
      </c>
      <c r="X986" s="16" t="str">
        <f>IFERROR(__xludf.DUMMYFUNCTION("""COMPUTED_VALUE"""),"")</f>
        <v/>
      </c>
      <c r="AC986" s="16" t="str">
        <f>IFERROR(__xludf.DUMMYFUNCTION("""COMPUTED_VALUE"""),"")</f>
        <v/>
      </c>
    </row>
    <row r="987">
      <c r="A987" s="16" t="s">
        <v>87</v>
      </c>
      <c r="E987" s="16" t="str">
        <f>IFERROR(__xludf.DUMMYFUNCTION("""COMPUTED_VALUE"""),"")</f>
        <v/>
      </c>
      <c r="G987" s="18"/>
      <c r="H987" s="16" t="s">
        <v>87</v>
      </c>
      <c r="I987" s="16" t="s">
        <v>87</v>
      </c>
      <c r="J987" s="19"/>
      <c r="L987" s="16" t="str">
        <f>IFERROR(__xludf.DUMMYFUNCTION("""COMPUTED_VALUE"""),"")</f>
        <v/>
      </c>
      <c r="M987" s="16" t="str">
        <f>IFERROR(__xludf.DUMMYFUNCTION("""COMPUTED_VALUE"""),"")</f>
        <v/>
      </c>
      <c r="U987" s="16" t="s">
        <v>87</v>
      </c>
      <c r="V987" s="16" t="str">
        <f>IFERROR(__xludf.DUMMYFUNCTION("""COMPUTED_VALUE"""),"")</f>
        <v/>
      </c>
      <c r="W987" s="16" t="str">
        <f>IFERROR(__xludf.DUMMYFUNCTION("""COMPUTED_VALUE"""),"")</f>
        <v/>
      </c>
      <c r="X987" s="16" t="str">
        <f>IFERROR(__xludf.DUMMYFUNCTION("""COMPUTED_VALUE"""),"")</f>
        <v/>
      </c>
      <c r="AC987" s="16" t="str">
        <f>IFERROR(__xludf.DUMMYFUNCTION("""COMPUTED_VALUE"""),"")</f>
        <v/>
      </c>
    </row>
    <row r="988">
      <c r="A988" s="16" t="s">
        <v>87</v>
      </c>
      <c r="E988" s="16" t="str">
        <f>IFERROR(__xludf.DUMMYFUNCTION("""COMPUTED_VALUE"""),"")</f>
        <v/>
      </c>
      <c r="G988" s="18"/>
      <c r="H988" s="16" t="s">
        <v>87</v>
      </c>
      <c r="I988" s="16" t="s">
        <v>87</v>
      </c>
      <c r="J988" s="19"/>
      <c r="L988" s="16" t="str">
        <f>IFERROR(__xludf.DUMMYFUNCTION("""COMPUTED_VALUE"""),"")</f>
        <v/>
      </c>
      <c r="M988" s="16" t="str">
        <f>IFERROR(__xludf.DUMMYFUNCTION("""COMPUTED_VALUE"""),"")</f>
        <v/>
      </c>
      <c r="U988" s="16" t="s">
        <v>87</v>
      </c>
      <c r="V988" s="16" t="str">
        <f>IFERROR(__xludf.DUMMYFUNCTION("""COMPUTED_VALUE"""),"")</f>
        <v/>
      </c>
      <c r="W988" s="16" t="str">
        <f>IFERROR(__xludf.DUMMYFUNCTION("""COMPUTED_VALUE"""),"")</f>
        <v/>
      </c>
      <c r="X988" s="16" t="str">
        <f>IFERROR(__xludf.DUMMYFUNCTION("""COMPUTED_VALUE"""),"")</f>
        <v/>
      </c>
      <c r="AC988" s="16" t="str">
        <f>IFERROR(__xludf.DUMMYFUNCTION("""COMPUTED_VALUE"""),"")</f>
        <v/>
      </c>
    </row>
    <row r="989">
      <c r="A989" s="16" t="s">
        <v>87</v>
      </c>
      <c r="E989" s="16" t="str">
        <f>IFERROR(__xludf.DUMMYFUNCTION("""COMPUTED_VALUE"""),"")</f>
        <v/>
      </c>
      <c r="G989" s="18"/>
      <c r="H989" s="16" t="s">
        <v>87</v>
      </c>
      <c r="I989" s="16" t="s">
        <v>87</v>
      </c>
      <c r="J989" s="19"/>
      <c r="L989" s="16" t="str">
        <f>IFERROR(__xludf.DUMMYFUNCTION("""COMPUTED_VALUE"""),"")</f>
        <v/>
      </c>
      <c r="M989" s="16" t="str">
        <f>IFERROR(__xludf.DUMMYFUNCTION("""COMPUTED_VALUE"""),"")</f>
        <v/>
      </c>
      <c r="U989" s="16" t="s">
        <v>87</v>
      </c>
      <c r="V989" s="16" t="str">
        <f>IFERROR(__xludf.DUMMYFUNCTION("""COMPUTED_VALUE"""),"")</f>
        <v/>
      </c>
      <c r="W989" s="16" t="str">
        <f>IFERROR(__xludf.DUMMYFUNCTION("""COMPUTED_VALUE"""),"")</f>
        <v/>
      </c>
      <c r="X989" s="16" t="str">
        <f>IFERROR(__xludf.DUMMYFUNCTION("""COMPUTED_VALUE"""),"")</f>
        <v/>
      </c>
      <c r="AC989" s="16" t="str">
        <f>IFERROR(__xludf.DUMMYFUNCTION("""COMPUTED_VALUE"""),"")</f>
        <v/>
      </c>
    </row>
    <row r="990">
      <c r="A990" s="16" t="s">
        <v>87</v>
      </c>
      <c r="E990" s="16" t="str">
        <f>IFERROR(__xludf.DUMMYFUNCTION("""COMPUTED_VALUE"""),"")</f>
        <v/>
      </c>
      <c r="G990" s="18"/>
      <c r="H990" s="16" t="s">
        <v>87</v>
      </c>
      <c r="I990" s="16" t="s">
        <v>87</v>
      </c>
      <c r="J990" s="19"/>
      <c r="L990" s="16" t="str">
        <f>IFERROR(__xludf.DUMMYFUNCTION("""COMPUTED_VALUE"""),"")</f>
        <v/>
      </c>
      <c r="M990" s="16" t="str">
        <f>IFERROR(__xludf.DUMMYFUNCTION("""COMPUTED_VALUE"""),"")</f>
        <v/>
      </c>
      <c r="U990" s="16" t="s">
        <v>87</v>
      </c>
      <c r="V990" s="16" t="str">
        <f>IFERROR(__xludf.DUMMYFUNCTION("""COMPUTED_VALUE"""),"")</f>
        <v/>
      </c>
      <c r="W990" s="16" t="str">
        <f>IFERROR(__xludf.DUMMYFUNCTION("""COMPUTED_VALUE"""),"")</f>
        <v/>
      </c>
      <c r="X990" s="16" t="str">
        <f>IFERROR(__xludf.DUMMYFUNCTION("""COMPUTED_VALUE"""),"")</f>
        <v/>
      </c>
      <c r="AC990" s="16" t="str">
        <f>IFERROR(__xludf.DUMMYFUNCTION("""COMPUTED_VALUE"""),"")</f>
        <v/>
      </c>
    </row>
    <row r="991">
      <c r="A991" s="16" t="s">
        <v>87</v>
      </c>
      <c r="E991" s="16" t="str">
        <f>IFERROR(__xludf.DUMMYFUNCTION("""COMPUTED_VALUE"""),"")</f>
        <v/>
      </c>
      <c r="G991" s="18"/>
      <c r="H991" s="16" t="s">
        <v>87</v>
      </c>
      <c r="I991" s="16" t="s">
        <v>87</v>
      </c>
      <c r="J991" s="19"/>
      <c r="L991" s="16" t="str">
        <f>IFERROR(__xludf.DUMMYFUNCTION("""COMPUTED_VALUE"""),"")</f>
        <v/>
      </c>
      <c r="M991" s="16" t="str">
        <f>IFERROR(__xludf.DUMMYFUNCTION("""COMPUTED_VALUE"""),"")</f>
        <v/>
      </c>
      <c r="U991" s="16" t="s">
        <v>87</v>
      </c>
      <c r="V991" s="16" t="str">
        <f>IFERROR(__xludf.DUMMYFUNCTION("""COMPUTED_VALUE"""),"")</f>
        <v/>
      </c>
      <c r="W991" s="16" t="str">
        <f>IFERROR(__xludf.DUMMYFUNCTION("""COMPUTED_VALUE"""),"")</f>
        <v/>
      </c>
      <c r="X991" s="16" t="str">
        <f>IFERROR(__xludf.DUMMYFUNCTION("""COMPUTED_VALUE"""),"")</f>
        <v/>
      </c>
      <c r="AC991" s="16" t="str">
        <f>IFERROR(__xludf.DUMMYFUNCTION("""COMPUTED_VALUE"""),"")</f>
        <v/>
      </c>
    </row>
    <row r="992">
      <c r="A992" s="16" t="s">
        <v>87</v>
      </c>
      <c r="E992" s="16" t="str">
        <f>IFERROR(__xludf.DUMMYFUNCTION("""COMPUTED_VALUE"""),"")</f>
        <v/>
      </c>
      <c r="G992" s="18"/>
      <c r="H992" s="16" t="s">
        <v>87</v>
      </c>
      <c r="I992" s="16" t="s">
        <v>87</v>
      </c>
      <c r="J992" s="19"/>
      <c r="L992" s="16" t="str">
        <f>IFERROR(__xludf.DUMMYFUNCTION("""COMPUTED_VALUE"""),"")</f>
        <v/>
      </c>
      <c r="M992" s="16" t="str">
        <f>IFERROR(__xludf.DUMMYFUNCTION("""COMPUTED_VALUE"""),"")</f>
        <v/>
      </c>
      <c r="U992" s="16" t="s">
        <v>87</v>
      </c>
      <c r="V992" s="16" t="str">
        <f>IFERROR(__xludf.DUMMYFUNCTION("""COMPUTED_VALUE"""),"")</f>
        <v/>
      </c>
      <c r="W992" s="16" t="str">
        <f>IFERROR(__xludf.DUMMYFUNCTION("""COMPUTED_VALUE"""),"")</f>
        <v/>
      </c>
      <c r="X992" s="16" t="str">
        <f>IFERROR(__xludf.DUMMYFUNCTION("""COMPUTED_VALUE"""),"")</f>
        <v/>
      </c>
      <c r="AC992" s="16" t="str">
        <f>IFERROR(__xludf.DUMMYFUNCTION("""COMPUTED_VALUE"""),"")</f>
        <v/>
      </c>
    </row>
    <row r="993">
      <c r="A993" s="16" t="s">
        <v>87</v>
      </c>
      <c r="E993" s="16" t="str">
        <f>IFERROR(__xludf.DUMMYFUNCTION("""COMPUTED_VALUE"""),"")</f>
        <v/>
      </c>
      <c r="G993" s="18"/>
      <c r="H993" s="16" t="s">
        <v>87</v>
      </c>
      <c r="I993" s="16" t="s">
        <v>87</v>
      </c>
      <c r="J993" s="19"/>
      <c r="L993" s="16" t="str">
        <f>IFERROR(__xludf.DUMMYFUNCTION("""COMPUTED_VALUE"""),"")</f>
        <v/>
      </c>
      <c r="M993" s="16" t="str">
        <f>IFERROR(__xludf.DUMMYFUNCTION("""COMPUTED_VALUE"""),"")</f>
        <v/>
      </c>
      <c r="U993" s="16" t="s">
        <v>87</v>
      </c>
      <c r="V993" s="16" t="str">
        <f>IFERROR(__xludf.DUMMYFUNCTION("""COMPUTED_VALUE"""),"")</f>
        <v/>
      </c>
      <c r="W993" s="16" t="str">
        <f>IFERROR(__xludf.DUMMYFUNCTION("""COMPUTED_VALUE"""),"")</f>
        <v/>
      </c>
      <c r="X993" s="16" t="str">
        <f>IFERROR(__xludf.DUMMYFUNCTION("""COMPUTED_VALUE"""),"")</f>
        <v/>
      </c>
      <c r="AC993" s="16" t="str">
        <f>IFERROR(__xludf.DUMMYFUNCTION("""COMPUTED_VALUE"""),"")</f>
        <v/>
      </c>
    </row>
    <row r="994">
      <c r="A994" s="16" t="s">
        <v>87</v>
      </c>
      <c r="E994" s="16" t="str">
        <f>IFERROR(__xludf.DUMMYFUNCTION("""COMPUTED_VALUE"""),"")</f>
        <v/>
      </c>
      <c r="G994" s="18"/>
      <c r="H994" s="16" t="s">
        <v>87</v>
      </c>
      <c r="I994" s="16" t="s">
        <v>87</v>
      </c>
      <c r="J994" s="19"/>
      <c r="L994" s="16" t="str">
        <f>IFERROR(__xludf.DUMMYFUNCTION("""COMPUTED_VALUE"""),"")</f>
        <v/>
      </c>
      <c r="M994" s="16" t="str">
        <f>IFERROR(__xludf.DUMMYFUNCTION("""COMPUTED_VALUE"""),"")</f>
        <v/>
      </c>
      <c r="U994" s="16" t="s">
        <v>87</v>
      </c>
      <c r="V994" s="16" t="str">
        <f>IFERROR(__xludf.DUMMYFUNCTION("""COMPUTED_VALUE"""),"")</f>
        <v/>
      </c>
      <c r="W994" s="16" t="str">
        <f>IFERROR(__xludf.DUMMYFUNCTION("""COMPUTED_VALUE"""),"")</f>
        <v/>
      </c>
      <c r="X994" s="16" t="str">
        <f>IFERROR(__xludf.DUMMYFUNCTION("""COMPUTED_VALUE"""),"")</f>
        <v/>
      </c>
      <c r="AC994" s="16" t="str">
        <f>IFERROR(__xludf.DUMMYFUNCTION("""COMPUTED_VALUE"""),"")</f>
        <v/>
      </c>
    </row>
    <row r="995">
      <c r="A995" s="16" t="s">
        <v>87</v>
      </c>
      <c r="E995" s="16" t="str">
        <f>IFERROR(__xludf.DUMMYFUNCTION("""COMPUTED_VALUE"""),"")</f>
        <v/>
      </c>
      <c r="G995" s="18"/>
      <c r="H995" s="16" t="s">
        <v>87</v>
      </c>
      <c r="I995" s="16" t="s">
        <v>87</v>
      </c>
      <c r="J995" s="19"/>
      <c r="L995" s="16" t="str">
        <f>IFERROR(__xludf.DUMMYFUNCTION("""COMPUTED_VALUE"""),"")</f>
        <v/>
      </c>
      <c r="M995" s="16" t="str">
        <f>IFERROR(__xludf.DUMMYFUNCTION("""COMPUTED_VALUE"""),"")</f>
        <v/>
      </c>
      <c r="U995" s="16" t="s">
        <v>87</v>
      </c>
      <c r="V995" s="16" t="str">
        <f>IFERROR(__xludf.DUMMYFUNCTION("""COMPUTED_VALUE"""),"")</f>
        <v/>
      </c>
      <c r="W995" s="16" t="str">
        <f>IFERROR(__xludf.DUMMYFUNCTION("""COMPUTED_VALUE"""),"")</f>
        <v/>
      </c>
      <c r="X995" s="16" t="str">
        <f>IFERROR(__xludf.DUMMYFUNCTION("""COMPUTED_VALUE"""),"")</f>
        <v/>
      </c>
      <c r="AC995" s="16" t="str">
        <f>IFERROR(__xludf.DUMMYFUNCTION("""COMPUTED_VALUE"""),"")</f>
        <v/>
      </c>
    </row>
    <row r="996">
      <c r="A996" s="16" t="s">
        <v>87</v>
      </c>
      <c r="E996" s="16" t="str">
        <f>IFERROR(__xludf.DUMMYFUNCTION("""COMPUTED_VALUE"""),"")</f>
        <v/>
      </c>
      <c r="G996" s="18"/>
      <c r="H996" s="16" t="s">
        <v>87</v>
      </c>
      <c r="I996" s="16" t="s">
        <v>87</v>
      </c>
      <c r="J996" s="19"/>
      <c r="L996" s="16" t="str">
        <f>IFERROR(__xludf.DUMMYFUNCTION("""COMPUTED_VALUE"""),"")</f>
        <v/>
      </c>
      <c r="M996" s="16" t="str">
        <f>IFERROR(__xludf.DUMMYFUNCTION("""COMPUTED_VALUE"""),"")</f>
        <v/>
      </c>
      <c r="U996" s="16" t="s">
        <v>87</v>
      </c>
      <c r="V996" s="16" t="str">
        <f>IFERROR(__xludf.DUMMYFUNCTION("""COMPUTED_VALUE"""),"")</f>
        <v/>
      </c>
      <c r="W996" s="16" t="str">
        <f>IFERROR(__xludf.DUMMYFUNCTION("""COMPUTED_VALUE"""),"")</f>
        <v/>
      </c>
      <c r="X996" s="16" t="str">
        <f>IFERROR(__xludf.DUMMYFUNCTION("""COMPUTED_VALUE"""),"")</f>
        <v/>
      </c>
      <c r="AC996" s="16" t="str">
        <f>IFERROR(__xludf.DUMMYFUNCTION("""COMPUTED_VALUE"""),"")</f>
        <v/>
      </c>
    </row>
    <row r="997">
      <c r="A997" s="16" t="s">
        <v>87</v>
      </c>
      <c r="E997" s="16" t="str">
        <f>IFERROR(__xludf.DUMMYFUNCTION("""COMPUTED_VALUE"""),"")</f>
        <v/>
      </c>
      <c r="G997" s="18"/>
      <c r="H997" s="16" t="s">
        <v>87</v>
      </c>
      <c r="I997" s="16" t="s">
        <v>87</v>
      </c>
      <c r="J997" s="19"/>
      <c r="L997" s="16" t="str">
        <f>IFERROR(__xludf.DUMMYFUNCTION("""COMPUTED_VALUE"""),"")</f>
        <v/>
      </c>
      <c r="M997" s="16" t="str">
        <f>IFERROR(__xludf.DUMMYFUNCTION("""COMPUTED_VALUE"""),"")</f>
        <v/>
      </c>
      <c r="U997" s="16" t="s">
        <v>87</v>
      </c>
      <c r="V997" s="16" t="str">
        <f>IFERROR(__xludf.DUMMYFUNCTION("""COMPUTED_VALUE"""),"")</f>
        <v/>
      </c>
      <c r="W997" s="16" t="str">
        <f>IFERROR(__xludf.DUMMYFUNCTION("""COMPUTED_VALUE"""),"")</f>
        <v/>
      </c>
      <c r="X997" s="16" t="str">
        <f>IFERROR(__xludf.DUMMYFUNCTION("""COMPUTED_VALUE"""),"")</f>
        <v/>
      </c>
      <c r="AC997" s="16" t="str">
        <f>IFERROR(__xludf.DUMMYFUNCTION("""COMPUTED_VALUE"""),"")</f>
        <v/>
      </c>
    </row>
    <row r="998">
      <c r="A998" s="16" t="s">
        <v>87</v>
      </c>
      <c r="E998" s="16" t="str">
        <f>IFERROR(__xludf.DUMMYFUNCTION("""COMPUTED_VALUE"""),"")</f>
        <v/>
      </c>
      <c r="G998" s="18"/>
      <c r="H998" s="16" t="s">
        <v>87</v>
      </c>
      <c r="I998" s="16" t="s">
        <v>87</v>
      </c>
      <c r="J998" s="19"/>
      <c r="L998" s="16" t="str">
        <f>IFERROR(__xludf.DUMMYFUNCTION("""COMPUTED_VALUE"""),"")</f>
        <v/>
      </c>
      <c r="M998" s="16" t="str">
        <f>IFERROR(__xludf.DUMMYFUNCTION("""COMPUTED_VALUE"""),"")</f>
        <v/>
      </c>
      <c r="U998" s="16" t="s">
        <v>87</v>
      </c>
      <c r="V998" s="16" t="str">
        <f>IFERROR(__xludf.DUMMYFUNCTION("""COMPUTED_VALUE"""),"")</f>
        <v/>
      </c>
      <c r="W998" s="16" t="str">
        <f>IFERROR(__xludf.DUMMYFUNCTION("""COMPUTED_VALUE"""),"")</f>
        <v/>
      </c>
      <c r="X998" s="16" t="str">
        <f>IFERROR(__xludf.DUMMYFUNCTION("""COMPUTED_VALUE"""),"")</f>
        <v/>
      </c>
      <c r="AC998" s="16" t="str">
        <f>IFERROR(__xludf.DUMMYFUNCTION("""COMPUTED_VALUE"""),"")</f>
        <v/>
      </c>
    </row>
    <row r="999">
      <c r="A999" s="16" t="s">
        <v>87</v>
      </c>
      <c r="E999" s="16" t="str">
        <f>IFERROR(__xludf.DUMMYFUNCTION("""COMPUTED_VALUE"""),"")</f>
        <v/>
      </c>
      <c r="G999" s="18"/>
      <c r="H999" s="16" t="s">
        <v>87</v>
      </c>
      <c r="I999" s="16" t="s">
        <v>87</v>
      </c>
      <c r="J999" s="19"/>
      <c r="L999" s="16" t="str">
        <f>IFERROR(__xludf.DUMMYFUNCTION("""COMPUTED_VALUE"""),"")</f>
        <v/>
      </c>
      <c r="M999" s="16" t="str">
        <f>IFERROR(__xludf.DUMMYFUNCTION("""COMPUTED_VALUE"""),"")</f>
        <v/>
      </c>
      <c r="U999" s="16" t="s">
        <v>87</v>
      </c>
      <c r="V999" s="16" t="str">
        <f>IFERROR(__xludf.DUMMYFUNCTION("""COMPUTED_VALUE"""),"")</f>
        <v/>
      </c>
      <c r="W999" s="16" t="str">
        <f>IFERROR(__xludf.DUMMYFUNCTION("""COMPUTED_VALUE"""),"")</f>
        <v/>
      </c>
      <c r="X999" s="16" t="str">
        <f>IFERROR(__xludf.DUMMYFUNCTION("""COMPUTED_VALUE"""),"")</f>
        <v/>
      </c>
      <c r="AC999" s="16" t="str">
        <f>IFERROR(__xludf.DUMMYFUNCTION("""COMPUTED_VALUE"""),"")</f>
        <v/>
      </c>
    </row>
    <row r="1000">
      <c r="A1000" s="16" t="s">
        <v>87</v>
      </c>
      <c r="E1000" s="16" t="str">
        <f>IFERROR(__xludf.DUMMYFUNCTION("""COMPUTED_VALUE"""),"")</f>
        <v/>
      </c>
      <c r="G1000" s="18"/>
      <c r="H1000" s="16" t="s">
        <v>87</v>
      </c>
      <c r="I1000" s="16" t="s">
        <v>87</v>
      </c>
      <c r="J1000" s="19"/>
      <c r="L1000" s="16" t="str">
        <f>IFERROR(__xludf.DUMMYFUNCTION("""COMPUTED_VALUE"""),"")</f>
        <v/>
      </c>
      <c r="M1000" s="16" t="str">
        <f>IFERROR(__xludf.DUMMYFUNCTION("""COMPUTED_VALUE"""),"")</f>
        <v/>
      </c>
      <c r="U1000" s="16" t="s">
        <v>87</v>
      </c>
      <c r="V1000" s="16" t="str">
        <f>IFERROR(__xludf.DUMMYFUNCTION("""COMPUTED_VALUE"""),"")</f>
        <v/>
      </c>
      <c r="W1000" s="16" t="str">
        <f>IFERROR(__xludf.DUMMYFUNCTION("""COMPUTED_VALUE"""),"")</f>
        <v/>
      </c>
      <c r="X1000" s="16" t="str">
        <f>IFERROR(__xludf.DUMMYFUNCTION("""COMPUTED_VALUE"""),"")</f>
        <v/>
      </c>
      <c r="AC1000" s="16" t="str">
        <f>IFERROR(__xludf.DUMMYFUNCTION("""COMPUTED_VALUE"""),"")</f>
        <v/>
      </c>
    </row>
    <row r="1001">
      <c r="A1001" s="16" t="s">
        <v>87</v>
      </c>
      <c r="E1001" s="16" t="str">
        <f>IFERROR(__xludf.DUMMYFUNCTION("""COMPUTED_VALUE"""),"")</f>
        <v/>
      </c>
      <c r="G1001" s="18"/>
      <c r="H1001" s="16" t="s">
        <v>87</v>
      </c>
      <c r="I1001" s="16" t="s">
        <v>87</v>
      </c>
      <c r="J1001" s="19"/>
      <c r="L1001" s="16" t="str">
        <f>IFERROR(__xludf.DUMMYFUNCTION("""COMPUTED_VALUE"""),"")</f>
        <v/>
      </c>
      <c r="M1001" s="16" t="str">
        <f>IFERROR(__xludf.DUMMYFUNCTION("""COMPUTED_VALUE"""),"")</f>
        <v/>
      </c>
      <c r="U1001" s="16" t="s">
        <v>87</v>
      </c>
      <c r="V1001" s="16" t="str">
        <f>IFERROR(__xludf.DUMMYFUNCTION("""COMPUTED_VALUE"""),"")</f>
        <v/>
      </c>
      <c r="W1001" s="16" t="str">
        <f>IFERROR(__xludf.DUMMYFUNCTION("""COMPUTED_VALUE"""),"")</f>
        <v/>
      </c>
      <c r="X1001" s="16" t="str">
        <f>IFERROR(__xludf.DUMMYFUNCTION("""COMPUTED_VALUE"""),"")</f>
        <v/>
      </c>
      <c r="AC1001" s="16" t="str">
        <f>IFERROR(__xludf.DUMMYFUNCTION("""COMPUTED_VALUE"""),"")</f>
        <v/>
      </c>
    </row>
    <row r="1002">
      <c r="A1002" s="16" t="s">
        <v>87</v>
      </c>
      <c r="E1002" s="16" t="str">
        <f>IFERROR(__xludf.DUMMYFUNCTION("""COMPUTED_VALUE"""),"")</f>
        <v/>
      </c>
      <c r="G1002" s="18"/>
      <c r="H1002" s="16" t="s">
        <v>87</v>
      </c>
      <c r="I1002" s="16" t="s">
        <v>87</v>
      </c>
      <c r="J1002" s="19"/>
      <c r="L1002" s="16" t="str">
        <f>IFERROR(__xludf.DUMMYFUNCTION("""COMPUTED_VALUE"""),"")</f>
        <v/>
      </c>
      <c r="M1002" s="16" t="str">
        <f>IFERROR(__xludf.DUMMYFUNCTION("""COMPUTED_VALUE"""),"")</f>
        <v/>
      </c>
      <c r="U1002" s="16" t="s">
        <v>87</v>
      </c>
      <c r="V1002" s="16" t="str">
        <f>IFERROR(__xludf.DUMMYFUNCTION("""COMPUTED_VALUE"""),"")</f>
        <v/>
      </c>
      <c r="W1002" s="16" t="str">
        <f>IFERROR(__xludf.DUMMYFUNCTION("""COMPUTED_VALUE"""),"")</f>
        <v/>
      </c>
      <c r="X1002" s="16" t="str">
        <f>IFERROR(__xludf.DUMMYFUNCTION("""COMPUTED_VALUE"""),"")</f>
        <v/>
      </c>
      <c r="AC1002" s="16" t="str">
        <f>IFERROR(__xludf.DUMMYFUNCTION("""COMPUTED_VALUE"""),"")</f>
        <v/>
      </c>
    </row>
    <row r="1003">
      <c r="A1003" s="16" t="s">
        <v>87</v>
      </c>
      <c r="E1003" s="16" t="str">
        <f>IFERROR(__xludf.DUMMYFUNCTION("""COMPUTED_VALUE"""),"")</f>
        <v/>
      </c>
      <c r="G1003" s="18"/>
      <c r="H1003" s="16" t="s">
        <v>87</v>
      </c>
      <c r="I1003" s="16" t="s">
        <v>87</v>
      </c>
      <c r="J1003" s="19"/>
      <c r="L1003" s="16" t="str">
        <f>IFERROR(__xludf.DUMMYFUNCTION("""COMPUTED_VALUE"""),"")</f>
        <v/>
      </c>
      <c r="M1003" s="16" t="str">
        <f>IFERROR(__xludf.DUMMYFUNCTION("""COMPUTED_VALUE"""),"")</f>
        <v/>
      </c>
      <c r="U1003" s="16" t="s">
        <v>87</v>
      </c>
      <c r="V1003" s="16" t="str">
        <f>IFERROR(__xludf.DUMMYFUNCTION("""COMPUTED_VALUE"""),"")</f>
        <v/>
      </c>
      <c r="W1003" s="16" t="str">
        <f>IFERROR(__xludf.DUMMYFUNCTION("""COMPUTED_VALUE"""),"")</f>
        <v/>
      </c>
      <c r="X1003" s="16" t="str">
        <f>IFERROR(__xludf.DUMMYFUNCTION("""COMPUTED_VALUE"""),"")</f>
        <v/>
      </c>
      <c r="AC1003" s="16" t="str">
        <f>IFERROR(__xludf.DUMMYFUNCTION("""COMPUTED_VALUE"""),"")</f>
        <v/>
      </c>
    </row>
    <row r="1004">
      <c r="A1004" s="16" t="s">
        <v>87</v>
      </c>
      <c r="E1004" s="16" t="str">
        <f>IFERROR(__xludf.DUMMYFUNCTION("""COMPUTED_VALUE"""),"")</f>
        <v/>
      </c>
      <c r="G1004" s="18"/>
      <c r="H1004" s="16" t="s">
        <v>87</v>
      </c>
      <c r="I1004" s="16" t="s">
        <v>87</v>
      </c>
      <c r="J1004" s="19"/>
      <c r="L1004" s="16" t="str">
        <f>IFERROR(__xludf.DUMMYFUNCTION("""COMPUTED_VALUE"""),"")</f>
        <v/>
      </c>
      <c r="M1004" s="16" t="str">
        <f>IFERROR(__xludf.DUMMYFUNCTION("""COMPUTED_VALUE"""),"")</f>
        <v/>
      </c>
      <c r="U1004" s="16" t="s">
        <v>87</v>
      </c>
      <c r="V1004" s="16" t="str">
        <f>IFERROR(__xludf.DUMMYFUNCTION("""COMPUTED_VALUE"""),"")</f>
        <v/>
      </c>
      <c r="W1004" s="16" t="str">
        <f>IFERROR(__xludf.DUMMYFUNCTION("""COMPUTED_VALUE"""),"")</f>
        <v/>
      </c>
      <c r="X1004" s="16" t="str">
        <f>IFERROR(__xludf.DUMMYFUNCTION("""COMPUTED_VALUE"""),"")</f>
        <v/>
      </c>
      <c r="AC1004" s="16" t="str">
        <f>IFERROR(__xludf.DUMMYFUNCTION("""COMPUTED_VALUE"""),"")</f>
        <v/>
      </c>
    </row>
    <row r="1005">
      <c r="A1005" s="16" t="s">
        <v>87</v>
      </c>
      <c r="E1005" s="16" t="str">
        <f>IFERROR(__xludf.DUMMYFUNCTION("""COMPUTED_VALUE"""),"")</f>
        <v/>
      </c>
      <c r="G1005" s="18"/>
      <c r="H1005" s="16" t="s">
        <v>87</v>
      </c>
      <c r="I1005" s="16" t="s">
        <v>87</v>
      </c>
      <c r="J1005" s="19"/>
      <c r="L1005" s="16" t="str">
        <f>IFERROR(__xludf.DUMMYFUNCTION("""COMPUTED_VALUE"""),"")</f>
        <v/>
      </c>
      <c r="M1005" s="16" t="str">
        <f>IFERROR(__xludf.DUMMYFUNCTION("""COMPUTED_VALUE"""),"")</f>
        <v/>
      </c>
      <c r="U1005" s="16" t="s">
        <v>87</v>
      </c>
      <c r="V1005" s="16" t="str">
        <f>IFERROR(__xludf.DUMMYFUNCTION("""COMPUTED_VALUE"""),"")</f>
        <v/>
      </c>
      <c r="W1005" s="16" t="str">
        <f>IFERROR(__xludf.DUMMYFUNCTION("""COMPUTED_VALUE"""),"")</f>
        <v/>
      </c>
      <c r="X1005" s="16" t="str">
        <f>IFERROR(__xludf.DUMMYFUNCTION("""COMPUTED_VALUE"""),"")</f>
        <v/>
      </c>
      <c r="AC1005" s="16" t="str">
        <f>IFERROR(__xludf.DUMMYFUNCTION("""COMPUTED_VALUE"""),"")</f>
        <v/>
      </c>
    </row>
    <row r="1006">
      <c r="A1006" s="16" t="s">
        <v>87</v>
      </c>
      <c r="E1006" s="16" t="str">
        <f>IFERROR(__xludf.DUMMYFUNCTION("""COMPUTED_VALUE"""),"")</f>
        <v/>
      </c>
      <c r="G1006" s="18"/>
      <c r="H1006" s="16" t="s">
        <v>87</v>
      </c>
      <c r="I1006" s="16" t="s">
        <v>87</v>
      </c>
      <c r="J1006" s="19"/>
      <c r="L1006" s="16" t="str">
        <f>IFERROR(__xludf.DUMMYFUNCTION("""COMPUTED_VALUE"""),"")</f>
        <v/>
      </c>
      <c r="M1006" s="16" t="str">
        <f>IFERROR(__xludf.DUMMYFUNCTION("""COMPUTED_VALUE"""),"")</f>
        <v/>
      </c>
      <c r="U1006" s="16" t="s">
        <v>87</v>
      </c>
      <c r="V1006" s="16" t="str">
        <f>IFERROR(__xludf.DUMMYFUNCTION("""COMPUTED_VALUE"""),"")</f>
        <v/>
      </c>
      <c r="W1006" s="16" t="str">
        <f>IFERROR(__xludf.DUMMYFUNCTION("""COMPUTED_VALUE"""),"")</f>
        <v/>
      </c>
      <c r="X1006" s="16" t="str">
        <f>IFERROR(__xludf.DUMMYFUNCTION("""COMPUTED_VALUE"""),"")</f>
        <v/>
      </c>
      <c r="AC1006" s="16" t="str">
        <f>IFERROR(__xludf.DUMMYFUNCTION("""COMPUTED_VALUE"""),"")</f>
        <v/>
      </c>
    </row>
    <row r="1007">
      <c r="A1007" s="16" t="s">
        <v>87</v>
      </c>
      <c r="E1007" s="16" t="str">
        <f>IFERROR(__xludf.DUMMYFUNCTION("""COMPUTED_VALUE"""),"")</f>
        <v/>
      </c>
      <c r="G1007" s="18"/>
      <c r="H1007" s="16" t="s">
        <v>87</v>
      </c>
      <c r="I1007" s="16" t="s">
        <v>87</v>
      </c>
      <c r="J1007" s="19"/>
      <c r="L1007" s="16" t="str">
        <f>IFERROR(__xludf.DUMMYFUNCTION("""COMPUTED_VALUE"""),"")</f>
        <v/>
      </c>
      <c r="M1007" s="16" t="str">
        <f>IFERROR(__xludf.DUMMYFUNCTION("""COMPUTED_VALUE"""),"")</f>
        <v/>
      </c>
      <c r="U1007" s="16" t="s">
        <v>87</v>
      </c>
      <c r="V1007" s="16" t="str">
        <f>IFERROR(__xludf.DUMMYFUNCTION("""COMPUTED_VALUE"""),"")</f>
        <v/>
      </c>
      <c r="W1007" s="16" t="str">
        <f>IFERROR(__xludf.DUMMYFUNCTION("""COMPUTED_VALUE"""),"")</f>
        <v/>
      </c>
      <c r="X1007" s="16" t="str">
        <f>IFERROR(__xludf.DUMMYFUNCTION("""COMPUTED_VALUE"""),"")</f>
        <v/>
      </c>
      <c r="AC1007" s="16" t="str">
        <f>IFERROR(__xludf.DUMMYFUNCTION("""COMPUTED_VALUE"""),"")</f>
        <v/>
      </c>
    </row>
    <row r="1008">
      <c r="A1008" s="16" t="s">
        <v>87</v>
      </c>
      <c r="E1008" s="16" t="str">
        <f>IFERROR(__xludf.DUMMYFUNCTION("""COMPUTED_VALUE"""),"")</f>
        <v/>
      </c>
      <c r="G1008" s="18"/>
      <c r="H1008" s="16" t="s">
        <v>87</v>
      </c>
      <c r="I1008" s="16" t="s">
        <v>87</v>
      </c>
      <c r="J1008" s="19"/>
      <c r="L1008" s="16" t="str">
        <f>IFERROR(__xludf.DUMMYFUNCTION("""COMPUTED_VALUE"""),"")</f>
        <v/>
      </c>
      <c r="M1008" s="16" t="str">
        <f>IFERROR(__xludf.DUMMYFUNCTION("""COMPUTED_VALUE"""),"")</f>
        <v/>
      </c>
      <c r="U1008" s="16" t="s">
        <v>87</v>
      </c>
      <c r="V1008" s="16" t="str">
        <f>IFERROR(__xludf.DUMMYFUNCTION("""COMPUTED_VALUE"""),"")</f>
        <v/>
      </c>
      <c r="W1008" s="16" t="str">
        <f>IFERROR(__xludf.DUMMYFUNCTION("""COMPUTED_VALUE"""),"")</f>
        <v/>
      </c>
      <c r="X1008" s="16" t="str">
        <f>IFERROR(__xludf.DUMMYFUNCTION("""COMPUTED_VALUE"""),"")</f>
        <v/>
      </c>
      <c r="AC1008" s="16" t="str">
        <f>IFERROR(__xludf.DUMMYFUNCTION("""COMPUTED_VALUE"""),"")</f>
        <v/>
      </c>
    </row>
    <row r="1009">
      <c r="A1009" s="16" t="s">
        <v>87</v>
      </c>
      <c r="E1009" s="16" t="str">
        <f>IFERROR(__xludf.DUMMYFUNCTION("""COMPUTED_VALUE"""),"")</f>
        <v/>
      </c>
      <c r="G1009" s="18"/>
      <c r="H1009" s="16" t="s">
        <v>87</v>
      </c>
      <c r="I1009" s="16" t="s">
        <v>87</v>
      </c>
      <c r="J1009" s="19"/>
      <c r="L1009" s="16" t="str">
        <f>IFERROR(__xludf.DUMMYFUNCTION("""COMPUTED_VALUE"""),"")</f>
        <v/>
      </c>
      <c r="M1009" s="16" t="str">
        <f>IFERROR(__xludf.DUMMYFUNCTION("""COMPUTED_VALUE"""),"")</f>
        <v/>
      </c>
      <c r="U1009" s="16" t="s">
        <v>87</v>
      </c>
      <c r="V1009" s="16" t="str">
        <f>IFERROR(__xludf.DUMMYFUNCTION("""COMPUTED_VALUE"""),"")</f>
        <v/>
      </c>
      <c r="W1009" s="16" t="str">
        <f>IFERROR(__xludf.DUMMYFUNCTION("""COMPUTED_VALUE"""),"")</f>
        <v/>
      </c>
      <c r="X1009" s="16" t="str">
        <f>IFERROR(__xludf.DUMMYFUNCTION("""COMPUTED_VALUE"""),"")</f>
        <v/>
      </c>
      <c r="AC1009" s="16" t="str">
        <f>IFERROR(__xludf.DUMMYFUNCTION("""COMPUTED_VALUE"""),"")</f>
        <v/>
      </c>
    </row>
    <row r="1010">
      <c r="A1010" s="16" t="s">
        <v>87</v>
      </c>
      <c r="E1010" s="16" t="str">
        <f>IFERROR(__xludf.DUMMYFUNCTION("""COMPUTED_VALUE"""),"")</f>
        <v/>
      </c>
      <c r="G1010" s="18"/>
      <c r="H1010" s="16" t="s">
        <v>87</v>
      </c>
      <c r="I1010" s="16" t="s">
        <v>87</v>
      </c>
      <c r="J1010" s="19"/>
      <c r="L1010" s="16" t="str">
        <f>IFERROR(__xludf.DUMMYFUNCTION("""COMPUTED_VALUE"""),"")</f>
        <v/>
      </c>
      <c r="M1010" s="16" t="str">
        <f>IFERROR(__xludf.DUMMYFUNCTION("""COMPUTED_VALUE"""),"")</f>
        <v/>
      </c>
      <c r="U1010" s="16" t="s">
        <v>87</v>
      </c>
      <c r="V1010" s="16" t="str">
        <f>IFERROR(__xludf.DUMMYFUNCTION("""COMPUTED_VALUE"""),"")</f>
        <v/>
      </c>
      <c r="W1010" s="16" t="str">
        <f>IFERROR(__xludf.DUMMYFUNCTION("""COMPUTED_VALUE"""),"")</f>
        <v/>
      </c>
      <c r="X1010" s="16" t="str">
        <f>IFERROR(__xludf.DUMMYFUNCTION("""COMPUTED_VALUE"""),"")</f>
        <v/>
      </c>
      <c r="AC1010" s="16" t="str">
        <f>IFERROR(__xludf.DUMMYFUNCTION("""COMPUTED_VALUE"""),"")</f>
        <v/>
      </c>
    </row>
    <row r="1011">
      <c r="A1011" s="16" t="s">
        <v>87</v>
      </c>
      <c r="E1011" s="16" t="str">
        <f>IFERROR(__xludf.DUMMYFUNCTION("""COMPUTED_VALUE"""),"")</f>
        <v/>
      </c>
      <c r="G1011" s="18"/>
      <c r="H1011" s="16" t="s">
        <v>87</v>
      </c>
      <c r="I1011" s="16" t="s">
        <v>87</v>
      </c>
      <c r="J1011" s="19"/>
      <c r="L1011" s="16" t="str">
        <f>IFERROR(__xludf.DUMMYFUNCTION("""COMPUTED_VALUE"""),"")</f>
        <v/>
      </c>
      <c r="M1011" s="16" t="str">
        <f>IFERROR(__xludf.DUMMYFUNCTION("""COMPUTED_VALUE"""),"")</f>
        <v/>
      </c>
      <c r="U1011" s="16" t="s">
        <v>87</v>
      </c>
      <c r="V1011" s="16" t="str">
        <f>IFERROR(__xludf.DUMMYFUNCTION("""COMPUTED_VALUE"""),"")</f>
        <v/>
      </c>
      <c r="W1011" s="16" t="str">
        <f>IFERROR(__xludf.DUMMYFUNCTION("""COMPUTED_VALUE"""),"")</f>
        <v/>
      </c>
      <c r="X1011" s="16" t="str">
        <f>IFERROR(__xludf.DUMMYFUNCTION("""COMPUTED_VALUE"""),"")</f>
        <v/>
      </c>
      <c r="AC1011" s="16" t="str">
        <f>IFERROR(__xludf.DUMMYFUNCTION("""COMPUTED_VALUE"""),"")</f>
        <v/>
      </c>
    </row>
    <row r="1012">
      <c r="A1012" s="16" t="s">
        <v>87</v>
      </c>
      <c r="E1012" s="16" t="str">
        <f>IFERROR(__xludf.DUMMYFUNCTION("""COMPUTED_VALUE"""),"")</f>
        <v/>
      </c>
      <c r="G1012" s="18"/>
      <c r="H1012" s="16" t="s">
        <v>87</v>
      </c>
      <c r="I1012" s="16" t="s">
        <v>87</v>
      </c>
      <c r="J1012" s="19"/>
      <c r="L1012" s="16" t="str">
        <f>IFERROR(__xludf.DUMMYFUNCTION("""COMPUTED_VALUE"""),"")</f>
        <v/>
      </c>
      <c r="M1012" s="16" t="str">
        <f>IFERROR(__xludf.DUMMYFUNCTION("""COMPUTED_VALUE"""),"")</f>
        <v/>
      </c>
      <c r="U1012" s="16" t="s">
        <v>87</v>
      </c>
      <c r="V1012" s="16" t="str">
        <f>IFERROR(__xludf.DUMMYFUNCTION("""COMPUTED_VALUE"""),"")</f>
        <v/>
      </c>
      <c r="W1012" s="16" t="str">
        <f>IFERROR(__xludf.DUMMYFUNCTION("""COMPUTED_VALUE"""),"")</f>
        <v/>
      </c>
      <c r="X1012" s="16" t="str">
        <f>IFERROR(__xludf.DUMMYFUNCTION("""COMPUTED_VALUE"""),"")</f>
        <v/>
      </c>
      <c r="AC1012" s="16" t="str">
        <f>IFERROR(__xludf.DUMMYFUNCTION("""COMPUTED_VALUE"""),"")</f>
        <v/>
      </c>
    </row>
    <row r="1013">
      <c r="A1013" s="16" t="s">
        <v>87</v>
      </c>
      <c r="E1013" s="16" t="str">
        <f>IFERROR(__xludf.DUMMYFUNCTION("""COMPUTED_VALUE"""),"")</f>
        <v/>
      </c>
      <c r="G1013" s="18"/>
      <c r="H1013" s="16" t="s">
        <v>87</v>
      </c>
      <c r="I1013" s="16" t="s">
        <v>87</v>
      </c>
      <c r="J1013" s="19"/>
      <c r="L1013" s="16" t="str">
        <f>IFERROR(__xludf.DUMMYFUNCTION("""COMPUTED_VALUE"""),"")</f>
        <v/>
      </c>
      <c r="M1013" s="16" t="str">
        <f>IFERROR(__xludf.DUMMYFUNCTION("""COMPUTED_VALUE"""),"")</f>
        <v/>
      </c>
      <c r="U1013" s="16" t="s">
        <v>87</v>
      </c>
      <c r="V1013" s="16" t="str">
        <f>IFERROR(__xludf.DUMMYFUNCTION("""COMPUTED_VALUE"""),"")</f>
        <v/>
      </c>
      <c r="W1013" s="16" t="str">
        <f>IFERROR(__xludf.DUMMYFUNCTION("""COMPUTED_VALUE"""),"")</f>
        <v/>
      </c>
      <c r="X1013" s="16" t="str">
        <f>IFERROR(__xludf.DUMMYFUNCTION("""COMPUTED_VALUE"""),"")</f>
        <v/>
      </c>
      <c r="AC1013" s="16" t="str">
        <f>IFERROR(__xludf.DUMMYFUNCTION("""COMPUTED_VALUE"""),"")</f>
        <v/>
      </c>
    </row>
    <row r="1014">
      <c r="A1014" s="16" t="s">
        <v>87</v>
      </c>
      <c r="E1014" s="16" t="str">
        <f>IFERROR(__xludf.DUMMYFUNCTION("""COMPUTED_VALUE"""),"")</f>
        <v/>
      </c>
      <c r="G1014" s="18"/>
      <c r="H1014" s="16" t="s">
        <v>87</v>
      </c>
      <c r="I1014" s="16" t="s">
        <v>87</v>
      </c>
      <c r="J1014" s="19"/>
      <c r="L1014" s="16" t="str">
        <f>IFERROR(__xludf.DUMMYFUNCTION("""COMPUTED_VALUE"""),"")</f>
        <v/>
      </c>
      <c r="M1014" s="16" t="str">
        <f>IFERROR(__xludf.DUMMYFUNCTION("""COMPUTED_VALUE"""),"")</f>
        <v/>
      </c>
      <c r="U1014" s="16" t="s">
        <v>87</v>
      </c>
      <c r="V1014" s="16" t="str">
        <f>IFERROR(__xludf.DUMMYFUNCTION("""COMPUTED_VALUE"""),"")</f>
        <v/>
      </c>
      <c r="W1014" s="16" t="str">
        <f>IFERROR(__xludf.DUMMYFUNCTION("""COMPUTED_VALUE"""),"")</f>
        <v/>
      </c>
      <c r="X1014" s="16" t="str">
        <f>IFERROR(__xludf.DUMMYFUNCTION("""COMPUTED_VALUE"""),"")</f>
        <v/>
      </c>
      <c r="AC1014" s="16" t="str">
        <f>IFERROR(__xludf.DUMMYFUNCTION("""COMPUTED_VALUE"""),"")</f>
        <v/>
      </c>
    </row>
    <row r="1015">
      <c r="A1015" s="16" t="s">
        <v>87</v>
      </c>
      <c r="E1015" s="16" t="str">
        <f>IFERROR(__xludf.DUMMYFUNCTION("""COMPUTED_VALUE"""),"")</f>
        <v/>
      </c>
      <c r="G1015" s="18"/>
      <c r="H1015" s="16" t="s">
        <v>87</v>
      </c>
      <c r="I1015" s="16" t="s">
        <v>87</v>
      </c>
      <c r="J1015" s="19"/>
      <c r="L1015" s="16" t="str">
        <f>IFERROR(__xludf.DUMMYFUNCTION("""COMPUTED_VALUE"""),"")</f>
        <v/>
      </c>
      <c r="M1015" s="16" t="str">
        <f>IFERROR(__xludf.DUMMYFUNCTION("""COMPUTED_VALUE"""),"")</f>
        <v/>
      </c>
      <c r="U1015" s="16" t="s">
        <v>87</v>
      </c>
      <c r="V1015" s="16" t="str">
        <f>IFERROR(__xludf.DUMMYFUNCTION("""COMPUTED_VALUE"""),"")</f>
        <v/>
      </c>
      <c r="W1015" s="16" t="str">
        <f>IFERROR(__xludf.DUMMYFUNCTION("""COMPUTED_VALUE"""),"")</f>
        <v/>
      </c>
      <c r="X1015" s="16" t="str">
        <f>IFERROR(__xludf.DUMMYFUNCTION("""COMPUTED_VALUE"""),"")</f>
        <v/>
      </c>
      <c r="AC1015" s="16" t="str">
        <f>IFERROR(__xludf.DUMMYFUNCTION("""COMPUTED_VALUE"""),"")</f>
        <v/>
      </c>
    </row>
    <row r="1016">
      <c r="A1016" s="16" t="s">
        <v>87</v>
      </c>
      <c r="E1016" s="16" t="str">
        <f>IFERROR(__xludf.DUMMYFUNCTION("""COMPUTED_VALUE"""),"")</f>
        <v/>
      </c>
      <c r="G1016" s="18"/>
      <c r="H1016" s="16" t="s">
        <v>87</v>
      </c>
      <c r="I1016" s="16" t="s">
        <v>87</v>
      </c>
      <c r="J1016" s="19"/>
      <c r="L1016" s="16" t="str">
        <f>IFERROR(__xludf.DUMMYFUNCTION("""COMPUTED_VALUE"""),"")</f>
        <v/>
      </c>
      <c r="M1016" s="16" t="str">
        <f>IFERROR(__xludf.DUMMYFUNCTION("""COMPUTED_VALUE"""),"")</f>
        <v/>
      </c>
      <c r="U1016" s="16" t="s">
        <v>87</v>
      </c>
      <c r="V1016" s="16" t="str">
        <f>IFERROR(__xludf.DUMMYFUNCTION("""COMPUTED_VALUE"""),"")</f>
        <v/>
      </c>
      <c r="W1016" s="16" t="str">
        <f>IFERROR(__xludf.DUMMYFUNCTION("""COMPUTED_VALUE"""),"")</f>
        <v/>
      </c>
      <c r="X1016" s="16" t="str">
        <f>IFERROR(__xludf.DUMMYFUNCTION("""COMPUTED_VALUE"""),"")</f>
        <v/>
      </c>
      <c r="AC1016" s="16" t="str">
        <f>IFERROR(__xludf.DUMMYFUNCTION("""COMPUTED_VALUE"""),"")</f>
        <v/>
      </c>
    </row>
    <row r="1017">
      <c r="A1017" s="16" t="s">
        <v>87</v>
      </c>
      <c r="E1017" s="16" t="str">
        <f>IFERROR(__xludf.DUMMYFUNCTION("""COMPUTED_VALUE"""),"")</f>
        <v/>
      </c>
      <c r="G1017" s="18"/>
      <c r="H1017" s="16" t="s">
        <v>87</v>
      </c>
      <c r="I1017" s="16" t="s">
        <v>87</v>
      </c>
      <c r="J1017" s="19"/>
      <c r="L1017" s="16" t="str">
        <f>IFERROR(__xludf.DUMMYFUNCTION("""COMPUTED_VALUE"""),"")</f>
        <v/>
      </c>
      <c r="M1017" s="16" t="str">
        <f>IFERROR(__xludf.DUMMYFUNCTION("""COMPUTED_VALUE"""),"")</f>
        <v/>
      </c>
      <c r="U1017" s="16" t="s">
        <v>87</v>
      </c>
      <c r="V1017" s="16" t="str">
        <f>IFERROR(__xludf.DUMMYFUNCTION("""COMPUTED_VALUE"""),"")</f>
        <v/>
      </c>
      <c r="W1017" s="16" t="str">
        <f>IFERROR(__xludf.DUMMYFUNCTION("""COMPUTED_VALUE"""),"")</f>
        <v/>
      </c>
      <c r="X1017" s="16" t="str">
        <f>IFERROR(__xludf.DUMMYFUNCTION("""COMPUTED_VALUE"""),"")</f>
        <v/>
      </c>
      <c r="AC1017" s="16" t="str">
        <f>IFERROR(__xludf.DUMMYFUNCTION("""COMPUTED_VALUE"""),"")</f>
        <v/>
      </c>
    </row>
    <row r="1018">
      <c r="A1018" s="16" t="s">
        <v>87</v>
      </c>
      <c r="E1018" s="16" t="str">
        <f>IFERROR(__xludf.DUMMYFUNCTION("""COMPUTED_VALUE"""),"")</f>
        <v/>
      </c>
      <c r="G1018" s="18"/>
      <c r="H1018" s="16" t="s">
        <v>87</v>
      </c>
      <c r="I1018" s="16" t="s">
        <v>87</v>
      </c>
      <c r="J1018" s="19"/>
      <c r="L1018" s="16" t="str">
        <f>IFERROR(__xludf.DUMMYFUNCTION("""COMPUTED_VALUE"""),"")</f>
        <v/>
      </c>
      <c r="M1018" s="16" t="str">
        <f>IFERROR(__xludf.DUMMYFUNCTION("""COMPUTED_VALUE"""),"")</f>
        <v/>
      </c>
      <c r="U1018" s="16" t="s">
        <v>87</v>
      </c>
      <c r="V1018" s="16" t="str">
        <f>IFERROR(__xludf.DUMMYFUNCTION("""COMPUTED_VALUE"""),"")</f>
        <v/>
      </c>
      <c r="W1018" s="16" t="str">
        <f>IFERROR(__xludf.DUMMYFUNCTION("""COMPUTED_VALUE"""),"")</f>
        <v/>
      </c>
      <c r="X1018" s="16" t="str">
        <f>IFERROR(__xludf.DUMMYFUNCTION("""COMPUTED_VALUE"""),"")</f>
        <v/>
      </c>
      <c r="AC1018" s="16" t="str">
        <f>IFERROR(__xludf.DUMMYFUNCTION("""COMPUTED_VALUE"""),"")</f>
        <v/>
      </c>
    </row>
    <row r="1019">
      <c r="A1019" s="16" t="s">
        <v>87</v>
      </c>
      <c r="E1019" s="16" t="str">
        <f>IFERROR(__xludf.DUMMYFUNCTION("""COMPUTED_VALUE"""),"")</f>
        <v/>
      </c>
      <c r="G1019" s="18"/>
      <c r="H1019" s="16" t="s">
        <v>87</v>
      </c>
      <c r="I1019" s="16" t="s">
        <v>87</v>
      </c>
      <c r="J1019" s="19"/>
      <c r="L1019" s="16" t="str">
        <f>IFERROR(__xludf.DUMMYFUNCTION("""COMPUTED_VALUE"""),"")</f>
        <v/>
      </c>
      <c r="M1019" s="16" t="str">
        <f>IFERROR(__xludf.DUMMYFUNCTION("""COMPUTED_VALUE"""),"")</f>
        <v/>
      </c>
      <c r="U1019" s="16" t="s">
        <v>87</v>
      </c>
      <c r="V1019" s="16" t="str">
        <f>IFERROR(__xludf.DUMMYFUNCTION("""COMPUTED_VALUE"""),"")</f>
        <v/>
      </c>
      <c r="W1019" s="16" t="str">
        <f>IFERROR(__xludf.DUMMYFUNCTION("""COMPUTED_VALUE"""),"")</f>
        <v/>
      </c>
      <c r="X1019" s="16" t="str">
        <f>IFERROR(__xludf.DUMMYFUNCTION("""COMPUTED_VALUE"""),"")</f>
        <v/>
      </c>
      <c r="AC1019" s="16" t="str">
        <f>IFERROR(__xludf.DUMMYFUNCTION("""COMPUTED_VALUE"""),"")</f>
        <v/>
      </c>
    </row>
    <row r="1020">
      <c r="A1020" s="16" t="s">
        <v>87</v>
      </c>
      <c r="E1020" s="16" t="str">
        <f>IFERROR(__xludf.DUMMYFUNCTION("""COMPUTED_VALUE"""),"")</f>
        <v/>
      </c>
      <c r="G1020" s="18"/>
      <c r="H1020" s="16" t="s">
        <v>87</v>
      </c>
      <c r="I1020" s="16" t="s">
        <v>87</v>
      </c>
      <c r="J1020" s="19"/>
      <c r="L1020" s="16" t="str">
        <f>IFERROR(__xludf.DUMMYFUNCTION("""COMPUTED_VALUE"""),"")</f>
        <v/>
      </c>
      <c r="M1020" s="16" t="str">
        <f>IFERROR(__xludf.DUMMYFUNCTION("""COMPUTED_VALUE"""),"")</f>
        <v/>
      </c>
      <c r="U1020" s="16" t="s">
        <v>87</v>
      </c>
      <c r="V1020" s="16" t="str">
        <f>IFERROR(__xludf.DUMMYFUNCTION("""COMPUTED_VALUE"""),"")</f>
        <v/>
      </c>
      <c r="W1020" s="16" t="str">
        <f>IFERROR(__xludf.DUMMYFUNCTION("""COMPUTED_VALUE"""),"")</f>
        <v/>
      </c>
      <c r="X1020" s="16" t="str">
        <f>IFERROR(__xludf.DUMMYFUNCTION("""COMPUTED_VALUE"""),"")</f>
        <v/>
      </c>
      <c r="AC1020" s="16" t="str">
        <f>IFERROR(__xludf.DUMMYFUNCTION("""COMPUTED_VALUE"""),"")</f>
        <v/>
      </c>
    </row>
    <row r="1021">
      <c r="A1021" s="16" t="s">
        <v>87</v>
      </c>
      <c r="E1021" s="16" t="str">
        <f>IFERROR(__xludf.DUMMYFUNCTION("""COMPUTED_VALUE"""),"")</f>
        <v/>
      </c>
      <c r="G1021" s="18"/>
      <c r="H1021" s="16" t="s">
        <v>87</v>
      </c>
      <c r="I1021" s="16" t="s">
        <v>87</v>
      </c>
      <c r="J1021" s="19"/>
      <c r="L1021" s="16" t="str">
        <f>IFERROR(__xludf.DUMMYFUNCTION("""COMPUTED_VALUE"""),"")</f>
        <v/>
      </c>
      <c r="M1021" s="16" t="str">
        <f>IFERROR(__xludf.DUMMYFUNCTION("""COMPUTED_VALUE"""),"")</f>
        <v/>
      </c>
      <c r="U1021" s="16" t="s">
        <v>87</v>
      </c>
      <c r="V1021" s="16" t="str">
        <f>IFERROR(__xludf.DUMMYFUNCTION("""COMPUTED_VALUE"""),"")</f>
        <v/>
      </c>
      <c r="W1021" s="16" t="str">
        <f>IFERROR(__xludf.DUMMYFUNCTION("""COMPUTED_VALUE"""),"")</f>
        <v/>
      </c>
      <c r="X1021" s="16" t="str">
        <f>IFERROR(__xludf.DUMMYFUNCTION("""COMPUTED_VALUE"""),"")</f>
        <v/>
      </c>
      <c r="AC1021" s="16" t="str">
        <f>IFERROR(__xludf.DUMMYFUNCTION("""COMPUTED_VALUE"""),"")</f>
        <v/>
      </c>
    </row>
    <row r="1022">
      <c r="A1022" s="16" t="s">
        <v>87</v>
      </c>
      <c r="E1022" s="16" t="str">
        <f>IFERROR(__xludf.DUMMYFUNCTION("""COMPUTED_VALUE"""),"")</f>
        <v/>
      </c>
      <c r="G1022" s="18"/>
      <c r="H1022" s="16" t="s">
        <v>87</v>
      </c>
      <c r="I1022" s="16" t="s">
        <v>87</v>
      </c>
      <c r="J1022" s="19"/>
      <c r="L1022" s="16" t="str">
        <f>IFERROR(__xludf.DUMMYFUNCTION("""COMPUTED_VALUE"""),"")</f>
        <v/>
      </c>
      <c r="M1022" s="16" t="str">
        <f>IFERROR(__xludf.DUMMYFUNCTION("""COMPUTED_VALUE"""),"")</f>
        <v/>
      </c>
      <c r="U1022" s="16" t="s">
        <v>87</v>
      </c>
      <c r="V1022" s="16" t="str">
        <f>IFERROR(__xludf.DUMMYFUNCTION("""COMPUTED_VALUE"""),"")</f>
        <v/>
      </c>
      <c r="W1022" s="16" t="str">
        <f>IFERROR(__xludf.DUMMYFUNCTION("""COMPUTED_VALUE"""),"")</f>
        <v/>
      </c>
      <c r="X1022" s="16" t="str">
        <f>IFERROR(__xludf.DUMMYFUNCTION("""COMPUTED_VALUE"""),"")</f>
        <v/>
      </c>
      <c r="AC1022" s="16" t="str">
        <f>IFERROR(__xludf.DUMMYFUNCTION("""COMPUTED_VALUE"""),"")</f>
        <v/>
      </c>
    </row>
    <row r="1023">
      <c r="A1023" s="16" t="s">
        <v>87</v>
      </c>
      <c r="E1023" s="16" t="str">
        <f>IFERROR(__xludf.DUMMYFUNCTION("""COMPUTED_VALUE"""),"")</f>
        <v/>
      </c>
      <c r="G1023" s="18"/>
      <c r="H1023" s="16" t="s">
        <v>87</v>
      </c>
      <c r="I1023" s="16" t="s">
        <v>87</v>
      </c>
      <c r="J1023" s="19"/>
      <c r="L1023" s="16" t="str">
        <f>IFERROR(__xludf.DUMMYFUNCTION("""COMPUTED_VALUE"""),"")</f>
        <v/>
      </c>
      <c r="M1023" s="16" t="str">
        <f>IFERROR(__xludf.DUMMYFUNCTION("""COMPUTED_VALUE"""),"")</f>
        <v/>
      </c>
      <c r="U1023" s="16" t="s">
        <v>87</v>
      </c>
      <c r="V1023" s="16" t="str">
        <f>IFERROR(__xludf.DUMMYFUNCTION("""COMPUTED_VALUE"""),"")</f>
        <v/>
      </c>
      <c r="W1023" s="16" t="str">
        <f>IFERROR(__xludf.DUMMYFUNCTION("""COMPUTED_VALUE"""),"")</f>
        <v/>
      </c>
      <c r="X1023" s="16" t="str">
        <f>IFERROR(__xludf.DUMMYFUNCTION("""COMPUTED_VALUE"""),"")</f>
        <v/>
      </c>
      <c r="AC1023" s="16" t="str">
        <f>IFERROR(__xludf.DUMMYFUNCTION("""COMPUTED_VALUE"""),"")</f>
        <v/>
      </c>
    </row>
    <row r="1024">
      <c r="A1024" s="16" t="s">
        <v>87</v>
      </c>
      <c r="E1024" s="16" t="str">
        <f>IFERROR(__xludf.DUMMYFUNCTION("""COMPUTED_VALUE"""),"")</f>
        <v/>
      </c>
      <c r="G1024" s="18"/>
      <c r="H1024" s="16" t="s">
        <v>87</v>
      </c>
      <c r="I1024" s="16" t="s">
        <v>87</v>
      </c>
      <c r="J1024" s="19"/>
      <c r="L1024" s="16" t="str">
        <f>IFERROR(__xludf.DUMMYFUNCTION("""COMPUTED_VALUE"""),"")</f>
        <v/>
      </c>
      <c r="M1024" s="16" t="str">
        <f>IFERROR(__xludf.DUMMYFUNCTION("""COMPUTED_VALUE"""),"")</f>
        <v/>
      </c>
      <c r="U1024" s="16" t="s">
        <v>87</v>
      </c>
      <c r="V1024" s="16" t="str">
        <f>IFERROR(__xludf.DUMMYFUNCTION("""COMPUTED_VALUE"""),"")</f>
        <v/>
      </c>
      <c r="W1024" s="16" t="str">
        <f>IFERROR(__xludf.DUMMYFUNCTION("""COMPUTED_VALUE"""),"")</f>
        <v/>
      </c>
      <c r="X1024" s="16" t="str">
        <f>IFERROR(__xludf.DUMMYFUNCTION("""COMPUTED_VALUE"""),"")</f>
        <v/>
      </c>
      <c r="AC1024" s="16" t="str">
        <f>IFERROR(__xludf.DUMMYFUNCTION("""COMPUTED_VALUE"""),"")</f>
        <v/>
      </c>
    </row>
    <row r="1025">
      <c r="A1025" s="16" t="s">
        <v>87</v>
      </c>
      <c r="E1025" s="16" t="str">
        <f>IFERROR(__xludf.DUMMYFUNCTION("""COMPUTED_VALUE"""),"")</f>
        <v/>
      </c>
      <c r="G1025" s="18"/>
      <c r="H1025" s="16" t="s">
        <v>87</v>
      </c>
      <c r="I1025" s="16" t="s">
        <v>87</v>
      </c>
      <c r="J1025" s="19"/>
      <c r="L1025" s="16" t="str">
        <f>IFERROR(__xludf.DUMMYFUNCTION("""COMPUTED_VALUE"""),"")</f>
        <v/>
      </c>
      <c r="M1025" s="16" t="str">
        <f>IFERROR(__xludf.DUMMYFUNCTION("""COMPUTED_VALUE"""),"")</f>
        <v/>
      </c>
      <c r="U1025" s="16" t="s">
        <v>87</v>
      </c>
      <c r="V1025" s="16" t="str">
        <f>IFERROR(__xludf.DUMMYFUNCTION("""COMPUTED_VALUE"""),"")</f>
        <v/>
      </c>
      <c r="W1025" s="16" t="str">
        <f>IFERROR(__xludf.DUMMYFUNCTION("""COMPUTED_VALUE"""),"")</f>
        <v/>
      </c>
      <c r="X1025" s="16" t="str">
        <f>IFERROR(__xludf.DUMMYFUNCTION("""COMPUTED_VALUE"""),"")</f>
        <v/>
      </c>
      <c r="AC1025" s="16" t="str">
        <f>IFERROR(__xludf.DUMMYFUNCTION("""COMPUTED_VALUE"""),"")</f>
        <v/>
      </c>
    </row>
    <row r="1026">
      <c r="A1026" s="16" t="s">
        <v>87</v>
      </c>
      <c r="E1026" s="16" t="str">
        <f>IFERROR(__xludf.DUMMYFUNCTION("""COMPUTED_VALUE"""),"")</f>
        <v/>
      </c>
      <c r="G1026" s="18"/>
      <c r="H1026" s="16" t="s">
        <v>87</v>
      </c>
      <c r="I1026" s="16" t="s">
        <v>87</v>
      </c>
      <c r="J1026" s="19"/>
      <c r="L1026" s="16" t="str">
        <f>IFERROR(__xludf.DUMMYFUNCTION("""COMPUTED_VALUE"""),"")</f>
        <v/>
      </c>
      <c r="M1026" s="16" t="str">
        <f>IFERROR(__xludf.DUMMYFUNCTION("""COMPUTED_VALUE"""),"")</f>
        <v/>
      </c>
      <c r="U1026" s="16" t="s">
        <v>87</v>
      </c>
      <c r="V1026" s="16" t="str">
        <f>IFERROR(__xludf.DUMMYFUNCTION("""COMPUTED_VALUE"""),"")</f>
        <v/>
      </c>
      <c r="W1026" s="16" t="str">
        <f>IFERROR(__xludf.DUMMYFUNCTION("""COMPUTED_VALUE"""),"")</f>
        <v/>
      </c>
      <c r="X1026" s="16" t="str">
        <f>IFERROR(__xludf.DUMMYFUNCTION("""COMPUTED_VALUE"""),"")</f>
        <v/>
      </c>
      <c r="AC1026" s="16" t="str">
        <f>IFERROR(__xludf.DUMMYFUNCTION("""COMPUTED_VALUE"""),"")</f>
        <v/>
      </c>
    </row>
    <row r="1027">
      <c r="A1027" s="16" t="s">
        <v>87</v>
      </c>
      <c r="E1027" s="16" t="str">
        <f>IFERROR(__xludf.DUMMYFUNCTION("""COMPUTED_VALUE"""),"")</f>
        <v/>
      </c>
      <c r="G1027" s="18"/>
      <c r="H1027" s="16" t="s">
        <v>87</v>
      </c>
      <c r="I1027" s="16" t="s">
        <v>87</v>
      </c>
      <c r="J1027" s="19"/>
      <c r="L1027" s="16" t="str">
        <f>IFERROR(__xludf.DUMMYFUNCTION("""COMPUTED_VALUE"""),"")</f>
        <v/>
      </c>
      <c r="M1027" s="16" t="str">
        <f>IFERROR(__xludf.DUMMYFUNCTION("""COMPUTED_VALUE"""),"")</f>
        <v/>
      </c>
      <c r="U1027" s="16" t="s">
        <v>87</v>
      </c>
      <c r="V1027" s="16" t="str">
        <f>IFERROR(__xludf.DUMMYFUNCTION("""COMPUTED_VALUE"""),"")</f>
        <v/>
      </c>
      <c r="W1027" s="16" t="str">
        <f>IFERROR(__xludf.DUMMYFUNCTION("""COMPUTED_VALUE"""),"")</f>
        <v/>
      </c>
      <c r="X1027" s="16" t="str">
        <f>IFERROR(__xludf.DUMMYFUNCTION("""COMPUTED_VALUE"""),"")</f>
        <v/>
      </c>
      <c r="AC1027" s="16" t="str">
        <f>IFERROR(__xludf.DUMMYFUNCTION("""COMPUTED_VALUE"""),"")</f>
        <v/>
      </c>
    </row>
    <row r="1028">
      <c r="A1028" s="16" t="s">
        <v>87</v>
      </c>
      <c r="E1028" s="16" t="str">
        <f>IFERROR(__xludf.DUMMYFUNCTION("""COMPUTED_VALUE"""),"")</f>
        <v/>
      </c>
      <c r="G1028" s="18"/>
      <c r="H1028" s="16" t="s">
        <v>87</v>
      </c>
      <c r="I1028" s="16" t="s">
        <v>87</v>
      </c>
      <c r="J1028" s="19"/>
      <c r="L1028" s="16" t="str">
        <f>IFERROR(__xludf.DUMMYFUNCTION("""COMPUTED_VALUE"""),"")</f>
        <v/>
      </c>
      <c r="M1028" s="16" t="str">
        <f>IFERROR(__xludf.DUMMYFUNCTION("""COMPUTED_VALUE"""),"")</f>
        <v/>
      </c>
      <c r="U1028" s="16" t="s">
        <v>87</v>
      </c>
      <c r="V1028" s="16" t="str">
        <f>IFERROR(__xludf.DUMMYFUNCTION("""COMPUTED_VALUE"""),"")</f>
        <v/>
      </c>
      <c r="W1028" s="16" t="str">
        <f>IFERROR(__xludf.DUMMYFUNCTION("""COMPUTED_VALUE"""),"")</f>
        <v/>
      </c>
      <c r="X1028" s="16" t="str">
        <f>IFERROR(__xludf.DUMMYFUNCTION("""COMPUTED_VALUE"""),"")</f>
        <v/>
      </c>
      <c r="AC1028" s="16" t="str">
        <f>IFERROR(__xludf.DUMMYFUNCTION("""COMPUTED_VALUE"""),"")</f>
        <v/>
      </c>
    </row>
    <row r="1029">
      <c r="A1029" s="16" t="s">
        <v>87</v>
      </c>
      <c r="E1029" s="16" t="str">
        <f>IFERROR(__xludf.DUMMYFUNCTION("""COMPUTED_VALUE"""),"")</f>
        <v/>
      </c>
      <c r="G1029" s="18"/>
      <c r="H1029" s="16" t="s">
        <v>87</v>
      </c>
      <c r="I1029" s="16" t="s">
        <v>87</v>
      </c>
      <c r="J1029" s="19"/>
      <c r="L1029" s="16" t="str">
        <f>IFERROR(__xludf.DUMMYFUNCTION("""COMPUTED_VALUE"""),"")</f>
        <v/>
      </c>
      <c r="M1029" s="16" t="str">
        <f>IFERROR(__xludf.DUMMYFUNCTION("""COMPUTED_VALUE"""),"")</f>
        <v/>
      </c>
      <c r="U1029" s="16" t="s">
        <v>87</v>
      </c>
      <c r="V1029" s="16" t="str">
        <f>IFERROR(__xludf.DUMMYFUNCTION("""COMPUTED_VALUE"""),"")</f>
        <v/>
      </c>
      <c r="W1029" s="16" t="str">
        <f>IFERROR(__xludf.DUMMYFUNCTION("""COMPUTED_VALUE"""),"")</f>
        <v/>
      </c>
      <c r="X1029" s="16" t="str">
        <f>IFERROR(__xludf.DUMMYFUNCTION("""COMPUTED_VALUE"""),"")</f>
        <v/>
      </c>
      <c r="AC1029" s="16" t="str">
        <f>IFERROR(__xludf.DUMMYFUNCTION("""COMPUTED_VALUE"""),"")</f>
        <v/>
      </c>
    </row>
    <row r="1030">
      <c r="A1030" s="16" t="s">
        <v>87</v>
      </c>
      <c r="E1030" s="16" t="str">
        <f>IFERROR(__xludf.DUMMYFUNCTION("""COMPUTED_VALUE"""),"")</f>
        <v/>
      </c>
      <c r="G1030" s="18"/>
      <c r="H1030" s="16" t="s">
        <v>87</v>
      </c>
      <c r="I1030" s="16" t="s">
        <v>87</v>
      </c>
      <c r="J1030" s="19"/>
      <c r="L1030" s="16" t="str">
        <f>IFERROR(__xludf.DUMMYFUNCTION("""COMPUTED_VALUE"""),"")</f>
        <v/>
      </c>
      <c r="M1030" s="16" t="str">
        <f>IFERROR(__xludf.DUMMYFUNCTION("""COMPUTED_VALUE"""),"")</f>
        <v/>
      </c>
      <c r="U1030" s="16" t="s">
        <v>87</v>
      </c>
      <c r="V1030" s="16" t="str">
        <f>IFERROR(__xludf.DUMMYFUNCTION("""COMPUTED_VALUE"""),"")</f>
        <v/>
      </c>
      <c r="W1030" s="16" t="str">
        <f>IFERROR(__xludf.DUMMYFUNCTION("""COMPUTED_VALUE"""),"")</f>
        <v/>
      </c>
      <c r="X1030" s="16" t="str">
        <f>IFERROR(__xludf.DUMMYFUNCTION("""COMPUTED_VALUE"""),"")</f>
        <v/>
      </c>
      <c r="AC1030" s="16" t="str">
        <f>IFERROR(__xludf.DUMMYFUNCTION("""COMPUTED_VALUE"""),"")</f>
        <v/>
      </c>
    </row>
    <row r="1031">
      <c r="A1031" s="16" t="s">
        <v>87</v>
      </c>
      <c r="E1031" s="16" t="str">
        <f>IFERROR(__xludf.DUMMYFUNCTION("""COMPUTED_VALUE"""),"")</f>
        <v/>
      </c>
      <c r="G1031" s="18"/>
      <c r="H1031" s="16" t="s">
        <v>87</v>
      </c>
      <c r="I1031" s="16" t="s">
        <v>87</v>
      </c>
      <c r="J1031" s="19"/>
      <c r="L1031" s="16" t="str">
        <f>IFERROR(__xludf.DUMMYFUNCTION("""COMPUTED_VALUE"""),"")</f>
        <v/>
      </c>
      <c r="M1031" s="16" t="str">
        <f>IFERROR(__xludf.DUMMYFUNCTION("""COMPUTED_VALUE"""),"")</f>
        <v/>
      </c>
      <c r="U1031" s="16" t="s">
        <v>87</v>
      </c>
      <c r="V1031" s="16" t="str">
        <f>IFERROR(__xludf.DUMMYFUNCTION("""COMPUTED_VALUE"""),"")</f>
        <v/>
      </c>
      <c r="W1031" s="16" t="str">
        <f>IFERROR(__xludf.DUMMYFUNCTION("""COMPUTED_VALUE"""),"")</f>
        <v/>
      </c>
      <c r="X1031" s="16" t="str">
        <f>IFERROR(__xludf.DUMMYFUNCTION("""COMPUTED_VALUE"""),"")</f>
        <v/>
      </c>
      <c r="AC1031" s="16" t="str">
        <f>IFERROR(__xludf.DUMMYFUNCTION("""COMPUTED_VALUE"""),"")</f>
        <v/>
      </c>
    </row>
    <row r="1032">
      <c r="A1032" s="16" t="s">
        <v>87</v>
      </c>
      <c r="E1032" s="16" t="str">
        <f>IFERROR(__xludf.DUMMYFUNCTION("""COMPUTED_VALUE"""),"")</f>
        <v/>
      </c>
      <c r="G1032" s="18"/>
      <c r="H1032" s="16" t="s">
        <v>87</v>
      </c>
      <c r="I1032" s="16" t="s">
        <v>87</v>
      </c>
      <c r="J1032" s="19"/>
      <c r="L1032" s="16" t="str">
        <f>IFERROR(__xludf.DUMMYFUNCTION("""COMPUTED_VALUE"""),"")</f>
        <v/>
      </c>
      <c r="M1032" s="16" t="str">
        <f>IFERROR(__xludf.DUMMYFUNCTION("""COMPUTED_VALUE"""),"")</f>
        <v/>
      </c>
      <c r="U1032" s="16" t="s">
        <v>87</v>
      </c>
      <c r="V1032" s="16" t="str">
        <f>IFERROR(__xludf.DUMMYFUNCTION("""COMPUTED_VALUE"""),"")</f>
        <v/>
      </c>
      <c r="W1032" s="16" t="str">
        <f>IFERROR(__xludf.DUMMYFUNCTION("""COMPUTED_VALUE"""),"")</f>
        <v/>
      </c>
      <c r="X1032" s="16" t="str">
        <f>IFERROR(__xludf.DUMMYFUNCTION("""COMPUTED_VALUE"""),"")</f>
        <v/>
      </c>
      <c r="AC1032" s="16" t="str">
        <f>IFERROR(__xludf.DUMMYFUNCTION("""COMPUTED_VALUE"""),"")</f>
        <v/>
      </c>
    </row>
    <row r="1033">
      <c r="A1033" s="16" t="s">
        <v>87</v>
      </c>
      <c r="E1033" s="16" t="str">
        <f>IFERROR(__xludf.DUMMYFUNCTION("""COMPUTED_VALUE"""),"")</f>
        <v/>
      </c>
      <c r="G1033" s="18"/>
      <c r="H1033" s="16" t="s">
        <v>87</v>
      </c>
      <c r="I1033" s="16" t="s">
        <v>87</v>
      </c>
      <c r="J1033" s="19"/>
      <c r="L1033" s="16" t="str">
        <f>IFERROR(__xludf.DUMMYFUNCTION("""COMPUTED_VALUE"""),"")</f>
        <v/>
      </c>
      <c r="M1033" s="16" t="str">
        <f>IFERROR(__xludf.DUMMYFUNCTION("""COMPUTED_VALUE"""),"")</f>
        <v/>
      </c>
      <c r="U1033" s="16" t="s">
        <v>87</v>
      </c>
      <c r="V1033" s="16" t="str">
        <f>IFERROR(__xludf.DUMMYFUNCTION("""COMPUTED_VALUE"""),"")</f>
        <v/>
      </c>
      <c r="W1033" s="16" t="str">
        <f>IFERROR(__xludf.DUMMYFUNCTION("""COMPUTED_VALUE"""),"")</f>
        <v/>
      </c>
      <c r="X1033" s="16" t="str">
        <f>IFERROR(__xludf.DUMMYFUNCTION("""COMPUTED_VALUE"""),"")</f>
        <v/>
      </c>
      <c r="AC1033" s="16" t="str">
        <f>IFERROR(__xludf.DUMMYFUNCTION("""COMPUTED_VALUE"""),"")</f>
        <v/>
      </c>
    </row>
    <row r="1034">
      <c r="A1034" s="16" t="s">
        <v>87</v>
      </c>
      <c r="E1034" s="16" t="str">
        <f>IFERROR(__xludf.DUMMYFUNCTION("""COMPUTED_VALUE"""),"")</f>
        <v/>
      </c>
      <c r="G1034" s="18"/>
      <c r="H1034" s="16" t="s">
        <v>87</v>
      </c>
      <c r="I1034" s="16" t="s">
        <v>87</v>
      </c>
      <c r="J1034" s="19"/>
      <c r="L1034" s="16" t="str">
        <f>IFERROR(__xludf.DUMMYFUNCTION("""COMPUTED_VALUE"""),"")</f>
        <v/>
      </c>
      <c r="M1034" s="16" t="str">
        <f>IFERROR(__xludf.DUMMYFUNCTION("""COMPUTED_VALUE"""),"")</f>
        <v/>
      </c>
      <c r="U1034" s="16" t="s">
        <v>87</v>
      </c>
      <c r="V1034" s="16" t="str">
        <f>IFERROR(__xludf.DUMMYFUNCTION("""COMPUTED_VALUE"""),"")</f>
        <v/>
      </c>
      <c r="W1034" s="16" t="str">
        <f>IFERROR(__xludf.DUMMYFUNCTION("""COMPUTED_VALUE"""),"")</f>
        <v/>
      </c>
      <c r="X1034" s="16" t="str">
        <f>IFERROR(__xludf.DUMMYFUNCTION("""COMPUTED_VALUE"""),"")</f>
        <v/>
      </c>
      <c r="AC1034" s="16" t="str">
        <f>IFERROR(__xludf.DUMMYFUNCTION("""COMPUTED_VALUE"""),"")</f>
        <v/>
      </c>
    </row>
    <row r="1035">
      <c r="A1035" s="16" t="s">
        <v>87</v>
      </c>
      <c r="E1035" s="16" t="str">
        <f>IFERROR(__xludf.DUMMYFUNCTION("""COMPUTED_VALUE"""),"")</f>
        <v/>
      </c>
      <c r="G1035" s="18"/>
      <c r="H1035" s="16" t="s">
        <v>87</v>
      </c>
      <c r="I1035" s="16" t="s">
        <v>87</v>
      </c>
      <c r="J1035" s="19"/>
      <c r="L1035" s="16" t="str">
        <f>IFERROR(__xludf.DUMMYFUNCTION("""COMPUTED_VALUE"""),"")</f>
        <v/>
      </c>
      <c r="M1035" s="16" t="str">
        <f>IFERROR(__xludf.DUMMYFUNCTION("""COMPUTED_VALUE"""),"")</f>
        <v/>
      </c>
      <c r="U1035" s="16" t="s">
        <v>87</v>
      </c>
      <c r="V1035" s="16" t="str">
        <f>IFERROR(__xludf.DUMMYFUNCTION("""COMPUTED_VALUE"""),"")</f>
        <v/>
      </c>
      <c r="W1035" s="16" t="str">
        <f>IFERROR(__xludf.DUMMYFUNCTION("""COMPUTED_VALUE"""),"")</f>
        <v/>
      </c>
      <c r="X1035" s="16" t="str">
        <f>IFERROR(__xludf.DUMMYFUNCTION("""COMPUTED_VALUE"""),"")</f>
        <v/>
      </c>
      <c r="AC1035" s="16" t="str">
        <f>IFERROR(__xludf.DUMMYFUNCTION("""COMPUTED_VALUE"""),"")</f>
        <v/>
      </c>
    </row>
    <row r="1036">
      <c r="A1036" s="16" t="s">
        <v>87</v>
      </c>
      <c r="E1036" s="16" t="str">
        <f>IFERROR(__xludf.DUMMYFUNCTION("""COMPUTED_VALUE"""),"")</f>
        <v/>
      </c>
      <c r="G1036" s="18"/>
      <c r="H1036" s="16" t="s">
        <v>87</v>
      </c>
      <c r="I1036" s="16" t="s">
        <v>87</v>
      </c>
      <c r="J1036" s="19"/>
      <c r="L1036" s="16" t="str">
        <f>IFERROR(__xludf.DUMMYFUNCTION("""COMPUTED_VALUE"""),"")</f>
        <v/>
      </c>
      <c r="M1036" s="16" t="str">
        <f>IFERROR(__xludf.DUMMYFUNCTION("""COMPUTED_VALUE"""),"")</f>
        <v/>
      </c>
      <c r="U1036" s="16" t="s">
        <v>87</v>
      </c>
      <c r="V1036" s="16" t="str">
        <f>IFERROR(__xludf.DUMMYFUNCTION("""COMPUTED_VALUE"""),"")</f>
        <v/>
      </c>
      <c r="W1036" s="16" t="str">
        <f>IFERROR(__xludf.DUMMYFUNCTION("""COMPUTED_VALUE"""),"")</f>
        <v/>
      </c>
      <c r="X1036" s="16" t="str">
        <f>IFERROR(__xludf.DUMMYFUNCTION("""COMPUTED_VALUE"""),"")</f>
        <v/>
      </c>
      <c r="AC1036" s="16" t="str">
        <f>IFERROR(__xludf.DUMMYFUNCTION("""COMPUTED_VALUE"""),"")</f>
        <v/>
      </c>
    </row>
    <row r="1037">
      <c r="A1037" s="16" t="s">
        <v>87</v>
      </c>
      <c r="E1037" s="16" t="str">
        <f>IFERROR(__xludf.DUMMYFUNCTION("""COMPUTED_VALUE"""),"")</f>
        <v/>
      </c>
      <c r="G1037" s="18"/>
      <c r="H1037" s="16" t="s">
        <v>87</v>
      </c>
      <c r="I1037" s="16" t="s">
        <v>87</v>
      </c>
      <c r="J1037" s="19"/>
      <c r="L1037" s="16" t="str">
        <f>IFERROR(__xludf.DUMMYFUNCTION("""COMPUTED_VALUE"""),"")</f>
        <v/>
      </c>
      <c r="M1037" s="16" t="str">
        <f>IFERROR(__xludf.DUMMYFUNCTION("""COMPUTED_VALUE"""),"")</f>
        <v/>
      </c>
      <c r="U1037" s="16" t="s">
        <v>87</v>
      </c>
      <c r="V1037" s="16" t="str">
        <f>IFERROR(__xludf.DUMMYFUNCTION("""COMPUTED_VALUE"""),"")</f>
        <v/>
      </c>
      <c r="W1037" s="16" t="str">
        <f>IFERROR(__xludf.DUMMYFUNCTION("""COMPUTED_VALUE"""),"")</f>
        <v/>
      </c>
      <c r="X1037" s="16" t="str">
        <f>IFERROR(__xludf.DUMMYFUNCTION("""COMPUTED_VALUE"""),"")</f>
        <v/>
      </c>
      <c r="AC1037" s="16" t="str">
        <f>IFERROR(__xludf.DUMMYFUNCTION("""COMPUTED_VALUE"""),"")</f>
        <v/>
      </c>
    </row>
    <row r="1038">
      <c r="A1038" s="16" t="s">
        <v>87</v>
      </c>
      <c r="E1038" s="16" t="str">
        <f>IFERROR(__xludf.DUMMYFUNCTION("""COMPUTED_VALUE"""),"")</f>
        <v/>
      </c>
      <c r="G1038" s="18"/>
      <c r="H1038" s="16" t="s">
        <v>87</v>
      </c>
      <c r="I1038" s="16" t="s">
        <v>87</v>
      </c>
      <c r="J1038" s="19"/>
      <c r="L1038" s="16" t="str">
        <f>IFERROR(__xludf.DUMMYFUNCTION("""COMPUTED_VALUE"""),"")</f>
        <v/>
      </c>
      <c r="M1038" s="16" t="str">
        <f>IFERROR(__xludf.DUMMYFUNCTION("""COMPUTED_VALUE"""),"")</f>
        <v/>
      </c>
      <c r="U1038" s="16" t="s">
        <v>87</v>
      </c>
      <c r="V1038" s="16" t="str">
        <f>IFERROR(__xludf.DUMMYFUNCTION("""COMPUTED_VALUE"""),"")</f>
        <v/>
      </c>
      <c r="W1038" s="16" t="str">
        <f>IFERROR(__xludf.DUMMYFUNCTION("""COMPUTED_VALUE"""),"")</f>
        <v/>
      </c>
      <c r="X1038" s="16" t="str">
        <f>IFERROR(__xludf.DUMMYFUNCTION("""COMPUTED_VALUE"""),"")</f>
        <v/>
      </c>
      <c r="AC1038" s="16" t="str">
        <f>IFERROR(__xludf.DUMMYFUNCTION("""COMPUTED_VALUE"""),"")</f>
        <v/>
      </c>
    </row>
    <row r="1039">
      <c r="A1039" s="16" t="s">
        <v>87</v>
      </c>
      <c r="E1039" s="16" t="str">
        <f>IFERROR(__xludf.DUMMYFUNCTION("""COMPUTED_VALUE"""),"")</f>
        <v/>
      </c>
      <c r="G1039" s="18"/>
      <c r="H1039" s="16" t="s">
        <v>87</v>
      </c>
      <c r="I1039" s="16" t="s">
        <v>87</v>
      </c>
      <c r="J1039" s="19"/>
      <c r="L1039" s="16" t="str">
        <f>IFERROR(__xludf.DUMMYFUNCTION("""COMPUTED_VALUE"""),"")</f>
        <v/>
      </c>
      <c r="M1039" s="16" t="str">
        <f>IFERROR(__xludf.DUMMYFUNCTION("""COMPUTED_VALUE"""),"")</f>
        <v/>
      </c>
      <c r="U1039" s="16" t="s">
        <v>87</v>
      </c>
      <c r="V1039" s="16" t="str">
        <f>IFERROR(__xludf.DUMMYFUNCTION("""COMPUTED_VALUE"""),"")</f>
        <v/>
      </c>
      <c r="W1039" s="16" t="str">
        <f>IFERROR(__xludf.DUMMYFUNCTION("""COMPUTED_VALUE"""),"")</f>
        <v/>
      </c>
      <c r="X1039" s="16" t="str">
        <f>IFERROR(__xludf.DUMMYFUNCTION("""COMPUTED_VALUE"""),"")</f>
        <v/>
      </c>
      <c r="AC1039" s="16" t="str">
        <f>IFERROR(__xludf.DUMMYFUNCTION("""COMPUTED_VALUE"""),"")</f>
        <v/>
      </c>
    </row>
    <row r="1040">
      <c r="A1040" s="16" t="s">
        <v>87</v>
      </c>
      <c r="E1040" s="16" t="str">
        <f>IFERROR(__xludf.DUMMYFUNCTION("""COMPUTED_VALUE"""),"")</f>
        <v/>
      </c>
      <c r="G1040" s="18"/>
      <c r="H1040" s="16" t="s">
        <v>87</v>
      </c>
      <c r="I1040" s="16" t="s">
        <v>87</v>
      </c>
      <c r="J1040" s="19"/>
      <c r="L1040" s="16" t="str">
        <f>IFERROR(__xludf.DUMMYFUNCTION("""COMPUTED_VALUE"""),"")</f>
        <v/>
      </c>
      <c r="M1040" s="16" t="str">
        <f>IFERROR(__xludf.DUMMYFUNCTION("""COMPUTED_VALUE"""),"")</f>
        <v/>
      </c>
      <c r="U1040" s="16" t="s">
        <v>87</v>
      </c>
      <c r="V1040" s="16" t="str">
        <f>IFERROR(__xludf.DUMMYFUNCTION("""COMPUTED_VALUE"""),"")</f>
        <v/>
      </c>
      <c r="W1040" s="16" t="str">
        <f>IFERROR(__xludf.DUMMYFUNCTION("""COMPUTED_VALUE"""),"")</f>
        <v/>
      </c>
      <c r="X1040" s="16" t="str">
        <f>IFERROR(__xludf.DUMMYFUNCTION("""COMPUTED_VALUE"""),"")</f>
        <v/>
      </c>
      <c r="AC1040" s="16" t="str">
        <f>IFERROR(__xludf.DUMMYFUNCTION("""COMPUTED_VALUE"""),"")</f>
        <v/>
      </c>
    </row>
    <row r="1041">
      <c r="A1041" s="16" t="s">
        <v>87</v>
      </c>
      <c r="E1041" s="16" t="str">
        <f>IFERROR(__xludf.DUMMYFUNCTION("""COMPUTED_VALUE"""),"")</f>
        <v/>
      </c>
      <c r="G1041" s="18"/>
      <c r="H1041" s="16" t="s">
        <v>87</v>
      </c>
      <c r="I1041" s="16" t="s">
        <v>87</v>
      </c>
      <c r="J1041" s="19"/>
      <c r="L1041" s="16" t="str">
        <f>IFERROR(__xludf.DUMMYFUNCTION("""COMPUTED_VALUE"""),"")</f>
        <v/>
      </c>
      <c r="M1041" s="16" t="str">
        <f>IFERROR(__xludf.DUMMYFUNCTION("""COMPUTED_VALUE"""),"")</f>
        <v/>
      </c>
      <c r="U1041" s="16" t="s">
        <v>87</v>
      </c>
      <c r="V1041" s="16" t="str">
        <f>IFERROR(__xludf.DUMMYFUNCTION("""COMPUTED_VALUE"""),"")</f>
        <v/>
      </c>
      <c r="W1041" s="16" t="str">
        <f>IFERROR(__xludf.DUMMYFUNCTION("""COMPUTED_VALUE"""),"")</f>
        <v/>
      </c>
      <c r="X1041" s="16" t="str">
        <f>IFERROR(__xludf.DUMMYFUNCTION("""COMPUTED_VALUE"""),"")</f>
        <v/>
      </c>
      <c r="AC1041" s="16" t="str">
        <f>IFERROR(__xludf.DUMMYFUNCTION("""COMPUTED_VALUE"""),"")</f>
        <v/>
      </c>
    </row>
    <row r="1042">
      <c r="A1042" s="16" t="s">
        <v>87</v>
      </c>
      <c r="E1042" s="16" t="str">
        <f>IFERROR(__xludf.DUMMYFUNCTION("""COMPUTED_VALUE"""),"")</f>
        <v/>
      </c>
      <c r="G1042" s="18"/>
      <c r="H1042" s="16" t="s">
        <v>87</v>
      </c>
      <c r="I1042" s="16" t="s">
        <v>87</v>
      </c>
      <c r="J1042" s="19"/>
      <c r="L1042" s="16" t="str">
        <f>IFERROR(__xludf.DUMMYFUNCTION("""COMPUTED_VALUE"""),"")</f>
        <v/>
      </c>
      <c r="M1042" s="16" t="str">
        <f>IFERROR(__xludf.DUMMYFUNCTION("""COMPUTED_VALUE"""),"")</f>
        <v/>
      </c>
      <c r="U1042" s="16" t="s">
        <v>87</v>
      </c>
      <c r="V1042" s="16" t="str">
        <f>IFERROR(__xludf.DUMMYFUNCTION("""COMPUTED_VALUE"""),"")</f>
        <v/>
      </c>
      <c r="W1042" s="16" t="str">
        <f>IFERROR(__xludf.DUMMYFUNCTION("""COMPUTED_VALUE"""),"")</f>
        <v/>
      </c>
      <c r="X1042" s="16" t="str">
        <f>IFERROR(__xludf.DUMMYFUNCTION("""COMPUTED_VALUE"""),"")</f>
        <v/>
      </c>
      <c r="AC1042" s="16" t="str">
        <f>IFERROR(__xludf.DUMMYFUNCTION("""COMPUTED_VALUE"""),"")</f>
        <v/>
      </c>
    </row>
    <row r="1043">
      <c r="A1043" s="16" t="s">
        <v>87</v>
      </c>
      <c r="E1043" s="16" t="str">
        <f>IFERROR(__xludf.DUMMYFUNCTION("""COMPUTED_VALUE"""),"")</f>
        <v/>
      </c>
      <c r="G1043" s="18"/>
      <c r="H1043" s="16" t="s">
        <v>87</v>
      </c>
      <c r="I1043" s="16" t="s">
        <v>87</v>
      </c>
      <c r="J1043" s="19"/>
      <c r="L1043" s="16" t="str">
        <f>IFERROR(__xludf.DUMMYFUNCTION("""COMPUTED_VALUE"""),"")</f>
        <v/>
      </c>
      <c r="M1043" s="16" t="str">
        <f>IFERROR(__xludf.DUMMYFUNCTION("""COMPUTED_VALUE"""),"")</f>
        <v/>
      </c>
      <c r="U1043" s="16" t="s">
        <v>87</v>
      </c>
      <c r="V1043" s="16" t="str">
        <f>IFERROR(__xludf.DUMMYFUNCTION("""COMPUTED_VALUE"""),"")</f>
        <v/>
      </c>
      <c r="W1043" s="16" t="str">
        <f>IFERROR(__xludf.DUMMYFUNCTION("""COMPUTED_VALUE"""),"")</f>
        <v/>
      </c>
      <c r="X1043" s="16" t="str">
        <f>IFERROR(__xludf.DUMMYFUNCTION("""COMPUTED_VALUE"""),"")</f>
        <v/>
      </c>
      <c r="AC1043" s="16" t="str">
        <f>IFERROR(__xludf.DUMMYFUNCTION("""COMPUTED_VALUE"""),"")</f>
        <v/>
      </c>
    </row>
    <row r="1044">
      <c r="A1044" s="16" t="s">
        <v>87</v>
      </c>
      <c r="E1044" s="16" t="str">
        <f>IFERROR(__xludf.DUMMYFUNCTION("""COMPUTED_VALUE"""),"")</f>
        <v/>
      </c>
      <c r="G1044" s="18"/>
      <c r="H1044" s="16" t="s">
        <v>87</v>
      </c>
      <c r="I1044" s="16" t="s">
        <v>87</v>
      </c>
      <c r="J1044" s="19"/>
      <c r="L1044" s="16" t="str">
        <f>IFERROR(__xludf.DUMMYFUNCTION("""COMPUTED_VALUE"""),"")</f>
        <v/>
      </c>
      <c r="M1044" s="16" t="str">
        <f>IFERROR(__xludf.DUMMYFUNCTION("""COMPUTED_VALUE"""),"")</f>
        <v/>
      </c>
      <c r="U1044" s="16" t="s">
        <v>87</v>
      </c>
      <c r="V1044" s="16" t="str">
        <f>IFERROR(__xludf.DUMMYFUNCTION("""COMPUTED_VALUE"""),"")</f>
        <v/>
      </c>
      <c r="W1044" s="16" t="str">
        <f>IFERROR(__xludf.DUMMYFUNCTION("""COMPUTED_VALUE"""),"")</f>
        <v/>
      </c>
      <c r="X1044" s="16" t="str">
        <f>IFERROR(__xludf.DUMMYFUNCTION("""COMPUTED_VALUE"""),"")</f>
        <v/>
      </c>
      <c r="AC1044" s="16" t="str">
        <f>IFERROR(__xludf.DUMMYFUNCTION("""COMPUTED_VALUE"""),"")</f>
        <v/>
      </c>
    </row>
    <row r="1045">
      <c r="A1045" s="16" t="s">
        <v>87</v>
      </c>
      <c r="E1045" s="16" t="str">
        <f>IFERROR(__xludf.DUMMYFUNCTION("""COMPUTED_VALUE"""),"")</f>
        <v/>
      </c>
      <c r="G1045" s="18"/>
      <c r="H1045" s="16" t="s">
        <v>87</v>
      </c>
      <c r="I1045" s="16" t="s">
        <v>87</v>
      </c>
      <c r="J1045" s="19"/>
      <c r="L1045" s="16" t="str">
        <f>IFERROR(__xludf.DUMMYFUNCTION("""COMPUTED_VALUE"""),"")</f>
        <v/>
      </c>
      <c r="M1045" s="16" t="str">
        <f>IFERROR(__xludf.DUMMYFUNCTION("""COMPUTED_VALUE"""),"")</f>
        <v/>
      </c>
      <c r="U1045" s="16" t="s">
        <v>87</v>
      </c>
      <c r="V1045" s="16" t="str">
        <f>IFERROR(__xludf.DUMMYFUNCTION("""COMPUTED_VALUE"""),"")</f>
        <v/>
      </c>
      <c r="W1045" s="16" t="str">
        <f>IFERROR(__xludf.DUMMYFUNCTION("""COMPUTED_VALUE"""),"")</f>
        <v/>
      </c>
      <c r="X1045" s="16" t="str">
        <f>IFERROR(__xludf.DUMMYFUNCTION("""COMPUTED_VALUE"""),"")</f>
        <v/>
      </c>
      <c r="AC1045" s="16" t="str">
        <f>IFERROR(__xludf.DUMMYFUNCTION("""COMPUTED_VALUE"""),"")</f>
        <v/>
      </c>
    </row>
    <row r="1046">
      <c r="A1046" s="16" t="s">
        <v>87</v>
      </c>
      <c r="E1046" s="16" t="str">
        <f>IFERROR(__xludf.DUMMYFUNCTION("""COMPUTED_VALUE"""),"")</f>
        <v/>
      </c>
      <c r="G1046" s="18"/>
      <c r="H1046" s="16" t="s">
        <v>87</v>
      </c>
      <c r="I1046" s="16" t="s">
        <v>87</v>
      </c>
      <c r="J1046" s="19"/>
      <c r="L1046" s="16" t="str">
        <f>IFERROR(__xludf.DUMMYFUNCTION("""COMPUTED_VALUE"""),"")</f>
        <v/>
      </c>
      <c r="M1046" s="16" t="str">
        <f>IFERROR(__xludf.DUMMYFUNCTION("""COMPUTED_VALUE"""),"")</f>
        <v/>
      </c>
      <c r="U1046" s="16" t="s">
        <v>87</v>
      </c>
      <c r="V1046" s="16" t="str">
        <f>IFERROR(__xludf.DUMMYFUNCTION("""COMPUTED_VALUE"""),"")</f>
        <v/>
      </c>
      <c r="W1046" s="16" t="str">
        <f>IFERROR(__xludf.DUMMYFUNCTION("""COMPUTED_VALUE"""),"")</f>
        <v/>
      </c>
      <c r="X1046" s="16" t="str">
        <f>IFERROR(__xludf.DUMMYFUNCTION("""COMPUTED_VALUE"""),"")</f>
        <v/>
      </c>
      <c r="AC1046" s="16" t="str">
        <f>IFERROR(__xludf.DUMMYFUNCTION("""COMPUTED_VALUE"""),"")</f>
        <v/>
      </c>
    </row>
    <row r="1047">
      <c r="A1047" s="16" t="s">
        <v>87</v>
      </c>
      <c r="E1047" s="16" t="str">
        <f>IFERROR(__xludf.DUMMYFUNCTION("""COMPUTED_VALUE"""),"")</f>
        <v/>
      </c>
      <c r="G1047" s="18"/>
      <c r="H1047" s="16" t="s">
        <v>87</v>
      </c>
      <c r="I1047" s="16" t="s">
        <v>87</v>
      </c>
      <c r="J1047" s="19"/>
      <c r="L1047" s="16" t="str">
        <f>IFERROR(__xludf.DUMMYFUNCTION("""COMPUTED_VALUE"""),"")</f>
        <v/>
      </c>
      <c r="M1047" s="16" t="str">
        <f>IFERROR(__xludf.DUMMYFUNCTION("""COMPUTED_VALUE"""),"")</f>
        <v/>
      </c>
      <c r="U1047" s="16" t="s">
        <v>87</v>
      </c>
      <c r="V1047" s="16" t="str">
        <f>IFERROR(__xludf.DUMMYFUNCTION("""COMPUTED_VALUE"""),"")</f>
        <v/>
      </c>
      <c r="W1047" s="16" t="str">
        <f>IFERROR(__xludf.DUMMYFUNCTION("""COMPUTED_VALUE"""),"")</f>
        <v/>
      </c>
      <c r="X1047" s="16" t="str">
        <f>IFERROR(__xludf.DUMMYFUNCTION("""COMPUTED_VALUE"""),"")</f>
        <v/>
      </c>
      <c r="AC1047" s="16" t="str">
        <f>IFERROR(__xludf.DUMMYFUNCTION("""COMPUTED_VALUE"""),"")</f>
        <v/>
      </c>
    </row>
    <row r="1048">
      <c r="A1048" s="16" t="s">
        <v>87</v>
      </c>
      <c r="E1048" s="16" t="str">
        <f>IFERROR(__xludf.DUMMYFUNCTION("""COMPUTED_VALUE"""),"")</f>
        <v/>
      </c>
      <c r="G1048" s="18"/>
      <c r="H1048" s="16" t="s">
        <v>87</v>
      </c>
      <c r="I1048" s="16" t="s">
        <v>87</v>
      </c>
      <c r="J1048" s="19"/>
      <c r="L1048" s="16" t="str">
        <f>IFERROR(__xludf.DUMMYFUNCTION("""COMPUTED_VALUE"""),"")</f>
        <v/>
      </c>
      <c r="M1048" s="16" t="str">
        <f>IFERROR(__xludf.DUMMYFUNCTION("""COMPUTED_VALUE"""),"")</f>
        <v/>
      </c>
      <c r="U1048" s="16" t="s">
        <v>87</v>
      </c>
      <c r="V1048" s="16" t="str">
        <f>IFERROR(__xludf.DUMMYFUNCTION("""COMPUTED_VALUE"""),"")</f>
        <v/>
      </c>
      <c r="W1048" s="16" t="str">
        <f>IFERROR(__xludf.DUMMYFUNCTION("""COMPUTED_VALUE"""),"")</f>
        <v/>
      </c>
      <c r="X1048" s="16" t="str">
        <f>IFERROR(__xludf.DUMMYFUNCTION("""COMPUTED_VALUE"""),"")</f>
        <v/>
      </c>
      <c r="AC1048" s="16" t="str">
        <f>IFERROR(__xludf.DUMMYFUNCTION("""COMPUTED_VALUE"""),"")</f>
        <v/>
      </c>
    </row>
    <row r="1049">
      <c r="A1049" s="16" t="s">
        <v>87</v>
      </c>
      <c r="E1049" s="16" t="str">
        <f>IFERROR(__xludf.DUMMYFUNCTION("""COMPUTED_VALUE"""),"")</f>
        <v/>
      </c>
      <c r="G1049" s="18"/>
      <c r="H1049" s="16" t="s">
        <v>87</v>
      </c>
      <c r="I1049" s="16" t="s">
        <v>87</v>
      </c>
      <c r="J1049" s="19"/>
      <c r="L1049" s="16" t="str">
        <f>IFERROR(__xludf.DUMMYFUNCTION("""COMPUTED_VALUE"""),"")</f>
        <v/>
      </c>
      <c r="M1049" s="16" t="str">
        <f>IFERROR(__xludf.DUMMYFUNCTION("""COMPUTED_VALUE"""),"")</f>
        <v/>
      </c>
      <c r="U1049" s="16" t="s">
        <v>87</v>
      </c>
      <c r="V1049" s="16" t="str">
        <f>IFERROR(__xludf.DUMMYFUNCTION("""COMPUTED_VALUE"""),"")</f>
        <v/>
      </c>
      <c r="W1049" s="16" t="str">
        <f>IFERROR(__xludf.DUMMYFUNCTION("""COMPUTED_VALUE"""),"")</f>
        <v/>
      </c>
      <c r="X1049" s="16" t="str">
        <f>IFERROR(__xludf.DUMMYFUNCTION("""COMPUTED_VALUE"""),"")</f>
        <v/>
      </c>
      <c r="AC1049" s="16" t="str">
        <f>IFERROR(__xludf.DUMMYFUNCTION("""COMPUTED_VALUE"""),"")</f>
        <v/>
      </c>
    </row>
    <row r="1050">
      <c r="A1050" s="16" t="s">
        <v>87</v>
      </c>
      <c r="E1050" s="16" t="str">
        <f>IFERROR(__xludf.DUMMYFUNCTION("""COMPUTED_VALUE"""),"")</f>
        <v/>
      </c>
      <c r="G1050" s="18"/>
      <c r="H1050" s="16" t="s">
        <v>87</v>
      </c>
      <c r="I1050" s="16" t="s">
        <v>87</v>
      </c>
      <c r="J1050" s="19"/>
      <c r="L1050" s="16" t="str">
        <f>IFERROR(__xludf.DUMMYFUNCTION("""COMPUTED_VALUE"""),"")</f>
        <v/>
      </c>
      <c r="M1050" s="16" t="str">
        <f>IFERROR(__xludf.DUMMYFUNCTION("""COMPUTED_VALUE"""),"")</f>
        <v/>
      </c>
      <c r="U1050" s="16" t="s">
        <v>87</v>
      </c>
      <c r="V1050" s="16" t="str">
        <f>IFERROR(__xludf.DUMMYFUNCTION("""COMPUTED_VALUE"""),"")</f>
        <v/>
      </c>
      <c r="W1050" s="16" t="str">
        <f>IFERROR(__xludf.DUMMYFUNCTION("""COMPUTED_VALUE"""),"")</f>
        <v/>
      </c>
      <c r="X1050" s="16" t="str">
        <f>IFERROR(__xludf.DUMMYFUNCTION("""COMPUTED_VALUE"""),"")</f>
        <v/>
      </c>
      <c r="AC1050" s="16" t="str">
        <f>IFERROR(__xludf.DUMMYFUNCTION("""COMPUTED_VALUE"""),"")</f>
        <v/>
      </c>
    </row>
    <row r="1051">
      <c r="A1051" s="16" t="s">
        <v>87</v>
      </c>
      <c r="E1051" s="16" t="str">
        <f>IFERROR(__xludf.DUMMYFUNCTION("""COMPUTED_VALUE"""),"")</f>
        <v/>
      </c>
      <c r="G1051" s="18"/>
      <c r="H1051" s="16" t="s">
        <v>87</v>
      </c>
      <c r="I1051" s="16" t="s">
        <v>87</v>
      </c>
      <c r="J1051" s="19"/>
      <c r="L1051" s="16" t="str">
        <f>IFERROR(__xludf.DUMMYFUNCTION("""COMPUTED_VALUE"""),"")</f>
        <v/>
      </c>
      <c r="M1051" s="16" t="str">
        <f>IFERROR(__xludf.DUMMYFUNCTION("""COMPUTED_VALUE"""),"")</f>
        <v/>
      </c>
      <c r="U1051" s="16" t="s">
        <v>87</v>
      </c>
      <c r="V1051" s="16" t="str">
        <f>IFERROR(__xludf.DUMMYFUNCTION("""COMPUTED_VALUE"""),"")</f>
        <v/>
      </c>
      <c r="W1051" s="16" t="str">
        <f>IFERROR(__xludf.DUMMYFUNCTION("""COMPUTED_VALUE"""),"")</f>
        <v/>
      </c>
      <c r="X1051" s="16" t="str">
        <f>IFERROR(__xludf.DUMMYFUNCTION("""COMPUTED_VALUE"""),"")</f>
        <v/>
      </c>
      <c r="AC1051" s="16" t="str">
        <f>IFERROR(__xludf.DUMMYFUNCTION("""COMPUTED_VALUE"""),"")</f>
        <v/>
      </c>
    </row>
    <row r="1052">
      <c r="A1052" s="16" t="s">
        <v>87</v>
      </c>
      <c r="E1052" s="16" t="str">
        <f>IFERROR(__xludf.DUMMYFUNCTION("""COMPUTED_VALUE"""),"")</f>
        <v/>
      </c>
      <c r="G1052" s="18"/>
      <c r="H1052" s="16" t="s">
        <v>87</v>
      </c>
      <c r="I1052" s="16" t="s">
        <v>87</v>
      </c>
      <c r="J1052" s="19"/>
      <c r="L1052" s="16" t="str">
        <f>IFERROR(__xludf.DUMMYFUNCTION("""COMPUTED_VALUE"""),"")</f>
        <v/>
      </c>
      <c r="M1052" s="16" t="str">
        <f>IFERROR(__xludf.DUMMYFUNCTION("""COMPUTED_VALUE"""),"")</f>
        <v/>
      </c>
      <c r="U1052" s="16" t="s">
        <v>87</v>
      </c>
      <c r="V1052" s="16" t="str">
        <f>IFERROR(__xludf.DUMMYFUNCTION("""COMPUTED_VALUE"""),"")</f>
        <v/>
      </c>
      <c r="W1052" s="16" t="str">
        <f>IFERROR(__xludf.DUMMYFUNCTION("""COMPUTED_VALUE"""),"")</f>
        <v/>
      </c>
      <c r="X1052" s="16" t="str">
        <f>IFERROR(__xludf.DUMMYFUNCTION("""COMPUTED_VALUE"""),"")</f>
        <v/>
      </c>
      <c r="AC1052" s="16" t="str">
        <f>IFERROR(__xludf.DUMMYFUNCTION("""COMPUTED_VALUE"""),"")</f>
        <v/>
      </c>
    </row>
    <row r="1053">
      <c r="A1053" s="16" t="s">
        <v>87</v>
      </c>
      <c r="E1053" s="16" t="str">
        <f>IFERROR(__xludf.DUMMYFUNCTION("""COMPUTED_VALUE"""),"")</f>
        <v/>
      </c>
      <c r="G1053" s="18"/>
      <c r="H1053" s="16" t="s">
        <v>87</v>
      </c>
      <c r="I1053" s="16" t="s">
        <v>87</v>
      </c>
      <c r="J1053" s="19"/>
      <c r="L1053" s="16" t="str">
        <f>IFERROR(__xludf.DUMMYFUNCTION("""COMPUTED_VALUE"""),"")</f>
        <v/>
      </c>
      <c r="M1053" s="16" t="str">
        <f>IFERROR(__xludf.DUMMYFUNCTION("""COMPUTED_VALUE"""),"")</f>
        <v/>
      </c>
      <c r="U1053" s="16" t="s">
        <v>87</v>
      </c>
      <c r="V1053" s="16" t="str">
        <f>IFERROR(__xludf.DUMMYFUNCTION("""COMPUTED_VALUE"""),"")</f>
        <v/>
      </c>
      <c r="W1053" s="16" t="str">
        <f>IFERROR(__xludf.DUMMYFUNCTION("""COMPUTED_VALUE"""),"")</f>
        <v/>
      </c>
      <c r="X1053" s="16" t="str">
        <f>IFERROR(__xludf.DUMMYFUNCTION("""COMPUTED_VALUE"""),"")</f>
        <v/>
      </c>
      <c r="AC1053" s="16" t="str">
        <f>IFERROR(__xludf.DUMMYFUNCTION("""COMPUTED_VALUE"""),"")</f>
        <v/>
      </c>
    </row>
    <row r="1054">
      <c r="A1054" s="16" t="s">
        <v>87</v>
      </c>
      <c r="E1054" s="16" t="str">
        <f>IFERROR(__xludf.DUMMYFUNCTION("""COMPUTED_VALUE"""),"")</f>
        <v/>
      </c>
      <c r="G1054" s="18"/>
      <c r="H1054" s="16" t="s">
        <v>87</v>
      </c>
      <c r="I1054" s="16" t="s">
        <v>87</v>
      </c>
      <c r="J1054" s="19"/>
      <c r="L1054" s="16" t="str">
        <f>IFERROR(__xludf.DUMMYFUNCTION("""COMPUTED_VALUE"""),"")</f>
        <v/>
      </c>
      <c r="M1054" s="16" t="str">
        <f>IFERROR(__xludf.DUMMYFUNCTION("""COMPUTED_VALUE"""),"")</f>
        <v/>
      </c>
      <c r="U1054" s="16" t="s">
        <v>87</v>
      </c>
      <c r="V1054" s="16" t="str">
        <f>IFERROR(__xludf.DUMMYFUNCTION("""COMPUTED_VALUE"""),"")</f>
        <v/>
      </c>
      <c r="W1054" s="16" t="str">
        <f>IFERROR(__xludf.DUMMYFUNCTION("""COMPUTED_VALUE"""),"")</f>
        <v/>
      </c>
      <c r="X1054" s="16" t="str">
        <f>IFERROR(__xludf.DUMMYFUNCTION("""COMPUTED_VALUE"""),"")</f>
        <v/>
      </c>
      <c r="AC1054" s="16" t="str">
        <f>IFERROR(__xludf.DUMMYFUNCTION("""COMPUTED_VALUE"""),"")</f>
        <v/>
      </c>
    </row>
    <row r="1055">
      <c r="A1055" s="16" t="s">
        <v>87</v>
      </c>
      <c r="E1055" s="16" t="str">
        <f>IFERROR(__xludf.DUMMYFUNCTION("""COMPUTED_VALUE"""),"")</f>
        <v/>
      </c>
      <c r="G1055" s="18"/>
      <c r="H1055" s="16" t="s">
        <v>87</v>
      </c>
      <c r="I1055" s="16" t="s">
        <v>87</v>
      </c>
      <c r="J1055" s="19"/>
      <c r="L1055" s="16" t="str">
        <f>IFERROR(__xludf.DUMMYFUNCTION("""COMPUTED_VALUE"""),"")</f>
        <v/>
      </c>
      <c r="M1055" s="16" t="str">
        <f>IFERROR(__xludf.DUMMYFUNCTION("""COMPUTED_VALUE"""),"")</f>
        <v/>
      </c>
      <c r="U1055" s="16" t="s">
        <v>87</v>
      </c>
      <c r="V1055" s="16" t="str">
        <f>IFERROR(__xludf.DUMMYFUNCTION("""COMPUTED_VALUE"""),"")</f>
        <v/>
      </c>
      <c r="W1055" s="16" t="str">
        <f>IFERROR(__xludf.DUMMYFUNCTION("""COMPUTED_VALUE"""),"")</f>
        <v/>
      </c>
      <c r="X1055" s="16" t="str">
        <f>IFERROR(__xludf.DUMMYFUNCTION("""COMPUTED_VALUE"""),"")</f>
        <v/>
      </c>
      <c r="AC1055" s="16" t="str">
        <f>IFERROR(__xludf.DUMMYFUNCTION("""COMPUTED_VALUE"""),"")</f>
        <v/>
      </c>
    </row>
    <row r="1056">
      <c r="A1056" s="16" t="s">
        <v>87</v>
      </c>
      <c r="E1056" s="16" t="str">
        <f>IFERROR(__xludf.DUMMYFUNCTION("""COMPUTED_VALUE"""),"")</f>
        <v/>
      </c>
      <c r="G1056" s="18"/>
      <c r="H1056" s="16" t="s">
        <v>87</v>
      </c>
      <c r="I1056" s="16" t="s">
        <v>87</v>
      </c>
      <c r="J1056" s="19"/>
      <c r="L1056" s="16" t="str">
        <f>IFERROR(__xludf.DUMMYFUNCTION("""COMPUTED_VALUE"""),"")</f>
        <v/>
      </c>
      <c r="M1056" s="16" t="str">
        <f>IFERROR(__xludf.DUMMYFUNCTION("""COMPUTED_VALUE"""),"")</f>
        <v/>
      </c>
      <c r="U1056" s="16" t="s">
        <v>87</v>
      </c>
      <c r="V1056" s="16" t="str">
        <f>IFERROR(__xludf.DUMMYFUNCTION("""COMPUTED_VALUE"""),"")</f>
        <v/>
      </c>
      <c r="W1056" s="16" t="str">
        <f>IFERROR(__xludf.DUMMYFUNCTION("""COMPUTED_VALUE"""),"")</f>
        <v/>
      </c>
      <c r="X1056" s="16" t="str">
        <f>IFERROR(__xludf.DUMMYFUNCTION("""COMPUTED_VALUE"""),"")</f>
        <v/>
      </c>
      <c r="AC1056" s="16" t="str">
        <f>IFERROR(__xludf.DUMMYFUNCTION("""COMPUTED_VALUE"""),"")</f>
        <v/>
      </c>
    </row>
    <row r="1057">
      <c r="A1057" s="16" t="s">
        <v>87</v>
      </c>
      <c r="E1057" s="16" t="str">
        <f>IFERROR(__xludf.DUMMYFUNCTION("""COMPUTED_VALUE"""),"")</f>
        <v/>
      </c>
      <c r="G1057" s="18"/>
      <c r="H1057" s="16" t="s">
        <v>87</v>
      </c>
      <c r="I1057" s="16" t="s">
        <v>87</v>
      </c>
      <c r="J1057" s="19"/>
      <c r="L1057" s="16" t="str">
        <f>IFERROR(__xludf.DUMMYFUNCTION("""COMPUTED_VALUE"""),"")</f>
        <v/>
      </c>
      <c r="M1057" s="16" t="str">
        <f>IFERROR(__xludf.DUMMYFUNCTION("""COMPUTED_VALUE"""),"")</f>
        <v/>
      </c>
      <c r="U1057" s="16" t="s">
        <v>87</v>
      </c>
      <c r="V1057" s="16" t="str">
        <f>IFERROR(__xludf.DUMMYFUNCTION("""COMPUTED_VALUE"""),"")</f>
        <v/>
      </c>
      <c r="W1057" s="16" t="str">
        <f>IFERROR(__xludf.DUMMYFUNCTION("""COMPUTED_VALUE"""),"")</f>
        <v/>
      </c>
      <c r="X1057" s="16" t="str">
        <f>IFERROR(__xludf.DUMMYFUNCTION("""COMPUTED_VALUE"""),"")</f>
        <v/>
      </c>
      <c r="AC1057" s="16" t="str">
        <f>IFERROR(__xludf.DUMMYFUNCTION("""COMPUTED_VALUE"""),"")</f>
        <v/>
      </c>
    </row>
    <row r="1058">
      <c r="A1058" s="16" t="s">
        <v>87</v>
      </c>
      <c r="E1058" s="16" t="str">
        <f>IFERROR(__xludf.DUMMYFUNCTION("""COMPUTED_VALUE"""),"")</f>
        <v/>
      </c>
      <c r="G1058" s="18"/>
      <c r="H1058" s="16" t="s">
        <v>87</v>
      </c>
      <c r="I1058" s="16" t="s">
        <v>87</v>
      </c>
      <c r="J1058" s="19"/>
      <c r="L1058" s="16" t="str">
        <f>IFERROR(__xludf.DUMMYFUNCTION("""COMPUTED_VALUE"""),"")</f>
        <v/>
      </c>
      <c r="M1058" s="16" t="str">
        <f>IFERROR(__xludf.DUMMYFUNCTION("""COMPUTED_VALUE"""),"")</f>
        <v/>
      </c>
      <c r="U1058" s="16" t="s">
        <v>87</v>
      </c>
      <c r="V1058" s="16" t="str">
        <f>IFERROR(__xludf.DUMMYFUNCTION("""COMPUTED_VALUE"""),"")</f>
        <v/>
      </c>
      <c r="W1058" s="16" t="str">
        <f>IFERROR(__xludf.DUMMYFUNCTION("""COMPUTED_VALUE"""),"")</f>
        <v/>
      </c>
      <c r="X1058" s="16" t="str">
        <f>IFERROR(__xludf.DUMMYFUNCTION("""COMPUTED_VALUE"""),"")</f>
        <v/>
      </c>
      <c r="AC1058" s="16" t="str">
        <f>IFERROR(__xludf.DUMMYFUNCTION("""COMPUTED_VALUE"""),"")</f>
        <v/>
      </c>
    </row>
    <row r="1059">
      <c r="A1059" s="16" t="s">
        <v>87</v>
      </c>
      <c r="E1059" s="16" t="str">
        <f>IFERROR(__xludf.DUMMYFUNCTION("""COMPUTED_VALUE"""),"")</f>
        <v/>
      </c>
      <c r="G1059" s="18"/>
      <c r="H1059" s="16" t="s">
        <v>87</v>
      </c>
      <c r="I1059" s="16" t="s">
        <v>87</v>
      </c>
      <c r="J1059" s="19"/>
      <c r="L1059" s="16" t="str">
        <f>IFERROR(__xludf.DUMMYFUNCTION("""COMPUTED_VALUE"""),"")</f>
        <v/>
      </c>
      <c r="M1059" s="16" t="str">
        <f>IFERROR(__xludf.DUMMYFUNCTION("""COMPUTED_VALUE"""),"")</f>
        <v/>
      </c>
      <c r="U1059" s="16" t="s">
        <v>87</v>
      </c>
      <c r="V1059" s="16" t="str">
        <f>IFERROR(__xludf.DUMMYFUNCTION("""COMPUTED_VALUE"""),"")</f>
        <v/>
      </c>
      <c r="W1059" s="16" t="str">
        <f>IFERROR(__xludf.DUMMYFUNCTION("""COMPUTED_VALUE"""),"")</f>
        <v/>
      </c>
      <c r="X1059" s="16" t="str">
        <f>IFERROR(__xludf.DUMMYFUNCTION("""COMPUTED_VALUE"""),"")</f>
        <v/>
      </c>
      <c r="AC1059" s="16" t="str">
        <f>IFERROR(__xludf.DUMMYFUNCTION("""COMPUTED_VALUE"""),"")</f>
        <v/>
      </c>
    </row>
    <row r="1060">
      <c r="A1060" s="16" t="s">
        <v>87</v>
      </c>
      <c r="E1060" s="16" t="str">
        <f>IFERROR(__xludf.DUMMYFUNCTION("""COMPUTED_VALUE"""),"")</f>
        <v/>
      </c>
      <c r="G1060" s="18"/>
      <c r="H1060" s="16" t="s">
        <v>87</v>
      </c>
      <c r="I1060" s="16" t="s">
        <v>87</v>
      </c>
      <c r="J1060" s="19"/>
      <c r="L1060" s="16" t="str">
        <f>IFERROR(__xludf.DUMMYFUNCTION("""COMPUTED_VALUE"""),"")</f>
        <v/>
      </c>
      <c r="M1060" s="16" t="str">
        <f>IFERROR(__xludf.DUMMYFUNCTION("""COMPUTED_VALUE"""),"")</f>
        <v/>
      </c>
      <c r="U1060" s="16" t="s">
        <v>87</v>
      </c>
      <c r="V1060" s="16" t="str">
        <f>IFERROR(__xludf.DUMMYFUNCTION("""COMPUTED_VALUE"""),"")</f>
        <v/>
      </c>
      <c r="W1060" s="16" t="str">
        <f>IFERROR(__xludf.DUMMYFUNCTION("""COMPUTED_VALUE"""),"")</f>
        <v/>
      </c>
      <c r="X1060" s="16" t="str">
        <f>IFERROR(__xludf.DUMMYFUNCTION("""COMPUTED_VALUE"""),"")</f>
        <v/>
      </c>
      <c r="AC1060" s="16" t="str">
        <f>IFERROR(__xludf.DUMMYFUNCTION("""COMPUTED_VALUE"""),"")</f>
        <v/>
      </c>
    </row>
    <row r="1061">
      <c r="A1061" s="16" t="s">
        <v>87</v>
      </c>
      <c r="E1061" s="16" t="str">
        <f>IFERROR(__xludf.DUMMYFUNCTION("""COMPUTED_VALUE"""),"")</f>
        <v/>
      </c>
      <c r="G1061" s="18"/>
      <c r="H1061" s="16" t="s">
        <v>87</v>
      </c>
      <c r="I1061" s="16" t="s">
        <v>87</v>
      </c>
      <c r="J1061" s="19"/>
      <c r="L1061" s="16" t="str">
        <f>IFERROR(__xludf.DUMMYFUNCTION("""COMPUTED_VALUE"""),"")</f>
        <v/>
      </c>
      <c r="M1061" s="16" t="str">
        <f>IFERROR(__xludf.DUMMYFUNCTION("""COMPUTED_VALUE"""),"")</f>
        <v/>
      </c>
      <c r="U1061" s="16" t="s">
        <v>87</v>
      </c>
      <c r="V1061" s="16" t="str">
        <f>IFERROR(__xludf.DUMMYFUNCTION("""COMPUTED_VALUE"""),"")</f>
        <v/>
      </c>
      <c r="W1061" s="16" t="str">
        <f>IFERROR(__xludf.DUMMYFUNCTION("""COMPUTED_VALUE"""),"")</f>
        <v/>
      </c>
      <c r="X1061" s="16" t="str">
        <f>IFERROR(__xludf.DUMMYFUNCTION("""COMPUTED_VALUE"""),"")</f>
        <v/>
      </c>
      <c r="AC1061" s="16" t="str">
        <f>IFERROR(__xludf.DUMMYFUNCTION("""COMPUTED_VALUE"""),"")</f>
        <v/>
      </c>
    </row>
    <row r="1062">
      <c r="A1062" s="16" t="s">
        <v>87</v>
      </c>
      <c r="E1062" s="16" t="str">
        <f>IFERROR(__xludf.DUMMYFUNCTION("""COMPUTED_VALUE"""),"")</f>
        <v/>
      </c>
      <c r="G1062" s="18"/>
      <c r="H1062" s="16" t="s">
        <v>87</v>
      </c>
      <c r="I1062" s="16" t="s">
        <v>87</v>
      </c>
      <c r="J1062" s="19"/>
      <c r="L1062" s="16" t="str">
        <f>IFERROR(__xludf.DUMMYFUNCTION("""COMPUTED_VALUE"""),"")</f>
        <v/>
      </c>
      <c r="M1062" s="16" t="str">
        <f>IFERROR(__xludf.DUMMYFUNCTION("""COMPUTED_VALUE"""),"")</f>
        <v/>
      </c>
      <c r="U1062" s="16" t="s">
        <v>87</v>
      </c>
      <c r="V1062" s="16" t="str">
        <f>IFERROR(__xludf.DUMMYFUNCTION("""COMPUTED_VALUE"""),"")</f>
        <v/>
      </c>
      <c r="W1062" s="16" t="str">
        <f>IFERROR(__xludf.DUMMYFUNCTION("""COMPUTED_VALUE"""),"")</f>
        <v/>
      </c>
      <c r="X1062" s="16" t="str">
        <f>IFERROR(__xludf.DUMMYFUNCTION("""COMPUTED_VALUE"""),"")</f>
        <v/>
      </c>
      <c r="AC1062" s="16" t="str">
        <f>IFERROR(__xludf.DUMMYFUNCTION("""COMPUTED_VALUE"""),"")</f>
        <v/>
      </c>
    </row>
    <row r="1063">
      <c r="A1063" s="16" t="s">
        <v>87</v>
      </c>
      <c r="E1063" s="16" t="str">
        <f>IFERROR(__xludf.DUMMYFUNCTION("""COMPUTED_VALUE"""),"")</f>
        <v/>
      </c>
      <c r="G1063" s="18"/>
      <c r="H1063" s="16" t="s">
        <v>87</v>
      </c>
      <c r="I1063" s="16" t="s">
        <v>87</v>
      </c>
      <c r="J1063" s="19"/>
      <c r="L1063" s="16" t="str">
        <f>IFERROR(__xludf.DUMMYFUNCTION("""COMPUTED_VALUE"""),"")</f>
        <v/>
      </c>
      <c r="M1063" s="16" t="str">
        <f>IFERROR(__xludf.DUMMYFUNCTION("""COMPUTED_VALUE"""),"")</f>
        <v/>
      </c>
      <c r="U1063" s="16" t="s">
        <v>87</v>
      </c>
      <c r="V1063" s="16" t="str">
        <f>IFERROR(__xludf.DUMMYFUNCTION("""COMPUTED_VALUE"""),"")</f>
        <v/>
      </c>
      <c r="W1063" s="16" t="str">
        <f>IFERROR(__xludf.DUMMYFUNCTION("""COMPUTED_VALUE"""),"")</f>
        <v/>
      </c>
      <c r="X1063" s="16" t="str">
        <f>IFERROR(__xludf.DUMMYFUNCTION("""COMPUTED_VALUE"""),"")</f>
        <v/>
      </c>
      <c r="AC1063" s="16" t="str">
        <f>IFERROR(__xludf.DUMMYFUNCTION("""COMPUTED_VALUE"""),"")</f>
        <v/>
      </c>
    </row>
    <row r="1064">
      <c r="A1064" s="16" t="s">
        <v>87</v>
      </c>
      <c r="E1064" s="16" t="str">
        <f>IFERROR(__xludf.DUMMYFUNCTION("""COMPUTED_VALUE"""),"")</f>
        <v/>
      </c>
      <c r="G1064" s="18"/>
      <c r="H1064" s="16" t="s">
        <v>87</v>
      </c>
      <c r="I1064" s="16" t="s">
        <v>87</v>
      </c>
      <c r="J1064" s="19"/>
      <c r="L1064" s="16" t="str">
        <f>IFERROR(__xludf.DUMMYFUNCTION("""COMPUTED_VALUE"""),"")</f>
        <v/>
      </c>
      <c r="M1064" s="16" t="str">
        <f>IFERROR(__xludf.DUMMYFUNCTION("""COMPUTED_VALUE"""),"")</f>
        <v/>
      </c>
      <c r="U1064" s="16" t="s">
        <v>87</v>
      </c>
      <c r="V1064" s="16" t="str">
        <f>IFERROR(__xludf.DUMMYFUNCTION("""COMPUTED_VALUE"""),"")</f>
        <v/>
      </c>
      <c r="W1064" s="16" t="str">
        <f>IFERROR(__xludf.DUMMYFUNCTION("""COMPUTED_VALUE"""),"")</f>
        <v/>
      </c>
      <c r="X1064" s="16" t="str">
        <f>IFERROR(__xludf.DUMMYFUNCTION("""COMPUTED_VALUE"""),"")</f>
        <v/>
      </c>
      <c r="AC1064" s="16" t="str">
        <f>IFERROR(__xludf.DUMMYFUNCTION("""COMPUTED_VALUE"""),"")</f>
        <v/>
      </c>
    </row>
    <row r="1065">
      <c r="A1065" s="16" t="s">
        <v>87</v>
      </c>
      <c r="E1065" s="16" t="str">
        <f>IFERROR(__xludf.DUMMYFUNCTION("""COMPUTED_VALUE"""),"")</f>
        <v/>
      </c>
      <c r="G1065" s="18"/>
      <c r="H1065" s="16" t="s">
        <v>87</v>
      </c>
      <c r="I1065" s="16" t="s">
        <v>87</v>
      </c>
      <c r="J1065" s="19"/>
      <c r="L1065" s="16" t="str">
        <f>IFERROR(__xludf.DUMMYFUNCTION("""COMPUTED_VALUE"""),"")</f>
        <v/>
      </c>
      <c r="M1065" s="16" t="str">
        <f>IFERROR(__xludf.DUMMYFUNCTION("""COMPUTED_VALUE"""),"")</f>
        <v/>
      </c>
      <c r="U1065" s="16" t="s">
        <v>87</v>
      </c>
      <c r="V1065" s="16" t="str">
        <f>IFERROR(__xludf.DUMMYFUNCTION("""COMPUTED_VALUE"""),"")</f>
        <v/>
      </c>
      <c r="W1065" s="16" t="str">
        <f>IFERROR(__xludf.DUMMYFUNCTION("""COMPUTED_VALUE"""),"")</f>
        <v/>
      </c>
      <c r="X1065" s="16" t="str">
        <f>IFERROR(__xludf.DUMMYFUNCTION("""COMPUTED_VALUE"""),"")</f>
        <v/>
      </c>
      <c r="AC1065" s="16" t="str">
        <f>IFERROR(__xludf.DUMMYFUNCTION("""COMPUTED_VALUE"""),"")</f>
        <v/>
      </c>
    </row>
    <row r="1066">
      <c r="A1066" s="16" t="s">
        <v>87</v>
      </c>
      <c r="E1066" s="16" t="str">
        <f>IFERROR(__xludf.DUMMYFUNCTION("""COMPUTED_VALUE"""),"")</f>
        <v/>
      </c>
      <c r="G1066" s="18"/>
      <c r="H1066" s="16" t="s">
        <v>87</v>
      </c>
      <c r="I1066" s="16" t="s">
        <v>87</v>
      </c>
      <c r="J1066" s="19"/>
      <c r="L1066" s="16" t="str">
        <f>IFERROR(__xludf.DUMMYFUNCTION("""COMPUTED_VALUE"""),"")</f>
        <v/>
      </c>
      <c r="M1066" s="16" t="str">
        <f>IFERROR(__xludf.DUMMYFUNCTION("""COMPUTED_VALUE"""),"")</f>
        <v/>
      </c>
      <c r="U1066" s="16" t="s">
        <v>87</v>
      </c>
      <c r="V1066" s="16" t="str">
        <f>IFERROR(__xludf.DUMMYFUNCTION("""COMPUTED_VALUE"""),"")</f>
        <v/>
      </c>
      <c r="W1066" s="16" t="str">
        <f>IFERROR(__xludf.DUMMYFUNCTION("""COMPUTED_VALUE"""),"")</f>
        <v/>
      </c>
      <c r="X1066" s="16" t="str">
        <f>IFERROR(__xludf.DUMMYFUNCTION("""COMPUTED_VALUE"""),"")</f>
        <v/>
      </c>
      <c r="AC1066" s="16" t="str">
        <f>IFERROR(__xludf.DUMMYFUNCTION("""COMPUTED_VALUE"""),"")</f>
        <v/>
      </c>
    </row>
    <row r="1067">
      <c r="A1067" s="16" t="s">
        <v>87</v>
      </c>
      <c r="E1067" s="16" t="str">
        <f>IFERROR(__xludf.DUMMYFUNCTION("""COMPUTED_VALUE"""),"")</f>
        <v/>
      </c>
      <c r="G1067" s="18"/>
      <c r="H1067" s="16" t="s">
        <v>87</v>
      </c>
      <c r="I1067" s="16" t="s">
        <v>87</v>
      </c>
      <c r="J1067" s="19"/>
      <c r="L1067" s="16" t="str">
        <f>IFERROR(__xludf.DUMMYFUNCTION("""COMPUTED_VALUE"""),"")</f>
        <v/>
      </c>
      <c r="M1067" s="16" t="str">
        <f>IFERROR(__xludf.DUMMYFUNCTION("""COMPUTED_VALUE"""),"")</f>
        <v/>
      </c>
      <c r="U1067" s="16" t="s">
        <v>87</v>
      </c>
      <c r="V1067" s="16" t="str">
        <f>IFERROR(__xludf.DUMMYFUNCTION("""COMPUTED_VALUE"""),"")</f>
        <v/>
      </c>
      <c r="W1067" s="16" t="str">
        <f>IFERROR(__xludf.DUMMYFUNCTION("""COMPUTED_VALUE"""),"")</f>
        <v/>
      </c>
      <c r="X1067" s="16" t="str">
        <f>IFERROR(__xludf.DUMMYFUNCTION("""COMPUTED_VALUE"""),"")</f>
        <v/>
      </c>
      <c r="AC1067" s="16" t="str">
        <f>IFERROR(__xludf.DUMMYFUNCTION("""COMPUTED_VALUE"""),"")</f>
        <v/>
      </c>
    </row>
    <row r="1068">
      <c r="A1068" s="16" t="s">
        <v>87</v>
      </c>
      <c r="E1068" s="16" t="str">
        <f>IFERROR(__xludf.DUMMYFUNCTION("""COMPUTED_VALUE"""),"")</f>
        <v/>
      </c>
      <c r="G1068" s="18"/>
      <c r="H1068" s="16" t="s">
        <v>87</v>
      </c>
      <c r="I1068" s="16" t="s">
        <v>87</v>
      </c>
      <c r="J1068" s="19"/>
      <c r="L1068" s="16" t="str">
        <f>IFERROR(__xludf.DUMMYFUNCTION("""COMPUTED_VALUE"""),"")</f>
        <v/>
      </c>
      <c r="M1068" s="16" t="str">
        <f>IFERROR(__xludf.DUMMYFUNCTION("""COMPUTED_VALUE"""),"")</f>
        <v/>
      </c>
      <c r="U1068" s="16" t="s">
        <v>87</v>
      </c>
      <c r="V1068" s="16" t="str">
        <f>IFERROR(__xludf.DUMMYFUNCTION("""COMPUTED_VALUE"""),"")</f>
        <v/>
      </c>
      <c r="W1068" s="16" t="str">
        <f>IFERROR(__xludf.DUMMYFUNCTION("""COMPUTED_VALUE"""),"")</f>
        <v/>
      </c>
      <c r="X1068" s="16" t="str">
        <f>IFERROR(__xludf.DUMMYFUNCTION("""COMPUTED_VALUE"""),"")</f>
        <v/>
      </c>
      <c r="AC1068" s="16" t="str">
        <f>IFERROR(__xludf.DUMMYFUNCTION("""COMPUTED_VALUE"""),"")</f>
        <v/>
      </c>
    </row>
    <row r="1069">
      <c r="A1069" s="16" t="s">
        <v>87</v>
      </c>
      <c r="E1069" s="16" t="str">
        <f>IFERROR(__xludf.DUMMYFUNCTION("""COMPUTED_VALUE"""),"")</f>
        <v/>
      </c>
      <c r="G1069" s="18"/>
      <c r="H1069" s="16" t="s">
        <v>87</v>
      </c>
      <c r="I1069" s="16" t="s">
        <v>87</v>
      </c>
      <c r="J1069" s="19"/>
      <c r="L1069" s="16" t="str">
        <f>IFERROR(__xludf.DUMMYFUNCTION("""COMPUTED_VALUE"""),"")</f>
        <v/>
      </c>
      <c r="M1069" s="16" t="str">
        <f>IFERROR(__xludf.DUMMYFUNCTION("""COMPUTED_VALUE"""),"")</f>
        <v/>
      </c>
      <c r="U1069" s="16" t="s">
        <v>87</v>
      </c>
      <c r="V1069" s="16" t="str">
        <f>IFERROR(__xludf.DUMMYFUNCTION("""COMPUTED_VALUE"""),"")</f>
        <v/>
      </c>
      <c r="W1069" s="16" t="str">
        <f>IFERROR(__xludf.DUMMYFUNCTION("""COMPUTED_VALUE"""),"")</f>
        <v/>
      </c>
      <c r="X1069" s="16" t="str">
        <f>IFERROR(__xludf.DUMMYFUNCTION("""COMPUTED_VALUE"""),"")</f>
        <v/>
      </c>
      <c r="AC1069" s="16" t="str">
        <f>IFERROR(__xludf.DUMMYFUNCTION("""COMPUTED_VALUE"""),"")</f>
        <v/>
      </c>
    </row>
    <row r="1070">
      <c r="A1070" s="16" t="s">
        <v>87</v>
      </c>
      <c r="E1070" s="16" t="str">
        <f>IFERROR(__xludf.DUMMYFUNCTION("""COMPUTED_VALUE"""),"")</f>
        <v/>
      </c>
      <c r="G1070" s="18"/>
      <c r="H1070" s="16" t="s">
        <v>87</v>
      </c>
      <c r="I1070" s="16" t="s">
        <v>87</v>
      </c>
      <c r="J1070" s="19"/>
      <c r="L1070" s="16" t="str">
        <f>IFERROR(__xludf.DUMMYFUNCTION("""COMPUTED_VALUE"""),"")</f>
        <v/>
      </c>
      <c r="M1070" s="16" t="str">
        <f>IFERROR(__xludf.DUMMYFUNCTION("""COMPUTED_VALUE"""),"")</f>
        <v/>
      </c>
      <c r="U1070" s="16" t="s">
        <v>87</v>
      </c>
      <c r="V1070" s="16" t="str">
        <f>IFERROR(__xludf.DUMMYFUNCTION("""COMPUTED_VALUE"""),"")</f>
        <v/>
      </c>
      <c r="W1070" s="16" t="str">
        <f>IFERROR(__xludf.DUMMYFUNCTION("""COMPUTED_VALUE"""),"")</f>
        <v/>
      </c>
      <c r="X1070" s="16" t="str">
        <f>IFERROR(__xludf.DUMMYFUNCTION("""COMPUTED_VALUE"""),"")</f>
        <v/>
      </c>
      <c r="AC1070" s="16" t="str">
        <f>IFERROR(__xludf.DUMMYFUNCTION("""COMPUTED_VALUE"""),"")</f>
        <v/>
      </c>
    </row>
    <row r="1071">
      <c r="A1071" s="16" t="s">
        <v>87</v>
      </c>
      <c r="E1071" s="16" t="str">
        <f>IFERROR(__xludf.DUMMYFUNCTION("""COMPUTED_VALUE"""),"")</f>
        <v/>
      </c>
      <c r="G1071" s="18"/>
      <c r="H1071" s="16" t="s">
        <v>87</v>
      </c>
      <c r="I1071" s="16" t="s">
        <v>87</v>
      </c>
      <c r="J1071" s="19"/>
      <c r="L1071" s="16" t="str">
        <f>IFERROR(__xludf.DUMMYFUNCTION("""COMPUTED_VALUE"""),"")</f>
        <v/>
      </c>
      <c r="M1071" s="16" t="str">
        <f>IFERROR(__xludf.DUMMYFUNCTION("""COMPUTED_VALUE"""),"")</f>
        <v/>
      </c>
      <c r="U1071" s="16" t="s">
        <v>87</v>
      </c>
      <c r="V1071" s="16" t="str">
        <f>IFERROR(__xludf.DUMMYFUNCTION("""COMPUTED_VALUE"""),"")</f>
        <v/>
      </c>
      <c r="W1071" s="16" t="str">
        <f>IFERROR(__xludf.DUMMYFUNCTION("""COMPUTED_VALUE"""),"")</f>
        <v/>
      </c>
      <c r="X1071" s="16" t="str">
        <f>IFERROR(__xludf.DUMMYFUNCTION("""COMPUTED_VALUE"""),"")</f>
        <v/>
      </c>
      <c r="AC1071" s="16" t="str">
        <f>IFERROR(__xludf.DUMMYFUNCTION("""COMPUTED_VALUE"""),"")</f>
        <v/>
      </c>
    </row>
    <row r="1072">
      <c r="A1072" s="16" t="s">
        <v>87</v>
      </c>
      <c r="E1072" s="16" t="str">
        <f>IFERROR(__xludf.DUMMYFUNCTION("""COMPUTED_VALUE"""),"")</f>
        <v/>
      </c>
      <c r="G1072" s="18"/>
      <c r="H1072" s="16" t="s">
        <v>87</v>
      </c>
      <c r="I1072" s="16" t="s">
        <v>87</v>
      </c>
      <c r="J1072" s="19"/>
      <c r="L1072" s="16" t="str">
        <f>IFERROR(__xludf.DUMMYFUNCTION("""COMPUTED_VALUE"""),"")</f>
        <v/>
      </c>
      <c r="M1072" s="16" t="str">
        <f>IFERROR(__xludf.DUMMYFUNCTION("""COMPUTED_VALUE"""),"")</f>
        <v/>
      </c>
      <c r="U1072" s="16" t="s">
        <v>87</v>
      </c>
      <c r="V1072" s="16" t="str">
        <f>IFERROR(__xludf.DUMMYFUNCTION("""COMPUTED_VALUE"""),"")</f>
        <v/>
      </c>
      <c r="W1072" s="16" t="str">
        <f>IFERROR(__xludf.DUMMYFUNCTION("""COMPUTED_VALUE"""),"")</f>
        <v/>
      </c>
      <c r="X1072" s="16" t="str">
        <f>IFERROR(__xludf.DUMMYFUNCTION("""COMPUTED_VALUE"""),"")</f>
        <v/>
      </c>
      <c r="AC1072" s="16" t="str">
        <f>IFERROR(__xludf.DUMMYFUNCTION("""COMPUTED_VALUE"""),"")</f>
        <v/>
      </c>
    </row>
    <row r="1073">
      <c r="A1073" s="16" t="s">
        <v>87</v>
      </c>
      <c r="E1073" s="16" t="str">
        <f>IFERROR(__xludf.DUMMYFUNCTION("""COMPUTED_VALUE"""),"")</f>
        <v/>
      </c>
      <c r="G1073" s="18"/>
      <c r="H1073" s="16" t="s">
        <v>87</v>
      </c>
      <c r="I1073" s="16" t="s">
        <v>87</v>
      </c>
      <c r="J1073" s="19"/>
      <c r="L1073" s="16" t="str">
        <f>IFERROR(__xludf.DUMMYFUNCTION("""COMPUTED_VALUE"""),"")</f>
        <v/>
      </c>
      <c r="M1073" s="16" t="str">
        <f>IFERROR(__xludf.DUMMYFUNCTION("""COMPUTED_VALUE"""),"")</f>
        <v/>
      </c>
      <c r="U1073" s="16" t="s">
        <v>87</v>
      </c>
      <c r="V1073" s="16" t="str">
        <f>IFERROR(__xludf.DUMMYFUNCTION("""COMPUTED_VALUE"""),"")</f>
        <v/>
      </c>
      <c r="W1073" s="16" t="str">
        <f>IFERROR(__xludf.DUMMYFUNCTION("""COMPUTED_VALUE"""),"")</f>
        <v/>
      </c>
      <c r="X1073" s="16" t="str">
        <f>IFERROR(__xludf.DUMMYFUNCTION("""COMPUTED_VALUE"""),"")</f>
        <v/>
      </c>
      <c r="AC1073" s="16" t="str">
        <f>IFERROR(__xludf.DUMMYFUNCTION("""COMPUTED_VALUE"""),"")</f>
        <v/>
      </c>
    </row>
    <row r="1074">
      <c r="A1074" s="16" t="s">
        <v>87</v>
      </c>
      <c r="E1074" s="16" t="str">
        <f>IFERROR(__xludf.DUMMYFUNCTION("""COMPUTED_VALUE"""),"")</f>
        <v/>
      </c>
      <c r="G1074" s="18"/>
      <c r="H1074" s="16" t="s">
        <v>87</v>
      </c>
      <c r="I1074" s="16" t="s">
        <v>87</v>
      </c>
      <c r="J1074" s="19"/>
      <c r="L1074" s="16" t="str">
        <f>IFERROR(__xludf.DUMMYFUNCTION("""COMPUTED_VALUE"""),"")</f>
        <v/>
      </c>
      <c r="M1074" s="16" t="str">
        <f>IFERROR(__xludf.DUMMYFUNCTION("""COMPUTED_VALUE"""),"")</f>
        <v/>
      </c>
      <c r="U1074" s="16" t="s">
        <v>87</v>
      </c>
      <c r="V1074" s="16" t="str">
        <f>IFERROR(__xludf.DUMMYFUNCTION("""COMPUTED_VALUE"""),"")</f>
        <v/>
      </c>
      <c r="W1074" s="16" t="str">
        <f>IFERROR(__xludf.DUMMYFUNCTION("""COMPUTED_VALUE"""),"")</f>
        <v/>
      </c>
      <c r="X1074" s="16" t="str">
        <f>IFERROR(__xludf.DUMMYFUNCTION("""COMPUTED_VALUE"""),"")</f>
        <v/>
      </c>
      <c r="AC1074" s="16" t="str">
        <f>IFERROR(__xludf.DUMMYFUNCTION("""COMPUTED_VALUE"""),"")</f>
        <v/>
      </c>
    </row>
    <row r="1075">
      <c r="A1075" s="16" t="s">
        <v>87</v>
      </c>
      <c r="E1075" s="16" t="str">
        <f>IFERROR(__xludf.DUMMYFUNCTION("""COMPUTED_VALUE"""),"")</f>
        <v/>
      </c>
      <c r="G1075" s="18"/>
      <c r="H1075" s="16" t="s">
        <v>87</v>
      </c>
      <c r="I1075" s="16" t="s">
        <v>87</v>
      </c>
      <c r="J1075" s="19"/>
      <c r="L1075" s="16" t="str">
        <f>IFERROR(__xludf.DUMMYFUNCTION("""COMPUTED_VALUE"""),"")</f>
        <v/>
      </c>
      <c r="M1075" s="16" t="str">
        <f>IFERROR(__xludf.DUMMYFUNCTION("""COMPUTED_VALUE"""),"")</f>
        <v/>
      </c>
      <c r="U1075" s="16" t="s">
        <v>87</v>
      </c>
      <c r="V1075" s="16" t="str">
        <f>IFERROR(__xludf.DUMMYFUNCTION("""COMPUTED_VALUE"""),"")</f>
        <v/>
      </c>
      <c r="W1075" s="16" t="str">
        <f>IFERROR(__xludf.DUMMYFUNCTION("""COMPUTED_VALUE"""),"")</f>
        <v/>
      </c>
      <c r="X1075" s="16" t="str">
        <f>IFERROR(__xludf.DUMMYFUNCTION("""COMPUTED_VALUE"""),"")</f>
        <v/>
      </c>
      <c r="AC1075" s="16" t="str">
        <f>IFERROR(__xludf.DUMMYFUNCTION("""COMPUTED_VALUE"""),"")</f>
        <v/>
      </c>
    </row>
    <row r="1076">
      <c r="A1076" s="16" t="s">
        <v>87</v>
      </c>
      <c r="E1076" s="16" t="str">
        <f>IFERROR(__xludf.DUMMYFUNCTION("""COMPUTED_VALUE"""),"")</f>
        <v/>
      </c>
      <c r="G1076" s="18"/>
      <c r="H1076" s="16" t="s">
        <v>87</v>
      </c>
      <c r="I1076" s="16" t="s">
        <v>87</v>
      </c>
      <c r="J1076" s="19"/>
      <c r="L1076" s="16" t="str">
        <f>IFERROR(__xludf.DUMMYFUNCTION("""COMPUTED_VALUE"""),"")</f>
        <v/>
      </c>
      <c r="M1076" s="16" t="str">
        <f>IFERROR(__xludf.DUMMYFUNCTION("""COMPUTED_VALUE"""),"")</f>
        <v/>
      </c>
      <c r="U1076" s="16" t="s">
        <v>87</v>
      </c>
      <c r="V1076" s="16" t="str">
        <f>IFERROR(__xludf.DUMMYFUNCTION("""COMPUTED_VALUE"""),"")</f>
        <v/>
      </c>
      <c r="W1076" s="16" t="str">
        <f>IFERROR(__xludf.DUMMYFUNCTION("""COMPUTED_VALUE"""),"")</f>
        <v/>
      </c>
      <c r="X1076" s="16" t="str">
        <f>IFERROR(__xludf.DUMMYFUNCTION("""COMPUTED_VALUE"""),"")</f>
        <v/>
      </c>
      <c r="AC1076" s="16" t="str">
        <f>IFERROR(__xludf.DUMMYFUNCTION("""COMPUTED_VALUE"""),"")</f>
        <v/>
      </c>
    </row>
    <row r="1077">
      <c r="A1077" s="16" t="s">
        <v>87</v>
      </c>
      <c r="E1077" s="16" t="str">
        <f>IFERROR(__xludf.DUMMYFUNCTION("""COMPUTED_VALUE"""),"")</f>
        <v/>
      </c>
      <c r="G1077" s="18"/>
      <c r="H1077" s="16" t="s">
        <v>87</v>
      </c>
      <c r="I1077" s="16" t="s">
        <v>87</v>
      </c>
      <c r="J1077" s="19"/>
      <c r="L1077" s="16" t="str">
        <f>IFERROR(__xludf.DUMMYFUNCTION("""COMPUTED_VALUE"""),"")</f>
        <v/>
      </c>
      <c r="M1077" s="16" t="str">
        <f>IFERROR(__xludf.DUMMYFUNCTION("""COMPUTED_VALUE"""),"")</f>
        <v/>
      </c>
      <c r="U1077" s="16" t="s">
        <v>87</v>
      </c>
      <c r="V1077" s="16" t="str">
        <f>IFERROR(__xludf.DUMMYFUNCTION("""COMPUTED_VALUE"""),"")</f>
        <v/>
      </c>
      <c r="W1077" s="16" t="str">
        <f>IFERROR(__xludf.DUMMYFUNCTION("""COMPUTED_VALUE"""),"")</f>
        <v/>
      </c>
      <c r="X1077" s="16" t="str">
        <f>IFERROR(__xludf.DUMMYFUNCTION("""COMPUTED_VALUE"""),"")</f>
        <v/>
      </c>
      <c r="AC1077" s="16" t="str">
        <f>IFERROR(__xludf.DUMMYFUNCTION("""COMPUTED_VALUE"""),"")</f>
        <v/>
      </c>
    </row>
    <row r="1078">
      <c r="A1078" s="16" t="s">
        <v>87</v>
      </c>
      <c r="E1078" s="16" t="str">
        <f>IFERROR(__xludf.DUMMYFUNCTION("""COMPUTED_VALUE"""),"")</f>
        <v/>
      </c>
      <c r="G1078" s="18"/>
      <c r="H1078" s="16" t="s">
        <v>87</v>
      </c>
      <c r="I1078" s="16" t="s">
        <v>87</v>
      </c>
      <c r="J1078" s="19"/>
      <c r="L1078" s="16" t="str">
        <f>IFERROR(__xludf.DUMMYFUNCTION("""COMPUTED_VALUE"""),"")</f>
        <v/>
      </c>
      <c r="M1078" s="16" t="str">
        <f>IFERROR(__xludf.DUMMYFUNCTION("""COMPUTED_VALUE"""),"")</f>
        <v/>
      </c>
      <c r="U1078" s="16" t="s">
        <v>87</v>
      </c>
      <c r="V1078" s="16" t="str">
        <f>IFERROR(__xludf.DUMMYFUNCTION("""COMPUTED_VALUE"""),"")</f>
        <v/>
      </c>
      <c r="W1078" s="16" t="str">
        <f>IFERROR(__xludf.DUMMYFUNCTION("""COMPUTED_VALUE"""),"")</f>
        <v/>
      </c>
      <c r="X1078" s="16" t="str">
        <f>IFERROR(__xludf.DUMMYFUNCTION("""COMPUTED_VALUE"""),"")</f>
        <v/>
      </c>
      <c r="AC1078" s="16" t="str">
        <f>IFERROR(__xludf.DUMMYFUNCTION("""COMPUTED_VALUE"""),"")</f>
        <v/>
      </c>
    </row>
    <row r="1079">
      <c r="A1079" s="16" t="s">
        <v>87</v>
      </c>
      <c r="E1079" s="16" t="str">
        <f>IFERROR(__xludf.DUMMYFUNCTION("""COMPUTED_VALUE"""),"")</f>
        <v/>
      </c>
      <c r="G1079" s="18"/>
      <c r="H1079" s="16" t="s">
        <v>87</v>
      </c>
      <c r="I1079" s="16" t="s">
        <v>87</v>
      </c>
      <c r="J1079" s="19"/>
      <c r="L1079" s="16" t="str">
        <f>IFERROR(__xludf.DUMMYFUNCTION("""COMPUTED_VALUE"""),"")</f>
        <v/>
      </c>
      <c r="M1079" s="16" t="str">
        <f>IFERROR(__xludf.DUMMYFUNCTION("""COMPUTED_VALUE"""),"")</f>
        <v/>
      </c>
      <c r="U1079" s="16" t="s">
        <v>87</v>
      </c>
      <c r="V1079" s="16" t="str">
        <f>IFERROR(__xludf.DUMMYFUNCTION("""COMPUTED_VALUE"""),"")</f>
        <v/>
      </c>
      <c r="W1079" s="16" t="str">
        <f>IFERROR(__xludf.DUMMYFUNCTION("""COMPUTED_VALUE"""),"")</f>
        <v/>
      </c>
      <c r="X1079" s="16" t="str">
        <f>IFERROR(__xludf.DUMMYFUNCTION("""COMPUTED_VALUE"""),"")</f>
        <v/>
      </c>
      <c r="AC1079" s="16" t="str">
        <f>IFERROR(__xludf.DUMMYFUNCTION("""COMPUTED_VALUE"""),"")</f>
        <v/>
      </c>
    </row>
    <row r="1080">
      <c r="A1080" s="16" t="s">
        <v>87</v>
      </c>
      <c r="E1080" s="16" t="str">
        <f>IFERROR(__xludf.DUMMYFUNCTION("""COMPUTED_VALUE"""),"")</f>
        <v/>
      </c>
      <c r="G1080" s="18"/>
      <c r="H1080" s="16" t="s">
        <v>87</v>
      </c>
      <c r="I1080" s="16" t="s">
        <v>87</v>
      </c>
      <c r="J1080" s="19"/>
      <c r="L1080" s="16" t="str">
        <f>IFERROR(__xludf.DUMMYFUNCTION("""COMPUTED_VALUE"""),"")</f>
        <v/>
      </c>
      <c r="M1080" s="16" t="str">
        <f>IFERROR(__xludf.DUMMYFUNCTION("""COMPUTED_VALUE"""),"")</f>
        <v/>
      </c>
      <c r="U1080" s="16" t="s">
        <v>87</v>
      </c>
      <c r="V1080" s="16" t="str">
        <f>IFERROR(__xludf.DUMMYFUNCTION("""COMPUTED_VALUE"""),"")</f>
        <v/>
      </c>
      <c r="W1080" s="16" t="str">
        <f>IFERROR(__xludf.DUMMYFUNCTION("""COMPUTED_VALUE"""),"")</f>
        <v/>
      </c>
      <c r="X1080" s="16" t="str">
        <f>IFERROR(__xludf.DUMMYFUNCTION("""COMPUTED_VALUE"""),"")</f>
        <v/>
      </c>
      <c r="AC1080" s="16" t="str">
        <f>IFERROR(__xludf.DUMMYFUNCTION("""COMPUTED_VALUE"""),"")</f>
        <v/>
      </c>
    </row>
    <row r="1081">
      <c r="A1081" s="16" t="s">
        <v>87</v>
      </c>
      <c r="E1081" s="16" t="str">
        <f>IFERROR(__xludf.DUMMYFUNCTION("""COMPUTED_VALUE"""),"")</f>
        <v/>
      </c>
      <c r="G1081" s="18"/>
      <c r="H1081" s="16" t="s">
        <v>87</v>
      </c>
      <c r="I1081" s="16" t="s">
        <v>87</v>
      </c>
      <c r="J1081" s="19"/>
      <c r="L1081" s="16" t="str">
        <f>IFERROR(__xludf.DUMMYFUNCTION("""COMPUTED_VALUE"""),"")</f>
        <v/>
      </c>
      <c r="M1081" s="16" t="str">
        <f>IFERROR(__xludf.DUMMYFUNCTION("""COMPUTED_VALUE"""),"")</f>
        <v/>
      </c>
      <c r="U1081" s="16" t="s">
        <v>87</v>
      </c>
      <c r="V1081" s="16" t="str">
        <f>IFERROR(__xludf.DUMMYFUNCTION("""COMPUTED_VALUE"""),"")</f>
        <v/>
      </c>
      <c r="W1081" s="16" t="str">
        <f>IFERROR(__xludf.DUMMYFUNCTION("""COMPUTED_VALUE"""),"")</f>
        <v/>
      </c>
      <c r="X1081" s="16" t="str">
        <f>IFERROR(__xludf.DUMMYFUNCTION("""COMPUTED_VALUE"""),"")</f>
        <v/>
      </c>
      <c r="AC1081" s="16" t="str">
        <f>IFERROR(__xludf.DUMMYFUNCTION("""COMPUTED_VALUE"""),"")</f>
        <v/>
      </c>
    </row>
    <row r="1082">
      <c r="A1082" s="16" t="s">
        <v>87</v>
      </c>
      <c r="E1082" s="16" t="str">
        <f>IFERROR(__xludf.DUMMYFUNCTION("""COMPUTED_VALUE"""),"")</f>
        <v/>
      </c>
      <c r="G1082" s="18"/>
      <c r="H1082" s="16" t="s">
        <v>87</v>
      </c>
      <c r="I1082" s="16" t="s">
        <v>87</v>
      </c>
      <c r="J1082" s="19"/>
      <c r="L1082" s="16" t="str">
        <f>IFERROR(__xludf.DUMMYFUNCTION("""COMPUTED_VALUE"""),"")</f>
        <v/>
      </c>
      <c r="M1082" s="16" t="str">
        <f>IFERROR(__xludf.DUMMYFUNCTION("""COMPUTED_VALUE"""),"")</f>
        <v/>
      </c>
      <c r="U1082" s="16" t="s">
        <v>87</v>
      </c>
      <c r="V1082" s="16" t="str">
        <f>IFERROR(__xludf.DUMMYFUNCTION("""COMPUTED_VALUE"""),"")</f>
        <v/>
      </c>
      <c r="W1082" s="16" t="str">
        <f>IFERROR(__xludf.DUMMYFUNCTION("""COMPUTED_VALUE"""),"")</f>
        <v/>
      </c>
      <c r="X1082" s="16" t="str">
        <f>IFERROR(__xludf.DUMMYFUNCTION("""COMPUTED_VALUE"""),"")</f>
        <v/>
      </c>
      <c r="AC1082" s="16" t="str">
        <f>IFERROR(__xludf.DUMMYFUNCTION("""COMPUTED_VALUE"""),"")</f>
        <v/>
      </c>
    </row>
    <row r="1083">
      <c r="A1083" s="16" t="s">
        <v>87</v>
      </c>
      <c r="E1083" s="16" t="str">
        <f>IFERROR(__xludf.DUMMYFUNCTION("""COMPUTED_VALUE"""),"")</f>
        <v/>
      </c>
      <c r="G1083" s="18"/>
      <c r="H1083" s="16" t="s">
        <v>87</v>
      </c>
      <c r="I1083" s="16" t="s">
        <v>87</v>
      </c>
      <c r="J1083" s="19"/>
      <c r="L1083" s="16" t="str">
        <f>IFERROR(__xludf.DUMMYFUNCTION("""COMPUTED_VALUE"""),"")</f>
        <v/>
      </c>
      <c r="M1083" s="16" t="str">
        <f>IFERROR(__xludf.DUMMYFUNCTION("""COMPUTED_VALUE"""),"")</f>
        <v/>
      </c>
      <c r="U1083" s="16" t="s">
        <v>87</v>
      </c>
      <c r="V1083" s="16" t="str">
        <f>IFERROR(__xludf.DUMMYFUNCTION("""COMPUTED_VALUE"""),"")</f>
        <v/>
      </c>
      <c r="W1083" s="16" t="str">
        <f>IFERROR(__xludf.DUMMYFUNCTION("""COMPUTED_VALUE"""),"")</f>
        <v/>
      </c>
      <c r="X1083" s="16" t="str">
        <f>IFERROR(__xludf.DUMMYFUNCTION("""COMPUTED_VALUE"""),"")</f>
        <v/>
      </c>
      <c r="AC1083" s="16" t="str">
        <f>IFERROR(__xludf.DUMMYFUNCTION("""COMPUTED_VALUE"""),"")</f>
        <v/>
      </c>
    </row>
    <row r="1084">
      <c r="A1084" s="16" t="s">
        <v>87</v>
      </c>
      <c r="E1084" s="16" t="str">
        <f>IFERROR(__xludf.DUMMYFUNCTION("""COMPUTED_VALUE"""),"")</f>
        <v/>
      </c>
      <c r="G1084" s="18"/>
      <c r="H1084" s="16" t="s">
        <v>87</v>
      </c>
      <c r="I1084" s="16" t="s">
        <v>87</v>
      </c>
      <c r="J1084" s="19"/>
      <c r="L1084" s="16" t="str">
        <f>IFERROR(__xludf.DUMMYFUNCTION("""COMPUTED_VALUE"""),"")</f>
        <v/>
      </c>
      <c r="M1084" s="16" t="str">
        <f>IFERROR(__xludf.DUMMYFUNCTION("""COMPUTED_VALUE"""),"")</f>
        <v/>
      </c>
      <c r="U1084" s="16" t="s">
        <v>87</v>
      </c>
      <c r="V1084" s="16" t="str">
        <f>IFERROR(__xludf.DUMMYFUNCTION("""COMPUTED_VALUE"""),"")</f>
        <v/>
      </c>
      <c r="W1084" s="16" t="str">
        <f>IFERROR(__xludf.DUMMYFUNCTION("""COMPUTED_VALUE"""),"")</f>
        <v/>
      </c>
      <c r="X1084" s="16" t="str">
        <f>IFERROR(__xludf.DUMMYFUNCTION("""COMPUTED_VALUE"""),"")</f>
        <v/>
      </c>
      <c r="AC1084" s="16" t="str">
        <f>IFERROR(__xludf.DUMMYFUNCTION("""COMPUTED_VALUE"""),"")</f>
        <v/>
      </c>
    </row>
    <row r="1085">
      <c r="A1085" s="16" t="s">
        <v>87</v>
      </c>
      <c r="E1085" s="16" t="str">
        <f>IFERROR(__xludf.DUMMYFUNCTION("""COMPUTED_VALUE"""),"")</f>
        <v/>
      </c>
      <c r="G1085" s="18"/>
      <c r="H1085" s="16" t="s">
        <v>87</v>
      </c>
      <c r="I1085" s="16" t="s">
        <v>87</v>
      </c>
      <c r="J1085" s="19"/>
      <c r="L1085" s="16" t="str">
        <f>IFERROR(__xludf.DUMMYFUNCTION("""COMPUTED_VALUE"""),"")</f>
        <v/>
      </c>
      <c r="M1085" s="16" t="str">
        <f>IFERROR(__xludf.DUMMYFUNCTION("""COMPUTED_VALUE"""),"")</f>
        <v/>
      </c>
      <c r="U1085" s="16" t="s">
        <v>87</v>
      </c>
      <c r="V1085" s="16" t="str">
        <f>IFERROR(__xludf.DUMMYFUNCTION("""COMPUTED_VALUE"""),"")</f>
        <v/>
      </c>
      <c r="W1085" s="16" t="str">
        <f>IFERROR(__xludf.DUMMYFUNCTION("""COMPUTED_VALUE"""),"")</f>
        <v/>
      </c>
      <c r="X1085" s="16" t="str">
        <f>IFERROR(__xludf.DUMMYFUNCTION("""COMPUTED_VALUE"""),"")</f>
        <v/>
      </c>
      <c r="AC1085" s="16" t="str">
        <f>IFERROR(__xludf.DUMMYFUNCTION("""COMPUTED_VALUE"""),"")</f>
        <v/>
      </c>
    </row>
    <row r="1086">
      <c r="A1086" s="16" t="s">
        <v>87</v>
      </c>
      <c r="E1086" s="16" t="str">
        <f>IFERROR(__xludf.DUMMYFUNCTION("""COMPUTED_VALUE"""),"")</f>
        <v/>
      </c>
      <c r="G1086" s="18"/>
      <c r="H1086" s="16" t="s">
        <v>87</v>
      </c>
      <c r="I1086" s="16" t="s">
        <v>87</v>
      </c>
      <c r="J1086" s="19"/>
      <c r="L1086" s="16" t="str">
        <f>IFERROR(__xludf.DUMMYFUNCTION("""COMPUTED_VALUE"""),"")</f>
        <v/>
      </c>
      <c r="M1086" s="16" t="str">
        <f>IFERROR(__xludf.DUMMYFUNCTION("""COMPUTED_VALUE"""),"")</f>
        <v/>
      </c>
      <c r="U1086" s="16" t="s">
        <v>87</v>
      </c>
      <c r="V1086" s="16" t="str">
        <f>IFERROR(__xludf.DUMMYFUNCTION("""COMPUTED_VALUE"""),"")</f>
        <v/>
      </c>
      <c r="W1086" s="16" t="str">
        <f>IFERROR(__xludf.DUMMYFUNCTION("""COMPUTED_VALUE"""),"")</f>
        <v/>
      </c>
      <c r="X1086" s="16" t="str">
        <f>IFERROR(__xludf.DUMMYFUNCTION("""COMPUTED_VALUE"""),"")</f>
        <v/>
      </c>
      <c r="AC1086" s="16" t="str">
        <f>IFERROR(__xludf.DUMMYFUNCTION("""COMPUTED_VALUE"""),"")</f>
        <v/>
      </c>
    </row>
    <row r="1087">
      <c r="A1087" s="16" t="s">
        <v>87</v>
      </c>
      <c r="E1087" s="16" t="str">
        <f>IFERROR(__xludf.DUMMYFUNCTION("""COMPUTED_VALUE"""),"")</f>
        <v/>
      </c>
      <c r="G1087" s="18"/>
      <c r="H1087" s="16" t="s">
        <v>87</v>
      </c>
      <c r="I1087" s="16" t="s">
        <v>87</v>
      </c>
      <c r="J1087" s="19"/>
      <c r="L1087" s="16" t="str">
        <f>IFERROR(__xludf.DUMMYFUNCTION("""COMPUTED_VALUE"""),"")</f>
        <v/>
      </c>
      <c r="M1087" s="16" t="str">
        <f>IFERROR(__xludf.DUMMYFUNCTION("""COMPUTED_VALUE"""),"")</f>
        <v/>
      </c>
      <c r="U1087" s="16" t="s">
        <v>87</v>
      </c>
      <c r="V1087" s="16" t="str">
        <f>IFERROR(__xludf.DUMMYFUNCTION("""COMPUTED_VALUE"""),"")</f>
        <v/>
      </c>
      <c r="W1087" s="16" t="str">
        <f>IFERROR(__xludf.DUMMYFUNCTION("""COMPUTED_VALUE"""),"")</f>
        <v/>
      </c>
      <c r="X1087" s="16" t="str">
        <f>IFERROR(__xludf.DUMMYFUNCTION("""COMPUTED_VALUE"""),"")</f>
        <v/>
      </c>
      <c r="AC1087" s="16" t="str">
        <f>IFERROR(__xludf.DUMMYFUNCTION("""COMPUTED_VALUE"""),"")</f>
        <v/>
      </c>
    </row>
    <row r="1088">
      <c r="A1088" s="16" t="s">
        <v>87</v>
      </c>
      <c r="E1088" s="16" t="str">
        <f>IFERROR(__xludf.DUMMYFUNCTION("""COMPUTED_VALUE"""),"")</f>
        <v/>
      </c>
      <c r="G1088" s="18"/>
      <c r="H1088" s="16" t="s">
        <v>87</v>
      </c>
      <c r="I1088" s="16" t="s">
        <v>87</v>
      </c>
      <c r="J1088" s="19"/>
      <c r="L1088" s="16" t="str">
        <f>IFERROR(__xludf.DUMMYFUNCTION("""COMPUTED_VALUE"""),"")</f>
        <v/>
      </c>
      <c r="M1088" s="16" t="str">
        <f>IFERROR(__xludf.DUMMYFUNCTION("""COMPUTED_VALUE"""),"")</f>
        <v/>
      </c>
      <c r="U1088" s="16" t="s">
        <v>87</v>
      </c>
      <c r="V1088" s="16" t="str">
        <f>IFERROR(__xludf.DUMMYFUNCTION("""COMPUTED_VALUE"""),"")</f>
        <v/>
      </c>
      <c r="W1088" s="16" t="str">
        <f>IFERROR(__xludf.DUMMYFUNCTION("""COMPUTED_VALUE"""),"")</f>
        <v/>
      </c>
      <c r="X1088" s="16" t="str">
        <f>IFERROR(__xludf.DUMMYFUNCTION("""COMPUTED_VALUE"""),"")</f>
        <v/>
      </c>
      <c r="AC1088" s="16" t="str">
        <f>IFERROR(__xludf.DUMMYFUNCTION("""COMPUTED_VALUE"""),"")</f>
        <v/>
      </c>
    </row>
    <row r="1089">
      <c r="A1089" s="16" t="s">
        <v>87</v>
      </c>
      <c r="E1089" s="16" t="str">
        <f>IFERROR(__xludf.DUMMYFUNCTION("""COMPUTED_VALUE"""),"")</f>
        <v/>
      </c>
      <c r="G1089" s="18"/>
      <c r="H1089" s="16" t="s">
        <v>87</v>
      </c>
      <c r="I1089" s="16" t="s">
        <v>87</v>
      </c>
      <c r="J1089" s="19"/>
      <c r="L1089" s="16" t="str">
        <f>IFERROR(__xludf.DUMMYFUNCTION("""COMPUTED_VALUE"""),"")</f>
        <v/>
      </c>
      <c r="M1089" s="16" t="str">
        <f>IFERROR(__xludf.DUMMYFUNCTION("""COMPUTED_VALUE"""),"")</f>
        <v/>
      </c>
      <c r="U1089" s="16" t="s">
        <v>87</v>
      </c>
      <c r="V1089" s="16" t="str">
        <f>IFERROR(__xludf.DUMMYFUNCTION("""COMPUTED_VALUE"""),"")</f>
        <v/>
      </c>
      <c r="W1089" s="16" t="str">
        <f>IFERROR(__xludf.DUMMYFUNCTION("""COMPUTED_VALUE"""),"")</f>
        <v/>
      </c>
      <c r="X1089" s="16" t="str">
        <f>IFERROR(__xludf.DUMMYFUNCTION("""COMPUTED_VALUE"""),"")</f>
        <v/>
      </c>
      <c r="AC1089" s="16" t="str">
        <f>IFERROR(__xludf.DUMMYFUNCTION("""COMPUTED_VALUE"""),"")</f>
        <v/>
      </c>
    </row>
    <row r="1090">
      <c r="A1090" s="16" t="s">
        <v>87</v>
      </c>
      <c r="E1090" s="16" t="str">
        <f>IFERROR(__xludf.DUMMYFUNCTION("""COMPUTED_VALUE"""),"")</f>
        <v/>
      </c>
      <c r="G1090" s="18"/>
      <c r="H1090" s="16" t="s">
        <v>87</v>
      </c>
      <c r="I1090" s="16" t="s">
        <v>87</v>
      </c>
      <c r="J1090" s="19"/>
      <c r="L1090" s="16" t="str">
        <f>IFERROR(__xludf.DUMMYFUNCTION("""COMPUTED_VALUE"""),"")</f>
        <v/>
      </c>
      <c r="M1090" s="16" t="str">
        <f>IFERROR(__xludf.DUMMYFUNCTION("""COMPUTED_VALUE"""),"")</f>
        <v/>
      </c>
      <c r="U1090" s="16" t="s">
        <v>87</v>
      </c>
      <c r="V1090" s="16" t="str">
        <f>IFERROR(__xludf.DUMMYFUNCTION("""COMPUTED_VALUE"""),"")</f>
        <v/>
      </c>
      <c r="W1090" s="16" t="str">
        <f>IFERROR(__xludf.DUMMYFUNCTION("""COMPUTED_VALUE"""),"")</f>
        <v/>
      </c>
      <c r="X1090" s="16" t="str">
        <f>IFERROR(__xludf.DUMMYFUNCTION("""COMPUTED_VALUE"""),"")</f>
        <v/>
      </c>
      <c r="AC1090" s="16" t="str">
        <f>IFERROR(__xludf.DUMMYFUNCTION("""COMPUTED_VALUE"""),"")</f>
        <v/>
      </c>
    </row>
    <row r="1091">
      <c r="A1091" s="16" t="s">
        <v>87</v>
      </c>
      <c r="E1091" s="16" t="str">
        <f>IFERROR(__xludf.DUMMYFUNCTION("""COMPUTED_VALUE"""),"")</f>
        <v/>
      </c>
      <c r="G1091" s="18"/>
      <c r="H1091" s="16" t="s">
        <v>87</v>
      </c>
      <c r="I1091" s="16" t="s">
        <v>87</v>
      </c>
      <c r="J1091" s="19"/>
      <c r="L1091" s="16" t="str">
        <f>IFERROR(__xludf.DUMMYFUNCTION("""COMPUTED_VALUE"""),"")</f>
        <v/>
      </c>
      <c r="M1091" s="16" t="str">
        <f>IFERROR(__xludf.DUMMYFUNCTION("""COMPUTED_VALUE"""),"")</f>
        <v/>
      </c>
      <c r="U1091" s="16" t="s">
        <v>87</v>
      </c>
      <c r="V1091" s="16" t="str">
        <f>IFERROR(__xludf.DUMMYFUNCTION("""COMPUTED_VALUE"""),"")</f>
        <v/>
      </c>
      <c r="W1091" s="16" t="str">
        <f>IFERROR(__xludf.DUMMYFUNCTION("""COMPUTED_VALUE"""),"")</f>
        <v/>
      </c>
      <c r="X1091" s="16" t="str">
        <f>IFERROR(__xludf.DUMMYFUNCTION("""COMPUTED_VALUE"""),"")</f>
        <v/>
      </c>
      <c r="AC1091" s="16" t="str">
        <f>IFERROR(__xludf.DUMMYFUNCTION("""COMPUTED_VALUE"""),"")</f>
        <v/>
      </c>
    </row>
    <row r="1092">
      <c r="A1092" s="16" t="s">
        <v>87</v>
      </c>
      <c r="E1092" s="16" t="str">
        <f>IFERROR(__xludf.DUMMYFUNCTION("""COMPUTED_VALUE"""),"")</f>
        <v/>
      </c>
      <c r="G1092" s="18"/>
      <c r="H1092" s="16" t="s">
        <v>87</v>
      </c>
      <c r="I1092" s="16" t="s">
        <v>87</v>
      </c>
      <c r="J1092" s="19"/>
      <c r="L1092" s="16" t="str">
        <f>IFERROR(__xludf.DUMMYFUNCTION("""COMPUTED_VALUE"""),"")</f>
        <v/>
      </c>
      <c r="M1092" s="16" t="str">
        <f>IFERROR(__xludf.DUMMYFUNCTION("""COMPUTED_VALUE"""),"")</f>
        <v/>
      </c>
      <c r="U1092" s="16" t="s">
        <v>87</v>
      </c>
      <c r="V1092" s="16" t="str">
        <f>IFERROR(__xludf.DUMMYFUNCTION("""COMPUTED_VALUE"""),"")</f>
        <v/>
      </c>
      <c r="W1092" s="16" t="str">
        <f>IFERROR(__xludf.DUMMYFUNCTION("""COMPUTED_VALUE"""),"")</f>
        <v/>
      </c>
      <c r="X1092" s="16" t="str">
        <f>IFERROR(__xludf.DUMMYFUNCTION("""COMPUTED_VALUE"""),"")</f>
        <v/>
      </c>
      <c r="AC1092" s="16" t="str">
        <f>IFERROR(__xludf.DUMMYFUNCTION("""COMPUTED_VALUE"""),"")</f>
        <v/>
      </c>
    </row>
    <row r="1093">
      <c r="A1093" s="16" t="s">
        <v>87</v>
      </c>
      <c r="E1093" s="16" t="str">
        <f>IFERROR(__xludf.DUMMYFUNCTION("""COMPUTED_VALUE"""),"")</f>
        <v/>
      </c>
      <c r="G1093" s="18"/>
      <c r="H1093" s="16" t="s">
        <v>87</v>
      </c>
      <c r="I1093" s="16" t="s">
        <v>87</v>
      </c>
      <c r="J1093" s="19"/>
      <c r="L1093" s="16" t="str">
        <f>IFERROR(__xludf.DUMMYFUNCTION("""COMPUTED_VALUE"""),"")</f>
        <v/>
      </c>
      <c r="M1093" s="16" t="str">
        <f>IFERROR(__xludf.DUMMYFUNCTION("""COMPUTED_VALUE"""),"")</f>
        <v/>
      </c>
      <c r="U1093" s="16" t="s">
        <v>87</v>
      </c>
      <c r="V1093" s="16" t="str">
        <f>IFERROR(__xludf.DUMMYFUNCTION("""COMPUTED_VALUE"""),"")</f>
        <v/>
      </c>
      <c r="W1093" s="16" t="str">
        <f>IFERROR(__xludf.DUMMYFUNCTION("""COMPUTED_VALUE"""),"")</f>
        <v/>
      </c>
      <c r="X1093" s="16" t="str">
        <f>IFERROR(__xludf.DUMMYFUNCTION("""COMPUTED_VALUE"""),"")</f>
        <v/>
      </c>
      <c r="AC1093" s="16" t="str">
        <f>IFERROR(__xludf.DUMMYFUNCTION("""COMPUTED_VALUE"""),"")</f>
        <v/>
      </c>
    </row>
    <row r="1094">
      <c r="A1094" s="16" t="s">
        <v>87</v>
      </c>
      <c r="E1094" s="16" t="str">
        <f>IFERROR(__xludf.DUMMYFUNCTION("""COMPUTED_VALUE"""),"")</f>
        <v/>
      </c>
      <c r="G1094" s="18"/>
      <c r="H1094" s="16" t="s">
        <v>87</v>
      </c>
      <c r="I1094" s="16" t="s">
        <v>87</v>
      </c>
      <c r="J1094" s="19"/>
      <c r="L1094" s="16" t="str">
        <f>IFERROR(__xludf.DUMMYFUNCTION("""COMPUTED_VALUE"""),"")</f>
        <v/>
      </c>
      <c r="M1094" s="16" t="str">
        <f>IFERROR(__xludf.DUMMYFUNCTION("""COMPUTED_VALUE"""),"")</f>
        <v/>
      </c>
      <c r="U1094" s="16" t="s">
        <v>87</v>
      </c>
      <c r="V1094" s="16" t="str">
        <f>IFERROR(__xludf.DUMMYFUNCTION("""COMPUTED_VALUE"""),"")</f>
        <v/>
      </c>
      <c r="W1094" s="16" t="str">
        <f>IFERROR(__xludf.DUMMYFUNCTION("""COMPUTED_VALUE"""),"")</f>
        <v/>
      </c>
      <c r="X1094" s="16" t="str">
        <f>IFERROR(__xludf.DUMMYFUNCTION("""COMPUTED_VALUE"""),"")</f>
        <v/>
      </c>
      <c r="AC1094" s="16" t="str">
        <f>IFERROR(__xludf.DUMMYFUNCTION("""COMPUTED_VALUE"""),"")</f>
        <v/>
      </c>
    </row>
    <row r="1095">
      <c r="A1095" s="16" t="s">
        <v>87</v>
      </c>
      <c r="E1095" s="16" t="str">
        <f>IFERROR(__xludf.DUMMYFUNCTION("""COMPUTED_VALUE"""),"")</f>
        <v/>
      </c>
      <c r="G1095" s="18"/>
      <c r="H1095" s="16" t="s">
        <v>87</v>
      </c>
      <c r="I1095" s="16" t="s">
        <v>87</v>
      </c>
      <c r="J1095" s="19"/>
      <c r="L1095" s="16" t="str">
        <f>IFERROR(__xludf.DUMMYFUNCTION("""COMPUTED_VALUE"""),"")</f>
        <v/>
      </c>
      <c r="M1095" s="16" t="str">
        <f>IFERROR(__xludf.DUMMYFUNCTION("""COMPUTED_VALUE"""),"")</f>
        <v/>
      </c>
      <c r="U1095" s="16" t="s">
        <v>87</v>
      </c>
      <c r="V1095" s="16" t="str">
        <f>IFERROR(__xludf.DUMMYFUNCTION("""COMPUTED_VALUE"""),"")</f>
        <v/>
      </c>
      <c r="W1095" s="16" t="str">
        <f>IFERROR(__xludf.DUMMYFUNCTION("""COMPUTED_VALUE"""),"")</f>
        <v/>
      </c>
      <c r="X1095" s="16" t="str">
        <f>IFERROR(__xludf.DUMMYFUNCTION("""COMPUTED_VALUE"""),"")</f>
        <v/>
      </c>
      <c r="AC1095" s="16" t="str">
        <f>IFERROR(__xludf.DUMMYFUNCTION("""COMPUTED_VALUE"""),"")</f>
        <v/>
      </c>
    </row>
    <row r="1096">
      <c r="A1096" s="16" t="s">
        <v>87</v>
      </c>
      <c r="E1096" s="16" t="str">
        <f>IFERROR(__xludf.DUMMYFUNCTION("""COMPUTED_VALUE"""),"")</f>
        <v/>
      </c>
      <c r="G1096" s="18"/>
      <c r="H1096" s="16" t="s">
        <v>87</v>
      </c>
      <c r="I1096" s="16" t="s">
        <v>87</v>
      </c>
      <c r="J1096" s="19"/>
      <c r="L1096" s="16" t="str">
        <f>IFERROR(__xludf.DUMMYFUNCTION("""COMPUTED_VALUE"""),"")</f>
        <v/>
      </c>
      <c r="M1096" s="16" t="str">
        <f>IFERROR(__xludf.DUMMYFUNCTION("""COMPUTED_VALUE"""),"")</f>
        <v/>
      </c>
      <c r="U1096" s="16" t="s">
        <v>87</v>
      </c>
      <c r="V1096" s="16" t="str">
        <f>IFERROR(__xludf.DUMMYFUNCTION("""COMPUTED_VALUE"""),"")</f>
        <v/>
      </c>
      <c r="W1096" s="16" t="str">
        <f>IFERROR(__xludf.DUMMYFUNCTION("""COMPUTED_VALUE"""),"")</f>
        <v/>
      </c>
      <c r="X1096" s="16" t="str">
        <f>IFERROR(__xludf.DUMMYFUNCTION("""COMPUTED_VALUE"""),"")</f>
        <v/>
      </c>
      <c r="AC1096" s="16" t="str">
        <f>IFERROR(__xludf.DUMMYFUNCTION("""COMPUTED_VALUE"""),"")</f>
        <v/>
      </c>
    </row>
    <row r="1097">
      <c r="A1097" s="16" t="s">
        <v>87</v>
      </c>
      <c r="E1097" s="16" t="str">
        <f>IFERROR(__xludf.DUMMYFUNCTION("""COMPUTED_VALUE"""),"")</f>
        <v/>
      </c>
      <c r="G1097" s="18"/>
      <c r="H1097" s="16" t="s">
        <v>87</v>
      </c>
      <c r="I1097" s="16" t="s">
        <v>87</v>
      </c>
      <c r="J1097" s="19"/>
      <c r="L1097" s="16" t="str">
        <f>IFERROR(__xludf.DUMMYFUNCTION("""COMPUTED_VALUE"""),"")</f>
        <v/>
      </c>
      <c r="M1097" s="16" t="str">
        <f>IFERROR(__xludf.DUMMYFUNCTION("""COMPUTED_VALUE"""),"")</f>
        <v/>
      </c>
      <c r="U1097" s="16" t="s">
        <v>87</v>
      </c>
      <c r="V1097" s="16" t="str">
        <f>IFERROR(__xludf.DUMMYFUNCTION("""COMPUTED_VALUE"""),"")</f>
        <v/>
      </c>
      <c r="W1097" s="16" t="str">
        <f>IFERROR(__xludf.DUMMYFUNCTION("""COMPUTED_VALUE"""),"")</f>
        <v/>
      </c>
      <c r="X1097" s="16" t="str">
        <f>IFERROR(__xludf.DUMMYFUNCTION("""COMPUTED_VALUE"""),"")</f>
        <v/>
      </c>
      <c r="AC1097" s="16" t="str">
        <f>IFERROR(__xludf.DUMMYFUNCTION("""COMPUTED_VALUE"""),"")</f>
        <v/>
      </c>
    </row>
    <row r="1098">
      <c r="A1098" s="16" t="s">
        <v>87</v>
      </c>
      <c r="E1098" s="16" t="str">
        <f>IFERROR(__xludf.DUMMYFUNCTION("""COMPUTED_VALUE"""),"")</f>
        <v/>
      </c>
      <c r="G1098" s="18"/>
      <c r="H1098" s="16" t="s">
        <v>87</v>
      </c>
      <c r="I1098" s="16" t="s">
        <v>87</v>
      </c>
      <c r="J1098" s="19"/>
      <c r="L1098" s="16" t="str">
        <f>IFERROR(__xludf.DUMMYFUNCTION("""COMPUTED_VALUE"""),"")</f>
        <v/>
      </c>
      <c r="M1098" s="16" t="str">
        <f>IFERROR(__xludf.DUMMYFUNCTION("""COMPUTED_VALUE"""),"")</f>
        <v/>
      </c>
      <c r="U1098" s="16" t="s">
        <v>87</v>
      </c>
      <c r="V1098" s="16" t="str">
        <f>IFERROR(__xludf.DUMMYFUNCTION("""COMPUTED_VALUE"""),"")</f>
        <v/>
      </c>
      <c r="W1098" s="16" t="str">
        <f>IFERROR(__xludf.DUMMYFUNCTION("""COMPUTED_VALUE"""),"")</f>
        <v/>
      </c>
      <c r="X1098" s="16" t="str">
        <f>IFERROR(__xludf.DUMMYFUNCTION("""COMPUTED_VALUE"""),"")</f>
        <v/>
      </c>
      <c r="AC1098" s="16" t="str">
        <f>IFERROR(__xludf.DUMMYFUNCTION("""COMPUTED_VALUE"""),"")</f>
        <v/>
      </c>
    </row>
    <row r="1099">
      <c r="A1099" s="16" t="s">
        <v>87</v>
      </c>
      <c r="E1099" s="16" t="str">
        <f>IFERROR(__xludf.DUMMYFUNCTION("""COMPUTED_VALUE"""),"")</f>
        <v/>
      </c>
      <c r="G1099" s="18"/>
      <c r="H1099" s="16" t="s">
        <v>87</v>
      </c>
      <c r="I1099" s="16" t="s">
        <v>87</v>
      </c>
      <c r="J1099" s="19"/>
      <c r="L1099" s="16" t="str">
        <f>IFERROR(__xludf.DUMMYFUNCTION("""COMPUTED_VALUE"""),"")</f>
        <v/>
      </c>
      <c r="M1099" s="16" t="str">
        <f>IFERROR(__xludf.DUMMYFUNCTION("""COMPUTED_VALUE"""),"")</f>
        <v/>
      </c>
      <c r="U1099" s="16" t="s">
        <v>87</v>
      </c>
      <c r="V1099" s="16" t="str">
        <f>IFERROR(__xludf.DUMMYFUNCTION("""COMPUTED_VALUE"""),"")</f>
        <v/>
      </c>
      <c r="W1099" s="16" t="str">
        <f>IFERROR(__xludf.DUMMYFUNCTION("""COMPUTED_VALUE"""),"")</f>
        <v/>
      </c>
      <c r="X1099" s="16" t="str">
        <f>IFERROR(__xludf.DUMMYFUNCTION("""COMPUTED_VALUE"""),"")</f>
        <v/>
      </c>
      <c r="AC1099" s="16" t="str">
        <f>IFERROR(__xludf.DUMMYFUNCTION("""COMPUTED_VALUE"""),"")</f>
        <v/>
      </c>
    </row>
    <row r="1100">
      <c r="A1100" s="16" t="s">
        <v>87</v>
      </c>
      <c r="E1100" s="16" t="str">
        <f>IFERROR(__xludf.DUMMYFUNCTION("""COMPUTED_VALUE"""),"")</f>
        <v/>
      </c>
      <c r="G1100" s="18"/>
      <c r="H1100" s="16" t="s">
        <v>87</v>
      </c>
      <c r="I1100" s="16" t="s">
        <v>87</v>
      </c>
      <c r="J1100" s="19"/>
      <c r="L1100" s="16" t="str">
        <f>IFERROR(__xludf.DUMMYFUNCTION("""COMPUTED_VALUE"""),"")</f>
        <v/>
      </c>
      <c r="M1100" s="16" t="str">
        <f>IFERROR(__xludf.DUMMYFUNCTION("""COMPUTED_VALUE"""),"")</f>
        <v/>
      </c>
      <c r="U1100" s="16" t="s">
        <v>87</v>
      </c>
      <c r="V1100" s="16" t="str">
        <f>IFERROR(__xludf.DUMMYFUNCTION("""COMPUTED_VALUE"""),"")</f>
        <v/>
      </c>
      <c r="W1100" s="16" t="str">
        <f>IFERROR(__xludf.DUMMYFUNCTION("""COMPUTED_VALUE"""),"")</f>
        <v/>
      </c>
      <c r="X1100" s="16" t="str">
        <f>IFERROR(__xludf.DUMMYFUNCTION("""COMPUTED_VALUE"""),"")</f>
        <v/>
      </c>
      <c r="AC1100" s="16" t="str">
        <f>IFERROR(__xludf.DUMMYFUNCTION("""COMPUTED_VALUE"""),"")</f>
        <v/>
      </c>
    </row>
    <row r="1101">
      <c r="A1101" s="16" t="s">
        <v>87</v>
      </c>
      <c r="E1101" s="16" t="str">
        <f>IFERROR(__xludf.DUMMYFUNCTION("""COMPUTED_VALUE"""),"")</f>
        <v/>
      </c>
      <c r="G1101" s="18"/>
      <c r="H1101" s="16" t="s">
        <v>87</v>
      </c>
      <c r="I1101" s="16" t="s">
        <v>87</v>
      </c>
      <c r="J1101" s="19"/>
      <c r="L1101" s="16" t="str">
        <f>IFERROR(__xludf.DUMMYFUNCTION("""COMPUTED_VALUE"""),"")</f>
        <v/>
      </c>
      <c r="M1101" s="16" t="str">
        <f>IFERROR(__xludf.DUMMYFUNCTION("""COMPUTED_VALUE"""),"")</f>
        <v/>
      </c>
      <c r="U1101" s="16" t="s">
        <v>87</v>
      </c>
      <c r="V1101" s="16" t="str">
        <f>IFERROR(__xludf.DUMMYFUNCTION("""COMPUTED_VALUE"""),"")</f>
        <v/>
      </c>
      <c r="W1101" s="16" t="str">
        <f>IFERROR(__xludf.DUMMYFUNCTION("""COMPUTED_VALUE"""),"")</f>
        <v/>
      </c>
      <c r="X1101" s="16" t="str">
        <f>IFERROR(__xludf.DUMMYFUNCTION("""COMPUTED_VALUE"""),"")</f>
        <v/>
      </c>
      <c r="AC1101" s="16" t="str">
        <f>IFERROR(__xludf.DUMMYFUNCTION("""COMPUTED_VALUE"""),"")</f>
        <v/>
      </c>
    </row>
    <row r="1102">
      <c r="A1102" s="16" t="s">
        <v>87</v>
      </c>
      <c r="E1102" s="16" t="str">
        <f>IFERROR(__xludf.DUMMYFUNCTION("""COMPUTED_VALUE"""),"")</f>
        <v/>
      </c>
      <c r="G1102" s="18"/>
      <c r="H1102" s="16" t="s">
        <v>87</v>
      </c>
      <c r="I1102" s="16" t="s">
        <v>87</v>
      </c>
      <c r="J1102" s="19"/>
      <c r="L1102" s="16" t="str">
        <f>IFERROR(__xludf.DUMMYFUNCTION("""COMPUTED_VALUE"""),"")</f>
        <v/>
      </c>
      <c r="M1102" s="16" t="str">
        <f>IFERROR(__xludf.DUMMYFUNCTION("""COMPUTED_VALUE"""),"")</f>
        <v/>
      </c>
      <c r="U1102" s="16" t="s">
        <v>87</v>
      </c>
      <c r="V1102" s="16" t="str">
        <f>IFERROR(__xludf.DUMMYFUNCTION("""COMPUTED_VALUE"""),"")</f>
        <v/>
      </c>
      <c r="W1102" s="16" t="str">
        <f>IFERROR(__xludf.DUMMYFUNCTION("""COMPUTED_VALUE"""),"")</f>
        <v/>
      </c>
      <c r="X1102" s="16" t="str">
        <f>IFERROR(__xludf.DUMMYFUNCTION("""COMPUTED_VALUE"""),"")</f>
        <v/>
      </c>
      <c r="AC1102" s="16" t="str">
        <f>IFERROR(__xludf.DUMMYFUNCTION("""COMPUTED_VALUE"""),"")</f>
        <v/>
      </c>
    </row>
    <row r="1103">
      <c r="A1103" s="16" t="s">
        <v>87</v>
      </c>
      <c r="E1103" s="16" t="str">
        <f>IFERROR(__xludf.DUMMYFUNCTION("""COMPUTED_VALUE"""),"")</f>
        <v/>
      </c>
      <c r="G1103" s="18"/>
      <c r="H1103" s="16" t="s">
        <v>87</v>
      </c>
      <c r="I1103" s="16" t="s">
        <v>87</v>
      </c>
      <c r="J1103" s="19"/>
      <c r="L1103" s="16" t="str">
        <f>IFERROR(__xludf.DUMMYFUNCTION("""COMPUTED_VALUE"""),"")</f>
        <v/>
      </c>
      <c r="M1103" s="16" t="str">
        <f>IFERROR(__xludf.DUMMYFUNCTION("""COMPUTED_VALUE"""),"")</f>
        <v/>
      </c>
      <c r="U1103" s="16" t="s">
        <v>87</v>
      </c>
      <c r="V1103" s="16" t="str">
        <f>IFERROR(__xludf.DUMMYFUNCTION("""COMPUTED_VALUE"""),"")</f>
        <v/>
      </c>
      <c r="W1103" s="16" t="str">
        <f>IFERROR(__xludf.DUMMYFUNCTION("""COMPUTED_VALUE"""),"")</f>
        <v/>
      </c>
      <c r="X1103" s="16" t="str">
        <f>IFERROR(__xludf.DUMMYFUNCTION("""COMPUTED_VALUE"""),"")</f>
        <v/>
      </c>
      <c r="AC1103" s="16" t="str">
        <f>IFERROR(__xludf.DUMMYFUNCTION("""COMPUTED_VALUE"""),"")</f>
        <v/>
      </c>
    </row>
    <row r="1104">
      <c r="A1104" s="16" t="s">
        <v>87</v>
      </c>
      <c r="E1104" s="16" t="str">
        <f>IFERROR(__xludf.DUMMYFUNCTION("""COMPUTED_VALUE"""),"")</f>
        <v/>
      </c>
      <c r="G1104" s="18"/>
      <c r="H1104" s="16" t="s">
        <v>87</v>
      </c>
      <c r="I1104" s="16" t="s">
        <v>87</v>
      </c>
      <c r="J1104" s="19"/>
      <c r="L1104" s="16" t="str">
        <f>IFERROR(__xludf.DUMMYFUNCTION("""COMPUTED_VALUE"""),"")</f>
        <v/>
      </c>
      <c r="M1104" s="16" t="str">
        <f>IFERROR(__xludf.DUMMYFUNCTION("""COMPUTED_VALUE"""),"")</f>
        <v/>
      </c>
      <c r="U1104" s="16" t="s">
        <v>87</v>
      </c>
      <c r="V1104" s="16" t="str">
        <f>IFERROR(__xludf.DUMMYFUNCTION("""COMPUTED_VALUE"""),"")</f>
        <v/>
      </c>
      <c r="W1104" s="16" t="str">
        <f>IFERROR(__xludf.DUMMYFUNCTION("""COMPUTED_VALUE"""),"")</f>
        <v/>
      </c>
      <c r="X1104" s="16" t="str">
        <f>IFERROR(__xludf.DUMMYFUNCTION("""COMPUTED_VALUE"""),"")</f>
        <v/>
      </c>
      <c r="AC1104" s="16" t="str">
        <f>IFERROR(__xludf.DUMMYFUNCTION("""COMPUTED_VALUE"""),"")</f>
        <v/>
      </c>
    </row>
    <row r="1105">
      <c r="A1105" s="16" t="s">
        <v>87</v>
      </c>
      <c r="E1105" s="16" t="str">
        <f>IFERROR(__xludf.DUMMYFUNCTION("""COMPUTED_VALUE"""),"")</f>
        <v/>
      </c>
      <c r="G1105" s="18"/>
      <c r="H1105" s="16" t="s">
        <v>87</v>
      </c>
      <c r="I1105" s="16" t="s">
        <v>87</v>
      </c>
      <c r="J1105" s="19"/>
      <c r="L1105" s="16" t="str">
        <f>IFERROR(__xludf.DUMMYFUNCTION("""COMPUTED_VALUE"""),"")</f>
        <v/>
      </c>
      <c r="M1105" s="16" t="str">
        <f>IFERROR(__xludf.DUMMYFUNCTION("""COMPUTED_VALUE"""),"")</f>
        <v/>
      </c>
      <c r="U1105" s="16" t="s">
        <v>87</v>
      </c>
      <c r="V1105" s="16" t="str">
        <f>IFERROR(__xludf.DUMMYFUNCTION("""COMPUTED_VALUE"""),"")</f>
        <v/>
      </c>
      <c r="W1105" s="16" t="str">
        <f>IFERROR(__xludf.DUMMYFUNCTION("""COMPUTED_VALUE"""),"")</f>
        <v/>
      </c>
      <c r="X1105" s="16" t="str">
        <f>IFERROR(__xludf.DUMMYFUNCTION("""COMPUTED_VALUE"""),"")</f>
        <v/>
      </c>
      <c r="AC1105" s="16" t="str">
        <f>IFERROR(__xludf.DUMMYFUNCTION("""COMPUTED_VALUE"""),"")</f>
        <v/>
      </c>
    </row>
    <row r="1106">
      <c r="A1106" s="16" t="s">
        <v>87</v>
      </c>
      <c r="E1106" s="16" t="str">
        <f>IFERROR(__xludf.DUMMYFUNCTION("""COMPUTED_VALUE"""),"")</f>
        <v/>
      </c>
      <c r="G1106" s="18"/>
      <c r="H1106" s="16" t="s">
        <v>87</v>
      </c>
      <c r="I1106" s="16" t="s">
        <v>87</v>
      </c>
      <c r="J1106" s="19"/>
      <c r="L1106" s="16" t="str">
        <f>IFERROR(__xludf.DUMMYFUNCTION("""COMPUTED_VALUE"""),"")</f>
        <v/>
      </c>
      <c r="M1106" s="16" t="str">
        <f>IFERROR(__xludf.DUMMYFUNCTION("""COMPUTED_VALUE"""),"")</f>
        <v/>
      </c>
      <c r="U1106" s="16" t="s">
        <v>87</v>
      </c>
      <c r="V1106" s="16" t="str">
        <f>IFERROR(__xludf.DUMMYFUNCTION("""COMPUTED_VALUE"""),"")</f>
        <v/>
      </c>
      <c r="W1106" s="16" t="str">
        <f>IFERROR(__xludf.DUMMYFUNCTION("""COMPUTED_VALUE"""),"")</f>
        <v/>
      </c>
      <c r="X1106" s="16" t="str">
        <f>IFERROR(__xludf.DUMMYFUNCTION("""COMPUTED_VALUE"""),"")</f>
        <v/>
      </c>
      <c r="AC1106" s="16" t="str">
        <f>IFERROR(__xludf.DUMMYFUNCTION("""COMPUTED_VALUE"""),"")</f>
        <v/>
      </c>
    </row>
    <row r="1107">
      <c r="A1107" s="16" t="s">
        <v>87</v>
      </c>
      <c r="E1107" s="16" t="str">
        <f>IFERROR(__xludf.DUMMYFUNCTION("""COMPUTED_VALUE"""),"")</f>
        <v/>
      </c>
      <c r="G1107" s="18"/>
      <c r="H1107" s="16" t="s">
        <v>87</v>
      </c>
      <c r="I1107" s="16" t="s">
        <v>87</v>
      </c>
      <c r="J1107" s="19"/>
      <c r="L1107" s="16" t="str">
        <f>IFERROR(__xludf.DUMMYFUNCTION("""COMPUTED_VALUE"""),"")</f>
        <v/>
      </c>
      <c r="M1107" s="16" t="str">
        <f>IFERROR(__xludf.DUMMYFUNCTION("""COMPUTED_VALUE"""),"")</f>
        <v/>
      </c>
      <c r="U1107" s="16" t="s">
        <v>87</v>
      </c>
      <c r="V1107" s="16" t="str">
        <f>IFERROR(__xludf.DUMMYFUNCTION("""COMPUTED_VALUE"""),"")</f>
        <v/>
      </c>
      <c r="W1107" s="16" t="str">
        <f>IFERROR(__xludf.DUMMYFUNCTION("""COMPUTED_VALUE"""),"")</f>
        <v/>
      </c>
      <c r="X1107" s="16" t="str">
        <f>IFERROR(__xludf.DUMMYFUNCTION("""COMPUTED_VALUE"""),"")</f>
        <v/>
      </c>
      <c r="AC1107" s="16" t="str">
        <f>IFERROR(__xludf.DUMMYFUNCTION("""COMPUTED_VALUE"""),"")</f>
        <v/>
      </c>
    </row>
    <row r="1108">
      <c r="A1108" s="16" t="s">
        <v>87</v>
      </c>
      <c r="E1108" s="16" t="str">
        <f>IFERROR(__xludf.DUMMYFUNCTION("""COMPUTED_VALUE"""),"")</f>
        <v/>
      </c>
      <c r="G1108" s="18"/>
      <c r="H1108" s="16" t="s">
        <v>87</v>
      </c>
      <c r="I1108" s="16" t="s">
        <v>87</v>
      </c>
      <c r="J1108" s="19"/>
      <c r="L1108" s="16" t="str">
        <f>IFERROR(__xludf.DUMMYFUNCTION("""COMPUTED_VALUE"""),"")</f>
        <v/>
      </c>
      <c r="M1108" s="16" t="str">
        <f>IFERROR(__xludf.DUMMYFUNCTION("""COMPUTED_VALUE"""),"")</f>
        <v/>
      </c>
      <c r="U1108" s="16" t="s">
        <v>87</v>
      </c>
      <c r="V1108" s="16" t="str">
        <f>IFERROR(__xludf.DUMMYFUNCTION("""COMPUTED_VALUE"""),"")</f>
        <v/>
      </c>
      <c r="W1108" s="16" t="str">
        <f>IFERROR(__xludf.DUMMYFUNCTION("""COMPUTED_VALUE"""),"")</f>
        <v/>
      </c>
      <c r="X1108" s="16" t="str">
        <f>IFERROR(__xludf.DUMMYFUNCTION("""COMPUTED_VALUE"""),"")</f>
        <v/>
      </c>
      <c r="AC1108" s="16" t="str">
        <f>IFERROR(__xludf.DUMMYFUNCTION("""COMPUTED_VALUE"""),"")</f>
        <v/>
      </c>
    </row>
    <row r="1109">
      <c r="A1109" s="16" t="s">
        <v>87</v>
      </c>
      <c r="E1109" s="16" t="str">
        <f>IFERROR(__xludf.DUMMYFUNCTION("""COMPUTED_VALUE"""),"")</f>
        <v/>
      </c>
      <c r="G1109" s="18"/>
      <c r="H1109" s="16" t="s">
        <v>87</v>
      </c>
      <c r="I1109" s="16" t="s">
        <v>87</v>
      </c>
      <c r="J1109" s="19"/>
      <c r="L1109" s="16" t="str">
        <f>IFERROR(__xludf.DUMMYFUNCTION("""COMPUTED_VALUE"""),"")</f>
        <v/>
      </c>
      <c r="M1109" s="16" t="str">
        <f>IFERROR(__xludf.DUMMYFUNCTION("""COMPUTED_VALUE"""),"")</f>
        <v/>
      </c>
      <c r="U1109" s="16" t="s">
        <v>87</v>
      </c>
      <c r="V1109" s="16" t="str">
        <f>IFERROR(__xludf.DUMMYFUNCTION("""COMPUTED_VALUE"""),"")</f>
        <v/>
      </c>
      <c r="W1109" s="16" t="str">
        <f>IFERROR(__xludf.DUMMYFUNCTION("""COMPUTED_VALUE"""),"")</f>
        <v/>
      </c>
      <c r="X1109" s="16" t="str">
        <f>IFERROR(__xludf.DUMMYFUNCTION("""COMPUTED_VALUE"""),"")</f>
        <v/>
      </c>
      <c r="AC1109" s="16" t="str">
        <f>IFERROR(__xludf.DUMMYFUNCTION("""COMPUTED_VALUE"""),"")</f>
        <v/>
      </c>
    </row>
    <row r="1110">
      <c r="A1110" s="16" t="s">
        <v>87</v>
      </c>
      <c r="E1110" s="16" t="str">
        <f>IFERROR(__xludf.DUMMYFUNCTION("""COMPUTED_VALUE"""),"")</f>
        <v/>
      </c>
      <c r="G1110" s="18"/>
      <c r="H1110" s="16" t="s">
        <v>87</v>
      </c>
      <c r="I1110" s="16" t="s">
        <v>87</v>
      </c>
      <c r="J1110" s="19"/>
      <c r="L1110" s="16" t="str">
        <f>IFERROR(__xludf.DUMMYFUNCTION("""COMPUTED_VALUE"""),"")</f>
        <v/>
      </c>
      <c r="M1110" s="16" t="str">
        <f>IFERROR(__xludf.DUMMYFUNCTION("""COMPUTED_VALUE"""),"")</f>
        <v/>
      </c>
      <c r="U1110" s="16" t="s">
        <v>87</v>
      </c>
      <c r="V1110" s="16" t="str">
        <f>IFERROR(__xludf.DUMMYFUNCTION("""COMPUTED_VALUE"""),"")</f>
        <v/>
      </c>
      <c r="W1110" s="16" t="str">
        <f>IFERROR(__xludf.DUMMYFUNCTION("""COMPUTED_VALUE"""),"")</f>
        <v/>
      </c>
      <c r="X1110" s="16" t="str">
        <f>IFERROR(__xludf.DUMMYFUNCTION("""COMPUTED_VALUE"""),"")</f>
        <v/>
      </c>
      <c r="AC1110" s="16" t="str">
        <f>IFERROR(__xludf.DUMMYFUNCTION("""COMPUTED_VALUE"""),"")</f>
        <v/>
      </c>
    </row>
    <row r="1111">
      <c r="A1111" s="16" t="s">
        <v>87</v>
      </c>
      <c r="E1111" s="16" t="str">
        <f>IFERROR(__xludf.DUMMYFUNCTION("""COMPUTED_VALUE"""),"")</f>
        <v/>
      </c>
      <c r="G1111" s="18"/>
      <c r="H1111" s="16" t="s">
        <v>87</v>
      </c>
      <c r="I1111" s="16" t="s">
        <v>87</v>
      </c>
      <c r="J1111" s="19"/>
      <c r="L1111" s="16" t="str">
        <f>IFERROR(__xludf.DUMMYFUNCTION("""COMPUTED_VALUE"""),"")</f>
        <v/>
      </c>
      <c r="M1111" s="16" t="str">
        <f>IFERROR(__xludf.DUMMYFUNCTION("""COMPUTED_VALUE"""),"")</f>
        <v/>
      </c>
      <c r="U1111" s="16" t="s">
        <v>87</v>
      </c>
      <c r="V1111" s="16" t="str">
        <f>IFERROR(__xludf.DUMMYFUNCTION("""COMPUTED_VALUE"""),"")</f>
        <v/>
      </c>
      <c r="W1111" s="16" t="str">
        <f>IFERROR(__xludf.DUMMYFUNCTION("""COMPUTED_VALUE"""),"")</f>
        <v/>
      </c>
      <c r="X1111" s="16" t="str">
        <f>IFERROR(__xludf.DUMMYFUNCTION("""COMPUTED_VALUE"""),"")</f>
        <v/>
      </c>
      <c r="AC1111" s="16" t="str">
        <f>IFERROR(__xludf.DUMMYFUNCTION("""COMPUTED_VALUE"""),"")</f>
        <v/>
      </c>
    </row>
    <row r="1112">
      <c r="A1112" s="16" t="s">
        <v>87</v>
      </c>
      <c r="E1112" s="16" t="str">
        <f>IFERROR(__xludf.DUMMYFUNCTION("""COMPUTED_VALUE"""),"")</f>
        <v/>
      </c>
      <c r="G1112" s="18"/>
      <c r="H1112" s="16" t="s">
        <v>87</v>
      </c>
      <c r="I1112" s="16" t="s">
        <v>87</v>
      </c>
      <c r="J1112" s="19"/>
      <c r="L1112" s="16" t="str">
        <f>IFERROR(__xludf.DUMMYFUNCTION("""COMPUTED_VALUE"""),"")</f>
        <v/>
      </c>
      <c r="M1112" s="16" t="str">
        <f>IFERROR(__xludf.DUMMYFUNCTION("""COMPUTED_VALUE"""),"")</f>
        <v/>
      </c>
      <c r="U1112" s="16" t="s">
        <v>87</v>
      </c>
      <c r="V1112" s="16" t="str">
        <f>IFERROR(__xludf.DUMMYFUNCTION("""COMPUTED_VALUE"""),"")</f>
        <v/>
      </c>
      <c r="W1112" s="16" t="str">
        <f>IFERROR(__xludf.DUMMYFUNCTION("""COMPUTED_VALUE"""),"")</f>
        <v/>
      </c>
      <c r="X1112" s="16" t="str">
        <f>IFERROR(__xludf.DUMMYFUNCTION("""COMPUTED_VALUE"""),"")</f>
        <v/>
      </c>
      <c r="AC1112" s="16" t="str">
        <f>IFERROR(__xludf.DUMMYFUNCTION("""COMPUTED_VALUE"""),"")</f>
        <v/>
      </c>
    </row>
    <row r="1113">
      <c r="A1113" s="16" t="s">
        <v>87</v>
      </c>
      <c r="E1113" s="16" t="str">
        <f>IFERROR(__xludf.DUMMYFUNCTION("""COMPUTED_VALUE"""),"")</f>
        <v/>
      </c>
      <c r="G1113" s="18"/>
      <c r="H1113" s="16" t="s">
        <v>87</v>
      </c>
      <c r="I1113" s="16" t="s">
        <v>87</v>
      </c>
      <c r="J1113" s="19"/>
      <c r="L1113" s="16" t="str">
        <f>IFERROR(__xludf.DUMMYFUNCTION("""COMPUTED_VALUE"""),"")</f>
        <v/>
      </c>
      <c r="M1113" s="16" t="str">
        <f>IFERROR(__xludf.DUMMYFUNCTION("""COMPUTED_VALUE"""),"")</f>
        <v/>
      </c>
      <c r="U1113" s="16" t="s">
        <v>87</v>
      </c>
      <c r="V1113" s="16" t="str">
        <f>IFERROR(__xludf.DUMMYFUNCTION("""COMPUTED_VALUE"""),"")</f>
        <v/>
      </c>
      <c r="W1113" s="16" t="str">
        <f>IFERROR(__xludf.DUMMYFUNCTION("""COMPUTED_VALUE"""),"")</f>
        <v/>
      </c>
      <c r="X1113" s="16" t="str">
        <f>IFERROR(__xludf.DUMMYFUNCTION("""COMPUTED_VALUE"""),"")</f>
        <v/>
      </c>
      <c r="AC1113" s="16" t="str">
        <f>IFERROR(__xludf.DUMMYFUNCTION("""COMPUTED_VALUE"""),"")</f>
        <v/>
      </c>
    </row>
    <row r="1114">
      <c r="A1114" s="16" t="s">
        <v>87</v>
      </c>
      <c r="E1114" s="16" t="str">
        <f>IFERROR(__xludf.DUMMYFUNCTION("""COMPUTED_VALUE"""),"")</f>
        <v/>
      </c>
      <c r="G1114" s="18"/>
      <c r="H1114" s="16" t="s">
        <v>87</v>
      </c>
      <c r="I1114" s="16" t="s">
        <v>87</v>
      </c>
      <c r="J1114" s="19"/>
      <c r="L1114" s="16" t="str">
        <f>IFERROR(__xludf.DUMMYFUNCTION("""COMPUTED_VALUE"""),"")</f>
        <v/>
      </c>
      <c r="M1114" s="16" t="str">
        <f>IFERROR(__xludf.DUMMYFUNCTION("""COMPUTED_VALUE"""),"")</f>
        <v/>
      </c>
      <c r="U1114" s="16" t="s">
        <v>87</v>
      </c>
      <c r="V1114" s="16" t="str">
        <f>IFERROR(__xludf.DUMMYFUNCTION("""COMPUTED_VALUE"""),"")</f>
        <v/>
      </c>
      <c r="W1114" s="16" t="str">
        <f>IFERROR(__xludf.DUMMYFUNCTION("""COMPUTED_VALUE"""),"")</f>
        <v/>
      </c>
      <c r="X1114" s="16" t="str">
        <f>IFERROR(__xludf.DUMMYFUNCTION("""COMPUTED_VALUE"""),"")</f>
        <v/>
      </c>
      <c r="AC1114" s="16" t="str">
        <f>IFERROR(__xludf.DUMMYFUNCTION("""COMPUTED_VALUE"""),"")</f>
        <v/>
      </c>
    </row>
    <row r="1115">
      <c r="A1115" s="16" t="s">
        <v>87</v>
      </c>
      <c r="E1115" s="16" t="str">
        <f>IFERROR(__xludf.DUMMYFUNCTION("""COMPUTED_VALUE"""),"")</f>
        <v/>
      </c>
      <c r="G1115" s="18"/>
      <c r="H1115" s="16" t="s">
        <v>87</v>
      </c>
      <c r="I1115" s="16" t="s">
        <v>87</v>
      </c>
      <c r="J1115" s="19"/>
      <c r="L1115" s="16" t="str">
        <f>IFERROR(__xludf.DUMMYFUNCTION("""COMPUTED_VALUE"""),"")</f>
        <v/>
      </c>
      <c r="M1115" s="16" t="str">
        <f>IFERROR(__xludf.DUMMYFUNCTION("""COMPUTED_VALUE"""),"")</f>
        <v/>
      </c>
      <c r="U1115" s="16" t="s">
        <v>87</v>
      </c>
      <c r="V1115" s="16" t="str">
        <f>IFERROR(__xludf.DUMMYFUNCTION("""COMPUTED_VALUE"""),"")</f>
        <v/>
      </c>
      <c r="W1115" s="16" t="str">
        <f>IFERROR(__xludf.DUMMYFUNCTION("""COMPUTED_VALUE"""),"")</f>
        <v/>
      </c>
      <c r="X1115" s="16" t="str">
        <f>IFERROR(__xludf.DUMMYFUNCTION("""COMPUTED_VALUE"""),"")</f>
        <v/>
      </c>
      <c r="AC1115" s="16" t="str">
        <f>IFERROR(__xludf.DUMMYFUNCTION("""COMPUTED_VALUE"""),"")</f>
        <v/>
      </c>
    </row>
    <row r="1116">
      <c r="A1116" s="16" t="s">
        <v>87</v>
      </c>
      <c r="E1116" s="16" t="str">
        <f>IFERROR(__xludf.DUMMYFUNCTION("""COMPUTED_VALUE"""),"")</f>
        <v/>
      </c>
      <c r="G1116" s="18"/>
      <c r="H1116" s="16" t="s">
        <v>87</v>
      </c>
      <c r="I1116" s="16" t="s">
        <v>87</v>
      </c>
      <c r="J1116" s="19"/>
      <c r="L1116" s="16" t="str">
        <f>IFERROR(__xludf.DUMMYFUNCTION("""COMPUTED_VALUE"""),"")</f>
        <v/>
      </c>
      <c r="M1116" s="16" t="str">
        <f>IFERROR(__xludf.DUMMYFUNCTION("""COMPUTED_VALUE"""),"")</f>
        <v/>
      </c>
      <c r="U1116" s="16" t="s">
        <v>87</v>
      </c>
      <c r="V1116" s="16" t="str">
        <f>IFERROR(__xludf.DUMMYFUNCTION("""COMPUTED_VALUE"""),"")</f>
        <v/>
      </c>
      <c r="W1116" s="16" t="str">
        <f>IFERROR(__xludf.DUMMYFUNCTION("""COMPUTED_VALUE"""),"")</f>
        <v/>
      </c>
      <c r="X1116" s="16" t="str">
        <f>IFERROR(__xludf.DUMMYFUNCTION("""COMPUTED_VALUE"""),"")</f>
        <v/>
      </c>
      <c r="AC1116" s="16" t="str">
        <f>IFERROR(__xludf.DUMMYFUNCTION("""COMPUTED_VALUE"""),"")</f>
        <v/>
      </c>
    </row>
    <row r="1117">
      <c r="A1117" s="16" t="s">
        <v>87</v>
      </c>
      <c r="E1117" s="16" t="str">
        <f>IFERROR(__xludf.DUMMYFUNCTION("""COMPUTED_VALUE"""),"")</f>
        <v/>
      </c>
      <c r="G1117" s="18"/>
      <c r="H1117" s="16" t="s">
        <v>87</v>
      </c>
      <c r="I1117" s="16" t="s">
        <v>87</v>
      </c>
      <c r="J1117" s="19"/>
      <c r="L1117" s="16" t="str">
        <f>IFERROR(__xludf.DUMMYFUNCTION("""COMPUTED_VALUE"""),"")</f>
        <v/>
      </c>
      <c r="M1117" s="16" t="str">
        <f>IFERROR(__xludf.DUMMYFUNCTION("""COMPUTED_VALUE"""),"")</f>
        <v/>
      </c>
      <c r="U1117" s="16" t="s">
        <v>87</v>
      </c>
      <c r="V1117" s="16" t="str">
        <f>IFERROR(__xludf.DUMMYFUNCTION("""COMPUTED_VALUE"""),"")</f>
        <v/>
      </c>
      <c r="W1117" s="16" t="str">
        <f>IFERROR(__xludf.DUMMYFUNCTION("""COMPUTED_VALUE"""),"")</f>
        <v/>
      </c>
      <c r="X1117" s="16" t="str">
        <f>IFERROR(__xludf.DUMMYFUNCTION("""COMPUTED_VALUE"""),"")</f>
        <v/>
      </c>
      <c r="AC1117" s="16" t="str">
        <f>IFERROR(__xludf.DUMMYFUNCTION("""COMPUTED_VALUE"""),"")</f>
        <v/>
      </c>
    </row>
    <row r="1118">
      <c r="A1118" s="16" t="s">
        <v>87</v>
      </c>
      <c r="E1118" s="16" t="str">
        <f>IFERROR(__xludf.DUMMYFUNCTION("""COMPUTED_VALUE"""),"")</f>
        <v/>
      </c>
      <c r="G1118" s="18"/>
      <c r="H1118" s="16" t="s">
        <v>87</v>
      </c>
      <c r="I1118" s="16" t="s">
        <v>87</v>
      </c>
      <c r="J1118" s="19"/>
      <c r="L1118" s="16" t="str">
        <f>IFERROR(__xludf.DUMMYFUNCTION("""COMPUTED_VALUE"""),"")</f>
        <v/>
      </c>
      <c r="M1118" s="16" t="str">
        <f>IFERROR(__xludf.DUMMYFUNCTION("""COMPUTED_VALUE"""),"")</f>
        <v/>
      </c>
      <c r="U1118" s="16" t="s">
        <v>87</v>
      </c>
      <c r="V1118" s="16" t="str">
        <f>IFERROR(__xludf.DUMMYFUNCTION("""COMPUTED_VALUE"""),"")</f>
        <v/>
      </c>
      <c r="W1118" s="16" t="str">
        <f>IFERROR(__xludf.DUMMYFUNCTION("""COMPUTED_VALUE"""),"")</f>
        <v/>
      </c>
      <c r="X1118" s="16" t="str">
        <f>IFERROR(__xludf.DUMMYFUNCTION("""COMPUTED_VALUE"""),"")</f>
        <v/>
      </c>
      <c r="AC1118" s="16" t="str">
        <f>IFERROR(__xludf.DUMMYFUNCTION("""COMPUTED_VALUE"""),"")</f>
        <v/>
      </c>
    </row>
    <row r="1119">
      <c r="A1119" s="16" t="s">
        <v>87</v>
      </c>
      <c r="E1119" s="16" t="str">
        <f>IFERROR(__xludf.DUMMYFUNCTION("""COMPUTED_VALUE"""),"")</f>
        <v/>
      </c>
      <c r="G1119" s="18"/>
      <c r="H1119" s="16" t="s">
        <v>87</v>
      </c>
      <c r="I1119" s="16" t="s">
        <v>87</v>
      </c>
      <c r="J1119" s="19"/>
      <c r="L1119" s="16" t="str">
        <f>IFERROR(__xludf.DUMMYFUNCTION("""COMPUTED_VALUE"""),"")</f>
        <v/>
      </c>
      <c r="M1119" s="16" t="str">
        <f>IFERROR(__xludf.DUMMYFUNCTION("""COMPUTED_VALUE"""),"")</f>
        <v/>
      </c>
      <c r="U1119" s="16" t="s">
        <v>87</v>
      </c>
      <c r="V1119" s="16" t="str">
        <f>IFERROR(__xludf.DUMMYFUNCTION("""COMPUTED_VALUE"""),"")</f>
        <v/>
      </c>
      <c r="W1119" s="16" t="str">
        <f>IFERROR(__xludf.DUMMYFUNCTION("""COMPUTED_VALUE"""),"")</f>
        <v/>
      </c>
      <c r="X1119" s="16" t="str">
        <f>IFERROR(__xludf.DUMMYFUNCTION("""COMPUTED_VALUE"""),"")</f>
        <v/>
      </c>
      <c r="AC1119" s="16" t="str">
        <f>IFERROR(__xludf.DUMMYFUNCTION("""COMPUTED_VALUE"""),"")</f>
        <v/>
      </c>
    </row>
    <row r="1120">
      <c r="A1120" s="16" t="s">
        <v>87</v>
      </c>
      <c r="E1120" s="16" t="str">
        <f>IFERROR(__xludf.DUMMYFUNCTION("""COMPUTED_VALUE"""),"")</f>
        <v/>
      </c>
      <c r="G1120" s="18"/>
      <c r="H1120" s="16" t="s">
        <v>87</v>
      </c>
      <c r="I1120" s="16" t="s">
        <v>87</v>
      </c>
      <c r="J1120" s="19"/>
      <c r="L1120" s="16" t="str">
        <f>IFERROR(__xludf.DUMMYFUNCTION("""COMPUTED_VALUE"""),"")</f>
        <v/>
      </c>
      <c r="M1120" s="16" t="str">
        <f>IFERROR(__xludf.DUMMYFUNCTION("""COMPUTED_VALUE"""),"")</f>
        <v/>
      </c>
      <c r="U1120" s="16" t="s">
        <v>87</v>
      </c>
      <c r="V1120" s="16" t="str">
        <f>IFERROR(__xludf.DUMMYFUNCTION("""COMPUTED_VALUE"""),"")</f>
        <v/>
      </c>
      <c r="W1120" s="16" t="str">
        <f>IFERROR(__xludf.DUMMYFUNCTION("""COMPUTED_VALUE"""),"")</f>
        <v/>
      </c>
      <c r="X1120" s="16" t="str">
        <f>IFERROR(__xludf.DUMMYFUNCTION("""COMPUTED_VALUE"""),"")</f>
        <v/>
      </c>
      <c r="AC1120" s="16" t="str">
        <f>IFERROR(__xludf.DUMMYFUNCTION("""COMPUTED_VALUE"""),"")</f>
        <v/>
      </c>
    </row>
    <row r="1121">
      <c r="A1121" s="16" t="s">
        <v>87</v>
      </c>
      <c r="E1121" s="16" t="str">
        <f>IFERROR(__xludf.DUMMYFUNCTION("""COMPUTED_VALUE"""),"")</f>
        <v/>
      </c>
      <c r="G1121" s="18"/>
      <c r="H1121" s="16" t="s">
        <v>87</v>
      </c>
      <c r="I1121" s="16" t="s">
        <v>87</v>
      </c>
      <c r="J1121" s="19"/>
      <c r="L1121" s="16" t="str">
        <f>IFERROR(__xludf.DUMMYFUNCTION("""COMPUTED_VALUE"""),"")</f>
        <v/>
      </c>
      <c r="M1121" s="16" t="str">
        <f>IFERROR(__xludf.DUMMYFUNCTION("""COMPUTED_VALUE"""),"")</f>
        <v/>
      </c>
      <c r="U1121" s="16" t="s">
        <v>87</v>
      </c>
      <c r="V1121" s="16" t="str">
        <f>IFERROR(__xludf.DUMMYFUNCTION("""COMPUTED_VALUE"""),"")</f>
        <v/>
      </c>
      <c r="W1121" s="16" t="str">
        <f>IFERROR(__xludf.DUMMYFUNCTION("""COMPUTED_VALUE"""),"")</f>
        <v/>
      </c>
      <c r="X1121" s="16" t="str">
        <f>IFERROR(__xludf.DUMMYFUNCTION("""COMPUTED_VALUE"""),"")</f>
        <v/>
      </c>
      <c r="AC1121" s="16" t="str">
        <f>IFERROR(__xludf.DUMMYFUNCTION("""COMPUTED_VALUE"""),"")</f>
        <v/>
      </c>
    </row>
    <row r="1122">
      <c r="A1122" s="16" t="s">
        <v>87</v>
      </c>
      <c r="E1122" s="16" t="str">
        <f>IFERROR(__xludf.DUMMYFUNCTION("""COMPUTED_VALUE"""),"")</f>
        <v/>
      </c>
      <c r="G1122" s="18"/>
      <c r="H1122" s="16" t="s">
        <v>87</v>
      </c>
      <c r="I1122" s="16" t="s">
        <v>87</v>
      </c>
      <c r="J1122" s="19"/>
      <c r="L1122" s="16" t="str">
        <f>IFERROR(__xludf.DUMMYFUNCTION("""COMPUTED_VALUE"""),"")</f>
        <v/>
      </c>
      <c r="M1122" s="16" t="str">
        <f>IFERROR(__xludf.DUMMYFUNCTION("""COMPUTED_VALUE"""),"")</f>
        <v/>
      </c>
      <c r="U1122" s="16" t="s">
        <v>87</v>
      </c>
      <c r="V1122" s="16" t="str">
        <f>IFERROR(__xludf.DUMMYFUNCTION("""COMPUTED_VALUE"""),"")</f>
        <v/>
      </c>
      <c r="W1122" s="16" t="str">
        <f>IFERROR(__xludf.DUMMYFUNCTION("""COMPUTED_VALUE"""),"")</f>
        <v/>
      </c>
      <c r="X1122" s="16" t="str">
        <f>IFERROR(__xludf.DUMMYFUNCTION("""COMPUTED_VALUE"""),"")</f>
        <v/>
      </c>
      <c r="AC1122" s="16" t="str">
        <f>IFERROR(__xludf.DUMMYFUNCTION("""COMPUTED_VALUE"""),"")</f>
        <v/>
      </c>
    </row>
    <row r="1123">
      <c r="A1123" s="16" t="s">
        <v>87</v>
      </c>
      <c r="E1123" s="16" t="str">
        <f>IFERROR(__xludf.DUMMYFUNCTION("""COMPUTED_VALUE"""),"")</f>
        <v/>
      </c>
      <c r="G1123" s="18"/>
      <c r="H1123" s="16" t="s">
        <v>87</v>
      </c>
      <c r="I1123" s="16" t="s">
        <v>87</v>
      </c>
      <c r="J1123" s="19"/>
      <c r="L1123" s="16" t="str">
        <f>IFERROR(__xludf.DUMMYFUNCTION("""COMPUTED_VALUE"""),"")</f>
        <v/>
      </c>
      <c r="M1123" s="16" t="str">
        <f>IFERROR(__xludf.DUMMYFUNCTION("""COMPUTED_VALUE"""),"")</f>
        <v/>
      </c>
      <c r="U1123" s="16" t="s">
        <v>87</v>
      </c>
      <c r="V1123" s="16" t="str">
        <f>IFERROR(__xludf.DUMMYFUNCTION("""COMPUTED_VALUE"""),"")</f>
        <v/>
      </c>
      <c r="W1123" s="16" t="str">
        <f>IFERROR(__xludf.DUMMYFUNCTION("""COMPUTED_VALUE"""),"")</f>
        <v/>
      </c>
      <c r="X1123" s="16" t="str">
        <f>IFERROR(__xludf.DUMMYFUNCTION("""COMPUTED_VALUE"""),"")</f>
        <v/>
      </c>
      <c r="AC1123" s="16" t="str">
        <f>IFERROR(__xludf.DUMMYFUNCTION("""COMPUTED_VALUE"""),"")</f>
        <v/>
      </c>
    </row>
    <row r="1124">
      <c r="A1124" s="16" t="s">
        <v>87</v>
      </c>
      <c r="E1124" s="16" t="str">
        <f>IFERROR(__xludf.DUMMYFUNCTION("""COMPUTED_VALUE"""),"")</f>
        <v/>
      </c>
      <c r="G1124" s="18"/>
      <c r="H1124" s="16" t="s">
        <v>87</v>
      </c>
      <c r="I1124" s="16" t="s">
        <v>87</v>
      </c>
      <c r="J1124" s="19"/>
      <c r="L1124" s="16" t="str">
        <f>IFERROR(__xludf.DUMMYFUNCTION("""COMPUTED_VALUE"""),"")</f>
        <v/>
      </c>
      <c r="M1124" s="16" t="str">
        <f>IFERROR(__xludf.DUMMYFUNCTION("""COMPUTED_VALUE"""),"")</f>
        <v/>
      </c>
      <c r="U1124" s="16" t="s">
        <v>87</v>
      </c>
      <c r="V1124" s="16" t="str">
        <f>IFERROR(__xludf.DUMMYFUNCTION("""COMPUTED_VALUE"""),"")</f>
        <v/>
      </c>
      <c r="W1124" s="16" t="str">
        <f>IFERROR(__xludf.DUMMYFUNCTION("""COMPUTED_VALUE"""),"")</f>
        <v/>
      </c>
      <c r="X1124" s="16" t="str">
        <f>IFERROR(__xludf.DUMMYFUNCTION("""COMPUTED_VALUE"""),"")</f>
        <v/>
      </c>
      <c r="AC1124" s="16" t="str">
        <f>IFERROR(__xludf.DUMMYFUNCTION("""COMPUTED_VALUE"""),"")</f>
        <v/>
      </c>
    </row>
    <row r="1125">
      <c r="A1125" s="16" t="s">
        <v>87</v>
      </c>
      <c r="E1125" s="16" t="str">
        <f>IFERROR(__xludf.DUMMYFUNCTION("""COMPUTED_VALUE"""),"")</f>
        <v/>
      </c>
      <c r="G1125" s="18"/>
      <c r="H1125" s="16" t="s">
        <v>87</v>
      </c>
      <c r="I1125" s="16" t="s">
        <v>87</v>
      </c>
      <c r="J1125" s="19"/>
      <c r="L1125" s="16" t="str">
        <f>IFERROR(__xludf.DUMMYFUNCTION("""COMPUTED_VALUE"""),"")</f>
        <v/>
      </c>
      <c r="M1125" s="16" t="str">
        <f>IFERROR(__xludf.DUMMYFUNCTION("""COMPUTED_VALUE"""),"")</f>
        <v/>
      </c>
      <c r="U1125" s="16" t="s">
        <v>87</v>
      </c>
      <c r="V1125" s="16" t="str">
        <f>IFERROR(__xludf.DUMMYFUNCTION("""COMPUTED_VALUE"""),"")</f>
        <v/>
      </c>
      <c r="W1125" s="16" t="str">
        <f>IFERROR(__xludf.DUMMYFUNCTION("""COMPUTED_VALUE"""),"")</f>
        <v/>
      </c>
      <c r="X1125" s="16" t="str">
        <f>IFERROR(__xludf.DUMMYFUNCTION("""COMPUTED_VALUE"""),"")</f>
        <v/>
      </c>
      <c r="AC1125" s="16" t="str">
        <f>IFERROR(__xludf.DUMMYFUNCTION("""COMPUTED_VALUE"""),"")</f>
        <v/>
      </c>
    </row>
    <row r="1126">
      <c r="A1126" s="16" t="s">
        <v>87</v>
      </c>
      <c r="E1126" s="16" t="str">
        <f>IFERROR(__xludf.DUMMYFUNCTION("""COMPUTED_VALUE"""),"")</f>
        <v/>
      </c>
      <c r="G1126" s="18"/>
      <c r="H1126" s="16" t="s">
        <v>87</v>
      </c>
      <c r="I1126" s="16" t="s">
        <v>87</v>
      </c>
      <c r="J1126" s="19"/>
      <c r="L1126" s="16" t="str">
        <f>IFERROR(__xludf.DUMMYFUNCTION("""COMPUTED_VALUE"""),"")</f>
        <v/>
      </c>
      <c r="M1126" s="16" t="str">
        <f>IFERROR(__xludf.DUMMYFUNCTION("""COMPUTED_VALUE"""),"")</f>
        <v/>
      </c>
      <c r="U1126" s="16" t="s">
        <v>87</v>
      </c>
      <c r="V1126" s="16" t="str">
        <f>IFERROR(__xludf.DUMMYFUNCTION("""COMPUTED_VALUE"""),"")</f>
        <v/>
      </c>
      <c r="W1126" s="16" t="str">
        <f>IFERROR(__xludf.DUMMYFUNCTION("""COMPUTED_VALUE"""),"")</f>
        <v/>
      </c>
      <c r="X1126" s="16" t="str">
        <f>IFERROR(__xludf.DUMMYFUNCTION("""COMPUTED_VALUE"""),"")</f>
        <v/>
      </c>
      <c r="AC1126" s="16" t="str">
        <f>IFERROR(__xludf.DUMMYFUNCTION("""COMPUTED_VALUE"""),"")</f>
        <v/>
      </c>
    </row>
    <row r="1127">
      <c r="A1127" s="16" t="s">
        <v>87</v>
      </c>
      <c r="E1127" s="16" t="str">
        <f>IFERROR(__xludf.DUMMYFUNCTION("""COMPUTED_VALUE"""),"")</f>
        <v/>
      </c>
      <c r="G1127" s="18"/>
      <c r="H1127" s="16" t="s">
        <v>87</v>
      </c>
      <c r="I1127" s="16" t="s">
        <v>87</v>
      </c>
      <c r="J1127" s="19"/>
      <c r="L1127" s="16" t="str">
        <f>IFERROR(__xludf.DUMMYFUNCTION("""COMPUTED_VALUE"""),"")</f>
        <v/>
      </c>
      <c r="M1127" s="16" t="str">
        <f>IFERROR(__xludf.DUMMYFUNCTION("""COMPUTED_VALUE"""),"")</f>
        <v/>
      </c>
      <c r="U1127" s="16" t="s">
        <v>87</v>
      </c>
      <c r="V1127" s="16" t="str">
        <f>IFERROR(__xludf.DUMMYFUNCTION("""COMPUTED_VALUE"""),"")</f>
        <v/>
      </c>
      <c r="W1127" s="16" t="str">
        <f>IFERROR(__xludf.DUMMYFUNCTION("""COMPUTED_VALUE"""),"")</f>
        <v/>
      </c>
      <c r="X1127" s="16" t="str">
        <f>IFERROR(__xludf.DUMMYFUNCTION("""COMPUTED_VALUE"""),"")</f>
        <v/>
      </c>
      <c r="AC1127" s="16" t="str">
        <f>IFERROR(__xludf.DUMMYFUNCTION("""COMPUTED_VALUE"""),"")</f>
        <v/>
      </c>
    </row>
    <row r="1128">
      <c r="A1128" s="16" t="s">
        <v>87</v>
      </c>
      <c r="E1128" s="16" t="str">
        <f>IFERROR(__xludf.DUMMYFUNCTION("""COMPUTED_VALUE"""),"")</f>
        <v/>
      </c>
      <c r="G1128" s="18"/>
      <c r="H1128" s="16" t="s">
        <v>87</v>
      </c>
      <c r="I1128" s="16" t="s">
        <v>87</v>
      </c>
      <c r="J1128" s="19"/>
      <c r="L1128" s="16" t="str">
        <f>IFERROR(__xludf.DUMMYFUNCTION("""COMPUTED_VALUE"""),"")</f>
        <v/>
      </c>
      <c r="M1128" s="16" t="str">
        <f>IFERROR(__xludf.DUMMYFUNCTION("""COMPUTED_VALUE"""),"")</f>
        <v/>
      </c>
      <c r="U1128" s="16" t="s">
        <v>87</v>
      </c>
      <c r="V1128" s="16" t="str">
        <f>IFERROR(__xludf.DUMMYFUNCTION("""COMPUTED_VALUE"""),"")</f>
        <v/>
      </c>
      <c r="W1128" s="16" t="str">
        <f>IFERROR(__xludf.DUMMYFUNCTION("""COMPUTED_VALUE"""),"")</f>
        <v/>
      </c>
      <c r="X1128" s="16" t="str">
        <f>IFERROR(__xludf.DUMMYFUNCTION("""COMPUTED_VALUE"""),"")</f>
        <v/>
      </c>
      <c r="AC1128" s="16" t="str">
        <f>IFERROR(__xludf.DUMMYFUNCTION("""COMPUTED_VALUE"""),"")</f>
        <v/>
      </c>
    </row>
    <row r="1129">
      <c r="A1129" s="16" t="s">
        <v>87</v>
      </c>
      <c r="E1129" s="16" t="str">
        <f>IFERROR(__xludf.DUMMYFUNCTION("""COMPUTED_VALUE"""),"")</f>
        <v/>
      </c>
      <c r="G1129" s="18"/>
      <c r="H1129" s="16" t="s">
        <v>87</v>
      </c>
      <c r="I1129" s="16" t="s">
        <v>87</v>
      </c>
      <c r="J1129" s="19"/>
      <c r="L1129" s="16" t="str">
        <f>IFERROR(__xludf.DUMMYFUNCTION("""COMPUTED_VALUE"""),"")</f>
        <v/>
      </c>
      <c r="M1129" s="16" t="str">
        <f>IFERROR(__xludf.DUMMYFUNCTION("""COMPUTED_VALUE"""),"")</f>
        <v/>
      </c>
      <c r="U1129" s="16" t="s">
        <v>87</v>
      </c>
      <c r="V1129" s="16" t="str">
        <f>IFERROR(__xludf.DUMMYFUNCTION("""COMPUTED_VALUE"""),"")</f>
        <v/>
      </c>
      <c r="W1129" s="16" t="str">
        <f>IFERROR(__xludf.DUMMYFUNCTION("""COMPUTED_VALUE"""),"")</f>
        <v/>
      </c>
      <c r="X1129" s="16" t="str">
        <f>IFERROR(__xludf.DUMMYFUNCTION("""COMPUTED_VALUE"""),"")</f>
        <v/>
      </c>
      <c r="AC1129" s="16" t="str">
        <f>IFERROR(__xludf.DUMMYFUNCTION("""COMPUTED_VALUE"""),"")</f>
        <v/>
      </c>
    </row>
    <row r="1130">
      <c r="A1130" s="16" t="s">
        <v>87</v>
      </c>
      <c r="E1130" s="16" t="str">
        <f>IFERROR(__xludf.DUMMYFUNCTION("""COMPUTED_VALUE"""),"")</f>
        <v/>
      </c>
      <c r="G1130" s="18"/>
      <c r="H1130" s="16" t="s">
        <v>87</v>
      </c>
      <c r="I1130" s="16" t="s">
        <v>87</v>
      </c>
      <c r="J1130" s="19"/>
      <c r="L1130" s="16" t="str">
        <f>IFERROR(__xludf.DUMMYFUNCTION("""COMPUTED_VALUE"""),"")</f>
        <v/>
      </c>
      <c r="M1130" s="16" t="str">
        <f>IFERROR(__xludf.DUMMYFUNCTION("""COMPUTED_VALUE"""),"")</f>
        <v/>
      </c>
      <c r="U1130" s="16" t="s">
        <v>87</v>
      </c>
      <c r="V1130" s="16" t="str">
        <f>IFERROR(__xludf.DUMMYFUNCTION("""COMPUTED_VALUE"""),"")</f>
        <v/>
      </c>
      <c r="W1130" s="16" t="str">
        <f>IFERROR(__xludf.DUMMYFUNCTION("""COMPUTED_VALUE"""),"")</f>
        <v/>
      </c>
      <c r="X1130" s="16" t="str">
        <f>IFERROR(__xludf.DUMMYFUNCTION("""COMPUTED_VALUE"""),"")</f>
        <v/>
      </c>
      <c r="AC1130" s="16" t="str">
        <f>IFERROR(__xludf.DUMMYFUNCTION("""COMPUTED_VALUE"""),"")</f>
        <v/>
      </c>
    </row>
    <row r="1131">
      <c r="A1131" s="16" t="s">
        <v>87</v>
      </c>
      <c r="E1131" s="16" t="str">
        <f>IFERROR(__xludf.DUMMYFUNCTION("""COMPUTED_VALUE"""),"")</f>
        <v/>
      </c>
      <c r="G1131" s="18"/>
      <c r="H1131" s="16" t="s">
        <v>87</v>
      </c>
      <c r="I1131" s="16" t="s">
        <v>87</v>
      </c>
      <c r="J1131" s="19"/>
      <c r="L1131" s="16" t="str">
        <f>IFERROR(__xludf.DUMMYFUNCTION("""COMPUTED_VALUE"""),"")</f>
        <v/>
      </c>
      <c r="M1131" s="16" t="str">
        <f>IFERROR(__xludf.DUMMYFUNCTION("""COMPUTED_VALUE"""),"")</f>
        <v/>
      </c>
      <c r="U1131" s="16" t="s">
        <v>87</v>
      </c>
      <c r="V1131" s="16" t="str">
        <f>IFERROR(__xludf.DUMMYFUNCTION("""COMPUTED_VALUE"""),"")</f>
        <v/>
      </c>
      <c r="W1131" s="16" t="str">
        <f>IFERROR(__xludf.DUMMYFUNCTION("""COMPUTED_VALUE"""),"")</f>
        <v/>
      </c>
      <c r="X1131" s="16" t="str">
        <f>IFERROR(__xludf.DUMMYFUNCTION("""COMPUTED_VALUE"""),"")</f>
        <v/>
      </c>
      <c r="AC1131" s="16" t="str">
        <f>IFERROR(__xludf.DUMMYFUNCTION("""COMPUTED_VALUE"""),"")</f>
        <v/>
      </c>
    </row>
    <row r="1132">
      <c r="A1132" s="16" t="s">
        <v>87</v>
      </c>
      <c r="E1132" s="16" t="str">
        <f>IFERROR(__xludf.DUMMYFUNCTION("""COMPUTED_VALUE"""),"")</f>
        <v/>
      </c>
      <c r="G1132" s="18"/>
      <c r="H1132" s="16" t="s">
        <v>87</v>
      </c>
      <c r="I1132" s="16" t="s">
        <v>87</v>
      </c>
      <c r="J1132" s="19"/>
      <c r="L1132" s="16" t="str">
        <f>IFERROR(__xludf.DUMMYFUNCTION("""COMPUTED_VALUE"""),"")</f>
        <v/>
      </c>
      <c r="M1132" s="16" t="str">
        <f>IFERROR(__xludf.DUMMYFUNCTION("""COMPUTED_VALUE"""),"")</f>
        <v/>
      </c>
      <c r="U1132" s="16" t="s">
        <v>87</v>
      </c>
      <c r="V1132" s="16" t="str">
        <f>IFERROR(__xludf.DUMMYFUNCTION("""COMPUTED_VALUE"""),"")</f>
        <v/>
      </c>
      <c r="W1132" s="16" t="str">
        <f>IFERROR(__xludf.DUMMYFUNCTION("""COMPUTED_VALUE"""),"")</f>
        <v/>
      </c>
      <c r="X1132" s="16" t="str">
        <f>IFERROR(__xludf.DUMMYFUNCTION("""COMPUTED_VALUE"""),"")</f>
        <v/>
      </c>
      <c r="AC1132" s="16" t="str">
        <f>IFERROR(__xludf.DUMMYFUNCTION("""COMPUTED_VALUE"""),"")</f>
        <v/>
      </c>
    </row>
    <row r="1133">
      <c r="A1133" s="16" t="s">
        <v>87</v>
      </c>
      <c r="E1133" s="16" t="str">
        <f>IFERROR(__xludf.DUMMYFUNCTION("""COMPUTED_VALUE"""),"")</f>
        <v/>
      </c>
      <c r="G1133" s="18"/>
      <c r="H1133" s="16" t="s">
        <v>87</v>
      </c>
      <c r="I1133" s="16" t="s">
        <v>87</v>
      </c>
      <c r="J1133" s="19"/>
      <c r="L1133" s="16" t="str">
        <f>IFERROR(__xludf.DUMMYFUNCTION("""COMPUTED_VALUE"""),"")</f>
        <v/>
      </c>
      <c r="M1133" s="16" t="str">
        <f>IFERROR(__xludf.DUMMYFUNCTION("""COMPUTED_VALUE"""),"")</f>
        <v/>
      </c>
      <c r="U1133" s="16" t="s">
        <v>87</v>
      </c>
      <c r="V1133" s="16" t="str">
        <f>IFERROR(__xludf.DUMMYFUNCTION("""COMPUTED_VALUE"""),"")</f>
        <v/>
      </c>
      <c r="W1133" s="16" t="str">
        <f>IFERROR(__xludf.DUMMYFUNCTION("""COMPUTED_VALUE"""),"")</f>
        <v/>
      </c>
      <c r="X1133" s="16" t="str">
        <f>IFERROR(__xludf.DUMMYFUNCTION("""COMPUTED_VALUE"""),"")</f>
        <v/>
      </c>
      <c r="AC1133" s="16" t="str">
        <f>IFERROR(__xludf.DUMMYFUNCTION("""COMPUTED_VALUE"""),"")</f>
        <v/>
      </c>
    </row>
    <row r="1134">
      <c r="A1134" s="16" t="s">
        <v>87</v>
      </c>
      <c r="E1134" s="16" t="str">
        <f>IFERROR(__xludf.DUMMYFUNCTION("""COMPUTED_VALUE"""),"")</f>
        <v/>
      </c>
      <c r="G1134" s="18"/>
      <c r="H1134" s="16" t="s">
        <v>87</v>
      </c>
      <c r="I1134" s="16" t="s">
        <v>87</v>
      </c>
      <c r="J1134" s="19"/>
      <c r="L1134" s="16" t="str">
        <f>IFERROR(__xludf.DUMMYFUNCTION("""COMPUTED_VALUE"""),"")</f>
        <v/>
      </c>
      <c r="M1134" s="16" t="str">
        <f>IFERROR(__xludf.DUMMYFUNCTION("""COMPUTED_VALUE"""),"")</f>
        <v/>
      </c>
      <c r="U1134" s="16" t="s">
        <v>87</v>
      </c>
      <c r="V1134" s="16" t="str">
        <f>IFERROR(__xludf.DUMMYFUNCTION("""COMPUTED_VALUE"""),"")</f>
        <v/>
      </c>
      <c r="W1134" s="16" t="str">
        <f>IFERROR(__xludf.DUMMYFUNCTION("""COMPUTED_VALUE"""),"")</f>
        <v/>
      </c>
      <c r="X1134" s="16" t="str">
        <f>IFERROR(__xludf.DUMMYFUNCTION("""COMPUTED_VALUE"""),"")</f>
        <v/>
      </c>
      <c r="AC1134" s="16" t="str">
        <f>IFERROR(__xludf.DUMMYFUNCTION("""COMPUTED_VALUE"""),"")</f>
        <v/>
      </c>
    </row>
    <row r="1135">
      <c r="A1135" s="16" t="s">
        <v>87</v>
      </c>
      <c r="E1135" s="16" t="str">
        <f>IFERROR(__xludf.DUMMYFUNCTION("""COMPUTED_VALUE"""),"")</f>
        <v/>
      </c>
      <c r="G1135" s="18"/>
      <c r="H1135" s="16" t="s">
        <v>87</v>
      </c>
      <c r="I1135" s="16" t="s">
        <v>87</v>
      </c>
      <c r="J1135" s="19"/>
      <c r="L1135" s="16" t="str">
        <f>IFERROR(__xludf.DUMMYFUNCTION("""COMPUTED_VALUE"""),"")</f>
        <v/>
      </c>
      <c r="M1135" s="16" t="str">
        <f>IFERROR(__xludf.DUMMYFUNCTION("""COMPUTED_VALUE"""),"")</f>
        <v/>
      </c>
      <c r="U1135" s="16" t="s">
        <v>87</v>
      </c>
      <c r="V1135" s="16" t="str">
        <f>IFERROR(__xludf.DUMMYFUNCTION("""COMPUTED_VALUE"""),"")</f>
        <v/>
      </c>
      <c r="W1135" s="16" t="str">
        <f>IFERROR(__xludf.DUMMYFUNCTION("""COMPUTED_VALUE"""),"")</f>
        <v/>
      </c>
      <c r="X1135" s="16" t="str">
        <f>IFERROR(__xludf.DUMMYFUNCTION("""COMPUTED_VALUE"""),"")</f>
        <v/>
      </c>
      <c r="AC1135" s="16" t="str">
        <f>IFERROR(__xludf.DUMMYFUNCTION("""COMPUTED_VALUE"""),"")</f>
        <v/>
      </c>
    </row>
    <row r="1136">
      <c r="A1136" s="16" t="s">
        <v>87</v>
      </c>
      <c r="E1136" s="16" t="str">
        <f>IFERROR(__xludf.DUMMYFUNCTION("""COMPUTED_VALUE"""),"")</f>
        <v/>
      </c>
      <c r="G1136" s="18"/>
      <c r="H1136" s="16" t="s">
        <v>87</v>
      </c>
      <c r="I1136" s="16" t="s">
        <v>87</v>
      </c>
      <c r="J1136" s="19"/>
      <c r="L1136" s="16" t="str">
        <f>IFERROR(__xludf.DUMMYFUNCTION("""COMPUTED_VALUE"""),"")</f>
        <v/>
      </c>
      <c r="M1136" s="16" t="str">
        <f>IFERROR(__xludf.DUMMYFUNCTION("""COMPUTED_VALUE"""),"")</f>
        <v/>
      </c>
      <c r="U1136" s="16" t="s">
        <v>87</v>
      </c>
      <c r="V1136" s="16" t="str">
        <f>IFERROR(__xludf.DUMMYFUNCTION("""COMPUTED_VALUE"""),"")</f>
        <v/>
      </c>
      <c r="W1136" s="16" t="str">
        <f>IFERROR(__xludf.DUMMYFUNCTION("""COMPUTED_VALUE"""),"")</f>
        <v/>
      </c>
      <c r="X1136" s="16" t="str">
        <f>IFERROR(__xludf.DUMMYFUNCTION("""COMPUTED_VALUE"""),"")</f>
        <v/>
      </c>
      <c r="AC1136" s="16" t="str">
        <f>IFERROR(__xludf.DUMMYFUNCTION("""COMPUTED_VALUE"""),"")</f>
        <v/>
      </c>
    </row>
    <row r="1137">
      <c r="A1137" s="16" t="s">
        <v>87</v>
      </c>
      <c r="E1137" s="16" t="str">
        <f>IFERROR(__xludf.DUMMYFUNCTION("""COMPUTED_VALUE"""),"")</f>
        <v/>
      </c>
      <c r="G1137" s="18"/>
      <c r="H1137" s="16" t="s">
        <v>87</v>
      </c>
      <c r="I1137" s="16" t="s">
        <v>87</v>
      </c>
      <c r="J1137" s="19"/>
      <c r="L1137" s="16" t="str">
        <f>IFERROR(__xludf.DUMMYFUNCTION("""COMPUTED_VALUE"""),"")</f>
        <v/>
      </c>
      <c r="M1137" s="16" t="str">
        <f>IFERROR(__xludf.DUMMYFUNCTION("""COMPUTED_VALUE"""),"")</f>
        <v/>
      </c>
      <c r="U1137" s="16" t="s">
        <v>87</v>
      </c>
      <c r="V1137" s="16" t="str">
        <f>IFERROR(__xludf.DUMMYFUNCTION("""COMPUTED_VALUE"""),"")</f>
        <v/>
      </c>
      <c r="W1137" s="16" t="str">
        <f>IFERROR(__xludf.DUMMYFUNCTION("""COMPUTED_VALUE"""),"")</f>
        <v/>
      </c>
      <c r="X1137" s="16" t="str">
        <f>IFERROR(__xludf.DUMMYFUNCTION("""COMPUTED_VALUE"""),"")</f>
        <v/>
      </c>
      <c r="AC1137" s="16" t="str">
        <f>IFERROR(__xludf.DUMMYFUNCTION("""COMPUTED_VALUE"""),"")</f>
        <v/>
      </c>
    </row>
    <row r="1138">
      <c r="A1138" s="16" t="s">
        <v>87</v>
      </c>
      <c r="E1138" s="16" t="str">
        <f>IFERROR(__xludf.DUMMYFUNCTION("""COMPUTED_VALUE"""),"")</f>
        <v/>
      </c>
      <c r="G1138" s="18"/>
      <c r="H1138" s="16" t="s">
        <v>87</v>
      </c>
      <c r="I1138" s="16" t="s">
        <v>87</v>
      </c>
      <c r="J1138" s="19"/>
      <c r="L1138" s="16" t="str">
        <f>IFERROR(__xludf.DUMMYFUNCTION("""COMPUTED_VALUE"""),"")</f>
        <v/>
      </c>
      <c r="M1138" s="16" t="str">
        <f>IFERROR(__xludf.DUMMYFUNCTION("""COMPUTED_VALUE"""),"")</f>
        <v/>
      </c>
      <c r="U1138" s="16" t="s">
        <v>87</v>
      </c>
      <c r="V1138" s="16" t="str">
        <f>IFERROR(__xludf.DUMMYFUNCTION("""COMPUTED_VALUE"""),"")</f>
        <v/>
      </c>
      <c r="W1138" s="16" t="str">
        <f>IFERROR(__xludf.DUMMYFUNCTION("""COMPUTED_VALUE"""),"")</f>
        <v/>
      </c>
      <c r="X1138" s="16" t="str">
        <f>IFERROR(__xludf.DUMMYFUNCTION("""COMPUTED_VALUE"""),"")</f>
        <v/>
      </c>
      <c r="AC1138" s="16" t="str">
        <f>IFERROR(__xludf.DUMMYFUNCTION("""COMPUTED_VALUE"""),"")</f>
        <v/>
      </c>
    </row>
    <row r="1139">
      <c r="A1139" s="16" t="s">
        <v>87</v>
      </c>
      <c r="E1139" s="16" t="str">
        <f>IFERROR(__xludf.DUMMYFUNCTION("""COMPUTED_VALUE"""),"")</f>
        <v/>
      </c>
      <c r="G1139" s="18"/>
      <c r="H1139" s="16" t="s">
        <v>87</v>
      </c>
      <c r="I1139" s="16" t="s">
        <v>87</v>
      </c>
      <c r="J1139" s="19"/>
      <c r="L1139" s="16" t="str">
        <f>IFERROR(__xludf.DUMMYFUNCTION("""COMPUTED_VALUE"""),"")</f>
        <v/>
      </c>
      <c r="M1139" s="16" t="str">
        <f>IFERROR(__xludf.DUMMYFUNCTION("""COMPUTED_VALUE"""),"")</f>
        <v/>
      </c>
      <c r="U1139" s="16" t="s">
        <v>87</v>
      </c>
      <c r="V1139" s="16" t="str">
        <f>IFERROR(__xludf.DUMMYFUNCTION("""COMPUTED_VALUE"""),"")</f>
        <v/>
      </c>
      <c r="W1139" s="16" t="str">
        <f>IFERROR(__xludf.DUMMYFUNCTION("""COMPUTED_VALUE"""),"")</f>
        <v/>
      </c>
      <c r="X1139" s="16" t="str">
        <f>IFERROR(__xludf.DUMMYFUNCTION("""COMPUTED_VALUE"""),"")</f>
        <v/>
      </c>
      <c r="AC1139" s="16" t="str">
        <f>IFERROR(__xludf.DUMMYFUNCTION("""COMPUTED_VALUE"""),"")</f>
        <v/>
      </c>
    </row>
    <row r="1140">
      <c r="A1140" s="16" t="s">
        <v>87</v>
      </c>
      <c r="E1140" s="16" t="str">
        <f>IFERROR(__xludf.DUMMYFUNCTION("""COMPUTED_VALUE"""),"")</f>
        <v/>
      </c>
      <c r="G1140" s="18"/>
      <c r="H1140" s="16" t="s">
        <v>87</v>
      </c>
      <c r="I1140" s="16" t="s">
        <v>87</v>
      </c>
      <c r="J1140" s="19"/>
      <c r="L1140" s="16" t="str">
        <f>IFERROR(__xludf.DUMMYFUNCTION("""COMPUTED_VALUE"""),"")</f>
        <v/>
      </c>
      <c r="M1140" s="16" t="str">
        <f>IFERROR(__xludf.DUMMYFUNCTION("""COMPUTED_VALUE"""),"")</f>
        <v/>
      </c>
      <c r="U1140" s="16" t="s">
        <v>87</v>
      </c>
      <c r="V1140" s="16" t="str">
        <f>IFERROR(__xludf.DUMMYFUNCTION("""COMPUTED_VALUE"""),"")</f>
        <v/>
      </c>
      <c r="W1140" s="16" t="str">
        <f>IFERROR(__xludf.DUMMYFUNCTION("""COMPUTED_VALUE"""),"")</f>
        <v/>
      </c>
      <c r="X1140" s="16" t="str">
        <f>IFERROR(__xludf.DUMMYFUNCTION("""COMPUTED_VALUE"""),"")</f>
        <v/>
      </c>
      <c r="AC1140" s="16" t="str">
        <f>IFERROR(__xludf.DUMMYFUNCTION("""COMPUTED_VALUE"""),"")</f>
        <v/>
      </c>
    </row>
    <row r="1141">
      <c r="A1141" s="16" t="s">
        <v>87</v>
      </c>
      <c r="E1141" s="16" t="str">
        <f>IFERROR(__xludf.DUMMYFUNCTION("""COMPUTED_VALUE"""),"")</f>
        <v/>
      </c>
      <c r="G1141" s="18"/>
      <c r="H1141" s="16" t="s">
        <v>87</v>
      </c>
      <c r="I1141" s="16" t="s">
        <v>87</v>
      </c>
      <c r="J1141" s="19"/>
      <c r="L1141" s="16" t="str">
        <f>IFERROR(__xludf.DUMMYFUNCTION("""COMPUTED_VALUE"""),"")</f>
        <v/>
      </c>
      <c r="M1141" s="16" t="str">
        <f>IFERROR(__xludf.DUMMYFUNCTION("""COMPUTED_VALUE"""),"")</f>
        <v/>
      </c>
      <c r="U1141" s="16" t="s">
        <v>87</v>
      </c>
      <c r="V1141" s="16" t="str">
        <f>IFERROR(__xludf.DUMMYFUNCTION("""COMPUTED_VALUE"""),"")</f>
        <v/>
      </c>
      <c r="W1141" s="16" t="str">
        <f>IFERROR(__xludf.DUMMYFUNCTION("""COMPUTED_VALUE"""),"")</f>
        <v/>
      </c>
      <c r="X1141" s="16" t="str">
        <f>IFERROR(__xludf.DUMMYFUNCTION("""COMPUTED_VALUE"""),"")</f>
        <v/>
      </c>
      <c r="AC1141" s="16" t="str">
        <f>IFERROR(__xludf.DUMMYFUNCTION("""COMPUTED_VALUE"""),"")</f>
        <v/>
      </c>
    </row>
    <row r="1142">
      <c r="A1142" s="16" t="s">
        <v>87</v>
      </c>
      <c r="E1142" s="16" t="str">
        <f>IFERROR(__xludf.DUMMYFUNCTION("""COMPUTED_VALUE"""),"")</f>
        <v/>
      </c>
      <c r="G1142" s="18"/>
      <c r="H1142" s="16" t="s">
        <v>87</v>
      </c>
      <c r="I1142" s="16" t="s">
        <v>87</v>
      </c>
      <c r="J1142" s="19"/>
      <c r="L1142" s="16" t="str">
        <f>IFERROR(__xludf.DUMMYFUNCTION("""COMPUTED_VALUE"""),"")</f>
        <v/>
      </c>
      <c r="M1142" s="16" t="str">
        <f>IFERROR(__xludf.DUMMYFUNCTION("""COMPUTED_VALUE"""),"")</f>
        <v/>
      </c>
      <c r="U1142" s="16" t="s">
        <v>87</v>
      </c>
      <c r="V1142" s="16" t="str">
        <f>IFERROR(__xludf.DUMMYFUNCTION("""COMPUTED_VALUE"""),"")</f>
        <v/>
      </c>
      <c r="W1142" s="16" t="str">
        <f>IFERROR(__xludf.DUMMYFUNCTION("""COMPUTED_VALUE"""),"")</f>
        <v/>
      </c>
      <c r="X1142" s="16" t="str">
        <f>IFERROR(__xludf.DUMMYFUNCTION("""COMPUTED_VALUE"""),"")</f>
        <v/>
      </c>
      <c r="AC1142" s="16" t="str">
        <f>IFERROR(__xludf.DUMMYFUNCTION("""COMPUTED_VALUE"""),"")</f>
        <v/>
      </c>
    </row>
    <row r="1143">
      <c r="A1143" s="16" t="s">
        <v>87</v>
      </c>
      <c r="E1143" s="16" t="str">
        <f>IFERROR(__xludf.DUMMYFUNCTION("""COMPUTED_VALUE"""),"")</f>
        <v/>
      </c>
      <c r="G1143" s="18"/>
      <c r="H1143" s="16" t="s">
        <v>87</v>
      </c>
      <c r="I1143" s="16" t="s">
        <v>87</v>
      </c>
      <c r="J1143" s="19"/>
      <c r="L1143" s="16" t="str">
        <f>IFERROR(__xludf.DUMMYFUNCTION("""COMPUTED_VALUE"""),"")</f>
        <v/>
      </c>
      <c r="M1143" s="16" t="str">
        <f>IFERROR(__xludf.DUMMYFUNCTION("""COMPUTED_VALUE"""),"")</f>
        <v/>
      </c>
      <c r="U1143" s="16" t="s">
        <v>87</v>
      </c>
      <c r="V1143" s="16" t="str">
        <f>IFERROR(__xludf.DUMMYFUNCTION("""COMPUTED_VALUE"""),"")</f>
        <v/>
      </c>
      <c r="W1143" s="16" t="str">
        <f>IFERROR(__xludf.DUMMYFUNCTION("""COMPUTED_VALUE"""),"")</f>
        <v/>
      </c>
      <c r="X1143" s="16" t="str">
        <f>IFERROR(__xludf.DUMMYFUNCTION("""COMPUTED_VALUE"""),"")</f>
        <v/>
      </c>
      <c r="AC1143" s="16" t="str">
        <f>IFERROR(__xludf.DUMMYFUNCTION("""COMPUTED_VALUE"""),"")</f>
        <v/>
      </c>
    </row>
    <row r="1144">
      <c r="A1144" s="16" t="s">
        <v>87</v>
      </c>
      <c r="E1144" s="16" t="str">
        <f>IFERROR(__xludf.DUMMYFUNCTION("""COMPUTED_VALUE"""),"")</f>
        <v/>
      </c>
      <c r="G1144" s="18"/>
      <c r="H1144" s="16" t="s">
        <v>87</v>
      </c>
      <c r="I1144" s="16" t="s">
        <v>87</v>
      </c>
      <c r="J1144" s="19"/>
      <c r="L1144" s="16" t="str">
        <f>IFERROR(__xludf.DUMMYFUNCTION("""COMPUTED_VALUE"""),"")</f>
        <v/>
      </c>
      <c r="M1144" s="16" t="str">
        <f>IFERROR(__xludf.DUMMYFUNCTION("""COMPUTED_VALUE"""),"")</f>
        <v/>
      </c>
      <c r="U1144" s="16" t="s">
        <v>87</v>
      </c>
      <c r="V1144" s="16" t="str">
        <f>IFERROR(__xludf.DUMMYFUNCTION("""COMPUTED_VALUE"""),"")</f>
        <v/>
      </c>
      <c r="W1144" s="16" t="str">
        <f>IFERROR(__xludf.DUMMYFUNCTION("""COMPUTED_VALUE"""),"")</f>
        <v/>
      </c>
      <c r="X1144" s="16" t="str">
        <f>IFERROR(__xludf.DUMMYFUNCTION("""COMPUTED_VALUE"""),"")</f>
        <v/>
      </c>
      <c r="AC1144" s="16" t="str">
        <f>IFERROR(__xludf.DUMMYFUNCTION("""COMPUTED_VALUE"""),"")</f>
        <v/>
      </c>
    </row>
    <row r="1145">
      <c r="A1145" s="16" t="s">
        <v>87</v>
      </c>
      <c r="E1145" s="16" t="str">
        <f>IFERROR(__xludf.DUMMYFUNCTION("""COMPUTED_VALUE"""),"")</f>
        <v/>
      </c>
      <c r="G1145" s="18"/>
      <c r="H1145" s="16" t="s">
        <v>87</v>
      </c>
      <c r="I1145" s="16" t="s">
        <v>87</v>
      </c>
      <c r="J1145" s="19"/>
      <c r="L1145" s="16" t="str">
        <f>IFERROR(__xludf.DUMMYFUNCTION("""COMPUTED_VALUE"""),"")</f>
        <v/>
      </c>
      <c r="M1145" s="16" t="str">
        <f>IFERROR(__xludf.DUMMYFUNCTION("""COMPUTED_VALUE"""),"")</f>
        <v/>
      </c>
      <c r="U1145" s="16" t="s">
        <v>87</v>
      </c>
      <c r="V1145" s="16" t="str">
        <f>IFERROR(__xludf.DUMMYFUNCTION("""COMPUTED_VALUE"""),"")</f>
        <v/>
      </c>
      <c r="W1145" s="16" t="str">
        <f>IFERROR(__xludf.DUMMYFUNCTION("""COMPUTED_VALUE"""),"")</f>
        <v/>
      </c>
      <c r="X1145" s="16" t="str">
        <f>IFERROR(__xludf.DUMMYFUNCTION("""COMPUTED_VALUE"""),"")</f>
        <v/>
      </c>
      <c r="AC1145" s="16" t="str">
        <f>IFERROR(__xludf.DUMMYFUNCTION("""COMPUTED_VALUE"""),"")</f>
        <v/>
      </c>
    </row>
    <row r="1146">
      <c r="A1146" s="16" t="s">
        <v>87</v>
      </c>
      <c r="E1146" s="16" t="str">
        <f>IFERROR(__xludf.DUMMYFUNCTION("""COMPUTED_VALUE"""),"")</f>
        <v/>
      </c>
      <c r="G1146" s="18"/>
      <c r="H1146" s="16" t="s">
        <v>87</v>
      </c>
      <c r="I1146" s="16" t="s">
        <v>87</v>
      </c>
      <c r="J1146" s="19"/>
      <c r="L1146" s="16" t="str">
        <f>IFERROR(__xludf.DUMMYFUNCTION("""COMPUTED_VALUE"""),"")</f>
        <v/>
      </c>
      <c r="M1146" s="16" t="str">
        <f>IFERROR(__xludf.DUMMYFUNCTION("""COMPUTED_VALUE"""),"")</f>
        <v/>
      </c>
      <c r="U1146" s="16" t="s">
        <v>87</v>
      </c>
      <c r="V1146" s="16" t="str">
        <f>IFERROR(__xludf.DUMMYFUNCTION("""COMPUTED_VALUE"""),"")</f>
        <v/>
      </c>
      <c r="W1146" s="16" t="str">
        <f>IFERROR(__xludf.DUMMYFUNCTION("""COMPUTED_VALUE"""),"")</f>
        <v/>
      </c>
      <c r="X1146" s="16" t="str">
        <f>IFERROR(__xludf.DUMMYFUNCTION("""COMPUTED_VALUE"""),"")</f>
        <v/>
      </c>
      <c r="AC1146" s="16" t="str">
        <f>IFERROR(__xludf.DUMMYFUNCTION("""COMPUTED_VALUE"""),"")</f>
        <v/>
      </c>
    </row>
    <row r="1147">
      <c r="A1147" s="16" t="s">
        <v>87</v>
      </c>
      <c r="E1147" s="16" t="str">
        <f>IFERROR(__xludf.DUMMYFUNCTION("""COMPUTED_VALUE"""),"")</f>
        <v/>
      </c>
      <c r="G1147" s="18"/>
      <c r="H1147" s="16" t="s">
        <v>87</v>
      </c>
      <c r="I1147" s="16" t="s">
        <v>87</v>
      </c>
      <c r="J1147" s="19"/>
      <c r="L1147" s="16" t="str">
        <f>IFERROR(__xludf.DUMMYFUNCTION("""COMPUTED_VALUE"""),"")</f>
        <v/>
      </c>
      <c r="M1147" s="16" t="str">
        <f>IFERROR(__xludf.DUMMYFUNCTION("""COMPUTED_VALUE"""),"")</f>
        <v/>
      </c>
      <c r="U1147" s="16" t="s">
        <v>87</v>
      </c>
      <c r="V1147" s="16" t="str">
        <f>IFERROR(__xludf.DUMMYFUNCTION("""COMPUTED_VALUE"""),"")</f>
        <v/>
      </c>
      <c r="W1147" s="16" t="str">
        <f>IFERROR(__xludf.DUMMYFUNCTION("""COMPUTED_VALUE"""),"")</f>
        <v/>
      </c>
      <c r="X1147" s="16" t="str">
        <f>IFERROR(__xludf.DUMMYFUNCTION("""COMPUTED_VALUE"""),"")</f>
        <v/>
      </c>
      <c r="AC1147" s="16" t="str">
        <f>IFERROR(__xludf.DUMMYFUNCTION("""COMPUTED_VALUE"""),"")</f>
        <v/>
      </c>
    </row>
    <row r="1148">
      <c r="A1148" s="16" t="s">
        <v>87</v>
      </c>
      <c r="E1148" s="16" t="str">
        <f>IFERROR(__xludf.DUMMYFUNCTION("""COMPUTED_VALUE"""),"")</f>
        <v/>
      </c>
      <c r="G1148" s="18"/>
      <c r="H1148" s="16" t="s">
        <v>87</v>
      </c>
      <c r="I1148" s="16" t="s">
        <v>87</v>
      </c>
      <c r="J1148" s="19"/>
      <c r="L1148" s="16" t="str">
        <f>IFERROR(__xludf.DUMMYFUNCTION("""COMPUTED_VALUE"""),"")</f>
        <v/>
      </c>
      <c r="M1148" s="16" t="str">
        <f>IFERROR(__xludf.DUMMYFUNCTION("""COMPUTED_VALUE"""),"")</f>
        <v/>
      </c>
      <c r="U1148" s="16" t="s">
        <v>87</v>
      </c>
      <c r="V1148" s="16" t="str">
        <f>IFERROR(__xludf.DUMMYFUNCTION("""COMPUTED_VALUE"""),"")</f>
        <v/>
      </c>
      <c r="W1148" s="16" t="str">
        <f>IFERROR(__xludf.DUMMYFUNCTION("""COMPUTED_VALUE"""),"")</f>
        <v/>
      </c>
      <c r="X1148" s="16" t="str">
        <f>IFERROR(__xludf.DUMMYFUNCTION("""COMPUTED_VALUE"""),"")</f>
        <v/>
      </c>
      <c r="AC1148" s="16" t="str">
        <f>IFERROR(__xludf.DUMMYFUNCTION("""COMPUTED_VALUE"""),"")</f>
        <v/>
      </c>
    </row>
    <row r="1149">
      <c r="A1149" s="16" t="s">
        <v>87</v>
      </c>
      <c r="E1149" s="16" t="str">
        <f>IFERROR(__xludf.DUMMYFUNCTION("""COMPUTED_VALUE"""),"")</f>
        <v/>
      </c>
      <c r="G1149" s="18"/>
      <c r="H1149" s="16" t="s">
        <v>87</v>
      </c>
      <c r="I1149" s="16" t="s">
        <v>87</v>
      </c>
      <c r="J1149" s="19"/>
      <c r="L1149" s="16" t="str">
        <f>IFERROR(__xludf.DUMMYFUNCTION("""COMPUTED_VALUE"""),"")</f>
        <v/>
      </c>
      <c r="M1149" s="16" t="str">
        <f>IFERROR(__xludf.DUMMYFUNCTION("""COMPUTED_VALUE"""),"")</f>
        <v/>
      </c>
      <c r="U1149" s="16" t="s">
        <v>87</v>
      </c>
      <c r="V1149" s="16" t="str">
        <f>IFERROR(__xludf.DUMMYFUNCTION("""COMPUTED_VALUE"""),"")</f>
        <v/>
      </c>
      <c r="W1149" s="16" t="str">
        <f>IFERROR(__xludf.DUMMYFUNCTION("""COMPUTED_VALUE"""),"")</f>
        <v/>
      </c>
      <c r="X1149" s="16" t="str">
        <f>IFERROR(__xludf.DUMMYFUNCTION("""COMPUTED_VALUE"""),"")</f>
        <v/>
      </c>
      <c r="AC1149" s="16" t="str">
        <f>IFERROR(__xludf.DUMMYFUNCTION("""COMPUTED_VALUE"""),"")</f>
        <v/>
      </c>
    </row>
    <row r="1150">
      <c r="A1150" s="16" t="s">
        <v>87</v>
      </c>
      <c r="E1150" s="16" t="str">
        <f>IFERROR(__xludf.DUMMYFUNCTION("""COMPUTED_VALUE"""),"")</f>
        <v/>
      </c>
      <c r="G1150" s="18"/>
      <c r="H1150" s="16" t="s">
        <v>87</v>
      </c>
      <c r="I1150" s="16" t="s">
        <v>87</v>
      </c>
      <c r="J1150" s="19"/>
      <c r="L1150" s="16" t="str">
        <f>IFERROR(__xludf.DUMMYFUNCTION("""COMPUTED_VALUE"""),"")</f>
        <v/>
      </c>
      <c r="M1150" s="16" t="str">
        <f>IFERROR(__xludf.DUMMYFUNCTION("""COMPUTED_VALUE"""),"")</f>
        <v/>
      </c>
      <c r="U1150" s="16" t="s">
        <v>87</v>
      </c>
      <c r="V1150" s="16" t="str">
        <f>IFERROR(__xludf.DUMMYFUNCTION("""COMPUTED_VALUE"""),"")</f>
        <v/>
      </c>
      <c r="W1150" s="16" t="str">
        <f>IFERROR(__xludf.DUMMYFUNCTION("""COMPUTED_VALUE"""),"")</f>
        <v/>
      </c>
      <c r="X1150" s="16" t="str">
        <f>IFERROR(__xludf.DUMMYFUNCTION("""COMPUTED_VALUE"""),"")</f>
        <v/>
      </c>
      <c r="AC1150" s="16" t="str">
        <f>IFERROR(__xludf.DUMMYFUNCTION("""COMPUTED_VALUE"""),"")</f>
        <v/>
      </c>
    </row>
    <row r="1151">
      <c r="A1151" s="16" t="s">
        <v>87</v>
      </c>
      <c r="E1151" s="16" t="str">
        <f>IFERROR(__xludf.DUMMYFUNCTION("""COMPUTED_VALUE"""),"")</f>
        <v/>
      </c>
      <c r="G1151" s="18"/>
      <c r="H1151" s="16" t="s">
        <v>87</v>
      </c>
      <c r="I1151" s="16" t="s">
        <v>87</v>
      </c>
      <c r="J1151" s="19"/>
      <c r="L1151" s="16" t="str">
        <f>IFERROR(__xludf.DUMMYFUNCTION("""COMPUTED_VALUE"""),"")</f>
        <v/>
      </c>
      <c r="M1151" s="16" t="str">
        <f>IFERROR(__xludf.DUMMYFUNCTION("""COMPUTED_VALUE"""),"")</f>
        <v/>
      </c>
      <c r="U1151" s="16" t="s">
        <v>87</v>
      </c>
      <c r="V1151" s="16" t="str">
        <f>IFERROR(__xludf.DUMMYFUNCTION("""COMPUTED_VALUE"""),"")</f>
        <v/>
      </c>
      <c r="W1151" s="16" t="str">
        <f>IFERROR(__xludf.DUMMYFUNCTION("""COMPUTED_VALUE"""),"")</f>
        <v/>
      </c>
      <c r="X1151" s="16" t="str">
        <f>IFERROR(__xludf.DUMMYFUNCTION("""COMPUTED_VALUE"""),"")</f>
        <v/>
      </c>
      <c r="AC1151" s="16" t="str">
        <f>IFERROR(__xludf.DUMMYFUNCTION("""COMPUTED_VALUE"""),"")</f>
        <v/>
      </c>
    </row>
    <row r="1152">
      <c r="A1152" s="16" t="s">
        <v>87</v>
      </c>
      <c r="E1152" s="16" t="str">
        <f>IFERROR(__xludf.DUMMYFUNCTION("""COMPUTED_VALUE"""),"")</f>
        <v/>
      </c>
      <c r="G1152" s="18"/>
      <c r="H1152" s="16" t="s">
        <v>87</v>
      </c>
      <c r="I1152" s="16" t="s">
        <v>87</v>
      </c>
      <c r="J1152" s="19"/>
      <c r="L1152" s="16" t="str">
        <f>IFERROR(__xludf.DUMMYFUNCTION("""COMPUTED_VALUE"""),"")</f>
        <v/>
      </c>
      <c r="M1152" s="16" t="str">
        <f>IFERROR(__xludf.DUMMYFUNCTION("""COMPUTED_VALUE"""),"")</f>
        <v/>
      </c>
      <c r="U1152" s="16" t="s">
        <v>87</v>
      </c>
      <c r="V1152" s="16" t="str">
        <f>IFERROR(__xludf.DUMMYFUNCTION("""COMPUTED_VALUE"""),"")</f>
        <v/>
      </c>
      <c r="W1152" s="16" t="str">
        <f>IFERROR(__xludf.DUMMYFUNCTION("""COMPUTED_VALUE"""),"")</f>
        <v/>
      </c>
      <c r="X1152" s="16" t="str">
        <f>IFERROR(__xludf.DUMMYFUNCTION("""COMPUTED_VALUE"""),"")</f>
        <v/>
      </c>
      <c r="AC1152" s="16" t="str">
        <f>IFERROR(__xludf.DUMMYFUNCTION("""COMPUTED_VALUE"""),"")</f>
        <v/>
      </c>
    </row>
    <row r="1153">
      <c r="A1153" s="16" t="s">
        <v>87</v>
      </c>
      <c r="E1153" s="16" t="str">
        <f>IFERROR(__xludf.DUMMYFUNCTION("""COMPUTED_VALUE"""),"")</f>
        <v/>
      </c>
      <c r="G1153" s="18"/>
      <c r="H1153" s="16" t="s">
        <v>87</v>
      </c>
      <c r="I1153" s="16" t="s">
        <v>87</v>
      </c>
      <c r="J1153" s="19"/>
      <c r="L1153" s="16" t="str">
        <f>IFERROR(__xludf.DUMMYFUNCTION("""COMPUTED_VALUE"""),"")</f>
        <v/>
      </c>
      <c r="M1153" s="16" t="str">
        <f>IFERROR(__xludf.DUMMYFUNCTION("""COMPUTED_VALUE"""),"")</f>
        <v/>
      </c>
      <c r="U1153" s="16" t="s">
        <v>87</v>
      </c>
      <c r="V1153" s="16" t="str">
        <f>IFERROR(__xludf.DUMMYFUNCTION("""COMPUTED_VALUE"""),"")</f>
        <v/>
      </c>
      <c r="W1153" s="16" t="str">
        <f>IFERROR(__xludf.DUMMYFUNCTION("""COMPUTED_VALUE"""),"")</f>
        <v/>
      </c>
      <c r="X1153" s="16" t="str">
        <f>IFERROR(__xludf.DUMMYFUNCTION("""COMPUTED_VALUE"""),"")</f>
        <v/>
      </c>
      <c r="AC1153" s="16" t="str">
        <f>IFERROR(__xludf.DUMMYFUNCTION("""COMPUTED_VALUE"""),"")</f>
        <v/>
      </c>
    </row>
    <row r="1154">
      <c r="A1154" s="16" t="s">
        <v>87</v>
      </c>
      <c r="E1154" s="16" t="str">
        <f>IFERROR(__xludf.DUMMYFUNCTION("""COMPUTED_VALUE"""),"")</f>
        <v/>
      </c>
      <c r="G1154" s="18"/>
      <c r="H1154" s="16" t="s">
        <v>87</v>
      </c>
      <c r="I1154" s="16" t="s">
        <v>87</v>
      </c>
      <c r="J1154" s="19"/>
      <c r="L1154" s="16" t="str">
        <f>IFERROR(__xludf.DUMMYFUNCTION("""COMPUTED_VALUE"""),"")</f>
        <v/>
      </c>
      <c r="M1154" s="16" t="str">
        <f>IFERROR(__xludf.DUMMYFUNCTION("""COMPUTED_VALUE"""),"")</f>
        <v/>
      </c>
      <c r="U1154" s="16" t="s">
        <v>87</v>
      </c>
      <c r="V1154" s="16" t="str">
        <f>IFERROR(__xludf.DUMMYFUNCTION("""COMPUTED_VALUE"""),"")</f>
        <v/>
      </c>
      <c r="W1154" s="16" t="str">
        <f>IFERROR(__xludf.DUMMYFUNCTION("""COMPUTED_VALUE"""),"")</f>
        <v/>
      </c>
      <c r="X1154" s="16" t="str">
        <f>IFERROR(__xludf.DUMMYFUNCTION("""COMPUTED_VALUE"""),"")</f>
        <v/>
      </c>
      <c r="AC1154" s="16" t="str">
        <f>IFERROR(__xludf.DUMMYFUNCTION("""COMPUTED_VALUE"""),"")</f>
        <v/>
      </c>
    </row>
    <row r="1155">
      <c r="A1155" s="16" t="s">
        <v>87</v>
      </c>
      <c r="E1155" s="16" t="str">
        <f>IFERROR(__xludf.DUMMYFUNCTION("""COMPUTED_VALUE"""),"")</f>
        <v/>
      </c>
      <c r="G1155" s="18"/>
      <c r="H1155" s="16" t="s">
        <v>87</v>
      </c>
      <c r="I1155" s="16" t="s">
        <v>87</v>
      </c>
      <c r="J1155" s="19"/>
      <c r="L1155" s="16" t="str">
        <f>IFERROR(__xludf.DUMMYFUNCTION("""COMPUTED_VALUE"""),"")</f>
        <v/>
      </c>
      <c r="M1155" s="16" t="str">
        <f>IFERROR(__xludf.DUMMYFUNCTION("""COMPUTED_VALUE"""),"")</f>
        <v/>
      </c>
      <c r="U1155" s="16" t="s">
        <v>87</v>
      </c>
      <c r="V1155" s="16" t="str">
        <f>IFERROR(__xludf.DUMMYFUNCTION("""COMPUTED_VALUE"""),"")</f>
        <v/>
      </c>
      <c r="W1155" s="16" t="str">
        <f>IFERROR(__xludf.DUMMYFUNCTION("""COMPUTED_VALUE"""),"")</f>
        <v/>
      </c>
      <c r="X1155" s="16" t="str">
        <f>IFERROR(__xludf.DUMMYFUNCTION("""COMPUTED_VALUE"""),"")</f>
        <v/>
      </c>
      <c r="AC1155" s="16" t="str">
        <f>IFERROR(__xludf.DUMMYFUNCTION("""COMPUTED_VALUE"""),"")</f>
        <v/>
      </c>
    </row>
    <row r="1156">
      <c r="A1156" s="16" t="s">
        <v>87</v>
      </c>
      <c r="E1156" s="16" t="str">
        <f>IFERROR(__xludf.DUMMYFUNCTION("""COMPUTED_VALUE"""),"")</f>
        <v/>
      </c>
      <c r="G1156" s="18"/>
      <c r="H1156" s="16" t="s">
        <v>87</v>
      </c>
      <c r="I1156" s="16" t="s">
        <v>87</v>
      </c>
      <c r="J1156" s="19"/>
      <c r="L1156" s="16" t="str">
        <f>IFERROR(__xludf.DUMMYFUNCTION("""COMPUTED_VALUE"""),"")</f>
        <v/>
      </c>
      <c r="M1156" s="16" t="str">
        <f>IFERROR(__xludf.DUMMYFUNCTION("""COMPUTED_VALUE"""),"")</f>
        <v/>
      </c>
      <c r="U1156" s="16" t="s">
        <v>87</v>
      </c>
      <c r="V1156" s="16" t="str">
        <f>IFERROR(__xludf.DUMMYFUNCTION("""COMPUTED_VALUE"""),"")</f>
        <v/>
      </c>
      <c r="W1156" s="16" t="str">
        <f>IFERROR(__xludf.DUMMYFUNCTION("""COMPUTED_VALUE"""),"")</f>
        <v/>
      </c>
      <c r="X1156" s="16" t="str">
        <f>IFERROR(__xludf.DUMMYFUNCTION("""COMPUTED_VALUE"""),"")</f>
        <v/>
      </c>
      <c r="AC1156" s="16" t="str">
        <f>IFERROR(__xludf.DUMMYFUNCTION("""COMPUTED_VALUE"""),"")</f>
        <v/>
      </c>
    </row>
    <row r="1157">
      <c r="A1157" s="16" t="s">
        <v>87</v>
      </c>
      <c r="E1157" s="16" t="str">
        <f>IFERROR(__xludf.DUMMYFUNCTION("""COMPUTED_VALUE"""),"")</f>
        <v/>
      </c>
      <c r="G1157" s="18"/>
      <c r="H1157" s="16" t="s">
        <v>87</v>
      </c>
      <c r="I1157" s="16" t="s">
        <v>87</v>
      </c>
      <c r="J1157" s="19"/>
      <c r="L1157" s="16" t="str">
        <f>IFERROR(__xludf.DUMMYFUNCTION("""COMPUTED_VALUE"""),"")</f>
        <v/>
      </c>
      <c r="M1157" s="16" t="str">
        <f>IFERROR(__xludf.DUMMYFUNCTION("""COMPUTED_VALUE"""),"")</f>
        <v/>
      </c>
      <c r="U1157" s="16" t="s">
        <v>87</v>
      </c>
      <c r="V1157" s="16" t="str">
        <f>IFERROR(__xludf.DUMMYFUNCTION("""COMPUTED_VALUE"""),"")</f>
        <v/>
      </c>
      <c r="W1157" s="16" t="str">
        <f>IFERROR(__xludf.DUMMYFUNCTION("""COMPUTED_VALUE"""),"")</f>
        <v/>
      </c>
      <c r="X1157" s="16" t="str">
        <f>IFERROR(__xludf.DUMMYFUNCTION("""COMPUTED_VALUE"""),"")</f>
        <v/>
      </c>
      <c r="AC1157" s="16" t="str">
        <f>IFERROR(__xludf.DUMMYFUNCTION("""COMPUTED_VALUE"""),"")</f>
        <v/>
      </c>
    </row>
    <row r="1158">
      <c r="A1158" s="16" t="s">
        <v>87</v>
      </c>
      <c r="E1158" s="16" t="str">
        <f>IFERROR(__xludf.DUMMYFUNCTION("""COMPUTED_VALUE"""),"")</f>
        <v/>
      </c>
      <c r="G1158" s="18"/>
      <c r="H1158" s="16" t="s">
        <v>87</v>
      </c>
      <c r="I1158" s="16" t="s">
        <v>87</v>
      </c>
      <c r="J1158" s="19"/>
      <c r="L1158" s="16" t="str">
        <f>IFERROR(__xludf.DUMMYFUNCTION("""COMPUTED_VALUE"""),"")</f>
        <v/>
      </c>
      <c r="M1158" s="16" t="str">
        <f>IFERROR(__xludf.DUMMYFUNCTION("""COMPUTED_VALUE"""),"")</f>
        <v/>
      </c>
      <c r="U1158" s="16" t="s">
        <v>87</v>
      </c>
      <c r="V1158" s="16" t="str">
        <f>IFERROR(__xludf.DUMMYFUNCTION("""COMPUTED_VALUE"""),"")</f>
        <v/>
      </c>
      <c r="W1158" s="16" t="str">
        <f>IFERROR(__xludf.DUMMYFUNCTION("""COMPUTED_VALUE"""),"")</f>
        <v/>
      </c>
      <c r="X1158" s="16" t="str">
        <f>IFERROR(__xludf.DUMMYFUNCTION("""COMPUTED_VALUE"""),"")</f>
        <v/>
      </c>
      <c r="AC1158" s="16" t="str">
        <f>IFERROR(__xludf.DUMMYFUNCTION("""COMPUTED_VALUE"""),"")</f>
        <v/>
      </c>
    </row>
    <row r="1159">
      <c r="A1159" s="16" t="s">
        <v>87</v>
      </c>
      <c r="E1159" s="16" t="str">
        <f>IFERROR(__xludf.DUMMYFUNCTION("""COMPUTED_VALUE"""),"")</f>
        <v/>
      </c>
      <c r="G1159" s="18"/>
      <c r="H1159" s="16" t="s">
        <v>87</v>
      </c>
      <c r="I1159" s="16" t="s">
        <v>87</v>
      </c>
      <c r="J1159" s="19"/>
      <c r="L1159" s="16" t="str">
        <f>IFERROR(__xludf.DUMMYFUNCTION("""COMPUTED_VALUE"""),"")</f>
        <v/>
      </c>
      <c r="M1159" s="16" t="str">
        <f>IFERROR(__xludf.DUMMYFUNCTION("""COMPUTED_VALUE"""),"")</f>
        <v/>
      </c>
      <c r="U1159" s="16" t="s">
        <v>87</v>
      </c>
      <c r="V1159" s="16" t="str">
        <f>IFERROR(__xludf.DUMMYFUNCTION("""COMPUTED_VALUE"""),"")</f>
        <v/>
      </c>
      <c r="W1159" s="16" t="str">
        <f>IFERROR(__xludf.DUMMYFUNCTION("""COMPUTED_VALUE"""),"")</f>
        <v/>
      </c>
      <c r="X1159" s="16" t="str">
        <f>IFERROR(__xludf.DUMMYFUNCTION("""COMPUTED_VALUE"""),"")</f>
        <v/>
      </c>
      <c r="AC1159" s="16" t="str">
        <f>IFERROR(__xludf.DUMMYFUNCTION("""COMPUTED_VALUE"""),"")</f>
        <v/>
      </c>
    </row>
    <row r="1160">
      <c r="A1160" s="16" t="s">
        <v>87</v>
      </c>
      <c r="E1160" s="16" t="str">
        <f>IFERROR(__xludf.DUMMYFUNCTION("""COMPUTED_VALUE"""),"")</f>
        <v/>
      </c>
      <c r="G1160" s="18"/>
      <c r="H1160" s="16" t="s">
        <v>87</v>
      </c>
      <c r="I1160" s="16" t="s">
        <v>87</v>
      </c>
      <c r="J1160" s="19"/>
      <c r="L1160" s="16" t="str">
        <f>IFERROR(__xludf.DUMMYFUNCTION("""COMPUTED_VALUE"""),"")</f>
        <v/>
      </c>
      <c r="M1160" s="16" t="str">
        <f>IFERROR(__xludf.DUMMYFUNCTION("""COMPUTED_VALUE"""),"")</f>
        <v/>
      </c>
      <c r="U1160" s="16" t="s">
        <v>87</v>
      </c>
      <c r="V1160" s="16" t="str">
        <f>IFERROR(__xludf.DUMMYFUNCTION("""COMPUTED_VALUE"""),"")</f>
        <v/>
      </c>
      <c r="W1160" s="16" t="str">
        <f>IFERROR(__xludf.DUMMYFUNCTION("""COMPUTED_VALUE"""),"")</f>
        <v/>
      </c>
      <c r="X1160" s="16" t="str">
        <f>IFERROR(__xludf.DUMMYFUNCTION("""COMPUTED_VALUE"""),"")</f>
        <v/>
      </c>
      <c r="AC1160" s="16" t="str">
        <f>IFERROR(__xludf.DUMMYFUNCTION("""COMPUTED_VALUE"""),"")</f>
        <v/>
      </c>
    </row>
    <row r="1161">
      <c r="A1161" s="16" t="s">
        <v>87</v>
      </c>
      <c r="E1161" s="16" t="str">
        <f>IFERROR(__xludf.DUMMYFUNCTION("""COMPUTED_VALUE"""),"")</f>
        <v/>
      </c>
      <c r="G1161" s="18"/>
      <c r="H1161" s="16" t="s">
        <v>87</v>
      </c>
      <c r="I1161" s="16" t="s">
        <v>87</v>
      </c>
      <c r="J1161" s="19"/>
      <c r="L1161" s="16" t="str">
        <f>IFERROR(__xludf.DUMMYFUNCTION("""COMPUTED_VALUE"""),"")</f>
        <v/>
      </c>
      <c r="M1161" s="16" t="str">
        <f>IFERROR(__xludf.DUMMYFUNCTION("""COMPUTED_VALUE"""),"")</f>
        <v/>
      </c>
      <c r="U1161" s="16" t="s">
        <v>87</v>
      </c>
      <c r="V1161" s="16" t="str">
        <f>IFERROR(__xludf.DUMMYFUNCTION("""COMPUTED_VALUE"""),"")</f>
        <v/>
      </c>
      <c r="W1161" s="16" t="str">
        <f>IFERROR(__xludf.DUMMYFUNCTION("""COMPUTED_VALUE"""),"")</f>
        <v/>
      </c>
      <c r="X1161" s="16" t="str">
        <f>IFERROR(__xludf.DUMMYFUNCTION("""COMPUTED_VALUE"""),"")</f>
        <v/>
      </c>
      <c r="AC1161" s="16" t="str">
        <f>IFERROR(__xludf.DUMMYFUNCTION("""COMPUTED_VALUE"""),"")</f>
        <v/>
      </c>
    </row>
    <row r="1162">
      <c r="A1162" s="16" t="s">
        <v>87</v>
      </c>
      <c r="E1162" s="16" t="str">
        <f>IFERROR(__xludf.DUMMYFUNCTION("""COMPUTED_VALUE"""),"")</f>
        <v/>
      </c>
      <c r="G1162" s="18"/>
      <c r="H1162" s="16" t="s">
        <v>87</v>
      </c>
      <c r="I1162" s="16" t="s">
        <v>87</v>
      </c>
      <c r="J1162" s="19"/>
      <c r="L1162" s="16" t="str">
        <f>IFERROR(__xludf.DUMMYFUNCTION("""COMPUTED_VALUE"""),"")</f>
        <v/>
      </c>
      <c r="M1162" s="16" t="str">
        <f>IFERROR(__xludf.DUMMYFUNCTION("""COMPUTED_VALUE"""),"")</f>
        <v/>
      </c>
      <c r="U1162" s="16" t="s">
        <v>87</v>
      </c>
      <c r="V1162" s="16" t="str">
        <f>IFERROR(__xludf.DUMMYFUNCTION("""COMPUTED_VALUE"""),"")</f>
        <v/>
      </c>
      <c r="W1162" s="16" t="str">
        <f>IFERROR(__xludf.DUMMYFUNCTION("""COMPUTED_VALUE"""),"")</f>
        <v/>
      </c>
      <c r="X1162" s="16" t="str">
        <f>IFERROR(__xludf.DUMMYFUNCTION("""COMPUTED_VALUE"""),"")</f>
        <v/>
      </c>
      <c r="AC1162" s="16" t="str">
        <f>IFERROR(__xludf.DUMMYFUNCTION("""COMPUTED_VALUE"""),"")</f>
        <v/>
      </c>
    </row>
    <row r="1163">
      <c r="A1163" s="16" t="s">
        <v>87</v>
      </c>
      <c r="E1163" s="16" t="str">
        <f>IFERROR(__xludf.DUMMYFUNCTION("""COMPUTED_VALUE"""),"")</f>
        <v/>
      </c>
      <c r="G1163" s="18"/>
      <c r="H1163" s="16" t="s">
        <v>87</v>
      </c>
      <c r="I1163" s="16" t="s">
        <v>87</v>
      </c>
      <c r="J1163" s="19"/>
      <c r="L1163" s="16" t="str">
        <f>IFERROR(__xludf.DUMMYFUNCTION("""COMPUTED_VALUE"""),"")</f>
        <v/>
      </c>
      <c r="M1163" s="16" t="str">
        <f>IFERROR(__xludf.DUMMYFUNCTION("""COMPUTED_VALUE"""),"")</f>
        <v/>
      </c>
      <c r="U1163" s="16" t="s">
        <v>87</v>
      </c>
      <c r="V1163" s="16" t="str">
        <f>IFERROR(__xludf.DUMMYFUNCTION("""COMPUTED_VALUE"""),"")</f>
        <v/>
      </c>
      <c r="W1163" s="16" t="str">
        <f>IFERROR(__xludf.DUMMYFUNCTION("""COMPUTED_VALUE"""),"")</f>
        <v/>
      </c>
      <c r="X1163" s="16" t="str">
        <f>IFERROR(__xludf.DUMMYFUNCTION("""COMPUTED_VALUE"""),"")</f>
        <v/>
      </c>
      <c r="AC1163" s="16" t="str">
        <f>IFERROR(__xludf.DUMMYFUNCTION("""COMPUTED_VALUE"""),"")</f>
        <v/>
      </c>
    </row>
    <row r="1164">
      <c r="A1164" s="16" t="s">
        <v>87</v>
      </c>
      <c r="E1164" s="16" t="str">
        <f>IFERROR(__xludf.DUMMYFUNCTION("""COMPUTED_VALUE"""),"")</f>
        <v/>
      </c>
      <c r="G1164" s="18"/>
      <c r="H1164" s="16" t="s">
        <v>87</v>
      </c>
      <c r="I1164" s="16" t="s">
        <v>87</v>
      </c>
      <c r="J1164" s="19"/>
      <c r="L1164" s="16" t="str">
        <f>IFERROR(__xludf.DUMMYFUNCTION("""COMPUTED_VALUE"""),"")</f>
        <v/>
      </c>
      <c r="M1164" s="16" t="str">
        <f>IFERROR(__xludf.DUMMYFUNCTION("""COMPUTED_VALUE"""),"")</f>
        <v/>
      </c>
      <c r="U1164" s="16" t="s">
        <v>87</v>
      </c>
      <c r="V1164" s="16" t="str">
        <f>IFERROR(__xludf.DUMMYFUNCTION("""COMPUTED_VALUE"""),"")</f>
        <v/>
      </c>
      <c r="W1164" s="16" t="str">
        <f>IFERROR(__xludf.DUMMYFUNCTION("""COMPUTED_VALUE"""),"")</f>
        <v/>
      </c>
      <c r="X1164" s="16" t="str">
        <f>IFERROR(__xludf.DUMMYFUNCTION("""COMPUTED_VALUE"""),"")</f>
        <v/>
      </c>
      <c r="AC1164" s="16" t="str">
        <f>IFERROR(__xludf.DUMMYFUNCTION("""COMPUTED_VALUE"""),"")</f>
        <v/>
      </c>
    </row>
    <row r="1165">
      <c r="A1165" s="16" t="s">
        <v>87</v>
      </c>
      <c r="E1165" s="16" t="str">
        <f>IFERROR(__xludf.DUMMYFUNCTION("""COMPUTED_VALUE"""),"")</f>
        <v/>
      </c>
      <c r="G1165" s="18"/>
      <c r="H1165" s="16" t="s">
        <v>87</v>
      </c>
      <c r="I1165" s="16" t="s">
        <v>87</v>
      </c>
      <c r="J1165" s="19"/>
      <c r="L1165" s="16" t="str">
        <f>IFERROR(__xludf.DUMMYFUNCTION("""COMPUTED_VALUE"""),"")</f>
        <v/>
      </c>
      <c r="M1165" s="16" t="str">
        <f>IFERROR(__xludf.DUMMYFUNCTION("""COMPUTED_VALUE"""),"")</f>
        <v/>
      </c>
      <c r="U1165" s="16" t="s">
        <v>87</v>
      </c>
      <c r="V1165" s="16" t="str">
        <f>IFERROR(__xludf.DUMMYFUNCTION("""COMPUTED_VALUE"""),"")</f>
        <v/>
      </c>
      <c r="W1165" s="16" t="str">
        <f>IFERROR(__xludf.DUMMYFUNCTION("""COMPUTED_VALUE"""),"")</f>
        <v/>
      </c>
      <c r="X1165" s="16" t="str">
        <f>IFERROR(__xludf.DUMMYFUNCTION("""COMPUTED_VALUE"""),"")</f>
        <v/>
      </c>
      <c r="AC1165" s="16" t="str">
        <f>IFERROR(__xludf.DUMMYFUNCTION("""COMPUTED_VALUE"""),"")</f>
        <v/>
      </c>
    </row>
    <row r="1166">
      <c r="A1166" s="16" t="s">
        <v>87</v>
      </c>
      <c r="E1166" s="16" t="str">
        <f>IFERROR(__xludf.DUMMYFUNCTION("""COMPUTED_VALUE"""),"")</f>
        <v/>
      </c>
      <c r="G1166" s="18"/>
      <c r="H1166" s="16" t="s">
        <v>87</v>
      </c>
      <c r="I1166" s="16" t="s">
        <v>87</v>
      </c>
      <c r="J1166" s="19"/>
      <c r="L1166" s="16" t="str">
        <f>IFERROR(__xludf.DUMMYFUNCTION("""COMPUTED_VALUE"""),"")</f>
        <v/>
      </c>
      <c r="M1166" s="16" t="str">
        <f>IFERROR(__xludf.DUMMYFUNCTION("""COMPUTED_VALUE"""),"")</f>
        <v/>
      </c>
      <c r="U1166" s="16" t="s">
        <v>87</v>
      </c>
      <c r="V1166" s="16" t="str">
        <f>IFERROR(__xludf.DUMMYFUNCTION("""COMPUTED_VALUE"""),"")</f>
        <v/>
      </c>
      <c r="W1166" s="16" t="str">
        <f>IFERROR(__xludf.DUMMYFUNCTION("""COMPUTED_VALUE"""),"")</f>
        <v/>
      </c>
      <c r="X1166" s="16" t="str">
        <f>IFERROR(__xludf.DUMMYFUNCTION("""COMPUTED_VALUE"""),"")</f>
        <v/>
      </c>
      <c r="AC1166" s="16" t="str">
        <f>IFERROR(__xludf.DUMMYFUNCTION("""COMPUTED_VALUE"""),"")</f>
        <v/>
      </c>
    </row>
    <row r="1167">
      <c r="A1167" s="16" t="s">
        <v>87</v>
      </c>
      <c r="E1167" s="16" t="str">
        <f>IFERROR(__xludf.DUMMYFUNCTION("""COMPUTED_VALUE"""),"")</f>
        <v/>
      </c>
      <c r="G1167" s="18"/>
      <c r="H1167" s="16" t="s">
        <v>87</v>
      </c>
      <c r="I1167" s="16" t="s">
        <v>87</v>
      </c>
      <c r="J1167" s="19"/>
      <c r="L1167" s="16" t="str">
        <f>IFERROR(__xludf.DUMMYFUNCTION("""COMPUTED_VALUE"""),"")</f>
        <v/>
      </c>
      <c r="M1167" s="16" t="str">
        <f>IFERROR(__xludf.DUMMYFUNCTION("""COMPUTED_VALUE"""),"")</f>
        <v/>
      </c>
      <c r="U1167" s="16" t="s">
        <v>87</v>
      </c>
      <c r="V1167" s="16" t="str">
        <f>IFERROR(__xludf.DUMMYFUNCTION("""COMPUTED_VALUE"""),"")</f>
        <v/>
      </c>
      <c r="W1167" s="16" t="str">
        <f>IFERROR(__xludf.DUMMYFUNCTION("""COMPUTED_VALUE"""),"")</f>
        <v/>
      </c>
      <c r="X1167" s="16" t="str">
        <f>IFERROR(__xludf.DUMMYFUNCTION("""COMPUTED_VALUE"""),"")</f>
        <v/>
      </c>
      <c r="AC1167" s="16" t="str">
        <f>IFERROR(__xludf.DUMMYFUNCTION("""COMPUTED_VALUE"""),"")</f>
        <v/>
      </c>
    </row>
    <row r="1168">
      <c r="A1168" s="16" t="s">
        <v>87</v>
      </c>
      <c r="E1168" s="16" t="str">
        <f>IFERROR(__xludf.DUMMYFUNCTION("""COMPUTED_VALUE"""),"")</f>
        <v/>
      </c>
      <c r="G1168" s="18"/>
      <c r="H1168" s="16" t="s">
        <v>87</v>
      </c>
      <c r="I1168" s="16" t="s">
        <v>87</v>
      </c>
      <c r="J1168" s="19"/>
      <c r="L1168" s="16" t="str">
        <f>IFERROR(__xludf.DUMMYFUNCTION("""COMPUTED_VALUE"""),"")</f>
        <v/>
      </c>
      <c r="M1168" s="16" t="str">
        <f>IFERROR(__xludf.DUMMYFUNCTION("""COMPUTED_VALUE"""),"")</f>
        <v/>
      </c>
      <c r="U1168" s="16" t="s">
        <v>87</v>
      </c>
      <c r="V1168" s="16" t="str">
        <f>IFERROR(__xludf.DUMMYFUNCTION("""COMPUTED_VALUE"""),"")</f>
        <v/>
      </c>
      <c r="W1168" s="16" t="str">
        <f>IFERROR(__xludf.DUMMYFUNCTION("""COMPUTED_VALUE"""),"")</f>
        <v/>
      </c>
      <c r="X1168" s="16" t="str">
        <f>IFERROR(__xludf.DUMMYFUNCTION("""COMPUTED_VALUE"""),"")</f>
        <v/>
      </c>
      <c r="AC1168" s="16" t="str">
        <f>IFERROR(__xludf.DUMMYFUNCTION("""COMPUTED_VALUE"""),"")</f>
        <v/>
      </c>
    </row>
    <row r="1169">
      <c r="A1169" s="16" t="s">
        <v>87</v>
      </c>
      <c r="E1169" s="16" t="str">
        <f>IFERROR(__xludf.DUMMYFUNCTION("""COMPUTED_VALUE"""),"")</f>
        <v/>
      </c>
      <c r="G1169" s="18"/>
      <c r="H1169" s="16" t="s">
        <v>87</v>
      </c>
      <c r="I1169" s="16" t="s">
        <v>87</v>
      </c>
      <c r="J1169" s="19"/>
      <c r="L1169" s="16" t="str">
        <f>IFERROR(__xludf.DUMMYFUNCTION("""COMPUTED_VALUE"""),"")</f>
        <v/>
      </c>
      <c r="M1169" s="16" t="str">
        <f>IFERROR(__xludf.DUMMYFUNCTION("""COMPUTED_VALUE"""),"")</f>
        <v/>
      </c>
      <c r="U1169" s="16" t="s">
        <v>87</v>
      </c>
      <c r="V1169" s="16" t="str">
        <f>IFERROR(__xludf.DUMMYFUNCTION("""COMPUTED_VALUE"""),"")</f>
        <v/>
      </c>
      <c r="W1169" s="16" t="str">
        <f>IFERROR(__xludf.DUMMYFUNCTION("""COMPUTED_VALUE"""),"")</f>
        <v/>
      </c>
      <c r="X1169" s="16" t="str">
        <f>IFERROR(__xludf.DUMMYFUNCTION("""COMPUTED_VALUE"""),"")</f>
        <v/>
      </c>
      <c r="AC1169" s="16" t="str">
        <f>IFERROR(__xludf.DUMMYFUNCTION("""COMPUTED_VALUE"""),"")</f>
        <v/>
      </c>
    </row>
    <row r="1170">
      <c r="A1170" s="16" t="s">
        <v>87</v>
      </c>
      <c r="E1170" s="16" t="str">
        <f>IFERROR(__xludf.DUMMYFUNCTION("""COMPUTED_VALUE"""),"")</f>
        <v/>
      </c>
      <c r="G1170" s="18"/>
      <c r="H1170" s="16" t="s">
        <v>87</v>
      </c>
      <c r="I1170" s="16" t="s">
        <v>87</v>
      </c>
      <c r="J1170" s="19"/>
      <c r="L1170" s="16" t="str">
        <f>IFERROR(__xludf.DUMMYFUNCTION("""COMPUTED_VALUE"""),"")</f>
        <v/>
      </c>
      <c r="M1170" s="16" t="str">
        <f>IFERROR(__xludf.DUMMYFUNCTION("""COMPUTED_VALUE"""),"")</f>
        <v/>
      </c>
      <c r="U1170" s="16" t="s">
        <v>87</v>
      </c>
      <c r="V1170" s="16" t="str">
        <f>IFERROR(__xludf.DUMMYFUNCTION("""COMPUTED_VALUE"""),"")</f>
        <v/>
      </c>
      <c r="W1170" s="16" t="str">
        <f>IFERROR(__xludf.DUMMYFUNCTION("""COMPUTED_VALUE"""),"")</f>
        <v/>
      </c>
      <c r="X1170" s="16" t="str">
        <f>IFERROR(__xludf.DUMMYFUNCTION("""COMPUTED_VALUE"""),"")</f>
        <v/>
      </c>
      <c r="AC1170" s="16" t="str">
        <f>IFERROR(__xludf.DUMMYFUNCTION("""COMPUTED_VALUE"""),"")</f>
        <v/>
      </c>
    </row>
    <row r="1171">
      <c r="A1171" s="16" t="s">
        <v>87</v>
      </c>
      <c r="E1171" s="16" t="str">
        <f>IFERROR(__xludf.DUMMYFUNCTION("""COMPUTED_VALUE"""),"")</f>
        <v/>
      </c>
      <c r="G1171" s="18"/>
      <c r="H1171" s="16" t="s">
        <v>87</v>
      </c>
      <c r="I1171" s="16" t="s">
        <v>87</v>
      </c>
      <c r="J1171" s="19"/>
      <c r="L1171" s="16" t="str">
        <f>IFERROR(__xludf.DUMMYFUNCTION("""COMPUTED_VALUE"""),"")</f>
        <v/>
      </c>
      <c r="M1171" s="16" t="str">
        <f>IFERROR(__xludf.DUMMYFUNCTION("""COMPUTED_VALUE"""),"")</f>
        <v/>
      </c>
      <c r="U1171" s="16" t="s">
        <v>87</v>
      </c>
      <c r="V1171" s="16" t="str">
        <f>IFERROR(__xludf.DUMMYFUNCTION("""COMPUTED_VALUE"""),"")</f>
        <v/>
      </c>
      <c r="W1171" s="16" t="str">
        <f>IFERROR(__xludf.DUMMYFUNCTION("""COMPUTED_VALUE"""),"")</f>
        <v/>
      </c>
      <c r="X1171" s="16" t="str">
        <f>IFERROR(__xludf.DUMMYFUNCTION("""COMPUTED_VALUE"""),"")</f>
        <v/>
      </c>
      <c r="AC1171" s="16" t="str">
        <f>IFERROR(__xludf.DUMMYFUNCTION("""COMPUTED_VALUE"""),"")</f>
        <v/>
      </c>
    </row>
    <row r="1172">
      <c r="A1172" s="16" t="s">
        <v>87</v>
      </c>
      <c r="E1172" s="16" t="str">
        <f>IFERROR(__xludf.DUMMYFUNCTION("""COMPUTED_VALUE"""),"")</f>
        <v/>
      </c>
      <c r="G1172" s="18"/>
      <c r="H1172" s="16" t="s">
        <v>87</v>
      </c>
      <c r="I1172" s="16" t="s">
        <v>87</v>
      </c>
      <c r="J1172" s="19"/>
      <c r="L1172" s="16" t="str">
        <f>IFERROR(__xludf.DUMMYFUNCTION("""COMPUTED_VALUE"""),"")</f>
        <v/>
      </c>
      <c r="M1172" s="16" t="str">
        <f>IFERROR(__xludf.DUMMYFUNCTION("""COMPUTED_VALUE"""),"")</f>
        <v/>
      </c>
      <c r="U1172" s="16" t="s">
        <v>87</v>
      </c>
      <c r="V1172" s="16" t="str">
        <f>IFERROR(__xludf.DUMMYFUNCTION("""COMPUTED_VALUE"""),"")</f>
        <v/>
      </c>
      <c r="W1172" s="16" t="str">
        <f>IFERROR(__xludf.DUMMYFUNCTION("""COMPUTED_VALUE"""),"")</f>
        <v/>
      </c>
      <c r="X1172" s="16" t="str">
        <f>IFERROR(__xludf.DUMMYFUNCTION("""COMPUTED_VALUE"""),"")</f>
        <v/>
      </c>
      <c r="AC1172" s="16" t="str">
        <f>IFERROR(__xludf.DUMMYFUNCTION("""COMPUTED_VALUE"""),"")</f>
        <v/>
      </c>
    </row>
    <row r="1173">
      <c r="A1173" s="16" t="s">
        <v>87</v>
      </c>
      <c r="E1173" s="16" t="str">
        <f>IFERROR(__xludf.DUMMYFUNCTION("""COMPUTED_VALUE"""),"")</f>
        <v/>
      </c>
      <c r="G1173" s="18"/>
      <c r="H1173" s="16" t="s">
        <v>87</v>
      </c>
      <c r="I1173" s="16" t="s">
        <v>87</v>
      </c>
      <c r="J1173" s="19"/>
      <c r="L1173" s="16" t="str">
        <f>IFERROR(__xludf.DUMMYFUNCTION("""COMPUTED_VALUE"""),"")</f>
        <v/>
      </c>
      <c r="M1173" s="16" t="str">
        <f>IFERROR(__xludf.DUMMYFUNCTION("""COMPUTED_VALUE"""),"")</f>
        <v/>
      </c>
      <c r="U1173" s="16" t="s">
        <v>87</v>
      </c>
      <c r="V1173" s="16" t="str">
        <f>IFERROR(__xludf.DUMMYFUNCTION("""COMPUTED_VALUE"""),"")</f>
        <v/>
      </c>
      <c r="W1173" s="16" t="str">
        <f>IFERROR(__xludf.DUMMYFUNCTION("""COMPUTED_VALUE"""),"")</f>
        <v/>
      </c>
      <c r="X1173" s="16" t="str">
        <f>IFERROR(__xludf.DUMMYFUNCTION("""COMPUTED_VALUE"""),"")</f>
        <v/>
      </c>
      <c r="AC1173" s="16" t="str">
        <f>IFERROR(__xludf.DUMMYFUNCTION("""COMPUTED_VALUE"""),"")</f>
        <v/>
      </c>
    </row>
    <row r="1174">
      <c r="A1174" s="16" t="s">
        <v>87</v>
      </c>
      <c r="E1174" s="16" t="str">
        <f>IFERROR(__xludf.DUMMYFUNCTION("""COMPUTED_VALUE"""),"")</f>
        <v/>
      </c>
      <c r="G1174" s="18"/>
      <c r="H1174" s="16" t="s">
        <v>87</v>
      </c>
      <c r="I1174" s="16" t="s">
        <v>87</v>
      </c>
      <c r="J1174" s="19"/>
      <c r="L1174" s="16" t="str">
        <f>IFERROR(__xludf.DUMMYFUNCTION("""COMPUTED_VALUE"""),"")</f>
        <v/>
      </c>
      <c r="M1174" s="16" t="str">
        <f>IFERROR(__xludf.DUMMYFUNCTION("""COMPUTED_VALUE"""),"")</f>
        <v/>
      </c>
      <c r="U1174" s="16" t="s">
        <v>87</v>
      </c>
      <c r="V1174" s="16" t="str">
        <f>IFERROR(__xludf.DUMMYFUNCTION("""COMPUTED_VALUE"""),"")</f>
        <v/>
      </c>
      <c r="W1174" s="16" t="str">
        <f>IFERROR(__xludf.DUMMYFUNCTION("""COMPUTED_VALUE"""),"")</f>
        <v/>
      </c>
      <c r="X1174" s="16" t="str">
        <f>IFERROR(__xludf.DUMMYFUNCTION("""COMPUTED_VALUE"""),"")</f>
        <v/>
      </c>
      <c r="AC1174" s="16" t="str">
        <f>IFERROR(__xludf.DUMMYFUNCTION("""COMPUTED_VALUE"""),"")</f>
        <v/>
      </c>
    </row>
    <row r="1175">
      <c r="A1175" s="16" t="s">
        <v>87</v>
      </c>
      <c r="E1175" s="16" t="str">
        <f>IFERROR(__xludf.DUMMYFUNCTION("""COMPUTED_VALUE"""),"")</f>
        <v/>
      </c>
      <c r="G1175" s="18"/>
      <c r="H1175" s="16" t="s">
        <v>87</v>
      </c>
      <c r="I1175" s="16" t="s">
        <v>87</v>
      </c>
      <c r="J1175" s="19"/>
      <c r="L1175" s="16" t="str">
        <f>IFERROR(__xludf.DUMMYFUNCTION("""COMPUTED_VALUE"""),"")</f>
        <v/>
      </c>
      <c r="M1175" s="16" t="str">
        <f>IFERROR(__xludf.DUMMYFUNCTION("""COMPUTED_VALUE"""),"")</f>
        <v/>
      </c>
      <c r="U1175" s="16" t="s">
        <v>87</v>
      </c>
      <c r="V1175" s="16" t="str">
        <f>IFERROR(__xludf.DUMMYFUNCTION("""COMPUTED_VALUE"""),"")</f>
        <v/>
      </c>
      <c r="W1175" s="16" t="str">
        <f>IFERROR(__xludf.DUMMYFUNCTION("""COMPUTED_VALUE"""),"")</f>
        <v/>
      </c>
      <c r="X1175" s="16" t="str">
        <f>IFERROR(__xludf.DUMMYFUNCTION("""COMPUTED_VALUE"""),"")</f>
        <v/>
      </c>
      <c r="AC1175" s="16" t="str">
        <f>IFERROR(__xludf.DUMMYFUNCTION("""COMPUTED_VALUE"""),"")</f>
        <v/>
      </c>
    </row>
    <row r="1176">
      <c r="A1176" s="16" t="s">
        <v>87</v>
      </c>
      <c r="E1176" s="16" t="str">
        <f>IFERROR(__xludf.DUMMYFUNCTION("""COMPUTED_VALUE"""),"")</f>
        <v/>
      </c>
      <c r="G1176" s="18"/>
      <c r="H1176" s="16" t="s">
        <v>87</v>
      </c>
      <c r="I1176" s="16" t="s">
        <v>87</v>
      </c>
      <c r="J1176" s="19"/>
      <c r="L1176" s="16" t="str">
        <f>IFERROR(__xludf.DUMMYFUNCTION("""COMPUTED_VALUE"""),"")</f>
        <v/>
      </c>
      <c r="M1176" s="16" t="str">
        <f>IFERROR(__xludf.DUMMYFUNCTION("""COMPUTED_VALUE"""),"")</f>
        <v/>
      </c>
      <c r="U1176" s="16" t="s">
        <v>87</v>
      </c>
      <c r="V1176" s="16" t="str">
        <f>IFERROR(__xludf.DUMMYFUNCTION("""COMPUTED_VALUE"""),"")</f>
        <v/>
      </c>
      <c r="W1176" s="16" t="str">
        <f>IFERROR(__xludf.DUMMYFUNCTION("""COMPUTED_VALUE"""),"")</f>
        <v/>
      </c>
      <c r="X1176" s="16" t="str">
        <f>IFERROR(__xludf.DUMMYFUNCTION("""COMPUTED_VALUE"""),"")</f>
        <v/>
      </c>
      <c r="AC1176" s="16" t="str">
        <f>IFERROR(__xludf.DUMMYFUNCTION("""COMPUTED_VALUE"""),"")</f>
        <v/>
      </c>
    </row>
    <row r="1177">
      <c r="A1177" s="16" t="s">
        <v>87</v>
      </c>
      <c r="E1177" s="16" t="str">
        <f>IFERROR(__xludf.DUMMYFUNCTION("""COMPUTED_VALUE"""),"")</f>
        <v/>
      </c>
      <c r="G1177" s="18"/>
      <c r="H1177" s="16" t="s">
        <v>87</v>
      </c>
      <c r="I1177" s="16" t="s">
        <v>87</v>
      </c>
      <c r="J1177" s="19"/>
      <c r="L1177" s="16" t="str">
        <f>IFERROR(__xludf.DUMMYFUNCTION("""COMPUTED_VALUE"""),"")</f>
        <v/>
      </c>
      <c r="M1177" s="16" t="str">
        <f>IFERROR(__xludf.DUMMYFUNCTION("""COMPUTED_VALUE"""),"")</f>
        <v/>
      </c>
      <c r="U1177" s="16" t="s">
        <v>87</v>
      </c>
      <c r="V1177" s="16" t="str">
        <f>IFERROR(__xludf.DUMMYFUNCTION("""COMPUTED_VALUE"""),"")</f>
        <v/>
      </c>
      <c r="W1177" s="16" t="str">
        <f>IFERROR(__xludf.DUMMYFUNCTION("""COMPUTED_VALUE"""),"")</f>
        <v/>
      </c>
      <c r="X1177" s="16" t="str">
        <f>IFERROR(__xludf.DUMMYFUNCTION("""COMPUTED_VALUE"""),"")</f>
        <v/>
      </c>
      <c r="AC1177" s="16" t="str">
        <f>IFERROR(__xludf.DUMMYFUNCTION("""COMPUTED_VALUE"""),"")</f>
        <v/>
      </c>
    </row>
    <row r="1178">
      <c r="A1178" s="16" t="s">
        <v>87</v>
      </c>
      <c r="E1178" s="16" t="str">
        <f>IFERROR(__xludf.DUMMYFUNCTION("""COMPUTED_VALUE"""),"")</f>
        <v/>
      </c>
      <c r="G1178" s="18"/>
      <c r="H1178" s="16" t="s">
        <v>87</v>
      </c>
      <c r="I1178" s="16" t="s">
        <v>87</v>
      </c>
      <c r="J1178" s="19"/>
      <c r="L1178" s="16" t="str">
        <f>IFERROR(__xludf.DUMMYFUNCTION("""COMPUTED_VALUE"""),"")</f>
        <v/>
      </c>
      <c r="M1178" s="16" t="str">
        <f>IFERROR(__xludf.DUMMYFUNCTION("""COMPUTED_VALUE"""),"")</f>
        <v/>
      </c>
      <c r="U1178" s="16" t="s">
        <v>87</v>
      </c>
      <c r="V1178" s="16" t="str">
        <f>IFERROR(__xludf.DUMMYFUNCTION("""COMPUTED_VALUE"""),"")</f>
        <v/>
      </c>
      <c r="W1178" s="16" t="str">
        <f>IFERROR(__xludf.DUMMYFUNCTION("""COMPUTED_VALUE"""),"")</f>
        <v/>
      </c>
      <c r="X1178" s="16" t="str">
        <f>IFERROR(__xludf.DUMMYFUNCTION("""COMPUTED_VALUE"""),"")</f>
        <v/>
      </c>
      <c r="AC1178" s="16" t="str">
        <f>IFERROR(__xludf.DUMMYFUNCTION("""COMPUTED_VALUE"""),"")</f>
        <v/>
      </c>
    </row>
    <row r="1179">
      <c r="A1179" s="16" t="s">
        <v>87</v>
      </c>
      <c r="E1179" s="16" t="str">
        <f>IFERROR(__xludf.DUMMYFUNCTION("""COMPUTED_VALUE"""),"")</f>
        <v/>
      </c>
      <c r="G1179" s="18"/>
      <c r="H1179" s="16" t="s">
        <v>87</v>
      </c>
      <c r="I1179" s="16" t="s">
        <v>87</v>
      </c>
      <c r="J1179" s="19"/>
      <c r="L1179" s="16" t="str">
        <f>IFERROR(__xludf.DUMMYFUNCTION("""COMPUTED_VALUE"""),"")</f>
        <v/>
      </c>
      <c r="M1179" s="16" t="str">
        <f>IFERROR(__xludf.DUMMYFUNCTION("""COMPUTED_VALUE"""),"")</f>
        <v/>
      </c>
      <c r="U1179" s="16" t="s">
        <v>87</v>
      </c>
      <c r="V1179" s="16" t="str">
        <f>IFERROR(__xludf.DUMMYFUNCTION("""COMPUTED_VALUE"""),"")</f>
        <v/>
      </c>
      <c r="W1179" s="16" t="str">
        <f>IFERROR(__xludf.DUMMYFUNCTION("""COMPUTED_VALUE"""),"")</f>
        <v/>
      </c>
      <c r="X1179" s="16" t="str">
        <f>IFERROR(__xludf.DUMMYFUNCTION("""COMPUTED_VALUE"""),"")</f>
        <v/>
      </c>
      <c r="AC1179" s="16" t="str">
        <f>IFERROR(__xludf.DUMMYFUNCTION("""COMPUTED_VALUE"""),"")</f>
        <v/>
      </c>
    </row>
    <row r="1180">
      <c r="A1180" s="16" t="s">
        <v>87</v>
      </c>
      <c r="E1180" s="16" t="str">
        <f>IFERROR(__xludf.DUMMYFUNCTION("""COMPUTED_VALUE"""),"")</f>
        <v/>
      </c>
      <c r="G1180" s="18"/>
      <c r="H1180" s="16" t="s">
        <v>87</v>
      </c>
      <c r="I1180" s="16" t="s">
        <v>87</v>
      </c>
      <c r="J1180" s="19"/>
      <c r="L1180" s="16" t="str">
        <f>IFERROR(__xludf.DUMMYFUNCTION("""COMPUTED_VALUE"""),"")</f>
        <v/>
      </c>
      <c r="M1180" s="16" t="str">
        <f>IFERROR(__xludf.DUMMYFUNCTION("""COMPUTED_VALUE"""),"")</f>
        <v/>
      </c>
      <c r="U1180" s="16" t="s">
        <v>87</v>
      </c>
      <c r="V1180" s="16" t="str">
        <f>IFERROR(__xludf.DUMMYFUNCTION("""COMPUTED_VALUE"""),"")</f>
        <v/>
      </c>
      <c r="W1180" s="16" t="str">
        <f>IFERROR(__xludf.DUMMYFUNCTION("""COMPUTED_VALUE"""),"")</f>
        <v/>
      </c>
      <c r="X1180" s="16" t="str">
        <f>IFERROR(__xludf.DUMMYFUNCTION("""COMPUTED_VALUE"""),"")</f>
        <v/>
      </c>
      <c r="AC1180" s="16" t="str">
        <f>IFERROR(__xludf.DUMMYFUNCTION("""COMPUTED_VALUE"""),"")</f>
        <v/>
      </c>
    </row>
    <row r="1181">
      <c r="A1181" s="16" t="s">
        <v>87</v>
      </c>
      <c r="E1181" s="16" t="str">
        <f>IFERROR(__xludf.DUMMYFUNCTION("""COMPUTED_VALUE"""),"")</f>
        <v/>
      </c>
      <c r="G1181" s="18"/>
      <c r="H1181" s="16" t="s">
        <v>87</v>
      </c>
      <c r="I1181" s="16" t="s">
        <v>87</v>
      </c>
      <c r="J1181" s="19"/>
      <c r="L1181" s="16" t="str">
        <f>IFERROR(__xludf.DUMMYFUNCTION("""COMPUTED_VALUE"""),"")</f>
        <v/>
      </c>
      <c r="M1181" s="16" t="str">
        <f>IFERROR(__xludf.DUMMYFUNCTION("""COMPUTED_VALUE"""),"")</f>
        <v/>
      </c>
      <c r="U1181" s="16" t="s">
        <v>87</v>
      </c>
      <c r="V1181" s="16" t="str">
        <f>IFERROR(__xludf.DUMMYFUNCTION("""COMPUTED_VALUE"""),"")</f>
        <v/>
      </c>
      <c r="W1181" s="16" t="str">
        <f>IFERROR(__xludf.DUMMYFUNCTION("""COMPUTED_VALUE"""),"")</f>
        <v/>
      </c>
      <c r="X1181" s="16" t="str">
        <f>IFERROR(__xludf.DUMMYFUNCTION("""COMPUTED_VALUE"""),"")</f>
        <v/>
      </c>
      <c r="AC1181" s="16" t="str">
        <f>IFERROR(__xludf.DUMMYFUNCTION("""COMPUTED_VALUE"""),"")</f>
        <v/>
      </c>
    </row>
    <row r="1182">
      <c r="A1182" s="16" t="s">
        <v>87</v>
      </c>
      <c r="E1182" s="16" t="str">
        <f>IFERROR(__xludf.DUMMYFUNCTION("""COMPUTED_VALUE"""),"")</f>
        <v/>
      </c>
      <c r="G1182" s="18"/>
      <c r="H1182" s="16" t="s">
        <v>87</v>
      </c>
      <c r="I1182" s="16" t="s">
        <v>87</v>
      </c>
      <c r="J1182" s="19"/>
      <c r="L1182" s="16" t="str">
        <f>IFERROR(__xludf.DUMMYFUNCTION("""COMPUTED_VALUE"""),"")</f>
        <v/>
      </c>
      <c r="M1182" s="16" t="str">
        <f>IFERROR(__xludf.DUMMYFUNCTION("""COMPUTED_VALUE"""),"")</f>
        <v/>
      </c>
      <c r="U1182" s="16" t="s">
        <v>87</v>
      </c>
      <c r="V1182" s="16" t="str">
        <f>IFERROR(__xludf.DUMMYFUNCTION("""COMPUTED_VALUE"""),"")</f>
        <v/>
      </c>
      <c r="W1182" s="16" t="str">
        <f>IFERROR(__xludf.DUMMYFUNCTION("""COMPUTED_VALUE"""),"")</f>
        <v/>
      </c>
      <c r="X1182" s="16" t="str">
        <f>IFERROR(__xludf.DUMMYFUNCTION("""COMPUTED_VALUE"""),"")</f>
        <v/>
      </c>
      <c r="AC1182" s="16" t="str">
        <f>IFERROR(__xludf.DUMMYFUNCTION("""COMPUTED_VALUE"""),"")</f>
        <v/>
      </c>
    </row>
    <row r="1183">
      <c r="A1183" s="16" t="s">
        <v>87</v>
      </c>
      <c r="E1183" s="16" t="str">
        <f>IFERROR(__xludf.DUMMYFUNCTION("""COMPUTED_VALUE"""),"")</f>
        <v/>
      </c>
      <c r="G1183" s="18"/>
      <c r="H1183" s="16" t="s">
        <v>87</v>
      </c>
      <c r="I1183" s="16" t="s">
        <v>87</v>
      </c>
      <c r="J1183" s="19"/>
      <c r="L1183" s="16" t="str">
        <f>IFERROR(__xludf.DUMMYFUNCTION("""COMPUTED_VALUE"""),"")</f>
        <v/>
      </c>
      <c r="M1183" s="16" t="str">
        <f>IFERROR(__xludf.DUMMYFUNCTION("""COMPUTED_VALUE"""),"")</f>
        <v/>
      </c>
      <c r="U1183" s="16" t="s">
        <v>87</v>
      </c>
      <c r="V1183" s="16" t="str">
        <f>IFERROR(__xludf.DUMMYFUNCTION("""COMPUTED_VALUE"""),"")</f>
        <v/>
      </c>
      <c r="W1183" s="16" t="str">
        <f>IFERROR(__xludf.DUMMYFUNCTION("""COMPUTED_VALUE"""),"")</f>
        <v/>
      </c>
      <c r="X1183" s="16" t="str">
        <f>IFERROR(__xludf.DUMMYFUNCTION("""COMPUTED_VALUE"""),"")</f>
        <v/>
      </c>
      <c r="AC1183" s="16" t="str">
        <f>IFERROR(__xludf.DUMMYFUNCTION("""COMPUTED_VALUE"""),"")</f>
        <v/>
      </c>
    </row>
    <row r="1184">
      <c r="A1184" s="16" t="s">
        <v>87</v>
      </c>
      <c r="E1184" s="16" t="str">
        <f>IFERROR(__xludf.DUMMYFUNCTION("""COMPUTED_VALUE"""),"")</f>
        <v/>
      </c>
      <c r="G1184" s="18"/>
      <c r="H1184" s="16" t="s">
        <v>87</v>
      </c>
      <c r="I1184" s="16" t="s">
        <v>87</v>
      </c>
      <c r="J1184" s="19"/>
      <c r="L1184" s="16" t="str">
        <f>IFERROR(__xludf.DUMMYFUNCTION("""COMPUTED_VALUE"""),"")</f>
        <v/>
      </c>
      <c r="M1184" s="16" t="str">
        <f>IFERROR(__xludf.DUMMYFUNCTION("""COMPUTED_VALUE"""),"")</f>
        <v/>
      </c>
      <c r="U1184" s="16" t="s">
        <v>87</v>
      </c>
      <c r="V1184" s="16" t="str">
        <f>IFERROR(__xludf.DUMMYFUNCTION("""COMPUTED_VALUE"""),"")</f>
        <v/>
      </c>
      <c r="W1184" s="16" t="str">
        <f>IFERROR(__xludf.DUMMYFUNCTION("""COMPUTED_VALUE"""),"")</f>
        <v/>
      </c>
      <c r="X1184" s="16" t="str">
        <f>IFERROR(__xludf.DUMMYFUNCTION("""COMPUTED_VALUE"""),"")</f>
        <v/>
      </c>
      <c r="AC1184" s="16" t="str">
        <f>IFERROR(__xludf.DUMMYFUNCTION("""COMPUTED_VALUE"""),"")</f>
        <v/>
      </c>
    </row>
    <row r="1185">
      <c r="A1185" s="16" t="s">
        <v>87</v>
      </c>
      <c r="E1185" s="16" t="str">
        <f>IFERROR(__xludf.DUMMYFUNCTION("""COMPUTED_VALUE"""),"")</f>
        <v/>
      </c>
      <c r="G1185" s="18"/>
      <c r="H1185" s="16" t="s">
        <v>87</v>
      </c>
      <c r="I1185" s="16" t="s">
        <v>87</v>
      </c>
      <c r="J1185" s="19"/>
      <c r="L1185" s="16" t="str">
        <f>IFERROR(__xludf.DUMMYFUNCTION("""COMPUTED_VALUE"""),"")</f>
        <v/>
      </c>
      <c r="M1185" s="16" t="str">
        <f>IFERROR(__xludf.DUMMYFUNCTION("""COMPUTED_VALUE"""),"")</f>
        <v/>
      </c>
      <c r="U1185" s="16" t="s">
        <v>87</v>
      </c>
      <c r="V1185" s="16" t="str">
        <f>IFERROR(__xludf.DUMMYFUNCTION("""COMPUTED_VALUE"""),"")</f>
        <v/>
      </c>
      <c r="W1185" s="16" t="str">
        <f>IFERROR(__xludf.DUMMYFUNCTION("""COMPUTED_VALUE"""),"")</f>
        <v/>
      </c>
      <c r="X1185" s="16" t="str">
        <f>IFERROR(__xludf.DUMMYFUNCTION("""COMPUTED_VALUE"""),"")</f>
        <v/>
      </c>
      <c r="AC1185" s="16" t="str">
        <f>IFERROR(__xludf.DUMMYFUNCTION("""COMPUTED_VALUE"""),"")</f>
        <v/>
      </c>
    </row>
    <row r="1186">
      <c r="A1186" s="16" t="s">
        <v>87</v>
      </c>
      <c r="E1186" s="16" t="str">
        <f>IFERROR(__xludf.DUMMYFUNCTION("""COMPUTED_VALUE"""),"")</f>
        <v/>
      </c>
      <c r="G1186" s="18"/>
      <c r="H1186" s="16" t="s">
        <v>87</v>
      </c>
      <c r="I1186" s="16" t="s">
        <v>87</v>
      </c>
      <c r="J1186" s="19"/>
      <c r="L1186" s="16" t="str">
        <f>IFERROR(__xludf.DUMMYFUNCTION("""COMPUTED_VALUE"""),"")</f>
        <v/>
      </c>
      <c r="M1186" s="16" t="str">
        <f>IFERROR(__xludf.DUMMYFUNCTION("""COMPUTED_VALUE"""),"")</f>
        <v/>
      </c>
      <c r="U1186" s="16" t="s">
        <v>87</v>
      </c>
      <c r="V1186" s="16" t="str">
        <f>IFERROR(__xludf.DUMMYFUNCTION("""COMPUTED_VALUE"""),"")</f>
        <v/>
      </c>
      <c r="W1186" s="16" t="str">
        <f>IFERROR(__xludf.DUMMYFUNCTION("""COMPUTED_VALUE"""),"")</f>
        <v/>
      </c>
      <c r="X1186" s="16" t="str">
        <f>IFERROR(__xludf.DUMMYFUNCTION("""COMPUTED_VALUE"""),"")</f>
        <v/>
      </c>
      <c r="AC1186" s="16" t="str">
        <f>IFERROR(__xludf.DUMMYFUNCTION("""COMPUTED_VALUE"""),"")</f>
        <v/>
      </c>
    </row>
    <row r="1187">
      <c r="A1187" s="16" t="s">
        <v>87</v>
      </c>
      <c r="E1187" s="16" t="str">
        <f>IFERROR(__xludf.DUMMYFUNCTION("""COMPUTED_VALUE"""),"")</f>
        <v/>
      </c>
      <c r="G1187" s="18"/>
      <c r="H1187" s="16" t="s">
        <v>87</v>
      </c>
      <c r="I1187" s="16" t="s">
        <v>87</v>
      </c>
      <c r="J1187" s="19"/>
      <c r="L1187" s="16" t="str">
        <f>IFERROR(__xludf.DUMMYFUNCTION("""COMPUTED_VALUE"""),"")</f>
        <v/>
      </c>
      <c r="M1187" s="16" t="str">
        <f>IFERROR(__xludf.DUMMYFUNCTION("""COMPUTED_VALUE"""),"")</f>
        <v/>
      </c>
      <c r="U1187" s="16" t="s">
        <v>87</v>
      </c>
      <c r="V1187" s="16" t="str">
        <f>IFERROR(__xludf.DUMMYFUNCTION("""COMPUTED_VALUE"""),"")</f>
        <v/>
      </c>
      <c r="W1187" s="16" t="str">
        <f>IFERROR(__xludf.DUMMYFUNCTION("""COMPUTED_VALUE"""),"")</f>
        <v/>
      </c>
      <c r="X1187" s="16" t="str">
        <f>IFERROR(__xludf.DUMMYFUNCTION("""COMPUTED_VALUE"""),"")</f>
        <v/>
      </c>
      <c r="AC1187" s="16" t="str">
        <f>IFERROR(__xludf.DUMMYFUNCTION("""COMPUTED_VALUE"""),"")</f>
        <v/>
      </c>
    </row>
    <row r="1188">
      <c r="A1188" s="16" t="s">
        <v>87</v>
      </c>
      <c r="E1188" s="16" t="str">
        <f>IFERROR(__xludf.DUMMYFUNCTION("""COMPUTED_VALUE"""),"")</f>
        <v/>
      </c>
      <c r="G1188" s="18"/>
      <c r="H1188" s="16" t="s">
        <v>87</v>
      </c>
      <c r="I1188" s="16" t="s">
        <v>87</v>
      </c>
      <c r="J1188" s="19"/>
      <c r="L1188" s="16" t="str">
        <f>IFERROR(__xludf.DUMMYFUNCTION("""COMPUTED_VALUE"""),"")</f>
        <v/>
      </c>
      <c r="M1188" s="16" t="str">
        <f>IFERROR(__xludf.DUMMYFUNCTION("""COMPUTED_VALUE"""),"")</f>
        <v/>
      </c>
      <c r="U1188" s="16" t="s">
        <v>87</v>
      </c>
      <c r="V1188" s="16" t="str">
        <f>IFERROR(__xludf.DUMMYFUNCTION("""COMPUTED_VALUE"""),"")</f>
        <v/>
      </c>
      <c r="W1188" s="16" t="str">
        <f>IFERROR(__xludf.DUMMYFUNCTION("""COMPUTED_VALUE"""),"")</f>
        <v/>
      </c>
      <c r="X1188" s="16" t="str">
        <f>IFERROR(__xludf.DUMMYFUNCTION("""COMPUTED_VALUE"""),"")</f>
        <v/>
      </c>
      <c r="AC1188" s="16" t="str">
        <f>IFERROR(__xludf.DUMMYFUNCTION("""COMPUTED_VALUE"""),"")</f>
        <v/>
      </c>
    </row>
    <row r="1189">
      <c r="A1189" s="16" t="s">
        <v>87</v>
      </c>
      <c r="E1189" s="16" t="str">
        <f>IFERROR(__xludf.DUMMYFUNCTION("""COMPUTED_VALUE"""),"")</f>
        <v/>
      </c>
      <c r="G1189" s="18"/>
      <c r="H1189" s="16" t="s">
        <v>87</v>
      </c>
      <c r="I1189" s="16" t="s">
        <v>87</v>
      </c>
      <c r="J1189" s="19"/>
      <c r="L1189" s="16" t="str">
        <f>IFERROR(__xludf.DUMMYFUNCTION("""COMPUTED_VALUE"""),"")</f>
        <v/>
      </c>
      <c r="M1189" s="16" t="str">
        <f>IFERROR(__xludf.DUMMYFUNCTION("""COMPUTED_VALUE"""),"")</f>
        <v/>
      </c>
      <c r="U1189" s="16" t="s">
        <v>87</v>
      </c>
      <c r="V1189" s="16" t="str">
        <f>IFERROR(__xludf.DUMMYFUNCTION("""COMPUTED_VALUE"""),"")</f>
        <v/>
      </c>
      <c r="W1189" s="16" t="str">
        <f>IFERROR(__xludf.DUMMYFUNCTION("""COMPUTED_VALUE"""),"")</f>
        <v/>
      </c>
      <c r="X1189" s="16" t="str">
        <f>IFERROR(__xludf.DUMMYFUNCTION("""COMPUTED_VALUE"""),"")</f>
        <v/>
      </c>
      <c r="AC1189" s="16" t="str">
        <f>IFERROR(__xludf.DUMMYFUNCTION("""COMPUTED_VALUE"""),"")</f>
        <v/>
      </c>
    </row>
    <row r="1190">
      <c r="A1190" s="16" t="s">
        <v>87</v>
      </c>
      <c r="E1190" s="16" t="str">
        <f>IFERROR(__xludf.DUMMYFUNCTION("""COMPUTED_VALUE"""),"")</f>
        <v/>
      </c>
      <c r="G1190" s="18"/>
      <c r="H1190" s="16" t="s">
        <v>87</v>
      </c>
      <c r="I1190" s="16" t="s">
        <v>87</v>
      </c>
      <c r="J1190" s="19"/>
      <c r="L1190" s="16" t="str">
        <f>IFERROR(__xludf.DUMMYFUNCTION("""COMPUTED_VALUE"""),"")</f>
        <v/>
      </c>
      <c r="M1190" s="16" t="str">
        <f>IFERROR(__xludf.DUMMYFUNCTION("""COMPUTED_VALUE"""),"")</f>
        <v/>
      </c>
      <c r="U1190" s="16" t="s">
        <v>87</v>
      </c>
      <c r="V1190" s="16" t="str">
        <f>IFERROR(__xludf.DUMMYFUNCTION("""COMPUTED_VALUE"""),"")</f>
        <v/>
      </c>
      <c r="W1190" s="16" t="str">
        <f>IFERROR(__xludf.DUMMYFUNCTION("""COMPUTED_VALUE"""),"")</f>
        <v/>
      </c>
      <c r="X1190" s="16" t="str">
        <f>IFERROR(__xludf.DUMMYFUNCTION("""COMPUTED_VALUE"""),"")</f>
        <v/>
      </c>
      <c r="AC1190" s="16" t="str">
        <f>IFERROR(__xludf.DUMMYFUNCTION("""COMPUTED_VALUE"""),"")</f>
        <v/>
      </c>
    </row>
    <row r="1191">
      <c r="A1191" s="16" t="s">
        <v>87</v>
      </c>
      <c r="E1191" s="16" t="str">
        <f>IFERROR(__xludf.DUMMYFUNCTION("""COMPUTED_VALUE"""),"")</f>
        <v/>
      </c>
      <c r="G1191" s="18"/>
      <c r="H1191" s="16" t="s">
        <v>87</v>
      </c>
      <c r="I1191" s="16" t="s">
        <v>87</v>
      </c>
      <c r="J1191" s="19"/>
      <c r="L1191" s="16" t="str">
        <f>IFERROR(__xludf.DUMMYFUNCTION("""COMPUTED_VALUE"""),"")</f>
        <v/>
      </c>
      <c r="M1191" s="16" t="str">
        <f>IFERROR(__xludf.DUMMYFUNCTION("""COMPUTED_VALUE"""),"")</f>
        <v/>
      </c>
      <c r="U1191" s="16" t="s">
        <v>87</v>
      </c>
      <c r="V1191" s="16" t="str">
        <f>IFERROR(__xludf.DUMMYFUNCTION("""COMPUTED_VALUE"""),"")</f>
        <v/>
      </c>
      <c r="W1191" s="16" t="str">
        <f>IFERROR(__xludf.DUMMYFUNCTION("""COMPUTED_VALUE"""),"")</f>
        <v/>
      </c>
      <c r="X1191" s="16" t="str">
        <f>IFERROR(__xludf.DUMMYFUNCTION("""COMPUTED_VALUE"""),"")</f>
        <v/>
      </c>
      <c r="AC1191" s="16" t="str">
        <f>IFERROR(__xludf.DUMMYFUNCTION("""COMPUTED_VALUE"""),"")</f>
        <v/>
      </c>
    </row>
    <row r="1192">
      <c r="A1192" s="16" t="s">
        <v>87</v>
      </c>
      <c r="E1192" s="16" t="str">
        <f>IFERROR(__xludf.DUMMYFUNCTION("""COMPUTED_VALUE"""),"")</f>
        <v/>
      </c>
      <c r="G1192" s="18"/>
      <c r="H1192" s="16" t="s">
        <v>87</v>
      </c>
      <c r="I1192" s="16" t="s">
        <v>87</v>
      </c>
      <c r="J1192" s="19"/>
      <c r="L1192" s="16" t="str">
        <f>IFERROR(__xludf.DUMMYFUNCTION("""COMPUTED_VALUE"""),"")</f>
        <v/>
      </c>
      <c r="M1192" s="16" t="str">
        <f>IFERROR(__xludf.DUMMYFUNCTION("""COMPUTED_VALUE"""),"")</f>
        <v/>
      </c>
      <c r="U1192" s="16" t="s">
        <v>87</v>
      </c>
      <c r="V1192" s="16" t="str">
        <f>IFERROR(__xludf.DUMMYFUNCTION("""COMPUTED_VALUE"""),"")</f>
        <v/>
      </c>
      <c r="W1192" s="16" t="str">
        <f>IFERROR(__xludf.DUMMYFUNCTION("""COMPUTED_VALUE"""),"")</f>
        <v/>
      </c>
      <c r="X1192" s="16" t="str">
        <f>IFERROR(__xludf.DUMMYFUNCTION("""COMPUTED_VALUE"""),"")</f>
        <v/>
      </c>
      <c r="AC1192" s="16" t="str">
        <f>IFERROR(__xludf.DUMMYFUNCTION("""COMPUTED_VALUE"""),"")</f>
        <v/>
      </c>
    </row>
    <row r="1193">
      <c r="A1193" s="16" t="s">
        <v>87</v>
      </c>
      <c r="E1193" s="16" t="str">
        <f>IFERROR(__xludf.DUMMYFUNCTION("""COMPUTED_VALUE"""),"")</f>
        <v/>
      </c>
      <c r="G1193" s="18"/>
      <c r="H1193" s="16" t="s">
        <v>87</v>
      </c>
      <c r="I1193" s="16" t="s">
        <v>87</v>
      </c>
      <c r="J1193" s="19"/>
      <c r="L1193" s="16" t="str">
        <f>IFERROR(__xludf.DUMMYFUNCTION("""COMPUTED_VALUE"""),"")</f>
        <v/>
      </c>
      <c r="M1193" s="16" t="str">
        <f>IFERROR(__xludf.DUMMYFUNCTION("""COMPUTED_VALUE"""),"")</f>
        <v/>
      </c>
      <c r="U1193" s="16" t="s">
        <v>87</v>
      </c>
      <c r="V1193" s="16" t="str">
        <f>IFERROR(__xludf.DUMMYFUNCTION("""COMPUTED_VALUE"""),"")</f>
        <v/>
      </c>
      <c r="W1193" s="16" t="str">
        <f>IFERROR(__xludf.DUMMYFUNCTION("""COMPUTED_VALUE"""),"")</f>
        <v/>
      </c>
      <c r="X1193" s="16" t="str">
        <f>IFERROR(__xludf.DUMMYFUNCTION("""COMPUTED_VALUE"""),"")</f>
        <v/>
      </c>
      <c r="AC1193" s="16" t="str">
        <f>IFERROR(__xludf.DUMMYFUNCTION("""COMPUTED_VALUE"""),"")</f>
        <v/>
      </c>
    </row>
    <row r="1194">
      <c r="A1194" s="16" t="s">
        <v>87</v>
      </c>
      <c r="E1194" s="16" t="str">
        <f>IFERROR(__xludf.DUMMYFUNCTION("""COMPUTED_VALUE"""),"")</f>
        <v/>
      </c>
      <c r="G1194" s="18"/>
      <c r="H1194" s="16" t="s">
        <v>87</v>
      </c>
      <c r="I1194" s="16" t="s">
        <v>87</v>
      </c>
      <c r="J1194" s="19"/>
      <c r="L1194" s="16" t="str">
        <f>IFERROR(__xludf.DUMMYFUNCTION("""COMPUTED_VALUE"""),"")</f>
        <v/>
      </c>
      <c r="M1194" s="16" t="str">
        <f>IFERROR(__xludf.DUMMYFUNCTION("""COMPUTED_VALUE"""),"")</f>
        <v/>
      </c>
      <c r="U1194" s="16" t="s">
        <v>87</v>
      </c>
      <c r="V1194" s="16" t="str">
        <f>IFERROR(__xludf.DUMMYFUNCTION("""COMPUTED_VALUE"""),"")</f>
        <v/>
      </c>
      <c r="W1194" s="16" t="str">
        <f>IFERROR(__xludf.DUMMYFUNCTION("""COMPUTED_VALUE"""),"")</f>
        <v/>
      </c>
      <c r="X1194" s="16" t="str">
        <f>IFERROR(__xludf.DUMMYFUNCTION("""COMPUTED_VALUE"""),"")</f>
        <v/>
      </c>
      <c r="AC1194" s="16" t="str">
        <f>IFERROR(__xludf.DUMMYFUNCTION("""COMPUTED_VALUE"""),"")</f>
        <v/>
      </c>
    </row>
    <row r="1195">
      <c r="A1195" s="16" t="s">
        <v>87</v>
      </c>
      <c r="E1195" s="16" t="str">
        <f>IFERROR(__xludf.DUMMYFUNCTION("""COMPUTED_VALUE"""),"")</f>
        <v/>
      </c>
      <c r="G1195" s="18"/>
      <c r="H1195" s="16" t="s">
        <v>87</v>
      </c>
      <c r="I1195" s="16" t="s">
        <v>87</v>
      </c>
      <c r="J1195" s="19"/>
      <c r="L1195" s="16" t="str">
        <f>IFERROR(__xludf.DUMMYFUNCTION("""COMPUTED_VALUE"""),"")</f>
        <v/>
      </c>
      <c r="M1195" s="16" t="str">
        <f>IFERROR(__xludf.DUMMYFUNCTION("""COMPUTED_VALUE"""),"")</f>
        <v/>
      </c>
      <c r="U1195" s="16" t="s">
        <v>87</v>
      </c>
      <c r="V1195" s="16" t="str">
        <f>IFERROR(__xludf.DUMMYFUNCTION("""COMPUTED_VALUE"""),"")</f>
        <v/>
      </c>
      <c r="W1195" s="16" t="str">
        <f>IFERROR(__xludf.DUMMYFUNCTION("""COMPUTED_VALUE"""),"")</f>
        <v/>
      </c>
      <c r="X1195" s="16" t="str">
        <f>IFERROR(__xludf.DUMMYFUNCTION("""COMPUTED_VALUE"""),"")</f>
        <v/>
      </c>
      <c r="AC1195" s="16" t="str">
        <f>IFERROR(__xludf.DUMMYFUNCTION("""COMPUTED_VALUE"""),"")</f>
        <v/>
      </c>
    </row>
    <row r="1196">
      <c r="A1196" s="16" t="s">
        <v>87</v>
      </c>
      <c r="E1196" s="16" t="str">
        <f>IFERROR(__xludf.DUMMYFUNCTION("""COMPUTED_VALUE"""),"")</f>
        <v/>
      </c>
      <c r="G1196" s="18"/>
      <c r="H1196" s="16" t="s">
        <v>87</v>
      </c>
      <c r="I1196" s="16" t="s">
        <v>87</v>
      </c>
      <c r="J1196" s="19"/>
      <c r="L1196" s="16" t="str">
        <f>IFERROR(__xludf.DUMMYFUNCTION("""COMPUTED_VALUE"""),"")</f>
        <v/>
      </c>
      <c r="M1196" s="16" t="str">
        <f>IFERROR(__xludf.DUMMYFUNCTION("""COMPUTED_VALUE"""),"")</f>
        <v/>
      </c>
      <c r="U1196" s="16" t="s">
        <v>87</v>
      </c>
      <c r="V1196" s="16" t="str">
        <f>IFERROR(__xludf.DUMMYFUNCTION("""COMPUTED_VALUE"""),"")</f>
        <v/>
      </c>
      <c r="W1196" s="16" t="str">
        <f>IFERROR(__xludf.DUMMYFUNCTION("""COMPUTED_VALUE"""),"")</f>
        <v/>
      </c>
      <c r="X1196" s="16" t="str">
        <f>IFERROR(__xludf.DUMMYFUNCTION("""COMPUTED_VALUE"""),"")</f>
        <v/>
      </c>
      <c r="AC1196" s="16" t="str">
        <f>IFERROR(__xludf.DUMMYFUNCTION("""COMPUTED_VALUE"""),"")</f>
        <v/>
      </c>
    </row>
    <row r="1197">
      <c r="A1197" s="16" t="s">
        <v>87</v>
      </c>
      <c r="E1197" s="16" t="str">
        <f>IFERROR(__xludf.DUMMYFUNCTION("""COMPUTED_VALUE"""),"")</f>
        <v/>
      </c>
      <c r="G1197" s="18"/>
      <c r="H1197" s="16" t="s">
        <v>87</v>
      </c>
      <c r="I1197" s="16" t="s">
        <v>87</v>
      </c>
      <c r="J1197" s="19"/>
      <c r="L1197" s="16" t="str">
        <f>IFERROR(__xludf.DUMMYFUNCTION("""COMPUTED_VALUE"""),"")</f>
        <v/>
      </c>
      <c r="M1197" s="16" t="str">
        <f>IFERROR(__xludf.DUMMYFUNCTION("""COMPUTED_VALUE"""),"")</f>
        <v/>
      </c>
      <c r="U1197" s="16" t="s">
        <v>87</v>
      </c>
      <c r="V1197" s="16" t="str">
        <f>IFERROR(__xludf.DUMMYFUNCTION("""COMPUTED_VALUE"""),"")</f>
        <v/>
      </c>
      <c r="W1197" s="16" t="str">
        <f>IFERROR(__xludf.DUMMYFUNCTION("""COMPUTED_VALUE"""),"")</f>
        <v/>
      </c>
      <c r="X1197" s="16" t="str">
        <f>IFERROR(__xludf.DUMMYFUNCTION("""COMPUTED_VALUE"""),"")</f>
        <v/>
      </c>
      <c r="AC1197" s="16" t="str">
        <f>IFERROR(__xludf.DUMMYFUNCTION("""COMPUTED_VALUE"""),"")</f>
        <v/>
      </c>
    </row>
    <row r="1198">
      <c r="A1198" s="16" t="s">
        <v>87</v>
      </c>
      <c r="E1198" s="16" t="str">
        <f>IFERROR(__xludf.DUMMYFUNCTION("""COMPUTED_VALUE"""),"")</f>
        <v/>
      </c>
      <c r="G1198" s="18"/>
      <c r="H1198" s="16" t="s">
        <v>87</v>
      </c>
      <c r="I1198" s="16" t="s">
        <v>87</v>
      </c>
      <c r="J1198" s="19"/>
      <c r="L1198" s="16" t="str">
        <f>IFERROR(__xludf.DUMMYFUNCTION("""COMPUTED_VALUE"""),"")</f>
        <v/>
      </c>
      <c r="M1198" s="16" t="str">
        <f>IFERROR(__xludf.DUMMYFUNCTION("""COMPUTED_VALUE"""),"")</f>
        <v/>
      </c>
      <c r="U1198" s="16" t="s">
        <v>87</v>
      </c>
      <c r="V1198" s="16" t="str">
        <f>IFERROR(__xludf.DUMMYFUNCTION("""COMPUTED_VALUE"""),"")</f>
        <v/>
      </c>
      <c r="W1198" s="16" t="str">
        <f>IFERROR(__xludf.DUMMYFUNCTION("""COMPUTED_VALUE"""),"")</f>
        <v/>
      </c>
      <c r="X1198" s="16" t="str">
        <f>IFERROR(__xludf.DUMMYFUNCTION("""COMPUTED_VALUE"""),"")</f>
        <v/>
      </c>
      <c r="AC1198" s="16" t="str">
        <f>IFERROR(__xludf.DUMMYFUNCTION("""COMPUTED_VALUE"""),"")</f>
        <v/>
      </c>
    </row>
    <row r="1199">
      <c r="A1199" s="16" t="s">
        <v>87</v>
      </c>
      <c r="E1199" s="16" t="str">
        <f>IFERROR(__xludf.DUMMYFUNCTION("""COMPUTED_VALUE"""),"")</f>
        <v/>
      </c>
      <c r="G1199" s="18"/>
      <c r="H1199" s="16" t="s">
        <v>87</v>
      </c>
      <c r="I1199" s="16" t="s">
        <v>87</v>
      </c>
      <c r="J1199" s="19"/>
      <c r="L1199" s="16" t="str">
        <f>IFERROR(__xludf.DUMMYFUNCTION("""COMPUTED_VALUE"""),"")</f>
        <v/>
      </c>
      <c r="M1199" s="16" t="str">
        <f>IFERROR(__xludf.DUMMYFUNCTION("""COMPUTED_VALUE"""),"")</f>
        <v/>
      </c>
      <c r="U1199" s="16" t="s">
        <v>87</v>
      </c>
      <c r="V1199" s="16" t="str">
        <f>IFERROR(__xludf.DUMMYFUNCTION("""COMPUTED_VALUE"""),"")</f>
        <v/>
      </c>
      <c r="W1199" s="16" t="str">
        <f>IFERROR(__xludf.DUMMYFUNCTION("""COMPUTED_VALUE"""),"")</f>
        <v/>
      </c>
      <c r="X1199" s="16" t="str">
        <f>IFERROR(__xludf.DUMMYFUNCTION("""COMPUTED_VALUE"""),"")</f>
        <v/>
      </c>
      <c r="AC1199" s="16" t="str">
        <f>IFERROR(__xludf.DUMMYFUNCTION("""COMPUTED_VALUE"""),"")</f>
        <v/>
      </c>
    </row>
    <row r="1200">
      <c r="A1200" s="16" t="s">
        <v>87</v>
      </c>
      <c r="E1200" s="16" t="str">
        <f>IFERROR(__xludf.DUMMYFUNCTION("""COMPUTED_VALUE"""),"")</f>
        <v/>
      </c>
      <c r="G1200" s="18"/>
      <c r="H1200" s="16" t="s">
        <v>87</v>
      </c>
      <c r="I1200" s="16" t="s">
        <v>87</v>
      </c>
      <c r="J1200" s="19"/>
      <c r="L1200" s="16" t="str">
        <f>IFERROR(__xludf.DUMMYFUNCTION("""COMPUTED_VALUE"""),"")</f>
        <v/>
      </c>
      <c r="M1200" s="16" t="str">
        <f>IFERROR(__xludf.DUMMYFUNCTION("""COMPUTED_VALUE"""),"")</f>
        <v/>
      </c>
      <c r="U1200" s="16" t="s">
        <v>87</v>
      </c>
      <c r="V1200" s="16" t="str">
        <f>IFERROR(__xludf.DUMMYFUNCTION("""COMPUTED_VALUE"""),"")</f>
        <v/>
      </c>
      <c r="W1200" s="16" t="str">
        <f>IFERROR(__xludf.DUMMYFUNCTION("""COMPUTED_VALUE"""),"")</f>
        <v/>
      </c>
      <c r="X1200" s="16" t="str">
        <f>IFERROR(__xludf.DUMMYFUNCTION("""COMPUTED_VALUE"""),"")</f>
        <v/>
      </c>
      <c r="AC1200" s="16" t="str">
        <f>IFERROR(__xludf.DUMMYFUNCTION("""COMPUTED_VALUE"""),"")</f>
        <v/>
      </c>
    </row>
    <row r="1201">
      <c r="A1201" s="16" t="s">
        <v>87</v>
      </c>
      <c r="E1201" s="16" t="str">
        <f>IFERROR(__xludf.DUMMYFUNCTION("""COMPUTED_VALUE"""),"")</f>
        <v/>
      </c>
      <c r="G1201" s="18"/>
      <c r="H1201" s="16" t="s">
        <v>87</v>
      </c>
      <c r="I1201" s="16" t="s">
        <v>87</v>
      </c>
      <c r="J1201" s="19"/>
      <c r="L1201" s="16" t="str">
        <f>IFERROR(__xludf.DUMMYFUNCTION("""COMPUTED_VALUE"""),"")</f>
        <v/>
      </c>
      <c r="M1201" s="16" t="str">
        <f>IFERROR(__xludf.DUMMYFUNCTION("""COMPUTED_VALUE"""),"")</f>
        <v/>
      </c>
      <c r="U1201" s="16" t="s">
        <v>87</v>
      </c>
      <c r="V1201" s="16" t="str">
        <f>IFERROR(__xludf.DUMMYFUNCTION("""COMPUTED_VALUE"""),"")</f>
        <v/>
      </c>
      <c r="W1201" s="16" t="str">
        <f>IFERROR(__xludf.DUMMYFUNCTION("""COMPUTED_VALUE"""),"")</f>
        <v/>
      </c>
      <c r="X1201" s="16" t="str">
        <f>IFERROR(__xludf.DUMMYFUNCTION("""COMPUTED_VALUE"""),"")</f>
        <v/>
      </c>
      <c r="AC1201" s="16" t="str">
        <f>IFERROR(__xludf.DUMMYFUNCTION("""COMPUTED_VALUE"""),"")</f>
        <v/>
      </c>
    </row>
    <row r="1202">
      <c r="A1202" s="16" t="s">
        <v>87</v>
      </c>
      <c r="E1202" s="16" t="str">
        <f>IFERROR(__xludf.DUMMYFUNCTION("""COMPUTED_VALUE"""),"")</f>
        <v/>
      </c>
      <c r="G1202" s="18"/>
      <c r="H1202" s="16" t="s">
        <v>87</v>
      </c>
      <c r="I1202" s="16" t="s">
        <v>87</v>
      </c>
      <c r="J1202" s="19"/>
      <c r="L1202" s="16" t="str">
        <f>IFERROR(__xludf.DUMMYFUNCTION("""COMPUTED_VALUE"""),"")</f>
        <v/>
      </c>
      <c r="M1202" s="16" t="str">
        <f>IFERROR(__xludf.DUMMYFUNCTION("""COMPUTED_VALUE"""),"")</f>
        <v/>
      </c>
      <c r="U1202" s="16" t="s">
        <v>87</v>
      </c>
      <c r="V1202" s="16" t="str">
        <f>IFERROR(__xludf.DUMMYFUNCTION("""COMPUTED_VALUE"""),"")</f>
        <v/>
      </c>
      <c r="W1202" s="16" t="str">
        <f>IFERROR(__xludf.DUMMYFUNCTION("""COMPUTED_VALUE"""),"")</f>
        <v/>
      </c>
      <c r="X1202" s="16" t="str">
        <f>IFERROR(__xludf.DUMMYFUNCTION("""COMPUTED_VALUE"""),"")</f>
        <v/>
      </c>
      <c r="AC1202" s="16" t="str">
        <f>IFERROR(__xludf.DUMMYFUNCTION("""COMPUTED_VALUE"""),"")</f>
        <v/>
      </c>
    </row>
    <row r="1203">
      <c r="A1203" s="16" t="s">
        <v>87</v>
      </c>
      <c r="E1203" s="16" t="str">
        <f>IFERROR(__xludf.DUMMYFUNCTION("""COMPUTED_VALUE"""),"")</f>
        <v/>
      </c>
      <c r="G1203" s="18"/>
      <c r="H1203" s="16" t="s">
        <v>87</v>
      </c>
      <c r="I1203" s="16" t="s">
        <v>87</v>
      </c>
      <c r="J1203" s="19"/>
      <c r="L1203" s="16" t="str">
        <f>IFERROR(__xludf.DUMMYFUNCTION("""COMPUTED_VALUE"""),"")</f>
        <v/>
      </c>
      <c r="M1203" s="16" t="str">
        <f>IFERROR(__xludf.DUMMYFUNCTION("""COMPUTED_VALUE"""),"")</f>
        <v/>
      </c>
      <c r="U1203" s="16" t="s">
        <v>87</v>
      </c>
      <c r="V1203" s="16" t="str">
        <f>IFERROR(__xludf.DUMMYFUNCTION("""COMPUTED_VALUE"""),"")</f>
        <v/>
      </c>
      <c r="W1203" s="16" t="str">
        <f>IFERROR(__xludf.DUMMYFUNCTION("""COMPUTED_VALUE"""),"")</f>
        <v/>
      </c>
      <c r="X1203" s="16" t="str">
        <f>IFERROR(__xludf.DUMMYFUNCTION("""COMPUTED_VALUE"""),"")</f>
        <v/>
      </c>
      <c r="AC1203" s="16" t="str">
        <f>IFERROR(__xludf.DUMMYFUNCTION("""COMPUTED_VALUE"""),"")</f>
        <v/>
      </c>
    </row>
    <row r="1204">
      <c r="A1204" s="16" t="s">
        <v>87</v>
      </c>
      <c r="E1204" s="16" t="str">
        <f>IFERROR(__xludf.DUMMYFUNCTION("""COMPUTED_VALUE"""),"")</f>
        <v/>
      </c>
      <c r="G1204" s="18"/>
      <c r="H1204" s="16" t="s">
        <v>87</v>
      </c>
      <c r="I1204" s="16" t="s">
        <v>87</v>
      </c>
      <c r="J1204" s="19"/>
      <c r="L1204" s="16" t="str">
        <f>IFERROR(__xludf.DUMMYFUNCTION("""COMPUTED_VALUE"""),"")</f>
        <v/>
      </c>
      <c r="M1204" s="16" t="str">
        <f>IFERROR(__xludf.DUMMYFUNCTION("""COMPUTED_VALUE"""),"")</f>
        <v/>
      </c>
      <c r="U1204" s="16" t="s">
        <v>87</v>
      </c>
      <c r="V1204" s="16" t="str">
        <f>IFERROR(__xludf.DUMMYFUNCTION("""COMPUTED_VALUE"""),"")</f>
        <v/>
      </c>
      <c r="W1204" s="16" t="str">
        <f>IFERROR(__xludf.DUMMYFUNCTION("""COMPUTED_VALUE"""),"")</f>
        <v/>
      </c>
      <c r="X1204" s="16" t="str">
        <f>IFERROR(__xludf.DUMMYFUNCTION("""COMPUTED_VALUE"""),"")</f>
        <v/>
      </c>
      <c r="AC1204" s="16" t="str">
        <f>IFERROR(__xludf.DUMMYFUNCTION("""COMPUTED_VALUE"""),"")</f>
        <v/>
      </c>
    </row>
    <row r="1205">
      <c r="A1205" s="16" t="s">
        <v>87</v>
      </c>
      <c r="E1205" s="16" t="str">
        <f>IFERROR(__xludf.DUMMYFUNCTION("""COMPUTED_VALUE"""),"")</f>
        <v/>
      </c>
      <c r="G1205" s="18"/>
      <c r="H1205" s="16" t="s">
        <v>87</v>
      </c>
      <c r="I1205" s="16" t="s">
        <v>87</v>
      </c>
      <c r="J1205" s="19"/>
      <c r="L1205" s="16" t="str">
        <f>IFERROR(__xludf.DUMMYFUNCTION("""COMPUTED_VALUE"""),"")</f>
        <v/>
      </c>
      <c r="M1205" s="16" t="str">
        <f>IFERROR(__xludf.DUMMYFUNCTION("""COMPUTED_VALUE"""),"")</f>
        <v/>
      </c>
      <c r="U1205" s="16" t="s">
        <v>87</v>
      </c>
      <c r="V1205" s="16" t="str">
        <f>IFERROR(__xludf.DUMMYFUNCTION("""COMPUTED_VALUE"""),"")</f>
        <v/>
      </c>
      <c r="W1205" s="16" t="str">
        <f>IFERROR(__xludf.DUMMYFUNCTION("""COMPUTED_VALUE"""),"")</f>
        <v/>
      </c>
      <c r="X1205" s="16" t="str">
        <f>IFERROR(__xludf.DUMMYFUNCTION("""COMPUTED_VALUE"""),"")</f>
        <v/>
      </c>
      <c r="AC1205" s="16" t="str">
        <f>IFERROR(__xludf.DUMMYFUNCTION("""COMPUTED_VALUE"""),"")</f>
        <v/>
      </c>
    </row>
    <row r="1206">
      <c r="A1206" s="16" t="s">
        <v>87</v>
      </c>
      <c r="E1206" s="16" t="str">
        <f>IFERROR(__xludf.DUMMYFUNCTION("""COMPUTED_VALUE"""),"")</f>
        <v/>
      </c>
      <c r="G1206" s="18"/>
      <c r="H1206" s="16" t="s">
        <v>87</v>
      </c>
      <c r="I1206" s="16" t="s">
        <v>87</v>
      </c>
      <c r="J1206" s="19"/>
      <c r="L1206" s="16" t="str">
        <f>IFERROR(__xludf.DUMMYFUNCTION("""COMPUTED_VALUE"""),"")</f>
        <v/>
      </c>
      <c r="M1206" s="16" t="str">
        <f>IFERROR(__xludf.DUMMYFUNCTION("""COMPUTED_VALUE"""),"")</f>
        <v/>
      </c>
      <c r="U1206" s="16" t="s">
        <v>87</v>
      </c>
      <c r="V1206" s="16" t="str">
        <f>IFERROR(__xludf.DUMMYFUNCTION("""COMPUTED_VALUE"""),"")</f>
        <v/>
      </c>
      <c r="W1206" s="16" t="str">
        <f>IFERROR(__xludf.DUMMYFUNCTION("""COMPUTED_VALUE"""),"")</f>
        <v/>
      </c>
      <c r="X1206" s="16" t="str">
        <f>IFERROR(__xludf.DUMMYFUNCTION("""COMPUTED_VALUE"""),"")</f>
        <v/>
      </c>
      <c r="AC1206" s="16" t="str">
        <f>IFERROR(__xludf.DUMMYFUNCTION("""COMPUTED_VALUE"""),"")</f>
        <v/>
      </c>
    </row>
    <row r="1207">
      <c r="A1207" s="16" t="s">
        <v>87</v>
      </c>
      <c r="E1207" s="16" t="str">
        <f>IFERROR(__xludf.DUMMYFUNCTION("""COMPUTED_VALUE"""),"")</f>
        <v/>
      </c>
      <c r="G1207" s="18"/>
      <c r="H1207" s="16" t="s">
        <v>87</v>
      </c>
      <c r="I1207" s="16" t="s">
        <v>87</v>
      </c>
      <c r="J1207" s="19"/>
      <c r="L1207" s="16" t="str">
        <f>IFERROR(__xludf.DUMMYFUNCTION("""COMPUTED_VALUE"""),"")</f>
        <v/>
      </c>
      <c r="M1207" s="16" t="str">
        <f>IFERROR(__xludf.DUMMYFUNCTION("""COMPUTED_VALUE"""),"")</f>
        <v/>
      </c>
      <c r="U1207" s="16" t="s">
        <v>87</v>
      </c>
      <c r="V1207" s="16" t="str">
        <f>IFERROR(__xludf.DUMMYFUNCTION("""COMPUTED_VALUE"""),"")</f>
        <v/>
      </c>
      <c r="W1207" s="16" t="str">
        <f>IFERROR(__xludf.DUMMYFUNCTION("""COMPUTED_VALUE"""),"")</f>
        <v/>
      </c>
      <c r="X1207" s="16" t="str">
        <f>IFERROR(__xludf.DUMMYFUNCTION("""COMPUTED_VALUE"""),"")</f>
        <v/>
      </c>
      <c r="AC1207" s="16" t="str">
        <f>IFERROR(__xludf.DUMMYFUNCTION("""COMPUTED_VALUE"""),"")</f>
        <v/>
      </c>
    </row>
    <row r="1208">
      <c r="A1208" s="16" t="s">
        <v>87</v>
      </c>
      <c r="E1208" s="16" t="str">
        <f>IFERROR(__xludf.DUMMYFUNCTION("""COMPUTED_VALUE"""),"")</f>
        <v/>
      </c>
      <c r="G1208" s="18"/>
      <c r="H1208" s="16" t="s">
        <v>87</v>
      </c>
      <c r="I1208" s="16" t="s">
        <v>87</v>
      </c>
      <c r="J1208" s="19"/>
      <c r="L1208" s="16" t="str">
        <f>IFERROR(__xludf.DUMMYFUNCTION("""COMPUTED_VALUE"""),"")</f>
        <v/>
      </c>
      <c r="M1208" s="16" t="str">
        <f>IFERROR(__xludf.DUMMYFUNCTION("""COMPUTED_VALUE"""),"")</f>
        <v/>
      </c>
      <c r="U1208" s="16" t="s">
        <v>87</v>
      </c>
      <c r="V1208" s="16" t="str">
        <f>IFERROR(__xludf.DUMMYFUNCTION("""COMPUTED_VALUE"""),"")</f>
        <v/>
      </c>
      <c r="W1208" s="16" t="str">
        <f>IFERROR(__xludf.DUMMYFUNCTION("""COMPUTED_VALUE"""),"")</f>
        <v/>
      </c>
      <c r="X1208" s="16" t="str">
        <f>IFERROR(__xludf.DUMMYFUNCTION("""COMPUTED_VALUE"""),"")</f>
        <v/>
      </c>
      <c r="AC1208" s="16" t="str">
        <f>IFERROR(__xludf.DUMMYFUNCTION("""COMPUTED_VALUE"""),"")</f>
        <v/>
      </c>
    </row>
    <row r="1209">
      <c r="A1209" s="16" t="s">
        <v>87</v>
      </c>
      <c r="E1209" s="16" t="str">
        <f>IFERROR(__xludf.DUMMYFUNCTION("""COMPUTED_VALUE"""),"")</f>
        <v/>
      </c>
      <c r="G1209" s="18"/>
      <c r="H1209" s="16" t="s">
        <v>87</v>
      </c>
      <c r="I1209" s="16" t="s">
        <v>87</v>
      </c>
      <c r="J1209" s="19"/>
      <c r="L1209" s="16" t="str">
        <f>IFERROR(__xludf.DUMMYFUNCTION("""COMPUTED_VALUE"""),"")</f>
        <v/>
      </c>
      <c r="M1209" s="16" t="str">
        <f>IFERROR(__xludf.DUMMYFUNCTION("""COMPUTED_VALUE"""),"")</f>
        <v/>
      </c>
      <c r="U1209" s="16" t="s">
        <v>87</v>
      </c>
      <c r="V1209" s="16" t="str">
        <f>IFERROR(__xludf.DUMMYFUNCTION("""COMPUTED_VALUE"""),"")</f>
        <v/>
      </c>
      <c r="W1209" s="16" t="str">
        <f>IFERROR(__xludf.DUMMYFUNCTION("""COMPUTED_VALUE"""),"")</f>
        <v/>
      </c>
      <c r="X1209" s="16" t="str">
        <f>IFERROR(__xludf.DUMMYFUNCTION("""COMPUTED_VALUE"""),"")</f>
        <v/>
      </c>
      <c r="AC1209" s="16" t="str">
        <f>IFERROR(__xludf.DUMMYFUNCTION("""COMPUTED_VALUE"""),"")</f>
        <v/>
      </c>
    </row>
    <row r="1210">
      <c r="A1210" s="16" t="s">
        <v>87</v>
      </c>
      <c r="E1210" s="16" t="str">
        <f>IFERROR(__xludf.DUMMYFUNCTION("""COMPUTED_VALUE"""),"")</f>
        <v/>
      </c>
      <c r="G1210" s="18"/>
      <c r="H1210" s="16" t="s">
        <v>87</v>
      </c>
      <c r="I1210" s="16" t="s">
        <v>87</v>
      </c>
      <c r="J1210" s="19"/>
      <c r="L1210" s="16" t="str">
        <f>IFERROR(__xludf.DUMMYFUNCTION("""COMPUTED_VALUE"""),"")</f>
        <v/>
      </c>
      <c r="M1210" s="16" t="str">
        <f>IFERROR(__xludf.DUMMYFUNCTION("""COMPUTED_VALUE"""),"")</f>
        <v/>
      </c>
      <c r="U1210" s="16" t="s">
        <v>87</v>
      </c>
      <c r="V1210" s="16" t="str">
        <f>IFERROR(__xludf.DUMMYFUNCTION("""COMPUTED_VALUE"""),"")</f>
        <v/>
      </c>
      <c r="W1210" s="16" t="str">
        <f>IFERROR(__xludf.DUMMYFUNCTION("""COMPUTED_VALUE"""),"")</f>
        <v/>
      </c>
      <c r="X1210" s="16" t="str">
        <f>IFERROR(__xludf.DUMMYFUNCTION("""COMPUTED_VALUE"""),"")</f>
        <v/>
      </c>
      <c r="AC1210" s="16" t="str">
        <f>IFERROR(__xludf.DUMMYFUNCTION("""COMPUTED_VALUE"""),"")</f>
        <v/>
      </c>
    </row>
    <row r="1211">
      <c r="A1211" s="16" t="s">
        <v>87</v>
      </c>
      <c r="E1211" s="16" t="str">
        <f>IFERROR(__xludf.DUMMYFUNCTION("""COMPUTED_VALUE"""),"")</f>
        <v/>
      </c>
      <c r="G1211" s="18"/>
      <c r="H1211" s="16" t="s">
        <v>87</v>
      </c>
      <c r="I1211" s="16" t="s">
        <v>87</v>
      </c>
      <c r="J1211" s="19"/>
      <c r="L1211" s="16" t="str">
        <f>IFERROR(__xludf.DUMMYFUNCTION("""COMPUTED_VALUE"""),"")</f>
        <v/>
      </c>
      <c r="M1211" s="16" t="str">
        <f>IFERROR(__xludf.DUMMYFUNCTION("""COMPUTED_VALUE"""),"")</f>
        <v/>
      </c>
      <c r="U1211" s="16" t="s">
        <v>87</v>
      </c>
      <c r="V1211" s="16" t="str">
        <f>IFERROR(__xludf.DUMMYFUNCTION("""COMPUTED_VALUE"""),"")</f>
        <v/>
      </c>
      <c r="W1211" s="16" t="str">
        <f>IFERROR(__xludf.DUMMYFUNCTION("""COMPUTED_VALUE"""),"")</f>
        <v/>
      </c>
      <c r="X1211" s="16" t="str">
        <f>IFERROR(__xludf.DUMMYFUNCTION("""COMPUTED_VALUE"""),"")</f>
        <v/>
      </c>
      <c r="AC1211" s="16" t="str">
        <f>IFERROR(__xludf.DUMMYFUNCTION("""COMPUTED_VALUE"""),"")</f>
        <v/>
      </c>
    </row>
    <row r="1212">
      <c r="A1212" s="16" t="s">
        <v>87</v>
      </c>
      <c r="E1212" s="16" t="str">
        <f>IFERROR(__xludf.DUMMYFUNCTION("""COMPUTED_VALUE"""),"")</f>
        <v/>
      </c>
      <c r="G1212" s="18"/>
      <c r="H1212" s="16" t="s">
        <v>87</v>
      </c>
      <c r="I1212" s="16" t="s">
        <v>87</v>
      </c>
      <c r="J1212" s="19"/>
      <c r="L1212" s="16" t="str">
        <f>IFERROR(__xludf.DUMMYFUNCTION("""COMPUTED_VALUE"""),"")</f>
        <v/>
      </c>
      <c r="M1212" s="16" t="str">
        <f>IFERROR(__xludf.DUMMYFUNCTION("""COMPUTED_VALUE"""),"")</f>
        <v/>
      </c>
      <c r="U1212" s="16" t="s">
        <v>87</v>
      </c>
      <c r="V1212" s="16" t="str">
        <f>IFERROR(__xludf.DUMMYFUNCTION("""COMPUTED_VALUE"""),"")</f>
        <v/>
      </c>
      <c r="W1212" s="16" t="str">
        <f>IFERROR(__xludf.DUMMYFUNCTION("""COMPUTED_VALUE"""),"")</f>
        <v/>
      </c>
      <c r="X1212" s="16" t="str">
        <f>IFERROR(__xludf.DUMMYFUNCTION("""COMPUTED_VALUE"""),"")</f>
        <v/>
      </c>
      <c r="AC1212" s="16" t="str">
        <f>IFERROR(__xludf.DUMMYFUNCTION("""COMPUTED_VALUE"""),"")</f>
        <v/>
      </c>
    </row>
    <row r="1213">
      <c r="A1213" s="16" t="s">
        <v>87</v>
      </c>
      <c r="E1213" s="16" t="str">
        <f>IFERROR(__xludf.DUMMYFUNCTION("""COMPUTED_VALUE"""),"")</f>
        <v/>
      </c>
      <c r="G1213" s="18"/>
      <c r="H1213" s="16" t="s">
        <v>87</v>
      </c>
      <c r="I1213" s="16" t="s">
        <v>87</v>
      </c>
      <c r="J1213" s="19"/>
      <c r="L1213" s="16" t="str">
        <f>IFERROR(__xludf.DUMMYFUNCTION("""COMPUTED_VALUE"""),"")</f>
        <v/>
      </c>
      <c r="M1213" s="16" t="str">
        <f>IFERROR(__xludf.DUMMYFUNCTION("""COMPUTED_VALUE"""),"")</f>
        <v/>
      </c>
      <c r="U1213" s="16" t="s">
        <v>87</v>
      </c>
      <c r="V1213" s="16" t="str">
        <f>IFERROR(__xludf.DUMMYFUNCTION("""COMPUTED_VALUE"""),"")</f>
        <v/>
      </c>
      <c r="W1213" s="16" t="str">
        <f>IFERROR(__xludf.DUMMYFUNCTION("""COMPUTED_VALUE"""),"")</f>
        <v/>
      </c>
      <c r="X1213" s="16" t="str">
        <f>IFERROR(__xludf.DUMMYFUNCTION("""COMPUTED_VALUE"""),"")</f>
        <v/>
      </c>
      <c r="AC1213" s="16" t="str">
        <f>IFERROR(__xludf.DUMMYFUNCTION("""COMPUTED_VALUE"""),"")</f>
        <v/>
      </c>
    </row>
    <row r="1214">
      <c r="A1214" s="16" t="s">
        <v>87</v>
      </c>
      <c r="E1214" s="16" t="str">
        <f>IFERROR(__xludf.DUMMYFUNCTION("""COMPUTED_VALUE"""),"")</f>
        <v/>
      </c>
      <c r="G1214" s="18"/>
      <c r="H1214" s="16" t="s">
        <v>87</v>
      </c>
      <c r="I1214" s="16" t="s">
        <v>87</v>
      </c>
      <c r="J1214" s="19"/>
      <c r="L1214" s="16" t="str">
        <f>IFERROR(__xludf.DUMMYFUNCTION("""COMPUTED_VALUE"""),"")</f>
        <v/>
      </c>
      <c r="M1214" s="16" t="str">
        <f>IFERROR(__xludf.DUMMYFUNCTION("""COMPUTED_VALUE"""),"")</f>
        <v/>
      </c>
      <c r="U1214" s="16" t="s">
        <v>87</v>
      </c>
      <c r="V1214" s="16" t="str">
        <f>IFERROR(__xludf.DUMMYFUNCTION("""COMPUTED_VALUE"""),"")</f>
        <v/>
      </c>
      <c r="W1214" s="16" t="str">
        <f>IFERROR(__xludf.DUMMYFUNCTION("""COMPUTED_VALUE"""),"")</f>
        <v/>
      </c>
      <c r="X1214" s="16" t="str">
        <f>IFERROR(__xludf.DUMMYFUNCTION("""COMPUTED_VALUE"""),"")</f>
        <v/>
      </c>
      <c r="AC1214" s="16" t="str">
        <f>IFERROR(__xludf.DUMMYFUNCTION("""COMPUTED_VALUE"""),"")</f>
        <v/>
      </c>
    </row>
    <row r="1215">
      <c r="A1215" s="16" t="s">
        <v>87</v>
      </c>
      <c r="E1215" s="16" t="str">
        <f>IFERROR(__xludf.DUMMYFUNCTION("""COMPUTED_VALUE"""),"")</f>
        <v/>
      </c>
      <c r="G1215" s="18"/>
      <c r="H1215" s="16" t="s">
        <v>87</v>
      </c>
      <c r="I1215" s="16" t="s">
        <v>87</v>
      </c>
      <c r="J1215" s="19"/>
      <c r="L1215" s="16" t="str">
        <f>IFERROR(__xludf.DUMMYFUNCTION("""COMPUTED_VALUE"""),"")</f>
        <v/>
      </c>
      <c r="M1215" s="16" t="str">
        <f>IFERROR(__xludf.DUMMYFUNCTION("""COMPUTED_VALUE"""),"")</f>
        <v/>
      </c>
      <c r="U1215" s="16" t="s">
        <v>87</v>
      </c>
      <c r="V1215" s="16" t="str">
        <f>IFERROR(__xludf.DUMMYFUNCTION("""COMPUTED_VALUE"""),"")</f>
        <v/>
      </c>
      <c r="W1215" s="16" t="str">
        <f>IFERROR(__xludf.DUMMYFUNCTION("""COMPUTED_VALUE"""),"")</f>
        <v/>
      </c>
      <c r="X1215" s="16" t="str">
        <f>IFERROR(__xludf.DUMMYFUNCTION("""COMPUTED_VALUE"""),"")</f>
        <v/>
      </c>
      <c r="AC1215" s="16" t="str">
        <f>IFERROR(__xludf.DUMMYFUNCTION("""COMPUTED_VALUE"""),"")</f>
        <v/>
      </c>
    </row>
    <row r="1216">
      <c r="A1216" s="16" t="s">
        <v>87</v>
      </c>
      <c r="E1216" s="16" t="str">
        <f>IFERROR(__xludf.DUMMYFUNCTION("""COMPUTED_VALUE"""),"")</f>
        <v/>
      </c>
      <c r="G1216" s="18"/>
      <c r="H1216" s="16" t="s">
        <v>87</v>
      </c>
      <c r="I1216" s="16" t="s">
        <v>87</v>
      </c>
      <c r="J1216" s="19"/>
      <c r="L1216" s="16" t="str">
        <f>IFERROR(__xludf.DUMMYFUNCTION("""COMPUTED_VALUE"""),"")</f>
        <v/>
      </c>
      <c r="M1216" s="16" t="str">
        <f>IFERROR(__xludf.DUMMYFUNCTION("""COMPUTED_VALUE"""),"")</f>
        <v/>
      </c>
      <c r="U1216" s="16" t="s">
        <v>87</v>
      </c>
      <c r="V1216" s="16" t="str">
        <f>IFERROR(__xludf.DUMMYFUNCTION("""COMPUTED_VALUE"""),"")</f>
        <v/>
      </c>
      <c r="W1216" s="16" t="str">
        <f>IFERROR(__xludf.DUMMYFUNCTION("""COMPUTED_VALUE"""),"")</f>
        <v/>
      </c>
      <c r="X1216" s="16" t="str">
        <f>IFERROR(__xludf.DUMMYFUNCTION("""COMPUTED_VALUE"""),"")</f>
        <v/>
      </c>
      <c r="AC1216" s="16" t="str">
        <f>IFERROR(__xludf.DUMMYFUNCTION("""COMPUTED_VALUE"""),"")</f>
        <v/>
      </c>
    </row>
    <row r="1217">
      <c r="A1217" s="16" t="s">
        <v>87</v>
      </c>
      <c r="E1217" s="16" t="str">
        <f>IFERROR(__xludf.DUMMYFUNCTION("""COMPUTED_VALUE"""),"")</f>
        <v/>
      </c>
      <c r="G1217" s="18"/>
      <c r="H1217" s="16" t="s">
        <v>87</v>
      </c>
      <c r="I1217" s="16" t="s">
        <v>87</v>
      </c>
      <c r="J1217" s="19"/>
      <c r="L1217" s="16" t="str">
        <f>IFERROR(__xludf.DUMMYFUNCTION("""COMPUTED_VALUE"""),"")</f>
        <v/>
      </c>
      <c r="M1217" s="16" t="str">
        <f>IFERROR(__xludf.DUMMYFUNCTION("""COMPUTED_VALUE"""),"")</f>
        <v/>
      </c>
      <c r="U1217" s="16" t="s">
        <v>87</v>
      </c>
      <c r="V1217" s="16" t="str">
        <f>IFERROR(__xludf.DUMMYFUNCTION("""COMPUTED_VALUE"""),"")</f>
        <v/>
      </c>
      <c r="W1217" s="16" t="str">
        <f>IFERROR(__xludf.DUMMYFUNCTION("""COMPUTED_VALUE"""),"")</f>
        <v/>
      </c>
      <c r="X1217" s="16" t="str">
        <f>IFERROR(__xludf.DUMMYFUNCTION("""COMPUTED_VALUE"""),"")</f>
        <v/>
      </c>
      <c r="AC1217" s="16" t="str">
        <f>IFERROR(__xludf.DUMMYFUNCTION("""COMPUTED_VALUE"""),"")</f>
        <v/>
      </c>
    </row>
    <row r="1218">
      <c r="A1218" s="16" t="s">
        <v>87</v>
      </c>
      <c r="E1218" s="16" t="str">
        <f>IFERROR(__xludf.DUMMYFUNCTION("""COMPUTED_VALUE"""),"")</f>
        <v/>
      </c>
      <c r="G1218" s="18"/>
      <c r="H1218" s="16" t="s">
        <v>87</v>
      </c>
      <c r="I1218" s="16" t="s">
        <v>87</v>
      </c>
      <c r="J1218" s="19"/>
      <c r="L1218" s="16" t="str">
        <f>IFERROR(__xludf.DUMMYFUNCTION("""COMPUTED_VALUE"""),"")</f>
        <v/>
      </c>
      <c r="M1218" s="16" t="str">
        <f>IFERROR(__xludf.DUMMYFUNCTION("""COMPUTED_VALUE"""),"")</f>
        <v/>
      </c>
      <c r="U1218" s="16" t="s">
        <v>87</v>
      </c>
      <c r="V1218" s="16" t="str">
        <f>IFERROR(__xludf.DUMMYFUNCTION("""COMPUTED_VALUE"""),"")</f>
        <v/>
      </c>
      <c r="W1218" s="16" t="str">
        <f>IFERROR(__xludf.DUMMYFUNCTION("""COMPUTED_VALUE"""),"")</f>
        <v/>
      </c>
      <c r="X1218" s="16" t="str">
        <f>IFERROR(__xludf.DUMMYFUNCTION("""COMPUTED_VALUE"""),"")</f>
        <v/>
      </c>
      <c r="AC1218" s="16" t="str">
        <f>IFERROR(__xludf.DUMMYFUNCTION("""COMPUTED_VALUE"""),"")</f>
        <v/>
      </c>
    </row>
    <row r="1219">
      <c r="A1219" s="16" t="s">
        <v>87</v>
      </c>
      <c r="E1219" s="16" t="str">
        <f>IFERROR(__xludf.DUMMYFUNCTION("""COMPUTED_VALUE"""),"")</f>
        <v/>
      </c>
      <c r="G1219" s="18"/>
      <c r="H1219" s="16" t="s">
        <v>87</v>
      </c>
      <c r="I1219" s="16" t="s">
        <v>87</v>
      </c>
      <c r="J1219" s="19"/>
      <c r="L1219" s="16" t="str">
        <f>IFERROR(__xludf.DUMMYFUNCTION("""COMPUTED_VALUE"""),"")</f>
        <v/>
      </c>
      <c r="M1219" s="16" t="str">
        <f>IFERROR(__xludf.DUMMYFUNCTION("""COMPUTED_VALUE"""),"")</f>
        <v/>
      </c>
      <c r="U1219" s="16" t="s">
        <v>87</v>
      </c>
      <c r="V1219" s="16" t="str">
        <f>IFERROR(__xludf.DUMMYFUNCTION("""COMPUTED_VALUE"""),"")</f>
        <v/>
      </c>
      <c r="W1219" s="16" t="str">
        <f>IFERROR(__xludf.DUMMYFUNCTION("""COMPUTED_VALUE"""),"")</f>
        <v/>
      </c>
      <c r="X1219" s="16" t="str">
        <f>IFERROR(__xludf.DUMMYFUNCTION("""COMPUTED_VALUE"""),"")</f>
        <v/>
      </c>
      <c r="AC1219" s="16" t="str">
        <f>IFERROR(__xludf.DUMMYFUNCTION("""COMPUTED_VALUE"""),"")</f>
        <v/>
      </c>
    </row>
    <row r="1220">
      <c r="A1220" s="16" t="s">
        <v>87</v>
      </c>
      <c r="E1220" s="16" t="str">
        <f>IFERROR(__xludf.DUMMYFUNCTION("""COMPUTED_VALUE"""),"")</f>
        <v/>
      </c>
      <c r="G1220" s="18"/>
      <c r="H1220" s="16" t="s">
        <v>87</v>
      </c>
      <c r="I1220" s="16" t="s">
        <v>87</v>
      </c>
      <c r="J1220" s="19"/>
      <c r="L1220" s="16" t="str">
        <f>IFERROR(__xludf.DUMMYFUNCTION("""COMPUTED_VALUE"""),"")</f>
        <v/>
      </c>
      <c r="M1220" s="16" t="str">
        <f>IFERROR(__xludf.DUMMYFUNCTION("""COMPUTED_VALUE"""),"")</f>
        <v/>
      </c>
      <c r="U1220" s="16" t="s">
        <v>87</v>
      </c>
      <c r="V1220" s="16" t="str">
        <f>IFERROR(__xludf.DUMMYFUNCTION("""COMPUTED_VALUE"""),"")</f>
        <v/>
      </c>
      <c r="W1220" s="16" t="str">
        <f>IFERROR(__xludf.DUMMYFUNCTION("""COMPUTED_VALUE"""),"")</f>
        <v/>
      </c>
      <c r="X1220" s="16" t="str">
        <f>IFERROR(__xludf.DUMMYFUNCTION("""COMPUTED_VALUE"""),"")</f>
        <v/>
      </c>
      <c r="AC1220" s="16" t="str">
        <f>IFERROR(__xludf.DUMMYFUNCTION("""COMPUTED_VALUE"""),"")</f>
        <v/>
      </c>
    </row>
    <row r="1221">
      <c r="A1221" s="16" t="s">
        <v>87</v>
      </c>
      <c r="E1221" s="16" t="str">
        <f>IFERROR(__xludf.DUMMYFUNCTION("""COMPUTED_VALUE"""),"")</f>
        <v/>
      </c>
      <c r="G1221" s="18"/>
      <c r="H1221" s="16" t="s">
        <v>87</v>
      </c>
      <c r="I1221" s="16" t="s">
        <v>87</v>
      </c>
      <c r="J1221" s="19"/>
      <c r="L1221" s="16" t="str">
        <f>IFERROR(__xludf.DUMMYFUNCTION("""COMPUTED_VALUE"""),"")</f>
        <v/>
      </c>
      <c r="M1221" s="16" t="str">
        <f>IFERROR(__xludf.DUMMYFUNCTION("""COMPUTED_VALUE"""),"")</f>
        <v/>
      </c>
      <c r="U1221" s="16" t="s">
        <v>87</v>
      </c>
      <c r="V1221" s="16" t="str">
        <f>IFERROR(__xludf.DUMMYFUNCTION("""COMPUTED_VALUE"""),"")</f>
        <v/>
      </c>
      <c r="W1221" s="16" t="str">
        <f>IFERROR(__xludf.DUMMYFUNCTION("""COMPUTED_VALUE"""),"")</f>
        <v/>
      </c>
      <c r="X1221" s="16" t="str">
        <f>IFERROR(__xludf.DUMMYFUNCTION("""COMPUTED_VALUE"""),"")</f>
        <v/>
      </c>
      <c r="AC1221" s="16" t="str">
        <f>IFERROR(__xludf.DUMMYFUNCTION("""COMPUTED_VALUE"""),"")</f>
        <v/>
      </c>
    </row>
    <row r="1222">
      <c r="A1222" s="16" t="s">
        <v>87</v>
      </c>
      <c r="E1222" s="16" t="str">
        <f>IFERROR(__xludf.DUMMYFUNCTION("""COMPUTED_VALUE"""),"")</f>
        <v/>
      </c>
      <c r="G1222" s="18"/>
      <c r="H1222" s="16" t="s">
        <v>87</v>
      </c>
      <c r="I1222" s="16" t="s">
        <v>87</v>
      </c>
      <c r="J1222" s="19"/>
      <c r="L1222" s="16" t="str">
        <f>IFERROR(__xludf.DUMMYFUNCTION("""COMPUTED_VALUE"""),"")</f>
        <v/>
      </c>
      <c r="M1222" s="16" t="str">
        <f>IFERROR(__xludf.DUMMYFUNCTION("""COMPUTED_VALUE"""),"")</f>
        <v/>
      </c>
      <c r="U1222" s="16" t="s">
        <v>87</v>
      </c>
      <c r="V1222" s="16" t="str">
        <f>IFERROR(__xludf.DUMMYFUNCTION("""COMPUTED_VALUE"""),"")</f>
        <v/>
      </c>
      <c r="W1222" s="16" t="str">
        <f>IFERROR(__xludf.DUMMYFUNCTION("""COMPUTED_VALUE"""),"")</f>
        <v/>
      </c>
      <c r="X1222" s="16" t="str">
        <f>IFERROR(__xludf.DUMMYFUNCTION("""COMPUTED_VALUE"""),"")</f>
        <v/>
      </c>
      <c r="AC1222" s="16" t="str">
        <f>IFERROR(__xludf.DUMMYFUNCTION("""COMPUTED_VALUE"""),"")</f>
        <v/>
      </c>
    </row>
    <row r="1223">
      <c r="A1223" s="16" t="s">
        <v>87</v>
      </c>
      <c r="E1223" s="16" t="str">
        <f>IFERROR(__xludf.DUMMYFUNCTION("""COMPUTED_VALUE"""),"")</f>
        <v/>
      </c>
      <c r="G1223" s="18"/>
      <c r="H1223" s="16" t="s">
        <v>87</v>
      </c>
      <c r="I1223" s="16" t="s">
        <v>87</v>
      </c>
      <c r="J1223" s="19"/>
      <c r="L1223" s="16" t="str">
        <f>IFERROR(__xludf.DUMMYFUNCTION("""COMPUTED_VALUE"""),"")</f>
        <v/>
      </c>
      <c r="M1223" s="16" t="str">
        <f>IFERROR(__xludf.DUMMYFUNCTION("""COMPUTED_VALUE"""),"")</f>
        <v/>
      </c>
      <c r="U1223" s="16" t="s">
        <v>87</v>
      </c>
      <c r="V1223" s="16" t="str">
        <f>IFERROR(__xludf.DUMMYFUNCTION("""COMPUTED_VALUE"""),"")</f>
        <v/>
      </c>
      <c r="W1223" s="16" t="str">
        <f>IFERROR(__xludf.DUMMYFUNCTION("""COMPUTED_VALUE"""),"")</f>
        <v/>
      </c>
      <c r="X1223" s="16" t="str">
        <f>IFERROR(__xludf.DUMMYFUNCTION("""COMPUTED_VALUE"""),"")</f>
        <v/>
      </c>
      <c r="AC1223" s="16" t="str">
        <f>IFERROR(__xludf.DUMMYFUNCTION("""COMPUTED_VALUE"""),"")</f>
        <v/>
      </c>
    </row>
    <row r="1224">
      <c r="A1224" s="16" t="s">
        <v>87</v>
      </c>
      <c r="E1224" s="16" t="str">
        <f>IFERROR(__xludf.DUMMYFUNCTION("""COMPUTED_VALUE"""),"")</f>
        <v/>
      </c>
      <c r="G1224" s="18"/>
      <c r="H1224" s="16" t="s">
        <v>87</v>
      </c>
      <c r="I1224" s="16" t="s">
        <v>87</v>
      </c>
      <c r="J1224" s="19"/>
      <c r="L1224" s="16" t="str">
        <f>IFERROR(__xludf.DUMMYFUNCTION("""COMPUTED_VALUE"""),"")</f>
        <v/>
      </c>
      <c r="M1224" s="16" t="str">
        <f>IFERROR(__xludf.DUMMYFUNCTION("""COMPUTED_VALUE"""),"")</f>
        <v/>
      </c>
      <c r="U1224" s="16" t="s">
        <v>87</v>
      </c>
      <c r="V1224" s="16" t="str">
        <f>IFERROR(__xludf.DUMMYFUNCTION("""COMPUTED_VALUE"""),"")</f>
        <v/>
      </c>
      <c r="W1224" s="16" t="str">
        <f>IFERROR(__xludf.DUMMYFUNCTION("""COMPUTED_VALUE"""),"")</f>
        <v/>
      </c>
      <c r="X1224" s="16" t="str">
        <f>IFERROR(__xludf.DUMMYFUNCTION("""COMPUTED_VALUE"""),"")</f>
        <v/>
      </c>
      <c r="AC1224" s="16" t="str">
        <f>IFERROR(__xludf.DUMMYFUNCTION("""COMPUTED_VALUE"""),"")</f>
        <v/>
      </c>
    </row>
    <row r="1225">
      <c r="A1225" s="16" t="s">
        <v>87</v>
      </c>
      <c r="E1225" s="16" t="str">
        <f>IFERROR(__xludf.DUMMYFUNCTION("""COMPUTED_VALUE"""),"")</f>
        <v/>
      </c>
      <c r="G1225" s="18"/>
      <c r="H1225" s="16" t="s">
        <v>87</v>
      </c>
      <c r="I1225" s="16" t="s">
        <v>87</v>
      </c>
      <c r="J1225" s="19"/>
      <c r="L1225" s="16" t="str">
        <f>IFERROR(__xludf.DUMMYFUNCTION("""COMPUTED_VALUE"""),"")</f>
        <v/>
      </c>
      <c r="M1225" s="16" t="str">
        <f>IFERROR(__xludf.DUMMYFUNCTION("""COMPUTED_VALUE"""),"")</f>
        <v/>
      </c>
      <c r="U1225" s="16" t="s">
        <v>87</v>
      </c>
      <c r="V1225" s="16" t="str">
        <f>IFERROR(__xludf.DUMMYFUNCTION("""COMPUTED_VALUE"""),"")</f>
        <v/>
      </c>
      <c r="W1225" s="16" t="str">
        <f>IFERROR(__xludf.DUMMYFUNCTION("""COMPUTED_VALUE"""),"")</f>
        <v/>
      </c>
      <c r="X1225" s="16" t="str">
        <f>IFERROR(__xludf.DUMMYFUNCTION("""COMPUTED_VALUE"""),"")</f>
        <v/>
      </c>
      <c r="AC1225" s="16" t="str">
        <f>IFERROR(__xludf.DUMMYFUNCTION("""COMPUTED_VALUE"""),"")</f>
        <v/>
      </c>
    </row>
    <row r="1226">
      <c r="A1226" s="16" t="s">
        <v>87</v>
      </c>
      <c r="E1226" s="16" t="str">
        <f>IFERROR(__xludf.DUMMYFUNCTION("""COMPUTED_VALUE"""),"")</f>
        <v/>
      </c>
      <c r="G1226" s="18"/>
      <c r="H1226" s="16" t="s">
        <v>87</v>
      </c>
      <c r="I1226" s="16" t="s">
        <v>87</v>
      </c>
      <c r="J1226" s="19"/>
      <c r="L1226" s="16" t="str">
        <f>IFERROR(__xludf.DUMMYFUNCTION("""COMPUTED_VALUE"""),"")</f>
        <v/>
      </c>
      <c r="M1226" s="16" t="str">
        <f>IFERROR(__xludf.DUMMYFUNCTION("""COMPUTED_VALUE"""),"")</f>
        <v/>
      </c>
      <c r="U1226" s="16" t="s">
        <v>87</v>
      </c>
      <c r="V1226" s="16" t="str">
        <f>IFERROR(__xludf.DUMMYFUNCTION("""COMPUTED_VALUE"""),"")</f>
        <v/>
      </c>
      <c r="W1226" s="16" t="str">
        <f>IFERROR(__xludf.DUMMYFUNCTION("""COMPUTED_VALUE"""),"")</f>
        <v/>
      </c>
      <c r="X1226" s="16" t="str">
        <f>IFERROR(__xludf.DUMMYFUNCTION("""COMPUTED_VALUE"""),"")</f>
        <v/>
      </c>
      <c r="AC1226" s="16" t="str">
        <f>IFERROR(__xludf.DUMMYFUNCTION("""COMPUTED_VALUE"""),"")</f>
        <v/>
      </c>
    </row>
    <row r="1227">
      <c r="A1227" s="16" t="s">
        <v>87</v>
      </c>
      <c r="E1227" s="16" t="str">
        <f>IFERROR(__xludf.DUMMYFUNCTION("""COMPUTED_VALUE"""),"")</f>
        <v/>
      </c>
      <c r="G1227" s="18"/>
      <c r="H1227" s="16" t="s">
        <v>87</v>
      </c>
      <c r="I1227" s="16" t="s">
        <v>87</v>
      </c>
      <c r="J1227" s="19"/>
      <c r="L1227" s="16" t="str">
        <f>IFERROR(__xludf.DUMMYFUNCTION("""COMPUTED_VALUE"""),"")</f>
        <v/>
      </c>
      <c r="M1227" s="16" t="str">
        <f>IFERROR(__xludf.DUMMYFUNCTION("""COMPUTED_VALUE"""),"")</f>
        <v/>
      </c>
      <c r="U1227" s="16" t="s">
        <v>87</v>
      </c>
      <c r="V1227" s="16" t="str">
        <f>IFERROR(__xludf.DUMMYFUNCTION("""COMPUTED_VALUE"""),"")</f>
        <v/>
      </c>
      <c r="W1227" s="16" t="str">
        <f>IFERROR(__xludf.DUMMYFUNCTION("""COMPUTED_VALUE"""),"")</f>
        <v/>
      </c>
      <c r="X1227" s="16" t="str">
        <f>IFERROR(__xludf.DUMMYFUNCTION("""COMPUTED_VALUE"""),"")</f>
        <v/>
      </c>
      <c r="AC1227" s="16" t="str">
        <f>IFERROR(__xludf.DUMMYFUNCTION("""COMPUTED_VALUE"""),"")</f>
        <v/>
      </c>
    </row>
    <row r="1228">
      <c r="A1228" s="16" t="s">
        <v>87</v>
      </c>
      <c r="E1228" s="16" t="str">
        <f>IFERROR(__xludf.DUMMYFUNCTION("""COMPUTED_VALUE"""),"")</f>
        <v/>
      </c>
      <c r="G1228" s="18"/>
      <c r="H1228" s="16" t="s">
        <v>87</v>
      </c>
      <c r="I1228" s="16" t="s">
        <v>87</v>
      </c>
      <c r="J1228" s="19"/>
      <c r="L1228" s="16" t="str">
        <f>IFERROR(__xludf.DUMMYFUNCTION("""COMPUTED_VALUE"""),"")</f>
        <v/>
      </c>
      <c r="M1228" s="16" t="str">
        <f>IFERROR(__xludf.DUMMYFUNCTION("""COMPUTED_VALUE"""),"")</f>
        <v/>
      </c>
      <c r="U1228" s="16" t="s">
        <v>87</v>
      </c>
      <c r="V1228" s="16" t="str">
        <f>IFERROR(__xludf.DUMMYFUNCTION("""COMPUTED_VALUE"""),"")</f>
        <v/>
      </c>
      <c r="W1228" s="16" t="str">
        <f>IFERROR(__xludf.DUMMYFUNCTION("""COMPUTED_VALUE"""),"")</f>
        <v/>
      </c>
      <c r="X1228" s="16" t="str">
        <f>IFERROR(__xludf.DUMMYFUNCTION("""COMPUTED_VALUE"""),"")</f>
        <v/>
      </c>
      <c r="AC1228" s="16" t="str">
        <f>IFERROR(__xludf.DUMMYFUNCTION("""COMPUTED_VALUE"""),"")</f>
        <v/>
      </c>
    </row>
    <row r="1229">
      <c r="A1229" s="16" t="s">
        <v>87</v>
      </c>
      <c r="E1229" s="16" t="str">
        <f>IFERROR(__xludf.DUMMYFUNCTION("""COMPUTED_VALUE"""),"")</f>
        <v/>
      </c>
      <c r="G1229" s="18"/>
      <c r="H1229" s="16" t="s">
        <v>87</v>
      </c>
      <c r="I1229" s="16" t="s">
        <v>87</v>
      </c>
      <c r="J1229" s="19"/>
      <c r="L1229" s="16" t="str">
        <f>IFERROR(__xludf.DUMMYFUNCTION("""COMPUTED_VALUE"""),"")</f>
        <v/>
      </c>
      <c r="M1229" s="16" t="str">
        <f>IFERROR(__xludf.DUMMYFUNCTION("""COMPUTED_VALUE"""),"")</f>
        <v/>
      </c>
      <c r="U1229" s="16" t="s">
        <v>87</v>
      </c>
      <c r="V1229" s="16" t="str">
        <f>IFERROR(__xludf.DUMMYFUNCTION("""COMPUTED_VALUE"""),"")</f>
        <v/>
      </c>
      <c r="W1229" s="16" t="str">
        <f>IFERROR(__xludf.DUMMYFUNCTION("""COMPUTED_VALUE"""),"")</f>
        <v/>
      </c>
      <c r="X1229" s="16" t="str">
        <f>IFERROR(__xludf.DUMMYFUNCTION("""COMPUTED_VALUE"""),"")</f>
        <v/>
      </c>
      <c r="AC1229" s="16" t="str">
        <f>IFERROR(__xludf.DUMMYFUNCTION("""COMPUTED_VALUE"""),"")</f>
        <v/>
      </c>
    </row>
    <row r="1230">
      <c r="A1230" s="16" t="s">
        <v>87</v>
      </c>
      <c r="E1230" s="16" t="str">
        <f>IFERROR(__xludf.DUMMYFUNCTION("""COMPUTED_VALUE"""),"")</f>
        <v/>
      </c>
      <c r="G1230" s="18"/>
      <c r="H1230" s="16" t="s">
        <v>87</v>
      </c>
      <c r="I1230" s="16" t="s">
        <v>87</v>
      </c>
      <c r="J1230" s="19"/>
      <c r="L1230" s="16" t="str">
        <f>IFERROR(__xludf.DUMMYFUNCTION("""COMPUTED_VALUE"""),"")</f>
        <v/>
      </c>
      <c r="M1230" s="16" t="str">
        <f>IFERROR(__xludf.DUMMYFUNCTION("""COMPUTED_VALUE"""),"")</f>
        <v/>
      </c>
      <c r="U1230" s="16" t="s">
        <v>87</v>
      </c>
      <c r="V1230" s="16" t="str">
        <f>IFERROR(__xludf.DUMMYFUNCTION("""COMPUTED_VALUE"""),"")</f>
        <v/>
      </c>
      <c r="W1230" s="16" t="str">
        <f>IFERROR(__xludf.DUMMYFUNCTION("""COMPUTED_VALUE"""),"")</f>
        <v/>
      </c>
      <c r="X1230" s="16" t="str">
        <f>IFERROR(__xludf.DUMMYFUNCTION("""COMPUTED_VALUE"""),"")</f>
        <v/>
      </c>
      <c r="AC1230" s="16" t="str">
        <f>IFERROR(__xludf.DUMMYFUNCTION("""COMPUTED_VALUE"""),"")</f>
        <v/>
      </c>
    </row>
    <row r="1231">
      <c r="A1231" s="16" t="s">
        <v>87</v>
      </c>
      <c r="E1231" s="16" t="str">
        <f>IFERROR(__xludf.DUMMYFUNCTION("""COMPUTED_VALUE"""),"")</f>
        <v/>
      </c>
      <c r="G1231" s="18"/>
      <c r="H1231" s="16" t="s">
        <v>87</v>
      </c>
      <c r="I1231" s="16" t="s">
        <v>87</v>
      </c>
      <c r="J1231" s="19"/>
      <c r="L1231" s="16" t="str">
        <f>IFERROR(__xludf.DUMMYFUNCTION("""COMPUTED_VALUE"""),"")</f>
        <v/>
      </c>
      <c r="M1231" s="16" t="str">
        <f>IFERROR(__xludf.DUMMYFUNCTION("""COMPUTED_VALUE"""),"")</f>
        <v/>
      </c>
      <c r="U1231" s="16" t="s">
        <v>87</v>
      </c>
      <c r="V1231" s="16" t="str">
        <f>IFERROR(__xludf.DUMMYFUNCTION("""COMPUTED_VALUE"""),"")</f>
        <v/>
      </c>
      <c r="W1231" s="16" t="str">
        <f>IFERROR(__xludf.DUMMYFUNCTION("""COMPUTED_VALUE"""),"")</f>
        <v/>
      </c>
      <c r="X1231" s="16" t="str">
        <f>IFERROR(__xludf.DUMMYFUNCTION("""COMPUTED_VALUE"""),"")</f>
        <v/>
      </c>
      <c r="AC1231" s="16" t="str">
        <f>IFERROR(__xludf.DUMMYFUNCTION("""COMPUTED_VALUE"""),"")</f>
        <v/>
      </c>
    </row>
    <row r="1232">
      <c r="A1232" s="16" t="s">
        <v>87</v>
      </c>
      <c r="E1232" s="16" t="str">
        <f>IFERROR(__xludf.DUMMYFUNCTION("""COMPUTED_VALUE"""),"")</f>
        <v/>
      </c>
      <c r="G1232" s="18"/>
      <c r="H1232" s="16" t="s">
        <v>87</v>
      </c>
      <c r="I1232" s="16" t="s">
        <v>87</v>
      </c>
      <c r="J1232" s="19"/>
      <c r="L1232" s="16" t="str">
        <f>IFERROR(__xludf.DUMMYFUNCTION("""COMPUTED_VALUE"""),"")</f>
        <v/>
      </c>
      <c r="M1232" s="16" t="str">
        <f>IFERROR(__xludf.DUMMYFUNCTION("""COMPUTED_VALUE"""),"")</f>
        <v/>
      </c>
      <c r="U1232" s="16" t="s">
        <v>87</v>
      </c>
      <c r="V1232" s="16" t="str">
        <f>IFERROR(__xludf.DUMMYFUNCTION("""COMPUTED_VALUE"""),"")</f>
        <v/>
      </c>
      <c r="W1232" s="16" t="str">
        <f>IFERROR(__xludf.DUMMYFUNCTION("""COMPUTED_VALUE"""),"")</f>
        <v/>
      </c>
      <c r="X1232" s="16" t="str">
        <f>IFERROR(__xludf.DUMMYFUNCTION("""COMPUTED_VALUE"""),"")</f>
        <v/>
      </c>
      <c r="AC1232" s="16" t="str">
        <f>IFERROR(__xludf.DUMMYFUNCTION("""COMPUTED_VALUE"""),"")</f>
        <v/>
      </c>
    </row>
    <row r="1233">
      <c r="A1233" s="16" t="s">
        <v>87</v>
      </c>
      <c r="E1233" s="16" t="str">
        <f>IFERROR(__xludf.DUMMYFUNCTION("""COMPUTED_VALUE"""),"")</f>
        <v/>
      </c>
      <c r="G1233" s="18"/>
      <c r="H1233" s="16" t="s">
        <v>87</v>
      </c>
      <c r="I1233" s="16" t="s">
        <v>87</v>
      </c>
      <c r="J1233" s="19"/>
      <c r="L1233" s="16" t="str">
        <f>IFERROR(__xludf.DUMMYFUNCTION("""COMPUTED_VALUE"""),"")</f>
        <v/>
      </c>
      <c r="M1233" s="16" t="str">
        <f>IFERROR(__xludf.DUMMYFUNCTION("""COMPUTED_VALUE"""),"")</f>
        <v/>
      </c>
      <c r="U1233" s="16" t="s">
        <v>87</v>
      </c>
      <c r="V1233" s="16" t="str">
        <f>IFERROR(__xludf.DUMMYFUNCTION("""COMPUTED_VALUE"""),"")</f>
        <v/>
      </c>
      <c r="W1233" s="16" t="str">
        <f>IFERROR(__xludf.DUMMYFUNCTION("""COMPUTED_VALUE"""),"")</f>
        <v/>
      </c>
      <c r="X1233" s="16" t="str">
        <f>IFERROR(__xludf.DUMMYFUNCTION("""COMPUTED_VALUE"""),"")</f>
        <v/>
      </c>
      <c r="AC1233" s="16" t="str">
        <f>IFERROR(__xludf.DUMMYFUNCTION("""COMPUTED_VALUE"""),"")</f>
        <v/>
      </c>
    </row>
    <row r="1234">
      <c r="A1234" s="16" t="s">
        <v>87</v>
      </c>
      <c r="E1234" s="16" t="str">
        <f>IFERROR(__xludf.DUMMYFUNCTION("""COMPUTED_VALUE"""),"")</f>
        <v/>
      </c>
      <c r="G1234" s="18"/>
      <c r="H1234" s="16" t="s">
        <v>87</v>
      </c>
      <c r="I1234" s="16" t="s">
        <v>87</v>
      </c>
      <c r="J1234" s="19"/>
      <c r="L1234" s="16" t="str">
        <f>IFERROR(__xludf.DUMMYFUNCTION("""COMPUTED_VALUE"""),"")</f>
        <v/>
      </c>
      <c r="M1234" s="16" t="str">
        <f>IFERROR(__xludf.DUMMYFUNCTION("""COMPUTED_VALUE"""),"")</f>
        <v/>
      </c>
      <c r="U1234" s="16" t="s">
        <v>87</v>
      </c>
      <c r="V1234" s="16" t="str">
        <f>IFERROR(__xludf.DUMMYFUNCTION("""COMPUTED_VALUE"""),"")</f>
        <v/>
      </c>
      <c r="W1234" s="16" t="str">
        <f>IFERROR(__xludf.DUMMYFUNCTION("""COMPUTED_VALUE"""),"")</f>
        <v/>
      </c>
      <c r="X1234" s="16" t="str">
        <f>IFERROR(__xludf.DUMMYFUNCTION("""COMPUTED_VALUE"""),"")</f>
        <v/>
      </c>
      <c r="AC1234" s="16" t="str">
        <f>IFERROR(__xludf.DUMMYFUNCTION("""COMPUTED_VALUE"""),"")</f>
        <v/>
      </c>
    </row>
    <row r="1235">
      <c r="A1235" s="16" t="s">
        <v>87</v>
      </c>
      <c r="E1235" s="16" t="str">
        <f>IFERROR(__xludf.DUMMYFUNCTION("""COMPUTED_VALUE"""),"")</f>
        <v/>
      </c>
      <c r="G1235" s="18"/>
      <c r="H1235" s="16" t="s">
        <v>87</v>
      </c>
      <c r="I1235" s="16" t="s">
        <v>87</v>
      </c>
      <c r="J1235" s="19"/>
      <c r="L1235" s="16" t="str">
        <f>IFERROR(__xludf.DUMMYFUNCTION("""COMPUTED_VALUE"""),"")</f>
        <v/>
      </c>
      <c r="M1235" s="16" t="str">
        <f>IFERROR(__xludf.DUMMYFUNCTION("""COMPUTED_VALUE"""),"")</f>
        <v/>
      </c>
      <c r="U1235" s="16" t="s">
        <v>87</v>
      </c>
      <c r="V1235" s="16" t="str">
        <f>IFERROR(__xludf.DUMMYFUNCTION("""COMPUTED_VALUE"""),"")</f>
        <v/>
      </c>
      <c r="W1235" s="16" t="str">
        <f>IFERROR(__xludf.DUMMYFUNCTION("""COMPUTED_VALUE"""),"")</f>
        <v/>
      </c>
      <c r="X1235" s="16" t="str">
        <f>IFERROR(__xludf.DUMMYFUNCTION("""COMPUTED_VALUE"""),"")</f>
        <v/>
      </c>
      <c r="AC1235" s="16" t="str">
        <f>IFERROR(__xludf.DUMMYFUNCTION("""COMPUTED_VALUE"""),"")</f>
        <v/>
      </c>
    </row>
    <row r="1236">
      <c r="A1236" s="16" t="s">
        <v>87</v>
      </c>
      <c r="E1236" s="16" t="str">
        <f>IFERROR(__xludf.DUMMYFUNCTION("""COMPUTED_VALUE"""),"")</f>
        <v/>
      </c>
      <c r="G1236" s="18"/>
      <c r="H1236" s="16" t="s">
        <v>87</v>
      </c>
      <c r="I1236" s="16" t="s">
        <v>87</v>
      </c>
      <c r="J1236" s="19"/>
      <c r="L1236" s="16" t="str">
        <f>IFERROR(__xludf.DUMMYFUNCTION("""COMPUTED_VALUE"""),"")</f>
        <v/>
      </c>
      <c r="M1236" s="16" t="str">
        <f>IFERROR(__xludf.DUMMYFUNCTION("""COMPUTED_VALUE"""),"")</f>
        <v/>
      </c>
      <c r="U1236" s="16" t="s">
        <v>87</v>
      </c>
      <c r="V1236" s="16" t="str">
        <f>IFERROR(__xludf.DUMMYFUNCTION("""COMPUTED_VALUE"""),"")</f>
        <v/>
      </c>
      <c r="W1236" s="16" t="str">
        <f>IFERROR(__xludf.DUMMYFUNCTION("""COMPUTED_VALUE"""),"")</f>
        <v/>
      </c>
      <c r="X1236" s="16" t="str">
        <f>IFERROR(__xludf.DUMMYFUNCTION("""COMPUTED_VALUE"""),"")</f>
        <v/>
      </c>
      <c r="AC1236" s="16" t="str">
        <f>IFERROR(__xludf.DUMMYFUNCTION("""COMPUTED_VALUE"""),"")</f>
        <v/>
      </c>
    </row>
    <row r="1237">
      <c r="A1237" s="16" t="s">
        <v>87</v>
      </c>
      <c r="E1237" s="16" t="str">
        <f>IFERROR(__xludf.DUMMYFUNCTION("""COMPUTED_VALUE"""),"")</f>
        <v/>
      </c>
      <c r="G1237" s="18"/>
      <c r="H1237" s="16" t="s">
        <v>87</v>
      </c>
      <c r="I1237" s="16" t="s">
        <v>87</v>
      </c>
      <c r="J1237" s="19"/>
      <c r="L1237" s="16" t="str">
        <f>IFERROR(__xludf.DUMMYFUNCTION("""COMPUTED_VALUE"""),"")</f>
        <v/>
      </c>
      <c r="M1237" s="16" t="str">
        <f>IFERROR(__xludf.DUMMYFUNCTION("""COMPUTED_VALUE"""),"")</f>
        <v/>
      </c>
      <c r="U1237" s="16" t="s">
        <v>87</v>
      </c>
      <c r="V1237" s="16" t="str">
        <f>IFERROR(__xludf.DUMMYFUNCTION("""COMPUTED_VALUE"""),"")</f>
        <v/>
      </c>
      <c r="W1237" s="16" t="str">
        <f>IFERROR(__xludf.DUMMYFUNCTION("""COMPUTED_VALUE"""),"")</f>
        <v/>
      </c>
      <c r="X1237" s="16" t="str">
        <f>IFERROR(__xludf.DUMMYFUNCTION("""COMPUTED_VALUE"""),"")</f>
        <v/>
      </c>
      <c r="AC1237" s="16" t="str">
        <f>IFERROR(__xludf.DUMMYFUNCTION("""COMPUTED_VALUE"""),"")</f>
        <v/>
      </c>
    </row>
    <row r="1238">
      <c r="A1238" s="16" t="s">
        <v>87</v>
      </c>
      <c r="E1238" s="16" t="str">
        <f>IFERROR(__xludf.DUMMYFUNCTION("""COMPUTED_VALUE"""),"")</f>
        <v/>
      </c>
      <c r="G1238" s="18"/>
      <c r="H1238" s="16" t="s">
        <v>87</v>
      </c>
      <c r="I1238" s="16" t="s">
        <v>87</v>
      </c>
      <c r="J1238" s="19"/>
      <c r="L1238" s="16" t="str">
        <f>IFERROR(__xludf.DUMMYFUNCTION("""COMPUTED_VALUE"""),"")</f>
        <v/>
      </c>
      <c r="M1238" s="16" t="str">
        <f>IFERROR(__xludf.DUMMYFUNCTION("""COMPUTED_VALUE"""),"")</f>
        <v/>
      </c>
      <c r="U1238" s="16" t="s">
        <v>87</v>
      </c>
      <c r="V1238" s="16" t="str">
        <f>IFERROR(__xludf.DUMMYFUNCTION("""COMPUTED_VALUE"""),"")</f>
        <v/>
      </c>
      <c r="W1238" s="16" t="str">
        <f>IFERROR(__xludf.DUMMYFUNCTION("""COMPUTED_VALUE"""),"")</f>
        <v/>
      </c>
      <c r="X1238" s="16" t="str">
        <f>IFERROR(__xludf.DUMMYFUNCTION("""COMPUTED_VALUE"""),"")</f>
        <v/>
      </c>
      <c r="AC1238" s="16" t="str">
        <f>IFERROR(__xludf.DUMMYFUNCTION("""COMPUTED_VALUE"""),"")</f>
        <v/>
      </c>
    </row>
    <row r="1239">
      <c r="A1239" s="16" t="s">
        <v>87</v>
      </c>
      <c r="E1239" s="16" t="str">
        <f>IFERROR(__xludf.DUMMYFUNCTION("""COMPUTED_VALUE"""),"")</f>
        <v/>
      </c>
      <c r="G1239" s="18"/>
      <c r="H1239" s="16" t="s">
        <v>87</v>
      </c>
      <c r="I1239" s="16" t="s">
        <v>87</v>
      </c>
      <c r="J1239" s="19"/>
      <c r="L1239" s="16" t="str">
        <f>IFERROR(__xludf.DUMMYFUNCTION("""COMPUTED_VALUE"""),"")</f>
        <v/>
      </c>
      <c r="M1239" s="16" t="str">
        <f>IFERROR(__xludf.DUMMYFUNCTION("""COMPUTED_VALUE"""),"")</f>
        <v/>
      </c>
      <c r="U1239" s="16" t="s">
        <v>87</v>
      </c>
      <c r="V1239" s="16" t="str">
        <f>IFERROR(__xludf.DUMMYFUNCTION("""COMPUTED_VALUE"""),"")</f>
        <v/>
      </c>
      <c r="W1239" s="16" t="str">
        <f>IFERROR(__xludf.DUMMYFUNCTION("""COMPUTED_VALUE"""),"")</f>
        <v/>
      </c>
      <c r="X1239" s="16" t="str">
        <f>IFERROR(__xludf.DUMMYFUNCTION("""COMPUTED_VALUE"""),"")</f>
        <v/>
      </c>
      <c r="AC1239" s="16" t="str">
        <f>IFERROR(__xludf.DUMMYFUNCTION("""COMPUTED_VALUE"""),"")</f>
        <v/>
      </c>
    </row>
    <row r="1240">
      <c r="A1240" s="16" t="s">
        <v>87</v>
      </c>
      <c r="E1240" s="16" t="str">
        <f>IFERROR(__xludf.DUMMYFUNCTION("""COMPUTED_VALUE"""),"")</f>
        <v/>
      </c>
      <c r="G1240" s="18"/>
      <c r="H1240" s="16" t="s">
        <v>87</v>
      </c>
      <c r="I1240" s="16" t="s">
        <v>87</v>
      </c>
      <c r="J1240" s="19"/>
      <c r="L1240" s="16" t="str">
        <f>IFERROR(__xludf.DUMMYFUNCTION("""COMPUTED_VALUE"""),"")</f>
        <v/>
      </c>
      <c r="M1240" s="16" t="str">
        <f>IFERROR(__xludf.DUMMYFUNCTION("""COMPUTED_VALUE"""),"")</f>
        <v/>
      </c>
      <c r="U1240" s="16" t="s">
        <v>87</v>
      </c>
      <c r="V1240" s="16" t="str">
        <f>IFERROR(__xludf.DUMMYFUNCTION("""COMPUTED_VALUE"""),"")</f>
        <v/>
      </c>
      <c r="W1240" s="16" t="str">
        <f>IFERROR(__xludf.DUMMYFUNCTION("""COMPUTED_VALUE"""),"")</f>
        <v/>
      </c>
      <c r="X1240" s="16" t="str">
        <f>IFERROR(__xludf.DUMMYFUNCTION("""COMPUTED_VALUE"""),"")</f>
        <v/>
      </c>
      <c r="AC1240" s="16" t="str">
        <f>IFERROR(__xludf.DUMMYFUNCTION("""COMPUTED_VALUE"""),"")</f>
        <v/>
      </c>
    </row>
    <row r="1241">
      <c r="A1241" s="16" t="s">
        <v>87</v>
      </c>
      <c r="E1241" s="16" t="str">
        <f>IFERROR(__xludf.DUMMYFUNCTION("""COMPUTED_VALUE"""),"")</f>
        <v/>
      </c>
      <c r="G1241" s="18"/>
      <c r="H1241" s="16" t="s">
        <v>87</v>
      </c>
      <c r="I1241" s="16" t="s">
        <v>87</v>
      </c>
      <c r="J1241" s="19"/>
      <c r="L1241" s="16" t="str">
        <f>IFERROR(__xludf.DUMMYFUNCTION("""COMPUTED_VALUE"""),"")</f>
        <v/>
      </c>
      <c r="M1241" s="16" t="str">
        <f>IFERROR(__xludf.DUMMYFUNCTION("""COMPUTED_VALUE"""),"")</f>
        <v/>
      </c>
      <c r="U1241" s="16" t="s">
        <v>87</v>
      </c>
      <c r="V1241" s="16" t="str">
        <f>IFERROR(__xludf.DUMMYFUNCTION("""COMPUTED_VALUE"""),"")</f>
        <v/>
      </c>
      <c r="W1241" s="16" t="str">
        <f>IFERROR(__xludf.DUMMYFUNCTION("""COMPUTED_VALUE"""),"")</f>
        <v/>
      </c>
      <c r="X1241" s="16" t="str">
        <f>IFERROR(__xludf.DUMMYFUNCTION("""COMPUTED_VALUE"""),"")</f>
        <v/>
      </c>
      <c r="AC1241" s="16" t="str">
        <f>IFERROR(__xludf.DUMMYFUNCTION("""COMPUTED_VALUE"""),"")</f>
        <v/>
      </c>
    </row>
    <row r="1242">
      <c r="A1242" s="16" t="s">
        <v>87</v>
      </c>
      <c r="E1242" s="16" t="str">
        <f>IFERROR(__xludf.DUMMYFUNCTION("""COMPUTED_VALUE"""),"")</f>
        <v/>
      </c>
      <c r="G1242" s="18"/>
      <c r="H1242" s="16" t="s">
        <v>87</v>
      </c>
      <c r="I1242" s="16" t="s">
        <v>87</v>
      </c>
      <c r="J1242" s="19"/>
      <c r="L1242" s="16" t="str">
        <f>IFERROR(__xludf.DUMMYFUNCTION("""COMPUTED_VALUE"""),"")</f>
        <v/>
      </c>
      <c r="M1242" s="16" t="str">
        <f>IFERROR(__xludf.DUMMYFUNCTION("""COMPUTED_VALUE"""),"")</f>
        <v/>
      </c>
      <c r="U1242" s="16" t="s">
        <v>87</v>
      </c>
      <c r="V1242" s="16" t="str">
        <f>IFERROR(__xludf.DUMMYFUNCTION("""COMPUTED_VALUE"""),"")</f>
        <v/>
      </c>
      <c r="W1242" s="16" t="str">
        <f>IFERROR(__xludf.DUMMYFUNCTION("""COMPUTED_VALUE"""),"")</f>
        <v/>
      </c>
      <c r="X1242" s="16" t="str">
        <f>IFERROR(__xludf.DUMMYFUNCTION("""COMPUTED_VALUE"""),"")</f>
        <v/>
      </c>
      <c r="AC1242" s="16" t="str">
        <f>IFERROR(__xludf.DUMMYFUNCTION("""COMPUTED_VALUE"""),"")</f>
        <v/>
      </c>
    </row>
    <row r="1243">
      <c r="A1243" s="16" t="s">
        <v>87</v>
      </c>
      <c r="E1243" s="16" t="str">
        <f>IFERROR(__xludf.DUMMYFUNCTION("""COMPUTED_VALUE"""),"")</f>
        <v/>
      </c>
      <c r="G1243" s="18"/>
      <c r="H1243" s="16" t="s">
        <v>87</v>
      </c>
      <c r="I1243" s="16" t="s">
        <v>87</v>
      </c>
      <c r="J1243" s="19"/>
      <c r="L1243" s="16" t="str">
        <f>IFERROR(__xludf.DUMMYFUNCTION("""COMPUTED_VALUE"""),"")</f>
        <v/>
      </c>
      <c r="M1243" s="16" t="str">
        <f>IFERROR(__xludf.DUMMYFUNCTION("""COMPUTED_VALUE"""),"")</f>
        <v/>
      </c>
      <c r="U1243" s="16" t="s">
        <v>87</v>
      </c>
      <c r="V1243" s="16" t="str">
        <f>IFERROR(__xludf.DUMMYFUNCTION("""COMPUTED_VALUE"""),"")</f>
        <v/>
      </c>
      <c r="W1243" s="16" t="str">
        <f>IFERROR(__xludf.DUMMYFUNCTION("""COMPUTED_VALUE"""),"")</f>
        <v/>
      </c>
      <c r="X1243" s="16" t="str">
        <f>IFERROR(__xludf.DUMMYFUNCTION("""COMPUTED_VALUE"""),"")</f>
        <v/>
      </c>
      <c r="AC1243" s="16" t="str">
        <f>IFERROR(__xludf.DUMMYFUNCTION("""COMPUTED_VALUE"""),"")</f>
        <v/>
      </c>
    </row>
    <row r="1244">
      <c r="A1244" s="16" t="s">
        <v>87</v>
      </c>
      <c r="E1244" s="16" t="str">
        <f>IFERROR(__xludf.DUMMYFUNCTION("""COMPUTED_VALUE"""),"")</f>
        <v/>
      </c>
      <c r="G1244" s="18"/>
      <c r="H1244" s="16" t="s">
        <v>87</v>
      </c>
      <c r="I1244" s="16" t="s">
        <v>87</v>
      </c>
      <c r="J1244" s="19"/>
      <c r="L1244" s="16" t="str">
        <f>IFERROR(__xludf.DUMMYFUNCTION("""COMPUTED_VALUE"""),"")</f>
        <v/>
      </c>
      <c r="M1244" s="16" t="str">
        <f>IFERROR(__xludf.DUMMYFUNCTION("""COMPUTED_VALUE"""),"")</f>
        <v/>
      </c>
      <c r="U1244" s="16" t="s">
        <v>87</v>
      </c>
      <c r="V1244" s="16" t="str">
        <f>IFERROR(__xludf.DUMMYFUNCTION("""COMPUTED_VALUE"""),"")</f>
        <v/>
      </c>
      <c r="W1244" s="16" t="str">
        <f>IFERROR(__xludf.DUMMYFUNCTION("""COMPUTED_VALUE"""),"")</f>
        <v/>
      </c>
      <c r="X1244" s="16" t="str">
        <f>IFERROR(__xludf.DUMMYFUNCTION("""COMPUTED_VALUE"""),"")</f>
        <v/>
      </c>
      <c r="AC1244" s="16" t="str">
        <f>IFERROR(__xludf.DUMMYFUNCTION("""COMPUTED_VALUE"""),"")</f>
        <v/>
      </c>
    </row>
    <row r="1245">
      <c r="A1245" s="16" t="s">
        <v>87</v>
      </c>
      <c r="E1245" s="16" t="str">
        <f>IFERROR(__xludf.DUMMYFUNCTION("""COMPUTED_VALUE"""),"")</f>
        <v/>
      </c>
      <c r="G1245" s="18"/>
      <c r="H1245" s="16" t="s">
        <v>87</v>
      </c>
      <c r="I1245" s="16" t="s">
        <v>87</v>
      </c>
      <c r="J1245" s="19"/>
      <c r="L1245" s="16" t="str">
        <f>IFERROR(__xludf.DUMMYFUNCTION("""COMPUTED_VALUE"""),"")</f>
        <v/>
      </c>
      <c r="M1245" s="16" t="str">
        <f>IFERROR(__xludf.DUMMYFUNCTION("""COMPUTED_VALUE"""),"")</f>
        <v/>
      </c>
      <c r="U1245" s="16" t="s">
        <v>87</v>
      </c>
      <c r="V1245" s="16" t="str">
        <f>IFERROR(__xludf.DUMMYFUNCTION("""COMPUTED_VALUE"""),"")</f>
        <v/>
      </c>
      <c r="W1245" s="16" t="str">
        <f>IFERROR(__xludf.DUMMYFUNCTION("""COMPUTED_VALUE"""),"")</f>
        <v/>
      </c>
      <c r="X1245" s="16" t="str">
        <f>IFERROR(__xludf.DUMMYFUNCTION("""COMPUTED_VALUE"""),"")</f>
        <v/>
      </c>
      <c r="AC1245" s="16" t="str">
        <f>IFERROR(__xludf.DUMMYFUNCTION("""COMPUTED_VALUE"""),"")</f>
        <v/>
      </c>
    </row>
    <row r="1246">
      <c r="A1246" s="16" t="s">
        <v>87</v>
      </c>
      <c r="E1246" s="16" t="str">
        <f>IFERROR(__xludf.DUMMYFUNCTION("""COMPUTED_VALUE"""),"")</f>
        <v/>
      </c>
      <c r="G1246" s="18"/>
      <c r="H1246" s="16" t="s">
        <v>87</v>
      </c>
      <c r="I1246" s="16" t="s">
        <v>87</v>
      </c>
      <c r="J1246" s="19"/>
      <c r="L1246" s="16" t="str">
        <f>IFERROR(__xludf.DUMMYFUNCTION("""COMPUTED_VALUE"""),"")</f>
        <v/>
      </c>
      <c r="M1246" s="16" t="str">
        <f>IFERROR(__xludf.DUMMYFUNCTION("""COMPUTED_VALUE"""),"")</f>
        <v/>
      </c>
      <c r="U1246" s="16" t="s">
        <v>87</v>
      </c>
      <c r="V1246" s="16" t="str">
        <f>IFERROR(__xludf.DUMMYFUNCTION("""COMPUTED_VALUE"""),"")</f>
        <v/>
      </c>
      <c r="W1246" s="16" t="str">
        <f>IFERROR(__xludf.DUMMYFUNCTION("""COMPUTED_VALUE"""),"")</f>
        <v/>
      </c>
      <c r="X1246" s="16" t="str">
        <f>IFERROR(__xludf.DUMMYFUNCTION("""COMPUTED_VALUE"""),"")</f>
        <v/>
      </c>
      <c r="AC1246" s="16" t="str">
        <f>IFERROR(__xludf.DUMMYFUNCTION("""COMPUTED_VALUE"""),"")</f>
        <v/>
      </c>
    </row>
    <row r="1247">
      <c r="A1247" s="16" t="s">
        <v>87</v>
      </c>
      <c r="E1247" s="16" t="str">
        <f>IFERROR(__xludf.DUMMYFUNCTION("""COMPUTED_VALUE"""),"")</f>
        <v/>
      </c>
      <c r="G1247" s="18"/>
      <c r="H1247" s="16" t="s">
        <v>87</v>
      </c>
      <c r="I1247" s="16" t="s">
        <v>87</v>
      </c>
      <c r="J1247" s="19"/>
      <c r="L1247" s="16" t="str">
        <f>IFERROR(__xludf.DUMMYFUNCTION("""COMPUTED_VALUE"""),"")</f>
        <v/>
      </c>
      <c r="M1247" s="16" t="str">
        <f>IFERROR(__xludf.DUMMYFUNCTION("""COMPUTED_VALUE"""),"")</f>
        <v/>
      </c>
      <c r="U1247" s="16" t="s">
        <v>87</v>
      </c>
      <c r="V1247" s="16" t="str">
        <f>IFERROR(__xludf.DUMMYFUNCTION("""COMPUTED_VALUE"""),"")</f>
        <v/>
      </c>
      <c r="W1247" s="16" t="str">
        <f>IFERROR(__xludf.DUMMYFUNCTION("""COMPUTED_VALUE"""),"")</f>
        <v/>
      </c>
      <c r="X1247" s="16" t="str">
        <f>IFERROR(__xludf.DUMMYFUNCTION("""COMPUTED_VALUE"""),"")</f>
        <v/>
      </c>
      <c r="AC1247" s="16" t="str">
        <f>IFERROR(__xludf.DUMMYFUNCTION("""COMPUTED_VALUE"""),"")</f>
        <v/>
      </c>
    </row>
    <row r="1248">
      <c r="A1248" s="16" t="s">
        <v>87</v>
      </c>
      <c r="E1248" s="16" t="str">
        <f>IFERROR(__xludf.DUMMYFUNCTION("""COMPUTED_VALUE"""),"")</f>
        <v/>
      </c>
      <c r="G1248" s="18"/>
      <c r="H1248" s="16" t="s">
        <v>87</v>
      </c>
      <c r="I1248" s="16" t="s">
        <v>87</v>
      </c>
      <c r="J1248" s="19"/>
      <c r="L1248" s="16" t="str">
        <f>IFERROR(__xludf.DUMMYFUNCTION("""COMPUTED_VALUE"""),"")</f>
        <v/>
      </c>
      <c r="M1248" s="16" t="str">
        <f>IFERROR(__xludf.DUMMYFUNCTION("""COMPUTED_VALUE"""),"")</f>
        <v/>
      </c>
      <c r="U1248" s="16" t="s">
        <v>87</v>
      </c>
      <c r="V1248" s="16" t="str">
        <f>IFERROR(__xludf.DUMMYFUNCTION("""COMPUTED_VALUE"""),"")</f>
        <v/>
      </c>
      <c r="W1248" s="16" t="str">
        <f>IFERROR(__xludf.DUMMYFUNCTION("""COMPUTED_VALUE"""),"")</f>
        <v/>
      </c>
      <c r="X1248" s="16" t="str">
        <f>IFERROR(__xludf.DUMMYFUNCTION("""COMPUTED_VALUE"""),"")</f>
        <v/>
      </c>
      <c r="AC1248" s="16" t="str">
        <f>IFERROR(__xludf.DUMMYFUNCTION("""COMPUTED_VALUE"""),"")</f>
        <v/>
      </c>
    </row>
    <row r="1249">
      <c r="A1249" s="16" t="s">
        <v>87</v>
      </c>
      <c r="E1249" s="16" t="str">
        <f>IFERROR(__xludf.DUMMYFUNCTION("""COMPUTED_VALUE"""),"")</f>
        <v/>
      </c>
      <c r="G1249" s="18"/>
      <c r="H1249" s="16" t="s">
        <v>87</v>
      </c>
      <c r="I1249" s="16" t="s">
        <v>87</v>
      </c>
      <c r="J1249" s="19"/>
      <c r="L1249" s="16" t="str">
        <f>IFERROR(__xludf.DUMMYFUNCTION("""COMPUTED_VALUE"""),"")</f>
        <v/>
      </c>
      <c r="M1249" s="16" t="str">
        <f>IFERROR(__xludf.DUMMYFUNCTION("""COMPUTED_VALUE"""),"")</f>
        <v/>
      </c>
      <c r="U1249" s="16" t="s">
        <v>87</v>
      </c>
      <c r="V1249" s="16" t="str">
        <f>IFERROR(__xludf.DUMMYFUNCTION("""COMPUTED_VALUE"""),"")</f>
        <v/>
      </c>
      <c r="W1249" s="16" t="str">
        <f>IFERROR(__xludf.DUMMYFUNCTION("""COMPUTED_VALUE"""),"")</f>
        <v/>
      </c>
      <c r="X1249" s="16" t="str">
        <f>IFERROR(__xludf.DUMMYFUNCTION("""COMPUTED_VALUE"""),"")</f>
        <v/>
      </c>
      <c r="AC1249" s="16" t="str">
        <f>IFERROR(__xludf.DUMMYFUNCTION("""COMPUTED_VALUE"""),"")</f>
        <v/>
      </c>
    </row>
    <row r="1250">
      <c r="A1250" s="16" t="s">
        <v>87</v>
      </c>
      <c r="E1250" s="16" t="str">
        <f>IFERROR(__xludf.DUMMYFUNCTION("""COMPUTED_VALUE"""),"")</f>
        <v/>
      </c>
      <c r="G1250" s="18"/>
      <c r="H1250" s="16" t="s">
        <v>87</v>
      </c>
      <c r="I1250" s="16" t="s">
        <v>87</v>
      </c>
      <c r="J1250" s="19"/>
      <c r="L1250" s="16" t="str">
        <f>IFERROR(__xludf.DUMMYFUNCTION("""COMPUTED_VALUE"""),"")</f>
        <v/>
      </c>
      <c r="M1250" s="16" t="str">
        <f>IFERROR(__xludf.DUMMYFUNCTION("""COMPUTED_VALUE"""),"")</f>
        <v/>
      </c>
      <c r="U1250" s="16" t="s">
        <v>87</v>
      </c>
      <c r="V1250" s="16" t="str">
        <f>IFERROR(__xludf.DUMMYFUNCTION("""COMPUTED_VALUE"""),"")</f>
        <v/>
      </c>
      <c r="W1250" s="16" t="str">
        <f>IFERROR(__xludf.DUMMYFUNCTION("""COMPUTED_VALUE"""),"")</f>
        <v/>
      </c>
      <c r="X1250" s="16" t="str">
        <f>IFERROR(__xludf.DUMMYFUNCTION("""COMPUTED_VALUE"""),"")</f>
        <v/>
      </c>
      <c r="AC1250" s="16" t="str">
        <f>IFERROR(__xludf.DUMMYFUNCTION("""COMPUTED_VALUE"""),"")</f>
        <v/>
      </c>
    </row>
    <row r="1251">
      <c r="A1251" s="16" t="s">
        <v>87</v>
      </c>
      <c r="E1251" s="16" t="str">
        <f>IFERROR(__xludf.DUMMYFUNCTION("""COMPUTED_VALUE"""),"")</f>
        <v/>
      </c>
      <c r="G1251" s="18"/>
      <c r="H1251" s="16" t="s">
        <v>87</v>
      </c>
      <c r="I1251" s="16" t="s">
        <v>87</v>
      </c>
      <c r="J1251" s="19"/>
      <c r="L1251" s="16" t="str">
        <f>IFERROR(__xludf.DUMMYFUNCTION("""COMPUTED_VALUE"""),"")</f>
        <v/>
      </c>
      <c r="M1251" s="16" t="str">
        <f>IFERROR(__xludf.DUMMYFUNCTION("""COMPUTED_VALUE"""),"")</f>
        <v/>
      </c>
      <c r="U1251" s="16" t="s">
        <v>87</v>
      </c>
      <c r="V1251" s="16" t="str">
        <f>IFERROR(__xludf.DUMMYFUNCTION("""COMPUTED_VALUE"""),"")</f>
        <v/>
      </c>
      <c r="W1251" s="16" t="str">
        <f>IFERROR(__xludf.DUMMYFUNCTION("""COMPUTED_VALUE"""),"")</f>
        <v/>
      </c>
      <c r="X1251" s="16" t="str">
        <f>IFERROR(__xludf.DUMMYFUNCTION("""COMPUTED_VALUE"""),"")</f>
        <v/>
      </c>
      <c r="AC1251" s="16" t="str">
        <f>IFERROR(__xludf.DUMMYFUNCTION("""COMPUTED_VALUE"""),"")</f>
        <v/>
      </c>
    </row>
    <row r="1252">
      <c r="A1252" s="16" t="s">
        <v>87</v>
      </c>
      <c r="E1252" s="16" t="str">
        <f>IFERROR(__xludf.DUMMYFUNCTION("""COMPUTED_VALUE"""),"")</f>
        <v/>
      </c>
      <c r="G1252" s="18"/>
      <c r="H1252" s="16" t="s">
        <v>87</v>
      </c>
      <c r="I1252" s="16" t="s">
        <v>87</v>
      </c>
      <c r="J1252" s="19"/>
      <c r="L1252" s="16" t="str">
        <f>IFERROR(__xludf.DUMMYFUNCTION("""COMPUTED_VALUE"""),"")</f>
        <v/>
      </c>
      <c r="M1252" s="16" t="str">
        <f>IFERROR(__xludf.DUMMYFUNCTION("""COMPUTED_VALUE"""),"")</f>
        <v/>
      </c>
      <c r="U1252" s="16" t="s">
        <v>87</v>
      </c>
      <c r="V1252" s="16" t="str">
        <f>IFERROR(__xludf.DUMMYFUNCTION("""COMPUTED_VALUE"""),"")</f>
        <v/>
      </c>
      <c r="W1252" s="16" t="str">
        <f>IFERROR(__xludf.DUMMYFUNCTION("""COMPUTED_VALUE"""),"")</f>
        <v/>
      </c>
      <c r="X1252" s="16" t="str">
        <f>IFERROR(__xludf.DUMMYFUNCTION("""COMPUTED_VALUE"""),"")</f>
        <v/>
      </c>
      <c r="AC1252" s="16" t="str">
        <f>IFERROR(__xludf.DUMMYFUNCTION("""COMPUTED_VALUE"""),"")</f>
        <v/>
      </c>
    </row>
    <row r="1253">
      <c r="A1253" s="16" t="s">
        <v>87</v>
      </c>
      <c r="E1253" s="16" t="str">
        <f>IFERROR(__xludf.DUMMYFUNCTION("""COMPUTED_VALUE"""),"")</f>
        <v/>
      </c>
      <c r="G1253" s="18"/>
      <c r="H1253" s="16" t="s">
        <v>87</v>
      </c>
      <c r="I1253" s="16" t="s">
        <v>87</v>
      </c>
      <c r="J1253" s="19"/>
      <c r="L1253" s="16" t="str">
        <f>IFERROR(__xludf.DUMMYFUNCTION("""COMPUTED_VALUE"""),"")</f>
        <v/>
      </c>
      <c r="M1253" s="16" t="str">
        <f>IFERROR(__xludf.DUMMYFUNCTION("""COMPUTED_VALUE"""),"")</f>
        <v/>
      </c>
      <c r="U1253" s="16" t="s">
        <v>87</v>
      </c>
      <c r="V1253" s="16" t="str">
        <f>IFERROR(__xludf.DUMMYFUNCTION("""COMPUTED_VALUE"""),"")</f>
        <v/>
      </c>
      <c r="W1253" s="16" t="str">
        <f>IFERROR(__xludf.DUMMYFUNCTION("""COMPUTED_VALUE"""),"")</f>
        <v/>
      </c>
      <c r="X1253" s="16" t="str">
        <f>IFERROR(__xludf.DUMMYFUNCTION("""COMPUTED_VALUE"""),"")</f>
        <v/>
      </c>
      <c r="AC1253" s="16" t="str">
        <f>IFERROR(__xludf.DUMMYFUNCTION("""COMPUTED_VALUE"""),"")</f>
        <v/>
      </c>
    </row>
    <row r="1254">
      <c r="A1254" s="16" t="s">
        <v>87</v>
      </c>
      <c r="E1254" s="16" t="str">
        <f>IFERROR(__xludf.DUMMYFUNCTION("""COMPUTED_VALUE"""),"")</f>
        <v/>
      </c>
      <c r="G1254" s="18"/>
      <c r="H1254" s="16" t="s">
        <v>87</v>
      </c>
      <c r="I1254" s="16" t="s">
        <v>87</v>
      </c>
      <c r="J1254" s="19"/>
      <c r="L1254" s="16" t="str">
        <f>IFERROR(__xludf.DUMMYFUNCTION("""COMPUTED_VALUE"""),"")</f>
        <v/>
      </c>
      <c r="M1254" s="16" t="str">
        <f>IFERROR(__xludf.DUMMYFUNCTION("""COMPUTED_VALUE"""),"")</f>
        <v/>
      </c>
      <c r="U1254" s="16" t="s">
        <v>87</v>
      </c>
      <c r="V1254" s="16" t="str">
        <f>IFERROR(__xludf.DUMMYFUNCTION("""COMPUTED_VALUE"""),"")</f>
        <v/>
      </c>
      <c r="W1254" s="16" t="str">
        <f>IFERROR(__xludf.DUMMYFUNCTION("""COMPUTED_VALUE"""),"")</f>
        <v/>
      </c>
      <c r="X1254" s="16" t="str">
        <f>IFERROR(__xludf.DUMMYFUNCTION("""COMPUTED_VALUE"""),"")</f>
        <v/>
      </c>
      <c r="AC1254" s="16" t="str">
        <f>IFERROR(__xludf.DUMMYFUNCTION("""COMPUTED_VALUE"""),"")</f>
        <v/>
      </c>
    </row>
    <row r="1255">
      <c r="A1255" s="16" t="s">
        <v>87</v>
      </c>
      <c r="E1255" s="16" t="str">
        <f>IFERROR(__xludf.DUMMYFUNCTION("""COMPUTED_VALUE"""),"")</f>
        <v/>
      </c>
      <c r="G1255" s="18"/>
      <c r="H1255" s="16" t="s">
        <v>87</v>
      </c>
      <c r="I1255" s="16" t="s">
        <v>87</v>
      </c>
      <c r="J1255" s="19"/>
      <c r="L1255" s="16" t="str">
        <f>IFERROR(__xludf.DUMMYFUNCTION("""COMPUTED_VALUE"""),"")</f>
        <v/>
      </c>
      <c r="M1255" s="16" t="str">
        <f>IFERROR(__xludf.DUMMYFUNCTION("""COMPUTED_VALUE"""),"")</f>
        <v/>
      </c>
      <c r="U1255" s="16" t="s">
        <v>87</v>
      </c>
      <c r="V1255" s="16" t="str">
        <f>IFERROR(__xludf.DUMMYFUNCTION("""COMPUTED_VALUE"""),"")</f>
        <v/>
      </c>
      <c r="W1255" s="16" t="str">
        <f>IFERROR(__xludf.DUMMYFUNCTION("""COMPUTED_VALUE"""),"")</f>
        <v/>
      </c>
      <c r="X1255" s="16" t="str">
        <f>IFERROR(__xludf.DUMMYFUNCTION("""COMPUTED_VALUE"""),"")</f>
        <v/>
      </c>
      <c r="AC1255" s="16" t="str">
        <f>IFERROR(__xludf.DUMMYFUNCTION("""COMPUTED_VALUE"""),"")</f>
        <v/>
      </c>
    </row>
    <row r="1256">
      <c r="A1256" s="16" t="s">
        <v>87</v>
      </c>
      <c r="E1256" s="16" t="str">
        <f>IFERROR(__xludf.DUMMYFUNCTION("""COMPUTED_VALUE"""),"")</f>
        <v/>
      </c>
      <c r="G1256" s="18"/>
      <c r="H1256" s="16" t="s">
        <v>87</v>
      </c>
      <c r="I1256" s="16" t="s">
        <v>87</v>
      </c>
      <c r="J1256" s="19"/>
      <c r="L1256" s="16" t="str">
        <f>IFERROR(__xludf.DUMMYFUNCTION("""COMPUTED_VALUE"""),"")</f>
        <v/>
      </c>
      <c r="M1256" s="16" t="str">
        <f>IFERROR(__xludf.DUMMYFUNCTION("""COMPUTED_VALUE"""),"")</f>
        <v/>
      </c>
      <c r="U1256" s="16" t="s">
        <v>87</v>
      </c>
      <c r="V1256" s="16" t="str">
        <f>IFERROR(__xludf.DUMMYFUNCTION("""COMPUTED_VALUE"""),"")</f>
        <v/>
      </c>
      <c r="W1256" s="16" t="str">
        <f>IFERROR(__xludf.DUMMYFUNCTION("""COMPUTED_VALUE"""),"")</f>
        <v/>
      </c>
      <c r="X1256" s="16" t="str">
        <f>IFERROR(__xludf.DUMMYFUNCTION("""COMPUTED_VALUE"""),"")</f>
        <v/>
      </c>
      <c r="AC1256" s="16" t="str">
        <f>IFERROR(__xludf.DUMMYFUNCTION("""COMPUTED_VALUE"""),"")</f>
        <v/>
      </c>
    </row>
    <row r="1257">
      <c r="A1257" s="16" t="s">
        <v>87</v>
      </c>
      <c r="E1257" s="16" t="str">
        <f>IFERROR(__xludf.DUMMYFUNCTION("""COMPUTED_VALUE"""),"")</f>
        <v/>
      </c>
      <c r="G1257" s="18"/>
      <c r="H1257" s="16" t="s">
        <v>87</v>
      </c>
      <c r="I1257" s="16" t="s">
        <v>87</v>
      </c>
      <c r="J1257" s="19"/>
      <c r="L1257" s="16" t="str">
        <f>IFERROR(__xludf.DUMMYFUNCTION("""COMPUTED_VALUE"""),"")</f>
        <v/>
      </c>
      <c r="M1257" s="16" t="str">
        <f>IFERROR(__xludf.DUMMYFUNCTION("""COMPUTED_VALUE"""),"")</f>
        <v/>
      </c>
      <c r="U1257" s="16" t="s">
        <v>87</v>
      </c>
      <c r="V1257" s="16" t="str">
        <f>IFERROR(__xludf.DUMMYFUNCTION("""COMPUTED_VALUE"""),"")</f>
        <v/>
      </c>
      <c r="W1257" s="16" t="str">
        <f>IFERROR(__xludf.DUMMYFUNCTION("""COMPUTED_VALUE"""),"")</f>
        <v/>
      </c>
      <c r="X1257" s="16" t="str">
        <f>IFERROR(__xludf.DUMMYFUNCTION("""COMPUTED_VALUE"""),"")</f>
        <v/>
      </c>
      <c r="AC1257" s="16" t="str">
        <f>IFERROR(__xludf.DUMMYFUNCTION("""COMPUTED_VALUE"""),"")</f>
        <v/>
      </c>
    </row>
    <row r="1258">
      <c r="A1258" s="16" t="s">
        <v>87</v>
      </c>
      <c r="E1258" s="16" t="str">
        <f>IFERROR(__xludf.DUMMYFUNCTION("""COMPUTED_VALUE"""),"")</f>
        <v/>
      </c>
      <c r="G1258" s="18"/>
      <c r="H1258" s="16" t="s">
        <v>87</v>
      </c>
      <c r="I1258" s="16" t="s">
        <v>87</v>
      </c>
      <c r="J1258" s="19"/>
      <c r="L1258" s="16" t="str">
        <f>IFERROR(__xludf.DUMMYFUNCTION("""COMPUTED_VALUE"""),"")</f>
        <v/>
      </c>
      <c r="M1258" s="16" t="str">
        <f>IFERROR(__xludf.DUMMYFUNCTION("""COMPUTED_VALUE"""),"")</f>
        <v/>
      </c>
      <c r="U1258" s="16" t="s">
        <v>87</v>
      </c>
      <c r="V1258" s="16" t="str">
        <f>IFERROR(__xludf.DUMMYFUNCTION("""COMPUTED_VALUE"""),"")</f>
        <v/>
      </c>
      <c r="W1258" s="16" t="str">
        <f>IFERROR(__xludf.DUMMYFUNCTION("""COMPUTED_VALUE"""),"")</f>
        <v/>
      </c>
      <c r="X1258" s="16" t="str">
        <f>IFERROR(__xludf.DUMMYFUNCTION("""COMPUTED_VALUE"""),"")</f>
        <v/>
      </c>
      <c r="AC1258" s="16" t="str">
        <f>IFERROR(__xludf.DUMMYFUNCTION("""COMPUTED_VALUE"""),"")</f>
        <v/>
      </c>
    </row>
    <row r="1259">
      <c r="A1259" s="16" t="s">
        <v>87</v>
      </c>
      <c r="E1259" s="16" t="str">
        <f>IFERROR(__xludf.DUMMYFUNCTION("""COMPUTED_VALUE"""),"")</f>
        <v/>
      </c>
      <c r="G1259" s="18"/>
      <c r="H1259" s="16" t="s">
        <v>87</v>
      </c>
      <c r="I1259" s="16" t="s">
        <v>87</v>
      </c>
      <c r="J1259" s="19"/>
      <c r="L1259" s="16" t="str">
        <f>IFERROR(__xludf.DUMMYFUNCTION("""COMPUTED_VALUE"""),"")</f>
        <v/>
      </c>
      <c r="M1259" s="16" t="str">
        <f>IFERROR(__xludf.DUMMYFUNCTION("""COMPUTED_VALUE"""),"")</f>
        <v/>
      </c>
      <c r="U1259" s="16" t="s">
        <v>87</v>
      </c>
      <c r="V1259" s="16" t="str">
        <f>IFERROR(__xludf.DUMMYFUNCTION("""COMPUTED_VALUE"""),"")</f>
        <v/>
      </c>
      <c r="W1259" s="16" t="str">
        <f>IFERROR(__xludf.DUMMYFUNCTION("""COMPUTED_VALUE"""),"")</f>
        <v/>
      </c>
      <c r="X1259" s="16" t="str">
        <f>IFERROR(__xludf.DUMMYFUNCTION("""COMPUTED_VALUE"""),"")</f>
        <v/>
      </c>
      <c r="AC1259" s="16" t="str">
        <f>IFERROR(__xludf.DUMMYFUNCTION("""COMPUTED_VALUE"""),"")</f>
        <v/>
      </c>
    </row>
    <row r="1260">
      <c r="A1260" s="16" t="s">
        <v>87</v>
      </c>
      <c r="E1260" s="16" t="str">
        <f>IFERROR(__xludf.DUMMYFUNCTION("""COMPUTED_VALUE"""),"")</f>
        <v/>
      </c>
      <c r="G1260" s="18"/>
      <c r="H1260" s="16" t="s">
        <v>87</v>
      </c>
      <c r="I1260" s="16" t="s">
        <v>87</v>
      </c>
      <c r="J1260" s="19"/>
      <c r="L1260" s="16" t="str">
        <f>IFERROR(__xludf.DUMMYFUNCTION("""COMPUTED_VALUE"""),"")</f>
        <v/>
      </c>
      <c r="M1260" s="16" t="str">
        <f>IFERROR(__xludf.DUMMYFUNCTION("""COMPUTED_VALUE"""),"")</f>
        <v/>
      </c>
      <c r="U1260" s="16" t="s">
        <v>87</v>
      </c>
      <c r="V1260" s="16" t="str">
        <f>IFERROR(__xludf.DUMMYFUNCTION("""COMPUTED_VALUE"""),"")</f>
        <v/>
      </c>
      <c r="W1260" s="16" t="str">
        <f>IFERROR(__xludf.DUMMYFUNCTION("""COMPUTED_VALUE"""),"")</f>
        <v/>
      </c>
      <c r="X1260" s="16" t="str">
        <f>IFERROR(__xludf.DUMMYFUNCTION("""COMPUTED_VALUE"""),"")</f>
        <v/>
      </c>
      <c r="AC1260" s="16" t="str">
        <f>IFERROR(__xludf.DUMMYFUNCTION("""COMPUTED_VALUE"""),"")</f>
        <v/>
      </c>
    </row>
    <row r="1261">
      <c r="A1261" s="16" t="s">
        <v>87</v>
      </c>
      <c r="E1261" s="16" t="str">
        <f>IFERROR(__xludf.DUMMYFUNCTION("""COMPUTED_VALUE"""),"")</f>
        <v/>
      </c>
      <c r="G1261" s="18"/>
      <c r="H1261" s="16" t="s">
        <v>87</v>
      </c>
      <c r="I1261" s="16" t="s">
        <v>87</v>
      </c>
      <c r="J1261" s="19"/>
      <c r="L1261" s="16" t="str">
        <f>IFERROR(__xludf.DUMMYFUNCTION("""COMPUTED_VALUE"""),"")</f>
        <v/>
      </c>
      <c r="M1261" s="16" t="str">
        <f>IFERROR(__xludf.DUMMYFUNCTION("""COMPUTED_VALUE"""),"")</f>
        <v/>
      </c>
      <c r="U1261" s="16" t="s">
        <v>87</v>
      </c>
      <c r="V1261" s="16" t="str">
        <f>IFERROR(__xludf.DUMMYFUNCTION("""COMPUTED_VALUE"""),"")</f>
        <v/>
      </c>
      <c r="W1261" s="16" t="str">
        <f>IFERROR(__xludf.DUMMYFUNCTION("""COMPUTED_VALUE"""),"")</f>
        <v/>
      </c>
      <c r="X1261" s="16" t="str">
        <f>IFERROR(__xludf.DUMMYFUNCTION("""COMPUTED_VALUE"""),"")</f>
        <v/>
      </c>
      <c r="AC1261" s="16" t="str">
        <f>IFERROR(__xludf.DUMMYFUNCTION("""COMPUTED_VALUE"""),"")</f>
        <v/>
      </c>
    </row>
    <row r="1262">
      <c r="A1262" s="16" t="s">
        <v>87</v>
      </c>
      <c r="E1262" s="16" t="str">
        <f>IFERROR(__xludf.DUMMYFUNCTION("""COMPUTED_VALUE"""),"")</f>
        <v/>
      </c>
      <c r="G1262" s="18"/>
      <c r="H1262" s="16" t="s">
        <v>87</v>
      </c>
      <c r="I1262" s="16" t="s">
        <v>87</v>
      </c>
      <c r="J1262" s="19"/>
      <c r="L1262" s="16" t="str">
        <f>IFERROR(__xludf.DUMMYFUNCTION("""COMPUTED_VALUE"""),"")</f>
        <v/>
      </c>
      <c r="M1262" s="16" t="str">
        <f>IFERROR(__xludf.DUMMYFUNCTION("""COMPUTED_VALUE"""),"")</f>
        <v/>
      </c>
      <c r="U1262" s="16" t="s">
        <v>87</v>
      </c>
      <c r="V1262" s="16" t="str">
        <f>IFERROR(__xludf.DUMMYFUNCTION("""COMPUTED_VALUE"""),"")</f>
        <v/>
      </c>
      <c r="W1262" s="16" t="str">
        <f>IFERROR(__xludf.DUMMYFUNCTION("""COMPUTED_VALUE"""),"")</f>
        <v/>
      </c>
      <c r="X1262" s="16" t="str">
        <f>IFERROR(__xludf.DUMMYFUNCTION("""COMPUTED_VALUE"""),"")</f>
        <v/>
      </c>
      <c r="AC1262" s="16" t="str">
        <f>IFERROR(__xludf.DUMMYFUNCTION("""COMPUTED_VALUE"""),"")</f>
        <v/>
      </c>
    </row>
    <row r="1263">
      <c r="A1263" s="16" t="s">
        <v>87</v>
      </c>
      <c r="E1263" s="16" t="str">
        <f>IFERROR(__xludf.DUMMYFUNCTION("""COMPUTED_VALUE"""),"")</f>
        <v/>
      </c>
      <c r="G1263" s="18"/>
      <c r="H1263" s="16" t="s">
        <v>87</v>
      </c>
      <c r="I1263" s="16" t="s">
        <v>87</v>
      </c>
      <c r="J1263" s="19"/>
      <c r="L1263" s="16" t="str">
        <f>IFERROR(__xludf.DUMMYFUNCTION("""COMPUTED_VALUE"""),"")</f>
        <v/>
      </c>
      <c r="M1263" s="16" t="str">
        <f>IFERROR(__xludf.DUMMYFUNCTION("""COMPUTED_VALUE"""),"")</f>
        <v/>
      </c>
      <c r="U1263" s="16" t="s">
        <v>87</v>
      </c>
      <c r="V1263" s="16" t="str">
        <f>IFERROR(__xludf.DUMMYFUNCTION("""COMPUTED_VALUE"""),"")</f>
        <v/>
      </c>
      <c r="W1263" s="16" t="str">
        <f>IFERROR(__xludf.DUMMYFUNCTION("""COMPUTED_VALUE"""),"")</f>
        <v/>
      </c>
      <c r="X1263" s="16" t="str">
        <f>IFERROR(__xludf.DUMMYFUNCTION("""COMPUTED_VALUE"""),"")</f>
        <v/>
      </c>
      <c r="AC1263" s="16" t="str">
        <f>IFERROR(__xludf.DUMMYFUNCTION("""COMPUTED_VALUE"""),"")</f>
        <v/>
      </c>
    </row>
    <row r="1264">
      <c r="A1264" s="16" t="s">
        <v>87</v>
      </c>
      <c r="E1264" s="16" t="str">
        <f>IFERROR(__xludf.DUMMYFUNCTION("""COMPUTED_VALUE"""),"")</f>
        <v/>
      </c>
      <c r="G1264" s="18"/>
      <c r="H1264" s="16" t="s">
        <v>87</v>
      </c>
      <c r="I1264" s="16" t="s">
        <v>87</v>
      </c>
      <c r="J1264" s="19"/>
      <c r="L1264" s="16" t="str">
        <f>IFERROR(__xludf.DUMMYFUNCTION("""COMPUTED_VALUE"""),"")</f>
        <v/>
      </c>
      <c r="M1264" s="16" t="str">
        <f>IFERROR(__xludf.DUMMYFUNCTION("""COMPUTED_VALUE"""),"")</f>
        <v/>
      </c>
      <c r="U1264" s="16" t="s">
        <v>87</v>
      </c>
      <c r="V1264" s="16" t="str">
        <f>IFERROR(__xludf.DUMMYFUNCTION("""COMPUTED_VALUE"""),"")</f>
        <v/>
      </c>
      <c r="W1264" s="16" t="str">
        <f>IFERROR(__xludf.DUMMYFUNCTION("""COMPUTED_VALUE"""),"")</f>
        <v/>
      </c>
      <c r="X1264" s="16" t="str">
        <f>IFERROR(__xludf.DUMMYFUNCTION("""COMPUTED_VALUE"""),"")</f>
        <v/>
      </c>
      <c r="AC1264" s="16" t="str">
        <f>IFERROR(__xludf.DUMMYFUNCTION("""COMPUTED_VALUE"""),"")</f>
        <v/>
      </c>
    </row>
    <row r="1265">
      <c r="A1265" s="16" t="s">
        <v>87</v>
      </c>
      <c r="E1265" s="16" t="str">
        <f>IFERROR(__xludf.DUMMYFUNCTION("""COMPUTED_VALUE"""),"")</f>
        <v/>
      </c>
      <c r="G1265" s="18"/>
      <c r="H1265" s="16" t="s">
        <v>87</v>
      </c>
      <c r="I1265" s="16" t="s">
        <v>87</v>
      </c>
      <c r="J1265" s="19"/>
      <c r="L1265" s="16" t="str">
        <f>IFERROR(__xludf.DUMMYFUNCTION("""COMPUTED_VALUE"""),"")</f>
        <v/>
      </c>
      <c r="M1265" s="16" t="str">
        <f>IFERROR(__xludf.DUMMYFUNCTION("""COMPUTED_VALUE"""),"")</f>
        <v/>
      </c>
      <c r="U1265" s="16" t="s">
        <v>87</v>
      </c>
      <c r="V1265" s="16" t="str">
        <f>IFERROR(__xludf.DUMMYFUNCTION("""COMPUTED_VALUE"""),"")</f>
        <v/>
      </c>
      <c r="W1265" s="16" t="str">
        <f>IFERROR(__xludf.DUMMYFUNCTION("""COMPUTED_VALUE"""),"")</f>
        <v/>
      </c>
      <c r="X1265" s="16" t="str">
        <f>IFERROR(__xludf.DUMMYFUNCTION("""COMPUTED_VALUE"""),"")</f>
        <v/>
      </c>
      <c r="AC1265" s="16" t="str">
        <f>IFERROR(__xludf.DUMMYFUNCTION("""COMPUTED_VALUE"""),"")</f>
        <v/>
      </c>
    </row>
    <row r="1266">
      <c r="A1266" s="16" t="s">
        <v>87</v>
      </c>
      <c r="E1266" s="16" t="str">
        <f>IFERROR(__xludf.DUMMYFUNCTION("""COMPUTED_VALUE"""),"")</f>
        <v/>
      </c>
      <c r="G1266" s="18"/>
      <c r="H1266" s="16" t="s">
        <v>87</v>
      </c>
      <c r="I1266" s="16" t="s">
        <v>87</v>
      </c>
      <c r="J1266" s="19"/>
      <c r="L1266" s="16" t="str">
        <f>IFERROR(__xludf.DUMMYFUNCTION("""COMPUTED_VALUE"""),"")</f>
        <v/>
      </c>
      <c r="M1266" s="16" t="str">
        <f>IFERROR(__xludf.DUMMYFUNCTION("""COMPUTED_VALUE"""),"")</f>
        <v/>
      </c>
      <c r="U1266" s="16" t="s">
        <v>87</v>
      </c>
      <c r="V1266" s="16" t="str">
        <f>IFERROR(__xludf.DUMMYFUNCTION("""COMPUTED_VALUE"""),"")</f>
        <v/>
      </c>
      <c r="W1266" s="16" t="str">
        <f>IFERROR(__xludf.DUMMYFUNCTION("""COMPUTED_VALUE"""),"")</f>
        <v/>
      </c>
      <c r="X1266" s="16" t="str">
        <f>IFERROR(__xludf.DUMMYFUNCTION("""COMPUTED_VALUE"""),"")</f>
        <v/>
      </c>
      <c r="AC1266" s="16" t="str">
        <f>IFERROR(__xludf.DUMMYFUNCTION("""COMPUTED_VALUE"""),"")</f>
        <v/>
      </c>
    </row>
    <row r="1267">
      <c r="A1267" s="16" t="s">
        <v>87</v>
      </c>
      <c r="E1267" s="16" t="str">
        <f>IFERROR(__xludf.DUMMYFUNCTION("""COMPUTED_VALUE"""),"")</f>
        <v/>
      </c>
      <c r="G1267" s="18"/>
      <c r="H1267" s="16" t="s">
        <v>87</v>
      </c>
      <c r="I1267" s="16" t="s">
        <v>87</v>
      </c>
      <c r="J1267" s="19"/>
      <c r="L1267" s="16" t="str">
        <f>IFERROR(__xludf.DUMMYFUNCTION("""COMPUTED_VALUE"""),"")</f>
        <v/>
      </c>
      <c r="M1267" s="16" t="str">
        <f>IFERROR(__xludf.DUMMYFUNCTION("""COMPUTED_VALUE"""),"")</f>
        <v/>
      </c>
      <c r="U1267" s="16" t="s">
        <v>87</v>
      </c>
      <c r="V1267" s="16" t="str">
        <f>IFERROR(__xludf.DUMMYFUNCTION("""COMPUTED_VALUE"""),"")</f>
        <v/>
      </c>
      <c r="W1267" s="16" t="str">
        <f>IFERROR(__xludf.DUMMYFUNCTION("""COMPUTED_VALUE"""),"")</f>
        <v/>
      </c>
      <c r="X1267" s="16" t="str">
        <f>IFERROR(__xludf.DUMMYFUNCTION("""COMPUTED_VALUE"""),"")</f>
        <v/>
      </c>
      <c r="AC1267" s="16" t="str">
        <f>IFERROR(__xludf.DUMMYFUNCTION("""COMPUTED_VALUE"""),"")</f>
        <v/>
      </c>
    </row>
    <row r="1268">
      <c r="A1268" s="16" t="s">
        <v>87</v>
      </c>
      <c r="E1268" s="16" t="str">
        <f>IFERROR(__xludf.DUMMYFUNCTION("""COMPUTED_VALUE"""),"")</f>
        <v/>
      </c>
      <c r="G1268" s="18"/>
      <c r="H1268" s="16" t="s">
        <v>87</v>
      </c>
      <c r="I1268" s="16" t="s">
        <v>87</v>
      </c>
      <c r="J1268" s="19"/>
      <c r="L1268" s="16" t="str">
        <f>IFERROR(__xludf.DUMMYFUNCTION("""COMPUTED_VALUE"""),"")</f>
        <v/>
      </c>
      <c r="M1268" s="16" t="str">
        <f>IFERROR(__xludf.DUMMYFUNCTION("""COMPUTED_VALUE"""),"")</f>
        <v/>
      </c>
      <c r="U1268" s="16" t="s">
        <v>87</v>
      </c>
      <c r="V1268" s="16" t="str">
        <f>IFERROR(__xludf.DUMMYFUNCTION("""COMPUTED_VALUE"""),"")</f>
        <v/>
      </c>
      <c r="W1268" s="16" t="str">
        <f>IFERROR(__xludf.DUMMYFUNCTION("""COMPUTED_VALUE"""),"")</f>
        <v/>
      </c>
      <c r="X1268" s="16" t="str">
        <f>IFERROR(__xludf.DUMMYFUNCTION("""COMPUTED_VALUE"""),"")</f>
        <v/>
      </c>
      <c r="AC1268" s="16" t="str">
        <f>IFERROR(__xludf.DUMMYFUNCTION("""COMPUTED_VALUE"""),"")</f>
        <v/>
      </c>
    </row>
    <row r="1269">
      <c r="A1269" s="16" t="s">
        <v>87</v>
      </c>
      <c r="E1269" s="16" t="str">
        <f>IFERROR(__xludf.DUMMYFUNCTION("""COMPUTED_VALUE"""),"")</f>
        <v/>
      </c>
      <c r="G1269" s="18"/>
      <c r="H1269" s="16" t="s">
        <v>87</v>
      </c>
      <c r="I1269" s="16" t="s">
        <v>87</v>
      </c>
      <c r="J1269" s="19"/>
      <c r="L1269" s="16" t="str">
        <f>IFERROR(__xludf.DUMMYFUNCTION("""COMPUTED_VALUE"""),"")</f>
        <v/>
      </c>
      <c r="M1269" s="16" t="str">
        <f>IFERROR(__xludf.DUMMYFUNCTION("""COMPUTED_VALUE"""),"")</f>
        <v/>
      </c>
      <c r="U1269" s="16" t="s">
        <v>87</v>
      </c>
      <c r="V1269" s="16" t="str">
        <f>IFERROR(__xludf.DUMMYFUNCTION("""COMPUTED_VALUE"""),"")</f>
        <v/>
      </c>
      <c r="W1269" s="16" t="str">
        <f>IFERROR(__xludf.DUMMYFUNCTION("""COMPUTED_VALUE"""),"")</f>
        <v/>
      </c>
      <c r="X1269" s="16" t="str">
        <f>IFERROR(__xludf.DUMMYFUNCTION("""COMPUTED_VALUE"""),"")</f>
        <v/>
      </c>
      <c r="AC1269" s="16" t="str">
        <f>IFERROR(__xludf.DUMMYFUNCTION("""COMPUTED_VALUE"""),"")</f>
        <v/>
      </c>
    </row>
    <row r="1270">
      <c r="A1270" s="16" t="s">
        <v>87</v>
      </c>
      <c r="E1270" s="16" t="str">
        <f>IFERROR(__xludf.DUMMYFUNCTION("""COMPUTED_VALUE"""),"")</f>
        <v/>
      </c>
      <c r="G1270" s="18"/>
      <c r="H1270" s="16" t="s">
        <v>87</v>
      </c>
      <c r="I1270" s="16" t="s">
        <v>87</v>
      </c>
      <c r="J1270" s="19"/>
      <c r="L1270" s="16" t="str">
        <f>IFERROR(__xludf.DUMMYFUNCTION("""COMPUTED_VALUE"""),"")</f>
        <v/>
      </c>
      <c r="M1270" s="16" t="str">
        <f>IFERROR(__xludf.DUMMYFUNCTION("""COMPUTED_VALUE"""),"")</f>
        <v/>
      </c>
      <c r="U1270" s="16" t="s">
        <v>87</v>
      </c>
      <c r="V1270" s="16" t="str">
        <f>IFERROR(__xludf.DUMMYFUNCTION("""COMPUTED_VALUE"""),"")</f>
        <v/>
      </c>
      <c r="W1270" s="16" t="str">
        <f>IFERROR(__xludf.DUMMYFUNCTION("""COMPUTED_VALUE"""),"")</f>
        <v/>
      </c>
      <c r="X1270" s="16" t="str">
        <f>IFERROR(__xludf.DUMMYFUNCTION("""COMPUTED_VALUE"""),"")</f>
        <v/>
      </c>
      <c r="AC1270" s="16" t="str">
        <f>IFERROR(__xludf.DUMMYFUNCTION("""COMPUTED_VALUE"""),"")</f>
        <v/>
      </c>
    </row>
    <row r="1271">
      <c r="A1271" s="16" t="s">
        <v>87</v>
      </c>
      <c r="E1271" s="16" t="str">
        <f>IFERROR(__xludf.DUMMYFUNCTION("""COMPUTED_VALUE"""),"")</f>
        <v/>
      </c>
      <c r="G1271" s="18"/>
      <c r="H1271" s="16" t="s">
        <v>87</v>
      </c>
      <c r="I1271" s="16" t="s">
        <v>87</v>
      </c>
      <c r="J1271" s="19"/>
      <c r="L1271" s="16" t="str">
        <f>IFERROR(__xludf.DUMMYFUNCTION("""COMPUTED_VALUE"""),"")</f>
        <v/>
      </c>
      <c r="M1271" s="16" t="str">
        <f>IFERROR(__xludf.DUMMYFUNCTION("""COMPUTED_VALUE"""),"")</f>
        <v/>
      </c>
      <c r="U1271" s="16" t="s">
        <v>87</v>
      </c>
      <c r="V1271" s="16" t="str">
        <f>IFERROR(__xludf.DUMMYFUNCTION("""COMPUTED_VALUE"""),"")</f>
        <v/>
      </c>
      <c r="W1271" s="16" t="str">
        <f>IFERROR(__xludf.DUMMYFUNCTION("""COMPUTED_VALUE"""),"")</f>
        <v/>
      </c>
      <c r="X1271" s="16" t="str">
        <f>IFERROR(__xludf.DUMMYFUNCTION("""COMPUTED_VALUE"""),"")</f>
        <v/>
      </c>
      <c r="AC1271" s="16" t="str">
        <f>IFERROR(__xludf.DUMMYFUNCTION("""COMPUTED_VALUE"""),"")</f>
        <v/>
      </c>
    </row>
    <row r="1272">
      <c r="A1272" s="16" t="s">
        <v>87</v>
      </c>
      <c r="E1272" s="16" t="str">
        <f>IFERROR(__xludf.DUMMYFUNCTION("""COMPUTED_VALUE"""),"")</f>
        <v/>
      </c>
      <c r="G1272" s="18"/>
      <c r="H1272" s="16" t="s">
        <v>87</v>
      </c>
      <c r="I1272" s="16" t="s">
        <v>87</v>
      </c>
      <c r="J1272" s="19"/>
      <c r="L1272" s="16" t="str">
        <f>IFERROR(__xludf.DUMMYFUNCTION("""COMPUTED_VALUE"""),"")</f>
        <v/>
      </c>
      <c r="M1272" s="16" t="str">
        <f>IFERROR(__xludf.DUMMYFUNCTION("""COMPUTED_VALUE"""),"")</f>
        <v/>
      </c>
      <c r="U1272" s="16" t="s">
        <v>87</v>
      </c>
      <c r="V1272" s="16" t="str">
        <f>IFERROR(__xludf.DUMMYFUNCTION("""COMPUTED_VALUE"""),"")</f>
        <v/>
      </c>
      <c r="W1272" s="16" t="str">
        <f>IFERROR(__xludf.DUMMYFUNCTION("""COMPUTED_VALUE"""),"")</f>
        <v/>
      </c>
      <c r="X1272" s="16" t="str">
        <f>IFERROR(__xludf.DUMMYFUNCTION("""COMPUTED_VALUE"""),"")</f>
        <v/>
      </c>
      <c r="AC1272" s="16" t="str">
        <f>IFERROR(__xludf.DUMMYFUNCTION("""COMPUTED_VALUE"""),"")</f>
        <v/>
      </c>
    </row>
    <row r="1273">
      <c r="A1273" s="16" t="s">
        <v>87</v>
      </c>
      <c r="E1273" s="16" t="str">
        <f>IFERROR(__xludf.DUMMYFUNCTION("""COMPUTED_VALUE"""),"")</f>
        <v/>
      </c>
      <c r="G1273" s="18"/>
      <c r="H1273" s="16" t="s">
        <v>87</v>
      </c>
      <c r="I1273" s="16" t="s">
        <v>87</v>
      </c>
      <c r="J1273" s="19"/>
      <c r="L1273" s="16" t="str">
        <f>IFERROR(__xludf.DUMMYFUNCTION("""COMPUTED_VALUE"""),"")</f>
        <v/>
      </c>
      <c r="M1273" s="16" t="str">
        <f>IFERROR(__xludf.DUMMYFUNCTION("""COMPUTED_VALUE"""),"")</f>
        <v/>
      </c>
      <c r="U1273" s="16" t="s">
        <v>87</v>
      </c>
      <c r="V1273" s="16" t="str">
        <f>IFERROR(__xludf.DUMMYFUNCTION("""COMPUTED_VALUE"""),"")</f>
        <v/>
      </c>
      <c r="W1273" s="16" t="str">
        <f>IFERROR(__xludf.DUMMYFUNCTION("""COMPUTED_VALUE"""),"")</f>
        <v/>
      </c>
      <c r="X1273" s="16" t="str">
        <f>IFERROR(__xludf.DUMMYFUNCTION("""COMPUTED_VALUE"""),"")</f>
        <v/>
      </c>
      <c r="AC1273" s="16" t="str">
        <f>IFERROR(__xludf.DUMMYFUNCTION("""COMPUTED_VALUE"""),"")</f>
        <v/>
      </c>
    </row>
    <row r="1274">
      <c r="A1274" s="16" t="s">
        <v>87</v>
      </c>
      <c r="E1274" s="16" t="str">
        <f>IFERROR(__xludf.DUMMYFUNCTION("""COMPUTED_VALUE"""),"")</f>
        <v/>
      </c>
      <c r="G1274" s="18"/>
      <c r="H1274" s="16" t="s">
        <v>87</v>
      </c>
      <c r="I1274" s="16" t="s">
        <v>87</v>
      </c>
      <c r="J1274" s="19"/>
      <c r="L1274" s="16" t="str">
        <f>IFERROR(__xludf.DUMMYFUNCTION("""COMPUTED_VALUE"""),"")</f>
        <v/>
      </c>
      <c r="M1274" s="16" t="str">
        <f>IFERROR(__xludf.DUMMYFUNCTION("""COMPUTED_VALUE"""),"")</f>
        <v/>
      </c>
      <c r="U1274" s="16" t="s">
        <v>87</v>
      </c>
      <c r="V1274" s="16" t="str">
        <f>IFERROR(__xludf.DUMMYFUNCTION("""COMPUTED_VALUE"""),"")</f>
        <v/>
      </c>
      <c r="W1274" s="16" t="str">
        <f>IFERROR(__xludf.DUMMYFUNCTION("""COMPUTED_VALUE"""),"")</f>
        <v/>
      </c>
      <c r="X1274" s="16" t="str">
        <f>IFERROR(__xludf.DUMMYFUNCTION("""COMPUTED_VALUE"""),"")</f>
        <v/>
      </c>
      <c r="AC1274" s="16" t="str">
        <f>IFERROR(__xludf.DUMMYFUNCTION("""COMPUTED_VALUE"""),"")</f>
        <v/>
      </c>
    </row>
    <row r="1275">
      <c r="A1275" s="16" t="s">
        <v>87</v>
      </c>
      <c r="E1275" s="16" t="str">
        <f>IFERROR(__xludf.DUMMYFUNCTION("""COMPUTED_VALUE"""),"")</f>
        <v/>
      </c>
      <c r="G1275" s="18"/>
      <c r="H1275" s="16" t="s">
        <v>87</v>
      </c>
      <c r="I1275" s="16" t="s">
        <v>87</v>
      </c>
      <c r="J1275" s="19"/>
      <c r="L1275" s="16" t="str">
        <f>IFERROR(__xludf.DUMMYFUNCTION("""COMPUTED_VALUE"""),"")</f>
        <v/>
      </c>
      <c r="M1275" s="16" t="str">
        <f>IFERROR(__xludf.DUMMYFUNCTION("""COMPUTED_VALUE"""),"")</f>
        <v/>
      </c>
      <c r="U1275" s="16" t="s">
        <v>87</v>
      </c>
      <c r="V1275" s="16" t="str">
        <f>IFERROR(__xludf.DUMMYFUNCTION("""COMPUTED_VALUE"""),"")</f>
        <v/>
      </c>
      <c r="W1275" s="16" t="str">
        <f>IFERROR(__xludf.DUMMYFUNCTION("""COMPUTED_VALUE"""),"")</f>
        <v/>
      </c>
      <c r="X1275" s="16" t="str">
        <f>IFERROR(__xludf.DUMMYFUNCTION("""COMPUTED_VALUE"""),"")</f>
        <v/>
      </c>
      <c r="AC1275" s="16" t="str">
        <f>IFERROR(__xludf.DUMMYFUNCTION("""COMPUTED_VALUE"""),"")</f>
        <v/>
      </c>
    </row>
    <row r="1276">
      <c r="A1276" s="16" t="s">
        <v>87</v>
      </c>
      <c r="E1276" s="16" t="str">
        <f>IFERROR(__xludf.DUMMYFUNCTION("""COMPUTED_VALUE"""),"")</f>
        <v/>
      </c>
      <c r="G1276" s="18"/>
      <c r="H1276" s="16" t="s">
        <v>87</v>
      </c>
      <c r="I1276" s="16" t="s">
        <v>87</v>
      </c>
      <c r="J1276" s="19"/>
      <c r="L1276" s="16" t="str">
        <f>IFERROR(__xludf.DUMMYFUNCTION("""COMPUTED_VALUE"""),"")</f>
        <v/>
      </c>
      <c r="M1276" s="16" t="str">
        <f>IFERROR(__xludf.DUMMYFUNCTION("""COMPUTED_VALUE"""),"")</f>
        <v/>
      </c>
      <c r="U1276" s="16" t="s">
        <v>87</v>
      </c>
      <c r="V1276" s="16" t="str">
        <f>IFERROR(__xludf.DUMMYFUNCTION("""COMPUTED_VALUE"""),"")</f>
        <v/>
      </c>
      <c r="W1276" s="16" t="str">
        <f>IFERROR(__xludf.DUMMYFUNCTION("""COMPUTED_VALUE"""),"")</f>
        <v/>
      </c>
      <c r="X1276" s="16" t="str">
        <f>IFERROR(__xludf.DUMMYFUNCTION("""COMPUTED_VALUE"""),"")</f>
        <v/>
      </c>
      <c r="AC1276" s="16" t="str">
        <f>IFERROR(__xludf.DUMMYFUNCTION("""COMPUTED_VALUE"""),"")</f>
        <v/>
      </c>
    </row>
    <row r="1277">
      <c r="A1277" s="16" t="s">
        <v>87</v>
      </c>
      <c r="E1277" s="16" t="str">
        <f>IFERROR(__xludf.DUMMYFUNCTION("""COMPUTED_VALUE"""),"")</f>
        <v/>
      </c>
      <c r="G1277" s="18"/>
      <c r="H1277" s="16" t="s">
        <v>87</v>
      </c>
      <c r="I1277" s="16" t="s">
        <v>87</v>
      </c>
      <c r="J1277" s="19"/>
      <c r="L1277" s="16" t="str">
        <f>IFERROR(__xludf.DUMMYFUNCTION("""COMPUTED_VALUE"""),"")</f>
        <v/>
      </c>
      <c r="M1277" s="16" t="str">
        <f>IFERROR(__xludf.DUMMYFUNCTION("""COMPUTED_VALUE"""),"")</f>
        <v/>
      </c>
      <c r="U1277" s="16" t="s">
        <v>87</v>
      </c>
      <c r="V1277" s="16" t="str">
        <f>IFERROR(__xludf.DUMMYFUNCTION("""COMPUTED_VALUE"""),"")</f>
        <v/>
      </c>
      <c r="W1277" s="16" t="str">
        <f>IFERROR(__xludf.DUMMYFUNCTION("""COMPUTED_VALUE"""),"")</f>
        <v/>
      </c>
      <c r="X1277" s="16" t="str">
        <f>IFERROR(__xludf.DUMMYFUNCTION("""COMPUTED_VALUE"""),"")</f>
        <v/>
      </c>
      <c r="AC1277" s="16" t="str">
        <f>IFERROR(__xludf.DUMMYFUNCTION("""COMPUTED_VALUE"""),"")</f>
        <v/>
      </c>
    </row>
    <row r="1278">
      <c r="A1278" s="16" t="s">
        <v>87</v>
      </c>
      <c r="E1278" s="16" t="str">
        <f>IFERROR(__xludf.DUMMYFUNCTION("""COMPUTED_VALUE"""),"")</f>
        <v/>
      </c>
      <c r="G1278" s="18"/>
      <c r="H1278" s="16" t="s">
        <v>87</v>
      </c>
      <c r="I1278" s="16" t="s">
        <v>87</v>
      </c>
      <c r="J1278" s="19"/>
      <c r="L1278" s="16" t="str">
        <f>IFERROR(__xludf.DUMMYFUNCTION("""COMPUTED_VALUE"""),"")</f>
        <v/>
      </c>
      <c r="M1278" s="16" t="str">
        <f>IFERROR(__xludf.DUMMYFUNCTION("""COMPUTED_VALUE"""),"")</f>
        <v/>
      </c>
      <c r="U1278" s="16" t="s">
        <v>87</v>
      </c>
      <c r="V1278" s="16" t="str">
        <f>IFERROR(__xludf.DUMMYFUNCTION("""COMPUTED_VALUE"""),"")</f>
        <v/>
      </c>
      <c r="W1278" s="16" t="str">
        <f>IFERROR(__xludf.DUMMYFUNCTION("""COMPUTED_VALUE"""),"")</f>
        <v/>
      </c>
      <c r="X1278" s="16" t="str">
        <f>IFERROR(__xludf.DUMMYFUNCTION("""COMPUTED_VALUE"""),"")</f>
        <v/>
      </c>
      <c r="AC1278" s="16" t="str">
        <f>IFERROR(__xludf.DUMMYFUNCTION("""COMPUTED_VALUE"""),"")</f>
        <v/>
      </c>
    </row>
    <row r="1279">
      <c r="A1279" s="16" t="s">
        <v>87</v>
      </c>
      <c r="E1279" s="16" t="str">
        <f>IFERROR(__xludf.DUMMYFUNCTION("""COMPUTED_VALUE"""),"")</f>
        <v/>
      </c>
      <c r="G1279" s="18"/>
      <c r="H1279" s="16" t="s">
        <v>87</v>
      </c>
      <c r="I1279" s="16" t="s">
        <v>87</v>
      </c>
      <c r="J1279" s="19"/>
      <c r="L1279" s="16" t="str">
        <f>IFERROR(__xludf.DUMMYFUNCTION("""COMPUTED_VALUE"""),"")</f>
        <v/>
      </c>
      <c r="M1279" s="16" t="str">
        <f>IFERROR(__xludf.DUMMYFUNCTION("""COMPUTED_VALUE"""),"")</f>
        <v/>
      </c>
      <c r="U1279" s="16" t="s">
        <v>87</v>
      </c>
      <c r="V1279" s="16" t="str">
        <f>IFERROR(__xludf.DUMMYFUNCTION("""COMPUTED_VALUE"""),"")</f>
        <v/>
      </c>
      <c r="W1279" s="16" t="str">
        <f>IFERROR(__xludf.DUMMYFUNCTION("""COMPUTED_VALUE"""),"")</f>
        <v/>
      </c>
      <c r="X1279" s="16" t="str">
        <f>IFERROR(__xludf.DUMMYFUNCTION("""COMPUTED_VALUE"""),"")</f>
        <v/>
      </c>
      <c r="AC1279" s="16" t="str">
        <f>IFERROR(__xludf.DUMMYFUNCTION("""COMPUTED_VALUE"""),"")</f>
        <v/>
      </c>
    </row>
    <row r="1280">
      <c r="A1280" s="16" t="s">
        <v>87</v>
      </c>
      <c r="E1280" s="16" t="str">
        <f>IFERROR(__xludf.DUMMYFUNCTION("""COMPUTED_VALUE"""),"")</f>
        <v/>
      </c>
      <c r="G1280" s="18"/>
      <c r="H1280" s="16" t="s">
        <v>87</v>
      </c>
      <c r="I1280" s="16" t="s">
        <v>87</v>
      </c>
      <c r="J1280" s="19"/>
      <c r="L1280" s="16" t="str">
        <f>IFERROR(__xludf.DUMMYFUNCTION("""COMPUTED_VALUE"""),"")</f>
        <v/>
      </c>
      <c r="M1280" s="16" t="str">
        <f>IFERROR(__xludf.DUMMYFUNCTION("""COMPUTED_VALUE"""),"")</f>
        <v/>
      </c>
      <c r="U1280" s="16" t="s">
        <v>87</v>
      </c>
      <c r="V1280" s="16" t="str">
        <f>IFERROR(__xludf.DUMMYFUNCTION("""COMPUTED_VALUE"""),"")</f>
        <v/>
      </c>
      <c r="W1280" s="16" t="str">
        <f>IFERROR(__xludf.DUMMYFUNCTION("""COMPUTED_VALUE"""),"")</f>
        <v/>
      </c>
      <c r="X1280" s="16" t="str">
        <f>IFERROR(__xludf.DUMMYFUNCTION("""COMPUTED_VALUE"""),"")</f>
        <v/>
      </c>
      <c r="AC1280" s="16" t="str">
        <f>IFERROR(__xludf.DUMMYFUNCTION("""COMPUTED_VALUE"""),"")</f>
        <v/>
      </c>
    </row>
    <row r="1281">
      <c r="A1281" s="16" t="s">
        <v>87</v>
      </c>
      <c r="E1281" s="16" t="str">
        <f>IFERROR(__xludf.DUMMYFUNCTION("""COMPUTED_VALUE"""),"")</f>
        <v/>
      </c>
      <c r="G1281" s="18"/>
      <c r="H1281" s="16" t="s">
        <v>87</v>
      </c>
      <c r="I1281" s="16" t="s">
        <v>87</v>
      </c>
      <c r="J1281" s="19"/>
      <c r="L1281" s="16" t="str">
        <f>IFERROR(__xludf.DUMMYFUNCTION("""COMPUTED_VALUE"""),"")</f>
        <v/>
      </c>
      <c r="M1281" s="16" t="str">
        <f>IFERROR(__xludf.DUMMYFUNCTION("""COMPUTED_VALUE"""),"")</f>
        <v/>
      </c>
      <c r="U1281" s="16" t="s">
        <v>87</v>
      </c>
      <c r="V1281" s="16" t="str">
        <f>IFERROR(__xludf.DUMMYFUNCTION("""COMPUTED_VALUE"""),"")</f>
        <v/>
      </c>
      <c r="W1281" s="16" t="str">
        <f>IFERROR(__xludf.DUMMYFUNCTION("""COMPUTED_VALUE"""),"")</f>
        <v/>
      </c>
      <c r="X1281" s="16" t="str">
        <f>IFERROR(__xludf.DUMMYFUNCTION("""COMPUTED_VALUE"""),"")</f>
        <v/>
      </c>
      <c r="AC1281" s="16" t="str">
        <f>IFERROR(__xludf.DUMMYFUNCTION("""COMPUTED_VALUE"""),"")</f>
        <v/>
      </c>
    </row>
    <row r="1282">
      <c r="A1282" s="16" t="s">
        <v>87</v>
      </c>
      <c r="E1282" s="16" t="str">
        <f>IFERROR(__xludf.DUMMYFUNCTION("""COMPUTED_VALUE"""),"")</f>
        <v/>
      </c>
      <c r="G1282" s="18"/>
      <c r="H1282" s="16" t="s">
        <v>87</v>
      </c>
      <c r="I1282" s="16" t="s">
        <v>87</v>
      </c>
      <c r="J1282" s="19"/>
      <c r="L1282" s="16" t="str">
        <f>IFERROR(__xludf.DUMMYFUNCTION("""COMPUTED_VALUE"""),"")</f>
        <v/>
      </c>
      <c r="M1282" s="16" t="str">
        <f>IFERROR(__xludf.DUMMYFUNCTION("""COMPUTED_VALUE"""),"")</f>
        <v/>
      </c>
      <c r="U1282" s="16" t="s">
        <v>87</v>
      </c>
      <c r="V1282" s="16" t="str">
        <f>IFERROR(__xludf.DUMMYFUNCTION("""COMPUTED_VALUE"""),"")</f>
        <v/>
      </c>
      <c r="W1282" s="16" t="str">
        <f>IFERROR(__xludf.DUMMYFUNCTION("""COMPUTED_VALUE"""),"")</f>
        <v/>
      </c>
      <c r="X1282" s="16" t="str">
        <f>IFERROR(__xludf.DUMMYFUNCTION("""COMPUTED_VALUE"""),"")</f>
        <v/>
      </c>
      <c r="AC1282" s="16" t="str">
        <f>IFERROR(__xludf.DUMMYFUNCTION("""COMPUTED_VALUE"""),"")</f>
        <v/>
      </c>
    </row>
    <row r="1283">
      <c r="A1283" s="16" t="s">
        <v>87</v>
      </c>
      <c r="E1283" s="16" t="str">
        <f>IFERROR(__xludf.DUMMYFUNCTION("""COMPUTED_VALUE"""),"")</f>
        <v/>
      </c>
      <c r="G1283" s="18"/>
      <c r="H1283" s="16" t="s">
        <v>87</v>
      </c>
      <c r="I1283" s="16" t="s">
        <v>87</v>
      </c>
      <c r="J1283" s="19"/>
      <c r="L1283" s="16" t="str">
        <f>IFERROR(__xludf.DUMMYFUNCTION("""COMPUTED_VALUE"""),"")</f>
        <v/>
      </c>
      <c r="M1283" s="16" t="str">
        <f>IFERROR(__xludf.DUMMYFUNCTION("""COMPUTED_VALUE"""),"")</f>
        <v/>
      </c>
      <c r="U1283" s="16" t="s">
        <v>87</v>
      </c>
      <c r="V1283" s="16" t="str">
        <f>IFERROR(__xludf.DUMMYFUNCTION("""COMPUTED_VALUE"""),"")</f>
        <v/>
      </c>
      <c r="W1283" s="16" t="str">
        <f>IFERROR(__xludf.DUMMYFUNCTION("""COMPUTED_VALUE"""),"")</f>
        <v/>
      </c>
      <c r="X1283" s="16" t="str">
        <f>IFERROR(__xludf.DUMMYFUNCTION("""COMPUTED_VALUE"""),"")</f>
        <v/>
      </c>
      <c r="AC1283" s="16" t="str">
        <f>IFERROR(__xludf.DUMMYFUNCTION("""COMPUTED_VALUE"""),"")</f>
        <v/>
      </c>
    </row>
    <row r="1284">
      <c r="A1284" s="16" t="s">
        <v>87</v>
      </c>
      <c r="E1284" s="16" t="str">
        <f>IFERROR(__xludf.DUMMYFUNCTION("""COMPUTED_VALUE"""),"")</f>
        <v/>
      </c>
      <c r="G1284" s="18"/>
      <c r="H1284" s="16" t="s">
        <v>87</v>
      </c>
      <c r="I1284" s="16" t="s">
        <v>87</v>
      </c>
      <c r="J1284" s="19"/>
      <c r="L1284" s="16" t="str">
        <f>IFERROR(__xludf.DUMMYFUNCTION("""COMPUTED_VALUE"""),"")</f>
        <v/>
      </c>
      <c r="M1284" s="16" t="str">
        <f>IFERROR(__xludf.DUMMYFUNCTION("""COMPUTED_VALUE"""),"")</f>
        <v/>
      </c>
      <c r="U1284" s="16" t="s">
        <v>87</v>
      </c>
      <c r="V1284" s="16" t="str">
        <f>IFERROR(__xludf.DUMMYFUNCTION("""COMPUTED_VALUE"""),"")</f>
        <v/>
      </c>
      <c r="W1284" s="16" t="str">
        <f>IFERROR(__xludf.DUMMYFUNCTION("""COMPUTED_VALUE"""),"")</f>
        <v/>
      </c>
      <c r="X1284" s="16" t="str">
        <f>IFERROR(__xludf.DUMMYFUNCTION("""COMPUTED_VALUE"""),"")</f>
        <v/>
      </c>
      <c r="AC1284" s="16" t="str">
        <f>IFERROR(__xludf.DUMMYFUNCTION("""COMPUTED_VALUE"""),"")</f>
        <v/>
      </c>
    </row>
    <row r="1285">
      <c r="A1285" s="16" t="s">
        <v>87</v>
      </c>
      <c r="E1285" s="16" t="str">
        <f>IFERROR(__xludf.DUMMYFUNCTION("""COMPUTED_VALUE"""),"")</f>
        <v/>
      </c>
      <c r="G1285" s="18"/>
      <c r="H1285" s="16" t="s">
        <v>87</v>
      </c>
      <c r="I1285" s="16" t="s">
        <v>87</v>
      </c>
      <c r="J1285" s="19"/>
      <c r="L1285" s="16" t="str">
        <f>IFERROR(__xludf.DUMMYFUNCTION("""COMPUTED_VALUE"""),"")</f>
        <v/>
      </c>
      <c r="M1285" s="16" t="str">
        <f>IFERROR(__xludf.DUMMYFUNCTION("""COMPUTED_VALUE"""),"")</f>
        <v/>
      </c>
      <c r="U1285" s="16" t="s">
        <v>87</v>
      </c>
      <c r="V1285" s="16" t="str">
        <f>IFERROR(__xludf.DUMMYFUNCTION("""COMPUTED_VALUE"""),"")</f>
        <v/>
      </c>
      <c r="W1285" s="16" t="str">
        <f>IFERROR(__xludf.DUMMYFUNCTION("""COMPUTED_VALUE"""),"")</f>
        <v/>
      </c>
      <c r="X1285" s="16" t="str">
        <f>IFERROR(__xludf.DUMMYFUNCTION("""COMPUTED_VALUE"""),"")</f>
        <v/>
      </c>
      <c r="AC1285" s="16" t="str">
        <f>IFERROR(__xludf.DUMMYFUNCTION("""COMPUTED_VALUE"""),"")</f>
        <v/>
      </c>
    </row>
    <row r="1286">
      <c r="A1286" s="16" t="s">
        <v>87</v>
      </c>
      <c r="E1286" s="16" t="str">
        <f>IFERROR(__xludf.DUMMYFUNCTION("""COMPUTED_VALUE"""),"")</f>
        <v/>
      </c>
      <c r="G1286" s="18"/>
      <c r="H1286" s="16" t="s">
        <v>87</v>
      </c>
      <c r="I1286" s="16" t="s">
        <v>87</v>
      </c>
      <c r="J1286" s="19"/>
      <c r="L1286" s="16" t="str">
        <f>IFERROR(__xludf.DUMMYFUNCTION("""COMPUTED_VALUE"""),"")</f>
        <v/>
      </c>
      <c r="M1286" s="16" t="str">
        <f>IFERROR(__xludf.DUMMYFUNCTION("""COMPUTED_VALUE"""),"")</f>
        <v/>
      </c>
      <c r="U1286" s="16" t="s">
        <v>87</v>
      </c>
      <c r="V1286" s="16" t="str">
        <f>IFERROR(__xludf.DUMMYFUNCTION("""COMPUTED_VALUE"""),"")</f>
        <v/>
      </c>
      <c r="W1286" s="16" t="str">
        <f>IFERROR(__xludf.DUMMYFUNCTION("""COMPUTED_VALUE"""),"")</f>
        <v/>
      </c>
      <c r="X1286" s="16" t="str">
        <f>IFERROR(__xludf.DUMMYFUNCTION("""COMPUTED_VALUE"""),"")</f>
        <v/>
      </c>
      <c r="AC1286" s="16" t="str">
        <f>IFERROR(__xludf.DUMMYFUNCTION("""COMPUTED_VALUE"""),"")</f>
        <v/>
      </c>
    </row>
    <row r="1287">
      <c r="A1287" s="16" t="s">
        <v>87</v>
      </c>
      <c r="E1287" s="16" t="str">
        <f>IFERROR(__xludf.DUMMYFUNCTION("""COMPUTED_VALUE"""),"")</f>
        <v/>
      </c>
      <c r="G1287" s="18"/>
      <c r="H1287" s="16" t="s">
        <v>87</v>
      </c>
      <c r="I1287" s="16" t="s">
        <v>87</v>
      </c>
      <c r="J1287" s="19"/>
      <c r="L1287" s="16" t="str">
        <f>IFERROR(__xludf.DUMMYFUNCTION("""COMPUTED_VALUE"""),"")</f>
        <v/>
      </c>
      <c r="M1287" s="16" t="str">
        <f>IFERROR(__xludf.DUMMYFUNCTION("""COMPUTED_VALUE"""),"")</f>
        <v/>
      </c>
      <c r="U1287" s="16" t="s">
        <v>87</v>
      </c>
      <c r="V1287" s="16" t="str">
        <f>IFERROR(__xludf.DUMMYFUNCTION("""COMPUTED_VALUE"""),"")</f>
        <v/>
      </c>
      <c r="W1287" s="16" t="str">
        <f>IFERROR(__xludf.DUMMYFUNCTION("""COMPUTED_VALUE"""),"")</f>
        <v/>
      </c>
      <c r="X1287" s="16" t="str">
        <f>IFERROR(__xludf.DUMMYFUNCTION("""COMPUTED_VALUE"""),"")</f>
        <v/>
      </c>
      <c r="AC1287" s="16" t="str">
        <f>IFERROR(__xludf.DUMMYFUNCTION("""COMPUTED_VALUE"""),"")</f>
        <v/>
      </c>
    </row>
    <row r="1288">
      <c r="A1288" s="16" t="s">
        <v>87</v>
      </c>
      <c r="E1288" s="16" t="str">
        <f>IFERROR(__xludf.DUMMYFUNCTION("""COMPUTED_VALUE"""),"")</f>
        <v/>
      </c>
      <c r="G1288" s="18"/>
      <c r="H1288" s="16" t="s">
        <v>87</v>
      </c>
      <c r="I1288" s="16" t="s">
        <v>87</v>
      </c>
      <c r="J1288" s="19"/>
      <c r="L1288" s="16" t="str">
        <f>IFERROR(__xludf.DUMMYFUNCTION("""COMPUTED_VALUE"""),"")</f>
        <v/>
      </c>
      <c r="M1288" s="16" t="str">
        <f>IFERROR(__xludf.DUMMYFUNCTION("""COMPUTED_VALUE"""),"")</f>
        <v/>
      </c>
      <c r="U1288" s="16" t="s">
        <v>87</v>
      </c>
      <c r="V1288" s="16" t="str">
        <f>IFERROR(__xludf.DUMMYFUNCTION("""COMPUTED_VALUE"""),"")</f>
        <v/>
      </c>
      <c r="W1288" s="16" t="str">
        <f>IFERROR(__xludf.DUMMYFUNCTION("""COMPUTED_VALUE"""),"")</f>
        <v/>
      </c>
      <c r="X1288" s="16" t="str">
        <f>IFERROR(__xludf.DUMMYFUNCTION("""COMPUTED_VALUE"""),"")</f>
        <v/>
      </c>
      <c r="AC1288" s="16" t="str">
        <f>IFERROR(__xludf.DUMMYFUNCTION("""COMPUTED_VALUE"""),"")</f>
        <v/>
      </c>
    </row>
    <row r="1289">
      <c r="A1289" s="16" t="s">
        <v>87</v>
      </c>
      <c r="E1289" s="16" t="str">
        <f>IFERROR(__xludf.DUMMYFUNCTION("""COMPUTED_VALUE"""),"")</f>
        <v/>
      </c>
      <c r="G1289" s="18"/>
      <c r="H1289" s="16" t="s">
        <v>87</v>
      </c>
      <c r="I1289" s="16" t="s">
        <v>87</v>
      </c>
      <c r="J1289" s="19"/>
      <c r="L1289" s="16" t="str">
        <f>IFERROR(__xludf.DUMMYFUNCTION("""COMPUTED_VALUE"""),"")</f>
        <v/>
      </c>
      <c r="M1289" s="16" t="str">
        <f>IFERROR(__xludf.DUMMYFUNCTION("""COMPUTED_VALUE"""),"")</f>
        <v/>
      </c>
      <c r="U1289" s="16" t="s">
        <v>87</v>
      </c>
      <c r="V1289" s="16" t="str">
        <f>IFERROR(__xludf.DUMMYFUNCTION("""COMPUTED_VALUE"""),"")</f>
        <v/>
      </c>
      <c r="W1289" s="16" t="str">
        <f>IFERROR(__xludf.DUMMYFUNCTION("""COMPUTED_VALUE"""),"")</f>
        <v/>
      </c>
      <c r="X1289" s="16" t="str">
        <f>IFERROR(__xludf.DUMMYFUNCTION("""COMPUTED_VALUE"""),"")</f>
        <v/>
      </c>
      <c r="AC1289" s="16" t="str">
        <f>IFERROR(__xludf.DUMMYFUNCTION("""COMPUTED_VALUE"""),"")</f>
        <v/>
      </c>
    </row>
    <row r="1290">
      <c r="A1290" s="16" t="s">
        <v>87</v>
      </c>
      <c r="E1290" s="16" t="str">
        <f>IFERROR(__xludf.DUMMYFUNCTION("""COMPUTED_VALUE"""),"")</f>
        <v/>
      </c>
      <c r="G1290" s="18"/>
      <c r="H1290" s="16" t="s">
        <v>87</v>
      </c>
      <c r="I1290" s="16" t="s">
        <v>87</v>
      </c>
      <c r="J1290" s="19"/>
      <c r="L1290" s="16" t="str">
        <f>IFERROR(__xludf.DUMMYFUNCTION("""COMPUTED_VALUE"""),"")</f>
        <v/>
      </c>
      <c r="M1290" s="16" t="str">
        <f>IFERROR(__xludf.DUMMYFUNCTION("""COMPUTED_VALUE"""),"")</f>
        <v/>
      </c>
      <c r="U1290" s="16" t="s">
        <v>87</v>
      </c>
      <c r="V1290" s="16" t="str">
        <f>IFERROR(__xludf.DUMMYFUNCTION("""COMPUTED_VALUE"""),"")</f>
        <v/>
      </c>
      <c r="W1290" s="16" t="str">
        <f>IFERROR(__xludf.DUMMYFUNCTION("""COMPUTED_VALUE"""),"")</f>
        <v/>
      </c>
      <c r="X1290" s="16" t="str">
        <f>IFERROR(__xludf.DUMMYFUNCTION("""COMPUTED_VALUE"""),"")</f>
        <v/>
      </c>
      <c r="AC1290" s="16" t="str">
        <f>IFERROR(__xludf.DUMMYFUNCTION("""COMPUTED_VALUE"""),"")</f>
        <v/>
      </c>
    </row>
    <row r="1291">
      <c r="A1291" s="16" t="s">
        <v>87</v>
      </c>
      <c r="E1291" s="16" t="str">
        <f>IFERROR(__xludf.DUMMYFUNCTION("""COMPUTED_VALUE"""),"")</f>
        <v/>
      </c>
      <c r="G1291" s="18"/>
      <c r="H1291" s="16" t="s">
        <v>87</v>
      </c>
      <c r="I1291" s="16" t="s">
        <v>87</v>
      </c>
      <c r="J1291" s="19"/>
      <c r="L1291" s="16" t="str">
        <f>IFERROR(__xludf.DUMMYFUNCTION("""COMPUTED_VALUE"""),"")</f>
        <v/>
      </c>
      <c r="M1291" s="16" t="str">
        <f>IFERROR(__xludf.DUMMYFUNCTION("""COMPUTED_VALUE"""),"")</f>
        <v/>
      </c>
      <c r="U1291" s="16" t="s">
        <v>87</v>
      </c>
      <c r="V1291" s="16" t="str">
        <f>IFERROR(__xludf.DUMMYFUNCTION("""COMPUTED_VALUE"""),"")</f>
        <v/>
      </c>
      <c r="W1291" s="16" t="str">
        <f>IFERROR(__xludf.DUMMYFUNCTION("""COMPUTED_VALUE"""),"")</f>
        <v/>
      </c>
      <c r="X1291" s="16" t="str">
        <f>IFERROR(__xludf.DUMMYFUNCTION("""COMPUTED_VALUE"""),"")</f>
        <v/>
      </c>
      <c r="AC1291" s="16" t="str">
        <f>IFERROR(__xludf.DUMMYFUNCTION("""COMPUTED_VALUE"""),"")</f>
        <v/>
      </c>
    </row>
    <row r="1292">
      <c r="A1292" s="16" t="s">
        <v>87</v>
      </c>
      <c r="E1292" s="16" t="str">
        <f>IFERROR(__xludf.DUMMYFUNCTION("""COMPUTED_VALUE"""),"")</f>
        <v/>
      </c>
      <c r="G1292" s="18"/>
      <c r="H1292" s="16" t="s">
        <v>87</v>
      </c>
      <c r="I1292" s="16" t="s">
        <v>87</v>
      </c>
      <c r="J1292" s="19"/>
      <c r="L1292" s="16" t="str">
        <f>IFERROR(__xludf.DUMMYFUNCTION("""COMPUTED_VALUE"""),"")</f>
        <v/>
      </c>
      <c r="M1292" s="16" t="str">
        <f>IFERROR(__xludf.DUMMYFUNCTION("""COMPUTED_VALUE"""),"")</f>
        <v/>
      </c>
      <c r="U1292" s="16" t="s">
        <v>87</v>
      </c>
      <c r="V1292" s="16" t="str">
        <f>IFERROR(__xludf.DUMMYFUNCTION("""COMPUTED_VALUE"""),"")</f>
        <v/>
      </c>
      <c r="W1292" s="16" t="str">
        <f>IFERROR(__xludf.DUMMYFUNCTION("""COMPUTED_VALUE"""),"")</f>
        <v/>
      </c>
      <c r="X1292" s="16" t="str">
        <f>IFERROR(__xludf.DUMMYFUNCTION("""COMPUTED_VALUE"""),"")</f>
        <v/>
      </c>
      <c r="AC1292" s="16" t="str">
        <f>IFERROR(__xludf.DUMMYFUNCTION("""COMPUTED_VALUE"""),"")</f>
        <v/>
      </c>
    </row>
    <row r="1293">
      <c r="A1293" s="16" t="s">
        <v>87</v>
      </c>
      <c r="E1293" s="16" t="str">
        <f>IFERROR(__xludf.DUMMYFUNCTION("""COMPUTED_VALUE"""),"")</f>
        <v/>
      </c>
      <c r="G1293" s="18"/>
      <c r="H1293" s="16" t="s">
        <v>87</v>
      </c>
      <c r="I1293" s="16" t="s">
        <v>87</v>
      </c>
      <c r="J1293" s="19"/>
      <c r="L1293" s="16" t="str">
        <f>IFERROR(__xludf.DUMMYFUNCTION("""COMPUTED_VALUE"""),"")</f>
        <v/>
      </c>
      <c r="M1293" s="16" t="str">
        <f>IFERROR(__xludf.DUMMYFUNCTION("""COMPUTED_VALUE"""),"")</f>
        <v/>
      </c>
      <c r="U1293" s="16" t="s">
        <v>87</v>
      </c>
      <c r="V1293" s="16" t="str">
        <f>IFERROR(__xludf.DUMMYFUNCTION("""COMPUTED_VALUE"""),"")</f>
        <v/>
      </c>
      <c r="W1293" s="16" t="str">
        <f>IFERROR(__xludf.DUMMYFUNCTION("""COMPUTED_VALUE"""),"")</f>
        <v/>
      </c>
      <c r="X1293" s="16" t="str">
        <f>IFERROR(__xludf.DUMMYFUNCTION("""COMPUTED_VALUE"""),"")</f>
        <v/>
      </c>
      <c r="AC1293" s="16" t="str">
        <f>IFERROR(__xludf.DUMMYFUNCTION("""COMPUTED_VALUE"""),"")</f>
        <v/>
      </c>
    </row>
    <row r="1294">
      <c r="A1294" s="16" t="s">
        <v>87</v>
      </c>
      <c r="E1294" s="16" t="str">
        <f>IFERROR(__xludf.DUMMYFUNCTION("""COMPUTED_VALUE"""),"")</f>
        <v/>
      </c>
      <c r="G1294" s="18"/>
      <c r="H1294" s="16" t="s">
        <v>87</v>
      </c>
      <c r="I1294" s="16" t="s">
        <v>87</v>
      </c>
      <c r="J1294" s="19"/>
      <c r="L1294" s="16" t="str">
        <f>IFERROR(__xludf.DUMMYFUNCTION("""COMPUTED_VALUE"""),"")</f>
        <v/>
      </c>
      <c r="M1294" s="16" t="str">
        <f>IFERROR(__xludf.DUMMYFUNCTION("""COMPUTED_VALUE"""),"")</f>
        <v/>
      </c>
      <c r="U1294" s="16" t="s">
        <v>87</v>
      </c>
      <c r="V1294" s="16" t="str">
        <f>IFERROR(__xludf.DUMMYFUNCTION("""COMPUTED_VALUE"""),"")</f>
        <v/>
      </c>
      <c r="W1294" s="16" t="str">
        <f>IFERROR(__xludf.DUMMYFUNCTION("""COMPUTED_VALUE"""),"")</f>
        <v/>
      </c>
      <c r="X1294" s="16" t="str">
        <f>IFERROR(__xludf.DUMMYFUNCTION("""COMPUTED_VALUE"""),"")</f>
        <v/>
      </c>
      <c r="AC1294" s="16" t="str">
        <f>IFERROR(__xludf.DUMMYFUNCTION("""COMPUTED_VALUE"""),"")</f>
        <v/>
      </c>
    </row>
    <row r="1295">
      <c r="A1295" s="16" t="s">
        <v>87</v>
      </c>
      <c r="E1295" s="16" t="str">
        <f>IFERROR(__xludf.DUMMYFUNCTION("""COMPUTED_VALUE"""),"")</f>
        <v/>
      </c>
      <c r="G1295" s="18"/>
      <c r="H1295" s="16" t="s">
        <v>87</v>
      </c>
      <c r="I1295" s="16" t="s">
        <v>87</v>
      </c>
      <c r="J1295" s="19"/>
      <c r="L1295" s="16" t="str">
        <f>IFERROR(__xludf.DUMMYFUNCTION("""COMPUTED_VALUE"""),"")</f>
        <v/>
      </c>
      <c r="M1295" s="16" t="str">
        <f>IFERROR(__xludf.DUMMYFUNCTION("""COMPUTED_VALUE"""),"")</f>
        <v/>
      </c>
      <c r="U1295" s="16" t="s">
        <v>87</v>
      </c>
      <c r="V1295" s="16" t="str">
        <f>IFERROR(__xludf.DUMMYFUNCTION("""COMPUTED_VALUE"""),"")</f>
        <v/>
      </c>
      <c r="W1295" s="16" t="str">
        <f>IFERROR(__xludf.DUMMYFUNCTION("""COMPUTED_VALUE"""),"")</f>
        <v/>
      </c>
      <c r="X1295" s="16" t="str">
        <f>IFERROR(__xludf.DUMMYFUNCTION("""COMPUTED_VALUE"""),"")</f>
        <v/>
      </c>
      <c r="AC1295" s="16" t="str">
        <f>IFERROR(__xludf.DUMMYFUNCTION("""COMPUTED_VALUE"""),"")</f>
        <v/>
      </c>
    </row>
    <row r="1296">
      <c r="A1296" s="16" t="s">
        <v>87</v>
      </c>
      <c r="E1296" s="16" t="str">
        <f>IFERROR(__xludf.DUMMYFUNCTION("""COMPUTED_VALUE"""),"")</f>
        <v/>
      </c>
      <c r="G1296" s="18"/>
      <c r="H1296" s="16" t="s">
        <v>87</v>
      </c>
      <c r="I1296" s="16" t="s">
        <v>87</v>
      </c>
      <c r="J1296" s="19"/>
      <c r="L1296" s="16" t="str">
        <f>IFERROR(__xludf.DUMMYFUNCTION("""COMPUTED_VALUE"""),"")</f>
        <v/>
      </c>
      <c r="M1296" s="16" t="str">
        <f>IFERROR(__xludf.DUMMYFUNCTION("""COMPUTED_VALUE"""),"")</f>
        <v/>
      </c>
      <c r="U1296" s="16" t="s">
        <v>87</v>
      </c>
      <c r="V1296" s="16" t="str">
        <f>IFERROR(__xludf.DUMMYFUNCTION("""COMPUTED_VALUE"""),"")</f>
        <v/>
      </c>
      <c r="W1296" s="16" t="str">
        <f>IFERROR(__xludf.DUMMYFUNCTION("""COMPUTED_VALUE"""),"")</f>
        <v/>
      </c>
      <c r="X1296" s="16" t="str">
        <f>IFERROR(__xludf.DUMMYFUNCTION("""COMPUTED_VALUE"""),"")</f>
        <v/>
      </c>
      <c r="AC1296" s="16" t="str">
        <f>IFERROR(__xludf.DUMMYFUNCTION("""COMPUTED_VALUE"""),"")</f>
        <v/>
      </c>
    </row>
    <row r="1297">
      <c r="A1297" s="16" t="s">
        <v>87</v>
      </c>
      <c r="E1297" s="16" t="str">
        <f>IFERROR(__xludf.DUMMYFUNCTION("""COMPUTED_VALUE"""),"")</f>
        <v/>
      </c>
      <c r="G1297" s="18"/>
      <c r="H1297" s="16" t="s">
        <v>87</v>
      </c>
      <c r="I1297" s="16" t="s">
        <v>87</v>
      </c>
      <c r="J1297" s="19"/>
      <c r="L1297" s="16" t="str">
        <f>IFERROR(__xludf.DUMMYFUNCTION("""COMPUTED_VALUE"""),"")</f>
        <v/>
      </c>
      <c r="M1297" s="16" t="str">
        <f>IFERROR(__xludf.DUMMYFUNCTION("""COMPUTED_VALUE"""),"")</f>
        <v/>
      </c>
      <c r="U1297" s="16" t="s">
        <v>87</v>
      </c>
      <c r="V1297" s="16" t="str">
        <f>IFERROR(__xludf.DUMMYFUNCTION("""COMPUTED_VALUE"""),"")</f>
        <v/>
      </c>
      <c r="W1297" s="16" t="str">
        <f>IFERROR(__xludf.DUMMYFUNCTION("""COMPUTED_VALUE"""),"")</f>
        <v/>
      </c>
      <c r="X1297" s="16" t="str">
        <f>IFERROR(__xludf.DUMMYFUNCTION("""COMPUTED_VALUE"""),"")</f>
        <v/>
      </c>
      <c r="AC1297" s="16" t="str">
        <f>IFERROR(__xludf.DUMMYFUNCTION("""COMPUTED_VALUE"""),"")</f>
        <v/>
      </c>
    </row>
    <row r="1298">
      <c r="A1298" s="16" t="s">
        <v>87</v>
      </c>
      <c r="E1298" s="16" t="str">
        <f>IFERROR(__xludf.DUMMYFUNCTION("""COMPUTED_VALUE"""),"")</f>
        <v/>
      </c>
      <c r="G1298" s="18"/>
      <c r="H1298" s="16" t="s">
        <v>87</v>
      </c>
      <c r="I1298" s="16" t="s">
        <v>87</v>
      </c>
      <c r="J1298" s="19"/>
      <c r="L1298" s="16" t="str">
        <f>IFERROR(__xludf.DUMMYFUNCTION("""COMPUTED_VALUE"""),"")</f>
        <v/>
      </c>
      <c r="M1298" s="16" t="str">
        <f>IFERROR(__xludf.DUMMYFUNCTION("""COMPUTED_VALUE"""),"")</f>
        <v/>
      </c>
      <c r="U1298" s="16" t="s">
        <v>87</v>
      </c>
      <c r="V1298" s="16" t="str">
        <f>IFERROR(__xludf.DUMMYFUNCTION("""COMPUTED_VALUE"""),"")</f>
        <v/>
      </c>
      <c r="W1298" s="16" t="str">
        <f>IFERROR(__xludf.DUMMYFUNCTION("""COMPUTED_VALUE"""),"")</f>
        <v/>
      </c>
      <c r="X1298" s="16" t="str">
        <f>IFERROR(__xludf.DUMMYFUNCTION("""COMPUTED_VALUE"""),"")</f>
        <v/>
      </c>
      <c r="AC1298" s="16" t="str">
        <f>IFERROR(__xludf.DUMMYFUNCTION("""COMPUTED_VALUE"""),"")</f>
        <v/>
      </c>
    </row>
    <row r="1299">
      <c r="A1299" s="16" t="s">
        <v>87</v>
      </c>
      <c r="E1299" s="16" t="str">
        <f>IFERROR(__xludf.DUMMYFUNCTION("""COMPUTED_VALUE"""),"")</f>
        <v/>
      </c>
      <c r="G1299" s="18"/>
      <c r="H1299" s="16" t="s">
        <v>87</v>
      </c>
      <c r="I1299" s="16" t="s">
        <v>87</v>
      </c>
      <c r="J1299" s="19"/>
      <c r="L1299" s="16" t="str">
        <f>IFERROR(__xludf.DUMMYFUNCTION("""COMPUTED_VALUE"""),"")</f>
        <v/>
      </c>
      <c r="M1299" s="16" t="str">
        <f>IFERROR(__xludf.DUMMYFUNCTION("""COMPUTED_VALUE"""),"")</f>
        <v/>
      </c>
      <c r="U1299" s="16" t="s">
        <v>87</v>
      </c>
      <c r="V1299" s="16" t="str">
        <f>IFERROR(__xludf.DUMMYFUNCTION("""COMPUTED_VALUE"""),"")</f>
        <v/>
      </c>
      <c r="W1299" s="16" t="str">
        <f>IFERROR(__xludf.DUMMYFUNCTION("""COMPUTED_VALUE"""),"")</f>
        <v/>
      </c>
      <c r="X1299" s="16" t="str">
        <f>IFERROR(__xludf.DUMMYFUNCTION("""COMPUTED_VALUE"""),"")</f>
        <v/>
      </c>
      <c r="AC1299" s="16" t="str">
        <f>IFERROR(__xludf.DUMMYFUNCTION("""COMPUTED_VALUE"""),"")</f>
        <v/>
      </c>
    </row>
    <row r="1300">
      <c r="A1300" s="16" t="s">
        <v>87</v>
      </c>
      <c r="E1300" s="16" t="str">
        <f>IFERROR(__xludf.DUMMYFUNCTION("""COMPUTED_VALUE"""),"")</f>
        <v/>
      </c>
      <c r="G1300" s="18"/>
      <c r="H1300" s="16" t="s">
        <v>87</v>
      </c>
      <c r="I1300" s="16" t="s">
        <v>87</v>
      </c>
      <c r="J1300" s="19"/>
      <c r="L1300" s="16" t="str">
        <f>IFERROR(__xludf.DUMMYFUNCTION("""COMPUTED_VALUE"""),"")</f>
        <v/>
      </c>
      <c r="M1300" s="16" t="str">
        <f>IFERROR(__xludf.DUMMYFUNCTION("""COMPUTED_VALUE"""),"")</f>
        <v/>
      </c>
      <c r="U1300" s="16" t="s">
        <v>87</v>
      </c>
      <c r="V1300" s="16" t="str">
        <f>IFERROR(__xludf.DUMMYFUNCTION("""COMPUTED_VALUE"""),"")</f>
        <v/>
      </c>
      <c r="W1300" s="16" t="str">
        <f>IFERROR(__xludf.DUMMYFUNCTION("""COMPUTED_VALUE"""),"")</f>
        <v/>
      </c>
      <c r="X1300" s="16" t="str">
        <f>IFERROR(__xludf.DUMMYFUNCTION("""COMPUTED_VALUE"""),"")</f>
        <v/>
      </c>
      <c r="AC1300" s="16" t="str">
        <f>IFERROR(__xludf.DUMMYFUNCTION("""COMPUTED_VALUE"""),"")</f>
        <v/>
      </c>
    </row>
    <row r="1301">
      <c r="A1301" s="16" t="s">
        <v>87</v>
      </c>
      <c r="E1301" s="16" t="str">
        <f>IFERROR(__xludf.DUMMYFUNCTION("""COMPUTED_VALUE"""),"")</f>
        <v/>
      </c>
      <c r="G1301" s="18"/>
      <c r="H1301" s="16" t="s">
        <v>87</v>
      </c>
      <c r="I1301" s="16" t="s">
        <v>87</v>
      </c>
      <c r="J1301" s="19"/>
      <c r="L1301" s="16" t="str">
        <f>IFERROR(__xludf.DUMMYFUNCTION("""COMPUTED_VALUE"""),"")</f>
        <v/>
      </c>
      <c r="M1301" s="16" t="str">
        <f>IFERROR(__xludf.DUMMYFUNCTION("""COMPUTED_VALUE"""),"")</f>
        <v/>
      </c>
      <c r="U1301" s="16" t="s">
        <v>87</v>
      </c>
      <c r="V1301" s="16" t="str">
        <f>IFERROR(__xludf.DUMMYFUNCTION("""COMPUTED_VALUE"""),"")</f>
        <v/>
      </c>
      <c r="W1301" s="16" t="str">
        <f>IFERROR(__xludf.DUMMYFUNCTION("""COMPUTED_VALUE"""),"")</f>
        <v/>
      </c>
      <c r="X1301" s="16" t="str">
        <f>IFERROR(__xludf.DUMMYFUNCTION("""COMPUTED_VALUE"""),"")</f>
        <v/>
      </c>
      <c r="AC1301" s="16" t="str">
        <f>IFERROR(__xludf.DUMMYFUNCTION("""COMPUTED_VALUE"""),"")</f>
        <v/>
      </c>
    </row>
    <row r="1302">
      <c r="A1302" s="16" t="s">
        <v>87</v>
      </c>
      <c r="E1302" s="16" t="str">
        <f>IFERROR(__xludf.DUMMYFUNCTION("""COMPUTED_VALUE"""),"")</f>
        <v/>
      </c>
      <c r="G1302" s="18"/>
      <c r="H1302" s="16" t="s">
        <v>87</v>
      </c>
      <c r="I1302" s="16" t="s">
        <v>87</v>
      </c>
      <c r="J1302" s="19"/>
      <c r="L1302" s="16" t="str">
        <f>IFERROR(__xludf.DUMMYFUNCTION("""COMPUTED_VALUE"""),"")</f>
        <v/>
      </c>
      <c r="M1302" s="16" t="str">
        <f>IFERROR(__xludf.DUMMYFUNCTION("""COMPUTED_VALUE"""),"")</f>
        <v/>
      </c>
      <c r="U1302" s="16" t="s">
        <v>87</v>
      </c>
      <c r="V1302" s="16" t="str">
        <f>IFERROR(__xludf.DUMMYFUNCTION("""COMPUTED_VALUE"""),"")</f>
        <v/>
      </c>
      <c r="W1302" s="16" t="str">
        <f>IFERROR(__xludf.DUMMYFUNCTION("""COMPUTED_VALUE"""),"")</f>
        <v/>
      </c>
      <c r="X1302" s="16" t="str">
        <f>IFERROR(__xludf.DUMMYFUNCTION("""COMPUTED_VALUE"""),"")</f>
        <v/>
      </c>
      <c r="AC1302" s="16" t="str">
        <f>IFERROR(__xludf.DUMMYFUNCTION("""COMPUTED_VALUE"""),"")</f>
        <v/>
      </c>
    </row>
    <row r="1303">
      <c r="A1303" s="16" t="s">
        <v>87</v>
      </c>
      <c r="E1303" s="16" t="str">
        <f>IFERROR(__xludf.DUMMYFUNCTION("""COMPUTED_VALUE"""),"")</f>
        <v/>
      </c>
      <c r="G1303" s="18"/>
      <c r="H1303" s="16" t="s">
        <v>87</v>
      </c>
      <c r="I1303" s="16" t="s">
        <v>87</v>
      </c>
      <c r="J1303" s="19"/>
      <c r="L1303" s="16" t="str">
        <f>IFERROR(__xludf.DUMMYFUNCTION("""COMPUTED_VALUE"""),"")</f>
        <v/>
      </c>
      <c r="M1303" s="16" t="str">
        <f>IFERROR(__xludf.DUMMYFUNCTION("""COMPUTED_VALUE"""),"")</f>
        <v/>
      </c>
      <c r="U1303" s="16" t="s">
        <v>87</v>
      </c>
      <c r="V1303" s="16" t="str">
        <f>IFERROR(__xludf.DUMMYFUNCTION("""COMPUTED_VALUE"""),"")</f>
        <v/>
      </c>
      <c r="W1303" s="16" t="str">
        <f>IFERROR(__xludf.DUMMYFUNCTION("""COMPUTED_VALUE"""),"")</f>
        <v/>
      </c>
      <c r="X1303" s="16" t="str">
        <f>IFERROR(__xludf.DUMMYFUNCTION("""COMPUTED_VALUE"""),"")</f>
        <v/>
      </c>
      <c r="AC1303" s="16" t="str">
        <f>IFERROR(__xludf.DUMMYFUNCTION("""COMPUTED_VALUE"""),"")</f>
        <v/>
      </c>
    </row>
    <row r="1304">
      <c r="A1304" s="16" t="s">
        <v>87</v>
      </c>
      <c r="E1304" s="16" t="str">
        <f>IFERROR(__xludf.DUMMYFUNCTION("""COMPUTED_VALUE"""),"")</f>
        <v/>
      </c>
      <c r="G1304" s="18"/>
      <c r="H1304" s="16" t="s">
        <v>87</v>
      </c>
      <c r="I1304" s="16" t="s">
        <v>87</v>
      </c>
      <c r="J1304" s="19"/>
      <c r="L1304" s="16" t="str">
        <f>IFERROR(__xludf.DUMMYFUNCTION("""COMPUTED_VALUE"""),"")</f>
        <v/>
      </c>
      <c r="M1304" s="16" t="str">
        <f>IFERROR(__xludf.DUMMYFUNCTION("""COMPUTED_VALUE"""),"")</f>
        <v/>
      </c>
      <c r="U1304" s="16" t="s">
        <v>87</v>
      </c>
      <c r="V1304" s="16" t="str">
        <f>IFERROR(__xludf.DUMMYFUNCTION("""COMPUTED_VALUE"""),"")</f>
        <v/>
      </c>
      <c r="W1304" s="16" t="str">
        <f>IFERROR(__xludf.DUMMYFUNCTION("""COMPUTED_VALUE"""),"")</f>
        <v/>
      </c>
      <c r="X1304" s="16" t="str">
        <f>IFERROR(__xludf.DUMMYFUNCTION("""COMPUTED_VALUE"""),"")</f>
        <v/>
      </c>
      <c r="AC1304" s="16" t="str">
        <f>IFERROR(__xludf.DUMMYFUNCTION("""COMPUTED_VALUE"""),"")</f>
        <v/>
      </c>
    </row>
    <row r="1305">
      <c r="A1305" s="16" t="s">
        <v>87</v>
      </c>
      <c r="E1305" s="16" t="str">
        <f>IFERROR(__xludf.DUMMYFUNCTION("""COMPUTED_VALUE"""),"")</f>
        <v/>
      </c>
      <c r="G1305" s="18"/>
      <c r="H1305" s="16" t="s">
        <v>87</v>
      </c>
      <c r="I1305" s="16" t="s">
        <v>87</v>
      </c>
      <c r="J1305" s="19"/>
      <c r="L1305" s="16" t="str">
        <f>IFERROR(__xludf.DUMMYFUNCTION("""COMPUTED_VALUE"""),"")</f>
        <v/>
      </c>
      <c r="M1305" s="16" t="str">
        <f>IFERROR(__xludf.DUMMYFUNCTION("""COMPUTED_VALUE"""),"")</f>
        <v/>
      </c>
      <c r="U1305" s="16" t="s">
        <v>87</v>
      </c>
      <c r="V1305" s="16" t="str">
        <f>IFERROR(__xludf.DUMMYFUNCTION("""COMPUTED_VALUE"""),"")</f>
        <v/>
      </c>
      <c r="W1305" s="16" t="str">
        <f>IFERROR(__xludf.DUMMYFUNCTION("""COMPUTED_VALUE"""),"")</f>
        <v/>
      </c>
      <c r="X1305" s="16" t="str">
        <f>IFERROR(__xludf.DUMMYFUNCTION("""COMPUTED_VALUE"""),"")</f>
        <v/>
      </c>
      <c r="AC1305" s="16" t="str">
        <f>IFERROR(__xludf.DUMMYFUNCTION("""COMPUTED_VALUE"""),"")</f>
        <v/>
      </c>
    </row>
    <row r="1306">
      <c r="A1306" s="16" t="s">
        <v>87</v>
      </c>
      <c r="E1306" s="16" t="str">
        <f>IFERROR(__xludf.DUMMYFUNCTION("""COMPUTED_VALUE"""),"")</f>
        <v/>
      </c>
      <c r="G1306" s="18"/>
      <c r="H1306" s="16" t="s">
        <v>87</v>
      </c>
      <c r="I1306" s="16" t="s">
        <v>87</v>
      </c>
      <c r="J1306" s="19"/>
      <c r="L1306" s="16" t="str">
        <f>IFERROR(__xludf.DUMMYFUNCTION("""COMPUTED_VALUE"""),"")</f>
        <v/>
      </c>
      <c r="M1306" s="16" t="str">
        <f>IFERROR(__xludf.DUMMYFUNCTION("""COMPUTED_VALUE"""),"")</f>
        <v/>
      </c>
      <c r="U1306" s="16" t="s">
        <v>87</v>
      </c>
      <c r="V1306" s="16" t="str">
        <f>IFERROR(__xludf.DUMMYFUNCTION("""COMPUTED_VALUE"""),"")</f>
        <v/>
      </c>
      <c r="W1306" s="16" t="str">
        <f>IFERROR(__xludf.DUMMYFUNCTION("""COMPUTED_VALUE"""),"")</f>
        <v/>
      </c>
      <c r="X1306" s="16" t="str">
        <f>IFERROR(__xludf.DUMMYFUNCTION("""COMPUTED_VALUE"""),"")</f>
        <v/>
      </c>
      <c r="AC1306" s="16" t="str">
        <f>IFERROR(__xludf.DUMMYFUNCTION("""COMPUTED_VALUE"""),"")</f>
        <v/>
      </c>
    </row>
    <row r="1307">
      <c r="A1307" s="16" t="s">
        <v>87</v>
      </c>
      <c r="E1307" s="16" t="str">
        <f>IFERROR(__xludf.DUMMYFUNCTION("""COMPUTED_VALUE"""),"")</f>
        <v/>
      </c>
      <c r="G1307" s="18"/>
      <c r="H1307" s="16" t="s">
        <v>87</v>
      </c>
      <c r="I1307" s="16" t="s">
        <v>87</v>
      </c>
      <c r="J1307" s="19"/>
      <c r="L1307" s="16" t="str">
        <f>IFERROR(__xludf.DUMMYFUNCTION("""COMPUTED_VALUE"""),"")</f>
        <v/>
      </c>
      <c r="M1307" s="16" t="str">
        <f>IFERROR(__xludf.DUMMYFUNCTION("""COMPUTED_VALUE"""),"")</f>
        <v/>
      </c>
      <c r="U1307" s="16" t="s">
        <v>87</v>
      </c>
      <c r="V1307" s="16" t="str">
        <f>IFERROR(__xludf.DUMMYFUNCTION("""COMPUTED_VALUE"""),"")</f>
        <v/>
      </c>
      <c r="W1307" s="16" t="str">
        <f>IFERROR(__xludf.DUMMYFUNCTION("""COMPUTED_VALUE"""),"")</f>
        <v/>
      </c>
      <c r="X1307" s="16" t="str">
        <f>IFERROR(__xludf.DUMMYFUNCTION("""COMPUTED_VALUE"""),"")</f>
        <v/>
      </c>
      <c r="AC1307" s="16" t="str">
        <f>IFERROR(__xludf.DUMMYFUNCTION("""COMPUTED_VALUE"""),"")</f>
        <v/>
      </c>
    </row>
    <row r="1308">
      <c r="A1308" s="16" t="s">
        <v>87</v>
      </c>
      <c r="E1308" s="16" t="str">
        <f>IFERROR(__xludf.DUMMYFUNCTION("""COMPUTED_VALUE"""),"")</f>
        <v/>
      </c>
      <c r="G1308" s="18"/>
      <c r="H1308" s="16" t="s">
        <v>87</v>
      </c>
      <c r="I1308" s="16" t="s">
        <v>87</v>
      </c>
      <c r="J1308" s="19"/>
      <c r="L1308" s="16" t="str">
        <f>IFERROR(__xludf.DUMMYFUNCTION("""COMPUTED_VALUE"""),"")</f>
        <v/>
      </c>
      <c r="M1308" s="16" t="str">
        <f>IFERROR(__xludf.DUMMYFUNCTION("""COMPUTED_VALUE"""),"")</f>
        <v/>
      </c>
      <c r="U1308" s="16" t="s">
        <v>87</v>
      </c>
      <c r="V1308" s="16" t="str">
        <f>IFERROR(__xludf.DUMMYFUNCTION("""COMPUTED_VALUE"""),"")</f>
        <v/>
      </c>
      <c r="W1308" s="16" t="str">
        <f>IFERROR(__xludf.DUMMYFUNCTION("""COMPUTED_VALUE"""),"")</f>
        <v/>
      </c>
      <c r="X1308" s="16" t="str">
        <f>IFERROR(__xludf.DUMMYFUNCTION("""COMPUTED_VALUE"""),"")</f>
        <v/>
      </c>
      <c r="AC1308" s="16" t="str">
        <f>IFERROR(__xludf.DUMMYFUNCTION("""COMPUTED_VALUE"""),"")</f>
        <v/>
      </c>
    </row>
    <row r="1309">
      <c r="A1309" s="16" t="s">
        <v>87</v>
      </c>
      <c r="E1309" s="16" t="str">
        <f>IFERROR(__xludf.DUMMYFUNCTION("""COMPUTED_VALUE"""),"")</f>
        <v/>
      </c>
      <c r="G1309" s="18"/>
      <c r="H1309" s="16" t="s">
        <v>87</v>
      </c>
      <c r="I1309" s="16" t="s">
        <v>87</v>
      </c>
      <c r="J1309" s="19"/>
      <c r="L1309" s="16" t="str">
        <f>IFERROR(__xludf.DUMMYFUNCTION("""COMPUTED_VALUE"""),"")</f>
        <v/>
      </c>
      <c r="M1309" s="16" t="str">
        <f>IFERROR(__xludf.DUMMYFUNCTION("""COMPUTED_VALUE"""),"")</f>
        <v/>
      </c>
      <c r="U1309" s="16" t="s">
        <v>87</v>
      </c>
      <c r="V1309" s="16" t="str">
        <f>IFERROR(__xludf.DUMMYFUNCTION("""COMPUTED_VALUE"""),"")</f>
        <v/>
      </c>
      <c r="W1309" s="16" t="str">
        <f>IFERROR(__xludf.DUMMYFUNCTION("""COMPUTED_VALUE"""),"")</f>
        <v/>
      </c>
      <c r="X1309" s="16" t="str">
        <f>IFERROR(__xludf.DUMMYFUNCTION("""COMPUTED_VALUE"""),"")</f>
        <v/>
      </c>
      <c r="AC1309" s="16" t="str">
        <f>IFERROR(__xludf.DUMMYFUNCTION("""COMPUTED_VALUE"""),"")</f>
        <v/>
      </c>
    </row>
    <row r="1310">
      <c r="A1310" s="16" t="s">
        <v>87</v>
      </c>
      <c r="E1310" s="16" t="str">
        <f>IFERROR(__xludf.DUMMYFUNCTION("""COMPUTED_VALUE"""),"")</f>
        <v/>
      </c>
      <c r="G1310" s="18"/>
      <c r="H1310" s="16" t="s">
        <v>87</v>
      </c>
      <c r="I1310" s="16" t="s">
        <v>87</v>
      </c>
      <c r="J1310" s="19"/>
      <c r="L1310" s="16" t="str">
        <f>IFERROR(__xludf.DUMMYFUNCTION("""COMPUTED_VALUE"""),"")</f>
        <v/>
      </c>
      <c r="M1310" s="16" t="str">
        <f>IFERROR(__xludf.DUMMYFUNCTION("""COMPUTED_VALUE"""),"")</f>
        <v/>
      </c>
      <c r="U1310" s="16" t="s">
        <v>87</v>
      </c>
      <c r="V1310" s="16" t="str">
        <f>IFERROR(__xludf.DUMMYFUNCTION("""COMPUTED_VALUE"""),"")</f>
        <v/>
      </c>
      <c r="W1310" s="16" t="str">
        <f>IFERROR(__xludf.DUMMYFUNCTION("""COMPUTED_VALUE"""),"")</f>
        <v/>
      </c>
      <c r="X1310" s="16" t="str">
        <f>IFERROR(__xludf.DUMMYFUNCTION("""COMPUTED_VALUE"""),"")</f>
        <v/>
      </c>
      <c r="AC1310" s="16" t="str">
        <f>IFERROR(__xludf.DUMMYFUNCTION("""COMPUTED_VALUE"""),"")</f>
        <v/>
      </c>
    </row>
    <row r="1311">
      <c r="A1311" s="16" t="s">
        <v>87</v>
      </c>
      <c r="E1311" s="16" t="str">
        <f>IFERROR(__xludf.DUMMYFUNCTION("""COMPUTED_VALUE"""),"")</f>
        <v/>
      </c>
      <c r="G1311" s="18"/>
      <c r="H1311" s="16" t="s">
        <v>87</v>
      </c>
      <c r="I1311" s="16" t="s">
        <v>87</v>
      </c>
      <c r="J1311" s="19"/>
      <c r="L1311" s="16" t="str">
        <f>IFERROR(__xludf.DUMMYFUNCTION("""COMPUTED_VALUE"""),"")</f>
        <v/>
      </c>
      <c r="M1311" s="16" t="str">
        <f>IFERROR(__xludf.DUMMYFUNCTION("""COMPUTED_VALUE"""),"")</f>
        <v/>
      </c>
      <c r="U1311" s="16" t="s">
        <v>87</v>
      </c>
      <c r="V1311" s="16" t="str">
        <f>IFERROR(__xludf.DUMMYFUNCTION("""COMPUTED_VALUE"""),"")</f>
        <v/>
      </c>
      <c r="W1311" s="16" t="str">
        <f>IFERROR(__xludf.DUMMYFUNCTION("""COMPUTED_VALUE"""),"")</f>
        <v/>
      </c>
      <c r="X1311" s="16" t="str">
        <f>IFERROR(__xludf.DUMMYFUNCTION("""COMPUTED_VALUE"""),"")</f>
        <v/>
      </c>
      <c r="AC1311" s="16" t="str">
        <f>IFERROR(__xludf.DUMMYFUNCTION("""COMPUTED_VALUE"""),"")</f>
        <v/>
      </c>
    </row>
    <row r="1312">
      <c r="A1312" s="16" t="s">
        <v>87</v>
      </c>
      <c r="E1312" s="16" t="str">
        <f>IFERROR(__xludf.DUMMYFUNCTION("""COMPUTED_VALUE"""),"")</f>
        <v/>
      </c>
      <c r="G1312" s="18"/>
      <c r="H1312" s="16" t="s">
        <v>87</v>
      </c>
      <c r="I1312" s="16" t="s">
        <v>87</v>
      </c>
      <c r="J1312" s="19"/>
      <c r="L1312" s="16" t="str">
        <f>IFERROR(__xludf.DUMMYFUNCTION("""COMPUTED_VALUE"""),"")</f>
        <v/>
      </c>
      <c r="M1312" s="16" t="str">
        <f>IFERROR(__xludf.DUMMYFUNCTION("""COMPUTED_VALUE"""),"")</f>
        <v/>
      </c>
      <c r="U1312" s="16" t="s">
        <v>87</v>
      </c>
      <c r="V1312" s="16" t="str">
        <f>IFERROR(__xludf.DUMMYFUNCTION("""COMPUTED_VALUE"""),"")</f>
        <v/>
      </c>
      <c r="W1312" s="16" t="str">
        <f>IFERROR(__xludf.DUMMYFUNCTION("""COMPUTED_VALUE"""),"")</f>
        <v/>
      </c>
      <c r="X1312" s="16" t="str">
        <f>IFERROR(__xludf.DUMMYFUNCTION("""COMPUTED_VALUE"""),"")</f>
        <v/>
      </c>
      <c r="AC1312" s="16" t="str">
        <f>IFERROR(__xludf.DUMMYFUNCTION("""COMPUTED_VALUE"""),"")</f>
        <v/>
      </c>
    </row>
    <row r="1313">
      <c r="A1313" s="16" t="s">
        <v>87</v>
      </c>
      <c r="E1313" s="16" t="str">
        <f>IFERROR(__xludf.DUMMYFUNCTION("""COMPUTED_VALUE"""),"")</f>
        <v/>
      </c>
      <c r="G1313" s="18"/>
      <c r="H1313" s="16" t="s">
        <v>87</v>
      </c>
      <c r="I1313" s="16" t="s">
        <v>87</v>
      </c>
      <c r="J1313" s="19"/>
      <c r="L1313" s="16" t="str">
        <f>IFERROR(__xludf.DUMMYFUNCTION("""COMPUTED_VALUE"""),"")</f>
        <v/>
      </c>
      <c r="M1313" s="16" t="str">
        <f>IFERROR(__xludf.DUMMYFUNCTION("""COMPUTED_VALUE"""),"")</f>
        <v/>
      </c>
      <c r="U1313" s="16" t="s">
        <v>87</v>
      </c>
      <c r="V1313" s="16" t="str">
        <f>IFERROR(__xludf.DUMMYFUNCTION("""COMPUTED_VALUE"""),"")</f>
        <v/>
      </c>
      <c r="W1313" s="16" t="str">
        <f>IFERROR(__xludf.DUMMYFUNCTION("""COMPUTED_VALUE"""),"")</f>
        <v/>
      </c>
      <c r="X1313" s="16" t="str">
        <f>IFERROR(__xludf.DUMMYFUNCTION("""COMPUTED_VALUE"""),"")</f>
        <v/>
      </c>
      <c r="AC1313" s="16" t="str">
        <f>IFERROR(__xludf.DUMMYFUNCTION("""COMPUTED_VALUE"""),"")</f>
        <v/>
      </c>
    </row>
    <row r="1314">
      <c r="A1314" s="16" t="s">
        <v>87</v>
      </c>
      <c r="E1314" s="16" t="str">
        <f>IFERROR(__xludf.DUMMYFUNCTION("""COMPUTED_VALUE"""),"")</f>
        <v/>
      </c>
      <c r="G1314" s="18"/>
      <c r="H1314" s="16" t="s">
        <v>87</v>
      </c>
      <c r="I1314" s="16" t="s">
        <v>87</v>
      </c>
      <c r="J1314" s="19"/>
      <c r="L1314" s="16" t="str">
        <f>IFERROR(__xludf.DUMMYFUNCTION("""COMPUTED_VALUE"""),"")</f>
        <v/>
      </c>
      <c r="M1314" s="16" t="str">
        <f>IFERROR(__xludf.DUMMYFUNCTION("""COMPUTED_VALUE"""),"")</f>
        <v/>
      </c>
      <c r="U1314" s="16" t="s">
        <v>87</v>
      </c>
      <c r="V1314" s="16" t="str">
        <f>IFERROR(__xludf.DUMMYFUNCTION("""COMPUTED_VALUE"""),"")</f>
        <v/>
      </c>
      <c r="W1314" s="16" t="str">
        <f>IFERROR(__xludf.DUMMYFUNCTION("""COMPUTED_VALUE"""),"")</f>
        <v/>
      </c>
      <c r="X1314" s="16" t="str">
        <f>IFERROR(__xludf.DUMMYFUNCTION("""COMPUTED_VALUE"""),"")</f>
        <v/>
      </c>
      <c r="AC1314" s="16" t="str">
        <f>IFERROR(__xludf.DUMMYFUNCTION("""COMPUTED_VALUE"""),"")</f>
        <v/>
      </c>
    </row>
    <row r="1315">
      <c r="A1315" s="16" t="s">
        <v>87</v>
      </c>
      <c r="E1315" s="16" t="str">
        <f>IFERROR(__xludf.DUMMYFUNCTION("""COMPUTED_VALUE"""),"")</f>
        <v/>
      </c>
      <c r="G1315" s="18"/>
      <c r="H1315" s="16" t="s">
        <v>87</v>
      </c>
      <c r="I1315" s="16" t="s">
        <v>87</v>
      </c>
      <c r="J1315" s="19"/>
      <c r="L1315" s="16" t="str">
        <f>IFERROR(__xludf.DUMMYFUNCTION("""COMPUTED_VALUE"""),"")</f>
        <v/>
      </c>
      <c r="M1315" s="16" t="str">
        <f>IFERROR(__xludf.DUMMYFUNCTION("""COMPUTED_VALUE"""),"")</f>
        <v/>
      </c>
      <c r="U1315" s="16" t="s">
        <v>87</v>
      </c>
      <c r="V1315" s="16" t="str">
        <f>IFERROR(__xludf.DUMMYFUNCTION("""COMPUTED_VALUE"""),"")</f>
        <v/>
      </c>
      <c r="W1315" s="16" t="str">
        <f>IFERROR(__xludf.DUMMYFUNCTION("""COMPUTED_VALUE"""),"")</f>
        <v/>
      </c>
      <c r="X1315" s="16" t="str">
        <f>IFERROR(__xludf.DUMMYFUNCTION("""COMPUTED_VALUE"""),"")</f>
        <v/>
      </c>
      <c r="AC1315" s="16" t="str">
        <f>IFERROR(__xludf.DUMMYFUNCTION("""COMPUTED_VALUE"""),"")</f>
        <v/>
      </c>
    </row>
    <row r="1316">
      <c r="A1316" s="16" t="s">
        <v>87</v>
      </c>
      <c r="E1316" s="16" t="str">
        <f>IFERROR(__xludf.DUMMYFUNCTION("""COMPUTED_VALUE"""),"")</f>
        <v/>
      </c>
      <c r="G1316" s="18"/>
      <c r="H1316" s="16" t="s">
        <v>87</v>
      </c>
      <c r="I1316" s="16" t="s">
        <v>87</v>
      </c>
      <c r="J1316" s="19"/>
      <c r="L1316" s="16" t="str">
        <f>IFERROR(__xludf.DUMMYFUNCTION("""COMPUTED_VALUE"""),"")</f>
        <v/>
      </c>
      <c r="M1316" s="16" t="str">
        <f>IFERROR(__xludf.DUMMYFUNCTION("""COMPUTED_VALUE"""),"")</f>
        <v/>
      </c>
      <c r="U1316" s="16" t="s">
        <v>87</v>
      </c>
      <c r="V1316" s="16" t="str">
        <f>IFERROR(__xludf.DUMMYFUNCTION("""COMPUTED_VALUE"""),"")</f>
        <v/>
      </c>
      <c r="W1316" s="16" t="str">
        <f>IFERROR(__xludf.DUMMYFUNCTION("""COMPUTED_VALUE"""),"")</f>
        <v/>
      </c>
      <c r="X1316" s="16" t="str">
        <f>IFERROR(__xludf.DUMMYFUNCTION("""COMPUTED_VALUE"""),"")</f>
        <v/>
      </c>
      <c r="AC1316" s="16" t="str">
        <f>IFERROR(__xludf.DUMMYFUNCTION("""COMPUTED_VALUE"""),"")</f>
        <v/>
      </c>
    </row>
    <row r="1317">
      <c r="A1317" s="16" t="s">
        <v>87</v>
      </c>
      <c r="E1317" s="16" t="str">
        <f>IFERROR(__xludf.DUMMYFUNCTION("""COMPUTED_VALUE"""),"")</f>
        <v/>
      </c>
      <c r="G1317" s="18"/>
      <c r="H1317" s="16" t="s">
        <v>87</v>
      </c>
      <c r="I1317" s="16" t="s">
        <v>87</v>
      </c>
      <c r="J1317" s="19"/>
      <c r="L1317" s="16" t="str">
        <f>IFERROR(__xludf.DUMMYFUNCTION("""COMPUTED_VALUE"""),"")</f>
        <v/>
      </c>
      <c r="M1317" s="16" t="str">
        <f>IFERROR(__xludf.DUMMYFUNCTION("""COMPUTED_VALUE"""),"")</f>
        <v/>
      </c>
      <c r="U1317" s="16" t="s">
        <v>87</v>
      </c>
      <c r="V1317" s="16" t="str">
        <f>IFERROR(__xludf.DUMMYFUNCTION("""COMPUTED_VALUE"""),"")</f>
        <v/>
      </c>
      <c r="W1317" s="16" t="str">
        <f>IFERROR(__xludf.DUMMYFUNCTION("""COMPUTED_VALUE"""),"")</f>
        <v/>
      </c>
      <c r="X1317" s="16" t="str">
        <f>IFERROR(__xludf.DUMMYFUNCTION("""COMPUTED_VALUE"""),"")</f>
        <v/>
      </c>
      <c r="AC1317" s="16" t="str">
        <f>IFERROR(__xludf.DUMMYFUNCTION("""COMPUTED_VALUE"""),"")</f>
        <v/>
      </c>
    </row>
    <row r="1318">
      <c r="A1318" s="16" t="s">
        <v>87</v>
      </c>
      <c r="E1318" s="16" t="str">
        <f>IFERROR(__xludf.DUMMYFUNCTION("""COMPUTED_VALUE"""),"")</f>
        <v/>
      </c>
      <c r="G1318" s="18"/>
      <c r="H1318" s="16" t="s">
        <v>87</v>
      </c>
      <c r="I1318" s="16" t="s">
        <v>87</v>
      </c>
      <c r="J1318" s="19"/>
      <c r="L1318" s="16" t="str">
        <f>IFERROR(__xludf.DUMMYFUNCTION("""COMPUTED_VALUE"""),"")</f>
        <v/>
      </c>
      <c r="M1318" s="16" t="str">
        <f>IFERROR(__xludf.DUMMYFUNCTION("""COMPUTED_VALUE"""),"")</f>
        <v/>
      </c>
      <c r="U1318" s="16" t="s">
        <v>87</v>
      </c>
      <c r="V1318" s="16" t="str">
        <f>IFERROR(__xludf.DUMMYFUNCTION("""COMPUTED_VALUE"""),"")</f>
        <v/>
      </c>
      <c r="W1318" s="16" t="str">
        <f>IFERROR(__xludf.DUMMYFUNCTION("""COMPUTED_VALUE"""),"")</f>
        <v/>
      </c>
      <c r="X1318" s="16" t="str">
        <f>IFERROR(__xludf.DUMMYFUNCTION("""COMPUTED_VALUE"""),"")</f>
        <v/>
      </c>
      <c r="AC1318" s="16" t="str">
        <f>IFERROR(__xludf.DUMMYFUNCTION("""COMPUTED_VALUE"""),"")</f>
        <v/>
      </c>
    </row>
    <row r="1319">
      <c r="A1319" s="16" t="s">
        <v>87</v>
      </c>
      <c r="E1319" s="16" t="str">
        <f>IFERROR(__xludf.DUMMYFUNCTION("""COMPUTED_VALUE"""),"")</f>
        <v/>
      </c>
      <c r="G1319" s="18"/>
      <c r="H1319" s="16" t="s">
        <v>87</v>
      </c>
      <c r="I1319" s="16" t="s">
        <v>87</v>
      </c>
      <c r="J1319" s="19"/>
      <c r="L1319" s="16" t="str">
        <f>IFERROR(__xludf.DUMMYFUNCTION("""COMPUTED_VALUE"""),"")</f>
        <v/>
      </c>
      <c r="M1319" s="16" t="str">
        <f>IFERROR(__xludf.DUMMYFUNCTION("""COMPUTED_VALUE"""),"")</f>
        <v/>
      </c>
      <c r="U1319" s="16" t="s">
        <v>87</v>
      </c>
      <c r="V1319" s="16" t="str">
        <f>IFERROR(__xludf.DUMMYFUNCTION("""COMPUTED_VALUE"""),"")</f>
        <v/>
      </c>
      <c r="W1319" s="16" t="str">
        <f>IFERROR(__xludf.DUMMYFUNCTION("""COMPUTED_VALUE"""),"")</f>
        <v/>
      </c>
      <c r="X1319" s="16" t="str">
        <f>IFERROR(__xludf.DUMMYFUNCTION("""COMPUTED_VALUE"""),"")</f>
        <v/>
      </c>
      <c r="AC1319" s="16" t="str">
        <f>IFERROR(__xludf.DUMMYFUNCTION("""COMPUTED_VALUE"""),"")</f>
        <v/>
      </c>
    </row>
    <row r="1320">
      <c r="A1320" s="16" t="s">
        <v>87</v>
      </c>
      <c r="E1320" s="16" t="str">
        <f>IFERROR(__xludf.DUMMYFUNCTION("""COMPUTED_VALUE"""),"")</f>
        <v/>
      </c>
      <c r="G1320" s="18"/>
      <c r="H1320" s="16" t="s">
        <v>87</v>
      </c>
      <c r="I1320" s="16" t="s">
        <v>87</v>
      </c>
      <c r="J1320" s="19"/>
      <c r="L1320" s="16" t="str">
        <f>IFERROR(__xludf.DUMMYFUNCTION("""COMPUTED_VALUE"""),"")</f>
        <v/>
      </c>
      <c r="M1320" s="16" t="str">
        <f>IFERROR(__xludf.DUMMYFUNCTION("""COMPUTED_VALUE"""),"")</f>
        <v/>
      </c>
      <c r="U1320" s="16" t="s">
        <v>87</v>
      </c>
      <c r="V1320" s="16" t="str">
        <f>IFERROR(__xludf.DUMMYFUNCTION("""COMPUTED_VALUE"""),"")</f>
        <v/>
      </c>
      <c r="W1320" s="16" t="str">
        <f>IFERROR(__xludf.DUMMYFUNCTION("""COMPUTED_VALUE"""),"")</f>
        <v/>
      </c>
      <c r="X1320" s="16" t="str">
        <f>IFERROR(__xludf.DUMMYFUNCTION("""COMPUTED_VALUE"""),"")</f>
        <v/>
      </c>
      <c r="AC1320" s="16" t="str">
        <f>IFERROR(__xludf.DUMMYFUNCTION("""COMPUTED_VALUE"""),"")</f>
        <v/>
      </c>
    </row>
    <row r="1321">
      <c r="A1321" s="16" t="s">
        <v>87</v>
      </c>
      <c r="E1321" s="16" t="str">
        <f>IFERROR(__xludf.DUMMYFUNCTION("""COMPUTED_VALUE"""),"")</f>
        <v/>
      </c>
      <c r="G1321" s="18"/>
      <c r="H1321" s="16" t="s">
        <v>87</v>
      </c>
      <c r="I1321" s="16" t="s">
        <v>87</v>
      </c>
      <c r="J1321" s="19"/>
      <c r="L1321" s="16" t="str">
        <f>IFERROR(__xludf.DUMMYFUNCTION("""COMPUTED_VALUE"""),"")</f>
        <v/>
      </c>
      <c r="M1321" s="16" t="str">
        <f>IFERROR(__xludf.DUMMYFUNCTION("""COMPUTED_VALUE"""),"")</f>
        <v/>
      </c>
      <c r="U1321" s="16" t="s">
        <v>87</v>
      </c>
      <c r="V1321" s="16" t="str">
        <f>IFERROR(__xludf.DUMMYFUNCTION("""COMPUTED_VALUE"""),"")</f>
        <v/>
      </c>
      <c r="W1321" s="16" t="str">
        <f>IFERROR(__xludf.DUMMYFUNCTION("""COMPUTED_VALUE"""),"")</f>
        <v/>
      </c>
      <c r="X1321" s="16" t="str">
        <f>IFERROR(__xludf.DUMMYFUNCTION("""COMPUTED_VALUE"""),"")</f>
        <v/>
      </c>
      <c r="AC1321" s="16" t="str">
        <f>IFERROR(__xludf.DUMMYFUNCTION("""COMPUTED_VALUE"""),"")</f>
        <v/>
      </c>
    </row>
    <row r="1322">
      <c r="A1322" s="16" t="s">
        <v>87</v>
      </c>
      <c r="E1322" s="16" t="str">
        <f>IFERROR(__xludf.DUMMYFUNCTION("""COMPUTED_VALUE"""),"")</f>
        <v/>
      </c>
      <c r="G1322" s="18"/>
      <c r="H1322" s="16" t="s">
        <v>87</v>
      </c>
      <c r="I1322" s="16" t="s">
        <v>87</v>
      </c>
      <c r="J1322" s="19"/>
      <c r="L1322" s="16" t="str">
        <f>IFERROR(__xludf.DUMMYFUNCTION("""COMPUTED_VALUE"""),"")</f>
        <v/>
      </c>
      <c r="M1322" s="16" t="str">
        <f>IFERROR(__xludf.DUMMYFUNCTION("""COMPUTED_VALUE"""),"")</f>
        <v/>
      </c>
      <c r="U1322" s="16" t="s">
        <v>87</v>
      </c>
      <c r="V1322" s="16" t="str">
        <f>IFERROR(__xludf.DUMMYFUNCTION("""COMPUTED_VALUE"""),"")</f>
        <v/>
      </c>
      <c r="W1322" s="16" t="str">
        <f>IFERROR(__xludf.DUMMYFUNCTION("""COMPUTED_VALUE"""),"")</f>
        <v/>
      </c>
      <c r="X1322" s="16" t="str">
        <f>IFERROR(__xludf.DUMMYFUNCTION("""COMPUTED_VALUE"""),"")</f>
        <v/>
      </c>
      <c r="AC1322" s="16" t="str">
        <f>IFERROR(__xludf.DUMMYFUNCTION("""COMPUTED_VALUE"""),"")</f>
        <v/>
      </c>
    </row>
    <row r="1323">
      <c r="A1323" s="16" t="s">
        <v>87</v>
      </c>
      <c r="E1323" s="16" t="str">
        <f>IFERROR(__xludf.DUMMYFUNCTION("""COMPUTED_VALUE"""),"")</f>
        <v/>
      </c>
      <c r="G1323" s="18"/>
      <c r="H1323" s="16" t="s">
        <v>87</v>
      </c>
      <c r="I1323" s="16" t="s">
        <v>87</v>
      </c>
      <c r="J1323" s="19"/>
      <c r="L1323" s="16" t="str">
        <f>IFERROR(__xludf.DUMMYFUNCTION("""COMPUTED_VALUE"""),"")</f>
        <v/>
      </c>
      <c r="M1323" s="16" t="str">
        <f>IFERROR(__xludf.DUMMYFUNCTION("""COMPUTED_VALUE"""),"")</f>
        <v/>
      </c>
      <c r="U1323" s="16" t="s">
        <v>87</v>
      </c>
      <c r="V1323" s="16" t="str">
        <f>IFERROR(__xludf.DUMMYFUNCTION("""COMPUTED_VALUE"""),"")</f>
        <v/>
      </c>
      <c r="W1323" s="16" t="str">
        <f>IFERROR(__xludf.DUMMYFUNCTION("""COMPUTED_VALUE"""),"")</f>
        <v/>
      </c>
      <c r="X1323" s="16" t="str">
        <f>IFERROR(__xludf.DUMMYFUNCTION("""COMPUTED_VALUE"""),"")</f>
        <v/>
      </c>
      <c r="AC1323" s="16" t="str">
        <f>IFERROR(__xludf.DUMMYFUNCTION("""COMPUTED_VALUE"""),"")</f>
        <v/>
      </c>
    </row>
    <row r="1324">
      <c r="A1324" s="16" t="s">
        <v>87</v>
      </c>
      <c r="E1324" s="16" t="str">
        <f>IFERROR(__xludf.DUMMYFUNCTION("""COMPUTED_VALUE"""),"")</f>
        <v/>
      </c>
      <c r="G1324" s="18"/>
      <c r="H1324" s="16" t="s">
        <v>87</v>
      </c>
      <c r="I1324" s="16" t="s">
        <v>87</v>
      </c>
      <c r="J1324" s="19"/>
      <c r="L1324" s="16" t="str">
        <f>IFERROR(__xludf.DUMMYFUNCTION("""COMPUTED_VALUE"""),"")</f>
        <v/>
      </c>
      <c r="M1324" s="16" t="str">
        <f>IFERROR(__xludf.DUMMYFUNCTION("""COMPUTED_VALUE"""),"")</f>
        <v/>
      </c>
      <c r="U1324" s="16" t="s">
        <v>87</v>
      </c>
      <c r="V1324" s="16" t="str">
        <f>IFERROR(__xludf.DUMMYFUNCTION("""COMPUTED_VALUE"""),"")</f>
        <v/>
      </c>
      <c r="W1324" s="16" t="str">
        <f>IFERROR(__xludf.DUMMYFUNCTION("""COMPUTED_VALUE"""),"")</f>
        <v/>
      </c>
      <c r="X1324" s="16" t="str">
        <f>IFERROR(__xludf.DUMMYFUNCTION("""COMPUTED_VALUE"""),"")</f>
        <v/>
      </c>
      <c r="AC1324" s="16" t="str">
        <f>IFERROR(__xludf.DUMMYFUNCTION("""COMPUTED_VALUE"""),"")</f>
        <v/>
      </c>
    </row>
    <row r="1325">
      <c r="A1325" s="16" t="s">
        <v>87</v>
      </c>
      <c r="E1325" s="16" t="str">
        <f>IFERROR(__xludf.DUMMYFUNCTION("""COMPUTED_VALUE"""),"")</f>
        <v/>
      </c>
      <c r="G1325" s="18"/>
      <c r="H1325" s="16" t="s">
        <v>87</v>
      </c>
      <c r="I1325" s="16" t="s">
        <v>87</v>
      </c>
      <c r="J1325" s="19"/>
      <c r="L1325" s="16" t="str">
        <f>IFERROR(__xludf.DUMMYFUNCTION("""COMPUTED_VALUE"""),"")</f>
        <v/>
      </c>
      <c r="M1325" s="16" t="str">
        <f>IFERROR(__xludf.DUMMYFUNCTION("""COMPUTED_VALUE"""),"")</f>
        <v/>
      </c>
      <c r="U1325" s="16" t="s">
        <v>87</v>
      </c>
      <c r="V1325" s="16" t="str">
        <f>IFERROR(__xludf.DUMMYFUNCTION("""COMPUTED_VALUE"""),"")</f>
        <v/>
      </c>
      <c r="W1325" s="16" t="str">
        <f>IFERROR(__xludf.DUMMYFUNCTION("""COMPUTED_VALUE"""),"")</f>
        <v/>
      </c>
      <c r="X1325" s="16" t="str">
        <f>IFERROR(__xludf.DUMMYFUNCTION("""COMPUTED_VALUE"""),"")</f>
        <v/>
      </c>
      <c r="AC1325" s="16" t="str">
        <f>IFERROR(__xludf.DUMMYFUNCTION("""COMPUTED_VALUE"""),"")</f>
        <v/>
      </c>
    </row>
    <row r="1326">
      <c r="A1326" s="16" t="s">
        <v>87</v>
      </c>
      <c r="E1326" s="16" t="str">
        <f>IFERROR(__xludf.DUMMYFUNCTION("""COMPUTED_VALUE"""),"")</f>
        <v/>
      </c>
      <c r="G1326" s="18"/>
      <c r="H1326" s="16" t="s">
        <v>87</v>
      </c>
      <c r="I1326" s="16" t="s">
        <v>87</v>
      </c>
      <c r="J1326" s="19"/>
      <c r="L1326" s="16" t="str">
        <f>IFERROR(__xludf.DUMMYFUNCTION("""COMPUTED_VALUE"""),"")</f>
        <v/>
      </c>
      <c r="M1326" s="16" t="str">
        <f>IFERROR(__xludf.DUMMYFUNCTION("""COMPUTED_VALUE"""),"")</f>
        <v/>
      </c>
      <c r="U1326" s="16" t="s">
        <v>87</v>
      </c>
      <c r="V1326" s="16" t="str">
        <f>IFERROR(__xludf.DUMMYFUNCTION("""COMPUTED_VALUE"""),"")</f>
        <v/>
      </c>
      <c r="W1326" s="16" t="str">
        <f>IFERROR(__xludf.DUMMYFUNCTION("""COMPUTED_VALUE"""),"")</f>
        <v/>
      </c>
      <c r="X1326" s="16" t="str">
        <f>IFERROR(__xludf.DUMMYFUNCTION("""COMPUTED_VALUE"""),"")</f>
        <v/>
      </c>
      <c r="AC1326" s="16" t="str">
        <f>IFERROR(__xludf.DUMMYFUNCTION("""COMPUTED_VALUE"""),"")</f>
        <v/>
      </c>
    </row>
    <row r="1327">
      <c r="A1327" s="16" t="s">
        <v>87</v>
      </c>
      <c r="E1327" s="16" t="str">
        <f>IFERROR(__xludf.DUMMYFUNCTION("""COMPUTED_VALUE"""),"")</f>
        <v/>
      </c>
      <c r="G1327" s="18"/>
      <c r="H1327" s="16" t="s">
        <v>87</v>
      </c>
      <c r="I1327" s="16" t="s">
        <v>87</v>
      </c>
      <c r="J1327" s="19"/>
      <c r="L1327" s="16" t="str">
        <f>IFERROR(__xludf.DUMMYFUNCTION("""COMPUTED_VALUE"""),"")</f>
        <v/>
      </c>
      <c r="M1327" s="16" t="str">
        <f>IFERROR(__xludf.DUMMYFUNCTION("""COMPUTED_VALUE"""),"")</f>
        <v/>
      </c>
      <c r="U1327" s="16" t="s">
        <v>87</v>
      </c>
      <c r="V1327" s="16" t="str">
        <f>IFERROR(__xludf.DUMMYFUNCTION("""COMPUTED_VALUE"""),"")</f>
        <v/>
      </c>
      <c r="W1327" s="16" t="str">
        <f>IFERROR(__xludf.DUMMYFUNCTION("""COMPUTED_VALUE"""),"")</f>
        <v/>
      </c>
      <c r="X1327" s="16" t="str">
        <f>IFERROR(__xludf.DUMMYFUNCTION("""COMPUTED_VALUE"""),"")</f>
        <v/>
      </c>
      <c r="AC1327" s="16" t="str">
        <f>IFERROR(__xludf.DUMMYFUNCTION("""COMPUTED_VALUE"""),"")</f>
        <v/>
      </c>
    </row>
    <row r="1328">
      <c r="A1328" s="16" t="s">
        <v>87</v>
      </c>
      <c r="E1328" s="16" t="str">
        <f>IFERROR(__xludf.DUMMYFUNCTION("""COMPUTED_VALUE"""),"")</f>
        <v/>
      </c>
      <c r="G1328" s="18"/>
      <c r="H1328" s="16" t="s">
        <v>87</v>
      </c>
      <c r="I1328" s="16" t="s">
        <v>87</v>
      </c>
      <c r="J1328" s="19"/>
      <c r="L1328" s="16" t="str">
        <f>IFERROR(__xludf.DUMMYFUNCTION("""COMPUTED_VALUE"""),"")</f>
        <v/>
      </c>
      <c r="M1328" s="16" t="str">
        <f>IFERROR(__xludf.DUMMYFUNCTION("""COMPUTED_VALUE"""),"")</f>
        <v/>
      </c>
      <c r="U1328" s="16" t="s">
        <v>87</v>
      </c>
      <c r="V1328" s="16" t="str">
        <f>IFERROR(__xludf.DUMMYFUNCTION("""COMPUTED_VALUE"""),"")</f>
        <v/>
      </c>
      <c r="W1328" s="16" t="str">
        <f>IFERROR(__xludf.DUMMYFUNCTION("""COMPUTED_VALUE"""),"")</f>
        <v/>
      </c>
      <c r="X1328" s="16" t="str">
        <f>IFERROR(__xludf.DUMMYFUNCTION("""COMPUTED_VALUE"""),"")</f>
        <v/>
      </c>
      <c r="AC1328" s="16" t="str">
        <f>IFERROR(__xludf.DUMMYFUNCTION("""COMPUTED_VALUE"""),"")</f>
        <v/>
      </c>
    </row>
    <row r="1329">
      <c r="A1329" s="16" t="s">
        <v>87</v>
      </c>
      <c r="E1329" s="16" t="str">
        <f>IFERROR(__xludf.DUMMYFUNCTION("""COMPUTED_VALUE"""),"")</f>
        <v/>
      </c>
      <c r="G1329" s="18"/>
      <c r="H1329" s="16" t="s">
        <v>87</v>
      </c>
      <c r="I1329" s="16" t="s">
        <v>87</v>
      </c>
      <c r="J1329" s="19"/>
      <c r="L1329" s="16" t="str">
        <f>IFERROR(__xludf.DUMMYFUNCTION("""COMPUTED_VALUE"""),"")</f>
        <v/>
      </c>
      <c r="M1329" s="16" t="str">
        <f>IFERROR(__xludf.DUMMYFUNCTION("""COMPUTED_VALUE"""),"")</f>
        <v/>
      </c>
      <c r="U1329" s="16" t="s">
        <v>87</v>
      </c>
      <c r="V1329" s="16" t="str">
        <f>IFERROR(__xludf.DUMMYFUNCTION("""COMPUTED_VALUE"""),"")</f>
        <v/>
      </c>
      <c r="W1329" s="16" t="str">
        <f>IFERROR(__xludf.DUMMYFUNCTION("""COMPUTED_VALUE"""),"")</f>
        <v/>
      </c>
      <c r="X1329" s="16" t="str">
        <f>IFERROR(__xludf.DUMMYFUNCTION("""COMPUTED_VALUE"""),"")</f>
        <v/>
      </c>
      <c r="AC1329" s="16" t="str">
        <f>IFERROR(__xludf.DUMMYFUNCTION("""COMPUTED_VALUE"""),"")</f>
        <v/>
      </c>
    </row>
    <row r="1330">
      <c r="A1330" s="16" t="s">
        <v>87</v>
      </c>
      <c r="E1330" s="16" t="str">
        <f>IFERROR(__xludf.DUMMYFUNCTION("""COMPUTED_VALUE"""),"")</f>
        <v/>
      </c>
      <c r="G1330" s="18"/>
      <c r="H1330" s="16" t="s">
        <v>87</v>
      </c>
      <c r="I1330" s="16" t="s">
        <v>87</v>
      </c>
      <c r="J1330" s="19"/>
      <c r="L1330" s="16" t="str">
        <f>IFERROR(__xludf.DUMMYFUNCTION("""COMPUTED_VALUE"""),"")</f>
        <v/>
      </c>
      <c r="M1330" s="16" t="str">
        <f>IFERROR(__xludf.DUMMYFUNCTION("""COMPUTED_VALUE"""),"")</f>
        <v/>
      </c>
      <c r="U1330" s="16" t="s">
        <v>87</v>
      </c>
      <c r="V1330" s="16" t="str">
        <f>IFERROR(__xludf.DUMMYFUNCTION("""COMPUTED_VALUE"""),"")</f>
        <v/>
      </c>
      <c r="W1330" s="16" t="str">
        <f>IFERROR(__xludf.DUMMYFUNCTION("""COMPUTED_VALUE"""),"")</f>
        <v/>
      </c>
      <c r="X1330" s="16" t="str">
        <f>IFERROR(__xludf.DUMMYFUNCTION("""COMPUTED_VALUE"""),"")</f>
        <v/>
      </c>
      <c r="AC1330" s="16" t="str">
        <f>IFERROR(__xludf.DUMMYFUNCTION("""COMPUTED_VALUE"""),"")</f>
        <v/>
      </c>
    </row>
    <row r="1331">
      <c r="A1331" s="16" t="s">
        <v>87</v>
      </c>
      <c r="E1331" s="16" t="str">
        <f>IFERROR(__xludf.DUMMYFUNCTION("""COMPUTED_VALUE"""),"")</f>
        <v/>
      </c>
      <c r="G1331" s="18"/>
      <c r="H1331" s="16" t="s">
        <v>87</v>
      </c>
      <c r="I1331" s="16" t="s">
        <v>87</v>
      </c>
      <c r="J1331" s="19"/>
      <c r="L1331" s="16" t="str">
        <f>IFERROR(__xludf.DUMMYFUNCTION("""COMPUTED_VALUE"""),"")</f>
        <v/>
      </c>
      <c r="M1331" s="16" t="str">
        <f>IFERROR(__xludf.DUMMYFUNCTION("""COMPUTED_VALUE"""),"")</f>
        <v/>
      </c>
      <c r="U1331" s="16" t="s">
        <v>87</v>
      </c>
      <c r="V1331" s="16" t="str">
        <f>IFERROR(__xludf.DUMMYFUNCTION("""COMPUTED_VALUE"""),"")</f>
        <v/>
      </c>
      <c r="W1331" s="16" t="str">
        <f>IFERROR(__xludf.DUMMYFUNCTION("""COMPUTED_VALUE"""),"")</f>
        <v/>
      </c>
      <c r="X1331" s="16" t="str">
        <f>IFERROR(__xludf.DUMMYFUNCTION("""COMPUTED_VALUE"""),"")</f>
        <v/>
      </c>
      <c r="AC1331" s="16" t="str">
        <f>IFERROR(__xludf.DUMMYFUNCTION("""COMPUTED_VALUE"""),"")</f>
        <v/>
      </c>
    </row>
    <row r="1332">
      <c r="A1332" s="16" t="s">
        <v>87</v>
      </c>
      <c r="E1332" s="16" t="str">
        <f>IFERROR(__xludf.DUMMYFUNCTION("""COMPUTED_VALUE"""),"")</f>
        <v/>
      </c>
      <c r="G1332" s="18"/>
      <c r="H1332" s="16" t="s">
        <v>87</v>
      </c>
      <c r="I1332" s="16" t="s">
        <v>87</v>
      </c>
      <c r="J1332" s="19"/>
      <c r="L1332" s="16" t="str">
        <f>IFERROR(__xludf.DUMMYFUNCTION("""COMPUTED_VALUE"""),"")</f>
        <v/>
      </c>
      <c r="M1332" s="16" t="str">
        <f>IFERROR(__xludf.DUMMYFUNCTION("""COMPUTED_VALUE"""),"")</f>
        <v/>
      </c>
      <c r="U1332" s="16" t="s">
        <v>87</v>
      </c>
      <c r="V1332" s="16" t="str">
        <f>IFERROR(__xludf.DUMMYFUNCTION("""COMPUTED_VALUE"""),"")</f>
        <v/>
      </c>
      <c r="W1332" s="16" t="str">
        <f>IFERROR(__xludf.DUMMYFUNCTION("""COMPUTED_VALUE"""),"")</f>
        <v/>
      </c>
      <c r="X1332" s="16" t="str">
        <f>IFERROR(__xludf.DUMMYFUNCTION("""COMPUTED_VALUE"""),"")</f>
        <v/>
      </c>
      <c r="AC1332" s="16" t="str">
        <f>IFERROR(__xludf.DUMMYFUNCTION("""COMPUTED_VALUE"""),"")</f>
        <v/>
      </c>
    </row>
    <row r="1333">
      <c r="A1333" s="16" t="s">
        <v>87</v>
      </c>
      <c r="E1333" s="16" t="str">
        <f>IFERROR(__xludf.DUMMYFUNCTION("""COMPUTED_VALUE"""),"")</f>
        <v/>
      </c>
      <c r="G1333" s="18"/>
      <c r="H1333" s="16" t="s">
        <v>87</v>
      </c>
      <c r="I1333" s="16" t="s">
        <v>87</v>
      </c>
      <c r="J1333" s="19"/>
      <c r="L1333" s="16" t="str">
        <f>IFERROR(__xludf.DUMMYFUNCTION("""COMPUTED_VALUE"""),"")</f>
        <v/>
      </c>
      <c r="M1333" s="16" t="str">
        <f>IFERROR(__xludf.DUMMYFUNCTION("""COMPUTED_VALUE"""),"")</f>
        <v/>
      </c>
      <c r="U1333" s="16" t="s">
        <v>87</v>
      </c>
      <c r="V1333" s="16" t="str">
        <f>IFERROR(__xludf.DUMMYFUNCTION("""COMPUTED_VALUE"""),"")</f>
        <v/>
      </c>
      <c r="W1333" s="16" t="str">
        <f>IFERROR(__xludf.DUMMYFUNCTION("""COMPUTED_VALUE"""),"")</f>
        <v/>
      </c>
      <c r="X1333" s="16" t="str">
        <f>IFERROR(__xludf.DUMMYFUNCTION("""COMPUTED_VALUE"""),"")</f>
        <v/>
      </c>
      <c r="AC1333" s="16" t="str">
        <f>IFERROR(__xludf.DUMMYFUNCTION("""COMPUTED_VALUE"""),"")</f>
        <v/>
      </c>
    </row>
    <row r="1334">
      <c r="A1334" s="16" t="s">
        <v>87</v>
      </c>
      <c r="E1334" s="16" t="str">
        <f>IFERROR(__xludf.DUMMYFUNCTION("""COMPUTED_VALUE"""),"")</f>
        <v/>
      </c>
      <c r="G1334" s="18"/>
      <c r="H1334" s="16" t="s">
        <v>87</v>
      </c>
      <c r="I1334" s="16" t="s">
        <v>87</v>
      </c>
      <c r="J1334" s="19"/>
      <c r="L1334" s="16" t="str">
        <f>IFERROR(__xludf.DUMMYFUNCTION("""COMPUTED_VALUE"""),"")</f>
        <v/>
      </c>
      <c r="M1334" s="16" t="str">
        <f>IFERROR(__xludf.DUMMYFUNCTION("""COMPUTED_VALUE"""),"")</f>
        <v/>
      </c>
      <c r="U1334" s="16" t="s">
        <v>87</v>
      </c>
      <c r="V1334" s="16" t="str">
        <f>IFERROR(__xludf.DUMMYFUNCTION("""COMPUTED_VALUE"""),"")</f>
        <v/>
      </c>
      <c r="W1334" s="16" t="str">
        <f>IFERROR(__xludf.DUMMYFUNCTION("""COMPUTED_VALUE"""),"")</f>
        <v/>
      </c>
      <c r="X1334" s="16" t="str">
        <f>IFERROR(__xludf.DUMMYFUNCTION("""COMPUTED_VALUE"""),"")</f>
        <v/>
      </c>
      <c r="AC1334" s="16" t="str">
        <f>IFERROR(__xludf.DUMMYFUNCTION("""COMPUTED_VALUE"""),"")</f>
        <v/>
      </c>
    </row>
    <row r="1335">
      <c r="A1335" s="16" t="s">
        <v>87</v>
      </c>
      <c r="E1335" s="16" t="str">
        <f>IFERROR(__xludf.DUMMYFUNCTION("""COMPUTED_VALUE"""),"")</f>
        <v/>
      </c>
      <c r="G1335" s="18"/>
      <c r="H1335" s="16" t="s">
        <v>87</v>
      </c>
      <c r="I1335" s="16" t="s">
        <v>87</v>
      </c>
      <c r="J1335" s="19"/>
      <c r="L1335" s="16" t="str">
        <f>IFERROR(__xludf.DUMMYFUNCTION("""COMPUTED_VALUE"""),"")</f>
        <v/>
      </c>
      <c r="M1335" s="16" t="str">
        <f>IFERROR(__xludf.DUMMYFUNCTION("""COMPUTED_VALUE"""),"")</f>
        <v/>
      </c>
      <c r="U1335" s="16" t="s">
        <v>87</v>
      </c>
      <c r="V1335" s="16" t="str">
        <f>IFERROR(__xludf.DUMMYFUNCTION("""COMPUTED_VALUE"""),"")</f>
        <v/>
      </c>
      <c r="W1335" s="16" t="str">
        <f>IFERROR(__xludf.DUMMYFUNCTION("""COMPUTED_VALUE"""),"")</f>
        <v/>
      </c>
      <c r="X1335" s="16" t="str">
        <f>IFERROR(__xludf.DUMMYFUNCTION("""COMPUTED_VALUE"""),"")</f>
        <v/>
      </c>
      <c r="AC1335" s="16" t="str">
        <f>IFERROR(__xludf.DUMMYFUNCTION("""COMPUTED_VALUE"""),"")</f>
        <v/>
      </c>
    </row>
    <row r="1336">
      <c r="A1336" s="16" t="s">
        <v>87</v>
      </c>
      <c r="E1336" s="16" t="str">
        <f>IFERROR(__xludf.DUMMYFUNCTION("""COMPUTED_VALUE"""),"")</f>
        <v/>
      </c>
      <c r="G1336" s="18"/>
      <c r="H1336" s="16" t="s">
        <v>87</v>
      </c>
      <c r="I1336" s="16" t="s">
        <v>87</v>
      </c>
      <c r="J1336" s="19"/>
      <c r="L1336" s="16" t="str">
        <f>IFERROR(__xludf.DUMMYFUNCTION("""COMPUTED_VALUE"""),"")</f>
        <v/>
      </c>
      <c r="M1336" s="16" t="str">
        <f>IFERROR(__xludf.DUMMYFUNCTION("""COMPUTED_VALUE"""),"")</f>
        <v/>
      </c>
      <c r="U1336" s="16" t="s">
        <v>87</v>
      </c>
      <c r="V1336" s="16" t="str">
        <f>IFERROR(__xludf.DUMMYFUNCTION("""COMPUTED_VALUE"""),"")</f>
        <v/>
      </c>
      <c r="W1336" s="16" t="str">
        <f>IFERROR(__xludf.DUMMYFUNCTION("""COMPUTED_VALUE"""),"")</f>
        <v/>
      </c>
      <c r="X1336" s="16" t="str">
        <f>IFERROR(__xludf.DUMMYFUNCTION("""COMPUTED_VALUE"""),"")</f>
        <v/>
      </c>
      <c r="AC1336" s="16" t="str">
        <f>IFERROR(__xludf.DUMMYFUNCTION("""COMPUTED_VALUE"""),"")</f>
        <v/>
      </c>
    </row>
    <row r="1337">
      <c r="A1337" s="16" t="s">
        <v>87</v>
      </c>
      <c r="E1337" s="16" t="str">
        <f>IFERROR(__xludf.DUMMYFUNCTION("""COMPUTED_VALUE"""),"")</f>
        <v/>
      </c>
      <c r="G1337" s="18"/>
      <c r="H1337" s="16" t="s">
        <v>87</v>
      </c>
      <c r="I1337" s="16" t="s">
        <v>87</v>
      </c>
      <c r="J1337" s="19"/>
      <c r="L1337" s="16" t="str">
        <f>IFERROR(__xludf.DUMMYFUNCTION("""COMPUTED_VALUE"""),"")</f>
        <v/>
      </c>
      <c r="M1337" s="16" t="str">
        <f>IFERROR(__xludf.DUMMYFUNCTION("""COMPUTED_VALUE"""),"")</f>
        <v/>
      </c>
      <c r="U1337" s="16" t="s">
        <v>87</v>
      </c>
      <c r="V1337" s="16" t="str">
        <f>IFERROR(__xludf.DUMMYFUNCTION("""COMPUTED_VALUE"""),"")</f>
        <v/>
      </c>
      <c r="W1337" s="16" t="str">
        <f>IFERROR(__xludf.DUMMYFUNCTION("""COMPUTED_VALUE"""),"")</f>
        <v/>
      </c>
      <c r="X1337" s="16" t="str">
        <f>IFERROR(__xludf.DUMMYFUNCTION("""COMPUTED_VALUE"""),"")</f>
        <v/>
      </c>
      <c r="AC1337" s="16" t="str">
        <f>IFERROR(__xludf.DUMMYFUNCTION("""COMPUTED_VALUE"""),"")</f>
        <v/>
      </c>
    </row>
    <row r="1338">
      <c r="A1338" s="16" t="s">
        <v>87</v>
      </c>
      <c r="E1338" s="16" t="str">
        <f>IFERROR(__xludf.DUMMYFUNCTION("""COMPUTED_VALUE"""),"")</f>
        <v/>
      </c>
      <c r="G1338" s="18"/>
      <c r="H1338" s="16" t="s">
        <v>87</v>
      </c>
      <c r="I1338" s="16" t="s">
        <v>87</v>
      </c>
      <c r="J1338" s="19"/>
      <c r="L1338" s="16" t="str">
        <f>IFERROR(__xludf.DUMMYFUNCTION("""COMPUTED_VALUE"""),"")</f>
        <v/>
      </c>
      <c r="M1338" s="16" t="str">
        <f>IFERROR(__xludf.DUMMYFUNCTION("""COMPUTED_VALUE"""),"")</f>
        <v/>
      </c>
      <c r="U1338" s="16" t="s">
        <v>87</v>
      </c>
      <c r="V1338" s="16" t="str">
        <f>IFERROR(__xludf.DUMMYFUNCTION("""COMPUTED_VALUE"""),"")</f>
        <v/>
      </c>
      <c r="W1338" s="16" t="str">
        <f>IFERROR(__xludf.DUMMYFUNCTION("""COMPUTED_VALUE"""),"")</f>
        <v/>
      </c>
      <c r="X1338" s="16" t="str">
        <f>IFERROR(__xludf.DUMMYFUNCTION("""COMPUTED_VALUE"""),"")</f>
        <v/>
      </c>
      <c r="AC1338" s="16" t="str">
        <f>IFERROR(__xludf.DUMMYFUNCTION("""COMPUTED_VALUE"""),"")</f>
        <v/>
      </c>
    </row>
    <row r="1339">
      <c r="A1339" s="16" t="s">
        <v>87</v>
      </c>
      <c r="E1339" s="16" t="str">
        <f>IFERROR(__xludf.DUMMYFUNCTION("""COMPUTED_VALUE"""),"")</f>
        <v/>
      </c>
      <c r="G1339" s="18"/>
      <c r="H1339" s="16" t="s">
        <v>87</v>
      </c>
      <c r="I1339" s="16" t="s">
        <v>87</v>
      </c>
      <c r="J1339" s="19"/>
      <c r="L1339" s="16" t="str">
        <f>IFERROR(__xludf.DUMMYFUNCTION("""COMPUTED_VALUE"""),"")</f>
        <v/>
      </c>
      <c r="M1339" s="16" t="str">
        <f>IFERROR(__xludf.DUMMYFUNCTION("""COMPUTED_VALUE"""),"")</f>
        <v/>
      </c>
      <c r="U1339" s="16" t="s">
        <v>87</v>
      </c>
      <c r="V1339" s="16" t="str">
        <f>IFERROR(__xludf.DUMMYFUNCTION("""COMPUTED_VALUE"""),"")</f>
        <v/>
      </c>
      <c r="W1339" s="16" t="str">
        <f>IFERROR(__xludf.DUMMYFUNCTION("""COMPUTED_VALUE"""),"")</f>
        <v/>
      </c>
      <c r="X1339" s="16" t="str">
        <f>IFERROR(__xludf.DUMMYFUNCTION("""COMPUTED_VALUE"""),"")</f>
        <v/>
      </c>
      <c r="AC1339" s="16" t="str">
        <f>IFERROR(__xludf.DUMMYFUNCTION("""COMPUTED_VALUE"""),"")</f>
        <v/>
      </c>
    </row>
    <row r="1340">
      <c r="A1340" s="16" t="s">
        <v>87</v>
      </c>
      <c r="E1340" s="16" t="str">
        <f>IFERROR(__xludf.DUMMYFUNCTION("""COMPUTED_VALUE"""),"")</f>
        <v/>
      </c>
      <c r="G1340" s="18"/>
      <c r="H1340" s="16" t="s">
        <v>87</v>
      </c>
      <c r="I1340" s="16" t="s">
        <v>87</v>
      </c>
      <c r="J1340" s="19"/>
      <c r="L1340" s="16" t="str">
        <f>IFERROR(__xludf.DUMMYFUNCTION("""COMPUTED_VALUE"""),"")</f>
        <v/>
      </c>
      <c r="M1340" s="16" t="str">
        <f>IFERROR(__xludf.DUMMYFUNCTION("""COMPUTED_VALUE"""),"")</f>
        <v/>
      </c>
      <c r="U1340" s="16" t="s">
        <v>87</v>
      </c>
      <c r="V1340" s="16" t="str">
        <f>IFERROR(__xludf.DUMMYFUNCTION("""COMPUTED_VALUE"""),"")</f>
        <v/>
      </c>
      <c r="W1340" s="16" t="str">
        <f>IFERROR(__xludf.DUMMYFUNCTION("""COMPUTED_VALUE"""),"")</f>
        <v/>
      </c>
      <c r="X1340" s="16" t="str">
        <f>IFERROR(__xludf.DUMMYFUNCTION("""COMPUTED_VALUE"""),"")</f>
        <v/>
      </c>
      <c r="AC1340" s="16" t="str">
        <f>IFERROR(__xludf.DUMMYFUNCTION("""COMPUTED_VALUE"""),"")</f>
        <v/>
      </c>
    </row>
    <row r="1341">
      <c r="A1341" s="16" t="s">
        <v>87</v>
      </c>
      <c r="E1341" s="16" t="str">
        <f>IFERROR(__xludf.DUMMYFUNCTION("""COMPUTED_VALUE"""),"")</f>
        <v/>
      </c>
      <c r="G1341" s="18"/>
      <c r="H1341" s="16" t="s">
        <v>87</v>
      </c>
      <c r="I1341" s="16" t="s">
        <v>87</v>
      </c>
      <c r="J1341" s="19"/>
      <c r="L1341" s="16" t="str">
        <f>IFERROR(__xludf.DUMMYFUNCTION("""COMPUTED_VALUE"""),"")</f>
        <v/>
      </c>
      <c r="M1341" s="16" t="str">
        <f>IFERROR(__xludf.DUMMYFUNCTION("""COMPUTED_VALUE"""),"")</f>
        <v/>
      </c>
      <c r="U1341" s="16" t="s">
        <v>87</v>
      </c>
      <c r="V1341" s="16" t="str">
        <f>IFERROR(__xludf.DUMMYFUNCTION("""COMPUTED_VALUE"""),"")</f>
        <v/>
      </c>
      <c r="W1341" s="16" t="str">
        <f>IFERROR(__xludf.DUMMYFUNCTION("""COMPUTED_VALUE"""),"")</f>
        <v/>
      </c>
      <c r="X1341" s="16" t="str">
        <f>IFERROR(__xludf.DUMMYFUNCTION("""COMPUTED_VALUE"""),"")</f>
        <v/>
      </c>
      <c r="AC1341" s="16" t="str">
        <f>IFERROR(__xludf.DUMMYFUNCTION("""COMPUTED_VALUE"""),"")</f>
        <v/>
      </c>
    </row>
    <row r="1342">
      <c r="A1342" s="16" t="s">
        <v>87</v>
      </c>
      <c r="E1342" s="16" t="str">
        <f>IFERROR(__xludf.DUMMYFUNCTION("""COMPUTED_VALUE"""),"")</f>
        <v/>
      </c>
      <c r="G1342" s="18"/>
      <c r="H1342" s="16" t="s">
        <v>87</v>
      </c>
      <c r="I1342" s="16" t="s">
        <v>87</v>
      </c>
      <c r="J1342" s="19"/>
      <c r="L1342" s="16" t="str">
        <f>IFERROR(__xludf.DUMMYFUNCTION("""COMPUTED_VALUE"""),"")</f>
        <v/>
      </c>
      <c r="M1342" s="16" t="str">
        <f>IFERROR(__xludf.DUMMYFUNCTION("""COMPUTED_VALUE"""),"")</f>
        <v/>
      </c>
      <c r="U1342" s="16" t="s">
        <v>87</v>
      </c>
      <c r="V1342" s="16" t="str">
        <f>IFERROR(__xludf.DUMMYFUNCTION("""COMPUTED_VALUE"""),"")</f>
        <v/>
      </c>
      <c r="W1342" s="16" t="str">
        <f>IFERROR(__xludf.DUMMYFUNCTION("""COMPUTED_VALUE"""),"")</f>
        <v/>
      </c>
      <c r="X1342" s="16" t="str">
        <f>IFERROR(__xludf.DUMMYFUNCTION("""COMPUTED_VALUE"""),"")</f>
        <v/>
      </c>
      <c r="AC1342" s="16" t="str">
        <f>IFERROR(__xludf.DUMMYFUNCTION("""COMPUTED_VALUE"""),"")</f>
        <v/>
      </c>
    </row>
    <row r="1343">
      <c r="A1343" s="16" t="s">
        <v>87</v>
      </c>
      <c r="E1343" s="16" t="str">
        <f>IFERROR(__xludf.DUMMYFUNCTION("""COMPUTED_VALUE"""),"")</f>
        <v/>
      </c>
      <c r="G1343" s="18"/>
      <c r="H1343" s="16" t="s">
        <v>87</v>
      </c>
      <c r="I1343" s="16" t="s">
        <v>87</v>
      </c>
      <c r="J1343" s="19"/>
      <c r="L1343" s="16" t="str">
        <f>IFERROR(__xludf.DUMMYFUNCTION("""COMPUTED_VALUE"""),"")</f>
        <v/>
      </c>
      <c r="M1343" s="16" t="str">
        <f>IFERROR(__xludf.DUMMYFUNCTION("""COMPUTED_VALUE"""),"")</f>
        <v/>
      </c>
      <c r="U1343" s="16" t="s">
        <v>87</v>
      </c>
      <c r="V1343" s="16" t="str">
        <f>IFERROR(__xludf.DUMMYFUNCTION("""COMPUTED_VALUE"""),"")</f>
        <v/>
      </c>
      <c r="W1343" s="16" t="str">
        <f>IFERROR(__xludf.DUMMYFUNCTION("""COMPUTED_VALUE"""),"")</f>
        <v/>
      </c>
      <c r="X1343" s="16" t="str">
        <f>IFERROR(__xludf.DUMMYFUNCTION("""COMPUTED_VALUE"""),"")</f>
        <v/>
      </c>
      <c r="AC1343" s="16" t="str">
        <f>IFERROR(__xludf.DUMMYFUNCTION("""COMPUTED_VALUE"""),"")</f>
        <v/>
      </c>
    </row>
    <row r="1344">
      <c r="A1344" s="16" t="s">
        <v>87</v>
      </c>
      <c r="E1344" s="16" t="str">
        <f>IFERROR(__xludf.DUMMYFUNCTION("""COMPUTED_VALUE"""),"")</f>
        <v/>
      </c>
      <c r="G1344" s="18"/>
      <c r="H1344" s="16" t="s">
        <v>87</v>
      </c>
      <c r="I1344" s="16" t="s">
        <v>87</v>
      </c>
      <c r="J1344" s="19"/>
      <c r="L1344" s="16" t="str">
        <f>IFERROR(__xludf.DUMMYFUNCTION("""COMPUTED_VALUE"""),"")</f>
        <v/>
      </c>
      <c r="M1344" s="16" t="str">
        <f>IFERROR(__xludf.DUMMYFUNCTION("""COMPUTED_VALUE"""),"")</f>
        <v/>
      </c>
      <c r="U1344" s="16" t="s">
        <v>87</v>
      </c>
      <c r="V1344" s="16" t="str">
        <f>IFERROR(__xludf.DUMMYFUNCTION("""COMPUTED_VALUE"""),"")</f>
        <v/>
      </c>
      <c r="W1344" s="16" t="str">
        <f>IFERROR(__xludf.DUMMYFUNCTION("""COMPUTED_VALUE"""),"")</f>
        <v/>
      </c>
      <c r="X1344" s="16" t="str">
        <f>IFERROR(__xludf.DUMMYFUNCTION("""COMPUTED_VALUE"""),"")</f>
        <v/>
      </c>
      <c r="AC1344" s="16" t="str">
        <f>IFERROR(__xludf.DUMMYFUNCTION("""COMPUTED_VALUE"""),"")</f>
        <v/>
      </c>
    </row>
    <row r="1345">
      <c r="A1345" s="16" t="s">
        <v>87</v>
      </c>
      <c r="E1345" s="16" t="str">
        <f>IFERROR(__xludf.DUMMYFUNCTION("""COMPUTED_VALUE"""),"")</f>
        <v/>
      </c>
      <c r="G1345" s="18"/>
      <c r="H1345" s="16" t="s">
        <v>87</v>
      </c>
      <c r="I1345" s="16" t="s">
        <v>87</v>
      </c>
      <c r="J1345" s="19"/>
      <c r="L1345" s="16" t="str">
        <f>IFERROR(__xludf.DUMMYFUNCTION("""COMPUTED_VALUE"""),"")</f>
        <v/>
      </c>
      <c r="M1345" s="16" t="str">
        <f>IFERROR(__xludf.DUMMYFUNCTION("""COMPUTED_VALUE"""),"")</f>
        <v/>
      </c>
      <c r="U1345" s="16" t="s">
        <v>87</v>
      </c>
      <c r="V1345" s="16" t="str">
        <f>IFERROR(__xludf.DUMMYFUNCTION("""COMPUTED_VALUE"""),"")</f>
        <v/>
      </c>
      <c r="W1345" s="16" t="str">
        <f>IFERROR(__xludf.DUMMYFUNCTION("""COMPUTED_VALUE"""),"")</f>
        <v/>
      </c>
      <c r="X1345" s="16" t="str">
        <f>IFERROR(__xludf.DUMMYFUNCTION("""COMPUTED_VALUE"""),"")</f>
        <v/>
      </c>
      <c r="AC1345" s="16" t="str">
        <f>IFERROR(__xludf.DUMMYFUNCTION("""COMPUTED_VALUE"""),"")</f>
        <v/>
      </c>
    </row>
    <row r="1346">
      <c r="A1346" s="16" t="s">
        <v>87</v>
      </c>
      <c r="E1346" s="16" t="str">
        <f>IFERROR(__xludf.DUMMYFUNCTION("""COMPUTED_VALUE"""),"")</f>
        <v/>
      </c>
      <c r="G1346" s="18"/>
      <c r="H1346" s="16" t="s">
        <v>87</v>
      </c>
      <c r="I1346" s="16" t="s">
        <v>87</v>
      </c>
      <c r="J1346" s="19"/>
      <c r="L1346" s="16" t="str">
        <f>IFERROR(__xludf.DUMMYFUNCTION("""COMPUTED_VALUE"""),"")</f>
        <v/>
      </c>
      <c r="M1346" s="16" t="str">
        <f>IFERROR(__xludf.DUMMYFUNCTION("""COMPUTED_VALUE"""),"")</f>
        <v/>
      </c>
      <c r="U1346" s="16" t="s">
        <v>87</v>
      </c>
      <c r="V1346" s="16" t="str">
        <f>IFERROR(__xludf.DUMMYFUNCTION("""COMPUTED_VALUE"""),"")</f>
        <v/>
      </c>
      <c r="W1346" s="16" t="str">
        <f>IFERROR(__xludf.DUMMYFUNCTION("""COMPUTED_VALUE"""),"")</f>
        <v/>
      </c>
      <c r="X1346" s="16" t="str">
        <f>IFERROR(__xludf.DUMMYFUNCTION("""COMPUTED_VALUE"""),"")</f>
        <v/>
      </c>
      <c r="AC1346" s="16" t="str">
        <f>IFERROR(__xludf.DUMMYFUNCTION("""COMPUTED_VALUE"""),"")</f>
        <v/>
      </c>
    </row>
    <row r="1347">
      <c r="A1347" s="16" t="s">
        <v>87</v>
      </c>
      <c r="E1347" s="16" t="str">
        <f>IFERROR(__xludf.DUMMYFUNCTION("""COMPUTED_VALUE"""),"")</f>
        <v/>
      </c>
      <c r="G1347" s="18"/>
      <c r="H1347" s="16" t="s">
        <v>87</v>
      </c>
      <c r="I1347" s="16" t="s">
        <v>87</v>
      </c>
      <c r="J1347" s="19"/>
      <c r="L1347" s="16" t="str">
        <f>IFERROR(__xludf.DUMMYFUNCTION("""COMPUTED_VALUE"""),"")</f>
        <v/>
      </c>
      <c r="M1347" s="16" t="str">
        <f>IFERROR(__xludf.DUMMYFUNCTION("""COMPUTED_VALUE"""),"")</f>
        <v/>
      </c>
      <c r="U1347" s="16" t="s">
        <v>87</v>
      </c>
      <c r="V1347" s="16" t="str">
        <f>IFERROR(__xludf.DUMMYFUNCTION("""COMPUTED_VALUE"""),"")</f>
        <v/>
      </c>
      <c r="W1347" s="16" t="str">
        <f>IFERROR(__xludf.DUMMYFUNCTION("""COMPUTED_VALUE"""),"")</f>
        <v/>
      </c>
      <c r="X1347" s="16" t="str">
        <f>IFERROR(__xludf.DUMMYFUNCTION("""COMPUTED_VALUE"""),"")</f>
        <v/>
      </c>
      <c r="AC1347" s="16" t="str">
        <f>IFERROR(__xludf.DUMMYFUNCTION("""COMPUTED_VALUE"""),"")</f>
        <v/>
      </c>
    </row>
    <row r="1348">
      <c r="A1348" s="16" t="s">
        <v>87</v>
      </c>
      <c r="E1348" s="16" t="str">
        <f>IFERROR(__xludf.DUMMYFUNCTION("""COMPUTED_VALUE"""),"")</f>
        <v/>
      </c>
      <c r="G1348" s="18"/>
      <c r="H1348" s="16" t="s">
        <v>87</v>
      </c>
      <c r="I1348" s="16" t="s">
        <v>87</v>
      </c>
      <c r="J1348" s="19"/>
      <c r="L1348" s="16" t="str">
        <f>IFERROR(__xludf.DUMMYFUNCTION("""COMPUTED_VALUE"""),"")</f>
        <v/>
      </c>
      <c r="M1348" s="16" t="str">
        <f>IFERROR(__xludf.DUMMYFUNCTION("""COMPUTED_VALUE"""),"")</f>
        <v/>
      </c>
      <c r="U1348" s="16" t="s">
        <v>87</v>
      </c>
      <c r="V1348" s="16" t="str">
        <f>IFERROR(__xludf.DUMMYFUNCTION("""COMPUTED_VALUE"""),"")</f>
        <v/>
      </c>
      <c r="W1348" s="16" t="str">
        <f>IFERROR(__xludf.DUMMYFUNCTION("""COMPUTED_VALUE"""),"")</f>
        <v/>
      </c>
      <c r="X1348" s="16" t="str">
        <f>IFERROR(__xludf.DUMMYFUNCTION("""COMPUTED_VALUE"""),"")</f>
        <v/>
      </c>
      <c r="AC1348" s="16" t="str">
        <f>IFERROR(__xludf.DUMMYFUNCTION("""COMPUTED_VALUE"""),"")</f>
        <v/>
      </c>
    </row>
    <row r="1349">
      <c r="A1349" s="16" t="s">
        <v>87</v>
      </c>
      <c r="E1349" s="16" t="str">
        <f>IFERROR(__xludf.DUMMYFUNCTION("""COMPUTED_VALUE"""),"")</f>
        <v/>
      </c>
      <c r="G1349" s="18"/>
      <c r="H1349" s="16" t="s">
        <v>87</v>
      </c>
      <c r="I1349" s="16" t="s">
        <v>87</v>
      </c>
      <c r="J1349" s="19"/>
      <c r="L1349" s="16" t="str">
        <f>IFERROR(__xludf.DUMMYFUNCTION("""COMPUTED_VALUE"""),"")</f>
        <v/>
      </c>
      <c r="M1349" s="16" t="str">
        <f>IFERROR(__xludf.DUMMYFUNCTION("""COMPUTED_VALUE"""),"")</f>
        <v/>
      </c>
      <c r="U1349" s="16" t="s">
        <v>87</v>
      </c>
      <c r="V1349" s="16" t="str">
        <f>IFERROR(__xludf.DUMMYFUNCTION("""COMPUTED_VALUE"""),"")</f>
        <v/>
      </c>
      <c r="W1349" s="16" t="str">
        <f>IFERROR(__xludf.DUMMYFUNCTION("""COMPUTED_VALUE"""),"")</f>
        <v/>
      </c>
      <c r="X1349" s="16" t="str">
        <f>IFERROR(__xludf.DUMMYFUNCTION("""COMPUTED_VALUE"""),"")</f>
        <v/>
      </c>
      <c r="AC1349" s="16" t="str">
        <f>IFERROR(__xludf.DUMMYFUNCTION("""COMPUTED_VALUE"""),"")</f>
        <v/>
      </c>
    </row>
    <row r="1350">
      <c r="A1350" s="16" t="s">
        <v>87</v>
      </c>
      <c r="E1350" s="16" t="str">
        <f>IFERROR(__xludf.DUMMYFUNCTION("""COMPUTED_VALUE"""),"")</f>
        <v/>
      </c>
      <c r="G1350" s="18"/>
      <c r="H1350" s="16" t="s">
        <v>87</v>
      </c>
      <c r="I1350" s="16" t="s">
        <v>87</v>
      </c>
      <c r="J1350" s="19"/>
      <c r="L1350" s="16" t="str">
        <f>IFERROR(__xludf.DUMMYFUNCTION("""COMPUTED_VALUE"""),"")</f>
        <v/>
      </c>
      <c r="M1350" s="16" t="str">
        <f>IFERROR(__xludf.DUMMYFUNCTION("""COMPUTED_VALUE"""),"")</f>
        <v/>
      </c>
      <c r="U1350" s="16" t="s">
        <v>87</v>
      </c>
      <c r="V1350" s="16" t="str">
        <f>IFERROR(__xludf.DUMMYFUNCTION("""COMPUTED_VALUE"""),"")</f>
        <v/>
      </c>
      <c r="W1350" s="16" t="str">
        <f>IFERROR(__xludf.DUMMYFUNCTION("""COMPUTED_VALUE"""),"")</f>
        <v/>
      </c>
      <c r="X1350" s="16" t="str">
        <f>IFERROR(__xludf.DUMMYFUNCTION("""COMPUTED_VALUE"""),"")</f>
        <v/>
      </c>
      <c r="AC1350" s="16" t="str">
        <f>IFERROR(__xludf.DUMMYFUNCTION("""COMPUTED_VALUE"""),"")</f>
        <v/>
      </c>
    </row>
    <row r="1351">
      <c r="A1351" s="16" t="s">
        <v>87</v>
      </c>
      <c r="E1351" s="16" t="str">
        <f>IFERROR(__xludf.DUMMYFUNCTION("""COMPUTED_VALUE"""),"")</f>
        <v/>
      </c>
      <c r="G1351" s="18"/>
      <c r="H1351" s="16" t="s">
        <v>87</v>
      </c>
      <c r="I1351" s="16" t="s">
        <v>87</v>
      </c>
      <c r="J1351" s="19"/>
      <c r="L1351" s="16" t="str">
        <f>IFERROR(__xludf.DUMMYFUNCTION("""COMPUTED_VALUE"""),"")</f>
        <v/>
      </c>
      <c r="M1351" s="16" t="str">
        <f>IFERROR(__xludf.DUMMYFUNCTION("""COMPUTED_VALUE"""),"")</f>
        <v/>
      </c>
      <c r="U1351" s="16" t="s">
        <v>87</v>
      </c>
      <c r="V1351" s="16" t="str">
        <f>IFERROR(__xludf.DUMMYFUNCTION("""COMPUTED_VALUE"""),"")</f>
        <v/>
      </c>
      <c r="W1351" s="16" t="str">
        <f>IFERROR(__xludf.DUMMYFUNCTION("""COMPUTED_VALUE"""),"")</f>
        <v/>
      </c>
      <c r="X1351" s="16" t="str">
        <f>IFERROR(__xludf.DUMMYFUNCTION("""COMPUTED_VALUE"""),"")</f>
        <v/>
      </c>
      <c r="AC1351" s="16" t="str">
        <f>IFERROR(__xludf.DUMMYFUNCTION("""COMPUTED_VALUE"""),"")</f>
        <v/>
      </c>
    </row>
    <row r="1352">
      <c r="A1352" s="16" t="s">
        <v>87</v>
      </c>
      <c r="E1352" s="16" t="str">
        <f>IFERROR(__xludf.DUMMYFUNCTION("""COMPUTED_VALUE"""),"")</f>
        <v/>
      </c>
      <c r="G1352" s="18"/>
      <c r="H1352" s="16" t="s">
        <v>87</v>
      </c>
      <c r="I1352" s="16" t="s">
        <v>87</v>
      </c>
      <c r="J1352" s="19"/>
      <c r="L1352" s="16" t="str">
        <f>IFERROR(__xludf.DUMMYFUNCTION("""COMPUTED_VALUE"""),"")</f>
        <v/>
      </c>
      <c r="M1352" s="16" t="str">
        <f>IFERROR(__xludf.DUMMYFUNCTION("""COMPUTED_VALUE"""),"")</f>
        <v/>
      </c>
      <c r="U1352" s="16" t="s">
        <v>87</v>
      </c>
      <c r="V1352" s="16" t="str">
        <f>IFERROR(__xludf.DUMMYFUNCTION("""COMPUTED_VALUE"""),"")</f>
        <v/>
      </c>
      <c r="W1352" s="16" t="str">
        <f>IFERROR(__xludf.DUMMYFUNCTION("""COMPUTED_VALUE"""),"")</f>
        <v/>
      </c>
      <c r="X1352" s="16" t="str">
        <f>IFERROR(__xludf.DUMMYFUNCTION("""COMPUTED_VALUE"""),"")</f>
        <v/>
      </c>
      <c r="AC1352" s="16" t="str">
        <f>IFERROR(__xludf.DUMMYFUNCTION("""COMPUTED_VALUE"""),"")</f>
        <v/>
      </c>
    </row>
    <row r="1353">
      <c r="A1353" s="16" t="s">
        <v>87</v>
      </c>
      <c r="E1353" s="16" t="str">
        <f>IFERROR(__xludf.DUMMYFUNCTION("""COMPUTED_VALUE"""),"")</f>
        <v/>
      </c>
      <c r="G1353" s="18"/>
      <c r="H1353" s="16" t="s">
        <v>87</v>
      </c>
      <c r="I1353" s="16" t="s">
        <v>87</v>
      </c>
      <c r="J1353" s="19"/>
      <c r="L1353" s="16" t="str">
        <f>IFERROR(__xludf.DUMMYFUNCTION("""COMPUTED_VALUE"""),"")</f>
        <v/>
      </c>
      <c r="M1353" s="16" t="str">
        <f>IFERROR(__xludf.DUMMYFUNCTION("""COMPUTED_VALUE"""),"")</f>
        <v/>
      </c>
      <c r="U1353" s="16" t="s">
        <v>87</v>
      </c>
      <c r="V1353" s="16" t="str">
        <f>IFERROR(__xludf.DUMMYFUNCTION("""COMPUTED_VALUE"""),"")</f>
        <v/>
      </c>
      <c r="W1353" s="16" t="str">
        <f>IFERROR(__xludf.DUMMYFUNCTION("""COMPUTED_VALUE"""),"")</f>
        <v/>
      </c>
      <c r="X1353" s="16" t="str">
        <f>IFERROR(__xludf.DUMMYFUNCTION("""COMPUTED_VALUE"""),"")</f>
        <v/>
      </c>
      <c r="AC1353" s="16" t="str">
        <f>IFERROR(__xludf.DUMMYFUNCTION("""COMPUTED_VALUE"""),"")</f>
        <v/>
      </c>
    </row>
    <row r="1354">
      <c r="A1354" s="16" t="s">
        <v>87</v>
      </c>
      <c r="E1354" s="16" t="str">
        <f>IFERROR(__xludf.DUMMYFUNCTION("""COMPUTED_VALUE"""),"")</f>
        <v/>
      </c>
      <c r="G1354" s="18"/>
      <c r="H1354" s="16" t="s">
        <v>87</v>
      </c>
      <c r="I1354" s="16" t="s">
        <v>87</v>
      </c>
      <c r="J1354" s="19"/>
      <c r="L1354" s="16" t="str">
        <f>IFERROR(__xludf.DUMMYFUNCTION("""COMPUTED_VALUE"""),"")</f>
        <v/>
      </c>
      <c r="M1354" s="16" t="str">
        <f>IFERROR(__xludf.DUMMYFUNCTION("""COMPUTED_VALUE"""),"")</f>
        <v/>
      </c>
      <c r="U1354" s="16" t="s">
        <v>87</v>
      </c>
      <c r="V1354" s="16" t="str">
        <f>IFERROR(__xludf.DUMMYFUNCTION("""COMPUTED_VALUE"""),"")</f>
        <v/>
      </c>
      <c r="W1354" s="16" t="str">
        <f>IFERROR(__xludf.DUMMYFUNCTION("""COMPUTED_VALUE"""),"")</f>
        <v/>
      </c>
      <c r="X1354" s="16" t="str">
        <f>IFERROR(__xludf.DUMMYFUNCTION("""COMPUTED_VALUE"""),"")</f>
        <v/>
      </c>
      <c r="AC1354" s="16" t="str">
        <f>IFERROR(__xludf.DUMMYFUNCTION("""COMPUTED_VALUE"""),"")</f>
        <v/>
      </c>
    </row>
    <row r="1355">
      <c r="A1355" s="16" t="s">
        <v>87</v>
      </c>
      <c r="E1355" s="16" t="str">
        <f>IFERROR(__xludf.DUMMYFUNCTION("""COMPUTED_VALUE"""),"")</f>
        <v/>
      </c>
      <c r="G1355" s="18"/>
      <c r="H1355" s="16" t="s">
        <v>87</v>
      </c>
      <c r="I1355" s="16" t="s">
        <v>87</v>
      </c>
      <c r="J1355" s="19"/>
      <c r="L1355" s="16" t="str">
        <f>IFERROR(__xludf.DUMMYFUNCTION("""COMPUTED_VALUE"""),"")</f>
        <v/>
      </c>
      <c r="M1355" s="16" t="str">
        <f>IFERROR(__xludf.DUMMYFUNCTION("""COMPUTED_VALUE"""),"")</f>
        <v/>
      </c>
      <c r="U1355" s="16" t="s">
        <v>87</v>
      </c>
      <c r="V1355" s="16" t="str">
        <f>IFERROR(__xludf.DUMMYFUNCTION("""COMPUTED_VALUE"""),"")</f>
        <v/>
      </c>
      <c r="W1355" s="16" t="str">
        <f>IFERROR(__xludf.DUMMYFUNCTION("""COMPUTED_VALUE"""),"")</f>
        <v/>
      </c>
      <c r="X1355" s="16" t="str">
        <f>IFERROR(__xludf.DUMMYFUNCTION("""COMPUTED_VALUE"""),"")</f>
        <v/>
      </c>
      <c r="AC1355" s="16" t="str">
        <f>IFERROR(__xludf.DUMMYFUNCTION("""COMPUTED_VALUE"""),"")</f>
        <v/>
      </c>
    </row>
    <row r="1356">
      <c r="A1356" s="16" t="s">
        <v>87</v>
      </c>
      <c r="E1356" s="16" t="str">
        <f>IFERROR(__xludf.DUMMYFUNCTION("""COMPUTED_VALUE"""),"")</f>
        <v/>
      </c>
      <c r="G1356" s="18"/>
      <c r="H1356" s="16" t="s">
        <v>87</v>
      </c>
      <c r="I1356" s="16" t="s">
        <v>87</v>
      </c>
      <c r="J1356" s="19"/>
      <c r="L1356" s="16" t="str">
        <f>IFERROR(__xludf.DUMMYFUNCTION("""COMPUTED_VALUE"""),"")</f>
        <v/>
      </c>
      <c r="M1356" s="16" t="str">
        <f>IFERROR(__xludf.DUMMYFUNCTION("""COMPUTED_VALUE"""),"")</f>
        <v/>
      </c>
      <c r="U1356" s="16" t="s">
        <v>87</v>
      </c>
      <c r="V1356" s="16" t="str">
        <f>IFERROR(__xludf.DUMMYFUNCTION("""COMPUTED_VALUE"""),"")</f>
        <v/>
      </c>
      <c r="W1356" s="16" t="str">
        <f>IFERROR(__xludf.DUMMYFUNCTION("""COMPUTED_VALUE"""),"")</f>
        <v/>
      </c>
      <c r="X1356" s="16" t="str">
        <f>IFERROR(__xludf.DUMMYFUNCTION("""COMPUTED_VALUE"""),"")</f>
        <v/>
      </c>
      <c r="AC1356" s="16" t="str">
        <f>IFERROR(__xludf.DUMMYFUNCTION("""COMPUTED_VALUE"""),"")</f>
        <v/>
      </c>
    </row>
    <row r="1357">
      <c r="A1357" s="16" t="s">
        <v>87</v>
      </c>
      <c r="E1357" s="16" t="str">
        <f>IFERROR(__xludf.DUMMYFUNCTION("""COMPUTED_VALUE"""),"")</f>
        <v/>
      </c>
      <c r="G1357" s="18"/>
      <c r="H1357" s="16" t="s">
        <v>87</v>
      </c>
      <c r="I1357" s="16" t="s">
        <v>87</v>
      </c>
      <c r="J1357" s="19"/>
      <c r="L1357" s="16" t="str">
        <f>IFERROR(__xludf.DUMMYFUNCTION("""COMPUTED_VALUE"""),"")</f>
        <v/>
      </c>
      <c r="M1357" s="16" t="str">
        <f>IFERROR(__xludf.DUMMYFUNCTION("""COMPUTED_VALUE"""),"")</f>
        <v/>
      </c>
      <c r="U1357" s="16" t="s">
        <v>87</v>
      </c>
      <c r="V1357" s="16" t="str">
        <f>IFERROR(__xludf.DUMMYFUNCTION("""COMPUTED_VALUE"""),"")</f>
        <v/>
      </c>
      <c r="W1357" s="16" t="str">
        <f>IFERROR(__xludf.DUMMYFUNCTION("""COMPUTED_VALUE"""),"")</f>
        <v/>
      </c>
      <c r="X1357" s="16" t="str">
        <f>IFERROR(__xludf.DUMMYFUNCTION("""COMPUTED_VALUE"""),"")</f>
        <v/>
      </c>
      <c r="AC1357" s="16" t="str">
        <f>IFERROR(__xludf.DUMMYFUNCTION("""COMPUTED_VALUE"""),"")</f>
        <v/>
      </c>
    </row>
    <row r="1358">
      <c r="A1358" s="16" t="s">
        <v>87</v>
      </c>
      <c r="E1358" s="16" t="str">
        <f>IFERROR(__xludf.DUMMYFUNCTION("""COMPUTED_VALUE"""),"")</f>
        <v/>
      </c>
      <c r="G1358" s="18"/>
      <c r="H1358" s="16" t="s">
        <v>87</v>
      </c>
      <c r="I1358" s="16" t="s">
        <v>87</v>
      </c>
      <c r="J1358" s="19"/>
      <c r="L1358" s="16" t="str">
        <f>IFERROR(__xludf.DUMMYFUNCTION("""COMPUTED_VALUE"""),"")</f>
        <v/>
      </c>
      <c r="M1358" s="16" t="str">
        <f>IFERROR(__xludf.DUMMYFUNCTION("""COMPUTED_VALUE"""),"")</f>
        <v/>
      </c>
      <c r="U1358" s="16" t="s">
        <v>87</v>
      </c>
      <c r="V1358" s="16" t="str">
        <f>IFERROR(__xludf.DUMMYFUNCTION("""COMPUTED_VALUE"""),"")</f>
        <v/>
      </c>
      <c r="W1358" s="16" t="str">
        <f>IFERROR(__xludf.DUMMYFUNCTION("""COMPUTED_VALUE"""),"")</f>
        <v/>
      </c>
      <c r="X1358" s="16" t="str">
        <f>IFERROR(__xludf.DUMMYFUNCTION("""COMPUTED_VALUE"""),"")</f>
        <v/>
      </c>
      <c r="AC1358" s="16" t="str">
        <f>IFERROR(__xludf.DUMMYFUNCTION("""COMPUTED_VALUE"""),"")</f>
        <v/>
      </c>
    </row>
    <row r="1359">
      <c r="A1359" s="16" t="s">
        <v>87</v>
      </c>
      <c r="E1359" s="16" t="str">
        <f>IFERROR(__xludf.DUMMYFUNCTION("""COMPUTED_VALUE"""),"")</f>
        <v/>
      </c>
      <c r="G1359" s="18"/>
      <c r="H1359" s="16" t="s">
        <v>87</v>
      </c>
      <c r="I1359" s="16" t="s">
        <v>87</v>
      </c>
      <c r="J1359" s="19"/>
      <c r="L1359" s="16" t="str">
        <f>IFERROR(__xludf.DUMMYFUNCTION("""COMPUTED_VALUE"""),"")</f>
        <v/>
      </c>
      <c r="M1359" s="16" t="str">
        <f>IFERROR(__xludf.DUMMYFUNCTION("""COMPUTED_VALUE"""),"")</f>
        <v/>
      </c>
      <c r="U1359" s="16" t="s">
        <v>87</v>
      </c>
      <c r="V1359" s="16" t="str">
        <f>IFERROR(__xludf.DUMMYFUNCTION("""COMPUTED_VALUE"""),"")</f>
        <v/>
      </c>
      <c r="W1359" s="16" t="str">
        <f>IFERROR(__xludf.DUMMYFUNCTION("""COMPUTED_VALUE"""),"")</f>
        <v/>
      </c>
      <c r="X1359" s="16" t="str">
        <f>IFERROR(__xludf.DUMMYFUNCTION("""COMPUTED_VALUE"""),"")</f>
        <v/>
      </c>
      <c r="AC1359" s="16" t="str">
        <f>IFERROR(__xludf.DUMMYFUNCTION("""COMPUTED_VALUE"""),"")</f>
        <v/>
      </c>
    </row>
    <row r="1360">
      <c r="A1360" s="16" t="s">
        <v>87</v>
      </c>
      <c r="E1360" s="16" t="str">
        <f>IFERROR(__xludf.DUMMYFUNCTION("""COMPUTED_VALUE"""),"")</f>
        <v/>
      </c>
      <c r="G1360" s="18"/>
      <c r="H1360" s="16" t="s">
        <v>87</v>
      </c>
      <c r="I1360" s="16" t="s">
        <v>87</v>
      </c>
      <c r="J1360" s="19"/>
      <c r="L1360" s="16" t="str">
        <f>IFERROR(__xludf.DUMMYFUNCTION("""COMPUTED_VALUE"""),"")</f>
        <v/>
      </c>
      <c r="M1360" s="16" t="str">
        <f>IFERROR(__xludf.DUMMYFUNCTION("""COMPUTED_VALUE"""),"")</f>
        <v/>
      </c>
      <c r="U1360" s="16" t="s">
        <v>87</v>
      </c>
      <c r="V1360" s="16" t="str">
        <f>IFERROR(__xludf.DUMMYFUNCTION("""COMPUTED_VALUE"""),"")</f>
        <v/>
      </c>
      <c r="W1360" s="16" t="str">
        <f>IFERROR(__xludf.DUMMYFUNCTION("""COMPUTED_VALUE"""),"")</f>
        <v/>
      </c>
      <c r="X1360" s="16" t="str">
        <f>IFERROR(__xludf.DUMMYFUNCTION("""COMPUTED_VALUE"""),"")</f>
        <v/>
      </c>
      <c r="AC1360" s="16" t="str">
        <f>IFERROR(__xludf.DUMMYFUNCTION("""COMPUTED_VALUE"""),"")</f>
        <v/>
      </c>
    </row>
    <row r="1361">
      <c r="A1361" s="16" t="s">
        <v>87</v>
      </c>
      <c r="E1361" s="16" t="str">
        <f>IFERROR(__xludf.DUMMYFUNCTION("""COMPUTED_VALUE"""),"")</f>
        <v/>
      </c>
      <c r="G1361" s="18"/>
      <c r="H1361" s="16" t="s">
        <v>87</v>
      </c>
      <c r="I1361" s="16" t="s">
        <v>87</v>
      </c>
      <c r="J1361" s="19"/>
      <c r="L1361" s="16" t="str">
        <f>IFERROR(__xludf.DUMMYFUNCTION("""COMPUTED_VALUE"""),"")</f>
        <v/>
      </c>
      <c r="M1361" s="16" t="str">
        <f>IFERROR(__xludf.DUMMYFUNCTION("""COMPUTED_VALUE"""),"")</f>
        <v/>
      </c>
      <c r="U1361" s="16" t="s">
        <v>87</v>
      </c>
      <c r="V1361" s="16" t="str">
        <f>IFERROR(__xludf.DUMMYFUNCTION("""COMPUTED_VALUE"""),"")</f>
        <v/>
      </c>
      <c r="W1361" s="16" t="str">
        <f>IFERROR(__xludf.DUMMYFUNCTION("""COMPUTED_VALUE"""),"")</f>
        <v/>
      </c>
      <c r="X1361" s="16" t="str">
        <f>IFERROR(__xludf.DUMMYFUNCTION("""COMPUTED_VALUE"""),"")</f>
        <v/>
      </c>
      <c r="AC1361" s="16" t="str">
        <f>IFERROR(__xludf.DUMMYFUNCTION("""COMPUTED_VALUE"""),"")</f>
        <v/>
      </c>
    </row>
    <row r="1362">
      <c r="A1362" s="16" t="s">
        <v>87</v>
      </c>
      <c r="E1362" s="16" t="str">
        <f>IFERROR(__xludf.DUMMYFUNCTION("""COMPUTED_VALUE"""),"")</f>
        <v/>
      </c>
      <c r="G1362" s="18"/>
      <c r="H1362" s="16" t="s">
        <v>87</v>
      </c>
      <c r="I1362" s="16" t="s">
        <v>87</v>
      </c>
      <c r="J1362" s="19"/>
      <c r="L1362" s="16" t="str">
        <f>IFERROR(__xludf.DUMMYFUNCTION("""COMPUTED_VALUE"""),"")</f>
        <v/>
      </c>
      <c r="M1362" s="16" t="str">
        <f>IFERROR(__xludf.DUMMYFUNCTION("""COMPUTED_VALUE"""),"")</f>
        <v/>
      </c>
      <c r="U1362" s="16" t="s">
        <v>87</v>
      </c>
      <c r="V1362" s="16" t="str">
        <f>IFERROR(__xludf.DUMMYFUNCTION("""COMPUTED_VALUE"""),"")</f>
        <v/>
      </c>
      <c r="W1362" s="16" t="str">
        <f>IFERROR(__xludf.DUMMYFUNCTION("""COMPUTED_VALUE"""),"")</f>
        <v/>
      </c>
      <c r="X1362" s="16" t="str">
        <f>IFERROR(__xludf.DUMMYFUNCTION("""COMPUTED_VALUE"""),"")</f>
        <v/>
      </c>
      <c r="AC1362" s="16" t="str">
        <f>IFERROR(__xludf.DUMMYFUNCTION("""COMPUTED_VALUE"""),"")</f>
        <v/>
      </c>
    </row>
    <row r="1363">
      <c r="A1363" s="16" t="s">
        <v>87</v>
      </c>
      <c r="E1363" s="16" t="str">
        <f>IFERROR(__xludf.DUMMYFUNCTION("""COMPUTED_VALUE"""),"")</f>
        <v/>
      </c>
      <c r="G1363" s="18"/>
      <c r="H1363" s="16" t="s">
        <v>87</v>
      </c>
      <c r="I1363" s="16" t="s">
        <v>87</v>
      </c>
      <c r="J1363" s="19"/>
      <c r="L1363" s="16" t="str">
        <f>IFERROR(__xludf.DUMMYFUNCTION("""COMPUTED_VALUE"""),"")</f>
        <v/>
      </c>
      <c r="M1363" s="16" t="str">
        <f>IFERROR(__xludf.DUMMYFUNCTION("""COMPUTED_VALUE"""),"")</f>
        <v/>
      </c>
      <c r="U1363" s="16" t="s">
        <v>87</v>
      </c>
      <c r="V1363" s="16" t="str">
        <f>IFERROR(__xludf.DUMMYFUNCTION("""COMPUTED_VALUE"""),"")</f>
        <v/>
      </c>
      <c r="W1363" s="16" t="str">
        <f>IFERROR(__xludf.DUMMYFUNCTION("""COMPUTED_VALUE"""),"")</f>
        <v/>
      </c>
      <c r="X1363" s="16" t="str">
        <f>IFERROR(__xludf.DUMMYFUNCTION("""COMPUTED_VALUE"""),"")</f>
        <v/>
      </c>
      <c r="AC1363" s="16" t="str">
        <f>IFERROR(__xludf.DUMMYFUNCTION("""COMPUTED_VALUE"""),"")</f>
        <v/>
      </c>
    </row>
    <row r="1364">
      <c r="A1364" s="16" t="s">
        <v>87</v>
      </c>
      <c r="E1364" s="16" t="str">
        <f>IFERROR(__xludf.DUMMYFUNCTION("""COMPUTED_VALUE"""),"")</f>
        <v/>
      </c>
      <c r="G1364" s="18"/>
      <c r="H1364" s="16" t="s">
        <v>87</v>
      </c>
      <c r="I1364" s="16" t="s">
        <v>87</v>
      </c>
      <c r="J1364" s="19"/>
      <c r="L1364" s="16" t="str">
        <f>IFERROR(__xludf.DUMMYFUNCTION("""COMPUTED_VALUE"""),"")</f>
        <v/>
      </c>
      <c r="M1364" s="16" t="str">
        <f>IFERROR(__xludf.DUMMYFUNCTION("""COMPUTED_VALUE"""),"")</f>
        <v/>
      </c>
      <c r="U1364" s="16" t="s">
        <v>87</v>
      </c>
      <c r="V1364" s="16" t="str">
        <f>IFERROR(__xludf.DUMMYFUNCTION("""COMPUTED_VALUE"""),"")</f>
        <v/>
      </c>
      <c r="W1364" s="16" t="str">
        <f>IFERROR(__xludf.DUMMYFUNCTION("""COMPUTED_VALUE"""),"")</f>
        <v/>
      </c>
      <c r="X1364" s="16" t="str">
        <f>IFERROR(__xludf.DUMMYFUNCTION("""COMPUTED_VALUE"""),"")</f>
        <v/>
      </c>
      <c r="AC1364" s="16" t="str">
        <f>IFERROR(__xludf.DUMMYFUNCTION("""COMPUTED_VALUE"""),"")</f>
        <v/>
      </c>
    </row>
    <row r="1365">
      <c r="A1365" s="16" t="s">
        <v>87</v>
      </c>
      <c r="E1365" s="16" t="str">
        <f>IFERROR(__xludf.DUMMYFUNCTION("""COMPUTED_VALUE"""),"")</f>
        <v/>
      </c>
      <c r="G1365" s="18"/>
      <c r="H1365" s="16" t="s">
        <v>87</v>
      </c>
      <c r="I1365" s="16" t="s">
        <v>87</v>
      </c>
      <c r="J1365" s="19"/>
      <c r="L1365" s="16" t="str">
        <f>IFERROR(__xludf.DUMMYFUNCTION("""COMPUTED_VALUE"""),"")</f>
        <v/>
      </c>
      <c r="M1365" s="16" t="str">
        <f>IFERROR(__xludf.DUMMYFUNCTION("""COMPUTED_VALUE"""),"")</f>
        <v/>
      </c>
      <c r="U1365" s="16" t="s">
        <v>87</v>
      </c>
      <c r="V1365" s="16" t="str">
        <f>IFERROR(__xludf.DUMMYFUNCTION("""COMPUTED_VALUE"""),"")</f>
        <v/>
      </c>
      <c r="W1365" s="16" t="str">
        <f>IFERROR(__xludf.DUMMYFUNCTION("""COMPUTED_VALUE"""),"")</f>
        <v/>
      </c>
      <c r="X1365" s="16" t="str">
        <f>IFERROR(__xludf.DUMMYFUNCTION("""COMPUTED_VALUE"""),"")</f>
        <v/>
      </c>
      <c r="AC1365" s="16" t="str">
        <f>IFERROR(__xludf.DUMMYFUNCTION("""COMPUTED_VALUE"""),"")</f>
        <v/>
      </c>
    </row>
    <row r="1366">
      <c r="A1366" s="16" t="s">
        <v>87</v>
      </c>
      <c r="E1366" s="16" t="str">
        <f>IFERROR(__xludf.DUMMYFUNCTION("""COMPUTED_VALUE"""),"")</f>
        <v/>
      </c>
      <c r="G1366" s="18"/>
      <c r="H1366" s="16" t="s">
        <v>87</v>
      </c>
      <c r="I1366" s="16" t="s">
        <v>87</v>
      </c>
      <c r="J1366" s="19"/>
      <c r="L1366" s="16" t="str">
        <f>IFERROR(__xludf.DUMMYFUNCTION("""COMPUTED_VALUE"""),"")</f>
        <v/>
      </c>
      <c r="M1366" s="16" t="str">
        <f>IFERROR(__xludf.DUMMYFUNCTION("""COMPUTED_VALUE"""),"")</f>
        <v/>
      </c>
      <c r="U1366" s="16" t="s">
        <v>87</v>
      </c>
      <c r="V1366" s="16" t="str">
        <f>IFERROR(__xludf.DUMMYFUNCTION("""COMPUTED_VALUE"""),"")</f>
        <v/>
      </c>
      <c r="W1366" s="16" t="str">
        <f>IFERROR(__xludf.DUMMYFUNCTION("""COMPUTED_VALUE"""),"")</f>
        <v/>
      </c>
      <c r="X1366" s="16" t="str">
        <f>IFERROR(__xludf.DUMMYFUNCTION("""COMPUTED_VALUE"""),"")</f>
        <v/>
      </c>
      <c r="AC1366" s="16" t="str">
        <f>IFERROR(__xludf.DUMMYFUNCTION("""COMPUTED_VALUE"""),"")</f>
        <v/>
      </c>
    </row>
    <row r="1367">
      <c r="A1367" s="16" t="s">
        <v>87</v>
      </c>
      <c r="E1367" s="16" t="str">
        <f>IFERROR(__xludf.DUMMYFUNCTION("""COMPUTED_VALUE"""),"")</f>
        <v/>
      </c>
      <c r="G1367" s="18"/>
      <c r="H1367" s="16" t="s">
        <v>87</v>
      </c>
      <c r="I1367" s="16" t="s">
        <v>87</v>
      </c>
      <c r="J1367" s="19"/>
      <c r="L1367" s="16" t="str">
        <f>IFERROR(__xludf.DUMMYFUNCTION("""COMPUTED_VALUE"""),"")</f>
        <v/>
      </c>
      <c r="M1367" s="16" t="str">
        <f>IFERROR(__xludf.DUMMYFUNCTION("""COMPUTED_VALUE"""),"")</f>
        <v/>
      </c>
      <c r="U1367" s="16" t="s">
        <v>87</v>
      </c>
      <c r="V1367" s="16" t="str">
        <f>IFERROR(__xludf.DUMMYFUNCTION("""COMPUTED_VALUE"""),"")</f>
        <v/>
      </c>
      <c r="W1367" s="16" t="str">
        <f>IFERROR(__xludf.DUMMYFUNCTION("""COMPUTED_VALUE"""),"")</f>
        <v/>
      </c>
      <c r="X1367" s="16" t="str">
        <f>IFERROR(__xludf.DUMMYFUNCTION("""COMPUTED_VALUE"""),"")</f>
        <v/>
      </c>
      <c r="AC1367" s="16" t="str">
        <f>IFERROR(__xludf.DUMMYFUNCTION("""COMPUTED_VALUE"""),"")</f>
        <v/>
      </c>
    </row>
    <row r="1368">
      <c r="A1368" s="16" t="s">
        <v>87</v>
      </c>
      <c r="E1368" s="16" t="str">
        <f>IFERROR(__xludf.DUMMYFUNCTION("""COMPUTED_VALUE"""),"")</f>
        <v/>
      </c>
      <c r="G1368" s="18"/>
      <c r="H1368" s="16" t="s">
        <v>87</v>
      </c>
      <c r="I1368" s="16" t="s">
        <v>87</v>
      </c>
      <c r="J1368" s="19"/>
      <c r="L1368" s="16" t="str">
        <f>IFERROR(__xludf.DUMMYFUNCTION("""COMPUTED_VALUE"""),"")</f>
        <v/>
      </c>
      <c r="M1368" s="16" t="str">
        <f>IFERROR(__xludf.DUMMYFUNCTION("""COMPUTED_VALUE"""),"")</f>
        <v/>
      </c>
      <c r="U1368" s="16" t="s">
        <v>87</v>
      </c>
      <c r="V1368" s="16" t="str">
        <f>IFERROR(__xludf.DUMMYFUNCTION("""COMPUTED_VALUE"""),"")</f>
        <v/>
      </c>
      <c r="W1368" s="16" t="str">
        <f>IFERROR(__xludf.DUMMYFUNCTION("""COMPUTED_VALUE"""),"")</f>
        <v/>
      </c>
      <c r="X1368" s="16" t="str">
        <f>IFERROR(__xludf.DUMMYFUNCTION("""COMPUTED_VALUE"""),"")</f>
        <v/>
      </c>
      <c r="AC1368" s="16" t="str">
        <f>IFERROR(__xludf.DUMMYFUNCTION("""COMPUTED_VALUE"""),"")</f>
        <v/>
      </c>
    </row>
    <row r="1369">
      <c r="A1369" s="16" t="s">
        <v>87</v>
      </c>
      <c r="E1369" s="16" t="str">
        <f>IFERROR(__xludf.DUMMYFUNCTION("""COMPUTED_VALUE"""),"")</f>
        <v/>
      </c>
      <c r="G1369" s="18"/>
      <c r="H1369" s="16" t="s">
        <v>87</v>
      </c>
      <c r="I1369" s="16" t="s">
        <v>87</v>
      </c>
      <c r="J1369" s="19"/>
      <c r="L1369" s="16" t="str">
        <f>IFERROR(__xludf.DUMMYFUNCTION("""COMPUTED_VALUE"""),"")</f>
        <v/>
      </c>
      <c r="M1369" s="16" t="str">
        <f>IFERROR(__xludf.DUMMYFUNCTION("""COMPUTED_VALUE"""),"")</f>
        <v/>
      </c>
      <c r="U1369" s="16" t="s">
        <v>87</v>
      </c>
      <c r="V1369" s="16" t="str">
        <f>IFERROR(__xludf.DUMMYFUNCTION("""COMPUTED_VALUE"""),"")</f>
        <v/>
      </c>
      <c r="W1369" s="16" t="str">
        <f>IFERROR(__xludf.DUMMYFUNCTION("""COMPUTED_VALUE"""),"")</f>
        <v/>
      </c>
      <c r="X1369" s="16" t="str">
        <f>IFERROR(__xludf.DUMMYFUNCTION("""COMPUTED_VALUE"""),"")</f>
        <v/>
      </c>
      <c r="AC1369" s="16" t="str">
        <f>IFERROR(__xludf.DUMMYFUNCTION("""COMPUTED_VALUE"""),"")</f>
        <v/>
      </c>
    </row>
    <row r="1370">
      <c r="A1370" s="16" t="s">
        <v>87</v>
      </c>
      <c r="E1370" s="16" t="str">
        <f>IFERROR(__xludf.DUMMYFUNCTION("""COMPUTED_VALUE"""),"")</f>
        <v/>
      </c>
      <c r="G1370" s="18"/>
      <c r="H1370" s="16" t="s">
        <v>87</v>
      </c>
      <c r="I1370" s="16" t="s">
        <v>87</v>
      </c>
      <c r="J1370" s="19"/>
      <c r="L1370" s="16" t="str">
        <f>IFERROR(__xludf.DUMMYFUNCTION("""COMPUTED_VALUE"""),"")</f>
        <v/>
      </c>
      <c r="M1370" s="16" t="str">
        <f>IFERROR(__xludf.DUMMYFUNCTION("""COMPUTED_VALUE"""),"")</f>
        <v/>
      </c>
      <c r="U1370" s="16" t="s">
        <v>87</v>
      </c>
      <c r="V1370" s="16" t="str">
        <f>IFERROR(__xludf.DUMMYFUNCTION("""COMPUTED_VALUE"""),"")</f>
        <v/>
      </c>
      <c r="W1370" s="16" t="str">
        <f>IFERROR(__xludf.DUMMYFUNCTION("""COMPUTED_VALUE"""),"")</f>
        <v/>
      </c>
      <c r="X1370" s="16" t="str">
        <f>IFERROR(__xludf.DUMMYFUNCTION("""COMPUTED_VALUE"""),"")</f>
        <v/>
      </c>
      <c r="AC1370" s="16" t="str">
        <f>IFERROR(__xludf.DUMMYFUNCTION("""COMPUTED_VALUE"""),"")</f>
        <v/>
      </c>
    </row>
    <row r="1371">
      <c r="A1371" s="16" t="s">
        <v>87</v>
      </c>
      <c r="E1371" s="16" t="str">
        <f>IFERROR(__xludf.DUMMYFUNCTION("""COMPUTED_VALUE"""),"")</f>
        <v/>
      </c>
      <c r="G1371" s="18"/>
      <c r="H1371" s="16" t="s">
        <v>87</v>
      </c>
      <c r="I1371" s="16" t="s">
        <v>87</v>
      </c>
      <c r="J1371" s="19"/>
      <c r="L1371" s="16" t="str">
        <f>IFERROR(__xludf.DUMMYFUNCTION("""COMPUTED_VALUE"""),"")</f>
        <v/>
      </c>
      <c r="M1371" s="16" t="str">
        <f>IFERROR(__xludf.DUMMYFUNCTION("""COMPUTED_VALUE"""),"")</f>
        <v/>
      </c>
      <c r="U1371" s="16" t="s">
        <v>87</v>
      </c>
      <c r="V1371" s="16" t="str">
        <f>IFERROR(__xludf.DUMMYFUNCTION("""COMPUTED_VALUE"""),"")</f>
        <v/>
      </c>
      <c r="W1371" s="16" t="str">
        <f>IFERROR(__xludf.DUMMYFUNCTION("""COMPUTED_VALUE"""),"")</f>
        <v/>
      </c>
      <c r="X1371" s="16" t="str">
        <f>IFERROR(__xludf.DUMMYFUNCTION("""COMPUTED_VALUE"""),"")</f>
        <v/>
      </c>
      <c r="AC1371" s="16" t="str">
        <f>IFERROR(__xludf.DUMMYFUNCTION("""COMPUTED_VALUE"""),"")</f>
        <v/>
      </c>
    </row>
    <row r="1372">
      <c r="A1372" s="16" t="s">
        <v>87</v>
      </c>
      <c r="E1372" s="16" t="str">
        <f>IFERROR(__xludf.DUMMYFUNCTION("""COMPUTED_VALUE"""),"")</f>
        <v/>
      </c>
      <c r="G1372" s="18"/>
      <c r="H1372" s="16" t="s">
        <v>87</v>
      </c>
      <c r="I1372" s="16" t="s">
        <v>87</v>
      </c>
      <c r="J1372" s="19"/>
      <c r="L1372" s="16" t="str">
        <f>IFERROR(__xludf.DUMMYFUNCTION("""COMPUTED_VALUE"""),"")</f>
        <v/>
      </c>
      <c r="M1372" s="16" t="str">
        <f>IFERROR(__xludf.DUMMYFUNCTION("""COMPUTED_VALUE"""),"")</f>
        <v/>
      </c>
      <c r="U1372" s="16" t="s">
        <v>87</v>
      </c>
      <c r="V1372" s="16" t="str">
        <f>IFERROR(__xludf.DUMMYFUNCTION("""COMPUTED_VALUE"""),"")</f>
        <v/>
      </c>
      <c r="W1372" s="16" t="str">
        <f>IFERROR(__xludf.DUMMYFUNCTION("""COMPUTED_VALUE"""),"")</f>
        <v/>
      </c>
      <c r="X1372" s="16" t="str">
        <f>IFERROR(__xludf.DUMMYFUNCTION("""COMPUTED_VALUE"""),"")</f>
        <v/>
      </c>
      <c r="AC1372" s="16" t="str">
        <f>IFERROR(__xludf.DUMMYFUNCTION("""COMPUTED_VALUE"""),"")</f>
        <v/>
      </c>
    </row>
    <row r="1373">
      <c r="A1373" s="16" t="s">
        <v>87</v>
      </c>
      <c r="E1373" s="16" t="str">
        <f>IFERROR(__xludf.DUMMYFUNCTION("""COMPUTED_VALUE"""),"")</f>
        <v/>
      </c>
      <c r="G1373" s="18"/>
      <c r="H1373" s="16" t="s">
        <v>87</v>
      </c>
      <c r="I1373" s="16" t="s">
        <v>87</v>
      </c>
      <c r="J1373" s="19"/>
      <c r="L1373" s="16" t="str">
        <f>IFERROR(__xludf.DUMMYFUNCTION("""COMPUTED_VALUE"""),"")</f>
        <v/>
      </c>
      <c r="M1373" s="16" t="str">
        <f>IFERROR(__xludf.DUMMYFUNCTION("""COMPUTED_VALUE"""),"")</f>
        <v/>
      </c>
      <c r="U1373" s="16" t="s">
        <v>87</v>
      </c>
      <c r="V1373" s="16" t="str">
        <f>IFERROR(__xludf.DUMMYFUNCTION("""COMPUTED_VALUE"""),"")</f>
        <v/>
      </c>
      <c r="W1373" s="16" t="str">
        <f>IFERROR(__xludf.DUMMYFUNCTION("""COMPUTED_VALUE"""),"")</f>
        <v/>
      </c>
      <c r="X1373" s="16" t="str">
        <f>IFERROR(__xludf.DUMMYFUNCTION("""COMPUTED_VALUE"""),"")</f>
        <v/>
      </c>
      <c r="AC1373" s="16" t="str">
        <f>IFERROR(__xludf.DUMMYFUNCTION("""COMPUTED_VALUE"""),"")</f>
        <v/>
      </c>
    </row>
    <row r="1374">
      <c r="A1374" s="16" t="s">
        <v>87</v>
      </c>
      <c r="E1374" s="16" t="str">
        <f>IFERROR(__xludf.DUMMYFUNCTION("""COMPUTED_VALUE"""),"")</f>
        <v/>
      </c>
      <c r="G1374" s="18"/>
      <c r="H1374" s="16" t="s">
        <v>87</v>
      </c>
      <c r="I1374" s="16" t="s">
        <v>87</v>
      </c>
      <c r="J1374" s="19"/>
      <c r="L1374" s="16" t="str">
        <f>IFERROR(__xludf.DUMMYFUNCTION("""COMPUTED_VALUE"""),"")</f>
        <v/>
      </c>
      <c r="M1374" s="16" t="str">
        <f>IFERROR(__xludf.DUMMYFUNCTION("""COMPUTED_VALUE"""),"")</f>
        <v/>
      </c>
      <c r="U1374" s="16" t="s">
        <v>87</v>
      </c>
      <c r="V1374" s="16" t="str">
        <f>IFERROR(__xludf.DUMMYFUNCTION("""COMPUTED_VALUE"""),"")</f>
        <v/>
      </c>
      <c r="W1374" s="16" t="str">
        <f>IFERROR(__xludf.DUMMYFUNCTION("""COMPUTED_VALUE"""),"")</f>
        <v/>
      </c>
      <c r="X1374" s="16" t="str">
        <f>IFERROR(__xludf.DUMMYFUNCTION("""COMPUTED_VALUE"""),"")</f>
        <v/>
      </c>
      <c r="AC1374" s="16" t="str">
        <f>IFERROR(__xludf.DUMMYFUNCTION("""COMPUTED_VALUE"""),"")</f>
        <v/>
      </c>
    </row>
    <row r="1375">
      <c r="A1375" s="16" t="s">
        <v>87</v>
      </c>
      <c r="E1375" s="16" t="str">
        <f>IFERROR(__xludf.DUMMYFUNCTION("""COMPUTED_VALUE"""),"")</f>
        <v/>
      </c>
      <c r="G1375" s="18"/>
      <c r="H1375" s="16" t="s">
        <v>87</v>
      </c>
      <c r="I1375" s="16" t="s">
        <v>87</v>
      </c>
      <c r="J1375" s="19"/>
      <c r="L1375" s="16" t="str">
        <f>IFERROR(__xludf.DUMMYFUNCTION("""COMPUTED_VALUE"""),"")</f>
        <v/>
      </c>
      <c r="M1375" s="16" t="str">
        <f>IFERROR(__xludf.DUMMYFUNCTION("""COMPUTED_VALUE"""),"")</f>
        <v/>
      </c>
      <c r="U1375" s="16" t="s">
        <v>87</v>
      </c>
      <c r="V1375" s="16" t="str">
        <f>IFERROR(__xludf.DUMMYFUNCTION("""COMPUTED_VALUE"""),"")</f>
        <v/>
      </c>
      <c r="W1375" s="16" t="str">
        <f>IFERROR(__xludf.DUMMYFUNCTION("""COMPUTED_VALUE"""),"")</f>
        <v/>
      </c>
      <c r="X1375" s="16" t="str">
        <f>IFERROR(__xludf.DUMMYFUNCTION("""COMPUTED_VALUE"""),"")</f>
        <v/>
      </c>
      <c r="AC1375" s="16" t="str">
        <f>IFERROR(__xludf.DUMMYFUNCTION("""COMPUTED_VALUE"""),"")</f>
        <v/>
      </c>
    </row>
    <row r="1376">
      <c r="A1376" s="16" t="s">
        <v>87</v>
      </c>
      <c r="E1376" s="16" t="str">
        <f>IFERROR(__xludf.DUMMYFUNCTION("""COMPUTED_VALUE"""),"")</f>
        <v/>
      </c>
      <c r="G1376" s="18"/>
      <c r="H1376" s="16" t="s">
        <v>87</v>
      </c>
      <c r="I1376" s="16" t="s">
        <v>87</v>
      </c>
      <c r="J1376" s="19"/>
      <c r="L1376" s="16" t="str">
        <f>IFERROR(__xludf.DUMMYFUNCTION("""COMPUTED_VALUE"""),"")</f>
        <v/>
      </c>
      <c r="M1376" s="16" t="str">
        <f>IFERROR(__xludf.DUMMYFUNCTION("""COMPUTED_VALUE"""),"")</f>
        <v/>
      </c>
      <c r="U1376" s="16" t="s">
        <v>87</v>
      </c>
      <c r="V1376" s="16" t="str">
        <f>IFERROR(__xludf.DUMMYFUNCTION("""COMPUTED_VALUE"""),"")</f>
        <v/>
      </c>
      <c r="W1376" s="16" t="str">
        <f>IFERROR(__xludf.DUMMYFUNCTION("""COMPUTED_VALUE"""),"")</f>
        <v/>
      </c>
      <c r="X1376" s="16" t="str">
        <f>IFERROR(__xludf.DUMMYFUNCTION("""COMPUTED_VALUE"""),"")</f>
        <v/>
      </c>
      <c r="AC1376" s="16" t="str">
        <f>IFERROR(__xludf.DUMMYFUNCTION("""COMPUTED_VALUE"""),"")</f>
        <v/>
      </c>
    </row>
    <row r="1377">
      <c r="A1377" s="16" t="s">
        <v>87</v>
      </c>
      <c r="E1377" s="16" t="str">
        <f>IFERROR(__xludf.DUMMYFUNCTION("""COMPUTED_VALUE"""),"")</f>
        <v/>
      </c>
      <c r="G1377" s="18"/>
      <c r="H1377" s="16" t="s">
        <v>87</v>
      </c>
      <c r="I1377" s="16" t="s">
        <v>87</v>
      </c>
      <c r="J1377" s="19"/>
      <c r="L1377" s="16" t="str">
        <f>IFERROR(__xludf.DUMMYFUNCTION("""COMPUTED_VALUE"""),"")</f>
        <v/>
      </c>
      <c r="M1377" s="16" t="str">
        <f>IFERROR(__xludf.DUMMYFUNCTION("""COMPUTED_VALUE"""),"")</f>
        <v/>
      </c>
      <c r="U1377" s="16" t="s">
        <v>87</v>
      </c>
      <c r="V1377" s="16" t="str">
        <f>IFERROR(__xludf.DUMMYFUNCTION("""COMPUTED_VALUE"""),"")</f>
        <v/>
      </c>
      <c r="W1377" s="16" t="str">
        <f>IFERROR(__xludf.DUMMYFUNCTION("""COMPUTED_VALUE"""),"")</f>
        <v/>
      </c>
      <c r="X1377" s="16" t="str">
        <f>IFERROR(__xludf.DUMMYFUNCTION("""COMPUTED_VALUE"""),"")</f>
        <v/>
      </c>
      <c r="AC1377" s="16" t="str">
        <f>IFERROR(__xludf.DUMMYFUNCTION("""COMPUTED_VALUE"""),"")</f>
        <v/>
      </c>
    </row>
    <row r="1378">
      <c r="A1378" s="16" t="s">
        <v>87</v>
      </c>
      <c r="E1378" s="16" t="str">
        <f>IFERROR(__xludf.DUMMYFUNCTION("""COMPUTED_VALUE"""),"")</f>
        <v/>
      </c>
      <c r="G1378" s="18"/>
      <c r="H1378" s="16" t="s">
        <v>87</v>
      </c>
      <c r="I1378" s="16" t="s">
        <v>87</v>
      </c>
      <c r="J1378" s="19"/>
      <c r="L1378" s="16" t="str">
        <f>IFERROR(__xludf.DUMMYFUNCTION("""COMPUTED_VALUE"""),"")</f>
        <v/>
      </c>
      <c r="M1378" s="16" t="str">
        <f>IFERROR(__xludf.DUMMYFUNCTION("""COMPUTED_VALUE"""),"")</f>
        <v/>
      </c>
      <c r="U1378" s="16" t="s">
        <v>87</v>
      </c>
      <c r="V1378" s="16" t="str">
        <f>IFERROR(__xludf.DUMMYFUNCTION("""COMPUTED_VALUE"""),"")</f>
        <v/>
      </c>
      <c r="W1378" s="16" t="str">
        <f>IFERROR(__xludf.DUMMYFUNCTION("""COMPUTED_VALUE"""),"")</f>
        <v/>
      </c>
      <c r="X1378" s="16" t="str">
        <f>IFERROR(__xludf.DUMMYFUNCTION("""COMPUTED_VALUE"""),"")</f>
        <v/>
      </c>
      <c r="AC1378" s="16" t="str">
        <f>IFERROR(__xludf.DUMMYFUNCTION("""COMPUTED_VALUE"""),"")</f>
        <v/>
      </c>
    </row>
    <row r="1379">
      <c r="A1379" s="16" t="s">
        <v>87</v>
      </c>
      <c r="E1379" s="16" t="str">
        <f>IFERROR(__xludf.DUMMYFUNCTION("""COMPUTED_VALUE"""),"")</f>
        <v/>
      </c>
      <c r="G1379" s="18"/>
      <c r="H1379" s="16" t="s">
        <v>87</v>
      </c>
      <c r="I1379" s="16" t="s">
        <v>87</v>
      </c>
      <c r="J1379" s="19"/>
      <c r="L1379" s="16" t="str">
        <f>IFERROR(__xludf.DUMMYFUNCTION("""COMPUTED_VALUE"""),"")</f>
        <v/>
      </c>
      <c r="M1379" s="16" t="str">
        <f>IFERROR(__xludf.DUMMYFUNCTION("""COMPUTED_VALUE"""),"")</f>
        <v/>
      </c>
      <c r="U1379" s="16" t="s">
        <v>87</v>
      </c>
      <c r="V1379" s="16" t="str">
        <f>IFERROR(__xludf.DUMMYFUNCTION("""COMPUTED_VALUE"""),"")</f>
        <v/>
      </c>
      <c r="W1379" s="16" t="str">
        <f>IFERROR(__xludf.DUMMYFUNCTION("""COMPUTED_VALUE"""),"")</f>
        <v/>
      </c>
      <c r="X1379" s="16" t="str">
        <f>IFERROR(__xludf.DUMMYFUNCTION("""COMPUTED_VALUE"""),"")</f>
        <v/>
      </c>
      <c r="AC1379" s="16" t="str">
        <f>IFERROR(__xludf.DUMMYFUNCTION("""COMPUTED_VALUE"""),"")</f>
        <v/>
      </c>
    </row>
    <row r="1380">
      <c r="A1380" s="16" t="s">
        <v>87</v>
      </c>
      <c r="E1380" s="16" t="str">
        <f>IFERROR(__xludf.DUMMYFUNCTION("""COMPUTED_VALUE"""),"")</f>
        <v/>
      </c>
      <c r="G1380" s="18"/>
      <c r="H1380" s="16" t="s">
        <v>87</v>
      </c>
      <c r="I1380" s="16" t="s">
        <v>87</v>
      </c>
      <c r="J1380" s="19"/>
      <c r="L1380" s="16" t="str">
        <f>IFERROR(__xludf.DUMMYFUNCTION("""COMPUTED_VALUE"""),"")</f>
        <v/>
      </c>
      <c r="M1380" s="16" t="str">
        <f>IFERROR(__xludf.DUMMYFUNCTION("""COMPUTED_VALUE"""),"")</f>
        <v/>
      </c>
      <c r="U1380" s="16" t="s">
        <v>87</v>
      </c>
      <c r="V1380" s="16" t="str">
        <f>IFERROR(__xludf.DUMMYFUNCTION("""COMPUTED_VALUE"""),"")</f>
        <v/>
      </c>
      <c r="W1380" s="16" t="str">
        <f>IFERROR(__xludf.DUMMYFUNCTION("""COMPUTED_VALUE"""),"")</f>
        <v/>
      </c>
      <c r="X1380" s="16" t="str">
        <f>IFERROR(__xludf.DUMMYFUNCTION("""COMPUTED_VALUE"""),"")</f>
        <v/>
      </c>
      <c r="AC1380" s="16" t="str">
        <f>IFERROR(__xludf.DUMMYFUNCTION("""COMPUTED_VALUE"""),"")</f>
        <v/>
      </c>
    </row>
    <row r="1381">
      <c r="A1381" s="16" t="s">
        <v>87</v>
      </c>
      <c r="E1381" s="16" t="str">
        <f>IFERROR(__xludf.DUMMYFUNCTION("""COMPUTED_VALUE"""),"")</f>
        <v/>
      </c>
      <c r="G1381" s="18"/>
      <c r="H1381" s="16" t="s">
        <v>87</v>
      </c>
      <c r="I1381" s="16" t="s">
        <v>87</v>
      </c>
      <c r="J1381" s="19"/>
      <c r="L1381" s="16" t="str">
        <f>IFERROR(__xludf.DUMMYFUNCTION("""COMPUTED_VALUE"""),"")</f>
        <v/>
      </c>
      <c r="M1381" s="16" t="str">
        <f>IFERROR(__xludf.DUMMYFUNCTION("""COMPUTED_VALUE"""),"")</f>
        <v/>
      </c>
      <c r="U1381" s="16" t="s">
        <v>87</v>
      </c>
      <c r="V1381" s="16" t="str">
        <f>IFERROR(__xludf.DUMMYFUNCTION("""COMPUTED_VALUE"""),"")</f>
        <v/>
      </c>
      <c r="W1381" s="16" t="str">
        <f>IFERROR(__xludf.DUMMYFUNCTION("""COMPUTED_VALUE"""),"")</f>
        <v/>
      </c>
      <c r="X1381" s="16" t="str">
        <f>IFERROR(__xludf.DUMMYFUNCTION("""COMPUTED_VALUE"""),"")</f>
        <v/>
      </c>
      <c r="AC1381" s="16" t="str">
        <f>IFERROR(__xludf.DUMMYFUNCTION("""COMPUTED_VALUE"""),"")</f>
        <v/>
      </c>
    </row>
    <row r="1382">
      <c r="A1382" s="16" t="s">
        <v>87</v>
      </c>
      <c r="E1382" s="16" t="str">
        <f>IFERROR(__xludf.DUMMYFUNCTION("""COMPUTED_VALUE"""),"")</f>
        <v/>
      </c>
      <c r="G1382" s="18"/>
      <c r="H1382" s="16" t="s">
        <v>87</v>
      </c>
      <c r="I1382" s="16" t="s">
        <v>87</v>
      </c>
      <c r="J1382" s="19"/>
      <c r="L1382" s="16" t="str">
        <f>IFERROR(__xludf.DUMMYFUNCTION("""COMPUTED_VALUE"""),"")</f>
        <v/>
      </c>
      <c r="M1382" s="16" t="str">
        <f>IFERROR(__xludf.DUMMYFUNCTION("""COMPUTED_VALUE"""),"")</f>
        <v/>
      </c>
      <c r="U1382" s="16" t="s">
        <v>87</v>
      </c>
      <c r="V1382" s="16" t="str">
        <f>IFERROR(__xludf.DUMMYFUNCTION("""COMPUTED_VALUE"""),"")</f>
        <v/>
      </c>
      <c r="W1382" s="16" t="str">
        <f>IFERROR(__xludf.DUMMYFUNCTION("""COMPUTED_VALUE"""),"")</f>
        <v/>
      </c>
      <c r="X1382" s="16" t="str">
        <f>IFERROR(__xludf.DUMMYFUNCTION("""COMPUTED_VALUE"""),"")</f>
        <v/>
      </c>
      <c r="AC1382" s="16" t="str">
        <f>IFERROR(__xludf.DUMMYFUNCTION("""COMPUTED_VALUE"""),"")</f>
        <v/>
      </c>
    </row>
    <row r="1383">
      <c r="A1383" s="16" t="s">
        <v>87</v>
      </c>
      <c r="E1383" s="16" t="str">
        <f>IFERROR(__xludf.DUMMYFUNCTION("""COMPUTED_VALUE"""),"")</f>
        <v/>
      </c>
      <c r="G1383" s="18"/>
      <c r="H1383" s="16" t="s">
        <v>87</v>
      </c>
      <c r="I1383" s="16" t="s">
        <v>87</v>
      </c>
      <c r="J1383" s="19"/>
      <c r="L1383" s="16" t="str">
        <f>IFERROR(__xludf.DUMMYFUNCTION("""COMPUTED_VALUE"""),"")</f>
        <v/>
      </c>
      <c r="M1383" s="16" t="str">
        <f>IFERROR(__xludf.DUMMYFUNCTION("""COMPUTED_VALUE"""),"")</f>
        <v/>
      </c>
      <c r="U1383" s="16" t="s">
        <v>87</v>
      </c>
      <c r="V1383" s="16" t="str">
        <f>IFERROR(__xludf.DUMMYFUNCTION("""COMPUTED_VALUE"""),"")</f>
        <v/>
      </c>
      <c r="W1383" s="16" t="str">
        <f>IFERROR(__xludf.DUMMYFUNCTION("""COMPUTED_VALUE"""),"")</f>
        <v/>
      </c>
      <c r="X1383" s="16" t="str">
        <f>IFERROR(__xludf.DUMMYFUNCTION("""COMPUTED_VALUE"""),"")</f>
        <v/>
      </c>
      <c r="AC1383" s="16" t="str">
        <f>IFERROR(__xludf.DUMMYFUNCTION("""COMPUTED_VALUE"""),"")</f>
        <v/>
      </c>
    </row>
    <row r="1384">
      <c r="A1384" s="16" t="s">
        <v>87</v>
      </c>
      <c r="E1384" s="16" t="str">
        <f>IFERROR(__xludf.DUMMYFUNCTION("""COMPUTED_VALUE"""),"")</f>
        <v/>
      </c>
      <c r="G1384" s="18"/>
      <c r="H1384" s="16" t="s">
        <v>87</v>
      </c>
      <c r="I1384" s="16" t="s">
        <v>87</v>
      </c>
      <c r="J1384" s="19"/>
      <c r="L1384" s="16" t="str">
        <f>IFERROR(__xludf.DUMMYFUNCTION("""COMPUTED_VALUE"""),"")</f>
        <v/>
      </c>
      <c r="M1384" s="16" t="str">
        <f>IFERROR(__xludf.DUMMYFUNCTION("""COMPUTED_VALUE"""),"")</f>
        <v/>
      </c>
      <c r="U1384" s="16" t="s">
        <v>87</v>
      </c>
      <c r="V1384" s="16" t="str">
        <f>IFERROR(__xludf.DUMMYFUNCTION("""COMPUTED_VALUE"""),"")</f>
        <v/>
      </c>
      <c r="W1384" s="16" t="str">
        <f>IFERROR(__xludf.DUMMYFUNCTION("""COMPUTED_VALUE"""),"")</f>
        <v/>
      </c>
      <c r="X1384" s="16" t="str">
        <f>IFERROR(__xludf.DUMMYFUNCTION("""COMPUTED_VALUE"""),"")</f>
        <v/>
      </c>
      <c r="AC1384" s="16" t="str">
        <f>IFERROR(__xludf.DUMMYFUNCTION("""COMPUTED_VALUE"""),"")</f>
        <v/>
      </c>
    </row>
    <row r="1385">
      <c r="A1385" s="16" t="s">
        <v>87</v>
      </c>
      <c r="E1385" s="16" t="str">
        <f>IFERROR(__xludf.DUMMYFUNCTION("""COMPUTED_VALUE"""),"")</f>
        <v/>
      </c>
      <c r="G1385" s="18"/>
      <c r="H1385" s="16" t="s">
        <v>87</v>
      </c>
      <c r="I1385" s="16" t="s">
        <v>87</v>
      </c>
      <c r="J1385" s="19"/>
      <c r="L1385" s="16" t="str">
        <f>IFERROR(__xludf.DUMMYFUNCTION("""COMPUTED_VALUE"""),"")</f>
        <v/>
      </c>
      <c r="M1385" s="16" t="str">
        <f>IFERROR(__xludf.DUMMYFUNCTION("""COMPUTED_VALUE"""),"")</f>
        <v/>
      </c>
      <c r="U1385" s="16" t="s">
        <v>87</v>
      </c>
      <c r="V1385" s="16" t="str">
        <f>IFERROR(__xludf.DUMMYFUNCTION("""COMPUTED_VALUE"""),"")</f>
        <v/>
      </c>
      <c r="W1385" s="16" t="str">
        <f>IFERROR(__xludf.DUMMYFUNCTION("""COMPUTED_VALUE"""),"")</f>
        <v/>
      </c>
      <c r="X1385" s="16" t="str">
        <f>IFERROR(__xludf.DUMMYFUNCTION("""COMPUTED_VALUE"""),"")</f>
        <v/>
      </c>
      <c r="AC1385" s="16" t="str">
        <f>IFERROR(__xludf.DUMMYFUNCTION("""COMPUTED_VALUE"""),"")</f>
        <v/>
      </c>
    </row>
    <row r="1386">
      <c r="A1386" s="16" t="s">
        <v>87</v>
      </c>
      <c r="E1386" s="16" t="str">
        <f>IFERROR(__xludf.DUMMYFUNCTION("""COMPUTED_VALUE"""),"")</f>
        <v/>
      </c>
      <c r="G1386" s="18"/>
      <c r="H1386" s="16" t="s">
        <v>87</v>
      </c>
      <c r="I1386" s="16" t="s">
        <v>87</v>
      </c>
      <c r="J1386" s="19"/>
      <c r="L1386" s="16" t="str">
        <f>IFERROR(__xludf.DUMMYFUNCTION("""COMPUTED_VALUE"""),"")</f>
        <v/>
      </c>
      <c r="M1386" s="16" t="str">
        <f>IFERROR(__xludf.DUMMYFUNCTION("""COMPUTED_VALUE"""),"")</f>
        <v/>
      </c>
      <c r="U1386" s="16" t="s">
        <v>87</v>
      </c>
      <c r="V1386" s="16" t="str">
        <f>IFERROR(__xludf.DUMMYFUNCTION("""COMPUTED_VALUE"""),"")</f>
        <v/>
      </c>
      <c r="W1386" s="16" t="str">
        <f>IFERROR(__xludf.DUMMYFUNCTION("""COMPUTED_VALUE"""),"")</f>
        <v/>
      </c>
      <c r="X1386" s="16" t="str">
        <f>IFERROR(__xludf.DUMMYFUNCTION("""COMPUTED_VALUE"""),"")</f>
        <v/>
      </c>
      <c r="AC1386" s="16" t="str">
        <f>IFERROR(__xludf.DUMMYFUNCTION("""COMPUTED_VALUE"""),"")</f>
        <v/>
      </c>
    </row>
    <row r="1387">
      <c r="A1387" s="16" t="s">
        <v>87</v>
      </c>
      <c r="E1387" s="16" t="str">
        <f>IFERROR(__xludf.DUMMYFUNCTION("""COMPUTED_VALUE"""),"")</f>
        <v/>
      </c>
      <c r="G1387" s="18"/>
      <c r="H1387" s="16" t="s">
        <v>87</v>
      </c>
      <c r="I1387" s="16" t="s">
        <v>87</v>
      </c>
      <c r="J1387" s="19"/>
      <c r="L1387" s="16" t="str">
        <f>IFERROR(__xludf.DUMMYFUNCTION("""COMPUTED_VALUE"""),"")</f>
        <v/>
      </c>
      <c r="M1387" s="16" t="str">
        <f>IFERROR(__xludf.DUMMYFUNCTION("""COMPUTED_VALUE"""),"")</f>
        <v/>
      </c>
      <c r="U1387" s="16" t="s">
        <v>87</v>
      </c>
      <c r="V1387" s="16" t="str">
        <f>IFERROR(__xludf.DUMMYFUNCTION("""COMPUTED_VALUE"""),"")</f>
        <v/>
      </c>
      <c r="W1387" s="16" t="str">
        <f>IFERROR(__xludf.DUMMYFUNCTION("""COMPUTED_VALUE"""),"")</f>
        <v/>
      </c>
      <c r="X1387" s="16" t="str">
        <f>IFERROR(__xludf.DUMMYFUNCTION("""COMPUTED_VALUE"""),"")</f>
        <v/>
      </c>
      <c r="AC1387" s="16" t="str">
        <f>IFERROR(__xludf.DUMMYFUNCTION("""COMPUTED_VALUE"""),"")</f>
        <v/>
      </c>
    </row>
    <row r="1388">
      <c r="A1388" s="16" t="s">
        <v>87</v>
      </c>
      <c r="E1388" s="16" t="str">
        <f>IFERROR(__xludf.DUMMYFUNCTION("""COMPUTED_VALUE"""),"")</f>
        <v/>
      </c>
      <c r="G1388" s="18"/>
      <c r="H1388" s="16" t="s">
        <v>87</v>
      </c>
      <c r="I1388" s="16" t="s">
        <v>87</v>
      </c>
      <c r="J1388" s="19"/>
      <c r="L1388" s="16" t="str">
        <f>IFERROR(__xludf.DUMMYFUNCTION("""COMPUTED_VALUE"""),"")</f>
        <v/>
      </c>
      <c r="M1388" s="16" t="str">
        <f>IFERROR(__xludf.DUMMYFUNCTION("""COMPUTED_VALUE"""),"")</f>
        <v/>
      </c>
      <c r="U1388" s="16" t="s">
        <v>87</v>
      </c>
      <c r="V1388" s="16" t="str">
        <f>IFERROR(__xludf.DUMMYFUNCTION("""COMPUTED_VALUE"""),"")</f>
        <v/>
      </c>
      <c r="W1388" s="16" t="str">
        <f>IFERROR(__xludf.DUMMYFUNCTION("""COMPUTED_VALUE"""),"")</f>
        <v/>
      </c>
      <c r="X1388" s="16" t="str">
        <f>IFERROR(__xludf.DUMMYFUNCTION("""COMPUTED_VALUE"""),"")</f>
        <v/>
      </c>
      <c r="AC1388" s="16" t="str">
        <f>IFERROR(__xludf.DUMMYFUNCTION("""COMPUTED_VALUE"""),"")</f>
        <v/>
      </c>
    </row>
    <row r="1389">
      <c r="A1389" s="16" t="s">
        <v>87</v>
      </c>
      <c r="E1389" s="16" t="str">
        <f>IFERROR(__xludf.DUMMYFUNCTION("""COMPUTED_VALUE"""),"")</f>
        <v/>
      </c>
      <c r="G1389" s="18"/>
      <c r="H1389" s="16" t="s">
        <v>87</v>
      </c>
      <c r="I1389" s="16" t="s">
        <v>87</v>
      </c>
      <c r="J1389" s="19"/>
      <c r="L1389" s="16" t="str">
        <f>IFERROR(__xludf.DUMMYFUNCTION("""COMPUTED_VALUE"""),"")</f>
        <v/>
      </c>
      <c r="M1389" s="16" t="str">
        <f>IFERROR(__xludf.DUMMYFUNCTION("""COMPUTED_VALUE"""),"")</f>
        <v/>
      </c>
      <c r="U1389" s="16" t="s">
        <v>87</v>
      </c>
      <c r="V1389" s="16" t="str">
        <f>IFERROR(__xludf.DUMMYFUNCTION("""COMPUTED_VALUE"""),"")</f>
        <v/>
      </c>
      <c r="W1389" s="16" t="str">
        <f>IFERROR(__xludf.DUMMYFUNCTION("""COMPUTED_VALUE"""),"")</f>
        <v/>
      </c>
      <c r="X1389" s="16" t="str">
        <f>IFERROR(__xludf.DUMMYFUNCTION("""COMPUTED_VALUE"""),"")</f>
        <v/>
      </c>
      <c r="AC1389" s="16" t="str">
        <f>IFERROR(__xludf.DUMMYFUNCTION("""COMPUTED_VALUE"""),"")</f>
        <v/>
      </c>
    </row>
    <row r="1390">
      <c r="A1390" s="16" t="s">
        <v>87</v>
      </c>
      <c r="E1390" s="16" t="str">
        <f>IFERROR(__xludf.DUMMYFUNCTION("""COMPUTED_VALUE"""),"")</f>
        <v/>
      </c>
      <c r="G1390" s="18"/>
      <c r="H1390" s="16" t="s">
        <v>87</v>
      </c>
      <c r="I1390" s="16" t="s">
        <v>87</v>
      </c>
      <c r="J1390" s="19"/>
      <c r="L1390" s="16" t="str">
        <f>IFERROR(__xludf.DUMMYFUNCTION("""COMPUTED_VALUE"""),"")</f>
        <v/>
      </c>
      <c r="M1390" s="16" t="str">
        <f>IFERROR(__xludf.DUMMYFUNCTION("""COMPUTED_VALUE"""),"")</f>
        <v/>
      </c>
      <c r="U1390" s="16" t="s">
        <v>87</v>
      </c>
      <c r="V1390" s="16" t="str">
        <f>IFERROR(__xludf.DUMMYFUNCTION("""COMPUTED_VALUE"""),"")</f>
        <v/>
      </c>
      <c r="W1390" s="16" t="str">
        <f>IFERROR(__xludf.DUMMYFUNCTION("""COMPUTED_VALUE"""),"")</f>
        <v/>
      </c>
      <c r="X1390" s="16" t="str">
        <f>IFERROR(__xludf.DUMMYFUNCTION("""COMPUTED_VALUE"""),"")</f>
        <v/>
      </c>
      <c r="AC1390" s="16" t="str">
        <f>IFERROR(__xludf.DUMMYFUNCTION("""COMPUTED_VALUE"""),"")</f>
        <v/>
      </c>
    </row>
    <row r="1391">
      <c r="A1391" s="16" t="s">
        <v>87</v>
      </c>
      <c r="E1391" s="16" t="str">
        <f>IFERROR(__xludf.DUMMYFUNCTION("""COMPUTED_VALUE"""),"")</f>
        <v/>
      </c>
      <c r="G1391" s="18"/>
      <c r="H1391" s="16" t="s">
        <v>87</v>
      </c>
      <c r="I1391" s="16" t="s">
        <v>87</v>
      </c>
      <c r="J1391" s="19"/>
      <c r="L1391" s="16" t="str">
        <f>IFERROR(__xludf.DUMMYFUNCTION("""COMPUTED_VALUE"""),"")</f>
        <v/>
      </c>
      <c r="M1391" s="16" t="str">
        <f>IFERROR(__xludf.DUMMYFUNCTION("""COMPUTED_VALUE"""),"")</f>
        <v/>
      </c>
      <c r="U1391" s="16" t="s">
        <v>87</v>
      </c>
      <c r="V1391" s="16" t="str">
        <f>IFERROR(__xludf.DUMMYFUNCTION("""COMPUTED_VALUE"""),"")</f>
        <v/>
      </c>
      <c r="W1391" s="16" t="str">
        <f>IFERROR(__xludf.DUMMYFUNCTION("""COMPUTED_VALUE"""),"")</f>
        <v/>
      </c>
      <c r="X1391" s="16" t="str">
        <f>IFERROR(__xludf.DUMMYFUNCTION("""COMPUTED_VALUE"""),"")</f>
        <v/>
      </c>
      <c r="AC1391" s="16" t="str">
        <f>IFERROR(__xludf.DUMMYFUNCTION("""COMPUTED_VALUE"""),"")</f>
        <v/>
      </c>
    </row>
    <row r="1392">
      <c r="A1392" s="16" t="s">
        <v>87</v>
      </c>
      <c r="E1392" s="16" t="str">
        <f>IFERROR(__xludf.DUMMYFUNCTION("""COMPUTED_VALUE"""),"")</f>
        <v/>
      </c>
      <c r="G1392" s="18"/>
      <c r="H1392" s="16" t="s">
        <v>87</v>
      </c>
      <c r="I1392" s="16" t="s">
        <v>87</v>
      </c>
      <c r="J1392" s="19"/>
      <c r="L1392" s="16" t="str">
        <f>IFERROR(__xludf.DUMMYFUNCTION("""COMPUTED_VALUE"""),"")</f>
        <v/>
      </c>
      <c r="M1392" s="16" t="str">
        <f>IFERROR(__xludf.DUMMYFUNCTION("""COMPUTED_VALUE"""),"")</f>
        <v/>
      </c>
      <c r="U1392" s="16" t="s">
        <v>87</v>
      </c>
      <c r="V1392" s="16" t="str">
        <f>IFERROR(__xludf.DUMMYFUNCTION("""COMPUTED_VALUE"""),"")</f>
        <v/>
      </c>
      <c r="W1392" s="16" t="str">
        <f>IFERROR(__xludf.DUMMYFUNCTION("""COMPUTED_VALUE"""),"")</f>
        <v/>
      </c>
      <c r="X1392" s="16" t="str">
        <f>IFERROR(__xludf.DUMMYFUNCTION("""COMPUTED_VALUE"""),"")</f>
        <v/>
      </c>
      <c r="AC1392" s="16" t="str">
        <f>IFERROR(__xludf.DUMMYFUNCTION("""COMPUTED_VALUE"""),"")</f>
        <v/>
      </c>
    </row>
    <row r="1393">
      <c r="A1393" s="16" t="s">
        <v>87</v>
      </c>
      <c r="E1393" s="16" t="str">
        <f>IFERROR(__xludf.DUMMYFUNCTION("""COMPUTED_VALUE"""),"")</f>
        <v/>
      </c>
      <c r="G1393" s="18"/>
      <c r="H1393" s="16" t="s">
        <v>87</v>
      </c>
      <c r="I1393" s="16" t="s">
        <v>87</v>
      </c>
      <c r="J1393" s="19"/>
      <c r="L1393" s="16" t="str">
        <f>IFERROR(__xludf.DUMMYFUNCTION("""COMPUTED_VALUE"""),"")</f>
        <v/>
      </c>
      <c r="M1393" s="16" t="str">
        <f>IFERROR(__xludf.DUMMYFUNCTION("""COMPUTED_VALUE"""),"")</f>
        <v/>
      </c>
      <c r="U1393" s="16" t="s">
        <v>87</v>
      </c>
      <c r="V1393" s="16" t="str">
        <f>IFERROR(__xludf.DUMMYFUNCTION("""COMPUTED_VALUE"""),"")</f>
        <v/>
      </c>
      <c r="W1393" s="16" t="str">
        <f>IFERROR(__xludf.DUMMYFUNCTION("""COMPUTED_VALUE"""),"")</f>
        <v/>
      </c>
      <c r="X1393" s="16" t="str">
        <f>IFERROR(__xludf.DUMMYFUNCTION("""COMPUTED_VALUE"""),"")</f>
        <v/>
      </c>
      <c r="AC1393" s="16" t="str">
        <f>IFERROR(__xludf.DUMMYFUNCTION("""COMPUTED_VALUE"""),"")</f>
        <v/>
      </c>
    </row>
    <row r="1394">
      <c r="A1394" s="16" t="s">
        <v>87</v>
      </c>
      <c r="E1394" s="16" t="str">
        <f>IFERROR(__xludf.DUMMYFUNCTION("""COMPUTED_VALUE"""),"")</f>
        <v/>
      </c>
      <c r="G1394" s="18"/>
      <c r="H1394" s="16" t="s">
        <v>87</v>
      </c>
      <c r="I1394" s="16" t="s">
        <v>87</v>
      </c>
      <c r="J1394" s="19"/>
      <c r="L1394" s="16" t="str">
        <f>IFERROR(__xludf.DUMMYFUNCTION("""COMPUTED_VALUE"""),"")</f>
        <v/>
      </c>
      <c r="M1394" s="16" t="str">
        <f>IFERROR(__xludf.DUMMYFUNCTION("""COMPUTED_VALUE"""),"")</f>
        <v/>
      </c>
      <c r="U1394" s="16" t="s">
        <v>87</v>
      </c>
      <c r="V1394" s="16" t="str">
        <f>IFERROR(__xludf.DUMMYFUNCTION("""COMPUTED_VALUE"""),"")</f>
        <v/>
      </c>
      <c r="W1394" s="16" t="str">
        <f>IFERROR(__xludf.DUMMYFUNCTION("""COMPUTED_VALUE"""),"")</f>
        <v/>
      </c>
      <c r="X1394" s="16" t="str">
        <f>IFERROR(__xludf.DUMMYFUNCTION("""COMPUTED_VALUE"""),"")</f>
        <v/>
      </c>
      <c r="AC1394" s="16" t="str">
        <f>IFERROR(__xludf.DUMMYFUNCTION("""COMPUTED_VALUE"""),"")</f>
        <v/>
      </c>
    </row>
    <row r="1395">
      <c r="A1395" s="16" t="s">
        <v>87</v>
      </c>
      <c r="E1395" s="16" t="str">
        <f>IFERROR(__xludf.DUMMYFUNCTION("""COMPUTED_VALUE"""),"")</f>
        <v/>
      </c>
      <c r="G1395" s="18"/>
      <c r="H1395" s="16" t="s">
        <v>87</v>
      </c>
      <c r="I1395" s="16" t="s">
        <v>87</v>
      </c>
      <c r="J1395" s="19"/>
      <c r="L1395" s="16" t="str">
        <f>IFERROR(__xludf.DUMMYFUNCTION("""COMPUTED_VALUE"""),"")</f>
        <v/>
      </c>
      <c r="M1395" s="16" t="str">
        <f>IFERROR(__xludf.DUMMYFUNCTION("""COMPUTED_VALUE"""),"")</f>
        <v/>
      </c>
      <c r="U1395" s="16" t="s">
        <v>87</v>
      </c>
      <c r="V1395" s="16" t="str">
        <f>IFERROR(__xludf.DUMMYFUNCTION("""COMPUTED_VALUE"""),"")</f>
        <v/>
      </c>
      <c r="W1395" s="16" t="str">
        <f>IFERROR(__xludf.DUMMYFUNCTION("""COMPUTED_VALUE"""),"")</f>
        <v/>
      </c>
      <c r="X1395" s="16" t="str">
        <f>IFERROR(__xludf.DUMMYFUNCTION("""COMPUTED_VALUE"""),"")</f>
        <v/>
      </c>
      <c r="AC1395" s="16" t="str">
        <f>IFERROR(__xludf.DUMMYFUNCTION("""COMPUTED_VALUE"""),"")</f>
        <v/>
      </c>
    </row>
    <row r="1396">
      <c r="A1396" s="16" t="s">
        <v>87</v>
      </c>
      <c r="E1396" s="16" t="str">
        <f>IFERROR(__xludf.DUMMYFUNCTION("""COMPUTED_VALUE"""),"")</f>
        <v/>
      </c>
      <c r="G1396" s="18"/>
      <c r="H1396" s="16" t="s">
        <v>87</v>
      </c>
      <c r="I1396" s="16" t="s">
        <v>87</v>
      </c>
      <c r="J1396" s="19"/>
      <c r="L1396" s="16" t="str">
        <f>IFERROR(__xludf.DUMMYFUNCTION("""COMPUTED_VALUE"""),"")</f>
        <v/>
      </c>
      <c r="M1396" s="16" t="str">
        <f>IFERROR(__xludf.DUMMYFUNCTION("""COMPUTED_VALUE"""),"")</f>
        <v/>
      </c>
      <c r="U1396" s="16" t="s">
        <v>87</v>
      </c>
      <c r="V1396" s="16" t="str">
        <f>IFERROR(__xludf.DUMMYFUNCTION("""COMPUTED_VALUE"""),"")</f>
        <v/>
      </c>
      <c r="W1396" s="16" t="str">
        <f>IFERROR(__xludf.DUMMYFUNCTION("""COMPUTED_VALUE"""),"")</f>
        <v/>
      </c>
      <c r="X1396" s="16" t="str">
        <f>IFERROR(__xludf.DUMMYFUNCTION("""COMPUTED_VALUE"""),"")</f>
        <v/>
      </c>
      <c r="AC1396" s="16" t="str">
        <f>IFERROR(__xludf.DUMMYFUNCTION("""COMPUTED_VALUE"""),"")</f>
        <v/>
      </c>
    </row>
    <row r="1397">
      <c r="A1397" s="16" t="s">
        <v>87</v>
      </c>
      <c r="E1397" s="16" t="str">
        <f>IFERROR(__xludf.DUMMYFUNCTION("""COMPUTED_VALUE"""),"")</f>
        <v/>
      </c>
      <c r="G1397" s="18"/>
      <c r="H1397" s="16" t="s">
        <v>87</v>
      </c>
      <c r="I1397" s="16" t="s">
        <v>87</v>
      </c>
      <c r="J1397" s="19"/>
      <c r="L1397" s="16" t="str">
        <f>IFERROR(__xludf.DUMMYFUNCTION("""COMPUTED_VALUE"""),"")</f>
        <v/>
      </c>
      <c r="M1397" s="16" t="str">
        <f>IFERROR(__xludf.DUMMYFUNCTION("""COMPUTED_VALUE"""),"")</f>
        <v/>
      </c>
      <c r="U1397" s="16" t="s">
        <v>87</v>
      </c>
      <c r="V1397" s="16" t="str">
        <f>IFERROR(__xludf.DUMMYFUNCTION("""COMPUTED_VALUE"""),"")</f>
        <v/>
      </c>
      <c r="W1397" s="16" t="str">
        <f>IFERROR(__xludf.DUMMYFUNCTION("""COMPUTED_VALUE"""),"")</f>
        <v/>
      </c>
      <c r="X1397" s="16" t="str">
        <f>IFERROR(__xludf.DUMMYFUNCTION("""COMPUTED_VALUE"""),"")</f>
        <v/>
      </c>
      <c r="AC1397" s="16" t="str">
        <f>IFERROR(__xludf.DUMMYFUNCTION("""COMPUTED_VALUE"""),"")</f>
        <v/>
      </c>
    </row>
    <row r="1398">
      <c r="A1398" s="16" t="s">
        <v>87</v>
      </c>
      <c r="E1398" s="16" t="str">
        <f>IFERROR(__xludf.DUMMYFUNCTION("""COMPUTED_VALUE"""),"")</f>
        <v/>
      </c>
      <c r="G1398" s="18"/>
      <c r="H1398" s="16" t="s">
        <v>87</v>
      </c>
      <c r="I1398" s="16" t="s">
        <v>87</v>
      </c>
      <c r="J1398" s="19"/>
      <c r="L1398" s="16" t="str">
        <f>IFERROR(__xludf.DUMMYFUNCTION("""COMPUTED_VALUE"""),"")</f>
        <v/>
      </c>
      <c r="M1398" s="16" t="str">
        <f>IFERROR(__xludf.DUMMYFUNCTION("""COMPUTED_VALUE"""),"")</f>
        <v/>
      </c>
      <c r="U1398" s="16" t="s">
        <v>87</v>
      </c>
      <c r="V1398" s="16" t="str">
        <f>IFERROR(__xludf.DUMMYFUNCTION("""COMPUTED_VALUE"""),"")</f>
        <v/>
      </c>
      <c r="W1398" s="16" t="str">
        <f>IFERROR(__xludf.DUMMYFUNCTION("""COMPUTED_VALUE"""),"")</f>
        <v/>
      </c>
      <c r="X1398" s="16" t="str">
        <f>IFERROR(__xludf.DUMMYFUNCTION("""COMPUTED_VALUE"""),"")</f>
        <v/>
      </c>
      <c r="AC1398" s="16" t="str">
        <f>IFERROR(__xludf.DUMMYFUNCTION("""COMPUTED_VALUE"""),"")</f>
        <v/>
      </c>
    </row>
    <row r="1399">
      <c r="A1399" s="16" t="s">
        <v>87</v>
      </c>
      <c r="E1399" s="16" t="str">
        <f>IFERROR(__xludf.DUMMYFUNCTION("""COMPUTED_VALUE"""),"")</f>
        <v/>
      </c>
      <c r="G1399" s="18"/>
      <c r="H1399" s="16" t="s">
        <v>87</v>
      </c>
      <c r="I1399" s="16" t="s">
        <v>87</v>
      </c>
      <c r="J1399" s="19"/>
      <c r="L1399" s="16" t="str">
        <f>IFERROR(__xludf.DUMMYFUNCTION("""COMPUTED_VALUE"""),"")</f>
        <v/>
      </c>
      <c r="M1399" s="16" t="str">
        <f>IFERROR(__xludf.DUMMYFUNCTION("""COMPUTED_VALUE"""),"")</f>
        <v/>
      </c>
      <c r="U1399" s="16" t="s">
        <v>87</v>
      </c>
      <c r="V1399" s="16" t="str">
        <f>IFERROR(__xludf.DUMMYFUNCTION("""COMPUTED_VALUE"""),"")</f>
        <v/>
      </c>
      <c r="W1399" s="16" t="str">
        <f>IFERROR(__xludf.DUMMYFUNCTION("""COMPUTED_VALUE"""),"")</f>
        <v/>
      </c>
      <c r="X1399" s="16" t="str">
        <f>IFERROR(__xludf.DUMMYFUNCTION("""COMPUTED_VALUE"""),"")</f>
        <v/>
      </c>
      <c r="AC1399" s="16" t="str">
        <f>IFERROR(__xludf.DUMMYFUNCTION("""COMPUTED_VALUE"""),"")</f>
        <v/>
      </c>
    </row>
    <row r="1400">
      <c r="A1400" s="16" t="s">
        <v>87</v>
      </c>
      <c r="E1400" s="16" t="str">
        <f>IFERROR(__xludf.DUMMYFUNCTION("""COMPUTED_VALUE"""),"")</f>
        <v/>
      </c>
      <c r="G1400" s="18"/>
      <c r="H1400" s="16" t="s">
        <v>87</v>
      </c>
      <c r="I1400" s="16" t="s">
        <v>87</v>
      </c>
      <c r="J1400" s="19"/>
      <c r="L1400" s="16" t="str">
        <f>IFERROR(__xludf.DUMMYFUNCTION("""COMPUTED_VALUE"""),"")</f>
        <v/>
      </c>
      <c r="M1400" s="16" t="str">
        <f>IFERROR(__xludf.DUMMYFUNCTION("""COMPUTED_VALUE"""),"")</f>
        <v/>
      </c>
      <c r="U1400" s="16" t="s">
        <v>87</v>
      </c>
      <c r="V1400" s="16" t="str">
        <f>IFERROR(__xludf.DUMMYFUNCTION("""COMPUTED_VALUE"""),"")</f>
        <v/>
      </c>
      <c r="W1400" s="16" t="str">
        <f>IFERROR(__xludf.DUMMYFUNCTION("""COMPUTED_VALUE"""),"")</f>
        <v/>
      </c>
      <c r="X1400" s="16" t="str">
        <f>IFERROR(__xludf.DUMMYFUNCTION("""COMPUTED_VALUE"""),"")</f>
        <v/>
      </c>
      <c r="AC1400" s="16" t="str">
        <f>IFERROR(__xludf.DUMMYFUNCTION("""COMPUTED_VALUE"""),"")</f>
        <v/>
      </c>
    </row>
    <row r="1401">
      <c r="A1401" s="16" t="s">
        <v>87</v>
      </c>
      <c r="E1401" s="16" t="str">
        <f>IFERROR(__xludf.DUMMYFUNCTION("""COMPUTED_VALUE"""),"")</f>
        <v/>
      </c>
      <c r="G1401" s="18"/>
      <c r="H1401" s="16" t="s">
        <v>87</v>
      </c>
      <c r="I1401" s="16" t="s">
        <v>87</v>
      </c>
      <c r="J1401" s="19"/>
      <c r="L1401" s="16" t="str">
        <f>IFERROR(__xludf.DUMMYFUNCTION("""COMPUTED_VALUE"""),"")</f>
        <v/>
      </c>
      <c r="M1401" s="16" t="str">
        <f>IFERROR(__xludf.DUMMYFUNCTION("""COMPUTED_VALUE"""),"")</f>
        <v/>
      </c>
      <c r="U1401" s="16" t="s">
        <v>87</v>
      </c>
      <c r="V1401" s="16" t="str">
        <f>IFERROR(__xludf.DUMMYFUNCTION("""COMPUTED_VALUE"""),"")</f>
        <v/>
      </c>
      <c r="W1401" s="16" t="str">
        <f>IFERROR(__xludf.DUMMYFUNCTION("""COMPUTED_VALUE"""),"")</f>
        <v/>
      </c>
      <c r="X1401" s="16" t="str">
        <f>IFERROR(__xludf.DUMMYFUNCTION("""COMPUTED_VALUE"""),"")</f>
        <v/>
      </c>
      <c r="AC1401" s="16" t="str">
        <f>IFERROR(__xludf.DUMMYFUNCTION("""COMPUTED_VALUE"""),"")</f>
        <v/>
      </c>
    </row>
    <row r="1402">
      <c r="A1402" s="16" t="s">
        <v>87</v>
      </c>
      <c r="E1402" s="16" t="str">
        <f>IFERROR(__xludf.DUMMYFUNCTION("""COMPUTED_VALUE"""),"")</f>
        <v/>
      </c>
      <c r="G1402" s="18"/>
      <c r="H1402" s="16" t="s">
        <v>87</v>
      </c>
      <c r="I1402" s="16" t="s">
        <v>87</v>
      </c>
      <c r="J1402" s="19"/>
      <c r="L1402" s="16" t="str">
        <f>IFERROR(__xludf.DUMMYFUNCTION("""COMPUTED_VALUE"""),"")</f>
        <v/>
      </c>
      <c r="M1402" s="16" t="str">
        <f>IFERROR(__xludf.DUMMYFUNCTION("""COMPUTED_VALUE"""),"")</f>
        <v/>
      </c>
      <c r="U1402" s="16" t="s">
        <v>87</v>
      </c>
      <c r="V1402" s="16" t="str">
        <f>IFERROR(__xludf.DUMMYFUNCTION("""COMPUTED_VALUE"""),"")</f>
        <v/>
      </c>
      <c r="W1402" s="16" t="str">
        <f>IFERROR(__xludf.DUMMYFUNCTION("""COMPUTED_VALUE"""),"")</f>
        <v/>
      </c>
      <c r="X1402" s="16" t="str">
        <f>IFERROR(__xludf.DUMMYFUNCTION("""COMPUTED_VALUE"""),"")</f>
        <v/>
      </c>
      <c r="AC1402" s="16" t="str">
        <f>IFERROR(__xludf.DUMMYFUNCTION("""COMPUTED_VALUE"""),"")</f>
        <v/>
      </c>
    </row>
    <row r="1403">
      <c r="A1403" s="16" t="s">
        <v>87</v>
      </c>
      <c r="E1403" s="16" t="str">
        <f>IFERROR(__xludf.DUMMYFUNCTION("""COMPUTED_VALUE"""),"")</f>
        <v/>
      </c>
      <c r="G1403" s="18"/>
      <c r="H1403" s="16" t="s">
        <v>87</v>
      </c>
      <c r="I1403" s="16" t="s">
        <v>87</v>
      </c>
      <c r="J1403" s="19"/>
      <c r="L1403" s="16" t="str">
        <f>IFERROR(__xludf.DUMMYFUNCTION("""COMPUTED_VALUE"""),"")</f>
        <v/>
      </c>
      <c r="M1403" s="16" t="str">
        <f>IFERROR(__xludf.DUMMYFUNCTION("""COMPUTED_VALUE"""),"")</f>
        <v/>
      </c>
      <c r="U1403" s="16" t="s">
        <v>87</v>
      </c>
      <c r="V1403" s="16" t="str">
        <f>IFERROR(__xludf.DUMMYFUNCTION("""COMPUTED_VALUE"""),"")</f>
        <v/>
      </c>
      <c r="W1403" s="16" t="str">
        <f>IFERROR(__xludf.DUMMYFUNCTION("""COMPUTED_VALUE"""),"")</f>
        <v/>
      </c>
      <c r="X1403" s="16" t="str">
        <f>IFERROR(__xludf.DUMMYFUNCTION("""COMPUTED_VALUE"""),"")</f>
        <v/>
      </c>
      <c r="AC1403" s="16" t="str">
        <f>IFERROR(__xludf.DUMMYFUNCTION("""COMPUTED_VALUE"""),"")</f>
        <v/>
      </c>
    </row>
    <row r="1404">
      <c r="A1404" s="16" t="s">
        <v>87</v>
      </c>
      <c r="E1404" s="16" t="str">
        <f>IFERROR(__xludf.DUMMYFUNCTION("""COMPUTED_VALUE"""),"")</f>
        <v/>
      </c>
      <c r="G1404" s="18"/>
      <c r="H1404" s="16" t="s">
        <v>87</v>
      </c>
      <c r="I1404" s="16" t="s">
        <v>87</v>
      </c>
      <c r="J1404" s="19"/>
      <c r="L1404" s="16" t="str">
        <f>IFERROR(__xludf.DUMMYFUNCTION("""COMPUTED_VALUE"""),"")</f>
        <v/>
      </c>
      <c r="M1404" s="16" t="str">
        <f>IFERROR(__xludf.DUMMYFUNCTION("""COMPUTED_VALUE"""),"")</f>
        <v/>
      </c>
      <c r="U1404" s="16" t="s">
        <v>87</v>
      </c>
      <c r="V1404" s="16" t="str">
        <f>IFERROR(__xludf.DUMMYFUNCTION("""COMPUTED_VALUE"""),"")</f>
        <v/>
      </c>
      <c r="W1404" s="16" t="str">
        <f>IFERROR(__xludf.DUMMYFUNCTION("""COMPUTED_VALUE"""),"")</f>
        <v/>
      </c>
      <c r="X1404" s="16" t="str">
        <f>IFERROR(__xludf.DUMMYFUNCTION("""COMPUTED_VALUE"""),"")</f>
        <v/>
      </c>
      <c r="AC1404" s="16" t="str">
        <f>IFERROR(__xludf.DUMMYFUNCTION("""COMPUTED_VALUE"""),"")</f>
        <v/>
      </c>
    </row>
    <row r="1405">
      <c r="A1405" s="16" t="s">
        <v>87</v>
      </c>
      <c r="E1405" s="16" t="str">
        <f>IFERROR(__xludf.DUMMYFUNCTION("""COMPUTED_VALUE"""),"")</f>
        <v/>
      </c>
      <c r="G1405" s="18"/>
      <c r="H1405" s="16" t="s">
        <v>87</v>
      </c>
      <c r="I1405" s="16" t="s">
        <v>87</v>
      </c>
      <c r="J1405" s="19"/>
      <c r="L1405" s="16" t="str">
        <f>IFERROR(__xludf.DUMMYFUNCTION("""COMPUTED_VALUE"""),"")</f>
        <v/>
      </c>
      <c r="M1405" s="16" t="str">
        <f>IFERROR(__xludf.DUMMYFUNCTION("""COMPUTED_VALUE"""),"")</f>
        <v/>
      </c>
      <c r="U1405" s="16" t="s">
        <v>87</v>
      </c>
      <c r="V1405" s="16" t="str">
        <f>IFERROR(__xludf.DUMMYFUNCTION("""COMPUTED_VALUE"""),"")</f>
        <v/>
      </c>
      <c r="W1405" s="16" t="str">
        <f>IFERROR(__xludf.DUMMYFUNCTION("""COMPUTED_VALUE"""),"")</f>
        <v/>
      </c>
      <c r="X1405" s="16" t="str">
        <f>IFERROR(__xludf.DUMMYFUNCTION("""COMPUTED_VALUE"""),"")</f>
        <v/>
      </c>
      <c r="AC1405" s="16" t="str">
        <f>IFERROR(__xludf.DUMMYFUNCTION("""COMPUTED_VALUE"""),"")</f>
        <v/>
      </c>
    </row>
    <row r="1406">
      <c r="A1406" s="16" t="s">
        <v>87</v>
      </c>
      <c r="E1406" s="16" t="str">
        <f>IFERROR(__xludf.DUMMYFUNCTION("""COMPUTED_VALUE"""),"")</f>
        <v/>
      </c>
      <c r="G1406" s="18"/>
      <c r="H1406" s="16" t="s">
        <v>87</v>
      </c>
      <c r="I1406" s="16" t="s">
        <v>87</v>
      </c>
      <c r="J1406" s="19"/>
      <c r="L1406" s="16" t="str">
        <f>IFERROR(__xludf.DUMMYFUNCTION("""COMPUTED_VALUE"""),"")</f>
        <v/>
      </c>
      <c r="M1406" s="16" t="str">
        <f>IFERROR(__xludf.DUMMYFUNCTION("""COMPUTED_VALUE"""),"")</f>
        <v/>
      </c>
      <c r="U1406" s="16" t="s">
        <v>87</v>
      </c>
      <c r="V1406" s="16" t="str">
        <f>IFERROR(__xludf.DUMMYFUNCTION("""COMPUTED_VALUE"""),"")</f>
        <v/>
      </c>
      <c r="W1406" s="16" t="str">
        <f>IFERROR(__xludf.DUMMYFUNCTION("""COMPUTED_VALUE"""),"")</f>
        <v/>
      </c>
      <c r="X1406" s="16" t="str">
        <f>IFERROR(__xludf.DUMMYFUNCTION("""COMPUTED_VALUE"""),"")</f>
        <v/>
      </c>
      <c r="AC1406" s="16" t="str">
        <f>IFERROR(__xludf.DUMMYFUNCTION("""COMPUTED_VALUE"""),"")</f>
        <v/>
      </c>
    </row>
    <row r="1407">
      <c r="A1407" s="16" t="s">
        <v>87</v>
      </c>
      <c r="E1407" s="16" t="str">
        <f>IFERROR(__xludf.DUMMYFUNCTION("""COMPUTED_VALUE"""),"")</f>
        <v/>
      </c>
      <c r="G1407" s="18"/>
      <c r="H1407" s="16" t="s">
        <v>87</v>
      </c>
      <c r="I1407" s="16" t="s">
        <v>87</v>
      </c>
      <c r="J1407" s="19"/>
      <c r="L1407" s="16" t="str">
        <f>IFERROR(__xludf.DUMMYFUNCTION("""COMPUTED_VALUE"""),"")</f>
        <v/>
      </c>
      <c r="M1407" s="16" t="str">
        <f>IFERROR(__xludf.DUMMYFUNCTION("""COMPUTED_VALUE"""),"")</f>
        <v/>
      </c>
      <c r="U1407" s="16" t="s">
        <v>87</v>
      </c>
      <c r="V1407" s="16" t="str">
        <f>IFERROR(__xludf.DUMMYFUNCTION("""COMPUTED_VALUE"""),"")</f>
        <v/>
      </c>
      <c r="W1407" s="16" t="str">
        <f>IFERROR(__xludf.DUMMYFUNCTION("""COMPUTED_VALUE"""),"")</f>
        <v/>
      </c>
      <c r="X1407" s="16" t="str">
        <f>IFERROR(__xludf.DUMMYFUNCTION("""COMPUTED_VALUE"""),"")</f>
        <v/>
      </c>
      <c r="AC1407" s="16" t="str">
        <f>IFERROR(__xludf.DUMMYFUNCTION("""COMPUTED_VALUE"""),"")</f>
        <v/>
      </c>
    </row>
    <row r="1408">
      <c r="A1408" s="16" t="s">
        <v>87</v>
      </c>
      <c r="E1408" s="16" t="str">
        <f>IFERROR(__xludf.DUMMYFUNCTION("""COMPUTED_VALUE"""),"")</f>
        <v/>
      </c>
      <c r="G1408" s="18"/>
      <c r="H1408" s="16" t="s">
        <v>87</v>
      </c>
      <c r="I1408" s="16" t="s">
        <v>87</v>
      </c>
      <c r="J1408" s="19"/>
      <c r="L1408" s="16" t="str">
        <f>IFERROR(__xludf.DUMMYFUNCTION("""COMPUTED_VALUE"""),"")</f>
        <v/>
      </c>
      <c r="M1408" s="16" t="str">
        <f>IFERROR(__xludf.DUMMYFUNCTION("""COMPUTED_VALUE"""),"")</f>
        <v/>
      </c>
      <c r="U1408" s="16" t="s">
        <v>87</v>
      </c>
      <c r="V1408" s="16" t="str">
        <f>IFERROR(__xludf.DUMMYFUNCTION("""COMPUTED_VALUE"""),"")</f>
        <v/>
      </c>
      <c r="W1408" s="16" t="str">
        <f>IFERROR(__xludf.DUMMYFUNCTION("""COMPUTED_VALUE"""),"")</f>
        <v/>
      </c>
      <c r="X1408" s="16" t="str">
        <f>IFERROR(__xludf.DUMMYFUNCTION("""COMPUTED_VALUE"""),"")</f>
        <v/>
      </c>
      <c r="AC1408" s="16" t="str">
        <f>IFERROR(__xludf.DUMMYFUNCTION("""COMPUTED_VALUE"""),"")</f>
        <v/>
      </c>
    </row>
    <row r="1409">
      <c r="A1409" s="16" t="s">
        <v>87</v>
      </c>
      <c r="E1409" s="16" t="str">
        <f>IFERROR(__xludf.DUMMYFUNCTION("""COMPUTED_VALUE"""),"")</f>
        <v/>
      </c>
      <c r="G1409" s="18"/>
      <c r="H1409" s="16" t="s">
        <v>87</v>
      </c>
      <c r="I1409" s="16" t="s">
        <v>87</v>
      </c>
      <c r="J1409" s="19"/>
      <c r="L1409" s="16" t="str">
        <f>IFERROR(__xludf.DUMMYFUNCTION("""COMPUTED_VALUE"""),"")</f>
        <v/>
      </c>
      <c r="M1409" s="16" t="str">
        <f>IFERROR(__xludf.DUMMYFUNCTION("""COMPUTED_VALUE"""),"")</f>
        <v/>
      </c>
      <c r="U1409" s="16" t="s">
        <v>87</v>
      </c>
      <c r="V1409" s="16" t="str">
        <f>IFERROR(__xludf.DUMMYFUNCTION("""COMPUTED_VALUE"""),"")</f>
        <v/>
      </c>
      <c r="W1409" s="16" t="str">
        <f>IFERROR(__xludf.DUMMYFUNCTION("""COMPUTED_VALUE"""),"")</f>
        <v/>
      </c>
      <c r="X1409" s="16" t="str">
        <f>IFERROR(__xludf.DUMMYFUNCTION("""COMPUTED_VALUE"""),"")</f>
        <v/>
      </c>
      <c r="AC1409" s="16" t="str">
        <f>IFERROR(__xludf.DUMMYFUNCTION("""COMPUTED_VALUE"""),"")</f>
        <v/>
      </c>
    </row>
    <row r="1410">
      <c r="A1410" s="16" t="s">
        <v>87</v>
      </c>
      <c r="E1410" s="16" t="str">
        <f>IFERROR(__xludf.DUMMYFUNCTION("""COMPUTED_VALUE"""),"")</f>
        <v/>
      </c>
      <c r="G1410" s="18"/>
      <c r="H1410" s="16" t="s">
        <v>87</v>
      </c>
      <c r="I1410" s="16" t="s">
        <v>87</v>
      </c>
      <c r="J1410" s="19"/>
      <c r="L1410" s="16" t="str">
        <f>IFERROR(__xludf.DUMMYFUNCTION("""COMPUTED_VALUE"""),"")</f>
        <v/>
      </c>
      <c r="M1410" s="16" t="str">
        <f>IFERROR(__xludf.DUMMYFUNCTION("""COMPUTED_VALUE"""),"")</f>
        <v/>
      </c>
      <c r="U1410" s="16" t="s">
        <v>87</v>
      </c>
      <c r="V1410" s="16" t="str">
        <f>IFERROR(__xludf.DUMMYFUNCTION("""COMPUTED_VALUE"""),"")</f>
        <v/>
      </c>
      <c r="W1410" s="16" t="str">
        <f>IFERROR(__xludf.DUMMYFUNCTION("""COMPUTED_VALUE"""),"")</f>
        <v/>
      </c>
      <c r="X1410" s="16" t="str">
        <f>IFERROR(__xludf.DUMMYFUNCTION("""COMPUTED_VALUE"""),"")</f>
        <v/>
      </c>
      <c r="AC1410" s="16" t="str">
        <f>IFERROR(__xludf.DUMMYFUNCTION("""COMPUTED_VALUE"""),"")</f>
        <v/>
      </c>
    </row>
    <row r="1411">
      <c r="A1411" s="16" t="s">
        <v>87</v>
      </c>
      <c r="E1411" s="16" t="str">
        <f>IFERROR(__xludf.DUMMYFUNCTION("""COMPUTED_VALUE"""),"")</f>
        <v/>
      </c>
      <c r="G1411" s="18"/>
      <c r="H1411" s="16" t="s">
        <v>87</v>
      </c>
      <c r="I1411" s="16" t="s">
        <v>87</v>
      </c>
      <c r="J1411" s="19"/>
      <c r="L1411" s="16" t="str">
        <f>IFERROR(__xludf.DUMMYFUNCTION("""COMPUTED_VALUE"""),"")</f>
        <v/>
      </c>
      <c r="M1411" s="16" t="str">
        <f>IFERROR(__xludf.DUMMYFUNCTION("""COMPUTED_VALUE"""),"")</f>
        <v/>
      </c>
      <c r="U1411" s="16" t="s">
        <v>87</v>
      </c>
      <c r="V1411" s="16" t="str">
        <f>IFERROR(__xludf.DUMMYFUNCTION("""COMPUTED_VALUE"""),"")</f>
        <v/>
      </c>
      <c r="W1411" s="16" t="str">
        <f>IFERROR(__xludf.DUMMYFUNCTION("""COMPUTED_VALUE"""),"")</f>
        <v/>
      </c>
      <c r="X1411" s="16" t="str">
        <f>IFERROR(__xludf.DUMMYFUNCTION("""COMPUTED_VALUE"""),"")</f>
        <v/>
      </c>
      <c r="AC1411" s="16" t="str">
        <f>IFERROR(__xludf.DUMMYFUNCTION("""COMPUTED_VALUE"""),"")</f>
        <v/>
      </c>
    </row>
    <row r="1412">
      <c r="A1412" s="16" t="s">
        <v>87</v>
      </c>
      <c r="E1412" s="16" t="str">
        <f>IFERROR(__xludf.DUMMYFUNCTION("""COMPUTED_VALUE"""),"")</f>
        <v/>
      </c>
      <c r="G1412" s="18"/>
      <c r="H1412" s="16" t="s">
        <v>87</v>
      </c>
      <c r="I1412" s="16" t="s">
        <v>87</v>
      </c>
      <c r="J1412" s="19"/>
      <c r="L1412" s="16" t="str">
        <f>IFERROR(__xludf.DUMMYFUNCTION("""COMPUTED_VALUE"""),"")</f>
        <v/>
      </c>
      <c r="M1412" s="16" t="str">
        <f>IFERROR(__xludf.DUMMYFUNCTION("""COMPUTED_VALUE"""),"")</f>
        <v/>
      </c>
      <c r="U1412" s="16" t="s">
        <v>87</v>
      </c>
      <c r="V1412" s="16" t="str">
        <f>IFERROR(__xludf.DUMMYFUNCTION("""COMPUTED_VALUE"""),"")</f>
        <v/>
      </c>
      <c r="W1412" s="16" t="str">
        <f>IFERROR(__xludf.DUMMYFUNCTION("""COMPUTED_VALUE"""),"")</f>
        <v/>
      </c>
      <c r="X1412" s="16" t="str">
        <f>IFERROR(__xludf.DUMMYFUNCTION("""COMPUTED_VALUE"""),"")</f>
        <v/>
      </c>
      <c r="AC1412" s="16" t="str">
        <f>IFERROR(__xludf.DUMMYFUNCTION("""COMPUTED_VALUE"""),"")</f>
        <v/>
      </c>
    </row>
    <row r="1413">
      <c r="A1413" s="16" t="s">
        <v>87</v>
      </c>
      <c r="E1413" s="16" t="str">
        <f>IFERROR(__xludf.DUMMYFUNCTION("""COMPUTED_VALUE"""),"")</f>
        <v/>
      </c>
      <c r="G1413" s="18"/>
      <c r="H1413" s="16" t="s">
        <v>87</v>
      </c>
      <c r="I1413" s="16" t="s">
        <v>87</v>
      </c>
      <c r="J1413" s="19"/>
      <c r="L1413" s="16" t="str">
        <f>IFERROR(__xludf.DUMMYFUNCTION("""COMPUTED_VALUE"""),"")</f>
        <v/>
      </c>
      <c r="M1413" s="16" t="str">
        <f>IFERROR(__xludf.DUMMYFUNCTION("""COMPUTED_VALUE"""),"")</f>
        <v/>
      </c>
      <c r="U1413" s="16" t="s">
        <v>87</v>
      </c>
      <c r="V1413" s="16" t="str">
        <f>IFERROR(__xludf.DUMMYFUNCTION("""COMPUTED_VALUE"""),"")</f>
        <v/>
      </c>
      <c r="W1413" s="16" t="str">
        <f>IFERROR(__xludf.DUMMYFUNCTION("""COMPUTED_VALUE"""),"")</f>
        <v/>
      </c>
      <c r="X1413" s="16" t="str">
        <f>IFERROR(__xludf.DUMMYFUNCTION("""COMPUTED_VALUE"""),"")</f>
        <v/>
      </c>
      <c r="AC1413" s="16" t="str">
        <f>IFERROR(__xludf.DUMMYFUNCTION("""COMPUTED_VALUE"""),"")</f>
        <v/>
      </c>
    </row>
    <row r="1414">
      <c r="A1414" s="16" t="s">
        <v>87</v>
      </c>
      <c r="E1414" s="16" t="str">
        <f>IFERROR(__xludf.DUMMYFUNCTION("""COMPUTED_VALUE"""),"")</f>
        <v/>
      </c>
      <c r="G1414" s="18"/>
      <c r="H1414" s="16" t="s">
        <v>87</v>
      </c>
      <c r="I1414" s="16" t="s">
        <v>87</v>
      </c>
      <c r="J1414" s="19"/>
      <c r="L1414" s="16" t="str">
        <f>IFERROR(__xludf.DUMMYFUNCTION("""COMPUTED_VALUE"""),"")</f>
        <v/>
      </c>
      <c r="M1414" s="16" t="str">
        <f>IFERROR(__xludf.DUMMYFUNCTION("""COMPUTED_VALUE"""),"")</f>
        <v/>
      </c>
      <c r="U1414" s="16" t="s">
        <v>87</v>
      </c>
      <c r="V1414" s="16" t="str">
        <f>IFERROR(__xludf.DUMMYFUNCTION("""COMPUTED_VALUE"""),"")</f>
        <v/>
      </c>
      <c r="W1414" s="16" t="str">
        <f>IFERROR(__xludf.DUMMYFUNCTION("""COMPUTED_VALUE"""),"")</f>
        <v/>
      </c>
      <c r="X1414" s="16" t="str">
        <f>IFERROR(__xludf.DUMMYFUNCTION("""COMPUTED_VALUE"""),"")</f>
        <v/>
      </c>
      <c r="AC1414" s="16" t="str">
        <f>IFERROR(__xludf.DUMMYFUNCTION("""COMPUTED_VALUE"""),"")</f>
        <v/>
      </c>
    </row>
    <row r="1415">
      <c r="A1415" s="16" t="s">
        <v>87</v>
      </c>
      <c r="E1415" s="16" t="str">
        <f>IFERROR(__xludf.DUMMYFUNCTION("""COMPUTED_VALUE"""),"")</f>
        <v/>
      </c>
      <c r="G1415" s="18"/>
      <c r="H1415" s="16" t="s">
        <v>87</v>
      </c>
      <c r="I1415" s="16" t="s">
        <v>87</v>
      </c>
      <c r="J1415" s="19"/>
      <c r="L1415" s="16" t="str">
        <f>IFERROR(__xludf.DUMMYFUNCTION("""COMPUTED_VALUE"""),"")</f>
        <v/>
      </c>
      <c r="M1415" s="16" t="str">
        <f>IFERROR(__xludf.DUMMYFUNCTION("""COMPUTED_VALUE"""),"")</f>
        <v/>
      </c>
      <c r="U1415" s="16" t="s">
        <v>87</v>
      </c>
      <c r="V1415" s="16" t="str">
        <f>IFERROR(__xludf.DUMMYFUNCTION("""COMPUTED_VALUE"""),"")</f>
        <v/>
      </c>
      <c r="W1415" s="16" t="str">
        <f>IFERROR(__xludf.DUMMYFUNCTION("""COMPUTED_VALUE"""),"")</f>
        <v/>
      </c>
      <c r="X1415" s="16" t="str">
        <f>IFERROR(__xludf.DUMMYFUNCTION("""COMPUTED_VALUE"""),"")</f>
        <v/>
      </c>
      <c r="AC1415" s="16" t="str">
        <f>IFERROR(__xludf.DUMMYFUNCTION("""COMPUTED_VALUE"""),"")</f>
        <v/>
      </c>
    </row>
    <row r="1416">
      <c r="A1416" s="16" t="s">
        <v>87</v>
      </c>
      <c r="E1416" s="16" t="str">
        <f>IFERROR(__xludf.DUMMYFUNCTION("""COMPUTED_VALUE"""),"")</f>
        <v/>
      </c>
      <c r="G1416" s="18"/>
      <c r="H1416" s="16" t="s">
        <v>87</v>
      </c>
      <c r="I1416" s="16" t="s">
        <v>87</v>
      </c>
      <c r="J1416" s="19"/>
      <c r="L1416" s="16" t="str">
        <f>IFERROR(__xludf.DUMMYFUNCTION("""COMPUTED_VALUE"""),"")</f>
        <v/>
      </c>
      <c r="M1416" s="16" t="str">
        <f>IFERROR(__xludf.DUMMYFUNCTION("""COMPUTED_VALUE"""),"")</f>
        <v/>
      </c>
      <c r="U1416" s="16" t="s">
        <v>87</v>
      </c>
      <c r="V1416" s="16" t="str">
        <f>IFERROR(__xludf.DUMMYFUNCTION("""COMPUTED_VALUE"""),"")</f>
        <v/>
      </c>
      <c r="W1416" s="16" t="str">
        <f>IFERROR(__xludf.DUMMYFUNCTION("""COMPUTED_VALUE"""),"")</f>
        <v/>
      </c>
      <c r="X1416" s="16" t="str">
        <f>IFERROR(__xludf.DUMMYFUNCTION("""COMPUTED_VALUE"""),"")</f>
        <v/>
      </c>
      <c r="AC1416" s="16" t="str">
        <f>IFERROR(__xludf.DUMMYFUNCTION("""COMPUTED_VALUE"""),"")</f>
        <v/>
      </c>
    </row>
    <row r="1417">
      <c r="A1417" s="16" t="s">
        <v>87</v>
      </c>
      <c r="E1417" s="16" t="str">
        <f>IFERROR(__xludf.DUMMYFUNCTION("""COMPUTED_VALUE"""),"")</f>
        <v/>
      </c>
      <c r="G1417" s="18"/>
      <c r="H1417" s="16" t="s">
        <v>87</v>
      </c>
      <c r="I1417" s="16" t="s">
        <v>87</v>
      </c>
      <c r="J1417" s="19"/>
      <c r="L1417" s="16" t="str">
        <f>IFERROR(__xludf.DUMMYFUNCTION("""COMPUTED_VALUE"""),"")</f>
        <v/>
      </c>
      <c r="M1417" s="16" t="str">
        <f>IFERROR(__xludf.DUMMYFUNCTION("""COMPUTED_VALUE"""),"")</f>
        <v/>
      </c>
      <c r="U1417" s="16" t="s">
        <v>87</v>
      </c>
      <c r="V1417" s="16" t="str">
        <f>IFERROR(__xludf.DUMMYFUNCTION("""COMPUTED_VALUE"""),"")</f>
        <v/>
      </c>
      <c r="W1417" s="16" t="str">
        <f>IFERROR(__xludf.DUMMYFUNCTION("""COMPUTED_VALUE"""),"")</f>
        <v/>
      </c>
      <c r="X1417" s="16" t="str">
        <f>IFERROR(__xludf.DUMMYFUNCTION("""COMPUTED_VALUE"""),"")</f>
        <v/>
      </c>
      <c r="AC1417" s="16" t="str">
        <f>IFERROR(__xludf.DUMMYFUNCTION("""COMPUTED_VALUE"""),"")</f>
        <v/>
      </c>
    </row>
    <row r="1418">
      <c r="A1418" s="16" t="s">
        <v>87</v>
      </c>
      <c r="E1418" s="16" t="str">
        <f>IFERROR(__xludf.DUMMYFUNCTION("""COMPUTED_VALUE"""),"")</f>
        <v/>
      </c>
      <c r="G1418" s="18"/>
      <c r="H1418" s="16" t="s">
        <v>87</v>
      </c>
      <c r="I1418" s="16" t="s">
        <v>87</v>
      </c>
      <c r="J1418" s="19"/>
      <c r="L1418" s="16" t="str">
        <f>IFERROR(__xludf.DUMMYFUNCTION("""COMPUTED_VALUE"""),"")</f>
        <v/>
      </c>
      <c r="M1418" s="16" t="str">
        <f>IFERROR(__xludf.DUMMYFUNCTION("""COMPUTED_VALUE"""),"")</f>
        <v/>
      </c>
      <c r="U1418" s="16" t="s">
        <v>87</v>
      </c>
      <c r="V1418" s="16" t="str">
        <f>IFERROR(__xludf.DUMMYFUNCTION("""COMPUTED_VALUE"""),"")</f>
        <v/>
      </c>
      <c r="W1418" s="16" t="str">
        <f>IFERROR(__xludf.DUMMYFUNCTION("""COMPUTED_VALUE"""),"")</f>
        <v/>
      </c>
      <c r="X1418" s="16" t="str">
        <f>IFERROR(__xludf.DUMMYFUNCTION("""COMPUTED_VALUE"""),"")</f>
        <v/>
      </c>
      <c r="AC1418" s="16" t="str">
        <f>IFERROR(__xludf.DUMMYFUNCTION("""COMPUTED_VALUE"""),"")</f>
        <v/>
      </c>
    </row>
    <row r="1419">
      <c r="A1419" s="16" t="s">
        <v>87</v>
      </c>
      <c r="E1419" s="16" t="str">
        <f>IFERROR(__xludf.DUMMYFUNCTION("""COMPUTED_VALUE"""),"")</f>
        <v/>
      </c>
      <c r="G1419" s="18"/>
      <c r="H1419" s="16" t="s">
        <v>87</v>
      </c>
      <c r="I1419" s="16" t="s">
        <v>87</v>
      </c>
      <c r="J1419" s="19"/>
      <c r="L1419" s="16" t="str">
        <f>IFERROR(__xludf.DUMMYFUNCTION("""COMPUTED_VALUE"""),"")</f>
        <v/>
      </c>
      <c r="M1419" s="16" t="str">
        <f>IFERROR(__xludf.DUMMYFUNCTION("""COMPUTED_VALUE"""),"")</f>
        <v/>
      </c>
      <c r="U1419" s="16" t="s">
        <v>87</v>
      </c>
      <c r="V1419" s="16" t="str">
        <f>IFERROR(__xludf.DUMMYFUNCTION("""COMPUTED_VALUE"""),"")</f>
        <v/>
      </c>
      <c r="W1419" s="16" t="str">
        <f>IFERROR(__xludf.DUMMYFUNCTION("""COMPUTED_VALUE"""),"")</f>
        <v/>
      </c>
      <c r="X1419" s="16" t="str">
        <f>IFERROR(__xludf.DUMMYFUNCTION("""COMPUTED_VALUE"""),"")</f>
        <v/>
      </c>
      <c r="AC1419" s="16" t="str">
        <f>IFERROR(__xludf.DUMMYFUNCTION("""COMPUTED_VALUE"""),"")</f>
        <v/>
      </c>
    </row>
    <row r="1420">
      <c r="A1420" s="16" t="s">
        <v>87</v>
      </c>
      <c r="E1420" s="16" t="str">
        <f>IFERROR(__xludf.DUMMYFUNCTION("""COMPUTED_VALUE"""),"")</f>
        <v/>
      </c>
      <c r="G1420" s="18"/>
      <c r="H1420" s="16" t="s">
        <v>87</v>
      </c>
      <c r="I1420" s="16" t="s">
        <v>87</v>
      </c>
      <c r="J1420" s="19"/>
      <c r="L1420" s="16" t="str">
        <f>IFERROR(__xludf.DUMMYFUNCTION("""COMPUTED_VALUE"""),"")</f>
        <v/>
      </c>
      <c r="M1420" s="16" t="str">
        <f>IFERROR(__xludf.DUMMYFUNCTION("""COMPUTED_VALUE"""),"")</f>
        <v/>
      </c>
      <c r="U1420" s="16" t="s">
        <v>87</v>
      </c>
      <c r="V1420" s="16" t="str">
        <f>IFERROR(__xludf.DUMMYFUNCTION("""COMPUTED_VALUE"""),"")</f>
        <v/>
      </c>
      <c r="W1420" s="16" t="str">
        <f>IFERROR(__xludf.DUMMYFUNCTION("""COMPUTED_VALUE"""),"")</f>
        <v/>
      </c>
      <c r="X1420" s="16" t="str">
        <f>IFERROR(__xludf.DUMMYFUNCTION("""COMPUTED_VALUE"""),"")</f>
        <v/>
      </c>
      <c r="AC1420" s="16" t="str">
        <f>IFERROR(__xludf.DUMMYFUNCTION("""COMPUTED_VALUE"""),"")</f>
        <v/>
      </c>
    </row>
    <row r="1421">
      <c r="A1421" s="16" t="s">
        <v>87</v>
      </c>
      <c r="E1421" s="16" t="str">
        <f>IFERROR(__xludf.DUMMYFUNCTION("""COMPUTED_VALUE"""),"")</f>
        <v/>
      </c>
      <c r="G1421" s="18"/>
      <c r="H1421" s="16" t="s">
        <v>87</v>
      </c>
      <c r="I1421" s="16" t="s">
        <v>87</v>
      </c>
      <c r="J1421" s="19"/>
      <c r="L1421" s="16" t="str">
        <f>IFERROR(__xludf.DUMMYFUNCTION("""COMPUTED_VALUE"""),"")</f>
        <v/>
      </c>
      <c r="M1421" s="16" t="str">
        <f>IFERROR(__xludf.DUMMYFUNCTION("""COMPUTED_VALUE"""),"")</f>
        <v/>
      </c>
      <c r="U1421" s="16" t="s">
        <v>87</v>
      </c>
      <c r="V1421" s="16" t="str">
        <f>IFERROR(__xludf.DUMMYFUNCTION("""COMPUTED_VALUE"""),"")</f>
        <v/>
      </c>
      <c r="W1421" s="16" t="str">
        <f>IFERROR(__xludf.DUMMYFUNCTION("""COMPUTED_VALUE"""),"")</f>
        <v/>
      </c>
      <c r="X1421" s="16" t="str">
        <f>IFERROR(__xludf.DUMMYFUNCTION("""COMPUTED_VALUE"""),"")</f>
        <v/>
      </c>
      <c r="AC1421" s="16" t="str">
        <f>IFERROR(__xludf.DUMMYFUNCTION("""COMPUTED_VALUE"""),"")</f>
        <v/>
      </c>
    </row>
    <row r="1422">
      <c r="A1422" s="16" t="s">
        <v>87</v>
      </c>
      <c r="E1422" s="16" t="str">
        <f>IFERROR(__xludf.DUMMYFUNCTION("""COMPUTED_VALUE"""),"")</f>
        <v/>
      </c>
      <c r="G1422" s="18"/>
      <c r="H1422" s="16" t="s">
        <v>87</v>
      </c>
      <c r="I1422" s="16" t="s">
        <v>87</v>
      </c>
      <c r="J1422" s="19"/>
      <c r="L1422" s="16" t="str">
        <f>IFERROR(__xludf.DUMMYFUNCTION("""COMPUTED_VALUE"""),"")</f>
        <v/>
      </c>
      <c r="M1422" s="16" t="str">
        <f>IFERROR(__xludf.DUMMYFUNCTION("""COMPUTED_VALUE"""),"")</f>
        <v/>
      </c>
      <c r="U1422" s="16" t="s">
        <v>87</v>
      </c>
      <c r="V1422" s="16" t="str">
        <f>IFERROR(__xludf.DUMMYFUNCTION("""COMPUTED_VALUE"""),"")</f>
        <v/>
      </c>
      <c r="W1422" s="16" t="str">
        <f>IFERROR(__xludf.DUMMYFUNCTION("""COMPUTED_VALUE"""),"")</f>
        <v/>
      </c>
      <c r="X1422" s="16" t="str">
        <f>IFERROR(__xludf.DUMMYFUNCTION("""COMPUTED_VALUE"""),"")</f>
        <v/>
      </c>
      <c r="AC1422" s="16" t="str">
        <f>IFERROR(__xludf.DUMMYFUNCTION("""COMPUTED_VALUE"""),"")</f>
        <v/>
      </c>
    </row>
    <row r="1423">
      <c r="A1423" s="16" t="s">
        <v>87</v>
      </c>
      <c r="E1423" s="16" t="str">
        <f>IFERROR(__xludf.DUMMYFUNCTION("""COMPUTED_VALUE"""),"")</f>
        <v/>
      </c>
      <c r="G1423" s="18"/>
      <c r="H1423" s="16" t="s">
        <v>87</v>
      </c>
      <c r="I1423" s="16" t="s">
        <v>87</v>
      </c>
      <c r="J1423" s="19"/>
      <c r="L1423" s="16" t="str">
        <f>IFERROR(__xludf.DUMMYFUNCTION("""COMPUTED_VALUE"""),"")</f>
        <v/>
      </c>
      <c r="M1423" s="16" t="str">
        <f>IFERROR(__xludf.DUMMYFUNCTION("""COMPUTED_VALUE"""),"")</f>
        <v/>
      </c>
      <c r="U1423" s="16" t="s">
        <v>87</v>
      </c>
      <c r="V1423" s="16" t="str">
        <f>IFERROR(__xludf.DUMMYFUNCTION("""COMPUTED_VALUE"""),"")</f>
        <v/>
      </c>
      <c r="W1423" s="16" t="str">
        <f>IFERROR(__xludf.DUMMYFUNCTION("""COMPUTED_VALUE"""),"")</f>
        <v/>
      </c>
      <c r="X1423" s="16" t="str">
        <f>IFERROR(__xludf.DUMMYFUNCTION("""COMPUTED_VALUE"""),"")</f>
        <v/>
      </c>
      <c r="AC1423" s="16" t="str">
        <f>IFERROR(__xludf.DUMMYFUNCTION("""COMPUTED_VALUE"""),"")</f>
        <v/>
      </c>
    </row>
    <row r="1424">
      <c r="A1424" s="16" t="s">
        <v>87</v>
      </c>
      <c r="E1424" s="16" t="str">
        <f>IFERROR(__xludf.DUMMYFUNCTION("""COMPUTED_VALUE"""),"")</f>
        <v/>
      </c>
      <c r="G1424" s="18"/>
      <c r="H1424" s="16" t="s">
        <v>87</v>
      </c>
      <c r="I1424" s="16" t="s">
        <v>87</v>
      </c>
      <c r="J1424" s="19"/>
      <c r="L1424" s="16" t="str">
        <f>IFERROR(__xludf.DUMMYFUNCTION("""COMPUTED_VALUE"""),"")</f>
        <v/>
      </c>
      <c r="M1424" s="16" t="str">
        <f>IFERROR(__xludf.DUMMYFUNCTION("""COMPUTED_VALUE"""),"")</f>
        <v/>
      </c>
      <c r="U1424" s="16" t="s">
        <v>87</v>
      </c>
      <c r="V1424" s="16" t="str">
        <f>IFERROR(__xludf.DUMMYFUNCTION("""COMPUTED_VALUE"""),"")</f>
        <v/>
      </c>
      <c r="W1424" s="16" t="str">
        <f>IFERROR(__xludf.DUMMYFUNCTION("""COMPUTED_VALUE"""),"")</f>
        <v/>
      </c>
      <c r="X1424" s="16" t="str">
        <f>IFERROR(__xludf.DUMMYFUNCTION("""COMPUTED_VALUE"""),"")</f>
        <v/>
      </c>
      <c r="AC1424" s="16" t="str">
        <f>IFERROR(__xludf.DUMMYFUNCTION("""COMPUTED_VALUE"""),"")</f>
        <v/>
      </c>
    </row>
    <row r="1425">
      <c r="A1425" s="16" t="s">
        <v>87</v>
      </c>
      <c r="E1425" s="16" t="str">
        <f>IFERROR(__xludf.DUMMYFUNCTION("""COMPUTED_VALUE"""),"")</f>
        <v/>
      </c>
      <c r="G1425" s="18"/>
      <c r="H1425" s="16" t="s">
        <v>87</v>
      </c>
      <c r="I1425" s="16" t="s">
        <v>87</v>
      </c>
      <c r="J1425" s="19"/>
      <c r="L1425" s="16" t="str">
        <f>IFERROR(__xludf.DUMMYFUNCTION("""COMPUTED_VALUE"""),"")</f>
        <v/>
      </c>
      <c r="M1425" s="16" t="str">
        <f>IFERROR(__xludf.DUMMYFUNCTION("""COMPUTED_VALUE"""),"")</f>
        <v/>
      </c>
      <c r="U1425" s="16" t="s">
        <v>87</v>
      </c>
      <c r="V1425" s="16" t="str">
        <f>IFERROR(__xludf.DUMMYFUNCTION("""COMPUTED_VALUE"""),"")</f>
        <v/>
      </c>
      <c r="W1425" s="16" t="str">
        <f>IFERROR(__xludf.DUMMYFUNCTION("""COMPUTED_VALUE"""),"")</f>
        <v/>
      </c>
      <c r="X1425" s="16" t="str">
        <f>IFERROR(__xludf.DUMMYFUNCTION("""COMPUTED_VALUE"""),"")</f>
        <v/>
      </c>
      <c r="AC1425" s="16" t="str">
        <f>IFERROR(__xludf.DUMMYFUNCTION("""COMPUTED_VALUE"""),"")</f>
        <v/>
      </c>
    </row>
    <row r="1426">
      <c r="A1426" s="16" t="s">
        <v>87</v>
      </c>
      <c r="E1426" s="16" t="str">
        <f>IFERROR(__xludf.DUMMYFUNCTION("""COMPUTED_VALUE"""),"")</f>
        <v/>
      </c>
      <c r="G1426" s="18"/>
      <c r="H1426" s="16" t="s">
        <v>87</v>
      </c>
      <c r="I1426" s="16" t="s">
        <v>87</v>
      </c>
      <c r="J1426" s="19"/>
      <c r="L1426" s="16" t="str">
        <f>IFERROR(__xludf.DUMMYFUNCTION("""COMPUTED_VALUE"""),"")</f>
        <v/>
      </c>
      <c r="M1426" s="16" t="str">
        <f>IFERROR(__xludf.DUMMYFUNCTION("""COMPUTED_VALUE"""),"")</f>
        <v/>
      </c>
      <c r="U1426" s="16" t="s">
        <v>87</v>
      </c>
      <c r="V1426" s="16" t="str">
        <f>IFERROR(__xludf.DUMMYFUNCTION("""COMPUTED_VALUE"""),"")</f>
        <v/>
      </c>
      <c r="W1426" s="16" t="str">
        <f>IFERROR(__xludf.DUMMYFUNCTION("""COMPUTED_VALUE"""),"")</f>
        <v/>
      </c>
      <c r="X1426" s="16" t="str">
        <f>IFERROR(__xludf.DUMMYFUNCTION("""COMPUTED_VALUE"""),"")</f>
        <v/>
      </c>
      <c r="AC1426" s="16" t="str">
        <f>IFERROR(__xludf.DUMMYFUNCTION("""COMPUTED_VALUE"""),"")</f>
        <v/>
      </c>
    </row>
    <row r="1427">
      <c r="A1427" s="16" t="s">
        <v>87</v>
      </c>
      <c r="E1427" s="16" t="str">
        <f>IFERROR(__xludf.DUMMYFUNCTION("""COMPUTED_VALUE"""),"")</f>
        <v/>
      </c>
      <c r="G1427" s="18"/>
      <c r="H1427" s="16" t="s">
        <v>87</v>
      </c>
      <c r="I1427" s="16" t="s">
        <v>87</v>
      </c>
      <c r="J1427" s="19"/>
      <c r="L1427" s="16" t="str">
        <f>IFERROR(__xludf.DUMMYFUNCTION("""COMPUTED_VALUE"""),"")</f>
        <v/>
      </c>
      <c r="M1427" s="16" t="str">
        <f>IFERROR(__xludf.DUMMYFUNCTION("""COMPUTED_VALUE"""),"")</f>
        <v/>
      </c>
      <c r="U1427" s="16" t="s">
        <v>87</v>
      </c>
      <c r="V1427" s="16" t="str">
        <f>IFERROR(__xludf.DUMMYFUNCTION("""COMPUTED_VALUE"""),"")</f>
        <v/>
      </c>
      <c r="W1427" s="16" t="str">
        <f>IFERROR(__xludf.DUMMYFUNCTION("""COMPUTED_VALUE"""),"")</f>
        <v/>
      </c>
      <c r="X1427" s="16" t="str">
        <f>IFERROR(__xludf.DUMMYFUNCTION("""COMPUTED_VALUE"""),"")</f>
        <v/>
      </c>
      <c r="AC1427" s="16" t="str">
        <f>IFERROR(__xludf.DUMMYFUNCTION("""COMPUTED_VALUE"""),"")</f>
        <v/>
      </c>
    </row>
    <row r="1428">
      <c r="A1428" s="16" t="s">
        <v>87</v>
      </c>
      <c r="E1428" s="16" t="str">
        <f>IFERROR(__xludf.DUMMYFUNCTION("""COMPUTED_VALUE"""),"")</f>
        <v/>
      </c>
      <c r="G1428" s="18"/>
      <c r="H1428" s="16" t="s">
        <v>87</v>
      </c>
      <c r="I1428" s="16" t="s">
        <v>87</v>
      </c>
      <c r="J1428" s="19"/>
      <c r="L1428" s="16" t="str">
        <f>IFERROR(__xludf.DUMMYFUNCTION("""COMPUTED_VALUE"""),"")</f>
        <v/>
      </c>
      <c r="M1428" s="16" t="str">
        <f>IFERROR(__xludf.DUMMYFUNCTION("""COMPUTED_VALUE"""),"")</f>
        <v/>
      </c>
      <c r="U1428" s="16" t="s">
        <v>87</v>
      </c>
      <c r="V1428" s="16" t="str">
        <f>IFERROR(__xludf.DUMMYFUNCTION("""COMPUTED_VALUE"""),"")</f>
        <v/>
      </c>
      <c r="W1428" s="16" t="str">
        <f>IFERROR(__xludf.DUMMYFUNCTION("""COMPUTED_VALUE"""),"")</f>
        <v/>
      </c>
      <c r="X1428" s="16" t="str">
        <f>IFERROR(__xludf.DUMMYFUNCTION("""COMPUTED_VALUE"""),"")</f>
        <v/>
      </c>
      <c r="AC1428" s="16" t="str">
        <f>IFERROR(__xludf.DUMMYFUNCTION("""COMPUTED_VALUE"""),"")</f>
        <v/>
      </c>
    </row>
    <row r="1429">
      <c r="A1429" s="16" t="s">
        <v>87</v>
      </c>
      <c r="E1429" s="16" t="str">
        <f>IFERROR(__xludf.DUMMYFUNCTION("""COMPUTED_VALUE"""),"")</f>
        <v/>
      </c>
      <c r="G1429" s="18"/>
      <c r="H1429" s="16" t="s">
        <v>87</v>
      </c>
      <c r="I1429" s="16" t="s">
        <v>87</v>
      </c>
      <c r="J1429" s="19"/>
      <c r="L1429" s="16" t="str">
        <f>IFERROR(__xludf.DUMMYFUNCTION("""COMPUTED_VALUE"""),"")</f>
        <v/>
      </c>
      <c r="M1429" s="16" t="str">
        <f>IFERROR(__xludf.DUMMYFUNCTION("""COMPUTED_VALUE"""),"")</f>
        <v/>
      </c>
      <c r="U1429" s="16" t="s">
        <v>87</v>
      </c>
      <c r="V1429" s="16" t="str">
        <f>IFERROR(__xludf.DUMMYFUNCTION("""COMPUTED_VALUE"""),"")</f>
        <v/>
      </c>
      <c r="W1429" s="16" t="str">
        <f>IFERROR(__xludf.DUMMYFUNCTION("""COMPUTED_VALUE"""),"")</f>
        <v/>
      </c>
      <c r="X1429" s="16" t="str">
        <f>IFERROR(__xludf.DUMMYFUNCTION("""COMPUTED_VALUE"""),"")</f>
        <v/>
      </c>
      <c r="AC1429" s="16" t="str">
        <f>IFERROR(__xludf.DUMMYFUNCTION("""COMPUTED_VALUE"""),"")</f>
        <v/>
      </c>
    </row>
    <row r="1430">
      <c r="A1430" s="16" t="s">
        <v>87</v>
      </c>
      <c r="E1430" s="16" t="str">
        <f>IFERROR(__xludf.DUMMYFUNCTION("""COMPUTED_VALUE"""),"")</f>
        <v/>
      </c>
      <c r="G1430" s="18"/>
      <c r="H1430" s="16" t="s">
        <v>87</v>
      </c>
      <c r="I1430" s="16" t="s">
        <v>87</v>
      </c>
      <c r="J1430" s="19"/>
      <c r="L1430" s="16" t="str">
        <f>IFERROR(__xludf.DUMMYFUNCTION("""COMPUTED_VALUE"""),"")</f>
        <v/>
      </c>
      <c r="M1430" s="16" t="str">
        <f>IFERROR(__xludf.DUMMYFUNCTION("""COMPUTED_VALUE"""),"")</f>
        <v/>
      </c>
      <c r="U1430" s="16" t="s">
        <v>87</v>
      </c>
      <c r="V1430" s="16" t="str">
        <f>IFERROR(__xludf.DUMMYFUNCTION("""COMPUTED_VALUE"""),"")</f>
        <v/>
      </c>
      <c r="W1430" s="16" t="str">
        <f>IFERROR(__xludf.DUMMYFUNCTION("""COMPUTED_VALUE"""),"")</f>
        <v/>
      </c>
      <c r="X1430" s="16" t="str">
        <f>IFERROR(__xludf.DUMMYFUNCTION("""COMPUTED_VALUE"""),"")</f>
        <v/>
      </c>
      <c r="AC1430" s="16" t="str">
        <f>IFERROR(__xludf.DUMMYFUNCTION("""COMPUTED_VALUE"""),"")</f>
        <v/>
      </c>
    </row>
    <row r="1431">
      <c r="A1431" s="16" t="s">
        <v>87</v>
      </c>
      <c r="E1431" s="16" t="str">
        <f>IFERROR(__xludf.DUMMYFUNCTION("""COMPUTED_VALUE"""),"")</f>
        <v/>
      </c>
      <c r="G1431" s="18"/>
      <c r="H1431" s="16" t="s">
        <v>87</v>
      </c>
      <c r="I1431" s="16" t="s">
        <v>87</v>
      </c>
      <c r="J1431" s="19"/>
      <c r="L1431" s="16" t="str">
        <f>IFERROR(__xludf.DUMMYFUNCTION("""COMPUTED_VALUE"""),"")</f>
        <v/>
      </c>
      <c r="M1431" s="16" t="str">
        <f>IFERROR(__xludf.DUMMYFUNCTION("""COMPUTED_VALUE"""),"")</f>
        <v/>
      </c>
      <c r="U1431" s="16" t="s">
        <v>87</v>
      </c>
      <c r="V1431" s="16" t="str">
        <f>IFERROR(__xludf.DUMMYFUNCTION("""COMPUTED_VALUE"""),"")</f>
        <v/>
      </c>
      <c r="W1431" s="16" t="str">
        <f>IFERROR(__xludf.DUMMYFUNCTION("""COMPUTED_VALUE"""),"")</f>
        <v/>
      </c>
      <c r="X1431" s="16" t="str">
        <f>IFERROR(__xludf.DUMMYFUNCTION("""COMPUTED_VALUE"""),"")</f>
        <v/>
      </c>
      <c r="AC1431" s="16" t="str">
        <f>IFERROR(__xludf.DUMMYFUNCTION("""COMPUTED_VALUE"""),"")</f>
        <v/>
      </c>
    </row>
    <row r="1432">
      <c r="A1432" s="16" t="s">
        <v>87</v>
      </c>
      <c r="E1432" s="16" t="str">
        <f>IFERROR(__xludf.DUMMYFUNCTION("""COMPUTED_VALUE"""),"")</f>
        <v/>
      </c>
      <c r="G1432" s="18"/>
      <c r="H1432" s="16" t="s">
        <v>87</v>
      </c>
      <c r="I1432" s="16" t="s">
        <v>87</v>
      </c>
      <c r="J1432" s="19"/>
      <c r="L1432" s="16" t="str">
        <f>IFERROR(__xludf.DUMMYFUNCTION("""COMPUTED_VALUE"""),"")</f>
        <v/>
      </c>
      <c r="M1432" s="16" t="str">
        <f>IFERROR(__xludf.DUMMYFUNCTION("""COMPUTED_VALUE"""),"")</f>
        <v/>
      </c>
      <c r="U1432" s="16" t="s">
        <v>87</v>
      </c>
      <c r="V1432" s="16" t="str">
        <f>IFERROR(__xludf.DUMMYFUNCTION("""COMPUTED_VALUE"""),"")</f>
        <v/>
      </c>
      <c r="W1432" s="16" t="str">
        <f>IFERROR(__xludf.DUMMYFUNCTION("""COMPUTED_VALUE"""),"")</f>
        <v/>
      </c>
      <c r="X1432" s="16" t="str">
        <f>IFERROR(__xludf.DUMMYFUNCTION("""COMPUTED_VALUE"""),"")</f>
        <v/>
      </c>
      <c r="AC1432" s="16" t="str">
        <f>IFERROR(__xludf.DUMMYFUNCTION("""COMPUTED_VALUE"""),"")</f>
        <v/>
      </c>
    </row>
    <row r="1433">
      <c r="A1433" s="16" t="s">
        <v>87</v>
      </c>
      <c r="E1433" s="16" t="str">
        <f>IFERROR(__xludf.DUMMYFUNCTION("""COMPUTED_VALUE"""),"")</f>
        <v/>
      </c>
      <c r="G1433" s="18"/>
      <c r="H1433" s="16" t="s">
        <v>87</v>
      </c>
      <c r="I1433" s="16" t="s">
        <v>87</v>
      </c>
      <c r="J1433" s="19"/>
      <c r="L1433" s="16" t="str">
        <f>IFERROR(__xludf.DUMMYFUNCTION("""COMPUTED_VALUE"""),"")</f>
        <v/>
      </c>
      <c r="M1433" s="16" t="str">
        <f>IFERROR(__xludf.DUMMYFUNCTION("""COMPUTED_VALUE"""),"")</f>
        <v/>
      </c>
      <c r="U1433" s="16" t="s">
        <v>87</v>
      </c>
      <c r="V1433" s="16" t="str">
        <f>IFERROR(__xludf.DUMMYFUNCTION("""COMPUTED_VALUE"""),"")</f>
        <v/>
      </c>
      <c r="W1433" s="16" t="str">
        <f>IFERROR(__xludf.DUMMYFUNCTION("""COMPUTED_VALUE"""),"")</f>
        <v/>
      </c>
      <c r="X1433" s="16" t="str">
        <f>IFERROR(__xludf.DUMMYFUNCTION("""COMPUTED_VALUE"""),"")</f>
        <v/>
      </c>
      <c r="AC1433" s="16" t="str">
        <f>IFERROR(__xludf.DUMMYFUNCTION("""COMPUTED_VALUE"""),"")</f>
        <v/>
      </c>
    </row>
    <row r="1434">
      <c r="A1434" s="16" t="s">
        <v>87</v>
      </c>
      <c r="E1434" s="16" t="str">
        <f>IFERROR(__xludf.DUMMYFUNCTION("""COMPUTED_VALUE"""),"")</f>
        <v/>
      </c>
      <c r="G1434" s="18"/>
      <c r="H1434" s="16" t="s">
        <v>87</v>
      </c>
      <c r="I1434" s="16" t="s">
        <v>87</v>
      </c>
      <c r="J1434" s="19"/>
      <c r="L1434" s="16" t="str">
        <f>IFERROR(__xludf.DUMMYFUNCTION("""COMPUTED_VALUE"""),"")</f>
        <v/>
      </c>
      <c r="M1434" s="16" t="str">
        <f>IFERROR(__xludf.DUMMYFUNCTION("""COMPUTED_VALUE"""),"")</f>
        <v/>
      </c>
      <c r="U1434" s="16" t="s">
        <v>87</v>
      </c>
      <c r="V1434" s="16" t="str">
        <f>IFERROR(__xludf.DUMMYFUNCTION("""COMPUTED_VALUE"""),"")</f>
        <v/>
      </c>
      <c r="W1434" s="16" t="str">
        <f>IFERROR(__xludf.DUMMYFUNCTION("""COMPUTED_VALUE"""),"")</f>
        <v/>
      </c>
      <c r="X1434" s="16" t="str">
        <f>IFERROR(__xludf.DUMMYFUNCTION("""COMPUTED_VALUE"""),"")</f>
        <v/>
      </c>
      <c r="AC1434" s="16" t="str">
        <f>IFERROR(__xludf.DUMMYFUNCTION("""COMPUTED_VALUE"""),"")</f>
        <v/>
      </c>
    </row>
    <row r="1435">
      <c r="A1435" s="16" t="s">
        <v>87</v>
      </c>
      <c r="E1435" s="16" t="str">
        <f>IFERROR(__xludf.DUMMYFUNCTION("""COMPUTED_VALUE"""),"")</f>
        <v/>
      </c>
      <c r="G1435" s="18"/>
      <c r="H1435" s="16" t="s">
        <v>87</v>
      </c>
      <c r="I1435" s="16" t="s">
        <v>87</v>
      </c>
      <c r="J1435" s="19"/>
      <c r="L1435" s="16" t="str">
        <f>IFERROR(__xludf.DUMMYFUNCTION("""COMPUTED_VALUE"""),"")</f>
        <v/>
      </c>
      <c r="M1435" s="16" t="str">
        <f>IFERROR(__xludf.DUMMYFUNCTION("""COMPUTED_VALUE"""),"")</f>
        <v/>
      </c>
      <c r="U1435" s="16" t="s">
        <v>87</v>
      </c>
      <c r="V1435" s="16" t="str">
        <f>IFERROR(__xludf.DUMMYFUNCTION("""COMPUTED_VALUE"""),"")</f>
        <v/>
      </c>
      <c r="W1435" s="16" t="str">
        <f>IFERROR(__xludf.DUMMYFUNCTION("""COMPUTED_VALUE"""),"")</f>
        <v/>
      </c>
      <c r="X1435" s="16" t="str">
        <f>IFERROR(__xludf.DUMMYFUNCTION("""COMPUTED_VALUE"""),"")</f>
        <v/>
      </c>
      <c r="AC1435" s="16" t="str">
        <f>IFERROR(__xludf.DUMMYFUNCTION("""COMPUTED_VALUE"""),"")</f>
        <v/>
      </c>
    </row>
    <row r="1436">
      <c r="A1436" s="16" t="s">
        <v>87</v>
      </c>
      <c r="E1436" s="16" t="str">
        <f>IFERROR(__xludf.DUMMYFUNCTION("""COMPUTED_VALUE"""),"")</f>
        <v/>
      </c>
      <c r="G1436" s="18"/>
      <c r="H1436" s="16" t="s">
        <v>87</v>
      </c>
      <c r="I1436" s="16" t="s">
        <v>87</v>
      </c>
      <c r="J1436" s="19"/>
      <c r="L1436" s="16" t="str">
        <f>IFERROR(__xludf.DUMMYFUNCTION("""COMPUTED_VALUE"""),"")</f>
        <v/>
      </c>
      <c r="M1436" s="16" t="str">
        <f>IFERROR(__xludf.DUMMYFUNCTION("""COMPUTED_VALUE"""),"")</f>
        <v/>
      </c>
      <c r="U1436" s="16" t="s">
        <v>87</v>
      </c>
      <c r="V1436" s="16" t="str">
        <f>IFERROR(__xludf.DUMMYFUNCTION("""COMPUTED_VALUE"""),"")</f>
        <v/>
      </c>
      <c r="W1436" s="16" t="str">
        <f>IFERROR(__xludf.DUMMYFUNCTION("""COMPUTED_VALUE"""),"")</f>
        <v/>
      </c>
      <c r="X1436" s="16" t="str">
        <f>IFERROR(__xludf.DUMMYFUNCTION("""COMPUTED_VALUE"""),"")</f>
        <v/>
      </c>
      <c r="AC1436" s="16" t="str">
        <f>IFERROR(__xludf.DUMMYFUNCTION("""COMPUTED_VALUE"""),"")</f>
        <v/>
      </c>
    </row>
    <row r="1437">
      <c r="A1437" s="16" t="s">
        <v>87</v>
      </c>
      <c r="E1437" s="16" t="str">
        <f>IFERROR(__xludf.DUMMYFUNCTION("""COMPUTED_VALUE"""),"")</f>
        <v/>
      </c>
      <c r="G1437" s="18"/>
      <c r="H1437" s="16" t="s">
        <v>87</v>
      </c>
      <c r="I1437" s="16" t="s">
        <v>87</v>
      </c>
      <c r="J1437" s="19"/>
      <c r="L1437" s="16" t="str">
        <f>IFERROR(__xludf.DUMMYFUNCTION("""COMPUTED_VALUE"""),"")</f>
        <v/>
      </c>
      <c r="M1437" s="16" t="str">
        <f>IFERROR(__xludf.DUMMYFUNCTION("""COMPUTED_VALUE"""),"")</f>
        <v/>
      </c>
      <c r="U1437" s="16" t="s">
        <v>87</v>
      </c>
      <c r="V1437" s="16" t="str">
        <f>IFERROR(__xludf.DUMMYFUNCTION("""COMPUTED_VALUE"""),"")</f>
        <v/>
      </c>
      <c r="W1437" s="16" t="str">
        <f>IFERROR(__xludf.DUMMYFUNCTION("""COMPUTED_VALUE"""),"")</f>
        <v/>
      </c>
      <c r="X1437" s="16" t="str">
        <f>IFERROR(__xludf.DUMMYFUNCTION("""COMPUTED_VALUE"""),"")</f>
        <v/>
      </c>
      <c r="AC1437" s="16" t="str">
        <f>IFERROR(__xludf.DUMMYFUNCTION("""COMPUTED_VALUE"""),"")</f>
        <v/>
      </c>
    </row>
    <row r="1438">
      <c r="A1438" s="16" t="s">
        <v>87</v>
      </c>
      <c r="E1438" s="16" t="str">
        <f>IFERROR(__xludf.DUMMYFUNCTION("""COMPUTED_VALUE"""),"")</f>
        <v/>
      </c>
      <c r="G1438" s="18"/>
      <c r="H1438" s="16" t="s">
        <v>87</v>
      </c>
      <c r="I1438" s="16" t="s">
        <v>87</v>
      </c>
      <c r="J1438" s="19"/>
      <c r="L1438" s="16" t="str">
        <f>IFERROR(__xludf.DUMMYFUNCTION("""COMPUTED_VALUE"""),"")</f>
        <v/>
      </c>
      <c r="M1438" s="16" t="str">
        <f>IFERROR(__xludf.DUMMYFUNCTION("""COMPUTED_VALUE"""),"")</f>
        <v/>
      </c>
      <c r="U1438" s="16" t="s">
        <v>87</v>
      </c>
      <c r="V1438" s="16" t="str">
        <f>IFERROR(__xludf.DUMMYFUNCTION("""COMPUTED_VALUE"""),"")</f>
        <v/>
      </c>
      <c r="W1438" s="16" t="str">
        <f>IFERROR(__xludf.DUMMYFUNCTION("""COMPUTED_VALUE"""),"")</f>
        <v/>
      </c>
      <c r="X1438" s="16" t="str">
        <f>IFERROR(__xludf.DUMMYFUNCTION("""COMPUTED_VALUE"""),"")</f>
        <v/>
      </c>
      <c r="AC1438" s="16" t="str">
        <f>IFERROR(__xludf.DUMMYFUNCTION("""COMPUTED_VALUE"""),"")</f>
        <v/>
      </c>
    </row>
    <row r="1439">
      <c r="A1439" s="16" t="s">
        <v>87</v>
      </c>
      <c r="E1439" s="16" t="str">
        <f>IFERROR(__xludf.DUMMYFUNCTION("""COMPUTED_VALUE"""),"")</f>
        <v/>
      </c>
      <c r="G1439" s="18"/>
      <c r="H1439" s="16" t="s">
        <v>87</v>
      </c>
      <c r="I1439" s="16" t="s">
        <v>87</v>
      </c>
      <c r="J1439" s="19"/>
      <c r="L1439" s="16" t="str">
        <f>IFERROR(__xludf.DUMMYFUNCTION("""COMPUTED_VALUE"""),"")</f>
        <v/>
      </c>
      <c r="M1439" s="16" t="str">
        <f>IFERROR(__xludf.DUMMYFUNCTION("""COMPUTED_VALUE"""),"")</f>
        <v/>
      </c>
      <c r="U1439" s="16" t="s">
        <v>87</v>
      </c>
      <c r="V1439" s="16" t="str">
        <f>IFERROR(__xludf.DUMMYFUNCTION("""COMPUTED_VALUE"""),"")</f>
        <v/>
      </c>
      <c r="W1439" s="16" t="str">
        <f>IFERROR(__xludf.DUMMYFUNCTION("""COMPUTED_VALUE"""),"")</f>
        <v/>
      </c>
      <c r="X1439" s="16" t="str">
        <f>IFERROR(__xludf.DUMMYFUNCTION("""COMPUTED_VALUE"""),"")</f>
        <v/>
      </c>
      <c r="AC1439" s="16" t="str">
        <f>IFERROR(__xludf.DUMMYFUNCTION("""COMPUTED_VALUE"""),"")</f>
        <v/>
      </c>
    </row>
    <row r="1440">
      <c r="A1440" s="16" t="s">
        <v>87</v>
      </c>
      <c r="E1440" s="16" t="str">
        <f>IFERROR(__xludf.DUMMYFUNCTION("""COMPUTED_VALUE"""),"")</f>
        <v/>
      </c>
      <c r="G1440" s="18"/>
      <c r="H1440" s="16" t="s">
        <v>87</v>
      </c>
      <c r="I1440" s="16" t="s">
        <v>87</v>
      </c>
      <c r="J1440" s="19"/>
      <c r="L1440" s="16" t="str">
        <f>IFERROR(__xludf.DUMMYFUNCTION("""COMPUTED_VALUE"""),"")</f>
        <v/>
      </c>
      <c r="M1440" s="16" t="str">
        <f>IFERROR(__xludf.DUMMYFUNCTION("""COMPUTED_VALUE"""),"")</f>
        <v/>
      </c>
      <c r="U1440" s="16" t="s">
        <v>87</v>
      </c>
      <c r="V1440" s="16" t="str">
        <f>IFERROR(__xludf.DUMMYFUNCTION("""COMPUTED_VALUE"""),"")</f>
        <v/>
      </c>
      <c r="W1440" s="16" t="str">
        <f>IFERROR(__xludf.DUMMYFUNCTION("""COMPUTED_VALUE"""),"")</f>
        <v/>
      </c>
      <c r="X1440" s="16" t="str">
        <f>IFERROR(__xludf.DUMMYFUNCTION("""COMPUTED_VALUE"""),"")</f>
        <v/>
      </c>
      <c r="AC1440" s="16" t="str">
        <f>IFERROR(__xludf.DUMMYFUNCTION("""COMPUTED_VALUE"""),"")</f>
        <v/>
      </c>
    </row>
    <row r="1441">
      <c r="A1441" s="16" t="s">
        <v>87</v>
      </c>
      <c r="E1441" s="16" t="str">
        <f>IFERROR(__xludf.DUMMYFUNCTION("""COMPUTED_VALUE"""),"")</f>
        <v/>
      </c>
      <c r="G1441" s="18"/>
      <c r="H1441" s="16" t="s">
        <v>87</v>
      </c>
      <c r="I1441" s="16" t="s">
        <v>87</v>
      </c>
      <c r="J1441" s="19"/>
      <c r="L1441" s="16" t="str">
        <f>IFERROR(__xludf.DUMMYFUNCTION("""COMPUTED_VALUE"""),"")</f>
        <v/>
      </c>
      <c r="M1441" s="16" t="str">
        <f>IFERROR(__xludf.DUMMYFUNCTION("""COMPUTED_VALUE"""),"")</f>
        <v/>
      </c>
      <c r="U1441" s="16" t="s">
        <v>87</v>
      </c>
      <c r="V1441" s="16" t="str">
        <f>IFERROR(__xludf.DUMMYFUNCTION("""COMPUTED_VALUE"""),"")</f>
        <v/>
      </c>
      <c r="W1441" s="16" t="str">
        <f>IFERROR(__xludf.DUMMYFUNCTION("""COMPUTED_VALUE"""),"")</f>
        <v/>
      </c>
      <c r="X1441" s="16" t="str">
        <f>IFERROR(__xludf.DUMMYFUNCTION("""COMPUTED_VALUE"""),"")</f>
        <v/>
      </c>
      <c r="AC1441" s="16" t="str">
        <f>IFERROR(__xludf.DUMMYFUNCTION("""COMPUTED_VALUE"""),"")</f>
        <v/>
      </c>
    </row>
    <row r="1442">
      <c r="A1442" s="16" t="s">
        <v>87</v>
      </c>
      <c r="E1442" s="16" t="str">
        <f>IFERROR(__xludf.DUMMYFUNCTION("""COMPUTED_VALUE"""),"")</f>
        <v/>
      </c>
      <c r="G1442" s="18"/>
      <c r="H1442" s="16" t="s">
        <v>87</v>
      </c>
      <c r="I1442" s="16" t="s">
        <v>87</v>
      </c>
      <c r="J1442" s="19"/>
      <c r="L1442" s="16" t="str">
        <f>IFERROR(__xludf.DUMMYFUNCTION("""COMPUTED_VALUE"""),"")</f>
        <v/>
      </c>
      <c r="M1442" s="16" t="str">
        <f>IFERROR(__xludf.DUMMYFUNCTION("""COMPUTED_VALUE"""),"")</f>
        <v/>
      </c>
      <c r="U1442" s="16" t="s">
        <v>87</v>
      </c>
      <c r="V1442" s="16" t="str">
        <f>IFERROR(__xludf.DUMMYFUNCTION("""COMPUTED_VALUE"""),"")</f>
        <v/>
      </c>
      <c r="W1442" s="16" t="str">
        <f>IFERROR(__xludf.DUMMYFUNCTION("""COMPUTED_VALUE"""),"")</f>
        <v/>
      </c>
      <c r="X1442" s="16" t="str">
        <f>IFERROR(__xludf.DUMMYFUNCTION("""COMPUTED_VALUE"""),"")</f>
        <v/>
      </c>
      <c r="AC1442" s="16" t="str">
        <f>IFERROR(__xludf.DUMMYFUNCTION("""COMPUTED_VALUE"""),"")</f>
        <v/>
      </c>
    </row>
    <row r="1443">
      <c r="A1443" s="16" t="s">
        <v>87</v>
      </c>
      <c r="E1443" s="16" t="str">
        <f>IFERROR(__xludf.DUMMYFUNCTION("""COMPUTED_VALUE"""),"")</f>
        <v/>
      </c>
      <c r="G1443" s="18"/>
      <c r="H1443" s="16" t="s">
        <v>87</v>
      </c>
      <c r="I1443" s="16" t="s">
        <v>87</v>
      </c>
      <c r="J1443" s="19"/>
      <c r="L1443" s="16" t="str">
        <f>IFERROR(__xludf.DUMMYFUNCTION("""COMPUTED_VALUE"""),"")</f>
        <v/>
      </c>
      <c r="M1443" s="16" t="str">
        <f>IFERROR(__xludf.DUMMYFUNCTION("""COMPUTED_VALUE"""),"")</f>
        <v/>
      </c>
      <c r="U1443" s="16" t="s">
        <v>87</v>
      </c>
      <c r="V1443" s="16" t="str">
        <f>IFERROR(__xludf.DUMMYFUNCTION("""COMPUTED_VALUE"""),"")</f>
        <v/>
      </c>
      <c r="W1443" s="16" t="str">
        <f>IFERROR(__xludf.DUMMYFUNCTION("""COMPUTED_VALUE"""),"")</f>
        <v/>
      </c>
      <c r="X1443" s="16" t="str">
        <f>IFERROR(__xludf.DUMMYFUNCTION("""COMPUTED_VALUE"""),"")</f>
        <v/>
      </c>
      <c r="AC1443" s="16" t="str">
        <f>IFERROR(__xludf.DUMMYFUNCTION("""COMPUTED_VALUE"""),"")</f>
        <v/>
      </c>
    </row>
    <row r="1444">
      <c r="A1444" s="16" t="s">
        <v>87</v>
      </c>
      <c r="E1444" s="16" t="str">
        <f>IFERROR(__xludf.DUMMYFUNCTION("""COMPUTED_VALUE"""),"")</f>
        <v/>
      </c>
      <c r="G1444" s="18"/>
      <c r="H1444" s="16" t="s">
        <v>87</v>
      </c>
      <c r="I1444" s="16" t="s">
        <v>87</v>
      </c>
      <c r="J1444" s="19"/>
      <c r="L1444" s="16" t="str">
        <f>IFERROR(__xludf.DUMMYFUNCTION("""COMPUTED_VALUE"""),"")</f>
        <v/>
      </c>
      <c r="M1444" s="16" t="str">
        <f>IFERROR(__xludf.DUMMYFUNCTION("""COMPUTED_VALUE"""),"")</f>
        <v/>
      </c>
      <c r="U1444" s="16" t="s">
        <v>87</v>
      </c>
      <c r="V1444" s="16" t="str">
        <f>IFERROR(__xludf.DUMMYFUNCTION("""COMPUTED_VALUE"""),"")</f>
        <v/>
      </c>
      <c r="W1444" s="16" t="str">
        <f>IFERROR(__xludf.DUMMYFUNCTION("""COMPUTED_VALUE"""),"")</f>
        <v/>
      </c>
      <c r="X1444" s="16" t="str">
        <f>IFERROR(__xludf.DUMMYFUNCTION("""COMPUTED_VALUE"""),"")</f>
        <v/>
      </c>
      <c r="AC1444" s="16" t="str">
        <f>IFERROR(__xludf.DUMMYFUNCTION("""COMPUTED_VALUE"""),"")</f>
        <v/>
      </c>
    </row>
    <row r="1445">
      <c r="A1445" s="16" t="s">
        <v>87</v>
      </c>
      <c r="E1445" s="16" t="str">
        <f>IFERROR(__xludf.DUMMYFUNCTION("""COMPUTED_VALUE"""),"")</f>
        <v/>
      </c>
      <c r="G1445" s="18"/>
      <c r="H1445" s="16" t="s">
        <v>87</v>
      </c>
      <c r="I1445" s="16" t="s">
        <v>87</v>
      </c>
      <c r="J1445" s="19"/>
      <c r="L1445" s="16" t="str">
        <f>IFERROR(__xludf.DUMMYFUNCTION("""COMPUTED_VALUE"""),"")</f>
        <v/>
      </c>
      <c r="M1445" s="16" t="str">
        <f>IFERROR(__xludf.DUMMYFUNCTION("""COMPUTED_VALUE"""),"")</f>
        <v/>
      </c>
      <c r="U1445" s="16" t="s">
        <v>87</v>
      </c>
      <c r="V1445" s="16" t="str">
        <f>IFERROR(__xludf.DUMMYFUNCTION("""COMPUTED_VALUE"""),"")</f>
        <v/>
      </c>
      <c r="W1445" s="16" t="str">
        <f>IFERROR(__xludf.DUMMYFUNCTION("""COMPUTED_VALUE"""),"")</f>
        <v/>
      </c>
      <c r="X1445" s="16" t="str">
        <f>IFERROR(__xludf.DUMMYFUNCTION("""COMPUTED_VALUE"""),"")</f>
        <v/>
      </c>
      <c r="AC1445" s="16" t="str">
        <f>IFERROR(__xludf.DUMMYFUNCTION("""COMPUTED_VALUE"""),"")</f>
        <v/>
      </c>
    </row>
    <row r="1446">
      <c r="A1446" s="16" t="s">
        <v>87</v>
      </c>
      <c r="E1446" s="16" t="str">
        <f>IFERROR(__xludf.DUMMYFUNCTION("""COMPUTED_VALUE"""),"")</f>
        <v/>
      </c>
      <c r="G1446" s="18"/>
      <c r="H1446" s="16" t="s">
        <v>87</v>
      </c>
      <c r="I1446" s="16" t="s">
        <v>87</v>
      </c>
      <c r="J1446" s="19"/>
      <c r="L1446" s="16" t="str">
        <f>IFERROR(__xludf.DUMMYFUNCTION("""COMPUTED_VALUE"""),"")</f>
        <v/>
      </c>
      <c r="M1446" s="16" t="str">
        <f>IFERROR(__xludf.DUMMYFUNCTION("""COMPUTED_VALUE"""),"")</f>
        <v/>
      </c>
      <c r="U1446" s="16" t="s">
        <v>87</v>
      </c>
      <c r="V1446" s="16" t="str">
        <f>IFERROR(__xludf.DUMMYFUNCTION("""COMPUTED_VALUE"""),"")</f>
        <v/>
      </c>
      <c r="W1446" s="16" t="str">
        <f>IFERROR(__xludf.DUMMYFUNCTION("""COMPUTED_VALUE"""),"")</f>
        <v/>
      </c>
      <c r="X1446" s="16" t="str">
        <f>IFERROR(__xludf.DUMMYFUNCTION("""COMPUTED_VALUE"""),"")</f>
        <v/>
      </c>
      <c r="AC1446" s="16" t="str">
        <f>IFERROR(__xludf.DUMMYFUNCTION("""COMPUTED_VALUE"""),"")</f>
        <v/>
      </c>
    </row>
    <row r="1447">
      <c r="A1447" s="16" t="s">
        <v>87</v>
      </c>
      <c r="E1447" s="16" t="str">
        <f>IFERROR(__xludf.DUMMYFUNCTION("""COMPUTED_VALUE"""),"")</f>
        <v/>
      </c>
      <c r="G1447" s="18"/>
      <c r="H1447" s="16" t="s">
        <v>87</v>
      </c>
      <c r="I1447" s="16" t="s">
        <v>87</v>
      </c>
      <c r="J1447" s="19"/>
      <c r="L1447" s="16" t="str">
        <f>IFERROR(__xludf.DUMMYFUNCTION("""COMPUTED_VALUE"""),"")</f>
        <v/>
      </c>
      <c r="M1447" s="16" t="str">
        <f>IFERROR(__xludf.DUMMYFUNCTION("""COMPUTED_VALUE"""),"")</f>
        <v/>
      </c>
      <c r="U1447" s="16" t="s">
        <v>87</v>
      </c>
      <c r="V1447" s="16" t="str">
        <f>IFERROR(__xludf.DUMMYFUNCTION("""COMPUTED_VALUE"""),"")</f>
        <v/>
      </c>
      <c r="W1447" s="16" t="str">
        <f>IFERROR(__xludf.DUMMYFUNCTION("""COMPUTED_VALUE"""),"")</f>
        <v/>
      </c>
      <c r="X1447" s="16" t="str">
        <f>IFERROR(__xludf.DUMMYFUNCTION("""COMPUTED_VALUE"""),"")</f>
        <v/>
      </c>
      <c r="AC1447" s="16" t="str">
        <f>IFERROR(__xludf.DUMMYFUNCTION("""COMPUTED_VALUE"""),"")</f>
        <v/>
      </c>
    </row>
    <row r="1448">
      <c r="A1448" s="16" t="s">
        <v>87</v>
      </c>
      <c r="E1448" s="16" t="str">
        <f>IFERROR(__xludf.DUMMYFUNCTION("""COMPUTED_VALUE"""),"")</f>
        <v/>
      </c>
      <c r="G1448" s="18"/>
      <c r="H1448" s="16" t="s">
        <v>87</v>
      </c>
      <c r="I1448" s="16" t="s">
        <v>87</v>
      </c>
      <c r="J1448" s="19"/>
      <c r="L1448" s="16" t="str">
        <f>IFERROR(__xludf.DUMMYFUNCTION("""COMPUTED_VALUE"""),"")</f>
        <v/>
      </c>
      <c r="M1448" s="16" t="str">
        <f>IFERROR(__xludf.DUMMYFUNCTION("""COMPUTED_VALUE"""),"")</f>
        <v/>
      </c>
      <c r="U1448" s="16" t="s">
        <v>87</v>
      </c>
      <c r="V1448" s="16" t="str">
        <f>IFERROR(__xludf.DUMMYFUNCTION("""COMPUTED_VALUE"""),"")</f>
        <v/>
      </c>
      <c r="W1448" s="16" t="str">
        <f>IFERROR(__xludf.DUMMYFUNCTION("""COMPUTED_VALUE"""),"")</f>
        <v/>
      </c>
      <c r="X1448" s="16" t="str">
        <f>IFERROR(__xludf.DUMMYFUNCTION("""COMPUTED_VALUE"""),"")</f>
        <v/>
      </c>
      <c r="AC1448" s="16" t="str">
        <f>IFERROR(__xludf.DUMMYFUNCTION("""COMPUTED_VALUE"""),"")</f>
        <v/>
      </c>
    </row>
    <row r="1449">
      <c r="A1449" s="16" t="s">
        <v>87</v>
      </c>
      <c r="E1449" s="16" t="str">
        <f>IFERROR(__xludf.DUMMYFUNCTION("""COMPUTED_VALUE"""),"")</f>
        <v/>
      </c>
      <c r="G1449" s="18"/>
      <c r="H1449" s="16" t="s">
        <v>87</v>
      </c>
      <c r="I1449" s="16" t="s">
        <v>87</v>
      </c>
      <c r="J1449" s="19"/>
      <c r="L1449" s="16" t="str">
        <f>IFERROR(__xludf.DUMMYFUNCTION("""COMPUTED_VALUE"""),"")</f>
        <v/>
      </c>
      <c r="M1449" s="16" t="str">
        <f>IFERROR(__xludf.DUMMYFUNCTION("""COMPUTED_VALUE"""),"")</f>
        <v/>
      </c>
      <c r="U1449" s="16" t="s">
        <v>87</v>
      </c>
      <c r="V1449" s="16" t="str">
        <f>IFERROR(__xludf.DUMMYFUNCTION("""COMPUTED_VALUE"""),"")</f>
        <v/>
      </c>
      <c r="W1449" s="16" t="str">
        <f>IFERROR(__xludf.DUMMYFUNCTION("""COMPUTED_VALUE"""),"")</f>
        <v/>
      </c>
      <c r="X1449" s="16" t="str">
        <f>IFERROR(__xludf.DUMMYFUNCTION("""COMPUTED_VALUE"""),"")</f>
        <v/>
      </c>
      <c r="AC1449" s="16" t="str">
        <f>IFERROR(__xludf.DUMMYFUNCTION("""COMPUTED_VALUE"""),"")</f>
        <v/>
      </c>
    </row>
    <row r="1450">
      <c r="A1450" s="16" t="s">
        <v>87</v>
      </c>
      <c r="E1450" s="16" t="str">
        <f>IFERROR(__xludf.DUMMYFUNCTION("""COMPUTED_VALUE"""),"")</f>
        <v/>
      </c>
      <c r="G1450" s="18"/>
      <c r="H1450" s="16" t="s">
        <v>87</v>
      </c>
      <c r="I1450" s="16" t="s">
        <v>87</v>
      </c>
      <c r="J1450" s="19"/>
      <c r="L1450" s="16" t="str">
        <f>IFERROR(__xludf.DUMMYFUNCTION("""COMPUTED_VALUE"""),"")</f>
        <v/>
      </c>
      <c r="M1450" s="16" t="str">
        <f>IFERROR(__xludf.DUMMYFUNCTION("""COMPUTED_VALUE"""),"")</f>
        <v/>
      </c>
      <c r="U1450" s="16" t="s">
        <v>87</v>
      </c>
      <c r="V1450" s="16" t="str">
        <f>IFERROR(__xludf.DUMMYFUNCTION("""COMPUTED_VALUE"""),"")</f>
        <v/>
      </c>
      <c r="W1450" s="16" t="str">
        <f>IFERROR(__xludf.DUMMYFUNCTION("""COMPUTED_VALUE"""),"")</f>
        <v/>
      </c>
      <c r="X1450" s="16" t="str">
        <f>IFERROR(__xludf.DUMMYFUNCTION("""COMPUTED_VALUE"""),"")</f>
        <v/>
      </c>
      <c r="AC1450" s="16" t="str">
        <f>IFERROR(__xludf.DUMMYFUNCTION("""COMPUTED_VALUE"""),"")</f>
        <v/>
      </c>
    </row>
    <row r="1451">
      <c r="A1451" s="16" t="s">
        <v>87</v>
      </c>
      <c r="E1451" s="16" t="str">
        <f>IFERROR(__xludf.DUMMYFUNCTION("""COMPUTED_VALUE"""),"")</f>
        <v/>
      </c>
      <c r="G1451" s="18"/>
      <c r="H1451" s="16" t="s">
        <v>87</v>
      </c>
      <c r="I1451" s="16" t="s">
        <v>87</v>
      </c>
      <c r="J1451" s="19"/>
      <c r="L1451" s="16" t="str">
        <f>IFERROR(__xludf.DUMMYFUNCTION("""COMPUTED_VALUE"""),"")</f>
        <v/>
      </c>
      <c r="M1451" s="16" t="str">
        <f>IFERROR(__xludf.DUMMYFUNCTION("""COMPUTED_VALUE"""),"")</f>
        <v/>
      </c>
      <c r="U1451" s="16" t="s">
        <v>87</v>
      </c>
      <c r="V1451" s="16" t="str">
        <f>IFERROR(__xludf.DUMMYFUNCTION("""COMPUTED_VALUE"""),"")</f>
        <v/>
      </c>
      <c r="W1451" s="16" t="str">
        <f>IFERROR(__xludf.DUMMYFUNCTION("""COMPUTED_VALUE"""),"")</f>
        <v/>
      </c>
      <c r="X1451" s="16" t="str">
        <f>IFERROR(__xludf.DUMMYFUNCTION("""COMPUTED_VALUE"""),"")</f>
        <v/>
      </c>
      <c r="AC1451" s="16" t="str">
        <f>IFERROR(__xludf.DUMMYFUNCTION("""COMPUTED_VALUE"""),"")</f>
        <v/>
      </c>
    </row>
    <row r="1452">
      <c r="A1452" s="16" t="s">
        <v>87</v>
      </c>
      <c r="E1452" s="16" t="str">
        <f>IFERROR(__xludf.DUMMYFUNCTION("""COMPUTED_VALUE"""),"")</f>
        <v/>
      </c>
      <c r="G1452" s="18"/>
      <c r="H1452" s="16" t="s">
        <v>87</v>
      </c>
      <c r="I1452" s="16" t="s">
        <v>87</v>
      </c>
      <c r="J1452" s="19"/>
      <c r="L1452" s="16" t="str">
        <f>IFERROR(__xludf.DUMMYFUNCTION("""COMPUTED_VALUE"""),"")</f>
        <v/>
      </c>
      <c r="M1452" s="16" t="str">
        <f>IFERROR(__xludf.DUMMYFUNCTION("""COMPUTED_VALUE"""),"")</f>
        <v/>
      </c>
      <c r="U1452" s="16" t="s">
        <v>87</v>
      </c>
      <c r="V1452" s="16" t="str">
        <f>IFERROR(__xludf.DUMMYFUNCTION("""COMPUTED_VALUE"""),"")</f>
        <v/>
      </c>
      <c r="W1452" s="16" t="str">
        <f>IFERROR(__xludf.DUMMYFUNCTION("""COMPUTED_VALUE"""),"")</f>
        <v/>
      </c>
      <c r="X1452" s="16" t="str">
        <f>IFERROR(__xludf.DUMMYFUNCTION("""COMPUTED_VALUE"""),"")</f>
        <v/>
      </c>
      <c r="AC1452" s="16" t="str">
        <f>IFERROR(__xludf.DUMMYFUNCTION("""COMPUTED_VALUE"""),"")</f>
        <v/>
      </c>
    </row>
    <row r="1453">
      <c r="A1453" s="16" t="s">
        <v>87</v>
      </c>
      <c r="E1453" s="16" t="str">
        <f>IFERROR(__xludf.DUMMYFUNCTION("""COMPUTED_VALUE"""),"")</f>
        <v/>
      </c>
      <c r="G1453" s="18"/>
      <c r="H1453" s="16" t="s">
        <v>87</v>
      </c>
      <c r="I1453" s="16" t="s">
        <v>87</v>
      </c>
      <c r="J1453" s="19"/>
      <c r="L1453" s="16" t="str">
        <f>IFERROR(__xludf.DUMMYFUNCTION("""COMPUTED_VALUE"""),"")</f>
        <v/>
      </c>
      <c r="M1453" s="16" t="str">
        <f>IFERROR(__xludf.DUMMYFUNCTION("""COMPUTED_VALUE"""),"")</f>
        <v/>
      </c>
      <c r="U1453" s="16" t="s">
        <v>87</v>
      </c>
      <c r="V1453" s="16" t="str">
        <f>IFERROR(__xludf.DUMMYFUNCTION("""COMPUTED_VALUE"""),"")</f>
        <v/>
      </c>
      <c r="W1453" s="16" t="str">
        <f>IFERROR(__xludf.DUMMYFUNCTION("""COMPUTED_VALUE"""),"")</f>
        <v/>
      </c>
      <c r="X1453" s="16" t="str">
        <f>IFERROR(__xludf.DUMMYFUNCTION("""COMPUTED_VALUE"""),"")</f>
        <v/>
      </c>
      <c r="AC1453" s="16" t="str">
        <f>IFERROR(__xludf.DUMMYFUNCTION("""COMPUTED_VALUE"""),"")</f>
        <v/>
      </c>
    </row>
    <row r="1454">
      <c r="A1454" s="16" t="s">
        <v>87</v>
      </c>
      <c r="E1454" s="16" t="str">
        <f>IFERROR(__xludf.DUMMYFUNCTION("""COMPUTED_VALUE"""),"")</f>
        <v/>
      </c>
      <c r="G1454" s="18"/>
      <c r="H1454" s="16" t="s">
        <v>87</v>
      </c>
      <c r="I1454" s="16" t="s">
        <v>87</v>
      </c>
      <c r="J1454" s="19"/>
      <c r="L1454" s="16" t="str">
        <f>IFERROR(__xludf.DUMMYFUNCTION("""COMPUTED_VALUE"""),"")</f>
        <v/>
      </c>
      <c r="M1454" s="16" t="str">
        <f>IFERROR(__xludf.DUMMYFUNCTION("""COMPUTED_VALUE"""),"")</f>
        <v/>
      </c>
      <c r="U1454" s="16" t="s">
        <v>87</v>
      </c>
      <c r="V1454" s="16" t="str">
        <f>IFERROR(__xludf.DUMMYFUNCTION("""COMPUTED_VALUE"""),"")</f>
        <v/>
      </c>
      <c r="W1454" s="16" t="str">
        <f>IFERROR(__xludf.DUMMYFUNCTION("""COMPUTED_VALUE"""),"")</f>
        <v/>
      </c>
      <c r="X1454" s="16" t="str">
        <f>IFERROR(__xludf.DUMMYFUNCTION("""COMPUTED_VALUE"""),"")</f>
        <v/>
      </c>
      <c r="AC1454" s="16" t="str">
        <f>IFERROR(__xludf.DUMMYFUNCTION("""COMPUTED_VALUE"""),"")</f>
        <v/>
      </c>
    </row>
    <row r="1455">
      <c r="A1455" s="16" t="s">
        <v>87</v>
      </c>
      <c r="E1455" s="16" t="str">
        <f>IFERROR(__xludf.DUMMYFUNCTION("""COMPUTED_VALUE"""),"")</f>
        <v/>
      </c>
      <c r="G1455" s="18"/>
      <c r="H1455" s="16" t="s">
        <v>87</v>
      </c>
      <c r="I1455" s="16" t="s">
        <v>87</v>
      </c>
      <c r="J1455" s="19"/>
      <c r="L1455" s="16" t="str">
        <f>IFERROR(__xludf.DUMMYFUNCTION("""COMPUTED_VALUE"""),"")</f>
        <v/>
      </c>
      <c r="M1455" s="16" t="str">
        <f>IFERROR(__xludf.DUMMYFUNCTION("""COMPUTED_VALUE"""),"")</f>
        <v/>
      </c>
      <c r="U1455" s="16" t="s">
        <v>87</v>
      </c>
      <c r="V1455" s="16" t="str">
        <f>IFERROR(__xludf.DUMMYFUNCTION("""COMPUTED_VALUE"""),"")</f>
        <v/>
      </c>
      <c r="W1455" s="16" t="str">
        <f>IFERROR(__xludf.DUMMYFUNCTION("""COMPUTED_VALUE"""),"")</f>
        <v/>
      </c>
      <c r="X1455" s="16" t="str">
        <f>IFERROR(__xludf.DUMMYFUNCTION("""COMPUTED_VALUE"""),"")</f>
        <v/>
      </c>
      <c r="AC1455" s="16" t="str">
        <f>IFERROR(__xludf.DUMMYFUNCTION("""COMPUTED_VALUE"""),"")</f>
        <v/>
      </c>
    </row>
    <row r="1456">
      <c r="A1456" s="16" t="s">
        <v>87</v>
      </c>
      <c r="E1456" s="16" t="str">
        <f>IFERROR(__xludf.DUMMYFUNCTION("""COMPUTED_VALUE"""),"")</f>
        <v/>
      </c>
      <c r="G1456" s="18"/>
      <c r="H1456" s="16" t="s">
        <v>87</v>
      </c>
      <c r="I1456" s="16" t="s">
        <v>87</v>
      </c>
      <c r="J1456" s="19"/>
      <c r="L1456" s="16" t="str">
        <f>IFERROR(__xludf.DUMMYFUNCTION("""COMPUTED_VALUE"""),"")</f>
        <v/>
      </c>
      <c r="M1456" s="16" t="str">
        <f>IFERROR(__xludf.DUMMYFUNCTION("""COMPUTED_VALUE"""),"")</f>
        <v/>
      </c>
      <c r="U1456" s="16" t="s">
        <v>87</v>
      </c>
      <c r="V1456" s="16" t="str">
        <f>IFERROR(__xludf.DUMMYFUNCTION("""COMPUTED_VALUE"""),"")</f>
        <v/>
      </c>
      <c r="W1456" s="16" t="str">
        <f>IFERROR(__xludf.DUMMYFUNCTION("""COMPUTED_VALUE"""),"")</f>
        <v/>
      </c>
      <c r="X1456" s="16" t="str">
        <f>IFERROR(__xludf.DUMMYFUNCTION("""COMPUTED_VALUE"""),"")</f>
        <v/>
      </c>
      <c r="AC1456" s="16" t="str">
        <f>IFERROR(__xludf.DUMMYFUNCTION("""COMPUTED_VALUE"""),"")</f>
        <v/>
      </c>
    </row>
    <row r="1457">
      <c r="A1457" s="16" t="s">
        <v>87</v>
      </c>
      <c r="E1457" s="16" t="str">
        <f>IFERROR(__xludf.DUMMYFUNCTION("""COMPUTED_VALUE"""),"")</f>
        <v/>
      </c>
      <c r="G1457" s="18"/>
      <c r="H1457" s="16" t="s">
        <v>87</v>
      </c>
      <c r="I1457" s="16" t="s">
        <v>87</v>
      </c>
      <c r="J1457" s="19"/>
      <c r="L1457" s="16" t="str">
        <f>IFERROR(__xludf.DUMMYFUNCTION("""COMPUTED_VALUE"""),"")</f>
        <v/>
      </c>
      <c r="M1457" s="16" t="str">
        <f>IFERROR(__xludf.DUMMYFUNCTION("""COMPUTED_VALUE"""),"")</f>
        <v/>
      </c>
      <c r="U1457" s="16" t="s">
        <v>87</v>
      </c>
      <c r="V1457" s="16" t="str">
        <f>IFERROR(__xludf.DUMMYFUNCTION("""COMPUTED_VALUE"""),"")</f>
        <v/>
      </c>
      <c r="W1457" s="16" t="str">
        <f>IFERROR(__xludf.DUMMYFUNCTION("""COMPUTED_VALUE"""),"")</f>
        <v/>
      </c>
      <c r="X1457" s="16" t="str">
        <f>IFERROR(__xludf.DUMMYFUNCTION("""COMPUTED_VALUE"""),"")</f>
        <v/>
      </c>
      <c r="AC1457" s="16" t="str">
        <f>IFERROR(__xludf.DUMMYFUNCTION("""COMPUTED_VALUE"""),"")</f>
        <v/>
      </c>
    </row>
    <row r="1458">
      <c r="A1458" s="16" t="s">
        <v>87</v>
      </c>
      <c r="E1458" s="16" t="str">
        <f>IFERROR(__xludf.DUMMYFUNCTION("""COMPUTED_VALUE"""),"")</f>
        <v/>
      </c>
      <c r="G1458" s="18"/>
      <c r="H1458" s="16" t="s">
        <v>87</v>
      </c>
      <c r="I1458" s="16" t="s">
        <v>87</v>
      </c>
      <c r="J1458" s="19"/>
      <c r="L1458" s="16" t="str">
        <f>IFERROR(__xludf.DUMMYFUNCTION("""COMPUTED_VALUE"""),"")</f>
        <v/>
      </c>
      <c r="M1458" s="16" t="str">
        <f>IFERROR(__xludf.DUMMYFUNCTION("""COMPUTED_VALUE"""),"")</f>
        <v/>
      </c>
      <c r="U1458" s="16" t="s">
        <v>87</v>
      </c>
      <c r="V1458" s="16" t="str">
        <f>IFERROR(__xludf.DUMMYFUNCTION("""COMPUTED_VALUE"""),"")</f>
        <v/>
      </c>
      <c r="W1458" s="16" t="str">
        <f>IFERROR(__xludf.DUMMYFUNCTION("""COMPUTED_VALUE"""),"")</f>
        <v/>
      </c>
      <c r="X1458" s="16" t="str">
        <f>IFERROR(__xludf.DUMMYFUNCTION("""COMPUTED_VALUE"""),"")</f>
        <v/>
      </c>
      <c r="AC1458" s="16" t="str">
        <f>IFERROR(__xludf.DUMMYFUNCTION("""COMPUTED_VALUE"""),"")</f>
        <v/>
      </c>
    </row>
    <row r="1459">
      <c r="A1459" s="16" t="s">
        <v>87</v>
      </c>
      <c r="E1459" s="16" t="str">
        <f>IFERROR(__xludf.DUMMYFUNCTION("""COMPUTED_VALUE"""),"")</f>
        <v/>
      </c>
      <c r="G1459" s="18"/>
      <c r="H1459" s="16" t="s">
        <v>87</v>
      </c>
      <c r="I1459" s="16" t="s">
        <v>87</v>
      </c>
      <c r="J1459" s="19"/>
      <c r="L1459" s="16" t="str">
        <f>IFERROR(__xludf.DUMMYFUNCTION("""COMPUTED_VALUE"""),"")</f>
        <v/>
      </c>
      <c r="M1459" s="16" t="str">
        <f>IFERROR(__xludf.DUMMYFUNCTION("""COMPUTED_VALUE"""),"")</f>
        <v/>
      </c>
      <c r="U1459" s="16" t="s">
        <v>87</v>
      </c>
      <c r="V1459" s="16" t="str">
        <f>IFERROR(__xludf.DUMMYFUNCTION("""COMPUTED_VALUE"""),"")</f>
        <v/>
      </c>
      <c r="W1459" s="16" t="str">
        <f>IFERROR(__xludf.DUMMYFUNCTION("""COMPUTED_VALUE"""),"")</f>
        <v/>
      </c>
      <c r="X1459" s="16" t="str">
        <f>IFERROR(__xludf.DUMMYFUNCTION("""COMPUTED_VALUE"""),"")</f>
        <v/>
      </c>
      <c r="AC1459" s="16" t="str">
        <f>IFERROR(__xludf.DUMMYFUNCTION("""COMPUTED_VALUE"""),"")</f>
        <v/>
      </c>
    </row>
    <row r="1460">
      <c r="A1460" s="16" t="s">
        <v>87</v>
      </c>
      <c r="E1460" s="16" t="str">
        <f>IFERROR(__xludf.DUMMYFUNCTION("""COMPUTED_VALUE"""),"")</f>
        <v/>
      </c>
      <c r="G1460" s="18"/>
      <c r="H1460" s="16" t="s">
        <v>87</v>
      </c>
      <c r="I1460" s="16" t="s">
        <v>87</v>
      </c>
      <c r="J1460" s="19"/>
      <c r="L1460" s="16" t="str">
        <f>IFERROR(__xludf.DUMMYFUNCTION("""COMPUTED_VALUE"""),"")</f>
        <v/>
      </c>
      <c r="M1460" s="16" t="str">
        <f>IFERROR(__xludf.DUMMYFUNCTION("""COMPUTED_VALUE"""),"")</f>
        <v/>
      </c>
      <c r="U1460" s="16" t="s">
        <v>87</v>
      </c>
      <c r="V1460" s="16" t="str">
        <f>IFERROR(__xludf.DUMMYFUNCTION("""COMPUTED_VALUE"""),"")</f>
        <v/>
      </c>
      <c r="W1460" s="16" t="str">
        <f>IFERROR(__xludf.DUMMYFUNCTION("""COMPUTED_VALUE"""),"")</f>
        <v/>
      </c>
      <c r="X1460" s="16" t="str">
        <f>IFERROR(__xludf.DUMMYFUNCTION("""COMPUTED_VALUE"""),"")</f>
        <v/>
      </c>
      <c r="AC1460" s="16" t="str">
        <f>IFERROR(__xludf.DUMMYFUNCTION("""COMPUTED_VALUE"""),"")</f>
        <v/>
      </c>
    </row>
    <row r="1461">
      <c r="A1461" s="16" t="s">
        <v>87</v>
      </c>
      <c r="E1461" s="16" t="str">
        <f>IFERROR(__xludf.DUMMYFUNCTION("""COMPUTED_VALUE"""),"")</f>
        <v/>
      </c>
      <c r="G1461" s="18"/>
      <c r="H1461" s="16" t="s">
        <v>87</v>
      </c>
      <c r="I1461" s="16" t="s">
        <v>87</v>
      </c>
      <c r="J1461" s="19"/>
      <c r="L1461" s="16" t="str">
        <f>IFERROR(__xludf.DUMMYFUNCTION("""COMPUTED_VALUE"""),"")</f>
        <v/>
      </c>
      <c r="M1461" s="16" t="str">
        <f>IFERROR(__xludf.DUMMYFUNCTION("""COMPUTED_VALUE"""),"")</f>
        <v/>
      </c>
      <c r="U1461" s="16" t="s">
        <v>87</v>
      </c>
      <c r="V1461" s="16" t="str">
        <f>IFERROR(__xludf.DUMMYFUNCTION("""COMPUTED_VALUE"""),"")</f>
        <v/>
      </c>
      <c r="W1461" s="16" t="str">
        <f>IFERROR(__xludf.DUMMYFUNCTION("""COMPUTED_VALUE"""),"")</f>
        <v/>
      </c>
      <c r="X1461" s="16" t="str">
        <f>IFERROR(__xludf.DUMMYFUNCTION("""COMPUTED_VALUE"""),"")</f>
        <v/>
      </c>
      <c r="AC1461" s="16" t="str">
        <f>IFERROR(__xludf.DUMMYFUNCTION("""COMPUTED_VALUE"""),"")</f>
        <v/>
      </c>
    </row>
    <row r="1462">
      <c r="A1462" s="16" t="s">
        <v>87</v>
      </c>
      <c r="E1462" s="16" t="str">
        <f>IFERROR(__xludf.DUMMYFUNCTION("""COMPUTED_VALUE"""),"")</f>
        <v/>
      </c>
      <c r="G1462" s="18"/>
      <c r="H1462" s="16" t="s">
        <v>87</v>
      </c>
      <c r="I1462" s="16" t="s">
        <v>87</v>
      </c>
      <c r="J1462" s="19"/>
      <c r="L1462" s="16" t="str">
        <f>IFERROR(__xludf.DUMMYFUNCTION("""COMPUTED_VALUE"""),"")</f>
        <v/>
      </c>
      <c r="M1462" s="16" t="str">
        <f>IFERROR(__xludf.DUMMYFUNCTION("""COMPUTED_VALUE"""),"")</f>
        <v/>
      </c>
      <c r="U1462" s="16" t="s">
        <v>87</v>
      </c>
      <c r="V1462" s="16" t="str">
        <f>IFERROR(__xludf.DUMMYFUNCTION("""COMPUTED_VALUE"""),"")</f>
        <v/>
      </c>
      <c r="W1462" s="16" t="str">
        <f>IFERROR(__xludf.DUMMYFUNCTION("""COMPUTED_VALUE"""),"")</f>
        <v/>
      </c>
      <c r="X1462" s="16" t="str">
        <f>IFERROR(__xludf.DUMMYFUNCTION("""COMPUTED_VALUE"""),"")</f>
        <v/>
      </c>
      <c r="AC1462" s="16" t="str">
        <f>IFERROR(__xludf.DUMMYFUNCTION("""COMPUTED_VALUE"""),"")</f>
        <v/>
      </c>
    </row>
    <row r="1463">
      <c r="A1463" s="16" t="s">
        <v>87</v>
      </c>
      <c r="E1463" s="16" t="str">
        <f>IFERROR(__xludf.DUMMYFUNCTION("""COMPUTED_VALUE"""),"")</f>
        <v/>
      </c>
      <c r="G1463" s="18"/>
      <c r="H1463" s="16" t="s">
        <v>87</v>
      </c>
      <c r="I1463" s="16" t="s">
        <v>87</v>
      </c>
      <c r="J1463" s="19"/>
      <c r="L1463" s="16" t="str">
        <f>IFERROR(__xludf.DUMMYFUNCTION("""COMPUTED_VALUE"""),"")</f>
        <v/>
      </c>
      <c r="M1463" s="16" t="str">
        <f>IFERROR(__xludf.DUMMYFUNCTION("""COMPUTED_VALUE"""),"")</f>
        <v/>
      </c>
      <c r="U1463" s="16" t="s">
        <v>87</v>
      </c>
      <c r="V1463" s="16" t="str">
        <f>IFERROR(__xludf.DUMMYFUNCTION("""COMPUTED_VALUE"""),"")</f>
        <v/>
      </c>
      <c r="W1463" s="16" t="str">
        <f>IFERROR(__xludf.DUMMYFUNCTION("""COMPUTED_VALUE"""),"")</f>
        <v/>
      </c>
      <c r="X1463" s="16" t="str">
        <f>IFERROR(__xludf.DUMMYFUNCTION("""COMPUTED_VALUE"""),"")</f>
        <v/>
      </c>
      <c r="AC1463" s="16" t="str">
        <f>IFERROR(__xludf.DUMMYFUNCTION("""COMPUTED_VALUE"""),"")</f>
        <v/>
      </c>
    </row>
    <row r="1464">
      <c r="A1464" s="16" t="s">
        <v>87</v>
      </c>
      <c r="E1464" s="16" t="str">
        <f>IFERROR(__xludf.DUMMYFUNCTION("""COMPUTED_VALUE"""),"")</f>
        <v/>
      </c>
      <c r="G1464" s="18"/>
      <c r="H1464" s="16" t="s">
        <v>87</v>
      </c>
      <c r="I1464" s="16" t="s">
        <v>87</v>
      </c>
      <c r="J1464" s="19"/>
      <c r="L1464" s="16" t="str">
        <f>IFERROR(__xludf.DUMMYFUNCTION("""COMPUTED_VALUE"""),"")</f>
        <v/>
      </c>
      <c r="M1464" s="16" t="str">
        <f>IFERROR(__xludf.DUMMYFUNCTION("""COMPUTED_VALUE"""),"")</f>
        <v/>
      </c>
      <c r="U1464" s="16" t="s">
        <v>87</v>
      </c>
      <c r="V1464" s="16" t="str">
        <f>IFERROR(__xludf.DUMMYFUNCTION("""COMPUTED_VALUE"""),"")</f>
        <v/>
      </c>
      <c r="W1464" s="16" t="str">
        <f>IFERROR(__xludf.DUMMYFUNCTION("""COMPUTED_VALUE"""),"")</f>
        <v/>
      </c>
      <c r="X1464" s="16" t="str">
        <f>IFERROR(__xludf.DUMMYFUNCTION("""COMPUTED_VALUE"""),"")</f>
        <v/>
      </c>
      <c r="AC1464" s="16" t="str">
        <f>IFERROR(__xludf.DUMMYFUNCTION("""COMPUTED_VALUE"""),"")</f>
        <v/>
      </c>
    </row>
    <row r="1465">
      <c r="A1465" s="16" t="s">
        <v>87</v>
      </c>
      <c r="E1465" s="16" t="str">
        <f>IFERROR(__xludf.DUMMYFUNCTION("""COMPUTED_VALUE"""),"")</f>
        <v/>
      </c>
      <c r="G1465" s="18"/>
      <c r="H1465" s="16" t="s">
        <v>87</v>
      </c>
      <c r="I1465" s="16" t="s">
        <v>87</v>
      </c>
      <c r="J1465" s="19"/>
      <c r="L1465" s="16" t="str">
        <f>IFERROR(__xludf.DUMMYFUNCTION("""COMPUTED_VALUE"""),"")</f>
        <v/>
      </c>
      <c r="M1465" s="16" t="str">
        <f>IFERROR(__xludf.DUMMYFUNCTION("""COMPUTED_VALUE"""),"")</f>
        <v/>
      </c>
      <c r="U1465" s="16" t="s">
        <v>87</v>
      </c>
      <c r="V1465" s="16" t="str">
        <f>IFERROR(__xludf.DUMMYFUNCTION("""COMPUTED_VALUE"""),"")</f>
        <v/>
      </c>
      <c r="W1465" s="16" t="str">
        <f>IFERROR(__xludf.DUMMYFUNCTION("""COMPUTED_VALUE"""),"")</f>
        <v/>
      </c>
      <c r="X1465" s="16" t="str">
        <f>IFERROR(__xludf.DUMMYFUNCTION("""COMPUTED_VALUE"""),"")</f>
        <v/>
      </c>
      <c r="AC1465" s="16" t="str">
        <f>IFERROR(__xludf.DUMMYFUNCTION("""COMPUTED_VALUE"""),"")</f>
        <v/>
      </c>
    </row>
    <row r="1466">
      <c r="A1466" s="16" t="s">
        <v>87</v>
      </c>
      <c r="E1466" s="16" t="str">
        <f>IFERROR(__xludf.DUMMYFUNCTION("""COMPUTED_VALUE"""),"")</f>
        <v/>
      </c>
      <c r="G1466" s="18"/>
      <c r="H1466" s="16" t="s">
        <v>87</v>
      </c>
      <c r="I1466" s="16" t="s">
        <v>87</v>
      </c>
      <c r="J1466" s="19"/>
      <c r="L1466" s="16" t="str">
        <f>IFERROR(__xludf.DUMMYFUNCTION("""COMPUTED_VALUE"""),"")</f>
        <v/>
      </c>
      <c r="M1466" s="16" t="str">
        <f>IFERROR(__xludf.DUMMYFUNCTION("""COMPUTED_VALUE"""),"")</f>
        <v/>
      </c>
      <c r="U1466" s="16" t="s">
        <v>87</v>
      </c>
      <c r="V1466" s="16" t="str">
        <f>IFERROR(__xludf.DUMMYFUNCTION("""COMPUTED_VALUE"""),"")</f>
        <v/>
      </c>
      <c r="W1466" s="16" t="str">
        <f>IFERROR(__xludf.DUMMYFUNCTION("""COMPUTED_VALUE"""),"")</f>
        <v/>
      </c>
      <c r="X1466" s="16" t="str">
        <f>IFERROR(__xludf.DUMMYFUNCTION("""COMPUTED_VALUE"""),"")</f>
        <v/>
      </c>
      <c r="AC1466" s="16" t="str">
        <f>IFERROR(__xludf.DUMMYFUNCTION("""COMPUTED_VALUE"""),"")</f>
        <v/>
      </c>
    </row>
    <row r="1467">
      <c r="A1467" s="16" t="s">
        <v>87</v>
      </c>
      <c r="E1467" s="16" t="str">
        <f>IFERROR(__xludf.DUMMYFUNCTION("""COMPUTED_VALUE"""),"")</f>
        <v/>
      </c>
      <c r="G1467" s="18"/>
      <c r="H1467" s="16" t="s">
        <v>87</v>
      </c>
      <c r="I1467" s="16" t="s">
        <v>87</v>
      </c>
      <c r="J1467" s="19"/>
      <c r="L1467" s="16" t="str">
        <f>IFERROR(__xludf.DUMMYFUNCTION("""COMPUTED_VALUE"""),"")</f>
        <v/>
      </c>
      <c r="M1467" s="16" t="str">
        <f>IFERROR(__xludf.DUMMYFUNCTION("""COMPUTED_VALUE"""),"")</f>
        <v/>
      </c>
      <c r="U1467" s="16" t="s">
        <v>87</v>
      </c>
      <c r="V1467" s="16" t="str">
        <f>IFERROR(__xludf.DUMMYFUNCTION("""COMPUTED_VALUE"""),"")</f>
        <v/>
      </c>
      <c r="W1467" s="16" t="str">
        <f>IFERROR(__xludf.DUMMYFUNCTION("""COMPUTED_VALUE"""),"")</f>
        <v/>
      </c>
      <c r="X1467" s="16" t="str">
        <f>IFERROR(__xludf.DUMMYFUNCTION("""COMPUTED_VALUE"""),"")</f>
        <v/>
      </c>
      <c r="AC1467" s="16" t="str">
        <f>IFERROR(__xludf.DUMMYFUNCTION("""COMPUTED_VALUE"""),"")</f>
        <v/>
      </c>
    </row>
    <row r="1468">
      <c r="A1468" s="16" t="s">
        <v>87</v>
      </c>
      <c r="E1468" s="16" t="str">
        <f>IFERROR(__xludf.DUMMYFUNCTION("""COMPUTED_VALUE"""),"")</f>
        <v/>
      </c>
      <c r="G1468" s="18"/>
      <c r="H1468" s="16" t="s">
        <v>87</v>
      </c>
      <c r="I1468" s="16" t="s">
        <v>87</v>
      </c>
      <c r="J1468" s="19"/>
      <c r="L1468" s="16" t="str">
        <f>IFERROR(__xludf.DUMMYFUNCTION("""COMPUTED_VALUE"""),"")</f>
        <v/>
      </c>
      <c r="M1468" s="16" t="str">
        <f>IFERROR(__xludf.DUMMYFUNCTION("""COMPUTED_VALUE"""),"")</f>
        <v/>
      </c>
      <c r="U1468" s="16" t="s">
        <v>87</v>
      </c>
      <c r="V1468" s="16" t="str">
        <f>IFERROR(__xludf.DUMMYFUNCTION("""COMPUTED_VALUE"""),"")</f>
        <v/>
      </c>
      <c r="W1468" s="16" t="str">
        <f>IFERROR(__xludf.DUMMYFUNCTION("""COMPUTED_VALUE"""),"")</f>
        <v/>
      </c>
      <c r="X1468" s="16" t="str">
        <f>IFERROR(__xludf.DUMMYFUNCTION("""COMPUTED_VALUE"""),"")</f>
        <v/>
      </c>
      <c r="AC1468" s="16" t="str">
        <f>IFERROR(__xludf.DUMMYFUNCTION("""COMPUTED_VALUE"""),"")</f>
        <v/>
      </c>
    </row>
    <row r="1469">
      <c r="A1469" s="16" t="s">
        <v>87</v>
      </c>
      <c r="E1469" s="16" t="str">
        <f>IFERROR(__xludf.DUMMYFUNCTION("""COMPUTED_VALUE"""),"")</f>
        <v/>
      </c>
      <c r="G1469" s="18"/>
      <c r="H1469" s="16" t="s">
        <v>87</v>
      </c>
      <c r="I1469" s="16" t="s">
        <v>87</v>
      </c>
      <c r="J1469" s="19"/>
      <c r="L1469" s="16" t="str">
        <f>IFERROR(__xludf.DUMMYFUNCTION("""COMPUTED_VALUE"""),"")</f>
        <v/>
      </c>
      <c r="M1469" s="16" t="str">
        <f>IFERROR(__xludf.DUMMYFUNCTION("""COMPUTED_VALUE"""),"")</f>
        <v/>
      </c>
      <c r="U1469" s="16" t="s">
        <v>87</v>
      </c>
      <c r="V1469" s="16" t="str">
        <f>IFERROR(__xludf.DUMMYFUNCTION("""COMPUTED_VALUE"""),"")</f>
        <v/>
      </c>
      <c r="W1469" s="16" t="str">
        <f>IFERROR(__xludf.DUMMYFUNCTION("""COMPUTED_VALUE"""),"")</f>
        <v/>
      </c>
      <c r="X1469" s="16" t="str">
        <f>IFERROR(__xludf.DUMMYFUNCTION("""COMPUTED_VALUE"""),"")</f>
        <v/>
      </c>
      <c r="AC1469" s="16" t="str">
        <f>IFERROR(__xludf.DUMMYFUNCTION("""COMPUTED_VALUE"""),"")</f>
        <v/>
      </c>
    </row>
    <row r="1470">
      <c r="A1470" s="16" t="s">
        <v>87</v>
      </c>
      <c r="E1470" s="16" t="str">
        <f>IFERROR(__xludf.DUMMYFUNCTION("""COMPUTED_VALUE"""),"")</f>
        <v/>
      </c>
      <c r="G1470" s="18"/>
      <c r="H1470" s="16" t="s">
        <v>87</v>
      </c>
      <c r="I1470" s="16" t="s">
        <v>87</v>
      </c>
      <c r="J1470" s="19"/>
      <c r="L1470" s="16" t="str">
        <f>IFERROR(__xludf.DUMMYFUNCTION("""COMPUTED_VALUE"""),"")</f>
        <v/>
      </c>
      <c r="M1470" s="16" t="str">
        <f>IFERROR(__xludf.DUMMYFUNCTION("""COMPUTED_VALUE"""),"")</f>
        <v/>
      </c>
      <c r="U1470" s="16" t="s">
        <v>87</v>
      </c>
      <c r="V1470" s="16" t="str">
        <f>IFERROR(__xludf.DUMMYFUNCTION("""COMPUTED_VALUE"""),"")</f>
        <v/>
      </c>
      <c r="W1470" s="16" t="str">
        <f>IFERROR(__xludf.DUMMYFUNCTION("""COMPUTED_VALUE"""),"")</f>
        <v/>
      </c>
      <c r="X1470" s="16" t="str">
        <f>IFERROR(__xludf.DUMMYFUNCTION("""COMPUTED_VALUE"""),"")</f>
        <v/>
      </c>
      <c r="AC1470" s="16" t="str">
        <f>IFERROR(__xludf.DUMMYFUNCTION("""COMPUTED_VALUE"""),"")</f>
        <v/>
      </c>
    </row>
    <row r="1471">
      <c r="A1471" s="16" t="s">
        <v>87</v>
      </c>
      <c r="E1471" s="16" t="str">
        <f>IFERROR(__xludf.DUMMYFUNCTION("""COMPUTED_VALUE"""),"")</f>
        <v/>
      </c>
      <c r="G1471" s="18"/>
      <c r="H1471" s="16" t="s">
        <v>87</v>
      </c>
      <c r="I1471" s="16" t="s">
        <v>87</v>
      </c>
      <c r="J1471" s="19"/>
      <c r="L1471" s="16" t="str">
        <f>IFERROR(__xludf.DUMMYFUNCTION("""COMPUTED_VALUE"""),"")</f>
        <v/>
      </c>
      <c r="M1471" s="16" t="str">
        <f>IFERROR(__xludf.DUMMYFUNCTION("""COMPUTED_VALUE"""),"")</f>
        <v/>
      </c>
      <c r="U1471" s="16" t="s">
        <v>87</v>
      </c>
      <c r="V1471" s="16" t="str">
        <f>IFERROR(__xludf.DUMMYFUNCTION("""COMPUTED_VALUE"""),"")</f>
        <v/>
      </c>
      <c r="W1471" s="16" t="str">
        <f>IFERROR(__xludf.DUMMYFUNCTION("""COMPUTED_VALUE"""),"")</f>
        <v/>
      </c>
      <c r="X1471" s="16" t="str">
        <f>IFERROR(__xludf.DUMMYFUNCTION("""COMPUTED_VALUE"""),"")</f>
        <v/>
      </c>
      <c r="AC1471" s="16" t="str">
        <f>IFERROR(__xludf.DUMMYFUNCTION("""COMPUTED_VALUE"""),"")</f>
        <v/>
      </c>
    </row>
    <row r="1472">
      <c r="A1472" s="16" t="s">
        <v>87</v>
      </c>
      <c r="E1472" s="16" t="str">
        <f>IFERROR(__xludf.DUMMYFUNCTION("""COMPUTED_VALUE"""),"")</f>
        <v/>
      </c>
      <c r="G1472" s="18"/>
      <c r="H1472" s="16" t="s">
        <v>87</v>
      </c>
      <c r="I1472" s="16" t="s">
        <v>87</v>
      </c>
      <c r="J1472" s="19"/>
      <c r="L1472" s="16" t="str">
        <f>IFERROR(__xludf.DUMMYFUNCTION("""COMPUTED_VALUE"""),"")</f>
        <v/>
      </c>
      <c r="M1472" s="16" t="str">
        <f>IFERROR(__xludf.DUMMYFUNCTION("""COMPUTED_VALUE"""),"")</f>
        <v/>
      </c>
      <c r="U1472" s="16" t="s">
        <v>87</v>
      </c>
      <c r="V1472" s="16" t="str">
        <f>IFERROR(__xludf.DUMMYFUNCTION("""COMPUTED_VALUE"""),"")</f>
        <v/>
      </c>
      <c r="W1472" s="16" t="str">
        <f>IFERROR(__xludf.DUMMYFUNCTION("""COMPUTED_VALUE"""),"")</f>
        <v/>
      </c>
      <c r="X1472" s="16" t="str">
        <f>IFERROR(__xludf.DUMMYFUNCTION("""COMPUTED_VALUE"""),"")</f>
        <v/>
      </c>
      <c r="AC1472" s="16" t="str">
        <f>IFERROR(__xludf.DUMMYFUNCTION("""COMPUTED_VALUE"""),"")</f>
        <v/>
      </c>
    </row>
    <row r="1473">
      <c r="A1473" s="16" t="s">
        <v>87</v>
      </c>
      <c r="E1473" s="16" t="str">
        <f>IFERROR(__xludf.DUMMYFUNCTION("""COMPUTED_VALUE"""),"")</f>
        <v/>
      </c>
      <c r="G1473" s="18"/>
      <c r="H1473" s="16" t="s">
        <v>87</v>
      </c>
      <c r="I1473" s="16" t="s">
        <v>87</v>
      </c>
      <c r="J1473" s="19"/>
      <c r="L1473" s="16" t="str">
        <f>IFERROR(__xludf.DUMMYFUNCTION("""COMPUTED_VALUE"""),"")</f>
        <v/>
      </c>
      <c r="M1473" s="16" t="str">
        <f>IFERROR(__xludf.DUMMYFUNCTION("""COMPUTED_VALUE"""),"")</f>
        <v/>
      </c>
      <c r="U1473" s="16" t="s">
        <v>87</v>
      </c>
      <c r="V1473" s="16" t="str">
        <f>IFERROR(__xludf.DUMMYFUNCTION("""COMPUTED_VALUE"""),"")</f>
        <v/>
      </c>
      <c r="W1473" s="16" t="str">
        <f>IFERROR(__xludf.DUMMYFUNCTION("""COMPUTED_VALUE"""),"")</f>
        <v/>
      </c>
      <c r="X1473" s="16" t="str">
        <f>IFERROR(__xludf.DUMMYFUNCTION("""COMPUTED_VALUE"""),"")</f>
        <v/>
      </c>
      <c r="AC1473" s="16" t="str">
        <f>IFERROR(__xludf.DUMMYFUNCTION("""COMPUTED_VALUE"""),"")</f>
        <v/>
      </c>
    </row>
    <row r="1474">
      <c r="A1474" s="16" t="s">
        <v>87</v>
      </c>
      <c r="E1474" s="16" t="str">
        <f>IFERROR(__xludf.DUMMYFUNCTION("""COMPUTED_VALUE"""),"")</f>
        <v/>
      </c>
      <c r="G1474" s="18"/>
      <c r="H1474" s="16" t="s">
        <v>87</v>
      </c>
      <c r="I1474" s="16" t="s">
        <v>87</v>
      </c>
      <c r="J1474" s="19"/>
      <c r="L1474" s="16" t="str">
        <f>IFERROR(__xludf.DUMMYFUNCTION("""COMPUTED_VALUE"""),"")</f>
        <v/>
      </c>
      <c r="M1474" s="16" t="str">
        <f>IFERROR(__xludf.DUMMYFUNCTION("""COMPUTED_VALUE"""),"")</f>
        <v/>
      </c>
      <c r="U1474" s="16" t="s">
        <v>87</v>
      </c>
      <c r="V1474" s="16" t="str">
        <f>IFERROR(__xludf.DUMMYFUNCTION("""COMPUTED_VALUE"""),"")</f>
        <v/>
      </c>
      <c r="W1474" s="16" t="str">
        <f>IFERROR(__xludf.DUMMYFUNCTION("""COMPUTED_VALUE"""),"")</f>
        <v/>
      </c>
      <c r="X1474" s="16" t="str">
        <f>IFERROR(__xludf.DUMMYFUNCTION("""COMPUTED_VALUE"""),"")</f>
        <v/>
      </c>
      <c r="AC1474" s="16" t="str">
        <f>IFERROR(__xludf.DUMMYFUNCTION("""COMPUTED_VALUE"""),"")</f>
        <v/>
      </c>
    </row>
    <row r="1475">
      <c r="A1475" s="16" t="s">
        <v>87</v>
      </c>
      <c r="E1475" s="16" t="str">
        <f>IFERROR(__xludf.DUMMYFUNCTION("""COMPUTED_VALUE"""),"")</f>
        <v/>
      </c>
      <c r="G1475" s="18"/>
      <c r="H1475" s="16" t="s">
        <v>87</v>
      </c>
      <c r="I1475" s="16" t="s">
        <v>87</v>
      </c>
      <c r="J1475" s="19"/>
      <c r="L1475" s="16" t="str">
        <f>IFERROR(__xludf.DUMMYFUNCTION("""COMPUTED_VALUE"""),"")</f>
        <v/>
      </c>
      <c r="M1475" s="16" t="str">
        <f>IFERROR(__xludf.DUMMYFUNCTION("""COMPUTED_VALUE"""),"")</f>
        <v/>
      </c>
      <c r="U1475" s="16" t="s">
        <v>87</v>
      </c>
      <c r="V1475" s="16" t="str">
        <f>IFERROR(__xludf.DUMMYFUNCTION("""COMPUTED_VALUE"""),"")</f>
        <v/>
      </c>
      <c r="W1475" s="16" t="str">
        <f>IFERROR(__xludf.DUMMYFUNCTION("""COMPUTED_VALUE"""),"")</f>
        <v/>
      </c>
      <c r="X1475" s="16" t="str">
        <f>IFERROR(__xludf.DUMMYFUNCTION("""COMPUTED_VALUE"""),"")</f>
        <v/>
      </c>
      <c r="AC1475" s="16" t="str">
        <f>IFERROR(__xludf.DUMMYFUNCTION("""COMPUTED_VALUE"""),"")</f>
        <v/>
      </c>
    </row>
    <row r="1476">
      <c r="A1476" s="16" t="s">
        <v>87</v>
      </c>
      <c r="E1476" s="16" t="str">
        <f>IFERROR(__xludf.DUMMYFUNCTION("""COMPUTED_VALUE"""),"")</f>
        <v/>
      </c>
      <c r="G1476" s="18"/>
      <c r="H1476" s="16" t="s">
        <v>87</v>
      </c>
      <c r="I1476" s="16" t="s">
        <v>87</v>
      </c>
      <c r="J1476" s="19"/>
      <c r="L1476" s="16" t="str">
        <f>IFERROR(__xludf.DUMMYFUNCTION("""COMPUTED_VALUE"""),"")</f>
        <v/>
      </c>
      <c r="M1476" s="16" t="str">
        <f>IFERROR(__xludf.DUMMYFUNCTION("""COMPUTED_VALUE"""),"")</f>
        <v/>
      </c>
      <c r="U1476" s="16" t="s">
        <v>87</v>
      </c>
      <c r="V1476" s="16" t="str">
        <f>IFERROR(__xludf.DUMMYFUNCTION("""COMPUTED_VALUE"""),"")</f>
        <v/>
      </c>
      <c r="W1476" s="16" t="str">
        <f>IFERROR(__xludf.DUMMYFUNCTION("""COMPUTED_VALUE"""),"")</f>
        <v/>
      </c>
      <c r="X1476" s="16" t="str">
        <f>IFERROR(__xludf.DUMMYFUNCTION("""COMPUTED_VALUE"""),"")</f>
        <v/>
      </c>
      <c r="AC1476" s="16" t="str">
        <f>IFERROR(__xludf.DUMMYFUNCTION("""COMPUTED_VALUE"""),"")</f>
        <v/>
      </c>
    </row>
    <row r="1477">
      <c r="A1477" s="16" t="s">
        <v>87</v>
      </c>
      <c r="E1477" s="16" t="str">
        <f>IFERROR(__xludf.DUMMYFUNCTION("""COMPUTED_VALUE"""),"")</f>
        <v/>
      </c>
      <c r="G1477" s="18"/>
      <c r="H1477" s="16" t="s">
        <v>87</v>
      </c>
      <c r="I1477" s="16" t="s">
        <v>87</v>
      </c>
      <c r="J1477" s="19"/>
      <c r="L1477" s="16" t="str">
        <f>IFERROR(__xludf.DUMMYFUNCTION("""COMPUTED_VALUE"""),"")</f>
        <v/>
      </c>
      <c r="M1477" s="16" t="str">
        <f>IFERROR(__xludf.DUMMYFUNCTION("""COMPUTED_VALUE"""),"")</f>
        <v/>
      </c>
      <c r="U1477" s="16" t="s">
        <v>87</v>
      </c>
      <c r="V1477" s="16" t="str">
        <f>IFERROR(__xludf.DUMMYFUNCTION("""COMPUTED_VALUE"""),"")</f>
        <v/>
      </c>
      <c r="W1477" s="16" t="str">
        <f>IFERROR(__xludf.DUMMYFUNCTION("""COMPUTED_VALUE"""),"")</f>
        <v/>
      </c>
      <c r="X1477" s="16" t="str">
        <f>IFERROR(__xludf.DUMMYFUNCTION("""COMPUTED_VALUE"""),"")</f>
        <v/>
      </c>
      <c r="AC1477" s="16" t="str">
        <f>IFERROR(__xludf.DUMMYFUNCTION("""COMPUTED_VALUE"""),"")</f>
        <v/>
      </c>
    </row>
    <row r="1478">
      <c r="A1478" s="16" t="s">
        <v>87</v>
      </c>
      <c r="E1478" s="16" t="str">
        <f>IFERROR(__xludf.DUMMYFUNCTION("""COMPUTED_VALUE"""),"")</f>
        <v/>
      </c>
      <c r="G1478" s="18"/>
      <c r="H1478" s="16" t="s">
        <v>87</v>
      </c>
      <c r="I1478" s="16" t="s">
        <v>87</v>
      </c>
      <c r="J1478" s="19"/>
      <c r="L1478" s="16" t="str">
        <f>IFERROR(__xludf.DUMMYFUNCTION("""COMPUTED_VALUE"""),"")</f>
        <v/>
      </c>
      <c r="M1478" s="16" t="str">
        <f>IFERROR(__xludf.DUMMYFUNCTION("""COMPUTED_VALUE"""),"")</f>
        <v/>
      </c>
      <c r="U1478" s="16" t="s">
        <v>87</v>
      </c>
      <c r="V1478" s="16" t="str">
        <f>IFERROR(__xludf.DUMMYFUNCTION("""COMPUTED_VALUE"""),"")</f>
        <v/>
      </c>
      <c r="W1478" s="16" t="str">
        <f>IFERROR(__xludf.DUMMYFUNCTION("""COMPUTED_VALUE"""),"")</f>
        <v/>
      </c>
      <c r="X1478" s="16" t="str">
        <f>IFERROR(__xludf.DUMMYFUNCTION("""COMPUTED_VALUE"""),"")</f>
        <v/>
      </c>
      <c r="AC1478" s="16" t="str">
        <f>IFERROR(__xludf.DUMMYFUNCTION("""COMPUTED_VALUE"""),"")</f>
        <v/>
      </c>
    </row>
    <row r="1479">
      <c r="A1479" s="16" t="s">
        <v>87</v>
      </c>
      <c r="E1479" s="16" t="str">
        <f>IFERROR(__xludf.DUMMYFUNCTION("""COMPUTED_VALUE"""),"")</f>
        <v/>
      </c>
      <c r="G1479" s="18"/>
      <c r="H1479" s="16" t="s">
        <v>87</v>
      </c>
      <c r="I1479" s="16" t="s">
        <v>87</v>
      </c>
      <c r="J1479" s="19"/>
      <c r="L1479" s="16" t="str">
        <f>IFERROR(__xludf.DUMMYFUNCTION("""COMPUTED_VALUE"""),"")</f>
        <v/>
      </c>
      <c r="M1479" s="16" t="str">
        <f>IFERROR(__xludf.DUMMYFUNCTION("""COMPUTED_VALUE"""),"")</f>
        <v/>
      </c>
      <c r="U1479" s="16" t="s">
        <v>87</v>
      </c>
      <c r="V1479" s="16" t="str">
        <f>IFERROR(__xludf.DUMMYFUNCTION("""COMPUTED_VALUE"""),"")</f>
        <v/>
      </c>
      <c r="W1479" s="16" t="str">
        <f>IFERROR(__xludf.DUMMYFUNCTION("""COMPUTED_VALUE"""),"")</f>
        <v/>
      </c>
      <c r="X1479" s="16" t="str">
        <f>IFERROR(__xludf.DUMMYFUNCTION("""COMPUTED_VALUE"""),"")</f>
        <v/>
      </c>
      <c r="AC1479" s="16" t="str">
        <f>IFERROR(__xludf.DUMMYFUNCTION("""COMPUTED_VALUE"""),"")</f>
        <v/>
      </c>
    </row>
    <row r="1480">
      <c r="A1480" s="16" t="s">
        <v>87</v>
      </c>
      <c r="E1480" s="16" t="str">
        <f>IFERROR(__xludf.DUMMYFUNCTION("""COMPUTED_VALUE"""),"")</f>
        <v/>
      </c>
      <c r="G1480" s="18"/>
      <c r="H1480" s="16" t="s">
        <v>87</v>
      </c>
      <c r="I1480" s="16" t="s">
        <v>87</v>
      </c>
      <c r="J1480" s="19"/>
      <c r="L1480" s="16" t="str">
        <f>IFERROR(__xludf.DUMMYFUNCTION("""COMPUTED_VALUE"""),"")</f>
        <v/>
      </c>
      <c r="M1480" s="16" t="str">
        <f>IFERROR(__xludf.DUMMYFUNCTION("""COMPUTED_VALUE"""),"")</f>
        <v/>
      </c>
      <c r="U1480" s="16" t="s">
        <v>87</v>
      </c>
      <c r="V1480" s="16" t="str">
        <f>IFERROR(__xludf.DUMMYFUNCTION("""COMPUTED_VALUE"""),"")</f>
        <v/>
      </c>
      <c r="W1480" s="16" t="str">
        <f>IFERROR(__xludf.DUMMYFUNCTION("""COMPUTED_VALUE"""),"")</f>
        <v/>
      </c>
      <c r="X1480" s="16" t="str">
        <f>IFERROR(__xludf.DUMMYFUNCTION("""COMPUTED_VALUE"""),"")</f>
        <v/>
      </c>
      <c r="AC1480" s="16" t="str">
        <f>IFERROR(__xludf.DUMMYFUNCTION("""COMPUTED_VALUE"""),"")</f>
        <v/>
      </c>
    </row>
    <row r="1481">
      <c r="A1481" s="16" t="s">
        <v>87</v>
      </c>
      <c r="E1481" s="16" t="str">
        <f>IFERROR(__xludf.DUMMYFUNCTION("""COMPUTED_VALUE"""),"")</f>
        <v/>
      </c>
      <c r="G1481" s="18"/>
      <c r="H1481" s="16" t="s">
        <v>87</v>
      </c>
      <c r="I1481" s="16" t="s">
        <v>87</v>
      </c>
      <c r="J1481" s="19"/>
      <c r="L1481" s="16" t="str">
        <f>IFERROR(__xludf.DUMMYFUNCTION("""COMPUTED_VALUE"""),"")</f>
        <v/>
      </c>
      <c r="M1481" s="16" t="str">
        <f>IFERROR(__xludf.DUMMYFUNCTION("""COMPUTED_VALUE"""),"")</f>
        <v/>
      </c>
      <c r="U1481" s="16" t="s">
        <v>87</v>
      </c>
      <c r="V1481" s="16" t="str">
        <f>IFERROR(__xludf.DUMMYFUNCTION("""COMPUTED_VALUE"""),"")</f>
        <v/>
      </c>
      <c r="W1481" s="16" t="str">
        <f>IFERROR(__xludf.DUMMYFUNCTION("""COMPUTED_VALUE"""),"")</f>
        <v/>
      </c>
      <c r="X1481" s="16" t="str">
        <f>IFERROR(__xludf.DUMMYFUNCTION("""COMPUTED_VALUE"""),"")</f>
        <v/>
      </c>
      <c r="AC1481" s="16" t="str">
        <f>IFERROR(__xludf.DUMMYFUNCTION("""COMPUTED_VALUE"""),"")</f>
        <v/>
      </c>
    </row>
    <row r="1482">
      <c r="A1482" s="16" t="s">
        <v>87</v>
      </c>
      <c r="E1482" s="16" t="str">
        <f>IFERROR(__xludf.DUMMYFUNCTION("""COMPUTED_VALUE"""),"")</f>
        <v/>
      </c>
      <c r="G1482" s="18"/>
      <c r="H1482" s="16" t="s">
        <v>87</v>
      </c>
      <c r="I1482" s="16" t="s">
        <v>87</v>
      </c>
      <c r="J1482" s="19"/>
      <c r="L1482" s="16" t="str">
        <f>IFERROR(__xludf.DUMMYFUNCTION("""COMPUTED_VALUE"""),"")</f>
        <v/>
      </c>
      <c r="M1482" s="16" t="str">
        <f>IFERROR(__xludf.DUMMYFUNCTION("""COMPUTED_VALUE"""),"")</f>
        <v/>
      </c>
      <c r="U1482" s="16" t="s">
        <v>87</v>
      </c>
      <c r="V1482" s="16" t="str">
        <f>IFERROR(__xludf.DUMMYFUNCTION("""COMPUTED_VALUE"""),"")</f>
        <v/>
      </c>
      <c r="W1482" s="16" t="str">
        <f>IFERROR(__xludf.DUMMYFUNCTION("""COMPUTED_VALUE"""),"")</f>
        <v/>
      </c>
      <c r="X1482" s="16" t="str">
        <f>IFERROR(__xludf.DUMMYFUNCTION("""COMPUTED_VALUE"""),"")</f>
        <v/>
      </c>
      <c r="AC1482" s="16" t="str">
        <f>IFERROR(__xludf.DUMMYFUNCTION("""COMPUTED_VALUE"""),"")</f>
        <v/>
      </c>
    </row>
    <row r="1483">
      <c r="A1483" s="16" t="s">
        <v>87</v>
      </c>
      <c r="E1483" s="16" t="str">
        <f>IFERROR(__xludf.DUMMYFUNCTION("""COMPUTED_VALUE"""),"")</f>
        <v/>
      </c>
      <c r="G1483" s="18"/>
      <c r="H1483" s="16" t="s">
        <v>87</v>
      </c>
      <c r="I1483" s="16" t="s">
        <v>87</v>
      </c>
      <c r="J1483" s="19"/>
      <c r="L1483" s="16" t="str">
        <f>IFERROR(__xludf.DUMMYFUNCTION("""COMPUTED_VALUE"""),"")</f>
        <v/>
      </c>
      <c r="M1483" s="16" t="str">
        <f>IFERROR(__xludf.DUMMYFUNCTION("""COMPUTED_VALUE"""),"")</f>
        <v/>
      </c>
      <c r="U1483" s="16" t="s">
        <v>87</v>
      </c>
      <c r="V1483" s="16" t="str">
        <f>IFERROR(__xludf.DUMMYFUNCTION("""COMPUTED_VALUE"""),"")</f>
        <v/>
      </c>
      <c r="W1483" s="16" t="str">
        <f>IFERROR(__xludf.DUMMYFUNCTION("""COMPUTED_VALUE"""),"")</f>
        <v/>
      </c>
      <c r="X1483" s="16" t="str">
        <f>IFERROR(__xludf.DUMMYFUNCTION("""COMPUTED_VALUE"""),"")</f>
        <v/>
      </c>
      <c r="AC1483" s="16" t="str">
        <f>IFERROR(__xludf.DUMMYFUNCTION("""COMPUTED_VALUE"""),"")</f>
        <v/>
      </c>
    </row>
    <row r="1484">
      <c r="A1484" s="16" t="s">
        <v>87</v>
      </c>
      <c r="E1484" s="16" t="str">
        <f>IFERROR(__xludf.DUMMYFUNCTION("""COMPUTED_VALUE"""),"")</f>
        <v/>
      </c>
      <c r="G1484" s="18"/>
      <c r="H1484" s="16" t="s">
        <v>87</v>
      </c>
      <c r="I1484" s="16" t="s">
        <v>87</v>
      </c>
      <c r="J1484" s="19"/>
      <c r="L1484" s="16" t="str">
        <f>IFERROR(__xludf.DUMMYFUNCTION("""COMPUTED_VALUE"""),"")</f>
        <v/>
      </c>
      <c r="M1484" s="16" t="str">
        <f>IFERROR(__xludf.DUMMYFUNCTION("""COMPUTED_VALUE"""),"")</f>
        <v/>
      </c>
      <c r="U1484" s="16" t="s">
        <v>87</v>
      </c>
      <c r="V1484" s="16" t="str">
        <f>IFERROR(__xludf.DUMMYFUNCTION("""COMPUTED_VALUE"""),"")</f>
        <v/>
      </c>
      <c r="W1484" s="16" t="str">
        <f>IFERROR(__xludf.DUMMYFUNCTION("""COMPUTED_VALUE"""),"")</f>
        <v/>
      </c>
      <c r="X1484" s="16" t="str">
        <f>IFERROR(__xludf.DUMMYFUNCTION("""COMPUTED_VALUE"""),"")</f>
        <v/>
      </c>
      <c r="AC1484" s="16" t="str">
        <f>IFERROR(__xludf.DUMMYFUNCTION("""COMPUTED_VALUE"""),"")</f>
        <v/>
      </c>
    </row>
    <row r="1485">
      <c r="A1485" s="16" t="s">
        <v>87</v>
      </c>
      <c r="E1485" s="16" t="str">
        <f>IFERROR(__xludf.DUMMYFUNCTION("""COMPUTED_VALUE"""),"")</f>
        <v/>
      </c>
      <c r="G1485" s="18"/>
      <c r="H1485" s="16" t="s">
        <v>87</v>
      </c>
      <c r="I1485" s="16" t="s">
        <v>87</v>
      </c>
      <c r="J1485" s="19"/>
      <c r="L1485" s="16" t="str">
        <f>IFERROR(__xludf.DUMMYFUNCTION("""COMPUTED_VALUE"""),"")</f>
        <v/>
      </c>
      <c r="M1485" s="16" t="str">
        <f>IFERROR(__xludf.DUMMYFUNCTION("""COMPUTED_VALUE"""),"")</f>
        <v/>
      </c>
      <c r="U1485" s="16" t="s">
        <v>87</v>
      </c>
      <c r="V1485" s="16" t="str">
        <f>IFERROR(__xludf.DUMMYFUNCTION("""COMPUTED_VALUE"""),"")</f>
        <v/>
      </c>
      <c r="W1485" s="16" t="str">
        <f>IFERROR(__xludf.DUMMYFUNCTION("""COMPUTED_VALUE"""),"")</f>
        <v/>
      </c>
      <c r="X1485" s="16" t="str">
        <f>IFERROR(__xludf.DUMMYFUNCTION("""COMPUTED_VALUE"""),"")</f>
        <v/>
      </c>
      <c r="AC1485" s="16" t="str">
        <f>IFERROR(__xludf.DUMMYFUNCTION("""COMPUTED_VALUE"""),"")</f>
        <v/>
      </c>
    </row>
    <row r="1486">
      <c r="A1486" s="16" t="s">
        <v>87</v>
      </c>
      <c r="E1486" s="16" t="str">
        <f>IFERROR(__xludf.DUMMYFUNCTION("""COMPUTED_VALUE"""),"")</f>
        <v/>
      </c>
      <c r="G1486" s="18"/>
      <c r="H1486" s="16" t="s">
        <v>87</v>
      </c>
      <c r="I1486" s="16" t="s">
        <v>87</v>
      </c>
      <c r="J1486" s="19"/>
      <c r="L1486" s="16" t="str">
        <f>IFERROR(__xludf.DUMMYFUNCTION("""COMPUTED_VALUE"""),"")</f>
        <v/>
      </c>
      <c r="M1486" s="16" t="str">
        <f>IFERROR(__xludf.DUMMYFUNCTION("""COMPUTED_VALUE"""),"")</f>
        <v/>
      </c>
      <c r="U1486" s="16" t="s">
        <v>87</v>
      </c>
      <c r="V1486" s="16" t="str">
        <f>IFERROR(__xludf.DUMMYFUNCTION("""COMPUTED_VALUE"""),"")</f>
        <v/>
      </c>
      <c r="W1486" s="16" t="str">
        <f>IFERROR(__xludf.DUMMYFUNCTION("""COMPUTED_VALUE"""),"")</f>
        <v/>
      </c>
      <c r="X1486" s="16" t="str">
        <f>IFERROR(__xludf.DUMMYFUNCTION("""COMPUTED_VALUE"""),"")</f>
        <v/>
      </c>
      <c r="AC1486" s="16" t="str">
        <f>IFERROR(__xludf.DUMMYFUNCTION("""COMPUTED_VALUE"""),"")</f>
        <v/>
      </c>
    </row>
    <row r="1487">
      <c r="A1487" s="16" t="s">
        <v>87</v>
      </c>
      <c r="E1487" s="16" t="str">
        <f>IFERROR(__xludf.DUMMYFUNCTION("""COMPUTED_VALUE"""),"")</f>
        <v/>
      </c>
      <c r="G1487" s="18"/>
      <c r="H1487" s="16" t="s">
        <v>87</v>
      </c>
      <c r="I1487" s="16" t="s">
        <v>87</v>
      </c>
      <c r="J1487" s="19"/>
      <c r="L1487" s="16" t="str">
        <f>IFERROR(__xludf.DUMMYFUNCTION("""COMPUTED_VALUE"""),"")</f>
        <v/>
      </c>
      <c r="M1487" s="16" t="str">
        <f>IFERROR(__xludf.DUMMYFUNCTION("""COMPUTED_VALUE"""),"")</f>
        <v/>
      </c>
      <c r="U1487" s="16" t="s">
        <v>87</v>
      </c>
      <c r="V1487" s="16" t="str">
        <f>IFERROR(__xludf.DUMMYFUNCTION("""COMPUTED_VALUE"""),"")</f>
        <v/>
      </c>
      <c r="W1487" s="16" t="str">
        <f>IFERROR(__xludf.DUMMYFUNCTION("""COMPUTED_VALUE"""),"")</f>
        <v/>
      </c>
      <c r="X1487" s="16" t="str">
        <f>IFERROR(__xludf.DUMMYFUNCTION("""COMPUTED_VALUE"""),"")</f>
        <v/>
      </c>
      <c r="AC1487" s="16" t="str">
        <f>IFERROR(__xludf.DUMMYFUNCTION("""COMPUTED_VALUE"""),"")</f>
        <v/>
      </c>
    </row>
    <row r="1488">
      <c r="A1488" s="16" t="s">
        <v>87</v>
      </c>
      <c r="E1488" s="16" t="str">
        <f>IFERROR(__xludf.DUMMYFUNCTION("""COMPUTED_VALUE"""),"")</f>
        <v/>
      </c>
      <c r="G1488" s="18"/>
      <c r="H1488" s="16" t="s">
        <v>87</v>
      </c>
      <c r="I1488" s="16" t="s">
        <v>87</v>
      </c>
      <c r="J1488" s="19"/>
      <c r="L1488" s="16" t="str">
        <f>IFERROR(__xludf.DUMMYFUNCTION("""COMPUTED_VALUE"""),"")</f>
        <v/>
      </c>
      <c r="M1488" s="16" t="str">
        <f>IFERROR(__xludf.DUMMYFUNCTION("""COMPUTED_VALUE"""),"")</f>
        <v/>
      </c>
      <c r="U1488" s="16" t="s">
        <v>87</v>
      </c>
      <c r="V1488" s="16" t="str">
        <f>IFERROR(__xludf.DUMMYFUNCTION("""COMPUTED_VALUE"""),"")</f>
        <v/>
      </c>
      <c r="W1488" s="16" t="str">
        <f>IFERROR(__xludf.DUMMYFUNCTION("""COMPUTED_VALUE"""),"")</f>
        <v/>
      </c>
      <c r="X1488" s="16" t="str">
        <f>IFERROR(__xludf.DUMMYFUNCTION("""COMPUTED_VALUE"""),"")</f>
        <v/>
      </c>
      <c r="AC1488" s="16" t="str">
        <f>IFERROR(__xludf.DUMMYFUNCTION("""COMPUTED_VALUE"""),"")</f>
        <v/>
      </c>
    </row>
    <row r="1489">
      <c r="A1489" s="16" t="s">
        <v>87</v>
      </c>
      <c r="E1489" s="16" t="str">
        <f>IFERROR(__xludf.DUMMYFUNCTION("""COMPUTED_VALUE"""),"")</f>
        <v/>
      </c>
      <c r="G1489" s="18"/>
      <c r="H1489" s="16" t="s">
        <v>87</v>
      </c>
      <c r="I1489" s="16" t="s">
        <v>87</v>
      </c>
      <c r="J1489" s="19"/>
      <c r="L1489" s="16" t="str">
        <f>IFERROR(__xludf.DUMMYFUNCTION("""COMPUTED_VALUE"""),"")</f>
        <v/>
      </c>
      <c r="M1489" s="16" t="str">
        <f>IFERROR(__xludf.DUMMYFUNCTION("""COMPUTED_VALUE"""),"")</f>
        <v/>
      </c>
      <c r="U1489" s="16" t="s">
        <v>87</v>
      </c>
      <c r="V1489" s="16" t="str">
        <f>IFERROR(__xludf.DUMMYFUNCTION("""COMPUTED_VALUE"""),"")</f>
        <v/>
      </c>
      <c r="W1489" s="16" t="str">
        <f>IFERROR(__xludf.DUMMYFUNCTION("""COMPUTED_VALUE"""),"")</f>
        <v/>
      </c>
      <c r="X1489" s="16" t="str">
        <f>IFERROR(__xludf.DUMMYFUNCTION("""COMPUTED_VALUE"""),"")</f>
        <v/>
      </c>
      <c r="AC1489" s="16" t="str">
        <f>IFERROR(__xludf.DUMMYFUNCTION("""COMPUTED_VALUE"""),"")</f>
        <v/>
      </c>
    </row>
    <row r="1490">
      <c r="A1490" s="16" t="s">
        <v>87</v>
      </c>
      <c r="E1490" s="16" t="str">
        <f>IFERROR(__xludf.DUMMYFUNCTION("""COMPUTED_VALUE"""),"")</f>
        <v/>
      </c>
      <c r="G1490" s="18"/>
      <c r="H1490" s="16" t="s">
        <v>87</v>
      </c>
      <c r="I1490" s="16" t="s">
        <v>87</v>
      </c>
      <c r="J1490" s="19"/>
      <c r="L1490" s="16" t="str">
        <f>IFERROR(__xludf.DUMMYFUNCTION("""COMPUTED_VALUE"""),"")</f>
        <v/>
      </c>
      <c r="M1490" s="16" t="str">
        <f>IFERROR(__xludf.DUMMYFUNCTION("""COMPUTED_VALUE"""),"")</f>
        <v/>
      </c>
      <c r="U1490" s="16" t="s">
        <v>87</v>
      </c>
      <c r="V1490" s="16" t="str">
        <f>IFERROR(__xludf.DUMMYFUNCTION("""COMPUTED_VALUE"""),"")</f>
        <v/>
      </c>
      <c r="W1490" s="16" t="str">
        <f>IFERROR(__xludf.DUMMYFUNCTION("""COMPUTED_VALUE"""),"")</f>
        <v/>
      </c>
      <c r="X1490" s="16" t="str">
        <f>IFERROR(__xludf.DUMMYFUNCTION("""COMPUTED_VALUE"""),"")</f>
        <v/>
      </c>
      <c r="AC1490" s="16" t="str">
        <f>IFERROR(__xludf.DUMMYFUNCTION("""COMPUTED_VALUE"""),"")</f>
        <v/>
      </c>
    </row>
    <row r="1491">
      <c r="A1491" s="16" t="s">
        <v>87</v>
      </c>
      <c r="E1491" s="16" t="str">
        <f>IFERROR(__xludf.DUMMYFUNCTION("""COMPUTED_VALUE"""),"")</f>
        <v/>
      </c>
      <c r="G1491" s="18"/>
      <c r="H1491" s="16" t="s">
        <v>87</v>
      </c>
      <c r="I1491" s="16" t="s">
        <v>87</v>
      </c>
      <c r="J1491" s="19"/>
      <c r="L1491" s="16" t="str">
        <f>IFERROR(__xludf.DUMMYFUNCTION("""COMPUTED_VALUE"""),"")</f>
        <v/>
      </c>
      <c r="M1491" s="16" t="str">
        <f>IFERROR(__xludf.DUMMYFUNCTION("""COMPUTED_VALUE"""),"")</f>
        <v/>
      </c>
      <c r="U1491" s="16" t="s">
        <v>87</v>
      </c>
      <c r="V1491" s="16" t="str">
        <f>IFERROR(__xludf.DUMMYFUNCTION("""COMPUTED_VALUE"""),"")</f>
        <v/>
      </c>
      <c r="W1491" s="16" t="str">
        <f>IFERROR(__xludf.DUMMYFUNCTION("""COMPUTED_VALUE"""),"")</f>
        <v/>
      </c>
      <c r="X1491" s="16" t="str">
        <f>IFERROR(__xludf.DUMMYFUNCTION("""COMPUTED_VALUE"""),"")</f>
        <v/>
      </c>
      <c r="AC1491" s="16" t="str">
        <f>IFERROR(__xludf.DUMMYFUNCTION("""COMPUTED_VALUE"""),"")</f>
        <v/>
      </c>
    </row>
    <row r="1492">
      <c r="A1492" s="16" t="s">
        <v>87</v>
      </c>
      <c r="E1492" s="16" t="str">
        <f>IFERROR(__xludf.DUMMYFUNCTION("""COMPUTED_VALUE"""),"")</f>
        <v/>
      </c>
      <c r="G1492" s="18"/>
      <c r="H1492" s="16" t="s">
        <v>87</v>
      </c>
      <c r="I1492" s="16" t="s">
        <v>87</v>
      </c>
      <c r="J1492" s="19"/>
      <c r="L1492" s="16" t="str">
        <f>IFERROR(__xludf.DUMMYFUNCTION("""COMPUTED_VALUE"""),"")</f>
        <v/>
      </c>
      <c r="M1492" s="16" t="str">
        <f>IFERROR(__xludf.DUMMYFUNCTION("""COMPUTED_VALUE"""),"")</f>
        <v/>
      </c>
      <c r="U1492" s="16" t="s">
        <v>87</v>
      </c>
      <c r="V1492" s="16" t="str">
        <f>IFERROR(__xludf.DUMMYFUNCTION("""COMPUTED_VALUE"""),"")</f>
        <v/>
      </c>
      <c r="W1492" s="16" t="str">
        <f>IFERROR(__xludf.DUMMYFUNCTION("""COMPUTED_VALUE"""),"")</f>
        <v/>
      </c>
      <c r="X1492" s="16" t="str">
        <f>IFERROR(__xludf.DUMMYFUNCTION("""COMPUTED_VALUE"""),"")</f>
        <v/>
      </c>
      <c r="AC1492" s="16" t="str">
        <f>IFERROR(__xludf.DUMMYFUNCTION("""COMPUTED_VALUE"""),"")</f>
        <v/>
      </c>
    </row>
    <row r="1493">
      <c r="A1493" s="16" t="s">
        <v>87</v>
      </c>
      <c r="E1493" s="16" t="str">
        <f>IFERROR(__xludf.DUMMYFUNCTION("""COMPUTED_VALUE"""),"")</f>
        <v/>
      </c>
      <c r="G1493" s="18"/>
      <c r="H1493" s="16" t="s">
        <v>87</v>
      </c>
      <c r="I1493" s="16" t="s">
        <v>87</v>
      </c>
      <c r="J1493" s="19"/>
      <c r="L1493" s="16" t="str">
        <f>IFERROR(__xludf.DUMMYFUNCTION("""COMPUTED_VALUE"""),"")</f>
        <v/>
      </c>
      <c r="M1493" s="16" t="str">
        <f>IFERROR(__xludf.DUMMYFUNCTION("""COMPUTED_VALUE"""),"")</f>
        <v/>
      </c>
      <c r="U1493" s="16" t="s">
        <v>87</v>
      </c>
      <c r="V1493" s="16" t="str">
        <f>IFERROR(__xludf.DUMMYFUNCTION("""COMPUTED_VALUE"""),"")</f>
        <v/>
      </c>
      <c r="W1493" s="16" t="str">
        <f>IFERROR(__xludf.DUMMYFUNCTION("""COMPUTED_VALUE"""),"")</f>
        <v/>
      </c>
      <c r="X1493" s="16" t="str">
        <f>IFERROR(__xludf.DUMMYFUNCTION("""COMPUTED_VALUE"""),"")</f>
        <v/>
      </c>
      <c r="AC1493" s="16" t="str">
        <f>IFERROR(__xludf.DUMMYFUNCTION("""COMPUTED_VALUE"""),"")</f>
        <v/>
      </c>
    </row>
    <row r="1494">
      <c r="A1494" s="16" t="s">
        <v>87</v>
      </c>
      <c r="E1494" s="16" t="str">
        <f>IFERROR(__xludf.DUMMYFUNCTION("""COMPUTED_VALUE"""),"")</f>
        <v/>
      </c>
      <c r="G1494" s="18"/>
      <c r="H1494" s="16" t="s">
        <v>87</v>
      </c>
      <c r="I1494" s="16" t="s">
        <v>87</v>
      </c>
      <c r="J1494" s="19"/>
      <c r="L1494" s="16" t="str">
        <f>IFERROR(__xludf.DUMMYFUNCTION("""COMPUTED_VALUE"""),"")</f>
        <v/>
      </c>
      <c r="M1494" s="16" t="str">
        <f>IFERROR(__xludf.DUMMYFUNCTION("""COMPUTED_VALUE"""),"")</f>
        <v/>
      </c>
      <c r="U1494" s="16" t="s">
        <v>87</v>
      </c>
      <c r="V1494" s="16" t="str">
        <f>IFERROR(__xludf.DUMMYFUNCTION("""COMPUTED_VALUE"""),"")</f>
        <v/>
      </c>
      <c r="W1494" s="16" t="str">
        <f>IFERROR(__xludf.DUMMYFUNCTION("""COMPUTED_VALUE"""),"")</f>
        <v/>
      </c>
      <c r="X1494" s="16" t="str">
        <f>IFERROR(__xludf.DUMMYFUNCTION("""COMPUTED_VALUE"""),"")</f>
        <v/>
      </c>
      <c r="AC1494" s="16" t="str">
        <f>IFERROR(__xludf.DUMMYFUNCTION("""COMPUTED_VALUE"""),"")</f>
        <v/>
      </c>
    </row>
    <row r="1495">
      <c r="A1495" s="16" t="s">
        <v>87</v>
      </c>
      <c r="E1495" s="16" t="str">
        <f>IFERROR(__xludf.DUMMYFUNCTION("""COMPUTED_VALUE"""),"")</f>
        <v/>
      </c>
      <c r="G1495" s="18"/>
      <c r="H1495" s="16" t="s">
        <v>87</v>
      </c>
      <c r="I1495" s="16" t="s">
        <v>87</v>
      </c>
      <c r="J1495" s="19"/>
      <c r="L1495" s="16" t="str">
        <f>IFERROR(__xludf.DUMMYFUNCTION("""COMPUTED_VALUE"""),"")</f>
        <v/>
      </c>
      <c r="M1495" s="16" t="str">
        <f>IFERROR(__xludf.DUMMYFUNCTION("""COMPUTED_VALUE"""),"")</f>
        <v/>
      </c>
      <c r="U1495" s="16" t="s">
        <v>87</v>
      </c>
      <c r="V1495" s="16" t="str">
        <f>IFERROR(__xludf.DUMMYFUNCTION("""COMPUTED_VALUE"""),"")</f>
        <v/>
      </c>
      <c r="W1495" s="16" t="str">
        <f>IFERROR(__xludf.DUMMYFUNCTION("""COMPUTED_VALUE"""),"")</f>
        <v/>
      </c>
      <c r="X1495" s="16" t="str">
        <f>IFERROR(__xludf.DUMMYFUNCTION("""COMPUTED_VALUE"""),"")</f>
        <v/>
      </c>
      <c r="AC1495" s="16" t="str">
        <f>IFERROR(__xludf.DUMMYFUNCTION("""COMPUTED_VALUE"""),"")</f>
        <v/>
      </c>
    </row>
    <row r="1496">
      <c r="A1496" s="16" t="s">
        <v>87</v>
      </c>
      <c r="E1496" s="16" t="str">
        <f>IFERROR(__xludf.DUMMYFUNCTION("""COMPUTED_VALUE"""),"")</f>
        <v/>
      </c>
      <c r="G1496" s="18"/>
      <c r="H1496" s="16" t="s">
        <v>87</v>
      </c>
      <c r="I1496" s="16" t="s">
        <v>87</v>
      </c>
      <c r="J1496" s="19"/>
      <c r="L1496" s="16" t="str">
        <f>IFERROR(__xludf.DUMMYFUNCTION("""COMPUTED_VALUE"""),"")</f>
        <v/>
      </c>
      <c r="M1496" s="16" t="str">
        <f>IFERROR(__xludf.DUMMYFUNCTION("""COMPUTED_VALUE"""),"")</f>
        <v/>
      </c>
      <c r="U1496" s="16" t="s">
        <v>87</v>
      </c>
      <c r="V1496" s="16" t="str">
        <f>IFERROR(__xludf.DUMMYFUNCTION("""COMPUTED_VALUE"""),"")</f>
        <v/>
      </c>
      <c r="W1496" s="16" t="str">
        <f>IFERROR(__xludf.DUMMYFUNCTION("""COMPUTED_VALUE"""),"")</f>
        <v/>
      </c>
      <c r="X1496" s="16" t="str">
        <f>IFERROR(__xludf.DUMMYFUNCTION("""COMPUTED_VALUE"""),"")</f>
        <v/>
      </c>
      <c r="AC1496" s="16" t="str">
        <f>IFERROR(__xludf.DUMMYFUNCTION("""COMPUTED_VALUE"""),"")</f>
        <v/>
      </c>
    </row>
    <row r="1497">
      <c r="A1497" s="16" t="s">
        <v>87</v>
      </c>
      <c r="E1497" s="16" t="str">
        <f>IFERROR(__xludf.DUMMYFUNCTION("""COMPUTED_VALUE"""),"")</f>
        <v/>
      </c>
      <c r="G1497" s="18"/>
      <c r="H1497" s="16" t="s">
        <v>87</v>
      </c>
      <c r="I1497" s="16" t="s">
        <v>87</v>
      </c>
      <c r="J1497" s="19"/>
      <c r="L1497" s="16" t="str">
        <f>IFERROR(__xludf.DUMMYFUNCTION("""COMPUTED_VALUE"""),"")</f>
        <v/>
      </c>
      <c r="M1497" s="16" t="str">
        <f>IFERROR(__xludf.DUMMYFUNCTION("""COMPUTED_VALUE"""),"")</f>
        <v/>
      </c>
      <c r="U1497" s="16" t="s">
        <v>87</v>
      </c>
      <c r="V1497" s="16" t="str">
        <f>IFERROR(__xludf.DUMMYFUNCTION("""COMPUTED_VALUE"""),"")</f>
        <v/>
      </c>
      <c r="W1497" s="16" t="str">
        <f>IFERROR(__xludf.DUMMYFUNCTION("""COMPUTED_VALUE"""),"")</f>
        <v/>
      </c>
      <c r="X1497" s="16" t="str">
        <f>IFERROR(__xludf.DUMMYFUNCTION("""COMPUTED_VALUE"""),"")</f>
        <v/>
      </c>
      <c r="AC1497" s="16" t="str">
        <f>IFERROR(__xludf.DUMMYFUNCTION("""COMPUTED_VALUE"""),"")</f>
        <v/>
      </c>
    </row>
    <row r="1498">
      <c r="A1498" s="16" t="s">
        <v>87</v>
      </c>
      <c r="E1498" s="16" t="str">
        <f>IFERROR(__xludf.DUMMYFUNCTION("""COMPUTED_VALUE"""),"")</f>
        <v/>
      </c>
      <c r="G1498" s="18"/>
      <c r="H1498" s="16" t="s">
        <v>87</v>
      </c>
      <c r="I1498" s="16" t="s">
        <v>87</v>
      </c>
      <c r="J1498" s="19"/>
      <c r="L1498" s="16" t="str">
        <f>IFERROR(__xludf.DUMMYFUNCTION("""COMPUTED_VALUE"""),"")</f>
        <v/>
      </c>
      <c r="M1498" s="16" t="str">
        <f>IFERROR(__xludf.DUMMYFUNCTION("""COMPUTED_VALUE"""),"")</f>
        <v/>
      </c>
      <c r="U1498" s="16" t="s">
        <v>87</v>
      </c>
      <c r="V1498" s="16" t="str">
        <f>IFERROR(__xludf.DUMMYFUNCTION("""COMPUTED_VALUE"""),"")</f>
        <v/>
      </c>
      <c r="W1498" s="16" t="str">
        <f>IFERROR(__xludf.DUMMYFUNCTION("""COMPUTED_VALUE"""),"")</f>
        <v/>
      </c>
      <c r="X1498" s="16" t="str">
        <f>IFERROR(__xludf.DUMMYFUNCTION("""COMPUTED_VALUE"""),"")</f>
        <v/>
      </c>
      <c r="AC1498" s="16" t="str">
        <f>IFERROR(__xludf.DUMMYFUNCTION("""COMPUTED_VALUE"""),"")</f>
        <v/>
      </c>
    </row>
    <row r="1499">
      <c r="A1499" s="16" t="s">
        <v>87</v>
      </c>
      <c r="E1499" s="16" t="str">
        <f>IFERROR(__xludf.DUMMYFUNCTION("""COMPUTED_VALUE"""),"")</f>
        <v/>
      </c>
      <c r="G1499" s="18"/>
      <c r="H1499" s="16" t="s">
        <v>87</v>
      </c>
      <c r="I1499" s="16" t="s">
        <v>87</v>
      </c>
      <c r="J1499" s="19"/>
      <c r="L1499" s="16" t="str">
        <f>IFERROR(__xludf.DUMMYFUNCTION("""COMPUTED_VALUE"""),"")</f>
        <v/>
      </c>
      <c r="M1499" s="16" t="str">
        <f>IFERROR(__xludf.DUMMYFUNCTION("""COMPUTED_VALUE"""),"")</f>
        <v/>
      </c>
      <c r="U1499" s="16" t="s">
        <v>87</v>
      </c>
      <c r="V1499" s="16" t="str">
        <f>IFERROR(__xludf.DUMMYFUNCTION("""COMPUTED_VALUE"""),"")</f>
        <v/>
      </c>
      <c r="W1499" s="16" t="str">
        <f>IFERROR(__xludf.DUMMYFUNCTION("""COMPUTED_VALUE"""),"")</f>
        <v/>
      </c>
      <c r="X1499" s="16" t="str">
        <f>IFERROR(__xludf.DUMMYFUNCTION("""COMPUTED_VALUE"""),"")</f>
        <v/>
      </c>
      <c r="AC1499" s="16" t="str">
        <f>IFERROR(__xludf.DUMMYFUNCTION("""COMPUTED_VALUE"""),"")</f>
        <v/>
      </c>
    </row>
    <row r="1500">
      <c r="A1500" s="16" t="s">
        <v>87</v>
      </c>
      <c r="E1500" s="16" t="str">
        <f>IFERROR(__xludf.DUMMYFUNCTION("""COMPUTED_VALUE"""),"")</f>
        <v/>
      </c>
      <c r="G1500" s="18"/>
      <c r="H1500" s="16" t="s">
        <v>87</v>
      </c>
      <c r="I1500" s="16" t="s">
        <v>87</v>
      </c>
      <c r="J1500" s="19"/>
      <c r="L1500" s="16" t="str">
        <f>IFERROR(__xludf.DUMMYFUNCTION("""COMPUTED_VALUE"""),"")</f>
        <v/>
      </c>
      <c r="M1500" s="16" t="str">
        <f>IFERROR(__xludf.DUMMYFUNCTION("""COMPUTED_VALUE"""),"")</f>
        <v/>
      </c>
      <c r="U1500" s="16" t="s">
        <v>87</v>
      </c>
      <c r="V1500" s="16" t="str">
        <f>IFERROR(__xludf.DUMMYFUNCTION("""COMPUTED_VALUE"""),"")</f>
        <v/>
      </c>
      <c r="W1500" s="16" t="str">
        <f>IFERROR(__xludf.DUMMYFUNCTION("""COMPUTED_VALUE"""),"")</f>
        <v/>
      </c>
      <c r="X1500" s="16" t="str">
        <f>IFERROR(__xludf.DUMMYFUNCTION("""COMPUTED_VALUE"""),"")</f>
        <v/>
      </c>
      <c r="AC1500" s="16" t="str">
        <f>IFERROR(__xludf.DUMMYFUNCTION("""COMPUTED_VALUE"""),"")</f>
        <v/>
      </c>
    </row>
    <row r="1501">
      <c r="A1501" s="16" t="s">
        <v>87</v>
      </c>
      <c r="E1501" s="16" t="str">
        <f>IFERROR(__xludf.DUMMYFUNCTION("""COMPUTED_VALUE"""),"")</f>
        <v/>
      </c>
      <c r="G1501" s="18"/>
      <c r="H1501" s="16" t="s">
        <v>87</v>
      </c>
      <c r="I1501" s="16" t="s">
        <v>87</v>
      </c>
      <c r="J1501" s="19"/>
      <c r="L1501" s="16" t="str">
        <f>IFERROR(__xludf.DUMMYFUNCTION("""COMPUTED_VALUE"""),"")</f>
        <v/>
      </c>
      <c r="M1501" s="16" t="str">
        <f>IFERROR(__xludf.DUMMYFUNCTION("""COMPUTED_VALUE"""),"")</f>
        <v/>
      </c>
      <c r="U1501" s="16" t="s">
        <v>87</v>
      </c>
      <c r="V1501" s="16" t="str">
        <f>IFERROR(__xludf.DUMMYFUNCTION("""COMPUTED_VALUE"""),"")</f>
        <v/>
      </c>
      <c r="W1501" s="16" t="str">
        <f>IFERROR(__xludf.DUMMYFUNCTION("""COMPUTED_VALUE"""),"")</f>
        <v/>
      </c>
      <c r="X1501" s="16" t="str">
        <f>IFERROR(__xludf.DUMMYFUNCTION("""COMPUTED_VALUE"""),"")</f>
        <v/>
      </c>
      <c r="AC1501" s="16" t="str">
        <f>IFERROR(__xludf.DUMMYFUNCTION("""COMPUTED_VALUE"""),"")</f>
        <v/>
      </c>
    </row>
    <row r="1502">
      <c r="A1502" s="16" t="s">
        <v>87</v>
      </c>
      <c r="E1502" s="16" t="str">
        <f>IFERROR(__xludf.DUMMYFUNCTION("""COMPUTED_VALUE"""),"")</f>
        <v/>
      </c>
      <c r="G1502" s="18"/>
      <c r="H1502" s="16" t="s">
        <v>87</v>
      </c>
      <c r="I1502" s="16" t="s">
        <v>87</v>
      </c>
      <c r="J1502" s="19"/>
      <c r="L1502" s="16" t="str">
        <f>IFERROR(__xludf.DUMMYFUNCTION("""COMPUTED_VALUE"""),"")</f>
        <v/>
      </c>
      <c r="M1502" s="16" t="str">
        <f>IFERROR(__xludf.DUMMYFUNCTION("""COMPUTED_VALUE"""),"")</f>
        <v/>
      </c>
      <c r="U1502" s="16" t="s">
        <v>87</v>
      </c>
      <c r="V1502" s="16" t="str">
        <f>IFERROR(__xludf.DUMMYFUNCTION("""COMPUTED_VALUE"""),"")</f>
        <v/>
      </c>
      <c r="W1502" s="16" t="str">
        <f>IFERROR(__xludf.DUMMYFUNCTION("""COMPUTED_VALUE"""),"")</f>
        <v/>
      </c>
      <c r="X1502" s="16" t="str">
        <f>IFERROR(__xludf.DUMMYFUNCTION("""COMPUTED_VALUE"""),"")</f>
        <v/>
      </c>
      <c r="AC1502" s="16" t="str">
        <f>IFERROR(__xludf.DUMMYFUNCTION("""COMPUTED_VALUE"""),"")</f>
        <v/>
      </c>
    </row>
    <row r="1503">
      <c r="A1503" s="16" t="s">
        <v>87</v>
      </c>
      <c r="E1503" s="16" t="str">
        <f>IFERROR(__xludf.DUMMYFUNCTION("""COMPUTED_VALUE"""),"")</f>
        <v/>
      </c>
      <c r="G1503" s="18"/>
      <c r="H1503" s="16" t="s">
        <v>87</v>
      </c>
      <c r="I1503" s="16" t="s">
        <v>87</v>
      </c>
      <c r="J1503" s="19"/>
      <c r="L1503" s="16" t="str">
        <f>IFERROR(__xludf.DUMMYFUNCTION("""COMPUTED_VALUE"""),"")</f>
        <v/>
      </c>
      <c r="M1503" s="16" t="str">
        <f>IFERROR(__xludf.DUMMYFUNCTION("""COMPUTED_VALUE"""),"")</f>
        <v/>
      </c>
      <c r="U1503" s="16" t="s">
        <v>87</v>
      </c>
      <c r="V1503" s="16" t="str">
        <f>IFERROR(__xludf.DUMMYFUNCTION("""COMPUTED_VALUE"""),"")</f>
        <v/>
      </c>
      <c r="W1503" s="16" t="str">
        <f>IFERROR(__xludf.DUMMYFUNCTION("""COMPUTED_VALUE"""),"")</f>
        <v/>
      </c>
      <c r="X1503" s="16" t="str">
        <f>IFERROR(__xludf.DUMMYFUNCTION("""COMPUTED_VALUE"""),"")</f>
        <v/>
      </c>
      <c r="AC1503" s="16" t="str">
        <f>IFERROR(__xludf.DUMMYFUNCTION("""COMPUTED_VALUE"""),"")</f>
        <v/>
      </c>
    </row>
    <row r="1504">
      <c r="A1504" s="16" t="s">
        <v>87</v>
      </c>
      <c r="E1504" s="16" t="str">
        <f>IFERROR(__xludf.DUMMYFUNCTION("""COMPUTED_VALUE"""),"")</f>
        <v/>
      </c>
      <c r="G1504" s="18"/>
      <c r="H1504" s="16" t="s">
        <v>87</v>
      </c>
      <c r="I1504" s="16" t="s">
        <v>87</v>
      </c>
      <c r="J1504" s="19"/>
      <c r="L1504" s="16" t="str">
        <f>IFERROR(__xludf.DUMMYFUNCTION("""COMPUTED_VALUE"""),"")</f>
        <v/>
      </c>
      <c r="M1504" s="16" t="str">
        <f>IFERROR(__xludf.DUMMYFUNCTION("""COMPUTED_VALUE"""),"")</f>
        <v/>
      </c>
      <c r="U1504" s="16" t="s">
        <v>87</v>
      </c>
      <c r="V1504" s="16" t="str">
        <f>IFERROR(__xludf.DUMMYFUNCTION("""COMPUTED_VALUE"""),"")</f>
        <v/>
      </c>
      <c r="W1504" s="16" t="str">
        <f>IFERROR(__xludf.DUMMYFUNCTION("""COMPUTED_VALUE"""),"")</f>
        <v/>
      </c>
      <c r="X1504" s="16" t="str">
        <f>IFERROR(__xludf.DUMMYFUNCTION("""COMPUTED_VALUE"""),"")</f>
        <v/>
      </c>
      <c r="AC1504" s="16" t="str">
        <f>IFERROR(__xludf.DUMMYFUNCTION("""COMPUTED_VALUE"""),"")</f>
        <v/>
      </c>
    </row>
    <row r="1505">
      <c r="A1505" s="16" t="s">
        <v>87</v>
      </c>
      <c r="E1505" s="16" t="str">
        <f>IFERROR(__xludf.DUMMYFUNCTION("""COMPUTED_VALUE"""),"")</f>
        <v/>
      </c>
      <c r="G1505" s="18"/>
      <c r="H1505" s="16" t="s">
        <v>87</v>
      </c>
      <c r="I1505" s="16" t="s">
        <v>87</v>
      </c>
      <c r="J1505" s="19"/>
      <c r="L1505" s="16" t="str">
        <f>IFERROR(__xludf.DUMMYFUNCTION("""COMPUTED_VALUE"""),"")</f>
        <v/>
      </c>
      <c r="M1505" s="16" t="str">
        <f>IFERROR(__xludf.DUMMYFUNCTION("""COMPUTED_VALUE"""),"")</f>
        <v/>
      </c>
      <c r="U1505" s="16" t="s">
        <v>87</v>
      </c>
      <c r="V1505" s="16" t="str">
        <f>IFERROR(__xludf.DUMMYFUNCTION("""COMPUTED_VALUE"""),"")</f>
        <v/>
      </c>
      <c r="W1505" s="16" t="str">
        <f>IFERROR(__xludf.DUMMYFUNCTION("""COMPUTED_VALUE"""),"")</f>
        <v/>
      </c>
      <c r="X1505" s="16" t="str">
        <f>IFERROR(__xludf.DUMMYFUNCTION("""COMPUTED_VALUE"""),"")</f>
        <v/>
      </c>
      <c r="AC1505" s="16" t="str">
        <f>IFERROR(__xludf.DUMMYFUNCTION("""COMPUTED_VALUE"""),"")</f>
        <v/>
      </c>
    </row>
    <row r="1506">
      <c r="A1506" s="16" t="s">
        <v>87</v>
      </c>
      <c r="E1506" s="16" t="str">
        <f>IFERROR(__xludf.DUMMYFUNCTION("""COMPUTED_VALUE"""),"")</f>
        <v/>
      </c>
      <c r="G1506" s="18"/>
      <c r="H1506" s="16" t="s">
        <v>87</v>
      </c>
      <c r="I1506" s="16" t="s">
        <v>87</v>
      </c>
      <c r="J1506" s="19"/>
      <c r="L1506" s="16" t="str">
        <f>IFERROR(__xludf.DUMMYFUNCTION("""COMPUTED_VALUE"""),"")</f>
        <v/>
      </c>
      <c r="M1506" s="16" t="str">
        <f>IFERROR(__xludf.DUMMYFUNCTION("""COMPUTED_VALUE"""),"")</f>
        <v/>
      </c>
      <c r="U1506" s="16" t="s">
        <v>87</v>
      </c>
      <c r="V1506" s="16" t="str">
        <f>IFERROR(__xludf.DUMMYFUNCTION("""COMPUTED_VALUE"""),"")</f>
        <v/>
      </c>
      <c r="W1506" s="16" t="str">
        <f>IFERROR(__xludf.DUMMYFUNCTION("""COMPUTED_VALUE"""),"")</f>
        <v/>
      </c>
      <c r="X1506" s="16" t="str">
        <f>IFERROR(__xludf.DUMMYFUNCTION("""COMPUTED_VALUE"""),"")</f>
        <v/>
      </c>
      <c r="AC1506" s="16" t="str">
        <f>IFERROR(__xludf.DUMMYFUNCTION("""COMPUTED_VALUE"""),"")</f>
        <v/>
      </c>
    </row>
    <row r="1507">
      <c r="A1507" s="16" t="s">
        <v>87</v>
      </c>
      <c r="E1507" s="16" t="str">
        <f>IFERROR(__xludf.DUMMYFUNCTION("""COMPUTED_VALUE"""),"")</f>
        <v/>
      </c>
      <c r="G1507" s="18"/>
      <c r="H1507" s="16" t="s">
        <v>87</v>
      </c>
      <c r="I1507" s="16" t="s">
        <v>87</v>
      </c>
      <c r="J1507" s="19"/>
      <c r="L1507" s="16" t="str">
        <f>IFERROR(__xludf.DUMMYFUNCTION("""COMPUTED_VALUE"""),"")</f>
        <v/>
      </c>
      <c r="M1507" s="16" t="str">
        <f>IFERROR(__xludf.DUMMYFUNCTION("""COMPUTED_VALUE"""),"")</f>
        <v/>
      </c>
      <c r="U1507" s="16" t="s">
        <v>87</v>
      </c>
      <c r="V1507" s="16" t="str">
        <f>IFERROR(__xludf.DUMMYFUNCTION("""COMPUTED_VALUE"""),"")</f>
        <v/>
      </c>
      <c r="W1507" s="16" t="str">
        <f>IFERROR(__xludf.DUMMYFUNCTION("""COMPUTED_VALUE"""),"")</f>
        <v/>
      </c>
      <c r="X1507" s="16" t="str">
        <f>IFERROR(__xludf.DUMMYFUNCTION("""COMPUTED_VALUE"""),"")</f>
        <v/>
      </c>
      <c r="AC1507" s="16" t="str">
        <f>IFERROR(__xludf.DUMMYFUNCTION("""COMPUTED_VALUE"""),"")</f>
        <v/>
      </c>
    </row>
    <row r="1508">
      <c r="A1508" s="16" t="s">
        <v>87</v>
      </c>
      <c r="E1508" s="16" t="str">
        <f>IFERROR(__xludf.DUMMYFUNCTION("""COMPUTED_VALUE"""),"")</f>
        <v/>
      </c>
      <c r="G1508" s="18"/>
      <c r="H1508" s="16" t="s">
        <v>87</v>
      </c>
      <c r="I1508" s="16" t="s">
        <v>87</v>
      </c>
      <c r="J1508" s="19"/>
      <c r="L1508" s="16" t="str">
        <f>IFERROR(__xludf.DUMMYFUNCTION("""COMPUTED_VALUE"""),"")</f>
        <v/>
      </c>
      <c r="M1508" s="16" t="str">
        <f>IFERROR(__xludf.DUMMYFUNCTION("""COMPUTED_VALUE"""),"")</f>
        <v/>
      </c>
      <c r="U1508" s="16" t="s">
        <v>87</v>
      </c>
      <c r="V1508" s="16" t="str">
        <f>IFERROR(__xludf.DUMMYFUNCTION("""COMPUTED_VALUE"""),"")</f>
        <v/>
      </c>
      <c r="W1508" s="16" t="str">
        <f>IFERROR(__xludf.DUMMYFUNCTION("""COMPUTED_VALUE"""),"")</f>
        <v/>
      </c>
      <c r="X1508" s="16" t="str">
        <f>IFERROR(__xludf.DUMMYFUNCTION("""COMPUTED_VALUE"""),"")</f>
        <v/>
      </c>
      <c r="AC1508" s="16" t="str">
        <f>IFERROR(__xludf.DUMMYFUNCTION("""COMPUTED_VALUE"""),"")</f>
        <v/>
      </c>
    </row>
    <row r="1509">
      <c r="A1509" s="16" t="s">
        <v>87</v>
      </c>
      <c r="E1509" s="16" t="str">
        <f>IFERROR(__xludf.DUMMYFUNCTION("""COMPUTED_VALUE"""),"")</f>
        <v/>
      </c>
      <c r="G1509" s="18"/>
      <c r="H1509" s="16" t="s">
        <v>87</v>
      </c>
      <c r="I1509" s="16" t="s">
        <v>87</v>
      </c>
      <c r="J1509" s="19"/>
      <c r="L1509" s="16" t="str">
        <f>IFERROR(__xludf.DUMMYFUNCTION("""COMPUTED_VALUE"""),"")</f>
        <v/>
      </c>
      <c r="M1509" s="16" t="str">
        <f>IFERROR(__xludf.DUMMYFUNCTION("""COMPUTED_VALUE"""),"")</f>
        <v/>
      </c>
      <c r="U1509" s="16" t="s">
        <v>87</v>
      </c>
      <c r="V1509" s="16" t="str">
        <f>IFERROR(__xludf.DUMMYFUNCTION("""COMPUTED_VALUE"""),"")</f>
        <v/>
      </c>
      <c r="W1509" s="16" t="str">
        <f>IFERROR(__xludf.DUMMYFUNCTION("""COMPUTED_VALUE"""),"")</f>
        <v/>
      </c>
      <c r="X1509" s="16" t="str">
        <f>IFERROR(__xludf.DUMMYFUNCTION("""COMPUTED_VALUE"""),"")</f>
        <v/>
      </c>
      <c r="AC1509" s="16" t="str">
        <f>IFERROR(__xludf.DUMMYFUNCTION("""COMPUTED_VALUE"""),"")</f>
        <v/>
      </c>
    </row>
    <row r="1510">
      <c r="A1510" s="16" t="s">
        <v>87</v>
      </c>
      <c r="E1510" s="16" t="str">
        <f>IFERROR(__xludf.DUMMYFUNCTION("""COMPUTED_VALUE"""),"")</f>
        <v/>
      </c>
      <c r="G1510" s="18"/>
      <c r="H1510" s="16" t="s">
        <v>87</v>
      </c>
      <c r="I1510" s="16" t="s">
        <v>87</v>
      </c>
      <c r="J1510" s="19"/>
      <c r="L1510" s="16" t="str">
        <f>IFERROR(__xludf.DUMMYFUNCTION("""COMPUTED_VALUE"""),"")</f>
        <v/>
      </c>
      <c r="M1510" s="16" t="str">
        <f>IFERROR(__xludf.DUMMYFUNCTION("""COMPUTED_VALUE"""),"")</f>
        <v/>
      </c>
      <c r="U1510" s="16" t="s">
        <v>87</v>
      </c>
      <c r="V1510" s="16" t="str">
        <f>IFERROR(__xludf.DUMMYFUNCTION("""COMPUTED_VALUE"""),"")</f>
        <v/>
      </c>
      <c r="W1510" s="16" t="str">
        <f>IFERROR(__xludf.DUMMYFUNCTION("""COMPUTED_VALUE"""),"")</f>
        <v/>
      </c>
      <c r="X1510" s="16" t="str">
        <f>IFERROR(__xludf.DUMMYFUNCTION("""COMPUTED_VALUE"""),"")</f>
        <v/>
      </c>
      <c r="AC1510" s="16" t="str">
        <f>IFERROR(__xludf.DUMMYFUNCTION("""COMPUTED_VALUE"""),"")</f>
        <v/>
      </c>
    </row>
    <row r="1511">
      <c r="A1511" s="16" t="s">
        <v>87</v>
      </c>
      <c r="E1511" s="16" t="str">
        <f>IFERROR(__xludf.DUMMYFUNCTION("""COMPUTED_VALUE"""),"")</f>
        <v/>
      </c>
      <c r="G1511" s="18"/>
      <c r="H1511" s="16" t="s">
        <v>87</v>
      </c>
      <c r="I1511" s="16" t="s">
        <v>87</v>
      </c>
      <c r="J1511" s="19"/>
      <c r="L1511" s="16" t="str">
        <f>IFERROR(__xludf.DUMMYFUNCTION("""COMPUTED_VALUE"""),"")</f>
        <v/>
      </c>
      <c r="M1511" s="16" t="str">
        <f>IFERROR(__xludf.DUMMYFUNCTION("""COMPUTED_VALUE"""),"")</f>
        <v/>
      </c>
      <c r="U1511" s="16" t="s">
        <v>87</v>
      </c>
      <c r="V1511" s="16" t="str">
        <f>IFERROR(__xludf.DUMMYFUNCTION("""COMPUTED_VALUE"""),"")</f>
        <v/>
      </c>
      <c r="W1511" s="16" t="str">
        <f>IFERROR(__xludf.DUMMYFUNCTION("""COMPUTED_VALUE"""),"")</f>
        <v/>
      </c>
      <c r="X1511" s="16" t="str">
        <f>IFERROR(__xludf.DUMMYFUNCTION("""COMPUTED_VALUE"""),"")</f>
        <v/>
      </c>
      <c r="AC1511" s="16" t="str">
        <f>IFERROR(__xludf.DUMMYFUNCTION("""COMPUTED_VALUE"""),"")</f>
        <v/>
      </c>
    </row>
    <row r="1512">
      <c r="A1512" s="16" t="s">
        <v>87</v>
      </c>
      <c r="E1512" s="16" t="str">
        <f>IFERROR(__xludf.DUMMYFUNCTION("""COMPUTED_VALUE"""),"")</f>
        <v/>
      </c>
      <c r="G1512" s="18"/>
      <c r="H1512" s="16" t="s">
        <v>87</v>
      </c>
      <c r="I1512" s="16" t="s">
        <v>87</v>
      </c>
      <c r="J1512" s="19"/>
      <c r="L1512" s="16" t="str">
        <f>IFERROR(__xludf.DUMMYFUNCTION("""COMPUTED_VALUE"""),"")</f>
        <v/>
      </c>
      <c r="M1512" s="16" t="str">
        <f>IFERROR(__xludf.DUMMYFUNCTION("""COMPUTED_VALUE"""),"")</f>
        <v/>
      </c>
      <c r="U1512" s="16" t="s">
        <v>87</v>
      </c>
      <c r="V1512" s="16" t="str">
        <f>IFERROR(__xludf.DUMMYFUNCTION("""COMPUTED_VALUE"""),"")</f>
        <v/>
      </c>
      <c r="W1512" s="16" t="str">
        <f>IFERROR(__xludf.DUMMYFUNCTION("""COMPUTED_VALUE"""),"")</f>
        <v/>
      </c>
      <c r="X1512" s="16" t="str">
        <f>IFERROR(__xludf.DUMMYFUNCTION("""COMPUTED_VALUE"""),"")</f>
        <v/>
      </c>
      <c r="AC1512" s="16" t="str">
        <f>IFERROR(__xludf.DUMMYFUNCTION("""COMPUTED_VALUE"""),"")</f>
        <v/>
      </c>
    </row>
    <row r="1513">
      <c r="A1513" s="16" t="s">
        <v>87</v>
      </c>
      <c r="E1513" s="16" t="str">
        <f>IFERROR(__xludf.DUMMYFUNCTION("""COMPUTED_VALUE"""),"")</f>
        <v/>
      </c>
      <c r="G1513" s="18"/>
      <c r="H1513" s="16" t="s">
        <v>87</v>
      </c>
      <c r="I1513" s="16" t="s">
        <v>87</v>
      </c>
      <c r="J1513" s="19"/>
      <c r="L1513" s="16" t="str">
        <f>IFERROR(__xludf.DUMMYFUNCTION("""COMPUTED_VALUE"""),"")</f>
        <v/>
      </c>
      <c r="M1513" s="16" t="str">
        <f>IFERROR(__xludf.DUMMYFUNCTION("""COMPUTED_VALUE"""),"")</f>
        <v/>
      </c>
      <c r="U1513" s="16" t="s">
        <v>87</v>
      </c>
      <c r="V1513" s="16" t="str">
        <f>IFERROR(__xludf.DUMMYFUNCTION("""COMPUTED_VALUE"""),"")</f>
        <v/>
      </c>
      <c r="W1513" s="16" t="str">
        <f>IFERROR(__xludf.DUMMYFUNCTION("""COMPUTED_VALUE"""),"")</f>
        <v/>
      </c>
      <c r="X1513" s="16" t="str">
        <f>IFERROR(__xludf.DUMMYFUNCTION("""COMPUTED_VALUE"""),"")</f>
        <v/>
      </c>
      <c r="AC1513" s="16" t="str">
        <f>IFERROR(__xludf.DUMMYFUNCTION("""COMPUTED_VALUE"""),"")</f>
        <v/>
      </c>
    </row>
    <row r="1514">
      <c r="A1514" s="16" t="s">
        <v>87</v>
      </c>
      <c r="E1514" s="16" t="str">
        <f>IFERROR(__xludf.DUMMYFUNCTION("""COMPUTED_VALUE"""),"")</f>
        <v/>
      </c>
      <c r="G1514" s="18"/>
      <c r="H1514" s="16" t="s">
        <v>87</v>
      </c>
      <c r="I1514" s="16" t="s">
        <v>87</v>
      </c>
      <c r="J1514" s="19"/>
      <c r="L1514" s="16" t="str">
        <f>IFERROR(__xludf.DUMMYFUNCTION("""COMPUTED_VALUE"""),"")</f>
        <v/>
      </c>
      <c r="M1514" s="16" t="str">
        <f>IFERROR(__xludf.DUMMYFUNCTION("""COMPUTED_VALUE"""),"")</f>
        <v/>
      </c>
      <c r="U1514" s="16" t="s">
        <v>87</v>
      </c>
      <c r="V1514" s="16" t="str">
        <f>IFERROR(__xludf.DUMMYFUNCTION("""COMPUTED_VALUE"""),"")</f>
        <v/>
      </c>
      <c r="W1514" s="16" t="str">
        <f>IFERROR(__xludf.DUMMYFUNCTION("""COMPUTED_VALUE"""),"")</f>
        <v/>
      </c>
      <c r="X1514" s="16" t="str">
        <f>IFERROR(__xludf.DUMMYFUNCTION("""COMPUTED_VALUE"""),"")</f>
        <v/>
      </c>
      <c r="AC1514" s="16" t="str">
        <f>IFERROR(__xludf.DUMMYFUNCTION("""COMPUTED_VALUE"""),"")</f>
        <v/>
      </c>
    </row>
    <row r="1515">
      <c r="A1515" s="16" t="s">
        <v>87</v>
      </c>
      <c r="E1515" s="16" t="str">
        <f>IFERROR(__xludf.DUMMYFUNCTION("""COMPUTED_VALUE"""),"")</f>
        <v/>
      </c>
      <c r="G1515" s="18"/>
      <c r="H1515" s="16" t="s">
        <v>87</v>
      </c>
      <c r="I1515" s="16" t="s">
        <v>87</v>
      </c>
      <c r="J1515" s="19"/>
      <c r="L1515" s="16" t="str">
        <f>IFERROR(__xludf.DUMMYFUNCTION("""COMPUTED_VALUE"""),"")</f>
        <v/>
      </c>
      <c r="M1515" s="16" t="str">
        <f>IFERROR(__xludf.DUMMYFUNCTION("""COMPUTED_VALUE"""),"")</f>
        <v/>
      </c>
      <c r="U1515" s="16" t="s">
        <v>87</v>
      </c>
      <c r="V1515" s="16" t="str">
        <f>IFERROR(__xludf.DUMMYFUNCTION("""COMPUTED_VALUE"""),"")</f>
        <v/>
      </c>
      <c r="W1515" s="16" t="str">
        <f>IFERROR(__xludf.DUMMYFUNCTION("""COMPUTED_VALUE"""),"")</f>
        <v/>
      </c>
      <c r="X1515" s="16" t="str">
        <f>IFERROR(__xludf.DUMMYFUNCTION("""COMPUTED_VALUE"""),"")</f>
        <v/>
      </c>
      <c r="AC1515" s="16" t="str">
        <f>IFERROR(__xludf.DUMMYFUNCTION("""COMPUTED_VALUE"""),"")</f>
        <v/>
      </c>
    </row>
    <row r="1516">
      <c r="A1516" s="16" t="s">
        <v>87</v>
      </c>
      <c r="E1516" s="16" t="str">
        <f>IFERROR(__xludf.DUMMYFUNCTION("""COMPUTED_VALUE"""),"")</f>
        <v/>
      </c>
      <c r="G1516" s="18"/>
      <c r="H1516" s="16" t="s">
        <v>87</v>
      </c>
      <c r="I1516" s="16" t="s">
        <v>87</v>
      </c>
      <c r="J1516" s="19"/>
      <c r="L1516" s="16" t="str">
        <f>IFERROR(__xludf.DUMMYFUNCTION("""COMPUTED_VALUE"""),"")</f>
        <v/>
      </c>
      <c r="M1516" s="16" t="str">
        <f>IFERROR(__xludf.DUMMYFUNCTION("""COMPUTED_VALUE"""),"")</f>
        <v/>
      </c>
      <c r="U1516" s="16" t="s">
        <v>87</v>
      </c>
      <c r="V1516" s="16" t="str">
        <f>IFERROR(__xludf.DUMMYFUNCTION("""COMPUTED_VALUE"""),"")</f>
        <v/>
      </c>
      <c r="W1516" s="16" t="str">
        <f>IFERROR(__xludf.DUMMYFUNCTION("""COMPUTED_VALUE"""),"")</f>
        <v/>
      </c>
      <c r="X1516" s="16" t="str">
        <f>IFERROR(__xludf.DUMMYFUNCTION("""COMPUTED_VALUE"""),"")</f>
        <v/>
      </c>
      <c r="AC1516" s="16" t="str">
        <f>IFERROR(__xludf.DUMMYFUNCTION("""COMPUTED_VALUE"""),"")</f>
        <v/>
      </c>
    </row>
    <row r="1517">
      <c r="A1517" s="16" t="s">
        <v>87</v>
      </c>
      <c r="E1517" s="16" t="str">
        <f>IFERROR(__xludf.DUMMYFUNCTION("""COMPUTED_VALUE"""),"")</f>
        <v/>
      </c>
      <c r="G1517" s="18"/>
      <c r="H1517" s="16" t="s">
        <v>87</v>
      </c>
      <c r="I1517" s="16" t="s">
        <v>87</v>
      </c>
      <c r="J1517" s="19"/>
      <c r="L1517" s="16" t="str">
        <f>IFERROR(__xludf.DUMMYFUNCTION("""COMPUTED_VALUE"""),"")</f>
        <v/>
      </c>
      <c r="M1517" s="16" t="str">
        <f>IFERROR(__xludf.DUMMYFUNCTION("""COMPUTED_VALUE"""),"")</f>
        <v/>
      </c>
      <c r="U1517" s="16" t="s">
        <v>87</v>
      </c>
      <c r="V1517" s="16" t="str">
        <f>IFERROR(__xludf.DUMMYFUNCTION("""COMPUTED_VALUE"""),"")</f>
        <v/>
      </c>
      <c r="W1517" s="16" t="str">
        <f>IFERROR(__xludf.DUMMYFUNCTION("""COMPUTED_VALUE"""),"")</f>
        <v/>
      </c>
      <c r="X1517" s="16" t="str">
        <f>IFERROR(__xludf.DUMMYFUNCTION("""COMPUTED_VALUE"""),"")</f>
        <v/>
      </c>
      <c r="AC1517" s="16" t="str">
        <f>IFERROR(__xludf.DUMMYFUNCTION("""COMPUTED_VALUE"""),"")</f>
        <v/>
      </c>
    </row>
    <row r="1518">
      <c r="A1518" s="16" t="s">
        <v>87</v>
      </c>
      <c r="E1518" s="16" t="str">
        <f>IFERROR(__xludf.DUMMYFUNCTION("""COMPUTED_VALUE"""),"")</f>
        <v/>
      </c>
      <c r="G1518" s="18"/>
      <c r="H1518" s="16" t="s">
        <v>87</v>
      </c>
      <c r="I1518" s="16" t="s">
        <v>87</v>
      </c>
      <c r="J1518" s="19"/>
      <c r="L1518" s="16" t="str">
        <f>IFERROR(__xludf.DUMMYFUNCTION("""COMPUTED_VALUE"""),"")</f>
        <v/>
      </c>
      <c r="M1518" s="16" t="str">
        <f>IFERROR(__xludf.DUMMYFUNCTION("""COMPUTED_VALUE"""),"")</f>
        <v/>
      </c>
      <c r="U1518" s="16" t="s">
        <v>87</v>
      </c>
      <c r="V1518" s="16" t="str">
        <f>IFERROR(__xludf.DUMMYFUNCTION("""COMPUTED_VALUE"""),"")</f>
        <v/>
      </c>
      <c r="W1518" s="16" t="str">
        <f>IFERROR(__xludf.DUMMYFUNCTION("""COMPUTED_VALUE"""),"")</f>
        <v/>
      </c>
      <c r="X1518" s="16" t="str">
        <f>IFERROR(__xludf.DUMMYFUNCTION("""COMPUTED_VALUE"""),"")</f>
        <v/>
      </c>
      <c r="AC1518" s="16" t="str">
        <f>IFERROR(__xludf.DUMMYFUNCTION("""COMPUTED_VALUE"""),"")</f>
        <v/>
      </c>
    </row>
    <row r="1519">
      <c r="A1519" s="16" t="s">
        <v>87</v>
      </c>
      <c r="E1519" s="16" t="str">
        <f>IFERROR(__xludf.DUMMYFUNCTION("""COMPUTED_VALUE"""),"")</f>
        <v/>
      </c>
      <c r="G1519" s="18"/>
      <c r="H1519" s="16" t="s">
        <v>87</v>
      </c>
      <c r="I1519" s="16" t="s">
        <v>87</v>
      </c>
      <c r="J1519" s="19"/>
      <c r="L1519" s="16" t="str">
        <f>IFERROR(__xludf.DUMMYFUNCTION("""COMPUTED_VALUE"""),"")</f>
        <v/>
      </c>
      <c r="M1519" s="16" t="str">
        <f>IFERROR(__xludf.DUMMYFUNCTION("""COMPUTED_VALUE"""),"")</f>
        <v/>
      </c>
      <c r="U1519" s="16" t="s">
        <v>87</v>
      </c>
      <c r="V1519" s="16" t="str">
        <f>IFERROR(__xludf.DUMMYFUNCTION("""COMPUTED_VALUE"""),"")</f>
        <v/>
      </c>
      <c r="W1519" s="16" t="str">
        <f>IFERROR(__xludf.DUMMYFUNCTION("""COMPUTED_VALUE"""),"")</f>
        <v/>
      </c>
      <c r="X1519" s="16" t="str">
        <f>IFERROR(__xludf.DUMMYFUNCTION("""COMPUTED_VALUE"""),"")</f>
        <v/>
      </c>
      <c r="AC1519" s="16" t="str">
        <f>IFERROR(__xludf.DUMMYFUNCTION("""COMPUTED_VALUE"""),"")</f>
        <v/>
      </c>
    </row>
    <row r="1520">
      <c r="A1520" s="16" t="s">
        <v>87</v>
      </c>
      <c r="E1520" s="16" t="str">
        <f>IFERROR(__xludf.DUMMYFUNCTION("""COMPUTED_VALUE"""),"")</f>
        <v/>
      </c>
      <c r="G1520" s="18"/>
      <c r="H1520" s="16" t="s">
        <v>87</v>
      </c>
      <c r="I1520" s="16" t="s">
        <v>87</v>
      </c>
      <c r="J1520" s="19"/>
      <c r="L1520" s="16" t="str">
        <f>IFERROR(__xludf.DUMMYFUNCTION("""COMPUTED_VALUE"""),"")</f>
        <v/>
      </c>
      <c r="M1520" s="16" t="str">
        <f>IFERROR(__xludf.DUMMYFUNCTION("""COMPUTED_VALUE"""),"")</f>
        <v/>
      </c>
      <c r="U1520" s="16" t="s">
        <v>87</v>
      </c>
      <c r="V1520" s="16" t="str">
        <f>IFERROR(__xludf.DUMMYFUNCTION("""COMPUTED_VALUE"""),"")</f>
        <v/>
      </c>
      <c r="W1520" s="16" t="str">
        <f>IFERROR(__xludf.DUMMYFUNCTION("""COMPUTED_VALUE"""),"")</f>
        <v/>
      </c>
      <c r="X1520" s="16" t="str">
        <f>IFERROR(__xludf.DUMMYFUNCTION("""COMPUTED_VALUE"""),"")</f>
        <v/>
      </c>
      <c r="AC1520" s="16" t="str">
        <f>IFERROR(__xludf.DUMMYFUNCTION("""COMPUTED_VALUE"""),"")</f>
        <v/>
      </c>
    </row>
    <row r="1521">
      <c r="A1521" s="16" t="s">
        <v>87</v>
      </c>
      <c r="E1521" s="16" t="str">
        <f>IFERROR(__xludf.DUMMYFUNCTION("""COMPUTED_VALUE"""),"")</f>
        <v/>
      </c>
      <c r="G1521" s="18"/>
      <c r="H1521" s="16" t="s">
        <v>87</v>
      </c>
      <c r="I1521" s="16" t="s">
        <v>87</v>
      </c>
      <c r="J1521" s="19"/>
      <c r="L1521" s="16" t="str">
        <f>IFERROR(__xludf.DUMMYFUNCTION("""COMPUTED_VALUE"""),"")</f>
        <v/>
      </c>
      <c r="M1521" s="16" t="str">
        <f>IFERROR(__xludf.DUMMYFUNCTION("""COMPUTED_VALUE"""),"")</f>
        <v/>
      </c>
      <c r="U1521" s="16" t="s">
        <v>87</v>
      </c>
      <c r="V1521" s="16" t="str">
        <f>IFERROR(__xludf.DUMMYFUNCTION("""COMPUTED_VALUE"""),"")</f>
        <v/>
      </c>
      <c r="W1521" s="16" t="str">
        <f>IFERROR(__xludf.DUMMYFUNCTION("""COMPUTED_VALUE"""),"")</f>
        <v/>
      </c>
      <c r="X1521" s="16" t="str">
        <f>IFERROR(__xludf.DUMMYFUNCTION("""COMPUTED_VALUE"""),"")</f>
        <v/>
      </c>
      <c r="AC1521" s="16" t="str">
        <f>IFERROR(__xludf.DUMMYFUNCTION("""COMPUTED_VALUE"""),"")</f>
        <v/>
      </c>
    </row>
    <row r="1522">
      <c r="A1522" s="16" t="s">
        <v>87</v>
      </c>
      <c r="E1522" s="16" t="str">
        <f>IFERROR(__xludf.DUMMYFUNCTION("""COMPUTED_VALUE"""),"")</f>
        <v/>
      </c>
      <c r="G1522" s="18"/>
      <c r="H1522" s="16" t="s">
        <v>87</v>
      </c>
      <c r="I1522" s="16" t="s">
        <v>87</v>
      </c>
      <c r="J1522" s="19"/>
      <c r="L1522" s="16" t="str">
        <f>IFERROR(__xludf.DUMMYFUNCTION("""COMPUTED_VALUE"""),"")</f>
        <v/>
      </c>
      <c r="M1522" s="16" t="str">
        <f>IFERROR(__xludf.DUMMYFUNCTION("""COMPUTED_VALUE"""),"")</f>
        <v/>
      </c>
      <c r="U1522" s="16" t="s">
        <v>87</v>
      </c>
      <c r="V1522" s="16" t="str">
        <f>IFERROR(__xludf.DUMMYFUNCTION("""COMPUTED_VALUE"""),"")</f>
        <v/>
      </c>
      <c r="W1522" s="16" t="str">
        <f>IFERROR(__xludf.DUMMYFUNCTION("""COMPUTED_VALUE"""),"")</f>
        <v/>
      </c>
      <c r="X1522" s="16" t="str">
        <f>IFERROR(__xludf.DUMMYFUNCTION("""COMPUTED_VALUE"""),"")</f>
        <v/>
      </c>
      <c r="AC1522" s="16" t="str">
        <f>IFERROR(__xludf.DUMMYFUNCTION("""COMPUTED_VALUE"""),"")</f>
        <v/>
      </c>
    </row>
    <row r="1523">
      <c r="A1523" s="16" t="s">
        <v>87</v>
      </c>
      <c r="E1523" s="16" t="str">
        <f>IFERROR(__xludf.DUMMYFUNCTION("""COMPUTED_VALUE"""),"")</f>
        <v/>
      </c>
      <c r="G1523" s="18"/>
      <c r="H1523" s="16" t="s">
        <v>87</v>
      </c>
      <c r="I1523" s="16" t="s">
        <v>87</v>
      </c>
      <c r="J1523" s="19"/>
      <c r="L1523" s="16" t="str">
        <f>IFERROR(__xludf.DUMMYFUNCTION("""COMPUTED_VALUE"""),"")</f>
        <v/>
      </c>
      <c r="M1523" s="16" t="str">
        <f>IFERROR(__xludf.DUMMYFUNCTION("""COMPUTED_VALUE"""),"")</f>
        <v/>
      </c>
      <c r="U1523" s="16" t="s">
        <v>87</v>
      </c>
      <c r="V1523" s="16" t="str">
        <f>IFERROR(__xludf.DUMMYFUNCTION("""COMPUTED_VALUE"""),"")</f>
        <v/>
      </c>
      <c r="W1523" s="16" t="str">
        <f>IFERROR(__xludf.DUMMYFUNCTION("""COMPUTED_VALUE"""),"")</f>
        <v/>
      </c>
      <c r="X1523" s="16" t="str">
        <f>IFERROR(__xludf.DUMMYFUNCTION("""COMPUTED_VALUE"""),"")</f>
        <v/>
      </c>
      <c r="AC1523" s="16" t="str">
        <f>IFERROR(__xludf.DUMMYFUNCTION("""COMPUTED_VALUE"""),"")</f>
        <v/>
      </c>
    </row>
    <row r="1524">
      <c r="A1524" s="16" t="s">
        <v>87</v>
      </c>
      <c r="E1524" s="16" t="str">
        <f>IFERROR(__xludf.DUMMYFUNCTION("""COMPUTED_VALUE"""),"")</f>
        <v/>
      </c>
      <c r="G1524" s="18"/>
      <c r="H1524" s="16" t="s">
        <v>87</v>
      </c>
      <c r="I1524" s="16" t="s">
        <v>87</v>
      </c>
      <c r="J1524" s="19"/>
      <c r="L1524" s="16" t="str">
        <f>IFERROR(__xludf.DUMMYFUNCTION("""COMPUTED_VALUE"""),"")</f>
        <v/>
      </c>
      <c r="M1524" s="16" t="str">
        <f>IFERROR(__xludf.DUMMYFUNCTION("""COMPUTED_VALUE"""),"")</f>
        <v/>
      </c>
      <c r="U1524" s="16" t="s">
        <v>87</v>
      </c>
      <c r="V1524" s="16" t="str">
        <f>IFERROR(__xludf.DUMMYFUNCTION("""COMPUTED_VALUE"""),"")</f>
        <v/>
      </c>
      <c r="W1524" s="16" t="str">
        <f>IFERROR(__xludf.DUMMYFUNCTION("""COMPUTED_VALUE"""),"")</f>
        <v/>
      </c>
      <c r="X1524" s="16" t="str">
        <f>IFERROR(__xludf.DUMMYFUNCTION("""COMPUTED_VALUE"""),"")</f>
        <v/>
      </c>
      <c r="AC1524" s="16" t="str">
        <f>IFERROR(__xludf.DUMMYFUNCTION("""COMPUTED_VALUE"""),"")</f>
        <v/>
      </c>
    </row>
    <row r="1525">
      <c r="A1525" s="16" t="s">
        <v>87</v>
      </c>
      <c r="E1525" s="16" t="str">
        <f>IFERROR(__xludf.DUMMYFUNCTION("""COMPUTED_VALUE"""),"")</f>
        <v/>
      </c>
      <c r="G1525" s="18"/>
      <c r="H1525" s="16" t="s">
        <v>87</v>
      </c>
      <c r="I1525" s="16" t="s">
        <v>87</v>
      </c>
      <c r="J1525" s="19"/>
      <c r="L1525" s="16" t="str">
        <f>IFERROR(__xludf.DUMMYFUNCTION("""COMPUTED_VALUE"""),"")</f>
        <v/>
      </c>
      <c r="M1525" s="16" t="str">
        <f>IFERROR(__xludf.DUMMYFUNCTION("""COMPUTED_VALUE"""),"")</f>
        <v/>
      </c>
      <c r="U1525" s="16" t="s">
        <v>87</v>
      </c>
      <c r="V1525" s="16" t="str">
        <f>IFERROR(__xludf.DUMMYFUNCTION("""COMPUTED_VALUE"""),"")</f>
        <v/>
      </c>
      <c r="W1525" s="16" t="str">
        <f>IFERROR(__xludf.DUMMYFUNCTION("""COMPUTED_VALUE"""),"")</f>
        <v/>
      </c>
      <c r="X1525" s="16" t="str">
        <f>IFERROR(__xludf.DUMMYFUNCTION("""COMPUTED_VALUE"""),"")</f>
        <v/>
      </c>
      <c r="AC1525" s="16" t="str">
        <f>IFERROR(__xludf.DUMMYFUNCTION("""COMPUTED_VALUE"""),"")</f>
        <v/>
      </c>
    </row>
    <row r="1526">
      <c r="A1526" s="16" t="s">
        <v>87</v>
      </c>
      <c r="E1526" s="16" t="str">
        <f>IFERROR(__xludf.DUMMYFUNCTION("""COMPUTED_VALUE"""),"")</f>
        <v/>
      </c>
      <c r="G1526" s="18"/>
      <c r="H1526" s="16" t="s">
        <v>87</v>
      </c>
      <c r="I1526" s="16" t="s">
        <v>87</v>
      </c>
      <c r="J1526" s="19"/>
      <c r="L1526" s="16" t="str">
        <f>IFERROR(__xludf.DUMMYFUNCTION("""COMPUTED_VALUE"""),"")</f>
        <v/>
      </c>
      <c r="M1526" s="16" t="str">
        <f>IFERROR(__xludf.DUMMYFUNCTION("""COMPUTED_VALUE"""),"")</f>
        <v/>
      </c>
      <c r="U1526" s="16" t="s">
        <v>87</v>
      </c>
      <c r="V1526" s="16" t="str">
        <f>IFERROR(__xludf.DUMMYFUNCTION("""COMPUTED_VALUE"""),"")</f>
        <v/>
      </c>
      <c r="W1526" s="16" t="str">
        <f>IFERROR(__xludf.DUMMYFUNCTION("""COMPUTED_VALUE"""),"")</f>
        <v/>
      </c>
      <c r="X1526" s="16" t="str">
        <f>IFERROR(__xludf.DUMMYFUNCTION("""COMPUTED_VALUE"""),"")</f>
        <v/>
      </c>
      <c r="AC1526" s="16" t="str">
        <f>IFERROR(__xludf.DUMMYFUNCTION("""COMPUTED_VALUE"""),"")</f>
        <v/>
      </c>
    </row>
    <row r="1527">
      <c r="A1527" s="16" t="s">
        <v>87</v>
      </c>
      <c r="E1527" s="16" t="str">
        <f>IFERROR(__xludf.DUMMYFUNCTION("""COMPUTED_VALUE"""),"")</f>
        <v/>
      </c>
      <c r="G1527" s="18"/>
      <c r="H1527" s="16" t="s">
        <v>87</v>
      </c>
      <c r="I1527" s="16" t="s">
        <v>87</v>
      </c>
      <c r="J1527" s="19"/>
      <c r="L1527" s="16" t="str">
        <f>IFERROR(__xludf.DUMMYFUNCTION("""COMPUTED_VALUE"""),"")</f>
        <v/>
      </c>
      <c r="M1527" s="16" t="str">
        <f>IFERROR(__xludf.DUMMYFUNCTION("""COMPUTED_VALUE"""),"")</f>
        <v/>
      </c>
      <c r="U1527" s="16" t="s">
        <v>87</v>
      </c>
      <c r="V1527" s="16" t="str">
        <f>IFERROR(__xludf.DUMMYFUNCTION("""COMPUTED_VALUE"""),"")</f>
        <v/>
      </c>
      <c r="W1527" s="16" t="str">
        <f>IFERROR(__xludf.DUMMYFUNCTION("""COMPUTED_VALUE"""),"")</f>
        <v/>
      </c>
      <c r="X1527" s="16" t="str">
        <f>IFERROR(__xludf.DUMMYFUNCTION("""COMPUTED_VALUE"""),"")</f>
        <v/>
      </c>
      <c r="AC1527" s="16" t="str">
        <f>IFERROR(__xludf.DUMMYFUNCTION("""COMPUTED_VALUE"""),"")</f>
        <v/>
      </c>
    </row>
    <row r="1528">
      <c r="A1528" s="16" t="s">
        <v>87</v>
      </c>
      <c r="E1528" s="16" t="str">
        <f>IFERROR(__xludf.DUMMYFUNCTION("""COMPUTED_VALUE"""),"")</f>
        <v/>
      </c>
      <c r="G1528" s="18"/>
      <c r="H1528" s="16" t="s">
        <v>87</v>
      </c>
      <c r="I1528" s="16" t="s">
        <v>87</v>
      </c>
      <c r="J1528" s="19"/>
      <c r="L1528" s="16" t="str">
        <f>IFERROR(__xludf.DUMMYFUNCTION("""COMPUTED_VALUE"""),"")</f>
        <v/>
      </c>
      <c r="M1528" s="16" t="str">
        <f>IFERROR(__xludf.DUMMYFUNCTION("""COMPUTED_VALUE"""),"")</f>
        <v/>
      </c>
      <c r="U1528" s="16" t="s">
        <v>87</v>
      </c>
      <c r="V1528" s="16" t="str">
        <f>IFERROR(__xludf.DUMMYFUNCTION("""COMPUTED_VALUE"""),"")</f>
        <v/>
      </c>
      <c r="W1528" s="16" t="str">
        <f>IFERROR(__xludf.DUMMYFUNCTION("""COMPUTED_VALUE"""),"")</f>
        <v/>
      </c>
      <c r="X1528" s="16" t="str">
        <f>IFERROR(__xludf.DUMMYFUNCTION("""COMPUTED_VALUE"""),"")</f>
        <v/>
      </c>
      <c r="AC1528" s="16" t="str">
        <f>IFERROR(__xludf.DUMMYFUNCTION("""COMPUTED_VALUE"""),"")</f>
        <v/>
      </c>
    </row>
    <row r="1529">
      <c r="A1529" s="16" t="s">
        <v>87</v>
      </c>
      <c r="E1529" s="16" t="str">
        <f>IFERROR(__xludf.DUMMYFUNCTION("""COMPUTED_VALUE"""),"")</f>
        <v/>
      </c>
      <c r="G1529" s="18"/>
      <c r="H1529" s="16" t="s">
        <v>87</v>
      </c>
      <c r="I1529" s="16" t="s">
        <v>87</v>
      </c>
      <c r="J1529" s="19"/>
      <c r="L1529" s="16" t="str">
        <f>IFERROR(__xludf.DUMMYFUNCTION("""COMPUTED_VALUE"""),"")</f>
        <v/>
      </c>
      <c r="M1529" s="16" t="str">
        <f>IFERROR(__xludf.DUMMYFUNCTION("""COMPUTED_VALUE"""),"")</f>
        <v/>
      </c>
      <c r="U1529" s="16" t="s">
        <v>87</v>
      </c>
      <c r="V1529" s="16" t="str">
        <f>IFERROR(__xludf.DUMMYFUNCTION("""COMPUTED_VALUE"""),"")</f>
        <v/>
      </c>
      <c r="W1529" s="16" t="str">
        <f>IFERROR(__xludf.DUMMYFUNCTION("""COMPUTED_VALUE"""),"")</f>
        <v/>
      </c>
      <c r="X1529" s="16" t="str">
        <f>IFERROR(__xludf.DUMMYFUNCTION("""COMPUTED_VALUE"""),"")</f>
        <v/>
      </c>
      <c r="AC1529" s="16" t="str">
        <f>IFERROR(__xludf.DUMMYFUNCTION("""COMPUTED_VALUE"""),"")</f>
        <v/>
      </c>
    </row>
    <row r="1530">
      <c r="A1530" s="16" t="s">
        <v>87</v>
      </c>
      <c r="E1530" s="16" t="str">
        <f>IFERROR(__xludf.DUMMYFUNCTION("""COMPUTED_VALUE"""),"")</f>
        <v/>
      </c>
      <c r="G1530" s="18"/>
      <c r="H1530" s="16" t="s">
        <v>87</v>
      </c>
      <c r="I1530" s="16" t="s">
        <v>87</v>
      </c>
      <c r="J1530" s="19"/>
      <c r="L1530" s="16" t="str">
        <f>IFERROR(__xludf.DUMMYFUNCTION("""COMPUTED_VALUE"""),"")</f>
        <v/>
      </c>
      <c r="M1530" s="16" t="str">
        <f>IFERROR(__xludf.DUMMYFUNCTION("""COMPUTED_VALUE"""),"")</f>
        <v/>
      </c>
      <c r="U1530" s="16" t="s">
        <v>87</v>
      </c>
      <c r="V1530" s="16" t="str">
        <f>IFERROR(__xludf.DUMMYFUNCTION("""COMPUTED_VALUE"""),"")</f>
        <v/>
      </c>
      <c r="W1530" s="16" t="str">
        <f>IFERROR(__xludf.DUMMYFUNCTION("""COMPUTED_VALUE"""),"")</f>
        <v/>
      </c>
      <c r="X1530" s="16" t="str">
        <f>IFERROR(__xludf.DUMMYFUNCTION("""COMPUTED_VALUE"""),"")</f>
        <v/>
      </c>
      <c r="AC1530" s="16" t="str">
        <f>IFERROR(__xludf.DUMMYFUNCTION("""COMPUTED_VALUE"""),"")</f>
        <v/>
      </c>
    </row>
    <row r="1531">
      <c r="A1531" s="16" t="s">
        <v>87</v>
      </c>
      <c r="E1531" s="16" t="str">
        <f>IFERROR(__xludf.DUMMYFUNCTION("""COMPUTED_VALUE"""),"")</f>
        <v/>
      </c>
      <c r="G1531" s="18"/>
      <c r="H1531" s="16" t="s">
        <v>87</v>
      </c>
      <c r="I1531" s="16" t="s">
        <v>87</v>
      </c>
      <c r="J1531" s="19"/>
      <c r="L1531" s="16" t="str">
        <f>IFERROR(__xludf.DUMMYFUNCTION("""COMPUTED_VALUE"""),"")</f>
        <v/>
      </c>
      <c r="M1531" s="16" t="str">
        <f>IFERROR(__xludf.DUMMYFUNCTION("""COMPUTED_VALUE"""),"")</f>
        <v/>
      </c>
      <c r="U1531" s="16" t="s">
        <v>87</v>
      </c>
      <c r="V1531" s="16" t="str">
        <f>IFERROR(__xludf.DUMMYFUNCTION("""COMPUTED_VALUE"""),"")</f>
        <v/>
      </c>
      <c r="W1531" s="16" t="str">
        <f>IFERROR(__xludf.DUMMYFUNCTION("""COMPUTED_VALUE"""),"")</f>
        <v/>
      </c>
      <c r="X1531" s="16" t="str">
        <f>IFERROR(__xludf.DUMMYFUNCTION("""COMPUTED_VALUE"""),"")</f>
        <v/>
      </c>
      <c r="AC1531" s="16" t="str">
        <f>IFERROR(__xludf.DUMMYFUNCTION("""COMPUTED_VALUE"""),"")</f>
        <v/>
      </c>
    </row>
    <row r="1532">
      <c r="A1532" s="16" t="s">
        <v>87</v>
      </c>
      <c r="E1532" s="16" t="str">
        <f>IFERROR(__xludf.DUMMYFUNCTION("""COMPUTED_VALUE"""),"")</f>
        <v/>
      </c>
      <c r="G1532" s="18"/>
      <c r="H1532" s="16" t="s">
        <v>87</v>
      </c>
      <c r="I1532" s="16" t="s">
        <v>87</v>
      </c>
      <c r="J1532" s="19"/>
      <c r="L1532" s="16" t="str">
        <f>IFERROR(__xludf.DUMMYFUNCTION("""COMPUTED_VALUE"""),"")</f>
        <v/>
      </c>
      <c r="M1532" s="16" t="str">
        <f>IFERROR(__xludf.DUMMYFUNCTION("""COMPUTED_VALUE"""),"")</f>
        <v/>
      </c>
      <c r="U1532" s="16" t="s">
        <v>87</v>
      </c>
      <c r="V1532" s="16" t="str">
        <f>IFERROR(__xludf.DUMMYFUNCTION("""COMPUTED_VALUE"""),"")</f>
        <v/>
      </c>
      <c r="W1532" s="16" t="str">
        <f>IFERROR(__xludf.DUMMYFUNCTION("""COMPUTED_VALUE"""),"")</f>
        <v/>
      </c>
      <c r="X1532" s="16" t="str">
        <f>IFERROR(__xludf.DUMMYFUNCTION("""COMPUTED_VALUE"""),"")</f>
        <v/>
      </c>
      <c r="AC1532" s="16" t="str">
        <f>IFERROR(__xludf.DUMMYFUNCTION("""COMPUTED_VALUE"""),"")</f>
        <v/>
      </c>
    </row>
    <row r="1533">
      <c r="A1533" s="16" t="s">
        <v>87</v>
      </c>
      <c r="E1533" s="16" t="str">
        <f>IFERROR(__xludf.DUMMYFUNCTION("""COMPUTED_VALUE"""),"")</f>
        <v/>
      </c>
      <c r="G1533" s="18"/>
      <c r="H1533" s="16" t="s">
        <v>87</v>
      </c>
      <c r="I1533" s="16" t="s">
        <v>87</v>
      </c>
      <c r="J1533" s="19"/>
      <c r="L1533" s="16" t="str">
        <f>IFERROR(__xludf.DUMMYFUNCTION("""COMPUTED_VALUE"""),"")</f>
        <v/>
      </c>
      <c r="M1533" s="16" t="str">
        <f>IFERROR(__xludf.DUMMYFUNCTION("""COMPUTED_VALUE"""),"")</f>
        <v/>
      </c>
      <c r="U1533" s="16" t="s">
        <v>87</v>
      </c>
      <c r="V1533" s="16" t="str">
        <f>IFERROR(__xludf.DUMMYFUNCTION("""COMPUTED_VALUE"""),"")</f>
        <v/>
      </c>
      <c r="W1533" s="16" t="str">
        <f>IFERROR(__xludf.DUMMYFUNCTION("""COMPUTED_VALUE"""),"")</f>
        <v/>
      </c>
      <c r="X1533" s="16" t="str">
        <f>IFERROR(__xludf.DUMMYFUNCTION("""COMPUTED_VALUE"""),"")</f>
        <v/>
      </c>
      <c r="AC1533" s="16" t="str">
        <f>IFERROR(__xludf.DUMMYFUNCTION("""COMPUTED_VALUE"""),"")</f>
        <v/>
      </c>
    </row>
    <row r="1534">
      <c r="A1534" s="16" t="s">
        <v>87</v>
      </c>
      <c r="E1534" s="16" t="str">
        <f>IFERROR(__xludf.DUMMYFUNCTION("""COMPUTED_VALUE"""),"")</f>
        <v/>
      </c>
      <c r="G1534" s="18"/>
      <c r="H1534" s="16" t="s">
        <v>87</v>
      </c>
      <c r="I1534" s="16" t="s">
        <v>87</v>
      </c>
      <c r="J1534" s="19"/>
      <c r="L1534" s="16" t="str">
        <f>IFERROR(__xludf.DUMMYFUNCTION("""COMPUTED_VALUE"""),"")</f>
        <v/>
      </c>
      <c r="M1534" s="16" t="str">
        <f>IFERROR(__xludf.DUMMYFUNCTION("""COMPUTED_VALUE"""),"")</f>
        <v/>
      </c>
      <c r="U1534" s="16" t="s">
        <v>87</v>
      </c>
      <c r="V1534" s="16" t="str">
        <f>IFERROR(__xludf.DUMMYFUNCTION("""COMPUTED_VALUE"""),"")</f>
        <v/>
      </c>
      <c r="W1534" s="16" t="str">
        <f>IFERROR(__xludf.DUMMYFUNCTION("""COMPUTED_VALUE"""),"")</f>
        <v/>
      </c>
      <c r="X1534" s="16" t="str">
        <f>IFERROR(__xludf.DUMMYFUNCTION("""COMPUTED_VALUE"""),"")</f>
        <v/>
      </c>
      <c r="AC1534" s="16" t="str">
        <f>IFERROR(__xludf.DUMMYFUNCTION("""COMPUTED_VALUE"""),"")</f>
        <v/>
      </c>
    </row>
    <row r="1535">
      <c r="A1535" s="16" t="s">
        <v>87</v>
      </c>
      <c r="E1535" s="16" t="str">
        <f>IFERROR(__xludf.DUMMYFUNCTION("""COMPUTED_VALUE"""),"")</f>
        <v/>
      </c>
      <c r="G1535" s="18"/>
      <c r="H1535" s="16" t="s">
        <v>87</v>
      </c>
      <c r="I1535" s="16" t="s">
        <v>87</v>
      </c>
      <c r="J1535" s="19"/>
      <c r="L1535" s="16" t="str">
        <f>IFERROR(__xludf.DUMMYFUNCTION("""COMPUTED_VALUE"""),"")</f>
        <v/>
      </c>
      <c r="M1535" s="16" t="str">
        <f>IFERROR(__xludf.DUMMYFUNCTION("""COMPUTED_VALUE"""),"")</f>
        <v/>
      </c>
      <c r="U1535" s="16" t="s">
        <v>87</v>
      </c>
      <c r="V1535" s="16" t="str">
        <f>IFERROR(__xludf.DUMMYFUNCTION("""COMPUTED_VALUE"""),"")</f>
        <v/>
      </c>
      <c r="W1535" s="16" t="str">
        <f>IFERROR(__xludf.DUMMYFUNCTION("""COMPUTED_VALUE"""),"")</f>
        <v/>
      </c>
      <c r="X1535" s="16" t="str">
        <f>IFERROR(__xludf.DUMMYFUNCTION("""COMPUTED_VALUE"""),"")</f>
        <v/>
      </c>
      <c r="AC1535" s="16" t="str">
        <f>IFERROR(__xludf.DUMMYFUNCTION("""COMPUTED_VALUE"""),"")</f>
        <v/>
      </c>
    </row>
    <row r="1536">
      <c r="A1536" s="16" t="s">
        <v>87</v>
      </c>
      <c r="E1536" s="16" t="str">
        <f>IFERROR(__xludf.DUMMYFUNCTION("""COMPUTED_VALUE"""),"")</f>
        <v/>
      </c>
      <c r="G1536" s="18"/>
      <c r="H1536" s="16" t="s">
        <v>87</v>
      </c>
      <c r="I1536" s="16" t="s">
        <v>87</v>
      </c>
      <c r="J1536" s="19"/>
      <c r="L1536" s="16" t="str">
        <f>IFERROR(__xludf.DUMMYFUNCTION("""COMPUTED_VALUE"""),"")</f>
        <v/>
      </c>
      <c r="M1536" s="16" t="str">
        <f>IFERROR(__xludf.DUMMYFUNCTION("""COMPUTED_VALUE"""),"")</f>
        <v/>
      </c>
      <c r="U1536" s="16" t="s">
        <v>87</v>
      </c>
      <c r="V1536" s="16" t="str">
        <f>IFERROR(__xludf.DUMMYFUNCTION("""COMPUTED_VALUE"""),"")</f>
        <v/>
      </c>
      <c r="W1536" s="16" t="str">
        <f>IFERROR(__xludf.DUMMYFUNCTION("""COMPUTED_VALUE"""),"")</f>
        <v/>
      </c>
      <c r="X1536" s="16" t="str">
        <f>IFERROR(__xludf.DUMMYFUNCTION("""COMPUTED_VALUE"""),"")</f>
        <v/>
      </c>
      <c r="AC1536" s="16" t="str">
        <f>IFERROR(__xludf.DUMMYFUNCTION("""COMPUTED_VALUE"""),"")</f>
        <v/>
      </c>
    </row>
    <row r="1537">
      <c r="A1537" s="16" t="s">
        <v>87</v>
      </c>
      <c r="E1537" s="16" t="str">
        <f>IFERROR(__xludf.DUMMYFUNCTION("""COMPUTED_VALUE"""),"")</f>
        <v/>
      </c>
      <c r="G1537" s="18"/>
      <c r="H1537" s="16" t="s">
        <v>87</v>
      </c>
      <c r="I1537" s="16" t="s">
        <v>87</v>
      </c>
      <c r="J1537" s="19"/>
      <c r="L1537" s="16" t="str">
        <f>IFERROR(__xludf.DUMMYFUNCTION("""COMPUTED_VALUE"""),"")</f>
        <v/>
      </c>
      <c r="M1537" s="16" t="str">
        <f>IFERROR(__xludf.DUMMYFUNCTION("""COMPUTED_VALUE"""),"")</f>
        <v/>
      </c>
      <c r="U1537" s="16" t="s">
        <v>87</v>
      </c>
      <c r="V1537" s="16" t="str">
        <f>IFERROR(__xludf.DUMMYFUNCTION("""COMPUTED_VALUE"""),"")</f>
        <v/>
      </c>
      <c r="W1537" s="16" t="str">
        <f>IFERROR(__xludf.DUMMYFUNCTION("""COMPUTED_VALUE"""),"")</f>
        <v/>
      </c>
      <c r="X1537" s="16" t="str">
        <f>IFERROR(__xludf.DUMMYFUNCTION("""COMPUTED_VALUE"""),"")</f>
        <v/>
      </c>
      <c r="AC1537" s="16" t="str">
        <f>IFERROR(__xludf.DUMMYFUNCTION("""COMPUTED_VALUE"""),"")</f>
        <v/>
      </c>
    </row>
    <row r="1538">
      <c r="A1538" s="16" t="s">
        <v>87</v>
      </c>
      <c r="E1538" s="16" t="str">
        <f>IFERROR(__xludf.DUMMYFUNCTION("""COMPUTED_VALUE"""),"")</f>
        <v/>
      </c>
      <c r="G1538" s="18"/>
      <c r="H1538" s="16" t="s">
        <v>87</v>
      </c>
      <c r="I1538" s="16" t="s">
        <v>87</v>
      </c>
      <c r="J1538" s="19"/>
      <c r="L1538" s="16" t="str">
        <f>IFERROR(__xludf.DUMMYFUNCTION("""COMPUTED_VALUE"""),"")</f>
        <v/>
      </c>
      <c r="M1538" s="16" t="str">
        <f>IFERROR(__xludf.DUMMYFUNCTION("""COMPUTED_VALUE"""),"")</f>
        <v/>
      </c>
      <c r="U1538" s="16" t="s">
        <v>87</v>
      </c>
      <c r="V1538" s="16" t="str">
        <f>IFERROR(__xludf.DUMMYFUNCTION("""COMPUTED_VALUE"""),"")</f>
        <v/>
      </c>
      <c r="W1538" s="16" t="str">
        <f>IFERROR(__xludf.DUMMYFUNCTION("""COMPUTED_VALUE"""),"")</f>
        <v/>
      </c>
      <c r="X1538" s="16" t="str">
        <f>IFERROR(__xludf.DUMMYFUNCTION("""COMPUTED_VALUE"""),"")</f>
        <v/>
      </c>
      <c r="AC1538" s="16" t="str">
        <f>IFERROR(__xludf.DUMMYFUNCTION("""COMPUTED_VALUE"""),"")</f>
        <v/>
      </c>
    </row>
    <row r="1539">
      <c r="A1539" s="16" t="s">
        <v>87</v>
      </c>
      <c r="E1539" s="16" t="str">
        <f>IFERROR(__xludf.DUMMYFUNCTION("""COMPUTED_VALUE"""),"")</f>
        <v/>
      </c>
      <c r="G1539" s="18"/>
      <c r="H1539" s="16" t="s">
        <v>87</v>
      </c>
      <c r="I1539" s="16" t="s">
        <v>87</v>
      </c>
      <c r="J1539" s="19"/>
      <c r="L1539" s="16" t="str">
        <f>IFERROR(__xludf.DUMMYFUNCTION("""COMPUTED_VALUE"""),"")</f>
        <v/>
      </c>
      <c r="M1539" s="16" t="str">
        <f>IFERROR(__xludf.DUMMYFUNCTION("""COMPUTED_VALUE"""),"")</f>
        <v/>
      </c>
      <c r="U1539" s="16" t="s">
        <v>87</v>
      </c>
      <c r="V1539" s="16" t="str">
        <f>IFERROR(__xludf.DUMMYFUNCTION("""COMPUTED_VALUE"""),"")</f>
        <v/>
      </c>
      <c r="W1539" s="16" t="str">
        <f>IFERROR(__xludf.DUMMYFUNCTION("""COMPUTED_VALUE"""),"")</f>
        <v/>
      </c>
      <c r="X1539" s="16" t="str">
        <f>IFERROR(__xludf.DUMMYFUNCTION("""COMPUTED_VALUE"""),"")</f>
        <v/>
      </c>
      <c r="AC1539" s="16" t="str">
        <f>IFERROR(__xludf.DUMMYFUNCTION("""COMPUTED_VALUE"""),"")</f>
        <v/>
      </c>
    </row>
    <row r="1540">
      <c r="A1540" s="16" t="s">
        <v>87</v>
      </c>
      <c r="E1540" s="16" t="str">
        <f>IFERROR(__xludf.DUMMYFUNCTION("""COMPUTED_VALUE"""),"")</f>
        <v/>
      </c>
      <c r="G1540" s="18"/>
      <c r="H1540" s="16" t="s">
        <v>87</v>
      </c>
      <c r="I1540" s="16" t="s">
        <v>87</v>
      </c>
      <c r="J1540" s="19"/>
      <c r="L1540" s="16" t="str">
        <f>IFERROR(__xludf.DUMMYFUNCTION("""COMPUTED_VALUE"""),"")</f>
        <v/>
      </c>
      <c r="M1540" s="16" t="str">
        <f>IFERROR(__xludf.DUMMYFUNCTION("""COMPUTED_VALUE"""),"")</f>
        <v/>
      </c>
      <c r="U1540" s="16" t="s">
        <v>87</v>
      </c>
      <c r="V1540" s="16" t="str">
        <f>IFERROR(__xludf.DUMMYFUNCTION("""COMPUTED_VALUE"""),"")</f>
        <v/>
      </c>
      <c r="W1540" s="16" t="str">
        <f>IFERROR(__xludf.DUMMYFUNCTION("""COMPUTED_VALUE"""),"")</f>
        <v/>
      </c>
      <c r="X1540" s="16" t="str">
        <f>IFERROR(__xludf.DUMMYFUNCTION("""COMPUTED_VALUE"""),"")</f>
        <v/>
      </c>
      <c r="AC1540" s="16" t="str">
        <f>IFERROR(__xludf.DUMMYFUNCTION("""COMPUTED_VALUE"""),"")</f>
        <v/>
      </c>
    </row>
    <row r="1541">
      <c r="A1541" s="16" t="s">
        <v>87</v>
      </c>
      <c r="E1541" s="16" t="str">
        <f>IFERROR(__xludf.DUMMYFUNCTION("""COMPUTED_VALUE"""),"")</f>
        <v/>
      </c>
      <c r="G1541" s="18"/>
      <c r="H1541" s="16" t="s">
        <v>87</v>
      </c>
      <c r="I1541" s="16" t="s">
        <v>87</v>
      </c>
      <c r="J1541" s="19"/>
      <c r="L1541" s="16" t="str">
        <f>IFERROR(__xludf.DUMMYFUNCTION("""COMPUTED_VALUE"""),"")</f>
        <v/>
      </c>
      <c r="M1541" s="16" t="str">
        <f>IFERROR(__xludf.DUMMYFUNCTION("""COMPUTED_VALUE"""),"")</f>
        <v/>
      </c>
      <c r="U1541" s="16" t="s">
        <v>87</v>
      </c>
      <c r="V1541" s="16" t="str">
        <f>IFERROR(__xludf.DUMMYFUNCTION("""COMPUTED_VALUE"""),"")</f>
        <v/>
      </c>
      <c r="W1541" s="16" t="str">
        <f>IFERROR(__xludf.DUMMYFUNCTION("""COMPUTED_VALUE"""),"")</f>
        <v/>
      </c>
      <c r="X1541" s="16" t="str">
        <f>IFERROR(__xludf.DUMMYFUNCTION("""COMPUTED_VALUE"""),"")</f>
        <v/>
      </c>
      <c r="AC1541" s="16" t="str">
        <f>IFERROR(__xludf.DUMMYFUNCTION("""COMPUTED_VALUE"""),"")</f>
        <v/>
      </c>
    </row>
    <row r="1542">
      <c r="A1542" s="16" t="s">
        <v>87</v>
      </c>
      <c r="E1542" s="16" t="str">
        <f>IFERROR(__xludf.DUMMYFUNCTION("""COMPUTED_VALUE"""),"")</f>
        <v/>
      </c>
      <c r="G1542" s="18"/>
      <c r="H1542" s="16" t="s">
        <v>87</v>
      </c>
      <c r="I1542" s="16" t="s">
        <v>87</v>
      </c>
      <c r="J1542" s="19"/>
      <c r="L1542" s="16" t="str">
        <f>IFERROR(__xludf.DUMMYFUNCTION("""COMPUTED_VALUE"""),"")</f>
        <v/>
      </c>
      <c r="M1542" s="16" t="str">
        <f>IFERROR(__xludf.DUMMYFUNCTION("""COMPUTED_VALUE"""),"")</f>
        <v/>
      </c>
      <c r="U1542" s="16" t="s">
        <v>87</v>
      </c>
      <c r="V1542" s="16" t="str">
        <f>IFERROR(__xludf.DUMMYFUNCTION("""COMPUTED_VALUE"""),"")</f>
        <v/>
      </c>
      <c r="W1542" s="16" t="str">
        <f>IFERROR(__xludf.DUMMYFUNCTION("""COMPUTED_VALUE"""),"")</f>
        <v/>
      </c>
      <c r="X1542" s="16" t="str">
        <f>IFERROR(__xludf.DUMMYFUNCTION("""COMPUTED_VALUE"""),"")</f>
        <v/>
      </c>
      <c r="AC1542" s="16" t="str">
        <f>IFERROR(__xludf.DUMMYFUNCTION("""COMPUTED_VALUE"""),"")</f>
        <v/>
      </c>
    </row>
    <row r="1543">
      <c r="A1543" s="16" t="s">
        <v>87</v>
      </c>
      <c r="E1543" s="16" t="str">
        <f>IFERROR(__xludf.DUMMYFUNCTION("""COMPUTED_VALUE"""),"")</f>
        <v/>
      </c>
      <c r="G1543" s="18"/>
      <c r="H1543" s="16" t="s">
        <v>87</v>
      </c>
      <c r="I1543" s="16" t="s">
        <v>87</v>
      </c>
      <c r="J1543" s="19"/>
      <c r="L1543" s="16" t="str">
        <f>IFERROR(__xludf.DUMMYFUNCTION("""COMPUTED_VALUE"""),"")</f>
        <v/>
      </c>
      <c r="M1543" s="16" t="str">
        <f>IFERROR(__xludf.DUMMYFUNCTION("""COMPUTED_VALUE"""),"")</f>
        <v/>
      </c>
      <c r="U1543" s="16" t="s">
        <v>87</v>
      </c>
      <c r="V1543" s="16" t="str">
        <f>IFERROR(__xludf.DUMMYFUNCTION("""COMPUTED_VALUE"""),"")</f>
        <v/>
      </c>
      <c r="W1543" s="16" t="str">
        <f>IFERROR(__xludf.DUMMYFUNCTION("""COMPUTED_VALUE"""),"")</f>
        <v/>
      </c>
      <c r="X1543" s="16" t="str">
        <f>IFERROR(__xludf.DUMMYFUNCTION("""COMPUTED_VALUE"""),"")</f>
        <v/>
      </c>
      <c r="AC1543" s="16" t="str">
        <f>IFERROR(__xludf.DUMMYFUNCTION("""COMPUTED_VALUE"""),"")</f>
        <v/>
      </c>
    </row>
    <row r="1544">
      <c r="A1544" s="16" t="s">
        <v>87</v>
      </c>
      <c r="E1544" s="16" t="str">
        <f>IFERROR(__xludf.DUMMYFUNCTION("""COMPUTED_VALUE"""),"")</f>
        <v/>
      </c>
      <c r="G1544" s="18"/>
      <c r="H1544" s="16" t="s">
        <v>87</v>
      </c>
      <c r="I1544" s="16" t="s">
        <v>87</v>
      </c>
      <c r="J1544" s="19"/>
      <c r="L1544" s="16" t="str">
        <f>IFERROR(__xludf.DUMMYFUNCTION("""COMPUTED_VALUE"""),"")</f>
        <v/>
      </c>
      <c r="M1544" s="16" t="str">
        <f>IFERROR(__xludf.DUMMYFUNCTION("""COMPUTED_VALUE"""),"")</f>
        <v/>
      </c>
      <c r="U1544" s="16" t="s">
        <v>87</v>
      </c>
      <c r="V1544" s="16" t="str">
        <f>IFERROR(__xludf.DUMMYFUNCTION("""COMPUTED_VALUE"""),"")</f>
        <v/>
      </c>
      <c r="W1544" s="16" t="str">
        <f>IFERROR(__xludf.DUMMYFUNCTION("""COMPUTED_VALUE"""),"")</f>
        <v/>
      </c>
      <c r="X1544" s="16" t="str">
        <f>IFERROR(__xludf.DUMMYFUNCTION("""COMPUTED_VALUE"""),"")</f>
        <v/>
      </c>
      <c r="AC1544" s="16" t="str">
        <f>IFERROR(__xludf.DUMMYFUNCTION("""COMPUTED_VALUE"""),"")</f>
        <v/>
      </c>
    </row>
    <row r="1545">
      <c r="A1545" s="16" t="s">
        <v>87</v>
      </c>
      <c r="E1545" s="16" t="str">
        <f>IFERROR(__xludf.DUMMYFUNCTION("""COMPUTED_VALUE"""),"")</f>
        <v/>
      </c>
      <c r="G1545" s="18"/>
      <c r="H1545" s="16" t="s">
        <v>87</v>
      </c>
      <c r="I1545" s="16" t="s">
        <v>87</v>
      </c>
      <c r="J1545" s="19"/>
      <c r="L1545" s="16" t="str">
        <f>IFERROR(__xludf.DUMMYFUNCTION("""COMPUTED_VALUE"""),"")</f>
        <v/>
      </c>
      <c r="M1545" s="16" t="str">
        <f>IFERROR(__xludf.DUMMYFUNCTION("""COMPUTED_VALUE"""),"")</f>
        <v/>
      </c>
      <c r="U1545" s="16" t="s">
        <v>87</v>
      </c>
      <c r="V1545" s="16" t="str">
        <f>IFERROR(__xludf.DUMMYFUNCTION("""COMPUTED_VALUE"""),"")</f>
        <v/>
      </c>
      <c r="W1545" s="16" t="str">
        <f>IFERROR(__xludf.DUMMYFUNCTION("""COMPUTED_VALUE"""),"")</f>
        <v/>
      </c>
      <c r="X1545" s="16" t="str">
        <f>IFERROR(__xludf.DUMMYFUNCTION("""COMPUTED_VALUE"""),"")</f>
        <v/>
      </c>
      <c r="AC1545" s="16" t="str">
        <f>IFERROR(__xludf.DUMMYFUNCTION("""COMPUTED_VALUE"""),"")</f>
        <v/>
      </c>
    </row>
    <row r="1546">
      <c r="A1546" s="16" t="s">
        <v>87</v>
      </c>
      <c r="E1546" s="16" t="str">
        <f>IFERROR(__xludf.DUMMYFUNCTION("""COMPUTED_VALUE"""),"")</f>
        <v/>
      </c>
      <c r="G1546" s="18"/>
      <c r="H1546" s="16" t="s">
        <v>87</v>
      </c>
      <c r="I1546" s="16" t="s">
        <v>87</v>
      </c>
      <c r="J1546" s="19"/>
      <c r="L1546" s="16" t="str">
        <f>IFERROR(__xludf.DUMMYFUNCTION("""COMPUTED_VALUE"""),"")</f>
        <v/>
      </c>
      <c r="M1546" s="16" t="str">
        <f>IFERROR(__xludf.DUMMYFUNCTION("""COMPUTED_VALUE"""),"")</f>
        <v/>
      </c>
      <c r="U1546" s="16" t="s">
        <v>87</v>
      </c>
      <c r="V1546" s="16" t="str">
        <f>IFERROR(__xludf.DUMMYFUNCTION("""COMPUTED_VALUE"""),"")</f>
        <v/>
      </c>
      <c r="W1546" s="16" t="str">
        <f>IFERROR(__xludf.DUMMYFUNCTION("""COMPUTED_VALUE"""),"")</f>
        <v/>
      </c>
      <c r="X1546" s="16" t="str">
        <f>IFERROR(__xludf.DUMMYFUNCTION("""COMPUTED_VALUE"""),"")</f>
        <v/>
      </c>
      <c r="AC1546" s="16" t="str">
        <f>IFERROR(__xludf.DUMMYFUNCTION("""COMPUTED_VALUE"""),"")</f>
        <v/>
      </c>
    </row>
    <row r="1547">
      <c r="A1547" s="16" t="s">
        <v>87</v>
      </c>
      <c r="E1547" s="16" t="str">
        <f>IFERROR(__xludf.DUMMYFUNCTION("""COMPUTED_VALUE"""),"")</f>
        <v/>
      </c>
      <c r="G1547" s="18"/>
      <c r="H1547" s="16" t="s">
        <v>87</v>
      </c>
      <c r="I1547" s="16" t="s">
        <v>87</v>
      </c>
      <c r="J1547" s="19"/>
      <c r="L1547" s="16" t="str">
        <f>IFERROR(__xludf.DUMMYFUNCTION("""COMPUTED_VALUE"""),"")</f>
        <v/>
      </c>
      <c r="M1547" s="16" t="str">
        <f>IFERROR(__xludf.DUMMYFUNCTION("""COMPUTED_VALUE"""),"")</f>
        <v/>
      </c>
      <c r="U1547" s="16" t="s">
        <v>87</v>
      </c>
      <c r="V1547" s="16" t="str">
        <f>IFERROR(__xludf.DUMMYFUNCTION("""COMPUTED_VALUE"""),"")</f>
        <v/>
      </c>
      <c r="W1547" s="16" t="str">
        <f>IFERROR(__xludf.DUMMYFUNCTION("""COMPUTED_VALUE"""),"")</f>
        <v/>
      </c>
      <c r="X1547" s="16" t="str">
        <f>IFERROR(__xludf.DUMMYFUNCTION("""COMPUTED_VALUE"""),"")</f>
        <v/>
      </c>
      <c r="AC1547" s="16" t="str">
        <f>IFERROR(__xludf.DUMMYFUNCTION("""COMPUTED_VALUE"""),"")</f>
        <v/>
      </c>
    </row>
    <row r="1548">
      <c r="A1548" s="16" t="s">
        <v>87</v>
      </c>
      <c r="E1548" s="16" t="str">
        <f>IFERROR(__xludf.DUMMYFUNCTION("""COMPUTED_VALUE"""),"")</f>
        <v/>
      </c>
      <c r="G1548" s="18"/>
      <c r="H1548" s="16" t="s">
        <v>87</v>
      </c>
      <c r="I1548" s="16" t="s">
        <v>87</v>
      </c>
      <c r="J1548" s="19"/>
      <c r="L1548" s="16" t="str">
        <f>IFERROR(__xludf.DUMMYFUNCTION("""COMPUTED_VALUE"""),"")</f>
        <v/>
      </c>
      <c r="M1548" s="16" t="str">
        <f>IFERROR(__xludf.DUMMYFUNCTION("""COMPUTED_VALUE"""),"")</f>
        <v/>
      </c>
      <c r="U1548" s="16" t="s">
        <v>87</v>
      </c>
      <c r="V1548" s="16" t="str">
        <f>IFERROR(__xludf.DUMMYFUNCTION("""COMPUTED_VALUE"""),"")</f>
        <v/>
      </c>
      <c r="W1548" s="16" t="str">
        <f>IFERROR(__xludf.DUMMYFUNCTION("""COMPUTED_VALUE"""),"")</f>
        <v/>
      </c>
      <c r="X1548" s="16" t="str">
        <f>IFERROR(__xludf.DUMMYFUNCTION("""COMPUTED_VALUE"""),"")</f>
        <v/>
      </c>
      <c r="AC1548" s="16" t="str">
        <f>IFERROR(__xludf.DUMMYFUNCTION("""COMPUTED_VALUE"""),"")</f>
        <v/>
      </c>
    </row>
    <row r="1549">
      <c r="A1549" s="16" t="s">
        <v>87</v>
      </c>
      <c r="E1549" s="16" t="str">
        <f>IFERROR(__xludf.DUMMYFUNCTION("""COMPUTED_VALUE"""),"")</f>
        <v/>
      </c>
      <c r="G1549" s="18"/>
      <c r="H1549" s="16" t="s">
        <v>87</v>
      </c>
      <c r="I1549" s="16" t="s">
        <v>87</v>
      </c>
      <c r="J1549" s="19"/>
      <c r="L1549" s="16" t="str">
        <f>IFERROR(__xludf.DUMMYFUNCTION("""COMPUTED_VALUE"""),"")</f>
        <v/>
      </c>
      <c r="M1549" s="16" t="str">
        <f>IFERROR(__xludf.DUMMYFUNCTION("""COMPUTED_VALUE"""),"")</f>
        <v/>
      </c>
      <c r="U1549" s="16" t="s">
        <v>87</v>
      </c>
      <c r="V1549" s="16" t="str">
        <f>IFERROR(__xludf.DUMMYFUNCTION("""COMPUTED_VALUE"""),"")</f>
        <v/>
      </c>
      <c r="W1549" s="16" t="str">
        <f>IFERROR(__xludf.DUMMYFUNCTION("""COMPUTED_VALUE"""),"")</f>
        <v/>
      </c>
      <c r="X1549" s="16" t="str">
        <f>IFERROR(__xludf.DUMMYFUNCTION("""COMPUTED_VALUE"""),"")</f>
        <v/>
      </c>
      <c r="AC1549" s="16" t="str">
        <f>IFERROR(__xludf.DUMMYFUNCTION("""COMPUTED_VALUE"""),"")</f>
        <v/>
      </c>
    </row>
    <row r="1550">
      <c r="A1550" s="16" t="s">
        <v>87</v>
      </c>
      <c r="E1550" s="16" t="str">
        <f>IFERROR(__xludf.DUMMYFUNCTION("""COMPUTED_VALUE"""),"")</f>
        <v/>
      </c>
      <c r="G1550" s="18"/>
      <c r="H1550" s="16" t="s">
        <v>87</v>
      </c>
      <c r="I1550" s="16" t="s">
        <v>87</v>
      </c>
      <c r="J1550" s="19"/>
      <c r="L1550" s="16" t="str">
        <f>IFERROR(__xludf.DUMMYFUNCTION("""COMPUTED_VALUE"""),"")</f>
        <v/>
      </c>
      <c r="M1550" s="16" t="str">
        <f>IFERROR(__xludf.DUMMYFUNCTION("""COMPUTED_VALUE"""),"")</f>
        <v/>
      </c>
      <c r="U1550" s="16" t="s">
        <v>87</v>
      </c>
      <c r="V1550" s="16" t="str">
        <f>IFERROR(__xludf.DUMMYFUNCTION("""COMPUTED_VALUE"""),"")</f>
        <v/>
      </c>
      <c r="W1550" s="16" t="str">
        <f>IFERROR(__xludf.DUMMYFUNCTION("""COMPUTED_VALUE"""),"")</f>
        <v/>
      </c>
      <c r="X1550" s="16" t="str">
        <f>IFERROR(__xludf.DUMMYFUNCTION("""COMPUTED_VALUE"""),"")</f>
        <v/>
      </c>
      <c r="AC1550" s="16" t="str">
        <f>IFERROR(__xludf.DUMMYFUNCTION("""COMPUTED_VALUE"""),"")</f>
        <v/>
      </c>
    </row>
    <row r="1551">
      <c r="A1551" s="16" t="s">
        <v>87</v>
      </c>
      <c r="E1551" s="16" t="str">
        <f>IFERROR(__xludf.DUMMYFUNCTION("""COMPUTED_VALUE"""),"")</f>
        <v/>
      </c>
      <c r="G1551" s="18"/>
      <c r="H1551" s="16" t="s">
        <v>87</v>
      </c>
      <c r="I1551" s="16" t="s">
        <v>87</v>
      </c>
      <c r="J1551" s="19"/>
      <c r="L1551" s="16" t="str">
        <f>IFERROR(__xludf.DUMMYFUNCTION("""COMPUTED_VALUE"""),"")</f>
        <v/>
      </c>
      <c r="M1551" s="16" t="str">
        <f>IFERROR(__xludf.DUMMYFUNCTION("""COMPUTED_VALUE"""),"")</f>
        <v/>
      </c>
      <c r="U1551" s="16" t="s">
        <v>87</v>
      </c>
      <c r="V1551" s="16" t="str">
        <f>IFERROR(__xludf.DUMMYFUNCTION("""COMPUTED_VALUE"""),"")</f>
        <v/>
      </c>
      <c r="W1551" s="16" t="str">
        <f>IFERROR(__xludf.DUMMYFUNCTION("""COMPUTED_VALUE"""),"")</f>
        <v/>
      </c>
      <c r="X1551" s="16" t="str">
        <f>IFERROR(__xludf.DUMMYFUNCTION("""COMPUTED_VALUE"""),"")</f>
        <v/>
      </c>
      <c r="AC1551" s="16" t="str">
        <f>IFERROR(__xludf.DUMMYFUNCTION("""COMPUTED_VALUE"""),"")</f>
        <v/>
      </c>
    </row>
    <row r="1552">
      <c r="A1552" s="16" t="s">
        <v>87</v>
      </c>
      <c r="E1552" s="16" t="str">
        <f>IFERROR(__xludf.DUMMYFUNCTION("""COMPUTED_VALUE"""),"")</f>
        <v/>
      </c>
      <c r="G1552" s="18"/>
      <c r="H1552" s="16" t="s">
        <v>87</v>
      </c>
      <c r="I1552" s="16" t="s">
        <v>87</v>
      </c>
      <c r="J1552" s="19"/>
      <c r="L1552" s="16" t="str">
        <f>IFERROR(__xludf.DUMMYFUNCTION("""COMPUTED_VALUE"""),"")</f>
        <v/>
      </c>
      <c r="M1552" s="16" t="str">
        <f>IFERROR(__xludf.DUMMYFUNCTION("""COMPUTED_VALUE"""),"")</f>
        <v/>
      </c>
      <c r="U1552" s="16" t="s">
        <v>87</v>
      </c>
      <c r="V1552" s="16" t="str">
        <f>IFERROR(__xludf.DUMMYFUNCTION("""COMPUTED_VALUE"""),"")</f>
        <v/>
      </c>
      <c r="W1552" s="16" t="str">
        <f>IFERROR(__xludf.DUMMYFUNCTION("""COMPUTED_VALUE"""),"")</f>
        <v/>
      </c>
      <c r="X1552" s="16" t="str">
        <f>IFERROR(__xludf.DUMMYFUNCTION("""COMPUTED_VALUE"""),"")</f>
        <v/>
      </c>
      <c r="AC1552" s="16" t="str">
        <f>IFERROR(__xludf.DUMMYFUNCTION("""COMPUTED_VALUE"""),"")</f>
        <v/>
      </c>
    </row>
    <row r="1553">
      <c r="A1553" s="16" t="s">
        <v>87</v>
      </c>
      <c r="E1553" s="16" t="str">
        <f>IFERROR(__xludf.DUMMYFUNCTION("""COMPUTED_VALUE"""),"")</f>
        <v/>
      </c>
      <c r="G1553" s="18"/>
      <c r="H1553" s="16" t="s">
        <v>87</v>
      </c>
      <c r="I1553" s="16" t="s">
        <v>87</v>
      </c>
      <c r="J1553" s="19"/>
      <c r="L1553" s="16" t="str">
        <f>IFERROR(__xludf.DUMMYFUNCTION("""COMPUTED_VALUE"""),"")</f>
        <v/>
      </c>
      <c r="M1553" s="16" t="str">
        <f>IFERROR(__xludf.DUMMYFUNCTION("""COMPUTED_VALUE"""),"")</f>
        <v/>
      </c>
      <c r="U1553" s="16" t="s">
        <v>87</v>
      </c>
      <c r="V1553" s="16" t="str">
        <f>IFERROR(__xludf.DUMMYFUNCTION("""COMPUTED_VALUE"""),"")</f>
        <v/>
      </c>
      <c r="W1553" s="16" t="str">
        <f>IFERROR(__xludf.DUMMYFUNCTION("""COMPUTED_VALUE"""),"")</f>
        <v/>
      </c>
      <c r="X1553" s="16" t="str">
        <f>IFERROR(__xludf.DUMMYFUNCTION("""COMPUTED_VALUE"""),"")</f>
        <v/>
      </c>
      <c r="AC1553" s="16" t="str">
        <f>IFERROR(__xludf.DUMMYFUNCTION("""COMPUTED_VALUE"""),"")</f>
        <v/>
      </c>
    </row>
    <row r="1554">
      <c r="A1554" s="16" t="s">
        <v>87</v>
      </c>
      <c r="E1554" s="16" t="str">
        <f>IFERROR(__xludf.DUMMYFUNCTION("""COMPUTED_VALUE"""),"")</f>
        <v/>
      </c>
      <c r="G1554" s="18"/>
      <c r="H1554" s="16" t="s">
        <v>87</v>
      </c>
      <c r="I1554" s="16" t="s">
        <v>87</v>
      </c>
      <c r="J1554" s="19"/>
      <c r="L1554" s="16" t="str">
        <f>IFERROR(__xludf.DUMMYFUNCTION("""COMPUTED_VALUE"""),"")</f>
        <v/>
      </c>
      <c r="M1554" s="16" t="str">
        <f>IFERROR(__xludf.DUMMYFUNCTION("""COMPUTED_VALUE"""),"")</f>
        <v/>
      </c>
      <c r="U1554" s="16" t="s">
        <v>87</v>
      </c>
      <c r="V1554" s="16" t="str">
        <f>IFERROR(__xludf.DUMMYFUNCTION("""COMPUTED_VALUE"""),"")</f>
        <v/>
      </c>
      <c r="W1554" s="16" t="str">
        <f>IFERROR(__xludf.DUMMYFUNCTION("""COMPUTED_VALUE"""),"")</f>
        <v/>
      </c>
      <c r="X1554" s="16" t="str">
        <f>IFERROR(__xludf.DUMMYFUNCTION("""COMPUTED_VALUE"""),"")</f>
        <v/>
      </c>
      <c r="AC1554" s="16" t="str">
        <f>IFERROR(__xludf.DUMMYFUNCTION("""COMPUTED_VALUE"""),"")</f>
        <v/>
      </c>
    </row>
    <row r="1555">
      <c r="A1555" s="16" t="s">
        <v>87</v>
      </c>
      <c r="E1555" s="16" t="str">
        <f>IFERROR(__xludf.DUMMYFUNCTION("""COMPUTED_VALUE"""),"")</f>
        <v/>
      </c>
      <c r="G1555" s="18"/>
      <c r="H1555" s="16" t="s">
        <v>87</v>
      </c>
      <c r="I1555" s="16" t="s">
        <v>87</v>
      </c>
      <c r="J1555" s="19"/>
      <c r="L1555" s="16" t="str">
        <f>IFERROR(__xludf.DUMMYFUNCTION("""COMPUTED_VALUE"""),"")</f>
        <v/>
      </c>
      <c r="M1555" s="16" t="str">
        <f>IFERROR(__xludf.DUMMYFUNCTION("""COMPUTED_VALUE"""),"")</f>
        <v/>
      </c>
      <c r="U1555" s="16" t="s">
        <v>87</v>
      </c>
      <c r="V1555" s="16" t="str">
        <f>IFERROR(__xludf.DUMMYFUNCTION("""COMPUTED_VALUE"""),"")</f>
        <v/>
      </c>
      <c r="W1555" s="16" t="str">
        <f>IFERROR(__xludf.DUMMYFUNCTION("""COMPUTED_VALUE"""),"")</f>
        <v/>
      </c>
      <c r="X1555" s="16" t="str">
        <f>IFERROR(__xludf.DUMMYFUNCTION("""COMPUTED_VALUE"""),"")</f>
        <v/>
      </c>
      <c r="AC1555" s="16" t="str">
        <f>IFERROR(__xludf.DUMMYFUNCTION("""COMPUTED_VALUE"""),"")</f>
        <v/>
      </c>
    </row>
    <row r="1556">
      <c r="A1556" s="16" t="s">
        <v>87</v>
      </c>
      <c r="E1556" s="16" t="str">
        <f>IFERROR(__xludf.DUMMYFUNCTION("""COMPUTED_VALUE"""),"")</f>
        <v/>
      </c>
      <c r="G1556" s="18"/>
      <c r="H1556" s="16" t="s">
        <v>87</v>
      </c>
      <c r="I1556" s="16" t="s">
        <v>87</v>
      </c>
      <c r="J1556" s="19"/>
      <c r="L1556" s="16" t="str">
        <f>IFERROR(__xludf.DUMMYFUNCTION("""COMPUTED_VALUE"""),"")</f>
        <v/>
      </c>
      <c r="M1556" s="16" t="str">
        <f>IFERROR(__xludf.DUMMYFUNCTION("""COMPUTED_VALUE"""),"")</f>
        <v/>
      </c>
      <c r="U1556" s="16" t="s">
        <v>87</v>
      </c>
      <c r="V1556" s="16" t="str">
        <f>IFERROR(__xludf.DUMMYFUNCTION("""COMPUTED_VALUE"""),"")</f>
        <v/>
      </c>
      <c r="W1556" s="16" t="str">
        <f>IFERROR(__xludf.DUMMYFUNCTION("""COMPUTED_VALUE"""),"")</f>
        <v/>
      </c>
      <c r="X1556" s="16" t="str">
        <f>IFERROR(__xludf.DUMMYFUNCTION("""COMPUTED_VALUE"""),"")</f>
        <v/>
      </c>
      <c r="AC1556" s="16" t="str">
        <f>IFERROR(__xludf.DUMMYFUNCTION("""COMPUTED_VALUE"""),"")</f>
        <v/>
      </c>
    </row>
    <row r="1557">
      <c r="A1557" s="16" t="s">
        <v>87</v>
      </c>
      <c r="E1557" s="16" t="str">
        <f>IFERROR(__xludf.DUMMYFUNCTION("""COMPUTED_VALUE"""),"")</f>
        <v/>
      </c>
      <c r="G1557" s="18"/>
      <c r="H1557" s="16" t="s">
        <v>87</v>
      </c>
      <c r="I1557" s="16" t="s">
        <v>87</v>
      </c>
      <c r="J1557" s="19"/>
      <c r="L1557" s="16" t="str">
        <f>IFERROR(__xludf.DUMMYFUNCTION("""COMPUTED_VALUE"""),"")</f>
        <v/>
      </c>
      <c r="M1557" s="16" t="str">
        <f>IFERROR(__xludf.DUMMYFUNCTION("""COMPUTED_VALUE"""),"")</f>
        <v/>
      </c>
      <c r="U1557" s="16" t="s">
        <v>87</v>
      </c>
      <c r="V1557" s="16" t="str">
        <f>IFERROR(__xludf.DUMMYFUNCTION("""COMPUTED_VALUE"""),"")</f>
        <v/>
      </c>
      <c r="W1557" s="16" t="str">
        <f>IFERROR(__xludf.DUMMYFUNCTION("""COMPUTED_VALUE"""),"")</f>
        <v/>
      </c>
      <c r="X1557" s="16" t="str">
        <f>IFERROR(__xludf.DUMMYFUNCTION("""COMPUTED_VALUE"""),"")</f>
        <v/>
      </c>
      <c r="AC1557" s="16" t="str">
        <f>IFERROR(__xludf.DUMMYFUNCTION("""COMPUTED_VALUE"""),"")</f>
        <v/>
      </c>
    </row>
    <row r="1558">
      <c r="A1558" s="16" t="s">
        <v>87</v>
      </c>
      <c r="E1558" s="16" t="str">
        <f>IFERROR(__xludf.DUMMYFUNCTION("""COMPUTED_VALUE"""),"")</f>
        <v/>
      </c>
      <c r="G1558" s="18"/>
      <c r="H1558" s="16" t="s">
        <v>87</v>
      </c>
      <c r="I1558" s="16" t="s">
        <v>87</v>
      </c>
      <c r="J1558" s="19"/>
      <c r="L1558" s="16" t="str">
        <f>IFERROR(__xludf.DUMMYFUNCTION("""COMPUTED_VALUE"""),"")</f>
        <v/>
      </c>
      <c r="M1558" s="16" t="str">
        <f>IFERROR(__xludf.DUMMYFUNCTION("""COMPUTED_VALUE"""),"")</f>
        <v/>
      </c>
      <c r="U1558" s="16" t="s">
        <v>87</v>
      </c>
      <c r="V1558" s="16" t="str">
        <f>IFERROR(__xludf.DUMMYFUNCTION("""COMPUTED_VALUE"""),"")</f>
        <v/>
      </c>
      <c r="W1558" s="16" t="str">
        <f>IFERROR(__xludf.DUMMYFUNCTION("""COMPUTED_VALUE"""),"")</f>
        <v/>
      </c>
      <c r="X1558" s="16" t="str">
        <f>IFERROR(__xludf.DUMMYFUNCTION("""COMPUTED_VALUE"""),"")</f>
        <v/>
      </c>
      <c r="AC1558" s="16" t="str">
        <f>IFERROR(__xludf.DUMMYFUNCTION("""COMPUTED_VALUE"""),"")</f>
        <v/>
      </c>
    </row>
    <row r="1559">
      <c r="A1559" s="16" t="s">
        <v>87</v>
      </c>
      <c r="E1559" s="16" t="str">
        <f>IFERROR(__xludf.DUMMYFUNCTION("""COMPUTED_VALUE"""),"")</f>
        <v/>
      </c>
      <c r="G1559" s="18"/>
      <c r="H1559" s="16" t="s">
        <v>87</v>
      </c>
      <c r="I1559" s="16" t="s">
        <v>87</v>
      </c>
      <c r="J1559" s="19"/>
      <c r="L1559" s="16" t="str">
        <f>IFERROR(__xludf.DUMMYFUNCTION("""COMPUTED_VALUE"""),"")</f>
        <v/>
      </c>
      <c r="M1559" s="16" t="str">
        <f>IFERROR(__xludf.DUMMYFUNCTION("""COMPUTED_VALUE"""),"")</f>
        <v/>
      </c>
      <c r="U1559" s="16" t="s">
        <v>87</v>
      </c>
      <c r="V1559" s="16" t="str">
        <f>IFERROR(__xludf.DUMMYFUNCTION("""COMPUTED_VALUE"""),"")</f>
        <v/>
      </c>
      <c r="W1559" s="16" t="str">
        <f>IFERROR(__xludf.DUMMYFUNCTION("""COMPUTED_VALUE"""),"")</f>
        <v/>
      </c>
      <c r="X1559" s="16" t="str">
        <f>IFERROR(__xludf.DUMMYFUNCTION("""COMPUTED_VALUE"""),"")</f>
        <v/>
      </c>
      <c r="AC1559" s="16" t="str">
        <f>IFERROR(__xludf.DUMMYFUNCTION("""COMPUTED_VALUE"""),"")</f>
        <v/>
      </c>
    </row>
    <row r="1560">
      <c r="A1560" s="16" t="s">
        <v>87</v>
      </c>
      <c r="E1560" s="16" t="str">
        <f>IFERROR(__xludf.DUMMYFUNCTION("""COMPUTED_VALUE"""),"")</f>
        <v/>
      </c>
      <c r="G1560" s="18"/>
      <c r="H1560" s="16" t="s">
        <v>87</v>
      </c>
      <c r="I1560" s="16" t="s">
        <v>87</v>
      </c>
      <c r="J1560" s="19"/>
      <c r="L1560" s="16" t="str">
        <f>IFERROR(__xludf.DUMMYFUNCTION("""COMPUTED_VALUE"""),"")</f>
        <v/>
      </c>
      <c r="M1560" s="16" t="str">
        <f>IFERROR(__xludf.DUMMYFUNCTION("""COMPUTED_VALUE"""),"")</f>
        <v/>
      </c>
      <c r="U1560" s="16" t="s">
        <v>87</v>
      </c>
      <c r="V1560" s="16" t="str">
        <f>IFERROR(__xludf.DUMMYFUNCTION("""COMPUTED_VALUE"""),"")</f>
        <v/>
      </c>
      <c r="W1560" s="16" t="str">
        <f>IFERROR(__xludf.DUMMYFUNCTION("""COMPUTED_VALUE"""),"")</f>
        <v/>
      </c>
      <c r="X1560" s="16" t="str">
        <f>IFERROR(__xludf.DUMMYFUNCTION("""COMPUTED_VALUE"""),"")</f>
        <v/>
      </c>
      <c r="AC1560" s="16" t="str">
        <f>IFERROR(__xludf.DUMMYFUNCTION("""COMPUTED_VALUE"""),"")</f>
        <v/>
      </c>
    </row>
    <row r="1561">
      <c r="A1561" s="16" t="s">
        <v>87</v>
      </c>
      <c r="E1561" s="16" t="str">
        <f>IFERROR(__xludf.DUMMYFUNCTION("""COMPUTED_VALUE"""),"")</f>
        <v/>
      </c>
      <c r="G1561" s="18"/>
      <c r="H1561" s="16" t="s">
        <v>87</v>
      </c>
      <c r="I1561" s="16" t="s">
        <v>87</v>
      </c>
      <c r="J1561" s="19"/>
      <c r="L1561" s="16" t="str">
        <f>IFERROR(__xludf.DUMMYFUNCTION("""COMPUTED_VALUE"""),"")</f>
        <v/>
      </c>
      <c r="M1561" s="16" t="str">
        <f>IFERROR(__xludf.DUMMYFUNCTION("""COMPUTED_VALUE"""),"")</f>
        <v/>
      </c>
      <c r="U1561" s="16" t="s">
        <v>87</v>
      </c>
      <c r="V1561" s="16" t="str">
        <f>IFERROR(__xludf.DUMMYFUNCTION("""COMPUTED_VALUE"""),"")</f>
        <v/>
      </c>
      <c r="W1561" s="16" t="str">
        <f>IFERROR(__xludf.DUMMYFUNCTION("""COMPUTED_VALUE"""),"")</f>
        <v/>
      </c>
      <c r="X1561" s="16" t="str">
        <f>IFERROR(__xludf.DUMMYFUNCTION("""COMPUTED_VALUE"""),"")</f>
        <v/>
      </c>
      <c r="AC1561" s="16" t="str">
        <f>IFERROR(__xludf.DUMMYFUNCTION("""COMPUTED_VALUE"""),"")</f>
        <v/>
      </c>
    </row>
    <row r="1562">
      <c r="A1562" s="16" t="s">
        <v>87</v>
      </c>
      <c r="E1562" s="16" t="str">
        <f>IFERROR(__xludf.DUMMYFUNCTION("""COMPUTED_VALUE"""),"")</f>
        <v/>
      </c>
      <c r="G1562" s="18"/>
      <c r="H1562" s="16" t="s">
        <v>87</v>
      </c>
      <c r="I1562" s="16" t="s">
        <v>87</v>
      </c>
      <c r="J1562" s="19"/>
      <c r="L1562" s="16" t="str">
        <f>IFERROR(__xludf.DUMMYFUNCTION("""COMPUTED_VALUE"""),"")</f>
        <v/>
      </c>
      <c r="M1562" s="16" t="str">
        <f>IFERROR(__xludf.DUMMYFUNCTION("""COMPUTED_VALUE"""),"")</f>
        <v/>
      </c>
      <c r="U1562" s="16" t="s">
        <v>87</v>
      </c>
      <c r="V1562" s="16" t="str">
        <f>IFERROR(__xludf.DUMMYFUNCTION("""COMPUTED_VALUE"""),"")</f>
        <v/>
      </c>
      <c r="W1562" s="16" t="str">
        <f>IFERROR(__xludf.DUMMYFUNCTION("""COMPUTED_VALUE"""),"")</f>
        <v/>
      </c>
      <c r="X1562" s="16" t="str">
        <f>IFERROR(__xludf.DUMMYFUNCTION("""COMPUTED_VALUE"""),"")</f>
        <v/>
      </c>
      <c r="AC1562" s="16" t="str">
        <f>IFERROR(__xludf.DUMMYFUNCTION("""COMPUTED_VALUE"""),"")</f>
        <v/>
      </c>
    </row>
    <row r="1563">
      <c r="A1563" s="16" t="s">
        <v>87</v>
      </c>
      <c r="E1563" s="16" t="str">
        <f>IFERROR(__xludf.DUMMYFUNCTION("""COMPUTED_VALUE"""),"")</f>
        <v/>
      </c>
      <c r="G1563" s="18"/>
      <c r="H1563" s="16" t="s">
        <v>87</v>
      </c>
      <c r="I1563" s="16" t="s">
        <v>87</v>
      </c>
      <c r="J1563" s="19"/>
      <c r="L1563" s="16" t="str">
        <f>IFERROR(__xludf.DUMMYFUNCTION("""COMPUTED_VALUE"""),"")</f>
        <v/>
      </c>
      <c r="M1563" s="16" t="str">
        <f>IFERROR(__xludf.DUMMYFUNCTION("""COMPUTED_VALUE"""),"")</f>
        <v/>
      </c>
      <c r="U1563" s="16" t="s">
        <v>87</v>
      </c>
      <c r="V1563" s="16" t="str">
        <f>IFERROR(__xludf.DUMMYFUNCTION("""COMPUTED_VALUE"""),"")</f>
        <v/>
      </c>
      <c r="W1563" s="16" t="str">
        <f>IFERROR(__xludf.DUMMYFUNCTION("""COMPUTED_VALUE"""),"")</f>
        <v/>
      </c>
      <c r="X1563" s="16" t="str">
        <f>IFERROR(__xludf.DUMMYFUNCTION("""COMPUTED_VALUE"""),"")</f>
        <v/>
      </c>
      <c r="AC1563" s="16" t="str">
        <f>IFERROR(__xludf.DUMMYFUNCTION("""COMPUTED_VALUE"""),"")</f>
        <v/>
      </c>
    </row>
    <row r="1564">
      <c r="A1564" s="16" t="s">
        <v>87</v>
      </c>
      <c r="E1564" s="16" t="str">
        <f>IFERROR(__xludf.DUMMYFUNCTION("""COMPUTED_VALUE"""),"")</f>
        <v/>
      </c>
      <c r="G1564" s="18"/>
      <c r="H1564" s="16" t="s">
        <v>87</v>
      </c>
      <c r="I1564" s="16" t="s">
        <v>87</v>
      </c>
      <c r="J1564" s="19"/>
      <c r="L1564" s="16" t="str">
        <f>IFERROR(__xludf.DUMMYFUNCTION("""COMPUTED_VALUE"""),"")</f>
        <v/>
      </c>
      <c r="M1564" s="16" t="str">
        <f>IFERROR(__xludf.DUMMYFUNCTION("""COMPUTED_VALUE"""),"")</f>
        <v/>
      </c>
      <c r="U1564" s="16" t="s">
        <v>87</v>
      </c>
      <c r="V1564" s="16" t="str">
        <f>IFERROR(__xludf.DUMMYFUNCTION("""COMPUTED_VALUE"""),"")</f>
        <v/>
      </c>
      <c r="W1564" s="16" t="str">
        <f>IFERROR(__xludf.DUMMYFUNCTION("""COMPUTED_VALUE"""),"")</f>
        <v/>
      </c>
      <c r="X1564" s="16" t="str">
        <f>IFERROR(__xludf.DUMMYFUNCTION("""COMPUTED_VALUE"""),"")</f>
        <v/>
      </c>
      <c r="AC1564" s="16" t="str">
        <f>IFERROR(__xludf.DUMMYFUNCTION("""COMPUTED_VALUE"""),"")</f>
        <v/>
      </c>
    </row>
    <row r="1565">
      <c r="A1565" s="16" t="s">
        <v>87</v>
      </c>
      <c r="E1565" s="16" t="str">
        <f>IFERROR(__xludf.DUMMYFUNCTION("""COMPUTED_VALUE"""),"")</f>
        <v/>
      </c>
      <c r="G1565" s="18"/>
      <c r="H1565" s="16" t="s">
        <v>87</v>
      </c>
      <c r="I1565" s="16" t="s">
        <v>87</v>
      </c>
      <c r="J1565" s="19"/>
      <c r="L1565" s="16" t="str">
        <f>IFERROR(__xludf.DUMMYFUNCTION("""COMPUTED_VALUE"""),"")</f>
        <v/>
      </c>
      <c r="M1565" s="16" t="str">
        <f>IFERROR(__xludf.DUMMYFUNCTION("""COMPUTED_VALUE"""),"")</f>
        <v/>
      </c>
      <c r="U1565" s="16" t="s">
        <v>87</v>
      </c>
      <c r="V1565" s="16" t="str">
        <f>IFERROR(__xludf.DUMMYFUNCTION("""COMPUTED_VALUE"""),"")</f>
        <v/>
      </c>
      <c r="W1565" s="16" t="str">
        <f>IFERROR(__xludf.DUMMYFUNCTION("""COMPUTED_VALUE"""),"")</f>
        <v/>
      </c>
      <c r="X1565" s="16" t="str">
        <f>IFERROR(__xludf.DUMMYFUNCTION("""COMPUTED_VALUE"""),"")</f>
        <v/>
      </c>
      <c r="AC1565" s="16" t="str">
        <f>IFERROR(__xludf.DUMMYFUNCTION("""COMPUTED_VALUE"""),"")</f>
        <v/>
      </c>
    </row>
    <row r="1566">
      <c r="A1566" s="16" t="s">
        <v>87</v>
      </c>
      <c r="E1566" s="16" t="str">
        <f>IFERROR(__xludf.DUMMYFUNCTION("""COMPUTED_VALUE"""),"")</f>
        <v/>
      </c>
      <c r="G1566" s="18"/>
      <c r="H1566" s="16" t="s">
        <v>87</v>
      </c>
      <c r="I1566" s="16" t="s">
        <v>87</v>
      </c>
      <c r="J1566" s="19"/>
      <c r="L1566" s="16" t="str">
        <f>IFERROR(__xludf.DUMMYFUNCTION("""COMPUTED_VALUE"""),"")</f>
        <v/>
      </c>
      <c r="M1566" s="16" t="str">
        <f>IFERROR(__xludf.DUMMYFUNCTION("""COMPUTED_VALUE"""),"")</f>
        <v/>
      </c>
      <c r="U1566" s="16" t="s">
        <v>87</v>
      </c>
      <c r="V1566" s="16" t="str">
        <f>IFERROR(__xludf.DUMMYFUNCTION("""COMPUTED_VALUE"""),"")</f>
        <v/>
      </c>
      <c r="W1566" s="16" t="str">
        <f>IFERROR(__xludf.DUMMYFUNCTION("""COMPUTED_VALUE"""),"")</f>
        <v/>
      </c>
      <c r="X1566" s="16" t="str">
        <f>IFERROR(__xludf.DUMMYFUNCTION("""COMPUTED_VALUE"""),"")</f>
        <v/>
      </c>
      <c r="AC1566" s="16" t="str">
        <f>IFERROR(__xludf.DUMMYFUNCTION("""COMPUTED_VALUE"""),"")</f>
        <v/>
      </c>
    </row>
    <row r="1567">
      <c r="A1567" s="16" t="s">
        <v>87</v>
      </c>
      <c r="E1567" s="16" t="str">
        <f>IFERROR(__xludf.DUMMYFUNCTION("""COMPUTED_VALUE"""),"")</f>
        <v/>
      </c>
      <c r="G1567" s="18"/>
      <c r="H1567" s="16" t="s">
        <v>87</v>
      </c>
      <c r="I1567" s="16" t="s">
        <v>87</v>
      </c>
      <c r="J1567" s="19"/>
      <c r="L1567" s="16" t="str">
        <f>IFERROR(__xludf.DUMMYFUNCTION("""COMPUTED_VALUE"""),"")</f>
        <v/>
      </c>
      <c r="M1567" s="16" t="str">
        <f>IFERROR(__xludf.DUMMYFUNCTION("""COMPUTED_VALUE"""),"")</f>
        <v/>
      </c>
      <c r="U1567" s="16" t="s">
        <v>87</v>
      </c>
      <c r="V1567" s="16" t="str">
        <f>IFERROR(__xludf.DUMMYFUNCTION("""COMPUTED_VALUE"""),"")</f>
        <v/>
      </c>
      <c r="W1567" s="16" t="str">
        <f>IFERROR(__xludf.DUMMYFUNCTION("""COMPUTED_VALUE"""),"")</f>
        <v/>
      </c>
      <c r="X1567" s="16" t="str">
        <f>IFERROR(__xludf.DUMMYFUNCTION("""COMPUTED_VALUE"""),"")</f>
        <v/>
      </c>
      <c r="AC1567" s="16" t="str">
        <f>IFERROR(__xludf.DUMMYFUNCTION("""COMPUTED_VALUE"""),"")</f>
        <v/>
      </c>
    </row>
    <row r="1568">
      <c r="A1568" s="16" t="s">
        <v>87</v>
      </c>
      <c r="E1568" s="16" t="str">
        <f>IFERROR(__xludf.DUMMYFUNCTION("""COMPUTED_VALUE"""),"")</f>
        <v/>
      </c>
      <c r="G1568" s="18"/>
      <c r="H1568" s="16" t="s">
        <v>87</v>
      </c>
      <c r="I1568" s="16" t="s">
        <v>87</v>
      </c>
      <c r="J1568" s="19"/>
      <c r="L1568" s="16" t="str">
        <f>IFERROR(__xludf.DUMMYFUNCTION("""COMPUTED_VALUE"""),"")</f>
        <v/>
      </c>
      <c r="M1568" s="16" t="str">
        <f>IFERROR(__xludf.DUMMYFUNCTION("""COMPUTED_VALUE"""),"")</f>
        <v/>
      </c>
      <c r="U1568" s="16" t="s">
        <v>87</v>
      </c>
      <c r="V1568" s="16" t="str">
        <f>IFERROR(__xludf.DUMMYFUNCTION("""COMPUTED_VALUE"""),"")</f>
        <v/>
      </c>
      <c r="W1568" s="16" t="str">
        <f>IFERROR(__xludf.DUMMYFUNCTION("""COMPUTED_VALUE"""),"")</f>
        <v/>
      </c>
      <c r="X1568" s="16" t="str">
        <f>IFERROR(__xludf.DUMMYFUNCTION("""COMPUTED_VALUE"""),"")</f>
        <v/>
      </c>
      <c r="AC1568" s="16" t="str">
        <f>IFERROR(__xludf.DUMMYFUNCTION("""COMPUTED_VALUE"""),"")</f>
        <v/>
      </c>
    </row>
    <row r="1569">
      <c r="A1569" s="16" t="s">
        <v>87</v>
      </c>
      <c r="E1569" s="16" t="str">
        <f>IFERROR(__xludf.DUMMYFUNCTION("""COMPUTED_VALUE"""),"")</f>
        <v/>
      </c>
      <c r="G1569" s="18"/>
      <c r="H1569" s="16" t="s">
        <v>87</v>
      </c>
      <c r="I1569" s="16" t="s">
        <v>87</v>
      </c>
      <c r="J1569" s="19"/>
      <c r="L1569" s="16" t="str">
        <f>IFERROR(__xludf.DUMMYFUNCTION("""COMPUTED_VALUE"""),"")</f>
        <v/>
      </c>
      <c r="M1569" s="16" t="str">
        <f>IFERROR(__xludf.DUMMYFUNCTION("""COMPUTED_VALUE"""),"")</f>
        <v/>
      </c>
      <c r="U1569" s="16" t="s">
        <v>87</v>
      </c>
      <c r="V1569" s="16" t="str">
        <f>IFERROR(__xludf.DUMMYFUNCTION("""COMPUTED_VALUE"""),"")</f>
        <v/>
      </c>
      <c r="W1569" s="16" t="str">
        <f>IFERROR(__xludf.DUMMYFUNCTION("""COMPUTED_VALUE"""),"")</f>
        <v/>
      </c>
      <c r="X1569" s="16" t="str">
        <f>IFERROR(__xludf.DUMMYFUNCTION("""COMPUTED_VALUE"""),"")</f>
        <v/>
      </c>
      <c r="AC1569" s="16" t="str">
        <f>IFERROR(__xludf.DUMMYFUNCTION("""COMPUTED_VALUE"""),"")</f>
        <v/>
      </c>
    </row>
    <row r="1570">
      <c r="A1570" s="16" t="s">
        <v>87</v>
      </c>
      <c r="E1570" s="16" t="str">
        <f>IFERROR(__xludf.DUMMYFUNCTION("""COMPUTED_VALUE"""),"")</f>
        <v/>
      </c>
      <c r="G1570" s="18"/>
      <c r="H1570" s="16" t="s">
        <v>87</v>
      </c>
      <c r="I1570" s="16" t="s">
        <v>87</v>
      </c>
      <c r="J1570" s="19"/>
      <c r="L1570" s="16" t="str">
        <f>IFERROR(__xludf.DUMMYFUNCTION("""COMPUTED_VALUE"""),"")</f>
        <v/>
      </c>
      <c r="M1570" s="16" t="str">
        <f>IFERROR(__xludf.DUMMYFUNCTION("""COMPUTED_VALUE"""),"")</f>
        <v/>
      </c>
      <c r="U1570" s="16" t="s">
        <v>87</v>
      </c>
      <c r="V1570" s="16" t="str">
        <f>IFERROR(__xludf.DUMMYFUNCTION("""COMPUTED_VALUE"""),"")</f>
        <v/>
      </c>
      <c r="W1570" s="16" t="str">
        <f>IFERROR(__xludf.DUMMYFUNCTION("""COMPUTED_VALUE"""),"")</f>
        <v/>
      </c>
      <c r="X1570" s="16" t="str">
        <f>IFERROR(__xludf.DUMMYFUNCTION("""COMPUTED_VALUE"""),"")</f>
        <v/>
      </c>
      <c r="AC1570" s="16" t="str">
        <f>IFERROR(__xludf.DUMMYFUNCTION("""COMPUTED_VALUE"""),"")</f>
        <v/>
      </c>
    </row>
    <row r="1571">
      <c r="A1571" s="16" t="s">
        <v>87</v>
      </c>
      <c r="E1571" s="16" t="str">
        <f>IFERROR(__xludf.DUMMYFUNCTION("""COMPUTED_VALUE"""),"")</f>
        <v/>
      </c>
      <c r="G1571" s="18"/>
      <c r="H1571" s="16" t="s">
        <v>87</v>
      </c>
      <c r="I1571" s="16" t="s">
        <v>87</v>
      </c>
      <c r="J1571" s="19"/>
      <c r="L1571" s="16" t="str">
        <f>IFERROR(__xludf.DUMMYFUNCTION("""COMPUTED_VALUE"""),"")</f>
        <v/>
      </c>
      <c r="M1571" s="16" t="str">
        <f>IFERROR(__xludf.DUMMYFUNCTION("""COMPUTED_VALUE"""),"")</f>
        <v/>
      </c>
      <c r="U1571" s="16" t="s">
        <v>87</v>
      </c>
      <c r="V1571" s="16" t="str">
        <f>IFERROR(__xludf.DUMMYFUNCTION("""COMPUTED_VALUE"""),"")</f>
        <v/>
      </c>
      <c r="W1571" s="16" t="str">
        <f>IFERROR(__xludf.DUMMYFUNCTION("""COMPUTED_VALUE"""),"")</f>
        <v/>
      </c>
      <c r="X1571" s="16" t="str">
        <f>IFERROR(__xludf.DUMMYFUNCTION("""COMPUTED_VALUE"""),"")</f>
        <v/>
      </c>
      <c r="AC1571" s="16" t="str">
        <f>IFERROR(__xludf.DUMMYFUNCTION("""COMPUTED_VALUE"""),"")</f>
        <v/>
      </c>
    </row>
    <row r="1572">
      <c r="A1572" s="16" t="s">
        <v>87</v>
      </c>
      <c r="E1572" s="16" t="str">
        <f>IFERROR(__xludf.DUMMYFUNCTION("""COMPUTED_VALUE"""),"")</f>
        <v/>
      </c>
      <c r="G1572" s="18"/>
      <c r="H1572" s="16" t="s">
        <v>87</v>
      </c>
      <c r="I1572" s="16" t="s">
        <v>87</v>
      </c>
      <c r="J1572" s="19"/>
      <c r="L1572" s="16" t="str">
        <f>IFERROR(__xludf.DUMMYFUNCTION("""COMPUTED_VALUE"""),"")</f>
        <v/>
      </c>
      <c r="M1572" s="16" t="str">
        <f>IFERROR(__xludf.DUMMYFUNCTION("""COMPUTED_VALUE"""),"")</f>
        <v/>
      </c>
      <c r="U1572" s="16" t="s">
        <v>87</v>
      </c>
      <c r="V1572" s="16" t="str">
        <f>IFERROR(__xludf.DUMMYFUNCTION("""COMPUTED_VALUE"""),"")</f>
        <v/>
      </c>
      <c r="W1572" s="16" t="str">
        <f>IFERROR(__xludf.DUMMYFUNCTION("""COMPUTED_VALUE"""),"")</f>
        <v/>
      </c>
      <c r="X1572" s="16" t="str">
        <f>IFERROR(__xludf.DUMMYFUNCTION("""COMPUTED_VALUE"""),"")</f>
        <v/>
      </c>
      <c r="AC1572" s="16" t="str">
        <f>IFERROR(__xludf.DUMMYFUNCTION("""COMPUTED_VALUE"""),"")</f>
        <v/>
      </c>
    </row>
    <row r="1573">
      <c r="A1573" s="16" t="s">
        <v>87</v>
      </c>
      <c r="E1573" s="16" t="str">
        <f>IFERROR(__xludf.DUMMYFUNCTION("""COMPUTED_VALUE"""),"")</f>
        <v/>
      </c>
      <c r="G1573" s="18"/>
      <c r="H1573" s="16" t="s">
        <v>87</v>
      </c>
      <c r="I1573" s="16" t="s">
        <v>87</v>
      </c>
      <c r="J1573" s="19"/>
      <c r="L1573" s="16" t="str">
        <f>IFERROR(__xludf.DUMMYFUNCTION("""COMPUTED_VALUE"""),"")</f>
        <v/>
      </c>
      <c r="M1573" s="16" t="str">
        <f>IFERROR(__xludf.DUMMYFUNCTION("""COMPUTED_VALUE"""),"")</f>
        <v/>
      </c>
      <c r="U1573" s="16" t="s">
        <v>87</v>
      </c>
      <c r="V1573" s="16" t="str">
        <f>IFERROR(__xludf.DUMMYFUNCTION("""COMPUTED_VALUE"""),"")</f>
        <v/>
      </c>
      <c r="W1573" s="16" t="str">
        <f>IFERROR(__xludf.DUMMYFUNCTION("""COMPUTED_VALUE"""),"")</f>
        <v/>
      </c>
      <c r="X1573" s="16" t="str">
        <f>IFERROR(__xludf.DUMMYFUNCTION("""COMPUTED_VALUE"""),"")</f>
        <v/>
      </c>
      <c r="AC1573" s="16" t="str">
        <f>IFERROR(__xludf.DUMMYFUNCTION("""COMPUTED_VALUE"""),"")</f>
        <v/>
      </c>
    </row>
    <row r="1574">
      <c r="A1574" s="16" t="s">
        <v>87</v>
      </c>
      <c r="E1574" s="16" t="str">
        <f>IFERROR(__xludf.DUMMYFUNCTION("""COMPUTED_VALUE"""),"")</f>
        <v/>
      </c>
      <c r="G1574" s="18"/>
      <c r="H1574" s="16" t="s">
        <v>87</v>
      </c>
      <c r="I1574" s="16" t="s">
        <v>87</v>
      </c>
      <c r="J1574" s="19"/>
      <c r="L1574" s="16" t="str">
        <f>IFERROR(__xludf.DUMMYFUNCTION("""COMPUTED_VALUE"""),"")</f>
        <v/>
      </c>
      <c r="M1574" s="16" t="str">
        <f>IFERROR(__xludf.DUMMYFUNCTION("""COMPUTED_VALUE"""),"")</f>
        <v/>
      </c>
      <c r="U1574" s="16" t="s">
        <v>87</v>
      </c>
      <c r="V1574" s="16" t="str">
        <f>IFERROR(__xludf.DUMMYFUNCTION("""COMPUTED_VALUE"""),"")</f>
        <v/>
      </c>
      <c r="W1574" s="16" t="str">
        <f>IFERROR(__xludf.DUMMYFUNCTION("""COMPUTED_VALUE"""),"")</f>
        <v/>
      </c>
      <c r="X1574" s="16" t="str">
        <f>IFERROR(__xludf.DUMMYFUNCTION("""COMPUTED_VALUE"""),"")</f>
        <v/>
      </c>
      <c r="AC1574" s="16" t="str">
        <f>IFERROR(__xludf.DUMMYFUNCTION("""COMPUTED_VALUE"""),"")</f>
        <v/>
      </c>
    </row>
    <row r="1575">
      <c r="A1575" s="16" t="s">
        <v>87</v>
      </c>
      <c r="E1575" s="16" t="str">
        <f>IFERROR(__xludf.DUMMYFUNCTION("""COMPUTED_VALUE"""),"")</f>
        <v/>
      </c>
      <c r="G1575" s="18"/>
      <c r="H1575" s="16" t="s">
        <v>87</v>
      </c>
      <c r="I1575" s="16" t="s">
        <v>87</v>
      </c>
      <c r="J1575" s="19"/>
      <c r="L1575" s="16" t="str">
        <f>IFERROR(__xludf.DUMMYFUNCTION("""COMPUTED_VALUE"""),"")</f>
        <v/>
      </c>
      <c r="M1575" s="16" t="str">
        <f>IFERROR(__xludf.DUMMYFUNCTION("""COMPUTED_VALUE"""),"")</f>
        <v/>
      </c>
      <c r="U1575" s="16" t="s">
        <v>87</v>
      </c>
      <c r="V1575" s="16" t="str">
        <f>IFERROR(__xludf.DUMMYFUNCTION("""COMPUTED_VALUE"""),"")</f>
        <v/>
      </c>
      <c r="W1575" s="16" t="str">
        <f>IFERROR(__xludf.DUMMYFUNCTION("""COMPUTED_VALUE"""),"")</f>
        <v/>
      </c>
      <c r="X1575" s="16" t="str">
        <f>IFERROR(__xludf.DUMMYFUNCTION("""COMPUTED_VALUE"""),"")</f>
        <v/>
      </c>
      <c r="AC1575" s="16" t="str">
        <f>IFERROR(__xludf.DUMMYFUNCTION("""COMPUTED_VALUE"""),"")</f>
        <v/>
      </c>
    </row>
    <row r="1576">
      <c r="A1576" s="16" t="s">
        <v>87</v>
      </c>
      <c r="E1576" s="16" t="str">
        <f>IFERROR(__xludf.DUMMYFUNCTION("""COMPUTED_VALUE"""),"")</f>
        <v/>
      </c>
      <c r="G1576" s="18"/>
      <c r="H1576" s="16" t="s">
        <v>87</v>
      </c>
      <c r="I1576" s="16" t="s">
        <v>87</v>
      </c>
      <c r="J1576" s="19"/>
      <c r="L1576" s="16" t="str">
        <f>IFERROR(__xludf.DUMMYFUNCTION("""COMPUTED_VALUE"""),"")</f>
        <v/>
      </c>
      <c r="M1576" s="16" t="str">
        <f>IFERROR(__xludf.DUMMYFUNCTION("""COMPUTED_VALUE"""),"")</f>
        <v/>
      </c>
      <c r="U1576" s="16" t="s">
        <v>87</v>
      </c>
      <c r="V1576" s="16" t="str">
        <f>IFERROR(__xludf.DUMMYFUNCTION("""COMPUTED_VALUE"""),"")</f>
        <v/>
      </c>
      <c r="W1576" s="16" t="str">
        <f>IFERROR(__xludf.DUMMYFUNCTION("""COMPUTED_VALUE"""),"")</f>
        <v/>
      </c>
      <c r="X1576" s="16" t="str">
        <f>IFERROR(__xludf.DUMMYFUNCTION("""COMPUTED_VALUE"""),"")</f>
        <v/>
      </c>
      <c r="AC1576" s="16" t="str">
        <f>IFERROR(__xludf.DUMMYFUNCTION("""COMPUTED_VALUE"""),"")</f>
        <v/>
      </c>
    </row>
    <row r="1577">
      <c r="A1577" s="16" t="s">
        <v>87</v>
      </c>
      <c r="E1577" s="16" t="str">
        <f>IFERROR(__xludf.DUMMYFUNCTION("""COMPUTED_VALUE"""),"")</f>
        <v/>
      </c>
      <c r="G1577" s="18"/>
      <c r="H1577" s="16" t="s">
        <v>87</v>
      </c>
      <c r="I1577" s="16" t="s">
        <v>87</v>
      </c>
      <c r="J1577" s="19"/>
      <c r="L1577" s="16" t="str">
        <f>IFERROR(__xludf.DUMMYFUNCTION("""COMPUTED_VALUE"""),"")</f>
        <v/>
      </c>
      <c r="M1577" s="16" t="str">
        <f>IFERROR(__xludf.DUMMYFUNCTION("""COMPUTED_VALUE"""),"")</f>
        <v/>
      </c>
      <c r="U1577" s="16" t="s">
        <v>87</v>
      </c>
      <c r="V1577" s="16" t="str">
        <f>IFERROR(__xludf.DUMMYFUNCTION("""COMPUTED_VALUE"""),"")</f>
        <v/>
      </c>
      <c r="W1577" s="16" t="str">
        <f>IFERROR(__xludf.DUMMYFUNCTION("""COMPUTED_VALUE"""),"")</f>
        <v/>
      </c>
      <c r="X1577" s="16" t="str">
        <f>IFERROR(__xludf.DUMMYFUNCTION("""COMPUTED_VALUE"""),"")</f>
        <v/>
      </c>
      <c r="AC1577" s="16" t="str">
        <f>IFERROR(__xludf.DUMMYFUNCTION("""COMPUTED_VALUE"""),"")</f>
        <v/>
      </c>
    </row>
    <row r="1578">
      <c r="A1578" s="16" t="s">
        <v>87</v>
      </c>
      <c r="E1578" s="16" t="str">
        <f>IFERROR(__xludf.DUMMYFUNCTION("""COMPUTED_VALUE"""),"")</f>
        <v/>
      </c>
      <c r="G1578" s="18"/>
      <c r="H1578" s="16" t="s">
        <v>87</v>
      </c>
      <c r="I1578" s="16" t="s">
        <v>87</v>
      </c>
      <c r="J1578" s="19"/>
      <c r="L1578" s="16" t="str">
        <f>IFERROR(__xludf.DUMMYFUNCTION("""COMPUTED_VALUE"""),"")</f>
        <v/>
      </c>
      <c r="M1578" s="16" t="str">
        <f>IFERROR(__xludf.DUMMYFUNCTION("""COMPUTED_VALUE"""),"")</f>
        <v/>
      </c>
      <c r="U1578" s="16" t="s">
        <v>87</v>
      </c>
      <c r="V1578" s="16" t="str">
        <f>IFERROR(__xludf.DUMMYFUNCTION("""COMPUTED_VALUE"""),"")</f>
        <v/>
      </c>
      <c r="W1578" s="16" t="str">
        <f>IFERROR(__xludf.DUMMYFUNCTION("""COMPUTED_VALUE"""),"")</f>
        <v/>
      </c>
      <c r="X1578" s="16" t="str">
        <f>IFERROR(__xludf.DUMMYFUNCTION("""COMPUTED_VALUE"""),"")</f>
        <v/>
      </c>
      <c r="AC1578" s="16" t="str">
        <f>IFERROR(__xludf.DUMMYFUNCTION("""COMPUTED_VALUE"""),"")</f>
        <v/>
      </c>
    </row>
    <row r="1579">
      <c r="A1579" s="16" t="s">
        <v>87</v>
      </c>
      <c r="E1579" s="16" t="str">
        <f>IFERROR(__xludf.DUMMYFUNCTION("""COMPUTED_VALUE"""),"")</f>
        <v/>
      </c>
      <c r="G1579" s="18"/>
      <c r="H1579" s="16" t="s">
        <v>87</v>
      </c>
      <c r="I1579" s="16" t="s">
        <v>87</v>
      </c>
      <c r="J1579" s="19"/>
      <c r="L1579" s="16" t="str">
        <f>IFERROR(__xludf.DUMMYFUNCTION("""COMPUTED_VALUE"""),"")</f>
        <v/>
      </c>
      <c r="M1579" s="16" t="str">
        <f>IFERROR(__xludf.DUMMYFUNCTION("""COMPUTED_VALUE"""),"")</f>
        <v/>
      </c>
      <c r="U1579" s="16" t="s">
        <v>87</v>
      </c>
      <c r="V1579" s="16" t="str">
        <f>IFERROR(__xludf.DUMMYFUNCTION("""COMPUTED_VALUE"""),"")</f>
        <v/>
      </c>
      <c r="W1579" s="16" t="str">
        <f>IFERROR(__xludf.DUMMYFUNCTION("""COMPUTED_VALUE"""),"")</f>
        <v/>
      </c>
      <c r="X1579" s="16" t="str">
        <f>IFERROR(__xludf.DUMMYFUNCTION("""COMPUTED_VALUE"""),"")</f>
        <v/>
      </c>
      <c r="AC1579" s="16" t="str">
        <f>IFERROR(__xludf.DUMMYFUNCTION("""COMPUTED_VALUE"""),"")</f>
        <v/>
      </c>
    </row>
    <row r="1580">
      <c r="A1580" s="16" t="s">
        <v>87</v>
      </c>
      <c r="E1580" s="16" t="str">
        <f>IFERROR(__xludf.DUMMYFUNCTION("""COMPUTED_VALUE"""),"")</f>
        <v/>
      </c>
      <c r="G1580" s="18"/>
      <c r="H1580" s="16" t="s">
        <v>87</v>
      </c>
      <c r="I1580" s="16" t="s">
        <v>87</v>
      </c>
      <c r="J1580" s="19"/>
      <c r="L1580" s="16" t="str">
        <f>IFERROR(__xludf.DUMMYFUNCTION("""COMPUTED_VALUE"""),"")</f>
        <v/>
      </c>
      <c r="M1580" s="16" t="str">
        <f>IFERROR(__xludf.DUMMYFUNCTION("""COMPUTED_VALUE"""),"")</f>
        <v/>
      </c>
      <c r="U1580" s="16" t="s">
        <v>87</v>
      </c>
      <c r="V1580" s="16" t="str">
        <f>IFERROR(__xludf.DUMMYFUNCTION("""COMPUTED_VALUE"""),"")</f>
        <v/>
      </c>
      <c r="W1580" s="16" t="str">
        <f>IFERROR(__xludf.DUMMYFUNCTION("""COMPUTED_VALUE"""),"")</f>
        <v/>
      </c>
      <c r="X1580" s="16" t="str">
        <f>IFERROR(__xludf.DUMMYFUNCTION("""COMPUTED_VALUE"""),"")</f>
        <v/>
      </c>
      <c r="AC1580" s="16" t="str">
        <f>IFERROR(__xludf.DUMMYFUNCTION("""COMPUTED_VALUE"""),"")</f>
        <v/>
      </c>
    </row>
    <row r="1581">
      <c r="A1581" s="16" t="s">
        <v>87</v>
      </c>
      <c r="E1581" s="16" t="str">
        <f>IFERROR(__xludf.DUMMYFUNCTION("""COMPUTED_VALUE"""),"")</f>
        <v/>
      </c>
      <c r="G1581" s="18"/>
      <c r="H1581" s="16" t="s">
        <v>87</v>
      </c>
      <c r="I1581" s="16" t="s">
        <v>87</v>
      </c>
      <c r="J1581" s="19"/>
      <c r="L1581" s="16" t="str">
        <f>IFERROR(__xludf.DUMMYFUNCTION("""COMPUTED_VALUE"""),"")</f>
        <v/>
      </c>
      <c r="M1581" s="16" t="str">
        <f>IFERROR(__xludf.DUMMYFUNCTION("""COMPUTED_VALUE"""),"")</f>
        <v/>
      </c>
      <c r="U1581" s="16" t="s">
        <v>87</v>
      </c>
      <c r="V1581" s="16" t="str">
        <f>IFERROR(__xludf.DUMMYFUNCTION("""COMPUTED_VALUE"""),"")</f>
        <v/>
      </c>
      <c r="W1581" s="16" t="str">
        <f>IFERROR(__xludf.DUMMYFUNCTION("""COMPUTED_VALUE"""),"")</f>
        <v/>
      </c>
      <c r="X1581" s="16" t="str">
        <f>IFERROR(__xludf.DUMMYFUNCTION("""COMPUTED_VALUE"""),"")</f>
        <v/>
      </c>
      <c r="AC1581" s="16" t="str">
        <f>IFERROR(__xludf.DUMMYFUNCTION("""COMPUTED_VALUE"""),"")</f>
        <v/>
      </c>
    </row>
    <row r="1582">
      <c r="A1582" s="16" t="s">
        <v>87</v>
      </c>
      <c r="E1582" s="16" t="str">
        <f>IFERROR(__xludf.DUMMYFUNCTION("""COMPUTED_VALUE"""),"")</f>
        <v/>
      </c>
      <c r="G1582" s="18"/>
      <c r="H1582" s="16" t="s">
        <v>87</v>
      </c>
      <c r="I1582" s="16" t="s">
        <v>87</v>
      </c>
      <c r="J1582" s="19"/>
      <c r="L1582" s="16" t="str">
        <f>IFERROR(__xludf.DUMMYFUNCTION("""COMPUTED_VALUE"""),"")</f>
        <v/>
      </c>
      <c r="M1582" s="16" t="str">
        <f>IFERROR(__xludf.DUMMYFUNCTION("""COMPUTED_VALUE"""),"")</f>
        <v/>
      </c>
      <c r="U1582" s="16" t="s">
        <v>87</v>
      </c>
      <c r="V1582" s="16" t="str">
        <f>IFERROR(__xludf.DUMMYFUNCTION("""COMPUTED_VALUE"""),"")</f>
        <v/>
      </c>
      <c r="W1582" s="16" t="str">
        <f>IFERROR(__xludf.DUMMYFUNCTION("""COMPUTED_VALUE"""),"")</f>
        <v/>
      </c>
      <c r="X1582" s="16" t="str">
        <f>IFERROR(__xludf.DUMMYFUNCTION("""COMPUTED_VALUE"""),"")</f>
        <v/>
      </c>
      <c r="AC1582" s="16" t="str">
        <f>IFERROR(__xludf.DUMMYFUNCTION("""COMPUTED_VALUE"""),"")</f>
        <v/>
      </c>
    </row>
    <row r="1583">
      <c r="A1583" s="16" t="s">
        <v>87</v>
      </c>
      <c r="E1583" s="16" t="str">
        <f>IFERROR(__xludf.DUMMYFUNCTION("""COMPUTED_VALUE"""),"")</f>
        <v/>
      </c>
      <c r="G1583" s="18"/>
      <c r="H1583" s="16" t="s">
        <v>87</v>
      </c>
      <c r="I1583" s="16" t="s">
        <v>87</v>
      </c>
      <c r="J1583" s="19"/>
      <c r="L1583" s="16" t="str">
        <f>IFERROR(__xludf.DUMMYFUNCTION("""COMPUTED_VALUE"""),"")</f>
        <v/>
      </c>
      <c r="M1583" s="16" t="str">
        <f>IFERROR(__xludf.DUMMYFUNCTION("""COMPUTED_VALUE"""),"")</f>
        <v/>
      </c>
      <c r="U1583" s="16" t="s">
        <v>87</v>
      </c>
      <c r="V1583" s="16" t="str">
        <f>IFERROR(__xludf.DUMMYFUNCTION("""COMPUTED_VALUE"""),"")</f>
        <v/>
      </c>
      <c r="W1583" s="16" t="str">
        <f>IFERROR(__xludf.DUMMYFUNCTION("""COMPUTED_VALUE"""),"")</f>
        <v/>
      </c>
      <c r="X1583" s="16" t="str">
        <f>IFERROR(__xludf.DUMMYFUNCTION("""COMPUTED_VALUE"""),"")</f>
        <v/>
      </c>
      <c r="AC1583" s="16" t="str">
        <f>IFERROR(__xludf.DUMMYFUNCTION("""COMPUTED_VALUE"""),"")</f>
        <v/>
      </c>
    </row>
    <row r="1584">
      <c r="A1584" s="16" t="s">
        <v>87</v>
      </c>
      <c r="E1584" s="16" t="str">
        <f>IFERROR(__xludf.DUMMYFUNCTION("""COMPUTED_VALUE"""),"")</f>
        <v/>
      </c>
      <c r="G1584" s="18"/>
      <c r="H1584" s="16" t="s">
        <v>87</v>
      </c>
      <c r="I1584" s="16" t="s">
        <v>87</v>
      </c>
      <c r="J1584" s="19"/>
      <c r="L1584" s="16" t="str">
        <f>IFERROR(__xludf.DUMMYFUNCTION("""COMPUTED_VALUE"""),"")</f>
        <v/>
      </c>
      <c r="M1584" s="16" t="str">
        <f>IFERROR(__xludf.DUMMYFUNCTION("""COMPUTED_VALUE"""),"")</f>
        <v/>
      </c>
      <c r="U1584" s="16" t="s">
        <v>87</v>
      </c>
      <c r="V1584" s="16" t="str">
        <f>IFERROR(__xludf.DUMMYFUNCTION("""COMPUTED_VALUE"""),"")</f>
        <v/>
      </c>
      <c r="W1584" s="16" t="str">
        <f>IFERROR(__xludf.DUMMYFUNCTION("""COMPUTED_VALUE"""),"")</f>
        <v/>
      </c>
      <c r="X1584" s="16" t="str">
        <f>IFERROR(__xludf.DUMMYFUNCTION("""COMPUTED_VALUE"""),"")</f>
        <v/>
      </c>
      <c r="AC1584" s="16" t="str">
        <f>IFERROR(__xludf.DUMMYFUNCTION("""COMPUTED_VALUE"""),"")</f>
        <v/>
      </c>
    </row>
    <row r="1585">
      <c r="A1585" s="16" t="s">
        <v>87</v>
      </c>
      <c r="E1585" s="16" t="str">
        <f>IFERROR(__xludf.DUMMYFUNCTION("""COMPUTED_VALUE"""),"")</f>
        <v/>
      </c>
      <c r="G1585" s="18"/>
      <c r="H1585" s="16" t="s">
        <v>87</v>
      </c>
      <c r="I1585" s="16" t="s">
        <v>87</v>
      </c>
      <c r="J1585" s="19"/>
      <c r="L1585" s="16" t="str">
        <f>IFERROR(__xludf.DUMMYFUNCTION("""COMPUTED_VALUE"""),"")</f>
        <v/>
      </c>
      <c r="M1585" s="16" t="str">
        <f>IFERROR(__xludf.DUMMYFUNCTION("""COMPUTED_VALUE"""),"")</f>
        <v/>
      </c>
      <c r="U1585" s="16" t="s">
        <v>87</v>
      </c>
      <c r="V1585" s="16" t="str">
        <f>IFERROR(__xludf.DUMMYFUNCTION("""COMPUTED_VALUE"""),"")</f>
        <v/>
      </c>
      <c r="W1585" s="16" t="str">
        <f>IFERROR(__xludf.DUMMYFUNCTION("""COMPUTED_VALUE"""),"")</f>
        <v/>
      </c>
      <c r="X1585" s="16" t="str">
        <f>IFERROR(__xludf.DUMMYFUNCTION("""COMPUTED_VALUE"""),"")</f>
        <v/>
      </c>
      <c r="AC1585" s="16" t="str">
        <f>IFERROR(__xludf.DUMMYFUNCTION("""COMPUTED_VALUE"""),"")</f>
        <v/>
      </c>
    </row>
    <row r="1586">
      <c r="A1586" s="16" t="s">
        <v>87</v>
      </c>
      <c r="E1586" s="16" t="str">
        <f>IFERROR(__xludf.DUMMYFUNCTION("""COMPUTED_VALUE"""),"")</f>
        <v/>
      </c>
      <c r="G1586" s="18"/>
      <c r="H1586" s="16" t="s">
        <v>87</v>
      </c>
      <c r="I1586" s="16" t="s">
        <v>87</v>
      </c>
      <c r="J1586" s="19"/>
      <c r="L1586" s="16" t="str">
        <f>IFERROR(__xludf.DUMMYFUNCTION("""COMPUTED_VALUE"""),"")</f>
        <v/>
      </c>
      <c r="M1586" s="16" t="str">
        <f>IFERROR(__xludf.DUMMYFUNCTION("""COMPUTED_VALUE"""),"")</f>
        <v/>
      </c>
      <c r="U1586" s="16" t="s">
        <v>87</v>
      </c>
      <c r="V1586" s="16" t="str">
        <f>IFERROR(__xludf.DUMMYFUNCTION("""COMPUTED_VALUE"""),"")</f>
        <v/>
      </c>
      <c r="W1586" s="16" t="str">
        <f>IFERROR(__xludf.DUMMYFUNCTION("""COMPUTED_VALUE"""),"")</f>
        <v/>
      </c>
      <c r="X1586" s="16" t="str">
        <f>IFERROR(__xludf.DUMMYFUNCTION("""COMPUTED_VALUE"""),"")</f>
        <v/>
      </c>
      <c r="AC1586" s="16" t="str">
        <f>IFERROR(__xludf.DUMMYFUNCTION("""COMPUTED_VALUE"""),"")</f>
        <v/>
      </c>
    </row>
    <row r="1587">
      <c r="A1587" s="16" t="s">
        <v>87</v>
      </c>
      <c r="E1587" s="16" t="str">
        <f>IFERROR(__xludf.DUMMYFUNCTION("""COMPUTED_VALUE"""),"")</f>
        <v/>
      </c>
      <c r="G1587" s="18"/>
      <c r="H1587" s="16" t="s">
        <v>87</v>
      </c>
      <c r="I1587" s="16" t="s">
        <v>87</v>
      </c>
      <c r="J1587" s="19"/>
      <c r="L1587" s="16" t="str">
        <f>IFERROR(__xludf.DUMMYFUNCTION("""COMPUTED_VALUE"""),"")</f>
        <v/>
      </c>
      <c r="M1587" s="16" t="str">
        <f>IFERROR(__xludf.DUMMYFUNCTION("""COMPUTED_VALUE"""),"")</f>
        <v/>
      </c>
      <c r="U1587" s="16" t="s">
        <v>87</v>
      </c>
      <c r="V1587" s="16" t="str">
        <f>IFERROR(__xludf.DUMMYFUNCTION("""COMPUTED_VALUE"""),"")</f>
        <v/>
      </c>
      <c r="W1587" s="16" t="str">
        <f>IFERROR(__xludf.DUMMYFUNCTION("""COMPUTED_VALUE"""),"")</f>
        <v/>
      </c>
      <c r="X1587" s="16" t="str">
        <f>IFERROR(__xludf.DUMMYFUNCTION("""COMPUTED_VALUE"""),"")</f>
        <v/>
      </c>
      <c r="AC1587" s="16" t="str">
        <f>IFERROR(__xludf.DUMMYFUNCTION("""COMPUTED_VALUE"""),"")</f>
        <v/>
      </c>
    </row>
    <row r="1588">
      <c r="A1588" s="16" t="s">
        <v>87</v>
      </c>
      <c r="E1588" s="16" t="str">
        <f>IFERROR(__xludf.DUMMYFUNCTION("""COMPUTED_VALUE"""),"")</f>
        <v/>
      </c>
      <c r="G1588" s="18"/>
      <c r="H1588" s="16" t="s">
        <v>87</v>
      </c>
      <c r="I1588" s="16" t="s">
        <v>87</v>
      </c>
      <c r="J1588" s="19"/>
      <c r="L1588" s="16" t="str">
        <f>IFERROR(__xludf.DUMMYFUNCTION("""COMPUTED_VALUE"""),"")</f>
        <v/>
      </c>
      <c r="M1588" s="16" t="str">
        <f>IFERROR(__xludf.DUMMYFUNCTION("""COMPUTED_VALUE"""),"")</f>
        <v/>
      </c>
      <c r="U1588" s="16" t="s">
        <v>87</v>
      </c>
      <c r="V1588" s="16" t="str">
        <f>IFERROR(__xludf.DUMMYFUNCTION("""COMPUTED_VALUE"""),"")</f>
        <v/>
      </c>
      <c r="W1588" s="16" t="str">
        <f>IFERROR(__xludf.DUMMYFUNCTION("""COMPUTED_VALUE"""),"")</f>
        <v/>
      </c>
      <c r="X1588" s="16" t="str">
        <f>IFERROR(__xludf.DUMMYFUNCTION("""COMPUTED_VALUE"""),"")</f>
        <v/>
      </c>
      <c r="AC1588" s="16" t="str">
        <f>IFERROR(__xludf.DUMMYFUNCTION("""COMPUTED_VALUE"""),"")</f>
        <v/>
      </c>
    </row>
    <row r="1589">
      <c r="A1589" s="16" t="s">
        <v>87</v>
      </c>
      <c r="E1589" s="16" t="str">
        <f>IFERROR(__xludf.DUMMYFUNCTION("""COMPUTED_VALUE"""),"")</f>
        <v/>
      </c>
      <c r="G1589" s="18"/>
      <c r="H1589" s="16" t="s">
        <v>87</v>
      </c>
      <c r="I1589" s="16" t="s">
        <v>87</v>
      </c>
      <c r="J1589" s="19"/>
      <c r="L1589" s="16" t="str">
        <f>IFERROR(__xludf.DUMMYFUNCTION("""COMPUTED_VALUE"""),"")</f>
        <v/>
      </c>
      <c r="M1589" s="16" t="str">
        <f>IFERROR(__xludf.DUMMYFUNCTION("""COMPUTED_VALUE"""),"")</f>
        <v/>
      </c>
      <c r="U1589" s="16" t="s">
        <v>87</v>
      </c>
      <c r="V1589" s="16" t="str">
        <f>IFERROR(__xludf.DUMMYFUNCTION("""COMPUTED_VALUE"""),"")</f>
        <v/>
      </c>
      <c r="W1589" s="16" t="str">
        <f>IFERROR(__xludf.DUMMYFUNCTION("""COMPUTED_VALUE"""),"")</f>
        <v/>
      </c>
      <c r="X1589" s="16" t="str">
        <f>IFERROR(__xludf.DUMMYFUNCTION("""COMPUTED_VALUE"""),"")</f>
        <v/>
      </c>
      <c r="AC1589" s="16" t="str">
        <f>IFERROR(__xludf.DUMMYFUNCTION("""COMPUTED_VALUE"""),"")</f>
        <v/>
      </c>
    </row>
    <row r="1590">
      <c r="A1590" s="16" t="s">
        <v>87</v>
      </c>
      <c r="E1590" s="16" t="str">
        <f>IFERROR(__xludf.DUMMYFUNCTION("""COMPUTED_VALUE"""),"")</f>
        <v/>
      </c>
      <c r="G1590" s="18"/>
      <c r="H1590" s="16" t="s">
        <v>87</v>
      </c>
      <c r="I1590" s="16" t="s">
        <v>87</v>
      </c>
      <c r="J1590" s="19"/>
      <c r="L1590" s="16" t="str">
        <f>IFERROR(__xludf.DUMMYFUNCTION("""COMPUTED_VALUE"""),"")</f>
        <v/>
      </c>
      <c r="M1590" s="16" t="str">
        <f>IFERROR(__xludf.DUMMYFUNCTION("""COMPUTED_VALUE"""),"")</f>
        <v/>
      </c>
      <c r="U1590" s="16" t="s">
        <v>87</v>
      </c>
      <c r="V1590" s="16" t="str">
        <f>IFERROR(__xludf.DUMMYFUNCTION("""COMPUTED_VALUE"""),"")</f>
        <v/>
      </c>
      <c r="W1590" s="16" t="str">
        <f>IFERROR(__xludf.DUMMYFUNCTION("""COMPUTED_VALUE"""),"")</f>
        <v/>
      </c>
      <c r="X1590" s="16" t="str">
        <f>IFERROR(__xludf.DUMMYFUNCTION("""COMPUTED_VALUE"""),"")</f>
        <v/>
      </c>
      <c r="AC1590" s="16" t="str">
        <f>IFERROR(__xludf.DUMMYFUNCTION("""COMPUTED_VALUE"""),"")</f>
        <v/>
      </c>
    </row>
    <row r="1591">
      <c r="A1591" s="16" t="s">
        <v>87</v>
      </c>
      <c r="E1591" s="16" t="str">
        <f>IFERROR(__xludf.DUMMYFUNCTION("""COMPUTED_VALUE"""),"")</f>
        <v/>
      </c>
      <c r="G1591" s="18"/>
      <c r="H1591" s="16" t="s">
        <v>87</v>
      </c>
      <c r="I1591" s="16" t="s">
        <v>87</v>
      </c>
      <c r="J1591" s="19"/>
      <c r="L1591" s="16" t="str">
        <f>IFERROR(__xludf.DUMMYFUNCTION("""COMPUTED_VALUE"""),"")</f>
        <v/>
      </c>
      <c r="M1591" s="16" t="str">
        <f>IFERROR(__xludf.DUMMYFUNCTION("""COMPUTED_VALUE"""),"")</f>
        <v/>
      </c>
      <c r="U1591" s="16" t="s">
        <v>87</v>
      </c>
      <c r="V1591" s="16" t="str">
        <f>IFERROR(__xludf.DUMMYFUNCTION("""COMPUTED_VALUE"""),"")</f>
        <v/>
      </c>
      <c r="W1591" s="16" t="str">
        <f>IFERROR(__xludf.DUMMYFUNCTION("""COMPUTED_VALUE"""),"")</f>
        <v/>
      </c>
      <c r="X1591" s="16" t="str">
        <f>IFERROR(__xludf.DUMMYFUNCTION("""COMPUTED_VALUE"""),"")</f>
        <v/>
      </c>
      <c r="AC1591" s="16" t="str">
        <f>IFERROR(__xludf.DUMMYFUNCTION("""COMPUTED_VALUE"""),"")</f>
        <v/>
      </c>
    </row>
    <row r="1592">
      <c r="A1592" s="16" t="s">
        <v>87</v>
      </c>
      <c r="E1592" s="16" t="str">
        <f>IFERROR(__xludf.DUMMYFUNCTION("""COMPUTED_VALUE"""),"")</f>
        <v/>
      </c>
      <c r="G1592" s="18"/>
      <c r="H1592" s="16" t="s">
        <v>87</v>
      </c>
      <c r="I1592" s="16" t="s">
        <v>87</v>
      </c>
      <c r="J1592" s="19"/>
      <c r="L1592" s="16" t="str">
        <f>IFERROR(__xludf.DUMMYFUNCTION("""COMPUTED_VALUE"""),"")</f>
        <v/>
      </c>
      <c r="M1592" s="16" t="str">
        <f>IFERROR(__xludf.DUMMYFUNCTION("""COMPUTED_VALUE"""),"")</f>
        <v/>
      </c>
      <c r="U1592" s="16" t="s">
        <v>87</v>
      </c>
      <c r="V1592" s="16" t="str">
        <f>IFERROR(__xludf.DUMMYFUNCTION("""COMPUTED_VALUE"""),"")</f>
        <v/>
      </c>
      <c r="W1592" s="16" t="str">
        <f>IFERROR(__xludf.DUMMYFUNCTION("""COMPUTED_VALUE"""),"")</f>
        <v/>
      </c>
      <c r="X1592" s="16" t="str">
        <f>IFERROR(__xludf.DUMMYFUNCTION("""COMPUTED_VALUE"""),"")</f>
        <v/>
      </c>
      <c r="AC1592" s="16" t="str">
        <f>IFERROR(__xludf.DUMMYFUNCTION("""COMPUTED_VALUE"""),"")</f>
        <v/>
      </c>
    </row>
    <row r="1593">
      <c r="A1593" s="16" t="s">
        <v>87</v>
      </c>
      <c r="E1593" s="16" t="str">
        <f>IFERROR(__xludf.DUMMYFUNCTION("""COMPUTED_VALUE"""),"")</f>
        <v/>
      </c>
      <c r="G1593" s="18"/>
      <c r="H1593" s="16" t="s">
        <v>87</v>
      </c>
      <c r="I1593" s="16" t="s">
        <v>87</v>
      </c>
      <c r="J1593" s="19"/>
      <c r="L1593" s="16" t="str">
        <f>IFERROR(__xludf.DUMMYFUNCTION("""COMPUTED_VALUE"""),"")</f>
        <v/>
      </c>
      <c r="M1593" s="16" t="str">
        <f>IFERROR(__xludf.DUMMYFUNCTION("""COMPUTED_VALUE"""),"")</f>
        <v/>
      </c>
      <c r="U1593" s="16" t="s">
        <v>87</v>
      </c>
      <c r="V1593" s="16" t="str">
        <f>IFERROR(__xludf.DUMMYFUNCTION("""COMPUTED_VALUE"""),"")</f>
        <v/>
      </c>
      <c r="W1593" s="16" t="str">
        <f>IFERROR(__xludf.DUMMYFUNCTION("""COMPUTED_VALUE"""),"")</f>
        <v/>
      </c>
      <c r="X1593" s="16" t="str">
        <f>IFERROR(__xludf.DUMMYFUNCTION("""COMPUTED_VALUE"""),"")</f>
        <v/>
      </c>
      <c r="AC1593" s="16" t="str">
        <f>IFERROR(__xludf.DUMMYFUNCTION("""COMPUTED_VALUE"""),"")</f>
        <v/>
      </c>
    </row>
    <row r="1594">
      <c r="A1594" s="16" t="s">
        <v>87</v>
      </c>
      <c r="E1594" s="16" t="str">
        <f>IFERROR(__xludf.DUMMYFUNCTION("""COMPUTED_VALUE"""),"")</f>
        <v/>
      </c>
      <c r="G1594" s="18"/>
      <c r="H1594" s="16" t="s">
        <v>87</v>
      </c>
      <c r="I1594" s="16" t="s">
        <v>87</v>
      </c>
      <c r="J1594" s="19"/>
      <c r="L1594" s="16" t="str">
        <f>IFERROR(__xludf.DUMMYFUNCTION("""COMPUTED_VALUE"""),"")</f>
        <v/>
      </c>
      <c r="M1594" s="16" t="str">
        <f>IFERROR(__xludf.DUMMYFUNCTION("""COMPUTED_VALUE"""),"")</f>
        <v/>
      </c>
      <c r="U1594" s="16" t="s">
        <v>87</v>
      </c>
      <c r="V1594" s="16" t="str">
        <f>IFERROR(__xludf.DUMMYFUNCTION("""COMPUTED_VALUE"""),"")</f>
        <v/>
      </c>
      <c r="W1594" s="16" t="str">
        <f>IFERROR(__xludf.DUMMYFUNCTION("""COMPUTED_VALUE"""),"")</f>
        <v/>
      </c>
      <c r="X1594" s="16" t="str">
        <f>IFERROR(__xludf.DUMMYFUNCTION("""COMPUTED_VALUE"""),"")</f>
        <v/>
      </c>
      <c r="AC1594" s="16" t="str">
        <f>IFERROR(__xludf.DUMMYFUNCTION("""COMPUTED_VALUE"""),"")</f>
        <v/>
      </c>
    </row>
    <row r="1595">
      <c r="A1595" s="16" t="s">
        <v>87</v>
      </c>
      <c r="E1595" s="16" t="str">
        <f>IFERROR(__xludf.DUMMYFUNCTION("""COMPUTED_VALUE"""),"")</f>
        <v/>
      </c>
      <c r="G1595" s="18"/>
      <c r="H1595" s="16" t="s">
        <v>87</v>
      </c>
      <c r="I1595" s="16" t="s">
        <v>87</v>
      </c>
      <c r="J1595" s="19"/>
      <c r="L1595" s="16" t="str">
        <f>IFERROR(__xludf.DUMMYFUNCTION("""COMPUTED_VALUE"""),"")</f>
        <v/>
      </c>
      <c r="M1595" s="16" t="str">
        <f>IFERROR(__xludf.DUMMYFUNCTION("""COMPUTED_VALUE"""),"")</f>
        <v/>
      </c>
      <c r="U1595" s="16" t="s">
        <v>87</v>
      </c>
      <c r="V1595" s="16" t="str">
        <f>IFERROR(__xludf.DUMMYFUNCTION("""COMPUTED_VALUE"""),"")</f>
        <v/>
      </c>
      <c r="W1595" s="16" t="str">
        <f>IFERROR(__xludf.DUMMYFUNCTION("""COMPUTED_VALUE"""),"")</f>
        <v/>
      </c>
      <c r="X1595" s="16" t="str">
        <f>IFERROR(__xludf.DUMMYFUNCTION("""COMPUTED_VALUE"""),"")</f>
        <v/>
      </c>
      <c r="AC1595" s="16" t="str">
        <f>IFERROR(__xludf.DUMMYFUNCTION("""COMPUTED_VALUE"""),"")</f>
        <v/>
      </c>
    </row>
    <row r="1596">
      <c r="A1596" s="16" t="s">
        <v>87</v>
      </c>
      <c r="E1596" s="16" t="str">
        <f>IFERROR(__xludf.DUMMYFUNCTION("""COMPUTED_VALUE"""),"")</f>
        <v/>
      </c>
      <c r="G1596" s="18"/>
      <c r="H1596" s="16" t="s">
        <v>87</v>
      </c>
      <c r="I1596" s="16" t="s">
        <v>87</v>
      </c>
      <c r="J1596" s="19"/>
      <c r="L1596" s="16" t="str">
        <f>IFERROR(__xludf.DUMMYFUNCTION("""COMPUTED_VALUE"""),"")</f>
        <v/>
      </c>
      <c r="M1596" s="16" t="str">
        <f>IFERROR(__xludf.DUMMYFUNCTION("""COMPUTED_VALUE"""),"")</f>
        <v/>
      </c>
      <c r="U1596" s="16" t="s">
        <v>87</v>
      </c>
      <c r="V1596" s="16" t="str">
        <f>IFERROR(__xludf.DUMMYFUNCTION("""COMPUTED_VALUE"""),"")</f>
        <v/>
      </c>
      <c r="W1596" s="16" t="str">
        <f>IFERROR(__xludf.DUMMYFUNCTION("""COMPUTED_VALUE"""),"")</f>
        <v/>
      </c>
      <c r="X1596" s="16" t="str">
        <f>IFERROR(__xludf.DUMMYFUNCTION("""COMPUTED_VALUE"""),"")</f>
        <v/>
      </c>
      <c r="AC1596" s="16" t="str">
        <f>IFERROR(__xludf.DUMMYFUNCTION("""COMPUTED_VALUE"""),"")</f>
        <v/>
      </c>
    </row>
    <row r="1597">
      <c r="A1597" s="16" t="s">
        <v>87</v>
      </c>
      <c r="E1597" s="16" t="str">
        <f>IFERROR(__xludf.DUMMYFUNCTION("""COMPUTED_VALUE"""),"")</f>
        <v/>
      </c>
      <c r="G1597" s="18"/>
      <c r="H1597" s="16" t="s">
        <v>87</v>
      </c>
      <c r="I1597" s="16" t="s">
        <v>87</v>
      </c>
      <c r="J1597" s="19"/>
      <c r="L1597" s="16" t="str">
        <f>IFERROR(__xludf.DUMMYFUNCTION("""COMPUTED_VALUE"""),"")</f>
        <v/>
      </c>
      <c r="M1597" s="16" t="str">
        <f>IFERROR(__xludf.DUMMYFUNCTION("""COMPUTED_VALUE"""),"")</f>
        <v/>
      </c>
      <c r="U1597" s="16" t="s">
        <v>87</v>
      </c>
      <c r="V1597" s="16" t="str">
        <f>IFERROR(__xludf.DUMMYFUNCTION("""COMPUTED_VALUE"""),"")</f>
        <v/>
      </c>
      <c r="W1597" s="16" t="str">
        <f>IFERROR(__xludf.DUMMYFUNCTION("""COMPUTED_VALUE"""),"")</f>
        <v/>
      </c>
      <c r="X1597" s="16" t="str">
        <f>IFERROR(__xludf.DUMMYFUNCTION("""COMPUTED_VALUE"""),"")</f>
        <v/>
      </c>
      <c r="AC1597" s="16" t="str">
        <f>IFERROR(__xludf.DUMMYFUNCTION("""COMPUTED_VALUE"""),"")</f>
        <v/>
      </c>
    </row>
    <row r="1598">
      <c r="A1598" s="16" t="s">
        <v>87</v>
      </c>
      <c r="E1598" s="16" t="str">
        <f>IFERROR(__xludf.DUMMYFUNCTION("""COMPUTED_VALUE"""),"")</f>
        <v/>
      </c>
      <c r="G1598" s="18"/>
      <c r="H1598" s="16" t="s">
        <v>87</v>
      </c>
      <c r="I1598" s="16" t="s">
        <v>87</v>
      </c>
      <c r="J1598" s="19"/>
      <c r="L1598" s="16" t="str">
        <f>IFERROR(__xludf.DUMMYFUNCTION("""COMPUTED_VALUE"""),"")</f>
        <v/>
      </c>
      <c r="M1598" s="16" t="str">
        <f>IFERROR(__xludf.DUMMYFUNCTION("""COMPUTED_VALUE"""),"")</f>
        <v/>
      </c>
      <c r="U1598" s="16" t="s">
        <v>87</v>
      </c>
      <c r="V1598" s="16" t="str">
        <f>IFERROR(__xludf.DUMMYFUNCTION("""COMPUTED_VALUE"""),"")</f>
        <v/>
      </c>
      <c r="W1598" s="16" t="str">
        <f>IFERROR(__xludf.DUMMYFUNCTION("""COMPUTED_VALUE"""),"")</f>
        <v/>
      </c>
      <c r="X1598" s="16" t="str">
        <f>IFERROR(__xludf.DUMMYFUNCTION("""COMPUTED_VALUE"""),"")</f>
        <v/>
      </c>
      <c r="AC1598" s="16" t="str">
        <f>IFERROR(__xludf.DUMMYFUNCTION("""COMPUTED_VALUE"""),"")</f>
        <v/>
      </c>
    </row>
    <row r="1599">
      <c r="A1599" s="16" t="s">
        <v>87</v>
      </c>
      <c r="E1599" s="16" t="str">
        <f>IFERROR(__xludf.DUMMYFUNCTION("""COMPUTED_VALUE"""),"")</f>
        <v/>
      </c>
      <c r="G1599" s="18"/>
      <c r="H1599" s="16" t="s">
        <v>87</v>
      </c>
      <c r="I1599" s="16" t="s">
        <v>87</v>
      </c>
      <c r="J1599" s="19"/>
      <c r="L1599" s="16" t="str">
        <f>IFERROR(__xludf.DUMMYFUNCTION("""COMPUTED_VALUE"""),"")</f>
        <v/>
      </c>
      <c r="M1599" s="16" t="str">
        <f>IFERROR(__xludf.DUMMYFUNCTION("""COMPUTED_VALUE"""),"")</f>
        <v/>
      </c>
      <c r="U1599" s="16" t="s">
        <v>87</v>
      </c>
      <c r="V1599" s="16" t="str">
        <f>IFERROR(__xludf.DUMMYFUNCTION("""COMPUTED_VALUE"""),"")</f>
        <v/>
      </c>
      <c r="W1599" s="16" t="str">
        <f>IFERROR(__xludf.DUMMYFUNCTION("""COMPUTED_VALUE"""),"")</f>
        <v/>
      </c>
      <c r="X1599" s="16" t="str">
        <f>IFERROR(__xludf.DUMMYFUNCTION("""COMPUTED_VALUE"""),"")</f>
        <v/>
      </c>
      <c r="AC1599" s="16" t="str">
        <f>IFERROR(__xludf.DUMMYFUNCTION("""COMPUTED_VALUE"""),"")</f>
        <v/>
      </c>
    </row>
    <row r="1600">
      <c r="A1600" s="16" t="s">
        <v>87</v>
      </c>
      <c r="E1600" s="16" t="str">
        <f>IFERROR(__xludf.DUMMYFUNCTION("""COMPUTED_VALUE"""),"")</f>
        <v/>
      </c>
      <c r="G1600" s="18"/>
      <c r="H1600" s="16" t="s">
        <v>87</v>
      </c>
      <c r="I1600" s="16" t="s">
        <v>87</v>
      </c>
      <c r="J1600" s="19"/>
      <c r="L1600" s="16" t="str">
        <f>IFERROR(__xludf.DUMMYFUNCTION("""COMPUTED_VALUE"""),"")</f>
        <v/>
      </c>
      <c r="M1600" s="16" t="str">
        <f>IFERROR(__xludf.DUMMYFUNCTION("""COMPUTED_VALUE"""),"")</f>
        <v/>
      </c>
      <c r="U1600" s="16" t="s">
        <v>87</v>
      </c>
      <c r="V1600" s="16" t="str">
        <f>IFERROR(__xludf.DUMMYFUNCTION("""COMPUTED_VALUE"""),"")</f>
        <v/>
      </c>
      <c r="W1600" s="16" t="str">
        <f>IFERROR(__xludf.DUMMYFUNCTION("""COMPUTED_VALUE"""),"")</f>
        <v/>
      </c>
      <c r="X1600" s="16" t="str">
        <f>IFERROR(__xludf.DUMMYFUNCTION("""COMPUTED_VALUE"""),"")</f>
        <v/>
      </c>
      <c r="AC1600" s="16" t="str">
        <f>IFERROR(__xludf.DUMMYFUNCTION("""COMPUTED_VALUE"""),"")</f>
        <v/>
      </c>
    </row>
    <row r="1601">
      <c r="A1601" s="16" t="s">
        <v>87</v>
      </c>
      <c r="E1601" s="16" t="str">
        <f>IFERROR(__xludf.DUMMYFUNCTION("""COMPUTED_VALUE"""),"")</f>
        <v/>
      </c>
      <c r="G1601" s="18"/>
      <c r="H1601" s="16" t="s">
        <v>87</v>
      </c>
      <c r="I1601" s="16" t="s">
        <v>87</v>
      </c>
      <c r="J1601" s="19"/>
      <c r="L1601" s="16" t="str">
        <f>IFERROR(__xludf.DUMMYFUNCTION("""COMPUTED_VALUE"""),"")</f>
        <v/>
      </c>
      <c r="M1601" s="16" t="str">
        <f>IFERROR(__xludf.DUMMYFUNCTION("""COMPUTED_VALUE"""),"")</f>
        <v/>
      </c>
      <c r="U1601" s="16" t="s">
        <v>87</v>
      </c>
      <c r="V1601" s="16" t="str">
        <f>IFERROR(__xludf.DUMMYFUNCTION("""COMPUTED_VALUE"""),"")</f>
        <v/>
      </c>
      <c r="W1601" s="16" t="str">
        <f>IFERROR(__xludf.DUMMYFUNCTION("""COMPUTED_VALUE"""),"")</f>
        <v/>
      </c>
      <c r="X1601" s="16" t="str">
        <f>IFERROR(__xludf.DUMMYFUNCTION("""COMPUTED_VALUE"""),"")</f>
        <v/>
      </c>
      <c r="AC1601" s="16" t="str">
        <f>IFERROR(__xludf.DUMMYFUNCTION("""COMPUTED_VALUE"""),"")</f>
        <v/>
      </c>
    </row>
    <row r="1602">
      <c r="A1602" s="16" t="s">
        <v>87</v>
      </c>
      <c r="E1602" s="16" t="str">
        <f>IFERROR(__xludf.DUMMYFUNCTION("""COMPUTED_VALUE"""),"")</f>
        <v/>
      </c>
      <c r="G1602" s="18"/>
      <c r="H1602" s="16" t="s">
        <v>87</v>
      </c>
      <c r="I1602" s="16" t="s">
        <v>87</v>
      </c>
      <c r="J1602" s="19"/>
      <c r="L1602" s="16" t="str">
        <f>IFERROR(__xludf.DUMMYFUNCTION("""COMPUTED_VALUE"""),"")</f>
        <v/>
      </c>
      <c r="M1602" s="16" t="str">
        <f>IFERROR(__xludf.DUMMYFUNCTION("""COMPUTED_VALUE"""),"")</f>
        <v/>
      </c>
      <c r="U1602" s="16" t="s">
        <v>87</v>
      </c>
      <c r="V1602" s="16" t="str">
        <f>IFERROR(__xludf.DUMMYFUNCTION("""COMPUTED_VALUE"""),"")</f>
        <v/>
      </c>
      <c r="W1602" s="16" t="str">
        <f>IFERROR(__xludf.DUMMYFUNCTION("""COMPUTED_VALUE"""),"")</f>
        <v/>
      </c>
      <c r="X1602" s="16" t="str">
        <f>IFERROR(__xludf.DUMMYFUNCTION("""COMPUTED_VALUE"""),"")</f>
        <v/>
      </c>
      <c r="AC1602" s="16" t="str">
        <f>IFERROR(__xludf.DUMMYFUNCTION("""COMPUTED_VALUE"""),"")</f>
        <v/>
      </c>
    </row>
    <row r="1603">
      <c r="A1603" s="16" t="s">
        <v>87</v>
      </c>
      <c r="E1603" s="16" t="str">
        <f>IFERROR(__xludf.DUMMYFUNCTION("""COMPUTED_VALUE"""),"")</f>
        <v/>
      </c>
      <c r="G1603" s="18"/>
      <c r="H1603" s="16" t="s">
        <v>87</v>
      </c>
      <c r="I1603" s="16" t="s">
        <v>87</v>
      </c>
      <c r="J1603" s="19"/>
      <c r="L1603" s="16" t="str">
        <f>IFERROR(__xludf.DUMMYFUNCTION("""COMPUTED_VALUE"""),"")</f>
        <v/>
      </c>
      <c r="M1603" s="16" t="str">
        <f>IFERROR(__xludf.DUMMYFUNCTION("""COMPUTED_VALUE"""),"")</f>
        <v/>
      </c>
      <c r="U1603" s="16" t="s">
        <v>87</v>
      </c>
      <c r="V1603" s="16" t="str">
        <f>IFERROR(__xludf.DUMMYFUNCTION("""COMPUTED_VALUE"""),"")</f>
        <v/>
      </c>
      <c r="W1603" s="16" t="str">
        <f>IFERROR(__xludf.DUMMYFUNCTION("""COMPUTED_VALUE"""),"")</f>
        <v/>
      </c>
      <c r="X1603" s="16" t="str">
        <f>IFERROR(__xludf.DUMMYFUNCTION("""COMPUTED_VALUE"""),"")</f>
        <v/>
      </c>
      <c r="AC1603" s="16" t="str">
        <f>IFERROR(__xludf.DUMMYFUNCTION("""COMPUTED_VALUE"""),"")</f>
        <v/>
      </c>
    </row>
    <row r="1604">
      <c r="A1604" s="16" t="s">
        <v>87</v>
      </c>
      <c r="E1604" s="16" t="str">
        <f>IFERROR(__xludf.DUMMYFUNCTION("""COMPUTED_VALUE"""),"")</f>
        <v/>
      </c>
      <c r="G1604" s="18"/>
      <c r="H1604" s="16" t="s">
        <v>87</v>
      </c>
      <c r="I1604" s="16" t="s">
        <v>87</v>
      </c>
      <c r="J1604" s="19"/>
      <c r="L1604" s="16" t="str">
        <f>IFERROR(__xludf.DUMMYFUNCTION("""COMPUTED_VALUE"""),"")</f>
        <v/>
      </c>
      <c r="M1604" s="16" t="str">
        <f>IFERROR(__xludf.DUMMYFUNCTION("""COMPUTED_VALUE"""),"")</f>
        <v/>
      </c>
      <c r="U1604" s="16" t="s">
        <v>87</v>
      </c>
      <c r="V1604" s="16" t="str">
        <f>IFERROR(__xludf.DUMMYFUNCTION("""COMPUTED_VALUE"""),"")</f>
        <v/>
      </c>
      <c r="W1604" s="16" t="str">
        <f>IFERROR(__xludf.DUMMYFUNCTION("""COMPUTED_VALUE"""),"")</f>
        <v/>
      </c>
      <c r="X1604" s="16" t="str">
        <f>IFERROR(__xludf.DUMMYFUNCTION("""COMPUTED_VALUE"""),"")</f>
        <v/>
      </c>
      <c r="AC1604" s="16" t="str">
        <f>IFERROR(__xludf.DUMMYFUNCTION("""COMPUTED_VALUE"""),"")</f>
        <v/>
      </c>
    </row>
    <row r="1605">
      <c r="A1605" s="16" t="s">
        <v>87</v>
      </c>
      <c r="E1605" s="16" t="str">
        <f>IFERROR(__xludf.DUMMYFUNCTION("""COMPUTED_VALUE"""),"")</f>
        <v/>
      </c>
      <c r="G1605" s="18"/>
      <c r="H1605" s="16" t="s">
        <v>87</v>
      </c>
      <c r="I1605" s="16" t="s">
        <v>87</v>
      </c>
      <c r="J1605" s="19"/>
      <c r="L1605" s="16" t="str">
        <f>IFERROR(__xludf.DUMMYFUNCTION("""COMPUTED_VALUE"""),"")</f>
        <v/>
      </c>
      <c r="M1605" s="16" t="str">
        <f>IFERROR(__xludf.DUMMYFUNCTION("""COMPUTED_VALUE"""),"")</f>
        <v/>
      </c>
      <c r="U1605" s="16" t="s">
        <v>87</v>
      </c>
      <c r="V1605" s="16" t="str">
        <f>IFERROR(__xludf.DUMMYFUNCTION("""COMPUTED_VALUE"""),"")</f>
        <v/>
      </c>
      <c r="W1605" s="16" t="str">
        <f>IFERROR(__xludf.DUMMYFUNCTION("""COMPUTED_VALUE"""),"")</f>
        <v/>
      </c>
      <c r="X1605" s="16" t="str">
        <f>IFERROR(__xludf.DUMMYFUNCTION("""COMPUTED_VALUE"""),"")</f>
        <v/>
      </c>
      <c r="AC1605" s="16" t="str">
        <f>IFERROR(__xludf.DUMMYFUNCTION("""COMPUTED_VALUE"""),"")</f>
        <v/>
      </c>
    </row>
    <row r="1606">
      <c r="A1606" s="16" t="s">
        <v>87</v>
      </c>
      <c r="E1606" s="16" t="str">
        <f>IFERROR(__xludf.DUMMYFUNCTION("""COMPUTED_VALUE"""),"")</f>
        <v/>
      </c>
      <c r="G1606" s="18"/>
      <c r="H1606" s="16" t="s">
        <v>87</v>
      </c>
      <c r="I1606" s="16" t="s">
        <v>87</v>
      </c>
      <c r="J1606" s="19"/>
      <c r="L1606" s="16" t="str">
        <f>IFERROR(__xludf.DUMMYFUNCTION("""COMPUTED_VALUE"""),"")</f>
        <v/>
      </c>
      <c r="M1606" s="16" t="str">
        <f>IFERROR(__xludf.DUMMYFUNCTION("""COMPUTED_VALUE"""),"")</f>
        <v/>
      </c>
      <c r="U1606" s="16" t="s">
        <v>87</v>
      </c>
      <c r="V1606" s="16" t="str">
        <f>IFERROR(__xludf.DUMMYFUNCTION("""COMPUTED_VALUE"""),"")</f>
        <v/>
      </c>
      <c r="W1606" s="16" t="str">
        <f>IFERROR(__xludf.DUMMYFUNCTION("""COMPUTED_VALUE"""),"")</f>
        <v/>
      </c>
      <c r="X1606" s="16" t="str">
        <f>IFERROR(__xludf.DUMMYFUNCTION("""COMPUTED_VALUE"""),"")</f>
        <v/>
      </c>
      <c r="AC1606" s="16" t="str">
        <f>IFERROR(__xludf.DUMMYFUNCTION("""COMPUTED_VALUE"""),"")</f>
        <v/>
      </c>
    </row>
    <row r="1607">
      <c r="A1607" s="16" t="s">
        <v>87</v>
      </c>
      <c r="E1607" s="16" t="str">
        <f>IFERROR(__xludf.DUMMYFUNCTION("""COMPUTED_VALUE"""),"")</f>
        <v/>
      </c>
      <c r="G1607" s="18"/>
      <c r="H1607" s="16" t="s">
        <v>87</v>
      </c>
      <c r="I1607" s="16" t="s">
        <v>87</v>
      </c>
      <c r="J1607" s="19"/>
      <c r="L1607" s="16" t="str">
        <f>IFERROR(__xludf.DUMMYFUNCTION("""COMPUTED_VALUE"""),"")</f>
        <v/>
      </c>
      <c r="M1607" s="16" t="str">
        <f>IFERROR(__xludf.DUMMYFUNCTION("""COMPUTED_VALUE"""),"")</f>
        <v/>
      </c>
      <c r="U1607" s="16" t="s">
        <v>87</v>
      </c>
      <c r="V1607" s="16" t="str">
        <f>IFERROR(__xludf.DUMMYFUNCTION("""COMPUTED_VALUE"""),"")</f>
        <v/>
      </c>
      <c r="W1607" s="16" t="str">
        <f>IFERROR(__xludf.DUMMYFUNCTION("""COMPUTED_VALUE"""),"")</f>
        <v/>
      </c>
      <c r="X1607" s="16" t="str">
        <f>IFERROR(__xludf.DUMMYFUNCTION("""COMPUTED_VALUE"""),"")</f>
        <v/>
      </c>
      <c r="AC1607" s="16" t="str">
        <f>IFERROR(__xludf.DUMMYFUNCTION("""COMPUTED_VALUE"""),"")</f>
        <v/>
      </c>
    </row>
    <row r="1608">
      <c r="A1608" s="16" t="s">
        <v>87</v>
      </c>
      <c r="E1608" s="16" t="str">
        <f>IFERROR(__xludf.DUMMYFUNCTION("""COMPUTED_VALUE"""),"")</f>
        <v/>
      </c>
      <c r="G1608" s="18"/>
      <c r="H1608" s="16" t="s">
        <v>87</v>
      </c>
      <c r="I1608" s="16" t="s">
        <v>87</v>
      </c>
      <c r="J1608" s="19"/>
      <c r="L1608" s="16" t="str">
        <f>IFERROR(__xludf.DUMMYFUNCTION("""COMPUTED_VALUE"""),"")</f>
        <v/>
      </c>
      <c r="M1608" s="16" t="str">
        <f>IFERROR(__xludf.DUMMYFUNCTION("""COMPUTED_VALUE"""),"")</f>
        <v/>
      </c>
      <c r="U1608" s="16" t="s">
        <v>87</v>
      </c>
      <c r="V1608" s="16" t="str">
        <f>IFERROR(__xludf.DUMMYFUNCTION("""COMPUTED_VALUE"""),"")</f>
        <v/>
      </c>
      <c r="W1608" s="16" t="str">
        <f>IFERROR(__xludf.DUMMYFUNCTION("""COMPUTED_VALUE"""),"")</f>
        <v/>
      </c>
      <c r="X1608" s="16" t="str">
        <f>IFERROR(__xludf.DUMMYFUNCTION("""COMPUTED_VALUE"""),"")</f>
        <v/>
      </c>
      <c r="AC1608" s="16" t="str">
        <f>IFERROR(__xludf.DUMMYFUNCTION("""COMPUTED_VALUE"""),"")</f>
        <v/>
      </c>
    </row>
    <row r="1609">
      <c r="A1609" s="16" t="s">
        <v>87</v>
      </c>
      <c r="E1609" s="16" t="str">
        <f>IFERROR(__xludf.DUMMYFUNCTION("""COMPUTED_VALUE"""),"")</f>
        <v/>
      </c>
      <c r="G1609" s="18"/>
      <c r="H1609" s="16" t="s">
        <v>87</v>
      </c>
      <c r="I1609" s="16" t="s">
        <v>87</v>
      </c>
      <c r="J1609" s="19"/>
      <c r="L1609" s="16" t="str">
        <f>IFERROR(__xludf.DUMMYFUNCTION("""COMPUTED_VALUE"""),"")</f>
        <v/>
      </c>
      <c r="M1609" s="16" t="str">
        <f>IFERROR(__xludf.DUMMYFUNCTION("""COMPUTED_VALUE"""),"")</f>
        <v/>
      </c>
      <c r="U1609" s="16" t="s">
        <v>87</v>
      </c>
      <c r="V1609" s="16" t="str">
        <f>IFERROR(__xludf.DUMMYFUNCTION("""COMPUTED_VALUE"""),"")</f>
        <v/>
      </c>
      <c r="W1609" s="16" t="str">
        <f>IFERROR(__xludf.DUMMYFUNCTION("""COMPUTED_VALUE"""),"")</f>
        <v/>
      </c>
      <c r="X1609" s="16" t="str">
        <f>IFERROR(__xludf.DUMMYFUNCTION("""COMPUTED_VALUE"""),"")</f>
        <v/>
      </c>
      <c r="AC1609" s="16" t="str">
        <f>IFERROR(__xludf.DUMMYFUNCTION("""COMPUTED_VALUE"""),"")</f>
        <v/>
      </c>
    </row>
    <row r="1610">
      <c r="A1610" s="16" t="s">
        <v>87</v>
      </c>
      <c r="E1610" s="16" t="str">
        <f>IFERROR(__xludf.DUMMYFUNCTION("""COMPUTED_VALUE"""),"")</f>
        <v/>
      </c>
      <c r="G1610" s="18"/>
      <c r="H1610" s="16" t="s">
        <v>87</v>
      </c>
      <c r="I1610" s="16" t="s">
        <v>87</v>
      </c>
      <c r="J1610" s="19"/>
      <c r="L1610" s="16" t="str">
        <f>IFERROR(__xludf.DUMMYFUNCTION("""COMPUTED_VALUE"""),"")</f>
        <v/>
      </c>
      <c r="M1610" s="16" t="str">
        <f>IFERROR(__xludf.DUMMYFUNCTION("""COMPUTED_VALUE"""),"")</f>
        <v/>
      </c>
      <c r="U1610" s="16" t="s">
        <v>87</v>
      </c>
      <c r="V1610" s="16" t="str">
        <f>IFERROR(__xludf.DUMMYFUNCTION("""COMPUTED_VALUE"""),"")</f>
        <v/>
      </c>
      <c r="W1610" s="16" t="str">
        <f>IFERROR(__xludf.DUMMYFUNCTION("""COMPUTED_VALUE"""),"")</f>
        <v/>
      </c>
      <c r="X1610" s="16" t="str">
        <f>IFERROR(__xludf.DUMMYFUNCTION("""COMPUTED_VALUE"""),"")</f>
        <v/>
      </c>
      <c r="AC1610" s="16" t="str">
        <f>IFERROR(__xludf.DUMMYFUNCTION("""COMPUTED_VALUE"""),"")</f>
        <v/>
      </c>
    </row>
    <row r="1611">
      <c r="A1611" s="16" t="s">
        <v>87</v>
      </c>
      <c r="E1611" s="16" t="str">
        <f>IFERROR(__xludf.DUMMYFUNCTION("""COMPUTED_VALUE"""),"")</f>
        <v/>
      </c>
      <c r="G1611" s="18"/>
      <c r="H1611" s="16" t="s">
        <v>87</v>
      </c>
      <c r="I1611" s="16" t="s">
        <v>87</v>
      </c>
      <c r="J1611" s="19"/>
      <c r="L1611" s="16" t="str">
        <f>IFERROR(__xludf.DUMMYFUNCTION("""COMPUTED_VALUE"""),"")</f>
        <v/>
      </c>
      <c r="M1611" s="16" t="str">
        <f>IFERROR(__xludf.DUMMYFUNCTION("""COMPUTED_VALUE"""),"")</f>
        <v/>
      </c>
      <c r="U1611" s="16" t="s">
        <v>87</v>
      </c>
      <c r="V1611" s="16" t="str">
        <f>IFERROR(__xludf.DUMMYFUNCTION("""COMPUTED_VALUE"""),"")</f>
        <v/>
      </c>
      <c r="W1611" s="16" t="str">
        <f>IFERROR(__xludf.DUMMYFUNCTION("""COMPUTED_VALUE"""),"")</f>
        <v/>
      </c>
      <c r="X1611" s="16" t="str">
        <f>IFERROR(__xludf.DUMMYFUNCTION("""COMPUTED_VALUE"""),"")</f>
        <v/>
      </c>
      <c r="AC1611" s="16" t="str">
        <f>IFERROR(__xludf.DUMMYFUNCTION("""COMPUTED_VALUE"""),"")</f>
        <v/>
      </c>
    </row>
    <row r="1612">
      <c r="A1612" s="16" t="s">
        <v>87</v>
      </c>
      <c r="E1612" s="16" t="str">
        <f>IFERROR(__xludf.DUMMYFUNCTION("""COMPUTED_VALUE"""),"")</f>
        <v/>
      </c>
      <c r="G1612" s="18"/>
      <c r="H1612" s="16" t="s">
        <v>87</v>
      </c>
      <c r="I1612" s="16" t="s">
        <v>87</v>
      </c>
      <c r="J1612" s="19"/>
      <c r="L1612" s="16" t="str">
        <f>IFERROR(__xludf.DUMMYFUNCTION("""COMPUTED_VALUE"""),"")</f>
        <v/>
      </c>
      <c r="M1612" s="16" t="str">
        <f>IFERROR(__xludf.DUMMYFUNCTION("""COMPUTED_VALUE"""),"")</f>
        <v/>
      </c>
      <c r="U1612" s="16" t="s">
        <v>87</v>
      </c>
      <c r="V1612" s="16" t="str">
        <f>IFERROR(__xludf.DUMMYFUNCTION("""COMPUTED_VALUE"""),"")</f>
        <v/>
      </c>
      <c r="W1612" s="16" t="str">
        <f>IFERROR(__xludf.DUMMYFUNCTION("""COMPUTED_VALUE"""),"")</f>
        <v/>
      </c>
      <c r="X1612" s="16" t="str">
        <f>IFERROR(__xludf.DUMMYFUNCTION("""COMPUTED_VALUE"""),"")</f>
        <v/>
      </c>
      <c r="AC1612" s="16" t="str">
        <f>IFERROR(__xludf.DUMMYFUNCTION("""COMPUTED_VALUE"""),"")</f>
        <v/>
      </c>
    </row>
    <row r="1613">
      <c r="A1613" s="16" t="s">
        <v>87</v>
      </c>
      <c r="E1613" s="16" t="str">
        <f>IFERROR(__xludf.DUMMYFUNCTION("""COMPUTED_VALUE"""),"")</f>
        <v/>
      </c>
      <c r="G1613" s="18"/>
      <c r="H1613" s="16" t="s">
        <v>87</v>
      </c>
      <c r="I1613" s="16" t="s">
        <v>87</v>
      </c>
      <c r="J1613" s="19"/>
      <c r="L1613" s="16" t="str">
        <f>IFERROR(__xludf.DUMMYFUNCTION("""COMPUTED_VALUE"""),"")</f>
        <v/>
      </c>
      <c r="M1613" s="16" t="str">
        <f>IFERROR(__xludf.DUMMYFUNCTION("""COMPUTED_VALUE"""),"")</f>
        <v/>
      </c>
      <c r="U1613" s="16" t="s">
        <v>87</v>
      </c>
      <c r="V1613" s="16" t="str">
        <f>IFERROR(__xludf.DUMMYFUNCTION("""COMPUTED_VALUE"""),"")</f>
        <v/>
      </c>
      <c r="W1613" s="16" t="str">
        <f>IFERROR(__xludf.DUMMYFUNCTION("""COMPUTED_VALUE"""),"")</f>
        <v/>
      </c>
      <c r="X1613" s="16" t="str">
        <f>IFERROR(__xludf.DUMMYFUNCTION("""COMPUTED_VALUE"""),"")</f>
        <v/>
      </c>
      <c r="AC1613" s="16" t="str">
        <f>IFERROR(__xludf.DUMMYFUNCTION("""COMPUTED_VALUE"""),"")</f>
        <v/>
      </c>
    </row>
    <row r="1614">
      <c r="A1614" s="16" t="s">
        <v>87</v>
      </c>
      <c r="E1614" s="16" t="str">
        <f>IFERROR(__xludf.DUMMYFUNCTION("""COMPUTED_VALUE"""),"")</f>
        <v/>
      </c>
      <c r="G1614" s="18"/>
      <c r="H1614" s="16" t="s">
        <v>87</v>
      </c>
      <c r="I1614" s="16" t="s">
        <v>87</v>
      </c>
      <c r="J1614" s="19"/>
      <c r="L1614" s="16" t="str">
        <f>IFERROR(__xludf.DUMMYFUNCTION("""COMPUTED_VALUE"""),"")</f>
        <v/>
      </c>
      <c r="M1614" s="16" t="str">
        <f>IFERROR(__xludf.DUMMYFUNCTION("""COMPUTED_VALUE"""),"")</f>
        <v/>
      </c>
      <c r="U1614" s="16" t="s">
        <v>87</v>
      </c>
      <c r="V1614" s="16" t="str">
        <f>IFERROR(__xludf.DUMMYFUNCTION("""COMPUTED_VALUE"""),"")</f>
        <v/>
      </c>
      <c r="W1614" s="16" t="str">
        <f>IFERROR(__xludf.DUMMYFUNCTION("""COMPUTED_VALUE"""),"")</f>
        <v/>
      </c>
      <c r="X1614" s="16" t="str">
        <f>IFERROR(__xludf.DUMMYFUNCTION("""COMPUTED_VALUE"""),"")</f>
        <v/>
      </c>
      <c r="AC1614" s="16" t="str">
        <f>IFERROR(__xludf.DUMMYFUNCTION("""COMPUTED_VALUE"""),"")</f>
        <v/>
      </c>
    </row>
    <row r="1615">
      <c r="A1615" s="16" t="s">
        <v>87</v>
      </c>
      <c r="E1615" s="16" t="str">
        <f>IFERROR(__xludf.DUMMYFUNCTION("""COMPUTED_VALUE"""),"")</f>
        <v/>
      </c>
      <c r="G1615" s="18"/>
      <c r="H1615" s="16" t="s">
        <v>87</v>
      </c>
      <c r="I1615" s="16" t="s">
        <v>87</v>
      </c>
      <c r="J1615" s="19"/>
      <c r="L1615" s="16" t="str">
        <f>IFERROR(__xludf.DUMMYFUNCTION("""COMPUTED_VALUE"""),"")</f>
        <v/>
      </c>
      <c r="M1615" s="16" t="str">
        <f>IFERROR(__xludf.DUMMYFUNCTION("""COMPUTED_VALUE"""),"")</f>
        <v/>
      </c>
      <c r="U1615" s="16" t="s">
        <v>87</v>
      </c>
      <c r="V1615" s="16" t="str">
        <f>IFERROR(__xludf.DUMMYFUNCTION("""COMPUTED_VALUE"""),"")</f>
        <v/>
      </c>
      <c r="W1615" s="16" t="str">
        <f>IFERROR(__xludf.DUMMYFUNCTION("""COMPUTED_VALUE"""),"")</f>
        <v/>
      </c>
      <c r="X1615" s="16" t="str">
        <f>IFERROR(__xludf.DUMMYFUNCTION("""COMPUTED_VALUE"""),"")</f>
        <v/>
      </c>
      <c r="AC1615" s="16" t="str">
        <f>IFERROR(__xludf.DUMMYFUNCTION("""COMPUTED_VALUE"""),"")</f>
        <v/>
      </c>
    </row>
    <row r="1616">
      <c r="A1616" s="16" t="s">
        <v>87</v>
      </c>
      <c r="E1616" s="16" t="str">
        <f>IFERROR(__xludf.DUMMYFUNCTION("""COMPUTED_VALUE"""),"")</f>
        <v/>
      </c>
      <c r="G1616" s="18"/>
      <c r="H1616" s="16" t="s">
        <v>87</v>
      </c>
      <c r="I1616" s="16" t="s">
        <v>87</v>
      </c>
      <c r="J1616" s="19"/>
      <c r="L1616" s="16" t="str">
        <f>IFERROR(__xludf.DUMMYFUNCTION("""COMPUTED_VALUE"""),"")</f>
        <v/>
      </c>
      <c r="M1616" s="16" t="str">
        <f>IFERROR(__xludf.DUMMYFUNCTION("""COMPUTED_VALUE"""),"")</f>
        <v/>
      </c>
      <c r="U1616" s="16" t="s">
        <v>87</v>
      </c>
      <c r="V1616" s="16" t="str">
        <f>IFERROR(__xludf.DUMMYFUNCTION("""COMPUTED_VALUE"""),"")</f>
        <v/>
      </c>
      <c r="W1616" s="16" t="str">
        <f>IFERROR(__xludf.DUMMYFUNCTION("""COMPUTED_VALUE"""),"")</f>
        <v/>
      </c>
      <c r="X1616" s="16" t="str">
        <f>IFERROR(__xludf.DUMMYFUNCTION("""COMPUTED_VALUE"""),"")</f>
        <v/>
      </c>
      <c r="AC1616" s="16" t="str">
        <f>IFERROR(__xludf.DUMMYFUNCTION("""COMPUTED_VALUE"""),"")</f>
        <v/>
      </c>
    </row>
    <row r="1617">
      <c r="A1617" s="16" t="s">
        <v>87</v>
      </c>
      <c r="E1617" s="16" t="str">
        <f>IFERROR(__xludf.DUMMYFUNCTION("""COMPUTED_VALUE"""),"")</f>
        <v/>
      </c>
      <c r="G1617" s="18"/>
      <c r="H1617" s="16" t="s">
        <v>87</v>
      </c>
      <c r="I1617" s="16" t="s">
        <v>87</v>
      </c>
      <c r="J1617" s="19"/>
      <c r="L1617" s="16" t="str">
        <f>IFERROR(__xludf.DUMMYFUNCTION("""COMPUTED_VALUE"""),"")</f>
        <v/>
      </c>
      <c r="M1617" s="16" t="str">
        <f>IFERROR(__xludf.DUMMYFUNCTION("""COMPUTED_VALUE"""),"")</f>
        <v/>
      </c>
      <c r="U1617" s="16" t="s">
        <v>87</v>
      </c>
      <c r="V1617" s="16" t="str">
        <f>IFERROR(__xludf.DUMMYFUNCTION("""COMPUTED_VALUE"""),"")</f>
        <v/>
      </c>
      <c r="W1617" s="16" t="str">
        <f>IFERROR(__xludf.DUMMYFUNCTION("""COMPUTED_VALUE"""),"")</f>
        <v/>
      </c>
      <c r="X1617" s="16" t="str">
        <f>IFERROR(__xludf.DUMMYFUNCTION("""COMPUTED_VALUE"""),"")</f>
        <v/>
      </c>
      <c r="AC1617" s="16" t="str">
        <f>IFERROR(__xludf.DUMMYFUNCTION("""COMPUTED_VALUE"""),"")</f>
        <v/>
      </c>
    </row>
    <row r="1618">
      <c r="A1618" s="16" t="s">
        <v>87</v>
      </c>
      <c r="E1618" s="16" t="str">
        <f>IFERROR(__xludf.DUMMYFUNCTION("""COMPUTED_VALUE"""),"")</f>
        <v/>
      </c>
      <c r="G1618" s="18"/>
      <c r="H1618" s="16" t="s">
        <v>87</v>
      </c>
      <c r="I1618" s="16" t="s">
        <v>87</v>
      </c>
      <c r="J1618" s="19"/>
      <c r="L1618" s="16" t="str">
        <f>IFERROR(__xludf.DUMMYFUNCTION("""COMPUTED_VALUE"""),"")</f>
        <v/>
      </c>
      <c r="M1618" s="16" t="str">
        <f>IFERROR(__xludf.DUMMYFUNCTION("""COMPUTED_VALUE"""),"")</f>
        <v/>
      </c>
      <c r="U1618" s="16" t="s">
        <v>87</v>
      </c>
      <c r="V1618" s="16" t="str">
        <f>IFERROR(__xludf.DUMMYFUNCTION("""COMPUTED_VALUE"""),"")</f>
        <v/>
      </c>
      <c r="W1618" s="16" t="str">
        <f>IFERROR(__xludf.DUMMYFUNCTION("""COMPUTED_VALUE"""),"")</f>
        <v/>
      </c>
      <c r="X1618" s="16" t="str">
        <f>IFERROR(__xludf.DUMMYFUNCTION("""COMPUTED_VALUE"""),"")</f>
        <v/>
      </c>
      <c r="AC1618" s="16" t="str">
        <f>IFERROR(__xludf.DUMMYFUNCTION("""COMPUTED_VALUE"""),"")</f>
        <v/>
      </c>
    </row>
    <row r="1619">
      <c r="A1619" s="16" t="s">
        <v>87</v>
      </c>
      <c r="E1619" s="16" t="str">
        <f>IFERROR(__xludf.DUMMYFUNCTION("""COMPUTED_VALUE"""),"")</f>
        <v/>
      </c>
      <c r="G1619" s="18"/>
      <c r="H1619" s="16" t="s">
        <v>87</v>
      </c>
      <c r="I1619" s="16" t="s">
        <v>87</v>
      </c>
      <c r="J1619" s="19"/>
      <c r="L1619" s="16" t="str">
        <f>IFERROR(__xludf.DUMMYFUNCTION("""COMPUTED_VALUE"""),"")</f>
        <v/>
      </c>
      <c r="M1619" s="16" t="str">
        <f>IFERROR(__xludf.DUMMYFUNCTION("""COMPUTED_VALUE"""),"")</f>
        <v/>
      </c>
      <c r="U1619" s="16" t="s">
        <v>87</v>
      </c>
      <c r="V1619" s="16" t="str">
        <f>IFERROR(__xludf.DUMMYFUNCTION("""COMPUTED_VALUE"""),"")</f>
        <v/>
      </c>
      <c r="W1619" s="16" t="str">
        <f>IFERROR(__xludf.DUMMYFUNCTION("""COMPUTED_VALUE"""),"")</f>
        <v/>
      </c>
      <c r="X1619" s="16" t="str">
        <f>IFERROR(__xludf.DUMMYFUNCTION("""COMPUTED_VALUE"""),"")</f>
        <v/>
      </c>
      <c r="AC1619" s="16" t="str">
        <f>IFERROR(__xludf.DUMMYFUNCTION("""COMPUTED_VALUE"""),"")</f>
        <v/>
      </c>
    </row>
    <row r="1620">
      <c r="A1620" s="16" t="s">
        <v>87</v>
      </c>
      <c r="E1620" s="16" t="str">
        <f>IFERROR(__xludf.DUMMYFUNCTION("""COMPUTED_VALUE"""),"")</f>
        <v/>
      </c>
      <c r="G1620" s="18"/>
      <c r="H1620" s="16" t="s">
        <v>87</v>
      </c>
      <c r="I1620" s="16" t="s">
        <v>87</v>
      </c>
      <c r="J1620" s="19"/>
      <c r="L1620" s="16" t="str">
        <f>IFERROR(__xludf.DUMMYFUNCTION("""COMPUTED_VALUE"""),"")</f>
        <v/>
      </c>
      <c r="M1620" s="16" t="str">
        <f>IFERROR(__xludf.DUMMYFUNCTION("""COMPUTED_VALUE"""),"")</f>
        <v/>
      </c>
      <c r="U1620" s="16" t="s">
        <v>87</v>
      </c>
      <c r="V1620" s="16" t="str">
        <f>IFERROR(__xludf.DUMMYFUNCTION("""COMPUTED_VALUE"""),"")</f>
        <v/>
      </c>
      <c r="W1620" s="16" t="str">
        <f>IFERROR(__xludf.DUMMYFUNCTION("""COMPUTED_VALUE"""),"")</f>
        <v/>
      </c>
      <c r="X1620" s="16" t="str">
        <f>IFERROR(__xludf.DUMMYFUNCTION("""COMPUTED_VALUE"""),"")</f>
        <v/>
      </c>
      <c r="AC1620" s="16" t="str">
        <f>IFERROR(__xludf.DUMMYFUNCTION("""COMPUTED_VALUE"""),"")</f>
        <v/>
      </c>
    </row>
    <row r="1621">
      <c r="A1621" s="16" t="s">
        <v>87</v>
      </c>
      <c r="E1621" s="16" t="str">
        <f>IFERROR(__xludf.DUMMYFUNCTION("""COMPUTED_VALUE"""),"")</f>
        <v/>
      </c>
      <c r="G1621" s="18"/>
      <c r="H1621" s="16" t="s">
        <v>87</v>
      </c>
      <c r="I1621" s="16" t="s">
        <v>87</v>
      </c>
      <c r="J1621" s="19"/>
      <c r="L1621" s="16" t="str">
        <f>IFERROR(__xludf.DUMMYFUNCTION("""COMPUTED_VALUE"""),"")</f>
        <v/>
      </c>
      <c r="M1621" s="16" t="str">
        <f>IFERROR(__xludf.DUMMYFUNCTION("""COMPUTED_VALUE"""),"")</f>
        <v/>
      </c>
      <c r="U1621" s="16" t="s">
        <v>87</v>
      </c>
      <c r="V1621" s="16" t="str">
        <f>IFERROR(__xludf.DUMMYFUNCTION("""COMPUTED_VALUE"""),"")</f>
        <v/>
      </c>
      <c r="W1621" s="16" t="str">
        <f>IFERROR(__xludf.DUMMYFUNCTION("""COMPUTED_VALUE"""),"")</f>
        <v/>
      </c>
      <c r="X1621" s="16" t="str">
        <f>IFERROR(__xludf.DUMMYFUNCTION("""COMPUTED_VALUE"""),"")</f>
        <v/>
      </c>
      <c r="AC1621" s="16" t="str">
        <f>IFERROR(__xludf.DUMMYFUNCTION("""COMPUTED_VALUE"""),"")</f>
        <v/>
      </c>
    </row>
    <row r="1622">
      <c r="A1622" s="16" t="s">
        <v>87</v>
      </c>
      <c r="E1622" s="16" t="str">
        <f>IFERROR(__xludf.DUMMYFUNCTION("""COMPUTED_VALUE"""),"")</f>
        <v/>
      </c>
      <c r="G1622" s="18"/>
      <c r="H1622" s="16" t="s">
        <v>87</v>
      </c>
      <c r="I1622" s="16" t="s">
        <v>87</v>
      </c>
      <c r="J1622" s="19"/>
      <c r="L1622" s="16" t="str">
        <f>IFERROR(__xludf.DUMMYFUNCTION("""COMPUTED_VALUE"""),"")</f>
        <v/>
      </c>
      <c r="M1622" s="16" t="str">
        <f>IFERROR(__xludf.DUMMYFUNCTION("""COMPUTED_VALUE"""),"")</f>
        <v/>
      </c>
      <c r="U1622" s="16" t="s">
        <v>87</v>
      </c>
      <c r="V1622" s="16" t="str">
        <f>IFERROR(__xludf.DUMMYFUNCTION("""COMPUTED_VALUE"""),"")</f>
        <v/>
      </c>
      <c r="W1622" s="16" t="str">
        <f>IFERROR(__xludf.DUMMYFUNCTION("""COMPUTED_VALUE"""),"")</f>
        <v/>
      </c>
      <c r="X1622" s="16" t="str">
        <f>IFERROR(__xludf.DUMMYFUNCTION("""COMPUTED_VALUE"""),"")</f>
        <v/>
      </c>
      <c r="AC1622" s="16" t="str">
        <f>IFERROR(__xludf.DUMMYFUNCTION("""COMPUTED_VALUE"""),"")</f>
        <v/>
      </c>
    </row>
    <row r="1623">
      <c r="A1623" s="16" t="s">
        <v>87</v>
      </c>
      <c r="E1623" s="16" t="str">
        <f>IFERROR(__xludf.DUMMYFUNCTION("""COMPUTED_VALUE"""),"")</f>
        <v/>
      </c>
      <c r="G1623" s="18"/>
      <c r="H1623" s="16" t="s">
        <v>87</v>
      </c>
      <c r="I1623" s="16" t="s">
        <v>87</v>
      </c>
      <c r="J1623" s="19"/>
      <c r="L1623" s="16" t="str">
        <f>IFERROR(__xludf.DUMMYFUNCTION("""COMPUTED_VALUE"""),"")</f>
        <v/>
      </c>
      <c r="M1623" s="16" t="str">
        <f>IFERROR(__xludf.DUMMYFUNCTION("""COMPUTED_VALUE"""),"")</f>
        <v/>
      </c>
      <c r="U1623" s="16" t="s">
        <v>87</v>
      </c>
      <c r="V1623" s="16" t="str">
        <f>IFERROR(__xludf.DUMMYFUNCTION("""COMPUTED_VALUE"""),"")</f>
        <v/>
      </c>
      <c r="W1623" s="16" t="str">
        <f>IFERROR(__xludf.DUMMYFUNCTION("""COMPUTED_VALUE"""),"")</f>
        <v/>
      </c>
      <c r="X1623" s="16" t="str">
        <f>IFERROR(__xludf.DUMMYFUNCTION("""COMPUTED_VALUE"""),"")</f>
        <v/>
      </c>
      <c r="AC1623" s="16" t="str">
        <f>IFERROR(__xludf.DUMMYFUNCTION("""COMPUTED_VALUE"""),"")</f>
        <v/>
      </c>
    </row>
    <row r="1624">
      <c r="A1624" s="16" t="s">
        <v>87</v>
      </c>
      <c r="E1624" s="16" t="str">
        <f>IFERROR(__xludf.DUMMYFUNCTION("""COMPUTED_VALUE"""),"")</f>
        <v/>
      </c>
      <c r="G1624" s="18"/>
      <c r="H1624" s="16" t="s">
        <v>87</v>
      </c>
      <c r="I1624" s="16" t="s">
        <v>87</v>
      </c>
      <c r="J1624" s="19"/>
      <c r="L1624" s="16" t="str">
        <f>IFERROR(__xludf.DUMMYFUNCTION("""COMPUTED_VALUE"""),"")</f>
        <v/>
      </c>
      <c r="M1624" s="16" t="str">
        <f>IFERROR(__xludf.DUMMYFUNCTION("""COMPUTED_VALUE"""),"")</f>
        <v/>
      </c>
      <c r="U1624" s="16" t="s">
        <v>87</v>
      </c>
      <c r="V1624" s="16" t="str">
        <f>IFERROR(__xludf.DUMMYFUNCTION("""COMPUTED_VALUE"""),"")</f>
        <v/>
      </c>
      <c r="W1624" s="16" t="str">
        <f>IFERROR(__xludf.DUMMYFUNCTION("""COMPUTED_VALUE"""),"")</f>
        <v/>
      </c>
      <c r="X1624" s="16" t="str">
        <f>IFERROR(__xludf.DUMMYFUNCTION("""COMPUTED_VALUE"""),"")</f>
        <v/>
      </c>
      <c r="AC1624" s="16" t="str">
        <f>IFERROR(__xludf.DUMMYFUNCTION("""COMPUTED_VALUE"""),"")</f>
        <v/>
      </c>
    </row>
    <row r="1625">
      <c r="A1625" s="16" t="s">
        <v>87</v>
      </c>
      <c r="E1625" s="16" t="str">
        <f>IFERROR(__xludf.DUMMYFUNCTION("""COMPUTED_VALUE"""),"")</f>
        <v/>
      </c>
      <c r="G1625" s="18"/>
      <c r="H1625" s="16" t="s">
        <v>87</v>
      </c>
      <c r="I1625" s="16" t="s">
        <v>87</v>
      </c>
      <c r="J1625" s="19"/>
      <c r="L1625" s="16" t="str">
        <f>IFERROR(__xludf.DUMMYFUNCTION("""COMPUTED_VALUE"""),"")</f>
        <v/>
      </c>
      <c r="M1625" s="16" t="str">
        <f>IFERROR(__xludf.DUMMYFUNCTION("""COMPUTED_VALUE"""),"")</f>
        <v/>
      </c>
      <c r="U1625" s="16" t="s">
        <v>87</v>
      </c>
      <c r="V1625" s="16" t="str">
        <f>IFERROR(__xludf.DUMMYFUNCTION("""COMPUTED_VALUE"""),"")</f>
        <v/>
      </c>
      <c r="W1625" s="16" t="str">
        <f>IFERROR(__xludf.DUMMYFUNCTION("""COMPUTED_VALUE"""),"")</f>
        <v/>
      </c>
      <c r="X1625" s="16" t="str">
        <f>IFERROR(__xludf.DUMMYFUNCTION("""COMPUTED_VALUE"""),"")</f>
        <v/>
      </c>
      <c r="AC1625" s="16" t="str">
        <f>IFERROR(__xludf.DUMMYFUNCTION("""COMPUTED_VALUE"""),"")</f>
        <v/>
      </c>
    </row>
    <row r="1626">
      <c r="A1626" s="16" t="s">
        <v>87</v>
      </c>
      <c r="E1626" s="16" t="str">
        <f>IFERROR(__xludf.DUMMYFUNCTION("""COMPUTED_VALUE"""),"")</f>
        <v/>
      </c>
      <c r="G1626" s="18"/>
      <c r="H1626" s="16" t="s">
        <v>87</v>
      </c>
      <c r="I1626" s="16" t="s">
        <v>87</v>
      </c>
      <c r="J1626" s="19"/>
      <c r="L1626" s="16" t="str">
        <f>IFERROR(__xludf.DUMMYFUNCTION("""COMPUTED_VALUE"""),"")</f>
        <v/>
      </c>
      <c r="M1626" s="16" t="str">
        <f>IFERROR(__xludf.DUMMYFUNCTION("""COMPUTED_VALUE"""),"")</f>
        <v/>
      </c>
      <c r="U1626" s="16" t="s">
        <v>87</v>
      </c>
      <c r="V1626" s="16" t="str">
        <f>IFERROR(__xludf.DUMMYFUNCTION("""COMPUTED_VALUE"""),"")</f>
        <v/>
      </c>
      <c r="W1626" s="16" t="str">
        <f>IFERROR(__xludf.DUMMYFUNCTION("""COMPUTED_VALUE"""),"")</f>
        <v/>
      </c>
      <c r="X1626" s="16" t="str">
        <f>IFERROR(__xludf.DUMMYFUNCTION("""COMPUTED_VALUE"""),"")</f>
        <v/>
      </c>
      <c r="AC1626" s="16" t="str">
        <f>IFERROR(__xludf.DUMMYFUNCTION("""COMPUTED_VALUE"""),"")</f>
        <v/>
      </c>
    </row>
    <row r="1627">
      <c r="A1627" s="16" t="s">
        <v>87</v>
      </c>
      <c r="E1627" s="16" t="str">
        <f>IFERROR(__xludf.DUMMYFUNCTION("""COMPUTED_VALUE"""),"")</f>
        <v/>
      </c>
      <c r="G1627" s="18"/>
      <c r="H1627" s="16" t="s">
        <v>87</v>
      </c>
      <c r="I1627" s="16" t="s">
        <v>87</v>
      </c>
      <c r="J1627" s="19"/>
      <c r="L1627" s="16" t="str">
        <f>IFERROR(__xludf.DUMMYFUNCTION("""COMPUTED_VALUE"""),"")</f>
        <v/>
      </c>
      <c r="M1627" s="16" t="str">
        <f>IFERROR(__xludf.DUMMYFUNCTION("""COMPUTED_VALUE"""),"")</f>
        <v/>
      </c>
      <c r="U1627" s="16" t="s">
        <v>87</v>
      </c>
      <c r="V1627" s="16" t="str">
        <f>IFERROR(__xludf.DUMMYFUNCTION("""COMPUTED_VALUE"""),"")</f>
        <v/>
      </c>
      <c r="W1627" s="16" t="str">
        <f>IFERROR(__xludf.DUMMYFUNCTION("""COMPUTED_VALUE"""),"")</f>
        <v/>
      </c>
      <c r="X1627" s="16" t="str">
        <f>IFERROR(__xludf.DUMMYFUNCTION("""COMPUTED_VALUE"""),"")</f>
        <v/>
      </c>
      <c r="AC1627" s="16" t="str">
        <f>IFERROR(__xludf.DUMMYFUNCTION("""COMPUTED_VALUE"""),"")</f>
        <v/>
      </c>
    </row>
    <row r="1628">
      <c r="A1628" s="16" t="s">
        <v>87</v>
      </c>
      <c r="E1628" s="16" t="str">
        <f>IFERROR(__xludf.DUMMYFUNCTION("""COMPUTED_VALUE"""),"")</f>
        <v/>
      </c>
      <c r="G1628" s="18"/>
      <c r="H1628" s="16" t="s">
        <v>87</v>
      </c>
      <c r="I1628" s="16" t="s">
        <v>87</v>
      </c>
      <c r="J1628" s="19"/>
      <c r="L1628" s="16" t="str">
        <f>IFERROR(__xludf.DUMMYFUNCTION("""COMPUTED_VALUE"""),"")</f>
        <v/>
      </c>
      <c r="M1628" s="16" t="str">
        <f>IFERROR(__xludf.DUMMYFUNCTION("""COMPUTED_VALUE"""),"")</f>
        <v/>
      </c>
      <c r="U1628" s="16" t="s">
        <v>87</v>
      </c>
      <c r="V1628" s="16" t="str">
        <f>IFERROR(__xludf.DUMMYFUNCTION("""COMPUTED_VALUE"""),"")</f>
        <v/>
      </c>
      <c r="W1628" s="16" t="str">
        <f>IFERROR(__xludf.DUMMYFUNCTION("""COMPUTED_VALUE"""),"")</f>
        <v/>
      </c>
      <c r="X1628" s="16" t="str">
        <f>IFERROR(__xludf.DUMMYFUNCTION("""COMPUTED_VALUE"""),"")</f>
        <v/>
      </c>
      <c r="AC1628" s="16" t="str">
        <f>IFERROR(__xludf.DUMMYFUNCTION("""COMPUTED_VALUE"""),"")</f>
        <v/>
      </c>
    </row>
    <row r="1629">
      <c r="A1629" s="16" t="s">
        <v>87</v>
      </c>
      <c r="E1629" s="16" t="str">
        <f>IFERROR(__xludf.DUMMYFUNCTION("""COMPUTED_VALUE"""),"")</f>
        <v/>
      </c>
      <c r="G1629" s="18"/>
      <c r="H1629" s="16" t="s">
        <v>87</v>
      </c>
      <c r="I1629" s="16" t="s">
        <v>87</v>
      </c>
      <c r="J1629" s="19"/>
      <c r="L1629" s="16" t="str">
        <f>IFERROR(__xludf.DUMMYFUNCTION("""COMPUTED_VALUE"""),"")</f>
        <v/>
      </c>
      <c r="M1629" s="16" t="str">
        <f>IFERROR(__xludf.DUMMYFUNCTION("""COMPUTED_VALUE"""),"")</f>
        <v/>
      </c>
      <c r="U1629" s="16" t="s">
        <v>87</v>
      </c>
      <c r="V1629" s="16" t="str">
        <f>IFERROR(__xludf.DUMMYFUNCTION("""COMPUTED_VALUE"""),"")</f>
        <v/>
      </c>
      <c r="W1629" s="16" t="str">
        <f>IFERROR(__xludf.DUMMYFUNCTION("""COMPUTED_VALUE"""),"")</f>
        <v/>
      </c>
      <c r="X1629" s="16" t="str">
        <f>IFERROR(__xludf.DUMMYFUNCTION("""COMPUTED_VALUE"""),"")</f>
        <v/>
      </c>
      <c r="AC1629" s="16" t="str">
        <f>IFERROR(__xludf.DUMMYFUNCTION("""COMPUTED_VALUE"""),"")</f>
        <v/>
      </c>
    </row>
    <row r="1630">
      <c r="A1630" s="16" t="s">
        <v>87</v>
      </c>
      <c r="E1630" s="16" t="str">
        <f>IFERROR(__xludf.DUMMYFUNCTION("""COMPUTED_VALUE"""),"")</f>
        <v/>
      </c>
      <c r="G1630" s="18"/>
      <c r="H1630" s="16" t="s">
        <v>87</v>
      </c>
      <c r="I1630" s="16" t="s">
        <v>87</v>
      </c>
      <c r="J1630" s="19"/>
      <c r="L1630" s="16" t="str">
        <f>IFERROR(__xludf.DUMMYFUNCTION("""COMPUTED_VALUE"""),"")</f>
        <v/>
      </c>
      <c r="M1630" s="16" t="str">
        <f>IFERROR(__xludf.DUMMYFUNCTION("""COMPUTED_VALUE"""),"")</f>
        <v/>
      </c>
      <c r="U1630" s="16" t="s">
        <v>87</v>
      </c>
      <c r="V1630" s="16" t="str">
        <f>IFERROR(__xludf.DUMMYFUNCTION("""COMPUTED_VALUE"""),"")</f>
        <v/>
      </c>
      <c r="W1630" s="16" t="str">
        <f>IFERROR(__xludf.DUMMYFUNCTION("""COMPUTED_VALUE"""),"")</f>
        <v/>
      </c>
      <c r="X1630" s="16" t="str">
        <f>IFERROR(__xludf.DUMMYFUNCTION("""COMPUTED_VALUE"""),"")</f>
        <v/>
      </c>
      <c r="AC1630" s="16" t="str">
        <f>IFERROR(__xludf.DUMMYFUNCTION("""COMPUTED_VALUE"""),"")</f>
        <v/>
      </c>
    </row>
    <row r="1631">
      <c r="A1631" s="16" t="s">
        <v>87</v>
      </c>
      <c r="E1631" s="16" t="str">
        <f>IFERROR(__xludf.DUMMYFUNCTION("""COMPUTED_VALUE"""),"")</f>
        <v/>
      </c>
      <c r="G1631" s="18"/>
      <c r="H1631" s="16" t="s">
        <v>87</v>
      </c>
      <c r="I1631" s="16" t="s">
        <v>87</v>
      </c>
      <c r="J1631" s="19"/>
      <c r="L1631" s="16" t="str">
        <f>IFERROR(__xludf.DUMMYFUNCTION("""COMPUTED_VALUE"""),"")</f>
        <v/>
      </c>
      <c r="M1631" s="16" t="str">
        <f>IFERROR(__xludf.DUMMYFUNCTION("""COMPUTED_VALUE"""),"")</f>
        <v/>
      </c>
      <c r="U1631" s="16" t="s">
        <v>87</v>
      </c>
      <c r="V1631" s="16" t="str">
        <f>IFERROR(__xludf.DUMMYFUNCTION("""COMPUTED_VALUE"""),"")</f>
        <v/>
      </c>
      <c r="W1631" s="16" t="str">
        <f>IFERROR(__xludf.DUMMYFUNCTION("""COMPUTED_VALUE"""),"")</f>
        <v/>
      </c>
      <c r="X1631" s="16" t="str">
        <f>IFERROR(__xludf.DUMMYFUNCTION("""COMPUTED_VALUE"""),"")</f>
        <v/>
      </c>
      <c r="AC1631" s="16" t="str">
        <f>IFERROR(__xludf.DUMMYFUNCTION("""COMPUTED_VALUE"""),"")</f>
        <v/>
      </c>
    </row>
    <row r="1632">
      <c r="A1632" s="16" t="s">
        <v>87</v>
      </c>
      <c r="E1632" s="16" t="str">
        <f>IFERROR(__xludf.DUMMYFUNCTION("""COMPUTED_VALUE"""),"")</f>
        <v/>
      </c>
      <c r="G1632" s="18"/>
      <c r="H1632" s="16" t="s">
        <v>87</v>
      </c>
      <c r="I1632" s="16" t="s">
        <v>87</v>
      </c>
      <c r="J1632" s="19"/>
      <c r="L1632" s="16" t="str">
        <f>IFERROR(__xludf.DUMMYFUNCTION("""COMPUTED_VALUE"""),"")</f>
        <v/>
      </c>
      <c r="M1632" s="16" t="str">
        <f>IFERROR(__xludf.DUMMYFUNCTION("""COMPUTED_VALUE"""),"")</f>
        <v/>
      </c>
      <c r="U1632" s="16" t="s">
        <v>87</v>
      </c>
      <c r="V1632" s="16" t="str">
        <f>IFERROR(__xludf.DUMMYFUNCTION("""COMPUTED_VALUE"""),"")</f>
        <v/>
      </c>
      <c r="W1632" s="16" t="str">
        <f>IFERROR(__xludf.DUMMYFUNCTION("""COMPUTED_VALUE"""),"")</f>
        <v/>
      </c>
      <c r="X1632" s="16" t="str">
        <f>IFERROR(__xludf.DUMMYFUNCTION("""COMPUTED_VALUE"""),"")</f>
        <v/>
      </c>
      <c r="AC1632" s="16" t="str">
        <f>IFERROR(__xludf.DUMMYFUNCTION("""COMPUTED_VALUE"""),"")</f>
        <v/>
      </c>
    </row>
    <row r="1633">
      <c r="A1633" s="16" t="s">
        <v>87</v>
      </c>
      <c r="E1633" s="16" t="str">
        <f>IFERROR(__xludf.DUMMYFUNCTION("""COMPUTED_VALUE"""),"")</f>
        <v/>
      </c>
      <c r="G1633" s="18"/>
      <c r="H1633" s="16" t="s">
        <v>87</v>
      </c>
      <c r="I1633" s="16" t="s">
        <v>87</v>
      </c>
      <c r="J1633" s="19"/>
      <c r="L1633" s="16" t="str">
        <f>IFERROR(__xludf.DUMMYFUNCTION("""COMPUTED_VALUE"""),"")</f>
        <v/>
      </c>
      <c r="M1633" s="16" t="str">
        <f>IFERROR(__xludf.DUMMYFUNCTION("""COMPUTED_VALUE"""),"")</f>
        <v/>
      </c>
      <c r="U1633" s="16" t="s">
        <v>87</v>
      </c>
      <c r="V1633" s="16" t="str">
        <f>IFERROR(__xludf.DUMMYFUNCTION("""COMPUTED_VALUE"""),"")</f>
        <v/>
      </c>
      <c r="W1633" s="16" t="str">
        <f>IFERROR(__xludf.DUMMYFUNCTION("""COMPUTED_VALUE"""),"")</f>
        <v/>
      </c>
      <c r="X1633" s="16" t="str">
        <f>IFERROR(__xludf.DUMMYFUNCTION("""COMPUTED_VALUE"""),"")</f>
        <v/>
      </c>
      <c r="AC1633" s="16" t="str">
        <f>IFERROR(__xludf.DUMMYFUNCTION("""COMPUTED_VALUE"""),"")</f>
        <v/>
      </c>
    </row>
    <row r="1634">
      <c r="A1634" s="16" t="s">
        <v>87</v>
      </c>
      <c r="E1634" s="16" t="str">
        <f>IFERROR(__xludf.DUMMYFUNCTION("""COMPUTED_VALUE"""),"")</f>
        <v/>
      </c>
      <c r="G1634" s="18"/>
      <c r="H1634" s="16" t="s">
        <v>87</v>
      </c>
      <c r="I1634" s="16" t="s">
        <v>87</v>
      </c>
      <c r="J1634" s="19"/>
      <c r="L1634" s="16" t="str">
        <f>IFERROR(__xludf.DUMMYFUNCTION("""COMPUTED_VALUE"""),"")</f>
        <v/>
      </c>
      <c r="M1634" s="16" t="str">
        <f>IFERROR(__xludf.DUMMYFUNCTION("""COMPUTED_VALUE"""),"")</f>
        <v/>
      </c>
      <c r="U1634" s="16" t="s">
        <v>87</v>
      </c>
      <c r="V1634" s="16" t="str">
        <f>IFERROR(__xludf.DUMMYFUNCTION("""COMPUTED_VALUE"""),"")</f>
        <v/>
      </c>
      <c r="W1634" s="16" t="str">
        <f>IFERROR(__xludf.DUMMYFUNCTION("""COMPUTED_VALUE"""),"")</f>
        <v/>
      </c>
      <c r="X1634" s="16" t="str">
        <f>IFERROR(__xludf.DUMMYFUNCTION("""COMPUTED_VALUE"""),"")</f>
        <v/>
      </c>
      <c r="AC1634" s="16" t="str">
        <f>IFERROR(__xludf.DUMMYFUNCTION("""COMPUTED_VALUE"""),"")</f>
        <v/>
      </c>
    </row>
    <row r="1635">
      <c r="A1635" s="16" t="s">
        <v>87</v>
      </c>
      <c r="E1635" s="16" t="str">
        <f>IFERROR(__xludf.DUMMYFUNCTION("""COMPUTED_VALUE"""),"")</f>
        <v/>
      </c>
      <c r="G1635" s="18"/>
      <c r="H1635" s="16" t="s">
        <v>87</v>
      </c>
      <c r="I1635" s="16" t="s">
        <v>87</v>
      </c>
      <c r="J1635" s="19"/>
      <c r="L1635" s="16" t="str">
        <f>IFERROR(__xludf.DUMMYFUNCTION("""COMPUTED_VALUE"""),"")</f>
        <v/>
      </c>
      <c r="M1635" s="16" t="str">
        <f>IFERROR(__xludf.DUMMYFUNCTION("""COMPUTED_VALUE"""),"")</f>
        <v/>
      </c>
      <c r="U1635" s="16" t="s">
        <v>87</v>
      </c>
      <c r="V1635" s="16" t="str">
        <f>IFERROR(__xludf.DUMMYFUNCTION("""COMPUTED_VALUE"""),"")</f>
        <v/>
      </c>
      <c r="W1635" s="16" t="str">
        <f>IFERROR(__xludf.DUMMYFUNCTION("""COMPUTED_VALUE"""),"")</f>
        <v/>
      </c>
      <c r="X1635" s="16" t="str">
        <f>IFERROR(__xludf.DUMMYFUNCTION("""COMPUTED_VALUE"""),"")</f>
        <v/>
      </c>
      <c r="AC1635" s="16" t="str">
        <f>IFERROR(__xludf.DUMMYFUNCTION("""COMPUTED_VALUE"""),"")</f>
        <v/>
      </c>
    </row>
    <row r="1636">
      <c r="A1636" s="16" t="s">
        <v>87</v>
      </c>
      <c r="E1636" s="16" t="str">
        <f>IFERROR(__xludf.DUMMYFUNCTION("""COMPUTED_VALUE"""),"")</f>
        <v/>
      </c>
      <c r="G1636" s="18"/>
      <c r="H1636" s="16" t="s">
        <v>87</v>
      </c>
      <c r="I1636" s="16" t="s">
        <v>87</v>
      </c>
      <c r="J1636" s="19"/>
      <c r="L1636" s="16" t="str">
        <f>IFERROR(__xludf.DUMMYFUNCTION("""COMPUTED_VALUE"""),"")</f>
        <v/>
      </c>
      <c r="M1636" s="16" t="str">
        <f>IFERROR(__xludf.DUMMYFUNCTION("""COMPUTED_VALUE"""),"")</f>
        <v/>
      </c>
      <c r="U1636" s="16" t="s">
        <v>87</v>
      </c>
      <c r="V1636" s="16" t="str">
        <f>IFERROR(__xludf.DUMMYFUNCTION("""COMPUTED_VALUE"""),"")</f>
        <v/>
      </c>
      <c r="W1636" s="16" t="str">
        <f>IFERROR(__xludf.DUMMYFUNCTION("""COMPUTED_VALUE"""),"")</f>
        <v/>
      </c>
      <c r="X1636" s="16" t="str">
        <f>IFERROR(__xludf.DUMMYFUNCTION("""COMPUTED_VALUE"""),"")</f>
        <v/>
      </c>
      <c r="AC1636" s="16" t="str">
        <f>IFERROR(__xludf.DUMMYFUNCTION("""COMPUTED_VALUE"""),"")</f>
        <v/>
      </c>
    </row>
    <row r="1637">
      <c r="A1637" s="16" t="s">
        <v>87</v>
      </c>
      <c r="E1637" s="16" t="str">
        <f>IFERROR(__xludf.DUMMYFUNCTION("""COMPUTED_VALUE"""),"")</f>
        <v/>
      </c>
      <c r="G1637" s="18"/>
      <c r="H1637" s="16" t="s">
        <v>87</v>
      </c>
      <c r="I1637" s="16" t="s">
        <v>87</v>
      </c>
      <c r="J1637" s="19"/>
      <c r="L1637" s="16" t="str">
        <f>IFERROR(__xludf.DUMMYFUNCTION("""COMPUTED_VALUE"""),"")</f>
        <v/>
      </c>
      <c r="M1637" s="16" t="str">
        <f>IFERROR(__xludf.DUMMYFUNCTION("""COMPUTED_VALUE"""),"")</f>
        <v/>
      </c>
      <c r="U1637" s="16" t="s">
        <v>87</v>
      </c>
      <c r="V1637" s="16" t="str">
        <f>IFERROR(__xludf.DUMMYFUNCTION("""COMPUTED_VALUE"""),"")</f>
        <v/>
      </c>
      <c r="W1637" s="16" t="str">
        <f>IFERROR(__xludf.DUMMYFUNCTION("""COMPUTED_VALUE"""),"")</f>
        <v/>
      </c>
      <c r="X1637" s="16" t="str">
        <f>IFERROR(__xludf.DUMMYFUNCTION("""COMPUTED_VALUE"""),"")</f>
        <v/>
      </c>
      <c r="AC1637" s="16" t="str">
        <f>IFERROR(__xludf.DUMMYFUNCTION("""COMPUTED_VALUE"""),"")</f>
        <v/>
      </c>
    </row>
    <row r="1638">
      <c r="A1638" s="16" t="s">
        <v>87</v>
      </c>
      <c r="E1638" s="16" t="str">
        <f>IFERROR(__xludf.DUMMYFUNCTION("""COMPUTED_VALUE"""),"")</f>
        <v/>
      </c>
      <c r="G1638" s="18"/>
      <c r="H1638" s="16" t="s">
        <v>87</v>
      </c>
      <c r="I1638" s="16" t="s">
        <v>87</v>
      </c>
      <c r="J1638" s="19"/>
      <c r="L1638" s="16" t="str">
        <f>IFERROR(__xludf.DUMMYFUNCTION("""COMPUTED_VALUE"""),"")</f>
        <v/>
      </c>
      <c r="M1638" s="16" t="str">
        <f>IFERROR(__xludf.DUMMYFUNCTION("""COMPUTED_VALUE"""),"")</f>
        <v/>
      </c>
      <c r="U1638" s="16" t="s">
        <v>87</v>
      </c>
      <c r="V1638" s="16" t="str">
        <f>IFERROR(__xludf.DUMMYFUNCTION("""COMPUTED_VALUE"""),"")</f>
        <v/>
      </c>
      <c r="W1638" s="16" t="str">
        <f>IFERROR(__xludf.DUMMYFUNCTION("""COMPUTED_VALUE"""),"")</f>
        <v/>
      </c>
      <c r="X1638" s="16" t="str">
        <f>IFERROR(__xludf.DUMMYFUNCTION("""COMPUTED_VALUE"""),"")</f>
        <v/>
      </c>
      <c r="AC1638" s="16" t="str">
        <f>IFERROR(__xludf.DUMMYFUNCTION("""COMPUTED_VALUE"""),"")</f>
        <v/>
      </c>
    </row>
    <row r="1639">
      <c r="A1639" s="16" t="s">
        <v>87</v>
      </c>
      <c r="E1639" s="16" t="str">
        <f>IFERROR(__xludf.DUMMYFUNCTION("""COMPUTED_VALUE"""),"")</f>
        <v/>
      </c>
      <c r="G1639" s="18"/>
      <c r="H1639" s="16" t="s">
        <v>87</v>
      </c>
      <c r="I1639" s="16" t="s">
        <v>87</v>
      </c>
      <c r="J1639" s="19"/>
      <c r="L1639" s="16" t="str">
        <f>IFERROR(__xludf.DUMMYFUNCTION("""COMPUTED_VALUE"""),"")</f>
        <v/>
      </c>
      <c r="M1639" s="16" t="str">
        <f>IFERROR(__xludf.DUMMYFUNCTION("""COMPUTED_VALUE"""),"")</f>
        <v/>
      </c>
      <c r="U1639" s="16" t="s">
        <v>87</v>
      </c>
      <c r="V1639" s="16" t="str">
        <f>IFERROR(__xludf.DUMMYFUNCTION("""COMPUTED_VALUE"""),"")</f>
        <v/>
      </c>
      <c r="W1639" s="16" t="str">
        <f>IFERROR(__xludf.DUMMYFUNCTION("""COMPUTED_VALUE"""),"")</f>
        <v/>
      </c>
      <c r="X1639" s="16" t="str">
        <f>IFERROR(__xludf.DUMMYFUNCTION("""COMPUTED_VALUE"""),"")</f>
        <v/>
      </c>
      <c r="AC1639" s="16" t="str">
        <f>IFERROR(__xludf.DUMMYFUNCTION("""COMPUTED_VALUE"""),"")</f>
        <v/>
      </c>
    </row>
    <row r="1640">
      <c r="A1640" s="16" t="s">
        <v>87</v>
      </c>
      <c r="E1640" s="16" t="str">
        <f>IFERROR(__xludf.DUMMYFUNCTION("""COMPUTED_VALUE"""),"")</f>
        <v/>
      </c>
      <c r="G1640" s="18"/>
      <c r="H1640" s="16" t="s">
        <v>87</v>
      </c>
      <c r="I1640" s="16" t="s">
        <v>87</v>
      </c>
      <c r="J1640" s="19"/>
      <c r="L1640" s="16" t="str">
        <f>IFERROR(__xludf.DUMMYFUNCTION("""COMPUTED_VALUE"""),"")</f>
        <v/>
      </c>
      <c r="M1640" s="16" t="str">
        <f>IFERROR(__xludf.DUMMYFUNCTION("""COMPUTED_VALUE"""),"")</f>
        <v/>
      </c>
      <c r="U1640" s="16" t="s">
        <v>87</v>
      </c>
      <c r="V1640" s="16" t="str">
        <f>IFERROR(__xludf.DUMMYFUNCTION("""COMPUTED_VALUE"""),"")</f>
        <v/>
      </c>
      <c r="W1640" s="16" t="str">
        <f>IFERROR(__xludf.DUMMYFUNCTION("""COMPUTED_VALUE"""),"")</f>
        <v/>
      </c>
      <c r="X1640" s="16" t="str">
        <f>IFERROR(__xludf.DUMMYFUNCTION("""COMPUTED_VALUE"""),"")</f>
        <v/>
      </c>
      <c r="AC1640" s="16" t="str">
        <f>IFERROR(__xludf.DUMMYFUNCTION("""COMPUTED_VALUE"""),"")</f>
        <v/>
      </c>
    </row>
    <row r="1641">
      <c r="A1641" s="16" t="s">
        <v>87</v>
      </c>
      <c r="E1641" s="16" t="str">
        <f>IFERROR(__xludf.DUMMYFUNCTION("""COMPUTED_VALUE"""),"")</f>
        <v/>
      </c>
      <c r="G1641" s="18"/>
      <c r="H1641" s="16" t="s">
        <v>87</v>
      </c>
      <c r="I1641" s="16" t="s">
        <v>87</v>
      </c>
      <c r="J1641" s="19"/>
      <c r="L1641" s="16" t="str">
        <f>IFERROR(__xludf.DUMMYFUNCTION("""COMPUTED_VALUE"""),"")</f>
        <v/>
      </c>
      <c r="M1641" s="16" t="str">
        <f>IFERROR(__xludf.DUMMYFUNCTION("""COMPUTED_VALUE"""),"")</f>
        <v/>
      </c>
      <c r="U1641" s="16" t="s">
        <v>87</v>
      </c>
      <c r="V1641" s="16" t="str">
        <f>IFERROR(__xludf.DUMMYFUNCTION("""COMPUTED_VALUE"""),"")</f>
        <v/>
      </c>
      <c r="W1641" s="16" t="str">
        <f>IFERROR(__xludf.DUMMYFUNCTION("""COMPUTED_VALUE"""),"")</f>
        <v/>
      </c>
      <c r="X1641" s="16" t="str">
        <f>IFERROR(__xludf.DUMMYFUNCTION("""COMPUTED_VALUE"""),"")</f>
        <v/>
      </c>
      <c r="AC1641" s="16" t="str">
        <f>IFERROR(__xludf.DUMMYFUNCTION("""COMPUTED_VALUE"""),"")</f>
        <v/>
      </c>
    </row>
    <row r="1642">
      <c r="A1642" s="16" t="s">
        <v>87</v>
      </c>
      <c r="E1642" s="16" t="str">
        <f>IFERROR(__xludf.DUMMYFUNCTION("""COMPUTED_VALUE"""),"")</f>
        <v/>
      </c>
      <c r="G1642" s="18"/>
      <c r="H1642" s="16" t="s">
        <v>87</v>
      </c>
      <c r="I1642" s="16" t="s">
        <v>87</v>
      </c>
      <c r="J1642" s="19"/>
      <c r="L1642" s="16" t="str">
        <f>IFERROR(__xludf.DUMMYFUNCTION("""COMPUTED_VALUE"""),"")</f>
        <v/>
      </c>
      <c r="M1642" s="16" t="str">
        <f>IFERROR(__xludf.DUMMYFUNCTION("""COMPUTED_VALUE"""),"")</f>
        <v/>
      </c>
      <c r="U1642" s="16" t="s">
        <v>87</v>
      </c>
      <c r="V1642" s="16" t="str">
        <f>IFERROR(__xludf.DUMMYFUNCTION("""COMPUTED_VALUE"""),"")</f>
        <v/>
      </c>
      <c r="W1642" s="16" t="str">
        <f>IFERROR(__xludf.DUMMYFUNCTION("""COMPUTED_VALUE"""),"")</f>
        <v/>
      </c>
      <c r="X1642" s="16" t="str">
        <f>IFERROR(__xludf.DUMMYFUNCTION("""COMPUTED_VALUE"""),"")</f>
        <v/>
      </c>
      <c r="AC1642" s="16" t="str">
        <f>IFERROR(__xludf.DUMMYFUNCTION("""COMPUTED_VALUE"""),"")</f>
        <v/>
      </c>
    </row>
    <row r="1643">
      <c r="A1643" s="16" t="s">
        <v>87</v>
      </c>
      <c r="E1643" s="16" t="str">
        <f>IFERROR(__xludf.DUMMYFUNCTION("""COMPUTED_VALUE"""),"")</f>
        <v/>
      </c>
      <c r="G1643" s="18"/>
      <c r="H1643" s="16" t="s">
        <v>87</v>
      </c>
      <c r="I1643" s="16" t="s">
        <v>87</v>
      </c>
      <c r="J1643" s="19"/>
      <c r="L1643" s="16" t="str">
        <f>IFERROR(__xludf.DUMMYFUNCTION("""COMPUTED_VALUE"""),"")</f>
        <v/>
      </c>
      <c r="M1643" s="16" t="str">
        <f>IFERROR(__xludf.DUMMYFUNCTION("""COMPUTED_VALUE"""),"")</f>
        <v/>
      </c>
      <c r="U1643" s="16" t="s">
        <v>87</v>
      </c>
      <c r="V1643" s="16" t="str">
        <f>IFERROR(__xludf.DUMMYFUNCTION("""COMPUTED_VALUE"""),"")</f>
        <v/>
      </c>
      <c r="W1643" s="16" t="str">
        <f>IFERROR(__xludf.DUMMYFUNCTION("""COMPUTED_VALUE"""),"")</f>
        <v/>
      </c>
      <c r="X1643" s="16" t="str">
        <f>IFERROR(__xludf.DUMMYFUNCTION("""COMPUTED_VALUE"""),"")</f>
        <v/>
      </c>
      <c r="AC1643" s="16" t="str">
        <f>IFERROR(__xludf.DUMMYFUNCTION("""COMPUTED_VALUE"""),"")</f>
        <v/>
      </c>
    </row>
    <row r="1644">
      <c r="A1644" s="16" t="s">
        <v>87</v>
      </c>
      <c r="E1644" s="16" t="str">
        <f>IFERROR(__xludf.DUMMYFUNCTION("""COMPUTED_VALUE"""),"")</f>
        <v/>
      </c>
      <c r="G1644" s="18"/>
      <c r="H1644" s="16" t="s">
        <v>87</v>
      </c>
      <c r="I1644" s="16" t="s">
        <v>87</v>
      </c>
      <c r="J1644" s="19"/>
      <c r="L1644" s="16" t="str">
        <f>IFERROR(__xludf.DUMMYFUNCTION("""COMPUTED_VALUE"""),"")</f>
        <v/>
      </c>
      <c r="M1644" s="16" t="str">
        <f>IFERROR(__xludf.DUMMYFUNCTION("""COMPUTED_VALUE"""),"")</f>
        <v/>
      </c>
      <c r="U1644" s="16" t="s">
        <v>87</v>
      </c>
      <c r="V1644" s="16" t="str">
        <f>IFERROR(__xludf.DUMMYFUNCTION("""COMPUTED_VALUE"""),"")</f>
        <v/>
      </c>
      <c r="W1644" s="16" t="str">
        <f>IFERROR(__xludf.DUMMYFUNCTION("""COMPUTED_VALUE"""),"")</f>
        <v/>
      </c>
      <c r="X1644" s="16" t="str">
        <f>IFERROR(__xludf.DUMMYFUNCTION("""COMPUTED_VALUE"""),"")</f>
        <v/>
      </c>
      <c r="AC1644" s="16" t="str">
        <f>IFERROR(__xludf.DUMMYFUNCTION("""COMPUTED_VALUE"""),"")</f>
        <v/>
      </c>
    </row>
    <row r="1645">
      <c r="A1645" s="16" t="s">
        <v>87</v>
      </c>
      <c r="E1645" s="16" t="str">
        <f>IFERROR(__xludf.DUMMYFUNCTION("""COMPUTED_VALUE"""),"")</f>
        <v/>
      </c>
      <c r="G1645" s="18"/>
      <c r="H1645" s="16" t="s">
        <v>87</v>
      </c>
      <c r="I1645" s="16" t="s">
        <v>87</v>
      </c>
      <c r="J1645" s="19"/>
      <c r="L1645" s="16" t="str">
        <f>IFERROR(__xludf.DUMMYFUNCTION("""COMPUTED_VALUE"""),"")</f>
        <v/>
      </c>
      <c r="M1645" s="16" t="str">
        <f>IFERROR(__xludf.DUMMYFUNCTION("""COMPUTED_VALUE"""),"")</f>
        <v/>
      </c>
      <c r="U1645" s="16" t="s">
        <v>87</v>
      </c>
      <c r="V1645" s="16" t="str">
        <f>IFERROR(__xludf.DUMMYFUNCTION("""COMPUTED_VALUE"""),"")</f>
        <v/>
      </c>
      <c r="W1645" s="16" t="str">
        <f>IFERROR(__xludf.DUMMYFUNCTION("""COMPUTED_VALUE"""),"")</f>
        <v/>
      </c>
      <c r="X1645" s="16" t="str">
        <f>IFERROR(__xludf.DUMMYFUNCTION("""COMPUTED_VALUE"""),"")</f>
        <v/>
      </c>
      <c r="AC1645" s="16" t="str">
        <f>IFERROR(__xludf.DUMMYFUNCTION("""COMPUTED_VALUE"""),"")</f>
        <v/>
      </c>
    </row>
    <row r="1646">
      <c r="A1646" s="16" t="s">
        <v>87</v>
      </c>
      <c r="E1646" s="16" t="str">
        <f>IFERROR(__xludf.DUMMYFUNCTION("""COMPUTED_VALUE"""),"")</f>
        <v/>
      </c>
      <c r="G1646" s="18"/>
      <c r="H1646" s="16" t="s">
        <v>87</v>
      </c>
      <c r="I1646" s="16" t="s">
        <v>87</v>
      </c>
      <c r="J1646" s="19"/>
      <c r="L1646" s="16" t="str">
        <f>IFERROR(__xludf.DUMMYFUNCTION("""COMPUTED_VALUE"""),"")</f>
        <v/>
      </c>
      <c r="M1646" s="16" t="str">
        <f>IFERROR(__xludf.DUMMYFUNCTION("""COMPUTED_VALUE"""),"")</f>
        <v/>
      </c>
      <c r="U1646" s="16" t="s">
        <v>87</v>
      </c>
      <c r="V1646" s="16" t="str">
        <f>IFERROR(__xludf.DUMMYFUNCTION("""COMPUTED_VALUE"""),"")</f>
        <v/>
      </c>
      <c r="W1646" s="16" t="str">
        <f>IFERROR(__xludf.DUMMYFUNCTION("""COMPUTED_VALUE"""),"")</f>
        <v/>
      </c>
      <c r="X1646" s="16" t="str">
        <f>IFERROR(__xludf.DUMMYFUNCTION("""COMPUTED_VALUE"""),"")</f>
        <v/>
      </c>
      <c r="AC1646" s="16" t="str">
        <f>IFERROR(__xludf.DUMMYFUNCTION("""COMPUTED_VALUE"""),"")</f>
        <v/>
      </c>
    </row>
    <row r="1647">
      <c r="A1647" s="16" t="s">
        <v>87</v>
      </c>
      <c r="E1647" s="16" t="str">
        <f>IFERROR(__xludf.DUMMYFUNCTION("""COMPUTED_VALUE"""),"")</f>
        <v/>
      </c>
      <c r="G1647" s="18"/>
      <c r="H1647" s="16" t="s">
        <v>87</v>
      </c>
      <c r="I1647" s="16" t="s">
        <v>87</v>
      </c>
      <c r="J1647" s="19"/>
      <c r="L1647" s="16" t="str">
        <f>IFERROR(__xludf.DUMMYFUNCTION("""COMPUTED_VALUE"""),"")</f>
        <v/>
      </c>
      <c r="M1647" s="16" t="str">
        <f>IFERROR(__xludf.DUMMYFUNCTION("""COMPUTED_VALUE"""),"")</f>
        <v/>
      </c>
      <c r="U1647" s="16" t="s">
        <v>87</v>
      </c>
      <c r="V1647" s="16" t="str">
        <f>IFERROR(__xludf.DUMMYFUNCTION("""COMPUTED_VALUE"""),"")</f>
        <v/>
      </c>
      <c r="W1647" s="16" t="str">
        <f>IFERROR(__xludf.DUMMYFUNCTION("""COMPUTED_VALUE"""),"")</f>
        <v/>
      </c>
      <c r="X1647" s="16" t="str">
        <f>IFERROR(__xludf.DUMMYFUNCTION("""COMPUTED_VALUE"""),"")</f>
        <v/>
      </c>
      <c r="AC1647" s="16" t="str">
        <f>IFERROR(__xludf.DUMMYFUNCTION("""COMPUTED_VALUE"""),"")</f>
        <v/>
      </c>
    </row>
    <row r="1648">
      <c r="A1648" s="16" t="s">
        <v>87</v>
      </c>
      <c r="E1648" s="16" t="str">
        <f>IFERROR(__xludf.DUMMYFUNCTION("""COMPUTED_VALUE"""),"")</f>
        <v/>
      </c>
      <c r="G1648" s="18"/>
      <c r="H1648" s="16" t="s">
        <v>87</v>
      </c>
      <c r="I1648" s="16" t="s">
        <v>87</v>
      </c>
      <c r="J1648" s="19"/>
      <c r="L1648" s="16" t="str">
        <f>IFERROR(__xludf.DUMMYFUNCTION("""COMPUTED_VALUE"""),"")</f>
        <v/>
      </c>
      <c r="M1648" s="16" t="str">
        <f>IFERROR(__xludf.DUMMYFUNCTION("""COMPUTED_VALUE"""),"")</f>
        <v/>
      </c>
      <c r="U1648" s="16" t="s">
        <v>87</v>
      </c>
      <c r="V1648" s="16" t="str">
        <f>IFERROR(__xludf.DUMMYFUNCTION("""COMPUTED_VALUE"""),"")</f>
        <v/>
      </c>
      <c r="W1648" s="16" t="str">
        <f>IFERROR(__xludf.DUMMYFUNCTION("""COMPUTED_VALUE"""),"")</f>
        <v/>
      </c>
      <c r="X1648" s="16" t="str">
        <f>IFERROR(__xludf.DUMMYFUNCTION("""COMPUTED_VALUE"""),"")</f>
        <v/>
      </c>
      <c r="AC1648" s="16" t="str">
        <f>IFERROR(__xludf.DUMMYFUNCTION("""COMPUTED_VALUE"""),"")</f>
        <v/>
      </c>
    </row>
    <row r="1649">
      <c r="A1649" s="16" t="s">
        <v>87</v>
      </c>
      <c r="E1649" s="16" t="str">
        <f>IFERROR(__xludf.DUMMYFUNCTION("""COMPUTED_VALUE"""),"")</f>
        <v/>
      </c>
      <c r="G1649" s="18"/>
      <c r="H1649" s="16" t="s">
        <v>87</v>
      </c>
      <c r="I1649" s="16" t="s">
        <v>87</v>
      </c>
      <c r="J1649" s="19"/>
      <c r="L1649" s="16" t="str">
        <f>IFERROR(__xludf.DUMMYFUNCTION("""COMPUTED_VALUE"""),"")</f>
        <v/>
      </c>
      <c r="M1649" s="16" t="str">
        <f>IFERROR(__xludf.DUMMYFUNCTION("""COMPUTED_VALUE"""),"")</f>
        <v/>
      </c>
      <c r="U1649" s="16" t="s">
        <v>87</v>
      </c>
      <c r="V1649" s="16" t="str">
        <f>IFERROR(__xludf.DUMMYFUNCTION("""COMPUTED_VALUE"""),"")</f>
        <v/>
      </c>
      <c r="W1649" s="16" t="str">
        <f>IFERROR(__xludf.DUMMYFUNCTION("""COMPUTED_VALUE"""),"")</f>
        <v/>
      </c>
      <c r="X1649" s="16" t="str">
        <f>IFERROR(__xludf.DUMMYFUNCTION("""COMPUTED_VALUE"""),"")</f>
        <v/>
      </c>
      <c r="AC1649" s="16" t="str">
        <f>IFERROR(__xludf.DUMMYFUNCTION("""COMPUTED_VALUE"""),"")</f>
        <v/>
      </c>
    </row>
    <row r="1650">
      <c r="A1650" s="16" t="s">
        <v>87</v>
      </c>
      <c r="E1650" s="16" t="str">
        <f>IFERROR(__xludf.DUMMYFUNCTION("""COMPUTED_VALUE"""),"")</f>
        <v/>
      </c>
      <c r="G1650" s="18"/>
      <c r="H1650" s="16" t="s">
        <v>87</v>
      </c>
      <c r="I1650" s="16" t="s">
        <v>87</v>
      </c>
      <c r="J1650" s="19"/>
      <c r="L1650" s="16" t="str">
        <f>IFERROR(__xludf.DUMMYFUNCTION("""COMPUTED_VALUE"""),"")</f>
        <v/>
      </c>
      <c r="M1650" s="16" t="str">
        <f>IFERROR(__xludf.DUMMYFUNCTION("""COMPUTED_VALUE"""),"")</f>
        <v/>
      </c>
      <c r="U1650" s="16" t="s">
        <v>87</v>
      </c>
      <c r="V1650" s="16" t="str">
        <f>IFERROR(__xludf.DUMMYFUNCTION("""COMPUTED_VALUE"""),"")</f>
        <v/>
      </c>
      <c r="W1650" s="16" t="str">
        <f>IFERROR(__xludf.DUMMYFUNCTION("""COMPUTED_VALUE"""),"")</f>
        <v/>
      </c>
      <c r="X1650" s="16" t="str">
        <f>IFERROR(__xludf.DUMMYFUNCTION("""COMPUTED_VALUE"""),"")</f>
        <v/>
      </c>
      <c r="AC1650" s="16" t="str">
        <f>IFERROR(__xludf.DUMMYFUNCTION("""COMPUTED_VALUE"""),"")</f>
        <v/>
      </c>
    </row>
    <row r="1651">
      <c r="A1651" s="16" t="s">
        <v>87</v>
      </c>
      <c r="E1651" s="16" t="str">
        <f>IFERROR(__xludf.DUMMYFUNCTION("""COMPUTED_VALUE"""),"")</f>
        <v/>
      </c>
      <c r="G1651" s="18"/>
      <c r="H1651" s="16" t="s">
        <v>87</v>
      </c>
      <c r="I1651" s="16" t="s">
        <v>87</v>
      </c>
      <c r="J1651" s="19"/>
      <c r="L1651" s="16" t="str">
        <f>IFERROR(__xludf.DUMMYFUNCTION("""COMPUTED_VALUE"""),"")</f>
        <v/>
      </c>
      <c r="M1651" s="16" t="str">
        <f>IFERROR(__xludf.DUMMYFUNCTION("""COMPUTED_VALUE"""),"")</f>
        <v/>
      </c>
      <c r="U1651" s="16" t="s">
        <v>87</v>
      </c>
      <c r="V1651" s="16" t="str">
        <f>IFERROR(__xludf.DUMMYFUNCTION("""COMPUTED_VALUE"""),"")</f>
        <v/>
      </c>
      <c r="W1651" s="16" t="str">
        <f>IFERROR(__xludf.DUMMYFUNCTION("""COMPUTED_VALUE"""),"")</f>
        <v/>
      </c>
      <c r="X1651" s="16" t="str">
        <f>IFERROR(__xludf.DUMMYFUNCTION("""COMPUTED_VALUE"""),"")</f>
        <v/>
      </c>
      <c r="AC1651" s="16" t="str">
        <f>IFERROR(__xludf.DUMMYFUNCTION("""COMPUTED_VALUE"""),"")</f>
        <v/>
      </c>
    </row>
    <row r="1652">
      <c r="A1652" s="16" t="s">
        <v>87</v>
      </c>
      <c r="E1652" s="16" t="str">
        <f>IFERROR(__xludf.DUMMYFUNCTION("""COMPUTED_VALUE"""),"")</f>
        <v/>
      </c>
      <c r="G1652" s="18"/>
      <c r="H1652" s="16" t="s">
        <v>87</v>
      </c>
      <c r="I1652" s="16" t="s">
        <v>87</v>
      </c>
      <c r="J1652" s="19"/>
      <c r="L1652" s="16" t="str">
        <f>IFERROR(__xludf.DUMMYFUNCTION("""COMPUTED_VALUE"""),"")</f>
        <v/>
      </c>
      <c r="M1652" s="16" t="str">
        <f>IFERROR(__xludf.DUMMYFUNCTION("""COMPUTED_VALUE"""),"")</f>
        <v/>
      </c>
      <c r="U1652" s="16" t="s">
        <v>87</v>
      </c>
      <c r="V1652" s="16" t="str">
        <f>IFERROR(__xludf.DUMMYFUNCTION("""COMPUTED_VALUE"""),"")</f>
        <v/>
      </c>
      <c r="W1652" s="16" t="str">
        <f>IFERROR(__xludf.DUMMYFUNCTION("""COMPUTED_VALUE"""),"")</f>
        <v/>
      </c>
      <c r="X1652" s="16" t="str">
        <f>IFERROR(__xludf.DUMMYFUNCTION("""COMPUTED_VALUE"""),"")</f>
        <v/>
      </c>
      <c r="AC1652" s="16" t="str">
        <f>IFERROR(__xludf.DUMMYFUNCTION("""COMPUTED_VALUE"""),"")</f>
        <v/>
      </c>
    </row>
    <row r="1653">
      <c r="A1653" s="16" t="s">
        <v>87</v>
      </c>
      <c r="E1653" s="16" t="str">
        <f>IFERROR(__xludf.DUMMYFUNCTION("""COMPUTED_VALUE"""),"")</f>
        <v/>
      </c>
      <c r="G1653" s="18"/>
      <c r="H1653" s="16" t="s">
        <v>87</v>
      </c>
      <c r="I1653" s="16" t="s">
        <v>87</v>
      </c>
      <c r="J1653" s="19"/>
      <c r="L1653" s="16" t="str">
        <f>IFERROR(__xludf.DUMMYFUNCTION("""COMPUTED_VALUE"""),"")</f>
        <v/>
      </c>
      <c r="M1653" s="16" t="str">
        <f>IFERROR(__xludf.DUMMYFUNCTION("""COMPUTED_VALUE"""),"")</f>
        <v/>
      </c>
      <c r="U1653" s="16" t="s">
        <v>87</v>
      </c>
      <c r="V1653" s="16" t="str">
        <f>IFERROR(__xludf.DUMMYFUNCTION("""COMPUTED_VALUE"""),"")</f>
        <v/>
      </c>
      <c r="W1653" s="16" t="str">
        <f>IFERROR(__xludf.DUMMYFUNCTION("""COMPUTED_VALUE"""),"")</f>
        <v/>
      </c>
      <c r="X1653" s="16" t="str">
        <f>IFERROR(__xludf.DUMMYFUNCTION("""COMPUTED_VALUE"""),"")</f>
        <v/>
      </c>
      <c r="AC1653" s="16" t="str">
        <f>IFERROR(__xludf.DUMMYFUNCTION("""COMPUTED_VALUE"""),"")</f>
        <v/>
      </c>
    </row>
    <row r="1654">
      <c r="A1654" s="16" t="s">
        <v>87</v>
      </c>
      <c r="E1654" s="16" t="str">
        <f>IFERROR(__xludf.DUMMYFUNCTION("""COMPUTED_VALUE"""),"")</f>
        <v/>
      </c>
      <c r="G1654" s="18"/>
      <c r="H1654" s="16" t="s">
        <v>87</v>
      </c>
      <c r="I1654" s="16" t="s">
        <v>87</v>
      </c>
      <c r="J1654" s="19"/>
      <c r="L1654" s="16" t="str">
        <f>IFERROR(__xludf.DUMMYFUNCTION("""COMPUTED_VALUE"""),"")</f>
        <v/>
      </c>
      <c r="M1654" s="16" t="str">
        <f>IFERROR(__xludf.DUMMYFUNCTION("""COMPUTED_VALUE"""),"")</f>
        <v/>
      </c>
      <c r="U1654" s="16" t="s">
        <v>87</v>
      </c>
      <c r="V1654" s="16" t="str">
        <f>IFERROR(__xludf.DUMMYFUNCTION("""COMPUTED_VALUE"""),"")</f>
        <v/>
      </c>
      <c r="W1654" s="16" t="str">
        <f>IFERROR(__xludf.DUMMYFUNCTION("""COMPUTED_VALUE"""),"")</f>
        <v/>
      </c>
      <c r="X1654" s="16" t="str">
        <f>IFERROR(__xludf.DUMMYFUNCTION("""COMPUTED_VALUE"""),"")</f>
        <v/>
      </c>
      <c r="AC1654" s="16" t="str">
        <f>IFERROR(__xludf.DUMMYFUNCTION("""COMPUTED_VALUE"""),"")</f>
        <v/>
      </c>
    </row>
    <row r="1655">
      <c r="A1655" s="16" t="s">
        <v>87</v>
      </c>
      <c r="E1655" s="16" t="str">
        <f>IFERROR(__xludf.DUMMYFUNCTION("""COMPUTED_VALUE"""),"")</f>
        <v/>
      </c>
      <c r="G1655" s="18"/>
      <c r="H1655" s="16" t="s">
        <v>87</v>
      </c>
      <c r="I1655" s="16" t="s">
        <v>87</v>
      </c>
      <c r="J1655" s="19"/>
      <c r="L1655" s="16" t="str">
        <f>IFERROR(__xludf.DUMMYFUNCTION("""COMPUTED_VALUE"""),"")</f>
        <v/>
      </c>
      <c r="M1655" s="16" t="str">
        <f>IFERROR(__xludf.DUMMYFUNCTION("""COMPUTED_VALUE"""),"")</f>
        <v/>
      </c>
      <c r="U1655" s="16" t="s">
        <v>87</v>
      </c>
      <c r="V1655" s="16" t="str">
        <f>IFERROR(__xludf.DUMMYFUNCTION("""COMPUTED_VALUE"""),"")</f>
        <v/>
      </c>
      <c r="W1655" s="16" t="str">
        <f>IFERROR(__xludf.DUMMYFUNCTION("""COMPUTED_VALUE"""),"")</f>
        <v/>
      </c>
      <c r="X1655" s="16" t="str">
        <f>IFERROR(__xludf.DUMMYFUNCTION("""COMPUTED_VALUE"""),"")</f>
        <v/>
      </c>
      <c r="AC1655" s="16" t="str">
        <f>IFERROR(__xludf.DUMMYFUNCTION("""COMPUTED_VALUE"""),"")</f>
        <v/>
      </c>
    </row>
    <row r="1656">
      <c r="A1656" s="16" t="s">
        <v>87</v>
      </c>
      <c r="E1656" s="16" t="str">
        <f>IFERROR(__xludf.DUMMYFUNCTION("""COMPUTED_VALUE"""),"")</f>
        <v/>
      </c>
      <c r="G1656" s="18"/>
      <c r="H1656" s="16" t="s">
        <v>87</v>
      </c>
      <c r="I1656" s="16" t="s">
        <v>87</v>
      </c>
      <c r="J1656" s="19"/>
      <c r="L1656" s="16" t="str">
        <f>IFERROR(__xludf.DUMMYFUNCTION("""COMPUTED_VALUE"""),"")</f>
        <v/>
      </c>
      <c r="M1656" s="16" t="str">
        <f>IFERROR(__xludf.DUMMYFUNCTION("""COMPUTED_VALUE"""),"")</f>
        <v/>
      </c>
      <c r="U1656" s="16" t="s">
        <v>87</v>
      </c>
      <c r="V1656" s="16" t="str">
        <f>IFERROR(__xludf.DUMMYFUNCTION("""COMPUTED_VALUE"""),"")</f>
        <v/>
      </c>
      <c r="W1656" s="16" t="str">
        <f>IFERROR(__xludf.DUMMYFUNCTION("""COMPUTED_VALUE"""),"")</f>
        <v/>
      </c>
      <c r="X1656" s="16" t="str">
        <f>IFERROR(__xludf.DUMMYFUNCTION("""COMPUTED_VALUE"""),"")</f>
        <v/>
      </c>
      <c r="AC1656" s="16" t="str">
        <f>IFERROR(__xludf.DUMMYFUNCTION("""COMPUTED_VALUE"""),"")</f>
        <v/>
      </c>
    </row>
    <row r="1657">
      <c r="A1657" s="16" t="s">
        <v>87</v>
      </c>
      <c r="E1657" s="16" t="str">
        <f>IFERROR(__xludf.DUMMYFUNCTION("""COMPUTED_VALUE"""),"")</f>
        <v/>
      </c>
      <c r="G1657" s="18"/>
      <c r="H1657" s="16" t="s">
        <v>87</v>
      </c>
      <c r="I1657" s="16" t="s">
        <v>87</v>
      </c>
      <c r="J1657" s="19"/>
      <c r="L1657" s="16" t="str">
        <f>IFERROR(__xludf.DUMMYFUNCTION("""COMPUTED_VALUE"""),"")</f>
        <v/>
      </c>
      <c r="M1657" s="16" t="str">
        <f>IFERROR(__xludf.DUMMYFUNCTION("""COMPUTED_VALUE"""),"")</f>
        <v/>
      </c>
      <c r="U1657" s="16" t="s">
        <v>87</v>
      </c>
      <c r="V1657" s="16" t="str">
        <f>IFERROR(__xludf.DUMMYFUNCTION("""COMPUTED_VALUE"""),"")</f>
        <v/>
      </c>
      <c r="W1657" s="16" t="str">
        <f>IFERROR(__xludf.DUMMYFUNCTION("""COMPUTED_VALUE"""),"")</f>
        <v/>
      </c>
      <c r="X1657" s="16" t="str">
        <f>IFERROR(__xludf.DUMMYFUNCTION("""COMPUTED_VALUE"""),"")</f>
        <v/>
      </c>
      <c r="AC1657" s="16" t="str">
        <f>IFERROR(__xludf.DUMMYFUNCTION("""COMPUTED_VALUE"""),"")</f>
        <v/>
      </c>
    </row>
    <row r="1658">
      <c r="A1658" s="16" t="s">
        <v>87</v>
      </c>
      <c r="E1658" s="16" t="str">
        <f>IFERROR(__xludf.DUMMYFUNCTION("""COMPUTED_VALUE"""),"")</f>
        <v/>
      </c>
      <c r="G1658" s="18"/>
      <c r="H1658" s="16" t="s">
        <v>87</v>
      </c>
      <c r="I1658" s="16" t="s">
        <v>87</v>
      </c>
      <c r="J1658" s="19"/>
      <c r="L1658" s="16" t="str">
        <f>IFERROR(__xludf.DUMMYFUNCTION("""COMPUTED_VALUE"""),"")</f>
        <v/>
      </c>
      <c r="M1658" s="16" t="str">
        <f>IFERROR(__xludf.DUMMYFUNCTION("""COMPUTED_VALUE"""),"")</f>
        <v/>
      </c>
      <c r="U1658" s="16" t="s">
        <v>87</v>
      </c>
      <c r="V1658" s="16" t="str">
        <f>IFERROR(__xludf.DUMMYFUNCTION("""COMPUTED_VALUE"""),"")</f>
        <v/>
      </c>
      <c r="W1658" s="16" t="str">
        <f>IFERROR(__xludf.DUMMYFUNCTION("""COMPUTED_VALUE"""),"")</f>
        <v/>
      </c>
      <c r="X1658" s="16" t="str">
        <f>IFERROR(__xludf.DUMMYFUNCTION("""COMPUTED_VALUE"""),"")</f>
        <v/>
      </c>
      <c r="AC1658" s="16" t="str">
        <f>IFERROR(__xludf.DUMMYFUNCTION("""COMPUTED_VALUE"""),"")</f>
        <v/>
      </c>
    </row>
    <row r="1659">
      <c r="A1659" s="16" t="s">
        <v>87</v>
      </c>
      <c r="E1659" s="16" t="str">
        <f>IFERROR(__xludf.DUMMYFUNCTION("""COMPUTED_VALUE"""),"")</f>
        <v/>
      </c>
      <c r="G1659" s="18"/>
      <c r="H1659" s="16" t="s">
        <v>87</v>
      </c>
      <c r="I1659" s="16" t="s">
        <v>87</v>
      </c>
      <c r="J1659" s="19"/>
      <c r="L1659" s="16" t="str">
        <f>IFERROR(__xludf.DUMMYFUNCTION("""COMPUTED_VALUE"""),"")</f>
        <v/>
      </c>
      <c r="M1659" s="16" t="str">
        <f>IFERROR(__xludf.DUMMYFUNCTION("""COMPUTED_VALUE"""),"")</f>
        <v/>
      </c>
      <c r="U1659" s="16" t="s">
        <v>87</v>
      </c>
      <c r="V1659" s="16" t="str">
        <f>IFERROR(__xludf.DUMMYFUNCTION("""COMPUTED_VALUE"""),"")</f>
        <v/>
      </c>
      <c r="W1659" s="16" t="str">
        <f>IFERROR(__xludf.DUMMYFUNCTION("""COMPUTED_VALUE"""),"")</f>
        <v/>
      </c>
      <c r="X1659" s="16" t="str">
        <f>IFERROR(__xludf.DUMMYFUNCTION("""COMPUTED_VALUE"""),"")</f>
        <v/>
      </c>
      <c r="AC1659" s="16" t="str">
        <f>IFERROR(__xludf.DUMMYFUNCTION("""COMPUTED_VALUE"""),"")</f>
        <v/>
      </c>
    </row>
    <row r="1660">
      <c r="A1660" s="16" t="s">
        <v>87</v>
      </c>
      <c r="E1660" s="16" t="str">
        <f>IFERROR(__xludf.DUMMYFUNCTION("""COMPUTED_VALUE"""),"")</f>
        <v/>
      </c>
      <c r="G1660" s="18"/>
      <c r="H1660" s="16" t="s">
        <v>87</v>
      </c>
      <c r="I1660" s="16" t="s">
        <v>87</v>
      </c>
      <c r="J1660" s="19"/>
      <c r="L1660" s="16" t="str">
        <f>IFERROR(__xludf.DUMMYFUNCTION("""COMPUTED_VALUE"""),"")</f>
        <v/>
      </c>
      <c r="M1660" s="16" t="str">
        <f>IFERROR(__xludf.DUMMYFUNCTION("""COMPUTED_VALUE"""),"")</f>
        <v/>
      </c>
      <c r="U1660" s="16" t="s">
        <v>87</v>
      </c>
      <c r="V1660" s="16" t="str">
        <f>IFERROR(__xludf.DUMMYFUNCTION("""COMPUTED_VALUE"""),"")</f>
        <v/>
      </c>
      <c r="W1660" s="16" t="str">
        <f>IFERROR(__xludf.DUMMYFUNCTION("""COMPUTED_VALUE"""),"")</f>
        <v/>
      </c>
      <c r="X1660" s="16" t="str">
        <f>IFERROR(__xludf.DUMMYFUNCTION("""COMPUTED_VALUE"""),"")</f>
        <v/>
      </c>
      <c r="AC1660" s="16" t="str">
        <f>IFERROR(__xludf.DUMMYFUNCTION("""COMPUTED_VALUE"""),"")</f>
        <v/>
      </c>
    </row>
    <row r="1661">
      <c r="A1661" s="16" t="s">
        <v>87</v>
      </c>
      <c r="E1661" s="16" t="str">
        <f>IFERROR(__xludf.DUMMYFUNCTION("""COMPUTED_VALUE"""),"")</f>
        <v/>
      </c>
      <c r="G1661" s="18"/>
      <c r="H1661" s="16" t="s">
        <v>87</v>
      </c>
      <c r="I1661" s="16" t="s">
        <v>87</v>
      </c>
      <c r="J1661" s="19"/>
      <c r="L1661" s="16" t="str">
        <f>IFERROR(__xludf.DUMMYFUNCTION("""COMPUTED_VALUE"""),"")</f>
        <v/>
      </c>
      <c r="M1661" s="16" t="str">
        <f>IFERROR(__xludf.DUMMYFUNCTION("""COMPUTED_VALUE"""),"")</f>
        <v/>
      </c>
      <c r="U1661" s="16" t="s">
        <v>87</v>
      </c>
      <c r="V1661" s="16" t="str">
        <f>IFERROR(__xludf.DUMMYFUNCTION("""COMPUTED_VALUE"""),"")</f>
        <v/>
      </c>
      <c r="W1661" s="16" t="str">
        <f>IFERROR(__xludf.DUMMYFUNCTION("""COMPUTED_VALUE"""),"")</f>
        <v/>
      </c>
      <c r="X1661" s="16" t="str">
        <f>IFERROR(__xludf.DUMMYFUNCTION("""COMPUTED_VALUE"""),"")</f>
        <v/>
      </c>
      <c r="AC1661" s="16" t="str">
        <f>IFERROR(__xludf.DUMMYFUNCTION("""COMPUTED_VALUE"""),"")</f>
        <v/>
      </c>
    </row>
    <row r="1662">
      <c r="A1662" s="16" t="s">
        <v>87</v>
      </c>
      <c r="E1662" s="16" t="str">
        <f>IFERROR(__xludf.DUMMYFUNCTION("""COMPUTED_VALUE"""),"")</f>
        <v/>
      </c>
      <c r="G1662" s="18"/>
      <c r="H1662" s="16" t="s">
        <v>87</v>
      </c>
      <c r="I1662" s="16" t="s">
        <v>87</v>
      </c>
      <c r="J1662" s="19"/>
      <c r="L1662" s="16" t="str">
        <f>IFERROR(__xludf.DUMMYFUNCTION("""COMPUTED_VALUE"""),"")</f>
        <v/>
      </c>
      <c r="M1662" s="16" t="str">
        <f>IFERROR(__xludf.DUMMYFUNCTION("""COMPUTED_VALUE"""),"")</f>
        <v/>
      </c>
      <c r="U1662" s="16" t="s">
        <v>87</v>
      </c>
      <c r="V1662" s="16" t="str">
        <f>IFERROR(__xludf.DUMMYFUNCTION("""COMPUTED_VALUE"""),"")</f>
        <v/>
      </c>
      <c r="W1662" s="16" t="str">
        <f>IFERROR(__xludf.DUMMYFUNCTION("""COMPUTED_VALUE"""),"")</f>
        <v/>
      </c>
      <c r="X1662" s="16" t="str">
        <f>IFERROR(__xludf.DUMMYFUNCTION("""COMPUTED_VALUE"""),"")</f>
        <v/>
      </c>
      <c r="AC1662" s="16" t="str">
        <f>IFERROR(__xludf.DUMMYFUNCTION("""COMPUTED_VALUE"""),"")</f>
        <v/>
      </c>
    </row>
    <row r="1663">
      <c r="A1663" s="16" t="s">
        <v>87</v>
      </c>
      <c r="E1663" s="16" t="str">
        <f>IFERROR(__xludf.DUMMYFUNCTION("""COMPUTED_VALUE"""),"")</f>
        <v/>
      </c>
      <c r="G1663" s="18"/>
      <c r="H1663" s="16" t="s">
        <v>87</v>
      </c>
      <c r="I1663" s="16" t="s">
        <v>87</v>
      </c>
      <c r="J1663" s="19"/>
      <c r="L1663" s="16" t="str">
        <f>IFERROR(__xludf.DUMMYFUNCTION("""COMPUTED_VALUE"""),"")</f>
        <v/>
      </c>
      <c r="M1663" s="16" t="str">
        <f>IFERROR(__xludf.DUMMYFUNCTION("""COMPUTED_VALUE"""),"")</f>
        <v/>
      </c>
      <c r="U1663" s="16" t="s">
        <v>87</v>
      </c>
      <c r="V1663" s="16" t="str">
        <f>IFERROR(__xludf.DUMMYFUNCTION("""COMPUTED_VALUE"""),"")</f>
        <v/>
      </c>
      <c r="W1663" s="16" t="str">
        <f>IFERROR(__xludf.DUMMYFUNCTION("""COMPUTED_VALUE"""),"")</f>
        <v/>
      </c>
      <c r="X1663" s="16" t="str">
        <f>IFERROR(__xludf.DUMMYFUNCTION("""COMPUTED_VALUE"""),"")</f>
        <v/>
      </c>
      <c r="AC1663" s="16" t="str">
        <f>IFERROR(__xludf.DUMMYFUNCTION("""COMPUTED_VALUE"""),"")</f>
        <v/>
      </c>
    </row>
    <row r="1664">
      <c r="A1664" s="16" t="s">
        <v>87</v>
      </c>
      <c r="E1664" s="16" t="str">
        <f>IFERROR(__xludf.DUMMYFUNCTION("""COMPUTED_VALUE"""),"")</f>
        <v/>
      </c>
      <c r="G1664" s="18"/>
      <c r="H1664" s="16" t="s">
        <v>87</v>
      </c>
      <c r="I1664" s="16" t="s">
        <v>87</v>
      </c>
      <c r="J1664" s="19"/>
      <c r="L1664" s="16" t="str">
        <f>IFERROR(__xludf.DUMMYFUNCTION("""COMPUTED_VALUE"""),"")</f>
        <v/>
      </c>
      <c r="M1664" s="16" t="str">
        <f>IFERROR(__xludf.DUMMYFUNCTION("""COMPUTED_VALUE"""),"")</f>
        <v/>
      </c>
      <c r="U1664" s="16" t="s">
        <v>87</v>
      </c>
      <c r="V1664" s="16" t="str">
        <f>IFERROR(__xludf.DUMMYFUNCTION("""COMPUTED_VALUE"""),"")</f>
        <v/>
      </c>
      <c r="W1664" s="16" t="str">
        <f>IFERROR(__xludf.DUMMYFUNCTION("""COMPUTED_VALUE"""),"")</f>
        <v/>
      </c>
      <c r="X1664" s="16" t="str">
        <f>IFERROR(__xludf.DUMMYFUNCTION("""COMPUTED_VALUE"""),"")</f>
        <v/>
      </c>
      <c r="AC1664" s="16" t="str">
        <f>IFERROR(__xludf.DUMMYFUNCTION("""COMPUTED_VALUE"""),"")</f>
        <v/>
      </c>
    </row>
    <row r="1665">
      <c r="A1665" s="16" t="s">
        <v>87</v>
      </c>
      <c r="E1665" s="16" t="str">
        <f>IFERROR(__xludf.DUMMYFUNCTION("""COMPUTED_VALUE"""),"")</f>
        <v/>
      </c>
      <c r="G1665" s="18"/>
      <c r="H1665" s="16" t="s">
        <v>87</v>
      </c>
      <c r="I1665" s="16" t="s">
        <v>87</v>
      </c>
      <c r="J1665" s="19"/>
      <c r="L1665" s="16" t="str">
        <f>IFERROR(__xludf.DUMMYFUNCTION("""COMPUTED_VALUE"""),"")</f>
        <v/>
      </c>
      <c r="M1665" s="16" t="str">
        <f>IFERROR(__xludf.DUMMYFUNCTION("""COMPUTED_VALUE"""),"")</f>
        <v/>
      </c>
      <c r="U1665" s="16" t="s">
        <v>87</v>
      </c>
      <c r="V1665" s="16" t="str">
        <f>IFERROR(__xludf.DUMMYFUNCTION("""COMPUTED_VALUE"""),"")</f>
        <v/>
      </c>
      <c r="W1665" s="16" t="str">
        <f>IFERROR(__xludf.DUMMYFUNCTION("""COMPUTED_VALUE"""),"")</f>
        <v/>
      </c>
      <c r="X1665" s="16" t="str">
        <f>IFERROR(__xludf.DUMMYFUNCTION("""COMPUTED_VALUE"""),"")</f>
        <v/>
      </c>
      <c r="AC1665" s="16" t="str">
        <f>IFERROR(__xludf.DUMMYFUNCTION("""COMPUTED_VALUE"""),"")</f>
        <v/>
      </c>
    </row>
    <row r="1666">
      <c r="A1666" s="16" t="s">
        <v>87</v>
      </c>
      <c r="E1666" s="16" t="str">
        <f>IFERROR(__xludf.DUMMYFUNCTION("""COMPUTED_VALUE"""),"")</f>
        <v/>
      </c>
      <c r="G1666" s="18"/>
      <c r="H1666" s="16" t="s">
        <v>87</v>
      </c>
      <c r="I1666" s="16" t="s">
        <v>87</v>
      </c>
      <c r="J1666" s="19"/>
      <c r="L1666" s="16" t="str">
        <f>IFERROR(__xludf.DUMMYFUNCTION("""COMPUTED_VALUE"""),"")</f>
        <v/>
      </c>
      <c r="M1666" s="16" t="str">
        <f>IFERROR(__xludf.DUMMYFUNCTION("""COMPUTED_VALUE"""),"")</f>
        <v/>
      </c>
      <c r="U1666" s="16" t="s">
        <v>87</v>
      </c>
      <c r="V1666" s="16" t="str">
        <f>IFERROR(__xludf.DUMMYFUNCTION("""COMPUTED_VALUE"""),"")</f>
        <v/>
      </c>
      <c r="W1666" s="16" t="str">
        <f>IFERROR(__xludf.DUMMYFUNCTION("""COMPUTED_VALUE"""),"")</f>
        <v/>
      </c>
      <c r="X1666" s="16" t="str">
        <f>IFERROR(__xludf.DUMMYFUNCTION("""COMPUTED_VALUE"""),"")</f>
        <v/>
      </c>
      <c r="AC1666" s="16" t="str">
        <f>IFERROR(__xludf.DUMMYFUNCTION("""COMPUTED_VALUE"""),"")</f>
        <v/>
      </c>
    </row>
    <row r="1667">
      <c r="A1667" s="16" t="s">
        <v>87</v>
      </c>
      <c r="E1667" s="16" t="str">
        <f>IFERROR(__xludf.DUMMYFUNCTION("""COMPUTED_VALUE"""),"")</f>
        <v/>
      </c>
      <c r="G1667" s="18"/>
      <c r="H1667" s="16" t="s">
        <v>87</v>
      </c>
      <c r="I1667" s="16" t="s">
        <v>87</v>
      </c>
      <c r="J1667" s="19"/>
      <c r="L1667" s="16" t="str">
        <f>IFERROR(__xludf.DUMMYFUNCTION("""COMPUTED_VALUE"""),"")</f>
        <v/>
      </c>
      <c r="M1667" s="16" t="str">
        <f>IFERROR(__xludf.DUMMYFUNCTION("""COMPUTED_VALUE"""),"")</f>
        <v/>
      </c>
      <c r="U1667" s="16" t="s">
        <v>87</v>
      </c>
      <c r="V1667" s="16" t="str">
        <f>IFERROR(__xludf.DUMMYFUNCTION("""COMPUTED_VALUE"""),"")</f>
        <v/>
      </c>
      <c r="W1667" s="16" t="str">
        <f>IFERROR(__xludf.DUMMYFUNCTION("""COMPUTED_VALUE"""),"")</f>
        <v/>
      </c>
      <c r="X1667" s="16" t="str">
        <f>IFERROR(__xludf.DUMMYFUNCTION("""COMPUTED_VALUE"""),"")</f>
        <v/>
      </c>
      <c r="AC1667" s="16" t="str">
        <f>IFERROR(__xludf.DUMMYFUNCTION("""COMPUTED_VALUE"""),"")</f>
        <v/>
      </c>
    </row>
    <row r="1668">
      <c r="A1668" s="16" t="s">
        <v>87</v>
      </c>
      <c r="E1668" s="16" t="str">
        <f>IFERROR(__xludf.DUMMYFUNCTION("""COMPUTED_VALUE"""),"")</f>
        <v/>
      </c>
      <c r="G1668" s="18"/>
      <c r="H1668" s="16" t="s">
        <v>87</v>
      </c>
      <c r="I1668" s="16" t="s">
        <v>87</v>
      </c>
      <c r="J1668" s="19"/>
      <c r="L1668" s="16" t="str">
        <f>IFERROR(__xludf.DUMMYFUNCTION("""COMPUTED_VALUE"""),"")</f>
        <v/>
      </c>
      <c r="M1668" s="16" t="str">
        <f>IFERROR(__xludf.DUMMYFUNCTION("""COMPUTED_VALUE"""),"")</f>
        <v/>
      </c>
      <c r="U1668" s="16" t="s">
        <v>87</v>
      </c>
      <c r="V1668" s="16" t="str">
        <f>IFERROR(__xludf.DUMMYFUNCTION("""COMPUTED_VALUE"""),"")</f>
        <v/>
      </c>
      <c r="W1668" s="16" t="str">
        <f>IFERROR(__xludf.DUMMYFUNCTION("""COMPUTED_VALUE"""),"")</f>
        <v/>
      </c>
      <c r="X1668" s="16" t="str">
        <f>IFERROR(__xludf.DUMMYFUNCTION("""COMPUTED_VALUE"""),"")</f>
        <v/>
      </c>
      <c r="AC1668" s="16" t="str">
        <f>IFERROR(__xludf.DUMMYFUNCTION("""COMPUTED_VALUE"""),"")</f>
        <v/>
      </c>
    </row>
    <row r="1669">
      <c r="A1669" s="16" t="s">
        <v>87</v>
      </c>
      <c r="E1669" s="16" t="str">
        <f>IFERROR(__xludf.DUMMYFUNCTION("""COMPUTED_VALUE"""),"")</f>
        <v/>
      </c>
      <c r="G1669" s="18"/>
      <c r="H1669" s="16" t="s">
        <v>87</v>
      </c>
      <c r="I1669" s="16" t="s">
        <v>87</v>
      </c>
      <c r="J1669" s="19"/>
      <c r="L1669" s="16" t="str">
        <f>IFERROR(__xludf.DUMMYFUNCTION("""COMPUTED_VALUE"""),"")</f>
        <v/>
      </c>
      <c r="M1669" s="16" t="str">
        <f>IFERROR(__xludf.DUMMYFUNCTION("""COMPUTED_VALUE"""),"")</f>
        <v/>
      </c>
      <c r="U1669" s="16" t="s">
        <v>87</v>
      </c>
      <c r="V1669" s="16" t="str">
        <f>IFERROR(__xludf.DUMMYFUNCTION("""COMPUTED_VALUE"""),"")</f>
        <v/>
      </c>
      <c r="W1669" s="16" t="str">
        <f>IFERROR(__xludf.DUMMYFUNCTION("""COMPUTED_VALUE"""),"")</f>
        <v/>
      </c>
      <c r="X1669" s="16" t="str">
        <f>IFERROR(__xludf.DUMMYFUNCTION("""COMPUTED_VALUE"""),"")</f>
        <v/>
      </c>
      <c r="AC1669" s="16" t="str">
        <f>IFERROR(__xludf.DUMMYFUNCTION("""COMPUTED_VALUE"""),"")</f>
        <v/>
      </c>
    </row>
    <row r="1670">
      <c r="A1670" s="16" t="s">
        <v>87</v>
      </c>
      <c r="E1670" s="16" t="str">
        <f>IFERROR(__xludf.DUMMYFUNCTION("""COMPUTED_VALUE"""),"")</f>
        <v/>
      </c>
      <c r="G1670" s="18"/>
      <c r="H1670" s="16" t="s">
        <v>87</v>
      </c>
      <c r="I1670" s="16" t="s">
        <v>87</v>
      </c>
      <c r="J1670" s="19"/>
      <c r="L1670" s="16" t="str">
        <f>IFERROR(__xludf.DUMMYFUNCTION("""COMPUTED_VALUE"""),"")</f>
        <v/>
      </c>
      <c r="M1670" s="16" t="str">
        <f>IFERROR(__xludf.DUMMYFUNCTION("""COMPUTED_VALUE"""),"")</f>
        <v/>
      </c>
      <c r="U1670" s="16" t="s">
        <v>87</v>
      </c>
      <c r="V1670" s="16" t="str">
        <f>IFERROR(__xludf.DUMMYFUNCTION("""COMPUTED_VALUE"""),"")</f>
        <v/>
      </c>
      <c r="W1670" s="16" t="str">
        <f>IFERROR(__xludf.DUMMYFUNCTION("""COMPUTED_VALUE"""),"")</f>
        <v/>
      </c>
      <c r="X1670" s="16" t="str">
        <f>IFERROR(__xludf.DUMMYFUNCTION("""COMPUTED_VALUE"""),"")</f>
        <v/>
      </c>
      <c r="AC1670" s="16" t="str">
        <f>IFERROR(__xludf.DUMMYFUNCTION("""COMPUTED_VALUE"""),"")</f>
        <v/>
      </c>
    </row>
    <row r="1671">
      <c r="A1671" s="16" t="s">
        <v>87</v>
      </c>
      <c r="E1671" s="16" t="str">
        <f>IFERROR(__xludf.DUMMYFUNCTION("""COMPUTED_VALUE"""),"")</f>
        <v/>
      </c>
      <c r="G1671" s="18"/>
      <c r="H1671" s="16" t="s">
        <v>87</v>
      </c>
      <c r="I1671" s="16" t="s">
        <v>87</v>
      </c>
      <c r="J1671" s="19"/>
      <c r="L1671" s="16" t="str">
        <f>IFERROR(__xludf.DUMMYFUNCTION("""COMPUTED_VALUE"""),"")</f>
        <v/>
      </c>
      <c r="M1671" s="16" t="str">
        <f>IFERROR(__xludf.DUMMYFUNCTION("""COMPUTED_VALUE"""),"")</f>
        <v/>
      </c>
      <c r="U1671" s="16" t="s">
        <v>87</v>
      </c>
      <c r="V1671" s="16" t="str">
        <f>IFERROR(__xludf.DUMMYFUNCTION("""COMPUTED_VALUE"""),"")</f>
        <v/>
      </c>
      <c r="W1671" s="16" t="str">
        <f>IFERROR(__xludf.DUMMYFUNCTION("""COMPUTED_VALUE"""),"")</f>
        <v/>
      </c>
      <c r="X1671" s="16" t="str">
        <f>IFERROR(__xludf.DUMMYFUNCTION("""COMPUTED_VALUE"""),"")</f>
        <v/>
      </c>
      <c r="AC1671" s="16" t="str">
        <f>IFERROR(__xludf.DUMMYFUNCTION("""COMPUTED_VALUE"""),"")</f>
        <v/>
      </c>
    </row>
    <row r="1672">
      <c r="A1672" s="16" t="s">
        <v>87</v>
      </c>
      <c r="E1672" s="16" t="str">
        <f>IFERROR(__xludf.DUMMYFUNCTION("""COMPUTED_VALUE"""),"")</f>
        <v/>
      </c>
      <c r="G1672" s="18"/>
      <c r="H1672" s="16" t="s">
        <v>87</v>
      </c>
      <c r="I1672" s="16" t="s">
        <v>87</v>
      </c>
      <c r="J1672" s="19"/>
      <c r="L1672" s="16" t="str">
        <f>IFERROR(__xludf.DUMMYFUNCTION("""COMPUTED_VALUE"""),"")</f>
        <v/>
      </c>
      <c r="M1672" s="16" t="str">
        <f>IFERROR(__xludf.DUMMYFUNCTION("""COMPUTED_VALUE"""),"")</f>
        <v/>
      </c>
      <c r="U1672" s="16" t="s">
        <v>87</v>
      </c>
      <c r="V1672" s="16" t="str">
        <f>IFERROR(__xludf.DUMMYFUNCTION("""COMPUTED_VALUE"""),"")</f>
        <v/>
      </c>
      <c r="W1672" s="16" t="str">
        <f>IFERROR(__xludf.DUMMYFUNCTION("""COMPUTED_VALUE"""),"")</f>
        <v/>
      </c>
      <c r="X1672" s="16" t="str">
        <f>IFERROR(__xludf.DUMMYFUNCTION("""COMPUTED_VALUE"""),"")</f>
        <v/>
      </c>
      <c r="AC1672" s="16" t="str">
        <f>IFERROR(__xludf.DUMMYFUNCTION("""COMPUTED_VALUE"""),"")</f>
        <v/>
      </c>
    </row>
    <row r="1673">
      <c r="A1673" s="16" t="s">
        <v>87</v>
      </c>
      <c r="E1673" s="16" t="str">
        <f>IFERROR(__xludf.DUMMYFUNCTION("""COMPUTED_VALUE"""),"")</f>
        <v/>
      </c>
      <c r="G1673" s="18"/>
      <c r="H1673" s="16" t="s">
        <v>87</v>
      </c>
      <c r="I1673" s="16" t="s">
        <v>87</v>
      </c>
      <c r="J1673" s="19"/>
      <c r="L1673" s="16" t="str">
        <f>IFERROR(__xludf.DUMMYFUNCTION("""COMPUTED_VALUE"""),"")</f>
        <v/>
      </c>
      <c r="M1673" s="16" t="str">
        <f>IFERROR(__xludf.DUMMYFUNCTION("""COMPUTED_VALUE"""),"")</f>
        <v/>
      </c>
      <c r="U1673" s="16" t="s">
        <v>87</v>
      </c>
      <c r="V1673" s="16" t="str">
        <f>IFERROR(__xludf.DUMMYFUNCTION("""COMPUTED_VALUE"""),"")</f>
        <v/>
      </c>
      <c r="W1673" s="16" t="str">
        <f>IFERROR(__xludf.DUMMYFUNCTION("""COMPUTED_VALUE"""),"")</f>
        <v/>
      </c>
      <c r="X1673" s="16" t="str">
        <f>IFERROR(__xludf.DUMMYFUNCTION("""COMPUTED_VALUE"""),"")</f>
        <v/>
      </c>
      <c r="AC1673" s="16" t="str">
        <f>IFERROR(__xludf.DUMMYFUNCTION("""COMPUTED_VALUE"""),"")</f>
        <v/>
      </c>
    </row>
    <row r="1674">
      <c r="A1674" s="16" t="s">
        <v>87</v>
      </c>
      <c r="E1674" s="16" t="str">
        <f>IFERROR(__xludf.DUMMYFUNCTION("""COMPUTED_VALUE"""),"")</f>
        <v/>
      </c>
      <c r="G1674" s="18"/>
      <c r="H1674" s="16" t="s">
        <v>87</v>
      </c>
      <c r="I1674" s="16" t="s">
        <v>87</v>
      </c>
      <c r="J1674" s="19"/>
      <c r="L1674" s="16" t="str">
        <f>IFERROR(__xludf.DUMMYFUNCTION("""COMPUTED_VALUE"""),"")</f>
        <v/>
      </c>
      <c r="M1674" s="16" t="str">
        <f>IFERROR(__xludf.DUMMYFUNCTION("""COMPUTED_VALUE"""),"")</f>
        <v/>
      </c>
      <c r="U1674" s="16" t="s">
        <v>87</v>
      </c>
      <c r="V1674" s="16" t="str">
        <f>IFERROR(__xludf.DUMMYFUNCTION("""COMPUTED_VALUE"""),"")</f>
        <v/>
      </c>
      <c r="W1674" s="16" t="str">
        <f>IFERROR(__xludf.DUMMYFUNCTION("""COMPUTED_VALUE"""),"")</f>
        <v/>
      </c>
      <c r="X1674" s="16" t="str">
        <f>IFERROR(__xludf.DUMMYFUNCTION("""COMPUTED_VALUE"""),"")</f>
        <v/>
      </c>
      <c r="AC1674" s="16" t="str">
        <f>IFERROR(__xludf.DUMMYFUNCTION("""COMPUTED_VALUE"""),"")</f>
        <v/>
      </c>
    </row>
    <row r="1675">
      <c r="A1675" s="16" t="s">
        <v>87</v>
      </c>
      <c r="E1675" s="16" t="str">
        <f>IFERROR(__xludf.DUMMYFUNCTION("""COMPUTED_VALUE"""),"")</f>
        <v/>
      </c>
      <c r="G1675" s="18"/>
      <c r="H1675" s="16" t="s">
        <v>87</v>
      </c>
      <c r="I1675" s="16" t="s">
        <v>87</v>
      </c>
      <c r="J1675" s="19"/>
      <c r="L1675" s="16" t="str">
        <f>IFERROR(__xludf.DUMMYFUNCTION("""COMPUTED_VALUE"""),"")</f>
        <v/>
      </c>
      <c r="M1675" s="16" t="str">
        <f>IFERROR(__xludf.DUMMYFUNCTION("""COMPUTED_VALUE"""),"")</f>
        <v/>
      </c>
      <c r="U1675" s="16" t="s">
        <v>87</v>
      </c>
      <c r="V1675" s="16" t="str">
        <f>IFERROR(__xludf.DUMMYFUNCTION("""COMPUTED_VALUE"""),"")</f>
        <v/>
      </c>
      <c r="W1675" s="16" t="str">
        <f>IFERROR(__xludf.DUMMYFUNCTION("""COMPUTED_VALUE"""),"")</f>
        <v/>
      </c>
      <c r="X1675" s="16" t="str">
        <f>IFERROR(__xludf.DUMMYFUNCTION("""COMPUTED_VALUE"""),"")</f>
        <v/>
      </c>
      <c r="AC1675" s="16" t="str">
        <f>IFERROR(__xludf.DUMMYFUNCTION("""COMPUTED_VALUE"""),"")</f>
        <v/>
      </c>
    </row>
    <row r="1676">
      <c r="A1676" s="16" t="s">
        <v>87</v>
      </c>
      <c r="E1676" s="16" t="str">
        <f>IFERROR(__xludf.DUMMYFUNCTION("""COMPUTED_VALUE"""),"")</f>
        <v/>
      </c>
      <c r="G1676" s="18"/>
      <c r="H1676" s="16" t="s">
        <v>87</v>
      </c>
      <c r="I1676" s="16" t="s">
        <v>87</v>
      </c>
      <c r="J1676" s="19"/>
      <c r="L1676" s="16" t="str">
        <f>IFERROR(__xludf.DUMMYFUNCTION("""COMPUTED_VALUE"""),"")</f>
        <v/>
      </c>
      <c r="M1676" s="16" t="str">
        <f>IFERROR(__xludf.DUMMYFUNCTION("""COMPUTED_VALUE"""),"")</f>
        <v/>
      </c>
      <c r="U1676" s="16" t="s">
        <v>87</v>
      </c>
      <c r="V1676" s="16" t="str">
        <f>IFERROR(__xludf.DUMMYFUNCTION("""COMPUTED_VALUE"""),"")</f>
        <v/>
      </c>
      <c r="W1676" s="16" t="str">
        <f>IFERROR(__xludf.DUMMYFUNCTION("""COMPUTED_VALUE"""),"")</f>
        <v/>
      </c>
      <c r="X1676" s="16" t="str">
        <f>IFERROR(__xludf.DUMMYFUNCTION("""COMPUTED_VALUE"""),"")</f>
        <v/>
      </c>
      <c r="AC1676" s="16" t="str">
        <f>IFERROR(__xludf.DUMMYFUNCTION("""COMPUTED_VALUE"""),"")</f>
        <v/>
      </c>
    </row>
    <row r="1677">
      <c r="A1677" s="16" t="s">
        <v>87</v>
      </c>
      <c r="E1677" s="16" t="str">
        <f>IFERROR(__xludf.DUMMYFUNCTION("""COMPUTED_VALUE"""),"")</f>
        <v/>
      </c>
      <c r="G1677" s="18"/>
      <c r="H1677" s="16" t="s">
        <v>87</v>
      </c>
      <c r="I1677" s="16" t="s">
        <v>87</v>
      </c>
      <c r="J1677" s="19"/>
      <c r="L1677" s="16" t="str">
        <f>IFERROR(__xludf.DUMMYFUNCTION("""COMPUTED_VALUE"""),"")</f>
        <v/>
      </c>
      <c r="M1677" s="16" t="str">
        <f>IFERROR(__xludf.DUMMYFUNCTION("""COMPUTED_VALUE"""),"")</f>
        <v/>
      </c>
      <c r="U1677" s="16" t="s">
        <v>87</v>
      </c>
      <c r="V1677" s="16" t="str">
        <f>IFERROR(__xludf.DUMMYFUNCTION("""COMPUTED_VALUE"""),"")</f>
        <v/>
      </c>
      <c r="W1677" s="16" t="str">
        <f>IFERROR(__xludf.DUMMYFUNCTION("""COMPUTED_VALUE"""),"")</f>
        <v/>
      </c>
      <c r="X1677" s="16" t="str">
        <f>IFERROR(__xludf.DUMMYFUNCTION("""COMPUTED_VALUE"""),"")</f>
        <v/>
      </c>
      <c r="AC1677" s="16" t="str">
        <f>IFERROR(__xludf.DUMMYFUNCTION("""COMPUTED_VALUE"""),"")</f>
        <v/>
      </c>
    </row>
    <row r="1678">
      <c r="A1678" s="16" t="s">
        <v>87</v>
      </c>
      <c r="E1678" s="16" t="str">
        <f>IFERROR(__xludf.DUMMYFUNCTION("""COMPUTED_VALUE"""),"")</f>
        <v/>
      </c>
      <c r="G1678" s="18"/>
      <c r="H1678" s="16" t="s">
        <v>87</v>
      </c>
      <c r="I1678" s="16" t="s">
        <v>87</v>
      </c>
      <c r="J1678" s="19"/>
      <c r="L1678" s="16" t="str">
        <f>IFERROR(__xludf.DUMMYFUNCTION("""COMPUTED_VALUE"""),"")</f>
        <v/>
      </c>
      <c r="M1678" s="16" t="str">
        <f>IFERROR(__xludf.DUMMYFUNCTION("""COMPUTED_VALUE"""),"")</f>
        <v/>
      </c>
      <c r="U1678" s="16" t="s">
        <v>87</v>
      </c>
      <c r="V1678" s="16" t="str">
        <f>IFERROR(__xludf.DUMMYFUNCTION("""COMPUTED_VALUE"""),"")</f>
        <v/>
      </c>
      <c r="W1678" s="16" t="str">
        <f>IFERROR(__xludf.DUMMYFUNCTION("""COMPUTED_VALUE"""),"")</f>
        <v/>
      </c>
      <c r="X1678" s="16" t="str">
        <f>IFERROR(__xludf.DUMMYFUNCTION("""COMPUTED_VALUE"""),"")</f>
        <v/>
      </c>
      <c r="AC1678" s="16" t="str">
        <f>IFERROR(__xludf.DUMMYFUNCTION("""COMPUTED_VALUE"""),"")</f>
        <v/>
      </c>
    </row>
    <row r="1679">
      <c r="A1679" s="16" t="s">
        <v>87</v>
      </c>
      <c r="E1679" s="16" t="str">
        <f>IFERROR(__xludf.DUMMYFUNCTION("""COMPUTED_VALUE"""),"")</f>
        <v/>
      </c>
      <c r="G1679" s="18"/>
      <c r="H1679" s="16" t="s">
        <v>87</v>
      </c>
      <c r="I1679" s="16" t="s">
        <v>87</v>
      </c>
      <c r="J1679" s="19"/>
      <c r="L1679" s="16" t="str">
        <f>IFERROR(__xludf.DUMMYFUNCTION("""COMPUTED_VALUE"""),"")</f>
        <v/>
      </c>
      <c r="M1679" s="16" t="str">
        <f>IFERROR(__xludf.DUMMYFUNCTION("""COMPUTED_VALUE"""),"")</f>
        <v/>
      </c>
      <c r="U1679" s="16" t="s">
        <v>87</v>
      </c>
      <c r="V1679" s="16" t="str">
        <f>IFERROR(__xludf.DUMMYFUNCTION("""COMPUTED_VALUE"""),"")</f>
        <v/>
      </c>
      <c r="W1679" s="16" t="str">
        <f>IFERROR(__xludf.DUMMYFUNCTION("""COMPUTED_VALUE"""),"")</f>
        <v/>
      </c>
      <c r="X1679" s="16" t="str">
        <f>IFERROR(__xludf.DUMMYFUNCTION("""COMPUTED_VALUE"""),"")</f>
        <v/>
      </c>
      <c r="AC1679" s="16" t="str">
        <f>IFERROR(__xludf.DUMMYFUNCTION("""COMPUTED_VALUE"""),"")</f>
        <v/>
      </c>
    </row>
    <row r="1680">
      <c r="A1680" s="16" t="s">
        <v>87</v>
      </c>
      <c r="E1680" s="16" t="str">
        <f>IFERROR(__xludf.DUMMYFUNCTION("""COMPUTED_VALUE"""),"")</f>
        <v/>
      </c>
      <c r="G1680" s="18"/>
      <c r="H1680" s="16" t="s">
        <v>87</v>
      </c>
      <c r="I1680" s="16" t="s">
        <v>87</v>
      </c>
      <c r="J1680" s="19"/>
      <c r="L1680" s="16" t="str">
        <f>IFERROR(__xludf.DUMMYFUNCTION("""COMPUTED_VALUE"""),"")</f>
        <v/>
      </c>
      <c r="M1680" s="16" t="str">
        <f>IFERROR(__xludf.DUMMYFUNCTION("""COMPUTED_VALUE"""),"")</f>
        <v/>
      </c>
      <c r="U1680" s="16" t="s">
        <v>87</v>
      </c>
      <c r="V1680" s="16" t="str">
        <f>IFERROR(__xludf.DUMMYFUNCTION("""COMPUTED_VALUE"""),"")</f>
        <v/>
      </c>
      <c r="W1680" s="16" t="str">
        <f>IFERROR(__xludf.DUMMYFUNCTION("""COMPUTED_VALUE"""),"")</f>
        <v/>
      </c>
      <c r="X1680" s="16" t="str">
        <f>IFERROR(__xludf.DUMMYFUNCTION("""COMPUTED_VALUE"""),"")</f>
        <v/>
      </c>
      <c r="AC1680" s="16" t="str">
        <f>IFERROR(__xludf.DUMMYFUNCTION("""COMPUTED_VALUE"""),"")</f>
        <v/>
      </c>
    </row>
    <row r="1681">
      <c r="A1681" s="16" t="s">
        <v>87</v>
      </c>
      <c r="E1681" s="16" t="str">
        <f>IFERROR(__xludf.DUMMYFUNCTION("""COMPUTED_VALUE"""),"")</f>
        <v/>
      </c>
      <c r="G1681" s="18"/>
      <c r="H1681" s="16" t="s">
        <v>87</v>
      </c>
      <c r="I1681" s="16" t="s">
        <v>87</v>
      </c>
      <c r="J1681" s="19"/>
      <c r="L1681" s="16" t="str">
        <f>IFERROR(__xludf.DUMMYFUNCTION("""COMPUTED_VALUE"""),"")</f>
        <v/>
      </c>
      <c r="M1681" s="16" t="str">
        <f>IFERROR(__xludf.DUMMYFUNCTION("""COMPUTED_VALUE"""),"")</f>
        <v/>
      </c>
      <c r="U1681" s="16" t="s">
        <v>87</v>
      </c>
      <c r="V1681" s="16" t="str">
        <f>IFERROR(__xludf.DUMMYFUNCTION("""COMPUTED_VALUE"""),"")</f>
        <v/>
      </c>
      <c r="W1681" s="16" t="str">
        <f>IFERROR(__xludf.DUMMYFUNCTION("""COMPUTED_VALUE"""),"")</f>
        <v/>
      </c>
      <c r="X1681" s="16" t="str">
        <f>IFERROR(__xludf.DUMMYFUNCTION("""COMPUTED_VALUE"""),"")</f>
        <v/>
      </c>
      <c r="AC1681" s="16" t="str">
        <f>IFERROR(__xludf.DUMMYFUNCTION("""COMPUTED_VALUE"""),"")</f>
        <v/>
      </c>
    </row>
    <row r="1682">
      <c r="A1682" s="16" t="s">
        <v>87</v>
      </c>
      <c r="E1682" s="16" t="str">
        <f>IFERROR(__xludf.DUMMYFUNCTION("""COMPUTED_VALUE"""),"")</f>
        <v/>
      </c>
      <c r="G1682" s="18"/>
      <c r="H1682" s="16" t="s">
        <v>87</v>
      </c>
      <c r="I1682" s="16" t="s">
        <v>87</v>
      </c>
      <c r="J1682" s="19"/>
      <c r="L1682" s="16" t="str">
        <f>IFERROR(__xludf.DUMMYFUNCTION("""COMPUTED_VALUE"""),"")</f>
        <v/>
      </c>
      <c r="M1682" s="16" t="str">
        <f>IFERROR(__xludf.DUMMYFUNCTION("""COMPUTED_VALUE"""),"")</f>
        <v/>
      </c>
      <c r="U1682" s="16" t="s">
        <v>87</v>
      </c>
      <c r="V1682" s="16" t="str">
        <f>IFERROR(__xludf.DUMMYFUNCTION("""COMPUTED_VALUE"""),"")</f>
        <v/>
      </c>
      <c r="W1682" s="16" t="str">
        <f>IFERROR(__xludf.DUMMYFUNCTION("""COMPUTED_VALUE"""),"")</f>
        <v/>
      </c>
      <c r="X1682" s="16" t="str">
        <f>IFERROR(__xludf.DUMMYFUNCTION("""COMPUTED_VALUE"""),"")</f>
        <v/>
      </c>
      <c r="AC1682" s="16" t="str">
        <f>IFERROR(__xludf.DUMMYFUNCTION("""COMPUTED_VALUE"""),"")</f>
        <v/>
      </c>
    </row>
    <row r="1683">
      <c r="A1683" s="16" t="s">
        <v>87</v>
      </c>
      <c r="E1683" s="16" t="str">
        <f>IFERROR(__xludf.DUMMYFUNCTION("""COMPUTED_VALUE"""),"")</f>
        <v/>
      </c>
      <c r="G1683" s="18"/>
      <c r="H1683" s="16" t="s">
        <v>87</v>
      </c>
      <c r="I1683" s="16" t="s">
        <v>87</v>
      </c>
      <c r="J1683" s="19"/>
      <c r="L1683" s="16" t="str">
        <f>IFERROR(__xludf.DUMMYFUNCTION("""COMPUTED_VALUE"""),"")</f>
        <v/>
      </c>
      <c r="M1683" s="16" t="str">
        <f>IFERROR(__xludf.DUMMYFUNCTION("""COMPUTED_VALUE"""),"")</f>
        <v/>
      </c>
      <c r="U1683" s="16" t="s">
        <v>87</v>
      </c>
      <c r="V1683" s="16" t="str">
        <f>IFERROR(__xludf.DUMMYFUNCTION("""COMPUTED_VALUE"""),"")</f>
        <v/>
      </c>
      <c r="W1683" s="16" t="str">
        <f>IFERROR(__xludf.DUMMYFUNCTION("""COMPUTED_VALUE"""),"")</f>
        <v/>
      </c>
      <c r="X1683" s="16" t="str">
        <f>IFERROR(__xludf.DUMMYFUNCTION("""COMPUTED_VALUE"""),"")</f>
        <v/>
      </c>
      <c r="AC1683" s="16" t="str">
        <f>IFERROR(__xludf.DUMMYFUNCTION("""COMPUTED_VALUE"""),"")</f>
        <v/>
      </c>
    </row>
    <row r="1684">
      <c r="A1684" s="16" t="s">
        <v>87</v>
      </c>
      <c r="E1684" s="16" t="str">
        <f>IFERROR(__xludf.DUMMYFUNCTION("""COMPUTED_VALUE"""),"")</f>
        <v/>
      </c>
      <c r="G1684" s="18"/>
      <c r="H1684" s="16" t="s">
        <v>87</v>
      </c>
      <c r="I1684" s="16" t="s">
        <v>87</v>
      </c>
      <c r="J1684" s="19"/>
      <c r="L1684" s="16" t="str">
        <f>IFERROR(__xludf.DUMMYFUNCTION("""COMPUTED_VALUE"""),"")</f>
        <v/>
      </c>
      <c r="M1684" s="16" t="str">
        <f>IFERROR(__xludf.DUMMYFUNCTION("""COMPUTED_VALUE"""),"")</f>
        <v/>
      </c>
      <c r="U1684" s="16" t="s">
        <v>87</v>
      </c>
      <c r="V1684" s="16" t="str">
        <f>IFERROR(__xludf.DUMMYFUNCTION("""COMPUTED_VALUE"""),"")</f>
        <v/>
      </c>
      <c r="W1684" s="16" t="str">
        <f>IFERROR(__xludf.DUMMYFUNCTION("""COMPUTED_VALUE"""),"")</f>
        <v/>
      </c>
      <c r="X1684" s="16" t="str">
        <f>IFERROR(__xludf.DUMMYFUNCTION("""COMPUTED_VALUE"""),"")</f>
        <v/>
      </c>
      <c r="AC1684" s="16" t="str">
        <f>IFERROR(__xludf.DUMMYFUNCTION("""COMPUTED_VALUE"""),"")</f>
        <v/>
      </c>
    </row>
    <row r="1685">
      <c r="A1685" s="16" t="s">
        <v>87</v>
      </c>
      <c r="E1685" s="16" t="str">
        <f>IFERROR(__xludf.DUMMYFUNCTION("""COMPUTED_VALUE"""),"")</f>
        <v/>
      </c>
      <c r="G1685" s="18"/>
      <c r="H1685" s="16" t="s">
        <v>87</v>
      </c>
      <c r="I1685" s="16" t="s">
        <v>87</v>
      </c>
      <c r="J1685" s="19"/>
      <c r="L1685" s="16" t="str">
        <f>IFERROR(__xludf.DUMMYFUNCTION("""COMPUTED_VALUE"""),"")</f>
        <v/>
      </c>
      <c r="M1685" s="16" t="str">
        <f>IFERROR(__xludf.DUMMYFUNCTION("""COMPUTED_VALUE"""),"")</f>
        <v/>
      </c>
      <c r="U1685" s="16" t="s">
        <v>87</v>
      </c>
      <c r="V1685" s="16" t="str">
        <f>IFERROR(__xludf.DUMMYFUNCTION("""COMPUTED_VALUE"""),"")</f>
        <v/>
      </c>
      <c r="W1685" s="16" t="str">
        <f>IFERROR(__xludf.DUMMYFUNCTION("""COMPUTED_VALUE"""),"")</f>
        <v/>
      </c>
      <c r="X1685" s="16" t="str">
        <f>IFERROR(__xludf.DUMMYFUNCTION("""COMPUTED_VALUE"""),"")</f>
        <v/>
      </c>
      <c r="AC1685" s="16" t="str">
        <f>IFERROR(__xludf.DUMMYFUNCTION("""COMPUTED_VALUE"""),"")</f>
        <v/>
      </c>
    </row>
    <row r="1686">
      <c r="A1686" s="16" t="s">
        <v>87</v>
      </c>
      <c r="E1686" s="16" t="str">
        <f>IFERROR(__xludf.DUMMYFUNCTION("""COMPUTED_VALUE"""),"")</f>
        <v/>
      </c>
      <c r="G1686" s="18"/>
      <c r="H1686" s="16" t="s">
        <v>87</v>
      </c>
      <c r="I1686" s="16" t="s">
        <v>87</v>
      </c>
      <c r="J1686" s="19"/>
      <c r="L1686" s="16" t="str">
        <f>IFERROR(__xludf.DUMMYFUNCTION("""COMPUTED_VALUE"""),"")</f>
        <v/>
      </c>
      <c r="M1686" s="16" t="str">
        <f>IFERROR(__xludf.DUMMYFUNCTION("""COMPUTED_VALUE"""),"")</f>
        <v/>
      </c>
      <c r="U1686" s="16" t="s">
        <v>87</v>
      </c>
      <c r="V1686" s="16" t="str">
        <f>IFERROR(__xludf.DUMMYFUNCTION("""COMPUTED_VALUE"""),"")</f>
        <v/>
      </c>
      <c r="W1686" s="16" t="str">
        <f>IFERROR(__xludf.DUMMYFUNCTION("""COMPUTED_VALUE"""),"")</f>
        <v/>
      </c>
      <c r="X1686" s="16" t="str">
        <f>IFERROR(__xludf.DUMMYFUNCTION("""COMPUTED_VALUE"""),"")</f>
        <v/>
      </c>
      <c r="AC1686" s="16" t="str">
        <f>IFERROR(__xludf.DUMMYFUNCTION("""COMPUTED_VALUE"""),"")</f>
        <v/>
      </c>
    </row>
    <row r="1687">
      <c r="A1687" s="16" t="s">
        <v>87</v>
      </c>
      <c r="E1687" s="16" t="str">
        <f>IFERROR(__xludf.DUMMYFUNCTION("""COMPUTED_VALUE"""),"")</f>
        <v/>
      </c>
      <c r="G1687" s="18"/>
      <c r="H1687" s="16" t="s">
        <v>87</v>
      </c>
      <c r="I1687" s="16" t="s">
        <v>87</v>
      </c>
      <c r="J1687" s="19"/>
      <c r="L1687" s="16" t="str">
        <f>IFERROR(__xludf.DUMMYFUNCTION("""COMPUTED_VALUE"""),"")</f>
        <v/>
      </c>
      <c r="M1687" s="16" t="str">
        <f>IFERROR(__xludf.DUMMYFUNCTION("""COMPUTED_VALUE"""),"")</f>
        <v/>
      </c>
      <c r="U1687" s="16" t="s">
        <v>87</v>
      </c>
      <c r="V1687" s="16" t="str">
        <f>IFERROR(__xludf.DUMMYFUNCTION("""COMPUTED_VALUE"""),"")</f>
        <v/>
      </c>
      <c r="W1687" s="16" t="str">
        <f>IFERROR(__xludf.DUMMYFUNCTION("""COMPUTED_VALUE"""),"")</f>
        <v/>
      </c>
      <c r="X1687" s="16" t="str">
        <f>IFERROR(__xludf.DUMMYFUNCTION("""COMPUTED_VALUE"""),"")</f>
        <v/>
      </c>
      <c r="AC1687" s="16" t="str">
        <f>IFERROR(__xludf.DUMMYFUNCTION("""COMPUTED_VALUE"""),"")</f>
        <v/>
      </c>
    </row>
    <row r="1688">
      <c r="A1688" s="16" t="s">
        <v>87</v>
      </c>
      <c r="E1688" s="16" t="str">
        <f>IFERROR(__xludf.DUMMYFUNCTION("""COMPUTED_VALUE"""),"")</f>
        <v/>
      </c>
      <c r="G1688" s="18"/>
      <c r="H1688" s="16" t="s">
        <v>87</v>
      </c>
      <c r="I1688" s="16" t="s">
        <v>87</v>
      </c>
      <c r="J1688" s="19"/>
      <c r="L1688" s="16" t="str">
        <f>IFERROR(__xludf.DUMMYFUNCTION("""COMPUTED_VALUE"""),"")</f>
        <v/>
      </c>
      <c r="M1688" s="16" t="str">
        <f>IFERROR(__xludf.DUMMYFUNCTION("""COMPUTED_VALUE"""),"")</f>
        <v/>
      </c>
      <c r="U1688" s="16" t="s">
        <v>87</v>
      </c>
      <c r="V1688" s="16" t="str">
        <f>IFERROR(__xludf.DUMMYFUNCTION("""COMPUTED_VALUE"""),"")</f>
        <v/>
      </c>
      <c r="W1688" s="16" t="str">
        <f>IFERROR(__xludf.DUMMYFUNCTION("""COMPUTED_VALUE"""),"")</f>
        <v/>
      </c>
      <c r="X1688" s="16" t="str">
        <f>IFERROR(__xludf.DUMMYFUNCTION("""COMPUTED_VALUE"""),"")</f>
        <v/>
      </c>
      <c r="AC1688" s="16" t="str">
        <f>IFERROR(__xludf.DUMMYFUNCTION("""COMPUTED_VALUE"""),"")</f>
        <v/>
      </c>
    </row>
    <row r="1689">
      <c r="A1689" s="16" t="s">
        <v>87</v>
      </c>
      <c r="E1689" s="16" t="str">
        <f>IFERROR(__xludf.DUMMYFUNCTION("""COMPUTED_VALUE"""),"")</f>
        <v/>
      </c>
      <c r="G1689" s="18"/>
      <c r="H1689" s="16" t="s">
        <v>87</v>
      </c>
      <c r="I1689" s="16" t="s">
        <v>87</v>
      </c>
      <c r="J1689" s="19"/>
      <c r="L1689" s="16" t="str">
        <f>IFERROR(__xludf.DUMMYFUNCTION("""COMPUTED_VALUE"""),"")</f>
        <v/>
      </c>
      <c r="M1689" s="16" t="str">
        <f>IFERROR(__xludf.DUMMYFUNCTION("""COMPUTED_VALUE"""),"")</f>
        <v/>
      </c>
      <c r="U1689" s="16" t="s">
        <v>87</v>
      </c>
      <c r="V1689" s="16" t="str">
        <f>IFERROR(__xludf.DUMMYFUNCTION("""COMPUTED_VALUE"""),"")</f>
        <v/>
      </c>
      <c r="W1689" s="16" t="str">
        <f>IFERROR(__xludf.DUMMYFUNCTION("""COMPUTED_VALUE"""),"")</f>
        <v/>
      </c>
      <c r="X1689" s="16" t="str">
        <f>IFERROR(__xludf.DUMMYFUNCTION("""COMPUTED_VALUE"""),"")</f>
        <v/>
      </c>
      <c r="AC1689" s="16" t="str">
        <f>IFERROR(__xludf.DUMMYFUNCTION("""COMPUTED_VALUE"""),"")</f>
        <v/>
      </c>
    </row>
    <row r="1690">
      <c r="A1690" s="16" t="s">
        <v>87</v>
      </c>
      <c r="E1690" s="16" t="str">
        <f>IFERROR(__xludf.DUMMYFUNCTION("""COMPUTED_VALUE"""),"")</f>
        <v/>
      </c>
      <c r="G1690" s="18"/>
      <c r="H1690" s="16" t="s">
        <v>87</v>
      </c>
      <c r="I1690" s="16" t="s">
        <v>87</v>
      </c>
      <c r="J1690" s="19"/>
      <c r="L1690" s="16" t="str">
        <f>IFERROR(__xludf.DUMMYFUNCTION("""COMPUTED_VALUE"""),"")</f>
        <v/>
      </c>
      <c r="M1690" s="16" t="str">
        <f>IFERROR(__xludf.DUMMYFUNCTION("""COMPUTED_VALUE"""),"")</f>
        <v/>
      </c>
      <c r="U1690" s="16" t="s">
        <v>87</v>
      </c>
      <c r="V1690" s="16" t="str">
        <f>IFERROR(__xludf.DUMMYFUNCTION("""COMPUTED_VALUE"""),"")</f>
        <v/>
      </c>
      <c r="W1690" s="16" t="str">
        <f>IFERROR(__xludf.DUMMYFUNCTION("""COMPUTED_VALUE"""),"")</f>
        <v/>
      </c>
      <c r="X1690" s="16" t="str">
        <f>IFERROR(__xludf.DUMMYFUNCTION("""COMPUTED_VALUE"""),"")</f>
        <v/>
      </c>
      <c r="AC1690" s="16" t="str">
        <f>IFERROR(__xludf.DUMMYFUNCTION("""COMPUTED_VALUE"""),"")</f>
        <v/>
      </c>
    </row>
    <row r="1691">
      <c r="A1691" s="16" t="s">
        <v>87</v>
      </c>
      <c r="E1691" s="16" t="str">
        <f>IFERROR(__xludf.DUMMYFUNCTION("""COMPUTED_VALUE"""),"")</f>
        <v/>
      </c>
      <c r="G1691" s="18"/>
      <c r="H1691" s="16" t="s">
        <v>87</v>
      </c>
      <c r="I1691" s="16" t="s">
        <v>87</v>
      </c>
      <c r="J1691" s="19"/>
      <c r="L1691" s="16" t="str">
        <f>IFERROR(__xludf.DUMMYFUNCTION("""COMPUTED_VALUE"""),"")</f>
        <v/>
      </c>
      <c r="M1691" s="16" t="str">
        <f>IFERROR(__xludf.DUMMYFUNCTION("""COMPUTED_VALUE"""),"")</f>
        <v/>
      </c>
      <c r="U1691" s="16" t="s">
        <v>87</v>
      </c>
      <c r="V1691" s="16" t="str">
        <f>IFERROR(__xludf.DUMMYFUNCTION("""COMPUTED_VALUE"""),"")</f>
        <v/>
      </c>
      <c r="W1691" s="16" t="str">
        <f>IFERROR(__xludf.DUMMYFUNCTION("""COMPUTED_VALUE"""),"")</f>
        <v/>
      </c>
      <c r="X1691" s="16" t="str">
        <f>IFERROR(__xludf.DUMMYFUNCTION("""COMPUTED_VALUE"""),"")</f>
        <v/>
      </c>
      <c r="AC1691" s="16" t="str">
        <f>IFERROR(__xludf.DUMMYFUNCTION("""COMPUTED_VALUE"""),"")</f>
        <v/>
      </c>
    </row>
    <row r="1692">
      <c r="A1692" s="16" t="s">
        <v>87</v>
      </c>
      <c r="E1692" s="16" t="str">
        <f>IFERROR(__xludf.DUMMYFUNCTION("""COMPUTED_VALUE"""),"")</f>
        <v/>
      </c>
      <c r="G1692" s="18"/>
      <c r="H1692" s="16" t="s">
        <v>87</v>
      </c>
      <c r="I1692" s="16" t="s">
        <v>87</v>
      </c>
      <c r="J1692" s="19"/>
      <c r="L1692" s="16" t="str">
        <f>IFERROR(__xludf.DUMMYFUNCTION("""COMPUTED_VALUE"""),"")</f>
        <v/>
      </c>
      <c r="M1692" s="16" t="str">
        <f>IFERROR(__xludf.DUMMYFUNCTION("""COMPUTED_VALUE"""),"")</f>
        <v/>
      </c>
      <c r="U1692" s="16" t="s">
        <v>87</v>
      </c>
      <c r="V1692" s="16" t="str">
        <f>IFERROR(__xludf.DUMMYFUNCTION("""COMPUTED_VALUE"""),"")</f>
        <v/>
      </c>
      <c r="W1692" s="16" t="str">
        <f>IFERROR(__xludf.DUMMYFUNCTION("""COMPUTED_VALUE"""),"")</f>
        <v/>
      </c>
      <c r="X1692" s="16" t="str">
        <f>IFERROR(__xludf.DUMMYFUNCTION("""COMPUTED_VALUE"""),"")</f>
        <v/>
      </c>
      <c r="AC1692" s="16" t="str">
        <f>IFERROR(__xludf.DUMMYFUNCTION("""COMPUTED_VALUE"""),"")</f>
        <v/>
      </c>
    </row>
    <row r="1693">
      <c r="A1693" s="16" t="s">
        <v>87</v>
      </c>
      <c r="E1693" s="16" t="str">
        <f>IFERROR(__xludf.DUMMYFUNCTION("""COMPUTED_VALUE"""),"")</f>
        <v/>
      </c>
      <c r="G1693" s="18"/>
      <c r="H1693" s="16" t="s">
        <v>87</v>
      </c>
      <c r="I1693" s="16" t="s">
        <v>87</v>
      </c>
      <c r="J1693" s="19"/>
      <c r="L1693" s="16" t="str">
        <f>IFERROR(__xludf.DUMMYFUNCTION("""COMPUTED_VALUE"""),"")</f>
        <v/>
      </c>
      <c r="M1693" s="16" t="str">
        <f>IFERROR(__xludf.DUMMYFUNCTION("""COMPUTED_VALUE"""),"")</f>
        <v/>
      </c>
      <c r="U1693" s="16" t="s">
        <v>87</v>
      </c>
      <c r="V1693" s="16" t="str">
        <f>IFERROR(__xludf.DUMMYFUNCTION("""COMPUTED_VALUE"""),"")</f>
        <v/>
      </c>
      <c r="W1693" s="16" t="str">
        <f>IFERROR(__xludf.DUMMYFUNCTION("""COMPUTED_VALUE"""),"")</f>
        <v/>
      </c>
      <c r="X1693" s="16" t="str">
        <f>IFERROR(__xludf.DUMMYFUNCTION("""COMPUTED_VALUE"""),"")</f>
        <v/>
      </c>
      <c r="AC1693" s="16" t="str">
        <f>IFERROR(__xludf.DUMMYFUNCTION("""COMPUTED_VALUE"""),"")</f>
        <v/>
      </c>
    </row>
    <row r="1694">
      <c r="A1694" s="16" t="s">
        <v>87</v>
      </c>
      <c r="E1694" s="16" t="str">
        <f>IFERROR(__xludf.DUMMYFUNCTION("""COMPUTED_VALUE"""),"")</f>
        <v/>
      </c>
      <c r="G1694" s="18"/>
      <c r="H1694" s="16" t="s">
        <v>87</v>
      </c>
      <c r="I1694" s="16" t="s">
        <v>87</v>
      </c>
      <c r="J1694" s="19"/>
      <c r="L1694" s="16" t="str">
        <f>IFERROR(__xludf.DUMMYFUNCTION("""COMPUTED_VALUE"""),"")</f>
        <v/>
      </c>
      <c r="M1694" s="16" t="str">
        <f>IFERROR(__xludf.DUMMYFUNCTION("""COMPUTED_VALUE"""),"")</f>
        <v/>
      </c>
      <c r="U1694" s="16" t="s">
        <v>87</v>
      </c>
      <c r="V1694" s="16" t="str">
        <f>IFERROR(__xludf.DUMMYFUNCTION("""COMPUTED_VALUE"""),"")</f>
        <v/>
      </c>
      <c r="W1694" s="16" t="str">
        <f>IFERROR(__xludf.DUMMYFUNCTION("""COMPUTED_VALUE"""),"")</f>
        <v/>
      </c>
      <c r="X1694" s="16" t="str">
        <f>IFERROR(__xludf.DUMMYFUNCTION("""COMPUTED_VALUE"""),"")</f>
        <v/>
      </c>
      <c r="AC1694" s="16" t="str">
        <f>IFERROR(__xludf.DUMMYFUNCTION("""COMPUTED_VALUE"""),"")</f>
        <v/>
      </c>
    </row>
    <row r="1695">
      <c r="A1695" s="16" t="s">
        <v>87</v>
      </c>
      <c r="E1695" s="16" t="str">
        <f>IFERROR(__xludf.DUMMYFUNCTION("""COMPUTED_VALUE"""),"")</f>
        <v/>
      </c>
      <c r="G1695" s="18"/>
      <c r="H1695" s="16" t="s">
        <v>87</v>
      </c>
      <c r="I1695" s="16" t="s">
        <v>87</v>
      </c>
      <c r="J1695" s="19"/>
      <c r="L1695" s="16" t="str">
        <f>IFERROR(__xludf.DUMMYFUNCTION("""COMPUTED_VALUE"""),"")</f>
        <v/>
      </c>
      <c r="M1695" s="16" t="str">
        <f>IFERROR(__xludf.DUMMYFUNCTION("""COMPUTED_VALUE"""),"")</f>
        <v/>
      </c>
      <c r="U1695" s="16" t="s">
        <v>87</v>
      </c>
      <c r="V1695" s="16" t="str">
        <f>IFERROR(__xludf.DUMMYFUNCTION("""COMPUTED_VALUE"""),"")</f>
        <v/>
      </c>
      <c r="W1695" s="16" t="str">
        <f>IFERROR(__xludf.DUMMYFUNCTION("""COMPUTED_VALUE"""),"")</f>
        <v/>
      </c>
      <c r="X1695" s="16" t="str">
        <f>IFERROR(__xludf.DUMMYFUNCTION("""COMPUTED_VALUE"""),"")</f>
        <v/>
      </c>
      <c r="AC1695" s="16" t="str">
        <f>IFERROR(__xludf.DUMMYFUNCTION("""COMPUTED_VALUE"""),"")</f>
        <v/>
      </c>
    </row>
    <row r="1696">
      <c r="A1696" s="16" t="s">
        <v>87</v>
      </c>
      <c r="E1696" s="16" t="str">
        <f>IFERROR(__xludf.DUMMYFUNCTION("""COMPUTED_VALUE"""),"")</f>
        <v/>
      </c>
      <c r="G1696" s="18"/>
      <c r="H1696" s="16" t="s">
        <v>87</v>
      </c>
      <c r="I1696" s="16" t="s">
        <v>87</v>
      </c>
      <c r="J1696" s="19"/>
      <c r="L1696" s="16" t="str">
        <f>IFERROR(__xludf.DUMMYFUNCTION("""COMPUTED_VALUE"""),"")</f>
        <v/>
      </c>
      <c r="M1696" s="16" t="str">
        <f>IFERROR(__xludf.DUMMYFUNCTION("""COMPUTED_VALUE"""),"")</f>
        <v/>
      </c>
      <c r="U1696" s="16" t="s">
        <v>87</v>
      </c>
      <c r="V1696" s="16" t="str">
        <f>IFERROR(__xludf.DUMMYFUNCTION("""COMPUTED_VALUE"""),"")</f>
        <v/>
      </c>
      <c r="W1696" s="16" t="str">
        <f>IFERROR(__xludf.DUMMYFUNCTION("""COMPUTED_VALUE"""),"")</f>
        <v/>
      </c>
      <c r="X1696" s="16" t="str">
        <f>IFERROR(__xludf.DUMMYFUNCTION("""COMPUTED_VALUE"""),"")</f>
        <v/>
      </c>
      <c r="AC1696" s="16" t="str">
        <f>IFERROR(__xludf.DUMMYFUNCTION("""COMPUTED_VALUE"""),"")</f>
        <v/>
      </c>
    </row>
    <row r="1697">
      <c r="A1697" s="16" t="s">
        <v>87</v>
      </c>
      <c r="E1697" s="16" t="str">
        <f>IFERROR(__xludf.DUMMYFUNCTION("""COMPUTED_VALUE"""),"")</f>
        <v/>
      </c>
      <c r="G1697" s="18"/>
      <c r="H1697" s="16" t="s">
        <v>87</v>
      </c>
      <c r="I1697" s="16" t="s">
        <v>87</v>
      </c>
      <c r="J1697" s="19"/>
      <c r="L1697" s="16" t="str">
        <f>IFERROR(__xludf.DUMMYFUNCTION("""COMPUTED_VALUE"""),"")</f>
        <v/>
      </c>
      <c r="M1697" s="16" t="str">
        <f>IFERROR(__xludf.DUMMYFUNCTION("""COMPUTED_VALUE"""),"")</f>
        <v/>
      </c>
      <c r="U1697" s="16" t="s">
        <v>87</v>
      </c>
      <c r="V1697" s="16" t="str">
        <f>IFERROR(__xludf.DUMMYFUNCTION("""COMPUTED_VALUE"""),"")</f>
        <v/>
      </c>
      <c r="W1697" s="16" t="str">
        <f>IFERROR(__xludf.DUMMYFUNCTION("""COMPUTED_VALUE"""),"")</f>
        <v/>
      </c>
      <c r="X1697" s="16" t="str">
        <f>IFERROR(__xludf.DUMMYFUNCTION("""COMPUTED_VALUE"""),"")</f>
        <v/>
      </c>
      <c r="AC1697" s="16" t="str">
        <f>IFERROR(__xludf.DUMMYFUNCTION("""COMPUTED_VALUE"""),"")</f>
        <v/>
      </c>
    </row>
    <row r="1698">
      <c r="A1698" s="16" t="s">
        <v>87</v>
      </c>
      <c r="E1698" s="16" t="str">
        <f>IFERROR(__xludf.DUMMYFUNCTION("""COMPUTED_VALUE"""),"")</f>
        <v/>
      </c>
      <c r="G1698" s="18"/>
      <c r="H1698" s="16" t="s">
        <v>87</v>
      </c>
      <c r="I1698" s="16" t="s">
        <v>87</v>
      </c>
      <c r="J1698" s="19"/>
      <c r="L1698" s="16" t="str">
        <f>IFERROR(__xludf.DUMMYFUNCTION("""COMPUTED_VALUE"""),"")</f>
        <v/>
      </c>
      <c r="M1698" s="16" t="str">
        <f>IFERROR(__xludf.DUMMYFUNCTION("""COMPUTED_VALUE"""),"")</f>
        <v/>
      </c>
      <c r="U1698" s="16" t="s">
        <v>87</v>
      </c>
      <c r="V1698" s="16" t="str">
        <f>IFERROR(__xludf.DUMMYFUNCTION("""COMPUTED_VALUE"""),"")</f>
        <v/>
      </c>
      <c r="W1698" s="16" t="str">
        <f>IFERROR(__xludf.DUMMYFUNCTION("""COMPUTED_VALUE"""),"")</f>
        <v/>
      </c>
      <c r="X1698" s="16" t="str">
        <f>IFERROR(__xludf.DUMMYFUNCTION("""COMPUTED_VALUE"""),"")</f>
        <v/>
      </c>
      <c r="AC1698" s="16" t="str">
        <f>IFERROR(__xludf.DUMMYFUNCTION("""COMPUTED_VALUE"""),"")</f>
        <v/>
      </c>
    </row>
    <row r="1699">
      <c r="A1699" s="16" t="s">
        <v>87</v>
      </c>
      <c r="E1699" s="16" t="str">
        <f>IFERROR(__xludf.DUMMYFUNCTION("""COMPUTED_VALUE"""),"")</f>
        <v/>
      </c>
      <c r="G1699" s="18"/>
      <c r="H1699" s="16" t="s">
        <v>87</v>
      </c>
      <c r="I1699" s="16" t="s">
        <v>87</v>
      </c>
      <c r="J1699" s="19"/>
      <c r="L1699" s="16" t="str">
        <f>IFERROR(__xludf.DUMMYFUNCTION("""COMPUTED_VALUE"""),"")</f>
        <v/>
      </c>
      <c r="M1699" s="16" t="str">
        <f>IFERROR(__xludf.DUMMYFUNCTION("""COMPUTED_VALUE"""),"")</f>
        <v/>
      </c>
      <c r="U1699" s="16" t="s">
        <v>87</v>
      </c>
      <c r="V1699" s="16" t="str">
        <f>IFERROR(__xludf.DUMMYFUNCTION("""COMPUTED_VALUE"""),"")</f>
        <v/>
      </c>
      <c r="W1699" s="16" t="str">
        <f>IFERROR(__xludf.DUMMYFUNCTION("""COMPUTED_VALUE"""),"")</f>
        <v/>
      </c>
      <c r="X1699" s="16" t="str">
        <f>IFERROR(__xludf.DUMMYFUNCTION("""COMPUTED_VALUE"""),"")</f>
        <v/>
      </c>
      <c r="AC1699" s="16" t="str">
        <f>IFERROR(__xludf.DUMMYFUNCTION("""COMPUTED_VALUE"""),"")</f>
        <v/>
      </c>
    </row>
    <row r="1700">
      <c r="A1700" s="16" t="s">
        <v>87</v>
      </c>
      <c r="E1700" s="16" t="str">
        <f>IFERROR(__xludf.DUMMYFUNCTION("""COMPUTED_VALUE"""),"")</f>
        <v/>
      </c>
      <c r="G1700" s="18"/>
      <c r="H1700" s="16" t="s">
        <v>87</v>
      </c>
      <c r="I1700" s="16" t="s">
        <v>87</v>
      </c>
      <c r="J1700" s="19"/>
      <c r="L1700" s="16" t="str">
        <f>IFERROR(__xludf.DUMMYFUNCTION("""COMPUTED_VALUE"""),"")</f>
        <v/>
      </c>
      <c r="M1700" s="16" t="str">
        <f>IFERROR(__xludf.DUMMYFUNCTION("""COMPUTED_VALUE"""),"")</f>
        <v/>
      </c>
      <c r="U1700" s="16" t="s">
        <v>87</v>
      </c>
      <c r="V1700" s="16" t="str">
        <f>IFERROR(__xludf.DUMMYFUNCTION("""COMPUTED_VALUE"""),"")</f>
        <v/>
      </c>
      <c r="W1700" s="16" t="str">
        <f>IFERROR(__xludf.DUMMYFUNCTION("""COMPUTED_VALUE"""),"")</f>
        <v/>
      </c>
      <c r="X1700" s="16" t="str">
        <f>IFERROR(__xludf.DUMMYFUNCTION("""COMPUTED_VALUE"""),"")</f>
        <v/>
      </c>
      <c r="AC1700" s="16" t="str">
        <f>IFERROR(__xludf.DUMMYFUNCTION("""COMPUTED_VALUE"""),"")</f>
        <v/>
      </c>
    </row>
    <row r="1701">
      <c r="A1701" s="16" t="s">
        <v>87</v>
      </c>
      <c r="E1701" s="16" t="str">
        <f>IFERROR(__xludf.DUMMYFUNCTION("""COMPUTED_VALUE"""),"")</f>
        <v/>
      </c>
      <c r="G1701" s="18"/>
      <c r="H1701" s="16" t="s">
        <v>87</v>
      </c>
      <c r="I1701" s="16" t="s">
        <v>87</v>
      </c>
      <c r="J1701" s="19"/>
      <c r="L1701" s="16" t="str">
        <f>IFERROR(__xludf.DUMMYFUNCTION("""COMPUTED_VALUE"""),"")</f>
        <v/>
      </c>
      <c r="M1701" s="16" t="str">
        <f>IFERROR(__xludf.DUMMYFUNCTION("""COMPUTED_VALUE"""),"")</f>
        <v/>
      </c>
      <c r="U1701" s="16" t="s">
        <v>87</v>
      </c>
      <c r="V1701" s="16" t="str">
        <f>IFERROR(__xludf.DUMMYFUNCTION("""COMPUTED_VALUE"""),"")</f>
        <v/>
      </c>
      <c r="W1701" s="16" t="str">
        <f>IFERROR(__xludf.DUMMYFUNCTION("""COMPUTED_VALUE"""),"")</f>
        <v/>
      </c>
      <c r="X1701" s="16" t="str">
        <f>IFERROR(__xludf.DUMMYFUNCTION("""COMPUTED_VALUE"""),"")</f>
        <v/>
      </c>
      <c r="AC1701" s="16" t="str">
        <f>IFERROR(__xludf.DUMMYFUNCTION("""COMPUTED_VALUE"""),"")</f>
        <v/>
      </c>
    </row>
    <row r="1702">
      <c r="A1702" s="16" t="s">
        <v>87</v>
      </c>
      <c r="E1702" s="16" t="str">
        <f>IFERROR(__xludf.DUMMYFUNCTION("""COMPUTED_VALUE"""),"")</f>
        <v/>
      </c>
      <c r="G1702" s="18"/>
      <c r="H1702" s="16" t="s">
        <v>87</v>
      </c>
      <c r="I1702" s="16" t="s">
        <v>87</v>
      </c>
      <c r="J1702" s="19"/>
      <c r="L1702" s="16" t="str">
        <f>IFERROR(__xludf.DUMMYFUNCTION("""COMPUTED_VALUE"""),"")</f>
        <v/>
      </c>
      <c r="M1702" s="16" t="str">
        <f>IFERROR(__xludf.DUMMYFUNCTION("""COMPUTED_VALUE"""),"")</f>
        <v/>
      </c>
      <c r="U1702" s="16" t="s">
        <v>87</v>
      </c>
      <c r="V1702" s="16" t="str">
        <f>IFERROR(__xludf.DUMMYFUNCTION("""COMPUTED_VALUE"""),"")</f>
        <v/>
      </c>
      <c r="W1702" s="16" t="str">
        <f>IFERROR(__xludf.DUMMYFUNCTION("""COMPUTED_VALUE"""),"")</f>
        <v/>
      </c>
      <c r="X1702" s="16" t="str">
        <f>IFERROR(__xludf.DUMMYFUNCTION("""COMPUTED_VALUE"""),"")</f>
        <v/>
      </c>
      <c r="AC1702" s="16" t="str">
        <f>IFERROR(__xludf.DUMMYFUNCTION("""COMPUTED_VALUE"""),"")</f>
        <v/>
      </c>
    </row>
    <row r="1703">
      <c r="A1703" s="16" t="s">
        <v>87</v>
      </c>
      <c r="E1703" s="16" t="str">
        <f>IFERROR(__xludf.DUMMYFUNCTION("""COMPUTED_VALUE"""),"")</f>
        <v/>
      </c>
      <c r="G1703" s="18"/>
      <c r="H1703" s="16" t="s">
        <v>87</v>
      </c>
      <c r="I1703" s="16" t="s">
        <v>87</v>
      </c>
      <c r="J1703" s="19"/>
      <c r="L1703" s="16" t="str">
        <f>IFERROR(__xludf.DUMMYFUNCTION("""COMPUTED_VALUE"""),"")</f>
        <v/>
      </c>
      <c r="M1703" s="16" t="str">
        <f>IFERROR(__xludf.DUMMYFUNCTION("""COMPUTED_VALUE"""),"")</f>
        <v/>
      </c>
      <c r="U1703" s="16" t="s">
        <v>87</v>
      </c>
      <c r="V1703" s="16" t="str">
        <f>IFERROR(__xludf.DUMMYFUNCTION("""COMPUTED_VALUE"""),"")</f>
        <v/>
      </c>
      <c r="W1703" s="16" t="str">
        <f>IFERROR(__xludf.DUMMYFUNCTION("""COMPUTED_VALUE"""),"")</f>
        <v/>
      </c>
      <c r="X1703" s="16" t="str">
        <f>IFERROR(__xludf.DUMMYFUNCTION("""COMPUTED_VALUE"""),"")</f>
        <v/>
      </c>
      <c r="AC1703" s="16" t="str">
        <f>IFERROR(__xludf.DUMMYFUNCTION("""COMPUTED_VALUE"""),"")</f>
        <v/>
      </c>
    </row>
    <row r="1704">
      <c r="A1704" s="16" t="s">
        <v>87</v>
      </c>
      <c r="E1704" s="16" t="str">
        <f>IFERROR(__xludf.DUMMYFUNCTION("""COMPUTED_VALUE"""),"")</f>
        <v/>
      </c>
      <c r="G1704" s="18"/>
      <c r="H1704" s="16" t="s">
        <v>87</v>
      </c>
      <c r="I1704" s="16" t="s">
        <v>87</v>
      </c>
      <c r="J1704" s="19"/>
      <c r="L1704" s="16" t="str">
        <f>IFERROR(__xludf.DUMMYFUNCTION("""COMPUTED_VALUE"""),"")</f>
        <v/>
      </c>
      <c r="M1704" s="16" t="str">
        <f>IFERROR(__xludf.DUMMYFUNCTION("""COMPUTED_VALUE"""),"")</f>
        <v/>
      </c>
      <c r="U1704" s="16" t="s">
        <v>87</v>
      </c>
      <c r="V1704" s="16" t="str">
        <f>IFERROR(__xludf.DUMMYFUNCTION("""COMPUTED_VALUE"""),"")</f>
        <v/>
      </c>
      <c r="W1704" s="16" t="str">
        <f>IFERROR(__xludf.DUMMYFUNCTION("""COMPUTED_VALUE"""),"")</f>
        <v/>
      </c>
      <c r="X1704" s="16" t="str">
        <f>IFERROR(__xludf.DUMMYFUNCTION("""COMPUTED_VALUE"""),"")</f>
        <v/>
      </c>
      <c r="AC1704" s="16" t="str">
        <f>IFERROR(__xludf.DUMMYFUNCTION("""COMPUTED_VALUE"""),"")</f>
        <v/>
      </c>
    </row>
    <row r="1705">
      <c r="A1705" s="16" t="s">
        <v>87</v>
      </c>
      <c r="E1705" s="16" t="str">
        <f>IFERROR(__xludf.DUMMYFUNCTION("""COMPUTED_VALUE"""),"")</f>
        <v/>
      </c>
      <c r="G1705" s="18"/>
      <c r="H1705" s="16" t="s">
        <v>87</v>
      </c>
      <c r="I1705" s="16" t="s">
        <v>87</v>
      </c>
      <c r="J1705" s="19"/>
      <c r="L1705" s="16" t="str">
        <f>IFERROR(__xludf.DUMMYFUNCTION("""COMPUTED_VALUE"""),"")</f>
        <v/>
      </c>
      <c r="M1705" s="16" t="str">
        <f>IFERROR(__xludf.DUMMYFUNCTION("""COMPUTED_VALUE"""),"")</f>
        <v/>
      </c>
      <c r="U1705" s="16" t="s">
        <v>87</v>
      </c>
      <c r="V1705" s="16" t="str">
        <f>IFERROR(__xludf.DUMMYFUNCTION("""COMPUTED_VALUE"""),"")</f>
        <v/>
      </c>
      <c r="W1705" s="16" t="str">
        <f>IFERROR(__xludf.DUMMYFUNCTION("""COMPUTED_VALUE"""),"")</f>
        <v/>
      </c>
      <c r="X1705" s="16" t="str">
        <f>IFERROR(__xludf.DUMMYFUNCTION("""COMPUTED_VALUE"""),"")</f>
        <v/>
      </c>
      <c r="AC1705" s="16" t="str">
        <f>IFERROR(__xludf.DUMMYFUNCTION("""COMPUTED_VALUE"""),"")</f>
        <v/>
      </c>
    </row>
    <row r="1706">
      <c r="A1706" s="16" t="s">
        <v>87</v>
      </c>
      <c r="E1706" s="16" t="str">
        <f>IFERROR(__xludf.DUMMYFUNCTION("""COMPUTED_VALUE"""),"")</f>
        <v/>
      </c>
      <c r="G1706" s="18"/>
      <c r="H1706" s="16" t="s">
        <v>87</v>
      </c>
      <c r="I1706" s="16" t="s">
        <v>87</v>
      </c>
      <c r="J1706" s="19"/>
      <c r="L1706" s="16" t="str">
        <f>IFERROR(__xludf.DUMMYFUNCTION("""COMPUTED_VALUE"""),"")</f>
        <v/>
      </c>
      <c r="M1706" s="16" t="str">
        <f>IFERROR(__xludf.DUMMYFUNCTION("""COMPUTED_VALUE"""),"")</f>
        <v/>
      </c>
      <c r="U1706" s="16" t="s">
        <v>87</v>
      </c>
      <c r="V1706" s="16" t="str">
        <f>IFERROR(__xludf.DUMMYFUNCTION("""COMPUTED_VALUE"""),"")</f>
        <v/>
      </c>
      <c r="W1706" s="16" t="str">
        <f>IFERROR(__xludf.DUMMYFUNCTION("""COMPUTED_VALUE"""),"")</f>
        <v/>
      </c>
      <c r="X1706" s="16" t="str">
        <f>IFERROR(__xludf.DUMMYFUNCTION("""COMPUTED_VALUE"""),"")</f>
        <v/>
      </c>
      <c r="AC1706" s="16" t="str">
        <f>IFERROR(__xludf.DUMMYFUNCTION("""COMPUTED_VALUE"""),"")</f>
        <v/>
      </c>
    </row>
    <row r="1707">
      <c r="A1707" s="16" t="s">
        <v>87</v>
      </c>
      <c r="E1707" s="16" t="str">
        <f>IFERROR(__xludf.DUMMYFUNCTION("""COMPUTED_VALUE"""),"")</f>
        <v/>
      </c>
      <c r="G1707" s="18"/>
      <c r="H1707" s="16" t="s">
        <v>87</v>
      </c>
      <c r="I1707" s="16" t="s">
        <v>87</v>
      </c>
      <c r="J1707" s="19"/>
      <c r="L1707" s="16" t="str">
        <f>IFERROR(__xludf.DUMMYFUNCTION("""COMPUTED_VALUE"""),"")</f>
        <v/>
      </c>
      <c r="M1707" s="16" t="str">
        <f>IFERROR(__xludf.DUMMYFUNCTION("""COMPUTED_VALUE"""),"")</f>
        <v/>
      </c>
      <c r="U1707" s="16" t="s">
        <v>87</v>
      </c>
      <c r="V1707" s="16" t="str">
        <f>IFERROR(__xludf.DUMMYFUNCTION("""COMPUTED_VALUE"""),"")</f>
        <v/>
      </c>
      <c r="W1707" s="16" t="str">
        <f>IFERROR(__xludf.DUMMYFUNCTION("""COMPUTED_VALUE"""),"")</f>
        <v/>
      </c>
      <c r="X1707" s="16" t="str">
        <f>IFERROR(__xludf.DUMMYFUNCTION("""COMPUTED_VALUE"""),"")</f>
        <v/>
      </c>
      <c r="AC1707" s="16" t="str">
        <f>IFERROR(__xludf.DUMMYFUNCTION("""COMPUTED_VALUE"""),"")</f>
        <v/>
      </c>
    </row>
    <row r="1708">
      <c r="A1708" s="16" t="s">
        <v>87</v>
      </c>
      <c r="E1708" s="16" t="str">
        <f>IFERROR(__xludf.DUMMYFUNCTION("""COMPUTED_VALUE"""),"")</f>
        <v/>
      </c>
      <c r="G1708" s="18"/>
      <c r="H1708" s="16" t="s">
        <v>87</v>
      </c>
      <c r="I1708" s="16" t="s">
        <v>87</v>
      </c>
      <c r="J1708" s="19"/>
      <c r="L1708" s="16" t="str">
        <f>IFERROR(__xludf.DUMMYFUNCTION("""COMPUTED_VALUE"""),"")</f>
        <v/>
      </c>
      <c r="M1708" s="16" t="str">
        <f>IFERROR(__xludf.DUMMYFUNCTION("""COMPUTED_VALUE"""),"")</f>
        <v/>
      </c>
      <c r="U1708" s="16" t="s">
        <v>87</v>
      </c>
      <c r="V1708" s="16" t="str">
        <f>IFERROR(__xludf.DUMMYFUNCTION("""COMPUTED_VALUE"""),"")</f>
        <v/>
      </c>
      <c r="W1708" s="16" t="str">
        <f>IFERROR(__xludf.DUMMYFUNCTION("""COMPUTED_VALUE"""),"")</f>
        <v/>
      </c>
      <c r="X1708" s="16" t="str">
        <f>IFERROR(__xludf.DUMMYFUNCTION("""COMPUTED_VALUE"""),"")</f>
        <v/>
      </c>
      <c r="AC1708" s="16" t="str">
        <f>IFERROR(__xludf.DUMMYFUNCTION("""COMPUTED_VALUE"""),"")</f>
        <v/>
      </c>
    </row>
    <row r="1709">
      <c r="A1709" s="16" t="s">
        <v>87</v>
      </c>
      <c r="E1709" s="16" t="str">
        <f>IFERROR(__xludf.DUMMYFUNCTION("""COMPUTED_VALUE"""),"")</f>
        <v/>
      </c>
      <c r="G1709" s="18"/>
      <c r="H1709" s="16" t="s">
        <v>87</v>
      </c>
      <c r="I1709" s="16" t="s">
        <v>87</v>
      </c>
      <c r="J1709" s="19"/>
      <c r="L1709" s="16" t="str">
        <f>IFERROR(__xludf.DUMMYFUNCTION("""COMPUTED_VALUE"""),"")</f>
        <v/>
      </c>
      <c r="M1709" s="16" t="str">
        <f>IFERROR(__xludf.DUMMYFUNCTION("""COMPUTED_VALUE"""),"")</f>
        <v/>
      </c>
      <c r="U1709" s="16" t="s">
        <v>87</v>
      </c>
      <c r="V1709" s="16" t="str">
        <f>IFERROR(__xludf.DUMMYFUNCTION("""COMPUTED_VALUE"""),"")</f>
        <v/>
      </c>
      <c r="W1709" s="16" t="str">
        <f>IFERROR(__xludf.DUMMYFUNCTION("""COMPUTED_VALUE"""),"")</f>
        <v/>
      </c>
      <c r="X1709" s="16" t="str">
        <f>IFERROR(__xludf.DUMMYFUNCTION("""COMPUTED_VALUE"""),"")</f>
        <v/>
      </c>
      <c r="AC1709" s="16" t="str">
        <f>IFERROR(__xludf.DUMMYFUNCTION("""COMPUTED_VALUE"""),"")</f>
        <v/>
      </c>
    </row>
    <row r="1710">
      <c r="A1710" s="16" t="s">
        <v>87</v>
      </c>
      <c r="E1710" s="16" t="str">
        <f>IFERROR(__xludf.DUMMYFUNCTION("""COMPUTED_VALUE"""),"")</f>
        <v/>
      </c>
      <c r="G1710" s="18"/>
      <c r="H1710" s="16" t="s">
        <v>87</v>
      </c>
      <c r="I1710" s="16" t="s">
        <v>87</v>
      </c>
      <c r="J1710" s="19"/>
      <c r="L1710" s="16" t="str">
        <f>IFERROR(__xludf.DUMMYFUNCTION("""COMPUTED_VALUE"""),"")</f>
        <v/>
      </c>
      <c r="M1710" s="16" t="str">
        <f>IFERROR(__xludf.DUMMYFUNCTION("""COMPUTED_VALUE"""),"")</f>
        <v/>
      </c>
      <c r="U1710" s="16" t="s">
        <v>87</v>
      </c>
      <c r="V1710" s="16" t="str">
        <f>IFERROR(__xludf.DUMMYFUNCTION("""COMPUTED_VALUE"""),"")</f>
        <v/>
      </c>
      <c r="W1710" s="16" t="str">
        <f>IFERROR(__xludf.DUMMYFUNCTION("""COMPUTED_VALUE"""),"")</f>
        <v/>
      </c>
      <c r="X1710" s="16" t="str">
        <f>IFERROR(__xludf.DUMMYFUNCTION("""COMPUTED_VALUE"""),"")</f>
        <v/>
      </c>
      <c r="AC1710" s="16" t="str">
        <f>IFERROR(__xludf.DUMMYFUNCTION("""COMPUTED_VALUE"""),"")</f>
        <v/>
      </c>
    </row>
    <row r="1711">
      <c r="A1711" s="16" t="s">
        <v>87</v>
      </c>
      <c r="E1711" s="16" t="str">
        <f>IFERROR(__xludf.DUMMYFUNCTION("""COMPUTED_VALUE"""),"")</f>
        <v/>
      </c>
      <c r="G1711" s="18"/>
      <c r="H1711" s="16" t="s">
        <v>87</v>
      </c>
      <c r="I1711" s="16" t="s">
        <v>87</v>
      </c>
      <c r="J1711" s="19"/>
      <c r="L1711" s="16" t="str">
        <f>IFERROR(__xludf.DUMMYFUNCTION("""COMPUTED_VALUE"""),"")</f>
        <v/>
      </c>
      <c r="M1711" s="16" t="str">
        <f>IFERROR(__xludf.DUMMYFUNCTION("""COMPUTED_VALUE"""),"")</f>
        <v/>
      </c>
      <c r="U1711" s="16" t="s">
        <v>87</v>
      </c>
      <c r="V1711" s="16" t="str">
        <f>IFERROR(__xludf.DUMMYFUNCTION("""COMPUTED_VALUE"""),"")</f>
        <v/>
      </c>
      <c r="W1711" s="16" t="str">
        <f>IFERROR(__xludf.DUMMYFUNCTION("""COMPUTED_VALUE"""),"")</f>
        <v/>
      </c>
      <c r="X1711" s="16" t="str">
        <f>IFERROR(__xludf.DUMMYFUNCTION("""COMPUTED_VALUE"""),"")</f>
        <v/>
      </c>
      <c r="AC1711" s="16" t="str">
        <f>IFERROR(__xludf.DUMMYFUNCTION("""COMPUTED_VALUE"""),"")</f>
        <v/>
      </c>
    </row>
    <row r="1712">
      <c r="A1712" s="16" t="s">
        <v>87</v>
      </c>
      <c r="E1712" s="16" t="str">
        <f>IFERROR(__xludf.DUMMYFUNCTION("""COMPUTED_VALUE"""),"")</f>
        <v/>
      </c>
      <c r="G1712" s="18"/>
      <c r="H1712" s="16" t="s">
        <v>87</v>
      </c>
      <c r="I1712" s="16" t="s">
        <v>87</v>
      </c>
      <c r="J1712" s="19"/>
      <c r="L1712" s="16" t="str">
        <f>IFERROR(__xludf.DUMMYFUNCTION("""COMPUTED_VALUE"""),"")</f>
        <v/>
      </c>
      <c r="M1712" s="16" t="str">
        <f>IFERROR(__xludf.DUMMYFUNCTION("""COMPUTED_VALUE"""),"")</f>
        <v/>
      </c>
      <c r="U1712" s="16" t="s">
        <v>87</v>
      </c>
      <c r="V1712" s="16" t="str">
        <f>IFERROR(__xludf.DUMMYFUNCTION("""COMPUTED_VALUE"""),"")</f>
        <v/>
      </c>
      <c r="W1712" s="16" t="str">
        <f>IFERROR(__xludf.DUMMYFUNCTION("""COMPUTED_VALUE"""),"")</f>
        <v/>
      </c>
      <c r="X1712" s="16" t="str">
        <f>IFERROR(__xludf.DUMMYFUNCTION("""COMPUTED_VALUE"""),"")</f>
        <v/>
      </c>
      <c r="AC1712" s="16" t="str">
        <f>IFERROR(__xludf.DUMMYFUNCTION("""COMPUTED_VALUE"""),"")</f>
        <v/>
      </c>
    </row>
    <row r="1713">
      <c r="A1713" s="16" t="s">
        <v>87</v>
      </c>
      <c r="E1713" s="16" t="str">
        <f>IFERROR(__xludf.DUMMYFUNCTION("""COMPUTED_VALUE"""),"")</f>
        <v/>
      </c>
      <c r="G1713" s="18"/>
      <c r="H1713" s="16" t="s">
        <v>87</v>
      </c>
      <c r="I1713" s="16" t="s">
        <v>87</v>
      </c>
      <c r="J1713" s="19"/>
      <c r="L1713" s="16" t="str">
        <f>IFERROR(__xludf.DUMMYFUNCTION("""COMPUTED_VALUE"""),"")</f>
        <v/>
      </c>
      <c r="M1713" s="16" t="str">
        <f>IFERROR(__xludf.DUMMYFUNCTION("""COMPUTED_VALUE"""),"")</f>
        <v/>
      </c>
      <c r="U1713" s="16" t="s">
        <v>87</v>
      </c>
      <c r="V1713" s="16" t="str">
        <f>IFERROR(__xludf.DUMMYFUNCTION("""COMPUTED_VALUE"""),"")</f>
        <v/>
      </c>
      <c r="W1713" s="16" t="str">
        <f>IFERROR(__xludf.DUMMYFUNCTION("""COMPUTED_VALUE"""),"")</f>
        <v/>
      </c>
      <c r="X1713" s="16" t="str">
        <f>IFERROR(__xludf.DUMMYFUNCTION("""COMPUTED_VALUE"""),"")</f>
        <v/>
      </c>
      <c r="AC1713" s="16" t="str">
        <f>IFERROR(__xludf.DUMMYFUNCTION("""COMPUTED_VALUE"""),"")</f>
        <v/>
      </c>
    </row>
    <row r="1714">
      <c r="A1714" s="16" t="s">
        <v>87</v>
      </c>
      <c r="E1714" s="16" t="str">
        <f>IFERROR(__xludf.DUMMYFUNCTION("""COMPUTED_VALUE"""),"")</f>
        <v/>
      </c>
      <c r="G1714" s="18"/>
      <c r="H1714" s="16" t="s">
        <v>87</v>
      </c>
      <c r="I1714" s="16" t="s">
        <v>87</v>
      </c>
      <c r="J1714" s="19"/>
      <c r="L1714" s="16" t="str">
        <f>IFERROR(__xludf.DUMMYFUNCTION("""COMPUTED_VALUE"""),"")</f>
        <v/>
      </c>
      <c r="M1714" s="16" t="str">
        <f>IFERROR(__xludf.DUMMYFUNCTION("""COMPUTED_VALUE"""),"")</f>
        <v/>
      </c>
      <c r="U1714" s="16" t="s">
        <v>87</v>
      </c>
      <c r="V1714" s="16" t="str">
        <f>IFERROR(__xludf.DUMMYFUNCTION("""COMPUTED_VALUE"""),"")</f>
        <v/>
      </c>
      <c r="W1714" s="16" t="str">
        <f>IFERROR(__xludf.DUMMYFUNCTION("""COMPUTED_VALUE"""),"")</f>
        <v/>
      </c>
      <c r="X1714" s="16" t="str">
        <f>IFERROR(__xludf.DUMMYFUNCTION("""COMPUTED_VALUE"""),"")</f>
        <v/>
      </c>
      <c r="AC1714" s="16" t="str">
        <f>IFERROR(__xludf.DUMMYFUNCTION("""COMPUTED_VALUE"""),"")</f>
        <v/>
      </c>
    </row>
    <row r="1715">
      <c r="A1715" s="16" t="s">
        <v>87</v>
      </c>
      <c r="E1715" s="16" t="str">
        <f>IFERROR(__xludf.DUMMYFUNCTION("""COMPUTED_VALUE"""),"")</f>
        <v/>
      </c>
      <c r="G1715" s="18"/>
      <c r="H1715" s="16" t="s">
        <v>87</v>
      </c>
      <c r="I1715" s="16" t="s">
        <v>87</v>
      </c>
      <c r="J1715" s="19"/>
      <c r="L1715" s="16" t="str">
        <f>IFERROR(__xludf.DUMMYFUNCTION("""COMPUTED_VALUE"""),"")</f>
        <v/>
      </c>
      <c r="M1715" s="16" t="str">
        <f>IFERROR(__xludf.DUMMYFUNCTION("""COMPUTED_VALUE"""),"")</f>
        <v/>
      </c>
      <c r="U1715" s="16" t="s">
        <v>87</v>
      </c>
      <c r="V1715" s="16" t="str">
        <f>IFERROR(__xludf.DUMMYFUNCTION("""COMPUTED_VALUE"""),"")</f>
        <v/>
      </c>
      <c r="W1715" s="16" t="str">
        <f>IFERROR(__xludf.DUMMYFUNCTION("""COMPUTED_VALUE"""),"")</f>
        <v/>
      </c>
      <c r="X1715" s="16" t="str">
        <f>IFERROR(__xludf.DUMMYFUNCTION("""COMPUTED_VALUE"""),"")</f>
        <v/>
      </c>
      <c r="AC1715" s="16" t="str">
        <f>IFERROR(__xludf.DUMMYFUNCTION("""COMPUTED_VALUE"""),"")</f>
        <v/>
      </c>
    </row>
    <row r="1716">
      <c r="A1716" s="16" t="s">
        <v>87</v>
      </c>
      <c r="E1716" s="16" t="str">
        <f>IFERROR(__xludf.DUMMYFUNCTION("""COMPUTED_VALUE"""),"")</f>
        <v/>
      </c>
      <c r="G1716" s="18"/>
      <c r="H1716" s="16" t="s">
        <v>87</v>
      </c>
      <c r="I1716" s="16" t="s">
        <v>87</v>
      </c>
      <c r="J1716" s="19"/>
      <c r="L1716" s="16" t="str">
        <f>IFERROR(__xludf.DUMMYFUNCTION("""COMPUTED_VALUE"""),"")</f>
        <v/>
      </c>
      <c r="M1716" s="16" t="str">
        <f>IFERROR(__xludf.DUMMYFUNCTION("""COMPUTED_VALUE"""),"")</f>
        <v/>
      </c>
      <c r="U1716" s="16" t="s">
        <v>87</v>
      </c>
      <c r="V1716" s="16" t="str">
        <f>IFERROR(__xludf.DUMMYFUNCTION("""COMPUTED_VALUE"""),"")</f>
        <v/>
      </c>
      <c r="W1716" s="16" t="str">
        <f>IFERROR(__xludf.DUMMYFUNCTION("""COMPUTED_VALUE"""),"")</f>
        <v/>
      </c>
      <c r="X1716" s="16" t="str">
        <f>IFERROR(__xludf.DUMMYFUNCTION("""COMPUTED_VALUE"""),"")</f>
        <v/>
      </c>
      <c r="AC1716" s="16" t="str">
        <f>IFERROR(__xludf.DUMMYFUNCTION("""COMPUTED_VALUE"""),"")</f>
        <v/>
      </c>
    </row>
    <row r="1717">
      <c r="A1717" s="16" t="s">
        <v>87</v>
      </c>
      <c r="E1717" s="16" t="str">
        <f>IFERROR(__xludf.DUMMYFUNCTION("""COMPUTED_VALUE"""),"")</f>
        <v/>
      </c>
      <c r="G1717" s="18"/>
      <c r="H1717" s="16" t="s">
        <v>87</v>
      </c>
      <c r="I1717" s="16" t="s">
        <v>87</v>
      </c>
      <c r="J1717" s="19"/>
      <c r="L1717" s="16" t="str">
        <f>IFERROR(__xludf.DUMMYFUNCTION("""COMPUTED_VALUE"""),"")</f>
        <v/>
      </c>
      <c r="M1717" s="16" t="str">
        <f>IFERROR(__xludf.DUMMYFUNCTION("""COMPUTED_VALUE"""),"")</f>
        <v/>
      </c>
      <c r="U1717" s="16" t="s">
        <v>87</v>
      </c>
      <c r="V1717" s="16" t="str">
        <f>IFERROR(__xludf.DUMMYFUNCTION("""COMPUTED_VALUE"""),"")</f>
        <v/>
      </c>
      <c r="W1717" s="16" t="str">
        <f>IFERROR(__xludf.DUMMYFUNCTION("""COMPUTED_VALUE"""),"")</f>
        <v/>
      </c>
      <c r="X1717" s="16" t="str">
        <f>IFERROR(__xludf.DUMMYFUNCTION("""COMPUTED_VALUE"""),"")</f>
        <v/>
      </c>
      <c r="AC1717" s="16" t="str">
        <f>IFERROR(__xludf.DUMMYFUNCTION("""COMPUTED_VALUE"""),"")</f>
        <v/>
      </c>
    </row>
    <row r="1718">
      <c r="A1718" s="16" t="s">
        <v>87</v>
      </c>
      <c r="E1718" s="16" t="str">
        <f>IFERROR(__xludf.DUMMYFUNCTION("""COMPUTED_VALUE"""),"")</f>
        <v/>
      </c>
      <c r="G1718" s="18"/>
      <c r="H1718" s="16" t="s">
        <v>87</v>
      </c>
      <c r="I1718" s="16" t="s">
        <v>87</v>
      </c>
      <c r="J1718" s="19"/>
      <c r="L1718" s="16" t="str">
        <f>IFERROR(__xludf.DUMMYFUNCTION("""COMPUTED_VALUE"""),"")</f>
        <v/>
      </c>
      <c r="M1718" s="16" t="str">
        <f>IFERROR(__xludf.DUMMYFUNCTION("""COMPUTED_VALUE"""),"")</f>
        <v/>
      </c>
      <c r="U1718" s="16" t="s">
        <v>87</v>
      </c>
      <c r="V1718" s="16" t="str">
        <f>IFERROR(__xludf.DUMMYFUNCTION("""COMPUTED_VALUE"""),"")</f>
        <v/>
      </c>
      <c r="W1718" s="16" t="str">
        <f>IFERROR(__xludf.DUMMYFUNCTION("""COMPUTED_VALUE"""),"")</f>
        <v/>
      </c>
      <c r="X1718" s="16" t="str">
        <f>IFERROR(__xludf.DUMMYFUNCTION("""COMPUTED_VALUE"""),"")</f>
        <v/>
      </c>
      <c r="AC1718" s="16" t="str">
        <f>IFERROR(__xludf.DUMMYFUNCTION("""COMPUTED_VALUE"""),"")</f>
        <v/>
      </c>
    </row>
    <row r="1719">
      <c r="A1719" s="16" t="s">
        <v>87</v>
      </c>
      <c r="E1719" s="16" t="str">
        <f>IFERROR(__xludf.DUMMYFUNCTION("""COMPUTED_VALUE"""),"")</f>
        <v/>
      </c>
      <c r="G1719" s="18"/>
      <c r="H1719" s="16" t="s">
        <v>87</v>
      </c>
      <c r="I1719" s="16" t="s">
        <v>87</v>
      </c>
      <c r="J1719" s="19"/>
      <c r="L1719" s="16" t="str">
        <f>IFERROR(__xludf.DUMMYFUNCTION("""COMPUTED_VALUE"""),"")</f>
        <v/>
      </c>
      <c r="M1719" s="16" t="str">
        <f>IFERROR(__xludf.DUMMYFUNCTION("""COMPUTED_VALUE"""),"")</f>
        <v/>
      </c>
      <c r="U1719" s="16" t="s">
        <v>87</v>
      </c>
      <c r="V1719" s="16" t="str">
        <f>IFERROR(__xludf.DUMMYFUNCTION("""COMPUTED_VALUE"""),"")</f>
        <v/>
      </c>
      <c r="W1719" s="16" t="str">
        <f>IFERROR(__xludf.DUMMYFUNCTION("""COMPUTED_VALUE"""),"")</f>
        <v/>
      </c>
      <c r="X1719" s="16" t="str">
        <f>IFERROR(__xludf.DUMMYFUNCTION("""COMPUTED_VALUE"""),"")</f>
        <v/>
      </c>
      <c r="AC1719" s="16" t="str">
        <f>IFERROR(__xludf.DUMMYFUNCTION("""COMPUTED_VALUE"""),"")</f>
        <v/>
      </c>
    </row>
    <row r="1720">
      <c r="A1720" s="16" t="s">
        <v>87</v>
      </c>
      <c r="E1720" s="16" t="str">
        <f>IFERROR(__xludf.DUMMYFUNCTION("""COMPUTED_VALUE"""),"")</f>
        <v/>
      </c>
      <c r="G1720" s="18"/>
      <c r="H1720" s="16" t="s">
        <v>87</v>
      </c>
      <c r="I1720" s="16" t="s">
        <v>87</v>
      </c>
      <c r="J1720" s="19"/>
      <c r="L1720" s="16" t="str">
        <f>IFERROR(__xludf.DUMMYFUNCTION("""COMPUTED_VALUE"""),"")</f>
        <v/>
      </c>
      <c r="M1720" s="16" t="str">
        <f>IFERROR(__xludf.DUMMYFUNCTION("""COMPUTED_VALUE"""),"")</f>
        <v/>
      </c>
      <c r="U1720" s="16" t="s">
        <v>87</v>
      </c>
      <c r="V1720" s="16" t="str">
        <f>IFERROR(__xludf.DUMMYFUNCTION("""COMPUTED_VALUE"""),"")</f>
        <v/>
      </c>
      <c r="W1720" s="16" t="str">
        <f>IFERROR(__xludf.DUMMYFUNCTION("""COMPUTED_VALUE"""),"")</f>
        <v/>
      </c>
      <c r="X1720" s="16" t="str">
        <f>IFERROR(__xludf.DUMMYFUNCTION("""COMPUTED_VALUE"""),"")</f>
        <v/>
      </c>
      <c r="AC1720" s="16" t="str">
        <f>IFERROR(__xludf.DUMMYFUNCTION("""COMPUTED_VALUE"""),"")</f>
        <v/>
      </c>
    </row>
    <row r="1721">
      <c r="A1721" s="16" t="s">
        <v>87</v>
      </c>
      <c r="E1721" s="16" t="str">
        <f>IFERROR(__xludf.DUMMYFUNCTION("""COMPUTED_VALUE"""),"")</f>
        <v/>
      </c>
      <c r="G1721" s="18"/>
      <c r="H1721" s="16" t="s">
        <v>87</v>
      </c>
      <c r="I1721" s="16" t="s">
        <v>87</v>
      </c>
      <c r="J1721" s="19"/>
      <c r="L1721" s="16" t="str">
        <f>IFERROR(__xludf.DUMMYFUNCTION("""COMPUTED_VALUE"""),"")</f>
        <v/>
      </c>
      <c r="M1721" s="16" t="str">
        <f>IFERROR(__xludf.DUMMYFUNCTION("""COMPUTED_VALUE"""),"")</f>
        <v/>
      </c>
      <c r="U1721" s="16" t="s">
        <v>87</v>
      </c>
      <c r="V1721" s="16" t="str">
        <f>IFERROR(__xludf.DUMMYFUNCTION("""COMPUTED_VALUE"""),"")</f>
        <v/>
      </c>
      <c r="W1721" s="16" t="str">
        <f>IFERROR(__xludf.DUMMYFUNCTION("""COMPUTED_VALUE"""),"")</f>
        <v/>
      </c>
      <c r="X1721" s="16" t="str">
        <f>IFERROR(__xludf.DUMMYFUNCTION("""COMPUTED_VALUE"""),"")</f>
        <v/>
      </c>
      <c r="AC1721" s="16" t="str">
        <f>IFERROR(__xludf.DUMMYFUNCTION("""COMPUTED_VALUE"""),"")</f>
        <v/>
      </c>
    </row>
    <row r="1722">
      <c r="A1722" s="16" t="s">
        <v>87</v>
      </c>
      <c r="E1722" s="16" t="str">
        <f>IFERROR(__xludf.DUMMYFUNCTION("""COMPUTED_VALUE"""),"")</f>
        <v/>
      </c>
      <c r="G1722" s="18"/>
      <c r="H1722" s="16" t="s">
        <v>87</v>
      </c>
      <c r="I1722" s="16" t="s">
        <v>87</v>
      </c>
      <c r="J1722" s="19"/>
      <c r="L1722" s="16" t="str">
        <f>IFERROR(__xludf.DUMMYFUNCTION("""COMPUTED_VALUE"""),"")</f>
        <v/>
      </c>
      <c r="M1722" s="16" t="str">
        <f>IFERROR(__xludf.DUMMYFUNCTION("""COMPUTED_VALUE"""),"")</f>
        <v/>
      </c>
      <c r="U1722" s="16" t="s">
        <v>87</v>
      </c>
      <c r="V1722" s="16" t="str">
        <f>IFERROR(__xludf.DUMMYFUNCTION("""COMPUTED_VALUE"""),"")</f>
        <v/>
      </c>
      <c r="W1722" s="16" t="str">
        <f>IFERROR(__xludf.DUMMYFUNCTION("""COMPUTED_VALUE"""),"")</f>
        <v/>
      </c>
      <c r="X1722" s="16" t="str">
        <f>IFERROR(__xludf.DUMMYFUNCTION("""COMPUTED_VALUE"""),"")</f>
        <v/>
      </c>
      <c r="AC1722" s="16" t="str">
        <f>IFERROR(__xludf.DUMMYFUNCTION("""COMPUTED_VALUE"""),"")</f>
        <v/>
      </c>
    </row>
    <row r="1723">
      <c r="A1723" s="16" t="s">
        <v>87</v>
      </c>
      <c r="E1723" s="16" t="str">
        <f>IFERROR(__xludf.DUMMYFUNCTION("""COMPUTED_VALUE"""),"")</f>
        <v/>
      </c>
      <c r="G1723" s="18"/>
      <c r="H1723" s="16" t="s">
        <v>87</v>
      </c>
      <c r="I1723" s="16" t="s">
        <v>87</v>
      </c>
      <c r="J1723" s="19"/>
      <c r="L1723" s="16" t="str">
        <f>IFERROR(__xludf.DUMMYFUNCTION("""COMPUTED_VALUE"""),"")</f>
        <v/>
      </c>
      <c r="M1723" s="16" t="str">
        <f>IFERROR(__xludf.DUMMYFUNCTION("""COMPUTED_VALUE"""),"")</f>
        <v/>
      </c>
      <c r="U1723" s="16" t="s">
        <v>87</v>
      </c>
      <c r="V1723" s="16" t="str">
        <f>IFERROR(__xludf.DUMMYFUNCTION("""COMPUTED_VALUE"""),"")</f>
        <v/>
      </c>
      <c r="W1723" s="16" t="str">
        <f>IFERROR(__xludf.DUMMYFUNCTION("""COMPUTED_VALUE"""),"")</f>
        <v/>
      </c>
      <c r="X1723" s="16" t="str">
        <f>IFERROR(__xludf.DUMMYFUNCTION("""COMPUTED_VALUE"""),"")</f>
        <v/>
      </c>
      <c r="AC1723" s="16" t="str">
        <f>IFERROR(__xludf.DUMMYFUNCTION("""COMPUTED_VALUE"""),"")</f>
        <v/>
      </c>
    </row>
    <row r="1724">
      <c r="A1724" s="16" t="s">
        <v>87</v>
      </c>
      <c r="E1724" s="16" t="str">
        <f>IFERROR(__xludf.DUMMYFUNCTION("""COMPUTED_VALUE"""),"")</f>
        <v/>
      </c>
      <c r="G1724" s="18"/>
      <c r="H1724" s="16" t="s">
        <v>87</v>
      </c>
      <c r="I1724" s="16" t="s">
        <v>87</v>
      </c>
      <c r="J1724" s="19"/>
      <c r="L1724" s="16" t="str">
        <f>IFERROR(__xludf.DUMMYFUNCTION("""COMPUTED_VALUE"""),"")</f>
        <v/>
      </c>
      <c r="M1724" s="16" t="str">
        <f>IFERROR(__xludf.DUMMYFUNCTION("""COMPUTED_VALUE"""),"")</f>
        <v/>
      </c>
      <c r="U1724" s="16" t="s">
        <v>87</v>
      </c>
      <c r="V1724" s="16" t="str">
        <f>IFERROR(__xludf.DUMMYFUNCTION("""COMPUTED_VALUE"""),"")</f>
        <v/>
      </c>
      <c r="W1724" s="16" t="str">
        <f>IFERROR(__xludf.DUMMYFUNCTION("""COMPUTED_VALUE"""),"")</f>
        <v/>
      </c>
      <c r="X1724" s="16" t="str">
        <f>IFERROR(__xludf.DUMMYFUNCTION("""COMPUTED_VALUE"""),"")</f>
        <v/>
      </c>
      <c r="AC1724" s="16" t="str">
        <f>IFERROR(__xludf.DUMMYFUNCTION("""COMPUTED_VALUE"""),"")</f>
        <v/>
      </c>
    </row>
    <row r="1725">
      <c r="A1725" s="16" t="s">
        <v>87</v>
      </c>
      <c r="E1725" s="16" t="str">
        <f>IFERROR(__xludf.DUMMYFUNCTION("""COMPUTED_VALUE"""),"")</f>
        <v/>
      </c>
      <c r="G1725" s="18"/>
      <c r="H1725" s="16" t="s">
        <v>87</v>
      </c>
      <c r="I1725" s="16" t="s">
        <v>87</v>
      </c>
      <c r="J1725" s="19"/>
      <c r="L1725" s="16" t="str">
        <f>IFERROR(__xludf.DUMMYFUNCTION("""COMPUTED_VALUE"""),"")</f>
        <v/>
      </c>
      <c r="M1725" s="16" t="str">
        <f>IFERROR(__xludf.DUMMYFUNCTION("""COMPUTED_VALUE"""),"")</f>
        <v/>
      </c>
      <c r="U1725" s="16" t="s">
        <v>87</v>
      </c>
      <c r="V1725" s="16" t="str">
        <f>IFERROR(__xludf.DUMMYFUNCTION("""COMPUTED_VALUE"""),"")</f>
        <v/>
      </c>
      <c r="W1725" s="16" t="str">
        <f>IFERROR(__xludf.DUMMYFUNCTION("""COMPUTED_VALUE"""),"")</f>
        <v/>
      </c>
      <c r="X1725" s="16" t="str">
        <f>IFERROR(__xludf.DUMMYFUNCTION("""COMPUTED_VALUE"""),"")</f>
        <v/>
      </c>
      <c r="AC1725" s="16" t="str">
        <f>IFERROR(__xludf.DUMMYFUNCTION("""COMPUTED_VALUE"""),"")</f>
        <v/>
      </c>
    </row>
    <row r="1726">
      <c r="A1726" s="16" t="s">
        <v>87</v>
      </c>
      <c r="E1726" s="16" t="str">
        <f>IFERROR(__xludf.DUMMYFUNCTION("""COMPUTED_VALUE"""),"")</f>
        <v/>
      </c>
      <c r="G1726" s="18"/>
      <c r="H1726" s="16" t="s">
        <v>87</v>
      </c>
      <c r="I1726" s="16" t="s">
        <v>87</v>
      </c>
      <c r="J1726" s="19"/>
      <c r="L1726" s="16" t="str">
        <f>IFERROR(__xludf.DUMMYFUNCTION("""COMPUTED_VALUE"""),"")</f>
        <v/>
      </c>
      <c r="M1726" s="16" t="str">
        <f>IFERROR(__xludf.DUMMYFUNCTION("""COMPUTED_VALUE"""),"")</f>
        <v/>
      </c>
      <c r="U1726" s="16" t="s">
        <v>87</v>
      </c>
      <c r="V1726" s="16" t="str">
        <f>IFERROR(__xludf.DUMMYFUNCTION("""COMPUTED_VALUE"""),"")</f>
        <v/>
      </c>
      <c r="W1726" s="16" t="str">
        <f>IFERROR(__xludf.DUMMYFUNCTION("""COMPUTED_VALUE"""),"")</f>
        <v/>
      </c>
      <c r="X1726" s="16" t="str">
        <f>IFERROR(__xludf.DUMMYFUNCTION("""COMPUTED_VALUE"""),"")</f>
        <v/>
      </c>
      <c r="AC1726" s="16" t="str">
        <f>IFERROR(__xludf.DUMMYFUNCTION("""COMPUTED_VALUE"""),"")</f>
        <v/>
      </c>
    </row>
    <row r="1727">
      <c r="A1727" s="16" t="s">
        <v>87</v>
      </c>
      <c r="E1727" s="16" t="str">
        <f>IFERROR(__xludf.DUMMYFUNCTION("""COMPUTED_VALUE"""),"")</f>
        <v/>
      </c>
      <c r="G1727" s="18"/>
      <c r="H1727" s="16" t="s">
        <v>87</v>
      </c>
      <c r="I1727" s="16" t="s">
        <v>87</v>
      </c>
      <c r="J1727" s="19"/>
      <c r="L1727" s="16" t="str">
        <f>IFERROR(__xludf.DUMMYFUNCTION("""COMPUTED_VALUE"""),"")</f>
        <v/>
      </c>
      <c r="M1727" s="16" t="str">
        <f>IFERROR(__xludf.DUMMYFUNCTION("""COMPUTED_VALUE"""),"")</f>
        <v/>
      </c>
      <c r="U1727" s="16" t="s">
        <v>87</v>
      </c>
      <c r="V1727" s="16" t="str">
        <f>IFERROR(__xludf.DUMMYFUNCTION("""COMPUTED_VALUE"""),"")</f>
        <v/>
      </c>
      <c r="W1727" s="16" t="str">
        <f>IFERROR(__xludf.DUMMYFUNCTION("""COMPUTED_VALUE"""),"")</f>
        <v/>
      </c>
      <c r="X1727" s="16" t="str">
        <f>IFERROR(__xludf.DUMMYFUNCTION("""COMPUTED_VALUE"""),"")</f>
        <v/>
      </c>
      <c r="AC1727" s="16" t="str">
        <f>IFERROR(__xludf.DUMMYFUNCTION("""COMPUTED_VALUE"""),"")</f>
        <v/>
      </c>
    </row>
    <row r="1728">
      <c r="A1728" s="16" t="s">
        <v>87</v>
      </c>
      <c r="E1728" s="16" t="str">
        <f>IFERROR(__xludf.DUMMYFUNCTION("""COMPUTED_VALUE"""),"")</f>
        <v/>
      </c>
      <c r="G1728" s="18"/>
      <c r="H1728" s="16" t="s">
        <v>87</v>
      </c>
      <c r="I1728" s="16" t="s">
        <v>87</v>
      </c>
      <c r="J1728" s="19"/>
      <c r="L1728" s="16" t="str">
        <f>IFERROR(__xludf.DUMMYFUNCTION("""COMPUTED_VALUE"""),"")</f>
        <v/>
      </c>
      <c r="M1728" s="16" t="str">
        <f>IFERROR(__xludf.DUMMYFUNCTION("""COMPUTED_VALUE"""),"")</f>
        <v/>
      </c>
      <c r="U1728" s="16" t="s">
        <v>87</v>
      </c>
      <c r="V1728" s="16" t="str">
        <f>IFERROR(__xludf.DUMMYFUNCTION("""COMPUTED_VALUE"""),"")</f>
        <v/>
      </c>
      <c r="W1728" s="16" t="str">
        <f>IFERROR(__xludf.DUMMYFUNCTION("""COMPUTED_VALUE"""),"")</f>
        <v/>
      </c>
      <c r="X1728" s="16" t="str">
        <f>IFERROR(__xludf.DUMMYFUNCTION("""COMPUTED_VALUE"""),"")</f>
        <v/>
      </c>
      <c r="AC1728" s="16" t="str">
        <f>IFERROR(__xludf.DUMMYFUNCTION("""COMPUTED_VALUE"""),"")</f>
        <v/>
      </c>
    </row>
    <row r="1729">
      <c r="A1729" s="16" t="s">
        <v>87</v>
      </c>
      <c r="E1729" s="16" t="str">
        <f>IFERROR(__xludf.DUMMYFUNCTION("""COMPUTED_VALUE"""),"")</f>
        <v/>
      </c>
      <c r="G1729" s="18"/>
      <c r="H1729" s="16" t="s">
        <v>87</v>
      </c>
      <c r="I1729" s="16" t="s">
        <v>87</v>
      </c>
      <c r="J1729" s="19"/>
      <c r="L1729" s="16" t="str">
        <f>IFERROR(__xludf.DUMMYFUNCTION("""COMPUTED_VALUE"""),"")</f>
        <v/>
      </c>
      <c r="M1729" s="16" t="str">
        <f>IFERROR(__xludf.DUMMYFUNCTION("""COMPUTED_VALUE"""),"")</f>
        <v/>
      </c>
      <c r="U1729" s="16" t="s">
        <v>87</v>
      </c>
      <c r="V1729" s="16" t="str">
        <f>IFERROR(__xludf.DUMMYFUNCTION("""COMPUTED_VALUE"""),"")</f>
        <v/>
      </c>
      <c r="W1729" s="16" t="str">
        <f>IFERROR(__xludf.DUMMYFUNCTION("""COMPUTED_VALUE"""),"")</f>
        <v/>
      </c>
      <c r="X1729" s="16" t="str">
        <f>IFERROR(__xludf.DUMMYFUNCTION("""COMPUTED_VALUE"""),"")</f>
        <v/>
      </c>
      <c r="AC1729" s="16" t="str">
        <f>IFERROR(__xludf.DUMMYFUNCTION("""COMPUTED_VALUE"""),"")</f>
        <v/>
      </c>
    </row>
    <row r="1730">
      <c r="A1730" s="16" t="s">
        <v>87</v>
      </c>
      <c r="E1730" s="16" t="str">
        <f>IFERROR(__xludf.DUMMYFUNCTION("""COMPUTED_VALUE"""),"")</f>
        <v/>
      </c>
      <c r="G1730" s="18"/>
      <c r="H1730" s="16" t="s">
        <v>87</v>
      </c>
      <c r="I1730" s="16" t="s">
        <v>87</v>
      </c>
      <c r="J1730" s="19"/>
      <c r="L1730" s="16" t="str">
        <f>IFERROR(__xludf.DUMMYFUNCTION("""COMPUTED_VALUE"""),"")</f>
        <v/>
      </c>
      <c r="M1730" s="16" t="str">
        <f>IFERROR(__xludf.DUMMYFUNCTION("""COMPUTED_VALUE"""),"")</f>
        <v/>
      </c>
      <c r="U1730" s="16" t="s">
        <v>87</v>
      </c>
      <c r="V1730" s="16" t="str">
        <f>IFERROR(__xludf.DUMMYFUNCTION("""COMPUTED_VALUE"""),"")</f>
        <v/>
      </c>
      <c r="W1730" s="16" t="str">
        <f>IFERROR(__xludf.DUMMYFUNCTION("""COMPUTED_VALUE"""),"")</f>
        <v/>
      </c>
      <c r="X1730" s="16" t="str">
        <f>IFERROR(__xludf.DUMMYFUNCTION("""COMPUTED_VALUE"""),"")</f>
        <v/>
      </c>
      <c r="AC1730" s="16" t="str">
        <f>IFERROR(__xludf.DUMMYFUNCTION("""COMPUTED_VALUE"""),"")</f>
        <v/>
      </c>
    </row>
    <row r="1731">
      <c r="A1731" s="16" t="s">
        <v>87</v>
      </c>
      <c r="E1731" s="16" t="str">
        <f>IFERROR(__xludf.DUMMYFUNCTION("""COMPUTED_VALUE"""),"")</f>
        <v/>
      </c>
      <c r="G1731" s="18"/>
      <c r="H1731" s="16" t="s">
        <v>87</v>
      </c>
      <c r="I1731" s="16" t="s">
        <v>87</v>
      </c>
      <c r="J1731" s="19"/>
      <c r="L1731" s="16" t="str">
        <f>IFERROR(__xludf.DUMMYFUNCTION("""COMPUTED_VALUE"""),"")</f>
        <v/>
      </c>
      <c r="M1731" s="16" t="str">
        <f>IFERROR(__xludf.DUMMYFUNCTION("""COMPUTED_VALUE"""),"")</f>
        <v/>
      </c>
      <c r="U1731" s="16" t="s">
        <v>87</v>
      </c>
      <c r="V1731" s="16" t="str">
        <f>IFERROR(__xludf.DUMMYFUNCTION("""COMPUTED_VALUE"""),"")</f>
        <v/>
      </c>
      <c r="W1731" s="16" t="str">
        <f>IFERROR(__xludf.DUMMYFUNCTION("""COMPUTED_VALUE"""),"")</f>
        <v/>
      </c>
      <c r="X1731" s="16" t="str">
        <f>IFERROR(__xludf.DUMMYFUNCTION("""COMPUTED_VALUE"""),"")</f>
        <v/>
      </c>
      <c r="AC1731" s="16" t="str">
        <f>IFERROR(__xludf.DUMMYFUNCTION("""COMPUTED_VALUE"""),"")</f>
        <v/>
      </c>
    </row>
    <row r="1732">
      <c r="A1732" s="16" t="s">
        <v>87</v>
      </c>
      <c r="E1732" s="16" t="str">
        <f>IFERROR(__xludf.DUMMYFUNCTION("""COMPUTED_VALUE"""),"")</f>
        <v/>
      </c>
      <c r="G1732" s="18"/>
      <c r="H1732" s="16" t="s">
        <v>87</v>
      </c>
      <c r="I1732" s="16" t="s">
        <v>87</v>
      </c>
      <c r="J1732" s="19"/>
      <c r="L1732" s="16" t="str">
        <f>IFERROR(__xludf.DUMMYFUNCTION("""COMPUTED_VALUE"""),"")</f>
        <v/>
      </c>
      <c r="M1732" s="16" t="str">
        <f>IFERROR(__xludf.DUMMYFUNCTION("""COMPUTED_VALUE"""),"")</f>
        <v/>
      </c>
      <c r="U1732" s="16" t="s">
        <v>87</v>
      </c>
      <c r="V1732" s="16" t="str">
        <f>IFERROR(__xludf.DUMMYFUNCTION("""COMPUTED_VALUE"""),"")</f>
        <v/>
      </c>
      <c r="W1732" s="16" t="str">
        <f>IFERROR(__xludf.DUMMYFUNCTION("""COMPUTED_VALUE"""),"")</f>
        <v/>
      </c>
      <c r="X1732" s="16" t="str">
        <f>IFERROR(__xludf.DUMMYFUNCTION("""COMPUTED_VALUE"""),"")</f>
        <v/>
      </c>
      <c r="AC1732" s="16" t="str">
        <f>IFERROR(__xludf.DUMMYFUNCTION("""COMPUTED_VALUE"""),"")</f>
        <v/>
      </c>
    </row>
    <row r="1733">
      <c r="A1733" s="16" t="s">
        <v>87</v>
      </c>
      <c r="E1733" s="16" t="str">
        <f>IFERROR(__xludf.DUMMYFUNCTION("""COMPUTED_VALUE"""),"")</f>
        <v/>
      </c>
      <c r="G1733" s="18"/>
      <c r="H1733" s="16" t="s">
        <v>87</v>
      </c>
      <c r="I1733" s="16" t="s">
        <v>87</v>
      </c>
      <c r="J1733" s="19"/>
      <c r="L1733" s="16" t="str">
        <f>IFERROR(__xludf.DUMMYFUNCTION("""COMPUTED_VALUE"""),"")</f>
        <v/>
      </c>
      <c r="M1733" s="16" t="str">
        <f>IFERROR(__xludf.DUMMYFUNCTION("""COMPUTED_VALUE"""),"")</f>
        <v/>
      </c>
      <c r="U1733" s="16" t="s">
        <v>87</v>
      </c>
      <c r="V1733" s="16" t="str">
        <f>IFERROR(__xludf.DUMMYFUNCTION("""COMPUTED_VALUE"""),"")</f>
        <v/>
      </c>
      <c r="W1733" s="16" t="str">
        <f>IFERROR(__xludf.DUMMYFUNCTION("""COMPUTED_VALUE"""),"")</f>
        <v/>
      </c>
      <c r="X1733" s="16" t="str">
        <f>IFERROR(__xludf.DUMMYFUNCTION("""COMPUTED_VALUE"""),"")</f>
        <v/>
      </c>
      <c r="AC1733" s="16" t="str">
        <f>IFERROR(__xludf.DUMMYFUNCTION("""COMPUTED_VALUE"""),"")</f>
        <v/>
      </c>
    </row>
    <row r="1734">
      <c r="A1734" s="16" t="s">
        <v>87</v>
      </c>
      <c r="E1734" s="16" t="str">
        <f>IFERROR(__xludf.DUMMYFUNCTION("""COMPUTED_VALUE"""),"")</f>
        <v/>
      </c>
      <c r="G1734" s="18"/>
      <c r="H1734" s="16" t="s">
        <v>87</v>
      </c>
      <c r="I1734" s="16" t="s">
        <v>87</v>
      </c>
      <c r="J1734" s="19"/>
      <c r="L1734" s="16" t="str">
        <f>IFERROR(__xludf.DUMMYFUNCTION("""COMPUTED_VALUE"""),"")</f>
        <v/>
      </c>
      <c r="M1734" s="16" t="str">
        <f>IFERROR(__xludf.DUMMYFUNCTION("""COMPUTED_VALUE"""),"")</f>
        <v/>
      </c>
      <c r="U1734" s="16" t="s">
        <v>87</v>
      </c>
      <c r="V1734" s="16" t="str">
        <f>IFERROR(__xludf.DUMMYFUNCTION("""COMPUTED_VALUE"""),"")</f>
        <v/>
      </c>
      <c r="W1734" s="16" t="str">
        <f>IFERROR(__xludf.DUMMYFUNCTION("""COMPUTED_VALUE"""),"")</f>
        <v/>
      </c>
      <c r="X1734" s="16" t="str">
        <f>IFERROR(__xludf.DUMMYFUNCTION("""COMPUTED_VALUE"""),"")</f>
        <v/>
      </c>
      <c r="AC1734" s="16" t="str">
        <f>IFERROR(__xludf.DUMMYFUNCTION("""COMPUTED_VALUE"""),"")</f>
        <v/>
      </c>
    </row>
    <row r="1735">
      <c r="A1735" s="16" t="s">
        <v>87</v>
      </c>
      <c r="E1735" s="16" t="str">
        <f>IFERROR(__xludf.DUMMYFUNCTION("""COMPUTED_VALUE"""),"")</f>
        <v/>
      </c>
      <c r="G1735" s="18"/>
      <c r="H1735" s="16" t="s">
        <v>87</v>
      </c>
      <c r="I1735" s="16" t="s">
        <v>87</v>
      </c>
      <c r="J1735" s="19"/>
      <c r="L1735" s="16" t="str">
        <f>IFERROR(__xludf.DUMMYFUNCTION("""COMPUTED_VALUE"""),"")</f>
        <v/>
      </c>
      <c r="M1735" s="16" t="str">
        <f>IFERROR(__xludf.DUMMYFUNCTION("""COMPUTED_VALUE"""),"")</f>
        <v/>
      </c>
      <c r="U1735" s="16" t="s">
        <v>87</v>
      </c>
      <c r="V1735" s="16" t="str">
        <f>IFERROR(__xludf.DUMMYFUNCTION("""COMPUTED_VALUE"""),"")</f>
        <v/>
      </c>
      <c r="W1735" s="16" t="str">
        <f>IFERROR(__xludf.DUMMYFUNCTION("""COMPUTED_VALUE"""),"")</f>
        <v/>
      </c>
      <c r="X1735" s="16" t="str">
        <f>IFERROR(__xludf.DUMMYFUNCTION("""COMPUTED_VALUE"""),"")</f>
        <v/>
      </c>
      <c r="AC1735" s="16" t="str">
        <f>IFERROR(__xludf.DUMMYFUNCTION("""COMPUTED_VALUE"""),"")</f>
        <v/>
      </c>
    </row>
    <row r="1736">
      <c r="A1736" s="16" t="s">
        <v>87</v>
      </c>
      <c r="E1736" s="16" t="str">
        <f>IFERROR(__xludf.DUMMYFUNCTION("""COMPUTED_VALUE"""),"")</f>
        <v/>
      </c>
      <c r="G1736" s="18"/>
      <c r="H1736" s="16" t="s">
        <v>87</v>
      </c>
      <c r="I1736" s="16" t="s">
        <v>87</v>
      </c>
      <c r="J1736" s="19"/>
      <c r="L1736" s="16" t="str">
        <f>IFERROR(__xludf.DUMMYFUNCTION("""COMPUTED_VALUE"""),"")</f>
        <v/>
      </c>
      <c r="M1736" s="16" t="str">
        <f>IFERROR(__xludf.DUMMYFUNCTION("""COMPUTED_VALUE"""),"")</f>
        <v/>
      </c>
      <c r="U1736" s="16" t="s">
        <v>87</v>
      </c>
      <c r="V1736" s="16" t="str">
        <f>IFERROR(__xludf.DUMMYFUNCTION("""COMPUTED_VALUE"""),"")</f>
        <v/>
      </c>
      <c r="W1736" s="16" t="str">
        <f>IFERROR(__xludf.DUMMYFUNCTION("""COMPUTED_VALUE"""),"")</f>
        <v/>
      </c>
      <c r="X1736" s="16" t="str">
        <f>IFERROR(__xludf.DUMMYFUNCTION("""COMPUTED_VALUE"""),"")</f>
        <v/>
      </c>
      <c r="AC1736" s="16" t="str">
        <f>IFERROR(__xludf.DUMMYFUNCTION("""COMPUTED_VALUE"""),"")</f>
        <v/>
      </c>
    </row>
    <row r="1737">
      <c r="A1737" s="16" t="s">
        <v>87</v>
      </c>
      <c r="E1737" s="16" t="str">
        <f>IFERROR(__xludf.DUMMYFUNCTION("""COMPUTED_VALUE"""),"")</f>
        <v/>
      </c>
      <c r="G1737" s="18"/>
      <c r="H1737" s="16" t="s">
        <v>87</v>
      </c>
      <c r="I1737" s="16" t="s">
        <v>87</v>
      </c>
      <c r="J1737" s="19"/>
      <c r="L1737" s="16" t="str">
        <f>IFERROR(__xludf.DUMMYFUNCTION("""COMPUTED_VALUE"""),"")</f>
        <v/>
      </c>
      <c r="M1737" s="16" t="str">
        <f>IFERROR(__xludf.DUMMYFUNCTION("""COMPUTED_VALUE"""),"")</f>
        <v/>
      </c>
      <c r="U1737" s="16" t="s">
        <v>87</v>
      </c>
      <c r="V1737" s="16" t="str">
        <f>IFERROR(__xludf.DUMMYFUNCTION("""COMPUTED_VALUE"""),"")</f>
        <v/>
      </c>
      <c r="W1737" s="16" t="str">
        <f>IFERROR(__xludf.DUMMYFUNCTION("""COMPUTED_VALUE"""),"")</f>
        <v/>
      </c>
      <c r="X1737" s="16" t="str">
        <f>IFERROR(__xludf.DUMMYFUNCTION("""COMPUTED_VALUE"""),"")</f>
        <v/>
      </c>
      <c r="AC1737" s="16" t="str">
        <f>IFERROR(__xludf.DUMMYFUNCTION("""COMPUTED_VALUE"""),"")</f>
        <v/>
      </c>
    </row>
    <row r="1738">
      <c r="A1738" s="16" t="s">
        <v>87</v>
      </c>
      <c r="E1738" s="16" t="str">
        <f>IFERROR(__xludf.DUMMYFUNCTION("""COMPUTED_VALUE"""),"")</f>
        <v/>
      </c>
      <c r="G1738" s="18"/>
      <c r="H1738" s="16" t="s">
        <v>87</v>
      </c>
      <c r="I1738" s="16" t="s">
        <v>87</v>
      </c>
      <c r="J1738" s="19"/>
      <c r="L1738" s="16" t="str">
        <f>IFERROR(__xludf.DUMMYFUNCTION("""COMPUTED_VALUE"""),"")</f>
        <v/>
      </c>
      <c r="M1738" s="16" t="str">
        <f>IFERROR(__xludf.DUMMYFUNCTION("""COMPUTED_VALUE"""),"")</f>
        <v/>
      </c>
      <c r="U1738" s="16" t="s">
        <v>87</v>
      </c>
      <c r="V1738" s="16" t="str">
        <f>IFERROR(__xludf.DUMMYFUNCTION("""COMPUTED_VALUE"""),"")</f>
        <v/>
      </c>
      <c r="W1738" s="16" t="str">
        <f>IFERROR(__xludf.DUMMYFUNCTION("""COMPUTED_VALUE"""),"")</f>
        <v/>
      </c>
      <c r="X1738" s="16" t="str">
        <f>IFERROR(__xludf.DUMMYFUNCTION("""COMPUTED_VALUE"""),"")</f>
        <v/>
      </c>
      <c r="AC1738" s="16" t="str">
        <f>IFERROR(__xludf.DUMMYFUNCTION("""COMPUTED_VALUE"""),"")</f>
        <v/>
      </c>
    </row>
    <row r="1739">
      <c r="A1739" s="16" t="s">
        <v>87</v>
      </c>
      <c r="E1739" s="16" t="str">
        <f>IFERROR(__xludf.DUMMYFUNCTION("""COMPUTED_VALUE"""),"")</f>
        <v/>
      </c>
      <c r="G1739" s="18"/>
      <c r="H1739" s="16" t="s">
        <v>87</v>
      </c>
      <c r="I1739" s="16" t="s">
        <v>87</v>
      </c>
      <c r="J1739" s="19"/>
      <c r="L1739" s="16" t="str">
        <f>IFERROR(__xludf.DUMMYFUNCTION("""COMPUTED_VALUE"""),"")</f>
        <v/>
      </c>
      <c r="M1739" s="16" t="str">
        <f>IFERROR(__xludf.DUMMYFUNCTION("""COMPUTED_VALUE"""),"")</f>
        <v/>
      </c>
      <c r="U1739" s="16" t="s">
        <v>87</v>
      </c>
      <c r="V1739" s="16" t="str">
        <f>IFERROR(__xludf.DUMMYFUNCTION("""COMPUTED_VALUE"""),"")</f>
        <v/>
      </c>
      <c r="W1739" s="16" t="str">
        <f>IFERROR(__xludf.DUMMYFUNCTION("""COMPUTED_VALUE"""),"")</f>
        <v/>
      </c>
      <c r="X1739" s="16" t="str">
        <f>IFERROR(__xludf.DUMMYFUNCTION("""COMPUTED_VALUE"""),"")</f>
        <v/>
      </c>
      <c r="AC1739" s="16" t="str">
        <f>IFERROR(__xludf.DUMMYFUNCTION("""COMPUTED_VALUE"""),"")</f>
        <v/>
      </c>
    </row>
    <row r="1740">
      <c r="A1740" s="16" t="s">
        <v>87</v>
      </c>
      <c r="E1740" s="16" t="str">
        <f>IFERROR(__xludf.DUMMYFUNCTION("""COMPUTED_VALUE"""),"")</f>
        <v/>
      </c>
      <c r="G1740" s="18"/>
      <c r="H1740" s="16" t="s">
        <v>87</v>
      </c>
      <c r="I1740" s="16" t="s">
        <v>87</v>
      </c>
      <c r="J1740" s="19"/>
      <c r="L1740" s="16" t="str">
        <f>IFERROR(__xludf.DUMMYFUNCTION("""COMPUTED_VALUE"""),"")</f>
        <v/>
      </c>
      <c r="M1740" s="16" t="str">
        <f>IFERROR(__xludf.DUMMYFUNCTION("""COMPUTED_VALUE"""),"")</f>
        <v/>
      </c>
      <c r="U1740" s="16" t="s">
        <v>87</v>
      </c>
      <c r="V1740" s="16" t="str">
        <f>IFERROR(__xludf.DUMMYFUNCTION("""COMPUTED_VALUE"""),"")</f>
        <v/>
      </c>
      <c r="W1740" s="16" t="str">
        <f>IFERROR(__xludf.DUMMYFUNCTION("""COMPUTED_VALUE"""),"")</f>
        <v/>
      </c>
      <c r="X1740" s="16" t="str">
        <f>IFERROR(__xludf.DUMMYFUNCTION("""COMPUTED_VALUE"""),"")</f>
        <v/>
      </c>
      <c r="AC1740" s="16" t="str">
        <f>IFERROR(__xludf.DUMMYFUNCTION("""COMPUTED_VALUE"""),"")</f>
        <v/>
      </c>
    </row>
    <row r="1741">
      <c r="A1741" s="16" t="s">
        <v>87</v>
      </c>
      <c r="E1741" s="16" t="str">
        <f>IFERROR(__xludf.DUMMYFUNCTION("""COMPUTED_VALUE"""),"")</f>
        <v/>
      </c>
      <c r="G1741" s="18"/>
      <c r="H1741" s="16" t="s">
        <v>87</v>
      </c>
      <c r="I1741" s="16" t="s">
        <v>87</v>
      </c>
      <c r="J1741" s="19"/>
      <c r="L1741" s="16" t="str">
        <f>IFERROR(__xludf.DUMMYFUNCTION("""COMPUTED_VALUE"""),"")</f>
        <v/>
      </c>
      <c r="M1741" s="16" t="str">
        <f>IFERROR(__xludf.DUMMYFUNCTION("""COMPUTED_VALUE"""),"")</f>
        <v/>
      </c>
      <c r="U1741" s="16" t="s">
        <v>87</v>
      </c>
      <c r="V1741" s="16" t="str">
        <f>IFERROR(__xludf.DUMMYFUNCTION("""COMPUTED_VALUE"""),"")</f>
        <v/>
      </c>
      <c r="W1741" s="16" t="str">
        <f>IFERROR(__xludf.DUMMYFUNCTION("""COMPUTED_VALUE"""),"")</f>
        <v/>
      </c>
      <c r="X1741" s="16" t="str">
        <f>IFERROR(__xludf.DUMMYFUNCTION("""COMPUTED_VALUE"""),"")</f>
        <v/>
      </c>
      <c r="AC1741" s="16" t="str">
        <f>IFERROR(__xludf.DUMMYFUNCTION("""COMPUTED_VALUE"""),"")</f>
        <v/>
      </c>
    </row>
    <row r="1742">
      <c r="A1742" s="16" t="s">
        <v>87</v>
      </c>
      <c r="E1742" s="16" t="str">
        <f>IFERROR(__xludf.DUMMYFUNCTION("""COMPUTED_VALUE"""),"")</f>
        <v/>
      </c>
      <c r="G1742" s="18"/>
      <c r="H1742" s="16" t="s">
        <v>87</v>
      </c>
      <c r="I1742" s="16" t="s">
        <v>87</v>
      </c>
      <c r="J1742" s="19"/>
      <c r="L1742" s="16" t="str">
        <f>IFERROR(__xludf.DUMMYFUNCTION("""COMPUTED_VALUE"""),"")</f>
        <v/>
      </c>
      <c r="M1742" s="16" t="str">
        <f>IFERROR(__xludf.DUMMYFUNCTION("""COMPUTED_VALUE"""),"")</f>
        <v/>
      </c>
      <c r="U1742" s="16" t="s">
        <v>87</v>
      </c>
      <c r="V1742" s="16" t="str">
        <f>IFERROR(__xludf.DUMMYFUNCTION("""COMPUTED_VALUE"""),"")</f>
        <v/>
      </c>
      <c r="W1742" s="16" t="str">
        <f>IFERROR(__xludf.DUMMYFUNCTION("""COMPUTED_VALUE"""),"")</f>
        <v/>
      </c>
      <c r="X1742" s="16" t="str">
        <f>IFERROR(__xludf.DUMMYFUNCTION("""COMPUTED_VALUE"""),"")</f>
        <v/>
      </c>
      <c r="AC1742" s="16" t="str">
        <f>IFERROR(__xludf.DUMMYFUNCTION("""COMPUTED_VALUE"""),"")</f>
        <v/>
      </c>
    </row>
    <row r="1743">
      <c r="A1743" s="16" t="s">
        <v>87</v>
      </c>
      <c r="E1743" s="16" t="str">
        <f>IFERROR(__xludf.DUMMYFUNCTION("""COMPUTED_VALUE"""),"")</f>
        <v/>
      </c>
      <c r="G1743" s="18"/>
      <c r="H1743" s="16" t="s">
        <v>87</v>
      </c>
      <c r="I1743" s="16" t="s">
        <v>87</v>
      </c>
      <c r="J1743" s="19"/>
      <c r="L1743" s="16" t="str">
        <f>IFERROR(__xludf.DUMMYFUNCTION("""COMPUTED_VALUE"""),"")</f>
        <v/>
      </c>
      <c r="M1743" s="16" t="str">
        <f>IFERROR(__xludf.DUMMYFUNCTION("""COMPUTED_VALUE"""),"")</f>
        <v/>
      </c>
      <c r="U1743" s="16" t="s">
        <v>87</v>
      </c>
      <c r="V1743" s="16" t="str">
        <f>IFERROR(__xludf.DUMMYFUNCTION("""COMPUTED_VALUE"""),"")</f>
        <v/>
      </c>
      <c r="W1743" s="16" t="str">
        <f>IFERROR(__xludf.DUMMYFUNCTION("""COMPUTED_VALUE"""),"")</f>
        <v/>
      </c>
      <c r="X1743" s="16" t="str">
        <f>IFERROR(__xludf.DUMMYFUNCTION("""COMPUTED_VALUE"""),"")</f>
        <v/>
      </c>
      <c r="AC1743" s="16" t="str">
        <f>IFERROR(__xludf.DUMMYFUNCTION("""COMPUTED_VALUE"""),"")</f>
        <v/>
      </c>
    </row>
    <row r="1744">
      <c r="A1744" s="16" t="s">
        <v>87</v>
      </c>
      <c r="E1744" s="16" t="str">
        <f>IFERROR(__xludf.DUMMYFUNCTION("""COMPUTED_VALUE"""),"")</f>
        <v/>
      </c>
      <c r="G1744" s="18"/>
      <c r="H1744" s="16" t="s">
        <v>87</v>
      </c>
      <c r="I1744" s="16" t="s">
        <v>87</v>
      </c>
      <c r="J1744" s="19"/>
      <c r="L1744" s="16" t="str">
        <f>IFERROR(__xludf.DUMMYFUNCTION("""COMPUTED_VALUE"""),"")</f>
        <v/>
      </c>
      <c r="M1744" s="16" t="str">
        <f>IFERROR(__xludf.DUMMYFUNCTION("""COMPUTED_VALUE"""),"")</f>
        <v/>
      </c>
      <c r="U1744" s="16" t="s">
        <v>87</v>
      </c>
      <c r="V1744" s="16" t="str">
        <f>IFERROR(__xludf.DUMMYFUNCTION("""COMPUTED_VALUE"""),"")</f>
        <v/>
      </c>
      <c r="W1744" s="16" t="str">
        <f>IFERROR(__xludf.DUMMYFUNCTION("""COMPUTED_VALUE"""),"")</f>
        <v/>
      </c>
      <c r="X1744" s="16" t="str">
        <f>IFERROR(__xludf.DUMMYFUNCTION("""COMPUTED_VALUE"""),"")</f>
        <v/>
      </c>
      <c r="AC1744" s="16" t="str">
        <f>IFERROR(__xludf.DUMMYFUNCTION("""COMPUTED_VALUE"""),"")</f>
        <v/>
      </c>
    </row>
    <row r="1745">
      <c r="A1745" s="16" t="s">
        <v>87</v>
      </c>
      <c r="E1745" s="16" t="str">
        <f>IFERROR(__xludf.DUMMYFUNCTION("""COMPUTED_VALUE"""),"")</f>
        <v/>
      </c>
      <c r="G1745" s="18"/>
      <c r="H1745" s="16" t="s">
        <v>87</v>
      </c>
      <c r="I1745" s="16" t="s">
        <v>87</v>
      </c>
      <c r="J1745" s="19"/>
      <c r="L1745" s="16" t="str">
        <f>IFERROR(__xludf.DUMMYFUNCTION("""COMPUTED_VALUE"""),"")</f>
        <v/>
      </c>
      <c r="M1745" s="16" t="str">
        <f>IFERROR(__xludf.DUMMYFUNCTION("""COMPUTED_VALUE"""),"")</f>
        <v/>
      </c>
      <c r="U1745" s="16" t="s">
        <v>87</v>
      </c>
      <c r="V1745" s="16" t="str">
        <f>IFERROR(__xludf.DUMMYFUNCTION("""COMPUTED_VALUE"""),"")</f>
        <v/>
      </c>
      <c r="W1745" s="16" t="str">
        <f>IFERROR(__xludf.DUMMYFUNCTION("""COMPUTED_VALUE"""),"")</f>
        <v/>
      </c>
      <c r="X1745" s="16" t="str">
        <f>IFERROR(__xludf.DUMMYFUNCTION("""COMPUTED_VALUE"""),"")</f>
        <v/>
      </c>
      <c r="AC1745" s="16" t="str">
        <f>IFERROR(__xludf.DUMMYFUNCTION("""COMPUTED_VALUE"""),"")</f>
        <v/>
      </c>
    </row>
    <row r="1746">
      <c r="A1746" s="16" t="s">
        <v>87</v>
      </c>
      <c r="E1746" s="16" t="str">
        <f>IFERROR(__xludf.DUMMYFUNCTION("""COMPUTED_VALUE"""),"")</f>
        <v/>
      </c>
      <c r="G1746" s="18"/>
      <c r="H1746" s="16" t="s">
        <v>87</v>
      </c>
      <c r="I1746" s="16" t="s">
        <v>87</v>
      </c>
      <c r="J1746" s="19"/>
      <c r="L1746" s="16" t="str">
        <f>IFERROR(__xludf.DUMMYFUNCTION("""COMPUTED_VALUE"""),"")</f>
        <v/>
      </c>
      <c r="M1746" s="16" t="str">
        <f>IFERROR(__xludf.DUMMYFUNCTION("""COMPUTED_VALUE"""),"")</f>
        <v/>
      </c>
      <c r="U1746" s="16" t="s">
        <v>87</v>
      </c>
      <c r="V1746" s="16" t="str">
        <f>IFERROR(__xludf.DUMMYFUNCTION("""COMPUTED_VALUE"""),"")</f>
        <v/>
      </c>
      <c r="W1746" s="16" t="str">
        <f>IFERROR(__xludf.DUMMYFUNCTION("""COMPUTED_VALUE"""),"")</f>
        <v/>
      </c>
      <c r="X1746" s="16" t="str">
        <f>IFERROR(__xludf.DUMMYFUNCTION("""COMPUTED_VALUE"""),"")</f>
        <v/>
      </c>
      <c r="AC1746" s="16" t="str">
        <f>IFERROR(__xludf.DUMMYFUNCTION("""COMPUTED_VALUE"""),"")</f>
        <v/>
      </c>
    </row>
    <row r="1747">
      <c r="A1747" s="16" t="s">
        <v>87</v>
      </c>
      <c r="E1747" s="16" t="str">
        <f>IFERROR(__xludf.DUMMYFUNCTION("""COMPUTED_VALUE"""),"")</f>
        <v/>
      </c>
      <c r="G1747" s="18"/>
      <c r="H1747" s="16" t="s">
        <v>87</v>
      </c>
      <c r="I1747" s="16" t="s">
        <v>87</v>
      </c>
      <c r="J1747" s="19"/>
      <c r="L1747" s="16" t="str">
        <f>IFERROR(__xludf.DUMMYFUNCTION("""COMPUTED_VALUE"""),"")</f>
        <v/>
      </c>
      <c r="M1747" s="16" t="str">
        <f>IFERROR(__xludf.DUMMYFUNCTION("""COMPUTED_VALUE"""),"")</f>
        <v/>
      </c>
      <c r="U1747" s="16" t="s">
        <v>87</v>
      </c>
      <c r="V1747" s="16" t="str">
        <f>IFERROR(__xludf.DUMMYFUNCTION("""COMPUTED_VALUE"""),"")</f>
        <v/>
      </c>
      <c r="W1747" s="16" t="str">
        <f>IFERROR(__xludf.DUMMYFUNCTION("""COMPUTED_VALUE"""),"")</f>
        <v/>
      </c>
      <c r="X1747" s="16" t="str">
        <f>IFERROR(__xludf.DUMMYFUNCTION("""COMPUTED_VALUE"""),"")</f>
        <v/>
      </c>
      <c r="AC1747" s="16" t="str">
        <f>IFERROR(__xludf.DUMMYFUNCTION("""COMPUTED_VALUE"""),"")</f>
        <v/>
      </c>
    </row>
    <row r="1748">
      <c r="A1748" s="16" t="s">
        <v>87</v>
      </c>
      <c r="E1748" s="16" t="str">
        <f>IFERROR(__xludf.DUMMYFUNCTION("""COMPUTED_VALUE"""),"")</f>
        <v/>
      </c>
      <c r="G1748" s="18"/>
      <c r="H1748" s="16" t="s">
        <v>87</v>
      </c>
      <c r="I1748" s="16" t="s">
        <v>87</v>
      </c>
      <c r="J1748" s="19"/>
      <c r="L1748" s="16" t="str">
        <f>IFERROR(__xludf.DUMMYFUNCTION("""COMPUTED_VALUE"""),"")</f>
        <v/>
      </c>
      <c r="M1748" s="16" t="str">
        <f>IFERROR(__xludf.DUMMYFUNCTION("""COMPUTED_VALUE"""),"")</f>
        <v/>
      </c>
      <c r="U1748" s="16" t="s">
        <v>87</v>
      </c>
      <c r="V1748" s="16" t="str">
        <f>IFERROR(__xludf.DUMMYFUNCTION("""COMPUTED_VALUE"""),"")</f>
        <v/>
      </c>
      <c r="W1748" s="16" t="str">
        <f>IFERROR(__xludf.DUMMYFUNCTION("""COMPUTED_VALUE"""),"")</f>
        <v/>
      </c>
      <c r="X1748" s="16" t="str">
        <f>IFERROR(__xludf.DUMMYFUNCTION("""COMPUTED_VALUE"""),"")</f>
        <v/>
      </c>
      <c r="AC1748" s="16" t="str">
        <f>IFERROR(__xludf.DUMMYFUNCTION("""COMPUTED_VALUE"""),"")</f>
        <v/>
      </c>
    </row>
    <row r="1749">
      <c r="A1749" s="16" t="s">
        <v>87</v>
      </c>
      <c r="E1749" s="16" t="str">
        <f>IFERROR(__xludf.DUMMYFUNCTION("""COMPUTED_VALUE"""),"")</f>
        <v/>
      </c>
      <c r="G1749" s="18"/>
      <c r="H1749" s="16" t="s">
        <v>87</v>
      </c>
      <c r="I1749" s="16" t="s">
        <v>87</v>
      </c>
      <c r="J1749" s="19"/>
      <c r="L1749" s="16" t="str">
        <f>IFERROR(__xludf.DUMMYFUNCTION("""COMPUTED_VALUE"""),"")</f>
        <v/>
      </c>
      <c r="M1749" s="16" t="str">
        <f>IFERROR(__xludf.DUMMYFUNCTION("""COMPUTED_VALUE"""),"")</f>
        <v/>
      </c>
      <c r="U1749" s="16" t="s">
        <v>87</v>
      </c>
      <c r="V1749" s="16" t="str">
        <f>IFERROR(__xludf.DUMMYFUNCTION("""COMPUTED_VALUE"""),"")</f>
        <v/>
      </c>
      <c r="W1749" s="16" t="str">
        <f>IFERROR(__xludf.DUMMYFUNCTION("""COMPUTED_VALUE"""),"")</f>
        <v/>
      </c>
      <c r="X1749" s="16" t="str">
        <f>IFERROR(__xludf.DUMMYFUNCTION("""COMPUTED_VALUE"""),"")</f>
        <v/>
      </c>
      <c r="AC1749" s="16" t="str">
        <f>IFERROR(__xludf.DUMMYFUNCTION("""COMPUTED_VALUE"""),"")</f>
        <v/>
      </c>
    </row>
    <row r="1750">
      <c r="A1750" s="16" t="s">
        <v>87</v>
      </c>
      <c r="E1750" s="16" t="str">
        <f>IFERROR(__xludf.DUMMYFUNCTION("""COMPUTED_VALUE"""),"")</f>
        <v/>
      </c>
      <c r="G1750" s="18"/>
      <c r="H1750" s="16" t="s">
        <v>87</v>
      </c>
      <c r="I1750" s="16" t="s">
        <v>87</v>
      </c>
      <c r="J1750" s="19"/>
      <c r="L1750" s="16" t="str">
        <f>IFERROR(__xludf.DUMMYFUNCTION("""COMPUTED_VALUE"""),"")</f>
        <v/>
      </c>
      <c r="M1750" s="16" t="str">
        <f>IFERROR(__xludf.DUMMYFUNCTION("""COMPUTED_VALUE"""),"")</f>
        <v/>
      </c>
      <c r="U1750" s="16" t="s">
        <v>87</v>
      </c>
      <c r="V1750" s="16" t="str">
        <f>IFERROR(__xludf.DUMMYFUNCTION("""COMPUTED_VALUE"""),"")</f>
        <v/>
      </c>
      <c r="W1750" s="16" t="str">
        <f>IFERROR(__xludf.DUMMYFUNCTION("""COMPUTED_VALUE"""),"")</f>
        <v/>
      </c>
      <c r="X1750" s="16" t="str">
        <f>IFERROR(__xludf.DUMMYFUNCTION("""COMPUTED_VALUE"""),"")</f>
        <v/>
      </c>
      <c r="AC1750" s="16" t="str">
        <f>IFERROR(__xludf.DUMMYFUNCTION("""COMPUTED_VALUE"""),"")</f>
        <v/>
      </c>
    </row>
    <row r="1751">
      <c r="A1751" s="16" t="s">
        <v>87</v>
      </c>
      <c r="E1751" s="16" t="str">
        <f>IFERROR(__xludf.DUMMYFUNCTION("""COMPUTED_VALUE"""),"")</f>
        <v/>
      </c>
      <c r="G1751" s="18"/>
      <c r="H1751" s="16" t="s">
        <v>87</v>
      </c>
      <c r="I1751" s="16" t="s">
        <v>87</v>
      </c>
      <c r="J1751" s="19"/>
      <c r="L1751" s="16" t="str">
        <f>IFERROR(__xludf.DUMMYFUNCTION("""COMPUTED_VALUE"""),"")</f>
        <v/>
      </c>
      <c r="M1751" s="16" t="str">
        <f>IFERROR(__xludf.DUMMYFUNCTION("""COMPUTED_VALUE"""),"")</f>
        <v/>
      </c>
      <c r="U1751" s="16" t="s">
        <v>87</v>
      </c>
      <c r="V1751" s="16" t="str">
        <f>IFERROR(__xludf.DUMMYFUNCTION("""COMPUTED_VALUE"""),"")</f>
        <v/>
      </c>
      <c r="W1751" s="16" t="str">
        <f>IFERROR(__xludf.DUMMYFUNCTION("""COMPUTED_VALUE"""),"")</f>
        <v/>
      </c>
      <c r="X1751" s="16" t="str">
        <f>IFERROR(__xludf.DUMMYFUNCTION("""COMPUTED_VALUE"""),"")</f>
        <v/>
      </c>
      <c r="AC1751" s="16" t="str">
        <f>IFERROR(__xludf.DUMMYFUNCTION("""COMPUTED_VALUE"""),"")</f>
        <v/>
      </c>
    </row>
    <row r="1752">
      <c r="A1752" s="16" t="s">
        <v>87</v>
      </c>
      <c r="E1752" s="16" t="str">
        <f>IFERROR(__xludf.DUMMYFUNCTION("""COMPUTED_VALUE"""),"")</f>
        <v/>
      </c>
      <c r="G1752" s="18"/>
      <c r="H1752" s="16" t="s">
        <v>87</v>
      </c>
      <c r="I1752" s="16" t="s">
        <v>87</v>
      </c>
      <c r="J1752" s="19"/>
      <c r="L1752" s="16" t="str">
        <f>IFERROR(__xludf.DUMMYFUNCTION("""COMPUTED_VALUE"""),"")</f>
        <v/>
      </c>
      <c r="M1752" s="16" t="str">
        <f>IFERROR(__xludf.DUMMYFUNCTION("""COMPUTED_VALUE"""),"")</f>
        <v/>
      </c>
      <c r="U1752" s="16" t="s">
        <v>87</v>
      </c>
      <c r="V1752" s="16" t="str">
        <f>IFERROR(__xludf.DUMMYFUNCTION("""COMPUTED_VALUE"""),"")</f>
        <v/>
      </c>
      <c r="W1752" s="16" t="str">
        <f>IFERROR(__xludf.DUMMYFUNCTION("""COMPUTED_VALUE"""),"")</f>
        <v/>
      </c>
      <c r="X1752" s="16" t="str">
        <f>IFERROR(__xludf.DUMMYFUNCTION("""COMPUTED_VALUE"""),"")</f>
        <v/>
      </c>
      <c r="AC1752" s="16" t="str">
        <f>IFERROR(__xludf.DUMMYFUNCTION("""COMPUTED_VALUE"""),"")</f>
        <v/>
      </c>
    </row>
    <row r="1753">
      <c r="A1753" s="16" t="s">
        <v>87</v>
      </c>
      <c r="E1753" s="16" t="str">
        <f>IFERROR(__xludf.DUMMYFUNCTION("""COMPUTED_VALUE"""),"")</f>
        <v/>
      </c>
      <c r="G1753" s="18"/>
      <c r="H1753" s="16" t="s">
        <v>87</v>
      </c>
      <c r="I1753" s="16" t="s">
        <v>87</v>
      </c>
      <c r="J1753" s="19"/>
      <c r="L1753" s="16" t="str">
        <f>IFERROR(__xludf.DUMMYFUNCTION("""COMPUTED_VALUE"""),"")</f>
        <v/>
      </c>
      <c r="M1753" s="16" t="str">
        <f>IFERROR(__xludf.DUMMYFUNCTION("""COMPUTED_VALUE"""),"")</f>
        <v/>
      </c>
      <c r="U1753" s="16" t="s">
        <v>87</v>
      </c>
      <c r="V1753" s="16" t="str">
        <f>IFERROR(__xludf.DUMMYFUNCTION("""COMPUTED_VALUE"""),"")</f>
        <v/>
      </c>
      <c r="W1753" s="16" t="str">
        <f>IFERROR(__xludf.DUMMYFUNCTION("""COMPUTED_VALUE"""),"")</f>
        <v/>
      </c>
      <c r="X1753" s="16" t="str">
        <f>IFERROR(__xludf.DUMMYFUNCTION("""COMPUTED_VALUE"""),"")</f>
        <v/>
      </c>
      <c r="AC1753" s="16" t="str">
        <f>IFERROR(__xludf.DUMMYFUNCTION("""COMPUTED_VALUE"""),"")</f>
        <v/>
      </c>
    </row>
    <row r="1754">
      <c r="A1754" s="16" t="s">
        <v>87</v>
      </c>
      <c r="E1754" s="16" t="str">
        <f>IFERROR(__xludf.DUMMYFUNCTION("""COMPUTED_VALUE"""),"")</f>
        <v/>
      </c>
      <c r="G1754" s="18"/>
      <c r="H1754" s="16" t="s">
        <v>87</v>
      </c>
      <c r="I1754" s="16" t="s">
        <v>87</v>
      </c>
      <c r="J1754" s="19"/>
      <c r="L1754" s="16" t="str">
        <f>IFERROR(__xludf.DUMMYFUNCTION("""COMPUTED_VALUE"""),"")</f>
        <v/>
      </c>
      <c r="M1754" s="16" t="str">
        <f>IFERROR(__xludf.DUMMYFUNCTION("""COMPUTED_VALUE"""),"")</f>
        <v/>
      </c>
      <c r="U1754" s="16" t="s">
        <v>87</v>
      </c>
      <c r="V1754" s="16" t="str">
        <f>IFERROR(__xludf.DUMMYFUNCTION("""COMPUTED_VALUE"""),"")</f>
        <v/>
      </c>
      <c r="W1754" s="16" t="str">
        <f>IFERROR(__xludf.DUMMYFUNCTION("""COMPUTED_VALUE"""),"")</f>
        <v/>
      </c>
      <c r="X1754" s="16" t="str">
        <f>IFERROR(__xludf.DUMMYFUNCTION("""COMPUTED_VALUE"""),"")</f>
        <v/>
      </c>
      <c r="AC1754" s="16" t="str">
        <f>IFERROR(__xludf.DUMMYFUNCTION("""COMPUTED_VALUE"""),"")</f>
        <v/>
      </c>
    </row>
    <row r="1755">
      <c r="A1755" s="16" t="s">
        <v>87</v>
      </c>
      <c r="E1755" s="16" t="str">
        <f>IFERROR(__xludf.DUMMYFUNCTION("""COMPUTED_VALUE"""),"")</f>
        <v/>
      </c>
      <c r="G1755" s="18"/>
      <c r="H1755" s="16" t="s">
        <v>87</v>
      </c>
      <c r="I1755" s="16" t="s">
        <v>87</v>
      </c>
      <c r="J1755" s="19"/>
      <c r="L1755" s="16" t="str">
        <f>IFERROR(__xludf.DUMMYFUNCTION("""COMPUTED_VALUE"""),"")</f>
        <v/>
      </c>
      <c r="M1755" s="16" t="str">
        <f>IFERROR(__xludf.DUMMYFUNCTION("""COMPUTED_VALUE"""),"")</f>
        <v/>
      </c>
      <c r="U1755" s="16" t="s">
        <v>87</v>
      </c>
      <c r="V1755" s="16" t="str">
        <f>IFERROR(__xludf.DUMMYFUNCTION("""COMPUTED_VALUE"""),"")</f>
        <v/>
      </c>
      <c r="W1755" s="16" t="str">
        <f>IFERROR(__xludf.DUMMYFUNCTION("""COMPUTED_VALUE"""),"")</f>
        <v/>
      </c>
      <c r="X1755" s="16" t="str">
        <f>IFERROR(__xludf.DUMMYFUNCTION("""COMPUTED_VALUE"""),"")</f>
        <v/>
      </c>
      <c r="AC1755" s="16" t="str">
        <f>IFERROR(__xludf.DUMMYFUNCTION("""COMPUTED_VALUE"""),"")</f>
        <v/>
      </c>
    </row>
    <row r="1756">
      <c r="A1756" s="16" t="s">
        <v>87</v>
      </c>
      <c r="E1756" s="16" t="str">
        <f>IFERROR(__xludf.DUMMYFUNCTION("""COMPUTED_VALUE"""),"")</f>
        <v/>
      </c>
      <c r="G1756" s="18"/>
      <c r="H1756" s="16" t="s">
        <v>87</v>
      </c>
      <c r="I1756" s="16" t="s">
        <v>87</v>
      </c>
      <c r="J1756" s="19"/>
      <c r="L1756" s="16" t="str">
        <f>IFERROR(__xludf.DUMMYFUNCTION("""COMPUTED_VALUE"""),"")</f>
        <v/>
      </c>
      <c r="M1756" s="16" t="str">
        <f>IFERROR(__xludf.DUMMYFUNCTION("""COMPUTED_VALUE"""),"")</f>
        <v/>
      </c>
      <c r="U1756" s="16" t="s">
        <v>87</v>
      </c>
      <c r="V1756" s="16" t="str">
        <f>IFERROR(__xludf.DUMMYFUNCTION("""COMPUTED_VALUE"""),"")</f>
        <v/>
      </c>
      <c r="W1756" s="16" t="str">
        <f>IFERROR(__xludf.DUMMYFUNCTION("""COMPUTED_VALUE"""),"")</f>
        <v/>
      </c>
      <c r="X1756" s="16" t="str">
        <f>IFERROR(__xludf.DUMMYFUNCTION("""COMPUTED_VALUE"""),"")</f>
        <v/>
      </c>
      <c r="AC1756" s="16" t="str">
        <f>IFERROR(__xludf.DUMMYFUNCTION("""COMPUTED_VALUE"""),"")</f>
        <v/>
      </c>
    </row>
    <row r="1757">
      <c r="A1757" s="16" t="s">
        <v>87</v>
      </c>
      <c r="E1757" s="16" t="str">
        <f>IFERROR(__xludf.DUMMYFUNCTION("""COMPUTED_VALUE"""),"")</f>
        <v/>
      </c>
      <c r="G1757" s="18"/>
      <c r="H1757" s="16" t="s">
        <v>87</v>
      </c>
      <c r="I1757" s="16" t="s">
        <v>87</v>
      </c>
      <c r="J1757" s="19"/>
      <c r="L1757" s="16" t="str">
        <f>IFERROR(__xludf.DUMMYFUNCTION("""COMPUTED_VALUE"""),"")</f>
        <v/>
      </c>
      <c r="M1757" s="16" t="str">
        <f>IFERROR(__xludf.DUMMYFUNCTION("""COMPUTED_VALUE"""),"")</f>
        <v/>
      </c>
      <c r="U1757" s="16" t="s">
        <v>87</v>
      </c>
      <c r="V1757" s="16" t="str">
        <f>IFERROR(__xludf.DUMMYFUNCTION("""COMPUTED_VALUE"""),"")</f>
        <v/>
      </c>
      <c r="W1757" s="16" t="str">
        <f>IFERROR(__xludf.DUMMYFUNCTION("""COMPUTED_VALUE"""),"")</f>
        <v/>
      </c>
      <c r="X1757" s="16" t="str">
        <f>IFERROR(__xludf.DUMMYFUNCTION("""COMPUTED_VALUE"""),"")</f>
        <v/>
      </c>
      <c r="AC1757" s="16" t="str">
        <f>IFERROR(__xludf.DUMMYFUNCTION("""COMPUTED_VALUE"""),"")</f>
        <v/>
      </c>
    </row>
    <row r="1758">
      <c r="A1758" s="16" t="s">
        <v>87</v>
      </c>
      <c r="E1758" s="16" t="str">
        <f>IFERROR(__xludf.DUMMYFUNCTION("""COMPUTED_VALUE"""),"")</f>
        <v/>
      </c>
      <c r="G1758" s="18"/>
      <c r="H1758" s="16" t="s">
        <v>87</v>
      </c>
      <c r="I1758" s="16" t="s">
        <v>87</v>
      </c>
      <c r="J1758" s="19"/>
      <c r="L1758" s="16" t="str">
        <f>IFERROR(__xludf.DUMMYFUNCTION("""COMPUTED_VALUE"""),"")</f>
        <v/>
      </c>
      <c r="M1758" s="16" t="str">
        <f>IFERROR(__xludf.DUMMYFUNCTION("""COMPUTED_VALUE"""),"")</f>
        <v/>
      </c>
      <c r="U1758" s="16" t="s">
        <v>87</v>
      </c>
      <c r="V1758" s="16" t="str">
        <f>IFERROR(__xludf.DUMMYFUNCTION("""COMPUTED_VALUE"""),"")</f>
        <v/>
      </c>
      <c r="W1758" s="16" t="str">
        <f>IFERROR(__xludf.DUMMYFUNCTION("""COMPUTED_VALUE"""),"")</f>
        <v/>
      </c>
      <c r="X1758" s="16" t="str">
        <f>IFERROR(__xludf.DUMMYFUNCTION("""COMPUTED_VALUE"""),"")</f>
        <v/>
      </c>
      <c r="AC1758" s="16" t="str">
        <f>IFERROR(__xludf.DUMMYFUNCTION("""COMPUTED_VALUE"""),"")</f>
        <v/>
      </c>
    </row>
    <row r="1759">
      <c r="A1759" s="16" t="s">
        <v>87</v>
      </c>
      <c r="E1759" s="16" t="str">
        <f>IFERROR(__xludf.DUMMYFUNCTION("""COMPUTED_VALUE"""),"")</f>
        <v/>
      </c>
      <c r="G1759" s="18"/>
      <c r="H1759" s="16" t="s">
        <v>87</v>
      </c>
      <c r="I1759" s="16" t="s">
        <v>87</v>
      </c>
      <c r="J1759" s="19"/>
      <c r="L1759" s="16" t="str">
        <f>IFERROR(__xludf.DUMMYFUNCTION("""COMPUTED_VALUE"""),"")</f>
        <v/>
      </c>
      <c r="M1759" s="16" t="str">
        <f>IFERROR(__xludf.DUMMYFUNCTION("""COMPUTED_VALUE"""),"")</f>
        <v/>
      </c>
      <c r="U1759" s="16" t="s">
        <v>87</v>
      </c>
      <c r="V1759" s="16" t="str">
        <f>IFERROR(__xludf.DUMMYFUNCTION("""COMPUTED_VALUE"""),"")</f>
        <v/>
      </c>
      <c r="W1759" s="16" t="str">
        <f>IFERROR(__xludf.DUMMYFUNCTION("""COMPUTED_VALUE"""),"")</f>
        <v/>
      </c>
      <c r="X1759" s="16" t="str">
        <f>IFERROR(__xludf.DUMMYFUNCTION("""COMPUTED_VALUE"""),"")</f>
        <v/>
      </c>
      <c r="AC1759" s="16" t="str">
        <f>IFERROR(__xludf.DUMMYFUNCTION("""COMPUTED_VALUE"""),"")</f>
        <v/>
      </c>
    </row>
    <row r="1760">
      <c r="A1760" s="16" t="s">
        <v>87</v>
      </c>
      <c r="E1760" s="16" t="str">
        <f>IFERROR(__xludf.DUMMYFUNCTION("""COMPUTED_VALUE"""),"")</f>
        <v/>
      </c>
      <c r="G1760" s="18"/>
      <c r="H1760" s="16" t="s">
        <v>87</v>
      </c>
      <c r="I1760" s="16" t="s">
        <v>87</v>
      </c>
      <c r="J1760" s="19"/>
      <c r="L1760" s="16" t="str">
        <f>IFERROR(__xludf.DUMMYFUNCTION("""COMPUTED_VALUE"""),"")</f>
        <v/>
      </c>
      <c r="M1760" s="16" t="str">
        <f>IFERROR(__xludf.DUMMYFUNCTION("""COMPUTED_VALUE"""),"")</f>
        <v/>
      </c>
      <c r="U1760" s="16" t="s">
        <v>87</v>
      </c>
      <c r="V1760" s="16" t="str">
        <f>IFERROR(__xludf.DUMMYFUNCTION("""COMPUTED_VALUE"""),"")</f>
        <v/>
      </c>
      <c r="W1760" s="16" t="str">
        <f>IFERROR(__xludf.DUMMYFUNCTION("""COMPUTED_VALUE"""),"")</f>
        <v/>
      </c>
      <c r="X1760" s="16" t="str">
        <f>IFERROR(__xludf.DUMMYFUNCTION("""COMPUTED_VALUE"""),"")</f>
        <v/>
      </c>
      <c r="AC1760" s="16" t="str">
        <f>IFERROR(__xludf.DUMMYFUNCTION("""COMPUTED_VALUE"""),"")</f>
        <v/>
      </c>
    </row>
    <row r="1761">
      <c r="A1761" s="16" t="s">
        <v>87</v>
      </c>
      <c r="E1761" s="16" t="str">
        <f>IFERROR(__xludf.DUMMYFUNCTION("""COMPUTED_VALUE"""),"")</f>
        <v/>
      </c>
      <c r="G1761" s="18"/>
      <c r="H1761" s="16" t="s">
        <v>87</v>
      </c>
      <c r="I1761" s="16" t="s">
        <v>87</v>
      </c>
      <c r="J1761" s="19"/>
      <c r="L1761" s="16" t="str">
        <f>IFERROR(__xludf.DUMMYFUNCTION("""COMPUTED_VALUE"""),"")</f>
        <v/>
      </c>
      <c r="M1761" s="16" t="str">
        <f>IFERROR(__xludf.DUMMYFUNCTION("""COMPUTED_VALUE"""),"")</f>
        <v/>
      </c>
      <c r="U1761" s="16" t="s">
        <v>87</v>
      </c>
      <c r="V1761" s="16" t="str">
        <f>IFERROR(__xludf.DUMMYFUNCTION("""COMPUTED_VALUE"""),"")</f>
        <v/>
      </c>
      <c r="W1761" s="16" t="str">
        <f>IFERROR(__xludf.DUMMYFUNCTION("""COMPUTED_VALUE"""),"")</f>
        <v/>
      </c>
      <c r="X1761" s="16" t="str">
        <f>IFERROR(__xludf.DUMMYFUNCTION("""COMPUTED_VALUE"""),"")</f>
        <v/>
      </c>
      <c r="AC1761" s="16" t="str">
        <f>IFERROR(__xludf.DUMMYFUNCTION("""COMPUTED_VALUE"""),"")</f>
        <v/>
      </c>
    </row>
    <row r="1762">
      <c r="A1762" s="16" t="s">
        <v>87</v>
      </c>
      <c r="E1762" s="16" t="str">
        <f>IFERROR(__xludf.DUMMYFUNCTION("""COMPUTED_VALUE"""),"")</f>
        <v/>
      </c>
      <c r="G1762" s="18"/>
      <c r="H1762" s="16" t="s">
        <v>87</v>
      </c>
      <c r="I1762" s="16" t="s">
        <v>87</v>
      </c>
      <c r="J1762" s="19"/>
      <c r="L1762" s="16" t="str">
        <f>IFERROR(__xludf.DUMMYFUNCTION("""COMPUTED_VALUE"""),"")</f>
        <v/>
      </c>
      <c r="M1762" s="16" t="str">
        <f>IFERROR(__xludf.DUMMYFUNCTION("""COMPUTED_VALUE"""),"")</f>
        <v/>
      </c>
      <c r="U1762" s="16" t="s">
        <v>87</v>
      </c>
      <c r="V1762" s="16" t="str">
        <f>IFERROR(__xludf.DUMMYFUNCTION("""COMPUTED_VALUE"""),"")</f>
        <v/>
      </c>
      <c r="W1762" s="16" t="str">
        <f>IFERROR(__xludf.DUMMYFUNCTION("""COMPUTED_VALUE"""),"")</f>
        <v/>
      </c>
      <c r="X1762" s="16" t="str">
        <f>IFERROR(__xludf.DUMMYFUNCTION("""COMPUTED_VALUE"""),"")</f>
        <v/>
      </c>
      <c r="AC1762" s="16" t="str">
        <f>IFERROR(__xludf.DUMMYFUNCTION("""COMPUTED_VALUE"""),"")</f>
        <v/>
      </c>
    </row>
    <row r="1763">
      <c r="A1763" s="16" t="s">
        <v>87</v>
      </c>
      <c r="E1763" s="16" t="str">
        <f>IFERROR(__xludf.DUMMYFUNCTION("""COMPUTED_VALUE"""),"")</f>
        <v/>
      </c>
      <c r="G1763" s="18"/>
      <c r="H1763" s="16" t="s">
        <v>87</v>
      </c>
      <c r="I1763" s="16" t="s">
        <v>87</v>
      </c>
      <c r="J1763" s="19"/>
      <c r="L1763" s="16" t="str">
        <f>IFERROR(__xludf.DUMMYFUNCTION("""COMPUTED_VALUE"""),"")</f>
        <v/>
      </c>
      <c r="M1763" s="16" t="str">
        <f>IFERROR(__xludf.DUMMYFUNCTION("""COMPUTED_VALUE"""),"")</f>
        <v/>
      </c>
      <c r="U1763" s="16" t="s">
        <v>87</v>
      </c>
      <c r="V1763" s="16" t="str">
        <f>IFERROR(__xludf.DUMMYFUNCTION("""COMPUTED_VALUE"""),"")</f>
        <v/>
      </c>
      <c r="W1763" s="16" t="str">
        <f>IFERROR(__xludf.DUMMYFUNCTION("""COMPUTED_VALUE"""),"")</f>
        <v/>
      </c>
      <c r="X1763" s="16" t="str">
        <f>IFERROR(__xludf.DUMMYFUNCTION("""COMPUTED_VALUE"""),"")</f>
        <v/>
      </c>
      <c r="AC1763" s="16" t="str">
        <f>IFERROR(__xludf.DUMMYFUNCTION("""COMPUTED_VALUE"""),"")</f>
        <v/>
      </c>
    </row>
    <row r="1764">
      <c r="A1764" s="16" t="s">
        <v>87</v>
      </c>
      <c r="E1764" s="16" t="str">
        <f>IFERROR(__xludf.DUMMYFUNCTION("""COMPUTED_VALUE"""),"")</f>
        <v/>
      </c>
      <c r="G1764" s="18"/>
      <c r="H1764" s="16" t="s">
        <v>87</v>
      </c>
      <c r="I1764" s="16" t="s">
        <v>87</v>
      </c>
      <c r="J1764" s="19"/>
      <c r="L1764" s="16" t="str">
        <f>IFERROR(__xludf.DUMMYFUNCTION("""COMPUTED_VALUE"""),"")</f>
        <v/>
      </c>
      <c r="M1764" s="16" t="str">
        <f>IFERROR(__xludf.DUMMYFUNCTION("""COMPUTED_VALUE"""),"")</f>
        <v/>
      </c>
      <c r="U1764" s="16" t="s">
        <v>87</v>
      </c>
      <c r="V1764" s="16" t="str">
        <f>IFERROR(__xludf.DUMMYFUNCTION("""COMPUTED_VALUE"""),"")</f>
        <v/>
      </c>
      <c r="W1764" s="16" t="str">
        <f>IFERROR(__xludf.DUMMYFUNCTION("""COMPUTED_VALUE"""),"")</f>
        <v/>
      </c>
      <c r="X1764" s="16" t="str">
        <f>IFERROR(__xludf.DUMMYFUNCTION("""COMPUTED_VALUE"""),"")</f>
        <v/>
      </c>
      <c r="AC1764" s="16" t="str">
        <f>IFERROR(__xludf.DUMMYFUNCTION("""COMPUTED_VALUE"""),"")</f>
        <v/>
      </c>
    </row>
    <row r="1765">
      <c r="A1765" s="16" t="s">
        <v>87</v>
      </c>
      <c r="E1765" s="16" t="str">
        <f>IFERROR(__xludf.DUMMYFUNCTION("""COMPUTED_VALUE"""),"")</f>
        <v/>
      </c>
      <c r="G1765" s="18"/>
      <c r="H1765" s="16" t="s">
        <v>87</v>
      </c>
      <c r="I1765" s="16" t="s">
        <v>87</v>
      </c>
      <c r="J1765" s="19"/>
      <c r="L1765" s="16" t="str">
        <f>IFERROR(__xludf.DUMMYFUNCTION("""COMPUTED_VALUE"""),"")</f>
        <v/>
      </c>
      <c r="M1765" s="16" t="str">
        <f>IFERROR(__xludf.DUMMYFUNCTION("""COMPUTED_VALUE"""),"")</f>
        <v/>
      </c>
      <c r="U1765" s="16" t="s">
        <v>87</v>
      </c>
      <c r="V1765" s="16" t="str">
        <f>IFERROR(__xludf.DUMMYFUNCTION("""COMPUTED_VALUE"""),"")</f>
        <v/>
      </c>
      <c r="W1765" s="16" t="str">
        <f>IFERROR(__xludf.DUMMYFUNCTION("""COMPUTED_VALUE"""),"")</f>
        <v/>
      </c>
      <c r="X1765" s="16" t="str">
        <f>IFERROR(__xludf.DUMMYFUNCTION("""COMPUTED_VALUE"""),"")</f>
        <v/>
      </c>
      <c r="AC1765" s="16" t="str">
        <f>IFERROR(__xludf.DUMMYFUNCTION("""COMPUTED_VALUE"""),"")</f>
        <v/>
      </c>
    </row>
    <row r="1766">
      <c r="A1766" s="16" t="s">
        <v>87</v>
      </c>
      <c r="E1766" s="16" t="str">
        <f>IFERROR(__xludf.DUMMYFUNCTION("""COMPUTED_VALUE"""),"")</f>
        <v/>
      </c>
      <c r="G1766" s="18"/>
      <c r="H1766" s="16" t="s">
        <v>87</v>
      </c>
      <c r="I1766" s="16" t="s">
        <v>87</v>
      </c>
      <c r="J1766" s="19"/>
      <c r="L1766" s="16" t="str">
        <f>IFERROR(__xludf.DUMMYFUNCTION("""COMPUTED_VALUE"""),"")</f>
        <v/>
      </c>
      <c r="M1766" s="16" t="str">
        <f>IFERROR(__xludf.DUMMYFUNCTION("""COMPUTED_VALUE"""),"")</f>
        <v/>
      </c>
      <c r="U1766" s="16" t="s">
        <v>87</v>
      </c>
      <c r="V1766" s="16" t="str">
        <f>IFERROR(__xludf.DUMMYFUNCTION("""COMPUTED_VALUE"""),"")</f>
        <v/>
      </c>
      <c r="W1766" s="16" t="str">
        <f>IFERROR(__xludf.DUMMYFUNCTION("""COMPUTED_VALUE"""),"")</f>
        <v/>
      </c>
      <c r="X1766" s="16" t="str">
        <f>IFERROR(__xludf.DUMMYFUNCTION("""COMPUTED_VALUE"""),"")</f>
        <v/>
      </c>
      <c r="AC1766" s="16" t="str">
        <f>IFERROR(__xludf.DUMMYFUNCTION("""COMPUTED_VALUE"""),"")</f>
        <v/>
      </c>
    </row>
    <row r="1767">
      <c r="A1767" s="16" t="s">
        <v>87</v>
      </c>
      <c r="E1767" s="16" t="str">
        <f>IFERROR(__xludf.DUMMYFUNCTION("""COMPUTED_VALUE"""),"")</f>
        <v/>
      </c>
      <c r="G1767" s="18"/>
      <c r="H1767" s="16" t="s">
        <v>87</v>
      </c>
      <c r="I1767" s="16" t="s">
        <v>87</v>
      </c>
      <c r="J1767" s="19"/>
      <c r="L1767" s="16" t="str">
        <f>IFERROR(__xludf.DUMMYFUNCTION("""COMPUTED_VALUE"""),"")</f>
        <v/>
      </c>
      <c r="M1767" s="16" t="str">
        <f>IFERROR(__xludf.DUMMYFUNCTION("""COMPUTED_VALUE"""),"")</f>
        <v/>
      </c>
      <c r="U1767" s="16" t="s">
        <v>87</v>
      </c>
      <c r="V1767" s="16" t="str">
        <f>IFERROR(__xludf.DUMMYFUNCTION("""COMPUTED_VALUE"""),"")</f>
        <v/>
      </c>
      <c r="W1767" s="16" t="str">
        <f>IFERROR(__xludf.DUMMYFUNCTION("""COMPUTED_VALUE"""),"")</f>
        <v/>
      </c>
      <c r="X1767" s="16" t="str">
        <f>IFERROR(__xludf.DUMMYFUNCTION("""COMPUTED_VALUE"""),"")</f>
        <v/>
      </c>
      <c r="AC1767" s="16" t="str">
        <f>IFERROR(__xludf.DUMMYFUNCTION("""COMPUTED_VALUE"""),"")</f>
        <v/>
      </c>
    </row>
    <row r="1768">
      <c r="A1768" s="16" t="s">
        <v>87</v>
      </c>
      <c r="E1768" s="16" t="str">
        <f>IFERROR(__xludf.DUMMYFUNCTION("""COMPUTED_VALUE"""),"")</f>
        <v/>
      </c>
      <c r="G1768" s="18"/>
      <c r="H1768" s="16" t="s">
        <v>87</v>
      </c>
      <c r="I1768" s="16" t="s">
        <v>87</v>
      </c>
      <c r="J1768" s="19"/>
      <c r="L1768" s="16" t="str">
        <f>IFERROR(__xludf.DUMMYFUNCTION("""COMPUTED_VALUE"""),"")</f>
        <v/>
      </c>
      <c r="M1768" s="16" t="str">
        <f>IFERROR(__xludf.DUMMYFUNCTION("""COMPUTED_VALUE"""),"")</f>
        <v/>
      </c>
      <c r="U1768" s="16" t="s">
        <v>87</v>
      </c>
      <c r="V1768" s="16" t="str">
        <f>IFERROR(__xludf.DUMMYFUNCTION("""COMPUTED_VALUE"""),"")</f>
        <v/>
      </c>
      <c r="W1768" s="16" t="str">
        <f>IFERROR(__xludf.DUMMYFUNCTION("""COMPUTED_VALUE"""),"")</f>
        <v/>
      </c>
      <c r="X1768" s="16" t="str">
        <f>IFERROR(__xludf.DUMMYFUNCTION("""COMPUTED_VALUE"""),"")</f>
        <v/>
      </c>
      <c r="AC1768" s="16" t="str">
        <f>IFERROR(__xludf.DUMMYFUNCTION("""COMPUTED_VALUE"""),"")</f>
        <v/>
      </c>
    </row>
    <row r="1769">
      <c r="A1769" s="16" t="s">
        <v>87</v>
      </c>
      <c r="E1769" s="16" t="str">
        <f>IFERROR(__xludf.DUMMYFUNCTION("""COMPUTED_VALUE"""),"")</f>
        <v/>
      </c>
      <c r="G1769" s="18"/>
      <c r="H1769" s="16" t="s">
        <v>87</v>
      </c>
      <c r="I1769" s="16" t="s">
        <v>87</v>
      </c>
      <c r="J1769" s="19"/>
      <c r="L1769" s="16" t="str">
        <f>IFERROR(__xludf.DUMMYFUNCTION("""COMPUTED_VALUE"""),"")</f>
        <v/>
      </c>
      <c r="M1769" s="16" t="str">
        <f>IFERROR(__xludf.DUMMYFUNCTION("""COMPUTED_VALUE"""),"")</f>
        <v/>
      </c>
      <c r="U1769" s="16" t="s">
        <v>87</v>
      </c>
      <c r="V1769" s="16" t="str">
        <f>IFERROR(__xludf.DUMMYFUNCTION("""COMPUTED_VALUE"""),"")</f>
        <v/>
      </c>
      <c r="W1769" s="16" t="str">
        <f>IFERROR(__xludf.DUMMYFUNCTION("""COMPUTED_VALUE"""),"")</f>
        <v/>
      </c>
      <c r="X1769" s="16" t="str">
        <f>IFERROR(__xludf.DUMMYFUNCTION("""COMPUTED_VALUE"""),"")</f>
        <v/>
      </c>
      <c r="AC1769" s="16" t="str">
        <f>IFERROR(__xludf.DUMMYFUNCTION("""COMPUTED_VALUE"""),"")</f>
        <v/>
      </c>
    </row>
    <row r="1770">
      <c r="A1770" s="16" t="s">
        <v>87</v>
      </c>
      <c r="E1770" s="16" t="str">
        <f>IFERROR(__xludf.DUMMYFUNCTION("""COMPUTED_VALUE"""),"")</f>
        <v/>
      </c>
      <c r="G1770" s="18"/>
      <c r="H1770" s="16" t="s">
        <v>87</v>
      </c>
      <c r="I1770" s="16" t="s">
        <v>87</v>
      </c>
      <c r="J1770" s="19"/>
      <c r="L1770" s="16" t="str">
        <f>IFERROR(__xludf.DUMMYFUNCTION("""COMPUTED_VALUE"""),"")</f>
        <v/>
      </c>
      <c r="M1770" s="16" t="str">
        <f>IFERROR(__xludf.DUMMYFUNCTION("""COMPUTED_VALUE"""),"")</f>
        <v/>
      </c>
      <c r="U1770" s="16" t="s">
        <v>87</v>
      </c>
      <c r="V1770" s="16" t="str">
        <f>IFERROR(__xludf.DUMMYFUNCTION("""COMPUTED_VALUE"""),"")</f>
        <v/>
      </c>
      <c r="W1770" s="16" t="str">
        <f>IFERROR(__xludf.DUMMYFUNCTION("""COMPUTED_VALUE"""),"")</f>
        <v/>
      </c>
      <c r="X1770" s="16" t="str">
        <f>IFERROR(__xludf.DUMMYFUNCTION("""COMPUTED_VALUE"""),"")</f>
        <v/>
      </c>
      <c r="AC1770" s="16" t="str">
        <f>IFERROR(__xludf.DUMMYFUNCTION("""COMPUTED_VALUE"""),"")</f>
        <v/>
      </c>
    </row>
    <row r="1771">
      <c r="A1771" s="16" t="s">
        <v>87</v>
      </c>
      <c r="E1771" s="16" t="str">
        <f>IFERROR(__xludf.DUMMYFUNCTION("""COMPUTED_VALUE"""),"")</f>
        <v/>
      </c>
      <c r="G1771" s="18"/>
      <c r="H1771" s="16" t="s">
        <v>87</v>
      </c>
      <c r="I1771" s="16" t="s">
        <v>87</v>
      </c>
      <c r="J1771" s="19"/>
      <c r="L1771" s="16" t="str">
        <f>IFERROR(__xludf.DUMMYFUNCTION("""COMPUTED_VALUE"""),"")</f>
        <v/>
      </c>
      <c r="M1771" s="16" t="str">
        <f>IFERROR(__xludf.DUMMYFUNCTION("""COMPUTED_VALUE"""),"")</f>
        <v/>
      </c>
      <c r="U1771" s="16" t="s">
        <v>87</v>
      </c>
      <c r="V1771" s="16" t="str">
        <f>IFERROR(__xludf.DUMMYFUNCTION("""COMPUTED_VALUE"""),"")</f>
        <v/>
      </c>
      <c r="W1771" s="16" t="str">
        <f>IFERROR(__xludf.DUMMYFUNCTION("""COMPUTED_VALUE"""),"")</f>
        <v/>
      </c>
      <c r="X1771" s="16" t="str">
        <f>IFERROR(__xludf.DUMMYFUNCTION("""COMPUTED_VALUE"""),"")</f>
        <v/>
      </c>
      <c r="AC1771" s="16" t="str">
        <f>IFERROR(__xludf.DUMMYFUNCTION("""COMPUTED_VALUE"""),"")</f>
        <v/>
      </c>
    </row>
    <row r="1772">
      <c r="A1772" s="16" t="s">
        <v>87</v>
      </c>
      <c r="E1772" s="16" t="str">
        <f>IFERROR(__xludf.DUMMYFUNCTION("""COMPUTED_VALUE"""),"")</f>
        <v/>
      </c>
      <c r="G1772" s="18"/>
      <c r="H1772" s="16" t="s">
        <v>87</v>
      </c>
      <c r="I1772" s="16" t="s">
        <v>87</v>
      </c>
      <c r="J1772" s="19"/>
      <c r="L1772" s="16" t="str">
        <f>IFERROR(__xludf.DUMMYFUNCTION("""COMPUTED_VALUE"""),"")</f>
        <v/>
      </c>
      <c r="M1772" s="16" t="str">
        <f>IFERROR(__xludf.DUMMYFUNCTION("""COMPUTED_VALUE"""),"")</f>
        <v/>
      </c>
      <c r="U1772" s="16" t="s">
        <v>87</v>
      </c>
      <c r="V1772" s="16" t="str">
        <f>IFERROR(__xludf.DUMMYFUNCTION("""COMPUTED_VALUE"""),"")</f>
        <v/>
      </c>
      <c r="W1772" s="16" t="str">
        <f>IFERROR(__xludf.DUMMYFUNCTION("""COMPUTED_VALUE"""),"")</f>
        <v/>
      </c>
      <c r="X1772" s="16" t="str">
        <f>IFERROR(__xludf.DUMMYFUNCTION("""COMPUTED_VALUE"""),"")</f>
        <v/>
      </c>
      <c r="AC1772" s="16" t="str">
        <f>IFERROR(__xludf.DUMMYFUNCTION("""COMPUTED_VALUE"""),"")</f>
        <v/>
      </c>
    </row>
    <row r="1773">
      <c r="A1773" s="16" t="s">
        <v>87</v>
      </c>
      <c r="E1773" s="16" t="str">
        <f>IFERROR(__xludf.DUMMYFUNCTION("""COMPUTED_VALUE"""),"")</f>
        <v/>
      </c>
      <c r="G1773" s="18"/>
      <c r="H1773" s="16" t="s">
        <v>87</v>
      </c>
      <c r="I1773" s="16" t="s">
        <v>87</v>
      </c>
      <c r="J1773" s="19"/>
      <c r="L1773" s="16" t="str">
        <f>IFERROR(__xludf.DUMMYFUNCTION("""COMPUTED_VALUE"""),"")</f>
        <v/>
      </c>
      <c r="M1773" s="16" t="str">
        <f>IFERROR(__xludf.DUMMYFUNCTION("""COMPUTED_VALUE"""),"")</f>
        <v/>
      </c>
      <c r="U1773" s="16" t="s">
        <v>87</v>
      </c>
      <c r="V1773" s="16" t="str">
        <f>IFERROR(__xludf.DUMMYFUNCTION("""COMPUTED_VALUE"""),"")</f>
        <v/>
      </c>
      <c r="W1773" s="16" t="str">
        <f>IFERROR(__xludf.DUMMYFUNCTION("""COMPUTED_VALUE"""),"")</f>
        <v/>
      </c>
      <c r="X1773" s="16" t="str">
        <f>IFERROR(__xludf.DUMMYFUNCTION("""COMPUTED_VALUE"""),"")</f>
        <v/>
      </c>
      <c r="AC1773" s="16" t="str">
        <f>IFERROR(__xludf.DUMMYFUNCTION("""COMPUTED_VALUE"""),"")</f>
        <v/>
      </c>
    </row>
    <row r="1774">
      <c r="A1774" s="16" t="s">
        <v>87</v>
      </c>
      <c r="E1774" s="16" t="str">
        <f>IFERROR(__xludf.DUMMYFUNCTION("""COMPUTED_VALUE"""),"")</f>
        <v/>
      </c>
      <c r="G1774" s="18"/>
      <c r="H1774" s="16" t="s">
        <v>87</v>
      </c>
      <c r="I1774" s="16" t="s">
        <v>87</v>
      </c>
      <c r="J1774" s="19"/>
      <c r="L1774" s="16" t="str">
        <f>IFERROR(__xludf.DUMMYFUNCTION("""COMPUTED_VALUE"""),"")</f>
        <v/>
      </c>
      <c r="M1774" s="16" t="str">
        <f>IFERROR(__xludf.DUMMYFUNCTION("""COMPUTED_VALUE"""),"")</f>
        <v/>
      </c>
      <c r="U1774" s="16" t="s">
        <v>87</v>
      </c>
      <c r="V1774" s="16" t="str">
        <f>IFERROR(__xludf.DUMMYFUNCTION("""COMPUTED_VALUE"""),"")</f>
        <v/>
      </c>
      <c r="W1774" s="16" t="str">
        <f>IFERROR(__xludf.DUMMYFUNCTION("""COMPUTED_VALUE"""),"")</f>
        <v/>
      </c>
      <c r="X1774" s="16" t="str">
        <f>IFERROR(__xludf.DUMMYFUNCTION("""COMPUTED_VALUE"""),"")</f>
        <v/>
      </c>
      <c r="AC1774" s="16" t="str">
        <f>IFERROR(__xludf.DUMMYFUNCTION("""COMPUTED_VALUE"""),"")</f>
        <v/>
      </c>
    </row>
    <row r="1775">
      <c r="A1775" s="16" t="s">
        <v>87</v>
      </c>
      <c r="E1775" s="16" t="str">
        <f>IFERROR(__xludf.DUMMYFUNCTION("""COMPUTED_VALUE"""),"")</f>
        <v/>
      </c>
      <c r="G1775" s="18"/>
      <c r="H1775" s="16" t="s">
        <v>87</v>
      </c>
      <c r="I1775" s="16" t="s">
        <v>87</v>
      </c>
      <c r="J1775" s="19"/>
      <c r="L1775" s="16" t="str">
        <f>IFERROR(__xludf.DUMMYFUNCTION("""COMPUTED_VALUE"""),"")</f>
        <v/>
      </c>
      <c r="M1775" s="16" t="str">
        <f>IFERROR(__xludf.DUMMYFUNCTION("""COMPUTED_VALUE"""),"")</f>
        <v/>
      </c>
      <c r="U1775" s="16" t="s">
        <v>87</v>
      </c>
      <c r="V1775" s="16" t="str">
        <f>IFERROR(__xludf.DUMMYFUNCTION("""COMPUTED_VALUE"""),"")</f>
        <v/>
      </c>
      <c r="W1775" s="16" t="str">
        <f>IFERROR(__xludf.DUMMYFUNCTION("""COMPUTED_VALUE"""),"")</f>
        <v/>
      </c>
      <c r="X1775" s="16" t="str">
        <f>IFERROR(__xludf.DUMMYFUNCTION("""COMPUTED_VALUE"""),"")</f>
        <v/>
      </c>
      <c r="AC1775" s="16" t="str">
        <f>IFERROR(__xludf.DUMMYFUNCTION("""COMPUTED_VALUE"""),"")</f>
        <v/>
      </c>
    </row>
    <row r="1776">
      <c r="A1776" s="16" t="s">
        <v>87</v>
      </c>
      <c r="E1776" s="16" t="str">
        <f>IFERROR(__xludf.DUMMYFUNCTION("""COMPUTED_VALUE"""),"")</f>
        <v/>
      </c>
      <c r="G1776" s="18"/>
      <c r="H1776" s="16" t="s">
        <v>87</v>
      </c>
      <c r="I1776" s="16" t="s">
        <v>87</v>
      </c>
      <c r="J1776" s="19"/>
      <c r="L1776" s="16" t="str">
        <f>IFERROR(__xludf.DUMMYFUNCTION("""COMPUTED_VALUE"""),"")</f>
        <v/>
      </c>
      <c r="M1776" s="16" t="str">
        <f>IFERROR(__xludf.DUMMYFUNCTION("""COMPUTED_VALUE"""),"")</f>
        <v/>
      </c>
      <c r="U1776" s="16" t="s">
        <v>87</v>
      </c>
      <c r="V1776" s="16" t="str">
        <f>IFERROR(__xludf.DUMMYFUNCTION("""COMPUTED_VALUE"""),"")</f>
        <v/>
      </c>
      <c r="W1776" s="16" t="str">
        <f>IFERROR(__xludf.DUMMYFUNCTION("""COMPUTED_VALUE"""),"")</f>
        <v/>
      </c>
      <c r="X1776" s="16" t="str">
        <f>IFERROR(__xludf.DUMMYFUNCTION("""COMPUTED_VALUE"""),"")</f>
        <v/>
      </c>
      <c r="AC1776" s="16" t="str">
        <f>IFERROR(__xludf.DUMMYFUNCTION("""COMPUTED_VALUE"""),"")</f>
        <v/>
      </c>
    </row>
    <row r="1777">
      <c r="A1777" s="16" t="s">
        <v>87</v>
      </c>
      <c r="E1777" s="16" t="str">
        <f>IFERROR(__xludf.DUMMYFUNCTION("""COMPUTED_VALUE"""),"")</f>
        <v/>
      </c>
      <c r="G1777" s="18"/>
      <c r="H1777" s="16" t="s">
        <v>87</v>
      </c>
      <c r="I1777" s="16" t="s">
        <v>87</v>
      </c>
      <c r="J1777" s="19"/>
      <c r="L1777" s="16" t="str">
        <f>IFERROR(__xludf.DUMMYFUNCTION("""COMPUTED_VALUE"""),"")</f>
        <v/>
      </c>
      <c r="M1777" s="16" t="str">
        <f>IFERROR(__xludf.DUMMYFUNCTION("""COMPUTED_VALUE"""),"")</f>
        <v/>
      </c>
      <c r="U1777" s="16" t="s">
        <v>87</v>
      </c>
      <c r="V1777" s="16" t="str">
        <f>IFERROR(__xludf.DUMMYFUNCTION("""COMPUTED_VALUE"""),"")</f>
        <v/>
      </c>
      <c r="W1777" s="16" t="str">
        <f>IFERROR(__xludf.DUMMYFUNCTION("""COMPUTED_VALUE"""),"")</f>
        <v/>
      </c>
      <c r="X1777" s="16" t="str">
        <f>IFERROR(__xludf.DUMMYFUNCTION("""COMPUTED_VALUE"""),"")</f>
        <v/>
      </c>
      <c r="AC1777" s="16" t="str">
        <f>IFERROR(__xludf.DUMMYFUNCTION("""COMPUTED_VALUE"""),"")</f>
        <v/>
      </c>
    </row>
    <row r="1778">
      <c r="A1778" s="16" t="s">
        <v>87</v>
      </c>
      <c r="E1778" s="16" t="str">
        <f>IFERROR(__xludf.DUMMYFUNCTION("""COMPUTED_VALUE"""),"")</f>
        <v/>
      </c>
      <c r="G1778" s="18"/>
      <c r="H1778" s="16" t="s">
        <v>87</v>
      </c>
      <c r="I1778" s="16" t="s">
        <v>87</v>
      </c>
      <c r="J1778" s="19"/>
      <c r="L1778" s="16" t="str">
        <f>IFERROR(__xludf.DUMMYFUNCTION("""COMPUTED_VALUE"""),"")</f>
        <v/>
      </c>
      <c r="M1778" s="16" t="str">
        <f>IFERROR(__xludf.DUMMYFUNCTION("""COMPUTED_VALUE"""),"")</f>
        <v/>
      </c>
      <c r="U1778" s="16" t="s">
        <v>87</v>
      </c>
      <c r="V1778" s="16" t="str">
        <f>IFERROR(__xludf.DUMMYFUNCTION("""COMPUTED_VALUE"""),"")</f>
        <v/>
      </c>
      <c r="W1778" s="16" t="str">
        <f>IFERROR(__xludf.DUMMYFUNCTION("""COMPUTED_VALUE"""),"")</f>
        <v/>
      </c>
      <c r="X1778" s="16" t="str">
        <f>IFERROR(__xludf.DUMMYFUNCTION("""COMPUTED_VALUE"""),"")</f>
        <v/>
      </c>
      <c r="AC1778" s="16" t="str">
        <f>IFERROR(__xludf.DUMMYFUNCTION("""COMPUTED_VALUE"""),"")</f>
        <v/>
      </c>
    </row>
    <row r="1779">
      <c r="A1779" s="16" t="s">
        <v>87</v>
      </c>
      <c r="E1779" s="16" t="str">
        <f>IFERROR(__xludf.DUMMYFUNCTION("""COMPUTED_VALUE"""),"")</f>
        <v/>
      </c>
      <c r="G1779" s="18"/>
      <c r="H1779" s="16" t="s">
        <v>87</v>
      </c>
      <c r="I1779" s="16" t="s">
        <v>87</v>
      </c>
      <c r="J1779" s="19"/>
      <c r="L1779" s="16" t="str">
        <f>IFERROR(__xludf.DUMMYFUNCTION("""COMPUTED_VALUE"""),"")</f>
        <v/>
      </c>
      <c r="M1779" s="16" t="str">
        <f>IFERROR(__xludf.DUMMYFUNCTION("""COMPUTED_VALUE"""),"")</f>
        <v/>
      </c>
      <c r="U1779" s="16" t="s">
        <v>87</v>
      </c>
      <c r="V1779" s="16" t="str">
        <f>IFERROR(__xludf.DUMMYFUNCTION("""COMPUTED_VALUE"""),"")</f>
        <v/>
      </c>
      <c r="W1779" s="16" t="str">
        <f>IFERROR(__xludf.DUMMYFUNCTION("""COMPUTED_VALUE"""),"")</f>
        <v/>
      </c>
      <c r="X1779" s="16" t="str">
        <f>IFERROR(__xludf.DUMMYFUNCTION("""COMPUTED_VALUE"""),"")</f>
        <v/>
      </c>
      <c r="AC1779" s="16" t="str">
        <f>IFERROR(__xludf.DUMMYFUNCTION("""COMPUTED_VALUE"""),"")</f>
        <v/>
      </c>
    </row>
    <row r="1780">
      <c r="A1780" s="16" t="s">
        <v>87</v>
      </c>
      <c r="E1780" s="16" t="str">
        <f>IFERROR(__xludf.DUMMYFUNCTION("""COMPUTED_VALUE"""),"")</f>
        <v/>
      </c>
      <c r="G1780" s="18"/>
      <c r="H1780" s="16" t="s">
        <v>87</v>
      </c>
      <c r="I1780" s="16" t="s">
        <v>87</v>
      </c>
      <c r="J1780" s="19"/>
      <c r="L1780" s="16" t="str">
        <f>IFERROR(__xludf.DUMMYFUNCTION("""COMPUTED_VALUE"""),"")</f>
        <v/>
      </c>
      <c r="M1780" s="16" t="str">
        <f>IFERROR(__xludf.DUMMYFUNCTION("""COMPUTED_VALUE"""),"")</f>
        <v/>
      </c>
      <c r="U1780" s="16" t="s">
        <v>87</v>
      </c>
      <c r="V1780" s="16" t="str">
        <f>IFERROR(__xludf.DUMMYFUNCTION("""COMPUTED_VALUE"""),"")</f>
        <v/>
      </c>
      <c r="W1780" s="16" t="str">
        <f>IFERROR(__xludf.DUMMYFUNCTION("""COMPUTED_VALUE"""),"")</f>
        <v/>
      </c>
      <c r="X1780" s="16" t="str">
        <f>IFERROR(__xludf.DUMMYFUNCTION("""COMPUTED_VALUE"""),"")</f>
        <v/>
      </c>
      <c r="AC1780" s="16" t="str">
        <f>IFERROR(__xludf.DUMMYFUNCTION("""COMPUTED_VALUE"""),"")</f>
        <v/>
      </c>
    </row>
    <row r="1781">
      <c r="A1781" s="16" t="s">
        <v>87</v>
      </c>
      <c r="E1781" s="16" t="str">
        <f>IFERROR(__xludf.DUMMYFUNCTION("""COMPUTED_VALUE"""),"")</f>
        <v/>
      </c>
      <c r="G1781" s="18"/>
      <c r="H1781" s="16" t="s">
        <v>87</v>
      </c>
      <c r="I1781" s="16" t="s">
        <v>87</v>
      </c>
      <c r="J1781" s="19"/>
      <c r="L1781" s="16" t="str">
        <f>IFERROR(__xludf.DUMMYFUNCTION("""COMPUTED_VALUE"""),"")</f>
        <v/>
      </c>
      <c r="M1781" s="16" t="str">
        <f>IFERROR(__xludf.DUMMYFUNCTION("""COMPUTED_VALUE"""),"")</f>
        <v/>
      </c>
      <c r="U1781" s="16" t="s">
        <v>87</v>
      </c>
      <c r="V1781" s="16" t="str">
        <f>IFERROR(__xludf.DUMMYFUNCTION("""COMPUTED_VALUE"""),"")</f>
        <v/>
      </c>
      <c r="W1781" s="16" t="str">
        <f>IFERROR(__xludf.DUMMYFUNCTION("""COMPUTED_VALUE"""),"")</f>
        <v/>
      </c>
      <c r="X1781" s="16" t="str">
        <f>IFERROR(__xludf.DUMMYFUNCTION("""COMPUTED_VALUE"""),"")</f>
        <v/>
      </c>
      <c r="AC1781" s="16" t="str">
        <f>IFERROR(__xludf.DUMMYFUNCTION("""COMPUTED_VALUE"""),"")</f>
        <v/>
      </c>
    </row>
    <row r="1782">
      <c r="A1782" s="16" t="s">
        <v>87</v>
      </c>
      <c r="E1782" s="16" t="str">
        <f>IFERROR(__xludf.DUMMYFUNCTION("""COMPUTED_VALUE"""),"")</f>
        <v/>
      </c>
      <c r="G1782" s="18"/>
      <c r="H1782" s="16" t="s">
        <v>87</v>
      </c>
      <c r="I1782" s="16" t="s">
        <v>87</v>
      </c>
      <c r="J1782" s="19"/>
      <c r="L1782" s="16" t="str">
        <f>IFERROR(__xludf.DUMMYFUNCTION("""COMPUTED_VALUE"""),"")</f>
        <v/>
      </c>
      <c r="M1782" s="16" t="str">
        <f>IFERROR(__xludf.DUMMYFUNCTION("""COMPUTED_VALUE"""),"")</f>
        <v/>
      </c>
      <c r="U1782" s="16" t="s">
        <v>87</v>
      </c>
      <c r="V1782" s="16" t="str">
        <f>IFERROR(__xludf.DUMMYFUNCTION("""COMPUTED_VALUE"""),"")</f>
        <v/>
      </c>
      <c r="W1782" s="16" t="str">
        <f>IFERROR(__xludf.DUMMYFUNCTION("""COMPUTED_VALUE"""),"")</f>
        <v/>
      </c>
      <c r="X1782" s="16" t="str">
        <f>IFERROR(__xludf.DUMMYFUNCTION("""COMPUTED_VALUE"""),"")</f>
        <v/>
      </c>
      <c r="AC1782" s="16" t="str">
        <f>IFERROR(__xludf.DUMMYFUNCTION("""COMPUTED_VALUE"""),"")</f>
        <v/>
      </c>
    </row>
    <row r="1783">
      <c r="A1783" s="16" t="s">
        <v>87</v>
      </c>
      <c r="E1783" s="16" t="str">
        <f>IFERROR(__xludf.DUMMYFUNCTION("""COMPUTED_VALUE"""),"")</f>
        <v/>
      </c>
      <c r="G1783" s="18"/>
      <c r="H1783" s="16" t="s">
        <v>87</v>
      </c>
      <c r="I1783" s="16" t="s">
        <v>87</v>
      </c>
      <c r="J1783" s="19"/>
      <c r="L1783" s="16" t="str">
        <f>IFERROR(__xludf.DUMMYFUNCTION("""COMPUTED_VALUE"""),"")</f>
        <v/>
      </c>
      <c r="M1783" s="16" t="str">
        <f>IFERROR(__xludf.DUMMYFUNCTION("""COMPUTED_VALUE"""),"")</f>
        <v/>
      </c>
      <c r="U1783" s="16" t="s">
        <v>87</v>
      </c>
      <c r="V1783" s="16" t="str">
        <f>IFERROR(__xludf.DUMMYFUNCTION("""COMPUTED_VALUE"""),"")</f>
        <v/>
      </c>
      <c r="W1783" s="16" t="str">
        <f>IFERROR(__xludf.DUMMYFUNCTION("""COMPUTED_VALUE"""),"")</f>
        <v/>
      </c>
      <c r="X1783" s="16" t="str">
        <f>IFERROR(__xludf.DUMMYFUNCTION("""COMPUTED_VALUE"""),"")</f>
        <v/>
      </c>
      <c r="AC1783" s="16" t="str">
        <f>IFERROR(__xludf.DUMMYFUNCTION("""COMPUTED_VALUE"""),"")</f>
        <v/>
      </c>
    </row>
    <row r="1784">
      <c r="A1784" s="16" t="s">
        <v>87</v>
      </c>
      <c r="E1784" s="16" t="str">
        <f>IFERROR(__xludf.DUMMYFUNCTION("""COMPUTED_VALUE"""),"")</f>
        <v/>
      </c>
      <c r="G1784" s="18"/>
      <c r="H1784" s="16" t="s">
        <v>87</v>
      </c>
      <c r="I1784" s="16" t="s">
        <v>87</v>
      </c>
      <c r="J1784" s="19"/>
      <c r="L1784" s="16" t="str">
        <f>IFERROR(__xludf.DUMMYFUNCTION("""COMPUTED_VALUE"""),"")</f>
        <v/>
      </c>
      <c r="M1784" s="16" t="str">
        <f>IFERROR(__xludf.DUMMYFUNCTION("""COMPUTED_VALUE"""),"")</f>
        <v/>
      </c>
      <c r="U1784" s="16" t="s">
        <v>87</v>
      </c>
      <c r="V1784" s="16" t="str">
        <f>IFERROR(__xludf.DUMMYFUNCTION("""COMPUTED_VALUE"""),"")</f>
        <v/>
      </c>
      <c r="W1784" s="16" t="str">
        <f>IFERROR(__xludf.DUMMYFUNCTION("""COMPUTED_VALUE"""),"")</f>
        <v/>
      </c>
      <c r="X1784" s="16" t="str">
        <f>IFERROR(__xludf.DUMMYFUNCTION("""COMPUTED_VALUE"""),"")</f>
        <v/>
      </c>
      <c r="AC1784" s="16" t="str">
        <f>IFERROR(__xludf.DUMMYFUNCTION("""COMPUTED_VALUE"""),"")</f>
        <v/>
      </c>
    </row>
    <row r="1785">
      <c r="A1785" s="16" t="s">
        <v>87</v>
      </c>
      <c r="E1785" s="16" t="str">
        <f>IFERROR(__xludf.DUMMYFUNCTION("""COMPUTED_VALUE"""),"")</f>
        <v/>
      </c>
      <c r="G1785" s="18"/>
      <c r="H1785" s="16" t="s">
        <v>87</v>
      </c>
      <c r="I1785" s="16" t="s">
        <v>87</v>
      </c>
      <c r="J1785" s="19"/>
      <c r="L1785" s="16" t="str">
        <f>IFERROR(__xludf.DUMMYFUNCTION("""COMPUTED_VALUE"""),"")</f>
        <v/>
      </c>
      <c r="M1785" s="16" t="str">
        <f>IFERROR(__xludf.DUMMYFUNCTION("""COMPUTED_VALUE"""),"")</f>
        <v/>
      </c>
      <c r="U1785" s="16" t="s">
        <v>87</v>
      </c>
      <c r="V1785" s="16" t="str">
        <f>IFERROR(__xludf.DUMMYFUNCTION("""COMPUTED_VALUE"""),"")</f>
        <v/>
      </c>
      <c r="W1785" s="16" t="str">
        <f>IFERROR(__xludf.DUMMYFUNCTION("""COMPUTED_VALUE"""),"")</f>
        <v/>
      </c>
      <c r="X1785" s="16" t="str">
        <f>IFERROR(__xludf.DUMMYFUNCTION("""COMPUTED_VALUE"""),"")</f>
        <v/>
      </c>
      <c r="AC1785" s="16" t="str">
        <f>IFERROR(__xludf.DUMMYFUNCTION("""COMPUTED_VALUE"""),"")</f>
        <v/>
      </c>
    </row>
    <row r="1786">
      <c r="A1786" s="16" t="s">
        <v>87</v>
      </c>
      <c r="E1786" s="16" t="str">
        <f>IFERROR(__xludf.DUMMYFUNCTION("""COMPUTED_VALUE"""),"")</f>
        <v/>
      </c>
      <c r="G1786" s="18"/>
      <c r="H1786" s="16" t="s">
        <v>87</v>
      </c>
      <c r="I1786" s="16" t="s">
        <v>87</v>
      </c>
      <c r="J1786" s="19"/>
      <c r="L1786" s="16" t="str">
        <f>IFERROR(__xludf.DUMMYFUNCTION("""COMPUTED_VALUE"""),"")</f>
        <v/>
      </c>
      <c r="M1786" s="16" t="str">
        <f>IFERROR(__xludf.DUMMYFUNCTION("""COMPUTED_VALUE"""),"")</f>
        <v/>
      </c>
      <c r="U1786" s="16" t="s">
        <v>87</v>
      </c>
      <c r="V1786" s="16" t="str">
        <f>IFERROR(__xludf.DUMMYFUNCTION("""COMPUTED_VALUE"""),"")</f>
        <v/>
      </c>
      <c r="W1786" s="16" t="str">
        <f>IFERROR(__xludf.DUMMYFUNCTION("""COMPUTED_VALUE"""),"")</f>
        <v/>
      </c>
      <c r="X1786" s="16" t="str">
        <f>IFERROR(__xludf.DUMMYFUNCTION("""COMPUTED_VALUE"""),"")</f>
        <v/>
      </c>
      <c r="AC1786" s="16" t="str">
        <f>IFERROR(__xludf.DUMMYFUNCTION("""COMPUTED_VALUE"""),"")</f>
        <v/>
      </c>
    </row>
    <row r="1787">
      <c r="A1787" s="16" t="s">
        <v>87</v>
      </c>
      <c r="E1787" s="16" t="str">
        <f>IFERROR(__xludf.DUMMYFUNCTION("""COMPUTED_VALUE"""),"")</f>
        <v/>
      </c>
      <c r="G1787" s="18"/>
      <c r="H1787" s="16" t="s">
        <v>87</v>
      </c>
      <c r="I1787" s="16" t="s">
        <v>87</v>
      </c>
      <c r="J1787" s="19"/>
      <c r="L1787" s="16" t="str">
        <f>IFERROR(__xludf.DUMMYFUNCTION("""COMPUTED_VALUE"""),"")</f>
        <v/>
      </c>
      <c r="M1787" s="16" t="str">
        <f>IFERROR(__xludf.DUMMYFUNCTION("""COMPUTED_VALUE"""),"")</f>
        <v/>
      </c>
      <c r="U1787" s="16" t="s">
        <v>87</v>
      </c>
      <c r="V1787" s="16" t="str">
        <f>IFERROR(__xludf.DUMMYFUNCTION("""COMPUTED_VALUE"""),"")</f>
        <v/>
      </c>
      <c r="W1787" s="16" t="str">
        <f>IFERROR(__xludf.DUMMYFUNCTION("""COMPUTED_VALUE"""),"")</f>
        <v/>
      </c>
      <c r="X1787" s="16" t="str">
        <f>IFERROR(__xludf.DUMMYFUNCTION("""COMPUTED_VALUE"""),"")</f>
        <v/>
      </c>
      <c r="AC1787" s="16" t="str">
        <f>IFERROR(__xludf.DUMMYFUNCTION("""COMPUTED_VALUE"""),"")</f>
        <v/>
      </c>
    </row>
    <row r="1788">
      <c r="A1788" s="16" t="s">
        <v>87</v>
      </c>
      <c r="E1788" s="16" t="str">
        <f>IFERROR(__xludf.DUMMYFUNCTION("""COMPUTED_VALUE"""),"")</f>
        <v/>
      </c>
      <c r="G1788" s="18"/>
      <c r="H1788" s="16" t="s">
        <v>87</v>
      </c>
      <c r="I1788" s="16" t="s">
        <v>87</v>
      </c>
      <c r="J1788" s="19"/>
      <c r="L1788" s="16" t="str">
        <f>IFERROR(__xludf.DUMMYFUNCTION("""COMPUTED_VALUE"""),"")</f>
        <v/>
      </c>
      <c r="M1788" s="16" t="str">
        <f>IFERROR(__xludf.DUMMYFUNCTION("""COMPUTED_VALUE"""),"")</f>
        <v/>
      </c>
      <c r="U1788" s="16" t="s">
        <v>87</v>
      </c>
      <c r="V1788" s="16" t="str">
        <f>IFERROR(__xludf.DUMMYFUNCTION("""COMPUTED_VALUE"""),"")</f>
        <v/>
      </c>
      <c r="W1788" s="16" t="str">
        <f>IFERROR(__xludf.DUMMYFUNCTION("""COMPUTED_VALUE"""),"")</f>
        <v/>
      </c>
      <c r="X1788" s="16" t="str">
        <f>IFERROR(__xludf.DUMMYFUNCTION("""COMPUTED_VALUE"""),"")</f>
        <v/>
      </c>
      <c r="AC1788" s="16" t="str">
        <f>IFERROR(__xludf.DUMMYFUNCTION("""COMPUTED_VALUE"""),"")</f>
        <v/>
      </c>
    </row>
    <row r="1789">
      <c r="A1789" s="16" t="s">
        <v>87</v>
      </c>
      <c r="E1789" s="16" t="str">
        <f>IFERROR(__xludf.DUMMYFUNCTION("""COMPUTED_VALUE"""),"")</f>
        <v/>
      </c>
      <c r="G1789" s="18"/>
      <c r="H1789" s="16" t="s">
        <v>87</v>
      </c>
      <c r="I1789" s="16" t="s">
        <v>87</v>
      </c>
      <c r="J1789" s="19"/>
      <c r="L1789" s="16" t="str">
        <f>IFERROR(__xludf.DUMMYFUNCTION("""COMPUTED_VALUE"""),"")</f>
        <v/>
      </c>
      <c r="M1789" s="16" t="str">
        <f>IFERROR(__xludf.DUMMYFUNCTION("""COMPUTED_VALUE"""),"")</f>
        <v/>
      </c>
      <c r="U1789" s="16" t="s">
        <v>87</v>
      </c>
      <c r="V1789" s="16" t="str">
        <f>IFERROR(__xludf.DUMMYFUNCTION("""COMPUTED_VALUE"""),"")</f>
        <v/>
      </c>
      <c r="W1789" s="16" t="str">
        <f>IFERROR(__xludf.DUMMYFUNCTION("""COMPUTED_VALUE"""),"")</f>
        <v/>
      </c>
      <c r="X1789" s="16" t="str">
        <f>IFERROR(__xludf.DUMMYFUNCTION("""COMPUTED_VALUE"""),"")</f>
        <v/>
      </c>
      <c r="AC1789" s="16" t="str">
        <f>IFERROR(__xludf.DUMMYFUNCTION("""COMPUTED_VALUE"""),"")</f>
        <v/>
      </c>
    </row>
    <row r="1790">
      <c r="A1790" s="16" t="s">
        <v>87</v>
      </c>
      <c r="E1790" s="16" t="str">
        <f>IFERROR(__xludf.DUMMYFUNCTION("""COMPUTED_VALUE"""),"")</f>
        <v/>
      </c>
      <c r="G1790" s="18"/>
      <c r="H1790" s="16" t="s">
        <v>87</v>
      </c>
      <c r="I1790" s="16" t="s">
        <v>87</v>
      </c>
      <c r="J1790" s="19"/>
      <c r="L1790" s="16" t="str">
        <f>IFERROR(__xludf.DUMMYFUNCTION("""COMPUTED_VALUE"""),"")</f>
        <v/>
      </c>
      <c r="M1790" s="16" t="str">
        <f>IFERROR(__xludf.DUMMYFUNCTION("""COMPUTED_VALUE"""),"")</f>
        <v/>
      </c>
      <c r="U1790" s="16" t="s">
        <v>87</v>
      </c>
      <c r="V1790" s="16" t="str">
        <f>IFERROR(__xludf.DUMMYFUNCTION("""COMPUTED_VALUE"""),"")</f>
        <v/>
      </c>
      <c r="W1790" s="16" t="str">
        <f>IFERROR(__xludf.DUMMYFUNCTION("""COMPUTED_VALUE"""),"")</f>
        <v/>
      </c>
      <c r="X1790" s="16" t="str">
        <f>IFERROR(__xludf.DUMMYFUNCTION("""COMPUTED_VALUE"""),"")</f>
        <v/>
      </c>
      <c r="AC1790" s="16" t="str">
        <f>IFERROR(__xludf.DUMMYFUNCTION("""COMPUTED_VALUE"""),"")</f>
        <v/>
      </c>
    </row>
    <row r="1791">
      <c r="A1791" s="16" t="s">
        <v>87</v>
      </c>
      <c r="E1791" s="16" t="str">
        <f>IFERROR(__xludf.DUMMYFUNCTION("""COMPUTED_VALUE"""),"")</f>
        <v/>
      </c>
      <c r="G1791" s="18"/>
      <c r="H1791" s="16" t="s">
        <v>87</v>
      </c>
      <c r="I1791" s="16" t="s">
        <v>87</v>
      </c>
      <c r="J1791" s="19"/>
      <c r="L1791" s="16" t="str">
        <f>IFERROR(__xludf.DUMMYFUNCTION("""COMPUTED_VALUE"""),"")</f>
        <v/>
      </c>
      <c r="M1791" s="16" t="str">
        <f>IFERROR(__xludf.DUMMYFUNCTION("""COMPUTED_VALUE"""),"")</f>
        <v/>
      </c>
      <c r="U1791" s="16" t="s">
        <v>87</v>
      </c>
      <c r="V1791" s="16" t="str">
        <f>IFERROR(__xludf.DUMMYFUNCTION("""COMPUTED_VALUE"""),"")</f>
        <v/>
      </c>
      <c r="W1791" s="16" t="str">
        <f>IFERROR(__xludf.DUMMYFUNCTION("""COMPUTED_VALUE"""),"")</f>
        <v/>
      </c>
      <c r="X1791" s="16" t="str">
        <f>IFERROR(__xludf.DUMMYFUNCTION("""COMPUTED_VALUE"""),"")</f>
        <v/>
      </c>
      <c r="AC1791" s="16" t="str">
        <f>IFERROR(__xludf.DUMMYFUNCTION("""COMPUTED_VALUE"""),"")</f>
        <v/>
      </c>
    </row>
    <row r="1792">
      <c r="A1792" s="16" t="s">
        <v>87</v>
      </c>
      <c r="E1792" s="16" t="str">
        <f>IFERROR(__xludf.DUMMYFUNCTION("""COMPUTED_VALUE"""),"")</f>
        <v/>
      </c>
      <c r="G1792" s="18"/>
      <c r="H1792" s="16" t="s">
        <v>87</v>
      </c>
      <c r="I1792" s="16" t="s">
        <v>87</v>
      </c>
      <c r="J1792" s="19"/>
      <c r="L1792" s="16" t="str">
        <f>IFERROR(__xludf.DUMMYFUNCTION("""COMPUTED_VALUE"""),"")</f>
        <v/>
      </c>
      <c r="M1792" s="16" t="str">
        <f>IFERROR(__xludf.DUMMYFUNCTION("""COMPUTED_VALUE"""),"")</f>
        <v/>
      </c>
      <c r="U1792" s="16" t="s">
        <v>87</v>
      </c>
      <c r="V1792" s="16" t="str">
        <f>IFERROR(__xludf.DUMMYFUNCTION("""COMPUTED_VALUE"""),"")</f>
        <v/>
      </c>
      <c r="W1792" s="16" t="str">
        <f>IFERROR(__xludf.DUMMYFUNCTION("""COMPUTED_VALUE"""),"")</f>
        <v/>
      </c>
      <c r="X1792" s="16" t="str">
        <f>IFERROR(__xludf.DUMMYFUNCTION("""COMPUTED_VALUE"""),"")</f>
        <v/>
      </c>
      <c r="AC1792" s="16" t="str">
        <f>IFERROR(__xludf.DUMMYFUNCTION("""COMPUTED_VALUE"""),"")</f>
        <v/>
      </c>
    </row>
    <row r="1793">
      <c r="A1793" s="16" t="s">
        <v>87</v>
      </c>
      <c r="E1793" s="16" t="str">
        <f>IFERROR(__xludf.DUMMYFUNCTION("""COMPUTED_VALUE"""),"")</f>
        <v/>
      </c>
      <c r="G1793" s="18"/>
      <c r="H1793" s="16" t="s">
        <v>87</v>
      </c>
      <c r="I1793" s="16" t="s">
        <v>87</v>
      </c>
      <c r="J1793" s="19"/>
      <c r="L1793" s="16" t="str">
        <f>IFERROR(__xludf.DUMMYFUNCTION("""COMPUTED_VALUE"""),"")</f>
        <v/>
      </c>
      <c r="M1793" s="16" t="str">
        <f>IFERROR(__xludf.DUMMYFUNCTION("""COMPUTED_VALUE"""),"")</f>
        <v/>
      </c>
      <c r="U1793" s="16" t="s">
        <v>87</v>
      </c>
      <c r="V1793" s="16" t="str">
        <f>IFERROR(__xludf.DUMMYFUNCTION("""COMPUTED_VALUE"""),"")</f>
        <v/>
      </c>
      <c r="W1793" s="16" t="str">
        <f>IFERROR(__xludf.DUMMYFUNCTION("""COMPUTED_VALUE"""),"")</f>
        <v/>
      </c>
      <c r="X1793" s="16" t="str">
        <f>IFERROR(__xludf.DUMMYFUNCTION("""COMPUTED_VALUE"""),"")</f>
        <v/>
      </c>
      <c r="AC1793" s="16" t="str">
        <f>IFERROR(__xludf.DUMMYFUNCTION("""COMPUTED_VALUE"""),"")</f>
        <v/>
      </c>
    </row>
    <row r="1794">
      <c r="A1794" s="16" t="s">
        <v>87</v>
      </c>
      <c r="E1794" s="16" t="str">
        <f>IFERROR(__xludf.DUMMYFUNCTION("""COMPUTED_VALUE"""),"")</f>
        <v/>
      </c>
      <c r="G1794" s="18"/>
      <c r="H1794" s="16" t="s">
        <v>87</v>
      </c>
      <c r="I1794" s="16" t="s">
        <v>87</v>
      </c>
      <c r="J1794" s="19"/>
      <c r="L1794" s="16" t="str">
        <f>IFERROR(__xludf.DUMMYFUNCTION("""COMPUTED_VALUE"""),"")</f>
        <v/>
      </c>
      <c r="M1794" s="16" t="str">
        <f>IFERROR(__xludf.DUMMYFUNCTION("""COMPUTED_VALUE"""),"")</f>
        <v/>
      </c>
      <c r="U1794" s="16" t="s">
        <v>87</v>
      </c>
      <c r="V1794" s="16" t="str">
        <f>IFERROR(__xludf.DUMMYFUNCTION("""COMPUTED_VALUE"""),"")</f>
        <v/>
      </c>
      <c r="W1794" s="16" t="str">
        <f>IFERROR(__xludf.DUMMYFUNCTION("""COMPUTED_VALUE"""),"")</f>
        <v/>
      </c>
      <c r="X1794" s="16" t="str">
        <f>IFERROR(__xludf.DUMMYFUNCTION("""COMPUTED_VALUE"""),"")</f>
        <v/>
      </c>
      <c r="AC1794" s="16" t="str">
        <f>IFERROR(__xludf.DUMMYFUNCTION("""COMPUTED_VALUE"""),"")</f>
        <v/>
      </c>
    </row>
    <row r="1795">
      <c r="A1795" s="16" t="s">
        <v>87</v>
      </c>
      <c r="E1795" s="16" t="str">
        <f>IFERROR(__xludf.DUMMYFUNCTION("""COMPUTED_VALUE"""),"")</f>
        <v/>
      </c>
      <c r="G1795" s="18"/>
      <c r="H1795" s="16" t="s">
        <v>87</v>
      </c>
      <c r="I1795" s="16" t="s">
        <v>87</v>
      </c>
      <c r="J1795" s="19"/>
      <c r="L1795" s="16" t="str">
        <f>IFERROR(__xludf.DUMMYFUNCTION("""COMPUTED_VALUE"""),"")</f>
        <v/>
      </c>
      <c r="M1795" s="16" t="str">
        <f>IFERROR(__xludf.DUMMYFUNCTION("""COMPUTED_VALUE"""),"")</f>
        <v/>
      </c>
      <c r="U1795" s="16" t="s">
        <v>87</v>
      </c>
      <c r="V1795" s="16" t="str">
        <f>IFERROR(__xludf.DUMMYFUNCTION("""COMPUTED_VALUE"""),"")</f>
        <v/>
      </c>
      <c r="W1795" s="16" t="str">
        <f>IFERROR(__xludf.DUMMYFUNCTION("""COMPUTED_VALUE"""),"")</f>
        <v/>
      </c>
      <c r="X1795" s="16" t="str">
        <f>IFERROR(__xludf.DUMMYFUNCTION("""COMPUTED_VALUE"""),"")</f>
        <v/>
      </c>
      <c r="AC1795" s="16" t="str">
        <f>IFERROR(__xludf.DUMMYFUNCTION("""COMPUTED_VALUE"""),"")</f>
        <v/>
      </c>
    </row>
    <row r="1796">
      <c r="A1796" s="16" t="s">
        <v>87</v>
      </c>
      <c r="E1796" s="16" t="str">
        <f>IFERROR(__xludf.DUMMYFUNCTION("""COMPUTED_VALUE"""),"")</f>
        <v/>
      </c>
      <c r="G1796" s="18"/>
      <c r="H1796" s="16" t="s">
        <v>87</v>
      </c>
      <c r="I1796" s="16" t="s">
        <v>87</v>
      </c>
      <c r="J1796" s="19"/>
      <c r="L1796" s="16" t="str">
        <f>IFERROR(__xludf.DUMMYFUNCTION("""COMPUTED_VALUE"""),"")</f>
        <v/>
      </c>
      <c r="M1796" s="16" t="str">
        <f>IFERROR(__xludf.DUMMYFUNCTION("""COMPUTED_VALUE"""),"")</f>
        <v/>
      </c>
      <c r="U1796" s="16" t="s">
        <v>87</v>
      </c>
      <c r="V1796" s="16" t="str">
        <f>IFERROR(__xludf.DUMMYFUNCTION("""COMPUTED_VALUE"""),"")</f>
        <v/>
      </c>
      <c r="W1796" s="16" t="str">
        <f>IFERROR(__xludf.DUMMYFUNCTION("""COMPUTED_VALUE"""),"")</f>
        <v/>
      </c>
      <c r="X1796" s="16" t="str">
        <f>IFERROR(__xludf.DUMMYFUNCTION("""COMPUTED_VALUE"""),"")</f>
        <v/>
      </c>
      <c r="AC1796" s="16" t="str">
        <f>IFERROR(__xludf.DUMMYFUNCTION("""COMPUTED_VALUE"""),"")</f>
        <v/>
      </c>
    </row>
    <row r="1797">
      <c r="A1797" s="16" t="s">
        <v>87</v>
      </c>
      <c r="E1797" s="16" t="str">
        <f>IFERROR(__xludf.DUMMYFUNCTION("""COMPUTED_VALUE"""),"")</f>
        <v/>
      </c>
      <c r="G1797" s="18"/>
      <c r="H1797" s="16" t="s">
        <v>87</v>
      </c>
      <c r="I1797" s="16" t="s">
        <v>87</v>
      </c>
      <c r="J1797" s="19"/>
      <c r="L1797" s="16" t="str">
        <f>IFERROR(__xludf.DUMMYFUNCTION("""COMPUTED_VALUE"""),"")</f>
        <v/>
      </c>
      <c r="M1797" s="16" t="str">
        <f>IFERROR(__xludf.DUMMYFUNCTION("""COMPUTED_VALUE"""),"")</f>
        <v/>
      </c>
      <c r="U1797" s="16" t="s">
        <v>87</v>
      </c>
      <c r="V1797" s="16" t="str">
        <f>IFERROR(__xludf.DUMMYFUNCTION("""COMPUTED_VALUE"""),"")</f>
        <v/>
      </c>
      <c r="W1797" s="16" t="str">
        <f>IFERROR(__xludf.DUMMYFUNCTION("""COMPUTED_VALUE"""),"")</f>
        <v/>
      </c>
      <c r="X1797" s="16" t="str">
        <f>IFERROR(__xludf.DUMMYFUNCTION("""COMPUTED_VALUE"""),"")</f>
        <v/>
      </c>
      <c r="AC1797" s="16" t="str">
        <f>IFERROR(__xludf.DUMMYFUNCTION("""COMPUTED_VALUE"""),"")</f>
        <v/>
      </c>
    </row>
    <row r="1798">
      <c r="A1798" s="16" t="s">
        <v>87</v>
      </c>
      <c r="E1798" s="16" t="str">
        <f>IFERROR(__xludf.DUMMYFUNCTION("""COMPUTED_VALUE"""),"")</f>
        <v/>
      </c>
      <c r="G1798" s="18"/>
      <c r="H1798" s="16" t="s">
        <v>87</v>
      </c>
      <c r="I1798" s="16" t="s">
        <v>87</v>
      </c>
      <c r="J1798" s="19"/>
      <c r="L1798" s="16" t="str">
        <f>IFERROR(__xludf.DUMMYFUNCTION("""COMPUTED_VALUE"""),"")</f>
        <v/>
      </c>
      <c r="M1798" s="16" t="str">
        <f>IFERROR(__xludf.DUMMYFUNCTION("""COMPUTED_VALUE"""),"")</f>
        <v/>
      </c>
      <c r="U1798" s="16" t="s">
        <v>87</v>
      </c>
      <c r="V1798" s="16" t="str">
        <f>IFERROR(__xludf.DUMMYFUNCTION("""COMPUTED_VALUE"""),"")</f>
        <v/>
      </c>
      <c r="W1798" s="16" t="str">
        <f>IFERROR(__xludf.DUMMYFUNCTION("""COMPUTED_VALUE"""),"")</f>
        <v/>
      </c>
      <c r="X1798" s="16" t="str">
        <f>IFERROR(__xludf.DUMMYFUNCTION("""COMPUTED_VALUE"""),"")</f>
        <v/>
      </c>
      <c r="AC1798" s="16" t="str">
        <f>IFERROR(__xludf.DUMMYFUNCTION("""COMPUTED_VALUE"""),"")</f>
        <v/>
      </c>
    </row>
    <row r="1799">
      <c r="A1799" s="16" t="s">
        <v>87</v>
      </c>
      <c r="E1799" s="16" t="str">
        <f>IFERROR(__xludf.DUMMYFUNCTION("""COMPUTED_VALUE"""),"")</f>
        <v/>
      </c>
      <c r="G1799" s="18"/>
      <c r="H1799" s="16" t="s">
        <v>87</v>
      </c>
      <c r="I1799" s="16" t="s">
        <v>87</v>
      </c>
      <c r="J1799" s="19"/>
      <c r="L1799" s="16" t="str">
        <f>IFERROR(__xludf.DUMMYFUNCTION("""COMPUTED_VALUE"""),"")</f>
        <v/>
      </c>
      <c r="M1799" s="16" t="str">
        <f>IFERROR(__xludf.DUMMYFUNCTION("""COMPUTED_VALUE"""),"")</f>
        <v/>
      </c>
      <c r="U1799" s="16" t="s">
        <v>87</v>
      </c>
      <c r="V1799" s="16" t="str">
        <f>IFERROR(__xludf.DUMMYFUNCTION("""COMPUTED_VALUE"""),"")</f>
        <v/>
      </c>
      <c r="W1799" s="16" t="str">
        <f>IFERROR(__xludf.DUMMYFUNCTION("""COMPUTED_VALUE"""),"")</f>
        <v/>
      </c>
      <c r="X1799" s="16" t="str">
        <f>IFERROR(__xludf.DUMMYFUNCTION("""COMPUTED_VALUE"""),"")</f>
        <v/>
      </c>
      <c r="AC1799" s="16" t="str">
        <f>IFERROR(__xludf.DUMMYFUNCTION("""COMPUTED_VALUE"""),"")</f>
        <v/>
      </c>
    </row>
    <row r="1800">
      <c r="A1800" s="16" t="s">
        <v>87</v>
      </c>
      <c r="E1800" s="16" t="str">
        <f>IFERROR(__xludf.DUMMYFUNCTION("""COMPUTED_VALUE"""),"")</f>
        <v/>
      </c>
      <c r="G1800" s="18"/>
      <c r="H1800" s="16" t="s">
        <v>87</v>
      </c>
      <c r="I1800" s="16" t="s">
        <v>87</v>
      </c>
      <c r="J1800" s="19"/>
      <c r="L1800" s="16" t="str">
        <f>IFERROR(__xludf.DUMMYFUNCTION("""COMPUTED_VALUE"""),"")</f>
        <v/>
      </c>
      <c r="M1800" s="16" t="str">
        <f>IFERROR(__xludf.DUMMYFUNCTION("""COMPUTED_VALUE"""),"")</f>
        <v/>
      </c>
      <c r="U1800" s="16" t="s">
        <v>87</v>
      </c>
      <c r="V1800" s="16" t="str">
        <f>IFERROR(__xludf.DUMMYFUNCTION("""COMPUTED_VALUE"""),"")</f>
        <v/>
      </c>
      <c r="W1800" s="16" t="str">
        <f>IFERROR(__xludf.DUMMYFUNCTION("""COMPUTED_VALUE"""),"")</f>
        <v/>
      </c>
      <c r="X1800" s="16" t="str">
        <f>IFERROR(__xludf.DUMMYFUNCTION("""COMPUTED_VALUE"""),"")</f>
        <v/>
      </c>
      <c r="AC1800" s="16" t="str">
        <f>IFERROR(__xludf.DUMMYFUNCTION("""COMPUTED_VALUE"""),"")</f>
        <v/>
      </c>
    </row>
    <row r="1801">
      <c r="A1801" s="16" t="s">
        <v>87</v>
      </c>
      <c r="E1801" s="16" t="str">
        <f>IFERROR(__xludf.DUMMYFUNCTION("""COMPUTED_VALUE"""),"")</f>
        <v/>
      </c>
      <c r="G1801" s="18"/>
      <c r="H1801" s="16" t="s">
        <v>87</v>
      </c>
      <c r="I1801" s="16" t="s">
        <v>87</v>
      </c>
      <c r="J1801" s="19"/>
      <c r="L1801" s="16" t="str">
        <f>IFERROR(__xludf.DUMMYFUNCTION("""COMPUTED_VALUE"""),"")</f>
        <v/>
      </c>
      <c r="M1801" s="16" t="str">
        <f>IFERROR(__xludf.DUMMYFUNCTION("""COMPUTED_VALUE"""),"")</f>
        <v/>
      </c>
      <c r="U1801" s="16" t="s">
        <v>87</v>
      </c>
      <c r="V1801" s="16" t="str">
        <f>IFERROR(__xludf.DUMMYFUNCTION("""COMPUTED_VALUE"""),"")</f>
        <v/>
      </c>
      <c r="W1801" s="16" t="str">
        <f>IFERROR(__xludf.DUMMYFUNCTION("""COMPUTED_VALUE"""),"")</f>
        <v/>
      </c>
      <c r="X1801" s="16" t="str">
        <f>IFERROR(__xludf.DUMMYFUNCTION("""COMPUTED_VALUE"""),"")</f>
        <v/>
      </c>
      <c r="AC1801" s="16" t="str">
        <f>IFERROR(__xludf.DUMMYFUNCTION("""COMPUTED_VALUE"""),"")</f>
        <v/>
      </c>
    </row>
    <row r="1802">
      <c r="A1802" s="16" t="s">
        <v>87</v>
      </c>
      <c r="E1802" s="16" t="str">
        <f>IFERROR(__xludf.DUMMYFUNCTION("""COMPUTED_VALUE"""),"")</f>
        <v/>
      </c>
      <c r="G1802" s="18"/>
      <c r="H1802" s="16" t="s">
        <v>87</v>
      </c>
      <c r="I1802" s="16" t="s">
        <v>87</v>
      </c>
      <c r="J1802" s="19"/>
      <c r="L1802" s="16" t="str">
        <f>IFERROR(__xludf.DUMMYFUNCTION("""COMPUTED_VALUE"""),"")</f>
        <v/>
      </c>
      <c r="M1802" s="16" t="str">
        <f>IFERROR(__xludf.DUMMYFUNCTION("""COMPUTED_VALUE"""),"")</f>
        <v/>
      </c>
      <c r="U1802" s="16" t="s">
        <v>87</v>
      </c>
      <c r="V1802" s="16" t="str">
        <f>IFERROR(__xludf.DUMMYFUNCTION("""COMPUTED_VALUE"""),"")</f>
        <v/>
      </c>
      <c r="W1802" s="16" t="str">
        <f>IFERROR(__xludf.DUMMYFUNCTION("""COMPUTED_VALUE"""),"")</f>
        <v/>
      </c>
      <c r="X1802" s="16" t="str">
        <f>IFERROR(__xludf.DUMMYFUNCTION("""COMPUTED_VALUE"""),"")</f>
        <v/>
      </c>
      <c r="AC1802" s="16" t="str">
        <f>IFERROR(__xludf.DUMMYFUNCTION("""COMPUTED_VALUE"""),"")</f>
        <v/>
      </c>
    </row>
    <row r="1803">
      <c r="A1803" s="16" t="s">
        <v>87</v>
      </c>
      <c r="E1803" s="16" t="str">
        <f>IFERROR(__xludf.DUMMYFUNCTION("""COMPUTED_VALUE"""),"")</f>
        <v/>
      </c>
      <c r="G1803" s="18"/>
      <c r="H1803" s="16" t="s">
        <v>87</v>
      </c>
      <c r="I1803" s="16" t="s">
        <v>87</v>
      </c>
      <c r="J1803" s="19"/>
      <c r="L1803" s="16" t="str">
        <f>IFERROR(__xludf.DUMMYFUNCTION("""COMPUTED_VALUE"""),"")</f>
        <v/>
      </c>
      <c r="M1803" s="16" t="str">
        <f>IFERROR(__xludf.DUMMYFUNCTION("""COMPUTED_VALUE"""),"")</f>
        <v/>
      </c>
      <c r="U1803" s="16" t="s">
        <v>87</v>
      </c>
      <c r="V1803" s="16" t="str">
        <f>IFERROR(__xludf.DUMMYFUNCTION("""COMPUTED_VALUE"""),"")</f>
        <v/>
      </c>
      <c r="W1803" s="16" t="str">
        <f>IFERROR(__xludf.DUMMYFUNCTION("""COMPUTED_VALUE"""),"")</f>
        <v/>
      </c>
      <c r="X1803" s="16" t="str">
        <f>IFERROR(__xludf.DUMMYFUNCTION("""COMPUTED_VALUE"""),"")</f>
        <v/>
      </c>
      <c r="AC1803" s="16" t="str">
        <f>IFERROR(__xludf.DUMMYFUNCTION("""COMPUTED_VALUE"""),"")</f>
        <v/>
      </c>
    </row>
    <row r="1804">
      <c r="A1804" s="16" t="s">
        <v>87</v>
      </c>
      <c r="E1804" s="16" t="str">
        <f>IFERROR(__xludf.DUMMYFUNCTION("""COMPUTED_VALUE"""),"")</f>
        <v/>
      </c>
      <c r="G1804" s="18"/>
      <c r="H1804" s="16" t="s">
        <v>87</v>
      </c>
      <c r="I1804" s="16" t="s">
        <v>87</v>
      </c>
      <c r="J1804" s="19"/>
      <c r="L1804" s="16" t="str">
        <f>IFERROR(__xludf.DUMMYFUNCTION("""COMPUTED_VALUE"""),"")</f>
        <v/>
      </c>
      <c r="M1804" s="16" t="str">
        <f>IFERROR(__xludf.DUMMYFUNCTION("""COMPUTED_VALUE"""),"")</f>
        <v/>
      </c>
      <c r="U1804" s="16" t="s">
        <v>87</v>
      </c>
      <c r="V1804" s="16" t="str">
        <f>IFERROR(__xludf.DUMMYFUNCTION("""COMPUTED_VALUE"""),"")</f>
        <v/>
      </c>
      <c r="W1804" s="16" t="str">
        <f>IFERROR(__xludf.DUMMYFUNCTION("""COMPUTED_VALUE"""),"")</f>
        <v/>
      </c>
      <c r="X1804" s="16" t="str">
        <f>IFERROR(__xludf.DUMMYFUNCTION("""COMPUTED_VALUE"""),"")</f>
        <v/>
      </c>
      <c r="AC1804" s="16" t="str">
        <f>IFERROR(__xludf.DUMMYFUNCTION("""COMPUTED_VALUE"""),"")</f>
        <v/>
      </c>
    </row>
    <row r="1805">
      <c r="A1805" s="16" t="s">
        <v>87</v>
      </c>
      <c r="E1805" s="16" t="str">
        <f>IFERROR(__xludf.DUMMYFUNCTION("""COMPUTED_VALUE"""),"")</f>
        <v/>
      </c>
      <c r="G1805" s="18"/>
      <c r="H1805" s="16" t="s">
        <v>87</v>
      </c>
      <c r="I1805" s="16" t="s">
        <v>87</v>
      </c>
      <c r="J1805" s="19"/>
      <c r="L1805" s="16" t="str">
        <f>IFERROR(__xludf.DUMMYFUNCTION("""COMPUTED_VALUE"""),"")</f>
        <v/>
      </c>
      <c r="M1805" s="16" t="str">
        <f>IFERROR(__xludf.DUMMYFUNCTION("""COMPUTED_VALUE"""),"")</f>
        <v/>
      </c>
      <c r="U1805" s="16" t="s">
        <v>87</v>
      </c>
      <c r="V1805" s="16" t="str">
        <f>IFERROR(__xludf.DUMMYFUNCTION("""COMPUTED_VALUE"""),"")</f>
        <v/>
      </c>
      <c r="W1805" s="16" t="str">
        <f>IFERROR(__xludf.DUMMYFUNCTION("""COMPUTED_VALUE"""),"")</f>
        <v/>
      </c>
      <c r="X1805" s="16" t="str">
        <f>IFERROR(__xludf.DUMMYFUNCTION("""COMPUTED_VALUE"""),"")</f>
        <v/>
      </c>
      <c r="AC1805" s="16" t="str">
        <f>IFERROR(__xludf.DUMMYFUNCTION("""COMPUTED_VALUE"""),"")</f>
        <v/>
      </c>
    </row>
    <row r="1806">
      <c r="A1806" s="16" t="s">
        <v>87</v>
      </c>
      <c r="E1806" s="16" t="str">
        <f>IFERROR(__xludf.DUMMYFUNCTION("""COMPUTED_VALUE"""),"")</f>
        <v/>
      </c>
      <c r="G1806" s="18"/>
      <c r="H1806" s="16" t="s">
        <v>87</v>
      </c>
      <c r="I1806" s="16" t="s">
        <v>87</v>
      </c>
      <c r="J1806" s="19"/>
      <c r="L1806" s="16" t="str">
        <f>IFERROR(__xludf.DUMMYFUNCTION("""COMPUTED_VALUE"""),"")</f>
        <v/>
      </c>
      <c r="M1806" s="16" t="str">
        <f>IFERROR(__xludf.DUMMYFUNCTION("""COMPUTED_VALUE"""),"")</f>
        <v/>
      </c>
      <c r="U1806" s="16" t="s">
        <v>87</v>
      </c>
      <c r="V1806" s="16" t="str">
        <f>IFERROR(__xludf.DUMMYFUNCTION("""COMPUTED_VALUE"""),"")</f>
        <v/>
      </c>
      <c r="W1806" s="16" t="str">
        <f>IFERROR(__xludf.DUMMYFUNCTION("""COMPUTED_VALUE"""),"")</f>
        <v/>
      </c>
      <c r="X1806" s="16" t="str">
        <f>IFERROR(__xludf.DUMMYFUNCTION("""COMPUTED_VALUE"""),"")</f>
        <v/>
      </c>
      <c r="AC1806" s="16" t="str">
        <f>IFERROR(__xludf.DUMMYFUNCTION("""COMPUTED_VALUE"""),"")</f>
        <v/>
      </c>
    </row>
    <row r="1807">
      <c r="A1807" s="16" t="s">
        <v>87</v>
      </c>
      <c r="E1807" s="16" t="str">
        <f>IFERROR(__xludf.DUMMYFUNCTION("""COMPUTED_VALUE"""),"")</f>
        <v/>
      </c>
      <c r="G1807" s="18"/>
      <c r="H1807" s="16" t="s">
        <v>87</v>
      </c>
      <c r="I1807" s="16" t="s">
        <v>87</v>
      </c>
      <c r="J1807" s="19"/>
      <c r="L1807" s="16" t="str">
        <f>IFERROR(__xludf.DUMMYFUNCTION("""COMPUTED_VALUE"""),"")</f>
        <v/>
      </c>
      <c r="M1807" s="16" t="str">
        <f>IFERROR(__xludf.DUMMYFUNCTION("""COMPUTED_VALUE"""),"")</f>
        <v/>
      </c>
      <c r="U1807" s="16" t="s">
        <v>87</v>
      </c>
      <c r="V1807" s="16" t="str">
        <f>IFERROR(__xludf.DUMMYFUNCTION("""COMPUTED_VALUE"""),"")</f>
        <v/>
      </c>
      <c r="W1807" s="16" t="str">
        <f>IFERROR(__xludf.DUMMYFUNCTION("""COMPUTED_VALUE"""),"")</f>
        <v/>
      </c>
      <c r="X1807" s="16" t="str">
        <f>IFERROR(__xludf.DUMMYFUNCTION("""COMPUTED_VALUE"""),"")</f>
        <v/>
      </c>
      <c r="AC1807" s="16" t="str">
        <f>IFERROR(__xludf.DUMMYFUNCTION("""COMPUTED_VALUE"""),"")</f>
        <v/>
      </c>
    </row>
    <row r="1808">
      <c r="A1808" s="16" t="s">
        <v>87</v>
      </c>
      <c r="E1808" s="16" t="str">
        <f>IFERROR(__xludf.DUMMYFUNCTION("""COMPUTED_VALUE"""),"")</f>
        <v/>
      </c>
      <c r="G1808" s="18"/>
      <c r="H1808" s="16" t="s">
        <v>87</v>
      </c>
      <c r="I1808" s="16" t="s">
        <v>87</v>
      </c>
      <c r="J1808" s="19"/>
      <c r="L1808" s="16" t="str">
        <f>IFERROR(__xludf.DUMMYFUNCTION("""COMPUTED_VALUE"""),"")</f>
        <v/>
      </c>
      <c r="M1808" s="16" t="str">
        <f>IFERROR(__xludf.DUMMYFUNCTION("""COMPUTED_VALUE"""),"")</f>
        <v/>
      </c>
      <c r="U1808" s="16" t="s">
        <v>87</v>
      </c>
      <c r="V1808" s="16" t="str">
        <f>IFERROR(__xludf.DUMMYFUNCTION("""COMPUTED_VALUE"""),"")</f>
        <v/>
      </c>
      <c r="W1808" s="16" t="str">
        <f>IFERROR(__xludf.DUMMYFUNCTION("""COMPUTED_VALUE"""),"")</f>
        <v/>
      </c>
      <c r="X1808" s="16" t="str">
        <f>IFERROR(__xludf.DUMMYFUNCTION("""COMPUTED_VALUE"""),"")</f>
        <v/>
      </c>
      <c r="AC1808" s="16" t="str">
        <f>IFERROR(__xludf.DUMMYFUNCTION("""COMPUTED_VALUE"""),"")</f>
        <v/>
      </c>
    </row>
    <row r="1809">
      <c r="A1809" s="16" t="s">
        <v>87</v>
      </c>
      <c r="E1809" s="16" t="str">
        <f>IFERROR(__xludf.DUMMYFUNCTION("""COMPUTED_VALUE"""),"")</f>
        <v/>
      </c>
      <c r="G1809" s="18"/>
      <c r="H1809" s="16" t="s">
        <v>87</v>
      </c>
      <c r="I1809" s="16" t="s">
        <v>87</v>
      </c>
      <c r="J1809" s="19"/>
      <c r="L1809" s="16" t="str">
        <f>IFERROR(__xludf.DUMMYFUNCTION("""COMPUTED_VALUE"""),"")</f>
        <v/>
      </c>
      <c r="M1809" s="16" t="str">
        <f>IFERROR(__xludf.DUMMYFUNCTION("""COMPUTED_VALUE"""),"")</f>
        <v/>
      </c>
      <c r="U1809" s="16" t="s">
        <v>87</v>
      </c>
      <c r="V1809" s="16" t="str">
        <f>IFERROR(__xludf.DUMMYFUNCTION("""COMPUTED_VALUE"""),"")</f>
        <v/>
      </c>
      <c r="W1809" s="16" t="str">
        <f>IFERROR(__xludf.DUMMYFUNCTION("""COMPUTED_VALUE"""),"")</f>
        <v/>
      </c>
      <c r="X1809" s="16" t="str">
        <f>IFERROR(__xludf.DUMMYFUNCTION("""COMPUTED_VALUE"""),"")</f>
        <v/>
      </c>
      <c r="AC1809" s="16" t="str">
        <f>IFERROR(__xludf.DUMMYFUNCTION("""COMPUTED_VALUE"""),"")</f>
        <v/>
      </c>
    </row>
    <row r="1810">
      <c r="A1810" s="16" t="s">
        <v>87</v>
      </c>
      <c r="E1810" s="16" t="str">
        <f>IFERROR(__xludf.DUMMYFUNCTION("""COMPUTED_VALUE"""),"")</f>
        <v/>
      </c>
      <c r="G1810" s="18"/>
      <c r="H1810" s="16" t="s">
        <v>87</v>
      </c>
      <c r="I1810" s="16" t="s">
        <v>87</v>
      </c>
      <c r="J1810" s="19"/>
      <c r="L1810" s="16" t="str">
        <f>IFERROR(__xludf.DUMMYFUNCTION("""COMPUTED_VALUE"""),"")</f>
        <v/>
      </c>
      <c r="M1810" s="16" t="str">
        <f>IFERROR(__xludf.DUMMYFUNCTION("""COMPUTED_VALUE"""),"")</f>
        <v/>
      </c>
      <c r="U1810" s="16" t="s">
        <v>87</v>
      </c>
      <c r="V1810" s="16" t="str">
        <f>IFERROR(__xludf.DUMMYFUNCTION("""COMPUTED_VALUE"""),"")</f>
        <v/>
      </c>
      <c r="W1810" s="16" t="str">
        <f>IFERROR(__xludf.DUMMYFUNCTION("""COMPUTED_VALUE"""),"")</f>
        <v/>
      </c>
      <c r="X1810" s="16" t="str">
        <f>IFERROR(__xludf.DUMMYFUNCTION("""COMPUTED_VALUE"""),"")</f>
        <v/>
      </c>
      <c r="AC1810" s="16" t="str">
        <f>IFERROR(__xludf.DUMMYFUNCTION("""COMPUTED_VALUE"""),"")</f>
        <v/>
      </c>
    </row>
    <row r="1811">
      <c r="A1811" s="16" t="s">
        <v>87</v>
      </c>
      <c r="E1811" s="16" t="str">
        <f>IFERROR(__xludf.DUMMYFUNCTION("""COMPUTED_VALUE"""),"")</f>
        <v/>
      </c>
      <c r="G1811" s="18"/>
      <c r="H1811" s="16" t="s">
        <v>87</v>
      </c>
      <c r="I1811" s="16" t="s">
        <v>87</v>
      </c>
      <c r="J1811" s="19"/>
      <c r="L1811" s="16" t="str">
        <f>IFERROR(__xludf.DUMMYFUNCTION("""COMPUTED_VALUE"""),"")</f>
        <v/>
      </c>
      <c r="M1811" s="16" t="str">
        <f>IFERROR(__xludf.DUMMYFUNCTION("""COMPUTED_VALUE"""),"")</f>
        <v/>
      </c>
      <c r="U1811" s="16" t="s">
        <v>87</v>
      </c>
      <c r="V1811" s="16" t="str">
        <f>IFERROR(__xludf.DUMMYFUNCTION("""COMPUTED_VALUE"""),"")</f>
        <v/>
      </c>
      <c r="W1811" s="16" t="str">
        <f>IFERROR(__xludf.DUMMYFUNCTION("""COMPUTED_VALUE"""),"")</f>
        <v/>
      </c>
      <c r="X1811" s="16" t="str">
        <f>IFERROR(__xludf.DUMMYFUNCTION("""COMPUTED_VALUE"""),"")</f>
        <v/>
      </c>
      <c r="AC1811" s="16" t="str">
        <f>IFERROR(__xludf.DUMMYFUNCTION("""COMPUTED_VALUE"""),"")</f>
        <v/>
      </c>
    </row>
    <row r="1812">
      <c r="A1812" s="16" t="s">
        <v>87</v>
      </c>
      <c r="E1812" s="16" t="str">
        <f>IFERROR(__xludf.DUMMYFUNCTION("""COMPUTED_VALUE"""),"")</f>
        <v/>
      </c>
      <c r="G1812" s="18"/>
      <c r="H1812" s="16" t="s">
        <v>87</v>
      </c>
      <c r="I1812" s="16" t="s">
        <v>87</v>
      </c>
      <c r="J1812" s="19"/>
      <c r="L1812" s="16" t="str">
        <f>IFERROR(__xludf.DUMMYFUNCTION("""COMPUTED_VALUE"""),"")</f>
        <v/>
      </c>
      <c r="M1812" s="16" t="str">
        <f>IFERROR(__xludf.DUMMYFUNCTION("""COMPUTED_VALUE"""),"")</f>
        <v/>
      </c>
      <c r="U1812" s="16" t="s">
        <v>87</v>
      </c>
      <c r="V1812" s="16" t="str">
        <f>IFERROR(__xludf.DUMMYFUNCTION("""COMPUTED_VALUE"""),"")</f>
        <v/>
      </c>
      <c r="W1812" s="16" t="str">
        <f>IFERROR(__xludf.DUMMYFUNCTION("""COMPUTED_VALUE"""),"")</f>
        <v/>
      </c>
      <c r="X1812" s="16" t="str">
        <f>IFERROR(__xludf.DUMMYFUNCTION("""COMPUTED_VALUE"""),"")</f>
        <v/>
      </c>
      <c r="AC1812" s="16" t="str">
        <f>IFERROR(__xludf.DUMMYFUNCTION("""COMPUTED_VALUE"""),"")</f>
        <v/>
      </c>
    </row>
    <row r="1813">
      <c r="A1813" s="16" t="s">
        <v>87</v>
      </c>
      <c r="E1813" s="16" t="str">
        <f>IFERROR(__xludf.DUMMYFUNCTION("""COMPUTED_VALUE"""),"")</f>
        <v/>
      </c>
      <c r="G1813" s="18"/>
      <c r="H1813" s="16" t="s">
        <v>87</v>
      </c>
      <c r="I1813" s="16" t="s">
        <v>87</v>
      </c>
      <c r="J1813" s="19"/>
      <c r="L1813" s="16" t="str">
        <f>IFERROR(__xludf.DUMMYFUNCTION("""COMPUTED_VALUE"""),"")</f>
        <v/>
      </c>
      <c r="M1813" s="16" t="str">
        <f>IFERROR(__xludf.DUMMYFUNCTION("""COMPUTED_VALUE"""),"")</f>
        <v/>
      </c>
      <c r="U1813" s="16" t="s">
        <v>87</v>
      </c>
      <c r="V1813" s="16" t="str">
        <f>IFERROR(__xludf.DUMMYFUNCTION("""COMPUTED_VALUE"""),"")</f>
        <v/>
      </c>
      <c r="W1813" s="16" t="str">
        <f>IFERROR(__xludf.DUMMYFUNCTION("""COMPUTED_VALUE"""),"")</f>
        <v/>
      </c>
      <c r="X1813" s="16" t="str">
        <f>IFERROR(__xludf.DUMMYFUNCTION("""COMPUTED_VALUE"""),"")</f>
        <v/>
      </c>
      <c r="AC1813" s="16" t="str">
        <f>IFERROR(__xludf.DUMMYFUNCTION("""COMPUTED_VALUE"""),"")</f>
        <v/>
      </c>
    </row>
    <row r="1814">
      <c r="A1814" s="16" t="s">
        <v>87</v>
      </c>
      <c r="E1814" s="16" t="str">
        <f>IFERROR(__xludf.DUMMYFUNCTION("""COMPUTED_VALUE"""),"")</f>
        <v/>
      </c>
      <c r="G1814" s="18"/>
      <c r="H1814" s="16" t="s">
        <v>87</v>
      </c>
      <c r="I1814" s="16" t="s">
        <v>87</v>
      </c>
      <c r="J1814" s="19"/>
      <c r="L1814" s="16" t="str">
        <f>IFERROR(__xludf.DUMMYFUNCTION("""COMPUTED_VALUE"""),"")</f>
        <v/>
      </c>
      <c r="M1814" s="16" t="str">
        <f>IFERROR(__xludf.DUMMYFUNCTION("""COMPUTED_VALUE"""),"")</f>
        <v/>
      </c>
      <c r="U1814" s="16" t="s">
        <v>87</v>
      </c>
      <c r="V1814" s="16" t="str">
        <f>IFERROR(__xludf.DUMMYFUNCTION("""COMPUTED_VALUE"""),"")</f>
        <v/>
      </c>
      <c r="W1814" s="16" t="str">
        <f>IFERROR(__xludf.DUMMYFUNCTION("""COMPUTED_VALUE"""),"")</f>
        <v/>
      </c>
      <c r="X1814" s="16" t="str">
        <f>IFERROR(__xludf.DUMMYFUNCTION("""COMPUTED_VALUE"""),"")</f>
        <v/>
      </c>
      <c r="AC1814" s="16" t="str">
        <f>IFERROR(__xludf.DUMMYFUNCTION("""COMPUTED_VALUE"""),"")</f>
        <v/>
      </c>
    </row>
    <row r="1815">
      <c r="A1815" s="16" t="s">
        <v>87</v>
      </c>
      <c r="E1815" s="16" t="str">
        <f>IFERROR(__xludf.DUMMYFUNCTION("""COMPUTED_VALUE"""),"")</f>
        <v/>
      </c>
      <c r="G1815" s="18"/>
      <c r="H1815" s="16" t="s">
        <v>87</v>
      </c>
      <c r="I1815" s="16" t="s">
        <v>87</v>
      </c>
      <c r="J1815" s="19"/>
      <c r="L1815" s="16" t="str">
        <f>IFERROR(__xludf.DUMMYFUNCTION("""COMPUTED_VALUE"""),"")</f>
        <v/>
      </c>
      <c r="M1815" s="16" t="str">
        <f>IFERROR(__xludf.DUMMYFUNCTION("""COMPUTED_VALUE"""),"")</f>
        <v/>
      </c>
      <c r="U1815" s="16" t="s">
        <v>87</v>
      </c>
      <c r="V1815" s="16" t="str">
        <f>IFERROR(__xludf.DUMMYFUNCTION("""COMPUTED_VALUE"""),"")</f>
        <v/>
      </c>
      <c r="W1815" s="16" t="str">
        <f>IFERROR(__xludf.DUMMYFUNCTION("""COMPUTED_VALUE"""),"")</f>
        <v/>
      </c>
      <c r="X1815" s="16" t="str">
        <f>IFERROR(__xludf.DUMMYFUNCTION("""COMPUTED_VALUE"""),"")</f>
        <v/>
      </c>
      <c r="AC1815" s="16" t="str">
        <f>IFERROR(__xludf.DUMMYFUNCTION("""COMPUTED_VALUE"""),"")</f>
        <v/>
      </c>
    </row>
    <row r="1816">
      <c r="A1816" s="16" t="s">
        <v>87</v>
      </c>
      <c r="E1816" s="16" t="str">
        <f>IFERROR(__xludf.DUMMYFUNCTION("""COMPUTED_VALUE"""),"")</f>
        <v/>
      </c>
      <c r="G1816" s="18"/>
      <c r="H1816" s="16" t="s">
        <v>87</v>
      </c>
      <c r="I1816" s="16" t="s">
        <v>87</v>
      </c>
      <c r="J1816" s="19"/>
      <c r="L1816" s="16" t="str">
        <f>IFERROR(__xludf.DUMMYFUNCTION("""COMPUTED_VALUE"""),"")</f>
        <v/>
      </c>
      <c r="M1816" s="16" t="str">
        <f>IFERROR(__xludf.DUMMYFUNCTION("""COMPUTED_VALUE"""),"")</f>
        <v/>
      </c>
      <c r="U1816" s="16" t="s">
        <v>87</v>
      </c>
      <c r="V1816" s="16" t="str">
        <f>IFERROR(__xludf.DUMMYFUNCTION("""COMPUTED_VALUE"""),"")</f>
        <v/>
      </c>
      <c r="W1816" s="16" t="str">
        <f>IFERROR(__xludf.DUMMYFUNCTION("""COMPUTED_VALUE"""),"")</f>
        <v/>
      </c>
      <c r="X1816" s="16" t="str">
        <f>IFERROR(__xludf.DUMMYFUNCTION("""COMPUTED_VALUE"""),"")</f>
        <v/>
      </c>
      <c r="AC1816" s="16" t="str">
        <f>IFERROR(__xludf.DUMMYFUNCTION("""COMPUTED_VALUE"""),"")</f>
        <v/>
      </c>
    </row>
    <row r="1817">
      <c r="A1817" s="16" t="s">
        <v>87</v>
      </c>
      <c r="E1817" s="16" t="str">
        <f>IFERROR(__xludf.DUMMYFUNCTION("""COMPUTED_VALUE"""),"")</f>
        <v/>
      </c>
      <c r="G1817" s="18"/>
      <c r="H1817" s="16" t="s">
        <v>87</v>
      </c>
      <c r="I1817" s="16" t="s">
        <v>87</v>
      </c>
      <c r="J1817" s="19"/>
      <c r="L1817" s="16" t="str">
        <f>IFERROR(__xludf.DUMMYFUNCTION("""COMPUTED_VALUE"""),"")</f>
        <v/>
      </c>
      <c r="M1817" s="16" t="str">
        <f>IFERROR(__xludf.DUMMYFUNCTION("""COMPUTED_VALUE"""),"")</f>
        <v/>
      </c>
      <c r="U1817" s="16" t="s">
        <v>87</v>
      </c>
      <c r="V1817" s="16" t="str">
        <f>IFERROR(__xludf.DUMMYFUNCTION("""COMPUTED_VALUE"""),"")</f>
        <v/>
      </c>
      <c r="W1817" s="16" t="str">
        <f>IFERROR(__xludf.DUMMYFUNCTION("""COMPUTED_VALUE"""),"")</f>
        <v/>
      </c>
      <c r="X1817" s="16" t="str">
        <f>IFERROR(__xludf.DUMMYFUNCTION("""COMPUTED_VALUE"""),"")</f>
        <v/>
      </c>
      <c r="AC1817" s="16" t="str">
        <f>IFERROR(__xludf.DUMMYFUNCTION("""COMPUTED_VALUE"""),"")</f>
        <v/>
      </c>
    </row>
    <row r="1818">
      <c r="A1818" s="16" t="s">
        <v>87</v>
      </c>
      <c r="E1818" s="16" t="str">
        <f>IFERROR(__xludf.DUMMYFUNCTION("""COMPUTED_VALUE"""),"")</f>
        <v/>
      </c>
      <c r="G1818" s="18"/>
      <c r="H1818" s="16" t="s">
        <v>87</v>
      </c>
      <c r="I1818" s="16" t="s">
        <v>87</v>
      </c>
      <c r="J1818" s="19"/>
      <c r="L1818" s="16" t="str">
        <f>IFERROR(__xludf.DUMMYFUNCTION("""COMPUTED_VALUE"""),"")</f>
        <v/>
      </c>
      <c r="M1818" s="16" t="str">
        <f>IFERROR(__xludf.DUMMYFUNCTION("""COMPUTED_VALUE"""),"")</f>
        <v/>
      </c>
      <c r="U1818" s="16" t="s">
        <v>87</v>
      </c>
      <c r="V1818" s="16" t="str">
        <f>IFERROR(__xludf.DUMMYFUNCTION("""COMPUTED_VALUE"""),"")</f>
        <v/>
      </c>
      <c r="W1818" s="16" t="str">
        <f>IFERROR(__xludf.DUMMYFUNCTION("""COMPUTED_VALUE"""),"")</f>
        <v/>
      </c>
      <c r="X1818" s="16" t="str">
        <f>IFERROR(__xludf.DUMMYFUNCTION("""COMPUTED_VALUE"""),"")</f>
        <v/>
      </c>
      <c r="AC1818" s="16" t="str">
        <f>IFERROR(__xludf.DUMMYFUNCTION("""COMPUTED_VALUE"""),"")</f>
        <v/>
      </c>
    </row>
    <row r="1819">
      <c r="A1819" s="16" t="s">
        <v>87</v>
      </c>
      <c r="E1819" s="16" t="str">
        <f>IFERROR(__xludf.DUMMYFUNCTION("""COMPUTED_VALUE"""),"")</f>
        <v/>
      </c>
      <c r="G1819" s="18"/>
      <c r="H1819" s="16" t="s">
        <v>87</v>
      </c>
      <c r="I1819" s="16" t="s">
        <v>87</v>
      </c>
      <c r="J1819" s="19"/>
      <c r="L1819" s="16" t="str">
        <f>IFERROR(__xludf.DUMMYFUNCTION("""COMPUTED_VALUE"""),"")</f>
        <v/>
      </c>
      <c r="M1819" s="16" t="str">
        <f>IFERROR(__xludf.DUMMYFUNCTION("""COMPUTED_VALUE"""),"")</f>
        <v/>
      </c>
      <c r="U1819" s="16" t="s">
        <v>87</v>
      </c>
      <c r="V1819" s="16" t="str">
        <f>IFERROR(__xludf.DUMMYFUNCTION("""COMPUTED_VALUE"""),"")</f>
        <v/>
      </c>
      <c r="W1819" s="16" t="str">
        <f>IFERROR(__xludf.DUMMYFUNCTION("""COMPUTED_VALUE"""),"")</f>
        <v/>
      </c>
      <c r="X1819" s="16" t="str">
        <f>IFERROR(__xludf.DUMMYFUNCTION("""COMPUTED_VALUE"""),"")</f>
        <v/>
      </c>
      <c r="AC1819" s="16" t="str">
        <f>IFERROR(__xludf.DUMMYFUNCTION("""COMPUTED_VALUE"""),"")</f>
        <v/>
      </c>
    </row>
    <row r="1820">
      <c r="A1820" s="16" t="s">
        <v>87</v>
      </c>
      <c r="E1820" s="16" t="str">
        <f>IFERROR(__xludf.DUMMYFUNCTION("""COMPUTED_VALUE"""),"")</f>
        <v/>
      </c>
      <c r="G1820" s="18"/>
      <c r="H1820" s="16" t="s">
        <v>87</v>
      </c>
      <c r="I1820" s="16" t="s">
        <v>87</v>
      </c>
      <c r="J1820" s="19"/>
      <c r="L1820" s="16" t="str">
        <f>IFERROR(__xludf.DUMMYFUNCTION("""COMPUTED_VALUE"""),"")</f>
        <v/>
      </c>
      <c r="M1820" s="16" t="str">
        <f>IFERROR(__xludf.DUMMYFUNCTION("""COMPUTED_VALUE"""),"")</f>
        <v/>
      </c>
      <c r="U1820" s="16" t="s">
        <v>87</v>
      </c>
      <c r="V1820" s="16" t="str">
        <f>IFERROR(__xludf.DUMMYFUNCTION("""COMPUTED_VALUE"""),"")</f>
        <v/>
      </c>
      <c r="W1820" s="16" t="str">
        <f>IFERROR(__xludf.DUMMYFUNCTION("""COMPUTED_VALUE"""),"")</f>
        <v/>
      </c>
      <c r="X1820" s="16" t="str">
        <f>IFERROR(__xludf.DUMMYFUNCTION("""COMPUTED_VALUE"""),"")</f>
        <v/>
      </c>
      <c r="AC1820" s="16" t="str">
        <f>IFERROR(__xludf.DUMMYFUNCTION("""COMPUTED_VALUE"""),"")</f>
        <v/>
      </c>
    </row>
    <row r="1821">
      <c r="A1821" s="16" t="s">
        <v>87</v>
      </c>
      <c r="E1821" s="16" t="str">
        <f>IFERROR(__xludf.DUMMYFUNCTION("""COMPUTED_VALUE"""),"")</f>
        <v/>
      </c>
      <c r="G1821" s="18"/>
      <c r="H1821" s="16" t="s">
        <v>87</v>
      </c>
      <c r="I1821" s="16" t="s">
        <v>87</v>
      </c>
      <c r="J1821" s="19"/>
      <c r="L1821" s="16" t="str">
        <f>IFERROR(__xludf.DUMMYFUNCTION("""COMPUTED_VALUE"""),"")</f>
        <v/>
      </c>
      <c r="M1821" s="16" t="str">
        <f>IFERROR(__xludf.DUMMYFUNCTION("""COMPUTED_VALUE"""),"")</f>
        <v/>
      </c>
      <c r="U1821" s="16" t="s">
        <v>87</v>
      </c>
      <c r="V1821" s="16" t="str">
        <f>IFERROR(__xludf.DUMMYFUNCTION("""COMPUTED_VALUE"""),"")</f>
        <v/>
      </c>
      <c r="W1821" s="16" t="str">
        <f>IFERROR(__xludf.DUMMYFUNCTION("""COMPUTED_VALUE"""),"")</f>
        <v/>
      </c>
      <c r="X1821" s="16" t="str">
        <f>IFERROR(__xludf.DUMMYFUNCTION("""COMPUTED_VALUE"""),"")</f>
        <v/>
      </c>
      <c r="AC1821" s="16" t="str">
        <f>IFERROR(__xludf.DUMMYFUNCTION("""COMPUTED_VALUE"""),"")</f>
        <v/>
      </c>
    </row>
    <row r="1822">
      <c r="A1822" s="16" t="s">
        <v>87</v>
      </c>
      <c r="E1822" s="16" t="str">
        <f>IFERROR(__xludf.DUMMYFUNCTION("""COMPUTED_VALUE"""),"")</f>
        <v/>
      </c>
      <c r="G1822" s="18"/>
      <c r="H1822" s="16" t="s">
        <v>87</v>
      </c>
      <c r="I1822" s="16" t="s">
        <v>87</v>
      </c>
      <c r="J1822" s="19"/>
      <c r="L1822" s="16" t="str">
        <f>IFERROR(__xludf.DUMMYFUNCTION("""COMPUTED_VALUE"""),"")</f>
        <v/>
      </c>
      <c r="M1822" s="16" t="str">
        <f>IFERROR(__xludf.DUMMYFUNCTION("""COMPUTED_VALUE"""),"")</f>
        <v/>
      </c>
      <c r="U1822" s="16" t="s">
        <v>87</v>
      </c>
      <c r="V1822" s="16" t="str">
        <f>IFERROR(__xludf.DUMMYFUNCTION("""COMPUTED_VALUE"""),"")</f>
        <v/>
      </c>
      <c r="W1822" s="16" t="str">
        <f>IFERROR(__xludf.DUMMYFUNCTION("""COMPUTED_VALUE"""),"")</f>
        <v/>
      </c>
      <c r="X1822" s="16" t="str">
        <f>IFERROR(__xludf.DUMMYFUNCTION("""COMPUTED_VALUE"""),"")</f>
        <v/>
      </c>
      <c r="AC1822" s="16" t="str">
        <f>IFERROR(__xludf.DUMMYFUNCTION("""COMPUTED_VALUE"""),"")</f>
        <v/>
      </c>
    </row>
    <row r="1823">
      <c r="A1823" s="16" t="s">
        <v>87</v>
      </c>
      <c r="E1823" s="16" t="str">
        <f>IFERROR(__xludf.DUMMYFUNCTION("""COMPUTED_VALUE"""),"")</f>
        <v/>
      </c>
      <c r="G1823" s="18"/>
      <c r="H1823" s="16" t="s">
        <v>87</v>
      </c>
      <c r="I1823" s="16" t="s">
        <v>87</v>
      </c>
      <c r="J1823" s="19"/>
      <c r="L1823" s="16" t="str">
        <f>IFERROR(__xludf.DUMMYFUNCTION("""COMPUTED_VALUE"""),"")</f>
        <v/>
      </c>
      <c r="M1823" s="16" t="str">
        <f>IFERROR(__xludf.DUMMYFUNCTION("""COMPUTED_VALUE"""),"")</f>
        <v/>
      </c>
      <c r="U1823" s="16" t="s">
        <v>87</v>
      </c>
      <c r="V1823" s="16" t="str">
        <f>IFERROR(__xludf.DUMMYFUNCTION("""COMPUTED_VALUE"""),"")</f>
        <v/>
      </c>
      <c r="W1823" s="16" t="str">
        <f>IFERROR(__xludf.DUMMYFUNCTION("""COMPUTED_VALUE"""),"")</f>
        <v/>
      </c>
      <c r="X1823" s="16" t="str">
        <f>IFERROR(__xludf.DUMMYFUNCTION("""COMPUTED_VALUE"""),"")</f>
        <v/>
      </c>
      <c r="AC1823" s="16" t="str">
        <f>IFERROR(__xludf.DUMMYFUNCTION("""COMPUTED_VALUE"""),"")</f>
        <v/>
      </c>
    </row>
    <row r="1824">
      <c r="A1824" s="16" t="s">
        <v>87</v>
      </c>
      <c r="E1824" s="16" t="str">
        <f>IFERROR(__xludf.DUMMYFUNCTION("""COMPUTED_VALUE"""),"")</f>
        <v/>
      </c>
      <c r="G1824" s="18"/>
      <c r="H1824" s="16" t="s">
        <v>87</v>
      </c>
      <c r="I1824" s="16" t="s">
        <v>87</v>
      </c>
      <c r="J1824" s="19"/>
      <c r="L1824" s="16" t="str">
        <f>IFERROR(__xludf.DUMMYFUNCTION("""COMPUTED_VALUE"""),"")</f>
        <v/>
      </c>
      <c r="M1824" s="16" t="str">
        <f>IFERROR(__xludf.DUMMYFUNCTION("""COMPUTED_VALUE"""),"")</f>
        <v/>
      </c>
      <c r="U1824" s="16" t="s">
        <v>87</v>
      </c>
      <c r="V1824" s="16" t="str">
        <f>IFERROR(__xludf.DUMMYFUNCTION("""COMPUTED_VALUE"""),"")</f>
        <v/>
      </c>
      <c r="W1824" s="16" t="str">
        <f>IFERROR(__xludf.DUMMYFUNCTION("""COMPUTED_VALUE"""),"")</f>
        <v/>
      </c>
      <c r="X1824" s="16" t="str">
        <f>IFERROR(__xludf.DUMMYFUNCTION("""COMPUTED_VALUE"""),"")</f>
        <v/>
      </c>
      <c r="AC1824" s="16" t="str">
        <f>IFERROR(__xludf.DUMMYFUNCTION("""COMPUTED_VALUE"""),"")</f>
        <v/>
      </c>
    </row>
    <row r="1825">
      <c r="A1825" s="16" t="s">
        <v>87</v>
      </c>
      <c r="E1825" s="16" t="str">
        <f>IFERROR(__xludf.DUMMYFUNCTION("""COMPUTED_VALUE"""),"")</f>
        <v/>
      </c>
      <c r="G1825" s="18"/>
      <c r="H1825" s="16" t="s">
        <v>87</v>
      </c>
      <c r="I1825" s="16" t="s">
        <v>87</v>
      </c>
      <c r="J1825" s="19"/>
      <c r="L1825" s="16" t="str">
        <f>IFERROR(__xludf.DUMMYFUNCTION("""COMPUTED_VALUE"""),"")</f>
        <v/>
      </c>
      <c r="M1825" s="16" t="str">
        <f>IFERROR(__xludf.DUMMYFUNCTION("""COMPUTED_VALUE"""),"")</f>
        <v/>
      </c>
      <c r="U1825" s="16" t="s">
        <v>87</v>
      </c>
      <c r="V1825" s="16" t="str">
        <f>IFERROR(__xludf.DUMMYFUNCTION("""COMPUTED_VALUE"""),"")</f>
        <v/>
      </c>
      <c r="W1825" s="16" t="str">
        <f>IFERROR(__xludf.DUMMYFUNCTION("""COMPUTED_VALUE"""),"")</f>
        <v/>
      </c>
      <c r="X1825" s="16" t="str">
        <f>IFERROR(__xludf.DUMMYFUNCTION("""COMPUTED_VALUE"""),"")</f>
        <v/>
      </c>
      <c r="AC1825" s="16" t="str">
        <f>IFERROR(__xludf.DUMMYFUNCTION("""COMPUTED_VALUE"""),"")</f>
        <v/>
      </c>
    </row>
    <row r="1826">
      <c r="A1826" s="16" t="s">
        <v>87</v>
      </c>
      <c r="E1826" s="16" t="str">
        <f>IFERROR(__xludf.DUMMYFUNCTION("""COMPUTED_VALUE"""),"")</f>
        <v/>
      </c>
      <c r="G1826" s="18"/>
      <c r="H1826" s="16" t="s">
        <v>87</v>
      </c>
      <c r="I1826" s="16" t="s">
        <v>87</v>
      </c>
      <c r="J1826" s="19"/>
      <c r="L1826" s="16" t="str">
        <f>IFERROR(__xludf.DUMMYFUNCTION("""COMPUTED_VALUE"""),"")</f>
        <v/>
      </c>
      <c r="M1826" s="16" t="str">
        <f>IFERROR(__xludf.DUMMYFUNCTION("""COMPUTED_VALUE"""),"")</f>
        <v/>
      </c>
      <c r="U1826" s="16" t="s">
        <v>87</v>
      </c>
      <c r="V1826" s="16" t="str">
        <f>IFERROR(__xludf.DUMMYFUNCTION("""COMPUTED_VALUE"""),"")</f>
        <v/>
      </c>
      <c r="W1826" s="16" t="str">
        <f>IFERROR(__xludf.DUMMYFUNCTION("""COMPUTED_VALUE"""),"")</f>
        <v/>
      </c>
      <c r="X1826" s="16" t="str">
        <f>IFERROR(__xludf.DUMMYFUNCTION("""COMPUTED_VALUE"""),"")</f>
        <v/>
      </c>
      <c r="AC1826" s="16" t="str">
        <f>IFERROR(__xludf.DUMMYFUNCTION("""COMPUTED_VALUE"""),"")</f>
        <v/>
      </c>
    </row>
    <row r="1827">
      <c r="A1827" s="16" t="s">
        <v>87</v>
      </c>
      <c r="E1827" s="16" t="str">
        <f>IFERROR(__xludf.DUMMYFUNCTION("""COMPUTED_VALUE"""),"")</f>
        <v/>
      </c>
      <c r="G1827" s="18"/>
      <c r="H1827" s="16" t="s">
        <v>87</v>
      </c>
      <c r="I1827" s="16" t="s">
        <v>87</v>
      </c>
      <c r="J1827" s="19"/>
      <c r="L1827" s="16" t="str">
        <f>IFERROR(__xludf.DUMMYFUNCTION("""COMPUTED_VALUE"""),"")</f>
        <v/>
      </c>
      <c r="M1827" s="16" t="str">
        <f>IFERROR(__xludf.DUMMYFUNCTION("""COMPUTED_VALUE"""),"")</f>
        <v/>
      </c>
      <c r="U1827" s="16" t="s">
        <v>87</v>
      </c>
      <c r="V1827" s="16" t="str">
        <f>IFERROR(__xludf.DUMMYFUNCTION("""COMPUTED_VALUE"""),"")</f>
        <v/>
      </c>
      <c r="W1827" s="16" t="str">
        <f>IFERROR(__xludf.DUMMYFUNCTION("""COMPUTED_VALUE"""),"")</f>
        <v/>
      </c>
      <c r="X1827" s="16" t="str">
        <f>IFERROR(__xludf.DUMMYFUNCTION("""COMPUTED_VALUE"""),"")</f>
        <v/>
      </c>
      <c r="AC1827" s="16" t="str">
        <f>IFERROR(__xludf.DUMMYFUNCTION("""COMPUTED_VALUE"""),"")</f>
        <v/>
      </c>
    </row>
    <row r="1828">
      <c r="A1828" s="16" t="s">
        <v>87</v>
      </c>
      <c r="E1828" s="16" t="str">
        <f>IFERROR(__xludf.DUMMYFUNCTION("""COMPUTED_VALUE"""),"")</f>
        <v/>
      </c>
      <c r="G1828" s="18"/>
      <c r="H1828" s="16" t="s">
        <v>87</v>
      </c>
      <c r="I1828" s="16" t="s">
        <v>87</v>
      </c>
      <c r="J1828" s="19"/>
      <c r="L1828" s="16" t="str">
        <f>IFERROR(__xludf.DUMMYFUNCTION("""COMPUTED_VALUE"""),"")</f>
        <v/>
      </c>
      <c r="M1828" s="16" t="str">
        <f>IFERROR(__xludf.DUMMYFUNCTION("""COMPUTED_VALUE"""),"")</f>
        <v/>
      </c>
      <c r="U1828" s="16" t="s">
        <v>87</v>
      </c>
      <c r="V1828" s="16" t="str">
        <f>IFERROR(__xludf.DUMMYFUNCTION("""COMPUTED_VALUE"""),"")</f>
        <v/>
      </c>
      <c r="W1828" s="16" t="str">
        <f>IFERROR(__xludf.DUMMYFUNCTION("""COMPUTED_VALUE"""),"")</f>
        <v/>
      </c>
      <c r="X1828" s="16" t="str">
        <f>IFERROR(__xludf.DUMMYFUNCTION("""COMPUTED_VALUE"""),"")</f>
        <v/>
      </c>
      <c r="AC1828" s="16" t="str">
        <f>IFERROR(__xludf.DUMMYFUNCTION("""COMPUTED_VALUE"""),"")</f>
        <v/>
      </c>
    </row>
    <row r="1829">
      <c r="A1829" s="16" t="s">
        <v>87</v>
      </c>
      <c r="E1829" s="16" t="str">
        <f>IFERROR(__xludf.DUMMYFUNCTION("""COMPUTED_VALUE"""),"")</f>
        <v/>
      </c>
      <c r="G1829" s="18"/>
      <c r="H1829" s="16" t="s">
        <v>87</v>
      </c>
      <c r="I1829" s="16" t="s">
        <v>87</v>
      </c>
      <c r="J1829" s="19"/>
      <c r="L1829" s="16" t="str">
        <f>IFERROR(__xludf.DUMMYFUNCTION("""COMPUTED_VALUE"""),"")</f>
        <v/>
      </c>
      <c r="M1829" s="16" t="str">
        <f>IFERROR(__xludf.DUMMYFUNCTION("""COMPUTED_VALUE"""),"")</f>
        <v/>
      </c>
      <c r="U1829" s="16" t="s">
        <v>87</v>
      </c>
      <c r="V1829" s="16" t="str">
        <f>IFERROR(__xludf.DUMMYFUNCTION("""COMPUTED_VALUE"""),"")</f>
        <v/>
      </c>
      <c r="W1829" s="16" t="str">
        <f>IFERROR(__xludf.DUMMYFUNCTION("""COMPUTED_VALUE"""),"")</f>
        <v/>
      </c>
      <c r="X1829" s="16" t="str">
        <f>IFERROR(__xludf.DUMMYFUNCTION("""COMPUTED_VALUE"""),"")</f>
        <v/>
      </c>
      <c r="AC1829" s="16" t="str">
        <f>IFERROR(__xludf.DUMMYFUNCTION("""COMPUTED_VALUE"""),"")</f>
        <v/>
      </c>
    </row>
    <row r="1830">
      <c r="A1830" s="16" t="s">
        <v>87</v>
      </c>
      <c r="E1830" s="16" t="str">
        <f>IFERROR(__xludf.DUMMYFUNCTION("""COMPUTED_VALUE"""),"")</f>
        <v/>
      </c>
      <c r="G1830" s="18"/>
      <c r="H1830" s="16" t="s">
        <v>87</v>
      </c>
      <c r="I1830" s="16" t="s">
        <v>87</v>
      </c>
      <c r="J1830" s="19"/>
      <c r="L1830" s="16" t="str">
        <f>IFERROR(__xludf.DUMMYFUNCTION("""COMPUTED_VALUE"""),"")</f>
        <v/>
      </c>
      <c r="M1830" s="16" t="str">
        <f>IFERROR(__xludf.DUMMYFUNCTION("""COMPUTED_VALUE"""),"")</f>
        <v/>
      </c>
      <c r="U1830" s="16" t="s">
        <v>87</v>
      </c>
      <c r="V1830" s="16" t="str">
        <f>IFERROR(__xludf.DUMMYFUNCTION("""COMPUTED_VALUE"""),"")</f>
        <v/>
      </c>
      <c r="W1830" s="16" t="str">
        <f>IFERROR(__xludf.DUMMYFUNCTION("""COMPUTED_VALUE"""),"")</f>
        <v/>
      </c>
      <c r="X1830" s="16" t="str">
        <f>IFERROR(__xludf.DUMMYFUNCTION("""COMPUTED_VALUE"""),"")</f>
        <v/>
      </c>
      <c r="AC1830" s="16" t="str">
        <f>IFERROR(__xludf.DUMMYFUNCTION("""COMPUTED_VALUE"""),"")</f>
        <v/>
      </c>
    </row>
    <row r="1831">
      <c r="A1831" s="16" t="s">
        <v>87</v>
      </c>
      <c r="E1831" s="16" t="str">
        <f>IFERROR(__xludf.DUMMYFUNCTION("""COMPUTED_VALUE"""),"")</f>
        <v/>
      </c>
      <c r="G1831" s="18"/>
      <c r="H1831" s="16" t="s">
        <v>87</v>
      </c>
      <c r="I1831" s="16" t="s">
        <v>87</v>
      </c>
      <c r="J1831" s="19"/>
      <c r="L1831" s="16" t="str">
        <f>IFERROR(__xludf.DUMMYFUNCTION("""COMPUTED_VALUE"""),"")</f>
        <v/>
      </c>
      <c r="M1831" s="16" t="str">
        <f>IFERROR(__xludf.DUMMYFUNCTION("""COMPUTED_VALUE"""),"")</f>
        <v/>
      </c>
      <c r="U1831" s="16" t="s">
        <v>87</v>
      </c>
      <c r="V1831" s="16" t="str">
        <f>IFERROR(__xludf.DUMMYFUNCTION("""COMPUTED_VALUE"""),"")</f>
        <v/>
      </c>
      <c r="W1831" s="16" t="str">
        <f>IFERROR(__xludf.DUMMYFUNCTION("""COMPUTED_VALUE"""),"")</f>
        <v/>
      </c>
      <c r="X1831" s="16" t="str">
        <f>IFERROR(__xludf.DUMMYFUNCTION("""COMPUTED_VALUE"""),"")</f>
        <v/>
      </c>
      <c r="AC1831" s="16" t="str">
        <f>IFERROR(__xludf.DUMMYFUNCTION("""COMPUTED_VALUE"""),"")</f>
        <v/>
      </c>
    </row>
    <row r="1832">
      <c r="A1832" s="16" t="s">
        <v>87</v>
      </c>
      <c r="E1832" s="16" t="str">
        <f>IFERROR(__xludf.DUMMYFUNCTION("""COMPUTED_VALUE"""),"")</f>
        <v/>
      </c>
      <c r="G1832" s="18"/>
      <c r="H1832" s="16" t="s">
        <v>87</v>
      </c>
      <c r="I1832" s="16" t="s">
        <v>87</v>
      </c>
      <c r="J1832" s="19"/>
      <c r="L1832" s="16" t="str">
        <f>IFERROR(__xludf.DUMMYFUNCTION("""COMPUTED_VALUE"""),"")</f>
        <v/>
      </c>
      <c r="M1832" s="16" t="str">
        <f>IFERROR(__xludf.DUMMYFUNCTION("""COMPUTED_VALUE"""),"")</f>
        <v/>
      </c>
      <c r="U1832" s="16" t="s">
        <v>87</v>
      </c>
      <c r="V1832" s="16" t="str">
        <f>IFERROR(__xludf.DUMMYFUNCTION("""COMPUTED_VALUE"""),"")</f>
        <v/>
      </c>
      <c r="W1832" s="16" t="str">
        <f>IFERROR(__xludf.DUMMYFUNCTION("""COMPUTED_VALUE"""),"")</f>
        <v/>
      </c>
      <c r="X1832" s="16" t="str">
        <f>IFERROR(__xludf.DUMMYFUNCTION("""COMPUTED_VALUE"""),"")</f>
        <v/>
      </c>
      <c r="AC1832" s="16" t="str">
        <f>IFERROR(__xludf.DUMMYFUNCTION("""COMPUTED_VALUE"""),"")</f>
        <v/>
      </c>
    </row>
    <row r="1833">
      <c r="A1833" s="16" t="s">
        <v>87</v>
      </c>
      <c r="E1833" s="16" t="str">
        <f>IFERROR(__xludf.DUMMYFUNCTION("""COMPUTED_VALUE"""),"")</f>
        <v/>
      </c>
      <c r="G1833" s="18"/>
      <c r="H1833" s="16" t="s">
        <v>87</v>
      </c>
      <c r="I1833" s="16" t="s">
        <v>87</v>
      </c>
      <c r="J1833" s="19"/>
      <c r="L1833" s="16" t="str">
        <f>IFERROR(__xludf.DUMMYFUNCTION("""COMPUTED_VALUE"""),"")</f>
        <v/>
      </c>
      <c r="M1833" s="16" t="str">
        <f>IFERROR(__xludf.DUMMYFUNCTION("""COMPUTED_VALUE"""),"")</f>
        <v/>
      </c>
      <c r="U1833" s="16" t="s">
        <v>87</v>
      </c>
      <c r="V1833" s="16" t="str">
        <f>IFERROR(__xludf.DUMMYFUNCTION("""COMPUTED_VALUE"""),"")</f>
        <v/>
      </c>
      <c r="W1833" s="16" t="str">
        <f>IFERROR(__xludf.DUMMYFUNCTION("""COMPUTED_VALUE"""),"")</f>
        <v/>
      </c>
      <c r="X1833" s="16" t="str">
        <f>IFERROR(__xludf.DUMMYFUNCTION("""COMPUTED_VALUE"""),"")</f>
        <v/>
      </c>
      <c r="AC1833" s="16" t="str">
        <f>IFERROR(__xludf.DUMMYFUNCTION("""COMPUTED_VALUE"""),"")</f>
        <v/>
      </c>
    </row>
    <row r="1834">
      <c r="A1834" s="16" t="s">
        <v>87</v>
      </c>
      <c r="E1834" s="16" t="str">
        <f>IFERROR(__xludf.DUMMYFUNCTION("""COMPUTED_VALUE"""),"")</f>
        <v/>
      </c>
      <c r="G1834" s="18"/>
      <c r="H1834" s="16" t="s">
        <v>87</v>
      </c>
      <c r="I1834" s="16" t="s">
        <v>87</v>
      </c>
      <c r="J1834" s="19"/>
      <c r="L1834" s="16" t="str">
        <f>IFERROR(__xludf.DUMMYFUNCTION("""COMPUTED_VALUE"""),"")</f>
        <v/>
      </c>
      <c r="M1834" s="16" t="str">
        <f>IFERROR(__xludf.DUMMYFUNCTION("""COMPUTED_VALUE"""),"")</f>
        <v/>
      </c>
      <c r="U1834" s="16" t="s">
        <v>87</v>
      </c>
      <c r="V1834" s="16" t="str">
        <f>IFERROR(__xludf.DUMMYFUNCTION("""COMPUTED_VALUE"""),"")</f>
        <v/>
      </c>
      <c r="W1834" s="16" t="str">
        <f>IFERROR(__xludf.DUMMYFUNCTION("""COMPUTED_VALUE"""),"")</f>
        <v/>
      </c>
      <c r="X1834" s="16" t="str">
        <f>IFERROR(__xludf.DUMMYFUNCTION("""COMPUTED_VALUE"""),"")</f>
        <v/>
      </c>
      <c r="AC1834" s="16" t="str">
        <f>IFERROR(__xludf.DUMMYFUNCTION("""COMPUTED_VALUE"""),"")</f>
        <v/>
      </c>
    </row>
    <row r="1835">
      <c r="A1835" s="16" t="s">
        <v>87</v>
      </c>
      <c r="E1835" s="16" t="str">
        <f>IFERROR(__xludf.DUMMYFUNCTION("""COMPUTED_VALUE"""),"")</f>
        <v/>
      </c>
      <c r="G1835" s="18"/>
      <c r="H1835" s="16" t="s">
        <v>87</v>
      </c>
      <c r="I1835" s="16" t="s">
        <v>87</v>
      </c>
      <c r="J1835" s="19"/>
      <c r="L1835" s="16" t="str">
        <f>IFERROR(__xludf.DUMMYFUNCTION("""COMPUTED_VALUE"""),"")</f>
        <v/>
      </c>
      <c r="M1835" s="16" t="str">
        <f>IFERROR(__xludf.DUMMYFUNCTION("""COMPUTED_VALUE"""),"")</f>
        <v/>
      </c>
      <c r="U1835" s="16" t="s">
        <v>87</v>
      </c>
      <c r="V1835" s="16" t="str">
        <f>IFERROR(__xludf.DUMMYFUNCTION("""COMPUTED_VALUE"""),"")</f>
        <v/>
      </c>
      <c r="W1835" s="16" t="str">
        <f>IFERROR(__xludf.DUMMYFUNCTION("""COMPUTED_VALUE"""),"")</f>
        <v/>
      </c>
      <c r="X1835" s="16" t="str">
        <f>IFERROR(__xludf.DUMMYFUNCTION("""COMPUTED_VALUE"""),"")</f>
        <v/>
      </c>
      <c r="AC1835" s="16" t="str">
        <f>IFERROR(__xludf.DUMMYFUNCTION("""COMPUTED_VALUE"""),"")</f>
        <v/>
      </c>
    </row>
    <row r="1836">
      <c r="A1836" s="16" t="s">
        <v>87</v>
      </c>
      <c r="E1836" s="16" t="str">
        <f>IFERROR(__xludf.DUMMYFUNCTION("""COMPUTED_VALUE"""),"")</f>
        <v/>
      </c>
      <c r="G1836" s="18"/>
      <c r="H1836" s="16" t="s">
        <v>87</v>
      </c>
      <c r="I1836" s="16" t="s">
        <v>87</v>
      </c>
      <c r="J1836" s="19"/>
      <c r="L1836" s="16" t="str">
        <f>IFERROR(__xludf.DUMMYFUNCTION("""COMPUTED_VALUE"""),"")</f>
        <v/>
      </c>
      <c r="M1836" s="16" t="str">
        <f>IFERROR(__xludf.DUMMYFUNCTION("""COMPUTED_VALUE"""),"")</f>
        <v/>
      </c>
      <c r="U1836" s="16" t="s">
        <v>87</v>
      </c>
      <c r="V1836" s="16" t="str">
        <f>IFERROR(__xludf.DUMMYFUNCTION("""COMPUTED_VALUE"""),"")</f>
        <v/>
      </c>
      <c r="W1836" s="16" t="str">
        <f>IFERROR(__xludf.DUMMYFUNCTION("""COMPUTED_VALUE"""),"")</f>
        <v/>
      </c>
      <c r="X1836" s="16" t="str">
        <f>IFERROR(__xludf.DUMMYFUNCTION("""COMPUTED_VALUE"""),"")</f>
        <v/>
      </c>
      <c r="AC1836" s="16" t="str">
        <f>IFERROR(__xludf.DUMMYFUNCTION("""COMPUTED_VALUE"""),"")</f>
        <v/>
      </c>
    </row>
    <row r="1837">
      <c r="A1837" s="16" t="s">
        <v>87</v>
      </c>
      <c r="E1837" s="16" t="str">
        <f>IFERROR(__xludf.DUMMYFUNCTION("""COMPUTED_VALUE"""),"")</f>
        <v/>
      </c>
      <c r="G1837" s="18"/>
      <c r="H1837" s="16" t="s">
        <v>87</v>
      </c>
      <c r="I1837" s="16" t="s">
        <v>87</v>
      </c>
      <c r="J1837" s="19"/>
      <c r="L1837" s="16" t="str">
        <f>IFERROR(__xludf.DUMMYFUNCTION("""COMPUTED_VALUE"""),"")</f>
        <v/>
      </c>
      <c r="M1837" s="16" t="str">
        <f>IFERROR(__xludf.DUMMYFUNCTION("""COMPUTED_VALUE"""),"")</f>
        <v/>
      </c>
      <c r="U1837" s="16" t="s">
        <v>87</v>
      </c>
      <c r="V1837" s="16" t="str">
        <f>IFERROR(__xludf.DUMMYFUNCTION("""COMPUTED_VALUE"""),"")</f>
        <v/>
      </c>
      <c r="W1837" s="16" t="str">
        <f>IFERROR(__xludf.DUMMYFUNCTION("""COMPUTED_VALUE"""),"")</f>
        <v/>
      </c>
      <c r="X1837" s="16" t="str">
        <f>IFERROR(__xludf.DUMMYFUNCTION("""COMPUTED_VALUE"""),"")</f>
        <v/>
      </c>
      <c r="AC1837" s="16" t="str">
        <f>IFERROR(__xludf.DUMMYFUNCTION("""COMPUTED_VALUE"""),"")</f>
        <v/>
      </c>
    </row>
    <row r="1838">
      <c r="A1838" s="16" t="s">
        <v>87</v>
      </c>
      <c r="E1838" s="16" t="str">
        <f>IFERROR(__xludf.DUMMYFUNCTION("""COMPUTED_VALUE"""),"")</f>
        <v/>
      </c>
      <c r="G1838" s="18"/>
      <c r="H1838" s="16" t="s">
        <v>87</v>
      </c>
      <c r="I1838" s="16" t="s">
        <v>87</v>
      </c>
      <c r="J1838" s="19"/>
      <c r="L1838" s="16" t="str">
        <f>IFERROR(__xludf.DUMMYFUNCTION("""COMPUTED_VALUE"""),"")</f>
        <v/>
      </c>
      <c r="M1838" s="16" t="str">
        <f>IFERROR(__xludf.DUMMYFUNCTION("""COMPUTED_VALUE"""),"")</f>
        <v/>
      </c>
      <c r="U1838" s="16" t="s">
        <v>87</v>
      </c>
      <c r="V1838" s="16" t="str">
        <f>IFERROR(__xludf.DUMMYFUNCTION("""COMPUTED_VALUE"""),"")</f>
        <v/>
      </c>
      <c r="W1838" s="16" t="str">
        <f>IFERROR(__xludf.DUMMYFUNCTION("""COMPUTED_VALUE"""),"")</f>
        <v/>
      </c>
      <c r="X1838" s="16" t="str">
        <f>IFERROR(__xludf.DUMMYFUNCTION("""COMPUTED_VALUE"""),"")</f>
        <v/>
      </c>
      <c r="AC1838" s="16" t="str">
        <f>IFERROR(__xludf.DUMMYFUNCTION("""COMPUTED_VALUE"""),"")</f>
        <v/>
      </c>
    </row>
    <row r="1839">
      <c r="A1839" s="16" t="s">
        <v>87</v>
      </c>
      <c r="E1839" s="16" t="str">
        <f>IFERROR(__xludf.DUMMYFUNCTION("""COMPUTED_VALUE"""),"")</f>
        <v/>
      </c>
      <c r="G1839" s="18"/>
      <c r="H1839" s="16" t="s">
        <v>87</v>
      </c>
      <c r="I1839" s="16" t="s">
        <v>87</v>
      </c>
      <c r="J1839" s="19"/>
      <c r="L1839" s="16" t="str">
        <f>IFERROR(__xludf.DUMMYFUNCTION("""COMPUTED_VALUE"""),"")</f>
        <v/>
      </c>
      <c r="M1839" s="16" t="str">
        <f>IFERROR(__xludf.DUMMYFUNCTION("""COMPUTED_VALUE"""),"")</f>
        <v/>
      </c>
      <c r="U1839" s="16" t="s">
        <v>87</v>
      </c>
      <c r="V1839" s="16" t="str">
        <f>IFERROR(__xludf.DUMMYFUNCTION("""COMPUTED_VALUE"""),"")</f>
        <v/>
      </c>
      <c r="W1839" s="16" t="str">
        <f>IFERROR(__xludf.DUMMYFUNCTION("""COMPUTED_VALUE"""),"")</f>
        <v/>
      </c>
      <c r="X1839" s="16" t="str">
        <f>IFERROR(__xludf.DUMMYFUNCTION("""COMPUTED_VALUE"""),"")</f>
        <v/>
      </c>
      <c r="AC1839" s="16" t="str">
        <f>IFERROR(__xludf.DUMMYFUNCTION("""COMPUTED_VALUE"""),"")</f>
        <v/>
      </c>
    </row>
    <row r="1840">
      <c r="A1840" s="16" t="s">
        <v>87</v>
      </c>
      <c r="E1840" s="16" t="str">
        <f>IFERROR(__xludf.DUMMYFUNCTION("""COMPUTED_VALUE"""),"")</f>
        <v/>
      </c>
      <c r="G1840" s="18"/>
      <c r="H1840" s="16" t="s">
        <v>87</v>
      </c>
      <c r="I1840" s="16" t="s">
        <v>87</v>
      </c>
      <c r="J1840" s="19"/>
      <c r="L1840" s="16" t="str">
        <f>IFERROR(__xludf.DUMMYFUNCTION("""COMPUTED_VALUE"""),"")</f>
        <v/>
      </c>
      <c r="M1840" s="16" t="str">
        <f>IFERROR(__xludf.DUMMYFUNCTION("""COMPUTED_VALUE"""),"")</f>
        <v/>
      </c>
      <c r="U1840" s="16" t="s">
        <v>87</v>
      </c>
      <c r="V1840" s="16" t="str">
        <f>IFERROR(__xludf.DUMMYFUNCTION("""COMPUTED_VALUE"""),"")</f>
        <v/>
      </c>
      <c r="W1840" s="16" t="str">
        <f>IFERROR(__xludf.DUMMYFUNCTION("""COMPUTED_VALUE"""),"")</f>
        <v/>
      </c>
      <c r="X1840" s="16" t="str">
        <f>IFERROR(__xludf.DUMMYFUNCTION("""COMPUTED_VALUE"""),"")</f>
        <v/>
      </c>
      <c r="AC1840" s="16" t="str">
        <f>IFERROR(__xludf.DUMMYFUNCTION("""COMPUTED_VALUE"""),"")</f>
        <v/>
      </c>
    </row>
    <row r="1841">
      <c r="A1841" s="16" t="s">
        <v>87</v>
      </c>
      <c r="E1841" s="16" t="str">
        <f>IFERROR(__xludf.DUMMYFUNCTION("""COMPUTED_VALUE"""),"")</f>
        <v/>
      </c>
      <c r="G1841" s="18"/>
      <c r="H1841" s="16" t="s">
        <v>87</v>
      </c>
      <c r="I1841" s="16" t="s">
        <v>87</v>
      </c>
      <c r="J1841" s="19"/>
      <c r="L1841" s="16" t="str">
        <f>IFERROR(__xludf.DUMMYFUNCTION("""COMPUTED_VALUE"""),"")</f>
        <v/>
      </c>
      <c r="M1841" s="16" t="str">
        <f>IFERROR(__xludf.DUMMYFUNCTION("""COMPUTED_VALUE"""),"")</f>
        <v/>
      </c>
      <c r="U1841" s="16" t="s">
        <v>87</v>
      </c>
      <c r="V1841" s="16" t="str">
        <f>IFERROR(__xludf.DUMMYFUNCTION("""COMPUTED_VALUE"""),"")</f>
        <v/>
      </c>
      <c r="W1841" s="16" t="str">
        <f>IFERROR(__xludf.DUMMYFUNCTION("""COMPUTED_VALUE"""),"")</f>
        <v/>
      </c>
      <c r="X1841" s="16" t="str">
        <f>IFERROR(__xludf.DUMMYFUNCTION("""COMPUTED_VALUE"""),"")</f>
        <v/>
      </c>
      <c r="AC1841" s="16" t="str">
        <f>IFERROR(__xludf.DUMMYFUNCTION("""COMPUTED_VALUE"""),"")</f>
        <v/>
      </c>
    </row>
    <row r="1842">
      <c r="A1842" s="16" t="s">
        <v>87</v>
      </c>
      <c r="E1842" s="16" t="str">
        <f>IFERROR(__xludf.DUMMYFUNCTION("""COMPUTED_VALUE"""),"")</f>
        <v/>
      </c>
      <c r="G1842" s="18"/>
      <c r="H1842" s="16" t="s">
        <v>87</v>
      </c>
      <c r="I1842" s="16" t="s">
        <v>87</v>
      </c>
      <c r="J1842" s="19"/>
      <c r="L1842" s="16" t="str">
        <f>IFERROR(__xludf.DUMMYFUNCTION("""COMPUTED_VALUE"""),"")</f>
        <v/>
      </c>
      <c r="M1842" s="16" t="str">
        <f>IFERROR(__xludf.DUMMYFUNCTION("""COMPUTED_VALUE"""),"")</f>
        <v/>
      </c>
      <c r="U1842" s="16" t="s">
        <v>87</v>
      </c>
      <c r="V1842" s="16" t="str">
        <f>IFERROR(__xludf.DUMMYFUNCTION("""COMPUTED_VALUE"""),"")</f>
        <v/>
      </c>
      <c r="W1842" s="16" t="str">
        <f>IFERROR(__xludf.DUMMYFUNCTION("""COMPUTED_VALUE"""),"")</f>
        <v/>
      </c>
      <c r="X1842" s="16" t="str">
        <f>IFERROR(__xludf.DUMMYFUNCTION("""COMPUTED_VALUE"""),"")</f>
        <v/>
      </c>
      <c r="AC1842" s="16" t="str">
        <f>IFERROR(__xludf.DUMMYFUNCTION("""COMPUTED_VALUE"""),"")</f>
        <v/>
      </c>
    </row>
    <row r="1843">
      <c r="A1843" s="16" t="s">
        <v>87</v>
      </c>
      <c r="E1843" s="16" t="str">
        <f>IFERROR(__xludf.DUMMYFUNCTION("""COMPUTED_VALUE"""),"")</f>
        <v/>
      </c>
      <c r="G1843" s="18"/>
      <c r="H1843" s="16" t="s">
        <v>87</v>
      </c>
      <c r="I1843" s="16" t="s">
        <v>87</v>
      </c>
      <c r="J1843" s="19"/>
      <c r="L1843" s="16" t="str">
        <f>IFERROR(__xludf.DUMMYFUNCTION("""COMPUTED_VALUE"""),"")</f>
        <v/>
      </c>
      <c r="M1843" s="16" t="str">
        <f>IFERROR(__xludf.DUMMYFUNCTION("""COMPUTED_VALUE"""),"")</f>
        <v/>
      </c>
      <c r="U1843" s="16" t="s">
        <v>87</v>
      </c>
      <c r="V1843" s="16" t="str">
        <f>IFERROR(__xludf.DUMMYFUNCTION("""COMPUTED_VALUE"""),"")</f>
        <v/>
      </c>
      <c r="W1843" s="16" t="str">
        <f>IFERROR(__xludf.DUMMYFUNCTION("""COMPUTED_VALUE"""),"")</f>
        <v/>
      </c>
      <c r="X1843" s="16" t="str">
        <f>IFERROR(__xludf.DUMMYFUNCTION("""COMPUTED_VALUE"""),"")</f>
        <v/>
      </c>
      <c r="AC1843" s="16" t="str">
        <f>IFERROR(__xludf.DUMMYFUNCTION("""COMPUTED_VALUE"""),"")</f>
        <v/>
      </c>
    </row>
    <row r="1844">
      <c r="A1844" s="16" t="s">
        <v>87</v>
      </c>
      <c r="E1844" s="16" t="str">
        <f>IFERROR(__xludf.DUMMYFUNCTION("""COMPUTED_VALUE"""),"")</f>
        <v/>
      </c>
      <c r="G1844" s="18"/>
      <c r="H1844" s="16" t="s">
        <v>87</v>
      </c>
      <c r="I1844" s="16" t="s">
        <v>87</v>
      </c>
      <c r="J1844" s="19"/>
      <c r="L1844" s="16" t="str">
        <f>IFERROR(__xludf.DUMMYFUNCTION("""COMPUTED_VALUE"""),"")</f>
        <v/>
      </c>
      <c r="M1844" s="16" t="str">
        <f>IFERROR(__xludf.DUMMYFUNCTION("""COMPUTED_VALUE"""),"")</f>
        <v/>
      </c>
      <c r="U1844" s="16" t="s">
        <v>87</v>
      </c>
      <c r="V1844" s="16" t="str">
        <f>IFERROR(__xludf.DUMMYFUNCTION("""COMPUTED_VALUE"""),"")</f>
        <v/>
      </c>
      <c r="W1844" s="16" t="str">
        <f>IFERROR(__xludf.DUMMYFUNCTION("""COMPUTED_VALUE"""),"")</f>
        <v/>
      </c>
      <c r="X1844" s="16" t="str">
        <f>IFERROR(__xludf.DUMMYFUNCTION("""COMPUTED_VALUE"""),"")</f>
        <v/>
      </c>
      <c r="AC1844" s="16" t="str">
        <f>IFERROR(__xludf.DUMMYFUNCTION("""COMPUTED_VALUE"""),"")</f>
        <v/>
      </c>
    </row>
    <row r="1845">
      <c r="A1845" s="16" t="s">
        <v>87</v>
      </c>
      <c r="E1845" s="16" t="str">
        <f>IFERROR(__xludf.DUMMYFUNCTION("""COMPUTED_VALUE"""),"")</f>
        <v/>
      </c>
      <c r="G1845" s="18"/>
      <c r="H1845" s="16" t="s">
        <v>87</v>
      </c>
      <c r="I1845" s="16" t="s">
        <v>87</v>
      </c>
      <c r="J1845" s="19"/>
      <c r="L1845" s="16" t="str">
        <f>IFERROR(__xludf.DUMMYFUNCTION("""COMPUTED_VALUE"""),"")</f>
        <v/>
      </c>
      <c r="M1845" s="16" t="str">
        <f>IFERROR(__xludf.DUMMYFUNCTION("""COMPUTED_VALUE"""),"")</f>
        <v/>
      </c>
      <c r="U1845" s="16" t="s">
        <v>87</v>
      </c>
      <c r="V1845" s="16" t="str">
        <f>IFERROR(__xludf.DUMMYFUNCTION("""COMPUTED_VALUE"""),"")</f>
        <v/>
      </c>
      <c r="W1845" s="16" t="str">
        <f>IFERROR(__xludf.DUMMYFUNCTION("""COMPUTED_VALUE"""),"")</f>
        <v/>
      </c>
      <c r="X1845" s="16" t="str">
        <f>IFERROR(__xludf.DUMMYFUNCTION("""COMPUTED_VALUE"""),"")</f>
        <v/>
      </c>
      <c r="AC1845" s="16" t="str">
        <f>IFERROR(__xludf.DUMMYFUNCTION("""COMPUTED_VALUE"""),"")</f>
        <v/>
      </c>
    </row>
    <row r="1846">
      <c r="A1846" s="16" t="s">
        <v>87</v>
      </c>
      <c r="E1846" s="16" t="str">
        <f>IFERROR(__xludf.DUMMYFUNCTION("""COMPUTED_VALUE"""),"")</f>
        <v/>
      </c>
      <c r="G1846" s="18"/>
      <c r="H1846" s="16" t="s">
        <v>87</v>
      </c>
      <c r="I1846" s="16" t="s">
        <v>87</v>
      </c>
      <c r="J1846" s="19"/>
      <c r="L1846" s="16" t="str">
        <f>IFERROR(__xludf.DUMMYFUNCTION("""COMPUTED_VALUE"""),"")</f>
        <v/>
      </c>
      <c r="M1846" s="16" t="str">
        <f>IFERROR(__xludf.DUMMYFUNCTION("""COMPUTED_VALUE"""),"")</f>
        <v/>
      </c>
      <c r="U1846" s="16" t="s">
        <v>87</v>
      </c>
      <c r="V1846" s="16" t="str">
        <f>IFERROR(__xludf.DUMMYFUNCTION("""COMPUTED_VALUE"""),"")</f>
        <v/>
      </c>
      <c r="W1846" s="16" t="str">
        <f>IFERROR(__xludf.DUMMYFUNCTION("""COMPUTED_VALUE"""),"")</f>
        <v/>
      </c>
      <c r="X1846" s="16" t="str">
        <f>IFERROR(__xludf.DUMMYFUNCTION("""COMPUTED_VALUE"""),"")</f>
        <v/>
      </c>
      <c r="AC1846" s="16" t="str">
        <f>IFERROR(__xludf.DUMMYFUNCTION("""COMPUTED_VALUE"""),"")</f>
        <v/>
      </c>
    </row>
    <row r="1847">
      <c r="A1847" s="16" t="s">
        <v>87</v>
      </c>
      <c r="E1847" s="16" t="str">
        <f>IFERROR(__xludf.DUMMYFUNCTION("""COMPUTED_VALUE"""),"")</f>
        <v/>
      </c>
      <c r="G1847" s="18"/>
      <c r="H1847" s="16" t="s">
        <v>87</v>
      </c>
      <c r="I1847" s="16" t="s">
        <v>87</v>
      </c>
      <c r="J1847" s="19"/>
      <c r="L1847" s="16" t="str">
        <f>IFERROR(__xludf.DUMMYFUNCTION("""COMPUTED_VALUE"""),"")</f>
        <v/>
      </c>
      <c r="M1847" s="16" t="str">
        <f>IFERROR(__xludf.DUMMYFUNCTION("""COMPUTED_VALUE"""),"")</f>
        <v/>
      </c>
      <c r="U1847" s="16" t="s">
        <v>87</v>
      </c>
      <c r="V1847" s="16" t="str">
        <f>IFERROR(__xludf.DUMMYFUNCTION("""COMPUTED_VALUE"""),"")</f>
        <v/>
      </c>
      <c r="W1847" s="16" t="str">
        <f>IFERROR(__xludf.DUMMYFUNCTION("""COMPUTED_VALUE"""),"")</f>
        <v/>
      </c>
      <c r="X1847" s="16" t="str">
        <f>IFERROR(__xludf.DUMMYFUNCTION("""COMPUTED_VALUE"""),"")</f>
        <v/>
      </c>
      <c r="AC1847" s="16" t="str">
        <f>IFERROR(__xludf.DUMMYFUNCTION("""COMPUTED_VALUE"""),"")</f>
        <v/>
      </c>
    </row>
    <row r="1848">
      <c r="A1848" s="16" t="s">
        <v>87</v>
      </c>
      <c r="E1848" s="16" t="str">
        <f>IFERROR(__xludf.DUMMYFUNCTION("""COMPUTED_VALUE"""),"")</f>
        <v/>
      </c>
      <c r="G1848" s="18"/>
      <c r="H1848" s="16" t="s">
        <v>87</v>
      </c>
      <c r="I1848" s="16" t="s">
        <v>87</v>
      </c>
      <c r="J1848" s="19"/>
      <c r="L1848" s="16" t="str">
        <f>IFERROR(__xludf.DUMMYFUNCTION("""COMPUTED_VALUE"""),"")</f>
        <v/>
      </c>
      <c r="M1848" s="16" t="str">
        <f>IFERROR(__xludf.DUMMYFUNCTION("""COMPUTED_VALUE"""),"")</f>
        <v/>
      </c>
      <c r="U1848" s="16" t="s">
        <v>87</v>
      </c>
      <c r="V1848" s="16" t="str">
        <f>IFERROR(__xludf.DUMMYFUNCTION("""COMPUTED_VALUE"""),"")</f>
        <v/>
      </c>
      <c r="W1848" s="16" t="str">
        <f>IFERROR(__xludf.DUMMYFUNCTION("""COMPUTED_VALUE"""),"")</f>
        <v/>
      </c>
      <c r="X1848" s="16" t="str">
        <f>IFERROR(__xludf.DUMMYFUNCTION("""COMPUTED_VALUE"""),"")</f>
        <v/>
      </c>
      <c r="AC1848" s="16" t="str">
        <f>IFERROR(__xludf.DUMMYFUNCTION("""COMPUTED_VALUE"""),"")</f>
        <v/>
      </c>
    </row>
    <row r="1849">
      <c r="A1849" s="16" t="s">
        <v>87</v>
      </c>
      <c r="E1849" s="16" t="str">
        <f>IFERROR(__xludf.DUMMYFUNCTION("""COMPUTED_VALUE"""),"")</f>
        <v/>
      </c>
      <c r="G1849" s="18"/>
      <c r="H1849" s="16" t="s">
        <v>87</v>
      </c>
      <c r="I1849" s="16" t="s">
        <v>87</v>
      </c>
      <c r="J1849" s="19"/>
      <c r="L1849" s="16" t="str">
        <f>IFERROR(__xludf.DUMMYFUNCTION("""COMPUTED_VALUE"""),"")</f>
        <v/>
      </c>
      <c r="M1849" s="16" t="str">
        <f>IFERROR(__xludf.DUMMYFUNCTION("""COMPUTED_VALUE"""),"")</f>
        <v/>
      </c>
      <c r="U1849" s="16" t="s">
        <v>87</v>
      </c>
      <c r="V1849" s="16" t="str">
        <f>IFERROR(__xludf.DUMMYFUNCTION("""COMPUTED_VALUE"""),"")</f>
        <v/>
      </c>
      <c r="W1849" s="16" t="str">
        <f>IFERROR(__xludf.DUMMYFUNCTION("""COMPUTED_VALUE"""),"")</f>
        <v/>
      </c>
      <c r="X1849" s="16" t="str">
        <f>IFERROR(__xludf.DUMMYFUNCTION("""COMPUTED_VALUE"""),"")</f>
        <v/>
      </c>
      <c r="AC1849" s="16" t="str">
        <f>IFERROR(__xludf.DUMMYFUNCTION("""COMPUTED_VALUE"""),"")</f>
        <v/>
      </c>
    </row>
    <row r="1850">
      <c r="A1850" s="16" t="s">
        <v>87</v>
      </c>
      <c r="E1850" s="16" t="str">
        <f>IFERROR(__xludf.DUMMYFUNCTION("""COMPUTED_VALUE"""),"")</f>
        <v/>
      </c>
      <c r="G1850" s="18"/>
      <c r="H1850" s="16" t="s">
        <v>87</v>
      </c>
      <c r="I1850" s="16" t="s">
        <v>87</v>
      </c>
      <c r="J1850" s="19"/>
      <c r="L1850" s="16" t="str">
        <f>IFERROR(__xludf.DUMMYFUNCTION("""COMPUTED_VALUE"""),"")</f>
        <v/>
      </c>
      <c r="M1850" s="16" t="str">
        <f>IFERROR(__xludf.DUMMYFUNCTION("""COMPUTED_VALUE"""),"")</f>
        <v/>
      </c>
      <c r="U1850" s="16" t="s">
        <v>87</v>
      </c>
      <c r="V1850" s="16" t="str">
        <f>IFERROR(__xludf.DUMMYFUNCTION("""COMPUTED_VALUE"""),"")</f>
        <v/>
      </c>
      <c r="W1850" s="16" t="str">
        <f>IFERROR(__xludf.DUMMYFUNCTION("""COMPUTED_VALUE"""),"")</f>
        <v/>
      </c>
      <c r="X1850" s="16" t="str">
        <f>IFERROR(__xludf.DUMMYFUNCTION("""COMPUTED_VALUE"""),"")</f>
        <v/>
      </c>
      <c r="AC1850" s="16" t="str">
        <f>IFERROR(__xludf.DUMMYFUNCTION("""COMPUTED_VALUE"""),"")</f>
        <v/>
      </c>
    </row>
    <row r="1851">
      <c r="A1851" s="16" t="s">
        <v>87</v>
      </c>
      <c r="E1851" s="16" t="str">
        <f>IFERROR(__xludf.DUMMYFUNCTION("""COMPUTED_VALUE"""),"")</f>
        <v/>
      </c>
      <c r="G1851" s="18"/>
      <c r="H1851" s="16" t="s">
        <v>87</v>
      </c>
      <c r="I1851" s="16" t="s">
        <v>87</v>
      </c>
      <c r="J1851" s="19"/>
      <c r="L1851" s="16" t="str">
        <f>IFERROR(__xludf.DUMMYFUNCTION("""COMPUTED_VALUE"""),"")</f>
        <v/>
      </c>
      <c r="M1851" s="16" t="str">
        <f>IFERROR(__xludf.DUMMYFUNCTION("""COMPUTED_VALUE"""),"")</f>
        <v/>
      </c>
      <c r="U1851" s="16" t="s">
        <v>87</v>
      </c>
      <c r="V1851" s="16" t="str">
        <f>IFERROR(__xludf.DUMMYFUNCTION("""COMPUTED_VALUE"""),"")</f>
        <v/>
      </c>
      <c r="W1851" s="16" t="str">
        <f>IFERROR(__xludf.DUMMYFUNCTION("""COMPUTED_VALUE"""),"")</f>
        <v/>
      </c>
      <c r="X1851" s="16" t="str">
        <f>IFERROR(__xludf.DUMMYFUNCTION("""COMPUTED_VALUE"""),"")</f>
        <v/>
      </c>
      <c r="AC1851" s="16" t="str">
        <f>IFERROR(__xludf.DUMMYFUNCTION("""COMPUTED_VALUE"""),"")</f>
        <v/>
      </c>
    </row>
    <row r="1852">
      <c r="A1852" s="16" t="s">
        <v>87</v>
      </c>
      <c r="E1852" s="16" t="str">
        <f>IFERROR(__xludf.DUMMYFUNCTION("""COMPUTED_VALUE"""),"")</f>
        <v/>
      </c>
      <c r="G1852" s="18"/>
      <c r="H1852" s="16" t="s">
        <v>87</v>
      </c>
      <c r="I1852" s="16" t="s">
        <v>87</v>
      </c>
      <c r="J1852" s="19"/>
      <c r="L1852" s="16" t="str">
        <f>IFERROR(__xludf.DUMMYFUNCTION("""COMPUTED_VALUE"""),"")</f>
        <v/>
      </c>
      <c r="M1852" s="16" t="str">
        <f>IFERROR(__xludf.DUMMYFUNCTION("""COMPUTED_VALUE"""),"")</f>
        <v/>
      </c>
      <c r="U1852" s="16" t="s">
        <v>87</v>
      </c>
      <c r="V1852" s="16" t="str">
        <f>IFERROR(__xludf.DUMMYFUNCTION("""COMPUTED_VALUE"""),"")</f>
        <v/>
      </c>
      <c r="W1852" s="16" t="str">
        <f>IFERROR(__xludf.DUMMYFUNCTION("""COMPUTED_VALUE"""),"")</f>
        <v/>
      </c>
      <c r="X1852" s="16" t="str">
        <f>IFERROR(__xludf.DUMMYFUNCTION("""COMPUTED_VALUE"""),"")</f>
        <v/>
      </c>
      <c r="AC1852" s="16" t="str">
        <f>IFERROR(__xludf.DUMMYFUNCTION("""COMPUTED_VALUE"""),"")</f>
        <v/>
      </c>
    </row>
    <row r="1853">
      <c r="A1853" s="16" t="s">
        <v>87</v>
      </c>
      <c r="E1853" s="16" t="str">
        <f>IFERROR(__xludf.DUMMYFUNCTION("""COMPUTED_VALUE"""),"")</f>
        <v/>
      </c>
      <c r="G1853" s="18"/>
      <c r="H1853" s="16" t="s">
        <v>87</v>
      </c>
      <c r="I1853" s="16" t="s">
        <v>87</v>
      </c>
      <c r="J1853" s="19"/>
      <c r="L1853" s="16" t="str">
        <f>IFERROR(__xludf.DUMMYFUNCTION("""COMPUTED_VALUE"""),"")</f>
        <v/>
      </c>
      <c r="M1853" s="16" t="str">
        <f>IFERROR(__xludf.DUMMYFUNCTION("""COMPUTED_VALUE"""),"")</f>
        <v/>
      </c>
      <c r="U1853" s="16" t="s">
        <v>87</v>
      </c>
      <c r="V1853" s="16" t="str">
        <f>IFERROR(__xludf.DUMMYFUNCTION("""COMPUTED_VALUE"""),"")</f>
        <v/>
      </c>
      <c r="W1853" s="16" t="str">
        <f>IFERROR(__xludf.DUMMYFUNCTION("""COMPUTED_VALUE"""),"")</f>
        <v/>
      </c>
      <c r="X1853" s="16" t="str">
        <f>IFERROR(__xludf.DUMMYFUNCTION("""COMPUTED_VALUE"""),"")</f>
        <v/>
      </c>
      <c r="AC1853" s="16" t="str">
        <f>IFERROR(__xludf.DUMMYFUNCTION("""COMPUTED_VALUE"""),"")</f>
        <v/>
      </c>
    </row>
    <row r="1854">
      <c r="A1854" s="16" t="s">
        <v>87</v>
      </c>
      <c r="E1854" s="16" t="str">
        <f>IFERROR(__xludf.DUMMYFUNCTION("""COMPUTED_VALUE"""),"")</f>
        <v/>
      </c>
      <c r="G1854" s="18"/>
      <c r="H1854" s="16" t="s">
        <v>87</v>
      </c>
      <c r="I1854" s="16" t="s">
        <v>87</v>
      </c>
      <c r="J1854" s="19"/>
      <c r="L1854" s="16" t="str">
        <f>IFERROR(__xludf.DUMMYFUNCTION("""COMPUTED_VALUE"""),"")</f>
        <v/>
      </c>
      <c r="M1854" s="16" t="str">
        <f>IFERROR(__xludf.DUMMYFUNCTION("""COMPUTED_VALUE"""),"")</f>
        <v/>
      </c>
      <c r="U1854" s="16" t="s">
        <v>87</v>
      </c>
      <c r="V1854" s="16" t="str">
        <f>IFERROR(__xludf.DUMMYFUNCTION("""COMPUTED_VALUE"""),"")</f>
        <v/>
      </c>
      <c r="W1854" s="16" t="str">
        <f>IFERROR(__xludf.DUMMYFUNCTION("""COMPUTED_VALUE"""),"")</f>
        <v/>
      </c>
      <c r="X1854" s="16" t="str">
        <f>IFERROR(__xludf.DUMMYFUNCTION("""COMPUTED_VALUE"""),"")</f>
        <v/>
      </c>
      <c r="AC1854" s="16" t="str">
        <f>IFERROR(__xludf.DUMMYFUNCTION("""COMPUTED_VALUE"""),"")</f>
        <v/>
      </c>
    </row>
    <row r="1855">
      <c r="A1855" s="16" t="s">
        <v>87</v>
      </c>
      <c r="E1855" s="16" t="str">
        <f>IFERROR(__xludf.DUMMYFUNCTION("""COMPUTED_VALUE"""),"")</f>
        <v/>
      </c>
      <c r="G1855" s="18"/>
      <c r="H1855" s="16" t="s">
        <v>87</v>
      </c>
      <c r="I1855" s="16" t="s">
        <v>87</v>
      </c>
      <c r="J1855" s="19"/>
      <c r="L1855" s="16" t="str">
        <f>IFERROR(__xludf.DUMMYFUNCTION("""COMPUTED_VALUE"""),"")</f>
        <v/>
      </c>
      <c r="M1855" s="16" t="str">
        <f>IFERROR(__xludf.DUMMYFUNCTION("""COMPUTED_VALUE"""),"")</f>
        <v/>
      </c>
      <c r="U1855" s="16" t="s">
        <v>87</v>
      </c>
      <c r="V1855" s="16" t="str">
        <f>IFERROR(__xludf.DUMMYFUNCTION("""COMPUTED_VALUE"""),"")</f>
        <v/>
      </c>
      <c r="W1855" s="16" t="str">
        <f>IFERROR(__xludf.DUMMYFUNCTION("""COMPUTED_VALUE"""),"")</f>
        <v/>
      </c>
      <c r="X1855" s="16" t="str">
        <f>IFERROR(__xludf.DUMMYFUNCTION("""COMPUTED_VALUE"""),"")</f>
        <v/>
      </c>
      <c r="AC1855" s="16" t="str">
        <f>IFERROR(__xludf.DUMMYFUNCTION("""COMPUTED_VALUE"""),"")</f>
        <v/>
      </c>
    </row>
    <row r="1856">
      <c r="A1856" s="16" t="s">
        <v>87</v>
      </c>
      <c r="E1856" s="16" t="str">
        <f>IFERROR(__xludf.DUMMYFUNCTION("""COMPUTED_VALUE"""),"")</f>
        <v/>
      </c>
      <c r="G1856" s="18"/>
      <c r="H1856" s="16" t="s">
        <v>87</v>
      </c>
      <c r="I1856" s="16" t="s">
        <v>87</v>
      </c>
      <c r="J1856" s="19"/>
      <c r="L1856" s="16" t="str">
        <f>IFERROR(__xludf.DUMMYFUNCTION("""COMPUTED_VALUE"""),"")</f>
        <v/>
      </c>
      <c r="M1856" s="16" t="str">
        <f>IFERROR(__xludf.DUMMYFUNCTION("""COMPUTED_VALUE"""),"")</f>
        <v/>
      </c>
      <c r="U1856" s="16" t="s">
        <v>87</v>
      </c>
      <c r="V1856" s="16" t="str">
        <f>IFERROR(__xludf.DUMMYFUNCTION("""COMPUTED_VALUE"""),"")</f>
        <v/>
      </c>
      <c r="W1856" s="16" t="str">
        <f>IFERROR(__xludf.DUMMYFUNCTION("""COMPUTED_VALUE"""),"")</f>
        <v/>
      </c>
      <c r="X1856" s="16" t="str">
        <f>IFERROR(__xludf.DUMMYFUNCTION("""COMPUTED_VALUE"""),"")</f>
        <v/>
      </c>
      <c r="AC1856" s="16" t="str">
        <f>IFERROR(__xludf.DUMMYFUNCTION("""COMPUTED_VALUE"""),"")</f>
        <v/>
      </c>
    </row>
    <row r="1857">
      <c r="A1857" s="16" t="s">
        <v>87</v>
      </c>
      <c r="E1857" s="16" t="str">
        <f>IFERROR(__xludf.DUMMYFUNCTION("""COMPUTED_VALUE"""),"")</f>
        <v/>
      </c>
      <c r="G1857" s="18"/>
      <c r="H1857" s="16" t="s">
        <v>87</v>
      </c>
      <c r="I1857" s="16" t="s">
        <v>87</v>
      </c>
      <c r="J1857" s="19"/>
      <c r="L1857" s="16" t="str">
        <f>IFERROR(__xludf.DUMMYFUNCTION("""COMPUTED_VALUE"""),"")</f>
        <v/>
      </c>
      <c r="M1857" s="16" t="str">
        <f>IFERROR(__xludf.DUMMYFUNCTION("""COMPUTED_VALUE"""),"")</f>
        <v/>
      </c>
      <c r="U1857" s="16" t="s">
        <v>87</v>
      </c>
      <c r="V1857" s="16" t="str">
        <f>IFERROR(__xludf.DUMMYFUNCTION("""COMPUTED_VALUE"""),"")</f>
        <v/>
      </c>
      <c r="W1857" s="16" t="str">
        <f>IFERROR(__xludf.DUMMYFUNCTION("""COMPUTED_VALUE"""),"")</f>
        <v/>
      </c>
      <c r="X1857" s="16" t="str">
        <f>IFERROR(__xludf.DUMMYFUNCTION("""COMPUTED_VALUE"""),"")</f>
        <v/>
      </c>
      <c r="AC1857" s="16" t="str">
        <f>IFERROR(__xludf.DUMMYFUNCTION("""COMPUTED_VALUE"""),"")</f>
        <v/>
      </c>
    </row>
    <row r="1858">
      <c r="A1858" s="16" t="s">
        <v>87</v>
      </c>
      <c r="E1858" s="16" t="str">
        <f>IFERROR(__xludf.DUMMYFUNCTION("""COMPUTED_VALUE"""),"")</f>
        <v/>
      </c>
      <c r="G1858" s="18"/>
      <c r="H1858" s="16" t="s">
        <v>87</v>
      </c>
      <c r="I1858" s="16" t="s">
        <v>87</v>
      </c>
      <c r="J1858" s="19"/>
      <c r="L1858" s="16" t="str">
        <f>IFERROR(__xludf.DUMMYFUNCTION("""COMPUTED_VALUE"""),"")</f>
        <v/>
      </c>
      <c r="M1858" s="16" t="str">
        <f>IFERROR(__xludf.DUMMYFUNCTION("""COMPUTED_VALUE"""),"")</f>
        <v/>
      </c>
      <c r="U1858" s="16" t="s">
        <v>87</v>
      </c>
      <c r="V1858" s="16" t="str">
        <f>IFERROR(__xludf.DUMMYFUNCTION("""COMPUTED_VALUE"""),"")</f>
        <v/>
      </c>
      <c r="W1858" s="16" t="str">
        <f>IFERROR(__xludf.DUMMYFUNCTION("""COMPUTED_VALUE"""),"")</f>
        <v/>
      </c>
      <c r="X1858" s="16" t="str">
        <f>IFERROR(__xludf.DUMMYFUNCTION("""COMPUTED_VALUE"""),"")</f>
        <v/>
      </c>
      <c r="AC1858" s="16" t="str">
        <f>IFERROR(__xludf.DUMMYFUNCTION("""COMPUTED_VALUE"""),"")</f>
        <v/>
      </c>
    </row>
    <row r="1859">
      <c r="A1859" s="16" t="s">
        <v>87</v>
      </c>
      <c r="E1859" s="16" t="str">
        <f>IFERROR(__xludf.DUMMYFUNCTION("""COMPUTED_VALUE"""),"")</f>
        <v/>
      </c>
      <c r="G1859" s="18"/>
      <c r="H1859" s="16" t="s">
        <v>87</v>
      </c>
      <c r="I1859" s="16" t="s">
        <v>87</v>
      </c>
      <c r="J1859" s="19"/>
      <c r="L1859" s="16" t="str">
        <f>IFERROR(__xludf.DUMMYFUNCTION("""COMPUTED_VALUE"""),"")</f>
        <v/>
      </c>
      <c r="M1859" s="16" t="str">
        <f>IFERROR(__xludf.DUMMYFUNCTION("""COMPUTED_VALUE"""),"")</f>
        <v/>
      </c>
      <c r="U1859" s="16" t="s">
        <v>87</v>
      </c>
      <c r="V1859" s="16" t="str">
        <f>IFERROR(__xludf.DUMMYFUNCTION("""COMPUTED_VALUE"""),"")</f>
        <v/>
      </c>
      <c r="W1859" s="16" t="str">
        <f>IFERROR(__xludf.DUMMYFUNCTION("""COMPUTED_VALUE"""),"")</f>
        <v/>
      </c>
      <c r="X1859" s="16" t="str">
        <f>IFERROR(__xludf.DUMMYFUNCTION("""COMPUTED_VALUE"""),"")</f>
        <v/>
      </c>
      <c r="AC1859" s="16" t="str">
        <f>IFERROR(__xludf.DUMMYFUNCTION("""COMPUTED_VALUE"""),"")</f>
        <v/>
      </c>
    </row>
    <row r="1860">
      <c r="A1860" s="16" t="s">
        <v>87</v>
      </c>
      <c r="E1860" s="16" t="str">
        <f>IFERROR(__xludf.DUMMYFUNCTION("""COMPUTED_VALUE"""),"")</f>
        <v/>
      </c>
      <c r="G1860" s="18"/>
      <c r="H1860" s="16" t="s">
        <v>87</v>
      </c>
      <c r="I1860" s="16" t="s">
        <v>87</v>
      </c>
      <c r="J1860" s="19"/>
      <c r="L1860" s="16" t="str">
        <f>IFERROR(__xludf.DUMMYFUNCTION("""COMPUTED_VALUE"""),"")</f>
        <v/>
      </c>
      <c r="M1860" s="16" t="str">
        <f>IFERROR(__xludf.DUMMYFUNCTION("""COMPUTED_VALUE"""),"")</f>
        <v/>
      </c>
      <c r="U1860" s="16" t="s">
        <v>87</v>
      </c>
      <c r="V1860" s="16" t="str">
        <f>IFERROR(__xludf.DUMMYFUNCTION("""COMPUTED_VALUE"""),"")</f>
        <v/>
      </c>
      <c r="W1860" s="16" t="str">
        <f>IFERROR(__xludf.DUMMYFUNCTION("""COMPUTED_VALUE"""),"")</f>
        <v/>
      </c>
      <c r="X1860" s="16" t="str">
        <f>IFERROR(__xludf.DUMMYFUNCTION("""COMPUTED_VALUE"""),"")</f>
        <v/>
      </c>
      <c r="AC1860" s="16" t="str">
        <f>IFERROR(__xludf.DUMMYFUNCTION("""COMPUTED_VALUE"""),"")</f>
        <v/>
      </c>
    </row>
    <row r="1861">
      <c r="A1861" s="16" t="s">
        <v>87</v>
      </c>
      <c r="E1861" s="16" t="str">
        <f>IFERROR(__xludf.DUMMYFUNCTION("""COMPUTED_VALUE"""),"")</f>
        <v/>
      </c>
      <c r="G1861" s="18"/>
      <c r="H1861" s="16" t="s">
        <v>87</v>
      </c>
      <c r="I1861" s="16" t="s">
        <v>87</v>
      </c>
      <c r="J1861" s="19"/>
      <c r="L1861" s="16" t="str">
        <f>IFERROR(__xludf.DUMMYFUNCTION("""COMPUTED_VALUE"""),"")</f>
        <v/>
      </c>
      <c r="M1861" s="16" t="str">
        <f>IFERROR(__xludf.DUMMYFUNCTION("""COMPUTED_VALUE"""),"")</f>
        <v/>
      </c>
      <c r="U1861" s="16" t="s">
        <v>87</v>
      </c>
      <c r="V1861" s="16" t="str">
        <f>IFERROR(__xludf.DUMMYFUNCTION("""COMPUTED_VALUE"""),"")</f>
        <v/>
      </c>
      <c r="W1861" s="16" t="str">
        <f>IFERROR(__xludf.DUMMYFUNCTION("""COMPUTED_VALUE"""),"")</f>
        <v/>
      </c>
      <c r="X1861" s="16" t="str">
        <f>IFERROR(__xludf.DUMMYFUNCTION("""COMPUTED_VALUE"""),"")</f>
        <v/>
      </c>
      <c r="AC1861" s="16" t="str">
        <f>IFERROR(__xludf.DUMMYFUNCTION("""COMPUTED_VALUE"""),"")</f>
        <v/>
      </c>
    </row>
    <row r="1862">
      <c r="A1862" s="16" t="s">
        <v>87</v>
      </c>
      <c r="E1862" s="16" t="str">
        <f>IFERROR(__xludf.DUMMYFUNCTION("""COMPUTED_VALUE"""),"")</f>
        <v/>
      </c>
      <c r="G1862" s="18"/>
      <c r="H1862" s="16" t="s">
        <v>87</v>
      </c>
      <c r="I1862" s="16" t="s">
        <v>87</v>
      </c>
      <c r="J1862" s="19"/>
      <c r="L1862" s="16" t="str">
        <f>IFERROR(__xludf.DUMMYFUNCTION("""COMPUTED_VALUE"""),"")</f>
        <v/>
      </c>
      <c r="M1862" s="16" t="str">
        <f>IFERROR(__xludf.DUMMYFUNCTION("""COMPUTED_VALUE"""),"")</f>
        <v/>
      </c>
      <c r="U1862" s="16" t="s">
        <v>87</v>
      </c>
      <c r="V1862" s="16" t="str">
        <f>IFERROR(__xludf.DUMMYFUNCTION("""COMPUTED_VALUE"""),"")</f>
        <v/>
      </c>
      <c r="W1862" s="16" t="str">
        <f>IFERROR(__xludf.DUMMYFUNCTION("""COMPUTED_VALUE"""),"")</f>
        <v/>
      </c>
      <c r="X1862" s="16" t="str">
        <f>IFERROR(__xludf.DUMMYFUNCTION("""COMPUTED_VALUE"""),"")</f>
        <v/>
      </c>
      <c r="AC1862" s="16" t="str">
        <f>IFERROR(__xludf.DUMMYFUNCTION("""COMPUTED_VALUE"""),"")</f>
        <v/>
      </c>
    </row>
    <row r="1863">
      <c r="A1863" s="16" t="s">
        <v>87</v>
      </c>
      <c r="E1863" s="16" t="str">
        <f>IFERROR(__xludf.DUMMYFUNCTION("""COMPUTED_VALUE"""),"")</f>
        <v/>
      </c>
      <c r="G1863" s="18"/>
      <c r="H1863" s="16" t="s">
        <v>87</v>
      </c>
      <c r="I1863" s="16" t="s">
        <v>87</v>
      </c>
      <c r="J1863" s="19"/>
      <c r="L1863" s="16" t="str">
        <f>IFERROR(__xludf.DUMMYFUNCTION("""COMPUTED_VALUE"""),"")</f>
        <v/>
      </c>
      <c r="M1863" s="16" t="str">
        <f>IFERROR(__xludf.DUMMYFUNCTION("""COMPUTED_VALUE"""),"")</f>
        <v/>
      </c>
      <c r="U1863" s="16" t="s">
        <v>87</v>
      </c>
      <c r="V1863" s="16" t="str">
        <f>IFERROR(__xludf.DUMMYFUNCTION("""COMPUTED_VALUE"""),"")</f>
        <v/>
      </c>
      <c r="W1863" s="16" t="str">
        <f>IFERROR(__xludf.DUMMYFUNCTION("""COMPUTED_VALUE"""),"")</f>
        <v/>
      </c>
      <c r="X1863" s="16" t="str">
        <f>IFERROR(__xludf.DUMMYFUNCTION("""COMPUTED_VALUE"""),"")</f>
        <v/>
      </c>
      <c r="AC1863" s="16" t="str">
        <f>IFERROR(__xludf.DUMMYFUNCTION("""COMPUTED_VALUE"""),"")</f>
        <v/>
      </c>
    </row>
    <row r="1864">
      <c r="A1864" s="16" t="s">
        <v>87</v>
      </c>
      <c r="E1864" s="16" t="str">
        <f>IFERROR(__xludf.DUMMYFUNCTION("""COMPUTED_VALUE"""),"")</f>
        <v/>
      </c>
      <c r="G1864" s="18"/>
      <c r="H1864" s="16" t="s">
        <v>87</v>
      </c>
      <c r="I1864" s="16" t="s">
        <v>87</v>
      </c>
      <c r="J1864" s="19"/>
      <c r="L1864" s="16" t="str">
        <f>IFERROR(__xludf.DUMMYFUNCTION("""COMPUTED_VALUE"""),"")</f>
        <v/>
      </c>
      <c r="M1864" s="16" t="str">
        <f>IFERROR(__xludf.DUMMYFUNCTION("""COMPUTED_VALUE"""),"")</f>
        <v/>
      </c>
      <c r="U1864" s="16" t="s">
        <v>87</v>
      </c>
      <c r="V1864" s="16" t="str">
        <f>IFERROR(__xludf.DUMMYFUNCTION("""COMPUTED_VALUE"""),"")</f>
        <v/>
      </c>
      <c r="W1864" s="16" t="str">
        <f>IFERROR(__xludf.DUMMYFUNCTION("""COMPUTED_VALUE"""),"")</f>
        <v/>
      </c>
      <c r="X1864" s="16" t="str">
        <f>IFERROR(__xludf.DUMMYFUNCTION("""COMPUTED_VALUE"""),"")</f>
        <v/>
      </c>
      <c r="AC1864" s="16" t="str">
        <f>IFERROR(__xludf.DUMMYFUNCTION("""COMPUTED_VALUE"""),"")</f>
        <v/>
      </c>
    </row>
    <row r="1865">
      <c r="A1865" s="16" t="s">
        <v>87</v>
      </c>
      <c r="E1865" s="16" t="str">
        <f>IFERROR(__xludf.DUMMYFUNCTION("""COMPUTED_VALUE"""),"")</f>
        <v/>
      </c>
      <c r="G1865" s="18"/>
      <c r="H1865" s="16" t="s">
        <v>87</v>
      </c>
      <c r="I1865" s="16" t="s">
        <v>87</v>
      </c>
      <c r="J1865" s="19"/>
      <c r="L1865" s="16" t="str">
        <f>IFERROR(__xludf.DUMMYFUNCTION("""COMPUTED_VALUE"""),"")</f>
        <v/>
      </c>
      <c r="M1865" s="16" t="str">
        <f>IFERROR(__xludf.DUMMYFUNCTION("""COMPUTED_VALUE"""),"")</f>
        <v/>
      </c>
      <c r="U1865" s="16" t="s">
        <v>87</v>
      </c>
      <c r="V1865" s="16" t="str">
        <f>IFERROR(__xludf.DUMMYFUNCTION("""COMPUTED_VALUE"""),"")</f>
        <v/>
      </c>
      <c r="W1865" s="16" t="str">
        <f>IFERROR(__xludf.DUMMYFUNCTION("""COMPUTED_VALUE"""),"")</f>
        <v/>
      </c>
      <c r="X1865" s="16" t="str">
        <f>IFERROR(__xludf.DUMMYFUNCTION("""COMPUTED_VALUE"""),"")</f>
        <v/>
      </c>
      <c r="AC1865" s="16" t="str">
        <f>IFERROR(__xludf.DUMMYFUNCTION("""COMPUTED_VALUE"""),"")</f>
        <v/>
      </c>
    </row>
    <row r="1866">
      <c r="A1866" s="16" t="s">
        <v>87</v>
      </c>
      <c r="E1866" s="16" t="str">
        <f>IFERROR(__xludf.DUMMYFUNCTION("""COMPUTED_VALUE"""),"")</f>
        <v/>
      </c>
      <c r="G1866" s="18"/>
      <c r="H1866" s="16" t="s">
        <v>87</v>
      </c>
      <c r="I1866" s="16" t="s">
        <v>87</v>
      </c>
      <c r="J1866" s="19"/>
      <c r="L1866" s="16" t="str">
        <f>IFERROR(__xludf.DUMMYFUNCTION("""COMPUTED_VALUE"""),"")</f>
        <v/>
      </c>
      <c r="M1866" s="16" t="str">
        <f>IFERROR(__xludf.DUMMYFUNCTION("""COMPUTED_VALUE"""),"")</f>
        <v/>
      </c>
      <c r="U1866" s="16" t="s">
        <v>87</v>
      </c>
      <c r="V1866" s="16" t="str">
        <f>IFERROR(__xludf.DUMMYFUNCTION("""COMPUTED_VALUE"""),"")</f>
        <v/>
      </c>
      <c r="W1866" s="16" t="str">
        <f>IFERROR(__xludf.DUMMYFUNCTION("""COMPUTED_VALUE"""),"")</f>
        <v/>
      </c>
      <c r="X1866" s="16" t="str">
        <f>IFERROR(__xludf.DUMMYFUNCTION("""COMPUTED_VALUE"""),"")</f>
        <v/>
      </c>
      <c r="AC1866" s="16" t="str">
        <f>IFERROR(__xludf.DUMMYFUNCTION("""COMPUTED_VALUE"""),"")</f>
        <v/>
      </c>
    </row>
    <row r="1867">
      <c r="A1867" s="16" t="s">
        <v>87</v>
      </c>
      <c r="E1867" s="16" t="str">
        <f>IFERROR(__xludf.DUMMYFUNCTION("""COMPUTED_VALUE"""),"")</f>
        <v/>
      </c>
      <c r="G1867" s="18"/>
      <c r="H1867" s="16" t="s">
        <v>87</v>
      </c>
      <c r="I1867" s="16" t="s">
        <v>87</v>
      </c>
      <c r="J1867" s="19"/>
      <c r="L1867" s="16" t="str">
        <f>IFERROR(__xludf.DUMMYFUNCTION("""COMPUTED_VALUE"""),"")</f>
        <v/>
      </c>
      <c r="M1867" s="16" t="str">
        <f>IFERROR(__xludf.DUMMYFUNCTION("""COMPUTED_VALUE"""),"")</f>
        <v/>
      </c>
      <c r="U1867" s="16" t="s">
        <v>87</v>
      </c>
      <c r="V1867" s="16" t="str">
        <f>IFERROR(__xludf.DUMMYFUNCTION("""COMPUTED_VALUE"""),"")</f>
        <v/>
      </c>
      <c r="W1867" s="16" t="str">
        <f>IFERROR(__xludf.DUMMYFUNCTION("""COMPUTED_VALUE"""),"")</f>
        <v/>
      </c>
      <c r="X1867" s="16" t="str">
        <f>IFERROR(__xludf.DUMMYFUNCTION("""COMPUTED_VALUE"""),"")</f>
        <v/>
      </c>
      <c r="AC1867" s="16" t="str">
        <f>IFERROR(__xludf.DUMMYFUNCTION("""COMPUTED_VALUE"""),"")</f>
        <v/>
      </c>
    </row>
    <row r="1868">
      <c r="A1868" s="16" t="s">
        <v>87</v>
      </c>
      <c r="E1868" s="16" t="str">
        <f>IFERROR(__xludf.DUMMYFUNCTION("""COMPUTED_VALUE"""),"")</f>
        <v/>
      </c>
      <c r="G1868" s="18"/>
      <c r="H1868" s="16" t="s">
        <v>87</v>
      </c>
      <c r="I1868" s="16" t="s">
        <v>87</v>
      </c>
      <c r="J1868" s="19"/>
      <c r="L1868" s="16" t="str">
        <f>IFERROR(__xludf.DUMMYFUNCTION("""COMPUTED_VALUE"""),"")</f>
        <v/>
      </c>
      <c r="M1868" s="16" t="str">
        <f>IFERROR(__xludf.DUMMYFUNCTION("""COMPUTED_VALUE"""),"")</f>
        <v/>
      </c>
      <c r="U1868" s="16" t="s">
        <v>87</v>
      </c>
      <c r="V1868" s="16" t="str">
        <f>IFERROR(__xludf.DUMMYFUNCTION("""COMPUTED_VALUE"""),"")</f>
        <v/>
      </c>
      <c r="W1868" s="16" t="str">
        <f>IFERROR(__xludf.DUMMYFUNCTION("""COMPUTED_VALUE"""),"")</f>
        <v/>
      </c>
      <c r="X1868" s="16" t="str">
        <f>IFERROR(__xludf.DUMMYFUNCTION("""COMPUTED_VALUE"""),"")</f>
        <v/>
      </c>
      <c r="AC1868" s="16" t="str">
        <f>IFERROR(__xludf.DUMMYFUNCTION("""COMPUTED_VALUE"""),"")</f>
        <v/>
      </c>
    </row>
    <row r="1869">
      <c r="A1869" s="16" t="s">
        <v>87</v>
      </c>
      <c r="E1869" s="16" t="str">
        <f>IFERROR(__xludf.DUMMYFUNCTION("""COMPUTED_VALUE"""),"")</f>
        <v/>
      </c>
      <c r="G1869" s="18"/>
      <c r="H1869" s="16" t="s">
        <v>87</v>
      </c>
      <c r="I1869" s="16" t="s">
        <v>87</v>
      </c>
      <c r="J1869" s="19"/>
      <c r="L1869" s="16" t="str">
        <f>IFERROR(__xludf.DUMMYFUNCTION("""COMPUTED_VALUE"""),"")</f>
        <v/>
      </c>
      <c r="M1869" s="16" t="str">
        <f>IFERROR(__xludf.DUMMYFUNCTION("""COMPUTED_VALUE"""),"")</f>
        <v/>
      </c>
      <c r="U1869" s="16" t="s">
        <v>87</v>
      </c>
      <c r="V1869" s="16" t="str">
        <f>IFERROR(__xludf.DUMMYFUNCTION("""COMPUTED_VALUE"""),"")</f>
        <v/>
      </c>
      <c r="W1869" s="16" t="str">
        <f>IFERROR(__xludf.DUMMYFUNCTION("""COMPUTED_VALUE"""),"")</f>
        <v/>
      </c>
      <c r="X1869" s="16" t="str">
        <f>IFERROR(__xludf.DUMMYFUNCTION("""COMPUTED_VALUE"""),"")</f>
        <v/>
      </c>
      <c r="AC1869" s="16" t="str">
        <f>IFERROR(__xludf.DUMMYFUNCTION("""COMPUTED_VALUE"""),"")</f>
        <v/>
      </c>
    </row>
    <row r="1870">
      <c r="A1870" s="16" t="s">
        <v>87</v>
      </c>
      <c r="E1870" s="16" t="str">
        <f>IFERROR(__xludf.DUMMYFUNCTION("""COMPUTED_VALUE"""),"")</f>
        <v/>
      </c>
      <c r="G1870" s="18"/>
      <c r="H1870" s="16" t="s">
        <v>87</v>
      </c>
      <c r="I1870" s="16" t="s">
        <v>87</v>
      </c>
      <c r="J1870" s="19"/>
      <c r="L1870" s="16" t="str">
        <f>IFERROR(__xludf.DUMMYFUNCTION("""COMPUTED_VALUE"""),"")</f>
        <v/>
      </c>
      <c r="M1870" s="16" t="str">
        <f>IFERROR(__xludf.DUMMYFUNCTION("""COMPUTED_VALUE"""),"")</f>
        <v/>
      </c>
      <c r="U1870" s="16" t="s">
        <v>87</v>
      </c>
      <c r="V1870" s="16" t="str">
        <f>IFERROR(__xludf.DUMMYFUNCTION("""COMPUTED_VALUE"""),"")</f>
        <v/>
      </c>
      <c r="W1870" s="16" t="str">
        <f>IFERROR(__xludf.DUMMYFUNCTION("""COMPUTED_VALUE"""),"")</f>
        <v/>
      </c>
      <c r="X1870" s="16" t="str">
        <f>IFERROR(__xludf.DUMMYFUNCTION("""COMPUTED_VALUE"""),"")</f>
        <v/>
      </c>
      <c r="AC1870" s="16" t="str">
        <f>IFERROR(__xludf.DUMMYFUNCTION("""COMPUTED_VALUE"""),"")</f>
        <v/>
      </c>
    </row>
    <row r="1871">
      <c r="A1871" s="16" t="s">
        <v>87</v>
      </c>
      <c r="E1871" s="16" t="str">
        <f>IFERROR(__xludf.DUMMYFUNCTION("""COMPUTED_VALUE"""),"")</f>
        <v/>
      </c>
      <c r="G1871" s="18"/>
      <c r="H1871" s="16" t="s">
        <v>87</v>
      </c>
      <c r="I1871" s="16" t="s">
        <v>87</v>
      </c>
      <c r="J1871" s="19"/>
      <c r="L1871" s="16" t="str">
        <f>IFERROR(__xludf.DUMMYFUNCTION("""COMPUTED_VALUE"""),"")</f>
        <v/>
      </c>
      <c r="M1871" s="16" t="str">
        <f>IFERROR(__xludf.DUMMYFUNCTION("""COMPUTED_VALUE"""),"")</f>
        <v/>
      </c>
      <c r="U1871" s="16" t="s">
        <v>87</v>
      </c>
      <c r="V1871" s="16" t="str">
        <f>IFERROR(__xludf.DUMMYFUNCTION("""COMPUTED_VALUE"""),"")</f>
        <v/>
      </c>
      <c r="W1871" s="16" t="str">
        <f>IFERROR(__xludf.DUMMYFUNCTION("""COMPUTED_VALUE"""),"")</f>
        <v/>
      </c>
      <c r="X1871" s="16" t="str">
        <f>IFERROR(__xludf.DUMMYFUNCTION("""COMPUTED_VALUE"""),"")</f>
        <v/>
      </c>
      <c r="AC1871" s="16" t="str">
        <f>IFERROR(__xludf.DUMMYFUNCTION("""COMPUTED_VALUE"""),"")</f>
        <v/>
      </c>
    </row>
    <row r="1872">
      <c r="A1872" s="16" t="s">
        <v>87</v>
      </c>
      <c r="E1872" s="16" t="str">
        <f>IFERROR(__xludf.DUMMYFUNCTION("""COMPUTED_VALUE"""),"")</f>
        <v/>
      </c>
      <c r="G1872" s="18"/>
      <c r="H1872" s="16" t="s">
        <v>87</v>
      </c>
      <c r="I1872" s="16" t="s">
        <v>87</v>
      </c>
      <c r="J1872" s="19"/>
      <c r="L1872" s="16" t="str">
        <f>IFERROR(__xludf.DUMMYFUNCTION("""COMPUTED_VALUE"""),"")</f>
        <v/>
      </c>
      <c r="M1872" s="16" t="str">
        <f>IFERROR(__xludf.DUMMYFUNCTION("""COMPUTED_VALUE"""),"")</f>
        <v/>
      </c>
      <c r="U1872" s="16" t="s">
        <v>87</v>
      </c>
      <c r="V1872" s="16" t="str">
        <f>IFERROR(__xludf.DUMMYFUNCTION("""COMPUTED_VALUE"""),"")</f>
        <v/>
      </c>
      <c r="W1872" s="16" t="str">
        <f>IFERROR(__xludf.DUMMYFUNCTION("""COMPUTED_VALUE"""),"")</f>
        <v/>
      </c>
      <c r="X1872" s="16" t="str">
        <f>IFERROR(__xludf.DUMMYFUNCTION("""COMPUTED_VALUE"""),"")</f>
        <v/>
      </c>
      <c r="AC1872" s="16" t="str">
        <f>IFERROR(__xludf.DUMMYFUNCTION("""COMPUTED_VALUE"""),"")</f>
        <v/>
      </c>
    </row>
    <row r="1873">
      <c r="A1873" s="16" t="s">
        <v>87</v>
      </c>
      <c r="E1873" s="16" t="str">
        <f>IFERROR(__xludf.DUMMYFUNCTION("""COMPUTED_VALUE"""),"")</f>
        <v/>
      </c>
      <c r="G1873" s="18"/>
      <c r="H1873" s="16" t="s">
        <v>87</v>
      </c>
      <c r="I1873" s="16" t="s">
        <v>87</v>
      </c>
      <c r="J1873" s="19"/>
      <c r="L1873" s="16" t="str">
        <f>IFERROR(__xludf.DUMMYFUNCTION("""COMPUTED_VALUE"""),"")</f>
        <v/>
      </c>
      <c r="M1873" s="16" t="str">
        <f>IFERROR(__xludf.DUMMYFUNCTION("""COMPUTED_VALUE"""),"")</f>
        <v/>
      </c>
      <c r="U1873" s="16" t="s">
        <v>87</v>
      </c>
      <c r="V1873" s="16" t="str">
        <f>IFERROR(__xludf.DUMMYFUNCTION("""COMPUTED_VALUE"""),"")</f>
        <v/>
      </c>
      <c r="W1873" s="16" t="str">
        <f>IFERROR(__xludf.DUMMYFUNCTION("""COMPUTED_VALUE"""),"")</f>
        <v/>
      </c>
      <c r="X1873" s="16" t="str">
        <f>IFERROR(__xludf.DUMMYFUNCTION("""COMPUTED_VALUE"""),"")</f>
        <v/>
      </c>
      <c r="AC1873" s="16" t="str">
        <f>IFERROR(__xludf.DUMMYFUNCTION("""COMPUTED_VALUE"""),"")</f>
        <v/>
      </c>
    </row>
    <row r="1874">
      <c r="A1874" s="16" t="s">
        <v>87</v>
      </c>
      <c r="E1874" s="16" t="str">
        <f>IFERROR(__xludf.DUMMYFUNCTION("""COMPUTED_VALUE"""),"")</f>
        <v/>
      </c>
      <c r="G1874" s="18"/>
      <c r="H1874" s="16" t="s">
        <v>87</v>
      </c>
      <c r="I1874" s="16" t="s">
        <v>87</v>
      </c>
      <c r="J1874" s="19"/>
      <c r="L1874" s="16" t="str">
        <f>IFERROR(__xludf.DUMMYFUNCTION("""COMPUTED_VALUE"""),"")</f>
        <v/>
      </c>
      <c r="M1874" s="16" t="str">
        <f>IFERROR(__xludf.DUMMYFUNCTION("""COMPUTED_VALUE"""),"")</f>
        <v/>
      </c>
      <c r="U1874" s="16" t="s">
        <v>87</v>
      </c>
      <c r="V1874" s="16" t="str">
        <f>IFERROR(__xludf.DUMMYFUNCTION("""COMPUTED_VALUE"""),"")</f>
        <v/>
      </c>
      <c r="W1874" s="16" t="str">
        <f>IFERROR(__xludf.DUMMYFUNCTION("""COMPUTED_VALUE"""),"")</f>
        <v/>
      </c>
      <c r="X1874" s="16" t="str">
        <f>IFERROR(__xludf.DUMMYFUNCTION("""COMPUTED_VALUE"""),"")</f>
        <v/>
      </c>
      <c r="AC1874" s="16" t="str">
        <f>IFERROR(__xludf.DUMMYFUNCTION("""COMPUTED_VALUE"""),"")</f>
        <v/>
      </c>
    </row>
    <row r="1875">
      <c r="A1875" s="16" t="s">
        <v>87</v>
      </c>
      <c r="E1875" s="16" t="str">
        <f>IFERROR(__xludf.DUMMYFUNCTION("""COMPUTED_VALUE"""),"")</f>
        <v/>
      </c>
      <c r="G1875" s="18"/>
      <c r="H1875" s="16" t="s">
        <v>87</v>
      </c>
      <c r="I1875" s="16" t="s">
        <v>87</v>
      </c>
      <c r="J1875" s="19"/>
      <c r="L1875" s="16" t="str">
        <f>IFERROR(__xludf.DUMMYFUNCTION("""COMPUTED_VALUE"""),"")</f>
        <v/>
      </c>
      <c r="M1875" s="16" t="str">
        <f>IFERROR(__xludf.DUMMYFUNCTION("""COMPUTED_VALUE"""),"")</f>
        <v/>
      </c>
      <c r="U1875" s="16" t="s">
        <v>87</v>
      </c>
      <c r="V1875" s="16" t="str">
        <f>IFERROR(__xludf.DUMMYFUNCTION("""COMPUTED_VALUE"""),"")</f>
        <v/>
      </c>
      <c r="W1875" s="16" t="str">
        <f>IFERROR(__xludf.DUMMYFUNCTION("""COMPUTED_VALUE"""),"")</f>
        <v/>
      </c>
      <c r="X1875" s="16" t="str">
        <f>IFERROR(__xludf.DUMMYFUNCTION("""COMPUTED_VALUE"""),"")</f>
        <v/>
      </c>
      <c r="AC1875" s="16" t="str">
        <f>IFERROR(__xludf.DUMMYFUNCTION("""COMPUTED_VALUE"""),"")</f>
        <v/>
      </c>
    </row>
    <row r="1876">
      <c r="A1876" s="16" t="s">
        <v>87</v>
      </c>
      <c r="E1876" s="16" t="str">
        <f>IFERROR(__xludf.DUMMYFUNCTION("""COMPUTED_VALUE"""),"")</f>
        <v/>
      </c>
      <c r="G1876" s="18"/>
      <c r="H1876" s="16" t="s">
        <v>87</v>
      </c>
      <c r="I1876" s="16" t="s">
        <v>87</v>
      </c>
      <c r="J1876" s="19"/>
      <c r="L1876" s="16" t="str">
        <f>IFERROR(__xludf.DUMMYFUNCTION("""COMPUTED_VALUE"""),"")</f>
        <v/>
      </c>
      <c r="M1876" s="16" t="str">
        <f>IFERROR(__xludf.DUMMYFUNCTION("""COMPUTED_VALUE"""),"")</f>
        <v/>
      </c>
      <c r="U1876" s="16" t="s">
        <v>87</v>
      </c>
      <c r="V1876" s="16" t="str">
        <f>IFERROR(__xludf.DUMMYFUNCTION("""COMPUTED_VALUE"""),"")</f>
        <v/>
      </c>
      <c r="W1876" s="16" t="str">
        <f>IFERROR(__xludf.DUMMYFUNCTION("""COMPUTED_VALUE"""),"")</f>
        <v/>
      </c>
      <c r="X1876" s="16" t="str">
        <f>IFERROR(__xludf.DUMMYFUNCTION("""COMPUTED_VALUE"""),"")</f>
        <v/>
      </c>
      <c r="AC1876" s="16" t="str">
        <f>IFERROR(__xludf.DUMMYFUNCTION("""COMPUTED_VALUE"""),"")</f>
        <v/>
      </c>
    </row>
    <row r="1877">
      <c r="A1877" s="16" t="s">
        <v>87</v>
      </c>
      <c r="E1877" s="16" t="str">
        <f>IFERROR(__xludf.DUMMYFUNCTION("""COMPUTED_VALUE"""),"")</f>
        <v/>
      </c>
      <c r="G1877" s="18"/>
      <c r="H1877" s="16" t="s">
        <v>87</v>
      </c>
      <c r="I1877" s="16" t="s">
        <v>87</v>
      </c>
      <c r="J1877" s="19"/>
      <c r="L1877" s="16" t="str">
        <f>IFERROR(__xludf.DUMMYFUNCTION("""COMPUTED_VALUE"""),"")</f>
        <v/>
      </c>
      <c r="M1877" s="16" t="str">
        <f>IFERROR(__xludf.DUMMYFUNCTION("""COMPUTED_VALUE"""),"")</f>
        <v/>
      </c>
      <c r="U1877" s="16" t="s">
        <v>87</v>
      </c>
      <c r="V1877" s="16" t="str">
        <f>IFERROR(__xludf.DUMMYFUNCTION("""COMPUTED_VALUE"""),"")</f>
        <v/>
      </c>
      <c r="W1877" s="16" t="str">
        <f>IFERROR(__xludf.DUMMYFUNCTION("""COMPUTED_VALUE"""),"")</f>
        <v/>
      </c>
      <c r="X1877" s="16" t="str">
        <f>IFERROR(__xludf.DUMMYFUNCTION("""COMPUTED_VALUE"""),"")</f>
        <v/>
      </c>
      <c r="AC1877" s="16" t="str">
        <f>IFERROR(__xludf.DUMMYFUNCTION("""COMPUTED_VALUE"""),"")</f>
        <v/>
      </c>
    </row>
    <row r="1878">
      <c r="A1878" s="16" t="s">
        <v>87</v>
      </c>
      <c r="E1878" s="16" t="str">
        <f>IFERROR(__xludf.DUMMYFUNCTION("""COMPUTED_VALUE"""),"")</f>
        <v/>
      </c>
      <c r="G1878" s="18"/>
      <c r="H1878" s="16" t="s">
        <v>87</v>
      </c>
      <c r="I1878" s="16" t="s">
        <v>87</v>
      </c>
      <c r="J1878" s="19"/>
      <c r="L1878" s="16" t="str">
        <f>IFERROR(__xludf.DUMMYFUNCTION("""COMPUTED_VALUE"""),"")</f>
        <v/>
      </c>
      <c r="M1878" s="16" t="str">
        <f>IFERROR(__xludf.DUMMYFUNCTION("""COMPUTED_VALUE"""),"")</f>
        <v/>
      </c>
      <c r="U1878" s="16" t="s">
        <v>87</v>
      </c>
      <c r="V1878" s="16" t="str">
        <f>IFERROR(__xludf.DUMMYFUNCTION("""COMPUTED_VALUE"""),"")</f>
        <v/>
      </c>
      <c r="W1878" s="16" t="str">
        <f>IFERROR(__xludf.DUMMYFUNCTION("""COMPUTED_VALUE"""),"")</f>
        <v/>
      </c>
      <c r="X1878" s="16" t="str">
        <f>IFERROR(__xludf.DUMMYFUNCTION("""COMPUTED_VALUE"""),"")</f>
        <v/>
      </c>
      <c r="AC1878" s="16" t="str">
        <f>IFERROR(__xludf.DUMMYFUNCTION("""COMPUTED_VALUE"""),"")</f>
        <v/>
      </c>
    </row>
    <row r="1879">
      <c r="A1879" s="16" t="s">
        <v>87</v>
      </c>
      <c r="E1879" s="16" t="str">
        <f>IFERROR(__xludf.DUMMYFUNCTION("""COMPUTED_VALUE"""),"")</f>
        <v/>
      </c>
      <c r="G1879" s="18"/>
      <c r="H1879" s="16" t="s">
        <v>87</v>
      </c>
      <c r="I1879" s="16" t="s">
        <v>87</v>
      </c>
      <c r="J1879" s="19"/>
      <c r="L1879" s="16" t="str">
        <f>IFERROR(__xludf.DUMMYFUNCTION("""COMPUTED_VALUE"""),"")</f>
        <v/>
      </c>
      <c r="M1879" s="16" t="str">
        <f>IFERROR(__xludf.DUMMYFUNCTION("""COMPUTED_VALUE"""),"")</f>
        <v/>
      </c>
      <c r="U1879" s="16" t="s">
        <v>87</v>
      </c>
      <c r="V1879" s="16" t="str">
        <f>IFERROR(__xludf.DUMMYFUNCTION("""COMPUTED_VALUE"""),"")</f>
        <v/>
      </c>
      <c r="W1879" s="16" t="str">
        <f>IFERROR(__xludf.DUMMYFUNCTION("""COMPUTED_VALUE"""),"")</f>
        <v/>
      </c>
      <c r="X1879" s="16" t="str">
        <f>IFERROR(__xludf.DUMMYFUNCTION("""COMPUTED_VALUE"""),"")</f>
        <v/>
      </c>
      <c r="AC1879" s="16" t="str">
        <f>IFERROR(__xludf.DUMMYFUNCTION("""COMPUTED_VALUE"""),"")</f>
        <v/>
      </c>
    </row>
    <row r="1880">
      <c r="A1880" s="16" t="s">
        <v>87</v>
      </c>
      <c r="E1880" s="16" t="str">
        <f>IFERROR(__xludf.DUMMYFUNCTION("""COMPUTED_VALUE"""),"")</f>
        <v/>
      </c>
      <c r="G1880" s="18"/>
      <c r="H1880" s="16" t="s">
        <v>87</v>
      </c>
      <c r="I1880" s="16" t="s">
        <v>87</v>
      </c>
      <c r="J1880" s="19"/>
      <c r="L1880" s="16" t="str">
        <f>IFERROR(__xludf.DUMMYFUNCTION("""COMPUTED_VALUE"""),"")</f>
        <v/>
      </c>
      <c r="M1880" s="16" t="str">
        <f>IFERROR(__xludf.DUMMYFUNCTION("""COMPUTED_VALUE"""),"")</f>
        <v/>
      </c>
      <c r="U1880" s="16" t="s">
        <v>87</v>
      </c>
      <c r="V1880" s="16" t="str">
        <f>IFERROR(__xludf.DUMMYFUNCTION("""COMPUTED_VALUE"""),"")</f>
        <v/>
      </c>
      <c r="W1880" s="16" t="str">
        <f>IFERROR(__xludf.DUMMYFUNCTION("""COMPUTED_VALUE"""),"")</f>
        <v/>
      </c>
      <c r="X1880" s="16" t="str">
        <f>IFERROR(__xludf.DUMMYFUNCTION("""COMPUTED_VALUE"""),"")</f>
        <v/>
      </c>
      <c r="AC1880" s="16" t="str">
        <f>IFERROR(__xludf.DUMMYFUNCTION("""COMPUTED_VALUE"""),"")</f>
        <v/>
      </c>
    </row>
    <row r="1881">
      <c r="A1881" s="16" t="s">
        <v>87</v>
      </c>
      <c r="E1881" s="16" t="str">
        <f>IFERROR(__xludf.DUMMYFUNCTION("""COMPUTED_VALUE"""),"")</f>
        <v/>
      </c>
      <c r="G1881" s="18"/>
      <c r="H1881" s="16" t="s">
        <v>87</v>
      </c>
      <c r="I1881" s="16" t="s">
        <v>87</v>
      </c>
      <c r="J1881" s="19"/>
      <c r="L1881" s="16" t="str">
        <f>IFERROR(__xludf.DUMMYFUNCTION("""COMPUTED_VALUE"""),"")</f>
        <v/>
      </c>
      <c r="M1881" s="16" t="str">
        <f>IFERROR(__xludf.DUMMYFUNCTION("""COMPUTED_VALUE"""),"")</f>
        <v/>
      </c>
      <c r="U1881" s="16" t="s">
        <v>87</v>
      </c>
      <c r="V1881" s="16" t="str">
        <f>IFERROR(__xludf.DUMMYFUNCTION("""COMPUTED_VALUE"""),"")</f>
        <v/>
      </c>
      <c r="W1881" s="16" t="str">
        <f>IFERROR(__xludf.DUMMYFUNCTION("""COMPUTED_VALUE"""),"")</f>
        <v/>
      </c>
      <c r="X1881" s="16" t="str">
        <f>IFERROR(__xludf.DUMMYFUNCTION("""COMPUTED_VALUE"""),"")</f>
        <v/>
      </c>
      <c r="AC1881" s="16" t="str">
        <f>IFERROR(__xludf.DUMMYFUNCTION("""COMPUTED_VALUE"""),"")</f>
        <v/>
      </c>
    </row>
    <row r="1882">
      <c r="A1882" s="16" t="s">
        <v>87</v>
      </c>
      <c r="E1882" s="16" t="str">
        <f>IFERROR(__xludf.DUMMYFUNCTION("""COMPUTED_VALUE"""),"")</f>
        <v/>
      </c>
      <c r="G1882" s="18"/>
      <c r="H1882" s="16" t="s">
        <v>87</v>
      </c>
      <c r="I1882" s="16" t="s">
        <v>87</v>
      </c>
      <c r="J1882" s="19"/>
      <c r="L1882" s="16" t="str">
        <f>IFERROR(__xludf.DUMMYFUNCTION("""COMPUTED_VALUE"""),"")</f>
        <v/>
      </c>
      <c r="M1882" s="16" t="str">
        <f>IFERROR(__xludf.DUMMYFUNCTION("""COMPUTED_VALUE"""),"")</f>
        <v/>
      </c>
      <c r="U1882" s="16" t="s">
        <v>87</v>
      </c>
      <c r="V1882" s="16" t="str">
        <f>IFERROR(__xludf.DUMMYFUNCTION("""COMPUTED_VALUE"""),"")</f>
        <v/>
      </c>
      <c r="W1882" s="16" t="str">
        <f>IFERROR(__xludf.DUMMYFUNCTION("""COMPUTED_VALUE"""),"")</f>
        <v/>
      </c>
      <c r="X1882" s="16" t="str">
        <f>IFERROR(__xludf.DUMMYFUNCTION("""COMPUTED_VALUE"""),"")</f>
        <v/>
      </c>
      <c r="AC1882" s="16" t="str">
        <f>IFERROR(__xludf.DUMMYFUNCTION("""COMPUTED_VALUE"""),"")</f>
        <v/>
      </c>
    </row>
    <row r="1883">
      <c r="A1883" s="16" t="s">
        <v>87</v>
      </c>
      <c r="E1883" s="16" t="str">
        <f>IFERROR(__xludf.DUMMYFUNCTION("""COMPUTED_VALUE"""),"")</f>
        <v/>
      </c>
      <c r="G1883" s="18"/>
      <c r="H1883" s="16" t="s">
        <v>87</v>
      </c>
      <c r="I1883" s="16" t="s">
        <v>87</v>
      </c>
      <c r="J1883" s="19"/>
      <c r="L1883" s="16" t="str">
        <f>IFERROR(__xludf.DUMMYFUNCTION("""COMPUTED_VALUE"""),"")</f>
        <v/>
      </c>
      <c r="M1883" s="16" t="str">
        <f>IFERROR(__xludf.DUMMYFUNCTION("""COMPUTED_VALUE"""),"")</f>
        <v/>
      </c>
      <c r="U1883" s="16" t="s">
        <v>87</v>
      </c>
      <c r="V1883" s="16" t="str">
        <f>IFERROR(__xludf.DUMMYFUNCTION("""COMPUTED_VALUE"""),"")</f>
        <v/>
      </c>
      <c r="W1883" s="16" t="str">
        <f>IFERROR(__xludf.DUMMYFUNCTION("""COMPUTED_VALUE"""),"")</f>
        <v/>
      </c>
      <c r="X1883" s="16" t="str">
        <f>IFERROR(__xludf.DUMMYFUNCTION("""COMPUTED_VALUE"""),"")</f>
        <v/>
      </c>
      <c r="AC1883" s="16" t="str">
        <f>IFERROR(__xludf.DUMMYFUNCTION("""COMPUTED_VALUE"""),"")</f>
        <v/>
      </c>
    </row>
    <row r="1884">
      <c r="A1884" s="16" t="s">
        <v>87</v>
      </c>
      <c r="E1884" s="16" t="str">
        <f>IFERROR(__xludf.DUMMYFUNCTION("""COMPUTED_VALUE"""),"")</f>
        <v/>
      </c>
      <c r="G1884" s="18"/>
      <c r="H1884" s="16" t="s">
        <v>87</v>
      </c>
      <c r="I1884" s="16" t="s">
        <v>87</v>
      </c>
      <c r="J1884" s="19"/>
      <c r="L1884" s="16" t="str">
        <f>IFERROR(__xludf.DUMMYFUNCTION("""COMPUTED_VALUE"""),"")</f>
        <v/>
      </c>
      <c r="M1884" s="16" t="str">
        <f>IFERROR(__xludf.DUMMYFUNCTION("""COMPUTED_VALUE"""),"")</f>
        <v/>
      </c>
      <c r="U1884" s="16" t="s">
        <v>87</v>
      </c>
      <c r="V1884" s="16" t="str">
        <f>IFERROR(__xludf.DUMMYFUNCTION("""COMPUTED_VALUE"""),"")</f>
        <v/>
      </c>
      <c r="W1884" s="16" t="str">
        <f>IFERROR(__xludf.DUMMYFUNCTION("""COMPUTED_VALUE"""),"")</f>
        <v/>
      </c>
      <c r="X1884" s="16" t="str">
        <f>IFERROR(__xludf.DUMMYFUNCTION("""COMPUTED_VALUE"""),"")</f>
        <v/>
      </c>
      <c r="AC1884" s="16" t="str">
        <f>IFERROR(__xludf.DUMMYFUNCTION("""COMPUTED_VALUE"""),"")</f>
        <v/>
      </c>
    </row>
    <row r="1885">
      <c r="A1885" s="16" t="s">
        <v>87</v>
      </c>
      <c r="E1885" s="16" t="str">
        <f>IFERROR(__xludf.DUMMYFUNCTION("""COMPUTED_VALUE"""),"")</f>
        <v/>
      </c>
      <c r="G1885" s="18"/>
      <c r="H1885" s="16" t="s">
        <v>87</v>
      </c>
      <c r="I1885" s="16" t="s">
        <v>87</v>
      </c>
      <c r="J1885" s="19"/>
      <c r="L1885" s="16" t="str">
        <f>IFERROR(__xludf.DUMMYFUNCTION("""COMPUTED_VALUE"""),"")</f>
        <v/>
      </c>
      <c r="M1885" s="16" t="str">
        <f>IFERROR(__xludf.DUMMYFUNCTION("""COMPUTED_VALUE"""),"")</f>
        <v/>
      </c>
      <c r="U1885" s="16" t="s">
        <v>87</v>
      </c>
      <c r="V1885" s="16" t="str">
        <f>IFERROR(__xludf.DUMMYFUNCTION("""COMPUTED_VALUE"""),"")</f>
        <v/>
      </c>
      <c r="W1885" s="16" t="str">
        <f>IFERROR(__xludf.DUMMYFUNCTION("""COMPUTED_VALUE"""),"")</f>
        <v/>
      </c>
      <c r="X1885" s="16" t="str">
        <f>IFERROR(__xludf.DUMMYFUNCTION("""COMPUTED_VALUE"""),"")</f>
        <v/>
      </c>
      <c r="AC1885" s="16" t="str">
        <f>IFERROR(__xludf.DUMMYFUNCTION("""COMPUTED_VALUE"""),"")</f>
        <v/>
      </c>
    </row>
    <row r="1886">
      <c r="A1886" s="16" t="s">
        <v>87</v>
      </c>
      <c r="E1886" s="16" t="str">
        <f>IFERROR(__xludf.DUMMYFUNCTION("""COMPUTED_VALUE"""),"")</f>
        <v/>
      </c>
      <c r="G1886" s="18"/>
      <c r="H1886" s="16" t="s">
        <v>87</v>
      </c>
      <c r="I1886" s="16" t="s">
        <v>87</v>
      </c>
      <c r="J1886" s="19"/>
      <c r="L1886" s="16" t="str">
        <f>IFERROR(__xludf.DUMMYFUNCTION("""COMPUTED_VALUE"""),"")</f>
        <v/>
      </c>
      <c r="M1886" s="16" t="str">
        <f>IFERROR(__xludf.DUMMYFUNCTION("""COMPUTED_VALUE"""),"")</f>
        <v/>
      </c>
      <c r="U1886" s="16" t="s">
        <v>87</v>
      </c>
      <c r="V1886" s="16" t="str">
        <f>IFERROR(__xludf.DUMMYFUNCTION("""COMPUTED_VALUE"""),"")</f>
        <v/>
      </c>
      <c r="W1886" s="16" t="str">
        <f>IFERROR(__xludf.DUMMYFUNCTION("""COMPUTED_VALUE"""),"")</f>
        <v/>
      </c>
      <c r="X1886" s="16" t="str">
        <f>IFERROR(__xludf.DUMMYFUNCTION("""COMPUTED_VALUE"""),"")</f>
        <v/>
      </c>
      <c r="AC1886" s="16" t="str">
        <f>IFERROR(__xludf.DUMMYFUNCTION("""COMPUTED_VALUE"""),"")</f>
        <v/>
      </c>
    </row>
    <row r="1887">
      <c r="A1887" s="16" t="s">
        <v>87</v>
      </c>
      <c r="E1887" s="16" t="str">
        <f>IFERROR(__xludf.DUMMYFUNCTION("""COMPUTED_VALUE"""),"")</f>
        <v/>
      </c>
      <c r="G1887" s="18"/>
      <c r="H1887" s="16" t="s">
        <v>87</v>
      </c>
      <c r="I1887" s="16" t="s">
        <v>87</v>
      </c>
      <c r="J1887" s="19"/>
      <c r="L1887" s="16" t="str">
        <f>IFERROR(__xludf.DUMMYFUNCTION("""COMPUTED_VALUE"""),"")</f>
        <v/>
      </c>
      <c r="M1887" s="16" t="str">
        <f>IFERROR(__xludf.DUMMYFUNCTION("""COMPUTED_VALUE"""),"")</f>
        <v/>
      </c>
      <c r="U1887" s="16" t="s">
        <v>87</v>
      </c>
      <c r="V1887" s="16" t="str">
        <f>IFERROR(__xludf.DUMMYFUNCTION("""COMPUTED_VALUE"""),"")</f>
        <v/>
      </c>
      <c r="W1887" s="16" t="str">
        <f>IFERROR(__xludf.DUMMYFUNCTION("""COMPUTED_VALUE"""),"")</f>
        <v/>
      </c>
      <c r="X1887" s="16" t="str">
        <f>IFERROR(__xludf.DUMMYFUNCTION("""COMPUTED_VALUE"""),"")</f>
        <v/>
      </c>
      <c r="AC1887" s="16" t="str">
        <f>IFERROR(__xludf.DUMMYFUNCTION("""COMPUTED_VALUE"""),"")</f>
        <v/>
      </c>
    </row>
    <row r="1888">
      <c r="A1888" s="16" t="s">
        <v>87</v>
      </c>
      <c r="E1888" s="16" t="str">
        <f>IFERROR(__xludf.DUMMYFUNCTION("""COMPUTED_VALUE"""),"")</f>
        <v/>
      </c>
      <c r="G1888" s="18"/>
      <c r="H1888" s="16" t="s">
        <v>87</v>
      </c>
      <c r="I1888" s="16" t="s">
        <v>87</v>
      </c>
      <c r="J1888" s="19"/>
      <c r="L1888" s="16" t="str">
        <f>IFERROR(__xludf.DUMMYFUNCTION("""COMPUTED_VALUE"""),"")</f>
        <v/>
      </c>
      <c r="M1888" s="16" t="str">
        <f>IFERROR(__xludf.DUMMYFUNCTION("""COMPUTED_VALUE"""),"")</f>
        <v/>
      </c>
      <c r="U1888" s="16" t="s">
        <v>87</v>
      </c>
      <c r="V1888" s="16" t="str">
        <f>IFERROR(__xludf.DUMMYFUNCTION("""COMPUTED_VALUE"""),"")</f>
        <v/>
      </c>
      <c r="W1888" s="16" t="str">
        <f>IFERROR(__xludf.DUMMYFUNCTION("""COMPUTED_VALUE"""),"")</f>
        <v/>
      </c>
      <c r="X1888" s="16" t="str">
        <f>IFERROR(__xludf.DUMMYFUNCTION("""COMPUTED_VALUE"""),"")</f>
        <v/>
      </c>
      <c r="AC1888" s="16" t="str">
        <f>IFERROR(__xludf.DUMMYFUNCTION("""COMPUTED_VALUE"""),"")</f>
        <v/>
      </c>
    </row>
    <row r="1889">
      <c r="A1889" s="16" t="s">
        <v>87</v>
      </c>
      <c r="E1889" s="16" t="str">
        <f>IFERROR(__xludf.DUMMYFUNCTION("""COMPUTED_VALUE"""),"")</f>
        <v/>
      </c>
      <c r="G1889" s="18"/>
      <c r="H1889" s="16" t="s">
        <v>87</v>
      </c>
      <c r="I1889" s="16" t="s">
        <v>87</v>
      </c>
      <c r="J1889" s="19"/>
      <c r="L1889" s="16" t="str">
        <f>IFERROR(__xludf.DUMMYFUNCTION("""COMPUTED_VALUE"""),"")</f>
        <v/>
      </c>
      <c r="M1889" s="16" t="str">
        <f>IFERROR(__xludf.DUMMYFUNCTION("""COMPUTED_VALUE"""),"")</f>
        <v/>
      </c>
      <c r="U1889" s="16" t="s">
        <v>87</v>
      </c>
      <c r="V1889" s="16" t="str">
        <f>IFERROR(__xludf.DUMMYFUNCTION("""COMPUTED_VALUE"""),"")</f>
        <v/>
      </c>
      <c r="W1889" s="16" t="str">
        <f>IFERROR(__xludf.DUMMYFUNCTION("""COMPUTED_VALUE"""),"")</f>
        <v/>
      </c>
      <c r="X1889" s="16" t="str">
        <f>IFERROR(__xludf.DUMMYFUNCTION("""COMPUTED_VALUE"""),"")</f>
        <v/>
      </c>
      <c r="AC1889" s="16" t="str">
        <f>IFERROR(__xludf.DUMMYFUNCTION("""COMPUTED_VALUE"""),"")</f>
        <v/>
      </c>
    </row>
    <row r="1890">
      <c r="A1890" s="16" t="s">
        <v>87</v>
      </c>
      <c r="E1890" s="16" t="str">
        <f>IFERROR(__xludf.DUMMYFUNCTION("""COMPUTED_VALUE"""),"")</f>
        <v/>
      </c>
      <c r="G1890" s="18"/>
      <c r="H1890" s="16" t="s">
        <v>87</v>
      </c>
      <c r="I1890" s="16" t="s">
        <v>87</v>
      </c>
      <c r="J1890" s="19"/>
      <c r="L1890" s="16" t="str">
        <f>IFERROR(__xludf.DUMMYFUNCTION("""COMPUTED_VALUE"""),"")</f>
        <v/>
      </c>
      <c r="M1890" s="16" t="str">
        <f>IFERROR(__xludf.DUMMYFUNCTION("""COMPUTED_VALUE"""),"")</f>
        <v/>
      </c>
      <c r="U1890" s="16" t="s">
        <v>87</v>
      </c>
      <c r="V1890" s="16" t="str">
        <f>IFERROR(__xludf.DUMMYFUNCTION("""COMPUTED_VALUE"""),"")</f>
        <v/>
      </c>
      <c r="W1890" s="16" t="str">
        <f>IFERROR(__xludf.DUMMYFUNCTION("""COMPUTED_VALUE"""),"")</f>
        <v/>
      </c>
      <c r="X1890" s="16" t="str">
        <f>IFERROR(__xludf.DUMMYFUNCTION("""COMPUTED_VALUE"""),"")</f>
        <v/>
      </c>
      <c r="AC1890" s="16" t="str">
        <f>IFERROR(__xludf.DUMMYFUNCTION("""COMPUTED_VALUE"""),"")</f>
        <v/>
      </c>
    </row>
    <row r="1891">
      <c r="A1891" s="16" t="s">
        <v>87</v>
      </c>
      <c r="E1891" s="16" t="str">
        <f>IFERROR(__xludf.DUMMYFUNCTION("""COMPUTED_VALUE"""),"")</f>
        <v/>
      </c>
      <c r="G1891" s="18"/>
      <c r="H1891" s="16" t="s">
        <v>87</v>
      </c>
      <c r="I1891" s="16" t="s">
        <v>87</v>
      </c>
      <c r="J1891" s="19"/>
      <c r="L1891" s="16" t="str">
        <f>IFERROR(__xludf.DUMMYFUNCTION("""COMPUTED_VALUE"""),"")</f>
        <v/>
      </c>
      <c r="M1891" s="16" t="str">
        <f>IFERROR(__xludf.DUMMYFUNCTION("""COMPUTED_VALUE"""),"")</f>
        <v/>
      </c>
      <c r="U1891" s="16" t="s">
        <v>87</v>
      </c>
      <c r="V1891" s="16" t="str">
        <f>IFERROR(__xludf.DUMMYFUNCTION("""COMPUTED_VALUE"""),"")</f>
        <v/>
      </c>
      <c r="W1891" s="16" t="str">
        <f>IFERROR(__xludf.DUMMYFUNCTION("""COMPUTED_VALUE"""),"")</f>
        <v/>
      </c>
      <c r="X1891" s="16" t="str">
        <f>IFERROR(__xludf.DUMMYFUNCTION("""COMPUTED_VALUE"""),"")</f>
        <v/>
      </c>
      <c r="AC1891" s="16" t="str">
        <f>IFERROR(__xludf.DUMMYFUNCTION("""COMPUTED_VALUE"""),"")</f>
        <v/>
      </c>
    </row>
    <row r="1892">
      <c r="A1892" s="16" t="s">
        <v>87</v>
      </c>
      <c r="E1892" s="16" t="str">
        <f>IFERROR(__xludf.DUMMYFUNCTION("""COMPUTED_VALUE"""),"")</f>
        <v/>
      </c>
      <c r="G1892" s="18"/>
      <c r="H1892" s="16" t="s">
        <v>87</v>
      </c>
      <c r="I1892" s="16" t="s">
        <v>87</v>
      </c>
      <c r="J1892" s="19"/>
      <c r="L1892" s="16" t="str">
        <f>IFERROR(__xludf.DUMMYFUNCTION("""COMPUTED_VALUE"""),"")</f>
        <v/>
      </c>
      <c r="M1892" s="16" t="str">
        <f>IFERROR(__xludf.DUMMYFUNCTION("""COMPUTED_VALUE"""),"")</f>
        <v/>
      </c>
      <c r="U1892" s="16" t="s">
        <v>87</v>
      </c>
      <c r="V1892" s="16" t="str">
        <f>IFERROR(__xludf.DUMMYFUNCTION("""COMPUTED_VALUE"""),"")</f>
        <v/>
      </c>
      <c r="W1892" s="16" t="str">
        <f>IFERROR(__xludf.DUMMYFUNCTION("""COMPUTED_VALUE"""),"")</f>
        <v/>
      </c>
      <c r="X1892" s="16" t="str">
        <f>IFERROR(__xludf.DUMMYFUNCTION("""COMPUTED_VALUE"""),"")</f>
        <v/>
      </c>
      <c r="AC1892" s="16" t="str">
        <f>IFERROR(__xludf.DUMMYFUNCTION("""COMPUTED_VALUE"""),"")</f>
        <v/>
      </c>
    </row>
    <row r="1893">
      <c r="A1893" s="16" t="s">
        <v>87</v>
      </c>
      <c r="E1893" s="16" t="str">
        <f>IFERROR(__xludf.DUMMYFUNCTION("""COMPUTED_VALUE"""),"")</f>
        <v/>
      </c>
      <c r="G1893" s="18"/>
      <c r="H1893" s="16" t="s">
        <v>87</v>
      </c>
      <c r="I1893" s="16" t="s">
        <v>87</v>
      </c>
      <c r="J1893" s="19"/>
      <c r="L1893" s="16" t="str">
        <f>IFERROR(__xludf.DUMMYFUNCTION("""COMPUTED_VALUE"""),"")</f>
        <v/>
      </c>
      <c r="M1893" s="16" t="str">
        <f>IFERROR(__xludf.DUMMYFUNCTION("""COMPUTED_VALUE"""),"")</f>
        <v/>
      </c>
      <c r="U1893" s="16" t="s">
        <v>87</v>
      </c>
      <c r="V1893" s="16" t="str">
        <f>IFERROR(__xludf.DUMMYFUNCTION("""COMPUTED_VALUE"""),"")</f>
        <v/>
      </c>
      <c r="W1893" s="16" t="str">
        <f>IFERROR(__xludf.DUMMYFUNCTION("""COMPUTED_VALUE"""),"")</f>
        <v/>
      </c>
      <c r="X1893" s="16" t="str">
        <f>IFERROR(__xludf.DUMMYFUNCTION("""COMPUTED_VALUE"""),"")</f>
        <v/>
      </c>
      <c r="AC1893" s="16" t="str">
        <f>IFERROR(__xludf.DUMMYFUNCTION("""COMPUTED_VALUE"""),"")</f>
        <v/>
      </c>
    </row>
    <row r="1894">
      <c r="A1894" s="16" t="s">
        <v>87</v>
      </c>
      <c r="E1894" s="16" t="str">
        <f>IFERROR(__xludf.DUMMYFUNCTION("""COMPUTED_VALUE"""),"")</f>
        <v/>
      </c>
      <c r="G1894" s="18"/>
      <c r="H1894" s="16" t="s">
        <v>87</v>
      </c>
      <c r="I1894" s="16" t="s">
        <v>87</v>
      </c>
      <c r="J1894" s="19"/>
      <c r="L1894" s="16" t="str">
        <f>IFERROR(__xludf.DUMMYFUNCTION("""COMPUTED_VALUE"""),"")</f>
        <v/>
      </c>
      <c r="M1894" s="16" t="str">
        <f>IFERROR(__xludf.DUMMYFUNCTION("""COMPUTED_VALUE"""),"")</f>
        <v/>
      </c>
      <c r="U1894" s="16" t="s">
        <v>87</v>
      </c>
      <c r="V1894" s="16" t="str">
        <f>IFERROR(__xludf.DUMMYFUNCTION("""COMPUTED_VALUE"""),"")</f>
        <v/>
      </c>
      <c r="W1894" s="16" t="str">
        <f>IFERROR(__xludf.DUMMYFUNCTION("""COMPUTED_VALUE"""),"")</f>
        <v/>
      </c>
      <c r="X1894" s="16" t="str">
        <f>IFERROR(__xludf.DUMMYFUNCTION("""COMPUTED_VALUE"""),"")</f>
        <v/>
      </c>
      <c r="AC1894" s="16" t="str">
        <f>IFERROR(__xludf.DUMMYFUNCTION("""COMPUTED_VALUE"""),"")</f>
        <v/>
      </c>
    </row>
    <row r="1895">
      <c r="A1895" s="16" t="s">
        <v>87</v>
      </c>
      <c r="E1895" s="16" t="str">
        <f>IFERROR(__xludf.DUMMYFUNCTION("""COMPUTED_VALUE"""),"")</f>
        <v/>
      </c>
      <c r="G1895" s="18"/>
      <c r="H1895" s="16" t="s">
        <v>87</v>
      </c>
      <c r="I1895" s="16" t="s">
        <v>87</v>
      </c>
      <c r="J1895" s="19"/>
      <c r="L1895" s="16" t="str">
        <f>IFERROR(__xludf.DUMMYFUNCTION("""COMPUTED_VALUE"""),"")</f>
        <v/>
      </c>
      <c r="M1895" s="16" t="str">
        <f>IFERROR(__xludf.DUMMYFUNCTION("""COMPUTED_VALUE"""),"")</f>
        <v/>
      </c>
      <c r="U1895" s="16" t="s">
        <v>87</v>
      </c>
      <c r="V1895" s="16" t="str">
        <f>IFERROR(__xludf.DUMMYFUNCTION("""COMPUTED_VALUE"""),"")</f>
        <v/>
      </c>
      <c r="W1895" s="16" t="str">
        <f>IFERROR(__xludf.DUMMYFUNCTION("""COMPUTED_VALUE"""),"")</f>
        <v/>
      </c>
      <c r="X1895" s="16" t="str">
        <f>IFERROR(__xludf.DUMMYFUNCTION("""COMPUTED_VALUE"""),"")</f>
        <v/>
      </c>
      <c r="AC1895" s="16" t="str">
        <f>IFERROR(__xludf.DUMMYFUNCTION("""COMPUTED_VALUE"""),"")</f>
        <v/>
      </c>
    </row>
    <row r="1896">
      <c r="A1896" s="16" t="s">
        <v>87</v>
      </c>
      <c r="E1896" s="16" t="str">
        <f>IFERROR(__xludf.DUMMYFUNCTION("""COMPUTED_VALUE"""),"")</f>
        <v/>
      </c>
      <c r="G1896" s="18"/>
      <c r="H1896" s="16" t="s">
        <v>87</v>
      </c>
      <c r="I1896" s="16" t="s">
        <v>87</v>
      </c>
      <c r="J1896" s="19"/>
      <c r="L1896" s="16" t="str">
        <f>IFERROR(__xludf.DUMMYFUNCTION("""COMPUTED_VALUE"""),"")</f>
        <v/>
      </c>
      <c r="M1896" s="16" t="str">
        <f>IFERROR(__xludf.DUMMYFUNCTION("""COMPUTED_VALUE"""),"")</f>
        <v/>
      </c>
      <c r="U1896" s="16" t="s">
        <v>87</v>
      </c>
      <c r="V1896" s="16" t="str">
        <f>IFERROR(__xludf.DUMMYFUNCTION("""COMPUTED_VALUE"""),"")</f>
        <v/>
      </c>
      <c r="W1896" s="16" t="str">
        <f>IFERROR(__xludf.DUMMYFUNCTION("""COMPUTED_VALUE"""),"")</f>
        <v/>
      </c>
      <c r="X1896" s="16" t="str">
        <f>IFERROR(__xludf.DUMMYFUNCTION("""COMPUTED_VALUE"""),"")</f>
        <v/>
      </c>
      <c r="AC1896" s="16" t="str">
        <f>IFERROR(__xludf.DUMMYFUNCTION("""COMPUTED_VALUE"""),"")</f>
        <v/>
      </c>
    </row>
    <row r="1897">
      <c r="A1897" s="16" t="s">
        <v>87</v>
      </c>
      <c r="E1897" s="16" t="str">
        <f>IFERROR(__xludf.DUMMYFUNCTION("""COMPUTED_VALUE"""),"")</f>
        <v/>
      </c>
      <c r="G1897" s="18"/>
      <c r="H1897" s="16" t="s">
        <v>87</v>
      </c>
      <c r="I1897" s="16" t="s">
        <v>87</v>
      </c>
      <c r="J1897" s="19"/>
      <c r="L1897" s="16" t="str">
        <f>IFERROR(__xludf.DUMMYFUNCTION("""COMPUTED_VALUE"""),"")</f>
        <v/>
      </c>
      <c r="M1897" s="16" t="str">
        <f>IFERROR(__xludf.DUMMYFUNCTION("""COMPUTED_VALUE"""),"")</f>
        <v/>
      </c>
      <c r="U1897" s="16" t="s">
        <v>87</v>
      </c>
      <c r="V1897" s="16" t="str">
        <f>IFERROR(__xludf.DUMMYFUNCTION("""COMPUTED_VALUE"""),"")</f>
        <v/>
      </c>
      <c r="W1897" s="16" t="str">
        <f>IFERROR(__xludf.DUMMYFUNCTION("""COMPUTED_VALUE"""),"")</f>
        <v/>
      </c>
      <c r="X1897" s="16" t="str">
        <f>IFERROR(__xludf.DUMMYFUNCTION("""COMPUTED_VALUE"""),"")</f>
        <v/>
      </c>
      <c r="AC1897" s="16" t="str">
        <f>IFERROR(__xludf.DUMMYFUNCTION("""COMPUTED_VALUE"""),"")</f>
        <v/>
      </c>
    </row>
    <row r="1898">
      <c r="A1898" s="16" t="s">
        <v>87</v>
      </c>
      <c r="E1898" s="16" t="str">
        <f>IFERROR(__xludf.DUMMYFUNCTION("""COMPUTED_VALUE"""),"")</f>
        <v/>
      </c>
      <c r="G1898" s="18"/>
      <c r="H1898" s="16" t="s">
        <v>87</v>
      </c>
      <c r="I1898" s="16" t="s">
        <v>87</v>
      </c>
      <c r="J1898" s="19"/>
      <c r="L1898" s="16" t="str">
        <f>IFERROR(__xludf.DUMMYFUNCTION("""COMPUTED_VALUE"""),"")</f>
        <v/>
      </c>
      <c r="M1898" s="16" t="str">
        <f>IFERROR(__xludf.DUMMYFUNCTION("""COMPUTED_VALUE"""),"")</f>
        <v/>
      </c>
      <c r="U1898" s="16" t="s">
        <v>87</v>
      </c>
      <c r="V1898" s="16" t="str">
        <f>IFERROR(__xludf.DUMMYFUNCTION("""COMPUTED_VALUE"""),"")</f>
        <v/>
      </c>
      <c r="W1898" s="16" t="str">
        <f>IFERROR(__xludf.DUMMYFUNCTION("""COMPUTED_VALUE"""),"")</f>
        <v/>
      </c>
      <c r="X1898" s="16" t="str">
        <f>IFERROR(__xludf.DUMMYFUNCTION("""COMPUTED_VALUE"""),"")</f>
        <v/>
      </c>
      <c r="AC1898" s="16" t="str">
        <f>IFERROR(__xludf.DUMMYFUNCTION("""COMPUTED_VALUE"""),"")</f>
        <v/>
      </c>
    </row>
    <row r="1899">
      <c r="A1899" s="16" t="s">
        <v>87</v>
      </c>
      <c r="E1899" s="16" t="str">
        <f>IFERROR(__xludf.DUMMYFUNCTION("""COMPUTED_VALUE"""),"")</f>
        <v/>
      </c>
      <c r="G1899" s="18"/>
      <c r="H1899" s="16" t="s">
        <v>87</v>
      </c>
      <c r="I1899" s="16" t="s">
        <v>87</v>
      </c>
      <c r="J1899" s="19"/>
      <c r="L1899" s="16" t="str">
        <f>IFERROR(__xludf.DUMMYFUNCTION("""COMPUTED_VALUE"""),"")</f>
        <v/>
      </c>
      <c r="M1899" s="16" t="str">
        <f>IFERROR(__xludf.DUMMYFUNCTION("""COMPUTED_VALUE"""),"")</f>
        <v/>
      </c>
      <c r="U1899" s="16" t="s">
        <v>87</v>
      </c>
      <c r="V1899" s="16" t="str">
        <f>IFERROR(__xludf.DUMMYFUNCTION("""COMPUTED_VALUE"""),"")</f>
        <v/>
      </c>
      <c r="W1899" s="16" t="str">
        <f>IFERROR(__xludf.DUMMYFUNCTION("""COMPUTED_VALUE"""),"")</f>
        <v/>
      </c>
      <c r="X1899" s="16" t="str">
        <f>IFERROR(__xludf.DUMMYFUNCTION("""COMPUTED_VALUE"""),"")</f>
        <v/>
      </c>
      <c r="AC1899" s="16" t="str">
        <f>IFERROR(__xludf.DUMMYFUNCTION("""COMPUTED_VALUE"""),"")</f>
        <v/>
      </c>
    </row>
    <row r="1900">
      <c r="A1900" s="16" t="s">
        <v>87</v>
      </c>
      <c r="E1900" s="16" t="str">
        <f>IFERROR(__xludf.DUMMYFUNCTION("""COMPUTED_VALUE"""),"")</f>
        <v/>
      </c>
      <c r="G1900" s="18"/>
      <c r="H1900" s="16" t="s">
        <v>87</v>
      </c>
      <c r="I1900" s="16" t="s">
        <v>87</v>
      </c>
      <c r="J1900" s="19"/>
      <c r="L1900" s="16" t="str">
        <f>IFERROR(__xludf.DUMMYFUNCTION("""COMPUTED_VALUE"""),"")</f>
        <v/>
      </c>
      <c r="M1900" s="16" t="str">
        <f>IFERROR(__xludf.DUMMYFUNCTION("""COMPUTED_VALUE"""),"")</f>
        <v/>
      </c>
      <c r="U1900" s="16" t="s">
        <v>87</v>
      </c>
      <c r="V1900" s="16" t="str">
        <f>IFERROR(__xludf.DUMMYFUNCTION("""COMPUTED_VALUE"""),"")</f>
        <v/>
      </c>
      <c r="W1900" s="16" t="str">
        <f>IFERROR(__xludf.DUMMYFUNCTION("""COMPUTED_VALUE"""),"")</f>
        <v/>
      </c>
      <c r="X1900" s="16" t="str">
        <f>IFERROR(__xludf.DUMMYFUNCTION("""COMPUTED_VALUE"""),"")</f>
        <v/>
      </c>
      <c r="AC1900" s="16" t="str">
        <f>IFERROR(__xludf.DUMMYFUNCTION("""COMPUTED_VALUE"""),"")</f>
        <v/>
      </c>
    </row>
    <row r="1901">
      <c r="A1901" s="16" t="s">
        <v>87</v>
      </c>
      <c r="E1901" s="16" t="str">
        <f>IFERROR(__xludf.DUMMYFUNCTION("""COMPUTED_VALUE"""),"")</f>
        <v/>
      </c>
      <c r="G1901" s="18"/>
      <c r="H1901" s="16" t="s">
        <v>87</v>
      </c>
      <c r="I1901" s="16" t="s">
        <v>87</v>
      </c>
      <c r="J1901" s="19"/>
      <c r="L1901" s="16" t="str">
        <f>IFERROR(__xludf.DUMMYFUNCTION("""COMPUTED_VALUE"""),"")</f>
        <v/>
      </c>
      <c r="M1901" s="16" t="str">
        <f>IFERROR(__xludf.DUMMYFUNCTION("""COMPUTED_VALUE"""),"")</f>
        <v/>
      </c>
      <c r="U1901" s="16" t="s">
        <v>87</v>
      </c>
      <c r="V1901" s="16" t="str">
        <f>IFERROR(__xludf.DUMMYFUNCTION("""COMPUTED_VALUE"""),"")</f>
        <v/>
      </c>
      <c r="W1901" s="16" t="str">
        <f>IFERROR(__xludf.DUMMYFUNCTION("""COMPUTED_VALUE"""),"")</f>
        <v/>
      </c>
      <c r="X1901" s="16" t="str">
        <f>IFERROR(__xludf.DUMMYFUNCTION("""COMPUTED_VALUE"""),"")</f>
        <v/>
      </c>
      <c r="AC1901" s="16" t="str">
        <f>IFERROR(__xludf.DUMMYFUNCTION("""COMPUTED_VALUE"""),"")</f>
        <v/>
      </c>
    </row>
    <row r="1902">
      <c r="A1902" s="16" t="s">
        <v>87</v>
      </c>
      <c r="E1902" s="16" t="str">
        <f>IFERROR(__xludf.DUMMYFUNCTION("""COMPUTED_VALUE"""),"")</f>
        <v/>
      </c>
      <c r="G1902" s="18"/>
      <c r="H1902" s="16" t="s">
        <v>87</v>
      </c>
      <c r="I1902" s="16" t="s">
        <v>87</v>
      </c>
      <c r="J1902" s="19"/>
      <c r="L1902" s="16" t="str">
        <f>IFERROR(__xludf.DUMMYFUNCTION("""COMPUTED_VALUE"""),"")</f>
        <v/>
      </c>
      <c r="M1902" s="16" t="str">
        <f>IFERROR(__xludf.DUMMYFUNCTION("""COMPUTED_VALUE"""),"")</f>
        <v/>
      </c>
      <c r="U1902" s="16" t="s">
        <v>87</v>
      </c>
      <c r="V1902" s="16" t="str">
        <f>IFERROR(__xludf.DUMMYFUNCTION("""COMPUTED_VALUE"""),"")</f>
        <v/>
      </c>
      <c r="W1902" s="16" t="str">
        <f>IFERROR(__xludf.DUMMYFUNCTION("""COMPUTED_VALUE"""),"")</f>
        <v/>
      </c>
      <c r="X1902" s="16" t="str">
        <f>IFERROR(__xludf.DUMMYFUNCTION("""COMPUTED_VALUE"""),"")</f>
        <v/>
      </c>
      <c r="AC1902" s="16" t="str">
        <f>IFERROR(__xludf.DUMMYFUNCTION("""COMPUTED_VALUE"""),"")</f>
        <v/>
      </c>
    </row>
    <row r="1903">
      <c r="A1903" s="16" t="s">
        <v>87</v>
      </c>
      <c r="E1903" s="16" t="str">
        <f>IFERROR(__xludf.DUMMYFUNCTION("""COMPUTED_VALUE"""),"")</f>
        <v/>
      </c>
      <c r="G1903" s="18"/>
      <c r="H1903" s="16" t="s">
        <v>87</v>
      </c>
      <c r="I1903" s="16" t="s">
        <v>87</v>
      </c>
      <c r="J1903" s="19"/>
      <c r="L1903" s="16" t="str">
        <f>IFERROR(__xludf.DUMMYFUNCTION("""COMPUTED_VALUE"""),"")</f>
        <v/>
      </c>
      <c r="M1903" s="16" t="str">
        <f>IFERROR(__xludf.DUMMYFUNCTION("""COMPUTED_VALUE"""),"")</f>
        <v/>
      </c>
      <c r="U1903" s="16" t="s">
        <v>87</v>
      </c>
      <c r="V1903" s="16" t="str">
        <f>IFERROR(__xludf.DUMMYFUNCTION("""COMPUTED_VALUE"""),"")</f>
        <v/>
      </c>
      <c r="W1903" s="16" t="str">
        <f>IFERROR(__xludf.DUMMYFUNCTION("""COMPUTED_VALUE"""),"")</f>
        <v/>
      </c>
      <c r="X1903" s="16" t="str">
        <f>IFERROR(__xludf.DUMMYFUNCTION("""COMPUTED_VALUE"""),"")</f>
        <v/>
      </c>
      <c r="AC1903" s="16" t="str">
        <f>IFERROR(__xludf.DUMMYFUNCTION("""COMPUTED_VALUE"""),"")</f>
        <v/>
      </c>
    </row>
    <row r="1904">
      <c r="A1904" s="16" t="s">
        <v>87</v>
      </c>
      <c r="E1904" s="16" t="str">
        <f>IFERROR(__xludf.DUMMYFUNCTION("""COMPUTED_VALUE"""),"")</f>
        <v/>
      </c>
      <c r="G1904" s="18"/>
      <c r="H1904" s="16" t="s">
        <v>87</v>
      </c>
      <c r="I1904" s="16" t="s">
        <v>87</v>
      </c>
      <c r="J1904" s="19"/>
      <c r="L1904" s="16" t="str">
        <f>IFERROR(__xludf.DUMMYFUNCTION("""COMPUTED_VALUE"""),"")</f>
        <v/>
      </c>
      <c r="M1904" s="16" t="str">
        <f>IFERROR(__xludf.DUMMYFUNCTION("""COMPUTED_VALUE"""),"")</f>
        <v/>
      </c>
      <c r="U1904" s="16" t="s">
        <v>87</v>
      </c>
      <c r="V1904" s="16" t="str">
        <f>IFERROR(__xludf.DUMMYFUNCTION("""COMPUTED_VALUE"""),"")</f>
        <v/>
      </c>
      <c r="W1904" s="16" t="str">
        <f>IFERROR(__xludf.DUMMYFUNCTION("""COMPUTED_VALUE"""),"")</f>
        <v/>
      </c>
      <c r="X1904" s="16" t="str">
        <f>IFERROR(__xludf.DUMMYFUNCTION("""COMPUTED_VALUE"""),"")</f>
        <v/>
      </c>
      <c r="AC1904" s="16" t="str">
        <f>IFERROR(__xludf.DUMMYFUNCTION("""COMPUTED_VALUE"""),"")</f>
        <v/>
      </c>
    </row>
    <row r="1905">
      <c r="A1905" s="16" t="s">
        <v>87</v>
      </c>
      <c r="E1905" s="16" t="str">
        <f>IFERROR(__xludf.DUMMYFUNCTION("""COMPUTED_VALUE"""),"")</f>
        <v/>
      </c>
      <c r="G1905" s="18"/>
      <c r="H1905" s="16" t="s">
        <v>87</v>
      </c>
      <c r="I1905" s="16" t="s">
        <v>87</v>
      </c>
      <c r="J1905" s="19"/>
      <c r="L1905" s="16" t="str">
        <f>IFERROR(__xludf.DUMMYFUNCTION("""COMPUTED_VALUE"""),"")</f>
        <v/>
      </c>
      <c r="M1905" s="16" t="str">
        <f>IFERROR(__xludf.DUMMYFUNCTION("""COMPUTED_VALUE"""),"")</f>
        <v/>
      </c>
      <c r="U1905" s="16" t="s">
        <v>87</v>
      </c>
      <c r="V1905" s="16" t="str">
        <f>IFERROR(__xludf.DUMMYFUNCTION("""COMPUTED_VALUE"""),"")</f>
        <v/>
      </c>
      <c r="W1905" s="16" t="str">
        <f>IFERROR(__xludf.DUMMYFUNCTION("""COMPUTED_VALUE"""),"")</f>
        <v/>
      </c>
      <c r="X1905" s="16" t="str">
        <f>IFERROR(__xludf.DUMMYFUNCTION("""COMPUTED_VALUE"""),"")</f>
        <v/>
      </c>
      <c r="AC1905" s="16" t="str">
        <f>IFERROR(__xludf.DUMMYFUNCTION("""COMPUTED_VALUE"""),"")</f>
        <v/>
      </c>
    </row>
    <row r="1906">
      <c r="A1906" s="16" t="s">
        <v>87</v>
      </c>
      <c r="E1906" s="16" t="str">
        <f>IFERROR(__xludf.DUMMYFUNCTION("""COMPUTED_VALUE"""),"")</f>
        <v/>
      </c>
      <c r="G1906" s="18"/>
      <c r="H1906" s="16" t="s">
        <v>87</v>
      </c>
      <c r="I1906" s="16" t="s">
        <v>87</v>
      </c>
      <c r="J1906" s="19"/>
      <c r="L1906" s="16" t="str">
        <f>IFERROR(__xludf.DUMMYFUNCTION("""COMPUTED_VALUE"""),"")</f>
        <v/>
      </c>
      <c r="M1906" s="16" t="str">
        <f>IFERROR(__xludf.DUMMYFUNCTION("""COMPUTED_VALUE"""),"")</f>
        <v/>
      </c>
      <c r="U1906" s="16" t="s">
        <v>87</v>
      </c>
      <c r="V1906" s="16" t="str">
        <f>IFERROR(__xludf.DUMMYFUNCTION("""COMPUTED_VALUE"""),"")</f>
        <v/>
      </c>
      <c r="W1906" s="16" t="str">
        <f>IFERROR(__xludf.DUMMYFUNCTION("""COMPUTED_VALUE"""),"")</f>
        <v/>
      </c>
      <c r="X1906" s="16" t="str">
        <f>IFERROR(__xludf.DUMMYFUNCTION("""COMPUTED_VALUE"""),"")</f>
        <v/>
      </c>
      <c r="AC1906" s="16" t="str">
        <f>IFERROR(__xludf.DUMMYFUNCTION("""COMPUTED_VALUE"""),"")</f>
        <v/>
      </c>
    </row>
    <row r="1907">
      <c r="A1907" s="16" t="s">
        <v>87</v>
      </c>
      <c r="E1907" s="16" t="str">
        <f>IFERROR(__xludf.DUMMYFUNCTION("""COMPUTED_VALUE"""),"")</f>
        <v/>
      </c>
      <c r="G1907" s="18"/>
      <c r="H1907" s="16" t="s">
        <v>87</v>
      </c>
      <c r="I1907" s="16" t="s">
        <v>87</v>
      </c>
      <c r="J1907" s="19"/>
      <c r="L1907" s="16" t="str">
        <f>IFERROR(__xludf.DUMMYFUNCTION("""COMPUTED_VALUE"""),"")</f>
        <v/>
      </c>
      <c r="M1907" s="16" t="str">
        <f>IFERROR(__xludf.DUMMYFUNCTION("""COMPUTED_VALUE"""),"")</f>
        <v/>
      </c>
      <c r="U1907" s="16" t="s">
        <v>87</v>
      </c>
      <c r="V1907" s="16" t="str">
        <f>IFERROR(__xludf.DUMMYFUNCTION("""COMPUTED_VALUE"""),"")</f>
        <v/>
      </c>
      <c r="W1907" s="16" t="str">
        <f>IFERROR(__xludf.DUMMYFUNCTION("""COMPUTED_VALUE"""),"")</f>
        <v/>
      </c>
      <c r="X1907" s="16" t="str">
        <f>IFERROR(__xludf.DUMMYFUNCTION("""COMPUTED_VALUE"""),"")</f>
        <v/>
      </c>
      <c r="AC1907" s="16" t="str">
        <f>IFERROR(__xludf.DUMMYFUNCTION("""COMPUTED_VALUE"""),"")</f>
        <v/>
      </c>
    </row>
    <row r="1908">
      <c r="A1908" s="16" t="s">
        <v>87</v>
      </c>
      <c r="E1908" s="16" t="str">
        <f>IFERROR(__xludf.DUMMYFUNCTION("""COMPUTED_VALUE"""),"")</f>
        <v/>
      </c>
      <c r="G1908" s="18"/>
      <c r="H1908" s="16" t="s">
        <v>87</v>
      </c>
      <c r="I1908" s="16" t="s">
        <v>87</v>
      </c>
      <c r="J1908" s="19"/>
      <c r="L1908" s="16" t="str">
        <f>IFERROR(__xludf.DUMMYFUNCTION("""COMPUTED_VALUE"""),"")</f>
        <v/>
      </c>
      <c r="M1908" s="16" t="str">
        <f>IFERROR(__xludf.DUMMYFUNCTION("""COMPUTED_VALUE"""),"")</f>
        <v/>
      </c>
      <c r="U1908" s="16" t="s">
        <v>87</v>
      </c>
      <c r="V1908" s="16" t="str">
        <f>IFERROR(__xludf.DUMMYFUNCTION("""COMPUTED_VALUE"""),"")</f>
        <v/>
      </c>
      <c r="W1908" s="16" t="str">
        <f>IFERROR(__xludf.DUMMYFUNCTION("""COMPUTED_VALUE"""),"")</f>
        <v/>
      </c>
      <c r="X1908" s="16" t="str">
        <f>IFERROR(__xludf.DUMMYFUNCTION("""COMPUTED_VALUE"""),"")</f>
        <v/>
      </c>
      <c r="AC1908" s="16" t="str">
        <f>IFERROR(__xludf.DUMMYFUNCTION("""COMPUTED_VALUE"""),"")</f>
        <v/>
      </c>
    </row>
    <row r="1909">
      <c r="A1909" s="16" t="s">
        <v>87</v>
      </c>
      <c r="E1909" s="16" t="str">
        <f>IFERROR(__xludf.DUMMYFUNCTION("""COMPUTED_VALUE"""),"")</f>
        <v/>
      </c>
      <c r="G1909" s="18"/>
      <c r="H1909" s="16" t="s">
        <v>87</v>
      </c>
      <c r="I1909" s="16" t="s">
        <v>87</v>
      </c>
      <c r="J1909" s="19"/>
      <c r="L1909" s="16" t="str">
        <f>IFERROR(__xludf.DUMMYFUNCTION("""COMPUTED_VALUE"""),"")</f>
        <v/>
      </c>
      <c r="M1909" s="16" t="str">
        <f>IFERROR(__xludf.DUMMYFUNCTION("""COMPUTED_VALUE"""),"")</f>
        <v/>
      </c>
      <c r="U1909" s="16" t="s">
        <v>87</v>
      </c>
      <c r="V1909" s="16" t="str">
        <f>IFERROR(__xludf.DUMMYFUNCTION("""COMPUTED_VALUE"""),"")</f>
        <v/>
      </c>
      <c r="W1909" s="16" t="str">
        <f>IFERROR(__xludf.DUMMYFUNCTION("""COMPUTED_VALUE"""),"")</f>
        <v/>
      </c>
      <c r="X1909" s="16" t="str">
        <f>IFERROR(__xludf.DUMMYFUNCTION("""COMPUTED_VALUE"""),"")</f>
        <v/>
      </c>
      <c r="AC1909" s="16" t="str">
        <f>IFERROR(__xludf.DUMMYFUNCTION("""COMPUTED_VALUE"""),"")</f>
        <v/>
      </c>
    </row>
    <row r="1910">
      <c r="A1910" s="16" t="s">
        <v>87</v>
      </c>
      <c r="E1910" s="16" t="str">
        <f>IFERROR(__xludf.DUMMYFUNCTION("""COMPUTED_VALUE"""),"")</f>
        <v/>
      </c>
      <c r="G1910" s="18"/>
      <c r="H1910" s="16" t="s">
        <v>87</v>
      </c>
      <c r="I1910" s="16" t="s">
        <v>87</v>
      </c>
      <c r="J1910" s="19"/>
      <c r="L1910" s="16" t="str">
        <f>IFERROR(__xludf.DUMMYFUNCTION("""COMPUTED_VALUE"""),"")</f>
        <v/>
      </c>
      <c r="M1910" s="16" t="str">
        <f>IFERROR(__xludf.DUMMYFUNCTION("""COMPUTED_VALUE"""),"")</f>
        <v/>
      </c>
      <c r="U1910" s="16" t="s">
        <v>87</v>
      </c>
      <c r="V1910" s="16" t="str">
        <f>IFERROR(__xludf.DUMMYFUNCTION("""COMPUTED_VALUE"""),"")</f>
        <v/>
      </c>
      <c r="W1910" s="16" t="str">
        <f>IFERROR(__xludf.DUMMYFUNCTION("""COMPUTED_VALUE"""),"")</f>
        <v/>
      </c>
      <c r="X1910" s="16" t="str">
        <f>IFERROR(__xludf.DUMMYFUNCTION("""COMPUTED_VALUE"""),"")</f>
        <v/>
      </c>
      <c r="AC1910" s="16" t="str">
        <f>IFERROR(__xludf.DUMMYFUNCTION("""COMPUTED_VALUE"""),"")</f>
        <v/>
      </c>
    </row>
    <row r="1911">
      <c r="A1911" s="16" t="s">
        <v>87</v>
      </c>
      <c r="E1911" s="16" t="str">
        <f>IFERROR(__xludf.DUMMYFUNCTION("""COMPUTED_VALUE"""),"")</f>
        <v/>
      </c>
      <c r="G1911" s="18"/>
      <c r="H1911" s="16" t="s">
        <v>87</v>
      </c>
      <c r="I1911" s="16" t="s">
        <v>87</v>
      </c>
      <c r="J1911" s="19"/>
      <c r="L1911" s="16" t="str">
        <f>IFERROR(__xludf.DUMMYFUNCTION("""COMPUTED_VALUE"""),"")</f>
        <v/>
      </c>
      <c r="M1911" s="16" t="str">
        <f>IFERROR(__xludf.DUMMYFUNCTION("""COMPUTED_VALUE"""),"")</f>
        <v/>
      </c>
      <c r="U1911" s="16" t="s">
        <v>87</v>
      </c>
      <c r="V1911" s="16" t="str">
        <f>IFERROR(__xludf.DUMMYFUNCTION("""COMPUTED_VALUE"""),"")</f>
        <v/>
      </c>
      <c r="W1911" s="16" t="str">
        <f>IFERROR(__xludf.DUMMYFUNCTION("""COMPUTED_VALUE"""),"")</f>
        <v/>
      </c>
      <c r="X1911" s="16" t="str">
        <f>IFERROR(__xludf.DUMMYFUNCTION("""COMPUTED_VALUE"""),"")</f>
        <v/>
      </c>
      <c r="AC1911" s="16" t="str">
        <f>IFERROR(__xludf.DUMMYFUNCTION("""COMPUTED_VALUE"""),"")</f>
        <v/>
      </c>
    </row>
    <row r="1912">
      <c r="A1912" s="16" t="s">
        <v>87</v>
      </c>
      <c r="E1912" s="16" t="str">
        <f>IFERROR(__xludf.DUMMYFUNCTION("""COMPUTED_VALUE"""),"")</f>
        <v/>
      </c>
      <c r="G1912" s="18"/>
      <c r="H1912" s="16" t="s">
        <v>87</v>
      </c>
      <c r="I1912" s="16" t="s">
        <v>87</v>
      </c>
      <c r="J1912" s="19"/>
      <c r="L1912" s="16" t="str">
        <f>IFERROR(__xludf.DUMMYFUNCTION("""COMPUTED_VALUE"""),"")</f>
        <v/>
      </c>
      <c r="M1912" s="16" t="str">
        <f>IFERROR(__xludf.DUMMYFUNCTION("""COMPUTED_VALUE"""),"")</f>
        <v/>
      </c>
      <c r="U1912" s="16" t="s">
        <v>87</v>
      </c>
      <c r="V1912" s="16" t="str">
        <f>IFERROR(__xludf.DUMMYFUNCTION("""COMPUTED_VALUE"""),"")</f>
        <v/>
      </c>
      <c r="W1912" s="16" t="str">
        <f>IFERROR(__xludf.DUMMYFUNCTION("""COMPUTED_VALUE"""),"")</f>
        <v/>
      </c>
      <c r="X1912" s="16" t="str">
        <f>IFERROR(__xludf.DUMMYFUNCTION("""COMPUTED_VALUE"""),"")</f>
        <v/>
      </c>
      <c r="AC1912" s="16" t="str">
        <f>IFERROR(__xludf.DUMMYFUNCTION("""COMPUTED_VALUE"""),"")</f>
        <v/>
      </c>
    </row>
    <row r="1913">
      <c r="A1913" s="16" t="s">
        <v>87</v>
      </c>
      <c r="E1913" s="16" t="str">
        <f>IFERROR(__xludf.DUMMYFUNCTION("""COMPUTED_VALUE"""),"")</f>
        <v/>
      </c>
      <c r="G1913" s="18"/>
      <c r="H1913" s="16" t="s">
        <v>87</v>
      </c>
      <c r="I1913" s="16" t="s">
        <v>87</v>
      </c>
      <c r="J1913" s="19"/>
      <c r="L1913" s="16" t="str">
        <f>IFERROR(__xludf.DUMMYFUNCTION("""COMPUTED_VALUE"""),"")</f>
        <v/>
      </c>
      <c r="M1913" s="16" t="str">
        <f>IFERROR(__xludf.DUMMYFUNCTION("""COMPUTED_VALUE"""),"")</f>
        <v/>
      </c>
      <c r="U1913" s="16" t="s">
        <v>87</v>
      </c>
      <c r="V1913" s="16" t="str">
        <f>IFERROR(__xludf.DUMMYFUNCTION("""COMPUTED_VALUE"""),"")</f>
        <v/>
      </c>
      <c r="W1913" s="16" t="str">
        <f>IFERROR(__xludf.DUMMYFUNCTION("""COMPUTED_VALUE"""),"")</f>
        <v/>
      </c>
      <c r="X1913" s="16" t="str">
        <f>IFERROR(__xludf.DUMMYFUNCTION("""COMPUTED_VALUE"""),"")</f>
        <v/>
      </c>
      <c r="AC1913" s="16" t="str">
        <f>IFERROR(__xludf.DUMMYFUNCTION("""COMPUTED_VALUE"""),"")</f>
        <v/>
      </c>
    </row>
    <row r="1914">
      <c r="A1914" s="16" t="s">
        <v>87</v>
      </c>
      <c r="E1914" s="16" t="str">
        <f>IFERROR(__xludf.DUMMYFUNCTION("""COMPUTED_VALUE"""),"")</f>
        <v/>
      </c>
      <c r="G1914" s="18"/>
      <c r="H1914" s="16" t="s">
        <v>87</v>
      </c>
      <c r="I1914" s="16" t="s">
        <v>87</v>
      </c>
      <c r="J1914" s="19"/>
      <c r="L1914" s="16" t="str">
        <f>IFERROR(__xludf.DUMMYFUNCTION("""COMPUTED_VALUE"""),"")</f>
        <v/>
      </c>
      <c r="M1914" s="16" t="str">
        <f>IFERROR(__xludf.DUMMYFUNCTION("""COMPUTED_VALUE"""),"")</f>
        <v/>
      </c>
      <c r="U1914" s="16" t="s">
        <v>87</v>
      </c>
      <c r="V1914" s="16" t="str">
        <f>IFERROR(__xludf.DUMMYFUNCTION("""COMPUTED_VALUE"""),"")</f>
        <v/>
      </c>
      <c r="W1914" s="16" t="str">
        <f>IFERROR(__xludf.DUMMYFUNCTION("""COMPUTED_VALUE"""),"")</f>
        <v/>
      </c>
      <c r="X1914" s="16" t="str">
        <f>IFERROR(__xludf.DUMMYFUNCTION("""COMPUTED_VALUE"""),"")</f>
        <v/>
      </c>
      <c r="AC1914" s="16" t="str">
        <f>IFERROR(__xludf.DUMMYFUNCTION("""COMPUTED_VALUE"""),"")</f>
        <v/>
      </c>
    </row>
    <row r="1915">
      <c r="A1915" s="16" t="s">
        <v>87</v>
      </c>
      <c r="E1915" s="16" t="str">
        <f>IFERROR(__xludf.DUMMYFUNCTION("""COMPUTED_VALUE"""),"")</f>
        <v/>
      </c>
      <c r="G1915" s="18"/>
      <c r="H1915" s="16" t="s">
        <v>87</v>
      </c>
      <c r="I1915" s="16" t="s">
        <v>87</v>
      </c>
      <c r="J1915" s="19"/>
      <c r="L1915" s="16" t="str">
        <f>IFERROR(__xludf.DUMMYFUNCTION("""COMPUTED_VALUE"""),"")</f>
        <v/>
      </c>
      <c r="M1915" s="16" t="str">
        <f>IFERROR(__xludf.DUMMYFUNCTION("""COMPUTED_VALUE"""),"")</f>
        <v/>
      </c>
      <c r="U1915" s="16" t="s">
        <v>87</v>
      </c>
      <c r="V1915" s="16" t="str">
        <f>IFERROR(__xludf.DUMMYFUNCTION("""COMPUTED_VALUE"""),"")</f>
        <v/>
      </c>
      <c r="W1915" s="16" t="str">
        <f>IFERROR(__xludf.DUMMYFUNCTION("""COMPUTED_VALUE"""),"")</f>
        <v/>
      </c>
      <c r="X1915" s="16" t="str">
        <f>IFERROR(__xludf.DUMMYFUNCTION("""COMPUTED_VALUE"""),"")</f>
        <v/>
      </c>
      <c r="AC1915" s="16" t="str">
        <f>IFERROR(__xludf.DUMMYFUNCTION("""COMPUTED_VALUE"""),"")</f>
        <v/>
      </c>
    </row>
    <row r="1916">
      <c r="A1916" s="16" t="s">
        <v>87</v>
      </c>
      <c r="E1916" s="16" t="str">
        <f>IFERROR(__xludf.DUMMYFUNCTION("""COMPUTED_VALUE"""),"")</f>
        <v/>
      </c>
      <c r="G1916" s="18"/>
      <c r="H1916" s="16" t="s">
        <v>87</v>
      </c>
      <c r="I1916" s="16" t="s">
        <v>87</v>
      </c>
      <c r="J1916" s="19"/>
      <c r="L1916" s="16" t="str">
        <f>IFERROR(__xludf.DUMMYFUNCTION("""COMPUTED_VALUE"""),"")</f>
        <v/>
      </c>
      <c r="M1916" s="16" t="str">
        <f>IFERROR(__xludf.DUMMYFUNCTION("""COMPUTED_VALUE"""),"")</f>
        <v/>
      </c>
      <c r="U1916" s="16" t="s">
        <v>87</v>
      </c>
      <c r="V1916" s="16" t="str">
        <f>IFERROR(__xludf.DUMMYFUNCTION("""COMPUTED_VALUE"""),"")</f>
        <v/>
      </c>
      <c r="W1916" s="16" t="str">
        <f>IFERROR(__xludf.DUMMYFUNCTION("""COMPUTED_VALUE"""),"")</f>
        <v/>
      </c>
      <c r="X1916" s="16" t="str">
        <f>IFERROR(__xludf.DUMMYFUNCTION("""COMPUTED_VALUE"""),"")</f>
        <v/>
      </c>
      <c r="AC1916" s="16" t="str">
        <f>IFERROR(__xludf.DUMMYFUNCTION("""COMPUTED_VALUE"""),"")</f>
        <v/>
      </c>
    </row>
    <row r="1917">
      <c r="A1917" s="16" t="s">
        <v>87</v>
      </c>
      <c r="E1917" s="16" t="str">
        <f>IFERROR(__xludf.DUMMYFUNCTION("""COMPUTED_VALUE"""),"")</f>
        <v/>
      </c>
      <c r="G1917" s="18"/>
      <c r="H1917" s="16" t="s">
        <v>87</v>
      </c>
      <c r="I1917" s="16" t="s">
        <v>87</v>
      </c>
      <c r="J1917" s="19"/>
      <c r="L1917" s="16" t="str">
        <f>IFERROR(__xludf.DUMMYFUNCTION("""COMPUTED_VALUE"""),"")</f>
        <v/>
      </c>
      <c r="M1917" s="16" t="str">
        <f>IFERROR(__xludf.DUMMYFUNCTION("""COMPUTED_VALUE"""),"")</f>
        <v/>
      </c>
      <c r="U1917" s="16" t="s">
        <v>87</v>
      </c>
      <c r="V1917" s="16" t="str">
        <f>IFERROR(__xludf.DUMMYFUNCTION("""COMPUTED_VALUE"""),"")</f>
        <v/>
      </c>
      <c r="W1917" s="16" t="str">
        <f>IFERROR(__xludf.DUMMYFUNCTION("""COMPUTED_VALUE"""),"")</f>
        <v/>
      </c>
      <c r="X1917" s="16" t="str">
        <f>IFERROR(__xludf.DUMMYFUNCTION("""COMPUTED_VALUE"""),"")</f>
        <v/>
      </c>
      <c r="AC1917" s="16" t="str">
        <f>IFERROR(__xludf.DUMMYFUNCTION("""COMPUTED_VALUE"""),"")</f>
        <v/>
      </c>
    </row>
    <row r="1918">
      <c r="A1918" s="16" t="s">
        <v>87</v>
      </c>
      <c r="E1918" s="16" t="str">
        <f>IFERROR(__xludf.DUMMYFUNCTION("""COMPUTED_VALUE"""),"")</f>
        <v/>
      </c>
      <c r="G1918" s="18"/>
      <c r="H1918" s="16" t="s">
        <v>87</v>
      </c>
      <c r="I1918" s="16" t="s">
        <v>87</v>
      </c>
      <c r="J1918" s="19"/>
      <c r="L1918" s="16" t="str">
        <f>IFERROR(__xludf.DUMMYFUNCTION("""COMPUTED_VALUE"""),"")</f>
        <v/>
      </c>
      <c r="M1918" s="16" t="str">
        <f>IFERROR(__xludf.DUMMYFUNCTION("""COMPUTED_VALUE"""),"")</f>
        <v/>
      </c>
      <c r="U1918" s="16" t="s">
        <v>87</v>
      </c>
      <c r="V1918" s="16" t="str">
        <f>IFERROR(__xludf.DUMMYFUNCTION("""COMPUTED_VALUE"""),"")</f>
        <v/>
      </c>
      <c r="W1918" s="16" t="str">
        <f>IFERROR(__xludf.DUMMYFUNCTION("""COMPUTED_VALUE"""),"")</f>
        <v/>
      </c>
      <c r="X1918" s="16" t="str">
        <f>IFERROR(__xludf.DUMMYFUNCTION("""COMPUTED_VALUE"""),"")</f>
        <v/>
      </c>
      <c r="AC1918" s="16" t="str">
        <f>IFERROR(__xludf.DUMMYFUNCTION("""COMPUTED_VALUE"""),"")</f>
        <v/>
      </c>
    </row>
    <row r="1919">
      <c r="A1919" s="16" t="s">
        <v>87</v>
      </c>
      <c r="E1919" s="16" t="str">
        <f>IFERROR(__xludf.DUMMYFUNCTION("""COMPUTED_VALUE"""),"")</f>
        <v/>
      </c>
      <c r="G1919" s="18"/>
      <c r="H1919" s="16" t="s">
        <v>87</v>
      </c>
      <c r="I1919" s="16" t="s">
        <v>87</v>
      </c>
      <c r="J1919" s="19"/>
      <c r="L1919" s="16" t="str">
        <f>IFERROR(__xludf.DUMMYFUNCTION("""COMPUTED_VALUE"""),"")</f>
        <v/>
      </c>
      <c r="M1919" s="16" t="str">
        <f>IFERROR(__xludf.DUMMYFUNCTION("""COMPUTED_VALUE"""),"")</f>
        <v/>
      </c>
      <c r="U1919" s="16" t="s">
        <v>87</v>
      </c>
      <c r="V1919" s="16" t="str">
        <f>IFERROR(__xludf.DUMMYFUNCTION("""COMPUTED_VALUE"""),"")</f>
        <v/>
      </c>
      <c r="W1919" s="16" t="str">
        <f>IFERROR(__xludf.DUMMYFUNCTION("""COMPUTED_VALUE"""),"")</f>
        <v/>
      </c>
      <c r="X1919" s="16" t="str">
        <f>IFERROR(__xludf.DUMMYFUNCTION("""COMPUTED_VALUE"""),"")</f>
        <v/>
      </c>
      <c r="AC1919" s="16" t="str">
        <f>IFERROR(__xludf.DUMMYFUNCTION("""COMPUTED_VALUE"""),"")</f>
        <v/>
      </c>
    </row>
    <row r="1920">
      <c r="A1920" s="16" t="s">
        <v>87</v>
      </c>
      <c r="E1920" s="16" t="str">
        <f>IFERROR(__xludf.DUMMYFUNCTION("""COMPUTED_VALUE"""),"")</f>
        <v/>
      </c>
      <c r="G1920" s="18"/>
      <c r="H1920" s="16" t="s">
        <v>87</v>
      </c>
      <c r="I1920" s="16" t="s">
        <v>87</v>
      </c>
      <c r="J1920" s="19"/>
      <c r="L1920" s="16" t="str">
        <f>IFERROR(__xludf.DUMMYFUNCTION("""COMPUTED_VALUE"""),"")</f>
        <v/>
      </c>
      <c r="M1920" s="16" t="str">
        <f>IFERROR(__xludf.DUMMYFUNCTION("""COMPUTED_VALUE"""),"")</f>
        <v/>
      </c>
      <c r="U1920" s="16" t="s">
        <v>87</v>
      </c>
      <c r="V1920" s="16" t="str">
        <f>IFERROR(__xludf.DUMMYFUNCTION("""COMPUTED_VALUE"""),"")</f>
        <v/>
      </c>
      <c r="W1920" s="16" t="str">
        <f>IFERROR(__xludf.DUMMYFUNCTION("""COMPUTED_VALUE"""),"")</f>
        <v/>
      </c>
      <c r="X1920" s="16" t="str">
        <f>IFERROR(__xludf.DUMMYFUNCTION("""COMPUTED_VALUE"""),"")</f>
        <v/>
      </c>
      <c r="AC1920" s="16" t="str">
        <f>IFERROR(__xludf.DUMMYFUNCTION("""COMPUTED_VALUE"""),"")</f>
        <v/>
      </c>
    </row>
    <row r="1921">
      <c r="A1921" s="16" t="s">
        <v>87</v>
      </c>
      <c r="E1921" s="16" t="str">
        <f>IFERROR(__xludf.DUMMYFUNCTION("""COMPUTED_VALUE"""),"")</f>
        <v/>
      </c>
      <c r="G1921" s="18"/>
      <c r="H1921" s="16" t="s">
        <v>87</v>
      </c>
      <c r="I1921" s="16" t="s">
        <v>87</v>
      </c>
      <c r="J1921" s="19"/>
      <c r="L1921" s="16" t="str">
        <f>IFERROR(__xludf.DUMMYFUNCTION("""COMPUTED_VALUE"""),"")</f>
        <v/>
      </c>
      <c r="M1921" s="16" t="str">
        <f>IFERROR(__xludf.DUMMYFUNCTION("""COMPUTED_VALUE"""),"")</f>
        <v/>
      </c>
      <c r="U1921" s="16" t="s">
        <v>87</v>
      </c>
      <c r="V1921" s="16" t="str">
        <f>IFERROR(__xludf.DUMMYFUNCTION("""COMPUTED_VALUE"""),"")</f>
        <v/>
      </c>
      <c r="W1921" s="16" t="str">
        <f>IFERROR(__xludf.DUMMYFUNCTION("""COMPUTED_VALUE"""),"")</f>
        <v/>
      </c>
      <c r="X1921" s="16" t="str">
        <f>IFERROR(__xludf.DUMMYFUNCTION("""COMPUTED_VALUE"""),"")</f>
        <v/>
      </c>
      <c r="AC1921" s="16" t="str">
        <f>IFERROR(__xludf.DUMMYFUNCTION("""COMPUTED_VALUE"""),"")</f>
        <v/>
      </c>
    </row>
    <row r="1922">
      <c r="A1922" s="16" t="s">
        <v>87</v>
      </c>
      <c r="E1922" s="16" t="str">
        <f>IFERROR(__xludf.DUMMYFUNCTION("""COMPUTED_VALUE"""),"")</f>
        <v/>
      </c>
      <c r="G1922" s="18"/>
      <c r="H1922" s="16" t="s">
        <v>87</v>
      </c>
      <c r="I1922" s="16" t="s">
        <v>87</v>
      </c>
      <c r="J1922" s="19"/>
      <c r="L1922" s="16" t="str">
        <f>IFERROR(__xludf.DUMMYFUNCTION("""COMPUTED_VALUE"""),"")</f>
        <v/>
      </c>
      <c r="M1922" s="16" t="str">
        <f>IFERROR(__xludf.DUMMYFUNCTION("""COMPUTED_VALUE"""),"")</f>
        <v/>
      </c>
      <c r="U1922" s="16" t="s">
        <v>87</v>
      </c>
      <c r="V1922" s="16" t="str">
        <f>IFERROR(__xludf.DUMMYFUNCTION("""COMPUTED_VALUE"""),"")</f>
        <v/>
      </c>
      <c r="W1922" s="16" t="str">
        <f>IFERROR(__xludf.DUMMYFUNCTION("""COMPUTED_VALUE"""),"")</f>
        <v/>
      </c>
      <c r="X1922" s="16" t="str">
        <f>IFERROR(__xludf.DUMMYFUNCTION("""COMPUTED_VALUE"""),"")</f>
        <v/>
      </c>
      <c r="AC1922" s="16" t="str">
        <f>IFERROR(__xludf.DUMMYFUNCTION("""COMPUTED_VALUE"""),"")</f>
        <v/>
      </c>
    </row>
    <row r="1923">
      <c r="A1923" s="16" t="s">
        <v>87</v>
      </c>
      <c r="E1923" s="16" t="str">
        <f>IFERROR(__xludf.DUMMYFUNCTION("""COMPUTED_VALUE"""),"")</f>
        <v/>
      </c>
      <c r="G1923" s="18"/>
      <c r="H1923" s="16" t="s">
        <v>87</v>
      </c>
      <c r="I1923" s="16" t="s">
        <v>87</v>
      </c>
      <c r="J1923" s="19"/>
      <c r="L1923" s="16" t="str">
        <f>IFERROR(__xludf.DUMMYFUNCTION("""COMPUTED_VALUE"""),"")</f>
        <v/>
      </c>
      <c r="M1923" s="16" t="str">
        <f>IFERROR(__xludf.DUMMYFUNCTION("""COMPUTED_VALUE"""),"")</f>
        <v/>
      </c>
      <c r="U1923" s="16" t="s">
        <v>87</v>
      </c>
      <c r="V1923" s="16" t="str">
        <f>IFERROR(__xludf.DUMMYFUNCTION("""COMPUTED_VALUE"""),"")</f>
        <v/>
      </c>
      <c r="W1923" s="16" t="str">
        <f>IFERROR(__xludf.DUMMYFUNCTION("""COMPUTED_VALUE"""),"")</f>
        <v/>
      </c>
      <c r="X1923" s="16" t="str">
        <f>IFERROR(__xludf.DUMMYFUNCTION("""COMPUTED_VALUE"""),"")</f>
        <v/>
      </c>
      <c r="AC1923" s="16" t="str">
        <f>IFERROR(__xludf.DUMMYFUNCTION("""COMPUTED_VALUE"""),"")</f>
        <v/>
      </c>
    </row>
    <row r="1924">
      <c r="A1924" s="16" t="s">
        <v>87</v>
      </c>
      <c r="E1924" s="16" t="str">
        <f>IFERROR(__xludf.DUMMYFUNCTION("""COMPUTED_VALUE"""),"")</f>
        <v/>
      </c>
      <c r="G1924" s="18"/>
      <c r="H1924" s="16" t="s">
        <v>87</v>
      </c>
      <c r="I1924" s="16" t="s">
        <v>87</v>
      </c>
      <c r="J1924" s="19"/>
      <c r="L1924" s="16" t="str">
        <f>IFERROR(__xludf.DUMMYFUNCTION("""COMPUTED_VALUE"""),"")</f>
        <v/>
      </c>
      <c r="M1924" s="16" t="str">
        <f>IFERROR(__xludf.DUMMYFUNCTION("""COMPUTED_VALUE"""),"")</f>
        <v/>
      </c>
      <c r="U1924" s="16" t="s">
        <v>87</v>
      </c>
      <c r="V1924" s="16" t="str">
        <f>IFERROR(__xludf.DUMMYFUNCTION("""COMPUTED_VALUE"""),"")</f>
        <v/>
      </c>
      <c r="W1924" s="16" t="str">
        <f>IFERROR(__xludf.DUMMYFUNCTION("""COMPUTED_VALUE"""),"")</f>
        <v/>
      </c>
      <c r="X1924" s="16" t="str">
        <f>IFERROR(__xludf.DUMMYFUNCTION("""COMPUTED_VALUE"""),"")</f>
        <v/>
      </c>
      <c r="AC1924" s="16" t="str">
        <f>IFERROR(__xludf.DUMMYFUNCTION("""COMPUTED_VALUE"""),"")</f>
        <v/>
      </c>
    </row>
    <row r="1925">
      <c r="A1925" s="16" t="s">
        <v>87</v>
      </c>
      <c r="E1925" s="16" t="str">
        <f>IFERROR(__xludf.DUMMYFUNCTION("""COMPUTED_VALUE"""),"")</f>
        <v/>
      </c>
      <c r="G1925" s="18"/>
      <c r="H1925" s="16" t="s">
        <v>87</v>
      </c>
      <c r="I1925" s="16" t="s">
        <v>87</v>
      </c>
      <c r="J1925" s="19"/>
      <c r="L1925" s="16" t="str">
        <f>IFERROR(__xludf.DUMMYFUNCTION("""COMPUTED_VALUE"""),"")</f>
        <v/>
      </c>
      <c r="M1925" s="16" t="str">
        <f>IFERROR(__xludf.DUMMYFUNCTION("""COMPUTED_VALUE"""),"")</f>
        <v/>
      </c>
      <c r="U1925" s="16" t="s">
        <v>87</v>
      </c>
      <c r="V1925" s="16" t="str">
        <f>IFERROR(__xludf.DUMMYFUNCTION("""COMPUTED_VALUE"""),"")</f>
        <v/>
      </c>
      <c r="W1925" s="16" t="str">
        <f>IFERROR(__xludf.DUMMYFUNCTION("""COMPUTED_VALUE"""),"")</f>
        <v/>
      </c>
      <c r="X1925" s="16" t="str">
        <f>IFERROR(__xludf.DUMMYFUNCTION("""COMPUTED_VALUE"""),"")</f>
        <v/>
      </c>
      <c r="AC1925" s="16" t="str">
        <f>IFERROR(__xludf.DUMMYFUNCTION("""COMPUTED_VALUE"""),"")</f>
        <v/>
      </c>
    </row>
    <row r="1926">
      <c r="A1926" s="16" t="s">
        <v>87</v>
      </c>
      <c r="E1926" s="16" t="str">
        <f>IFERROR(__xludf.DUMMYFUNCTION("""COMPUTED_VALUE"""),"")</f>
        <v/>
      </c>
      <c r="G1926" s="18"/>
      <c r="H1926" s="16" t="s">
        <v>87</v>
      </c>
      <c r="I1926" s="16" t="s">
        <v>87</v>
      </c>
      <c r="J1926" s="19"/>
      <c r="L1926" s="16" t="str">
        <f>IFERROR(__xludf.DUMMYFUNCTION("""COMPUTED_VALUE"""),"")</f>
        <v/>
      </c>
      <c r="M1926" s="16" t="str">
        <f>IFERROR(__xludf.DUMMYFUNCTION("""COMPUTED_VALUE"""),"")</f>
        <v/>
      </c>
      <c r="U1926" s="16" t="s">
        <v>87</v>
      </c>
      <c r="V1926" s="16" t="str">
        <f>IFERROR(__xludf.DUMMYFUNCTION("""COMPUTED_VALUE"""),"")</f>
        <v/>
      </c>
      <c r="W1926" s="16" t="str">
        <f>IFERROR(__xludf.DUMMYFUNCTION("""COMPUTED_VALUE"""),"")</f>
        <v/>
      </c>
      <c r="X1926" s="16" t="str">
        <f>IFERROR(__xludf.DUMMYFUNCTION("""COMPUTED_VALUE"""),"")</f>
        <v/>
      </c>
      <c r="AC1926" s="16" t="str">
        <f>IFERROR(__xludf.DUMMYFUNCTION("""COMPUTED_VALUE"""),"")</f>
        <v/>
      </c>
    </row>
    <row r="1927">
      <c r="A1927" s="16" t="s">
        <v>87</v>
      </c>
      <c r="E1927" s="16" t="str">
        <f>IFERROR(__xludf.DUMMYFUNCTION("""COMPUTED_VALUE"""),"")</f>
        <v/>
      </c>
      <c r="G1927" s="18"/>
      <c r="H1927" s="16" t="s">
        <v>87</v>
      </c>
      <c r="I1927" s="16" t="s">
        <v>87</v>
      </c>
      <c r="J1927" s="19"/>
      <c r="L1927" s="16" t="str">
        <f>IFERROR(__xludf.DUMMYFUNCTION("""COMPUTED_VALUE"""),"")</f>
        <v/>
      </c>
      <c r="M1927" s="16" t="str">
        <f>IFERROR(__xludf.DUMMYFUNCTION("""COMPUTED_VALUE"""),"")</f>
        <v/>
      </c>
      <c r="U1927" s="16" t="s">
        <v>87</v>
      </c>
      <c r="V1927" s="16" t="str">
        <f>IFERROR(__xludf.DUMMYFUNCTION("""COMPUTED_VALUE"""),"")</f>
        <v/>
      </c>
      <c r="W1927" s="16" t="str">
        <f>IFERROR(__xludf.DUMMYFUNCTION("""COMPUTED_VALUE"""),"")</f>
        <v/>
      </c>
      <c r="X1927" s="16" t="str">
        <f>IFERROR(__xludf.DUMMYFUNCTION("""COMPUTED_VALUE"""),"")</f>
        <v/>
      </c>
      <c r="AC1927" s="16" t="str">
        <f>IFERROR(__xludf.DUMMYFUNCTION("""COMPUTED_VALUE"""),"")</f>
        <v/>
      </c>
    </row>
    <row r="1928">
      <c r="A1928" s="16" t="s">
        <v>87</v>
      </c>
      <c r="E1928" s="16" t="str">
        <f>IFERROR(__xludf.DUMMYFUNCTION("""COMPUTED_VALUE"""),"")</f>
        <v/>
      </c>
      <c r="G1928" s="18"/>
      <c r="H1928" s="16" t="s">
        <v>87</v>
      </c>
      <c r="I1928" s="16" t="s">
        <v>87</v>
      </c>
      <c r="J1928" s="19"/>
      <c r="L1928" s="16" t="str">
        <f>IFERROR(__xludf.DUMMYFUNCTION("""COMPUTED_VALUE"""),"")</f>
        <v/>
      </c>
      <c r="M1928" s="16" t="str">
        <f>IFERROR(__xludf.DUMMYFUNCTION("""COMPUTED_VALUE"""),"")</f>
        <v/>
      </c>
      <c r="U1928" s="16" t="s">
        <v>87</v>
      </c>
      <c r="V1928" s="16" t="str">
        <f>IFERROR(__xludf.DUMMYFUNCTION("""COMPUTED_VALUE"""),"")</f>
        <v/>
      </c>
      <c r="W1928" s="16" t="str">
        <f>IFERROR(__xludf.DUMMYFUNCTION("""COMPUTED_VALUE"""),"")</f>
        <v/>
      </c>
      <c r="X1928" s="16" t="str">
        <f>IFERROR(__xludf.DUMMYFUNCTION("""COMPUTED_VALUE"""),"")</f>
        <v/>
      </c>
      <c r="AC1928" s="16" t="str">
        <f>IFERROR(__xludf.DUMMYFUNCTION("""COMPUTED_VALUE"""),"")</f>
        <v/>
      </c>
    </row>
    <row r="1929">
      <c r="A1929" s="16" t="s">
        <v>87</v>
      </c>
      <c r="E1929" s="16" t="str">
        <f>IFERROR(__xludf.DUMMYFUNCTION("""COMPUTED_VALUE"""),"")</f>
        <v/>
      </c>
      <c r="G1929" s="18"/>
      <c r="H1929" s="16" t="s">
        <v>87</v>
      </c>
      <c r="I1929" s="16" t="s">
        <v>87</v>
      </c>
      <c r="J1929" s="19"/>
      <c r="L1929" s="16" t="str">
        <f>IFERROR(__xludf.DUMMYFUNCTION("""COMPUTED_VALUE"""),"")</f>
        <v/>
      </c>
      <c r="M1929" s="16" t="str">
        <f>IFERROR(__xludf.DUMMYFUNCTION("""COMPUTED_VALUE"""),"")</f>
        <v/>
      </c>
      <c r="U1929" s="16" t="s">
        <v>87</v>
      </c>
      <c r="V1929" s="16" t="str">
        <f>IFERROR(__xludf.DUMMYFUNCTION("""COMPUTED_VALUE"""),"")</f>
        <v/>
      </c>
      <c r="W1929" s="16" t="str">
        <f>IFERROR(__xludf.DUMMYFUNCTION("""COMPUTED_VALUE"""),"")</f>
        <v/>
      </c>
      <c r="X1929" s="16" t="str">
        <f>IFERROR(__xludf.DUMMYFUNCTION("""COMPUTED_VALUE"""),"")</f>
        <v/>
      </c>
      <c r="AC1929" s="16" t="str">
        <f>IFERROR(__xludf.DUMMYFUNCTION("""COMPUTED_VALUE"""),"")</f>
        <v/>
      </c>
    </row>
    <row r="1930">
      <c r="A1930" s="16" t="s">
        <v>87</v>
      </c>
      <c r="E1930" s="16" t="str">
        <f>IFERROR(__xludf.DUMMYFUNCTION("""COMPUTED_VALUE"""),"")</f>
        <v/>
      </c>
      <c r="G1930" s="18"/>
      <c r="H1930" s="16" t="s">
        <v>87</v>
      </c>
      <c r="I1930" s="16" t="s">
        <v>87</v>
      </c>
      <c r="J1930" s="19"/>
      <c r="L1930" s="16" t="str">
        <f>IFERROR(__xludf.DUMMYFUNCTION("""COMPUTED_VALUE"""),"")</f>
        <v/>
      </c>
      <c r="M1930" s="16" t="str">
        <f>IFERROR(__xludf.DUMMYFUNCTION("""COMPUTED_VALUE"""),"")</f>
        <v/>
      </c>
      <c r="U1930" s="16" t="s">
        <v>87</v>
      </c>
      <c r="V1930" s="16" t="str">
        <f>IFERROR(__xludf.DUMMYFUNCTION("""COMPUTED_VALUE"""),"")</f>
        <v/>
      </c>
      <c r="W1930" s="16" t="str">
        <f>IFERROR(__xludf.DUMMYFUNCTION("""COMPUTED_VALUE"""),"")</f>
        <v/>
      </c>
      <c r="X1930" s="16" t="str">
        <f>IFERROR(__xludf.DUMMYFUNCTION("""COMPUTED_VALUE"""),"")</f>
        <v/>
      </c>
      <c r="AC1930" s="16" t="str">
        <f>IFERROR(__xludf.DUMMYFUNCTION("""COMPUTED_VALUE"""),"")</f>
        <v/>
      </c>
    </row>
    <row r="1931">
      <c r="A1931" s="16" t="s">
        <v>87</v>
      </c>
      <c r="E1931" s="16" t="str">
        <f>IFERROR(__xludf.DUMMYFUNCTION("""COMPUTED_VALUE"""),"")</f>
        <v/>
      </c>
      <c r="G1931" s="18"/>
      <c r="H1931" s="16" t="s">
        <v>87</v>
      </c>
      <c r="I1931" s="16" t="s">
        <v>87</v>
      </c>
      <c r="J1931" s="19"/>
      <c r="L1931" s="16" t="str">
        <f>IFERROR(__xludf.DUMMYFUNCTION("""COMPUTED_VALUE"""),"")</f>
        <v/>
      </c>
      <c r="M1931" s="16" t="str">
        <f>IFERROR(__xludf.DUMMYFUNCTION("""COMPUTED_VALUE"""),"")</f>
        <v/>
      </c>
      <c r="U1931" s="16" t="s">
        <v>87</v>
      </c>
      <c r="V1931" s="16" t="str">
        <f>IFERROR(__xludf.DUMMYFUNCTION("""COMPUTED_VALUE"""),"")</f>
        <v/>
      </c>
      <c r="W1931" s="16" t="str">
        <f>IFERROR(__xludf.DUMMYFUNCTION("""COMPUTED_VALUE"""),"")</f>
        <v/>
      </c>
      <c r="X1931" s="16" t="str">
        <f>IFERROR(__xludf.DUMMYFUNCTION("""COMPUTED_VALUE"""),"")</f>
        <v/>
      </c>
      <c r="AC1931" s="16" t="str">
        <f>IFERROR(__xludf.DUMMYFUNCTION("""COMPUTED_VALUE"""),"")</f>
        <v/>
      </c>
    </row>
    <row r="1932">
      <c r="A1932" s="16" t="s">
        <v>87</v>
      </c>
      <c r="E1932" s="16" t="str">
        <f>IFERROR(__xludf.DUMMYFUNCTION("""COMPUTED_VALUE"""),"")</f>
        <v/>
      </c>
      <c r="G1932" s="18"/>
      <c r="H1932" s="16" t="s">
        <v>87</v>
      </c>
      <c r="I1932" s="16" t="s">
        <v>87</v>
      </c>
      <c r="J1932" s="19"/>
      <c r="L1932" s="16" t="str">
        <f>IFERROR(__xludf.DUMMYFUNCTION("""COMPUTED_VALUE"""),"")</f>
        <v/>
      </c>
      <c r="M1932" s="16" t="str">
        <f>IFERROR(__xludf.DUMMYFUNCTION("""COMPUTED_VALUE"""),"")</f>
        <v/>
      </c>
      <c r="U1932" s="16" t="s">
        <v>87</v>
      </c>
      <c r="V1932" s="16" t="str">
        <f>IFERROR(__xludf.DUMMYFUNCTION("""COMPUTED_VALUE"""),"")</f>
        <v/>
      </c>
      <c r="W1932" s="16" t="str">
        <f>IFERROR(__xludf.DUMMYFUNCTION("""COMPUTED_VALUE"""),"")</f>
        <v/>
      </c>
      <c r="X1932" s="16" t="str">
        <f>IFERROR(__xludf.DUMMYFUNCTION("""COMPUTED_VALUE"""),"")</f>
        <v/>
      </c>
      <c r="AC1932" s="16" t="str">
        <f>IFERROR(__xludf.DUMMYFUNCTION("""COMPUTED_VALUE"""),"")</f>
        <v/>
      </c>
    </row>
    <row r="1933">
      <c r="A1933" s="16" t="s">
        <v>87</v>
      </c>
      <c r="E1933" s="16" t="str">
        <f>IFERROR(__xludf.DUMMYFUNCTION("""COMPUTED_VALUE"""),"")</f>
        <v/>
      </c>
      <c r="G1933" s="18"/>
      <c r="H1933" s="16" t="s">
        <v>87</v>
      </c>
      <c r="I1933" s="16" t="s">
        <v>87</v>
      </c>
      <c r="J1933" s="19"/>
      <c r="L1933" s="16" t="str">
        <f>IFERROR(__xludf.DUMMYFUNCTION("""COMPUTED_VALUE"""),"")</f>
        <v/>
      </c>
      <c r="M1933" s="16" t="str">
        <f>IFERROR(__xludf.DUMMYFUNCTION("""COMPUTED_VALUE"""),"")</f>
        <v/>
      </c>
      <c r="U1933" s="16" t="s">
        <v>87</v>
      </c>
      <c r="V1933" s="16" t="str">
        <f>IFERROR(__xludf.DUMMYFUNCTION("""COMPUTED_VALUE"""),"")</f>
        <v/>
      </c>
      <c r="W1933" s="16" t="str">
        <f>IFERROR(__xludf.DUMMYFUNCTION("""COMPUTED_VALUE"""),"")</f>
        <v/>
      </c>
      <c r="X1933" s="16" t="str">
        <f>IFERROR(__xludf.DUMMYFUNCTION("""COMPUTED_VALUE"""),"")</f>
        <v/>
      </c>
      <c r="AC1933" s="16" t="str">
        <f>IFERROR(__xludf.DUMMYFUNCTION("""COMPUTED_VALUE"""),"")</f>
        <v/>
      </c>
    </row>
    <row r="1934">
      <c r="A1934" s="16" t="s">
        <v>87</v>
      </c>
      <c r="E1934" s="16" t="str">
        <f>IFERROR(__xludf.DUMMYFUNCTION("""COMPUTED_VALUE"""),"")</f>
        <v/>
      </c>
      <c r="G1934" s="18"/>
      <c r="H1934" s="16" t="s">
        <v>87</v>
      </c>
      <c r="I1934" s="16" t="s">
        <v>87</v>
      </c>
      <c r="J1934" s="19"/>
      <c r="L1934" s="16" t="str">
        <f>IFERROR(__xludf.DUMMYFUNCTION("""COMPUTED_VALUE"""),"")</f>
        <v/>
      </c>
      <c r="M1934" s="16" t="str">
        <f>IFERROR(__xludf.DUMMYFUNCTION("""COMPUTED_VALUE"""),"")</f>
        <v/>
      </c>
      <c r="U1934" s="16" t="s">
        <v>87</v>
      </c>
      <c r="V1934" s="16" t="str">
        <f>IFERROR(__xludf.DUMMYFUNCTION("""COMPUTED_VALUE"""),"")</f>
        <v/>
      </c>
      <c r="W1934" s="16" t="str">
        <f>IFERROR(__xludf.DUMMYFUNCTION("""COMPUTED_VALUE"""),"")</f>
        <v/>
      </c>
      <c r="X1934" s="16" t="str">
        <f>IFERROR(__xludf.DUMMYFUNCTION("""COMPUTED_VALUE"""),"")</f>
        <v/>
      </c>
      <c r="AC1934" s="16" t="str">
        <f>IFERROR(__xludf.DUMMYFUNCTION("""COMPUTED_VALUE"""),"")</f>
        <v/>
      </c>
    </row>
    <row r="1935">
      <c r="A1935" s="16" t="s">
        <v>87</v>
      </c>
      <c r="E1935" s="16" t="str">
        <f>IFERROR(__xludf.DUMMYFUNCTION("""COMPUTED_VALUE"""),"")</f>
        <v/>
      </c>
      <c r="G1935" s="18"/>
      <c r="H1935" s="16" t="s">
        <v>87</v>
      </c>
      <c r="I1935" s="16" t="s">
        <v>87</v>
      </c>
      <c r="J1935" s="19"/>
      <c r="L1935" s="16" t="str">
        <f>IFERROR(__xludf.DUMMYFUNCTION("""COMPUTED_VALUE"""),"")</f>
        <v/>
      </c>
      <c r="M1935" s="16" t="str">
        <f>IFERROR(__xludf.DUMMYFUNCTION("""COMPUTED_VALUE"""),"")</f>
        <v/>
      </c>
      <c r="U1935" s="16" t="s">
        <v>87</v>
      </c>
      <c r="V1935" s="16" t="str">
        <f>IFERROR(__xludf.DUMMYFUNCTION("""COMPUTED_VALUE"""),"")</f>
        <v/>
      </c>
      <c r="W1935" s="16" t="str">
        <f>IFERROR(__xludf.DUMMYFUNCTION("""COMPUTED_VALUE"""),"")</f>
        <v/>
      </c>
      <c r="X1935" s="16" t="str">
        <f>IFERROR(__xludf.DUMMYFUNCTION("""COMPUTED_VALUE"""),"")</f>
        <v/>
      </c>
      <c r="AC1935" s="16" t="str">
        <f>IFERROR(__xludf.DUMMYFUNCTION("""COMPUTED_VALUE"""),"")</f>
        <v/>
      </c>
    </row>
    <row r="1936">
      <c r="A1936" s="16" t="s">
        <v>87</v>
      </c>
      <c r="E1936" s="16" t="str">
        <f>IFERROR(__xludf.DUMMYFUNCTION("""COMPUTED_VALUE"""),"")</f>
        <v/>
      </c>
      <c r="G1936" s="18"/>
      <c r="H1936" s="16" t="s">
        <v>87</v>
      </c>
      <c r="I1936" s="16" t="s">
        <v>87</v>
      </c>
      <c r="J1936" s="19"/>
      <c r="L1936" s="16" t="str">
        <f>IFERROR(__xludf.DUMMYFUNCTION("""COMPUTED_VALUE"""),"")</f>
        <v/>
      </c>
      <c r="M1936" s="16" t="str">
        <f>IFERROR(__xludf.DUMMYFUNCTION("""COMPUTED_VALUE"""),"")</f>
        <v/>
      </c>
      <c r="U1936" s="16" t="s">
        <v>87</v>
      </c>
      <c r="V1936" s="16" t="str">
        <f>IFERROR(__xludf.DUMMYFUNCTION("""COMPUTED_VALUE"""),"")</f>
        <v/>
      </c>
      <c r="W1936" s="16" t="str">
        <f>IFERROR(__xludf.DUMMYFUNCTION("""COMPUTED_VALUE"""),"")</f>
        <v/>
      </c>
      <c r="X1936" s="16" t="str">
        <f>IFERROR(__xludf.DUMMYFUNCTION("""COMPUTED_VALUE"""),"")</f>
        <v/>
      </c>
      <c r="AC1936" s="16" t="str">
        <f>IFERROR(__xludf.DUMMYFUNCTION("""COMPUTED_VALUE"""),"")</f>
        <v/>
      </c>
    </row>
    <row r="1937">
      <c r="A1937" s="16" t="s">
        <v>87</v>
      </c>
      <c r="E1937" s="16" t="str">
        <f>IFERROR(__xludf.DUMMYFUNCTION("""COMPUTED_VALUE"""),"")</f>
        <v/>
      </c>
      <c r="G1937" s="18"/>
      <c r="H1937" s="16" t="s">
        <v>87</v>
      </c>
      <c r="I1937" s="16" t="s">
        <v>87</v>
      </c>
      <c r="J1937" s="19"/>
      <c r="L1937" s="16" t="str">
        <f>IFERROR(__xludf.DUMMYFUNCTION("""COMPUTED_VALUE"""),"")</f>
        <v/>
      </c>
      <c r="M1937" s="16" t="str">
        <f>IFERROR(__xludf.DUMMYFUNCTION("""COMPUTED_VALUE"""),"")</f>
        <v/>
      </c>
      <c r="U1937" s="16" t="s">
        <v>87</v>
      </c>
      <c r="V1937" s="16" t="str">
        <f>IFERROR(__xludf.DUMMYFUNCTION("""COMPUTED_VALUE"""),"")</f>
        <v/>
      </c>
      <c r="W1937" s="16" t="str">
        <f>IFERROR(__xludf.DUMMYFUNCTION("""COMPUTED_VALUE"""),"")</f>
        <v/>
      </c>
      <c r="X1937" s="16" t="str">
        <f>IFERROR(__xludf.DUMMYFUNCTION("""COMPUTED_VALUE"""),"")</f>
        <v/>
      </c>
      <c r="AC1937" s="16" t="str">
        <f>IFERROR(__xludf.DUMMYFUNCTION("""COMPUTED_VALUE"""),"")</f>
        <v/>
      </c>
    </row>
    <row r="1938">
      <c r="A1938" s="16" t="s">
        <v>87</v>
      </c>
      <c r="E1938" s="16" t="str">
        <f>IFERROR(__xludf.DUMMYFUNCTION("""COMPUTED_VALUE"""),"")</f>
        <v/>
      </c>
      <c r="G1938" s="18"/>
      <c r="H1938" s="16" t="s">
        <v>87</v>
      </c>
      <c r="I1938" s="16" t="s">
        <v>87</v>
      </c>
      <c r="J1938" s="19"/>
      <c r="L1938" s="16" t="str">
        <f>IFERROR(__xludf.DUMMYFUNCTION("""COMPUTED_VALUE"""),"")</f>
        <v/>
      </c>
      <c r="M1938" s="16" t="str">
        <f>IFERROR(__xludf.DUMMYFUNCTION("""COMPUTED_VALUE"""),"")</f>
        <v/>
      </c>
      <c r="U1938" s="16" t="s">
        <v>87</v>
      </c>
      <c r="V1938" s="16" t="str">
        <f>IFERROR(__xludf.DUMMYFUNCTION("""COMPUTED_VALUE"""),"")</f>
        <v/>
      </c>
      <c r="W1938" s="16" t="str">
        <f>IFERROR(__xludf.DUMMYFUNCTION("""COMPUTED_VALUE"""),"")</f>
        <v/>
      </c>
      <c r="X1938" s="16" t="str">
        <f>IFERROR(__xludf.DUMMYFUNCTION("""COMPUTED_VALUE"""),"")</f>
        <v/>
      </c>
      <c r="AC1938" s="16" t="str">
        <f>IFERROR(__xludf.DUMMYFUNCTION("""COMPUTED_VALUE"""),"")</f>
        <v/>
      </c>
    </row>
    <row r="1939">
      <c r="A1939" s="16" t="s">
        <v>87</v>
      </c>
      <c r="E1939" s="16" t="str">
        <f>IFERROR(__xludf.DUMMYFUNCTION("""COMPUTED_VALUE"""),"")</f>
        <v/>
      </c>
      <c r="G1939" s="18"/>
      <c r="H1939" s="16" t="s">
        <v>87</v>
      </c>
      <c r="I1939" s="16" t="s">
        <v>87</v>
      </c>
      <c r="J1939" s="19"/>
      <c r="L1939" s="16" t="str">
        <f>IFERROR(__xludf.DUMMYFUNCTION("""COMPUTED_VALUE"""),"")</f>
        <v/>
      </c>
      <c r="M1939" s="16" t="str">
        <f>IFERROR(__xludf.DUMMYFUNCTION("""COMPUTED_VALUE"""),"")</f>
        <v/>
      </c>
      <c r="U1939" s="16" t="s">
        <v>87</v>
      </c>
      <c r="V1939" s="16" t="str">
        <f>IFERROR(__xludf.DUMMYFUNCTION("""COMPUTED_VALUE"""),"")</f>
        <v/>
      </c>
      <c r="W1939" s="16" t="str">
        <f>IFERROR(__xludf.DUMMYFUNCTION("""COMPUTED_VALUE"""),"")</f>
        <v/>
      </c>
      <c r="X1939" s="16" t="str">
        <f>IFERROR(__xludf.DUMMYFUNCTION("""COMPUTED_VALUE"""),"")</f>
        <v/>
      </c>
      <c r="AC1939" s="16" t="str">
        <f>IFERROR(__xludf.DUMMYFUNCTION("""COMPUTED_VALUE"""),"")</f>
        <v/>
      </c>
    </row>
    <row r="1940">
      <c r="A1940" s="16" t="s">
        <v>87</v>
      </c>
      <c r="E1940" s="16" t="str">
        <f>IFERROR(__xludf.DUMMYFUNCTION("""COMPUTED_VALUE"""),"")</f>
        <v/>
      </c>
      <c r="G1940" s="18"/>
      <c r="H1940" s="16" t="s">
        <v>87</v>
      </c>
      <c r="I1940" s="16" t="s">
        <v>87</v>
      </c>
      <c r="J1940" s="19"/>
      <c r="L1940" s="16" t="str">
        <f>IFERROR(__xludf.DUMMYFUNCTION("""COMPUTED_VALUE"""),"")</f>
        <v/>
      </c>
      <c r="M1940" s="16" t="str">
        <f>IFERROR(__xludf.DUMMYFUNCTION("""COMPUTED_VALUE"""),"")</f>
        <v/>
      </c>
      <c r="U1940" s="16" t="s">
        <v>87</v>
      </c>
      <c r="V1940" s="16" t="str">
        <f>IFERROR(__xludf.DUMMYFUNCTION("""COMPUTED_VALUE"""),"")</f>
        <v/>
      </c>
      <c r="W1940" s="16" t="str">
        <f>IFERROR(__xludf.DUMMYFUNCTION("""COMPUTED_VALUE"""),"")</f>
        <v/>
      </c>
      <c r="X1940" s="16" t="str">
        <f>IFERROR(__xludf.DUMMYFUNCTION("""COMPUTED_VALUE"""),"")</f>
        <v/>
      </c>
      <c r="AC1940" s="16" t="str">
        <f>IFERROR(__xludf.DUMMYFUNCTION("""COMPUTED_VALUE"""),"")</f>
        <v/>
      </c>
    </row>
    <row r="1941">
      <c r="A1941" s="16" t="s">
        <v>87</v>
      </c>
      <c r="E1941" s="16" t="str">
        <f>IFERROR(__xludf.DUMMYFUNCTION("""COMPUTED_VALUE"""),"")</f>
        <v/>
      </c>
      <c r="G1941" s="18"/>
      <c r="H1941" s="16" t="s">
        <v>87</v>
      </c>
      <c r="I1941" s="16" t="s">
        <v>87</v>
      </c>
      <c r="J1941" s="19"/>
      <c r="L1941" s="16" t="str">
        <f>IFERROR(__xludf.DUMMYFUNCTION("""COMPUTED_VALUE"""),"")</f>
        <v/>
      </c>
      <c r="M1941" s="16" t="str">
        <f>IFERROR(__xludf.DUMMYFUNCTION("""COMPUTED_VALUE"""),"")</f>
        <v/>
      </c>
      <c r="U1941" s="16" t="s">
        <v>87</v>
      </c>
      <c r="V1941" s="16" t="str">
        <f>IFERROR(__xludf.DUMMYFUNCTION("""COMPUTED_VALUE"""),"")</f>
        <v/>
      </c>
      <c r="W1941" s="16" t="str">
        <f>IFERROR(__xludf.DUMMYFUNCTION("""COMPUTED_VALUE"""),"")</f>
        <v/>
      </c>
      <c r="X1941" s="16" t="str">
        <f>IFERROR(__xludf.DUMMYFUNCTION("""COMPUTED_VALUE"""),"")</f>
        <v/>
      </c>
      <c r="AC1941" s="16" t="str">
        <f>IFERROR(__xludf.DUMMYFUNCTION("""COMPUTED_VALUE"""),"")</f>
        <v/>
      </c>
    </row>
    <row r="1942">
      <c r="A1942" s="16" t="s">
        <v>87</v>
      </c>
      <c r="E1942" s="16" t="str">
        <f>IFERROR(__xludf.DUMMYFUNCTION("""COMPUTED_VALUE"""),"")</f>
        <v/>
      </c>
      <c r="G1942" s="18"/>
      <c r="H1942" s="16" t="s">
        <v>87</v>
      </c>
      <c r="I1942" s="16" t="s">
        <v>87</v>
      </c>
      <c r="J1942" s="19"/>
      <c r="L1942" s="16" t="str">
        <f>IFERROR(__xludf.DUMMYFUNCTION("""COMPUTED_VALUE"""),"")</f>
        <v/>
      </c>
      <c r="M1942" s="16" t="str">
        <f>IFERROR(__xludf.DUMMYFUNCTION("""COMPUTED_VALUE"""),"")</f>
        <v/>
      </c>
      <c r="U1942" s="16" t="s">
        <v>87</v>
      </c>
      <c r="V1942" s="16" t="str">
        <f>IFERROR(__xludf.DUMMYFUNCTION("""COMPUTED_VALUE"""),"")</f>
        <v/>
      </c>
      <c r="W1942" s="16" t="str">
        <f>IFERROR(__xludf.DUMMYFUNCTION("""COMPUTED_VALUE"""),"")</f>
        <v/>
      </c>
      <c r="X1942" s="16" t="str">
        <f>IFERROR(__xludf.DUMMYFUNCTION("""COMPUTED_VALUE"""),"")</f>
        <v/>
      </c>
      <c r="AC1942" s="16" t="str">
        <f>IFERROR(__xludf.DUMMYFUNCTION("""COMPUTED_VALUE"""),"")</f>
        <v/>
      </c>
    </row>
    <row r="1943">
      <c r="A1943" s="16" t="s">
        <v>87</v>
      </c>
      <c r="E1943" s="16" t="str">
        <f>IFERROR(__xludf.DUMMYFUNCTION("""COMPUTED_VALUE"""),"")</f>
        <v/>
      </c>
      <c r="G1943" s="18"/>
      <c r="H1943" s="16" t="s">
        <v>87</v>
      </c>
      <c r="I1943" s="16" t="s">
        <v>87</v>
      </c>
      <c r="J1943" s="19"/>
      <c r="L1943" s="16" t="str">
        <f>IFERROR(__xludf.DUMMYFUNCTION("""COMPUTED_VALUE"""),"")</f>
        <v/>
      </c>
      <c r="M1943" s="16" t="str">
        <f>IFERROR(__xludf.DUMMYFUNCTION("""COMPUTED_VALUE"""),"")</f>
        <v/>
      </c>
      <c r="U1943" s="16" t="s">
        <v>87</v>
      </c>
      <c r="V1943" s="16" t="str">
        <f>IFERROR(__xludf.DUMMYFUNCTION("""COMPUTED_VALUE"""),"")</f>
        <v/>
      </c>
      <c r="W1943" s="16" t="str">
        <f>IFERROR(__xludf.DUMMYFUNCTION("""COMPUTED_VALUE"""),"")</f>
        <v/>
      </c>
      <c r="X1943" s="16" t="str">
        <f>IFERROR(__xludf.DUMMYFUNCTION("""COMPUTED_VALUE"""),"")</f>
        <v/>
      </c>
      <c r="AC1943" s="16" t="str">
        <f>IFERROR(__xludf.DUMMYFUNCTION("""COMPUTED_VALUE"""),"")</f>
        <v/>
      </c>
    </row>
    <row r="1944">
      <c r="A1944" s="16" t="s">
        <v>87</v>
      </c>
      <c r="E1944" s="16" t="str">
        <f>IFERROR(__xludf.DUMMYFUNCTION("""COMPUTED_VALUE"""),"")</f>
        <v/>
      </c>
      <c r="G1944" s="18"/>
      <c r="H1944" s="16" t="s">
        <v>87</v>
      </c>
      <c r="I1944" s="16" t="s">
        <v>87</v>
      </c>
      <c r="J1944" s="19"/>
      <c r="L1944" s="16" t="str">
        <f>IFERROR(__xludf.DUMMYFUNCTION("""COMPUTED_VALUE"""),"")</f>
        <v/>
      </c>
      <c r="M1944" s="16" t="str">
        <f>IFERROR(__xludf.DUMMYFUNCTION("""COMPUTED_VALUE"""),"")</f>
        <v/>
      </c>
      <c r="U1944" s="16" t="s">
        <v>87</v>
      </c>
      <c r="V1944" s="16" t="str">
        <f>IFERROR(__xludf.DUMMYFUNCTION("""COMPUTED_VALUE"""),"")</f>
        <v/>
      </c>
      <c r="W1944" s="16" t="str">
        <f>IFERROR(__xludf.DUMMYFUNCTION("""COMPUTED_VALUE"""),"")</f>
        <v/>
      </c>
      <c r="X1944" s="16" t="str">
        <f>IFERROR(__xludf.DUMMYFUNCTION("""COMPUTED_VALUE"""),"")</f>
        <v/>
      </c>
      <c r="AC1944" s="16" t="str">
        <f>IFERROR(__xludf.DUMMYFUNCTION("""COMPUTED_VALUE"""),"")</f>
        <v/>
      </c>
    </row>
    <row r="1945">
      <c r="A1945" s="16" t="s">
        <v>87</v>
      </c>
      <c r="E1945" s="16" t="str">
        <f>IFERROR(__xludf.DUMMYFUNCTION("""COMPUTED_VALUE"""),"")</f>
        <v/>
      </c>
      <c r="G1945" s="18"/>
      <c r="H1945" s="16" t="s">
        <v>87</v>
      </c>
      <c r="I1945" s="16" t="s">
        <v>87</v>
      </c>
      <c r="J1945" s="19"/>
      <c r="L1945" s="16" t="str">
        <f>IFERROR(__xludf.DUMMYFUNCTION("""COMPUTED_VALUE"""),"")</f>
        <v/>
      </c>
      <c r="M1945" s="16" t="str">
        <f>IFERROR(__xludf.DUMMYFUNCTION("""COMPUTED_VALUE"""),"")</f>
        <v/>
      </c>
      <c r="U1945" s="16" t="s">
        <v>87</v>
      </c>
      <c r="V1945" s="16" t="str">
        <f>IFERROR(__xludf.DUMMYFUNCTION("""COMPUTED_VALUE"""),"")</f>
        <v/>
      </c>
      <c r="W1945" s="16" t="str">
        <f>IFERROR(__xludf.DUMMYFUNCTION("""COMPUTED_VALUE"""),"")</f>
        <v/>
      </c>
      <c r="X1945" s="16" t="str">
        <f>IFERROR(__xludf.DUMMYFUNCTION("""COMPUTED_VALUE"""),"")</f>
        <v/>
      </c>
      <c r="AC1945" s="16" t="str">
        <f>IFERROR(__xludf.DUMMYFUNCTION("""COMPUTED_VALUE"""),"")</f>
        <v/>
      </c>
    </row>
    <row r="1946">
      <c r="A1946" s="16" t="s">
        <v>87</v>
      </c>
      <c r="E1946" s="16" t="str">
        <f>IFERROR(__xludf.DUMMYFUNCTION("""COMPUTED_VALUE"""),"")</f>
        <v/>
      </c>
      <c r="G1946" s="18"/>
      <c r="H1946" s="16" t="s">
        <v>87</v>
      </c>
      <c r="I1946" s="16" t="s">
        <v>87</v>
      </c>
      <c r="J1946" s="19"/>
      <c r="L1946" s="16" t="str">
        <f>IFERROR(__xludf.DUMMYFUNCTION("""COMPUTED_VALUE"""),"")</f>
        <v/>
      </c>
      <c r="M1946" s="16" t="str">
        <f>IFERROR(__xludf.DUMMYFUNCTION("""COMPUTED_VALUE"""),"")</f>
        <v/>
      </c>
      <c r="U1946" s="16" t="s">
        <v>87</v>
      </c>
      <c r="V1946" s="16" t="str">
        <f>IFERROR(__xludf.DUMMYFUNCTION("""COMPUTED_VALUE"""),"")</f>
        <v/>
      </c>
      <c r="W1946" s="16" t="str">
        <f>IFERROR(__xludf.DUMMYFUNCTION("""COMPUTED_VALUE"""),"")</f>
        <v/>
      </c>
      <c r="X1946" s="16" t="str">
        <f>IFERROR(__xludf.DUMMYFUNCTION("""COMPUTED_VALUE"""),"")</f>
        <v/>
      </c>
      <c r="AC1946" s="16" t="str">
        <f>IFERROR(__xludf.DUMMYFUNCTION("""COMPUTED_VALUE"""),"")</f>
        <v/>
      </c>
    </row>
    <row r="1947">
      <c r="A1947" s="16" t="s">
        <v>87</v>
      </c>
      <c r="E1947" s="16" t="str">
        <f>IFERROR(__xludf.DUMMYFUNCTION("""COMPUTED_VALUE"""),"")</f>
        <v/>
      </c>
      <c r="G1947" s="18"/>
      <c r="H1947" s="16" t="s">
        <v>87</v>
      </c>
      <c r="I1947" s="16" t="s">
        <v>87</v>
      </c>
      <c r="J1947" s="19"/>
      <c r="L1947" s="16" t="str">
        <f>IFERROR(__xludf.DUMMYFUNCTION("""COMPUTED_VALUE"""),"")</f>
        <v/>
      </c>
      <c r="M1947" s="16" t="str">
        <f>IFERROR(__xludf.DUMMYFUNCTION("""COMPUTED_VALUE"""),"")</f>
        <v/>
      </c>
      <c r="U1947" s="16" t="s">
        <v>87</v>
      </c>
      <c r="V1947" s="16" t="str">
        <f>IFERROR(__xludf.DUMMYFUNCTION("""COMPUTED_VALUE"""),"")</f>
        <v/>
      </c>
      <c r="W1947" s="16" t="str">
        <f>IFERROR(__xludf.DUMMYFUNCTION("""COMPUTED_VALUE"""),"")</f>
        <v/>
      </c>
      <c r="X1947" s="16" t="str">
        <f>IFERROR(__xludf.DUMMYFUNCTION("""COMPUTED_VALUE"""),"")</f>
        <v/>
      </c>
      <c r="AC1947" s="16" t="str">
        <f>IFERROR(__xludf.DUMMYFUNCTION("""COMPUTED_VALUE"""),"")</f>
        <v/>
      </c>
    </row>
    <row r="1948">
      <c r="A1948" s="16" t="s">
        <v>87</v>
      </c>
      <c r="E1948" s="16" t="str">
        <f>IFERROR(__xludf.DUMMYFUNCTION("""COMPUTED_VALUE"""),"")</f>
        <v/>
      </c>
      <c r="G1948" s="18"/>
      <c r="H1948" s="16" t="s">
        <v>87</v>
      </c>
      <c r="I1948" s="16" t="s">
        <v>87</v>
      </c>
      <c r="J1948" s="19"/>
      <c r="L1948" s="16" t="str">
        <f>IFERROR(__xludf.DUMMYFUNCTION("""COMPUTED_VALUE"""),"")</f>
        <v/>
      </c>
      <c r="M1948" s="16" t="str">
        <f>IFERROR(__xludf.DUMMYFUNCTION("""COMPUTED_VALUE"""),"")</f>
        <v/>
      </c>
      <c r="U1948" s="16" t="s">
        <v>87</v>
      </c>
      <c r="V1948" s="16" t="str">
        <f>IFERROR(__xludf.DUMMYFUNCTION("""COMPUTED_VALUE"""),"")</f>
        <v/>
      </c>
      <c r="W1948" s="16" t="str">
        <f>IFERROR(__xludf.DUMMYFUNCTION("""COMPUTED_VALUE"""),"")</f>
        <v/>
      </c>
      <c r="X1948" s="16" t="str">
        <f>IFERROR(__xludf.DUMMYFUNCTION("""COMPUTED_VALUE"""),"")</f>
        <v/>
      </c>
      <c r="AC1948" s="16" t="str">
        <f>IFERROR(__xludf.DUMMYFUNCTION("""COMPUTED_VALUE"""),"")</f>
        <v/>
      </c>
    </row>
    <row r="1949">
      <c r="A1949" s="16" t="s">
        <v>87</v>
      </c>
      <c r="E1949" s="16" t="str">
        <f>IFERROR(__xludf.DUMMYFUNCTION("""COMPUTED_VALUE"""),"")</f>
        <v/>
      </c>
      <c r="G1949" s="18"/>
      <c r="H1949" s="16" t="s">
        <v>87</v>
      </c>
      <c r="I1949" s="16" t="s">
        <v>87</v>
      </c>
      <c r="J1949" s="19"/>
      <c r="L1949" s="16" t="str">
        <f>IFERROR(__xludf.DUMMYFUNCTION("""COMPUTED_VALUE"""),"")</f>
        <v/>
      </c>
      <c r="M1949" s="16" t="str">
        <f>IFERROR(__xludf.DUMMYFUNCTION("""COMPUTED_VALUE"""),"")</f>
        <v/>
      </c>
      <c r="U1949" s="16" t="s">
        <v>87</v>
      </c>
      <c r="V1949" s="16" t="str">
        <f>IFERROR(__xludf.DUMMYFUNCTION("""COMPUTED_VALUE"""),"")</f>
        <v/>
      </c>
      <c r="W1949" s="16" t="str">
        <f>IFERROR(__xludf.DUMMYFUNCTION("""COMPUTED_VALUE"""),"")</f>
        <v/>
      </c>
      <c r="X1949" s="16" t="str">
        <f>IFERROR(__xludf.DUMMYFUNCTION("""COMPUTED_VALUE"""),"")</f>
        <v/>
      </c>
      <c r="AC1949" s="16" t="str">
        <f>IFERROR(__xludf.DUMMYFUNCTION("""COMPUTED_VALUE"""),"")</f>
        <v/>
      </c>
    </row>
    <row r="1950">
      <c r="A1950" s="16" t="s">
        <v>87</v>
      </c>
      <c r="E1950" s="16" t="str">
        <f>IFERROR(__xludf.DUMMYFUNCTION("""COMPUTED_VALUE"""),"")</f>
        <v/>
      </c>
      <c r="G1950" s="18"/>
      <c r="H1950" s="16" t="s">
        <v>87</v>
      </c>
      <c r="I1950" s="16" t="s">
        <v>87</v>
      </c>
      <c r="J1950" s="19"/>
      <c r="L1950" s="16" t="str">
        <f>IFERROR(__xludf.DUMMYFUNCTION("""COMPUTED_VALUE"""),"")</f>
        <v/>
      </c>
      <c r="M1950" s="16" t="str">
        <f>IFERROR(__xludf.DUMMYFUNCTION("""COMPUTED_VALUE"""),"")</f>
        <v/>
      </c>
      <c r="U1950" s="16" t="s">
        <v>87</v>
      </c>
      <c r="V1950" s="16" t="str">
        <f>IFERROR(__xludf.DUMMYFUNCTION("""COMPUTED_VALUE"""),"")</f>
        <v/>
      </c>
      <c r="W1950" s="16" t="str">
        <f>IFERROR(__xludf.DUMMYFUNCTION("""COMPUTED_VALUE"""),"")</f>
        <v/>
      </c>
      <c r="X1950" s="16" t="str">
        <f>IFERROR(__xludf.DUMMYFUNCTION("""COMPUTED_VALUE"""),"")</f>
        <v/>
      </c>
      <c r="AC1950" s="16" t="str">
        <f>IFERROR(__xludf.DUMMYFUNCTION("""COMPUTED_VALUE"""),"")</f>
        <v/>
      </c>
    </row>
    <row r="1951">
      <c r="A1951" s="16" t="s">
        <v>87</v>
      </c>
      <c r="E1951" s="16" t="str">
        <f>IFERROR(__xludf.DUMMYFUNCTION("""COMPUTED_VALUE"""),"")</f>
        <v/>
      </c>
      <c r="G1951" s="18"/>
      <c r="H1951" s="16" t="s">
        <v>87</v>
      </c>
      <c r="I1951" s="16" t="s">
        <v>87</v>
      </c>
      <c r="J1951" s="19"/>
      <c r="L1951" s="16" t="str">
        <f>IFERROR(__xludf.DUMMYFUNCTION("""COMPUTED_VALUE"""),"")</f>
        <v/>
      </c>
      <c r="M1951" s="16" t="str">
        <f>IFERROR(__xludf.DUMMYFUNCTION("""COMPUTED_VALUE"""),"")</f>
        <v/>
      </c>
      <c r="U1951" s="16" t="s">
        <v>87</v>
      </c>
      <c r="V1951" s="16" t="str">
        <f>IFERROR(__xludf.DUMMYFUNCTION("""COMPUTED_VALUE"""),"")</f>
        <v/>
      </c>
      <c r="W1951" s="16" t="str">
        <f>IFERROR(__xludf.DUMMYFUNCTION("""COMPUTED_VALUE"""),"")</f>
        <v/>
      </c>
      <c r="X1951" s="16" t="str">
        <f>IFERROR(__xludf.DUMMYFUNCTION("""COMPUTED_VALUE"""),"")</f>
        <v/>
      </c>
      <c r="AC1951" s="16" t="str">
        <f>IFERROR(__xludf.DUMMYFUNCTION("""COMPUTED_VALUE"""),"")</f>
        <v/>
      </c>
    </row>
    <row r="1952">
      <c r="A1952" s="16" t="s">
        <v>87</v>
      </c>
      <c r="E1952" s="16" t="str">
        <f>IFERROR(__xludf.DUMMYFUNCTION("""COMPUTED_VALUE"""),"")</f>
        <v/>
      </c>
      <c r="G1952" s="18"/>
      <c r="H1952" s="16" t="s">
        <v>87</v>
      </c>
      <c r="I1952" s="16" t="s">
        <v>87</v>
      </c>
      <c r="J1952" s="19"/>
      <c r="L1952" s="16" t="str">
        <f>IFERROR(__xludf.DUMMYFUNCTION("""COMPUTED_VALUE"""),"")</f>
        <v/>
      </c>
      <c r="M1952" s="16" t="str">
        <f>IFERROR(__xludf.DUMMYFUNCTION("""COMPUTED_VALUE"""),"")</f>
        <v/>
      </c>
      <c r="U1952" s="16" t="s">
        <v>87</v>
      </c>
      <c r="V1952" s="16" t="str">
        <f>IFERROR(__xludf.DUMMYFUNCTION("""COMPUTED_VALUE"""),"")</f>
        <v/>
      </c>
      <c r="W1952" s="16" t="str">
        <f>IFERROR(__xludf.DUMMYFUNCTION("""COMPUTED_VALUE"""),"")</f>
        <v/>
      </c>
      <c r="X1952" s="16" t="str">
        <f>IFERROR(__xludf.DUMMYFUNCTION("""COMPUTED_VALUE"""),"")</f>
        <v/>
      </c>
      <c r="AC1952" s="16" t="str">
        <f>IFERROR(__xludf.DUMMYFUNCTION("""COMPUTED_VALUE"""),"")</f>
        <v/>
      </c>
    </row>
    <row r="1953">
      <c r="A1953" s="16" t="s">
        <v>87</v>
      </c>
      <c r="E1953" s="16" t="str">
        <f>IFERROR(__xludf.DUMMYFUNCTION("""COMPUTED_VALUE"""),"")</f>
        <v/>
      </c>
      <c r="G1953" s="18"/>
      <c r="H1953" s="16" t="s">
        <v>87</v>
      </c>
      <c r="I1953" s="16" t="s">
        <v>87</v>
      </c>
      <c r="J1953" s="19"/>
      <c r="L1953" s="16" t="str">
        <f>IFERROR(__xludf.DUMMYFUNCTION("""COMPUTED_VALUE"""),"")</f>
        <v/>
      </c>
      <c r="M1953" s="16" t="str">
        <f>IFERROR(__xludf.DUMMYFUNCTION("""COMPUTED_VALUE"""),"")</f>
        <v/>
      </c>
      <c r="U1953" s="16" t="s">
        <v>87</v>
      </c>
      <c r="V1953" s="16" t="str">
        <f>IFERROR(__xludf.DUMMYFUNCTION("""COMPUTED_VALUE"""),"")</f>
        <v/>
      </c>
      <c r="W1953" s="16" t="str">
        <f>IFERROR(__xludf.DUMMYFUNCTION("""COMPUTED_VALUE"""),"")</f>
        <v/>
      </c>
      <c r="X1953" s="16" t="str">
        <f>IFERROR(__xludf.DUMMYFUNCTION("""COMPUTED_VALUE"""),"")</f>
        <v/>
      </c>
      <c r="AC1953" s="16" t="str">
        <f>IFERROR(__xludf.DUMMYFUNCTION("""COMPUTED_VALUE"""),"")</f>
        <v/>
      </c>
    </row>
    <row r="1954">
      <c r="A1954" s="16" t="s">
        <v>87</v>
      </c>
      <c r="E1954" s="16" t="str">
        <f>IFERROR(__xludf.DUMMYFUNCTION("""COMPUTED_VALUE"""),"")</f>
        <v/>
      </c>
      <c r="G1954" s="18"/>
      <c r="H1954" s="16" t="s">
        <v>87</v>
      </c>
      <c r="I1954" s="16" t="s">
        <v>87</v>
      </c>
      <c r="J1954" s="19"/>
      <c r="L1954" s="16" t="str">
        <f>IFERROR(__xludf.DUMMYFUNCTION("""COMPUTED_VALUE"""),"")</f>
        <v/>
      </c>
      <c r="M1954" s="16" t="str">
        <f>IFERROR(__xludf.DUMMYFUNCTION("""COMPUTED_VALUE"""),"")</f>
        <v/>
      </c>
      <c r="U1954" s="16" t="s">
        <v>87</v>
      </c>
      <c r="V1954" s="16" t="str">
        <f>IFERROR(__xludf.DUMMYFUNCTION("""COMPUTED_VALUE"""),"")</f>
        <v/>
      </c>
      <c r="W1954" s="16" t="str">
        <f>IFERROR(__xludf.DUMMYFUNCTION("""COMPUTED_VALUE"""),"")</f>
        <v/>
      </c>
      <c r="X1954" s="16" t="str">
        <f>IFERROR(__xludf.DUMMYFUNCTION("""COMPUTED_VALUE"""),"")</f>
        <v/>
      </c>
      <c r="AC1954" s="16" t="str">
        <f>IFERROR(__xludf.DUMMYFUNCTION("""COMPUTED_VALUE"""),"")</f>
        <v/>
      </c>
    </row>
    <row r="1955">
      <c r="A1955" s="16" t="s">
        <v>87</v>
      </c>
      <c r="E1955" s="16" t="str">
        <f>IFERROR(__xludf.DUMMYFUNCTION("""COMPUTED_VALUE"""),"")</f>
        <v/>
      </c>
      <c r="G1955" s="18"/>
      <c r="H1955" s="16" t="s">
        <v>87</v>
      </c>
      <c r="I1955" s="16" t="s">
        <v>87</v>
      </c>
      <c r="J1955" s="19"/>
      <c r="L1955" s="16" t="str">
        <f>IFERROR(__xludf.DUMMYFUNCTION("""COMPUTED_VALUE"""),"")</f>
        <v/>
      </c>
      <c r="M1955" s="16" t="str">
        <f>IFERROR(__xludf.DUMMYFUNCTION("""COMPUTED_VALUE"""),"")</f>
        <v/>
      </c>
      <c r="U1955" s="16" t="s">
        <v>87</v>
      </c>
      <c r="V1955" s="16" t="str">
        <f>IFERROR(__xludf.DUMMYFUNCTION("""COMPUTED_VALUE"""),"")</f>
        <v/>
      </c>
      <c r="W1955" s="16" t="str">
        <f>IFERROR(__xludf.DUMMYFUNCTION("""COMPUTED_VALUE"""),"")</f>
        <v/>
      </c>
      <c r="X1955" s="16" t="str">
        <f>IFERROR(__xludf.DUMMYFUNCTION("""COMPUTED_VALUE"""),"")</f>
        <v/>
      </c>
      <c r="AC1955" s="16" t="str">
        <f>IFERROR(__xludf.DUMMYFUNCTION("""COMPUTED_VALUE"""),"")</f>
        <v/>
      </c>
    </row>
    <row r="1956">
      <c r="A1956" s="16" t="s">
        <v>87</v>
      </c>
      <c r="E1956" s="16" t="str">
        <f>IFERROR(__xludf.DUMMYFUNCTION("""COMPUTED_VALUE"""),"")</f>
        <v/>
      </c>
      <c r="G1956" s="18"/>
      <c r="H1956" s="16" t="s">
        <v>87</v>
      </c>
      <c r="I1956" s="16" t="s">
        <v>87</v>
      </c>
      <c r="J1956" s="19"/>
      <c r="L1956" s="16" t="str">
        <f>IFERROR(__xludf.DUMMYFUNCTION("""COMPUTED_VALUE"""),"")</f>
        <v/>
      </c>
      <c r="M1956" s="16" t="str">
        <f>IFERROR(__xludf.DUMMYFUNCTION("""COMPUTED_VALUE"""),"")</f>
        <v/>
      </c>
      <c r="U1956" s="16" t="s">
        <v>87</v>
      </c>
      <c r="V1956" s="16" t="str">
        <f>IFERROR(__xludf.DUMMYFUNCTION("""COMPUTED_VALUE"""),"")</f>
        <v/>
      </c>
      <c r="W1956" s="16" t="str">
        <f>IFERROR(__xludf.DUMMYFUNCTION("""COMPUTED_VALUE"""),"")</f>
        <v/>
      </c>
      <c r="X1956" s="16" t="str">
        <f>IFERROR(__xludf.DUMMYFUNCTION("""COMPUTED_VALUE"""),"")</f>
        <v/>
      </c>
      <c r="AC1956" s="16" t="str">
        <f>IFERROR(__xludf.DUMMYFUNCTION("""COMPUTED_VALUE"""),"")</f>
        <v/>
      </c>
    </row>
    <row r="1957">
      <c r="A1957" s="16" t="s">
        <v>87</v>
      </c>
      <c r="E1957" s="16" t="str">
        <f>IFERROR(__xludf.DUMMYFUNCTION("""COMPUTED_VALUE"""),"")</f>
        <v/>
      </c>
      <c r="G1957" s="18"/>
      <c r="H1957" s="16" t="s">
        <v>87</v>
      </c>
      <c r="I1957" s="16" t="s">
        <v>87</v>
      </c>
      <c r="J1957" s="19"/>
      <c r="L1957" s="16" t="str">
        <f>IFERROR(__xludf.DUMMYFUNCTION("""COMPUTED_VALUE"""),"")</f>
        <v/>
      </c>
      <c r="M1957" s="16" t="str">
        <f>IFERROR(__xludf.DUMMYFUNCTION("""COMPUTED_VALUE"""),"")</f>
        <v/>
      </c>
      <c r="U1957" s="16" t="s">
        <v>87</v>
      </c>
      <c r="V1957" s="16" t="str">
        <f>IFERROR(__xludf.DUMMYFUNCTION("""COMPUTED_VALUE"""),"")</f>
        <v/>
      </c>
      <c r="W1957" s="16" t="str">
        <f>IFERROR(__xludf.DUMMYFUNCTION("""COMPUTED_VALUE"""),"")</f>
        <v/>
      </c>
      <c r="X1957" s="16" t="str">
        <f>IFERROR(__xludf.DUMMYFUNCTION("""COMPUTED_VALUE"""),"")</f>
        <v/>
      </c>
      <c r="AC1957" s="16" t="str">
        <f>IFERROR(__xludf.DUMMYFUNCTION("""COMPUTED_VALUE"""),"")</f>
        <v/>
      </c>
    </row>
    <row r="1958">
      <c r="A1958" s="16" t="s">
        <v>87</v>
      </c>
      <c r="E1958" s="16" t="str">
        <f>IFERROR(__xludf.DUMMYFUNCTION("""COMPUTED_VALUE"""),"")</f>
        <v/>
      </c>
      <c r="G1958" s="18"/>
      <c r="H1958" s="16" t="s">
        <v>87</v>
      </c>
      <c r="I1958" s="16" t="s">
        <v>87</v>
      </c>
      <c r="J1958" s="19"/>
      <c r="L1958" s="16" t="str">
        <f>IFERROR(__xludf.DUMMYFUNCTION("""COMPUTED_VALUE"""),"")</f>
        <v/>
      </c>
      <c r="M1958" s="16" t="str">
        <f>IFERROR(__xludf.DUMMYFUNCTION("""COMPUTED_VALUE"""),"")</f>
        <v/>
      </c>
      <c r="U1958" s="16" t="s">
        <v>87</v>
      </c>
      <c r="V1958" s="16" t="str">
        <f>IFERROR(__xludf.DUMMYFUNCTION("""COMPUTED_VALUE"""),"")</f>
        <v/>
      </c>
      <c r="W1958" s="16" t="str">
        <f>IFERROR(__xludf.DUMMYFUNCTION("""COMPUTED_VALUE"""),"")</f>
        <v/>
      </c>
      <c r="X1958" s="16" t="str">
        <f>IFERROR(__xludf.DUMMYFUNCTION("""COMPUTED_VALUE"""),"")</f>
        <v/>
      </c>
      <c r="AC1958" s="16" t="str">
        <f>IFERROR(__xludf.DUMMYFUNCTION("""COMPUTED_VALUE"""),"")</f>
        <v/>
      </c>
    </row>
    <row r="1959">
      <c r="A1959" s="16" t="s">
        <v>87</v>
      </c>
      <c r="E1959" s="16" t="str">
        <f>IFERROR(__xludf.DUMMYFUNCTION("""COMPUTED_VALUE"""),"")</f>
        <v/>
      </c>
      <c r="G1959" s="18"/>
      <c r="H1959" s="16" t="s">
        <v>87</v>
      </c>
      <c r="I1959" s="16" t="s">
        <v>87</v>
      </c>
      <c r="J1959" s="19"/>
      <c r="L1959" s="16" t="str">
        <f>IFERROR(__xludf.DUMMYFUNCTION("""COMPUTED_VALUE"""),"")</f>
        <v/>
      </c>
      <c r="M1959" s="16" t="str">
        <f>IFERROR(__xludf.DUMMYFUNCTION("""COMPUTED_VALUE"""),"")</f>
        <v/>
      </c>
      <c r="U1959" s="16" t="s">
        <v>87</v>
      </c>
      <c r="V1959" s="16" t="str">
        <f>IFERROR(__xludf.DUMMYFUNCTION("""COMPUTED_VALUE"""),"")</f>
        <v/>
      </c>
      <c r="W1959" s="16" t="str">
        <f>IFERROR(__xludf.DUMMYFUNCTION("""COMPUTED_VALUE"""),"")</f>
        <v/>
      </c>
      <c r="X1959" s="16" t="str">
        <f>IFERROR(__xludf.DUMMYFUNCTION("""COMPUTED_VALUE"""),"")</f>
        <v/>
      </c>
      <c r="AC1959" s="16" t="str">
        <f>IFERROR(__xludf.DUMMYFUNCTION("""COMPUTED_VALUE"""),"")</f>
        <v/>
      </c>
    </row>
    <row r="1960">
      <c r="A1960" s="16" t="s">
        <v>87</v>
      </c>
      <c r="E1960" s="16" t="str">
        <f>IFERROR(__xludf.DUMMYFUNCTION("""COMPUTED_VALUE"""),"")</f>
        <v/>
      </c>
      <c r="G1960" s="18"/>
      <c r="H1960" s="16" t="s">
        <v>87</v>
      </c>
      <c r="I1960" s="16" t="s">
        <v>87</v>
      </c>
      <c r="J1960" s="19"/>
      <c r="L1960" s="16" t="str">
        <f>IFERROR(__xludf.DUMMYFUNCTION("""COMPUTED_VALUE"""),"")</f>
        <v/>
      </c>
      <c r="M1960" s="16" t="str">
        <f>IFERROR(__xludf.DUMMYFUNCTION("""COMPUTED_VALUE"""),"")</f>
        <v/>
      </c>
      <c r="U1960" s="16" t="s">
        <v>87</v>
      </c>
      <c r="V1960" s="16" t="str">
        <f>IFERROR(__xludf.DUMMYFUNCTION("""COMPUTED_VALUE"""),"")</f>
        <v/>
      </c>
      <c r="W1960" s="16" t="str">
        <f>IFERROR(__xludf.DUMMYFUNCTION("""COMPUTED_VALUE"""),"")</f>
        <v/>
      </c>
      <c r="X1960" s="16" t="str">
        <f>IFERROR(__xludf.DUMMYFUNCTION("""COMPUTED_VALUE"""),"")</f>
        <v/>
      </c>
      <c r="AC1960" s="16" t="str">
        <f>IFERROR(__xludf.DUMMYFUNCTION("""COMPUTED_VALUE"""),"")</f>
        <v/>
      </c>
    </row>
    <row r="1961">
      <c r="A1961" s="16" t="s">
        <v>87</v>
      </c>
      <c r="E1961" s="16" t="str">
        <f>IFERROR(__xludf.DUMMYFUNCTION("""COMPUTED_VALUE"""),"")</f>
        <v/>
      </c>
      <c r="G1961" s="18"/>
      <c r="H1961" s="16" t="s">
        <v>87</v>
      </c>
      <c r="I1961" s="16" t="s">
        <v>87</v>
      </c>
      <c r="J1961" s="19"/>
      <c r="L1961" s="16" t="str">
        <f>IFERROR(__xludf.DUMMYFUNCTION("""COMPUTED_VALUE"""),"")</f>
        <v/>
      </c>
      <c r="M1961" s="16" t="str">
        <f>IFERROR(__xludf.DUMMYFUNCTION("""COMPUTED_VALUE"""),"")</f>
        <v/>
      </c>
      <c r="U1961" s="16" t="s">
        <v>87</v>
      </c>
      <c r="V1961" s="16" t="str">
        <f>IFERROR(__xludf.DUMMYFUNCTION("""COMPUTED_VALUE"""),"")</f>
        <v/>
      </c>
      <c r="W1961" s="16" t="str">
        <f>IFERROR(__xludf.DUMMYFUNCTION("""COMPUTED_VALUE"""),"")</f>
        <v/>
      </c>
      <c r="X1961" s="16" t="str">
        <f>IFERROR(__xludf.DUMMYFUNCTION("""COMPUTED_VALUE"""),"")</f>
        <v/>
      </c>
      <c r="AC1961" s="16" t="str">
        <f>IFERROR(__xludf.DUMMYFUNCTION("""COMPUTED_VALUE"""),"")</f>
        <v/>
      </c>
    </row>
    <row r="1962">
      <c r="A1962" s="16" t="s">
        <v>87</v>
      </c>
      <c r="E1962" s="16" t="str">
        <f>IFERROR(__xludf.DUMMYFUNCTION("""COMPUTED_VALUE"""),"")</f>
        <v/>
      </c>
      <c r="G1962" s="18"/>
      <c r="H1962" s="16" t="s">
        <v>87</v>
      </c>
      <c r="I1962" s="16" t="s">
        <v>87</v>
      </c>
      <c r="J1962" s="19"/>
      <c r="L1962" s="16" t="str">
        <f>IFERROR(__xludf.DUMMYFUNCTION("""COMPUTED_VALUE"""),"")</f>
        <v/>
      </c>
      <c r="M1962" s="16" t="str">
        <f>IFERROR(__xludf.DUMMYFUNCTION("""COMPUTED_VALUE"""),"")</f>
        <v/>
      </c>
      <c r="U1962" s="16" t="s">
        <v>87</v>
      </c>
      <c r="V1962" s="16" t="str">
        <f>IFERROR(__xludf.DUMMYFUNCTION("""COMPUTED_VALUE"""),"")</f>
        <v/>
      </c>
      <c r="W1962" s="16" t="str">
        <f>IFERROR(__xludf.DUMMYFUNCTION("""COMPUTED_VALUE"""),"")</f>
        <v/>
      </c>
      <c r="X1962" s="16" t="str">
        <f>IFERROR(__xludf.DUMMYFUNCTION("""COMPUTED_VALUE"""),"")</f>
        <v/>
      </c>
      <c r="AC1962" s="16" t="str">
        <f>IFERROR(__xludf.DUMMYFUNCTION("""COMPUTED_VALUE"""),"")</f>
        <v/>
      </c>
    </row>
    <row r="1963">
      <c r="A1963" s="16" t="s">
        <v>87</v>
      </c>
      <c r="E1963" s="16" t="str">
        <f>IFERROR(__xludf.DUMMYFUNCTION("""COMPUTED_VALUE"""),"")</f>
        <v/>
      </c>
      <c r="G1963" s="18"/>
      <c r="H1963" s="16" t="s">
        <v>87</v>
      </c>
      <c r="I1963" s="16" t="s">
        <v>87</v>
      </c>
      <c r="J1963" s="19"/>
      <c r="L1963" s="16" t="str">
        <f>IFERROR(__xludf.DUMMYFUNCTION("""COMPUTED_VALUE"""),"")</f>
        <v/>
      </c>
      <c r="M1963" s="16" t="str">
        <f>IFERROR(__xludf.DUMMYFUNCTION("""COMPUTED_VALUE"""),"")</f>
        <v/>
      </c>
      <c r="U1963" s="16" t="s">
        <v>87</v>
      </c>
      <c r="V1963" s="16" t="str">
        <f>IFERROR(__xludf.DUMMYFUNCTION("""COMPUTED_VALUE"""),"")</f>
        <v/>
      </c>
      <c r="W1963" s="16" t="str">
        <f>IFERROR(__xludf.DUMMYFUNCTION("""COMPUTED_VALUE"""),"")</f>
        <v/>
      </c>
      <c r="X1963" s="16" t="str">
        <f>IFERROR(__xludf.DUMMYFUNCTION("""COMPUTED_VALUE"""),"")</f>
        <v/>
      </c>
      <c r="AC1963" s="16" t="str">
        <f>IFERROR(__xludf.DUMMYFUNCTION("""COMPUTED_VALUE"""),"")</f>
        <v/>
      </c>
    </row>
    <row r="1964">
      <c r="A1964" s="16" t="s">
        <v>87</v>
      </c>
      <c r="E1964" s="16" t="str">
        <f>IFERROR(__xludf.DUMMYFUNCTION("""COMPUTED_VALUE"""),"")</f>
        <v/>
      </c>
      <c r="G1964" s="18"/>
      <c r="H1964" s="16" t="s">
        <v>87</v>
      </c>
      <c r="I1964" s="16" t="s">
        <v>87</v>
      </c>
      <c r="J1964" s="19"/>
      <c r="L1964" s="16" t="str">
        <f>IFERROR(__xludf.DUMMYFUNCTION("""COMPUTED_VALUE"""),"")</f>
        <v/>
      </c>
      <c r="M1964" s="16" t="str">
        <f>IFERROR(__xludf.DUMMYFUNCTION("""COMPUTED_VALUE"""),"")</f>
        <v/>
      </c>
      <c r="U1964" s="16" t="s">
        <v>87</v>
      </c>
      <c r="V1964" s="16" t="str">
        <f>IFERROR(__xludf.DUMMYFUNCTION("""COMPUTED_VALUE"""),"")</f>
        <v/>
      </c>
      <c r="W1964" s="16" t="str">
        <f>IFERROR(__xludf.DUMMYFUNCTION("""COMPUTED_VALUE"""),"")</f>
        <v/>
      </c>
      <c r="X1964" s="16" t="str">
        <f>IFERROR(__xludf.DUMMYFUNCTION("""COMPUTED_VALUE"""),"")</f>
        <v/>
      </c>
      <c r="AC1964" s="16" t="str">
        <f>IFERROR(__xludf.DUMMYFUNCTION("""COMPUTED_VALUE"""),"")</f>
        <v/>
      </c>
    </row>
    <row r="1965">
      <c r="A1965" s="16" t="s">
        <v>87</v>
      </c>
      <c r="E1965" s="16" t="str">
        <f>IFERROR(__xludf.DUMMYFUNCTION("""COMPUTED_VALUE"""),"")</f>
        <v/>
      </c>
      <c r="G1965" s="18"/>
      <c r="H1965" s="16" t="s">
        <v>87</v>
      </c>
      <c r="I1965" s="16" t="s">
        <v>87</v>
      </c>
      <c r="J1965" s="19"/>
      <c r="L1965" s="16" t="str">
        <f>IFERROR(__xludf.DUMMYFUNCTION("""COMPUTED_VALUE"""),"")</f>
        <v/>
      </c>
      <c r="M1965" s="16" t="str">
        <f>IFERROR(__xludf.DUMMYFUNCTION("""COMPUTED_VALUE"""),"")</f>
        <v/>
      </c>
      <c r="U1965" s="16" t="s">
        <v>87</v>
      </c>
      <c r="V1965" s="16" t="str">
        <f>IFERROR(__xludf.DUMMYFUNCTION("""COMPUTED_VALUE"""),"")</f>
        <v/>
      </c>
      <c r="W1965" s="16" t="str">
        <f>IFERROR(__xludf.DUMMYFUNCTION("""COMPUTED_VALUE"""),"")</f>
        <v/>
      </c>
      <c r="X1965" s="16" t="str">
        <f>IFERROR(__xludf.DUMMYFUNCTION("""COMPUTED_VALUE"""),"")</f>
        <v/>
      </c>
      <c r="AC1965" s="16" t="str">
        <f>IFERROR(__xludf.DUMMYFUNCTION("""COMPUTED_VALUE"""),"")</f>
        <v/>
      </c>
    </row>
    <row r="1966">
      <c r="A1966" s="16" t="s">
        <v>87</v>
      </c>
      <c r="E1966" s="16" t="str">
        <f>IFERROR(__xludf.DUMMYFUNCTION("""COMPUTED_VALUE"""),"")</f>
        <v/>
      </c>
      <c r="G1966" s="18"/>
      <c r="H1966" s="16" t="s">
        <v>87</v>
      </c>
      <c r="I1966" s="16" t="s">
        <v>87</v>
      </c>
      <c r="J1966" s="19"/>
      <c r="L1966" s="16" t="str">
        <f>IFERROR(__xludf.DUMMYFUNCTION("""COMPUTED_VALUE"""),"")</f>
        <v/>
      </c>
      <c r="M1966" s="16" t="str">
        <f>IFERROR(__xludf.DUMMYFUNCTION("""COMPUTED_VALUE"""),"")</f>
        <v/>
      </c>
      <c r="U1966" s="16" t="s">
        <v>87</v>
      </c>
      <c r="V1966" s="16" t="str">
        <f>IFERROR(__xludf.DUMMYFUNCTION("""COMPUTED_VALUE"""),"")</f>
        <v/>
      </c>
      <c r="W1966" s="16" t="str">
        <f>IFERROR(__xludf.DUMMYFUNCTION("""COMPUTED_VALUE"""),"")</f>
        <v/>
      </c>
      <c r="X1966" s="16" t="str">
        <f>IFERROR(__xludf.DUMMYFUNCTION("""COMPUTED_VALUE"""),"")</f>
        <v/>
      </c>
      <c r="AC1966" s="16" t="str">
        <f>IFERROR(__xludf.DUMMYFUNCTION("""COMPUTED_VALUE"""),"")</f>
        <v/>
      </c>
    </row>
    <row r="1967">
      <c r="A1967" s="16" t="s">
        <v>87</v>
      </c>
      <c r="E1967" s="16" t="str">
        <f>IFERROR(__xludf.DUMMYFUNCTION("""COMPUTED_VALUE"""),"")</f>
        <v/>
      </c>
      <c r="G1967" s="18"/>
      <c r="H1967" s="16" t="s">
        <v>87</v>
      </c>
      <c r="I1967" s="16" t="s">
        <v>87</v>
      </c>
      <c r="J1967" s="19"/>
      <c r="L1967" s="16" t="str">
        <f>IFERROR(__xludf.DUMMYFUNCTION("""COMPUTED_VALUE"""),"")</f>
        <v/>
      </c>
      <c r="M1967" s="16" t="str">
        <f>IFERROR(__xludf.DUMMYFUNCTION("""COMPUTED_VALUE"""),"")</f>
        <v/>
      </c>
      <c r="U1967" s="16" t="s">
        <v>87</v>
      </c>
      <c r="V1967" s="16" t="str">
        <f>IFERROR(__xludf.DUMMYFUNCTION("""COMPUTED_VALUE"""),"")</f>
        <v/>
      </c>
      <c r="W1967" s="16" t="str">
        <f>IFERROR(__xludf.DUMMYFUNCTION("""COMPUTED_VALUE"""),"")</f>
        <v/>
      </c>
      <c r="X1967" s="16" t="str">
        <f>IFERROR(__xludf.DUMMYFUNCTION("""COMPUTED_VALUE"""),"")</f>
        <v/>
      </c>
      <c r="AC1967" s="16" t="str">
        <f>IFERROR(__xludf.DUMMYFUNCTION("""COMPUTED_VALUE"""),"")</f>
        <v/>
      </c>
    </row>
    <row r="1968">
      <c r="A1968" s="16" t="s">
        <v>87</v>
      </c>
      <c r="E1968" s="16" t="str">
        <f>IFERROR(__xludf.DUMMYFUNCTION("""COMPUTED_VALUE"""),"")</f>
        <v/>
      </c>
      <c r="G1968" s="18"/>
      <c r="H1968" s="16" t="s">
        <v>87</v>
      </c>
      <c r="I1968" s="16" t="s">
        <v>87</v>
      </c>
      <c r="J1968" s="19"/>
      <c r="L1968" s="16" t="str">
        <f>IFERROR(__xludf.DUMMYFUNCTION("""COMPUTED_VALUE"""),"")</f>
        <v/>
      </c>
      <c r="M1968" s="16" t="str">
        <f>IFERROR(__xludf.DUMMYFUNCTION("""COMPUTED_VALUE"""),"")</f>
        <v/>
      </c>
      <c r="U1968" s="16" t="s">
        <v>87</v>
      </c>
      <c r="V1968" s="16" t="str">
        <f>IFERROR(__xludf.DUMMYFUNCTION("""COMPUTED_VALUE"""),"")</f>
        <v/>
      </c>
      <c r="W1968" s="16" t="str">
        <f>IFERROR(__xludf.DUMMYFUNCTION("""COMPUTED_VALUE"""),"")</f>
        <v/>
      </c>
      <c r="X1968" s="16" t="str">
        <f>IFERROR(__xludf.DUMMYFUNCTION("""COMPUTED_VALUE"""),"")</f>
        <v/>
      </c>
      <c r="AC1968" s="16" t="str">
        <f>IFERROR(__xludf.DUMMYFUNCTION("""COMPUTED_VALUE"""),"")</f>
        <v/>
      </c>
    </row>
    <row r="1969">
      <c r="A1969" s="16" t="s">
        <v>87</v>
      </c>
      <c r="E1969" s="16" t="str">
        <f>IFERROR(__xludf.DUMMYFUNCTION("""COMPUTED_VALUE"""),"")</f>
        <v/>
      </c>
      <c r="G1969" s="18"/>
      <c r="H1969" s="16" t="s">
        <v>87</v>
      </c>
      <c r="I1969" s="16" t="s">
        <v>87</v>
      </c>
      <c r="J1969" s="19"/>
      <c r="L1969" s="16" t="str">
        <f>IFERROR(__xludf.DUMMYFUNCTION("""COMPUTED_VALUE"""),"")</f>
        <v/>
      </c>
      <c r="M1969" s="16" t="str">
        <f>IFERROR(__xludf.DUMMYFUNCTION("""COMPUTED_VALUE"""),"")</f>
        <v/>
      </c>
      <c r="U1969" s="16" t="s">
        <v>87</v>
      </c>
      <c r="V1969" s="16" t="str">
        <f>IFERROR(__xludf.DUMMYFUNCTION("""COMPUTED_VALUE"""),"")</f>
        <v/>
      </c>
      <c r="W1969" s="16" t="str">
        <f>IFERROR(__xludf.DUMMYFUNCTION("""COMPUTED_VALUE"""),"")</f>
        <v/>
      </c>
      <c r="X1969" s="16" t="str">
        <f>IFERROR(__xludf.DUMMYFUNCTION("""COMPUTED_VALUE"""),"")</f>
        <v/>
      </c>
      <c r="AC1969" s="16" t="str">
        <f>IFERROR(__xludf.DUMMYFUNCTION("""COMPUTED_VALUE"""),"")</f>
        <v/>
      </c>
    </row>
    <row r="1970">
      <c r="A1970" s="16" t="s">
        <v>87</v>
      </c>
      <c r="E1970" s="16" t="str">
        <f>IFERROR(__xludf.DUMMYFUNCTION("""COMPUTED_VALUE"""),"")</f>
        <v/>
      </c>
      <c r="G1970" s="18"/>
      <c r="H1970" s="16" t="s">
        <v>87</v>
      </c>
      <c r="I1970" s="16" t="s">
        <v>87</v>
      </c>
      <c r="J1970" s="19"/>
      <c r="L1970" s="16" t="str">
        <f>IFERROR(__xludf.DUMMYFUNCTION("""COMPUTED_VALUE"""),"")</f>
        <v/>
      </c>
      <c r="M1970" s="16" t="str">
        <f>IFERROR(__xludf.DUMMYFUNCTION("""COMPUTED_VALUE"""),"")</f>
        <v/>
      </c>
      <c r="U1970" s="16" t="s">
        <v>87</v>
      </c>
      <c r="V1970" s="16" t="str">
        <f>IFERROR(__xludf.DUMMYFUNCTION("""COMPUTED_VALUE"""),"")</f>
        <v/>
      </c>
      <c r="W1970" s="16" t="str">
        <f>IFERROR(__xludf.DUMMYFUNCTION("""COMPUTED_VALUE"""),"")</f>
        <v/>
      </c>
      <c r="X1970" s="16" t="str">
        <f>IFERROR(__xludf.DUMMYFUNCTION("""COMPUTED_VALUE"""),"")</f>
        <v/>
      </c>
      <c r="AC1970" s="16" t="str">
        <f>IFERROR(__xludf.DUMMYFUNCTION("""COMPUTED_VALUE"""),"")</f>
        <v/>
      </c>
    </row>
    <row r="1971">
      <c r="A1971" s="16" t="s">
        <v>87</v>
      </c>
      <c r="E1971" s="16" t="str">
        <f>IFERROR(__xludf.DUMMYFUNCTION("""COMPUTED_VALUE"""),"")</f>
        <v/>
      </c>
      <c r="G1971" s="18"/>
      <c r="H1971" s="16" t="s">
        <v>87</v>
      </c>
      <c r="I1971" s="16" t="s">
        <v>87</v>
      </c>
      <c r="J1971" s="19"/>
      <c r="L1971" s="16" t="str">
        <f>IFERROR(__xludf.DUMMYFUNCTION("""COMPUTED_VALUE"""),"")</f>
        <v/>
      </c>
      <c r="M1971" s="16" t="str">
        <f>IFERROR(__xludf.DUMMYFUNCTION("""COMPUTED_VALUE"""),"")</f>
        <v/>
      </c>
      <c r="U1971" s="16" t="s">
        <v>87</v>
      </c>
      <c r="V1971" s="16" t="str">
        <f>IFERROR(__xludf.DUMMYFUNCTION("""COMPUTED_VALUE"""),"")</f>
        <v/>
      </c>
      <c r="W1971" s="16" t="str">
        <f>IFERROR(__xludf.DUMMYFUNCTION("""COMPUTED_VALUE"""),"")</f>
        <v/>
      </c>
      <c r="X1971" s="16" t="str">
        <f>IFERROR(__xludf.DUMMYFUNCTION("""COMPUTED_VALUE"""),"")</f>
        <v/>
      </c>
      <c r="AC1971" s="16" t="str">
        <f>IFERROR(__xludf.DUMMYFUNCTION("""COMPUTED_VALUE"""),"")</f>
        <v/>
      </c>
    </row>
    <row r="1972">
      <c r="A1972" s="16" t="s">
        <v>87</v>
      </c>
      <c r="E1972" s="16" t="str">
        <f>IFERROR(__xludf.DUMMYFUNCTION("""COMPUTED_VALUE"""),"")</f>
        <v/>
      </c>
      <c r="G1972" s="18"/>
      <c r="H1972" s="16" t="s">
        <v>87</v>
      </c>
      <c r="I1972" s="16" t="s">
        <v>87</v>
      </c>
      <c r="J1972" s="19"/>
      <c r="L1972" s="16" t="str">
        <f>IFERROR(__xludf.DUMMYFUNCTION("""COMPUTED_VALUE"""),"")</f>
        <v/>
      </c>
      <c r="M1972" s="16" t="str">
        <f>IFERROR(__xludf.DUMMYFUNCTION("""COMPUTED_VALUE"""),"")</f>
        <v/>
      </c>
      <c r="U1972" s="16" t="s">
        <v>87</v>
      </c>
      <c r="V1972" s="16" t="str">
        <f>IFERROR(__xludf.DUMMYFUNCTION("""COMPUTED_VALUE"""),"")</f>
        <v/>
      </c>
      <c r="W1972" s="16" t="str">
        <f>IFERROR(__xludf.DUMMYFUNCTION("""COMPUTED_VALUE"""),"")</f>
        <v/>
      </c>
      <c r="X1972" s="16" t="str">
        <f>IFERROR(__xludf.DUMMYFUNCTION("""COMPUTED_VALUE"""),"")</f>
        <v/>
      </c>
      <c r="AC1972" s="16" t="str">
        <f>IFERROR(__xludf.DUMMYFUNCTION("""COMPUTED_VALUE"""),"")</f>
        <v/>
      </c>
    </row>
    <row r="1973">
      <c r="A1973" s="16" t="s">
        <v>87</v>
      </c>
      <c r="E1973" s="16" t="str">
        <f>IFERROR(__xludf.DUMMYFUNCTION("""COMPUTED_VALUE"""),"")</f>
        <v/>
      </c>
      <c r="G1973" s="18"/>
      <c r="H1973" s="16" t="s">
        <v>87</v>
      </c>
      <c r="I1973" s="16" t="s">
        <v>87</v>
      </c>
      <c r="J1973" s="19"/>
      <c r="L1973" s="16" t="str">
        <f>IFERROR(__xludf.DUMMYFUNCTION("""COMPUTED_VALUE"""),"")</f>
        <v/>
      </c>
      <c r="M1973" s="16" t="str">
        <f>IFERROR(__xludf.DUMMYFUNCTION("""COMPUTED_VALUE"""),"")</f>
        <v/>
      </c>
      <c r="U1973" s="16" t="s">
        <v>87</v>
      </c>
      <c r="V1973" s="16" t="str">
        <f>IFERROR(__xludf.DUMMYFUNCTION("""COMPUTED_VALUE"""),"")</f>
        <v/>
      </c>
      <c r="W1973" s="16" t="str">
        <f>IFERROR(__xludf.DUMMYFUNCTION("""COMPUTED_VALUE"""),"")</f>
        <v/>
      </c>
      <c r="X1973" s="16" t="str">
        <f>IFERROR(__xludf.DUMMYFUNCTION("""COMPUTED_VALUE"""),"")</f>
        <v/>
      </c>
      <c r="AC1973" s="16" t="str">
        <f>IFERROR(__xludf.DUMMYFUNCTION("""COMPUTED_VALUE"""),"")</f>
        <v/>
      </c>
    </row>
    <row r="1974">
      <c r="A1974" s="16" t="s">
        <v>87</v>
      </c>
      <c r="E1974" s="16" t="str">
        <f>IFERROR(__xludf.DUMMYFUNCTION("""COMPUTED_VALUE"""),"")</f>
        <v/>
      </c>
      <c r="G1974" s="18"/>
      <c r="H1974" s="16" t="s">
        <v>87</v>
      </c>
      <c r="I1974" s="16" t="s">
        <v>87</v>
      </c>
      <c r="J1974" s="19"/>
      <c r="L1974" s="16" t="str">
        <f>IFERROR(__xludf.DUMMYFUNCTION("""COMPUTED_VALUE"""),"")</f>
        <v/>
      </c>
      <c r="M1974" s="16" t="str">
        <f>IFERROR(__xludf.DUMMYFUNCTION("""COMPUTED_VALUE"""),"")</f>
        <v/>
      </c>
      <c r="U1974" s="16" t="s">
        <v>87</v>
      </c>
      <c r="V1974" s="16" t="str">
        <f>IFERROR(__xludf.DUMMYFUNCTION("""COMPUTED_VALUE"""),"")</f>
        <v/>
      </c>
      <c r="W1974" s="16" t="str">
        <f>IFERROR(__xludf.DUMMYFUNCTION("""COMPUTED_VALUE"""),"")</f>
        <v/>
      </c>
      <c r="X1974" s="16" t="str">
        <f>IFERROR(__xludf.DUMMYFUNCTION("""COMPUTED_VALUE"""),"")</f>
        <v/>
      </c>
      <c r="AC1974" s="16" t="str">
        <f>IFERROR(__xludf.DUMMYFUNCTION("""COMPUTED_VALUE"""),"")</f>
        <v/>
      </c>
    </row>
    <row r="1975">
      <c r="A1975" s="16" t="s">
        <v>87</v>
      </c>
      <c r="E1975" s="16" t="str">
        <f>IFERROR(__xludf.DUMMYFUNCTION("""COMPUTED_VALUE"""),"")</f>
        <v/>
      </c>
      <c r="G1975" s="18"/>
      <c r="H1975" s="16" t="s">
        <v>87</v>
      </c>
      <c r="I1975" s="16" t="s">
        <v>87</v>
      </c>
      <c r="J1975" s="19"/>
      <c r="L1975" s="16" t="str">
        <f>IFERROR(__xludf.DUMMYFUNCTION("""COMPUTED_VALUE"""),"")</f>
        <v/>
      </c>
      <c r="M1975" s="16" t="str">
        <f>IFERROR(__xludf.DUMMYFUNCTION("""COMPUTED_VALUE"""),"")</f>
        <v/>
      </c>
      <c r="U1975" s="16" t="s">
        <v>87</v>
      </c>
      <c r="V1975" s="16" t="str">
        <f>IFERROR(__xludf.DUMMYFUNCTION("""COMPUTED_VALUE"""),"")</f>
        <v/>
      </c>
      <c r="W1975" s="16" t="str">
        <f>IFERROR(__xludf.DUMMYFUNCTION("""COMPUTED_VALUE"""),"")</f>
        <v/>
      </c>
      <c r="X1975" s="16" t="str">
        <f>IFERROR(__xludf.DUMMYFUNCTION("""COMPUTED_VALUE"""),"")</f>
        <v/>
      </c>
      <c r="AC1975" s="16" t="str">
        <f>IFERROR(__xludf.DUMMYFUNCTION("""COMPUTED_VALUE"""),"")</f>
        <v/>
      </c>
    </row>
    <row r="1976">
      <c r="A1976" s="16" t="s">
        <v>87</v>
      </c>
      <c r="E1976" s="16" t="str">
        <f>IFERROR(__xludf.DUMMYFUNCTION("""COMPUTED_VALUE"""),"")</f>
        <v/>
      </c>
      <c r="G1976" s="18"/>
      <c r="H1976" s="16" t="s">
        <v>87</v>
      </c>
      <c r="I1976" s="16" t="s">
        <v>87</v>
      </c>
      <c r="J1976" s="19"/>
      <c r="L1976" s="16" t="str">
        <f>IFERROR(__xludf.DUMMYFUNCTION("""COMPUTED_VALUE"""),"")</f>
        <v/>
      </c>
      <c r="M1976" s="16" t="str">
        <f>IFERROR(__xludf.DUMMYFUNCTION("""COMPUTED_VALUE"""),"")</f>
        <v/>
      </c>
      <c r="U1976" s="16" t="s">
        <v>87</v>
      </c>
      <c r="V1976" s="16" t="str">
        <f>IFERROR(__xludf.DUMMYFUNCTION("""COMPUTED_VALUE"""),"")</f>
        <v/>
      </c>
      <c r="W1976" s="16" t="str">
        <f>IFERROR(__xludf.DUMMYFUNCTION("""COMPUTED_VALUE"""),"")</f>
        <v/>
      </c>
      <c r="X1976" s="16" t="str">
        <f>IFERROR(__xludf.DUMMYFUNCTION("""COMPUTED_VALUE"""),"")</f>
        <v/>
      </c>
      <c r="AC1976" s="16" t="str">
        <f>IFERROR(__xludf.DUMMYFUNCTION("""COMPUTED_VALUE"""),"")</f>
        <v/>
      </c>
    </row>
    <row r="1977">
      <c r="A1977" s="16" t="s">
        <v>87</v>
      </c>
      <c r="E1977" s="16" t="str">
        <f>IFERROR(__xludf.DUMMYFUNCTION("""COMPUTED_VALUE"""),"")</f>
        <v/>
      </c>
      <c r="G1977" s="18"/>
      <c r="H1977" s="16" t="s">
        <v>87</v>
      </c>
      <c r="I1977" s="16" t="s">
        <v>87</v>
      </c>
      <c r="J1977" s="19"/>
      <c r="L1977" s="16" t="str">
        <f>IFERROR(__xludf.DUMMYFUNCTION("""COMPUTED_VALUE"""),"")</f>
        <v/>
      </c>
      <c r="M1977" s="16" t="str">
        <f>IFERROR(__xludf.DUMMYFUNCTION("""COMPUTED_VALUE"""),"")</f>
        <v/>
      </c>
      <c r="U1977" s="16" t="s">
        <v>87</v>
      </c>
      <c r="V1977" s="16" t="str">
        <f>IFERROR(__xludf.DUMMYFUNCTION("""COMPUTED_VALUE"""),"")</f>
        <v/>
      </c>
      <c r="W1977" s="16" t="str">
        <f>IFERROR(__xludf.DUMMYFUNCTION("""COMPUTED_VALUE"""),"")</f>
        <v/>
      </c>
      <c r="X1977" s="16" t="str">
        <f>IFERROR(__xludf.DUMMYFUNCTION("""COMPUTED_VALUE"""),"")</f>
        <v/>
      </c>
      <c r="AC1977" s="16" t="str">
        <f>IFERROR(__xludf.DUMMYFUNCTION("""COMPUTED_VALUE"""),"")</f>
        <v/>
      </c>
    </row>
    <row r="1978">
      <c r="A1978" s="16" t="s">
        <v>87</v>
      </c>
      <c r="E1978" s="16" t="str">
        <f>IFERROR(__xludf.DUMMYFUNCTION("""COMPUTED_VALUE"""),"")</f>
        <v/>
      </c>
      <c r="G1978" s="18"/>
      <c r="H1978" s="16" t="s">
        <v>87</v>
      </c>
      <c r="I1978" s="16" t="s">
        <v>87</v>
      </c>
      <c r="J1978" s="19"/>
      <c r="L1978" s="16" t="str">
        <f>IFERROR(__xludf.DUMMYFUNCTION("""COMPUTED_VALUE"""),"")</f>
        <v/>
      </c>
      <c r="M1978" s="16" t="str">
        <f>IFERROR(__xludf.DUMMYFUNCTION("""COMPUTED_VALUE"""),"")</f>
        <v/>
      </c>
      <c r="U1978" s="16" t="s">
        <v>87</v>
      </c>
      <c r="V1978" s="16" t="str">
        <f>IFERROR(__xludf.DUMMYFUNCTION("""COMPUTED_VALUE"""),"")</f>
        <v/>
      </c>
      <c r="W1978" s="16" t="str">
        <f>IFERROR(__xludf.DUMMYFUNCTION("""COMPUTED_VALUE"""),"")</f>
        <v/>
      </c>
      <c r="X1978" s="16" t="str">
        <f>IFERROR(__xludf.DUMMYFUNCTION("""COMPUTED_VALUE"""),"")</f>
        <v/>
      </c>
      <c r="AC1978" s="16" t="str">
        <f>IFERROR(__xludf.DUMMYFUNCTION("""COMPUTED_VALUE"""),"")</f>
        <v/>
      </c>
    </row>
    <row r="1979">
      <c r="A1979" s="16" t="s">
        <v>87</v>
      </c>
      <c r="E1979" s="16" t="str">
        <f>IFERROR(__xludf.DUMMYFUNCTION("""COMPUTED_VALUE"""),"")</f>
        <v/>
      </c>
      <c r="G1979" s="18"/>
      <c r="H1979" s="16" t="s">
        <v>87</v>
      </c>
      <c r="I1979" s="16" t="s">
        <v>87</v>
      </c>
      <c r="J1979" s="19"/>
      <c r="L1979" s="16" t="str">
        <f>IFERROR(__xludf.DUMMYFUNCTION("""COMPUTED_VALUE"""),"")</f>
        <v/>
      </c>
      <c r="M1979" s="16" t="str">
        <f>IFERROR(__xludf.DUMMYFUNCTION("""COMPUTED_VALUE"""),"")</f>
        <v/>
      </c>
      <c r="U1979" s="16" t="s">
        <v>87</v>
      </c>
      <c r="V1979" s="16" t="str">
        <f>IFERROR(__xludf.DUMMYFUNCTION("""COMPUTED_VALUE"""),"")</f>
        <v/>
      </c>
      <c r="W1979" s="16" t="str">
        <f>IFERROR(__xludf.DUMMYFUNCTION("""COMPUTED_VALUE"""),"")</f>
        <v/>
      </c>
      <c r="X1979" s="16" t="str">
        <f>IFERROR(__xludf.DUMMYFUNCTION("""COMPUTED_VALUE"""),"")</f>
        <v/>
      </c>
      <c r="AC1979" s="16" t="str">
        <f>IFERROR(__xludf.DUMMYFUNCTION("""COMPUTED_VALUE"""),"")</f>
        <v/>
      </c>
    </row>
    <row r="1980">
      <c r="A1980" s="16" t="s">
        <v>87</v>
      </c>
      <c r="E1980" s="16" t="str">
        <f>IFERROR(__xludf.DUMMYFUNCTION("""COMPUTED_VALUE"""),"")</f>
        <v/>
      </c>
      <c r="G1980" s="18"/>
      <c r="H1980" s="16" t="s">
        <v>87</v>
      </c>
      <c r="I1980" s="16" t="s">
        <v>87</v>
      </c>
      <c r="J1980" s="19"/>
      <c r="L1980" s="16" t="str">
        <f>IFERROR(__xludf.DUMMYFUNCTION("""COMPUTED_VALUE"""),"")</f>
        <v/>
      </c>
      <c r="M1980" s="16" t="str">
        <f>IFERROR(__xludf.DUMMYFUNCTION("""COMPUTED_VALUE"""),"")</f>
        <v/>
      </c>
      <c r="U1980" s="16" t="s">
        <v>87</v>
      </c>
      <c r="V1980" s="16" t="str">
        <f>IFERROR(__xludf.DUMMYFUNCTION("""COMPUTED_VALUE"""),"")</f>
        <v/>
      </c>
      <c r="W1980" s="16" t="str">
        <f>IFERROR(__xludf.DUMMYFUNCTION("""COMPUTED_VALUE"""),"")</f>
        <v/>
      </c>
      <c r="X1980" s="16" t="str">
        <f>IFERROR(__xludf.DUMMYFUNCTION("""COMPUTED_VALUE"""),"")</f>
        <v/>
      </c>
      <c r="AC1980" s="16" t="str">
        <f>IFERROR(__xludf.DUMMYFUNCTION("""COMPUTED_VALUE"""),"")</f>
        <v/>
      </c>
    </row>
    <row r="1981">
      <c r="A1981" s="16" t="s">
        <v>87</v>
      </c>
      <c r="E1981" s="16" t="str">
        <f>IFERROR(__xludf.DUMMYFUNCTION("""COMPUTED_VALUE"""),"")</f>
        <v/>
      </c>
      <c r="G1981" s="18"/>
      <c r="H1981" s="16" t="s">
        <v>87</v>
      </c>
      <c r="I1981" s="16" t="s">
        <v>87</v>
      </c>
      <c r="J1981" s="19"/>
      <c r="L1981" s="16" t="str">
        <f>IFERROR(__xludf.DUMMYFUNCTION("""COMPUTED_VALUE"""),"")</f>
        <v/>
      </c>
      <c r="M1981" s="16" t="str">
        <f>IFERROR(__xludf.DUMMYFUNCTION("""COMPUTED_VALUE"""),"")</f>
        <v/>
      </c>
      <c r="U1981" s="16" t="s">
        <v>87</v>
      </c>
      <c r="V1981" s="16" t="str">
        <f>IFERROR(__xludf.DUMMYFUNCTION("""COMPUTED_VALUE"""),"")</f>
        <v/>
      </c>
      <c r="W1981" s="16" t="str">
        <f>IFERROR(__xludf.DUMMYFUNCTION("""COMPUTED_VALUE"""),"")</f>
        <v/>
      </c>
      <c r="X1981" s="16" t="str">
        <f>IFERROR(__xludf.DUMMYFUNCTION("""COMPUTED_VALUE"""),"")</f>
        <v/>
      </c>
      <c r="AC1981" s="16" t="str">
        <f>IFERROR(__xludf.DUMMYFUNCTION("""COMPUTED_VALUE"""),"")</f>
        <v/>
      </c>
    </row>
    <row r="1982">
      <c r="A1982" s="16" t="s">
        <v>87</v>
      </c>
      <c r="E1982" s="16" t="str">
        <f>IFERROR(__xludf.DUMMYFUNCTION("""COMPUTED_VALUE"""),"")</f>
        <v/>
      </c>
      <c r="G1982" s="18"/>
      <c r="H1982" s="16" t="s">
        <v>87</v>
      </c>
      <c r="I1982" s="16" t="s">
        <v>87</v>
      </c>
      <c r="J1982" s="19"/>
      <c r="L1982" s="16" t="str">
        <f>IFERROR(__xludf.DUMMYFUNCTION("""COMPUTED_VALUE"""),"")</f>
        <v/>
      </c>
      <c r="M1982" s="16" t="str">
        <f>IFERROR(__xludf.DUMMYFUNCTION("""COMPUTED_VALUE"""),"")</f>
        <v/>
      </c>
      <c r="U1982" s="16" t="s">
        <v>87</v>
      </c>
      <c r="V1982" s="16" t="str">
        <f>IFERROR(__xludf.DUMMYFUNCTION("""COMPUTED_VALUE"""),"")</f>
        <v/>
      </c>
      <c r="W1982" s="16" t="str">
        <f>IFERROR(__xludf.DUMMYFUNCTION("""COMPUTED_VALUE"""),"")</f>
        <v/>
      </c>
      <c r="X1982" s="16" t="str">
        <f>IFERROR(__xludf.DUMMYFUNCTION("""COMPUTED_VALUE"""),"")</f>
        <v/>
      </c>
      <c r="AC1982" s="16" t="str">
        <f>IFERROR(__xludf.DUMMYFUNCTION("""COMPUTED_VALUE"""),"")</f>
        <v/>
      </c>
    </row>
    <row r="1983">
      <c r="A1983" s="16" t="s">
        <v>87</v>
      </c>
      <c r="E1983" s="16" t="str">
        <f>IFERROR(__xludf.DUMMYFUNCTION("""COMPUTED_VALUE"""),"")</f>
        <v/>
      </c>
      <c r="G1983" s="18"/>
      <c r="H1983" s="16" t="s">
        <v>87</v>
      </c>
      <c r="I1983" s="16" t="s">
        <v>87</v>
      </c>
      <c r="J1983" s="19"/>
      <c r="L1983" s="16" t="str">
        <f>IFERROR(__xludf.DUMMYFUNCTION("""COMPUTED_VALUE"""),"")</f>
        <v/>
      </c>
      <c r="M1983" s="16" t="str">
        <f>IFERROR(__xludf.DUMMYFUNCTION("""COMPUTED_VALUE"""),"")</f>
        <v/>
      </c>
      <c r="U1983" s="16" t="s">
        <v>87</v>
      </c>
      <c r="V1983" s="16" t="str">
        <f>IFERROR(__xludf.DUMMYFUNCTION("""COMPUTED_VALUE"""),"")</f>
        <v/>
      </c>
      <c r="W1983" s="16" t="str">
        <f>IFERROR(__xludf.DUMMYFUNCTION("""COMPUTED_VALUE"""),"")</f>
        <v/>
      </c>
      <c r="X1983" s="16" t="str">
        <f>IFERROR(__xludf.DUMMYFUNCTION("""COMPUTED_VALUE"""),"")</f>
        <v/>
      </c>
      <c r="AC1983" s="16" t="str">
        <f>IFERROR(__xludf.DUMMYFUNCTION("""COMPUTED_VALUE"""),"")</f>
        <v/>
      </c>
    </row>
    <row r="1984">
      <c r="A1984" s="16" t="s">
        <v>87</v>
      </c>
      <c r="E1984" s="16" t="str">
        <f>IFERROR(__xludf.DUMMYFUNCTION("""COMPUTED_VALUE"""),"")</f>
        <v/>
      </c>
      <c r="G1984" s="18"/>
      <c r="H1984" s="16" t="s">
        <v>87</v>
      </c>
      <c r="I1984" s="16" t="s">
        <v>87</v>
      </c>
      <c r="J1984" s="19"/>
      <c r="L1984" s="16" t="str">
        <f>IFERROR(__xludf.DUMMYFUNCTION("""COMPUTED_VALUE"""),"")</f>
        <v/>
      </c>
      <c r="M1984" s="16" t="str">
        <f>IFERROR(__xludf.DUMMYFUNCTION("""COMPUTED_VALUE"""),"")</f>
        <v/>
      </c>
      <c r="U1984" s="16" t="s">
        <v>87</v>
      </c>
      <c r="V1984" s="16" t="str">
        <f>IFERROR(__xludf.DUMMYFUNCTION("""COMPUTED_VALUE"""),"")</f>
        <v/>
      </c>
      <c r="W1984" s="16" t="str">
        <f>IFERROR(__xludf.DUMMYFUNCTION("""COMPUTED_VALUE"""),"")</f>
        <v/>
      </c>
      <c r="X1984" s="16" t="str">
        <f>IFERROR(__xludf.DUMMYFUNCTION("""COMPUTED_VALUE"""),"")</f>
        <v/>
      </c>
      <c r="AC1984" s="16" t="str">
        <f>IFERROR(__xludf.DUMMYFUNCTION("""COMPUTED_VALUE"""),"")</f>
        <v/>
      </c>
    </row>
    <row r="1985">
      <c r="A1985" s="16" t="s">
        <v>87</v>
      </c>
      <c r="E1985" s="16" t="str">
        <f>IFERROR(__xludf.DUMMYFUNCTION("""COMPUTED_VALUE"""),"")</f>
        <v/>
      </c>
      <c r="G1985" s="18"/>
      <c r="H1985" s="16" t="s">
        <v>87</v>
      </c>
      <c r="I1985" s="16" t="s">
        <v>87</v>
      </c>
      <c r="J1985" s="19"/>
      <c r="L1985" s="16" t="str">
        <f>IFERROR(__xludf.DUMMYFUNCTION("""COMPUTED_VALUE"""),"")</f>
        <v/>
      </c>
      <c r="M1985" s="16" t="str">
        <f>IFERROR(__xludf.DUMMYFUNCTION("""COMPUTED_VALUE"""),"")</f>
        <v/>
      </c>
      <c r="U1985" s="16" t="s">
        <v>87</v>
      </c>
      <c r="V1985" s="16" t="str">
        <f>IFERROR(__xludf.DUMMYFUNCTION("""COMPUTED_VALUE"""),"")</f>
        <v/>
      </c>
      <c r="W1985" s="16" t="str">
        <f>IFERROR(__xludf.DUMMYFUNCTION("""COMPUTED_VALUE"""),"")</f>
        <v/>
      </c>
      <c r="X1985" s="16" t="str">
        <f>IFERROR(__xludf.DUMMYFUNCTION("""COMPUTED_VALUE"""),"")</f>
        <v/>
      </c>
      <c r="AC1985" s="16" t="str">
        <f>IFERROR(__xludf.DUMMYFUNCTION("""COMPUTED_VALUE"""),"")</f>
        <v/>
      </c>
    </row>
    <row r="1986">
      <c r="A1986" s="16" t="s">
        <v>87</v>
      </c>
      <c r="E1986" s="16" t="str">
        <f>IFERROR(__xludf.DUMMYFUNCTION("""COMPUTED_VALUE"""),"")</f>
        <v/>
      </c>
      <c r="G1986" s="18"/>
      <c r="H1986" s="16" t="s">
        <v>87</v>
      </c>
      <c r="I1986" s="16" t="s">
        <v>87</v>
      </c>
      <c r="J1986" s="19"/>
      <c r="L1986" s="16" t="str">
        <f>IFERROR(__xludf.DUMMYFUNCTION("""COMPUTED_VALUE"""),"")</f>
        <v/>
      </c>
      <c r="M1986" s="16" t="str">
        <f>IFERROR(__xludf.DUMMYFUNCTION("""COMPUTED_VALUE"""),"")</f>
        <v/>
      </c>
      <c r="U1986" s="16" t="s">
        <v>87</v>
      </c>
      <c r="V1986" s="16" t="str">
        <f>IFERROR(__xludf.DUMMYFUNCTION("""COMPUTED_VALUE"""),"")</f>
        <v/>
      </c>
      <c r="W1986" s="16" t="str">
        <f>IFERROR(__xludf.DUMMYFUNCTION("""COMPUTED_VALUE"""),"")</f>
        <v/>
      </c>
      <c r="X1986" s="16" t="str">
        <f>IFERROR(__xludf.DUMMYFUNCTION("""COMPUTED_VALUE"""),"")</f>
        <v/>
      </c>
      <c r="AC1986" s="16" t="str">
        <f>IFERROR(__xludf.DUMMYFUNCTION("""COMPUTED_VALUE"""),"")</f>
        <v/>
      </c>
    </row>
    <row r="1987">
      <c r="A1987" s="16" t="s">
        <v>87</v>
      </c>
      <c r="E1987" s="16" t="str">
        <f>IFERROR(__xludf.DUMMYFUNCTION("""COMPUTED_VALUE"""),"")</f>
        <v/>
      </c>
      <c r="G1987" s="18"/>
      <c r="H1987" s="16" t="s">
        <v>87</v>
      </c>
      <c r="I1987" s="16" t="s">
        <v>87</v>
      </c>
      <c r="J1987" s="19"/>
      <c r="L1987" s="16" t="str">
        <f>IFERROR(__xludf.DUMMYFUNCTION("""COMPUTED_VALUE"""),"")</f>
        <v/>
      </c>
      <c r="M1987" s="16" t="str">
        <f>IFERROR(__xludf.DUMMYFUNCTION("""COMPUTED_VALUE"""),"")</f>
        <v/>
      </c>
      <c r="U1987" s="16" t="s">
        <v>87</v>
      </c>
      <c r="V1987" s="16" t="str">
        <f>IFERROR(__xludf.DUMMYFUNCTION("""COMPUTED_VALUE"""),"")</f>
        <v/>
      </c>
      <c r="W1987" s="16" t="str">
        <f>IFERROR(__xludf.DUMMYFUNCTION("""COMPUTED_VALUE"""),"")</f>
        <v/>
      </c>
      <c r="X1987" s="16" t="str">
        <f>IFERROR(__xludf.DUMMYFUNCTION("""COMPUTED_VALUE"""),"")</f>
        <v/>
      </c>
      <c r="AC1987" s="16" t="str">
        <f>IFERROR(__xludf.DUMMYFUNCTION("""COMPUTED_VALUE"""),"")</f>
        <v/>
      </c>
    </row>
    <row r="1988">
      <c r="A1988" s="16" t="s">
        <v>87</v>
      </c>
      <c r="E1988" s="16" t="str">
        <f>IFERROR(__xludf.DUMMYFUNCTION("""COMPUTED_VALUE"""),"")</f>
        <v/>
      </c>
      <c r="G1988" s="18"/>
      <c r="H1988" s="16" t="s">
        <v>87</v>
      </c>
      <c r="I1988" s="16" t="s">
        <v>87</v>
      </c>
      <c r="J1988" s="19"/>
      <c r="L1988" s="16" t="str">
        <f>IFERROR(__xludf.DUMMYFUNCTION("""COMPUTED_VALUE"""),"")</f>
        <v/>
      </c>
      <c r="M1988" s="16" t="str">
        <f>IFERROR(__xludf.DUMMYFUNCTION("""COMPUTED_VALUE"""),"")</f>
        <v/>
      </c>
      <c r="U1988" s="16" t="s">
        <v>87</v>
      </c>
      <c r="V1988" s="16" t="str">
        <f>IFERROR(__xludf.DUMMYFUNCTION("""COMPUTED_VALUE"""),"")</f>
        <v/>
      </c>
      <c r="W1988" s="16" t="str">
        <f>IFERROR(__xludf.DUMMYFUNCTION("""COMPUTED_VALUE"""),"")</f>
        <v/>
      </c>
      <c r="X1988" s="16" t="str">
        <f>IFERROR(__xludf.DUMMYFUNCTION("""COMPUTED_VALUE"""),"")</f>
        <v/>
      </c>
      <c r="AC1988" s="16" t="str">
        <f>IFERROR(__xludf.DUMMYFUNCTION("""COMPUTED_VALUE"""),"")</f>
        <v/>
      </c>
    </row>
    <row r="1989">
      <c r="A1989" s="16" t="s">
        <v>87</v>
      </c>
      <c r="E1989" s="16" t="str">
        <f>IFERROR(__xludf.DUMMYFUNCTION("""COMPUTED_VALUE"""),"")</f>
        <v/>
      </c>
      <c r="G1989" s="18"/>
      <c r="H1989" s="16" t="s">
        <v>87</v>
      </c>
      <c r="I1989" s="16" t="s">
        <v>87</v>
      </c>
      <c r="J1989" s="19"/>
      <c r="L1989" s="16" t="str">
        <f>IFERROR(__xludf.DUMMYFUNCTION("""COMPUTED_VALUE"""),"")</f>
        <v/>
      </c>
      <c r="M1989" s="16" t="str">
        <f>IFERROR(__xludf.DUMMYFUNCTION("""COMPUTED_VALUE"""),"")</f>
        <v/>
      </c>
      <c r="U1989" s="16" t="s">
        <v>87</v>
      </c>
      <c r="V1989" s="16" t="str">
        <f>IFERROR(__xludf.DUMMYFUNCTION("""COMPUTED_VALUE"""),"")</f>
        <v/>
      </c>
      <c r="W1989" s="16" t="str">
        <f>IFERROR(__xludf.DUMMYFUNCTION("""COMPUTED_VALUE"""),"")</f>
        <v/>
      </c>
      <c r="X1989" s="16" t="str">
        <f>IFERROR(__xludf.DUMMYFUNCTION("""COMPUTED_VALUE"""),"")</f>
        <v/>
      </c>
      <c r="AC1989" s="16" t="str">
        <f>IFERROR(__xludf.DUMMYFUNCTION("""COMPUTED_VALUE"""),"")</f>
        <v/>
      </c>
    </row>
    <row r="1990">
      <c r="A1990" s="16" t="s">
        <v>87</v>
      </c>
      <c r="E1990" s="16" t="str">
        <f>IFERROR(__xludf.DUMMYFUNCTION("""COMPUTED_VALUE"""),"")</f>
        <v/>
      </c>
      <c r="G1990" s="18"/>
      <c r="H1990" s="16" t="s">
        <v>87</v>
      </c>
      <c r="I1990" s="16" t="s">
        <v>87</v>
      </c>
      <c r="J1990" s="19"/>
      <c r="L1990" s="16" t="str">
        <f>IFERROR(__xludf.DUMMYFUNCTION("""COMPUTED_VALUE"""),"")</f>
        <v/>
      </c>
      <c r="M1990" s="16" t="str">
        <f>IFERROR(__xludf.DUMMYFUNCTION("""COMPUTED_VALUE"""),"")</f>
        <v/>
      </c>
      <c r="U1990" s="16" t="s">
        <v>87</v>
      </c>
      <c r="V1990" s="16" t="str">
        <f>IFERROR(__xludf.DUMMYFUNCTION("""COMPUTED_VALUE"""),"")</f>
        <v/>
      </c>
      <c r="W1990" s="16" t="str">
        <f>IFERROR(__xludf.DUMMYFUNCTION("""COMPUTED_VALUE"""),"")</f>
        <v/>
      </c>
      <c r="X1990" s="16" t="str">
        <f>IFERROR(__xludf.DUMMYFUNCTION("""COMPUTED_VALUE"""),"")</f>
        <v/>
      </c>
      <c r="AC1990" s="16" t="str">
        <f>IFERROR(__xludf.DUMMYFUNCTION("""COMPUTED_VALUE"""),"")</f>
        <v/>
      </c>
    </row>
    <row r="1991">
      <c r="A1991" s="16" t="s">
        <v>87</v>
      </c>
      <c r="E1991" s="16" t="str">
        <f>IFERROR(__xludf.DUMMYFUNCTION("""COMPUTED_VALUE"""),"")</f>
        <v/>
      </c>
      <c r="G1991" s="18"/>
      <c r="H1991" s="16" t="s">
        <v>87</v>
      </c>
      <c r="I1991" s="16" t="s">
        <v>87</v>
      </c>
      <c r="J1991" s="19"/>
      <c r="L1991" s="16" t="str">
        <f>IFERROR(__xludf.DUMMYFUNCTION("""COMPUTED_VALUE"""),"")</f>
        <v/>
      </c>
      <c r="M1991" s="16" t="str">
        <f>IFERROR(__xludf.DUMMYFUNCTION("""COMPUTED_VALUE"""),"")</f>
        <v/>
      </c>
      <c r="U1991" s="16" t="s">
        <v>87</v>
      </c>
      <c r="V1991" s="16" t="str">
        <f>IFERROR(__xludf.DUMMYFUNCTION("""COMPUTED_VALUE"""),"")</f>
        <v/>
      </c>
      <c r="W1991" s="16" t="str">
        <f>IFERROR(__xludf.DUMMYFUNCTION("""COMPUTED_VALUE"""),"")</f>
        <v/>
      </c>
      <c r="X1991" s="16" t="str">
        <f>IFERROR(__xludf.DUMMYFUNCTION("""COMPUTED_VALUE"""),"")</f>
        <v/>
      </c>
      <c r="AC1991" s="16" t="str">
        <f>IFERROR(__xludf.DUMMYFUNCTION("""COMPUTED_VALUE"""),"")</f>
        <v/>
      </c>
    </row>
    <row r="1992">
      <c r="A1992" s="16" t="s">
        <v>87</v>
      </c>
      <c r="E1992" s="16" t="str">
        <f>IFERROR(__xludf.DUMMYFUNCTION("""COMPUTED_VALUE"""),"")</f>
        <v/>
      </c>
      <c r="G1992" s="18"/>
      <c r="H1992" s="16" t="s">
        <v>87</v>
      </c>
      <c r="I1992" s="16" t="s">
        <v>87</v>
      </c>
      <c r="J1992" s="19"/>
      <c r="L1992" s="16" t="str">
        <f>IFERROR(__xludf.DUMMYFUNCTION("""COMPUTED_VALUE"""),"")</f>
        <v/>
      </c>
      <c r="M1992" s="16" t="str">
        <f>IFERROR(__xludf.DUMMYFUNCTION("""COMPUTED_VALUE"""),"")</f>
        <v/>
      </c>
      <c r="U1992" s="16" t="s">
        <v>87</v>
      </c>
      <c r="V1992" s="16" t="str">
        <f>IFERROR(__xludf.DUMMYFUNCTION("""COMPUTED_VALUE"""),"")</f>
        <v/>
      </c>
      <c r="W1992" s="16" t="str">
        <f>IFERROR(__xludf.DUMMYFUNCTION("""COMPUTED_VALUE"""),"")</f>
        <v/>
      </c>
      <c r="X1992" s="16" t="str">
        <f>IFERROR(__xludf.DUMMYFUNCTION("""COMPUTED_VALUE"""),"")</f>
        <v/>
      </c>
      <c r="AC1992" s="16" t="str">
        <f>IFERROR(__xludf.DUMMYFUNCTION("""COMPUTED_VALUE"""),"")</f>
        <v/>
      </c>
    </row>
    <row r="1993">
      <c r="A1993" s="16" t="s">
        <v>87</v>
      </c>
      <c r="E1993" s="16" t="str">
        <f>IFERROR(__xludf.DUMMYFUNCTION("""COMPUTED_VALUE"""),"")</f>
        <v/>
      </c>
      <c r="G1993" s="18"/>
      <c r="H1993" s="16" t="s">
        <v>87</v>
      </c>
      <c r="I1993" s="16" t="s">
        <v>87</v>
      </c>
      <c r="J1993" s="19"/>
      <c r="L1993" s="16" t="str">
        <f>IFERROR(__xludf.DUMMYFUNCTION("""COMPUTED_VALUE"""),"")</f>
        <v/>
      </c>
      <c r="M1993" s="16" t="str">
        <f>IFERROR(__xludf.DUMMYFUNCTION("""COMPUTED_VALUE"""),"")</f>
        <v/>
      </c>
      <c r="U1993" s="16" t="s">
        <v>87</v>
      </c>
      <c r="V1993" s="16" t="str">
        <f>IFERROR(__xludf.DUMMYFUNCTION("""COMPUTED_VALUE"""),"")</f>
        <v/>
      </c>
      <c r="W1993" s="16" t="str">
        <f>IFERROR(__xludf.DUMMYFUNCTION("""COMPUTED_VALUE"""),"")</f>
        <v/>
      </c>
      <c r="X1993" s="16" t="str">
        <f>IFERROR(__xludf.DUMMYFUNCTION("""COMPUTED_VALUE"""),"")</f>
        <v/>
      </c>
      <c r="AC1993" s="16" t="str">
        <f>IFERROR(__xludf.DUMMYFUNCTION("""COMPUTED_VALUE"""),"")</f>
        <v/>
      </c>
    </row>
    <row r="1994">
      <c r="A1994" s="16" t="s">
        <v>87</v>
      </c>
      <c r="E1994" s="16" t="str">
        <f>IFERROR(__xludf.DUMMYFUNCTION("""COMPUTED_VALUE"""),"")</f>
        <v/>
      </c>
      <c r="G1994" s="18"/>
      <c r="H1994" s="16" t="s">
        <v>87</v>
      </c>
      <c r="I1994" s="16" t="s">
        <v>87</v>
      </c>
      <c r="J1994" s="19"/>
      <c r="L1994" s="16" t="str">
        <f>IFERROR(__xludf.DUMMYFUNCTION("""COMPUTED_VALUE"""),"")</f>
        <v/>
      </c>
      <c r="M1994" s="16" t="str">
        <f>IFERROR(__xludf.DUMMYFUNCTION("""COMPUTED_VALUE"""),"")</f>
        <v/>
      </c>
      <c r="U1994" s="16" t="s">
        <v>87</v>
      </c>
      <c r="V1994" s="16" t="str">
        <f>IFERROR(__xludf.DUMMYFUNCTION("""COMPUTED_VALUE"""),"")</f>
        <v/>
      </c>
      <c r="W1994" s="16" t="str">
        <f>IFERROR(__xludf.DUMMYFUNCTION("""COMPUTED_VALUE"""),"")</f>
        <v/>
      </c>
      <c r="X1994" s="16" t="str">
        <f>IFERROR(__xludf.DUMMYFUNCTION("""COMPUTED_VALUE"""),"")</f>
        <v/>
      </c>
      <c r="AC1994" s="16" t="str">
        <f>IFERROR(__xludf.DUMMYFUNCTION("""COMPUTED_VALUE"""),"")</f>
        <v/>
      </c>
    </row>
    <row r="1995">
      <c r="A1995" s="16" t="s">
        <v>87</v>
      </c>
      <c r="E1995" s="16" t="str">
        <f>IFERROR(__xludf.DUMMYFUNCTION("""COMPUTED_VALUE"""),"")</f>
        <v/>
      </c>
      <c r="G1995" s="18"/>
      <c r="H1995" s="16" t="s">
        <v>87</v>
      </c>
      <c r="I1995" s="16" t="s">
        <v>87</v>
      </c>
      <c r="J1995" s="19"/>
      <c r="L1995" s="16" t="str">
        <f>IFERROR(__xludf.DUMMYFUNCTION("""COMPUTED_VALUE"""),"")</f>
        <v/>
      </c>
      <c r="M1995" s="16" t="str">
        <f>IFERROR(__xludf.DUMMYFUNCTION("""COMPUTED_VALUE"""),"")</f>
        <v/>
      </c>
      <c r="U1995" s="16" t="s">
        <v>87</v>
      </c>
      <c r="V1995" s="16" t="str">
        <f>IFERROR(__xludf.DUMMYFUNCTION("""COMPUTED_VALUE"""),"")</f>
        <v/>
      </c>
      <c r="W1995" s="16" t="str">
        <f>IFERROR(__xludf.DUMMYFUNCTION("""COMPUTED_VALUE"""),"")</f>
        <v/>
      </c>
      <c r="X1995" s="16" t="str">
        <f>IFERROR(__xludf.DUMMYFUNCTION("""COMPUTED_VALUE"""),"")</f>
        <v/>
      </c>
      <c r="AC1995" s="16" t="str">
        <f>IFERROR(__xludf.DUMMYFUNCTION("""COMPUTED_VALUE"""),"")</f>
        <v/>
      </c>
    </row>
    <row r="1996">
      <c r="A1996" s="16" t="s">
        <v>87</v>
      </c>
      <c r="E1996" s="16" t="str">
        <f>IFERROR(__xludf.DUMMYFUNCTION("""COMPUTED_VALUE"""),"")</f>
        <v/>
      </c>
      <c r="G1996" s="18"/>
      <c r="H1996" s="16" t="s">
        <v>87</v>
      </c>
      <c r="I1996" s="16" t="s">
        <v>87</v>
      </c>
      <c r="J1996" s="19"/>
      <c r="L1996" s="16" t="str">
        <f>IFERROR(__xludf.DUMMYFUNCTION("""COMPUTED_VALUE"""),"")</f>
        <v/>
      </c>
      <c r="M1996" s="16" t="str">
        <f>IFERROR(__xludf.DUMMYFUNCTION("""COMPUTED_VALUE"""),"")</f>
        <v/>
      </c>
      <c r="U1996" s="16" t="s">
        <v>87</v>
      </c>
      <c r="V1996" s="16" t="str">
        <f>IFERROR(__xludf.DUMMYFUNCTION("""COMPUTED_VALUE"""),"")</f>
        <v/>
      </c>
      <c r="W1996" s="16" t="str">
        <f>IFERROR(__xludf.DUMMYFUNCTION("""COMPUTED_VALUE"""),"")</f>
        <v/>
      </c>
      <c r="X1996" s="16" t="str">
        <f>IFERROR(__xludf.DUMMYFUNCTION("""COMPUTED_VALUE"""),"")</f>
        <v/>
      </c>
      <c r="AC1996" s="16" t="str">
        <f>IFERROR(__xludf.DUMMYFUNCTION("""COMPUTED_VALUE"""),"")</f>
        <v/>
      </c>
    </row>
    <row r="1997">
      <c r="A1997" s="16" t="s">
        <v>87</v>
      </c>
      <c r="E1997" s="16" t="str">
        <f>IFERROR(__xludf.DUMMYFUNCTION("""COMPUTED_VALUE"""),"")</f>
        <v/>
      </c>
      <c r="G1997" s="18"/>
      <c r="H1997" s="16" t="s">
        <v>87</v>
      </c>
      <c r="I1997" s="16" t="s">
        <v>87</v>
      </c>
      <c r="J1997" s="19"/>
      <c r="L1997" s="16" t="str">
        <f>IFERROR(__xludf.DUMMYFUNCTION("""COMPUTED_VALUE"""),"")</f>
        <v/>
      </c>
      <c r="M1997" s="16" t="str">
        <f>IFERROR(__xludf.DUMMYFUNCTION("""COMPUTED_VALUE"""),"")</f>
        <v/>
      </c>
      <c r="U1997" s="16" t="s">
        <v>87</v>
      </c>
      <c r="V1997" s="16" t="str">
        <f>IFERROR(__xludf.DUMMYFUNCTION("""COMPUTED_VALUE"""),"")</f>
        <v/>
      </c>
      <c r="W1997" s="16" t="str">
        <f>IFERROR(__xludf.DUMMYFUNCTION("""COMPUTED_VALUE"""),"")</f>
        <v/>
      </c>
      <c r="X1997" s="16" t="str">
        <f>IFERROR(__xludf.DUMMYFUNCTION("""COMPUTED_VALUE"""),"")</f>
        <v/>
      </c>
      <c r="AC1997" s="16" t="str">
        <f>IFERROR(__xludf.DUMMYFUNCTION("""COMPUTED_VALUE"""),"")</f>
        <v/>
      </c>
    </row>
    <row r="1998">
      <c r="A1998" s="16" t="s">
        <v>87</v>
      </c>
      <c r="E1998" s="16" t="str">
        <f>IFERROR(__xludf.DUMMYFUNCTION("""COMPUTED_VALUE"""),"")</f>
        <v/>
      </c>
      <c r="G1998" s="18"/>
      <c r="H1998" s="16" t="s">
        <v>87</v>
      </c>
      <c r="I1998" s="16" t="s">
        <v>87</v>
      </c>
      <c r="J1998" s="19"/>
      <c r="L1998" s="16" t="str">
        <f>IFERROR(__xludf.DUMMYFUNCTION("""COMPUTED_VALUE"""),"")</f>
        <v/>
      </c>
      <c r="M1998" s="16" t="str">
        <f>IFERROR(__xludf.DUMMYFUNCTION("""COMPUTED_VALUE"""),"")</f>
        <v/>
      </c>
      <c r="U1998" s="16" t="s">
        <v>87</v>
      </c>
      <c r="V1998" s="16" t="str">
        <f>IFERROR(__xludf.DUMMYFUNCTION("""COMPUTED_VALUE"""),"")</f>
        <v/>
      </c>
      <c r="W1998" s="16" t="str">
        <f>IFERROR(__xludf.DUMMYFUNCTION("""COMPUTED_VALUE"""),"")</f>
        <v/>
      </c>
      <c r="X1998" s="16" t="str">
        <f>IFERROR(__xludf.DUMMYFUNCTION("""COMPUTED_VALUE"""),"")</f>
        <v/>
      </c>
      <c r="AC1998" s="16" t="str">
        <f>IFERROR(__xludf.DUMMYFUNCTION("""COMPUTED_VALUE"""),"")</f>
        <v/>
      </c>
    </row>
    <row r="1999">
      <c r="A1999" s="16" t="s">
        <v>87</v>
      </c>
      <c r="E1999" s="16" t="str">
        <f>IFERROR(__xludf.DUMMYFUNCTION("""COMPUTED_VALUE"""),"")</f>
        <v/>
      </c>
      <c r="G1999" s="18"/>
      <c r="H1999" s="16" t="s">
        <v>87</v>
      </c>
      <c r="I1999" s="16" t="s">
        <v>87</v>
      </c>
      <c r="J1999" s="19"/>
      <c r="L1999" s="16" t="str">
        <f>IFERROR(__xludf.DUMMYFUNCTION("""COMPUTED_VALUE"""),"")</f>
        <v/>
      </c>
      <c r="M1999" s="16" t="str">
        <f>IFERROR(__xludf.DUMMYFUNCTION("""COMPUTED_VALUE"""),"")</f>
        <v/>
      </c>
      <c r="U1999" s="16" t="s">
        <v>87</v>
      </c>
      <c r="V1999" s="16" t="str">
        <f>IFERROR(__xludf.DUMMYFUNCTION("""COMPUTED_VALUE"""),"")</f>
        <v/>
      </c>
      <c r="W1999" s="16" t="str">
        <f>IFERROR(__xludf.DUMMYFUNCTION("""COMPUTED_VALUE"""),"")</f>
        <v/>
      </c>
      <c r="X1999" s="16" t="str">
        <f>IFERROR(__xludf.DUMMYFUNCTION("""COMPUTED_VALUE"""),"")</f>
        <v/>
      </c>
      <c r="AC1999" s="16" t="str">
        <f>IFERROR(__xludf.DUMMYFUNCTION("""COMPUTED_VALUE"""),"")</f>
        <v/>
      </c>
    </row>
    <row r="2000">
      <c r="A2000" s="16" t="s">
        <v>87</v>
      </c>
      <c r="E2000" s="16" t="str">
        <f>IFERROR(__xludf.DUMMYFUNCTION("""COMPUTED_VALUE"""),"")</f>
        <v/>
      </c>
      <c r="G2000" s="18"/>
      <c r="H2000" s="16" t="s">
        <v>87</v>
      </c>
      <c r="I2000" s="16" t="s">
        <v>87</v>
      </c>
      <c r="J2000" s="19"/>
      <c r="L2000" s="16" t="str">
        <f>IFERROR(__xludf.DUMMYFUNCTION("""COMPUTED_VALUE"""),"")</f>
        <v/>
      </c>
      <c r="M2000" s="16" t="str">
        <f>IFERROR(__xludf.DUMMYFUNCTION("""COMPUTED_VALUE"""),"")</f>
        <v/>
      </c>
      <c r="U2000" s="16" t="s">
        <v>87</v>
      </c>
      <c r="V2000" s="16" t="str">
        <f>IFERROR(__xludf.DUMMYFUNCTION("""COMPUTED_VALUE"""),"")</f>
        <v/>
      </c>
      <c r="W2000" s="16" t="str">
        <f>IFERROR(__xludf.DUMMYFUNCTION("""COMPUTED_VALUE"""),"")</f>
        <v/>
      </c>
      <c r="X2000" s="16" t="str">
        <f>IFERROR(__xludf.DUMMYFUNCTION("""COMPUTED_VALUE"""),"")</f>
        <v/>
      </c>
      <c r="AC2000" s="16" t="str">
        <f>IFERROR(__xludf.DUMMYFUNCTION("""COMPUTED_VALUE"""),"")</f>
        <v/>
      </c>
    </row>
    <row r="2001">
      <c r="A2001" s="16" t="s">
        <v>87</v>
      </c>
      <c r="E2001" s="16" t="str">
        <f>IFERROR(__xludf.DUMMYFUNCTION("""COMPUTED_VALUE"""),"")</f>
        <v/>
      </c>
      <c r="G2001" s="18"/>
      <c r="H2001" s="16" t="s">
        <v>87</v>
      </c>
      <c r="I2001" s="16" t="s">
        <v>87</v>
      </c>
      <c r="J2001" s="19"/>
      <c r="L2001" s="16" t="str">
        <f>IFERROR(__xludf.DUMMYFUNCTION("""COMPUTED_VALUE"""),"")</f>
        <v/>
      </c>
      <c r="M2001" s="16" t="str">
        <f>IFERROR(__xludf.DUMMYFUNCTION("""COMPUTED_VALUE"""),"")</f>
        <v/>
      </c>
      <c r="U2001" s="16" t="s">
        <v>87</v>
      </c>
      <c r="V2001" s="16" t="str">
        <f>IFERROR(__xludf.DUMMYFUNCTION("""COMPUTED_VALUE"""),"")</f>
        <v/>
      </c>
      <c r="W2001" s="16" t="str">
        <f>IFERROR(__xludf.DUMMYFUNCTION("""COMPUTED_VALUE"""),"")</f>
        <v/>
      </c>
      <c r="X2001" s="16" t="str">
        <f>IFERROR(__xludf.DUMMYFUNCTION("""COMPUTED_VALUE"""),"")</f>
        <v/>
      </c>
      <c r="AC2001" s="16" t="str">
        <f>IFERROR(__xludf.DUMMYFUNCTION("""COMPUTED_VALUE"""),"")</f>
        <v/>
      </c>
    </row>
    <row r="2002">
      <c r="A2002" s="16" t="s">
        <v>87</v>
      </c>
      <c r="E2002" s="16" t="str">
        <f>IFERROR(__xludf.DUMMYFUNCTION("""COMPUTED_VALUE"""),"")</f>
        <v/>
      </c>
      <c r="G2002" s="18"/>
      <c r="H2002" s="16" t="s">
        <v>87</v>
      </c>
      <c r="I2002" s="16" t="s">
        <v>87</v>
      </c>
      <c r="J2002" s="19"/>
      <c r="L2002" s="16" t="str">
        <f>IFERROR(__xludf.DUMMYFUNCTION("""COMPUTED_VALUE"""),"")</f>
        <v/>
      </c>
      <c r="M2002" s="16" t="str">
        <f>IFERROR(__xludf.DUMMYFUNCTION("""COMPUTED_VALUE"""),"")</f>
        <v/>
      </c>
      <c r="U2002" s="16" t="s">
        <v>87</v>
      </c>
      <c r="V2002" s="16" t="str">
        <f>IFERROR(__xludf.DUMMYFUNCTION("""COMPUTED_VALUE"""),"")</f>
        <v/>
      </c>
      <c r="W2002" s="16" t="str">
        <f>IFERROR(__xludf.DUMMYFUNCTION("""COMPUTED_VALUE"""),"")</f>
        <v/>
      </c>
      <c r="X2002" s="16" t="str">
        <f>IFERROR(__xludf.DUMMYFUNCTION("""COMPUTED_VALUE"""),"")</f>
        <v/>
      </c>
      <c r="AC2002" s="16" t="str">
        <f>IFERROR(__xludf.DUMMYFUNCTION("""COMPUTED_VALUE"""),"")</f>
        <v/>
      </c>
    </row>
    <row r="2003">
      <c r="A2003" s="16" t="s">
        <v>87</v>
      </c>
      <c r="E2003" s="16" t="str">
        <f>IFERROR(__xludf.DUMMYFUNCTION("""COMPUTED_VALUE"""),"")</f>
        <v/>
      </c>
      <c r="G2003" s="18"/>
      <c r="H2003" s="16" t="s">
        <v>87</v>
      </c>
      <c r="I2003" s="16" t="s">
        <v>87</v>
      </c>
      <c r="J2003" s="19"/>
      <c r="L2003" s="16" t="str">
        <f>IFERROR(__xludf.DUMMYFUNCTION("""COMPUTED_VALUE"""),"")</f>
        <v/>
      </c>
      <c r="M2003" s="16" t="str">
        <f>IFERROR(__xludf.DUMMYFUNCTION("""COMPUTED_VALUE"""),"")</f>
        <v/>
      </c>
      <c r="U2003" s="16" t="s">
        <v>87</v>
      </c>
      <c r="V2003" s="16" t="str">
        <f>IFERROR(__xludf.DUMMYFUNCTION("""COMPUTED_VALUE"""),"")</f>
        <v/>
      </c>
      <c r="W2003" s="16" t="str">
        <f>IFERROR(__xludf.DUMMYFUNCTION("""COMPUTED_VALUE"""),"")</f>
        <v/>
      </c>
      <c r="X2003" s="16" t="str">
        <f>IFERROR(__xludf.DUMMYFUNCTION("""COMPUTED_VALUE"""),"")</f>
        <v/>
      </c>
      <c r="AC2003" s="16" t="str">
        <f>IFERROR(__xludf.DUMMYFUNCTION("""COMPUTED_VALUE"""),"")</f>
        <v/>
      </c>
    </row>
    <row r="2004">
      <c r="A2004" s="16" t="s">
        <v>87</v>
      </c>
      <c r="E2004" s="16" t="str">
        <f>IFERROR(__xludf.DUMMYFUNCTION("""COMPUTED_VALUE"""),"")</f>
        <v/>
      </c>
      <c r="G2004" s="18"/>
      <c r="H2004" s="16" t="s">
        <v>87</v>
      </c>
      <c r="I2004" s="16" t="s">
        <v>87</v>
      </c>
      <c r="J2004" s="19"/>
      <c r="L2004" s="16" t="str">
        <f>IFERROR(__xludf.DUMMYFUNCTION("""COMPUTED_VALUE"""),"")</f>
        <v/>
      </c>
      <c r="M2004" s="16" t="str">
        <f>IFERROR(__xludf.DUMMYFUNCTION("""COMPUTED_VALUE"""),"")</f>
        <v/>
      </c>
      <c r="U2004" s="16" t="s">
        <v>87</v>
      </c>
      <c r="V2004" s="16" t="str">
        <f>IFERROR(__xludf.DUMMYFUNCTION("""COMPUTED_VALUE"""),"")</f>
        <v/>
      </c>
      <c r="W2004" s="16" t="str">
        <f>IFERROR(__xludf.DUMMYFUNCTION("""COMPUTED_VALUE"""),"")</f>
        <v/>
      </c>
      <c r="X2004" s="16" t="str">
        <f>IFERROR(__xludf.DUMMYFUNCTION("""COMPUTED_VALUE"""),"")</f>
        <v/>
      </c>
      <c r="AC2004" s="16" t="str">
        <f>IFERROR(__xludf.DUMMYFUNCTION("""COMPUTED_VALUE"""),"")</f>
        <v/>
      </c>
    </row>
    <row r="2005">
      <c r="A2005" s="16" t="s">
        <v>87</v>
      </c>
      <c r="E2005" s="16" t="str">
        <f>IFERROR(__xludf.DUMMYFUNCTION("""COMPUTED_VALUE"""),"")</f>
        <v/>
      </c>
      <c r="G2005" s="18"/>
      <c r="H2005" s="16" t="s">
        <v>87</v>
      </c>
      <c r="I2005" s="16" t="s">
        <v>87</v>
      </c>
      <c r="J2005" s="19"/>
      <c r="L2005" s="16" t="str">
        <f>IFERROR(__xludf.DUMMYFUNCTION("""COMPUTED_VALUE"""),"")</f>
        <v/>
      </c>
      <c r="M2005" s="16" t="str">
        <f>IFERROR(__xludf.DUMMYFUNCTION("""COMPUTED_VALUE"""),"")</f>
        <v/>
      </c>
      <c r="U2005" s="16" t="s">
        <v>87</v>
      </c>
      <c r="V2005" s="16" t="str">
        <f>IFERROR(__xludf.DUMMYFUNCTION("""COMPUTED_VALUE"""),"")</f>
        <v/>
      </c>
      <c r="W2005" s="16" t="str">
        <f>IFERROR(__xludf.DUMMYFUNCTION("""COMPUTED_VALUE"""),"")</f>
        <v/>
      </c>
      <c r="X2005" s="16" t="str">
        <f>IFERROR(__xludf.DUMMYFUNCTION("""COMPUTED_VALUE"""),"")</f>
        <v/>
      </c>
      <c r="AC2005" s="16" t="str">
        <f>IFERROR(__xludf.DUMMYFUNCTION("""COMPUTED_VALUE"""),"")</f>
        <v/>
      </c>
    </row>
    <row r="2006">
      <c r="A2006" s="16" t="s">
        <v>87</v>
      </c>
      <c r="E2006" s="16" t="str">
        <f>IFERROR(__xludf.DUMMYFUNCTION("""COMPUTED_VALUE"""),"")</f>
        <v/>
      </c>
      <c r="G2006" s="18"/>
      <c r="H2006" s="16" t="s">
        <v>87</v>
      </c>
      <c r="I2006" s="16" t="s">
        <v>87</v>
      </c>
      <c r="J2006" s="19"/>
      <c r="L2006" s="16" t="str">
        <f>IFERROR(__xludf.DUMMYFUNCTION("""COMPUTED_VALUE"""),"")</f>
        <v/>
      </c>
      <c r="M2006" s="16" t="str">
        <f>IFERROR(__xludf.DUMMYFUNCTION("""COMPUTED_VALUE"""),"")</f>
        <v/>
      </c>
      <c r="U2006" s="16" t="s">
        <v>87</v>
      </c>
      <c r="V2006" s="16" t="str">
        <f>IFERROR(__xludf.DUMMYFUNCTION("""COMPUTED_VALUE"""),"")</f>
        <v/>
      </c>
      <c r="W2006" s="16" t="str">
        <f>IFERROR(__xludf.DUMMYFUNCTION("""COMPUTED_VALUE"""),"")</f>
        <v/>
      </c>
      <c r="X2006" s="16" t="str">
        <f>IFERROR(__xludf.DUMMYFUNCTION("""COMPUTED_VALUE"""),"")</f>
        <v/>
      </c>
      <c r="AC2006" s="16" t="str">
        <f>IFERROR(__xludf.DUMMYFUNCTION("""COMPUTED_VALUE"""),"")</f>
        <v/>
      </c>
    </row>
    <row r="2007">
      <c r="A2007" s="16" t="s">
        <v>87</v>
      </c>
      <c r="E2007" s="16" t="str">
        <f>IFERROR(__xludf.DUMMYFUNCTION("""COMPUTED_VALUE"""),"")</f>
        <v/>
      </c>
      <c r="G2007" s="18"/>
      <c r="H2007" s="16" t="s">
        <v>87</v>
      </c>
      <c r="I2007" s="16" t="s">
        <v>87</v>
      </c>
      <c r="J2007" s="19"/>
      <c r="L2007" s="16" t="str">
        <f>IFERROR(__xludf.DUMMYFUNCTION("""COMPUTED_VALUE"""),"")</f>
        <v/>
      </c>
      <c r="M2007" s="16" t="str">
        <f>IFERROR(__xludf.DUMMYFUNCTION("""COMPUTED_VALUE"""),"")</f>
        <v/>
      </c>
      <c r="U2007" s="16" t="s">
        <v>87</v>
      </c>
      <c r="V2007" s="16" t="str">
        <f>IFERROR(__xludf.DUMMYFUNCTION("""COMPUTED_VALUE"""),"")</f>
        <v/>
      </c>
      <c r="W2007" s="16" t="str">
        <f>IFERROR(__xludf.DUMMYFUNCTION("""COMPUTED_VALUE"""),"")</f>
        <v/>
      </c>
      <c r="X2007" s="16" t="str">
        <f>IFERROR(__xludf.DUMMYFUNCTION("""COMPUTED_VALUE"""),"")</f>
        <v/>
      </c>
      <c r="AC2007" s="16" t="str">
        <f>IFERROR(__xludf.DUMMYFUNCTION("""COMPUTED_VALUE"""),"")</f>
        <v/>
      </c>
    </row>
    <row r="2008">
      <c r="A2008" s="16" t="s">
        <v>87</v>
      </c>
      <c r="E2008" s="16" t="str">
        <f>IFERROR(__xludf.DUMMYFUNCTION("""COMPUTED_VALUE"""),"")</f>
        <v/>
      </c>
      <c r="G2008" s="18"/>
      <c r="H2008" s="16" t="s">
        <v>87</v>
      </c>
      <c r="I2008" s="16" t="s">
        <v>87</v>
      </c>
      <c r="J2008" s="19"/>
      <c r="L2008" s="16" t="str">
        <f>IFERROR(__xludf.DUMMYFUNCTION("""COMPUTED_VALUE"""),"")</f>
        <v/>
      </c>
      <c r="M2008" s="16" t="str">
        <f>IFERROR(__xludf.DUMMYFUNCTION("""COMPUTED_VALUE"""),"")</f>
        <v/>
      </c>
      <c r="U2008" s="16" t="s">
        <v>87</v>
      </c>
      <c r="V2008" s="16" t="str">
        <f>IFERROR(__xludf.DUMMYFUNCTION("""COMPUTED_VALUE"""),"")</f>
        <v/>
      </c>
      <c r="W2008" s="16" t="str">
        <f>IFERROR(__xludf.DUMMYFUNCTION("""COMPUTED_VALUE"""),"")</f>
        <v/>
      </c>
      <c r="X2008" s="16" t="str">
        <f>IFERROR(__xludf.DUMMYFUNCTION("""COMPUTED_VALUE"""),"")</f>
        <v/>
      </c>
      <c r="AC2008" s="16" t="str">
        <f>IFERROR(__xludf.DUMMYFUNCTION("""COMPUTED_VALUE"""),"")</f>
        <v/>
      </c>
    </row>
    <row r="2009">
      <c r="A2009" s="16" t="s">
        <v>87</v>
      </c>
      <c r="E2009" s="16" t="str">
        <f>IFERROR(__xludf.DUMMYFUNCTION("""COMPUTED_VALUE"""),"")</f>
        <v/>
      </c>
      <c r="G2009" s="18"/>
      <c r="H2009" s="16" t="s">
        <v>87</v>
      </c>
      <c r="I2009" s="16" t="s">
        <v>87</v>
      </c>
      <c r="J2009" s="19"/>
      <c r="L2009" s="16" t="str">
        <f>IFERROR(__xludf.DUMMYFUNCTION("""COMPUTED_VALUE"""),"")</f>
        <v/>
      </c>
      <c r="M2009" s="16" t="str">
        <f>IFERROR(__xludf.DUMMYFUNCTION("""COMPUTED_VALUE"""),"")</f>
        <v/>
      </c>
      <c r="U2009" s="16" t="s">
        <v>87</v>
      </c>
      <c r="V2009" s="16" t="str">
        <f>IFERROR(__xludf.DUMMYFUNCTION("""COMPUTED_VALUE"""),"")</f>
        <v/>
      </c>
      <c r="W2009" s="16" t="str">
        <f>IFERROR(__xludf.DUMMYFUNCTION("""COMPUTED_VALUE"""),"")</f>
        <v/>
      </c>
      <c r="X2009" s="16" t="str">
        <f>IFERROR(__xludf.DUMMYFUNCTION("""COMPUTED_VALUE"""),"")</f>
        <v/>
      </c>
      <c r="AC2009" s="16" t="str">
        <f>IFERROR(__xludf.DUMMYFUNCTION("""COMPUTED_VALUE"""),"")</f>
        <v/>
      </c>
    </row>
    <row r="2010">
      <c r="A2010" s="16" t="s">
        <v>87</v>
      </c>
      <c r="E2010" s="16" t="str">
        <f>IFERROR(__xludf.DUMMYFUNCTION("""COMPUTED_VALUE"""),"")</f>
        <v/>
      </c>
      <c r="G2010" s="18"/>
      <c r="H2010" s="16" t="s">
        <v>87</v>
      </c>
      <c r="I2010" s="16" t="s">
        <v>87</v>
      </c>
      <c r="J2010" s="19"/>
      <c r="L2010" s="16" t="str">
        <f>IFERROR(__xludf.DUMMYFUNCTION("""COMPUTED_VALUE"""),"")</f>
        <v/>
      </c>
      <c r="M2010" s="16" t="str">
        <f>IFERROR(__xludf.DUMMYFUNCTION("""COMPUTED_VALUE"""),"")</f>
        <v/>
      </c>
      <c r="U2010" s="16" t="s">
        <v>87</v>
      </c>
      <c r="V2010" s="16" t="str">
        <f>IFERROR(__xludf.DUMMYFUNCTION("""COMPUTED_VALUE"""),"")</f>
        <v/>
      </c>
      <c r="W2010" s="16" t="str">
        <f>IFERROR(__xludf.DUMMYFUNCTION("""COMPUTED_VALUE"""),"")</f>
        <v/>
      </c>
      <c r="X2010" s="16" t="str">
        <f>IFERROR(__xludf.DUMMYFUNCTION("""COMPUTED_VALUE"""),"")</f>
        <v/>
      </c>
      <c r="AC2010" s="16" t="str">
        <f>IFERROR(__xludf.DUMMYFUNCTION("""COMPUTED_VALUE"""),"")</f>
        <v/>
      </c>
    </row>
    <row r="2011">
      <c r="A2011" s="16" t="s">
        <v>87</v>
      </c>
      <c r="E2011" s="16" t="str">
        <f>IFERROR(__xludf.DUMMYFUNCTION("""COMPUTED_VALUE"""),"")</f>
        <v/>
      </c>
      <c r="G2011" s="18"/>
      <c r="H2011" s="16" t="s">
        <v>87</v>
      </c>
      <c r="I2011" s="16" t="s">
        <v>87</v>
      </c>
      <c r="J2011" s="19"/>
      <c r="L2011" s="16" t="str">
        <f>IFERROR(__xludf.DUMMYFUNCTION("""COMPUTED_VALUE"""),"")</f>
        <v/>
      </c>
      <c r="M2011" s="16" t="str">
        <f>IFERROR(__xludf.DUMMYFUNCTION("""COMPUTED_VALUE"""),"")</f>
        <v/>
      </c>
      <c r="U2011" s="16" t="s">
        <v>87</v>
      </c>
      <c r="V2011" s="16" t="str">
        <f>IFERROR(__xludf.DUMMYFUNCTION("""COMPUTED_VALUE"""),"")</f>
        <v/>
      </c>
      <c r="W2011" s="16" t="str">
        <f>IFERROR(__xludf.DUMMYFUNCTION("""COMPUTED_VALUE"""),"")</f>
        <v/>
      </c>
      <c r="X2011" s="16" t="str">
        <f>IFERROR(__xludf.DUMMYFUNCTION("""COMPUTED_VALUE"""),"")</f>
        <v/>
      </c>
      <c r="AC2011" s="16" t="str">
        <f>IFERROR(__xludf.DUMMYFUNCTION("""COMPUTED_VALUE"""),"")</f>
        <v/>
      </c>
    </row>
    <row r="2012">
      <c r="A2012" s="16" t="s">
        <v>87</v>
      </c>
      <c r="E2012" s="16" t="str">
        <f>IFERROR(__xludf.DUMMYFUNCTION("""COMPUTED_VALUE"""),"")</f>
        <v/>
      </c>
      <c r="G2012" s="18"/>
      <c r="H2012" s="16" t="s">
        <v>87</v>
      </c>
      <c r="I2012" s="16" t="s">
        <v>87</v>
      </c>
      <c r="J2012" s="19"/>
      <c r="L2012" s="16" t="str">
        <f>IFERROR(__xludf.DUMMYFUNCTION("""COMPUTED_VALUE"""),"")</f>
        <v/>
      </c>
      <c r="M2012" s="16" t="str">
        <f>IFERROR(__xludf.DUMMYFUNCTION("""COMPUTED_VALUE"""),"")</f>
        <v/>
      </c>
      <c r="U2012" s="16" t="s">
        <v>87</v>
      </c>
      <c r="V2012" s="16" t="str">
        <f>IFERROR(__xludf.DUMMYFUNCTION("""COMPUTED_VALUE"""),"")</f>
        <v/>
      </c>
      <c r="W2012" s="16" t="str">
        <f>IFERROR(__xludf.DUMMYFUNCTION("""COMPUTED_VALUE"""),"")</f>
        <v/>
      </c>
      <c r="X2012" s="16" t="str">
        <f>IFERROR(__xludf.DUMMYFUNCTION("""COMPUTED_VALUE"""),"")</f>
        <v/>
      </c>
      <c r="AC2012" s="16" t="str">
        <f>IFERROR(__xludf.DUMMYFUNCTION("""COMPUTED_VALUE"""),"")</f>
        <v/>
      </c>
    </row>
    <row r="2013">
      <c r="A2013" s="16" t="s">
        <v>87</v>
      </c>
      <c r="E2013" s="16" t="str">
        <f>IFERROR(__xludf.DUMMYFUNCTION("""COMPUTED_VALUE"""),"")</f>
        <v/>
      </c>
      <c r="G2013" s="18"/>
      <c r="H2013" s="16" t="s">
        <v>87</v>
      </c>
      <c r="I2013" s="16" t="s">
        <v>87</v>
      </c>
      <c r="J2013" s="19"/>
      <c r="L2013" s="16" t="str">
        <f>IFERROR(__xludf.DUMMYFUNCTION("""COMPUTED_VALUE"""),"")</f>
        <v/>
      </c>
      <c r="M2013" s="16" t="str">
        <f>IFERROR(__xludf.DUMMYFUNCTION("""COMPUTED_VALUE"""),"")</f>
        <v/>
      </c>
      <c r="U2013" s="16" t="s">
        <v>87</v>
      </c>
      <c r="V2013" s="16" t="str">
        <f>IFERROR(__xludf.DUMMYFUNCTION("""COMPUTED_VALUE"""),"")</f>
        <v/>
      </c>
      <c r="W2013" s="16" t="str">
        <f>IFERROR(__xludf.DUMMYFUNCTION("""COMPUTED_VALUE"""),"")</f>
        <v/>
      </c>
      <c r="X2013" s="16" t="str">
        <f>IFERROR(__xludf.DUMMYFUNCTION("""COMPUTED_VALUE"""),"")</f>
        <v/>
      </c>
      <c r="AC2013" s="16" t="str">
        <f>IFERROR(__xludf.DUMMYFUNCTION("""COMPUTED_VALUE"""),"")</f>
        <v/>
      </c>
    </row>
    <row r="2014">
      <c r="A2014" s="16" t="s">
        <v>87</v>
      </c>
      <c r="E2014" s="16" t="str">
        <f>IFERROR(__xludf.DUMMYFUNCTION("""COMPUTED_VALUE"""),"")</f>
        <v/>
      </c>
      <c r="G2014" s="18"/>
      <c r="H2014" s="16" t="s">
        <v>87</v>
      </c>
      <c r="I2014" s="16" t="s">
        <v>87</v>
      </c>
      <c r="J2014" s="19"/>
      <c r="L2014" s="16" t="str">
        <f>IFERROR(__xludf.DUMMYFUNCTION("""COMPUTED_VALUE"""),"")</f>
        <v/>
      </c>
      <c r="M2014" s="16" t="str">
        <f>IFERROR(__xludf.DUMMYFUNCTION("""COMPUTED_VALUE"""),"")</f>
        <v/>
      </c>
      <c r="U2014" s="16" t="s">
        <v>87</v>
      </c>
      <c r="V2014" s="16" t="str">
        <f>IFERROR(__xludf.DUMMYFUNCTION("""COMPUTED_VALUE"""),"")</f>
        <v/>
      </c>
      <c r="W2014" s="16" t="str">
        <f>IFERROR(__xludf.DUMMYFUNCTION("""COMPUTED_VALUE"""),"")</f>
        <v/>
      </c>
      <c r="X2014" s="16" t="str">
        <f>IFERROR(__xludf.DUMMYFUNCTION("""COMPUTED_VALUE"""),"")</f>
        <v/>
      </c>
      <c r="AC2014" s="16" t="str">
        <f>IFERROR(__xludf.DUMMYFUNCTION("""COMPUTED_VALUE"""),"")</f>
        <v/>
      </c>
    </row>
    <row r="2015">
      <c r="A2015" s="16" t="s">
        <v>87</v>
      </c>
      <c r="E2015" s="16" t="str">
        <f>IFERROR(__xludf.DUMMYFUNCTION("""COMPUTED_VALUE"""),"")</f>
        <v/>
      </c>
      <c r="G2015" s="18"/>
      <c r="H2015" s="16" t="s">
        <v>87</v>
      </c>
      <c r="I2015" s="16" t="s">
        <v>87</v>
      </c>
      <c r="J2015" s="19"/>
      <c r="L2015" s="16" t="str">
        <f>IFERROR(__xludf.DUMMYFUNCTION("""COMPUTED_VALUE"""),"")</f>
        <v/>
      </c>
      <c r="M2015" s="16" t="str">
        <f>IFERROR(__xludf.DUMMYFUNCTION("""COMPUTED_VALUE"""),"")</f>
        <v/>
      </c>
      <c r="U2015" s="16" t="s">
        <v>87</v>
      </c>
      <c r="V2015" s="16" t="str">
        <f>IFERROR(__xludf.DUMMYFUNCTION("""COMPUTED_VALUE"""),"")</f>
        <v/>
      </c>
      <c r="W2015" s="16" t="str">
        <f>IFERROR(__xludf.DUMMYFUNCTION("""COMPUTED_VALUE"""),"")</f>
        <v/>
      </c>
      <c r="X2015" s="16" t="str">
        <f>IFERROR(__xludf.DUMMYFUNCTION("""COMPUTED_VALUE"""),"")</f>
        <v/>
      </c>
      <c r="AC2015" s="16" t="str">
        <f>IFERROR(__xludf.DUMMYFUNCTION("""COMPUTED_VALUE"""),"")</f>
        <v/>
      </c>
    </row>
    <row r="2016">
      <c r="A2016" s="16" t="s">
        <v>87</v>
      </c>
      <c r="E2016" s="16" t="str">
        <f>IFERROR(__xludf.DUMMYFUNCTION("""COMPUTED_VALUE"""),"")</f>
        <v/>
      </c>
      <c r="G2016" s="18"/>
      <c r="H2016" s="16" t="s">
        <v>87</v>
      </c>
      <c r="I2016" s="16" t="s">
        <v>87</v>
      </c>
      <c r="J2016" s="19"/>
      <c r="L2016" s="16" t="str">
        <f>IFERROR(__xludf.DUMMYFUNCTION("""COMPUTED_VALUE"""),"")</f>
        <v/>
      </c>
      <c r="M2016" s="16" t="str">
        <f>IFERROR(__xludf.DUMMYFUNCTION("""COMPUTED_VALUE"""),"")</f>
        <v/>
      </c>
      <c r="U2016" s="16" t="s">
        <v>87</v>
      </c>
      <c r="V2016" s="16" t="str">
        <f>IFERROR(__xludf.DUMMYFUNCTION("""COMPUTED_VALUE"""),"")</f>
        <v/>
      </c>
      <c r="W2016" s="16" t="str">
        <f>IFERROR(__xludf.DUMMYFUNCTION("""COMPUTED_VALUE"""),"")</f>
        <v/>
      </c>
      <c r="X2016" s="16" t="str">
        <f>IFERROR(__xludf.DUMMYFUNCTION("""COMPUTED_VALUE"""),"")</f>
        <v/>
      </c>
      <c r="AC2016" s="16" t="str">
        <f>IFERROR(__xludf.DUMMYFUNCTION("""COMPUTED_VALUE"""),"")</f>
        <v/>
      </c>
    </row>
    <row r="2017">
      <c r="A2017" s="16" t="s">
        <v>87</v>
      </c>
      <c r="E2017" s="16" t="str">
        <f>IFERROR(__xludf.DUMMYFUNCTION("""COMPUTED_VALUE"""),"")</f>
        <v/>
      </c>
      <c r="G2017" s="18"/>
      <c r="H2017" s="16" t="s">
        <v>87</v>
      </c>
      <c r="I2017" s="16" t="s">
        <v>87</v>
      </c>
      <c r="J2017" s="19"/>
      <c r="L2017" s="16" t="str">
        <f>IFERROR(__xludf.DUMMYFUNCTION("""COMPUTED_VALUE"""),"")</f>
        <v/>
      </c>
      <c r="M2017" s="16" t="str">
        <f>IFERROR(__xludf.DUMMYFUNCTION("""COMPUTED_VALUE"""),"")</f>
        <v/>
      </c>
      <c r="U2017" s="16" t="s">
        <v>87</v>
      </c>
      <c r="V2017" s="16" t="str">
        <f>IFERROR(__xludf.DUMMYFUNCTION("""COMPUTED_VALUE"""),"")</f>
        <v/>
      </c>
      <c r="W2017" s="16" t="str">
        <f>IFERROR(__xludf.DUMMYFUNCTION("""COMPUTED_VALUE"""),"")</f>
        <v/>
      </c>
      <c r="X2017" s="16" t="str">
        <f>IFERROR(__xludf.DUMMYFUNCTION("""COMPUTED_VALUE"""),"")</f>
        <v/>
      </c>
      <c r="AC2017" s="16" t="str">
        <f>IFERROR(__xludf.DUMMYFUNCTION("""COMPUTED_VALUE"""),"")</f>
        <v/>
      </c>
    </row>
    <row r="2018">
      <c r="A2018" s="16" t="s">
        <v>87</v>
      </c>
      <c r="E2018" s="16" t="str">
        <f>IFERROR(__xludf.DUMMYFUNCTION("""COMPUTED_VALUE"""),"")</f>
        <v/>
      </c>
      <c r="G2018" s="18"/>
      <c r="H2018" s="16" t="s">
        <v>87</v>
      </c>
      <c r="I2018" s="16" t="s">
        <v>87</v>
      </c>
      <c r="J2018" s="19"/>
      <c r="L2018" s="16" t="str">
        <f>IFERROR(__xludf.DUMMYFUNCTION("""COMPUTED_VALUE"""),"")</f>
        <v/>
      </c>
      <c r="M2018" s="16" t="str">
        <f>IFERROR(__xludf.DUMMYFUNCTION("""COMPUTED_VALUE"""),"")</f>
        <v/>
      </c>
      <c r="U2018" s="16" t="s">
        <v>87</v>
      </c>
      <c r="V2018" s="16" t="str">
        <f>IFERROR(__xludf.DUMMYFUNCTION("""COMPUTED_VALUE"""),"")</f>
        <v/>
      </c>
      <c r="W2018" s="16" t="str">
        <f>IFERROR(__xludf.DUMMYFUNCTION("""COMPUTED_VALUE"""),"")</f>
        <v/>
      </c>
      <c r="X2018" s="16" t="str">
        <f>IFERROR(__xludf.DUMMYFUNCTION("""COMPUTED_VALUE"""),"")</f>
        <v/>
      </c>
      <c r="AC2018" s="16" t="str">
        <f>IFERROR(__xludf.DUMMYFUNCTION("""COMPUTED_VALUE"""),"")</f>
        <v/>
      </c>
    </row>
    <row r="2019">
      <c r="A2019" s="16" t="s">
        <v>87</v>
      </c>
      <c r="E2019" s="16" t="str">
        <f>IFERROR(__xludf.DUMMYFUNCTION("""COMPUTED_VALUE"""),"")</f>
        <v/>
      </c>
      <c r="G2019" s="18"/>
      <c r="H2019" s="16" t="s">
        <v>87</v>
      </c>
      <c r="I2019" s="16" t="s">
        <v>87</v>
      </c>
      <c r="J2019" s="19"/>
      <c r="L2019" s="16" t="str">
        <f>IFERROR(__xludf.DUMMYFUNCTION("""COMPUTED_VALUE"""),"")</f>
        <v/>
      </c>
      <c r="M2019" s="16" t="str">
        <f>IFERROR(__xludf.DUMMYFUNCTION("""COMPUTED_VALUE"""),"")</f>
        <v/>
      </c>
      <c r="U2019" s="16" t="s">
        <v>87</v>
      </c>
      <c r="V2019" s="16" t="str">
        <f>IFERROR(__xludf.DUMMYFUNCTION("""COMPUTED_VALUE"""),"")</f>
        <v/>
      </c>
      <c r="W2019" s="16" t="str">
        <f>IFERROR(__xludf.DUMMYFUNCTION("""COMPUTED_VALUE"""),"")</f>
        <v/>
      </c>
      <c r="X2019" s="16" t="str">
        <f>IFERROR(__xludf.DUMMYFUNCTION("""COMPUTED_VALUE"""),"")</f>
        <v/>
      </c>
      <c r="AC2019" s="16" t="str">
        <f>IFERROR(__xludf.DUMMYFUNCTION("""COMPUTED_VALUE"""),"")</f>
        <v/>
      </c>
    </row>
    <row r="2020">
      <c r="A2020" s="16" t="s">
        <v>87</v>
      </c>
      <c r="E2020" s="16" t="str">
        <f>IFERROR(__xludf.DUMMYFUNCTION("""COMPUTED_VALUE"""),"")</f>
        <v/>
      </c>
      <c r="G2020" s="18"/>
      <c r="H2020" s="16" t="s">
        <v>87</v>
      </c>
      <c r="I2020" s="16" t="s">
        <v>87</v>
      </c>
      <c r="J2020" s="19"/>
      <c r="L2020" s="16" t="str">
        <f>IFERROR(__xludf.DUMMYFUNCTION("""COMPUTED_VALUE"""),"")</f>
        <v/>
      </c>
      <c r="M2020" s="16" t="str">
        <f>IFERROR(__xludf.DUMMYFUNCTION("""COMPUTED_VALUE"""),"")</f>
        <v/>
      </c>
      <c r="U2020" s="16" t="s">
        <v>87</v>
      </c>
      <c r="V2020" s="16" t="str">
        <f>IFERROR(__xludf.DUMMYFUNCTION("""COMPUTED_VALUE"""),"")</f>
        <v/>
      </c>
      <c r="W2020" s="16" t="str">
        <f>IFERROR(__xludf.DUMMYFUNCTION("""COMPUTED_VALUE"""),"")</f>
        <v/>
      </c>
      <c r="X2020" s="16" t="str">
        <f>IFERROR(__xludf.DUMMYFUNCTION("""COMPUTED_VALUE"""),"")</f>
        <v/>
      </c>
      <c r="AC2020" s="16" t="str">
        <f>IFERROR(__xludf.DUMMYFUNCTION("""COMPUTED_VALUE"""),"")</f>
        <v/>
      </c>
    </row>
    <row r="2021">
      <c r="A2021" s="16" t="s">
        <v>87</v>
      </c>
      <c r="E2021" s="16" t="str">
        <f>IFERROR(__xludf.DUMMYFUNCTION("""COMPUTED_VALUE"""),"")</f>
        <v/>
      </c>
      <c r="G2021" s="18"/>
      <c r="H2021" s="16" t="s">
        <v>87</v>
      </c>
      <c r="I2021" s="16" t="s">
        <v>87</v>
      </c>
      <c r="J2021" s="19"/>
      <c r="L2021" s="16" t="str">
        <f>IFERROR(__xludf.DUMMYFUNCTION("""COMPUTED_VALUE"""),"")</f>
        <v/>
      </c>
      <c r="M2021" s="16" t="str">
        <f>IFERROR(__xludf.DUMMYFUNCTION("""COMPUTED_VALUE"""),"")</f>
        <v/>
      </c>
      <c r="U2021" s="16" t="s">
        <v>87</v>
      </c>
      <c r="V2021" s="16" t="str">
        <f>IFERROR(__xludf.DUMMYFUNCTION("""COMPUTED_VALUE"""),"")</f>
        <v/>
      </c>
      <c r="W2021" s="16" t="str">
        <f>IFERROR(__xludf.DUMMYFUNCTION("""COMPUTED_VALUE"""),"")</f>
        <v/>
      </c>
      <c r="X2021" s="16" t="str">
        <f>IFERROR(__xludf.DUMMYFUNCTION("""COMPUTED_VALUE"""),"")</f>
        <v/>
      </c>
      <c r="AC2021" s="16" t="str">
        <f>IFERROR(__xludf.DUMMYFUNCTION("""COMPUTED_VALUE"""),"")</f>
        <v/>
      </c>
    </row>
    <row r="2022">
      <c r="A2022" s="16" t="s">
        <v>87</v>
      </c>
      <c r="E2022" s="16" t="str">
        <f>IFERROR(__xludf.DUMMYFUNCTION("""COMPUTED_VALUE"""),"")</f>
        <v/>
      </c>
      <c r="G2022" s="18"/>
      <c r="H2022" s="16" t="s">
        <v>87</v>
      </c>
      <c r="I2022" s="16" t="s">
        <v>87</v>
      </c>
      <c r="J2022" s="19"/>
      <c r="L2022" s="16" t="str">
        <f>IFERROR(__xludf.DUMMYFUNCTION("""COMPUTED_VALUE"""),"")</f>
        <v/>
      </c>
      <c r="M2022" s="16" t="str">
        <f>IFERROR(__xludf.DUMMYFUNCTION("""COMPUTED_VALUE"""),"")</f>
        <v/>
      </c>
      <c r="U2022" s="16" t="s">
        <v>87</v>
      </c>
      <c r="V2022" s="16" t="str">
        <f>IFERROR(__xludf.DUMMYFUNCTION("""COMPUTED_VALUE"""),"")</f>
        <v/>
      </c>
      <c r="W2022" s="16" t="str">
        <f>IFERROR(__xludf.DUMMYFUNCTION("""COMPUTED_VALUE"""),"")</f>
        <v/>
      </c>
      <c r="X2022" s="16" t="str">
        <f>IFERROR(__xludf.DUMMYFUNCTION("""COMPUTED_VALUE"""),"")</f>
        <v/>
      </c>
      <c r="AC2022" s="16" t="str">
        <f>IFERROR(__xludf.DUMMYFUNCTION("""COMPUTED_VALUE"""),"")</f>
        <v/>
      </c>
    </row>
    <row r="2023">
      <c r="A2023" s="16" t="s">
        <v>87</v>
      </c>
      <c r="E2023" s="16" t="str">
        <f>IFERROR(__xludf.DUMMYFUNCTION("""COMPUTED_VALUE"""),"")</f>
        <v/>
      </c>
      <c r="G2023" s="18"/>
      <c r="H2023" s="16" t="s">
        <v>87</v>
      </c>
      <c r="I2023" s="16" t="s">
        <v>87</v>
      </c>
      <c r="J2023" s="19"/>
      <c r="L2023" s="16" t="str">
        <f>IFERROR(__xludf.DUMMYFUNCTION("""COMPUTED_VALUE"""),"")</f>
        <v/>
      </c>
      <c r="M2023" s="16" t="str">
        <f>IFERROR(__xludf.DUMMYFUNCTION("""COMPUTED_VALUE"""),"")</f>
        <v/>
      </c>
      <c r="U2023" s="16" t="s">
        <v>87</v>
      </c>
      <c r="V2023" s="16" t="str">
        <f>IFERROR(__xludf.DUMMYFUNCTION("""COMPUTED_VALUE"""),"")</f>
        <v/>
      </c>
      <c r="W2023" s="16" t="str">
        <f>IFERROR(__xludf.DUMMYFUNCTION("""COMPUTED_VALUE"""),"")</f>
        <v/>
      </c>
      <c r="X2023" s="16" t="str">
        <f>IFERROR(__xludf.DUMMYFUNCTION("""COMPUTED_VALUE"""),"")</f>
        <v/>
      </c>
      <c r="AC2023" s="16" t="str">
        <f>IFERROR(__xludf.DUMMYFUNCTION("""COMPUTED_VALUE"""),"")</f>
        <v/>
      </c>
    </row>
    <row r="2024">
      <c r="A2024" s="16" t="s">
        <v>87</v>
      </c>
      <c r="E2024" s="16" t="str">
        <f>IFERROR(__xludf.DUMMYFUNCTION("""COMPUTED_VALUE"""),"")</f>
        <v/>
      </c>
      <c r="G2024" s="18"/>
      <c r="H2024" s="16" t="s">
        <v>87</v>
      </c>
      <c r="I2024" s="16" t="s">
        <v>87</v>
      </c>
      <c r="J2024" s="19"/>
      <c r="L2024" s="16" t="str">
        <f>IFERROR(__xludf.DUMMYFUNCTION("""COMPUTED_VALUE"""),"")</f>
        <v/>
      </c>
      <c r="M2024" s="16" t="str">
        <f>IFERROR(__xludf.DUMMYFUNCTION("""COMPUTED_VALUE"""),"")</f>
        <v/>
      </c>
      <c r="U2024" s="16" t="s">
        <v>87</v>
      </c>
      <c r="V2024" s="16" t="str">
        <f>IFERROR(__xludf.DUMMYFUNCTION("""COMPUTED_VALUE"""),"")</f>
        <v/>
      </c>
      <c r="W2024" s="16" t="str">
        <f>IFERROR(__xludf.DUMMYFUNCTION("""COMPUTED_VALUE"""),"")</f>
        <v/>
      </c>
      <c r="X2024" s="16" t="str">
        <f>IFERROR(__xludf.DUMMYFUNCTION("""COMPUTED_VALUE"""),"")</f>
        <v/>
      </c>
      <c r="AC2024" s="16" t="str">
        <f>IFERROR(__xludf.DUMMYFUNCTION("""COMPUTED_VALUE"""),"")</f>
        <v/>
      </c>
    </row>
    <row r="2025">
      <c r="A2025" s="16" t="s">
        <v>87</v>
      </c>
      <c r="E2025" s="16" t="str">
        <f>IFERROR(__xludf.DUMMYFUNCTION("""COMPUTED_VALUE"""),"")</f>
        <v/>
      </c>
      <c r="G2025" s="18"/>
      <c r="H2025" s="16" t="s">
        <v>87</v>
      </c>
      <c r="I2025" s="16" t="s">
        <v>87</v>
      </c>
      <c r="J2025" s="19"/>
      <c r="L2025" s="16" t="str">
        <f>IFERROR(__xludf.DUMMYFUNCTION("""COMPUTED_VALUE"""),"")</f>
        <v/>
      </c>
      <c r="M2025" s="16" t="str">
        <f>IFERROR(__xludf.DUMMYFUNCTION("""COMPUTED_VALUE"""),"")</f>
        <v/>
      </c>
      <c r="U2025" s="16" t="s">
        <v>87</v>
      </c>
      <c r="V2025" s="16" t="str">
        <f>IFERROR(__xludf.DUMMYFUNCTION("""COMPUTED_VALUE"""),"")</f>
        <v/>
      </c>
      <c r="W2025" s="16" t="str">
        <f>IFERROR(__xludf.DUMMYFUNCTION("""COMPUTED_VALUE"""),"")</f>
        <v/>
      </c>
      <c r="X2025" s="16" t="str">
        <f>IFERROR(__xludf.DUMMYFUNCTION("""COMPUTED_VALUE"""),"")</f>
        <v/>
      </c>
      <c r="AC2025" s="16" t="str">
        <f>IFERROR(__xludf.DUMMYFUNCTION("""COMPUTED_VALUE"""),"")</f>
        <v/>
      </c>
    </row>
    <row r="2026">
      <c r="A2026" s="16" t="s">
        <v>87</v>
      </c>
      <c r="E2026" s="16" t="str">
        <f>IFERROR(__xludf.DUMMYFUNCTION("""COMPUTED_VALUE"""),"")</f>
        <v/>
      </c>
      <c r="G2026" s="18"/>
      <c r="H2026" s="16" t="s">
        <v>87</v>
      </c>
      <c r="I2026" s="16" t="s">
        <v>87</v>
      </c>
      <c r="J2026" s="19"/>
      <c r="L2026" s="16" t="str">
        <f>IFERROR(__xludf.DUMMYFUNCTION("""COMPUTED_VALUE"""),"")</f>
        <v/>
      </c>
      <c r="M2026" s="16" t="str">
        <f>IFERROR(__xludf.DUMMYFUNCTION("""COMPUTED_VALUE"""),"")</f>
        <v/>
      </c>
      <c r="U2026" s="16" t="s">
        <v>87</v>
      </c>
      <c r="V2026" s="16" t="str">
        <f>IFERROR(__xludf.DUMMYFUNCTION("""COMPUTED_VALUE"""),"")</f>
        <v/>
      </c>
      <c r="W2026" s="16" t="str">
        <f>IFERROR(__xludf.DUMMYFUNCTION("""COMPUTED_VALUE"""),"")</f>
        <v/>
      </c>
      <c r="X2026" s="16" t="str">
        <f>IFERROR(__xludf.DUMMYFUNCTION("""COMPUTED_VALUE"""),"")</f>
        <v/>
      </c>
      <c r="AC2026" s="16" t="str">
        <f>IFERROR(__xludf.DUMMYFUNCTION("""COMPUTED_VALUE"""),"")</f>
        <v/>
      </c>
    </row>
    <row r="2027">
      <c r="A2027" s="16" t="s">
        <v>87</v>
      </c>
      <c r="E2027" s="16" t="str">
        <f>IFERROR(__xludf.DUMMYFUNCTION("""COMPUTED_VALUE"""),"")</f>
        <v/>
      </c>
      <c r="G2027" s="18"/>
      <c r="H2027" s="16" t="s">
        <v>87</v>
      </c>
      <c r="I2027" s="16" t="s">
        <v>87</v>
      </c>
      <c r="J2027" s="19"/>
      <c r="L2027" s="16" t="str">
        <f>IFERROR(__xludf.DUMMYFUNCTION("""COMPUTED_VALUE"""),"")</f>
        <v/>
      </c>
      <c r="M2027" s="16" t="str">
        <f>IFERROR(__xludf.DUMMYFUNCTION("""COMPUTED_VALUE"""),"")</f>
        <v/>
      </c>
      <c r="U2027" s="16" t="s">
        <v>87</v>
      </c>
      <c r="V2027" s="16" t="str">
        <f>IFERROR(__xludf.DUMMYFUNCTION("""COMPUTED_VALUE"""),"")</f>
        <v/>
      </c>
      <c r="W2027" s="16" t="str">
        <f>IFERROR(__xludf.DUMMYFUNCTION("""COMPUTED_VALUE"""),"")</f>
        <v/>
      </c>
      <c r="X2027" s="16" t="str">
        <f>IFERROR(__xludf.DUMMYFUNCTION("""COMPUTED_VALUE"""),"")</f>
        <v/>
      </c>
      <c r="AC2027" s="16" t="str">
        <f>IFERROR(__xludf.DUMMYFUNCTION("""COMPUTED_VALUE"""),"")</f>
        <v/>
      </c>
    </row>
    <row r="2028">
      <c r="A2028" s="16" t="s">
        <v>87</v>
      </c>
      <c r="E2028" s="16" t="str">
        <f>IFERROR(__xludf.DUMMYFUNCTION("""COMPUTED_VALUE"""),"")</f>
        <v/>
      </c>
      <c r="G2028" s="18"/>
      <c r="H2028" s="16" t="s">
        <v>87</v>
      </c>
      <c r="I2028" s="16" t="s">
        <v>87</v>
      </c>
      <c r="J2028" s="19"/>
      <c r="L2028" s="16" t="str">
        <f>IFERROR(__xludf.DUMMYFUNCTION("""COMPUTED_VALUE"""),"")</f>
        <v/>
      </c>
      <c r="M2028" s="16" t="str">
        <f>IFERROR(__xludf.DUMMYFUNCTION("""COMPUTED_VALUE"""),"")</f>
        <v/>
      </c>
      <c r="U2028" s="16" t="s">
        <v>87</v>
      </c>
      <c r="V2028" s="16" t="str">
        <f>IFERROR(__xludf.DUMMYFUNCTION("""COMPUTED_VALUE"""),"")</f>
        <v/>
      </c>
      <c r="W2028" s="16" t="str">
        <f>IFERROR(__xludf.DUMMYFUNCTION("""COMPUTED_VALUE"""),"")</f>
        <v/>
      </c>
      <c r="X2028" s="16" t="str">
        <f>IFERROR(__xludf.DUMMYFUNCTION("""COMPUTED_VALUE"""),"")</f>
        <v/>
      </c>
      <c r="AC2028" s="16" t="str">
        <f>IFERROR(__xludf.DUMMYFUNCTION("""COMPUTED_VALUE"""),"")</f>
        <v/>
      </c>
    </row>
    <row r="2029">
      <c r="A2029" s="16" t="s">
        <v>87</v>
      </c>
      <c r="E2029" s="16" t="str">
        <f>IFERROR(__xludf.DUMMYFUNCTION("""COMPUTED_VALUE"""),"")</f>
        <v/>
      </c>
      <c r="G2029" s="18"/>
      <c r="H2029" s="16" t="s">
        <v>87</v>
      </c>
      <c r="I2029" s="16" t="s">
        <v>87</v>
      </c>
      <c r="J2029" s="19"/>
      <c r="L2029" s="16" t="str">
        <f>IFERROR(__xludf.DUMMYFUNCTION("""COMPUTED_VALUE"""),"")</f>
        <v/>
      </c>
      <c r="M2029" s="16" t="str">
        <f>IFERROR(__xludf.DUMMYFUNCTION("""COMPUTED_VALUE"""),"")</f>
        <v/>
      </c>
      <c r="U2029" s="16" t="s">
        <v>87</v>
      </c>
      <c r="V2029" s="16" t="str">
        <f>IFERROR(__xludf.DUMMYFUNCTION("""COMPUTED_VALUE"""),"")</f>
        <v/>
      </c>
      <c r="W2029" s="16" t="str">
        <f>IFERROR(__xludf.DUMMYFUNCTION("""COMPUTED_VALUE"""),"")</f>
        <v/>
      </c>
      <c r="X2029" s="16" t="str">
        <f>IFERROR(__xludf.DUMMYFUNCTION("""COMPUTED_VALUE"""),"")</f>
        <v/>
      </c>
      <c r="AC2029" s="16" t="str">
        <f>IFERROR(__xludf.DUMMYFUNCTION("""COMPUTED_VALUE"""),"")</f>
        <v/>
      </c>
    </row>
    <row r="2030">
      <c r="A2030" s="16" t="s">
        <v>87</v>
      </c>
      <c r="E2030" s="16" t="str">
        <f>IFERROR(__xludf.DUMMYFUNCTION("""COMPUTED_VALUE"""),"")</f>
        <v/>
      </c>
      <c r="G2030" s="18"/>
      <c r="H2030" s="16" t="s">
        <v>87</v>
      </c>
      <c r="I2030" s="16" t="s">
        <v>87</v>
      </c>
      <c r="J2030" s="19"/>
      <c r="L2030" s="16" t="str">
        <f>IFERROR(__xludf.DUMMYFUNCTION("""COMPUTED_VALUE"""),"")</f>
        <v/>
      </c>
      <c r="M2030" s="16" t="str">
        <f>IFERROR(__xludf.DUMMYFUNCTION("""COMPUTED_VALUE"""),"")</f>
        <v/>
      </c>
      <c r="U2030" s="16" t="s">
        <v>87</v>
      </c>
      <c r="V2030" s="16" t="str">
        <f>IFERROR(__xludf.DUMMYFUNCTION("""COMPUTED_VALUE"""),"")</f>
        <v/>
      </c>
      <c r="W2030" s="16" t="str">
        <f>IFERROR(__xludf.DUMMYFUNCTION("""COMPUTED_VALUE"""),"")</f>
        <v/>
      </c>
      <c r="X2030" s="16" t="str">
        <f>IFERROR(__xludf.DUMMYFUNCTION("""COMPUTED_VALUE"""),"")</f>
        <v/>
      </c>
      <c r="AC2030" s="16" t="str">
        <f>IFERROR(__xludf.DUMMYFUNCTION("""COMPUTED_VALUE"""),"")</f>
        <v/>
      </c>
    </row>
    <row r="2031">
      <c r="A2031" s="16" t="s">
        <v>87</v>
      </c>
      <c r="E2031" s="16" t="str">
        <f>IFERROR(__xludf.DUMMYFUNCTION("""COMPUTED_VALUE"""),"")</f>
        <v/>
      </c>
      <c r="G2031" s="18"/>
      <c r="H2031" s="16" t="s">
        <v>87</v>
      </c>
      <c r="I2031" s="16" t="s">
        <v>87</v>
      </c>
      <c r="J2031" s="19"/>
      <c r="L2031" s="16" t="str">
        <f>IFERROR(__xludf.DUMMYFUNCTION("""COMPUTED_VALUE"""),"")</f>
        <v/>
      </c>
      <c r="M2031" s="16" t="str">
        <f>IFERROR(__xludf.DUMMYFUNCTION("""COMPUTED_VALUE"""),"")</f>
        <v/>
      </c>
      <c r="U2031" s="16" t="s">
        <v>87</v>
      </c>
      <c r="V2031" s="16" t="str">
        <f>IFERROR(__xludf.DUMMYFUNCTION("""COMPUTED_VALUE"""),"")</f>
        <v/>
      </c>
      <c r="W2031" s="16" t="str">
        <f>IFERROR(__xludf.DUMMYFUNCTION("""COMPUTED_VALUE"""),"")</f>
        <v/>
      </c>
      <c r="X2031" s="16" t="str">
        <f>IFERROR(__xludf.DUMMYFUNCTION("""COMPUTED_VALUE"""),"")</f>
        <v/>
      </c>
      <c r="AC2031" s="16" t="str">
        <f>IFERROR(__xludf.DUMMYFUNCTION("""COMPUTED_VALUE"""),"")</f>
        <v/>
      </c>
    </row>
    <row r="2032">
      <c r="A2032" s="16" t="s">
        <v>87</v>
      </c>
      <c r="E2032" s="16" t="str">
        <f>IFERROR(__xludf.DUMMYFUNCTION("""COMPUTED_VALUE"""),"")</f>
        <v/>
      </c>
      <c r="G2032" s="18"/>
      <c r="H2032" s="16" t="s">
        <v>87</v>
      </c>
      <c r="I2032" s="16" t="s">
        <v>87</v>
      </c>
      <c r="J2032" s="19"/>
      <c r="L2032" s="16" t="str">
        <f>IFERROR(__xludf.DUMMYFUNCTION("""COMPUTED_VALUE"""),"")</f>
        <v/>
      </c>
      <c r="M2032" s="16" t="str">
        <f>IFERROR(__xludf.DUMMYFUNCTION("""COMPUTED_VALUE"""),"")</f>
        <v/>
      </c>
      <c r="U2032" s="16" t="s">
        <v>87</v>
      </c>
      <c r="V2032" s="16" t="str">
        <f>IFERROR(__xludf.DUMMYFUNCTION("""COMPUTED_VALUE"""),"")</f>
        <v/>
      </c>
      <c r="W2032" s="16" t="str">
        <f>IFERROR(__xludf.DUMMYFUNCTION("""COMPUTED_VALUE"""),"")</f>
        <v/>
      </c>
      <c r="X2032" s="16" t="str">
        <f>IFERROR(__xludf.DUMMYFUNCTION("""COMPUTED_VALUE"""),"")</f>
        <v/>
      </c>
      <c r="AC2032" s="16" t="str">
        <f>IFERROR(__xludf.DUMMYFUNCTION("""COMPUTED_VALUE"""),"")</f>
        <v/>
      </c>
    </row>
    <row r="2033">
      <c r="A2033" s="16" t="s">
        <v>87</v>
      </c>
      <c r="E2033" s="16" t="str">
        <f>IFERROR(__xludf.DUMMYFUNCTION("""COMPUTED_VALUE"""),"")</f>
        <v/>
      </c>
      <c r="G2033" s="18"/>
      <c r="H2033" s="16" t="s">
        <v>87</v>
      </c>
      <c r="I2033" s="16" t="s">
        <v>87</v>
      </c>
      <c r="J2033" s="19"/>
      <c r="L2033" s="16" t="str">
        <f>IFERROR(__xludf.DUMMYFUNCTION("""COMPUTED_VALUE"""),"")</f>
        <v/>
      </c>
      <c r="M2033" s="16" t="str">
        <f>IFERROR(__xludf.DUMMYFUNCTION("""COMPUTED_VALUE"""),"")</f>
        <v/>
      </c>
      <c r="U2033" s="16" t="s">
        <v>87</v>
      </c>
      <c r="V2033" s="16" t="str">
        <f>IFERROR(__xludf.DUMMYFUNCTION("""COMPUTED_VALUE"""),"")</f>
        <v/>
      </c>
      <c r="W2033" s="16" t="str">
        <f>IFERROR(__xludf.DUMMYFUNCTION("""COMPUTED_VALUE"""),"")</f>
        <v/>
      </c>
      <c r="X2033" s="16" t="str">
        <f>IFERROR(__xludf.DUMMYFUNCTION("""COMPUTED_VALUE"""),"")</f>
        <v/>
      </c>
      <c r="AC2033" s="16" t="str">
        <f>IFERROR(__xludf.DUMMYFUNCTION("""COMPUTED_VALUE"""),"")</f>
        <v/>
      </c>
    </row>
    <row r="2034">
      <c r="A2034" s="16" t="s">
        <v>87</v>
      </c>
      <c r="E2034" s="16" t="str">
        <f>IFERROR(__xludf.DUMMYFUNCTION("""COMPUTED_VALUE"""),"")</f>
        <v/>
      </c>
      <c r="G2034" s="18"/>
      <c r="H2034" s="16" t="s">
        <v>87</v>
      </c>
      <c r="I2034" s="16" t="s">
        <v>87</v>
      </c>
      <c r="J2034" s="19"/>
      <c r="L2034" s="16" t="str">
        <f>IFERROR(__xludf.DUMMYFUNCTION("""COMPUTED_VALUE"""),"")</f>
        <v/>
      </c>
      <c r="M2034" s="16" t="str">
        <f>IFERROR(__xludf.DUMMYFUNCTION("""COMPUTED_VALUE"""),"")</f>
        <v/>
      </c>
      <c r="U2034" s="16" t="s">
        <v>87</v>
      </c>
      <c r="V2034" s="16" t="str">
        <f>IFERROR(__xludf.DUMMYFUNCTION("""COMPUTED_VALUE"""),"")</f>
        <v/>
      </c>
      <c r="W2034" s="16" t="str">
        <f>IFERROR(__xludf.DUMMYFUNCTION("""COMPUTED_VALUE"""),"")</f>
        <v/>
      </c>
      <c r="X2034" s="16" t="str">
        <f>IFERROR(__xludf.DUMMYFUNCTION("""COMPUTED_VALUE"""),"")</f>
        <v/>
      </c>
      <c r="AC2034" s="16" t="str">
        <f>IFERROR(__xludf.DUMMYFUNCTION("""COMPUTED_VALUE"""),"")</f>
        <v/>
      </c>
    </row>
    <row r="2035">
      <c r="A2035" s="16" t="s">
        <v>87</v>
      </c>
      <c r="E2035" s="16" t="str">
        <f>IFERROR(__xludf.DUMMYFUNCTION("""COMPUTED_VALUE"""),"")</f>
        <v/>
      </c>
      <c r="G2035" s="18"/>
      <c r="H2035" s="16" t="s">
        <v>87</v>
      </c>
      <c r="I2035" s="16" t="s">
        <v>87</v>
      </c>
      <c r="J2035" s="19"/>
      <c r="L2035" s="16" t="str">
        <f>IFERROR(__xludf.DUMMYFUNCTION("""COMPUTED_VALUE"""),"")</f>
        <v/>
      </c>
      <c r="M2035" s="16" t="str">
        <f>IFERROR(__xludf.DUMMYFUNCTION("""COMPUTED_VALUE"""),"")</f>
        <v/>
      </c>
      <c r="U2035" s="16" t="s">
        <v>87</v>
      </c>
      <c r="V2035" s="16" t="str">
        <f>IFERROR(__xludf.DUMMYFUNCTION("""COMPUTED_VALUE"""),"")</f>
        <v/>
      </c>
      <c r="W2035" s="16" t="str">
        <f>IFERROR(__xludf.DUMMYFUNCTION("""COMPUTED_VALUE"""),"")</f>
        <v/>
      </c>
      <c r="X2035" s="16" t="str">
        <f>IFERROR(__xludf.DUMMYFUNCTION("""COMPUTED_VALUE"""),"")</f>
        <v/>
      </c>
      <c r="AC2035" s="16" t="str">
        <f>IFERROR(__xludf.DUMMYFUNCTION("""COMPUTED_VALUE"""),"")</f>
        <v/>
      </c>
    </row>
    <row r="2036">
      <c r="A2036" s="16" t="s">
        <v>87</v>
      </c>
      <c r="E2036" s="16" t="str">
        <f>IFERROR(__xludf.DUMMYFUNCTION("""COMPUTED_VALUE"""),"")</f>
        <v/>
      </c>
      <c r="G2036" s="18"/>
      <c r="H2036" s="16" t="s">
        <v>87</v>
      </c>
      <c r="I2036" s="16" t="s">
        <v>87</v>
      </c>
      <c r="J2036" s="19"/>
      <c r="L2036" s="16" t="str">
        <f>IFERROR(__xludf.DUMMYFUNCTION("""COMPUTED_VALUE"""),"")</f>
        <v/>
      </c>
      <c r="M2036" s="16" t="str">
        <f>IFERROR(__xludf.DUMMYFUNCTION("""COMPUTED_VALUE"""),"")</f>
        <v/>
      </c>
      <c r="U2036" s="16" t="s">
        <v>87</v>
      </c>
      <c r="V2036" s="16" t="str">
        <f>IFERROR(__xludf.DUMMYFUNCTION("""COMPUTED_VALUE"""),"")</f>
        <v/>
      </c>
      <c r="W2036" s="16" t="str">
        <f>IFERROR(__xludf.DUMMYFUNCTION("""COMPUTED_VALUE"""),"")</f>
        <v/>
      </c>
      <c r="X2036" s="16" t="str">
        <f>IFERROR(__xludf.DUMMYFUNCTION("""COMPUTED_VALUE"""),"")</f>
        <v/>
      </c>
      <c r="AC2036" s="16" t="str">
        <f>IFERROR(__xludf.DUMMYFUNCTION("""COMPUTED_VALUE"""),"")</f>
        <v/>
      </c>
    </row>
    <row r="2037">
      <c r="A2037" s="16" t="s">
        <v>87</v>
      </c>
      <c r="E2037" s="16" t="str">
        <f>IFERROR(__xludf.DUMMYFUNCTION("""COMPUTED_VALUE"""),"")</f>
        <v/>
      </c>
      <c r="G2037" s="18"/>
      <c r="H2037" s="16" t="s">
        <v>87</v>
      </c>
      <c r="I2037" s="16" t="s">
        <v>87</v>
      </c>
      <c r="J2037" s="19"/>
      <c r="L2037" s="16" t="str">
        <f>IFERROR(__xludf.DUMMYFUNCTION("""COMPUTED_VALUE"""),"")</f>
        <v/>
      </c>
      <c r="M2037" s="16" t="str">
        <f>IFERROR(__xludf.DUMMYFUNCTION("""COMPUTED_VALUE"""),"")</f>
        <v/>
      </c>
      <c r="U2037" s="16" t="s">
        <v>87</v>
      </c>
      <c r="V2037" s="16" t="str">
        <f>IFERROR(__xludf.DUMMYFUNCTION("""COMPUTED_VALUE"""),"")</f>
        <v/>
      </c>
      <c r="W2037" s="16" t="str">
        <f>IFERROR(__xludf.DUMMYFUNCTION("""COMPUTED_VALUE"""),"")</f>
        <v/>
      </c>
      <c r="X2037" s="16" t="str">
        <f>IFERROR(__xludf.DUMMYFUNCTION("""COMPUTED_VALUE"""),"")</f>
        <v/>
      </c>
      <c r="AC2037" s="16" t="str">
        <f>IFERROR(__xludf.DUMMYFUNCTION("""COMPUTED_VALUE"""),"")</f>
        <v/>
      </c>
    </row>
    <row r="2038">
      <c r="A2038" s="16" t="s">
        <v>87</v>
      </c>
      <c r="E2038" s="16" t="str">
        <f>IFERROR(__xludf.DUMMYFUNCTION("""COMPUTED_VALUE"""),"")</f>
        <v/>
      </c>
      <c r="G2038" s="18"/>
      <c r="H2038" s="16" t="s">
        <v>87</v>
      </c>
      <c r="I2038" s="16" t="s">
        <v>87</v>
      </c>
      <c r="J2038" s="19"/>
      <c r="L2038" s="16" t="str">
        <f>IFERROR(__xludf.DUMMYFUNCTION("""COMPUTED_VALUE"""),"")</f>
        <v/>
      </c>
      <c r="M2038" s="16" t="str">
        <f>IFERROR(__xludf.DUMMYFUNCTION("""COMPUTED_VALUE"""),"")</f>
        <v/>
      </c>
      <c r="U2038" s="16" t="s">
        <v>87</v>
      </c>
      <c r="V2038" s="16" t="str">
        <f>IFERROR(__xludf.DUMMYFUNCTION("""COMPUTED_VALUE"""),"")</f>
        <v/>
      </c>
      <c r="W2038" s="16" t="str">
        <f>IFERROR(__xludf.DUMMYFUNCTION("""COMPUTED_VALUE"""),"")</f>
        <v/>
      </c>
      <c r="X2038" s="16" t="str">
        <f>IFERROR(__xludf.DUMMYFUNCTION("""COMPUTED_VALUE"""),"")</f>
        <v/>
      </c>
      <c r="AC2038" s="16" t="str">
        <f>IFERROR(__xludf.DUMMYFUNCTION("""COMPUTED_VALUE"""),"")</f>
        <v/>
      </c>
    </row>
    <row r="2039">
      <c r="A2039" s="16" t="s">
        <v>87</v>
      </c>
      <c r="E2039" s="16" t="str">
        <f>IFERROR(__xludf.DUMMYFUNCTION("""COMPUTED_VALUE"""),"")</f>
        <v/>
      </c>
      <c r="G2039" s="18"/>
      <c r="H2039" s="16" t="s">
        <v>87</v>
      </c>
      <c r="I2039" s="16" t="s">
        <v>87</v>
      </c>
      <c r="J2039" s="19"/>
      <c r="L2039" s="16" t="str">
        <f>IFERROR(__xludf.DUMMYFUNCTION("""COMPUTED_VALUE"""),"")</f>
        <v/>
      </c>
      <c r="M2039" s="16" t="str">
        <f>IFERROR(__xludf.DUMMYFUNCTION("""COMPUTED_VALUE"""),"")</f>
        <v/>
      </c>
      <c r="U2039" s="16" t="s">
        <v>87</v>
      </c>
      <c r="V2039" s="16" t="str">
        <f>IFERROR(__xludf.DUMMYFUNCTION("""COMPUTED_VALUE"""),"")</f>
        <v/>
      </c>
      <c r="W2039" s="16" t="str">
        <f>IFERROR(__xludf.DUMMYFUNCTION("""COMPUTED_VALUE"""),"")</f>
        <v/>
      </c>
      <c r="X2039" s="16" t="str">
        <f>IFERROR(__xludf.DUMMYFUNCTION("""COMPUTED_VALUE"""),"")</f>
        <v/>
      </c>
      <c r="AC2039" s="16" t="str">
        <f>IFERROR(__xludf.DUMMYFUNCTION("""COMPUTED_VALUE"""),"")</f>
        <v/>
      </c>
    </row>
    <row r="2040">
      <c r="A2040" s="16" t="s">
        <v>87</v>
      </c>
      <c r="E2040" s="16" t="str">
        <f>IFERROR(__xludf.DUMMYFUNCTION("""COMPUTED_VALUE"""),"")</f>
        <v/>
      </c>
      <c r="G2040" s="18"/>
      <c r="H2040" s="16" t="s">
        <v>87</v>
      </c>
      <c r="I2040" s="16" t="s">
        <v>87</v>
      </c>
      <c r="J2040" s="19"/>
      <c r="L2040" s="16" t="str">
        <f>IFERROR(__xludf.DUMMYFUNCTION("""COMPUTED_VALUE"""),"")</f>
        <v/>
      </c>
      <c r="M2040" s="16" t="str">
        <f>IFERROR(__xludf.DUMMYFUNCTION("""COMPUTED_VALUE"""),"")</f>
        <v/>
      </c>
      <c r="U2040" s="16" t="s">
        <v>87</v>
      </c>
      <c r="V2040" s="16" t="str">
        <f>IFERROR(__xludf.DUMMYFUNCTION("""COMPUTED_VALUE"""),"")</f>
        <v/>
      </c>
      <c r="W2040" s="16" t="str">
        <f>IFERROR(__xludf.DUMMYFUNCTION("""COMPUTED_VALUE"""),"")</f>
        <v/>
      </c>
      <c r="X2040" s="16" t="str">
        <f>IFERROR(__xludf.DUMMYFUNCTION("""COMPUTED_VALUE"""),"")</f>
        <v/>
      </c>
      <c r="AC2040" s="16" t="str">
        <f>IFERROR(__xludf.DUMMYFUNCTION("""COMPUTED_VALUE"""),"")</f>
        <v/>
      </c>
    </row>
    <row r="2041">
      <c r="A2041" s="16" t="s">
        <v>87</v>
      </c>
      <c r="E2041" s="16" t="str">
        <f>IFERROR(__xludf.DUMMYFUNCTION("""COMPUTED_VALUE"""),"")</f>
        <v/>
      </c>
      <c r="G2041" s="18"/>
      <c r="H2041" s="16" t="s">
        <v>87</v>
      </c>
      <c r="I2041" s="16" t="s">
        <v>87</v>
      </c>
      <c r="J2041" s="19"/>
      <c r="L2041" s="16" t="str">
        <f>IFERROR(__xludf.DUMMYFUNCTION("""COMPUTED_VALUE"""),"")</f>
        <v/>
      </c>
      <c r="M2041" s="16" t="str">
        <f>IFERROR(__xludf.DUMMYFUNCTION("""COMPUTED_VALUE"""),"")</f>
        <v/>
      </c>
      <c r="U2041" s="16" t="s">
        <v>87</v>
      </c>
      <c r="V2041" s="16" t="str">
        <f>IFERROR(__xludf.DUMMYFUNCTION("""COMPUTED_VALUE"""),"")</f>
        <v/>
      </c>
      <c r="W2041" s="16" t="str">
        <f>IFERROR(__xludf.DUMMYFUNCTION("""COMPUTED_VALUE"""),"")</f>
        <v/>
      </c>
      <c r="X2041" s="16" t="str">
        <f>IFERROR(__xludf.DUMMYFUNCTION("""COMPUTED_VALUE"""),"")</f>
        <v/>
      </c>
      <c r="AC2041" s="16" t="str">
        <f>IFERROR(__xludf.DUMMYFUNCTION("""COMPUTED_VALUE"""),"")</f>
        <v/>
      </c>
    </row>
    <row r="2042">
      <c r="A2042" s="16" t="s">
        <v>87</v>
      </c>
      <c r="E2042" s="16" t="str">
        <f>IFERROR(__xludf.DUMMYFUNCTION("""COMPUTED_VALUE"""),"")</f>
        <v/>
      </c>
      <c r="G2042" s="18"/>
      <c r="H2042" s="16" t="s">
        <v>87</v>
      </c>
      <c r="I2042" s="16" t="s">
        <v>87</v>
      </c>
      <c r="J2042" s="19"/>
      <c r="L2042" s="16" t="str">
        <f>IFERROR(__xludf.DUMMYFUNCTION("""COMPUTED_VALUE"""),"")</f>
        <v/>
      </c>
      <c r="M2042" s="16" t="str">
        <f>IFERROR(__xludf.DUMMYFUNCTION("""COMPUTED_VALUE"""),"")</f>
        <v/>
      </c>
      <c r="U2042" s="16" t="s">
        <v>87</v>
      </c>
      <c r="V2042" s="16" t="str">
        <f>IFERROR(__xludf.DUMMYFUNCTION("""COMPUTED_VALUE"""),"")</f>
        <v/>
      </c>
      <c r="W2042" s="16" t="str">
        <f>IFERROR(__xludf.DUMMYFUNCTION("""COMPUTED_VALUE"""),"")</f>
        <v/>
      </c>
      <c r="X2042" s="16" t="str">
        <f>IFERROR(__xludf.DUMMYFUNCTION("""COMPUTED_VALUE"""),"")</f>
        <v/>
      </c>
      <c r="AC2042" s="16" t="str">
        <f>IFERROR(__xludf.DUMMYFUNCTION("""COMPUTED_VALUE"""),"")</f>
        <v/>
      </c>
    </row>
    <row r="2043">
      <c r="A2043" s="16" t="s">
        <v>87</v>
      </c>
      <c r="E2043" s="16" t="str">
        <f>IFERROR(__xludf.DUMMYFUNCTION("""COMPUTED_VALUE"""),"")</f>
        <v/>
      </c>
      <c r="G2043" s="18"/>
      <c r="H2043" s="16" t="s">
        <v>87</v>
      </c>
      <c r="I2043" s="16" t="s">
        <v>87</v>
      </c>
      <c r="J2043" s="19"/>
      <c r="L2043" s="16" t="str">
        <f>IFERROR(__xludf.DUMMYFUNCTION("""COMPUTED_VALUE"""),"")</f>
        <v/>
      </c>
      <c r="M2043" s="16" t="str">
        <f>IFERROR(__xludf.DUMMYFUNCTION("""COMPUTED_VALUE"""),"")</f>
        <v/>
      </c>
      <c r="U2043" s="16" t="s">
        <v>87</v>
      </c>
      <c r="V2043" s="16" t="str">
        <f>IFERROR(__xludf.DUMMYFUNCTION("""COMPUTED_VALUE"""),"")</f>
        <v/>
      </c>
      <c r="W2043" s="16" t="str">
        <f>IFERROR(__xludf.DUMMYFUNCTION("""COMPUTED_VALUE"""),"")</f>
        <v/>
      </c>
      <c r="X2043" s="16" t="str">
        <f>IFERROR(__xludf.DUMMYFUNCTION("""COMPUTED_VALUE"""),"")</f>
        <v/>
      </c>
      <c r="AC2043" s="16" t="str">
        <f>IFERROR(__xludf.DUMMYFUNCTION("""COMPUTED_VALUE"""),"")</f>
        <v/>
      </c>
    </row>
    <row r="2044">
      <c r="A2044" s="16" t="s">
        <v>87</v>
      </c>
      <c r="E2044" s="16" t="str">
        <f>IFERROR(__xludf.DUMMYFUNCTION("""COMPUTED_VALUE"""),"")</f>
        <v/>
      </c>
      <c r="G2044" s="18"/>
      <c r="H2044" s="16" t="s">
        <v>87</v>
      </c>
      <c r="I2044" s="16" t="s">
        <v>87</v>
      </c>
      <c r="J2044" s="19"/>
      <c r="L2044" s="16" t="str">
        <f>IFERROR(__xludf.DUMMYFUNCTION("""COMPUTED_VALUE"""),"")</f>
        <v/>
      </c>
      <c r="M2044" s="16" t="str">
        <f>IFERROR(__xludf.DUMMYFUNCTION("""COMPUTED_VALUE"""),"")</f>
        <v/>
      </c>
      <c r="U2044" s="16" t="s">
        <v>87</v>
      </c>
      <c r="V2044" s="16" t="str">
        <f>IFERROR(__xludf.DUMMYFUNCTION("""COMPUTED_VALUE"""),"")</f>
        <v/>
      </c>
      <c r="W2044" s="16" t="str">
        <f>IFERROR(__xludf.DUMMYFUNCTION("""COMPUTED_VALUE"""),"")</f>
        <v/>
      </c>
      <c r="X2044" s="16" t="str">
        <f>IFERROR(__xludf.DUMMYFUNCTION("""COMPUTED_VALUE"""),"")</f>
        <v/>
      </c>
      <c r="AC2044" s="16" t="str">
        <f>IFERROR(__xludf.DUMMYFUNCTION("""COMPUTED_VALUE"""),"")</f>
        <v/>
      </c>
    </row>
    <row r="2045">
      <c r="A2045" s="16" t="s">
        <v>87</v>
      </c>
      <c r="E2045" s="16" t="str">
        <f>IFERROR(__xludf.DUMMYFUNCTION("""COMPUTED_VALUE"""),"")</f>
        <v/>
      </c>
      <c r="G2045" s="18"/>
      <c r="H2045" s="16" t="s">
        <v>87</v>
      </c>
      <c r="I2045" s="16" t="s">
        <v>87</v>
      </c>
      <c r="J2045" s="19"/>
      <c r="L2045" s="16" t="str">
        <f>IFERROR(__xludf.DUMMYFUNCTION("""COMPUTED_VALUE"""),"")</f>
        <v/>
      </c>
      <c r="M2045" s="16" t="str">
        <f>IFERROR(__xludf.DUMMYFUNCTION("""COMPUTED_VALUE"""),"")</f>
        <v/>
      </c>
      <c r="U2045" s="16" t="s">
        <v>87</v>
      </c>
      <c r="V2045" s="16" t="str">
        <f>IFERROR(__xludf.DUMMYFUNCTION("""COMPUTED_VALUE"""),"")</f>
        <v/>
      </c>
      <c r="W2045" s="16" t="str">
        <f>IFERROR(__xludf.DUMMYFUNCTION("""COMPUTED_VALUE"""),"")</f>
        <v/>
      </c>
      <c r="X2045" s="16" t="str">
        <f>IFERROR(__xludf.DUMMYFUNCTION("""COMPUTED_VALUE"""),"")</f>
        <v/>
      </c>
      <c r="AC2045" s="16" t="str">
        <f>IFERROR(__xludf.DUMMYFUNCTION("""COMPUTED_VALUE"""),"")</f>
        <v/>
      </c>
    </row>
    <row r="2046">
      <c r="A2046" s="16" t="s">
        <v>87</v>
      </c>
      <c r="E2046" s="16" t="str">
        <f>IFERROR(__xludf.DUMMYFUNCTION("""COMPUTED_VALUE"""),"")</f>
        <v/>
      </c>
      <c r="G2046" s="18"/>
      <c r="H2046" s="16" t="s">
        <v>87</v>
      </c>
      <c r="I2046" s="16" t="s">
        <v>87</v>
      </c>
      <c r="J2046" s="19"/>
      <c r="L2046" s="16" t="str">
        <f>IFERROR(__xludf.DUMMYFUNCTION("""COMPUTED_VALUE"""),"")</f>
        <v/>
      </c>
      <c r="M2046" s="16" t="str">
        <f>IFERROR(__xludf.DUMMYFUNCTION("""COMPUTED_VALUE"""),"")</f>
        <v/>
      </c>
      <c r="U2046" s="16" t="s">
        <v>87</v>
      </c>
      <c r="V2046" s="16" t="str">
        <f>IFERROR(__xludf.DUMMYFUNCTION("""COMPUTED_VALUE"""),"")</f>
        <v/>
      </c>
      <c r="W2046" s="16" t="str">
        <f>IFERROR(__xludf.DUMMYFUNCTION("""COMPUTED_VALUE"""),"")</f>
        <v/>
      </c>
      <c r="X2046" s="16" t="str">
        <f>IFERROR(__xludf.DUMMYFUNCTION("""COMPUTED_VALUE"""),"")</f>
        <v/>
      </c>
      <c r="AC2046" s="16" t="str">
        <f>IFERROR(__xludf.DUMMYFUNCTION("""COMPUTED_VALUE"""),"")</f>
        <v/>
      </c>
    </row>
    <row r="2047">
      <c r="A2047" s="16" t="s">
        <v>87</v>
      </c>
      <c r="E2047" s="16" t="str">
        <f>IFERROR(__xludf.DUMMYFUNCTION("""COMPUTED_VALUE"""),"")</f>
        <v/>
      </c>
      <c r="G2047" s="18"/>
      <c r="H2047" s="16" t="s">
        <v>87</v>
      </c>
      <c r="I2047" s="16" t="s">
        <v>87</v>
      </c>
      <c r="J2047" s="19"/>
      <c r="L2047" s="16" t="str">
        <f>IFERROR(__xludf.DUMMYFUNCTION("""COMPUTED_VALUE"""),"")</f>
        <v/>
      </c>
      <c r="M2047" s="16" t="str">
        <f>IFERROR(__xludf.DUMMYFUNCTION("""COMPUTED_VALUE"""),"")</f>
        <v/>
      </c>
      <c r="U2047" s="16" t="s">
        <v>87</v>
      </c>
      <c r="V2047" s="16" t="str">
        <f>IFERROR(__xludf.DUMMYFUNCTION("""COMPUTED_VALUE"""),"")</f>
        <v/>
      </c>
      <c r="W2047" s="16" t="str">
        <f>IFERROR(__xludf.DUMMYFUNCTION("""COMPUTED_VALUE"""),"")</f>
        <v/>
      </c>
      <c r="X2047" s="16" t="str">
        <f>IFERROR(__xludf.DUMMYFUNCTION("""COMPUTED_VALUE"""),"")</f>
        <v/>
      </c>
      <c r="AC2047" s="16" t="str">
        <f>IFERROR(__xludf.DUMMYFUNCTION("""COMPUTED_VALUE"""),"")</f>
        <v/>
      </c>
    </row>
    <row r="2048">
      <c r="A2048" s="16" t="s">
        <v>87</v>
      </c>
      <c r="E2048" s="16" t="str">
        <f>IFERROR(__xludf.DUMMYFUNCTION("""COMPUTED_VALUE"""),"")</f>
        <v/>
      </c>
      <c r="G2048" s="18"/>
      <c r="H2048" s="16" t="s">
        <v>87</v>
      </c>
      <c r="I2048" s="16" t="s">
        <v>87</v>
      </c>
      <c r="J2048" s="19"/>
      <c r="L2048" s="16" t="str">
        <f>IFERROR(__xludf.DUMMYFUNCTION("""COMPUTED_VALUE"""),"")</f>
        <v/>
      </c>
      <c r="M2048" s="16" t="str">
        <f>IFERROR(__xludf.DUMMYFUNCTION("""COMPUTED_VALUE"""),"")</f>
        <v/>
      </c>
      <c r="U2048" s="16" t="s">
        <v>87</v>
      </c>
      <c r="V2048" s="16" t="str">
        <f>IFERROR(__xludf.DUMMYFUNCTION("""COMPUTED_VALUE"""),"")</f>
        <v/>
      </c>
      <c r="W2048" s="16" t="str">
        <f>IFERROR(__xludf.DUMMYFUNCTION("""COMPUTED_VALUE"""),"")</f>
        <v/>
      </c>
      <c r="X2048" s="16" t="str">
        <f>IFERROR(__xludf.DUMMYFUNCTION("""COMPUTED_VALUE"""),"")</f>
        <v/>
      </c>
      <c r="AC2048" s="16" t="str">
        <f>IFERROR(__xludf.DUMMYFUNCTION("""COMPUTED_VALUE"""),"")</f>
        <v/>
      </c>
    </row>
    <row r="2049">
      <c r="A2049" s="16" t="s">
        <v>87</v>
      </c>
      <c r="E2049" s="16" t="str">
        <f>IFERROR(__xludf.DUMMYFUNCTION("""COMPUTED_VALUE"""),"")</f>
        <v/>
      </c>
      <c r="G2049" s="18"/>
      <c r="H2049" s="16" t="s">
        <v>87</v>
      </c>
      <c r="I2049" s="16" t="s">
        <v>87</v>
      </c>
      <c r="J2049" s="19"/>
      <c r="L2049" s="16" t="str">
        <f>IFERROR(__xludf.DUMMYFUNCTION("""COMPUTED_VALUE"""),"")</f>
        <v/>
      </c>
      <c r="M2049" s="16" t="str">
        <f>IFERROR(__xludf.DUMMYFUNCTION("""COMPUTED_VALUE"""),"")</f>
        <v/>
      </c>
      <c r="U2049" s="16" t="s">
        <v>87</v>
      </c>
      <c r="V2049" s="16" t="str">
        <f>IFERROR(__xludf.DUMMYFUNCTION("""COMPUTED_VALUE"""),"")</f>
        <v/>
      </c>
      <c r="W2049" s="16" t="str">
        <f>IFERROR(__xludf.DUMMYFUNCTION("""COMPUTED_VALUE"""),"")</f>
        <v/>
      </c>
      <c r="X2049" s="16" t="str">
        <f>IFERROR(__xludf.DUMMYFUNCTION("""COMPUTED_VALUE"""),"")</f>
        <v/>
      </c>
      <c r="AC2049" s="16" t="str">
        <f>IFERROR(__xludf.DUMMYFUNCTION("""COMPUTED_VALUE"""),"")</f>
        <v/>
      </c>
    </row>
    <row r="2050">
      <c r="A2050" s="16" t="s">
        <v>87</v>
      </c>
      <c r="E2050" s="16" t="str">
        <f>IFERROR(__xludf.DUMMYFUNCTION("""COMPUTED_VALUE"""),"")</f>
        <v/>
      </c>
      <c r="G2050" s="18"/>
      <c r="H2050" s="16" t="s">
        <v>87</v>
      </c>
      <c r="I2050" s="16" t="s">
        <v>87</v>
      </c>
      <c r="J2050" s="19"/>
      <c r="L2050" s="16" t="str">
        <f>IFERROR(__xludf.DUMMYFUNCTION("""COMPUTED_VALUE"""),"")</f>
        <v/>
      </c>
      <c r="M2050" s="16" t="str">
        <f>IFERROR(__xludf.DUMMYFUNCTION("""COMPUTED_VALUE"""),"")</f>
        <v/>
      </c>
      <c r="U2050" s="16" t="s">
        <v>87</v>
      </c>
      <c r="V2050" s="16" t="str">
        <f>IFERROR(__xludf.DUMMYFUNCTION("""COMPUTED_VALUE"""),"")</f>
        <v/>
      </c>
      <c r="W2050" s="16" t="str">
        <f>IFERROR(__xludf.DUMMYFUNCTION("""COMPUTED_VALUE"""),"")</f>
        <v/>
      </c>
      <c r="X2050" s="16" t="str">
        <f>IFERROR(__xludf.DUMMYFUNCTION("""COMPUTED_VALUE"""),"")</f>
        <v/>
      </c>
      <c r="AC2050" s="16" t="str">
        <f>IFERROR(__xludf.DUMMYFUNCTION("""COMPUTED_VALUE"""),"")</f>
        <v/>
      </c>
    </row>
    <row r="2051">
      <c r="A2051" s="16" t="s">
        <v>87</v>
      </c>
      <c r="E2051" s="16" t="str">
        <f>IFERROR(__xludf.DUMMYFUNCTION("""COMPUTED_VALUE"""),"")</f>
        <v/>
      </c>
      <c r="G2051" s="18"/>
      <c r="H2051" s="16" t="s">
        <v>87</v>
      </c>
      <c r="I2051" s="16" t="s">
        <v>87</v>
      </c>
      <c r="J2051" s="19"/>
      <c r="L2051" s="16" t="str">
        <f>IFERROR(__xludf.DUMMYFUNCTION("""COMPUTED_VALUE"""),"")</f>
        <v/>
      </c>
      <c r="M2051" s="16" t="str">
        <f>IFERROR(__xludf.DUMMYFUNCTION("""COMPUTED_VALUE"""),"")</f>
        <v/>
      </c>
      <c r="U2051" s="16" t="s">
        <v>87</v>
      </c>
      <c r="V2051" s="16" t="str">
        <f>IFERROR(__xludf.DUMMYFUNCTION("""COMPUTED_VALUE"""),"")</f>
        <v/>
      </c>
      <c r="W2051" s="16" t="str">
        <f>IFERROR(__xludf.DUMMYFUNCTION("""COMPUTED_VALUE"""),"")</f>
        <v/>
      </c>
      <c r="X2051" s="16" t="str">
        <f>IFERROR(__xludf.DUMMYFUNCTION("""COMPUTED_VALUE"""),"")</f>
        <v/>
      </c>
      <c r="AC2051" s="16" t="str">
        <f>IFERROR(__xludf.DUMMYFUNCTION("""COMPUTED_VALUE"""),"")</f>
        <v/>
      </c>
    </row>
    <row r="2052">
      <c r="A2052" s="16" t="s">
        <v>87</v>
      </c>
      <c r="E2052" s="16" t="str">
        <f>IFERROR(__xludf.DUMMYFUNCTION("""COMPUTED_VALUE"""),"")</f>
        <v/>
      </c>
      <c r="G2052" s="18"/>
      <c r="H2052" s="16" t="s">
        <v>87</v>
      </c>
      <c r="I2052" s="16" t="s">
        <v>87</v>
      </c>
      <c r="J2052" s="19"/>
      <c r="L2052" s="16" t="str">
        <f>IFERROR(__xludf.DUMMYFUNCTION("""COMPUTED_VALUE"""),"")</f>
        <v/>
      </c>
      <c r="M2052" s="16" t="str">
        <f>IFERROR(__xludf.DUMMYFUNCTION("""COMPUTED_VALUE"""),"")</f>
        <v/>
      </c>
      <c r="U2052" s="16" t="s">
        <v>87</v>
      </c>
      <c r="V2052" s="16" t="str">
        <f>IFERROR(__xludf.DUMMYFUNCTION("""COMPUTED_VALUE"""),"")</f>
        <v/>
      </c>
      <c r="W2052" s="16" t="str">
        <f>IFERROR(__xludf.DUMMYFUNCTION("""COMPUTED_VALUE"""),"")</f>
        <v/>
      </c>
      <c r="X2052" s="16" t="str">
        <f>IFERROR(__xludf.DUMMYFUNCTION("""COMPUTED_VALUE"""),"")</f>
        <v/>
      </c>
      <c r="AC2052" s="16" t="str">
        <f>IFERROR(__xludf.DUMMYFUNCTION("""COMPUTED_VALUE"""),"")</f>
        <v/>
      </c>
    </row>
    <row r="2053">
      <c r="A2053" s="16" t="s">
        <v>87</v>
      </c>
      <c r="E2053" s="16" t="str">
        <f>IFERROR(__xludf.DUMMYFUNCTION("""COMPUTED_VALUE"""),"")</f>
        <v/>
      </c>
      <c r="G2053" s="18"/>
      <c r="H2053" s="16" t="s">
        <v>87</v>
      </c>
      <c r="I2053" s="16" t="s">
        <v>87</v>
      </c>
      <c r="J2053" s="19"/>
      <c r="L2053" s="16" t="str">
        <f>IFERROR(__xludf.DUMMYFUNCTION("""COMPUTED_VALUE"""),"")</f>
        <v/>
      </c>
      <c r="M2053" s="16" t="str">
        <f>IFERROR(__xludf.DUMMYFUNCTION("""COMPUTED_VALUE"""),"")</f>
        <v/>
      </c>
      <c r="U2053" s="16" t="s">
        <v>87</v>
      </c>
      <c r="V2053" s="16" t="str">
        <f>IFERROR(__xludf.DUMMYFUNCTION("""COMPUTED_VALUE"""),"")</f>
        <v/>
      </c>
      <c r="W2053" s="16" t="str">
        <f>IFERROR(__xludf.DUMMYFUNCTION("""COMPUTED_VALUE"""),"")</f>
        <v/>
      </c>
      <c r="X2053" s="16" t="str">
        <f>IFERROR(__xludf.DUMMYFUNCTION("""COMPUTED_VALUE"""),"")</f>
        <v/>
      </c>
      <c r="AC2053" s="16" t="str">
        <f>IFERROR(__xludf.DUMMYFUNCTION("""COMPUTED_VALUE"""),"")</f>
        <v/>
      </c>
    </row>
    <row r="2054">
      <c r="A2054" s="16" t="s">
        <v>87</v>
      </c>
      <c r="E2054" s="16" t="str">
        <f>IFERROR(__xludf.DUMMYFUNCTION("""COMPUTED_VALUE"""),"")</f>
        <v/>
      </c>
      <c r="G2054" s="18"/>
      <c r="H2054" s="16" t="s">
        <v>87</v>
      </c>
      <c r="I2054" s="16" t="s">
        <v>87</v>
      </c>
      <c r="J2054" s="19"/>
      <c r="L2054" s="16" t="str">
        <f>IFERROR(__xludf.DUMMYFUNCTION("""COMPUTED_VALUE"""),"")</f>
        <v/>
      </c>
      <c r="M2054" s="16" t="str">
        <f>IFERROR(__xludf.DUMMYFUNCTION("""COMPUTED_VALUE"""),"")</f>
        <v/>
      </c>
      <c r="U2054" s="16" t="s">
        <v>87</v>
      </c>
      <c r="V2054" s="16" t="str">
        <f>IFERROR(__xludf.DUMMYFUNCTION("""COMPUTED_VALUE"""),"")</f>
        <v/>
      </c>
      <c r="W2054" s="16" t="str">
        <f>IFERROR(__xludf.DUMMYFUNCTION("""COMPUTED_VALUE"""),"")</f>
        <v/>
      </c>
      <c r="X2054" s="16" t="str">
        <f>IFERROR(__xludf.DUMMYFUNCTION("""COMPUTED_VALUE"""),"")</f>
        <v/>
      </c>
      <c r="AC2054" s="16" t="str">
        <f>IFERROR(__xludf.DUMMYFUNCTION("""COMPUTED_VALUE"""),"")</f>
        <v/>
      </c>
    </row>
    <row r="2055">
      <c r="A2055" s="16" t="s">
        <v>87</v>
      </c>
      <c r="E2055" s="16" t="str">
        <f>IFERROR(__xludf.DUMMYFUNCTION("""COMPUTED_VALUE"""),"")</f>
        <v/>
      </c>
      <c r="G2055" s="18"/>
      <c r="H2055" s="16" t="s">
        <v>87</v>
      </c>
      <c r="I2055" s="16" t="s">
        <v>87</v>
      </c>
      <c r="J2055" s="19"/>
      <c r="L2055" s="16" t="str">
        <f>IFERROR(__xludf.DUMMYFUNCTION("""COMPUTED_VALUE"""),"")</f>
        <v/>
      </c>
      <c r="M2055" s="16" t="str">
        <f>IFERROR(__xludf.DUMMYFUNCTION("""COMPUTED_VALUE"""),"")</f>
        <v/>
      </c>
      <c r="U2055" s="16" t="s">
        <v>87</v>
      </c>
      <c r="V2055" s="16" t="str">
        <f>IFERROR(__xludf.DUMMYFUNCTION("""COMPUTED_VALUE"""),"")</f>
        <v/>
      </c>
      <c r="W2055" s="16" t="str">
        <f>IFERROR(__xludf.DUMMYFUNCTION("""COMPUTED_VALUE"""),"")</f>
        <v/>
      </c>
      <c r="X2055" s="16" t="str">
        <f>IFERROR(__xludf.DUMMYFUNCTION("""COMPUTED_VALUE"""),"")</f>
        <v/>
      </c>
      <c r="AC2055" s="16" t="str">
        <f>IFERROR(__xludf.DUMMYFUNCTION("""COMPUTED_VALUE"""),"")</f>
        <v/>
      </c>
    </row>
    <row r="2056">
      <c r="A2056" s="16" t="s">
        <v>87</v>
      </c>
      <c r="E2056" s="16" t="str">
        <f>IFERROR(__xludf.DUMMYFUNCTION("""COMPUTED_VALUE"""),"")</f>
        <v/>
      </c>
      <c r="G2056" s="18"/>
      <c r="H2056" s="16" t="s">
        <v>87</v>
      </c>
      <c r="I2056" s="16" t="s">
        <v>87</v>
      </c>
      <c r="J2056" s="19"/>
      <c r="L2056" s="16" t="str">
        <f>IFERROR(__xludf.DUMMYFUNCTION("""COMPUTED_VALUE"""),"")</f>
        <v/>
      </c>
      <c r="M2056" s="16" t="str">
        <f>IFERROR(__xludf.DUMMYFUNCTION("""COMPUTED_VALUE"""),"")</f>
        <v/>
      </c>
      <c r="U2056" s="16" t="s">
        <v>87</v>
      </c>
      <c r="V2056" s="16" t="str">
        <f>IFERROR(__xludf.DUMMYFUNCTION("""COMPUTED_VALUE"""),"")</f>
        <v/>
      </c>
      <c r="W2056" s="16" t="str">
        <f>IFERROR(__xludf.DUMMYFUNCTION("""COMPUTED_VALUE"""),"")</f>
        <v/>
      </c>
      <c r="X2056" s="16" t="str">
        <f>IFERROR(__xludf.DUMMYFUNCTION("""COMPUTED_VALUE"""),"")</f>
        <v/>
      </c>
      <c r="AC2056" s="16" t="str">
        <f>IFERROR(__xludf.DUMMYFUNCTION("""COMPUTED_VALUE"""),"")</f>
        <v/>
      </c>
    </row>
    <row r="2057">
      <c r="A2057" s="16" t="s">
        <v>87</v>
      </c>
      <c r="E2057" s="16" t="str">
        <f>IFERROR(__xludf.DUMMYFUNCTION("""COMPUTED_VALUE"""),"")</f>
        <v/>
      </c>
      <c r="G2057" s="18"/>
      <c r="H2057" s="16" t="s">
        <v>87</v>
      </c>
      <c r="I2057" s="16" t="s">
        <v>87</v>
      </c>
      <c r="J2057" s="19"/>
      <c r="L2057" s="16" t="str">
        <f>IFERROR(__xludf.DUMMYFUNCTION("""COMPUTED_VALUE"""),"")</f>
        <v/>
      </c>
      <c r="M2057" s="16" t="str">
        <f>IFERROR(__xludf.DUMMYFUNCTION("""COMPUTED_VALUE"""),"")</f>
        <v/>
      </c>
      <c r="U2057" s="16" t="s">
        <v>87</v>
      </c>
      <c r="V2057" s="16" t="str">
        <f>IFERROR(__xludf.DUMMYFUNCTION("""COMPUTED_VALUE"""),"")</f>
        <v/>
      </c>
      <c r="W2057" s="16" t="str">
        <f>IFERROR(__xludf.DUMMYFUNCTION("""COMPUTED_VALUE"""),"")</f>
        <v/>
      </c>
      <c r="X2057" s="16" t="str">
        <f>IFERROR(__xludf.DUMMYFUNCTION("""COMPUTED_VALUE"""),"")</f>
        <v/>
      </c>
      <c r="AC2057" s="16" t="str">
        <f>IFERROR(__xludf.DUMMYFUNCTION("""COMPUTED_VALUE"""),"")</f>
        <v/>
      </c>
    </row>
    <row r="2058">
      <c r="A2058" s="16" t="s">
        <v>87</v>
      </c>
      <c r="E2058" s="16" t="str">
        <f>IFERROR(__xludf.DUMMYFUNCTION("""COMPUTED_VALUE"""),"")</f>
        <v/>
      </c>
      <c r="G2058" s="18"/>
      <c r="H2058" s="16" t="s">
        <v>87</v>
      </c>
      <c r="I2058" s="16" t="s">
        <v>87</v>
      </c>
      <c r="J2058" s="19"/>
      <c r="L2058" s="16" t="str">
        <f>IFERROR(__xludf.DUMMYFUNCTION("""COMPUTED_VALUE"""),"")</f>
        <v/>
      </c>
      <c r="M2058" s="16" t="str">
        <f>IFERROR(__xludf.DUMMYFUNCTION("""COMPUTED_VALUE"""),"")</f>
        <v/>
      </c>
      <c r="U2058" s="16" t="s">
        <v>87</v>
      </c>
      <c r="V2058" s="16" t="str">
        <f>IFERROR(__xludf.DUMMYFUNCTION("""COMPUTED_VALUE"""),"")</f>
        <v/>
      </c>
      <c r="W2058" s="16" t="str">
        <f>IFERROR(__xludf.DUMMYFUNCTION("""COMPUTED_VALUE"""),"")</f>
        <v/>
      </c>
      <c r="X2058" s="16" t="str">
        <f>IFERROR(__xludf.DUMMYFUNCTION("""COMPUTED_VALUE"""),"")</f>
        <v/>
      </c>
      <c r="AC2058" s="16" t="str">
        <f>IFERROR(__xludf.DUMMYFUNCTION("""COMPUTED_VALUE"""),"")</f>
        <v/>
      </c>
    </row>
    <row r="2059">
      <c r="A2059" s="16" t="s">
        <v>87</v>
      </c>
      <c r="E2059" s="16" t="str">
        <f>IFERROR(__xludf.DUMMYFUNCTION("""COMPUTED_VALUE"""),"")</f>
        <v/>
      </c>
      <c r="G2059" s="18"/>
      <c r="H2059" s="16" t="s">
        <v>87</v>
      </c>
      <c r="I2059" s="16" t="s">
        <v>87</v>
      </c>
      <c r="J2059" s="19"/>
      <c r="L2059" s="16" t="str">
        <f>IFERROR(__xludf.DUMMYFUNCTION("""COMPUTED_VALUE"""),"")</f>
        <v/>
      </c>
      <c r="M2059" s="16" t="str">
        <f>IFERROR(__xludf.DUMMYFUNCTION("""COMPUTED_VALUE"""),"")</f>
        <v/>
      </c>
      <c r="U2059" s="16" t="s">
        <v>87</v>
      </c>
      <c r="V2059" s="16" t="str">
        <f>IFERROR(__xludf.DUMMYFUNCTION("""COMPUTED_VALUE"""),"")</f>
        <v/>
      </c>
      <c r="W2059" s="16" t="str">
        <f>IFERROR(__xludf.DUMMYFUNCTION("""COMPUTED_VALUE"""),"")</f>
        <v/>
      </c>
      <c r="X2059" s="16" t="str">
        <f>IFERROR(__xludf.DUMMYFUNCTION("""COMPUTED_VALUE"""),"")</f>
        <v/>
      </c>
      <c r="AC2059" s="16" t="str">
        <f>IFERROR(__xludf.DUMMYFUNCTION("""COMPUTED_VALUE"""),"")</f>
        <v/>
      </c>
    </row>
    <row r="2060">
      <c r="A2060" s="16" t="s">
        <v>87</v>
      </c>
      <c r="E2060" s="16" t="str">
        <f>IFERROR(__xludf.DUMMYFUNCTION("""COMPUTED_VALUE"""),"")</f>
        <v/>
      </c>
      <c r="G2060" s="18"/>
      <c r="H2060" s="16" t="s">
        <v>87</v>
      </c>
      <c r="I2060" s="16" t="s">
        <v>87</v>
      </c>
      <c r="J2060" s="19"/>
      <c r="L2060" s="16" t="str">
        <f>IFERROR(__xludf.DUMMYFUNCTION("""COMPUTED_VALUE"""),"")</f>
        <v/>
      </c>
      <c r="M2060" s="16" t="str">
        <f>IFERROR(__xludf.DUMMYFUNCTION("""COMPUTED_VALUE"""),"")</f>
        <v/>
      </c>
      <c r="U2060" s="16" t="s">
        <v>87</v>
      </c>
      <c r="V2060" s="16" t="str">
        <f>IFERROR(__xludf.DUMMYFUNCTION("""COMPUTED_VALUE"""),"")</f>
        <v/>
      </c>
      <c r="W2060" s="16" t="str">
        <f>IFERROR(__xludf.DUMMYFUNCTION("""COMPUTED_VALUE"""),"")</f>
        <v/>
      </c>
      <c r="X2060" s="16" t="str">
        <f>IFERROR(__xludf.DUMMYFUNCTION("""COMPUTED_VALUE"""),"")</f>
        <v/>
      </c>
      <c r="AC2060" s="16" t="str">
        <f>IFERROR(__xludf.DUMMYFUNCTION("""COMPUTED_VALUE"""),"")</f>
        <v/>
      </c>
    </row>
    <row r="2061">
      <c r="A2061" s="16" t="s">
        <v>87</v>
      </c>
      <c r="E2061" s="16" t="str">
        <f>IFERROR(__xludf.DUMMYFUNCTION("""COMPUTED_VALUE"""),"")</f>
        <v/>
      </c>
      <c r="G2061" s="18"/>
      <c r="H2061" s="16" t="s">
        <v>87</v>
      </c>
      <c r="I2061" s="16" t="s">
        <v>87</v>
      </c>
      <c r="J2061" s="19"/>
      <c r="L2061" s="16" t="str">
        <f>IFERROR(__xludf.DUMMYFUNCTION("""COMPUTED_VALUE"""),"")</f>
        <v/>
      </c>
      <c r="M2061" s="16" t="str">
        <f>IFERROR(__xludf.DUMMYFUNCTION("""COMPUTED_VALUE"""),"")</f>
        <v/>
      </c>
      <c r="U2061" s="16" t="s">
        <v>87</v>
      </c>
      <c r="V2061" s="16" t="str">
        <f>IFERROR(__xludf.DUMMYFUNCTION("""COMPUTED_VALUE"""),"")</f>
        <v/>
      </c>
      <c r="W2061" s="16" t="str">
        <f>IFERROR(__xludf.DUMMYFUNCTION("""COMPUTED_VALUE"""),"")</f>
        <v/>
      </c>
      <c r="X2061" s="16" t="str">
        <f>IFERROR(__xludf.DUMMYFUNCTION("""COMPUTED_VALUE"""),"")</f>
        <v/>
      </c>
      <c r="AC2061" s="16" t="str">
        <f>IFERROR(__xludf.DUMMYFUNCTION("""COMPUTED_VALUE"""),"")</f>
        <v/>
      </c>
    </row>
    <row r="2062">
      <c r="A2062" s="16" t="s">
        <v>87</v>
      </c>
      <c r="E2062" s="16" t="str">
        <f>IFERROR(__xludf.DUMMYFUNCTION("""COMPUTED_VALUE"""),"")</f>
        <v/>
      </c>
      <c r="G2062" s="18"/>
      <c r="H2062" s="16" t="s">
        <v>87</v>
      </c>
      <c r="I2062" s="16" t="s">
        <v>87</v>
      </c>
      <c r="J2062" s="19"/>
      <c r="L2062" s="16" t="str">
        <f>IFERROR(__xludf.DUMMYFUNCTION("""COMPUTED_VALUE"""),"")</f>
        <v/>
      </c>
      <c r="M2062" s="16" t="str">
        <f>IFERROR(__xludf.DUMMYFUNCTION("""COMPUTED_VALUE"""),"")</f>
        <v/>
      </c>
      <c r="U2062" s="16" t="s">
        <v>87</v>
      </c>
      <c r="V2062" s="16" t="str">
        <f>IFERROR(__xludf.DUMMYFUNCTION("""COMPUTED_VALUE"""),"")</f>
        <v/>
      </c>
      <c r="W2062" s="16" t="str">
        <f>IFERROR(__xludf.DUMMYFUNCTION("""COMPUTED_VALUE"""),"")</f>
        <v/>
      </c>
      <c r="X2062" s="16" t="str">
        <f>IFERROR(__xludf.DUMMYFUNCTION("""COMPUTED_VALUE"""),"")</f>
        <v/>
      </c>
      <c r="AC2062" s="16" t="str">
        <f>IFERROR(__xludf.DUMMYFUNCTION("""COMPUTED_VALUE"""),"")</f>
        <v/>
      </c>
    </row>
    <row r="2063">
      <c r="A2063" s="16" t="s">
        <v>87</v>
      </c>
      <c r="E2063" s="16" t="str">
        <f>IFERROR(__xludf.DUMMYFUNCTION("""COMPUTED_VALUE"""),"")</f>
        <v/>
      </c>
      <c r="G2063" s="18"/>
      <c r="H2063" s="16" t="s">
        <v>87</v>
      </c>
      <c r="I2063" s="16" t="s">
        <v>87</v>
      </c>
      <c r="J2063" s="19"/>
      <c r="L2063" s="16" t="str">
        <f>IFERROR(__xludf.DUMMYFUNCTION("""COMPUTED_VALUE"""),"")</f>
        <v/>
      </c>
      <c r="M2063" s="16" t="str">
        <f>IFERROR(__xludf.DUMMYFUNCTION("""COMPUTED_VALUE"""),"")</f>
        <v/>
      </c>
      <c r="U2063" s="16" t="s">
        <v>87</v>
      </c>
      <c r="V2063" s="16" t="str">
        <f>IFERROR(__xludf.DUMMYFUNCTION("""COMPUTED_VALUE"""),"")</f>
        <v/>
      </c>
      <c r="W2063" s="16" t="str">
        <f>IFERROR(__xludf.DUMMYFUNCTION("""COMPUTED_VALUE"""),"")</f>
        <v/>
      </c>
      <c r="X2063" s="16" t="str">
        <f>IFERROR(__xludf.DUMMYFUNCTION("""COMPUTED_VALUE"""),"")</f>
        <v/>
      </c>
      <c r="AC2063" s="16" t="str">
        <f>IFERROR(__xludf.DUMMYFUNCTION("""COMPUTED_VALUE"""),"")</f>
        <v/>
      </c>
    </row>
    <row r="2064">
      <c r="A2064" s="16" t="s">
        <v>87</v>
      </c>
      <c r="E2064" s="16" t="str">
        <f>IFERROR(__xludf.DUMMYFUNCTION("""COMPUTED_VALUE"""),"")</f>
        <v/>
      </c>
      <c r="G2064" s="18"/>
      <c r="H2064" s="16" t="s">
        <v>87</v>
      </c>
      <c r="I2064" s="16" t="s">
        <v>87</v>
      </c>
      <c r="J2064" s="19"/>
      <c r="L2064" s="16" t="str">
        <f>IFERROR(__xludf.DUMMYFUNCTION("""COMPUTED_VALUE"""),"")</f>
        <v/>
      </c>
      <c r="M2064" s="16" t="str">
        <f>IFERROR(__xludf.DUMMYFUNCTION("""COMPUTED_VALUE"""),"")</f>
        <v/>
      </c>
      <c r="U2064" s="16" t="s">
        <v>87</v>
      </c>
      <c r="V2064" s="16" t="str">
        <f>IFERROR(__xludf.DUMMYFUNCTION("""COMPUTED_VALUE"""),"")</f>
        <v/>
      </c>
      <c r="W2064" s="16" t="str">
        <f>IFERROR(__xludf.DUMMYFUNCTION("""COMPUTED_VALUE"""),"")</f>
        <v/>
      </c>
      <c r="X2064" s="16" t="str">
        <f>IFERROR(__xludf.DUMMYFUNCTION("""COMPUTED_VALUE"""),"")</f>
        <v/>
      </c>
      <c r="AC2064" s="16" t="str">
        <f>IFERROR(__xludf.DUMMYFUNCTION("""COMPUTED_VALUE"""),"")</f>
        <v/>
      </c>
    </row>
    <row r="2065">
      <c r="A2065" s="16" t="s">
        <v>87</v>
      </c>
      <c r="E2065" s="16" t="str">
        <f>IFERROR(__xludf.DUMMYFUNCTION("""COMPUTED_VALUE"""),"")</f>
        <v/>
      </c>
      <c r="G2065" s="18"/>
      <c r="H2065" s="16" t="s">
        <v>87</v>
      </c>
      <c r="I2065" s="16" t="s">
        <v>87</v>
      </c>
      <c r="J2065" s="19"/>
      <c r="L2065" s="16" t="str">
        <f>IFERROR(__xludf.DUMMYFUNCTION("""COMPUTED_VALUE"""),"")</f>
        <v/>
      </c>
      <c r="M2065" s="16" t="str">
        <f>IFERROR(__xludf.DUMMYFUNCTION("""COMPUTED_VALUE"""),"")</f>
        <v/>
      </c>
      <c r="U2065" s="16" t="s">
        <v>87</v>
      </c>
      <c r="V2065" s="16" t="str">
        <f>IFERROR(__xludf.DUMMYFUNCTION("""COMPUTED_VALUE"""),"")</f>
        <v/>
      </c>
      <c r="W2065" s="16" t="str">
        <f>IFERROR(__xludf.DUMMYFUNCTION("""COMPUTED_VALUE"""),"")</f>
        <v/>
      </c>
      <c r="X2065" s="16" t="str">
        <f>IFERROR(__xludf.DUMMYFUNCTION("""COMPUTED_VALUE"""),"")</f>
        <v/>
      </c>
      <c r="AC2065" s="16" t="str">
        <f>IFERROR(__xludf.DUMMYFUNCTION("""COMPUTED_VALUE"""),"")</f>
        <v/>
      </c>
    </row>
    <row r="2066">
      <c r="A2066" s="16" t="s">
        <v>87</v>
      </c>
      <c r="E2066" s="16" t="str">
        <f>IFERROR(__xludf.DUMMYFUNCTION("""COMPUTED_VALUE"""),"")</f>
        <v/>
      </c>
      <c r="G2066" s="18"/>
      <c r="H2066" s="16" t="s">
        <v>87</v>
      </c>
      <c r="I2066" s="16" t="s">
        <v>87</v>
      </c>
      <c r="J2066" s="19"/>
      <c r="L2066" s="16" t="str">
        <f>IFERROR(__xludf.DUMMYFUNCTION("""COMPUTED_VALUE"""),"")</f>
        <v/>
      </c>
      <c r="M2066" s="16" t="str">
        <f>IFERROR(__xludf.DUMMYFUNCTION("""COMPUTED_VALUE"""),"")</f>
        <v/>
      </c>
      <c r="U2066" s="16" t="s">
        <v>87</v>
      </c>
      <c r="V2066" s="16" t="str">
        <f>IFERROR(__xludf.DUMMYFUNCTION("""COMPUTED_VALUE"""),"")</f>
        <v/>
      </c>
      <c r="W2066" s="16" t="str">
        <f>IFERROR(__xludf.DUMMYFUNCTION("""COMPUTED_VALUE"""),"")</f>
        <v/>
      </c>
      <c r="X2066" s="16" t="str">
        <f>IFERROR(__xludf.DUMMYFUNCTION("""COMPUTED_VALUE"""),"")</f>
        <v/>
      </c>
      <c r="AC2066" s="16" t="str">
        <f>IFERROR(__xludf.DUMMYFUNCTION("""COMPUTED_VALUE"""),"")</f>
        <v/>
      </c>
    </row>
    <row r="2067">
      <c r="A2067" s="16" t="s">
        <v>87</v>
      </c>
      <c r="E2067" s="16" t="str">
        <f>IFERROR(__xludf.DUMMYFUNCTION("""COMPUTED_VALUE"""),"")</f>
        <v/>
      </c>
      <c r="G2067" s="18"/>
      <c r="H2067" s="16" t="s">
        <v>87</v>
      </c>
      <c r="I2067" s="16" t="s">
        <v>87</v>
      </c>
      <c r="J2067" s="19"/>
      <c r="L2067" s="16" t="str">
        <f>IFERROR(__xludf.DUMMYFUNCTION("""COMPUTED_VALUE"""),"")</f>
        <v/>
      </c>
      <c r="M2067" s="16" t="str">
        <f>IFERROR(__xludf.DUMMYFUNCTION("""COMPUTED_VALUE"""),"")</f>
        <v/>
      </c>
      <c r="U2067" s="16" t="s">
        <v>87</v>
      </c>
      <c r="V2067" s="16" t="str">
        <f>IFERROR(__xludf.DUMMYFUNCTION("""COMPUTED_VALUE"""),"")</f>
        <v/>
      </c>
      <c r="W2067" s="16" t="str">
        <f>IFERROR(__xludf.DUMMYFUNCTION("""COMPUTED_VALUE"""),"")</f>
        <v/>
      </c>
      <c r="X2067" s="16" t="str">
        <f>IFERROR(__xludf.DUMMYFUNCTION("""COMPUTED_VALUE"""),"")</f>
        <v/>
      </c>
      <c r="AC2067" s="16" t="str">
        <f>IFERROR(__xludf.DUMMYFUNCTION("""COMPUTED_VALUE"""),"")</f>
        <v/>
      </c>
    </row>
    <row r="2068">
      <c r="A2068" s="16" t="s">
        <v>87</v>
      </c>
      <c r="E2068" s="16" t="str">
        <f>IFERROR(__xludf.DUMMYFUNCTION("""COMPUTED_VALUE"""),"")</f>
        <v/>
      </c>
      <c r="G2068" s="18"/>
      <c r="H2068" s="16" t="s">
        <v>87</v>
      </c>
      <c r="I2068" s="16" t="s">
        <v>87</v>
      </c>
      <c r="J2068" s="19"/>
      <c r="L2068" s="16" t="str">
        <f>IFERROR(__xludf.DUMMYFUNCTION("""COMPUTED_VALUE"""),"")</f>
        <v/>
      </c>
      <c r="M2068" s="16" t="str">
        <f>IFERROR(__xludf.DUMMYFUNCTION("""COMPUTED_VALUE"""),"")</f>
        <v/>
      </c>
      <c r="U2068" s="16" t="s">
        <v>87</v>
      </c>
      <c r="V2068" s="16" t="str">
        <f>IFERROR(__xludf.DUMMYFUNCTION("""COMPUTED_VALUE"""),"")</f>
        <v/>
      </c>
      <c r="W2068" s="16" t="str">
        <f>IFERROR(__xludf.DUMMYFUNCTION("""COMPUTED_VALUE"""),"")</f>
        <v/>
      </c>
      <c r="X2068" s="16" t="str">
        <f>IFERROR(__xludf.DUMMYFUNCTION("""COMPUTED_VALUE"""),"")</f>
        <v/>
      </c>
      <c r="AC2068" s="16" t="str">
        <f>IFERROR(__xludf.DUMMYFUNCTION("""COMPUTED_VALUE"""),"")</f>
        <v/>
      </c>
    </row>
    <row r="2069">
      <c r="A2069" s="16" t="s">
        <v>87</v>
      </c>
      <c r="E2069" s="16" t="str">
        <f>IFERROR(__xludf.DUMMYFUNCTION("""COMPUTED_VALUE"""),"")</f>
        <v/>
      </c>
      <c r="G2069" s="18"/>
      <c r="H2069" s="16" t="s">
        <v>87</v>
      </c>
      <c r="I2069" s="16" t="s">
        <v>87</v>
      </c>
      <c r="J2069" s="19"/>
      <c r="L2069" s="16" t="str">
        <f>IFERROR(__xludf.DUMMYFUNCTION("""COMPUTED_VALUE"""),"")</f>
        <v/>
      </c>
      <c r="M2069" s="16" t="str">
        <f>IFERROR(__xludf.DUMMYFUNCTION("""COMPUTED_VALUE"""),"")</f>
        <v/>
      </c>
      <c r="U2069" s="16" t="s">
        <v>87</v>
      </c>
      <c r="V2069" s="16" t="str">
        <f>IFERROR(__xludf.DUMMYFUNCTION("""COMPUTED_VALUE"""),"")</f>
        <v/>
      </c>
      <c r="W2069" s="16" t="str">
        <f>IFERROR(__xludf.DUMMYFUNCTION("""COMPUTED_VALUE"""),"")</f>
        <v/>
      </c>
      <c r="X2069" s="16" t="str">
        <f>IFERROR(__xludf.DUMMYFUNCTION("""COMPUTED_VALUE"""),"")</f>
        <v/>
      </c>
      <c r="AC2069" s="16" t="str">
        <f>IFERROR(__xludf.DUMMYFUNCTION("""COMPUTED_VALUE"""),"")</f>
        <v/>
      </c>
    </row>
    <row r="2070">
      <c r="A2070" s="16" t="s">
        <v>87</v>
      </c>
      <c r="E2070" s="16" t="str">
        <f>IFERROR(__xludf.DUMMYFUNCTION("""COMPUTED_VALUE"""),"")</f>
        <v/>
      </c>
      <c r="G2070" s="18"/>
      <c r="H2070" s="16" t="s">
        <v>87</v>
      </c>
      <c r="I2070" s="16" t="s">
        <v>87</v>
      </c>
      <c r="J2070" s="19"/>
      <c r="L2070" s="16" t="str">
        <f>IFERROR(__xludf.DUMMYFUNCTION("""COMPUTED_VALUE"""),"")</f>
        <v/>
      </c>
      <c r="M2070" s="16" t="str">
        <f>IFERROR(__xludf.DUMMYFUNCTION("""COMPUTED_VALUE"""),"")</f>
        <v/>
      </c>
      <c r="U2070" s="16" t="s">
        <v>87</v>
      </c>
      <c r="V2070" s="16" t="str">
        <f>IFERROR(__xludf.DUMMYFUNCTION("""COMPUTED_VALUE"""),"")</f>
        <v/>
      </c>
      <c r="W2070" s="16" t="str">
        <f>IFERROR(__xludf.DUMMYFUNCTION("""COMPUTED_VALUE"""),"")</f>
        <v/>
      </c>
      <c r="X2070" s="16" t="str">
        <f>IFERROR(__xludf.DUMMYFUNCTION("""COMPUTED_VALUE"""),"")</f>
        <v/>
      </c>
      <c r="AC2070" s="16" t="str">
        <f>IFERROR(__xludf.DUMMYFUNCTION("""COMPUTED_VALUE"""),"")</f>
        <v/>
      </c>
    </row>
    <row r="2071">
      <c r="A2071" s="16" t="s">
        <v>87</v>
      </c>
      <c r="E2071" s="16" t="str">
        <f>IFERROR(__xludf.DUMMYFUNCTION("""COMPUTED_VALUE"""),"")</f>
        <v/>
      </c>
      <c r="G2071" s="18"/>
      <c r="H2071" s="16" t="s">
        <v>87</v>
      </c>
      <c r="I2071" s="16" t="s">
        <v>87</v>
      </c>
      <c r="J2071" s="19"/>
      <c r="L2071" s="16" t="str">
        <f>IFERROR(__xludf.DUMMYFUNCTION("""COMPUTED_VALUE"""),"")</f>
        <v/>
      </c>
      <c r="M2071" s="16" t="str">
        <f>IFERROR(__xludf.DUMMYFUNCTION("""COMPUTED_VALUE"""),"")</f>
        <v/>
      </c>
      <c r="U2071" s="16" t="s">
        <v>87</v>
      </c>
      <c r="V2071" s="16" t="str">
        <f>IFERROR(__xludf.DUMMYFUNCTION("""COMPUTED_VALUE"""),"")</f>
        <v/>
      </c>
      <c r="W2071" s="16" t="str">
        <f>IFERROR(__xludf.DUMMYFUNCTION("""COMPUTED_VALUE"""),"")</f>
        <v/>
      </c>
      <c r="X2071" s="16" t="str">
        <f>IFERROR(__xludf.DUMMYFUNCTION("""COMPUTED_VALUE"""),"")</f>
        <v/>
      </c>
      <c r="AC2071" s="16" t="str">
        <f>IFERROR(__xludf.DUMMYFUNCTION("""COMPUTED_VALUE"""),"")</f>
        <v/>
      </c>
    </row>
    <row r="2072">
      <c r="A2072" s="16" t="s">
        <v>87</v>
      </c>
      <c r="E2072" s="16" t="str">
        <f>IFERROR(__xludf.DUMMYFUNCTION("""COMPUTED_VALUE"""),"")</f>
        <v/>
      </c>
      <c r="G2072" s="18"/>
      <c r="H2072" s="16" t="s">
        <v>87</v>
      </c>
      <c r="I2072" s="16" t="s">
        <v>87</v>
      </c>
      <c r="J2072" s="19"/>
      <c r="L2072" s="16" t="str">
        <f>IFERROR(__xludf.DUMMYFUNCTION("""COMPUTED_VALUE"""),"")</f>
        <v/>
      </c>
      <c r="M2072" s="16" t="str">
        <f>IFERROR(__xludf.DUMMYFUNCTION("""COMPUTED_VALUE"""),"")</f>
        <v/>
      </c>
      <c r="U2072" s="16" t="s">
        <v>87</v>
      </c>
      <c r="V2072" s="16" t="str">
        <f>IFERROR(__xludf.DUMMYFUNCTION("""COMPUTED_VALUE"""),"")</f>
        <v/>
      </c>
      <c r="W2072" s="16" t="str">
        <f>IFERROR(__xludf.DUMMYFUNCTION("""COMPUTED_VALUE"""),"")</f>
        <v/>
      </c>
      <c r="X2072" s="16" t="str">
        <f>IFERROR(__xludf.DUMMYFUNCTION("""COMPUTED_VALUE"""),"")</f>
        <v/>
      </c>
      <c r="AC2072" s="16" t="str">
        <f>IFERROR(__xludf.DUMMYFUNCTION("""COMPUTED_VALUE"""),"")</f>
        <v/>
      </c>
    </row>
    <row r="2073">
      <c r="A2073" s="16" t="s">
        <v>87</v>
      </c>
      <c r="E2073" s="16" t="str">
        <f>IFERROR(__xludf.DUMMYFUNCTION("""COMPUTED_VALUE"""),"")</f>
        <v/>
      </c>
      <c r="G2073" s="18"/>
      <c r="H2073" s="16" t="s">
        <v>87</v>
      </c>
      <c r="I2073" s="16" t="s">
        <v>87</v>
      </c>
      <c r="J2073" s="19"/>
      <c r="L2073" s="16" t="str">
        <f>IFERROR(__xludf.DUMMYFUNCTION("""COMPUTED_VALUE"""),"")</f>
        <v/>
      </c>
      <c r="M2073" s="16" t="str">
        <f>IFERROR(__xludf.DUMMYFUNCTION("""COMPUTED_VALUE"""),"")</f>
        <v/>
      </c>
      <c r="U2073" s="16" t="s">
        <v>87</v>
      </c>
      <c r="V2073" s="16" t="str">
        <f>IFERROR(__xludf.DUMMYFUNCTION("""COMPUTED_VALUE"""),"")</f>
        <v/>
      </c>
      <c r="W2073" s="16" t="str">
        <f>IFERROR(__xludf.DUMMYFUNCTION("""COMPUTED_VALUE"""),"")</f>
        <v/>
      </c>
      <c r="X2073" s="16" t="str">
        <f>IFERROR(__xludf.DUMMYFUNCTION("""COMPUTED_VALUE"""),"")</f>
        <v/>
      </c>
      <c r="AC2073" s="16" t="str">
        <f>IFERROR(__xludf.DUMMYFUNCTION("""COMPUTED_VALUE"""),"")</f>
        <v/>
      </c>
    </row>
    <row r="2074">
      <c r="A2074" s="16" t="s">
        <v>87</v>
      </c>
      <c r="E2074" s="16" t="str">
        <f>IFERROR(__xludf.DUMMYFUNCTION("""COMPUTED_VALUE"""),"")</f>
        <v/>
      </c>
      <c r="G2074" s="18"/>
      <c r="H2074" s="16" t="s">
        <v>87</v>
      </c>
      <c r="I2074" s="16" t="s">
        <v>87</v>
      </c>
      <c r="J2074" s="19"/>
      <c r="L2074" s="16" t="str">
        <f>IFERROR(__xludf.DUMMYFUNCTION("""COMPUTED_VALUE"""),"")</f>
        <v/>
      </c>
      <c r="M2074" s="16" t="str">
        <f>IFERROR(__xludf.DUMMYFUNCTION("""COMPUTED_VALUE"""),"")</f>
        <v/>
      </c>
      <c r="U2074" s="16" t="s">
        <v>87</v>
      </c>
      <c r="V2074" s="16" t="str">
        <f>IFERROR(__xludf.DUMMYFUNCTION("""COMPUTED_VALUE"""),"")</f>
        <v/>
      </c>
      <c r="W2074" s="16" t="str">
        <f>IFERROR(__xludf.DUMMYFUNCTION("""COMPUTED_VALUE"""),"")</f>
        <v/>
      </c>
      <c r="X2074" s="16" t="str">
        <f>IFERROR(__xludf.DUMMYFUNCTION("""COMPUTED_VALUE"""),"")</f>
        <v/>
      </c>
      <c r="AC2074" s="16" t="str">
        <f>IFERROR(__xludf.DUMMYFUNCTION("""COMPUTED_VALUE"""),"")</f>
        <v/>
      </c>
    </row>
    <row r="2075">
      <c r="A2075" s="16" t="s">
        <v>87</v>
      </c>
      <c r="E2075" s="16" t="str">
        <f>IFERROR(__xludf.DUMMYFUNCTION("""COMPUTED_VALUE"""),"")</f>
        <v/>
      </c>
      <c r="G2075" s="18"/>
      <c r="H2075" s="16" t="s">
        <v>87</v>
      </c>
      <c r="I2075" s="16" t="s">
        <v>87</v>
      </c>
      <c r="J2075" s="19"/>
      <c r="L2075" s="16" t="str">
        <f>IFERROR(__xludf.DUMMYFUNCTION("""COMPUTED_VALUE"""),"")</f>
        <v/>
      </c>
      <c r="M2075" s="16" t="str">
        <f>IFERROR(__xludf.DUMMYFUNCTION("""COMPUTED_VALUE"""),"")</f>
        <v/>
      </c>
      <c r="U2075" s="16" t="s">
        <v>87</v>
      </c>
      <c r="V2075" s="16" t="str">
        <f>IFERROR(__xludf.DUMMYFUNCTION("""COMPUTED_VALUE"""),"")</f>
        <v/>
      </c>
      <c r="W2075" s="16" t="str">
        <f>IFERROR(__xludf.DUMMYFUNCTION("""COMPUTED_VALUE"""),"")</f>
        <v/>
      </c>
      <c r="X2075" s="16" t="str">
        <f>IFERROR(__xludf.DUMMYFUNCTION("""COMPUTED_VALUE"""),"")</f>
        <v/>
      </c>
      <c r="AC2075" s="16" t="str">
        <f>IFERROR(__xludf.DUMMYFUNCTION("""COMPUTED_VALUE"""),"")</f>
        <v/>
      </c>
    </row>
    <row r="2076">
      <c r="A2076" s="16" t="s">
        <v>87</v>
      </c>
      <c r="E2076" s="16" t="str">
        <f>IFERROR(__xludf.DUMMYFUNCTION("""COMPUTED_VALUE"""),"")</f>
        <v/>
      </c>
      <c r="G2076" s="18"/>
      <c r="H2076" s="16" t="s">
        <v>87</v>
      </c>
      <c r="I2076" s="16" t="s">
        <v>87</v>
      </c>
      <c r="J2076" s="19"/>
      <c r="L2076" s="16" t="str">
        <f>IFERROR(__xludf.DUMMYFUNCTION("""COMPUTED_VALUE"""),"")</f>
        <v/>
      </c>
      <c r="M2076" s="16" t="str">
        <f>IFERROR(__xludf.DUMMYFUNCTION("""COMPUTED_VALUE"""),"")</f>
        <v/>
      </c>
      <c r="U2076" s="16" t="s">
        <v>87</v>
      </c>
      <c r="V2076" s="16" t="str">
        <f>IFERROR(__xludf.DUMMYFUNCTION("""COMPUTED_VALUE"""),"")</f>
        <v/>
      </c>
      <c r="W2076" s="16" t="str">
        <f>IFERROR(__xludf.DUMMYFUNCTION("""COMPUTED_VALUE"""),"")</f>
        <v/>
      </c>
      <c r="X2076" s="16" t="str">
        <f>IFERROR(__xludf.DUMMYFUNCTION("""COMPUTED_VALUE"""),"")</f>
        <v/>
      </c>
      <c r="AC2076" s="16" t="str">
        <f>IFERROR(__xludf.DUMMYFUNCTION("""COMPUTED_VALUE"""),"")</f>
        <v/>
      </c>
    </row>
    <row r="2077">
      <c r="A2077" s="16" t="s">
        <v>87</v>
      </c>
      <c r="E2077" s="16" t="str">
        <f>IFERROR(__xludf.DUMMYFUNCTION("""COMPUTED_VALUE"""),"")</f>
        <v/>
      </c>
      <c r="G2077" s="18"/>
      <c r="H2077" s="16" t="s">
        <v>87</v>
      </c>
      <c r="I2077" s="16" t="s">
        <v>87</v>
      </c>
      <c r="J2077" s="19"/>
      <c r="L2077" s="16" t="str">
        <f>IFERROR(__xludf.DUMMYFUNCTION("""COMPUTED_VALUE"""),"")</f>
        <v/>
      </c>
      <c r="M2077" s="16" t="str">
        <f>IFERROR(__xludf.DUMMYFUNCTION("""COMPUTED_VALUE"""),"")</f>
        <v/>
      </c>
      <c r="U2077" s="16" t="s">
        <v>87</v>
      </c>
      <c r="V2077" s="16" t="str">
        <f>IFERROR(__xludf.DUMMYFUNCTION("""COMPUTED_VALUE"""),"")</f>
        <v/>
      </c>
      <c r="W2077" s="16" t="str">
        <f>IFERROR(__xludf.DUMMYFUNCTION("""COMPUTED_VALUE"""),"")</f>
        <v/>
      </c>
      <c r="X2077" s="16" t="str">
        <f>IFERROR(__xludf.DUMMYFUNCTION("""COMPUTED_VALUE"""),"")</f>
        <v/>
      </c>
      <c r="AC2077" s="16" t="str">
        <f>IFERROR(__xludf.DUMMYFUNCTION("""COMPUTED_VALUE"""),"")</f>
        <v/>
      </c>
    </row>
    <row r="2078">
      <c r="A2078" s="16" t="s">
        <v>87</v>
      </c>
      <c r="E2078" s="16" t="str">
        <f>IFERROR(__xludf.DUMMYFUNCTION("""COMPUTED_VALUE"""),"")</f>
        <v/>
      </c>
      <c r="G2078" s="18"/>
      <c r="H2078" s="16" t="s">
        <v>87</v>
      </c>
      <c r="I2078" s="16" t="s">
        <v>87</v>
      </c>
      <c r="J2078" s="19"/>
      <c r="L2078" s="16" t="str">
        <f>IFERROR(__xludf.DUMMYFUNCTION("""COMPUTED_VALUE"""),"")</f>
        <v/>
      </c>
      <c r="M2078" s="16" t="str">
        <f>IFERROR(__xludf.DUMMYFUNCTION("""COMPUTED_VALUE"""),"")</f>
        <v/>
      </c>
      <c r="U2078" s="16" t="s">
        <v>87</v>
      </c>
      <c r="V2078" s="16" t="str">
        <f>IFERROR(__xludf.DUMMYFUNCTION("""COMPUTED_VALUE"""),"")</f>
        <v/>
      </c>
      <c r="W2078" s="16" t="str">
        <f>IFERROR(__xludf.DUMMYFUNCTION("""COMPUTED_VALUE"""),"")</f>
        <v/>
      </c>
      <c r="X2078" s="16" t="str">
        <f>IFERROR(__xludf.DUMMYFUNCTION("""COMPUTED_VALUE"""),"")</f>
        <v/>
      </c>
      <c r="AC2078" s="16" t="str">
        <f>IFERROR(__xludf.DUMMYFUNCTION("""COMPUTED_VALUE"""),"")</f>
        <v/>
      </c>
    </row>
    <row r="2079">
      <c r="A2079" s="16" t="s">
        <v>87</v>
      </c>
      <c r="E2079" s="16" t="str">
        <f>IFERROR(__xludf.DUMMYFUNCTION("""COMPUTED_VALUE"""),"")</f>
        <v/>
      </c>
      <c r="G2079" s="18"/>
      <c r="H2079" s="16" t="s">
        <v>87</v>
      </c>
      <c r="I2079" s="16" t="s">
        <v>87</v>
      </c>
      <c r="J2079" s="19"/>
      <c r="L2079" s="16" t="str">
        <f>IFERROR(__xludf.DUMMYFUNCTION("""COMPUTED_VALUE"""),"")</f>
        <v/>
      </c>
      <c r="M2079" s="16" t="str">
        <f>IFERROR(__xludf.DUMMYFUNCTION("""COMPUTED_VALUE"""),"")</f>
        <v/>
      </c>
      <c r="U2079" s="16" t="s">
        <v>87</v>
      </c>
      <c r="V2079" s="16" t="str">
        <f>IFERROR(__xludf.DUMMYFUNCTION("""COMPUTED_VALUE"""),"")</f>
        <v/>
      </c>
      <c r="W2079" s="16" t="str">
        <f>IFERROR(__xludf.DUMMYFUNCTION("""COMPUTED_VALUE"""),"")</f>
        <v/>
      </c>
      <c r="X2079" s="16" t="str">
        <f>IFERROR(__xludf.DUMMYFUNCTION("""COMPUTED_VALUE"""),"")</f>
        <v/>
      </c>
      <c r="AC2079" s="16" t="str">
        <f>IFERROR(__xludf.DUMMYFUNCTION("""COMPUTED_VALUE"""),"")</f>
        <v/>
      </c>
    </row>
    <row r="2080">
      <c r="A2080" s="16" t="s">
        <v>87</v>
      </c>
      <c r="E2080" s="16" t="str">
        <f>IFERROR(__xludf.DUMMYFUNCTION("""COMPUTED_VALUE"""),"")</f>
        <v/>
      </c>
      <c r="G2080" s="18"/>
      <c r="H2080" s="16" t="s">
        <v>87</v>
      </c>
      <c r="I2080" s="16" t="s">
        <v>87</v>
      </c>
      <c r="J2080" s="19"/>
      <c r="L2080" s="16" t="str">
        <f>IFERROR(__xludf.DUMMYFUNCTION("""COMPUTED_VALUE"""),"")</f>
        <v/>
      </c>
      <c r="M2080" s="16" t="str">
        <f>IFERROR(__xludf.DUMMYFUNCTION("""COMPUTED_VALUE"""),"")</f>
        <v/>
      </c>
      <c r="U2080" s="16" t="s">
        <v>87</v>
      </c>
      <c r="V2080" s="16" t="str">
        <f>IFERROR(__xludf.DUMMYFUNCTION("""COMPUTED_VALUE"""),"")</f>
        <v/>
      </c>
      <c r="W2080" s="16" t="str">
        <f>IFERROR(__xludf.DUMMYFUNCTION("""COMPUTED_VALUE"""),"")</f>
        <v/>
      </c>
      <c r="X2080" s="16" t="str">
        <f>IFERROR(__xludf.DUMMYFUNCTION("""COMPUTED_VALUE"""),"")</f>
        <v/>
      </c>
      <c r="AC2080" s="16" t="str">
        <f>IFERROR(__xludf.DUMMYFUNCTION("""COMPUTED_VALUE"""),"")</f>
        <v/>
      </c>
    </row>
    <row r="2081">
      <c r="A2081" s="16" t="s">
        <v>87</v>
      </c>
      <c r="E2081" s="16" t="str">
        <f>IFERROR(__xludf.DUMMYFUNCTION("""COMPUTED_VALUE"""),"")</f>
        <v/>
      </c>
      <c r="G2081" s="18"/>
      <c r="H2081" s="16" t="s">
        <v>87</v>
      </c>
      <c r="I2081" s="16" t="s">
        <v>87</v>
      </c>
      <c r="J2081" s="19"/>
      <c r="L2081" s="16" t="str">
        <f>IFERROR(__xludf.DUMMYFUNCTION("""COMPUTED_VALUE"""),"")</f>
        <v/>
      </c>
      <c r="M2081" s="16" t="str">
        <f>IFERROR(__xludf.DUMMYFUNCTION("""COMPUTED_VALUE"""),"")</f>
        <v/>
      </c>
      <c r="U2081" s="16" t="s">
        <v>87</v>
      </c>
      <c r="V2081" s="16" t="str">
        <f>IFERROR(__xludf.DUMMYFUNCTION("""COMPUTED_VALUE"""),"")</f>
        <v/>
      </c>
      <c r="W2081" s="16" t="str">
        <f>IFERROR(__xludf.DUMMYFUNCTION("""COMPUTED_VALUE"""),"")</f>
        <v/>
      </c>
      <c r="X2081" s="16" t="str">
        <f>IFERROR(__xludf.DUMMYFUNCTION("""COMPUTED_VALUE"""),"")</f>
        <v/>
      </c>
      <c r="AC2081" s="16" t="str">
        <f>IFERROR(__xludf.DUMMYFUNCTION("""COMPUTED_VALUE"""),"")</f>
        <v/>
      </c>
    </row>
    <row r="2082">
      <c r="A2082" s="16" t="s">
        <v>87</v>
      </c>
      <c r="E2082" s="16" t="str">
        <f>IFERROR(__xludf.DUMMYFUNCTION("""COMPUTED_VALUE"""),"")</f>
        <v/>
      </c>
      <c r="G2082" s="18"/>
      <c r="H2082" s="16" t="s">
        <v>87</v>
      </c>
      <c r="I2082" s="16" t="s">
        <v>87</v>
      </c>
      <c r="J2082" s="19"/>
      <c r="L2082" s="16" t="str">
        <f>IFERROR(__xludf.DUMMYFUNCTION("""COMPUTED_VALUE"""),"")</f>
        <v/>
      </c>
      <c r="M2082" s="16" t="str">
        <f>IFERROR(__xludf.DUMMYFUNCTION("""COMPUTED_VALUE"""),"")</f>
        <v/>
      </c>
      <c r="U2082" s="16" t="s">
        <v>87</v>
      </c>
      <c r="V2082" s="16" t="str">
        <f>IFERROR(__xludf.DUMMYFUNCTION("""COMPUTED_VALUE"""),"")</f>
        <v/>
      </c>
      <c r="W2082" s="16" t="str">
        <f>IFERROR(__xludf.DUMMYFUNCTION("""COMPUTED_VALUE"""),"")</f>
        <v/>
      </c>
      <c r="X2082" s="16" t="str">
        <f>IFERROR(__xludf.DUMMYFUNCTION("""COMPUTED_VALUE"""),"")</f>
        <v/>
      </c>
      <c r="AC2082" s="16" t="str">
        <f>IFERROR(__xludf.DUMMYFUNCTION("""COMPUTED_VALUE"""),"")</f>
        <v/>
      </c>
    </row>
    <row r="2083">
      <c r="A2083" s="16" t="s">
        <v>87</v>
      </c>
      <c r="E2083" s="16" t="str">
        <f>IFERROR(__xludf.DUMMYFUNCTION("""COMPUTED_VALUE"""),"")</f>
        <v/>
      </c>
      <c r="G2083" s="18"/>
      <c r="H2083" s="16" t="s">
        <v>87</v>
      </c>
      <c r="I2083" s="16" t="s">
        <v>87</v>
      </c>
      <c r="J2083" s="19"/>
      <c r="L2083" s="16" t="str">
        <f>IFERROR(__xludf.DUMMYFUNCTION("""COMPUTED_VALUE"""),"")</f>
        <v/>
      </c>
      <c r="M2083" s="16" t="str">
        <f>IFERROR(__xludf.DUMMYFUNCTION("""COMPUTED_VALUE"""),"")</f>
        <v/>
      </c>
      <c r="U2083" s="16" t="s">
        <v>87</v>
      </c>
      <c r="V2083" s="16" t="str">
        <f>IFERROR(__xludf.DUMMYFUNCTION("""COMPUTED_VALUE"""),"")</f>
        <v/>
      </c>
      <c r="W2083" s="16" t="str">
        <f>IFERROR(__xludf.DUMMYFUNCTION("""COMPUTED_VALUE"""),"")</f>
        <v/>
      </c>
      <c r="X2083" s="16" t="str">
        <f>IFERROR(__xludf.DUMMYFUNCTION("""COMPUTED_VALUE"""),"")</f>
        <v/>
      </c>
      <c r="AC2083" s="16" t="str">
        <f>IFERROR(__xludf.DUMMYFUNCTION("""COMPUTED_VALUE"""),"")</f>
        <v/>
      </c>
    </row>
    <row r="2084">
      <c r="A2084" s="16" t="s">
        <v>87</v>
      </c>
      <c r="E2084" s="16" t="str">
        <f>IFERROR(__xludf.DUMMYFUNCTION("""COMPUTED_VALUE"""),"")</f>
        <v/>
      </c>
      <c r="G2084" s="18"/>
      <c r="H2084" s="16" t="s">
        <v>87</v>
      </c>
      <c r="I2084" s="16" t="s">
        <v>87</v>
      </c>
      <c r="J2084" s="19"/>
      <c r="L2084" s="16" t="str">
        <f>IFERROR(__xludf.DUMMYFUNCTION("""COMPUTED_VALUE"""),"")</f>
        <v/>
      </c>
      <c r="M2084" s="16" t="str">
        <f>IFERROR(__xludf.DUMMYFUNCTION("""COMPUTED_VALUE"""),"")</f>
        <v/>
      </c>
      <c r="U2084" s="16" t="s">
        <v>87</v>
      </c>
      <c r="V2084" s="16" t="str">
        <f>IFERROR(__xludf.DUMMYFUNCTION("""COMPUTED_VALUE"""),"")</f>
        <v/>
      </c>
      <c r="W2084" s="16" t="str">
        <f>IFERROR(__xludf.DUMMYFUNCTION("""COMPUTED_VALUE"""),"")</f>
        <v/>
      </c>
      <c r="X2084" s="16" t="str">
        <f>IFERROR(__xludf.DUMMYFUNCTION("""COMPUTED_VALUE"""),"")</f>
        <v/>
      </c>
      <c r="AC2084" s="16" t="str">
        <f>IFERROR(__xludf.DUMMYFUNCTION("""COMPUTED_VALUE"""),"")</f>
        <v/>
      </c>
    </row>
    <row r="2085">
      <c r="A2085" s="16" t="s">
        <v>87</v>
      </c>
      <c r="E2085" s="16" t="str">
        <f>IFERROR(__xludf.DUMMYFUNCTION("""COMPUTED_VALUE"""),"")</f>
        <v/>
      </c>
      <c r="G2085" s="18"/>
      <c r="H2085" s="16" t="s">
        <v>87</v>
      </c>
      <c r="I2085" s="16" t="s">
        <v>87</v>
      </c>
      <c r="J2085" s="19"/>
      <c r="L2085" s="16" t="str">
        <f>IFERROR(__xludf.DUMMYFUNCTION("""COMPUTED_VALUE"""),"")</f>
        <v/>
      </c>
      <c r="M2085" s="16" t="str">
        <f>IFERROR(__xludf.DUMMYFUNCTION("""COMPUTED_VALUE"""),"")</f>
        <v/>
      </c>
      <c r="U2085" s="16" t="s">
        <v>87</v>
      </c>
      <c r="V2085" s="16" t="str">
        <f>IFERROR(__xludf.DUMMYFUNCTION("""COMPUTED_VALUE"""),"")</f>
        <v/>
      </c>
      <c r="W2085" s="16" t="str">
        <f>IFERROR(__xludf.DUMMYFUNCTION("""COMPUTED_VALUE"""),"")</f>
        <v/>
      </c>
      <c r="X2085" s="16" t="str">
        <f>IFERROR(__xludf.DUMMYFUNCTION("""COMPUTED_VALUE"""),"")</f>
        <v/>
      </c>
      <c r="AC2085" s="16" t="str">
        <f>IFERROR(__xludf.DUMMYFUNCTION("""COMPUTED_VALUE"""),"")</f>
        <v/>
      </c>
    </row>
    <row r="2086">
      <c r="A2086" s="16" t="s">
        <v>87</v>
      </c>
      <c r="E2086" s="16" t="str">
        <f>IFERROR(__xludf.DUMMYFUNCTION("""COMPUTED_VALUE"""),"")</f>
        <v/>
      </c>
      <c r="G2086" s="18"/>
      <c r="H2086" s="16" t="s">
        <v>87</v>
      </c>
      <c r="I2086" s="16" t="s">
        <v>87</v>
      </c>
      <c r="J2086" s="19"/>
      <c r="L2086" s="16" t="str">
        <f>IFERROR(__xludf.DUMMYFUNCTION("""COMPUTED_VALUE"""),"")</f>
        <v/>
      </c>
      <c r="M2086" s="16" t="str">
        <f>IFERROR(__xludf.DUMMYFUNCTION("""COMPUTED_VALUE"""),"")</f>
        <v/>
      </c>
      <c r="U2086" s="16" t="s">
        <v>87</v>
      </c>
      <c r="V2086" s="16" t="str">
        <f>IFERROR(__xludf.DUMMYFUNCTION("""COMPUTED_VALUE"""),"")</f>
        <v/>
      </c>
      <c r="W2086" s="16" t="str">
        <f>IFERROR(__xludf.DUMMYFUNCTION("""COMPUTED_VALUE"""),"")</f>
        <v/>
      </c>
      <c r="X2086" s="16" t="str">
        <f>IFERROR(__xludf.DUMMYFUNCTION("""COMPUTED_VALUE"""),"")</f>
        <v/>
      </c>
      <c r="AC2086" s="16" t="str">
        <f>IFERROR(__xludf.DUMMYFUNCTION("""COMPUTED_VALUE"""),"")</f>
        <v/>
      </c>
    </row>
    <row r="2087">
      <c r="A2087" s="16" t="s">
        <v>87</v>
      </c>
      <c r="E2087" s="16" t="str">
        <f>IFERROR(__xludf.DUMMYFUNCTION("""COMPUTED_VALUE"""),"")</f>
        <v/>
      </c>
      <c r="G2087" s="18"/>
      <c r="H2087" s="16" t="s">
        <v>87</v>
      </c>
      <c r="I2087" s="16" t="s">
        <v>87</v>
      </c>
      <c r="J2087" s="19"/>
      <c r="L2087" s="16" t="str">
        <f>IFERROR(__xludf.DUMMYFUNCTION("""COMPUTED_VALUE"""),"")</f>
        <v/>
      </c>
      <c r="M2087" s="16" t="str">
        <f>IFERROR(__xludf.DUMMYFUNCTION("""COMPUTED_VALUE"""),"")</f>
        <v/>
      </c>
      <c r="U2087" s="16" t="s">
        <v>87</v>
      </c>
      <c r="V2087" s="16" t="str">
        <f>IFERROR(__xludf.DUMMYFUNCTION("""COMPUTED_VALUE"""),"")</f>
        <v/>
      </c>
      <c r="W2087" s="16" t="str">
        <f>IFERROR(__xludf.DUMMYFUNCTION("""COMPUTED_VALUE"""),"")</f>
        <v/>
      </c>
      <c r="X2087" s="16" t="str">
        <f>IFERROR(__xludf.DUMMYFUNCTION("""COMPUTED_VALUE"""),"")</f>
        <v/>
      </c>
      <c r="AC2087" s="16" t="str">
        <f>IFERROR(__xludf.DUMMYFUNCTION("""COMPUTED_VALUE"""),"")</f>
        <v/>
      </c>
    </row>
    <row r="2088">
      <c r="A2088" s="16" t="s">
        <v>87</v>
      </c>
      <c r="E2088" s="16" t="str">
        <f>IFERROR(__xludf.DUMMYFUNCTION("""COMPUTED_VALUE"""),"")</f>
        <v/>
      </c>
      <c r="G2088" s="18"/>
      <c r="H2088" s="16" t="s">
        <v>87</v>
      </c>
      <c r="I2088" s="16" t="s">
        <v>87</v>
      </c>
      <c r="J2088" s="19"/>
      <c r="L2088" s="16" t="str">
        <f>IFERROR(__xludf.DUMMYFUNCTION("""COMPUTED_VALUE"""),"")</f>
        <v/>
      </c>
      <c r="M2088" s="16" t="str">
        <f>IFERROR(__xludf.DUMMYFUNCTION("""COMPUTED_VALUE"""),"")</f>
        <v/>
      </c>
      <c r="U2088" s="16" t="s">
        <v>87</v>
      </c>
      <c r="V2088" s="16" t="str">
        <f>IFERROR(__xludf.DUMMYFUNCTION("""COMPUTED_VALUE"""),"")</f>
        <v/>
      </c>
      <c r="W2088" s="16" t="str">
        <f>IFERROR(__xludf.DUMMYFUNCTION("""COMPUTED_VALUE"""),"")</f>
        <v/>
      </c>
      <c r="X2088" s="16" t="str">
        <f>IFERROR(__xludf.DUMMYFUNCTION("""COMPUTED_VALUE"""),"")</f>
        <v/>
      </c>
      <c r="AC2088" s="16" t="str">
        <f>IFERROR(__xludf.DUMMYFUNCTION("""COMPUTED_VALUE"""),"")</f>
        <v/>
      </c>
    </row>
    <row r="2089">
      <c r="A2089" s="16" t="s">
        <v>87</v>
      </c>
      <c r="E2089" s="16" t="str">
        <f>IFERROR(__xludf.DUMMYFUNCTION("""COMPUTED_VALUE"""),"")</f>
        <v/>
      </c>
      <c r="G2089" s="18"/>
      <c r="H2089" s="16" t="s">
        <v>87</v>
      </c>
      <c r="I2089" s="16" t="s">
        <v>87</v>
      </c>
      <c r="J2089" s="19"/>
      <c r="L2089" s="16" t="str">
        <f>IFERROR(__xludf.DUMMYFUNCTION("""COMPUTED_VALUE"""),"")</f>
        <v/>
      </c>
      <c r="M2089" s="16" t="str">
        <f>IFERROR(__xludf.DUMMYFUNCTION("""COMPUTED_VALUE"""),"")</f>
        <v/>
      </c>
      <c r="U2089" s="16" t="s">
        <v>87</v>
      </c>
      <c r="V2089" s="16" t="str">
        <f>IFERROR(__xludf.DUMMYFUNCTION("""COMPUTED_VALUE"""),"")</f>
        <v/>
      </c>
      <c r="W2089" s="16" t="str">
        <f>IFERROR(__xludf.DUMMYFUNCTION("""COMPUTED_VALUE"""),"")</f>
        <v/>
      </c>
      <c r="X2089" s="16" t="str">
        <f>IFERROR(__xludf.DUMMYFUNCTION("""COMPUTED_VALUE"""),"")</f>
        <v/>
      </c>
      <c r="AC2089" s="16" t="str">
        <f>IFERROR(__xludf.DUMMYFUNCTION("""COMPUTED_VALUE"""),"")</f>
        <v/>
      </c>
    </row>
    <row r="2090">
      <c r="A2090" s="16" t="s">
        <v>87</v>
      </c>
      <c r="E2090" s="16" t="str">
        <f>IFERROR(__xludf.DUMMYFUNCTION("""COMPUTED_VALUE"""),"")</f>
        <v/>
      </c>
      <c r="G2090" s="18"/>
      <c r="H2090" s="16" t="s">
        <v>87</v>
      </c>
      <c r="I2090" s="16" t="s">
        <v>87</v>
      </c>
      <c r="J2090" s="19"/>
      <c r="L2090" s="16" t="str">
        <f>IFERROR(__xludf.DUMMYFUNCTION("""COMPUTED_VALUE"""),"")</f>
        <v/>
      </c>
      <c r="M2090" s="16" t="str">
        <f>IFERROR(__xludf.DUMMYFUNCTION("""COMPUTED_VALUE"""),"")</f>
        <v/>
      </c>
      <c r="U2090" s="16" t="s">
        <v>87</v>
      </c>
      <c r="V2090" s="16" t="str">
        <f>IFERROR(__xludf.DUMMYFUNCTION("""COMPUTED_VALUE"""),"")</f>
        <v/>
      </c>
      <c r="W2090" s="16" t="str">
        <f>IFERROR(__xludf.DUMMYFUNCTION("""COMPUTED_VALUE"""),"")</f>
        <v/>
      </c>
      <c r="X2090" s="16" t="str">
        <f>IFERROR(__xludf.DUMMYFUNCTION("""COMPUTED_VALUE"""),"")</f>
        <v/>
      </c>
      <c r="AC2090" s="16" t="str">
        <f>IFERROR(__xludf.DUMMYFUNCTION("""COMPUTED_VALUE"""),"")</f>
        <v/>
      </c>
    </row>
    <row r="2091">
      <c r="A2091" s="16" t="s">
        <v>87</v>
      </c>
      <c r="E2091" s="16" t="str">
        <f>IFERROR(__xludf.DUMMYFUNCTION("""COMPUTED_VALUE"""),"")</f>
        <v/>
      </c>
      <c r="G2091" s="18"/>
      <c r="H2091" s="16" t="s">
        <v>87</v>
      </c>
      <c r="I2091" s="16" t="s">
        <v>87</v>
      </c>
      <c r="J2091" s="19"/>
      <c r="L2091" s="16" t="str">
        <f>IFERROR(__xludf.DUMMYFUNCTION("""COMPUTED_VALUE"""),"")</f>
        <v/>
      </c>
      <c r="M2091" s="16" t="str">
        <f>IFERROR(__xludf.DUMMYFUNCTION("""COMPUTED_VALUE"""),"")</f>
        <v/>
      </c>
      <c r="U2091" s="16" t="s">
        <v>87</v>
      </c>
      <c r="V2091" s="16" t="str">
        <f>IFERROR(__xludf.DUMMYFUNCTION("""COMPUTED_VALUE"""),"")</f>
        <v/>
      </c>
      <c r="W2091" s="16" t="str">
        <f>IFERROR(__xludf.DUMMYFUNCTION("""COMPUTED_VALUE"""),"")</f>
        <v/>
      </c>
      <c r="X2091" s="16" t="str">
        <f>IFERROR(__xludf.DUMMYFUNCTION("""COMPUTED_VALUE"""),"")</f>
        <v/>
      </c>
      <c r="AC2091" s="16" t="str">
        <f>IFERROR(__xludf.DUMMYFUNCTION("""COMPUTED_VALUE"""),"")</f>
        <v/>
      </c>
    </row>
    <row r="2092">
      <c r="A2092" s="16" t="s">
        <v>87</v>
      </c>
      <c r="E2092" s="16" t="str">
        <f>IFERROR(__xludf.DUMMYFUNCTION("""COMPUTED_VALUE"""),"")</f>
        <v/>
      </c>
      <c r="G2092" s="18"/>
      <c r="H2092" s="16" t="s">
        <v>87</v>
      </c>
      <c r="I2092" s="16" t="s">
        <v>87</v>
      </c>
      <c r="J2092" s="19"/>
      <c r="L2092" s="16" t="str">
        <f>IFERROR(__xludf.DUMMYFUNCTION("""COMPUTED_VALUE"""),"")</f>
        <v/>
      </c>
      <c r="M2092" s="16" t="str">
        <f>IFERROR(__xludf.DUMMYFUNCTION("""COMPUTED_VALUE"""),"")</f>
        <v/>
      </c>
      <c r="U2092" s="16" t="s">
        <v>87</v>
      </c>
      <c r="V2092" s="16" t="str">
        <f>IFERROR(__xludf.DUMMYFUNCTION("""COMPUTED_VALUE"""),"")</f>
        <v/>
      </c>
      <c r="W2092" s="16" t="str">
        <f>IFERROR(__xludf.DUMMYFUNCTION("""COMPUTED_VALUE"""),"")</f>
        <v/>
      </c>
      <c r="X2092" s="16" t="str">
        <f>IFERROR(__xludf.DUMMYFUNCTION("""COMPUTED_VALUE"""),"")</f>
        <v/>
      </c>
      <c r="AC2092" s="16" t="str">
        <f>IFERROR(__xludf.DUMMYFUNCTION("""COMPUTED_VALUE"""),"")</f>
        <v/>
      </c>
    </row>
    <row r="2093">
      <c r="A2093" s="16" t="s">
        <v>87</v>
      </c>
      <c r="E2093" s="16" t="str">
        <f>IFERROR(__xludf.DUMMYFUNCTION("""COMPUTED_VALUE"""),"")</f>
        <v/>
      </c>
      <c r="G2093" s="18"/>
      <c r="H2093" s="16" t="s">
        <v>87</v>
      </c>
      <c r="I2093" s="16" t="s">
        <v>87</v>
      </c>
      <c r="J2093" s="19"/>
      <c r="L2093" s="16" t="str">
        <f>IFERROR(__xludf.DUMMYFUNCTION("""COMPUTED_VALUE"""),"")</f>
        <v/>
      </c>
      <c r="M2093" s="16" t="str">
        <f>IFERROR(__xludf.DUMMYFUNCTION("""COMPUTED_VALUE"""),"")</f>
        <v/>
      </c>
      <c r="U2093" s="16" t="s">
        <v>87</v>
      </c>
      <c r="V2093" s="16" t="str">
        <f>IFERROR(__xludf.DUMMYFUNCTION("""COMPUTED_VALUE"""),"")</f>
        <v/>
      </c>
      <c r="W2093" s="16" t="str">
        <f>IFERROR(__xludf.DUMMYFUNCTION("""COMPUTED_VALUE"""),"")</f>
        <v/>
      </c>
      <c r="X2093" s="16" t="str">
        <f>IFERROR(__xludf.DUMMYFUNCTION("""COMPUTED_VALUE"""),"")</f>
        <v/>
      </c>
      <c r="AC2093" s="16" t="str">
        <f>IFERROR(__xludf.DUMMYFUNCTION("""COMPUTED_VALUE"""),"")</f>
        <v/>
      </c>
    </row>
    <row r="2094">
      <c r="A2094" s="16" t="s">
        <v>87</v>
      </c>
      <c r="E2094" s="16" t="str">
        <f>IFERROR(__xludf.DUMMYFUNCTION("""COMPUTED_VALUE"""),"")</f>
        <v/>
      </c>
      <c r="G2094" s="18"/>
      <c r="H2094" s="16" t="s">
        <v>87</v>
      </c>
      <c r="I2094" s="16" t="s">
        <v>87</v>
      </c>
      <c r="J2094" s="19"/>
      <c r="L2094" s="16" t="str">
        <f>IFERROR(__xludf.DUMMYFUNCTION("""COMPUTED_VALUE"""),"")</f>
        <v/>
      </c>
      <c r="M2094" s="16" t="str">
        <f>IFERROR(__xludf.DUMMYFUNCTION("""COMPUTED_VALUE"""),"")</f>
        <v/>
      </c>
      <c r="U2094" s="16" t="s">
        <v>87</v>
      </c>
      <c r="V2094" s="16" t="str">
        <f>IFERROR(__xludf.DUMMYFUNCTION("""COMPUTED_VALUE"""),"")</f>
        <v/>
      </c>
      <c r="W2094" s="16" t="str">
        <f>IFERROR(__xludf.DUMMYFUNCTION("""COMPUTED_VALUE"""),"")</f>
        <v/>
      </c>
      <c r="X2094" s="16" t="str">
        <f>IFERROR(__xludf.DUMMYFUNCTION("""COMPUTED_VALUE"""),"")</f>
        <v/>
      </c>
      <c r="AC2094" s="16" t="str">
        <f>IFERROR(__xludf.DUMMYFUNCTION("""COMPUTED_VALUE"""),"")</f>
        <v/>
      </c>
    </row>
    <row r="2095">
      <c r="A2095" s="16" t="s">
        <v>87</v>
      </c>
      <c r="E2095" s="16" t="str">
        <f>IFERROR(__xludf.DUMMYFUNCTION("""COMPUTED_VALUE"""),"")</f>
        <v/>
      </c>
      <c r="G2095" s="18"/>
      <c r="H2095" s="16" t="s">
        <v>87</v>
      </c>
      <c r="I2095" s="16" t="s">
        <v>87</v>
      </c>
      <c r="J2095" s="19"/>
      <c r="L2095" s="16" t="str">
        <f>IFERROR(__xludf.DUMMYFUNCTION("""COMPUTED_VALUE"""),"")</f>
        <v/>
      </c>
      <c r="M2095" s="16" t="str">
        <f>IFERROR(__xludf.DUMMYFUNCTION("""COMPUTED_VALUE"""),"")</f>
        <v/>
      </c>
      <c r="U2095" s="16" t="s">
        <v>87</v>
      </c>
      <c r="V2095" s="16" t="str">
        <f>IFERROR(__xludf.DUMMYFUNCTION("""COMPUTED_VALUE"""),"")</f>
        <v/>
      </c>
      <c r="W2095" s="16" t="str">
        <f>IFERROR(__xludf.DUMMYFUNCTION("""COMPUTED_VALUE"""),"")</f>
        <v/>
      </c>
      <c r="X2095" s="16" t="str">
        <f>IFERROR(__xludf.DUMMYFUNCTION("""COMPUTED_VALUE"""),"")</f>
        <v/>
      </c>
      <c r="AC2095" s="16" t="str">
        <f>IFERROR(__xludf.DUMMYFUNCTION("""COMPUTED_VALUE"""),"")</f>
        <v/>
      </c>
    </row>
    <row r="2096">
      <c r="A2096" s="16" t="s">
        <v>87</v>
      </c>
      <c r="E2096" s="16" t="str">
        <f>IFERROR(__xludf.DUMMYFUNCTION("""COMPUTED_VALUE"""),"")</f>
        <v/>
      </c>
      <c r="G2096" s="18"/>
      <c r="H2096" s="16" t="s">
        <v>87</v>
      </c>
      <c r="I2096" s="16" t="s">
        <v>87</v>
      </c>
      <c r="J2096" s="19"/>
      <c r="L2096" s="16" t="str">
        <f>IFERROR(__xludf.DUMMYFUNCTION("""COMPUTED_VALUE"""),"")</f>
        <v/>
      </c>
      <c r="M2096" s="16" t="str">
        <f>IFERROR(__xludf.DUMMYFUNCTION("""COMPUTED_VALUE"""),"")</f>
        <v/>
      </c>
      <c r="U2096" s="16" t="s">
        <v>87</v>
      </c>
      <c r="V2096" s="16" t="str">
        <f>IFERROR(__xludf.DUMMYFUNCTION("""COMPUTED_VALUE"""),"")</f>
        <v/>
      </c>
      <c r="W2096" s="16" t="str">
        <f>IFERROR(__xludf.DUMMYFUNCTION("""COMPUTED_VALUE"""),"")</f>
        <v/>
      </c>
      <c r="X2096" s="16" t="str">
        <f>IFERROR(__xludf.DUMMYFUNCTION("""COMPUTED_VALUE"""),"")</f>
        <v/>
      </c>
      <c r="AC2096" s="16" t="str">
        <f>IFERROR(__xludf.DUMMYFUNCTION("""COMPUTED_VALUE"""),"")</f>
        <v/>
      </c>
    </row>
    <row r="2097">
      <c r="A2097" s="16" t="s">
        <v>87</v>
      </c>
      <c r="E2097" s="16" t="str">
        <f>IFERROR(__xludf.DUMMYFUNCTION("""COMPUTED_VALUE"""),"")</f>
        <v/>
      </c>
      <c r="G2097" s="18"/>
      <c r="H2097" s="16" t="s">
        <v>87</v>
      </c>
      <c r="I2097" s="16" t="s">
        <v>87</v>
      </c>
      <c r="J2097" s="19"/>
      <c r="L2097" s="16" t="str">
        <f>IFERROR(__xludf.DUMMYFUNCTION("""COMPUTED_VALUE"""),"")</f>
        <v/>
      </c>
      <c r="M2097" s="16" t="str">
        <f>IFERROR(__xludf.DUMMYFUNCTION("""COMPUTED_VALUE"""),"")</f>
        <v/>
      </c>
      <c r="U2097" s="16" t="s">
        <v>87</v>
      </c>
      <c r="V2097" s="16" t="str">
        <f>IFERROR(__xludf.DUMMYFUNCTION("""COMPUTED_VALUE"""),"")</f>
        <v/>
      </c>
      <c r="W2097" s="16" t="str">
        <f>IFERROR(__xludf.DUMMYFUNCTION("""COMPUTED_VALUE"""),"")</f>
        <v/>
      </c>
      <c r="X2097" s="16" t="str">
        <f>IFERROR(__xludf.DUMMYFUNCTION("""COMPUTED_VALUE"""),"")</f>
        <v/>
      </c>
      <c r="AC2097" s="16" t="str">
        <f>IFERROR(__xludf.DUMMYFUNCTION("""COMPUTED_VALUE"""),"")</f>
        <v/>
      </c>
    </row>
    <row r="2098">
      <c r="A2098" s="16" t="s">
        <v>87</v>
      </c>
      <c r="E2098" s="16" t="str">
        <f>IFERROR(__xludf.DUMMYFUNCTION("""COMPUTED_VALUE"""),"")</f>
        <v/>
      </c>
      <c r="G2098" s="18"/>
      <c r="H2098" s="16" t="s">
        <v>87</v>
      </c>
      <c r="I2098" s="16" t="s">
        <v>87</v>
      </c>
      <c r="J2098" s="19"/>
      <c r="L2098" s="16" t="str">
        <f>IFERROR(__xludf.DUMMYFUNCTION("""COMPUTED_VALUE"""),"")</f>
        <v/>
      </c>
      <c r="M2098" s="16" t="str">
        <f>IFERROR(__xludf.DUMMYFUNCTION("""COMPUTED_VALUE"""),"")</f>
        <v/>
      </c>
      <c r="U2098" s="16" t="s">
        <v>87</v>
      </c>
      <c r="V2098" s="16" t="str">
        <f>IFERROR(__xludf.DUMMYFUNCTION("""COMPUTED_VALUE"""),"")</f>
        <v/>
      </c>
      <c r="W2098" s="16" t="str">
        <f>IFERROR(__xludf.DUMMYFUNCTION("""COMPUTED_VALUE"""),"")</f>
        <v/>
      </c>
      <c r="X2098" s="16" t="str">
        <f>IFERROR(__xludf.DUMMYFUNCTION("""COMPUTED_VALUE"""),"")</f>
        <v/>
      </c>
      <c r="AC2098" s="16" t="str">
        <f>IFERROR(__xludf.DUMMYFUNCTION("""COMPUTED_VALUE"""),"")</f>
        <v/>
      </c>
    </row>
    <row r="2099">
      <c r="A2099" s="16" t="s">
        <v>87</v>
      </c>
      <c r="E2099" s="16" t="str">
        <f>IFERROR(__xludf.DUMMYFUNCTION("""COMPUTED_VALUE"""),"")</f>
        <v/>
      </c>
      <c r="G2099" s="18"/>
      <c r="H2099" s="16" t="s">
        <v>87</v>
      </c>
      <c r="I2099" s="16" t="s">
        <v>87</v>
      </c>
      <c r="J2099" s="19"/>
      <c r="L2099" s="16" t="str">
        <f>IFERROR(__xludf.DUMMYFUNCTION("""COMPUTED_VALUE"""),"")</f>
        <v/>
      </c>
      <c r="M2099" s="16" t="str">
        <f>IFERROR(__xludf.DUMMYFUNCTION("""COMPUTED_VALUE"""),"")</f>
        <v/>
      </c>
      <c r="U2099" s="16" t="s">
        <v>87</v>
      </c>
      <c r="V2099" s="16" t="str">
        <f>IFERROR(__xludf.DUMMYFUNCTION("""COMPUTED_VALUE"""),"")</f>
        <v/>
      </c>
      <c r="W2099" s="16" t="str">
        <f>IFERROR(__xludf.DUMMYFUNCTION("""COMPUTED_VALUE"""),"")</f>
        <v/>
      </c>
      <c r="X2099" s="16" t="str">
        <f>IFERROR(__xludf.DUMMYFUNCTION("""COMPUTED_VALUE"""),"")</f>
        <v/>
      </c>
      <c r="AC2099" s="16" t="str">
        <f>IFERROR(__xludf.DUMMYFUNCTION("""COMPUTED_VALUE"""),"")</f>
        <v/>
      </c>
    </row>
    <row r="2100">
      <c r="A2100" s="16" t="s">
        <v>87</v>
      </c>
      <c r="E2100" s="16" t="str">
        <f>IFERROR(__xludf.DUMMYFUNCTION("""COMPUTED_VALUE"""),"")</f>
        <v/>
      </c>
      <c r="G2100" s="18"/>
      <c r="H2100" s="16" t="s">
        <v>87</v>
      </c>
      <c r="I2100" s="16" t="s">
        <v>87</v>
      </c>
      <c r="J2100" s="19"/>
      <c r="L2100" s="16" t="str">
        <f>IFERROR(__xludf.DUMMYFUNCTION("""COMPUTED_VALUE"""),"")</f>
        <v/>
      </c>
      <c r="M2100" s="16" t="str">
        <f>IFERROR(__xludf.DUMMYFUNCTION("""COMPUTED_VALUE"""),"")</f>
        <v/>
      </c>
      <c r="U2100" s="16" t="s">
        <v>87</v>
      </c>
      <c r="V2100" s="16" t="str">
        <f>IFERROR(__xludf.DUMMYFUNCTION("""COMPUTED_VALUE"""),"")</f>
        <v/>
      </c>
      <c r="W2100" s="16" t="str">
        <f>IFERROR(__xludf.DUMMYFUNCTION("""COMPUTED_VALUE"""),"")</f>
        <v/>
      </c>
      <c r="X2100" s="16" t="str">
        <f>IFERROR(__xludf.DUMMYFUNCTION("""COMPUTED_VALUE"""),"")</f>
        <v/>
      </c>
      <c r="AC2100" s="16" t="str">
        <f>IFERROR(__xludf.DUMMYFUNCTION("""COMPUTED_VALUE"""),"")</f>
        <v/>
      </c>
    </row>
    <row r="2101">
      <c r="A2101" s="16" t="s">
        <v>87</v>
      </c>
      <c r="E2101" s="16" t="str">
        <f>IFERROR(__xludf.DUMMYFUNCTION("""COMPUTED_VALUE"""),"")</f>
        <v/>
      </c>
      <c r="G2101" s="18"/>
      <c r="H2101" s="16" t="s">
        <v>87</v>
      </c>
      <c r="I2101" s="16" t="s">
        <v>87</v>
      </c>
      <c r="J2101" s="19"/>
      <c r="L2101" s="16" t="str">
        <f>IFERROR(__xludf.DUMMYFUNCTION("""COMPUTED_VALUE"""),"")</f>
        <v/>
      </c>
      <c r="M2101" s="16" t="str">
        <f>IFERROR(__xludf.DUMMYFUNCTION("""COMPUTED_VALUE"""),"")</f>
        <v/>
      </c>
      <c r="U2101" s="16" t="s">
        <v>87</v>
      </c>
      <c r="V2101" s="16" t="str">
        <f>IFERROR(__xludf.DUMMYFUNCTION("""COMPUTED_VALUE"""),"")</f>
        <v/>
      </c>
      <c r="W2101" s="16" t="str">
        <f>IFERROR(__xludf.DUMMYFUNCTION("""COMPUTED_VALUE"""),"")</f>
        <v/>
      </c>
      <c r="X2101" s="16" t="str">
        <f>IFERROR(__xludf.DUMMYFUNCTION("""COMPUTED_VALUE"""),"")</f>
        <v/>
      </c>
      <c r="AC2101" s="16" t="str">
        <f>IFERROR(__xludf.DUMMYFUNCTION("""COMPUTED_VALUE"""),"")</f>
        <v/>
      </c>
    </row>
    <row r="2102">
      <c r="A2102" s="16" t="s">
        <v>87</v>
      </c>
      <c r="E2102" s="16" t="str">
        <f>IFERROR(__xludf.DUMMYFUNCTION("""COMPUTED_VALUE"""),"")</f>
        <v/>
      </c>
      <c r="G2102" s="18"/>
      <c r="H2102" s="16" t="s">
        <v>87</v>
      </c>
      <c r="I2102" s="16" t="s">
        <v>87</v>
      </c>
      <c r="J2102" s="19"/>
      <c r="L2102" s="16" t="str">
        <f>IFERROR(__xludf.DUMMYFUNCTION("""COMPUTED_VALUE"""),"")</f>
        <v/>
      </c>
      <c r="M2102" s="16" t="str">
        <f>IFERROR(__xludf.DUMMYFUNCTION("""COMPUTED_VALUE"""),"")</f>
        <v/>
      </c>
      <c r="U2102" s="16" t="s">
        <v>87</v>
      </c>
      <c r="V2102" s="16" t="str">
        <f>IFERROR(__xludf.DUMMYFUNCTION("""COMPUTED_VALUE"""),"")</f>
        <v/>
      </c>
      <c r="W2102" s="16" t="str">
        <f>IFERROR(__xludf.DUMMYFUNCTION("""COMPUTED_VALUE"""),"")</f>
        <v/>
      </c>
      <c r="X2102" s="16" t="str">
        <f>IFERROR(__xludf.DUMMYFUNCTION("""COMPUTED_VALUE"""),"")</f>
        <v/>
      </c>
      <c r="AC2102" s="16" t="str">
        <f>IFERROR(__xludf.DUMMYFUNCTION("""COMPUTED_VALUE"""),"")</f>
        <v/>
      </c>
    </row>
    <row r="2103">
      <c r="A2103" s="16" t="s">
        <v>87</v>
      </c>
      <c r="E2103" s="16" t="str">
        <f>IFERROR(__xludf.DUMMYFUNCTION("""COMPUTED_VALUE"""),"")</f>
        <v/>
      </c>
      <c r="G2103" s="18"/>
      <c r="H2103" s="16" t="s">
        <v>87</v>
      </c>
      <c r="I2103" s="16" t="s">
        <v>87</v>
      </c>
      <c r="J2103" s="19"/>
      <c r="L2103" s="16" t="str">
        <f>IFERROR(__xludf.DUMMYFUNCTION("""COMPUTED_VALUE"""),"")</f>
        <v/>
      </c>
      <c r="M2103" s="16" t="str">
        <f>IFERROR(__xludf.DUMMYFUNCTION("""COMPUTED_VALUE"""),"")</f>
        <v/>
      </c>
      <c r="U2103" s="16" t="s">
        <v>87</v>
      </c>
      <c r="V2103" s="16" t="str">
        <f>IFERROR(__xludf.DUMMYFUNCTION("""COMPUTED_VALUE"""),"")</f>
        <v/>
      </c>
      <c r="W2103" s="16" t="str">
        <f>IFERROR(__xludf.DUMMYFUNCTION("""COMPUTED_VALUE"""),"")</f>
        <v/>
      </c>
      <c r="X2103" s="16" t="str">
        <f>IFERROR(__xludf.DUMMYFUNCTION("""COMPUTED_VALUE"""),"")</f>
        <v/>
      </c>
      <c r="AC2103" s="16" t="str">
        <f>IFERROR(__xludf.DUMMYFUNCTION("""COMPUTED_VALUE"""),"")</f>
        <v/>
      </c>
    </row>
    <row r="2104">
      <c r="A2104" s="16" t="s">
        <v>87</v>
      </c>
      <c r="E2104" s="16" t="str">
        <f>IFERROR(__xludf.DUMMYFUNCTION("""COMPUTED_VALUE"""),"")</f>
        <v/>
      </c>
      <c r="G2104" s="18"/>
      <c r="H2104" s="16" t="s">
        <v>87</v>
      </c>
      <c r="I2104" s="16" t="s">
        <v>87</v>
      </c>
      <c r="J2104" s="19"/>
      <c r="L2104" s="16" t="str">
        <f>IFERROR(__xludf.DUMMYFUNCTION("""COMPUTED_VALUE"""),"")</f>
        <v/>
      </c>
      <c r="M2104" s="16" t="str">
        <f>IFERROR(__xludf.DUMMYFUNCTION("""COMPUTED_VALUE"""),"")</f>
        <v/>
      </c>
      <c r="U2104" s="16" t="s">
        <v>87</v>
      </c>
      <c r="V2104" s="16" t="str">
        <f>IFERROR(__xludf.DUMMYFUNCTION("""COMPUTED_VALUE"""),"")</f>
        <v/>
      </c>
      <c r="W2104" s="16" t="str">
        <f>IFERROR(__xludf.DUMMYFUNCTION("""COMPUTED_VALUE"""),"")</f>
        <v/>
      </c>
      <c r="X2104" s="16" t="str">
        <f>IFERROR(__xludf.DUMMYFUNCTION("""COMPUTED_VALUE"""),"")</f>
        <v/>
      </c>
      <c r="AC2104" s="16" t="str">
        <f>IFERROR(__xludf.DUMMYFUNCTION("""COMPUTED_VALUE"""),"")</f>
        <v/>
      </c>
    </row>
    <row r="2105">
      <c r="A2105" s="16" t="s">
        <v>87</v>
      </c>
      <c r="E2105" s="16" t="str">
        <f>IFERROR(__xludf.DUMMYFUNCTION("""COMPUTED_VALUE"""),"")</f>
        <v/>
      </c>
      <c r="G2105" s="18"/>
      <c r="H2105" s="16" t="s">
        <v>87</v>
      </c>
      <c r="I2105" s="16" t="s">
        <v>87</v>
      </c>
      <c r="J2105" s="19"/>
      <c r="L2105" s="16" t="str">
        <f>IFERROR(__xludf.DUMMYFUNCTION("""COMPUTED_VALUE"""),"")</f>
        <v/>
      </c>
      <c r="M2105" s="16" t="str">
        <f>IFERROR(__xludf.DUMMYFUNCTION("""COMPUTED_VALUE"""),"")</f>
        <v/>
      </c>
      <c r="U2105" s="16" t="s">
        <v>87</v>
      </c>
      <c r="V2105" s="16" t="str">
        <f>IFERROR(__xludf.DUMMYFUNCTION("""COMPUTED_VALUE"""),"")</f>
        <v/>
      </c>
      <c r="W2105" s="16" t="str">
        <f>IFERROR(__xludf.DUMMYFUNCTION("""COMPUTED_VALUE"""),"")</f>
        <v/>
      </c>
      <c r="X2105" s="16" t="str">
        <f>IFERROR(__xludf.DUMMYFUNCTION("""COMPUTED_VALUE"""),"")</f>
        <v/>
      </c>
      <c r="AC2105" s="16" t="str">
        <f>IFERROR(__xludf.DUMMYFUNCTION("""COMPUTED_VALUE"""),"")</f>
        <v/>
      </c>
    </row>
    <row r="2106">
      <c r="A2106" s="16" t="s">
        <v>87</v>
      </c>
      <c r="E2106" s="16" t="str">
        <f>IFERROR(__xludf.DUMMYFUNCTION("""COMPUTED_VALUE"""),"")</f>
        <v/>
      </c>
      <c r="G2106" s="18"/>
      <c r="H2106" s="16" t="s">
        <v>87</v>
      </c>
      <c r="I2106" s="16" t="s">
        <v>87</v>
      </c>
      <c r="J2106" s="19"/>
      <c r="L2106" s="16" t="str">
        <f>IFERROR(__xludf.DUMMYFUNCTION("""COMPUTED_VALUE"""),"")</f>
        <v/>
      </c>
      <c r="M2106" s="16" t="str">
        <f>IFERROR(__xludf.DUMMYFUNCTION("""COMPUTED_VALUE"""),"")</f>
        <v/>
      </c>
      <c r="U2106" s="16" t="s">
        <v>87</v>
      </c>
      <c r="V2106" s="16" t="str">
        <f>IFERROR(__xludf.DUMMYFUNCTION("""COMPUTED_VALUE"""),"")</f>
        <v/>
      </c>
      <c r="W2106" s="16" t="str">
        <f>IFERROR(__xludf.DUMMYFUNCTION("""COMPUTED_VALUE"""),"")</f>
        <v/>
      </c>
      <c r="X2106" s="16" t="str">
        <f>IFERROR(__xludf.DUMMYFUNCTION("""COMPUTED_VALUE"""),"")</f>
        <v/>
      </c>
      <c r="AC2106" s="16" t="str">
        <f>IFERROR(__xludf.DUMMYFUNCTION("""COMPUTED_VALUE"""),"")</f>
        <v/>
      </c>
    </row>
    <row r="2107">
      <c r="A2107" s="16" t="s">
        <v>87</v>
      </c>
      <c r="E2107" s="16" t="str">
        <f>IFERROR(__xludf.DUMMYFUNCTION("""COMPUTED_VALUE"""),"")</f>
        <v/>
      </c>
      <c r="G2107" s="18"/>
      <c r="H2107" s="16" t="s">
        <v>87</v>
      </c>
      <c r="I2107" s="16" t="s">
        <v>87</v>
      </c>
      <c r="J2107" s="19"/>
      <c r="L2107" s="16" t="str">
        <f>IFERROR(__xludf.DUMMYFUNCTION("""COMPUTED_VALUE"""),"")</f>
        <v/>
      </c>
      <c r="M2107" s="16" t="str">
        <f>IFERROR(__xludf.DUMMYFUNCTION("""COMPUTED_VALUE"""),"")</f>
        <v/>
      </c>
      <c r="U2107" s="16" t="s">
        <v>87</v>
      </c>
      <c r="V2107" s="16" t="str">
        <f>IFERROR(__xludf.DUMMYFUNCTION("""COMPUTED_VALUE"""),"")</f>
        <v/>
      </c>
      <c r="W2107" s="16" t="str">
        <f>IFERROR(__xludf.DUMMYFUNCTION("""COMPUTED_VALUE"""),"")</f>
        <v/>
      </c>
      <c r="X2107" s="16" t="str">
        <f>IFERROR(__xludf.DUMMYFUNCTION("""COMPUTED_VALUE"""),"")</f>
        <v/>
      </c>
      <c r="AC2107" s="16" t="str">
        <f>IFERROR(__xludf.DUMMYFUNCTION("""COMPUTED_VALUE"""),"")</f>
        <v/>
      </c>
    </row>
    <row r="2108">
      <c r="A2108" s="16" t="s">
        <v>87</v>
      </c>
      <c r="E2108" s="16" t="str">
        <f>IFERROR(__xludf.DUMMYFUNCTION("""COMPUTED_VALUE"""),"")</f>
        <v/>
      </c>
      <c r="G2108" s="18"/>
      <c r="H2108" s="16" t="s">
        <v>87</v>
      </c>
      <c r="I2108" s="16" t="s">
        <v>87</v>
      </c>
      <c r="J2108" s="19"/>
      <c r="L2108" s="16" t="str">
        <f>IFERROR(__xludf.DUMMYFUNCTION("""COMPUTED_VALUE"""),"")</f>
        <v/>
      </c>
      <c r="M2108" s="16" t="str">
        <f>IFERROR(__xludf.DUMMYFUNCTION("""COMPUTED_VALUE"""),"")</f>
        <v/>
      </c>
      <c r="U2108" s="16" t="s">
        <v>87</v>
      </c>
      <c r="V2108" s="16" t="str">
        <f>IFERROR(__xludf.DUMMYFUNCTION("""COMPUTED_VALUE"""),"")</f>
        <v/>
      </c>
      <c r="W2108" s="16" t="str">
        <f>IFERROR(__xludf.DUMMYFUNCTION("""COMPUTED_VALUE"""),"")</f>
        <v/>
      </c>
      <c r="X2108" s="16" t="str">
        <f>IFERROR(__xludf.DUMMYFUNCTION("""COMPUTED_VALUE"""),"")</f>
        <v/>
      </c>
      <c r="AC2108" s="16" t="str">
        <f>IFERROR(__xludf.DUMMYFUNCTION("""COMPUTED_VALUE"""),"")</f>
        <v/>
      </c>
    </row>
    <row r="2109">
      <c r="A2109" s="16" t="s">
        <v>87</v>
      </c>
      <c r="E2109" s="16" t="str">
        <f>IFERROR(__xludf.DUMMYFUNCTION("""COMPUTED_VALUE"""),"")</f>
        <v/>
      </c>
      <c r="G2109" s="18"/>
      <c r="H2109" s="16" t="s">
        <v>87</v>
      </c>
      <c r="I2109" s="16" t="s">
        <v>87</v>
      </c>
      <c r="J2109" s="19"/>
      <c r="L2109" s="16" t="str">
        <f>IFERROR(__xludf.DUMMYFUNCTION("""COMPUTED_VALUE"""),"")</f>
        <v/>
      </c>
      <c r="M2109" s="16" t="str">
        <f>IFERROR(__xludf.DUMMYFUNCTION("""COMPUTED_VALUE"""),"")</f>
        <v/>
      </c>
      <c r="U2109" s="16" t="s">
        <v>87</v>
      </c>
      <c r="V2109" s="16" t="str">
        <f>IFERROR(__xludf.DUMMYFUNCTION("""COMPUTED_VALUE"""),"")</f>
        <v/>
      </c>
      <c r="W2109" s="16" t="str">
        <f>IFERROR(__xludf.DUMMYFUNCTION("""COMPUTED_VALUE"""),"")</f>
        <v/>
      </c>
      <c r="X2109" s="16" t="str">
        <f>IFERROR(__xludf.DUMMYFUNCTION("""COMPUTED_VALUE"""),"")</f>
        <v/>
      </c>
      <c r="AC2109" s="16" t="str">
        <f>IFERROR(__xludf.DUMMYFUNCTION("""COMPUTED_VALUE"""),"")</f>
        <v/>
      </c>
    </row>
    <row r="2110">
      <c r="A2110" s="16" t="s">
        <v>87</v>
      </c>
      <c r="E2110" s="16" t="str">
        <f>IFERROR(__xludf.DUMMYFUNCTION("""COMPUTED_VALUE"""),"")</f>
        <v/>
      </c>
      <c r="G2110" s="18"/>
      <c r="H2110" s="16" t="s">
        <v>87</v>
      </c>
      <c r="I2110" s="16" t="s">
        <v>87</v>
      </c>
      <c r="J2110" s="19"/>
      <c r="L2110" s="16" t="str">
        <f>IFERROR(__xludf.DUMMYFUNCTION("""COMPUTED_VALUE"""),"")</f>
        <v/>
      </c>
      <c r="M2110" s="16" t="str">
        <f>IFERROR(__xludf.DUMMYFUNCTION("""COMPUTED_VALUE"""),"")</f>
        <v/>
      </c>
      <c r="U2110" s="16" t="s">
        <v>87</v>
      </c>
      <c r="V2110" s="16" t="str">
        <f>IFERROR(__xludf.DUMMYFUNCTION("""COMPUTED_VALUE"""),"")</f>
        <v/>
      </c>
      <c r="W2110" s="16" t="str">
        <f>IFERROR(__xludf.DUMMYFUNCTION("""COMPUTED_VALUE"""),"")</f>
        <v/>
      </c>
      <c r="X2110" s="16" t="str">
        <f>IFERROR(__xludf.DUMMYFUNCTION("""COMPUTED_VALUE"""),"")</f>
        <v/>
      </c>
      <c r="AC2110" s="16" t="str">
        <f>IFERROR(__xludf.DUMMYFUNCTION("""COMPUTED_VALUE"""),"")</f>
        <v/>
      </c>
    </row>
    <row r="2111">
      <c r="A2111" s="16" t="s">
        <v>87</v>
      </c>
      <c r="E2111" s="16" t="str">
        <f>IFERROR(__xludf.DUMMYFUNCTION("""COMPUTED_VALUE"""),"")</f>
        <v/>
      </c>
      <c r="G2111" s="18"/>
      <c r="H2111" s="16" t="s">
        <v>87</v>
      </c>
      <c r="I2111" s="16" t="s">
        <v>87</v>
      </c>
      <c r="J2111" s="19"/>
      <c r="L2111" s="16" t="str">
        <f>IFERROR(__xludf.DUMMYFUNCTION("""COMPUTED_VALUE"""),"")</f>
        <v/>
      </c>
      <c r="M2111" s="16" t="str">
        <f>IFERROR(__xludf.DUMMYFUNCTION("""COMPUTED_VALUE"""),"")</f>
        <v/>
      </c>
      <c r="U2111" s="16" t="s">
        <v>87</v>
      </c>
      <c r="V2111" s="16" t="str">
        <f>IFERROR(__xludf.DUMMYFUNCTION("""COMPUTED_VALUE"""),"")</f>
        <v/>
      </c>
      <c r="W2111" s="16" t="str">
        <f>IFERROR(__xludf.DUMMYFUNCTION("""COMPUTED_VALUE"""),"")</f>
        <v/>
      </c>
      <c r="X2111" s="16" t="str">
        <f>IFERROR(__xludf.DUMMYFUNCTION("""COMPUTED_VALUE"""),"")</f>
        <v/>
      </c>
      <c r="AC2111" s="16" t="str">
        <f>IFERROR(__xludf.DUMMYFUNCTION("""COMPUTED_VALUE"""),"")</f>
        <v/>
      </c>
    </row>
    <row r="2112">
      <c r="A2112" s="16" t="s">
        <v>87</v>
      </c>
      <c r="E2112" s="16" t="str">
        <f>IFERROR(__xludf.DUMMYFUNCTION("""COMPUTED_VALUE"""),"")</f>
        <v/>
      </c>
      <c r="G2112" s="18"/>
      <c r="H2112" s="16" t="s">
        <v>87</v>
      </c>
      <c r="I2112" s="16" t="s">
        <v>87</v>
      </c>
      <c r="J2112" s="19"/>
      <c r="L2112" s="16" t="str">
        <f>IFERROR(__xludf.DUMMYFUNCTION("""COMPUTED_VALUE"""),"")</f>
        <v/>
      </c>
      <c r="M2112" s="16" t="str">
        <f>IFERROR(__xludf.DUMMYFUNCTION("""COMPUTED_VALUE"""),"")</f>
        <v/>
      </c>
      <c r="U2112" s="16" t="s">
        <v>87</v>
      </c>
      <c r="V2112" s="16" t="str">
        <f>IFERROR(__xludf.DUMMYFUNCTION("""COMPUTED_VALUE"""),"")</f>
        <v/>
      </c>
      <c r="W2112" s="16" t="str">
        <f>IFERROR(__xludf.DUMMYFUNCTION("""COMPUTED_VALUE"""),"")</f>
        <v/>
      </c>
      <c r="X2112" s="16" t="str">
        <f>IFERROR(__xludf.DUMMYFUNCTION("""COMPUTED_VALUE"""),"")</f>
        <v/>
      </c>
      <c r="AC2112" s="16" t="str">
        <f>IFERROR(__xludf.DUMMYFUNCTION("""COMPUTED_VALUE"""),"")</f>
        <v/>
      </c>
    </row>
    <row r="2113">
      <c r="A2113" s="16" t="s">
        <v>87</v>
      </c>
      <c r="E2113" s="16" t="str">
        <f>IFERROR(__xludf.DUMMYFUNCTION("""COMPUTED_VALUE"""),"")</f>
        <v/>
      </c>
      <c r="G2113" s="18"/>
      <c r="H2113" s="16" t="s">
        <v>87</v>
      </c>
      <c r="I2113" s="16" t="s">
        <v>87</v>
      </c>
      <c r="J2113" s="19"/>
      <c r="L2113" s="16" t="str">
        <f>IFERROR(__xludf.DUMMYFUNCTION("""COMPUTED_VALUE"""),"")</f>
        <v/>
      </c>
      <c r="M2113" s="16" t="str">
        <f>IFERROR(__xludf.DUMMYFUNCTION("""COMPUTED_VALUE"""),"")</f>
        <v/>
      </c>
      <c r="U2113" s="16" t="s">
        <v>87</v>
      </c>
      <c r="V2113" s="16" t="str">
        <f>IFERROR(__xludf.DUMMYFUNCTION("""COMPUTED_VALUE"""),"")</f>
        <v/>
      </c>
      <c r="W2113" s="16" t="str">
        <f>IFERROR(__xludf.DUMMYFUNCTION("""COMPUTED_VALUE"""),"")</f>
        <v/>
      </c>
      <c r="X2113" s="16" t="str">
        <f>IFERROR(__xludf.DUMMYFUNCTION("""COMPUTED_VALUE"""),"")</f>
        <v/>
      </c>
      <c r="AC2113" s="16" t="str">
        <f>IFERROR(__xludf.DUMMYFUNCTION("""COMPUTED_VALUE"""),"")</f>
        <v/>
      </c>
    </row>
    <row r="2114">
      <c r="A2114" s="16" t="s">
        <v>87</v>
      </c>
      <c r="E2114" s="16" t="str">
        <f>IFERROR(__xludf.DUMMYFUNCTION("""COMPUTED_VALUE"""),"")</f>
        <v/>
      </c>
      <c r="G2114" s="18"/>
      <c r="H2114" s="16" t="s">
        <v>87</v>
      </c>
      <c r="I2114" s="16" t="s">
        <v>87</v>
      </c>
      <c r="J2114" s="19"/>
      <c r="L2114" s="16" t="str">
        <f>IFERROR(__xludf.DUMMYFUNCTION("""COMPUTED_VALUE"""),"")</f>
        <v/>
      </c>
      <c r="M2114" s="16" t="str">
        <f>IFERROR(__xludf.DUMMYFUNCTION("""COMPUTED_VALUE"""),"")</f>
        <v/>
      </c>
      <c r="U2114" s="16" t="s">
        <v>87</v>
      </c>
      <c r="V2114" s="16" t="str">
        <f>IFERROR(__xludf.DUMMYFUNCTION("""COMPUTED_VALUE"""),"")</f>
        <v/>
      </c>
      <c r="W2114" s="16" t="str">
        <f>IFERROR(__xludf.DUMMYFUNCTION("""COMPUTED_VALUE"""),"")</f>
        <v/>
      </c>
      <c r="X2114" s="16" t="str">
        <f>IFERROR(__xludf.DUMMYFUNCTION("""COMPUTED_VALUE"""),"")</f>
        <v/>
      </c>
      <c r="AC2114" s="16" t="str">
        <f>IFERROR(__xludf.DUMMYFUNCTION("""COMPUTED_VALUE"""),"")</f>
        <v/>
      </c>
    </row>
    <row r="2115">
      <c r="A2115" s="16" t="s">
        <v>87</v>
      </c>
      <c r="E2115" s="16" t="str">
        <f>IFERROR(__xludf.DUMMYFUNCTION("""COMPUTED_VALUE"""),"")</f>
        <v/>
      </c>
      <c r="G2115" s="18"/>
      <c r="H2115" s="16" t="s">
        <v>87</v>
      </c>
      <c r="I2115" s="16" t="s">
        <v>87</v>
      </c>
      <c r="J2115" s="19"/>
      <c r="L2115" s="16" t="str">
        <f>IFERROR(__xludf.DUMMYFUNCTION("""COMPUTED_VALUE"""),"")</f>
        <v/>
      </c>
      <c r="M2115" s="16" t="str">
        <f>IFERROR(__xludf.DUMMYFUNCTION("""COMPUTED_VALUE"""),"")</f>
        <v/>
      </c>
      <c r="U2115" s="16" t="s">
        <v>87</v>
      </c>
      <c r="V2115" s="16" t="str">
        <f>IFERROR(__xludf.DUMMYFUNCTION("""COMPUTED_VALUE"""),"")</f>
        <v/>
      </c>
      <c r="W2115" s="16" t="str">
        <f>IFERROR(__xludf.DUMMYFUNCTION("""COMPUTED_VALUE"""),"")</f>
        <v/>
      </c>
      <c r="X2115" s="16" t="str">
        <f>IFERROR(__xludf.DUMMYFUNCTION("""COMPUTED_VALUE"""),"")</f>
        <v/>
      </c>
      <c r="AC2115" s="16" t="str">
        <f>IFERROR(__xludf.DUMMYFUNCTION("""COMPUTED_VALUE"""),"")</f>
        <v/>
      </c>
    </row>
    <row r="2116">
      <c r="A2116" s="16" t="s">
        <v>87</v>
      </c>
      <c r="E2116" s="16" t="str">
        <f>IFERROR(__xludf.DUMMYFUNCTION("""COMPUTED_VALUE"""),"")</f>
        <v/>
      </c>
      <c r="G2116" s="18"/>
      <c r="H2116" s="16" t="s">
        <v>87</v>
      </c>
      <c r="I2116" s="16" t="s">
        <v>87</v>
      </c>
      <c r="J2116" s="19"/>
      <c r="L2116" s="16" t="str">
        <f>IFERROR(__xludf.DUMMYFUNCTION("""COMPUTED_VALUE"""),"")</f>
        <v/>
      </c>
      <c r="M2116" s="16" t="str">
        <f>IFERROR(__xludf.DUMMYFUNCTION("""COMPUTED_VALUE"""),"")</f>
        <v/>
      </c>
      <c r="U2116" s="16" t="s">
        <v>87</v>
      </c>
      <c r="V2116" s="16" t="str">
        <f>IFERROR(__xludf.DUMMYFUNCTION("""COMPUTED_VALUE"""),"")</f>
        <v/>
      </c>
      <c r="W2116" s="16" t="str">
        <f>IFERROR(__xludf.DUMMYFUNCTION("""COMPUTED_VALUE"""),"")</f>
        <v/>
      </c>
      <c r="X2116" s="16" t="str">
        <f>IFERROR(__xludf.DUMMYFUNCTION("""COMPUTED_VALUE"""),"")</f>
        <v/>
      </c>
      <c r="AC2116" s="16" t="str">
        <f>IFERROR(__xludf.DUMMYFUNCTION("""COMPUTED_VALUE"""),"")</f>
        <v/>
      </c>
    </row>
    <row r="2117">
      <c r="A2117" s="16" t="s">
        <v>87</v>
      </c>
      <c r="E2117" s="16" t="str">
        <f>IFERROR(__xludf.DUMMYFUNCTION("""COMPUTED_VALUE"""),"")</f>
        <v/>
      </c>
      <c r="G2117" s="18"/>
      <c r="H2117" s="16" t="s">
        <v>87</v>
      </c>
      <c r="I2117" s="16" t="s">
        <v>87</v>
      </c>
      <c r="J2117" s="19"/>
      <c r="L2117" s="16" t="str">
        <f>IFERROR(__xludf.DUMMYFUNCTION("""COMPUTED_VALUE"""),"")</f>
        <v/>
      </c>
      <c r="M2117" s="16" t="str">
        <f>IFERROR(__xludf.DUMMYFUNCTION("""COMPUTED_VALUE"""),"")</f>
        <v/>
      </c>
      <c r="U2117" s="16" t="s">
        <v>87</v>
      </c>
      <c r="V2117" s="16" t="str">
        <f>IFERROR(__xludf.DUMMYFUNCTION("""COMPUTED_VALUE"""),"")</f>
        <v/>
      </c>
      <c r="W2117" s="16" t="str">
        <f>IFERROR(__xludf.DUMMYFUNCTION("""COMPUTED_VALUE"""),"")</f>
        <v/>
      </c>
      <c r="X2117" s="16" t="str">
        <f>IFERROR(__xludf.DUMMYFUNCTION("""COMPUTED_VALUE"""),"")</f>
        <v/>
      </c>
      <c r="AC2117" s="16" t="str">
        <f>IFERROR(__xludf.DUMMYFUNCTION("""COMPUTED_VALUE"""),"")</f>
        <v/>
      </c>
    </row>
    <row r="2118">
      <c r="A2118" s="16" t="s">
        <v>87</v>
      </c>
      <c r="E2118" s="16" t="str">
        <f>IFERROR(__xludf.DUMMYFUNCTION("""COMPUTED_VALUE"""),"")</f>
        <v/>
      </c>
      <c r="G2118" s="18"/>
      <c r="H2118" s="16" t="s">
        <v>87</v>
      </c>
      <c r="I2118" s="16" t="s">
        <v>87</v>
      </c>
      <c r="J2118" s="19"/>
      <c r="L2118" s="16" t="str">
        <f>IFERROR(__xludf.DUMMYFUNCTION("""COMPUTED_VALUE"""),"")</f>
        <v/>
      </c>
      <c r="M2118" s="16" t="str">
        <f>IFERROR(__xludf.DUMMYFUNCTION("""COMPUTED_VALUE"""),"")</f>
        <v/>
      </c>
      <c r="U2118" s="16" t="s">
        <v>87</v>
      </c>
      <c r="V2118" s="16" t="str">
        <f>IFERROR(__xludf.DUMMYFUNCTION("""COMPUTED_VALUE"""),"")</f>
        <v/>
      </c>
      <c r="W2118" s="16" t="str">
        <f>IFERROR(__xludf.DUMMYFUNCTION("""COMPUTED_VALUE"""),"")</f>
        <v/>
      </c>
      <c r="X2118" s="16" t="str">
        <f>IFERROR(__xludf.DUMMYFUNCTION("""COMPUTED_VALUE"""),"")</f>
        <v/>
      </c>
      <c r="AC2118" s="16" t="str">
        <f>IFERROR(__xludf.DUMMYFUNCTION("""COMPUTED_VALUE"""),"")</f>
        <v/>
      </c>
    </row>
    <row r="2119">
      <c r="A2119" s="16" t="s">
        <v>87</v>
      </c>
      <c r="E2119" s="16" t="str">
        <f>IFERROR(__xludf.DUMMYFUNCTION("""COMPUTED_VALUE"""),"")</f>
        <v/>
      </c>
      <c r="G2119" s="18"/>
      <c r="H2119" s="16" t="s">
        <v>87</v>
      </c>
      <c r="I2119" s="16" t="s">
        <v>87</v>
      </c>
      <c r="J2119" s="19"/>
      <c r="L2119" s="16" t="str">
        <f>IFERROR(__xludf.DUMMYFUNCTION("""COMPUTED_VALUE"""),"")</f>
        <v/>
      </c>
      <c r="M2119" s="16" t="str">
        <f>IFERROR(__xludf.DUMMYFUNCTION("""COMPUTED_VALUE"""),"")</f>
        <v/>
      </c>
      <c r="U2119" s="16" t="s">
        <v>87</v>
      </c>
      <c r="V2119" s="16" t="str">
        <f>IFERROR(__xludf.DUMMYFUNCTION("""COMPUTED_VALUE"""),"")</f>
        <v/>
      </c>
      <c r="W2119" s="16" t="str">
        <f>IFERROR(__xludf.DUMMYFUNCTION("""COMPUTED_VALUE"""),"")</f>
        <v/>
      </c>
      <c r="X2119" s="16" t="str">
        <f>IFERROR(__xludf.DUMMYFUNCTION("""COMPUTED_VALUE"""),"")</f>
        <v/>
      </c>
      <c r="AC2119" s="16" t="str">
        <f>IFERROR(__xludf.DUMMYFUNCTION("""COMPUTED_VALUE"""),"")</f>
        <v/>
      </c>
    </row>
    <row r="2120">
      <c r="A2120" s="16" t="s">
        <v>87</v>
      </c>
      <c r="E2120" s="16" t="str">
        <f>IFERROR(__xludf.DUMMYFUNCTION("""COMPUTED_VALUE"""),"")</f>
        <v/>
      </c>
      <c r="G2120" s="18"/>
      <c r="H2120" s="16" t="s">
        <v>87</v>
      </c>
      <c r="I2120" s="16" t="s">
        <v>87</v>
      </c>
      <c r="J2120" s="19"/>
      <c r="L2120" s="16" t="str">
        <f>IFERROR(__xludf.DUMMYFUNCTION("""COMPUTED_VALUE"""),"")</f>
        <v/>
      </c>
      <c r="M2120" s="16" t="str">
        <f>IFERROR(__xludf.DUMMYFUNCTION("""COMPUTED_VALUE"""),"")</f>
        <v/>
      </c>
      <c r="U2120" s="16" t="s">
        <v>87</v>
      </c>
      <c r="V2120" s="16" t="str">
        <f>IFERROR(__xludf.DUMMYFUNCTION("""COMPUTED_VALUE"""),"")</f>
        <v/>
      </c>
      <c r="W2120" s="16" t="str">
        <f>IFERROR(__xludf.DUMMYFUNCTION("""COMPUTED_VALUE"""),"")</f>
        <v/>
      </c>
      <c r="X2120" s="16" t="str">
        <f>IFERROR(__xludf.DUMMYFUNCTION("""COMPUTED_VALUE"""),"")</f>
        <v/>
      </c>
      <c r="AC2120" s="16" t="str">
        <f>IFERROR(__xludf.DUMMYFUNCTION("""COMPUTED_VALUE"""),"")</f>
        <v/>
      </c>
    </row>
    <row r="2121">
      <c r="A2121" s="16" t="s">
        <v>87</v>
      </c>
      <c r="E2121" s="16" t="str">
        <f>IFERROR(__xludf.DUMMYFUNCTION("""COMPUTED_VALUE"""),"")</f>
        <v/>
      </c>
      <c r="G2121" s="18"/>
      <c r="H2121" s="16" t="s">
        <v>87</v>
      </c>
      <c r="I2121" s="16" t="s">
        <v>87</v>
      </c>
      <c r="J2121" s="19"/>
      <c r="L2121" s="16" t="str">
        <f>IFERROR(__xludf.DUMMYFUNCTION("""COMPUTED_VALUE"""),"")</f>
        <v/>
      </c>
      <c r="M2121" s="16" t="str">
        <f>IFERROR(__xludf.DUMMYFUNCTION("""COMPUTED_VALUE"""),"")</f>
        <v/>
      </c>
      <c r="U2121" s="16" t="s">
        <v>87</v>
      </c>
      <c r="V2121" s="16" t="str">
        <f>IFERROR(__xludf.DUMMYFUNCTION("""COMPUTED_VALUE"""),"")</f>
        <v/>
      </c>
      <c r="W2121" s="16" t="str">
        <f>IFERROR(__xludf.DUMMYFUNCTION("""COMPUTED_VALUE"""),"")</f>
        <v/>
      </c>
      <c r="X2121" s="16" t="str">
        <f>IFERROR(__xludf.DUMMYFUNCTION("""COMPUTED_VALUE"""),"")</f>
        <v/>
      </c>
      <c r="AC2121" s="16" t="str">
        <f>IFERROR(__xludf.DUMMYFUNCTION("""COMPUTED_VALUE"""),"")</f>
        <v/>
      </c>
    </row>
    <row r="2122">
      <c r="A2122" s="16" t="s">
        <v>87</v>
      </c>
      <c r="E2122" s="16" t="str">
        <f>IFERROR(__xludf.DUMMYFUNCTION("""COMPUTED_VALUE"""),"")</f>
        <v/>
      </c>
      <c r="G2122" s="18"/>
      <c r="H2122" s="16" t="s">
        <v>87</v>
      </c>
      <c r="I2122" s="16" t="s">
        <v>87</v>
      </c>
      <c r="J2122" s="19"/>
      <c r="L2122" s="16" t="str">
        <f>IFERROR(__xludf.DUMMYFUNCTION("""COMPUTED_VALUE"""),"")</f>
        <v/>
      </c>
      <c r="M2122" s="16" t="str">
        <f>IFERROR(__xludf.DUMMYFUNCTION("""COMPUTED_VALUE"""),"")</f>
        <v/>
      </c>
      <c r="U2122" s="16" t="s">
        <v>87</v>
      </c>
      <c r="V2122" s="16" t="str">
        <f>IFERROR(__xludf.DUMMYFUNCTION("""COMPUTED_VALUE"""),"")</f>
        <v/>
      </c>
      <c r="W2122" s="16" t="str">
        <f>IFERROR(__xludf.DUMMYFUNCTION("""COMPUTED_VALUE"""),"")</f>
        <v/>
      </c>
      <c r="X2122" s="16" t="str">
        <f>IFERROR(__xludf.DUMMYFUNCTION("""COMPUTED_VALUE"""),"")</f>
        <v/>
      </c>
      <c r="AC2122" s="16" t="str">
        <f>IFERROR(__xludf.DUMMYFUNCTION("""COMPUTED_VALUE"""),"")</f>
        <v/>
      </c>
    </row>
    <row r="2123">
      <c r="A2123" s="16" t="s">
        <v>87</v>
      </c>
      <c r="E2123" s="16" t="str">
        <f>IFERROR(__xludf.DUMMYFUNCTION("""COMPUTED_VALUE"""),"")</f>
        <v/>
      </c>
      <c r="G2123" s="18"/>
      <c r="H2123" s="16" t="s">
        <v>87</v>
      </c>
      <c r="I2123" s="16" t="s">
        <v>87</v>
      </c>
      <c r="J2123" s="19"/>
      <c r="L2123" s="16" t="str">
        <f>IFERROR(__xludf.DUMMYFUNCTION("""COMPUTED_VALUE"""),"")</f>
        <v/>
      </c>
      <c r="M2123" s="16" t="str">
        <f>IFERROR(__xludf.DUMMYFUNCTION("""COMPUTED_VALUE"""),"")</f>
        <v/>
      </c>
      <c r="U2123" s="16" t="s">
        <v>87</v>
      </c>
      <c r="V2123" s="16" t="str">
        <f>IFERROR(__xludf.DUMMYFUNCTION("""COMPUTED_VALUE"""),"")</f>
        <v/>
      </c>
      <c r="W2123" s="16" t="str">
        <f>IFERROR(__xludf.DUMMYFUNCTION("""COMPUTED_VALUE"""),"")</f>
        <v/>
      </c>
      <c r="X2123" s="16" t="str">
        <f>IFERROR(__xludf.DUMMYFUNCTION("""COMPUTED_VALUE"""),"")</f>
        <v/>
      </c>
      <c r="AC2123" s="16" t="str">
        <f>IFERROR(__xludf.DUMMYFUNCTION("""COMPUTED_VALUE"""),"")</f>
        <v/>
      </c>
    </row>
    <row r="2124">
      <c r="A2124" s="16" t="s">
        <v>87</v>
      </c>
      <c r="E2124" s="16" t="str">
        <f>IFERROR(__xludf.DUMMYFUNCTION("""COMPUTED_VALUE"""),"")</f>
        <v/>
      </c>
      <c r="G2124" s="18"/>
      <c r="H2124" s="16" t="s">
        <v>87</v>
      </c>
      <c r="I2124" s="16" t="s">
        <v>87</v>
      </c>
      <c r="J2124" s="19"/>
      <c r="L2124" s="16" t="str">
        <f>IFERROR(__xludf.DUMMYFUNCTION("""COMPUTED_VALUE"""),"")</f>
        <v/>
      </c>
      <c r="M2124" s="16" t="str">
        <f>IFERROR(__xludf.DUMMYFUNCTION("""COMPUTED_VALUE"""),"")</f>
        <v/>
      </c>
      <c r="U2124" s="16" t="s">
        <v>87</v>
      </c>
      <c r="V2124" s="16" t="str">
        <f>IFERROR(__xludf.DUMMYFUNCTION("""COMPUTED_VALUE"""),"")</f>
        <v/>
      </c>
      <c r="W2124" s="16" t="str">
        <f>IFERROR(__xludf.DUMMYFUNCTION("""COMPUTED_VALUE"""),"")</f>
        <v/>
      </c>
      <c r="X2124" s="16" t="str">
        <f>IFERROR(__xludf.DUMMYFUNCTION("""COMPUTED_VALUE"""),"")</f>
        <v/>
      </c>
      <c r="AC2124" s="16" t="str">
        <f>IFERROR(__xludf.DUMMYFUNCTION("""COMPUTED_VALUE"""),"")</f>
        <v/>
      </c>
    </row>
    <row r="2125">
      <c r="A2125" s="16" t="s">
        <v>87</v>
      </c>
      <c r="E2125" s="16" t="str">
        <f>IFERROR(__xludf.DUMMYFUNCTION("""COMPUTED_VALUE"""),"")</f>
        <v/>
      </c>
      <c r="G2125" s="18"/>
      <c r="H2125" s="16" t="s">
        <v>87</v>
      </c>
      <c r="I2125" s="16" t="s">
        <v>87</v>
      </c>
      <c r="J2125" s="19"/>
      <c r="L2125" s="16" t="str">
        <f>IFERROR(__xludf.DUMMYFUNCTION("""COMPUTED_VALUE"""),"")</f>
        <v/>
      </c>
      <c r="M2125" s="16" t="str">
        <f>IFERROR(__xludf.DUMMYFUNCTION("""COMPUTED_VALUE"""),"")</f>
        <v/>
      </c>
      <c r="U2125" s="16" t="s">
        <v>87</v>
      </c>
      <c r="V2125" s="16" t="str">
        <f>IFERROR(__xludf.DUMMYFUNCTION("""COMPUTED_VALUE"""),"")</f>
        <v/>
      </c>
      <c r="W2125" s="16" t="str">
        <f>IFERROR(__xludf.DUMMYFUNCTION("""COMPUTED_VALUE"""),"")</f>
        <v/>
      </c>
      <c r="X2125" s="16" t="str">
        <f>IFERROR(__xludf.DUMMYFUNCTION("""COMPUTED_VALUE"""),"")</f>
        <v/>
      </c>
      <c r="AC2125" s="16" t="str">
        <f>IFERROR(__xludf.DUMMYFUNCTION("""COMPUTED_VALUE"""),"")</f>
        <v/>
      </c>
    </row>
    <row r="2126">
      <c r="A2126" s="16" t="s">
        <v>87</v>
      </c>
      <c r="E2126" s="16" t="str">
        <f>IFERROR(__xludf.DUMMYFUNCTION("""COMPUTED_VALUE"""),"")</f>
        <v/>
      </c>
      <c r="G2126" s="18"/>
      <c r="H2126" s="16" t="s">
        <v>87</v>
      </c>
      <c r="I2126" s="16" t="s">
        <v>87</v>
      </c>
      <c r="J2126" s="19"/>
      <c r="L2126" s="16" t="str">
        <f>IFERROR(__xludf.DUMMYFUNCTION("""COMPUTED_VALUE"""),"")</f>
        <v/>
      </c>
      <c r="M2126" s="16" t="str">
        <f>IFERROR(__xludf.DUMMYFUNCTION("""COMPUTED_VALUE"""),"")</f>
        <v/>
      </c>
      <c r="U2126" s="16" t="s">
        <v>87</v>
      </c>
      <c r="V2126" s="16" t="str">
        <f>IFERROR(__xludf.DUMMYFUNCTION("""COMPUTED_VALUE"""),"")</f>
        <v/>
      </c>
      <c r="W2126" s="16" t="str">
        <f>IFERROR(__xludf.DUMMYFUNCTION("""COMPUTED_VALUE"""),"")</f>
        <v/>
      </c>
      <c r="X2126" s="16" t="str">
        <f>IFERROR(__xludf.DUMMYFUNCTION("""COMPUTED_VALUE"""),"")</f>
        <v/>
      </c>
      <c r="AC2126" s="16" t="str">
        <f>IFERROR(__xludf.DUMMYFUNCTION("""COMPUTED_VALUE"""),"")</f>
        <v/>
      </c>
    </row>
    <row r="2127">
      <c r="A2127" s="16" t="s">
        <v>87</v>
      </c>
      <c r="E2127" s="16" t="str">
        <f>IFERROR(__xludf.DUMMYFUNCTION("""COMPUTED_VALUE"""),"")</f>
        <v/>
      </c>
      <c r="G2127" s="18"/>
      <c r="H2127" s="16" t="s">
        <v>87</v>
      </c>
      <c r="I2127" s="16" t="s">
        <v>87</v>
      </c>
      <c r="J2127" s="19"/>
      <c r="L2127" s="16" t="str">
        <f>IFERROR(__xludf.DUMMYFUNCTION("""COMPUTED_VALUE"""),"")</f>
        <v/>
      </c>
      <c r="M2127" s="16" t="str">
        <f>IFERROR(__xludf.DUMMYFUNCTION("""COMPUTED_VALUE"""),"")</f>
        <v/>
      </c>
      <c r="U2127" s="16" t="s">
        <v>87</v>
      </c>
      <c r="V2127" s="16" t="str">
        <f>IFERROR(__xludf.DUMMYFUNCTION("""COMPUTED_VALUE"""),"")</f>
        <v/>
      </c>
      <c r="W2127" s="16" t="str">
        <f>IFERROR(__xludf.DUMMYFUNCTION("""COMPUTED_VALUE"""),"")</f>
        <v/>
      </c>
      <c r="X2127" s="16" t="str">
        <f>IFERROR(__xludf.DUMMYFUNCTION("""COMPUTED_VALUE"""),"")</f>
        <v/>
      </c>
      <c r="AC2127" s="16" t="str">
        <f>IFERROR(__xludf.DUMMYFUNCTION("""COMPUTED_VALUE"""),"")</f>
        <v/>
      </c>
    </row>
    <row r="2128">
      <c r="A2128" s="16" t="s">
        <v>87</v>
      </c>
      <c r="E2128" s="16" t="str">
        <f>IFERROR(__xludf.DUMMYFUNCTION("""COMPUTED_VALUE"""),"")</f>
        <v/>
      </c>
      <c r="G2128" s="18"/>
      <c r="H2128" s="16" t="s">
        <v>87</v>
      </c>
      <c r="I2128" s="16" t="s">
        <v>87</v>
      </c>
      <c r="J2128" s="19"/>
      <c r="L2128" s="16" t="str">
        <f>IFERROR(__xludf.DUMMYFUNCTION("""COMPUTED_VALUE"""),"")</f>
        <v/>
      </c>
      <c r="M2128" s="16" t="str">
        <f>IFERROR(__xludf.DUMMYFUNCTION("""COMPUTED_VALUE"""),"")</f>
        <v/>
      </c>
      <c r="U2128" s="16" t="s">
        <v>87</v>
      </c>
      <c r="V2128" s="16" t="str">
        <f>IFERROR(__xludf.DUMMYFUNCTION("""COMPUTED_VALUE"""),"")</f>
        <v/>
      </c>
      <c r="W2128" s="16" t="str">
        <f>IFERROR(__xludf.DUMMYFUNCTION("""COMPUTED_VALUE"""),"")</f>
        <v/>
      </c>
      <c r="X2128" s="16" t="str">
        <f>IFERROR(__xludf.DUMMYFUNCTION("""COMPUTED_VALUE"""),"")</f>
        <v/>
      </c>
      <c r="AC2128" s="16" t="str">
        <f>IFERROR(__xludf.DUMMYFUNCTION("""COMPUTED_VALUE"""),"")</f>
        <v/>
      </c>
    </row>
    <row r="2129">
      <c r="A2129" s="16" t="s">
        <v>87</v>
      </c>
      <c r="E2129" s="16" t="str">
        <f>IFERROR(__xludf.DUMMYFUNCTION("""COMPUTED_VALUE"""),"")</f>
        <v/>
      </c>
      <c r="G2129" s="18"/>
      <c r="H2129" s="16" t="s">
        <v>87</v>
      </c>
      <c r="I2129" s="16" t="s">
        <v>87</v>
      </c>
      <c r="J2129" s="19"/>
      <c r="L2129" s="16" t="str">
        <f>IFERROR(__xludf.DUMMYFUNCTION("""COMPUTED_VALUE"""),"")</f>
        <v/>
      </c>
      <c r="M2129" s="16" t="str">
        <f>IFERROR(__xludf.DUMMYFUNCTION("""COMPUTED_VALUE"""),"")</f>
        <v/>
      </c>
      <c r="U2129" s="16" t="s">
        <v>87</v>
      </c>
      <c r="V2129" s="16" t="str">
        <f>IFERROR(__xludf.DUMMYFUNCTION("""COMPUTED_VALUE"""),"")</f>
        <v/>
      </c>
      <c r="W2129" s="16" t="str">
        <f>IFERROR(__xludf.DUMMYFUNCTION("""COMPUTED_VALUE"""),"")</f>
        <v/>
      </c>
      <c r="X2129" s="16" t="str">
        <f>IFERROR(__xludf.DUMMYFUNCTION("""COMPUTED_VALUE"""),"")</f>
        <v/>
      </c>
      <c r="AC2129" s="16" t="str">
        <f>IFERROR(__xludf.DUMMYFUNCTION("""COMPUTED_VALUE"""),"")</f>
        <v/>
      </c>
    </row>
    <row r="2130">
      <c r="A2130" s="16" t="s">
        <v>87</v>
      </c>
      <c r="E2130" s="16" t="str">
        <f>IFERROR(__xludf.DUMMYFUNCTION("""COMPUTED_VALUE"""),"")</f>
        <v/>
      </c>
      <c r="G2130" s="18"/>
      <c r="H2130" s="16" t="s">
        <v>87</v>
      </c>
      <c r="I2130" s="16" t="s">
        <v>87</v>
      </c>
      <c r="J2130" s="19"/>
      <c r="L2130" s="16" t="str">
        <f>IFERROR(__xludf.DUMMYFUNCTION("""COMPUTED_VALUE"""),"")</f>
        <v/>
      </c>
      <c r="M2130" s="16" t="str">
        <f>IFERROR(__xludf.DUMMYFUNCTION("""COMPUTED_VALUE"""),"")</f>
        <v/>
      </c>
      <c r="U2130" s="16" t="s">
        <v>87</v>
      </c>
      <c r="V2130" s="16" t="str">
        <f>IFERROR(__xludf.DUMMYFUNCTION("""COMPUTED_VALUE"""),"")</f>
        <v/>
      </c>
      <c r="W2130" s="16" t="str">
        <f>IFERROR(__xludf.DUMMYFUNCTION("""COMPUTED_VALUE"""),"")</f>
        <v/>
      </c>
      <c r="X2130" s="16" t="str">
        <f>IFERROR(__xludf.DUMMYFUNCTION("""COMPUTED_VALUE"""),"")</f>
        <v/>
      </c>
      <c r="AC2130" s="16" t="str">
        <f>IFERROR(__xludf.DUMMYFUNCTION("""COMPUTED_VALUE"""),"")</f>
        <v/>
      </c>
    </row>
    <row r="2131">
      <c r="A2131" s="16" t="s">
        <v>87</v>
      </c>
      <c r="E2131" s="16" t="str">
        <f>IFERROR(__xludf.DUMMYFUNCTION("""COMPUTED_VALUE"""),"")</f>
        <v/>
      </c>
      <c r="G2131" s="18"/>
      <c r="H2131" s="16" t="s">
        <v>87</v>
      </c>
      <c r="I2131" s="16" t="s">
        <v>87</v>
      </c>
      <c r="J2131" s="19"/>
      <c r="L2131" s="16" t="str">
        <f>IFERROR(__xludf.DUMMYFUNCTION("""COMPUTED_VALUE"""),"")</f>
        <v/>
      </c>
      <c r="M2131" s="16" t="str">
        <f>IFERROR(__xludf.DUMMYFUNCTION("""COMPUTED_VALUE"""),"")</f>
        <v/>
      </c>
      <c r="U2131" s="16" t="s">
        <v>87</v>
      </c>
      <c r="V2131" s="16" t="str">
        <f>IFERROR(__xludf.DUMMYFUNCTION("""COMPUTED_VALUE"""),"")</f>
        <v/>
      </c>
      <c r="W2131" s="16" t="str">
        <f>IFERROR(__xludf.DUMMYFUNCTION("""COMPUTED_VALUE"""),"")</f>
        <v/>
      </c>
      <c r="X2131" s="16" t="str">
        <f>IFERROR(__xludf.DUMMYFUNCTION("""COMPUTED_VALUE"""),"")</f>
        <v/>
      </c>
      <c r="AC2131" s="16" t="str">
        <f>IFERROR(__xludf.DUMMYFUNCTION("""COMPUTED_VALUE"""),"")</f>
        <v/>
      </c>
    </row>
    <row r="2132">
      <c r="A2132" s="16" t="s">
        <v>87</v>
      </c>
      <c r="E2132" s="16" t="str">
        <f>IFERROR(__xludf.DUMMYFUNCTION("""COMPUTED_VALUE"""),"")</f>
        <v/>
      </c>
      <c r="G2132" s="18"/>
      <c r="H2132" s="16" t="s">
        <v>87</v>
      </c>
      <c r="I2132" s="16" t="s">
        <v>87</v>
      </c>
      <c r="J2132" s="19"/>
      <c r="L2132" s="16" t="str">
        <f>IFERROR(__xludf.DUMMYFUNCTION("""COMPUTED_VALUE"""),"")</f>
        <v/>
      </c>
      <c r="M2132" s="16" t="str">
        <f>IFERROR(__xludf.DUMMYFUNCTION("""COMPUTED_VALUE"""),"")</f>
        <v/>
      </c>
      <c r="U2132" s="16" t="s">
        <v>87</v>
      </c>
      <c r="V2132" s="16" t="str">
        <f>IFERROR(__xludf.DUMMYFUNCTION("""COMPUTED_VALUE"""),"")</f>
        <v/>
      </c>
      <c r="W2132" s="16" t="str">
        <f>IFERROR(__xludf.DUMMYFUNCTION("""COMPUTED_VALUE"""),"")</f>
        <v/>
      </c>
      <c r="X2132" s="16" t="str">
        <f>IFERROR(__xludf.DUMMYFUNCTION("""COMPUTED_VALUE"""),"")</f>
        <v/>
      </c>
      <c r="AC2132" s="16" t="str">
        <f>IFERROR(__xludf.DUMMYFUNCTION("""COMPUTED_VALUE"""),"")</f>
        <v/>
      </c>
    </row>
    <row r="2133">
      <c r="A2133" s="16" t="s">
        <v>87</v>
      </c>
      <c r="E2133" s="16" t="str">
        <f>IFERROR(__xludf.DUMMYFUNCTION("""COMPUTED_VALUE"""),"")</f>
        <v/>
      </c>
      <c r="G2133" s="18"/>
      <c r="H2133" s="16" t="s">
        <v>87</v>
      </c>
      <c r="I2133" s="16" t="s">
        <v>87</v>
      </c>
      <c r="J2133" s="19"/>
      <c r="L2133" s="16" t="str">
        <f>IFERROR(__xludf.DUMMYFUNCTION("""COMPUTED_VALUE"""),"")</f>
        <v/>
      </c>
      <c r="M2133" s="16" t="str">
        <f>IFERROR(__xludf.DUMMYFUNCTION("""COMPUTED_VALUE"""),"")</f>
        <v/>
      </c>
      <c r="U2133" s="16" t="s">
        <v>87</v>
      </c>
      <c r="V2133" s="16" t="str">
        <f>IFERROR(__xludf.DUMMYFUNCTION("""COMPUTED_VALUE"""),"")</f>
        <v/>
      </c>
      <c r="W2133" s="16" t="str">
        <f>IFERROR(__xludf.DUMMYFUNCTION("""COMPUTED_VALUE"""),"")</f>
        <v/>
      </c>
      <c r="X2133" s="16" t="str">
        <f>IFERROR(__xludf.DUMMYFUNCTION("""COMPUTED_VALUE"""),"")</f>
        <v/>
      </c>
      <c r="AC2133" s="16" t="str">
        <f>IFERROR(__xludf.DUMMYFUNCTION("""COMPUTED_VALUE"""),"")</f>
        <v/>
      </c>
    </row>
    <row r="2134">
      <c r="A2134" s="16" t="s">
        <v>87</v>
      </c>
      <c r="E2134" s="16" t="str">
        <f>IFERROR(__xludf.DUMMYFUNCTION("""COMPUTED_VALUE"""),"")</f>
        <v/>
      </c>
      <c r="G2134" s="18"/>
      <c r="H2134" s="16" t="s">
        <v>87</v>
      </c>
      <c r="I2134" s="16" t="s">
        <v>87</v>
      </c>
      <c r="J2134" s="19"/>
      <c r="L2134" s="16" t="str">
        <f>IFERROR(__xludf.DUMMYFUNCTION("""COMPUTED_VALUE"""),"")</f>
        <v/>
      </c>
      <c r="M2134" s="16" t="str">
        <f>IFERROR(__xludf.DUMMYFUNCTION("""COMPUTED_VALUE"""),"")</f>
        <v/>
      </c>
      <c r="U2134" s="16" t="s">
        <v>87</v>
      </c>
      <c r="V2134" s="16" t="str">
        <f>IFERROR(__xludf.DUMMYFUNCTION("""COMPUTED_VALUE"""),"")</f>
        <v/>
      </c>
      <c r="W2134" s="16" t="str">
        <f>IFERROR(__xludf.DUMMYFUNCTION("""COMPUTED_VALUE"""),"")</f>
        <v/>
      </c>
      <c r="X2134" s="16" t="str">
        <f>IFERROR(__xludf.DUMMYFUNCTION("""COMPUTED_VALUE"""),"")</f>
        <v/>
      </c>
      <c r="AC2134" s="16" t="str">
        <f>IFERROR(__xludf.DUMMYFUNCTION("""COMPUTED_VALUE"""),"")</f>
        <v/>
      </c>
    </row>
    <row r="2135">
      <c r="A2135" s="16" t="s">
        <v>87</v>
      </c>
      <c r="E2135" s="16" t="str">
        <f>IFERROR(__xludf.DUMMYFUNCTION("""COMPUTED_VALUE"""),"")</f>
        <v/>
      </c>
      <c r="G2135" s="18"/>
      <c r="H2135" s="16" t="s">
        <v>87</v>
      </c>
      <c r="I2135" s="16" t="s">
        <v>87</v>
      </c>
      <c r="J2135" s="19"/>
      <c r="L2135" s="16" t="str">
        <f>IFERROR(__xludf.DUMMYFUNCTION("""COMPUTED_VALUE"""),"")</f>
        <v/>
      </c>
      <c r="M2135" s="16" t="str">
        <f>IFERROR(__xludf.DUMMYFUNCTION("""COMPUTED_VALUE"""),"")</f>
        <v/>
      </c>
      <c r="U2135" s="16" t="s">
        <v>87</v>
      </c>
      <c r="V2135" s="16" t="str">
        <f>IFERROR(__xludf.DUMMYFUNCTION("""COMPUTED_VALUE"""),"")</f>
        <v/>
      </c>
      <c r="W2135" s="16" t="str">
        <f>IFERROR(__xludf.DUMMYFUNCTION("""COMPUTED_VALUE"""),"")</f>
        <v/>
      </c>
      <c r="X2135" s="16" t="str">
        <f>IFERROR(__xludf.DUMMYFUNCTION("""COMPUTED_VALUE"""),"")</f>
        <v/>
      </c>
      <c r="AC2135" s="16" t="str">
        <f>IFERROR(__xludf.DUMMYFUNCTION("""COMPUTED_VALUE"""),"")</f>
        <v/>
      </c>
    </row>
    <row r="2136">
      <c r="A2136" s="16" t="s">
        <v>87</v>
      </c>
      <c r="E2136" s="16" t="str">
        <f>IFERROR(__xludf.DUMMYFUNCTION("""COMPUTED_VALUE"""),"")</f>
        <v/>
      </c>
      <c r="G2136" s="18"/>
      <c r="H2136" s="16" t="s">
        <v>87</v>
      </c>
      <c r="I2136" s="16" t="s">
        <v>87</v>
      </c>
      <c r="J2136" s="19"/>
      <c r="L2136" s="16" t="str">
        <f>IFERROR(__xludf.DUMMYFUNCTION("""COMPUTED_VALUE"""),"")</f>
        <v/>
      </c>
      <c r="M2136" s="16" t="str">
        <f>IFERROR(__xludf.DUMMYFUNCTION("""COMPUTED_VALUE"""),"")</f>
        <v/>
      </c>
      <c r="U2136" s="16" t="s">
        <v>87</v>
      </c>
      <c r="V2136" s="16" t="str">
        <f>IFERROR(__xludf.DUMMYFUNCTION("""COMPUTED_VALUE"""),"")</f>
        <v/>
      </c>
      <c r="W2136" s="16" t="str">
        <f>IFERROR(__xludf.DUMMYFUNCTION("""COMPUTED_VALUE"""),"")</f>
        <v/>
      </c>
      <c r="X2136" s="16" t="str">
        <f>IFERROR(__xludf.DUMMYFUNCTION("""COMPUTED_VALUE"""),"")</f>
        <v/>
      </c>
      <c r="AC2136" s="16" t="str">
        <f>IFERROR(__xludf.DUMMYFUNCTION("""COMPUTED_VALUE"""),"")</f>
        <v/>
      </c>
    </row>
    <row r="2137">
      <c r="A2137" s="16" t="s">
        <v>87</v>
      </c>
      <c r="E2137" s="16" t="str">
        <f>IFERROR(__xludf.DUMMYFUNCTION("""COMPUTED_VALUE"""),"")</f>
        <v/>
      </c>
      <c r="G2137" s="18"/>
      <c r="H2137" s="16" t="s">
        <v>87</v>
      </c>
      <c r="I2137" s="16" t="s">
        <v>87</v>
      </c>
      <c r="J2137" s="19"/>
      <c r="L2137" s="16" t="str">
        <f>IFERROR(__xludf.DUMMYFUNCTION("""COMPUTED_VALUE"""),"")</f>
        <v/>
      </c>
      <c r="M2137" s="16" t="str">
        <f>IFERROR(__xludf.DUMMYFUNCTION("""COMPUTED_VALUE"""),"")</f>
        <v/>
      </c>
      <c r="U2137" s="16" t="s">
        <v>87</v>
      </c>
      <c r="V2137" s="16" t="str">
        <f>IFERROR(__xludf.DUMMYFUNCTION("""COMPUTED_VALUE"""),"")</f>
        <v/>
      </c>
      <c r="W2137" s="16" t="str">
        <f>IFERROR(__xludf.DUMMYFUNCTION("""COMPUTED_VALUE"""),"")</f>
        <v/>
      </c>
      <c r="X2137" s="16" t="str">
        <f>IFERROR(__xludf.DUMMYFUNCTION("""COMPUTED_VALUE"""),"")</f>
        <v/>
      </c>
      <c r="AC2137" s="16" t="str">
        <f>IFERROR(__xludf.DUMMYFUNCTION("""COMPUTED_VALUE"""),"")</f>
        <v/>
      </c>
    </row>
    <row r="2138">
      <c r="A2138" s="16" t="s">
        <v>87</v>
      </c>
      <c r="E2138" s="16" t="str">
        <f>IFERROR(__xludf.DUMMYFUNCTION("""COMPUTED_VALUE"""),"")</f>
        <v/>
      </c>
      <c r="G2138" s="18"/>
      <c r="H2138" s="16" t="s">
        <v>87</v>
      </c>
      <c r="I2138" s="16" t="s">
        <v>87</v>
      </c>
      <c r="J2138" s="19"/>
      <c r="L2138" s="16" t="str">
        <f>IFERROR(__xludf.DUMMYFUNCTION("""COMPUTED_VALUE"""),"")</f>
        <v/>
      </c>
      <c r="M2138" s="16" t="str">
        <f>IFERROR(__xludf.DUMMYFUNCTION("""COMPUTED_VALUE"""),"")</f>
        <v/>
      </c>
      <c r="U2138" s="16" t="s">
        <v>87</v>
      </c>
      <c r="V2138" s="16" t="str">
        <f>IFERROR(__xludf.DUMMYFUNCTION("""COMPUTED_VALUE"""),"")</f>
        <v/>
      </c>
      <c r="W2138" s="16" t="str">
        <f>IFERROR(__xludf.DUMMYFUNCTION("""COMPUTED_VALUE"""),"")</f>
        <v/>
      </c>
      <c r="X2138" s="16" t="str">
        <f>IFERROR(__xludf.DUMMYFUNCTION("""COMPUTED_VALUE"""),"")</f>
        <v/>
      </c>
      <c r="AC2138" s="16" t="str">
        <f>IFERROR(__xludf.DUMMYFUNCTION("""COMPUTED_VALUE"""),"")</f>
        <v/>
      </c>
    </row>
    <row r="2139">
      <c r="A2139" s="16" t="s">
        <v>87</v>
      </c>
      <c r="E2139" s="16" t="str">
        <f>IFERROR(__xludf.DUMMYFUNCTION("""COMPUTED_VALUE"""),"")</f>
        <v/>
      </c>
      <c r="G2139" s="18"/>
      <c r="H2139" s="16" t="s">
        <v>87</v>
      </c>
      <c r="I2139" s="16" t="s">
        <v>87</v>
      </c>
      <c r="J2139" s="19"/>
      <c r="L2139" s="16" t="str">
        <f>IFERROR(__xludf.DUMMYFUNCTION("""COMPUTED_VALUE"""),"")</f>
        <v/>
      </c>
      <c r="M2139" s="16" t="str">
        <f>IFERROR(__xludf.DUMMYFUNCTION("""COMPUTED_VALUE"""),"")</f>
        <v/>
      </c>
      <c r="U2139" s="16" t="s">
        <v>87</v>
      </c>
      <c r="V2139" s="16" t="str">
        <f>IFERROR(__xludf.DUMMYFUNCTION("""COMPUTED_VALUE"""),"")</f>
        <v/>
      </c>
      <c r="W2139" s="16" t="str">
        <f>IFERROR(__xludf.DUMMYFUNCTION("""COMPUTED_VALUE"""),"")</f>
        <v/>
      </c>
      <c r="X2139" s="16" t="str">
        <f>IFERROR(__xludf.DUMMYFUNCTION("""COMPUTED_VALUE"""),"")</f>
        <v/>
      </c>
      <c r="AC2139" s="16" t="str">
        <f>IFERROR(__xludf.DUMMYFUNCTION("""COMPUTED_VALUE"""),"")</f>
        <v/>
      </c>
    </row>
    <row r="2140">
      <c r="A2140" s="16" t="s">
        <v>87</v>
      </c>
      <c r="E2140" s="16" t="str">
        <f>IFERROR(__xludf.DUMMYFUNCTION("""COMPUTED_VALUE"""),"")</f>
        <v/>
      </c>
      <c r="G2140" s="18"/>
      <c r="H2140" s="16" t="s">
        <v>87</v>
      </c>
      <c r="I2140" s="16" t="s">
        <v>87</v>
      </c>
      <c r="J2140" s="19"/>
      <c r="L2140" s="16" t="str">
        <f>IFERROR(__xludf.DUMMYFUNCTION("""COMPUTED_VALUE"""),"")</f>
        <v/>
      </c>
      <c r="M2140" s="16" t="str">
        <f>IFERROR(__xludf.DUMMYFUNCTION("""COMPUTED_VALUE"""),"")</f>
        <v/>
      </c>
      <c r="U2140" s="16" t="s">
        <v>87</v>
      </c>
      <c r="V2140" s="16" t="str">
        <f>IFERROR(__xludf.DUMMYFUNCTION("""COMPUTED_VALUE"""),"")</f>
        <v/>
      </c>
      <c r="W2140" s="16" t="str">
        <f>IFERROR(__xludf.DUMMYFUNCTION("""COMPUTED_VALUE"""),"")</f>
        <v/>
      </c>
      <c r="X2140" s="16" t="str">
        <f>IFERROR(__xludf.DUMMYFUNCTION("""COMPUTED_VALUE"""),"")</f>
        <v/>
      </c>
      <c r="AC2140" s="16" t="str">
        <f>IFERROR(__xludf.DUMMYFUNCTION("""COMPUTED_VALUE"""),"")</f>
        <v/>
      </c>
    </row>
    <row r="2141">
      <c r="A2141" s="16" t="s">
        <v>87</v>
      </c>
      <c r="E2141" s="16" t="str">
        <f>IFERROR(__xludf.DUMMYFUNCTION("""COMPUTED_VALUE"""),"")</f>
        <v/>
      </c>
      <c r="G2141" s="18"/>
      <c r="H2141" s="16" t="s">
        <v>87</v>
      </c>
      <c r="I2141" s="16" t="s">
        <v>87</v>
      </c>
      <c r="J2141" s="19"/>
      <c r="L2141" s="16" t="str">
        <f>IFERROR(__xludf.DUMMYFUNCTION("""COMPUTED_VALUE"""),"")</f>
        <v/>
      </c>
      <c r="M2141" s="16" t="str">
        <f>IFERROR(__xludf.DUMMYFUNCTION("""COMPUTED_VALUE"""),"")</f>
        <v/>
      </c>
      <c r="U2141" s="16" t="s">
        <v>87</v>
      </c>
      <c r="V2141" s="16" t="str">
        <f>IFERROR(__xludf.DUMMYFUNCTION("""COMPUTED_VALUE"""),"")</f>
        <v/>
      </c>
      <c r="W2141" s="16" t="str">
        <f>IFERROR(__xludf.DUMMYFUNCTION("""COMPUTED_VALUE"""),"")</f>
        <v/>
      </c>
      <c r="X2141" s="16" t="str">
        <f>IFERROR(__xludf.DUMMYFUNCTION("""COMPUTED_VALUE"""),"")</f>
        <v/>
      </c>
      <c r="AC2141" s="16" t="str">
        <f>IFERROR(__xludf.DUMMYFUNCTION("""COMPUTED_VALUE"""),"")</f>
        <v/>
      </c>
    </row>
    <row r="2142">
      <c r="A2142" s="16" t="s">
        <v>87</v>
      </c>
      <c r="E2142" s="16" t="str">
        <f>IFERROR(__xludf.DUMMYFUNCTION("""COMPUTED_VALUE"""),"")</f>
        <v/>
      </c>
      <c r="G2142" s="18"/>
      <c r="H2142" s="16" t="s">
        <v>87</v>
      </c>
      <c r="I2142" s="16" t="s">
        <v>87</v>
      </c>
      <c r="J2142" s="19"/>
      <c r="L2142" s="16" t="str">
        <f>IFERROR(__xludf.DUMMYFUNCTION("""COMPUTED_VALUE"""),"")</f>
        <v/>
      </c>
      <c r="M2142" s="16" t="str">
        <f>IFERROR(__xludf.DUMMYFUNCTION("""COMPUTED_VALUE"""),"")</f>
        <v/>
      </c>
      <c r="U2142" s="16" t="s">
        <v>87</v>
      </c>
      <c r="V2142" s="16" t="str">
        <f>IFERROR(__xludf.DUMMYFUNCTION("""COMPUTED_VALUE"""),"")</f>
        <v/>
      </c>
      <c r="W2142" s="16" t="str">
        <f>IFERROR(__xludf.DUMMYFUNCTION("""COMPUTED_VALUE"""),"")</f>
        <v/>
      </c>
      <c r="X2142" s="16" t="str">
        <f>IFERROR(__xludf.DUMMYFUNCTION("""COMPUTED_VALUE"""),"")</f>
        <v/>
      </c>
      <c r="AC2142" s="16" t="str">
        <f>IFERROR(__xludf.DUMMYFUNCTION("""COMPUTED_VALUE"""),"")</f>
        <v/>
      </c>
    </row>
    <row r="2143">
      <c r="A2143" s="16" t="s">
        <v>87</v>
      </c>
      <c r="E2143" s="16" t="str">
        <f>IFERROR(__xludf.DUMMYFUNCTION("""COMPUTED_VALUE"""),"")</f>
        <v/>
      </c>
      <c r="G2143" s="18"/>
      <c r="H2143" s="16" t="s">
        <v>87</v>
      </c>
      <c r="I2143" s="16" t="s">
        <v>87</v>
      </c>
      <c r="J2143" s="19"/>
      <c r="L2143" s="16" t="str">
        <f>IFERROR(__xludf.DUMMYFUNCTION("""COMPUTED_VALUE"""),"")</f>
        <v/>
      </c>
      <c r="M2143" s="16" t="str">
        <f>IFERROR(__xludf.DUMMYFUNCTION("""COMPUTED_VALUE"""),"")</f>
        <v/>
      </c>
      <c r="U2143" s="16" t="s">
        <v>87</v>
      </c>
      <c r="V2143" s="16" t="str">
        <f>IFERROR(__xludf.DUMMYFUNCTION("""COMPUTED_VALUE"""),"")</f>
        <v/>
      </c>
      <c r="W2143" s="16" t="str">
        <f>IFERROR(__xludf.DUMMYFUNCTION("""COMPUTED_VALUE"""),"")</f>
        <v/>
      </c>
      <c r="X2143" s="16" t="str">
        <f>IFERROR(__xludf.DUMMYFUNCTION("""COMPUTED_VALUE"""),"")</f>
        <v/>
      </c>
      <c r="AC2143" s="16" t="str">
        <f>IFERROR(__xludf.DUMMYFUNCTION("""COMPUTED_VALUE"""),"")</f>
        <v/>
      </c>
    </row>
    <row r="2144">
      <c r="A2144" s="16" t="s">
        <v>87</v>
      </c>
      <c r="E2144" s="16" t="str">
        <f>IFERROR(__xludf.DUMMYFUNCTION("""COMPUTED_VALUE"""),"")</f>
        <v/>
      </c>
      <c r="G2144" s="18"/>
      <c r="H2144" s="16" t="s">
        <v>87</v>
      </c>
      <c r="I2144" s="16" t="s">
        <v>87</v>
      </c>
      <c r="J2144" s="19"/>
      <c r="L2144" s="16" t="str">
        <f>IFERROR(__xludf.DUMMYFUNCTION("""COMPUTED_VALUE"""),"")</f>
        <v/>
      </c>
      <c r="M2144" s="16" t="str">
        <f>IFERROR(__xludf.DUMMYFUNCTION("""COMPUTED_VALUE"""),"")</f>
        <v/>
      </c>
      <c r="U2144" s="16" t="s">
        <v>87</v>
      </c>
      <c r="V2144" s="16" t="str">
        <f>IFERROR(__xludf.DUMMYFUNCTION("""COMPUTED_VALUE"""),"")</f>
        <v/>
      </c>
      <c r="W2144" s="16" t="str">
        <f>IFERROR(__xludf.DUMMYFUNCTION("""COMPUTED_VALUE"""),"")</f>
        <v/>
      </c>
      <c r="X2144" s="16" t="str">
        <f>IFERROR(__xludf.DUMMYFUNCTION("""COMPUTED_VALUE"""),"")</f>
        <v/>
      </c>
      <c r="AC2144" s="16" t="str">
        <f>IFERROR(__xludf.DUMMYFUNCTION("""COMPUTED_VALUE"""),"")</f>
        <v/>
      </c>
    </row>
    <row r="2145">
      <c r="A2145" s="16" t="s">
        <v>87</v>
      </c>
      <c r="E2145" s="16" t="str">
        <f>IFERROR(__xludf.DUMMYFUNCTION("""COMPUTED_VALUE"""),"")</f>
        <v/>
      </c>
      <c r="G2145" s="18"/>
      <c r="H2145" s="16" t="s">
        <v>87</v>
      </c>
      <c r="I2145" s="16" t="s">
        <v>87</v>
      </c>
      <c r="J2145" s="19"/>
      <c r="L2145" s="16" t="str">
        <f>IFERROR(__xludf.DUMMYFUNCTION("""COMPUTED_VALUE"""),"")</f>
        <v/>
      </c>
      <c r="M2145" s="16" t="str">
        <f>IFERROR(__xludf.DUMMYFUNCTION("""COMPUTED_VALUE"""),"")</f>
        <v/>
      </c>
      <c r="U2145" s="16" t="s">
        <v>87</v>
      </c>
      <c r="V2145" s="16" t="str">
        <f>IFERROR(__xludf.DUMMYFUNCTION("""COMPUTED_VALUE"""),"")</f>
        <v/>
      </c>
      <c r="W2145" s="16" t="str">
        <f>IFERROR(__xludf.DUMMYFUNCTION("""COMPUTED_VALUE"""),"")</f>
        <v/>
      </c>
      <c r="X2145" s="16" t="str">
        <f>IFERROR(__xludf.DUMMYFUNCTION("""COMPUTED_VALUE"""),"")</f>
        <v/>
      </c>
      <c r="AC2145" s="16" t="str">
        <f>IFERROR(__xludf.DUMMYFUNCTION("""COMPUTED_VALUE"""),"")</f>
        <v/>
      </c>
    </row>
    <row r="2146">
      <c r="A2146" s="16" t="s">
        <v>87</v>
      </c>
      <c r="E2146" s="16" t="str">
        <f>IFERROR(__xludf.DUMMYFUNCTION("""COMPUTED_VALUE"""),"")</f>
        <v/>
      </c>
      <c r="G2146" s="18"/>
      <c r="H2146" s="16" t="s">
        <v>87</v>
      </c>
      <c r="I2146" s="16" t="s">
        <v>87</v>
      </c>
      <c r="J2146" s="19"/>
      <c r="L2146" s="16" t="str">
        <f>IFERROR(__xludf.DUMMYFUNCTION("""COMPUTED_VALUE"""),"")</f>
        <v/>
      </c>
      <c r="M2146" s="16" t="str">
        <f>IFERROR(__xludf.DUMMYFUNCTION("""COMPUTED_VALUE"""),"")</f>
        <v/>
      </c>
      <c r="U2146" s="16" t="s">
        <v>87</v>
      </c>
      <c r="V2146" s="16" t="str">
        <f>IFERROR(__xludf.DUMMYFUNCTION("""COMPUTED_VALUE"""),"")</f>
        <v/>
      </c>
      <c r="W2146" s="16" t="str">
        <f>IFERROR(__xludf.DUMMYFUNCTION("""COMPUTED_VALUE"""),"")</f>
        <v/>
      </c>
      <c r="X2146" s="16" t="str">
        <f>IFERROR(__xludf.DUMMYFUNCTION("""COMPUTED_VALUE"""),"")</f>
        <v/>
      </c>
      <c r="AC2146" s="16" t="str">
        <f>IFERROR(__xludf.DUMMYFUNCTION("""COMPUTED_VALUE"""),"")</f>
        <v/>
      </c>
    </row>
    <row r="2147">
      <c r="A2147" s="16" t="s">
        <v>87</v>
      </c>
      <c r="E2147" s="16" t="str">
        <f>IFERROR(__xludf.DUMMYFUNCTION("""COMPUTED_VALUE"""),"")</f>
        <v/>
      </c>
      <c r="G2147" s="18"/>
      <c r="H2147" s="16" t="s">
        <v>87</v>
      </c>
      <c r="I2147" s="16" t="s">
        <v>87</v>
      </c>
      <c r="J2147" s="19"/>
      <c r="L2147" s="16" t="str">
        <f>IFERROR(__xludf.DUMMYFUNCTION("""COMPUTED_VALUE"""),"")</f>
        <v/>
      </c>
      <c r="M2147" s="16" t="str">
        <f>IFERROR(__xludf.DUMMYFUNCTION("""COMPUTED_VALUE"""),"")</f>
        <v/>
      </c>
      <c r="U2147" s="16" t="s">
        <v>87</v>
      </c>
      <c r="V2147" s="16" t="str">
        <f>IFERROR(__xludf.DUMMYFUNCTION("""COMPUTED_VALUE"""),"")</f>
        <v/>
      </c>
      <c r="W2147" s="16" t="str">
        <f>IFERROR(__xludf.DUMMYFUNCTION("""COMPUTED_VALUE"""),"")</f>
        <v/>
      </c>
      <c r="X2147" s="16" t="str">
        <f>IFERROR(__xludf.DUMMYFUNCTION("""COMPUTED_VALUE"""),"")</f>
        <v/>
      </c>
      <c r="AC2147" s="16" t="str">
        <f>IFERROR(__xludf.DUMMYFUNCTION("""COMPUTED_VALUE"""),"")</f>
        <v/>
      </c>
    </row>
    <row r="2148">
      <c r="A2148" s="16" t="s">
        <v>87</v>
      </c>
      <c r="E2148" s="16" t="str">
        <f>IFERROR(__xludf.DUMMYFUNCTION("""COMPUTED_VALUE"""),"")</f>
        <v/>
      </c>
      <c r="G2148" s="18"/>
      <c r="H2148" s="16" t="s">
        <v>87</v>
      </c>
      <c r="I2148" s="16" t="s">
        <v>87</v>
      </c>
      <c r="J2148" s="19"/>
      <c r="L2148" s="16" t="str">
        <f>IFERROR(__xludf.DUMMYFUNCTION("""COMPUTED_VALUE"""),"")</f>
        <v/>
      </c>
      <c r="M2148" s="16" t="str">
        <f>IFERROR(__xludf.DUMMYFUNCTION("""COMPUTED_VALUE"""),"")</f>
        <v/>
      </c>
      <c r="U2148" s="16" t="s">
        <v>87</v>
      </c>
      <c r="V2148" s="16" t="str">
        <f>IFERROR(__xludf.DUMMYFUNCTION("""COMPUTED_VALUE"""),"")</f>
        <v/>
      </c>
      <c r="W2148" s="16" t="str">
        <f>IFERROR(__xludf.DUMMYFUNCTION("""COMPUTED_VALUE"""),"")</f>
        <v/>
      </c>
      <c r="X2148" s="16" t="str">
        <f>IFERROR(__xludf.DUMMYFUNCTION("""COMPUTED_VALUE"""),"")</f>
        <v/>
      </c>
      <c r="AC2148" s="16" t="str">
        <f>IFERROR(__xludf.DUMMYFUNCTION("""COMPUTED_VALUE"""),"")</f>
        <v/>
      </c>
    </row>
    <row r="2149">
      <c r="A2149" s="16" t="s">
        <v>87</v>
      </c>
      <c r="E2149" s="16" t="str">
        <f>IFERROR(__xludf.DUMMYFUNCTION("""COMPUTED_VALUE"""),"")</f>
        <v/>
      </c>
      <c r="G2149" s="18"/>
      <c r="H2149" s="16" t="s">
        <v>87</v>
      </c>
      <c r="I2149" s="16" t="s">
        <v>87</v>
      </c>
      <c r="J2149" s="19"/>
      <c r="L2149" s="16" t="str">
        <f>IFERROR(__xludf.DUMMYFUNCTION("""COMPUTED_VALUE"""),"")</f>
        <v/>
      </c>
      <c r="M2149" s="16" t="str">
        <f>IFERROR(__xludf.DUMMYFUNCTION("""COMPUTED_VALUE"""),"")</f>
        <v/>
      </c>
      <c r="U2149" s="16" t="s">
        <v>87</v>
      </c>
      <c r="V2149" s="16" t="str">
        <f>IFERROR(__xludf.DUMMYFUNCTION("""COMPUTED_VALUE"""),"")</f>
        <v/>
      </c>
      <c r="W2149" s="16" t="str">
        <f>IFERROR(__xludf.DUMMYFUNCTION("""COMPUTED_VALUE"""),"")</f>
        <v/>
      </c>
      <c r="X2149" s="16" t="str">
        <f>IFERROR(__xludf.DUMMYFUNCTION("""COMPUTED_VALUE"""),"")</f>
        <v/>
      </c>
      <c r="AC2149" s="16" t="str">
        <f>IFERROR(__xludf.DUMMYFUNCTION("""COMPUTED_VALUE"""),"")</f>
        <v/>
      </c>
    </row>
    <row r="2150">
      <c r="A2150" s="16" t="s">
        <v>87</v>
      </c>
      <c r="E2150" s="16" t="str">
        <f>IFERROR(__xludf.DUMMYFUNCTION("""COMPUTED_VALUE"""),"")</f>
        <v/>
      </c>
      <c r="G2150" s="18"/>
      <c r="H2150" s="16" t="s">
        <v>87</v>
      </c>
      <c r="I2150" s="16" t="s">
        <v>87</v>
      </c>
      <c r="J2150" s="19"/>
      <c r="L2150" s="16" t="str">
        <f>IFERROR(__xludf.DUMMYFUNCTION("""COMPUTED_VALUE"""),"")</f>
        <v/>
      </c>
      <c r="M2150" s="16" t="str">
        <f>IFERROR(__xludf.DUMMYFUNCTION("""COMPUTED_VALUE"""),"")</f>
        <v/>
      </c>
      <c r="U2150" s="16" t="s">
        <v>87</v>
      </c>
      <c r="V2150" s="16" t="str">
        <f>IFERROR(__xludf.DUMMYFUNCTION("""COMPUTED_VALUE"""),"")</f>
        <v/>
      </c>
      <c r="W2150" s="16" t="str">
        <f>IFERROR(__xludf.DUMMYFUNCTION("""COMPUTED_VALUE"""),"")</f>
        <v/>
      </c>
      <c r="X2150" s="16" t="str">
        <f>IFERROR(__xludf.DUMMYFUNCTION("""COMPUTED_VALUE"""),"")</f>
        <v/>
      </c>
      <c r="AC2150" s="16" t="str">
        <f>IFERROR(__xludf.DUMMYFUNCTION("""COMPUTED_VALUE"""),"")</f>
        <v/>
      </c>
    </row>
    <row r="2151">
      <c r="A2151" s="16" t="s">
        <v>87</v>
      </c>
      <c r="E2151" s="16" t="str">
        <f>IFERROR(__xludf.DUMMYFUNCTION("""COMPUTED_VALUE"""),"")</f>
        <v/>
      </c>
      <c r="G2151" s="18"/>
      <c r="H2151" s="16" t="s">
        <v>87</v>
      </c>
      <c r="I2151" s="16" t="s">
        <v>87</v>
      </c>
      <c r="J2151" s="19"/>
      <c r="L2151" s="16" t="str">
        <f>IFERROR(__xludf.DUMMYFUNCTION("""COMPUTED_VALUE"""),"")</f>
        <v/>
      </c>
      <c r="M2151" s="16" t="str">
        <f>IFERROR(__xludf.DUMMYFUNCTION("""COMPUTED_VALUE"""),"")</f>
        <v/>
      </c>
      <c r="U2151" s="16" t="s">
        <v>87</v>
      </c>
      <c r="V2151" s="16" t="str">
        <f>IFERROR(__xludf.DUMMYFUNCTION("""COMPUTED_VALUE"""),"")</f>
        <v/>
      </c>
      <c r="W2151" s="16" t="str">
        <f>IFERROR(__xludf.DUMMYFUNCTION("""COMPUTED_VALUE"""),"")</f>
        <v/>
      </c>
      <c r="X2151" s="16" t="str">
        <f>IFERROR(__xludf.DUMMYFUNCTION("""COMPUTED_VALUE"""),"")</f>
        <v/>
      </c>
      <c r="AC2151" s="16" t="str">
        <f>IFERROR(__xludf.DUMMYFUNCTION("""COMPUTED_VALUE"""),"")</f>
        <v/>
      </c>
    </row>
    <row r="2152">
      <c r="A2152" s="16" t="s">
        <v>87</v>
      </c>
      <c r="E2152" s="16" t="str">
        <f>IFERROR(__xludf.DUMMYFUNCTION("""COMPUTED_VALUE"""),"")</f>
        <v/>
      </c>
      <c r="G2152" s="18"/>
      <c r="H2152" s="16" t="s">
        <v>87</v>
      </c>
      <c r="I2152" s="16" t="s">
        <v>87</v>
      </c>
      <c r="J2152" s="19"/>
      <c r="L2152" s="16" t="str">
        <f>IFERROR(__xludf.DUMMYFUNCTION("""COMPUTED_VALUE"""),"")</f>
        <v/>
      </c>
      <c r="M2152" s="16" t="str">
        <f>IFERROR(__xludf.DUMMYFUNCTION("""COMPUTED_VALUE"""),"")</f>
        <v/>
      </c>
      <c r="U2152" s="16" t="s">
        <v>87</v>
      </c>
      <c r="V2152" s="16" t="str">
        <f>IFERROR(__xludf.DUMMYFUNCTION("""COMPUTED_VALUE"""),"")</f>
        <v/>
      </c>
      <c r="W2152" s="16" t="str">
        <f>IFERROR(__xludf.DUMMYFUNCTION("""COMPUTED_VALUE"""),"")</f>
        <v/>
      </c>
      <c r="X2152" s="16" t="str">
        <f>IFERROR(__xludf.DUMMYFUNCTION("""COMPUTED_VALUE"""),"")</f>
        <v/>
      </c>
      <c r="AC2152" s="16" t="str">
        <f>IFERROR(__xludf.DUMMYFUNCTION("""COMPUTED_VALUE"""),"")</f>
        <v/>
      </c>
    </row>
    <row r="2153">
      <c r="A2153" s="16" t="s">
        <v>87</v>
      </c>
      <c r="E2153" s="16" t="str">
        <f>IFERROR(__xludf.DUMMYFUNCTION("""COMPUTED_VALUE"""),"")</f>
        <v/>
      </c>
      <c r="G2153" s="18"/>
      <c r="H2153" s="16" t="s">
        <v>87</v>
      </c>
      <c r="I2153" s="16" t="s">
        <v>87</v>
      </c>
      <c r="J2153" s="19"/>
      <c r="L2153" s="16" t="str">
        <f>IFERROR(__xludf.DUMMYFUNCTION("""COMPUTED_VALUE"""),"")</f>
        <v/>
      </c>
      <c r="M2153" s="16" t="str">
        <f>IFERROR(__xludf.DUMMYFUNCTION("""COMPUTED_VALUE"""),"")</f>
        <v/>
      </c>
      <c r="U2153" s="16" t="s">
        <v>87</v>
      </c>
      <c r="V2153" s="16" t="str">
        <f>IFERROR(__xludf.DUMMYFUNCTION("""COMPUTED_VALUE"""),"")</f>
        <v/>
      </c>
      <c r="W2153" s="16" t="str">
        <f>IFERROR(__xludf.DUMMYFUNCTION("""COMPUTED_VALUE"""),"")</f>
        <v/>
      </c>
      <c r="X2153" s="16" t="str">
        <f>IFERROR(__xludf.DUMMYFUNCTION("""COMPUTED_VALUE"""),"")</f>
        <v/>
      </c>
      <c r="AC2153" s="16" t="str">
        <f>IFERROR(__xludf.DUMMYFUNCTION("""COMPUTED_VALUE"""),"")</f>
        <v/>
      </c>
    </row>
    <row r="2154">
      <c r="A2154" s="16" t="s">
        <v>87</v>
      </c>
      <c r="E2154" s="16" t="str">
        <f>IFERROR(__xludf.DUMMYFUNCTION("""COMPUTED_VALUE"""),"")</f>
        <v/>
      </c>
      <c r="G2154" s="18"/>
      <c r="H2154" s="16" t="s">
        <v>87</v>
      </c>
      <c r="I2154" s="16" t="s">
        <v>87</v>
      </c>
      <c r="J2154" s="19"/>
      <c r="L2154" s="16" t="str">
        <f>IFERROR(__xludf.DUMMYFUNCTION("""COMPUTED_VALUE"""),"")</f>
        <v/>
      </c>
      <c r="M2154" s="16" t="str">
        <f>IFERROR(__xludf.DUMMYFUNCTION("""COMPUTED_VALUE"""),"")</f>
        <v/>
      </c>
      <c r="U2154" s="16" t="s">
        <v>87</v>
      </c>
      <c r="V2154" s="16" t="str">
        <f>IFERROR(__xludf.DUMMYFUNCTION("""COMPUTED_VALUE"""),"")</f>
        <v/>
      </c>
      <c r="W2154" s="16" t="str">
        <f>IFERROR(__xludf.DUMMYFUNCTION("""COMPUTED_VALUE"""),"")</f>
        <v/>
      </c>
      <c r="X2154" s="16" t="str">
        <f>IFERROR(__xludf.DUMMYFUNCTION("""COMPUTED_VALUE"""),"")</f>
        <v/>
      </c>
      <c r="AC2154" s="16" t="str">
        <f>IFERROR(__xludf.DUMMYFUNCTION("""COMPUTED_VALUE"""),"")</f>
        <v/>
      </c>
    </row>
    <row r="2155">
      <c r="A2155" s="16" t="s">
        <v>87</v>
      </c>
      <c r="E2155" s="16" t="str">
        <f>IFERROR(__xludf.DUMMYFUNCTION("""COMPUTED_VALUE"""),"")</f>
        <v/>
      </c>
      <c r="G2155" s="18"/>
      <c r="H2155" s="16" t="s">
        <v>87</v>
      </c>
      <c r="I2155" s="16" t="s">
        <v>87</v>
      </c>
      <c r="J2155" s="19"/>
      <c r="L2155" s="16" t="str">
        <f>IFERROR(__xludf.DUMMYFUNCTION("""COMPUTED_VALUE"""),"")</f>
        <v/>
      </c>
      <c r="M2155" s="16" t="str">
        <f>IFERROR(__xludf.DUMMYFUNCTION("""COMPUTED_VALUE"""),"")</f>
        <v/>
      </c>
      <c r="U2155" s="16" t="s">
        <v>87</v>
      </c>
      <c r="V2155" s="16" t="str">
        <f>IFERROR(__xludf.DUMMYFUNCTION("""COMPUTED_VALUE"""),"")</f>
        <v/>
      </c>
      <c r="W2155" s="16" t="str">
        <f>IFERROR(__xludf.DUMMYFUNCTION("""COMPUTED_VALUE"""),"")</f>
        <v/>
      </c>
      <c r="X2155" s="16" t="str">
        <f>IFERROR(__xludf.DUMMYFUNCTION("""COMPUTED_VALUE"""),"")</f>
        <v/>
      </c>
      <c r="AC2155" s="16" t="str">
        <f>IFERROR(__xludf.DUMMYFUNCTION("""COMPUTED_VALUE"""),"")</f>
        <v/>
      </c>
    </row>
    <row r="2156">
      <c r="A2156" s="16" t="s">
        <v>87</v>
      </c>
      <c r="E2156" s="16" t="str">
        <f>IFERROR(__xludf.DUMMYFUNCTION("""COMPUTED_VALUE"""),"")</f>
        <v/>
      </c>
      <c r="G2156" s="18"/>
      <c r="H2156" s="16" t="s">
        <v>87</v>
      </c>
      <c r="I2156" s="16" t="s">
        <v>87</v>
      </c>
      <c r="J2156" s="19"/>
      <c r="L2156" s="16" t="str">
        <f>IFERROR(__xludf.DUMMYFUNCTION("""COMPUTED_VALUE"""),"")</f>
        <v/>
      </c>
      <c r="M2156" s="16" t="str">
        <f>IFERROR(__xludf.DUMMYFUNCTION("""COMPUTED_VALUE"""),"")</f>
        <v/>
      </c>
      <c r="U2156" s="16" t="s">
        <v>87</v>
      </c>
      <c r="V2156" s="16" t="str">
        <f>IFERROR(__xludf.DUMMYFUNCTION("""COMPUTED_VALUE"""),"")</f>
        <v/>
      </c>
      <c r="W2156" s="16" t="str">
        <f>IFERROR(__xludf.DUMMYFUNCTION("""COMPUTED_VALUE"""),"")</f>
        <v/>
      </c>
      <c r="X2156" s="16" t="str">
        <f>IFERROR(__xludf.DUMMYFUNCTION("""COMPUTED_VALUE"""),"")</f>
        <v/>
      </c>
      <c r="AC2156" s="16" t="str">
        <f>IFERROR(__xludf.DUMMYFUNCTION("""COMPUTED_VALUE"""),"")</f>
        <v/>
      </c>
    </row>
    <row r="2157">
      <c r="A2157" s="16" t="s">
        <v>87</v>
      </c>
      <c r="E2157" s="16" t="str">
        <f>IFERROR(__xludf.DUMMYFUNCTION("""COMPUTED_VALUE"""),"")</f>
        <v/>
      </c>
      <c r="G2157" s="18"/>
      <c r="H2157" s="16" t="s">
        <v>87</v>
      </c>
      <c r="I2157" s="16" t="s">
        <v>87</v>
      </c>
      <c r="J2157" s="19"/>
      <c r="L2157" s="16" t="str">
        <f>IFERROR(__xludf.DUMMYFUNCTION("""COMPUTED_VALUE"""),"")</f>
        <v/>
      </c>
      <c r="M2157" s="16" t="str">
        <f>IFERROR(__xludf.DUMMYFUNCTION("""COMPUTED_VALUE"""),"")</f>
        <v/>
      </c>
      <c r="U2157" s="16" t="s">
        <v>87</v>
      </c>
      <c r="V2157" s="16" t="str">
        <f>IFERROR(__xludf.DUMMYFUNCTION("""COMPUTED_VALUE"""),"")</f>
        <v/>
      </c>
      <c r="W2157" s="16" t="str">
        <f>IFERROR(__xludf.DUMMYFUNCTION("""COMPUTED_VALUE"""),"")</f>
        <v/>
      </c>
      <c r="X2157" s="16" t="str">
        <f>IFERROR(__xludf.DUMMYFUNCTION("""COMPUTED_VALUE"""),"")</f>
        <v/>
      </c>
      <c r="AC2157" s="16" t="str">
        <f>IFERROR(__xludf.DUMMYFUNCTION("""COMPUTED_VALUE"""),"")</f>
        <v/>
      </c>
    </row>
    <row r="2158">
      <c r="A2158" s="16" t="s">
        <v>87</v>
      </c>
      <c r="E2158" s="16" t="str">
        <f>IFERROR(__xludf.DUMMYFUNCTION("""COMPUTED_VALUE"""),"")</f>
        <v/>
      </c>
      <c r="G2158" s="18"/>
      <c r="H2158" s="16" t="s">
        <v>87</v>
      </c>
      <c r="I2158" s="16" t="s">
        <v>87</v>
      </c>
      <c r="J2158" s="19"/>
      <c r="L2158" s="16" t="str">
        <f>IFERROR(__xludf.DUMMYFUNCTION("""COMPUTED_VALUE"""),"")</f>
        <v/>
      </c>
      <c r="M2158" s="16" t="str">
        <f>IFERROR(__xludf.DUMMYFUNCTION("""COMPUTED_VALUE"""),"")</f>
        <v/>
      </c>
      <c r="U2158" s="16" t="s">
        <v>87</v>
      </c>
      <c r="V2158" s="16" t="str">
        <f>IFERROR(__xludf.DUMMYFUNCTION("""COMPUTED_VALUE"""),"")</f>
        <v/>
      </c>
      <c r="W2158" s="16" t="str">
        <f>IFERROR(__xludf.DUMMYFUNCTION("""COMPUTED_VALUE"""),"")</f>
        <v/>
      </c>
      <c r="X2158" s="16" t="str">
        <f>IFERROR(__xludf.DUMMYFUNCTION("""COMPUTED_VALUE"""),"")</f>
        <v/>
      </c>
      <c r="AC2158" s="16" t="str">
        <f>IFERROR(__xludf.DUMMYFUNCTION("""COMPUTED_VALUE"""),"")</f>
        <v/>
      </c>
    </row>
    <row r="2159">
      <c r="A2159" s="16" t="s">
        <v>87</v>
      </c>
      <c r="E2159" s="16" t="str">
        <f>IFERROR(__xludf.DUMMYFUNCTION("""COMPUTED_VALUE"""),"")</f>
        <v/>
      </c>
      <c r="G2159" s="18"/>
      <c r="H2159" s="16" t="s">
        <v>87</v>
      </c>
      <c r="I2159" s="16" t="s">
        <v>87</v>
      </c>
      <c r="J2159" s="19"/>
      <c r="L2159" s="16" t="str">
        <f>IFERROR(__xludf.DUMMYFUNCTION("""COMPUTED_VALUE"""),"")</f>
        <v/>
      </c>
      <c r="M2159" s="16" t="str">
        <f>IFERROR(__xludf.DUMMYFUNCTION("""COMPUTED_VALUE"""),"")</f>
        <v/>
      </c>
      <c r="U2159" s="16" t="s">
        <v>87</v>
      </c>
      <c r="V2159" s="16" t="str">
        <f>IFERROR(__xludf.DUMMYFUNCTION("""COMPUTED_VALUE"""),"")</f>
        <v/>
      </c>
      <c r="W2159" s="16" t="str">
        <f>IFERROR(__xludf.DUMMYFUNCTION("""COMPUTED_VALUE"""),"")</f>
        <v/>
      </c>
      <c r="X2159" s="16" t="str">
        <f>IFERROR(__xludf.DUMMYFUNCTION("""COMPUTED_VALUE"""),"")</f>
        <v/>
      </c>
      <c r="AC2159" s="16" t="str">
        <f>IFERROR(__xludf.DUMMYFUNCTION("""COMPUTED_VALUE"""),"")</f>
        <v/>
      </c>
    </row>
    <row r="2160">
      <c r="A2160" s="16" t="s">
        <v>87</v>
      </c>
      <c r="E2160" s="16" t="str">
        <f>IFERROR(__xludf.DUMMYFUNCTION("""COMPUTED_VALUE"""),"")</f>
        <v/>
      </c>
      <c r="G2160" s="18"/>
      <c r="H2160" s="16" t="s">
        <v>87</v>
      </c>
      <c r="I2160" s="16" t="s">
        <v>87</v>
      </c>
      <c r="J2160" s="19"/>
      <c r="L2160" s="16" t="str">
        <f>IFERROR(__xludf.DUMMYFUNCTION("""COMPUTED_VALUE"""),"")</f>
        <v/>
      </c>
      <c r="M2160" s="16" t="str">
        <f>IFERROR(__xludf.DUMMYFUNCTION("""COMPUTED_VALUE"""),"")</f>
        <v/>
      </c>
      <c r="U2160" s="16" t="s">
        <v>87</v>
      </c>
      <c r="V2160" s="16" t="str">
        <f>IFERROR(__xludf.DUMMYFUNCTION("""COMPUTED_VALUE"""),"")</f>
        <v/>
      </c>
      <c r="W2160" s="16" t="str">
        <f>IFERROR(__xludf.DUMMYFUNCTION("""COMPUTED_VALUE"""),"")</f>
        <v/>
      </c>
      <c r="X2160" s="16" t="str">
        <f>IFERROR(__xludf.DUMMYFUNCTION("""COMPUTED_VALUE"""),"")</f>
        <v/>
      </c>
      <c r="AC2160" s="16" t="str">
        <f>IFERROR(__xludf.DUMMYFUNCTION("""COMPUTED_VALUE"""),"")</f>
        <v/>
      </c>
    </row>
    <row r="2161">
      <c r="A2161" s="16" t="s">
        <v>87</v>
      </c>
      <c r="E2161" s="16" t="str">
        <f>IFERROR(__xludf.DUMMYFUNCTION("""COMPUTED_VALUE"""),"")</f>
        <v/>
      </c>
      <c r="G2161" s="18"/>
      <c r="H2161" s="16" t="s">
        <v>87</v>
      </c>
      <c r="I2161" s="16" t="s">
        <v>87</v>
      </c>
      <c r="J2161" s="19"/>
      <c r="L2161" s="16" t="str">
        <f>IFERROR(__xludf.DUMMYFUNCTION("""COMPUTED_VALUE"""),"")</f>
        <v/>
      </c>
      <c r="M2161" s="16" t="str">
        <f>IFERROR(__xludf.DUMMYFUNCTION("""COMPUTED_VALUE"""),"")</f>
        <v/>
      </c>
      <c r="U2161" s="16" t="s">
        <v>87</v>
      </c>
      <c r="V2161" s="16" t="str">
        <f>IFERROR(__xludf.DUMMYFUNCTION("""COMPUTED_VALUE"""),"")</f>
        <v/>
      </c>
      <c r="W2161" s="16" t="str">
        <f>IFERROR(__xludf.DUMMYFUNCTION("""COMPUTED_VALUE"""),"")</f>
        <v/>
      </c>
      <c r="X2161" s="16" t="str">
        <f>IFERROR(__xludf.DUMMYFUNCTION("""COMPUTED_VALUE"""),"")</f>
        <v/>
      </c>
      <c r="AC2161" s="16" t="str">
        <f>IFERROR(__xludf.DUMMYFUNCTION("""COMPUTED_VALUE"""),"")</f>
        <v/>
      </c>
    </row>
    <row r="2162">
      <c r="A2162" s="16" t="s">
        <v>87</v>
      </c>
      <c r="E2162" s="16" t="str">
        <f>IFERROR(__xludf.DUMMYFUNCTION("""COMPUTED_VALUE"""),"")</f>
        <v/>
      </c>
      <c r="G2162" s="18"/>
      <c r="H2162" s="16" t="s">
        <v>87</v>
      </c>
      <c r="I2162" s="16" t="s">
        <v>87</v>
      </c>
      <c r="J2162" s="19"/>
      <c r="L2162" s="16" t="str">
        <f>IFERROR(__xludf.DUMMYFUNCTION("""COMPUTED_VALUE"""),"")</f>
        <v/>
      </c>
      <c r="M2162" s="16" t="str">
        <f>IFERROR(__xludf.DUMMYFUNCTION("""COMPUTED_VALUE"""),"")</f>
        <v/>
      </c>
      <c r="U2162" s="16" t="s">
        <v>87</v>
      </c>
      <c r="V2162" s="16" t="str">
        <f>IFERROR(__xludf.DUMMYFUNCTION("""COMPUTED_VALUE"""),"")</f>
        <v/>
      </c>
      <c r="W2162" s="16" t="str">
        <f>IFERROR(__xludf.DUMMYFUNCTION("""COMPUTED_VALUE"""),"")</f>
        <v/>
      </c>
      <c r="X2162" s="16" t="str">
        <f>IFERROR(__xludf.DUMMYFUNCTION("""COMPUTED_VALUE"""),"")</f>
        <v/>
      </c>
      <c r="AC2162" s="16" t="str">
        <f>IFERROR(__xludf.DUMMYFUNCTION("""COMPUTED_VALUE"""),"")</f>
        <v/>
      </c>
    </row>
    <row r="2163">
      <c r="A2163" s="16" t="s">
        <v>87</v>
      </c>
      <c r="E2163" s="16" t="str">
        <f>IFERROR(__xludf.DUMMYFUNCTION("""COMPUTED_VALUE"""),"")</f>
        <v/>
      </c>
      <c r="G2163" s="18"/>
      <c r="H2163" s="16" t="s">
        <v>87</v>
      </c>
      <c r="I2163" s="16" t="s">
        <v>87</v>
      </c>
      <c r="J2163" s="19"/>
      <c r="L2163" s="16" t="str">
        <f>IFERROR(__xludf.DUMMYFUNCTION("""COMPUTED_VALUE"""),"")</f>
        <v/>
      </c>
      <c r="M2163" s="16" t="str">
        <f>IFERROR(__xludf.DUMMYFUNCTION("""COMPUTED_VALUE"""),"")</f>
        <v/>
      </c>
      <c r="U2163" s="16" t="s">
        <v>87</v>
      </c>
      <c r="V2163" s="16" t="str">
        <f>IFERROR(__xludf.DUMMYFUNCTION("""COMPUTED_VALUE"""),"")</f>
        <v/>
      </c>
      <c r="W2163" s="16" t="str">
        <f>IFERROR(__xludf.DUMMYFUNCTION("""COMPUTED_VALUE"""),"")</f>
        <v/>
      </c>
      <c r="X2163" s="16" t="str">
        <f>IFERROR(__xludf.DUMMYFUNCTION("""COMPUTED_VALUE"""),"")</f>
        <v/>
      </c>
      <c r="AC2163" s="16" t="str">
        <f>IFERROR(__xludf.DUMMYFUNCTION("""COMPUTED_VALUE"""),"")</f>
        <v/>
      </c>
    </row>
    <row r="2164">
      <c r="A2164" s="16" t="s">
        <v>87</v>
      </c>
      <c r="E2164" s="16" t="str">
        <f>IFERROR(__xludf.DUMMYFUNCTION("""COMPUTED_VALUE"""),"")</f>
        <v/>
      </c>
      <c r="G2164" s="18"/>
      <c r="H2164" s="16" t="s">
        <v>87</v>
      </c>
      <c r="I2164" s="16" t="s">
        <v>87</v>
      </c>
      <c r="J2164" s="19"/>
      <c r="L2164" s="16" t="str">
        <f>IFERROR(__xludf.DUMMYFUNCTION("""COMPUTED_VALUE"""),"")</f>
        <v/>
      </c>
      <c r="M2164" s="16" t="str">
        <f>IFERROR(__xludf.DUMMYFUNCTION("""COMPUTED_VALUE"""),"")</f>
        <v/>
      </c>
      <c r="U2164" s="16" t="s">
        <v>87</v>
      </c>
      <c r="V2164" s="16" t="str">
        <f>IFERROR(__xludf.DUMMYFUNCTION("""COMPUTED_VALUE"""),"")</f>
        <v/>
      </c>
      <c r="W2164" s="16" t="str">
        <f>IFERROR(__xludf.DUMMYFUNCTION("""COMPUTED_VALUE"""),"")</f>
        <v/>
      </c>
      <c r="X2164" s="16" t="str">
        <f>IFERROR(__xludf.DUMMYFUNCTION("""COMPUTED_VALUE"""),"")</f>
        <v/>
      </c>
      <c r="AC2164" s="16" t="str">
        <f>IFERROR(__xludf.DUMMYFUNCTION("""COMPUTED_VALUE"""),"")</f>
        <v/>
      </c>
    </row>
    <row r="2165">
      <c r="A2165" s="16" t="s">
        <v>87</v>
      </c>
      <c r="E2165" s="16" t="str">
        <f>IFERROR(__xludf.DUMMYFUNCTION("""COMPUTED_VALUE"""),"")</f>
        <v/>
      </c>
      <c r="G2165" s="18"/>
      <c r="H2165" s="16" t="s">
        <v>87</v>
      </c>
      <c r="I2165" s="16" t="s">
        <v>87</v>
      </c>
      <c r="J2165" s="19"/>
      <c r="L2165" s="16" t="str">
        <f>IFERROR(__xludf.DUMMYFUNCTION("""COMPUTED_VALUE"""),"")</f>
        <v/>
      </c>
      <c r="M2165" s="16" t="str">
        <f>IFERROR(__xludf.DUMMYFUNCTION("""COMPUTED_VALUE"""),"")</f>
        <v/>
      </c>
      <c r="U2165" s="16" t="s">
        <v>87</v>
      </c>
      <c r="V2165" s="16" t="str">
        <f>IFERROR(__xludf.DUMMYFUNCTION("""COMPUTED_VALUE"""),"")</f>
        <v/>
      </c>
      <c r="W2165" s="16" t="str">
        <f>IFERROR(__xludf.DUMMYFUNCTION("""COMPUTED_VALUE"""),"")</f>
        <v/>
      </c>
      <c r="X2165" s="16" t="str">
        <f>IFERROR(__xludf.DUMMYFUNCTION("""COMPUTED_VALUE"""),"")</f>
        <v/>
      </c>
      <c r="AC2165" s="16" t="str">
        <f>IFERROR(__xludf.DUMMYFUNCTION("""COMPUTED_VALUE"""),"")</f>
        <v/>
      </c>
    </row>
    <row r="2166">
      <c r="A2166" s="16" t="s">
        <v>87</v>
      </c>
      <c r="E2166" s="16" t="str">
        <f>IFERROR(__xludf.DUMMYFUNCTION("""COMPUTED_VALUE"""),"")</f>
        <v/>
      </c>
      <c r="G2166" s="18"/>
      <c r="H2166" s="16" t="s">
        <v>87</v>
      </c>
      <c r="I2166" s="16" t="s">
        <v>87</v>
      </c>
      <c r="J2166" s="19"/>
      <c r="L2166" s="16" t="str">
        <f>IFERROR(__xludf.DUMMYFUNCTION("""COMPUTED_VALUE"""),"")</f>
        <v/>
      </c>
      <c r="M2166" s="16" t="str">
        <f>IFERROR(__xludf.DUMMYFUNCTION("""COMPUTED_VALUE"""),"")</f>
        <v/>
      </c>
      <c r="U2166" s="16" t="s">
        <v>87</v>
      </c>
      <c r="V2166" s="16" t="str">
        <f>IFERROR(__xludf.DUMMYFUNCTION("""COMPUTED_VALUE"""),"")</f>
        <v/>
      </c>
      <c r="W2166" s="16" t="str">
        <f>IFERROR(__xludf.DUMMYFUNCTION("""COMPUTED_VALUE"""),"")</f>
        <v/>
      </c>
      <c r="X2166" s="16" t="str">
        <f>IFERROR(__xludf.DUMMYFUNCTION("""COMPUTED_VALUE"""),"")</f>
        <v/>
      </c>
      <c r="AC2166" s="16" t="str">
        <f>IFERROR(__xludf.DUMMYFUNCTION("""COMPUTED_VALUE"""),"")</f>
        <v/>
      </c>
    </row>
    <row r="2167">
      <c r="A2167" s="16" t="s">
        <v>87</v>
      </c>
      <c r="E2167" s="16" t="str">
        <f>IFERROR(__xludf.DUMMYFUNCTION("""COMPUTED_VALUE"""),"")</f>
        <v/>
      </c>
      <c r="G2167" s="18"/>
      <c r="H2167" s="16" t="s">
        <v>87</v>
      </c>
      <c r="I2167" s="16" t="s">
        <v>87</v>
      </c>
      <c r="J2167" s="19"/>
      <c r="L2167" s="16" t="str">
        <f>IFERROR(__xludf.DUMMYFUNCTION("""COMPUTED_VALUE"""),"")</f>
        <v/>
      </c>
      <c r="M2167" s="16" t="str">
        <f>IFERROR(__xludf.DUMMYFUNCTION("""COMPUTED_VALUE"""),"")</f>
        <v/>
      </c>
      <c r="U2167" s="16" t="s">
        <v>87</v>
      </c>
      <c r="V2167" s="16" t="str">
        <f>IFERROR(__xludf.DUMMYFUNCTION("""COMPUTED_VALUE"""),"")</f>
        <v/>
      </c>
      <c r="W2167" s="16" t="str">
        <f>IFERROR(__xludf.DUMMYFUNCTION("""COMPUTED_VALUE"""),"")</f>
        <v/>
      </c>
      <c r="X2167" s="16" t="str">
        <f>IFERROR(__xludf.DUMMYFUNCTION("""COMPUTED_VALUE"""),"")</f>
        <v/>
      </c>
      <c r="AC2167" s="16" t="str">
        <f>IFERROR(__xludf.DUMMYFUNCTION("""COMPUTED_VALUE"""),"")</f>
        <v/>
      </c>
    </row>
    <row r="2168">
      <c r="A2168" s="16" t="s">
        <v>87</v>
      </c>
      <c r="E2168" s="16" t="str">
        <f>IFERROR(__xludf.DUMMYFUNCTION("""COMPUTED_VALUE"""),"")</f>
        <v/>
      </c>
      <c r="G2168" s="18"/>
      <c r="H2168" s="16" t="s">
        <v>87</v>
      </c>
      <c r="I2168" s="16" t="s">
        <v>87</v>
      </c>
      <c r="J2168" s="19"/>
      <c r="L2168" s="16" t="str">
        <f>IFERROR(__xludf.DUMMYFUNCTION("""COMPUTED_VALUE"""),"")</f>
        <v/>
      </c>
      <c r="M2168" s="16" t="str">
        <f>IFERROR(__xludf.DUMMYFUNCTION("""COMPUTED_VALUE"""),"")</f>
        <v/>
      </c>
      <c r="U2168" s="16" t="s">
        <v>87</v>
      </c>
      <c r="V2168" s="16" t="str">
        <f>IFERROR(__xludf.DUMMYFUNCTION("""COMPUTED_VALUE"""),"")</f>
        <v/>
      </c>
      <c r="W2168" s="16" t="str">
        <f>IFERROR(__xludf.DUMMYFUNCTION("""COMPUTED_VALUE"""),"")</f>
        <v/>
      </c>
      <c r="X2168" s="16" t="str">
        <f>IFERROR(__xludf.DUMMYFUNCTION("""COMPUTED_VALUE"""),"")</f>
        <v/>
      </c>
      <c r="AC2168" s="16" t="str">
        <f>IFERROR(__xludf.DUMMYFUNCTION("""COMPUTED_VALUE"""),"")</f>
        <v/>
      </c>
    </row>
    <row r="2169">
      <c r="A2169" s="16" t="s">
        <v>87</v>
      </c>
      <c r="E2169" s="16" t="str">
        <f>IFERROR(__xludf.DUMMYFUNCTION("""COMPUTED_VALUE"""),"")</f>
        <v/>
      </c>
      <c r="G2169" s="18"/>
      <c r="H2169" s="16" t="s">
        <v>87</v>
      </c>
      <c r="I2169" s="16" t="s">
        <v>87</v>
      </c>
      <c r="J2169" s="19"/>
      <c r="L2169" s="16" t="str">
        <f>IFERROR(__xludf.DUMMYFUNCTION("""COMPUTED_VALUE"""),"")</f>
        <v/>
      </c>
      <c r="M2169" s="16" t="str">
        <f>IFERROR(__xludf.DUMMYFUNCTION("""COMPUTED_VALUE"""),"")</f>
        <v/>
      </c>
      <c r="U2169" s="16" t="s">
        <v>87</v>
      </c>
      <c r="V2169" s="16" t="str">
        <f>IFERROR(__xludf.DUMMYFUNCTION("""COMPUTED_VALUE"""),"")</f>
        <v/>
      </c>
      <c r="W2169" s="16" t="str">
        <f>IFERROR(__xludf.DUMMYFUNCTION("""COMPUTED_VALUE"""),"")</f>
        <v/>
      </c>
      <c r="X2169" s="16" t="str">
        <f>IFERROR(__xludf.DUMMYFUNCTION("""COMPUTED_VALUE"""),"")</f>
        <v/>
      </c>
      <c r="AC2169" s="16" t="str">
        <f>IFERROR(__xludf.DUMMYFUNCTION("""COMPUTED_VALUE"""),"")</f>
        <v/>
      </c>
    </row>
    <row r="2170">
      <c r="A2170" s="16" t="s">
        <v>87</v>
      </c>
      <c r="E2170" s="16" t="str">
        <f>IFERROR(__xludf.DUMMYFUNCTION("""COMPUTED_VALUE"""),"")</f>
        <v/>
      </c>
      <c r="G2170" s="18"/>
      <c r="H2170" s="16" t="s">
        <v>87</v>
      </c>
      <c r="I2170" s="16" t="s">
        <v>87</v>
      </c>
      <c r="J2170" s="19"/>
      <c r="L2170" s="16" t="str">
        <f>IFERROR(__xludf.DUMMYFUNCTION("""COMPUTED_VALUE"""),"")</f>
        <v/>
      </c>
      <c r="M2170" s="16" t="str">
        <f>IFERROR(__xludf.DUMMYFUNCTION("""COMPUTED_VALUE"""),"")</f>
        <v/>
      </c>
      <c r="U2170" s="16" t="s">
        <v>87</v>
      </c>
      <c r="V2170" s="16" t="str">
        <f>IFERROR(__xludf.DUMMYFUNCTION("""COMPUTED_VALUE"""),"")</f>
        <v/>
      </c>
      <c r="W2170" s="16" t="str">
        <f>IFERROR(__xludf.DUMMYFUNCTION("""COMPUTED_VALUE"""),"")</f>
        <v/>
      </c>
      <c r="X2170" s="16" t="str">
        <f>IFERROR(__xludf.DUMMYFUNCTION("""COMPUTED_VALUE"""),"")</f>
        <v/>
      </c>
      <c r="AC2170" s="16" t="str">
        <f>IFERROR(__xludf.DUMMYFUNCTION("""COMPUTED_VALUE"""),"")</f>
        <v/>
      </c>
    </row>
    <row r="2171">
      <c r="A2171" s="16" t="s">
        <v>87</v>
      </c>
      <c r="E2171" s="16" t="str">
        <f>IFERROR(__xludf.DUMMYFUNCTION("""COMPUTED_VALUE"""),"")</f>
        <v/>
      </c>
      <c r="G2171" s="18"/>
      <c r="H2171" s="16" t="s">
        <v>87</v>
      </c>
      <c r="I2171" s="16" t="s">
        <v>87</v>
      </c>
      <c r="J2171" s="19"/>
      <c r="L2171" s="16" t="str">
        <f>IFERROR(__xludf.DUMMYFUNCTION("""COMPUTED_VALUE"""),"")</f>
        <v/>
      </c>
      <c r="M2171" s="16" t="str">
        <f>IFERROR(__xludf.DUMMYFUNCTION("""COMPUTED_VALUE"""),"")</f>
        <v/>
      </c>
      <c r="U2171" s="16" t="s">
        <v>87</v>
      </c>
      <c r="V2171" s="16" t="str">
        <f>IFERROR(__xludf.DUMMYFUNCTION("""COMPUTED_VALUE"""),"")</f>
        <v/>
      </c>
      <c r="W2171" s="16" t="str">
        <f>IFERROR(__xludf.DUMMYFUNCTION("""COMPUTED_VALUE"""),"")</f>
        <v/>
      </c>
      <c r="X2171" s="16" t="str">
        <f>IFERROR(__xludf.DUMMYFUNCTION("""COMPUTED_VALUE"""),"")</f>
        <v/>
      </c>
      <c r="AC2171" s="16" t="str">
        <f>IFERROR(__xludf.DUMMYFUNCTION("""COMPUTED_VALUE"""),"")</f>
        <v/>
      </c>
    </row>
    <row r="2172">
      <c r="A2172" s="16" t="s">
        <v>87</v>
      </c>
      <c r="E2172" s="16" t="str">
        <f>IFERROR(__xludf.DUMMYFUNCTION("""COMPUTED_VALUE"""),"")</f>
        <v/>
      </c>
      <c r="G2172" s="18"/>
      <c r="H2172" s="16" t="s">
        <v>87</v>
      </c>
      <c r="I2172" s="16" t="s">
        <v>87</v>
      </c>
      <c r="J2172" s="19"/>
      <c r="L2172" s="16" t="str">
        <f>IFERROR(__xludf.DUMMYFUNCTION("""COMPUTED_VALUE"""),"")</f>
        <v/>
      </c>
      <c r="M2172" s="16" t="str">
        <f>IFERROR(__xludf.DUMMYFUNCTION("""COMPUTED_VALUE"""),"")</f>
        <v/>
      </c>
      <c r="U2172" s="16" t="s">
        <v>87</v>
      </c>
      <c r="V2172" s="16" t="str">
        <f>IFERROR(__xludf.DUMMYFUNCTION("""COMPUTED_VALUE"""),"")</f>
        <v/>
      </c>
      <c r="W2172" s="16" t="str">
        <f>IFERROR(__xludf.DUMMYFUNCTION("""COMPUTED_VALUE"""),"")</f>
        <v/>
      </c>
      <c r="X2172" s="16" t="str">
        <f>IFERROR(__xludf.DUMMYFUNCTION("""COMPUTED_VALUE"""),"")</f>
        <v/>
      </c>
      <c r="AC2172" s="16" t="str">
        <f>IFERROR(__xludf.DUMMYFUNCTION("""COMPUTED_VALUE"""),"")</f>
        <v/>
      </c>
    </row>
    <row r="2173">
      <c r="A2173" s="16" t="s">
        <v>87</v>
      </c>
      <c r="E2173" s="16" t="str">
        <f>IFERROR(__xludf.DUMMYFUNCTION("""COMPUTED_VALUE"""),"")</f>
        <v/>
      </c>
      <c r="G2173" s="18"/>
      <c r="H2173" s="16" t="s">
        <v>87</v>
      </c>
      <c r="I2173" s="16" t="s">
        <v>87</v>
      </c>
      <c r="J2173" s="19"/>
      <c r="L2173" s="16" t="str">
        <f>IFERROR(__xludf.DUMMYFUNCTION("""COMPUTED_VALUE"""),"")</f>
        <v/>
      </c>
      <c r="M2173" s="16" t="str">
        <f>IFERROR(__xludf.DUMMYFUNCTION("""COMPUTED_VALUE"""),"")</f>
        <v/>
      </c>
      <c r="U2173" s="16" t="s">
        <v>87</v>
      </c>
      <c r="V2173" s="16" t="str">
        <f>IFERROR(__xludf.DUMMYFUNCTION("""COMPUTED_VALUE"""),"")</f>
        <v/>
      </c>
      <c r="W2173" s="16" t="str">
        <f>IFERROR(__xludf.DUMMYFUNCTION("""COMPUTED_VALUE"""),"")</f>
        <v/>
      </c>
      <c r="X2173" s="16" t="str">
        <f>IFERROR(__xludf.DUMMYFUNCTION("""COMPUTED_VALUE"""),"")</f>
        <v/>
      </c>
      <c r="AC2173" s="16" t="str">
        <f>IFERROR(__xludf.DUMMYFUNCTION("""COMPUTED_VALUE"""),"")</f>
        <v/>
      </c>
    </row>
    <row r="2174">
      <c r="A2174" s="16" t="s">
        <v>87</v>
      </c>
      <c r="E2174" s="16" t="str">
        <f>IFERROR(__xludf.DUMMYFUNCTION("""COMPUTED_VALUE"""),"")</f>
        <v/>
      </c>
      <c r="G2174" s="18"/>
      <c r="H2174" s="16" t="s">
        <v>87</v>
      </c>
      <c r="I2174" s="16" t="s">
        <v>87</v>
      </c>
      <c r="J2174" s="19"/>
      <c r="L2174" s="16" t="str">
        <f>IFERROR(__xludf.DUMMYFUNCTION("""COMPUTED_VALUE"""),"")</f>
        <v/>
      </c>
      <c r="M2174" s="16" t="str">
        <f>IFERROR(__xludf.DUMMYFUNCTION("""COMPUTED_VALUE"""),"")</f>
        <v/>
      </c>
      <c r="U2174" s="16" t="s">
        <v>87</v>
      </c>
      <c r="V2174" s="16" t="str">
        <f>IFERROR(__xludf.DUMMYFUNCTION("""COMPUTED_VALUE"""),"")</f>
        <v/>
      </c>
      <c r="W2174" s="16" t="str">
        <f>IFERROR(__xludf.DUMMYFUNCTION("""COMPUTED_VALUE"""),"")</f>
        <v/>
      </c>
      <c r="X2174" s="16" t="str">
        <f>IFERROR(__xludf.DUMMYFUNCTION("""COMPUTED_VALUE"""),"")</f>
        <v/>
      </c>
      <c r="AC2174" s="16" t="str">
        <f>IFERROR(__xludf.DUMMYFUNCTION("""COMPUTED_VALUE"""),"")</f>
        <v/>
      </c>
    </row>
    <row r="2175">
      <c r="A2175" s="16" t="s">
        <v>87</v>
      </c>
      <c r="E2175" s="16" t="str">
        <f>IFERROR(__xludf.DUMMYFUNCTION("""COMPUTED_VALUE"""),"")</f>
        <v/>
      </c>
      <c r="G2175" s="18"/>
      <c r="H2175" s="16" t="s">
        <v>87</v>
      </c>
      <c r="I2175" s="16" t="s">
        <v>87</v>
      </c>
      <c r="J2175" s="19"/>
      <c r="L2175" s="16" t="str">
        <f>IFERROR(__xludf.DUMMYFUNCTION("""COMPUTED_VALUE"""),"")</f>
        <v/>
      </c>
      <c r="M2175" s="16" t="str">
        <f>IFERROR(__xludf.DUMMYFUNCTION("""COMPUTED_VALUE"""),"")</f>
        <v/>
      </c>
      <c r="U2175" s="16" t="s">
        <v>87</v>
      </c>
      <c r="V2175" s="16" t="str">
        <f>IFERROR(__xludf.DUMMYFUNCTION("""COMPUTED_VALUE"""),"")</f>
        <v/>
      </c>
      <c r="W2175" s="16" t="str">
        <f>IFERROR(__xludf.DUMMYFUNCTION("""COMPUTED_VALUE"""),"")</f>
        <v/>
      </c>
      <c r="X2175" s="16" t="str">
        <f>IFERROR(__xludf.DUMMYFUNCTION("""COMPUTED_VALUE"""),"")</f>
        <v/>
      </c>
      <c r="AC2175" s="16" t="str">
        <f>IFERROR(__xludf.DUMMYFUNCTION("""COMPUTED_VALUE"""),"")</f>
        <v/>
      </c>
    </row>
    <row r="2176">
      <c r="A2176" s="16" t="s">
        <v>87</v>
      </c>
      <c r="E2176" s="16" t="str">
        <f>IFERROR(__xludf.DUMMYFUNCTION("""COMPUTED_VALUE"""),"")</f>
        <v/>
      </c>
      <c r="G2176" s="18"/>
      <c r="H2176" s="16" t="s">
        <v>87</v>
      </c>
      <c r="I2176" s="16" t="s">
        <v>87</v>
      </c>
      <c r="J2176" s="19"/>
      <c r="L2176" s="16" t="str">
        <f>IFERROR(__xludf.DUMMYFUNCTION("""COMPUTED_VALUE"""),"")</f>
        <v/>
      </c>
      <c r="M2176" s="16" t="str">
        <f>IFERROR(__xludf.DUMMYFUNCTION("""COMPUTED_VALUE"""),"")</f>
        <v/>
      </c>
      <c r="U2176" s="16" t="s">
        <v>87</v>
      </c>
      <c r="V2176" s="16" t="str">
        <f>IFERROR(__xludf.DUMMYFUNCTION("""COMPUTED_VALUE"""),"")</f>
        <v/>
      </c>
      <c r="W2176" s="16" t="str">
        <f>IFERROR(__xludf.DUMMYFUNCTION("""COMPUTED_VALUE"""),"")</f>
        <v/>
      </c>
      <c r="X2176" s="16" t="str">
        <f>IFERROR(__xludf.DUMMYFUNCTION("""COMPUTED_VALUE"""),"")</f>
        <v/>
      </c>
      <c r="AC2176" s="16" t="str">
        <f>IFERROR(__xludf.DUMMYFUNCTION("""COMPUTED_VALUE"""),"")</f>
        <v/>
      </c>
    </row>
    <row r="2177">
      <c r="A2177" s="16" t="s">
        <v>87</v>
      </c>
      <c r="E2177" s="16" t="str">
        <f>IFERROR(__xludf.DUMMYFUNCTION("""COMPUTED_VALUE"""),"")</f>
        <v/>
      </c>
      <c r="G2177" s="18"/>
      <c r="H2177" s="16" t="s">
        <v>87</v>
      </c>
      <c r="I2177" s="16" t="s">
        <v>87</v>
      </c>
      <c r="J2177" s="19"/>
      <c r="L2177" s="16" t="str">
        <f>IFERROR(__xludf.DUMMYFUNCTION("""COMPUTED_VALUE"""),"")</f>
        <v/>
      </c>
      <c r="M2177" s="16" t="str">
        <f>IFERROR(__xludf.DUMMYFUNCTION("""COMPUTED_VALUE"""),"")</f>
        <v/>
      </c>
      <c r="U2177" s="16" t="s">
        <v>87</v>
      </c>
      <c r="V2177" s="16" t="str">
        <f>IFERROR(__xludf.DUMMYFUNCTION("""COMPUTED_VALUE"""),"")</f>
        <v/>
      </c>
      <c r="W2177" s="16" t="str">
        <f>IFERROR(__xludf.DUMMYFUNCTION("""COMPUTED_VALUE"""),"")</f>
        <v/>
      </c>
      <c r="X2177" s="16" t="str">
        <f>IFERROR(__xludf.DUMMYFUNCTION("""COMPUTED_VALUE"""),"")</f>
        <v/>
      </c>
      <c r="AC2177" s="16" t="str">
        <f>IFERROR(__xludf.DUMMYFUNCTION("""COMPUTED_VALUE"""),"")</f>
        <v/>
      </c>
    </row>
    <row r="2178">
      <c r="A2178" s="16" t="s">
        <v>87</v>
      </c>
      <c r="E2178" s="16" t="str">
        <f>IFERROR(__xludf.DUMMYFUNCTION("""COMPUTED_VALUE"""),"")</f>
        <v/>
      </c>
      <c r="G2178" s="18"/>
      <c r="H2178" s="16" t="s">
        <v>87</v>
      </c>
      <c r="I2178" s="16" t="s">
        <v>87</v>
      </c>
      <c r="J2178" s="19"/>
      <c r="L2178" s="16" t="str">
        <f>IFERROR(__xludf.DUMMYFUNCTION("""COMPUTED_VALUE"""),"")</f>
        <v/>
      </c>
      <c r="M2178" s="16" t="str">
        <f>IFERROR(__xludf.DUMMYFUNCTION("""COMPUTED_VALUE"""),"")</f>
        <v/>
      </c>
      <c r="U2178" s="16" t="s">
        <v>87</v>
      </c>
      <c r="V2178" s="16" t="str">
        <f>IFERROR(__xludf.DUMMYFUNCTION("""COMPUTED_VALUE"""),"")</f>
        <v/>
      </c>
      <c r="W2178" s="16" t="str">
        <f>IFERROR(__xludf.DUMMYFUNCTION("""COMPUTED_VALUE"""),"")</f>
        <v/>
      </c>
      <c r="X2178" s="16" t="str">
        <f>IFERROR(__xludf.DUMMYFUNCTION("""COMPUTED_VALUE"""),"")</f>
        <v/>
      </c>
      <c r="AC2178" s="16" t="str">
        <f>IFERROR(__xludf.DUMMYFUNCTION("""COMPUTED_VALUE"""),"")</f>
        <v/>
      </c>
    </row>
    <row r="2179">
      <c r="A2179" s="16" t="s">
        <v>87</v>
      </c>
      <c r="E2179" s="16" t="str">
        <f>IFERROR(__xludf.DUMMYFUNCTION("""COMPUTED_VALUE"""),"")</f>
        <v/>
      </c>
      <c r="G2179" s="18"/>
      <c r="H2179" s="16" t="s">
        <v>87</v>
      </c>
      <c r="I2179" s="16" t="s">
        <v>87</v>
      </c>
      <c r="J2179" s="19"/>
      <c r="L2179" s="16" t="str">
        <f>IFERROR(__xludf.DUMMYFUNCTION("""COMPUTED_VALUE"""),"")</f>
        <v/>
      </c>
      <c r="M2179" s="16" t="str">
        <f>IFERROR(__xludf.DUMMYFUNCTION("""COMPUTED_VALUE"""),"")</f>
        <v/>
      </c>
      <c r="U2179" s="16" t="s">
        <v>87</v>
      </c>
      <c r="V2179" s="16" t="str">
        <f>IFERROR(__xludf.DUMMYFUNCTION("""COMPUTED_VALUE"""),"")</f>
        <v/>
      </c>
      <c r="W2179" s="16" t="str">
        <f>IFERROR(__xludf.DUMMYFUNCTION("""COMPUTED_VALUE"""),"")</f>
        <v/>
      </c>
      <c r="X2179" s="16" t="str">
        <f>IFERROR(__xludf.DUMMYFUNCTION("""COMPUTED_VALUE"""),"")</f>
        <v/>
      </c>
      <c r="AC2179" s="16" t="str">
        <f>IFERROR(__xludf.DUMMYFUNCTION("""COMPUTED_VALUE"""),"")</f>
        <v/>
      </c>
    </row>
    <row r="2180">
      <c r="A2180" s="16" t="s">
        <v>87</v>
      </c>
      <c r="E2180" s="16" t="str">
        <f>IFERROR(__xludf.DUMMYFUNCTION("""COMPUTED_VALUE"""),"")</f>
        <v/>
      </c>
      <c r="G2180" s="18"/>
      <c r="H2180" s="16" t="s">
        <v>87</v>
      </c>
      <c r="I2180" s="16" t="s">
        <v>87</v>
      </c>
      <c r="J2180" s="19"/>
      <c r="L2180" s="16" t="str">
        <f>IFERROR(__xludf.DUMMYFUNCTION("""COMPUTED_VALUE"""),"")</f>
        <v/>
      </c>
      <c r="M2180" s="16" t="str">
        <f>IFERROR(__xludf.DUMMYFUNCTION("""COMPUTED_VALUE"""),"")</f>
        <v/>
      </c>
      <c r="U2180" s="16" t="s">
        <v>87</v>
      </c>
      <c r="V2180" s="16" t="str">
        <f>IFERROR(__xludf.DUMMYFUNCTION("""COMPUTED_VALUE"""),"")</f>
        <v/>
      </c>
      <c r="W2180" s="16" t="str">
        <f>IFERROR(__xludf.DUMMYFUNCTION("""COMPUTED_VALUE"""),"")</f>
        <v/>
      </c>
      <c r="X2180" s="16" t="str">
        <f>IFERROR(__xludf.DUMMYFUNCTION("""COMPUTED_VALUE"""),"")</f>
        <v/>
      </c>
      <c r="AC2180" s="16" t="str">
        <f>IFERROR(__xludf.DUMMYFUNCTION("""COMPUTED_VALUE"""),"")</f>
        <v/>
      </c>
    </row>
    <row r="2181">
      <c r="A2181" s="16" t="s">
        <v>87</v>
      </c>
      <c r="E2181" s="16" t="str">
        <f>IFERROR(__xludf.DUMMYFUNCTION("""COMPUTED_VALUE"""),"")</f>
        <v/>
      </c>
      <c r="G2181" s="18"/>
      <c r="H2181" s="16" t="s">
        <v>87</v>
      </c>
      <c r="I2181" s="16" t="s">
        <v>87</v>
      </c>
      <c r="J2181" s="19"/>
      <c r="L2181" s="16" t="str">
        <f>IFERROR(__xludf.DUMMYFUNCTION("""COMPUTED_VALUE"""),"")</f>
        <v/>
      </c>
      <c r="M2181" s="16" t="str">
        <f>IFERROR(__xludf.DUMMYFUNCTION("""COMPUTED_VALUE"""),"")</f>
        <v/>
      </c>
      <c r="U2181" s="16" t="s">
        <v>87</v>
      </c>
      <c r="V2181" s="16" t="str">
        <f>IFERROR(__xludf.DUMMYFUNCTION("""COMPUTED_VALUE"""),"")</f>
        <v/>
      </c>
      <c r="W2181" s="16" t="str">
        <f>IFERROR(__xludf.DUMMYFUNCTION("""COMPUTED_VALUE"""),"")</f>
        <v/>
      </c>
      <c r="X2181" s="16" t="str">
        <f>IFERROR(__xludf.DUMMYFUNCTION("""COMPUTED_VALUE"""),"")</f>
        <v/>
      </c>
      <c r="AC2181" s="16" t="str">
        <f>IFERROR(__xludf.DUMMYFUNCTION("""COMPUTED_VALUE"""),"")</f>
        <v/>
      </c>
    </row>
    <row r="2182">
      <c r="A2182" s="16" t="s">
        <v>87</v>
      </c>
      <c r="E2182" s="16" t="str">
        <f>IFERROR(__xludf.DUMMYFUNCTION("""COMPUTED_VALUE"""),"")</f>
        <v/>
      </c>
      <c r="G2182" s="18"/>
      <c r="H2182" s="16" t="s">
        <v>87</v>
      </c>
      <c r="I2182" s="16" t="s">
        <v>87</v>
      </c>
      <c r="J2182" s="19"/>
      <c r="L2182" s="16" t="str">
        <f>IFERROR(__xludf.DUMMYFUNCTION("""COMPUTED_VALUE"""),"")</f>
        <v/>
      </c>
      <c r="M2182" s="16" t="str">
        <f>IFERROR(__xludf.DUMMYFUNCTION("""COMPUTED_VALUE"""),"")</f>
        <v/>
      </c>
      <c r="U2182" s="16" t="s">
        <v>87</v>
      </c>
      <c r="V2182" s="16" t="str">
        <f>IFERROR(__xludf.DUMMYFUNCTION("""COMPUTED_VALUE"""),"")</f>
        <v/>
      </c>
      <c r="W2182" s="16" t="str">
        <f>IFERROR(__xludf.DUMMYFUNCTION("""COMPUTED_VALUE"""),"")</f>
        <v/>
      </c>
      <c r="X2182" s="16" t="str">
        <f>IFERROR(__xludf.DUMMYFUNCTION("""COMPUTED_VALUE"""),"")</f>
        <v/>
      </c>
      <c r="AC2182" s="16" t="str">
        <f>IFERROR(__xludf.DUMMYFUNCTION("""COMPUTED_VALUE"""),"")</f>
        <v/>
      </c>
    </row>
    <row r="2183">
      <c r="A2183" s="16" t="s">
        <v>87</v>
      </c>
      <c r="E2183" s="16" t="str">
        <f>IFERROR(__xludf.DUMMYFUNCTION("""COMPUTED_VALUE"""),"")</f>
        <v/>
      </c>
      <c r="G2183" s="18"/>
      <c r="H2183" s="16" t="s">
        <v>87</v>
      </c>
      <c r="I2183" s="16" t="s">
        <v>87</v>
      </c>
      <c r="J2183" s="19"/>
      <c r="L2183" s="16" t="str">
        <f>IFERROR(__xludf.DUMMYFUNCTION("""COMPUTED_VALUE"""),"")</f>
        <v/>
      </c>
      <c r="M2183" s="16" t="str">
        <f>IFERROR(__xludf.DUMMYFUNCTION("""COMPUTED_VALUE"""),"")</f>
        <v/>
      </c>
      <c r="U2183" s="16" t="s">
        <v>87</v>
      </c>
      <c r="V2183" s="16" t="str">
        <f>IFERROR(__xludf.DUMMYFUNCTION("""COMPUTED_VALUE"""),"")</f>
        <v/>
      </c>
      <c r="W2183" s="16" t="str">
        <f>IFERROR(__xludf.DUMMYFUNCTION("""COMPUTED_VALUE"""),"")</f>
        <v/>
      </c>
      <c r="X2183" s="16" t="str">
        <f>IFERROR(__xludf.DUMMYFUNCTION("""COMPUTED_VALUE"""),"")</f>
        <v/>
      </c>
      <c r="AC2183" s="16" t="str">
        <f>IFERROR(__xludf.DUMMYFUNCTION("""COMPUTED_VALUE"""),"")</f>
        <v/>
      </c>
    </row>
    <row r="2184">
      <c r="A2184" s="16" t="s">
        <v>87</v>
      </c>
      <c r="E2184" s="16" t="str">
        <f>IFERROR(__xludf.DUMMYFUNCTION("""COMPUTED_VALUE"""),"")</f>
        <v/>
      </c>
      <c r="G2184" s="18"/>
      <c r="H2184" s="16" t="s">
        <v>87</v>
      </c>
      <c r="I2184" s="16" t="s">
        <v>87</v>
      </c>
      <c r="J2184" s="19"/>
      <c r="L2184" s="16" t="str">
        <f>IFERROR(__xludf.DUMMYFUNCTION("""COMPUTED_VALUE"""),"")</f>
        <v/>
      </c>
      <c r="M2184" s="16" t="str">
        <f>IFERROR(__xludf.DUMMYFUNCTION("""COMPUTED_VALUE"""),"")</f>
        <v/>
      </c>
      <c r="U2184" s="16" t="s">
        <v>87</v>
      </c>
      <c r="V2184" s="16" t="str">
        <f>IFERROR(__xludf.DUMMYFUNCTION("""COMPUTED_VALUE"""),"")</f>
        <v/>
      </c>
      <c r="W2184" s="16" t="str">
        <f>IFERROR(__xludf.DUMMYFUNCTION("""COMPUTED_VALUE"""),"")</f>
        <v/>
      </c>
      <c r="X2184" s="16" t="str">
        <f>IFERROR(__xludf.DUMMYFUNCTION("""COMPUTED_VALUE"""),"")</f>
        <v/>
      </c>
      <c r="AC2184" s="16" t="str">
        <f>IFERROR(__xludf.DUMMYFUNCTION("""COMPUTED_VALUE"""),"")</f>
        <v/>
      </c>
    </row>
    <row r="2185">
      <c r="A2185" s="16" t="s">
        <v>87</v>
      </c>
      <c r="E2185" s="16" t="str">
        <f>IFERROR(__xludf.DUMMYFUNCTION("""COMPUTED_VALUE"""),"")</f>
        <v/>
      </c>
      <c r="G2185" s="18"/>
      <c r="H2185" s="16" t="s">
        <v>87</v>
      </c>
      <c r="I2185" s="16" t="s">
        <v>87</v>
      </c>
      <c r="J2185" s="19"/>
      <c r="L2185" s="16" t="str">
        <f>IFERROR(__xludf.DUMMYFUNCTION("""COMPUTED_VALUE"""),"")</f>
        <v/>
      </c>
      <c r="M2185" s="16" t="str">
        <f>IFERROR(__xludf.DUMMYFUNCTION("""COMPUTED_VALUE"""),"")</f>
        <v/>
      </c>
      <c r="U2185" s="16" t="s">
        <v>87</v>
      </c>
      <c r="V2185" s="16" t="str">
        <f>IFERROR(__xludf.DUMMYFUNCTION("""COMPUTED_VALUE"""),"")</f>
        <v/>
      </c>
      <c r="W2185" s="16" t="str">
        <f>IFERROR(__xludf.DUMMYFUNCTION("""COMPUTED_VALUE"""),"")</f>
        <v/>
      </c>
      <c r="X2185" s="16" t="str">
        <f>IFERROR(__xludf.DUMMYFUNCTION("""COMPUTED_VALUE"""),"")</f>
        <v/>
      </c>
      <c r="AC2185" s="16" t="str">
        <f>IFERROR(__xludf.DUMMYFUNCTION("""COMPUTED_VALUE"""),"")</f>
        <v/>
      </c>
    </row>
    <row r="2186">
      <c r="A2186" s="16" t="s">
        <v>87</v>
      </c>
      <c r="E2186" s="16" t="str">
        <f>IFERROR(__xludf.DUMMYFUNCTION("""COMPUTED_VALUE"""),"")</f>
        <v/>
      </c>
      <c r="G2186" s="18"/>
      <c r="H2186" s="16" t="s">
        <v>87</v>
      </c>
      <c r="I2186" s="16" t="s">
        <v>87</v>
      </c>
      <c r="J2186" s="19"/>
      <c r="L2186" s="16" t="str">
        <f>IFERROR(__xludf.DUMMYFUNCTION("""COMPUTED_VALUE"""),"")</f>
        <v/>
      </c>
      <c r="M2186" s="16" t="str">
        <f>IFERROR(__xludf.DUMMYFUNCTION("""COMPUTED_VALUE"""),"")</f>
        <v/>
      </c>
      <c r="U2186" s="16" t="s">
        <v>87</v>
      </c>
      <c r="V2186" s="16" t="str">
        <f>IFERROR(__xludf.DUMMYFUNCTION("""COMPUTED_VALUE"""),"")</f>
        <v/>
      </c>
      <c r="W2186" s="16" t="str">
        <f>IFERROR(__xludf.DUMMYFUNCTION("""COMPUTED_VALUE"""),"")</f>
        <v/>
      </c>
      <c r="X2186" s="16" t="str">
        <f>IFERROR(__xludf.DUMMYFUNCTION("""COMPUTED_VALUE"""),"")</f>
        <v/>
      </c>
      <c r="AC2186" s="16" t="str">
        <f>IFERROR(__xludf.DUMMYFUNCTION("""COMPUTED_VALUE"""),"")</f>
        <v/>
      </c>
    </row>
    <row r="2187">
      <c r="A2187" s="16" t="s">
        <v>87</v>
      </c>
      <c r="E2187" s="16" t="str">
        <f>IFERROR(__xludf.DUMMYFUNCTION("""COMPUTED_VALUE"""),"")</f>
        <v/>
      </c>
      <c r="G2187" s="18"/>
      <c r="H2187" s="16" t="s">
        <v>87</v>
      </c>
      <c r="I2187" s="16" t="s">
        <v>87</v>
      </c>
      <c r="J2187" s="19"/>
      <c r="L2187" s="16" t="str">
        <f>IFERROR(__xludf.DUMMYFUNCTION("""COMPUTED_VALUE"""),"")</f>
        <v/>
      </c>
      <c r="M2187" s="16" t="str">
        <f>IFERROR(__xludf.DUMMYFUNCTION("""COMPUTED_VALUE"""),"")</f>
        <v/>
      </c>
      <c r="U2187" s="16" t="s">
        <v>87</v>
      </c>
      <c r="V2187" s="16" t="str">
        <f>IFERROR(__xludf.DUMMYFUNCTION("""COMPUTED_VALUE"""),"")</f>
        <v/>
      </c>
      <c r="W2187" s="16" t="str">
        <f>IFERROR(__xludf.DUMMYFUNCTION("""COMPUTED_VALUE"""),"")</f>
        <v/>
      </c>
      <c r="X2187" s="16" t="str">
        <f>IFERROR(__xludf.DUMMYFUNCTION("""COMPUTED_VALUE"""),"")</f>
        <v/>
      </c>
      <c r="AC2187" s="16" t="str">
        <f>IFERROR(__xludf.DUMMYFUNCTION("""COMPUTED_VALUE"""),"")</f>
        <v/>
      </c>
    </row>
    <row r="2188">
      <c r="A2188" s="16" t="s">
        <v>87</v>
      </c>
      <c r="E2188" s="16" t="str">
        <f>IFERROR(__xludf.DUMMYFUNCTION("""COMPUTED_VALUE"""),"")</f>
        <v/>
      </c>
      <c r="G2188" s="18"/>
      <c r="H2188" s="16" t="s">
        <v>87</v>
      </c>
      <c r="I2188" s="16" t="s">
        <v>87</v>
      </c>
      <c r="J2188" s="19"/>
      <c r="L2188" s="16" t="str">
        <f>IFERROR(__xludf.DUMMYFUNCTION("""COMPUTED_VALUE"""),"")</f>
        <v/>
      </c>
      <c r="M2188" s="16" t="str">
        <f>IFERROR(__xludf.DUMMYFUNCTION("""COMPUTED_VALUE"""),"")</f>
        <v/>
      </c>
      <c r="U2188" s="16" t="s">
        <v>87</v>
      </c>
      <c r="V2188" s="16" t="str">
        <f>IFERROR(__xludf.DUMMYFUNCTION("""COMPUTED_VALUE"""),"")</f>
        <v/>
      </c>
      <c r="W2188" s="16" t="str">
        <f>IFERROR(__xludf.DUMMYFUNCTION("""COMPUTED_VALUE"""),"")</f>
        <v/>
      </c>
      <c r="X2188" s="16" t="str">
        <f>IFERROR(__xludf.DUMMYFUNCTION("""COMPUTED_VALUE"""),"")</f>
        <v/>
      </c>
      <c r="AC2188" s="16" t="str">
        <f>IFERROR(__xludf.DUMMYFUNCTION("""COMPUTED_VALUE"""),"")</f>
        <v/>
      </c>
    </row>
    <row r="2189">
      <c r="A2189" s="16" t="s">
        <v>87</v>
      </c>
      <c r="E2189" s="16" t="str">
        <f>IFERROR(__xludf.DUMMYFUNCTION("""COMPUTED_VALUE"""),"")</f>
        <v/>
      </c>
      <c r="G2189" s="18"/>
      <c r="H2189" s="16" t="s">
        <v>87</v>
      </c>
      <c r="I2189" s="16" t="s">
        <v>87</v>
      </c>
      <c r="J2189" s="19"/>
      <c r="L2189" s="16" t="str">
        <f>IFERROR(__xludf.DUMMYFUNCTION("""COMPUTED_VALUE"""),"")</f>
        <v/>
      </c>
      <c r="M2189" s="16" t="str">
        <f>IFERROR(__xludf.DUMMYFUNCTION("""COMPUTED_VALUE"""),"")</f>
        <v/>
      </c>
      <c r="U2189" s="16" t="s">
        <v>87</v>
      </c>
      <c r="V2189" s="16" t="str">
        <f>IFERROR(__xludf.DUMMYFUNCTION("""COMPUTED_VALUE"""),"")</f>
        <v/>
      </c>
      <c r="W2189" s="16" t="str">
        <f>IFERROR(__xludf.DUMMYFUNCTION("""COMPUTED_VALUE"""),"")</f>
        <v/>
      </c>
      <c r="X2189" s="16" t="str">
        <f>IFERROR(__xludf.DUMMYFUNCTION("""COMPUTED_VALUE"""),"")</f>
        <v/>
      </c>
      <c r="AC2189" s="16" t="str">
        <f>IFERROR(__xludf.DUMMYFUNCTION("""COMPUTED_VALUE"""),"")</f>
        <v/>
      </c>
    </row>
    <row r="2190">
      <c r="A2190" s="16" t="s">
        <v>87</v>
      </c>
      <c r="E2190" s="16" t="str">
        <f>IFERROR(__xludf.DUMMYFUNCTION("""COMPUTED_VALUE"""),"")</f>
        <v/>
      </c>
      <c r="G2190" s="18"/>
      <c r="H2190" s="16" t="s">
        <v>87</v>
      </c>
      <c r="I2190" s="16" t="s">
        <v>87</v>
      </c>
      <c r="J2190" s="19"/>
      <c r="L2190" s="16" t="str">
        <f>IFERROR(__xludf.DUMMYFUNCTION("""COMPUTED_VALUE"""),"")</f>
        <v/>
      </c>
      <c r="M2190" s="16" t="str">
        <f>IFERROR(__xludf.DUMMYFUNCTION("""COMPUTED_VALUE"""),"")</f>
        <v/>
      </c>
      <c r="U2190" s="16" t="s">
        <v>87</v>
      </c>
      <c r="V2190" s="16" t="str">
        <f>IFERROR(__xludf.DUMMYFUNCTION("""COMPUTED_VALUE"""),"")</f>
        <v/>
      </c>
      <c r="W2190" s="16" t="str">
        <f>IFERROR(__xludf.DUMMYFUNCTION("""COMPUTED_VALUE"""),"")</f>
        <v/>
      </c>
      <c r="X2190" s="16" t="str">
        <f>IFERROR(__xludf.DUMMYFUNCTION("""COMPUTED_VALUE"""),"")</f>
        <v/>
      </c>
      <c r="AC2190" s="16" t="str">
        <f>IFERROR(__xludf.DUMMYFUNCTION("""COMPUTED_VALUE"""),"")</f>
        <v/>
      </c>
    </row>
    <row r="2191">
      <c r="A2191" s="16" t="s">
        <v>87</v>
      </c>
      <c r="E2191" s="16" t="str">
        <f>IFERROR(__xludf.DUMMYFUNCTION("""COMPUTED_VALUE"""),"")</f>
        <v/>
      </c>
      <c r="G2191" s="18"/>
      <c r="H2191" s="16" t="s">
        <v>87</v>
      </c>
      <c r="I2191" s="16" t="s">
        <v>87</v>
      </c>
      <c r="J2191" s="19"/>
      <c r="L2191" s="16" t="str">
        <f>IFERROR(__xludf.DUMMYFUNCTION("""COMPUTED_VALUE"""),"")</f>
        <v/>
      </c>
      <c r="M2191" s="16" t="str">
        <f>IFERROR(__xludf.DUMMYFUNCTION("""COMPUTED_VALUE"""),"")</f>
        <v/>
      </c>
      <c r="U2191" s="16" t="s">
        <v>87</v>
      </c>
      <c r="V2191" s="16" t="str">
        <f>IFERROR(__xludf.DUMMYFUNCTION("""COMPUTED_VALUE"""),"")</f>
        <v/>
      </c>
      <c r="W2191" s="16" t="str">
        <f>IFERROR(__xludf.DUMMYFUNCTION("""COMPUTED_VALUE"""),"")</f>
        <v/>
      </c>
      <c r="X2191" s="16" t="str">
        <f>IFERROR(__xludf.DUMMYFUNCTION("""COMPUTED_VALUE"""),"")</f>
        <v/>
      </c>
      <c r="AC2191" s="16" t="str">
        <f>IFERROR(__xludf.DUMMYFUNCTION("""COMPUTED_VALUE"""),"")</f>
        <v/>
      </c>
    </row>
    <row r="2192">
      <c r="A2192" s="16" t="s">
        <v>87</v>
      </c>
      <c r="E2192" s="16" t="str">
        <f>IFERROR(__xludf.DUMMYFUNCTION("""COMPUTED_VALUE"""),"")</f>
        <v/>
      </c>
      <c r="G2192" s="18"/>
      <c r="H2192" s="16" t="s">
        <v>87</v>
      </c>
      <c r="I2192" s="16" t="s">
        <v>87</v>
      </c>
      <c r="J2192" s="19"/>
      <c r="L2192" s="16" t="str">
        <f>IFERROR(__xludf.DUMMYFUNCTION("""COMPUTED_VALUE"""),"")</f>
        <v/>
      </c>
      <c r="M2192" s="16" t="str">
        <f>IFERROR(__xludf.DUMMYFUNCTION("""COMPUTED_VALUE"""),"")</f>
        <v/>
      </c>
      <c r="U2192" s="16" t="s">
        <v>87</v>
      </c>
      <c r="V2192" s="16" t="str">
        <f>IFERROR(__xludf.DUMMYFUNCTION("""COMPUTED_VALUE"""),"")</f>
        <v/>
      </c>
      <c r="W2192" s="16" t="str">
        <f>IFERROR(__xludf.DUMMYFUNCTION("""COMPUTED_VALUE"""),"")</f>
        <v/>
      </c>
      <c r="X2192" s="16" t="str">
        <f>IFERROR(__xludf.DUMMYFUNCTION("""COMPUTED_VALUE"""),"")</f>
        <v/>
      </c>
      <c r="AC2192" s="16" t="str">
        <f>IFERROR(__xludf.DUMMYFUNCTION("""COMPUTED_VALUE"""),"")</f>
        <v/>
      </c>
    </row>
    <row r="2193">
      <c r="A2193" s="16" t="s">
        <v>87</v>
      </c>
      <c r="E2193" s="16" t="str">
        <f>IFERROR(__xludf.DUMMYFUNCTION("""COMPUTED_VALUE"""),"")</f>
        <v/>
      </c>
      <c r="G2193" s="18"/>
      <c r="H2193" s="16" t="s">
        <v>87</v>
      </c>
      <c r="I2193" s="16" t="s">
        <v>87</v>
      </c>
      <c r="J2193" s="19"/>
      <c r="L2193" s="16" t="str">
        <f>IFERROR(__xludf.DUMMYFUNCTION("""COMPUTED_VALUE"""),"")</f>
        <v/>
      </c>
      <c r="M2193" s="16" t="str">
        <f>IFERROR(__xludf.DUMMYFUNCTION("""COMPUTED_VALUE"""),"")</f>
        <v/>
      </c>
      <c r="U2193" s="16" t="s">
        <v>87</v>
      </c>
      <c r="V2193" s="16" t="str">
        <f>IFERROR(__xludf.DUMMYFUNCTION("""COMPUTED_VALUE"""),"")</f>
        <v/>
      </c>
      <c r="W2193" s="16" t="str">
        <f>IFERROR(__xludf.DUMMYFUNCTION("""COMPUTED_VALUE"""),"")</f>
        <v/>
      </c>
      <c r="X2193" s="16" t="str">
        <f>IFERROR(__xludf.DUMMYFUNCTION("""COMPUTED_VALUE"""),"")</f>
        <v/>
      </c>
      <c r="AC2193" s="16" t="str">
        <f>IFERROR(__xludf.DUMMYFUNCTION("""COMPUTED_VALUE"""),"")</f>
        <v/>
      </c>
    </row>
    <row r="2194">
      <c r="A2194" s="16" t="s">
        <v>87</v>
      </c>
      <c r="E2194" s="16" t="str">
        <f>IFERROR(__xludf.DUMMYFUNCTION("""COMPUTED_VALUE"""),"")</f>
        <v/>
      </c>
      <c r="G2194" s="18"/>
      <c r="H2194" s="16" t="s">
        <v>87</v>
      </c>
      <c r="I2194" s="16" t="s">
        <v>87</v>
      </c>
      <c r="J2194" s="19"/>
      <c r="L2194" s="16" t="str">
        <f>IFERROR(__xludf.DUMMYFUNCTION("""COMPUTED_VALUE"""),"")</f>
        <v/>
      </c>
      <c r="M2194" s="16" t="str">
        <f>IFERROR(__xludf.DUMMYFUNCTION("""COMPUTED_VALUE"""),"")</f>
        <v/>
      </c>
      <c r="U2194" s="16" t="s">
        <v>87</v>
      </c>
      <c r="V2194" s="16" t="str">
        <f>IFERROR(__xludf.DUMMYFUNCTION("""COMPUTED_VALUE"""),"")</f>
        <v/>
      </c>
      <c r="W2194" s="16" t="str">
        <f>IFERROR(__xludf.DUMMYFUNCTION("""COMPUTED_VALUE"""),"")</f>
        <v/>
      </c>
      <c r="X2194" s="16" t="str">
        <f>IFERROR(__xludf.DUMMYFUNCTION("""COMPUTED_VALUE"""),"")</f>
        <v/>
      </c>
      <c r="AC2194" s="16" t="str">
        <f>IFERROR(__xludf.DUMMYFUNCTION("""COMPUTED_VALUE"""),"")</f>
        <v/>
      </c>
    </row>
    <row r="2195">
      <c r="A2195" s="16" t="s">
        <v>87</v>
      </c>
      <c r="E2195" s="16" t="str">
        <f>IFERROR(__xludf.DUMMYFUNCTION("""COMPUTED_VALUE"""),"")</f>
        <v/>
      </c>
      <c r="G2195" s="18"/>
      <c r="H2195" s="16" t="s">
        <v>87</v>
      </c>
      <c r="I2195" s="16" t="s">
        <v>87</v>
      </c>
      <c r="J2195" s="19"/>
      <c r="L2195" s="16" t="str">
        <f>IFERROR(__xludf.DUMMYFUNCTION("""COMPUTED_VALUE"""),"")</f>
        <v/>
      </c>
      <c r="M2195" s="16" t="str">
        <f>IFERROR(__xludf.DUMMYFUNCTION("""COMPUTED_VALUE"""),"")</f>
        <v/>
      </c>
      <c r="U2195" s="16" t="s">
        <v>87</v>
      </c>
      <c r="V2195" s="16" t="str">
        <f>IFERROR(__xludf.DUMMYFUNCTION("""COMPUTED_VALUE"""),"")</f>
        <v/>
      </c>
      <c r="W2195" s="16" t="str">
        <f>IFERROR(__xludf.DUMMYFUNCTION("""COMPUTED_VALUE"""),"")</f>
        <v/>
      </c>
      <c r="X2195" s="16" t="str">
        <f>IFERROR(__xludf.DUMMYFUNCTION("""COMPUTED_VALUE"""),"")</f>
        <v/>
      </c>
      <c r="AC2195" s="16" t="str">
        <f>IFERROR(__xludf.DUMMYFUNCTION("""COMPUTED_VALUE"""),"")</f>
        <v/>
      </c>
    </row>
    <row r="2196">
      <c r="A2196" s="16" t="s">
        <v>87</v>
      </c>
      <c r="E2196" s="16" t="str">
        <f>IFERROR(__xludf.DUMMYFUNCTION("""COMPUTED_VALUE"""),"")</f>
        <v/>
      </c>
      <c r="G2196" s="18"/>
      <c r="H2196" s="16" t="s">
        <v>87</v>
      </c>
      <c r="I2196" s="16" t="s">
        <v>87</v>
      </c>
      <c r="J2196" s="19"/>
      <c r="L2196" s="16" t="str">
        <f>IFERROR(__xludf.DUMMYFUNCTION("""COMPUTED_VALUE"""),"")</f>
        <v/>
      </c>
      <c r="M2196" s="16" t="str">
        <f>IFERROR(__xludf.DUMMYFUNCTION("""COMPUTED_VALUE"""),"")</f>
        <v/>
      </c>
      <c r="U2196" s="16" t="s">
        <v>87</v>
      </c>
      <c r="V2196" s="16" t="str">
        <f>IFERROR(__xludf.DUMMYFUNCTION("""COMPUTED_VALUE"""),"")</f>
        <v/>
      </c>
      <c r="W2196" s="16" t="str">
        <f>IFERROR(__xludf.DUMMYFUNCTION("""COMPUTED_VALUE"""),"")</f>
        <v/>
      </c>
      <c r="X2196" s="16" t="str">
        <f>IFERROR(__xludf.DUMMYFUNCTION("""COMPUTED_VALUE"""),"")</f>
        <v/>
      </c>
      <c r="AC2196" s="16" t="str">
        <f>IFERROR(__xludf.DUMMYFUNCTION("""COMPUTED_VALUE"""),"")</f>
        <v/>
      </c>
    </row>
    <row r="2197">
      <c r="A2197" s="16" t="s">
        <v>87</v>
      </c>
      <c r="E2197" s="16" t="str">
        <f>IFERROR(__xludf.DUMMYFUNCTION("""COMPUTED_VALUE"""),"")</f>
        <v/>
      </c>
      <c r="G2197" s="18"/>
      <c r="H2197" s="16" t="s">
        <v>87</v>
      </c>
      <c r="I2197" s="16" t="s">
        <v>87</v>
      </c>
      <c r="J2197" s="19"/>
      <c r="L2197" s="16" t="str">
        <f>IFERROR(__xludf.DUMMYFUNCTION("""COMPUTED_VALUE"""),"")</f>
        <v/>
      </c>
      <c r="M2197" s="16" t="str">
        <f>IFERROR(__xludf.DUMMYFUNCTION("""COMPUTED_VALUE"""),"")</f>
        <v/>
      </c>
      <c r="U2197" s="16" t="s">
        <v>87</v>
      </c>
      <c r="V2197" s="16" t="str">
        <f>IFERROR(__xludf.DUMMYFUNCTION("""COMPUTED_VALUE"""),"")</f>
        <v/>
      </c>
      <c r="W2197" s="16" t="str">
        <f>IFERROR(__xludf.DUMMYFUNCTION("""COMPUTED_VALUE"""),"")</f>
        <v/>
      </c>
      <c r="X2197" s="16" t="str">
        <f>IFERROR(__xludf.DUMMYFUNCTION("""COMPUTED_VALUE"""),"")</f>
        <v/>
      </c>
      <c r="AC2197" s="16" t="str">
        <f>IFERROR(__xludf.DUMMYFUNCTION("""COMPUTED_VALUE"""),"")</f>
        <v/>
      </c>
    </row>
    <row r="2198">
      <c r="A2198" s="16" t="s">
        <v>87</v>
      </c>
      <c r="E2198" s="16" t="str">
        <f>IFERROR(__xludf.DUMMYFUNCTION("""COMPUTED_VALUE"""),"")</f>
        <v/>
      </c>
      <c r="G2198" s="18"/>
      <c r="H2198" s="16" t="s">
        <v>87</v>
      </c>
      <c r="I2198" s="16" t="s">
        <v>87</v>
      </c>
      <c r="J2198" s="19"/>
      <c r="L2198" s="16" t="str">
        <f>IFERROR(__xludf.DUMMYFUNCTION("""COMPUTED_VALUE"""),"")</f>
        <v/>
      </c>
      <c r="M2198" s="16" t="str">
        <f>IFERROR(__xludf.DUMMYFUNCTION("""COMPUTED_VALUE"""),"")</f>
        <v/>
      </c>
      <c r="U2198" s="16" t="s">
        <v>87</v>
      </c>
      <c r="V2198" s="16" t="str">
        <f>IFERROR(__xludf.DUMMYFUNCTION("""COMPUTED_VALUE"""),"")</f>
        <v/>
      </c>
      <c r="W2198" s="16" t="str">
        <f>IFERROR(__xludf.DUMMYFUNCTION("""COMPUTED_VALUE"""),"")</f>
        <v/>
      </c>
      <c r="X2198" s="16" t="str">
        <f>IFERROR(__xludf.DUMMYFUNCTION("""COMPUTED_VALUE"""),"")</f>
        <v/>
      </c>
      <c r="AC2198" s="16" t="str">
        <f>IFERROR(__xludf.DUMMYFUNCTION("""COMPUTED_VALUE"""),"")</f>
        <v/>
      </c>
    </row>
    <row r="2199">
      <c r="A2199" s="16" t="s">
        <v>87</v>
      </c>
      <c r="E2199" s="16" t="str">
        <f>IFERROR(__xludf.DUMMYFUNCTION("""COMPUTED_VALUE"""),"")</f>
        <v/>
      </c>
      <c r="G2199" s="18"/>
      <c r="H2199" s="16" t="s">
        <v>87</v>
      </c>
      <c r="I2199" s="16" t="s">
        <v>87</v>
      </c>
      <c r="J2199" s="19"/>
      <c r="L2199" s="16" t="str">
        <f>IFERROR(__xludf.DUMMYFUNCTION("""COMPUTED_VALUE"""),"")</f>
        <v/>
      </c>
      <c r="M2199" s="16" t="str">
        <f>IFERROR(__xludf.DUMMYFUNCTION("""COMPUTED_VALUE"""),"")</f>
        <v/>
      </c>
      <c r="U2199" s="16" t="s">
        <v>87</v>
      </c>
      <c r="V2199" s="16" t="str">
        <f>IFERROR(__xludf.DUMMYFUNCTION("""COMPUTED_VALUE"""),"")</f>
        <v/>
      </c>
      <c r="W2199" s="16" t="str">
        <f>IFERROR(__xludf.DUMMYFUNCTION("""COMPUTED_VALUE"""),"")</f>
        <v/>
      </c>
      <c r="X2199" s="16" t="str">
        <f>IFERROR(__xludf.DUMMYFUNCTION("""COMPUTED_VALUE"""),"")</f>
        <v/>
      </c>
      <c r="AC2199" s="16" t="str">
        <f>IFERROR(__xludf.DUMMYFUNCTION("""COMPUTED_VALUE"""),"")</f>
        <v/>
      </c>
    </row>
    <row r="2200">
      <c r="A2200" s="16" t="s">
        <v>87</v>
      </c>
      <c r="E2200" s="16" t="str">
        <f>IFERROR(__xludf.DUMMYFUNCTION("""COMPUTED_VALUE"""),"")</f>
        <v/>
      </c>
      <c r="G2200" s="18"/>
      <c r="H2200" s="16" t="s">
        <v>87</v>
      </c>
      <c r="I2200" s="16" t="s">
        <v>87</v>
      </c>
      <c r="J2200" s="19"/>
      <c r="L2200" s="16" t="str">
        <f>IFERROR(__xludf.DUMMYFUNCTION("""COMPUTED_VALUE"""),"")</f>
        <v/>
      </c>
      <c r="M2200" s="16" t="str">
        <f>IFERROR(__xludf.DUMMYFUNCTION("""COMPUTED_VALUE"""),"")</f>
        <v/>
      </c>
      <c r="U2200" s="16" t="s">
        <v>87</v>
      </c>
      <c r="V2200" s="16" t="str">
        <f>IFERROR(__xludf.DUMMYFUNCTION("""COMPUTED_VALUE"""),"")</f>
        <v/>
      </c>
      <c r="W2200" s="16" t="str">
        <f>IFERROR(__xludf.DUMMYFUNCTION("""COMPUTED_VALUE"""),"")</f>
        <v/>
      </c>
      <c r="X2200" s="16" t="str">
        <f>IFERROR(__xludf.DUMMYFUNCTION("""COMPUTED_VALUE"""),"")</f>
        <v/>
      </c>
      <c r="AC2200" s="16" t="str">
        <f>IFERROR(__xludf.DUMMYFUNCTION("""COMPUTED_VALUE"""),"")</f>
        <v/>
      </c>
    </row>
    <row r="2201">
      <c r="A2201" s="16" t="s">
        <v>87</v>
      </c>
      <c r="E2201" s="16" t="str">
        <f>IFERROR(__xludf.DUMMYFUNCTION("""COMPUTED_VALUE"""),"")</f>
        <v/>
      </c>
      <c r="G2201" s="18"/>
      <c r="H2201" s="16" t="s">
        <v>87</v>
      </c>
      <c r="I2201" s="16" t="s">
        <v>87</v>
      </c>
      <c r="J2201" s="19"/>
      <c r="L2201" s="16" t="str">
        <f>IFERROR(__xludf.DUMMYFUNCTION("""COMPUTED_VALUE"""),"")</f>
        <v/>
      </c>
      <c r="M2201" s="16" t="str">
        <f>IFERROR(__xludf.DUMMYFUNCTION("""COMPUTED_VALUE"""),"")</f>
        <v/>
      </c>
      <c r="U2201" s="16" t="s">
        <v>87</v>
      </c>
      <c r="V2201" s="16" t="str">
        <f>IFERROR(__xludf.DUMMYFUNCTION("""COMPUTED_VALUE"""),"")</f>
        <v/>
      </c>
      <c r="W2201" s="16" t="str">
        <f>IFERROR(__xludf.DUMMYFUNCTION("""COMPUTED_VALUE"""),"")</f>
        <v/>
      </c>
      <c r="X2201" s="16" t="str">
        <f>IFERROR(__xludf.DUMMYFUNCTION("""COMPUTED_VALUE"""),"")</f>
        <v/>
      </c>
      <c r="AC2201" s="16" t="str">
        <f>IFERROR(__xludf.DUMMYFUNCTION("""COMPUTED_VALUE"""),"")</f>
        <v/>
      </c>
    </row>
    <row r="2202">
      <c r="A2202" s="16" t="s">
        <v>87</v>
      </c>
      <c r="E2202" s="16" t="str">
        <f>IFERROR(__xludf.DUMMYFUNCTION("""COMPUTED_VALUE"""),"")</f>
        <v/>
      </c>
      <c r="G2202" s="18"/>
      <c r="H2202" s="16" t="s">
        <v>87</v>
      </c>
      <c r="I2202" s="16" t="s">
        <v>87</v>
      </c>
      <c r="J2202" s="19"/>
      <c r="L2202" s="16" t="str">
        <f>IFERROR(__xludf.DUMMYFUNCTION("""COMPUTED_VALUE"""),"")</f>
        <v/>
      </c>
      <c r="M2202" s="16" t="str">
        <f>IFERROR(__xludf.DUMMYFUNCTION("""COMPUTED_VALUE"""),"")</f>
        <v/>
      </c>
      <c r="U2202" s="16" t="s">
        <v>87</v>
      </c>
      <c r="V2202" s="16" t="str">
        <f>IFERROR(__xludf.DUMMYFUNCTION("""COMPUTED_VALUE"""),"")</f>
        <v/>
      </c>
      <c r="W2202" s="16" t="str">
        <f>IFERROR(__xludf.DUMMYFUNCTION("""COMPUTED_VALUE"""),"")</f>
        <v/>
      </c>
      <c r="X2202" s="16" t="str">
        <f>IFERROR(__xludf.DUMMYFUNCTION("""COMPUTED_VALUE"""),"")</f>
        <v/>
      </c>
      <c r="AC2202" s="16" t="str">
        <f>IFERROR(__xludf.DUMMYFUNCTION("""COMPUTED_VALUE"""),"")</f>
        <v/>
      </c>
    </row>
    <row r="2203">
      <c r="A2203" s="16" t="s">
        <v>87</v>
      </c>
      <c r="E2203" s="16" t="str">
        <f>IFERROR(__xludf.DUMMYFUNCTION("""COMPUTED_VALUE"""),"")</f>
        <v/>
      </c>
      <c r="G2203" s="18"/>
      <c r="H2203" s="16" t="s">
        <v>87</v>
      </c>
      <c r="I2203" s="16" t="s">
        <v>87</v>
      </c>
      <c r="J2203" s="19"/>
      <c r="L2203" s="16" t="str">
        <f>IFERROR(__xludf.DUMMYFUNCTION("""COMPUTED_VALUE"""),"")</f>
        <v/>
      </c>
      <c r="M2203" s="16" t="str">
        <f>IFERROR(__xludf.DUMMYFUNCTION("""COMPUTED_VALUE"""),"")</f>
        <v/>
      </c>
      <c r="U2203" s="16" t="s">
        <v>87</v>
      </c>
      <c r="V2203" s="16" t="str">
        <f>IFERROR(__xludf.DUMMYFUNCTION("""COMPUTED_VALUE"""),"")</f>
        <v/>
      </c>
      <c r="W2203" s="16" t="str">
        <f>IFERROR(__xludf.DUMMYFUNCTION("""COMPUTED_VALUE"""),"")</f>
        <v/>
      </c>
      <c r="X2203" s="16" t="str">
        <f>IFERROR(__xludf.DUMMYFUNCTION("""COMPUTED_VALUE"""),"")</f>
        <v/>
      </c>
      <c r="AC2203" s="16" t="str">
        <f>IFERROR(__xludf.DUMMYFUNCTION("""COMPUTED_VALUE"""),"")</f>
        <v/>
      </c>
    </row>
    <row r="2204">
      <c r="A2204" s="16" t="s">
        <v>87</v>
      </c>
      <c r="E2204" s="16" t="str">
        <f>IFERROR(__xludf.DUMMYFUNCTION("""COMPUTED_VALUE"""),"")</f>
        <v/>
      </c>
      <c r="G2204" s="18"/>
      <c r="H2204" s="16" t="s">
        <v>87</v>
      </c>
      <c r="I2204" s="16" t="s">
        <v>87</v>
      </c>
      <c r="J2204" s="19"/>
      <c r="L2204" s="16" t="str">
        <f>IFERROR(__xludf.DUMMYFUNCTION("""COMPUTED_VALUE"""),"")</f>
        <v/>
      </c>
      <c r="M2204" s="16" t="str">
        <f>IFERROR(__xludf.DUMMYFUNCTION("""COMPUTED_VALUE"""),"")</f>
        <v/>
      </c>
      <c r="U2204" s="16" t="s">
        <v>87</v>
      </c>
      <c r="V2204" s="16" t="str">
        <f>IFERROR(__xludf.DUMMYFUNCTION("""COMPUTED_VALUE"""),"")</f>
        <v/>
      </c>
      <c r="W2204" s="16" t="str">
        <f>IFERROR(__xludf.DUMMYFUNCTION("""COMPUTED_VALUE"""),"")</f>
        <v/>
      </c>
      <c r="X2204" s="16" t="str">
        <f>IFERROR(__xludf.DUMMYFUNCTION("""COMPUTED_VALUE"""),"")</f>
        <v/>
      </c>
      <c r="AC2204" s="16" t="str">
        <f>IFERROR(__xludf.DUMMYFUNCTION("""COMPUTED_VALUE"""),"")</f>
        <v/>
      </c>
    </row>
    <row r="2205">
      <c r="A2205" s="16" t="s">
        <v>87</v>
      </c>
      <c r="E2205" s="16" t="str">
        <f>IFERROR(__xludf.DUMMYFUNCTION("""COMPUTED_VALUE"""),"")</f>
        <v/>
      </c>
      <c r="G2205" s="18"/>
      <c r="H2205" s="16" t="s">
        <v>87</v>
      </c>
      <c r="I2205" s="16" t="s">
        <v>87</v>
      </c>
      <c r="J2205" s="19"/>
      <c r="L2205" s="16" t="str">
        <f>IFERROR(__xludf.DUMMYFUNCTION("""COMPUTED_VALUE"""),"")</f>
        <v/>
      </c>
      <c r="M2205" s="16" t="str">
        <f>IFERROR(__xludf.DUMMYFUNCTION("""COMPUTED_VALUE"""),"")</f>
        <v/>
      </c>
      <c r="U2205" s="16" t="s">
        <v>87</v>
      </c>
      <c r="V2205" s="16" t="str">
        <f>IFERROR(__xludf.DUMMYFUNCTION("""COMPUTED_VALUE"""),"")</f>
        <v/>
      </c>
      <c r="W2205" s="16" t="str">
        <f>IFERROR(__xludf.DUMMYFUNCTION("""COMPUTED_VALUE"""),"")</f>
        <v/>
      </c>
      <c r="X2205" s="16" t="str">
        <f>IFERROR(__xludf.DUMMYFUNCTION("""COMPUTED_VALUE"""),"")</f>
        <v/>
      </c>
      <c r="AC2205" s="16" t="str">
        <f>IFERROR(__xludf.DUMMYFUNCTION("""COMPUTED_VALUE"""),"")</f>
        <v/>
      </c>
    </row>
    <row r="2206">
      <c r="A2206" s="16" t="s">
        <v>87</v>
      </c>
      <c r="E2206" s="16" t="str">
        <f>IFERROR(__xludf.DUMMYFUNCTION("""COMPUTED_VALUE"""),"")</f>
        <v/>
      </c>
      <c r="G2206" s="18"/>
      <c r="H2206" s="16" t="s">
        <v>87</v>
      </c>
      <c r="I2206" s="16" t="s">
        <v>87</v>
      </c>
      <c r="J2206" s="19"/>
      <c r="L2206" s="16" t="str">
        <f>IFERROR(__xludf.DUMMYFUNCTION("""COMPUTED_VALUE"""),"")</f>
        <v/>
      </c>
      <c r="M2206" s="16" t="str">
        <f>IFERROR(__xludf.DUMMYFUNCTION("""COMPUTED_VALUE"""),"")</f>
        <v/>
      </c>
      <c r="U2206" s="16" t="s">
        <v>87</v>
      </c>
      <c r="V2206" s="16" t="str">
        <f>IFERROR(__xludf.DUMMYFUNCTION("""COMPUTED_VALUE"""),"")</f>
        <v/>
      </c>
      <c r="W2206" s="16" t="str">
        <f>IFERROR(__xludf.DUMMYFUNCTION("""COMPUTED_VALUE"""),"")</f>
        <v/>
      </c>
      <c r="X2206" s="16" t="str">
        <f>IFERROR(__xludf.DUMMYFUNCTION("""COMPUTED_VALUE"""),"")</f>
        <v/>
      </c>
      <c r="AC2206" s="16" t="str">
        <f>IFERROR(__xludf.DUMMYFUNCTION("""COMPUTED_VALUE"""),"")</f>
        <v/>
      </c>
    </row>
    <row r="2207">
      <c r="A2207" s="16" t="s">
        <v>87</v>
      </c>
      <c r="E2207" s="16" t="str">
        <f>IFERROR(__xludf.DUMMYFUNCTION("""COMPUTED_VALUE"""),"")</f>
        <v/>
      </c>
      <c r="G2207" s="18"/>
      <c r="H2207" s="16" t="s">
        <v>87</v>
      </c>
      <c r="I2207" s="16" t="s">
        <v>87</v>
      </c>
      <c r="J2207" s="19"/>
      <c r="L2207" s="16" t="str">
        <f>IFERROR(__xludf.DUMMYFUNCTION("""COMPUTED_VALUE"""),"")</f>
        <v/>
      </c>
      <c r="M2207" s="16" t="str">
        <f>IFERROR(__xludf.DUMMYFUNCTION("""COMPUTED_VALUE"""),"")</f>
        <v/>
      </c>
      <c r="U2207" s="16" t="s">
        <v>87</v>
      </c>
      <c r="V2207" s="16" t="str">
        <f>IFERROR(__xludf.DUMMYFUNCTION("""COMPUTED_VALUE"""),"")</f>
        <v/>
      </c>
      <c r="W2207" s="16" t="str">
        <f>IFERROR(__xludf.DUMMYFUNCTION("""COMPUTED_VALUE"""),"")</f>
        <v/>
      </c>
      <c r="X2207" s="16" t="str">
        <f>IFERROR(__xludf.DUMMYFUNCTION("""COMPUTED_VALUE"""),"")</f>
        <v/>
      </c>
      <c r="AC2207" s="16" t="str">
        <f>IFERROR(__xludf.DUMMYFUNCTION("""COMPUTED_VALUE"""),"")</f>
        <v/>
      </c>
    </row>
    <row r="2208">
      <c r="A2208" s="16" t="s">
        <v>87</v>
      </c>
      <c r="E2208" s="16" t="str">
        <f>IFERROR(__xludf.DUMMYFUNCTION("""COMPUTED_VALUE"""),"")</f>
        <v/>
      </c>
      <c r="G2208" s="18"/>
      <c r="H2208" s="16" t="s">
        <v>87</v>
      </c>
      <c r="I2208" s="16" t="s">
        <v>87</v>
      </c>
      <c r="J2208" s="19"/>
      <c r="L2208" s="16" t="str">
        <f>IFERROR(__xludf.DUMMYFUNCTION("""COMPUTED_VALUE"""),"")</f>
        <v/>
      </c>
      <c r="M2208" s="16" t="str">
        <f>IFERROR(__xludf.DUMMYFUNCTION("""COMPUTED_VALUE"""),"")</f>
        <v/>
      </c>
      <c r="U2208" s="16" t="s">
        <v>87</v>
      </c>
      <c r="V2208" s="16" t="str">
        <f>IFERROR(__xludf.DUMMYFUNCTION("""COMPUTED_VALUE"""),"")</f>
        <v/>
      </c>
      <c r="W2208" s="16" t="str">
        <f>IFERROR(__xludf.DUMMYFUNCTION("""COMPUTED_VALUE"""),"")</f>
        <v/>
      </c>
      <c r="X2208" s="16" t="str">
        <f>IFERROR(__xludf.DUMMYFUNCTION("""COMPUTED_VALUE"""),"")</f>
        <v/>
      </c>
      <c r="AC2208" s="16" t="str">
        <f>IFERROR(__xludf.DUMMYFUNCTION("""COMPUTED_VALUE"""),"")</f>
        <v/>
      </c>
    </row>
    <row r="2209">
      <c r="A2209" s="16" t="s">
        <v>87</v>
      </c>
      <c r="E2209" s="16" t="str">
        <f>IFERROR(__xludf.DUMMYFUNCTION("""COMPUTED_VALUE"""),"")</f>
        <v/>
      </c>
      <c r="G2209" s="18"/>
      <c r="H2209" s="16" t="s">
        <v>87</v>
      </c>
      <c r="I2209" s="16" t="s">
        <v>87</v>
      </c>
      <c r="J2209" s="19"/>
      <c r="L2209" s="16" t="str">
        <f>IFERROR(__xludf.DUMMYFUNCTION("""COMPUTED_VALUE"""),"")</f>
        <v/>
      </c>
      <c r="M2209" s="16" t="str">
        <f>IFERROR(__xludf.DUMMYFUNCTION("""COMPUTED_VALUE"""),"")</f>
        <v/>
      </c>
      <c r="U2209" s="16" t="s">
        <v>87</v>
      </c>
      <c r="V2209" s="16" t="str">
        <f>IFERROR(__xludf.DUMMYFUNCTION("""COMPUTED_VALUE"""),"")</f>
        <v/>
      </c>
      <c r="W2209" s="16" t="str">
        <f>IFERROR(__xludf.DUMMYFUNCTION("""COMPUTED_VALUE"""),"")</f>
        <v/>
      </c>
      <c r="X2209" s="16" t="str">
        <f>IFERROR(__xludf.DUMMYFUNCTION("""COMPUTED_VALUE"""),"")</f>
        <v/>
      </c>
      <c r="AC2209" s="16" t="str">
        <f>IFERROR(__xludf.DUMMYFUNCTION("""COMPUTED_VALUE"""),"")</f>
        <v/>
      </c>
    </row>
    <row r="2210">
      <c r="A2210" s="16" t="s">
        <v>87</v>
      </c>
      <c r="E2210" s="16" t="str">
        <f>IFERROR(__xludf.DUMMYFUNCTION("""COMPUTED_VALUE"""),"")</f>
        <v/>
      </c>
      <c r="G2210" s="18"/>
      <c r="H2210" s="16" t="s">
        <v>87</v>
      </c>
      <c r="I2210" s="16" t="s">
        <v>87</v>
      </c>
      <c r="J2210" s="19"/>
      <c r="L2210" s="16" t="str">
        <f>IFERROR(__xludf.DUMMYFUNCTION("""COMPUTED_VALUE"""),"")</f>
        <v/>
      </c>
      <c r="M2210" s="16" t="str">
        <f>IFERROR(__xludf.DUMMYFUNCTION("""COMPUTED_VALUE"""),"")</f>
        <v/>
      </c>
      <c r="U2210" s="16" t="s">
        <v>87</v>
      </c>
      <c r="V2210" s="16" t="str">
        <f>IFERROR(__xludf.DUMMYFUNCTION("""COMPUTED_VALUE"""),"")</f>
        <v/>
      </c>
      <c r="W2210" s="16" t="str">
        <f>IFERROR(__xludf.DUMMYFUNCTION("""COMPUTED_VALUE"""),"")</f>
        <v/>
      </c>
      <c r="X2210" s="16" t="str">
        <f>IFERROR(__xludf.DUMMYFUNCTION("""COMPUTED_VALUE"""),"")</f>
        <v/>
      </c>
      <c r="AC2210" s="16" t="str">
        <f>IFERROR(__xludf.DUMMYFUNCTION("""COMPUTED_VALUE"""),"")</f>
        <v/>
      </c>
    </row>
    <row r="2211">
      <c r="A2211" s="16" t="s">
        <v>87</v>
      </c>
      <c r="E2211" s="16" t="str">
        <f>IFERROR(__xludf.DUMMYFUNCTION("""COMPUTED_VALUE"""),"")</f>
        <v/>
      </c>
      <c r="G2211" s="18"/>
      <c r="H2211" s="16" t="s">
        <v>87</v>
      </c>
      <c r="I2211" s="16" t="s">
        <v>87</v>
      </c>
      <c r="J2211" s="19"/>
      <c r="L2211" s="16" t="str">
        <f>IFERROR(__xludf.DUMMYFUNCTION("""COMPUTED_VALUE"""),"")</f>
        <v/>
      </c>
      <c r="M2211" s="16" t="str">
        <f>IFERROR(__xludf.DUMMYFUNCTION("""COMPUTED_VALUE"""),"")</f>
        <v/>
      </c>
      <c r="U2211" s="16" t="s">
        <v>87</v>
      </c>
      <c r="V2211" s="16" t="str">
        <f>IFERROR(__xludf.DUMMYFUNCTION("""COMPUTED_VALUE"""),"")</f>
        <v/>
      </c>
      <c r="W2211" s="16" t="str">
        <f>IFERROR(__xludf.DUMMYFUNCTION("""COMPUTED_VALUE"""),"")</f>
        <v/>
      </c>
      <c r="X2211" s="16" t="str">
        <f>IFERROR(__xludf.DUMMYFUNCTION("""COMPUTED_VALUE"""),"")</f>
        <v/>
      </c>
      <c r="AC2211" s="16" t="str">
        <f>IFERROR(__xludf.DUMMYFUNCTION("""COMPUTED_VALUE"""),"")</f>
        <v/>
      </c>
    </row>
    <row r="2212">
      <c r="A2212" s="16" t="s">
        <v>87</v>
      </c>
      <c r="E2212" s="16" t="str">
        <f>IFERROR(__xludf.DUMMYFUNCTION("""COMPUTED_VALUE"""),"")</f>
        <v/>
      </c>
      <c r="G2212" s="18"/>
      <c r="H2212" s="16" t="s">
        <v>87</v>
      </c>
      <c r="I2212" s="16" t="s">
        <v>87</v>
      </c>
      <c r="J2212" s="19"/>
      <c r="L2212" s="16" t="str">
        <f>IFERROR(__xludf.DUMMYFUNCTION("""COMPUTED_VALUE"""),"")</f>
        <v/>
      </c>
      <c r="M2212" s="16" t="str">
        <f>IFERROR(__xludf.DUMMYFUNCTION("""COMPUTED_VALUE"""),"")</f>
        <v/>
      </c>
      <c r="U2212" s="16" t="s">
        <v>87</v>
      </c>
      <c r="V2212" s="16" t="str">
        <f>IFERROR(__xludf.DUMMYFUNCTION("""COMPUTED_VALUE"""),"")</f>
        <v/>
      </c>
      <c r="W2212" s="16" t="str">
        <f>IFERROR(__xludf.DUMMYFUNCTION("""COMPUTED_VALUE"""),"")</f>
        <v/>
      </c>
      <c r="X2212" s="16" t="str">
        <f>IFERROR(__xludf.DUMMYFUNCTION("""COMPUTED_VALUE"""),"")</f>
        <v/>
      </c>
      <c r="AC2212" s="16" t="str">
        <f>IFERROR(__xludf.DUMMYFUNCTION("""COMPUTED_VALUE"""),"")</f>
        <v/>
      </c>
    </row>
    <row r="2213">
      <c r="A2213" s="16" t="s">
        <v>87</v>
      </c>
      <c r="E2213" s="16" t="str">
        <f>IFERROR(__xludf.DUMMYFUNCTION("""COMPUTED_VALUE"""),"")</f>
        <v/>
      </c>
      <c r="G2213" s="18"/>
      <c r="H2213" s="16" t="s">
        <v>87</v>
      </c>
      <c r="I2213" s="16" t="s">
        <v>87</v>
      </c>
      <c r="J2213" s="19"/>
      <c r="L2213" s="16" t="str">
        <f>IFERROR(__xludf.DUMMYFUNCTION("""COMPUTED_VALUE"""),"")</f>
        <v/>
      </c>
      <c r="M2213" s="16" t="str">
        <f>IFERROR(__xludf.DUMMYFUNCTION("""COMPUTED_VALUE"""),"")</f>
        <v/>
      </c>
      <c r="U2213" s="16" t="s">
        <v>87</v>
      </c>
      <c r="V2213" s="16" t="str">
        <f>IFERROR(__xludf.DUMMYFUNCTION("""COMPUTED_VALUE"""),"")</f>
        <v/>
      </c>
      <c r="W2213" s="16" t="str">
        <f>IFERROR(__xludf.DUMMYFUNCTION("""COMPUTED_VALUE"""),"")</f>
        <v/>
      </c>
      <c r="X2213" s="16" t="str">
        <f>IFERROR(__xludf.DUMMYFUNCTION("""COMPUTED_VALUE"""),"")</f>
        <v/>
      </c>
      <c r="AC2213" s="16" t="str">
        <f>IFERROR(__xludf.DUMMYFUNCTION("""COMPUTED_VALUE"""),"")</f>
        <v/>
      </c>
    </row>
    <row r="2214">
      <c r="A2214" s="16" t="s">
        <v>87</v>
      </c>
      <c r="E2214" s="16" t="str">
        <f>IFERROR(__xludf.DUMMYFUNCTION("""COMPUTED_VALUE"""),"")</f>
        <v/>
      </c>
      <c r="G2214" s="18"/>
      <c r="H2214" s="16" t="s">
        <v>87</v>
      </c>
      <c r="I2214" s="16" t="s">
        <v>87</v>
      </c>
      <c r="J2214" s="19"/>
      <c r="L2214" s="16" t="str">
        <f>IFERROR(__xludf.DUMMYFUNCTION("""COMPUTED_VALUE"""),"")</f>
        <v/>
      </c>
      <c r="M2214" s="16" t="str">
        <f>IFERROR(__xludf.DUMMYFUNCTION("""COMPUTED_VALUE"""),"")</f>
        <v/>
      </c>
      <c r="U2214" s="16" t="s">
        <v>87</v>
      </c>
      <c r="V2214" s="16" t="str">
        <f>IFERROR(__xludf.DUMMYFUNCTION("""COMPUTED_VALUE"""),"")</f>
        <v/>
      </c>
      <c r="W2214" s="16" t="str">
        <f>IFERROR(__xludf.DUMMYFUNCTION("""COMPUTED_VALUE"""),"")</f>
        <v/>
      </c>
      <c r="X2214" s="16" t="str">
        <f>IFERROR(__xludf.DUMMYFUNCTION("""COMPUTED_VALUE"""),"")</f>
        <v/>
      </c>
      <c r="AC2214" s="16" t="str">
        <f>IFERROR(__xludf.DUMMYFUNCTION("""COMPUTED_VALUE"""),"")</f>
        <v/>
      </c>
    </row>
    <row r="2215">
      <c r="A2215" s="16" t="s">
        <v>87</v>
      </c>
      <c r="E2215" s="16" t="str">
        <f>IFERROR(__xludf.DUMMYFUNCTION("""COMPUTED_VALUE"""),"")</f>
        <v/>
      </c>
      <c r="G2215" s="18"/>
      <c r="H2215" s="16" t="s">
        <v>87</v>
      </c>
      <c r="I2215" s="16" t="s">
        <v>87</v>
      </c>
      <c r="J2215" s="19"/>
      <c r="L2215" s="16" t="str">
        <f>IFERROR(__xludf.DUMMYFUNCTION("""COMPUTED_VALUE"""),"")</f>
        <v/>
      </c>
      <c r="M2215" s="16" t="str">
        <f>IFERROR(__xludf.DUMMYFUNCTION("""COMPUTED_VALUE"""),"")</f>
        <v/>
      </c>
      <c r="U2215" s="16" t="s">
        <v>87</v>
      </c>
      <c r="V2215" s="16" t="str">
        <f>IFERROR(__xludf.DUMMYFUNCTION("""COMPUTED_VALUE"""),"")</f>
        <v/>
      </c>
      <c r="W2215" s="16" t="str">
        <f>IFERROR(__xludf.DUMMYFUNCTION("""COMPUTED_VALUE"""),"")</f>
        <v/>
      </c>
      <c r="X2215" s="16" t="str">
        <f>IFERROR(__xludf.DUMMYFUNCTION("""COMPUTED_VALUE"""),"")</f>
        <v/>
      </c>
      <c r="AC2215" s="16" t="str">
        <f>IFERROR(__xludf.DUMMYFUNCTION("""COMPUTED_VALUE"""),"")</f>
        <v/>
      </c>
    </row>
    <row r="2216">
      <c r="A2216" s="16" t="s">
        <v>87</v>
      </c>
      <c r="E2216" s="16" t="str">
        <f>IFERROR(__xludf.DUMMYFUNCTION("""COMPUTED_VALUE"""),"")</f>
        <v/>
      </c>
      <c r="G2216" s="18"/>
      <c r="H2216" s="16" t="s">
        <v>87</v>
      </c>
      <c r="I2216" s="16" t="s">
        <v>87</v>
      </c>
      <c r="J2216" s="19"/>
      <c r="L2216" s="16" t="str">
        <f>IFERROR(__xludf.DUMMYFUNCTION("""COMPUTED_VALUE"""),"")</f>
        <v/>
      </c>
      <c r="M2216" s="16" t="str">
        <f>IFERROR(__xludf.DUMMYFUNCTION("""COMPUTED_VALUE"""),"")</f>
        <v/>
      </c>
      <c r="U2216" s="16" t="s">
        <v>87</v>
      </c>
      <c r="V2216" s="16" t="str">
        <f>IFERROR(__xludf.DUMMYFUNCTION("""COMPUTED_VALUE"""),"")</f>
        <v/>
      </c>
      <c r="W2216" s="16" t="str">
        <f>IFERROR(__xludf.DUMMYFUNCTION("""COMPUTED_VALUE"""),"")</f>
        <v/>
      </c>
      <c r="X2216" s="16" t="str">
        <f>IFERROR(__xludf.DUMMYFUNCTION("""COMPUTED_VALUE"""),"")</f>
        <v/>
      </c>
      <c r="AC2216" s="16" t="str">
        <f>IFERROR(__xludf.DUMMYFUNCTION("""COMPUTED_VALUE"""),"")</f>
        <v/>
      </c>
    </row>
    <row r="2217">
      <c r="A2217" s="16" t="s">
        <v>87</v>
      </c>
      <c r="E2217" s="16" t="str">
        <f>IFERROR(__xludf.DUMMYFUNCTION("""COMPUTED_VALUE"""),"")</f>
        <v/>
      </c>
      <c r="G2217" s="18"/>
      <c r="H2217" s="16" t="s">
        <v>87</v>
      </c>
      <c r="I2217" s="16" t="s">
        <v>87</v>
      </c>
      <c r="J2217" s="19"/>
      <c r="L2217" s="16" t="str">
        <f>IFERROR(__xludf.DUMMYFUNCTION("""COMPUTED_VALUE"""),"")</f>
        <v/>
      </c>
      <c r="M2217" s="16" t="str">
        <f>IFERROR(__xludf.DUMMYFUNCTION("""COMPUTED_VALUE"""),"")</f>
        <v/>
      </c>
      <c r="U2217" s="16" t="s">
        <v>87</v>
      </c>
      <c r="V2217" s="16" t="str">
        <f>IFERROR(__xludf.DUMMYFUNCTION("""COMPUTED_VALUE"""),"")</f>
        <v/>
      </c>
      <c r="W2217" s="16" t="str">
        <f>IFERROR(__xludf.DUMMYFUNCTION("""COMPUTED_VALUE"""),"")</f>
        <v/>
      </c>
      <c r="X2217" s="16" t="str">
        <f>IFERROR(__xludf.DUMMYFUNCTION("""COMPUTED_VALUE"""),"")</f>
        <v/>
      </c>
      <c r="AC2217" s="16" t="str">
        <f>IFERROR(__xludf.DUMMYFUNCTION("""COMPUTED_VALUE"""),"")</f>
        <v/>
      </c>
    </row>
    <row r="2218">
      <c r="A2218" s="16" t="s">
        <v>87</v>
      </c>
      <c r="E2218" s="16" t="str">
        <f>IFERROR(__xludf.DUMMYFUNCTION("""COMPUTED_VALUE"""),"")</f>
        <v/>
      </c>
      <c r="G2218" s="18"/>
      <c r="H2218" s="16" t="s">
        <v>87</v>
      </c>
      <c r="I2218" s="16" t="s">
        <v>87</v>
      </c>
      <c r="J2218" s="19"/>
      <c r="L2218" s="16" t="str">
        <f>IFERROR(__xludf.DUMMYFUNCTION("""COMPUTED_VALUE"""),"")</f>
        <v/>
      </c>
      <c r="M2218" s="16" t="str">
        <f>IFERROR(__xludf.DUMMYFUNCTION("""COMPUTED_VALUE"""),"")</f>
        <v/>
      </c>
      <c r="U2218" s="16" t="s">
        <v>87</v>
      </c>
      <c r="V2218" s="16" t="str">
        <f>IFERROR(__xludf.DUMMYFUNCTION("""COMPUTED_VALUE"""),"")</f>
        <v/>
      </c>
      <c r="W2218" s="16" t="str">
        <f>IFERROR(__xludf.DUMMYFUNCTION("""COMPUTED_VALUE"""),"")</f>
        <v/>
      </c>
      <c r="X2218" s="16" t="str">
        <f>IFERROR(__xludf.DUMMYFUNCTION("""COMPUTED_VALUE"""),"")</f>
        <v/>
      </c>
      <c r="AC2218" s="16" t="str">
        <f>IFERROR(__xludf.DUMMYFUNCTION("""COMPUTED_VALUE"""),"")</f>
        <v/>
      </c>
    </row>
    <row r="2219">
      <c r="A2219" s="16" t="s">
        <v>87</v>
      </c>
      <c r="E2219" s="16" t="str">
        <f>IFERROR(__xludf.DUMMYFUNCTION("""COMPUTED_VALUE"""),"")</f>
        <v/>
      </c>
      <c r="G2219" s="18"/>
      <c r="H2219" s="16" t="s">
        <v>87</v>
      </c>
      <c r="I2219" s="16" t="s">
        <v>87</v>
      </c>
      <c r="J2219" s="19"/>
      <c r="L2219" s="16" t="str">
        <f>IFERROR(__xludf.DUMMYFUNCTION("""COMPUTED_VALUE"""),"")</f>
        <v/>
      </c>
      <c r="M2219" s="16" t="str">
        <f>IFERROR(__xludf.DUMMYFUNCTION("""COMPUTED_VALUE"""),"")</f>
        <v/>
      </c>
      <c r="U2219" s="16" t="s">
        <v>87</v>
      </c>
      <c r="V2219" s="16" t="str">
        <f>IFERROR(__xludf.DUMMYFUNCTION("""COMPUTED_VALUE"""),"")</f>
        <v/>
      </c>
      <c r="W2219" s="16" t="str">
        <f>IFERROR(__xludf.DUMMYFUNCTION("""COMPUTED_VALUE"""),"")</f>
        <v/>
      </c>
      <c r="X2219" s="16" t="str">
        <f>IFERROR(__xludf.DUMMYFUNCTION("""COMPUTED_VALUE"""),"")</f>
        <v/>
      </c>
      <c r="AC2219" s="16" t="str">
        <f>IFERROR(__xludf.DUMMYFUNCTION("""COMPUTED_VALUE"""),"")</f>
        <v/>
      </c>
    </row>
    <row r="2220">
      <c r="A2220" s="16" t="s">
        <v>87</v>
      </c>
      <c r="E2220" s="16" t="str">
        <f>IFERROR(__xludf.DUMMYFUNCTION("""COMPUTED_VALUE"""),"")</f>
        <v/>
      </c>
      <c r="G2220" s="18"/>
      <c r="H2220" s="16" t="s">
        <v>87</v>
      </c>
      <c r="I2220" s="16" t="s">
        <v>87</v>
      </c>
      <c r="J2220" s="19"/>
      <c r="L2220" s="16" t="str">
        <f>IFERROR(__xludf.DUMMYFUNCTION("""COMPUTED_VALUE"""),"")</f>
        <v/>
      </c>
      <c r="M2220" s="16" t="str">
        <f>IFERROR(__xludf.DUMMYFUNCTION("""COMPUTED_VALUE"""),"")</f>
        <v/>
      </c>
      <c r="U2220" s="16" t="s">
        <v>87</v>
      </c>
      <c r="V2220" s="16" t="str">
        <f>IFERROR(__xludf.DUMMYFUNCTION("""COMPUTED_VALUE"""),"")</f>
        <v/>
      </c>
      <c r="W2220" s="16" t="str">
        <f>IFERROR(__xludf.DUMMYFUNCTION("""COMPUTED_VALUE"""),"")</f>
        <v/>
      </c>
      <c r="X2220" s="16" t="str">
        <f>IFERROR(__xludf.DUMMYFUNCTION("""COMPUTED_VALUE"""),"")</f>
        <v/>
      </c>
      <c r="AC2220" s="16" t="str">
        <f>IFERROR(__xludf.DUMMYFUNCTION("""COMPUTED_VALUE"""),"")</f>
        <v/>
      </c>
    </row>
    <row r="2221">
      <c r="A2221" s="16" t="s">
        <v>87</v>
      </c>
      <c r="E2221" s="16" t="str">
        <f>IFERROR(__xludf.DUMMYFUNCTION("""COMPUTED_VALUE"""),"")</f>
        <v/>
      </c>
      <c r="G2221" s="18"/>
      <c r="H2221" s="16" t="s">
        <v>87</v>
      </c>
      <c r="I2221" s="16" t="s">
        <v>87</v>
      </c>
      <c r="J2221" s="19"/>
      <c r="L2221" s="16" t="str">
        <f>IFERROR(__xludf.DUMMYFUNCTION("""COMPUTED_VALUE"""),"")</f>
        <v/>
      </c>
      <c r="M2221" s="16" t="str">
        <f>IFERROR(__xludf.DUMMYFUNCTION("""COMPUTED_VALUE"""),"")</f>
        <v/>
      </c>
      <c r="U2221" s="16" t="s">
        <v>87</v>
      </c>
      <c r="V2221" s="16" t="str">
        <f>IFERROR(__xludf.DUMMYFUNCTION("""COMPUTED_VALUE"""),"")</f>
        <v/>
      </c>
      <c r="W2221" s="16" t="str">
        <f>IFERROR(__xludf.DUMMYFUNCTION("""COMPUTED_VALUE"""),"")</f>
        <v/>
      </c>
      <c r="X2221" s="16" t="str">
        <f>IFERROR(__xludf.DUMMYFUNCTION("""COMPUTED_VALUE"""),"")</f>
        <v/>
      </c>
      <c r="AC2221" s="16" t="str">
        <f>IFERROR(__xludf.DUMMYFUNCTION("""COMPUTED_VALUE"""),"")</f>
        <v/>
      </c>
    </row>
    <row r="2222">
      <c r="A2222" s="16" t="s">
        <v>87</v>
      </c>
      <c r="E2222" s="16" t="str">
        <f>IFERROR(__xludf.DUMMYFUNCTION("""COMPUTED_VALUE"""),"")</f>
        <v/>
      </c>
      <c r="G2222" s="18"/>
      <c r="H2222" s="16" t="s">
        <v>87</v>
      </c>
      <c r="I2222" s="16" t="s">
        <v>87</v>
      </c>
      <c r="J2222" s="19"/>
      <c r="L2222" s="16" t="str">
        <f>IFERROR(__xludf.DUMMYFUNCTION("""COMPUTED_VALUE"""),"")</f>
        <v/>
      </c>
      <c r="M2222" s="16" t="str">
        <f>IFERROR(__xludf.DUMMYFUNCTION("""COMPUTED_VALUE"""),"")</f>
        <v/>
      </c>
      <c r="U2222" s="16" t="s">
        <v>87</v>
      </c>
      <c r="V2222" s="16" t="str">
        <f>IFERROR(__xludf.DUMMYFUNCTION("""COMPUTED_VALUE"""),"")</f>
        <v/>
      </c>
      <c r="W2222" s="16" t="str">
        <f>IFERROR(__xludf.DUMMYFUNCTION("""COMPUTED_VALUE"""),"")</f>
        <v/>
      </c>
      <c r="X2222" s="16" t="str">
        <f>IFERROR(__xludf.DUMMYFUNCTION("""COMPUTED_VALUE"""),"")</f>
        <v/>
      </c>
      <c r="AC2222" s="16" t="str">
        <f>IFERROR(__xludf.DUMMYFUNCTION("""COMPUTED_VALUE"""),"")</f>
        <v/>
      </c>
    </row>
    <row r="2223">
      <c r="A2223" s="16" t="s">
        <v>87</v>
      </c>
      <c r="E2223" s="16" t="str">
        <f>IFERROR(__xludf.DUMMYFUNCTION("""COMPUTED_VALUE"""),"")</f>
        <v/>
      </c>
      <c r="G2223" s="18"/>
      <c r="H2223" s="16" t="s">
        <v>87</v>
      </c>
      <c r="I2223" s="16" t="s">
        <v>87</v>
      </c>
      <c r="J2223" s="19"/>
      <c r="L2223" s="16" t="str">
        <f>IFERROR(__xludf.DUMMYFUNCTION("""COMPUTED_VALUE"""),"")</f>
        <v/>
      </c>
      <c r="M2223" s="16" t="str">
        <f>IFERROR(__xludf.DUMMYFUNCTION("""COMPUTED_VALUE"""),"")</f>
        <v/>
      </c>
      <c r="U2223" s="16" t="s">
        <v>87</v>
      </c>
      <c r="V2223" s="16" t="str">
        <f>IFERROR(__xludf.DUMMYFUNCTION("""COMPUTED_VALUE"""),"")</f>
        <v/>
      </c>
      <c r="W2223" s="16" t="str">
        <f>IFERROR(__xludf.DUMMYFUNCTION("""COMPUTED_VALUE"""),"")</f>
        <v/>
      </c>
      <c r="X2223" s="16" t="str">
        <f>IFERROR(__xludf.DUMMYFUNCTION("""COMPUTED_VALUE"""),"")</f>
        <v/>
      </c>
      <c r="AC2223" s="16" t="str">
        <f>IFERROR(__xludf.DUMMYFUNCTION("""COMPUTED_VALUE"""),"")</f>
        <v/>
      </c>
    </row>
    <row r="2224">
      <c r="A2224" s="16" t="s">
        <v>87</v>
      </c>
      <c r="E2224" s="16" t="str">
        <f>IFERROR(__xludf.DUMMYFUNCTION("""COMPUTED_VALUE"""),"")</f>
        <v/>
      </c>
      <c r="G2224" s="18"/>
      <c r="H2224" s="16" t="s">
        <v>87</v>
      </c>
      <c r="I2224" s="16" t="s">
        <v>87</v>
      </c>
      <c r="J2224" s="19"/>
      <c r="L2224" s="16" t="str">
        <f>IFERROR(__xludf.DUMMYFUNCTION("""COMPUTED_VALUE"""),"")</f>
        <v/>
      </c>
      <c r="M2224" s="16" t="str">
        <f>IFERROR(__xludf.DUMMYFUNCTION("""COMPUTED_VALUE"""),"")</f>
        <v/>
      </c>
      <c r="U2224" s="16" t="s">
        <v>87</v>
      </c>
      <c r="V2224" s="16" t="str">
        <f>IFERROR(__xludf.DUMMYFUNCTION("""COMPUTED_VALUE"""),"")</f>
        <v/>
      </c>
      <c r="W2224" s="16" t="str">
        <f>IFERROR(__xludf.DUMMYFUNCTION("""COMPUTED_VALUE"""),"")</f>
        <v/>
      </c>
      <c r="X2224" s="16" t="str">
        <f>IFERROR(__xludf.DUMMYFUNCTION("""COMPUTED_VALUE"""),"")</f>
        <v/>
      </c>
      <c r="AC2224" s="16" t="str">
        <f>IFERROR(__xludf.DUMMYFUNCTION("""COMPUTED_VALUE"""),"")</f>
        <v/>
      </c>
    </row>
    <row r="2225">
      <c r="A2225" s="16" t="s">
        <v>87</v>
      </c>
      <c r="E2225" s="16" t="str">
        <f>IFERROR(__xludf.DUMMYFUNCTION("""COMPUTED_VALUE"""),"")</f>
        <v/>
      </c>
      <c r="G2225" s="18"/>
      <c r="H2225" s="16" t="s">
        <v>87</v>
      </c>
      <c r="I2225" s="16" t="s">
        <v>87</v>
      </c>
      <c r="J2225" s="19"/>
      <c r="L2225" s="16" t="str">
        <f>IFERROR(__xludf.DUMMYFUNCTION("""COMPUTED_VALUE"""),"")</f>
        <v/>
      </c>
      <c r="M2225" s="16" t="str">
        <f>IFERROR(__xludf.DUMMYFUNCTION("""COMPUTED_VALUE"""),"")</f>
        <v/>
      </c>
      <c r="U2225" s="16" t="s">
        <v>87</v>
      </c>
      <c r="V2225" s="16" t="str">
        <f>IFERROR(__xludf.DUMMYFUNCTION("""COMPUTED_VALUE"""),"")</f>
        <v/>
      </c>
      <c r="W2225" s="16" t="str">
        <f>IFERROR(__xludf.DUMMYFUNCTION("""COMPUTED_VALUE"""),"")</f>
        <v/>
      </c>
      <c r="X2225" s="16" t="str">
        <f>IFERROR(__xludf.DUMMYFUNCTION("""COMPUTED_VALUE"""),"")</f>
        <v/>
      </c>
      <c r="AC2225" s="16" t="str">
        <f>IFERROR(__xludf.DUMMYFUNCTION("""COMPUTED_VALUE"""),"")</f>
        <v/>
      </c>
    </row>
    <row r="2226">
      <c r="A2226" s="16" t="s">
        <v>87</v>
      </c>
      <c r="E2226" s="16" t="str">
        <f>IFERROR(__xludf.DUMMYFUNCTION("""COMPUTED_VALUE"""),"")</f>
        <v/>
      </c>
      <c r="G2226" s="18"/>
      <c r="H2226" s="16" t="s">
        <v>87</v>
      </c>
      <c r="I2226" s="16" t="s">
        <v>87</v>
      </c>
      <c r="J2226" s="19"/>
      <c r="L2226" s="16" t="str">
        <f>IFERROR(__xludf.DUMMYFUNCTION("""COMPUTED_VALUE"""),"")</f>
        <v/>
      </c>
      <c r="M2226" s="16" t="str">
        <f>IFERROR(__xludf.DUMMYFUNCTION("""COMPUTED_VALUE"""),"")</f>
        <v/>
      </c>
      <c r="U2226" s="16" t="s">
        <v>87</v>
      </c>
      <c r="V2226" s="16" t="str">
        <f>IFERROR(__xludf.DUMMYFUNCTION("""COMPUTED_VALUE"""),"")</f>
        <v/>
      </c>
      <c r="W2226" s="16" t="str">
        <f>IFERROR(__xludf.DUMMYFUNCTION("""COMPUTED_VALUE"""),"")</f>
        <v/>
      </c>
      <c r="X2226" s="16" t="str">
        <f>IFERROR(__xludf.DUMMYFUNCTION("""COMPUTED_VALUE"""),"")</f>
        <v/>
      </c>
      <c r="AC2226" s="16" t="str">
        <f>IFERROR(__xludf.DUMMYFUNCTION("""COMPUTED_VALUE"""),"")</f>
        <v/>
      </c>
    </row>
    <row r="2227">
      <c r="A2227" s="16" t="s">
        <v>87</v>
      </c>
      <c r="E2227" s="16" t="str">
        <f>IFERROR(__xludf.DUMMYFUNCTION("""COMPUTED_VALUE"""),"")</f>
        <v/>
      </c>
      <c r="G2227" s="18"/>
      <c r="H2227" s="16" t="s">
        <v>87</v>
      </c>
      <c r="I2227" s="16" t="s">
        <v>87</v>
      </c>
      <c r="J2227" s="19"/>
      <c r="L2227" s="16" t="str">
        <f>IFERROR(__xludf.DUMMYFUNCTION("""COMPUTED_VALUE"""),"")</f>
        <v/>
      </c>
      <c r="M2227" s="16" t="str">
        <f>IFERROR(__xludf.DUMMYFUNCTION("""COMPUTED_VALUE"""),"")</f>
        <v/>
      </c>
      <c r="U2227" s="16" t="s">
        <v>87</v>
      </c>
      <c r="V2227" s="16" t="str">
        <f>IFERROR(__xludf.DUMMYFUNCTION("""COMPUTED_VALUE"""),"")</f>
        <v/>
      </c>
      <c r="W2227" s="16" t="str">
        <f>IFERROR(__xludf.DUMMYFUNCTION("""COMPUTED_VALUE"""),"")</f>
        <v/>
      </c>
      <c r="X2227" s="16" t="str">
        <f>IFERROR(__xludf.DUMMYFUNCTION("""COMPUTED_VALUE"""),"")</f>
        <v/>
      </c>
      <c r="AC2227" s="16" t="str">
        <f>IFERROR(__xludf.DUMMYFUNCTION("""COMPUTED_VALUE"""),"")</f>
        <v/>
      </c>
    </row>
    <row r="2228">
      <c r="A2228" s="16" t="s">
        <v>87</v>
      </c>
      <c r="E2228" s="16" t="str">
        <f>IFERROR(__xludf.DUMMYFUNCTION("""COMPUTED_VALUE"""),"")</f>
        <v/>
      </c>
      <c r="G2228" s="18"/>
      <c r="H2228" s="16" t="s">
        <v>87</v>
      </c>
      <c r="I2228" s="16" t="s">
        <v>87</v>
      </c>
      <c r="J2228" s="19"/>
      <c r="L2228" s="16" t="str">
        <f>IFERROR(__xludf.DUMMYFUNCTION("""COMPUTED_VALUE"""),"")</f>
        <v/>
      </c>
      <c r="M2228" s="16" t="str">
        <f>IFERROR(__xludf.DUMMYFUNCTION("""COMPUTED_VALUE"""),"")</f>
        <v/>
      </c>
      <c r="U2228" s="16" t="s">
        <v>87</v>
      </c>
      <c r="V2228" s="16" t="str">
        <f>IFERROR(__xludf.DUMMYFUNCTION("""COMPUTED_VALUE"""),"")</f>
        <v/>
      </c>
      <c r="W2228" s="16" t="str">
        <f>IFERROR(__xludf.DUMMYFUNCTION("""COMPUTED_VALUE"""),"")</f>
        <v/>
      </c>
      <c r="X2228" s="16" t="str">
        <f>IFERROR(__xludf.DUMMYFUNCTION("""COMPUTED_VALUE"""),"")</f>
        <v/>
      </c>
      <c r="AC2228" s="16" t="str">
        <f>IFERROR(__xludf.DUMMYFUNCTION("""COMPUTED_VALUE"""),"")</f>
        <v/>
      </c>
    </row>
    <row r="2229">
      <c r="A2229" s="16" t="s">
        <v>87</v>
      </c>
      <c r="E2229" s="16" t="str">
        <f>IFERROR(__xludf.DUMMYFUNCTION("""COMPUTED_VALUE"""),"")</f>
        <v/>
      </c>
      <c r="G2229" s="18"/>
      <c r="H2229" s="16" t="s">
        <v>87</v>
      </c>
      <c r="I2229" s="16" t="s">
        <v>87</v>
      </c>
      <c r="J2229" s="19"/>
      <c r="L2229" s="16" t="str">
        <f>IFERROR(__xludf.DUMMYFUNCTION("""COMPUTED_VALUE"""),"")</f>
        <v/>
      </c>
      <c r="M2229" s="16" t="str">
        <f>IFERROR(__xludf.DUMMYFUNCTION("""COMPUTED_VALUE"""),"")</f>
        <v/>
      </c>
      <c r="U2229" s="16" t="s">
        <v>87</v>
      </c>
      <c r="V2229" s="16" t="str">
        <f>IFERROR(__xludf.DUMMYFUNCTION("""COMPUTED_VALUE"""),"")</f>
        <v/>
      </c>
      <c r="W2229" s="16" t="str">
        <f>IFERROR(__xludf.DUMMYFUNCTION("""COMPUTED_VALUE"""),"")</f>
        <v/>
      </c>
      <c r="X2229" s="16" t="str">
        <f>IFERROR(__xludf.DUMMYFUNCTION("""COMPUTED_VALUE"""),"")</f>
        <v/>
      </c>
      <c r="AC2229" s="16" t="str">
        <f>IFERROR(__xludf.DUMMYFUNCTION("""COMPUTED_VALUE"""),"")</f>
        <v/>
      </c>
    </row>
    <row r="2230">
      <c r="A2230" s="16" t="s">
        <v>87</v>
      </c>
      <c r="E2230" s="16" t="str">
        <f>IFERROR(__xludf.DUMMYFUNCTION("""COMPUTED_VALUE"""),"")</f>
        <v/>
      </c>
      <c r="G2230" s="18"/>
      <c r="H2230" s="16" t="s">
        <v>87</v>
      </c>
      <c r="I2230" s="16" t="s">
        <v>87</v>
      </c>
      <c r="J2230" s="19"/>
      <c r="L2230" s="16" t="str">
        <f>IFERROR(__xludf.DUMMYFUNCTION("""COMPUTED_VALUE"""),"")</f>
        <v/>
      </c>
      <c r="M2230" s="16" t="str">
        <f>IFERROR(__xludf.DUMMYFUNCTION("""COMPUTED_VALUE"""),"")</f>
        <v/>
      </c>
      <c r="U2230" s="16" t="s">
        <v>87</v>
      </c>
      <c r="V2230" s="16" t="str">
        <f>IFERROR(__xludf.DUMMYFUNCTION("""COMPUTED_VALUE"""),"")</f>
        <v/>
      </c>
      <c r="W2230" s="16" t="str">
        <f>IFERROR(__xludf.DUMMYFUNCTION("""COMPUTED_VALUE"""),"")</f>
        <v/>
      </c>
      <c r="X2230" s="16" t="str">
        <f>IFERROR(__xludf.DUMMYFUNCTION("""COMPUTED_VALUE"""),"")</f>
        <v/>
      </c>
      <c r="AC2230" s="16" t="str">
        <f>IFERROR(__xludf.DUMMYFUNCTION("""COMPUTED_VALUE"""),"")</f>
        <v/>
      </c>
    </row>
    <row r="2231">
      <c r="A2231" s="16" t="s">
        <v>87</v>
      </c>
      <c r="E2231" s="16" t="str">
        <f>IFERROR(__xludf.DUMMYFUNCTION("""COMPUTED_VALUE"""),"")</f>
        <v/>
      </c>
      <c r="G2231" s="18"/>
      <c r="H2231" s="16" t="s">
        <v>87</v>
      </c>
      <c r="I2231" s="16" t="s">
        <v>87</v>
      </c>
      <c r="J2231" s="19"/>
      <c r="L2231" s="16" t="str">
        <f>IFERROR(__xludf.DUMMYFUNCTION("""COMPUTED_VALUE"""),"")</f>
        <v/>
      </c>
      <c r="M2231" s="16" t="str">
        <f>IFERROR(__xludf.DUMMYFUNCTION("""COMPUTED_VALUE"""),"")</f>
        <v/>
      </c>
      <c r="U2231" s="16" t="s">
        <v>87</v>
      </c>
      <c r="V2231" s="16" t="str">
        <f>IFERROR(__xludf.DUMMYFUNCTION("""COMPUTED_VALUE"""),"")</f>
        <v/>
      </c>
      <c r="W2231" s="16" t="str">
        <f>IFERROR(__xludf.DUMMYFUNCTION("""COMPUTED_VALUE"""),"")</f>
        <v/>
      </c>
      <c r="X2231" s="16" t="str">
        <f>IFERROR(__xludf.DUMMYFUNCTION("""COMPUTED_VALUE"""),"")</f>
        <v/>
      </c>
      <c r="AC2231" s="16" t="str">
        <f>IFERROR(__xludf.DUMMYFUNCTION("""COMPUTED_VALUE"""),"")</f>
        <v/>
      </c>
    </row>
    <row r="2232">
      <c r="A2232" s="16" t="s">
        <v>87</v>
      </c>
      <c r="E2232" s="16" t="str">
        <f>IFERROR(__xludf.DUMMYFUNCTION("""COMPUTED_VALUE"""),"")</f>
        <v/>
      </c>
      <c r="G2232" s="18"/>
      <c r="H2232" s="16" t="s">
        <v>87</v>
      </c>
      <c r="I2232" s="16" t="s">
        <v>87</v>
      </c>
      <c r="J2232" s="19"/>
      <c r="L2232" s="16" t="str">
        <f>IFERROR(__xludf.DUMMYFUNCTION("""COMPUTED_VALUE"""),"")</f>
        <v/>
      </c>
      <c r="M2232" s="16" t="str">
        <f>IFERROR(__xludf.DUMMYFUNCTION("""COMPUTED_VALUE"""),"")</f>
        <v/>
      </c>
      <c r="U2232" s="16" t="s">
        <v>87</v>
      </c>
      <c r="V2232" s="16" t="str">
        <f>IFERROR(__xludf.DUMMYFUNCTION("""COMPUTED_VALUE"""),"")</f>
        <v/>
      </c>
      <c r="W2232" s="16" t="str">
        <f>IFERROR(__xludf.DUMMYFUNCTION("""COMPUTED_VALUE"""),"")</f>
        <v/>
      </c>
      <c r="X2232" s="16" t="str">
        <f>IFERROR(__xludf.DUMMYFUNCTION("""COMPUTED_VALUE"""),"")</f>
        <v/>
      </c>
      <c r="AC2232" s="16" t="str">
        <f>IFERROR(__xludf.DUMMYFUNCTION("""COMPUTED_VALUE"""),"")</f>
        <v/>
      </c>
    </row>
    <row r="2233">
      <c r="A2233" s="16" t="s">
        <v>87</v>
      </c>
      <c r="E2233" s="16" t="str">
        <f>IFERROR(__xludf.DUMMYFUNCTION("""COMPUTED_VALUE"""),"")</f>
        <v/>
      </c>
      <c r="G2233" s="18"/>
      <c r="H2233" s="16" t="s">
        <v>87</v>
      </c>
      <c r="I2233" s="16" t="s">
        <v>87</v>
      </c>
      <c r="J2233" s="19"/>
      <c r="L2233" s="16" t="str">
        <f>IFERROR(__xludf.DUMMYFUNCTION("""COMPUTED_VALUE"""),"")</f>
        <v/>
      </c>
      <c r="M2233" s="16" t="str">
        <f>IFERROR(__xludf.DUMMYFUNCTION("""COMPUTED_VALUE"""),"")</f>
        <v/>
      </c>
      <c r="U2233" s="16" t="s">
        <v>87</v>
      </c>
      <c r="V2233" s="16" t="str">
        <f>IFERROR(__xludf.DUMMYFUNCTION("""COMPUTED_VALUE"""),"")</f>
        <v/>
      </c>
      <c r="W2233" s="16" t="str">
        <f>IFERROR(__xludf.DUMMYFUNCTION("""COMPUTED_VALUE"""),"")</f>
        <v/>
      </c>
      <c r="X2233" s="16" t="str">
        <f>IFERROR(__xludf.DUMMYFUNCTION("""COMPUTED_VALUE"""),"")</f>
        <v/>
      </c>
      <c r="AC2233" s="16" t="str">
        <f>IFERROR(__xludf.DUMMYFUNCTION("""COMPUTED_VALUE"""),"")</f>
        <v/>
      </c>
    </row>
    <row r="2234">
      <c r="A2234" s="16" t="s">
        <v>87</v>
      </c>
      <c r="E2234" s="16" t="str">
        <f>IFERROR(__xludf.DUMMYFUNCTION("""COMPUTED_VALUE"""),"")</f>
        <v/>
      </c>
      <c r="G2234" s="18"/>
      <c r="H2234" s="16" t="s">
        <v>87</v>
      </c>
      <c r="I2234" s="16" t="s">
        <v>87</v>
      </c>
      <c r="J2234" s="19"/>
      <c r="L2234" s="16" t="str">
        <f>IFERROR(__xludf.DUMMYFUNCTION("""COMPUTED_VALUE"""),"")</f>
        <v/>
      </c>
      <c r="M2234" s="16" t="str">
        <f>IFERROR(__xludf.DUMMYFUNCTION("""COMPUTED_VALUE"""),"")</f>
        <v/>
      </c>
      <c r="U2234" s="16" t="s">
        <v>87</v>
      </c>
      <c r="V2234" s="16" t="str">
        <f>IFERROR(__xludf.DUMMYFUNCTION("""COMPUTED_VALUE"""),"")</f>
        <v/>
      </c>
      <c r="W2234" s="16" t="str">
        <f>IFERROR(__xludf.DUMMYFUNCTION("""COMPUTED_VALUE"""),"")</f>
        <v/>
      </c>
      <c r="X2234" s="16" t="str">
        <f>IFERROR(__xludf.DUMMYFUNCTION("""COMPUTED_VALUE"""),"")</f>
        <v/>
      </c>
      <c r="AC2234" s="16" t="str">
        <f>IFERROR(__xludf.DUMMYFUNCTION("""COMPUTED_VALUE"""),"")</f>
        <v/>
      </c>
    </row>
    <row r="2235">
      <c r="A2235" s="16" t="s">
        <v>87</v>
      </c>
      <c r="E2235" s="16" t="str">
        <f>IFERROR(__xludf.DUMMYFUNCTION("""COMPUTED_VALUE"""),"")</f>
        <v/>
      </c>
      <c r="G2235" s="18"/>
      <c r="H2235" s="16" t="s">
        <v>87</v>
      </c>
      <c r="I2235" s="16" t="s">
        <v>87</v>
      </c>
      <c r="J2235" s="19"/>
      <c r="L2235" s="16" t="str">
        <f>IFERROR(__xludf.DUMMYFUNCTION("""COMPUTED_VALUE"""),"")</f>
        <v/>
      </c>
      <c r="M2235" s="16" t="str">
        <f>IFERROR(__xludf.DUMMYFUNCTION("""COMPUTED_VALUE"""),"")</f>
        <v/>
      </c>
      <c r="U2235" s="16" t="s">
        <v>87</v>
      </c>
      <c r="V2235" s="16" t="str">
        <f>IFERROR(__xludf.DUMMYFUNCTION("""COMPUTED_VALUE"""),"")</f>
        <v/>
      </c>
      <c r="W2235" s="16" t="str">
        <f>IFERROR(__xludf.DUMMYFUNCTION("""COMPUTED_VALUE"""),"")</f>
        <v/>
      </c>
      <c r="X2235" s="16" t="str">
        <f>IFERROR(__xludf.DUMMYFUNCTION("""COMPUTED_VALUE"""),"")</f>
        <v/>
      </c>
      <c r="AC2235" s="16" t="str">
        <f>IFERROR(__xludf.DUMMYFUNCTION("""COMPUTED_VALUE"""),"")</f>
        <v/>
      </c>
    </row>
    <row r="2236">
      <c r="A2236" s="16" t="s">
        <v>87</v>
      </c>
      <c r="E2236" s="16" t="str">
        <f>IFERROR(__xludf.DUMMYFUNCTION("""COMPUTED_VALUE"""),"")</f>
        <v/>
      </c>
      <c r="G2236" s="18"/>
      <c r="H2236" s="16" t="s">
        <v>87</v>
      </c>
      <c r="I2236" s="16" t="s">
        <v>87</v>
      </c>
      <c r="J2236" s="19"/>
      <c r="L2236" s="16" t="str">
        <f>IFERROR(__xludf.DUMMYFUNCTION("""COMPUTED_VALUE"""),"")</f>
        <v/>
      </c>
      <c r="M2236" s="16" t="str">
        <f>IFERROR(__xludf.DUMMYFUNCTION("""COMPUTED_VALUE"""),"")</f>
        <v/>
      </c>
      <c r="U2236" s="16" t="s">
        <v>87</v>
      </c>
      <c r="V2236" s="16" t="str">
        <f>IFERROR(__xludf.DUMMYFUNCTION("""COMPUTED_VALUE"""),"")</f>
        <v/>
      </c>
      <c r="W2236" s="16" t="str">
        <f>IFERROR(__xludf.DUMMYFUNCTION("""COMPUTED_VALUE"""),"")</f>
        <v/>
      </c>
      <c r="X2236" s="16" t="str">
        <f>IFERROR(__xludf.DUMMYFUNCTION("""COMPUTED_VALUE"""),"")</f>
        <v/>
      </c>
      <c r="AC2236" s="16" t="str">
        <f>IFERROR(__xludf.DUMMYFUNCTION("""COMPUTED_VALUE"""),"")</f>
        <v/>
      </c>
    </row>
    <row r="2237">
      <c r="A2237" s="16" t="s">
        <v>87</v>
      </c>
      <c r="E2237" s="16" t="str">
        <f>IFERROR(__xludf.DUMMYFUNCTION("""COMPUTED_VALUE"""),"")</f>
        <v/>
      </c>
      <c r="G2237" s="18"/>
      <c r="H2237" s="16" t="s">
        <v>87</v>
      </c>
      <c r="I2237" s="16" t="s">
        <v>87</v>
      </c>
      <c r="J2237" s="19"/>
      <c r="L2237" s="16" t="str">
        <f>IFERROR(__xludf.DUMMYFUNCTION("""COMPUTED_VALUE"""),"")</f>
        <v/>
      </c>
      <c r="M2237" s="16" t="str">
        <f>IFERROR(__xludf.DUMMYFUNCTION("""COMPUTED_VALUE"""),"")</f>
        <v/>
      </c>
      <c r="U2237" s="16" t="s">
        <v>87</v>
      </c>
      <c r="V2237" s="16" t="str">
        <f>IFERROR(__xludf.DUMMYFUNCTION("""COMPUTED_VALUE"""),"")</f>
        <v/>
      </c>
      <c r="W2237" s="16" t="str">
        <f>IFERROR(__xludf.DUMMYFUNCTION("""COMPUTED_VALUE"""),"")</f>
        <v/>
      </c>
      <c r="X2237" s="16" t="str">
        <f>IFERROR(__xludf.DUMMYFUNCTION("""COMPUTED_VALUE"""),"")</f>
        <v/>
      </c>
      <c r="AC2237" s="16" t="str">
        <f>IFERROR(__xludf.DUMMYFUNCTION("""COMPUTED_VALUE"""),"")</f>
        <v/>
      </c>
    </row>
    <row r="2238">
      <c r="A2238" s="16" t="s">
        <v>87</v>
      </c>
      <c r="E2238" s="16" t="str">
        <f>IFERROR(__xludf.DUMMYFUNCTION("""COMPUTED_VALUE"""),"")</f>
        <v/>
      </c>
      <c r="G2238" s="18"/>
      <c r="H2238" s="16" t="s">
        <v>87</v>
      </c>
      <c r="I2238" s="16" t="s">
        <v>87</v>
      </c>
      <c r="J2238" s="19"/>
      <c r="L2238" s="16" t="str">
        <f>IFERROR(__xludf.DUMMYFUNCTION("""COMPUTED_VALUE"""),"")</f>
        <v/>
      </c>
      <c r="M2238" s="16" t="str">
        <f>IFERROR(__xludf.DUMMYFUNCTION("""COMPUTED_VALUE"""),"")</f>
        <v/>
      </c>
      <c r="U2238" s="16" t="s">
        <v>87</v>
      </c>
      <c r="V2238" s="16" t="str">
        <f>IFERROR(__xludf.DUMMYFUNCTION("""COMPUTED_VALUE"""),"")</f>
        <v/>
      </c>
      <c r="W2238" s="16" t="str">
        <f>IFERROR(__xludf.DUMMYFUNCTION("""COMPUTED_VALUE"""),"")</f>
        <v/>
      </c>
      <c r="X2238" s="16" t="str">
        <f>IFERROR(__xludf.DUMMYFUNCTION("""COMPUTED_VALUE"""),"")</f>
        <v/>
      </c>
      <c r="AC2238" s="16" t="str">
        <f>IFERROR(__xludf.DUMMYFUNCTION("""COMPUTED_VALUE"""),"")</f>
        <v/>
      </c>
    </row>
    <row r="2239">
      <c r="A2239" s="16" t="s">
        <v>87</v>
      </c>
      <c r="E2239" s="16" t="str">
        <f>IFERROR(__xludf.DUMMYFUNCTION("""COMPUTED_VALUE"""),"")</f>
        <v/>
      </c>
      <c r="G2239" s="18"/>
      <c r="H2239" s="16" t="s">
        <v>87</v>
      </c>
      <c r="I2239" s="16" t="s">
        <v>87</v>
      </c>
      <c r="J2239" s="19"/>
      <c r="L2239" s="16" t="str">
        <f>IFERROR(__xludf.DUMMYFUNCTION("""COMPUTED_VALUE"""),"")</f>
        <v/>
      </c>
      <c r="M2239" s="16" t="str">
        <f>IFERROR(__xludf.DUMMYFUNCTION("""COMPUTED_VALUE"""),"")</f>
        <v/>
      </c>
      <c r="U2239" s="16" t="s">
        <v>87</v>
      </c>
      <c r="V2239" s="16" t="str">
        <f>IFERROR(__xludf.DUMMYFUNCTION("""COMPUTED_VALUE"""),"")</f>
        <v/>
      </c>
      <c r="W2239" s="16" t="str">
        <f>IFERROR(__xludf.DUMMYFUNCTION("""COMPUTED_VALUE"""),"")</f>
        <v/>
      </c>
      <c r="X2239" s="16" t="str">
        <f>IFERROR(__xludf.DUMMYFUNCTION("""COMPUTED_VALUE"""),"")</f>
        <v/>
      </c>
      <c r="AC2239" s="16" t="str">
        <f>IFERROR(__xludf.DUMMYFUNCTION("""COMPUTED_VALUE"""),"")</f>
        <v/>
      </c>
    </row>
    <row r="2240">
      <c r="A2240" s="16" t="s">
        <v>87</v>
      </c>
      <c r="E2240" s="16" t="str">
        <f>IFERROR(__xludf.DUMMYFUNCTION("""COMPUTED_VALUE"""),"")</f>
        <v/>
      </c>
      <c r="G2240" s="18"/>
      <c r="H2240" s="16" t="s">
        <v>87</v>
      </c>
      <c r="I2240" s="16" t="s">
        <v>87</v>
      </c>
      <c r="J2240" s="19"/>
      <c r="L2240" s="16" t="str">
        <f>IFERROR(__xludf.DUMMYFUNCTION("""COMPUTED_VALUE"""),"")</f>
        <v/>
      </c>
      <c r="M2240" s="16" t="str">
        <f>IFERROR(__xludf.DUMMYFUNCTION("""COMPUTED_VALUE"""),"")</f>
        <v/>
      </c>
      <c r="U2240" s="16" t="s">
        <v>87</v>
      </c>
      <c r="V2240" s="16" t="str">
        <f>IFERROR(__xludf.DUMMYFUNCTION("""COMPUTED_VALUE"""),"")</f>
        <v/>
      </c>
      <c r="W2240" s="16" t="str">
        <f>IFERROR(__xludf.DUMMYFUNCTION("""COMPUTED_VALUE"""),"")</f>
        <v/>
      </c>
      <c r="X2240" s="16" t="str">
        <f>IFERROR(__xludf.DUMMYFUNCTION("""COMPUTED_VALUE"""),"")</f>
        <v/>
      </c>
      <c r="AC2240" s="16" t="str">
        <f>IFERROR(__xludf.DUMMYFUNCTION("""COMPUTED_VALUE"""),"")</f>
        <v/>
      </c>
    </row>
    <row r="2241">
      <c r="A2241" s="16" t="s">
        <v>87</v>
      </c>
      <c r="E2241" s="16" t="str">
        <f>IFERROR(__xludf.DUMMYFUNCTION("""COMPUTED_VALUE"""),"")</f>
        <v/>
      </c>
      <c r="G2241" s="18"/>
      <c r="H2241" s="16" t="s">
        <v>87</v>
      </c>
      <c r="I2241" s="16" t="s">
        <v>87</v>
      </c>
      <c r="J2241" s="19"/>
      <c r="L2241" s="16" t="str">
        <f>IFERROR(__xludf.DUMMYFUNCTION("""COMPUTED_VALUE"""),"")</f>
        <v/>
      </c>
      <c r="M2241" s="16" t="str">
        <f>IFERROR(__xludf.DUMMYFUNCTION("""COMPUTED_VALUE"""),"")</f>
        <v/>
      </c>
      <c r="U2241" s="16" t="s">
        <v>87</v>
      </c>
      <c r="V2241" s="16" t="str">
        <f>IFERROR(__xludf.DUMMYFUNCTION("""COMPUTED_VALUE"""),"")</f>
        <v/>
      </c>
      <c r="W2241" s="16" t="str">
        <f>IFERROR(__xludf.DUMMYFUNCTION("""COMPUTED_VALUE"""),"")</f>
        <v/>
      </c>
      <c r="X2241" s="16" t="str">
        <f>IFERROR(__xludf.DUMMYFUNCTION("""COMPUTED_VALUE"""),"")</f>
        <v/>
      </c>
      <c r="AC2241" s="16" t="str">
        <f>IFERROR(__xludf.DUMMYFUNCTION("""COMPUTED_VALUE"""),"")</f>
        <v/>
      </c>
    </row>
    <row r="2242">
      <c r="A2242" s="16" t="s">
        <v>87</v>
      </c>
      <c r="E2242" s="16" t="str">
        <f>IFERROR(__xludf.DUMMYFUNCTION("""COMPUTED_VALUE"""),"")</f>
        <v/>
      </c>
      <c r="G2242" s="18"/>
      <c r="H2242" s="16" t="s">
        <v>87</v>
      </c>
      <c r="I2242" s="16" t="s">
        <v>87</v>
      </c>
      <c r="J2242" s="19"/>
      <c r="L2242" s="16" t="str">
        <f>IFERROR(__xludf.DUMMYFUNCTION("""COMPUTED_VALUE"""),"")</f>
        <v/>
      </c>
      <c r="M2242" s="16" t="str">
        <f>IFERROR(__xludf.DUMMYFUNCTION("""COMPUTED_VALUE"""),"")</f>
        <v/>
      </c>
      <c r="U2242" s="16" t="s">
        <v>87</v>
      </c>
      <c r="V2242" s="16" t="str">
        <f>IFERROR(__xludf.DUMMYFUNCTION("""COMPUTED_VALUE"""),"")</f>
        <v/>
      </c>
      <c r="W2242" s="16" t="str">
        <f>IFERROR(__xludf.DUMMYFUNCTION("""COMPUTED_VALUE"""),"")</f>
        <v/>
      </c>
      <c r="X2242" s="16" t="str">
        <f>IFERROR(__xludf.DUMMYFUNCTION("""COMPUTED_VALUE"""),"")</f>
        <v/>
      </c>
      <c r="AC2242" s="16" t="str">
        <f>IFERROR(__xludf.DUMMYFUNCTION("""COMPUTED_VALUE"""),"")</f>
        <v/>
      </c>
    </row>
    <row r="2243">
      <c r="A2243" s="16" t="s">
        <v>87</v>
      </c>
      <c r="E2243" s="16" t="str">
        <f>IFERROR(__xludf.DUMMYFUNCTION("""COMPUTED_VALUE"""),"")</f>
        <v/>
      </c>
      <c r="G2243" s="18"/>
      <c r="H2243" s="16" t="s">
        <v>87</v>
      </c>
      <c r="I2243" s="16" t="s">
        <v>87</v>
      </c>
      <c r="J2243" s="19"/>
      <c r="L2243" s="16" t="str">
        <f>IFERROR(__xludf.DUMMYFUNCTION("""COMPUTED_VALUE"""),"")</f>
        <v/>
      </c>
      <c r="M2243" s="16" t="str">
        <f>IFERROR(__xludf.DUMMYFUNCTION("""COMPUTED_VALUE"""),"")</f>
        <v/>
      </c>
      <c r="U2243" s="16" t="s">
        <v>87</v>
      </c>
      <c r="V2243" s="16" t="str">
        <f>IFERROR(__xludf.DUMMYFUNCTION("""COMPUTED_VALUE"""),"")</f>
        <v/>
      </c>
      <c r="W2243" s="16" t="str">
        <f>IFERROR(__xludf.DUMMYFUNCTION("""COMPUTED_VALUE"""),"")</f>
        <v/>
      </c>
      <c r="X2243" s="16" t="str">
        <f>IFERROR(__xludf.DUMMYFUNCTION("""COMPUTED_VALUE"""),"")</f>
        <v/>
      </c>
      <c r="AC2243" s="16" t="str">
        <f>IFERROR(__xludf.DUMMYFUNCTION("""COMPUTED_VALUE"""),"")</f>
        <v/>
      </c>
    </row>
    <row r="2244">
      <c r="A2244" s="16" t="s">
        <v>87</v>
      </c>
      <c r="E2244" s="16" t="str">
        <f>IFERROR(__xludf.DUMMYFUNCTION("""COMPUTED_VALUE"""),"")</f>
        <v/>
      </c>
      <c r="G2244" s="18"/>
      <c r="H2244" s="16" t="s">
        <v>87</v>
      </c>
      <c r="I2244" s="16" t="s">
        <v>87</v>
      </c>
      <c r="J2244" s="19"/>
      <c r="L2244" s="16" t="str">
        <f>IFERROR(__xludf.DUMMYFUNCTION("""COMPUTED_VALUE"""),"")</f>
        <v/>
      </c>
      <c r="M2244" s="16" t="str">
        <f>IFERROR(__xludf.DUMMYFUNCTION("""COMPUTED_VALUE"""),"")</f>
        <v/>
      </c>
      <c r="U2244" s="16" t="s">
        <v>87</v>
      </c>
      <c r="V2244" s="16" t="str">
        <f>IFERROR(__xludf.DUMMYFUNCTION("""COMPUTED_VALUE"""),"")</f>
        <v/>
      </c>
      <c r="W2244" s="16" t="str">
        <f>IFERROR(__xludf.DUMMYFUNCTION("""COMPUTED_VALUE"""),"")</f>
        <v/>
      </c>
      <c r="X2244" s="16" t="str">
        <f>IFERROR(__xludf.DUMMYFUNCTION("""COMPUTED_VALUE"""),"")</f>
        <v/>
      </c>
      <c r="AC2244" s="16" t="str">
        <f>IFERROR(__xludf.DUMMYFUNCTION("""COMPUTED_VALUE"""),"")</f>
        <v/>
      </c>
    </row>
    <row r="2245">
      <c r="A2245" s="16" t="s">
        <v>87</v>
      </c>
      <c r="E2245" s="16" t="str">
        <f>IFERROR(__xludf.DUMMYFUNCTION("""COMPUTED_VALUE"""),"")</f>
        <v/>
      </c>
      <c r="G2245" s="18"/>
      <c r="H2245" s="16" t="s">
        <v>87</v>
      </c>
      <c r="I2245" s="16" t="s">
        <v>87</v>
      </c>
      <c r="J2245" s="19"/>
      <c r="L2245" s="16" t="str">
        <f>IFERROR(__xludf.DUMMYFUNCTION("""COMPUTED_VALUE"""),"")</f>
        <v/>
      </c>
      <c r="M2245" s="16" t="str">
        <f>IFERROR(__xludf.DUMMYFUNCTION("""COMPUTED_VALUE"""),"")</f>
        <v/>
      </c>
      <c r="U2245" s="16" t="s">
        <v>87</v>
      </c>
      <c r="V2245" s="16" t="str">
        <f>IFERROR(__xludf.DUMMYFUNCTION("""COMPUTED_VALUE"""),"")</f>
        <v/>
      </c>
      <c r="W2245" s="16" t="str">
        <f>IFERROR(__xludf.DUMMYFUNCTION("""COMPUTED_VALUE"""),"")</f>
        <v/>
      </c>
      <c r="X2245" s="16" t="str">
        <f>IFERROR(__xludf.DUMMYFUNCTION("""COMPUTED_VALUE"""),"")</f>
        <v/>
      </c>
      <c r="AC2245" s="16" t="str">
        <f>IFERROR(__xludf.DUMMYFUNCTION("""COMPUTED_VALUE"""),"")</f>
        <v/>
      </c>
    </row>
    <row r="2246">
      <c r="A2246" s="16" t="s">
        <v>87</v>
      </c>
      <c r="E2246" s="16" t="str">
        <f>IFERROR(__xludf.DUMMYFUNCTION("""COMPUTED_VALUE"""),"")</f>
        <v/>
      </c>
      <c r="G2246" s="18"/>
      <c r="H2246" s="16" t="s">
        <v>87</v>
      </c>
      <c r="I2246" s="16" t="s">
        <v>87</v>
      </c>
      <c r="J2246" s="19"/>
      <c r="L2246" s="16" t="str">
        <f>IFERROR(__xludf.DUMMYFUNCTION("""COMPUTED_VALUE"""),"")</f>
        <v/>
      </c>
      <c r="M2246" s="16" t="str">
        <f>IFERROR(__xludf.DUMMYFUNCTION("""COMPUTED_VALUE"""),"")</f>
        <v/>
      </c>
      <c r="U2246" s="16" t="s">
        <v>87</v>
      </c>
      <c r="V2246" s="16" t="str">
        <f>IFERROR(__xludf.DUMMYFUNCTION("""COMPUTED_VALUE"""),"")</f>
        <v/>
      </c>
      <c r="W2246" s="16" t="str">
        <f>IFERROR(__xludf.DUMMYFUNCTION("""COMPUTED_VALUE"""),"")</f>
        <v/>
      </c>
      <c r="X2246" s="16" t="str">
        <f>IFERROR(__xludf.DUMMYFUNCTION("""COMPUTED_VALUE"""),"")</f>
        <v/>
      </c>
      <c r="AC2246" s="16" t="str">
        <f>IFERROR(__xludf.DUMMYFUNCTION("""COMPUTED_VALUE"""),"")</f>
        <v/>
      </c>
    </row>
    <row r="2247">
      <c r="A2247" s="16" t="s">
        <v>87</v>
      </c>
      <c r="E2247" s="16" t="str">
        <f>IFERROR(__xludf.DUMMYFUNCTION("""COMPUTED_VALUE"""),"")</f>
        <v/>
      </c>
      <c r="G2247" s="18"/>
      <c r="H2247" s="16" t="s">
        <v>87</v>
      </c>
      <c r="I2247" s="16" t="s">
        <v>87</v>
      </c>
      <c r="J2247" s="19"/>
      <c r="L2247" s="16" t="str">
        <f>IFERROR(__xludf.DUMMYFUNCTION("""COMPUTED_VALUE"""),"")</f>
        <v/>
      </c>
      <c r="M2247" s="16" t="str">
        <f>IFERROR(__xludf.DUMMYFUNCTION("""COMPUTED_VALUE"""),"")</f>
        <v/>
      </c>
      <c r="U2247" s="16" t="s">
        <v>87</v>
      </c>
      <c r="V2247" s="16" t="str">
        <f>IFERROR(__xludf.DUMMYFUNCTION("""COMPUTED_VALUE"""),"")</f>
        <v/>
      </c>
      <c r="W2247" s="16" t="str">
        <f>IFERROR(__xludf.DUMMYFUNCTION("""COMPUTED_VALUE"""),"")</f>
        <v/>
      </c>
      <c r="X2247" s="16" t="str">
        <f>IFERROR(__xludf.DUMMYFUNCTION("""COMPUTED_VALUE"""),"")</f>
        <v/>
      </c>
      <c r="AC2247" s="16" t="str">
        <f>IFERROR(__xludf.DUMMYFUNCTION("""COMPUTED_VALUE"""),"")</f>
        <v/>
      </c>
    </row>
    <row r="2248">
      <c r="A2248" s="16" t="s">
        <v>87</v>
      </c>
      <c r="E2248" s="16" t="str">
        <f>IFERROR(__xludf.DUMMYFUNCTION("""COMPUTED_VALUE"""),"")</f>
        <v/>
      </c>
      <c r="G2248" s="18"/>
      <c r="H2248" s="16" t="s">
        <v>87</v>
      </c>
      <c r="I2248" s="16" t="s">
        <v>87</v>
      </c>
      <c r="J2248" s="19"/>
      <c r="L2248" s="16" t="str">
        <f>IFERROR(__xludf.DUMMYFUNCTION("""COMPUTED_VALUE"""),"")</f>
        <v/>
      </c>
      <c r="M2248" s="16" t="str">
        <f>IFERROR(__xludf.DUMMYFUNCTION("""COMPUTED_VALUE"""),"")</f>
        <v/>
      </c>
      <c r="U2248" s="16" t="s">
        <v>87</v>
      </c>
      <c r="V2248" s="16" t="str">
        <f>IFERROR(__xludf.DUMMYFUNCTION("""COMPUTED_VALUE"""),"")</f>
        <v/>
      </c>
      <c r="W2248" s="16" t="str">
        <f>IFERROR(__xludf.DUMMYFUNCTION("""COMPUTED_VALUE"""),"")</f>
        <v/>
      </c>
      <c r="X2248" s="16" t="str">
        <f>IFERROR(__xludf.DUMMYFUNCTION("""COMPUTED_VALUE"""),"")</f>
        <v/>
      </c>
      <c r="AC2248" s="16" t="str">
        <f>IFERROR(__xludf.DUMMYFUNCTION("""COMPUTED_VALUE"""),"")</f>
        <v/>
      </c>
    </row>
    <row r="2249">
      <c r="A2249" s="16" t="s">
        <v>87</v>
      </c>
      <c r="E2249" s="16" t="str">
        <f>IFERROR(__xludf.DUMMYFUNCTION("""COMPUTED_VALUE"""),"")</f>
        <v/>
      </c>
      <c r="G2249" s="18"/>
      <c r="H2249" s="16" t="s">
        <v>87</v>
      </c>
      <c r="I2249" s="16" t="s">
        <v>87</v>
      </c>
      <c r="J2249" s="19"/>
      <c r="L2249" s="16" t="str">
        <f>IFERROR(__xludf.DUMMYFUNCTION("""COMPUTED_VALUE"""),"")</f>
        <v/>
      </c>
      <c r="M2249" s="16" t="str">
        <f>IFERROR(__xludf.DUMMYFUNCTION("""COMPUTED_VALUE"""),"")</f>
        <v/>
      </c>
      <c r="U2249" s="16" t="s">
        <v>87</v>
      </c>
      <c r="V2249" s="16" t="str">
        <f>IFERROR(__xludf.DUMMYFUNCTION("""COMPUTED_VALUE"""),"")</f>
        <v/>
      </c>
      <c r="W2249" s="16" t="str">
        <f>IFERROR(__xludf.DUMMYFUNCTION("""COMPUTED_VALUE"""),"")</f>
        <v/>
      </c>
      <c r="X2249" s="16" t="str">
        <f>IFERROR(__xludf.DUMMYFUNCTION("""COMPUTED_VALUE"""),"")</f>
        <v/>
      </c>
      <c r="AC2249" s="16" t="str">
        <f>IFERROR(__xludf.DUMMYFUNCTION("""COMPUTED_VALUE"""),"")</f>
        <v/>
      </c>
    </row>
    <row r="2250">
      <c r="A2250" s="16" t="s">
        <v>87</v>
      </c>
      <c r="E2250" s="16" t="str">
        <f>IFERROR(__xludf.DUMMYFUNCTION("""COMPUTED_VALUE"""),"")</f>
        <v/>
      </c>
      <c r="G2250" s="18"/>
      <c r="H2250" s="16" t="s">
        <v>87</v>
      </c>
      <c r="I2250" s="16" t="s">
        <v>87</v>
      </c>
      <c r="J2250" s="19"/>
      <c r="L2250" s="16" t="str">
        <f>IFERROR(__xludf.DUMMYFUNCTION("""COMPUTED_VALUE"""),"")</f>
        <v/>
      </c>
      <c r="M2250" s="16" t="str">
        <f>IFERROR(__xludf.DUMMYFUNCTION("""COMPUTED_VALUE"""),"")</f>
        <v/>
      </c>
      <c r="U2250" s="16" t="s">
        <v>87</v>
      </c>
      <c r="V2250" s="16" t="str">
        <f>IFERROR(__xludf.DUMMYFUNCTION("""COMPUTED_VALUE"""),"")</f>
        <v/>
      </c>
      <c r="W2250" s="16" t="str">
        <f>IFERROR(__xludf.DUMMYFUNCTION("""COMPUTED_VALUE"""),"")</f>
        <v/>
      </c>
      <c r="X2250" s="16" t="str">
        <f>IFERROR(__xludf.DUMMYFUNCTION("""COMPUTED_VALUE"""),"")</f>
        <v/>
      </c>
      <c r="AC2250" s="16" t="str">
        <f>IFERROR(__xludf.DUMMYFUNCTION("""COMPUTED_VALUE"""),"")</f>
        <v/>
      </c>
    </row>
    <row r="2251">
      <c r="A2251" s="16" t="s">
        <v>87</v>
      </c>
      <c r="E2251" s="16" t="str">
        <f>IFERROR(__xludf.DUMMYFUNCTION("""COMPUTED_VALUE"""),"")</f>
        <v/>
      </c>
      <c r="G2251" s="18"/>
      <c r="H2251" s="16" t="s">
        <v>87</v>
      </c>
      <c r="I2251" s="16" t="s">
        <v>87</v>
      </c>
      <c r="J2251" s="19"/>
      <c r="L2251" s="16" t="str">
        <f>IFERROR(__xludf.DUMMYFUNCTION("""COMPUTED_VALUE"""),"")</f>
        <v/>
      </c>
      <c r="M2251" s="16" t="str">
        <f>IFERROR(__xludf.DUMMYFUNCTION("""COMPUTED_VALUE"""),"")</f>
        <v/>
      </c>
      <c r="U2251" s="16" t="s">
        <v>87</v>
      </c>
      <c r="V2251" s="16" t="str">
        <f>IFERROR(__xludf.DUMMYFUNCTION("""COMPUTED_VALUE"""),"")</f>
        <v/>
      </c>
      <c r="W2251" s="16" t="str">
        <f>IFERROR(__xludf.DUMMYFUNCTION("""COMPUTED_VALUE"""),"")</f>
        <v/>
      </c>
      <c r="X2251" s="16" t="str">
        <f>IFERROR(__xludf.DUMMYFUNCTION("""COMPUTED_VALUE"""),"")</f>
        <v/>
      </c>
      <c r="AC2251" s="16" t="str">
        <f>IFERROR(__xludf.DUMMYFUNCTION("""COMPUTED_VALUE"""),"")</f>
        <v/>
      </c>
    </row>
    <row r="2252">
      <c r="A2252" s="16" t="s">
        <v>87</v>
      </c>
      <c r="E2252" s="16" t="str">
        <f>IFERROR(__xludf.DUMMYFUNCTION("""COMPUTED_VALUE"""),"")</f>
        <v/>
      </c>
      <c r="G2252" s="18"/>
      <c r="H2252" s="16" t="s">
        <v>87</v>
      </c>
      <c r="I2252" s="16" t="s">
        <v>87</v>
      </c>
      <c r="J2252" s="19"/>
      <c r="L2252" s="16" t="str">
        <f>IFERROR(__xludf.DUMMYFUNCTION("""COMPUTED_VALUE"""),"")</f>
        <v/>
      </c>
      <c r="M2252" s="16" t="str">
        <f>IFERROR(__xludf.DUMMYFUNCTION("""COMPUTED_VALUE"""),"")</f>
        <v/>
      </c>
      <c r="U2252" s="16" t="s">
        <v>87</v>
      </c>
      <c r="V2252" s="16" t="str">
        <f>IFERROR(__xludf.DUMMYFUNCTION("""COMPUTED_VALUE"""),"")</f>
        <v/>
      </c>
      <c r="W2252" s="16" t="str">
        <f>IFERROR(__xludf.DUMMYFUNCTION("""COMPUTED_VALUE"""),"")</f>
        <v/>
      </c>
      <c r="X2252" s="16" t="str">
        <f>IFERROR(__xludf.DUMMYFUNCTION("""COMPUTED_VALUE"""),"")</f>
        <v/>
      </c>
      <c r="AC2252" s="16" t="str">
        <f>IFERROR(__xludf.DUMMYFUNCTION("""COMPUTED_VALUE"""),"")</f>
        <v/>
      </c>
    </row>
    <row r="2253">
      <c r="A2253" s="16" t="s">
        <v>87</v>
      </c>
      <c r="E2253" s="16" t="str">
        <f>IFERROR(__xludf.DUMMYFUNCTION("""COMPUTED_VALUE"""),"")</f>
        <v/>
      </c>
      <c r="G2253" s="18"/>
      <c r="H2253" s="16" t="s">
        <v>87</v>
      </c>
      <c r="I2253" s="16" t="s">
        <v>87</v>
      </c>
      <c r="J2253" s="19"/>
      <c r="L2253" s="16" t="str">
        <f>IFERROR(__xludf.DUMMYFUNCTION("""COMPUTED_VALUE"""),"")</f>
        <v/>
      </c>
      <c r="M2253" s="16" t="str">
        <f>IFERROR(__xludf.DUMMYFUNCTION("""COMPUTED_VALUE"""),"")</f>
        <v/>
      </c>
      <c r="U2253" s="16" t="s">
        <v>87</v>
      </c>
      <c r="V2253" s="16" t="str">
        <f>IFERROR(__xludf.DUMMYFUNCTION("""COMPUTED_VALUE"""),"")</f>
        <v/>
      </c>
      <c r="W2253" s="16" t="str">
        <f>IFERROR(__xludf.DUMMYFUNCTION("""COMPUTED_VALUE"""),"")</f>
        <v/>
      </c>
      <c r="X2253" s="16" t="str">
        <f>IFERROR(__xludf.DUMMYFUNCTION("""COMPUTED_VALUE"""),"")</f>
        <v/>
      </c>
      <c r="AC2253" s="16" t="str">
        <f>IFERROR(__xludf.DUMMYFUNCTION("""COMPUTED_VALUE"""),"")</f>
        <v/>
      </c>
    </row>
    <row r="2254">
      <c r="A2254" s="16" t="s">
        <v>87</v>
      </c>
      <c r="E2254" s="16" t="str">
        <f>IFERROR(__xludf.DUMMYFUNCTION("""COMPUTED_VALUE"""),"")</f>
        <v/>
      </c>
      <c r="G2254" s="18"/>
      <c r="H2254" s="16" t="s">
        <v>87</v>
      </c>
      <c r="I2254" s="16" t="s">
        <v>87</v>
      </c>
      <c r="J2254" s="19"/>
      <c r="L2254" s="16" t="str">
        <f>IFERROR(__xludf.DUMMYFUNCTION("""COMPUTED_VALUE"""),"")</f>
        <v/>
      </c>
      <c r="M2254" s="16" t="str">
        <f>IFERROR(__xludf.DUMMYFUNCTION("""COMPUTED_VALUE"""),"")</f>
        <v/>
      </c>
      <c r="U2254" s="16" t="s">
        <v>87</v>
      </c>
      <c r="V2254" s="16" t="str">
        <f>IFERROR(__xludf.DUMMYFUNCTION("""COMPUTED_VALUE"""),"")</f>
        <v/>
      </c>
      <c r="W2254" s="16" t="str">
        <f>IFERROR(__xludf.DUMMYFUNCTION("""COMPUTED_VALUE"""),"")</f>
        <v/>
      </c>
      <c r="X2254" s="16" t="str">
        <f>IFERROR(__xludf.DUMMYFUNCTION("""COMPUTED_VALUE"""),"")</f>
        <v/>
      </c>
      <c r="AC2254" s="16" t="str">
        <f>IFERROR(__xludf.DUMMYFUNCTION("""COMPUTED_VALUE"""),"")</f>
        <v/>
      </c>
    </row>
    <row r="2255">
      <c r="A2255" s="16" t="s">
        <v>87</v>
      </c>
      <c r="E2255" s="16" t="str">
        <f>IFERROR(__xludf.DUMMYFUNCTION("""COMPUTED_VALUE"""),"")</f>
        <v/>
      </c>
      <c r="G2255" s="18"/>
      <c r="H2255" s="16" t="s">
        <v>87</v>
      </c>
      <c r="I2255" s="16" t="s">
        <v>87</v>
      </c>
      <c r="J2255" s="19"/>
      <c r="L2255" s="16" t="str">
        <f>IFERROR(__xludf.DUMMYFUNCTION("""COMPUTED_VALUE"""),"")</f>
        <v/>
      </c>
      <c r="M2255" s="16" t="str">
        <f>IFERROR(__xludf.DUMMYFUNCTION("""COMPUTED_VALUE"""),"")</f>
        <v/>
      </c>
      <c r="U2255" s="16" t="s">
        <v>87</v>
      </c>
      <c r="V2255" s="16" t="str">
        <f>IFERROR(__xludf.DUMMYFUNCTION("""COMPUTED_VALUE"""),"")</f>
        <v/>
      </c>
      <c r="W2255" s="16" t="str">
        <f>IFERROR(__xludf.DUMMYFUNCTION("""COMPUTED_VALUE"""),"")</f>
        <v/>
      </c>
      <c r="X2255" s="16" t="str">
        <f>IFERROR(__xludf.DUMMYFUNCTION("""COMPUTED_VALUE"""),"")</f>
        <v/>
      </c>
      <c r="AC2255" s="16" t="str">
        <f>IFERROR(__xludf.DUMMYFUNCTION("""COMPUTED_VALUE"""),"")</f>
        <v/>
      </c>
    </row>
    <row r="2256">
      <c r="A2256" s="16" t="s">
        <v>87</v>
      </c>
      <c r="E2256" s="16" t="str">
        <f>IFERROR(__xludf.DUMMYFUNCTION("""COMPUTED_VALUE"""),"")</f>
        <v/>
      </c>
      <c r="G2256" s="18"/>
      <c r="H2256" s="16" t="s">
        <v>87</v>
      </c>
      <c r="I2256" s="16" t="s">
        <v>87</v>
      </c>
      <c r="J2256" s="19"/>
      <c r="L2256" s="16" t="str">
        <f>IFERROR(__xludf.DUMMYFUNCTION("""COMPUTED_VALUE"""),"")</f>
        <v/>
      </c>
      <c r="M2256" s="16" t="str">
        <f>IFERROR(__xludf.DUMMYFUNCTION("""COMPUTED_VALUE"""),"")</f>
        <v/>
      </c>
      <c r="U2256" s="16" t="s">
        <v>87</v>
      </c>
      <c r="V2256" s="16" t="str">
        <f>IFERROR(__xludf.DUMMYFUNCTION("""COMPUTED_VALUE"""),"")</f>
        <v/>
      </c>
      <c r="W2256" s="16" t="str">
        <f>IFERROR(__xludf.DUMMYFUNCTION("""COMPUTED_VALUE"""),"")</f>
        <v/>
      </c>
      <c r="X2256" s="16" t="str">
        <f>IFERROR(__xludf.DUMMYFUNCTION("""COMPUTED_VALUE"""),"")</f>
        <v/>
      </c>
      <c r="AC2256" s="16" t="str">
        <f>IFERROR(__xludf.DUMMYFUNCTION("""COMPUTED_VALUE"""),"")</f>
        <v/>
      </c>
    </row>
    <row r="2257">
      <c r="A2257" s="16" t="s">
        <v>87</v>
      </c>
      <c r="E2257" s="16" t="str">
        <f>IFERROR(__xludf.DUMMYFUNCTION("""COMPUTED_VALUE"""),"")</f>
        <v/>
      </c>
      <c r="G2257" s="18"/>
      <c r="H2257" s="16" t="s">
        <v>87</v>
      </c>
      <c r="I2257" s="16" t="s">
        <v>87</v>
      </c>
      <c r="J2257" s="19"/>
      <c r="L2257" s="16" t="str">
        <f>IFERROR(__xludf.DUMMYFUNCTION("""COMPUTED_VALUE"""),"")</f>
        <v/>
      </c>
      <c r="M2257" s="16" t="str">
        <f>IFERROR(__xludf.DUMMYFUNCTION("""COMPUTED_VALUE"""),"")</f>
        <v/>
      </c>
      <c r="U2257" s="16" t="s">
        <v>87</v>
      </c>
      <c r="V2257" s="16" t="str">
        <f>IFERROR(__xludf.DUMMYFUNCTION("""COMPUTED_VALUE"""),"")</f>
        <v/>
      </c>
      <c r="W2257" s="16" t="str">
        <f>IFERROR(__xludf.DUMMYFUNCTION("""COMPUTED_VALUE"""),"")</f>
        <v/>
      </c>
      <c r="X2257" s="16" t="str">
        <f>IFERROR(__xludf.DUMMYFUNCTION("""COMPUTED_VALUE"""),"")</f>
        <v/>
      </c>
      <c r="AC2257" s="16" t="str">
        <f>IFERROR(__xludf.DUMMYFUNCTION("""COMPUTED_VALUE"""),"")</f>
        <v/>
      </c>
    </row>
    <row r="2258">
      <c r="A2258" s="16" t="s">
        <v>87</v>
      </c>
      <c r="E2258" s="16" t="str">
        <f>IFERROR(__xludf.DUMMYFUNCTION("""COMPUTED_VALUE"""),"")</f>
        <v/>
      </c>
      <c r="G2258" s="18"/>
      <c r="H2258" s="16" t="s">
        <v>87</v>
      </c>
      <c r="I2258" s="16" t="s">
        <v>87</v>
      </c>
      <c r="J2258" s="19"/>
      <c r="L2258" s="16" t="str">
        <f>IFERROR(__xludf.DUMMYFUNCTION("""COMPUTED_VALUE"""),"")</f>
        <v/>
      </c>
      <c r="M2258" s="16" t="str">
        <f>IFERROR(__xludf.DUMMYFUNCTION("""COMPUTED_VALUE"""),"")</f>
        <v/>
      </c>
      <c r="U2258" s="16" t="s">
        <v>87</v>
      </c>
      <c r="V2258" s="16" t="str">
        <f>IFERROR(__xludf.DUMMYFUNCTION("""COMPUTED_VALUE"""),"")</f>
        <v/>
      </c>
      <c r="W2258" s="16" t="str">
        <f>IFERROR(__xludf.DUMMYFUNCTION("""COMPUTED_VALUE"""),"")</f>
        <v/>
      </c>
      <c r="X2258" s="16" t="str">
        <f>IFERROR(__xludf.DUMMYFUNCTION("""COMPUTED_VALUE"""),"")</f>
        <v/>
      </c>
      <c r="AC2258" s="16" t="str">
        <f>IFERROR(__xludf.DUMMYFUNCTION("""COMPUTED_VALUE"""),"")</f>
        <v/>
      </c>
    </row>
    <row r="2259">
      <c r="A2259" s="16" t="s">
        <v>87</v>
      </c>
      <c r="E2259" s="16" t="str">
        <f>IFERROR(__xludf.DUMMYFUNCTION("""COMPUTED_VALUE"""),"")</f>
        <v/>
      </c>
      <c r="G2259" s="18"/>
      <c r="H2259" s="16" t="s">
        <v>87</v>
      </c>
      <c r="I2259" s="16" t="s">
        <v>87</v>
      </c>
      <c r="J2259" s="19"/>
      <c r="L2259" s="16" t="str">
        <f>IFERROR(__xludf.DUMMYFUNCTION("""COMPUTED_VALUE"""),"")</f>
        <v/>
      </c>
      <c r="M2259" s="16" t="str">
        <f>IFERROR(__xludf.DUMMYFUNCTION("""COMPUTED_VALUE"""),"")</f>
        <v/>
      </c>
      <c r="U2259" s="16" t="s">
        <v>87</v>
      </c>
      <c r="V2259" s="16" t="str">
        <f>IFERROR(__xludf.DUMMYFUNCTION("""COMPUTED_VALUE"""),"")</f>
        <v/>
      </c>
      <c r="W2259" s="16" t="str">
        <f>IFERROR(__xludf.DUMMYFUNCTION("""COMPUTED_VALUE"""),"")</f>
        <v/>
      </c>
      <c r="X2259" s="16" t="str">
        <f>IFERROR(__xludf.DUMMYFUNCTION("""COMPUTED_VALUE"""),"")</f>
        <v/>
      </c>
      <c r="AC2259" s="16" t="str">
        <f>IFERROR(__xludf.DUMMYFUNCTION("""COMPUTED_VALUE"""),"")</f>
        <v/>
      </c>
    </row>
    <row r="2260">
      <c r="A2260" s="16" t="s">
        <v>87</v>
      </c>
      <c r="E2260" s="16" t="str">
        <f>IFERROR(__xludf.DUMMYFUNCTION("""COMPUTED_VALUE"""),"")</f>
        <v/>
      </c>
      <c r="G2260" s="18"/>
      <c r="H2260" s="16" t="s">
        <v>87</v>
      </c>
      <c r="I2260" s="16" t="s">
        <v>87</v>
      </c>
      <c r="J2260" s="19"/>
      <c r="L2260" s="16" t="str">
        <f>IFERROR(__xludf.DUMMYFUNCTION("""COMPUTED_VALUE"""),"")</f>
        <v/>
      </c>
      <c r="M2260" s="16" t="str">
        <f>IFERROR(__xludf.DUMMYFUNCTION("""COMPUTED_VALUE"""),"")</f>
        <v/>
      </c>
      <c r="U2260" s="16" t="s">
        <v>87</v>
      </c>
      <c r="V2260" s="16" t="str">
        <f>IFERROR(__xludf.DUMMYFUNCTION("""COMPUTED_VALUE"""),"")</f>
        <v/>
      </c>
      <c r="W2260" s="16" t="str">
        <f>IFERROR(__xludf.DUMMYFUNCTION("""COMPUTED_VALUE"""),"")</f>
        <v/>
      </c>
      <c r="X2260" s="16" t="str">
        <f>IFERROR(__xludf.DUMMYFUNCTION("""COMPUTED_VALUE"""),"")</f>
        <v/>
      </c>
      <c r="AC2260" s="16" t="str">
        <f>IFERROR(__xludf.DUMMYFUNCTION("""COMPUTED_VALUE"""),"")</f>
        <v/>
      </c>
    </row>
    <row r="2261">
      <c r="A2261" s="16" t="s">
        <v>87</v>
      </c>
      <c r="E2261" s="16" t="str">
        <f>IFERROR(__xludf.DUMMYFUNCTION("""COMPUTED_VALUE"""),"")</f>
        <v/>
      </c>
      <c r="G2261" s="18"/>
      <c r="H2261" s="16" t="s">
        <v>87</v>
      </c>
      <c r="I2261" s="16" t="s">
        <v>87</v>
      </c>
      <c r="J2261" s="19"/>
      <c r="L2261" s="16" t="str">
        <f>IFERROR(__xludf.DUMMYFUNCTION("""COMPUTED_VALUE"""),"")</f>
        <v/>
      </c>
      <c r="M2261" s="16" t="str">
        <f>IFERROR(__xludf.DUMMYFUNCTION("""COMPUTED_VALUE"""),"")</f>
        <v/>
      </c>
      <c r="U2261" s="16" t="s">
        <v>87</v>
      </c>
      <c r="V2261" s="16" t="str">
        <f>IFERROR(__xludf.DUMMYFUNCTION("""COMPUTED_VALUE"""),"")</f>
        <v/>
      </c>
      <c r="W2261" s="16" t="str">
        <f>IFERROR(__xludf.DUMMYFUNCTION("""COMPUTED_VALUE"""),"")</f>
        <v/>
      </c>
      <c r="X2261" s="16" t="str">
        <f>IFERROR(__xludf.DUMMYFUNCTION("""COMPUTED_VALUE"""),"")</f>
        <v/>
      </c>
      <c r="AC2261" s="16" t="str">
        <f>IFERROR(__xludf.DUMMYFUNCTION("""COMPUTED_VALUE"""),"")</f>
        <v/>
      </c>
    </row>
    <row r="2262">
      <c r="A2262" s="16" t="s">
        <v>87</v>
      </c>
      <c r="E2262" s="16" t="str">
        <f>IFERROR(__xludf.DUMMYFUNCTION("""COMPUTED_VALUE"""),"")</f>
        <v/>
      </c>
      <c r="G2262" s="18"/>
      <c r="H2262" s="16" t="s">
        <v>87</v>
      </c>
      <c r="I2262" s="16" t="s">
        <v>87</v>
      </c>
      <c r="J2262" s="19"/>
      <c r="L2262" s="16" t="str">
        <f>IFERROR(__xludf.DUMMYFUNCTION("""COMPUTED_VALUE"""),"")</f>
        <v/>
      </c>
      <c r="M2262" s="16" t="str">
        <f>IFERROR(__xludf.DUMMYFUNCTION("""COMPUTED_VALUE"""),"")</f>
        <v/>
      </c>
      <c r="U2262" s="16" t="s">
        <v>87</v>
      </c>
      <c r="V2262" s="16" t="str">
        <f>IFERROR(__xludf.DUMMYFUNCTION("""COMPUTED_VALUE"""),"")</f>
        <v/>
      </c>
      <c r="W2262" s="16" t="str">
        <f>IFERROR(__xludf.DUMMYFUNCTION("""COMPUTED_VALUE"""),"")</f>
        <v/>
      </c>
      <c r="X2262" s="16" t="str">
        <f>IFERROR(__xludf.DUMMYFUNCTION("""COMPUTED_VALUE"""),"")</f>
        <v/>
      </c>
      <c r="AC2262" s="16" t="str">
        <f>IFERROR(__xludf.DUMMYFUNCTION("""COMPUTED_VALUE"""),"")</f>
        <v/>
      </c>
    </row>
    <row r="2263">
      <c r="A2263" s="16" t="s">
        <v>87</v>
      </c>
      <c r="E2263" s="16" t="str">
        <f>IFERROR(__xludf.DUMMYFUNCTION("""COMPUTED_VALUE"""),"")</f>
        <v/>
      </c>
      <c r="G2263" s="18"/>
      <c r="H2263" s="16" t="s">
        <v>87</v>
      </c>
      <c r="I2263" s="16" t="s">
        <v>87</v>
      </c>
      <c r="J2263" s="19"/>
      <c r="L2263" s="16" t="str">
        <f>IFERROR(__xludf.DUMMYFUNCTION("""COMPUTED_VALUE"""),"")</f>
        <v/>
      </c>
      <c r="M2263" s="16" t="str">
        <f>IFERROR(__xludf.DUMMYFUNCTION("""COMPUTED_VALUE"""),"")</f>
        <v/>
      </c>
      <c r="U2263" s="16" t="s">
        <v>87</v>
      </c>
      <c r="V2263" s="16" t="str">
        <f>IFERROR(__xludf.DUMMYFUNCTION("""COMPUTED_VALUE"""),"")</f>
        <v/>
      </c>
      <c r="W2263" s="16" t="str">
        <f>IFERROR(__xludf.DUMMYFUNCTION("""COMPUTED_VALUE"""),"")</f>
        <v/>
      </c>
      <c r="X2263" s="16" t="str">
        <f>IFERROR(__xludf.DUMMYFUNCTION("""COMPUTED_VALUE"""),"")</f>
        <v/>
      </c>
      <c r="AC2263" s="16" t="str">
        <f>IFERROR(__xludf.DUMMYFUNCTION("""COMPUTED_VALUE"""),"")</f>
        <v/>
      </c>
    </row>
    <row r="2264">
      <c r="A2264" s="16" t="s">
        <v>87</v>
      </c>
      <c r="E2264" s="16" t="str">
        <f>IFERROR(__xludf.DUMMYFUNCTION("""COMPUTED_VALUE"""),"")</f>
        <v/>
      </c>
      <c r="G2264" s="18"/>
      <c r="H2264" s="16" t="s">
        <v>87</v>
      </c>
      <c r="I2264" s="16" t="s">
        <v>87</v>
      </c>
      <c r="J2264" s="19"/>
      <c r="L2264" s="16" t="str">
        <f>IFERROR(__xludf.DUMMYFUNCTION("""COMPUTED_VALUE"""),"")</f>
        <v/>
      </c>
      <c r="M2264" s="16" t="str">
        <f>IFERROR(__xludf.DUMMYFUNCTION("""COMPUTED_VALUE"""),"")</f>
        <v/>
      </c>
      <c r="U2264" s="16" t="s">
        <v>87</v>
      </c>
      <c r="V2264" s="16" t="str">
        <f>IFERROR(__xludf.DUMMYFUNCTION("""COMPUTED_VALUE"""),"")</f>
        <v/>
      </c>
      <c r="W2264" s="16" t="str">
        <f>IFERROR(__xludf.DUMMYFUNCTION("""COMPUTED_VALUE"""),"")</f>
        <v/>
      </c>
      <c r="X2264" s="16" t="str">
        <f>IFERROR(__xludf.DUMMYFUNCTION("""COMPUTED_VALUE"""),"")</f>
        <v/>
      </c>
      <c r="AC2264" s="16" t="str">
        <f>IFERROR(__xludf.DUMMYFUNCTION("""COMPUTED_VALUE"""),"")</f>
        <v/>
      </c>
    </row>
    <row r="2265">
      <c r="A2265" s="16" t="s">
        <v>87</v>
      </c>
      <c r="E2265" s="16" t="str">
        <f>IFERROR(__xludf.DUMMYFUNCTION("""COMPUTED_VALUE"""),"")</f>
        <v/>
      </c>
      <c r="G2265" s="18"/>
      <c r="H2265" s="16" t="s">
        <v>87</v>
      </c>
      <c r="I2265" s="16" t="s">
        <v>87</v>
      </c>
      <c r="J2265" s="19"/>
      <c r="L2265" s="16" t="str">
        <f>IFERROR(__xludf.DUMMYFUNCTION("""COMPUTED_VALUE"""),"")</f>
        <v/>
      </c>
      <c r="M2265" s="16" t="str">
        <f>IFERROR(__xludf.DUMMYFUNCTION("""COMPUTED_VALUE"""),"")</f>
        <v/>
      </c>
      <c r="U2265" s="16" t="s">
        <v>87</v>
      </c>
      <c r="V2265" s="16" t="str">
        <f>IFERROR(__xludf.DUMMYFUNCTION("""COMPUTED_VALUE"""),"")</f>
        <v/>
      </c>
      <c r="W2265" s="16" t="str">
        <f>IFERROR(__xludf.DUMMYFUNCTION("""COMPUTED_VALUE"""),"")</f>
        <v/>
      </c>
      <c r="X2265" s="16" t="str">
        <f>IFERROR(__xludf.DUMMYFUNCTION("""COMPUTED_VALUE"""),"")</f>
        <v/>
      </c>
      <c r="AC2265" s="16" t="str">
        <f>IFERROR(__xludf.DUMMYFUNCTION("""COMPUTED_VALUE"""),"")</f>
        <v/>
      </c>
    </row>
    <row r="2266">
      <c r="A2266" s="16" t="s">
        <v>87</v>
      </c>
      <c r="E2266" s="16" t="str">
        <f>IFERROR(__xludf.DUMMYFUNCTION("""COMPUTED_VALUE"""),"")</f>
        <v/>
      </c>
      <c r="G2266" s="18"/>
      <c r="H2266" s="16" t="s">
        <v>87</v>
      </c>
      <c r="I2266" s="16" t="s">
        <v>87</v>
      </c>
      <c r="J2266" s="19"/>
      <c r="L2266" s="16" t="str">
        <f>IFERROR(__xludf.DUMMYFUNCTION("""COMPUTED_VALUE"""),"")</f>
        <v/>
      </c>
      <c r="M2266" s="16" t="str">
        <f>IFERROR(__xludf.DUMMYFUNCTION("""COMPUTED_VALUE"""),"")</f>
        <v/>
      </c>
      <c r="U2266" s="16" t="s">
        <v>87</v>
      </c>
      <c r="V2266" s="16" t="str">
        <f>IFERROR(__xludf.DUMMYFUNCTION("""COMPUTED_VALUE"""),"")</f>
        <v/>
      </c>
      <c r="W2266" s="16" t="str">
        <f>IFERROR(__xludf.DUMMYFUNCTION("""COMPUTED_VALUE"""),"")</f>
        <v/>
      </c>
      <c r="X2266" s="16" t="str">
        <f>IFERROR(__xludf.DUMMYFUNCTION("""COMPUTED_VALUE"""),"")</f>
        <v/>
      </c>
      <c r="AC2266" s="16" t="str">
        <f>IFERROR(__xludf.DUMMYFUNCTION("""COMPUTED_VALUE"""),"")</f>
        <v/>
      </c>
    </row>
    <row r="2267">
      <c r="A2267" s="16" t="s">
        <v>87</v>
      </c>
      <c r="E2267" s="16" t="str">
        <f>IFERROR(__xludf.DUMMYFUNCTION("""COMPUTED_VALUE"""),"")</f>
        <v/>
      </c>
      <c r="G2267" s="18"/>
      <c r="H2267" s="16" t="s">
        <v>87</v>
      </c>
      <c r="I2267" s="16" t="s">
        <v>87</v>
      </c>
      <c r="J2267" s="19"/>
      <c r="L2267" s="16" t="str">
        <f>IFERROR(__xludf.DUMMYFUNCTION("""COMPUTED_VALUE"""),"")</f>
        <v/>
      </c>
      <c r="M2267" s="16" t="str">
        <f>IFERROR(__xludf.DUMMYFUNCTION("""COMPUTED_VALUE"""),"")</f>
        <v/>
      </c>
      <c r="U2267" s="16" t="s">
        <v>87</v>
      </c>
      <c r="V2267" s="16" t="str">
        <f>IFERROR(__xludf.DUMMYFUNCTION("""COMPUTED_VALUE"""),"")</f>
        <v/>
      </c>
      <c r="W2267" s="16" t="str">
        <f>IFERROR(__xludf.DUMMYFUNCTION("""COMPUTED_VALUE"""),"")</f>
        <v/>
      </c>
      <c r="X2267" s="16" t="str">
        <f>IFERROR(__xludf.DUMMYFUNCTION("""COMPUTED_VALUE"""),"")</f>
        <v/>
      </c>
      <c r="AC2267" s="16" t="str">
        <f>IFERROR(__xludf.DUMMYFUNCTION("""COMPUTED_VALUE"""),"")</f>
        <v/>
      </c>
    </row>
    <row r="2268">
      <c r="A2268" s="16" t="s">
        <v>87</v>
      </c>
      <c r="E2268" s="16" t="str">
        <f>IFERROR(__xludf.DUMMYFUNCTION("""COMPUTED_VALUE"""),"")</f>
        <v/>
      </c>
      <c r="G2268" s="18"/>
      <c r="H2268" s="16" t="s">
        <v>87</v>
      </c>
      <c r="I2268" s="16" t="s">
        <v>87</v>
      </c>
      <c r="J2268" s="19"/>
      <c r="L2268" s="16" t="str">
        <f>IFERROR(__xludf.DUMMYFUNCTION("""COMPUTED_VALUE"""),"")</f>
        <v/>
      </c>
      <c r="M2268" s="16" t="str">
        <f>IFERROR(__xludf.DUMMYFUNCTION("""COMPUTED_VALUE"""),"")</f>
        <v/>
      </c>
      <c r="U2268" s="16" t="s">
        <v>87</v>
      </c>
      <c r="V2268" s="16" t="str">
        <f>IFERROR(__xludf.DUMMYFUNCTION("""COMPUTED_VALUE"""),"")</f>
        <v/>
      </c>
      <c r="W2268" s="16" t="str">
        <f>IFERROR(__xludf.DUMMYFUNCTION("""COMPUTED_VALUE"""),"")</f>
        <v/>
      </c>
      <c r="X2268" s="16" t="str">
        <f>IFERROR(__xludf.DUMMYFUNCTION("""COMPUTED_VALUE"""),"")</f>
        <v/>
      </c>
      <c r="AC2268" s="16" t="str">
        <f>IFERROR(__xludf.DUMMYFUNCTION("""COMPUTED_VALUE"""),"")</f>
        <v/>
      </c>
    </row>
    <row r="2269">
      <c r="A2269" s="16" t="s">
        <v>87</v>
      </c>
      <c r="E2269" s="16" t="str">
        <f>IFERROR(__xludf.DUMMYFUNCTION("""COMPUTED_VALUE"""),"")</f>
        <v/>
      </c>
      <c r="G2269" s="18"/>
      <c r="H2269" s="16" t="s">
        <v>87</v>
      </c>
      <c r="I2269" s="16" t="s">
        <v>87</v>
      </c>
      <c r="J2269" s="19"/>
      <c r="L2269" s="16" t="str">
        <f>IFERROR(__xludf.DUMMYFUNCTION("""COMPUTED_VALUE"""),"")</f>
        <v/>
      </c>
      <c r="M2269" s="16" t="str">
        <f>IFERROR(__xludf.DUMMYFUNCTION("""COMPUTED_VALUE"""),"")</f>
        <v/>
      </c>
      <c r="U2269" s="16" t="s">
        <v>87</v>
      </c>
      <c r="V2269" s="16" t="str">
        <f>IFERROR(__xludf.DUMMYFUNCTION("""COMPUTED_VALUE"""),"")</f>
        <v/>
      </c>
      <c r="W2269" s="16" t="str">
        <f>IFERROR(__xludf.DUMMYFUNCTION("""COMPUTED_VALUE"""),"")</f>
        <v/>
      </c>
      <c r="X2269" s="16" t="str">
        <f>IFERROR(__xludf.DUMMYFUNCTION("""COMPUTED_VALUE"""),"")</f>
        <v/>
      </c>
      <c r="AC2269" s="16" t="str">
        <f>IFERROR(__xludf.DUMMYFUNCTION("""COMPUTED_VALUE"""),"")</f>
        <v/>
      </c>
    </row>
    <row r="2270">
      <c r="A2270" s="16" t="s">
        <v>87</v>
      </c>
      <c r="E2270" s="16" t="str">
        <f>IFERROR(__xludf.DUMMYFUNCTION("""COMPUTED_VALUE"""),"")</f>
        <v/>
      </c>
      <c r="G2270" s="18"/>
      <c r="H2270" s="16" t="s">
        <v>87</v>
      </c>
      <c r="I2270" s="16" t="s">
        <v>87</v>
      </c>
      <c r="J2270" s="19"/>
      <c r="L2270" s="16" t="str">
        <f>IFERROR(__xludf.DUMMYFUNCTION("""COMPUTED_VALUE"""),"")</f>
        <v/>
      </c>
      <c r="M2270" s="16" t="str">
        <f>IFERROR(__xludf.DUMMYFUNCTION("""COMPUTED_VALUE"""),"")</f>
        <v/>
      </c>
      <c r="U2270" s="16" t="s">
        <v>87</v>
      </c>
      <c r="V2270" s="16" t="str">
        <f>IFERROR(__xludf.DUMMYFUNCTION("""COMPUTED_VALUE"""),"")</f>
        <v/>
      </c>
      <c r="W2270" s="16" t="str">
        <f>IFERROR(__xludf.DUMMYFUNCTION("""COMPUTED_VALUE"""),"")</f>
        <v/>
      </c>
      <c r="X2270" s="16" t="str">
        <f>IFERROR(__xludf.DUMMYFUNCTION("""COMPUTED_VALUE"""),"")</f>
        <v/>
      </c>
      <c r="AC2270" s="16" t="str">
        <f>IFERROR(__xludf.DUMMYFUNCTION("""COMPUTED_VALUE"""),"")</f>
        <v/>
      </c>
    </row>
    <row r="2271">
      <c r="A2271" s="16" t="s">
        <v>87</v>
      </c>
      <c r="E2271" s="16" t="str">
        <f>IFERROR(__xludf.DUMMYFUNCTION("""COMPUTED_VALUE"""),"")</f>
        <v/>
      </c>
      <c r="G2271" s="18"/>
      <c r="H2271" s="16" t="s">
        <v>87</v>
      </c>
      <c r="I2271" s="16" t="s">
        <v>87</v>
      </c>
      <c r="J2271" s="19"/>
      <c r="L2271" s="16" t="str">
        <f>IFERROR(__xludf.DUMMYFUNCTION("""COMPUTED_VALUE"""),"")</f>
        <v/>
      </c>
      <c r="M2271" s="16" t="str">
        <f>IFERROR(__xludf.DUMMYFUNCTION("""COMPUTED_VALUE"""),"")</f>
        <v/>
      </c>
      <c r="U2271" s="16" t="s">
        <v>87</v>
      </c>
      <c r="V2271" s="16" t="str">
        <f>IFERROR(__xludf.DUMMYFUNCTION("""COMPUTED_VALUE"""),"")</f>
        <v/>
      </c>
      <c r="W2271" s="16" t="str">
        <f>IFERROR(__xludf.DUMMYFUNCTION("""COMPUTED_VALUE"""),"")</f>
        <v/>
      </c>
      <c r="X2271" s="16" t="str">
        <f>IFERROR(__xludf.DUMMYFUNCTION("""COMPUTED_VALUE"""),"")</f>
        <v/>
      </c>
      <c r="AC2271" s="16" t="str">
        <f>IFERROR(__xludf.DUMMYFUNCTION("""COMPUTED_VALUE"""),"")</f>
        <v/>
      </c>
    </row>
    <row r="2272">
      <c r="A2272" s="16" t="s">
        <v>87</v>
      </c>
      <c r="E2272" s="16" t="str">
        <f>IFERROR(__xludf.DUMMYFUNCTION("""COMPUTED_VALUE"""),"")</f>
        <v/>
      </c>
      <c r="G2272" s="18"/>
      <c r="H2272" s="16" t="s">
        <v>87</v>
      </c>
      <c r="I2272" s="16" t="s">
        <v>87</v>
      </c>
      <c r="J2272" s="19"/>
      <c r="L2272" s="16" t="str">
        <f>IFERROR(__xludf.DUMMYFUNCTION("""COMPUTED_VALUE"""),"")</f>
        <v/>
      </c>
      <c r="M2272" s="16" t="str">
        <f>IFERROR(__xludf.DUMMYFUNCTION("""COMPUTED_VALUE"""),"")</f>
        <v/>
      </c>
      <c r="U2272" s="16" t="s">
        <v>87</v>
      </c>
      <c r="V2272" s="16" t="str">
        <f>IFERROR(__xludf.DUMMYFUNCTION("""COMPUTED_VALUE"""),"")</f>
        <v/>
      </c>
      <c r="W2272" s="16" t="str">
        <f>IFERROR(__xludf.DUMMYFUNCTION("""COMPUTED_VALUE"""),"")</f>
        <v/>
      </c>
      <c r="X2272" s="16" t="str">
        <f>IFERROR(__xludf.DUMMYFUNCTION("""COMPUTED_VALUE"""),"")</f>
        <v/>
      </c>
      <c r="AC2272" s="16" t="str">
        <f>IFERROR(__xludf.DUMMYFUNCTION("""COMPUTED_VALUE"""),"")</f>
        <v/>
      </c>
    </row>
    <row r="2273">
      <c r="A2273" s="16" t="s">
        <v>87</v>
      </c>
      <c r="E2273" s="16" t="str">
        <f>IFERROR(__xludf.DUMMYFUNCTION("""COMPUTED_VALUE"""),"")</f>
        <v/>
      </c>
      <c r="G2273" s="18"/>
      <c r="H2273" s="16" t="s">
        <v>87</v>
      </c>
      <c r="I2273" s="16" t="s">
        <v>87</v>
      </c>
      <c r="J2273" s="19"/>
      <c r="L2273" s="16" t="str">
        <f>IFERROR(__xludf.DUMMYFUNCTION("""COMPUTED_VALUE"""),"")</f>
        <v/>
      </c>
      <c r="M2273" s="16" t="str">
        <f>IFERROR(__xludf.DUMMYFUNCTION("""COMPUTED_VALUE"""),"")</f>
        <v/>
      </c>
      <c r="U2273" s="16" t="s">
        <v>87</v>
      </c>
      <c r="V2273" s="16" t="str">
        <f>IFERROR(__xludf.DUMMYFUNCTION("""COMPUTED_VALUE"""),"")</f>
        <v/>
      </c>
      <c r="W2273" s="16" t="str">
        <f>IFERROR(__xludf.DUMMYFUNCTION("""COMPUTED_VALUE"""),"")</f>
        <v/>
      </c>
      <c r="X2273" s="16" t="str">
        <f>IFERROR(__xludf.DUMMYFUNCTION("""COMPUTED_VALUE"""),"")</f>
        <v/>
      </c>
      <c r="AC2273" s="16" t="str">
        <f>IFERROR(__xludf.DUMMYFUNCTION("""COMPUTED_VALUE"""),"")</f>
        <v/>
      </c>
    </row>
    <row r="2274">
      <c r="A2274" s="16" t="s">
        <v>87</v>
      </c>
      <c r="E2274" s="16" t="str">
        <f>IFERROR(__xludf.DUMMYFUNCTION("""COMPUTED_VALUE"""),"")</f>
        <v/>
      </c>
      <c r="G2274" s="18"/>
      <c r="H2274" s="16" t="s">
        <v>87</v>
      </c>
      <c r="I2274" s="16" t="s">
        <v>87</v>
      </c>
      <c r="J2274" s="19"/>
      <c r="L2274" s="16" t="str">
        <f>IFERROR(__xludf.DUMMYFUNCTION("""COMPUTED_VALUE"""),"")</f>
        <v/>
      </c>
      <c r="M2274" s="16" t="str">
        <f>IFERROR(__xludf.DUMMYFUNCTION("""COMPUTED_VALUE"""),"")</f>
        <v/>
      </c>
      <c r="U2274" s="16" t="s">
        <v>87</v>
      </c>
      <c r="V2274" s="16" t="str">
        <f>IFERROR(__xludf.DUMMYFUNCTION("""COMPUTED_VALUE"""),"")</f>
        <v/>
      </c>
      <c r="W2274" s="16" t="str">
        <f>IFERROR(__xludf.DUMMYFUNCTION("""COMPUTED_VALUE"""),"")</f>
        <v/>
      </c>
      <c r="X2274" s="16" t="str">
        <f>IFERROR(__xludf.DUMMYFUNCTION("""COMPUTED_VALUE"""),"")</f>
        <v/>
      </c>
      <c r="AC2274" s="16" t="str">
        <f>IFERROR(__xludf.DUMMYFUNCTION("""COMPUTED_VALUE"""),"")</f>
        <v/>
      </c>
    </row>
    <row r="2275">
      <c r="A2275" s="16" t="s">
        <v>87</v>
      </c>
      <c r="E2275" s="16" t="str">
        <f>IFERROR(__xludf.DUMMYFUNCTION("""COMPUTED_VALUE"""),"")</f>
        <v/>
      </c>
      <c r="G2275" s="18"/>
      <c r="H2275" s="16" t="s">
        <v>87</v>
      </c>
      <c r="I2275" s="16" t="s">
        <v>87</v>
      </c>
      <c r="J2275" s="19"/>
      <c r="L2275" s="16" t="str">
        <f>IFERROR(__xludf.DUMMYFUNCTION("""COMPUTED_VALUE"""),"")</f>
        <v/>
      </c>
      <c r="M2275" s="16" t="str">
        <f>IFERROR(__xludf.DUMMYFUNCTION("""COMPUTED_VALUE"""),"")</f>
        <v/>
      </c>
      <c r="U2275" s="16" t="s">
        <v>87</v>
      </c>
      <c r="V2275" s="16" t="str">
        <f>IFERROR(__xludf.DUMMYFUNCTION("""COMPUTED_VALUE"""),"")</f>
        <v/>
      </c>
      <c r="W2275" s="16" t="str">
        <f>IFERROR(__xludf.DUMMYFUNCTION("""COMPUTED_VALUE"""),"")</f>
        <v/>
      </c>
      <c r="X2275" s="16" t="str">
        <f>IFERROR(__xludf.DUMMYFUNCTION("""COMPUTED_VALUE"""),"")</f>
        <v/>
      </c>
      <c r="AC2275" s="16" t="str">
        <f>IFERROR(__xludf.DUMMYFUNCTION("""COMPUTED_VALUE"""),"")</f>
        <v/>
      </c>
    </row>
    <row r="2276">
      <c r="A2276" s="16" t="s">
        <v>87</v>
      </c>
      <c r="E2276" s="16" t="str">
        <f>IFERROR(__xludf.DUMMYFUNCTION("""COMPUTED_VALUE"""),"")</f>
        <v/>
      </c>
      <c r="G2276" s="18"/>
      <c r="H2276" s="16" t="s">
        <v>87</v>
      </c>
      <c r="I2276" s="16" t="s">
        <v>87</v>
      </c>
      <c r="J2276" s="19"/>
      <c r="L2276" s="16" t="str">
        <f>IFERROR(__xludf.DUMMYFUNCTION("""COMPUTED_VALUE"""),"")</f>
        <v/>
      </c>
      <c r="M2276" s="16" t="str">
        <f>IFERROR(__xludf.DUMMYFUNCTION("""COMPUTED_VALUE"""),"")</f>
        <v/>
      </c>
      <c r="U2276" s="16" t="s">
        <v>87</v>
      </c>
      <c r="V2276" s="16" t="str">
        <f>IFERROR(__xludf.DUMMYFUNCTION("""COMPUTED_VALUE"""),"")</f>
        <v/>
      </c>
      <c r="W2276" s="16" t="str">
        <f>IFERROR(__xludf.DUMMYFUNCTION("""COMPUTED_VALUE"""),"")</f>
        <v/>
      </c>
      <c r="X2276" s="16" t="str">
        <f>IFERROR(__xludf.DUMMYFUNCTION("""COMPUTED_VALUE"""),"")</f>
        <v/>
      </c>
      <c r="AC2276" s="16" t="str">
        <f>IFERROR(__xludf.DUMMYFUNCTION("""COMPUTED_VALUE"""),"")</f>
        <v/>
      </c>
    </row>
    <row r="2277">
      <c r="A2277" s="16" t="s">
        <v>87</v>
      </c>
      <c r="E2277" s="16" t="str">
        <f>IFERROR(__xludf.DUMMYFUNCTION("""COMPUTED_VALUE"""),"")</f>
        <v/>
      </c>
      <c r="G2277" s="18"/>
      <c r="H2277" s="16" t="s">
        <v>87</v>
      </c>
      <c r="I2277" s="16" t="s">
        <v>87</v>
      </c>
      <c r="J2277" s="19"/>
      <c r="L2277" s="16" t="str">
        <f>IFERROR(__xludf.DUMMYFUNCTION("""COMPUTED_VALUE"""),"")</f>
        <v/>
      </c>
      <c r="M2277" s="16" t="str">
        <f>IFERROR(__xludf.DUMMYFUNCTION("""COMPUTED_VALUE"""),"")</f>
        <v/>
      </c>
      <c r="U2277" s="16" t="s">
        <v>87</v>
      </c>
      <c r="V2277" s="16" t="str">
        <f>IFERROR(__xludf.DUMMYFUNCTION("""COMPUTED_VALUE"""),"")</f>
        <v/>
      </c>
      <c r="W2277" s="16" t="str">
        <f>IFERROR(__xludf.DUMMYFUNCTION("""COMPUTED_VALUE"""),"")</f>
        <v/>
      </c>
      <c r="X2277" s="16" t="str">
        <f>IFERROR(__xludf.DUMMYFUNCTION("""COMPUTED_VALUE"""),"")</f>
        <v/>
      </c>
      <c r="AC2277" s="16" t="str">
        <f>IFERROR(__xludf.DUMMYFUNCTION("""COMPUTED_VALUE"""),"")</f>
        <v/>
      </c>
    </row>
    <row r="2278">
      <c r="A2278" s="16" t="s">
        <v>87</v>
      </c>
      <c r="E2278" s="16" t="str">
        <f>IFERROR(__xludf.DUMMYFUNCTION("""COMPUTED_VALUE"""),"")</f>
        <v/>
      </c>
      <c r="G2278" s="18"/>
      <c r="H2278" s="16" t="s">
        <v>87</v>
      </c>
      <c r="I2278" s="16" t="s">
        <v>87</v>
      </c>
      <c r="J2278" s="19"/>
      <c r="L2278" s="16" t="str">
        <f>IFERROR(__xludf.DUMMYFUNCTION("""COMPUTED_VALUE"""),"")</f>
        <v/>
      </c>
      <c r="M2278" s="16" t="str">
        <f>IFERROR(__xludf.DUMMYFUNCTION("""COMPUTED_VALUE"""),"")</f>
        <v/>
      </c>
      <c r="U2278" s="16" t="s">
        <v>87</v>
      </c>
      <c r="V2278" s="16" t="str">
        <f>IFERROR(__xludf.DUMMYFUNCTION("""COMPUTED_VALUE"""),"")</f>
        <v/>
      </c>
      <c r="W2278" s="16" t="str">
        <f>IFERROR(__xludf.DUMMYFUNCTION("""COMPUTED_VALUE"""),"")</f>
        <v/>
      </c>
      <c r="X2278" s="16" t="str">
        <f>IFERROR(__xludf.DUMMYFUNCTION("""COMPUTED_VALUE"""),"")</f>
        <v/>
      </c>
      <c r="AC2278" s="16" t="str">
        <f>IFERROR(__xludf.DUMMYFUNCTION("""COMPUTED_VALUE"""),"")</f>
        <v/>
      </c>
    </row>
    <row r="2279">
      <c r="A2279" s="16" t="s">
        <v>87</v>
      </c>
      <c r="E2279" s="16" t="str">
        <f>IFERROR(__xludf.DUMMYFUNCTION("""COMPUTED_VALUE"""),"")</f>
        <v/>
      </c>
      <c r="G2279" s="18"/>
      <c r="H2279" s="16" t="s">
        <v>87</v>
      </c>
      <c r="I2279" s="16" t="s">
        <v>87</v>
      </c>
      <c r="J2279" s="19"/>
      <c r="L2279" s="16" t="str">
        <f>IFERROR(__xludf.DUMMYFUNCTION("""COMPUTED_VALUE"""),"")</f>
        <v/>
      </c>
      <c r="M2279" s="16" t="str">
        <f>IFERROR(__xludf.DUMMYFUNCTION("""COMPUTED_VALUE"""),"")</f>
        <v/>
      </c>
      <c r="U2279" s="16" t="s">
        <v>87</v>
      </c>
      <c r="V2279" s="16" t="str">
        <f>IFERROR(__xludf.DUMMYFUNCTION("""COMPUTED_VALUE"""),"")</f>
        <v/>
      </c>
      <c r="W2279" s="16" t="str">
        <f>IFERROR(__xludf.DUMMYFUNCTION("""COMPUTED_VALUE"""),"")</f>
        <v/>
      </c>
      <c r="X2279" s="16" t="str">
        <f>IFERROR(__xludf.DUMMYFUNCTION("""COMPUTED_VALUE"""),"")</f>
        <v/>
      </c>
      <c r="AC2279" s="16" t="str">
        <f>IFERROR(__xludf.DUMMYFUNCTION("""COMPUTED_VALUE"""),"")</f>
        <v/>
      </c>
    </row>
    <row r="2280">
      <c r="A2280" s="16" t="s">
        <v>87</v>
      </c>
      <c r="E2280" s="16" t="str">
        <f>IFERROR(__xludf.DUMMYFUNCTION("""COMPUTED_VALUE"""),"")</f>
        <v/>
      </c>
      <c r="G2280" s="18"/>
      <c r="H2280" s="16" t="s">
        <v>87</v>
      </c>
      <c r="I2280" s="16" t="s">
        <v>87</v>
      </c>
      <c r="J2280" s="19"/>
      <c r="L2280" s="16" t="str">
        <f>IFERROR(__xludf.DUMMYFUNCTION("""COMPUTED_VALUE"""),"")</f>
        <v/>
      </c>
      <c r="M2280" s="16" t="str">
        <f>IFERROR(__xludf.DUMMYFUNCTION("""COMPUTED_VALUE"""),"")</f>
        <v/>
      </c>
      <c r="U2280" s="16" t="s">
        <v>87</v>
      </c>
      <c r="V2280" s="16" t="str">
        <f>IFERROR(__xludf.DUMMYFUNCTION("""COMPUTED_VALUE"""),"")</f>
        <v/>
      </c>
      <c r="W2280" s="16" t="str">
        <f>IFERROR(__xludf.DUMMYFUNCTION("""COMPUTED_VALUE"""),"")</f>
        <v/>
      </c>
      <c r="X2280" s="16" t="str">
        <f>IFERROR(__xludf.DUMMYFUNCTION("""COMPUTED_VALUE"""),"")</f>
        <v/>
      </c>
      <c r="AC2280" s="16" t="str">
        <f>IFERROR(__xludf.DUMMYFUNCTION("""COMPUTED_VALUE"""),"")</f>
        <v/>
      </c>
    </row>
    <row r="2281">
      <c r="A2281" s="16" t="s">
        <v>87</v>
      </c>
      <c r="E2281" s="16" t="str">
        <f>IFERROR(__xludf.DUMMYFUNCTION("""COMPUTED_VALUE"""),"")</f>
        <v/>
      </c>
      <c r="G2281" s="18"/>
      <c r="H2281" s="16" t="s">
        <v>87</v>
      </c>
      <c r="I2281" s="16" t="s">
        <v>87</v>
      </c>
      <c r="J2281" s="19"/>
      <c r="L2281" s="16" t="str">
        <f>IFERROR(__xludf.DUMMYFUNCTION("""COMPUTED_VALUE"""),"")</f>
        <v/>
      </c>
      <c r="M2281" s="16" t="str">
        <f>IFERROR(__xludf.DUMMYFUNCTION("""COMPUTED_VALUE"""),"")</f>
        <v/>
      </c>
      <c r="U2281" s="16" t="s">
        <v>87</v>
      </c>
      <c r="V2281" s="16" t="str">
        <f>IFERROR(__xludf.DUMMYFUNCTION("""COMPUTED_VALUE"""),"")</f>
        <v/>
      </c>
      <c r="W2281" s="16" t="str">
        <f>IFERROR(__xludf.DUMMYFUNCTION("""COMPUTED_VALUE"""),"")</f>
        <v/>
      </c>
      <c r="X2281" s="16" t="str">
        <f>IFERROR(__xludf.DUMMYFUNCTION("""COMPUTED_VALUE"""),"")</f>
        <v/>
      </c>
      <c r="AC2281" s="16" t="str">
        <f>IFERROR(__xludf.DUMMYFUNCTION("""COMPUTED_VALUE"""),"")</f>
        <v/>
      </c>
    </row>
    <row r="2282">
      <c r="A2282" s="16" t="s">
        <v>87</v>
      </c>
      <c r="E2282" s="16" t="str">
        <f>IFERROR(__xludf.DUMMYFUNCTION("""COMPUTED_VALUE"""),"")</f>
        <v/>
      </c>
      <c r="G2282" s="18"/>
      <c r="H2282" s="16" t="s">
        <v>87</v>
      </c>
      <c r="I2282" s="16" t="s">
        <v>87</v>
      </c>
      <c r="J2282" s="19"/>
      <c r="L2282" s="16" t="str">
        <f>IFERROR(__xludf.DUMMYFUNCTION("""COMPUTED_VALUE"""),"")</f>
        <v/>
      </c>
      <c r="M2282" s="16" t="str">
        <f>IFERROR(__xludf.DUMMYFUNCTION("""COMPUTED_VALUE"""),"")</f>
        <v/>
      </c>
      <c r="U2282" s="16" t="s">
        <v>87</v>
      </c>
      <c r="V2282" s="16" t="str">
        <f>IFERROR(__xludf.DUMMYFUNCTION("""COMPUTED_VALUE"""),"")</f>
        <v/>
      </c>
      <c r="W2282" s="16" t="str">
        <f>IFERROR(__xludf.DUMMYFUNCTION("""COMPUTED_VALUE"""),"")</f>
        <v/>
      </c>
      <c r="X2282" s="16" t="str">
        <f>IFERROR(__xludf.DUMMYFUNCTION("""COMPUTED_VALUE"""),"")</f>
        <v/>
      </c>
      <c r="AC2282" s="16" t="str">
        <f>IFERROR(__xludf.DUMMYFUNCTION("""COMPUTED_VALUE"""),"")</f>
        <v/>
      </c>
    </row>
    <row r="2283">
      <c r="A2283" s="16" t="s">
        <v>87</v>
      </c>
      <c r="E2283" s="16" t="str">
        <f>IFERROR(__xludf.DUMMYFUNCTION("""COMPUTED_VALUE"""),"")</f>
        <v/>
      </c>
      <c r="G2283" s="18"/>
      <c r="H2283" s="16" t="s">
        <v>87</v>
      </c>
      <c r="I2283" s="16" t="s">
        <v>87</v>
      </c>
      <c r="J2283" s="19"/>
      <c r="L2283" s="16" t="str">
        <f>IFERROR(__xludf.DUMMYFUNCTION("""COMPUTED_VALUE"""),"")</f>
        <v/>
      </c>
      <c r="M2283" s="16" t="str">
        <f>IFERROR(__xludf.DUMMYFUNCTION("""COMPUTED_VALUE"""),"")</f>
        <v/>
      </c>
      <c r="U2283" s="16" t="s">
        <v>87</v>
      </c>
      <c r="V2283" s="16" t="str">
        <f>IFERROR(__xludf.DUMMYFUNCTION("""COMPUTED_VALUE"""),"")</f>
        <v/>
      </c>
      <c r="W2283" s="16" t="str">
        <f>IFERROR(__xludf.DUMMYFUNCTION("""COMPUTED_VALUE"""),"")</f>
        <v/>
      </c>
      <c r="X2283" s="16" t="str">
        <f>IFERROR(__xludf.DUMMYFUNCTION("""COMPUTED_VALUE"""),"")</f>
        <v/>
      </c>
      <c r="AC2283" s="16" t="str">
        <f>IFERROR(__xludf.DUMMYFUNCTION("""COMPUTED_VALUE"""),"")</f>
        <v/>
      </c>
    </row>
    <row r="2284">
      <c r="A2284" s="16" t="s">
        <v>87</v>
      </c>
      <c r="E2284" s="16" t="str">
        <f>IFERROR(__xludf.DUMMYFUNCTION("""COMPUTED_VALUE"""),"")</f>
        <v/>
      </c>
      <c r="G2284" s="18"/>
      <c r="H2284" s="16" t="s">
        <v>87</v>
      </c>
      <c r="I2284" s="16" t="s">
        <v>87</v>
      </c>
      <c r="J2284" s="19"/>
      <c r="L2284" s="16" t="str">
        <f>IFERROR(__xludf.DUMMYFUNCTION("""COMPUTED_VALUE"""),"")</f>
        <v/>
      </c>
      <c r="M2284" s="16" t="str">
        <f>IFERROR(__xludf.DUMMYFUNCTION("""COMPUTED_VALUE"""),"")</f>
        <v/>
      </c>
      <c r="U2284" s="16" t="s">
        <v>87</v>
      </c>
      <c r="V2284" s="16" t="str">
        <f>IFERROR(__xludf.DUMMYFUNCTION("""COMPUTED_VALUE"""),"")</f>
        <v/>
      </c>
      <c r="W2284" s="16" t="str">
        <f>IFERROR(__xludf.DUMMYFUNCTION("""COMPUTED_VALUE"""),"")</f>
        <v/>
      </c>
      <c r="X2284" s="16" t="str">
        <f>IFERROR(__xludf.DUMMYFUNCTION("""COMPUTED_VALUE"""),"")</f>
        <v/>
      </c>
      <c r="AC2284" s="16" t="str">
        <f>IFERROR(__xludf.DUMMYFUNCTION("""COMPUTED_VALUE"""),"")</f>
        <v/>
      </c>
    </row>
    <row r="2285">
      <c r="A2285" s="16" t="s">
        <v>87</v>
      </c>
      <c r="E2285" s="16" t="str">
        <f>IFERROR(__xludf.DUMMYFUNCTION("""COMPUTED_VALUE"""),"")</f>
        <v/>
      </c>
      <c r="G2285" s="18"/>
      <c r="H2285" s="16" t="s">
        <v>87</v>
      </c>
      <c r="I2285" s="16" t="s">
        <v>87</v>
      </c>
      <c r="J2285" s="19"/>
      <c r="L2285" s="16" t="str">
        <f>IFERROR(__xludf.DUMMYFUNCTION("""COMPUTED_VALUE"""),"")</f>
        <v/>
      </c>
      <c r="M2285" s="16" t="str">
        <f>IFERROR(__xludf.DUMMYFUNCTION("""COMPUTED_VALUE"""),"")</f>
        <v/>
      </c>
      <c r="U2285" s="16" t="s">
        <v>87</v>
      </c>
      <c r="V2285" s="16" t="str">
        <f>IFERROR(__xludf.DUMMYFUNCTION("""COMPUTED_VALUE"""),"")</f>
        <v/>
      </c>
      <c r="W2285" s="16" t="str">
        <f>IFERROR(__xludf.DUMMYFUNCTION("""COMPUTED_VALUE"""),"")</f>
        <v/>
      </c>
      <c r="X2285" s="16" t="str">
        <f>IFERROR(__xludf.DUMMYFUNCTION("""COMPUTED_VALUE"""),"")</f>
        <v/>
      </c>
      <c r="AC2285" s="16" t="str">
        <f>IFERROR(__xludf.DUMMYFUNCTION("""COMPUTED_VALUE"""),"")</f>
        <v/>
      </c>
    </row>
    <row r="2286">
      <c r="A2286" s="16" t="s">
        <v>87</v>
      </c>
      <c r="E2286" s="16" t="str">
        <f>IFERROR(__xludf.DUMMYFUNCTION("""COMPUTED_VALUE"""),"")</f>
        <v/>
      </c>
      <c r="G2286" s="18"/>
      <c r="H2286" s="16" t="s">
        <v>87</v>
      </c>
      <c r="I2286" s="16" t="s">
        <v>87</v>
      </c>
      <c r="J2286" s="19"/>
      <c r="L2286" s="16" t="str">
        <f>IFERROR(__xludf.DUMMYFUNCTION("""COMPUTED_VALUE"""),"")</f>
        <v/>
      </c>
      <c r="M2286" s="16" t="str">
        <f>IFERROR(__xludf.DUMMYFUNCTION("""COMPUTED_VALUE"""),"")</f>
        <v/>
      </c>
      <c r="U2286" s="16" t="s">
        <v>87</v>
      </c>
      <c r="V2286" s="16" t="str">
        <f>IFERROR(__xludf.DUMMYFUNCTION("""COMPUTED_VALUE"""),"")</f>
        <v/>
      </c>
      <c r="W2286" s="16" t="str">
        <f>IFERROR(__xludf.DUMMYFUNCTION("""COMPUTED_VALUE"""),"")</f>
        <v/>
      </c>
      <c r="X2286" s="16" t="str">
        <f>IFERROR(__xludf.DUMMYFUNCTION("""COMPUTED_VALUE"""),"")</f>
        <v/>
      </c>
      <c r="AC2286" s="16" t="str">
        <f>IFERROR(__xludf.DUMMYFUNCTION("""COMPUTED_VALUE"""),"")</f>
        <v/>
      </c>
    </row>
    <row r="2287">
      <c r="A2287" s="16" t="s">
        <v>87</v>
      </c>
      <c r="E2287" s="16" t="str">
        <f>IFERROR(__xludf.DUMMYFUNCTION("""COMPUTED_VALUE"""),"")</f>
        <v/>
      </c>
      <c r="G2287" s="18"/>
      <c r="H2287" s="16" t="s">
        <v>87</v>
      </c>
      <c r="I2287" s="16" t="s">
        <v>87</v>
      </c>
      <c r="J2287" s="19"/>
      <c r="L2287" s="16" t="str">
        <f>IFERROR(__xludf.DUMMYFUNCTION("""COMPUTED_VALUE"""),"")</f>
        <v/>
      </c>
      <c r="M2287" s="16" t="str">
        <f>IFERROR(__xludf.DUMMYFUNCTION("""COMPUTED_VALUE"""),"")</f>
        <v/>
      </c>
      <c r="U2287" s="16" t="s">
        <v>87</v>
      </c>
      <c r="V2287" s="16" t="str">
        <f>IFERROR(__xludf.DUMMYFUNCTION("""COMPUTED_VALUE"""),"")</f>
        <v/>
      </c>
      <c r="W2287" s="16" t="str">
        <f>IFERROR(__xludf.DUMMYFUNCTION("""COMPUTED_VALUE"""),"")</f>
        <v/>
      </c>
      <c r="X2287" s="16" t="str">
        <f>IFERROR(__xludf.DUMMYFUNCTION("""COMPUTED_VALUE"""),"")</f>
        <v/>
      </c>
      <c r="AC2287" s="16" t="str">
        <f>IFERROR(__xludf.DUMMYFUNCTION("""COMPUTED_VALUE"""),"")</f>
        <v/>
      </c>
    </row>
    <row r="2288">
      <c r="A2288" s="16" t="s">
        <v>87</v>
      </c>
      <c r="E2288" s="16" t="str">
        <f>IFERROR(__xludf.DUMMYFUNCTION("""COMPUTED_VALUE"""),"")</f>
        <v/>
      </c>
      <c r="G2288" s="18"/>
      <c r="H2288" s="16" t="s">
        <v>87</v>
      </c>
      <c r="I2288" s="16" t="s">
        <v>87</v>
      </c>
      <c r="J2288" s="19"/>
      <c r="L2288" s="16" t="str">
        <f>IFERROR(__xludf.DUMMYFUNCTION("""COMPUTED_VALUE"""),"")</f>
        <v/>
      </c>
      <c r="M2288" s="16" t="str">
        <f>IFERROR(__xludf.DUMMYFUNCTION("""COMPUTED_VALUE"""),"")</f>
        <v/>
      </c>
      <c r="U2288" s="16" t="s">
        <v>87</v>
      </c>
      <c r="V2288" s="16" t="str">
        <f>IFERROR(__xludf.DUMMYFUNCTION("""COMPUTED_VALUE"""),"")</f>
        <v/>
      </c>
      <c r="W2288" s="16" t="str">
        <f>IFERROR(__xludf.DUMMYFUNCTION("""COMPUTED_VALUE"""),"")</f>
        <v/>
      </c>
      <c r="X2288" s="16" t="str">
        <f>IFERROR(__xludf.DUMMYFUNCTION("""COMPUTED_VALUE"""),"")</f>
        <v/>
      </c>
      <c r="AC2288" s="16" t="str">
        <f>IFERROR(__xludf.DUMMYFUNCTION("""COMPUTED_VALUE"""),"")</f>
        <v/>
      </c>
    </row>
    <row r="2289">
      <c r="A2289" s="16" t="s">
        <v>87</v>
      </c>
      <c r="E2289" s="16" t="str">
        <f>IFERROR(__xludf.DUMMYFUNCTION("""COMPUTED_VALUE"""),"")</f>
        <v/>
      </c>
      <c r="G2289" s="18"/>
      <c r="H2289" s="16" t="s">
        <v>87</v>
      </c>
      <c r="I2289" s="16" t="s">
        <v>87</v>
      </c>
      <c r="J2289" s="19"/>
      <c r="L2289" s="16" t="str">
        <f>IFERROR(__xludf.DUMMYFUNCTION("""COMPUTED_VALUE"""),"")</f>
        <v/>
      </c>
      <c r="M2289" s="16" t="str">
        <f>IFERROR(__xludf.DUMMYFUNCTION("""COMPUTED_VALUE"""),"")</f>
        <v/>
      </c>
      <c r="U2289" s="16" t="s">
        <v>87</v>
      </c>
      <c r="V2289" s="16" t="str">
        <f>IFERROR(__xludf.DUMMYFUNCTION("""COMPUTED_VALUE"""),"")</f>
        <v/>
      </c>
      <c r="W2289" s="16" t="str">
        <f>IFERROR(__xludf.DUMMYFUNCTION("""COMPUTED_VALUE"""),"")</f>
        <v/>
      </c>
      <c r="X2289" s="16" t="str">
        <f>IFERROR(__xludf.DUMMYFUNCTION("""COMPUTED_VALUE"""),"")</f>
        <v/>
      </c>
      <c r="AC2289" s="16" t="str">
        <f>IFERROR(__xludf.DUMMYFUNCTION("""COMPUTED_VALUE"""),"")</f>
        <v/>
      </c>
    </row>
    <row r="2290">
      <c r="A2290" s="16" t="s">
        <v>87</v>
      </c>
      <c r="E2290" s="16" t="str">
        <f>IFERROR(__xludf.DUMMYFUNCTION("""COMPUTED_VALUE"""),"")</f>
        <v/>
      </c>
      <c r="G2290" s="18"/>
      <c r="H2290" s="16" t="s">
        <v>87</v>
      </c>
      <c r="I2290" s="16" t="s">
        <v>87</v>
      </c>
      <c r="J2290" s="19"/>
      <c r="L2290" s="16" t="str">
        <f>IFERROR(__xludf.DUMMYFUNCTION("""COMPUTED_VALUE"""),"")</f>
        <v/>
      </c>
      <c r="M2290" s="16" t="str">
        <f>IFERROR(__xludf.DUMMYFUNCTION("""COMPUTED_VALUE"""),"")</f>
        <v/>
      </c>
      <c r="U2290" s="16" t="s">
        <v>87</v>
      </c>
      <c r="V2290" s="16" t="str">
        <f>IFERROR(__xludf.DUMMYFUNCTION("""COMPUTED_VALUE"""),"")</f>
        <v/>
      </c>
      <c r="W2290" s="16" t="str">
        <f>IFERROR(__xludf.DUMMYFUNCTION("""COMPUTED_VALUE"""),"")</f>
        <v/>
      </c>
      <c r="X2290" s="16" t="str">
        <f>IFERROR(__xludf.DUMMYFUNCTION("""COMPUTED_VALUE"""),"")</f>
        <v/>
      </c>
      <c r="AC2290" s="16" t="str">
        <f>IFERROR(__xludf.DUMMYFUNCTION("""COMPUTED_VALUE"""),"")</f>
        <v/>
      </c>
    </row>
    <row r="2291">
      <c r="A2291" s="16" t="s">
        <v>87</v>
      </c>
      <c r="E2291" s="16" t="str">
        <f>IFERROR(__xludf.DUMMYFUNCTION("""COMPUTED_VALUE"""),"")</f>
        <v/>
      </c>
      <c r="G2291" s="18"/>
      <c r="H2291" s="16" t="s">
        <v>87</v>
      </c>
      <c r="I2291" s="16" t="s">
        <v>87</v>
      </c>
      <c r="J2291" s="19"/>
      <c r="L2291" s="16" t="str">
        <f>IFERROR(__xludf.DUMMYFUNCTION("""COMPUTED_VALUE"""),"")</f>
        <v/>
      </c>
      <c r="M2291" s="16" t="str">
        <f>IFERROR(__xludf.DUMMYFUNCTION("""COMPUTED_VALUE"""),"")</f>
        <v/>
      </c>
      <c r="U2291" s="16" t="s">
        <v>87</v>
      </c>
      <c r="V2291" s="16" t="str">
        <f>IFERROR(__xludf.DUMMYFUNCTION("""COMPUTED_VALUE"""),"")</f>
        <v/>
      </c>
      <c r="W2291" s="16" t="str">
        <f>IFERROR(__xludf.DUMMYFUNCTION("""COMPUTED_VALUE"""),"")</f>
        <v/>
      </c>
      <c r="X2291" s="16" t="str">
        <f>IFERROR(__xludf.DUMMYFUNCTION("""COMPUTED_VALUE"""),"")</f>
        <v/>
      </c>
      <c r="AC2291" s="16" t="str">
        <f>IFERROR(__xludf.DUMMYFUNCTION("""COMPUTED_VALUE"""),"")</f>
        <v/>
      </c>
    </row>
    <row r="2292">
      <c r="A2292" s="16" t="s">
        <v>87</v>
      </c>
      <c r="E2292" s="16" t="str">
        <f>IFERROR(__xludf.DUMMYFUNCTION("""COMPUTED_VALUE"""),"")</f>
        <v/>
      </c>
      <c r="G2292" s="18"/>
      <c r="H2292" s="16" t="s">
        <v>87</v>
      </c>
      <c r="I2292" s="16" t="s">
        <v>87</v>
      </c>
      <c r="J2292" s="19"/>
      <c r="L2292" s="16" t="str">
        <f>IFERROR(__xludf.DUMMYFUNCTION("""COMPUTED_VALUE"""),"")</f>
        <v/>
      </c>
      <c r="M2292" s="16" t="str">
        <f>IFERROR(__xludf.DUMMYFUNCTION("""COMPUTED_VALUE"""),"")</f>
        <v/>
      </c>
      <c r="U2292" s="16" t="s">
        <v>87</v>
      </c>
      <c r="V2292" s="16" t="str">
        <f>IFERROR(__xludf.DUMMYFUNCTION("""COMPUTED_VALUE"""),"")</f>
        <v/>
      </c>
      <c r="W2292" s="16" t="str">
        <f>IFERROR(__xludf.DUMMYFUNCTION("""COMPUTED_VALUE"""),"")</f>
        <v/>
      </c>
      <c r="X2292" s="16" t="str">
        <f>IFERROR(__xludf.DUMMYFUNCTION("""COMPUTED_VALUE"""),"")</f>
        <v/>
      </c>
      <c r="AC2292" s="16" t="str">
        <f>IFERROR(__xludf.DUMMYFUNCTION("""COMPUTED_VALUE"""),"")</f>
        <v/>
      </c>
    </row>
    <row r="2293">
      <c r="A2293" s="16" t="s">
        <v>87</v>
      </c>
      <c r="E2293" s="16" t="str">
        <f>IFERROR(__xludf.DUMMYFUNCTION("""COMPUTED_VALUE"""),"")</f>
        <v/>
      </c>
      <c r="G2293" s="18"/>
      <c r="H2293" s="16" t="s">
        <v>87</v>
      </c>
      <c r="I2293" s="16" t="s">
        <v>87</v>
      </c>
      <c r="J2293" s="19"/>
      <c r="L2293" s="16" t="str">
        <f>IFERROR(__xludf.DUMMYFUNCTION("""COMPUTED_VALUE"""),"")</f>
        <v/>
      </c>
      <c r="M2293" s="16" t="str">
        <f>IFERROR(__xludf.DUMMYFUNCTION("""COMPUTED_VALUE"""),"")</f>
        <v/>
      </c>
      <c r="U2293" s="16" t="s">
        <v>87</v>
      </c>
      <c r="V2293" s="16" t="str">
        <f>IFERROR(__xludf.DUMMYFUNCTION("""COMPUTED_VALUE"""),"")</f>
        <v/>
      </c>
      <c r="W2293" s="16" t="str">
        <f>IFERROR(__xludf.DUMMYFUNCTION("""COMPUTED_VALUE"""),"")</f>
        <v/>
      </c>
      <c r="X2293" s="16" t="str">
        <f>IFERROR(__xludf.DUMMYFUNCTION("""COMPUTED_VALUE"""),"")</f>
        <v/>
      </c>
      <c r="AC2293" s="16" t="str">
        <f>IFERROR(__xludf.DUMMYFUNCTION("""COMPUTED_VALUE"""),"")</f>
        <v/>
      </c>
    </row>
    <row r="2294">
      <c r="A2294" s="16" t="s">
        <v>87</v>
      </c>
      <c r="E2294" s="16" t="str">
        <f>IFERROR(__xludf.DUMMYFUNCTION("""COMPUTED_VALUE"""),"")</f>
        <v/>
      </c>
      <c r="G2294" s="18"/>
      <c r="H2294" s="16" t="s">
        <v>87</v>
      </c>
      <c r="I2294" s="16" t="s">
        <v>87</v>
      </c>
      <c r="J2294" s="19"/>
      <c r="L2294" s="16" t="str">
        <f>IFERROR(__xludf.DUMMYFUNCTION("""COMPUTED_VALUE"""),"")</f>
        <v/>
      </c>
      <c r="M2294" s="16" t="str">
        <f>IFERROR(__xludf.DUMMYFUNCTION("""COMPUTED_VALUE"""),"")</f>
        <v/>
      </c>
      <c r="U2294" s="16" t="s">
        <v>87</v>
      </c>
      <c r="V2294" s="16" t="str">
        <f>IFERROR(__xludf.DUMMYFUNCTION("""COMPUTED_VALUE"""),"")</f>
        <v/>
      </c>
      <c r="W2294" s="16" t="str">
        <f>IFERROR(__xludf.DUMMYFUNCTION("""COMPUTED_VALUE"""),"")</f>
        <v/>
      </c>
      <c r="X2294" s="16" t="str">
        <f>IFERROR(__xludf.DUMMYFUNCTION("""COMPUTED_VALUE"""),"")</f>
        <v/>
      </c>
      <c r="AC2294" s="16" t="str">
        <f>IFERROR(__xludf.DUMMYFUNCTION("""COMPUTED_VALUE"""),"")</f>
        <v/>
      </c>
    </row>
    <row r="2295">
      <c r="A2295" s="16" t="s">
        <v>87</v>
      </c>
      <c r="E2295" s="16" t="str">
        <f>IFERROR(__xludf.DUMMYFUNCTION("""COMPUTED_VALUE"""),"")</f>
        <v/>
      </c>
      <c r="G2295" s="18"/>
      <c r="H2295" s="16" t="s">
        <v>87</v>
      </c>
      <c r="I2295" s="16" t="s">
        <v>87</v>
      </c>
      <c r="J2295" s="19"/>
      <c r="L2295" s="16" t="str">
        <f>IFERROR(__xludf.DUMMYFUNCTION("""COMPUTED_VALUE"""),"")</f>
        <v/>
      </c>
      <c r="M2295" s="16" t="str">
        <f>IFERROR(__xludf.DUMMYFUNCTION("""COMPUTED_VALUE"""),"")</f>
        <v/>
      </c>
      <c r="U2295" s="16" t="s">
        <v>87</v>
      </c>
      <c r="V2295" s="16" t="str">
        <f>IFERROR(__xludf.DUMMYFUNCTION("""COMPUTED_VALUE"""),"")</f>
        <v/>
      </c>
      <c r="W2295" s="16" t="str">
        <f>IFERROR(__xludf.DUMMYFUNCTION("""COMPUTED_VALUE"""),"")</f>
        <v/>
      </c>
      <c r="X2295" s="16" t="str">
        <f>IFERROR(__xludf.DUMMYFUNCTION("""COMPUTED_VALUE"""),"")</f>
        <v/>
      </c>
      <c r="AC2295" s="16" t="str">
        <f>IFERROR(__xludf.DUMMYFUNCTION("""COMPUTED_VALUE"""),"")</f>
        <v/>
      </c>
    </row>
    <row r="2296">
      <c r="A2296" s="16" t="s">
        <v>87</v>
      </c>
      <c r="E2296" s="16" t="str">
        <f>IFERROR(__xludf.DUMMYFUNCTION("""COMPUTED_VALUE"""),"")</f>
        <v/>
      </c>
      <c r="G2296" s="18"/>
      <c r="H2296" s="16" t="s">
        <v>87</v>
      </c>
      <c r="I2296" s="16" t="s">
        <v>87</v>
      </c>
      <c r="J2296" s="19"/>
      <c r="L2296" s="16" t="str">
        <f>IFERROR(__xludf.DUMMYFUNCTION("""COMPUTED_VALUE"""),"")</f>
        <v/>
      </c>
      <c r="M2296" s="16" t="str">
        <f>IFERROR(__xludf.DUMMYFUNCTION("""COMPUTED_VALUE"""),"")</f>
        <v/>
      </c>
      <c r="U2296" s="16" t="s">
        <v>87</v>
      </c>
      <c r="V2296" s="16" t="str">
        <f>IFERROR(__xludf.DUMMYFUNCTION("""COMPUTED_VALUE"""),"")</f>
        <v/>
      </c>
      <c r="W2296" s="16" t="str">
        <f>IFERROR(__xludf.DUMMYFUNCTION("""COMPUTED_VALUE"""),"")</f>
        <v/>
      </c>
      <c r="X2296" s="16" t="str">
        <f>IFERROR(__xludf.DUMMYFUNCTION("""COMPUTED_VALUE"""),"")</f>
        <v/>
      </c>
      <c r="AC2296" s="16" t="str">
        <f>IFERROR(__xludf.DUMMYFUNCTION("""COMPUTED_VALUE"""),"")</f>
        <v/>
      </c>
    </row>
    <row r="2297">
      <c r="A2297" s="16" t="s">
        <v>87</v>
      </c>
      <c r="E2297" s="16" t="str">
        <f>IFERROR(__xludf.DUMMYFUNCTION("""COMPUTED_VALUE"""),"")</f>
        <v/>
      </c>
      <c r="G2297" s="18"/>
      <c r="H2297" s="16" t="s">
        <v>87</v>
      </c>
      <c r="I2297" s="16" t="s">
        <v>87</v>
      </c>
      <c r="J2297" s="19"/>
      <c r="L2297" s="16" t="str">
        <f>IFERROR(__xludf.DUMMYFUNCTION("""COMPUTED_VALUE"""),"")</f>
        <v/>
      </c>
      <c r="M2297" s="16" t="str">
        <f>IFERROR(__xludf.DUMMYFUNCTION("""COMPUTED_VALUE"""),"")</f>
        <v/>
      </c>
      <c r="U2297" s="16" t="s">
        <v>87</v>
      </c>
      <c r="V2297" s="16" t="str">
        <f>IFERROR(__xludf.DUMMYFUNCTION("""COMPUTED_VALUE"""),"")</f>
        <v/>
      </c>
      <c r="W2297" s="16" t="str">
        <f>IFERROR(__xludf.DUMMYFUNCTION("""COMPUTED_VALUE"""),"")</f>
        <v/>
      </c>
      <c r="X2297" s="16" t="str">
        <f>IFERROR(__xludf.DUMMYFUNCTION("""COMPUTED_VALUE"""),"")</f>
        <v/>
      </c>
      <c r="AC2297" s="16" t="str">
        <f>IFERROR(__xludf.DUMMYFUNCTION("""COMPUTED_VALUE"""),"")</f>
        <v/>
      </c>
    </row>
    <row r="2298">
      <c r="A2298" s="16" t="s">
        <v>87</v>
      </c>
      <c r="E2298" s="16" t="str">
        <f>IFERROR(__xludf.DUMMYFUNCTION("""COMPUTED_VALUE"""),"")</f>
        <v/>
      </c>
      <c r="G2298" s="18"/>
      <c r="H2298" s="16" t="s">
        <v>87</v>
      </c>
      <c r="I2298" s="16" t="s">
        <v>87</v>
      </c>
      <c r="J2298" s="19"/>
      <c r="L2298" s="16" t="str">
        <f>IFERROR(__xludf.DUMMYFUNCTION("""COMPUTED_VALUE"""),"")</f>
        <v/>
      </c>
      <c r="M2298" s="16" t="str">
        <f>IFERROR(__xludf.DUMMYFUNCTION("""COMPUTED_VALUE"""),"")</f>
        <v/>
      </c>
      <c r="U2298" s="16" t="s">
        <v>87</v>
      </c>
      <c r="V2298" s="16" t="str">
        <f>IFERROR(__xludf.DUMMYFUNCTION("""COMPUTED_VALUE"""),"")</f>
        <v/>
      </c>
      <c r="W2298" s="16" t="str">
        <f>IFERROR(__xludf.DUMMYFUNCTION("""COMPUTED_VALUE"""),"")</f>
        <v/>
      </c>
      <c r="X2298" s="16" t="str">
        <f>IFERROR(__xludf.DUMMYFUNCTION("""COMPUTED_VALUE"""),"")</f>
        <v/>
      </c>
      <c r="AC2298" s="16" t="str">
        <f>IFERROR(__xludf.DUMMYFUNCTION("""COMPUTED_VALUE"""),"")</f>
        <v/>
      </c>
    </row>
    <row r="2299">
      <c r="A2299" s="16" t="s">
        <v>87</v>
      </c>
      <c r="E2299" s="16" t="str">
        <f>IFERROR(__xludf.DUMMYFUNCTION("""COMPUTED_VALUE"""),"")</f>
        <v/>
      </c>
      <c r="G2299" s="18"/>
      <c r="H2299" s="16" t="s">
        <v>87</v>
      </c>
      <c r="I2299" s="16" t="s">
        <v>87</v>
      </c>
      <c r="J2299" s="19"/>
      <c r="L2299" s="16" t="str">
        <f>IFERROR(__xludf.DUMMYFUNCTION("""COMPUTED_VALUE"""),"")</f>
        <v/>
      </c>
      <c r="M2299" s="16" t="str">
        <f>IFERROR(__xludf.DUMMYFUNCTION("""COMPUTED_VALUE"""),"")</f>
        <v/>
      </c>
      <c r="U2299" s="16" t="s">
        <v>87</v>
      </c>
      <c r="V2299" s="16" t="str">
        <f>IFERROR(__xludf.DUMMYFUNCTION("""COMPUTED_VALUE"""),"")</f>
        <v/>
      </c>
      <c r="W2299" s="16" t="str">
        <f>IFERROR(__xludf.DUMMYFUNCTION("""COMPUTED_VALUE"""),"")</f>
        <v/>
      </c>
      <c r="X2299" s="16" t="str">
        <f>IFERROR(__xludf.DUMMYFUNCTION("""COMPUTED_VALUE"""),"")</f>
        <v/>
      </c>
      <c r="AC2299" s="16" t="str">
        <f>IFERROR(__xludf.DUMMYFUNCTION("""COMPUTED_VALUE"""),"")</f>
        <v/>
      </c>
    </row>
    <row r="2300">
      <c r="A2300" s="16" t="s">
        <v>87</v>
      </c>
      <c r="E2300" s="16" t="str">
        <f>IFERROR(__xludf.DUMMYFUNCTION("""COMPUTED_VALUE"""),"")</f>
        <v/>
      </c>
      <c r="G2300" s="18"/>
      <c r="H2300" s="16" t="s">
        <v>87</v>
      </c>
      <c r="I2300" s="16" t="s">
        <v>87</v>
      </c>
      <c r="J2300" s="19"/>
      <c r="L2300" s="16" t="str">
        <f>IFERROR(__xludf.DUMMYFUNCTION("""COMPUTED_VALUE"""),"")</f>
        <v/>
      </c>
      <c r="M2300" s="16" t="str">
        <f>IFERROR(__xludf.DUMMYFUNCTION("""COMPUTED_VALUE"""),"")</f>
        <v/>
      </c>
      <c r="U2300" s="16" t="s">
        <v>87</v>
      </c>
      <c r="V2300" s="16" t="str">
        <f>IFERROR(__xludf.DUMMYFUNCTION("""COMPUTED_VALUE"""),"")</f>
        <v/>
      </c>
      <c r="W2300" s="16" t="str">
        <f>IFERROR(__xludf.DUMMYFUNCTION("""COMPUTED_VALUE"""),"")</f>
        <v/>
      </c>
      <c r="X2300" s="16" t="str">
        <f>IFERROR(__xludf.DUMMYFUNCTION("""COMPUTED_VALUE"""),"")</f>
        <v/>
      </c>
      <c r="AC2300" s="16" t="str">
        <f>IFERROR(__xludf.DUMMYFUNCTION("""COMPUTED_VALUE"""),"")</f>
        <v/>
      </c>
    </row>
    <row r="2301">
      <c r="A2301" s="16" t="s">
        <v>87</v>
      </c>
      <c r="E2301" s="16" t="str">
        <f>IFERROR(__xludf.DUMMYFUNCTION("""COMPUTED_VALUE"""),"")</f>
        <v/>
      </c>
      <c r="G2301" s="18"/>
      <c r="H2301" s="16" t="s">
        <v>87</v>
      </c>
      <c r="I2301" s="16" t="s">
        <v>87</v>
      </c>
      <c r="J2301" s="19"/>
      <c r="L2301" s="16" t="str">
        <f>IFERROR(__xludf.DUMMYFUNCTION("""COMPUTED_VALUE"""),"")</f>
        <v/>
      </c>
      <c r="M2301" s="16" t="str">
        <f>IFERROR(__xludf.DUMMYFUNCTION("""COMPUTED_VALUE"""),"")</f>
        <v/>
      </c>
      <c r="U2301" s="16" t="s">
        <v>87</v>
      </c>
      <c r="V2301" s="16" t="str">
        <f>IFERROR(__xludf.DUMMYFUNCTION("""COMPUTED_VALUE"""),"")</f>
        <v/>
      </c>
      <c r="W2301" s="16" t="str">
        <f>IFERROR(__xludf.DUMMYFUNCTION("""COMPUTED_VALUE"""),"")</f>
        <v/>
      </c>
      <c r="X2301" s="16" t="str">
        <f>IFERROR(__xludf.DUMMYFUNCTION("""COMPUTED_VALUE"""),"")</f>
        <v/>
      </c>
      <c r="AC2301" s="16" t="str">
        <f>IFERROR(__xludf.DUMMYFUNCTION("""COMPUTED_VALUE"""),"")</f>
        <v/>
      </c>
    </row>
    <row r="2302">
      <c r="A2302" s="16" t="s">
        <v>87</v>
      </c>
      <c r="E2302" s="16" t="str">
        <f>IFERROR(__xludf.DUMMYFUNCTION("""COMPUTED_VALUE"""),"")</f>
        <v/>
      </c>
      <c r="G2302" s="18"/>
      <c r="H2302" s="16" t="s">
        <v>87</v>
      </c>
      <c r="I2302" s="16" t="s">
        <v>87</v>
      </c>
      <c r="J2302" s="19"/>
      <c r="L2302" s="16" t="str">
        <f>IFERROR(__xludf.DUMMYFUNCTION("""COMPUTED_VALUE"""),"")</f>
        <v/>
      </c>
      <c r="M2302" s="16" t="str">
        <f>IFERROR(__xludf.DUMMYFUNCTION("""COMPUTED_VALUE"""),"")</f>
        <v/>
      </c>
      <c r="U2302" s="16" t="s">
        <v>87</v>
      </c>
      <c r="V2302" s="16" t="str">
        <f>IFERROR(__xludf.DUMMYFUNCTION("""COMPUTED_VALUE"""),"")</f>
        <v/>
      </c>
      <c r="W2302" s="16" t="str">
        <f>IFERROR(__xludf.DUMMYFUNCTION("""COMPUTED_VALUE"""),"")</f>
        <v/>
      </c>
      <c r="X2302" s="16" t="str">
        <f>IFERROR(__xludf.DUMMYFUNCTION("""COMPUTED_VALUE"""),"")</f>
        <v/>
      </c>
      <c r="AC2302" s="16" t="str">
        <f>IFERROR(__xludf.DUMMYFUNCTION("""COMPUTED_VALUE"""),"")</f>
        <v/>
      </c>
    </row>
    <row r="2303">
      <c r="A2303" s="16" t="s">
        <v>87</v>
      </c>
      <c r="E2303" s="16" t="str">
        <f>IFERROR(__xludf.DUMMYFUNCTION("""COMPUTED_VALUE"""),"")</f>
        <v/>
      </c>
      <c r="G2303" s="18"/>
      <c r="H2303" s="16" t="s">
        <v>87</v>
      </c>
      <c r="I2303" s="16" t="s">
        <v>87</v>
      </c>
      <c r="J2303" s="19"/>
      <c r="L2303" s="16" t="str">
        <f>IFERROR(__xludf.DUMMYFUNCTION("""COMPUTED_VALUE"""),"")</f>
        <v/>
      </c>
      <c r="M2303" s="16" t="str">
        <f>IFERROR(__xludf.DUMMYFUNCTION("""COMPUTED_VALUE"""),"")</f>
        <v/>
      </c>
      <c r="U2303" s="16" t="s">
        <v>87</v>
      </c>
      <c r="V2303" s="16" t="str">
        <f>IFERROR(__xludf.DUMMYFUNCTION("""COMPUTED_VALUE"""),"")</f>
        <v/>
      </c>
      <c r="W2303" s="16" t="str">
        <f>IFERROR(__xludf.DUMMYFUNCTION("""COMPUTED_VALUE"""),"")</f>
        <v/>
      </c>
      <c r="X2303" s="16" t="str">
        <f>IFERROR(__xludf.DUMMYFUNCTION("""COMPUTED_VALUE"""),"")</f>
        <v/>
      </c>
      <c r="AC2303" s="16" t="str">
        <f>IFERROR(__xludf.DUMMYFUNCTION("""COMPUTED_VALUE"""),"")</f>
        <v/>
      </c>
    </row>
    <row r="2304">
      <c r="A2304" s="16" t="s">
        <v>87</v>
      </c>
      <c r="E2304" s="16" t="str">
        <f>IFERROR(__xludf.DUMMYFUNCTION("""COMPUTED_VALUE"""),"")</f>
        <v/>
      </c>
      <c r="G2304" s="18"/>
      <c r="H2304" s="16" t="s">
        <v>87</v>
      </c>
      <c r="I2304" s="16" t="s">
        <v>87</v>
      </c>
      <c r="J2304" s="19"/>
      <c r="L2304" s="16" t="str">
        <f>IFERROR(__xludf.DUMMYFUNCTION("""COMPUTED_VALUE"""),"")</f>
        <v/>
      </c>
      <c r="M2304" s="16" t="str">
        <f>IFERROR(__xludf.DUMMYFUNCTION("""COMPUTED_VALUE"""),"")</f>
        <v/>
      </c>
      <c r="U2304" s="16" t="s">
        <v>87</v>
      </c>
      <c r="V2304" s="16" t="str">
        <f>IFERROR(__xludf.DUMMYFUNCTION("""COMPUTED_VALUE"""),"")</f>
        <v/>
      </c>
      <c r="W2304" s="16" t="str">
        <f>IFERROR(__xludf.DUMMYFUNCTION("""COMPUTED_VALUE"""),"")</f>
        <v/>
      </c>
      <c r="X2304" s="16" t="str">
        <f>IFERROR(__xludf.DUMMYFUNCTION("""COMPUTED_VALUE"""),"")</f>
        <v/>
      </c>
      <c r="AC2304" s="16" t="str">
        <f>IFERROR(__xludf.DUMMYFUNCTION("""COMPUTED_VALUE"""),"")</f>
        <v/>
      </c>
    </row>
    <row r="2305">
      <c r="A2305" s="16" t="s">
        <v>87</v>
      </c>
      <c r="E2305" s="16" t="str">
        <f>IFERROR(__xludf.DUMMYFUNCTION("""COMPUTED_VALUE"""),"")</f>
        <v/>
      </c>
      <c r="G2305" s="18"/>
      <c r="H2305" s="16" t="s">
        <v>87</v>
      </c>
      <c r="I2305" s="16" t="s">
        <v>87</v>
      </c>
      <c r="J2305" s="19"/>
      <c r="L2305" s="16" t="str">
        <f>IFERROR(__xludf.DUMMYFUNCTION("""COMPUTED_VALUE"""),"")</f>
        <v/>
      </c>
      <c r="M2305" s="16" t="str">
        <f>IFERROR(__xludf.DUMMYFUNCTION("""COMPUTED_VALUE"""),"")</f>
        <v/>
      </c>
      <c r="U2305" s="16" t="s">
        <v>87</v>
      </c>
      <c r="V2305" s="16" t="str">
        <f>IFERROR(__xludf.DUMMYFUNCTION("""COMPUTED_VALUE"""),"")</f>
        <v/>
      </c>
      <c r="W2305" s="16" t="str">
        <f>IFERROR(__xludf.DUMMYFUNCTION("""COMPUTED_VALUE"""),"")</f>
        <v/>
      </c>
      <c r="X2305" s="16" t="str">
        <f>IFERROR(__xludf.DUMMYFUNCTION("""COMPUTED_VALUE"""),"")</f>
        <v/>
      </c>
      <c r="AC2305" s="16" t="str">
        <f>IFERROR(__xludf.DUMMYFUNCTION("""COMPUTED_VALUE"""),"")</f>
        <v/>
      </c>
    </row>
    <row r="2306">
      <c r="A2306" s="16" t="s">
        <v>87</v>
      </c>
      <c r="E2306" s="16" t="str">
        <f>IFERROR(__xludf.DUMMYFUNCTION("""COMPUTED_VALUE"""),"")</f>
        <v/>
      </c>
      <c r="G2306" s="18"/>
      <c r="H2306" s="16" t="s">
        <v>87</v>
      </c>
      <c r="I2306" s="16" t="s">
        <v>87</v>
      </c>
      <c r="J2306" s="19"/>
      <c r="L2306" s="16" t="str">
        <f>IFERROR(__xludf.DUMMYFUNCTION("""COMPUTED_VALUE"""),"")</f>
        <v/>
      </c>
      <c r="M2306" s="16" t="str">
        <f>IFERROR(__xludf.DUMMYFUNCTION("""COMPUTED_VALUE"""),"")</f>
        <v/>
      </c>
      <c r="U2306" s="16" t="s">
        <v>87</v>
      </c>
      <c r="V2306" s="16" t="str">
        <f>IFERROR(__xludf.DUMMYFUNCTION("""COMPUTED_VALUE"""),"")</f>
        <v/>
      </c>
      <c r="W2306" s="16" t="str">
        <f>IFERROR(__xludf.DUMMYFUNCTION("""COMPUTED_VALUE"""),"")</f>
        <v/>
      </c>
      <c r="X2306" s="16" t="str">
        <f>IFERROR(__xludf.DUMMYFUNCTION("""COMPUTED_VALUE"""),"")</f>
        <v/>
      </c>
      <c r="AC2306" s="16" t="str">
        <f>IFERROR(__xludf.DUMMYFUNCTION("""COMPUTED_VALUE"""),"")</f>
        <v/>
      </c>
    </row>
    <row r="2307">
      <c r="A2307" s="16" t="s">
        <v>87</v>
      </c>
      <c r="E2307" s="16" t="str">
        <f>IFERROR(__xludf.DUMMYFUNCTION("""COMPUTED_VALUE"""),"")</f>
        <v/>
      </c>
      <c r="G2307" s="18"/>
      <c r="H2307" s="16" t="s">
        <v>87</v>
      </c>
      <c r="I2307" s="16" t="s">
        <v>87</v>
      </c>
      <c r="J2307" s="19"/>
      <c r="L2307" s="16" t="str">
        <f>IFERROR(__xludf.DUMMYFUNCTION("""COMPUTED_VALUE"""),"")</f>
        <v/>
      </c>
      <c r="M2307" s="16" t="str">
        <f>IFERROR(__xludf.DUMMYFUNCTION("""COMPUTED_VALUE"""),"")</f>
        <v/>
      </c>
      <c r="U2307" s="16" t="s">
        <v>87</v>
      </c>
      <c r="V2307" s="16" t="str">
        <f>IFERROR(__xludf.DUMMYFUNCTION("""COMPUTED_VALUE"""),"")</f>
        <v/>
      </c>
      <c r="W2307" s="16" t="str">
        <f>IFERROR(__xludf.DUMMYFUNCTION("""COMPUTED_VALUE"""),"")</f>
        <v/>
      </c>
      <c r="X2307" s="16" t="str">
        <f>IFERROR(__xludf.DUMMYFUNCTION("""COMPUTED_VALUE"""),"")</f>
        <v/>
      </c>
      <c r="AC2307" s="16" t="str">
        <f>IFERROR(__xludf.DUMMYFUNCTION("""COMPUTED_VALUE"""),"")</f>
        <v/>
      </c>
    </row>
    <row r="2308">
      <c r="A2308" s="16" t="s">
        <v>87</v>
      </c>
      <c r="E2308" s="16" t="str">
        <f>IFERROR(__xludf.DUMMYFUNCTION("""COMPUTED_VALUE"""),"")</f>
        <v/>
      </c>
      <c r="G2308" s="18"/>
      <c r="H2308" s="16" t="s">
        <v>87</v>
      </c>
      <c r="I2308" s="16" t="s">
        <v>87</v>
      </c>
      <c r="J2308" s="19"/>
      <c r="L2308" s="16" t="str">
        <f>IFERROR(__xludf.DUMMYFUNCTION("""COMPUTED_VALUE"""),"")</f>
        <v/>
      </c>
      <c r="M2308" s="16" t="str">
        <f>IFERROR(__xludf.DUMMYFUNCTION("""COMPUTED_VALUE"""),"")</f>
        <v/>
      </c>
      <c r="U2308" s="16" t="s">
        <v>87</v>
      </c>
      <c r="V2308" s="16" t="str">
        <f>IFERROR(__xludf.DUMMYFUNCTION("""COMPUTED_VALUE"""),"")</f>
        <v/>
      </c>
      <c r="W2308" s="16" t="str">
        <f>IFERROR(__xludf.DUMMYFUNCTION("""COMPUTED_VALUE"""),"")</f>
        <v/>
      </c>
      <c r="X2308" s="16" t="str">
        <f>IFERROR(__xludf.DUMMYFUNCTION("""COMPUTED_VALUE"""),"")</f>
        <v/>
      </c>
      <c r="AC2308" s="16" t="str">
        <f>IFERROR(__xludf.DUMMYFUNCTION("""COMPUTED_VALUE"""),"")</f>
        <v/>
      </c>
    </row>
    <row r="2309">
      <c r="A2309" s="16" t="s">
        <v>87</v>
      </c>
      <c r="E2309" s="16" t="str">
        <f>IFERROR(__xludf.DUMMYFUNCTION("""COMPUTED_VALUE"""),"")</f>
        <v/>
      </c>
      <c r="G2309" s="18"/>
      <c r="H2309" s="16" t="s">
        <v>87</v>
      </c>
      <c r="I2309" s="16" t="s">
        <v>87</v>
      </c>
      <c r="J2309" s="19"/>
      <c r="L2309" s="16" t="str">
        <f>IFERROR(__xludf.DUMMYFUNCTION("""COMPUTED_VALUE"""),"")</f>
        <v/>
      </c>
      <c r="M2309" s="16" t="str">
        <f>IFERROR(__xludf.DUMMYFUNCTION("""COMPUTED_VALUE"""),"")</f>
        <v/>
      </c>
      <c r="U2309" s="16" t="s">
        <v>87</v>
      </c>
      <c r="V2309" s="16" t="str">
        <f>IFERROR(__xludf.DUMMYFUNCTION("""COMPUTED_VALUE"""),"")</f>
        <v/>
      </c>
      <c r="W2309" s="16" t="str">
        <f>IFERROR(__xludf.DUMMYFUNCTION("""COMPUTED_VALUE"""),"")</f>
        <v/>
      </c>
      <c r="X2309" s="16" t="str">
        <f>IFERROR(__xludf.DUMMYFUNCTION("""COMPUTED_VALUE"""),"")</f>
        <v/>
      </c>
      <c r="AC2309" s="16" t="str">
        <f>IFERROR(__xludf.DUMMYFUNCTION("""COMPUTED_VALUE"""),"")</f>
        <v/>
      </c>
    </row>
    <row r="2310">
      <c r="A2310" s="16" t="s">
        <v>87</v>
      </c>
      <c r="E2310" s="16" t="str">
        <f>IFERROR(__xludf.DUMMYFUNCTION("""COMPUTED_VALUE"""),"")</f>
        <v/>
      </c>
      <c r="G2310" s="18"/>
      <c r="H2310" s="16" t="s">
        <v>87</v>
      </c>
      <c r="I2310" s="16" t="s">
        <v>87</v>
      </c>
      <c r="J2310" s="19"/>
      <c r="L2310" s="16" t="str">
        <f>IFERROR(__xludf.DUMMYFUNCTION("""COMPUTED_VALUE"""),"")</f>
        <v/>
      </c>
      <c r="M2310" s="16" t="str">
        <f>IFERROR(__xludf.DUMMYFUNCTION("""COMPUTED_VALUE"""),"")</f>
        <v/>
      </c>
      <c r="U2310" s="16" t="s">
        <v>87</v>
      </c>
      <c r="V2310" s="16" t="str">
        <f>IFERROR(__xludf.DUMMYFUNCTION("""COMPUTED_VALUE"""),"")</f>
        <v/>
      </c>
      <c r="W2310" s="16" t="str">
        <f>IFERROR(__xludf.DUMMYFUNCTION("""COMPUTED_VALUE"""),"")</f>
        <v/>
      </c>
      <c r="X2310" s="16" t="str">
        <f>IFERROR(__xludf.DUMMYFUNCTION("""COMPUTED_VALUE"""),"")</f>
        <v/>
      </c>
      <c r="AC2310" s="16" t="str">
        <f>IFERROR(__xludf.DUMMYFUNCTION("""COMPUTED_VALUE"""),"")</f>
        <v/>
      </c>
    </row>
    <row r="2311">
      <c r="A2311" s="16" t="s">
        <v>87</v>
      </c>
      <c r="E2311" s="16" t="str">
        <f>IFERROR(__xludf.DUMMYFUNCTION("""COMPUTED_VALUE"""),"")</f>
        <v/>
      </c>
      <c r="G2311" s="18"/>
      <c r="H2311" s="16" t="s">
        <v>87</v>
      </c>
      <c r="I2311" s="16" t="s">
        <v>87</v>
      </c>
      <c r="J2311" s="19"/>
      <c r="L2311" s="16" t="str">
        <f>IFERROR(__xludf.DUMMYFUNCTION("""COMPUTED_VALUE"""),"")</f>
        <v/>
      </c>
      <c r="M2311" s="16" t="str">
        <f>IFERROR(__xludf.DUMMYFUNCTION("""COMPUTED_VALUE"""),"")</f>
        <v/>
      </c>
      <c r="U2311" s="16" t="s">
        <v>87</v>
      </c>
      <c r="V2311" s="16" t="str">
        <f>IFERROR(__xludf.DUMMYFUNCTION("""COMPUTED_VALUE"""),"")</f>
        <v/>
      </c>
      <c r="W2311" s="16" t="str">
        <f>IFERROR(__xludf.DUMMYFUNCTION("""COMPUTED_VALUE"""),"")</f>
        <v/>
      </c>
      <c r="X2311" s="16" t="str">
        <f>IFERROR(__xludf.DUMMYFUNCTION("""COMPUTED_VALUE"""),"")</f>
        <v/>
      </c>
      <c r="AC2311" s="16" t="str">
        <f>IFERROR(__xludf.DUMMYFUNCTION("""COMPUTED_VALUE"""),"")</f>
        <v/>
      </c>
    </row>
    <row r="2312">
      <c r="A2312" s="16" t="s">
        <v>87</v>
      </c>
      <c r="E2312" s="16" t="str">
        <f>IFERROR(__xludf.DUMMYFUNCTION("""COMPUTED_VALUE"""),"")</f>
        <v/>
      </c>
      <c r="G2312" s="18"/>
      <c r="H2312" s="16" t="s">
        <v>87</v>
      </c>
      <c r="I2312" s="16" t="s">
        <v>87</v>
      </c>
      <c r="J2312" s="19"/>
      <c r="L2312" s="16" t="str">
        <f>IFERROR(__xludf.DUMMYFUNCTION("""COMPUTED_VALUE"""),"")</f>
        <v/>
      </c>
      <c r="M2312" s="16" t="str">
        <f>IFERROR(__xludf.DUMMYFUNCTION("""COMPUTED_VALUE"""),"")</f>
        <v/>
      </c>
      <c r="U2312" s="16" t="s">
        <v>87</v>
      </c>
      <c r="V2312" s="16" t="str">
        <f>IFERROR(__xludf.DUMMYFUNCTION("""COMPUTED_VALUE"""),"")</f>
        <v/>
      </c>
      <c r="W2312" s="16" t="str">
        <f>IFERROR(__xludf.DUMMYFUNCTION("""COMPUTED_VALUE"""),"")</f>
        <v/>
      </c>
      <c r="X2312" s="16" t="str">
        <f>IFERROR(__xludf.DUMMYFUNCTION("""COMPUTED_VALUE"""),"")</f>
        <v/>
      </c>
      <c r="AC2312" s="16" t="str">
        <f>IFERROR(__xludf.DUMMYFUNCTION("""COMPUTED_VALUE"""),"")</f>
        <v/>
      </c>
    </row>
    <row r="2313">
      <c r="A2313" s="16" t="s">
        <v>87</v>
      </c>
      <c r="E2313" s="16" t="str">
        <f>IFERROR(__xludf.DUMMYFUNCTION("""COMPUTED_VALUE"""),"")</f>
        <v/>
      </c>
      <c r="G2313" s="18"/>
      <c r="H2313" s="16" t="s">
        <v>87</v>
      </c>
      <c r="I2313" s="16" t="s">
        <v>87</v>
      </c>
      <c r="J2313" s="19"/>
      <c r="L2313" s="16" t="str">
        <f>IFERROR(__xludf.DUMMYFUNCTION("""COMPUTED_VALUE"""),"")</f>
        <v/>
      </c>
      <c r="M2313" s="16" t="str">
        <f>IFERROR(__xludf.DUMMYFUNCTION("""COMPUTED_VALUE"""),"")</f>
        <v/>
      </c>
      <c r="U2313" s="16" t="s">
        <v>87</v>
      </c>
      <c r="V2313" s="16" t="str">
        <f>IFERROR(__xludf.DUMMYFUNCTION("""COMPUTED_VALUE"""),"")</f>
        <v/>
      </c>
      <c r="W2313" s="16" t="str">
        <f>IFERROR(__xludf.DUMMYFUNCTION("""COMPUTED_VALUE"""),"")</f>
        <v/>
      </c>
      <c r="X2313" s="16" t="str">
        <f>IFERROR(__xludf.DUMMYFUNCTION("""COMPUTED_VALUE"""),"")</f>
        <v/>
      </c>
      <c r="AC2313" s="16" t="str">
        <f>IFERROR(__xludf.DUMMYFUNCTION("""COMPUTED_VALUE"""),"")</f>
        <v/>
      </c>
    </row>
    <row r="2314">
      <c r="A2314" s="16" t="s">
        <v>87</v>
      </c>
      <c r="E2314" s="16" t="str">
        <f>IFERROR(__xludf.DUMMYFUNCTION("""COMPUTED_VALUE"""),"")</f>
        <v/>
      </c>
      <c r="G2314" s="18"/>
      <c r="H2314" s="16" t="s">
        <v>87</v>
      </c>
      <c r="I2314" s="16" t="s">
        <v>87</v>
      </c>
      <c r="J2314" s="19"/>
      <c r="L2314" s="16" t="str">
        <f>IFERROR(__xludf.DUMMYFUNCTION("""COMPUTED_VALUE"""),"")</f>
        <v/>
      </c>
      <c r="M2314" s="16" t="str">
        <f>IFERROR(__xludf.DUMMYFUNCTION("""COMPUTED_VALUE"""),"")</f>
        <v/>
      </c>
      <c r="U2314" s="16" t="s">
        <v>87</v>
      </c>
      <c r="V2314" s="16" t="str">
        <f>IFERROR(__xludf.DUMMYFUNCTION("""COMPUTED_VALUE"""),"")</f>
        <v/>
      </c>
      <c r="W2314" s="16" t="str">
        <f>IFERROR(__xludf.DUMMYFUNCTION("""COMPUTED_VALUE"""),"")</f>
        <v/>
      </c>
      <c r="X2314" s="16" t="str">
        <f>IFERROR(__xludf.DUMMYFUNCTION("""COMPUTED_VALUE"""),"")</f>
        <v/>
      </c>
      <c r="AC2314" s="16" t="str">
        <f>IFERROR(__xludf.DUMMYFUNCTION("""COMPUTED_VALUE"""),"")</f>
        <v/>
      </c>
    </row>
    <row r="2315">
      <c r="A2315" s="16" t="s">
        <v>87</v>
      </c>
      <c r="E2315" s="16" t="str">
        <f>IFERROR(__xludf.DUMMYFUNCTION("""COMPUTED_VALUE"""),"")</f>
        <v/>
      </c>
      <c r="G2315" s="18"/>
      <c r="H2315" s="16" t="s">
        <v>87</v>
      </c>
      <c r="I2315" s="16" t="s">
        <v>87</v>
      </c>
      <c r="J2315" s="19"/>
      <c r="L2315" s="16" t="str">
        <f>IFERROR(__xludf.DUMMYFUNCTION("""COMPUTED_VALUE"""),"")</f>
        <v/>
      </c>
      <c r="M2315" s="16" t="str">
        <f>IFERROR(__xludf.DUMMYFUNCTION("""COMPUTED_VALUE"""),"")</f>
        <v/>
      </c>
      <c r="U2315" s="16" t="s">
        <v>87</v>
      </c>
      <c r="V2315" s="16" t="str">
        <f>IFERROR(__xludf.DUMMYFUNCTION("""COMPUTED_VALUE"""),"")</f>
        <v/>
      </c>
      <c r="W2315" s="16" t="str">
        <f>IFERROR(__xludf.DUMMYFUNCTION("""COMPUTED_VALUE"""),"")</f>
        <v/>
      </c>
      <c r="X2315" s="16" t="str">
        <f>IFERROR(__xludf.DUMMYFUNCTION("""COMPUTED_VALUE"""),"")</f>
        <v/>
      </c>
      <c r="AC2315" s="16" t="str">
        <f>IFERROR(__xludf.DUMMYFUNCTION("""COMPUTED_VALUE"""),"")</f>
        <v/>
      </c>
    </row>
    <row r="2316">
      <c r="A2316" s="16" t="s">
        <v>87</v>
      </c>
      <c r="E2316" s="16" t="str">
        <f>IFERROR(__xludf.DUMMYFUNCTION("""COMPUTED_VALUE"""),"")</f>
        <v/>
      </c>
      <c r="G2316" s="18"/>
      <c r="H2316" s="16" t="s">
        <v>87</v>
      </c>
      <c r="I2316" s="16" t="s">
        <v>87</v>
      </c>
      <c r="J2316" s="19"/>
      <c r="L2316" s="16" t="str">
        <f>IFERROR(__xludf.DUMMYFUNCTION("""COMPUTED_VALUE"""),"")</f>
        <v/>
      </c>
      <c r="M2316" s="16" t="str">
        <f>IFERROR(__xludf.DUMMYFUNCTION("""COMPUTED_VALUE"""),"")</f>
        <v/>
      </c>
      <c r="U2316" s="16" t="s">
        <v>87</v>
      </c>
      <c r="V2316" s="16" t="str">
        <f>IFERROR(__xludf.DUMMYFUNCTION("""COMPUTED_VALUE"""),"")</f>
        <v/>
      </c>
      <c r="W2316" s="16" t="str">
        <f>IFERROR(__xludf.DUMMYFUNCTION("""COMPUTED_VALUE"""),"")</f>
        <v/>
      </c>
      <c r="X2316" s="16" t="str">
        <f>IFERROR(__xludf.DUMMYFUNCTION("""COMPUTED_VALUE"""),"")</f>
        <v/>
      </c>
      <c r="AC2316" s="16" t="str">
        <f>IFERROR(__xludf.DUMMYFUNCTION("""COMPUTED_VALUE"""),"")</f>
        <v/>
      </c>
    </row>
    <row r="2317">
      <c r="A2317" s="16" t="s">
        <v>87</v>
      </c>
      <c r="E2317" s="16" t="str">
        <f>IFERROR(__xludf.DUMMYFUNCTION("""COMPUTED_VALUE"""),"")</f>
        <v/>
      </c>
      <c r="G2317" s="18"/>
      <c r="H2317" s="16" t="s">
        <v>87</v>
      </c>
      <c r="I2317" s="16" t="s">
        <v>87</v>
      </c>
      <c r="J2317" s="19"/>
      <c r="L2317" s="16" t="str">
        <f>IFERROR(__xludf.DUMMYFUNCTION("""COMPUTED_VALUE"""),"")</f>
        <v/>
      </c>
      <c r="M2317" s="16" t="str">
        <f>IFERROR(__xludf.DUMMYFUNCTION("""COMPUTED_VALUE"""),"")</f>
        <v/>
      </c>
      <c r="U2317" s="16" t="s">
        <v>87</v>
      </c>
      <c r="V2317" s="16" t="str">
        <f>IFERROR(__xludf.DUMMYFUNCTION("""COMPUTED_VALUE"""),"")</f>
        <v/>
      </c>
      <c r="W2317" s="16" t="str">
        <f>IFERROR(__xludf.DUMMYFUNCTION("""COMPUTED_VALUE"""),"")</f>
        <v/>
      </c>
      <c r="X2317" s="16" t="str">
        <f>IFERROR(__xludf.DUMMYFUNCTION("""COMPUTED_VALUE"""),"")</f>
        <v/>
      </c>
      <c r="AC2317" s="16" t="str">
        <f>IFERROR(__xludf.DUMMYFUNCTION("""COMPUTED_VALUE"""),"")</f>
        <v/>
      </c>
    </row>
    <row r="2318">
      <c r="A2318" s="16" t="s">
        <v>87</v>
      </c>
      <c r="E2318" s="16" t="str">
        <f>IFERROR(__xludf.DUMMYFUNCTION("""COMPUTED_VALUE"""),"")</f>
        <v/>
      </c>
      <c r="G2318" s="18"/>
      <c r="H2318" s="16" t="s">
        <v>87</v>
      </c>
      <c r="I2318" s="16" t="s">
        <v>87</v>
      </c>
      <c r="J2318" s="19"/>
      <c r="L2318" s="16" t="str">
        <f>IFERROR(__xludf.DUMMYFUNCTION("""COMPUTED_VALUE"""),"")</f>
        <v/>
      </c>
      <c r="M2318" s="16" t="str">
        <f>IFERROR(__xludf.DUMMYFUNCTION("""COMPUTED_VALUE"""),"")</f>
        <v/>
      </c>
      <c r="U2318" s="16" t="s">
        <v>87</v>
      </c>
      <c r="V2318" s="16" t="str">
        <f>IFERROR(__xludf.DUMMYFUNCTION("""COMPUTED_VALUE"""),"")</f>
        <v/>
      </c>
      <c r="W2318" s="16" t="str">
        <f>IFERROR(__xludf.DUMMYFUNCTION("""COMPUTED_VALUE"""),"")</f>
        <v/>
      </c>
      <c r="X2318" s="16" t="str">
        <f>IFERROR(__xludf.DUMMYFUNCTION("""COMPUTED_VALUE"""),"")</f>
        <v/>
      </c>
      <c r="AC2318" s="16" t="str">
        <f>IFERROR(__xludf.DUMMYFUNCTION("""COMPUTED_VALUE"""),"")</f>
        <v/>
      </c>
    </row>
    <row r="2319">
      <c r="A2319" s="16" t="s">
        <v>87</v>
      </c>
      <c r="E2319" s="16" t="str">
        <f>IFERROR(__xludf.DUMMYFUNCTION("""COMPUTED_VALUE"""),"")</f>
        <v/>
      </c>
      <c r="G2319" s="18"/>
      <c r="H2319" s="16" t="s">
        <v>87</v>
      </c>
      <c r="I2319" s="16" t="s">
        <v>87</v>
      </c>
      <c r="J2319" s="19"/>
      <c r="L2319" s="16" t="str">
        <f>IFERROR(__xludf.DUMMYFUNCTION("""COMPUTED_VALUE"""),"")</f>
        <v/>
      </c>
      <c r="M2319" s="16" t="str">
        <f>IFERROR(__xludf.DUMMYFUNCTION("""COMPUTED_VALUE"""),"")</f>
        <v/>
      </c>
      <c r="U2319" s="16" t="s">
        <v>87</v>
      </c>
      <c r="V2319" s="16" t="str">
        <f>IFERROR(__xludf.DUMMYFUNCTION("""COMPUTED_VALUE"""),"")</f>
        <v/>
      </c>
      <c r="W2319" s="16" t="str">
        <f>IFERROR(__xludf.DUMMYFUNCTION("""COMPUTED_VALUE"""),"")</f>
        <v/>
      </c>
      <c r="X2319" s="16" t="str">
        <f>IFERROR(__xludf.DUMMYFUNCTION("""COMPUTED_VALUE"""),"")</f>
        <v/>
      </c>
      <c r="AC2319" s="16" t="str">
        <f>IFERROR(__xludf.DUMMYFUNCTION("""COMPUTED_VALUE"""),"")</f>
        <v/>
      </c>
    </row>
    <row r="2320">
      <c r="A2320" s="16" t="s">
        <v>87</v>
      </c>
      <c r="E2320" s="16" t="str">
        <f>IFERROR(__xludf.DUMMYFUNCTION("""COMPUTED_VALUE"""),"")</f>
        <v/>
      </c>
      <c r="G2320" s="18"/>
      <c r="H2320" s="16" t="s">
        <v>87</v>
      </c>
      <c r="I2320" s="16" t="s">
        <v>87</v>
      </c>
      <c r="J2320" s="19"/>
      <c r="L2320" s="16" t="str">
        <f>IFERROR(__xludf.DUMMYFUNCTION("""COMPUTED_VALUE"""),"")</f>
        <v/>
      </c>
      <c r="M2320" s="16" t="str">
        <f>IFERROR(__xludf.DUMMYFUNCTION("""COMPUTED_VALUE"""),"")</f>
        <v/>
      </c>
      <c r="U2320" s="16" t="s">
        <v>87</v>
      </c>
      <c r="V2320" s="16" t="str">
        <f>IFERROR(__xludf.DUMMYFUNCTION("""COMPUTED_VALUE"""),"")</f>
        <v/>
      </c>
      <c r="W2320" s="16" t="str">
        <f>IFERROR(__xludf.DUMMYFUNCTION("""COMPUTED_VALUE"""),"")</f>
        <v/>
      </c>
      <c r="X2320" s="16" t="str">
        <f>IFERROR(__xludf.DUMMYFUNCTION("""COMPUTED_VALUE"""),"")</f>
        <v/>
      </c>
      <c r="AC2320" s="16" t="str">
        <f>IFERROR(__xludf.DUMMYFUNCTION("""COMPUTED_VALUE"""),"")</f>
        <v/>
      </c>
    </row>
    <row r="2321">
      <c r="A2321" s="16" t="s">
        <v>87</v>
      </c>
      <c r="E2321" s="16" t="str">
        <f>IFERROR(__xludf.DUMMYFUNCTION("""COMPUTED_VALUE"""),"")</f>
        <v/>
      </c>
      <c r="G2321" s="18"/>
      <c r="H2321" s="16" t="s">
        <v>87</v>
      </c>
      <c r="I2321" s="16" t="s">
        <v>87</v>
      </c>
      <c r="J2321" s="19"/>
      <c r="L2321" s="16" t="str">
        <f>IFERROR(__xludf.DUMMYFUNCTION("""COMPUTED_VALUE"""),"")</f>
        <v/>
      </c>
      <c r="M2321" s="16" t="str">
        <f>IFERROR(__xludf.DUMMYFUNCTION("""COMPUTED_VALUE"""),"")</f>
        <v/>
      </c>
      <c r="U2321" s="16" t="s">
        <v>87</v>
      </c>
      <c r="V2321" s="16" t="str">
        <f>IFERROR(__xludf.DUMMYFUNCTION("""COMPUTED_VALUE"""),"")</f>
        <v/>
      </c>
      <c r="W2321" s="16" t="str">
        <f>IFERROR(__xludf.DUMMYFUNCTION("""COMPUTED_VALUE"""),"")</f>
        <v/>
      </c>
      <c r="X2321" s="16" t="str">
        <f>IFERROR(__xludf.DUMMYFUNCTION("""COMPUTED_VALUE"""),"")</f>
        <v/>
      </c>
      <c r="AC2321" s="16" t="str">
        <f>IFERROR(__xludf.DUMMYFUNCTION("""COMPUTED_VALUE"""),"")</f>
        <v/>
      </c>
    </row>
    <row r="2322">
      <c r="A2322" s="16" t="s">
        <v>87</v>
      </c>
      <c r="E2322" s="16" t="str">
        <f>IFERROR(__xludf.DUMMYFUNCTION("""COMPUTED_VALUE"""),"")</f>
        <v/>
      </c>
      <c r="G2322" s="18"/>
      <c r="H2322" s="16" t="s">
        <v>87</v>
      </c>
      <c r="I2322" s="16" t="s">
        <v>87</v>
      </c>
      <c r="J2322" s="19"/>
      <c r="L2322" s="16" t="str">
        <f>IFERROR(__xludf.DUMMYFUNCTION("""COMPUTED_VALUE"""),"")</f>
        <v/>
      </c>
      <c r="M2322" s="16" t="str">
        <f>IFERROR(__xludf.DUMMYFUNCTION("""COMPUTED_VALUE"""),"")</f>
        <v/>
      </c>
      <c r="U2322" s="16" t="s">
        <v>87</v>
      </c>
      <c r="V2322" s="16" t="str">
        <f>IFERROR(__xludf.DUMMYFUNCTION("""COMPUTED_VALUE"""),"")</f>
        <v/>
      </c>
      <c r="W2322" s="16" t="str">
        <f>IFERROR(__xludf.DUMMYFUNCTION("""COMPUTED_VALUE"""),"")</f>
        <v/>
      </c>
      <c r="X2322" s="16" t="str">
        <f>IFERROR(__xludf.DUMMYFUNCTION("""COMPUTED_VALUE"""),"")</f>
        <v/>
      </c>
      <c r="AC2322" s="16" t="str">
        <f>IFERROR(__xludf.DUMMYFUNCTION("""COMPUTED_VALUE"""),"")</f>
        <v/>
      </c>
    </row>
    <row r="2323">
      <c r="A2323" s="16" t="s">
        <v>87</v>
      </c>
      <c r="E2323" s="16" t="str">
        <f>IFERROR(__xludf.DUMMYFUNCTION("""COMPUTED_VALUE"""),"")</f>
        <v/>
      </c>
      <c r="G2323" s="18"/>
      <c r="H2323" s="16" t="s">
        <v>87</v>
      </c>
      <c r="I2323" s="16" t="s">
        <v>87</v>
      </c>
      <c r="J2323" s="19"/>
      <c r="L2323" s="16" t="str">
        <f>IFERROR(__xludf.DUMMYFUNCTION("""COMPUTED_VALUE"""),"")</f>
        <v/>
      </c>
      <c r="M2323" s="16" t="str">
        <f>IFERROR(__xludf.DUMMYFUNCTION("""COMPUTED_VALUE"""),"")</f>
        <v/>
      </c>
      <c r="U2323" s="16" t="s">
        <v>87</v>
      </c>
      <c r="V2323" s="16" t="str">
        <f>IFERROR(__xludf.DUMMYFUNCTION("""COMPUTED_VALUE"""),"")</f>
        <v/>
      </c>
      <c r="W2323" s="16" t="str">
        <f>IFERROR(__xludf.DUMMYFUNCTION("""COMPUTED_VALUE"""),"")</f>
        <v/>
      </c>
      <c r="X2323" s="16" t="str">
        <f>IFERROR(__xludf.DUMMYFUNCTION("""COMPUTED_VALUE"""),"")</f>
        <v/>
      </c>
      <c r="AC2323" s="16" t="str">
        <f>IFERROR(__xludf.DUMMYFUNCTION("""COMPUTED_VALUE"""),"")</f>
        <v/>
      </c>
    </row>
    <row r="2324">
      <c r="A2324" s="16" t="s">
        <v>87</v>
      </c>
      <c r="E2324" s="16" t="str">
        <f>IFERROR(__xludf.DUMMYFUNCTION("""COMPUTED_VALUE"""),"")</f>
        <v/>
      </c>
      <c r="G2324" s="18"/>
      <c r="H2324" s="16" t="s">
        <v>87</v>
      </c>
      <c r="I2324" s="16" t="s">
        <v>87</v>
      </c>
      <c r="J2324" s="19"/>
      <c r="L2324" s="16" t="str">
        <f>IFERROR(__xludf.DUMMYFUNCTION("""COMPUTED_VALUE"""),"")</f>
        <v/>
      </c>
      <c r="M2324" s="16" t="str">
        <f>IFERROR(__xludf.DUMMYFUNCTION("""COMPUTED_VALUE"""),"")</f>
        <v/>
      </c>
      <c r="U2324" s="16" t="s">
        <v>87</v>
      </c>
      <c r="V2324" s="16" t="str">
        <f>IFERROR(__xludf.DUMMYFUNCTION("""COMPUTED_VALUE"""),"")</f>
        <v/>
      </c>
      <c r="W2324" s="16" t="str">
        <f>IFERROR(__xludf.DUMMYFUNCTION("""COMPUTED_VALUE"""),"")</f>
        <v/>
      </c>
      <c r="X2324" s="16" t="str">
        <f>IFERROR(__xludf.DUMMYFUNCTION("""COMPUTED_VALUE"""),"")</f>
        <v/>
      </c>
      <c r="AC2324" s="16" t="str">
        <f>IFERROR(__xludf.DUMMYFUNCTION("""COMPUTED_VALUE"""),"")</f>
        <v/>
      </c>
    </row>
    <row r="2325">
      <c r="A2325" s="16" t="s">
        <v>87</v>
      </c>
      <c r="E2325" s="16" t="str">
        <f>IFERROR(__xludf.DUMMYFUNCTION("""COMPUTED_VALUE"""),"")</f>
        <v/>
      </c>
      <c r="G2325" s="18"/>
      <c r="H2325" s="16" t="s">
        <v>87</v>
      </c>
      <c r="I2325" s="16" t="s">
        <v>87</v>
      </c>
      <c r="J2325" s="19"/>
      <c r="L2325" s="16" t="str">
        <f>IFERROR(__xludf.DUMMYFUNCTION("""COMPUTED_VALUE"""),"")</f>
        <v/>
      </c>
      <c r="M2325" s="16" t="str">
        <f>IFERROR(__xludf.DUMMYFUNCTION("""COMPUTED_VALUE"""),"")</f>
        <v/>
      </c>
      <c r="U2325" s="16" t="s">
        <v>87</v>
      </c>
      <c r="V2325" s="16" t="str">
        <f>IFERROR(__xludf.DUMMYFUNCTION("""COMPUTED_VALUE"""),"")</f>
        <v/>
      </c>
      <c r="W2325" s="16" t="str">
        <f>IFERROR(__xludf.DUMMYFUNCTION("""COMPUTED_VALUE"""),"")</f>
        <v/>
      </c>
      <c r="X2325" s="16" t="str">
        <f>IFERROR(__xludf.DUMMYFUNCTION("""COMPUTED_VALUE"""),"")</f>
        <v/>
      </c>
      <c r="AC2325" s="16" t="str">
        <f>IFERROR(__xludf.DUMMYFUNCTION("""COMPUTED_VALUE"""),"")</f>
        <v/>
      </c>
    </row>
    <row r="2326">
      <c r="A2326" s="16" t="s">
        <v>87</v>
      </c>
      <c r="E2326" s="16" t="str">
        <f>IFERROR(__xludf.DUMMYFUNCTION("""COMPUTED_VALUE"""),"")</f>
        <v/>
      </c>
      <c r="G2326" s="18"/>
      <c r="H2326" s="16" t="s">
        <v>87</v>
      </c>
      <c r="I2326" s="16" t="s">
        <v>87</v>
      </c>
      <c r="J2326" s="19"/>
      <c r="L2326" s="16" t="str">
        <f>IFERROR(__xludf.DUMMYFUNCTION("""COMPUTED_VALUE"""),"")</f>
        <v/>
      </c>
      <c r="M2326" s="16" t="str">
        <f>IFERROR(__xludf.DUMMYFUNCTION("""COMPUTED_VALUE"""),"")</f>
        <v/>
      </c>
      <c r="U2326" s="16" t="s">
        <v>87</v>
      </c>
      <c r="V2326" s="16" t="str">
        <f>IFERROR(__xludf.DUMMYFUNCTION("""COMPUTED_VALUE"""),"")</f>
        <v/>
      </c>
      <c r="W2326" s="16" t="str">
        <f>IFERROR(__xludf.DUMMYFUNCTION("""COMPUTED_VALUE"""),"")</f>
        <v/>
      </c>
      <c r="X2326" s="16" t="str">
        <f>IFERROR(__xludf.DUMMYFUNCTION("""COMPUTED_VALUE"""),"")</f>
        <v/>
      </c>
      <c r="AC2326" s="16" t="str">
        <f>IFERROR(__xludf.DUMMYFUNCTION("""COMPUTED_VALUE"""),"")</f>
        <v/>
      </c>
    </row>
    <row r="2327">
      <c r="A2327" s="16" t="s">
        <v>87</v>
      </c>
      <c r="E2327" s="16" t="str">
        <f>IFERROR(__xludf.DUMMYFUNCTION("""COMPUTED_VALUE"""),"")</f>
        <v/>
      </c>
      <c r="G2327" s="18"/>
      <c r="H2327" s="16" t="s">
        <v>87</v>
      </c>
      <c r="I2327" s="16" t="s">
        <v>87</v>
      </c>
      <c r="J2327" s="19"/>
      <c r="L2327" s="16" t="str">
        <f>IFERROR(__xludf.DUMMYFUNCTION("""COMPUTED_VALUE"""),"")</f>
        <v/>
      </c>
      <c r="M2327" s="16" t="str">
        <f>IFERROR(__xludf.DUMMYFUNCTION("""COMPUTED_VALUE"""),"")</f>
        <v/>
      </c>
      <c r="U2327" s="16" t="s">
        <v>87</v>
      </c>
      <c r="V2327" s="16" t="str">
        <f>IFERROR(__xludf.DUMMYFUNCTION("""COMPUTED_VALUE"""),"")</f>
        <v/>
      </c>
      <c r="W2327" s="16" t="str">
        <f>IFERROR(__xludf.DUMMYFUNCTION("""COMPUTED_VALUE"""),"")</f>
        <v/>
      </c>
      <c r="X2327" s="16" t="str">
        <f>IFERROR(__xludf.DUMMYFUNCTION("""COMPUTED_VALUE"""),"")</f>
        <v/>
      </c>
      <c r="AC2327" s="16" t="str">
        <f>IFERROR(__xludf.DUMMYFUNCTION("""COMPUTED_VALUE"""),"")</f>
        <v/>
      </c>
    </row>
    <row r="2328">
      <c r="A2328" s="16" t="s">
        <v>87</v>
      </c>
      <c r="E2328" s="16" t="str">
        <f>IFERROR(__xludf.DUMMYFUNCTION("""COMPUTED_VALUE"""),"")</f>
        <v/>
      </c>
      <c r="G2328" s="18"/>
      <c r="H2328" s="16" t="s">
        <v>87</v>
      </c>
      <c r="I2328" s="16" t="s">
        <v>87</v>
      </c>
      <c r="J2328" s="19"/>
      <c r="L2328" s="16" t="str">
        <f>IFERROR(__xludf.DUMMYFUNCTION("""COMPUTED_VALUE"""),"")</f>
        <v/>
      </c>
      <c r="M2328" s="16" t="str">
        <f>IFERROR(__xludf.DUMMYFUNCTION("""COMPUTED_VALUE"""),"")</f>
        <v/>
      </c>
      <c r="U2328" s="16" t="s">
        <v>87</v>
      </c>
      <c r="V2328" s="16" t="str">
        <f>IFERROR(__xludf.DUMMYFUNCTION("""COMPUTED_VALUE"""),"")</f>
        <v/>
      </c>
      <c r="W2328" s="16" t="str">
        <f>IFERROR(__xludf.DUMMYFUNCTION("""COMPUTED_VALUE"""),"")</f>
        <v/>
      </c>
      <c r="X2328" s="16" t="str">
        <f>IFERROR(__xludf.DUMMYFUNCTION("""COMPUTED_VALUE"""),"")</f>
        <v/>
      </c>
      <c r="AC2328" s="16" t="str">
        <f>IFERROR(__xludf.DUMMYFUNCTION("""COMPUTED_VALUE"""),"")</f>
        <v/>
      </c>
    </row>
    <row r="2329">
      <c r="A2329" s="16" t="s">
        <v>87</v>
      </c>
      <c r="E2329" s="16" t="str">
        <f>IFERROR(__xludf.DUMMYFUNCTION("""COMPUTED_VALUE"""),"")</f>
        <v/>
      </c>
      <c r="G2329" s="18"/>
      <c r="H2329" s="16" t="s">
        <v>87</v>
      </c>
      <c r="I2329" s="16" t="s">
        <v>87</v>
      </c>
      <c r="J2329" s="19"/>
      <c r="L2329" s="16" t="str">
        <f>IFERROR(__xludf.DUMMYFUNCTION("""COMPUTED_VALUE"""),"")</f>
        <v/>
      </c>
      <c r="M2329" s="16" t="str">
        <f>IFERROR(__xludf.DUMMYFUNCTION("""COMPUTED_VALUE"""),"")</f>
        <v/>
      </c>
      <c r="U2329" s="16" t="s">
        <v>87</v>
      </c>
      <c r="V2329" s="16" t="str">
        <f>IFERROR(__xludf.DUMMYFUNCTION("""COMPUTED_VALUE"""),"")</f>
        <v/>
      </c>
      <c r="W2329" s="16" t="str">
        <f>IFERROR(__xludf.DUMMYFUNCTION("""COMPUTED_VALUE"""),"")</f>
        <v/>
      </c>
      <c r="X2329" s="16" t="str">
        <f>IFERROR(__xludf.DUMMYFUNCTION("""COMPUTED_VALUE"""),"")</f>
        <v/>
      </c>
      <c r="AC2329" s="16" t="str">
        <f>IFERROR(__xludf.DUMMYFUNCTION("""COMPUTED_VALUE"""),"")</f>
        <v/>
      </c>
    </row>
    <row r="2330">
      <c r="A2330" s="16" t="s">
        <v>87</v>
      </c>
      <c r="E2330" s="16" t="str">
        <f>IFERROR(__xludf.DUMMYFUNCTION("""COMPUTED_VALUE"""),"")</f>
        <v/>
      </c>
      <c r="G2330" s="18"/>
      <c r="H2330" s="16" t="s">
        <v>87</v>
      </c>
      <c r="I2330" s="16" t="s">
        <v>87</v>
      </c>
      <c r="J2330" s="19"/>
      <c r="L2330" s="16" t="str">
        <f>IFERROR(__xludf.DUMMYFUNCTION("""COMPUTED_VALUE"""),"")</f>
        <v/>
      </c>
      <c r="M2330" s="16" t="str">
        <f>IFERROR(__xludf.DUMMYFUNCTION("""COMPUTED_VALUE"""),"")</f>
        <v/>
      </c>
      <c r="U2330" s="16" t="s">
        <v>87</v>
      </c>
      <c r="V2330" s="16" t="str">
        <f>IFERROR(__xludf.DUMMYFUNCTION("""COMPUTED_VALUE"""),"")</f>
        <v/>
      </c>
      <c r="W2330" s="16" t="str">
        <f>IFERROR(__xludf.DUMMYFUNCTION("""COMPUTED_VALUE"""),"")</f>
        <v/>
      </c>
      <c r="X2330" s="16" t="str">
        <f>IFERROR(__xludf.DUMMYFUNCTION("""COMPUTED_VALUE"""),"")</f>
        <v/>
      </c>
      <c r="AC2330" s="16" t="str">
        <f>IFERROR(__xludf.DUMMYFUNCTION("""COMPUTED_VALUE"""),"")</f>
        <v/>
      </c>
    </row>
    <row r="2331">
      <c r="A2331" s="16" t="s">
        <v>87</v>
      </c>
      <c r="E2331" s="16" t="str">
        <f>IFERROR(__xludf.DUMMYFUNCTION("""COMPUTED_VALUE"""),"")</f>
        <v/>
      </c>
      <c r="G2331" s="18"/>
      <c r="H2331" s="16" t="s">
        <v>87</v>
      </c>
      <c r="I2331" s="16" t="s">
        <v>87</v>
      </c>
      <c r="J2331" s="19"/>
      <c r="L2331" s="16" t="str">
        <f>IFERROR(__xludf.DUMMYFUNCTION("""COMPUTED_VALUE"""),"")</f>
        <v/>
      </c>
      <c r="M2331" s="16" t="str">
        <f>IFERROR(__xludf.DUMMYFUNCTION("""COMPUTED_VALUE"""),"")</f>
        <v/>
      </c>
      <c r="U2331" s="16" t="s">
        <v>87</v>
      </c>
      <c r="V2331" s="16" t="str">
        <f>IFERROR(__xludf.DUMMYFUNCTION("""COMPUTED_VALUE"""),"")</f>
        <v/>
      </c>
      <c r="W2331" s="16" t="str">
        <f>IFERROR(__xludf.DUMMYFUNCTION("""COMPUTED_VALUE"""),"")</f>
        <v/>
      </c>
      <c r="X2331" s="16" t="str">
        <f>IFERROR(__xludf.DUMMYFUNCTION("""COMPUTED_VALUE"""),"")</f>
        <v/>
      </c>
      <c r="AC2331" s="16" t="str">
        <f>IFERROR(__xludf.DUMMYFUNCTION("""COMPUTED_VALUE"""),"")</f>
        <v/>
      </c>
    </row>
    <row r="2332">
      <c r="A2332" s="16" t="s">
        <v>87</v>
      </c>
      <c r="E2332" s="16" t="str">
        <f>IFERROR(__xludf.DUMMYFUNCTION("""COMPUTED_VALUE"""),"")</f>
        <v/>
      </c>
      <c r="G2332" s="18"/>
      <c r="H2332" s="16" t="s">
        <v>87</v>
      </c>
      <c r="I2332" s="16" t="s">
        <v>87</v>
      </c>
      <c r="J2332" s="19"/>
      <c r="L2332" s="16" t="str">
        <f>IFERROR(__xludf.DUMMYFUNCTION("""COMPUTED_VALUE"""),"")</f>
        <v/>
      </c>
      <c r="M2332" s="16" t="str">
        <f>IFERROR(__xludf.DUMMYFUNCTION("""COMPUTED_VALUE"""),"")</f>
        <v/>
      </c>
      <c r="U2332" s="16" t="s">
        <v>87</v>
      </c>
      <c r="V2332" s="16" t="str">
        <f>IFERROR(__xludf.DUMMYFUNCTION("""COMPUTED_VALUE"""),"")</f>
        <v/>
      </c>
      <c r="W2332" s="16" t="str">
        <f>IFERROR(__xludf.DUMMYFUNCTION("""COMPUTED_VALUE"""),"")</f>
        <v/>
      </c>
      <c r="X2332" s="16" t="str">
        <f>IFERROR(__xludf.DUMMYFUNCTION("""COMPUTED_VALUE"""),"")</f>
        <v/>
      </c>
      <c r="AC2332" s="16" t="str">
        <f>IFERROR(__xludf.DUMMYFUNCTION("""COMPUTED_VALUE"""),"")</f>
        <v/>
      </c>
    </row>
    <row r="2333">
      <c r="A2333" s="16" t="s">
        <v>87</v>
      </c>
      <c r="E2333" s="16" t="str">
        <f>IFERROR(__xludf.DUMMYFUNCTION("""COMPUTED_VALUE"""),"")</f>
        <v/>
      </c>
      <c r="G2333" s="18"/>
      <c r="H2333" s="16" t="s">
        <v>87</v>
      </c>
      <c r="I2333" s="16" t="s">
        <v>87</v>
      </c>
      <c r="J2333" s="19"/>
      <c r="L2333" s="16" t="str">
        <f>IFERROR(__xludf.DUMMYFUNCTION("""COMPUTED_VALUE"""),"")</f>
        <v/>
      </c>
      <c r="M2333" s="16" t="str">
        <f>IFERROR(__xludf.DUMMYFUNCTION("""COMPUTED_VALUE"""),"")</f>
        <v/>
      </c>
      <c r="U2333" s="16" t="s">
        <v>87</v>
      </c>
      <c r="V2333" s="16" t="str">
        <f>IFERROR(__xludf.DUMMYFUNCTION("""COMPUTED_VALUE"""),"")</f>
        <v/>
      </c>
      <c r="W2333" s="16" t="str">
        <f>IFERROR(__xludf.DUMMYFUNCTION("""COMPUTED_VALUE"""),"")</f>
        <v/>
      </c>
      <c r="X2333" s="16" t="str">
        <f>IFERROR(__xludf.DUMMYFUNCTION("""COMPUTED_VALUE"""),"")</f>
        <v/>
      </c>
      <c r="AC2333" s="16" t="str">
        <f>IFERROR(__xludf.DUMMYFUNCTION("""COMPUTED_VALUE"""),"")</f>
        <v/>
      </c>
    </row>
    <row r="2334">
      <c r="A2334" s="16" t="s">
        <v>87</v>
      </c>
      <c r="E2334" s="16" t="str">
        <f>IFERROR(__xludf.DUMMYFUNCTION("""COMPUTED_VALUE"""),"")</f>
        <v/>
      </c>
      <c r="G2334" s="18"/>
      <c r="H2334" s="16" t="s">
        <v>87</v>
      </c>
      <c r="I2334" s="16" t="s">
        <v>87</v>
      </c>
      <c r="J2334" s="19"/>
      <c r="L2334" s="16" t="str">
        <f>IFERROR(__xludf.DUMMYFUNCTION("""COMPUTED_VALUE"""),"")</f>
        <v/>
      </c>
      <c r="M2334" s="16" t="str">
        <f>IFERROR(__xludf.DUMMYFUNCTION("""COMPUTED_VALUE"""),"")</f>
        <v/>
      </c>
      <c r="U2334" s="16" t="s">
        <v>87</v>
      </c>
      <c r="V2334" s="16" t="str">
        <f>IFERROR(__xludf.DUMMYFUNCTION("""COMPUTED_VALUE"""),"")</f>
        <v/>
      </c>
      <c r="W2334" s="16" t="str">
        <f>IFERROR(__xludf.DUMMYFUNCTION("""COMPUTED_VALUE"""),"")</f>
        <v/>
      </c>
      <c r="X2334" s="16" t="str">
        <f>IFERROR(__xludf.DUMMYFUNCTION("""COMPUTED_VALUE"""),"")</f>
        <v/>
      </c>
      <c r="AC2334" s="16" t="str">
        <f>IFERROR(__xludf.DUMMYFUNCTION("""COMPUTED_VALUE"""),"")</f>
        <v/>
      </c>
    </row>
    <row r="2335">
      <c r="A2335" s="16" t="s">
        <v>87</v>
      </c>
      <c r="E2335" s="16" t="str">
        <f>IFERROR(__xludf.DUMMYFUNCTION("""COMPUTED_VALUE"""),"")</f>
        <v/>
      </c>
      <c r="G2335" s="18"/>
      <c r="H2335" s="16" t="s">
        <v>87</v>
      </c>
      <c r="I2335" s="16" t="s">
        <v>87</v>
      </c>
      <c r="J2335" s="19"/>
      <c r="L2335" s="16" t="str">
        <f>IFERROR(__xludf.DUMMYFUNCTION("""COMPUTED_VALUE"""),"")</f>
        <v/>
      </c>
      <c r="M2335" s="16" t="str">
        <f>IFERROR(__xludf.DUMMYFUNCTION("""COMPUTED_VALUE"""),"")</f>
        <v/>
      </c>
      <c r="U2335" s="16" t="s">
        <v>87</v>
      </c>
      <c r="V2335" s="16" t="str">
        <f>IFERROR(__xludf.DUMMYFUNCTION("""COMPUTED_VALUE"""),"")</f>
        <v/>
      </c>
      <c r="W2335" s="16" t="str">
        <f>IFERROR(__xludf.DUMMYFUNCTION("""COMPUTED_VALUE"""),"")</f>
        <v/>
      </c>
      <c r="X2335" s="16" t="str">
        <f>IFERROR(__xludf.DUMMYFUNCTION("""COMPUTED_VALUE"""),"")</f>
        <v/>
      </c>
      <c r="AC2335" s="16" t="str">
        <f>IFERROR(__xludf.DUMMYFUNCTION("""COMPUTED_VALUE"""),"")</f>
        <v/>
      </c>
    </row>
    <row r="2336">
      <c r="A2336" s="16" t="s">
        <v>87</v>
      </c>
      <c r="E2336" s="16" t="str">
        <f>IFERROR(__xludf.DUMMYFUNCTION("""COMPUTED_VALUE"""),"")</f>
        <v/>
      </c>
      <c r="G2336" s="18"/>
      <c r="H2336" s="16" t="s">
        <v>87</v>
      </c>
      <c r="I2336" s="16" t="s">
        <v>87</v>
      </c>
      <c r="J2336" s="19"/>
      <c r="L2336" s="16" t="str">
        <f>IFERROR(__xludf.DUMMYFUNCTION("""COMPUTED_VALUE"""),"")</f>
        <v/>
      </c>
      <c r="M2336" s="16" t="str">
        <f>IFERROR(__xludf.DUMMYFUNCTION("""COMPUTED_VALUE"""),"")</f>
        <v/>
      </c>
      <c r="U2336" s="16" t="s">
        <v>87</v>
      </c>
      <c r="V2336" s="16" t="str">
        <f>IFERROR(__xludf.DUMMYFUNCTION("""COMPUTED_VALUE"""),"")</f>
        <v/>
      </c>
      <c r="W2336" s="16" t="str">
        <f>IFERROR(__xludf.DUMMYFUNCTION("""COMPUTED_VALUE"""),"")</f>
        <v/>
      </c>
      <c r="X2336" s="16" t="str">
        <f>IFERROR(__xludf.DUMMYFUNCTION("""COMPUTED_VALUE"""),"")</f>
        <v/>
      </c>
      <c r="AC2336" s="16" t="str">
        <f>IFERROR(__xludf.DUMMYFUNCTION("""COMPUTED_VALUE"""),"")</f>
        <v/>
      </c>
    </row>
    <row r="2337">
      <c r="A2337" s="16" t="s">
        <v>87</v>
      </c>
      <c r="E2337" s="16" t="str">
        <f>IFERROR(__xludf.DUMMYFUNCTION("""COMPUTED_VALUE"""),"")</f>
        <v/>
      </c>
      <c r="G2337" s="18"/>
      <c r="H2337" s="16" t="s">
        <v>87</v>
      </c>
      <c r="I2337" s="16" t="s">
        <v>87</v>
      </c>
      <c r="J2337" s="19"/>
      <c r="L2337" s="16" t="str">
        <f>IFERROR(__xludf.DUMMYFUNCTION("""COMPUTED_VALUE"""),"")</f>
        <v/>
      </c>
      <c r="M2337" s="16" t="str">
        <f>IFERROR(__xludf.DUMMYFUNCTION("""COMPUTED_VALUE"""),"")</f>
        <v/>
      </c>
      <c r="U2337" s="16" t="s">
        <v>87</v>
      </c>
      <c r="V2337" s="16" t="str">
        <f>IFERROR(__xludf.DUMMYFUNCTION("""COMPUTED_VALUE"""),"")</f>
        <v/>
      </c>
      <c r="W2337" s="16" t="str">
        <f>IFERROR(__xludf.DUMMYFUNCTION("""COMPUTED_VALUE"""),"")</f>
        <v/>
      </c>
      <c r="X2337" s="16" t="str">
        <f>IFERROR(__xludf.DUMMYFUNCTION("""COMPUTED_VALUE"""),"")</f>
        <v/>
      </c>
      <c r="AC2337" s="16" t="str">
        <f>IFERROR(__xludf.DUMMYFUNCTION("""COMPUTED_VALUE"""),"")</f>
        <v/>
      </c>
    </row>
    <row r="2338">
      <c r="A2338" s="16" t="s">
        <v>87</v>
      </c>
      <c r="E2338" s="16" t="str">
        <f>IFERROR(__xludf.DUMMYFUNCTION("""COMPUTED_VALUE"""),"")</f>
        <v/>
      </c>
      <c r="G2338" s="18"/>
      <c r="H2338" s="16" t="s">
        <v>87</v>
      </c>
      <c r="I2338" s="16" t="s">
        <v>87</v>
      </c>
      <c r="J2338" s="19"/>
      <c r="L2338" s="16" t="str">
        <f>IFERROR(__xludf.DUMMYFUNCTION("""COMPUTED_VALUE"""),"")</f>
        <v/>
      </c>
      <c r="M2338" s="16" t="str">
        <f>IFERROR(__xludf.DUMMYFUNCTION("""COMPUTED_VALUE"""),"")</f>
        <v/>
      </c>
      <c r="U2338" s="16" t="s">
        <v>87</v>
      </c>
      <c r="V2338" s="16" t="str">
        <f>IFERROR(__xludf.DUMMYFUNCTION("""COMPUTED_VALUE"""),"")</f>
        <v/>
      </c>
      <c r="W2338" s="16" t="str">
        <f>IFERROR(__xludf.DUMMYFUNCTION("""COMPUTED_VALUE"""),"")</f>
        <v/>
      </c>
      <c r="X2338" s="16" t="str">
        <f>IFERROR(__xludf.DUMMYFUNCTION("""COMPUTED_VALUE"""),"")</f>
        <v/>
      </c>
      <c r="AC2338" s="16" t="str">
        <f>IFERROR(__xludf.DUMMYFUNCTION("""COMPUTED_VALUE"""),"")</f>
        <v/>
      </c>
    </row>
    <row r="2339">
      <c r="A2339" s="16" t="s">
        <v>87</v>
      </c>
      <c r="E2339" s="16" t="str">
        <f>IFERROR(__xludf.DUMMYFUNCTION("""COMPUTED_VALUE"""),"")</f>
        <v/>
      </c>
      <c r="G2339" s="18"/>
      <c r="H2339" s="16" t="s">
        <v>87</v>
      </c>
      <c r="I2339" s="16" t="s">
        <v>87</v>
      </c>
      <c r="J2339" s="19"/>
      <c r="L2339" s="16" t="str">
        <f>IFERROR(__xludf.DUMMYFUNCTION("""COMPUTED_VALUE"""),"")</f>
        <v/>
      </c>
      <c r="M2339" s="16" t="str">
        <f>IFERROR(__xludf.DUMMYFUNCTION("""COMPUTED_VALUE"""),"")</f>
        <v/>
      </c>
      <c r="U2339" s="16" t="s">
        <v>87</v>
      </c>
      <c r="V2339" s="16" t="str">
        <f>IFERROR(__xludf.DUMMYFUNCTION("""COMPUTED_VALUE"""),"")</f>
        <v/>
      </c>
      <c r="W2339" s="16" t="str">
        <f>IFERROR(__xludf.DUMMYFUNCTION("""COMPUTED_VALUE"""),"")</f>
        <v/>
      </c>
      <c r="X2339" s="16" t="str">
        <f>IFERROR(__xludf.DUMMYFUNCTION("""COMPUTED_VALUE"""),"")</f>
        <v/>
      </c>
      <c r="AC2339" s="16" t="str">
        <f>IFERROR(__xludf.DUMMYFUNCTION("""COMPUTED_VALUE"""),"")</f>
        <v/>
      </c>
    </row>
    <row r="2340">
      <c r="A2340" s="16" t="s">
        <v>87</v>
      </c>
      <c r="E2340" s="16" t="str">
        <f>IFERROR(__xludf.DUMMYFUNCTION("""COMPUTED_VALUE"""),"")</f>
        <v/>
      </c>
      <c r="G2340" s="18"/>
      <c r="H2340" s="16" t="s">
        <v>87</v>
      </c>
      <c r="I2340" s="16" t="s">
        <v>87</v>
      </c>
      <c r="J2340" s="19"/>
      <c r="L2340" s="16" t="str">
        <f>IFERROR(__xludf.DUMMYFUNCTION("""COMPUTED_VALUE"""),"")</f>
        <v/>
      </c>
      <c r="M2340" s="16" t="str">
        <f>IFERROR(__xludf.DUMMYFUNCTION("""COMPUTED_VALUE"""),"")</f>
        <v/>
      </c>
      <c r="U2340" s="16" t="s">
        <v>87</v>
      </c>
      <c r="V2340" s="16" t="str">
        <f>IFERROR(__xludf.DUMMYFUNCTION("""COMPUTED_VALUE"""),"")</f>
        <v/>
      </c>
      <c r="W2340" s="16" t="str">
        <f>IFERROR(__xludf.DUMMYFUNCTION("""COMPUTED_VALUE"""),"")</f>
        <v/>
      </c>
      <c r="X2340" s="16" t="str">
        <f>IFERROR(__xludf.DUMMYFUNCTION("""COMPUTED_VALUE"""),"")</f>
        <v/>
      </c>
      <c r="AC2340" s="16" t="str">
        <f>IFERROR(__xludf.DUMMYFUNCTION("""COMPUTED_VALUE"""),"")</f>
        <v/>
      </c>
    </row>
    <row r="2341">
      <c r="A2341" s="16" t="s">
        <v>87</v>
      </c>
      <c r="E2341" s="16" t="str">
        <f>IFERROR(__xludf.DUMMYFUNCTION("""COMPUTED_VALUE"""),"")</f>
        <v/>
      </c>
      <c r="G2341" s="18"/>
      <c r="H2341" s="16" t="s">
        <v>87</v>
      </c>
      <c r="I2341" s="16" t="s">
        <v>87</v>
      </c>
      <c r="J2341" s="19"/>
      <c r="L2341" s="16" t="str">
        <f>IFERROR(__xludf.DUMMYFUNCTION("""COMPUTED_VALUE"""),"")</f>
        <v/>
      </c>
      <c r="M2341" s="16" t="str">
        <f>IFERROR(__xludf.DUMMYFUNCTION("""COMPUTED_VALUE"""),"")</f>
        <v/>
      </c>
      <c r="U2341" s="16" t="s">
        <v>87</v>
      </c>
      <c r="V2341" s="16" t="str">
        <f>IFERROR(__xludf.DUMMYFUNCTION("""COMPUTED_VALUE"""),"")</f>
        <v/>
      </c>
      <c r="W2341" s="16" t="str">
        <f>IFERROR(__xludf.DUMMYFUNCTION("""COMPUTED_VALUE"""),"")</f>
        <v/>
      </c>
      <c r="X2341" s="16" t="str">
        <f>IFERROR(__xludf.DUMMYFUNCTION("""COMPUTED_VALUE"""),"")</f>
        <v/>
      </c>
      <c r="AC2341" s="16" t="str">
        <f>IFERROR(__xludf.DUMMYFUNCTION("""COMPUTED_VALUE"""),"")</f>
        <v/>
      </c>
    </row>
    <row r="2342">
      <c r="A2342" s="16" t="s">
        <v>87</v>
      </c>
      <c r="E2342" s="16" t="str">
        <f>IFERROR(__xludf.DUMMYFUNCTION("""COMPUTED_VALUE"""),"")</f>
        <v/>
      </c>
      <c r="G2342" s="18"/>
      <c r="H2342" s="16" t="s">
        <v>87</v>
      </c>
      <c r="I2342" s="16" t="s">
        <v>87</v>
      </c>
      <c r="J2342" s="19"/>
      <c r="L2342" s="16" t="str">
        <f>IFERROR(__xludf.DUMMYFUNCTION("""COMPUTED_VALUE"""),"")</f>
        <v/>
      </c>
      <c r="M2342" s="16" t="str">
        <f>IFERROR(__xludf.DUMMYFUNCTION("""COMPUTED_VALUE"""),"")</f>
        <v/>
      </c>
      <c r="U2342" s="16" t="s">
        <v>87</v>
      </c>
      <c r="V2342" s="16" t="str">
        <f>IFERROR(__xludf.DUMMYFUNCTION("""COMPUTED_VALUE"""),"")</f>
        <v/>
      </c>
      <c r="W2342" s="16" t="str">
        <f>IFERROR(__xludf.DUMMYFUNCTION("""COMPUTED_VALUE"""),"")</f>
        <v/>
      </c>
      <c r="X2342" s="16" t="str">
        <f>IFERROR(__xludf.DUMMYFUNCTION("""COMPUTED_VALUE"""),"")</f>
        <v/>
      </c>
      <c r="AC2342" s="16" t="str">
        <f>IFERROR(__xludf.DUMMYFUNCTION("""COMPUTED_VALUE"""),"")</f>
        <v/>
      </c>
    </row>
    <row r="2343">
      <c r="A2343" s="16" t="s">
        <v>87</v>
      </c>
      <c r="E2343" s="16" t="str">
        <f>IFERROR(__xludf.DUMMYFUNCTION("""COMPUTED_VALUE"""),"")</f>
        <v/>
      </c>
      <c r="G2343" s="18"/>
      <c r="H2343" s="16" t="s">
        <v>87</v>
      </c>
      <c r="I2343" s="16" t="s">
        <v>87</v>
      </c>
      <c r="J2343" s="19"/>
      <c r="L2343" s="16" t="str">
        <f>IFERROR(__xludf.DUMMYFUNCTION("""COMPUTED_VALUE"""),"")</f>
        <v/>
      </c>
      <c r="M2343" s="16" t="str">
        <f>IFERROR(__xludf.DUMMYFUNCTION("""COMPUTED_VALUE"""),"")</f>
        <v/>
      </c>
      <c r="U2343" s="16" t="s">
        <v>87</v>
      </c>
      <c r="V2343" s="16" t="str">
        <f>IFERROR(__xludf.DUMMYFUNCTION("""COMPUTED_VALUE"""),"")</f>
        <v/>
      </c>
      <c r="W2343" s="16" t="str">
        <f>IFERROR(__xludf.DUMMYFUNCTION("""COMPUTED_VALUE"""),"")</f>
        <v/>
      </c>
      <c r="X2343" s="16" t="str">
        <f>IFERROR(__xludf.DUMMYFUNCTION("""COMPUTED_VALUE"""),"")</f>
        <v/>
      </c>
      <c r="AC2343" s="16" t="str">
        <f>IFERROR(__xludf.DUMMYFUNCTION("""COMPUTED_VALUE"""),"")</f>
        <v/>
      </c>
    </row>
    <row r="2344">
      <c r="A2344" s="16" t="s">
        <v>87</v>
      </c>
      <c r="E2344" s="16" t="str">
        <f>IFERROR(__xludf.DUMMYFUNCTION("""COMPUTED_VALUE"""),"")</f>
        <v/>
      </c>
      <c r="G2344" s="18"/>
      <c r="H2344" s="16" t="s">
        <v>87</v>
      </c>
      <c r="I2344" s="16" t="s">
        <v>87</v>
      </c>
      <c r="J2344" s="19"/>
      <c r="L2344" s="16" t="str">
        <f>IFERROR(__xludf.DUMMYFUNCTION("""COMPUTED_VALUE"""),"")</f>
        <v/>
      </c>
      <c r="M2344" s="16" t="str">
        <f>IFERROR(__xludf.DUMMYFUNCTION("""COMPUTED_VALUE"""),"")</f>
        <v/>
      </c>
      <c r="U2344" s="16" t="s">
        <v>87</v>
      </c>
      <c r="V2344" s="16" t="str">
        <f>IFERROR(__xludf.DUMMYFUNCTION("""COMPUTED_VALUE"""),"")</f>
        <v/>
      </c>
      <c r="W2344" s="16" t="str">
        <f>IFERROR(__xludf.DUMMYFUNCTION("""COMPUTED_VALUE"""),"")</f>
        <v/>
      </c>
      <c r="X2344" s="16" t="str">
        <f>IFERROR(__xludf.DUMMYFUNCTION("""COMPUTED_VALUE"""),"")</f>
        <v/>
      </c>
      <c r="AC2344" s="16" t="str">
        <f>IFERROR(__xludf.DUMMYFUNCTION("""COMPUTED_VALUE"""),"")</f>
        <v/>
      </c>
    </row>
    <row r="2345">
      <c r="A2345" s="16" t="s">
        <v>87</v>
      </c>
      <c r="E2345" s="16" t="str">
        <f>IFERROR(__xludf.DUMMYFUNCTION("""COMPUTED_VALUE"""),"")</f>
        <v/>
      </c>
      <c r="G2345" s="18"/>
      <c r="H2345" s="16" t="s">
        <v>87</v>
      </c>
      <c r="I2345" s="16" t="s">
        <v>87</v>
      </c>
      <c r="J2345" s="19"/>
      <c r="L2345" s="16" t="str">
        <f>IFERROR(__xludf.DUMMYFUNCTION("""COMPUTED_VALUE"""),"")</f>
        <v/>
      </c>
      <c r="M2345" s="16" t="str">
        <f>IFERROR(__xludf.DUMMYFUNCTION("""COMPUTED_VALUE"""),"")</f>
        <v/>
      </c>
      <c r="U2345" s="16" t="s">
        <v>87</v>
      </c>
      <c r="V2345" s="16" t="str">
        <f>IFERROR(__xludf.DUMMYFUNCTION("""COMPUTED_VALUE"""),"")</f>
        <v/>
      </c>
      <c r="W2345" s="16" t="str">
        <f>IFERROR(__xludf.DUMMYFUNCTION("""COMPUTED_VALUE"""),"")</f>
        <v/>
      </c>
      <c r="X2345" s="16" t="str">
        <f>IFERROR(__xludf.DUMMYFUNCTION("""COMPUTED_VALUE"""),"")</f>
        <v/>
      </c>
      <c r="AC2345" s="16" t="str">
        <f>IFERROR(__xludf.DUMMYFUNCTION("""COMPUTED_VALUE"""),"")</f>
        <v/>
      </c>
    </row>
    <row r="2346">
      <c r="A2346" s="16" t="s">
        <v>87</v>
      </c>
      <c r="E2346" s="16" t="str">
        <f>IFERROR(__xludf.DUMMYFUNCTION("""COMPUTED_VALUE"""),"")</f>
        <v/>
      </c>
      <c r="G2346" s="18"/>
      <c r="H2346" s="16" t="s">
        <v>87</v>
      </c>
      <c r="I2346" s="16" t="s">
        <v>87</v>
      </c>
      <c r="J2346" s="19"/>
      <c r="L2346" s="16" t="str">
        <f>IFERROR(__xludf.DUMMYFUNCTION("""COMPUTED_VALUE"""),"")</f>
        <v/>
      </c>
      <c r="M2346" s="16" t="str">
        <f>IFERROR(__xludf.DUMMYFUNCTION("""COMPUTED_VALUE"""),"")</f>
        <v/>
      </c>
      <c r="U2346" s="16" t="s">
        <v>87</v>
      </c>
      <c r="V2346" s="16" t="str">
        <f>IFERROR(__xludf.DUMMYFUNCTION("""COMPUTED_VALUE"""),"")</f>
        <v/>
      </c>
      <c r="W2346" s="16" t="str">
        <f>IFERROR(__xludf.DUMMYFUNCTION("""COMPUTED_VALUE"""),"")</f>
        <v/>
      </c>
      <c r="X2346" s="16" t="str">
        <f>IFERROR(__xludf.DUMMYFUNCTION("""COMPUTED_VALUE"""),"")</f>
        <v/>
      </c>
      <c r="AC2346" s="16" t="str">
        <f>IFERROR(__xludf.DUMMYFUNCTION("""COMPUTED_VALUE"""),"")</f>
        <v/>
      </c>
    </row>
    <row r="2347">
      <c r="A2347" s="16" t="s">
        <v>87</v>
      </c>
      <c r="E2347" s="16" t="str">
        <f>IFERROR(__xludf.DUMMYFUNCTION("""COMPUTED_VALUE"""),"")</f>
        <v/>
      </c>
      <c r="G2347" s="18"/>
      <c r="H2347" s="16" t="s">
        <v>87</v>
      </c>
      <c r="I2347" s="16" t="s">
        <v>87</v>
      </c>
      <c r="J2347" s="19"/>
      <c r="L2347" s="16" t="str">
        <f>IFERROR(__xludf.DUMMYFUNCTION("""COMPUTED_VALUE"""),"")</f>
        <v/>
      </c>
      <c r="M2347" s="16" t="str">
        <f>IFERROR(__xludf.DUMMYFUNCTION("""COMPUTED_VALUE"""),"")</f>
        <v/>
      </c>
      <c r="U2347" s="16" t="s">
        <v>87</v>
      </c>
      <c r="V2347" s="16" t="str">
        <f>IFERROR(__xludf.DUMMYFUNCTION("""COMPUTED_VALUE"""),"")</f>
        <v/>
      </c>
      <c r="W2347" s="16" t="str">
        <f>IFERROR(__xludf.DUMMYFUNCTION("""COMPUTED_VALUE"""),"")</f>
        <v/>
      </c>
      <c r="X2347" s="16" t="str">
        <f>IFERROR(__xludf.DUMMYFUNCTION("""COMPUTED_VALUE"""),"")</f>
        <v/>
      </c>
      <c r="AC2347" s="16" t="str">
        <f>IFERROR(__xludf.DUMMYFUNCTION("""COMPUTED_VALUE"""),"")</f>
        <v/>
      </c>
    </row>
    <row r="2348">
      <c r="A2348" s="16" t="s">
        <v>87</v>
      </c>
      <c r="E2348" s="16" t="str">
        <f>IFERROR(__xludf.DUMMYFUNCTION("""COMPUTED_VALUE"""),"")</f>
        <v/>
      </c>
      <c r="G2348" s="18"/>
      <c r="H2348" s="16" t="s">
        <v>87</v>
      </c>
      <c r="I2348" s="16" t="s">
        <v>87</v>
      </c>
      <c r="J2348" s="19"/>
      <c r="L2348" s="16" t="str">
        <f>IFERROR(__xludf.DUMMYFUNCTION("""COMPUTED_VALUE"""),"")</f>
        <v/>
      </c>
      <c r="M2348" s="16" t="str">
        <f>IFERROR(__xludf.DUMMYFUNCTION("""COMPUTED_VALUE"""),"")</f>
        <v/>
      </c>
      <c r="U2348" s="16" t="s">
        <v>87</v>
      </c>
      <c r="V2348" s="16" t="str">
        <f>IFERROR(__xludf.DUMMYFUNCTION("""COMPUTED_VALUE"""),"")</f>
        <v/>
      </c>
      <c r="W2348" s="16" t="str">
        <f>IFERROR(__xludf.DUMMYFUNCTION("""COMPUTED_VALUE"""),"")</f>
        <v/>
      </c>
      <c r="X2348" s="16" t="str">
        <f>IFERROR(__xludf.DUMMYFUNCTION("""COMPUTED_VALUE"""),"")</f>
        <v/>
      </c>
      <c r="AC2348" s="16" t="str">
        <f>IFERROR(__xludf.DUMMYFUNCTION("""COMPUTED_VALUE"""),"")</f>
        <v/>
      </c>
    </row>
    <row r="2349">
      <c r="A2349" s="16" t="s">
        <v>87</v>
      </c>
      <c r="E2349" s="16" t="str">
        <f>IFERROR(__xludf.DUMMYFUNCTION("""COMPUTED_VALUE"""),"")</f>
        <v/>
      </c>
      <c r="G2349" s="18"/>
      <c r="H2349" s="16" t="s">
        <v>87</v>
      </c>
      <c r="I2349" s="16" t="s">
        <v>87</v>
      </c>
      <c r="J2349" s="19"/>
      <c r="L2349" s="16" t="str">
        <f>IFERROR(__xludf.DUMMYFUNCTION("""COMPUTED_VALUE"""),"")</f>
        <v/>
      </c>
      <c r="M2349" s="16" t="str">
        <f>IFERROR(__xludf.DUMMYFUNCTION("""COMPUTED_VALUE"""),"")</f>
        <v/>
      </c>
      <c r="U2349" s="16" t="s">
        <v>87</v>
      </c>
      <c r="V2349" s="16" t="str">
        <f>IFERROR(__xludf.DUMMYFUNCTION("""COMPUTED_VALUE"""),"")</f>
        <v/>
      </c>
      <c r="W2349" s="16" t="str">
        <f>IFERROR(__xludf.DUMMYFUNCTION("""COMPUTED_VALUE"""),"")</f>
        <v/>
      </c>
      <c r="X2349" s="16" t="str">
        <f>IFERROR(__xludf.DUMMYFUNCTION("""COMPUTED_VALUE"""),"")</f>
        <v/>
      </c>
      <c r="AC2349" s="16" t="str">
        <f>IFERROR(__xludf.DUMMYFUNCTION("""COMPUTED_VALUE"""),"")</f>
        <v/>
      </c>
    </row>
    <row r="2350">
      <c r="A2350" s="16" t="s">
        <v>87</v>
      </c>
      <c r="E2350" s="16" t="str">
        <f>IFERROR(__xludf.DUMMYFUNCTION("""COMPUTED_VALUE"""),"")</f>
        <v/>
      </c>
      <c r="G2350" s="18"/>
      <c r="H2350" s="16" t="s">
        <v>87</v>
      </c>
      <c r="I2350" s="16" t="s">
        <v>87</v>
      </c>
      <c r="J2350" s="19"/>
      <c r="L2350" s="16" t="str">
        <f>IFERROR(__xludf.DUMMYFUNCTION("""COMPUTED_VALUE"""),"")</f>
        <v/>
      </c>
      <c r="M2350" s="16" t="str">
        <f>IFERROR(__xludf.DUMMYFUNCTION("""COMPUTED_VALUE"""),"")</f>
        <v/>
      </c>
      <c r="U2350" s="16" t="s">
        <v>87</v>
      </c>
      <c r="V2350" s="16" t="str">
        <f>IFERROR(__xludf.DUMMYFUNCTION("""COMPUTED_VALUE"""),"")</f>
        <v/>
      </c>
      <c r="W2350" s="16" t="str">
        <f>IFERROR(__xludf.DUMMYFUNCTION("""COMPUTED_VALUE"""),"")</f>
        <v/>
      </c>
      <c r="X2350" s="16" t="str">
        <f>IFERROR(__xludf.DUMMYFUNCTION("""COMPUTED_VALUE"""),"")</f>
        <v/>
      </c>
      <c r="AC2350" s="16" t="str">
        <f>IFERROR(__xludf.DUMMYFUNCTION("""COMPUTED_VALUE"""),"")</f>
        <v/>
      </c>
    </row>
    <row r="2351">
      <c r="A2351" s="16" t="s">
        <v>87</v>
      </c>
      <c r="E2351" s="16" t="str">
        <f>IFERROR(__xludf.DUMMYFUNCTION("""COMPUTED_VALUE"""),"")</f>
        <v/>
      </c>
      <c r="G2351" s="18"/>
      <c r="H2351" s="16" t="s">
        <v>87</v>
      </c>
      <c r="I2351" s="16" t="s">
        <v>87</v>
      </c>
      <c r="J2351" s="19"/>
      <c r="L2351" s="16" t="str">
        <f>IFERROR(__xludf.DUMMYFUNCTION("""COMPUTED_VALUE"""),"")</f>
        <v/>
      </c>
      <c r="M2351" s="16" t="str">
        <f>IFERROR(__xludf.DUMMYFUNCTION("""COMPUTED_VALUE"""),"")</f>
        <v/>
      </c>
      <c r="U2351" s="16" t="s">
        <v>87</v>
      </c>
      <c r="V2351" s="16" t="str">
        <f>IFERROR(__xludf.DUMMYFUNCTION("""COMPUTED_VALUE"""),"")</f>
        <v/>
      </c>
      <c r="W2351" s="16" t="str">
        <f>IFERROR(__xludf.DUMMYFUNCTION("""COMPUTED_VALUE"""),"")</f>
        <v/>
      </c>
      <c r="X2351" s="16" t="str">
        <f>IFERROR(__xludf.DUMMYFUNCTION("""COMPUTED_VALUE"""),"")</f>
        <v/>
      </c>
      <c r="AC2351" s="16" t="str">
        <f>IFERROR(__xludf.DUMMYFUNCTION("""COMPUTED_VALUE"""),"")</f>
        <v/>
      </c>
    </row>
    <row r="2352">
      <c r="A2352" s="16" t="s">
        <v>87</v>
      </c>
      <c r="E2352" s="16" t="str">
        <f>IFERROR(__xludf.DUMMYFUNCTION("""COMPUTED_VALUE"""),"")</f>
        <v/>
      </c>
      <c r="G2352" s="18"/>
      <c r="H2352" s="16" t="s">
        <v>87</v>
      </c>
      <c r="I2352" s="16" t="s">
        <v>87</v>
      </c>
      <c r="J2352" s="19"/>
      <c r="L2352" s="16" t="str">
        <f>IFERROR(__xludf.DUMMYFUNCTION("""COMPUTED_VALUE"""),"")</f>
        <v/>
      </c>
      <c r="M2352" s="16" t="str">
        <f>IFERROR(__xludf.DUMMYFUNCTION("""COMPUTED_VALUE"""),"")</f>
        <v/>
      </c>
      <c r="U2352" s="16" t="s">
        <v>87</v>
      </c>
      <c r="V2352" s="16" t="str">
        <f>IFERROR(__xludf.DUMMYFUNCTION("""COMPUTED_VALUE"""),"")</f>
        <v/>
      </c>
      <c r="W2352" s="16" t="str">
        <f>IFERROR(__xludf.DUMMYFUNCTION("""COMPUTED_VALUE"""),"")</f>
        <v/>
      </c>
      <c r="X2352" s="16" t="str">
        <f>IFERROR(__xludf.DUMMYFUNCTION("""COMPUTED_VALUE"""),"")</f>
        <v/>
      </c>
      <c r="AC2352" s="16" t="str">
        <f>IFERROR(__xludf.DUMMYFUNCTION("""COMPUTED_VALUE"""),"")</f>
        <v/>
      </c>
    </row>
    <row r="2353">
      <c r="A2353" s="16" t="s">
        <v>87</v>
      </c>
      <c r="E2353" s="16" t="str">
        <f>IFERROR(__xludf.DUMMYFUNCTION("""COMPUTED_VALUE"""),"")</f>
        <v/>
      </c>
      <c r="G2353" s="18"/>
      <c r="H2353" s="16" t="s">
        <v>87</v>
      </c>
      <c r="I2353" s="16" t="s">
        <v>87</v>
      </c>
      <c r="J2353" s="19"/>
      <c r="L2353" s="16" t="str">
        <f>IFERROR(__xludf.DUMMYFUNCTION("""COMPUTED_VALUE"""),"")</f>
        <v/>
      </c>
      <c r="M2353" s="16" t="str">
        <f>IFERROR(__xludf.DUMMYFUNCTION("""COMPUTED_VALUE"""),"")</f>
        <v/>
      </c>
      <c r="U2353" s="16" t="s">
        <v>87</v>
      </c>
      <c r="V2353" s="16" t="str">
        <f>IFERROR(__xludf.DUMMYFUNCTION("""COMPUTED_VALUE"""),"")</f>
        <v/>
      </c>
      <c r="W2353" s="16" t="str">
        <f>IFERROR(__xludf.DUMMYFUNCTION("""COMPUTED_VALUE"""),"")</f>
        <v/>
      </c>
      <c r="X2353" s="16" t="str">
        <f>IFERROR(__xludf.DUMMYFUNCTION("""COMPUTED_VALUE"""),"")</f>
        <v/>
      </c>
      <c r="AC2353" s="16" t="str">
        <f>IFERROR(__xludf.DUMMYFUNCTION("""COMPUTED_VALUE"""),"")</f>
        <v/>
      </c>
    </row>
    <row r="2354">
      <c r="A2354" s="16" t="s">
        <v>87</v>
      </c>
      <c r="E2354" s="16" t="str">
        <f>IFERROR(__xludf.DUMMYFUNCTION("""COMPUTED_VALUE"""),"")</f>
        <v/>
      </c>
      <c r="G2354" s="18"/>
      <c r="H2354" s="16" t="s">
        <v>87</v>
      </c>
      <c r="I2354" s="16" t="s">
        <v>87</v>
      </c>
      <c r="J2354" s="19"/>
      <c r="L2354" s="16" t="str">
        <f>IFERROR(__xludf.DUMMYFUNCTION("""COMPUTED_VALUE"""),"")</f>
        <v/>
      </c>
      <c r="M2354" s="16" t="str">
        <f>IFERROR(__xludf.DUMMYFUNCTION("""COMPUTED_VALUE"""),"")</f>
        <v/>
      </c>
      <c r="U2354" s="16" t="s">
        <v>87</v>
      </c>
      <c r="V2354" s="16" t="str">
        <f>IFERROR(__xludf.DUMMYFUNCTION("""COMPUTED_VALUE"""),"")</f>
        <v/>
      </c>
      <c r="W2354" s="16" t="str">
        <f>IFERROR(__xludf.DUMMYFUNCTION("""COMPUTED_VALUE"""),"")</f>
        <v/>
      </c>
      <c r="X2354" s="16" t="str">
        <f>IFERROR(__xludf.DUMMYFUNCTION("""COMPUTED_VALUE"""),"")</f>
        <v/>
      </c>
      <c r="AC2354" s="16" t="str">
        <f>IFERROR(__xludf.DUMMYFUNCTION("""COMPUTED_VALUE"""),"")</f>
        <v/>
      </c>
    </row>
    <row r="2355">
      <c r="A2355" s="16" t="s">
        <v>87</v>
      </c>
      <c r="E2355" s="16" t="str">
        <f>IFERROR(__xludf.DUMMYFUNCTION("""COMPUTED_VALUE"""),"")</f>
        <v/>
      </c>
      <c r="G2355" s="18"/>
      <c r="H2355" s="16" t="s">
        <v>87</v>
      </c>
      <c r="I2355" s="16" t="s">
        <v>87</v>
      </c>
      <c r="J2355" s="19"/>
      <c r="L2355" s="16" t="str">
        <f>IFERROR(__xludf.DUMMYFUNCTION("""COMPUTED_VALUE"""),"")</f>
        <v/>
      </c>
      <c r="M2355" s="16" t="str">
        <f>IFERROR(__xludf.DUMMYFUNCTION("""COMPUTED_VALUE"""),"")</f>
        <v/>
      </c>
      <c r="U2355" s="16" t="s">
        <v>87</v>
      </c>
      <c r="V2355" s="16" t="str">
        <f>IFERROR(__xludf.DUMMYFUNCTION("""COMPUTED_VALUE"""),"")</f>
        <v/>
      </c>
      <c r="W2355" s="16" t="str">
        <f>IFERROR(__xludf.DUMMYFUNCTION("""COMPUTED_VALUE"""),"")</f>
        <v/>
      </c>
      <c r="X2355" s="16" t="str">
        <f>IFERROR(__xludf.DUMMYFUNCTION("""COMPUTED_VALUE"""),"")</f>
        <v/>
      </c>
      <c r="AC2355" s="16" t="str">
        <f>IFERROR(__xludf.DUMMYFUNCTION("""COMPUTED_VALUE"""),"")</f>
        <v/>
      </c>
    </row>
    <row r="2356">
      <c r="A2356" s="16" t="s">
        <v>87</v>
      </c>
      <c r="E2356" s="16" t="str">
        <f>IFERROR(__xludf.DUMMYFUNCTION("""COMPUTED_VALUE"""),"")</f>
        <v/>
      </c>
      <c r="G2356" s="18"/>
      <c r="H2356" s="16" t="s">
        <v>87</v>
      </c>
      <c r="I2356" s="16" t="s">
        <v>87</v>
      </c>
      <c r="J2356" s="19"/>
      <c r="L2356" s="16" t="str">
        <f>IFERROR(__xludf.DUMMYFUNCTION("""COMPUTED_VALUE"""),"")</f>
        <v/>
      </c>
      <c r="M2356" s="16" t="str">
        <f>IFERROR(__xludf.DUMMYFUNCTION("""COMPUTED_VALUE"""),"")</f>
        <v/>
      </c>
      <c r="U2356" s="16" t="s">
        <v>87</v>
      </c>
      <c r="V2356" s="16" t="str">
        <f>IFERROR(__xludf.DUMMYFUNCTION("""COMPUTED_VALUE"""),"")</f>
        <v/>
      </c>
      <c r="W2356" s="16" t="str">
        <f>IFERROR(__xludf.DUMMYFUNCTION("""COMPUTED_VALUE"""),"")</f>
        <v/>
      </c>
      <c r="X2356" s="16" t="str">
        <f>IFERROR(__xludf.DUMMYFUNCTION("""COMPUTED_VALUE"""),"")</f>
        <v/>
      </c>
      <c r="AC2356" s="16" t="str">
        <f>IFERROR(__xludf.DUMMYFUNCTION("""COMPUTED_VALUE"""),"")</f>
        <v/>
      </c>
    </row>
    <row r="2357">
      <c r="A2357" s="16" t="s">
        <v>87</v>
      </c>
      <c r="E2357" s="16" t="str">
        <f>IFERROR(__xludf.DUMMYFUNCTION("""COMPUTED_VALUE"""),"")</f>
        <v/>
      </c>
      <c r="G2357" s="18"/>
      <c r="H2357" s="16" t="s">
        <v>87</v>
      </c>
      <c r="I2357" s="16" t="s">
        <v>87</v>
      </c>
      <c r="J2357" s="19"/>
      <c r="L2357" s="16" t="str">
        <f>IFERROR(__xludf.DUMMYFUNCTION("""COMPUTED_VALUE"""),"")</f>
        <v/>
      </c>
      <c r="M2357" s="16" t="str">
        <f>IFERROR(__xludf.DUMMYFUNCTION("""COMPUTED_VALUE"""),"")</f>
        <v/>
      </c>
      <c r="U2357" s="16" t="s">
        <v>87</v>
      </c>
      <c r="V2357" s="16" t="str">
        <f>IFERROR(__xludf.DUMMYFUNCTION("""COMPUTED_VALUE"""),"")</f>
        <v/>
      </c>
      <c r="W2357" s="16" t="str">
        <f>IFERROR(__xludf.DUMMYFUNCTION("""COMPUTED_VALUE"""),"")</f>
        <v/>
      </c>
      <c r="X2357" s="16" t="str">
        <f>IFERROR(__xludf.DUMMYFUNCTION("""COMPUTED_VALUE"""),"")</f>
        <v/>
      </c>
      <c r="AC2357" s="16" t="str">
        <f>IFERROR(__xludf.DUMMYFUNCTION("""COMPUTED_VALUE"""),"")</f>
        <v/>
      </c>
    </row>
    <row r="2358">
      <c r="A2358" s="16" t="s">
        <v>87</v>
      </c>
      <c r="E2358" s="16" t="str">
        <f>IFERROR(__xludf.DUMMYFUNCTION("""COMPUTED_VALUE"""),"")</f>
        <v/>
      </c>
      <c r="G2358" s="18"/>
      <c r="H2358" s="16" t="s">
        <v>87</v>
      </c>
      <c r="I2358" s="16" t="s">
        <v>87</v>
      </c>
      <c r="J2358" s="19"/>
      <c r="L2358" s="16" t="str">
        <f>IFERROR(__xludf.DUMMYFUNCTION("""COMPUTED_VALUE"""),"")</f>
        <v/>
      </c>
      <c r="M2358" s="16" t="str">
        <f>IFERROR(__xludf.DUMMYFUNCTION("""COMPUTED_VALUE"""),"")</f>
        <v/>
      </c>
      <c r="U2358" s="16" t="s">
        <v>87</v>
      </c>
      <c r="V2358" s="16" t="str">
        <f>IFERROR(__xludf.DUMMYFUNCTION("""COMPUTED_VALUE"""),"")</f>
        <v/>
      </c>
      <c r="W2358" s="16" t="str">
        <f>IFERROR(__xludf.DUMMYFUNCTION("""COMPUTED_VALUE"""),"")</f>
        <v/>
      </c>
      <c r="X2358" s="16" t="str">
        <f>IFERROR(__xludf.DUMMYFUNCTION("""COMPUTED_VALUE"""),"")</f>
        <v/>
      </c>
      <c r="AC2358" s="16" t="str">
        <f>IFERROR(__xludf.DUMMYFUNCTION("""COMPUTED_VALUE"""),"")</f>
        <v/>
      </c>
    </row>
    <row r="2359">
      <c r="A2359" s="16" t="s">
        <v>87</v>
      </c>
      <c r="E2359" s="16" t="str">
        <f>IFERROR(__xludf.DUMMYFUNCTION("""COMPUTED_VALUE"""),"")</f>
        <v/>
      </c>
      <c r="G2359" s="18"/>
      <c r="H2359" s="16" t="s">
        <v>87</v>
      </c>
      <c r="I2359" s="16" t="s">
        <v>87</v>
      </c>
      <c r="J2359" s="19"/>
      <c r="L2359" s="16" t="str">
        <f>IFERROR(__xludf.DUMMYFUNCTION("""COMPUTED_VALUE"""),"")</f>
        <v/>
      </c>
      <c r="M2359" s="16" t="str">
        <f>IFERROR(__xludf.DUMMYFUNCTION("""COMPUTED_VALUE"""),"")</f>
        <v/>
      </c>
      <c r="U2359" s="16" t="s">
        <v>87</v>
      </c>
      <c r="V2359" s="16" t="str">
        <f>IFERROR(__xludf.DUMMYFUNCTION("""COMPUTED_VALUE"""),"")</f>
        <v/>
      </c>
      <c r="W2359" s="16" t="str">
        <f>IFERROR(__xludf.DUMMYFUNCTION("""COMPUTED_VALUE"""),"")</f>
        <v/>
      </c>
      <c r="X2359" s="16" t="str">
        <f>IFERROR(__xludf.DUMMYFUNCTION("""COMPUTED_VALUE"""),"")</f>
        <v/>
      </c>
      <c r="AC2359" s="16" t="str">
        <f>IFERROR(__xludf.DUMMYFUNCTION("""COMPUTED_VALUE"""),"")</f>
        <v/>
      </c>
    </row>
    <row r="2360">
      <c r="A2360" s="16" t="s">
        <v>87</v>
      </c>
      <c r="E2360" s="16" t="str">
        <f>IFERROR(__xludf.DUMMYFUNCTION("""COMPUTED_VALUE"""),"")</f>
        <v/>
      </c>
      <c r="G2360" s="18"/>
      <c r="H2360" s="16" t="s">
        <v>87</v>
      </c>
      <c r="I2360" s="16" t="s">
        <v>87</v>
      </c>
      <c r="J2360" s="19"/>
      <c r="L2360" s="16" t="str">
        <f>IFERROR(__xludf.DUMMYFUNCTION("""COMPUTED_VALUE"""),"")</f>
        <v/>
      </c>
      <c r="M2360" s="16" t="str">
        <f>IFERROR(__xludf.DUMMYFUNCTION("""COMPUTED_VALUE"""),"")</f>
        <v/>
      </c>
      <c r="U2360" s="16" t="s">
        <v>87</v>
      </c>
      <c r="V2360" s="16" t="str">
        <f>IFERROR(__xludf.DUMMYFUNCTION("""COMPUTED_VALUE"""),"")</f>
        <v/>
      </c>
      <c r="W2360" s="16" t="str">
        <f>IFERROR(__xludf.DUMMYFUNCTION("""COMPUTED_VALUE"""),"")</f>
        <v/>
      </c>
      <c r="X2360" s="16" t="str">
        <f>IFERROR(__xludf.DUMMYFUNCTION("""COMPUTED_VALUE"""),"")</f>
        <v/>
      </c>
      <c r="AC2360" s="16" t="str">
        <f>IFERROR(__xludf.DUMMYFUNCTION("""COMPUTED_VALUE"""),"")</f>
        <v/>
      </c>
    </row>
    <row r="2361">
      <c r="A2361" s="16" t="s">
        <v>87</v>
      </c>
      <c r="E2361" s="16" t="str">
        <f>IFERROR(__xludf.DUMMYFUNCTION("""COMPUTED_VALUE"""),"")</f>
        <v/>
      </c>
      <c r="G2361" s="18"/>
      <c r="H2361" s="16" t="s">
        <v>87</v>
      </c>
      <c r="I2361" s="16" t="s">
        <v>87</v>
      </c>
      <c r="J2361" s="19"/>
      <c r="L2361" s="16" t="str">
        <f>IFERROR(__xludf.DUMMYFUNCTION("""COMPUTED_VALUE"""),"")</f>
        <v/>
      </c>
      <c r="M2361" s="16" t="str">
        <f>IFERROR(__xludf.DUMMYFUNCTION("""COMPUTED_VALUE"""),"")</f>
        <v/>
      </c>
      <c r="U2361" s="16" t="s">
        <v>87</v>
      </c>
      <c r="V2361" s="16" t="str">
        <f>IFERROR(__xludf.DUMMYFUNCTION("""COMPUTED_VALUE"""),"")</f>
        <v/>
      </c>
      <c r="W2361" s="16" t="str">
        <f>IFERROR(__xludf.DUMMYFUNCTION("""COMPUTED_VALUE"""),"")</f>
        <v/>
      </c>
      <c r="X2361" s="16" t="str">
        <f>IFERROR(__xludf.DUMMYFUNCTION("""COMPUTED_VALUE"""),"")</f>
        <v/>
      </c>
      <c r="AC2361" s="16" t="str">
        <f>IFERROR(__xludf.DUMMYFUNCTION("""COMPUTED_VALUE"""),"")</f>
        <v/>
      </c>
    </row>
    <row r="2362">
      <c r="A2362" s="16" t="s">
        <v>87</v>
      </c>
      <c r="E2362" s="16" t="str">
        <f>IFERROR(__xludf.DUMMYFUNCTION("""COMPUTED_VALUE"""),"")</f>
        <v/>
      </c>
      <c r="G2362" s="18"/>
      <c r="H2362" s="16" t="s">
        <v>87</v>
      </c>
      <c r="I2362" s="16" t="s">
        <v>87</v>
      </c>
      <c r="J2362" s="19"/>
      <c r="L2362" s="16" t="str">
        <f>IFERROR(__xludf.DUMMYFUNCTION("""COMPUTED_VALUE"""),"")</f>
        <v/>
      </c>
      <c r="M2362" s="16" t="str">
        <f>IFERROR(__xludf.DUMMYFUNCTION("""COMPUTED_VALUE"""),"")</f>
        <v/>
      </c>
      <c r="U2362" s="16" t="s">
        <v>87</v>
      </c>
      <c r="V2362" s="16" t="str">
        <f>IFERROR(__xludf.DUMMYFUNCTION("""COMPUTED_VALUE"""),"")</f>
        <v/>
      </c>
      <c r="W2362" s="16" t="str">
        <f>IFERROR(__xludf.DUMMYFUNCTION("""COMPUTED_VALUE"""),"")</f>
        <v/>
      </c>
      <c r="X2362" s="16" t="str">
        <f>IFERROR(__xludf.DUMMYFUNCTION("""COMPUTED_VALUE"""),"")</f>
        <v/>
      </c>
      <c r="AC2362" s="16" t="str">
        <f>IFERROR(__xludf.DUMMYFUNCTION("""COMPUTED_VALUE"""),"")</f>
        <v/>
      </c>
    </row>
    <row r="2363">
      <c r="A2363" s="16" t="s">
        <v>87</v>
      </c>
      <c r="E2363" s="16" t="str">
        <f>IFERROR(__xludf.DUMMYFUNCTION("""COMPUTED_VALUE"""),"")</f>
        <v/>
      </c>
      <c r="G2363" s="18"/>
      <c r="H2363" s="16" t="s">
        <v>87</v>
      </c>
      <c r="I2363" s="16" t="s">
        <v>87</v>
      </c>
      <c r="J2363" s="19"/>
      <c r="L2363" s="16" t="str">
        <f>IFERROR(__xludf.DUMMYFUNCTION("""COMPUTED_VALUE"""),"")</f>
        <v/>
      </c>
      <c r="M2363" s="16" t="str">
        <f>IFERROR(__xludf.DUMMYFUNCTION("""COMPUTED_VALUE"""),"")</f>
        <v/>
      </c>
      <c r="U2363" s="16" t="s">
        <v>87</v>
      </c>
      <c r="V2363" s="16" t="str">
        <f>IFERROR(__xludf.DUMMYFUNCTION("""COMPUTED_VALUE"""),"")</f>
        <v/>
      </c>
      <c r="W2363" s="16" t="str">
        <f>IFERROR(__xludf.DUMMYFUNCTION("""COMPUTED_VALUE"""),"")</f>
        <v/>
      </c>
      <c r="X2363" s="16" t="str">
        <f>IFERROR(__xludf.DUMMYFUNCTION("""COMPUTED_VALUE"""),"")</f>
        <v/>
      </c>
      <c r="AC2363" s="16" t="str">
        <f>IFERROR(__xludf.DUMMYFUNCTION("""COMPUTED_VALUE"""),"")</f>
        <v/>
      </c>
    </row>
    <row r="2364">
      <c r="A2364" s="16" t="s">
        <v>87</v>
      </c>
      <c r="E2364" s="16" t="str">
        <f>IFERROR(__xludf.DUMMYFUNCTION("""COMPUTED_VALUE"""),"")</f>
        <v/>
      </c>
      <c r="G2364" s="18"/>
      <c r="H2364" s="16" t="s">
        <v>87</v>
      </c>
      <c r="I2364" s="16" t="s">
        <v>87</v>
      </c>
      <c r="J2364" s="19"/>
      <c r="L2364" s="16" t="str">
        <f>IFERROR(__xludf.DUMMYFUNCTION("""COMPUTED_VALUE"""),"")</f>
        <v/>
      </c>
      <c r="M2364" s="16" t="str">
        <f>IFERROR(__xludf.DUMMYFUNCTION("""COMPUTED_VALUE"""),"")</f>
        <v/>
      </c>
      <c r="U2364" s="16" t="s">
        <v>87</v>
      </c>
      <c r="V2364" s="16" t="str">
        <f>IFERROR(__xludf.DUMMYFUNCTION("""COMPUTED_VALUE"""),"")</f>
        <v/>
      </c>
      <c r="W2364" s="16" t="str">
        <f>IFERROR(__xludf.DUMMYFUNCTION("""COMPUTED_VALUE"""),"")</f>
        <v/>
      </c>
      <c r="X2364" s="16" t="str">
        <f>IFERROR(__xludf.DUMMYFUNCTION("""COMPUTED_VALUE"""),"")</f>
        <v/>
      </c>
      <c r="AC2364" s="16" t="str">
        <f>IFERROR(__xludf.DUMMYFUNCTION("""COMPUTED_VALUE"""),"")</f>
        <v/>
      </c>
    </row>
    <row r="2365">
      <c r="A2365" s="16" t="s">
        <v>87</v>
      </c>
      <c r="E2365" s="16" t="str">
        <f>IFERROR(__xludf.DUMMYFUNCTION("""COMPUTED_VALUE"""),"")</f>
        <v/>
      </c>
      <c r="G2365" s="18"/>
      <c r="H2365" s="16" t="s">
        <v>87</v>
      </c>
      <c r="I2365" s="16" t="s">
        <v>87</v>
      </c>
      <c r="J2365" s="19"/>
      <c r="L2365" s="16" t="str">
        <f>IFERROR(__xludf.DUMMYFUNCTION("""COMPUTED_VALUE"""),"")</f>
        <v/>
      </c>
      <c r="M2365" s="16" t="str">
        <f>IFERROR(__xludf.DUMMYFUNCTION("""COMPUTED_VALUE"""),"")</f>
        <v/>
      </c>
      <c r="U2365" s="16" t="s">
        <v>87</v>
      </c>
      <c r="V2365" s="16" t="str">
        <f>IFERROR(__xludf.DUMMYFUNCTION("""COMPUTED_VALUE"""),"")</f>
        <v/>
      </c>
      <c r="W2365" s="16" t="str">
        <f>IFERROR(__xludf.DUMMYFUNCTION("""COMPUTED_VALUE"""),"")</f>
        <v/>
      </c>
      <c r="X2365" s="16" t="str">
        <f>IFERROR(__xludf.DUMMYFUNCTION("""COMPUTED_VALUE"""),"")</f>
        <v/>
      </c>
      <c r="AC2365" s="16" t="str">
        <f>IFERROR(__xludf.DUMMYFUNCTION("""COMPUTED_VALUE"""),"")</f>
        <v/>
      </c>
    </row>
    <row r="2366">
      <c r="A2366" s="16" t="s">
        <v>87</v>
      </c>
      <c r="E2366" s="16" t="str">
        <f>IFERROR(__xludf.DUMMYFUNCTION("""COMPUTED_VALUE"""),"")</f>
        <v/>
      </c>
      <c r="G2366" s="18"/>
      <c r="H2366" s="16" t="s">
        <v>87</v>
      </c>
      <c r="I2366" s="16" t="s">
        <v>87</v>
      </c>
      <c r="J2366" s="19"/>
      <c r="L2366" s="16" t="str">
        <f>IFERROR(__xludf.DUMMYFUNCTION("""COMPUTED_VALUE"""),"")</f>
        <v/>
      </c>
      <c r="M2366" s="16" t="str">
        <f>IFERROR(__xludf.DUMMYFUNCTION("""COMPUTED_VALUE"""),"")</f>
        <v/>
      </c>
      <c r="U2366" s="16" t="s">
        <v>87</v>
      </c>
      <c r="V2366" s="16" t="str">
        <f>IFERROR(__xludf.DUMMYFUNCTION("""COMPUTED_VALUE"""),"")</f>
        <v/>
      </c>
      <c r="W2366" s="16" t="str">
        <f>IFERROR(__xludf.DUMMYFUNCTION("""COMPUTED_VALUE"""),"")</f>
        <v/>
      </c>
      <c r="X2366" s="16" t="str">
        <f>IFERROR(__xludf.DUMMYFUNCTION("""COMPUTED_VALUE"""),"")</f>
        <v/>
      </c>
      <c r="AC2366" s="16" t="str">
        <f>IFERROR(__xludf.DUMMYFUNCTION("""COMPUTED_VALUE"""),"")</f>
        <v/>
      </c>
    </row>
    <row r="2367">
      <c r="A2367" s="16" t="s">
        <v>87</v>
      </c>
      <c r="E2367" s="16" t="str">
        <f>IFERROR(__xludf.DUMMYFUNCTION("""COMPUTED_VALUE"""),"")</f>
        <v/>
      </c>
      <c r="G2367" s="18"/>
      <c r="H2367" s="16" t="s">
        <v>87</v>
      </c>
      <c r="I2367" s="16" t="s">
        <v>87</v>
      </c>
      <c r="J2367" s="19"/>
      <c r="L2367" s="16" t="str">
        <f>IFERROR(__xludf.DUMMYFUNCTION("""COMPUTED_VALUE"""),"")</f>
        <v/>
      </c>
      <c r="M2367" s="16" t="str">
        <f>IFERROR(__xludf.DUMMYFUNCTION("""COMPUTED_VALUE"""),"")</f>
        <v/>
      </c>
      <c r="U2367" s="16" t="s">
        <v>87</v>
      </c>
      <c r="V2367" s="16" t="str">
        <f>IFERROR(__xludf.DUMMYFUNCTION("""COMPUTED_VALUE"""),"")</f>
        <v/>
      </c>
      <c r="W2367" s="16" t="str">
        <f>IFERROR(__xludf.DUMMYFUNCTION("""COMPUTED_VALUE"""),"")</f>
        <v/>
      </c>
      <c r="X2367" s="16" t="str">
        <f>IFERROR(__xludf.DUMMYFUNCTION("""COMPUTED_VALUE"""),"")</f>
        <v/>
      </c>
      <c r="AC2367" s="16" t="str">
        <f>IFERROR(__xludf.DUMMYFUNCTION("""COMPUTED_VALUE"""),"")</f>
        <v/>
      </c>
    </row>
    <row r="2368">
      <c r="A2368" s="16" t="s">
        <v>87</v>
      </c>
      <c r="E2368" s="16" t="str">
        <f>IFERROR(__xludf.DUMMYFUNCTION("""COMPUTED_VALUE"""),"")</f>
        <v/>
      </c>
      <c r="G2368" s="18"/>
      <c r="H2368" s="16" t="s">
        <v>87</v>
      </c>
      <c r="I2368" s="16" t="s">
        <v>87</v>
      </c>
      <c r="J2368" s="19"/>
      <c r="L2368" s="16" t="str">
        <f>IFERROR(__xludf.DUMMYFUNCTION("""COMPUTED_VALUE"""),"")</f>
        <v/>
      </c>
      <c r="M2368" s="16" t="str">
        <f>IFERROR(__xludf.DUMMYFUNCTION("""COMPUTED_VALUE"""),"")</f>
        <v/>
      </c>
      <c r="U2368" s="16" t="s">
        <v>87</v>
      </c>
      <c r="V2368" s="16" t="str">
        <f>IFERROR(__xludf.DUMMYFUNCTION("""COMPUTED_VALUE"""),"")</f>
        <v/>
      </c>
      <c r="W2368" s="16" t="str">
        <f>IFERROR(__xludf.DUMMYFUNCTION("""COMPUTED_VALUE"""),"")</f>
        <v/>
      </c>
      <c r="X2368" s="16" t="str">
        <f>IFERROR(__xludf.DUMMYFUNCTION("""COMPUTED_VALUE"""),"")</f>
        <v/>
      </c>
      <c r="AC2368" s="16" t="str">
        <f>IFERROR(__xludf.DUMMYFUNCTION("""COMPUTED_VALUE"""),"")</f>
        <v/>
      </c>
    </row>
    <row r="2369">
      <c r="A2369" s="16" t="s">
        <v>87</v>
      </c>
      <c r="E2369" s="16" t="str">
        <f>IFERROR(__xludf.DUMMYFUNCTION("""COMPUTED_VALUE"""),"")</f>
        <v/>
      </c>
      <c r="G2369" s="18"/>
      <c r="H2369" s="16" t="s">
        <v>87</v>
      </c>
      <c r="I2369" s="16" t="s">
        <v>87</v>
      </c>
      <c r="J2369" s="19"/>
      <c r="L2369" s="16" t="str">
        <f>IFERROR(__xludf.DUMMYFUNCTION("""COMPUTED_VALUE"""),"")</f>
        <v/>
      </c>
      <c r="M2369" s="16" t="str">
        <f>IFERROR(__xludf.DUMMYFUNCTION("""COMPUTED_VALUE"""),"")</f>
        <v/>
      </c>
      <c r="U2369" s="16" t="s">
        <v>87</v>
      </c>
      <c r="V2369" s="16" t="str">
        <f>IFERROR(__xludf.DUMMYFUNCTION("""COMPUTED_VALUE"""),"")</f>
        <v/>
      </c>
      <c r="W2369" s="16" t="str">
        <f>IFERROR(__xludf.DUMMYFUNCTION("""COMPUTED_VALUE"""),"")</f>
        <v/>
      </c>
      <c r="X2369" s="16" t="str">
        <f>IFERROR(__xludf.DUMMYFUNCTION("""COMPUTED_VALUE"""),"")</f>
        <v/>
      </c>
      <c r="AC2369" s="16" t="str">
        <f>IFERROR(__xludf.DUMMYFUNCTION("""COMPUTED_VALUE"""),"")</f>
        <v/>
      </c>
    </row>
    <row r="2370">
      <c r="A2370" s="16" t="s">
        <v>87</v>
      </c>
      <c r="E2370" s="16" t="str">
        <f>IFERROR(__xludf.DUMMYFUNCTION("""COMPUTED_VALUE"""),"")</f>
        <v/>
      </c>
      <c r="G2370" s="18"/>
      <c r="H2370" s="16" t="s">
        <v>87</v>
      </c>
      <c r="I2370" s="16" t="s">
        <v>87</v>
      </c>
      <c r="J2370" s="19"/>
      <c r="L2370" s="16" t="str">
        <f>IFERROR(__xludf.DUMMYFUNCTION("""COMPUTED_VALUE"""),"")</f>
        <v/>
      </c>
      <c r="M2370" s="16" t="str">
        <f>IFERROR(__xludf.DUMMYFUNCTION("""COMPUTED_VALUE"""),"")</f>
        <v/>
      </c>
      <c r="U2370" s="16" t="s">
        <v>87</v>
      </c>
      <c r="V2370" s="16" t="str">
        <f>IFERROR(__xludf.DUMMYFUNCTION("""COMPUTED_VALUE"""),"")</f>
        <v/>
      </c>
      <c r="W2370" s="16" t="str">
        <f>IFERROR(__xludf.DUMMYFUNCTION("""COMPUTED_VALUE"""),"")</f>
        <v/>
      </c>
      <c r="X2370" s="16" t="str">
        <f>IFERROR(__xludf.DUMMYFUNCTION("""COMPUTED_VALUE"""),"")</f>
        <v/>
      </c>
      <c r="AC2370" s="16" t="str">
        <f>IFERROR(__xludf.DUMMYFUNCTION("""COMPUTED_VALUE"""),"")</f>
        <v/>
      </c>
    </row>
    <row r="2371">
      <c r="A2371" s="16" t="s">
        <v>87</v>
      </c>
      <c r="E2371" s="16" t="str">
        <f>IFERROR(__xludf.DUMMYFUNCTION("""COMPUTED_VALUE"""),"")</f>
        <v/>
      </c>
      <c r="G2371" s="18"/>
      <c r="H2371" s="16" t="s">
        <v>87</v>
      </c>
      <c r="I2371" s="16" t="s">
        <v>87</v>
      </c>
      <c r="J2371" s="19"/>
      <c r="L2371" s="16" t="str">
        <f>IFERROR(__xludf.DUMMYFUNCTION("""COMPUTED_VALUE"""),"")</f>
        <v/>
      </c>
      <c r="M2371" s="16" t="str">
        <f>IFERROR(__xludf.DUMMYFUNCTION("""COMPUTED_VALUE"""),"")</f>
        <v/>
      </c>
      <c r="U2371" s="16" t="s">
        <v>87</v>
      </c>
      <c r="V2371" s="16" t="str">
        <f>IFERROR(__xludf.DUMMYFUNCTION("""COMPUTED_VALUE"""),"")</f>
        <v/>
      </c>
      <c r="W2371" s="16" t="str">
        <f>IFERROR(__xludf.DUMMYFUNCTION("""COMPUTED_VALUE"""),"")</f>
        <v/>
      </c>
      <c r="X2371" s="16" t="str">
        <f>IFERROR(__xludf.DUMMYFUNCTION("""COMPUTED_VALUE"""),"")</f>
        <v/>
      </c>
      <c r="AC2371" s="16" t="str">
        <f>IFERROR(__xludf.DUMMYFUNCTION("""COMPUTED_VALUE"""),"")</f>
        <v/>
      </c>
    </row>
    <row r="2372">
      <c r="A2372" s="16" t="s">
        <v>87</v>
      </c>
      <c r="E2372" s="16" t="str">
        <f>IFERROR(__xludf.DUMMYFUNCTION("""COMPUTED_VALUE"""),"")</f>
        <v/>
      </c>
      <c r="G2372" s="18"/>
      <c r="H2372" s="16" t="s">
        <v>87</v>
      </c>
      <c r="I2372" s="16" t="s">
        <v>87</v>
      </c>
      <c r="J2372" s="19"/>
      <c r="L2372" s="16" t="str">
        <f>IFERROR(__xludf.DUMMYFUNCTION("""COMPUTED_VALUE"""),"")</f>
        <v/>
      </c>
      <c r="M2372" s="16" t="str">
        <f>IFERROR(__xludf.DUMMYFUNCTION("""COMPUTED_VALUE"""),"")</f>
        <v/>
      </c>
      <c r="U2372" s="16" t="s">
        <v>87</v>
      </c>
      <c r="V2372" s="16" t="str">
        <f>IFERROR(__xludf.DUMMYFUNCTION("""COMPUTED_VALUE"""),"")</f>
        <v/>
      </c>
      <c r="W2372" s="16" t="str">
        <f>IFERROR(__xludf.DUMMYFUNCTION("""COMPUTED_VALUE"""),"")</f>
        <v/>
      </c>
      <c r="X2372" s="16" t="str">
        <f>IFERROR(__xludf.DUMMYFUNCTION("""COMPUTED_VALUE"""),"")</f>
        <v/>
      </c>
      <c r="AC2372" s="16" t="str">
        <f>IFERROR(__xludf.DUMMYFUNCTION("""COMPUTED_VALUE"""),"")</f>
        <v/>
      </c>
    </row>
    <row r="2373">
      <c r="A2373" s="16" t="s">
        <v>87</v>
      </c>
      <c r="E2373" s="16" t="str">
        <f>IFERROR(__xludf.DUMMYFUNCTION("""COMPUTED_VALUE"""),"")</f>
        <v/>
      </c>
      <c r="G2373" s="18"/>
      <c r="H2373" s="16" t="s">
        <v>87</v>
      </c>
      <c r="I2373" s="16" t="s">
        <v>87</v>
      </c>
      <c r="J2373" s="19"/>
      <c r="L2373" s="16" t="str">
        <f>IFERROR(__xludf.DUMMYFUNCTION("""COMPUTED_VALUE"""),"")</f>
        <v/>
      </c>
      <c r="M2373" s="16" t="str">
        <f>IFERROR(__xludf.DUMMYFUNCTION("""COMPUTED_VALUE"""),"")</f>
        <v/>
      </c>
      <c r="U2373" s="16" t="s">
        <v>87</v>
      </c>
      <c r="V2373" s="16" t="str">
        <f>IFERROR(__xludf.DUMMYFUNCTION("""COMPUTED_VALUE"""),"")</f>
        <v/>
      </c>
      <c r="W2373" s="16" t="str">
        <f>IFERROR(__xludf.DUMMYFUNCTION("""COMPUTED_VALUE"""),"")</f>
        <v/>
      </c>
      <c r="X2373" s="16" t="str">
        <f>IFERROR(__xludf.DUMMYFUNCTION("""COMPUTED_VALUE"""),"")</f>
        <v/>
      </c>
      <c r="AC2373" s="16" t="str">
        <f>IFERROR(__xludf.DUMMYFUNCTION("""COMPUTED_VALUE"""),"")</f>
        <v/>
      </c>
    </row>
    <row r="2374">
      <c r="A2374" s="16" t="s">
        <v>87</v>
      </c>
      <c r="E2374" s="16" t="str">
        <f>IFERROR(__xludf.DUMMYFUNCTION("""COMPUTED_VALUE"""),"")</f>
        <v/>
      </c>
      <c r="G2374" s="18"/>
      <c r="H2374" s="16" t="s">
        <v>87</v>
      </c>
      <c r="I2374" s="16" t="s">
        <v>87</v>
      </c>
      <c r="J2374" s="19"/>
      <c r="L2374" s="16" t="str">
        <f>IFERROR(__xludf.DUMMYFUNCTION("""COMPUTED_VALUE"""),"")</f>
        <v/>
      </c>
      <c r="M2374" s="16" t="str">
        <f>IFERROR(__xludf.DUMMYFUNCTION("""COMPUTED_VALUE"""),"")</f>
        <v/>
      </c>
      <c r="U2374" s="16" t="s">
        <v>87</v>
      </c>
      <c r="V2374" s="16" t="str">
        <f>IFERROR(__xludf.DUMMYFUNCTION("""COMPUTED_VALUE"""),"")</f>
        <v/>
      </c>
      <c r="W2374" s="16" t="str">
        <f>IFERROR(__xludf.DUMMYFUNCTION("""COMPUTED_VALUE"""),"")</f>
        <v/>
      </c>
      <c r="X2374" s="16" t="str">
        <f>IFERROR(__xludf.DUMMYFUNCTION("""COMPUTED_VALUE"""),"")</f>
        <v/>
      </c>
      <c r="AC2374" s="16" t="str">
        <f>IFERROR(__xludf.DUMMYFUNCTION("""COMPUTED_VALUE"""),"")</f>
        <v/>
      </c>
    </row>
    <row r="2375">
      <c r="A2375" s="16" t="s">
        <v>87</v>
      </c>
      <c r="E2375" s="16" t="str">
        <f>IFERROR(__xludf.DUMMYFUNCTION("""COMPUTED_VALUE"""),"")</f>
        <v/>
      </c>
      <c r="G2375" s="18"/>
      <c r="H2375" s="16" t="s">
        <v>87</v>
      </c>
      <c r="I2375" s="16" t="s">
        <v>87</v>
      </c>
      <c r="J2375" s="19"/>
      <c r="L2375" s="16" t="str">
        <f>IFERROR(__xludf.DUMMYFUNCTION("""COMPUTED_VALUE"""),"")</f>
        <v/>
      </c>
      <c r="M2375" s="16" t="str">
        <f>IFERROR(__xludf.DUMMYFUNCTION("""COMPUTED_VALUE"""),"")</f>
        <v/>
      </c>
      <c r="U2375" s="16" t="s">
        <v>87</v>
      </c>
      <c r="V2375" s="16" t="str">
        <f>IFERROR(__xludf.DUMMYFUNCTION("""COMPUTED_VALUE"""),"")</f>
        <v/>
      </c>
      <c r="W2375" s="16" t="str">
        <f>IFERROR(__xludf.DUMMYFUNCTION("""COMPUTED_VALUE"""),"")</f>
        <v/>
      </c>
      <c r="X2375" s="16" t="str">
        <f>IFERROR(__xludf.DUMMYFUNCTION("""COMPUTED_VALUE"""),"")</f>
        <v/>
      </c>
      <c r="AC2375" s="16" t="str">
        <f>IFERROR(__xludf.DUMMYFUNCTION("""COMPUTED_VALUE"""),"")</f>
        <v/>
      </c>
    </row>
    <row r="2376">
      <c r="A2376" s="16" t="s">
        <v>87</v>
      </c>
      <c r="E2376" s="16" t="str">
        <f>IFERROR(__xludf.DUMMYFUNCTION("""COMPUTED_VALUE"""),"")</f>
        <v/>
      </c>
      <c r="G2376" s="18"/>
      <c r="H2376" s="16" t="s">
        <v>87</v>
      </c>
      <c r="I2376" s="16" t="s">
        <v>87</v>
      </c>
      <c r="J2376" s="19"/>
      <c r="L2376" s="16" t="str">
        <f>IFERROR(__xludf.DUMMYFUNCTION("""COMPUTED_VALUE"""),"")</f>
        <v/>
      </c>
      <c r="M2376" s="16" t="str">
        <f>IFERROR(__xludf.DUMMYFUNCTION("""COMPUTED_VALUE"""),"")</f>
        <v/>
      </c>
      <c r="U2376" s="16" t="s">
        <v>87</v>
      </c>
      <c r="V2376" s="16" t="str">
        <f>IFERROR(__xludf.DUMMYFUNCTION("""COMPUTED_VALUE"""),"")</f>
        <v/>
      </c>
      <c r="W2376" s="16" t="str">
        <f>IFERROR(__xludf.DUMMYFUNCTION("""COMPUTED_VALUE"""),"")</f>
        <v/>
      </c>
      <c r="X2376" s="16" t="str">
        <f>IFERROR(__xludf.DUMMYFUNCTION("""COMPUTED_VALUE"""),"")</f>
        <v/>
      </c>
      <c r="AC2376" s="16" t="str">
        <f>IFERROR(__xludf.DUMMYFUNCTION("""COMPUTED_VALUE"""),"")</f>
        <v/>
      </c>
    </row>
    <row r="2377">
      <c r="A2377" s="16" t="s">
        <v>87</v>
      </c>
      <c r="E2377" s="16" t="str">
        <f>IFERROR(__xludf.DUMMYFUNCTION("""COMPUTED_VALUE"""),"")</f>
        <v/>
      </c>
      <c r="G2377" s="18"/>
      <c r="H2377" s="16" t="s">
        <v>87</v>
      </c>
      <c r="I2377" s="16" t="s">
        <v>87</v>
      </c>
      <c r="J2377" s="19"/>
      <c r="L2377" s="16" t="str">
        <f>IFERROR(__xludf.DUMMYFUNCTION("""COMPUTED_VALUE"""),"")</f>
        <v/>
      </c>
      <c r="M2377" s="16" t="str">
        <f>IFERROR(__xludf.DUMMYFUNCTION("""COMPUTED_VALUE"""),"")</f>
        <v/>
      </c>
      <c r="U2377" s="16" t="s">
        <v>87</v>
      </c>
      <c r="V2377" s="16" t="str">
        <f>IFERROR(__xludf.DUMMYFUNCTION("""COMPUTED_VALUE"""),"")</f>
        <v/>
      </c>
      <c r="W2377" s="16" t="str">
        <f>IFERROR(__xludf.DUMMYFUNCTION("""COMPUTED_VALUE"""),"")</f>
        <v/>
      </c>
      <c r="X2377" s="16" t="str">
        <f>IFERROR(__xludf.DUMMYFUNCTION("""COMPUTED_VALUE"""),"")</f>
        <v/>
      </c>
      <c r="AC2377" s="16" t="str">
        <f>IFERROR(__xludf.DUMMYFUNCTION("""COMPUTED_VALUE"""),"")</f>
        <v/>
      </c>
    </row>
    <row r="2378">
      <c r="A2378" s="16" t="s">
        <v>87</v>
      </c>
      <c r="E2378" s="16" t="str">
        <f>IFERROR(__xludf.DUMMYFUNCTION("""COMPUTED_VALUE"""),"")</f>
        <v/>
      </c>
      <c r="G2378" s="18"/>
      <c r="H2378" s="16" t="s">
        <v>87</v>
      </c>
      <c r="I2378" s="16" t="s">
        <v>87</v>
      </c>
      <c r="J2378" s="19"/>
      <c r="L2378" s="16" t="str">
        <f>IFERROR(__xludf.DUMMYFUNCTION("""COMPUTED_VALUE"""),"")</f>
        <v/>
      </c>
      <c r="M2378" s="16" t="str">
        <f>IFERROR(__xludf.DUMMYFUNCTION("""COMPUTED_VALUE"""),"")</f>
        <v/>
      </c>
      <c r="U2378" s="16" t="s">
        <v>87</v>
      </c>
      <c r="V2378" s="16" t="str">
        <f>IFERROR(__xludf.DUMMYFUNCTION("""COMPUTED_VALUE"""),"")</f>
        <v/>
      </c>
      <c r="W2378" s="16" t="str">
        <f>IFERROR(__xludf.DUMMYFUNCTION("""COMPUTED_VALUE"""),"")</f>
        <v/>
      </c>
      <c r="X2378" s="16" t="str">
        <f>IFERROR(__xludf.DUMMYFUNCTION("""COMPUTED_VALUE"""),"")</f>
        <v/>
      </c>
      <c r="AC2378" s="16" t="str">
        <f>IFERROR(__xludf.DUMMYFUNCTION("""COMPUTED_VALUE"""),"")</f>
        <v/>
      </c>
    </row>
    <row r="2379">
      <c r="A2379" s="16" t="s">
        <v>87</v>
      </c>
      <c r="E2379" s="16" t="str">
        <f>IFERROR(__xludf.DUMMYFUNCTION("""COMPUTED_VALUE"""),"")</f>
        <v/>
      </c>
      <c r="G2379" s="18"/>
      <c r="H2379" s="16" t="s">
        <v>87</v>
      </c>
      <c r="I2379" s="16" t="s">
        <v>87</v>
      </c>
      <c r="J2379" s="19"/>
      <c r="L2379" s="16" t="str">
        <f>IFERROR(__xludf.DUMMYFUNCTION("""COMPUTED_VALUE"""),"")</f>
        <v/>
      </c>
      <c r="M2379" s="16" t="str">
        <f>IFERROR(__xludf.DUMMYFUNCTION("""COMPUTED_VALUE"""),"")</f>
        <v/>
      </c>
      <c r="U2379" s="16" t="s">
        <v>87</v>
      </c>
      <c r="V2379" s="16" t="str">
        <f>IFERROR(__xludf.DUMMYFUNCTION("""COMPUTED_VALUE"""),"")</f>
        <v/>
      </c>
      <c r="W2379" s="16" t="str">
        <f>IFERROR(__xludf.DUMMYFUNCTION("""COMPUTED_VALUE"""),"")</f>
        <v/>
      </c>
      <c r="X2379" s="16" t="str">
        <f>IFERROR(__xludf.DUMMYFUNCTION("""COMPUTED_VALUE"""),"")</f>
        <v/>
      </c>
      <c r="AC2379" s="16" t="str">
        <f>IFERROR(__xludf.DUMMYFUNCTION("""COMPUTED_VALUE"""),"")</f>
        <v/>
      </c>
    </row>
    <row r="2380">
      <c r="A2380" s="16" t="s">
        <v>87</v>
      </c>
      <c r="E2380" s="16" t="str">
        <f>IFERROR(__xludf.DUMMYFUNCTION("""COMPUTED_VALUE"""),"")</f>
        <v/>
      </c>
      <c r="G2380" s="18"/>
      <c r="H2380" s="16" t="s">
        <v>87</v>
      </c>
      <c r="I2380" s="16" t="s">
        <v>87</v>
      </c>
      <c r="J2380" s="19"/>
      <c r="L2380" s="16" t="str">
        <f>IFERROR(__xludf.DUMMYFUNCTION("""COMPUTED_VALUE"""),"")</f>
        <v/>
      </c>
      <c r="M2380" s="16" t="str">
        <f>IFERROR(__xludf.DUMMYFUNCTION("""COMPUTED_VALUE"""),"")</f>
        <v/>
      </c>
      <c r="U2380" s="16" t="s">
        <v>87</v>
      </c>
      <c r="V2380" s="16" t="str">
        <f>IFERROR(__xludf.DUMMYFUNCTION("""COMPUTED_VALUE"""),"")</f>
        <v/>
      </c>
      <c r="W2380" s="16" t="str">
        <f>IFERROR(__xludf.DUMMYFUNCTION("""COMPUTED_VALUE"""),"")</f>
        <v/>
      </c>
      <c r="X2380" s="16" t="str">
        <f>IFERROR(__xludf.DUMMYFUNCTION("""COMPUTED_VALUE"""),"")</f>
        <v/>
      </c>
      <c r="AC2380" s="16" t="str">
        <f>IFERROR(__xludf.DUMMYFUNCTION("""COMPUTED_VALUE"""),"")</f>
        <v/>
      </c>
    </row>
    <row r="2381">
      <c r="A2381" s="16" t="s">
        <v>87</v>
      </c>
      <c r="E2381" s="16" t="str">
        <f>IFERROR(__xludf.DUMMYFUNCTION("""COMPUTED_VALUE"""),"")</f>
        <v/>
      </c>
      <c r="G2381" s="18"/>
      <c r="H2381" s="16" t="s">
        <v>87</v>
      </c>
      <c r="I2381" s="16" t="s">
        <v>87</v>
      </c>
      <c r="J2381" s="19"/>
      <c r="L2381" s="16" t="str">
        <f>IFERROR(__xludf.DUMMYFUNCTION("""COMPUTED_VALUE"""),"")</f>
        <v/>
      </c>
      <c r="M2381" s="16" t="str">
        <f>IFERROR(__xludf.DUMMYFUNCTION("""COMPUTED_VALUE"""),"")</f>
        <v/>
      </c>
      <c r="U2381" s="16" t="s">
        <v>87</v>
      </c>
      <c r="V2381" s="16" t="str">
        <f>IFERROR(__xludf.DUMMYFUNCTION("""COMPUTED_VALUE"""),"")</f>
        <v/>
      </c>
      <c r="W2381" s="16" t="str">
        <f>IFERROR(__xludf.DUMMYFUNCTION("""COMPUTED_VALUE"""),"")</f>
        <v/>
      </c>
      <c r="X2381" s="16" t="str">
        <f>IFERROR(__xludf.DUMMYFUNCTION("""COMPUTED_VALUE"""),"")</f>
        <v/>
      </c>
      <c r="AC2381" s="16" t="str">
        <f>IFERROR(__xludf.DUMMYFUNCTION("""COMPUTED_VALUE"""),"")</f>
        <v/>
      </c>
    </row>
    <row r="2382">
      <c r="A2382" s="16" t="s">
        <v>87</v>
      </c>
      <c r="E2382" s="16" t="str">
        <f>IFERROR(__xludf.DUMMYFUNCTION("""COMPUTED_VALUE"""),"")</f>
        <v/>
      </c>
      <c r="G2382" s="18"/>
      <c r="H2382" s="16" t="s">
        <v>87</v>
      </c>
      <c r="I2382" s="16" t="s">
        <v>87</v>
      </c>
      <c r="J2382" s="19"/>
      <c r="L2382" s="16" t="str">
        <f>IFERROR(__xludf.DUMMYFUNCTION("""COMPUTED_VALUE"""),"")</f>
        <v/>
      </c>
      <c r="M2382" s="16" t="str">
        <f>IFERROR(__xludf.DUMMYFUNCTION("""COMPUTED_VALUE"""),"")</f>
        <v/>
      </c>
      <c r="U2382" s="16" t="s">
        <v>87</v>
      </c>
      <c r="V2382" s="16" t="str">
        <f>IFERROR(__xludf.DUMMYFUNCTION("""COMPUTED_VALUE"""),"")</f>
        <v/>
      </c>
      <c r="W2382" s="16" t="str">
        <f>IFERROR(__xludf.DUMMYFUNCTION("""COMPUTED_VALUE"""),"")</f>
        <v/>
      </c>
      <c r="X2382" s="16" t="str">
        <f>IFERROR(__xludf.DUMMYFUNCTION("""COMPUTED_VALUE"""),"")</f>
        <v/>
      </c>
      <c r="AC2382" s="16" t="str">
        <f>IFERROR(__xludf.DUMMYFUNCTION("""COMPUTED_VALUE"""),"")</f>
        <v/>
      </c>
    </row>
    <row r="2383">
      <c r="A2383" s="16" t="s">
        <v>87</v>
      </c>
      <c r="E2383" s="16" t="str">
        <f>IFERROR(__xludf.DUMMYFUNCTION("""COMPUTED_VALUE"""),"")</f>
        <v/>
      </c>
      <c r="G2383" s="18"/>
      <c r="H2383" s="16" t="s">
        <v>87</v>
      </c>
      <c r="I2383" s="16" t="s">
        <v>87</v>
      </c>
      <c r="J2383" s="19"/>
      <c r="L2383" s="16" t="str">
        <f>IFERROR(__xludf.DUMMYFUNCTION("""COMPUTED_VALUE"""),"")</f>
        <v/>
      </c>
      <c r="M2383" s="16" t="str">
        <f>IFERROR(__xludf.DUMMYFUNCTION("""COMPUTED_VALUE"""),"")</f>
        <v/>
      </c>
      <c r="U2383" s="16" t="s">
        <v>87</v>
      </c>
      <c r="V2383" s="16" t="str">
        <f>IFERROR(__xludf.DUMMYFUNCTION("""COMPUTED_VALUE"""),"")</f>
        <v/>
      </c>
      <c r="W2383" s="16" t="str">
        <f>IFERROR(__xludf.DUMMYFUNCTION("""COMPUTED_VALUE"""),"")</f>
        <v/>
      </c>
      <c r="X2383" s="16" t="str">
        <f>IFERROR(__xludf.DUMMYFUNCTION("""COMPUTED_VALUE"""),"")</f>
        <v/>
      </c>
      <c r="AC2383" s="16" t="str">
        <f>IFERROR(__xludf.DUMMYFUNCTION("""COMPUTED_VALUE"""),"")</f>
        <v/>
      </c>
    </row>
    <row r="2384">
      <c r="A2384" s="16" t="s">
        <v>87</v>
      </c>
      <c r="E2384" s="16" t="str">
        <f>IFERROR(__xludf.DUMMYFUNCTION("""COMPUTED_VALUE"""),"")</f>
        <v/>
      </c>
      <c r="G2384" s="18"/>
      <c r="H2384" s="16" t="s">
        <v>87</v>
      </c>
      <c r="I2384" s="16" t="s">
        <v>87</v>
      </c>
      <c r="J2384" s="19"/>
      <c r="L2384" s="16" t="str">
        <f>IFERROR(__xludf.DUMMYFUNCTION("""COMPUTED_VALUE"""),"")</f>
        <v/>
      </c>
      <c r="M2384" s="16" t="str">
        <f>IFERROR(__xludf.DUMMYFUNCTION("""COMPUTED_VALUE"""),"")</f>
        <v/>
      </c>
      <c r="U2384" s="16" t="s">
        <v>87</v>
      </c>
      <c r="V2384" s="16" t="str">
        <f>IFERROR(__xludf.DUMMYFUNCTION("""COMPUTED_VALUE"""),"")</f>
        <v/>
      </c>
      <c r="W2384" s="16" t="str">
        <f>IFERROR(__xludf.DUMMYFUNCTION("""COMPUTED_VALUE"""),"")</f>
        <v/>
      </c>
      <c r="X2384" s="16" t="str">
        <f>IFERROR(__xludf.DUMMYFUNCTION("""COMPUTED_VALUE"""),"")</f>
        <v/>
      </c>
      <c r="AC2384" s="16" t="str">
        <f>IFERROR(__xludf.DUMMYFUNCTION("""COMPUTED_VALUE"""),"")</f>
        <v/>
      </c>
    </row>
    <row r="2385">
      <c r="A2385" s="16" t="s">
        <v>87</v>
      </c>
      <c r="E2385" s="16" t="str">
        <f>IFERROR(__xludf.DUMMYFUNCTION("""COMPUTED_VALUE"""),"")</f>
        <v/>
      </c>
      <c r="G2385" s="18"/>
      <c r="H2385" s="16" t="s">
        <v>87</v>
      </c>
      <c r="I2385" s="16" t="s">
        <v>87</v>
      </c>
      <c r="J2385" s="19"/>
      <c r="L2385" s="16" t="str">
        <f>IFERROR(__xludf.DUMMYFUNCTION("""COMPUTED_VALUE"""),"")</f>
        <v/>
      </c>
      <c r="M2385" s="16" t="str">
        <f>IFERROR(__xludf.DUMMYFUNCTION("""COMPUTED_VALUE"""),"")</f>
        <v/>
      </c>
      <c r="U2385" s="16" t="s">
        <v>87</v>
      </c>
      <c r="V2385" s="16" t="str">
        <f>IFERROR(__xludf.DUMMYFUNCTION("""COMPUTED_VALUE"""),"")</f>
        <v/>
      </c>
      <c r="W2385" s="16" t="str">
        <f>IFERROR(__xludf.DUMMYFUNCTION("""COMPUTED_VALUE"""),"")</f>
        <v/>
      </c>
      <c r="X2385" s="16" t="str">
        <f>IFERROR(__xludf.DUMMYFUNCTION("""COMPUTED_VALUE"""),"")</f>
        <v/>
      </c>
      <c r="AC2385" s="16" t="str">
        <f>IFERROR(__xludf.DUMMYFUNCTION("""COMPUTED_VALUE"""),"")</f>
        <v/>
      </c>
    </row>
    <row r="2386">
      <c r="A2386" s="16" t="s">
        <v>87</v>
      </c>
      <c r="E2386" s="16" t="str">
        <f>IFERROR(__xludf.DUMMYFUNCTION("""COMPUTED_VALUE"""),"")</f>
        <v/>
      </c>
      <c r="G2386" s="18"/>
      <c r="H2386" s="16" t="s">
        <v>87</v>
      </c>
      <c r="I2386" s="16" t="s">
        <v>87</v>
      </c>
      <c r="J2386" s="19"/>
      <c r="L2386" s="16" t="str">
        <f>IFERROR(__xludf.DUMMYFUNCTION("""COMPUTED_VALUE"""),"")</f>
        <v/>
      </c>
      <c r="M2386" s="16" t="str">
        <f>IFERROR(__xludf.DUMMYFUNCTION("""COMPUTED_VALUE"""),"")</f>
        <v/>
      </c>
      <c r="U2386" s="16" t="s">
        <v>87</v>
      </c>
      <c r="V2386" s="16" t="str">
        <f>IFERROR(__xludf.DUMMYFUNCTION("""COMPUTED_VALUE"""),"")</f>
        <v/>
      </c>
      <c r="W2386" s="16" t="str">
        <f>IFERROR(__xludf.DUMMYFUNCTION("""COMPUTED_VALUE"""),"")</f>
        <v/>
      </c>
      <c r="X2386" s="16" t="str">
        <f>IFERROR(__xludf.DUMMYFUNCTION("""COMPUTED_VALUE"""),"")</f>
        <v/>
      </c>
      <c r="AC2386" s="16" t="str">
        <f>IFERROR(__xludf.DUMMYFUNCTION("""COMPUTED_VALUE"""),"")</f>
        <v/>
      </c>
    </row>
    <row r="2387">
      <c r="A2387" s="16" t="s">
        <v>87</v>
      </c>
      <c r="E2387" s="16" t="str">
        <f>IFERROR(__xludf.DUMMYFUNCTION("""COMPUTED_VALUE"""),"")</f>
        <v/>
      </c>
      <c r="G2387" s="18"/>
      <c r="H2387" s="16" t="s">
        <v>87</v>
      </c>
      <c r="I2387" s="16" t="s">
        <v>87</v>
      </c>
      <c r="J2387" s="19"/>
      <c r="L2387" s="16" t="str">
        <f>IFERROR(__xludf.DUMMYFUNCTION("""COMPUTED_VALUE"""),"")</f>
        <v/>
      </c>
      <c r="M2387" s="16" t="str">
        <f>IFERROR(__xludf.DUMMYFUNCTION("""COMPUTED_VALUE"""),"")</f>
        <v/>
      </c>
      <c r="U2387" s="16" t="s">
        <v>87</v>
      </c>
      <c r="V2387" s="16" t="str">
        <f>IFERROR(__xludf.DUMMYFUNCTION("""COMPUTED_VALUE"""),"")</f>
        <v/>
      </c>
      <c r="W2387" s="16" t="str">
        <f>IFERROR(__xludf.DUMMYFUNCTION("""COMPUTED_VALUE"""),"")</f>
        <v/>
      </c>
      <c r="X2387" s="16" t="str">
        <f>IFERROR(__xludf.DUMMYFUNCTION("""COMPUTED_VALUE"""),"")</f>
        <v/>
      </c>
      <c r="AC2387" s="16" t="str">
        <f>IFERROR(__xludf.DUMMYFUNCTION("""COMPUTED_VALUE"""),"")</f>
        <v/>
      </c>
    </row>
    <row r="2388">
      <c r="A2388" s="16" t="s">
        <v>87</v>
      </c>
      <c r="E2388" s="16" t="str">
        <f>IFERROR(__xludf.DUMMYFUNCTION("""COMPUTED_VALUE"""),"")</f>
        <v/>
      </c>
      <c r="G2388" s="18"/>
      <c r="H2388" s="16" t="s">
        <v>87</v>
      </c>
      <c r="I2388" s="16" t="s">
        <v>87</v>
      </c>
      <c r="J2388" s="19"/>
      <c r="L2388" s="16" t="str">
        <f>IFERROR(__xludf.DUMMYFUNCTION("""COMPUTED_VALUE"""),"")</f>
        <v/>
      </c>
      <c r="M2388" s="16" t="str">
        <f>IFERROR(__xludf.DUMMYFUNCTION("""COMPUTED_VALUE"""),"")</f>
        <v/>
      </c>
      <c r="U2388" s="16" t="s">
        <v>87</v>
      </c>
      <c r="V2388" s="16" t="str">
        <f>IFERROR(__xludf.DUMMYFUNCTION("""COMPUTED_VALUE"""),"")</f>
        <v/>
      </c>
      <c r="W2388" s="16" t="str">
        <f>IFERROR(__xludf.DUMMYFUNCTION("""COMPUTED_VALUE"""),"")</f>
        <v/>
      </c>
      <c r="X2388" s="16" t="str">
        <f>IFERROR(__xludf.DUMMYFUNCTION("""COMPUTED_VALUE"""),"")</f>
        <v/>
      </c>
      <c r="AC2388" s="16" t="str">
        <f>IFERROR(__xludf.DUMMYFUNCTION("""COMPUTED_VALUE"""),"")</f>
        <v/>
      </c>
    </row>
    <row r="2389">
      <c r="A2389" s="16" t="s">
        <v>87</v>
      </c>
      <c r="E2389" s="16" t="str">
        <f>IFERROR(__xludf.DUMMYFUNCTION("""COMPUTED_VALUE"""),"")</f>
        <v/>
      </c>
      <c r="G2389" s="18"/>
      <c r="H2389" s="16" t="s">
        <v>87</v>
      </c>
      <c r="I2389" s="16" t="s">
        <v>87</v>
      </c>
      <c r="J2389" s="19"/>
      <c r="L2389" s="16" t="str">
        <f>IFERROR(__xludf.DUMMYFUNCTION("""COMPUTED_VALUE"""),"")</f>
        <v/>
      </c>
      <c r="M2389" s="16" t="str">
        <f>IFERROR(__xludf.DUMMYFUNCTION("""COMPUTED_VALUE"""),"")</f>
        <v/>
      </c>
      <c r="U2389" s="16" t="s">
        <v>87</v>
      </c>
      <c r="V2389" s="16" t="str">
        <f>IFERROR(__xludf.DUMMYFUNCTION("""COMPUTED_VALUE"""),"")</f>
        <v/>
      </c>
      <c r="W2389" s="16" t="str">
        <f>IFERROR(__xludf.DUMMYFUNCTION("""COMPUTED_VALUE"""),"")</f>
        <v/>
      </c>
      <c r="X2389" s="16" t="str">
        <f>IFERROR(__xludf.DUMMYFUNCTION("""COMPUTED_VALUE"""),"")</f>
        <v/>
      </c>
      <c r="AC2389" s="16" t="str">
        <f>IFERROR(__xludf.DUMMYFUNCTION("""COMPUTED_VALUE"""),"")</f>
        <v/>
      </c>
    </row>
    <row r="2390">
      <c r="A2390" s="16" t="s">
        <v>87</v>
      </c>
      <c r="E2390" s="16" t="str">
        <f>IFERROR(__xludf.DUMMYFUNCTION("""COMPUTED_VALUE"""),"")</f>
        <v/>
      </c>
      <c r="G2390" s="18"/>
      <c r="H2390" s="16" t="s">
        <v>87</v>
      </c>
      <c r="I2390" s="16" t="s">
        <v>87</v>
      </c>
      <c r="J2390" s="19"/>
      <c r="L2390" s="16" t="str">
        <f>IFERROR(__xludf.DUMMYFUNCTION("""COMPUTED_VALUE"""),"")</f>
        <v/>
      </c>
      <c r="M2390" s="16" t="str">
        <f>IFERROR(__xludf.DUMMYFUNCTION("""COMPUTED_VALUE"""),"")</f>
        <v/>
      </c>
      <c r="U2390" s="16" t="s">
        <v>87</v>
      </c>
      <c r="V2390" s="16" t="str">
        <f>IFERROR(__xludf.DUMMYFUNCTION("""COMPUTED_VALUE"""),"")</f>
        <v/>
      </c>
      <c r="W2390" s="16" t="str">
        <f>IFERROR(__xludf.DUMMYFUNCTION("""COMPUTED_VALUE"""),"")</f>
        <v/>
      </c>
      <c r="X2390" s="16" t="str">
        <f>IFERROR(__xludf.DUMMYFUNCTION("""COMPUTED_VALUE"""),"")</f>
        <v/>
      </c>
      <c r="AC2390" s="16" t="str">
        <f>IFERROR(__xludf.DUMMYFUNCTION("""COMPUTED_VALUE"""),"")</f>
        <v/>
      </c>
    </row>
    <row r="2391">
      <c r="A2391" s="16" t="s">
        <v>87</v>
      </c>
      <c r="E2391" s="16" t="str">
        <f>IFERROR(__xludf.DUMMYFUNCTION("""COMPUTED_VALUE"""),"")</f>
        <v/>
      </c>
      <c r="G2391" s="18"/>
      <c r="H2391" s="16" t="s">
        <v>87</v>
      </c>
      <c r="I2391" s="16" t="s">
        <v>87</v>
      </c>
      <c r="J2391" s="19"/>
      <c r="L2391" s="16" t="str">
        <f>IFERROR(__xludf.DUMMYFUNCTION("""COMPUTED_VALUE"""),"")</f>
        <v/>
      </c>
      <c r="M2391" s="16" t="str">
        <f>IFERROR(__xludf.DUMMYFUNCTION("""COMPUTED_VALUE"""),"")</f>
        <v/>
      </c>
      <c r="U2391" s="16" t="s">
        <v>87</v>
      </c>
      <c r="V2391" s="16" t="str">
        <f>IFERROR(__xludf.DUMMYFUNCTION("""COMPUTED_VALUE"""),"")</f>
        <v/>
      </c>
      <c r="W2391" s="16" t="str">
        <f>IFERROR(__xludf.DUMMYFUNCTION("""COMPUTED_VALUE"""),"")</f>
        <v/>
      </c>
      <c r="X2391" s="16" t="str">
        <f>IFERROR(__xludf.DUMMYFUNCTION("""COMPUTED_VALUE"""),"")</f>
        <v/>
      </c>
      <c r="AC2391" s="16" t="str">
        <f>IFERROR(__xludf.DUMMYFUNCTION("""COMPUTED_VALUE"""),"")</f>
        <v/>
      </c>
    </row>
    <row r="2392">
      <c r="A2392" s="16" t="s">
        <v>87</v>
      </c>
      <c r="E2392" s="16" t="str">
        <f>IFERROR(__xludf.DUMMYFUNCTION("""COMPUTED_VALUE"""),"")</f>
        <v/>
      </c>
      <c r="G2392" s="18"/>
      <c r="H2392" s="16" t="s">
        <v>87</v>
      </c>
      <c r="I2392" s="16" t="s">
        <v>87</v>
      </c>
      <c r="J2392" s="19"/>
      <c r="L2392" s="16" t="str">
        <f>IFERROR(__xludf.DUMMYFUNCTION("""COMPUTED_VALUE"""),"")</f>
        <v/>
      </c>
      <c r="M2392" s="16" t="str">
        <f>IFERROR(__xludf.DUMMYFUNCTION("""COMPUTED_VALUE"""),"")</f>
        <v/>
      </c>
      <c r="U2392" s="16" t="s">
        <v>87</v>
      </c>
      <c r="V2392" s="16" t="str">
        <f>IFERROR(__xludf.DUMMYFUNCTION("""COMPUTED_VALUE"""),"")</f>
        <v/>
      </c>
      <c r="W2392" s="16" t="str">
        <f>IFERROR(__xludf.DUMMYFUNCTION("""COMPUTED_VALUE"""),"")</f>
        <v/>
      </c>
      <c r="X2392" s="16" t="str">
        <f>IFERROR(__xludf.DUMMYFUNCTION("""COMPUTED_VALUE"""),"")</f>
        <v/>
      </c>
      <c r="AC2392" s="16" t="str">
        <f>IFERROR(__xludf.DUMMYFUNCTION("""COMPUTED_VALUE"""),"")</f>
        <v/>
      </c>
    </row>
    <row r="2393">
      <c r="A2393" s="16" t="s">
        <v>87</v>
      </c>
      <c r="E2393" s="16" t="str">
        <f>IFERROR(__xludf.DUMMYFUNCTION("""COMPUTED_VALUE"""),"")</f>
        <v/>
      </c>
      <c r="G2393" s="18"/>
      <c r="H2393" s="16" t="s">
        <v>87</v>
      </c>
      <c r="I2393" s="16" t="s">
        <v>87</v>
      </c>
      <c r="J2393" s="19"/>
      <c r="L2393" s="16" t="str">
        <f>IFERROR(__xludf.DUMMYFUNCTION("""COMPUTED_VALUE"""),"")</f>
        <v/>
      </c>
      <c r="M2393" s="16" t="str">
        <f>IFERROR(__xludf.DUMMYFUNCTION("""COMPUTED_VALUE"""),"")</f>
        <v/>
      </c>
      <c r="U2393" s="16" t="s">
        <v>87</v>
      </c>
      <c r="V2393" s="16" t="str">
        <f>IFERROR(__xludf.DUMMYFUNCTION("""COMPUTED_VALUE"""),"")</f>
        <v/>
      </c>
      <c r="W2393" s="16" t="str">
        <f>IFERROR(__xludf.DUMMYFUNCTION("""COMPUTED_VALUE"""),"")</f>
        <v/>
      </c>
      <c r="X2393" s="16" t="str">
        <f>IFERROR(__xludf.DUMMYFUNCTION("""COMPUTED_VALUE"""),"")</f>
        <v/>
      </c>
      <c r="AC2393" s="16" t="str">
        <f>IFERROR(__xludf.DUMMYFUNCTION("""COMPUTED_VALUE"""),"")</f>
        <v/>
      </c>
    </row>
    <row r="2394">
      <c r="A2394" s="16" t="s">
        <v>87</v>
      </c>
      <c r="E2394" s="16" t="str">
        <f>IFERROR(__xludf.DUMMYFUNCTION("""COMPUTED_VALUE"""),"")</f>
        <v/>
      </c>
      <c r="G2394" s="18"/>
      <c r="H2394" s="16" t="s">
        <v>87</v>
      </c>
      <c r="I2394" s="16" t="s">
        <v>87</v>
      </c>
      <c r="J2394" s="19"/>
      <c r="L2394" s="16" t="str">
        <f>IFERROR(__xludf.DUMMYFUNCTION("""COMPUTED_VALUE"""),"")</f>
        <v/>
      </c>
      <c r="M2394" s="16" t="str">
        <f>IFERROR(__xludf.DUMMYFUNCTION("""COMPUTED_VALUE"""),"")</f>
        <v/>
      </c>
      <c r="U2394" s="16" t="s">
        <v>87</v>
      </c>
      <c r="V2394" s="16" t="str">
        <f>IFERROR(__xludf.DUMMYFUNCTION("""COMPUTED_VALUE"""),"")</f>
        <v/>
      </c>
      <c r="W2394" s="16" t="str">
        <f>IFERROR(__xludf.DUMMYFUNCTION("""COMPUTED_VALUE"""),"")</f>
        <v/>
      </c>
      <c r="X2394" s="16" t="str">
        <f>IFERROR(__xludf.DUMMYFUNCTION("""COMPUTED_VALUE"""),"")</f>
        <v/>
      </c>
      <c r="AC2394" s="16" t="str">
        <f>IFERROR(__xludf.DUMMYFUNCTION("""COMPUTED_VALUE"""),"")</f>
        <v/>
      </c>
    </row>
    <row r="2395">
      <c r="A2395" s="16" t="s">
        <v>87</v>
      </c>
      <c r="E2395" s="16" t="str">
        <f>IFERROR(__xludf.DUMMYFUNCTION("""COMPUTED_VALUE"""),"")</f>
        <v/>
      </c>
      <c r="G2395" s="18"/>
      <c r="H2395" s="16" t="s">
        <v>87</v>
      </c>
      <c r="I2395" s="16" t="s">
        <v>87</v>
      </c>
      <c r="J2395" s="19"/>
      <c r="L2395" s="16" t="str">
        <f>IFERROR(__xludf.DUMMYFUNCTION("""COMPUTED_VALUE"""),"")</f>
        <v/>
      </c>
      <c r="M2395" s="16" t="str">
        <f>IFERROR(__xludf.DUMMYFUNCTION("""COMPUTED_VALUE"""),"")</f>
        <v/>
      </c>
      <c r="U2395" s="16" t="s">
        <v>87</v>
      </c>
      <c r="V2395" s="16" t="str">
        <f>IFERROR(__xludf.DUMMYFUNCTION("""COMPUTED_VALUE"""),"")</f>
        <v/>
      </c>
      <c r="W2395" s="16" t="str">
        <f>IFERROR(__xludf.DUMMYFUNCTION("""COMPUTED_VALUE"""),"")</f>
        <v/>
      </c>
      <c r="X2395" s="16" t="str">
        <f>IFERROR(__xludf.DUMMYFUNCTION("""COMPUTED_VALUE"""),"")</f>
        <v/>
      </c>
      <c r="AC2395" s="16" t="str">
        <f>IFERROR(__xludf.DUMMYFUNCTION("""COMPUTED_VALUE"""),"")</f>
        <v/>
      </c>
    </row>
    <row r="2396">
      <c r="A2396" s="16" t="s">
        <v>87</v>
      </c>
      <c r="E2396" s="16" t="str">
        <f>IFERROR(__xludf.DUMMYFUNCTION("""COMPUTED_VALUE"""),"")</f>
        <v/>
      </c>
      <c r="G2396" s="18"/>
      <c r="H2396" s="16" t="s">
        <v>87</v>
      </c>
      <c r="I2396" s="16" t="s">
        <v>87</v>
      </c>
      <c r="J2396" s="19"/>
      <c r="L2396" s="16" t="str">
        <f>IFERROR(__xludf.DUMMYFUNCTION("""COMPUTED_VALUE"""),"")</f>
        <v/>
      </c>
      <c r="M2396" s="16" t="str">
        <f>IFERROR(__xludf.DUMMYFUNCTION("""COMPUTED_VALUE"""),"")</f>
        <v/>
      </c>
      <c r="U2396" s="16" t="s">
        <v>87</v>
      </c>
      <c r="V2396" s="16" t="str">
        <f>IFERROR(__xludf.DUMMYFUNCTION("""COMPUTED_VALUE"""),"")</f>
        <v/>
      </c>
      <c r="W2396" s="16" t="str">
        <f>IFERROR(__xludf.DUMMYFUNCTION("""COMPUTED_VALUE"""),"")</f>
        <v/>
      </c>
      <c r="X2396" s="16" t="str">
        <f>IFERROR(__xludf.DUMMYFUNCTION("""COMPUTED_VALUE"""),"")</f>
        <v/>
      </c>
      <c r="AC2396" s="16" t="str">
        <f>IFERROR(__xludf.DUMMYFUNCTION("""COMPUTED_VALUE"""),"")</f>
        <v/>
      </c>
    </row>
    <row r="2397">
      <c r="A2397" s="16" t="s">
        <v>87</v>
      </c>
      <c r="E2397" s="16" t="str">
        <f>IFERROR(__xludf.DUMMYFUNCTION("""COMPUTED_VALUE"""),"")</f>
        <v/>
      </c>
      <c r="G2397" s="18"/>
      <c r="H2397" s="16" t="s">
        <v>87</v>
      </c>
      <c r="I2397" s="16" t="s">
        <v>87</v>
      </c>
      <c r="J2397" s="19"/>
      <c r="L2397" s="16" t="str">
        <f>IFERROR(__xludf.DUMMYFUNCTION("""COMPUTED_VALUE"""),"")</f>
        <v/>
      </c>
      <c r="M2397" s="16" t="str">
        <f>IFERROR(__xludf.DUMMYFUNCTION("""COMPUTED_VALUE"""),"")</f>
        <v/>
      </c>
      <c r="U2397" s="16" t="s">
        <v>87</v>
      </c>
      <c r="V2397" s="16" t="str">
        <f>IFERROR(__xludf.DUMMYFUNCTION("""COMPUTED_VALUE"""),"")</f>
        <v/>
      </c>
      <c r="W2397" s="16" t="str">
        <f>IFERROR(__xludf.DUMMYFUNCTION("""COMPUTED_VALUE"""),"")</f>
        <v/>
      </c>
      <c r="X2397" s="16" t="str">
        <f>IFERROR(__xludf.DUMMYFUNCTION("""COMPUTED_VALUE"""),"")</f>
        <v/>
      </c>
      <c r="AC2397" s="16" t="str">
        <f>IFERROR(__xludf.DUMMYFUNCTION("""COMPUTED_VALUE"""),"")</f>
        <v/>
      </c>
    </row>
    <row r="2398">
      <c r="A2398" s="16" t="s">
        <v>87</v>
      </c>
      <c r="E2398" s="16" t="str">
        <f>IFERROR(__xludf.DUMMYFUNCTION("""COMPUTED_VALUE"""),"")</f>
        <v/>
      </c>
      <c r="G2398" s="18"/>
      <c r="H2398" s="16" t="s">
        <v>87</v>
      </c>
      <c r="I2398" s="16" t="s">
        <v>87</v>
      </c>
      <c r="J2398" s="19"/>
      <c r="L2398" s="16" t="str">
        <f>IFERROR(__xludf.DUMMYFUNCTION("""COMPUTED_VALUE"""),"")</f>
        <v/>
      </c>
      <c r="M2398" s="16" t="str">
        <f>IFERROR(__xludf.DUMMYFUNCTION("""COMPUTED_VALUE"""),"")</f>
        <v/>
      </c>
      <c r="U2398" s="16" t="s">
        <v>87</v>
      </c>
      <c r="V2398" s="16" t="str">
        <f>IFERROR(__xludf.DUMMYFUNCTION("""COMPUTED_VALUE"""),"")</f>
        <v/>
      </c>
      <c r="W2398" s="16" t="str">
        <f>IFERROR(__xludf.DUMMYFUNCTION("""COMPUTED_VALUE"""),"")</f>
        <v/>
      </c>
      <c r="X2398" s="16" t="str">
        <f>IFERROR(__xludf.DUMMYFUNCTION("""COMPUTED_VALUE"""),"")</f>
        <v/>
      </c>
      <c r="AC2398" s="16" t="str">
        <f>IFERROR(__xludf.DUMMYFUNCTION("""COMPUTED_VALUE"""),"")</f>
        <v/>
      </c>
    </row>
    <row r="2399">
      <c r="A2399" s="16" t="s">
        <v>87</v>
      </c>
      <c r="E2399" s="16" t="str">
        <f>IFERROR(__xludf.DUMMYFUNCTION("""COMPUTED_VALUE"""),"")</f>
        <v/>
      </c>
      <c r="G2399" s="18"/>
      <c r="H2399" s="16" t="s">
        <v>87</v>
      </c>
      <c r="I2399" s="16" t="s">
        <v>87</v>
      </c>
      <c r="J2399" s="19"/>
      <c r="L2399" s="16" t="str">
        <f>IFERROR(__xludf.DUMMYFUNCTION("""COMPUTED_VALUE"""),"")</f>
        <v/>
      </c>
      <c r="M2399" s="16" t="str">
        <f>IFERROR(__xludf.DUMMYFUNCTION("""COMPUTED_VALUE"""),"")</f>
        <v/>
      </c>
      <c r="U2399" s="16" t="s">
        <v>87</v>
      </c>
      <c r="V2399" s="16" t="str">
        <f>IFERROR(__xludf.DUMMYFUNCTION("""COMPUTED_VALUE"""),"")</f>
        <v/>
      </c>
      <c r="W2399" s="16" t="str">
        <f>IFERROR(__xludf.DUMMYFUNCTION("""COMPUTED_VALUE"""),"")</f>
        <v/>
      </c>
      <c r="X2399" s="16" t="str">
        <f>IFERROR(__xludf.DUMMYFUNCTION("""COMPUTED_VALUE"""),"")</f>
        <v/>
      </c>
      <c r="AC2399" s="16" t="str">
        <f>IFERROR(__xludf.DUMMYFUNCTION("""COMPUTED_VALUE"""),"")</f>
        <v/>
      </c>
    </row>
    <row r="2400">
      <c r="A2400" s="16" t="s">
        <v>87</v>
      </c>
      <c r="E2400" s="16" t="str">
        <f>IFERROR(__xludf.DUMMYFUNCTION("""COMPUTED_VALUE"""),"")</f>
        <v/>
      </c>
      <c r="G2400" s="18"/>
      <c r="H2400" s="16" t="s">
        <v>87</v>
      </c>
      <c r="I2400" s="16" t="s">
        <v>87</v>
      </c>
      <c r="J2400" s="19"/>
      <c r="L2400" s="16" t="str">
        <f>IFERROR(__xludf.DUMMYFUNCTION("""COMPUTED_VALUE"""),"")</f>
        <v/>
      </c>
      <c r="M2400" s="16" t="str">
        <f>IFERROR(__xludf.DUMMYFUNCTION("""COMPUTED_VALUE"""),"")</f>
        <v/>
      </c>
      <c r="U2400" s="16" t="s">
        <v>87</v>
      </c>
      <c r="V2400" s="16" t="str">
        <f>IFERROR(__xludf.DUMMYFUNCTION("""COMPUTED_VALUE"""),"")</f>
        <v/>
      </c>
      <c r="W2400" s="16" t="str">
        <f>IFERROR(__xludf.DUMMYFUNCTION("""COMPUTED_VALUE"""),"")</f>
        <v/>
      </c>
      <c r="X2400" s="16" t="str">
        <f>IFERROR(__xludf.DUMMYFUNCTION("""COMPUTED_VALUE"""),"")</f>
        <v/>
      </c>
      <c r="AC2400" s="16" t="str">
        <f>IFERROR(__xludf.DUMMYFUNCTION("""COMPUTED_VALUE"""),"")</f>
        <v/>
      </c>
    </row>
    <row r="2401">
      <c r="A2401" s="16" t="s">
        <v>87</v>
      </c>
      <c r="E2401" s="16" t="str">
        <f>IFERROR(__xludf.DUMMYFUNCTION("""COMPUTED_VALUE"""),"")</f>
        <v/>
      </c>
      <c r="G2401" s="18"/>
      <c r="H2401" s="16" t="s">
        <v>87</v>
      </c>
      <c r="I2401" s="16" t="s">
        <v>87</v>
      </c>
      <c r="J2401" s="19"/>
      <c r="L2401" s="16" t="str">
        <f>IFERROR(__xludf.DUMMYFUNCTION("""COMPUTED_VALUE"""),"")</f>
        <v/>
      </c>
      <c r="M2401" s="16" t="str">
        <f>IFERROR(__xludf.DUMMYFUNCTION("""COMPUTED_VALUE"""),"")</f>
        <v/>
      </c>
      <c r="U2401" s="16" t="s">
        <v>87</v>
      </c>
      <c r="V2401" s="16" t="str">
        <f>IFERROR(__xludf.DUMMYFUNCTION("""COMPUTED_VALUE"""),"")</f>
        <v/>
      </c>
      <c r="W2401" s="16" t="str">
        <f>IFERROR(__xludf.DUMMYFUNCTION("""COMPUTED_VALUE"""),"")</f>
        <v/>
      </c>
      <c r="X2401" s="16" t="str">
        <f>IFERROR(__xludf.DUMMYFUNCTION("""COMPUTED_VALUE"""),"")</f>
        <v/>
      </c>
      <c r="AC2401" s="16" t="str">
        <f>IFERROR(__xludf.DUMMYFUNCTION("""COMPUTED_VALUE"""),"")</f>
        <v/>
      </c>
    </row>
    <row r="2402">
      <c r="A2402" s="16" t="s">
        <v>87</v>
      </c>
      <c r="E2402" s="16" t="str">
        <f>IFERROR(__xludf.DUMMYFUNCTION("""COMPUTED_VALUE"""),"")</f>
        <v/>
      </c>
      <c r="G2402" s="18"/>
      <c r="H2402" s="16" t="s">
        <v>87</v>
      </c>
      <c r="I2402" s="16" t="s">
        <v>87</v>
      </c>
      <c r="J2402" s="19"/>
      <c r="L2402" s="16" t="str">
        <f>IFERROR(__xludf.DUMMYFUNCTION("""COMPUTED_VALUE"""),"")</f>
        <v/>
      </c>
      <c r="M2402" s="16" t="str">
        <f>IFERROR(__xludf.DUMMYFUNCTION("""COMPUTED_VALUE"""),"")</f>
        <v/>
      </c>
      <c r="U2402" s="16" t="s">
        <v>87</v>
      </c>
      <c r="V2402" s="16" t="str">
        <f>IFERROR(__xludf.DUMMYFUNCTION("""COMPUTED_VALUE"""),"")</f>
        <v/>
      </c>
      <c r="W2402" s="16" t="str">
        <f>IFERROR(__xludf.DUMMYFUNCTION("""COMPUTED_VALUE"""),"")</f>
        <v/>
      </c>
      <c r="X2402" s="16" t="str">
        <f>IFERROR(__xludf.DUMMYFUNCTION("""COMPUTED_VALUE"""),"")</f>
        <v/>
      </c>
      <c r="AC2402" s="16" t="str">
        <f>IFERROR(__xludf.DUMMYFUNCTION("""COMPUTED_VALUE"""),"")</f>
        <v/>
      </c>
    </row>
    <row r="2403">
      <c r="A2403" s="16" t="s">
        <v>87</v>
      </c>
      <c r="E2403" s="16" t="str">
        <f>IFERROR(__xludf.DUMMYFUNCTION("""COMPUTED_VALUE"""),"")</f>
        <v/>
      </c>
      <c r="G2403" s="18"/>
      <c r="H2403" s="16" t="s">
        <v>87</v>
      </c>
      <c r="I2403" s="16" t="s">
        <v>87</v>
      </c>
      <c r="J2403" s="19"/>
      <c r="L2403" s="16" t="str">
        <f>IFERROR(__xludf.DUMMYFUNCTION("""COMPUTED_VALUE"""),"")</f>
        <v/>
      </c>
      <c r="M2403" s="16" t="str">
        <f>IFERROR(__xludf.DUMMYFUNCTION("""COMPUTED_VALUE"""),"")</f>
        <v/>
      </c>
      <c r="U2403" s="16" t="s">
        <v>87</v>
      </c>
      <c r="V2403" s="16" t="str">
        <f>IFERROR(__xludf.DUMMYFUNCTION("""COMPUTED_VALUE"""),"")</f>
        <v/>
      </c>
      <c r="W2403" s="16" t="str">
        <f>IFERROR(__xludf.DUMMYFUNCTION("""COMPUTED_VALUE"""),"")</f>
        <v/>
      </c>
      <c r="X2403" s="16" t="str">
        <f>IFERROR(__xludf.DUMMYFUNCTION("""COMPUTED_VALUE"""),"")</f>
        <v/>
      </c>
      <c r="AC2403" s="16" t="str">
        <f>IFERROR(__xludf.DUMMYFUNCTION("""COMPUTED_VALUE"""),"")</f>
        <v/>
      </c>
    </row>
    <row r="2404">
      <c r="A2404" s="16" t="s">
        <v>87</v>
      </c>
      <c r="E2404" s="16" t="str">
        <f>IFERROR(__xludf.DUMMYFUNCTION("""COMPUTED_VALUE"""),"")</f>
        <v/>
      </c>
      <c r="G2404" s="18"/>
      <c r="H2404" s="16" t="s">
        <v>87</v>
      </c>
      <c r="I2404" s="16" t="s">
        <v>87</v>
      </c>
      <c r="J2404" s="19"/>
      <c r="L2404" s="16" t="str">
        <f>IFERROR(__xludf.DUMMYFUNCTION("""COMPUTED_VALUE"""),"")</f>
        <v/>
      </c>
      <c r="M2404" s="16" t="str">
        <f>IFERROR(__xludf.DUMMYFUNCTION("""COMPUTED_VALUE"""),"")</f>
        <v/>
      </c>
      <c r="U2404" s="16" t="s">
        <v>87</v>
      </c>
      <c r="V2404" s="16" t="str">
        <f>IFERROR(__xludf.DUMMYFUNCTION("""COMPUTED_VALUE"""),"")</f>
        <v/>
      </c>
      <c r="W2404" s="16" t="str">
        <f>IFERROR(__xludf.DUMMYFUNCTION("""COMPUTED_VALUE"""),"")</f>
        <v/>
      </c>
      <c r="X2404" s="16" t="str">
        <f>IFERROR(__xludf.DUMMYFUNCTION("""COMPUTED_VALUE"""),"")</f>
        <v/>
      </c>
      <c r="AC2404" s="16" t="str">
        <f>IFERROR(__xludf.DUMMYFUNCTION("""COMPUTED_VALUE"""),"")</f>
        <v/>
      </c>
    </row>
    <row r="2405">
      <c r="A2405" s="16" t="s">
        <v>87</v>
      </c>
      <c r="E2405" s="16" t="str">
        <f>IFERROR(__xludf.DUMMYFUNCTION("""COMPUTED_VALUE"""),"")</f>
        <v/>
      </c>
      <c r="G2405" s="18"/>
      <c r="H2405" s="16" t="s">
        <v>87</v>
      </c>
      <c r="I2405" s="16" t="s">
        <v>87</v>
      </c>
      <c r="J2405" s="19"/>
      <c r="L2405" s="16" t="str">
        <f>IFERROR(__xludf.DUMMYFUNCTION("""COMPUTED_VALUE"""),"")</f>
        <v/>
      </c>
      <c r="M2405" s="16" t="str">
        <f>IFERROR(__xludf.DUMMYFUNCTION("""COMPUTED_VALUE"""),"")</f>
        <v/>
      </c>
      <c r="U2405" s="16" t="s">
        <v>87</v>
      </c>
      <c r="V2405" s="16" t="str">
        <f>IFERROR(__xludf.DUMMYFUNCTION("""COMPUTED_VALUE"""),"")</f>
        <v/>
      </c>
      <c r="W2405" s="16" t="str">
        <f>IFERROR(__xludf.DUMMYFUNCTION("""COMPUTED_VALUE"""),"")</f>
        <v/>
      </c>
      <c r="X2405" s="16" t="str">
        <f>IFERROR(__xludf.DUMMYFUNCTION("""COMPUTED_VALUE"""),"")</f>
        <v/>
      </c>
      <c r="AC2405" s="16" t="str">
        <f>IFERROR(__xludf.DUMMYFUNCTION("""COMPUTED_VALUE"""),"")</f>
        <v/>
      </c>
    </row>
    <row r="2406">
      <c r="A2406" s="16" t="s">
        <v>87</v>
      </c>
      <c r="E2406" s="16" t="str">
        <f>IFERROR(__xludf.DUMMYFUNCTION("""COMPUTED_VALUE"""),"")</f>
        <v/>
      </c>
      <c r="G2406" s="18"/>
      <c r="H2406" s="16" t="s">
        <v>87</v>
      </c>
      <c r="I2406" s="16" t="s">
        <v>87</v>
      </c>
      <c r="J2406" s="19"/>
      <c r="L2406" s="16" t="str">
        <f>IFERROR(__xludf.DUMMYFUNCTION("""COMPUTED_VALUE"""),"")</f>
        <v/>
      </c>
      <c r="M2406" s="16" t="str">
        <f>IFERROR(__xludf.DUMMYFUNCTION("""COMPUTED_VALUE"""),"")</f>
        <v/>
      </c>
      <c r="U2406" s="16" t="s">
        <v>87</v>
      </c>
      <c r="V2406" s="16" t="str">
        <f>IFERROR(__xludf.DUMMYFUNCTION("""COMPUTED_VALUE"""),"")</f>
        <v/>
      </c>
      <c r="W2406" s="16" t="str">
        <f>IFERROR(__xludf.DUMMYFUNCTION("""COMPUTED_VALUE"""),"")</f>
        <v/>
      </c>
      <c r="X2406" s="16" t="str">
        <f>IFERROR(__xludf.DUMMYFUNCTION("""COMPUTED_VALUE"""),"")</f>
        <v/>
      </c>
      <c r="AC2406" s="16" t="str">
        <f>IFERROR(__xludf.DUMMYFUNCTION("""COMPUTED_VALUE"""),"")</f>
        <v/>
      </c>
    </row>
    <row r="2407">
      <c r="A2407" s="16" t="s">
        <v>87</v>
      </c>
      <c r="E2407" s="16" t="str">
        <f>IFERROR(__xludf.DUMMYFUNCTION("""COMPUTED_VALUE"""),"")</f>
        <v/>
      </c>
      <c r="G2407" s="18"/>
      <c r="H2407" s="16" t="s">
        <v>87</v>
      </c>
      <c r="I2407" s="16" t="s">
        <v>87</v>
      </c>
      <c r="J2407" s="19"/>
      <c r="L2407" s="16" t="str">
        <f>IFERROR(__xludf.DUMMYFUNCTION("""COMPUTED_VALUE"""),"")</f>
        <v/>
      </c>
      <c r="M2407" s="16" t="str">
        <f>IFERROR(__xludf.DUMMYFUNCTION("""COMPUTED_VALUE"""),"")</f>
        <v/>
      </c>
      <c r="U2407" s="16" t="s">
        <v>87</v>
      </c>
      <c r="V2407" s="16" t="str">
        <f>IFERROR(__xludf.DUMMYFUNCTION("""COMPUTED_VALUE"""),"")</f>
        <v/>
      </c>
      <c r="W2407" s="16" t="str">
        <f>IFERROR(__xludf.DUMMYFUNCTION("""COMPUTED_VALUE"""),"")</f>
        <v/>
      </c>
      <c r="X2407" s="16" t="str">
        <f>IFERROR(__xludf.DUMMYFUNCTION("""COMPUTED_VALUE"""),"")</f>
        <v/>
      </c>
      <c r="AC2407" s="16" t="str">
        <f>IFERROR(__xludf.DUMMYFUNCTION("""COMPUTED_VALUE"""),"")</f>
        <v/>
      </c>
    </row>
    <row r="2408">
      <c r="A2408" s="16" t="s">
        <v>87</v>
      </c>
      <c r="E2408" s="16" t="str">
        <f>IFERROR(__xludf.DUMMYFUNCTION("""COMPUTED_VALUE"""),"")</f>
        <v/>
      </c>
      <c r="G2408" s="18"/>
      <c r="H2408" s="16" t="s">
        <v>87</v>
      </c>
      <c r="I2408" s="16" t="s">
        <v>87</v>
      </c>
      <c r="J2408" s="19"/>
      <c r="L2408" s="16" t="str">
        <f>IFERROR(__xludf.DUMMYFUNCTION("""COMPUTED_VALUE"""),"")</f>
        <v/>
      </c>
      <c r="M2408" s="16" t="str">
        <f>IFERROR(__xludf.DUMMYFUNCTION("""COMPUTED_VALUE"""),"")</f>
        <v/>
      </c>
      <c r="U2408" s="16" t="s">
        <v>87</v>
      </c>
      <c r="V2408" s="16" t="str">
        <f>IFERROR(__xludf.DUMMYFUNCTION("""COMPUTED_VALUE"""),"")</f>
        <v/>
      </c>
      <c r="W2408" s="16" t="str">
        <f>IFERROR(__xludf.DUMMYFUNCTION("""COMPUTED_VALUE"""),"")</f>
        <v/>
      </c>
      <c r="X2408" s="16" t="str">
        <f>IFERROR(__xludf.DUMMYFUNCTION("""COMPUTED_VALUE"""),"")</f>
        <v/>
      </c>
      <c r="AC2408" s="16" t="str">
        <f>IFERROR(__xludf.DUMMYFUNCTION("""COMPUTED_VALUE"""),"")</f>
        <v/>
      </c>
    </row>
    <row r="2409">
      <c r="A2409" s="16" t="s">
        <v>87</v>
      </c>
      <c r="E2409" s="16" t="str">
        <f>IFERROR(__xludf.DUMMYFUNCTION("""COMPUTED_VALUE"""),"")</f>
        <v/>
      </c>
      <c r="G2409" s="18"/>
      <c r="H2409" s="16" t="s">
        <v>87</v>
      </c>
      <c r="I2409" s="16" t="s">
        <v>87</v>
      </c>
      <c r="J2409" s="19"/>
      <c r="L2409" s="16" t="str">
        <f>IFERROR(__xludf.DUMMYFUNCTION("""COMPUTED_VALUE"""),"")</f>
        <v/>
      </c>
      <c r="M2409" s="16" t="str">
        <f>IFERROR(__xludf.DUMMYFUNCTION("""COMPUTED_VALUE"""),"")</f>
        <v/>
      </c>
      <c r="U2409" s="16" t="s">
        <v>87</v>
      </c>
      <c r="V2409" s="16" t="str">
        <f>IFERROR(__xludf.DUMMYFUNCTION("""COMPUTED_VALUE"""),"")</f>
        <v/>
      </c>
      <c r="W2409" s="16" t="str">
        <f>IFERROR(__xludf.DUMMYFUNCTION("""COMPUTED_VALUE"""),"")</f>
        <v/>
      </c>
      <c r="X2409" s="16" t="str">
        <f>IFERROR(__xludf.DUMMYFUNCTION("""COMPUTED_VALUE"""),"")</f>
        <v/>
      </c>
      <c r="AC2409" s="16" t="str">
        <f>IFERROR(__xludf.DUMMYFUNCTION("""COMPUTED_VALUE"""),"")</f>
        <v/>
      </c>
    </row>
    <row r="2410">
      <c r="A2410" s="16" t="s">
        <v>87</v>
      </c>
      <c r="E2410" s="16" t="str">
        <f>IFERROR(__xludf.DUMMYFUNCTION("""COMPUTED_VALUE"""),"")</f>
        <v/>
      </c>
      <c r="G2410" s="18"/>
      <c r="H2410" s="16" t="s">
        <v>87</v>
      </c>
      <c r="I2410" s="16" t="s">
        <v>87</v>
      </c>
      <c r="J2410" s="19"/>
      <c r="L2410" s="16" t="str">
        <f>IFERROR(__xludf.DUMMYFUNCTION("""COMPUTED_VALUE"""),"")</f>
        <v/>
      </c>
      <c r="M2410" s="16" t="str">
        <f>IFERROR(__xludf.DUMMYFUNCTION("""COMPUTED_VALUE"""),"")</f>
        <v/>
      </c>
      <c r="U2410" s="16" t="s">
        <v>87</v>
      </c>
      <c r="V2410" s="16" t="str">
        <f>IFERROR(__xludf.DUMMYFUNCTION("""COMPUTED_VALUE"""),"")</f>
        <v/>
      </c>
      <c r="W2410" s="16" t="str">
        <f>IFERROR(__xludf.DUMMYFUNCTION("""COMPUTED_VALUE"""),"")</f>
        <v/>
      </c>
      <c r="X2410" s="16" t="str">
        <f>IFERROR(__xludf.DUMMYFUNCTION("""COMPUTED_VALUE"""),"")</f>
        <v/>
      </c>
      <c r="AC2410" s="16" t="str">
        <f>IFERROR(__xludf.DUMMYFUNCTION("""COMPUTED_VALUE"""),"")</f>
        <v/>
      </c>
    </row>
    <row r="2411">
      <c r="A2411" s="16" t="s">
        <v>87</v>
      </c>
      <c r="E2411" s="16" t="str">
        <f>IFERROR(__xludf.DUMMYFUNCTION("""COMPUTED_VALUE"""),"")</f>
        <v/>
      </c>
      <c r="G2411" s="18"/>
      <c r="H2411" s="16" t="s">
        <v>87</v>
      </c>
      <c r="I2411" s="16" t="s">
        <v>87</v>
      </c>
      <c r="J2411" s="19"/>
      <c r="L2411" s="16" t="str">
        <f>IFERROR(__xludf.DUMMYFUNCTION("""COMPUTED_VALUE"""),"")</f>
        <v/>
      </c>
      <c r="M2411" s="16" t="str">
        <f>IFERROR(__xludf.DUMMYFUNCTION("""COMPUTED_VALUE"""),"")</f>
        <v/>
      </c>
      <c r="U2411" s="16" t="s">
        <v>87</v>
      </c>
      <c r="V2411" s="16" t="str">
        <f>IFERROR(__xludf.DUMMYFUNCTION("""COMPUTED_VALUE"""),"")</f>
        <v/>
      </c>
      <c r="W2411" s="16" t="str">
        <f>IFERROR(__xludf.DUMMYFUNCTION("""COMPUTED_VALUE"""),"")</f>
        <v/>
      </c>
      <c r="X2411" s="16" t="str">
        <f>IFERROR(__xludf.DUMMYFUNCTION("""COMPUTED_VALUE"""),"")</f>
        <v/>
      </c>
      <c r="AC2411" s="16" t="str">
        <f>IFERROR(__xludf.DUMMYFUNCTION("""COMPUTED_VALUE"""),"")</f>
        <v/>
      </c>
    </row>
    <row r="2412">
      <c r="A2412" s="16" t="s">
        <v>87</v>
      </c>
      <c r="E2412" s="16" t="str">
        <f>IFERROR(__xludf.DUMMYFUNCTION("""COMPUTED_VALUE"""),"")</f>
        <v/>
      </c>
      <c r="G2412" s="18"/>
      <c r="H2412" s="16" t="s">
        <v>87</v>
      </c>
      <c r="I2412" s="16" t="s">
        <v>87</v>
      </c>
      <c r="J2412" s="19"/>
      <c r="L2412" s="16" t="str">
        <f>IFERROR(__xludf.DUMMYFUNCTION("""COMPUTED_VALUE"""),"")</f>
        <v/>
      </c>
      <c r="M2412" s="16" t="str">
        <f>IFERROR(__xludf.DUMMYFUNCTION("""COMPUTED_VALUE"""),"")</f>
        <v/>
      </c>
      <c r="U2412" s="16" t="s">
        <v>87</v>
      </c>
      <c r="V2412" s="16" t="str">
        <f>IFERROR(__xludf.DUMMYFUNCTION("""COMPUTED_VALUE"""),"")</f>
        <v/>
      </c>
      <c r="W2412" s="16" t="str">
        <f>IFERROR(__xludf.DUMMYFUNCTION("""COMPUTED_VALUE"""),"")</f>
        <v/>
      </c>
      <c r="X2412" s="16" t="str">
        <f>IFERROR(__xludf.DUMMYFUNCTION("""COMPUTED_VALUE"""),"")</f>
        <v/>
      </c>
      <c r="AC2412" s="16" t="str">
        <f>IFERROR(__xludf.DUMMYFUNCTION("""COMPUTED_VALUE"""),"")</f>
        <v/>
      </c>
    </row>
    <row r="2413">
      <c r="A2413" s="16" t="s">
        <v>87</v>
      </c>
      <c r="E2413" s="16" t="str">
        <f>IFERROR(__xludf.DUMMYFUNCTION("""COMPUTED_VALUE"""),"")</f>
        <v/>
      </c>
      <c r="G2413" s="18"/>
      <c r="H2413" s="16" t="s">
        <v>87</v>
      </c>
      <c r="I2413" s="16" t="s">
        <v>87</v>
      </c>
      <c r="J2413" s="19"/>
      <c r="L2413" s="16" t="str">
        <f>IFERROR(__xludf.DUMMYFUNCTION("""COMPUTED_VALUE"""),"")</f>
        <v/>
      </c>
      <c r="M2413" s="16" t="str">
        <f>IFERROR(__xludf.DUMMYFUNCTION("""COMPUTED_VALUE"""),"")</f>
        <v/>
      </c>
      <c r="U2413" s="16" t="s">
        <v>87</v>
      </c>
      <c r="V2413" s="16" t="str">
        <f>IFERROR(__xludf.DUMMYFUNCTION("""COMPUTED_VALUE"""),"")</f>
        <v/>
      </c>
      <c r="W2413" s="16" t="str">
        <f>IFERROR(__xludf.DUMMYFUNCTION("""COMPUTED_VALUE"""),"")</f>
        <v/>
      </c>
      <c r="X2413" s="16" t="str">
        <f>IFERROR(__xludf.DUMMYFUNCTION("""COMPUTED_VALUE"""),"")</f>
        <v/>
      </c>
      <c r="AC2413" s="16" t="str">
        <f>IFERROR(__xludf.DUMMYFUNCTION("""COMPUTED_VALUE"""),"")</f>
        <v/>
      </c>
    </row>
    <row r="2414">
      <c r="A2414" s="16" t="s">
        <v>87</v>
      </c>
      <c r="E2414" s="16" t="str">
        <f>IFERROR(__xludf.DUMMYFUNCTION("""COMPUTED_VALUE"""),"")</f>
        <v/>
      </c>
      <c r="G2414" s="18"/>
      <c r="H2414" s="16" t="s">
        <v>87</v>
      </c>
      <c r="I2414" s="16" t="s">
        <v>87</v>
      </c>
      <c r="J2414" s="19"/>
      <c r="L2414" s="16" t="str">
        <f>IFERROR(__xludf.DUMMYFUNCTION("""COMPUTED_VALUE"""),"")</f>
        <v/>
      </c>
      <c r="M2414" s="16" t="str">
        <f>IFERROR(__xludf.DUMMYFUNCTION("""COMPUTED_VALUE"""),"")</f>
        <v/>
      </c>
      <c r="U2414" s="16" t="s">
        <v>87</v>
      </c>
      <c r="V2414" s="16" t="str">
        <f>IFERROR(__xludf.DUMMYFUNCTION("""COMPUTED_VALUE"""),"")</f>
        <v/>
      </c>
      <c r="W2414" s="16" t="str">
        <f>IFERROR(__xludf.DUMMYFUNCTION("""COMPUTED_VALUE"""),"")</f>
        <v/>
      </c>
      <c r="X2414" s="16" t="str">
        <f>IFERROR(__xludf.DUMMYFUNCTION("""COMPUTED_VALUE"""),"")</f>
        <v/>
      </c>
      <c r="AC2414" s="16" t="str">
        <f>IFERROR(__xludf.DUMMYFUNCTION("""COMPUTED_VALUE"""),"")</f>
        <v/>
      </c>
    </row>
    <row r="2415">
      <c r="A2415" s="16" t="s">
        <v>87</v>
      </c>
      <c r="E2415" s="16" t="str">
        <f>IFERROR(__xludf.DUMMYFUNCTION("""COMPUTED_VALUE"""),"")</f>
        <v/>
      </c>
      <c r="G2415" s="18"/>
      <c r="H2415" s="16" t="s">
        <v>87</v>
      </c>
      <c r="I2415" s="16" t="s">
        <v>87</v>
      </c>
      <c r="J2415" s="19"/>
      <c r="L2415" s="16" t="str">
        <f>IFERROR(__xludf.DUMMYFUNCTION("""COMPUTED_VALUE"""),"")</f>
        <v/>
      </c>
      <c r="M2415" s="16" t="str">
        <f>IFERROR(__xludf.DUMMYFUNCTION("""COMPUTED_VALUE"""),"")</f>
        <v/>
      </c>
      <c r="U2415" s="16" t="s">
        <v>87</v>
      </c>
      <c r="V2415" s="16" t="str">
        <f>IFERROR(__xludf.DUMMYFUNCTION("""COMPUTED_VALUE"""),"")</f>
        <v/>
      </c>
      <c r="W2415" s="16" t="str">
        <f>IFERROR(__xludf.DUMMYFUNCTION("""COMPUTED_VALUE"""),"")</f>
        <v/>
      </c>
      <c r="X2415" s="16" t="str">
        <f>IFERROR(__xludf.DUMMYFUNCTION("""COMPUTED_VALUE"""),"")</f>
        <v/>
      </c>
      <c r="AC2415" s="16" t="str">
        <f>IFERROR(__xludf.DUMMYFUNCTION("""COMPUTED_VALUE"""),"")</f>
        <v/>
      </c>
    </row>
    <row r="2416">
      <c r="A2416" s="16" t="s">
        <v>87</v>
      </c>
      <c r="E2416" s="16" t="str">
        <f>IFERROR(__xludf.DUMMYFUNCTION("""COMPUTED_VALUE"""),"")</f>
        <v/>
      </c>
      <c r="G2416" s="18"/>
      <c r="H2416" s="16" t="s">
        <v>87</v>
      </c>
      <c r="I2416" s="16" t="s">
        <v>87</v>
      </c>
      <c r="J2416" s="19"/>
      <c r="L2416" s="16" t="str">
        <f>IFERROR(__xludf.DUMMYFUNCTION("""COMPUTED_VALUE"""),"")</f>
        <v/>
      </c>
      <c r="M2416" s="16" t="str">
        <f>IFERROR(__xludf.DUMMYFUNCTION("""COMPUTED_VALUE"""),"")</f>
        <v/>
      </c>
      <c r="U2416" s="16" t="s">
        <v>87</v>
      </c>
      <c r="V2416" s="16" t="str">
        <f>IFERROR(__xludf.DUMMYFUNCTION("""COMPUTED_VALUE"""),"")</f>
        <v/>
      </c>
      <c r="W2416" s="16" t="str">
        <f>IFERROR(__xludf.DUMMYFUNCTION("""COMPUTED_VALUE"""),"")</f>
        <v/>
      </c>
      <c r="X2416" s="16" t="str">
        <f>IFERROR(__xludf.DUMMYFUNCTION("""COMPUTED_VALUE"""),"")</f>
        <v/>
      </c>
      <c r="AC2416" s="16" t="str">
        <f>IFERROR(__xludf.DUMMYFUNCTION("""COMPUTED_VALUE"""),"")</f>
        <v/>
      </c>
    </row>
    <row r="2417">
      <c r="A2417" s="16" t="s">
        <v>87</v>
      </c>
      <c r="E2417" s="16" t="str">
        <f>IFERROR(__xludf.DUMMYFUNCTION("""COMPUTED_VALUE"""),"")</f>
        <v/>
      </c>
      <c r="G2417" s="18"/>
      <c r="H2417" s="16" t="s">
        <v>87</v>
      </c>
      <c r="I2417" s="16" t="s">
        <v>87</v>
      </c>
      <c r="J2417" s="19"/>
      <c r="L2417" s="16" t="str">
        <f>IFERROR(__xludf.DUMMYFUNCTION("""COMPUTED_VALUE"""),"")</f>
        <v/>
      </c>
      <c r="M2417" s="16" t="str">
        <f>IFERROR(__xludf.DUMMYFUNCTION("""COMPUTED_VALUE"""),"")</f>
        <v/>
      </c>
      <c r="U2417" s="16" t="s">
        <v>87</v>
      </c>
      <c r="V2417" s="16" t="str">
        <f>IFERROR(__xludf.DUMMYFUNCTION("""COMPUTED_VALUE"""),"")</f>
        <v/>
      </c>
      <c r="W2417" s="16" t="str">
        <f>IFERROR(__xludf.DUMMYFUNCTION("""COMPUTED_VALUE"""),"")</f>
        <v/>
      </c>
      <c r="X2417" s="16" t="str">
        <f>IFERROR(__xludf.DUMMYFUNCTION("""COMPUTED_VALUE"""),"")</f>
        <v/>
      </c>
      <c r="AC2417" s="16" t="str">
        <f>IFERROR(__xludf.DUMMYFUNCTION("""COMPUTED_VALUE"""),"")</f>
        <v/>
      </c>
    </row>
    <row r="2418">
      <c r="A2418" s="16" t="s">
        <v>87</v>
      </c>
      <c r="E2418" s="16" t="str">
        <f>IFERROR(__xludf.DUMMYFUNCTION("""COMPUTED_VALUE"""),"")</f>
        <v/>
      </c>
      <c r="G2418" s="18"/>
      <c r="H2418" s="16" t="s">
        <v>87</v>
      </c>
      <c r="I2418" s="16" t="s">
        <v>87</v>
      </c>
      <c r="J2418" s="19"/>
      <c r="L2418" s="16" t="str">
        <f>IFERROR(__xludf.DUMMYFUNCTION("""COMPUTED_VALUE"""),"")</f>
        <v/>
      </c>
      <c r="M2418" s="16" t="str">
        <f>IFERROR(__xludf.DUMMYFUNCTION("""COMPUTED_VALUE"""),"")</f>
        <v/>
      </c>
      <c r="U2418" s="16" t="s">
        <v>87</v>
      </c>
      <c r="V2418" s="16" t="str">
        <f>IFERROR(__xludf.DUMMYFUNCTION("""COMPUTED_VALUE"""),"")</f>
        <v/>
      </c>
      <c r="W2418" s="16" t="str">
        <f>IFERROR(__xludf.DUMMYFUNCTION("""COMPUTED_VALUE"""),"")</f>
        <v/>
      </c>
      <c r="X2418" s="16" t="str">
        <f>IFERROR(__xludf.DUMMYFUNCTION("""COMPUTED_VALUE"""),"")</f>
        <v/>
      </c>
      <c r="AC2418" s="16" t="str">
        <f>IFERROR(__xludf.DUMMYFUNCTION("""COMPUTED_VALUE"""),"")</f>
        <v/>
      </c>
    </row>
    <row r="2419">
      <c r="A2419" s="16" t="s">
        <v>87</v>
      </c>
      <c r="E2419" s="16" t="str">
        <f>IFERROR(__xludf.DUMMYFUNCTION("""COMPUTED_VALUE"""),"")</f>
        <v/>
      </c>
      <c r="G2419" s="18"/>
      <c r="H2419" s="16" t="s">
        <v>87</v>
      </c>
      <c r="I2419" s="16" t="s">
        <v>87</v>
      </c>
      <c r="J2419" s="19"/>
      <c r="L2419" s="16" t="str">
        <f>IFERROR(__xludf.DUMMYFUNCTION("""COMPUTED_VALUE"""),"")</f>
        <v/>
      </c>
      <c r="M2419" s="16" t="str">
        <f>IFERROR(__xludf.DUMMYFUNCTION("""COMPUTED_VALUE"""),"")</f>
        <v/>
      </c>
      <c r="U2419" s="16" t="s">
        <v>87</v>
      </c>
      <c r="V2419" s="16" t="str">
        <f>IFERROR(__xludf.DUMMYFUNCTION("""COMPUTED_VALUE"""),"")</f>
        <v/>
      </c>
      <c r="W2419" s="16" t="str">
        <f>IFERROR(__xludf.DUMMYFUNCTION("""COMPUTED_VALUE"""),"")</f>
        <v/>
      </c>
      <c r="X2419" s="16" t="str">
        <f>IFERROR(__xludf.DUMMYFUNCTION("""COMPUTED_VALUE"""),"")</f>
        <v/>
      </c>
      <c r="AC2419" s="16" t="str">
        <f>IFERROR(__xludf.DUMMYFUNCTION("""COMPUTED_VALUE"""),"")</f>
        <v/>
      </c>
    </row>
    <row r="2420">
      <c r="A2420" s="16" t="s">
        <v>87</v>
      </c>
      <c r="E2420" s="16" t="str">
        <f>IFERROR(__xludf.DUMMYFUNCTION("""COMPUTED_VALUE"""),"")</f>
        <v/>
      </c>
      <c r="G2420" s="18"/>
      <c r="H2420" s="16" t="s">
        <v>87</v>
      </c>
      <c r="I2420" s="16" t="s">
        <v>87</v>
      </c>
      <c r="J2420" s="19"/>
      <c r="L2420" s="16" t="str">
        <f>IFERROR(__xludf.DUMMYFUNCTION("""COMPUTED_VALUE"""),"")</f>
        <v/>
      </c>
      <c r="M2420" s="16" t="str">
        <f>IFERROR(__xludf.DUMMYFUNCTION("""COMPUTED_VALUE"""),"")</f>
        <v/>
      </c>
      <c r="U2420" s="16" t="s">
        <v>87</v>
      </c>
      <c r="V2420" s="16" t="str">
        <f>IFERROR(__xludf.DUMMYFUNCTION("""COMPUTED_VALUE"""),"")</f>
        <v/>
      </c>
      <c r="W2420" s="16" t="str">
        <f>IFERROR(__xludf.DUMMYFUNCTION("""COMPUTED_VALUE"""),"")</f>
        <v/>
      </c>
      <c r="X2420" s="16" t="str">
        <f>IFERROR(__xludf.DUMMYFUNCTION("""COMPUTED_VALUE"""),"")</f>
        <v/>
      </c>
      <c r="AC2420" s="16" t="str">
        <f>IFERROR(__xludf.DUMMYFUNCTION("""COMPUTED_VALUE"""),"")</f>
        <v/>
      </c>
    </row>
    <row r="2421">
      <c r="A2421" s="16" t="s">
        <v>87</v>
      </c>
      <c r="E2421" s="16" t="str">
        <f>IFERROR(__xludf.DUMMYFUNCTION("""COMPUTED_VALUE"""),"")</f>
        <v/>
      </c>
      <c r="G2421" s="18"/>
      <c r="H2421" s="16" t="s">
        <v>87</v>
      </c>
      <c r="I2421" s="16" t="s">
        <v>87</v>
      </c>
      <c r="J2421" s="19"/>
      <c r="L2421" s="16" t="str">
        <f>IFERROR(__xludf.DUMMYFUNCTION("""COMPUTED_VALUE"""),"")</f>
        <v/>
      </c>
      <c r="M2421" s="16" t="str">
        <f>IFERROR(__xludf.DUMMYFUNCTION("""COMPUTED_VALUE"""),"")</f>
        <v/>
      </c>
      <c r="U2421" s="16" t="s">
        <v>87</v>
      </c>
      <c r="V2421" s="16" t="str">
        <f>IFERROR(__xludf.DUMMYFUNCTION("""COMPUTED_VALUE"""),"")</f>
        <v/>
      </c>
      <c r="W2421" s="16" t="str">
        <f>IFERROR(__xludf.DUMMYFUNCTION("""COMPUTED_VALUE"""),"")</f>
        <v/>
      </c>
      <c r="X2421" s="16" t="str">
        <f>IFERROR(__xludf.DUMMYFUNCTION("""COMPUTED_VALUE"""),"")</f>
        <v/>
      </c>
      <c r="AC2421" s="16" t="str">
        <f>IFERROR(__xludf.DUMMYFUNCTION("""COMPUTED_VALUE"""),"")</f>
        <v/>
      </c>
    </row>
    <row r="2422">
      <c r="A2422" s="16" t="s">
        <v>87</v>
      </c>
      <c r="E2422" s="16" t="str">
        <f>IFERROR(__xludf.DUMMYFUNCTION("""COMPUTED_VALUE"""),"")</f>
        <v/>
      </c>
      <c r="G2422" s="18"/>
      <c r="H2422" s="16" t="s">
        <v>87</v>
      </c>
      <c r="I2422" s="16" t="s">
        <v>87</v>
      </c>
      <c r="J2422" s="19"/>
      <c r="L2422" s="16" t="str">
        <f>IFERROR(__xludf.DUMMYFUNCTION("""COMPUTED_VALUE"""),"")</f>
        <v/>
      </c>
      <c r="M2422" s="16" t="str">
        <f>IFERROR(__xludf.DUMMYFUNCTION("""COMPUTED_VALUE"""),"")</f>
        <v/>
      </c>
      <c r="U2422" s="16" t="s">
        <v>87</v>
      </c>
      <c r="V2422" s="16" t="str">
        <f>IFERROR(__xludf.DUMMYFUNCTION("""COMPUTED_VALUE"""),"")</f>
        <v/>
      </c>
      <c r="W2422" s="16" t="str">
        <f>IFERROR(__xludf.DUMMYFUNCTION("""COMPUTED_VALUE"""),"")</f>
        <v/>
      </c>
      <c r="X2422" s="16" t="str">
        <f>IFERROR(__xludf.DUMMYFUNCTION("""COMPUTED_VALUE"""),"")</f>
        <v/>
      </c>
      <c r="AC2422" s="16" t="str">
        <f>IFERROR(__xludf.DUMMYFUNCTION("""COMPUTED_VALUE"""),"")</f>
        <v/>
      </c>
    </row>
    <row r="2423">
      <c r="A2423" s="16" t="s">
        <v>87</v>
      </c>
      <c r="E2423" s="16" t="str">
        <f>IFERROR(__xludf.DUMMYFUNCTION("""COMPUTED_VALUE"""),"")</f>
        <v/>
      </c>
      <c r="G2423" s="18"/>
      <c r="H2423" s="16" t="s">
        <v>87</v>
      </c>
      <c r="I2423" s="16" t="s">
        <v>87</v>
      </c>
      <c r="J2423" s="19"/>
      <c r="L2423" s="16" t="str">
        <f>IFERROR(__xludf.DUMMYFUNCTION("""COMPUTED_VALUE"""),"")</f>
        <v/>
      </c>
      <c r="M2423" s="16" t="str">
        <f>IFERROR(__xludf.DUMMYFUNCTION("""COMPUTED_VALUE"""),"")</f>
        <v/>
      </c>
      <c r="U2423" s="16" t="s">
        <v>87</v>
      </c>
      <c r="V2423" s="16" t="str">
        <f>IFERROR(__xludf.DUMMYFUNCTION("""COMPUTED_VALUE"""),"")</f>
        <v/>
      </c>
      <c r="W2423" s="16" t="str">
        <f>IFERROR(__xludf.DUMMYFUNCTION("""COMPUTED_VALUE"""),"")</f>
        <v/>
      </c>
      <c r="X2423" s="16" t="str">
        <f>IFERROR(__xludf.DUMMYFUNCTION("""COMPUTED_VALUE"""),"")</f>
        <v/>
      </c>
      <c r="AC2423" s="16" t="str">
        <f>IFERROR(__xludf.DUMMYFUNCTION("""COMPUTED_VALUE"""),"")</f>
        <v/>
      </c>
    </row>
    <row r="2424">
      <c r="A2424" s="16" t="s">
        <v>87</v>
      </c>
      <c r="E2424" s="16" t="str">
        <f>IFERROR(__xludf.DUMMYFUNCTION("""COMPUTED_VALUE"""),"")</f>
        <v/>
      </c>
      <c r="G2424" s="18"/>
      <c r="H2424" s="16" t="s">
        <v>87</v>
      </c>
      <c r="I2424" s="16" t="s">
        <v>87</v>
      </c>
      <c r="J2424" s="19"/>
      <c r="L2424" s="16" t="str">
        <f>IFERROR(__xludf.DUMMYFUNCTION("""COMPUTED_VALUE"""),"")</f>
        <v/>
      </c>
      <c r="M2424" s="16" t="str">
        <f>IFERROR(__xludf.DUMMYFUNCTION("""COMPUTED_VALUE"""),"")</f>
        <v/>
      </c>
      <c r="U2424" s="16" t="s">
        <v>87</v>
      </c>
      <c r="V2424" s="16" t="str">
        <f>IFERROR(__xludf.DUMMYFUNCTION("""COMPUTED_VALUE"""),"")</f>
        <v/>
      </c>
      <c r="W2424" s="16" t="str">
        <f>IFERROR(__xludf.DUMMYFUNCTION("""COMPUTED_VALUE"""),"")</f>
        <v/>
      </c>
      <c r="X2424" s="16" t="str">
        <f>IFERROR(__xludf.DUMMYFUNCTION("""COMPUTED_VALUE"""),"")</f>
        <v/>
      </c>
      <c r="AC2424" s="16" t="str">
        <f>IFERROR(__xludf.DUMMYFUNCTION("""COMPUTED_VALUE"""),"")</f>
        <v/>
      </c>
    </row>
    <row r="2425">
      <c r="A2425" s="16" t="s">
        <v>87</v>
      </c>
      <c r="E2425" s="16" t="str">
        <f>IFERROR(__xludf.DUMMYFUNCTION("""COMPUTED_VALUE"""),"")</f>
        <v/>
      </c>
      <c r="G2425" s="18"/>
      <c r="H2425" s="16" t="s">
        <v>87</v>
      </c>
      <c r="I2425" s="16" t="s">
        <v>87</v>
      </c>
      <c r="J2425" s="19"/>
      <c r="L2425" s="16" t="str">
        <f>IFERROR(__xludf.DUMMYFUNCTION("""COMPUTED_VALUE"""),"")</f>
        <v/>
      </c>
      <c r="M2425" s="16" t="str">
        <f>IFERROR(__xludf.DUMMYFUNCTION("""COMPUTED_VALUE"""),"")</f>
        <v/>
      </c>
      <c r="U2425" s="16" t="s">
        <v>87</v>
      </c>
      <c r="V2425" s="16" t="str">
        <f>IFERROR(__xludf.DUMMYFUNCTION("""COMPUTED_VALUE"""),"")</f>
        <v/>
      </c>
      <c r="W2425" s="16" t="str">
        <f>IFERROR(__xludf.DUMMYFUNCTION("""COMPUTED_VALUE"""),"")</f>
        <v/>
      </c>
      <c r="X2425" s="16" t="str">
        <f>IFERROR(__xludf.DUMMYFUNCTION("""COMPUTED_VALUE"""),"")</f>
        <v/>
      </c>
      <c r="AC2425" s="16" t="str">
        <f>IFERROR(__xludf.DUMMYFUNCTION("""COMPUTED_VALUE"""),"")</f>
        <v/>
      </c>
    </row>
    <row r="2426">
      <c r="A2426" s="16" t="s">
        <v>87</v>
      </c>
      <c r="E2426" s="16" t="str">
        <f>IFERROR(__xludf.DUMMYFUNCTION("""COMPUTED_VALUE"""),"")</f>
        <v/>
      </c>
      <c r="G2426" s="18"/>
      <c r="H2426" s="16" t="s">
        <v>87</v>
      </c>
      <c r="I2426" s="16" t="s">
        <v>87</v>
      </c>
      <c r="J2426" s="19"/>
      <c r="L2426" s="16" t="str">
        <f>IFERROR(__xludf.DUMMYFUNCTION("""COMPUTED_VALUE"""),"")</f>
        <v/>
      </c>
      <c r="M2426" s="16" t="str">
        <f>IFERROR(__xludf.DUMMYFUNCTION("""COMPUTED_VALUE"""),"")</f>
        <v/>
      </c>
      <c r="U2426" s="16" t="s">
        <v>87</v>
      </c>
      <c r="V2426" s="16" t="str">
        <f>IFERROR(__xludf.DUMMYFUNCTION("""COMPUTED_VALUE"""),"")</f>
        <v/>
      </c>
      <c r="W2426" s="16" t="str">
        <f>IFERROR(__xludf.DUMMYFUNCTION("""COMPUTED_VALUE"""),"")</f>
        <v/>
      </c>
      <c r="X2426" s="16" t="str">
        <f>IFERROR(__xludf.DUMMYFUNCTION("""COMPUTED_VALUE"""),"")</f>
        <v/>
      </c>
      <c r="AC2426" s="16" t="str">
        <f>IFERROR(__xludf.DUMMYFUNCTION("""COMPUTED_VALUE"""),"")</f>
        <v/>
      </c>
    </row>
    <row r="2427">
      <c r="A2427" s="16" t="s">
        <v>87</v>
      </c>
      <c r="E2427" s="16" t="str">
        <f>IFERROR(__xludf.DUMMYFUNCTION("""COMPUTED_VALUE"""),"")</f>
        <v/>
      </c>
      <c r="G2427" s="18"/>
      <c r="H2427" s="16" t="s">
        <v>87</v>
      </c>
      <c r="I2427" s="16" t="s">
        <v>87</v>
      </c>
      <c r="J2427" s="19"/>
      <c r="L2427" s="16" t="str">
        <f>IFERROR(__xludf.DUMMYFUNCTION("""COMPUTED_VALUE"""),"")</f>
        <v/>
      </c>
      <c r="M2427" s="16" t="str">
        <f>IFERROR(__xludf.DUMMYFUNCTION("""COMPUTED_VALUE"""),"")</f>
        <v/>
      </c>
      <c r="U2427" s="16" t="s">
        <v>87</v>
      </c>
      <c r="V2427" s="16" t="str">
        <f>IFERROR(__xludf.DUMMYFUNCTION("""COMPUTED_VALUE"""),"")</f>
        <v/>
      </c>
      <c r="W2427" s="16" t="str">
        <f>IFERROR(__xludf.DUMMYFUNCTION("""COMPUTED_VALUE"""),"")</f>
        <v/>
      </c>
      <c r="X2427" s="16" t="str">
        <f>IFERROR(__xludf.DUMMYFUNCTION("""COMPUTED_VALUE"""),"")</f>
        <v/>
      </c>
      <c r="AC2427" s="16" t="str">
        <f>IFERROR(__xludf.DUMMYFUNCTION("""COMPUTED_VALUE"""),"")</f>
        <v/>
      </c>
    </row>
    <row r="2428">
      <c r="A2428" s="16" t="s">
        <v>87</v>
      </c>
      <c r="E2428" s="16" t="str">
        <f>IFERROR(__xludf.DUMMYFUNCTION("""COMPUTED_VALUE"""),"")</f>
        <v/>
      </c>
      <c r="G2428" s="18"/>
      <c r="H2428" s="16" t="s">
        <v>87</v>
      </c>
      <c r="I2428" s="16" t="s">
        <v>87</v>
      </c>
      <c r="J2428" s="19"/>
      <c r="L2428" s="16" t="str">
        <f>IFERROR(__xludf.DUMMYFUNCTION("""COMPUTED_VALUE"""),"")</f>
        <v/>
      </c>
      <c r="M2428" s="16" t="str">
        <f>IFERROR(__xludf.DUMMYFUNCTION("""COMPUTED_VALUE"""),"")</f>
        <v/>
      </c>
      <c r="U2428" s="16" t="s">
        <v>87</v>
      </c>
      <c r="V2428" s="16" t="str">
        <f>IFERROR(__xludf.DUMMYFUNCTION("""COMPUTED_VALUE"""),"")</f>
        <v/>
      </c>
      <c r="W2428" s="16" t="str">
        <f>IFERROR(__xludf.DUMMYFUNCTION("""COMPUTED_VALUE"""),"")</f>
        <v/>
      </c>
      <c r="X2428" s="16" t="str">
        <f>IFERROR(__xludf.DUMMYFUNCTION("""COMPUTED_VALUE"""),"")</f>
        <v/>
      </c>
      <c r="AC2428" s="16" t="str">
        <f>IFERROR(__xludf.DUMMYFUNCTION("""COMPUTED_VALUE"""),"")</f>
        <v/>
      </c>
    </row>
    <row r="2429">
      <c r="A2429" s="16" t="s">
        <v>87</v>
      </c>
      <c r="E2429" s="16" t="str">
        <f>IFERROR(__xludf.DUMMYFUNCTION("""COMPUTED_VALUE"""),"")</f>
        <v/>
      </c>
      <c r="G2429" s="18"/>
      <c r="H2429" s="16" t="s">
        <v>87</v>
      </c>
      <c r="I2429" s="16" t="s">
        <v>87</v>
      </c>
      <c r="J2429" s="19"/>
      <c r="L2429" s="16" t="str">
        <f>IFERROR(__xludf.DUMMYFUNCTION("""COMPUTED_VALUE"""),"")</f>
        <v/>
      </c>
      <c r="M2429" s="16" t="str">
        <f>IFERROR(__xludf.DUMMYFUNCTION("""COMPUTED_VALUE"""),"")</f>
        <v/>
      </c>
      <c r="U2429" s="16" t="s">
        <v>87</v>
      </c>
      <c r="V2429" s="16" t="str">
        <f>IFERROR(__xludf.DUMMYFUNCTION("""COMPUTED_VALUE"""),"")</f>
        <v/>
      </c>
      <c r="W2429" s="16" t="str">
        <f>IFERROR(__xludf.DUMMYFUNCTION("""COMPUTED_VALUE"""),"")</f>
        <v/>
      </c>
      <c r="X2429" s="16" t="str">
        <f>IFERROR(__xludf.DUMMYFUNCTION("""COMPUTED_VALUE"""),"")</f>
        <v/>
      </c>
      <c r="AC2429" s="16" t="str">
        <f>IFERROR(__xludf.DUMMYFUNCTION("""COMPUTED_VALUE"""),"")</f>
        <v/>
      </c>
    </row>
    <row r="2430">
      <c r="A2430" s="16" t="s">
        <v>87</v>
      </c>
      <c r="E2430" s="16" t="str">
        <f>IFERROR(__xludf.DUMMYFUNCTION("""COMPUTED_VALUE"""),"")</f>
        <v/>
      </c>
      <c r="G2430" s="18"/>
      <c r="H2430" s="16" t="s">
        <v>87</v>
      </c>
      <c r="I2430" s="16" t="s">
        <v>87</v>
      </c>
      <c r="J2430" s="19"/>
      <c r="L2430" s="16" t="str">
        <f>IFERROR(__xludf.DUMMYFUNCTION("""COMPUTED_VALUE"""),"")</f>
        <v/>
      </c>
      <c r="M2430" s="16" t="str">
        <f>IFERROR(__xludf.DUMMYFUNCTION("""COMPUTED_VALUE"""),"")</f>
        <v/>
      </c>
      <c r="U2430" s="16" t="s">
        <v>87</v>
      </c>
      <c r="V2430" s="16" t="str">
        <f>IFERROR(__xludf.DUMMYFUNCTION("""COMPUTED_VALUE"""),"")</f>
        <v/>
      </c>
      <c r="W2430" s="16" t="str">
        <f>IFERROR(__xludf.DUMMYFUNCTION("""COMPUTED_VALUE"""),"")</f>
        <v/>
      </c>
      <c r="X2430" s="16" t="str">
        <f>IFERROR(__xludf.DUMMYFUNCTION("""COMPUTED_VALUE"""),"")</f>
        <v/>
      </c>
      <c r="AC2430" s="16" t="str">
        <f>IFERROR(__xludf.DUMMYFUNCTION("""COMPUTED_VALUE"""),"")</f>
        <v/>
      </c>
    </row>
    <row r="2431">
      <c r="A2431" s="16" t="s">
        <v>87</v>
      </c>
      <c r="E2431" s="16" t="str">
        <f>IFERROR(__xludf.DUMMYFUNCTION("""COMPUTED_VALUE"""),"")</f>
        <v/>
      </c>
      <c r="G2431" s="18"/>
      <c r="H2431" s="16" t="s">
        <v>87</v>
      </c>
      <c r="I2431" s="16" t="s">
        <v>87</v>
      </c>
      <c r="J2431" s="19"/>
      <c r="L2431" s="16" t="str">
        <f>IFERROR(__xludf.DUMMYFUNCTION("""COMPUTED_VALUE"""),"")</f>
        <v/>
      </c>
      <c r="M2431" s="16" t="str">
        <f>IFERROR(__xludf.DUMMYFUNCTION("""COMPUTED_VALUE"""),"")</f>
        <v/>
      </c>
      <c r="U2431" s="16" t="s">
        <v>87</v>
      </c>
      <c r="V2431" s="16" t="str">
        <f>IFERROR(__xludf.DUMMYFUNCTION("""COMPUTED_VALUE"""),"")</f>
        <v/>
      </c>
      <c r="W2431" s="16" t="str">
        <f>IFERROR(__xludf.DUMMYFUNCTION("""COMPUTED_VALUE"""),"")</f>
        <v/>
      </c>
      <c r="X2431" s="16" t="str">
        <f>IFERROR(__xludf.DUMMYFUNCTION("""COMPUTED_VALUE"""),"")</f>
        <v/>
      </c>
      <c r="AC2431" s="16" t="str">
        <f>IFERROR(__xludf.DUMMYFUNCTION("""COMPUTED_VALUE"""),"")</f>
        <v/>
      </c>
    </row>
    <row r="2432">
      <c r="A2432" s="16" t="s">
        <v>87</v>
      </c>
      <c r="E2432" s="16" t="str">
        <f>IFERROR(__xludf.DUMMYFUNCTION("""COMPUTED_VALUE"""),"")</f>
        <v/>
      </c>
      <c r="G2432" s="18"/>
      <c r="H2432" s="16" t="s">
        <v>87</v>
      </c>
      <c r="I2432" s="16" t="s">
        <v>87</v>
      </c>
      <c r="J2432" s="19"/>
      <c r="L2432" s="16" t="str">
        <f>IFERROR(__xludf.DUMMYFUNCTION("""COMPUTED_VALUE"""),"")</f>
        <v/>
      </c>
      <c r="M2432" s="16" t="str">
        <f>IFERROR(__xludf.DUMMYFUNCTION("""COMPUTED_VALUE"""),"")</f>
        <v/>
      </c>
      <c r="U2432" s="16" t="s">
        <v>87</v>
      </c>
      <c r="V2432" s="16" t="str">
        <f>IFERROR(__xludf.DUMMYFUNCTION("""COMPUTED_VALUE"""),"")</f>
        <v/>
      </c>
      <c r="W2432" s="16" t="str">
        <f>IFERROR(__xludf.DUMMYFUNCTION("""COMPUTED_VALUE"""),"")</f>
        <v/>
      </c>
      <c r="X2432" s="16" t="str">
        <f>IFERROR(__xludf.DUMMYFUNCTION("""COMPUTED_VALUE"""),"")</f>
        <v/>
      </c>
      <c r="AC2432" s="16" t="str">
        <f>IFERROR(__xludf.DUMMYFUNCTION("""COMPUTED_VALUE"""),"")</f>
        <v/>
      </c>
    </row>
    <row r="2433">
      <c r="A2433" s="16" t="s">
        <v>87</v>
      </c>
      <c r="E2433" s="16" t="str">
        <f>IFERROR(__xludf.DUMMYFUNCTION("""COMPUTED_VALUE"""),"")</f>
        <v/>
      </c>
      <c r="G2433" s="18"/>
      <c r="H2433" s="16" t="s">
        <v>87</v>
      </c>
      <c r="I2433" s="16" t="s">
        <v>87</v>
      </c>
      <c r="J2433" s="19"/>
      <c r="L2433" s="16" t="str">
        <f>IFERROR(__xludf.DUMMYFUNCTION("""COMPUTED_VALUE"""),"")</f>
        <v/>
      </c>
      <c r="M2433" s="16" t="str">
        <f>IFERROR(__xludf.DUMMYFUNCTION("""COMPUTED_VALUE"""),"")</f>
        <v/>
      </c>
      <c r="U2433" s="16" t="s">
        <v>87</v>
      </c>
      <c r="V2433" s="16" t="str">
        <f>IFERROR(__xludf.DUMMYFUNCTION("""COMPUTED_VALUE"""),"")</f>
        <v/>
      </c>
      <c r="W2433" s="16" t="str">
        <f>IFERROR(__xludf.DUMMYFUNCTION("""COMPUTED_VALUE"""),"")</f>
        <v/>
      </c>
      <c r="X2433" s="16" t="str">
        <f>IFERROR(__xludf.DUMMYFUNCTION("""COMPUTED_VALUE"""),"")</f>
        <v/>
      </c>
      <c r="AC2433" s="16" t="str">
        <f>IFERROR(__xludf.DUMMYFUNCTION("""COMPUTED_VALUE"""),"")</f>
        <v/>
      </c>
    </row>
    <row r="2434">
      <c r="A2434" s="16" t="s">
        <v>87</v>
      </c>
      <c r="E2434" s="16" t="str">
        <f>IFERROR(__xludf.DUMMYFUNCTION("""COMPUTED_VALUE"""),"")</f>
        <v/>
      </c>
      <c r="G2434" s="18"/>
      <c r="H2434" s="16" t="s">
        <v>87</v>
      </c>
      <c r="I2434" s="16" t="s">
        <v>87</v>
      </c>
      <c r="J2434" s="19"/>
      <c r="L2434" s="16" t="str">
        <f>IFERROR(__xludf.DUMMYFUNCTION("""COMPUTED_VALUE"""),"")</f>
        <v/>
      </c>
      <c r="M2434" s="16" t="str">
        <f>IFERROR(__xludf.DUMMYFUNCTION("""COMPUTED_VALUE"""),"")</f>
        <v/>
      </c>
      <c r="U2434" s="16" t="s">
        <v>87</v>
      </c>
      <c r="V2434" s="16" t="str">
        <f>IFERROR(__xludf.DUMMYFUNCTION("""COMPUTED_VALUE"""),"")</f>
        <v/>
      </c>
      <c r="W2434" s="16" t="str">
        <f>IFERROR(__xludf.DUMMYFUNCTION("""COMPUTED_VALUE"""),"")</f>
        <v/>
      </c>
      <c r="X2434" s="16" t="str">
        <f>IFERROR(__xludf.DUMMYFUNCTION("""COMPUTED_VALUE"""),"")</f>
        <v/>
      </c>
      <c r="AC2434" s="16" t="str">
        <f>IFERROR(__xludf.DUMMYFUNCTION("""COMPUTED_VALUE"""),"")</f>
        <v/>
      </c>
    </row>
    <row r="2435">
      <c r="A2435" s="16" t="s">
        <v>87</v>
      </c>
      <c r="E2435" s="16" t="str">
        <f>IFERROR(__xludf.DUMMYFUNCTION("""COMPUTED_VALUE"""),"")</f>
        <v/>
      </c>
      <c r="G2435" s="18"/>
      <c r="H2435" s="16" t="s">
        <v>87</v>
      </c>
      <c r="I2435" s="16" t="s">
        <v>87</v>
      </c>
      <c r="J2435" s="19"/>
      <c r="L2435" s="16" t="str">
        <f>IFERROR(__xludf.DUMMYFUNCTION("""COMPUTED_VALUE"""),"")</f>
        <v/>
      </c>
      <c r="M2435" s="16" t="str">
        <f>IFERROR(__xludf.DUMMYFUNCTION("""COMPUTED_VALUE"""),"")</f>
        <v/>
      </c>
      <c r="U2435" s="16" t="s">
        <v>87</v>
      </c>
      <c r="V2435" s="16" t="str">
        <f>IFERROR(__xludf.DUMMYFUNCTION("""COMPUTED_VALUE"""),"")</f>
        <v/>
      </c>
      <c r="W2435" s="16" t="str">
        <f>IFERROR(__xludf.DUMMYFUNCTION("""COMPUTED_VALUE"""),"")</f>
        <v/>
      </c>
      <c r="X2435" s="16" t="str">
        <f>IFERROR(__xludf.DUMMYFUNCTION("""COMPUTED_VALUE"""),"")</f>
        <v/>
      </c>
      <c r="AC2435" s="16" t="str">
        <f>IFERROR(__xludf.DUMMYFUNCTION("""COMPUTED_VALUE"""),"")</f>
        <v/>
      </c>
    </row>
    <row r="2436">
      <c r="A2436" s="16" t="s">
        <v>87</v>
      </c>
      <c r="E2436" s="16" t="str">
        <f>IFERROR(__xludf.DUMMYFUNCTION("""COMPUTED_VALUE"""),"")</f>
        <v/>
      </c>
      <c r="G2436" s="18"/>
      <c r="H2436" s="16" t="s">
        <v>87</v>
      </c>
      <c r="I2436" s="16" t="s">
        <v>87</v>
      </c>
      <c r="J2436" s="19"/>
      <c r="L2436" s="16" t="str">
        <f>IFERROR(__xludf.DUMMYFUNCTION("""COMPUTED_VALUE"""),"")</f>
        <v/>
      </c>
      <c r="M2436" s="16" t="str">
        <f>IFERROR(__xludf.DUMMYFUNCTION("""COMPUTED_VALUE"""),"")</f>
        <v/>
      </c>
      <c r="U2436" s="16" t="s">
        <v>87</v>
      </c>
      <c r="V2436" s="16" t="str">
        <f>IFERROR(__xludf.DUMMYFUNCTION("""COMPUTED_VALUE"""),"")</f>
        <v/>
      </c>
      <c r="W2436" s="16" t="str">
        <f>IFERROR(__xludf.DUMMYFUNCTION("""COMPUTED_VALUE"""),"")</f>
        <v/>
      </c>
      <c r="X2436" s="16" t="str">
        <f>IFERROR(__xludf.DUMMYFUNCTION("""COMPUTED_VALUE"""),"")</f>
        <v/>
      </c>
      <c r="AC2436" s="16" t="str">
        <f>IFERROR(__xludf.DUMMYFUNCTION("""COMPUTED_VALUE"""),"")</f>
        <v/>
      </c>
    </row>
    <row r="2437">
      <c r="A2437" s="16" t="s">
        <v>87</v>
      </c>
      <c r="E2437" s="16" t="str">
        <f>IFERROR(__xludf.DUMMYFUNCTION("""COMPUTED_VALUE"""),"")</f>
        <v/>
      </c>
      <c r="G2437" s="18"/>
      <c r="H2437" s="16" t="s">
        <v>87</v>
      </c>
      <c r="I2437" s="16" t="s">
        <v>87</v>
      </c>
      <c r="J2437" s="19"/>
      <c r="L2437" s="16" t="str">
        <f>IFERROR(__xludf.DUMMYFUNCTION("""COMPUTED_VALUE"""),"")</f>
        <v/>
      </c>
      <c r="M2437" s="16" t="str">
        <f>IFERROR(__xludf.DUMMYFUNCTION("""COMPUTED_VALUE"""),"")</f>
        <v/>
      </c>
      <c r="U2437" s="16" t="s">
        <v>87</v>
      </c>
      <c r="V2437" s="16" t="str">
        <f>IFERROR(__xludf.DUMMYFUNCTION("""COMPUTED_VALUE"""),"")</f>
        <v/>
      </c>
      <c r="W2437" s="16" t="str">
        <f>IFERROR(__xludf.DUMMYFUNCTION("""COMPUTED_VALUE"""),"")</f>
        <v/>
      </c>
      <c r="X2437" s="16" t="str">
        <f>IFERROR(__xludf.DUMMYFUNCTION("""COMPUTED_VALUE"""),"")</f>
        <v/>
      </c>
      <c r="AC2437" s="16" t="str">
        <f>IFERROR(__xludf.DUMMYFUNCTION("""COMPUTED_VALUE"""),"")</f>
        <v/>
      </c>
    </row>
    <row r="2438">
      <c r="A2438" s="16" t="s">
        <v>87</v>
      </c>
      <c r="E2438" s="16" t="str">
        <f>IFERROR(__xludf.DUMMYFUNCTION("""COMPUTED_VALUE"""),"")</f>
        <v/>
      </c>
      <c r="G2438" s="18"/>
      <c r="H2438" s="16" t="s">
        <v>87</v>
      </c>
      <c r="I2438" s="16" t="s">
        <v>87</v>
      </c>
      <c r="J2438" s="19"/>
      <c r="L2438" s="16" t="str">
        <f>IFERROR(__xludf.DUMMYFUNCTION("""COMPUTED_VALUE"""),"")</f>
        <v/>
      </c>
      <c r="M2438" s="16" t="str">
        <f>IFERROR(__xludf.DUMMYFUNCTION("""COMPUTED_VALUE"""),"")</f>
        <v/>
      </c>
      <c r="U2438" s="16" t="s">
        <v>87</v>
      </c>
      <c r="V2438" s="16" t="str">
        <f>IFERROR(__xludf.DUMMYFUNCTION("""COMPUTED_VALUE"""),"")</f>
        <v/>
      </c>
      <c r="W2438" s="16" t="str">
        <f>IFERROR(__xludf.DUMMYFUNCTION("""COMPUTED_VALUE"""),"")</f>
        <v/>
      </c>
      <c r="X2438" s="16" t="str">
        <f>IFERROR(__xludf.DUMMYFUNCTION("""COMPUTED_VALUE"""),"")</f>
        <v/>
      </c>
      <c r="AC2438" s="16" t="str">
        <f>IFERROR(__xludf.DUMMYFUNCTION("""COMPUTED_VALUE"""),"")</f>
        <v/>
      </c>
    </row>
    <row r="2439">
      <c r="A2439" s="16" t="s">
        <v>87</v>
      </c>
      <c r="E2439" s="16" t="str">
        <f>IFERROR(__xludf.DUMMYFUNCTION("""COMPUTED_VALUE"""),"")</f>
        <v/>
      </c>
      <c r="G2439" s="18"/>
      <c r="H2439" s="16" t="s">
        <v>87</v>
      </c>
      <c r="I2439" s="16" t="s">
        <v>87</v>
      </c>
      <c r="J2439" s="19"/>
      <c r="L2439" s="16" t="str">
        <f>IFERROR(__xludf.DUMMYFUNCTION("""COMPUTED_VALUE"""),"")</f>
        <v/>
      </c>
      <c r="M2439" s="16" t="str">
        <f>IFERROR(__xludf.DUMMYFUNCTION("""COMPUTED_VALUE"""),"")</f>
        <v/>
      </c>
      <c r="U2439" s="16" t="s">
        <v>87</v>
      </c>
      <c r="V2439" s="16" t="str">
        <f>IFERROR(__xludf.DUMMYFUNCTION("""COMPUTED_VALUE"""),"")</f>
        <v/>
      </c>
      <c r="W2439" s="16" t="str">
        <f>IFERROR(__xludf.DUMMYFUNCTION("""COMPUTED_VALUE"""),"")</f>
        <v/>
      </c>
      <c r="X2439" s="16" t="str">
        <f>IFERROR(__xludf.DUMMYFUNCTION("""COMPUTED_VALUE"""),"")</f>
        <v/>
      </c>
      <c r="AC2439" s="16" t="str">
        <f>IFERROR(__xludf.DUMMYFUNCTION("""COMPUTED_VALUE"""),"")</f>
        <v/>
      </c>
    </row>
    <row r="2440">
      <c r="A2440" s="16" t="s">
        <v>87</v>
      </c>
      <c r="E2440" s="16" t="str">
        <f>IFERROR(__xludf.DUMMYFUNCTION("""COMPUTED_VALUE"""),"")</f>
        <v/>
      </c>
      <c r="G2440" s="18"/>
      <c r="H2440" s="16" t="s">
        <v>87</v>
      </c>
      <c r="I2440" s="16" t="s">
        <v>87</v>
      </c>
      <c r="J2440" s="19"/>
      <c r="L2440" s="16" t="str">
        <f>IFERROR(__xludf.DUMMYFUNCTION("""COMPUTED_VALUE"""),"")</f>
        <v/>
      </c>
      <c r="M2440" s="16" t="str">
        <f>IFERROR(__xludf.DUMMYFUNCTION("""COMPUTED_VALUE"""),"")</f>
        <v/>
      </c>
      <c r="U2440" s="16" t="s">
        <v>87</v>
      </c>
      <c r="V2440" s="16" t="str">
        <f>IFERROR(__xludf.DUMMYFUNCTION("""COMPUTED_VALUE"""),"")</f>
        <v/>
      </c>
      <c r="W2440" s="16" t="str">
        <f>IFERROR(__xludf.DUMMYFUNCTION("""COMPUTED_VALUE"""),"")</f>
        <v/>
      </c>
      <c r="X2440" s="16" t="str">
        <f>IFERROR(__xludf.DUMMYFUNCTION("""COMPUTED_VALUE"""),"")</f>
        <v/>
      </c>
      <c r="AC2440" s="16" t="str">
        <f>IFERROR(__xludf.DUMMYFUNCTION("""COMPUTED_VALUE"""),"")</f>
        <v/>
      </c>
    </row>
    <row r="2441">
      <c r="A2441" s="16" t="s">
        <v>87</v>
      </c>
      <c r="E2441" s="16" t="str">
        <f>IFERROR(__xludf.DUMMYFUNCTION("""COMPUTED_VALUE"""),"")</f>
        <v/>
      </c>
      <c r="G2441" s="18"/>
      <c r="H2441" s="16" t="s">
        <v>87</v>
      </c>
      <c r="I2441" s="16" t="s">
        <v>87</v>
      </c>
      <c r="J2441" s="19"/>
      <c r="L2441" s="16" t="str">
        <f>IFERROR(__xludf.DUMMYFUNCTION("""COMPUTED_VALUE"""),"")</f>
        <v/>
      </c>
      <c r="M2441" s="16" t="str">
        <f>IFERROR(__xludf.DUMMYFUNCTION("""COMPUTED_VALUE"""),"")</f>
        <v/>
      </c>
      <c r="U2441" s="16" t="s">
        <v>87</v>
      </c>
      <c r="V2441" s="16" t="str">
        <f>IFERROR(__xludf.DUMMYFUNCTION("""COMPUTED_VALUE"""),"")</f>
        <v/>
      </c>
      <c r="W2441" s="16" t="str">
        <f>IFERROR(__xludf.DUMMYFUNCTION("""COMPUTED_VALUE"""),"")</f>
        <v/>
      </c>
      <c r="X2441" s="16" t="str">
        <f>IFERROR(__xludf.DUMMYFUNCTION("""COMPUTED_VALUE"""),"")</f>
        <v/>
      </c>
      <c r="AC2441" s="16" t="str">
        <f>IFERROR(__xludf.DUMMYFUNCTION("""COMPUTED_VALUE"""),"")</f>
        <v/>
      </c>
    </row>
    <row r="2442">
      <c r="A2442" s="16" t="s">
        <v>87</v>
      </c>
      <c r="E2442" s="16" t="str">
        <f>IFERROR(__xludf.DUMMYFUNCTION("""COMPUTED_VALUE"""),"")</f>
        <v/>
      </c>
      <c r="G2442" s="18"/>
      <c r="H2442" s="16" t="s">
        <v>87</v>
      </c>
      <c r="I2442" s="16" t="s">
        <v>87</v>
      </c>
      <c r="J2442" s="19"/>
      <c r="L2442" s="16" t="str">
        <f>IFERROR(__xludf.DUMMYFUNCTION("""COMPUTED_VALUE"""),"")</f>
        <v/>
      </c>
      <c r="M2442" s="16" t="str">
        <f>IFERROR(__xludf.DUMMYFUNCTION("""COMPUTED_VALUE"""),"")</f>
        <v/>
      </c>
      <c r="U2442" s="16" t="s">
        <v>87</v>
      </c>
      <c r="V2442" s="16" t="str">
        <f>IFERROR(__xludf.DUMMYFUNCTION("""COMPUTED_VALUE"""),"")</f>
        <v/>
      </c>
      <c r="W2442" s="16" t="str">
        <f>IFERROR(__xludf.DUMMYFUNCTION("""COMPUTED_VALUE"""),"")</f>
        <v/>
      </c>
      <c r="X2442" s="16" t="str">
        <f>IFERROR(__xludf.DUMMYFUNCTION("""COMPUTED_VALUE"""),"")</f>
        <v/>
      </c>
      <c r="AC2442" s="16" t="str">
        <f>IFERROR(__xludf.DUMMYFUNCTION("""COMPUTED_VALUE"""),"")</f>
        <v/>
      </c>
    </row>
    <row r="2443">
      <c r="A2443" s="16" t="s">
        <v>87</v>
      </c>
      <c r="E2443" s="16" t="str">
        <f>IFERROR(__xludf.DUMMYFUNCTION("""COMPUTED_VALUE"""),"")</f>
        <v/>
      </c>
      <c r="G2443" s="18"/>
      <c r="H2443" s="16" t="s">
        <v>87</v>
      </c>
      <c r="I2443" s="16" t="s">
        <v>87</v>
      </c>
      <c r="J2443" s="19"/>
      <c r="L2443" s="16" t="str">
        <f>IFERROR(__xludf.DUMMYFUNCTION("""COMPUTED_VALUE"""),"")</f>
        <v/>
      </c>
      <c r="M2443" s="16" t="str">
        <f>IFERROR(__xludf.DUMMYFUNCTION("""COMPUTED_VALUE"""),"")</f>
        <v/>
      </c>
      <c r="U2443" s="16" t="s">
        <v>87</v>
      </c>
      <c r="V2443" s="16" t="str">
        <f>IFERROR(__xludf.DUMMYFUNCTION("""COMPUTED_VALUE"""),"")</f>
        <v/>
      </c>
      <c r="W2443" s="16" t="str">
        <f>IFERROR(__xludf.DUMMYFUNCTION("""COMPUTED_VALUE"""),"")</f>
        <v/>
      </c>
      <c r="X2443" s="16" t="str">
        <f>IFERROR(__xludf.DUMMYFUNCTION("""COMPUTED_VALUE"""),"")</f>
        <v/>
      </c>
      <c r="AC2443" s="16" t="str">
        <f>IFERROR(__xludf.DUMMYFUNCTION("""COMPUTED_VALUE"""),"")</f>
        <v/>
      </c>
    </row>
    <row r="2444">
      <c r="A2444" s="16" t="s">
        <v>87</v>
      </c>
      <c r="E2444" s="16" t="str">
        <f>IFERROR(__xludf.DUMMYFUNCTION("""COMPUTED_VALUE"""),"")</f>
        <v/>
      </c>
      <c r="G2444" s="18"/>
      <c r="H2444" s="16" t="s">
        <v>87</v>
      </c>
      <c r="I2444" s="16" t="s">
        <v>87</v>
      </c>
      <c r="J2444" s="19"/>
      <c r="L2444" s="16" t="str">
        <f>IFERROR(__xludf.DUMMYFUNCTION("""COMPUTED_VALUE"""),"")</f>
        <v/>
      </c>
      <c r="M2444" s="16" t="str">
        <f>IFERROR(__xludf.DUMMYFUNCTION("""COMPUTED_VALUE"""),"")</f>
        <v/>
      </c>
      <c r="U2444" s="16" t="s">
        <v>87</v>
      </c>
      <c r="V2444" s="16" t="str">
        <f>IFERROR(__xludf.DUMMYFUNCTION("""COMPUTED_VALUE"""),"")</f>
        <v/>
      </c>
      <c r="W2444" s="16" t="str">
        <f>IFERROR(__xludf.DUMMYFUNCTION("""COMPUTED_VALUE"""),"")</f>
        <v/>
      </c>
      <c r="X2444" s="16" t="str">
        <f>IFERROR(__xludf.DUMMYFUNCTION("""COMPUTED_VALUE"""),"")</f>
        <v/>
      </c>
      <c r="AC2444" s="16" t="str">
        <f>IFERROR(__xludf.DUMMYFUNCTION("""COMPUTED_VALUE"""),"")</f>
        <v/>
      </c>
    </row>
    <row r="2445">
      <c r="A2445" s="16" t="s">
        <v>87</v>
      </c>
      <c r="E2445" s="16" t="str">
        <f>IFERROR(__xludf.DUMMYFUNCTION("""COMPUTED_VALUE"""),"")</f>
        <v/>
      </c>
      <c r="G2445" s="18"/>
      <c r="H2445" s="16" t="s">
        <v>87</v>
      </c>
      <c r="I2445" s="16" t="s">
        <v>87</v>
      </c>
      <c r="J2445" s="19"/>
      <c r="L2445" s="16" t="str">
        <f>IFERROR(__xludf.DUMMYFUNCTION("""COMPUTED_VALUE"""),"")</f>
        <v/>
      </c>
      <c r="M2445" s="16" t="str">
        <f>IFERROR(__xludf.DUMMYFUNCTION("""COMPUTED_VALUE"""),"")</f>
        <v/>
      </c>
      <c r="U2445" s="16" t="s">
        <v>87</v>
      </c>
      <c r="V2445" s="16" t="str">
        <f>IFERROR(__xludf.DUMMYFUNCTION("""COMPUTED_VALUE"""),"")</f>
        <v/>
      </c>
      <c r="W2445" s="16" t="str">
        <f>IFERROR(__xludf.DUMMYFUNCTION("""COMPUTED_VALUE"""),"")</f>
        <v/>
      </c>
      <c r="X2445" s="16" t="str">
        <f>IFERROR(__xludf.DUMMYFUNCTION("""COMPUTED_VALUE"""),"")</f>
        <v/>
      </c>
      <c r="AC2445" s="16" t="str">
        <f>IFERROR(__xludf.DUMMYFUNCTION("""COMPUTED_VALUE"""),"")</f>
        <v/>
      </c>
    </row>
    <row r="2446">
      <c r="A2446" s="16" t="s">
        <v>87</v>
      </c>
      <c r="E2446" s="16" t="str">
        <f>IFERROR(__xludf.DUMMYFUNCTION("""COMPUTED_VALUE"""),"")</f>
        <v/>
      </c>
      <c r="G2446" s="18"/>
      <c r="H2446" s="16" t="s">
        <v>87</v>
      </c>
      <c r="I2446" s="16" t="s">
        <v>87</v>
      </c>
      <c r="J2446" s="19"/>
      <c r="L2446" s="16" t="str">
        <f>IFERROR(__xludf.DUMMYFUNCTION("""COMPUTED_VALUE"""),"")</f>
        <v/>
      </c>
      <c r="M2446" s="16" t="str">
        <f>IFERROR(__xludf.DUMMYFUNCTION("""COMPUTED_VALUE"""),"")</f>
        <v/>
      </c>
      <c r="U2446" s="16" t="s">
        <v>87</v>
      </c>
      <c r="V2446" s="16" t="str">
        <f>IFERROR(__xludf.DUMMYFUNCTION("""COMPUTED_VALUE"""),"")</f>
        <v/>
      </c>
      <c r="W2446" s="16" t="str">
        <f>IFERROR(__xludf.DUMMYFUNCTION("""COMPUTED_VALUE"""),"")</f>
        <v/>
      </c>
      <c r="X2446" s="16" t="str">
        <f>IFERROR(__xludf.DUMMYFUNCTION("""COMPUTED_VALUE"""),"")</f>
        <v/>
      </c>
      <c r="AC2446" s="16" t="str">
        <f>IFERROR(__xludf.DUMMYFUNCTION("""COMPUTED_VALUE"""),"")</f>
        <v/>
      </c>
    </row>
    <row r="2447">
      <c r="A2447" s="16" t="s">
        <v>87</v>
      </c>
      <c r="E2447" s="16" t="str">
        <f>IFERROR(__xludf.DUMMYFUNCTION("""COMPUTED_VALUE"""),"")</f>
        <v/>
      </c>
      <c r="G2447" s="18"/>
      <c r="H2447" s="16" t="s">
        <v>87</v>
      </c>
      <c r="I2447" s="16" t="s">
        <v>87</v>
      </c>
      <c r="J2447" s="19"/>
      <c r="L2447" s="16" t="str">
        <f>IFERROR(__xludf.DUMMYFUNCTION("""COMPUTED_VALUE"""),"")</f>
        <v/>
      </c>
      <c r="M2447" s="16" t="str">
        <f>IFERROR(__xludf.DUMMYFUNCTION("""COMPUTED_VALUE"""),"")</f>
        <v/>
      </c>
      <c r="U2447" s="16" t="s">
        <v>87</v>
      </c>
      <c r="V2447" s="16" t="str">
        <f>IFERROR(__xludf.DUMMYFUNCTION("""COMPUTED_VALUE"""),"")</f>
        <v/>
      </c>
      <c r="W2447" s="16" t="str">
        <f>IFERROR(__xludf.DUMMYFUNCTION("""COMPUTED_VALUE"""),"")</f>
        <v/>
      </c>
      <c r="X2447" s="16" t="str">
        <f>IFERROR(__xludf.DUMMYFUNCTION("""COMPUTED_VALUE"""),"")</f>
        <v/>
      </c>
      <c r="AC2447" s="16" t="str">
        <f>IFERROR(__xludf.DUMMYFUNCTION("""COMPUTED_VALUE"""),"")</f>
        <v/>
      </c>
    </row>
    <row r="2448">
      <c r="A2448" s="16" t="s">
        <v>87</v>
      </c>
      <c r="E2448" s="16" t="str">
        <f>IFERROR(__xludf.DUMMYFUNCTION("""COMPUTED_VALUE"""),"")</f>
        <v/>
      </c>
      <c r="G2448" s="18"/>
      <c r="H2448" s="16" t="s">
        <v>87</v>
      </c>
      <c r="I2448" s="16" t="s">
        <v>87</v>
      </c>
      <c r="J2448" s="19"/>
      <c r="L2448" s="16" t="str">
        <f>IFERROR(__xludf.DUMMYFUNCTION("""COMPUTED_VALUE"""),"")</f>
        <v/>
      </c>
      <c r="M2448" s="16" t="str">
        <f>IFERROR(__xludf.DUMMYFUNCTION("""COMPUTED_VALUE"""),"")</f>
        <v/>
      </c>
      <c r="U2448" s="16" t="s">
        <v>87</v>
      </c>
      <c r="V2448" s="16" t="str">
        <f>IFERROR(__xludf.DUMMYFUNCTION("""COMPUTED_VALUE"""),"")</f>
        <v/>
      </c>
      <c r="W2448" s="16" t="str">
        <f>IFERROR(__xludf.DUMMYFUNCTION("""COMPUTED_VALUE"""),"")</f>
        <v/>
      </c>
      <c r="X2448" s="16" t="str">
        <f>IFERROR(__xludf.DUMMYFUNCTION("""COMPUTED_VALUE"""),"")</f>
        <v/>
      </c>
      <c r="AC2448" s="16" t="str">
        <f>IFERROR(__xludf.DUMMYFUNCTION("""COMPUTED_VALUE"""),"")</f>
        <v/>
      </c>
    </row>
    <row r="2449">
      <c r="A2449" s="16" t="s">
        <v>87</v>
      </c>
      <c r="E2449" s="16" t="str">
        <f>IFERROR(__xludf.DUMMYFUNCTION("""COMPUTED_VALUE"""),"")</f>
        <v/>
      </c>
      <c r="G2449" s="18"/>
      <c r="H2449" s="16" t="s">
        <v>87</v>
      </c>
      <c r="I2449" s="16" t="s">
        <v>87</v>
      </c>
      <c r="J2449" s="19"/>
      <c r="L2449" s="16" t="str">
        <f>IFERROR(__xludf.DUMMYFUNCTION("""COMPUTED_VALUE"""),"")</f>
        <v/>
      </c>
      <c r="M2449" s="16" t="str">
        <f>IFERROR(__xludf.DUMMYFUNCTION("""COMPUTED_VALUE"""),"")</f>
        <v/>
      </c>
      <c r="U2449" s="16" t="s">
        <v>87</v>
      </c>
      <c r="V2449" s="16" t="str">
        <f>IFERROR(__xludf.DUMMYFUNCTION("""COMPUTED_VALUE"""),"")</f>
        <v/>
      </c>
      <c r="W2449" s="16" t="str">
        <f>IFERROR(__xludf.DUMMYFUNCTION("""COMPUTED_VALUE"""),"")</f>
        <v/>
      </c>
      <c r="X2449" s="16" t="str">
        <f>IFERROR(__xludf.DUMMYFUNCTION("""COMPUTED_VALUE"""),"")</f>
        <v/>
      </c>
      <c r="AC2449" s="16" t="str">
        <f>IFERROR(__xludf.DUMMYFUNCTION("""COMPUTED_VALUE"""),"")</f>
        <v/>
      </c>
    </row>
    <row r="2450">
      <c r="A2450" s="16" t="s">
        <v>87</v>
      </c>
      <c r="E2450" s="16" t="str">
        <f>IFERROR(__xludf.DUMMYFUNCTION("""COMPUTED_VALUE"""),"")</f>
        <v/>
      </c>
      <c r="G2450" s="18"/>
      <c r="H2450" s="16" t="s">
        <v>87</v>
      </c>
      <c r="I2450" s="16" t="s">
        <v>87</v>
      </c>
      <c r="J2450" s="19"/>
      <c r="L2450" s="16" t="str">
        <f>IFERROR(__xludf.DUMMYFUNCTION("""COMPUTED_VALUE"""),"")</f>
        <v/>
      </c>
      <c r="M2450" s="16" t="str">
        <f>IFERROR(__xludf.DUMMYFUNCTION("""COMPUTED_VALUE"""),"")</f>
        <v/>
      </c>
      <c r="U2450" s="16" t="s">
        <v>87</v>
      </c>
      <c r="V2450" s="16" t="str">
        <f>IFERROR(__xludf.DUMMYFUNCTION("""COMPUTED_VALUE"""),"")</f>
        <v/>
      </c>
      <c r="W2450" s="16" t="str">
        <f>IFERROR(__xludf.DUMMYFUNCTION("""COMPUTED_VALUE"""),"")</f>
        <v/>
      </c>
      <c r="X2450" s="16" t="str">
        <f>IFERROR(__xludf.DUMMYFUNCTION("""COMPUTED_VALUE"""),"")</f>
        <v/>
      </c>
      <c r="AC2450" s="16" t="str">
        <f>IFERROR(__xludf.DUMMYFUNCTION("""COMPUTED_VALUE"""),"")</f>
        <v/>
      </c>
    </row>
    <row r="2451">
      <c r="A2451" s="16" t="s">
        <v>87</v>
      </c>
      <c r="E2451" s="16" t="str">
        <f>IFERROR(__xludf.DUMMYFUNCTION("""COMPUTED_VALUE"""),"")</f>
        <v/>
      </c>
      <c r="G2451" s="18"/>
      <c r="H2451" s="16" t="s">
        <v>87</v>
      </c>
      <c r="I2451" s="16" t="s">
        <v>87</v>
      </c>
      <c r="J2451" s="19"/>
      <c r="L2451" s="16" t="str">
        <f>IFERROR(__xludf.DUMMYFUNCTION("""COMPUTED_VALUE"""),"")</f>
        <v/>
      </c>
      <c r="M2451" s="16" t="str">
        <f>IFERROR(__xludf.DUMMYFUNCTION("""COMPUTED_VALUE"""),"")</f>
        <v/>
      </c>
      <c r="U2451" s="16" t="s">
        <v>87</v>
      </c>
      <c r="V2451" s="16" t="str">
        <f>IFERROR(__xludf.DUMMYFUNCTION("""COMPUTED_VALUE"""),"")</f>
        <v/>
      </c>
      <c r="W2451" s="16" t="str">
        <f>IFERROR(__xludf.DUMMYFUNCTION("""COMPUTED_VALUE"""),"")</f>
        <v/>
      </c>
      <c r="X2451" s="16" t="str">
        <f>IFERROR(__xludf.DUMMYFUNCTION("""COMPUTED_VALUE"""),"")</f>
        <v/>
      </c>
      <c r="AC2451" s="16" t="str">
        <f>IFERROR(__xludf.DUMMYFUNCTION("""COMPUTED_VALUE"""),"")</f>
        <v/>
      </c>
    </row>
    <row r="2452">
      <c r="A2452" s="16" t="s">
        <v>87</v>
      </c>
      <c r="E2452" s="16" t="str">
        <f>IFERROR(__xludf.DUMMYFUNCTION("""COMPUTED_VALUE"""),"")</f>
        <v/>
      </c>
      <c r="G2452" s="18"/>
      <c r="H2452" s="16" t="s">
        <v>87</v>
      </c>
      <c r="I2452" s="16" t="s">
        <v>87</v>
      </c>
      <c r="J2452" s="19"/>
      <c r="L2452" s="16" t="str">
        <f>IFERROR(__xludf.DUMMYFUNCTION("""COMPUTED_VALUE"""),"")</f>
        <v/>
      </c>
      <c r="M2452" s="16" t="str">
        <f>IFERROR(__xludf.DUMMYFUNCTION("""COMPUTED_VALUE"""),"")</f>
        <v/>
      </c>
      <c r="U2452" s="16" t="s">
        <v>87</v>
      </c>
      <c r="V2452" s="16" t="str">
        <f>IFERROR(__xludf.DUMMYFUNCTION("""COMPUTED_VALUE"""),"")</f>
        <v/>
      </c>
      <c r="W2452" s="16" t="str">
        <f>IFERROR(__xludf.DUMMYFUNCTION("""COMPUTED_VALUE"""),"")</f>
        <v/>
      </c>
      <c r="X2452" s="16" t="str">
        <f>IFERROR(__xludf.DUMMYFUNCTION("""COMPUTED_VALUE"""),"")</f>
        <v/>
      </c>
      <c r="AC2452" s="16" t="str">
        <f>IFERROR(__xludf.DUMMYFUNCTION("""COMPUTED_VALUE"""),"")</f>
        <v/>
      </c>
    </row>
    <row r="2453">
      <c r="A2453" s="16" t="s">
        <v>87</v>
      </c>
      <c r="E2453" s="16" t="str">
        <f>IFERROR(__xludf.DUMMYFUNCTION("""COMPUTED_VALUE"""),"")</f>
        <v/>
      </c>
      <c r="G2453" s="18"/>
      <c r="H2453" s="16" t="s">
        <v>87</v>
      </c>
      <c r="I2453" s="16" t="s">
        <v>87</v>
      </c>
      <c r="J2453" s="19"/>
      <c r="L2453" s="16" t="str">
        <f>IFERROR(__xludf.DUMMYFUNCTION("""COMPUTED_VALUE"""),"")</f>
        <v/>
      </c>
      <c r="M2453" s="16" t="str">
        <f>IFERROR(__xludf.DUMMYFUNCTION("""COMPUTED_VALUE"""),"")</f>
        <v/>
      </c>
      <c r="U2453" s="16" t="s">
        <v>87</v>
      </c>
      <c r="V2453" s="16" t="str">
        <f>IFERROR(__xludf.DUMMYFUNCTION("""COMPUTED_VALUE"""),"")</f>
        <v/>
      </c>
      <c r="W2453" s="16" t="str">
        <f>IFERROR(__xludf.DUMMYFUNCTION("""COMPUTED_VALUE"""),"")</f>
        <v/>
      </c>
      <c r="X2453" s="16" t="str">
        <f>IFERROR(__xludf.DUMMYFUNCTION("""COMPUTED_VALUE"""),"")</f>
        <v/>
      </c>
      <c r="AC2453" s="16" t="str">
        <f>IFERROR(__xludf.DUMMYFUNCTION("""COMPUTED_VALUE"""),"")</f>
        <v/>
      </c>
    </row>
    <row r="2454">
      <c r="A2454" s="16" t="s">
        <v>87</v>
      </c>
      <c r="E2454" s="16" t="str">
        <f>IFERROR(__xludf.DUMMYFUNCTION("""COMPUTED_VALUE"""),"")</f>
        <v/>
      </c>
      <c r="G2454" s="18"/>
      <c r="H2454" s="16" t="s">
        <v>87</v>
      </c>
      <c r="I2454" s="16" t="s">
        <v>87</v>
      </c>
      <c r="J2454" s="19"/>
      <c r="L2454" s="16" t="str">
        <f>IFERROR(__xludf.DUMMYFUNCTION("""COMPUTED_VALUE"""),"")</f>
        <v/>
      </c>
      <c r="M2454" s="16" t="str">
        <f>IFERROR(__xludf.DUMMYFUNCTION("""COMPUTED_VALUE"""),"")</f>
        <v/>
      </c>
      <c r="U2454" s="16" t="s">
        <v>87</v>
      </c>
      <c r="V2454" s="16" t="str">
        <f>IFERROR(__xludf.DUMMYFUNCTION("""COMPUTED_VALUE"""),"")</f>
        <v/>
      </c>
      <c r="W2454" s="16" t="str">
        <f>IFERROR(__xludf.DUMMYFUNCTION("""COMPUTED_VALUE"""),"")</f>
        <v/>
      </c>
      <c r="X2454" s="16" t="str">
        <f>IFERROR(__xludf.DUMMYFUNCTION("""COMPUTED_VALUE"""),"")</f>
        <v/>
      </c>
      <c r="AC2454" s="16" t="str">
        <f>IFERROR(__xludf.DUMMYFUNCTION("""COMPUTED_VALUE"""),"")</f>
        <v/>
      </c>
    </row>
    <row r="2455">
      <c r="A2455" s="16" t="s">
        <v>87</v>
      </c>
      <c r="E2455" s="16" t="str">
        <f>IFERROR(__xludf.DUMMYFUNCTION("""COMPUTED_VALUE"""),"")</f>
        <v/>
      </c>
      <c r="G2455" s="18"/>
      <c r="H2455" s="16" t="s">
        <v>87</v>
      </c>
      <c r="I2455" s="16" t="s">
        <v>87</v>
      </c>
      <c r="J2455" s="19"/>
      <c r="L2455" s="16" t="str">
        <f>IFERROR(__xludf.DUMMYFUNCTION("""COMPUTED_VALUE"""),"")</f>
        <v/>
      </c>
      <c r="M2455" s="16" t="str">
        <f>IFERROR(__xludf.DUMMYFUNCTION("""COMPUTED_VALUE"""),"")</f>
        <v/>
      </c>
      <c r="U2455" s="16" t="s">
        <v>87</v>
      </c>
      <c r="V2455" s="16" t="str">
        <f>IFERROR(__xludf.DUMMYFUNCTION("""COMPUTED_VALUE"""),"")</f>
        <v/>
      </c>
      <c r="W2455" s="16" t="str">
        <f>IFERROR(__xludf.DUMMYFUNCTION("""COMPUTED_VALUE"""),"")</f>
        <v/>
      </c>
      <c r="X2455" s="16" t="str">
        <f>IFERROR(__xludf.DUMMYFUNCTION("""COMPUTED_VALUE"""),"")</f>
        <v/>
      </c>
      <c r="AC2455" s="16" t="str">
        <f>IFERROR(__xludf.DUMMYFUNCTION("""COMPUTED_VALUE"""),"")</f>
        <v/>
      </c>
    </row>
    <row r="2456">
      <c r="A2456" s="16" t="s">
        <v>87</v>
      </c>
      <c r="E2456" s="16" t="str">
        <f>IFERROR(__xludf.DUMMYFUNCTION("""COMPUTED_VALUE"""),"")</f>
        <v/>
      </c>
      <c r="G2456" s="18"/>
      <c r="H2456" s="16" t="s">
        <v>87</v>
      </c>
      <c r="I2456" s="16" t="s">
        <v>87</v>
      </c>
      <c r="J2456" s="19"/>
      <c r="L2456" s="16" t="str">
        <f>IFERROR(__xludf.DUMMYFUNCTION("""COMPUTED_VALUE"""),"")</f>
        <v/>
      </c>
      <c r="M2456" s="16" t="str">
        <f>IFERROR(__xludf.DUMMYFUNCTION("""COMPUTED_VALUE"""),"")</f>
        <v/>
      </c>
      <c r="U2456" s="16" t="s">
        <v>87</v>
      </c>
      <c r="V2456" s="16" t="str">
        <f>IFERROR(__xludf.DUMMYFUNCTION("""COMPUTED_VALUE"""),"")</f>
        <v/>
      </c>
      <c r="W2456" s="16" t="str">
        <f>IFERROR(__xludf.DUMMYFUNCTION("""COMPUTED_VALUE"""),"")</f>
        <v/>
      </c>
      <c r="X2456" s="16" t="str">
        <f>IFERROR(__xludf.DUMMYFUNCTION("""COMPUTED_VALUE"""),"")</f>
        <v/>
      </c>
      <c r="AC2456" s="16" t="str">
        <f>IFERROR(__xludf.DUMMYFUNCTION("""COMPUTED_VALUE"""),"")</f>
        <v/>
      </c>
    </row>
    <row r="2457">
      <c r="A2457" s="16" t="s">
        <v>87</v>
      </c>
      <c r="E2457" s="16" t="str">
        <f>IFERROR(__xludf.DUMMYFUNCTION("""COMPUTED_VALUE"""),"")</f>
        <v/>
      </c>
      <c r="G2457" s="18"/>
      <c r="H2457" s="16" t="s">
        <v>87</v>
      </c>
      <c r="I2457" s="16" t="s">
        <v>87</v>
      </c>
      <c r="J2457" s="19"/>
      <c r="L2457" s="16" t="str">
        <f>IFERROR(__xludf.DUMMYFUNCTION("""COMPUTED_VALUE"""),"")</f>
        <v/>
      </c>
      <c r="M2457" s="16" t="str">
        <f>IFERROR(__xludf.DUMMYFUNCTION("""COMPUTED_VALUE"""),"")</f>
        <v/>
      </c>
      <c r="U2457" s="16" t="s">
        <v>87</v>
      </c>
      <c r="V2457" s="16" t="str">
        <f>IFERROR(__xludf.DUMMYFUNCTION("""COMPUTED_VALUE"""),"")</f>
        <v/>
      </c>
      <c r="W2457" s="16" t="str">
        <f>IFERROR(__xludf.DUMMYFUNCTION("""COMPUTED_VALUE"""),"")</f>
        <v/>
      </c>
      <c r="X2457" s="16" t="str">
        <f>IFERROR(__xludf.DUMMYFUNCTION("""COMPUTED_VALUE"""),"")</f>
        <v/>
      </c>
      <c r="AC2457" s="16" t="str">
        <f>IFERROR(__xludf.DUMMYFUNCTION("""COMPUTED_VALUE"""),"")</f>
        <v/>
      </c>
    </row>
    <row r="2458">
      <c r="A2458" s="16" t="s">
        <v>87</v>
      </c>
      <c r="E2458" s="16" t="str">
        <f>IFERROR(__xludf.DUMMYFUNCTION("""COMPUTED_VALUE"""),"")</f>
        <v/>
      </c>
      <c r="G2458" s="18"/>
      <c r="H2458" s="16" t="s">
        <v>87</v>
      </c>
      <c r="I2458" s="16" t="s">
        <v>87</v>
      </c>
      <c r="J2458" s="19"/>
      <c r="L2458" s="16" t="str">
        <f>IFERROR(__xludf.DUMMYFUNCTION("""COMPUTED_VALUE"""),"")</f>
        <v/>
      </c>
      <c r="M2458" s="16" t="str">
        <f>IFERROR(__xludf.DUMMYFUNCTION("""COMPUTED_VALUE"""),"")</f>
        <v/>
      </c>
      <c r="U2458" s="16" t="s">
        <v>87</v>
      </c>
      <c r="V2458" s="16" t="str">
        <f>IFERROR(__xludf.DUMMYFUNCTION("""COMPUTED_VALUE"""),"")</f>
        <v/>
      </c>
      <c r="W2458" s="16" t="str">
        <f>IFERROR(__xludf.DUMMYFUNCTION("""COMPUTED_VALUE"""),"")</f>
        <v/>
      </c>
      <c r="X2458" s="16" t="str">
        <f>IFERROR(__xludf.DUMMYFUNCTION("""COMPUTED_VALUE"""),"")</f>
        <v/>
      </c>
      <c r="AC2458" s="16" t="str">
        <f>IFERROR(__xludf.DUMMYFUNCTION("""COMPUTED_VALUE"""),"")</f>
        <v/>
      </c>
    </row>
    <row r="2459">
      <c r="A2459" s="16" t="s">
        <v>87</v>
      </c>
      <c r="E2459" s="16" t="str">
        <f>IFERROR(__xludf.DUMMYFUNCTION("""COMPUTED_VALUE"""),"")</f>
        <v/>
      </c>
      <c r="G2459" s="18"/>
      <c r="H2459" s="16" t="s">
        <v>87</v>
      </c>
      <c r="I2459" s="16" t="s">
        <v>87</v>
      </c>
      <c r="J2459" s="19"/>
      <c r="L2459" s="16" t="str">
        <f>IFERROR(__xludf.DUMMYFUNCTION("""COMPUTED_VALUE"""),"")</f>
        <v/>
      </c>
      <c r="M2459" s="16" t="str">
        <f>IFERROR(__xludf.DUMMYFUNCTION("""COMPUTED_VALUE"""),"")</f>
        <v/>
      </c>
      <c r="U2459" s="16" t="s">
        <v>87</v>
      </c>
      <c r="V2459" s="16" t="str">
        <f>IFERROR(__xludf.DUMMYFUNCTION("""COMPUTED_VALUE"""),"")</f>
        <v/>
      </c>
      <c r="W2459" s="16" t="str">
        <f>IFERROR(__xludf.DUMMYFUNCTION("""COMPUTED_VALUE"""),"")</f>
        <v/>
      </c>
      <c r="X2459" s="16" t="str">
        <f>IFERROR(__xludf.DUMMYFUNCTION("""COMPUTED_VALUE"""),"")</f>
        <v/>
      </c>
      <c r="AC2459" s="16" t="str">
        <f>IFERROR(__xludf.DUMMYFUNCTION("""COMPUTED_VALUE"""),"")</f>
        <v/>
      </c>
    </row>
    <row r="2460">
      <c r="A2460" s="16" t="s">
        <v>87</v>
      </c>
      <c r="E2460" s="16" t="str">
        <f>IFERROR(__xludf.DUMMYFUNCTION("""COMPUTED_VALUE"""),"")</f>
        <v/>
      </c>
      <c r="G2460" s="18"/>
      <c r="H2460" s="16" t="s">
        <v>87</v>
      </c>
      <c r="I2460" s="16" t="s">
        <v>87</v>
      </c>
      <c r="J2460" s="19"/>
      <c r="L2460" s="16" t="str">
        <f>IFERROR(__xludf.DUMMYFUNCTION("""COMPUTED_VALUE"""),"")</f>
        <v/>
      </c>
      <c r="M2460" s="16" t="str">
        <f>IFERROR(__xludf.DUMMYFUNCTION("""COMPUTED_VALUE"""),"")</f>
        <v/>
      </c>
      <c r="U2460" s="16" t="s">
        <v>87</v>
      </c>
      <c r="V2460" s="16" t="str">
        <f>IFERROR(__xludf.DUMMYFUNCTION("""COMPUTED_VALUE"""),"")</f>
        <v/>
      </c>
      <c r="W2460" s="16" t="str">
        <f>IFERROR(__xludf.DUMMYFUNCTION("""COMPUTED_VALUE"""),"")</f>
        <v/>
      </c>
      <c r="X2460" s="16" t="str">
        <f>IFERROR(__xludf.DUMMYFUNCTION("""COMPUTED_VALUE"""),"")</f>
        <v/>
      </c>
      <c r="AC2460" s="16" t="str">
        <f>IFERROR(__xludf.DUMMYFUNCTION("""COMPUTED_VALUE"""),"")</f>
        <v/>
      </c>
    </row>
    <row r="2461">
      <c r="A2461" s="16" t="s">
        <v>87</v>
      </c>
      <c r="E2461" s="16" t="str">
        <f>IFERROR(__xludf.DUMMYFUNCTION("""COMPUTED_VALUE"""),"")</f>
        <v/>
      </c>
      <c r="G2461" s="18"/>
      <c r="H2461" s="16" t="s">
        <v>87</v>
      </c>
      <c r="I2461" s="16" t="s">
        <v>87</v>
      </c>
      <c r="J2461" s="19"/>
      <c r="L2461" s="16" t="str">
        <f>IFERROR(__xludf.DUMMYFUNCTION("""COMPUTED_VALUE"""),"")</f>
        <v/>
      </c>
      <c r="M2461" s="16" t="str">
        <f>IFERROR(__xludf.DUMMYFUNCTION("""COMPUTED_VALUE"""),"")</f>
        <v/>
      </c>
      <c r="U2461" s="16" t="s">
        <v>87</v>
      </c>
      <c r="V2461" s="16" t="str">
        <f>IFERROR(__xludf.DUMMYFUNCTION("""COMPUTED_VALUE"""),"")</f>
        <v/>
      </c>
      <c r="W2461" s="16" t="str">
        <f>IFERROR(__xludf.DUMMYFUNCTION("""COMPUTED_VALUE"""),"")</f>
        <v/>
      </c>
      <c r="X2461" s="16" t="str">
        <f>IFERROR(__xludf.DUMMYFUNCTION("""COMPUTED_VALUE"""),"")</f>
        <v/>
      </c>
      <c r="AC2461" s="16" t="str">
        <f>IFERROR(__xludf.DUMMYFUNCTION("""COMPUTED_VALUE"""),"")</f>
        <v/>
      </c>
    </row>
    <row r="2462">
      <c r="A2462" s="16" t="s">
        <v>87</v>
      </c>
      <c r="E2462" s="16" t="str">
        <f>IFERROR(__xludf.DUMMYFUNCTION("""COMPUTED_VALUE"""),"")</f>
        <v/>
      </c>
      <c r="G2462" s="18"/>
      <c r="H2462" s="16" t="s">
        <v>87</v>
      </c>
      <c r="I2462" s="16" t="s">
        <v>87</v>
      </c>
      <c r="J2462" s="19"/>
      <c r="L2462" s="16" t="str">
        <f>IFERROR(__xludf.DUMMYFUNCTION("""COMPUTED_VALUE"""),"")</f>
        <v/>
      </c>
      <c r="M2462" s="16" t="str">
        <f>IFERROR(__xludf.DUMMYFUNCTION("""COMPUTED_VALUE"""),"")</f>
        <v/>
      </c>
      <c r="U2462" s="16" t="s">
        <v>87</v>
      </c>
      <c r="V2462" s="16" t="str">
        <f>IFERROR(__xludf.DUMMYFUNCTION("""COMPUTED_VALUE"""),"")</f>
        <v/>
      </c>
      <c r="W2462" s="16" t="str">
        <f>IFERROR(__xludf.DUMMYFUNCTION("""COMPUTED_VALUE"""),"")</f>
        <v/>
      </c>
      <c r="X2462" s="16" t="str">
        <f>IFERROR(__xludf.DUMMYFUNCTION("""COMPUTED_VALUE"""),"")</f>
        <v/>
      </c>
      <c r="AC2462" s="16" t="str">
        <f>IFERROR(__xludf.DUMMYFUNCTION("""COMPUTED_VALUE"""),"")</f>
        <v/>
      </c>
    </row>
    <row r="2463">
      <c r="A2463" s="16" t="s">
        <v>87</v>
      </c>
      <c r="E2463" s="16" t="str">
        <f>IFERROR(__xludf.DUMMYFUNCTION("""COMPUTED_VALUE"""),"")</f>
        <v/>
      </c>
      <c r="G2463" s="18"/>
      <c r="H2463" s="16" t="s">
        <v>87</v>
      </c>
      <c r="I2463" s="16" t="s">
        <v>87</v>
      </c>
      <c r="J2463" s="19"/>
      <c r="L2463" s="16" t="str">
        <f>IFERROR(__xludf.DUMMYFUNCTION("""COMPUTED_VALUE"""),"")</f>
        <v/>
      </c>
      <c r="M2463" s="16" t="str">
        <f>IFERROR(__xludf.DUMMYFUNCTION("""COMPUTED_VALUE"""),"")</f>
        <v/>
      </c>
      <c r="U2463" s="16" t="s">
        <v>87</v>
      </c>
      <c r="V2463" s="16" t="str">
        <f>IFERROR(__xludf.DUMMYFUNCTION("""COMPUTED_VALUE"""),"")</f>
        <v/>
      </c>
      <c r="W2463" s="16" t="str">
        <f>IFERROR(__xludf.DUMMYFUNCTION("""COMPUTED_VALUE"""),"")</f>
        <v/>
      </c>
      <c r="X2463" s="16" t="str">
        <f>IFERROR(__xludf.DUMMYFUNCTION("""COMPUTED_VALUE"""),"")</f>
        <v/>
      </c>
      <c r="AC2463" s="16" t="str">
        <f>IFERROR(__xludf.DUMMYFUNCTION("""COMPUTED_VALUE"""),"")</f>
        <v/>
      </c>
    </row>
    <row r="2464">
      <c r="A2464" s="16" t="s">
        <v>87</v>
      </c>
      <c r="E2464" s="16" t="str">
        <f>IFERROR(__xludf.DUMMYFUNCTION("""COMPUTED_VALUE"""),"")</f>
        <v/>
      </c>
      <c r="G2464" s="18"/>
      <c r="H2464" s="16" t="s">
        <v>87</v>
      </c>
      <c r="I2464" s="16" t="s">
        <v>87</v>
      </c>
      <c r="J2464" s="19"/>
      <c r="L2464" s="16" t="str">
        <f>IFERROR(__xludf.DUMMYFUNCTION("""COMPUTED_VALUE"""),"")</f>
        <v/>
      </c>
      <c r="M2464" s="16" t="str">
        <f>IFERROR(__xludf.DUMMYFUNCTION("""COMPUTED_VALUE"""),"")</f>
        <v/>
      </c>
      <c r="U2464" s="16" t="s">
        <v>87</v>
      </c>
      <c r="V2464" s="16" t="str">
        <f>IFERROR(__xludf.DUMMYFUNCTION("""COMPUTED_VALUE"""),"")</f>
        <v/>
      </c>
      <c r="W2464" s="16" t="str">
        <f>IFERROR(__xludf.DUMMYFUNCTION("""COMPUTED_VALUE"""),"")</f>
        <v/>
      </c>
      <c r="X2464" s="16" t="str">
        <f>IFERROR(__xludf.DUMMYFUNCTION("""COMPUTED_VALUE"""),"")</f>
        <v/>
      </c>
      <c r="AC2464" s="16" t="str">
        <f>IFERROR(__xludf.DUMMYFUNCTION("""COMPUTED_VALUE"""),"")</f>
        <v/>
      </c>
    </row>
    <row r="2465">
      <c r="A2465" s="16" t="s">
        <v>87</v>
      </c>
      <c r="E2465" s="16" t="str">
        <f>IFERROR(__xludf.DUMMYFUNCTION("""COMPUTED_VALUE"""),"")</f>
        <v/>
      </c>
      <c r="G2465" s="18"/>
      <c r="H2465" s="16" t="s">
        <v>87</v>
      </c>
      <c r="I2465" s="16" t="s">
        <v>87</v>
      </c>
      <c r="J2465" s="19"/>
      <c r="L2465" s="16" t="str">
        <f>IFERROR(__xludf.DUMMYFUNCTION("""COMPUTED_VALUE"""),"")</f>
        <v/>
      </c>
      <c r="M2465" s="16" t="str">
        <f>IFERROR(__xludf.DUMMYFUNCTION("""COMPUTED_VALUE"""),"")</f>
        <v/>
      </c>
      <c r="U2465" s="16" t="s">
        <v>87</v>
      </c>
      <c r="V2465" s="16" t="str">
        <f>IFERROR(__xludf.DUMMYFUNCTION("""COMPUTED_VALUE"""),"")</f>
        <v/>
      </c>
      <c r="W2465" s="16" t="str">
        <f>IFERROR(__xludf.DUMMYFUNCTION("""COMPUTED_VALUE"""),"")</f>
        <v/>
      </c>
      <c r="X2465" s="16" t="str">
        <f>IFERROR(__xludf.DUMMYFUNCTION("""COMPUTED_VALUE"""),"")</f>
        <v/>
      </c>
      <c r="AC2465" s="16" t="str">
        <f>IFERROR(__xludf.DUMMYFUNCTION("""COMPUTED_VALUE"""),"")</f>
        <v/>
      </c>
    </row>
    <row r="2466">
      <c r="A2466" s="16" t="s">
        <v>87</v>
      </c>
      <c r="E2466" s="16" t="str">
        <f>IFERROR(__xludf.DUMMYFUNCTION("""COMPUTED_VALUE"""),"")</f>
        <v/>
      </c>
      <c r="G2466" s="18"/>
      <c r="H2466" s="16" t="s">
        <v>87</v>
      </c>
      <c r="I2466" s="16" t="s">
        <v>87</v>
      </c>
      <c r="J2466" s="19"/>
      <c r="L2466" s="16" t="str">
        <f>IFERROR(__xludf.DUMMYFUNCTION("""COMPUTED_VALUE"""),"")</f>
        <v/>
      </c>
      <c r="M2466" s="16" t="str">
        <f>IFERROR(__xludf.DUMMYFUNCTION("""COMPUTED_VALUE"""),"")</f>
        <v/>
      </c>
      <c r="U2466" s="16" t="s">
        <v>87</v>
      </c>
      <c r="V2466" s="16" t="str">
        <f>IFERROR(__xludf.DUMMYFUNCTION("""COMPUTED_VALUE"""),"")</f>
        <v/>
      </c>
      <c r="W2466" s="16" t="str">
        <f>IFERROR(__xludf.DUMMYFUNCTION("""COMPUTED_VALUE"""),"")</f>
        <v/>
      </c>
      <c r="X2466" s="16" t="str">
        <f>IFERROR(__xludf.DUMMYFUNCTION("""COMPUTED_VALUE"""),"")</f>
        <v/>
      </c>
      <c r="AC2466" s="16" t="str">
        <f>IFERROR(__xludf.DUMMYFUNCTION("""COMPUTED_VALUE"""),"")</f>
        <v/>
      </c>
    </row>
    <row r="2467">
      <c r="A2467" s="16" t="s">
        <v>87</v>
      </c>
      <c r="E2467" s="16" t="str">
        <f>IFERROR(__xludf.DUMMYFUNCTION("""COMPUTED_VALUE"""),"")</f>
        <v/>
      </c>
      <c r="G2467" s="18"/>
      <c r="H2467" s="16" t="s">
        <v>87</v>
      </c>
      <c r="I2467" s="16" t="s">
        <v>87</v>
      </c>
      <c r="J2467" s="19"/>
      <c r="L2467" s="16" t="str">
        <f>IFERROR(__xludf.DUMMYFUNCTION("""COMPUTED_VALUE"""),"")</f>
        <v/>
      </c>
      <c r="M2467" s="16" t="str">
        <f>IFERROR(__xludf.DUMMYFUNCTION("""COMPUTED_VALUE"""),"")</f>
        <v/>
      </c>
      <c r="U2467" s="16" t="s">
        <v>87</v>
      </c>
      <c r="V2467" s="16" t="str">
        <f>IFERROR(__xludf.DUMMYFUNCTION("""COMPUTED_VALUE"""),"")</f>
        <v/>
      </c>
      <c r="W2467" s="16" t="str">
        <f>IFERROR(__xludf.DUMMYFUNCTION("""COMPUTED_VALUE"""),"")</f>
        <v/>
      </c>
      <c r="X2467" s="16" t="str">
        <f>IFERROR(__xludf.DUMMYFUNCTION("""COMPUTED_VALUE"""),"")</f>
        <v/>
      </c>
      <c r="AC2467" s="16" t="str">
        <f>IFERROR(__xludf.DUMMYFUNCTION("""COMPUTED_VALUE"""),"")</f>
        <v/>
      </c>
    </row>
    <row r="2468">
      <c r="A2468" s="16" t="s">
        <v>87</v>
      </c>
      <c r="E2468" s="16" t="str">
        <f>IFERROR(__xludf.DUMMYFUNCTION("""COMPUTED_VALUE"""),"")</f>
        <v/>
      </c>
      <c r="G2468" s="18"/>
      <c r="H2468" s="16" t="s">
        <v>87</v>
      </c>
      <c r="I2468" s="16" t="s">
        <v>87</v>
      </c>
      <c r="J2468" s="19"/>
      <c r="L2468" s="16" t="str">
        <f>IFERROR(__xludf.DUMMYFUNCTION("""COMPUTED_VALUE"""),"")</f>
        <v/>
      </c>
      <c r="M2468" s="16" t="str">
        <f>IFERROR(__xludf.DUMMYFUNCTION("""COMPUTED_VALUE"""),"")</f>
        <v/>
      </c>
      <c r="U2468" s="16" t="s">
        <v>87</v>
      </c>
      <c r="V2468" s="16" t="str">
        <f>IFERROR(__xludf.DUMMYFUNCTION("""COMPUTED_VALUE"""),"")</f>
        <v/>
      </c>
      <c r="W2468" s="16" t="str">
        <f>IFERROR(__xludf.DUMMYFUNCTION("""COMPUTED_VALUE"""),"")</f>
        <v/>
      </c>
      <c r="X2468" s="16" t="str">
        <f>IFERROR(__xludf.DUMMYFUNCTION("""COMPUTED_VALUE"""),"")</f>
        <v/>
      </c>
      <c r="AC2468" s="16" t="str">
        <f>IFERROR(__xludf.DUMMYFUNCTION("""COMPUTED_VALUE"""),"")</f>
        <v/>
      </c>
    </row>
    <row r="2469">
      <c r="A2469" s="16" t="s">
        <v>87</v>
      </c>
      <c r="E2469" s="16" t="str">
        <f>IFERROR(__xludf.DUMMYFUNCTION("""COMPUTED_VALUE"""),"")</f>
        <v/>
      </c>
      <c r="G2469" s="18"/>
      <c r="H2469" s="16" t="s">
        <v>87</v>
      </c>
      <c r="I2469" s="16" t="s">
        <v>87</v>
      </c>
      <c r="J2469" s="19"/>
      <c r="L2469" s="16" t="str">
        <f>IFERROR(__xludf.DUMMYFUNCTION("""COMPUTED_VALUE"""),"")</f>
        <v/>
      </c>
      <c r="M2469" s="16" t="str">
        <f>IFERROR(__xludf.DUMMYFUNCTION("""COMPUTED_VALUE"""),"")</f>
        <v/>
      </c>
      <c r="U2469" s="16" t="s">
        <v>87</v>
      </c>
      <c r="V2469" s="16" t="str">
        <f>IFERROR(__xludf.DUMMYFUNCTION("""COMPUTED_VALUE"""),"")</f>
        <v/>
      </c>
      <c r="W2469" s="16" t="str">
        <f>IFERROR(__xludf.DUMMYFUNCTION("""COMPUTED_VALUE"""),"")</f>
        <v/>
      </c>
      <c r="X2469" s="16" t="str">
        <f>IFERROR(__xludf.DUMMYFUNCTION("""COMPUTED_VALUE"""),"")</f>
        <v/>
      </c>
      <c r="AC2469" s="16" t="str">
        <f>IFERROR(__xludf.DUMMYFUNCTION("""COMPUTED_VALUE"""),"")</f>
        <v/>
      </c>
    </row>
    <row r="2470">
      <c r="A2470" s="16" t="s">
        <v>87</v>
      </c>
      <c r="E2470" s="16" t="str">
        <f>IFERROR(__xludf.DUMMYFUNCTION("""COMPUTED_VALUE"""),"")</f>
        <v/>
      </c>
      <c r="G2470" s="18"/>
      <c r="H2470" s="16" t="s">
        <v>87</v>
      </c>
      <c r="I2470" s="16" t="s">
        <v>87</v>
      </c>
      <c r="J2470" s="19"/>
      <c r="L2470" s="16" t="str">
        <f>IFERROR(__xludf.DUMMYFUNCTION("""COMPUTED_VALUE"""),"")</f>
        <v/>
      </c>
      <c r="M2470" s="16" t="str">
        <f>IFERROR(__xludf.DUMMYFUNCTION("""COMPUTED_VALUE"""),"")</f>
        <v/>
      </c>
      <c r="U2470" s="16" t="s">
        <v>87</v>
      </c>
      <c r="V2470" s="16" t="str">
        <f>IFERROR(__xludf.DUMMYFUNCTION("""COMPUTED_VALUE"""),"")</f>
        <v/>
      </c>
      <c r="W2470" s="16" t="str">
        <f>IFERROR(__xludf.DUMMYFUNCTION("""COMPUTED_VALUE"""),"")</f>
        <v/>
      </c>
      <c r="X2470" s="16" t="str">
        <f>IFERROR(__xludf.DUMMYFUNCTION("""COMPUTED_VALUE"""),"")</f>
        <v/>
      </c>
      <c r="AC2470" s="16" t="str">
        <f>IFERROR(__xludf.DUMMYFUNCTION("""COMPUTED_VALUE"""),"")</f>
        <v/>
      </c>
    </row>
    <row r="2471">
      <c r="A2471" s="16" t="s">
        <v>87</v>
      </c>
      <c r="E2471" s="16" t="str">
        <f>IFERROR(__xludf.DUMMYFUNCTION("""COMPUTED_VALUE"""),"")</f>
        <v/>
      </c>
      <c r="G2471" s="18"/>
      <c r="H2471" s="16" t="s">
        <v>87</v>
      </c>
      <c r="I2471" s="16" t="s">
        <v>87</v>
      </c>
      <c r="J2471" s="19"/>
      <c r="L2471" s="16" t="str">
        <f>IFERROR(__xludf.DUMMYFUNCTION("""COMPUTED_VALUE"""),"")</f>
        <v/>
      </c>
      <c r="M2471" s="16" t="str">
        <f>IFERROR(__xludf.DUMMYFUNCTION("""COMPUTED_VALUE"""),"")</f>
        <v/>
      </c>
      <c r="U2471" s="16" t="s">
        <v>87</v>
      </c>
      <c r="V2471" s="16" t="str">
        <f>IFERROR(__xludf.DUMMYFUNCTION("""COMPUTED_VALUE"""),"")</f>
        <v/>
      </c>
      <c r="W2471" s="16" t="str">
        <f>IFERROR(__xludf.DUMMYFUNCTION("""COMPUTED_VALUE"""),"")</f>
        <v/>
      </c>
      <c r="X2471" s="16" t="str">
        <f>IFERROR(__xludf.DUMMYFUNCTION("""COMPUTED_VALUE"""),"")</f>
        <v/>
      </c>
      <c r="AC2471" s="16" t="str">
        <f>IFERROR(__xludf.DUMMYFUNCTION("""COMPUTED_VALUE"""),"")</f>
        <v/>
      </c>
    </row>
    <row r="2472">
      <c r="A2472" s="16" t="s">
        <v>87</v>
      </c>
      <c r="E2472" s="16" t="str">
        <f>IFERROR(__xludf.DUMMYFUNCTION("""COMPUTED_VALUE"""),"")</f>
        <v/>
      </c>
      <c r="G2472" s="18"/>
      <c r="H2472" s="16" t="s">
        <v>87</v>
      </c>
      <c r="I2472" s="16" t="s">
        <v>87</v>
      </c>
      <c r="J2472" s="19"/>
      <c r="L2472" s="16" t="str">
        <f>IFERROR(__xludf.DUMMYFUNCTION("""COMPUTED_VALUE"""),"")</f>
        <v/>
      </c>
      <c r="M2472" s="16" t="str">
        <f>IFERROR(__xludf.DUMMYFUNCTION("""COMPUTED_VALUE"""),"")</f>
        <v/>
      </c>
      <c r="U2472" s="16" t="s">
        <v>87</v>
      </c>
      <c r="V2472" s="16" t="str">
        <f>IFERROR(__xludf.DUMMYFUNCTION("""COMPUTED_VALUE"""),"")</f>
        <v/>
      </c>
      <c r="W2472" s="16" t="str">
        <f>IFERROR(__xludf.DUMMYFUNCTION("""COMPUTED_VALUE"""),"")</f>
        <v/>
      </c>
      <c r="X2472" s="16" t="str">
        <f>IFERROR(__xludf.DUMMYFUNCTION("""COMPUTED_VALUE"""),"")</f>
        <v/>
      </c>
      <c r="AC2472" s="16" t="str">
        <f>IFERROR(__xludf.DUMMYFUNCTION("""COMPUTED_VALUE"""),"")</f>
        <v/>
      </c>
    </row>
    <row r="2473">
      <c r="A2473" s="16" t="s">
        <v>87</v>
      </c>
      <c r="E2473" s="16" t="str">
        <f>IFERROR(__xludf.DUMMYFUNCTION("""COMPUTED_VALUE"""),"")</f>
        <v/>
      </c>
      <c r="G2473" s="18"/>
      <c r="H2473" s="16" t="s">
        <v>87</v>
      </c>
      <c r="I2473" s="16" t="s">
        <v>87</v>
      </c>
      <c r="J2473" s="19"/>
      <c r="L2473" s="16" t="str">
        <f>IFERROR(__xludf.DUMMYFUNCTION("""COMPUTED_VALUE"""),"")</f>
        <v/>
      </c>
      <c r="M2473" s="16" t="str">
        <f>IFERROR(__xludf.DUMMYFUNCTION("""COMPUTED_VALUE"""),"")</f>
        <v/>
      </c>
      <c r="U2473" s="16" t="s">
        <v>87</v>
      </c>
      <c r="V2473" s="16" t="str">
        <f>IFERROR(__xludf.DUMMYFUNCTION("""COMPUTED_VALUE"""),"")</f>
        <v/>
      </c>
      <c r="W2473" s="16" t="str">
        <f>IFERROR(__xludf.DUMMYFUNCTION("""COMPUTED_VALUE"""),"")</f>
        <v/>
      </c>
      <c r="X2473" s="16" t="str">
        <f>IFERROR(__xludf.DUMMYFUNCTION("""COMPUTED_VALUE"""),"")</f>
        <v/>
      </c>
      <c r="AC2473" s="16" t="str">
        <f>IFERROR(__xludf.DUMMYFUNCTION("""COMPUTED_VALUE"""),"")</f>
        <v/>
      </c>
    </row>
    <row r="2474">
      <c r="A2474" s="16" t="s">
        <v>87</v>
      </c>
      <c r="E2474" s="16" t="str">
        <f>IFERROR(__xludf.DUMMYFUNCTION("""COMPUTED_VALUE"""),"")</f>
        <v/>
      </c>
      <c r="G2474" s="18"/>
      <c r="H2474" s="16" t="s">
        <v>87</v>
      </c>
      <c r="I2474" s="16" t="s">
        <v>87</v>
      </c>
      <c r="J2474" s="19"/>
      <c r="L2474" s="16" t="str">
        <f>IFERROR(__xludf.DUMMYFUNCTION("""COMPUTED_VALUE"""),"")</f>
        <v/>
      </c>
      <c r="M2474" s="16" t="str">
        <f>IFERROR(__xludf.DUMMYFUNCTION("""COMPUTED_VALUE"""),"")</f>
        <v/>
      </c>
      <c r="U2474" s="16" t="s">
        <v>87</v>
      </c>
      <c r="V2474" s="16" t="str">
        <f>IFERROR(__xludf.DUMMYFUNCTION("""COMPUTED_VALUE"""),"")</f>
        <v/>
      </c>
      <c r="W2474" s="16" t="str">
        <f>IFERROR(__xludf.DUMMYFUNCTION("""COMPUTED_VALUE"""),"")</f>
        <v/>
      </c>
      <c r="X2474" s="16" t="str">
        <f>IFERROR(__xludf.DUMMYFUNCTION("""COMPUTED_VALUE"""),"")</f>
        <v/>
      </c>
      <c r="AC2474" s="16" t="str">
        <f>IFERROR(__xludf.DUMMYFUNCTION("""COMPUTED_VALUE"""),"")</f>
        <v/>
      </c>
    </row>
    <row r="2475">
      <c r="A2475" s="16" t="s">
        <v>87</v>
      </c>
      <c r="E2475" s="16" t="str">
        <f>IFERROR(__xludf.DUMMYFUNCTION("""COMPUTED_VALUE"""),"")</f>
        <v/>
      </c>
      <c r="G2475" s="18"/>
      <c r="H2475" s="16" t="s">
        <v>87</v>
      </c>
      <c r="I2475" s="16" t="s">
        <v>87</v>
      </c>
      <c r="J2475" s="19"/>
      <c r="L2475" s="16" t="str">
        <f>IFERROR(__xludf.DUMMYFUNCTION("""COMPUTED_VALUE"""),"")</f>
        <v/>
      </c>
      <c r="M2475" s="16" t="str">
        <f>IFERROR(__xludf.DUMMYFUNCTION("""COMPUTED_VALUE"""),"")</f>
        <v/>
      </c>
      <c r="U2475" s="16" t="s">
        <v>87</v>
      </c>
      <c r="V2475" s="16" t="str">
        <f>IFERROR(__xludf.DUMMYFUNCTION("""COMPUTED_VALUE"""),"")</f>
        <v/>
      </c>
      <c r="W2475" s="16" t="str">
        <f>IFERROR(__xludf.DUMMYFUNCTION("""COMPUTED_VALUE"""),"")</f>
        <v/>
      </c>
      <c r="X2475" s="16" t="str">
        <f>IFERROR(__xludf.DUMMYFUNCTION("""COMPUTED_VALUE"""),"")</f>
        <v/>
      </c>
      <c r="AC2475" s="16" t="str">
        <f>IFERROR(__xludf.DUMMYFUNCTION("""COMPUTED_VALUE"""),"")</f>
        <v/>
      </c>
    </row>
    <row r="2476">
      <c r="A2476" s="16" t="s">
        <v>87</v>
      </c>
      <c r="E2476" s="16" t="str">
        <f>IFERROR(__xludf.DUMMYFUNCTION("""COMPUTED_VALUE"""),"")</f>
        <v/>
      </c>
      <c r="G2476" s="18"/>
      <c r="H2476" s="16" t="s">
        <v>87</v>
      </c>
      <c r="I2476" s="16" t="s">
        <v>87</v>
      </c>
      <c r="J2476" s="19"/>
      <c r="L2476" s="16" t="str">
        <f>IFERROR(__xludf.DUMMYFUNCTION("""COMPUTED_VALUE"""),"")</f>
        <v/>
      </c>
      <c r="M2476" s="16" t="str">
        <f>IFERROR(__xludf.DUMMYFUNCTION("""COMPUTED_VALUE"""),"")</f>
        <v/>
      </c>
      <c r="U2476" s="16" t="s">
        <v>87</v>
      </c>
      <c r="V2476" s="16" t="str">
        <f>IFERROR(__xludf.DUMMYFUNCTION("""COMPUTED_VALUE"""),"")</f>
        <v/>
      </c>
      <c r="W2476" s="16" t="str">
        <f>IFERROR(__xludf.DUMMYFUNCTION("""COMPUTED_VALUE"""),"")</f>
        <v/>
      </c>
      <c r="X2476" s="16" t="str">
        <f>IFERROR(__xludf.DUMMYFUNCTION("""COMPUTED_VALUE"""),"")</f>
        <v/>
      </c>
      <c r="AC2476" s="16" t="str">
        <f>IFERROR(__xludf.DUMMYFUNCTION("""COMPUTED_VALUE"""),"")</f>
        <v/>
      </c>
    </row>
    <row r="2477">
      <c r="A2477" s="16" t="s">
        <v>87</v>
      </c>
      <c r="E2477" s="16" t="str">
        <f>IFERROR(__xludf.DUMMYFUNCTION("""COMPUTED_VALUE"""),"")</f>
        <v/>
      </c>
      <c r="G2477" s="18"/>
      <c r="H2477" s="16" t="s">
        <v>87</v>
      </c>
      <c r="I2477" s="16" t="s">
        <v>87</v>
      </c>
      <c r="J2477" s="19"/>
      <c r="L2477" s="16" t="str">
        <f>IFERROR(__xludf.DUMMYFUNCTION("""COMPUTED_VALUE"""),"")</f>
        <v/>
      </c>
      <c r="M2477" s="16" t="str">
        <f>IFERROR(__xludf.DUMMYFUNCTION("""COMPUTED_VALUE"""),"")</f>
        <v/>
      </c>
      <c r="U2477" s="16" t="s">
        <v>87</v>
      </c>
      <c r="V2477" s="16" t="str">
        <f>IFERROR(__xludf.DUMMYFUNCTION("""COMPUTED_VALUE"""),"")</f>
        <v/>
      </c>
      <c r="W2477" s="16" t="str">
        <f>IFERROR(__xludf.DUMMYFUNCTION("""COMPUTED_VALUE"""),"")</f>
        <v/>
      </c>
      <c r="X2477" s="16" t="str">
        <f>IFERROR(__xludf.DUMMYFUNCTION("""COMPUTED_VALUE"""),"")</f>
        <v/>
      </c>
      <c r="AC2477" s="16" t="str">
        <f>IFERROR(__xludf.DUMMYFUNCTION("""COMPUTED_VALUE"""),"")</f>
        <v/>
      </c>
    </row>
    <row r="2478">
      <c r="A2478" s="16" t="s">
        <v>87</v>
      </c>
      <c r="E2478" s="16" t="str">
        <f>IFERROR(__xludf.DUMMYFUNCTION("""COMPUTED_VALUE"""),"")</f>
        <v/>
      </c>
      <c r="G2478" s="18"/>
      <c r="H2478" s="16" t="s">
        <v>87</v>
      </c>
      <c r="I2478" s="16" t="s">
        <v>87</v>
      </c>
      <c r="J2478" s="19"/>
      <c r="L2478" s="16" t="str">
        <f>IFERROR(__xludf.DUMMYFUNCTION("""COMPUTED_VALUE"""),"")</f>
        <v/>
      </c>
      <c r="M2478" s="16" t="str">
        <f>IFERROR(__xludf.DUMMYFUNCTION("""COMPUTED_VALUE"""),"")</f>
        <v/>
      </c>
      <c r="U2478" s="16" t="s">
        <v>87</v>
      </c>
      <c r="V2478" s="16" t="str">
        <f>IFERROR(__xludf.DUMMYFUNCTION("""COMPUTED_VALUE"""),"")</f>
        <v/>
      </c>
      <c r="W2478" s="16" t="str">
        <f>IFERROR(__xludf.DUMMYFUNCTION("""COMPUTED_VALUE"""),"")</f>
        <v/>
      </c>
      <c r="X2478" s="16" t="str">
        <f>IFERROR(__xludf.DUMMYFUNCTION("""COMPUTED_VALUE"""),"")</f>
        <v/>
      </c>
      <c r="AC2478" s="16" t="str">
        <f>IFERROR(__xludf.DUMMYFUNCTION("""COMPUTED_VALUE"""),"")</f>
        <v/>
      </c>
    </row>
    <row r="2479">
      <c r="A2479" s="16" t="s">
        <v>87</v>
      </c>
      <c r="E2479" s="16" t="str">
        <f>IFERROR(__xludf.DUMMYFUNCTION("""COMPUTED_VALUE"""),"")</f>
        <v/>
      </c>
      <c r="G2479" s="18"/>
      <c r="H2479" s="16" t="s">
        <v>87</v>
      </c>
      <c r="I2479" s="16" t="s">
        <v>87</v>
      </c>
      <c r="J2479" s="19"/>
      <c r="L2479" s="16" t="str">
        <f>IFERROR(__xludf.DUMMYFUNCTION("""COMPUTED_VALUE"""),"")</f>
        <v/>
      </c>
      <c r="M2479" s="16" t="str">
        <f>IFERROR(__xludf.DUMMYFUNCTION("""COMPUTED_VALUE"""),"")</f>
        <v/>
      </c>
      <c r="U2479" s="16" t="s">
        <v>87</v>
      </c>
      <c r="V2479" s="16" t="str">
        <f>IFERROR(__xludf.DUMMYFUNCTION("""COMPUTED_VALUE"""),"")</f>
        <v/>
      </c>
      <c r="W2479" s="16" t="str">
        <f>IFERROR(__xludf.DUMMYFUNCTION("""COMPUTED_VALUE"""),"")</f>
        <v/>
      </c>
      <c r="X2479" s="16" t="str">
        <f>IFERROR(__xludf.DUMMYFUNCTION("""COMPUTED_VALUE"""),"")</f>
        <v/>
      </c>
      <c r="AC2479" s="16" t="str">
        <f>IFERROR(__xludf.DUMMYFUNCTION("""COMPUTED_VALUE"""),"")</f>
        <v/>
      </c>
    </row>
    <row r="2480">
      <c r="A2480" s="16" t="s">
        <v>87</v>
      </c>
      <c r="E2480" s="16" t="str">
        <f>IFERROR(__xludf.DUMMYFUNCTION("""COMPUTED_VALUE"""),"")</f>
        <v/>
      </c>
      <c r="G2480" s="18"/>
      <c r="H2480" s="16" t="s">
        <v>87</v>
      </c>
      <c r="I2480" s="16" t="s">
        <v>87</v>
      </c>
      <c r="J2480" s="19"/>
      <c r="L2480" s="16" t="str">
        <f>IFERROR(__xludf.DUMMYFUNCTION("""COMPUTED_VALUE"""),"")</f>
        <v/>
      </c>
      <c r="M2480" s="16" t="str">
        <f>IFERROR(__xludf.DUMMYFUNCTION("""COMPUTED_VALUE"""),"")</f>
        <v/>
      </c>
      <c r="U2480" s="16" t="s">
        <v>87</v>
      </c>
      <c r="V2480" s="16" t="str">
        <f>IFERROR(__xludf.DUMMYFUNCTION("""COMPUTED_VALUE"""),"")</f>
        <v/>
      </c>
      <c r="W2480" s="16" t="str">
        <f>IFERROR(__xludf.DUMMYFUNCTION("""COMPUTED_VALUE"""),"")</f>
        <v/>
      </c>
      <c r="X2480" s="16" t="str">
        <f>IFERROR(__xludf.DUMMYFUNCTION("""COMPUTED_VALUE"""),"")</f>
        <v/>
      </c>
      <c r="AC2480" s="16" t="str">
        <f>IFERROR(__xludf.DUMMYFUNCTION("""COMPUTED_VALUE"""),"")</f>
        <v/>
      </c>
    </row>
    <row r="2481">
      <c r="A2481" s="16" t="s">
        <v>87</v>
      </c>
      <c r="E2481" s="16" t="str">
        <f>IFERROR(__xludf.DUMMYFUNCTION("""COMPUTED_VALUE"""),"")</f>
        <v/>
      </c>
      <c r="G2481" s="18"/>
      <c r="H2481" s="16" t="s">
        <v>87</v>
      </c>
      <c r="I2481" s="16" t="s">
        <v>87</v>
      </c>
      <c r="J2481" s="19"/>
      <c r="L2481" s="16" t="str">
        <f>IFERROR(__xludf.DUMMYFUNCTION("""COMPUTED_VALUE"""),"")</f>
        <v/>
      </c>
      <c r="M2481" s="16" t="str">
        <f>IFERROR(__xludf.DUMMYFUNCTION("""COMPUTED_VALUE"""),"")</f>
        <v/>
      </c>
      <c r="U2481" s="16" t="s">
        <v>87</v>
      </c>
      <c r="V2481" s="16" t="str">
        <f>IFERROR(__xludf.DUMMYFUNCTION("""COMPUTED_VALUE"""),"")</f>
        <v/>
      </c>
      <c r="W2481" s="16" t="str">
        <f>IFERROR(__xludf.DUMMYFUNCTION("""COMPUTED_VALUE"""),"")</f>
        <v/>
      </c>
      <c r="X2481" s="16" t="str">
        <f>IFERROR(__xludf.DUMMYFUNCTION("""COMPUTED_VALUE"""),"")</f>
        <v/>
      </c>
      <c r="AC2481" s="16" t="str">
        <f>IFERROR(__xludf.DUMMYFUNCTION("""COMPUTED_VALUE"""),"")</f>
        <v/>
      </c>
    </row>
    <row r="2482">
      <c r="A2482" s="16" t="s">
        <v>87</v>
      </c>
      <c r="E2482" s="16" t="str">
        <f>IFERROR(__xludf.DUMMYFUNCTION("""COMPUTED_VALUE"""),"")</f>
        <v/>
      </c>
      <c r="G2482" s="18"/>
      <c r="H2482" s="16" t="s">
        <v>87</v>
      </c>
      <c r="I2482" s="16" t="s">
        <v>87</v>
      </c>
      <c r="J2482" s="19"/>
      <c r="L2482" s="16" t="str">
        <f>IFERROR(__xludf.DUMMYFUNCTION("""COMPUTED_VALUE"""),"")</f>
        <v/>
      </c>
      <c r="M2482" s="16" t="str">
        <f>IFERROR(__xludf.DUMMYFUNCTION("""COMPUTED_VALUE"""),"")</f>
        <v/>
      </c>
      <c r="U2482" s="16" t="s">
        <v>87</v>
      </c>
      <c r="V2482" s="16" t="str">
        <f>IFERROR(__xludf.DUMMYFUNCTION("""COMPUTED_VALUE"""),"")</f>
        <v/>
      </c>
      <c r="W2482" s="16" t="str">
        <f>IFERROR(__xludf.DUMMYFUNCTION("""COMPUTED_VALUE"""),"")</f>
        <v/>
      </c>
      <c r="X2482" s="16" t="str">
        <f>IFERROR(__xludf.DUMMYFUNCTION("""COMPUTED_VALUE"""),"")</f>
        <v/>
      </c>
      <c r="AC2482" s="16" t="str">
        <f>IFERROR(__xludf.DUMMYFUNCTION("""COMPUTED_VALUE"""),"")</f>
        <v/>
      </c>
    </row>
    <row r="2483">
      <c r="A2483" s="16" t="s">
        <v>87</v>
      </c>
      <c r="E2483" s="16" t="str">
        <f>IFERROR(__xludf.DUMMYFUNCTION("""COMPUTED_VALUE"""),"")</f>
        <v/>
      </c>
      <c r="G2483" s="18"/>
      <c r="H2483" s="16" t="s">
        <v>87</v>
      </c>
      <c r="I2483" s="16" t="s">
        <v>87</v>
      </c>
      <c r="J2483" s="19"/>
      <c r="L2483" s="16" t="str">
        <f>IFERROR(__xludf.DUMMYFUNCTION("""COMPUTED_VALUE"""),"")</f>
        <v/>
      </c>
      <c r="M2483" s="16" t="str">
        <f>IFERROR(__xludf.DUMMYFUNCTION("""COMPUTED_VALUE"""),"")</f>
        <v/>
      </c>
      <c r="U2483" s="16" t="s">
        <v>87</v>
      </c>
      <c r="V2483" s="16" t="str">
        <f>IFERROR(__xludf.DUMMYFUNCTION("""COMPUTED_VALUE"""),"")</f>
        <v/>
      </c>
      <c r="W2483" s="16" t="str">
        <f>IFERROR(__xludf.DUMMYFUNCTION("""COMPUTED_VALUE"""),"")</f>
        <v/>
      </c>
      <c r="X2483" s="16" t="str">
        <f>IFERROR(__xludf.DUMMYFUNCTION("""COMPUTED_VALUE"""),"")</f>
        <v/>
      </c>
      <c r="AC2483" s="16" t="str">
        <f>IFERROR(__xludf.DUMMYFUNCTION("""COMPUTED_VALUE"""),"")</f>
        <v/>
      </c>
    </row>
    <row r="2484">
      <c r="A2484" s="16" t="s">
        <v>87</v>
      </c>
      <c r="E2484" s="16" t="str">
        <f>IFERROR(__xludf.DUMMYFUNCTION("""COMPUTED_VALUE"""),"")</f>
        <v/>
      </c>
      <c r="G2484" s="18"/>
      <c r="H2484" s="16" t="s">
        <v>87</v>
      </c>
      <c r="I2484" s="16" t="s">
        <v>87</v>
      </c>
      <c r="J2484" s="19"/>
      <c r="L2484" s="16" t="str">
        <f>IFERROR(__xludf.DUMMYFUNCTION("""COMPUTED_VALUE"""),"")</f>
        <v/>
      </c>
      <c r="M2484" s="16" t="str">
        <f>IFERROR(__xludf.DUMMYFUNCTION("""COMPUTED_VALUE"""),"")</f>
        <v/>
      </c>
      <c r="U2484" s="16" t="s">
        <v>87</v>
      </c>
      <c r="V2484" s="16" t="str">
        <f>IFERROR(__xludf.DUMMYFUNCTION("""COMPUTED_VALUE"""),"")</f>
        <v/>
      </c>
      <c r="W2484" s="16" t="str">
        <f>IFERROR(__xludf.DUMMYFUNCTION("""COMPUTED_VALUE"""),"")</f>
        <v/>
      </c>
      <c r="X2484" s="16" t="str">
        <f>IFERROR(__xludf.DUMMYFUNCTION("""COMPUTED_VALUE"""),"")</f>
        <v/>
      </c>
      <c r="AC2484" s="16" t="str">
        <f>IFERROR(__xludf.DUMMYFUNCTION("""COMPUTED_VALUE"""),"")</f>
        <v/>
      </c>
    </row>
    <row r="2485">
      <c r="A2485" s="16" t="s">
        <v>87</v>
      </c>
      <c r="E2485" s="16" t="str">
        <f>IFERROR(__xludf.DUMMYFUNCTION("""COMPUTED_VALUE"""),"")</f>
        <v/>
      </c>
      <c r="G2485" s="18"/>
      <c r="H2485" s="16" t="s">
        <v>87</v>
      </c>
      <c r="I2485" s="16" t="s">
        <v>87</v>
      </c>
      <c r="J2485" s="19"/>
      <c r="L2485" s="16" t="str">
        <f>IFERROR(__xludf.DUMMYFUNCTION("""COMPUTED_VALUE"""),"")</f>
        <v/>
      </c>
      <c r="M2485" s="16" t="str">
        <f>IFERROR(__xludf.DUMMYFUNCTION("""COMPUTED_VALUE"""),"")</f>
        <v/>
      </c>
      <c r="U2485" s="16" t="s">
        <v>87</v>
      </c>
      <c r="V2485" s="16" t="str">
        <f>IFERROR(__xludf.DUMMYFUNCTION("""COMPUTED_VALUE"""),"")</f>
        <v/>
      </c>
      <c r="W2485" s="16" t="str">
        <f>IFERROR(__xludf.DUMMYFUNCTION("""COMPUTED_VALUE"""),"")</f>
        <v/>
      </c>
      <c r="X2485" s="16" t="str">
        <f>IFERROR(__xludf.DUMMYFUNCTION("""COMPUTED_VALUE"""),"")</f>
        <v/>
      </c>
      <c r="AC2485" s="16" t="str">
        <f>IFERROR(__xludf.DUMMYFUNCTION("""COMPUTED_VALUE"""),"")</f>
        <v/>
      </c>
    </row>
    <row r="2486">
      <c r="A2486" s="16" t="s">
        <v>87</v>
      </c>
      <c r="E2486" s="16" t="str">
        <f>IFERROR(__xludf.DUMMYFUNCTION("""COMPUTED_VALUE"""),"")</f>
        <v/>
      </c>
      <c r="G2486" s="18"/>
      <c r="H2486" s="16" t="s">
        <v>87</v>
      </c>
      <c r="I2486" s="16" t="s">
        <v>87</v>
      </c>
      <c r="J2486" s="19"/>
      <c r="L2486" s="16" t="str">
        <f>IFERROR(__xludf.DUMMYFUNCTION("""COMPUTED_VALUE"""),"")</f>
        <v/>
      </c>
      <c r="M2486" s="16" t="str">
        <f>IFERROR(__xludf.DUMMYFUNCTION("""COMPUTED_VALUE"""),"")</f>
        <v/>
      </c>
      <c r="U2486" s="16" t="s">
        <v>87</v>
      </c>
      <c r="V2486" s="16" t="str">
        <f>IFERROR(__xludf.DUMMYFUNCTION("""COMPUTED_VALUE"""),"")</f>
        <v/>
      </c>
      <c r="W2486" s="16" t="str">
        <f>IFERROR(__xludf.DUMMYFUNCTION("""COMPUTED_VALUE"""),"")</f>
        <v/>
      </c>
      <c r="X2486" s="16" t="str">
        <f>IFERROR(__xludf.DUMMYFUNCTION("""COMPUTED_VALUE"""),"")</f>
        <v/>
      </c>
      <c r="AC2486" s="16" t="str">
        <f>IFERROR(__xludf.DUMMYFUNCTION("""COMPUTED_VALUE"""),"")</f>
        <v/>
      </c>
    </row>
    <row r="2487">
      <c r="A2487" s="16" t="s">
        <v>87</v>
      </c>
      <c r="E2487" s="16" t="str">
        <f>IFERROR(__xludf.DUMMYFUNCTION("""COMPUTED_VALUE"""),"")</f>
        <v/>
      </c>
      <c r="G2487" s="18"/>
      <c r="H2487" s="16" t="s">
        <v>87</v>
      </c>
      <c r="I2487" s="16" t="s">
        <v>87</v>
      </c>
      <c r="J2487" s="19"/>
      <c r="L2487" s="16" t="str">
        <f>IFERROR(__xludf.DUMMYFUNCTION("""COMPUTED_VALUE"""),"")</f>
        <v/>
      </c>
      <c r="M2487" s="16" t="str">
        <f>IFERROR(__xludf.DUMMYFUNCTION("""COMPUTED_VALUE"""),"")</f>
        <v/>
      </c>
      <c r="U2487" s="16" t="s">
        <v>87</v>
      </c>
      <c r="V2487" s="16" t="str">
        <f>IFERROR(__xludf.DUMMYFUNCTION("""COMPUTED_VALUE"""),"")</f>
        <v/>
      </c>
      <c r="W2487" s="16" t="str">
        <f>IFERROR(__xludf.DUMMYFUNCTION("""COMPUTED_VALUE"""),"")</f>
        <v/>
      </c>
      <c r="X2487" s="16" t="str">
        <f>IFERROR(__xludf.DUMMYFUNCTION("""COMPUTED_VALUE"""),"")</f>
        <v/>
      </c>
      <c r="AC2487" s="16" t="str">
        <f>IFERROR(__xludf.DUMMYFUNCTION("""COMPUTED_VALUE"""),"")</f>
        <v/>
      </c>
    </row>
    <row r="2488">
      <c r="A2488" s="16" t="s">
        <v>87</v>
      </c>
      <c r="E2488" s="16" t="str">
        <f>IFERROR(__xludf.DUMMYFUNCTION("""COMPUTED_VALUE"""),"")</f>
        <v/>
      </c>
      <c r="G2488" s="18"/>
      <c r="H2488" s="16" t="s">
        <v>87</v>
      </c>
      <c r="I2488" s="16" t="s">
        <v>87</v>
      </c>
      <c r="J2488" s="19"/>
      <c r="L2488" s="16" t="str">
        <f>IFERROR(__xludf.DUMMYFUNCTION("""COMPUTED_VALUE"""),"")</f>
        <v/>
      </c>
      <c r="M2488" s="16" t="str">
        <f>IFERROR(__xludf.DUMMYFUNCTION("""COMPUTED_VALUE"""),"")</f>
        <v/>
      </c>
      <c r="U2488" s="16" t="s">
        <v>87</v>
      </c>
      <c r="V2488" s="16" t="str">
        <f>IFERROR(__xludf.DUMMYFUNCTION("""COMPUTED_VALUE"""),"")</f>
        <v/>
      </c>
      <c r="W2488" s="16" t="str">
        <f>IFERROR(__xludf.DUMMYFUNCTION("""COMPUTED_VALUE"""),"")</f>
        <v/>
      </c>
      <c r="X2488" s="16" t="str">
        <f>IFERROR(__xludf.DUMMYFUNCTION("""COMPUTED_VALUE"""),"")</f>
        <v/>
      </c>
      <c r="AC2488" s="16" t="str">
        <f>IFERROR(__xludf.DUMMYFUNCTION("""COMPUTED_VALUE"""),"")</f>
        <v/>
      </c>
    </row>
    <row r="2489">
      <c r="A2489" s="16" t="s">
        <v>87</v>
      </c>
      <c r="E2489" s="16" t="str">
        <f>IFERROR(__xludf.DUMMYFUNCTION("""COMPUTED_VALUE"""),"")</f>
        <v/>
      </c>
      <c r="G2489" s="18"/>
      <c r="H2489" s="16" t="s">
        <v>87</v>
      </c>
      <c r="I2489" s="16" t="s">
        <v>87</v>
      </c>
      <c r="J2489" s="19"/>
      <c r="L2489" s="16" t="str">
        <f>IFERROR(__xludf.DUMMYFUNCTION("""COMPUTED_VALUE"""),"")</f>
        <v/>
      </c>
      <c r="M2489" s="16" t="str">
        <f>IFERROR(__xludf.DUMMYFUNCTION("""COMPUTED_VALUE"""),"")</f>
        <v/>
      </c>
      <c r="U2489" s="16" t="s">
        <v>87</v>
      </c>
      <c r="V2489" s="16" t="str">
        <f>IFERROR(__xludf.DUMMYFUNCTION("""COMPUTED_VALUE"""),"")</f>
        <v/>
      </c>
      <c r="W2489" s="16" t="str">
        <f>IFERROR(__xludf.DUMMYFUNCTION("""COMPUTED_VALUE"""),"")</f>
        <v/>
      </c>
      <c r="X2489" s="16" t="str">
        <f>IFERROR(__xludf.DUMMYFUNCTION("""COMPUTED_VALUE"""),"")</f>
        <v/>
      </c>
      <c r="AC2489" s="16" t="str">
        <f>IFERROR(__xludf.DUMMYFUNCTION("""COMPUTED_VALUE"""),"")</f>
        <v/>
      </c>
    </row>
    <row r="2490">
      <c r="A2490" s="16" t="s">
        <v>87</v>
      </c>
      <c r="E2490" s="16" t="str">
        <f>IFERROR(__xludf.DUMMYFUNCTION("""COMPUTED_VALUE"""),"")</f>
        <v/>
      </c>
      <c r="G2490" s="18"/>
      <c r="H2490" s="16" t="s">
        <v>87</v>
      </c>
      <c r="I2490" s="16" t="s">
        <v>87</v>
      </c>
      <c r="J2490" s="19"/>
      <c r="L2490" s="16" t="str">
        <f>IFERROR(__xludf.DUMMYFUNCTION("""COMPUTED_VALUE"""),"")</f>
        <v/>
      </c>
      <c r="M2490" s="16" t="str">
        <f>IFERROR(__xludf.DUMMYFUNCTION("""COMPUTED_VALUE"""),"")</f>
        <v/>
      </c>
      <c r="U2490" s="16" t="s">
        <v>87</v>
      </c>
      <c r="V2490" s="16" t="str">
        <f>IFERROR(__xludf.DUMMYFUNCTION("""COMPUTED_VALUE"""),"")</f>
        <v/>
      </c>
      <c r="W2490" s="16" t="str">
        <f>IFERROR(__xludf.DUMMYFUNCTION("""COMPUTED_VALUE"""),"")</f>
        <v/>
      </c>
      <c r="X2490" s="16" t="str">
        <f>IFERROR(__xludf.DUMMYFUNCTION("""COMPUTED_VALUE"""),"")</f>
        <v/>
      </c>
      <c r="AC2490" s="16" t="str">
        <f>IFERROR(__xludf.DUMMYFUNCTION("""COMPUTED_VALUE"""),"")</f>
        <v/>
      </c>
    </row>
    <row r="2491">
      <c r="A2491" s="16" t="s">
        <v>87</v>
      </c>
      <c r="E2491" s="16" t="str">
        <f>IFERROR(__xludf.DUMMYFUNCTION("""COMPUTED_VALUE"""),"")</f>
        <v/>
      </c>
      <c r="G2491" s="18"/>
      <c r="H2491" s="16" t="s">
        <v>87</v>
      </c>
      <c r="I2491" s="16" t="s">
        <v>87</v>
      </c>
      <c r="J2491" s="19"/>
      <c r="L2491" s="16" t="str">
        <f>IFERROR(__xludf.DUMMYFUNCTION("""COMPUTED_VALUE"""),"")</f>
        <v/>
      </c>
      <c r="M2491" s="16" t="str">
        <f>IFERROR(__xludf.DUMMYFUNCTION("""COMPUTED_VALUE"""),"")</f>
        <v/>
      </c>
      <c r="U2491" s="16" t="s">
        <v>87</v>
      </c>
      <c r="V2491" s="16" t="str">
        <f>IFERROR(__xludf.DUMMYFUNCTION("""COMPUTED_VALUE"""),"")</f>
        <v/>
      </c>
      <c r="W2491" s="16" t="str">
        <f>IFERROR(__xludf.DUMMYFUNCTION("""COMPUTED_VALUE"""),"")</f>
        <v/>
      </c>
      <c r="X2491" s="16" t="str">
        <f>IFERROR(__xludf.DUMMYFUNCTION("""COMPUTED_VALUE"""),"")</f>
        <v/>
      </c>
      <c r="AC2491" s="16" t="str">
        <f>IFERROR(__xludf.DUMMYFUNCTION("""COMPUTED_VALUE"""),"")</f>
        <v/>
      </c>
    </row>
    <row r="2492">
      <c r="A2492" s="16" t="s">
        <v>87</v>
      </c>
      <c r="E2492" s="16" t="str">
        <f>IFERROR(__xludf.DUMMYFUNCTION("""COMPUTED_VALUE"""),"")</f>
        <v/>
      </c>
      <c r="G2492" s="18"/>
      <c r="H2492" s="16" t="s">
        <v>87</v>
      </c>
      <c r="I2492" s="16" t="s">
        <v>87</v>
      </c>
      <c r="J2492" s="19"/>
      <c r="L2492" s="16" t="str">
        <f>IFERROR(__xludf.DUMMYFUNCTION("""COMPUTED_VALUE"""),"")</f>
        <v/>
      </c>
      <c r="M2492" s="16" t="str">
        <f>IFERROR(__xludf.DUMMYFUNCTION("""COMPUTED_VALUE"""),"")</f>
        <v/>
      </c>
      <c r="U2492" s="16" t="s">
        <v>87</v>
      </c>
      <c r="V2492" s="16" t="str">
        <f>IFERROR(__xludf.DUMMYFUNCTION("""COMPUTED_VALUE"""),"")</f>
        <v/>
      </c>
      <c r="W2492" s="16" t="str">
        <f>IFERROR(__xludf.DUMMYFUNCTION("""COMPUTED_VALUE"""),"")</f>
        <v/>
      </c>
      <c r="X2492" s="16" t="str">
        <f>IFERROR(__xludf.DUMMYFUNCTION("""COMPUTED_VALUE"""),"")</f>
        <v/>
      </c>
      <c r="AC2492" s="16" t="str">
        <f>IFERROR(__xludf.DUMMYFUNCTION("""COMPUTED_VALUE"""),"")</f>
        <v/>
      </c>
    </row>
    <row r="2493">
      <c r="A2493" s="16" t="s">
        <v>87</v>
      </c>
      <c r="E2493" s="16" t="str">
        <f>IFERROR(__xludf.DUMMYFUNCTION("""COMPUTED_VALUE"""),"")</f>
        <v/>
      </c>
      <c r="G2493" s="18"/>
      <c r="H2493" s="16" t="s">
        <v>87</v>
      </c>
      <c r="I2493" s="16" t="s">
        <v>87</v>
      </c>
      <c r="J2493" s="19"/>
      <c r="L2493" s="16" t="str">
        <f>IFERROR(__xludf.DUMMYFUNCTION("""COMPUTED_VALUE"""),"")</f>
        <v/>
      </c>
      <c r="M2493" s="16" t="str">
        <f>IFERROR(__xludf.DUMMYFUNCTION("""COMPUTED_VALUE"""),"")</f>
        <v/>
      </c>
      <c r="U2493" s="16" t="s">
        <v>87</v>
      </c>
      <c r="V2493" s="16" t="str">
        <f>IFERROR(__xludf.DUMMYFUNCTION("""COMPUTED_VALUE"""),"")</f>
        <v/>
      </c>
      <c r="W2493" s="16" t="str">
        <f>IFERROR(__xludf.DUMMYFUNCTION("""COMPUTED_VALUE"""),"")</f>
        <v/>
      </c>
      <c r="X2493" s="16" t="str">
        <f>IFERROR(__xludf.DUMMYFUNCTION("""COMPUTED_VALUE"""),"")</f>
        <v/>
      </c>
      <c r="AC2493" s="16" t="str">
        <f>IFERROR(__xludf.DUMMYFUNCTION("""COMPUTED_VALUE"""),"")</f>
        <v/>
      </c>
    </row>
    <row r="2494">
      <c r="A2494" s="16" t="s">
        <v>87</v>
      </c>
      <c r="E2494" s="16" t="str">
        <f>IFERROR(__xludf.DUMMYFUNCTION("""COMPUTED_VALUE"""),"")</f>
        <v/>
      </c>
      <c r="G2494" s="18"/>
      <c r="H2494" s="16" t="s">
        <v>87</v>
      </c>
      <c r="I2494" s="16" t="s">
        <v>87</v>
      </c>
      <c r="J2494" s="19"/>
      <c r="L2494" s="16" t="str">
        <f>IFERROR(__xludf.DUMMYFUNCTION("""COMPUTED_VALUE"""),"")</f>
        <v/>
      </c>
      <c r="M2494" s="16" t="str">
        <f>IFERROR(__xludf.DUMMYFUNCTION("""COMPUTED_VALUE"""),"")</f>
        <v/>
      </c>
      <c r="U2494" s="16" t="s">
        <v>87</v>
      </c>
      <c r="V2494" s="16" t="str">
        <f>IFERROR(__xludf.DUMMYFUNCTION("""COMPUTED_VALUE"""),"")</f>
        <v/>
      </c>
      <c r="W2494" s="16" t="str">
        <f>IFERROR(__xludf.DUMMYFUNCTION("""COMPUTED_VALUE"""),"")</f>
        <v/>
      </c>
      <c r="X2494" s="16" t="str">
        <f>IFERROR(__xludf.DUMMYFUNCTION("""COMPUTED_VALUE"""),"")</f>
        <v/>
      </c>
      <c r="AC2494" s="16" t="str">
        <f>IFERROR(__xludf.DUMMYFUNCTION("""COMPUTED_VALUE"""),"")</f>
        <v/>
      </c>
    </row>
    <row r="2495">
      <c r="A2495" s="16" t="s">
        <v>87</v>
      </c>
      <c r="E2495" s="16" t="str">
        <f>IFERROR(__xludf.DUMMYFUNCTION("""COMPUTED_VALUE"""),"")</f>
        <v/>
      </c>
      <c r="G2495" s="18"/>
      <c r="H2495" s="16" t="s">
        <v>87</v>
      </c>
      <c r="I2495" s="16" t="s">
        <v>87</v>
      </c>
      <c r="J2495" s="19"/>
      <c r="L2495" s="16" t="str">
        <f>IFERROR(__xludf.DUMMYFUNCTION("""COMPUTED_VALUE"""),"")</f>
        <v/>
      </c>
      <c r="M2495" s="16" t="str">
        <f>IFERROR(__xludf.DUMMYFUNCTION("""COMPUTED_VALUE"""),"")</f>
        <v/>
      </c>
      <c r="U2495" s="16" t="s">
        <v>87</v>
      </c>
      <c r="V2495" s="16" t="str">
        <f>IFERROR(__xludf.DUMMYFUNCTION("""COMPUTED_VALUE"""),"")</f>
        <v/>
      </c>
      <c r="W2495" s="16" t="str">
        <f>IFERROR(__xludf.DUMMYFUNCTION("""COMPUTED_VALUE"""),"")</f>
        <v/>
      </c>
      <c r="X2495" s="16" t="str">
        <f>IFERROR(__xludf.DUMMYFUNCTION("""COMPUTED_VALUE"""),"")</f>
        <v/>
      </c>
      <c r="AC2495" s="16" t="str">
        <f>IFERROR(__xludf.DUMMYFUNCTION("""COMPUTED_VALUE"""),"")</f>
        <v/>
      </c>
    </row>
    <row r="2496">
      <c r="A2496" s="16" t="s">
        <v>87</v>
      </c>
      <c r="E2496" s="16" t="str">
        <f>IFERROR(__xludf.DUMMYFUNCTION("""COMPUTED_VALUE"""),"")</f>
        <v/>
      </c>
      <c r="G2496" s="18"/>
      <c r="H2496" s="16" t="s">
        <v>87</v>
      </c>
      <c r="I2496" s="16" t="s">
        <v>87</v>
      </c>
      <c r="J2496" s="19"/>
      <c r="L2496" s="16" t="str">
        <f>IFERROR(__xludf.DUMMYFUNCTION("""COMPUTED_VALUE"""),"")</f>
        <v/>
      </c>
      <c r="M2496" s="16" t="str">
        <f>IFERROR(__xludf.DUMMYFUNCTION("""COMPUTED_VALUE"""),"")</f>
        <v/>
      </c>
      <c r="U2496" s="16" t="s">
        <v>87</v>
      </c>
      <c r="V2496" s="16" t="str">
        <f>IFERROR(__xludf.DUMMYFUNCTION("""COMPUTED_VALUE"""),"")</f>
        <v/>
      </c>
      <c r="W2496" s="16" t="str">
        <f>IFERROR(__xludf.DUMMYFUNCTION("""COMPUTED_VALUE"""),"")</f>
        <v/>
      </c>
      <c r="X2496" s="16" t="str">
        <f>IFERROR(__xludf.DUMMYFUNCTION("""COMPUTED_VALUE"""),"")</f>
        <v/>
      </c>
      <c r="AC2496" s="16" t="str">
        <f>IFERROR(__xludf.DUMMYFUNCTION("""COMPUTED_VALUE"""),"")</f>
        <v/>
      </c>
    </row>
    <row r="2497">
      <c r="A2497" s="16" t="s">
        <v>87</v>
      </c>
      <c r="E2497" s="16" t="str">
        <f>IFERROR(__xludf.DUMMYFUNCTION("""COMPUTED_VALUE"""),"")</f>
        <v/>
      </c>
      <c r="G2497" s="18"/>
      <c r="H2497" s="16" t="s">
        <v>87</v>
      </c>
      <c r="I2497" s="16" t="s">
        <v>87</v>
      </c>
      <c r="J2497" s="19"/>
      <c r="L2497" s="16" t="str">
        <f>IFERROR(__xludf.DUMMYFUNCTION("""COMPUTED_VALUE"""),"")</f>
        <v/>
      </c>
      <c r="M2497" s="16" t="str">
        <f>IFERROR(__xludf.DUMMYFUNCTION("""COMPUTED_VALUE"""),"")</f>
        <v/>
      </c>
      <c r="U2497" s="16" t="s">
        <v>87</v>
      </c>
      <c r="V2497" s="16" t="str">
        <f>IFERROR(__xludf.DUMMYFUNCTION("""COMPUTED_VALUE"""),"")</f>
        <v/>
      </c>
      <c r="W2497" s="16" t="str">
        <f>IFERROR(__xludf.DUMMYFUNCTION("""COMPUTED_VALUE"""),"")</f>
        <v/>
      </c>
      <c r="X2497" s="16" t="str">
        <f>IFERROR(__xludf.DUMMYFUNCTION("""COMPUTED_VALUE"""),"")</f>
        <v/>
      </c>
      <c r="AC2497" s="16" t="str">
        <f>IFERROR(__xludf.DUMMYFUNCTION("""COMPUTED_VALUE"""),"")</f>
        <v/>
      </c>
    </row>
    <row r="2498">
      <c r="A2498" s="16" t="s">
        <v>87</v>
      </c>
      <c r="E2498" s="16" t="str">
        <f>IFERROR(__xludf.DUMMYFUNCTION("""COMPUTED_VALUE"""),"")</f>
        <v/>
      </c>
      <c r="G2498" s="18"/>
      <c r="H2498" s="16" t="s">
        <v>87</v>
      </c>
      <c r="I2498" s="16" t="s">
        <v>87</v>
      </c>
      <c r="J2498" s="19"/>
      <c r="L2498" s="16" t="str">
        <f>IFERROR(__xludf.DUMMYFUNCTION("""COMPUTED_VALUE"""),"")</f>
        <v/>
      </c>
      <c r="M2498" s="16" t="str">
        <f>IFERROR(__xludf.DUMMYFUNCTION("""COMPUTED_VALUE"""),"")</f>
        <v/>
      </c>
      <c r="U2498" s="16" t="s">
        <v>87</v>
      </c>
      <c r="V2498" s="16" t="str">
        <f>IFERROR(__xludf.DUMMYFUNCTION("""COMPUTED_VALUE"""),"")</f>
        <v/>
      </c>
      <c r="W2498" s="16" t="str">
        <f>IFERROR(__xludf.DUMMYFUNCTION("""COMPUTED_VALUE"""),"")</f>
        <v/>
      </c>
      <c r="X2498" s="16" t="str">
        <f>IFERROR(__xludf.DUMMYFUNCTION("""COMPUTED_VALUE"""),"")</f>
        <v/>
      </c>
      <c r="AC2498" s="16" t="str">
        <f>IFERROR(__xludf.DUMMYFUNCTION("""COMPUTED_VALUE"""),"")</f>
        <v/>
      </c>
    </row>
    <row r="2499">
      <c r="A2499" s="16" t="s">
        <v>87</v>
      </c>
      <c r="E2499" s="16" t="str">
        <f>IFERROR(__xludf.DUMMYFUNCTION("""COMPUTED_VALUE"""),"")</f>
        <v/>
      </c>
      <c r="G2499" s="18"/>
      <c r="H2499" s="16" t="s">
        <v>87</v>
      </c>
      <c r="I2499" s="16" t="s">
        <v>87</v>
      </c>
      <c r="J2499" s="19"/>
      <c r="L2499" s="16" t="str">
        <f>IFERROR(__xludf.DUMMYFUNCTION("""COMPUTED_VALUE"""),"")</f>
        <v/>
      </c>
      <c r="M2499" s="16" t="str">
        <f>IFERROR(__xludf.DUMMYFUNCTION("""COMPUTED_VALUE"""),"")</f>
        <v/>
      </c>
      <c r="U2499" s="16" t="s">
        <v>87</v>
      </c>
      <c r="V2499" s="16" t="str">
        <f>IFERROR(__xludf.DUMMYFUNCTION("""COMPUTED_VALUE"""),"")</f>
        <v/>
      </c>
      <c r="W2499" s="16" t="str">
        <f>IFERROR(__xludf.DUMMYFUNCTION("""COMPUTED_VALUE"""),"")</f>
        <v/>
      </c>
      <c r="X2499" s="16" t="str">
        <f>IFERROR(__xludf.DUMMYFUNCTION("""COMPUTED_VALUE"""),"")</f>
        <v/>
      </c>
      <c r="AC2499" s="16" t="str">
        <f>IFERROR(__xludf.DUMMYFUNCTION("""COMPUTED_VALUE"""),"")</f>
        <v/>
      </c>
    </row>
    <row r="2500">
      <c r="A2500" s="16" t="s">
        <v>87</v>
      </c>
      <c r="E2500" s="16" t="str">
        <f>IFERROR(__xludf.DUMMYFUNCTION("""COMPUTED_VALUE"""),"")</f>
        <v/>
      </c>
      <c r="G2500" s="18"/>
      <c r="H2500" s="16" t="s">
        <v>87</v>
      </c>
      <c r="I2500" s="16" t="s">
        <v>87</v>
      </c>
      <c r="J2500" s="19"/>
      <c r="L2500" s="16" t="str">
        <f>IFERROR(__xludf.DUMMYFUNCTION("""COMPUTED_VALUE"""),"")</f>
        <v/>
      </c>
      <c r="M2500" s="16" t="str">
        <f>IFERROR(__xludf.DUMMYFUNCTION("""COMPUTED_VALUE"""),"")</f>
        <v/>
      </c>
      <c r="U2500" s="16" t="s">
        <v>87</v>
      </c>
      <c r="V2500" s="16" t="str">
        <f>IFERROR(__xludf.DUMMYFUNCTION("""COMPUTED_VALUE"""),"")</f>
        <v/>
      </c>
      <c r="W2500" s="16" t="str">
        <f>IFERROR(__xludf.DUMMYFUNCTION("""COMPUTED_VALUE"""),"")</f>
        <v/>
      </c>
      <c r="X2500" s="16" t="str">
        <f>IFERROR(__xludf.DUMMYFUNCTION("""COMPUTED_VALUE"""),"")</f>
        <v/>
      </c>
      <c r="AC2500" s="16" t="str">
        <f>IFERROR(__xludf.DUMMYFUNCTION("""COMPUTED_VALUE"""),"")</f>
        <v/>
      </c>
    </row>
    <row r="2501">
      <c r="A2501" s="16" t="s">
        <v>87</v>
      </c>
      <c r="E2501" s="16" t="str">
        <f>IFERROR(__xludf.DUMMYFUNCTION("""COMPUTED_VALUE"""),"")</f>
        <v/>
      </c>
      <c r="G2501" s="18"/>
      <c r="H2501" s="16" t="s">
        <v>87</v>
      </c>
      <c r="I2501" s="16" t="s">
        <v>87</v>
      </c>
      <c r="J2501" s="19"/>
      <c r="L2501" s="16" t="str">
        <f>IFERROR(__xludf.DUMMYFUNCTION("""COMPUTED_VALUE"""),"")</f>
        <v/>
      </c>
      <c r="M2501" s="16" t="str">
        <f>IFERROR(__xludf.DUMMYFUNCTION("""COMPUTED_VALUE"""),"")</f>
        <v/>
      </c>
      <c r="U2501" s="16" t="s">
        <v>87</v>
      </c>
      <c r="V2501" s="16" t="str">
        <f>IFERROR(__xludf.DUMMYFUNCTION("""COMPUTED_VALUE"""),"")</f>
        <v/>
      </c>
      <c r="W2501" s="16" t="str">
        <f>IFERROR(__xludf.DUMMYFUNCTION("""COMPUTED_VALUE"""),"")</f>
        <v/>
      </c>
      <c r="X2501" s="16" t="str">
        <f>IFERROR(__xludf.DUMMYFUNCTION("""COMPUTED_VALUE"""),"")</f>
        <v/>
      </c>
      <c r="AC2501" s="16" t="str">
        <f>IFERROR(__xludf.DUMMYFUNCTION("""COMPUTED_VALUE"""),"")</f>
        <v/>
      </c>
    </row>
    <row r="2502">
      <c r="A2502" s="16" t="s">
        <v>87</v>
      </c>
      <c r="E2502" s="16" t="str">
        <f>IFERROR(__xludf.DUMMYFUNCTION("""COMPUTED_VALUE"""),"")</f>
        <v/>
      </c>
      <c r="G2502" s="18"/>
      <c r="H2502" s="16" t="s">
        <v>87</v>
      </c>
      <c r="I2502" s="16" t="s">
        <v>87</v>
      </c>
      <c r="J2502" s="19"/>
      <c r="L2502" s="16" t="str">
        <f>IFERROR(__xludf.DUMMYFUNCTION("""COMPUTED_VALUE"""),"")</f>
        <v/>
      </c>
      <c r="M2502" s="16" t="str">
        <f>IFERROR(__xludf.DUMMYFUNCTION("""COMPUTED_VALUE"""),"")</f>
        <v/>
      </c>
      <c r="U2502" s="16" t="s">
        <v>87</v>
      </c>
      <c r="V2502" s="16" t="str">
        <f>IFERROR(__xludf.DUMMYFUNCTION("""COMPUTED_VALUE"""),"")</f>
        <v/>
      </c>
      <c r="W2502" s="16" t="str">
        <f>IFERROR(__xludf.DUMMYFUNCTION("""COMPUTED_VALUE"""),"")</f>
        <v/>
      </c>
      <c r="X2502" s="16" t="str">
        <f>IFERROR(__xludf.DUMMYFUNCTION("""COMPUTED_VALUE"""),"")</f>
        <v/>
      </c>
      <c r="AC2502" s="16" t="str">
        <f>IFERROR(__xludf.DUMMYFUNCTION("""COMPUTED_VALUE"""),"")</f>
        <v/>
      </c>
    </row>
    <row r="2503">
      <c r="A2503" s="16" t="s">
        <v>87</v>
      </c>
      <c r="E2503" s="16" t="str">
        <f>IFERROR(__xludf.DUMMYFUNCTION("""COMPUTED_VALUE"""),"")</f>
        <v/>
      </c>
      <c r="G2503" s="18"/>
      <c r="H2503" s="16" t="s">
        <v>87</v>
      </c>
      <c r="I2503" s="16" t="s">
        <v>87</v>
      </c>
      <c r="J2503" s="19"/>
      <c r="L2503" s="16" t="str">
        <f>IFERROR(__xludf.DUMMYFUNCTION("""COMPUTED_VALUE"""),"")</f>
        <v/>
      </c>
      <c r="M2503" s="16" t="str">
        <f>IFERROR(__xludf.DUMMYFUNCTION("""COMPUTED_VALUE"""),"")</f>
        <v/>
      </c>
      <c r="U2503" s="16" t="s">
        <v>87</v>
      </c>
      <c r="V2503" s="16" t="str">
        <f>IFERROR(__xludf.DUMMYFUNCTION("""COMPUTED_VALUE"""),"")</f>
        <v/>
      </c>
      <c r="W2503" s="16" t="str">
        <f>IFERROR(__xludf.DUMMYFUNCTION("""COMPUTED_VALUE"""),"")</f>
        <v/>
      </c>
      <c r="X2503" s="16" t="str">
        <f>IFERROR(__xludf.DUMMYFUNCTION("""COMPUTED_VALUE"""),"")</f>
        <v/>
      </c>
      <c r="AC2503" s="16" t="str">
        <f>IFERROR(__xludf.DUMMYFUNCTION("""COMPUTED_VALUE"""),"")</f>
        <v/>
      </c>
    </row>
    <row r="2504">
      <c r="A2504" s="16" t="s">
        <v>87</v>
      </c>
      <c r="E2504" s="16" t="str">
        <f>IFERROR(__xludf.DUMMYFUNCTION("""COMPUTED_VALUE"""),"")</f>
        <v/>
      </c>
      <c r="G2504" s="18"/>
      <c r="H2504" s="16" t="s">
        <v>87</v>
      </c>
      <c r="I2504" s="16" t="s">
        <v>87</v>
      </c>
      <c r="J2504" s="19"/>
      <c r="L2504" s="16" t="str">
        <f>IFERROR(__xludf.DUMMYFUNCTION("""COMPUTED_VALUE"""),"")</f>
        <v/>
      </c>
      <c r="M2504" s="16" t="str">
        <f>IFERROR(__xludf.DUMMYFUNCTION("""COMPUTED_VALUE"""),"")</f>
        <v/>
      </c>
      <c r="U2504" s="16" t="s">
        <v>87</v>
      </c>
      <c r="V2504" s="16" t="str">
        <f>IFERROR(__xludf.DUMMYFUNCTION("""COMPUTED_VALUE"""),"")</f>
        <v/>
      </c>
      <c r="W2504" s="16" t="str">
        <f>IFERROR(__xludf.DUMMYFUNCTION("""COMPUTED_VALUE"""),"")</f>
        <v/>
      </c>
      <c r="X2504" s="16" t="str">
        <f>IFERROR(__xludf.DUMMYFUNCTION("""COMPUTED_VALUE"""),"")</f>
        <v/>
      </c>
      <c r="AC2504" s="16" t="str">
        <f>IFERROR(__xludf.DUMMYFUNCTION("""COMPUTED_VALUE"""),"")</f>
        <v/>
      </c>
    </row>
    <row r="2505">
      <c r="A2505" s="16" t="s">
        <v>87</v>
      </c>
      <c r="E2505" s="16" t="str">
        <f>IFERROR(__xludf.DUMMYFUNCTION("""COMPUTED_VALUE"""),"")</f>
        <v/>
      </c>
      <c r="G2505" s="18"/>
      <c r="H2505" s="16" t="s">
        <v>87</v>
      </c>
      <c r="I2505" s="16" t="s">
        <v>87</v>
      </c>
      <c r="J2505" s="19"/>
      <c r="L2505" s="16" t="str">
        <f>IFERROR(__xludf.DUMMYFUNCTION("""COMPUTED_VALUE"""),"")</f>
        <v/>
      </c>
      <c r="M2505" s="16" t="str">
        <f>IFERROR(__xludf.DUMMYFUNCTION("""COMPUTED_VALUE"""),"")</f>
        <v/>
      </c>
      <c r="U2505" s="16" t="s">
        <v>87</v>
      </c>
      <c r="V2505" s="16" t="str">
        <f>IFERROR(__xludf.DUMMYFUNCTION("""COMPUTED_VALUE"""),"")</f>
        <v/>
      </c>
      <c r="W2505" s="16" t="str">
        <f>IFERROR(__xludf.DUMMYFUNCTION("""COMPUTED_VALUE"""),"")</f>
        <v/>
      </c>
      <c r="X2505" s="16" t="str">
        <f>IFERROR(__xludf.DUMMYFUNCTION("""COMPUTED_VALUE"""),"")</f>
        <v/>
      </c>
      <c r="AC2505" s="16" t="str">
        <f>IFERROR(__xludf.DUMMYFUNCTION("""COMPUTED_VALUE"""),"")</f>
        <v/>
      </c>
    </row>
    <row r="2506">
      <c r="A2506" s="16" t="s">
        <v>87</v>
      </c>
      <c r="E2506" s="16" t="str">
        <f>IFERROR(__xludf.DUMMYFUNCTION("""COMPUTED_VALUE"""),"")</f>
        <v/>
      </c>
      <c r="G2506" s="18"/>
      <c r="H2506" s="16" t="s">
        <v>87</v>
      </c>
      <c r="I2506" s="16" t="s">
        <v>87</v>
      </c>
      <c r="J2506" s="19"/>
      <c r="L2506" s="16" t="str">
        <f>IFERROR(__xludf.DUMMYFUNCTION("""COMPUTED_VALUE"""),"")</f>
        <v/>
      </c>
      <c r="M2506" s="16" t="str">
        <f>IFERROR(__xludf.DUMMYFUNCTION("""COMPUTED_VALUE"""),"")</f>
        <v/>
      </c>
      <c r="U2506" s="16" t="s">
        <v>87</v>
      </c>
      <c r="V2506" s="16" t="str">
        <f>IFERROR(__xludf.DUMMYFUNCTION("""COMPUTED_VALUE"""),"")</f>
        <v/>
      </c>
      <c r="W2506" s="16" t="str">
        <f>IFERROR(__xludf.DUMMYFUNCTION("""COMPUTED_VALUE"""),"")</f>
        <v/>
      </c>
      <c r="X2506" s="16" t="str">
        <f>IFERROR(__xludf.DUMMYFUNCTION("""COMPUTED_VALUE"""),"")</f>
        <v/>
      </c>
      <c r="AC2506" s="16" t="str">
        <f>IFERROR(__xludf.DUMMYFUNCTION("""COMPUTED_VALUE"""),"")</f>
        <v/>
      </c>
    </row>
    <row r="2507">
      <c r="A2507" s="16" t="s">
        <v>87</v>
      </c>
      <c r="E2507" s="16" t="str">
        <f>IFERROR(__xludf.DUMMYFUNCTION("""COMPUTED_VALUE"""),"")</f>
        <v/>
      </c>
      <c r="G2507" s="18"/>
      <c r="H2507" s="16" t="s">
        <v>87</v>
      </c>
      <c r="I2507" s="16" t="s">
        <v>87</v>
      </c>
      <c r="J2507" s="19"/>
      <c r="L2507" s="16" t="str">
        <f>IFERROR(__xludf.DUMMYFUNCTION("""COMPUTED_VALUE"""),"")</f>
        <v/>
      </c>
      <c r="M2507" s="16" t="str">
        <f>IFERROR(__xludf.DUMMYFUNCTION("""COMPUTED_VALUE"""),"")</f>
        <v/>
      </c>
      <c r="U2507" s="16" t="s">
        <v>87</v>
      </c>
      <c r="V2507" s="16" t="str">
        <f>IFERROR(__xludf.DUMMYFUNCTION("""COMPUTED_VALUE"""),"")</f>
        <v/>
      </c>
      <c r="W2507" s="16" t="str">
        <f>IFERROR(__xludf.DUMMYFUNCTION("""COMPUTED_VALUE"""),"")</f>
        <v/>
      </c>
      <c r="X2507" s="16" t="str">
        <f>IFERROR(__xludf.DUMMYFUNCTION("""COMPUTED_VALUE"""),"")</f>
        <v/>
      </c>
      <c r="AC2507" s="16" t="str">
        <f>IFERROR(__xludf.DUMMYFUNCTION("""COMPUTED_VALUE"""),"")</f>
        <v/>
      </c>
    </row>
    <row r="2508">
      <c r="A2508" s="16" t="s">
        <v>87</v>
      </c>
      <c r="E2508" s="16" t="str">
        <f>IFERROR(__xludf.DUMMYFUNCTION("""COMPUTED_VALUE"""),"")</f>
        <v/>
      </c>
      <c r="G2508" s="18"/>
      <c r="H2508" s="16" t="s">
        <v>87</v>
      </c>
      <c r="I2508" s="16" t="s">
        <v>87</v>
      </c>
      <c r="J2508" s="19"/>
      <c r="L2508" s="16" t="str">
        <f>IFERROR(__xludf.DUMMYFUNCTION("""COMPUTED_VALUE"""),"")</f>
        <v/>
      </c>
      <c r="M2508" s="16" t="str">
        <f>IFERROR(__xludf.DUMMYFUNCTION("""COMPUTED_VALUE"""),"")</f>
        <v/>
      </c>
      <c r="U2508" s="16" t="s">
        <v>87</v>
      </c>
      <c r="V2508" s="16" t="str">
        <f>IFERROR(__xludf.DUMMYFUNCTION("""COMPUTED_VALUE"""),"")</f>
        <v/>
      </c>
      <c r="W2508" s="16" t="str">
        <f>IFERROR(__xludf.DUMMYFUNCTION("""COMPUTED_VALUE"""),"")</f>
        <v/>
      </c>
      <c r="X2508" s="16" t="str">
        <f>IFERROR(__xludf.DUMMYFUNCTION("""COMPUTED_VALUE"""),"")</f>
        <v/>
      </c>
      <c r="AC2508" s="16" t="str">
        <f>IFERROR(__xludf.DUMMYFUNCTION("""COMPUTED_VALUE"""),"")</f>
        <v/>
      </c>
    </row>
    <row r="2509">
      <c r="A2509" s="16" t="s">
        <v>87</v>
      </c>
      <c r="E2509" s="16" t="str">
        <f>IFERROR(__xludf.DUMMYFUNCTION("""COMPUTED_VALUE"""),"")</f>
        <v/>
      </c>
      <c r="G2509" s="18"/>
      <c r="H2509" s="16" t="s">
        <v>87</v>
      </c>
      <c r="I2509" s="16" t="s">
        <v>87</v>
      </c>
      <c r="J2509" s="19"/>
      <c r="L2509" s="16" t="str">
        <f>IFERROR(__xludf.DUMMYFUNCTION("""COMPUTED_VALUE"""),"")</f>
        <v/>
      </c>
      <c r="M2509" s="16" t="str">
        <f>IFERROR(__xludf.DUMMYFUNCTION("""COMPUTED_VALUE"""),"")</f>
        <v/>
      </c>
      <c r="U2509" s="16" t="s">
        <v>87</v>
      </c>
      <c r="V2509" s="16" t="str">
        <f>IFERROR(__xludf.DUMMYFUNCTION("""COMPUTED_VALUE"""),"")</f>
        <v/>
      </c>
      <c r="W2509" s="16" t="str">
        <f>IFERROR(__xludf.DUMMYFUNCTION("""COMPUTED_VALUE"""),"")</f>
        <v/>
      </c>
      <c r="X2509" s="16" t="str">
        <f>IFERROR(__xludf.DUMMYFUNCTION("""COMPUTED_VALUE"""),"")</f>
        <v/>
      </c>
      <c r="AC2509" s="16" t="str">
        <f>IFERROR(__xludf.DUMMYFUNCTION("""COMPUTED_VALUE"""),"")</f>
        <v/>
      </c>
    </row>
    <row r="2510">
      <c r="A2510" s="16" t="s">
        <v>87</v>
      </c>
      <c r="E2510" s="16" t="str">
        <f>IFERROR(__xludf.DUMMYFUNCTION("""COMPUTED_VALUE"""),"")</f>
        <v/>
      </c>
      <c r="G2510" s="18"/>
      <c r="H2510" s="16" t="s">
        <v>87</v>
      </c>
      <c r="I2510" s="16" t="s">
        <v>87</v>
      </c>
      <c r="J2510" s="19"/>
      <c r="L2510" s="16" t="str">
        <f>IFERROR(__xludf.DUMMYFUNCTION("""COMPUTED_VALUE"""),"")</f>
        <v/>
      </c>
      <c r="M2510" s="16" t="str">
        <f>IFERROR(__xludf.DUMMYFUNCTION("""COMPUTED_VALUE"""),"")</f>
        <v/>
      </c>
      <c r="U2510" s="16" t="s">
        <v>87</v>
      </c>
      <c r="V2510" s="16" t="str">
        <f>IFERROR(__xludf.DUMMYFUNCTION("""COMPUTED_VALUE"""),"")</f>
        <v/>
      </c>
      <c r="W2510" s="16" t="str">
        <f>IFERROR(__xludf.DUMMYFUNCTION("""COMPUTED_VALUE"""),"")</f>
        <v/>
      </c>
      <c r="X2510" s="16" t="str">
        <f>IFERROR(__xludf.DUMMYFUNCTION("""COMPUTED_VALUE"""),"")</f>
        <v/>
      </c>
      <c r="AC2510" s="16" t="str">
        <f>IFERROR(__xludf.DUMMYFUNCTION("""COMPUTED_VALUE"""),"")</f>
        <v/>
      </c>
    </row>
    <row r="2511">
      <c r="A2511" s="16" t="s">
        <v>87</v>
      </c>
      <c r="E2511" s="16" t="str">
        <f>IFERROR(__xludf.DUMMYFUNCTION("""COMPUTED_VALUE"""),"")</f>
        <v/>
      </c>
      <c r="G2511" s="18"/>
      <c r="H2511" s="16" t="s">
        <v>87</v>
      </c>
      <c r="I2511" s="16" t="s">
        <v>87</v>
      </c>
      <c r="J2511" s="19"/>
      <c r="L2511" s="16" t="str">
        <f>IFERROR(__xludf.DUMMYFUNCTION("""COMPUTED_VALUE"""),"")</f>
        <v/>
      </c>
      <c r="M2511" s="16" t="str">
        <f>IFERROR(__xludf.DUMMYFUNCTION("""COMPUTED_VALUE"""),"")</f>
        <v/>
      </c>
      <c r="U2511" s="16" t="s">
        <v>87</v>
      </c>
      <c r="V2511" s="16" t="str">
        <f>IFERROR(__xludf.DUMMYFUNCTION("""COMPUTED_VALUE"""),"")</f>
        <v/>
      </c>
      <c r="W2511" s="16" t="str">
        <f>IFERROR(__xludf.DUMMYFUNCTION("""COMPUTED_VALUE"""),"")</f>
        <v/>
      </c>
      <c r="X2511" s="16" t="str">
        <f>IFERROR(__xludf.DUMMYFUNCTION("""COMPUTED_VALUE"""),"")</f>
        <v/>
      </c>
      <c r="AC2511" s="16" t="str">
        <f>IFERROR(__xludf.DUMMYFUNCTION("""COMPUTED_VALUE"""),"")</f>
        <v/>
      </c>
    </row>
    <row r="2512">
      <c r="A2512" s="16" t="s">
        <v>87</v>
      </c>
      <c r="E2512" s="16" t="str">
        <f>IFERROR(__xludf.DUMMYFUNCTION("""COMPUTED_VALUE"""),"")</f>
        <v/>
      </c>
      <c r="G2512" s="18"/>
      <c r="H2512" s="16" t="s">
        <v>87</v>
      </c>
      <c r="I2512" s="16" t="s">
        <v>87</v>
      </c>
      <c r="J2512" s="19"/>
      <c r="L2512" s="16" t="str">
        <f>IFERROR(__xludf.DUMMYFUNCTION("""COMPUTED_VALUE"""),"")</f>
        <v/>
      </c>
      <c r="M2512" s="16" t="str">
        <f>IFERROR(__xludf.DUMMYFUNCTION("""COMPUTED_VALUE"""),"")</f>
        <v/>
      </c>
      <c r="U2512" s="16" t="s">
        <v>87</v>
      </c>
      <c r="V2512" s="16" t="str">
        <f>IFERROR(__xludf.DUMMYFUNCTION("""COMPUTED_VALUE"""),"")</f>
        <v/>
      </c>
      <c r="W2512" s="16" t="str">
        <f>IFERROR(__xludf.DUMMYFUNCTION("""COMPUTED_VALUE"""),"")</f>
        <v/>
      </c>
      <c r="X2512" s="16" t="str">
        <f>IFERROR(__xludf.DUMMYFUNCTION("""COMPUTED_VALUE"""),"")</f>
        <v/>
      </c>
      <c r="AC2512" s="16" t="str">
        <f>IFERROR(__xludf.DUMMYFUNCTION("""COMPUTED_VALUE"""),"")</f>
        <v/>
      </c>
    </row>
    <row r="2513">
      <c r="A2513" s="16" t="s">
        <v>87</v>
      </c>
      <c r="E2513" s="16" t="str">
        <f>IFERROR(__xludf.DUMMYFUNCTION("""COMPUTED_VALUE"""),"")</f>
        <v/>
      </c>
      <c r="G2513" s="18"/>
      <c r="H2513" s="16" t="s">
        <v>87</v>
      </c>
      <c r="I2513" s="16" t="s">
        <v>87</v>
      </c>
      <c r="J2513" s="19"/>
      <c r="L2513" s="16" t="str">
        <f>IFERROR(__xludf.DUMMYFUNCTION("""COMPUTED_VALUE"""),"")</f>
        <v/>
      </c>
      <c r="M2513" s="16" t="str">
        <f>IFERROR(__xludf.DUMMYFUNCTION("""COMPUTED_VALUE"""),"")</f>
        <v/>
      </c>
      <c r="U2513" s="16" t="s">
        <v>87</v>
      </c>
      <c r="V2513" s="16" t="str">
        <f>IFERROR(__xludf.DUMMYFUNCTION("""COMPUTED_VALUE"""),"")</f>
        <v/>
      </c>
      <c r="W2513" s="16" t="str">
        <f>IFERROR(__xludf.DUMMYFUNCTION("""COMPUTED_VALUE"""),"")</f>
        <v/>
      </c>
      <c r="X2513" s="16" t="str">
        <f>IFERROR(__xludf.DUMMYFUNCTION("""COMPUTED_VALUE"""),"")</f>
        <v/>
      </c>
      <c r="AC2513" s="16" t="str">
        <f>IFERROR(__xludf.DUMMYFUNCTION("""COMPUTED_VALUE"""),"")</f>
        <v/>
      </c>
    </row>
    <row r="2514">
      <c r="A2514" s="16" t="s">
        <v>87</v>
      </c>
      <c r="E2514" s="16" t="str">
        <f>IFERROR(__xludf.DUMMYFUNCTION("""COMPUTED_VALUE"""),"")</f>
        <v/>
      </c>
      <c r="G2514" s="18"/>
      <c r="H2514" s="16" t="s">
        <v>87</v>
      </c>
      <c r="I2514" s="16" t="s">
        <v>87</v>
      </c>
      <c r="J2514" s="19"/>
      <c r="L2514" s="16" t="str">
        <f>IFERROR(__xludf.DUMMYFUNCTION("""COMPUTED_VALUE"""),"")</f>
        <v/>
      </c>
      <c r="M2514" s="16" t="str">
        <f>IFERROR(__xludf.DUMMYFUNCTION("""COMPUTED_VALUE"""),"")</f>
        <v/>
      </c>
      <c r="U2514" s="16" t="s">
        <v>87</v>
      </c>
      <c r="V2514" s="16" t="str">
        <f>IFERROR(__xludf.DUMMYFUNCTION("""COMPUTED_VALUE"""),"")</f>
        <v/>
      </c>
      <c r="W2514" s="16" t="str">
        <f>IFERROR(__xludf.DUMMYFUNCTION("""COMPUTED_VALUE"""),"")</f>
        <v/>
      </c>
      <c r="X2514" s="16" t="str">
        <f>IFERROR(__xludf.DUMMYFUNCTION("""COMPUTED_VALUE"""),"")</f>
        <v/>
      </c>
      <c r="AC2514" s="16" t="str">
        <f>IFERROR(__xludf.DUMMYFUNCTION("""COMPUTED_VALUE"""),"")</f>
        <v/>
      </c>
    </row>
    <row r="2515">
      <c r="A2515" s="16" t="s">
        <v>87</v>
      </c>
      <c r="E2515" s="16" t="str">
        <f>IFERROR(__xludf.DUMMYFUNCTION("""COMPUTED_VALUE"""),"")</f>
        <v/>
      </c>
      <c r="G2515" s="18"/>
      <c r="H2515" s="16" t="s">
        <v>87</v>
      </c>
      <c r="I2515" s="16" t="s">
        <v>87</v>
      </c>
      <c r="J2515" s="19"/>
      <c r="L2515" s="16" t="str">
        <f>IFERROR(__xludf.DUMMYFUNCTION("""COMPUTED_VALUE"""),"")</f>
        <v/>
      </c>
      <c r="M2515" s="16" t="str">
        <f>IFERROR(__xludf.DUMMYFUNCTION("""COMPUTED_VALUE"""),"")</f>
        <v/>
      </c>
      <c r="U2515" s="16" t="s">
        <v>87</v>
      </c>
      <c r="V2515" s="16" t="str">
        <f>IFERROR(__xludf.DUMMYFUNCTION("""COMPUTED_VALUE"""),"")</f>
        <v/>
      </c>
      <c r="W2515" s="16" t="str">
        <f>IFERROR(__xludf.DUMMYFUNCTION("""COMPUTED_VALUE"""),"")</f>
        <v/>
      </c>
      <c r="X2515" s="16" t="str">
        <f>IFERROR(__xludf.DUMMYFUNCTION("""COMPUTED_VALUE"""),"")</f>
        <v/>
      </c>
      <c r="AC2515" s="16" t="str">
        <f>IFERROR(__xludf.DUMMYFUNCTION("""COMPUTED_VALUE"""),"")</f>
        <v/>
      </c>
    </row>
    <row r="2516">
      <c r="A2516" s="16" t="s">
        <v>87</v>
      </c>
      <c r="E2516" s="16" t="str">
        <f>IFERROR(__xludf.DUMMYFUNCTION("""COMPUTED_VALUE"""),"")</f>
        <v/>
      </c>
      <c r="G2516" s="18"/>
      <c r="H2516" s="16" t="s">
        <v>87</v>
      </c>
      <c r="I2516" s="16" t="s">
        <v>87</v>
      </c>
      <c r="J2516" s="19"/>
      <c r="L2516" s="16" t="str">
        <f>IFERROR(__xludf.DUMMYFUNCTION("""COMPUTED_VALUE"""),"")</f>
        <v/>
      </c>
      <c r="M2516" s="16" t="str">
        <f>IFERROR(__xludf.DUMMYFUNCTION("""COMPUTED_VALUE"""),"")</f>
        <v/>
      </c>
      <c r="U2516" s="16" t="s">
        <v>87</v>
      </c>
      <c r="V2516" s="16" t="str">
        <f>IFERROR(__xludf.DUMMYFUNCTION("""COMPUTED_VALUE"""),"")</f>
        <v/>
      </c>
      <c r="W2516" s="16" t="str">
        <f>IFERROR(__xludf.DUMMYFUNCTION("""COMPUTED_VALUE"""),"")</f>
        <v/>
      </c>
      <c r="X2516" s="16" t="str">
        <f>IFERROR(__xludf.DUMMYFUNCTION("""COMPUTED_VALUE"""),"")</f>
        <v/>
      </c>
      <c r="AC2516" s="16" t="str">
        <f>IFERROR(__xludf.DUMMYFUNCTION("""COMPUTED_VALUE"""),"")</f>
        <v/>
      </c>
    </row>
    <row r="2517">
      <c r="A2517" s="16" t="s">
        <v>87</v>
      </c>
      <c r="E2517" s="16" t="str">
        <f>IFERROR(__xludf.DUMMYFUNCTION("""COMPUTED_VALUE"""),"")</f>
        <v/>
      </c>
      <c r="G2517" s="18"/>
      <c r="H2517" s="16" t="s">
        <v>87</v>
      </c>
      <c r="I2517" s="16" t="s">
        <v>87</v>
      </c>
      <c r="J2517" s="19"/>
      <c r="L2517" s="16" t="str">
        <f>IFERROR(__xludf.DUMMYFUNCTION("""COMPUTED_VALUE"""),"")</f>
        <v/>
      </c>
      <c r="M2517" s="16" t="str">
        <f>IFERROR(__xludf.DUMMYFUNCTION("""COMPUTED_VALUE"""),"")</f>
        <v/>
      </c>
      <c r="U2517" s="16" t="s">
        <v>87</v>
      </c>
      <c r="V2517" s="16" t="str">
        <f>IFERROR(__xludf.DUMMYFUNCTION("""COMPUTED_VALUE"""),"")</f>
        <v/>
      </c>
      <c r="W2517" s="16" t="str">
        <f>IFERROR(__xludf.DUMMYFUNCTION("""COMPUTED_VALUE"""),"")</f>
        <v/>
      </c>
      <c r="X2517" s="16" t="str">
        <f>IFERROR(__xludf.DUMMYFUNCTION("""COMPUTED_VALUE"""),"")</f>
        <v/>
      </c>
      <c r="AC2517" s="16" t="str">
        <f>IFERROR(__xludf.DUMMYFUNCTION("""COMPUTED_VALUE"""),"")</f>
        <v/>
      </c>
    </row>
    <row r="2518">
      <c r="A2518" s="16" t="s">
        <v>87</v>
      </c>
      <c r="E2518" s="16" t="str">
        <f>IFERROR(__xludf.DUMMYFUNCTION("""COMPUTED_VALUE"""),"")</f>
        <v/>
      </c>
      <c r="G2518" s="18"/>
      <c r="H2518" s="16" t="s">
        <v>87</v>
      </c>
      <c r="I2518" s="16" t="s">
        <v>87</v>
      </c>
      <c r="J2518" s="19"/>
      <c r="L2518" s="16" t="str">
        <f>IFERROR(__xludf.DUMMYFUNCTION("""COMPUTED_VALUE"""),"")</f>
        <v/>
      </c>
      <c r="M2518" s="16" t="str">
        <f>IFERROR(__xludf.DUMMYFUNCTION("""COMPUTED_VALUE"""),"")</f>
        <v/>
      </c>
      <c r="U2518" s="16" t="s">
        <v>87</v>
      </c>
      <c r="V2518" s="16" t="str">
        <f>IFERROR(__xludf.DUMMYFUNCTION("""COMPUTED_VALUE"""),"")</f>
        <v/>
      </c>
      <c r="W2518" s="16" t="str">
        <f>IFERROR(__xludf.DUMMYFUNCTION("""COMPUTED_VALUE"""),"")</f>
        <v/>
      </c>
      <c r="X2518" s="16" t="str">
        <f>IFERROR(__xludf.DUMMYFUNCTION("""COMPUTED_VALUE"""),"")</f>
        <v/>
      </c>
      <c r="AC2518" s="16" t="str">
        <f>IFERROR(__xludf.DUMMYFUNCTION("""COMPUTED_VALUE"""),"")</f>
        <v/>
      </c>
    </row>
    <row r="2519">
      <c r="A2519" s="16" t="s">
        <v>87</v>
      </c>
      <c r="E2519" s="16" t="str">
        <f>IFERROR(__xludf.DUMMYFUNCTION("""COMPUTED_VALUE"""),"")</f>
        <v/>
      </c>
      <c r="G2519" s="18"/>
      <c r="H2519" s="16" t="s">
        <v>87</v>
      </c>
      <c r="I2519" s="16" t="s">
        <v>87</v>
      </c>
      <c r="J2519" s="19"/>
      <c r="L2519" s="16" t="str">
        <f>IFERROR(__xludf.DUMMYFUNCTION("""COMPUTED_VALUE"""),"")</f>
        <v/>
      </c>
      <c r="M2519" s="16" t="str">
        <f>IFERROR(__xludf.DUMMYFUNCTION("""COMPUTED_VALUE"""),"")</f>
        <v/>
      </c>
      <c r="U2519" s="16" t="s">
        <v>87</v>
      </c>
      <c r="V2519" s="16" t="str">
        <f>IFERROR(__xludf.DUMMYFUNCTION("""COMPUTED_VALUE"""),"")</f>
        <v/>
      </c>
      <c r="W2519" s="16" t="str">
        <f>IFERROR(__xludf.DUMMYFUNCTION("""COMPUTED_VALUE"""),"")</f>
        <v/>
      </c>
      <c r="X2519" s="16" t="str">
        <f>IFERROR(__xludf.DUMMYFUNCTION("""COMPUTED_VALUE"""),"")</f>
        <v/>
      </c>
      <c r="AC2519" s="16" t="str">
        <f>IFERROR(__xludf.DUMMYFUNCTION("""COMPUTED_VALUE"""),"")</f>
        <v/>
      </c>
    </row>
    <row r="2520">
      <c r="A2520" s="16" t="s">
        <v>87</v>
      </c>
      <c r="E2520" s="16" t="str">
        <f>IFERROR(__xludf.DUMMYFUNCTION("""COMPUTED_VALUE"""),"")</f>
        <v/>
      </c>
      <c r="G2520" s="18"/>
      <c r="H2520" s="16" t="s">
        <v>87</v>
      </c>
      <c r="I2520" s="16" t="s">
        <v>87</v>
      </c>
      <c r="J2520" s="19"/>
      <c r="L2520" s="16" t="str">
        <f>IFERROR(__xludf.DUMMYFUNCTION("""COMPUTED_VALUE"""),"")</f>
        <v/>
      </c>
      <c r="M2520" s="16" t="str">
        <f>IFERROR(__xludf.DUMMYFUNCTION("""COMPUTED_VALUE"""),"")</f>
        <v/>
      </c>
      <c r="U2520" s="16" t="s">
        <v>87</v>
      </c>
      <c r="V2520" s="16" t="str">
        <f>IFERROR(__xludf.DUMMYFUNCTION("""COMPUTED_VALUE"""),"")</f>
        <v/>
      </c>
      <c r="W2520" s="16" t="str">
        <f>IFERROR(__xludf.DUMMYFUNCTION("""COMPUTED_VALUE"""),"")</f>
        <v/>
      </c>
      <c r="X2520" s="16" t="str">
        <f>IFERROR(__xludf.DUMMYFUNCTION("""COMPUTED_VALUE"""),"")</f>
        <v/>
      </c>
      <c r="AC2520" s="16" t="str">
        <f>IFERROR(__xludf.DUMMYFUNCTION("""COMPUTED_VALUE"""),"")</f>
        <v/>
      </c>
    </row>
    <row r="2521">
      <c r="A2521" s="16" t="s">
        <v>87</v>
      </c>
      <c r="E2521" s="16" t="str">
        <f>IFERROR(__xludf.DUMMYFUNCTION("""COMPUTED_VALUE"""),"")</f>
        <v/>
      </c>
      <c r="G2521" s="18"/>
      <c r="H2521" s="16" t="s">
        <v>87</v>
      </c>
      <c r="I2521" s="16" t="s">
        <v>87</v>
      </c>
      <c r="J2521" s="19"/>
      <c r="L2521" s="16" t="str">
        <f>IFERROR(__xludf.DUMMYFUNCTION("""COMPUTED_VALUE"""),"")</f>
        <v/>
      </c>
      <c r="M2521" s="16" t="str">
        <f>IFERROR(__xludf.DUMMYFUNCTION("""COMPUTED_VALUE"""),"")</f>
        <v/>
      </c>
      <c r="U2521" s="16" t="s">
        <v>87</v>
      </c>
      <c r="V2521" s="16" t="str">
        <f>IFERROR(__xludf.DUMMYFUNCTION("""COMPUTED_VALUE"""),"")</f>
        <v/>
      </c>
      <c r="W2521" s="16" t="str">
        <f>IFERROR(__xludf.DUMMYFUNCTION("""COMPUTED_VALUE"""),"")</f>
        <v/>
      </c>
      <c r="X2521" s="16" t="str">
        <f>IFERROR(__xludf.DUMMYFUNCTION("""COMPUTED_VALUE"""),"")</f>
        <v/>
      </c>
      <c r="AC2521" s="16" t="str">
        <f>IFERROR(__xludf.DUMMYFUNCTION("""COMPUTED_VALUE"""),"")</f>
        <v/>
      </c>
    </row>
    <row r="2522">
      <c r="A2522" s="16" t="s">
        <v>87</v>
      </c>
      <c r="E2522" s="16" t="str">
        <f>IFERROR(__xludf.DUMMYFUNCTION("""COMPUTED_VALUE"""),"")</f>
        <v/>
      </c>
      <c r="G2522" s="18"/>
      <c r="H2522" s="16" t="s">
        <v>87</v>
      </c>
      <c r="I2522" s="16" t="s">
        <v>87</v>
      </c>
      <c r="J2522" s="19"/>
      <c r="L2522" s="16" t="str">
        <f>IFERROR(__xludf.DUMMYFUNCTION("""COMPUTED_VALUE"""),"")</f>
        <v/>
      </c>
      <c r="M2522" s="16" t="str">
        <f>IFERROR(__xludf.DUMMYFUNCTION("""COMPUTED_VALUE"""),"")</f>
        <v/>
      </c>
      <c r="U2522" s="16" t="s">
        <v>87</v>
      </c>
      <c r="V2522" s="16" t="str">
        <f>IFERROR(__xludf.DUMMYFUNCTION("""COMPUTED_VALUE"""),"")</f>
        <v/>
      </c>
      <c r="W2522" s="16" t="str">
        <f>IFERROR(__xludf.DUMMYFUNCTION("""COMPUTED_VALUE"""),"")</f>
        <v/>
      </c>
      <c r="X2522" s="16" t="str">
        <f>IFERROR(__xludf.DUMMYFUNCTION("""COMPUTED_VALUE"""),"")</f>
        <v/>
      </c>
      <c r="AC2522" s="16" t="str">
        <f>IFERROR(__xludf.DUMMYFUNCTION("""COMPUTED_VALUE"""),"")</f>
        <v/>
      </c>
    </row>
    <row r="2523">
      <c r="A2523" s="16" t="s">
        <v>87</v>
      </c>
      <c r="E2523" s="16" t="str">
        <f>IFERROR(__xludf.DUMMYFUNCTION("""COMPUTED_VALUE"""),"")</f>
        <v/>
      </c>
      <c r="G2523" s="18"/>
      <c r="H2523" s="16" t="s">
        <v>87</v>
      </c>
      <c r="I2523" s="16" t="s">
        <v>87</v>
      </c>
      <c r="J2523" s="19"/>
      <c r="L2523" s="16" t="str">
        <f>IFERROR(__xludf.DUMMYFUNCTION("""COMPUTED_VALUE"""),"")</f>
        <v/>
      </c>
      <c r="M2523" s="16" t="str">
        <f>IFERROR(__xludf.DUMMYFUNCTION("""COMPUTED_VALUE"""),"")</f>
        <v/>
      </c>
      <c r="U2523" s="16" t="s">
        <v>87</v>
      </c>
      <c r="V2523" s="16" t="str">
        <f>IFERROR(__xludf.DUMMYFUNCTION("""COMPUTED_VALUE"""),"")</f>
        <v/>
      </c>
      <c r="W2523" s="16" t="str">
        <f>IFERROR(__xludf.DUMMYFUNCTION("""COMPUTED_VALUE"""),"")</f>
        <v/>
      </c>
      <c r="X2523" s="16" t="str">
        <f>IFERROR(__xludf.DUMMYFUNCTION("""COMPUTED_VALUE"""),"")</f>
        <v/>
      </c>
      <c r="AC2523" s="16" t="str">
        <f>IFERROR(__xludf.DUMMYFUNCTION("""COMPUTED_VALUE"""),"")</f>
        <v/>
      </c>
    </row>
    <row r="2524">
      <c r="A2524" s="16" t="s">
        <v>87</v>
      </c>
      <c r="E2524" s="16" t="str">
        <f>IFERROR(__xludf.DUMMYFUNCTION("""COMPUTED_VALUE"""),"")</f>
        <v/>
      </c>
      <c r="G2524" s="18"/>
      <c r="H2524" s="16" t="s">
        <v>87</v>
      </c>
      <c r="I2524" s="16" t="s">
        <v>87</v>
      </c>
      <c r="J2524" s="19"/>
      <c r="L2524" s="16" t="str">
        <f>IFERROR(__xludf.DUMMYFUNCTION("""COMPUTED_VALUE"""),"")</f>
        <v/>
      </c>
      <c r="M2524" s="16" t="str">
        <f>IFERROR(__xludf.DUMMYFUNCTION("""COMPUTED_VALUE"""),"")</f>
        <v/>
      </c>
      <c r="U2524" s="16" t="s">
        <v>87</v>
      </c>
      <c r="V2524" s="16" t="str">
        <f>IFERROR(__xludf.DUMMYFUNCTION("""COMPUTED_VALUE"""),"")</f>
        <v/>
      </c>
      <c r="W2524" s="16" t="str">
        <f>IFERROR(__xludf.DUMMYFUNCTION("""COMPUTED_VALUE"""),"")</f>
        <v/>
      </c>
      <c r="X2524" s="16" t="str">
        <f>IFERROR(__xludf.DUMMYFUNCTION("""COMPUTED_VALUE"""),"")</f>
        <v/>
      </c>
      <c r="AC2524" s="16" t="str">
        <f>IFERROR(__xludf.DUMMYFUNCTION("""COMPUTED_VALUE"""),"")</f>
        <v/>
      </c>
    </row>
    <row r="2525">
      <c r="A2525" s="16" t="s">
        <v>87</v>
      </c>
      <c r="E2525" s="16" t="str">
        <f>IFERROR(__xludf.DUMMYFUNCTION("""COMPUTED_VALUE"""),"")</f>
        <v/>
      </c>
      <c r="G2525" s="18"/>
      <c r="H2525" s="16" t="s">
        <v>87</v>
      </c>
      <c r="I2525" s="16" t="s">
        <v>87</v>
      </c>
      <c r="J2525" s="19"/>
      <c r="L2525" s="16" t="str">
        <f>IFERROR(__xludf.DUMMYFUNCTION("""COMPUTED_VALUE"""),"")</f>
        <v/>
      </c>
      <c r="M2525" s="16" t="str">
        <f>IFERROR(__xludf.DUMMYFUNCTION("""COMPUTED_VALUE"""),"")</f>
        <v/>
      </c>
      <c r="U2525" s="16" t="s">
        <v>87</v>
      </c>
      <c r="V2525" s="16" t="str">
        <f>IFERROR(__xludf.DUMMYFUNCTION("""COMPUTED_VALUE"""),"")</f>
        <v/>
      </c>
      <c r="W2525" s="16" t="str">
        <f>IFERROR(__xludf.DUMMYFUNCTION("""COMPUTED_VALUE"""),"")</f>
        <v/>
      </c>
      <c r="X2525" s="16" t="str">
        <f>IFERROR(__xludf.DUMMYFUNCTION("""COMPUTED_VALUE"""),"")</f>
        <v/>
      </c>
      <c r="AC2525" s="16" t="str">
        <f>IFERROR(__xludf.DUMMYFUNCTION("""COMPUTED_VALUE"""),"")</f>
        <v/>
      </c>
    </row>
    <row r="2526">
      <c r="A2526" s="16" t="s">
        <v>87</v>
      </c>
      <c r="E2526" s="16" t="str">
        <f>IFERROR(__xludf.DUMMYFUNCTION("""COMPUTED_VALUE"""),"")</f>
        <v/>
      </c>
      <c r="G2526" s="18"/>
      <c r="H2526" s="16" t="s">
        <v>87</v>
      </c>
      <c r="I2526" s="16" t="s">
        <v>87</v>
      </c>
      <c r="J2526" s="19"/>
      <c r="L2526" s="16" t="str">
        <f>IFERROR(__xludf.DUMMYFUNCTION("""COMPUTED_VALUE"""),"")</f>
        <v/>
      </c>
      <c r="M2526" s="16" t="str">
        <f>IFERROR(__xludf.DUMMYFUNCTION("""COMPUTED_VALUE"""),"")</f>
        <v/>
      </c>
      <c r="U2526" s="16" t="s">
        <v>87</v>
      </c>
      <c r="V2526" s="16" t="str">
        <f>IFERROR(__xludf.DUMMYFUNCTION("""COMPUTED_VALUE"""),"")</f>
        <v/>
      </c>
      <c r="W2526" s="16" t="str">
        <f>IFERROR(__xludf.DUMMYFUNCTION("""COMPUTED_VALUE"""),"")</f>
        <v/>
      </c>
      <c r="X2526" s="16" t="str">
        <f>IFERROR(__xludf.DUMMYFUNCTION("""COMPUTED_VALUE"""),"")</f>
        <v/>
      </c>
      <c r="AC2526" s="16" t="str">
        <f>IFERROR(__xludf.DUMMYFUNCTION("""COMPUTED_VALUE"""),"")</f>
        <v/>
      </c>
    </row>
    <row r="2527">
      <c r="A2527" s="16" t="s">
        <v>87</v>
      </c>
      <c r="E2527" s="16" t="str">
        <f>IFERROR(__xludf.DUMMYFUNCTION("""COMPUTED_VALUE"""),"")</f>
        <v/>
      </c>
      <c r="G2527" s="18"/>
      <c r="H2527" s="16" t="s">
        <v>87</v>
      </c>
      <c r="I2527" s="16" t="s">
        <v>87</v>
      </c>
      <c r="J2527" s="19"/>
      <c r="L2527" s="16" t="str">
        <f>IFERROR(__xludf.DUMMYFUNCTION("""COMPUTED_VALUE"""),"")</f>
        <v/>
      </c>
      <c r="M2527" s="16" t="str">
        <f>IFERROR(__xludf.DUMMYFUNCTION("""COMPUTED_VALUE"""),"")</f>
        <v/>
      </c>
      <c r="U2527" s="16" t="s">
        <v>87</v>
      </c>
      <c r="V2527" s="16" t="str">
        <f>IFERROR(__xludf.DUMMYFUNCTION("""COMPUTED_VALUE"""),"")</f>
        <v/>
      </c>
      <c r="W2527" s="16" t="str">
        <f>IFERROR(__xludf.DUMMYFUNCTION("""COMPUTED_VALUE"""),"")</f>
        <v/>
      </c>
      <c r="X2527" s="16" t="str">
        <f>IFERROR(__xludf.DUMMYFUNCTION("""COMPUTED_VALUE"""),"")</f>
        <v/>
      </c>
      <c r="AC2527" s="16" t="str">
        <f>IFERROR(__xludf.DUMMYFUNCTION("""COMPUTED_VALUE"""),"")</f>
        <v/>
      </c>
    </row>
    <row r="2528">
      <c r="A2528" s="16" t="s">
        <v>87</v>
      </c>
      <c r="E2528" s="16" t="str">
        <f>IFERROR(__xludf.DUMMYFUNCTION("""COMPUTED_VALUE"""),"")</f>
        <v/>
      </c>
      <c r="G2528" s="18"/>
      <c r="H2528" s="16" t="s">
        <v>87</v>
      </c>
      <c r="I2528" s="16" t="s">
        <v>87</v>
      </c>
      <c r="J2528" s="19"/>
      <c r="L2528" s="16" t="str">
        <f>IFERROR(__xludf.DUMMYFUNCTION("""COMPUTED_VALUE"""),"")</f>
        <v/>
      </c>
      <c r="M2528" s="16" t="str">
        <f>IFERROR(__xludf.DUMMYFUNCTION("""COMPUTED_VALUE"""),"")</f>
        <v/>
      </c>
      <c r="U2528" s="16" t="s">
        <v>87</v>
      </c>
      <c r="V2528" s="16" t="str">
        <f>IFERROR(__xludf.DUMMYFUNCTION("""COMPUTED_VALUE"""),"")</f>
        <v/>
      </c>
      <c r="W2528" s="16" t="str">
        <f>IFERROR(__xludf.DUMMYFUNCTION("""COMPUTED_VALUE"""),"")</f>
        <v/>
      </c>
      <c r="X2528" s="16" t="str">
        <f>IFERROR(__xludf.DUMMYFUNCTION("""COMPUTED_VALUE"""),"")</f>
        <v/>
      </c>
      <c r="AC2528" s="16" t="str">
        <f>IFERROR(__xludf.DUMMYFUNCTION("""COMPUTED_VALUE"""),"")</f>
        <v/>
      </c>
    </row>
    <row r="2529">
      <c r="A2529" s="16" t="s">
        <v>87</v>
      </c>
      <c r="E2529" s="16" t="str">
        <f>IFERROR(__xludf.DUMMYFUNCTION("""COMPUTED_VALUE"""),"")</f>
        <v/>
      </c>
      <c r="G2529" s="18"/>
      <c r="H2529" s="16" t="s">
        <v>87</v>
      </c>
      <c r="I2529" s="16" t="s">
        <v>87</v>
      </c>
      <c r="J2529" s="19"/>
      <c r="L2529" s="16" t="str">
        <f>IFERROR(__xludf.DUMMYFUNCTION("""COMPUTED_VALUE"""),"")</f>
        <v/>
      </c>
      <c r="M2529" s="16" t="str">
        <f>IFERROR(__xludf.DUMMYFUNCTION("""COMPUTED_VALUE"""),"")</f>
        <v/>
      </c>
      <c r="U2529" s="16" t="s">
        <v>87</v>
      </c>
      <c r="V2529" s="16" t="str">
        <f>IFERROR(__xludf.DUMMYFUNCTION("""COMPUTED_VALUE"""),"")</f>
        <v/>
      </c>
      <c r="W2529" s="16" t="str">
        <f>IFERROR(__xludf.DUMMYFUNCTION("""COMPUTED_VALUE"""),"")</f>
        <v/>
      </c>
      <c r="X2529" s="16" t="str">
        <f>IFERROR(__xludf.DUMMYFUNCTION("""COMPUTED_VALUE"""),"")</f>
        <v/>
      </c>
      <c r="AC2529" s="16" t="str">
        <f>IFERROR(__xludf.DUMMYFUNCTION("""COMPUTED_VALUE"""),"")</f>
        <v/>
      </c>
    </row>
    <row r="2530">
      <c r="A2530" s="16" t="s">
        <v>87</v>
      </c>
      <c r="E2530" s="16" t="str">
        <f>IFERROR(__xludf.DUMMYFUNCTION("""COMPUTED_VALUE"""),"")</f>
        <v/>
      </c>
      <c r="G2530" s="18"/>
      <c r="H2530" s="16" t="s">
        <v>87</v>
      </c>
      <c r="I2530" s="16" t="s">
        <v>87</v>
      </c>
      <c r="J2530" s="19"/>
      <c r="L2530" s="16" t="str">
        <f>IFERROR(__xludf.DUMMYFUNCTION("""COMPUTED_VALUE"""),"")</f>
        <v/>
      </c>
      <c r="M2530" s="16" t="str">
        <f>IFERROR(__xludf.DUMMYFUNCTION("""COMPUTED_VALUE"""),"")</f>
        <v/>
      </c>
      <c r="U2530" s="16" t="s">
        <v>87</v>
      </c>
      <c r="V2530" s="16" t="str">
        <f>IFERROR(__xludf.DUMMYFUNCTION("""COMPUTED_VALUE"""),"")</f>
        <v/>
      </c>
      <c r="W2530" s="16" t="str">
        <f>IFERROR(__xludf.DUMMYFUNCTION("""COMPUTED_VALUE"""),"")</f>
        <v/>
      </c>
      <c r="X2530" s="16" t="str">
        <f>IFERROR(__xludf.DUMMYFUNCTION("""COMPUTED_VALUE"""),"")</f>
        <v/>
      </c>
      <c r="AC2530" s="16" t="str">
        <f>IFERROR(__xludf.DUMMYFUNCTION("""COMPUTED_VALUE"""),"")</f>
        <v/>
      </c>
    </row>
    <row r="2531">
      <c r="A2531" s="16" t="s">
        <v>87</v>
      </c>
      <c r="E2531" s="16" t="str">
        <f>IFERROR(__xludf.DUMMYFUNCTION("""COMPUTED_VALUE"""),"")</f>
        <v/>
      </c>
      <c r="G2531" s="18"/>
      <c r="H2531" s="16" t="s">
        <v>87</v>
      </c>
      <c r="I2531" s="16" t="s">
        <v>87</v>
      </c>
      <c r="J2531" s="19"/>
      <c r="L2531" s="16" t="str">
        <f>IFERROR(__xludf.DUMMYFUNCTION("""COMPUTED_VALUE"""),"")</f>
        <v/>
      </c>
      <c r="M2531" s="16" t="str">
        <f>IFERROR(__xludf.DUMMYFUNCTION("""COMPUTED_VALUE"""),"")</f>
        <v/>
      </c>
      <c r="U2531" s="16" t="s">
        <v>87</v>
      </c>
      <c r="V2531" s="16" t="str">
        <f>IFERROR(__xludf.DUMMYFUNCTION("""COMPUTED_VALUE"""),"")</f>
        <v/>
      </c>
      <c r="W2531" s="16" t="str">
        <f>IFERROR(__xludf.DUMMYFUNCTION("""COMPUTED_VALUE"""),"")</f>
        <v/>
      </c>
      <c r="X2531" s="16" t="str">
        <f>IFERROR(__xludf.DUMMYFUNCTION("""COMPUTED_VALUE"""),"")</f>
        <v/>
      </c>
      <c r="AC2531" s="16" t="str">
        <f>IFERROR(__xludf.DUMMYFUNCTION("""COMPUTED_VALUE"""),"")</f>
        <v/>
      </c>
    </row>
    <row r="2532">
      <c r="A2532" s="16" t="s">
        <v>87</v>
      </c>
      <c r="E2532" s="16" t="str">
        <f>IFERROR(__xludf.DUMMYFUNCTION("""COMPUTED_VALUE"""),"")</f>
        <v/>
      </c>
      <c r="G2532" s="18"/>
      <c r="H2532" s="16" t="s">
        <v>87</v>
      </c>
      <c r="I2532" s="16" t="s">
        <v>87</v>
      </c>
      <c r="J2532" s="19"/>
      <c r="L2532" s="16" t="str">
        <f>IFERROR(__xludf.DUMMYFUNCTION("""COMPUTED_VALUE"""),"")</f>
        <v/>
      </c>
      <c r="M2532" s="16" t="str">
        <f>IFERROR(__xludf.DUMMYFUNCTION("""COMPUTED_VALUE"""),"")</f>
        <v/>
      </c>
      <c r="U2532" s="16" t="s">
        <v>87</v>
      </c>
      <c r="V2532" s="16" t="str">
        <f>IFERROR(__xludf.DUMMYFUNCTION("""COMPUTED_VALUE"""),"")</f>
        <v/>
      </c>
      <c r="W2532" s="16" t="str">
        <f>IFERROR(__xludf.DUMMYFUNCTION("""COMPUTED_VALUE"""),"")</f>
        <v/>
      </c>
      <c r="X2532" s="16" t="str">
        <f>IFERROR(__xludf.DUMMYFUNCTION("""COMPUTED_VALUE"""),"")</f>
        <v/>
      </c>
      <c r="AC2532" s="16" t="str">
        <f>IFERROR(__xludf.DUMMYFUNCTION("""COMPUTED_VALUE"""),"")</f>
        <v/>
      </c>
    </row>
    <row r="2533">
      <c r="A2533" s="16" t="s">
        <v>87</v>
      </c>
      <c r="E2533" s="16" t="str">
        <f>IFERROR(__xludf.DUMMYFUNCTION("""COMPUTED_VALUE"""),"")</f>
        <v/>
      </c>
      <c r="G2533" s="18"/>
      <c r="H2533" s="16" t="s">
        <v>87</v>
      </c>
      <c r="I2533" s="16" t="s">
        <v>87</v>
      </c>
      <c r="J2533" s="19"/>
      <c r="L2533" s="16" t="str">
        <f>IFERROR(__xludf.DUMMYFUNCTION("""COMPUTED_VALUE"""),"")</f>
        <v/>
      </c>
      <c r="M2533" s="16" t="str">
        <f>IFERROR(__xludf.DUMMYFUNCTION("""COMPUTED_VALUE"""),"")</f>
        <v/>
      </c>
      <c r="U2533" s="16" t="s">
        <v>87</v>
      </c>
      <c r="V2533" s="16" t="str">
        <f>IFERROR(__xludf.DUMMYFUNCTION("""COMPUTED_VALUE"""),"")</f>
        <v/>
      </c>
      <c r="W2533" s="16" t="str">
        <f>IFERROR(__xludf.DUMMYFUNCTION("""COMPUTED_VALUE"""),"")</f>
        <v/>
      </c>
      <c r="X2533" s="16" t="str">
        <f>IFERROR(__xludf.DUMMYFUNCTION("""COMPUTED_VALUE"""),"")</f>
        <v/>
      </c>
      <c r="AC2533" s="16" t="str">
        <f>IFERROR(__xludf.DUMMYFUNCTION("""COMPUTED_VALUE"""),"")</f>
        <v/>
      </c>
    </row>
    <row r="2534">
      <c r="A2534" s="16" t="s">
        <v>87</v>
      </c>
      <c r="E2534" s="16" t="str">
        <f>IFERROR(__xludf.DUMMYFUNCTION("""COMPUTED_VALUE"""),"")</f>
        <v/>
      </c>
      <c r="G2534" s="18"/>
      <c r="H2534" s="16" t="s">
        <v>87</v>
      </c>
      <c r="I2534" s="16" t="s">
        <v>87</v>
      </c>
      <c r="J2534" s="19"/>
      <c r="L2534" s="16" t="str">
        <f>IFERROR(__xludf.DUMMYFUNCTION("""COMPUTED_VALUE"""),"")</f>
        <v/>
      </c>
      <c r="M2534" s="16" t="str">
        <f>IFERROR(__xludf.DUMMYFUNCTION("""COMPUTED_VALUE"""),"")</f>
        <v/>
      </c>
      <c r="U2534" s="16" t="s">
        <v>87</v>
      </c>
      <c r="V2534" s="16" t="str">
        <f>IFERROR(__xludf.DUMMYFUNCTION("""COMPUTED_VALUE"""),"")</f>
        <v/>
      </c>
      <c r="W2534" s="16" t="str">
        <f>IFERROR(__xludf.DUMMYFUNCTION("""COMPUTED_VALUE"""),"")</f>
        <v/>
      </c>
      <c r="X2534" s="16" t="str">
        <f>IFERROR(__xludf.DUMMYFUNCTION("""COMPUTED_VALUE"""),"")</f>
        <v/>
      </c>
      <c r="AC2534" s="16" t="str">
        <f>IFERROR(__xludf.DUMMYFUNCTION("""COMPUTED_VALUE"""),"")</f>
        <v/>
      </c>
    </row>
    <row r="2535">
      <c r="A2535" s="16" t="s">
        <v>87</v>
      </c>
      <c r="E2535" s="16" t="str">
        <f>IFERROR(__xludf.DUMMYFUNCTION("""COMPUTED_VALUE"""),"")</f>
        <v/>
      </c>
      <c r="G2535" s="18"/>
      <c r="H2535" s="16" t="s">
        <v>87</v>
      </c>
      <c r="I2535" s="16" t="s">
        <v>87</v>
      </c>
      <c r="J2535" s="19"/>
      <c r="L2535" s="16" t="str">
        <f>IFERROR(__xludf.DUMMYFUNCTION("""COMPUTED_VALUE"""),"")</f>
        <v/>
      </c>
      <c r="M2535" s="16" t="str">
        <f>IFERROR(__xludf.DUMMYFUNCTION("""COMPUTED_VALUE"""),"")</f>
        <v/>
      </c>
      <c r="U2535" s="16" t="s">
        <v>87</v>
      </c>
      <c r="V2535" s="16" t="str">
        <f>IFERROR(__xludf.DUMMYFUNCTION("""COMPUTED_VALUE"""),"")</f>
        <v/>
      </c>
      <c r="W2535" s="16" t="str">
        <f>IFERROR(__xludf.DUMMYFUNCTION("""COMPUTED_VALUE"""),"")</f>
        <v/>
      </c>
      <c r="X2535" s="16" t="str">
        <f>IFERROR(__xludf.DUMMYFUNCTION("""COMPUTED_VALUE"""),"")</f>
        <v/>
      </c>
      <c r="AC2535" s="16" t="str">
        <f>IFERROR(__xludf.DUMMYFUNCTION("""COMPUTED_VALUE"""),"")</f>
        <v/>
      </c>
    </row>
    <row r="2536">
      <c r="A2536" s="16" t="s">
        <v>87</v>
      </c>
      <c r="E2536" s="16" t="str">
        <f>IFERROR(__xludf.DUMMYFUNCTION("""COMPUTED_VALUE"""),"")</f>
        <v/>
      </c>
      <c r="G2536" s="18"/>
      <c r="H2536" s="16" t="s">
        <v>87</v>
      </c>
      <c r="I2536" s="16" t="s">
        <v>87</v>
      </c>
      <c r="J2536" s="19"/>
      <c r="L2536" s="16" t="str">
        <f>IFERROR(__xludf.DUMMYFUNCTION("""COMPUTED_VALUE"""),"")</f>
        <v/>
      </c>
      <c r="M2536" s="16" t="str">
        <f>IFERROR(__xludf.DUMMYFUNCTION("""COMPUTED_VALUE"""),"")</f>
        <v/>
      </c>
      <c r="U2536" s="16" t="s">
        <v>87</v>
      </c>
      <c r="V2536" s="16" t="str">
        <f>IFERROR(__xludf.DUMMYFUNCTION("""COMPUTED_VALUE"""),"")</f>
        <v/>
      </c>
      <c r="W2536" s="16" t="str">
        <f>IFERROR(__xludf.DUMMYFUNCTION("""COMPUTED_VALUE"""),"")</f>
        <v/>
      </c>
      <c r="X2536" s="16" t="str">
        <f>IFERROR(__xludf.DUMMYFUNCTION("""COMPUTED_VALUE"""),"")</f>
        <v/>
      </c>
      <c r="AC2536" s="16" t="str">
        <f>IFERROR(__xludf.DUMMYFUNCTION("""COMPUTED_VALUE"""),"")</f>
        <v/>
      </c>
    </row>
    <row r="2537">
      <c r="A2537" s="16" t="s">
        <v>87</v>
      </c>
      <c r="E2537" s="16" t="str">
        <f>IFERROR(__xludf.DUMMYFUNCTION("""COMPUTED_VALUE"""),"")</f>
        <v/>
      </c>
      <c r="G2537" s="18"/>
      <c r="H2537" s="16" t="s">
        <v>87</v>
      </c>
      <c r="I2537" s="16" t="s">
        <v>87</v>
      </c>
      <c r="J2537" s="19"/>
      <c r="L2537" s="16" t="str">
        <f>IFERROR(__xludf.DUMMYFUNCTION("""COMPUTED_VALUE"""),"")</f>
        <v/>
      </c>
      <c r="M2537" s="16" t="str">
        <f>IFERROR(__xludf.DUMMYFUNCTION("""COMPUTED_VALUE"""),"")</f>
        <v/>
      </c>
      <c r="U2537" s="16" t="s">
        <v>87</v>
      </c>
      <c r="V2537" s="16" t="str">
        <f>IFERROR(__xludf.DUMMYFUNCTION("""COMPUTED_VALUE"""),"")</f>
        <v/>
      </c>
      <c r="W2537" s="16" t="str">
        <f>IFERROR(__xludf.DUMMYFUNCTION("""COMPUTED_VALUE"""),"")</f>
        <v/>
      </c>
      <c r="X2537" s="16" t="str">
        <f>IFERROR(__xludf.DUMMYFUNCTION("""COMPUTED_VALUE"""),"")</f>
        <v/>
      </c>
      <c r="AC2537" s="16" t="str">
        <f>IFERROR(__xludf.DUMMYFUNCTION("""COMPUTED_VALUE"""),"")</f>
        <v/>
      </c>
    </row>
    <row r="2538">
      <c r="A2538" s="16" t="s">
        <v>87</v>
      </c>
      <c r="E2538" s="16" t="str">
        <f>IFERROR(__xludf.DUMMYFUNCTION("""COMPUTED_VALUE"""),"")</f>
        <v/>
      </c>
      <c r="G2538" s="18"/>
      <c r="H2538" s="16" t="s">
        <v>87</v>
      </c>
      <c r="I2538" s="16" t="s">
        <v>87</v>
      </c>
      <c r="J2538" s="19"/>
      <c r="L2538" s="16" t="str">
        <f>IFERROR(__xludf.DUMMYFUNCTION("""COMPUTED_VALUE"""),"")</f>
        <v/>
      </c>
      <c r="M2538" s="16" t="str">
        <f>IFERROR(__xludf.DUMMYFUNCTION("""COMPUTED_VALUE"""),"")</f>
        <v/>
      </c>
      <c r="U2538" s="16" t="s">
        <v>87</v>
      </c>
      <c r="V2538" s="16" t="str">
        <f>IFERROR(__xludf.DUMMYFUNCTION("""COMPUTED_VALUE"""),"")</f>
        <v/>
      </c>
      <c r="W2538" s="16" t="str">
        <f>IFERROR(__xludf.DUMMYFUNCTION("""COMPUTED_VALUE"""),"")</f>
        <v/>
      </c>
      <c r="X2538" s="16" t="str">
        <f>IFERROR(__xludf.DUMMYFUNCTION("""COMPUTED_VALUE"""),"")</f>
        <v/>
      </c>
      <c r="AC2538" s="16" t="str">
        <f>IFERROR(__xludf.DUMMYFUNCTION("""COMPUTED_VALUE"""),"")</f>
        <v/>
      </c>
    </row>
    <row r="2539">
      <c r="A2539" s="16" t="s">
        <v>87</v>
      </c>
      <c r="E2539" s="16" t="str">
        <f>IFERROR(__xludf.DUMMYFUNCTION("""COMPUTED_VALUE"""),"")</f>
        <v/>
      </c>
      <c r="G2539" s="18"/>
      <c r="H2539" s="16" t="s">
        <v>87</v>
      </c>
      <c r="I2539" s="16" t="s">
        <v>87</v>
      </c>
      <c r="J2539" s="19"/>
      <c r="L2539" s="16" t="str">
        <f>IFERROR(__xludf.DUMMYFUNCTION("""COMPUTED_VALUE"""),"")</f>
        <v/>
      </c>
      <c r="M2539" s="16" t="str">
        <f>IFERROR(__xludf.DUMMYFUNCTION("""COMPUTED_VALUE"""),"")</f>
        <v/>
      </c>
      <c r="U2539" s="16" t="s">
        <v>87</v>
      </c>
      <c r="V2539" s="16" t="str">
        <f>IFERROR(__xludf.DUMMYFUNCTION("""COMPUTED_VALUE"""),"")</f>
        <v/>
      </c>
      <c r="W2539" s="16" t="str">
        <f>IFERROR(__xludf.DUMMYFUNCTION("""COMPUTED_VALUE"""),"")</f>
        <v/>
      </c>
      <c r="X2539" s="16" t="str">
        <f>IFERROR(__xludf.DUMMYFUNCTION("""COMPUTED_VALUE"""),"")</f>
        <v/>
      </c>
      <c r="AC2539" s="16" t="str">
        <f>IFERROR(__xludf.DUMMYFUNCTION("""COMPUTED_VALUE"""),"")</f>
        <v/>
      </c>
    </row>
    <row r="2540">
      <c r="A2540" s="16" t="s">
        <v>87</v>
      </c>
      <c r="E2540" s="16" t="str">
        <f>IFERROR(__xludf.DUMMYFUNCTION("""COMPUTED_VALUE"""),"")</f>
        <v/>
      </c>
      <c r="G2540" s="18"/>
      <c r="H2540" s="16" t="s">
        <v>87</v>
      </c>
      <c r="I2540" s="16" t="s">
        <v>87</v>
      </c>
      <c r="J2540" s="19"/>
      <c r="L2540" s="16" t="str">
        <f>IFERROR(__xludf.DUMMYFUNCTION("""COMPUTED_VALUE"""),"")</f>
        <v/>
      </c>
      <c r="M2540" s="16" t="str">
        <f>IFERROR(__xludf.DUMMYFUNCTION("""COMPUTED_VALUE"""),"")</f>
        <v/>
      </c>
      <c r="U2540" s="16" t="s">
        <v>87</v>
      </c>
      <c r="V2540" s="16" t="str">
        <f>IFERROR(__xludf.DUMMYFUNCTION("""COMPUTED_VALUE"""),"")</f>
        <v/>
      </c>
      <c r="W2540" s="16" t="str">
        <f>IFERROR(__xludf.DUMMYFUNCTION("""COMPUTED_VALUE"""),"")</f>
        <v/>
      </c>
      <c r="X2540" s="16" t="str">
        <f>IFERROR(__xludf.DUMMYFUNCTION("""COMPUTED_VALUE"""),"")</f>
        <v/>
      </c>
      <c r="AC2540" s="16" t="str">
        <f>IFERROR(__xludf.DUMMYFUNCTION("""COMPUTED_VALUE"""),"")</f>
        <v/>
      </c>
    </row>
    <row r="2541">
      <c r="A2541" s="16" t="s">
        <v>87</v>
      </c>
      <c r="E2541" s="16" t="str">
        <f>IFERROR(__xludf.DUMMYFUNCTION("""COMPUTED_VALUE"""),"")</f>
        <v/>
      </c>
      <c r="G2541" s="18"/>
      <c r="H2541" s="16" t="s">
        <v>87</v>
      </c>
      <c r="I2541" s="16" t="s">
        <v>87</v>
      </c>
      <c r="J2541" s="19"/>
      <c r="L2541" s="16" t="str">
        <f>IFERROR(__xludf.DUMMYFUNCTION("""COMPUTED_VALUE"""),"")</f>
        <v/>
      </c>
      <c r="M2541" s="16" t="str">
        <f>IFERROR(__xludf.DUMMYFUNCTION("""COMPUTED_VALUE"""),"")</f>
        <v/>
      </c>
      <c r="U2541" s="16" t="s">
        <v>87</v>
      </c>
      <c r="V2541" s="16" t="str">
        <f>IFERROR(__xludf.DUMMYFUNCTION("""COMPUTED_VALUE"""),"")</f>
        <v/>
      </c>
      <c r="W2541" s="16" t="str">
        <f>IFERROR(__xludf.DUMMYFUNCTION("""COMPUTED_VALUE"""),"")</f>
        <v/>
      </c>
      <c r="X2541" s="16" t="str">
        <f>IFERROR(__xludf.DUMMYFUNCTION("""COMPUTED_VALUE"""),"")</f>
        <v/>
      </c>
      <c r="AC2541" s="16" t="str">
        <f>IFERROR(__xludf.DUMMYFUNCTION("""COMPUTED_VALUE"""),"")</f>
        <v/>
      </c>
    </row>
    <row r="2542">
      <c r="A2542" s="16" t="s">
        <v>87</v>
      </c>
      <c r="E2542" s="16" t="str">
        <f>IFERROR(__xludf.DUMMYFUNCTION("""COMPUTED_VALUE"""),"")</f>
        <v/>
      </c>
      <c r="G2542" s="18"/>
      <c r="H2542" s="16" t="s">
        <v>87</v>
      </c>
      <c r="I2542" s="16" t="s">
        <v>87</v>
      </c>
      <c r="J2542" s="19"/>
      <c r="L2542" s="16" t="str">
        <f>IFERROR(__xludf.DUMMYFUNCTION("""COMPUTED_VALUE"""),"")</f>
        <v/>
      </c>
      <c r="M2542" s="16" t="str">
        <f>IFERROR(__xludf.DUMMYFUNCTION("""COMPUTED_VALUE"""),"")</f>
        <v/>
      </c>
      <c r="U2542" s="16" t="s">
        <v>87</v>
      </c>
      <c r="V2542" s="16" t="str">
        <f>IFERROR(__xludf.DUMMYFUNCTION("""COMPUTED_VALUE"""),"")</f>
        <v/>
      </c>
      <c r="W2542" s="16" t="str">
        <f>IFERROR(__xludf.DUMMYFUNCTION("""COMPUTED_VALUE"""),"")</f>
        <v/>
      </c>
      <c r="X2542" s="16" t="str">
        <f>IFERROR(__xludf.DUMMYFUNCTION("""COMPUTED_VALUE"""),"")</f>
        <v/>
      </c>
      <c r="AC2542" s="16" t="str">
        <f>IFERROR(__xludf.DUMMYFUNCTION("""COMPUTED_VALUE"""),"")</f>
        <v/>
      </c>
    </row>
    <row r="2543">
      <c r="A2543" s="16" t="s">
        <v>87</v>
      </c>
      <c r="E2543" s="16" t="str">
        <f>IFERROR(__xludf.DUMMYFUNCTION("""COMPUTED_VALUE"""),"")</f>
        <v/>
      </c>
      <c r="G2543" s="18"/>
      <c r="H2543" s="16" t="s">
        <v>87</v>
      </c>
      <c r="I2543" s="16" t="s">
        <v>87</v>
      </c>
      <c r="J2543" s="19"/>
      <c r="L2543" s="16" t="str">
        <f>IFERROR(__xludf.DUMMYFUNCTION("""COMPUTED_VALUE"""),"")</f>
        <v/>
      </c>
      <c r="M2543" s="16" t="str">
        <f>IFERROR(__xludf.DUMMYFUNCTION("""COMPUTED_VALUE"""),"")</f>
        <v/>
      </c>
      <c r="U2543" s="16" t="s">
        <v>87</v>
      </c>
      <c r="V2543" s="16" t="str">
        <f>IFERROR(__xludf.DUMMYFUNCTION("""COMPUTED_VALUE"""),"")</f>
        <v/>
      </c>
      <c r="W2543" s="16" t="str">
        <f>IFERROR(__xludf.DUMMYFUNCTION("""COMPUTED_VALUE"""),"")</f>
        <v/>
      </c>
      <c r="X2543" s="16" t="str">
        <f>IFERROR(__xludf.DUMMYFUNCTION("""COMPUTED_VALUE"""),"")</f>
        <v/>
      </c>
      <c r="AC2543" s="16" t="str">
        <f>IFERROR(__xludf.DUMMYFUNCTION("""COMPUTED_VALUE"""),"")</f>
        <v/>
      </c>
    </row>
    <row r="2544">
      <c r="A2544" s="16" t="s">
        <v>87</v>
      </c>
      <c r="E2544" s="16" t="str">
        <f>IFERROR(__xludf.DUMMYFUNCTION("""COMPUTED_VALUE"""),"")</f>
        <v/>
      </c>
      <c r="G2544" s="18"/>
      <c r="H2544" s="16" t="s">
        <v>87</v>
      </c>
      <c r="I2544" s="16" t="s">
        <v>87</v>
      </c>
      <c r="J2544" s="19"/>
      <c r="L2544" s="16" t="str">
        <f>IFERROR(__xludf.DUMMYFUNCTION("""COMPUTED_VALUE"""),"")</f>
        <v/>
      </c>
      <c r="M2544" s="16" t="str">
        <f>IFERROR(__xludf.DUMMYFUNCTION("""COMPUTED_VALUE"""),"")</f>
        <v/>
      </c>
      <c r="U2544" s="16" t="s">
        <v>87</v>
      </c>
      <c r="V2544" s="16" t="str">
        <f>IFERROR(__xludf.DUMMYFUNCTION("""COMPUTED_VALUE"""),"")</f>
        <v/>
      </c>
      <c r="W2544" s="16" t="str">
        <f>IFERROR(__xludf.DUMMYFUNCTION("""COMPUTED_VALUE"""),"")</f>
        <v/>
      </c>
      <c r="X2544" s="16" t="str">
        <f>IFERROR(__xludf.DUMMYFUNCTION("""COMPUTED_VALUE"""),"")</f>
        <v/>
      </c>
      <c r="AC2544" s="16" t="str">
        <f>IFERROR(__xludf.DUMMYFUNCTION("""COMPUTED_VALUE"""),"")</f>
        <v/>
      </c>
    </row>
    <row r="2545">
      <c r="A2545" s="16" t="s">
        <v>87</v>
      </c>
      <c r="E2545" s="16" t="str">
        <f>IFERROR(__xludf.DUMMYFUNCTION("""COMPUTED_VALUE"""),"")</f>
        <v/>
      </c>
      <c r="G2545" s="18"/>
      <c r="H2545" s="16" t="s">
        <v>87</v>
      </c>
      <c r="I2545" s="16" t="s">
        <v>87</v>
      </c>
      <c r="J2545" s="19"/>
      <c r="L2545" s="16" t="str">
        <f>IFERROR(__xludf.DUMMYFUNCTION("""COMPUTED_VALUE"""),"")</f>
        <v/>
      </c>
      <c r="M2545" s="16" t="str">
        <f>IFERROR(__xludf.DUMMYFUNCTION("""COMPUTED_VALUE"""),"")</f>
        <v/>
      </c>
      <c r="U2545" s="16" t="s">
        <v>87</v>
      </c>
      <c r="V2545" s="16" t="str">
        <f>IFERROR(__xludf.DUMMYFUNCTION("""COMPUTED_VALUE"""),"")</f>
        <v/>
      </c>
      <c r="W2545" s="16" t="str">
        <f>IFERROR(__xludf.DUMMYFUNCTION("""COMPUTED_VALUE"""),"")</f>
        <v/>
      </c>
      <c r="X2545" s="16" t="str">
        <f>IFERROR(__xludf.DUMMYFUNCTION("""COMPUTED_VALUE"""),"")</f>
        <v/>
      </c>
      <c r="AC2545" s="16" t="str">
        <f>IFERROR(__xludf.DUMMYFUNCTION("""COMPUTED_VALUE"""),"")</f>
        <v/>
      </c>
    </row>
    <row r="2546">
      <c r="A2546" s="16" t="s">
        <v>87</v>
      </c>
      <c r="E2546" s="16" t="str">
        <f>IFERROR(__xludf.DUMMYFUNCTION("""COMPUTED_VALUE"""),"")</f>
        <v/>
      </c>
      <c r="G2546" s="18"/>
      <c r="H2546" s="16" t="s">
        <v>87</v>
      </c>
      <c r="I2546" s="16" t="s">
        <v>87</v>
      </c>
      <c r="J2546" s="19"/>
      <c r="L2546" s="16" t="str">
        <f>IFERROR(__xludf.DUMMYFUNCTION("""COMPUTED_VALUE"""),"")</f>
        <v/>
      </c>
      <c r="M2546" s="16" t="str">
        <f>IFERROR(__xludf.DUMMYFUNCTION("""COMPUTED_VALUE"""),"")</f>
        <v/>
      </c>
      <c r="U2546" s="16" t="s">
        <v>87</v>
      </c>
      <c r="V2546" s="16" t="str">
        <f>IFERROR(__xludf.DUMMYFUNCTION("""COMPUTED_VALUE"""),"")</f>
        <v/>
      </c>
      <c r="W2546" s="16" t="str">
        <f>IFERROR(__xludf.DUMMYFUNCTION("""COMPUTED_VALUE"""),"")</f>
        <v/>
      </c>
      <c r="X2546" s="16" t="str">
        <f>IFERROR(__xludf.DUMMYFUNCTION("""COMPUTED_VALUE"""),"")</f>
        <v/>
      </c>
      <c r="AC2546" s="16" t="str">
        <f>IFERROR(__xludf.DUMMYFUNCTION("""COMPUTED_VALUE"""),"")</f>
        <v/>
      </c>
    </row>
    <row r="2547">
      <c r="A2547" s="16" t="s">
        <v>87</v>
      </c>
      <c r="E2547" s="16" t="str">
        <f>IFERROR(__xludf.DUMMYFUNCTION("""COMPUTED_VALUE"""),"")</f>
        <v/>
      </c>
      <c r="G2547" s="18"/>
      <c r="H2547" s="16" t="s">
        <v>87</v>
      </c>
      <c r="I2547" s="16" t="s">
        <v>87</v>
      </c>
      <c r="J2547" s="19"/>
      <c r="L2547" s="16" t="str">
        <f>IFERROR(__xludf.DUMMYFUNCTION("""COMPUTED_VALUE"""),"")</f>
        <v/>
      </c>
      <c r="M2547" s="16" t="str">
        <f>IFERROR(__xludf.DUMMYFUNCTION("""COMPUTED_VALUE"""),"")</f>
        <v/>
      </c>
      <c r="U2547" s="16" t="s">
        <v>87</v>
      </c>
      <c r="V2547" s="16" t="str">
        <f>IFERROR(__xludf.DUMMYFUNCTION("""COMPUTED_VALUE"""),"")</f>
        <v/>
      </c>
      <c r="W2547" s="16" t="str">
        <f>IFERROR(__xludf.DUMMYFUNCTION("""COMPUTED_VALUE"""),"")</f>
        <v/>
      </c>
      <c r="X2547" s="16" t="str">
        <f>IFERROR(__xludf.DUMMYFUNCTION("""COMPUTED_VALUE"""),"")</f>
        <v/>
      </c>
      <c r="AC2547" s="16" t="str">
        <f>IFERROR(__xludf.DUMMYFUNCTION("""COMPUTED_VALUE"""),"")</f>
        <v/>
      </c>
    </row>
    <row r="2548">
      <c r="A2548" s="16" t="s">
        <v>87</v>
      </c>
      <c r="E2548" s="16" t="str">
        <f>IFERROR(__xludf.DUMMYFUNCTION("""COMPUTED_VALUE"""),"")</f>
        <v/>
      </c>
      <c r="G2548" s="18"/>
      <c r="H2548" s="16" t="s">
        <v>87</v>
      </c>
      <c r="I2548" s="16" t="s">
        <v>87</v>
      </c>
      <c r="J2548" s="19"/>
      <c r="L2548" s="16" t="str">
        <f>IFERROR(__xludf.DUMMYFUNCTION("""COMPUTED_VALUE"""),"")</f>
        <v/>
      </c>
      <c r="M2548" s="16" t="str">
        <f>IFERROR(__xludf.DUMMYFUNCTION("""COMPUTED_VALUE"""),"")</f>
        <v/>
      </c>
      <c r="U2548" s="16" t="s">
        <v>87</v>
      </c>
      <c r="V2548" s="16" t="str">
        <f>IFERROR(__xludf.DUMMYFUNCTION("""COMPUTED_VALUE"""),"")</f>
        <v/>
      </c>
      <c r="W2548" s="16" t="str">
        <f>IFERROR(__xludf.DUMMYFUNCTION("""COMPUTED_VALUE"""),"")</f>
        <v/>
      </c>
      <c r="X2548" s="16" t="str">
        <f>IFERROR(__xludf.DUMMYFUNCTION("""COMPUTED_VALUE"""),"")</f>
        <v/>
      </c>
      <c r="AC2548" s="16" t="str">
        <f>IFERROR(__xludf.DUMMYFUNCTION("""COMPUTED_VALUE"""),"")</f>
        <v/>
      </c>
    </row>
    <row r="2549">
      <c r="A2549" s="16" t="s">
        <v>87</v>
      </c>
      <c r="E2549" s="16" t="str">
        <f>IFERROR(__xludf.DUMMYFUNCTION("""COMPUTED_VALUE"""),"")</f>
        <v/>
      </c>
      <c r="G2549" s="18"/>
      <c r="H2549" s="16" t="s">
        <v>87</v>
      </c>
      <c r="I2549" s="16" t="s">
        <v>87</v>
      </c>
      <c r="J2549" s="19"/>
      <c r="L2549" s="16" t="str">
        <f>IFERROR(__xludf.DUMMYFUNCTION("""COMPUTED_VALUE"""),"")</f>
        <v/>
      </c>
      <c r="M2549" s="16" t="str">
        <f>IFERROR(__xludf.DUMMYFUNCTION("""COMPUTED_VALUE"""),"")</f>
        <v/>
      </c>
      <c r="U2549" s="16" t="s">
        <v>87</v>
      </c>
      <c r="V2549" s="16" t="str">
        <f>IFERROR(__xludf.DUMMYFUNCTION("""COMPUTED_VALUE"""),"")</f>
        <v/>
      </c>
      <c r="W2549" s="16" t="str">
        <f>IFERROR(__xludf.DUMMYFUNCTION("""COMPUTED_VALUE"""),"")</f>
        <v/>
      </c>
      <c r="X2549" s="16" t="str">
        <f>IFERROR(__xludf.DUMMYFUNCTION("""COMPUTED_VALUE"""),"")</f>
        <v/>
      </c>
      <c r="AC2549" s="16" t="str">
        <f>IFERROR(__xludf.DUMMYFUNCTION("""COMPUTED_VALUE"""),"")</f>
        <v/>
      </c>
    </row>
    <row r="2550">
      <c r="A2550" s="16" t="s">
        <v>87</v>
      </c>
      <c r="E2550" s="16" t="str">
        <f>IFERROR(__xludf.DUMMYFUNCTION("""COMPUTED_VALUE"""),"")</f>
        <v/>
      </c>
      <c r="G2550" s="18"/>
      <c r="H2550" s="16" t="s">
        <v>87</v>
      </c>
      <c r="I2550" s="16" t="s">
        <v>87</v>
      </c>
      <c r="J2550" s="19"/>
      <c r="L2550" s="16" t="str">
        <f>IFERROR(__xludf.DUMMYFUNCTION("""COMPUTED_VALUE"""),"")</f>
        <v/>
      </c>
      <c r="M2550" s="16" t="str">
        <f>IFERROR(__xludf.DUMMYFUNCTION("""COMPUTED_VALUE"""),"")</f>
        <v/>
      </c>
      <c r="U2550" s="16" t="s">
        <v>87</v>
      </c>
      <c r="V2550" s="16" t="str">
        <f>IFERROR(__xludf.DUMMYFUNCTION("""COMPUTED_VALUE"""),"")</f>
        <v/>
      </c>
      <c r="W2550" s="16" t="str">
        <f>IFERROR(__xludf.DUMMYFUNCTION("""COMPUTED_VALUE"""),"")</f>
        <v/>
      </c>
      <c r="X2550" s="16" t="str">
        <f>IFERROR(__xludf.DUMMYFUNCTION("""COMPUTED_VALUE"""),"")</f>
        <v/>
      </c>
      <c r="AC2550" s="16" t="str">
        <f>IFERROR(__xludf.DUMMYFUNCTION("""COMPUTED_VALUE"""),"")</f>
        <v/>
      </c>
    </row>
    <row r="2551">
      <c r="A2551" s="16" t="s">
        <v>87</v>
      </c>
      <c r="E2551" s="16" t="str">
        <f>IFERROR(__xludf.DUMMYFUNCTION("""COMPUTED_VALUE"""),"")</f>
        <v/>
      </c>
      <c r="G2551" s="18"/>
      <c r="H2551" s="16" t="s">
        <v>87</v>
      </c>
      <c r="I2551" s="16" t="s">
        <v>87</v>
      </c>
      <c r="J2551" s="19"/>
      <c r="L2551" s="16" t="str">
        <f>IFERROR(__xludf.DUMMYFUNCTION("""COMPUTED_VALUE"""),"")</f>
        <v/>
      </c>
      <c r="M2551" s="16" t="str">
        <f>IFERROR(__xludf.DUMMYFUNCTION("""COMPUTED_VALUE"""),"")</f>
        <v/>
      </c>
      <c r="U2551" s="16" t="s">
        <v>87</v>
      </c>
      <c r="V2551" s="16" t="str">
        <f>IFERROR(__xludf.DUMMYFUNCTION("""COMPUTED_VALUE"""),"")</f>
        <v/>
      </c>
      <c r="W2551" s="16" t="str">
        <f>IFERROR(__xludf.DUMMYFUNCTION("""COMPUTED_VALUE"""),"")</f>
        <v/>
      </c>
      <c r="X2551" s="16" t="str">
        <f>IFERROR(__xludf.DUMMYFUNCTION("""COMPUTED_VALUE"""),"")</f>
        <v/>
      </c>
      <c r="AC2551" s="16" t="str">
        <f>IFERROR(__xludf.DUMMYFUNCTION("""COMPUTED_VALUE"""),"")</f>
        <v/>
      </c>
    </row>
    <row r="2552">
      <c r="A2552" s="16" t="s">
        <v>87</v>
      </c>
      <c r="E2552" s="16" t="str">
        <f>IFERROR(__xludf.DUMMYFUNCTION("""COMPUTED_VALUE"""),"")</f>
        <v/>
      </c>
      <c r="G2552" s="18"/>
      <c r="H2552" s="16" t="s">
        <v>87</v>
      </c>
      <c r="I2552" s="16" t="s">
        <v>87</v>
      </c>
      <c r="J2552" s="19"/>
      <c r="L2552" s="16" t="str">
        <f>IFERROR(__xludf.DUMMYFUNCTION("""COMPUTED_VALUE"""),"")</f>
        <v/>
      </c>
      <c r="M2552" s="16" t="str">
        <f>IFERROR(__xludf.DUMMYFUNCTION("""COMPUTED_VALUE"""),"")</f>
        <v/>
      </c>
      <c r="U2552" s="16" t="s">
        <v>87</v>
      </c>
      <c r="V2552" s="16" t="str">
        <f>IFERROR(__xludf.DUMMYFUNCTION("""COMPUTED_VALUE"""),"")</f>
        <v/>
      </c>
      <c r="W2552" s="16" t="str">
        <f>IFERROR(__xludf.DUMMYFUNCTION("""COMPUTED_VALUE"""),"")</f>
        <v/>
      </c>
      <c r="X2552" s="16" t="str">
        <f>IFERROR(__xludf.DUMMYFUNCTION("""COMPUTED_VALUE"""),"")</f>
        <v/>
      </c>
      <c r="AC2552" s="16" t="str">
        <f>IFERROR(__xludf.DUMMYFUNCTION("""COMPUTED_VALUE"""),"")</f>
        <v/>
      </c>
    </row>
    <row r="2553">
      <c r="A2553" s="16" t="s">
        <v>87</v>
      </c>
      <c r="E2553" s="16" t="str">
        <f>IFERROR(__xludf.DUMMYFUNCTION("""COMPUTED_VALUE"""),"")</f>
        <v/>
      </c>
      <c r="G2553" s="18"/>
      <c r="H2553" s="16" t="s">
        <v>87</v>
      </c>
      <c r="I2553" s="16" t="s">
        <v>87</v>
      </c>
      <c r="J2553" s="19"/>
      <c r="L2553" s="16" t="str">
        <f>IFERROR(__xludf.DUMMYFUNCTION("""COMPUTED_VALUE"""),"")</f>
        <v/>
      </c>
      <c r="M2553" s="16" t="str">
        <f>IFERROR(__xludf.DUMMYFUNCTION("""COMPUTED_VALUE"""),"")</f>
        <v/>
      </c>
      <c r="U2553" s="16" t="s">
        <v>87</v>
      </c>
      <c r="V2553" s="16" t="str">
        <f>IFERROR(__xludf.DUMMYFUNCTION("""COMPUTED_VALUE"""),"")</f>
        <v/>
      </c>
      <c r="W2553" s="16" t="str">
        <f>IFERROR(__xludf.DUMMYFUNCTION("""COMPUTED_VALUE"""),"")</f>
        <v/>
      </c>
      <c r="X2553" s="16" t="str">
        <f>IFERROR(__xludf.DUMMYFUNCTION("""COMPUTED_VALUE"""),"")</f>
        <v/>
      </c>
      <c r="AC2553" s="16" t="str">
        <f>IFERROR(__xludf.DUMMYFUNCTION("""COMPUTED_VALUE"""),"")</f>
        <v/>
      </c>
    </row>
    <row r="2554">
      <c r="A2554" s="16" t="s">
        <v>87</v>
      </c>
      <c r="E2554" s="16" t="str">
        <f>IFERROR(__xludf.DUMMYFUNCTION("""COMPUTED_VALUE"""),"")</f>
        <v/>
      </c>
      <c r="G2554" s="18"/>
      <c r="H2554" s="16" t="s">
        <v>87</v>
      </c>
      <c r="I2554" s="16" t="s">
        <v>87</v>
      </c>
      <c r="J2554" s="19"/>
      <c r="L2554" s="16" t="str">
        <f>IFERROR(__xludf.DUMMYFUNCTION("""COMPUTED_VALUE"""),"")</f>
        <v/>
      </c>
      <c r="M2554" s="16" t="str">
        <f>IFERROR(__xludf.DUMMYFUNCTION("""COMPUTED_VALUE"""),"")</f>
        <v/>
      </c>
      <c r="U2554" s="16" t="s">
        <v>87</v>
      </c>
      <c r="V2554" s="16" t="str">
        <f>IFERROR(__xludf.DUMMYFUNCTION("""COMPUTED_VALUE"""),"")</f>
        <v/>
      </c>
      <c r="W2554" s="16" t="str">
        <f>IFERROR(__xludf.DUMMYFUNCTION("""COMPUTED_VALUE"""),"")</f>
        <v/>
      </c>
      <c r="X2554" s="16" t="str">
        <f>IFERROR(__xludf.DUMMYFUNCTION("""COMPUTED_VALUE"""),"")</f>
        <v/>
      </c>
      <c r="AC2554" s="16" t="str">
        <f>IFERROR(__xludf.DUMMYFUNCTION("""COMPUTED_VALUE"""),"")</f>
        <v/>
      </c>
    </row>
    <row r="2555">
      <c r="A2555" s="16" t="s">
        <v>87</v>
      </c>
      <c r="E2555" s="16" t="str">
        <f>IFERROR(__xludf.DUMMYFUNCTION("""COMPUTED_VALUE"""),"")</f>
        <v/>
      </c>
      <c r="G2555" s="18"/>
      <c r="H2555" s="16" t="s">
        <v>87</v>
      </c>
      <c r="I2555" s="16" t="s">
        <v>87</v>
      </c>
      <c r="J2555" s="19"/>
      <c r="L2555" s="16" t="str">
        <f>IFERROR(__xludf.DUMMYFUNCTION("""COMPUTED_VALUE"""),"")</f>
        <v/>
      </c>
      <c r="M2555" s="16" t="str">
        <f>IFERROR(__xludf.DUMMYFUNCTION("""COMPUTED_VALUE"""),"")</f>
        <v/>
      </c>
      <c r="U2555" s="16" t="s">
        <v>87</v>
      </c>
      <c r="V2555" s="16" t="str">
        <f>IFERROR(__xludf.DUMMYFUNCTION("""COMPUTED_VALUE"""),"")</f>
        <v/>
      </c>
      <c r="W2555" s="16" t="str">
        <f>IFERROR(__xludf.DUMMYFUNCTION("""COMPUTED_VALUE"""),"")</f>
        <v/>
      </c>
      <c r="X2555" s="16" t="str">
        <f>IFERROR(__xludf.DUMMYFUNCTION("""COMPUTED_VALUE"""),"")</f>
        <v/>
      </c>
      <c r="AC2555" s="16" t="str">
        <f>IFERROR(__xludf.DUMMYFUNCTION("""COMPUTED_VALUE"""),"")</f>
        <v/>
      </c>
    </row>
    <row r="2556">
      <c r="A2556" s="16" t="s">
        <v>87</v>
      </c>
      <c r="E2556" s="16" t="str">
        <f>IFERROR(__xludf.DUMMYFUNCTION("""COMPUTED_VALUE"""),"")</f>
        <v/>
      </c>
      <c r="G2556" s="18"/>
      <c r="H2556" s="16" t="s">
        <v>87</v>
      </c>
      <c r="I2556" s="16" t="s">
        <v>87</v>
      </c>
      <c r="J2556" s="19"/>
      <c r="L2556" s="16" t="str">
        <f>IFERROR(__xludf.DUMMYFUNCTION("""COMPUTED_VALUE"""),"")</f>
        <v/>
      </c>
      <c r="M2556" s="16" t="str">
        <f>IFERROR(__xludf.DUMMYFUNCTION("""COMPUTED_VALUE"""),"")</f>
        <v/>
      </c>
      <c r="U2556" s="16" t="s">
        <v>87</v>
      </c>
      <c r="V2556" s="16" t="str">
        <f>IFERROR(__xludf.DUMMYFUNCTION("""COMPUTED_VALUE"""),"")</f>
        <v/>
      </c>
      <c r="W2556" s="16" t="str">
        <f>IFERROR(__xludf.DUMMYFUNCTION("""COMPUTED_VALUE"""),"")</f>
        <v/>
      </c>
      <c r="X2556" s="16" t="str">
        <f>IFERROR(__xludf.DUMMYFUNCTION("""COMPUTED_VALUE"""),"")</f>
        <v/>
      </c>
      <c r="AC2556" s="16" t="str">
        <f>IFERROR(__xludf.DUMMYFUNCTION("""COMPUTED_VALUE"""),"")</f>
        <v/>
      </c>
    </row>
    <row r="2557">
      <c r="A2557" s="16" t="s">
        <v>87</v>
      </c>
      <c r="E2557" s="16" t="str">
        <f>IFERROR(__xludf.DUMMYFUNCTION("""COMPUTED_VALUE"""),"")</f>
        <v/>
      </c>
      <c r="G2557" s="18"/>
      <c r="H2557" s="16" t="s">
        <v>87</v>
      </c>
      <c r="I2557" s="16" t="s">
        <v>87</v>
      </c>
      <c r="J2557" s="19"/>
      <c r="L2557" s="16" t="str">
        <f>IFERROR(__xludf.DUMMYFUNCTION("""COMPUTED_VALUE"""),"")</f>
        <v/>
      </c>
      <c r="M2557" s="16" t="str">
        <f>IFERROR(__xludf.DUMMYFUNCTION("""COMPUTED_VALUE"""),"")</f>
        <v/>
      </c>
      <c r="U2557" s="16" t="s">
        <v>87</v>
      </c>
      <c r="V2557" s="16" t="str">
        <f>IFERROR(__xludf.DUMMYFUNCTION("""COMPUTED_VALUE"""),"")</f>
        <v/>
      </c>
      <c r="W2557" s="16" t="str">
        <f>IFERROR(__xludf.DUMMYFUNCTION("""COMPUTED_VALUE"""),"")</f>
        <v/>
      </c>
      <c r="X2557" s="16" t="str">
        <f>IFERROR(__xludf.DUMMYFUNCTION("""COMPUTED_VALUE"""),"")</f>
        <v/>
      </c>
      <c r="AC2557" s="16" t="str">
        <f>IFERROR(__xludf.DUMMYFUNCTION("""COMPUTED_VALUE"""),"")</f>
        <v/>
      </c>
    </row>
    <row r="2558">
      <c r="A2558" s="16" t="s">
        <v>87</v>
      </c>
      <c r="E2558" s="16" t="str">
        <f>IFERROR(__xludf.DUMMYFUNCTION("""COMPUTED_VALUE"""),"")</f>
        <v/>
      </c>
      <c r="G2558" s="18"/>
      <c r="H2558" s="16" t="s">
        <v>87</v>
      </c>
      <c r="I2558" s="16" t="s">
        <v>87</v>
      </c>
      <c r="J2558" s="19"/>
      <c r="L2558" s="16" t="str">
        <f>IFERROR(__xludf.DUMMYFUNCTION("""COMPUTED_VALUE"""),"")</f>
        <v/>
      </c>
      <c r="M2558" s="16" t="str">
        <f>IFERROR(__xludf.DUMMYFUNCTION("""COMPUTED_VALUE"""),"")</f>
        <v/>
      </c>
      <c r="U2558" s="16" t="s">
        <v>87</v>
      </c>
      <c r="V2558" s="16" t="str">
        <f>IFERROR(__xludf.DUMMYFUNCTION("""COMPUTED_VALUE"""),"")</f>
        <v/>
      </c>
      <c r="W2558" s="16" t="str">
        <f>IFERROR(__xludf.DUMMYFUNCTION("""COMPUTED_VALUE"""),"")</f>
        <v/>
      </c>
      <c r="X2558" s="16" t="str">
        <f>IFERROR(__xludf.DUMMYFUNCTION("""COMPUTED_VALUE"""),"")</f>
        <v/>
      </c>
      <c r="AC2558" s="16" t="str">
        <f>IFERROR(__xludf.DUMMYFUNCTION("""COMPUTED_VALUE"""),"")</f>
        <v/>
      </c>
    </row>
    <row r="2559">
      <c r="A2559" s="16" t="s">
        <v>87</v>
      </c>
      <c r="E2559" s="16" t="str">
        <f>IFERROR(__xludf.DUMMYFUNCTION("""COMPUTED_VALUE"""),"")</f>
        <v/>
      </c>
      <c r="G2559" s="18"/>
      <c r="H2559" s="16" t="s">
        <v>87</v>
      </c>
      <c r="I2559" s="16" t="s">
        <v>87</v>
      </c>
      <c r="J2559" s="19"/>
      <c r="L2559" s="16" t="str">
        <f>IFERROR(__xludf.DUMMYFUNCTION("""COMPUTED_VALUE"""),"")</f>
        <v/>
      </c>
      <c r="M2559" s="16" t="str">
        <f>IFERROR(__xludf.DUMMYFUNCTION("""COMPUTED_VALUE"""),"")</f>
        <v/>
      </c>
      <c r="U2559" s="16" t="s">
        <v>87</v>
      </c>
      <c r="V2559" s="16" t="str">
        <f>IFERROR(__xludf.DUMMYFUNCTION("""COMPUTED_VALUE"""),"")</f>
        <v/>
      </c>
      <c r="W2559" s="16" t="str">
        <f>IFERROR(__xludf.DUMMYFUNCTION("""COMPUTED_VALUE"""),"")</f>
        <v/>
      </c>
      <c r="X2559" s="16" t="str">
        <f>IFERROR(__xludf.DUMMYFUNCTION("""COMPUTED_VALUE"""),"")</f>
        <v/>
      </c>
      <c r="AC2559" s="16" t="str">
        <f>IFERROR(__xludf.DUMMYFUNCTION("""COMPUTED_VALUE"""),"")</f>
        <v/>
      </c>
    </row>
    <row r="2560">
      <c r="A2560" s="16" t="s">
        <v>87</v>
      </c>
      <c r="E2560" s="16" t="str">
        <f>IFERROR(__xludf.DUMMYFUNCTION("""COMPUTED_VALUE"""),"")</f>
        <v/>
      </c>
      <c r="G2560" s="18"/>
      <c r="H2560" s="16" t="s">
        <v>87</v>
      </c>
      <c r="I2560" s="16" t="s">
        <v>87</v>
      </c>
      <c r="J2560" s="19"/>
      <c r="L2560" s="16" t="str">
        <f>IFERROR(__xludf.DUMMYFUNCTION("""COMPUTED_VALUE"""),"")</f>
        <v/>
      </c>
      <c r="M2560" s="16" t="str">
        <f>IFERROR(__xludf.DUMMYFUNCTION("""COMPUTED_VALUE"""),"")</f>
        <v/>
      </c>
      <c r="U2560" s="16" t="s">
        <v>87</v>
      </c>
      <c r="V2560" s="16" t="str">
        <f>IFERROR(__xludf.DUMMYFUNCTION("""COMPUTED_VALUE"""),"")</f>
        <v/>
      </c>
      <c r="W2560" s="16" t="str">
        <f>IFERROR(__xludf.DUMMYFUNCTION("""COMPUTED_VALUE"""),"")</f>
        <v/>
      </c>
      <c r="X2560" s="16" t="str">
        <f>IFERROR(__xludf.DUMMYFUNCTION("""COMPUTED_VALUE"""),"")</f>
        <v/>
      </c>
      <c r="AC2560" s="16" t="str">
        <f>IFERROR(__xludf.DUMMYFUNCTION("""COMPUTED_VALUE"""),"")</f>
        <v/>
      </c>
    </row>
    <row r="2561">
      <c r="A2561" s="16" t="s">
        <v>87</v>
      </c>
      <c r="E2561" s="16" t="str">
        <f>IFERROR(__xludf.DUMMYFUNCTION("""COMPUTED_VALUE"""),"")</f>
        <v/>
      </c>
      <c r="G2561" s="18"/>
      <c r="H2561" s="16" t="s">
        <v>87</v>
      </c>
      <c r="I2561" s="16" t="s">
        <v>87</v>
      </c>
      <c r="J2561" s="19"/>
      <c r="L2561" s="16" t="str">
        <f>IFERROR(__xludf.DUMMYFUNCTION("""COMPUTED_VALUE"""),"")</f>
        <v/>
      </c>
      <c r="M2561" s="16" t="str">
        <f>IFERROR(__xludf.DUMMYFUNCTION("""COMPUTED_VALUE"""),"")</f>
        <v/>
      </c>
      <c r="U2561" s="16" t="s">
        <v>87</v>
      </c>
      <c r="V2561" s="16" t="str">
        <f>IFERROR(__xludf.DUMMYFUNCTION("""COMPUTED_VALUE"""),"")</f>
        <v/>
      </c>
      <c r="W2561" s="16" t="str">
        <f>IFERROR(__xludf.DUMMYFUNCTION("""COMPUTED_VALUE"""),"")</f>
        <v/>
      </c>
      <c r="X2561" s="16" t="str">
        <f>IFERROR(__xludf.DUMMYFUNCTION("""COMPUTED_VALUE"""),"")</f>
        <v/>
      </c>
      <c r="AC2561" s="16" t="str">
        <f>IFERROR(__xludf.DUMMYFUNCTION("""COMPUTED_VALUE"""),"")</f>
        <v/>
      </c>
    </row>
    <row r="2562">
      <c r="A2562" s="16" t="s">
        <v>87</v>
      </c>
      <c r="E2562" s="16" t="str">
        <f>IFERROR(__xludf.DUMMYFUNCTION("""COMPUTED_VALUE"""),"")</f>
        <v/>
      </c>
      <c r="G2562" s="18"/>
      <c r="H2562" s="16" t="s">
        <v>87</v>
      </c>
      <c r="I2562" s="16" t="s">
        <v>87</v>
      </c>
      <c r="J2562" s="19"/>
      <c r="L2562" s="16" t="str">
        <f>IFERROR(__xludf.DUMMYFUNCTION("""COMPUTED_VALUE"""),"")</f>
        <v/>
      </c>
      <c r="M2562" s="16" t="str">
        <f>IFERROR(__xludf.DUMMYFUNCTION("""COMPUTED_VALUE"""),"")</f>
        <v/>
      </c>
      <c r="U2562" s="16" t="s">
        <v>87</v>
      </c>
      <c r="V2562" s="16" t="str">
        <f>IFERROR(__xludf.DUMMYFUNCTION("""COMPUTED_VALUE"""),"")</f>
        <v/>
      </c>
      <c r="W2562" s="16" t="str">
        <f>IFERROR(__xludf.DUMMYFUNCTION("""COMPUTED_VALUE"""),"")</f>
        <v/>
      </c>
      <c r="X2562" s="16" t="str">
        <f>IFERROR(__xludf.DUMMYFUNCTION("""COMPUTED_VALUE"""),"")</f>
        <v/>
      </c>
      <c r="AC2562" s="16" t="str">
        <f>IFERROR(__xludf.DUMMYFUNCTION("""COMPUTED_VALUE"""),"")</f>
        <v/>
      </c>
    </row>
    <row r="2563">
      <c r="A2563" s="16" t="s">
        <v>87</v>
      </c>
      <c r="E2563" s="16" t="str">
        <f>IFERROR(__xludf.DUMMYFUNCTION("""COMPUTED_VALUE"""),"")</f>
        <v/>
      </c>
      <c r="G2563" s="18"/>
      <c r="H2563" s="16" t="s">
        <v>87</v>
      </c>
      <c r="I2563" s="16" t="s">
        <v>87</v>
      </c>
      <c r="J2563" s="19"/>
      <c r="L2563" s="16" t="str">
        <f>IFERROR(__xludf.DUMMYFUNCTION("""COMPUTED_VALUE"""),"")</f>
        <v/>
      </c>
      <c r="M2563" s="16" t="str">
        <f>IFERROR(__xludf.DUMMYFUNCTION("""COMPUTED_VALUE"""),"")</f>
        <v/>
      </c>
      <c r="U2563" s="16" t="s">
        <v>87</v>
      </c>
      <c r="V2563" s="16" t="str">
        <f>IFERROR(__xludf.DUMMYFUNCTION("""COMPUTED_VALUE"""),"")</f>
        <v/>
      </c>
      <c r="W2563" s="16" t="str">
        <f>IFERROR(__xludf.DUMMYFUNCTION("""COMPUTED_VALUE"""),"")</f>
        <v/>
      </c>
      <c r="X2563" s="16" t="str">
        <f>IFERROR(__xludf.DUMMYFUNCTION("""COMPUTED_VALUE"""),"")</f>
        <v/>
      </c>
      <c r="AC2563" s="16" t="str">
        <f>IFERROR(__xludf.DUMMYFUNCTION("""COMPUTED_VALUE"""),"")</f>
        <v/>
      </c>
    </row>
    <row r="2564">
      <c r="A2564" s="16" t="s">
        <v>87</v>
      </c>
      <c r="E2564" s="16" t="str">
        <f>IFERROR(__xludf.DUMMYFUNCTION("""COMPUTED_VALUE"""),"")</f>
        <v/>
      </c>
      <c r="G2564" s="18"/>
      <c r="H2564" s="16" t="s">
        <v>87</v>
      </c>
      <c r="I2564" s="16" t="s">
        <v>87</v>
      </c>
      <c r="J2564" s="19"/>
      <c r="L2564" s="16" t="str">
        <f>IFERROR(__xludf.DUMMYFUNCTION("""COMPUTED_VALUE"""),"")</f>
        <v/>
      </c>
      <c r="M2564" s="16" t="str">
        <f>IFERROR(__xludf.DUMMYFUNCTION("""COMPUTED_VALUE"""),"")</f>
        <v/>
      </c>
      <c r="U2564" s="16" t="s">
        <v>87</v>
      </c>
      <c r="V2564" s="16" t="str">
        <f>IFERROR(__xludf.DUMMYFUNCTION("""COMPUTED_VALUE"""),"")</f>
        <v/>
      </c>
      <c r="W2564" s="16" t="str">
        <f>IFERROR(__xludf.DUMMYFUNCTION("""COMPUTED_VALUE"""),"")</f>
        <v/>
      </c>
      <c r="X2564" s="16" t="str">
        <f>IFERROR(__xludf.DUMMYFUNCTION("""COMPUTED_VALUE"""),"")</f>
        <v/>
      </c>
      <c r="AC2564" s="16" t="str">
        <f>IFERROR(__xludf.DUMMYFUNCTION("""COMPUTED_VALUE"""),"")</f>
        <v/>
      </c>
    </row>
    <row r="2565">
      <c r="A2565" s="16" t="s">
        <v>87</v>
      </c>
      <c r="E2565" s="16" t="str">
        <f>IFERROR(__xludf.DUMMYFUNCTION("""COMPUTED_VALUE"""),"")</f>
        <v/>
      </c>
      <c r="G2565" s="18"/>
      <c r="H2565" s="16" t="s">
        <v>87</v>
      </c>
      <c r="I2565" s="16" t="s">
        <v>87</v>
      </c>
      <c r="J2565" s="19"/>
      <c r="L2565" s="16" t="str">
        <f>IFERROR(__xludf.DUMMYFUNCTION("""COMPUTED_VALUE"""),"")</f>
        <v/>
      </c>
      <c r="M2565" s="16" t="str">
        <f>IFERROR(__xludf.DUMMYFUNCTION("""COMPUTED_VALUE"""),"")</f>
        <v/>
      </c>
      <c r="U2565" s="16" t="s">
        <v>87</v>
      </c>
      <c r="V2565" s="16" t="str">
        <f>IFERROR(__xludf.DUMMYFUNCTION("""COMPUTED_VALUE"""),"")</f>
        <v/>
      </c>
      <c r="W2565" s="16" t="str">
        <f>IFERROR(__xludf.DUMMYFUNCTION("""COMPUTED_VALUE"""),"")</f>
        <v/>
      </c>
      <c r="X2565" s="16" t="str">
        <f>IFERROR(__xludf.DUMMYFUNCTION("""COMPUTED_VALUE"""),"")</f>
        <v/>
      </c>
      <c r="AC2565" s="16" t="str">
        <f>IFERROR(__xludf.DUMMYFUNCTION("""COMPUTED_VALUE"""),"")</f>
        <v/>
      </c>
    </row>
    <row r="2566">
      <c r="A2566" s="16" t="s">
        <v>87</v>
      </c>
      <c r="E2566" s="16" t="str">
        <f>IFERROR(__xludf.DUMMYFUNCTION("""COMPUTED_VALUE"""),"")</f>
        <v/>
      </c>
      <c r="G2566" s="18"/>
      <c r="H2566" s="16" t="s">
        <v>87</v>
      </c>
      <c r="I2566" s="16" t="s">
        <v>87</v>
      </c>
      <c r="J2566" s="19"/>
      <c r="L2566" s="16" t="str">
        <f>IFERROR(__xludf.DUMMYFUNCTION("""COMPUTED_VALUE"""),"")</f>
        <v/>
      </c>
      <c r="M2566" s="16" t="str">
        <f>IFERROR(__xludf.DUMMYFUNCTION("""COMPUTED_VALUE"""),"")</f>
        <v/>
      </c>
      <c r="U2566" s="16" t="s">
        <v>87</v>
      </c>
      <c r="V2566" s="16" t="str">
        <f>IFERROR(__xludf.DUMMYFUNCTION("""COMPUTED_VALUE"""),"")</f>
        <v/>
      </c>
      <c r="W2566" s="16" t="str">
        <f>IFERROR(__xludf.DUMMYFUNCTION("""COMPUTED_VALUE"""),"")</f>
        <v/>
      </c>
      <c r="X2566" s="16" t="str">
        <f>IFERROR(__xludf.DUMMYFUNCTION("""COMPUTED_VALUE"""),"")</f>
        <v/>
      </c>
      <c r="AC2566" s="16" t="str">
        <f>IFERROR(__xludf.DUMMYFUNCTION("""COMPUTED_VALUE"""),"")</f>
        <v/>
      </c>
    </row>
    <row r="2567">
      <c r="A2567" s="16" t="s">
        <v>87</v>
      </c>
      <c r="E2567" s="16" t="str">
        <f>IFERROR(__xludf.DUMMYFUNCTION("""COMPUTED_VALUE"""),"")</f>
        <v/>
      </c>
      <c r="G2567" s="18"/>
      <c r="H2567" s="16" t="s">
        <v>87</v>
      </c>
      <c r="I2567" s="16" t="s">
        <v>87</v>
      </c>
      <c r="J2567" s="19"/>
      <c r="L2567" s="16" t="str">
        <f>IFERROR(__xludf.DUMMYFUNCTION("""COMPUTED_VALUE"""),"")</f>
        <v/>
      </c>
      <c r="M2567" s="16" t="str">
        <f>IFERROR(__xludf.DUMMYFUNCTION("""COMPUTED_VALUE"""),"")</f>
        <v/>
      </c>
      <c r="U2567" s="16" t="s">
        <v>87</v>
      </c>
      <c r="V2567" s="16" t="str">
        <f>IFERROR(__xludf.DUMMYFUNCTION("""COMPUTED_VALUE"""),"")</f>
        <v/>
      </c>
      <c r="W2567" s="16" t="str">
        <f>IFERROR(__xludf.DUMMYFUNCTION("""COMPUTED_VALUE"""),"")</f>
        <v/>
      </c>
      <c r="X2567" s="16" t="str">
        <f>IFERROR(__xludf.DUMMYFUNCTION("""COMPUTED_VALUE"""),"")</f>
        <v/>
      </c>
      <c r="AC2567" s="16" t="str">
        <f>IFERROR(__xludf.DUMMYFUNCTION("""COMPUTED_VALUE"""),"")</f>
        <v/>
      </c>
    </row>
    <row r="2568">
      <c r="A2568" s="16" t="s">
        <v>87</v>
      </c>
      <c r="E2568" s="16" t="str">
        <f>IFERROR(__xludf.DUMMYFUNCTION("""COMPUTED_VALUE"""),"")</f>
        <v/>
      </c>
      <c r="G2568" s="18"/>
      <c r="H2568" s="16" t="s">
        <v>87</v>
      </c>
      <c r="I2568" s="16" t="s">
        <v>87</v>
      </c>
      <c r="J2568" s="19"/>
      <c r="L2568" s="16" t="str">
        <f>IFERROR(__xludf.DUMMYFUNCTION("""COMPUTED_VALUE"""),"")</f>
        <v/>
      </c>
      <c r="M2568" s="16" t="str">
        <f>IFERROR(__xludf.DUMMYFUNCTION("""COMPUTED_VALUE"""),"")</f>
        <v/>
      </c>
      <c r="U2568" s="16" t="s">
        <v>87</v>
      </c>
      <c r="V2568" s="16" t="str">
        <f>IFERROR(__xludf.DUMMYFUNCTION("""COMPUTED_VALUE"""),"")</f>
        <v/>
      </c>
      <c r="W2568" s="16" t="str">
        <f>IFERROR(__xludf.DUMMYFUNCTION("""COMPUTED_VALUE"""),"")</f>
        <v/>
      </c>
      <c r="X2568" s="16" t="str">
        <f>IFERROR(__xludf.DUMMYFUNCTION("""COMPUTED_VALUE"""),"")</f>
        <v/>
      </c>
      <c r="AC2568" s="16" t="str">
        <f>IFERROR(__xludf.DUMMYFUNCTION("""COMPUTED_VALUE"""),"")</f>
        <v/>
      </c>
    </row>
    <row r="2569">
      <c r="A2569" s="16" t="s">
        <v>87</v>
      </c>
      <c r="E2569" s="16" t="str">
        <f>IFERROR(__xludf.DUMMYFUNCTION("""COMPUTED_VALUE"""),"")</f>
        <v/>
      </c>
      <c r="G2569" s="18"/>
      <c r="H2569" s="16" t="s">
        <v>87</v>
      </c>
      <c r="I2569" s="16" t="s">
        <v>87</v>
      </c>
      <c r="J2569" s="19"/>
      <c r="L2569" s="16" t="str">
        <f>IFERROR(__xludf.DUMMYFUNCTION("""COMPUTED_VALUE"""),"")</f>
        <v/>
      </c>
      <c r="M2569" s="16" t="str">
        <f>IFERROR(__xludf.DUMMYFUNCTION("""COMPUTED_VALUE"""),"")</f>
        <v/>
      </c>
      <c r="U2569" s="16" t="s">
        <v>87</v>
      </c>
      <c r="V2569" s="16" t="str">
        <f>IFERROR(__xludf.DUMMYFUNCTION("""COMPUTED_VALUE"""),"")</f>
        <v/>
      </c>
      <c r="W2569" s="16" t="str">
        <f>IFERROR(__xludf.DUMMYFUNCTION("""COMPUTED_VALUE"""),"")</f>
        <v/>
      </c>
      <c r="X2569" s="16" t="str">
        <f>IFERROR(__xludf.DUMMYFUNCTION("""COMPUTED_VALUE"""),"")</f>
        <v/>
      </c>
      <c r="AC2569" s="16" t="str">
        <f>IFERROR(__xludf.DUMMYFUNCTION("""COMPUTED_VALUE"""),"")</f>
        <v/>
      </c>
    </row>
    <row r="2570">
      <c r="A2570" s="16" t="s">
        <v>87</v>
      </c>
      <c r="E2570" s="16" t="str">
        <f>IFERROR(__xludf.DUMMYFUNCTION("""COMPUTED_VALUE"""),"")</f>
        <v/>
      </c>
      <c r="G2570" s="18"/>
      <c r="H2570" s="16" t="s">
        <v>87</v>
      </c>
      <c r="I2570" s="16" t="s">
        <v>87</v>
      </c>
      <c r="J2570" s="19"/>
      <c r="L2570" s="16" t="str">
        <f>IFERROR(__xludf.DUMMYFUNCTION("""COMPUTED_VALUE"""),"")</f>
        <v/>
      </c>
      <c r="M2570" s="16" t="str">
        <f>IFERROR(__xludf.DUMMYFUNCTION("""COMPUTED_VALUE"""),"")</f>
        <v/>
      </c>
      <c r="U2570" s="16" t="s">
        <v>87</v>
      </c>
      <c r="V2570" s="16" t="str">
        <f>IFERROR(__xludf.DUMMYFUNCTION("""COMPUTED_VALUE"""),"")</f>
        <v/>
      </c>
      <c r="W2570" s="16" t="str">
        <f>IFERROR(__xludf.DUMMYFUNCTION("""COMPUTED_VALUE"""),"")</f>
        <v/>
      </c>
      <c r="X2570" s="16" t="str">
        <f>IFERROR(__xludf.DUMMYFUNCTION("""COMPUTED_VALUE"""),"")</f>
        <v/>
      </c>
      <c r="AC2570" s="16" t="str">
        <f>IFERROR(__xludf.DUMMYFUNCTION("""COMPUTED_VALUE"""),"")</f>
        <v/>
      </c>
    </row>
    <row r="2571">
      <c r="A2571" s="16" t="s">
        <v>87</v>
      </c>
      <c r="E2571" s="16" t="str">
        <f>IFERROR(__xludf.DUMMYFUNCTION("""COMPUTED_VALUE"""),"")</f>
        <v/>
      </c>
      <c r="G2571" s="18"/>
      <c r="H2571" s="16" t="s">
        <v>87</v>
      </c>
      <c r="I2571" s="16" t="s">
        <v>87</v>
      </c>
      <c r="J2571" s="19"/>
      <c r="L2571" s="16" t="str">
        <f>IFERROR(__xludf.DUMMYFUNCTION("""COMPUTED_VALUE"""),"")</f>
        <v/>
      </c>
      <c r="M2571" s="16" t="str">
        <f>IFERROR(__xludf.DUMMYFUNCTION("""COMPUTED_VALUE"""),"")</f>
        <v/>
      </c>
      <c r="U2571" s="16" t="s">
        <v>87</v>
      </c>
      <c r="V2571" s="16" t="str">
        <f>IFERROR(__xludf.DUMMYFUNCTION("""COMPUTED_VALUE"""),"")</f>
        <v/>
      </c>
      <c r="W2571" s="16" t="str">
        <f>IFERROR(__xludf.DUMMYFUNCTION("""COMPUTED_VALUE"""),"")</f>
        <v/>
      </c>
      <c r="X2571" s="16" t="str">
        <f>IFERROR(__xludf.DUMMYFUNCTION("""COMPUTED_VALUE"""),"")</f>
        <v/>
      </c>
      <c r="AC2571" s="16" t="str">
        <f>IFERROR(__xludf.DUMMYFUNCTION("""COMPUTED_VALUE"""),"")</f>
        <v/>
      </c>
    </row>
    <row r="2572">
      <c r="A2572" s="16" t="s">
        <v>87</v>
      </c>
      <c r="E2572" s="16" t="str">
        <f>IFERROR(__xludf.DUMMYFUNCTION("""COMPUTED_VALUE"""),"")</f>
        <v/>
      </c>
      <c r="G2572" s="18"/>
      <c r="H2572" s="16" t="s">
        <v>87</v>
      </c>
      <c r="I2572" s="16" t="s">
        <v>87</v>
      </c>
      <c r="J2572" s="19"/>
      <c r="L2572" s="16" t="str">
        <f>IFERROR(__xludf.DUMMYFUNCTION("""COMPUTED_VALUE"""),"")</f>
        <v/>
      </c>
      <c r="M2572" s="16" t="str">
        <f>IFERROR(__xludf.DUMMYFUNCTION("""COMPUTED_VALUE"""),"")</f>
        <v/>
      </c>
      <c r="U2572" s="16" t="s">
        <v>87</v>
      </c>
      <c r="V2572" s="16" t="str">
        <f>IFERROR(__xludf.DUMMYFUNCTION("""COMPUTED_VALUE"""),"")</f>
        <v/>
      </c>
      <c r="W2572" s="16" t="str">
        <f>IFERROR(__xludf.DUMMYFUNCTION("""COMPUTED_VALUE"""),"")</f>
        <v/>
      </c>
      <c r="X2572" s="16" t="str">
        <f>IFERROR(__xludf.DUMMYFUNCTION("""COMPUTED_VALUE"""),"")</f>
        <v/>
      </c>
      <c r="AC2572" s="16" t="str">
        <f>IFERROR(__xludf.DUMMYFUNCTION("""COMPUTED_VALUE"""),"")</f>
        <v/>
      </c>
    </row>
    <row r="2573">
      <c r="A2573" s="16" t="s">
        <v>87</v>
      </c>
      <c r="E2573" s="16" t="str">
        <f>IFERROR(__xludf.DUMMYFUNCTION("""COMPUTED_VALUE"""),"")</f>
        <v/>
      </c>
      <c r="G2573" s="18"/>
      <c r="H2573" s="16" t="s">
        <v>87</v>
      </c>
      <c r="I2573" s="16" t="s">
        <v>87</v>
      </c>
      <c r="J2573" s="19"/>
      <c r="L2573" s="16" t="str">
        <f>IFERROR(__xludf.DUMMYFUNCTION("""COMPUTED_VALUE"""),"")</f>
        <v/>
      </c>
      <c r="M2573" s="16" t="str">
        <f>IFERROR(__xludf.DUMMYFUNCTION("""COMPUTED_VALUE"""),"")</f>
        <v/>
      </c>
      <c r="U2573" s="16" t="s">
        <v>87</v>
      </c>
      <c r="V2573" s="16" t="str">
        <f>IFERROR(__xludf.DUMMYFUNCTION("""COMPUTED_VALUE"""),"")</f>
        <v/>
      </c>
      <c r="W2573" s="16" t="str">
        <f>IFERROR(__xludf.DUMMYFUNCTION("""COMPUTED_VALUE"""),"")</f>
        <v/>
      </c>
      <c r="X2573" s="16" t="str">
        <f>IFERROR(__xludf.DUMMYFUNCTION("""COMPUTED_VALUE"""),"")</f>
        <v/>
      </c>
      <c r="AC2573" s="16" t="str">
        <f>IFERROR(__xludf.DUMMYFUNCTION("""COMPUTED_VALUE"""),"")</f>
        <v/>
      </c>
    </row>
    <row r="2574">
      <c r="A2574" s="16" t="s">
        <v>87</v>
      </c>
      <c r="E2574" s="16" t="str">
        <f>IFERROR(__xludf.DUMMYFUNCTION("""COMPUTED_VALUE"""),"")</f>
        <v/>
      </c>
      <c r="G2574" s="18"/>
      <c r="H2574" s="16" t="s">
        <v>87</v>
      </c>
      <c r="I2574" s="16" t="s">
        <v>87</v>
      </c>
      <c r="J2574" s="19"/>
      <c r="L2574" s="16" t="str">
        <f>IFERROR(__xludf.DUMMYFUNCTION("""COMPUTED_VALUE"""),"")</f>
        <v/>
      </c>
      <c r="M2574" s="16" t="str">
        <f>IFERROR(__xludf.DUMMYFUNCTION("""COMPUTED_VALUE"""),"")</f>
        <v/>
      </c>
      <c r="U2574" s="16" t="s">
        <v>87</v>
      </c>
      <c r="V2574" s="16" t="str">
        <f>IFERROR(__xludf.DUMMYFUNCTION("""COMPUTED_VALUE"""),"")</f>
        <v/>
      </c>
      <c r="W2574" s="16" t="str">
        <f>IFERROR(__xludf.DUMMYFUNCTION("""COMPUTED_VALUE"""),"")</f>
        <v/>
      </c>
      <c r="X2574" s="16" t="str">
        <f>IFERROR(__xludf.DUMMYFUNCTION("""COMPUTED_VALUE"""),"")</f>
        <v/>
      </c>
      <c r="AC2574" s="16" t="str">
        <f>IFERROR(__xludf.DUMMYFUNCTION("""COMPUTED_VALUE"""),"")</f>
        <v/>
      </c>
    </row>
    <row r="2575">
      <c r="A2575" s="16" t="s">
        <v>87</v>
      </c>
      <c r="E2575" s="16" t="str">
        <f>IFERROR(__xludf.DUMMYFUNCTION("""COMPUTED_VALUE"""),"")</f>
        <v/>
      </c>
      <c r="G2575" s="18"/>
      <c r="H2575" s="16" t="s">
        <v>87</v>
      </c>
      <c r="I2575" s="16" t="s">
        <v>87</v>
      </c>
      <c r="J2575" s="19"/>
      <c r="L2575" s="16" t="str">
        <f>IFERROR(__xludf.DUMMYFUNCTION("""COMPUTED_VALUE"""),"")</f>
        <v/>
      </c>
      <c r="M2575" s="16" t="str">
        <f>IFERROR(__xludf.DUMMYFUNCTION("""COMPUTED_VALUE"""),"")</f>
        <v/>
      </c>
      <c r="U2575" s="16" t="s">
        <v>87</v>
      </c>
      <c r="V2575" s="16" t="str">
        <f>IFERROR(__xludf.DUMMYFUNCTION("""COMPUTED_VALUE"""),"")</f>
        <v/>
      </c>
      <c r="W2575" s="16" t="str">
        <f>IFERROR(__xludf.DUMMYFUNCTION("""COMPUTED_VALUE"""),"")</f>
        <v/>
      </c>
      <c r="X2575" s="16" t="str">
        <f>IFERROR(__xludf.DUMMYFUNCTION("""COMPUTED_VALUE"""),"")</f>
        <v/>
      </c>
      <c r="AC2575" s="16" t="str">
        <f>IFERROR(__xludf.DUMMYFUNCTION("""COMPUTED_VALUE"""),"")</f>
        <v/>
      </c>
    </row>
    <row r="2576">
      <c r="A2576" s="16" t="s">
        <v>87</v>
      </c>
      <c r="E2576" s="16" t="str">
        <f>IFERROR(__xludf.DUMMYFUNCTION("""COMPUTED_VALUE"""),"")</f>
        <v/>
      </c>
      <c r="G2576" s="18"/>
      <c r="H2576" s="16" t="s">
        <v>87</v>
      </c>
      <c r="I2576" s="16" t="s">
        <v>87</v>
      </c>
      <c r="J2576" s="19"/>
      <c r="L2576" s="16" t="str">
        <f>IFERROR(__xludf.DUMMYFUNCTION("""COMPUTED_VALUE"""),"")</f>
        <v/>
      </c>
      <c r="M2576" s="16" t="str">
        <f>IFERROR(__xludf.DUMMYFUNCTION("""COMPUTED_VALUE"""),"")</f>
        <v/>
      </c>
      <c r="U2576" s="16" t="s">
        <v>87</v>
      </c>
      <c r="V2576" s="16" t="str">
        <f>IFERROR(__xludf.DUMMYFUNCTION("""COMPUTED_VALUE"""),"")</f>
        <v/>
      </c>
      <c r="W2576" s="16" t="str">
        <f>IFERROR(__xludf.DUMMYFUNCTION("""COMPUTED_VALUE"""),"")</f>
        <v/>
      </c>
      <c r="X2576" s="16" t="str">
        <f>IFERROR(__xludf.DUMMYFUNCTION("""COMPUTED_VALUE"""),"")</f>
        <v/>
      </c>
      <c r="AC2576" s="16" t="str">
        <f>IFERROR(__xludf.DUMMYFUNCTION("""COMPUTED_VALUE"""),"")</f>
        <v/>
      </c>
    </row>
    <row r="2577">
      <c r="A2577" s="16" t="s">
        <v>87</v>
      </c>
      <c r="E2577" s="16" t="str">
        <f>IFERROR(__xludf.DUMMYFUNCTION("""COMPUTED_VALUE"""),"")</f>
        <v/>
      </c>
      <c r="G2577" s="18"/>
      <c r="H2577" s="16" t="s">
        <v>87</v>
      </c>
      <c r="I2577" s="16" t="s">
        <v>87</v>
      </c>
      <c r="J2577" s="19"/>
      <c r="L2577" s="16" t="str">
        <f>IFERROR(__xludf.DUMMYFUNCTION("""COMPUTED_VALUE"""),"")</f>
        <v/>
      </c>
      <c r="M2577" s="16" t="str">
        <f>IFERROR(__xludf.DUMMYFUNCTION("""COMPUTED_VALUE"""),"")</f>
        <v/>
      </c>
      <c r="U2577" s="16" t="s">
        <v>87</v>
      </c>
      <c r="V2577" s="16" t="str">
        <f>IFERROR(__xludf.DUMMYFUNCTION("""COMPUTED_VALUE"""),"")</f>
        <v/>
      </c>
      <c r="W2577" s="16" t="str">
        <f>IFERROR(__xludf.DUMMYFUNCTION("""COMPUTED_VALUE"""),"")</f>
        <v/>
      </c>
      <c r="X2577" s="16" t="str">
        <f>IFERROR(__xludf.DUMMYFUNCTION("""COMPUTED_VALUE"""),"")</f>
        <v/>
      </c>
      <c r="AC2577" s="16" t="str">
        <f>IFERROR(__xludf.DUMMYFUNCTION("""COMPUTED_VALUE"""),"")</f>
        <v/>
      </c>
    </row>
    <row r="2578">
      <c r="A2578" s="16" t="s">
        <v>87</v>
      </c>
      <c r="E2578" s="16" t="str">
        <f>IFERROR(__xludf.DUMMYFUNCTION("""COMPUTED_VALUE"""),"")</f>
        <v/>
      </c>
      <c r="G2578" s="18"/>
      <c r="H2578" s="16" t="s">
        <v>87</v>
      </c>
      <c r="I2578" s="16" t="s">
        <v>87</v>
      </c>
      <c r="J2578" s="19"/>
      <c r="L2578" s="16" t="str">
        <f>IFERROR(__xludf.DUMMYFUNCTION("""COMPUTED_VALUE"""),"")</f>
        <v/>
      </c>
      <c r="M2578" s="16" t="str">
        <f>IFERROR(__xludf.DUMMYFUNCTION("""COMPUTED_VALUE"""),"")</f>
        <v/>
      </c>
      <c r="U2578" s="16" t="s">
        <v>87</v>
      </c>
      <c r="V2578" s="16" t="str">
        <f>IFERROR(__xludf.DUMMYFUNCTION("""COMPUTED_VALUE"""),"")</f>
        <v/>
      </c>
      <c r="W2578" s="16" t="str">
        <f>IFERROR(__xludf.DUMMYFUNCTION("""COMPUTED_VALUE"""),"")</f>
        <v/>
      </c>
      <c r="X2578" s="16" t="str">
        <f>IFERROR(__xludf.DUMMYFUNCTION("""COMPUTED_VALUE"""),"")</f>
        <v/>
      </c>
      <c r="AC2578" s="16" t="str">
        <f>IFERROR(__xludf.DUMMYFUNCTION("""COMPUTED_VALUE"""),"")</f>
        <v/>
      </c>
    </row>
    <row r="2579">
      <c r="A2579" s="16" t="s">
        <v>87</v>
      </c>
      <c r="E2579" s="16" t="str">
        <f>IFERROR(__xludf.DUMMYFUNCTION("""COMPUTED_VALUE"""),"")</f>
        <v/>
      </c>
      <c r="G2579" s="18"/>
      <c r="H2579" s="16" t="s">
        <v>87</v>
      </c>
      <c r="I2579" s="16" t="s">
        <v>87</v>
      </c>
      <c r="J2579" s="19"/>
      <c r="L2579" s="16" t="str">
        <f>IFERROR(__xludf.DUMMYFUNCTION("""COMPUTED_VALUE"""),"")</f>
        <v/>
      </c>
      <c r="M2579" s="16" t="str">
        <f>IFERROR(__xludf.DUMMYFUNCTION("""COMPUTED_VALUE"""),"")</f>
        <v/>
      </c>
      <c r="U2579" s="16" t="s">
        <v>87</v>
      </c>
      <c r="V2579" s="16" t="str">
        <f>IFERROR(__xludf.DUMMYFUNCTION("""COMPUTED_VALUE"""),"")</f>
        <v/>
      </c>
      <c r="W2579" s="16" t="str">
        <f>IFERROR(__xludf.DUMMYFUNCTION("""COMPUTED_VALUE"""),"")</f>
        <v/>
      </c>
      <c r="X2579" s="16" t="str">
        <f>IFERROR(__xludf.DUMMYFUNCTION("""COMPUTED_VALUE"""),"")</f>
        <v/>
      </c>
      <c r="AC2579" s="16" t="str">
        <f>IFERROR(__xludf.DUMMYFUNCTION("""COMPUTED_VALUE"""),"")</f>
        <v/>
      </c>
    </row>
    <row r="2580">
      <c r="A2580" s="16" t="s">
        <v>87</v>
      </c>
      <c r="E2580" s="16" t="str">
        <f>IFERROR(__xludf.DUMMYFUNCTION("""COMPUTED_VALUE"""),"")</f>
        <v/>
      </c>
      <c r="G2580" s="18"/>
      <c r="H2580" s="16" t="s">
        <v>87</v>
      </c>
      <c r="I2580" s="16" t="s">
        <v>87</v>
      </c>
      <c r="J2580" s="19"/>
      <c r="L2580" s="16" t="str">
        <f>IFERROR(__xludf.DUMMYFUNCTION("""COMPUTED_VALUE"""),"")</f>
        <v/>
      </c>
      <c r="M2580" s="16" t="str">
        <f>IFERROR(__xludf.DUMMYFUNCTION("""COMPUTED_VALUE"""),"")</f>
        <v/>
      </c>
      <c r="U2580" s="16" t="s">
        <v>87</v>
      </c>
      <c r="V2580" s="16" t="str">
        <f>IFERROR(__xludf.DUMMYFUNCTION("""COMPUTED_VALUE"""),"")</f>
        <v/>
      </c>
      <c r="W2580" s="16" t="str">
        <f>IFERROR(__xludf.DUMMYFUNCTION("""COMPUTED_VALUE"""),"")</f>
        <v/>
      </c>
      <c r="X2580" s="16" t="str">
        <f>IFERROR(__xludf.DUMMYFUNCTION("""COMPUTED_VALUE"""),"")</f>
        <v/>
      </c>
      <c r="AC2580" s="16" t="str">
        <f>IFERROR(__xludf.DUMMYFUNCTION("""COMPUTED_VALUE"""),"")</f>
        <v/>
      </c>
    </row>
    <row r="2581">
      <c r="A2581" s="16" t="s">
        <v>87</v>
      </c>
      <c r="E2581" s="16" t="str">
        <f>IFERROR(__xludf.DUMMYFUNCTION("""COMPUTED_VALUE"""),"")</f>
        <v/>
      </c>
      <c r="G2581" s="18"/>
      <c r="H2581" s="16" t="s">
        <v>87</v>
      </c>
      <c r="I2581" s="16" t="s">
        <v>87</v>
      </c>
      <c r="J2581" s="19"/>
      <c r="L2581" s="16" t="str">
        <f>IFERROR(__xludf.DUMMYFUNCTION("""COMPUTED_VALUE"""),"")</f>
        <v/>
      </c>
      <c r="M2581" s="16" t="str">
        <f>IFERROR(__xludf.DUMMYFUNCTION("""COMPUTED_VALUE"""),"")</f>
        <v/>
      </c>
      <c r="U2581" s="16" t="s">
        <v>87</v>
      </c>
      <c r="V2581" s="16" t="str">
        <f>IFERROR(__xludf.DUMMYFUNCTION("""COMPUTED_VALUE"""),"")</f>
        <v/>
      </c>
      <c r="W2581" s="16" t="str">
        <f>IFERROR(__xludf.DUMMYFUNCTION("""COMPUTED_VALUE"""),"")</f>
        <v/>
      </c>
      <c r="X2581" s="16" t="str">
        <f>IFERROR(__xludf.DUMMYFUNCTION("""COMPUTED_VALUE"""),"")</f>
        <v/>
      </c>
      <c r="AC2581" s="16" t="str">
        <f>IFERROR(__xludf.DUMMYFUNCTION("""COMPUTED_VALUE"""),"")</f>
        <v/>
      </c>
    </row>
    <row r="2582">
      <c r="A2582" s="16" t="s">
        <v>87</v>
      </c>
      <c r="E2582" s="16" t="str">
        <f>IFERROR(__xludf.DUMMYFUNCTION("""COMPUTED_VALUE"""),"")</f>
        <v/>
      </c>
      <c r="G2582" s="18"/>
      <c r="H2582" s="16" t="s">
        <v>87</v>
      </c>
      <c r="I2582" s="16" t="s">
        <v>87</v>
      </c>
      <c r="J2582" s="19"/>
      <c r="L2582" s="16" t="str">
        <f>IFERROR(__xludf.DUMMYFUNCTION("""COMPUTED_VALUE"""),"")</f>
        <v/>
      </c>
      <c r="M2582" s="16" t="str">
        <f>IFERROR(__xludf.DUMMYFUNCTION("""COMPUTED_VALUE"""),"")</f>
        <v/>
      </c>
      <c r="U2582" s="16" t="s">
        <v>87</v>
      </c>
      <c r="V2582" s="16" t="str">
        <f>IFERROR(__xludf.DUMMYFUNCTION("""COMPUTED_VALUE"""),"")</f>
        <v/>
      </c>
      <c r="W2582" s="16" t="str">
        <f>IFERROR(__xludf.DUMMYFUNCTION("""COMPUTED_VALUE"""),"")</f>
        <v/>
      </c>
      <c r="X2582" s="16" t="str">
        <f>IFERROR(__xludf.DUMMYFUNCTION("""COMPUTED_VALUE"""),"")</f>
        <v/>
      </c>
      <c r="AC2582" s="16" t="str">
        <f>IFERROR(__xludf.DUMMYFUNCTION("""COMPUTED_VALUE"""),"")</f>
        <v/>
      </c>
    </row>
    <row r="2583">
      <c r="A2583" s="16" t="s">
        <v>87</v>
      </c>
      <c r="E2583" s="16" t="str">
        <f>IFERROR(__xludf.DUMMYFUNCTION("""COMPUTED_VALUE"""),"")</f>
        <v/>
      </c>
      <c r="G2583" s="18"/>
      <c r="H2583" s="16" t="s">
        <v>87</v>
      </c>
      <c r="I2583" s="16" t="s">
        <v>87</v>
      </c>
      <c r="J2583" s="19"/>
      <c r="L2583" s="16" t="str">
        <f>IFERROR(__xludf.DUMMYFUNCTION("""COMPUTED_VALUE"""),"")</f>
        <v/>
      </c>
      <c r="M2583" s="16" t="str">
        <f>IFERROR(__xludf.DUMMYFUNCTION("""COMPUTED_VALUE"""),"")</f>
        <v/>
      </c>
      <c r="U2583" s="16" t="s">
        <v>87</v>
      </c>
      <c r="V2583" s="16" t="str">
        <f>IFERROR(__xludf.DUMMYFUNCTION("""COMPUTED_VALUE"""),"")</f>
        <v/>
      </c>
      <c r="W2583" s="16" t="str">
        <f>IFERROR(__xludf.DUMMYFUNCTION("""COMPUTED_VALUE"""),"")</f>
        <v/>
      </c>
      <c r="X2583" s="16" t="str">
        <f>IFERROR(__xludf.DUMMYFUNCTION("""COMPUTED_VALUE"""),"")</f>
        <v/>
      </c>
      <c r="AC2583" s="16" t="str">
        <f>IFERROR(__xludf.DUMMYFUNCTION("""COMPUTED_VALUE"""),"")</f>
        <v/>
      </c>
    </row>
    <row r="2584">
      <c r="A2584" s="16" t="s">
        <v>87</v>
      </c>
      <c r="E2584" s="16" t="str">
        <f>IFERROR(__xludf.DUMMYFUNCTION("""COMPUTED_VALUE"""),"")</f>
        <v/>
      </c>
      <c r="G2584" s="18"/>
      <c r="H2584" s="16" t="s">
        <v>87</v>
      </c>
      <c r="I2584" s="16" t="s">
        <v>87</v>
      </c>
      <c r="J2584" s="19"/>
      <c r="L2584" s="16" t="str">
        <f>IFERROR(__xludf.DUMMYFUNCTION("""COMPUTED_VALUE"""),"")</f>
        <v/>
      </c>
      <c r="M2584" s="16" t="str">
        <f>IFERROR(__xludf.DUMMYFUNCTION("""COMPUTED_VALUE"""),"")</f>
        <v/>
      </c>
      <c r="U2584" s="16" t="s">
        <v>87</v>
      </c>
      <c r="V2584" s="16" t="str">
        <f>IFERROR(__xludf.DUMMYFUNCTION("""COMPUTED_VALUE"""),"")</f>
        <v/>
      </c>
      <c r="W2584" s="16" t="str">
        <f>IFERROR(__xludf.DUMMYFUNCTION("""COMPUTED_VALUE"""),"")</f>
        <v/>
      </c>
      <c r="X2584" s="16" t="str">
        <f>IFERROR(__xludf.DUMMYFUNCTION("""COMPUTED_VALUE"""),"")</f>
        <v/>
      </c>
      <c r="AC2584" s="16" t="str">
        <f>IFERROR(__xludf.DUMMYFUNCTION("""COMPUTED_VALUE"""),"")</f>
        <v/>
      </c>
    </row>
    <row r="2585">
      <c r="A2585" s="16" t="s">
        <v>87</v>
      </c>
      <c r="E2585" s="16" t="str">
        <f>IFERROR(__xludf.DUMMYFUNCTION("""COMPUTED_VALUE"""),"")</f>
        <v/>
      </c>
      <c r="G2585" s="18"/>
      <c r="H2585" s="16" t="s">
        <v>87</v>
      </c>
      <c r="I2585" s="16" t="s">
        <v>87</v>
      </c>
      <c r="J2585" s="19"/>
      <c r="L2585" s="16" t="str">
        <f>IFERROR(__xludf.DUMMYFUNCTION("""COMPUTED_VALUE"""),"")</f>
        <v/>
      </c>
      <c r="M2585" s="16" t="str">
        <f>IFERROR(__xludf.DUMMYFUNCTION("""COMPUTED_VALUE"""),"")</f>
        <v/>
      </c>
      <c r="U2585" s="16" t="s">
        <v>87</v>
      </c>
      <c r="V2585" s="16" t="str">
        <f>IFERROR(__xludf.DUMMYFUNCTION("""COMPUTED_VALUE"""),"")</f>
        <v/>
      </c>
      <c r="W2585" s="16" t="str">
        <f>IFERROR(__xludf.DUMMYFUNCTION("""COMPUTED_VALUE"""),"")</f>
        <v/>
      </c>
      <c r="X2585" s="16" t="str">
        <f>IFERROR(__xludf.DUMMYFUNCTION("""COMPUTED_VALUE"""),"")</f>
        <v/>
      </c>
      <c r="AC2585" s="16" t="str">
        <f>IFERROR(__xludf.DUMMYFUNCTION("""COMPUTED_VALUE"""),"")</f>
        <v/>
      </c>
    </row>
    <row r="2586">
      <c r="A2586" s="16" t="s">
        <v>87</v>
      </c>
      <c r="E2586" s="16" t="str">
        <f>IFERROR(__xludf.DUMMYFUNCTION("""COMPUTED_VALUE"""),"")</f>
        <v/>
      </c>
      <c r="G2586" s="18"/>
      <c r="H2586" s="16" t="s">
        <v>87</v>
      </c>
      <c r="I2586" s="16" t="s">
        <v>87</v>
      </c>
      <c r="J2586" s="19"/>
      <c r="L2586" s="16" t="str">
        <f>IFERROR(__xludf.DUMMYFUNCTION("""COMPUTED_VALUE"""),"")</f>
        <v/>
      </c>
      <c r="M2586" s="16" t="str">
        <f>IFERROR(__xludf.DUMMYFUNCTION("""COMPUTED_VALUE"""),"")</f>
        <v/>
      </c>
      <c r="U2586" s="16" t="s">
        <v>87</v>
      </c>
      <c r="V2586" s="16" t="str">
        <f>IFERROR(__xludf.DUMMYFUNCTION("""COMPUTED_VALUE"""),"")</f>
        <v/>
      </c>
      <c r="W2586" s="16" t="str">
        <f>IFERROR(__xludf.DUMMYFUNCTION("""COMPUTED_VALUE"""),"")</f>
        <v/>
      </c>
      <c r="X2586" s="16" t="str">
        <f>IFERROR(__xludf.DUMMYFUNCTION("""COMPUTED_VALUE"""),"")</f>
        <v/>
      </c>
      <c r="AC2586" s="16" t="str">
        <f>IFERROR(__xludf.DUMMYFUNCTION("""COMPUTED_VALUE"""),"")</f>
        <v/>
      </c>
    </row>
    <row r="2587">
      <c r="A2587" s="16" t="s">
        <v>87</v>
      </c>
      <c r="E2587" s="16" t="str">
        <f>IFERROR(__xludf.DUMMYFUNCTION("""COMPUTED_VALUE"""),"")</f>
        <v/>
      </c>
      <c r="G2587" s="18"/>
      <c r="H2587" s="16" t="s">
        <v>87</v>
      </c>
      <c r="I2587" s="16" t="s">
        <v>87</v>
      </c>
      <c r="J2587" s="19"/>
      <c r="L2587" s="16" t="str">
        <f>IFERROR(__xludf.DUMMYFUNCTION("""COMPUTED_VALUE"""),"")</f>
        <v/>
      </c>
      <c r="M2587" s="16" t="str">
        <f>IFERROR(__xludf.DUMMYFUNCTION("""COMPUTED_VALUE"""),"")</f>
        <v/>
      </c>
      <c r="U2587" s="16" t="s">
        <v>87</v>
      </c>
      <c r="V2587" s="16" t="str">
        <f>IFERROR(__xludf.DUMMYFUNCTION("""COMPUTED_VALUE"""),"")</f>
        <v/>
      </c>
      <c r="W2587" s="16" t="str">
        <f>IFERROR(__xludf.DUMMYFUNCTION("""COMPUTED_VALUE"""),"")</f>
        <v/>
      </c>
      <c r="X2587" s="16" t="str">
        <f>IFERROR(__xludf.DUMMYFUNCTION("""COMPUTED_VALUE"""),"")</f>
        <v/>
      </c>
      <c r="AC2587" s="16" t="str">
        <f>IFERROR(__xludf.DUMMYFUNCTION("""COMPUTED_VALUE"""),"")</f>
        <v/>
      </c>
    </row>
    <row r="2588">
      <c r="A2588" s="16" t="s">
        <v>87</v>
      </c>
      <c r="E2588" s="16" t="str">
        <f>IFERROR(__xludf.DUMMYFUNCTION("""COMPUTED_VALUE"""),"")</f>
        <v/>
      </c>
      <c r="G2588" s="18"/>
      <c r="H2588" s="16" t="s">
        <v>87</v>
      </c>
      <c r="I2588" s="16" t="s">
        <v>87</v>
      </c>
      <c r="J2588" s="19"/>
      <c r="L2588" s="16" t="str">
        <f>IFERROR(__xludf.DUMMYFUNCTION("""COMPUTED_VALUE"""),"")</f>
        <v/>
      </c>
      <c r="M2588" s="16" t="str">
        <f>IFERROR(__xludf.DUMMYFUNCTION("""COMPUTED_VALUE"""),"")</f>
        <v/>
      </c>
      <c r="U2588" s="16" t="s">
        <v>87</v>
      </c>
      <c r="V2588" s="16" t="str">
        <f>IFERROR(__xludf.DUMMYFUNCTION("""COMPUTED_VALUE"""),"")</f>
        <v/>
      </c>
      <c r="W2588" s="16" t="str">
        <f>IFERROR(__xludf.DUMMYFUNCTION("""COMPUTED_VALUE"""),"")</f>
        <v/>
      </c>
      <c r="X2588" s="16" t="str">
        <f>IFERROR(__xludf.DUMMYFUNCTION("""COMPUTED_VALUE"""),"")</f>
        <v/>
      </c>
      <c r="AC2588" s="16" t="str">
        <f>IFERROR(__xludf.DUMMYFUNCTION("""COMPUTED_VALUE"""),"")</f>
        <v/>
      </c>
    </row>
    <row r="2589">
      <c r="A2589" s="16" t="s">
        <v>87</v>
      </c>
      <c r="E2589" s="16" t="str">
        <f>IFERROR(__xludf.DUMMYFUNCTION("""COMPUTED_VALUE"""),"")</f>
        <v/>
      </c>
      <c r="G2589" s="18"/>
      <c r="H2589" s="16" t="s">
        <v>87</v>
      </c>
      <c r="I2589" s="16" t="s">
        <v>87</v>
      </c>
      <c r="J2589" s="19"/>
      <c r="L2589" s="16" t="str">
        <f>IFERROR(__xludf.DUMMYFUNCTION("""COMPUTED_VALUE"""),"")</f>
        <v/>
      </c>
      <c r="M2589" s="16" t="str">
        <f>IFERROR(__xludf.DUMMYFUNCTION("""COMPUTED_VALUE"""),"")</f>
        <v/>
      </c>
      <c r="U2589" s="16" t="s">
        <v>87</v>
      </c>
      <c r="V2589" s="16" t="str">
        <f>IFERROR(__xludf.DUMMYFUNCTION("""COMPUTED_VALUE"""),"")</f>
        <v/>
      </c>
      <c r="W2589" s="16" t="str">
        <f>IFERROR(__xludf.DUMMYFUNCTION("""COMPUTED_VALUE"""),"")</f>
        <v/>
      </c>
      <c r="X2589" s="16" t="str">
        <f>IFERROR(__xludf.DUMMYFUNCTION("""COMPUTED_VALUE"""),"")</f>
        <v/>
      </c>
      <c r="AC2589" s="16" t="str">
        <f>IFERROR(__xludf.DUMMYFUNCTION("""COMPUTED_VALUE"""),"")</f>
        <v/>
      </c>
    </row>
    <row r="2590">
      <c r="A2590" s="16" t="s">
        <v>87</v>
      </c>
      <c r="E2590" s="16" t="str">
        <f>IFERROR(__xludf.DUMMYFUNCTION("""COMPUTED_VALUE"""),"")</f>
        <v/>
      </c>
      <c r="G2590" s="18"/>
      <c r="H2590" s="16" t="s">
        <v>87</v>
      </c>
      <c r="I2590" s="16" t="s">
        <v>87</v>
      </c>
      <c r="J2590" s="19"/>
      <c r="L2590" s="16" t="str">
        <f>IFERROR(__xludf.DUMMYFUNCTION("""COMPUTED_VALUE"""),"")</f>
        <v/>
      </c>
      <c r="M2590" s="16" t="str">
        <f>IFERROR(__xludf.DUMMYFUNCTION("""COMPUTED_VALUE"""),"")</f>
        <v/>
      </c>
      <c r="U2590" s="16" t="s">
        <v>87</v>
      </c>
      <c r="V2590" s="16" t="str">
        <f>IFERROR(__xludf.DUMMYFUNCTION("""COMPUTED_VALUE"""),"")</f>
        <v/>
      </c>
      <c r="W2590" s="16" t="str">
        <f>IFERROR(__xludf.DUMMYFUNCTION("""COMPUTED_VALUE"""),"")</f>
        <v/>
      </c>
      <c r="X2590" s="16" t="str">
        <f>IFERROR(__xludf.DUMMYFUNCTION("""COMPUTED_VALUE"""),"")</f>
        <v/>
      </c>
      <c r="AC2590" s="16" t="str">
        <f>IFERROR(__xludf.DUMMYFUNCTION("""COMPUTED_VALUE"""),"")</f>
        <v/>
      </c>
    </row>
    <row r="2591">
      <c r="A2591" s="16" t="s">
        <v>87</v>
      </c>
      <c r="E2591" s="16" t="str">
        <f>IFERROR(__xludf.DUMMYFUNCTION("""COMPUTED_VALUE"""),"")</f>
        <v/>
      </c>
      <c r="G2591" s="18"/>
      <c r="H2591" s="16" t="s">
        <v>87</v>
      </c>
      <c r="I2591" s="16" t="s">
        <v>87</v>
      </c>
      <c r="J2591" s="19"/>
      <c r="L2591" s="16" t="str">
        <f>IFERROR(__xludf.DUMMYFUNCTION("""COMPUTED_VALUE"""),"")</f>
        <v/>
      </c>
      <c r="M2591" s="16" t="str">
        <f>IFERROR(__xludf.DUMMYFUNCTION("""COMPUTED_VALUE"""),"")</f>
        <v/>
      </c>
      <c r="U2591" s="16" t="s">
        <v>87</v>
      </c>
      <c r="V2591" s="16" t="str">
        <f>IFERROR(__xludf.DUMMYFUNCTION("""COMPUTED_VALUE"""),"")</f>
        <v/>
      </c>
      <c r="W2591" s="16" t="str">
        <f>IFERROR(__xludf.DUMMYFUNCTION("""COMPUTED_VALUE"""),"")</f>
        <v/>
      </c>
      <c r="X2591" s="16" t="str">
        <f>IFERROR(__xludf.DUMMYFUNCTION("""COMPUTED_VALUE"""),"")</f>
        <v/>
      </c>
      <c r="AC2591" s="16" t="str">
        <f>IFERROR(__xludf.DUMMYFUNCTION("""COMPUTED_VALUE"""),"")</f>
        <v/>
      </c>
    </row>
    <row r="2592">
      <c r="A2592" s="16" t="s">
        <v>87</v>
      </c>
      <c r="E2592" s="16" t="str">
        <f>IFERROR(__xludf.DUMMYFUNCTION("""COMPUTED_VALUE"""),"")</f>
        <v/>
      </c>
      <c r="G2592" s="18"/>
      <c r="H2592" s="16" t="s">
        <v>87</v>
      </c>
      <c r="I2592" s="16" t="s">
        <v>87</v>
      </c>
      <c r="J2592" s="19"/>
      <c r="L2592" s="16" t="str">
        <f>IFERROR(__xludf.DUMMYFUNCTION("""COMPUTED_VALUE"""),"")</f>
        <v/>
      </c>
      <c r="M2592" s="16" t="str">
        <f>IFERROR(__xludf.DUMMYFUNCTION("""COMPUTED_VALUE"""),"")</f>
        <v/>
      </c>
      <c r="U2592" s="16" t="s">
        <v>87</v>
      </c>
      <c r="V2592" s="16" t="str">
        <f>IFERROR(__xludf.DUMMYFUNCTION("""COMPUTED_VALUE"""),"")</f>
        <v/>
      </c>
      <c r="W2592" s="16" t="str">
        <f>IFERROR(__xludf.DUMMYFUNCTION("""COMPUTED_VALUE"""),"")</f>
        <v/>
      </c>
      <c r="X2592" s="16" t="str">
        <f>IFERROR(__xludf.DUMMYFUNCTION("""COMPUTED_VALUE"""),"")</f>
        <v/>
      </c>
      <c r="AC2592" s="16" t="str">
        <f>IFERROR(__xludf.DUMMYFUNCTION("""COMPUTED_VALUE"""),"")</f>
        <v/>
      </c>
    </row>
    <row r="2593">
      <c r="A2593" s="16" t="s">
        <v>87</v>
      </c>
      <c r="E2593" s="16" t="str">
        <f>IFERROR(__xludf.DUMMYFUNCTION("""COMPUTED_VALUE"""),"")</f>
        <v/>
      </c>
      <c r="G2593" s="18"/>
      <c r="H2593" s="16" t="s">
        <v>87</v>
      </c>
      <c r="I2593" s="16" t="s">
        <v>87</v>
      </c>
      <c r="J2593" s="19"/>
      <c r="L2593" s="16" t="str">
        <f>IFERROR(__xludf.DUMMYFUNCTION("""COMPUTED_VALUE"""),"")</f>
        <v/>
      </c>
      <c r="M2593" s="16" t="str">
        <f>IFERROR(__xludf.DUMMYFUNCTION("""COMPUTED_VALUE"""),"")</f>
        <v/>
      </c>
      <c r="U2593" s="16" t="s">
        <v>87</v>
      </c>
      <c r="V2593" s="16" t="str">
        <f>IFERROR(__xludf.DUMMYFUNCTION("""COMPUTED_VALUE"""),"")</f>
        <v/>
      </c>
      <c r="W2593" s="16" t="str">
        <f>IFERROR(__xludf.DUMMYFUNCTION("""COMPUTED_VALUE"""),"")</f>
        <v/>
      </c>
      <c r="X2593" s="16" t="str">
        <f>IFERROR(__xludf.DUMMYFUNCTION("""COMPUTED_VALUE"""),"")</f>
        <v/>
      </c>
      <c r="AC2593" s="16" t="str">
        <f>IFERROR(__xludf.DUMMYFUNCTION("""COMPUTED_VALUE"""),"")</f>
        <v/>
      </c>
    </row>
    <row r="2594">
      <c r="A2594" s="16" t="s">
        <v>87</v>
      </c>
      <c r="E2594" s="16" t="str">
        <f>IFERROR(__xludf.DUMMYFUNCTION("""COMPUTED_VALUE"""),"")</f>
        <v/>
      </c>
      <c r="G2594" s="18"/>
      <c r="H2594" s="16" t="s">
        <v>87</v>
      </c>
      <c r="I2594" s="16" t="s">
        <v>87</v>
      </c>
      <c r="J2594" s="19"/>
      <c r="L2594" s="16" t="str">
        <f>IFERROR(__xludf.DUMMYFUNCTION("""COMPUTED_VALUE"""),"")</f>
        <v/>
      </c>
      <c r="M2594" s="16" t="str">
        <f>IFERROR(__xludf.DUMMYFUNCTION("""COMPUTED_VALUE"""),"")</f>
        <v/>
      </c>
      <c r="U2594" s="16" t="s">
        <v>87</v>
      </c>
      <c r="V2594" s="16" t="str">
        <f>IFERROR(__xludf.DUMMYFUNCTION("""COMPUTED_VALUE"""),"")</f>
        <v/>
      </c>
      <c r="W2594" s="16" t="str">
        <f>IFERROR(__xludf.DUMMYFUNCTION("""COMPUTED_VALUE"""),"")</f>
        <v/>
      </c>
      <c r="X2594" s="16" t="str">
        <f>IFERROR(__xludf.DUMMYFUNCTION("""COMPUTED_VALUE"""),"")</f>
        <v/>
      </c>
      <c r="AC2594" s="16" t="str">
        <f>IFERROR(__xludf.DUMMYFUNCTION("""COMPUTED_VALUE"""),"")</f>
        <v/>
      </c>
    </row>
    <row r="2595">
      <c r="A2595" s="16" t="s">
        <v>87</v>
      </c>
      <c r="E2595" s="16" t="str">
        <f>IFERROR(__xludf.DUMMYFUNCTION("""COMPUTED_VALUE"""),"")</f>
        <v/>
      </c>
      <c r="G2595" s="18"/>
      <c r="H2595" s="16" t="s">
        <v>87</v>
      </c>
      <c r="I2595" s="16" t="s">
        <v>87</v>
      </c>
      <c r="J2595" s="19"/>
      <c r="L2595" s="16" t="str">
        <f>IFERROR(__xludf.DUMMYFUNCTION("""COMPUTED_VALUE"""),"")</f>
        <v/>
      </c>
      <c r="M2595" s="16" t="str">
        <f>IFERROR(__xludf.DUMMYFUNCTION("""COMPUTED_VALUE"""),"")</f>
        <v/>
      </c>
      <c r="U2595" s="16" t="s">
        <v>87</v>
      </c>
      <c r="V2595" s="16" t="str">
        <f>IFERROR(__xludf.DUMMYFUNCTION("""COMPUTED_VALUE"""),"")</f>
        <v/>
      </c>
      <c r="W2595" s="16" t="str">
        <f>IFERROR(__xludf.DUMMYFUNCTION("""COMPUTED_VALUE"""),"")</f>
        <v/>
      </c>
      <c r="X2595" s="16" t="str">
        <f>IFERROR(__xludf.DUMMYFUNCTION("""COMPUTED_VALUE"""),"")</f>
        <v/>
      </c>
      <c r="AC2595" s="16" t="str">
        <f>IFERROR(__xludf.DUMMYFUNCTION("""COMPUTED_VALUE"""),"")</f>
        <v/>
      </c>
    </row>
    <row r="2596">
      <c r="A2596" s="16" t="s">
        <v>87</v>
      </c>
      <c r="E2596" s="16" t="str">
        <f>IFERROR(__xludf.DUMMYFUNCTION("""COMPUTED_VALUE"""),"")</f>
        <v/>
      </c>
      <c r="G2596" s="18"/>
      <c r="H2596" s="16" t="s">
        <v>87</v>
      </c>
      <c r="I2596" s="16" t="s">
        <v>87</v>
      </c>
      <c r="J2596" s="19"/>
      <c r="L2596" s="16" t="str">
        <f>IFERROR(__xludf.DUMMYFUNCTION("""COMPUTED_VALUE"""),"")</f>
        <v/>
      </c>
      <c r="M2596" s="16" t="str">
        <f>IFERROR(__xludf.DUMMYFUNCTION("""COMPUTED_VALUE"""),"")</f>
        <v/>
      </c>
      <c r="U2596" s="16" t="s">
        <v>87</v>
      </c>
      <c r="V2596" s="16" t="str">
        <f>IFERROR(__xludf.DUMMYFUNCTION("""COMPUTED_VALUE"""),"")</f>
        <v/>
      </c>
      <c r="W2596" s="16" t="str">
        <f>IFERROR(__xludf.DUMMYFUNCTION("""COMPUTED_VALUE"""),"")</f>
        <v/>
      </c>
      <c r="X2596" s="16" t="str">
        <f>IFERROR(__xludf.DUMMYFUNCTION("""COMPUTED_VALUE"""),"")</f>
        <v/>
      </c>
      <c r="AC2596" s="16" t="str">
        <f>IFERROR(__xludf.DUMMYFUNCTION("""COMPUTED_VALUE"""),"")</f>
        <v/>
      </c>
    </row>
    <row r="2597">
      <c r="A2597" s="16" t="s">
        <v>87</v>
      </c>
      <c r="E2597" s="16" t="str">
        <f>IFERROR(__xludf.DUMMYFUNCTION("""COMPUTED_VALUE"""),"")</f>
        <v/>
      </c>
      <c r="G2597" s="18"/>
      <c r="H2597" s="16" t="s">
        <v>87</v>
      </c>
      <c r="I2597" s="16" t="s">
        <v>87</v>
      </c>
      <c r="J2597" s="19"/>
      <c r="L2597" s="16" t="str">
        <f>IFERROR(__xludf.DUMMYFUNCTION("""COMPUTED_VALUE"""),"")</f>
        <v/>
      </c>
      <c r="M2597" s="16" t="str">
        <f>IFERROR(__xludf.DUMMYFUNCTION("""COMPUTED_VALUE"""),"")</f>
        <v/>
      </c>
      <c r="U2597" s="16" t="s">
        <v>87</v>
      </c>
      <c r="V2597" s="16" t="str">
        <f>IFERROR(__xludf.DUMMYFUNCTION("""COMPUTED_VALUE"""),"")</f>
        <v/>
      </c>
      <c r="W2597" s="16" t="str">
        <f>IFERROR(__xludf.DUMMYFUNCTION("""COMPUTED_VALUE"""),"")</f>
        <v/>
      </c>
      <c r="X2597" s="16" t="str">
        <f>IFERROR(__xludf.DUMMYFUNCTION("""COMPUTED_VALUE"""),"")</f>
        <v/>
      </c>
      <c r="AC2597" s="16" t="str">
        <f>IFERROR(__xludf.DUMMYFUNCTION("""COMPUTED_VALUE"""),"")</f>
        <v/>
      </c>
    </row>
    <row r="2598">
      <c r="A2598" s="16" t="s">
        <v>87</v>
      </c>
      <c r="E2598" s="16" t="str">
        <f>IFERROR(__xludf.DUMMYFUNCTION("""COMPUTED_VALUE"""),"")</f>
        <v/>
      </c>
      <c r="G2598" s="18"/>
      <c r="H2598" s="16" t="s">
        <v>87</v>
      </c>
      <c r="I2598" s="16" t="s">
        <v>87</v>
      </c>
      <c r="J2598" s="19"/>
      <c r="L2598" s="16" t="str">
        <f>IFERROR(__xludf.DUMMYFUNCTION("""COMPUTED_VALUE"""),"")</f>
        <v/>
      </c>
      <c r="M2598" s="16" t="str">
        <f>IFERROR(__xludf.DUMMYFUNCTION("""COMPUTED_VALUE"""),"")</f>
        <v/>
      </c>
      <c r="U2598" s="16" t="s">
        <v>87</v>
      </c>
      <c r="V2598" s="16" t="str">
        <f>IFERROR(__xludf.DUMMYFUNCTION("""COMPUTED_VALUE"""),"")</f>
        <v/>
      </c>
      <c r="W2598" s="16" t="str">
        <f>IFERROR(__xludf.DUMMYFUNCTION("""COMPUTED_VALUE"""),"")</f>
        <v/>
      </c>
      <c r="X2598" s="16" t="str">
        <f>IFERROR(__xludf.DUMMYFUNCTION("""COMPUTED_VALUE"""),"")</f>
        <v/>
      </c>
      <c r="AC2598" s="16" t="str">
        <f>IFERROR(__xludf.DUMMYFUNCTION("""COMPUTED_VALUE"""),"")</f>
        <v/>
      </c>
    </row>
    <row r="2599">
      <c r="A2599" s="16" t="s">
        <v>87</v>
      </c>
      <c r="E2599" s="16" t="str">
        <f>IFERROR(__xludf.DUMMYFUNCTION("""COMPUTED_VALUE"""),"")</f>
        <v/>
      </c>
      <c r="G2599" s="18"/>
      <c r="H2599" s="16" t="s">
        <v>87</v>
      </c>
      <c r="I2599" s="16" t="s">
        <v>87</v>
      </c>
      <c r="J2599" s="19"/>
      <c r="L2599" s="16" t="str">
        <f>IFERROR(__xludf.DUMMYFUNCTION("""COMPUTED_VALUE"""),"")</f>
        <v/>
      </c>
      <c r="M2599" s="16" t="str">
        <f>IFERROR(__xludf.DUMMYFUNCTION("""COMPUTED_VALUE"""),"")</f>
        <v/>
      </c>
      <c r="U2599" s="16" t="s">
        <v>87</v>
      </c>
      <c r="V2599" s="16" t="str">
        <f>IFERROR(__xludf.DUMMYFUNCTION("""COMPUTED_VALUE"""),"")</f>
        <v/>
      </c>
      <c r="W2599" s="16" t="str">
        <f>IFERROR(__xludf.DUMMYFUNCTION("""COMPUTED_VALUE"""),"")</f>
        <v/>
      </c>
      <c r="X2599" s="16" t="str">
        <f>IFERROR(__xludf.DUMMYFUNCTION("""COMPUTED_VALUE"""),"")</f>
        <v/>
      </c>
      <c r="AC2599" s="16" t="str">
        <f>IFERROR(__xludf.DUMMYFUNCTION("""COMPUTED_VALUE"""),"")</f>
        <v/>
      </c>
    </row>
    <row r="2600">
      <c r="A2600" s="16" t="s">
        <v>87</v>
      </c>
      <c r="E2600" s="16" t="str">
        <f>IFERROR(__xludf.DUMMYFUNCTION("""COMPUTED_VALUE"""),"")</f>
        <v/>
      </c>
      <c r="G2600" s="18"/>
      <c r="H2600" s="16" t="s">
        <v>87</v>
      </c>
      <c r="I2600" s="16" t="s">
        <v>87</v>
      </c>
      <c r="J2600" s="19"/>
      <c r="L2600" s="16" t="str">
        <f>IFERROR(__xludf.DUMMYFUNCTION("""COMPUTED_VALUE"""),"")</f>
        <v/>
      </c>
      <c r="M2600" s="16" t="str">
        <f>IFERROR(__xludf.DUMMYFUNCTION("""COMPUTED_VALUE"""),"")</f>
        <v/>
      </c>
      <c r="U2600" s="16" t="s">
        <v>87</v>
      </c>
      <c r="V2600" s="16" t="str">
        <f>IFERROR(__xludf.DUMMYFUNCTION("""COMPUTED_VALUE"""),"")</f>
        <v/>
      </c>
      <c r="W2600" s="16" t="str">
        <f>IFERROR(__xludf.DUMMYFUNCTION("""COMPUTED_VALUE"""),"")</f>
        <v/>
      </c>
      <c r="X2600" s="16" t="str">
        <f>IFERROR(__xludf.DUMMYFUNCTION("""COMPUTED_VALUE"""),"")</f>
        <v/>
      </c>
      <c r="AC2600" s="16" t="str">
        <f>IFERROR(__xludf.DUMMYFUNCTION("""COMPUTED_VALUE"""),"")</f>
        <v/>
      </c>
    </row>
    <row r="2601">
      <c r="A2601" s="16" t="s">
        <v>87</v>
      </c>
      <c r="E2601" s="16" t="str">
        <f>IFERROR(__xludf.DUMMYFUNCTION("""COMPUTED_VALUE"""),"")</f>
        <v/>
      </c>
      <c r="G2601" s="18"/>
      <c r="H2601" s="16" t="s">
        <v>87</v>
      </c>
      <c r="I2601" s="16" t="s">
        <v>87</v>
      </c>
      <c r="J2601" s="19"/>
      <c r="L2601" s="16" t="str">
        <f>IFERROR(__xludf.DUMMYFUNCTION("""COMPUTED_VALUE"""),"")</f>
        <v/>
      </c>
      <c r="M2601" s="16" t="str">
        <f>IFERROR(__xludf.DUMMYFUNCTION("""COMPUTED_VALUE"""),"")</f>
        <v/>
      </c>
      <c r="U2601" s="16" t="s">
        <v>87</v>
      </c>
      <c r="V2601" s="16" t="str">
        <f>IFERROR(__xludf.DUMMYFUNCTION("""COMPUTED_VALUE"""),"")</f>
        <v/>
      </c>
      <c r="W2601" s="16" t="str">
        <f>IFERROR(__xludf.DUMMYFUNCTION("""COMPUTED_VALUE"""),"")</f>
        <v/>
      </c>
      <c r="X2601" s="16" t="str">
        <f>IFERROR(__xludf.DUMMYFUNCTION("""COMPUTED_VALUE"""),"")</f>
        <v/>
      </c>
      <c r="AC2601" s="16" t="str">
        <f>IFERROR(__xludf.DUMMYFUNCTION("""COMPUTED_VALUE"""),"")</f>
        <v/>
      </c>
    </row>
    <row r="2602">
      <c r="A2602" s="16" t="s">
        <v>87</v>
      </c>
      <c r="E2602" s="16" t="str">
        <f>IFERROR(__xludf.DUMMYFUNCTION("""COMPUTED_VALUE"""),"")</f>
        <v/>
      </c>
      <c r="G2602" s="18"/>
      <c r="H2602" s="16" t="s">
        <v>87</v>
      </c>
      <c r="I2602" s="16" t="s">
        <v>87</v>
      </c>
      <c r="J2602" s="19"/>
      <c r="L2602" s="16" t="str">
        <f>IFERROR(__xludf.DUMMYFUNCTION("""COMPUTED_VALUE"""),"")</f>
        <v/>
      </c>
      <c r="M2602" s="16" t="str">
        <f>IFERROR(__xludf.DUMMYFUNCTION("""COMPUTED_VALUE"""),"")</f>
        <v/>
      </c>
      <c r="U2602" s="16" t="s">
        <v>87</v>
      </c>
      <c r="V2602" s="16" t="str">
        <f>IFERROR(__xludf.DUMMYFUNCTION("""COMPUTED_VALUE"""),"")</f>
        <v/>
      </c>
      <c r="W2602" s="16" t="str">
        <f>IFERROR(__xludf.DUMMYFUNCTION("""COMPUTED_VALUE"""),"")</f>
        <v/>
      </c>
      <c r="X2602" s="16" t="str">
        <f>IFERROR(__xludf.DUMMYFUNCTION("""COMPUTED_VALUE"""),"")</f>
        <v/>
      </c>
      <c r="AC2602" s="16" t="str">
        <f>IFERROR(__xludf.DUMMYFUNCTION("""COMPUTED_VALUE"""),"")</f>
        <v/>
      </c>
    </row>
    <row r="2603">
      <c r="A2603" s="16" t="s">
        <v>87</v>
      </c>
      <c r="E2603" s="16" t="str">
        <f>IFERROR(__xludf.DUMMYFUNCTION("""COMPUTED_VALUE"""),"")</f>
        <v/>
      </c>
      <c r="G2603" s="18"/>
      <c r="H2603" s="16" t="s">
        <v>87</v>
      </c>
      <c r="I2603" s="16" t="s">
        <v>87</v>
      </c>
      <c r="J2603" s="19"/>
      <c r="L2603" s="16" t="str">
        <f>IFERROR(__xludf.DUMMYFUNCTION("""COMPUTED_VALUE"""),"")</f>
        <v/>
      </c>
      <c r="M2603" s="16" t="str">
        <f>IFERROR(__xludf.DUMMYFUNCTION("""COMPUTED_VALUE"""),"")</f>
        <v/>
      </c>
      <c r="U2603" s="16" t="s">
        <v>87</v>
      </c>
      <c r="V2603" s="16" t="str">
        <f>IFERROR(__xludf.DUMMYFUNCTION("""COMPUTED_VALUE"""),"")</f>
        <v/>
      </c>
      <c r="W2603" s="16" t="str">
        <f>IFERROR(__xludf.DUMMYFUNCTION("""COMPUTED_VALUE"""),"")</f>
        <v/>
      </c>
      <c r="X2603" s="16" t="str">
        <f>IFERROR(__xludf.DUMMYFUNCTION("""COMPUTED_VALUE"""),"")</f>
        <v/>
      </c>
      <c r="AC2603" s="16" t="str">
        <f>IFERROR(__xludf.DUMMYFUNCTION("""COMPUTED_VALUE"""),"")</f>
        <v/>
      </c>
    </row>
    <row r="2604">
      <c r="A2604" s="16" t="s">
        <v>87</v>
      </c>
      <c r="E2604" s="16" t="str">
        <f>IFERROR(__xludf.DUMMYFUNCTION("""COMPUTED_VALUE"""),"")</f>
        <v/>
      </c>
      <c r="G2604" s="18"/>
      <c r="H2604" s="16" t="s">
        <v>87</v>
      </c>
      <c r="I2604" s="16" t="s">
        <v>87</v>
      </c>
      <c r="J2604" s="19"/>
      <c r="L2604" s="16" t="str">
        <f>IFERROR(__xludf.DUMMYFUNCTION("""COMPUTED_VALUE"""),"")</f>
        <v/>
      </c>
      <c r="M2604" s="16" t="str">
        <f>IFERROR(__xludf.DUMMYFUNCTION("""COMPUTED_VALUE"""),"")</f>
        <v/>
      </c>
      <c r="U2604" s="16" t="s">
        <v>87</v>
      </c>
      <c r="V2604" s="16" t="str">
        <f>IFERROR(__xludf.DUMMYFUNCTION("""COMPUTED_VALUE"""),"")</f>
        <v/>
      </c>
      <c r="W2604" s="16" t="str">
        <f>IFERROR(__xludf.DUMMYFUNCTION("""COMPUTED_VALUE"""),"")</f>
        <v/>
      </c>
      <c r="X2604" s="16" t="str">
        <f>IFERROR(__xludf.DUMMYFUNCTION("""COMPUTED_VALUE"""),"")</f>
        <v/>
      </c>
      <c r="AC2604" s="16" t="str">
        <f>IFERROR(__xludf.DUMMYFUNCTION("""COMPUTED_VALUE"""),"")</f>
        <v/>
      </c>
    </row>
    <row r="2605">
      <c r="A2605" s="16" t="s">
        <v>87</v>
      </c>
      <c r="E2605" s="16" t="str">
        <f>IFERROR(__xludf.DUMMYFUNCTION("""COMPUTED_VALUE"""),"")</f>
        <v/>
      </c>
      <c r="G2605" s="18"/>
      <c r="H2605" s="16" t="s">
        <v>87</v>
      </c>
      <c r="I2605" s="16" t="s">
        <v>87</v>
      </c>
      <c r="J2605" s="19"/>
      <c r="L2605" s="16" t="str">
        <f>IFERROR(__xludf.DUMMYFUNCTION("""COMPUTED_VALUE"""),"")</f>
        <v/>
      </c>
      <c r="M2605" s="16" t="str">
        <f>IFERROR(__xludf.DUMMYFUNCTION("""COMPUTED_VALUE"""),"")</f>
        <v/>
      </c>
      <c r="U2605" s="16" t="s">
        <v>87</v>
      </c>
      <c r="V2605" s="16" t="str">
        <f>IFERROR(__xludf.DUMMYFUNCTION("""COMPUTED_VALUE"""),"")</f>
        <v/>
      </c>
      <c r="W2605" s="16" t="str">
        <f>IFERROR(__xludf.DUMMYFUNCTION("""COMPUTED_VALUE"""),"")</f>
        <v/>
      </c>
      <c r="X2605" s="16" t="str">
        <f>IFERROR(__xludf.DUMMYFUNCTION("""COMPUTED_VALUE"""),"")</f>
        <v/>
      </c>
      <c r="AC2605" s="16" t="str">
        <f>IFERROR(__xludf.DUMMYFUNCTION("""COMPUTED_VALUE"""),"")</f>
        <v/>
      </c>
    </row>
    <row r="2606">
      <c r="A2606" s="16" t="s">
        <v>87</v>
      </c>
      <c r="E2606" s="16" t="str">
        <f>IFERROR(__xludf.DUMMYFUNCTION("""COMPUTED_VALUE"""),"")</f>
        <v/>
      </c>
      <c r="G2606" s="18"/>
      <c r="H2606" s="16" t="s">
        <v>87</v>
      </c>
      <c r="I2606" s="16" t="s">
        <v>87</v>
      </c>
      <c r="J2606" s="19"/>
      <c r="L2606" s="16" t="str">
        <f>IFERROR(__xludf.DUMMYFUNCTION("""COMPUTED_VALUE"""),"")</f>
        <v/>
      </c>
      <c r="M2606" s="16" t="str">
        <f>IFERROR(__xludf.DUMMYFUNCTION("""COMPUTED_VALUE"""),"")</f>
        <v/>
      </c>
      <c r="U2606" s="16" t="s">
        <v>87</v>
      </c>
      <c r="V2606" s="16" t="str">
        <f>IFERROR(__xludf.DUMMYFUNCTION("""COMPUTED_VALUE"""),"")</f>
        <v/>
      </c>
      <c r="W2606" s="16" t="str">
        <f>IFERROR(__xludf.DUMMYFUNCTION("""COMPUTED_VALUE"""),"")</f>
        <v/>
      </c>
      <c r="X2606" s="16" t="str">
        <f>IFERROR(__xludf.DUMMYFUNCTION("""COMPUTED_VALUE"""),"")</f>
        <v/>
      </c>
      <c r="AC2606" s="16" t="str">
        <f>IFERROR(__xludf.DUMMYFUNCTION("""COMPUTED_VALUE"""),"")</f>
        <v/>
      </c>
    </row>
    <row r="2607">
      <c r="A2607" s="16" t="s">
        <v>87</v>
      </c>
      <c r="E2607" s="16" t="str">
        <f>IFERROR(__xludf.DUMMYFUNCTION("""COMPUTED_VALUE"""),"")</f>
        <v/>
      </c>
      <c r="G2607" s="18"/>
      <c r="H2607" s="16" t="s">
        <v>87</v>
      </c>
      <c r="I2607" s="16" t="s">
        <v>87</v>
      </c>
      <c r="J2607" s="19"/>
      <c r="L2607" s="16" t="str">
        <f>IFERROR(__xludf.DUMMYFUNCTION("""COMPUTED_VALUE"""),"")</f>
        <v/>
      </c>
      <c r="M2607" s="16" t="str">
        <f>IFERROR(__xludf.DUMMYFUNCTION("""COMPUTED_VALUE"""),"")</f>
        <v/>
      </c>
      <c r="U2607" s="16" t="s">
        <v>87</v>
      </c>
      <c r="V2607" s="16" t="str">
        <f>IFERROR(__xludf.DUMMYFUNCTION("""COMPUTED_VALUE"""),"")</f>
        <v/>
      </c>
      <c r="W2607" s="16" t="str">
        <f>IFERROR(__xludf.DUMMYFUNCTION("""COMPUTED_VALUE"""),"")</f>
        <v/>
      </c>
      <c r="X2607" s="16" t="str">
        <f>IFERROR(__xludf.DUMMYFUNCTION("""COMPUTED_VALUE"""),"")</f>
        <v/>
      </c>
      <c r="AC2607" s="16" t="str">
        <f>IFERROR(__xludf.DUMMYFUNCTION("""COMPUTED_VALUE"""),"")</f>
        <v/>
      </c>
    </row>
    <row r="2608">
      <c r="A2608" s="16" t="s">
        <v>87</v>
      </c>
      <c r="E2608" s="16" t="str">
        <f>IFERROR(__xludf.DUMMYFUNCTION("""COMPUTED_VALUE"""),"")</f>
        <v/>
      </c>
      <c r="G2608" s="18"/>
      <c r="H2608" s="16" t="s">
        <v>87</v>
      </c>
      <c r="I2608" s="16" t="s">
        <v>87</v>
      </c>
      <c r="J2608" s="19"/>
      <c r="L2608" s="16" t="str">
        <f>IFERROR(__xludf.DUMMYFUNCTION("""COMPUTED_VALUE"""),"")</f>
        <v/>
      </c>
      <c r="M2608" s="16" t="str">
        <f>IFERROR(__xludf.DUMMYFUNCTION("""COMPUTED_VALUE"""),"")</f>
        <v/>
      </c>
      <c r="U2608" s="16" t="s">
        <v>87</v>
      </c>
      <c r="V2608" s="16" t="str">
        <f>IFERROR(__xludf.DUMMYFUNCTION("""COMPUTED_VALUE"""),"")</f>
        <v/>
      </c>
      <c r="W2608" s="16" t="str">
        <f>IFERROR(__xludf.DUMMYFUNCTION("""COMPUTED_VALUE"""),"")</f>
        <v/>
      </c>
      <c r="X2608" s="16" t="str">
        <f>IFERROR(__xludf.DUMMYFUNCTION("""COMPUTED_VALUE"""),"")</f>
        <v/>
      </c>
      <c r="AC2608" s="16" t="str">
        <f>IFERROR(__xludf.DUMMYFUNCTION("""COMPUTED_VALUE"""),"")</f>
        <v/>
      </c>
    </row>
    <row r="2609">
      <c r="A2609" s="16" t="s">
        <v>87</v>
      </c>
      <c r="E2609" s="16" t="str">
        <f>IFERROR(__xludf.DUMMYFUNCTION("""COMPUTED_VALUE"""),"")</f>
        <v/>
      </c>
      <c r="G2609" s="18"/>
      <c r="H2609" s="16" t="s">
        <v>87</v>
      </c>
      <c r="I2609" s="16" t="s">
        <v>87</v>
      </c>
      <c r="J2609" s="19"/>
      <c r="L2609" s="16" t="str">
        <f>IFERROR(__xludf.DUMMYFUNCTION("""COMPUTED_VALUE"""),"")</f>
        <v/>
      </c>
      <c r="M2609" s="16" t="str">
        <f>IFERROR(__xludf.DUMMYFUNCTION("""COMPUTED_VALUE"""),"")</f>
        <v/>
      </c>
      <c r="U2609" s="16" t="s">
        <v>87</v>
      </c>
      <c r="V2609" s="16" t="str">
        <f>IFERROR(__xludf.DUMMYFUNCTION("""COMPUTED_VALUE"""),"")</f>
        <v/>
      </c>
      <c r="W2609" s="16" t="str">
        <f>IFERROR(__xludf.DUMMYFUNCTION("""COMPUTED_VALUE"""),"")</f>
        <v/>
      </c>
      <c r="X2609" s="16" t="str">
        <f>IFERROR(__xludf.DUMMYFUNCTION("""COMPUTED_VALUE"""),"")</f>
        <v/>
      </c>
      <c r="AC2609" s="16" t="str">
        <f>IFERROR(__xludf.DUMMYFUNCTION("""COMPUTED_VALUE"""),"")</f>
        <v/>
      </c>
    </row>
    <row r="2610">
      <c r="A2610" s="16" t="s">
        <v>87</v>
      </c>
      <c r="E2610" s="16" t="str">
        <f>IFERROR(__xludf.DUMMYFUNCTION("""COMPUTED_VALUE"""),"")</f>
        <v/>
      </c>
      <c r="G2610" s="18"/>
      <c r="H2610" s="16" t="s">
        <v>87</v>
      </c>
      <c r="I2610" s="16" t="s">
        <v>87</v>
      </c>
      <c r="J2610" s="19"/>
      <c r="L2610" s="16" t="str">
        <f>IFERROR(__xludf.DUMMYFUNCTION("""COMPUTED_VALUE"""),"")</f>
        <v/>
      </c>
      <c r="M2610" s="16" t="str">
        <f>IFERROR(__xludf.DUMMYFUNCTION("""COMPUTED_VALUE"""),"")</f>
        <v/>
      </c>
      <c r="U2610" s="16" t="s">
        <v>87</v>
      </c>
      <c r="V2610" s="16" t="str">
        <f>IFERROR(__xludf.DUMMYFUNCTION("""COMPUTED_VALUE"""),"")</f>
        <v/>
      </c>
      <c r="W2610" s="16" t="str">
        <f>IFERROR(__xludf.DUMMYFUNCTION("""COMPUTED_VALUE"""),"")</f>
        <v/>
      </c>
      <c r="X2610" s="16" t="str">
        <f>IFERROR(__xludf.DUMMYFUNCTION("""COMPUTED_VALUE"""),"")</f>
        <v/>
      </c>
      <c r="AC2610" s="16" t="str">
        <f>IFERROR(__xludf.DUMMYFUNCTION("""COMPUTED_VALUE"""),"")</f>
        <v/>
      </c>
    </row>
    <row r="2611">
      <c r="A2611" s="16" t="s">
        <v>87</v>
      </c>
      <c r="E2611" s="16" t="str">
        <f>IFERROR(__xludf.DUMMYFUNCTION("""COMPUTED_VALUE"""),"")</f>
        <v/>
      </c>
      <c r="G2611" s="18"/>
      <c r="H2611" s="16" t="s">
        <v>87</v>
      </c>
      <c r="I2611" s="16" t="s">
        <v>87</v>
      </c>
      <c r="J2611" s="19"/>
      <c r="L2611" s="16" t="str">
        <f>IFERROR(__xludf.DUMMYFUNCTION("""COMPUTED_VALUE"""),"")</f>
        <v/>
      </c>
      <c r="M2611" s="16" t="str">
        <f>IFERROR(__xludf.DUMMYFUNCTION("""COMPUTED_VALUE"""),"")</f>
        <v/>
      </c>
      <c r="U2611" s="16" t="s">
        <v>87</v>
      </c>
      <c r="V2611" s="16" t="str">
        <f>IFERROR(__xludf.DUMMYFUNCTION("""COMPUTED_VALUE"""),"")</f>
        <v/>
      </c>
      <c r="W2611" s="16" t="str">
        <f>IFERROR(__xludf.DUMMYFUNCTION("""COMPUTED_VALUE"""),"")</f>
        <v/>
      </c>
      <c r="X2611" s="16" t="str">
        <f>IFERROR(__xludf.DUMMYFUNCTION("""COMPUTED_VALUE"""),"")</f>
        <v/>
      </c>
      <c r="AC2611" s="16" t="str">
        <f>IFERROR(__xludf.DUMMYFUNCTION("""COMPUTED_VALUE"""),"")</f>
        <v/>
      </c>
    </row>
    <row r="2612">
      <c r="A2612" s="16" t="s">
        <v>87</v>
      </c>
      <c r="E2612" s="16" t="str">
        <f>IFERROR(__xludf.DUMMYFUNCTION("""COMPUTED_VALUE"""),"")</f>
        <v/>
      </c>
      <c r="G2612" s="18"/>
      <c r="H2612" s="16" t="s">
        <v>87</v>
      </c>
      <c r="I2612" s="16" t="s">
        <v>87</v>
      </c>
      <c r="J2612" s="19"/>
      <c r="L2612" s="16" t="str">
        <f>IFERROR(__xludf.DUMMYFUNCTION("""COMPUTED_VALUE"""),"")</f>
        <v/>
      </c>
      <c r="M2612" s="16" t="str">
        <f>IFERROR(__xludf.DUMMYFUNCTION("""COMPUTED_VALUE"""),"")</f>
        <v/>
      </c>
      <c r="U2612" s="16" t="s">
        <v>87</v>
      </c>
      <c r="V2612" s="16" t="str">
        <f>IFERROR(__xludf.DUMMYFUNCTION("""COMPUTED_VALUE"""),"")</f>
        <v/>
      </c>
      <c r="W2612" s="16" t="str">
        <f>IFERROR(__xludf.DUMMYFUNCTION("""COMPUTED_VALUE"""),"")</f>
        <v/>
      </c>
      <c r="X2612" s="16" t="str">
        <f>IFERROR(__xludf.DUMMYFUNCTION("""COMPUTED_VALUE"""),"")</f>
        <v/>
      </c>
      <c r="AC2612" s="16" t="str">
        <f>IFERROR(__xludf.DUMMYFUNCTION("""COMPUTED_VALUE"""),"")</f>
        <v/>
      </c>
    </row>
    <row r="2613">
      <c r="A2613" s="16" t="s">
        <v>87</v>
      </c>
      <c r="E2613" s="16" t="str">
        <f>IFERROR(__xludf.DUMMYFUNCTION("""COMPUTED_VALUE"""),"")</f>
        <v/>
      </c>
      <c r="G2613" s="18"/>
      <c r="H2613" s="16" t="s">
        <v>87</v>
      </c>
      <c r="I2613" s="16" t="s">
        <v>87</v>
      </c>
      <c r="J2613" s="19"/>
      <c r="L2613" s="16" t="str">
        <f>IFERROR(__xludf.DUMMYFUNCTION("""COMPUTED_VALUE"""),"")</f>
        <v/>
      </c>
      <c r="M2613" s="16" t="str">
        <f>IFERROR(__xludf.DUMMYFUNCTION("""COMPUTED_VALUE"""),"")</f>
        <v/>
      </c>
      <c r="U2613" s="16" t="s">
        <v>87</v>
      </c>
      <c r="V2613" s="16" t="str">
        <f>IFERROR(__xludf.DUMMYFUNCTION("""COMPUTED_VALUE"""),"")</f>
        <v/>
      </c>
      <c r="W2613" s="16" t="str">
        <f>IFERROR(__xludf.DUMMYFUNCTION("""COMPUTED_VALUE"""),"")</f>
        <v/>
      </c>
      <c r="X2613" s="16" t="str">
        <f>IFERROR(__xludf.DUMMYFUNCTION("""COMPUTED_VALUE"""),"")</f>
        <v/>
      </c>
      <c r="AC2613" s="16" t="str">
        <f>IFERROR(__xludf.DUMMYFUNCTION("""COMPUTED_VALUE"""),"")</f>
        <v/>
      </c>
    </row>
    <row r="2614">
      <c r="A2614" s="16" t="s">
        <v>87</v>
      </c>
      <c r="E2614" s="16" t="str">
        <f>IFERROR(__xludf.DUMMYFUNCTION("""COMPUTED_VALUE"""),"")</f>
        <v/>
      </c>
      <c r="G2614" s="18"/>
      <c r="H2614" s="16" t="s">
        <v>87</v>
      </c>
      <c r="I2614" s="16" t="s">
        <v>87</v>
      </c>
      <c r="J2614" s="19"/>
      <c r="L2614" s="16" t="str">
        <f>IFERROR(__xludf.DUMMYFUNCTION("""COMPUTED_VALUE"""),"")</f>
        <v/>
      </c>
      <c r="M2614" s="16" t="str">
        <f>IFERROR(__xludf.DUMMYFUNCTION("""COMPUTED_VALUE"""),"")</f>
        <v/>
      </c>
      <c r="U2614" s="16" t="s">
        <v>87</v>
      </c>
      <c r="V2614" s="16" t="str">
        <f>IFERROR(__xludf.DUMMYFUNCTION("""COMPUTED_VALUE"""),"")</f>
        <v/>
      </c>
      <c r="W2614" s="16" t="str">
        <f>IFERROR(__xludf.DUMMYFUNCTION("""COMPUTED_VALUE"""),"")</f>
        <v/>
      </c>
      <c r="X2614" s="16" t="str">
        <f>IFERROR(__xludf.DUMMYFUNCTION("""COMPUTED_VALUE"""),"")</f>
        <v/>
      </c>
      <c r="AC2614" s="16" t="str">
        <f>IFERROR(__xludf.DUMMYFUNCTION("""COMPUTED_VALUE"""),"")</f>
        <v/>
      </c>
    </row>
    <row r="2615">
      <c r="A2615" s="16" t="s">
        <v>87</v>
      </c>
      <c r="E2615" s="16" t="str">
        <f>IFERROR(__xludf.DUMMYFUNCTION("""COMPUTED_VALUE"""),"")</f>
        <v/>
      </c>
      <c r="G2615" s="18"/>
      <c r="H2615" s="16" t="s">
        <v>87</v>
      </c>
      <c r="I2615" s="16" t="s">
        <v>87</v>
      </c>
      <c r="J2615" s="19"/>
      <c r="L2615" s="16" t="str">
        <f>IFERROR(__xludf.DUMMYFUNCTION("""COMPUTED_VALUE"""),"")</f>
        <v/>
      </c>
      <c r="M2615" s="16" t="str">
        <f>IFERROR(__xludf.DUMMYFUNCTION("""COMPUTED_VALUE"""),"")</f>
        <v/>
      </c>
      <c r="U2615" s="16" t="s">
        <v>87</v>
      </c>
      <c r="V2615" s="16" t="str">
        <f>IFERROR(__xludf.DUMMYFUNCTION("""COMPUTED_VALUE"""),"")</f>
        <v/>
      </c>
      <c r="W2615" s="16" t="str">
        <f>IFERROR(__xludf.DUMMYFUNCTION("""COMPUTED_VALUE"""),"")</f>
        <v/>
      </c>
      <c r="X2615" s="16" t="str">
        <f>IFERROR(__xludf.DUMMYFUNCTION("""COMPUTED_VALUE"""),"")</f>
        <v/>
      </c>
      <c r="AC2615" s="16" t="str">
        <f>IFERROR(__xludf.DUMMYFUNCTION("""COMPUTED_VALUE"""),"")</f>
        <v/>
      </c>
    </row>
    <row r="2616">
      <c r="A2616" s="16" t="s">
        <v>87</v>
      </c>
      <c r="E2616" s="16" t="str">
        <f>IFERROR(__xludf.DUMMYFUNCTION("""COMPUTED_VALUE"""),"")</f>
        <v/>
      </c>
      <c r="G2616" s="18"/>
      <c r="H2616" s="16" t="s">
        <v>87</v>
      </c>
      <c r="I2616" s="16" t="s">
        <v>87</v>
      </c>
      <c r="J2616" s="19"/>
      <c r="L2616" s="16" t="str">
        <f>IFERROR(__xludf.DUMMYFUNCTION("""COMPUTED_VALUE"""),"")</f>
        <v/>
      </c>
      <c r="M2616" s="16" t="str">
        <f>IFERROR(__xludf.DUMMYFUNCTION("""COMPUTED_VALUE"""),"")</f>
        <v/>
      </c>
      <c r="U2616" s="16" t="s">
        <v>87</v>
      </c>
      <c r="V2616" s="16" t="str">
        <f>IFERROR(__xludf.DUMMYFUNCTION("""COMPUTED_VALUE"""),"")</f>
        <v/>
      </c>
      <c r="W2616" s="16" t="str">
        <f>IFERROR(__xludf.DUMMYFUNCTION("""COMPUTED_VALUE"""),"")</f>
        <v/>
      </c>
      <c r="X2616" s="16" t="str">
        <f>IFERROR(__xludf.DUMMYFUNCTION("""COMPUTED_VALUE"""),"")</f>
        <v/>
      </c>
      <c r="AC2616" s="16" t="str">
        <f>IFERROR(__xludf.DUMMYFUNCTION("""COMPUTED_VALUE"""),"")</f>
        <v/>
      </c>
    </row>
    <row r="2617">
      <c r="A2617" s="16" t="s">
        <v>87</v>
      </c>
      <c r="E2617" s="16" t="str">
        <f>IFERROR(__xludf.DUMMYFUNCTION("""COMPUTED_VALUE"""),"")</f>
        <v/>
      </c>
      <c r="G2617" s="18"/>
      <c r="H2617" s="16" t="s">
        <v>87</v>
      </c>
      <c r="I2617" s="16" t="s">
        <v>87</v>
      </c>
      <c r="J2617" s="19"/>
      <c r="L2617" s="16" t="str">
        <f>IFERROR(__xludf.DUMMYFUNCTION("""COMPUTED_VALUE"""),"")</f>
        <v/>
      </c>
      <c r="M2617" s="16" t="str">
        <f>IFERROR(__xludf.DUMMYFUNCTION("""COMPUTED_VALUE"""),"")</f>
        <v/>
      </c>
      <c r="U2617" s="16" t="s">
        <v>87</v>
      </c>
      <c r="V2617" s="16" t="str">
        <f>IFERROR(__xludf.DUMMYFUNCTION("""COMPUTED_VALUE"""),"")</f>
        <v/>
      </c>
      <c r="W2617" s="16" t="str">
        <f>IFERROR(__xludf.DUMMYFUNCTION("""COMPUTED_VALUE"""),"")</f>
        <v/>
      </c>
      <c r="X2617" s="16" t="str">
        <f>IFERROR(__xludf.DUMMYFUNCTION("""COMPUTED_VALUE"""),"")</f>
        <v/>
      </c>
      <c r="AC2617" s="16" t="str">
        <f>IFERROR(__xludf.DUMMYFUNCTION("""COMPUTED_VALUE"""),"")</f>
        <v/>
      </c>
    </row>
    <row r="2618">
      <c r="A2618" s="16" t="s">
        <v>87</v>
      </c>
      <c r="E2618" s="16" t="str">
        <f>IFERROR(__xludf.DUMMYFUNCTION("""COMPUTED_VALUE"""),"")</f>
        <v/>
      </c>
      <c r="G2618" s="18"/>
      <c r="H2618" s="16" t="s">
        <v>87</v>
      </c>
      <c r="I2618" s="16" t="s">
        <v>87</v>
      </c>
      <c r="J2618" s="19"/>
      <c r="L2618" s="16" t="str">
        <f>IFERROR(__xludf.DUMMYFUNCTION("""COMPUTED_VALUE"""),"")</f>
        <v/>
      </c>
      <c r="M2618" s="16" t="str">
        <f>IFERROR(__xludf.DUMMYFUNCTION("""COMPUTED_VALUE"""),"")</f>
        <v/>
      </c>
      <c r="U2618" s="16" t="s">
        <v>87</v>
      </c>
      <c r="V2618" s="16" t="str">
        <f>IFERROR(__xludf.DUMMYFUNCTION("""COMPUTED_VALUE"""),"")</f>
        <v/>
      </c>
      <c r="W2618" s="16" t="str">
        <f>IFERROR(__xludf.DUMMYFUNCTION("""COMPUTED_VALUE"""),"")</f>
        <v/>
      </c>
      <c r="X2618" s="16" t="str">
        <f>IFERROR(__xludf.DUMMYFUNCTION("""COMPUTED_VALUE"""),"")</f>
        <v/>
      </c>
      <c r="AC2618" s="16" t="str">
        <f>IFERROR(__xludf.DUMMYFUNCTION("""COMPUTED_VALUE"""),"")</f>
        <v/>
      </c>
    </row>
    <row r="2619">
      <c r="A2619" s="16" t="s">
        <v>87</v>
      </c>
      <c r="E2619" s="16" t="str">
        <f>IFERROR(__xludf.DUMMYFUNCTION("""COMPUTED_VALUE"""),"")</f>
        <v/>
      </c>
      <c r="G2619" s="18"/>
      <c r="H2619" s="16" t="s">
        <v>87</v>
      </c>
      <c r="I2619" s="16" t="s">
        <v>87</v>
      </c>
      <c r="J2619" s="19"/>
      <c r="L2619" s="16" t="str">
        <f>IFERROR(__xludf.DUMMYFUNCTION("""COMPUTED_VALUE"""),"")</f>
        <v/>
      </c>
      <c r="M2619" s="16" t="str">
        <f>IFERROR(__xludf.DUMMYFUNCTION("""COMPUTED_VALUE"""),"")</f>
        <v/>
      </c>
      <c r="U2619" s="16" t="s">
        <v>87</v>
      </c>
      <c r="V2619" s="16" t="str">
        <f>IFERROR(__xludf.DUMMYFUNCTION("""COMPUTED_VALUE"""),"")</f>
        <v/>
      </c>
      <c r="W2619" s="16" t="str">
        <f>IFERROR(__xludf.DUMMYFUNCTION("""COMPUTED_VALUE"""),"")</f>
        <v/>
      </c>
      <c r="X2619" s="16" t="str">
        <f>IFERROR(__xludf.DUMMYFUNCTION("""COMPUTED_VALUE"""),"")</f>
        <v/>
      </c>
      <c r="AC2619" s="16" t="str">
        <f>IFERROR(__xludf.DUMMYFUNCTION("""COMPUTED_VALUE"""),"")</f>
        <v/>
      </c>
    </row>
    <row r="2620">
      <c r="A2620" s="16" t="s">
        <v>87</v>
      </c>
      <c r="E2620" s="16" t="str">
        <f>IFERROR(__xludf.DUMMYFUNCTION("""COMPUTED_VALUE"""),"")</f>
        <v/>
      </c>
      <c r="G2620" s="18"/>
      <c r="H2620" s="16" t="s">
        <v>87</v>
      </c>
      <c r="I2620" s="16" t="s">
        <v>87</v>
      </c>
      <c r="J2620" s="19"/>
      <c r="L2620" s="16" t="str">
        <f>IFERROR(__xludf.DUMMYFUNCTION("""COMPUTED_VALUE"""),"")</f>
        <v/>
      </c>
      <c r="M2620" s="16" t="str">
        <f>IFERROR(__xludf.DUMMYFUNCTION("""COMPUTED_VALUE"""),"")</f>
        <v/>
      </c>
      <c r="U2620" s="16" t="s">
        <v>87</v>
      </c>
      <c r="V2620" s="16" t="str">
        <f>IFERROR(__xludf.DUMMYFUNCTION("""COMPUTED_VALUE"""),"")</f>
        <v/>
      </c>
      <c r="W2620" s="16" t="str">
        <f>IFERROR(__xludf.DUMMYFUNCTION("""COMPUTED_VALUE"""),"")</f>
        <v/>
      </c>
      <c r="X2620" s="16" t="str">
        <f>IFERROR(__xludf.DUMMYFUNCTION("""COMPUTED_VALUE"""),"")</f>
        <v/>
      </c>
      <c r="AC2620" s="16" t="str">
        <f>IFERROR(__xludf.DUMMYFUNCTION("""COMPUTED_VALUE"""),"")</f>
        <v/>
      </c>
    </row>
    <row r="2621">
      <c r="A2621" s="16" t="s">
        <v>87</v>
      </c>
      <c r="E2621" s="16" t="str">
        <f>IFERROR(__xludf.DUMMYFUNCTION("""COMPUTED_VALUE"""),"")</f>
        <v/>
      </c>
      <c r="G2621" s="18"/>
      <c r="H2621" s="16" t="s">
        <v>87</v>
      </c>
      <c r="I2621" s="16" t="s">
        <v>87</v>
      </c>
      <c r="J2621" s="19"/>
      <c r="L2621" s="16" t="str">
        <f>IFERROR(__xludf.DUMMYFUNCTION("""COMPUTED_VALUE"""),"")</f>
        <v/>
      </c>
      <c r="M2621" s="16" t="str">
        <f>IFERROR(__xludf.DUMMYFUNCTION("""COMPUTED_VALUE"""),"")</f>
        <v/>
      </c>
      <c r="U2621" s="16" t="s">
        <v>87</v>
      </c>
      <c r="V2621" s="16" t="str">
        <f>IFERROR(__xludf.DUMMYFUNCTION("""COMPUTED_VALUE"""),"")</f>
        <v/>
      </c>
      <c r="W2621" s="16" t="str">
        <f>IFERROR(__xludf.DUMMYFUNCTION("""COMPUTED_VALUE"""),"")</f>
        <v/>
      </c>
      <c r="X2621" s="16" t="str">
        <f>IFERROR(__xludf.DUMMYFUNCTION("""COMPUTED_VALUE"""),"")</f>
        <v/>
      </c>
      <c r="AC2621" s="16" t="str">
        <f>IFERROR(__xludf.DUMMYFUNCTION("""COMPUTED_VALUE"""),"")</f>
        <v/>
      </c>
    </row>
    <row r="2622">
      <c r="A2622" s="16" t="s">
        <v>87</v>
      </c>
      <c r="E2622" s="16" t="str">
        <f>IFERROR(__xludf.DUMMYFUNCTION("""COMPUTED_VALUE"""),"")</f>
        <v/>
      </c>
      <c r="G2622" s="18"/>
      <c r="H2622" s="16" t="s">
        <v>87</v>
      </c>
      <c r="I2622" s="16" t="s">
        <v>87</v>
      </c>
      <c r="J2622" s="19"/>
      <c r="L2622" s="16" t="str">
        <f>IFERROR(__xludf.DUMMYFUNCTION("""COMPUTED_VALUE"""),"")</f>
        <v/>
      </c>
      <c r="M2622" s="16" t="str">
        <f>IFERROR(__xludf.DUMMYFUNCTION("""COMPUTED_VALUE"""),"")</f>
        <v/>
      </c>
      <c r="U2622" s="16" t="s">
        <v>87</v>
      </c>
      <c r="V2622" s="16" t="str">
        <f>IFERROR(__xludf.DUMMYFUNCTION("""COMPUTED_VALUE"""),"")</f>
        <v/>
      </c>
      <c r="W2622" s="16" t="str">
        <f>IFERROR(__xludf.DUMMYFUNCTION("""COMPUTED_VALUE"""),"")</f>
        <v/>
      </c>
      <c r="X2622" s="16" t="str">
        <f>IFERROR(__xludf.DUMMYFUNCTION("""COMPUTED_VALUE"""),"")</f>
        <v/>
      </c>
      <c r="AC2622" s="16" t="str">
        <f>IFERROR(__xludf.DUMMYFUNCTION("""COMPUTED_VALUE"""),"")</f>
        <v/>
      </c>
    </row>
    <row r="2623">
      <c r="A2623" s="16" t="s">
        <v>87</v>
      </c>
      <c r="E2623" s="16" t="str">
        <f>IFERROR(__xludf.DUMMYFUNCTION("""COMPUTED_VALUE"""),"")</f>
        <v/>
      </c>
      <c r="G2623" s="18"/>
      <c r="H2623" s="16" t="s">
        <v>87</v>
      </c>
      <c r="I2623" s="16" t="s">
        <v>87</v>
      </c>
      <c r="J2623" s="19"/>
      <c r="L2623" s="16" t="str">
        <f>IFERROR(__xludf.DUMMYFUNCTION("""COMPUTED_VALUE"""),"")</f>
        <v/>
      </c>
      <c r="M2623" s="16" t="str">
        <f>IFERROR(__xludf.DUMMYFUNCTION("""COMPUTED_VALUE"""),"")</f>
        <v/>
      </c>
      <c r="U2623" s="16" t="s">
        <v>87</v>
      </c>
      <c r="V2623" s="16" t="str">
        <f>IFERROR(__xludf.DUMMYFUNCTION("""COMPUTED_VALUE"""),"")</f>
        <v/>
      </c>
      <c r="W2623" s="16" t="str">
        <f>IFERROR(__xludf.DUMMYFUNCTION("""COMPUTED_VALUE"""),"")</f>
        <v/>
      </c>
      <c r="X2623" s="16" t="str">
        <f>IFERROR(__xludf.DUMMYFUNCTION("""COMPUTED_VALUE"""),"")</f>
        <v/>
      </c>
      <c r="AC2623" s="16" t="str">
        <f>IFERROR(__xludf.DUMMYFUNCTION("""COMPUTED_VALUE"""),"")</f>
        <v/>
      </c>
    </row>
    <row r="2624">
      <c r="A2624" s="16" t="s">
        <v>87</v>
      </c>
      <c r="E2624" s="16" t="str">
        <f>IFERROR(__xludf.DUMMYFUNCTION("""COMPUTED_VALUE"""),"")</f>
        <v/>
      </c>
      <c r="G2624" s="18"/>
      <c r="H2624" s="16" t="s">
        <v>87</v>
      </c>
      <c r="I2624" s="16" t="s">
        <v>87</v>
      </c>
      <c r="J2624" s="19"/>
      <c r="L2624" s="16" t="str">
        <f>IFERROR(__xludf.DUMMYFUNCTION("""COMPUTED_VALUE"""),"")</f>
        <v/>
      </c>
      <c r="M2624" s="16" t="str">
        <f>IFERROR(__xludf.DUMMYFUNCTION("""COMPUTED_VALUE"""),"")</f>
        <v/>
      </c>
      <c r="U2624" s="16" t="s">
        <v>87</v>
      </c>
      <c r="V2624" s="16" t="str">
        <f>IFERROR(__xludf.DUMMYFUNCTION("""COMPUTED_VALUE"""),"")</f>
        <v/>
      </c>
      <c r="W2624" s="16" t="str">
        <f>IFERROR(__xludf.DUMMYFUNCTION("""COMPUTED_VALUE"""),"")</f>
        <v/>
      </c>
      <c r="X2624" s="16" t="str">
        <f>IFERROR(__xludf.DUMMYFUNCTION("""COMPUTED_VALUE"""),"")</f>
        <v/>
      </c>
      <c r="AC2624" s="16" t="str">
        <f>IFERROR(__xludf.DUMMYFUNCTION("""COMPUTED_VALUE"""),"")</f>
        <v/>
      </c>
    </row>
    <row r="2625">
      <c r="A2625" s="16" t="s">
        <v>87</v>
      </c>
      <c r="E2625" s="16" t="str">
        <f>IFERROR(__xludf.DUMMYFUNCTION("""COMPUTED_VALUE"""),"")</f>
        <v/>
      </c>
      <c r="G2625" s="18"/>
      <c r="H2625" s="16" t="s">
        <v>87</v>
      </c>
      <c r="I2625" s="16" t="s">
        <v>87</v>
      </c>
      <c r="J2625" s="19"/>
      <c r="L2625" s="16" t="str">
        <f>IFERROR(__xludf.DUMMYFUNCTION("""COMPUTED_VALUE"""),"")</f>
        <v/>
      </c>
      <c r="M2625" s="16" t="str">
        <f>IFERROR(__xludf.DUMMYFUNCTION("""COMPUTED_VALUE"""),"")</f>
        <v/>
      </c>
      <c r="U2625" s="16" t="s">
        <v>87</v>
      </c>
      <c r="V2625" s="16" t="str">
        <f>IFERROR(__xludf.DUMMYFUNCTION("""COMPUTED_VALUE"""),"")</f>
        <v/>
      </c>
      <c r="W2625" s="16" t="str">
        <f>IFERROR(__xludf.DUMMYFUNCTION("""COMPUTED_VALUE"""),"")</f>
        <v/>
      </c>
      <c r="X2625" s="16" t="str">
        <f>IFERROR(__xludf.DUMMYFUNCTION("""COMPUTED_VALUE"""),"")</f>
        <v/>
      </c>
      <c r="AC2625" s="16" t="str">
        <f>IFERROR(__xludf.DUMMYFUNCTION("""COMPUTED_VALUE"""),"")</f>
        <v/>
      </c>
    </row>
    <row r="2626">
      <c r="A2626" s="16" t="s">
        <v>87</v>
      </c>
      <c r="E2626" s="16" t="str">
        <f>IFERROR(__xludf.DUMMYFUNCTION("""COMPUTED_VALUE"""),"")</f>
        <v/>
      </c>
      <c r="G2626" s="18"/>
      <c r="H2626" s="16" t="s">
        <v>87</v>
      </c>
      <c r="I2626" s="16" t="s">
        <v>87</v>
      </c>
      <c r="J2626" s="19"/>
      <c r="L2626" s="16" t="str">
        <f>IFERROR(__xludf.DUMMYFUNCTION("""COMPUTED_VALUE"""),"")</f>
        <v/>
      </c>
      <c r="M2626" s="16" t="str">
        <f>IFERROR(__xludf.DUMMYFUNCTION("""COMPUTED_VALUE"""),"")</f>
        <v/>
      </c>
      <c r="U2626" s="16" t="s">
        <v>87</v>
      </c>
      <c r="V2626" s="16" t="str">
        <f>IFERROR(__xludf.DUMMYFUNCTION("""COMPUTED_VALUE"""),"")</f>
        <v/>
      </c>
      <c r="W2626" s="16" t="str">
        <f>IFERROR(__xludf.DUMMYFUNCTION("""COMPUTED_VALUE"""),"")</f>
        <v/>
      </c>
      <c r="X2626" s="16" t="str">
        <f>IFERROR(__xludf.DUMMYFUNCTION("""COMPUTED_VALUE"""),"")</f>
        <v/>
      </c>
      <c r="AC2626" s="16" t="str">
        <f>IFERROR(__xludf.DUMMYFUNCTION("""COMPUTED_VALUE"""),"")</f>
        <v/>
      </c>
    </row>
    <row r="2627">
      <c r="A2627" s="16" t="s">
        <v>87</v>
      </c>
      <c r="E2627" s="16" t="str">
        <f>IFERROR(__xludf.DUMMYFUNCTION("""COMPUTED_VALUE"""),"")</f>
        <v/>
      </c>
      <c r="G2627" s="18"/>
      <c r="H2627" s="16" t="s">
        <v>87</v>
      </c>
      <c r="I2627" s="16" t="s">
        <v>87</v>
      </c>
      <c r="J2627" s="19"/>
      <c r="L2627" s="16" t="str">
        <f>IFERROR(__xludf.DUMMYFUNCTION("""COMPUTED_VALUE"""),"")</f>
        <v/>
      </c>
      <c r="M2627" s="16" t="str">
        <f>IFERROR(__xludf.DUMMYFUNCTION("""COMPUTED_VALUE"""),"")</f>
        <v/>
      </c>
      <c r="U2627" s="16" t="s">
        <v>87</v>
      </c>
      <c r="V2627" s="16" t="str">
        <f>IFERROR(__xludf.DUMMYFUNCTION("""COMPUTED_VALUE"""),"")</f>
        <v/>
      </c>
      <c r="W2627" s="16" t="str">
        <f>IFERROR(__xludf.DUMMYFUNCTION("""COMPUTED_VALUE"""),"")</f>
        <v/>
      </c>
      <c r="X2627" s="16" t="str">
        <f>IFERROR(__xludf.DUMMYFUNCTION("""COMPUTED_VALUE"""),"")</f>
        <v/>
      </c>
      <c r="AC2627" s="16" t="str">
        <f>IFERROR(__xludf.DUMMYFUNCTION("""COMPUTED_VALUE"""),"")</f>
        <v/>
      </c>
    </row>
    <row r="2628">
      <c r="A2628" s="16" t="s">
        <v>87</v>
      </c>
      <c r="E2628" s="16" t="str">
        <f>IFERROR(__xludf.DUMMYFUNCTION("""COMPUTED_VALUE"""),"")</f>
        <v/>
      </c>
      <c r="G2628" s="18"/>
      <c r="H2628" s="16" t="s">
        <v>87</v>
      </c>
      <c r="I2628" s="16" t="s">
        <v>87</v>
      </c>
      <c r="J2628" s="19"/>
      <c r="L2628" s="16" t="str">
        <f>IFERROR(__xludf.DUMMYFUNCTION("""COMPUTED_VALUE"""),"")</f>
        <v/>
      </c>
      <c r="M2628" s="16" t="str">
        <f>IFERROR(__xludf.DUMMYFUNCTION("""COMPUTED_VALUE"""),"")</f>
        <v/>
      </c>
      <c r="U2628" s="16" t="s">
        <v>87</v>
      </c>
      <c r="V2628" s="16" t="str">
        <f>IFERROR(__xludf.DUMMYFUNCTION("""COMPUTED_VALUE"""),"")</f>
        <v/>
      </c>
      <c r="W2628" s="16" t="str">
        <f>IFERROR(__xludf.DUMMYFUNCTION("""COMPUTED_VALUE"""),"")</f>
        <v/>
      </c>
      <c r="X2628" s="16" t="str">
        <f>IFERROR(__xludf.DUMMYFUNCTION("""COMPUTED_VALUE"""),"")</f>
        <v/>
      </c>
      <c r="AC2628" s="16" t="str">
        <f>IFERROR(__xludf.DUMMYFUNCTION("""COMPUTED_VALUE"""),"")</f>
        <v/>
      </c>
    </row>
    <row r="2629">
      <c r="A2629" s="16" t="s">
        <v>87</v>
      </c>
      <c r="E2629" s="16" t="str">
        <f>IFERROR(__xludf.DUMMYFUNCTION("""COMPUTED_VALUE"""),"")</f>
        <v/>
      </c>
      <c r="G2629" s="18"/>
      <c r="H2629" s="16" t="s">
        <v>87</v>
      </c>
      <c r="I2629" s="16" t="s">
        <v>87</v>
      </c>
      <c r="J2629" s="19"/>
      <c r="L2629" s="16" t="str">
        <f>IFERROR(__xludf.DUMMYFUNCTION("""COMPUTED_VALUE"""),"")</f>
        <v/>
      </c>
      <c r="M2629" s="16" t="str">
        <f>IFERROR(__xludf.DUMMYFUNCTION("""COMPUTED_VALUE"""),"")</f>
        <v/>
      </c>
      <c r="U2629" s="16" t="s">
        <v>87</v>
      </c>
      <c r="V2629" s="16" t="str">
        <f>IFERROR(__xludf.DUMMYFUNCTION("""COMPUTED_VALUE"""),"")</f>
        <v/>
      </c>
      <c r="W2629" s="16" t="str">
        <f>IFERROR(__xludf.DUMMYFUNCTION("""COMPUTED_VALUE"""),"")</f>
        <v/>
      </c>
      <c r="X2629" s="16" t="str">
        <f>IFERROR(__xludf.DUMMYFUNCTION("""COMPUTED_VALUE"""),"")</f>
        <v/>
      </c>
      <c r="AC2629" s="16" t="str">
        <f>IFERROR(__xludf.DUMMYFUNCTION("""COMPUTED_VALUE"""),"")</f>
        <v/>
      </c>
    </row>
    <row r="2630">
      <c r="A2630" s="16" t="s">
        <v>87</v>
      </c>
      <c r="E2630" s="16" t="str">
        <f>IFERROR(__xludf.DUMMYFUNCTION("""COMPUTED_VALUE"""),"")</f>
        <v/>
      </c>
      <c r="G2630" s="18"/>
      <c r="H2630" s="16" t="s">
        <v>87</v>
      </c>
      <c r="I2630" s="16" t="s">
        <v>87</v>
      </c>
      <c r="J2630" s="19"/>
      <c r="L2630" s="16" t="str">
        <f>IFERROR(__xludf.DUMMYFUNCTION("""COMPUTED_VALUE"""),"")</f>
        <v/>
      </c>
      <c r="M2630" s="16" t="str">
        <f>IFERROR(__xludf.DUMMYFUNCTION("""COMPUTED_VALUE"""),"")</f>
        <v/>
      </c>
      <c r="U2630" s="16" t="s">
        <v>87</v>
      </c>
      <c r="V2630" s="16" t="str">
        <f>IFERROR(__xludf.DUMMYFUNCTION("""COMPUTED_VALUE"""),"")</f>
        <v/>
      </c>
      <c r="W2630" s="16" t="str">
        <f>IFERROR(__xludf.DUMMYFUNCTION("""COMPUTED_VALUE"""),"")</f>
        <v/>
      </c>
      <c r="X2630" s="16" t="str">
        <f>IFERROR(__xludf.DUMMYFUNCTION("""COMPUTED_VALUE"""),"")</f>
        <v/>
      </c>
      <c r="AC2630" s="16" t="str">
        <f>IFERROR(__xludf.DUMMYFUNCTION("""COMPUTED_VALUE"""),"")</f>
        <v/>
      </c>
    </row>
    <row r="2631">
      <c r="A2631" s="16" t="s">
        <v>87</v>
      </c>
      <c r="E2631" s="16" t="str">
        <f>IFERROR(__xludf.DUMMYFUNCTION("""COMPUTED_VALUE"""),"")</f>
        <v/>
      </c>
      <c r="G2631" s="18"/>
      <c r="H2631" s="16" t="s">
        <v>87</v>
      </c>
      <c r="I2631" s="16" t="s">
        <v>87</v>
      </c>
      <c r="J2631" s="19"/>
      <c r="L2631" s="16" t="str">
        <f>IFERROR(__xludf.DUMMYFUNCTION("""COMPUTED_VALUE"""),"")</f>
        <v/>
      </c>
      <c r="M2631" s="16" t="str">
        <f>IFERROR(__xludf.DUMMYFUNCTION("""COMPUTED_VALUE"""),"")</f>
        <v/>
      </c>
      <c r="U2631" s="16" t="s">
        <v>87</v>
      </c>
      <c r="V2631" s="16" t="str">
        <f>IFERROR(__xludf.DUMMYFUNCTION("""COMPUTED_VALUE"""),"")</f>
        <v/>
      </c>
      <c r="W2631" s="16" t="str">
        <f>IFERROR(__xludf.DUMMYFUNCTION("""COMPUTED_VALUE"""),"")</f>
        <v/>
      </c>
      <c r="X2631" s="16" t="str">
        <f>IFERROR(__xludf.DUMMYFUNCTION("""COMPUTED_VALUE"""),"")</f>
        <v/>
      </c>
      <c r="AC2631" s="16" t="str">
        <f>IFERROR(__xludf.DUMMYFUNCTION("""COMPUTED_VALUE"""),"")</f>
        <v/>
      </c>
    </row>
    <row r="2632">
      <c r="A2632" s="16" t="s">
        <v>87</v>
      </c>
      <c r="E2632" s="16" t="str">
        <f>IFERROR(__xludf.DUMMYFUNCTION("""COMPUTED_VALUE"""),"")</f>
        <v/>
      </c>
      <c r="G2632" s="18"/>
      <c r="H2632" s="16" t="s">
        <v>87</v>
      </c>
      <c r="I2632" s="16" t="s">
        <v>87</v>
      </c>
      <c r="J2632" s="19"/>
      <c r="L2632" s="16" t="str">
        <f>IFERROR(__xludf.DUMMYFUNCTION("""COMPUTED_VALUE"""),"")</f>
        <v/>
      </c>
      <c r="M2632" s="16" t="str">
        <f>IFERROR(__xludf.DUMMYFUNCTION("""COMPUTED_VALUE"""),"")</f>
        <v/>
      </c>
      <c r="U2632" s="16" t="s">
        <v>87</v>
      </c>
      <c r="V2632" s="16" t="str">
        <f>IFERROR(__xludf.DUMMYFUNCTION("""COMPUTED_VALUE"""),"")</f>
        <v/>
      </c>
      <c r="W2632" s="16" t="str">
        <f>IFERROR(__xludf.DUMMYFUNCTION("""COMPUTED_VALUE"""),"")</f>
        <v/>
      </c>
      <c r="X2632" s="16" t="str">
        <f>IFERROR(__xludf.DUMMYFUNCTION("""COMPUTED_VALUE"""),"")</f>
        <v/>
      </c>
      <c r="AC2632" s="16" t="str">
        <f>IFERROR(__xludf.DUMMYFUNCTION("""COMPUTED_VALUE"""),"")</f>
        <v/>
      </c>
    </row>
    <row r="2633">
      <c r="A2633" s="16" t="s">
        <v>87</v>
      </c>
      <c r="E2633" s="16" t="str">
        <f>IFERROR(__xludf.DUMMYFUNCTION("""COMPUTED_VALUE"""),"")</f>
        <v/>
      </c>
      <c r="G2633" s="18"/>
      <c r="H2633" s="16" t="s">
        <v>87</v>
      </c>
      <c r="I2633" s="16" t="s">
        <v>87</v>
      </c>
      <c r="J2633" s="19"/>
      <c r="L2633" s="16" t="str">
        <f>IFERROR(__xludf.DUMMYFUNCTION("""COMPUTED_VALUE"""),"")</f>
        <v/>
      </c>
      <c r="M2633" s="16" t="str">
        <f>IFERROR(__xludf.DUMMYFUNCTION("""COMPUTED_VALUE"""),"")</f>
        <v/>
      </c>
      <c r="U2633" s="16" t="s">
        <v>87</v>
      </c>
      <c r="V2633" s="16" t="str">
        <f>IFERROR(__xludf.DUMMYFUNCTION("""COMPUTED_VALUE"""),"")</f>
        <v/>
      </c>
      <c r="W2633" s="16" t="str">
        <f>IFERROR(__xludf.DUMMYFUNCTION("""COMPUTED_VALUE"""),"")</f>
        <v/>
      </c>
      <c r="X2633" s="16" t="str">
        <f>IFERROR(__xludf.DUMMYFUNCTION("""COMPUTED_VALUE"""),"")</f>
        <v/>
      </c>
      <c r="AC2633" s="16" t="str">
        <f>IFERROR(__xludf.DUMMYFUNCTION("""COMPUTED_VALUE"""),"")</f>
        <v/>
      </c>
    </row>
    <row r="2634">
      <c r="A2634" s="16" t="s">
        <v>87</v>
      </c>
      <c r="E2634" s="16" t="str">
        <f>IFERROR(__xludf.DUMMYFUNCTION("""COMPUTED_VALUE"""),"")</f>
        <v/>
      </c>
      <c r="G2634" s="18"/>
      <c r="H2634" s="16" t="s">
        <v>87</v>
      </c>
      <c r="I2634" s="16" t="s">
        <v>87</v>
      </c>
      <c r="J2634" s="19"/>
      <c r="L2634" s="16" t="str">
        <f>IFERROR(__xludf.DUMMYFUNCTION("""COMPUTED_VALUE"""),"")</f>
        <v/>
      </c>
      <c r="M2634" s="16" t="str">
        <f>IFERROR(__xludf.DUMMYFUNCTION("""COMPUTED_VALUE"""),"")</f>
        <v/>
      </c>
      <c r="U2634" s="16" t="s">
        <v>87</v>
      </c>
      <c r="V2634" s="16" t="str">
        <f>IFERROR(__xludf.DUMMYFUNCTION("""COMPUTED_VALUE"""),"")</f>
        <v/>
      </c>
      <c r="W2634" s="16" t="str">
        <f>IFERROR(__xludf.DUMMYFUNCTION("""COMPUTED_VALUE"""),"")</f>
        <v/>
      </c>
      <c r="X2634" s="16" t="str">
        <f>IFERROR(__xludf.DUMMYFUNCTION("""COMPUTED_VALUE"""),"")</f>
        <v/>
      </c>
      <c r="AC2634" s="16" t="str">
        <f>IFERROR(__xludf.DUMMYFUNCTION("""COMPUTED_VALUE"""),"")</f>
        <v/>
      </c>
    </row>
    <row r="2635">
      <c r="A2635" s="16" t="s">
        <v>87</v>
      </c>
      <c r="E2635" s="16" t="str">
        <f>IFERROR(__xludf.DUMMYFUNCTION("""COMPUTED_VALUE"""),"")</f>
        <v/>
      </c>
      <c r="G2635" s="18"/>
      <c r="H2635" s="16" t="s">
        <v>87</v>
      </c>
      <c r="I2635" s="16" t="s">
        <v>87</v>
      </c>
      <c r="J2635" s="19"/>
      <c r="L2635" s="16" t="str">
        <f>IFERROR(__xludf.DUMMYFUNCTION("""COMPUTED_VALUE"""),"")</f>
        <v/>
      </c>
      <c r="M2635" s="16" t="str">
        <f>IFERROR(__xludf.DUMMYFUNCTION("""COMPUTED_VALUE"""),"")</f>
        <v/>
      </c>
      <c r="U2635" s="16" t="s">
        <v>87</v>
      </c>
      <c r="V2635" s="16" t="str">
        <f>IFERROR(__xludf.DUMMYFUNCTION("""COMPUTED_VALUE"""),"")</f>
        <v/>
      </c>
      <c r="W2635" s="16" t="str">
        <f>IFERROR(__xludf.DUMMYFUNCTION("""COMPUTED_VALUE"""),"")</f>
        <v/>
      </c>
      <c r="X2635" s="16" t="str">
        <f>IFERROR(__xludf.DUMMYFUNCTION("""COMPUTED_VALUE"""),"")</f>
        <v/>
      </c>
      <c r="AC2635" s="16" t="str">
        <f>IFERROR(__xludf.DUMMYFUNCTION("""COMPUTED_VALUE"""),"")</f>
        <v/>
      </c>
    </row>
    <row r="2636">
      <c r="A2636" s="16" t="s">
        <v>87</v>
      </c>
      <c r="E2636" s="16" t="str">
        <f>IFERROR(__xludf.DUMMYFUNCTION("""COMPUTED_VALUE"""),"")</f>
        <v/>
      </c>
      <c r="G2636" s="18"/>
      <c r="H2636" s="16" t="s">
        <v>87</v>
      </c>
      <c r="I2636" s="16" t="s">
        <v>87</v>
      </c>
      <c r="J2636" s="19"/>
      <c r="L2636" s="16" t="str">
        <f>IFERROR(__xludf.DUMMYFUNCTION("""COMPUTED_VALUE"""),"")</f>
        <v/>
      </c>
      <c r="M2636" s="16" t="str">
        <f>IFERROR(__xludf.DUMMYFUNCTION("""COMPUTED_VALUE"""),"")</f>
        <v/>
      </c>
      <c r="U2636" s="16" t="s">
        <v>87</v>
      </c>
      <c r="V2636" s="16" t="str">
        <f>IFERROR(__xludf.DUMMYFUNCTION("""COMPUTED_VALUE"""),"")</f>
        <v/>
      </c>
      <c r="W2636" s="16" t="str">
        <f>IFERROR(__xludf.DUMMYFUNCTION("""COMPUTED_VALUE"""),"")</f>
        <v/>
      </c>
      <c r="X2636" s="16" t="str">
        <f>IFERROR(__xludf.DUMMYFUNCTION("""COMPUTED_VALUE"""),"")</f>
        <v/>
      </c>
      <c r="AC2636" s="16" t="str">
        <f>IFERROR(__xludf.DUMMYFUNCTION("""COMPUTED_VALUE"""),"")</f>
        <v/>
      </c>
    </row>
    <row r="2637">
      <c r="A2637" s="16" t="s">
        <v>87</v>
      </c>
      <c r="E2637" s="16" t="str">
        <f>IFERROR(__xludf.DUMMYFUNCTION("""COMPUTED_VALUE"""),"")</f>
        <v/>
      </c>
      <c r="G2637" s="18"/>
      <c r="H2637" s="16" t="s">
        <v>87</v>
      </c>
      <c r="I2637" s="16" t="s">
        <v>87</v>
      </c>
      <c r="J2637" s="19"/>
      <c r="L2637" s="16" t="str">
        <f>IFERROR(__xludf.DUMMYFUNCTION("""COMPUTED_VALUE"""),"")</f>
        <v/>
      </c>
      <c r="M2637" s="16" t="str">
        <f>IFERROR(__xludf.DUMMYFUNCTION("""COMPUTED_VALUE"""),"")</f>
        <v/>
      </c>
      <c r="U2637" s="16" t="s">
        <v>87</v>
      </c>
      <c r="V2637" s="16" t="str">
        <f>IFERROR(__xludf.DUMMYFUNCTION("""COMPUTED_VALUE"""),"")</f>
        <v/>
      </c>
      <c r="W2637" s="16" t="str">
        <f>IFERROR(__xludf.DUMMYFUNCTION("""COMPUTED_VALUE"""),"")</f>
        <v/>
      </c>
      <c r="X2637" s="16" t="str">
        <f>IFERROR(__xludf.DUMMYFUNCTION("""COMPUTED_VALUE"""),"")</f>
        <v/>
      </c>
      <c r="AC2637" s="16" t="str">
        <f>IFERROR(__xludf.DUMMYFUNCTION("""COMPUTED_VALUE"""),"")</f>
        <v/>
      </c>
    </row>
    <row r="2638">
      <c r="A2638" s="16" t="s">
        <v>87</v>
      </c>
      <c r="E2638" s="16" t="str">
        <f>IFERROR(__xludf.DUMMYFUNCTION("""COMPUTED_VALUE"""),"")</f>
        <v/>
      </c>
      <c r="G2638" s="18"/>
      <c r="H2638" s="16" t="s">
        <v>87</v>
      </c>
      <c r="I2638" s="16" t="s">
        <v>87</v>
      </c>
      <c r="J2638" s="19"/>
      <c r="L2638" s="16" t="str">
        <f>IFERROR(__xludf.DUMMYFUNCTION("""COMPUTED_VALUE"""),"")</f>
        <v/>
      </c>
      <c r="M2638" s="16" t="str">
        <f>IFERROR(__xludf.DUMMYFUNCTION("""COMPUTED_VALUE"""),"")</f>
        <v/>
      </c>
      <c r="U2638" s="16" t="s">
        <v>87</v>
      </c>
      <c r="V2638" s="16" t="str">
        <f>IFERROR(__xludf.DUMMYFUNCTION("""COMPUTED_VALUE"""),"")</f>
        <v/>
      </c>
      <c r="W2638" s="16" t="str">
        <f>IFERROR(__xludf.DUMMYFUNCTION("""COMPUTED_VALUE"""),"")</f>
        <v/>
      </c>
      <c r="X2638" s="16" t="str">
        <f>IFERROR(__xludf.DUMMYFUNCTION("""COMPUTED_VALUE"""),"")</f>
        <v/>
      </c>
      <c r="AC2638" s="16" t="str">
        <f>IFERROR(__xludf.DUMMYFUNCTION("""COMPUTED_VALUE"""),"")</f>
        <v/>
      </c>
    </row>
    <row r="2639">
      <c r="A2639" s="16" t="s">
        <v>87</v>
      </c>
      <c r="E2639" s="16" t="str">
        <f>IFERROR(__xludf.DUMMYFUNCTION("""COMPUTED_VALUE"""),"")</f>
        <v/>
      </c>
      <c r="G2639" s="18"/>
      <c r="H2639" s="16" t="s">
        <v>87</v>
      </c>
      <c r="I2639" s="16" t="s">
        <v>87</v>
      </c>
      <c r="J2639" s="19"/>
      <c r="L2639" s="16" t="str">
        <f>IFERROR(__xludf.DUMMYFUNCTION("""COMPUTED_VALUE"""),"")</f>
        <v/>
      </c>
      <c r="M2639" s="16" t="str">
        <f>IFERROR(__xludf.DUMMYFUNCTION("""COMPUTED_VALUE"""),"")</f>
        <v/>
      </c>
      <c r="U2639" s="16" t="s">
        <v>87</v>
      </c>
      <c r="V2639" s="16" t="str">
        <f>IFERROR(__xludf.DUMMYFUNCTION("""COMPUTED_VALUE"""),"")</f>
        <v/>
      </c>
      <c r="W2639" s="16" t="str">
        <f>IFERROR(__xludf.DUMMYFUNCTION("""COMPUTED_VALUE"""),"")</f>
        <v/>
      </c>
      <c r="X2639" s="16" t="str">
        <f>IFERROR(__xludf.DUMMYFUNCTION("""COMPUTED_VALUE"""),"")</f>
        <v/>
      </c>
      <c r="AC2639" s="16" t="str">
        <f>IFERROR(__xludf.DUMMYFUNCTION("""COMPUTED_VALUE"""),"")</f>
        <v/>
      </c>
    </row>
    <row r="2640">
      <c r="A2640" s="16" t="s">
        <v>87</v>
      </c>
      <c r="E2640" s="16" t="str">
        <f>IFERROR(__xludf.DUMMYFUNCTION("""COMPUTED_VALUE"""),"")</f>
        <v/>
      </c>
      <c r="G2640" s="18"/>
      <c r="H2640" s="16" t="s">
        <v>87</v>
      </c>
      <c r="I2640" s="16" t="s">
        <v>87</v>
      </c>
      <c r="J2640" s="19"/>
      <c r="L2640" s="16" t="str">
        <f>IFERROR(__xludf.DUMMYFUNCTION("""COMPUTED_VALUE"""),"")</f>
        <v/>
      </c>
      <c r="M2640" s="16" t="str">
        <f>IFERROR(__xludf.DUMMYFUNCTION("""COMPUTED_VALUE"""),"")</f>
        <v/>
      </c>
      <c r="U2640" s="16" t="s">
        <v>87</v>
      </c>
      <c r="V2640" s="16" t="str">
        <f>IFERROR(__xludf.DUMMYFUNCTION("""COMPUTED_VALUE"""),"")</f>
        <v/>
      </c>
      <c r="W2640" s="16" t="str">
        <f>IFERROR(__xludf.DUMMYFUNCTION("""COMPUTED_VALUE"""),"")</f>
        <v/>
      </c>
      <c r="X2640" s="16" t="str">
        <f>IFERROR(__xludf.DUMMYFUNCTION("""COMPUTED_VALUE"""),"")</f>
        <v/>
      </c>
      <c r="AC2640" s="16" t="str">
        <f>IFERROR(__xludf.DUMMYFUNCTION("""COMPUTED_VALUE"""),"")</f>
        <v/>
      </c>
    </row>
    <row r="2641">
      <c r="A2641" s="16" t="s">
        <v>87</v>
      </c>
      <c r="E2641" s="16" t="str">
        <f>IFERROR(__xludf.DUMMYFUNCTION("""COMPUTED_VALUE"""),"")</f>
        <v/>
      </c>
      <c r="G2641" s="18"/>
      <c r="H2641" s="16" t="s">
        <v>87</v>
      </c>
      <c r="I2641" s="16" t="s">
        <v>87</v>
      </c>
      <c r="J2641" s="19"/>
      <c r="L2641" s="16" t="str">
        <f>IFERROR(__xludf.DUMMYFUNCTION("""COMPUTED_VALUE"""),"")</f>
        <v/>
      </c>
      <c r="M2641" s="16" t="str">
        <f>IFERROR(__xludf.DUMMYFUNCTION("""COMPUTED_VALUE"""),"")</f>
        <v/>
      </c>
      <c r="U2641" s="16" t="s">
        <v>87</v>
      </c>
      <c r="V2641" s="16" t="str">
        <f>IFERROR(__xludf.DUMMYFUNCTION("""COMPUTED_VALUE"""),"")</f>
        <v/>
      </c>
      <c r="W2641" s="16" t="str">
        <f>IFERROR(__xludf.DUMMYFUNCTION("""COMPUTED_VALUE"""),"")</f>
        <v/>
      </c>
      <c r="X2641" s="16" t="str">
        <f>IFERROR(__xludf.DUMMYFUNCTION("""COMPUTED_VALUE"""),"")</f>
        <v/>
      </c>
      <c r="AC2641" s="16" t="str">
        <f>IFERROR(__xludf.DUMMYFUNCTION("""COMPUTED_VALUE"""),"")</f>
        <v/>
      </c>
    </row>
    <row r="2642">
      <c r="A2642" s="16" t="s">
        <v>87</v>
      </c>
      <c r="E2642" s="16" t="str">
        <f>IFERROR(__xludf.DUMMYFUNCTION("""COMPUTED_VALUE"""),"")</f>
        <v/>
      </c>
      <c r="G2642" s="18"/>
      <c r="H2642" s="16" t="s">
        <v>87</v>
      </c>
      <c r="I2642" s="16" t="s">
        <v>87</v>
      </c>
      <c r="J2642" s="19"/>
      <c r="L2642" s="16" t="str">
        <f>IFERROR(__xludf.DUMMYFUNCTION("""COMPUTED_VALUE"""),"")</f>
        <v/>
      </c>
      <c r="M2642" s="16" t="str">
        <f>IFERROR(__xludf.DUMMYFUNCTION("""COMPUTED_VALUE"""),"")</f>
        <v/>
      </c>
      <c r="U2642" s="16" t="s">
        <v>87</v>
      </c>
      <c r="V2642" s="16" t="str">
        <f>IFERROR(__xludf.DUMMYFUNCTION("""COMPUTED_VALUE"""),"")</f>
        <v/>
      </c>
      <c r="W2642" s="16" t="str">
        <f>IFERROR(__xludf.DUMMYFUNCTION("""COMPUTED_VALUE"""),"")</f>
        <v/>
      </c>
      <c r="X2642" s="16" t="str">
        <f>IFERROR(__xludf.DUMMYFUNCTION("""COMPUTED_VALUE"""),"")</f>
        <v/>
      </c>
      <c r="AC2642" s="16" t="str">
        <f>IFERROR(__xludf.DUMMYFUNCTION("""COMPUTED_VALUE"""),"")</f>
        <v/>
      </c>
    </row>
    <row r="2643">
      <c r="A2643" s="16" t="s">
        <v>87</v>
      </c>
      <c r="E2643" s="16" t="str">
        <f>IFERROR(__xludf.DUMMYFUNCTION("""COMPUTED_VALUE"""),"")</f>
        <v/>
      </c>
      <c r="G2643" s="18"/>
      <c r="H2643" s="16" t="s">
        <v>87</v>
      </c>
      <c r="I2643" s="16" t="s">
        <v>87</v>
      </c>
      <c r="J2643" s="19"/>
      <c r="L2643" s="16" t="str">
        <f>IFERROR(__xludf.DUMMYFUNCTION("""COMPUTED_VALUE"""),"")</f>
        <v/>
      </c>
      <c r="M2643" s="16" t="str">
        <f>IFERROR(__xludf.DUMMYFUNCTION("""COMPUTED_VALUE"""),"")</f>
        <v/>
      </c>
      <c r="U2643" s="16" t="s">
        <v>87</v>
      </c>
      <c r="V2643" s="16" t="str">
        <f>IFERROR(__xludf.DUMMYFUNCTION("""COMPUTED_VALUE"""),"")</f>
        <v/>
      </c>
      <c r="W2643" s="16" t="str">
        <f>IFERROR(__xludf.DUMMYFUNCTION("""COMPUTED_VALUE"""),"")</f>
        <v/>
      </c>
      <c r="X2643" s="16" t="str">
        <f>IFERROR(__xludf.DUMMYFUNCTION("""COMPUTED_VALUE"""),"")</f>
        <v/>
      </c>
      <c r="AC2643" s="16" t="str">
        <f>IFERROR(__xludf.DUMMYFUNCTION("""COMPUTED_VALUE"""),"")</f>
        <v/>
      </c>
    </row>
    <row r="2644">
      <c r="A2644" s="16" t="s">
        <v>87</v>
      </c>
      <c r="E2644" s="16" t="str">
        <f>IFERROR(__xludf.DUMMYFUNCTION("""COMPUTED_VALUE"""),"")</f>
        <v/>
      </c>
      <c r="G2644" s="18"/>
      <c r="H2644" s="16" t="s">
        <v>87</v>
      </c>
      <c r="I2644" s="16" t="s">
        <v>87</v>
      </c>
      <c r="J2644" s="19"/>
      <c r="L2644" s="16" t="str">
        <f>IFERROR(__xludf.DUMMYFUNCTION("""COMPUTED_VALUE"""),"")</f>
        <v/>
      </c>
      <c r="M2644" s="16" t="str">
        <f>IFERROR(__xludf.DUMMYFUNCTION("""COMPUTED_VALUE"""),"")</f>
        <v/>
      </c>
      <c r="U2644" s="16" t="s">
        <v>87</v>
      </c>
      <c r="V2644" s="16" t="str">
        <f>IFERROR(__xludf.DUMMYFUNCTION("""COMPUTED_VALUE"""),"")</f>
        <v/>
      </c>
      <c r="W2644" s="16" t="str">
        <f>IFERROR(__xludf.DUMMYFUNCTION("""COMPUTED_VALUE"""),"")</f>
        <v/>
      </c>
      <c r="X2644" s="16" t="str">
        <f>IFERROR(__xludf.DUMMYFUNCTION("""COMPUTED_VALUE"""),"")</f>
        <v/>
      </c>
      <c r="AC2644" s="16" t="str">
        <f>IFERROR(__xludf.DUMMYFUNCTION("""COMPUTED_VALUE"""),"")</f>
        <v/>
      </c>
    </row>
    <row r="2645">
      <c r="A2645" s="16" t="s">
        <v>87</v>
      </c>
      <c r="E2645" s="16" t="str">
        <f>IFERROR(__xludf.DUMMYFUNCTION("""COMPUTED_VALUE"""),"")</f>
        <v/>
      </c>
      <c r="G2645" s="18"/>
      <c r="H2645" s="16" t="s">
        <v>87</v>
      </c>
      <c r="I2645" s="16" t="s">
        <v>87</v>
      </c>
      <c r="J2645" s="19"/>
      <c r="L2645" s="16" t="str">
        <f>IFERROR(__xludf.DUMMYFUNCTION("""COMPUTED_VALUE"""),"")</f>
        <v/>
      </c>
      <c r="M2645" s="16" t="str">
        <f>IFERROR(__xludf.DUMMYFUNCTION("""COMPUTED_VALUE"""),"")</f>
        <v/>
      </c>
      <c r="U2645" s="16" t="s">
        <v>87</v>
      </c>
      <c r="V2645" s="16" t="str">
        <f>IFERROR(__xludf.DUMMYFUNCTION("""COMPUTED_VALUE"""),"")</f>
        <v/>
      </c>
      <c r="W2645" s="16" t="str">
        <f>IFERROR(__xludf.DUMMYFUNCTION("""COMPUTED_VALUE"""),"")</f>
        <v/>
      </c>
      <c r="X2645" s="16" t="str">
        <f>IFERROR(__xludf.DUMMYFUNCTION("""COMPUTED_VALUE"""),"")</f>
        <v/>
      </c>
      <c r="AC2645" s="16" t="str">
        <f>IFERROR(__xludf.DUMMYFUNCTION("""COMPUTED_VALUE"""),"")</f>
        <v/>
      </c>
    </row>
    <row r="2646">
      <c r="A2646" s="16" t="s">
        <v>87</v>
      </c>
      <c r="E2646" s="16" t="str">
        <f>IFERROR(__xludf.DUMMYFUNCTION("""COMPUTED_VALUE"""),"")</f>
        <v/>
      </c>
      <c r="G2646" s="18"/>
      <c r="H2646" s="16" t="s">
        <v>87</v>
      </c>
      <c r="I2646" s="16" t="s">
        <v>87</v>
      </c>
      <c r="J2646" s="19"/>
      <c r="L2646" s="16" t="str">
        <f>IFERROR(__xludf.DUMMYFUNCTION("""COMPUTED_VALUE"""),"")</f>
        <v/>
      </c>
      <c r="M2646" s="16" t="str">
        <f>IFERROR(__xludf.DUMMYFUNCTION("""COMPUTED_VALUE"""),"")</f>
        <v/>
      </c>
      <c r="U2646" s="16" t="s">
        <v>87</v>
      </c>
      <c r="V2646" s="16" t="str">
        <f>IFERROR(__xludf.DUMMYFUNCTION("""COMPUTED_VALUE"""),"")</f>
        <v/>
      </c>
      <c r="W2646" s="16" t="str">
        <f>IFERROR(__xludf.DUMMYFUNCTION("""COMPUTED_VALUE"""),"")</f>
        <v/>
      </c>
      <c r="X2646" s="16" t="str">
        <f>IFERROR(__xludf.DUMMYFUNCTION("""COMPUTED_VALUE"""),"")</f>
        <v/>
      </c>
      <c r="AC2646" s="16" t="str">
        <f>IFERROR(__xludf.DUMMYFUNCTION("""COMPUTED_VALUE"""),"")</f>
        <v/>
      </c>
    </row>
    <row r="2647">
      <c r="A2647" s="16" t="s">
        <v>87</v>
      </c>
      <c r="E2647" s="16" t="str">
        <f>IFERROR(__xludf.DUMMYFUNCTION("""COMPUTED_VALUE"""),"")</f>
        <v/>
      </c>
      <c r="G2647" s="18"/>
      <c r="H2647" s="16" t="s">
        <v>87</v>
      </c>
      <c r="I2647" s="16" t="s">
        <v>87</v>
      </c>
      <c r="J2647" s="19"/>
      <c r="L2647" s="16" t="str">
        <f>IFERROR(__xludf.DUMMYFUNCTION("""COMPUTED_VALUE"""),"")</f>
        <v/>
      </c>
      <c r="M2647" s="16" t="str">
        <f>IFERROR(__xludf.DUMMYFUNCTION("""COMPUTED_VALUE"""),"")</f>
        <v/>
      </c>
      <c r="U2647" s="16" t="s">
        <v>87</v>
      </c>
      <c r="V2647" s="16" t="str">
        <f>IFERROR(__xludf.DUMMYFUNCTION("""COMPUTED_VALUE"""),"")</f>
        <v/>
      </c>
      <c r="W2647" s="16" t="str">
        <f>IFERROR(__xludf.DUMMYFUNCTION("""COMPUTED_VALUE"""),"")</f>
        <v/>
      </c>
      <c r="X2647" s="16" t="str">
        <f>IFERROR(__xludf.DUMMYFUNCTION("""COMPUTED_VALUE"""),"")</f>
        <v/>
      </c>
      <c r="AC2647" s="16" t="str">
        <f>IFERROR(__xludf.DUMMYFUNCTION("""COMPUTED_VALUE"""),"")</f>
        <v/>
      </c>
    </row>
    <row r="2648">
      <c r="A2648" s="16" t="s">
        <v>87</v>
      </c>
      <c r="E2648" s="16" t="str">
        <f>IFERROR(__xludf.DUMMYFUNCTION("""COMPUTED_VALUE"""),"")</f>
        <v/>
      </c>
      <c r="G2648" s="18"/>
      <c r="H2648" s="16" t="s">
        <v>87</v>
      </c>
      <c r="I2648" s="16" t="s">
        <v>87</v>
      </c>
      <c r="J2648" s="19"/>
      <c r="L2648" s="16" t="str">
        <f>IFERROR(__xludf.DUMMYFUNCTION("""COMPUTED_VALUE"""),"")</f>
        <v/>
      </c>
      <c r="M2648" s="16" t="str">
        <f>IFERROR(__xludf.DUMMYFUNCTION("""COMPUTED_VALUE"""),"")</f>
        <v/>
      </c>
      <c r="U2648" s="16" t="s">
        <v>87</v>
      </c>
      <c r="V2648" s="16" t="str">
        <f>IFERROR(__xludf.DUMMYFUNCTION("""COMPUTED_VALUE"""),"")</f>
        <v/>
      </c>
      <c r="W2648" s="16" t="str">
        <f>IFERROR(__xludf.DUMMYFUNCTION("""COMPUTED_VALUE"""),"")</f>
        <v/>
      </c>
      <c r="X2648" s="16" t="str">
        <f>IFERROR(__xludf.DUMMYFUNCTION("""COMPUTED_VALUE"""),"")</f>
        <v/>
      </c>
      <c r="AC2648" s="16" t="str">
        <f>IFERROR(__xludf.DUMMYFUNCTION("""COMPUTED_VALUE"""),"")</f>
        <v/>
      </c>
    </row>
    <row r="2649">
      <c r="A2649" s="16" t="s">
        <v>87</v>
      </c>
      <c r="E2649" s="16" t="str">
        <f>IFERROR(__xludf.DUMMYFUNCTION("""COMPUTED_VALUE"""),"")</f>
        <v/>
      </c>
      <c r="G2649" s="18"/>
      <c r="H2649" s="16" t="s">
        <v>87</v>
      </c>
      <c r="I2649" s="16" t="s">
        <v>87</v>
      </c>
      <c r="J2649" s="19"/>
      <c r="L2649" s="16" t="str">
        <f>IFERROR(__xludf.DUMMYFUNCTION("""COMPUTED_VALUE"""),"")</f>
        <v/>
      </c>
      <c r="M2649" s="16" t="str">
        <f>IFERROR(__xludf.DUMMYFUNCTION("""COMPUTED_VALUE"""),"")</f>
        <v/>
      </c>
      <c r="U2649" s="16" t="s">
        <v>87</v>
      </c>
      <c r="V2649" s="16" t="str">
        <f>IFERROR(__xludf.DUMMYFUNCTION("""COMPUTED_VALUE"""),"")</f>
        <v/>
      </c>
      <c r="W2649" s="16" t="str">
        <f>IFERROR(__xludf.DUMMYFUNCTION("""COMPUTED_VALUE"""),"")</f>
        <v/>
      </c>
      <c r="X2649" s="16" t="str">
        <f>IFERROR(__xludf.DUMMYFUNCTION("""COMPUTED_VALUE"""),"")</f>
        <v/>
      </c>
      <c r="AC2649" s="16" t="str">
        <f>IFERROR(__xludf.DUMMYFUNCTION("""COMPUTED_VALUE"""),"")</f>
        <v/>
      </c>
    </row>
    <row r="2650">
      <c r="A2650" s="16" t="s">
        <v>87</v>
      </c>
      <c r="E2650" s="16" t="str">
        <f>IFERROR(__xludf.DUMMYFUNCTION("""COMPUTED_VALUE"""),"")</f>
        <v/>
      </c>
      <c r="G2650" s="18"/>
      <c r="H2650" s="16" t="s">
        <v>87</v>
      </c>
      <c r="I2650" s="16" t="s">
        <v>87</v>
      </c>
      <c r="J2650" s="19"/>
      <c r="L2650" s="16" t="str">
        <f>IFERROR(__xludf.DUMMYFUNCTION("""COMPUTED_VALUE"""),"")</f>
        <v/>
      </c>
      <c r="M2650" s="16" t="str">
        <f>IFERROR(__xludf.DUMMYFUNCTION("""COMPUTED_VALUE"""),"")</f>
        <v/>
      </c>
      <c r="U2650" s="16" t="s">
        <v>87</v>
      </c>
      <c r="V2650" s="16" t="str">
        <f>IFERROR(__xludf.DUMMYFUNCTION("""COMPUTED_VALUE"""),"")</f>
        <v/>
      </c>
      <c r="W2650" s="16" t="str">
        <f>IFERROR(__xludf.DUMMYFUNCTION("""COMPUTED_VALUE"""),"")</f>
        <v/>
      </c>
      <c r="X2650" s="16" t="str">
        <f>IFERROR(__xludf.DUMMYFUNCTION("""COMPUTED_VALUE"""),"")</f>
        <v/>
      </c>
      <c r="AC2650" s="16" t="str">
        <f>IFERROR(__xludf.DUMMYFUNCTION("""COMPUTED_VALUE"""),"")</f>
        <v/>
      </c>
    </row>
    <row r="2651">
      <c r="A2651" s="16" t="s">
        <v>87</v>
      </c>
      <c r="E2651" s="16" t="str">
        <f>IFERROR(__xludf.DUMMYFUNCTION("""COMPUTED_VALUE"""),"")</f>
        <v/>
      </c>
      <c r="G2651" s="18"/>
      <c r="H2651" s="16" t="s">
        <v>87</v>
      </c>
      <c r="I2651" s="16" t="s">
        <v>87</v>
      </c>
      <c r="J2651" s="19"/>
      <c r="L2651" s="16" t="str">
        <f>IFERROR(__xludf.DUMMYFUNCTION("""COMPUTED_VALUE"""),"")</f>
        <v/>
      </c>
      <c r="M2651" s="16" t="str">
        <f>IFERROR(__xludf.DUMMYFUNCTION("""COMPUTED_VALUE"""),"")</f>
        <v/>
      </c>
      <c r="U2651" s="16" t="s">
        <v>87</v>
      </c>
      <c r="V2651" s="16" t="str">
        <f>IFERROR(__xludf.DUMMYFUNCTION("""COMPUTED_VALUE"""),"")</f>
        <v/>
      </c>
      <c r="W2651" s="16" t="str">
        <f>IFERROR(__xludf.DUMMYFUNCTION("""COMPUTED_VALUE"""),"")</f>
        <v/>
      </c>
      <c r="X2651" s="16" t="str">
        <f>IFERROR(__xludf.DUMMYFUNCTION("""COMPUTED_VALUE"""),"")</f>
        <v/>
      </c>
      <c r="AC2651" s="16" t="str">
        <f>IFERROR(__xludf.DUMMYFUNCTION("""COMPUTED_VALUE"""),"")</f>
        <v/>
      </c>
    </row>
    <row r="2652">
      <c r="A2652" s="16" t="s">
        <v>87</v>
      </c>
      <c r="E2652" s="16" t="str">
        <f>IFERROR(__xludf.DUMMYFUNCTION("""COMPUTED_VALUE"""),"")</f>
        <v/>
      </c>
      <c r="G2652" s="18"/>
      <c r="H2652" s="16" t="s">
        <v>87</v>
      </c>
      <c r="I2652" s="16" t="s">
        <v>87</v>
      </c>
      <c r="J2652" s="19"/>
      <c r="L2652" s="16" t="str">
        <f>IFERROR(__xludf.DUMMYFUNCTION("""COMPUTED_VALUE"""),"")</f>
        <v/>
      </c>
      <c r="M2652" s="16" t="str">
        <f>IFERROR(__xludf.DUMMYFUNCTION("""COMPUTED_VALUE"""),"")</f>
        <v/>
      </c>
      <c r="U2652" s="16" t="s">
        <v>87</v>
      </c>
      <c r="V2652" s="16" t="str">
        <f>IFERROR(__xludf.DUMMYFUNCTION("""COMPUTED_VALUE"""),"")</f>
        <v/>
      </c>
      <c r="W2652" s="16" t="str">
        <f>IFERROR(__xludf.DUMMYFUNCTION("""COMPUTED_VALUE"""),"")</f>
        <v/>
      </c>
      <c r="X2652" s="16" t="str">
        <f>IFERROR(__xludf.DUMMYFUNCTION("""COMPUTED_VALUE"""),"")</f>
        <v/>
      </c>
      <c r="AC2652" s="16" t="str">
        <f>IFERROR(__xludf.DUMMYFUNCTION("""COMPUTED_VALUE"""),"")</f>
        <v/>
      </c>
    </row>
    <row r="2653">
      <c r="A2653" s="16" t="s">
        <v>87</v>
      </c>
      <c r="E2653" s="16" t="str">
        <f>IFERROR(__xludf.DUMMYFUNCTION("""COMPUTED_VALUE"""),"")</f>
        <v/>
      </c>
      <c r="G2653" s="18"/>
      <c r="H2653" s="16" t="s">
        <v>87</v>
      </c>
      <c r="I2653" s="16" t="s">
        <v>87</v>
      </c>
      <c r="J2653" s="19"/>
      <c r="L2653" s="16" t="str">
        <f>IFERROR(__xludf.DUMMYFUNCTION("""COMPUTED_VALUE"""),"")</f>
        <v/>
      </c>
      <c r="M2653" s="16" t="str">
        <f>IFERROR(__xludf.DUMMYFUNCTION("""COMPUTED_VALUE"""),"")</f>
        <v/>
      </c>
      <c r="U2653" s="16" t="s">
        <v>87</v>
      </c>
      <c r="V2653" s="16" t="str">
        <f>IFERROR(__xludf.DUMMYFUNCTION("""COMPUTED_VALUE"""),"")</f>
        <v/>
      </c>
      <c r="W2653" s="16" t="str">
        <f>IFERROR(__xludf.DUMMYFUNCTION("""COMPUTED_VALUE"""),"")</f>
        <v/>
      </c>
      <c r="X2653" s="16" t="str">
        <f>IFERROR(__xludf.DUMMYFUNCTION("""COMPUTED_VALUE"""),"")</f>
        <v/>
      </c>
      <c r="AC2653" s="16" t="str">
        <f>IFERROR(__xludf.DUMMYFUNCTION("""COMPUTED_VALUE"""),"")</f>
        <v/>
      </c>
    </row>
    <row r="2654">
      <c r="A2654" s="16" t="s">
        <v>87</v>
      </c>
      <c r="E2654" s="16" t="str">
        <f>IFERROR(__xludf.DUMMYFUNCTION("""COMPUTED_VALUE"""),"")</f>
        <v/>
      </c>
      <c r="G2654" s="18"/>
      <c r="H2654" s="16" t="s">
        <v>87</v>
      </c>
      <c r="I2654" s="16" t="s">
        <v>87</v>
      </c>
      <c r="J2654" s="19"/>
      <c r="L2654" s="16" t="str">
        <f>IFERROR(__xludf.DUMMYFUNCTION("""COMPUTED_VALUE"""),"")</f>
        <v/>
      </c>
      <c r="M2654" s="16" t="str">
        <f>IFERROR(__xludf.DUMMYFUNCTION("""COMPUTED_VALUE"""),"")</f>
        <v/>
      </c>
      <c r="U2654" s="16" t="s">
        <v>87</v>
      </c>
      <c r="V2654" s="16" t="str">
        <f>IFERROR(__xludf.DUMMYFUNCTION("""COMPUTED_VALUE"""),"")</f>
        <v/>
      </c>
      <c r="W2654" s="16" t="str">
        <f>IFERROR(__xludf.DUMMYFUNCTION("""COMPUTED_VALUE"""),"")</f>
        <v/>
      </c>
      <c r="X2654" s="16" t="str">
        <f>IFERROR(__xludf.DUMMYFUNCTION("""COMPUTED_VALUE"""),"")</f>
        <v/>
      </c>
      <c r="AC2654" s="16" t="str">
        <f>IFERROR(__xludf.DUMMYFUNCTION("""COMPUTED_VALUE"""),"")</f>
        <v/>
      </c>
    </row>
    <row r="2655">
      <c r="A2655" s="16" t="s">
        <v>87</v>
      </c>
      <c r="E2655" s="16" t="str">
        <f>IFERROR(__xludf.DUMMYFUNCTION("""COMPUTED_VALUE"""),"")</f>
        <v/>
      </c>
      <c r="G2655" s="18"/>
      <c r="H2655" s="16" t="s">
        <v>87</v>
      </c>
      <c r="I2655" s="16" t="s">
        <v>87</v>
      </c>
      <c r="J2655" s="19"/>
      <c r="L2655" s="16" t="str">
        <f>IFERROR(__xludf.DUMMYFUNCTION("""COMPUTED_VALUE"""),"")</f>
        <v/>
      </c>
      <c r="M2655" s="16" t="str">
        <f>IFERROR(__xludf.DUMMYFUNCTION("""COMPUTED_VALUE"""),"")</f>
        <v/>
      </c>
      <c r="U2655" s="16" t="s">
        <v>87</v>
      </c>
      <c r="V2655" s="16" t="str">
        <f>IFERROR(__xludf.DUMMYFUNCTION("""COMPUTED_VALUE"""),"")</f>
        <v/>
      </c>
      <c r="W2655" s="16" t="str">
        <f>IFERROR(__xludf.DUMMYFUNCTION("""COMPUTED_VALUE"""),"")</f>
        <v/>
      </c>
      <c r="X2655" s="16" t="str">
        <f>IFERROR(__xludf.DUMMYFUNCTION("""COMPUTED_VALUE"""),"")</f>
        <v/>
      </c>
      <c r="AC2655" s="16" t="str">
        <f>IFERROR(__xludf.DUMMYFUNCTION("""COMPUTED_VALUE"""),"")</f>
        <v/>
      </c>
    </row>
    <row r="2656">
      <c r="A2656" s="16" t="s">
        <v>87</v>
      </c>
      <c r="E2656" s="16" t="str">
        <f>IFERROR(__xludf.DUMMYFUNCTION("""COMPUTED_VALUE"""),"")</f>
        <v/>
      </c>
      <c r="G2656" s="18"/>
      <c r="H2656" s="16" t="s">
        <v>87</v>
      </c>
      <c r="I2656" s="16" t="s">
        <v>87</v>
      </c>
      <c r="J2656" s="19"/>
      <c r="L2656" s="16" t="str">
        <f>IFERROR(__xludf.DUMMYFUNCTION("""COMPUTED_VALUE"""),"")</f>
        <v/>
      </c>
      <c r="M2656" s="16" t="str">
        <f>IFERROR(__xludf.DUMMYFUNCTION("""COMPUTED_VALUE"""),"")</f>
        <v/>
      </c>
      <c r="U2656" s="16" t="s">
        <v>87</v>
      </c>
      <c r="V2656" s="16" t="str">
        <f>IFERROR(__xludf.DUMMYFUNCTION("""COMPUTED_VALUE"""),"")</f>
        <v/>
      </c>
      <c r="W2656" s="16" t="str">
        <f>IFERROR(__xludf.DUMMYFUNCTION("""COMPUTED_VALUE"""),"")</f>
        <v/>
      </c>
      <c r="X2656" s="16" t="str">
        <f>IFERROR(__xludf.DUMMYFUNCTION("""COMPUTED_VALUE"""),"")</f>
        <v/>
      </c>
      <c r="AC2656" s="16" t="str">
        <f>IFERROR(__xludf.DUMMYFUNCTION("""COMPUTED_VALUE"""),"")</f>
        <v/>
      </c>
    </row>
    <row r="2657">
      <c r="A2657" s="16" t="s">
        <v>87</v>
      </c>
      <c r="E2657" s="16" t="str">
        <f>IFERROR(__xludf.DUMMYFUNCTION("""COMPUTED_VALUE"""),"")</f>
        <v/>
      </c>
      <c r="G2657" s="18"/>
      <c r="H2657" s="16" t="s">
        <v>87</v>
      </c>
      <c r="I2657" s="16" t="s">
        <v>87</v>
      </c>
      <c r="J2657" s="19"/>
      <c r="L2657" s="16" t="str">
        <f>IFERROR(__xludf.DUMMYFUNCTION("""COMPUTED_VALUE"""),"")</f>
        <v/>
      </c>
      <c r="M2657" s="16" t="str">
        <f>IFERROR(__xludf.DUMMYFUNCTION("""COMPUTED_VALUE"""),"")</f>
        <v/>
      </c>
      <c r="U2657" s="16" t="s">
        <v>87</v>
      </c>
      <c r="V2657" s="16" t="str">
        <f>IFERROR(__xludf.DUMMYFUNCTION("""COMPUTED_VALUE"""),"")</f>
        <v/>
      </c>
      <c r="W2657" s="16" t="str">
        <f>IFERROR(__xludf.DUMMYFUNCTION("""COMPUTED_VALUE"""),"")</f>
        <v/>
      </c>
      <c r="X2657" s="16" t="str">
        <f>IFERROR(__xludf.DUMMYFUNCTION("""COMPUTED_VALUE"""),"")</f>
        <v/>
      </c>
      <c r="AC2657" s="16" t="str">
        <f>IFERROR(__xludf.DUMMYFUNCTION("""COMPUTED_VALUE"""),"")</f>
        <v/>
      </c>
    </row>
    <row r="2658">
      <c r="A2658" s="16" t="s">
        <v>87</v>
      </c>
      <c r="E2658" s="16" t="str">
        <f>IFERROR(__xludf.DUMMYFUNCTION("""COMPUTED_VALUE"""),"")</f>
        <v/>
      </c>
      <c r="G2658" s="18"/>
      <c r="H2658" s="16" t="s">
        <v>87</v>
      </c>
      <c r="I2658" s="16" t="s">
        <v>87</v>
      </c>
      <c r="J2658" s="19"/>
      <c r="L2658" s="16" t="str">
        <f>IFERROR(__xludf.DUMMYFUNCTION("""COMPUTED_VALUE"""),"")</f>
        <v/>
      </c>
      <c r="M2658" s="16" t="str">
        <f>IFERROR(__xludf.DUMMYFUNCTION("""COMPUTED_VALUE"""),"")</f>
        <v/>
      </c>
      <c r="U2658" s="16" t="s">
        <v>87</v>
      </c>
      <c r="V2658" s="16" t="str">
        <f>IFERROR(__xludf.DUMMYFUNCTION("""COMPUTED_VALUE"""),"")</f>
        <v/>
      </c>
      <c r="W2658" s="16" t="str">
        <f>IFERROR(__xludf.DUMMYFUNCTION("""COMPUTED_VALUE"""),"")</f>
        <v/>
      </c>
      <c r="X2658" s="16" t="str">
        <f>IFERROR(__xludf.DUMMYFUNCTION("""COMPUTED_VALUE"""),"")</f>
        <v/>
      </c>
      <c r="AC2658" s="16" t="str">
        <f>IFERROR(__xludf.DUMMYFUNCTION("""COMPUTED_VALUE"""),"")</f>
        <v/>
      </c>
    </row>
    <row r="2659">
      <c r="A2659" s="16" t="s">
        <v>87</v>
      </c>
      <c r="E2659" s="16" t="str">
        <f>IFERROR(__xludf.DUMMYFUNCTION("""COMPUTED_VALUE"""),"")</f>
        <v/>
      </c>
      <c r="G2659" s="18"/>
      <c r="H2659" s="16" t="s">
        <v>87</v>
      </c>
      <c r="I2659" s="16" t="s">
        <v>87</v>
      </c>
      <c r="J2659" s="19"/>
      <c r="L2659" s="16" t="str">
        <f>IFERROR(__xludf.DUMMYFUNCTION("""COMPUTED_VALUE"""),"")</f>
        <v/>
      </c>
      <c r="M2659" s="16" t="str">
        <f>IFERROR(__xludf.DUMMYFUNCTION("""COMPUTED_VALUE"""),"")</f>
        <v/>
      </c>
      <c r="U2659" s="16" t="s">
        <v>87</v>
      </c>
      <c r="V2659" s="16" t="str">
        <f>IFERROR(__xludf.DUMMYFUNCTION("""COMPUTED_VALUE"""),"")</f>
        <v/>
      </c>
      <c r="W2659" s="16" t="str">
        <f>IFERROR(__xludf.DUMMYFUNCTION("""COMPUTED_VALUE"""),"")</f>
        <v/>
      </c>
      <c r="X2659" s="16" t="str">
        <f>IFERROR(__xludf.DUMMYFUNCTION("""COMPUTED_VALUE"""),"")</f>
        <v/>
      </c>
      <c r="AC2659" s="16" t="str">
        <f>IFERROR(__xludf.DUMMYFUNCTION("""COMPUTED_VALUE"""),"")</f>
        <v/>
      </c>
    </row>
    <row r="2660">
      <c r="A2660" s="16" t="s">
        <v>87</v>
      </c>
      <c r="E2660" s="16" t="str">
        <f>IFERROR(__xludf.DUMMYFUNCTION("""COMPUTED_VALUE"""),"")</f>
        <v/>
      </c>
      <c r="G2660" s="18"/>
      <c r="H2660" s="16" t="s">
        <v>87</v>
      </c>
      <c r="I2660" s="16" t="s">
        <v>87</v>
      </c>
      <c r="J2660" s="19"/>
      <c r="L2660" s="16" t="str">
        <f>IFERROR(__xludf.DUMMYFUNCTION("""COMPUTED_VALUE"""),"")</f>
        <v/>
      </c>
      <c r="M2660" s="16" t="str">
        <f>IFERROR(__xludf.DUMMYFUNCTION("""COMPUTED_VALUE"""),"")</f>
        <v/>
      </c>
      <c r="U2660" s="16" t="s">
        <v>87</v>
      </c>
      <c r="V2660" s="16" t="str">
        <f>IFERROR(__xludf.DUMMYFUNCTION("""COMPUTED_VALUE"""),"")</f>
        <v/>
      </c>
      <c r="W2660" s="16" t="str">
        <f>IFERROR(__xludf.DUMMYFUNCTION("""COMPUTED_VALUE"""),"")</f>
        <v/>
      </c>
      <c r="X2660" s="16" t="str">
        <f>IFERROR(__xludf.DUMMYFUNCTION("""COMPUTED_VALUE"""),"")</f>
        <v/>
      </c>
      <c r="AC2660" s="16" t="str">
        <f>IFERROR(__xludf.DUMMYFUNCTION("""COMPUTED_VALUE"""),"")</f>
        <v/>
      </c>
    </row>
    <row r="2661">
      <c r="A2661" s="16" t="s">
        <v>87</v>
      </c>
      <c r="E2661" s="16" t="str">
        <f>IFERROR(__xludf.DUMMYFUNCTION("""COMPUTED_VALUE"""),"")</f>
        <v/>
      </c>
      <c r="G2661" s="18"/>
      <c r="H2661" s="16" t="s">
        <v>87</v>
      </c>
      <c r="I2661" s="16" t="s">
        <v>87</v>
      </c>
      <c r="J2661" s="19"/>
      <c r="L2661" s="16" t="str">
        <f>IFERROR(__xludf.DUMMYFUNCTION("""COMPUTED_VALUE"""),"")</f>
        <v/>
      </c>
      <c r="M2661" s="16" t="str">
        <f>IFERROR(__xludf.DUMMYFUNCTION("""COMPUTED_VALUE"""),"")</f>
        <v/>
      </c>
      <c r="U2661" s="16" t="s">
        <v>87</v>
      </c>
      <c r="V2661" s="16" t="str">
        <f>IFERROR(__xludf.DUMMYFUNCTION("""COMPUTED_VALUE"""),"")</f>
        <v/>
      </c>
      <c r="W2661" s="16" t="str">
        <f>IFERROR(__xludf.DUMMYFUNCTION("""COMPUTED_VALUE"""),"")</f>
        <v/>
      </c>
      <c r="X2661" s="16" t="str">
        <f>IFERROR(__xludf.DUMMYFUNCTION("""COMPUTED_VALUE"""),"")</f>
        <v/>
      </c>
      <c r="AC2661" s="16" t="str">
        <f>IFERROR(__xludf.DUMMYFUNCTION("""COMPUTED_VALUE"""),"")</f>
        <v/>
      </c>
    </row>
    <row r="2662">
      <c r="A2662" s="16" t="s">
        <v>87</v>
      </c>
      <c r="E2662" s="16" t="str">
        <f>IFERROR(__xludf.DUMMYFUNCTION("""COMPUTED_VALUE"""),"")</f>
        <v/>
      </c>
      <c r="G2662" s="18"/>
      <c r="H2662" s="16" t="s">
        <v>87</v>
      </c>
      <c r="I2662" s="16" t="s">
        <v>87</v>
      </c>
      <c r="J2662" s="19"/>
      <c r="L2662" s="16" t="str">
        <f>IFERROR(__xludf.DUMMYFUNCTION("""COMPUTED_VALUE"""),"")</f>
        <v/>
      </c>
      <c r="M2662" s="16" t="str">
        <f>IFERROR(__xludf.DUMMYFUNCTION("""COMPUTED_VALUE"""),"")</f>
        <v/>
      </c>
      <c r="U2662" s="16" t="s">
        <v>87</v>
      </c>
      <c r="V2662" s="16" t="str">
        <f>IFERROR(__xludf.DUMMYFUNCTION("""COMPUTED_VALUE"""),"")</f>
        <v/>
      </c>
      <c r="W2662" s="16" t="str">
        <f>IFERROR(__xludf.DUMMYFUNCTION("""COMPUTED_VALUE"""),"")</f>
        <v/>
      </c>
      <c r="X2662" s="16" t="str">
        <f>IFERROR(__xludf.DUMMYFUNCTION("""COMPUTED_VALUE"""),"")</f>
        <v/>
      </c>
      <c r="AC2662" s="16" t="str">
        <f>IFERROR(__xludf.DUMMYFUNCTION("""COMPUTED_VALUE"""),"")</f>
        <v/>
      </c>
    </row>
    <row r="2663">
      <c r="A2663" s="16" t="s">
        <v>87</v>
      </c>
      <c r="E2663" s="16" t="str">
        <f>IFERROR(__xludf.DUMMYFUNCTION("""COMPUTED_VALUE"""),"")</f>
        <v/>
      </c>
      <c r="G2663" s="18"/>
      <c r="H2663" s="16" t="s">
        <v>87</v>
      </c>
      <c r="I2663" s="16" t="s">
        <v>87</v>
      </c>
      <c r="J2663" s="19"/>
      <c r="L2663" s="16" t="str">
        <f>IFERROR(__xludf.DUMMYFUNCTION("""COMPUTED_VALUE"""),"")</f>
        <v/>
      </c>
      <c r="M2663" s="16" t="str">
        <f>IFERROR(__xludf.DUMMYFUNCTION("""COMPUTED_VALUE"""),"")</f>
        <v/>
      </c>
      <c r="U2663" s="16" t="s">
        <v>87</v>
      </c>
      <c r="V2663" s="16" t="str">
        <f>IFERROR(__xludf.DUMMYFUNCTION("""COMPUTED_VALUE"""),"")</f>
        <v/>
      </c>
      <c r="W2663" s="16" t="str">
        <f>IFERROR(__xludf.DUMMYFUNCTION("""COMPUTED_VALUE"""),"")</f>
        <v/>
      </c>
      <c r="X2663" s="16" t="str">
        <f>IFERROR(__xludf.DUMMYFUNCTION("""COMPUTED_VALUE"""),"")</f>
        <v/>
      </c>
      <c r="AC2663" s="16" t="str">
        <f>IFERROR(__xludf.DUMMYFUNCTION("""COMPUTED_VALUE"""),"")</f>
        <v/>
      </c>
    </row>
    <row r="2664">
      <c r="A2664" s="16" t="s">
        <v>87</v>
      </c>
      <c r="E2664" s="16" t="str">
        <f>IFERROR(__xludf.DUMMYFUNCTION("""COMPUTED_VALUE"""),"")</f>
        <v/>
      </c>
      <c r="G2664" s="18"/>
      <c r="H2664" s="16" t="s">
        <v>87</v>
      </c>
      <c r="I2664" s="16" t="s">
        <v>87</v>
      </c>
      <c r="J2664" s="19"/>
      <c r="L2664" s="16" t="str">
        <f>IFERROR(__xludf.DUMMYFUNCTION("""COMPUTED_VALUE"""),"")</f>
        <v/>
      </c>
      <c r="M2664" s="16" t="str">
        <f>IFERROR(__xludf.DUMMYFUNCTION("""COMPUTED_VALUE"""),"")</f>
        <v/>
      </c>
      <c r="U2664" s="16" t="s">
        <v>87</v>
      </c>
      <c r="V2664" s="16" t="str">
        <f>IFERROR(__xludf.DUMMYFUNCTION("""COMPUTED_VALUE"""),"")</f>
        <v/>
      </c>
      <c r="W2664" s="16" t="str">
        <f>IFERROR(__xludf.DUMMYFUNCTION("""COMPUTED_VALUE"""),"")</f>
        <v/>
      </c>
      <c r="X2664" s="16" t="str">
        <f>IFERROR(__xludf.DUMMYFUNCTION("""COMPUTED_VALUE"""),"")</f>
        <v/>
      </c>
      <c r="AC2664" s="16" t="str">
        <f>IFERROR(__xludf.DUMMYFUNCTION("""COMPUTED_VALUE"""),"")</f>
        <v/>
      </c>
    </row>
    <row r="2665">
      <c r="A2665" s="16" t="s">
        <v>87</v>
      </c>
      <c r="E2665" s="16" t="str">
        <f>IFERROR(__xludf.DUMMYFUNCTION("""COMPUTED_VALUE"""),"")</f>
        <v/>
      </c>
      <c r="G2665" s="18"/>
      <c r="H2665" s="16" t="s">
        <v>87</v>
      </c>
      <c r="I2665" s="16" t="s">
        <v>87</v>
      </c>
      <c r="J2665" s="19"/>
      <c r="L2665" s="16" t="str">
        <f>IFERROR(__xludf.DUMMYFUNCTION("""COMPUTED_VALUE"""),"")</f>
        <v/>
      </c>
      <c r="M2665" s="16" t="str">
        <f>IFERROR(__xludf.DUMMYFUNCTION("""COMPUTED_VALUE"""),"")</f>
        <v/>
      </c>
      <c r="U2665" s="16" t="s">
        <v>87</v>
      </c>
      <c r="V2665" s="16" t="str">
        <f>IFERROR(__xludf.DUMMYFUNCTION("""COMPUTED_VALUE"""),"")</f>
        <v/>
      </c>
      <c r="W2665" s="16" t="str">
        <f>IFERROR(__xludf.DUMMYFUNCTION("""COMPUTED_VALUE"""),"")</f>
        <v/>
      </c>
      <c r="X2665" s="16" t="str">
        <f>IFERROR(__xludf.DUMMYFUNCTION("""COMPUTED_VALUE"""),"")</f>
        <v/>
      </c>
      <c r="AC2665" s="16" t="str">
        <f>IFERROR(__xludf.DUMMYFUNCTION("""COMPUTED_VALUE"""),"")</f>
        <v/>
      </c>
    </row>
    <row r="2666">
      <c r="A2666" s="16" t="s">
        <v>87</v>
      </c>
      <c r="E2666" s="16" t="str">
        <f>IFERROR(__xludf.DUMMYFUNCTION("""COMPUTED_VALUE"""),"")</f>
        <v/>
      </c>
      <c r="G2666" s="18"/>
      <c r="H2666" s="16" t="s">
        <v>87</v>
      </c>
      <c r="I2666" s="16" t="s">
        <v>87</v>
      </c>
      <c r="J2666" s="19"/>
      <c r="L2666" s="16" t="str">
        <f>IFERROR(__xludf.DUMMYFUNCTION("""COMPUTED_VALUE"""),"")</f>
        <v/>
      </c>
      <c r="M2666" s="16" t="str">
        <f>IFERROR(__xludf.DUMMYFUNCTION("""COMPUTED_VALUE"""),"")</f>
        <v/>
      </c>
      <c r="U2666" s="16" t="s">
        <v>87</v>
      </c>
      <c r="V2666" s="16" t="str">
        <f>IFERROR(__xludf.DUMMYFUNCTION("""COMPUTED_VALUE"""),"")</f>
        <v/>
      </c>
      <c r="W2666" s="16" t="str">
        <f>IFERROR(__xludf.DUMMYFUNCTION("""COMPUTED_VALUE"""),"")</f>
        <v/>
      </c>
      <c r="X2666" s="16" t="str">
        <f>IFERROR(__xludf.DUMMYFUNCTION("""COMPUTED_VALUE"""),"")</f>
        <v/>
      </c>
      <c r="AC2666" s="16" t="str">
        <f>IFERROR(__xludf.DUMMYFUNCTION("""COMPUTED_VALUE"""),"")</f>
        <v/>
      </c>
    </row>
    <row r="2667">
      <c r="A2667" s="16" t="s">
        <v>87</v>
      </c>
      <c r="E2667" s="16" t="str">
        <f>IFERROR(__xludf.DUMMYFUNCTION("""COMPUTED_VALUE"""),"")</f>
        <v/>
      </c>
      <c r="G2667" s="18"/>
      <c r="H2667" s="16" t="s">
        <v>87</v>
      </c>
      <c r="I2667" s="16" t="s">
        <v>87</v>
      </c>
      <c r="J2667" s="19"/>
      <c r="L2667" s="16" t="str">
        <f>IFERROR(__xludf.DUMMYFUNCTION("""COMPUTED_VALUE"""),"")</f>
        <v/>
      </c>
      <c r="M2667" s="16" t="str">
        <f>IFERROR(__xludf.DUMMYFUNCTION("""COMPUTED_VALUE"""),"")</f>
        <v/>
      </c>
      <c r="U2667" s="16" t="s">
        <v>87</v>
      </c>
      <c r="V2667" s="16" t="str">
        <f>IFERROR(__xludf.DUMMYFUNCTION("""COMPUTED_VALUE"""),"")</f>
        <v/>
      </c>
      <c r="W2667" s="16" t="str">
        <f>IFERROR(__xludf.DUMMYFUNCTION("""COMPUTED_VALUE"""),"")</f>
        <v/>
      </c>
      <c r="X2667" s="16" t="str">
        <f>IFERROR(__xludf.DUMMYFUNCTION("""COMPUTED_VALUE"""),"")</f>
        <v/>
      </c>
      <c r="AC2667" s="16" t="str">
        <f>IFERROR(__xludf.DUMMYFUNCTION("""COMPUTED_VALUE"""),"")</f>
        <v/>
      </c>
    </row>
    <row r="2668">
      <c r="A2668" s="16" t="s">
        <v>87</v>
      </c>
      <c r="E2668" s="16" t="str">
        <f>IFERROR(__xludf.DUMMYFUNCTION("""COMPUTED_VALUE"""),"")</f>
        <v/>
      </c>
      <c r="G2668" s="18"/>
      <c r="H2668" s="16" t="s">
        <v>87</v>
      </c>
      <c r="I2668" s="16" t="s">
        <v>87</v>
      </c>
      <c r="J2668" s="19"/>
      <c r="L2668" s="16" t="str">
        <f>IFERROR(__xludf.DUMMYFUNCTION("""COMPUTED_VALUE"""),"")</f>
        <v/>
      </c>
      <c r="M2668" s="16" t="str">
        <f>IFERROR(__xludf.DUMMYFUNCTION("""COMPUTED_VALUE"""),"")</f>
        <v/>
      </c>
      <c r="U2668" s="16" t="s">
        <v>87</v>
      </c>
      <c r="V2668" s="16" t="str">
        <f>IFERROR(__xludf.DUMMYFUNCTION("""COMPUTED_VALUE"""),"")</f>
        <v/>
      </c>
      <c r="W2668" s="16" t="str">
        <f>IFERROR(__xludf.DUMMYFUNCTION("""COMPUTED_VALUE"""),"")</f>
        <v/>
      </c>
      <c r="X2668" s="16" t="str">
        <f>IFERROR(__xludf.DUMMYFUNCTION("""COMPUTED_VALUE"""),"")</f>
        <v/>
      </c>
      <c r="AC2668" s="16" t="str">
        <f>IFERROR(__xludf.DUMMYFUNCTION("""COMPUTED_VALUE"""),"")</f>
        <v/>
      </c>
    </row>
    <row r="2669">
      <c r="A2669" s="16" t="s">
        <v>87</v>
      </c>
      <c r="E2669" s="16" t="str">
        <f>IFERROR(__xludf.DUMMYFUNCTION("""COMPUTED_VALUE"""),"")</f>
        <v/>
      </c>
      <c r="G2669" s="18"/>
      <c r="H2669" s="16" t="s">
        <v>87</v>
      </c>
      <c r="I2669" s="16" t="s">
        <v>87</v>
      </c>
      <c r="J2669" s="19"/>
      <c r="L2669" s="16" t="str">
        <f>IFERROR(__xludf.DUMMYFUNCTION("""COMPUTED_VALUE"""),"")</f>
        <v/>
      </c>
      <c r="M2669" s="16" t="str">
        <f>IFERROR(__xludf.DUMMYFUNCTION("""COMPUTED_VALUE"""),"")</f>
        <v/>
      </c>
      <c r="U2669" s="16" t="s">
        <v>87</v>
      </c>
      <c r="V2669" s="16" t="str">
        <f>IFERROR(__xludf.DUMMYFUNCTION("""COMPUTED_VALUE"""),"")</f>
        <v/>
      </c>
      <c r="W2669" s="16" t="str">
        <f>IFERROR(__xludf.DUMMYFUNCTION("""COMPUTED_VALUE"""),"")</f>
        <v/>
      </c>
      <c r="X2669" s="16" t="str">
        <f>IFERROR(__xludf.DUMMYFUNCTION("""COMPUTED_VALUE"""),"")</f>
        <v/>
      </c>
      <c r="AC2669" s="16" t="str">
        <f>IFERROR(__xludf.DUMMYFUNCTION("""COMPUTED_VALUE"""),"")</f>
        <v/>
      </c>
    </row>
    <row r="2670">
      <c r="A2670" s="16" t="s">
        <v>87</v>
      </c>
      <c r="E2670" s="16" t="str">
        <f>IFERROR(__xludf.DUMMYFUNCTION("""COMPUTED_VALUE"""),"")</f>
        <v/>
      </c>
      <c r="G2670" s="18"/>
      <c r="H2670" s="16" t="s">
        <v>87</v>
      </c>
      <c r="I2670" s="16" t="s">
        <v>87</v>
      </c>
      <c r="J2670" s="19"/>
      <c r="L2670" s="16" t="str">
        <f>IFERROR(__xludf.DUMMYFUNCTION("""COMPUTED_VALUE"""),"")</f>
        <v/>
      </c>
      <c r="M2670" s="16" t="str">
        <f>IFERROR(__xludf.DUMMYFUNCTION("""COMPUTED_VALUE"""),"")</f>
        <v/>
      </c>
      <c r="U2670" s="16" t="s">
        <v>87</v>
      </c>
      <c r="V2670" s="16" t="str">
        <f>IFERROR(__xludf.DUMMYFUNCTION("""COMPUTED_VALUE"""),"")</f>
        <v/>
      </c>
      <c r="W2670" s="16" t="str">
        <f>IFERROR(__xludf.DUMMYFUNCTION("""COMPUTED_VALUE"""),"")</f>
        <v/>
      </c>
      <c r="X2670" s="16" t="str">
        <f>IFERROR(__xludf.DUMMYFUNCTION("""COMPUTED_VALUE"""),"")</f>
        <v/>
      </c>
      <c r="AC2670" s="16" t="str">
        <f>IFERROR(__xludf.DUMMYFUNCTION("""COMPUTED_VALUE"""),"")</f>
        <v/>
      </c>
    </row>
    <row r="2671">
      <c r="A2671" s="16" t="s">
        <v>87</v>
      </c>
      <c r="E2671" s="16" t="str">
        <f>IFERROR(__xludf.DUMMYFUNCTION("""COMPUTED_VALUE"""),"")</f>
        <v/>
      </c>
      <c r="G2671" s="18"/>
      <c r="H2671" s="16" t="s">
        <v>87</v>
      </c>
      <c r="I2671" s="16" t="s">
        <v>87</v>
      </c>
      <c r="J2671" s="19"/>
      <c r="L2671" s="16" t="str">
        <f>IFERROR(__xludf.DUMMYFUNCTION("""COMPUTED_VALUE"""),"")</f>
        <v/>
      </c>
      <c r="M2671" s="16" t="str">
        <f>IFERROR(__xludf.DUMMYFUNCTION("""COMPUTED_VALUE"""),"")</f>
        <v/>
      </c>
      <c r="U2671" s="16" t="s">
        <v>87</v>
      </c>
      <c r="V2671" s="16" t="str">
        <f>IFERROR(__xludf.DUMMYFUNCTION("""COMPUTED_VALUE"""),"")</f>
        <v/>
      </c>
      <c r="W2671" s="16" t="str">
        <f>IFERROR(__xludf.DUMMYFUNCTION("""COMPUTED_VALUE"""),"")</f>
        <v/>
      </c>
      <c r="X2671" s="16" t="str">
        <f>IFERROR(__xludf.DUMMYFUNCTION("""COMPUTED_VALUE"""),"")</f>
        <v/>
      </c>
      <c r="AC2671" s="16" t="str">
        <f>IFERROR(__xludf.DUMMYFUNCTION("""COMPUTED_VALUE"""),"")</f>
        <v/>
      </c>
    </row>
    <row r="2672">
      <c r="A2672" s="16" t="s">
        <v>87</v>
      </c>
      <c r="E2672" s="16" t="str">
        <f>IFERROR(__xludf.DUMMYFUNCTION("""COMPUTED_VALUE"""),"")</f>
        <v/>
      </c>
      <c r="G2672" s="18"/>
      <c r="H2672" s="16" t="s">
        <v>87</v>
      </c>
      <c r="I2672" s="16" t="s">
        <v>87</v>
      </c>
      <c r="J2672" s="19"/>
      <c r="L2672" s="16" t="str">
        <f>IFERROR(__xludf.DUMMYFUNCTION("""COMPUTED_VALUE"""),"")</f>
        <v/>
      </c>
      <c r="M2672" s="16" t="str">
        <f>IFERROR(__xludf.DUMMYFUNCTION("""COMPUTED_VALUE"""),"")</f>
        <v/>
      </c>
      <c r="U2672" s="16" t="s">
        <v>87</v>
      </c>
      <c r="V2672" s="16" t="str">
        <f>IFERROR(__xludf.DUMMYFUNCTION("""COMPUTED_VALUE"""),"")</f>
        <v/>
      </c>
      <c r="W2672" s="16" t="str">
        <f>IFERROR(__xludf.DUMMYFUNCTION("""COMPUTED_VALUE"""),"")</f>
        <v/>
      </c>
      <c r="X2672" s="16" t="str">
        <f>IFERROR(__xludf.DUMMYFUNCTION("""COMPUTED_VALUE"""),"")</f>
        <v/>
      </c>
      <c r="AC2672" s="16" t="str">
        <f>IFERROR(__xludf.DUMMYFUNCTION("""COMPUTED_VALUE"""),"")</f>
        <v/>
      </c>
    </row>
    <row r="2673">
      <c r="A2673" s="16" t="s">
        <v>87</v>
      </c>
      <c r="E2673" s="16" t="str">
        <f>IFERROR(__xludf.DUMMYFUNCTION("""COMPUTED_VALUE"""),"")</f>
        <v/>
      </c>
      <c r="G2673" s="18"/>
      <c r="H2673" s="16" t="s">
        <v>87</v>
      </c>
      <c r="I2673" s="16" t="s">
        <v>87</v>
      </c>
      <c r="J2673" s="19"/>
      <c r="L2673" s="16" t="str">
        <f>IFERROR(__xludf.DUMMYFUNCTION("""COMPUTED_VALUE"""),"")</f>
        <v/>
      </c>
      <c r="M2673" s="16" t="str">
        <f>IFERROR(__xludf.DUMMYFUNCTION("""COMPUTED_VALUE"""),"")</f>
        <v/>
      </c>
      <c r="U2673" s="16" t="s">
        <v>87</v>
      </c>
      <c r="V2673" s="16" t="str">
        <f>IFERROR(__xludf.DUMMYFUNCTION("""COMPUTED_VALUE"""),"")</f>
        <v/>
      </c>
      <c r="W2673" s="16" t="str">
        <f>IFERROR(__xludf.DUMMYFUNCTION("""COMPUTED_VALUE"""),"")</f>
        <v/>
      </c>
      <c r="X2673" s="16" t="str">
        <f>IFERROR(__xludf.DUMMYFUNCTION("""COMPUTED_VALUE"""),"")</f>
        <v/>
      </c>
      <c r="AC2673" s="16" t="str">
        <f>IFERROR(__xludf.DUMMYFUNCTION("""COMPUTED_VALUE"""),"")</f>
        <v/>
      </c>
    </row>
    <row r="2674">
      <c r="A2674" s="16" t="s">
        <v>87</v>
      </c>
      <c r="E2674" s="16" t="str">
        <f>IFERROR(__xludf.DUMMYFUNCTION("""COMPUTED_VALUE"""),"")</f>
        <v/>
      </c>
      <c r="G2674" s="18"/>
      <c r="H2674" s="16" t="s">
        <v>87</v>
      </c>
      <c r="I2674" s="16" t="s">
        <v>87</v>
      </c>
      <c r="J2674" s="19"/>
      <c r="L2674" s="16" t="str">
        <f>IFERROR(__xludf.DUMMYFUNCTION("""COMPUTED_VALUE"""),"")</f>
        <v/>
      </c>
      <c r="M2674" s="16" t="str">
        <f>IFERROR(__xludf.DUMMYFUNCTION("""COMPUTED_VALUE"""),"")</f>
        <v/>
      </c>
      <c r="U2674" s="16" t="s">
        <v>87</v>
      </c>
      <c r="V2674" s="16" t="str">
        <f>IFERROR(__xludf.DUMMYFUNCTION("""COMPUTED_VALUE"""),"")</f>
        <v/>
      </c>
      <c r="W2674" s="16" t="str">
        <f>IFERROR(__xludf.DUMMYFUNCTION("""COMPUTED_VALUE"""),"")</f>
        <v/>
      </c>
      <c r="X2674" s="16" t="str">
        <f>IFERROR(__xludf.DUMMYFUNCTION("""COMPUTED_VALUE"""),"")</f>
        <v/>
      </c>
      <c r="AC2674" s="16" t="str">
        <f>IFERROR(__xludf.DUMMYFUNCTION("""COMPUTED_VALUE"""),"")</f>
        <v/>
      </c>
    </row>
    <row r="2675">
      <c r="A2675" s="16" t="s">
        <v>87</v>
      </c>
      <c r="E2675" s="16" t="str">
        <f>IFERROR(__xludf.DUMMYFUNCTION("""COMPUTED_VALUE"""),"")</f>
        <v/>
      </c>
      <c r="G2675" s="18"/>
      <c r="H2675" s="16" t="s">
        <v>87</v>
      </c>
      <c r="I2675" s="16" t="s">
        <v>87</v>
      </c>
      <c r="J2675" s="19"/>
      <c r="L2675" s="16" t="str">
        <f>IFERROR(__xludf.DUMMYFUNCTION("""COMPUTED_VALUE"""),"")</f>
        <v/>
      </c>
      <c r="M2675" s="16" t="str">
        <f>IFERROR(__xludf.DUMMYFUNCTION("""COMPUTED_VALUE"""),"")</f>
        <v/>
      </c>
      <c r="U2675" s="16" t="s">
        <v>87</v>
      </c>
      <c r="V2675" s="16" t="str">
        <f>IFERROR(__xludf.DUMMYFUNCTION("""COMPUTED_VALUE"""),"")</f>
        <v/>
      </c>
      <c r="W2675" s="16" t="str">
        <f>IFERROR(__xludf.DUMMYFUNCTION("""COMPUTED_VALUE"""),"")</f>
        <v/>
      </c>
      <c r="X2675" s="16" t="str">
        <f>IFERROR(__xludf.DUMMYFUNCTION("""COMPUTED_VALUE"""),"")</f>
        <v/>
      </c>
      <c r="AC2675" s="16" t="str">
        <f>IFERROR(__xludf.DUMMYFUNCTION("""COMPUTED_VALUE"""),"")</f>
        <v/>
      </c>
    </row>
    <row r="2676">
      <c r="A2676" s="16" t="s">
        <v>87</v>
      </c>
      <c r="E2676" s="16" t="str">
        <f>IFERROR(__xludf.DUMMYFUNCTION("""COMPUTED_VALUE"""),"")</f>
        <v/>
      </c>
      <c r="G2676" s="18"/>
      <c r="H2676" s="16" t="s">
        <v>87</v>
      </c>
      <c r="I2676" s="16" t="s">
        <v>87</v>
      </c>
      <c r="J2676" s="19"/>
      <c r="L2676" s="16" t="str">
        <f>IFERROR(__xludf.DUMMYFUNCTION("""COMPUTED_VALUE"""),"")</f>
        <v/>
      </c>
      <c r="M2676" s="16" t="str">
        <f>IFERROR(__xludf.DUMMYFUNCTION("""COMPUTED_VALUE"""),"")</f>
        <v/>
      </c>
      <c r="U2676" s="16" t="s">
        <v>87</v>
      </c>
      <c r="V2676" s="16" t="str">
        <f>IFERROR(__xludf.DUMMYFUNCTION("""COMPUTED_VALUE"""),"")</f>
        <v/>
      </c>
      <c r="W2676" s="16" t="str">
        <f>IFERROR(__xludf.DUMMYFUNCTION("""COMPUTED_VALUE"""),"")</f>
        <v/>
      </c>
      <c r="X2676" s="16" t="str">
        <f>IFERROR(__xludf.DUMMYFUNCTION("""COMPUTED_VALUE"""),"")</f>
        <v/>
      </c>
      <c r="AC2676" s="16" t="str">
        <f>IFERROR(__xludf.DUMMYFUNCTION("""COMPUTED_VALUE"""),"")</f>
        <v/>
      </c>
    </row>
    <row r="2677">
      <c r="A2677" s="16" t="s">
        <v>87</v>
      </c>
      <c r="E2677" s="16" t="str">
        <f>IFERROR(__xludf.DUMMYFUNCTION("""COMPUTED_VALUE"""),"")</f>
        <v/>
      </c>
      <c r="G2677" s="18"/>
      <c r="H2677" s="16" t="s">
        <v>87</v>
      </c>
      <c r="I2677" s="16" t="s">
        <v>87</v>
      </c>
      <c r="J2677" s="19"/>
      <c r="L2677" s="16" t="str">
        <f>IFERROR(__xludf.DUMMYFUNCTION("""COMPUTED_VALUE"""),"")</f>
        <v/>
      </c>
      <c r="M2677" s="16" t="str">
        <f>IFERROR(__xludf.DUMMYFUNCTION("""COMPUTED_VALUE"""),"")</f>
        <v/>
      </c>
      <c r="U2677" s="16" t="s">
        <v>87</v>
      </c>
      <c r="V2677" s="16" t="str">
        <f>IFERROR(__xludf.DUMMYFUNCTION("""COMPUTED_VALUE"""),"")</f>
        <v/>
      </c>
      <c r="W2677" s="16" t="str">
        <f>IFERROR(__xludf.DUMMYFUNCTION("""COMPUTED_VALUE"""),"")</f>
        <v/>
      </c>
      <c r="X2677" s="16" t="str">
        <f>IFERROR(__xludf.DUMMYFUNCTION("""COMPUTED_VALUE"""),"")</f>
        <v/>
      </c>
      <c r="AC2677" s="16" t="str">
        <f>IFERROR(__xludf.DUMMYFUNCTION("""COMPUTED_VALUE"""),"")</f>
        <v/>
      </c>
    </row>
    <row r="2678">
      <c r="A2678" s="16" t="s">
        <v>87</v>
      </c>
      <c r="E2678" s="16" t="str">
        <f>IFERROR(__xludf.DUMMYFUNCTION("""COMPUTED_VALUE"""),"")</f>
        <v/>
      </c>
      <c r="G2678" s="18"/>
      <c r="H2678" s="16" t="s">
        <v>87</v>
      </c>
      <c r="I2678" s="16" t="s">
        <v>87</v>
      </c>
      <c r="J2678" s="19"/>
      <c r="L2678" s="16" t="str">
        <f>IFERROR(__xludf.DUMMYFUNCTION("""COMPUTED_VALUE"""),"")</f>
        <v/>
      </c>
      <c r="M2678" s="16" t="str">
        <f>IFERROR(__xludf.DUMMYFUNCTION("""COMPUTED_VALUE"""),"")</f>
        <v/>
      </c>
      <c r="U2678" s="16" t="s">
        <v>87</v>
      </c>
      <c r="V2678" s="16" t="str">
        <f>IFERROR(__xludf.DUMMYFUNCTION("""COMPUTED_VALUE"""),"")</f>
        <v/>
      </c>
      <c r="W2678" s="16" t="str">
        <f>IFERROR(__xludf.DUMMYFUNCTION("""COMPUTED_VALUE"""),"")</f>
        <v/>
      </c>
      <c r="X2678" s="16" t="str">
        <f>IFERROR(__xludf.DUMMYFUNCTION("""COMPUTED_VALUE"""),"")</f>
        <v/>
      </c>
      <c r="AC2678" s="16" t="str">
        <f>IFERROR(__xludf.DUMMYFUNCTION("""COMPUTED_VALUE"""),"")</f>
        <v/>
      </c>
    </row>
    <row r="2679">
      <c r="A2679" s="16" t="s">
        <v>87</v>
      </c>
      <c r="E2679" s="16" t="str">
        <f>IFERROR(__xludf.DUMMYFUNCTION("""COMPUTED_VALUE"""),"")</f>
        <v/>
      </c>
      <c r="G2679" s="18"/>
      <c r="H2679" s="16" t="s">
        <v>87</v>
      </c>
      <c r="I2679" s="16" t="s">
        <v>87</v>
      </c>
      <c r="J2679" s="19"/>
      <c r="L2679" s="16" t="str">
        <f>IFERROR(__xludf.DUMMYFUNCTION("""COMPUTED_VALUE"""),"")</f>
        <v/>
      </c>
      <c r="M2679" s="16" t="str">
        <f>IFERROR(__xludf.DUMMYFUNCTION("""COMPUTED_VALUE"""),"")</f>
        <v/>
      </c>
      <c r="U2679" s="16" t="s">
        <v>87</v>
      </c>
      <c r="V2679" s="16" t="str">
        <f>IFERROR(__xludf.DUMMYFUNCTION("""COMPUTED_VALUE"""),"")</f>
        <v/>
      </c>
      <c r="W2679" s="16" t="str">
        <f>IFERROR(__xludf.DUMMYFUNCTION("""COMPUTED_VALUE"""),"")</f>
        <v/>
      </c>
      <c r="X2679" s="16" t="str">
        <f>IFERROR(__xludf.DUMMYFUNCTION("""COMPUTED_VALUE"""),"")</f>
        <v/>
      </c>
      <c r="AC2679" s="16" t="str">
        <f>IFERROR(__xludf.DUMMYFUNCTION("""COMPUTED_VALUE"""),"")</f>
        <v/>
      </c>
    </row>
    <row r="2680">
      <c r="A2680" s="16" t="s">
        <v>87</v>
      </c>
      <c r="E2680" s="16" t="str">
        <f>IFERROR(__xludf.DUMMYFUNCTION("""COMPUTED_VALUE"""),"")</f>
        <v/>
      </c>
      <c r="G2680" s="18"/>
      <c r="H2680" s="16" t="s">
        <v>87</v>
      </c>
      <c r="I2680" s="16" t="s">
        <v>87</v>
      </c>
      <c r="J2680" s="19"/>
      <c r="L2680" s="16" t="str">
        <f>IFERROR(__xludf.DUMMYFUNCTION("""COMPUTED_VALUE"""),"")</f>
        <v/>
      </c>
      <c r="M2680" s="16" t="str">
        <f>IFERROR(__xludf.DUMMYFUNCTION("""COMPUTED_VALUE"""),"")</f>
        <v/>
      </c>
      <c r="U2680" s="16" t="s">
        <v>87</v>
      </c>
      <c r="V2680" s="16" t="str">
        <f>IFERROR(__xludf.DUMMYFUNCTION("""COMPUTED_VALUE"""),"")</f>
        <v/>
      </c>
      <c r="W2680" s="16" t="str">
        <f>IFERROR(__xludf.DUMMYFUNCTION("""COMPUTED_VALUE"""),"")</f>
        <v/>
      </c>
      <c r="X2680" s="16" t="str">
        <f>IFERROR(__xludf.DUMMYFUNCTION("""COMPUTED_VALUE"""),"")</f>
        <v/>
      </c>
      <c r="AC2680" s="16" t="str">
        <f>IFERROR(__xludf.DUMMYFUNCTION("""COMPUTED_VALUE"""),"")</f>
        <v/>
      </c>
    </row>
    <row r="2681">
      <c r="A2681" s="16" t="s">
        <v>87</v>
      </c>
      <c r="E2681" s="16" t="str">
        <f>IFERROR(__xludf.DUMMYFUNCTION("""COMPUTED_VALUE"""),"")</f>
        <v/>
      </c>
      <c r="G2681" s="18"/>
      <c r="H2681" s="16" t="s">
        <v>87</v>
      </c>
      <c r="I2681" s="16" t="s">
        <v>87</v>
      </c>
      <c r="J2681" s="19"/>
      <c r="L2681" s="16" t="str">
        <f>IFERROR(__xludf.DUMMYFUNCTION("""COMPUTED_VALUE"""),"")</f>
        <v/>
      </c>
      <c r="M2681" s="16" t="str">
        <f>IFERROR(__xludf.DUMMYFUNCTION("""COMPUTED_VALUE"""),"")</f>
        <v/>
      </c>
      <c r="U2681" s="16" t="s">
        <v>87</v>
      </c>
      <c r="V2681" s="16" t="str">
        <f>IFERROR(__xludf.DUMMYFUNCTION("""COMPUTED_VALUE"""),"")</f>
        <v/>
      </c>
      <c r="W2681" s="16" t="str">
        <f>IFERROR(__xludf.DUMMYFUNCTION("""COMPUTED_VALUE"""),"")</f>
        <v/>
      </c>
      <c r="X2681" s="16" t="str">
        <f>IFERROR(__xludf.DUMMYFUNCTION("""COMPUTED_VALUE"""),"")</f>
        <v/>
      </c>
      <c r="AC2681" s="16" t="str">
        <f>IFERROR(__xludf.DUMMYFUNCTION("""COMPUTED_VALUE"""),"")</f>
        <v/>
      </c>
    </row>
    <row r="2682">
      <c r="A2682" s="16" t="s">
        <v>87</v>
      </c>
      <c r="E2682" s="16" t="str">
        <f>IFERROR(__xludf.DUMMYFUNCTION("""COMPUTED_VALUE"""),"")</f>
        <v/>
      </c>
      <c r="G2682" s="18"/>
      <c r="H2682" s="16" t="s">
        <v>87</v>
      </c>
      <c r="I2682" s="16" t="s">
        <v>87</v>
      </c>
      <c r="J2682" s="19"/>
      <c r="L2682" s="16" t="str">
        <f>IFERROR(__xludf.DUMMYFUNCTION("""COMPUTED_VALUE"""),"")</f>
        <v/>
      </c>
      <c r="M2682" s="16" t="str">
        <f>IFERROR(__xludf.DUMMYFUNCTION("""COMPUTED_VALUE"""),"")</f>
        <v/>
      </c>
      <c r="U2682" s="16" t="s">
        <v>87</v>
      </c>
      <c r="V2682" s="16" t="str">
        <f>IFERROR(__xludf.DUMMYFUNCTION("""COMPUTED_VALUE"""),"")</f>
        <v/>
      </c>
      <c r="W2682" s="16" t="str">
        <f>IFERROR(__xludf.DUMMYFUNCTION("""COMPUTED_VALUE"""),"")</f>
        <v/>
      </c>
      <c r="X2682" s="16" t="str">
        <f>IFERROR(__xludf.DUMMYFUNCTION("""COMPUTED_VALUE"""),"")</f>
        <v/>
      </c>
      <c r="AC2682" s="16" t="str">
        <f>IFERROR(__xludf.DUMMYFUNCTION("""COMPUTED_VALUE"""),"")</f>
        <v/>
      </c>
    </row>
    <row r="2683">
      <c r="A2683" s="16" t="s">
        <v>87</v>
      </c>
      <c r="E2683" s="16" t="str">
        <f>IFERROR(__xludf.DUMMYFUNCTION("""COMPUTED_VALUE"""),"")</f>
        <v/>
      </c>
      <c r="G2683" s="18"/>
      <c r="H2683" s="16" t="s">
        <v>87</v>
      </c>
      <c r="I2683" s="16" t="s">
        <v>87</v>
      </c>
      <c r="J2683" s="19"/>
      <c r="L2683" s="16" t="str">
        <f>IFERROR(__xludf.DUMMYFUNCTION("""COMPUTED_VALUE"""),"")</f>
        <v/>
      </c>
      <c r="M2683" s="16" t="str">
        <f>IFERROR(__xludf.DUMMYFUNCTION("""COMPUTED_VALUE"""),"")</f>
        <v/>
      </c>
      <c r="U2683" s="16" t="s">
        <v>87</v>
      </c>
      <c r="V2683" s="16" t="str">
        <f>IFERROR(__xludf.DUMMYFUNCTION("""COMPUTED_VALUE"""),"")</f>
        <v/>
      </c>
      <c r="W2683" s="16" t="str">
        <f>IFERROR(__xludf.DUMMYFUNCTION("""COMPUTED_VALUE"""),"")</f>
        <v/>
      </c>
      <c r="X2683" s="16" t="str">
        <f>IFERROR(__xludf.DUMMYFUNCTION("""COMPUTED_VALUE"""),"")</f>
        <v/>
      </c>
      <c r="AC2683" s="16" t="str">
        <f>IFERROR(__xludf.DUMMYFUNCTION("""COMPUTED_VALUE"""),"")</f>
        <v/>
      </c>
    </row>
    <row r="2684">
      <c r="A2684" s="16" t="s">
        <v>87</v>
      </c>
      <c r="E2684" s="16" t="str">
        <f>IFERROR(__xludf.DUMMYFUNCTION("""COMPUTED_VALUE"""),"")</f>
        <v/>
      </c>
      <c r="G2684" s="18"/>
      <c r="H2684" s="16" t="s">
        <v>87</v>
      </c>
      <c r="I2684" s="16" t="s">
        <v>87</v>
      </c>
      <c r="J2684" s="19"/>
      <c r="L2684" s="16" t="str">
        <f>IFERROR(__xludf.DUMMYFUNCTION("""COMPUTED_VALUE"""),"")</f>
        <v/>
      </c>
      <c r="M2684" s="16" t="str">
        <f>IFERROR(__xludf.DUMMYFUNCTION("""COMPUTED_VALUE"""),"")</f>
        <v/>
      </c>
      <c r="U2684" s="16" t="s">
        <v>87</v>
      </c>
      <c r="V2684" s="16" t="str">
        <f>IFERROR(__xludf.DUMMYFUNCTION("""COMPUTED_VALUE"""),"")</f>
        <v/>
      </c>
      <c r="W2684" s="16" t="str">
        <f>IFERROR(__xludf.DUMMYFUNCTION("""COMPUTED_VALUE"""),"")</f>
        <v/>
      </c>
      <c r="X2684" s="16" t="str">
        <f>IFERROR(__xludf.DUMMYFUNCTION("""COMPUTED_VALUE"""),"")</f>
        <v/>
      </c>
      <c r="AC2684" s="16" t="str">
        <f>IFERROR(__xludf.DUMMYFUNCTION("""COMPUTED_VALUE"""),"")</f>
        <v/>
      </c>
    </row>
    <row r="2685">
      <c r="A2685" s="16" t="s">
        <v>87</v>
      </c>
      <c r="E2685" s="16" t="str">
        <f>IFERROR(__xludf.DUMMYFUNCTION("""COMPUTED_VALUE"""),"")</f>
        <v/>
      </c>
      <c r="G2685" s="18"/>
      <c r="H2685" s="16" t="s">
        <v>87</v>
      </c>
      <c r="I2685" s="16" t="s">
        <v>87</v>
      </c>
      <c r="J2685" s="19"/>
      <c r="L2685" s="16" t="str">
        <f>IFERROR(__xludf.DUMMYFUNCTION("""COMPUTED_VALUE"""),"")</f>
        <v/>
      </c>
      <c r="M2685" s="16" t="str">
        <f>IFERROR(__xludf.DUMMYFUNCTION("""COMPUTED_VALUE"""),"")</f>
        <v/>
      </c>
      <c r="U2685" s="16" t="s">
        <v>87</v>
      </c>
      <c r="V2685" s="16" t="str">
        <f>IFERROR(__xludf.DUMMYFUNCTION("""COMPUTED_VALUE"""),"")</f>
        <v/>
      </c>
      <c r="W2685" s="16" t="str">
        <f>IFERROR(__xludf.DUMMYFUNCTION("""COMPUTED_VALUE"""),"")</f>
        <v/>
      </c>
      <c r="X2685" s="16" t="str">
        <f>IFERROR(__xludf.DUMMYFUNCTION("""COMPUTED_VALUE"""),"")</f>
        <v/>
      </c>
      <c r="AC2685" s="16" t="str">
        <f>IFERROR(__xludf.DUMMYFUNCTION("""COMPUTED_VALUE"""),"")</f>
        <v/>
      </c>
    </row>
    <row r="2686">
      <c r="A2686" s="16" t="s">
        <v>87</v>
      </c>
      <c r="E2686" s="16" t="str">
        <f>IFERROR(__xludf.DUMMYFUNCTION("""COMPUTED_VALUE"""),"")</f>
        <v/>
      </c>
      <c r="G2686" s="18"/>
      <c r="H2686" s="16" t="s">
        <v>87</v>
      </c>
      <c r="I2686" s="16" t="s">
        <v>87</v>
      </c>
      <c r="J2686" s="19"/>
      <c r="L2686" s="16" t="str">
        <f>IFERROR(__xludf.DUMMYFUNCTION("""COMPUTED_VALUE"""),"")</f>
        <v/>
      </c>
      <c r="M2686" s="16" t="str">
        <f>IFERROR(__xludf.DUMMYFUNCTION("""COMPUTED_VALUE"""),"")</f>
        <v/>
      </c>
      <c r="U2686" s="16" t="s">
        <v>87</v>
      </c>
      <c r="V2686" s="16" t="str">
        <f>IFERROR(__xludf.DUMMYFUNCTION("""COMPUTED_VALUE"""),"")</f>
        <v/>
      </c>
      <c r="W2686" s="16" t="str">
        <f>IFERROR(__xludf.DUMMYFUNCTION("""COMPUTED_VALUE"""),"")</f>
        <v/>
      </c>
      <c r="X2686" s="16" t="str">
        <f>IFERROR(__xludf.DUMMYFUNCTION("""COMPUTED_VALUE"""),"")</f>
        <v/>
      </c>
      <c r="AC2686" s="16" t="str">
        <f>IFERROR(__xludf.DUMMYFUNCTION("""COMPUTED_VALUE"""),"")</f>
        <v/>
      </c>
    </row>
    <row r="2687">
      <c r="A2687" s="16" t="s">
        <v>87</v>
      </c>
      <c r="E2687" s="16" t="str">
        <f>IFERROR(__xludf.DUMMYFUNCTION("""COMPUTED_VALUE"""),"")</f>
        <v/>
      </c>
      <c r="G2687" s="18"/>
      <c r="H2687" s="16" t="s">
        <v>87</v>
      </c>
      <c r="I2687" s="16" t="s">
        <v>87</v>
      </c>
      <c r="J2687" s="19"/>
      <c r="L2687" s="16" t="str">
        <f>IFERROR(__xludf.DUMMYFUNCTION("""COMPUTED_VALUE"""),"")</f>
        <v/>
      </c>
      <c r="M2687" s="16" t="str">
        <f>IFERROR(__xludf.DUMMYFUNCTION("""COMPUTED_VALUE"""),"")</f>
        <v/>
      </c>
      <c r="U2687" s="16" t="s">
        <v>87</v>
      </c>
      <c r="V2687" s="16" t="str">
        <f>IFERROR(__xludf.DUMMYFUNCTION("""COMPUTED_VALUE"""),"")</f>
        <v/>
      </c>
      <c r="W2687" s="16" t="str">
        <f>IFERROR(__xludf.DUMMYFUNCTION("""COMPUTED_VALUE"""),"")</f>
        <v/>
      </c>
      <c r="X2687" s="16" t="str">
        <f>IFERROR(__xludf.DUMMYFUNCTION("""COMPUTED_VALUE"""),"")</f>
        <v/>
      </c>
      <c r="AC2687" s="16" t="str">
        <f>IFERROR(__xludf.DUMMYFUNCTION("""COMPUTED_VALUE"""),"")</f>
        <v/>
      </c>
    </row>
    <row r="2688">
      <c r="A2688" s="16" t="s">
        <v>87</v>
      </c>
      <c r="E2688" s="16" t="str">
        <f>IFERROR(__xludf.DUMMYFUNCTION("""COMPUTED_VALUE"""),"")</f>
        <v/>
      </c>
      <c r="G2688" s="18"/>
      <c r="H2688" s="16" t="s">
        <v>87</v>
      </c>
      <c r="I2688" s="16" t="s">
        <v>87</v>
      </c>
      <c r="J2688" s="19"/>
      <c r="L2688" s="16" t="str">
        <f>IFERROR(__xludf.DUMMYFUNCTION("""COMPUTED_VALUE"""),"")</f>
        <v/>
      </c>
      <c r="M2688" s="16" t="str">
        <f>IFERROR(__xludf.DUMMYFUNCTION("""COMPUTED_VALUE"""),"")</f>
        <v/>
      </c>
      <c r="U2688" s="16" t="s">
        <v>87</v>
      </c>
      <c r="V2688" s="16" t="str">
        <f>IFERROR(__xludf.DUMMYFUNCTION("""COMPUTED_VALUE"""),"")</f>
        <v/>
      </c>
      <c r="W2688" s="16" t="str">
        <f>IFERROR(__xludf.DUMMYFUNCTION("""COMPUTED_VALUE"""),"")</f>
        <v/>
      </c>
      <c r="X2688" s="16" t="str">
        <f>IFERROR(__xludf.DUMMYFUNCTION("""COMPUTED_VALUE"""),"")</f>
        <v/>
      </c>
      <c r="AC2688" s="16" t="str">
        <f>IFERROR(__xludf.DUMMYFUNCTION("""COMPUTED_VALUE"""),"")</f>
        <v/>
      </c>
    </row>
    <row r="2689">
      <c r="A2689" s="16" t="s">
        <v>87</v>
      </c>
      <c r="E2689" s="16" t="str">
        <f>IFERROR(__xludf.DUMMYFUNCTION("""COMPUTED_VALUE"""),"")</f>
        <v/>
      </c>
      <c r="G2689" s="18"/>
      <c r="H2689" s="16" t="s">
        <v>87</v>
      </c>
      <c r="I2689" s="16" t="s">
        <v>87</v>
      </c>
      <c r="J2689" s="19"/>
      <c r="L2689" s="16" t="str">
        <f>IFERROR(__xludf.DUMMYFUNCTION("""COMPUTED_VALUE"""),"")</f>
        <v/>
      </c>
      <c r="M2689" s="16" t="str">
        <f>IFERROR(__xludf.DUMMYFUNCTION("""COMPUTED_VALUE"""),"")</f>
        <v/>
      </c>
      <c r="U2689" s="16" t="s">
        <v>87</v>
      </c>
      <c r="V2689" s="16" t="str">
        <f>IFERROR(__xludf.DUMMYFUNCTION("""COMPUTED_VALUE"""),"")</f>
        <v/>
      </c>
      <c r="W2689" s="16" t="str">
        <f>IFERROR(__xludf.DUMMYFUNCTION("""COMPUTED_VALUE"""),"")</f>
        <v/>
      </c>
      <c r="X2689" s="16" t="str">
        <f>IFERROR(__xludf.DUMMYFUNCTION("""COMPUTED_VALUE"""),"")</f>
        <v/>
      </c>
      <c r="AC2689" s="16" t="str">
        <f>IFERROR(__xludf.DUMMYFUNCTION("""COMPUTED_VALUE"""),"")</f>
        <v/>
      </c>
    </row>
    <row r="2690">
      <c r="A2690" s="16" t="s">
        <v>87</v>
      </c>
      <c r="E2690" s="16" t="str">
        <f>IFERROR(__xludf.DUMMYFUNCTION("""COMPUTED_VALUE"""),"")</f>
        <v/>
      </c>
      <c r="G2690" s="18"/>
      <c r="H2690" s="16" t="s">
        <v>87</v>
      </c>
      <c r="I2690" s="16" t="s">
        <v>87</v>
      </c>
      <c r="J2690" s="19"/>
      <c r="L2690" s="16" t="str">
        <f>IFERROR(__xludf.DUMMYFUNCTION("""COMPUTED_VALUE"""),"")</f>
        <v/>
      </c>
      <c r="M2690" s="16" t="str">
        <f>IFERROR(__xludf.DUMMYFUNCTION("""COMPUTED_VALUE"""),"")</f>
        <v/>
      </c>
      <c r="U2690" s="16" t="s">
        <v>87</v>
      </c>
      <c r="V2690" s="16" t="str">
        <f>IFERROR(__xludf.DUMMYFUNCTION("""COMPUTED_VALUE"""),"")</f>
        <v/>
      </c>
      <c r="W2690" s="16" t="str">
        <f>IFERROR(__xludf.DUMMYFUNCTION("""COMPUTED_VALUE"""),"")</f>
        <v/>
      </c>
      <c r="X2690" s="16" t="str">
        <f>IFERROR(__xludf.DUMMYFUNCTION("""COMPUTED_VALUE"""),"")</f>
        <v/>
      </c>
      <c r="AC2690" s="16" t="str">
        <f>IFERROR(__xludf.DUMMYFUNCTION("""COMPUTED_VALUE"""),"")</f>
        <v/>
      </c>
    </row>
    <row r="2691">
      <c r="A2691" s="16" t="s">
        <v>87</v>
      </c>
      <c r="E2691" s="16" t="str">
        <f>IFERROR(__xludf.DUMMYFUNCTION("""COMPUTED_VALUE"""),"")</f>
        <v/>
      </c>
      <c r="G2691" s="18"/>
      <c r="H2691" s="16" t="s">
        <v>87</v>
      </c>
      <c r="I2691" s="16" t="s">
        <v>87</v>
      </c>
      <c r="J2691" s="19"/>
      <c r="L2691" s="16" t="str">
        <f>IFERROR(__xludf.DUMMYFUNCTION("""COMPUTED_VALUE"""),"")</f>
        <v/>
      </c>
      <c r="M2691" s="16" t="str">
        <f>IFERROR(__xludf.DUMMYFUNCTION("""COMPUTED_VALUE"""),"")</f>
        <v/>
      </c>
      <c r="U2691" s="16" t="s">
        <v>87</v>
      </c>
      <c r="V2691" s="16" t="str">
        <f>IFERROR(__xludf.DUMMYFUNCTION("""COMPUTED_VALUE"""),"")</f>
        <v/>
      </c>
      <c r="W2691" s="16" t="str">
        <f>IFERROR(__xludf.DUMMYFUNCTION("""COMPUTED_VALUE"""),"")</f>
        <v/>
      </c>
      <c r="X2691" s="16" t="str">
        <f>IFERROR(__xludf.DUMMYFUNCTION("""COMPUTED_VALUE"""),"")</f>
        <v/>
      </c>
      <c r="AC2691" s="16" t="str">
        <f>IFERROR(__xludf.DUMMYFUNCTION("""COMPUTED_VALUE"""),"")</f>
        <v/>
      </c>
    </row>
    <row r="2692">
      <c r="A2692" s="16" t="s">
        <v>87</v>
      </c>
      <c r="E2692" s="16" t="str">
        <f>IFERROR(__xludf.DUMMYFUNCTION("""COMPUTED_VALUE"""),"")</f>
        <v/>
      </c>
      <c r="G2692" s="18"/>
      <c r="H2692" s="16" t="s">
        <v>87</v>
      </c>
      <c r="I2692" s="16" t="s">
        <v>87</v>
      </c>
      <c r="J2692" s="19"/>
      <c r="L2692" s="16" t="str">
        <f>IFERROR(__xludf.DUMMYFUNCTION("""COMPUTED_VALUE"""),"")</f>
        <v/>
      </c>
      <c r="M2692" s="16" t="str">
        <f>IFERROR(__xludf.DUMMYFUNCTION("""COMPUTED_VALUE"""),"")</f>
        <v/>
      </c>
      <c r="U2692" s="16" t="s">
        <v>87</v>
      </c>
      <c r="V2692" s="16" t="str">
        <f>IFERROR(__xludf.DUMMYFUNCTION("""COMPUTED_VALUE"""),"")</f>
        <v/>
      </c>
      <c r="W2692" s="16" t="str">
        <f>IFERROR(__xludf.DUMMYFUNCTION("""COMPUTED_VALUE"""),"")</f>
        <v/>
      </c>
      <c r="X2692" s="16" t="str">
        <f>IFERROR(__xludf.DUMMYFUNCTION("""COMPUTED_VALUE"""),"")</f>
        <v/>
      </c>
      <c r="AC2692" s="16" t="str">
        <f>IFERROR(__xludf.DUMMYFUNCTION("""COMPUTED_VALUE"""),"")</f>
        <v/>
      </c>
    </row>
    <row r="2693">
      <c r="A2693" s="16" t="s">
        <v>87</v>
      </c>
      <c r="E2693" s="16" t="str">
        <f>IFERROR(__xludf.DUMMYFUNCTION("""COMPUTED_VALUE"""),"")</f>
        <v/>
      </c>
      <c r="G2693" s="18"/>
      <c r="H2693" s="16" t="s">
        <v>87</v>
      </c>
      <c r="I2693" s="16" t="s">
        <v>87</v>
      </c>
      <c r="J2693" s="19"/>
      <c r="L2693" s="16" t="str">
        <f>IFERROR(__xludf.DUMMYFUNCTION("""COMPUTED_VALUE"""),"")</f>
        <v/>
      </c>
      <c r="M2693" s="16" t="str">
        <f>IFERROR(__xludf.DUMMYFUNCTION("""COMPUTED_VALUE"""),"")</f>
        <v/>
      </c>
      <c r="U2693" s="16" t="s">
        <v>87</v>
      </c>
      <c r="V2693" s="16" t="str">
        <f>IFERROR(__xludf.DUMMYFUNCTION("""COMPUTED_VALUE"""),"")</f>
        <v/>
      </c>
      <c r="W2693" s="16" t="str">
        <f>IFERROR(__xludf.DUMMYFUNCTION("""COMPUTED_VALUE"""),"")</f>
        <v/>
      </c>
      <c r="X2693" s="16" t="str">
        <f>IFERROR(__xludf.DUMMYFUNCTION("""COMPUTED_VALUE"""),"")</f>
        <v/>
      </c>
      <c r="AC2693" s="16" t="str">
        <f>IFERROR(__xludf.DUMMYFUNCTION("""COMPUTED_VALUE"""),"")</f>
        <v/>
      </c>
    </row>
    <row r="2694">
      <c r="A2694" s="16" t="s">
        <v>87</v>
      </c>
      <c r="E2694" s="16" t="str">
        <f>IFERROR(__xludf.DUMMYFUNCTION("""COMPUTED_VALUE"""),"")</f>
        <v/>
      </c>
      <c r="G2694" s="18"/>
      <c r="H2694" s="16" t="s">
        <v>87</v>
      </c>
      <c r="I2694" s="16" t="s">
        <v>87</v>
      </c>
      <c r="J2694" s="19"/>
      <c r="L2694" s="16" t="str">
        <f>IFERROR(__xludf.DUMMYFUNCTION("""COMPUTED_VALUE"""),"")</f>
        <v/>
      </c>
      <c r="M2694" s="16" t="str">
        <f>IFERROR(__xludf.DUMMYFUNCTION("""COMPUTED_VALUE"""),"")</f>
        <v/>
      </c>
      <c r="U2694" s="16" t="s">
        <v>87</v>
      </c>
      <c r="V2694" s="16" t="str">
        <f>IFERROR(__xludf.DUMMYFUNCTION("""COMPUTED_VALUE"""),"")</f>
        <v/>
      </c>
      <c r="W2694" s="16" t="str">
        <f>IFERROR(__xludf.DUMMYFUNCTION("""COMPUTED_VALUE"""),"")</f>
        <v/>
      </c>
      <c r="X2694" s="16" t="str">
        <f>IFERROR(__xludf.DUMMYFUNCTION("""COMPUTED_VALUE"""),"")</f>
        <v/>
      </c>
      <c r="AC2694" s="16" t="str">
        <f>IFERROR(__xludf.DUMMYFUNCTION("""COMPUTED_VALUE"""),"")</f>
        <v/>
      </c>
    </row>
    <row r="2695">
      <c r="A2695" s="16" t="s">
        <v>87</v>
      </c>
      <c r="E2695" s="16" t="str">
        <f>IFERROR(__xludf.DUMMYFUNCTION("""COMPUTED_VALUE"""),"")</f>
        <v/>
      </c>
      <c r="G2695" s="18"/>
      <c r="H2695" s="16" t="s">
        <v>87</v>
      </c>
      <c r="I2695" s="16" t="s">
        <v>87</v>
      </c>
      <c r="J2695" s="19"/>
      <c r="L2695" s="16" t="str">
        <f>IFERROR(__xludf.DUMMYFUNCTION("""COMPUTED_VALUE"""),"")</f>
        <v/>
      </c>
      <c r="M2695" s="16" t="str">
        <f>IFERROR(__xludf.DUMMYFUNCTION("""COMPUTED_VALUE"""),"")</f>
        <v/>
      </c>
      <c r="U2695" s="16" t="s">
        <v>87</v>
      </c>
      <c r="V2695" s="16" t="str">
        <f>IFERROR(__xludf.DUMMYFUNCTION("""COMPUTED_VALUE"""),"")</f>
        <v/>
      </c>
      <c r="W2695" s="16" t="str">
        <f>IFERROR(__xludf.DUMMYFUNCTION("""COMPUTED_VALUE"""),"")</f>
        <v/>
      </c>
      <c r="X2695" s="16" t="str">
        <f>IFERROR(__xludf.DUMMYFUNCTION("""COMPUTED_VALUE"""),"")</f>
        <v/>
      </c>
      <c r="AC2695" s="16" t="str">
        <f>IFERROR(__xludf.DUMMYFUNCTION("""COMPUTED_VALUE"""),"")</f>
        <v/>
      </c>
    </row>
    <row r="2696">
      <c r="A2696" s="16" t="s">
        <v>87</v>
      </c>
      <c r="E2696" s="16" t="str">
        <f>IFERROR(__xludf.DUMMYFUNCTION("""COMPUTED_VALUE"""),"")</f>
        <v/>
      </c>
      <c r="G2696" s="18"/>
      <c r="H2696" s="16" t="s">
        <v>87</v>
      </c>
      <c r="I2696" s="16" t="s">
        <v>87</v>
      </c>
      <c r="J2696" s="19"/>
      <c r="L2696" s="16" t="str">
        <f>IFERROR(__xludf.DUMMYFUNCTION("""COMPUTED_VALUE"""),"")</f>
        <v/>
      </c>
      <c r="M2696" s="16" t="str">
        <f>IFERROR(__xludf.DUMMYFUNCTION("""COMPUTED_VALUE"""),"")</f>
        <v/>
      </c>
      <c r="U2696" s="16" t="s">
        <v>87</v>
      </c>
      <c r="V2696" s="16" t="str">
        <f>IFERROR(__xludf.DUMMYFUNCTION("""COMPUTED_VALUE"""),"")</f>
        <v/>
      </c>
      <c r="W2696" s="16" t="str">
        <f>IFERROR(__xludf.DUMMYFUNCTION("""COMPUTED_VALUE"""),"")</f>
        <v/>
      </c>
      <c r="X2696" s="16" t="str">
        <f>IFERROR(__xludf.DUMMYFUNCTION("""COMPUTED_VALUE"""),"")</f>
        <v/>
      </c>
      <c r="AC2696" s="16" t="str">
        <f>IFERROR(__xludf.DUMMYFUNCTION("""COMPUTED_VALUE"""),"")</f>
        <v/>
      </c>
    </row>
    <row r="2697">
      <c r="A2697" s="16" t="s">
        <v>87</v>
      </c>
      <c r="E2697" s="16" t="str">
        <f>IFERROR(__xludf.DUMMYFUNCTION("""COMPUTED_VALUE"""),"")</f>
        <v/>
      </c>
      <c r="G2697" s="18"/>
      <c r="H2697" s="16" t="s">
        <v>87</v>
      </c>
      <c r="I2697" s="16" t="s">
        <v>87</v>
      </c>
      <c r="J2697" s="19"/>
      <c r="L2697" s="16" t="str">
        <f>IFERROR(__xludf.DUMMYFUNCTION("""COMPUTED_VALUE"""),"")</f>
        <v/>
      </c>
      <c r="M2697" s="16" t="str">
        <f>IFERROR(__xludf.DUMMYFUNCTION("""COMPUTED_VALUE"""),"")</f>
        <v/>
      </c>
      <c r="U2697" s="16" t="s">
        <v>87</v>
      </c>
      <c r="V2697" s="16" t="str">
        <f>IFERROR(__xludf.DUMMYFUNCTION("""COMPUTED_VALUE"""),"")</f>
        <v/>
      </c>
      <c r="W2697" s="16" t="str">
        <f>IFERROR(__xludf.DUMMYFUNCTION("""COMPUTED_VALUE"""),"")</f>
        <v/>
      </c>
      <c r="X2697" s="16" t="str">
        <f>IFERROR(__xludf.DUMMYFUNCTION("""COMPUTED_VALUE"""),"")</f>
        <v/>
      </c>
      <c r="AC2697" s="16" t="str">
        <f>IFERROR(__xludf.DUMMYFUNCTION("""COMPUTED_VALUE"""),"")</f>
        <v/>
      </c>
    </row>
    <row r="2698">
      <c r="A2698" s="16" t="s">
        <v>87</v>
      </c>
      <c r="E2698" s="16" t="str">
        <f>IFERROR(__xludf.DUMMYFUNCTION("""COMPUTED_VALUE"""),"")</f>
        <v/>
      </c>
      <c r="G2698" s="18"/>
      <c r="H2698" s="16" t="s">
        <v>87</v>
      </c>
      <c r="I2698" s="16" t="s">
        <v>87</v>
      </c>
      <c r="J2698" s="19"/>
      <c r="L2698" s="16" t="str">
        <f>IFERROR(__xludf.DUMMYFUNCTION("""COMPUTED_VALUE"""),"")</f>
        <v/>
      </c>
      <c r="M2698" s="16" t="str">
        <f>IFERROR(__xludf.DUMMYFUNCTION("""COMPUTED_VALUE"""),"")</f>
        <v/>
      </c>
      <c r="U2698" s="16" t="s">
        <v>87</v>
      </c>
      <c r="V2698" s="16" t="str">
        <f>IFERROR(__xludf.DUMMYFUNCTION("""COMPUTED_VALUE"""),"")</f>
        <v/>
      </c>
      <c r="W2698" s="16" t="str">
        <f>IFERROR(__xludf.DUMMYFUNCTION("""COMPUTED_VALUE"""),"")</f>
        <v/>
      </c>
      <c r="X2698" s="16" t="str">
        <f>IFERROR(__xludf.DUMMYFUNCTION("""COMPUTED_VALUE"""),"")</f>
        <v/>
      </c>
      <c r="AC2698" s="16" t="str">
        <f>IFERROR(__xludf.DUMMYFUNCTION("""COMPUTED_VALUE"""),"")</f>
        <v/>
      </c>
    </row>
    <row r="2699">
      <c r="A2699" s="16" t="s">
        <v>87</v>
      </c>
      <c r="E2699" s="16" t="str">
        <f>IFERROR(__xludf.DUMMYFUNCTION("""COMPUTED_VALUE"""),"")</f>
        <v/>
      </c>
      <c r="G2699" s="18"/>
      <c r="H2699" s="16" t="s">
        <v>87</v>
      </c>
      <c r="I2699" s="16" t="s">
        <v>87</v>
      </c>
      <c r="J2699" s="19"/>
      <c r="L2699" s="16" t="str">
        <f>IFERROR(__xludf.DUMMYFUNCTION("""COMPUTED_VALUE"""),"")</f>
        <v/>
      </c>
      <c r="M2699" s="16" t="str">
        <f>IFERROR(__xludf.DUMMYFUNCTION("""COMPUTED_VALUE"""),"")</f>
        <v/>
      </c>
      <c r="U2699" s="16" t="s">
        <v>87</v>
      </c>
      <c r="V2699" s="16" t="str">
        <f>IFERROR(__xludf.DUMMYFUNCTION("""COMPUTED_VALUE"""),"")</f>
        <v/>
      </c>
      <c r="W2699" s="16" t="str">
        <f>IFERROR(__xludf.DUMMYFUNCTION("""COMPUTED_VALUE"""),"")</f>
        <v/>
      </c>
      <c r="X2699" s="16" t="str">
        <f>IFERROR(__xludf.DUMMYFUNCTION("""COMPUTED_VALUE"""),"")</f>
        <v/>
      </c>
      <c r="AC2699" s="16" t="str">
        <f>IFERROR(__xludf.DUMMYFUNCTION("""COMPUTED_VALUE"""),"")</f>
        <v/>
      </c>
    </row>
    <row r="2700">
      <c r="A2700" s="16" t="s">
        <v>87</v>
      </c>
      <c r="E2700" s="16" t="str">
        <f>IFERROR(__xludf.DUMMYFUNCTION("""COMPUTED_VALUE"""),"")</f>
        <v/>
      </c>
      <c r="G2700" s="18"/>
      <c r="H2700" s="16" t="s">
        <v>87</v>
      </c>
      <c r="I2700" s="16" t="s">
        <v>87</v>
      </c>
      <c r="J2700" s="19"/>
      <c r="L2700" s="16" t="str">
        <f>IFERROR(__xludf.DUMMYFUNCTION("""COMPUTED_VALUE"""),"")</f>
        <v/>
      </c>
      <c r="M2700" s="16" t="str">
        <f>IFERROR(__xludf.DUMMYFUNCTION("""COMPUTED_VALUE"""),"")</f>
        <v/>
      </c>
      <c r="U2700" s="16" t="s">
        <v>87</v>
      </c>
      <c r="V2700" s="16" t="str">
        <f>IFERROR(__xludf.DUMMYFUNCTION("""COMPUTED_VALUE"""),"")</f>
        <v/>
      </c>
      <c r="W2700" s="16" t="str">
        <f>IFERROR(__xludf.DUMMYFUNCTION("""COMPUTED_VALUE"""),"")</f>
        <v/>
      </c>
      <c r="X2700" s="16" t="str">
        <f>IFERROR(__xludf.DUMMYFUNCTION("""COMPUTED_VALUE"""),"")</f>
        <v/>
      </c>
      <c r="AC2700" s="16" t="str">
        <f>IFERROR(__xludf.DUMMYFUNCTION("""COMPUTED_VALUE"""),"")</f>
        <v/>
      </c>
    </row>
    <row r="2701">
      <c r="A2701" s="16" t="s">
        <v>87</v>
      </c>
      <c r="E2701" s="16" t="str">
        <f>IFERROR(__xludf.DUMMYFUNCTION("""COMPUTED_VALUE"""),"")</f>
        <v/>
      </c>
      <c r="G2701" s="18"/>
      <c r="H2701" s="16" t="s">
        <v>87</v>
      </c>
      <c r="I2701" s="16" t="s">
        <v>87</v>
      </c>
      <c r="J2701" s="19"/>
      <c r="L2701" s="16" t="str">
        <f>IFERROR(__xludf.DUMMYFUNCTION("""COMPUTED_VALUE"""),"")</f>
        <v/>
      </c>
      <c r="M2701" s="16" t="str">
        <f>IFERROR(__xludf.DUMMYFUNCTION("""COMPUTED_VALUE"""),"")</f>
        <v/>
      </c>
      <c r="U2701" s="16" t="s">
        <v>87</v>
      </c>
      <c r="V2701" s="16" t="str">
        <f>IFERROR(__xludf.DUMMYFUNCTION("""COMPUTED_VALUE"""),"")</f>
        <v/>
      </c>
      <c r="W2701" s="16" t="str">
        <f>IFERROR(__xludf.DUMMYFUNCTION("""COMPUTED_VALUE"""),"")</f>
        <v/>
      </c>
      <c r="X2701" s="16" t="str">
        <f>IFERROR(__xludf.DUMMYFUNCTION("""COMPUTED_VALUE"""),"")</f>
        <v/>
      </c>
      <c r="AC2701" s="16" t="str">
        <f>IFERROR(__xludf.DUMMYFUNCTION("""COMPUTED_VALUE"""),"")</f>
        <v/>
      </c>
    </row>
    <row r="2702">
      <c r="A2702" s="16" t="s">
        <v>87</v>
      </c>
      <c r="E2702" s="16" t="str">
        <f>IFERROR(__xludf.DUMMYFUNCTION("""COMPUTED_VALUE"""),"")</f>
        <v/>
      </c>
      <c r="G2702" s="18"/>
      <c r="H2702" s="16" t="s">
        <v>87</v>
      </c>
      <c r="I2702" s="16" t="s">
        <v>87</v>
      </c>
      <c r="J2702" s="19"/>
      <c r="L2702" s="16" t="str">
        <f>IFERROR(__xludf.DUMMYFUNCTION("""COMPUTED_VALUE"""),"")</f>
        <v/>
      </c>
      <c r="M2702" s="16" t="str">
        <f>IFERROR(__xludf.DUMMYFUNCTION("""COMPUTED_VALUE"""),"")</f>
        <v/>
      </c>
      <c r="U2702" s="16" t="s">
        <v>87</v>
      </c>
      <c r="V2702" s="16" t="str">
        <f>IFERROR(__xludf.DUMMYFUNCTION("""COMPUTED_VALUE"""),"")</f>
        <v/>
      </c>
      <c r="W2702" s="16" t="str">
        <f>IFERROR(__xludf.DUMMYFUNCTION("""COMPUTED_VALUE"""),"")</f>
        <v/>
      </c>
      <c r="X2702" s="16" t="str">
        <f>IFERROR(__xludf.DUMMYFUNCTION("""COMPUTED_VALUE"""),"")</f>
        <v/>
      </c>
      <c r="AC2702" s="16" t="str">
        <f>IFERROR(__xludf.DUMMYFUNCTION("""COMPUTED_VALUE"""),"")</f>
        <v/>
      </c>
    </row>
    <row r="2703">
      <c r="A2703" s="16" t="s">
        <v>87</v>
      </c>
      <c r="E2703" s="16" t="str">
        <f>IFERROR(__xludf.DUMMYFUNCTION("""COMPUTED_VALUE"""),"")</f>
        <v/>
      </c>
      <c r="G2703" s="18"/>
      <c r="H2703" s="16" t="s">
        <v>87</v>
      </c>
      <c r="I2703" s="16" t="s">
        <v>87</v>
      </c>
      <c r="J2703" s="19"/>
      <c r="L2703" s="16" t="str">
        <f>IFERROR(__xludf.DUMMYFUNCTION("""COMPUTED_VALUE"""),"")</f>
        <v/>
      </c>
      <c r="M2703" s="16" t="str">
        <f>IFERROR(__xludf.DUMMYFUNCTION("""COMPUTED_VALUE"""),"")</f>
        <v/>
      </c>
      <c r="U2703" s="16" t="s">
        <v>87</v>
      </c>
      <c r="V2703" s="16" t="str">
        <f>IFERROR(__xludf.DUMMYFUNCTION("""COMPUTED_VALUE"""),"")</f>
        <v/>
      </c>
      <c r="W2703" s="16" t="str">
        <f>IFERROR(__xludf.DUMMYFUNCTION("""COMPUTED_VALUE"""),"")</f>
        <v/>
      </c>
      <c r="X2703" s="16" t="str">
        <f>IFERROR(__xludf.DUMMYFUNCTION("""COMPUTED_VALUE"""),"")</f>
        <v/>
      </c>
      <c r="AC2703" s="16" t="str">
        <f>IFERROR(__xludf.DUMMYFUNCTION("""COMPUTED_VALUE"""),"")</f>
        <v/>
      </c>
    </row>
    <row r="2704">
      <c r="A2704" s="16" t="s">
        <v>87</v>
      </c>
      <c r="E2704" s="16" t="str">
        <f>IFERROR(__xludf.DUMMYFUNCTION("""COMPUTED_VALUE"""),"")</f>
        <v/>
      </c>
      <c r="G2704" s="18"/>
      <c r="H2704" s="16" t="s">
        <v>87</v>
      </c>
      <c r="I2704" s="16" t="s">
        <v>87</v>
      </c>
      <c r="J2704" s="19"/>
      <c r="L2704" s="16" t="str">
        <f>IFERROR(__xludf.DUMMYFUNCTION("""COMPUTED_VALUE"""),"")</f>
        <v/>
      </c>
      <c r="M2704" s="16" t="str">
        <f>IFERROR(__xludf.DUMMYFUNCTION("""COMPUTED_VALUE"""),"")</f>
        <v/>
      </c>
      <c r="U2704" s="16" t="s">
        <v>87</v>
      </c>
      <c r="V2704" s="16" t="str">
        <f>IFERROR(__xludf.DUMMYFUNCTION("""COMPUTED_VALUE"""),"")</f>
        <v/>
      </c>
      <c r="W2704" s="16" t="str">
        <f>IFERROR(__xludf.DUMMYFUNCTION("""COMPUTED_VALUE"""),"")</f>
        <v/>
      </c>
      <c r="X2704" s="16" t="str">
        <f>IFERROR(__xludf.DUMMYFUNCTION("""COMPUTED_VALUE"""),"")</f>
        <v/>
      </c>
      <c r="AC2704" s="16" t="str">
        <f>IFERROR(__xludf.DUMMYFUNCTION("""COMPUTED_VALUE"""),"")</f>
        <v/>
      </c>
    </row>
    <row r="2705">
      <c r="A2705" s="16" t="s">
        <v>87</v>
      </c>
      <c r="E2705" s="16" t="str">
        <f>IFERROR(__xludf.DUMMYFUNCTION("""COMPUTED_VALUE"""),"")</f>
        <v/>
      </c>
      <c r="G2705" s="18"/>
      <c r="H2705" s="16" t="s">
        <v>87</v>
      </c>
      <c r="I2705" s="16" t="s">
        <v>87</v>
      </c>
      <c r="J2705" s="19"/>
      <c r="L2705" s="16" t="str">
        <f>IFERROR(__xludf.DUMMYFUNCTION("""COMPUTED_VALUE"""),"")</f>
        <v/>
      </c>
      <c r="M2705" s="16" t="str">
        <f>IFERROR(__xludf.DUMMYFUNCTION("""COMPUTED_VALUE"""),"")</f>
        <v/>
      </c>
      <c r="U2705" s="16" t="s">
        <v>87</v>
      </c>
      <c r="V2705" s="16" t="str">
        <f>IFERROR(__xludf.DUMMYFUNCTION("""COMPUTED_VALUE"""),"")</f>
        <v/>
      </c>
      <c r="W2705" s="16" t="str">
        <f>IFERROR(__xludf.DUMMYFUNCTION("""COMPUTED_VALUE"""),"")</f>
        <v/>
      </c>
      <c r="X2705" s="16" t="str">
        <f>IFERROR(__xludf.DUMMYFUNCTION("""COMPUTED_VALUE"""),"")</f>
        <v/>
      </c>
      <c r="AC2705" s="16" t="str">
        <f>IFERROR(__xludf.DUMMYFUNCTION("""COMPUTED_VALUE"""),"")</f>
        <v/>
      </c>
    </row>
    <row r="2706">
      <c r="A2706" s="16" t="s">
        <v>87</v>
      </c>
      <c r="E2706" s="16" t="str">
        <f>IFERROR(__xludf.DUMMYFUNCTION("""COMPUTED_VALUE"""),"")</f>
        <v/>
      </c>
      <c r="G2706" s="18"/>
      <c r="H2706" s="16" t="s">
        <v>87</v>
      </c>
      <c r="I2706" s="16" t="s">
        <v>87</v>
      </c>
      <c r="J2706" s="19"/>
      <c r="L2706" s="16" t="str">
        <f>IFERROR(__xludf.DUMMYFUNCTION("""COMPUTED_VALUE"""),"")</f>
        <v/>
      </c>
      <c r="M2706" s="16" t="str">
        <f>IFERROR(__xludf.DUMMYFUNCTION("""COMPUTED_VALUE"""),"")</f>
        <v/>
      </c>
      <c r="U2706" s="16" t="s">
        <v>87</v>
      </c>
      <c r="V2706" s="16" t="str">
        <f>IFERROR(__xludf.DUMMYFUNCTION("""COMPUTED_VALUE"""),"")</f>
        <v/>
      </c>
      <c r="W2706" s="16" t="str">
        <f>IFERROR(__xludf.DUMMYFUNCTION("""COMPUTED_VALUE"""),"")</f>
        <v/>
      </c>
      <c r="X2706" s="16" t="str">
        <f>IFERROR(__xludf.DUMMYFUNCTION("""COMPUTED_VALUE"""),"")</f>
        <v/>
      </c>
      <c r="AC2706" s="16" t="str">
        <f>IFERROR(__xludf.DUMMYFUNCTION("""COMPUTED_VALUE"""),"")</f>
        <v/>
      </c>
    </row>
    <row r="2707">
      <c r="A2707" s="16" t="s">
        <v>87</v>
      </c>
      <c r="E2707" s="16" t="str">
        <f>IFERROR(__xludf.DUMMYFUNCTION("""COMPUTED_VALUE"""),"")</f>
        <v/>
      </c>
      <c r="G2707" s="18"/>
      <c r="H2707" s="16" t="s">
        <v>87</v>
      </c>
      <c r="I2707" s="16" t="s">
        <v>87</v>
      </c>
      <c r="J2707" s="19"/>
      <c r="L2707" s="16" t="str">
        <f>IFERROR(__xludf.DUMMYFUNCTION("""COMPUTED_VALUE"""),"")</f>
        <v/>
      </c>
      <c r="M2707" s="16" t="str">
        <f>IFERROR(__xludf.DUMMYFUNCTION("""COMPUTED_VALUE"""),"")</f>
        <v/>
      </c>
      <c r="U2707" s="16" t="s">
        <v>87</v>
      </c>
      <c r="V2707" s="16" t="str">
        <f>IFERROR(__xludf.DUMMYFUNCTION("""COMPUTED_VALUE"""),"")</f>
        <v/>
      </c>
      <c r="W2707" s="16" t="str">
        <f>IFERROR(__xludf.DUMMYFUNCTION("""COMPUTED_VALUE"""),"")</f>
        <v/>
      </c>
      <c r="X2707" s="16" t="str">
        <f>IFERROR(__xludf.DUMMYFUNCTION("""COMPUTED_VALUE"""),"")</f>
        <v/>
      </c>
      <c r="AC2707" s="16" t="str">
        <f>IFERROR(__xludf.DUMMYFUNCTION("""COMPUTED_VALUE"""),"")</f>
        <v/>
      </c>
    </row>
    <row r="2708">
      <c r="A2708" s="16" t="s">
        <v>87</v>
      </c>
      <c r="E2708" s="16" t="str">
        <f>IFERROR(__xludf.DUMMYFUNCTION("""COMPUTED_VALUE"""),"")</f>
        <v/>
      </c>
      <c r="G2708" s="18"/>
      <c r="H2708" s="16" t="s">
        <v>87</v>
      </c>
      <c r="I2708" s="16" t="s">
        <v>87</v>
      </c>
      <c r="J2708" s="19"/>
      <c r="L2708" s="16" t="str">
        <f>IFERROR(__xludf.DUMMYFUNCTION("""COMPUTED_VALUE"""),"")</f>
        <v/>
      </c>
      <c r="M2708" s="16" t="str">
        <f>IFERROR(__xludf.DUMMYFUNCTION("""COMPUTED_VALUE"""),"")</f>
        <v/>
      </c>
      <c r="U2708" s="16" t="s">
        <v>87</v>
      </c>
      <c r="V2708" s="16" t="str">
        <f>IFERROR(__xludf.DUMMYFUNCTION("""COMPUTED_VALUE"""),"")</f>
        <v/>
      </c>
      <c r="W2708" s="16" t="str">
        <f>IFERROR(__xludf.DUMMYFUNCTION("""COMPUTED_VALUE"""),"")</f>
        <v/>
      </c>
      <c r="X2708" s="16" t="str">
        <f>IFERROR(__xludf.DUMMYFUNCTION("""COMPUTED_VALUE"""),"")</f>
        <v/>
      </c>
      <c r="AC2708" s="16" t="str">
        <f>IFERROR(__xludf.DUMMYFUNCTION("""COMPUTED_VALUE"""),"")</f>
        <v/>
      </c>
    </row>
    <row r="2709">
      <c r="A2709" s="16" t="s">
        <v>87</v>
      </c>
      <c r="E2709" s="16" t="str">
        <f>IFERROR(__xludf.DUMMYFUNCTION("""COMPUTED_VALUE"""),"")</f>
        <v/>
      </c>
      <c r="G2709" s="18"/>
      <c r="H2709" s="16" t="s">
        <v>87</v>
      </c>
      <c r="I2709" s="16" t="s">
        <v>87</v>
      </c>
      <c r="J2709" s="19"/>
      <c r="L2709" s="16" t="str">
        <f>IFERROR(__xludf.DUMMYFUNCTION("""COMPUTED_VALUE"""),"")</f>
        <v/>
      </c>
      <c r="M2709" s="16" t="str">
        <f>IFERROR(__xludf.DUMMYFUNCTION("""COMPUTED_VALUE"""),"")</f>
        <v/>
      </c>
      <c r="U2709" s="16" t="s">
        <v>87</v>
      </c>
      <c r="V2709" s="16" t="str">
        <f>IFERROR(__xludf.DUMMYFUNCTION("""COMPUTED_VALUE"""),"")</f>
        <v/>
      </c>
      <c r="W2709" s="16" t="str">
        <f>IFERROR(__xludf.DUMMYFUNCTION("""COMPUTED_VALUE"""),"")</f>
        <v/>
      </c>
      <c r="X2709" s="16" t="str">
        <f>IFERROR(__xludf.DUMMYFUNCTION("""COMPUTED_VALUE"""),"")</f>
        <v/>
      </c>
      <c r="AC2709" s="16" t="str">
        <f>IFERROR(__xludf.DUMMYFUNCTION("""COMPUTED_VALUE"""),"")</f>
        <v/>
      </c>
    </row>
    <row r="2710">
      <c r="A2710" s="16" t="s">
        <v>87</v>
      </c>
      <c r="E2710" s="16" t="str">
        <f>IFERROR(__xludf.DUMMYFUNCTION("""COMPUTED_VALUE"""),"")</f>
        <v/>
      </c>
      <c r="G2710" s="18"/>
      <c r="H2710" s="16" t="s">
        <v>87</v>
      </c>
      <c r="I2710" s="16" t="s">
        <v>87</v>
      </c>
      <c r="J2710" s="19"/>
      <c r="L2710" s="16" t="str">
        <f>IFERROR(__xludf.DUMMYFUNCTION("""COMPUTED_VALUE"""),"")</f>
        <v/>
      </c>
      <c r="M2710" s="16" t="str">
        <f>IFERROR(__xludf.DUMMYFUNCTION("""COMPUTED_VALUE"""),"")</f>
        <v/>
      </c>
      <c r="U2710" s="16" t="s">
        <v>87</v>
      </c>
      <c r="V2710" s="16" t="str">
        <f>IFERROR(__xludf.DUMMYFUNCTION("""COMPUTED_VALUE"""),"")</f>
        <v/>
      </c>
      <c r="W2710" s="16" t="str">
        <f>IFERROR(__xludf.DUMMYFUNCTION("""COMPUTED_VALUE"""),"")</f>
        <v/>
      </c>
      <c r="X2710" s="16" t="str">
        <f>IFERROR(__xludf.DUMMYFUNCTION("""COMPUTED_VALUE"""),"")</f>
        <v/>
      </c>
      <c r="AC2710" s="16" t="str">
        <f>IFERROR(__xludf.DUMMYFUNCTION("""COMPUTED_VALUE"""),"")</f>
        <v/>
      </c>
    </row>
    <row r="2711">
      <c r="A2711" s="16" t="s">
        <v>87</v>
      </c>
      <c r="E2711" s="16" t="str">
        <f>IFERROR(__xludf.DUMMYFUNCTION("""COMPUTED_VALUE"""),"")</f>
        <v/>
      </c>
      <c r="G2711" s="18"/>
      <c r="H2711" s="16" t="s">
        <v>87</v>
      </c>
      <c r="I2711" s="16" t="s">
        <v>87</v>
      </c>
      <c r="J2711" s="19"/>
      <c r="L2711" s="16" t="str">
        <f>IFERROR(__xludf.DUMMYFUNCTION("""COMPUTED_VALUE"""),"")</f>
        <v/>
      </c>
      <c r="M2711" s="16" t="str">
        <f>IFERROR(__xludf.DUMMYFUNCTION("""COMPUTED_VALUE"""),"")</f>
        <v/>
      </c>
      <c r="U2711" s="16" t="s">
        <v>87</v>
      </c>
      <c r="V2711" s="16" t="str">
        <f>IFERROR(__xludf.DUMMYFUNCTION("""COMPUTED_VALUE"""),"")</f>
        <v/>
      </c>
      <c r="W2711" s="16" t="str">
        <f>IFERROR(__xludf.DUMMYFUNCTION("""COMPUTED_VALUE"""),"")</f>
        <v/>
      </c>
      <c r="X2711" s="16" t="str">
        <f>IFERROR(__xludf.DUMMYFUNCTION("""COMPUTED_VALUE"""),"")</f>
        <v/>
      </c>
      <c r="AC2711" s="16" t="str">
        <f>IFERROR(__xludf.DUMMYFUNCTION("""COMPUTED_VALUE"""),"")</f>
        <v/>
      </c>
    </row>
    <row r="2712">
      <c r="A2712" s="16" t="s">
        <v>87</v>
      </c>
      <c r="E2712" s="16" t="str">
        <f>IFERROR(__xludf.DUMMYFUNCTION("""COMPUTED_VALUE"""),"")</f>
        <v/>
      </c>
      <c r="G2712" s="18"/>
      <c r="H2712" s="16" t="s">
        <v>87</v>
      </c>
      <c r="I2712" s="16" t="s">
        <v>87</v>
      </c>
      <c r="J2712" s="19"/>
      <c r="L2712" s="16" t="str">
        <f>IFERROR(__xludf.DUMMYFUNCTION("""COMPUTED_VALUE"""),"")</f>
        <v/>
      </c>
      <c r="M2712" s="16" t="str">
        <f>IFERROR(__xludf.DUMMYFUNCTION("""COMPUTED_VALUE"""),"")</f>
        <v/>
      </c>
      <c r="U2712" s="16" t="s">
        <v>87</v>
      </c>
      <c r="V2712" s="16" t="str">
        <f>IFERROR(__xludf.DUMMYFUNCTION("""COMPUTED_VALUE"""),"")</f>
        <v/>
      </c>
      <c r="W2712" s="16" t="str">
        <f>IFERROR(__xludf.DUMMYFUNCTION("""COMPUTED_VALUE"""),"")</f>
        <v/>
      </c>
      <c r="X2712" s="16" t="str">
        <f>IFERROR(__xludf.DUMMYFUNCTION("""COMPUTED_VALUE"""),"")</f>
        <v/>
      </c>
      <c r="AC2712" s="16" t="str">
        <f>IFERROR(__xludf.DUMMYFUNCTION("""COMPUTED_VALUE"""),"")</f>
        <v/>
      </c>
    </row>
    <row r="2713">
      <c r="A2713" s="16" t="s">
        <v>87</v>
      </c>
      <c r="E2713" s="16" t="str">
        <f>IFERROR(__xludf.DUMMYFUNCTION("""COMPUTED_VALUE"""),"")</f>
        <v/>
      </c>
      <c r="G2713" s="18"/>
      <c r="H2713" s="16" t="s">
        <v>87</v>
      </c>
      <c r="I2713" s="16" t="s">
        <v>87</v>
      </c>
      <c r="J2713" s="19"/>
      <c r="L2713" s="16" t="str">
        <f>IFERROR(__xludf.DUMMYFUNCTION("""COMPUTED_VALUE"""),"")</f>
        <v/>
      </c>
      <c r="M2713" s="16" t="str">
        <f>IFERROR(__xludf.DUMMYFUNCTION("""COMPUTED_VALUE"""),"")</f>
        <v/>
      </c>
      <c r="U2713" s="16" t="s">
        <v>87</v>
      </c>
      <c r="V2713" s="16" t="str">
        <f>IFERROR(__xludf.DUMMYFUNCTION("""COMPUTED_VALUE"""),"")</f>
        <v/>
      </c>
      <c r="W2713" s="16" t="str">
        <f>IFERROR(__xludf.DUMMYFUNCTION("""COMPUTED_VALUE"""),"")</f>
        <v/>
      </c>
      <c r="X2713" s="16" t="str">
        <f>IFERROR(__xludf.DUMMYFUNCTION("""COMPUTED_VALUE"""),"")</f>
        <v/>
      </c>
      <c r="AC2713" s="16" t="str">
        <f>IFERROR(__xludf.DUMMYFUNCTION("""COMPUTED_VALUE"""),"")</f>
        <v/>
      </c>
    </row>
    <row r="2714">
      <c r="A2714" s="16" t="s">
        <v>87</v>
      </c>
      <c r="E2714" s="16" t="str">
        <f>IFERROR(__xludf.DUMMYFUNCTION("""COMPUTED_VALUE"""),"")</f>
        <v/>
      </c>
      <c r="G2714" s="18"/>
      <c r="H2714" s="16" t="s">
        <v>87</v>
      </c>
      <c r="I2714" s="16" t="s">
        <v>87</v>
      </c>
      <c r="J2714" s="19"/>
      <c r="L2714" s="16" t="str">
        <f>IFERROR(__xludf.DUMMYFUNCTION("""COMPUTED_VALUE"""),"")</f>
        <v/>
      </c>
      <c r="M2714" s="16" t="str">
        <f>IFERROR(__xludf.DUMMYFUNCTION("""COMPUTED_VALUE"""),"")</f>
        <v/>
      </c>
      <c r="U2714" s="16" t="s">
        <v>87</v>
      </c>
      <c r="V2714" s="16" t="str">
        <f>IFERROR(__xludf.DUMMYFUNCTION("""COMPUTED_VALUE"""),"")</f>
        <v/>
      </c>
      <c r="W2714" s="16" t="str">
        <f>IFERROR(__xludf.DUMMYFUNCTION("""COMPUTED_VALUE"""),"")</f>
        <v/>
      </c>
      <c r="X2714" s="16" t="str">
        <f>IFERROR(__xludf.DUMMYFUNCTION("""COMPUTED_VALUE"""),"")</f>
        <v/>
      </c>
      <c r="AC2714" s="16" t="str">
        <f>IFERROR(__xludf.DUMMYFUNCTION("""COMPUTED_VALUE"""),"")</f>
        <v/>
      </c>
    </row>
    <row r="2715">
      <c r="A2715" s="16" t="s">
        <v>87</v>
      </c>
      <c r="E2715" s="16" t="str">
        <f>IFERROR(__xludf.DUMMYFUNCTION("""COMPUTED_VALUE"""),"")</f>
        <v/>
      </c>
      <c r="G2715" s="18"/>
      <c r="H2715" s="16" t="s">
        <v>87</v>
      </c>
      <c r="I2715" s="16" t="s">
        <v>87</v>
      </c>
      <c r="J2715" s="19"/>
      <c r="L2715" s="16" t="str">
        <f>IFERROR(__xludf.DUMMYFUNCTION("""COMPUTED_VALUE"""),"")</f>
        <v/>
      </c>
      <c r="M2715" s="16" t="str">
        <f>IFERROR(__xludf.DUMMYFUNCTION("""COMPUTED_VALUE"""),"")</f>
        <v/>
      </c>
      <c r="U2715" s="16" t="s">
        <v>87</v>
      </c>
      <c r="V2715" s="16" t="str">
        <f>IFERROR(__xludf.DUMMYFUNCTION("""COMPUTED_VALUE"""),"")</f>
        <v/>
      </c>
      <c r="W2715" s="16" t="str">
        <f>IFERROR(__xludf.DUMMYFUNCTION("""COMPUTED_VALUE"""),"")</f>
        <v/>
      </c>
      <c r="X2715" s="16" t="str">
        <f>IFERROR(__xludf.DUMMYFUNCTION("""COMPUTED_VALUE"""),"")</f>
        <v/>
      </c>
      <c r="AC2715" s="16" t="str">
        <f>IFERROR(__xludf.DUMMYFUNCTION("""COMPUTED_VALUE"""),"")</f>
        <v/>
      </c>
    </row>
    <row r="2716">
      <c r="A2716" s="16" t="s">
        <v>87</v>
      </c>
      <c r="E2716" s="16" t="str">
        <f>IFERROR(__xludf.DUMMYFUNCTION("""COMPUTED_VALUE"""),"")</f>
        <v/>
      </c>
      <c r="G2716" s="18"/>
      <c r="H2716" s="16" t="s">
        <v>87</v>
      </c>
      <c r="I2716" s="16" t="s">
        <v>87</v>
      </c>
      <c r="J2716" s="19"/>
      <c r="L2716" s="16" t="str">
        <f>IFERROR(__xludf.DUMMYFUNCTION("""COMPUTED_VALUE"""),"")</f>
        <v/>
      </c>
      <c r="M2716" s="16" t="str">
        <f>IFERROR(__xludf.DUMMYFUNCTION("""COMPUTED_VALUE"""),"")</f>
        <v/>
      </c>
      <c r="U2716" s="16" t="s">
        <v>87</v>
      </c>
      <c r="V2716" s="16" t="str">
        <f>IFERROR(__xludf.DUMMYFUNCTION("""COMPUTED_VALUE"""),"")</f>
        <v/>
      </c>
      <c r="W2716" s="16" t="str">
        <f>IFERROR(__xludf.DUMMYFUNCTION("""COMPUTED_VALUE"""),"")</f>
        <v/>
      </c>
      <c r="X2716" s="16" t="str">
        <f>IFERROR(__xludf.DUMMYFUNCTION("""COMPUTED_VALUE"""),"")</f>
        <v/>
      </c>
      <c r="AC2716" s="16" t="str">
        <f>IFERROR(__xludf.DUMMYFUNCTION("""COMPUTED_VALUE"""),"")</f>
        <v/>
      </c>
    </row>
    <row r="2717">
      <c r="A2717" s="16" t="s">
        <v>87</v>
      </c>
      <c r="E2717" s="16" t="str">
        <f>IFERROR(__xludf.DUMMYFUNCTION("""COMPUTED_VALUE"""),"")</f>
        <v/>
      </c>
      <c r="G2717" s="18"/>
      <c r="H2717" s="16" t="s">
        <v>87</v>
      </c>
      <c r="I2717" s="16" t="s">
        <v>87</v>
      </c>
      <c r="J2717" s="19"/>
      <c r="L2717" s="16" t="str">
        <f>IFERROR(__xludf.DUMMYFUNCTION("""COMPUTED_VALUE"""),"")</f>
        <v/>
      </c>
      <c r="M2717" s="16" t="str">
        <f>IFERROR(__xludf.DUMMYFUNCTION("""COMPUTED_VALUE"""),"")</f>
        <v/>
      </c>
      <c r="U2717" s="16" t="s">
        <v>87</v>
      </c>
      <c r="V2717" s="16" t="str">
        <f>IFERROR(__xludf.DUMMYFUNCTION("""COMPUTED_VALUE"""),"")</f>
        <v/>
      </c>
      <c r="W2717" s="16" t="str">
        <f>IFERROR(__xludf.DUMMYFUNCTION("""COMPUTED_VALUE"""),"")</f>
        <v/>
      </c>
      <c r="X2717" s="16" t="str">
        <f>IFERROR(__xludf.DUMMYFUNCTION("""COMPUTED_VALUE"""),"")</f>
        <v/>
      </c>
      <c r="AC2717" s="16" t="str">
        <f>IFERROR(__xludf.DUMMYFUNCTION("""COMPUTED_VALUE"""),"")</f>
        <v/>
      </c>
    </row>
    <row r="2718">
      <c r="A2718" s="16" t="s">
        <v>87</v>
      </c>
      <c r="E2718" s="16" t="str">
        <f>IFERROR(__xludf.DUMMYFUNCTION("""COMPUTED_VALUE"""),"")</f>
        <v/>
      </c>
      <c r="G2718" s="18"/>
      <c r="H2718" s="16" t="s">
        <v>87</v>
      </c>
      <c r="I2718" s="16" t="s">
        <v>87</v>
      </c>
      <c r="J2718" s="19"/>
      <c r="L2718" s="16" t="str">
        <f>IFERROR(__xludf.DUMMYFUNCTION("""COMPUTED_VALUE"""),"")</f>
        <v/>
      </c>
      <c r="M2718" s="16" t="str">
        <f>IFERROR(__xludf.DUMMYFUNCTION("""COMPUTED_VALUE"""),"")</f>
        <v/>
      </c>
      <c r="U2718" s="16" t="s">
        <v>87</v>
      </c>
      <c r="V2718" s="16" t="str">
        <f>IFERROR(__xludf.DUMMYFUNCTION("""COMPUTED_VALUE"""),"")</f>
        <v/>
      </c>
      <c r="W2718" s="16" t="str">
        <f>IFERROR(__xludf.DUMMYFUNCTION("""COMPUTED_VALUE"""),"")</f>
        <v/>
      </c>
      <c r="X2718" s="16" t="str">
        <f>IFERROR(__xludf.DUMMYFUNCTION("""COMPUTED_VALUE"""),"")</f>
        <v/>
      </c>
      <c r="AC2718" s="16" t="str">
        <f>IFERROR(__xludf.DUMMYFUNCTION("""COMPUTED_VALUE"""),"")</f>
        <v/>
      </c>
    </row>
    <row r="2719">
      <c r="A2719" s="16" t="s">
        <v>87</v>
      </c>
      <c r="E2719" s="16" t="str">
        <f>IFERROR(__xludf.DUMMYFUNCTION("""COMPUTED_VALUE"""),"")</f>
        <v/>
      </c>
      <c r="G2719" s="18"/>
      <c r="H2719" s="16" t="s">
        <v>87</v>
      </c>
      <c r="I2719" s="16" t="s">
        <v>87</v>
      </c>
      <c r="J2719" s="19"/>
      <c r="L2719" s="16" t="str">
        <f>IFERROR(__xludf.DUMMYFUNCTION("""COMPUTED_VALUE"""),"")</f>
        <v/>
      </c>
      <c r="M2719" s="16" t="str">
        <f>IFERROR(__xludf.DUMMYFUNCTION("""COMPUTED_VALUE"""),"")</f>
        <v/>
      </c>
      <c r="U2719" s="16" t="s">
        <v>87</v>
      </c>
      <c r="V2719" s="16" t="str">
        <f>IFERROR(__xludf.DUMMYFUNCTION("""COMPUTED_VALUE"""),"")</f>
        <v/>
      </c>
      <c r="W2719" s="16" t="str">
        <f>IFERROR(__xludf.DUMMYFUNCTION("""COMPUTED_VALUE"""),"")</f>
        <v/>
      </c>
      <c r="X2719" s="16" t="str">
        <f>IFERROR(__xludf.DUMMYFUNCTION("""COMPUTED_VALUE"""),"")</f>
        <v/>
      </c>
      <c r="AC2719" s="16" t="str">
        <f>IFERROR(__xludf.DUMMYFUNCTION("""COMPUTED_VALUE"""),"")</f>
        <v/>
      </c>
    </row>
    <row r="2720">
      <c r="A2720" s="16" t="s">
        <v>87</v>
      </c>
      <c r="E2720" s="16" t="str">
        <f>IFERROR(__xludf.DUMMYFUNCTION("""COMPUTED_VALUE"""),"")</f>
        <v/>
      </c>
      <c r="G2720" s="18"/>
      <c r="H2720" s="16" t="s">
        <v>87</v>
      </c>
      <c r="I2720" s="16" t="s">
        <v>87</v>
      </c>
      <c r="J2720" s="19"/>
      <c r="L2720" s="16" t="str">
        <f>IFERROR(__xludf.DUMMYFUNCTION("""COMPUTED_VALUE"""),"")</f>
        <v/>
      </c>
      <c r="M2720" s="16" t="str">
        <f>IFERROR(__xludf.DUMMYFUNCTION("""COMPUTED_VALUE"""),"")</f>
        <v/>
      </c>
      <c r="U2720" s="16" t="s">
        <v>87</v>
      </c>
      <c r="V2720" s="16" t="str">
        <f>IFERROR(__xludf.DUMMYFUNCTION("""COMPUTED_VALUE"""),"")</f>
        <v/>
      </c>
      <c r="W2720" s="16" t="str">
        <f>IFERROR(__xludf.DUMMYFUNCTION("""COMPUTED_VALUE"""),"")</f>
        <v/>
      </c>
      <c r="X2720" s="16" t="str">
        <f>IFERROR(__xludf.DUMMYFUNCTION("""COMPUTED_VALUE"""),"")</f>
        <v/>
      </c>
      <c r="AC2720" s="16" t="str">
        <f>IFERROR(__xludf.DUMMYFUNCTION("""COMPUTED_VALUE"""),"")</f>
        <v/>
      </c>
    </row>
    <row r="2721">
      <c r="A2721" s="16" t="s">
        <v>87</v>
      </c>
      <c r="E2721" s="16" t="str">
        <f>IFERROR(__xludf.DUMMYFUNCTION("""COMPUTED_VALUE"""),"")</f>
        <v/>
      </c>
      <c r="G2721" s="18"/>
      <c r="H2721" s="16" t="s">
        <v>87</v>
      </c>
      <c r="I2721" s="16" t="s">
        <v>87</v>
      </c>
      <c r="J2721" s="19"/>
      <c r="L2721" s="16" t="str">
        <f>IFERROR(__xludf.DUMMYFUNCTION("""COMPUTED_VALUE"""),"")</f>
        <v/>
      </c>
      <c r="M2721" s="16" t="str">
        <f>IFERROR(__xludf.DUMMYFUNCTION("""COMPUTED_VALUE"""),"")</f>
        <v/>
      </c>
      <c r="U2721" s="16" t="s">
        <v>87</v>
      </c>
      <c r="V2721" s="16" t="str">
        <f>IFERROR(__xludf.DUMMYFUNCTION("""COMPUTED_VALUE"""),"")</f>
        <v/>
      </c>
      <c r="W2721" s="16" t="str">
        <f>IFERROR(__xludf.DUMMYFUNCTION("""COMPUTED_VALUE"""),"")</f>
        <v/>
      </c>
      <c r="X2721" s="16" t="str">
        <f>IFERROR(__xludf.DUMMYFUNCTION("""COMPUTED_VALUE"""),"")</f>
        <v/>
      </c>
      <c r="AC2721" s="16" t="str">
        <f>IFERROR(__xludf.DUMMYFUNCTION("""COMPUTED_VALUE"""),"")</f>
        <v/>
      </c>
    </row>
    <row r="2722">
      <c r="A2722" s="16" t="s">
        <v>87</v>
      </c>
      <c r="E2722" s="16" t="str">
        <f>IFERROR(__xludf.DUMMYFUNCTION("""COMPUTED_VALUE"""),"")</f>
        <v/>
      </c>
      <c r="G2722" s="18"/>
      <c r="H2722" s="16" t="s">
        <v>87</v>
      </c>
      <c r="I2722" s="16" t="s">
        <v>87</v>
      </c>
      <c r="J2722" s="19"/>
      <c r="L2722" s="16" t="str">
        <f>IFERROR(__xludf.DUMMYFUNCTION("""COMPUTED_VALUE"""),"")</f>
        <v/>
      </c>
      <c r="M2722" s="16" t="str">
        <f>IFERROR(__xludf.DUMMYFUNCTION("""COMPUTED_VALUE"""),"")</f>
        <v/>
      </c>
      <c r="U2722" s="16" t="s">
        <v>87</v>
      </c>
      <c r="V2722" s="16" t="str">
        <f>IFERROR(__xludf.DUMMYFUNCTION("""COMPUTED_VALUE"""),"")</f>
        <v/>
      </c>
      <c r="W2722" s="16" t="str">
        <f>IFERROR(__xludf.DUMMYFUNCTION("""COMPUTED_VALUE"""),"")</f>
        <v/>
      </c>
      <c r="X2722" s="16" t="str">
        <f>IFERROR(__xludf.DUMMYFUNCTION("""COMPUTED_VALUE"""),"")</f>
        <v/>
      </c>
      <c r="AC2722" s="16" t="str">
        <f>IFERROR(__xludf.DUMMYFUNCTION("""COMPUTED_VALUE"""),"")</f>
        <v/>
      </c>
    </row>
    <row r="2723">
      <c r="A2723" s="16" t="s">
        <v>87</v>
      </c>
      <c r="E2723" s="16" t="str">
        <f>IFERROR(__xludf.DUMMYFUNCTION("""COMPUTED_VALUE"""),"")</f>
        <v/>
      </c>
      <c r="G2723" s="18"/>
      <c r="H2723" s="16" t="s">
        <v>87</v>
      </c>
      <c r="I2723" s="16" t="s">
        <v>87</v>
      </c>
      <c r="J2723" s="19"/>
      <c r="L2723" s="16" t="str">
        <f>IFERROR(__xludf.DUMMYFUNCTION("""COMPUTED_VALUE"""),"")</f>
        <v/>
      </c>
      <c r="M2723" s="16" t="str">
        <f>IFERROR(__xludf.DUMMYFUNCTION("""COMPUTED_VALUE"""),"")</f>
        <v/>
      </c>
      <c r="U2723" s="16" t="s">
        <v>87</v>
      </c>
      <c r="V2723" s="16" t="str">
        <f>IFERROR(__xludf.DUMMYFUNCTION("""COMPUTED_VALUE"""),"")</f>
        <v/>
      </c>
      <c r="W2723" s="16" t="str">
        <f>IFERROR(__xludf.DUMMYFUNCTION("""COMPUTED_VALUE"""),"")</f>
        <v/>
      </c>
      <c r="X2723" s="16" t="str">
        <f>IFERROR(__xludf.DUMMYFUNCTION("""COMPUTED_VALUE"""),"")</f>
        <v/>
      </c>
      <c r="AC2723" s="16" t="str">
        <f>IFERROR(__xludf.DUMMYFUNCTION("""COMPUTED_VALUE"""),"")</f>
        <v/>
      </c>
    </row>
    <row r="2724">
      <c r="A2724" s="16" t="s">
        <v>87</v>
      </c>
      <c r="E2724" s="16" t="str">
        <f>IFERROR(__xludf.DUMMYFUNCTION("""COMPUTED_VALUE"""),"")</f>
        <v/>
      </c>
      <c r="G2724" s="18"/>
      <c r="H2724" s="16" t="s">
        <v>87</v>
      </c>
      <c r="I2724" s="16" t="s">
        <v>87</v>
      </c>
      <c r="J2724" s="19"/>
      <c r="L2724" s="16" t="str">
        <f>IFERROR(__xludf.DUMMYFUNCTION("""COMPUTED_VALUE"""),"")</f>
        <v/>
      </c>
      <c r="M2724" s="16" t="str">
        <f>IFERROR(__xludf.DUMMYFUNCTION("""COMPUTED_VALUE"""),"")</f>
        <v/>
      </c>
      <c r="U2724" s="16" t="s">
        <v>87</v>
      </c>
      <c r="V2724" s="16" t="str">
        <f>IFERROR(__xludf.DUMMYFUNCTION("""COMPUTED_VALUE"""),"")</f>
        <v/>
      </c>
      <c r="W2724" s="16" t="str">
        <f>IFERROR(__xludf.DUMMYFUNCTION("""COMPUTED_VALUE"""),"")</f>
        <v/>
      </c>
      <c r="X2724" s="16" t="str">
        <f>IFERROR(__xludf.DUMMYFUNCTION("""COMPUTED_VALUE"""),"")</f>
        <v/>
      </c>
      <c r="AC2724" s="16" t="str">
        <f>IFERROR(__xludf.DUMMYFUNCTION("""COMPUTED_VALUE"""),"")</f>
        <v/>
      </c>
    </row>
    <row r="2725">
      <c r="A2725" s="16" t="s">
        <v>87</v>
      </c>
      <c r="E2725" s="16" t="str">
        <f>IFERROR(__xludf.DUMMYFUNCTION("""COMPUTED_VALUE"""),"")</f>
        <v/>
      </c>
      <c r="G2725" s="18"/>
      <c r="H2725" s="16" t="s">
        <v>87</v>
      </c>
      <c r="I2725" s="16" t="s">
        <v>87</v>
      </c>
      <c r="J2725" s="19"/>
      <c r="L2725" s="16" t="str">
        <f>IFERROR(__xludf.DUMMYFUNCTION("""COMPUTED_VALUE"""),"")</f>
        <v/>
      </c>
      <c r="M2725" s="16" t="str">
        <f>IFERROR(__xludf.DUMMYFUNCTION("""COMPUTED_VALUE"""),"")</f>
        <v/>
      </c>
      <c r="U2725" s="16" t="s">
        <v>87</v>
      </c>
      <c r="V2725" s="16" t="str">
        <f>IFERROR(__xludf.DUMMYFUNCTION("""COMPUTED_VALUE"""),"")</f>
        <v/>
      </c>
      <c r="W2725" s="16" t="str">
        <f>IFERROR(__xludf.DUMMYFUNCTION("""COMPUTED_VALUE"""),"")</f>
        <v/>
      </c>
      <c r="X2725" s="16" t="str">
        <f>IFERROR(__xludf.DUMMYFUNCTION("""COMPUTED_VALUE"""),"")</f>
        <v/>
      </c>
      <c r="AC2725" s="16" t="str">
        <f>IFERROR(__xludf.DUMMYFUNCTION("""COMPUTED_VALUE"""),"")</f>
        <v/>
      </c>
    </row>
    <row r="2726">
      <c r="A2726" s="16" t="s">
        <v>87</v>
      </c>
      <c r="E2726" s="16" t="str">
        <f>IFERROR(__xludf.DUMMYFUNCTION("""COMPUTED_VALUE"""),"")</f>
        <v/>
      </c>
      <c r="G2726" s="18"/>
      <c r="H2726" s="16" t="s">
        <v>87</v>
      </c>
      <c r="I2726" s="16" t="s">
        <v>87</v>
      </c>
      <c r="J2726" s="19"/>
      <c r="L2726" s="16" t="str">
        <f>IFERROR(__xludf.DUMMYFUNCTION("""COMPUTED_VALUE"""),"")</f>
        <v/>
      </c>
      <c r="M2726" s="16" t="str">
        <f>IFERROR(__xludf.DUMMYFUNCTION("""COMPUTED_VALUE"""),"")</f>
        <v/>
      </c>
      <c r="U2726" s="16" t="s">
        <v>87</v>
      </c>
      <c r="V2726" s="16" t="str">
        <f>IFERROR(__xludf.DUMMYFUNCTION("""COMPUTED_VALUE"""),"")</f>
        <v/>
      </c>
      <c r="W2726" s="16" t="str">
        <f>IFERROR(__xludf.DUMMYFUNCTION("""COMPUTED_VALUE"""),"")</f>
        <v/>
      </c>
      <c r="X2726" s="16" t="str">
        <f>IFERROR(__xludf.DUMMYFUNCTION("""COMPUTED_VALUE"""),"")</f>
        <v/>
      </c>
      <c r="AC2726" s="16" t="str">
        <f>IFERROR(__xludf.DUMMYFUNCTION("""COMPUTED_VALUE"""),"")</f>
        <v/>
      </c>
    </row>
    <row r="2727">
      <c r="A2727" s="16" t="s">
        <v>87</v>
      </c>
      <c r="E2727" s="16" t="str">
        <f>IFERROR(__xludf.DUMMYFUNCTION("""COMPUTED_VALUE"""),"")</f>
        <v/>
      </c>
      <c r="G2727" s="18"/>
      <c r="H2727" s="16" t="s">
        <v>87</v>
      </c>
      <c r="I2727" s="16" t="s">
        <v>87</v>
      </c>
      <c r="J2727" s="19"/>
      <c r="L2727" s="16" t="str">
        <f>IFERROR(__xludf.DUMMYFUNCTION("""COMPUTED_VALUE"""),"")</f>
        <v/>
      </c>
      <c r="M2727" s="16" t="str">
        <f>IFERROR(__xludf.DUMMYFUNCTION("""COMPUTED_VALUE"""),"")</f>
        <v/>
      </c>
      <c r="U2727" s="16" t="s">
        <v>87</v>
      </c>
      <c r="V2727" s="16" t="str">
        <f>IFERROR(__xludf.DUMMYFUNCTION("""COMPUTED_VALUE"""),"")</f>
        <v/>
      </c>
      <c r="W2727" s="16" t="str">
        <f>IFERROR(__xludf.DUMMYFUNCTION("""COMPUTED_VALUE"""),"")</f>
        <v/>
      </c>
      <c r="X2727" s="16" t="str">
        <f>IFERROR(__xludf.DUMMYFUNCTION("""COMPUTED_VALUE"""),"")</f>
        <v/>
      </c>
      <c r="AC2727" s="16" t="str">
        <f>IFERROR(__xludf.DUMMYFUNCTION("""COMPUTED_VALUE"""),"")</f>
        <v/>
      </c>
    </row>
    <row r="2728">
      <c r="A2728" s="16" t="s">
        <v>87</v>
      </c>
      <c r="E2728" s="16" t="str">
        <f>IFERROR(__xludf.DUMMYFUNCTION("""COMPUTED_VALUE"""),"")</f>
        <v/>
      </c>
      <c r="G2728" s="18"/>
      <c r="H2728" s="16" t="s">
        <v>87</v>
      </c>
      <c r="I2728" s="16" t="s">
        <v>87</v>
      </c>
      <c r="J2728" s="19"/>
      <c r="L2728" s="16" t="str">
        <f>IFERROR(__xludf.DUMMYFUNCTION("""COMPUTED_VALUE"""),"")</f>
        <v/>
      </c>
      <c r="M2728" s="16" t="str">
        <f>IFERROR(__xludf.DUMMYFUNCTION("""COMPUTED_VALUE"""),"")</f>
        <v/>
      </c>
      <c r="U2728" s="16" t="s">
        <v>87</v>
      </c>
      <c r="V2728" s="16" t="str">
        <f>IFERROR(__xludf.DUMMYFUNCTION("""COMPUTED_VALUE"""),"")</f>
        <v/>
      </c>
      <c r="W2728" s="16" t="str">
        <f>IFERROR(__xludf.DUMMYFUNCTION("""COMPUTED_VALUE"""),"")</f>
        <v/>
      </c>
      <c r="X2728" s="16" t="str">
        <f>IFERROR(__xludf.DUMMYFUNCTION("""COMPUTED_VALUE"""),"")</f>
        <v/>
      </c>
      <c r="AC2728" s="16" t="str">
        <f>IFERROR(__xludf.DUMMYFUNCTION("""COMPUTED_VALUE"""),"")</f>
        <v/>
      </c>
    </row>
    <row r="2729">
      <c r="A2729" s="16" t="s">
        <v>87</v>
      </c>
      <c r="E2729" s="16" t="str">
        <f>IFERROR(__xludf.DUMMYFUNCTION("""COMPUTED_VALUE"""),"")</f>
        <v/>
      </c>
      <c r="G2729" s="18"/>
      <c r="H2729" s="16" t="s">
        <v>87</v>
      </c>
      <c r="I2729" s="16" t="s">
        <v>87</v>
      </c>
      <c r="J2729" s="19"/>
      <c r="L2729" s="16" t="str">
        <f>IFERROR(__xludf.DUMMYFUNCTION("""COMPUTED_VALUE"""),"")</f>
        <v/>
      </c>
      <c r="M2729" s="16" t="str">
        <f>IFERROR(__xludf.DUMMYFUNCTION("""COMPUTED_VALUE"""),"")</f>
        <v/>
      </c>
      <c r="U2729" s="16" t="s">
        <v>87</v>
      </c>
      <c r="V2729" s="16" t="str">
        <f>IFERROR(__xludf.DUMMYFUNCTION("""COMPUTED_VALUE"""),"")</f>
        <v/>
      </c>
      <c r="W2729" s="16" t="str">
        <f>IFERROR(__xludf.DUMMYFUNCTION("""COMPUTED_VALUE"""),"")</f>
        <v/>
      </c>
      <c r="X2729" s="16" t="str">
        <f>IFERROR(__xludf.DUMMYFUNCTION("""COMPUTED_VALUE"""),"")</f>
        <v/>
      </c>
      <c r="AC2729" s="16" t="str">
        <f>IFERROR(__xludf.DUMMYFUNCTION("""COMPUTED_VALUE"""),"")</f>
        <v/>
      </c>
    </row>
    <row r="2730">
      <c r="A2730" s="16" t="s">
        <v>87</v>
      </c>
      <c r="E2730" s="16" t="str">
        <f>IFERROR(__xludf.DUMMYFUNCTION("""COMPUTED_VALUE"""),"")</f>
        <v/>
      </c>
      <c r="G2730" s="18"/>
      <c r="H2730" s="16" t="s">
        <v>87</v>
      </c>
      <c r="I2730" s="16" t="s">
        <v>87</v>
      </c>
      <c r="J2730" s="19"/>
      <c r="L2730" s="16" t="str">
        <f>IFERROR(__xludf.DUMMYFUNCTION("""COMPUTED_VALUE"""),"")</f>
        <v/>
      </c>
      <c r="M2730" s="16" t="str">
        <f>IFERROR(__xludf.DUMMYFUNCTION("""COMPUTED_VALUE"""),"")</f>
        <v/>
      </c>
      <c r="U2730" s="16" t="s">
        <v>87</v>
      </c>
      <c r="V2730" s="16" t="str">
        <f>IFERROR(__xludf.DUMMYFUNCTION("""COMPUTED_VALUE"""),"")</f>
        <v/>
      </c>
      <c r="W2730" s="16" t="str">
        <f>IFERROR(__xludf.DUMMYFUNCTION("""COMPUTED_VALUE"""),"")</f>
        <v/>
      </c>
      <c r="X2730" s="16" t="str">
        <f>IFERROR(__xludf.DUMMYFUNCTION("""COMPUTED_VALUE"""),"")</f>
        <v/>
      </c>
      <c r="AC2730" s="16" t="str">
        <f>IFERROR(__xludf.DUMMYFUNCTION("""COMPUTED_VALUE"""),"")</f>
        <v/>
      </c>
    </row>
    <row r="2731">
      <c r="A2731" s="16" t="s">
        <v>87</v>
      </c>
      <c r="E2731" s="16" t="str">
        <f>IFERROR(__xludf.DUMMYFUNCTION("""COMPUTED_VALUE"""),"")</f>
        <v/>
      </c>
      <c r="G2731" s="18"/>
      <c r="H2731" s="16" t="s">
        <v>87</v>
      </c>
      <c r="I2731" s="16" t="s">
        <v>87</v>
      </c>
      <c r="J2731" s="19"/>
      <c r="L2731" s="16" t="str">
        <f>IFERROR(__xludf.DUMMYFUNCTION("""COMPUTED_VALUE"""),"")</f>
        <v/>
      </c>
      <c r="M2731" s="16" t="str">
        <f>IFERROR(__xludf.DUMMYFUNCTION("""COMPUTED_VALUE"""),"")</f>
        <v/>
      </c>
      <c r="U2731" s="16" t="s">
        <v>87</v>
      </c>
      <c r="V2731" s="16" t="str">
        <f>IFERROR(__xludf.DUMMYFUNCTION("""COMPUTED_VALUE"""),"")</f>
        <v/>
      </c>
      <c r="W2731" s="16" t="str">
        <f>IFERROR(__xludf.DUMMYFUNCTION("""COMPUTED_VALUE"""),"")</f>
        <v/>
      </c>
      <c r="X2731" s="16" t="str">
        <f>IFERROR(__xludf.DUMMYFUNCTION("""COMPUTED_VALUE"""),"")</f>
        <v/>
      </c>
      <c r="AC2731" s="16" t="str">
        <f>IFERROR(__xludf.DUMMYFUNCTION("""COMPUTED_VALUE"""),"")</f>
        <v/>
      </c>
    </row>
    <row r="2732">
      <c r="A2732" s="16" t="s">
        <v>87</v>
      </c>
      <c r="E2732" s="16" t="str">
        <f>IFERROR(__xludf.DUMMYFUNCTION("""COMPUTED_VALUE"""),"")</f>
        <v/>
      </c>
      <c r="G2732" s="18"/>
      <c r="H2732" s="16" t="s">
        <v>87</v>
      </c>
      <c r="I2732" s="16" t="s">
        <v>87</v>
      </c>
      <c r="J2732" s="19"/>
      <c r="L2732" s="16" t="str">
        <f>IFERROR(__xludf.DUMMYFUNCTION("""COMPUTED_VALUE"""),"")</f>
        <v/>
      </c>
      <c r="M2732" s="16" t="str">
        <f>IFERROR(__xludf.DUMMYFUNCTION("""COMPUTED_VALUE"""),"")</f>
        <v/>
      </c>
      <c r="U2732" s="16" t="s">
        <v>87</v>
      </c>
      <c r="V2732" s="16" t="str">
        <f>IFERROR(__xludf.DUMMYFUNCTION("""COMPUTED_VALUE"""),"")</f>
        <v/>
      </c>
      <c r="W2732" s="16" t="str">
        <f>IFERROR(__xludf.DUMMYFUNCTION("""COMPUTED_VALUE"""),"")</f>
        <v/>
      </c>
      <c r="X2732" s="16" t="str">
        <f>IFERROR(__xludf.DUMMYFUNCTION("""COMPUTED_VALUE"""),"")</f>
        <v/>
      </c>
      <c r="AC2732" s="16" t="str">
        <f>IFERROR(__xludf.DUMMYFUNCTION("""COMPUTED_VALUE"""),"")</f>
        <v/>
      </c>
    </row>
    <row r="2733">
      <c r="A2733" s="16" t="s">
        <v>87</v>
      </c>
      <c r="E2733" s="16" t="str">
        <f>IFERROR(__xludf.DUMMYFUNCTION("""COMPUTED_VALUE"""),"")</f>
        <v/>
      </c>
      <c r="G2733" s="18"/>
      <c r="H2733" s="16" t="s">
        <v>87</v>
      </c>
      <c r="I2733" s="16" t="s">
        <v>87</v>
      </c>
      <c r="J2733" s="19"/>
      <c r="L2733" s="16" t="str">
        <f>IFERROR(__xludf.DUMMYFUNCTION("""COMPUTED_VALUE"""),"")</f>
        <v/>
      </c>
      <c r="M2733" s="16" t="str">
        <f>IFERROR(__xludf.DUMMYFUNCTION("""COMPUTED_VALUE"""),"")</f>
        <v/>
      </c>
      <c r="U2733" s="16" t="s">
        <v>87</v>
      </c>
      <c r="V2733" s="16" t="str">
        <f>IFERROR(__xludf.DUMMYFUNCTION("""COMPUTED_VALUE"""),"")</f>
        <v/>
      </c>
      <c r="W2733" s="16" t="str">
        <f>IFERROR(__xludf.DUMMYFUNCTION("""COMPUTED_VALUE"""),"")</f>
        <v/>
      </c>
      <c r="X2733" s="16" t="str">
        <f>IFERROR(__xludf.DUMMYFUNCTION("""COMPUTED_VALUE"""),"")</f>
        <v/>
      </c>
      <c r="AC2733" s="16" t="str">
        <f>IFERROR(__xludf.DUMMYFUNCTION("""COMPUTED_VALUE"""),"")</f>
        <v/>
      </c>
    </row>
    <row r="2734">
      <c r="A2734" s="16" t="s">
        <v>87</v>
      </c>
      <c r="E2734" s="16" t="str">
        <f>IFERROR(__xludf.DUMMYFUNCTION("""COMPUTED_VALUE"""),"")</f>
        <v/>
      </c>
      <c r="G2734" s="18"/>
      <c r="H2734" s="16" t="s">
        <v>87</v>
      </c>
      <c r="I2734" s="16" t="s">
        <v>87</v>
      </c>
      <c r="J2734" s="19"/>
      <c r="L2734" s="16" t="str">
        <f>IFERROR(__xludf.DUMMYFUNCTION("""COMPUTED_VALUE"""),"")</f>
        <v/>
      </c>
      <c r="M2734" s="16" t="str">
        <f>IFERROR(__xludf.DUMMYFUNCTION("""COMPUTED_VALUE"""),"")</f>
        <v/>
      </c>
      <c r="U2734" s="16" t="s">
        <v>87</v>
      </c>
      <c r="V2734" s="16" t="str">
        <f>IFERROR(__xludf.DUMMYFUNCTION("""COMPUTED_VALUE"""),"")</f>
        <v/>
      </c>
      <c r="W2734" s="16" t="str">
        <f>IFERROR(__xludf.DUMMYFUNCTION("""COMPUTED_VALUE"""),"")</f>
        <v/>
      </c>
      <c r="X2734" s="16" t="str">
        <f>IFERROR(__xludf.DUMMYFUNCTION("""COMPUTED_VALUE"""),"")</f>
        <v/>
      </c>
      <c r="AC2734" s="16" t="str">
        <f>IFERROR(__xludf.DUMMYFUNCTION("""COMPUTED_VALUE"""),"")</f>
        <v/>
      </c>
    </row>
    <row r="2735">
      <c r="A2735" s="16" t="s">
        <v>87</v>
      </c>
      <c r="E2735" s="16" t="str">
        <f>IFERROR(__xludf.DUMMYFUNCTION("""COMPUTED_VALUE"""),"")</f>
        <v/>
      </c>
      <c r="G2735" s="18"/>
      <c r="H2735" s="16" t="s">
        <v>87</v>
      </c>
      <c r="I2735" s="16" t="s">
        <v>87</v>
      </c>
      <c r="J2735" s="19"/>
      <c r="L2735" s="16" t="str">
        <f>IFERROR(__xludf.DUMMYFUNCTION("""COMPUTED_VALUE"""),"")</f>
        <v/>
      </c>
      <c r="M2735" s="16" t="str">
        <f>IFERROR(__xludf.DUMMYFUNCTION("""COMPUTED_VALUE"""),"")</f>
        <v/>
      </c>
      <c r="U2735" s="16" t="s">
        <v>87</v>
      </c>
      <c r="V2735" s="16" t="str">
        <f>IFERROR(__xludf.DUMMYFUNCTION("""COMPUTED_VALUE"""),"")</f>
        <v/>
      </c>
      <c r="W2735" s="16" t="str">
        <f>IFERROR(__xludf.DUMMYFUNCTION("""COMPUTED_VALUE"""),"")</f>
        <v/>
      </c>
      <c r="X2735" s="16" t="str">
        <f>IFERROR(__xludf.DUMMYFUNCTION("""COMPUTED_VALUE"""),"")</f>
        <v/>
      </c>
      <c r="AC2735" s="16" t="str">
        <f>IFERROR(__xludf.DUMMYFUNCTION("""COMPUTED_VALUE"""),"")</f>
        <v/>
      </c>
    </row>
    <row r="2736">
      <c r="A2736" s="16" t="s">
        <v>87</v>
      </c>
      <c r="E2736" s="16" t="str">
        <f>IFERROR(__xludf.DUMMYFUNCTION("""COMPUTED_VALUE"""),"")</f>
        <v/>
      </c>
      <c r="G2736" s="18"/>
      <c r="H2736" s="16" t="s">
        <v>87</v>
      </c>
      <c r="I2736" s="16" t="s">
        <v>87</v>
      </c>
      <c r="J2736" s="19"/>
      <c r="L2736" s="16" t="str">
        <f>IFERROR(__xludf.DUMMYFUNCTION("""COMPUTED_VALUE"""),"")</f>
        <v/>
      </c>
      <c r="M2736" s="16" t="str">
        <f>IFERROR(__xludf.DUMMYFUNCTION("""COMPUTED_VALUE"""),"")</f>
        <v/>
      </c>
      <c r="U2736" s="16" t="s">
        <v>87</v>
      </c>
      <c r="V2736" s="16" t="str">
        <f>IFERROR(__xludf.DUMMYFUNCTION("""COMPUTED_VALUE"""),"")</f>
        <v/>
      </c>
      <c r="W2736" s="16" t="str">
        <f>IFERROR(__xludf.DUMMYFUNCTION("""COMPUTED_VALUE"""),"")</f>
        <v/>
      </c>
      <c r="X2736" s="16" t="str">
        <f>IFERROR(__xludf.DUMMYFUNCTION("""COMPUTED_VALUE"""),"")</f>
        <v/>
      </c>
      <c r="AC2736" s="16" t="str">
        <f>IFERROR(__xludf.DUMMYFUNCTION("""COMPUTED_VALUE"""),"")</f>
        <v/>
      </c>
    </row>
    <row r="2737">
      <c r="A2737" s="16" t="s">
        <v>87</v>
      </c>
      <c r="E2737" s="16" t="str">
        <f>IFERROR(__xludf.DUMMYFUNCTION("""COMPUTED_VALUE"""),"")</f>
        <v/>
      </c>
      <c r="G2737" s="18"/>
      <c r="H2737" s="16" t="s">
        <v>87</v>
      </c>
      <c r="I2737" s="16" t="s">
        <v>87</v>
      </c>
      <c r="J2737" s="19"/>
      <c r="L2737" s="16" t="str">
        <f>IFERROR(__xludf.DUMMYFUNCTION("""COMPUTED_VALUE"""),"")</f>
        <v/>
      </c>
      <c r="M2737" s="16" t="str">
        <f>IFERROR(__xludf.DUMMYFUNCTION("""COMPUTED_VALUE"""),"")</f>
        <v/>
      </c>
      <c r="U2737" s="16" t="s">
        <v>87</v>
      </c>
      <c r="V2737" s="16" t="str">
        <f>IFERROR(__xludf.DUMMYFUNCTION("""COMPUTED_VALUE"""),"")</f>
        <v/>
      </c>
      <c r="W2737" s="16" t="str">
        <f>IFERROR(__xludf.DUMMYFUNCTION("""COMPUTED_VALUE"""),"")</f>
        <v/>
      </c>
      <c r="X2737" s="16" t="str">
        <f>IFERROR(__xludf.DUMMYFUNCTION("""COMPUTED_VALUE"""),"")</f>
        <v/>
      </c>
      <c r="AC2737" s="16" t="str">
        <f>IFERROR(__xludf.DUMMYFUNCTION("""COMPUTED_VALUE"""),"")</f>
        <v/>
      </c>
    </row>
    <row r="2738">
      <c r="A2738" s="16" t="s">
        <v>87</v>
      </c>
      <c r="E2738" s="16" t="str">
        <f>IFERROR(__xludf.DUMMYFUNCTION("""COMPUTED_VALUE"""),"")</f>
        <v/>
      </c>
      <c r="G2738" s="18"/>
      <c r="H2738" s="16" t="s">
        <v>87</v>
      </c>
      <c r="I2738" s="16" t="s">
        <v>87</v>
      </c>
      <c r="J2738" s="19"/>
      <c r="L2738" s="16" t="str">
        <f>IFERROR(__xludf.DUMMYFUNCTION("""COMPUTED_VALUE"""),"")</f>
        <v/>
      </c>
      <c r="M2738" s="16" t="str">
        <f>IFERROR(__xludf.DUMMYFUNCTION("""COMPUTED_VALUE"""),"")</f>
        <v/>
      </c>
      <c r="U2738" s="16" t="s">
        <v>87</v>
      </c>
      <c r="V2738" s="16" t="str">
        <f>IFERROR(__xludf.DUMMYFUNCTION("""COMPUTED_VALUE"""),"")</f>
        <v/>
      </c>
      <c r="W2738" s="16" t="str">
        <f>IFERROR(__xludf.DUMMYFUNCTION("""COMPUTED_VALUE"""),"")</f>
        <v/>
      </c>
      <c r="X2738" s="16" t="str">
        <f>IFERROR(__xludf.DUMMYFUNCTION("""COMPUTED_VALUE"""),"")</f>
        <v/>
      </c>
      <c r="AC2738" s="16" t="str">
        <f>IFERROR(__xludf.DUMMYFUNCTION("""COMPUTED_VALUE"""),"")</f>
        <v/>
      </c>
    </row>
    <row r="2739">
      <c r="A2739" s="16" t="s">
        <v>87</v>
      </c>
      <c r="E2739" s="16" t="str">
        <f>IFERROR(__xludf.DUMMYFUNCTION("""COMPUTED_VALUE"""),"")</f>
        <v/>
      </c>
      <c r="G2739" s="18"/>
      <c r="H2739" s="16" t="s">
        <v>87</v>
      </c>
      <c r="I2739" s="16" t="s">
        <v>87</v>
      </c>
      <c r="J2739" s="19"/>
      <c r="L2739" s="16" t="str">
        <f>IFERROR(__xludf.DUMMYFUNCTION("""COMPUTED_VALUE"""),"")</f>
        <v/>
      </c>
      <c r="M2739" s="16" t="str">
        <f>IFERROR(__xludf.DUMMYFUNCTION("""COMPUTED_VALUE"""),"")</f>
        <v/>
      </c>
      <c r="U2739" s="16" t="s">
        <v>87</v>
      </c>
      <c r="V2739" s="16" t="str">
        <f>IFERROR(__xludf.DUMMYFUNCTION("""COMPUTED_VALUE"""),"")</f>
        <v/>
      </c>
      <c r="W2739" s="16" t="str">
        <f>IFERROR(__xludf.DUMMYFUNCTION("""COMPUTED_VALUE"""),"")</f>
        <v/>
      </c>
      <c r="X2739" s="16" t="str">
        <f>IFERROR(__xludf.DUMMYFUNCTION("""COMPUTED_VALUE"""),"")</f>
        <v/>
      </c>
      <c r="AC2739" s="16" t="str">
        <f>IFERROR(__xludf.DUMMYFUNCTION("""COMPUTED_VALUE"""),"")</f>
        <v/>
      </c>
    </row>
    <row r="2740">
      <c r="A2740" s="16" t="s">
        <v>87</v>
      </c>
      <c r="E2740" s="16" t="str">
        <f>IFERROR(__xludf.DUMMYFUNCTION("""COMPUTED_VALUE"""),"")</f>
        <v/>
      </c>
      <c r="G2740" s="18"/>
      <c r="H2740" s="16" t="s">
        <v>87</v>
      </c>
      <c r="I2740" s="16" t="s">
        <v>87</v>
      </c>
      <c r="J2740" s="19"/>
      <c r="L2740" s="16" t="str">
        <f>IFERROR(__xludf.DUMMYFUNCTION("""COMPUTED_VALUE"""),"")</f>
        <v/>
      </c>
      <c r="M2740" s="16" t="str">
        <f>IFERROR(__xludf.DUMMYFUNCTION("""COMPUTED_VALUE"""),"")</f>
        <v/>
      </c>
      <c r="U2740" s="16" t="s">
        <v>87</v>
      </c>
      <c r="V2740" s="16" t="str">
        <f>IFERROR(__xludf.DUMMYFUNCTION("""COMPUTED_VALUE"""),"")</f>
        <v/>
      </c>
      <c r="W2740" s="16" t="str">
        <f>IFERROR(__xludf.DUMMYFUNCTION("""COMPUTED_VALUE"""),"")</f>
        <v/>
      </c>
      <c r="X2740" s="16" t="str">
        <f>IFERROR(__xludf.DUMMYFUNCTION("""COMPUTED_VALUE"""),"")</f>
        <v/>
      </c>
      <c r="AC2740" s="16" t="str">
        <f>IFERROR(__xludf.DUMMYFUNCTION("""COMPUTED_VALUE"""),"")</f>
        <v/>
      </c>
    </row>
    <row r="2741">
      <c r="A2741" s="16" t="s">
        <v>87</v>
      </c>
      <c r="E2741" s="16" t="str">
        <f>IFERROR(__xludf.DUMMYFUNCTION("""COMPUTED_VALUE"""),"")</f>
        <v/>
      </c>
      <c r="G2741" s="18"/>
      <c r="H2741" s="16" t="s">
        <v>87</v>
      </c>
      <c r="I2741" s="16" t="s">
        <v>87</v>
      </c>
      <c r="J2741" s="19"/>
      <c r="L2741" s="16" t="str">
        <f>IFERROR(__xludf.DUMMYFUNCTION("""COMPUTED_VALUE"""),"")</f>
        <v/>
      </c>
      <c r="M2741" s="16" t="str">
        <f>IFERROR(__xludf.DUMMYFUNCTION("""COMPUTED_VALUE"""),"")</f>
        <v/>
      </c>
      <c r="U2741" s="16" t="s">
        <v>87</v>
      </c>
      <c r="V2741" s="16" t="str">
        <f>IFERROR(__xludf.DUMMYFUNCTION("""COMPUTED_VALUE"""),"")</f>
        <v/>
      </c>
      <c r="W2741" s="16" t="str">
        <f>IFERROR(__xludf.DUMMYFUNCTION("""COMPUTED_VALUE"""),"")</f>
        <v/>
      </c>
      <c r="X2741" s="16" t="str">
        <f>IFERROR(__xludf.DUMMYFUNCTION("""COMPUTED_VALUE"""),"")</f>
        <v/>
      </c>
      <c r="AC2741" s="16" t="str">
        <f>IFERROR(__xludf.DUMMYFUNCTION("""COMPUTED_VALUE"""),"")</f>
        <v/>
      </c>
    </row>
    <row r="2742">
      <c r="A2742" s="16" t="s">
        <v>87</v>
      </c>
      <c r="E2742" s="16" t="str">
        <f>IFERROR(__xludf.DUMMYFUNCTION("""COMPUTED_VALUE"""),"")</f>
        <v/>
      </c>
      <c r="G2742" s="18"/>
      <c r="H2742" s="16" t="s">
        <v>87</v>
      </c>
      <c r="I2742" s="16" t="s">
        <v>87</v>
      </c>
      <c r="J2742" s="19"/>
      <c r="L2742" s="16" t="str">
        <f>IFERROR(__xludf.DUMMYFUNCTION("""COMPUTED_VALUE"""),"")</f>
        <v/>
      </c>
      <c r="M2742" s="16" t="str">
        <f>IFERROR(__xludf.DUMMYFUNCTION("""COMPUTED_VALUE"""),"")</f>
        <v/>
      </c>
      <c r="U2742" s="16" t="s">
        <v>87</v>
      </c>
      <c r="V2742" s="16" t="str">
        <f>IFERROR(__xludf.DUMMYFUNCTION("""COMPUTED_VALUE"""),"")</f>
        <v/>
      </c>
      <c r="W2742" s="16" t="str">
        <f>IFERROR(__xludf.DUMMYFUNCTION("""COMPUTED_VALUE"""),"")</f>
        <v/>
      </c>
      <c r="X2742" s="16" t="str">
        <f>IFERROR(__xludf.DUMMYFUNCTION("""COMPUTED_VALUE"""),"")</f>
        <v/>
      </c>
      <c r="AC2742" s="16" t="str">
        <f>IFERROR(__xludf.DUMMYFUNCTION("""COMPUTED_VALUE"""),"")</f>
        <v/>
      </c>
    </row>
    <row r="2743">
      <c r="A2743" s="16" t="s">
        <v>87</v>
      </c>
      <c r="E2743" s="16" t="str">
        <f>IFERROR(__xludf.DUMMYFUNCTION("""COMPUTED_VALUE"""),"")</f>
        <v/>
      </c>
      <c r="G2743" s="18"/>
      <c r="H2743" s="16" t="s">
        <v>87</v>
      </c>
      <c r="I2743" s="16" t="s">
        <v>87</v>
      </c>
      <c r="J2743" s="19"/>
      <c r="L2743" s="16" t="str">
        <f>IFERROR(__xludf.DUMMYFUNCTION("""COMPUTED_VALUE"""),"")</f>
        <v/>
      </c>
      <c r="M2743" s="16" t="str">
        <f>IFERROR(__xludf.DUMMYFUNCTION("""COMPUTED_VALUE"""),"")</f>
        <v/>
      </c>
      <c r="U2743" s="16" t="s">
        <v>87</v>
      </c>
      <c r="V2743" s="16" t="str">
        <f>IFERROR(__xludf.DUMMYFUNCTION("""COMPUTED_VALUE"""),"")</f>
        <v/>
      </c>
      <c r="W2743" s="16" t="str">
        <f>IFERROR(__xludf.DUMMYFUNCTION("""COMPUTED_VALUE"""),"")</f>
        <v/>
      </c>
      <c r="X2743" s="16" t="str">
        <f>IFERROR(__xludf.DUMMYFUNCTION("""COMPUTED_VALUE"""),"")</f>
        <v/>
      </c>
      <c r="AC2743" s="16" t="str">
        <f>IFERROR(__xludf.DUMMYFUNCTION("""COMPUTED_VALUE"""),"")</f>
        <v/>
      </c>
    </row>
    <row r="2744">
      <c r="A2744" s="16" t="s">
        <v>87</v>
      </c>
      <c r="E2744" s="16" t="str">
        <f>IFERROR(__xludf.DUMMYFUNCTION("""COMPUTED_VALUE"""),"")</f>
        <v/>
      </c>
      <c r="G2744" s="18"/>
      <c r="H2744" s="16" t="s">
        <v>87</v>
      </c>
      <c r="I2744" s="16" t="s">
        <v>87</v>
      </c>
      <c r="J2744" s="19"/>
      <c r="L2744" s="16" t="str">
        <f>IFERROR(__xludf.DUMMYFUNCTION("""COMPUTED_VALUE"""),"")</f>
        <v/>
      </c>
      <c r="M2744" s="16" t="str">
        <f>IFERROR(__xludf.DUMMYFUNCTION("""COMPUTED_VALUE"""),"")</f>
        <v/>
      </c>
      <c r="U2744" s="16" t="s">
        <v>87</v>
      </c>
      <c r="V2744" s="16" t="str">
        <f>IFERROR(__xludf.DUMMYFUNCTION("""COMPUTED_VALUE"""),"")</f>
        <v/>
      </c>
      <c r="W2744" s="16" t="str">
        <f>IFERROR(__xludf.DUMMYFUNCTION("""COMPUTED_VALUE"""),"")</f>
        <v/>
      </c>
      <c r="X2744" s="16" t="str">
        <f>IFERROR(__xludf.DUMMYFUNCTION("""COMPUTED_VALUE"""),"")</f>
        <v/>
      </c>
      <c r="AC2744" s="16" t="str">
        <f>IFERROR(__xludf.DUMMYFUNCTION("""COMPUTED_VALUE"""),"")</f>
        <v/>
      </c>
    </row>
    <row r="2745">
      <c r="A2745" s="16" t="s">
        <v>87</v>
      </c>
      <c r="E2745" s="16" t="str">
        <f>IFERROR(__xludf.DUMMYFUNCTION("""COMPUTED_VALUE"""),"")</f>
        <v/>
      </c>
      <c r="G2745" s="18"/>
      <c r="H2745" s="16" t="s">
        <v>87</v>
      </c>
      <c r="I2745" s="16" t="s">
        <v>87</v>
      </c>
      <c r="J2745" s="19"/>
      <c r="L2745" s="16" t="str">
        <f>IFERROR(__xludf.DUMMYFUNCTION("""COMPUTED_VALUE"""),"")</f>
        <v/>
      </c>
      <c r="M2745" s="16" t="str">
        <f>IFERROR(__xludf.DUMMYFUNCTION("""COMPUTED_VALUE"""),"")</f>
        <v/>
      </c>
      <c r="U2745" s="16" t="s">
        <v>87</v>
      </c>
      <c r="V2745" s="16" t="str">
        <f>IFERROR(__xludf.DUMMYFUNCTION("""COMPUTED_VALUE"""),"")</f>
        <v/>
      </c>
      <c r="W2745" s="16" t="str">
        <f>IFERROR(__xludf.DUMMYFUNCTION("""COMPUTED_VALUE"""),"")</f>
        <v/>
      </c>
      <c r="X2745" s="16" t="str">
        <f>IFERROR(__xludf.DUMMYFUNCTION("""COMPUTED_VALUE"""),"")</f>
        <v/>
      </c>
      <c r="AC2745" s="16" t="str">
        <f>IFERROR(__xludf.DUMMYFUNCTION("""COMPUTED_VALUE"""),"")</f>
        <v/>
      </c>
    </row>
    <row r="2746">
      <c r="A2746" s="16" t="s">
        <v>87</v>
      </c>
      <c r="E2746" s="16" t="str">
        <f>IFERROR(__xludf.DUMMYFUNCTION("""COMPUTED_VALUE"""),"")</f>
        <v/>
      </c>
      <c r="G2746" s="18"/>
      <c r="H2746" s="16" t="s">
        <v>87</v>
      </c>
      <c r="I2746" s="16" t="s">
        <v>87</v>
      </c>
      <c r="J2746" s="19"/>
      <c r="L2746" s="16" t="str">
        <f>IFERROR(__xludf.DUMMYFUNCTION("""COMPUTED_VALUE"""),"")</f>
        <v/>
      </c>
      <c r="M2746" s="16" t="str">
        <f>IFERROR(__xludf.DUMMYFUNCTION("""COMPUTED_VALUE"""),"")</f>
        <v/>
      </c>
      <c r="U2746" s="16" t="s">
        <v>87</v>
      </c>
      <c r="V2746" s="16" t="str">
        <f>IFERROR(__xludf.DUMMYFUNCTION("""COMPUTED_VALUE"""),"")</f>
        <v/>
      </c>
      <c r="W2746" s="16" t="str">
        <f>IFERROR(__xludf.DUMMYFUNCTION("""COMPUTED_VALUE"""),"")</f>
        <v/>
      </c>
      <c r="X2746" s="16" t="str">
        <f>IFERROR(__xludf.DUMMYFUNCTION("""COMPUTED_VALUE"""),"")</f>
        <v/>
      </c>
      <c r="AC2746" s="16" t="str">
        <f>IFERROR(__xludf.DUMMYFUNCTION("""COMPUTED_VALUE"""),"")</f>
        <v/>
      </c>
    </row>
    <row r="2747">
      <c r="A2747" s="16" t="s">
        <v>87</v>
      </c>
      <c r="E2747" s="16" t="str">
        <f>IFERROR(__xludf.DUMMYFUNCTION("""COMPUTED_VALUE"""),"")</f>
        <v/>
      </c>
      <c r="G2747" s="18"/>
      <c r="H2747" s="16" t="s">
        <v>87</v>
      </c>
      <c r="I2747" s="16" t="s">
        <v>87</v>
      </c>
      <c r="J2747" s="19"/>
      <c r="L2747" s="16" t="str">
        <f>IFERROR(__xludf.DUMMYFUNCTION("""COMPUTED_VALUE"""),"")</f>
        <v/>
      </c>
      <c r="M2747" s="16" t="str">
        <f>IFERROR(__xludf.DUMMYFUNCTION("""COMPUTED_VALUE"""),"")</f>
        <v/>
      </c>
      <c r="U2747" s="16" t="s">
        <v>87</v>
      </c>
      <c r="V2747" s="16" t="str">
        <f>IFERROR(__xludf.DUMMYFUNCTION("""COMPUTED_VALUE"""),"")</f>
        <v/>
      </c>
      <c r="W2747" s="16" t="str">
        <f>IFERROR(__xludf.DUMMYFUNCTION("""COMPUTED_VALUE"""),"")</f>
        <v/>
      </c>
      <c r="X2747" s="16" t="str">
        <f>IFERROR(__xludf.DUMMYFUNCTION("""COMPUTED_VALUE"""),"")</f>
        <v/>
      </c>
      <c r="AC2747" s="16" t="str">
        <f>IFERROR(__xludf.DUMMYFUNCTION("""COMPUTED_VALUE"""),"")</f>
        <v/>
      </c>
    </row>
    <row r="2748">
      <c r="A2748" s="16" t="s">
        <v>87</v>
      </c>
      <c r="E2748" s="16" t="str">
        <f>IFERROR(__xludf.DUMMYFUNCTION("""COMPUTED_VALUE"""),"")</f>
        <v/>
      </c>
      <c r="G2748" s="18"/>
      <c r="H2748" s="16" t="s">
        <v>87</v>
      </c>
      <c r="I2748" s="16" t="s">
        <v>87</v>
      </c>
      <c r="J2748" s="19"/>
      <c r="L2748" s="16" t="str">
        <f>IFERROR(__xludf.DUMMYFUNCTION("""COMPUTED_VALUE"""),"")</f>
        <v/>
      </c>
      <c r="M2748" s="16" t="str">
        <f>IFERROR(__xludf.DUMMYFUNCTION("""COMPUTED_VALUE"""),"")</f>
        <v/>
      </c>
      <c r="U2748" s="16" t="s">
        <v>87</v>
      </c>
      <c r="V2748" s="16" t="str">
        <f>IFERROR(__xludf.DUMMYFUNCTION("""COMPUTED_VALUE"""),"")</f>
        <v/>
      </c>
      <c r="W2748" s="16" t="str">
        <f>IFERROR(__xludf.DUMMYFUNCTION("""COMPUTED_VALUE"""),"")</f>
        <v/>
      </c>
      <c r="X2748" s="16" t="str">
        <f>IFERROR(__xludf.DUMMYFUNCTION("""COMPUTED_VALUE"""),"")</f>
        <v/>
      </c>
      <c r="AC2748" s="16" t="str">
        <f>IFERROR(__xludf.DUMMYFUNCTION("""COMPUTED_VALUE"""),"")</f>
        <v/>
      </c>
    </row>
    <row r="2749">
      <c r="A2749" s="16" t="s">
        <v>87</v>
      </c>
      <c r="E2749" s="16" t="str">
        <f>IFERROR(__xludf.DUMMYFUNCTION("""COMPUTED_VALUE"""),"")</f>
        <v/>
      </c>
      <c r="G2749" s="18"/>
      <c r="H2749" s="16" t="s">
        <v>87</v>
      </c>
      <c r="I2749" s="16" t="s">
        <v>87</v>
      </c>
      <c r="J2749" s="19"/>
      <c r="L2749" s="16" t="str">
        <f>IFERROR(__xludf.DUMMYFUNCTION("""COMPUTED_VALUE"""),"")</f>
        <v/>
      </c>
      <c r="M2749" s="16" t="str">
        <f>IFERROR(__xludf.DUMMYFUNCTION("""COMPUTED_VALUE"""),"")</f>
        <v/>
      </c>
      <c r="U2749" s="16" t="s">
        <v>87</v>
      </c>
      <c r="V2749" s="16" t="str">
        <f>IFERROR(__xludf.DUMMYFUNCTION("""COMPUTED_VALUE"""),"")</f>
        <v/>
      </c>
      <c r="W2749" s="16" t="str">
        <f>IFERROR(__xludf.DUMMYFUNCTION("""COMPUTED_VALUE"""),"")</f>
        <v/>
      </c>
      <c r="X2749" s="16" t="str">
        <f>IFERROR(__xludf.DUMMYFUNCTION("""COMPUTED_VALUE"""),"")</f>
        <v/>
      </c>
      <c r="AC2749" s="16" t="str">
        <f>IFERROR(__xludf.DUMMYFUNCTION("""COMPUTED_VALUE"""),"")</f>
        <v/>
      </c>
    </row>
    <row r="2750">
      <c r="A2750" s="16" t="s">
        <v>87</v>
      </c>
      <c r="E2750" s="16" t="str">
        <f>IFERROR(__xludf.DUMMYFUNCTION("""COMPUTED_VALUE"""),"")</f>
        <v/>
      </c>
      <c r="G2750" s="18"/>
      <c r="H2750" s="16" t="s">
        <v>87</v>
      </c>
      <c r="I2750" s="16" t="s">
        <v>87</v>
      </c>
      <c r="J2750" s="19"/>
      <c r="L2750" s="16" t="str">
        <f>IFERROR(__xludf.DUMMYFUNCTION("""COMPUTED_VALUE"""),"")</f>
        <v/>
      </c>
      <c r="M2750" s="16" t="str">
        <f>IFERROR(__xludf.DUMMYFUNCTION("""COMPUTED_VALUE"""),"")</f>
        <v/>
      </c>
      <c r="U2750" s="16" t="s">
        <v>87</v>
      </c>
      <c r="V2750" s="16" t="str">
        <f>IFERROR(__xludf.DUMMYFUNCTION("""COMPUTED_VALUE"""),"")</f>
        <v/>
      </c>
      <c r="W2750" s="16" t="str">
        <f>IFERROR(__xludf.DUMMYFUNCTION("""COMPUTED_VALUE"""),"")</f>
        <v/>
      </c>
      <c r="X2750" s="16" t="str">
        <f>IFERROR(__xludf.DUMMYFUNCTION("""COMPUTED_VALUE"""),"")</f>
        <v/>
      </c>
      <c r="AC2750" s="16" t="str">
        <f>IFERROR(__xludf.DUMMYFUNCTION("""COMPUTED_VALUE"""),"")</f>
        <v/>
      </c>
    </row>
    <row r="2751">
      <c r="A2751" s="16" t="s">
        <v>87</v>
      </c>
      <c r="E2751" s="16" t="str">
        <f>IFERROR(__xludf.DUMMYFUNCTION("""COMPUTED_VALUE"""),"")</f>
        <v/>
      </c>
      <c r="G2751" s="18"/>
      <c r="H2751" s="16" t="s">
        <v>87</v>
      </c>
      <c r="I2751" s="16" t="s">
        <v>87</v>
      </c>
      <c r="J2751" s="19"/>
      <c r="L2751" s="16" t="str">
        <f>IFERROR(__xludf.DUMMYFUNCTION("""COMPUTED_VALUE"""),"")</f>
        <v/>
      </c>
      <c r="M2751" s="16" t="str">
        <f>IFERROR(__xludf.DUMMYFUNCTION("""COMPUTED_VALUE"""),"")</f>
        <v/>
      </c>
      <c r="U2751" s="16" t="s">
        <v>87</v>
      </c>
      <c r="V2751" s="16" t="str">
        <f>IFERROR(__xludf.DUMMYFUNCTION("""COMPUTED_VALUE"""),"")</f>
        <v/>
      </c>
      <c r="W2751" s="16" t="str">
        <f>IFERROR(__xludf.DUMMYFUNCTION("""COMPUTED_VALUE"""),"")</f>
        <v/>
      </c>
      <c r="X2751" s="16" t="str">
        <f>IFERROR(__xludf.DUMMYFUNCTION("""COMPUTED_VALUE"""),"")</f>
        <v/>
      </c>
      <c r="AC2751" s="16" t="str">
        <f>IFERROR(__xludf.DUMMYFUNCTION("""COMPUTED_VALUE"""),"")</f>
        <v/>
      </c>
    </row>
    <row r="2752">
      <c r="A2752" s="16" t="s">
        <v>87</v>
      </c>
      <c r="E2752" s="16" t="str">
        <f>IFERROR(__xludf.DUMMYFUNCTION("""COMPUTED_VALUE"""),"")</f>
        <v/>
      </c>
      <c r="G2752" s="18"/>
      <c r="H2752" s="16" t="s">
        <v>87</v>
      </c>
      <c r="I2752" s="16" t="s">
        <v>87</v>
      </c>
      <c r="J2752" s="19"/>
      <c r="L2752" s="16" t="str">
        <f>IFERROR(__xludf.DUMMYFUNCTION("""COMPUTED_VALUE"""),"")</f>
        <v/>
      </c>
      <c r="M2752" s="16" t="str">
        <f>IFERROR(__xludf.DUMMYFUNCTION("""COMPUTED_VALUE"""),"")</f>
        <v/>
      </c>
      <c r="U2752" s="16" t="s">
        <v>87</v>
      </c>
      <c r="V2752" s="16" t="str">
        <f>IFERROR(__xludf.DUMMYFUNCTION("""COMPUTED_VALUE"""),"")</f>
        <v/>
      </c>
      <c r="W2752" s="16" t="str">
        <f>IFERROR(__xludf.DUMMYFUNCTION("""COMPUTED_VALUE"""),"")</f>
        <v/>
      </c>
      <c r="X2752" s="16" t="str">
        <f>IFERROR(__xludf.DUMMYFUNCTION("""COMPUTED_VALUE"""),"")</f>
        <v/>
      </c>
      <c r="AC2752" s="16" t="str">
        <f>IFERROR(__xludf.DUMMYFUNCTION("""COMPUTED_VALUE"""),"")</f>
        <v/>
      </c>
    </row>
    <row r="2753">
      <c r="A2753" s="16" t="s">
        <v>87</v>
      </c>
      <c r="E2753" s="16" t="str">
        <f>IFERROR(__xludf.DUMMYFUNCTION("""COMPUTED_VALUE"""),"")</f>
        <v/>
      </c>
      <c r="G2753" s="18"/>
      <c r="H2753" s="16" t="s">
        <v>87</v>
      </c>
      <c r="I2753" s="16" t="s">
        <v>87</v>
      </c>
      <c r="J2753" s="19"/>
      <c r="L2753" s="16" t="str">
        <f>IFERROR(__xludf.DUMMYFUNCTION("""COMPUTED_VALUE"""),"")</f>
        <v/>
      </c>
      <c r="M2753" s="16" t="str">
        <f>IFERROR(__xludf.DUMMYFUNCTION("""COMPUTED_VALUE"""),"")</f>
        <v/>
      </c>
      <c r="U2753" s="16" t="s">
        <v>87</v>
      </c>
      <c r="V2753" s="16" t="str">
        <f>IFERROR(__xludf.DUMMYFUNCTION("""COMPUTED_VALUE"""),"")</f>
        <v/>
      </c>
      <c r="W2753" s="16" t="str">
        <f>IFERROR(__xludf.DUMMYFUNCTION("""COMPUTED_VALUE"""),"")</f>
        <v/>
      </c>
      <c r="X2753" s="16" t="str">
        <f>IFERROR(__xludf.DUMMYFUNCTION("""COMPUTED_VALUE"""),"")</f>
        <v/>
      </c>
      <c r="AC2753" s="16" t="str">
        <f>IFERROR(__xludf.DUMMYFUNCTION("""COMPUTED_VALUE"""),"")</f>
        <v/>
      </c>
    </row>
    <row r="2754">
      <c r="A2754" s="16" t="s">
        <v>87</v>
      </c>
      <c r="E2754" s="16" t="str">
        <f>IFERROR(__xludf.DUMMYFUNCTION("""COMPUTED_VALUE"""),"")</f>
        <v/>
      </c>
      <c r="G2754" s="18"/>
      <c r="H2754" s="16" t="s">
        <v>87</v>
      </c>
      <c r="I2754" s="16" t="s">
        <v>87</v>
      </c>
      <c r="J2754" s="19"/>
      <c r="L2754" s="16" t="str">
        <f>IFERROR(__xludf.DUMMYFUNCTION("""COMPUTED_VALUE"""),"")</f>
        <v/>
      </c>
      <c r="M2754" s="16" t="str">
        <f>IFERROR(__xludf.DUMMYFUNCTION("""COMPUTED_VALUE"""),"")</f>
        <v/>
      </c>
      <c r="U2754" s="16" t="s">
        <v>87</v>
      </c>
      <c r="V2754" s="16" t="str">
        <f>IFERROR(__xludf.DUMMYFUNCTION("""COMPUTED_VALUE"""),"")</f>
        <v/>
      </c>
      <c r="W2754" s="16" t="str">
        <f>IFERROR(__xludf.DUMMYFUNCTION("""COMPUTED_VALUE"""),"")</f>
        <v/>
      </c>
      <c r="X2754" s="16" t="str">
        <f>IFERROR(__xludf.DUMMYFUNCTION("""COMPUTED_VALUE"""),"")</f>
        <v/>
      </c>
      <c r="AC2754" s="16" t="str">
        <f>IFERROR(__xludf.DUMMYFUNCTION("""COMPUTED_VALUE"""),"")</f>
        <v/>
      </c>
    </row>
    <row r="2755">
      <c r="A2755" s="16" t="s">
        <v>87</v>
      </c>
      <c r="E2755" s="16" t="str">
        <f>IFERROR(__xludf.DUMMYFUNCTION("""COMPUTED_VALUE"""),"")</f>
        <v/>
      </c>
      <c r="G2755" s="18"/>
      <c r="H2755" s="16" t="s">
        <v>87</v>
      </c>
      <c r="I2755" s="16" t="s">
        <v>87</v>
      </c>
      <c r="J2755" s="19"/>
      <c r="L2755" s="16" t="str">
        <f>IFERROR(__xludf.DUMMYFUNCTION("""COMPUTED_VALUE"""),"")</f>
        <v/>
      </c>
      <c r="M2755" s="16" t="str">
        <f>IFERROR(__xludf.DUMMYFUNCTION("""COMPUTED_VALUE"""),"")</f>
        <v/>
      </c>
      <c r="U2755" s="16" t="s">
        <v>87</v>
      </c>
      <c r="V2755" s="16" t="str">
        <f>IFERROR(__xludf.DUMMYFUNCTION("""COMPUTED_VALUE"""),"")</f>
        <v/>
      </c>
      <c r="W2755" s="16" t="str">
        <f>IFERROR(__xludf.DUMMYFUNCTION("""COMPUTED_VALUE"""),"")</f>
        <v/>
      </c>
      <c r="X2755" s="16" t="str">
        <f>IFERROR(__xludf.DUMMYFUNCTION("""COMPUTED_VALUE"""),"")</f>
        <v/>
      </c>
      <c r="AC2755" s="16" t="str">
        <f>IFERROR(__xludf.DUMMYFUNCTION("""COMPUTED_VALUE"""),"")</f>
        <v/>
      </c>
    </row>
    <row r="2756">
      <c r="A2756" s="16" t="s">
        <v>87</v>
      </c>
      <c r="E2756" s="16" t="str">
        <f>IFERROR(__xludf.DUMMYFUNCTION("""COMPUTED_VALUE"""),"")</f>
        <v/>
      </c>
      <c r="G2756" s="18"/>
      <c r="H2756" s="16" t="s">
        <v>87</v>
      </c>
      <c r="I2756" s="16" t="s">
        <v>87</v>
      </c>
      <c r="J2756" s="19"/>
      <c r="L2756" s="16" t="str">
        <f>IFERROR(__xludf.DUMMYFUNCTION("""COMPUTED_VALUE"""),"")</f>
        <v/>
      </c>
      <c r="M2756" s="16" t="str">
        <f>IFERROR(__xludf.DUMMYFUNCTION("""COMPUTED_VALUE"""),"")</f>
        <v/>
      </c>
      <c r="U2756" s="16" t="s">
        <v>87</v>
      </c>
      <c r="V2756" s="16" t="str">
        <f>IFERROR(__xludf.DUMMYFUNCTION("""COMPUTED_VALUE"""),"")</f>
        <v/>
      </c>
      <c r="W2756" s="16" t="str">
        <f>IFERROR(__xludf.DUMMYFUNCTION("""COMPUTED_VALUE"""),"")</f>
        <v/>
      </c>
      <c r="X2756" s="16" t="str">
        <f>IFERROR(__xludf.DUMMYFUNCTION("""COMPUTED_VALUE"""),"")</f>
        <v/>
      </c>
      <c r="AC2756" s="16" t="str">
        <f>IFERROR(__xludf.DUMMYFUNCTION("""COMPUTED_VALUE"""),"")</f>
        <v/>
      </c>
    </row>
    <row r="2757">
      <c r="A2757" s="16" t="s">
        <v>87</v>
      </c>
      <c r="E2757" s="16" t="str">
        <f>IFERROR(__xludf.DUMMYFUNCTION("""COMPUTED_VALUE"""),"")</f>
        <v/>
      </c>
      <c r="G2757" s="18"/>
      <c r="H2757" s="16" t="s">
        <v>87</v>
      </c>
      <c r="I2757" s="16" t="s">
        <v>87</v>
      </c>
      <c r="J2757" s="19"/>
      <c r="L2757" s="16" t="str">
        <f>IFERROR(__xludf.DUMMYFUNCTION("""COMPUTED_VALUE"""),"")</f>
        <v/>
      </c>
      <c r="M2757" s="16" t="str">
        <f>IFERROR(__xludf.DUMMYFUNCTION("""COMPUTED_VALUE"""),"")</f>
        <v/>
      </c>
      <c r="U2757" s="16" t="s">
        <v>87</v>
      </c>
      <c r="V2757" s="16" t="str">
        <f>IFERROR(__xludf.DUMMYFUNCTION("""COMPUTED_VALUE"""),"")</f>
        <v/>
      </c>
      <c r="W2757" s="16" t="str">
        <f>IFERROR(__xludf.DUMMYFUNCTION("""COMPUTED_VALUE"""),"")</f>
        <v/>
      </c>
      <c r="X2757" s="16" t="str">
        <f>IFERROR(__xludf.DUMMYFUNCTION("""COMPUTED_VALUE"""),"")</f>
        <v/>
      </c>
      <c r="AC2757" s="16" t="str">
        <f>IFERROR(__xludf.DUMMYFUNCTION("""COMPUTED_VALUE"""),"")</f>
        <v/>
      </c>
    </row>
    <row r="2758">
      <c r="A2758" s="16" t="s">
        <v>87</v>
      </c>
      <c r="E2758" s="16" t="str">
        <f>IFERROR(__xludf.DUMMYFUNCTION("""COMPUTED_VALUE"""),"")</f>
        <v/>
      </c>
      <c r="G2758" s="18"/>
      <c r="H2758" s="16" t="s">
        <v>87</v>
      </c>
      <c r="I2758" s="16" t="s">
        <v>87</v>
      </c>
      <c r="J2758" s="19"/>
      <c r="L2758" s="16" t="str">
        <f>IFERROR(__xludf.DUMMYFUNCTION("""COMPUTED_VALUE"""),"")</f>
        <v/>
      </c>
      <c r="M2758" s="16" t="str">
        <f>IFERROR(__xludf.DUMMYFUNCTION("""COMPUTED_VALUE"""),"")</f>
        <v/>
      </c>
      <c r="U2758" s="16" t="s">
        <v>87</v>
      </c>
      <c r="V2758" s="16" t="str">
        <f>IFERROR(__xludf.DUMMYFUNCTION("""COMPUTED_VALUE"""),"")</f>
        <v/>
      </c>
      <c r="W2758" s="16" t="str">
        <f>IFERROR(__xludf.DUMMYFUNCTION("""COMPUTED_VALUE"""),"")</f>
        <v/>
      </c>
      <c r="X2758" s="16" t="str">
        <f>IFERROR(__xludf.DUMMYFUNCTION("""COMPUTED_VALUE"""),"")</f>
        <v/>
      </c>
      <c r="AC2758" s="16" t="str">
        <f>IFERROR(__xludf.DUMMYFUNCTION("""COMPUTED_VALUE"""),"")</f>
        <v/>
      </c>
    </row>
    <row r="2759">
      <c r="A2759" s="16" t="s">
        <v>87</v>
      </c>
      <c r="E2759" s="16" t="str">
        <f>IFERROR(__xludf.DUMMYFUNCTION("""COMPUTED_VALUE"""),"")</f>
        <v/>
      </c>
      <c r="G2759" s="18"/>
      <c r="H2759" s="16" t="s">
        <v>87</v>
      </c>
      <c r="I2759" s="16" t="s">
        <v>87</v>
      </c>
      <c r="J2759" s="19"/>
      <c r="L2759" s="16" t="str">
        <f>IFERROR(__xludf.DUMMYFUNCTION("""COMPUTED_VALUE"""),"")</f>
        <v/>
      </c>
      <c r="M2759" s="16" t="str">
        <f>IFERROR(__xludf.DUMMYFUNCTION("""COMPUTED_VALUE"""),"")</f>
        <v/>
      </c>
      <c r="U2759" s="16" t="s">
        <v>87</v>
      </c>
      <c r="V2759" s="16" t="str">
        <f>IFERROR(__xludf.DUMMYFUNCTION("""COMPUTED_VALUE"""),"")</f>
        <v/>
      </c>
      <c r="W2759" s="16" t="str">
        <f>IFERROR(__xludf.DUMMYFUNCTION("""COMPUTED_VALUE"""),"")</f>
        <v/>
      </c>
      <c r="X2759" s="16" t="str">
        <f>IFERROR(__xludf.DUMMYFUNCTION("""COMPUTED_VALUE"""),"")</f>
        <v/>
      </c>
      <c r="AC2759" s="16" t="str">
        <f>IFERROR(__xludf.DUMMYFUNCTION("""COMPUTED_VALUE"""),"")</f>
        <v/>
      </c>
    </row>
    <row r="2760">
      <c r="A2760" s="16" t="s">
        <v>87</v>
      </c>
      <c r="E2760" s="16" t="str">
        <f>IFERROR(__xludf.DUMMYFUNCTION("""COMPUTED_VALUE"""),"")</f>
        <v/>
      </c>
      <c r="G2760" s="18"/>
      <c r="H2760" s="16" t="s">
        <v>87</v>
      </c>
      <c r="I2760" s="16" t="s">
        <v>87</v>
      </c>
      <c r="J2760" s="19"/>
      <c r="L2760" s="16" t="str">
        <f>IFERROR(__xludf.DUMMYFUNCTION("""COMPUTED_VALUE"""),"")</f>
        <v/>
      </c>
      <c r="M2760" s="16" t="str">
        <f>IFERROR(__xludf.DUMMYFUNCTION("""COMPUTED_VALUE"""),"")</f>
        <v/>
      </c>
      <c r="U2760" s="16" t="s">
        <v>87</v>
      </c>
      <c r="V2760" s="16" t="str">
        <f>IFERROR(__xludf.DUMMYFUNCTION("""COMPUTED_VALUE"""),"")</f>
        <v/>
      </c>
      <c r="W2760" s="16" t="str">
        <f>IFERROR(__xludf.DUMMYFUNCTION("""COMPUTED_VALUE"""),"")</f>
        <v/>
      </c>
      <c r="X2760" s="16" t="str">
        <f>IFERROR(__xludf.DUMMYFUNCTION("""COMPUTED_VALUE"""),"")</f>
        <v/>
      </c>
      <c r="AC2760" s="16" t="str">
        <f>IFERROR(__xludf.DUMMYFUNCTION("""COMPUTED_VALUE"""),"")</f>
        <v/>
      </c>
    </row>
    <row r="2761">
      <c r="A2761" s="16" t="s">
        <v>87</v>
      </c>
      <c r="E2761" s="16" t="str">
        <f>IFERROR(__xludf.DUMMYFUNCTION("""COMPUTED_VALUE"""),"")</f>
        <v/>
      </c>
      <c r="G2761" s="18"/>
      <c r="H2761" s="16" t="s">
        <v>87</v>
      </c>
      <c r="I2761" s="16" t="s">
        <v>87</v>
      </c>
      <c r="J2761" s="19"/>
      <c r="L2761" s="16" t="str">
        <f>IFERROR(__xludf.DUMMYFUNCTION("""COMPUTED_VALUE"""),"")</f>
        <v/>
      </c>
      <c r="M2761" s="16" t="str">
        <f>IFERROR(__xludf.DUMMYFUNCTION("""COMPUTED_VALUE"""),"")</f>
        <v/>
      </c>
      <c r="U2761" s="16" t="s">
        <v>87</v>
      </c>
      <c r="V2761" s="16" t="str">
        <f>IFERROR(__xludf.DUMMYFUNCTION("""COMPUTED_VALUE"""),"")</f>
        <v/>
      </c>
      <c r="W2761" s="16" t="str">
        <f>IFERROR(__xludf.DUMMYFUNCTION("""COMPUTED_VALUE"""),"")</f>
        <v/>
      </c>
      <c r="X2761" s="16" t="str">
        <f>IFERROR(__xludf.DUMMYFUNCTION("""COMPUTED_VALUE"""),"")</f>
        <v/>
      </c>
      <c r="AC2761" s="16" t="str">
        <f>IFERROR(__xludf.DUMMYFUNCTION("""COMPUTED_VALUE"""),"")</f>
        <v/>
      </c>
    </row>
    <row r="2762">
      <c r="A2762" s="16" t="s">
        <v>87</v>
      </c>
      <c r="E2762" s="16" t="str">
        <f>IFERROR(__xludf.DUMMYFUNCTION("""COMPUTED_VALUE"""),"")</f>
        <v/>
      </c>
      <c r="G2762" s="18"/>
      <c r="H2762" s="16" t="s">
        <v>87</v>
      </c>
      <c r="I2762" s="16" t="s">
        <v>87</v>
      </c>
      <c r="J2762" s="19"/>
      <c r="L2762" s="16" t="str">
        <f>IFERROR(__xludf.DUMMYFUNCTION("""COMPUTED_VALUE"""),"")</f>
        <v/>
      </c>
      <c r="M2762" s="16" t="str">
        <f>IFERROR(__xludf.DUMMYFUNCTION("""COMPUTED_VALUE"""),"")</f>
        <v/>
      </c>
      <c r="U2762" s="16" t="s">
        <v>87</v>
      </c>
      <c r="V2762" s="16" t="str">
        <f>IFERROR(__xludf.DUMMYFUNCTION("""COMPUTED_VALUE"""),"")</f>
        <v/>
      </c>
      <c r="W2762" s="16" t="str">
        <f>IFERROR(__xludf.DUMMYFUNCTION("""COMPUTED_VALUE"""),"")</f>
        <v/>
      </c>
      <c r="X2762" s="16" t="str">
        <f>IFERROR(__xludf.DUMMYFUNCTION("""COMPUTED_VALUE"""),"")</f>
        <v/>
      </c>
      <c r="AC2762" s="16" t="str">
        <f>IFERROR(__xludf.DUMMYFUNCTION("""COMPUTED_VALUE"""),"")</f>
        <v/>
      </c>
    </row>
    <row r="2763">
      <c r="A2763" s="16" t="s">
        <v>87</v>
      </c>
      <c r="E2763" s="16" t="str">
        <f>IFERROR(__xludf.DUMMYFUNCTION("""COMPUTED_VALUE"""),"")</f>
        <v/>
      </c>
      <c r="G2763" s="18"/>
      <c r="H2763" s="16" t="s">
        <v>87</v>
      </c>
      <c r="I2763" s="16" t="s">
        <v>87</v>
      </c>
      <c r="J2763" s="19"/>
      <c r="L2763" s="16" t="str">
        <f>IFERROR(__xludf.DUMMYFUNCTION("""COMPUTED_VALUE"""),"")</f>
        <v/>
      </c>
      <c r="M2763" s="16" t="str">
        <f>IFERROR(__xludf.DUMMYFUNCTION("""COMPUTED_VALUE"""),"")</f>
        <v/>
      </c>
      <c r="U2763" s="16" t="s">
        <v>87</v>
      </c>
      <c r="V2763" s="16" t="str">
        <f>IFERROR(__xludf.DUMMYFUNCTION("""COMPUTED_VALUE"""),"")</f>
        <v/>
      </c>
      <c r="W2763" s="16" t="str">
        <f>IFERROR(__xludf.DUMMYFUNCTION("""COMPUTED_VALUE"""),"")</f>
        <v/>
      </c>
      <c r="X2763" s="16" t="str">
        <f>IFERROR(__xludf.DUMMYFUNCTION("""COMPUTED_VALUE"""),"")</f>
        <v/>
      </c>
      <c r="AC2763" s="16" t="str">
        <f>IFERROR(__xludf.DUMMYFUNCTION("""COMPUTED_VALUE"""),"")</f>
        <v/>
      </c>
    </row>
    <row r="2764">
      <c r="A2764" s="16" t="s">
        <v>87</v>
      </c>
      <c r="E2764" s="16" t="str">
        <f>IFERROR(__xludf.DUMMYFUNCTION("""COMPUTED_VALUE"""),"")</f>
        <v/>
      </c>
      <c r="G2764" s="18"/>
      <c r="H2764" s="16" t="s">
        <v>87</v>
      </c>
      <c r="I2764" s="16" t="s">
        <v>87</v>
      </c>
      <c r="J2764" s="19"/>
      <c r="L2764" s="16" t="str">
        <f>IFERROR(__xludf.DUMMYFUNCTION("""COMPUTED_VALUE"""),"")</f>
        <v/>
      </c>
      <c r="M2764" s="16" t="str">
        <f>IFERROR(__xludf.DUMMYFUNCTION("""COMPUTED_VALUE"""),"")</f>
        <v/>
      </c>
      <c r="U2764" s="16" t="s">
        <v>87</v>
      </c>
      <c r="V2764" s="16" t="str">
        <f>IFERROR(__xludf.DUMMYFUNCTION("""COMPUTED_VALUE"""),"")</f>
        <v/>
      </c>
      <c r="W2764" s="16" t="str">
        <f>IFERROR(__xludf.DUMMYFUNCTION("""COMPUTED_VALUE"""),"")</f>
        <v/>
      </c>
      <c r="X2764" s="16" t="str">
        <f>IFERROR(__xludf.DUMMYFUNCTION("""COMPUTED_VALUE"""),"")</f>
        <v/>
      </c>
      <c r="AC2764" s="16" t="str">
        <f>IFERROR(__xludf.DUMMYFUNCTION("""COMPUTED_VALUE"""),"")</f>
        <v/>
      </c>
    </row>
    <row r="2765">
      <c r="A2765" s="16" t="s">
        <v>87</v>
      </c>
      <c r="E2765" s="16" t="str">
        <f>IFERROR(__xludf.DUMMYFUNCTION("""COMPUTED_VALUE"""),"")</f>
        <v/>
      </c>
      <c r="G2765" s="18"/>
      <c r="H2765" s="16" t="s">
        <v>87</v>
      </c>
      <c r="I2765" s="16" t="s">
        <v>87</v>
      </c>
      <c r="J2765" s="19"/>
      <c r="L2765" s="16" t="str">
        <f>IFERROR(__xludf.DUMMYFUNCTION("""COMPUTED_VALUE"""),"")</f>
        <v/>
      </c>
      <c r="M2765" s="16" t="str">
        <f>IFERROR(__xludf.DUMMYFUNCTION("""COMPUTED_VALUE"""),"")</f>
        <v/>
      </c>
      <c r="U2765" s="16" t="s">
        <v>87</v>
      </c>
      <c r="V2765" s="16" t="str">
        <f>IFERROR(__xludf.DUMMYFUNCTION("""COMPUTED_VALUE"""),"")</f>
        <v/>
      </c>
      <c r="W2765" s="16" t="str">
        <f>IFERROR(__xludf.DUMMYFUNCTION("""COMPUTED_VALUE"""),"")</f>
        <v/>
      </c>
      <c r="X2765" s="16" t="str">
        <f>IFERROR(__xludf.DUMMYFUNCTION("""COMPUTED_VALUE"""),"")</f>
        <v/>
      </c>
      <c r="AC2765" s="16" t="str">
        <f>IFERROR(__xludf.DUMMYFUNCTION("""COMPUTED_VALUE"""),"")</f>
        <v/>
      </c>
    </row>
    <row r="2766">
      <c r="A2766" s="16" t="s">
        <v>87</v>
      </c>
      <c r="E2766" s="16" t="str">
        <f>IFERROR(__xludf.DUMMYFUNCTION("""COMPUTED_VALUE"""),"")</f>
        <v/>
      </c>
      <c r="G2766" s="18"/>
      <c r="H2766" s="16" t="s">
        <v>87</v>
      </c>
      <c r="I2766" s="16" t="s">
        <v>87</v>
      </c>
      <c r="J2766" s="19"/>
      <c r="L2766" s="16" t="str">
        <f>IFERROR(__xludf.DUMMYFUNCTION("""COMPUTED_VALUE"""),"")</f>
        <v/>
      </c>
      <c r="M2766" s="16" t="str">
        <f>IFERROR(__xludf.DUMMYFUNCTION("""COMPUTED_VALUE"""),"")</f>
        <v/>
      </c>
      <c r="U2766" s="16" t="s">
        <v>87</v>
      </c>
      <c r="V2766" s="16" t="str">
        <f>IFERROR(__xludf.DUMMYFUNCTION("""COMPUTED_VALUE"""),"")</f>
        <v/>
      </c>
      <c r="W2766" s="16" t="str">
        <f>IFERROR(__xludf.DUMMYFUNCTION("""COMPUTED_VALUE"""),"")</f>
        <v/>
      </c>
      <c r="X2766" s="16" t="str">
        <f>IFERROR(__xludf.DUMMYFUNCTION("""COMPUTED_VALUE"""),"")</f>
        <v/>
      </c>
      <c r="AC2766" s="16" t="str">
        <f>IFERROR(__xludf.DUMMYFUNCTION("""COMPUTED_VALUE"""),"")</f>
        <v/>
      </c>
    </row>
    <row r="2767">
      <c r="A2767" s="16" t="s">
        <v>87</v>
      </c>
      <c r="E2767" s="16" t="str">
        <f>IFERROR(__xludf.DUMMYFUNCTION("""COMPUTED_VALUE"""),"")</f>
        <v/>
      </c>
      <c r="G2767" s="18"/>
      <c r="H2767" s="16" t="s">
        <v>87</v>
      </c>
      <c r="I2767" s="16" t="s">
        <v>87</v>
      </c>
      <c r="J2767" s="19"/>
      <c r="L2767" s="16" t="str">
        <f>IFERROR(__xludf.DUMMYFUNCTION("""COMPUTED_VALUE"""),"")</f>
        <v/>
      </c>
      <c r="M2767" s="16" t="str">
        <f>IFERROR(__xludf.DUMMYFUNCTION("""COMPUTED_VALUE"""),"")</f>
        <v/>
      </c>
      <c r="U2767" s="16" t="s">
        <v>87</v>
      </c>
      <c r="V2767" s="16" t="str">
        <f>IFERROR(__xludf.DUMMYFUNCTION("""COMPUTED_VALUE"""),"")</f>
        <v/>
      </c>
      <c r="W2767" s="16" t="str">
        <f>IFERROR(__xludf.DUMMYFUNCTION("""COMPUTED_VALUE"""),"")</f>
        <v/>
      </c>
      <c r="X2767" s="16" t="str">
        <f>IFERROR(__xludf.DUMMYFUNCTION("""COMPUTED_VALUE"""),"")</f>
        <v/>
      </c>
      <c r="AC2767" s="16" t="str">
        <f>IFERROR(__xludf.DUMMYFUNCTION("""COMPUTED_VALUE"""),"")</f>
        <v/>
      </c>
    </row>
    <row r="2768">
      <c r="A2768" s="16" t="s">
        <v>87</v>
      </c>
      <c r="E2768" s="16" t="str">
        <f>IFERROR(__xludf.DUMMYFUNCTION("""COMPUTED_VALUE"""),"")</f>
        <v/>
      </c>
      <c r="G2768" s="18"/>
      <c r="H2768" s="16" t="s">
        <v>87</v>
      </c>
      <c r="I2768" s="16" t="s">
        <v>87</v>
      </c>
      <c r="J2768" s="19"/>
      <c r="L2768" s="16" t="str">
        <f>IFERROR(__xludf.DUMMYFUNCTION("""COMPUTED_VALUE"""),"")</f>
        <v/>
      </c>
      <c r="M2768" s="16" t="str">
        <f>IFERROR(__xludf.DUMMYFUNCTION("""COMPUTED_VALUE"""),"")</f>
        <v/>
      </c>
      <c r="U2768" s="16" t="s">
        <v>87</v>
      </c>
      <c r="V2768" s="16" t="str">
        <f>IFERROR(__xludf.DUMMYFUNCTION("""COMPUTED_VALUE"""),"")</f>
        <v/>
      </c>
      <c r="W2768" s="16" t="str">
        <f>IFERROR(__xludf.DUMMYFUNCTION("""COMPUTED_VALUE"""),"")</f>
        <v/>
      </c>
      <c r="X2768" s="16" t="str">
        <f>IFERROR(__xludf.DUMMYFUNCTION("""COMPUTED_VALUE"""),"")</f>
        <v/>
      </c>
      <c r="AC2768" s="16" t="str">
        <f>IFERROR(__xludf.DUMMYFUNCTION("""COMPUTED_VALUE"""),"")</f>
        <v/>
      </c>
    </row>
    <row r="2769">
      <c r="A2769" s="16" t="s">
        <v>87</v>
      </c>
      <c r="E2769" s="16" t="str">
        <f>IFERROR(__xludf.DUMMYFUNCTION("""COMPUTED_VALUE"""),"")</f>
        <v/>
      </c>
      <c r="G2769" s="18"/>
      <c r="H2769" s="16" t="s">
        <v>87</v>
      </c>
      <c r="I2769" s="16" t="s">
        <v>87</v>
      </c>
      <c r="J2769" s="19"/>
      <c r="L2769" s="16" t="str">
        <f>IFERROR(__xludf.DUMMYFUNCTION("""COMPUTED_VALUE"""),"")</f>
        <v/>
      </c>
      <c r="M2769" s="16" t="str">
        <f>IFERROR(__xludf.DUMMYFUNCTION("""COMPUTED_VALUE"""),"")</f>
        <v/>
      </c>
      <c r="U2769" s="16" t="s">
        <v>87</v>
      </c>
      <c r="V2769" s="16" t="str">
        <f>IFERROR(__xludf.DUMMYFUNCTION("""COMPUTED_VALUE"""),"")</f>
        <v/>
      </c>
      <c r="W2769" s="16" t="str">
        <f>IFERROR(__xludf.DUMMYFUNCTION("""COMPUTED_VALUE"""),"")</f>
        <v/>
      </c>
      <c r="X2769" s="16" t="str">
        <f>IFERROR(__xludf.DUMMYFUNCTION("""COMPUTED_VALUE"""),"")</f>
        <v/>
      </c>
      <c r="AC2769" s="16" t="str">
        <f>IFERROR(__xludf.DUMMYFUNCTION("""COMPUTED_VALUE"""),"")</f>
        <v/>
      </c>
    </row>
    <row r="2770">
      <c r="A2770" s="16" t="s">
        <v>87</v>
      </c>
      <c r="E2770" s="16" t="str">
        <f>IFERROR(__xludf.DUMMYFUNCTION("""COMPUTED_VALUE"""),"")</f>
        <v/>
      </c>
      <c r="G2770" s="18"/>
      <c r="H2770" s="16" t="s">
        <v>87</v>
      </c>
      <c r="I2770" s="16" t="s">
        <v>87</v>
      </c>
      <c r="J2770" s="19"/>
      <c r="L2770" s="16" t="str">
        <f>IFERROR(__xludf.DUMMYFUNCTION("""COMPUTED_VALUE"""),"")</f>
        <v/>
      </c>
      <c r="M2770" s="16" t="str">
        <f>IFERROR(__xludf.DUMMYFUNCTION("""COMPUTED_VALUE"""),"")</f>
        <v/>
      </c>
      <c r="U2770" s="16" t="s">
        <v>87</v>
      </c>
      <c r="V2770" s="16" t="str">
        <f>IFERROR(__xludf.DUMMYFUNCTION("""COMPUTED_VALUE"""),"")</f>
        <v/>
      </c>
      <c r="W2770" s="16" t="str">
        <f>IFERROR(__xludf.DUMMYFUNCTION("""COMPUTED_VALUE"""),"")</f>
        <v/>
      </c>
      <c r="X2770" s="16" t="str">
        <f>IFERROR(__xludf.DUMMYFUNCTION("""COMPUTED_VALUE"""),"")</f>
        <v/>
      </c>
      <c r="AC2770" s="16" t="str">
        <f>IFERROR(__xludf.DUMMYFUNCTION("""COMPUTED_VALUE"""),"")</f>
        <v/>
      </c>
    </row>
    <row r="2771">
      <c r="A2771" s="16" t="s">
        <v>87</v>
      </c>
      <c r="E2771" s="16" t="str">
        <f>IFERROR(__xludf.DUMMYFUNCTION("""COMPUTED_VALUE"""),"")</f>
        <v/>
      </c>
      <c r="G2771" s="18"/>
      <c r="H2771" s="16" t="s">
        <v>87</v>
      </c>
      <c r="I2771" s="16" t="s">
        <v>87</v>
      </c>
      <c r="J2771" s="19"/>
      <c r="L2771" s="16" t="str">
        <f>IFERROR(__xludf.DUMMYFUNCTION("""COMPUTED_VALUE"""),"")</f>
        <v/>
      </c>
      <c r="M2771" s="16" t="str">
        <f>IFERROR(__xludf.DUMMYFUNCTION("""COMPUTED_VALUE"""),"")</f>
        <v/>
      </c>
      <c r="U2771" s="16" t="s">
        <v>87</v>
      </c>
      <c r="V2771" s="16" t="str">
        <f>IFERROR(__xludf.DUMMYFUNCTION("""COMPUTED_VALUE"""),"")</f>
        <v/>
      </c>
      <c r="W2771" s="16" t="str">
        <f>IFERROR(__xludf.DUMMYFUNCTION("""COMPUTED_VALUE"""),"")</f>
        <v/>
      </c>
      <c r="X2771" s="16" t="str">
        <f>IFERROR(__xludf.DUMMYFUNCTION("""COMPUTED_VALUE"""),"")</f>
        <v/>
      </c>
      <c r="AC2771" s="16" t="str">
        <f>IFERROR(__xludf.DUMMYFUNCTION("""COMPUTED_VALUE"""),"")</f>
        <v/>
      </c>
    </row>
    <row r="2772">
      <c r="A2772" s="16" t="s">
        <v>87</v>
      </c>
      <c r="E2772" s="16" t="str">
        <f>IFERROR(__xludf.DUMMYFUNCTION("""COMPUTED_VALUE"""),"")</f>
        <v/>
      </c>
      <c r="G2772" s="18"/>
      <c r="H2772" s="16" t="s">
        <v>87</v>
      </c>
      <c r="I2772" s="16" t="s">
        <v>87</v>
      </c>
      <c r="J2772" s="19"/>
      <c r="L2772" s="16" t="str">
        <f>IFERROR(__xludf.DUMMYFUNCTION("""COMPUTED_VALUE"""),"")</f>
        <v/>
      </c>
      <c r="M2772" s="16" t="str">
        <f>IFERROR(__xludf.DUMMYFUNCTION("""COMPUTED_VALUE"""),"")</f>
        <v/>
      </c>
      <c r="U2772" s="16" t="s">
        <v>87</v>
      </c>
      <c r="V2772" s="16" t="str">
        <f>IFERROR(__xludf.DUMMYFUNCTION("""COMPUTED_VALUE"""),"")</f>
        <v/>
      </c>
      <c r="W2772" s="16" t="str">
        <f>IFERROR(__xludf.DUMMYFUNCTION("""COMPUTED_VALUE"""),"")</f>
        <v/>
      </c>
      <c r="X2772" s="16" t="str">
        <f>IFERROR(__xludf.DUMMYFUNCTION("""COMPUTED_VALUE"""),"")</f>
        <v/>
      </c>
      <c r="AC2772" s="16" t="str">
        <f>IFERROR(__xludf.DUMMYFUNCTION("""COMPUTED_VALUE"""),"")</f>
        <v/>
      </c>
    </row>
    <row r="2773">
      <c r="A2773" s="16" t="s">
        <v>87</v>
      </c>
      <c r="E2773" s="16" t="str">
        <f>IFERROR(__xludf.DUMMYFUNCTION("""COMPUTED_VALUE"""),"")</f>
        <v/>
      </c>
      <c r="G2773" s="18"/>
      <c r="H2773" s="16" t="s">
        <v>87</v>
      </c>
      <c r="I2773" s="16" t="s">
        <v>87</v>
      </c>
      <c r="J2773" s="19"/>
      <c r="L2773" s="16" t="str">
        <f>IFERROR(__xludf.DUMMYFUNCTION("""COMPUTED_VALUE"""),"")</f>
        <v/>
      </c>
      <c r="M2773" s="16" t="str">
        <f>IFERROR(__xludf.DUMMYFUNCTION("""COMPUTED_VALUE"""),"")</f>
        <v/>
      </c>
      <c r="U2773" s="16" t="s">
        <v>87</v>
      </c>
      <c r="V2773" s="16" t="str">
        <f>IFERROR(__xludf.DUMMYFUNCTION("""COMPUTED_VALUE"""),"")</f>
        <v/>
      </c>
      <c r="W2773" s="16" t="str">
        <f>IFERROR(__xludf.DUMMYFUNCTION("""COMPUTED_VALUE"""),"")</f>
        <v/>
      </c>
      <c r="X2773" s="16" t="str">
        <f>IFERROR(__xludf.DUMMYFUNCTION("""COMPUTED_VALUE"""),"")</f>
        <v/>
      </c>
      <c r="AC2773" s="16" t="str">
        <f>IFERROR(__xludf.DUMMYFUNCTION("""COMPUTED_VALUE"""),"")</f>
        <v/>
      </c>
    </row>
    <row r="2774">
      <c r="A2774" s="16" t="s">
        <v>87</v>
      </c>
      <c r="E2774" s="16" t="str">
        <f>IFERROR(__xludf.DUMMYFUNCTION("""COMPUTED_VALUE"""),"")</f>
        <v/>
      </c>
      <c r="G2774" s="18"/>
      <c r="H2774" s="16" t="s">
        <v>87</v>
      </c>
      <c r="I2774" s="16" t="s">
        <v>87</v>
      </c>
      <c r="J2774" s="19"/>
      <c r="L2774" s="16" t="str">
        <f>IFERROR(__xludf.DUMMYFUNCTION("""COMPUTED_VALUE"""),"")</f>
        <v/>
      </c>
      <c r="M2774" s="16" t="str">
        <f>IFERROR(__xludf.DUMMYFUNCTION("""COMPUTED_VALUE"""),"")</f>
        <v/>
      </c>
      <c r="U2774" s="16" t="s">
        <v>87</v>
      </c>
      <c r="V2774" s="16" t="str">
        <f>IFERROR(__xludf.DUMMYFUNCTION("""COMPUTED_VALUE"""),"")</f>
        <v/>
      </c>
      <c r="W2774" s="16" t="str">
        <f>IFERROR(__xludf.DUMMYFUNCTION("""COMPUTED_VALUE"""),"")</f>
        <v/>
      </c>
      <c r="X2774" s="16" t="str">
        <f>IFERROR(__xludf.DUMMYFUNCTION("""COMPUTED_VALUE"""),"")</f>
        <v/>
      </c>
      <c r="AC2774" s="16" t="str">
        <f>IFERROR(__xludf.DUMMYFUNCTION("""COMPUTED_VALUE"""),"")</f>
        <v/>
      </c>
    </row>
    <row r="2775">
      <c r="A2775" s="16" t="s">
        <v>87</v>
      </c>
      <c r="E2775" s="16" t="str">
        <f>IFERROR(__xludf.DUMMYFUNCTION("""COMPUTED_VALUE"""),"")</f>
        <v/>
      </c>
      <c r="G2775" s="18"/>
      <c r="H2775" s="16" t="s">
        <v>87</v>
      </c>
      <c r="I2775" s="16" t="s">
        <v>87</v>
      </c>
      <c r="J2775" s="19"/>
      <c r="L2775" s="16" t="str">
        <f>IFERROR(__xludf.DUMMYFUNCTION("""COMPUTED_VALUE"""),"")</f>
        <v/>
      </c>
      <c r="M2775" s="16" t="str">
        <f>IFERROR(__xludf.DUMMYFUNCTION("""COMPUTED_VALUE"""),"")</f>
        <v/>
      </c>
      <c r="U2775" s="16" t="s">
        <v>87</v>
      </c>
      <c r="V2775" s="16" t="str">
        <f>IFERROR(__xludf.DUMMYFUNCTION("""COMPUTED_VALUE"""),"")</f>
        <v/>
      </c>
      <c r="W2775" s="16" t="str">
        <f>IFERROR(__xludf.DUMMYFUNCTION("""COMPUTED_VALUE"""),"")</f>
        <v/>
      </c>
      <c r="X2775" s="16" t="str">
        <f>IFERROR(__xludf.DUMMYFUNCTION("""COMPUTED_VALUE"""),"")</f>
        <v/>
      </c>
      <c r="AC2775" s="16" t="str">
        <f>IFERROR(__xludf.DUMMYFUNCTION("""COMPUTED_VALUE"""),"")</f>
        <v/>
      </c>
    </row>
    <row r="2776">
      <c r="A2776" s="16" t="s">
        <v>87</v>
      </c>
      <c r="E2776" s="16" t="str">
        <f>IFERROR(__xludf.DUMMYFUNCTION("""COMPUTED_VALUE"""),"")</f>
        <v/>
      </c>
      <c r="G2776" s="18"/>
      <c r="H2776" s="16" t="s">
        <v>87</v>
      </c>
      <c r="I2776" s="16" t="s">
        <v>87</v>
      </c>
      <c r="J2776" s="19"/>
      <c r="L2776" s="16" t="str">
        <f>IFERROR(__xludf.DUMMYFUNCTION("""COMPUTED_VALUE"""),"")</f>
        <v/>
      </c>
      <c r="M2776" s="16" t="str">
        <f>IFERROR(__xludf.DUMMYFUNCTION("""COMPUTED_VALUE"""),"")</f>
        <v/>
      </c>
      <c r="U2776" s="16" t="s">
        <v>87</v>
      </c>
      <c r="V2776" s="16" t="str">
        <f>IFERROR(__xludf.DUMMYFUNCTION("""COMPUTED_VALUE"""),"")</f>
        <v/>
      </c>
      <c r="W2776" s="16" t="str">
        <f>IFERROR(__xludf.DUMMYFUNCTION("""COMPUTED_VALUE"""),"")</f>
        <v/>
      </c>
      <c r="X2776" s="16" t="str">
        <f>IFERROR(__xludf.DUMMYFUNCTION("""COMPUTED_VALUE"""),"")</f>
        <v/>
      </c>
      <c r="AC2776" s="16" t="str">
        <f>IFERROR(__xludf.DUMMYFUNCTION("""COMPUTED_VALUE"""),"")</f>
        <v/>
      </c>
    </row>
    <row r="2777">
      <c r="A2777" s="16" t="s">
        <v>87</v>
      </c>
      <c r="E2777" s="16" t="str">
        <f>IFERROR(__xludf.DUMMYFUNCTION("""COMPUTED_VALUE"""),"")</f>
        <v/>
      </c>
      <c r="G2777" s="18"/>
      <c r="H2777" s="16" t="s">
        <v>87</v>
      </c>
      <c r="I2777" s="16" t="s">
        <v>87</v>
      </c>
      <c r="J2777" s="19"/>
      <c r="L2777" s="16" t="str">
        <f>IFERROR(__xludf.DUMMYFUNCTION("""COMPUTED_VALUE"""),"")</f>
        <v/>
      </c>
      <c r="M2777" s="16" t="str">
        <f>IFERROR(__xludf.DUMMYFUNCTION("""COMPUTED_VALUE"""),"")</f>
        <v/>
      </c>
      <c r="U2777" s="16" t="s">
        <v>87</v>
      </c>
      <c r="V2777" s="16" t="str">
        <f>IFERROR(__xludf.DUMMYFUNCTION("""COMPUTED_VALUE"""),"")</f>
        <v/>
      </c>
      <c r="W2777" s="16" t="str">
        <f>IFERROR(__xludf.DUMMYFUNCTION("""COMPUTED_VALUE"""),"")</f>
        <v/>
      </c>
      <c r="X2777" s="16" t="str">
        <f>IFERROR(__xludf.DUMMYFUNCTION("""COMPUTED_VALUE"""),"")</f>
        <v/>
      </c>
      <c r="AC2777" s="16" t="str">
        <f>IFERROR(__xludf.DUMMYFUNCTION("""COMPUTED_VALUE"""),"")</f>
        <v/>
      </c>
    </row>
    <row r="2778">
      <c r="A2778" s="16" t="s">
        <v>87</v>
      </c>
      <c r="E2778" s="16" t="str">
        <f>IFERROR(__xludf.DUMMYFUNCTION("""COMPUTED_VALUE"""),"")</f>
        <v/>
      </c>
      <c r="G2778" s="18"/>
      <c r="H2778" s="16" t="s">
        <v>87</v>
      </c>
      <c r="I2778" s="16" t="s">
        <v>87</v>
      </c>
      <c r="J2778" s="19"/>
      <c r="L2778" s="16" t="str">
        <f>IFERROR(__xludf.DUMMYFUNCTION("""COMPUTED_VALUE"""),"")</f>
        <v/>
      </c>
      <c r="M2778" s="16" t="str">
        <f>IFERROR(__xludf.DUMMYFUNCTION("""COMPUTED_VALUE"""),"")</f>
        <v/>
      </c>
      <c r="U2778" s="16" t="s">
        <v>87</v>
      </c>
      <c r="V2778" s="16" t="str">
        <f>IFERROR(__xludf.DUMMYFUNCTION("""COMPUTED_VALUE"""),"")</f>
        <v/>
      </c>
      <c r="W2778" s="16" t="str">
        <f>IFERROR(__xludf.DUMMYFUNCTION("""COMPUTED_VALUE"""),"")</f>
        <v/>
      </c>
      <c r="X2778" s="16" t="str">
        <f>IFERROR(__xludf.DUMMYFUNCTION("""COMPUTED_VALUE"""),"")</f>
        <v/>
      </c>
      <c r="AC2778" s="16" t="str">
        <f>IFERROR(__xludf.DUMMYFUNCTION("""COMPUTED_VALUE"""),"")</f>
        <v/>
      </c>
    </row>
    <row r="2779">
      <c r="A2779" s="16" t="s">
        <v>87</v>
      </c>
      <c r="E2779" s="16" t="str">
        <f>IFERROR(__xludf.DUMMYFUNCTION("""COMPUTED_VALUE"""),"")</f>
        <v/>
      </c>
      <c r="G2779" s="18"/>
      <c r="H2779" s="16" t="s">
        <v>87</v>
      </c>
      <c r="I2779" s="16" t="s">
        <v>87</v>
      </c>
      <c r="J2779" s="19"/>
      <c r="L2779" s="16" t="str">
        <f>IFERROR(__xludf.DUMMYFUNCTION("""COMPUTED_VALUE"""),"")</f>
        <v/>
      </c>
      <c r="M2779" s="16" t="str">
        <f>IFERROR(__xludf.DUMMYFUNCTION("""COMPUTED_VALUE"""),"")</f>
        <v/>
      </c>
      <c r="U2779" s="16" t="s">
        <v>87</v>
      </c>
      <c r="V2779" s="16" t="str">
        <f>IFERROR(__xludf.DUMMYFUNCTION("""COMPUTED_VALUE"""),"")</f>
        <v/>
      </c>
      <c r="W2779" s="16" t="str">
        <f>IFERROR(__xludf.DUMMYFUNCTION("""COMPUTED_VALUE"""),"")</f>
        <v/>
      </c>
      <c r="X2779" s="16" t="str">
        <f>IFERROR(__xludf.DUMMYFUNCTION("""COMPUTED_VALUE"""),"")</f>
        <v/>
      </c>
      <c r="AC2779" s="16" t="str">
        <f>IFERROR(__xludf.DUMMYFUNCTION("""COMPUTED_VALUE"""),"")</f>
        <v/>
      </c>
    </row>
    <row r="2780">
      <c r="A2780" s="16" t="s">
        <v>87</v>
      </c>
      <c r="E2780" s="16" t="str">
        <f>IFERROR(__xludf.DUMMYFUNCTION("""COMPUTED_VALUE"""),"")</f>
        <v/>
      </c>
      <c r="G2780" s="18"/>
      <c r="H2780" s="16" t="s">
        <v>87</v>
      </c>
      <c r="I2780" s="16" t="s">
        <v>87</v>
      </c>
      <c r="J2780" s="19"/>
      <c r="L2780" s="16" t="str">
        <f>IFERROR(__xludf.DUMMYFUNCTION("""COMPUTED_VALUE"""),"")</f>
        <v/>
      </c>
      <c r="M2780" s="16" t="str">
        <f>IFERROR(__xludf.DUMMYFUNCTION("""COMPUTED_VALUE"""),"")</f>
        <v/>
      </c>
      <c r="U2780" s="16" t="s">
        <v>87</v>
      </c>
      <c r="V2780" s="16" t="str">
        <f>IFERROR(__xludf.DUMMYFUNCTION("""COMPUTED_VALUE"""),"")</f>
        <v/>
      </c>
      <c r="W2780" s="16" t="str">
        <f>IFERROR(__xludf.DUMMYFUNCTION("""COMPUTED_VALUE"""),"")</f>
        <v/>
      </c>
      <c r="X2780" s="16" t="str">
        <f>IFERROR(__xludf.DUMMYFUNCTION("""COMPUTED_VALUE"""),"")</f>
        <v/>
      </c>
      <c r="AC2780" s="16" t="str">
        <f>IFERROR(__xludf.DUMMYFUNCTION("""COMPUTED_VALUE"""),"")</f>
        <v/>
      </c>
    </row>
    <row r="2781">
      <c r="A2781" s="16" t="s">
        <v>87</v>
      </c>
      <c r="E2781" s="16" t="str">
        <f>IFERROR(__xludf.DUMMYFUNCTION("""COMPUTED_VALUE"""),"")</f>
        <v/>
      </c>
      <c r="G2781" s="18"/>
      <c r="H2781" s="16" t="s">
        <v>87</v>
      </c>
      <c r="I2781" s="16" t="s">
        <v>87</v>
      </c>
      <c r="J2781" s="19"/>
      <c r="L2781" s="16" t="str">
        <f>IFERROR(__xludf.DUMMYFUNCTION("""COMPUTED_VALUE"""),"")</f>
        <v/>
      </c>
      <c r="M2781" s="16" t="str">
        <f>IFERROR(__xludf.DUMMYFUNCTION("""COMPUTED_VALUE"""),"")</f>
        <v/>
      </c>
      <c r="U2781" s="16" t="s">
        <v>87</v>
      </c>
      <c r="V2781" s="16" t="str">
        <f>IFERROR(__xludf.DUMMYFUNCTION("""COMPUTED_VALUE"""),"")</f>
        <v/>
      </c>
      <c r="W2781" s="16" t="str">
        <f>IFERROR(__xludf.DUMMYFUNCTION("""COMPUTED_VALUE"""),"")</f>
        <v/>
      </c>
      <c r="X2781" s="16" t="str">
        <f>IFERROR(__xludf.DUMMYFUNCTION("""COMPUTED_VALUE"""),"")</f>
        <v/>
      </c>
      <c r="AC2781" s="16" t="str">
        <f>IFERROR(__xludf.DUMMYFUNCTION("""COMPUTED_VALUE"""),"")</f>
        <v/>
      </c>
    </row>
    <row r="2782">
      <c r="A2782" s="16" t="s">
        <v>87</v>
      </c>
      <c r="E2782" s="16" t="str">
        <f>IFERROR(__xludf.DUMMYFUNCTION("""COMPUTED_VALUE"""),"")</f>
        <v/>
      </c>
      <c r="G2782" s="18"/>
      <c r="H2782" s="16" t="s">
        <v>87</v>
      </c>
      <c r="I2782" s="16" t="s">
        <v>87</v>
      </c>
      <c r="J2782" s="19"/>
      <c r="L2782" s="16" t="str">
        <f>IFERROR(__xludf.DUMMYFUNCTION("""COMPUTED_VALUE"""),"")</f>
        <v/>
      </c>
      <c r="M2782" s="16" t="str">
        <f>IFERROR(__xludf.DUMMYFUNCTION("""COMPUTED_VALUE"""),"")</f>
        <v/>
      </c>
      <c r="U2782" s="16" t="s">
        <v>87</v>
      </c>
      <c r="V2782" s="16" t="str">
        <f>IFERROR(__xludf.DUMMYFUNCTION("""COMPUTED_VALUE"""),"")</f>
        <v/>
      </c>
      <c r="W2782" s="16" t="str">
        <f>IFERROR(__xludf.DUMMYFUNCTION("""COMPUTED_VALUE"""),"")</f>
        <v/>
      </c>
      <c r="X2782" s="16" t="str">
        <f>IFERROR(__xludf.DUMMYFUNCTION("""COMPUTED_VALUE"""),"")</f>
        <v/>
      </c>
      <c r="AC2782" s="16" t="str">
        <f>IFERROR(__xludf.DUMMYFUNCTION("""COMPUTED_VALUE"""),"")</f>
        <v/>
      </c>
    </row>
    <row r="2783">
      <c r="A2783" s="16" t="s">
        <v>87</v>
      </c>
      <c r="E2783" s="16" t="str">
        <f>IFERROR(__xludf.DUMMYFUNCTION("""COMPUTED_VALUE"""),"")</f>
        <v/>
      </c>
      <c r="G2783" s="18"/>
      <c r="H2783" s="16" t="s">
        <v>87</v>
      </c>
      <c r="I2783" s="16" t="s">
        <v>87</v>
      </c>
      <c r="J2783" s="19"/>
      <c r="L2783" s="16" t="str">
        <f>IFERROR(__xludf.DUMMYFUNCTION("""COMPUTED_VALUE"""),"")</f>
        <v/>
      </c>
      <c r="M2783" s="16" t="str">
        <f>IFERROR(__xludf.DUMMYFUNCTION("""COMPUTED_VALUE"""),"")</f>
        <v/>
      </c>
      <c r="U2783" s="16" t="s">
        <v>87</v>
      </c>
      <c r="V2783" s="16" t="str">
        <f>IFERROR(__xludf.DUMMYFUNCTION("""COMPUTED_VALUE"""),"")</f>
        <v/>
      </c>
      <c r="W2783" s="16" t="str">
        <f>IFERROR(__xludf.DUMMYFUNCTION("""COMPUTED_VALUE"""),"")</f>
        <v/>
      </c>
      <c r="X2783" s="16" t="str">
        <f>IFERROR(__xludf.DUMMYFUNCTION("""COMPUTED_VALUE"""),"")</f>
        <v/>
      </c>
      <c r="AC2783" s="16" t="str">
        <f>IFERROR(__xludf.DUMMYFUNCTION("""COMPUTED_VALUE"""),"")</f>
        <v/>
      </c>
    </row>
    <row r="2784">
      <c r="A2784" s="16" t="s">
        <v>87</v>
      </c>
      <c r="E2784" s="16" t="str">
        <f>IFERROR(__xludf.DUMMYFUNCTION("""COMPUTED_VALUE"""),"")</f>
        <v/>
      </c>
      <c r="G2784" s="18"/>
      <c r="H2784" s="16" t="s">
        <v>87</v>
      </c>
      <c r="I2784" s="16" t="s">
        <v>87</v>
      </c>
      <c r="J2784" s="19"/>
      <c r="L2784" s="16" t="str">
        <f>IFERROR(__xludf.DUMMYFUNCTION("""COMPUTED_VALUE"""),"")</f>
        <v/>
      </c>
      <c r="M2784" s="16" t="str">
        <f>IFERROR(__xludf.DUMMYFUNCTION("""COMPUTED_VALUE"""),"")</f>
        <v/>
      </c>
      <c r="U2784" s="16" t="s">
        <v>87</v>
      </c>
      <c r="V2784" s="16" t="str">
        <f>IFERROR(__xludf.DUMMYFUNCTION("""COMPUTED_VALUE"""),"")</f>
        <v/>
      </c>
      <c r="W2784" s="16" t="str">
        <f>IFERROR(__xludf.DUMMYFUNCTION("""COMPUTED_VALUE"""),"")</f>
        <v/>
      </c>
      <c r="X2784" s="16" t="str">
        <f>IFERROR(__xludf.DUMMYFUNCTION("""COMPUTED_VALUE"""),"")</f>
        <v/>
      </c>
      <c r="AC2784" s="16" t="str">
        <f>IFERROR(__xludf.DUMMYFUNCTION("""COMPUTED_VALUE"""),"")</f>
        <v/>
      </c>
    </row>
    <row r="2785">
      <c r="A2785" s="16" t="s">
        <v>87</v>
      </c>
      <c r="E2785" s="16" t="str">
        <f>IFERROR(__xludf.DUMMYFUNCTION("""COMPUTED_VALUE"""),"")</f>
        <v/>
      </c>
      <c r="G2785" s="18"/>
      <c r="H2785" s="16" t="s">
        <v>87</v>
      </c>
      <c r="I2785" s="16" t="s">
        <v>87</v>
      </c>
      <c r="J2785" s="19"/>
      <c r="L2785" s="16" t="str">
        <f>IFERROR(__xludf.DUMMYFUNCTION("""COMPUTED_VALUE"""),"")</f>
        <v/>
      </c>
      <c r="M2785" s="16" t="str">
        <f>IFERROR(__xludf.DUMMYFUNCTION("""COMPUTED_VALUE"""),"")</f>
        <v/>
      </c>
      <c r="U2785" s="16" t="s">
        <v>87</v>
      </c>
      <c r="V2785" s="16" t="str">
        <f>IFERROR(__xludf.DUMMYFUNCTION("""COMPUTED_VALUE"""),"")</f>
        <v/>
      </c>
      <c r="W2785" s="16" t="str">
        <f>IFERROR(__xludf.DUMMYFUNCTION("""COMPUTED_VALUE"""),"")</f>
        <v/>
      </c>
      <c r="X2785" s="16" t="str">
        <f>IFERROR(__xludf.DUMMYFUNCTION("""COMPUTED_VALUE"""),"")</f>
        <v/>
      </c>
      <c r="AC2785" s="16" t="str">
        <f>IFERROR(__xludf.DUMMYFUNCTION("""COMPUTED_VALUE"""),"")</f>
        <v/>
      </c>
    </row>
    <row r="2786">
      <c r="A2786" s="16" t="s">
        <v>87</v>
      </c>
      <c r="E2786" s="16" t="str">
        <f>IFERROR(__xludf.DUMMYFUNCTION("""COMPUTED_VALUE"""),"")</f>
        <v/>
      </c>
      <c r="G2786" s="18"/>
      <c r="H2786" s="16" t="s">
        <v>87</v>
      </c>
      <c r="I2786" s="16" t="s">
        <v>87</v>
      </c>
      <c r="J2786" s="19"/>
      <c r="L2786" s="16" t="str">
        <f>IFERROR(__xludf.DUMMYFUNCTION("""COMPUTED_VALUE"""),"")</f>
        <v/>
      </c>
      <c r="M2786" s="16" t="str">
        <f>IFERROR(__xludf.DUMMYFUNCTION("""COMPUTED_VALUE"""),"")</f>
        <v/>
      </c>
      <c r="U2786" s="16" t="s">
        <v>87</v>
      </c>
      <c r="V2786" s="16" t="str">
        <f>IFERROR(__xludf.DUMMYFUNCTION("""COMPUTED_VALUE"""),"")</f>
        <v/>
      </c>
      <c r="W2786" s="16" t="str">
        <f>IFERROR(__xludf.DUMMYFUNCTION("""COMPUTED_VALUE"""),"")</f>
        <v/>
      </c>
      <c r="X2786" s="16" t="str">
        <f>IFERROR(__xludf.DUMMYFUNCTION("""COMPUTED_VALUE"""),"")</f>
        <v/>
      </c>
      <c r="AC2786" s="16" t="str">
        <f>IFERROR(__xludf.DUMMYFUNCTION("""COMPUTED_VALUE"""),"")</f>
        <v/>
      </c>
    </row>
    <row r="2787">
      <c r="A2787" s="16" t="s">
        <v>87</v>
      </c>
      <c r="E2787" s="16" t="str">
        <f>IFERROR(__xludf.DUMMYFUNCTION("""COMPUTED_VALUE"""),"")</f>
        <v/>
      </c>
      <c r="G2787" s="18"/>
      <c r="H2787" s="16" t="s">
        <v>87</v>
      </c>
      <c r="I2787" s="16" t="s">
        <v>87</v>
      </c>
      <c r="J2787" s="19"/>
      <c r="L2787" s="16" t="str">
        <f>IFERROR(__xludf.DUMMYFUNCTION("""COMPUTED_VALUE"""),"")</f>
        <v/>
      </c>
      <c r="M2787" s="16" t="str">
        <f>IFERROR(__xludf.DUMMYFUNCTION("""COMPUTED_VALUE"""),"")</f>
        <v/>
      </c>
      <c r="U2787" s="16" t="s">
        <v>87</v>
      </c>
      <c r="V2787" s="16" t="str">
        <f>IFERROR(__xludf.DUMMYFUNCTION("""COMPUTED_VALUE"""),"")</f>
        <v/>
      </c>
      <c r="W2787" s="16" t="str">
        <f>IFERROR(__xludf.DUMMYFUNCTION("""COMPUTED_VALUE"""),"")</f>
        <v/>
      </c>
      <c r="X2787" s="16" t="str">
        <f>IFERROR(__xludf.DUMMYFUNCTION("""COMPUTED_VALUE"""),"")</f>
        <v/>
      </c>
      <c r="AC2787" s="16" t="str">
        <f>IFERROR(__xludf.DUMMYFUNCTION("""COMPUTED_VALUE"""),"")</f>
        <v/>
      </c>
    </row>
    <row r="2788">
      <c r="A2788" s="16" t="s">
        <v>87</v>
      </c>
      <c r="E2788" s="16" t="str">
        <f>IFERROR(__xludf.DUMMYFUNCTION("""COMPUTED_VALUE"""),"")</f>
        <v/>
      </c>
      <c r="G2788" s="18"/>
      <c r="H2788" s="16" t="s">
        <v>87</v>
      </c>
      <c r="I2788" s="16" t="s">
        <v>87</v>
      </c>
      <c r="J2788" s="19"/>
      <c r="L2788" s="16" t="str">
        <f>IFERROR(__xludf.DUMMYFUNCTION("""COMPUTED_VALUE"""),"")</f>
        <v/>
      </c>
      <c r="M2788" s="16" t="str">
        <f>IFERROR(__xludf.DUMMYFUNCTION("""COMPUTED_VALUE"""),"")</f>
        <v/>
      </c>
      <c r="U2788" s="16" t="s">
        <v>87</v>
      </c>
      <c r="V2788" s="16" t="str">
        <f>IFERROR(__xludf.DUMMYFUNCTION("""COMPUTED_VALUE"""),"")</f>
        <v/>
      </c>
      <c r="W2788" s="16" t="str">
        <f>IFERROR(__xludf.DUMMYFUNCTION("""COMPUTED_VALUE"""),"")</f>
        <v/>
      </c>
      <c r="X2788" s="16" t="str">
        <f>IFERROR(__xludf.DUMMYFUNCTION("""COMPUTED_VALUE"""),"")</f>
        <v/>
      </c>
      <c r="AC2788" s="16" t="str">
        <f>IFERROR(__xludf.DUMMYFUNCTION("""COMPUTED_VALUE"""),"")</f>
        <v/>
      </c>
    </row>
    <row r="2789">
      <c r="A2789" s="16" t="s">
        <v>87</v>
      </c>
      <c r="E2789" s="16" t="str">
        <f>IFERROR(__xludf.DUMMYFUNCTION("""COMPUTED_VALUE"""),"")</f>
        <v/>
      </c>
      <c r="G2789" s="18"/>
      <c r="H2789" s="16" t="s">
        <v>87</v>
      </c>
      <c r="I2789" s="16" t="s">
        <v>87</v>
      </c>
      <c r="J2789" s="19"/>
      <c r="L2789" s="16" t="str">
        <f>IFERROR(__xludf.DUMMYFUNCTION("""COMPUTED_VALUE"""),"")</f>
        <v/>
      </c>
      <c r="M2789" s="16" t="str">
        <f>IFERROR(__xludf.DUMMYFUNCTION("""COMPUTED_VALUE"""),"")</f>
        <v/>
      </c>
      <c r="U2789" s="16" t="s">
        <v>87</v>
      </c>
      <c r="V2789" s="16" t="str">
        <f>IFERROR(__xludf.DUMMYFUNCTION("""COMPUTED_VALUE"""),"")</f>
        <v/>
      </c>
      <c r="W2789" s="16" t="str">
        <f>IFERROR(__xludf.DUMMYFUNCTION("""COMPUTED_VALUE"""),"")</f>
        <v/>
      </c>
      <c r="X2789" s="16" t="str">
        <f>IFERROR(__xludf.DUMMYFUNCTION("""COMPUTED_VALUE"""),"")</f>
        <v/>
      </c>
      <c r="AC2789" s="16" t="str">
        <f>IFERROR(__xludf.DUMMYFUNCTION("""COMPUTED_VALUE"""),"")</f>
        <v/>
      </c>
    </row>
    <row r="2790">
      <c r="A2790" s="16" t="s">
        <v>87</v>
      </c>
      <c r="E2790" s="16" t="str">
        <f>IFERROR(__xludf.DUMMYFUNCTION("""COMPUTED_VALUE"""),"")</f>
        <v/>
      </c>
      <c r="G2790" s="18"/>
      <c r="H2790" s="16" t="s">
        <v>87</v>
      </c>
      <c r="I2790" s="16" t="s">
        <v>87</v>
      </c>
      <c r="J2790" s="19"/>
      <c r="L2790" s="16" t="str">
        <f>IFERROR(__xludf.DUMMYFUNCTION("""COMPUTED_VALUE"""),"")</f>
        <v/>
      </c>
      <c r="M2790" s="16" t="str">
        <f>IFERROR(__xludf.DUMMYFUNCTION("""COMPUTED_VALUE"""),"")</f>
        <v/>
      </c>
      <c r="U2790" s="16" t="s">
        <v>87</v>
      </c>
      <c r="V2790" s="16" t="str">
        <f>IFERROR(__xludf.DUMMYFUNCTION("""COMPUTED_VALUE"""),"")</f>
        <v/>
      </c>
      <c r="W2790" s="16" t="str">
        <f>IFERROR(__xludf.DUMMYFUNCTION("""COMPUTED_VALUE"""),"")</f>
        <v/>
      </c>
      <c r="X2790" s="16" t="str">
        <f>IFERROR(__xludf.DUMMYFUNCTION("""COMPUTED_VALUE"""),"")</f>
        <v/>
      </c>
      <c r="AC2790" s="16" t="str">
        <f>IFERROR(__xludf.DUMMYFUNCTION("""COMPUTED_VALUE"""),"")</f>
        <v/>
      </c>
    </row>
    <row r="2791">
      <c r="A2791" s="16" t="s">
        <v>87</v>
      </c>
      <c r="E2791" s="16" t="str">
        <f>IFERROR(__xludf.DUMMYFUNCTION("""COMPUTED_VALUE"""),"")</f>
        <v/>
      </c>
      <c r="G2791" s="18"/>
      <c r="H2791" s="16" t="s">
        <v>87</v>
      </c>
      <c r="I2791" s="16" t="s">
        <v>87</v>
      </c>
      <c r="J2791" s="19"/>
      <c r="L2791" s="16" t="str">
        <f>IFERROR(__xludf.DUMMYFUNCTION("""COMPUTED_VALUE"""),"")</f>
        <v/>
      </c>
      <c r="M2791" s="16" t="str">
        <f>IFERROR(__xludf.DUMMYFUNCTION("""COMPUTED_VALUE"""),"")</f>
        <v/>
      </c>
      <c r="U2791" s="16" t="s">
        <v>87</v>
      </c>
      <c r="V2791" s="16" t="str">
        <f>IFERROR(__xludf.DUMMYFUNCTION("""COMPUTED_VALUE"""),"")</f>
        <v/>
      </c>
      <c r="W2791" s="16" t="str">
        <f>IFERROR(__xludf.DUMMYFUNCTION("""COMPUTED_VALUE"""),"")</f>
        <v/>
      </c>
      <c r="X2791" s="16" t="str">
        <f>IFERROR(__xludf.DUMMYFUNCTION("""COMPUTED_VALUE"""),"")</f>
        <v/>
      </c>
      <c r="AC2791" s="16" t="str">
        <f>IFERROR(__xludf.DUMMYFUNCTION("""COMPUTED_VALUE"""),"")</f>
        <v/>
      </c>
    </row>
    <row r="2792">
      <c r="A2792" s="16" t="s">
        <v>87</v>
      </c>
      <c r="E2792" s="16" t="str">
        <f>IFERROR(__xludf.DUMMYFUNCTION("""COMPUTED_VALUE"""),"")</f>
        <v/>
      </c>
      <c r="G2792" s="18"/>
      <c r="H2792" s="16" t="s">
        <v>87</v>
      </c>
      <c r="I2792" s="16" t="s">
        <v>87</v>
      </c>
      <c r="J2792" s="19"/>
      <c r="L2792" s="16" t="str">
        <f>IFERROR(__xludf.DUMMYFUNCTION("""COMPUTED_VALUE"""),"")</f>
        <v/>
      </c>
      <c r="M2792" s="16" t="str">
        <f>IFERROR(__xludf.DUMMYFUNCTION("""COMPUTED_VALUE"""),"")</f>
        <v/>
      </c>
      <c r="U2792" s="16" t="s">
        <v>87</v>
      </c>
      <c r="V2792" s="16" t="str">
        <f>IFERROR(__xludf.DUMMYFUNCTION("""COMPUTED_VALUE"""),"")</f>
        <v/>
      </c>
      <c r="W2792" s="16" t="str">
        <f>IFERROR(__xludf.DUMMYFUNCTION("""COMPUTED_VALUE"""),"")</f>
        <v/>
      </c>
      <c r="X2792" s="16" t="str">
        <f>IFERROR(__xludf.DUMMYFUNCTION("""COMPUTED_VALUE"""),"")</f>
        <v/>
      </c>
      <c r="AC2792" s="16" t="str">
        <f>IFERROR(__xludf.DUMMYFUNCTION("""COMPUTED_VALUE"""),"")</f>
        <v/>
      </c>
    </row>
    <row r="2793">
      <c r="A2793" s="16" t="s">
        <v>87</v>
      </c>
      <c r="E2793" s="16" t="str">
        <f>IFERROR(__xludf.DUMMYFUNCTION("""COMPUTED_VALUE"""),"")</f>
        <v/>
      </c>
      <c r="G2793" s="18"/>
      <c r="H2793" s="16" t="s">
        <v>87</v>
      </c>
      <c r="I2793" s="16" t="s">
        <v>87</v>
      </c>
      <c r="J2793" s="19"/>
      <c r="L2793" s="16" t="str">
        <f>IFERROR(__xludf.DUMMYFUNCTION("""COMPUTED_VALUE"""),"")</f>
        <v/>
      </c>
      <c r="M2793" s="16" t="str">
        <f>IFERROR(__xludf.DUMMYFUNCTION("""COMPUTED_VALUE"""),"")</f>
        <v/>
      </c>
      <c r="U2793" s="16" t="s">
        <v>87</v>
      </c>
      <c r="V2793" s="16" t="str">
        <f>IFERROR(__xludf.DUMMYFUNCTION("""COMPUTED_VALUE"""),"")</f>
        <v/>
      </c>
      <c r="W2793" s="16" t="str">
        <f>IFERROR(__xludf.DUMMYFUNCTION("""COMPUTED_VALUE"""),"")</f>
        <v/>
      </c>
      <c r="X2793" s="16" t="str">
        <f>IFERROR(__xludf.DUMMYFUNCTION("""COMPUTED_VALUE"""),"")</f>
        <v/>
      </c>
      <c r="AC2793" s="16" t="str">
        <f>IFERROR(__xludf.DUMMYFUNCTION("""COMPUTED_VALUE"""),"")</f>
        <v/>
      </c>
    </row>
    <row r="2794">
      <c r="A2794" s="16" t="s">
        <v>87</v>
      </c>
      <c r="E2794" s="16" t="str">
        <f>IFERROR(__xludf.DUMMYFUNCTION("""COMPUTED_VALUE"""),"")</f>
        <v/>
      </c>
      <c r="G2794" s="18"/>
      <c r="H2794" s="16" t="s">
        <v>87</v>
      </c>
      <c r="I2794" s="16" t="s">
        <v>87</v>
      </c>
      <c r="J2794" s="19"/>
      <c r="L2794" s="16" t="str">
        <f>IFERROR(__xludf.DUMMYFUNCTION("""COMPUTED_VALUE"""),"")</f>
        <v/>
      </c>
      <c r="M2794" s="16" t="str">
        <f>IFERROR(__xludf.DUMMYFUNCTION("""COMPUTED_VALUE"""),"")</f>
        <v/>
      </c>
      <c r="U2794" s="16" t="s">
        <v>87</v>
      </c>
      <c r="V2794" s="16" t="str">
        <f>IFERROR(__xludf.DUMMYFUNCTION("""COMPUTED_VALUE"""),"")</f>
        <v/>
      </c>
      <c r="W2794" s="16" t="str">
        <f>IFERROR(__xludf.DUMMYFUNCTION("""COMPUTED_VALUE"""),"")</f>
        <v/>
      </c>
      <c r="X2794" s="16" t="str">
        <f>IFERROR(__xludf.DUMMYFUNCTION("""COMPUTED_VALUE"""),"")</f>
        <v/>
      </c>
      <c r="AC2794" s="16" t="str">
        <f>IFERROR(__xludf.DUMMYFUNCTION("""COMPUTED_VALUE"""),"")</f>
        <v/>
      </c>
    </row>
    <row r="2795">
      <c r="A2795" s="16" t="s">
        <v>87</v>
      </c>
      <c r="E2795" s="16" t="str">
        <f>IFERROR(__xludf.DUMMYFUNCTION("""COMPUTED_VALUE"""),"")</f>
        <v/>
      </c>
      <c r="G2795" s="18"/>
      <c r="H2795" s="16" t="s">
        <v>87</v>
      </c>
      <c r="I2795" s="16" t="s">
        <v>87</v>
      </c>
      <c r="J2795" s="19"/>
      <c r="L2795" s="16" t="str">
        <f>IFERROR(__xludf.DUMMYFUNCTION("""COMPUTED_VALUE"""),"")</f>
        <v/>
      </c>
      <c r="M2795" s="16" t="str">
        <f>IFERROR(__xludf.DUMMYFUNCTION("""COMPUTED_VALUE"""),"")</f>
        <v/>
      </c>
      <c r="U2795" s="16" t="s">
        <v>87</v>
      </c>
      <c r="V2795" s="16" t="str">
        <f>IFERROR(__xludf.DUMMYFUNCTION("""COMPUTED_VALUE"""),"")</f>
        <v/>
      </c>
      <c r="W2795" s="16" t="str">
        <f>IFERROR(__xludf.DUMMYFUNCTION("""COMPUTED_VALUE"""),"")</f>
        <v/>
      </c>
      <c r="X2795" s="16" t="str">
        <f>IFERROR(__xludf.DUMMYFUNCTION("""COMPUTED_VALUE"""),"")</f>
        <v/>
      </c>
      <c r="AC2795" s="16" t="str">
        <f>IFERROR(__xludf.DUMMYFUNCTION("""COMPUTED_VALUE"""),"")</f>
        <v/>
      </c>
    </row>
    <row r="2796">
      <c r="A2796" s="16" t="s">
        <v>87</v>
      </c>
      <c r="E2796" s="16" t="str">
        <f>IFERROR(__xludf.DUMMYFUNCTION("""COMPUTED_VALUE"""),"")</f>
        <v/>
      </c>
      <c r="G2796" s="18"/>
      <c r="H2796" s="16" t="s">
        <v>87</v>
      </c>
      <c r="I2796" s="16" t="s">
        <v>87</v>
      </c>
      <c r="J2796" s="19"/>
      <c r="L2796" s="16" t="str">
        <f>IFERROR(__xludf.DUMMYFUNCTION("""COMPUTED_VALUE"""),"")</f>
        <v/>
      </c>
      <c r="M2796" s="16" t="str">
        <f>IFERROR(__xludf.DUMMYFUNCTION("""COMPUTED_VALUE"""),"")</f>
        <v/>
      </c>
      <c r="U2796" s="16" t="s">
        <v>87</v>
      </c>
      <c r="V2796" s="16" t="str">
        <f>IFERROR(__xludf.DUMMYFUNCTION("""COMPUTED_VALUE"""),"")</f>
        <v/>
      </c>
      <c r="W2796" s="16" t="str">
        <f>IFERROR(__xludf.DUMMYFUNCTION("""COMPUTED_VALUE"""),"")</f>
        <v/>
      </c>
      <c r="X2796" s="16" t="str">
        <f>IFERROR(__xludf.DUMMYFUNCTION("""COMPUTED_VALUE"""),"")</f>
        <v/>
      </c>
      <c r="AC2796" s="16" t="str">
        <f>IFERROR(__xludf.DUMMYFUNCTION("""COMPUTED_VALUE"""),"")</f>
        <v/>
      </c>
    </row>
    <row r="2797">
      <c r="A2797" s="16" t="s">
        <v>87</v>
      </c>
      <c r="E2797" s="16" t="str">
        <f>IFERROR(__xludf.DUMMYFUNCTION("""COMPUTED_VALUE"""),"")</f>
        <v/>
      </c>
      <c r="G2797" s="18"/>
      <c r="H2797" s="16" t="s">
        <v>87</v>
      </c>
      <c r="I2797" s="16" t="s">
        <v>87</v>
      </c>
      <c r="J2797" s="19"/>
      <c r="L2797" s="16" t="str">
        <f>IFERROR(__xludf.DUMMYFUNCTION("""COMPUTED_VALUE"""),"")</f>
        <v/>
      </c>
      <c r="M2797" s="16" t="str">
        <f>IFERROR(__xludf.DUMMYFUNCTION("""COMPUTED_VALUE"""),"")</f>
        <v/>
      </c>
      <c r="U2797" s="16" t="s">
        <v>87</v>
      </c>
      <c r="V2797" s="16" t="str">
        <f>IFERROR(__xludf.DUMMYFUNCTION("""COMPUTED_VALUE"""),"")</f>
        <v/>
      </c>
      <c r="W2797" s="16" t="str">
        <f>IFERROR(__xludf.DUMMYFUNCTION("""COMPUTED_VALUE"""),"")</f>
        <v/>
      </c>
      <c r="X2797" s="16" t="str">
        <f>IFERROR(__xludf.DUMMYFUNCTION("""COMPUTED_VALUE"""),"")</f>
        <v/>
      </c>
      <c r="AC2797" s="16" t="str">
        <f>IFERROR(__xludf.DUMMYFUNCTION("""COMPUTED_VALUE"""),"")</f>
        <v/>
      </c>
    </row>
    <row r="2798">
      <c r="A2798" s="16" t="s">
        <v>87</v>
      </c>
      <c r="E2798" s="16" t="str">
        <f>IFERROR(__xludf.DUMMYFUNCTION("""COMPUTED_VALUE"""),"")</f>
        <v/>
      </c>
      <c r="G2798" s="18"/>
      <c r="H2798" s="16" t="s">
        <v>87</v>
      </c>
      <c r="I2798" s="16" t="s">
        <v>87</v>
      </c>
      <c r="J2798" s="19"/>
      <c r="L2798" s="16" t="str">
        <f>IFERROR(__xludf.DUMMYFUNCTION("""COMPUTED_VALUE"""),"")</f>
        <v/>
      </c>
      <c r="M2798" s="16" t="str">
        <f>IFERROR(__xludf.DUMMYFUNCTION("""COMPUTED_VALUE"""),"")</f>
        <v/>
      </c>
      <c r="U2798" s="16" t="s">
        <v>87</v>
      </c>
      <c r="V2798" s="16" t="str">
        <f>IFERROR(__xludf.DUMMYFUNCTION("""COMPUTED_VALUE"""),"")</f>
        <v/>
      </c>
      <c r="W2798" s="16" t="str">
        <f>IFERROR(__xludf.DUMMYFUNCTION("""COMPUTED_VALUE"""),"")</f>
        <v/>
      </c>
      <c r="X2798" s="16" t="str">
        <f>IFERROR(__xludf.DUMMYFUNCTION("""COMPUTED_VALUE"""),"")</f>
        <v/>
      </c>
      <c r="AC2798" s="16" t="str">
        <f>IFERROR(__xludf.DUMMYFUNCTION("""COMPUTED_VALUE"""),"")</f>
        <v/>
      </c>
    </row>
    <row r="2799">
      <c r="A2799" s="16" t="s">
        <v>87</v>
      </c>
      <c r="E2799" s="16" t="str">
        <f>IFERROR(__xludf.DUMMYFUNCTION("""COMPUTED_VALUE"""),"")</f>
        <v/>
      </c>
      <c r="G2799" s="18"/>
      <c r="H2799" s="16" t="s">
        <v>87</v>
      </c>
      <c r="I2799" s="16" t="s">
        <v>87</v>
      </c>
      <c r="J2799" s="19"/>
      <c r="L2799" s="16" t="str">
        <f>IFERROR(__xludf.DUMMYFUNCTION("""COMPUTED_VALUE"""),"")</f>
        <v/>
      </c>
      <c r="M2799" s="16" t="str">
        <f>IFERROR(__xludf.DUMMYFUNCTION("""COMPUTED_VALUE"""),"")</f>
        <v/>
      </c>
      <c r="U2799" s="16" t="s">
        <v>87</v>
      </c>
      <c r="V2799" s="16" t="str">
        <f>IFERROR(__xludf.DUMMYFUNCTION("""COMPUTED_VALUE"""),"")</f>
        <v/>
      </c>
      <c r="W2799" s="16" t="str">
        <f>IFERROR(__xludf.DUMMYFUNCTION("""COMPUTED_VALUE"""),"")</f>
        <v/>
      </c>
      <c r="X2799" s="16" t="str">
        <f>IFERROR(__xludf.DUMMYFUNCTION("""COMPUTED_VALUE"""),"")</f>
        <v/>
      </c>
      <c r="AC2799" s="16" t="str">
        <f>IFERROR(__xludf.DUMMYFUNCTION("""COMPUTED_VALUE"""),"")</f>
        <v/>
      </c>
    </row>
    <row r="2800">
      <c r="A2800" s="16" t="s">
        <v>87</v>
      </c>
      <c r="E2800" s="16" t="str">
        <f>IFERROR(__xludf.DUMMYFUNCTION("""COMPUTED_VALUE"""),"")</f>
        <v/>
      </c>
      <c r="G2800" s="18"/>
      <c r="H2800" s="16" t="s">
        <v>87</v>
      </c>
      <c r="I2800" s="16" t="s">
        <v>87</v>
      </c>
      <c r="J2800" s="19"/>
      <c r="L2800" s="16" t="str">
        <f>IFERROR(__xludf.DUMMYFUNCTION("""COMPUTED_VALUE"""),"")</f>
        <v/>
      </c>
      <c r="M2800" s="16" t="str">
        <f>IFERROR(__xludf.DUMMYFUNCTION("""COMPUTED_VALUE"""),"")</f>
        <v/>
      </c>
      <c r="U2800" s="16" t="s">
        <v>87</v>
      </c>
      <c r="V2800" s="16" t="str">
        <f>IFERROR(__xludf.DUMMYFUNCTION("""COMPUTED_VALUE"""),"")</f>
        <v/>
      </c>
      <c r="W2800" s="16" t="str">
        <f>IFERROR(__xludf.DUMMYFUNCTION("""COMPUTED_VALUE"""),"")</f>
        <v/>
      </c>
      <c r="X2800" s="16" t="str">
        <f>IFERROR(__xludf.DUMMYFUNCTION("""COMPUTED_VALUE"""),"")</f>
        <v/>
      </c>
      <c r="AC2800" s="16" t="str">
        <f>IFERROR(__xludf.DUMMYFUNCTION("""COMPUTED_VALUE"""),"")</f>
        <v/>
      </c>
    </row>
    <row r="2801">
      <c r="A2801" s="16" t="s">
        <v>87</v>
      </c>
      <c r="E2801" s="16" t="str">
        <f>IFERROR(__xludf.DUMMYFUNCTION("""COMPUTED_VALUE"""),"")</f>
        <v/>
      </c>
      <c r="G2801" s="18"/>
      <c r="H2801" s="16" t="s">
        <v>87</v>
      </c>
      <c r="I2801" s="16" t="s">
        <v>87</v>
      </c>
      <c r="J2801" s="19"/>
      <c r="L2801" s="16" t="str">
        <f>IFERROR(__xludf.DUMMYFUNCTION("""COMPUTED_VALUE"""),"")</f>
        <v/>
      </c>
      <c r="M2801" s="16" t="str">
        <f>IFERROR(__xludf.DUMMYFUNCTION("""COMPUTED_VALUE"""),"")</f>
        <v/>
      </c>
      <c r="U2801" s="16" t="s">
        <v>87</v>
      </c>
      <c r="V2801" s="16" t="str">
        <f>IFERROR(__xludf.DUMMYFUNCTION("""COMPUTED_VALUE"""),"")</f>
        <v/>
      </c>
      <c r="W2801" s="16" t="str">
        <f>IFERROR(__xludf.DUMMYFUNCTION("""COMPUTED_VALUE"""),"")</f>
        <v/>
      </c>
      <c r="X2801" s="16" t="str">
        <f>IFERROR(__xludf.DUMMYFUNCTION("""COMPUTED_VALUE"""),"")</f>
        <v/>
      </c>
      <c r="AC2801" s="16" t="str">
        <f>IFERROR(__xludf.DUMMYFUNCTION("""COMPUTED_VALUE"""),"")</f>
        <v/>
      </c>
    </row>
    <row r="2802">
      <c r="A2802" s="16" t="s">
        <v>87</v>
      </c>
      <c r="E2802" s="16" t="str">
        <f>IFERROR(__xludf.DUMMYFUNCTION("""COMPUTED_VALUE"""),"")</f>
        <v/>
      </c>
      <c r="G2802" s="18"/>
      <c r="H2802" s="16" t="s">
        <v>87</v>
      </c>
      <c r="I2802" s="16" t="s">
        <v>87</v>
      </c>
      <c r="J2802" s="19"/>
      <c r="L2802" s="16" t="str">
        <f>IFERROR(__xludf.DUMMYFUNCTION("""COMPUTED_VALUE"""),"")</f>
        <v/>
      </c>
      <c r="M2802" s="16" t="str">
        <f>IFERROR(__xludf.DUMMYFUNCTION("""COMPUTED_VALUE"""),"")</f>
        <v/>
      </c>
      <c r="U2802" s="16" t="s">
        <v>87</v>
      </c>
      <c r="V2802" s="16" t="str">
        <f>IFERROR(__xludf.DUMMYFUNCTION("""COMPUTED_VALUE"""),"")</f>
        <v/>
      </c>
      <c r="W2802" s="16" t="str">
        <f>IFERROR(__xludf.DUMMYFUNCTION("""COMPUTED_VALUE"""),"")</f>
        <v/>
      </c>
      <c r="X2802" s="16" t="str">
        <f>IFERROR(__xludf.DUMMYFUNCTION("""COMPUTED_VALUE"""),"")</f>
        <v/>
      </c>
      <c r="AC2802" s="16" t="str">
        <f>IFERROR(__xludf.DUMMYFUNCTION("""COMPUTED_VALUE"""),"")</f>
        <v/>
      </c>
    </row>
    <row r="2803">
      <c r="A2803" s="16" t="s">
        <v>87</v>
      </c>
      <c r="E2803" s="16" t="str">
        <f>IFERROR(__xludf.DUMMYFUNCTION("""COMPUTED_VALUE"""),"")</f>
        <v/>
      </c>
      <c r="G2803" s="18"/>
      <c r="H2803" s="16" t="s">
        <v>87</v>
      </c>
      <c r="I2803" s="16" t="s">
        <v>87</v>
      </c>
      <c r="J2803" s="19"/>
      <c r="L2803" s="16" t="str">
        <f>IFERROR(__xludf.DUMMYFUNCTION("""COMPUTED_VALUE"""),"")</f>
        <v/>
      </c>
      <c r="M2803" s="16" t="str">
        <f>IFERROR(__xludf.DUMMYFUNCTION("""COMPUTED_VALUE"""),"")</f>
        <v/>
      </c>
      <c r="U2803" s="16" t="s">
        <v>87</v>
      </c>
      <c r="V2803" s="16" t="str">
        <f>IFERROR(__xludf.DUMMYFUNCTION("""COMPUTED_VALUE"""),"")</f>
        <v/>
      </c>
      <c r="W2803" s="16" t="str">
        <f>IFERROR(__xludf.DUMMYFUNCTION("""COMPUTED_VALUE"""),"")</f>
        <v/>
      </c>
      <c r="X2803" s="16" t="str">
        <f>IFERROR(__xludf.DUMMYFUNCTION("""COMPUTED_VALUE"""),"")</f>
        <v/>
      </c>
      <c r="AC2803" s="16" t="str">
        <f>IFERROR(__xludf.DUMMYFUNCTION("""COMPUTED_VALUE"""),"")</f>
        <v/>
      </c>
    </row>
    <row r="2804">
      <c r="A2804" s="16" t="s">
        <v>87</v>
      </c>
      <c r="E2804" s="16" t="str">
        <f>IFERROR(__xludf.DUMMYFUNCTION("""COMPUTED_VALUE"""),"")</f>
        <v/>
      </c>
      <c r="G2804" s="18"/>
      <c r="H2804" s="16" t="s">
        <v>87</v>
      </c>
      <c r="I2804" s="16" t="s">
        <v>87</v>
      </c>
      <c r="J2804" s="19"/>
      <c r="L2804" s="16" t="str">
        <f>IFERROR(__xludf.DUMMYFUNCTION("""COMPUTED_VALUE"""),"")</f>
        <v/>
      </c>
      <c r="M2804" s="16" t="str">
        <f>IFERROR(__xludf.DUMMYFUNCTION("""COMPUTED_VALUE"""),"")</f>
        <v/>
      </c>
      <c r="U2804" s="16" t="s">
        <v>87</v>
      </c>
      <c r="V2804" s="16" t="str">
        <f>IFERROR(__xludf.DUMMYFUNCTION("""COMPUTED_VALUE"""),"")</f>
        <v/>
      </c>
      <c r="W2804" s="16" t="str">
        <f>IFERROR(__xludf.DUMMYFUNCTION("""COMPUTED_VALUE"""),"")</f>
        <v/>
      </c>
      <c r="X2804" s="16" t="str">
        <f>IFERROR(__xludf.DUMMYFUNCTION("""COMPUTED_VALUE"""),"")</f>
        <v/>
      </c>
      <c r="AC2804" s="16" t="str">
        <f>IFERROR(__xludf.DUMMYFUNCTION("""COMPUTED_VALUE"""),"")</f>
        <v/>
      </c>
    </row>
    <row r="2805">
      <c r="A2805" s="16" t="s">
        <v>87</v>
      </c>
      <c r="E2805" s="16" t="str">
        <f>IFERROR(__xludf.DUMMYFUNCTION("""COMPUTED_VALUE"""),"")</f>
        <v/>
      </c>
      <c r="G2805" s="18"/>
      <c r="H2805" s="16" t="s">
        <v>87</v>
      </c>
      <c r="I2805" s="16" t="s">
        <v>87</v>
      </c>
      <c r="J2805" s="19"/>
      <c r="L2805" s="16" t="str">
        <f>IFERROR(__xludf.DUMMYFUNCTION("""COMPUTED_VALUE"""),"")</f>
        <v/>
      </c>
      <c r="M2805" s="16" t="str">
        <f>IFERROR(__xludf.DUMMYFUNCTION("""COMPUTED_VALUE"""),"")</f>
        <v/>
      </c>
      <c r="U2805" s="16" t="s">
        <v>87</v>
      </c>
      <c r="V2805" s="16" t="str">
        <f>IFERROR(__xludf.DUMMYFUNCTION("""COMPUTED_VALUE"""),"")</f>
        <v/>
      </c>
      <c r="W2805" s="16" t="str">
        <f>IFERROR(__xludf.DUMMYFUNCTION("""COMPUTED_VALUE"""),"")</f>
        <v/>
      </c>
      <c r="X2805" s="16" t="str">
        <f>IFERROR(__xludf.DUMMYFUNCTION("""COMPUTED_VALUE"""),"")</f>
        <v/>
      </c>
      <c r="AC2805" s="16" t="str">
        <f>IFERROR(__xludf.DUMMYFUNCTION("""COMPUTED_VALUE"""),"")</f>
        <v/>
      </c>
    </row>
    <row r="2806">
      <c r="A2806" s="16" t="s">
        <v>87</v>
      </c>
      <c r="E2806" s="16" t="str">
        <f>IFERROR(__xludf.DUMMYFUNCTION("""COMPUTED_VALUE"""),"")</f>
        <v/>
      </c>
      <c r="G2806" s="18"/>
      <c r="H2806" s="16" t="s">
        <v>87</v>
      </c>
      <c r="I2806" s="16" t="s">
        <v>87</v>
      </c>
      <c r="J2806" s="19"/>
      <c r="L2806" s="16" t="str">
        <f>IFERROR(__xludf.DUMMYFUNCTION("""COMPUTED_VALUE"""),"")</f>
        <v/>
      </c>
      <c r="M2806" s="16" t="str">
        <f>IFERROR(__xludf.DUMMYFUNCTION("""COMPUTED_VALUE"""),"")</f>
        <v/>
      </c>
      <c r="U2806" s="16" t="s">
        <v>87</v>
      </c>
      <c r="V2806" s="16" t="str">
        <f>IFERROR(__xludf.DUMMYFUNCTION("""COMPUTED_VALUE"""),"")</f>
        <v/>
      </c>
      <c r="W2806" s="16" t="str">
        <f>IFERROR(__xludf.DUMMYFUNCTION("""COMPUTED_VALUE"""),"")</f>
        <v/>
      </c>
      <c r="X2806" s="16" t="str">
        <f>IFERROR(__xludf.DUMMYFUNCTION("""COMPUTED_VALUE"""),"")</f>
        <v/>
      </c>
      <c r="AC2806" s="16" t="str">
        <f>IFERROR(__xludf.DUMMYFUNCTION("""COMPUTED_VALUE"""),"")</f>
        <v/>
      </c>
    </row>
    <row r="2807">
      <c r="A2807" s="16" t="s">
        <v>87</v>
      </c>
      <c r="E2807" s="16" t="str">
        <f>IFERROR(__xludf.DUMMYFUNCTION("""COMPUTED_VALUE"""),"")</f>
        <v/>
      </c>
      <c r="G2807" s="18"/>
      <c r="H2807" s="16" t="s">
        <v>87</v>
      </c>
      <c r="I2807" s="16" t="s">
        <v>87</v>
      </c>
      <c r="J2807" s="19"/>
      <c r="L2807" s="16" t="str">
        <f>IFERROR(__xludf.DUMMYFUNCTION("""COMPUTED_VALUE"""),"")</f>
        <v/>
      </c>
      <c r="M2807" s="16" t="str">
        <f>IFERROR(__xludf.DUMMYFUNCTION("""COMPUTED_VALUE"""),"")</f>
        <v/>
      </c>
      <c r="U2807" s="16" t="s">
        <v>87</v>
      </c>
      <c r="V2807" s="16" t="str">
        <f>IFERROR(__xludf.DUMMYFUNCTION("""COMPUTED_VALUE"""),"")</f>
        <v/>
      </c>
      <c r="W2807" s="16" t="str">
        <f>IFERROR(__xludf.DUMMYFUNCTION("""COMPUTED_VALUE"""),"")</f>
        <v/>
      </c>
      <c r="X2807" s="16" t="str">
        <f>IFERROR(__xludf.DUMMYFUNCTION("""COMPUTED_VALUE"""),"")</f>
        <v/>
      </c>
      <c r="AC2807" s="16" t="str">
        <f>IFERROR(__xludf.DUMMYFUNCTION("""COMPUTED_VALUE"""),"")</f>
        <v/>
      </c>
    </row>
    <row r="2808">
      <c r="A2808" s="16" t="s">
        <v>87</v>
      </c>
      <c r="E2808" s="16" t="str">
        <f>IFERROR(__xludf.DUMMYFUNCTION("""COMPUTED_VALUE"""),"")</f>
        <v/>
      </c>
      <c r="G2808" s="18"/>
      <c r="H2808" s="16" t="s">
        <v>87</v>
      </c>
      <c r="I2808" s="16" t="s">
        <v>87</v>
      </c>
      <c r="J2808" s="19"/>
      <c r="L2808" s="16" t="str">
        <f>IFERROR(__xludf.DUMMYFUNCTION("""COMPUTED_VALUE"""),"")</f>
        <v/>
      </c>
      <c r="M2808" s="16" t="str">
        <f>IFERROR(__xludf.DUMMYFUNCTION("""COMPUTED_VALUE"""),"")</f>
        <v/>
      </c>
      <c r="U2808" s="16" t="s">
        <v>87</v>
      </c>
      <c r="V2808" s="16" t="str">
        <f>IFERROR(__xludf.DUMMYFUNCTION("""COMPUTED_VALUE"""),"")</f>
        <v/>
      </c>
      <c r="W2808" s="16" t="str">
        <f>IFERROR(__xludf.DUMMYFUNCTION("""COMPUTED_VALUE"""),"")</f>
        <v/>
      </c>
      <c r="X2808" s="16" t="str">
        <f>IFERROR(__xludf.DUMMYFUNCTION("""COMPUTED_VALUE"""),"")</f>
        <v/>
      </c>
      <c r="AC2808" s="16" t="str">
        <f>IFERROR(__xludf.DUMMYFUNCTION("""COMPUTED_VALUE"""),"")</f>
        <v/>
      </c>
    </row>
    <row r="2809">
      <c r="A2809" s="16" t="s">
        <v>87</v>
      </c>
      <c r="E2809" s="16" t="str">
        <f>IFERROR(__xludf.DUMMYFUNCTION("""COMPUTED_VALUE"""),"")</f>
        <v/>
      </c>
      <c r="G2809" s="18"/>
      <c r="H2809" s="16" t="s">
        <v>87</v>
      </c>
      <c r="I2809" s="16" t="s">
        <v>87</v>
      </c>
      <c r="J2809" s="19"/>
      <c r="L2809" s="16" t="str">
        <f>IFERROR(__xludf.DUMMYFUNCTION("""COMPUTED_VALUE"""),"")</f>
        <v/>
      </c>
      <c r="M2809" s="16" t="str">
        <f>IFERROR(__xludf.DUMMYFUNCTION("""COMPUTED_VALUE"""),"")</f>
        <v/>
      </c>
      <c r="U2809" s="16" t="s">
        <v>87</v>
      </c>
      <c r="V2809" s="16" t="str">
        <f>IFERROR(__xludf.DUMMYFUNCTION("""COMPUTED_VALUE"""),"")</f>
        <v/>
      </c>
      <c r="W2809" s="16" t="str">
        <f>IFERROR(__xludf.DUMMYFUNCTION("""COMPUTED_VALUE"""),"")</f>
        <v/>
      </c>
      <c r="X2809" s="16" t="str">
        <f>IFERROR(__xludf.DUMMYFUNCTION("""COMPUTED_VALUE"""),"")</f>
        <v/>
      </c>
      <c r="AC2809" s="16" t="str">
        <f>IFERROR(__xludf.DUMMYFUNCTION("""COMPUTED_VALUE"""),"")</f>
        <v/>
      </c>
    </row>
    <row r="2810">
      <c r="A2810" s="16" t="s">
        <v>87</v>
      </c>
      <c r="E2810" s="16" t="str">
        <f>IFERROR(__xludf.DUMMYFUNCTION("""COMPUTED_VALUE"""),"")</f>
        <v/>
      </c>
      <c r="G2810" s="18"/>
      <c r="H2810" s="16" t="s">
        <v>87</v>
      </c>
      <c r="I2810" s="16" t="s">
        <v>87</v>
      </c>
      <c r="J2810" s="19"/>
      <c r="L2810" s="16" t="str">
        <f>IFERROR(__xludf.DUMMYFUNCTION("""COMPUTED_VALUE"""),"")</f>
        <v/>
      </c>
      <c r="M2810" s="16" t="str">
        <f>IFERROR(__xludf.DUMMYFUNCTION("""COMPUTED_VALUE"""),"")</f>
        <v/>
      </c>
      <c r="U2810" s="16" t="s">
        <v>87</v>
      </c>
      <c r="V2810" s="16" t="str">
        <f>IFERROR(__xludf.DUMMYFUNCTION("""COMPUTED_VALUE"""),"")</f>
        <v/>
      </c>
      <c r="W2810" s="16" t="str">
        <f>IFERROR(__xludf.DUMMYFUNCTION("""COMPUTED_VALUE"""),"")</f>
        <v/>
      </c>
      <c r="X2810" s="16" t="str">
        <f>IFERROR(__xludf.DUMMYFUNCTION("""COMPUTED_VALUE"""),"")</f>
        <v/>
      </c>
      <c r="AC2810" s="16" t="str">
        <f>IFERROR(__xludf.DUMMYFUNCTION("""COMPUTED_VALUE"""),"")</f>
        <v/>
      </c>
    </row>
    <row r="2811">
      <c r="A2811" s="16" t="s">
        <v>87</v>
      </c>
      <c r="E2811" s="16" t="str">
        <f>IFERROR(__xludf.DUMMYFUNCTION("""COMPUTED_VALUE"""),"")</f>
        <v/>
      </c>
      <c r="G2811" s="18"/>
      <c r="H2811" s="16" t="s">
        <v>87</v>
      </c>
      <c r="I2811" s="16" t="s">
        <v>87</v>
      </c>
      <c r="J2811" s="19"/>
      <c r="L2811" s="16" t="str">
        <f>IFERROR(__xludf.DUMMYFUNCTION("""COMPUTED_VALUE"""),"")</f>
        <v/>
      </c>
      <c r="M2811" s="16" t="str">
        <f>IFERROR(__xludf.DUMMYFUNCTION("""COMPUTED_VALUE"""),"")</f>
        <v/>
      </c>
      <c r="U2811" s="16" t="s">
        <v>87</v>
      </c>
      <c r="V2811" s="16" t="str">
        <f>IFERROR(__xludf.DUMMYFUNCTION("""COMPUTED_VALUE"""),"")</f>
        <v/>
      </c>
      <c r="W2811" s="16" t="str">
        <f>IFERROR(__xludf.DUMMYFUNCTION("""COMPUTED_VALUE"""),"")</f>
        <v/>
      </c>
      <c r="X2811" s="16" t="str">
        <f>IFERROR(__xludf.DUMMYFUNCTION("""COMPUTED_VALUE"""),"")</f>
        <v/>
      </c>
      <c r="AC2811" s="16" t="str">
        <f>IFERROR(__xludf.DUMMYFUNCTION("""COMPUTED_VALUE"""),"")</f>
        <v/>
      </c>
    </row>
    <row r="2812">
      <c r="A2812" s="16" t="s">
        <v>87</v>
      </c>
      <c r="E2812" s="16" t="str">
        <f>IFERROR(__xludf.DUMMYFUNCTION("""COMPUTED_VALUE"""),"")</f>
        <v/>
      </c>
      <c r="G2812" s="18"/>
      <c r="H2812" s="16" t="s">
        <v>87</v>
      </c>
      <c r="I2812" s="16" t="s">
        <v>87</v>
      </c>
      <c r="J2812" s="19"/>
      <c r="L2812" s="16" t="str">
        <f>IFERROR(__xludf.DUMMYFUNCTION("""COMPUTED_VALUE"""),"")</f>
        <v/>
      </c>
      <c r="M2812" s="16" t="str">
        <f>IFERROR(__xludf.DUMMYFUNCTION("""COMPUTED_VALUE"""),"")</f>
        <v/>
      </c>
      <c r="U2812" s="16" t="s">
        <v>87</v>
      </c>
      <c r="V2812" s="16" t="str">
        <f>IFERROR(__xludf.DUMMYFUNCTION("""COMPUTED_VALUE"""),"")</f>
        <v/>
      </c>
      <c r="W2812" s="16" t="str">
        <f>IFERROR(__xludf.DUMMYFUNCTION("""COMPUTED_VALUE"""),"")</f>
        <v/>
      </c>
      <c r="X2812" s="16" t="str">
        <f>IFERROR(__xludf.DUMMYFUNCTION("""COMPUTED_VALUE"""),"")</f>
        <v/>
      </c>
      <c r="AC2812" s="16" t="str">
        <f>IFERROR(__xludf.DUMMYFUNCTION("""COMPUTED_VALUE"""),"")</f>
        <v/>
      </c>
    </row>
    <row r="2813">
      <c r="A2813" s="16" t="s">
        <v>87</v>
      </c>
      <c r="E2813" s="16" t="str">
        <f>IFERROR(__xludf.DUMMYFUNCTION("""COMPUTED_VALUE"""),"")</f>
        <v/>
      </c>
      <c r="G2813" s="18"/>
      <c r="H2813" s="16" t="s">
        <v>87</v>
      </c>
      <c r="I2813" s="16" t="s">
        <v>87</v>
      </c>
      <c r="J2813" s="19"/>
      <c r="L2813" s="16" t="str">
        <f>IFERROR(__xludf.DUMMYFUNCTION("""COMPUTED_VALUE"""),"")</f>
        <v/>
      </c>
      <c r="M2813" s="16" t="str">
        <f>IFERROR(__xludf.DUMMYFUNCTION("""COMPUTED_VALUE"""),"")</f>
        <v/>
      </c>
      <c r="U2813" s="16" t="s">
        <v>87</v>
      </c>
      <c r="V2813" s="16" t="str">
        <f>IFERROR(__xludf.DUMMYFUNCTION("""COMPUTED_VALUE"""),"")</f>
        <v/>
      </c>
      <c r="W2813" s="16" t="str">
        <f>IFERROR(__xludf.DUMMYFUNCTION("""COMPUTED_VALUE"""),"")</f>
        <v/>
      </c>
      <c r="X2813" s="16" t="str">
        <f>IFERROR(__xludf.DUMMYFUNCTION("""COMPUTED_VALUE"""),"")</f>
        <v/>
      </c>
      <c r="AC2813" s="16" t="str">
        <f>IFERROR(__xludf.DUMMYFUNCTION("""COMPUTED_VALUE"""),"")</f>
        <v/>
      </c>
    </row>
    <row r="2814">
      <c r="A2814" s="16" t="s">
        <v>87</v>
      </c>
      <c r="E2814" s="16" t="str">
        <f>IFERROR(__xludf.DUMMYFUNCTION("""COMPUTED_VALUE"""),"")</f>
        <v/>
      </c>
      <c r="G2814" s="18"/>
      <c r="H2814" s="16" t="s">
        <v>87</v>
      </c>
      <c r="I2814" s="16" t="s">
        <v>87</v>
      </c>
      <c r="J2814" s="19"/>
      <c r="L2814" s="16" t="str">
        <f>IFERROR(__xludf.DUMMYFUNCTION("""COMPUTED_VALUE"""),"")</f>
        <v/>
      </c>
      <c r="M2814" s="16" t="str">
        <f>IFERROR(__xludf.DUMMYFUNCTION("""COMPUTED_VALUE"""),"")</f>
        <v/>
      </c>
      <c r="U2814" s="16" t="s">
        <v>87</v>
      </c>
      <c r="V2814" s="16" t="str">
        <f>IFERROR(__xludf.DUMMYFUNCTION("""COMPUTED_VALUE"""),"")</f>
        <v/>
      </c>
      <c r="W2814" s="16" t="str">
        <f>IFERROR(__xludf.DUMMYFUNCTION("""COMPUTED_VALUE"""),"")</f>
        <v/>
      </c>
      <c r="X2814" s="16" t="str">
        <f>IFERROR(__xludf.DUMMYFUNCTION("""COMPUTED_VALUE"""),"")</f>
        <v/>
      </c>
      <c r="AC2814" s="16" t="str">
        <f>IFERROR(__xludf.DUMMYFUNCTION("""COMPUTED_VALUE"""),"")</f>
        <v/>
      </c>
    </row>
    <row r="2815">
      <c r="A2815" s="16" t="s">
        <v>87</v>
      </c>
      <c r="E2815" s="16" t="str">
        <f>IFERROR(__xludf.DUMMYFUNCTION("""COMPUTED_VALUE"""),"")</f>
        <v/>
      </c>
      <c r="G2815" s="18"/>
      <c r="H2815" s="16" t="s">
        <v>87</v>
      </c>
      <c r="I2815" s="16" t="s">
        <v>87</v>
      </c>
      <c r="J2815" s="19"/>
      <c r="L2815" s="16" t="str">
        <f>IFERROR(__xludf.DUMMYFUNCTION("""COMPUTED_VALUE"""),"")</f>
        <v/>
      </c>
      <c r="M2815" s="16" t="str">
        <f>IFERROR(__xludf.DUMMYFUNCTION("""COMPUTED_VALUE"""),"")</f>
        <v/>
      </c>
      <c r="U2815" s="16" t="s">
        <v>87</v>
      </c>
      <c r="V2815" s="16" t="str">
        <f>IFERROR(__xludf.DUMMYFUNCTION("""COMPUTED_VALUE"""),"")</f>
        <v/>
      </c>
      <c r="W2815" s="16" t="str">
        <f>IFERROR(__xludf.DUMMYFUNCTION("""COMPUTED_VALUE"""),"")</f>
        <v/>
      </c>
      <c r="X2815" s="16" t="str">
        <f>IFERROR(__xludf.DUMMYFUNCTION("""COMPUTED_VALUE"""),"")</f>
        <v/>
      </c>
      <c r="AC2815" s="16" t="str">
        <f>IFERROR(__xludf.DUMMYFUNCTION("""COMPUTED_VALUE"""),"")</f>
        <v/>
      </c>
    </row>
    <row r="2816">
      <c r="A2816" s="16" t="s">
        <v>87</v>
      </c>
      <c r="E2816" s="16" t="str">
        <f>IFERROR(__xludf.DUMMYFUNCTION("""COMPUTED_VALUE"""),"")</f>
        <v/>
      </c>
      <c r="G2816" s="18"/>
      <c r="H2816" s="16" t="s">
        <v>87</v>
      </c>
      <c r="I2816" s="16" t="s">
        <v>87</v>
      </c>
      <c r="J2816" s="19"/>
      <c r="L2816" s="16" t="str">
        <f>IFERROR(__xludf.DUMMYFUNCTION("""COMPUTED_VALUE"""),"")</f>
        <v/>
      </c>
      <c r="M2816" s="16" t="str">
        <f>IFERROR(__xludf.DUMMYFUNCTION("""COMPUTED_VALUE"""),"")</f>
        <v/>
      </c>
      <c r="U2816" s="16" t="s">
        <v>87</v>
      </c>
      <c r="V2816" s="16" t="str">
        <f>IFERROR(__xludf.DUMMYFUNCTION("""COMPUTED_VALUE"""),"")</f>
        <v/>
      </c>
      <c r="W2816" s="16" t="str">
        <f>IFERROR(__xludf.DUMMYFUNCTION("""COMPUTED_VALUE"""),"")</f>
        <v/>
      </c>
      <c r="X2816" s="16" t="str">
        <f>IFERROR(__xludf.DUMMYFUNCTION("""COMPUTED_VALUE"""),"")</f>
        <v/>
      </c>
      <c r="AC2816" s="16" t="str">
        <f>IFERROR(__xludf.DUMMYFUNCTION("""COMPUTED_VALUE"""),"")</f>
        <v/>
      </c>
    </row>
    <row r="2817">
      <c r="A2817" s="16" t="s">
        <v>87</v>
      </c>
      <c r="E2817" s="16" t="str">
        <f>IFERROR(__xludf.DUMMYFUNCTION("""COMPUTED_VALUE"""),"")</f>
        <v/>
      </c>
      <c r="G2817" s="18"/>
      <c r="H2817" s="16" t="s">
        <v>87</v>
      </c>
      <c r="I2817" s="16" t="s">
        <v>87</v>
      </c>
      <c r="J2817" s="19"/>
      <c r="L2817" s="16" t="str">
        <f>IFERROR(__xludf.DUMMYFUNCTION("""COMPUTED_VALUE"""),"")</f>
        <v/>
      </c>
      <c r="M2817" s="16" t="str">
        <f>IFERROR(__xludf.DUMMYFUNCTION("""COMPUTED_VALUE"""),"")</f>
        <v/>
      </c>
      <c r="U2817" s="16" t="s">
        <v>87</v>
      </c>
      <c r="V2817" s="16" t="str">
        <f>IFERROR(__xludf.DUMMYFUNCTION("""COMPUTED_VALUE"""),"")</f>
        <v/>
      </c>
      <c r="W2817" s="16" t="str">
        <f>IFERROR(__xludf.DUMMYFUNCTION("""COMPUTED_VALUE"""),"")</f>
        <v/>
      </c>
      <c r="X2817" s="16" t="str">
        <f>IFERROR(__xludf.DUMMYFUNCTION("""COMPUTED_VALUE"""),"")</f>
        <v/>
      </c>
      <c r="AC2817" s="16" t="str">
        <f>IFERROR(__xludf.DUMMYFUNCTION("""COMPUTED_VALUE"""),"")</f>
        <v/>
      </c>
    </row>
    <row r="2818">
      <c r="A2818" s="16" t="s">
        <v>87</v>
      </c>
      <c r="E2818" s="16" t="str">
        <f>IFERROR(__xludf.DUMMYFUNCTION("""COMPUTED_VALUE"""),"")</f>
        <v/>
      </c>
      <c r="G2818" s="18"/>
      <c r="H2818" s="16" t="s">
        <v>87</v>
      </c>
      <c r="I2818" s="16" t="s">
        <v>87</v>
      </c>
      <c r="J2818" s="19"/>
      <c r="L2818" s="16" t="str">
        <f>IFERROR(__xludf.DUMMYFUNCTION("""COMPUTED_VALUE"""),"")</f>
        <v/>
      </c>
      <c r="M2818" s="16" t="str">
        <f>IFERROR(__xludf.DUMMYFUNCTION("""COMPUTED_VALUE"""),"")</f>
        <v/>
      </c>
      <c r="U2818" s="16" t="s">
        <v>87</v>
      </c>
      <c r="V2818" s="16" t="str">
        <f>IFERROR(__xludf.DUMMYFUNCTION("""COMPUTED_VALUE"""),"")</f>
        <v/>
      </c>
      <c r="W2818" s="16" t="str">
        <f>IFERROR(__xludf.DUMMYFUNCTION("""COMPUTED_VALUE"""),"")</f>
        <v/>
      </c>
      <c r="X2818" s="16" t="str">
        <f>IFERROR(__xludf.DUMMYFUNCTION("""COMPUTED_VALUE"""),"")</f>
        <v/>
      </c>
      <c r="AC2818" s="16" t="str">
        <f>IFERROR(__xludf.DUMMYFUNCTION("""COMPUTED_VALUE"""),"")</f>
        <v/>
      </c>
    </row>
    <row r="2819">
      <c r="A2819" s="16" t="s">
        <v>87</v>
      </c>
      <c r="E2819" s="16" t="str">
        <f>IFERROR(__xludf.DUMMYFUNCTION("""COMPUTED_VALUE"""),"")</f>
        <v/>
      </c>
      <c r="G2819" s="18"/>
      <c r="H2819" s="16" t="s">
        <v>87</v>
      </c>
      <c r="I2819" s="16" t="s">
        <v>87</v>
      </c>
      <c r="J2819" s="19"/>
      <c r="L2819" s="16" t="str">
        <f>IFERROR(__xludf.DUMMYFUNCTION("""COMPUTED_VALUE"""),"")</f>
        <v/>
      </c>
      <c r="M2819" s="16" t="str">
        <f>IFERROR(__xludf.DUMMYFUNCTION("""COMPUTED_VALUE"""),"")</f>
        <v/>
      </c>
      <c r="U2819" s="16" t="s">
        <v>87</v>
      </c>
      <c r="V2819" s="16" t="str">
        <f>IFERROR(__xludf.DUMMYFUNCTION("""COMPUTED_VALUE"""),"")</f>
        <v/>
      </c>
      <c r="W2819" s="16" t="str">
        <f>IFERROR(__xludf.DUMMYFUNCTION("""COMPUTED_VALUE"""),"")</f>
        <v/>
      </c>
      <c r="X2819" s="16" t="str">
        <f>IFERROR(__xludf.DUMMYFUNCTION("""COMPUTED_VALUE"""),"")</f>
        <v/>
      </c>
      <c r="AC2819" s="16" t="str">
        <f>IFERROR(__xludf.DUMMYFUNCTION("""COMPUTED_VALUE"""),"")</f>
        <v/>
      </c>
    </row>
    <row r="2820">
      <c r="A2820" s="16" t="s">
        <v>87</v>
      </c>
      <c r="E2820" s="16" t="str">
        <f>IFERROR(__xludf.DUMMYFUNCTION("""COMPUTED_VALUE"""),"")</f>
        <v/>
      </c>
      <c r="G2820" s="18"/>
      <c r="H2820" s="16" t="s">
        <v>87</v>
      </c>
      <c r="I2820" s="16" t="s">
        <v>87</v>
      </c>
      <c r="J2820" s="19"/>
      <c r="L2820" s="16" t="str">
        <f>IFERROR(__xludf.DUMMYFUNCTION("""COMPUTED_VALUE"""),"")</f>
        <v/>
      </c>
      <c r="M2820" s="16" t="str">
        <f>IFERROR(__xludf.DUMMYFUNCTION("""COMPUTED_VALUE"""),"")</f>
        <v/>
      </c>
      <c r="U2820" s="16" t="s">
        <v>87</v>
      </c>
      <c r="V2820" s="16" t="str">
        <f>IFERROR(__xludf.DUMMYFUNCTION("""COMPUTED_VALUE"""),"")</f>
        <v/>
      </c>
      <c r="W2820" s="16" t="str">
        <f>IFERROR(__xludf.DUMMYFUNCTION("""COMPUTED_VALUE"""),"")</f>
        <v/>
      </c>
      <c r="X2820" s="16" t="str">
        <f>IFERROR(__xludf.DUMMYFUNCTION("""COMPUTED_VALUE"""),"")</f>
        <v/>
      </c>
      <c r="AC2820" s="16" t="str">
        <f>IFERROR(__xludf.DUMMYFUNCTION("""COMPUTED_VALUE"""),"")</f>
        <v/>
      </c>
    </row>
    <row r="2821">
      <c r="A2821" s="16" t="s">
        <v>87</v>
      </c>
      <c r="E2821" s="16" t="str">
        <f>IFERROR(__xludf.DUMMYFUNCTION("""COMPUTED_VALUE"""),"")</f>
        <v/>
      </c>
      <c r="G2821" s="18"/>
      <c r="H2821" s="16" t="s">
        <v>87</v>
      </c>
      <c r="I2821" s="16" t="s">
        <v>87</v>
      </c>
      <c r="J2821" s="19"/>
      <c r="L2821" s="16" t="str">
        <f>IFERROR(__xludf.DUMMYFUNCTION("""COMPUTED_VALUE"""),"")</f>
        <v/>
      </c>
      <c r="M2821" s="16" t="str">
        <f>IFERROR(__xludf.DUMMYFUNCTION("""COMPUTED_VALUE"""),"")</f>
        <v/>
      </c>
      <c r="U2821" s="16" t="s">
        <v>87</v>
      </c>
      <c r="V2821" s="16" t="str">
        <f>IFERROR(__xludf.DUMMYFUNCTION("""COMPUTED_VALUE"""),"")</f>
        <v/>
      </c>
      <c r="W2821" s="16" t="str">
        <f>IFERROR(__xludf.DUMMYFUNCTION("""COMPUTED_VALUE"""),"")</f>
        <v/>
      </c>
      <c r="X2821" s="16" t="str">
        <f>IFERROR(__xludf.DUMMYFUNCTION("""COMPUTED_VALUE"""),"")</f>
        <v/>
      </c>
      <c r="AC2821" s="16" t="str">
        <f>IFERROR(__xludf.DUMMYFUNCTION("""COMPUTED_VALUE"""),"")</f>
        <v/>
      </c>
    </row>
    <row r="2822">
      <c r="A2822" s="16" t="s">
        <v>87</v>
      </c>
      <c r="E2822" s="16" t="str">
        <f>IFERROR(__xludf.DUMMYFUNCTION("""COMPUTED_VALUE"""),"")</f>
        <v/>
      </c>
      <c r="G2822" s="18"/>
      <c r="H2822" s="16" t="s">
        <v>87</v>
      </c>
      <c r="I2822" s="16" t="s">
        <v>87</v>
      </c>
      <c r="J2822" s="19"/>
      <c r="L2822" s="16" t="str">
        <f>IFERROR(__xludf.DUMMYFUNCTION("""COMPUTED_VALUE"""),"")</f>
        <v/>
      </c>
      <c r="M2822" s="16" t="str">
        <f>IFERROR(__xludf.DUMMYFUNCTION("""COMPUTED_VALUE"""),"")</f>
        <v/>
      </c>
      <c r="U2822" s="16" t="s">
        <v>87</v>
      </c>
      <c r="V2822" s="16" t="str">
        <f>IFERROR(__xludf.DUMMYFUNCTION("""COMPUTED_VALUE"""),"")</f>
        <v/>
      </c>
      <c r="W2822" s="16" t="str">
        <f>IFERROR(__xludf.DUMMYFUNCTION("""COMPUTED_VALUE"""),"")</f>
        <v/>
      </c>
      <c r="X2822" s="16" t="str">
        <f>IFERROR(__xludf.DUMMYFUNCTION("""COMPUTED_VALUE"""),"")</f>
        <v/>
      </c>
      <c r="AC2822" s="16" t="str">
        <f>IFERROR(__xludf.DUMMYFUNCTION("""COMPUTED_VALUE"""),"")</f>
        <v/>
      </c>
    </row>
    <row r="2823">
      <c r="A2823" s="16" t="s">
        <v>87</v>
      </c>
      <c r="E2823" s="16" t="str">
        <f>IFERROR(__xludf.DUMMYFUNCTION("""COMPUTED_VALUE"""),"")</f>
        <v/>
      </c>
      <c r="G2823" s="18"/>
      <c r="H2823" s="16" t="s">
        <v>87</v>
      </c>
      <c r="I2823" s="16" t="s">
        <v>87</v>
      </c>
      <c r="J2823" s="19"/>
      <c r="L2823" s="16" t="str">
        <f>IFERROR(__xludf.DUMMYFUNCTION("""COMPUTED_VALUE"""),"")</f>
        <v/>
      </c>
      <c r="M2823" s="16" t="str">
        <f>IFERROR(__xludf.DUMMYFUNCTION("""COMPUTED_VALUE"""),"")</f>
        <v/>
      </c>
      <c r="U2823" s="16" t="s">
        <v>87</v>
      </c>
      <c r="V2823" s="16" t="str">
        <f>IFERROR(__xludf.DUMMYFUNCTION("""COMPUTED_VALUE"""),"")</f>
        <v/>
      </c>
      <c r="W2823" s="16" t="str">
        <f>IFERROR(__xludf.DUMMYFUNCTION("""COMPUTED_VALUE"""),"")</f>
        <v/>
      </c>
      <c r="X2823" s="16" t="str">
        <f>IFERROR(__xludf.DUMMYFUNCTION("""COMPUTED_VALUE"""),"")</f>
        <v/>
      </c>
      <c r="AC2823" s="16" t="str">
        <f>IFERROR(__xludf.DUMMYFUNCTION("""COMPUTED_VALUE"""),"")</f>
        <v/>
      </c>
    </row>
    <row r="2824">
      <c r="A2824" s="16" t="s">
        <v>87</v>
      </c>
      <c r="E2824" s="16" t="str">
        <f>IFERROR(__xludf.DUMMYFUNCTION("""COMPUTED_VALUE"""),"")</f>
        <v/>
      </c>
      <c r="G2824" s="18"/>
      <c r="H2824" s="16" t="s">
        <v>87</v>
      </c>
      <c r="I2824" s="16" t="s">
        <v>87</v>
      </c>
      <c r="J2824" s="19"/>
      <c r="L2824" s="16" t="str">
        <f>IFERROR(__xludf.DUMMYFUNCTION("""COMPUTED_VALUE"""),"")</f>
        <v/>
      </c>
      <c r="M2824" s="16" t="str">
        <f>IFERROR(__xludf.DUMMYFUNCTION("""COMPUTED_VALUE"""),"")</f>
        <v/>
      </c>
      <c r="U2824" s="16" t="s">
        <v>87</v>
      </c>
      <c r="V2824" s="16" t="str">
        <f>IFERROR(__xludf.DUMMYFUNCTION("""COMPUTED_VALUE"""),"")</f>
        <v/>
      </c>
      <c r="W2824" s="16" t="str">
        <f>IFERROR(__xludf.DUMMYFUNCTION("""COMPUTED_VALUE"""),"")</f>
        <v/>
      </c>
      <c r="X2824" s="16" t="str">
        <f>IFERROR(__xludf.DUMMYFUNCTION("""COMPUTED_VALUE"""),"")</f>
        <v/>
      </c>
      <c r="AC2824" s="16" t="str">
        <f>IFERROR(__xludf.DUMMYFUNCTION("""COMPUTED_VALUE"""),"")</f>
        <v/>
      </c>
    </row>
    <row r="2825">
      <c r="A2825" s="16" t="s">
        <v>87</v>
      </c>
      <c r="E2825" s="16" t="str">
        <f>IFERROR(__xludf.DUMMYFUNCTION("""COMPUTED_VALUE"""),"")</f>
        <v/>
      </c>
      <c r="G2825" s="18"/>
      <c r="H2825" s="16" t="s">
        <v>87</v>
      </c>
      <c r="I2825" s="16" t="s">
        <v>87</v>
      </c>
      <c r="J2825" s="19"/>
      <c r="L2825" s="16" t="str">
        <f>IFERROR(__xludf.DUMMYFUNCTION("""COMPUTED_VALUE"""),"")</f>
        <v/>
      </c>
      <c r="M2825" s="16" t="str">
        <f>IFERROR(__xludf.DUMMYFUNCTION("""COMPUTED_VALUE"""),"")</f>
        <v/>
      </c>
      <c r="U2825" s="16" t="s">
        <v>87</v>
      </c>
      <c r="V2825" s="16" t="str">
        <f>IFERROR(__xludf.DUMMYFUNCTION("""COMPUTED_VALUE"""),"")</f>
        <v/>
      </c>
      <c r="W2825" s="16" t="str">
        <f>IFERROR(__xludf.DUMMYFUNCTION("""COMPUTED_VALUE"""),"")</f>
        <v/>
      </c>
      <c r="X2825" s="16" t="str">
        <f>IFERROR(__xludf.DUMMYFUNCTION("""COMPUTED_VALUE"""),"")</f>
        <v/>
      </c>
      <c r="AC2825" s="16" t="str">
        <f>IFERROR(__xludf.DUMMYFUNCTION("""COMPUTED_VALUE"""),"")</f>
        <v/>
      </c>
    </row>
    <row r="2826">
      <c r="A2826" s="16" t="s">
        <v>87</v>
      </c>
      <c r="E2826" s="16" t="str">
        <f>IFERROR(__xludf.DUMMYFUNCTION("""COMPUTED_VALUE"""),"")</f>
        <v/>
      </c>
      <c r="G2826" s="18"/>
      <c r="H2826" s="16" t="s">
        <v>87</v>
      </c>
      <c r="I2826" s="16" t="s">
        <v>87</v>
      </c>
      <c r="J2826" s="19"/>
      <c r="L2826" s="16" t="str">
        <f>IFERROR(__xludf.DUMMYFUNCTION("""COMPUTED_VALUE"""),"")</f>
        <v/>
      </c>
      <c r="M2826" s="16" t="str">
        <f>IFERROR(__xludf.DUMMYFUNCTION("""COMPUTED_VALUE"""),"")</f>
        <v/>
      </c>
      <c r="U2826" s="16" t="s">
        <v>87</v>
      </c>
      <c r="V2826" s="16" t="str">
        <f>IFERROR(__xludf.DUMMYFUNCTION("""COMPUTED_VALUE"""),"")</f>
        <v/>
      </c>
      <c r="W2826" s="16" t="str">
        <f>IFERROR(__xludf.DUMMYFUNCTION("""COMPUTED_VALUE"""),"")</f>
        <v/>
      </c>
      <c r="X2826" s="16" t="str">
        <f>IFERROR(__xludf.DUMMYFUNCTION("""COMPUTED_VALUE"""),"")</f>
        <v/>
      </c>
      <c r="AC2826" s="16" t="str">
        <f>IFERROR(__xludf.DUMMYFUNCTION("""COMPUTED_VALUE"""),"")</f>
        <v/>
      </c>
    </row>
    <row r="2827">
      <c r="A2827" s="16" t="s">
        <v>87</v>
      </c>
      <c r="E2827" s="16" t="str">
        <f>IFERROR(__xludf.DUMMYFUNCTION("""COMPUTED_VALUE"""),"")</f>
        <v/>
      </c>
      <c r="G2827" s="18"/>
      <c r="H2827" s="16" t="s">
        <v>87</v>
      </c>
      <c r="I2827" s="16" t="s">
        <v>87</v>
      </c>
      <c r="J2827" s="19"/>
      <c r="L2827" s="16" t="str">
        <f>IFERROR(__xludf.DUMMYFUNCTION("""COMPUTED_VALUE"""),"")</f>
        <v/>
      </c>
      <c r="M2827" s="16" t="str">
        <f>IFERROR(__xludf.DUMMYFUNCTION("""COMPUTED_VALUE"""),"")</f>
        <v/>
      </c>
      <c r="U2827" s="16" t="s">
        <v>87</v>
      </c>
      <c r="V2827" s="16" t="str">
        <f>IFERROR(__xludf.DUMMYFUNCTION("""COMPUTED_VALUE"""),"")</f>
        <v/>
      </c>
      <c r="W2827" s="16" t="str">
        <f>IFERROR(__xludf.DUMMYFUNCTION("""COMPUTED_VALUE"""),"")</f>
        <v/>
      </c>
      <c r="X2827" s="16" t="str">
        <f>IFERROR(__xludf.DUMMYFUNCTION("""COMPUTED_VALUE"""),"")</f>
        <v/>
      </c>
      <c r="AC2827" s="16" t="str">
        <f>IFERROR(__xludf.DUMMYFUNCTION("""COMPUTED_VALUE"""),"")</f>
        <v/>
      </c>
    </row>
    <row r="2828">
      <c r="A2828" s="16" t="s">
        <v>87</v>
      </c>
      <c r="E2828" s="16" t="str">
        <f>IFERROR(__xludf.DUMMYFUNCTION("""COMPUTED_VALUE"""),"")</f>
        <v/>
      </c>
      <c r="G2828" s="18"/>
      <c r="H2828" s="16" t="s">
        <v>87</v>
      </c>
      <c r="I2828" s="16" t="s">
        <v>87</v>
      </c>
      <c r="J2828" s="19"/>
      <c r="L2828" s="16" t="str">
        <f>IFERROR(__xludf.DUMMYFUNCTION("""COMPUTED_VALUE"""),"")</f>
        <v/>
      </c>
      <c r="M2828" s="16" t="str">
        <f>IFERROR(__xludf.DUMMYFUNCTION("""COMPUTED_VALUE"""),"")</f>
        <v/>
      </c>
      <c r="U2828" s="16" t="s">
        <v>87</v>
      </c>
      <c r="V2828" s="16" t="str">
        <f>IFERROR(__xludf.DUMMYFUNCTION("""COMPUTED_VALUE"""),"")</f>
        <v/>
      </c>
      <c r="W2828" s="16" t="str">
        <f>IFERROR(__xludf.DUMMYFUNCTION("""COMPUTED_VALUE"""),"")</f>
        <v/>
      </c>
      <c r="X2828" s="16" t="str">
        <f>IFERROR(__xludf.DUMMYFUNCTION("""COMPUTED_VALUE"""),"")</f>
        <v/>
      </c>
      <c r="AC2828" s="16" t="str">
        <f>IFERROR(__xludf.DUMMYFUNCTION("""COMPUTED_VALUE"""),"")</f>
        <v/>
      </c>
    </row>
    <row r="2829">
      <c r="A2829" s="16" t="s">
        <v>87</v>
      </c>
      <c r="E2829" s="16" t="str">
        <f>IFERROR(__xludf.DUMMYFUNCTION("""COMPUTED_VALUE"""),"")</f>
        <v/>
      </c>
      <c r="G2829" s="18"/>
      <c r="H2829" s="16" t="s">
        <v>87</v>
      </c>
      <c r="I2829" s="16" t="s">
        <v>87</v>
      </c>
      <c r="J2829" s="19"/>
      <c r="L2829" s="16" t="str">
        <f>IFERROR(__xludf.DUMMYFUNCTION("""COMPUTED_VALUE"""),"")</f>
        <v/>
      </c>
      <c r="M2829" s="16" t="str">
        <f>IFERROR(__xludf.DUMMYFUNCTION("""COMPUTED_VALUE"""),"")</f>
        <v/>
      </c>
      <c r="U2829" s="16" t="s">
        <v>87</v>
      </c>
      <c r="V2829" s="16" t="str">
        <f>IFERROR(__xludf.DUMMYFUNCTION("""COMPUTED_VALUE"""),"")</f>
        <v/>
      </c>
      <c r="W2829" s="16" t="str">
        <f>IFERROR(__xludf.DUMMYFUNCTION("""COMPUTED_VALUE"""),"")</f>
        <v/>
      </c>
      <c r="X2829" s="16" t="str">
        <f>IFERROR(__xludf.DUMMYFUNCTION("""COMPUTED_VALUE"""),"")</f>
        <v/>
      </c>
      <c r="AC2829" s="16" t="str">
        <f>IFERROR(__xludf.DUMMYFUNCTION("""COMPUTED_VALUE"""),"")</f>
        <v/>
      </c>
    </row>
    <row r="2830">
      <c r="A2830" s="16" t="s">
        <v>87</v>
      </c>
      <c r="E2830" s="16" t="str">
        <f>IFERROR(__xludf.DUMMYFUNCTION("""COMPUTED_VALUE"""),"")</f>
        <v/>
      </c>
      <c r="G2830" s="18"/>
      <c r="H2830" s="16" t="s">
        <v>87</v>
      </c>
      <c r="I2830" s="16" t="s">
        <v>87</v>
      </c>
      <c r="J2830" s="19"/>
      <c r="L2830" s="16" t="str">
        <f>IFERROR(__xludf.DUMMYFUNCTION("""COMPUTED_VALUE"""),"")</f>
        <v/>
      </c>
      <c r="M2830" s="16" t="str">
        <f>IFERROR(__xludf.DUMMYFUNCTION("""COMPUTED_VALUE"""),"")</f>
        <v/>
      </c>
      <c r="U2830" s="16" t="s">
        <v>87</v>
      </c>
      <c r="V2830" s="16" t="str">
        <f>IFERROR(__xludf.DUMMYFUNCTION("""COMPUTED_VALUE"""),"")</f>
        <v/>
      </c>
      <c r="W2830" s="16" t="str">
        <f>IFERROR(__xludf.DUMMYFUNCTION("""COMPUTED_VALUE"""),"")</f>
        <v/>
      </c>
      <c r="X2830" s="16" t="str">
        <f>IFERROR(__xludf.DUMMYFUNCTION("""COMPUTED_VALUE"""),"")</f>
        <v/>
      </c>
      <c r="AC2830" s="16" t="str">
        <f>IFERROR(__xludf.DUMMYFUNCTION("""COMPUTED_VALUE"""),"")</f>
        <v/>
      </c>
    </row>
    <row r="2831">
      <c r="A2831" s="16" t="s">
        <v>87</v>
      </c>
      <c r="E2831" s="16" t="str">
        <f>IFERROR(__xludf.DUMMYFUNCTION("""COMPUTED_VALUE"""),"")</f>
        <v/>
      </c>
      <c r="G2831" s="18"/>
      <c r="H2831" s="16" t="s">
        <v>87</v>
      </c>
      <c r="I2831" s="16" t="s">
        <v>87</v>
      </c>
      <c r="J2831" s="19"/>
      <c r="L2831" s="16" t="str">
        <f>IFERROR(__xludf.DUMMYFUNCTION("""COMPUTED_VALUE"""),"")</f>
        <v/>
      </c>
      <c r="M2831" s="16" t="str">
        <f>IFERROR(__xludf.DUMMYFUNCTION("""COMPUTED_VALUE"""),"")</f>
        <v/>
      </c>
      <c r="U2831" s="16" t="s">
        <v>87</v>
      </c>
      <c r="V2831" s="16" t="str">
        <f>IFERROR(__xludf.DUMMYFUNCTION("""COMPUTED_VALUE"""),"")</f>
        <v/>
      </c>
      <c r="W2831" s="16" t="str">
        <f>IFERROR(__xludf.DUMMYFUNCTION("""COMPUTED_VALUE"""),"")</f>
        <v/>
      </c>
      <c r="X2831" s="16" t="str">
        <f>IFERROR(__xludf.DUMMYFUNCTION("""COMPUTED_VALUE"""),"")</f>
        <v/>
      </c>
      <c r="AC2831" s="16" t="str">
        <f>IFERROR(__xludf.DUMMYFUNCTION("""COMPUTED_VALUE"""),"")</f>
        <v/>
      </c>
    </row>
    <row r="2832">
      <c r="A2832" s="16" t="s">
        <v>87</v>
      </c>
      <c r="E2832" s="16" t="str">
        <f>IFERROR(__xludf.DUMMYFUNCTION("""COMPUTED_VALUE"""),"")</f>
        <v/>
      </c>
      <c r="G2832" s="18"/>
      <c r="H2832" s="16" t="s">
        <v>87</v>
      </c>
      <c r="I2832" s="16" t="s">
        <v>87</v>
      </c>
      <c r="J2832" s="19"/>
      <c r="L2832" s="16" t="str">
        <f>IFERROR(__xludf.DUMMYFUNCTION("""COMPUTED_VALUE"""),"")</f>
        <v/>
      </c>
      <c r="M2832" s="16" t="str">
        <f>IFERROR(__xludf.DUMMYFUNCTION("""COMPUTED_VALUE"""),"")</f>
        <v/>
      </c>
      <c r="U2832" s="16" t="s">
        <v>87</v>
      </c>
      <c r="V2832" s="16" t="str">
        <f>IFERROR(__xludf.DUMMYFUNCTION("""COMPUTED_VALUE"""),"")</f>
        <v/>
      </c>
      <c r="W2832" s="16" t="str">
        <f>IFERROR(__xludf.DUMMYFUNCTION("""COMPUTED_VALUE"""),"")</f>
        <v/>
      </c>
      <c r="X2832" s="16" t="str">
        <f>IFERROR(__xludf.DUMMYFUNCTION("""COMPUTED_VALUE"""),"")</f>
        <v/>
      </c>
      <c r="AC2832" s="16" t="str">
        <f>IFERROR(__xludf.DUMMYFUNCTION("""COMPUTED_VALUE"""),"")</f>
        <v/>
      </c>
    </row>
    <row r="2833">
      <c r="A2833" s="16" t="s">
        <v>87</v>
      </c>
      <c r="E2833" s="16" t="str">
        <f>IFERROR(__xludf.DUMMYFUNCTION("""COMPUTED_VALUE"""),"")</f>
        <v/>
      </c>
      <c r="G2833" s="18"/>
      <c r="H2833" s="16" t="s">
        <v>87</v>
      </c>
      <c r="I2833" s="16" t="s">
        <v>87</v>
      </c>
      <c r="J2833" s="19"/>
      <c r="L2833" s="16" t="str">
        <f>IFERROR(__xludf.DUMMYFUNCTION("""COMPUTED_VALUE"""),"")</f>
        <v/>
      </c>
      <c r="M2833" s="16" t="str">
        <f>IFERROR(__xludf.DUMMYFUNCTION("""COMPUTED_VALUE"""),"")</f>
        <v/>
      </c>
      <c r="U2833" s="16" t="s">
        <v>87</v>
      </c>
      <c r="V2833" s="16" t="str">
        <f>IFERROR(__xludf.DUMMYFUNCTION("""COMPUTED_VALUE"""),"")</f>
        <v/>
      </c>
      <c r="W2833" s="16" t="str">
        <f>IFERROR(__xludf.DUMMYFUNCTION("""COMPUTED_VALUE"""),"")</f>
        <v/>
      </c>
      <c r="X2833" s="16" t="str">
        <f>IFERROR(__xludf.DUMMYFUNCTION("""COMPUTED_VALUE"""),"")</f>
        <v/>
      </c>
      <c r="AC2833" s="16" t="str">
        <f>IFERROR(__xludf.DUMMYFUNCTION("""COMPUTED_VALUE"""),"")</f>
        <v/>
      </c>
    </row>
    <row r="2834">
      <c r="A2834" s="16" t="s">
        <v>87</v>
      </c>
      <c r="E2834" s="16" t="str">
        <f>IFERROR(__xludf.DUMMYFUNCTION("""COMPUTED_VALUE"""),"")</f>
        <v/>
      </c>
      <c r="G2834" s="18"/>
      <c r="H2834" s="16" t="s">
        <v>87</v>
      </c>
      <c r="I2834" s="16" t="s">
        <v>87</v>
      </c>
      <c r="J2834" s="19"/>
      <c r="L2834" s="16" t="str">
        <f>IFERROR(__xludf.DUMMYFUNCTION("""COMPUTED_VALUE"""),"")</f>
        <v/>
      </c>
      <c r="M2834" s="16" t="str">
        <f>IFERROR(__xludf.DUMMYFUNCTION("""COMPUTED_VALUE"""),"")</f>
        <v/>
      </c>
      <c r="U2834" s="16" t="s">
        <v>87</v>
      </c>
      <c r="V2834" s="16" t="str">
        <f>IFERROR(__xludf.DUMMYFUNCTION("""COMPUTED_VALUE"""),"")</f>
        <v/>
      </c>
      <c r="W2834" s="16" t="str">
        <f>IFERROR(__xludf.DUMMYFUNCTION("""COMPUTED_VALUE"""),"")</f>
        <v/>
      </c>
      <c r="X2834" s="16" t="str">
        <f>IFERROR(__xludf.DUMMYFUNCTION("""COMPUTED_VALUE"""),"")</f>
        <v/>
      </c>
      <c r="AC2834" s="16" t="str">
        <f>IFERROR(__xludf.DUMMYFUNCTION("""COMPUTED_VALUE"""),"")</f>
        <v/>
      </c>
    </row>
    <row r="2835">
      <c r="A2835" s="16" t="s">
        <v>87</v>
      </c>
      <c r="E2835" s="16" t="str">
        <f>IFERROR(__xludf.DUMMYFUNCTION("""COMPUTED_VALUE"""),"")</f>
        <v/>
      </c>
      <c r="G2835" s="18"/>
      <c r="H2835" s="16" t="s">
        <v>87</v>
      </c>
      <c r="I2835" s="16" t="s">
        <v>87</v>
      </c>
      <c r="J2835" s="19"/>
      <c r="L2835" s="16" t="str">
        <f>IFERROR(__xludf.DUMMYFUNCTION("""COMPUTED_VALUE"""),"")</f>
        <v/>
      </c>
      <c r="M2835" s="16" t="str">
        <f>IFERROR(__xludf.DUMMYFUNCTION("""COMPUTED_VALUE"""),"")</f>
        <v/>
      </c>
      <c r="U2835" s="16" t="s">
        <v>87</v>
      </c>
      <c r="V2835" s="16" t="str">
        <f>IFERROR(__xludf.DUMMYFUNCTION("""COMPUTED_VALUE"""),"")</f>
        <v/>
      </c>
      <c r="W2835" s="16" t="str">
        <f>IFERROR(__xludf.DUMMYFUNCTION("""COMPUTED_VALUE"""),"")</f>
        <v/>
      </c>
      <c r="X2835" s="16" t="str">
        <f>IFERROR(__xludf.DUMMYFUNCTION("""COMPUTED_VALUE"""),"")</f>
        <v/>
      </c>
      <c r="AC2835" s="16" t="str">
        <f>IFERROR(__xludf.DUMMYFUNCTION("""COMPUTED_VALUE"""),"")</f>
        <v/>
      </c>
    </row>
    <row r="2836">
      <c r="A2836" s="16" t="s">
        <v>87</v>
      </c>
      <c r="E2836" s="16" t="str">
        <f>IFERROR(__xludf.DUMMYFUNCTION("""COMPUTED_VALUE"""),"")</f>
        <v/>
      </c>
      <c r="G2836" s="18"/>
      <c r="H2836" s="16" t="s">
        <v>87</v>
      </c>
      <c r="I2836" s="16" t="s">
        <v>87</v>
      </c>
      <c r="J2836" s="19"/>
      <c r="L2836" s="16" t="str">
        <f>IFERROR(__xludf.DUMMYFUNCTION("""COMPUTED_VALUE"""),"")</f>
        <v/>
      </c>
      <c r="M2836" s="16" t="str">
        <f>IFERROR(__xludf.DUMMYFUNCTION("""COMPUTED_VALUE"""),"")</f>
        <v/>
      </c>
      <c r="U2836" s="16" t="s">
        <v>87</v>
      </c>
      <c r="V2836" s="16" t="str">
        <f>IFERROR(__xludf.DUMMYFUNCTION("""COMPUTED_VALUE"""),"")</f>
        <v/>
      </c>
      <c r="W2836" s="16" t="str">
        <f>IFERROR(__xludf.DUMMYFUNCTION("""COMPUTED_VALUE"""),"")</f>
        <v/>
      </c>
      <c r="X2836" s="16" t="str">
        <f>IFERROR(__xludf.DUMMYFUNCTION("""COMPUTED_VALUE"""),"")</f>
        <v/>
      </c>
      <c r="AC2836" s="16" t="str">
        <f>IFERROR(__xludf.DUMMYFUNCTION("""COMPUTED_VALUE"""),"")</f>
        <v/>
      </c>
    </row>
    <row r="2837">
      <c r="A2837" s="16" t="s">
        <v>87</v>
      </c>
      <c r="E2837" s="16" t="str">
        <f>IFERROR(__xludf.DUMMYFUNCTION("""COMPUTED_VALUE"""),"")</f>
        <v/>
      </c>
      <c r="G2837" s="18"/>
      <c r="H2837" s="16" t="s">
        <v>87</v>
      </c>
      <c r="I2837" s="16" t="s">
        <v>87</v>
      </c>
      <c r="J2837" s="19"/>
      <c r="L2837" s="16" t="str">
        <f>IFERROR(__xludf.DUMMYFUNCTION("""COMPUTED_VALUE"""),"")</f>
        <v/>
      </c>
      <c r="M2837" s="16" t="str">
        <f>IFERROR(__xludf.DUMMYFUNCTION("""COMPUTED_VALUE"""),"")</f>
        <v/>
      </c>
      <c r="U2837" s="16" t="s">
        <v>87</v>
      </c>
      <c r="V2837" s="16" t="str">
        <f>IFERROR(__xludf.DUMMYFUNCTION("""COMPUTED_VALUE"""),"")</f>
        <v/>
      </c>
      <c r="W2837" s="16" t="str">
        <f>IFERROR(__xludf.DUMMYFUNCTION("""COMPUTED_VALUE"""),"")</f>
        <v/>
      </c>
      <c r="X2837" s="16" t="str">
        <f>IFERROR(__xludf.DUMMYFUNCTION("""COMPUTED_VALUE"""),"")</f>
        <v/>
      </c>
      <c r="AC2837" s="16" t="str">
        <f>IFERROR(__xludf.DUMMYFUNCTION("""COMPUTED_VALUE"""),"")</f>
        <v/>
      </c>
    </row>
    <row r="2838">
      <c r="A2838" s="16" t="s">
        <v>87</v>
      </c>
      <c r="E2838" s="16" t="str">
        <f>IFERROR(__xludf.DUMMYFUNCTION("""COMPUTED_VALUE"""),"")</f>
        <v/>
      </c>
      <c r="G2838" s="18"/>
      <c r="H2838" s="16" t="s">
        <v>87</v>
      </c>
      <c r="I2838" s="16" t="s">
        <v>87</v>
      </c>
      <c r="J2838" s="19"/>
      <c r="L2838" s="16" t="str">
        <f>IFERROR(__xludf.DUMMYFUNCTION("""COMPUTED_VALUE"""),"")</f>
        <v/>
      </c>
      <c r="M2838" s="16" t="str">
        <f>IFERROR(__xludf.DUMMYFUNCTION("""COMPUTED_VALUE"""),"")</f>
        <v/>
      </c>
      <c r="U2838" s="16" t="s">
        <v>87</v>
      </c>
      <c r="V2838" s="16" t="str">
        <f>IFERROR(__xludf.DUMMYFUNCTION("""COMPUTED_VALUE"""),"")</f>
        <v/>
      </c>
      <c r="W2838" s="16" t="str">
        <f>IFERROR(__xludf.DUMMYFUNCTION("""COMPUTED_VALUE"""),"")</f>
        <v/>
      </c>
      <c r="X2838" s="16" t="str">
        <f>IFERROR(__xludf.DUMMYFUNCTION("""COMPUTED_VALUE"""),"")</f>
        <v/>
      </c>
      <c r="AC2838" s="16" t="str">
        <f>IFERROR(__xludf.DUMMYFUNCTION("""COMPUTED_VALUE"""),"")</f>
        <v/>
      </c>
    </row>
    <row r="2839">
      <c r="A2839" s="16" t="s">
        <v>87</v>
      </c>
      <c r="E2839" s="16" t="str">
        <f>IFERROR(__xludf.DUMMYFUNCTION("""COMPUTED_VALUE"""),"")</f>
        <v/>
      </c>
      <c r="G2839" s="18"/>
      <c r="H2839" s="16" t="s">
        <v>87</v>
      </c>
      <c r="I2839" s="16" t="s">
        <v>87</v>
      </c>
      <c r="J2839" s="19"/>
      <c r="L2839" s="16" t="str">
        <f>IFERROR(__xludf.DUMMYFUNCTION("""COMPUTED_VALUE"""),"")</f>
        <v/>
      </c>
      <c r="M2839" s="16" t="str">
        <f>IFERROR(__xludf.DUMMYFUNCTION("""COMPUTED_VALUE"""),"")</f>
        <v/>
      </c>
      <c r="U2839" s="16" t="s">
        <v>87</v>
      </c>
      <c r="V2839" s="16" t="str">
        <f>IFERROR(__xludf.DUMMYFUNCTION("""COMPUTED_VALUE"""),"")</f>
        <v/>
      </c>
      <c r="W2839" s="16" t="str">
        <f>IFERROR(__xludf.DUMMYFUNCTION("""COMPUTED_VALUE"""),"")</f>
        <v/>
      </c>
      <c r="X2839" s="16" t="str">
        <f>IFERROR(__xludf.DUMMYFUNCTION("""COMPUTED_VALUE"""),"")</f>
        <v/>
      </c>
      <c r="AC2839" s="16" t="str">
        <f>IFERROR(__xludf.DUMMYFUNCTION("""COMPUTED_VALUE"""),"")</f>
        <v/>
      </c>
    </row>
    <row r="2840">
      <c r="A2840" s="16" t="s">
        <v>87</v>
      </c>
      <c r="E2840" s="16" t="str">
        <f>IFERROR(__xludf.DUMMYFUNCTION("""COMPUTED_VALUE"""),"")</f>
        <v/>
      </c>
      <c r="G2840" s="18"/>
      <c r="H2840" s="16" t="s">
        <v>87</v>
      </c>
      <c r="I2840" s="16" t="s">
        <v>87</v>
      </c>
      <c r="J2840" s="19"/>
      <c r="L2840" s="16" t="str">
        <f>IFERROR(__xludf.DUMMYFUNCTION("""COMPUTED_VALUE"""),"")</f>
        <v/>
      </c>
      <c r="M2840" s="16" t="str">
        <f>IFERROR(__xludf.DUMMYFUNCTION("""COMPUTED_VALUE"""),"")</f>
        <v/>
      </c>
      <c r="U2840" s="16" t="s">
        <v>87</v>
      </c>
      <c r="V2840" s="16" t="str">
        <f>IFERROR(__xludf.DUMMYFUNCTION("""COMPUTED_VALUE"""),"")</f>
        <v/>
      </c>
      <c r="W2840" s="16" t="str">
        <f>IFERROR(__xludf.DUMMYFUNCTION("""COMPUTED_VALUE"""),"")</f>
        <v/>
      </c>
      <c r="X2840" s="16" t="str">
        <f>IFERROR(__xludf.DUMMYFUNCTION("""COMPUTED_VALUE"""),"")</f>
        <v/>
      </c>
      <c r="AC2840" s="16" t="str">
        <f>IFERROR(__xludf.DUMMYFUNCTION("""COMPUTED_VALUE"""),"")</f>
        <v/>
      </c>
    </row>
    <row r="2841">
      <c r="A2841" s="16" t="s">
        <v>87</v>
      </c>
      <c r="E2841" s="16" t="str">
        <f>IFERROR(__xludf.DUMMYFUNCTION("""COMPUTED_VALUE"""),"")</f>
        <v/>
      </c>
      <c r="G2841" s="18"/>
      <c r="H2841" s="16" t="s">
        <v>87</v>
      </c>
      <c r="I2841" s="16" t="s">
        <v>87</v>
      </c>
      <c r="J2841" s="19"/>
      <c r="L2841" s="16" t="str">
        <f>IFERROR(__xludf.DUMMYFUNCTION("""COMPUTED_VALUE"""),"")</f>
        <v/>
      </c>
      <c r="M2841" s="16" t="str">
        <f>IFERROR(__xludf.DUMMYFUNCTION("""COMPUTED_VALUE"""),"")</f>
        <v/>
      </c>
      <c r="U2841" s="16" t="s">
        <v>87</v>
      </c>
      <c r="V2841" s="16" t="str">
        <f>IFERROR(__xludf.DUMMYFUNCTION("""COMPUTED_VALUE"""),"")</f>
        <v/>
      </c>
      <c r="W2841" s="16" t="str">
        <f>IFERROR(__xludf.DUMMYFUNCTION("""COMPUTED_VALUE"""),"")</f>
        <v/>
      </c>
      <c r="X2841" s="16" t="str">
        <f>IFERROR(__xludf.DUMMYFUNCTION("""COMPUTED_VALUE"""),"")</f>
        <v/>
      </c>
      <c r="AC2841" s="16" t="str">
        <f>IFERROR(__xludf.DUMMYFUNCTION("""COMPUTED_VALUE"""),"")</f>
        <v/>
      </c>
    </row>
    <row r="2842">
      <c r="A2842" s="16" t="s">
        <v>87</v>
      </c>
      <c r="E2842" s="16" t="str">
        <f>IFERROR(__xludf.DUMMYFUNCTION("""COMPUTED_VALUE"""),"")</f>
        <v/>
      </c>
      <c r="G2842" s="18"/>
      <c r="H2842" s="16" t="s">
        <v>87</v>
      </c>
      <c r="I2842" s="16" t="s">
        <v>87</v>
      </c>
      <c r="J2842" s="19"/>
      <c r="L2842" s="16" t="str">
        <f>IFERROR(__xludf.DUMMYFUNCTION("""COMPUTED_VALUE"""),"")</f>
        <v/>
      </c>
      <c r="M2842" s="16" t="str">
        <f>IFERROR(__xludf.DUMMYFUNCTION("""COMPUTED_VALUE"""),"")</f>
        <v/>
      </c>
      <c r="U2842" s="16" t="s">
        <v>87</v>
      </c>
      <c r="V2842" s="16" t="str">
        <f>IFERROR(__xludf.DUMMYFUNCTION("""COMPUTED_VALUE"""),"")</f>
        <v/>
      </c>
      <c r="W2842" s="16" t="str">
        <f>IFERROR(__xludf.DUMMYFUNCTION("""COMPUTED_VALUE"""),"")</f>
        <v/>
      </c>
      <c r="X2842" s="16" t="str">
        <f>IFERROR(__xludf.DUMMYFUNCTION("""COMPUTED_VALUE"""),"")</f>
        <v/>
      </c>
      <c r="AC2842" s="16" t="str">
        <f>IFERROR(__xludf.DUMMYFUNCTION("""COMPUTED_VALUE"""),"")</f>
        <v/>
      </c>
    </row>
    <row r="2843">
      <c r="A2843" s="16" t="s">
        <v>87</v>
      </c>
      <c r="E2843" s="16" t="str">
        <f>IFERROR(__xludf.DUMMYFUNCTION("""COMPUTED_VALUE"""),"")</f>
        <v/>
      </c>
      <c r="G2843" s="18"/>
      <c r="H2843" s="16" t="s">
        <v>87</v>
      </c>
      <c r="I2843" s="16" t="s">
        <v>87</v>
      </c>
      <c r="J2843" s="19"/>
      <c r="L2843" s="16" t="str">
        <f>IFERROR(__xludf.DUMMYFUNCTION("""COMPUTED_VALUE"""),"")</f>
        <v/>
      </c>
      <c r="M2843" s="16" t="str">
        <f>IFERROR(__xludf.DUMMYFUNCTION("""COMPUTED_VALUE"""),"")</f>
        <v/>
      </c>
      <c r="U2843" s="16" t="s">
        <v>87</v>
      </c>
      <c r="V2843" s="16" t="str">
        <f>IFERROR(__xludf.DUMMYFUNCTION("""COMPUTED_VALUE"""),"")</f>
        <v/>
      </c>
      <c r="W2843" s="16" t="str">
        <f>IFERROR(__xludf.DUMMYFUNCTION("""COMPUTED_VALUE"""),"")</f>
        <v/>
      </c>
      <c r="X2843" s="16" t="str">
        <f>IFERROR(__xludf.DUMMYFUNCTION("""COMPUTED_VALUE"""),"")</f>
        <v/>
      </c>
      <c r="AC2843" s="16" t="str">
        <f>IFERROR(__xludf.DUMMYFUNCTION("""COMPUTED_VALUE"""),"")</f>
        <v/>
      </c>
    </row>
    <row r="2844">
      <c r="A2844" s="16" t="s">
        <v>87</v>
      </c>
      <c r="E2844" s="16" t="str">
        <f>IFERROR(__xludf.DUMMYFUNCTION("""COMPUTED_VALUE"""),"")</f>
        <v/>
      </c>
      <c r="G2844" s="18"/>
      <c r="H2844" s="16" t="s">
        <v>87</v>
      </c>
      <c r="I2844" s="16" t="s">
        <v>87</v>
      </c>
      <c r="J2844" s="19"/>
      <c r="L2844" s="16" t="str">
        <f>IFERROR(__xludf.DUMMYFUNCTION("""COMPUTED_VALUE"""),"")</f>
        <v/>
      </c>
      <c r="M2844" s="16" t="str">
        <f>IFERROR(__xludf.DUMMYFUNCTION("""COMPUTED_VALUE"""),"")</f>
        <v/>
      </c>
      <c r="U2844" s="16" t="s">
        <v>87</v>
      </c>
      <c r="V2844" s="16" t="str">
        <f>IFERROR(__xludf.DUMMYFUNCTION("""COMPUTED_VALUE"""),"")</f>
        <v/>
      </c>
      <c r="W2844" s="16" t="str">
        <f>IFERROR(__xludf.DUMMYFUNCTION("""COMPUTED_VALUE"""),"")</f>
        <v/>
      </c>
      <c r="X2844" s="16" t="str">
        <f>IFERROR(__xludf.DUMMYFUNCTION("""COMPUTED_VALUE"""),"")</f>
        <v/>
      </c>
      <c r="AC2844" s="16" t="str">
        <f>IFERROR(__xludf.DUMMYFUNCTION("""COMPUTED_VALUE"""),"")</f>
        <v/>
      </c>
    </row>
    <row r="2845">
      <c r="A2845" s="16" t="s">
        <v>87</v>
      </c>
      <c r="E2845" s="16" t="str">
        <f>IFERROR(__xludf.DUMMYFUNCTION("""COMPUTED_VALUE"""),"")</f>
        <v/>
      </c>
      <c r="G2845" s="18"/>
      <c r="H2845" s="16" t="s">
        <v>87</v>
      </c>
      <c r="I2845" s="16" t="s">
        <v>87</v>
      </c>
      <c r="J2845" s="19"/>
      <c r="L2845" s="16" t="str">
        <f>IFERROR(__xludf.DUMMYFUNCTION("""COMPUTED_VALUE"""),"")</f>
        <v/>
      </c>
      <c r="M2845" s="16" t="str">
        <f>IFERROR(__xludf.DUMMYFUNCTION("""COMPUTED_VALUE"""),"")</f>
        <v/>
      </c>
      <c r="U2845" s="16" t="s">
        <v>87</v>
      </c>
      <c r="V2845" s="16" t="str">
        <f>IFERROR(__xludf.DUMMYFUNCTION("""COMPUTED_VALUE"""),"")</f>
        <v/>
      </c>
      <c r="W2845" s="16" t="str">
        <f>IFERROR(__xludf.DUMMYFUNCTION("""COMPUTED_VALUE"""),"")</f>
        <v/>
      </c>
      <c r="X2845" s="16" t="str">
        <f>IFERROR(__xludf.DUMMYFUNCTION("""COMPUTED_VALUE"""),"")</f>
        <v/>
      </c>
      <c r="AC2845" s="16" t="str">
        <f>IFERROR(__xludf.DUMMYFUNCTION("""COMPUTED_VALUE"""),"")</f>
        <v/>
      </c>
    </row>
    <row r="2846">
      <c r="A2846" s="16" t="s">
        <v>87</v>
      </c>
      <c r="E2846" s="16" t="str">
        <f>IFERROR(__xludf.DUMMYFUNCTION("""COMPUTED_VALUE"""),"")</f>
        <v/>
      </c>
      <c r="G2846" s="18"/>
      <c r="H2846" s="16" t="s">
        <v>87</v>
      </c>
      <c r="I2846" s="16" t="s">
        <v>87</v>
      </c>
      <c r="J2846" s="19"/>
      <c r="L2846" s="16" t="str">
        <f>IFERROR(__xludf.DUMMYFUNCTION("""COMPUTED_VALUE"""),"")</f>
        <v/>
      </c>
      <c r="M2846" s="16" t="str">
        <f>IFERROR(__xludf.DUMMYFUNCTION("""COMPUTED_VALUE"""),"")</f>
        <v/>
      </c>
      <c r="U2846" s="16" t="s">
        <v>87</v>
      </c>
      <c r="V2846" s="16" t="str">
        <f>IFERROR(__xludf.DUMMYFUNCTION("""COMPUTED_VALUE"""),"")</f>
        <v/>
      </c>
      <c r="W2846" s="16" t="str">
        <f>IFERROR(__xludf.DUMMYFUNCTION("""COMPUTED_VALUE"""),"")</f>
        <v/>
      </c>
      <c r="X2846" s="16" t="str">
        <f>IFERROR(__xludf.DUMMYFUNCTION("""COMPUTED_VALUE"""),"")</f>
        <v/>
      </c>
      <c r="AC2846" s="16" t="str">
        <f>IFERROR(__xludf.DUMMYFUNCTION("""COMPUTED_VALUE"""),"")</f>
        <v/>
      </c>
    </row>
    <row r="2847">
      <c r="A2847" s="16" t="s">
        <v>87</v>
      </c>
      <c r="E2847" s="16" t="str">
        <f>IFERROR(__xludf.DUMMYFUNCTION("""COMPUTED_VALUE"""),"")</f>
        <v/>
      </c>
      <c r="G2847" s="18"/>
      <c r="H2847" s="16" t="s">
        <v>87</v>
      </c>
      <c r="I2847" s="16" t="s">
        <v>87</v>
      </c>
      <c r="J2847" s="19"/>
      <c r="L2847" s="16" t="str">
        <f>IFERROR(__xludf.DUMMYFUNCTION("""COMPUTED_VALUE"""),"")</f>
        <v/>
      </c>
      <c r="M2847" s="16" t="str">
        <f>IFERROR(__xludf.DUMMYFUNCTION("""COMPUTED_VALUE"""),"")</f>
        <v/>
      </c>
      <c r="U2847" s="16" t="s">
        <v>87</v>
      </c>
      <c r="V2847" s="16" t="str">
        <f>IFERROR(__xludf.DUMMYFUNCTION("""COMPUTED_VALUE"""),"")</f>
        <v/>
      </c>
      <c r="W2847" s="16" t="str">
        <f>IFERROR(__xludf.DUMMYFUNCTION("""COMPUTED_VALUE"""),"")</f>
        <v/>
      </c>
      <c r="X2847" s="16" t="str">
        <f>IFERROR(__xludf.DUMMYFUNCTION("""COMPUTED_VALUE"""),"")</f>
        <v/>
      </c>
      <c r="AC2847" s="16" t="str">
        <f>IFERROR(__xludf.DUMMYFUNCTION("""COMPUTED_VALUE"""),"")</f>
        <v/>
      </c>
    </row>
    <row r="2848">
      <c r="A2848" s="16" t="s">
        <v>87</v>
      </c>
      <c r="E2848" s="16" t="str">
        <f>IFERROR(__xludf.DUMMYFUNCTION("""COMPUTED_VALUE"""),"")</f>
        <v/>
      </c>
      <c r="G2848" s="18"/>
      <c r="H2848" s="16" t="s">
        <v>87</v>
      </c>
      <c r="I2848" s="16" t="s">
        <v>87</v>
      </c>
      <c r="J2848" s="19"/>
      <c r="L2848" s="16" t="str">
        <f>IFERROR(__xludf.DUMMYFUNCTION("""COMPUTED_VALUE"""),"")</f>
        <v/>
      </c>
      <c r="M2848" s="16" t="str">
        <f>IFERROR(__xludf.DUMMYFUNCTION("""COMPUTED_VALUE"""),"")</f>
        <v/>
      </c>
      <c r="U2848" s="16" t="s">
        <v>87</v>
      </c>
      <c r="V2848" s="16" t="str">
        <f>IFERROR(__xludf.DUMMYFUNCTION("""COMPUTED_VALUE"""),"")</f>
        <v/>
      </c>
      <c r="W2848" s="16" t="str">
        <f>IFERROR(__xludf.DUMMYFUNCTION("""COMPUTED_VALUE"""),"")</f>
        <v/>
      </c>
      <c r="X2848" s="16" t="str">
        <f>IFERROR(__xludf.DUMMYFUNCTION("""COMPUTED_VALUE"""),"")</f>
        <v/>
      </c>
      <c r="AC2848" s="16" t="str">
        <f>IFERROR(__xludf.DUMMYFUNCTION("""COMPUTED_VALUE"""),"")</f>
        <v/>
      </c>
    </row>
    <row r="2849">
      <c r="A2849" s="16" t="s">
        <v>87</v>
      </c>
      <c r="E2849" s="16" t="str">
        <f>IFERROR(__xludf.DUMMYFUNCTION("""COMPUTED_VALUE"""),"")</f>
        <v/>
      </c>
      <c r="G2849" s="18"/>
      <c r="H2849" s="16" t="s">
        <v>87</v>
      </c>
      <c r="I2849" s="16" t="s">
        <v>87</v>
      </c>
      <c r="J2849" s="19"/>
      <c r="L2849" s="16" t="str">
        <f>IFERROR(__xludf.DUMMYFUNCTION("""COMPUTED_VALUE"""),"")</f>
        <v/>
      </c>
      <c r="M2849" s="16" t="str">
        <f>IFERROR(__xludf.DUMMYFUNCTION("""COMPUTED_VALUE"""),"")</f>
        <v/>
      </c>
      <c r="U2849" s="16" t="s">
        <v>87</v>
      </c>
      <c r="V2849" s="16" t="str">
        <f>IFERROR(__xludf.DUMMYFUNCTION("""COMPUTED_VALUE"""),"")</f>
        <v/>
      </c>
      <c r="W2849" s="16" t="str">
        <f>IFERROR(__xludf.DUMMYFUNCTION("""COMPUTED_VALUE"""),"")</f>
        <v/>
      </c>
      <c r="X2849" s="16" t="str">
        <f>IFERROR(__xludf.DUMMYFUNCTION("""COMPUTED_VALUE"""),"")</f>
        <v/>
      </c>
      <c r="AC2849" s="16" t="str">
        <f>IFERROR(__xludf.DUMMYFUNCTION("""COMPUTED_VALUE"""),"")</f>
        <v/>
      </c>
    </row>
    <row r="2850">
      <c r="A2850" s="16" t="s">
        <v>87</v>
      </c>
      <c r="E2850" s="16" t="str">
        <f>IFERROR(__xludf.DUMMYFUNCTION("""COMPUTED_VALUE"""),"")</f>
        <v/>
      </c>
      <c r="G2850" s="18"/>
      <c r="H2850" s="16" t="s">
        <v>87</v>
      </c>
      <c r="I2850" s="16" t="s">
        <v>87</v>
      </c>
      <c r="J2850" s="19"/>
      <c r="L2850" s="16" t="str">
        <f>IFERROR(__xludf.DUMMYFUNCTION("""COMPUTED_VALUE"""),"")</f>
        <v/>
      </c>
      <c r="M2850" s="16" t="str">
        <f>IFERROR(__xludf.DUMMYFUNCTION("""COMPUTED_VALUE"""),"")</f>
        <v/>
      </c>
      <c r="U2850" s="16" t="s">
        <v>87</v>
      </c>
      <c r="V2850" s="16" t="str">
        <f>IFERROR(__xludf.DUMMYFUNCTION("""COMPUTED_VALUE"""),"")</f>
        <v/>
      </c>
      <c r="W2850" s="16" t="str">
        <f>IFERROR(__xludf.DUMMYFUNCTION("""COMPUTED_VALUE"""),"")</f>
        <v/>
      </c>
      <c r="X2850" s="16" t="str">
        <f>IFERROR(__xludf.DUMMYFUNCTION("""COMPUTED_VALUE"""),"")</f>
        <v/>
      </c>
      <c r="AC2850" s="16" t="str">
        <f>IFERROR(__xludf.DUMMYFUNCTION("""COMPUTED_VALUE"""),"")</f>
        <v/>
      </c>
    </row>
    <row r="2851">
      <c r="A2851" s="16" t="s">
        <v>87</v>
      </c>
      <c r="E2851" s="16" t="str">
        <f>IFERROR(__xludf.DUMMYFUNCTION("""COMPUTED_VALUE"""),"")</f>
        <v/>
      </c>
      <c r="G2851" s="18"/>
      <c r="H2851" s="16" t="s">
        <v>87</v>
      </c>
      <c r="I2851" s="16" t="s">
        <v>87</v>
      </c>
      <c r="J2851" s="19"/>
      <c r="L2851" s="16" t="str">
        <f>IFERROR(__xludf.DUMMYFUNCTION("""COMPUTED_VALUE"""),"")</f>
        <v/>
      </c>
      <c r="M2851" s="16" t="str">
        <f>IFERROR(__xludf.DUMMYFUNCTION("""COMPUTED_VALUE"""),"")</f>
        <v/>
      </c>
      <c r="U2851" s="16" t="s">
        <v>87</v>
      </c>
      <c r="V2851" s="16" t="str">
        <f>IFERROR(__xludf.DUMMYFUNCTION("""COMPUTED_VALUE"""),"")</f>
        <v/>
      </c>
      <c r="W2851" s="16" t="str">
        <f>IFERROR(__xludf.DUMMYFUNCTION("""COMPUTED_VALUE"""),"")</f>
        <v/>
      </c>
      <c r="X2851" s="16" t="str">
        <f>IFERROR(__xludf.DUMMYFUNCTION("""COMPUTED_VALUE"""),"")</f>
        <v/>
      </c>
      <c r="AC2851" s="16" t="str">
        <f>IFERROR(__xludf.DUMMYFUNCTION("""COMPUTED_VALUE"""),"")</f>
        <v/>
      </c>
    </row>
    <row r="2852">
      <c r="A2852" s="16" t="s">
        <v>87</v>
      </c>
      <c r="E2852" s="16" t="str">
        <f>IFERROR(__xludf.DUMMYFUNCTION("""COMPUTED_VALUE"""),"")</f>
        <v/>
      </c>
      <c r="G2852" s="18"/>
      <c r="H2852" s="16" t="s">
        <v>87</v>
      </c>
      <c r="I2852" s="16" t="s">
        <v>87</v>
      </c>
      <c r="J2852" s="19"/>
      <c r="L2852" s="16" t="str">
        <f>IFERROR(__xludf.DUMMYFUNCTION("""COMPUTED_VALUE"""),"")</f>
        <v/>
      </c>
      <c r="M2852" s="16" t="str">
        <f>IFERROR(__xludf.DUMMYFUNCTION("""COMPUTED_VALUE"""),"")</f>
        <v/>
      </c>
      <c r="U2852" s="16" t="s">
        <v>87</v>
      </c>
      <c r="V2852" s="16" t="str">
        <f>IFERROR(__xludf.DUMMYFUNCTION("""COMPUTED_VALUE"""),"")</f>
        <v/>
      </c>
      <c r="W2852" s="16" t="str">
        <f>IFERROR(__xludf.DUMMYFUNCTION("""COMPUTED_VALUE"""),"")</f>
        <v/>
      </c>
      <c r="X2852" s="16" t="str">
        <f>IFERROR(__xludf.DUMMYFUNCTION("""COMPUTED_VALUE"""),"")</f>
        <v/>
      </c>
      <c r="AC2852" s="16" t="str">
        <f>IFERROR(__xludf.DUMMYFUNCTION("""COMPUTED_VALUE"""),"")</f>
        <v/>
      </c>
    </row>
    <row r="2853">
      <c r="A2853" s="16" t="s">
        <v>87</v>
      </c>
      <c r="E2853" s="16" t="str">
        <f>IFERROR(__xludf.DUMMYFUNCTION("""COMPUTED_VALUE"""),"")</f>
        <v/>
      </c>
      <c r="G2853" s="18"/>
      <c r="H2853" s="16" t="s">
        <v>87</v>
      </c>
      <c r="I2853" s="16" t="s">
        <v>87</v>
      </c>
      <c r="J2853" s="19"/>
      <c r="L2853" s="16" t="str">
        <f>IFERROR(__xludf.DUMMYFUNCTION("""COMPUTED_VALUE"""),"")</f>
        <v/>
      </c>
      <c r="M2853" s="16" t="str">
        <f>IFERROR(__xludf.DUMMYFUNCTION("""COMPUTED_VALUE"""),"")</f>
        <v/>
      </c>
      <c r="U2853" s="16" t="s">
        <v>87</v>
      </c>
      <c r="V2853" s="16" t="str">
        <f>IFERROR(__xludf.DUMMYFUNCTION("""COMPUTED_VALUE"""),"")</f>
        <v/>
      </c>
      <c r="W2853" s="16" t="str">
        <f>IFERROR(__xludf.DUMMYFUNCTION("""COMPUTED_VALUE"""),"")</f>
        <v/>
      </c>
      <c r="X2853" s="16" t="str">
        <f>IFERROR(__xludf.DUMMYFUNCTION("""COMPUTED_VALUE"""),"")</f>
        <v/>
      </c>
      <c r="AC2853" s="16" t="str">
        <f>IFERROR(__xludf.DUMMYFUNCTION("""COMPUTED_VALUE"""),"")</f>
        <v/>
      </c>
    </row>
    <row r="2854">
      <c r="A2854" s="16" t="s">
        <v>87</v>
      </c>
      <c r="E2854" s="16" t="str">
        <f>IFERROR(__xludf.DUMMYFUNCTION("""COMPUTED_VALUE"""),"")</f>
        <v/>
      </c>
      <c r="G2854" s="18"/>
      <c r="H2854" s="16" t="s">
        <v>87</v>
      </c>
      <c r="I2854" s="16" t="s">
        <v>87</v>
      </c>
      <c r="J2854" s="19"/>
      <c r="L2854" s="16" t="str">
        <f>IFERROR(__xludf.DUMMYFUNCTION("""COMPUTED_VALUE"""),"")</f>
        <v/>
      </c>
      <c r="M2854" s="16" t="str">
        <f>IFERROR(__xludf.DUMMYFUNCTION("""COMPUTED_VALUE"""),"")</f>
        <v/>
      </c>
      <c r="U2854" s="16" t="s">
        <v>87</v>
      </c>
      <c r="V2854" s="16" t="str">
        <f>IFERROR(__xludf.DUMMYFUNCTION("""COMPUTED_VALUE"""),"")</f>
        <v/>
      </c>
      <c r="W2854" s="16" t="str">
        <f>IFERROR(__xludf.DUMMYFUNCTION("""COMPUTED_VALUE"""),"")</f>
        <v/>
      </c>
      <c r="X2854" s="16" t="str">
        <f>IFERROR(__xludf.DUMMYFUNCTION("""COMPUTED_VALUE"""),"")</f>
        <v/>
      </c>
      <c r="AC2854" s="16" t="str">
        <f>IFERROR(__xludf.DUMMYFUNCTION("""COMPUTED_VALUE"""),"")</f>
        <v/>
      </c>
    </row>
    <row r="2855">
      <c r="A2855" s="16" t="s">
        <v>87</v>
      </c>
      <c r="E2855" s="16" t="str">
        <f>IFERROR(__xludf.DUMMYFUNCTION("""COMPUTED_VALUE"""),"")</f>
        <v/>
      </c>
      <c r="G2855" s="18"/>
      <c r="H2855" s="16" t="s">
        <v>87</v>
      </c>
      <c r="I2855" s="16" t="s">
        <v>87</v>
      </c>
      <c r="J2855" s="19"/>
      <c r="L2855" s="16" t="str">
        <f>IFERROR(__xludf.DUMMYFUNCTION("""COMPUTED_VALUE"""),"")</f>
        <v/>
      </c>
      <c r="M2855" s="16" t="str">
        <f>IFERROR(__xludf.DUMMYFUNCTION("""COMPUTED_VALUE"""),"")</f>
        <v/>
      </c>
      <c r="U2855" s="16" t="s">
        <v>87</v>
      </c>
      <c r="V2855" s="16" t="str">
        <f>IFERROR(__xludf.DUMMYFUNCTION("""COMPUTED_VALUE"""),"")</f>
        <v/>
      </c>
      <c r="W2855" s="16" t="str">
        <f>IFERROR(__xludf.DUMMYFUNCTION("""COMPUTED_VALUE"""),"")</f>
        <v/>
      </c>
      <c r="X2855" s="16" t="str">
        <f>IFERROR(__xludf.DUMMYFUNCTION("""COMPUTED_VALUE"""),"")</f>
        <v/>
      </c>
      <c r="AC2855" s="16" t="str">
        <f>IFERROR(__xludf.DUMMYFUNCTION("""COMPUTED_VALUE"""),"")</f>
        <v/>
      </c>
    </row>
    <row r="2856">
      <c r="A2856" s="16" t="s">
        <v>87</v>
      </c>
      <c r="E2856" s="16" t="str">
        <f>IFERROR(__xludf.DUMMYFUNCTION("""COMPUTED_VALUE"""),"")</f>
        <v/>
      </c>
      <c r="G2856" s="18"/>
      <c r="H2856" s="16" t="s">
        <v>87</v>
      </c>
      <c r="I2856" s="16" t="s">
        <v>87</v>
      </c>
      <c r="J2856" s="19"/>
      <c r="L2856" s="16" t="str">
        <f>IFERROR(__xludf.DUMMYFUNCTION("""COMPUTED_VALUE"""),"")</f>
        <v/>
      </c>
      <c r="M2856" s="16" t="str">
        <f>IFERROR(__xludf.DUMMYFUNCTION("""COMPUTED_VALUE"""),"")</f>
        <v/>
      </c>
      <c r="U2856" s="16" t="s">
        <v>87</v>
      </c>
      <c r="V2856" s="16" t="str">
        <f>IFERROR(__xludf.DUMMYFUNCTION("""COMPUTED_VALUE"""),"")</f>
        <v/>
      </c>
      <c r="W2856" s="16" t="str">
        <f>IFERROR(__xludf.DUMMYFUNCTION("""COMPUTED_VALUE"""),"")</f>
        <v/>
      </c>
      <c r="X2856" s="16" t="str">
        <f>IFERROR(__xludf.DUMMYFUNCTION("""COMPUTED_VALUE"""),"")</f>
        <v/>
      </c>
      <c r="AC2856" s="16" t="str">
        <f>IFERROR(__xludf.DUMMYFUNCTION("""COMPUTED_VALUE"""),"")</f>
        <v/>
      </c>
    </row>
    <row r="2857">
      <c r="A2857" s="16" t="s">
        <v>87</v>
      </c>
      <c r="E2857" s="16" t="str">
        <f>IFERROR(__xludf.DUMMYFUNCTION("""COMPUTED_VALUE"""),"")</f>
        <v/>
      </c>
      <c r="G2857" s="18"/>
      <c r="H2857" s="16" t="s">
        <v>87</v>
      </c>
      <c r="I2857" s="16" t="s">
        <v>87</v>
      </c>
      <c r="J2857" s="19"/>
      <c r="L2857" s="16" t="str">
        <f>IFERROR(__xludf.DUMMYFUNCTION("""COMPUTED_VALUE"""),"")</f>
        <v/>
      </c>
      <c r="M2857" s="16" t="str">
        <f>IFERROR(__xludf.DUMMYFUNCTION("""COMPUTED_VALUE"""),"")</f>
        <v/>
      </c>
      <c r="U2857" s="16" t="s">
        <v>87</v>
      </c>
      <c r="V2857" s="16" t="str">
        <f>IFERROR(__xludf.DUMMYFUNCTION("""COMPUTED_VALUE"""),"")</f>
        <v/>
      </c>
      <c r="W2857" s="16" t="str">
        <f>IFERROR(__xludf.DUMMYFUNCTION("""COMPUTED_VALUE"""),"")</f>
        <v/>
      </c>
      <c r="X2857" s="16" t="str">
        <f>IFERROR(__xludf.DUMMYFUNCTION("""COMPUTED_VALUE"""),"")</f>
        <v/>
      </c>
      <c r="AC2857" s="16" t="str">
        <f>IFERROR(__xludf.DUMMYFUNCTION("""COMPUTED_VALUE"""),"")</f>
        <v/>
      </c>
    </row>
    <row r="2858">
      <c r="A2858" s="16" t="s">
        <v>87</v>
      </c>
      <c r="E2858" s="16" t="str">
        <f>IFERROR(__xludf.DUMMYFUNCTION("""COMPUTED_VALUE"""),"")</f>
        <v/>
      </c>
      <c r="G2858" s="18"/>
      <c r="H2858" s="16" t="s">
        <v>87</v>
      </c>
      <c r="I2858" s="16" t="s">
        <v>87</v>
      </c>
      <c r="J2858" s="19"/>
      <c r="L2858" s="16" t="str">
        <f>IFERROR(__xludf.DUMMYFUNCTION("""COMPUTED_VALUE"""),"")</f>
        <v/>
      </c>
      <c r="M2858" s="16" t="str">
        <f>IFERROR(__xludf.DUMMYFUNCTION("""COMPUTED_VALUE"""),"")</f>
        <v/>
      </c>
      <c r="U2858" s="16" t="s">
        <v>87</v>
      </c>
      <c r="V2858" s="16" t="str">
        <f>IFERROR(__xludf.DUMMYFUNCTION("""COMPUTED_VALUE"""),"")</f>
        <v/>
      </c>
      <c r="W2858" s="16" t="str">
        <f>IFERROR(__xludf.DUMMYFUNCTION("""COMPUTED_VALUE"""),"")</f>
        <v/>
      </c>
      <c r="X2858" s="16" t="str">
        <f>IFERROR(__xludf.DUMMYFUNCTION("""COMPUTED_VALUE"""),"")</f>
        <v/>
      </c>
      <c r="AC2858" s="16" t="str">
        <f>IFERROR(__xludf.DUMMYFUNCTION("""COMPUTED_VALUE"""),"")</f>
        <v/>
      </c>
    </row>
    <row r="2859">
      <c r="A2859" s="16" t="s">
        <v>87</v>
      </c>
      <c r="E2859" s="16" t="str">
        <f>IFERROR(__xludf.DUMMYFUNCTION("""COMPUTED_VALUE"""),"")</f>
        <v/>
      </c>
      <c r="G2859" s="18"/>
      <c r="H2859" s="16" t="s">
        <v>87</v>
      </c>
      <c r="I2859" s="16" t="s">
        <v>87</v>
      </c>
      <c r="J2859" s="19"/>
      <c r="L2859" s="16" t="str">
        <f>IFERROR(__xludf.DUMMYFUNCTION("""COMPUTED_VALUE"""),"")</f>
        <v/>
      </c>
      <c r="M2859" s="16" t="str">
        <f>IFERROR(__xludf.DUMMYFUNCTION("""COMPUTED_VALUE"""),"")</f>
        <v/>
      </c>
      <c r="U2859" s="16" t="s">
        <v>87</v>
      </c>
      <c r="V2859" s="16" t="str">
        <f>IFERROR(__xludf.DUMMYFUNCTION("""COMPUTED_VALUE"""),"")</f>
        <v/>
      </c>
      <c r="W2859" s="16" t="str">
        <f>IFERROR(__xludf.DUMMYFUNCTION("""COMPUTED_VALUE"""),"")</f>
        <v/>
      </c>
      <c r="X2859" s="16" t="str">
        <f>IFERROR(__xludf.DUMMYFUNCTION("""COMPUTED_VALUE"""),"")</f>
        <v/>
      </c>
      <c r="AC2859" s="16" t="str">
        <f>IFERROR(__xludf.DUMMYFUNCTION("""COMPUTED_VALUE"""),"")</f>
        <v/>
      </c>
    </row>
    <row r="2860">
      <c r="A2860" s="16" t="s">
        <v>87</v>
      </c>
      <c r="E2860" s="16" t="str">
        <f>IFERROR(__xludf.DUMMYFUNCTION("""COMPUTED_VALUE"""),"")</f>
        <v/>
      </c>
      <c r="G2860" s="18"/>
      <c r="H2860" s="16" t="s">
        <v>87</v>
      </c>
      <c r="I2860" s="16" t="s">
        <v>87</v>
      </c>
      <c r="J2860" s="19"/>
      <c r="L2860" s="16" t="str">
        <f>IFERROR(__xludf.DUMMYFUNCTION("""COMPUTED_VALUE"""),"")</f>
        <v/>
      </c>
      <c r="M2860" s="16" t="str">
        <f>IFERROR(__xludf.DUMMYFUNCTION("""COMPUTED_VALUE"""),"")</f>
        <v/>
      </c>
      <c r="U2860" s="16" t="s">
        <v>87</v>
      </c>
      <c r="V2860" s="16" t="str">
        <f>IFERROR(__xludf.DUMMYFUNCTION("""COMPUTED_VALUE"""),"")</f>
        <v/>
      </c>
      <c r="W2860" s="16" t="str">
        <f>IFERROR(__xludf.DUMMYFUNCTION("""COMPUTED_VALUE"""),"")</f>
        <v/>
      </c>
      <c r="X2860" s="16" t="str">
        <f>IFERROR(__xludf.DUMMYFUNCTION("""COMPUTED_VALUE"""),"")</f>
        <v/>
      </c>
      <c r="AC2860" s="16" t="str">
        <f>IFERROR(__xludf.DUMMYFUNCTION("""COMPUTED_VALUE"""),"")</f>
        <v/>
      </c>
    </row>
    <row r="2861">
      <c r="A2861" s="16" t="s">
        <v>87</v>
      </c>
      <c r="E2861" s="16" t="str">
        <f>IFERROR(__xludf.DUMMYFUNCTION("""COMPUTED_VALUE"""),"")</f>
        <v/>
      </c>
      <c r="G2861" s="18"/>
      <c r="H2861" s="16" t="s">
        <v>87</v>
      </c>
      <c r="I2861" s="16" t="s">
        <v>87</v>
      </c>
      <c r="J2861" s="19"/>
      <c r="L2861" s="16" t="str">
        <f>IFERROR(__xludf.DUMMYFUNCTION("""COMPUTED_VALUE"""),"")</f>
        <v/>
      </c>
      <c r="M2861" s="16" t="str">
        <f>IFERROR(__xludf.DUMMYFUNCTION("""COMPUTED_VALUE"""),"")</f>
        <v/>
      </c>
      <c r="U2861" s="16" t="s">
        <v>87</v>
      </c>
      <c r="V2861" s="16" t="str">
        <f>IFERROR(__xludf.DUMMYFUNCTION("""COMPUTED_VALUE"""),"")</f>
        <v/>
      </c>
      <c r="W2861" s="16" t="str">
        <f>IFERROR(__xludf.DUMMYFUNCTION("""COMPUTED_VALUE"""),"")</f>
        <v/>
      </c>
      <c r="X2861" s="16" t="str">
        <f>IFERROR(__xludf.DUMMYFUNCTION("""COMPUTED_VALUE"""),"")</f>
        <v/>
      </c>
      <c r="AC2861" s="16" t="str">
        <f>IFERROR(__xludf.DUMMYFUNCTION("""COMPUTED_VALUE"""),"")</f>
        <v/>
      </c>
    </row>
    <row r="2862">
      <c r="A2862" s="16" t="s">
        <v>87</v>
      </c>
      <c r="E2862" s="16" t="str">
        <f>IFERROR(__xludf.DUMMYFUNCTION("""COMPUTED_VALUE"""),"")</f>
        <v/>
      </c>
      <c r="G2862" s="18"/>
      <c r="H2862" s="16" t="s">
        <v>87</v>
      </c>
      <c r="I2862" s="16" t="s">
        <v>87</v>
      </c>
      <c r="J2862" s="19"/>
      <c r="L2862" s="16" t="str">
        <f>IFERROR(__xludf.DUMMYFUNCTION("""COMPUTED_VALUE"""),"")</f>
        <v/>
      </c>
      <c r="M2862" s="16" t="str">
        <f>IFERROR(__xludf.DUMMYFUNCTION("""COMPUTED_VALUE"""),"")</f>
        <v/>
      </c>
      <c r="U2862" s="16" t="s">
        <v>87</v>
      </c>
      <c r="V2862" s="16" t="str">
        <f>IFERROR(__xludf.DUMMYFUNCTION("""COMPUTED_VALUE"""),"")</f>
        <v/>
      </c>
      <c r="W2862" s="16" t="str">
        <f>IFERROR(__xludf.DUMMYFUNCTION("""COMPUTED_VALUE"""),"")</f>
        <v/>
      </c>
      <c r="X2862" s="16" t="str">
        <f>IFERROR(__xludf.DUMMYFUNCTION("""COMPUTED_VALUE"""),"")</f>
        <v/>
      </c>
      <c r="AC2862" s="16" t="str">
        <f>IFERROR(__xludf.DUMMYFUNCTION("""COMPUTED_VALUE"""),"")</f>
        <v/>
      </c>
    </row>
    <row r="2863">
      <c r="A2863" s="16" t="s">
        <v>87</v>
      </c>
      <c r="E2863" s="16" t="str">
        <f>IFERROR(__xludf.DUMMYFUNCTION("""COMPUTED_VALUE"""),"")</f>
        <v/>
      </c>
      <c r="G2863" s="18"/>
      <c r="H2863" s="16" t="s">
        <v>87</v>
      </c>
      <c r="I2863" s="16" t="s">
        <v>87</v>
      </c>
      <c r="J2863" s="19"/>
      <c r="L2863" s="16" t="str">
        <f>IFERROR(__xludf.DUMMYFUNCTION("""COMPUTED_VALUE"""),"")</f>
        <v/>
      </c>
      <c r="M2863" s="16" t="str">
        <f>IFERROR(__xludf.DUMMYFUNCTION("""COMPUTED_VALUE"""),"")</f>
        <v/>
      </c>
      <c r="U2863" s="16" t="s">
        <v>87</v>
      </c>
      <c r="V2863" s="16" t="str">
        <f>IFERROR(__xludf.DUMMYFUNCTION("""COMPUTED_VALUE"""),"")</f>
        <v/>
      </c>
      <c r="W2863" s="16" t="str">
        <f>IFERROR(__xludf.DUMMYFUNCTION("""COMPUTED_VALUE"""),"")</f>
        <v/>
      </c>
      <c r="X2863" s="16" t="str">
        <f>IFERROR(__xludf.DUMMYFUNCTION("""COMPUTED_VALUE"""),"")</f>
        <v/>
      </c>
      <c r="AC2863" s="16" t="str">
        <f>IFERROR(__xludf.DUMMYFUNCTION("""COMPUTED_VALUE"""),"")</f>
        <v/>
      </c>
    </row>
    <row r="2864">
      <c r="A2864" s="16" t="s">
        <v>87</v>
      </c>
      <c r="E2864" s="16" t="str">
        <f>IFERROR(__xludf.DUMMYFUNCTION("""COMPUTED_VALUE"""),"")</f>
        <v/>
      </c>
      <c r="G2864" s="18"/>
      <c r="H2864" s="16" t="s">
        <v>87</v>
      </c>
      <c r="I2864" s="16" t="s">
        <v>87</v>
      </c>
      <c r="J2864" s="19"/>
      <c r="L2864" s="16" t="str">
        <f>IFERROR(__xludf.DUMMYFUNCTION("""COMPUTED_VALUE"""),"")</f>
        <v/>
      </c>
      <c r="M2864" s="16" t="str">
        <f>IFERROR(__xludf.DUMMYFUNCTION("""COMPUTED_VALUE"""),"")</f>
        <v/>
      </c>
      <c r="U2864" s="16" t="s">
        <v>87</v>
      </c>
      <c r="V2864" s="16" t="str">
        <f>IFERROR(__xludf.DUMMYFUNCTION("""COMPUTED_VALUE"""),"")</f>
        <v/>
      </c>
      <c r="W2864" s="16" t="str">
        <f>IFERROR(__xludf.DUMMYFUNCTION("""COMPUTED_VALUE"""),"")</f>
        <v/>
      </c>
      <c r="X2864" s="16" t="str">
        <f>IFERROR(__xludf.DUMMYFUNCTION("""COMPUTED_VALUE"""),"")</f>
        <v/>
      </c>
      <c r="AC2864" s="16" t="str">
        <f>IFERROR(__xludf.DUMMYFUNCTION("""COMPUTED_VALUE"""),"")</f>
        <v/>
      </c>
    </row>
    <row r="2865">
      <c r="A2865" s="16" t="s">
        <v>87</v>
      </c>
      <c r="E2865" s="16" t="str">
        <f>IFERROR(__xludf.DUMMYFUNCTION("""COMPUTED_VALUE"""),"")</f>
        <v/>
      </c>
      <c r="G2865" s="18"/>
      <c r="H2865" s="16" t="s">
        <v>87</v>
      </c>
      <c r="I2865" s="16" t="s">
        <v>87</v>
      </c>
      <c r="J2865" s="19"/>
      <c r="L2865" s="16" t="str">
        <f>IFERROR(__xludf.DUMMYFUNCTION("""COMPUTED_VALUE"""),"")</f>
        <v/>
      </c>
      <c r="M2865" s="16" t="str">
        <f>IFERROR(__xludf.DUMMYFUNCTION("""COMPUTED_VALUE"""),"")</f>
        <v/>
      </c>
      <c r="U2865" s="16" t="s">
        <v>87</v>
      </c>
      <c r="V2865" s="16" t="str">
        <f>IFERROR(__xludf.DUMMYFUNCTION("""COMPUTED_VALUE"""),"")</f>
        <v/>
      </c>
      <c r="W2865" s="16" t="str">
        <f>IFERROR(__xludf.DUMMYFUNCTION("""COMPUTED_VALUE"""),"")</f>
        <v/>
      </c>
      <c r="X2865" s="16" t="str">
        <f>IFERROR(__xludf.DUMMYFUNCTION("""COMPUTED_VALUE"""),"")</f>
        <v/>
      </c>
      <c r="AC2865" s="16" t="str">
        <f>IFERROR(__xludf.DUMMYFUNCTION("""COMPUTED_VALUE"""),"")</f>
        <v/>
      </c>
    </row>
    <row r="2866">
      <c r="A2866" s="16" t="s">
        <v>87</v>
      </c>
      <c r="E2866" s="16" t="str">
        <f>IFERROR(__xludf.DUMMYFUNCTION("""COMPUTED_VALUE"""),"")</f>
        <v/>
      </c>
      <c r="G2866" s="18"/>
      <c r="H2866" s="16" t="s">
        <v>87</v>
      </c>
      <c r="I2866" s="16" t="s">
        <v>87</v>
      </c>
      <c r="J2866" s="19"/>
      <c r="L2866" s="16" t="str">
        <f>IFERROR(__xludf.DUMMYFUNCTION("""COMPUTED_VALUE"""),"")</f>
        <v/>
      </c>
      <c r="M2866" s="16" t="str">
        <f>IFERROR(__xludf.DUMMYFUNCTION("""COMPUTED_VALUE"""),"")</f>
        <v/>
      </c>
      <c r="U2866" s="16" t="s">
        <v>87</v>
      </c>
      <c r="V2866" s="16" t="str">
        <f>IFERROR(__xludf.DUMMYFUNCTION("""COMPUTED_VALUE"""),"")</f>
        <v/>
      </c>
      <c r="W2866" s="16" t="str">
        <f>IFERROR(__xludf.DUMMYFUNCTION("""COMPUTED_VALUE"""),"")</f>
        <v/>
      </c>
      <c r="X2866" s="16" t="str">
        <f>IFERROR(__xludf.DUMMYFUNCTION("""COMPUTED_VALUE"""),"")</f>
        <v/>
      </c>
      <c r="AC2866" s="16" t="str">
        <f>IFERROR(__xludf.DUMMYFUNCTION("""COMPUTED_VALUE"""),"")</f>
        <v/>
      </c>
    </row>
    <row r="2867">
      <c r="A2867" s="16" t="s">
        <v>87</v>
      </c>
      <c r="E2867" s="16" t="str">
        <f>IFERROR(__xludf.DUMMYFUNCTION("""COMPUTED_VALUE"""),"")</f>
        <v/>
      </c>
      <c r="G2867" s="18"/>
      <c r="H2867" s="16" t="s">
        <v>87</v>
      </c>
      <c r="I2867" s="16" t="s">
        <v>87</v>
      </c>
      <c r="J2867" s="19"/>
      <c r="L2867" s="16" t="str">
        <f>IFERROR(__xludf.DUMMYFUNCTION("""COMPUTED_VALUE"""),"")</f>
        <v/>
      </c>
      <c r="M2867" s="16" t="str">
        <f>IFERROR(__xludf.DUMMYFUNCTION("""COMPUTED_VALUE"""),"")</f>
        <v/>
      </c>
      <c r="U2867" s="16" t="s">
        <v>87</v>
      </c>
      <c r="V2867" s="16" t="str">
        <f>IFERROR(__xludf.DUMMYFUNCTION("""COMPUTED_VALUE"""),"")</f>
        <v/>
      </c>
      <c r="W2867" s="16" t="str">
        <f>IFERROR(__xludf.DUMMYFUNCTION("""COMPUTED_VALUE"""),"")</f>
        <v/>
      </c>
      <c r="X2867" s="16" t="str">
        <f>IFERROR(__xludf.DUMMYFUNCTION("""COMPUTED_VALUE"""),"")</f>
        <v/>
      </c>
      <c r="AC2867" s="16" t="str">
        <f>IFERROR(__xludf.DUMMYFUNCTION("""COMPUTED_VALUE"""),"")</f>
        <v/>
      </c>
    </row>
    <row r="2868">
      <c r="A2868" s="16" t="s">
        <v>87</v>
      </c>
      <c r="E2868" s="16" t="str">
        <f>IFERROR(__xludf.DUMMYFUNCTION("""COMPUTED_VALUE"""),"")</f>
        <v/>
      </c>
      <c r="G2868" s="18"/>
      <c r="H2868" s="16" t="s">
        <v>87</v>
      </c>
      <c r="I2868" s="16" t="s">
        <v>87</v>
      </c>
      <c r="J2868" s="19"/>
      <c r="L2868" s="16" t="str">
        <f>IFERROR(__xludf.DUMMYFUNCTION("""COMPUTED_VALUE"""),"")</f>
        <v/>
      </c>
      <c r="M2868" s="16" t="str">
        <f>IFERROR(__xludf.DUMMYFUNCTION("""COMPUTED_VALUE"""),"")</f>
        <v/>
      </c>
      <c r="U2868" s="16" t="s">
        <v>87</v>
      </c>
      <c r="V2868" s="16" t="str">
        <f>IFERROR(__xludf.DUMMYFUNCTION("""COMPUTED_VALUE"""),"")</f>
        <v/>
      </c>
      <c r="W2868" s="16" t="str">
        <f>IFERROR(__xludf.DUMMYFUNCTION("""COMPUTED_VALUE"""),"")</f>
        <v/>
      </c>
      <c r="X2868" s="16" t="str">
        <f>IFERROR(__xludf.DUMMYFUNCTION("""COMPUTED_VALUE"""),"")</f>
        <v/>
      </c>
      <c r="AC2868" s="16" t="str">
        <f>IFERROR(__xludf.DUMMYFUNCTION("""COMPUTED_VALUE"""),"")</f>
        <v/>
      </c>
    </row>
    <row r="2869">
      <c r="A2869" s="16" t="s">
        <v>87</v>
      </c>
      <c r="E2869" s="16" t="str">
        <f>IFERROR(__xludf.DUMMYFUNCTION("""COMPUTED_VALUE"""),"")</f>
        <v/>
      </c>
      <c r="G2869" s="18"/>
      <c r="H2869" s="16" t="s">
        <v>87</v>
      </c>
      <c r="I2869" s="16" t="s">
        <v>87</v>
      </c>
      <c r="J2869" s="19"/>
      <c r="L2869" s="16" t="str">
        <f>IFERROR(__xludf.DUMMYFUNCTION("""COMPUTED_VALUE"""),"")</f>
        <v/>
      </c>
      <c r="M2869" s="16" t="str">
        <f>IFERROR(__xludf.DUMMYFUNCTION("""COMPUTED_VALUE"""),"")</f>
        <v/>
      </c>
      <c r="U2869" s="16" t="s">
        <v>87</v>
      </c>
      <c r="V2869" s="16" t="str">
        <f>IFERROR(__xludf.DUMMYFUNCTION("""COMPUTED_VALUE"""),"")</f>
        <v/>
      </c>
      <c r="W2869" s="16" t="str">
        <f>IFERROR(__xludf.DUMMYFUNCTION("""COMPUTED_VALUE"""),"")</f>
        <v/>
      </c>
      <c r="X2869" s="16" t="str">
        <f>IFERROR(__xludf.DUMMYFUNCTION("""COMPUTED_VALUE"""),"")</f>
        <v/>
      </c>
      <c r="AC2869" s="16" t="str">
        <f>IFERROR(__xludf.DUMMYFUNCTION("""COMPUTED_VALUE"""),"")</f>
        <v/>
      </c>
    </row>
    <row r="2870">
      <c r="A2870" s="16" t="s">
        <v>87</v>
      </c>
      <c r="E2870" s="16" t="str">
        <f>IFERROR(__xludf.DUMMYFUNCTION("""COMPUTED_VALUE"""),"")</f>
        <v/>
      </c>
      <c r="G2870" s="18"/>
      <c r="H2870" s="16" t="s">
        <v>87</v>
      </c>
      <c r="I2870" s="16" t="s">
        <v>87</v>
      </c>
      <c r="J2870" s="19"/>
      <c r="L2870" s="16" t="str">
        <f>IFERROR(__xludf.DUMMYFUNCTION("""COMPUTED_VALUE"""),"")</f>
        <v/>
      </c>
      <c r="M2870" s="16" t="str">
        <f>IFERROR(__xludf.DUMMYFUNCTION("""COMPUTED_VALUE"""),"")</f>
        <v/>
      </c>
      <c r="U2870" s="16" t="s">
        <v>87</v>
      </c>
      <c r="V2870" s="16" t="str">
        <f>IFERROR(__xludf.DUMMYFUNCTION("""COMPUTED_VALUE"""),"")</f>
        <v/>
      </c>
      <c r="W2870" s="16" t="str">
        <f>IFERROR(__xludf.DUMMYFUNCTION("""COMPUTED_VALUE"""),"")</f>
        <v/>
      </c>
      <c r="X2870" s="16" t="str">
        <f>IFERROR(__xludf.DUMMYFUNCTION("""COMPUTED_VALUE"""),"")</f>
        <v/>
      </c>
      <c r="AC2870" s="16" t="str">
        <f>IFERROR(__xludf.DUMMYFUNCTION("""COMPUTED_VALUE"""),"")</f>
        <v/>
      </c>
    </row>
    <row r="2871">
      <c r="A2871" s="16" t="s">
        <v>87</v>
      </c>
      <c r="E2871" s="16" t="str">
        <f>IFERROR(__xludf.DUMMYFUNCTION("""COMPUTED_VALUE"""),"")</f>
        <v/>
      </c>
      <c r="G2871" s="18"/>
      <c r="H2871" s="16" t="s">
        <v>87</v>
      </c>
      <c r="I2871" s="16" t="s">
        <v>87</v>
      </c>
      <c r="J2871" s="19"/>
      <c r="L2871" s="16" t="str">
        <f>IFERROR(__xludf.DUMMYFUNCTION("""COMPUTED_VALUE"""),"")</f>
        <v/>
      </c>
      <c r="M2871" s="16" t="str">
        <f>IFERROR(__xludf.DUMMYFUNCTION("""COMPUTED_VALUE"""),"")</f>
        <v/>
      </c>
      <c r="U2871" s="16" t="s">
        <v>87</v>
      </c>
      <c r="V2871" s="16" t="str">
        <f>IFERROR(__xludf.DUMMYFUNCTION("""COMPUTED_VALUE"""),"")</f>
        <v/>
      </c>
      <c r="W2871" s="16" t="str">
        <f>IFERROR(__xludf.DUMMYFUNCTION("""COMPUTED_VALUE"""),"")</f>
        <v/>
      </c>
      <c r="X2871" s="16" t="str">
        <f>IFERROR(__xludf.DUMMYFUNCTION("""COMPUTED_VALUE"""),"")</f>
        <v/>
      </c>
      <c r="AC2871" s="16" t="str">
        <f>IFERROR(__xludf.DUMMYFUNCTION("""COMPUTED_VALUE"""),"")</f>
        <v/>
      </c>
    </row>
    <row r="2872">
      <c r="A2872" s="16" t="s">
        <v>87</v>
      </c>
      <c r="E2872" s="16" t="str">
        <f>IFERROR(__xludf.DUMMYFUNCTION("""COMPUTED_VALUE"""),"")</f>
        <v/>
      </c>
      <c r="G2872" s="18"/>
      <c r="H2872" s="16" t="s">
        <v>87</v>
      </c>
      <c r="I2872" s="16" t="s">
        <v>87</v>
      </c>
      <c r="J2872" s="19"/>
      <c r="L2872" s="16" t="str">
        <f>IFERROR(__xludf.DUMMYFUNCTION("""COMPUTED_VALUE"""),"")</f>
        <v/>
      </c>
      <c r="M2872" s="16" t="str">
        <f>IFERROR(__xludf.DUMMYFUNCTION("""COMPUTED_VALUE"""),"")</f>
        <v/>
      </c>
      <c r="U2872" s="16" t="s">
        <v>87</v>
      </c>
      <c r="V2872" s="16" t="str">
        <f>IFERROR(__xludf.DUMMYFUNCTION("""COMPUTED_VALUE"""),"")</f>
        <v/>
      </c>
      <c r="W2872" s="16" t="str">
        <f>IFERROR(__xludf.DUMMYFUNCTION("""COMPUTED_VALUE"""),"")</f>
        <v/>
      </c>
      <c r="X2872" s="16" t="str">
        <f>IFERROR(__xludf.DUMMYFUNCTION("""COMPUTED_VALUE"""),"")</f>
        <v/>
      </c>
      <c r="AC2872" s="16" t="str">
        <f>IFERROR(__xludf.DUMMYFUNCTION("""COMPUTED_VALUE"""),"")</f>
        <v/>
      </c>
    </row>
    <row r="2873">
      <c r="A2873" s="16" t="s">
        <v>87</v>
      </c>
      <c r="E2873" s="16" t="str">
        <f>IFERROR(__xludf.DUMMYFUNCTION("""COMPUTED_VALUE"""),"")</f>
        <v/>
      </c>
      <c r="G2873" s="18"/>
      <c r="H2873" s="16" t="s">
        <v>87</v>
      </c>
      <c r="I2873" s="16" t="s">
        <v>87</v>
      </c>
      <c r="J2873" s="19"/>
      <c r="L2873" s="16" t="str">
        <f>IFERROR(__xludf.DUMMYFUNCTION("""COMPUTED_VALUE"""),"")</f>
        <v/>
      </c>
      <c r="M2873" s="16" t="str">
        <f>IFERROR(__xludf.DUMMYFUNCTION("""COMPUTED_VALUE"""),"")</f>
        <v/>
      </c>
      <c r="U2873" s="16" t="s">
        <v>87</v>
      </c>
      <c r="V2873" s="16" t="str">
        <f>IFERROR(__xludf.DUMMYFUNCTION("""COMPUTED_VALUE"""),"")</f>
        <v/>
      </c>
      <c r="W2873" s="16" t="str">
        <f>IFERROR(__xludf.DUMMYFUNCTION("""COMPUTED_VALUE"""),"")</f>
        <v/>
      </c>
      <c r="X2873" s="16" t="str">
        <f>IFERROR(__xludf.DUMMYFUNCTION("""COMPUTED_VALUE"""),"")</f>
        <v/>
      </c>
      <c r="AC2873" s="16" t="str">
        <f>IFERROR(__xludf.DUMMYFUNCTION("""COMPUTED_VALUE"""),"")</f>
        <v/>
      </c>
    </row>
    <row r="2874">
      <c r="A2874" s="16" t="s">
        <v>87</v>
      </c>
      <c r="E2874" s="16" t="str">
        <f>IFERROR(__xludf.DUMMYFUNCTION("""COMPUTED_VALUE"""),"")</f>
        <v/>
      </c>
      <c r="G2874" s="18"/>
      <c r="H2874" s="16" t="s">
        <v>87</v>
      </c>
      <c r="I2874" s="16" t="s">
        <v>87</v>
      </c>
      <c r="J2874" s="19"/>
      <c r="L2874" s="16" t="str">
        <f>IFERROR(__xludf.DUMMYFUNCTION("""COMPUTED_VALUE"""),"")</f>
        <v/>
      </c>
      <c r="M2874" s="16" t="str">
        <f>IFERROR(__xludf.DUMMYFUNCTION("""COMPUTED_VALUE"""),"")</f>
        <v/>
      </c>
      <c r="U2874" s="16" t="s">
        <v>87</v>
      </c>
      <c r="V2874" s="16" t="str">
        <f>IFERROR(__xludf.DUMMYFUNCTION("""COMPUTED_VALUE"""),"")</f>
        <v/>
      </c>
      <c r="W2874" s="16" t="str">
        <f>IFERROR(__xludf.DUMMYFUNCTION("""COMPUTED_VALUE"""),"")</f>
        <v/>
      </c>
      <c r="X2874" s="16" t="str">
        <f>IFERROR(__xludf.DUMMYFUNCTION("""COMPUTED_VALUE"""),"")</f>
        <v/>
      </c>
      <c r="AC2874" s="16" t="str">
        <f>IFERROR(__xludf.DUMMYFUNCTION("""COMPUTED_VALUE"""),"")</f>
        <v/>
      </c>
    </row>
    <row r="2875">
      <c r="A2875" s="16" t="s">
        <v>87</v>
      </c>
      <c r="E2875" s="16" t="str">
        <f>IFERROR(__xludf.DUMMYFUNCTION("""COMPUTED_VALUE"""),"")</f>
        <v/>
      </c>
      <c r="G2875" s="18"/>
      <c r="H2875" s="16" t="s">
        <v>87</v>
      </c>
      <c r="I2875" s="16" t="s">
        <v>87</v>
      </c>
      <c r="J2875" s="19"/>
      <c r="L2875" s="16" t="str">
        <f>IFERROR(__xludf.DUMMYFUNCTION("""COMPUTED_VALUE"""),"")</f>
        <v/>
      </c>
      <c r="M2875" s="16" t="str">
        <f>IFERROR(__xludf.DUMMYFUNCTION("""COMPUTED_VALUE"""),"")</f>
        <v/>
      </c>
      <c r="U2875" s="16" t="s">
        <v>87</v>
      </c>
      <c r="V2875" s="16" t="str">
        <f>IFERROR(__xludf.DUMMYFUNCTION("""COMPUTED_VALUE"""),"")</f>
        <v/>
      </c>
      <c r="W2875" s="16" t="str">
        <f>IFERROR(__xludf.DUMMYFUNCTION("""COMPUTED_VALUE"""),"")</f>
        <v/>
      </c>
      <c r="X2875" s="16" t="str">
        <f>IFERROR(__xludf.DUMMYFUNCTION("""COMPUTED_VALUE"""),"")</f>
        <v/>
      </c>
      <c r="AC2875" s="16" t="str">
        <f>IFERROR(__xludf.DUMMYFUNCTION("""COMPUTED_VALUE"""),"")</f>
        <v/>
      </c>
    </row>
    <row r="2876">
      <c r="A2876" s="16" t="s">
        <v>87</v>
      </c>
      <c r="E2876" s="16" t="str">
        <f>IFERROR(__xludf.DUMMYFUNCTION("""COMPUTED_VALUE"""),"")</f>
        <v/>
      </c>
      <c r="G2876" s="18"/>
      <c r="H2876" s="16" t="s">
        <v>87</v>
      </c>
      <c r="I2876" s="16" t="s">
        <v>87</v>
      </c>
      <c r="J2876" s="19"/>
      <c r="L2876" s="16" t="str">
        <f>IFERROR(__xludf.DUMMYFUNCTION("""COMPUTED_VALUE"""),"")</f>
        <v/>
      </c>
      <c r="M2876" s="16" t="str">
        <f>IFERROR(__xludf.DUMMYFUNCTION("""COMPUTED_VALUE"""),"")</f>
        <v/>
      </c>
      <c r="U2876" s="16" t="s">
        <v>87</v>
      </c>
      <c r="V2876" s="16" t="str">
        <f>IFERROR(__xludf.DUMMYFUNCTION("""COMPUTED_VALUE"""),"")</f>
        <v/>
      </c>
      <c r="W2876" s="16" t="str">
        <f>IFERROR(__xludf.DUMMYFUNCTION("""COMPUTED_VALUE"""),"")</f>
        <v/>
      </c>
      <c r="X2876" s="16" t="str">
        <f>IFERROR(__xludf.DUMMYFUNCTION("""COMPUTED_VALUE"""),"")</f>
        <v/>
      </c>
      <c r="AC2876" s="16" t="str">
        <f>IFERROR(__xludf.DUMMYFUNCTION("""COMPUTED_VALUE"""),"")</f>
        <v/>
      </c>
    </row>
    <row r="2877">
      <c r="A2877" s="16" t="s">
        <v>87</v>
      </c>
      <c r="E2877" s="16" t="str">
        <f>IFERROR(__xludf.DUMMYFUNCTION("""COMPUTED_VALUE"""),"")</f>
        <v/>
      </c>
      <c r="G2877" s="18"/>
      <c r="H2877" s="16" t="s">
        <v>87</v>
      </c>
      <c r="I2877" s="16" t="s">
        <v>87</v>
      </c>
      <c r="J2877" s="19"/>
      <c r="L2877" s="16" t="str">
        <f>IFERROR(__xludf.DUMMYFUNCTION("""COMPUTED_VALUE"""),"")</f>
        <v/>
      </c>
      <c r="M2877" s="16" t="str">
        <f>IFERROR(__xludf.DUMMYFUNCTION("""COMPUTED_VALUE"""),"")</f>
        <v/>
      </c>
      <c r="U2877" s="16" t="s">
        <v>87</v>
      </c>
      <c r="V2877" s="16" t="str">
        <f>IFERROR(__xludf.DUMMYFUNCTION("""COMPUTED_VALUE"""),"")</f>
        <v/>
      </c>
      <c r="W2877" s="16" t="str">
        <f>IFERROR(__xludf.DUMMYFUNCTION("""COMPUTED_VALUE"""),"")</f>
        <v/>
      </c>
      <c r="X2877" s="16" t="str">
        <f>IFERROR(__xludf.DUMMYFUNCTION("""COMPUTED_VALUE"""),"")</f>
        <v/>
      </c>
      <c r="AC2877" s="16" t="str">
        <f>IFERROR(__xludf.DUMMYFUNCTION("""COMPUTED_VALUE"""),"")</f>
        <v/>
      </c>
    </row>
    <row r="2878">
      <c r="A2878" s="16" t="s">
        <v>87</v>
      </c>
      <c r="E2878" s="16" t="str">
        <f>IFERROR(__xludf.DUMMYFUNCTION("""COMPUTED_VALUE"""),"")</f>
        <v/>
      </c>
      <c r="G2878" s="18"/>
      <c r="H2878" s="16" t="s">
        <v>87</v>
      </c>
      <c r="I2878" s="16" t="s">
        <v>87</v>
      </c>
      <c r="J2878" s="19"/>
      <c r="L2878" s="16" t="str">
        <f>IFERROR(__xludf.DUMMYFUNCTION("""COMPUTED_VALUE"""),"")</f>
        <v/>
      </c>
      <c r="M2878" s="16" t="str">
        <f>IFERROR(__xludf.DUMMYFUNCTION("""COMPUTED_VALUE"""),"")</f>
        <v/>
      </c>
      <c r="U2878" s="16" t="s">
        <v>87</v>
      </c>
      <c r="V2878" s="16" t="str">
        <f>IFERROR(__xludf.DUMMYFUNCTION("""COMPUTED_VALUE"""),"")</f>
        <v/>
      </c>
      <c r="W2878" s="16" t="str">
        <f>IFERROR(__xludf.DUMMYFUNCTION("""COMPUTED_VALUE"""),"")</f>
        <v/>
      </c>
      <c r="X2878" s="16" t="str">
        <f>IFERROR(__xludf.DUMMYFUNCTION("""COMPUTED_VALUE"""),"")</f>
        <v/>
      </c>
      <c r="AC2878" s="16" t="str">
        <f>IFERROR(__xludf.DUMMYFUNCTION("""COMPUTED_VALUE"""),"")</f>
        <v/>
      </c>
    </row>
    <row r="2879">
      <c r="A2879" s="16" t="s">
        <v>87</v>
      </c>
      <c r="E2879" s="16" t="str">
        <f>IFERROR(__xludf.DUMMYFUNCTION("""COMPUTED_VALUE"""),"")</f>
        <v/>
      </c>
      <c r="G2879" s="18"/>
      <c r="H2879" s="16" t="s">
        <v>87</v>
      </c>
      <c r="I2879" s="16" t="s">
        <v>87</v>
      </c>
      <c r="J2879" s="19"/>
      <c r="L2879" s="16" t="str">
        <f>IFERROR(__xludf.DUMMYFUNCTION("""COMPUTED_VALUE"""),"")</f>
        <v/>
      </c>
      <c r="M2879" s="16" t="str">
        <f>IFERROR(__xludf.DUMMYFUNCTION("""COMPUTED_VALUE"""),"")</f>
        <v/>
      </c>
      <c r="U2879" s="16" t="s">
        <v>87</v>
      </c>
      <c r="V2879" s="16" t="str">
        <f>IFERROR(__xludf.DUMMYFUNCTION("""COMPUTED_VALUE"""),"")</f>
        <v/>
      </c>
      <c r="W2879" s="16" t="str">
        <f>IFERROR(__xludf.DUMMYFUNCTION("""COMPUTED_VALUE"""),"")</f>
        <v/>
      </c>
      <c r="X2879" s="16" t="str">
        <f>IFERROR(__xludf.DUMMYFUNCTION("""COMPUTED_VALUE"""),"")</f>
        <v/>
      </c>
      <c r="AC2879" s="16" t="str">
        <f>IFERROR(__xludf.DUMMYFUNCTION("""COMPUTED_VALUE"""),"")</f>
        <v/>
      </c>
    </row>
    <row r="2880">
      <c r="A2880" s="16" t="s">
        <v>87</v>
      </c>
      <c r="E2880" s="16" t="str">
        <f>IFERROR(__xludf.DUMMYFUNCTION("""COMPUTED_VALUE"""),"")</f>
        <v/>
      </c>
      <c r="G2880" s="18"/>
      <c r="H2880" s="16" t="s">
        <v>87</v>
      </c>
      <c r="I2880" s="16" t="s">
        <v>87</v>
      </c>
      <c r="J2880" s="19"/>
      <c r="L2880" s="16" t="str">
        <f>IFERROR(__xludf.DUMMYFUNCTION("""COMPUTED_VALUE"""),"")</f>
        <v/>
      </c>
      <c r="M2880" s="16" t="str">
        <f>IFERROR(__xludf.DUMMYFUNCTION("""COMPUTED_VALUE"""),"")</f>
        <v/>
      </c>
      <c r="U2880" s="16" t="s">
        <v>87</v>
      </c>
      <c r="V2880" s="16" t="str">
        <f>IFERROR(__xludf.DUMMYFUNCTION("""COMPUTED_VALUE"""),"")</f>
        <v/>
      </c>
      <c r="W2880" s="16" t="str">
        <f>IFERROR(__xludf.DUMMYFUNCTION("""COMPUTED_VALUE"""),"")</f>
        <v/>
      </c>
      <c r="X2880" s="16" t="str">
        <f>IFERROR(__xludf.DUMMYFUNCTION("""COMPUTED_VALUE"""),"")</f>
        <v/>
      </c>
      <c r="AC2880" s="16" t="str">
        <f>IFERROR(__xludf.DUMMYFUNCTION("""COMPUTED_VALUE"""),"")</f>
        <v/>
      </c>
    </row>
    <row r="2881">
      <c r="A2881" s="16" t="s">
        <v>87</v>
      </c>
      <c r="E2881" s="16" t="str">
        <f>IFERROR(__xludf.DUMMYFUNCTION("""COMPUTED_VALUE"""),"")</f>
        <v/>
      </c>
      <c r="G2881" s="18"/>
      <c r="H2881" s="16" t="s">
        <v>87</v>
      </c>
      <c r="I2881" s="16" t="s">
        <v>87</v>
      </c>
      <c r="J2881" s="19"/>
      <c r="L2881" s="16" t="str">
        <f>IFERROR(__xludf.DUMMYFUNCTION("""COMPUTED_VALUE"""),"")</f>
        <v/>
      </c>
      <c r="M2881" s="16" t="str">
        <f>IFERROR(__xludf.DUMMYFUNCTION("""COMPUTED_VALUE"""),"")</f>
        <v/>
      </c>
      <c r="U2881" s="16" t="s">
        <v>87</v>
      </c>
      <c r="V2881" s="16" t="str">
        <f>IFERROR(__xludf.DUMMYFUNCTION("""COMPUTED_VALUE"""),"")</f>
        <v/>
      </c>
      <c r="W2881" s="16" t="str">
        <f>IFERROR(__xludf.DUMMYFUNCTION("""COMPUTED_VALUE"""),"")</f>
        <v/>
      </c>
      <c r="X2881" s="16" t="str">
        <f>IFERROR(__xludf.DUMMYFUNCTION("""COMPUTED_VALUE"""),"")</f>
        <v/>
      </c>
      <c r="AC2881" s="16" t="str">
        <f>IFERROR(__xludf.DUMMYFUNCTION("""COMPUTED_VALUE"""),"")</f>
        <v/>
      </c>
    </row>
    <row r="2882">
      <c r="A2882" s="16" t="s">
        <v>87</v>
      </c>
      <c r="E2882" s="16" t="str">
        <f>IFERROR(__xludf.DUMMYFUNCTION("""COMPUTED_VALUE"""),"")</f>
        <v/>
      </c>
      <c r="G2882" s="18"/>
      <c r="H2882" s="16" t="s">
        <v>87</v>
      </c>
      <c r="I2882" s="16" t="s">
        <v>87</v>
      </c>
      <c r="J2882" s="19"/>
      <c r="L2882" s="16" t="str">
        <f>IFERROR(__xludf.DUMMYFUNCTION("""COMPUTED_VALUE"""),"")</f>
        <v/>
      </c>
      <c r="M2882" s="16" t="str">
        <f>IFERROR(__xludf.DUMMYFUNCTION("""COMPUTED_VALUE"""),"")</f>
        <v/>
      </c>
      <c r="U2882" s="16" t="s">
        <v>87</v>
      </c>
      <c r="V2882" s="16" t="str">
        <f>IFERROR(__xludf.DUMMYFUNCTION("""COMPUTED_VALUE"""),"")</f>
        <v/>
      </c>
      <c r="W2882" s="16" t="str">
        <f>IFERROR(__xludf.DUMMYFUNCTION("""COMPUTED_VALUE"""),"")</f>
        <v/>
      </c>
      <c r="X2882" s="16" t="str">
        <f>IFERROR(__xludf.DUMMYFUNCTION("""COMPUTED_VALUE"""),"")</f>
        <v/>
      </c>
      <c r="AC2882" s="16" t="str">
        <f>IFERROR(__xludf.DUMMYFUNCTION("""COMPUTED_VALUE"""),"")</f>
        <v/>
      </c>
    </row>
    <row r="2883">
      <c r="A2883" s="16" t="s">
        <v>87</v>
      </c>
      <c r="E2883" s="16" t="str">
        <f>IFERROR(__xludf.DUMMYFUNCTION("""COMPUTED_VALUE"""),"")</f>
        <v/>
      </c>
      <c r="G2883" s="18"/>
      <c r="H2883" s="16" t="s">
        <v>87</v>
      </c>
      <c r="I2883" s="16" t="s">
        <v>87</v>
      </c>
      <c r="J2883" s="19"/>
      <c r="L2883" s="16" t="str">
        <f>IFERROR(__xludf.DUMMYFUNCTION("""COMPUTED_VALUE"""),"")</f>
        <v/>
      </c>
      <c r="M2883" s="16" t="str">
        <f>IFERROR(__xludf.DUMMYFUNCTION("""COMPUTED_VALUE"""),"")</f>
        <v/>
      </c>
      <c r="U2883" s="16" t="s">
        <v>87</v>
      </c>
      <c r="V2883" s="16" t="str">
        <f>IFERROR(__xludf.DUMMYFUNCTION("""COMPUTED_VALUE"""),"")</f>
        <v/>
      </c>
      <c r="W2883" s="16" t="str">
        <f>IFERROR(__xludf.DUMMYFUNCTION("""COMPUTED_VALUE"""),"")</f>
        <v/>
      </c>
      <c r="X2883" s="16" t="str">
        <f>IFERROR(__xludf.DUMMYFUNCTION("""COMPUTED_VALUE"""),"")</f>
        <v/>
      </c>
      <c r="AC2883" s="16" t="str">
        <f>IFERROR(__xludf.DUMMYFUNCTION("""COMPUTED_VALUE"""),"")</f>
        <v/>
      </c>
    </row>
    <row r="2884">
      <c r="A2884" s="16" t="s">
        <v>87</v>
      </c>
      <c r="E2884" s="16" t="str">
        <f>IFERROR(__xludf.DUMMYFUNCTION("""COMPUTED_VALUE"""),"")</f>
        <v/>
      </c>
      <c r="G2884" s="18"/>
      <c r="H2884" s="16" t="s">
        <v>87</v>
      </c>
      <c r="I2884" s="16" t="s">
        <v>87</v>
      </c>
      <c r="J2884" s="19"/>
      <c r="L2884" s="16" t="str">
        <f>IFERROR(__xludf.DUMMYFUNCTION("""COMPUTED_VALUE"""),"")</f>
        <v/>
      </c>
      <c r="M2884" s="16" t="str">
        <f>IFERROR(__xludf.DUMMYFUNCTION("""COMPUTED_VALUE"""),"")</f>
        <v/>
      </c>
      <c r="U2884" s="16" t="s">
        <v>87</v>
      </c>
      <c r="V2884" s="16" t="str">
        <f>IFERROR(__xludf.DUMMYFUNCTION("""COMPUTED_VALUE"""),"")</f>
        <v/>
      </c>
      <c r="W2884" s="16" t="str">
        <f>IFERROR(__xludf.DUMMYFUNCTION("""COMPUTED_VALUE"""),"")</f>
        <v/>
      </c>
      <c r="X2884" s="16" t="str">
        <f>IFERROR(__xludf.DUMMYFUNCTION("""COMPUTED_VALUE"""),"")</f>
        <v/>
      </c>
      <c r="AC2884" s="16" t="str">
        <f>IFERROR(__xludf.DUMMYFUNCTION("""COMPUTED_VALUE"""),"")</f>
        <v/>
      </c>
    </row>
    <row r="2885">
      <c r="A2885" s="16" t="s">
        <v>87</v>
      </c>
      <c r="E2885" s="16" t="str">
        <f>IFERROR(__xludf.DUMMYFUNCTION("""COMPUTED_VALUE"""),"")</f>
        <v/>
      </c>
      <c r="G2885" s="18"/>
      <c r="H2885" s="16" t="s">
        <v>87</v>
      </c>
      <c r="I2885" s="16" t="s">
        <v>87</v>
      </c>
      <c r="J2885" s="19"/>
      <c r="L2885" s="16" t="str">
        <f>IFERROR(__xludf.DUMMYFUNCTION("""COMPUTED_VALUE"""),"")</f>
        <v/>
      </c>
      <c r="M2885" s="16" t="str">
        <f>IFERROR(__xludf.DUMMYFUNCTION("""COMPUTED_VALUE"""),"")</f>
        <v/>
      </c>
      <c r="U2885" s="16" t="s">
        <v>87</v>
      </c>
      <c r="V2885" s="16" t="str">
        <f>IFERROR(__xludf.DUMMYFUNCTION("""COMPUTED_VALUE"""),"")</f>
        <v/>
      </c>
      <c r="W2885" s="16" t="str">
        <f>IFERROR(__xludf.DUMMYFUNCTION("""COMPUTED_VALUE"""),"")</f>
        <v/>
      </c>
      <c r="X2885" s="16" t="str">
        <f>IFERROR(__xludf.DUMMYFUNCTION("""COMPUTED_VALUE"""),"")</f>
        <v/>
      </c>
      <c r="AC2885" s="16" t="str">
        <f>IFERROR(__xludf.DUMMYFUNCTION("""COMPUTED_VALUE"""),"")</f>
        <v/>
      </c>
    </row>
    <row r="2886">
      <c r="A2886" s="16" t="s">
        <v>87</v>
      </c>
      <c r="E2886" s="16" t="str">
        <f>IFERROR(__xludf.DUMMYFUNCTION("""COMPUTED_VALUE"""),"")</f>
        <v/>
      </c>
      <c r="G2886" s="18"/>
      <c r="H2886" s="16" t="s">
        <v>87</v>
      </c>
      <c r="I2886" s="16" t="s">
        <v>87</v>
      </c>
      <c r="J2886" s="19"/>
      <c r="L2886" s="16" t="str">
        <f>IFERROR(__xludf.DUMMYFUNCTION("""COMPUTED_VALUE"""),"")</f>
        <v/>
      </c>
      <c r="M2886" s="16" t="str">
        <f>IFERROR(__xludf.DUMMYFUNCTION("""COMPUTED_VALUE"""),"")</f>
        <v/>
      </c>
      <c r="U2886" s="16" t="s">
        <v>87</v>
      </c>
      <c r="V2886" s="16" t="str">
        <f>IFERROR(__xludf.DUMMYFUNCTION("""COMPUTED_VALUE"""),"")</f>
        <v/>
      </c>
      <c r="W2886" s="16" t="str">
        <f>IFERROR(__xludf.DUMMYFUNCTION("""COMPUTED_VALUE"""),"")</f>
        <v/>
      </c>
      <c r="X2886" s="16" t="str">
        <f>IFERROR(__xludf.DUMMYFUNCTION("""COMPUTED_VALUE"""),"")</f>
        <v/>
      </c>
      <c r="AC2886" s="16" t="str">
        <f>IFERROR(__xludf.DUMMYFUNCTION("""COMPUTED_VALUE"""),"")</f>
        <v/>
      </c>
    </row>
    <row r="2887">
      <c r="A2887" s="16" t="s">
        <v>87</v>
      </c>
      <c r="E2887" s="16" t="str">
        <f>IFERROR(__xludf.DUMMYFUNCTION("""COMPUTED_VALUE"""),"")</f>
        <v/>
      </c>
      <c r="G2887" s="18"/>
      <c r="H2887" s="16" t="s">
        <v>87</v>
      </c>
      <c r="I2887" s="16" t="s">
        <v>87</v>
      </c>
      <c r="J2887" s="19"/>
      <c r="L2887" s="16" t="str">
        <f>IFERROR(__xludf.DUMMYFUNCTION("""COMPUTED_VALUE"""),"")</f>
        <v/>
      </c>
      <c r="M2887" s="16" t="str">
        <f>IFERROR(__xludf.DUMMYFUNCTION("""COMPUTED_VALUE"""),"")</f>
        <v/>
      </c>
      <c r="U2887" s="16" t="s">
        <v>87</v>
      </c>
      <c r="V2887" s="16" t="str">
        <f>IFERROR(__xludf.DUMMYFUNCTION("""COMPUTED_VALUE"""),"")</f>
        <v/>
      </c>
      <c r="W2887" s="16" t="str">
        <f>IFERROR(__xludf.DUMMYFUNCTION("""COMPUTED_VALUE"""),"")</f>
        <v/>
      </c>
      <c r="X2887" s="16" t="str">
        <f>IFERROR(__xludf.DUMMYFUNCTION("""COMPUTED_VALUE"""),"")</f>
        <v/>
      </c>
      <c r="AC2887" s="16" t="str">
        <f>IFERROR(__xludf.DUMMYFUNCTION("""COMPUTED_VALUE"""),"")</f>
        <v/>
      </c>
    </row>
    <row r="2888">
      <c r="A2888" s="16" t="s">
        <v>87</v>
      </c>
      <c r="E2888" s="16" t="str">
        <f>IFERROR(__xludf.DUMMYFUNCTION("""COMPUTED_VALUE"""),"")</f>
        <v/>
      </c>
      <c r="G2888" s="18"/>
      <c r="H2888" s="16" t="s">
        <v>87</v>
      </c>
      <c r="I2888" s="16" t="s">
        <v>87</v>
      </c>
      <c r="J2888" s="19"/>
      <c r="L2888" s="16" t="str">
        <f>IFERROR(__xludf.DUMMYFUNCTION("""COMPUTED_VALUE"""),"")</f>
        <v/>
      </c>
      <c r="M2888" s="16" t="str">
        <f>IFERROR(__xludf.DUMMYFUNCTION("""COMPUTED_VALUE"""),"")</f>
        <v/>
      </c>
      <c r="U2888" s="16" t="s">
        <v>87</v>
      </c>
      <c r="V2888" s="16" t="str">
        <f>IFERROR(__xludf.DUMMYFUNCTION("""COMPUTED_VALUE"""),"")</f>
        <v/>
      </c>
      <c r="W2888" s="16" t="str">
        <f>IFERROR(__xludf.DUMMYFUNCTION("""COMPUTED_VALUE"""),"")</f>
        <v/>
      </c>
      <c r="X2888" s="16" t="str">
        <f>IFERROR(__xludf.DUMMYFUNCTION("""COMPUTED_VALUE"""),"")</f>
        <v/>
      </c>
      <c r="AC2888" s="16" t="str">
        <f>IFERROR(__xludf.DUMMYFUNCTION("""COMPUTED_VALUE"""),"")</f>
        <v/>
      </c>
    </row>
    <row r="2889">
      <c r="A2889" s="16" t="s">
        <v>87</v>
      </c>
      <c r="E2889" s="16" t="str">
        <f>IFERROR(__xludf.DUMMYFUNCTION("""COMPUTED_VALUE"""),"")</f>
        <v/>
      </c>
      <c r="G2889" s="18"/>
      <c r="H2889" s="16" t="s">
        <v>87</v>
      </c>
      <c r="I2889" s="16" t="s">
        <v>87</v>
      </c>
      <c r="J2889" s="19"/>
      <c r="L2889" s="16" t="str">
        <f>IFERROR(__xludf.DUMMYFUNCTION("""COMPUTED_VALUE"""),"")</f>
        <v/>
      </c>
      <c r="M2889" s="16" t="str">
        <f>IFERROR(__xludf.DUMMYFUNCTION("""COMPUTED_VALUE"""),"")</f>
        <v/>
      </c>
      <c r="U2889" s="16" t="s">
        <v>87</v>
      </c>
      <c r="V2889" s="16" t="str">
        <f>IFERROR(__xludf.DUMMYFUNCTION("""COMPUTED_VALUE"""),"")</f>
        <v/>
      </c>
      <c r="W2889" s="16" t="str">
        <f>IFERROR(__xludf.DUMMYFUNCTION("""COMPUTED_VALUE"""),"")</f>
        <v/>
      </c>
      <c r="X2889" s="16" t="str">
        <f>IFERROR(__xludf.DUMMYFUNCTION("""COMPUTED_VALUE"""),"")</f>
        <v/>
      </c>
      <c r="AC2889" s="16" t="str">
        <f>IFERROR(__xludf.DUMMYFUNCTION("""COMPUTED_VALUE"""),"")</f>
        <v/>
      </c>
    </row>
    <row r="2890">
      <c r="A2890" s="16" t="s">
        <v>87</v>
      </c>
      <c r="E2890" s="16" t="str">
        <f>IFERROR(__xludf.DUMMYFUNCTION("""COMPUTED_VALUE"""),"")</f>
        <v/>
      </c>
      <c r="G2890" s="18"/>
      <c r="H2890" s="16" t="s">
        <v>87</v>
      </c>
      <c r="I2890" s="16" t="s">
        <v>87</v>
      </c>
      <c r="J2890" s="19"/>
      <c r="L2890" s="16" t="str">
        <f>IFERROR(__xludf.DUMMYFUNCTION("""COMPUTED_VALUE"""),"")</f>
        <v/>
      </c>
      <c r="M2890" s="16" t="str">
        <f>IFERROR(__xludf.DUMMYFUNCTION("""COMPUTED_VALUE"""),"")</f>
        <v/>
      </c>
      <c r="U2890" s="16" t="s">
        <v>87</v>
      </c>
      <c r="V2890" s="16" t="str">
        <f>IFERROR(__xludf.DUMMYFUNCTION("""COMPUTED_VALUE"""),"")</f>
        <v/>
      </c>
      <c r="W2890" s="16" t="str">
        <f>IFERROR(__xludf.DUMMYFUNCTION("""COMPUTED_VALUE"""),"")</f>
        <v/>
      </c>
      <c r="X2890" s="16" t="str">
        <f>IFERROR(__xludf.DUMMYFUNCTION("""COMPUTED_VALUE"""),"")</f>
        <v/>
      </c>
      <c r="AC2890" s="16" t="str">
        <f>IFERROR(__xludf.DUMMYFUNCTION("""COMPUTED_VALUE"""),"")</f>
        <v/>
      </c>
    </row>
    <row r="2891">
      <c r="A2891" s="16" t="s">
        <v>87</v>
      </c>
      <c r="E2891" s="16" t="str">
        <f>IFERROR(__xludf.DUMMYFUNCTION("""COMPUTED_VALUE"""),"")</f>
        <v/>
      </c>
      <c r="G2891" s="18"/>
      <c r="H2891" s="16" t="s">
        <v>87</v>
      </c>
      <c r="I2891" s="16" t="s">
        <v>87</v>
      </c>
      <c r="J2891" s="19"/>
      <c r="L2891" s="16" t="str">
        <f>IFERROR(__xludf.DUMMYFUNCTION("""COMPUTED_VALUE"""),"")</f>
        <v/>
      </c>
      <c r="M2891" s="16" t="str">
        <f>IFERROR(__xludf.DUMMYFUNCTION("""COMPUTED_VALUE"""),"")</f>
        <v/>
      </c>
      <c r="U2891" s="16" t="s">
        <v>87</v>
      </c>
      <c r="V2891" s="16" t="str">
        <f>IFERROR(__xludf.DUMMYFUNCTION("""COMPUTED_VALUE"""),"")</f>
        <v/>
      </c>
      <c r="W2891" s="16" t="str">
        <f>IFERROR(__xludf.DUMMYFUNCTION("""COMPUTED_VALUE"""),"")</f>
        <v/>
      </c>
      <c r="X2891" s="16" t="str">
        <f>IFERROR(__xludf.DUMMYFUNCTION("""COMPUTED_VALUE"""),"")</f>
        <v/>
      </c>
      <c r="AC2891" s="16" t="str">
        <f>IFERROR(__xludf.DUMMYFUNCTION("""COMPUTED_VALUE"""),"")</f>
        <v/>
      </c>
    </row>
    <row r="2892">
      <c r="A2892" s="16" t="s">
        <v>87</v>
      </c>
      <c r="E2892" s="16" t="str">
        <f>IFERROR(__xludf.DUMMYFUNCTION("""COMPUTED_VALUE"""),"")</f>
        <v/>
      </c>
      <c r="G2892" s="18"/>
      <c r="H2892" s="16" t="s">
        <v>87</v>
      </c>
      <c r="I2892" s="16" t="s">
        <v>87</v>
      </c>
      <c r="J2892" s="19"/>
      <c r="L2892" s="16" t="str">
        <f>IFERROR(__xludf.DUMMYFUNCTION("""COMPUTED_VALUE"""),"")</f>
        <v/>
      </c>
      <c r="M2892" s="16" t="str">
        <f>IFERROR(__xludf.DUMMYFUNCTION("""COMPUTED_VALUE"""),"")</f>
        <v/>
      </c>
      <c r="U2892" s="16" t="s">
        <v>87</v>
      </c>
      <c r="V2892" s="16" t="str">
        <f>IFERROR(__xludf.DUMMYFUNCTION("""COMPUTED_VALUE"""),"")</f>
        <v/>
      </c>
      <c r="W2892" s="16" t="str">
        <f>IFERROR(__xludf.DUMMYFUNCTION("""COMPUTED_VALUE"""),"")</f>
        <v/>
      </c>
      <c r="X2892" s="16" t="str">
        <f>IFERROR(__xludf.DUMMYFUNCTION("""COMPUTED_VALUE"""),"")</f>
        <v/>
      </c>
      <c r="AC2892" s="16" t="str">
        <f>IFERROR(__xludf.DUMMYFUNCTION("""COMPUTED_VALUE"""),"")</f>
        <v/>
      </c>
    </row>
    <row r="2893">
      <c r="A2893" s="16" t="s">
        <v>87</v>
      </c>
      <c r="E2893" s="16" t="str">
        <f>IFERROR(__xludf.DUMMYFUNCTION("""COMPUTED_VALUE"""),"")</f>
        <v/>
      </c>
      <c r="G2893" s="18"/>
      <c r="H2893" s="16" t="s">
        <v>87</v>
      </c>
      <c r="I2893" s="16" t="s">
        <v>87</v>
      </c>
      <c r="J2893" s="19"/>
      <c r="L2893" s="16" t="str">
        <f>IFERROR(__xludf.DUMMYFUNCTION("""COMPUTED_VALUE"""),"")</f>
        <v/>
      </c>
      <c r="M2893" s="16" t="str">
        <f>IFERROR(__xludf.DUMMYFUNCTION("""COMPUTED_VALUE"""),"")</f>
        <v/>
      </c>
      <c r="U2893" s="16" t="s">
        <v>87</v>
      </c>
      <c r="V2893" s="16" t="str">
        <f>IFERROR(__xludf.DUMMYFUNCTION("""COMPUTED_VALUE"""),"")</f>
        <v/>
      </c>
      <c r="W2893" s="16" t="str">
        <f>IFERROR(__xludf.DUMMYFUNCTION("""COMPUTED_VALUE"""),"")</f>
        <v/>
      </c>
      <c r="X2893" s="16" t="str">
        <f>IFERROR(__xludf.DUMMYFUNCTION("""COMPUTED_VALUE"""),"")</f>
        <v/>
      </c>
      <c r="AC2893" s="16" t="str">
        <f>IFERROR(__xludf.DUMMYFUNCTION("""COMPUTED_VALUE"""),"")</f>
        <v/>
      </c>
    </row>
    <row r="2894">
      <c r="A2894" s="16" t="s">
        <v>87</v>
      </c>
      <c r="E2894" s="16" t="str">
        <f>IFERROR(__xludf.DUMMYFUNCTION("""COMPUTED_VALUE"""),"")</f>
        <v/>
      </c>
      <c r="G2894" s="18"/>
      <c r="H2894" s="16" t="s">
        <v>87</v>
      </c>
      <c r="I2894" s="16" t="s">
        <v>87</v>
      </c>
      <c r="J2894" s="19"/>
      <c r="L2894" s="16" t="str">
        <f>IFERROR(__xludf.DUMMYFUNCTION("""COMPUTED_VALUE"""),"")</f>
        <v/>
      </c>
      <c r="M2894" s="16" t="str">
        <f>IFERROR(__xludf.DUMMYFUNCTION("""COMPUTED_VALUE"""),"")</f>
        <v/>
      </c>
      <c r="U2894" s="16" t="s">
        <v>87</v>
      </c>
      <c r="V2894" s="16" t="str">
        <f>IFERROR(__xludf.DUMMYFUNCTION("""COMPUTED_VALUE"""),"")</f>
        <v/>
      </c>
      <c r="W2894" s="16" t="str">
        <f>IFERROR(__xludf.DUMMYFUNCTION("""COMPUTED_VALUE"""),"")</f>
        <v/>
      </c>
      <c r="X2894" s="16" t="str">
        <f>IFERROR(__xludf.DUMMYFUNCTION("""COMPUTED_VALUE"""),"")</f>
        <v/>
      </c>
      <c r="AC2894" s="16" t="str">
        <f>IFERROR(__xludf.DUMMYFUNCTION("""COMPUTED_VALUE"""),"")</f>
        <v/>
      </c>
    </row>
    <row r="2895">
      <c r="A2895" s="16" t="s">
        <v>87</v>
      </c>
      <c r="E2895" s="16" t="str">
        <f>IFERROR(__xludf.DUMMYFUNCTION("""COMPUTED_VALUE"""),"")</f>
        <v/>
      </c>
      <c r="G2895" s="18"/>
      <c r="H2895" s="16" t="s">
        <v>87</v>
      </c>
      <c r="I2895" s="16" t="s">
        <v>87</v>
      </c>
      <c r="J2895" s="19"/>
      <c r="L2895" s="16" t="str">
        <f>IFERROR(__xludf.DUMMYFUNCTION("""COMPUTED_VALUE"""),"")</f>
        <v/>
      </c>
      <c r="M2895" s="16" t="str">
        <f>IFERROR(__xludf.DUMMYFUNCTION("""COMPUTED_VALUE"""),"")</f>
        <v/>
      </c>
      <c r="U2895" s="16" t="s">
        <v>87</v>
      </c>
      <c r="V2895" s="16" t="str">
        <f>IFERROR(__xludf.DUMMYFUNCTION("""COMPUTED_VALUE"""),"")</f>
        <v/>
      </c>
      <c r="W2895" s="16" t="str">
        <f>IFERROR(__xludf.DUMMYFUNCTION("""COMPUTED_VALUE"""),"")</f>
        <v/>
      </c>
      <c r="X2895" s="16" t="str">
        <f>IFERROR(__xludf.DUMMYFUNCTION("""COMPUTED_VALUE"""),"")</f>
        <v/>
      </c>
      <c r="AC2895" s="16" t="str">
        <f>IFERROR(__xludf.DUMMYFUNCTION("""COMPUTED_VALUE"""),"")</f>
        <v/>
      </c>
    </row>
    <row r="2896">
      <c r="A2896" s="16" t="s">
        <v>87</v>
      </c>
      <c r="E2896" s="16" t="str">
        <f>IFERROR(__xludf.DUMMYFUNCTION("""COMPUTED_VALUE"""),"")</f>
        <v/>
      </c>
      <c r="G2896" s="18"/>
      <c r="H2896" s="16" t="s">
        <v>87</v>
      </c>
      <c r="I2896" s="16" t="s">
        <v>87</v>
      </c>
      <c r="J2896" s="19"/>
      <c r="L2896" s="16" t="str">
        <f>IFERROR(__xludf.DUMMYFUNCTION("""COMPUTED_VALUE"""),"")</f>
        <v/>
      </c>
      <c r="M2896" s="16" t="str">
        <f>IFERROR(__xludf.DUMMYFUNCTION("""COMPUTED_VALUE"""),"")</f>
        <v/>
      </c>
      <c r="U2896" s="16" t="s">
        <v>87</v>
      </c>
      <c r="V2896" s="16" t="str">
        <f>IFERROR(__xludf.DUMMYFUNCTION("""COMPUTED_VALUE"""),"")</f>
        <v/>
      </c>
      <c r="W2896" s="16" t="str">
        <f>IFERROR(__xludf.DUMMYFUNCTION("""COMPUTED_VALUE"""),"")</f>
        <v/>
      </c>
      <c r="X2896" s="16" t="str">
        <f>IFERROR(__xludf.DUMMYFUNCTION("""COMPUTED_VALUE"""),"")</f>
        <v/>
      </c>
      <c r="AC2896" s="16" t="str">
        <f>IFERROR(__xludf.DUMMYFUNCTION("""COMPUTED_VALUE"""),"")</f>
        <v/>
      </c>
    </row>
    <row r="2897">
      <c r="A2897" s="16" t="s">
        <v>87</v>
      </c>
      <c r="E2897" s="16" t="str">
        <f>IFERROR(__xludf.DUMMYFUNCTION("""COMPUTED_VALUE"""),"")</f>
        <v/>
      </c>
      <c r="G2897" s="18"/>
      <c r="H2897" s="16" t="s">
        <v>87</v>
      </c>
      <c r="I2897" s="16" t="s">
        <v>87</v>
      </c>
      <c r="J2897" s="19"/>
      <c r="L2897" s="16" t="str">
        <f>IFERROR(__xludf.DUMMYFUNCTION("""COMPUTED_VALUE"""),"")</f>
        <v/>
      </c>
      <c r="M2897" s="16" t="str">
        <f>IFERROR(__xludf.DUMMYFUNCTION("""COMPUTED_VALUE"""),"")</f>
        <v/>
      </c>
      <c r="U2897" s="16" t="s">
        <v>87</v>
      </c>
      <c r="V2897" s="16" t="str">
        <f>IFERROR(__xludf.DUMMYFUNCTION("""COMPUTED_VALUE"""),"")</f>
        <v/>
      </c>
      <c r="W2897" s="16" t="str">
        <f>IFERROR(__xludf.DUMMYFUNCTION("""COMPUTED_VALUE"""),"")</f>
        <v/>
      </c>
      <c r="X2897" s="16" t="str">
        <f>IFERROR(__xludf.DUMMYFUNCTION("""COMPUTED_VALUE"""),"")</f>
        <v/>
      </c>
      <c r="AC2897" s="16" t="str">
        <f>IFERROR(__xludf.DUMMYFUNCTION("""COMPUTED_VALUE"""),"")</f>
        <v/>
      </c>
    </row>
    <row r="2898">
      <c r="A2898" s="16" t="s">
        <v>87</v>
      </c>
      <c r="E2898" s="16" t="str">
        <f>IFERROR(__xludf.DUMMYFUNCTION("""COMPUTED_VALUE"""),"")</f>
        <v/>
      </c>
      <c r="G2898" s="18"/>
      <c r="H2898" s="16" t="s">
        <v>87</v>
      </c>
      <c r="I2898" s="16" t="s">
        <v>87</v>
      </c>
      <c r="J2898" s="19"/>
      <c r="L2898" s="16" t="str">
        <f>IFERROR(__xludf.DUMMYFUNCTION("""COMPUTED_VALUE"""),"")</f>
        <v/>
      </c>
      <c r="M2898" s="16" t="str">
        <f>IFERROR(__xludf.DUMMYFUNCTION("""COMPUTED_VALUE"""),"")</f>
        <v/>
      </c>
      <c r="U2898" s="16" t="s">
        <v>87</v>
      </c>
      <c r="V2898" s="16" t="str">
        <f>IFERROR(__xludf.DUMMYFUNCTION("""COMPUTED_VALUE"""),"")</f>
        <v/>
      </c>
      <c r="W2898" s="16" t="str">
        <f>IFERROR(__xludf.DUMMYFUNCTION("""COMPUTED_VALUE"""),"")</f>
        <v/>
      </c>
      <c r="X2898" s="16" t="str">
        <f>IFERROR(__xludf.DUMMYFUNCTION("""COMPUTED_VALUE"""),"")</f>
        <v/>
      </c>
      <c r="AC2898" s="16" t="str">
        <f>IFERROR(__xludf.DUMMYFUNCTION("""COMPUTED_VALUE"""),"")</f>
        <v/>
      </c>
    </row>
    <row r="2899">
      <c r="A2899" s="16" t="s">
        <v>87</v>
      </c>
      <c r="E2899" s="16" t="str">
        <f>IFERROR(__xludf.DUMMYFUNCTION("""COMPUTED_VALUE"""),"")</f>
        <v/>
      </c>
      <c r="G2899" s="18"/>
      <c r="H2899" s="16" t="s">
        <v>87</v>
      </c>
      <c r="I2899" s="16" t="s">
        <v>87</v>
      </c>
      <c r="J2899" s="19"/>
      <c r="L2899" s="16" t="str">
        <f>IFERROR(__xludf.DUMMYFUNCTION("""COMPUTED_VALUE"""),"")</f>
        <v/>
      </c>
      <c r="M2899" s="16" t="str">
        <f>IFERROR(__xludf.DUMMYFUNCTION("""COMPUTED_VALUE"""),"")</f>
        <v/>
      </c>
      <c r="U2899" s="16" t="s">
        <v>87</v>
      </c>
      <c r="V2899" s="16" t="str">
        <f>IFERROR(__xludf.DUMMYFUNCTION("""COMPUTED_VALUE"""),"")</f>
        <v/>
      </c>
      <c r="W2899" s="16" t="str">
        <f>IFERROR(__xludf.DUMMYFUNCTION("""COMPUTED_VALUE"""),"")</f>
        <v/>
      </c>
      <c r="X2899" s="16" t="str">
        <f>IFERROR(__xludf.DUMMYFUNCTION("""COMPUTED_VALUE"""),"")</f>
        <v/>
      </c>
      <c r="AC2899" s="16" t="str">
        <f>IFERROR(__xludf.DUMMYFUNCTION("""COMPUTED_VALUE"""),"")</f>
        <v/>
      </c>
    </row>
    <row r="2900">
      <c r="A2900" s="16" t="s">
        <v>87</v>
      </c>
      <c r="E2900" s="16" t="str">
        <f>IFERROR(__xludf.DUMMYFUNCTION("""COMPUTED_VALUE"""),"")</f>
        <v/>
      </c>
      <c r="G2900" s="18"/>
      <c r="H2900" s="16" t="s">
        <v>87</v>
      </c>
      <c r="I2900" s="16" t="s">
        <v>87</v>
      </c>
      <c r="J2900" s="19"/>
      <c r="L2900" s="16" t="str">
        <f>IFERROR(__xludf.DUMMYFUNCTION("""COMPUTED_VALUE"""),"")</f>
        <v/>
      </c>
      <c r="M2900" s="16" t="str">
        <f>IFERROR(__xludf.DUMMYFUNCTION("""COMPUTED_VALUE"""),"")</f>
        <v/>
      </c>
      <c r="U2900" s="16" t="s">
        <v>87</v>
      </c>
      <c r="V2900" s="16" t="str">
        <f>IFERROR(__xludf.DUMMYFUNCTION("""COMPUTED_VALUE"""),"")</f>
        <v/>
      </c>
      <c r="W2900" s="16" t="str">
        <f>IFERROR(__xludf.DUMMYFUNCTION("""COMPUTED_VALUE"""),"")</f>
        <v/>
      </c>
      <c r="X2900" s="16" t="str">
        <f>IFERROR(__xludf.DUMMYFUNCTION("""COMPUTED_VALUE"""),"")</f>
        <v/>
      </c>
      <c r="AC2900" s="16" t="str">
        <f>IFERROR(__xludf.DUMMYFUNCTION("""COMPUTED_VALUE"""),"")</f>
        <v/>
      </c>
    </row>
    <row r="2901">
      <c r="A2901" s="16" t="s">
        <v>87</v>
      </c>
      <c r="E2901" s="16" t="str">
        <f>IFERROR(__xludf.DUMMYFUNCTION("""COMPUTED_VALUE"""),"")</f>
        <v/>
      </c>
      <c r="G2901" s="18"/>
      <c r="H2901" s="16" t="s">
        <v>87</v>
      </c>
      <c r="I2901" s="16" t="s">
        <v>87</v>
      </c>
      <c r="J2901" s="19"/>
      <c r="L2901" s="16" t="str">
        <f>IFERROR(__xludf.DUMMYFUNCTION("""COMPUTED_VALUE"""),"")</f>
        <v/>
      </c>
      <c r="M2901" s="16" t="str">
        <f>IFERROR(__xludf.DUMMYFUNCTION("""COMPUTED_VALUE"""),"")</f>
        <v/>
      </c>
      <c r="U2901" s="16" t="s">
        <v>87</v>
      </c>
      <c r="V2901" s="16" t="str">
        <f>IFERROR(__xludf.DUMMYFUNCTION("""COMPUTED_VALUE"""),"")</f>
        <v/>
      </c>
      <c r="W2901" s="16" t="str">
        <f>IFERROR(__xludf.DUMMYFUNCTION("""COMPUTED_VALUE"""),"")</f>
        <v/>
      </c>
      <c r="X2901" s="16" t="str">
        <f>IFERROR(__xludf.DUMMYFUNCTION("""COMPUTED_VALUE"""),"")</f>
        <v/>
      </c>
      <c r="AC2901" s="16" t="str">
        <f>IFERROR(__xludf.DUMMYFUNCTION("""COMPUTED_VALUE"""),"")</f>
        <v/>
      </c>
    </row>
    <row r="2902">
      <c r="A2902" s="16" t="s">
        <v>87</v>
      </c>
      <c r="E2902" s="16" t="str">
        <f>IFERROR(__xludf.DUMMYFUNCTION("""COMPUTED_VALUE"""),"")</f>
        <v/>
      </c>
      <c r="G2902" s="18"/>
      <c r="H2902" s="16" t="s">
        <v>87</v>
      </c>
      <c r="I2902" s="16" t="s">
        <v>87</v>
      </c>
      <c r="J2902" s="19"/>
      <c r="L2902" s="16" t="str">
        <f>IFERROR(__xludf.DUMMYFUNCTION("""COMPUTED_VALUE"""),"")</f>
        <v/>
      </c>
      <c r="M2902" s="16" t="str">
        <f>IFERROR(__xludf.DUMMYFUNCTION("""COMPUTED_VALUE"""),"")</f>
        <v/>
      </c>
      <c r="U2902" s="16" t="s">
        <v>87</v>
      </c>
      <c r="V2902" s="16" t="str">
        <f>IFERROR(__xludf.DUMMYFUNCTION("""COMPUTED_VALUE"""),"")</f>
        <v/>
      </c>
      <c r="W2902" s="16" t="str">
        <f>IFERROR(__xludf.DUMMYFUNCTION("""COMPUTED_VALUE"""),"")</f>
        <v/>
      </c>
      <c r="X2902" s="16" t="str">
        <f>IFERROR(__xludf.DUMMYFUNCTION("""COMPUTED_VALUE"""),"")</f>
        <v/>
      </c>
      <c r="AC2902" s="16" t="str">
        <f>IFERROR(__xludf.DUMMYFUNCTION("""COMPUTED_VALUE"""),"")</f>
        <v/>
      </c>
    </row>
    <row r="2903">
      <c r="A2903" s="16" t="s">
        <v>87</v>
      </c>
      <c r="E2903" s="16" t="str">
        <f>IFERROR(__xludf.DUMMYFUNCTION("""COMPUTED_VALUE"""),"")</f>
        <v/>
      </c>
      <c r="G2903" s="18"/>
      <c r="H2903" s="16" t="s">
        <v>87</v>
      </c>
      <c r="I2903" s="16" t="s">
        <v>87</v>
      </c>
      <c r="J2903" s="19"/>
      <c r="L2903" s="16" t="str">
        <f>IFERROR(__xludf.DUMMYFUNCTION("""COMPUTED_VALUE"""),"")</f>
        <v/>
      </c>
      <c r="M2903" s="16" t="str">
        <f>IFERROR(__xludf.DUMMYFUNCTION("""COMPUTED_VALUE"""),"")</f>
        <v/>
      </c>
      <c r="U2903" s="16" t="s">
        <v>87</v>
      </c>
      <c r="V2903" s="16" t="str">
        <f>IFERROR(__xludf.DUMMYFUNCTION("""COMPUTED_VALUE"""),"")</f>
        <v/>
      </c>
      <c r="W2903" s="16" t="str">
        <f>IFERROR(__xludf.DUMMYFUNCTION("""COMPUTED_VALUE"""),"")</f>
        <v/>
      </c>
      <c r="X2903" s="16" t="str">
        <f>IFERROR(__xludf.DUMMYFUNCTION("""COMPUTED_VALUE"""),"")</f>
        <v/>
      </c>
      <c r="AC2903" s="16" t="str">
        <f>IFERROR(__xludf.DUMMYFUNCTION("""COMPUTED_VALUE"""),"")</f>
        <v/>
      </c>
    </row>
    <row r="2904">
      <c r="A2904" s="16" t="s">
        <v>87</v>
      </c>
      <c r="E2904" s="16" t="str">
        <f>IFERROR(__xludf.DUMMYFUNCTION("""COMPUTED_VALUE"""),"")</f>
        <v/>
      </c>
      <c r="G2904" s="18"/>
      <c r="H2904" s="16" t="s">
        <v>87</v>
      </c>
      <c r="I2904" s="16" t="s">
        <v>87</v>
      </c>
      <c r="J2904" s="19"/>
      <c r="L2904" s="16" t="str">
        <f>IFERROR(__xludf.DUMMYFUNCTION("""COMPUTED_VALUE"""),"")</f>
        <v/>
      </c>
      <c r="M2904" s="16" t="str">
        <f>IFERROR(__xludf.DUMMYFUNCTION("""COMPUTED_VALUE"""),"")</f>
        <v/>
      </c>
      <c r="U2904" s="16" t="s">
        <v>87</v>
      </c>
      <c r="V2904" s="16" t="str">
        <f>IFERROR(__xludf.DUMMYFUNCTION("""COMPUTED_VALUE"""),"")</f>
        <v/>
      </c>
      <c r="W2904" s="16" t="str">
        <f>IFERROR(__xludf.DUMMYFUNCTION("""COMPUTED_VALUE"""),"")</f>
        <v/>
      </c>
      <c r="X2904" s="16" t="str">
        <f>IFERROR(__xludf.DUMMYFUNCTION("""COMPUTED_VALUE"""),"")</f>
        <v/>
      </c>
      <c r="AC2904" s="16" t="str">
        <f>IFERROR(__xludf.DUMMYFUNCTION("""COMPUTED_VALUE"""),"")</f>
        <v/>
      </c>
    </row>
    <row r="2905">
      <c r="A2905" s="16" t="s">
        <v>87</v>
      </c>
      <c r="E2905" s="16" t="str">
        <f>IFERROR(__xludf.DUMMYFUNCTION("""COMPUTED_VALUE"""),"")</f>
        <v/>
      </c>
      <c r="G2905" s="18"/>
      <c r="H2905" s="16" t="s">
        <v>87</v>
      </c>
      <c r="I2905" s="16" t="s">
        <v>87</v>
      </c>
      <c r="J2905" s="19"/>
      <c r="L2905" s="16" t="str">
        <f>IFERROR(__xludf.DUMMYFUNCTION("""COMPUTED_VALUE"""),"")</f>
        <v/>
      </c>
      <c r="M2905" s="16" t="str">
        <f>IFERROR(__xludf.DUMMYFUNCTION("""COMPUTED_VALUE"""),"")</f>
        <v/>
      </c>
      <c r="U2905" s="16" t="s">
        <v>87</v>
      </c>
      <c r="V2905" s="16" t="str">
        <f>IFERROR(__xludf.DUMMYFUNCTION("""COMPUTED_VALUE"""),"")</f>
        <v/>
      </c>
      <c r="W2905" s="16" t="str">
        <f>IFERROR(__xludf.DUMMYFUNCTION("""COMPUTED_VALUE"""),"")</f>
        <v/>
      </c>
      <c r="X2905" s="16" t="str">
        <f>IFERROR(__xludf.DUMMYFUNCTION("""COMPUTED_VALUE"""),"")</f>
        <v/>
      </c>
      <c r="AC2905" s="16" t="str">
        <f>IFERROR(__xludf.DUMMYFUNCTION("""COMPUTED_VALUE"""),"")</f>
        <v/>
      </c>
    </row>
    <row r="2906">
      <c r="A2906" s="16" t="s">
        <v>87</v>
      </c>
      <c r="E2906" s="16" t="str">
        <f>IFERROR(__xludf.DUMMYFUNCTION("""COMPUTED_VALUE"""),"")</f>
        <v/>
      </c>
      <c r="G2906" s="18"/>
      <c r="H2906" s="16" t="s">
        <v>87</v>
      </c>
      <c r="I2906" s="16" t="s">
        <v>87</v>
      </c>
      <c r="J2906" s="19"/>
      <c r="L2906" s="16" t="str">
        <f>IFERROR(__xludf.DUMMYFUNCTION("""COMPUTED_VALUE"""),"")</f>
        <v/>
      </c>
      <c r="M2906" s="16" t="str">
        <f>IFERROR(__xludf.DUMMYFUNCTION("""COMPUTED_VALUE"""),"")</f>
        <v/>
      </c>
      <c r="U2906" s="16" t="s">
        <v>87</v>
      </c>
      <c r="V2906" s="16" t="str">
        <f>IFERROR(__xludf.DUMMYFUNCTION("""COMPUTED_VALUE"""),"")</f>
        <v/>
      </c>
      <c r="W2906" s="16" t="str">
        <f>IFERROR(__xludf.DUMMYFUNCTION("""COMPUTED_VALUE"""),"")</f>
        <v/>
      </c>
      <c r="X2906" s="16" t="str">
        <f>IFERROR(__xludf.DUMMYFUNCTION("""COMPUTED_VALUE"""),"")</f>
        <v/>
      </c>
      <c r="AC2906" s="16" t="str">
        <f>IFERROR(__xludf.DUMMYFUNCTION("""COMPUTED_VALUE"""),"")</f>
        <v/>
      </c>
    </row>
    <row r="2907">
      <c r="A2907" s="16" t="s">
        <v>87</v>
      </c>
      <c r="E2907" s="16" t="str">
        <f>IFERROR(__xludf.DUMMYFUNCTION("""COMPUTED_VALUE"""),"")</f>
        <v/>
      </c>
      <c r="G2907" s="18"/>
      <c r="H2907" s="16" t="s">
        <v>87</v>
      </c>
      <c r="I2907" s="16" t="s">
        <v>87</v>
      </c>
      <c r="J2907" s="19"/>
      <c r="L2907" s="16" t="str">
        <f>IFERROR(__xludf.DUMMYFUNCTION("""COMPUTED_VALUE"""),"")</f>
        <v/>
      </c>
      <c r="M2907" s="16" t="str">
        <f>IFERROR(__xludf.DUMMYFUNCTION("""COMPUTED_VALUE"""),"")</f>
        <v/>
      </c>
      <c r="U2907" s="16" t="s">
        <v>87</v>
      </c>
      <c r="V2907" s="16" t="str">
        <f>IFERROR(__xludf.DUMMYFUNCTION("""COMPUTED_VALUE"""),"")</f>
        <v/>
      </c>
      <c r="W2907" s="16" t="str">
        <f>IFERROR(__xludf.DUMMYFUNCTION("""COMPUTED_VALUE"""),"")</f>
        <v/>
      </c>
      <c r="X2907" s="16" t="str">
        <f>IFERROR(__xludf.DUMMYFUNCTION("""COMPUTED_VALUE"""),"")</f>
        <v/>
      </c>
      <c r="AC2907" s="16" t="str">
        <f>IFERROR(__xludf.DUMMYFUNCTION("""COMPUTED_VALUE"""),"")</f>
        <v/>
      </c>
    </row>
    <row r="2908">
      <c r="A2908" s="16" t="s">
        <v>87</v>
      </c>
      <c r="E2908" s="16" t="str">
        <f>IFERROR(__xludf.DUMMYFUNCTION("""COMPUTED_VALUE"""),"")</f>
        <v/>
      </c>
      <c r="G2908" s="18"/>
      <c r="H2908" s="16" t="s">
        <v>87</v>
      </c>
      <c r="I2908" s="16" t="s">
        <v>87</v>
      </c>
      <c r="J2908" s="19"/>
      <c r="L2908" s="16" t="str">
        <f>IFERROR(__xludf.DUMMYFUNCTION("""COMPUTED_VALUE"""),"")</f>
        <v/>
      </c>
      <c r="M2908" s="16" t="str">
        <f>IFERROR(__xludf.DUMMYFUNCTION("""COMPUTED_VALUE"""),"")</f>
        <v/>
      </c>
      <c r="U2908" s="16" t="s">
        <v>87</v>
      </c>
      <c r="V2908" s="16" t="str">
        <f>IFERROR(__xludf.DUMMYFUNCTION("""COMPUTED_VALUE"""),"")</f>
        <v/>
      </c>
      <c r="W2908" s="16" t="str">
        <f>IFERROR(__xludf.DUMMYFUNCTION("""COMPUTED_VALUE"""),"")</f>
        <v/>
      </c>
      <c r="X2908" s="16" t="str">
        <f>IFERROR(__xludf.DUMMYFUNCTION("""COMPUTED_VALUE"""),"")</f>
        <v/>
      </c>
      <c r="AC2908" s="16" t="str">
        <f>IFERROR(__xludf.DUMMYFUNCTION("""COMPUTED_VALUE"""),"")</f>
        <v/>
      </c>
    </row>
    <row r="2909">
      <c r="A2909" s="16" t="s">
        <v>87</v>
      </c>
      <c r="E2909" s="16" t="str">
        <f>IFERROR(__xludf.DUMMYFUNCTION("""COMPUTED_VALUE"""),"")</f>
        <v/>
      </c>
      <c r="G2909" s="18"/>
      <c r="H2909" s="16" t="s">
        <v>87</v>
      </c>
      <c r="I2909" s="16" t="s">
        <v>87</v>
      </c>
      <c r="J2909" s="19"/>
      <c r="L2909" s="16" t="str">
        <f>IFERROR(__xludf.DUMMYFUNCTION("""COMPUTED_VALUE"""),"")</f>
        <v/>
      </c>
      <c r="M2909" s="16" t="str">
        <f>IFERROR(__xludf.DUMMYFUNCTION("""COMPUTED_VALUE"""),"")</f>
        <v/>
      </c>
      <c r="U2909" s="16" t="s">
        <v>87</v>
      </c>
      <c r="V2909" s="16" t="str">
        <f>IFERROR(__xludf.DUMMYFUNCTION("""COMPUTED_VALUE"""),"")</f>
        <v/>
      </c>
      <c r="W2909" s="16" t="str">
        <f>IFERROR(__xludf.DUMMYFUNCTION("""COMPUTED_VALUE"""),"")</f>
        <v/>
      </c>
      <c r="X2909" s="16" t="str">
        <f>IFERROR(__xludf.DUMMYFUNCTION("""COMPUTED_VALUE"""),"")</f>
        <v/>
      </c>
      <c r="AC2909" s="16" t="str">
        <f>IFERROR(__xludf.DUMMYFUNCTION("""COMPUTED_VALUE"""),"")</f>
        <v/>
      </c>
    </row>
    <row r="2910">
      <c r="A2910" s="16" t="s">
        <v>87</v>
      </c>
      <c r="E2910" s="16" t="str">
        <f>IFERROR(__xludf.DUMMYFUNCTION("""COMPUTED_VALUE"""),"")</f>
        <v/>
      </c>
      <c r="G2910" s="18"/>
      <c r="H2910" s="16" t="s">
        <v>87</v>
      </c>
      <c r="I2910" s="16" t="s">
        <v>87</v>
      </c>
      <c r="J2910" s="19"/>
      <c r="L2910" s="16" t="str">
        <f>IFERROR(__xludf.DUMMYFUNCTION("""COMPUTED_VALUE"""),"")</f>
        <v/>
      </c>
      <c r="M2910" s="16" t="str">
        <f>IFERROR(__xludf.DUMMYFUNCTION("""COMPUTED_VALUE"""),"")</f>
        <v/>
      </c>
      <c r="U2910" s="16" t="s">
        <v>87</v>
      </c>
      <c r="V2910" s="16" t="str">
        <f>IFERROR(__xludf.DUMMYFUNCTION("""COMPUTED_VALUE"""),"")</f>
        <v/>
      </c>
      <c r="W2910" s="16" t="str">
        <f>IFERROR(__xludf.DUMMYFUNCTION("""COMPUTED_VALUE"""),"")</f>
        <v/>
      </c>
      <c r="X2910" s="16" t="str">
        <f>IFERROR(__xludf.DUMMYFUNCTION("""COMPUTED_VALUE"""),"")</f>
        <v/>
      </c>
      <c r="AC2910" s="16" t="str">
        <f>IFERROR(__xludf.DUMMYFUNCTION("""COMPUTED_VALUE"""),"")</f>
        <v/>
      </c>
    </row>
    <row r="2911">
      <c r="A2911" s="16" t="s">
        <v>87</v>
      </c>
      <c r="E2911" s="16" t="str">
        <f>IFERROR(__xludf.DUMMYFUNCTION("""COMPUTED_VALUE"""),"")</f>
        <v/>
      </c>
      <c r="G2911" s="18"/>
      <c r="H2911" s="16" t="s">
        <v>87</v>
      </c>
      <c r="I2911" s="16" t="s">
        <v>87</v>
      </c>
      <c r="J2911" s="19"/>
      <c r="L2911" s="16" t="str">
        <f>IFERROR(__xludf.DUMMYFUNCTION("""COMPUTED_VALUE"""),"")</f>
        <v/>
      </c>
      <c r="M2911" s="16" t="str">
        <f>IFERROR(__xludf.DUMMYFUNCTION("""COMPUTED_VALUE"""),"")</f>
        <v/>
      </c>
      <c r="U2911" s="16" t="s">
        <v>87</v>
      </c>
      <c r="V2911" s="16" t="str">
        <f>IFERROR(__xludf.DUMMYFUNCTION("""COMPUTED_VALUE"""),"")</f>
        <v/>
      </c>
      <c r="W2911" s="16" t="str">
        <f>IFERROR(__xludf.DUMMYFUNCTION("""COMPUTED_VALUE"""),"")</f>
        <v/>
      </c>
      <c r="X2911" s="16" t="str">
        <f>IFERROR(__xludf.DUMMYFUNCTION("""COMPUTED_VALUE"""),"")</f>
        <v/>
      </c>
      <c r="AC2911" s="16" t="str">
        <f>IFERROR(__xludf.DUMMYFUNCTION("""COMPUTED_VALUE"""),"")</f>
        <v/>
      </c>
    </row>
    <row r="2912">
      <c r="A2912" s="16" t="s">
        <v>87</v>
      </c>
      <c r="E2912" s="16" t="str">
        <f>IFERROR(__xludf.DUMMYFUNCTION("""COMPUTED_VALUE"""),"")</f>
        <v/>
      </c>
      <c r="G2912" s="18"/>
      <c r="H2912" s="16" t="s">
        <v>87</v>
      </c>
      <c r="I2912" s="16" t="s">
        <v>87</v>
      </c>
      <c r="J2912" s="19"/>
      <c r="L2912" s="16" t="str">
        <f>IFERROR(__xludf.DUMMYFUNCTION("""COMPUTED_VALUE"""),"")</f>
        <v/>
      </c>
      <c r="M2912" s="16" t="str">
        <f>IFERROR(__xludf.DUMMYFUNCTION("""COMPUTED_VALUE"""),"")</f>
        <v/>
      </c>
      <c r="U2912" s="16" t="s">
        <v>87</v>
      </c>
      <c r="V2912" s="16" t="str">
        <f>IFERROR(__xludf.DUMMYFUNCTION("""COMPUTED_VALUE"""),"")</f>
        <v/>
      </c>
      <c r="W2912" s="16" t="str">
        <f>IFERROR(__xludf.DUMMYFUNCTION("""COMPUTED_VALUE"""),"")</f>
        <v/>
      </c>
      <c r="X2912" s="16" t="str">
        <f>IFERROR(__xludf.DUMMYFUNCTION("""COMPUTED_VALUE"""),"")</f>
        <v/>
      </c>
      <c r="AC2912" s="16" t="str">
        <f>IFERROR(__xludf.DUMMYFUNCTION("""COMPUTED_VALUE"""),"")</f>
        <v/>
      </c>
    </row>
    <row r="2913">
      <c r="A2913" s="16" t="s">
        <v>87</v>
      </c>
      <c r="E2913" s="16" t="str">
        <f>IFERROR(__xludf.DUMMYFUNCTION("""COMPUTED_VALUE"""),"")</f>
        <v/>
      </c>
      <c r="G2913" s="18"/>
      <c r="H2913" s="16" t="s">
        <v>87</v>
      </c>
      <c r="I2913" s="16" t="s">
        <v>87</v>
      </c>
      <c r="J2913" s="19"/>
      <c r="L2913" s="16" t="str">
        <f>IFERROR(__xludf.DUMMYFUNCTION("""COMPUTED_VALUE"""),"")</f>
        <v/>
      </c>
      <c r="M2913" s="16" t="str">
        <f>IFERROR(__xludf.DUMMYFUNCTION("""COMPUTED_VALUE"""),"")</f>
        <v/>
      </c>
      <c r="U2913" s="16" t="s">
        <v>87</v>
      </c>
      <c r="V2913" s="16" t="str">
        <f>IFERROR(__xludf.DUMMYFUNCTION("""COMPUTED_VALUE"""),"")</f>
        <v/>
      </c>
      <c r="W2913" s="16" t="str">
        <f>IFERROR(__xludf.DUMMYFUNCTION("""COMPUTED_VALUE"""),"")</f>
        <v/>
      </c>
      <c r="X2913" s="16" t="str">
        <f>IFERROR(__xludf.DUMMYFUNCTION("""COMPUTED_VALUE"""),"")</f>
        <v/>
      </c>
      <c r="AC2913" s="16" t="str">
        <f>IFERROR(__xludf.DUMMYFUNCTION("""COMPUTED_VALUE"""),"")</f>
        <v/>
      </c>
    </row>
    <row r="2914">
      <c r="A2914" s="16" t="s">
        <v>87</v>
      </c>
      <c r="E2914" s="16" t="str">
        <f>IFERROR(__xludf.DUMMYFUNCTION("""COMPUTED_VALUE"""),"")</f>
        <v/>
      </c>
      <c r="G2914" s="18"/>
      <c r="H2914" s="16" t="s">
        <v>87</v>
      </c>
      <c r="I2914" s="16" t="s">
        <v>87</v>
      </c>
      <c r="J2914" s="19"/>
      <c r="L2914" s="16" t="str">
        <f>IFERROR(__xludf.DUMMYFUNCTION("""COMPUTED_VALUE"""),"")</f>
        <v/>
      </c>
      <c r="M2914" s="16" t="str">
        <f>IFERROR(__xludf.DUMMYFUNCTION("""COMPUTED_VALUE"""),"")</f>
        <v/>
      </c>
      <c r="U2914" s="16" t="s">
        <v>87</v>
      </c>
      <c r="V2914" s="16" t="str">
        <f>IFERROR(__xludf.DUMMYFUNCTION("""COMPUTED_VALUE"""),"")</f>
        <v/>
      </c>
      <c r="W2914" s="16" t="str">
        <f>IFERROR(__xludf.DUMMYFUNCTION("""COMPUTED_VALUE"""),"")</f>
        <v/>
      </c>
      <c r="X2914" s="16" t="str">
        <f>IFERROR(__xludf.DUMMYFUNCTION("""COMPUTED_VALUE"""),"")</f>
        <v/>
      </c>
      <c r="AC2914" s="16" t="str">
        <f>IFERROR(__xludf.DUMMYFUNCTION("""COMPUTED_VALUE"""),"")</f>
        <v/>
      </c>
    </row>
    <row r="2915">
      <c r="A2915" s="16" t="s">
        <v>87</v>
      </c>
      <c r="E2915" s="16" t="str">
        <f>IFERROR(__xludf.DUMMYFUNCTION("""COMPUTED_VALUE"""),"")</f>
        <v/>
      </c>
      <c r="G2915" s="18"/>
      <c r="H2915" s="16" t="s">
        <v>87</v>
      </c>
      <c r="I2915" s="16" t="s">
        <v>87</v>
      </c>
      <c r="J2915" s="19"/>
      <c r="L2915" s="16" t="str">
        <f>IFERROR(__xludf.DUMMYFUNCTION("""COMPUTED_VALUE"""),"")</f>
        <v/>
      </c>
      <c r="M2915" s="16" t="str">
        <f>IFERROR(__xludf.DUMMYFUNCTION("""COMPUTED_VALUE"""),"")</f>
        <v/>
      </c>
      <c r="U2915" s="16" t="s">
        <v>87</v>
      </c>
      <c r="V2915" s="16" t="str">
        <f>IFERROR(__xludf.DUMMYFUNCTION("""COMPUTED_VALUE"""),"")</f>
        <v/>
      </c>
      <c r="W2915" s="16" t="str">
        <f>IFERROR(__xludf.DUMMYFUNCTION("""COMPUTED_VALUE"""),"")</f>
        <v/>
      </c>
      <c r="X2915" s="16" t="str">
        <f>IFERROR(__xludf.DUMMYFUNCTION("""COMPUTED_VALUE"""),"")</f>
        <v/>
      </c>
      <c r="AC2915" s="16" t="str">
        <f>IFERROR(__xludf.DUMMYFUNCTION("""COMPUTED_VALUE"""),"")</f>
        <v/>
      </c>
    </row>
    <row r="2916">
      <c r="A2916" s="16" t="s">
        <v>87</v>
      </c>
      <c r="E2916" s="16" t="str">
        <f>IFERROR(__xludf.DUMMYFUNCTION("""COMPUTED_VALUE"""),"")</f>
        <v/>
      </c>
      <c r="G2916" s="18"/>
      <c r="H2916" s="16" t="s">
        <v>87</v>
      </c>
      <c r="I2916" s="16" t="s">
        <v>87</v>
      </c>
      <c r="J2916" s="19"/>
      <c r="L2916" s="16" t="str">
        <f>IFERROR(__xludf.DUMMYFUNCTION("""COMPUTED_VALUE"""),"")</f>
        <v/>
      </c>
      <c r="M2916" s="16" t="str">
        <f>IFERROR(__xludf.DUMMYFUNCTION("""COMPUTED_VALUE"""),"")</f>
        <v/>
      </c>
      <c r="U2916" s="16" t="s">
        <v>87</v>
      </c>
      <c r="V2916" s="16" t="str">
        <f>IFERROR(__xludf.DUMMYFUNCTION("""COMPUTED_VALUE"""),"")</f>
        <v/>
      </c>
      <c r="W2916" s="16" t="str">
        <f>IFERROR(__xludf.DUMMYFUNCTION("""COMPUTED_VALUE"""),"")</f>
        <v/>
      </c>
      <c r="X2916" s="16" t="str">
        <f>IFERROR(__xludf.DUMMYFUNCTION("""COMPUTED_VALUE"""),"")</f>
        <v/>
      </c>
      <c r="AC2916" s="16" t="str">
        <f>IFERROR(__xludf.DUMMYFUNCTION("""COMPUTED_VALUE"""),"")</f>
        <v/>
      </c>
    </row>
    <row r="2917">
      <c r="A2917" s="16" t="s">
        <v>87</v>
      </c>
      <c r="E2917" s="16" t="str">
        <f>IFERROR(__xludf.DUMMYFUNCTION("""COMPUTED_VALUE"""),"")</f>
        <v/>
      </c>
      <c r="G2917" s="18"/>
      <c r="H2917" s="16" t="s">
        <v>87</v>
      </c>
      <c r="I2917" s="16" t="s">
        <v>87</v>
      </c>
      <c r="J2917" s="19"/>
      <c r="L2917" s="16" t="str">
        <f>IFERROR(__xludf.DUMMYFUNCTION("""COMPUTED_VALUE"""),"")</f>
        <v/>
      </c>
      <c r="M2917" s="16" t="str">
        <f>IFERROR(__xludf.DUMMYFUNCTION("""COMPUTED_VALUE"""),"")</f>
        <v/>
      </c>
      <c r="U2917" s="16" t="s">
        <v>87</v>
      </c>
      <c r="V2917" s="16" t="str">
        <f>IFERROR(__xludf.DUMMYFUNCTION("""COMPUTED_VALUE"""),"")</f>
        <v/>
      </c>
      <c r="W2917" s="16" t="str">
        <f>IFERROR(__xludf.DUMMYFUNCTION("""COMPUTED_VALUE"""),"")</f>
        <v/>
      </c>
      <c r="X2917" s="16" t="str">
        <f>IFERROR(__xludf.DUMMYFUNCTION("""COMPUTED_VALUE"""),"")</f>
        <v/>
      </c>
      <c r="AC2917" s="16" t="str">
        <f>IFERROR(__xludf.DUMMYFUNCTION("""COMPUTED_VALUE"""),"")</f>
        <v/>
      </c>
    </row>
    <row r="2918">
      <c r="A2918" s="16" t="s">
        <v>87</v>
      </c>
      <c r="E2918" s="16" t="str">
        <f>IFERROR(__xludf.DUMMYFUNCTION("""COMPUTED_VALUE"""),"")</f>
        <v/>
      </c>
      <c r="G2918" s="18"/>
      <c r="H2918" s="16" t="s">
        <v>87</v>
      </c>
      <c r="I2918" s="16" t="s">
        <v>87</v>
      </c>
      <c r="J2918" s="19"/>
      <c r="L2918" s="16" t="str">
        <f>IFERROR(__xludf.DUMMYFUNCTION("""COMPUTED_VALUE"""),"")</f>
        <v/>
      </c>
      <c r="M2918" s="16" t="str">
        <f>IFERROR(__xludf.DUMMYFUNCTION("""COMPUTED_VALUE"""),"")</f>
        <v/>
      </c>
      <c r="U2918" s="16" t="s">
        <v>87</v>
      </c>
      <c r="V2918" s="16" t="str">
        <f>IFERROR(__xludf.DUMMYFUNCTION("""COMPUTED_VALUE"""),"")</f>
        <v/>
      </c>
      <c r="W2918" s="16" t="str">
        <f>IFERROR(__xludf.DUMMYFUNCTION("""COMPUTED_VALUE"""),"")</f>
        <v/>
      </c>
      <c r="X2918" s="16" t="str">
        <f>IFERROR(__xludf.DUMMYFUNCTION("""COMPUTED_VALUE"""),"")</f>
        <v/>
      </c>
      <c r="AC2918" s="16" t="str">
        <f>IFERROR(__xludf.DUMMYFUNCTION("""COMPUTED_VALUE"""),"")</f>
        <v/>
      </c>
    </row>
    <row r="2919">
      <c r="A2919" s="16" t="s">
        <v>87</v>
      </c>
      <c r="E2919" s="16" t="str">
        <f>IFERROR(__xludf.DUMMYFUNCTION("""COMPUTED_VALUE"""),"")</f>
        <v/>
      </c>
      <c r="G2919" s="18"/>
      <c r="H2919" s="16" t="s">
        <v>87</v>
      </c>
      <c r="I2919" s="16" t="s">
        <v>87</v>
      </c>
      <c r="J2919" s="19"/>
      <c r="L2919" s="16" t="str">
        <f>IFERROR(__xludf.DUMMYFUNCTION("""COMPUTED_VALUE"""),"")</f>
        <v/>
      </c>
      <c r="M2919" s="16" t="str">
        <f>IFERROR(__xludf.DUMMYFUNCTION("""COMPUTED_VALUE"""),"")</f>
        <v/>
      </c>
      <c r="U2919" s="16" t="s">
        <v>87</v>
      </c>
      <c r="V2919" s="16" t="str">
        <f>IFERROR(__xludf.DUMMYFUNCTION("""COMPUTED_VALUE"""),"")</f>
        <v/>
      </c>
      <c r="W2919" s="16" t="str">
        <f>IFERROR(__xludf.DUMMYFUNCTION("""COMPUTED_VALUE"""),"")</f>
        <v/>
      </c>
      <c r="X2919" s="16" t="str">
        <f>IFERROR(__xludf.DUMMYFUNCTION("""COMPUTED_VALUE"""),"")</f>
        <v/>
      </c>
      <c r="AC2919" s="16" t="str">
        <f>IFERROR(__xludf.DUMMYFUNCTION("""COMPUTED_VALUE"""),"")</f>
        <v/>
      </c>
    </row>
    <row r="2920">
      <c r="A2920" s="16" t="s">
        <v>87</v>
      </c>
      <c r="E2920" s="16" t="str">
        <f>IFERROR(__xludf.DUMMYFUNCTION("""COMPUTED_VALUE"""),"")</f>
        <v/>
      </c>
      <c r="G2920" s="18"/>
      <c r="H2920" s="16" t="s">
        <v>87</v>
      </c>
      <c r="I2920" s="16" t="s">
        <v>87</v>
      </c>
      <c r="J2920" s="19"/>
      <c r="L2920" s="16" t="str">
        <f>IFERROR(__xludf.DUMMYFUNCTION("""COMPUTED_VALUE"""),"")</f>
        <v/>
      </c>
      <c r="M2920" s="16" t="str">
        <f>IFERROR(__xludf.DUMMYFUNCTION("""COMPUTED_VALUE"""),"")</f>
        <v/>
      </c>
      <c r="U2920" s="16" t="s">
        <v>87</v>
      </c>
      <c r="V2920" s="16" t="str">
        <f>IFERROR(__xludf.DUMMYFUNCTION("""COMPUTED_VALUE"""),"")</f>
        <v/>
      </c>
      <c r="W2920" s="16" t="str">
        <f>IFERROR(__xludf.DUMMYFUNCTION("""COMPUTED_VALUE"""),"")</f>
        <v/>
      </c>
      <c r="X2920" s="16" t="str">
        <f>IFERROR(__xludf.DUMMYFUNCTION("""COMPUTED_VALUE"""),"")</f>
        <v/>
      </c>
      <c r="AC2920" s="16" t="str">
        <f>IFERROR(__xludf.DUMMYFUNCTION("""COMPUTED_VALUE"""),"")</f>
        <v/>
      </c>
    </row>
    <row r="2921">
      <c r="A2921" s="16" t="s">
        <v>87</v>
      </c>
      <c r="E2921" s="16" t="str">
        <f>IFERROR(__xludf.DUMMYFUNCTION("""COMPUTED_VALUE"""),"")</f>
        <v/>
      </c>
      <c r="G2921" s="18"/>
      <c r="H2921" s="16" t="s">
        <v>87</v>
      </c>
      <c r="I2921" s="16" t="s">
        <v>87</v>
      </c>
      <c r="J2921" s="19"/>
      <c r="L2921" s="16" t="str">
        <f>IFERROR(__xludf.DUMMYFUNCTION("""COMPUTED_VALUE"""),"")</f>
        <v/>
      </c>
      <c r="M2921" s="16" t="str">
        <f>IFERROR(__xludf.DUMMYFUNCTION("""COMPUTED_VALUE"""),"")</f>
        <v/>
      </c>
      <c r="U2921" s="16" t="s">
        <v>87</v>
      </c>
      <c r="V2921" s="16" t="str">
        <f>IFERROR(__xludf.DUMMYFUNCTION("""COMPUTED_VALUE"""),"")</f>
        <v/>
      </c>
      <c r="W2921" s="16" t="str">
        <f>IFERROR(__xludf.DUMMYFUNCTION("""COMPUTED_VALUE"""),"")</f>
        <v/>
      </c>
      <c r="X2921" s="16" t="str">
        <f>IFERROR(__xludf.DUMMYFUNCTION("""COMPUTED_VALUE"""),"")</f>
        <v/>
      </c>
      <c r="AC2921" s="16" t="str">
        <f>IFERROR(__xludf.DUMMYFUNCTION("""COMPUTED_VALUE"""),"")</f>
        <v/>
      </c>
    </row>
    <row r="2922">
      <c r="A2922" s="16" t="s">
        <v>87</v>
      </c>
      <c r="E2922" s="16" t="str">
        <f>IFERROR(__xludf.DUMMYFUNCTION("""COMPUTED_VALUE"""),"")</f>
        <v/>
      </c>
      <c r="G2922" s="18"/>
      <c r="H2922" s="16" t="s">
        <v>87</v>
      </c>
      <c r="I2922" s="16" t="s">
        <v>87</v>
      </c>
      <c r="J2922" s="19"/>
      <c r="L2922" s="16" t="str">
        <f>IFERROR(__xludf.DUMMYFUNCTION("""COMPUTED_VALUE"""),"")</f>
        <v/>
      </c>
      <c r="M2922" s="16" t="str">
        <f>IFERROR(__xludf.DUMMYFUNCTION("""COMPUTED_VALUE"""),"")</f>
        <v/>
      </c>
      <c r="U2922" s="16" t="s">
        <v>87</v>
      </c>
      <c r="V2922" s="16" t="str">
        <f>IFERROR(__xludf.DUMMYFUNCTION("""COMPUTED_VALUE"""),"")</f>
        <v/>
      </c>
      <c r="W2922" s="16" t="str">
        <f>IFERROR(__xludf.DUMMYFUNCTION("""COMPUTED_VALUE"""),"")</f>
        <v/>
      </c>
      <c r="X2922" s="16" t="str">
        <f>IFERROR(__xludf.DUMMYFUNCTION("""COMPUTED_VALUE"""),"")</f>
        <v/>
      </c>
      <c r="AC2922" s="16" t="str">
        <f>IFERROR(__xludf.DUMMYFUNCTION("""COMPUTED_VALUE"""),"")</f>
        <v/>
      </c>
    </row>
    <row r="2923">
      <c r="A2923" s="16" t="s">
        <v>87</v>
      </c>
      <c r="E2923" s="16" t="str">
        <f>IFERROR(__xludf.DUMMYFUNCTION("""COMPUTED_VALUE"""),"")</f>
        <v/>
      </c>
      <c r="G2923" s="18"/>
      <c r="H2923" s="16" t="s">
        <v>87</v>
      </c>
      <c r="I2923" s="16" t="s">
        <v>87</v>
      </c>
      <c r="J2923" s="19"/>
      <c r="L2923" s="16" t="str">
        <f>IFERROR(__xludf.DUMMYFUNCTION("""COMPUTED_VALUE"""),"")</f>
        <v/>
      </c>
      <c r="M2923" s="16" t="str">
        <f>IFERROR(__xludf.DUMMYFUNCTION("""COMPUTED_VALUE"""),"")</f>
        <v/>
      </c>
      <c r="U2923" s="16" t="s">
        <v>87</v>
      </c>
      <c r="V2923" s="16" t="str">
        <f>IFERROR(__xludf.DUMMYFUNCTION("""COMPUTED_VALUE"""),"")</f>
        <v/>
      </c>
      <c r="W2923" s="16" t="str">
        <f>IFERROR(__xludf.DUMMYFUNCTION("""COMPUTED_VALUE"""),"")</f>
        <v/>
      </c>
      <c r="X2923" s="16" t="str">
        <f>IFERROR(__xludf.DUMMYFUNCTION("""COMPUTED_VALUE"""),"")</f>
        <v/>
      </c>
      <c r="AC2923" s="16" t="str">
        <f>IFERROR(__xludf.DUMMYFUNCTION("""COMPUTED_VALUE"""),"")</f>
        <v/>
      </c>
    </row>
    <row r="2924">
      <c r="A2924" s="16" t="s">
        <v>87</v>
      </c>
      <c r="E2924" s="16" t="str">
        <f>IFERROR(__xludf.DUMMYFUNCTION("""COMPUTED_VALUE"""),"")</f>
        <v/>
      </c>
      <c r="G2924" s="18"/>
      <c r="H2924" s="16" t="s">
        <v>87</v>
      </c>
      <c r="I2924" s="16" t="s">
        <v>87</v>
      </c>
      <c r="J2924" s="19"/>
      <c r="L2924" s="16" t="str">
        <f>IFERROR(__xludf.DUMMYFUNCTION("""COMPUTED_VALUE"""),"")</f>
        <v/>
      </c>
      <c r="M2924" s="16" t="str">
        <f>IFERROR(__xludf.DUMMYFUNCTION("""COMPUTED_VALUE"""),"")</f>
        <v/>
      </c>
      <c r="U2924" s="16" t="s">
        <v>87</v>
      </c>
      <c r="V2924" s="16" t="str">
        <f>IFERROR(__xludf.DUMMYFUNCTION("""COMPUTED_VALUE"""),"")</f>
        <v/>
      </c>
      <c r="W2924" s="16" t="str">
        <f>IFERROR(__xludf.DUMMYFUNCTION("""COMPUTED_VALUE"""),"")</f>
        <v/>
      </c>
      <c r="X2924" s="16" t="str">
        <f>IFERROR(__xludf.DUMMYFUNCTION("""COMPUTED_VALUE"""),"")</f>
        <v/>
      </c>
      <c r="AC2924" s="16" t="str">
        <f>IFERROR(__xludf.DUMMYFUNCTION("""COMPUTED_VALUE"""),"")</f>
        <v/>
      </c>
    </row>
    <row r="2925">
      <c r="A2925" s="16" t="s">
        <v>87</v>
      </c>
      <c r="E2925" s="16" t="str">
        <f>IFERROR(__xludf.DUMMYFUNCTION("""COMPUTED_VALUE"""),"")</f>
        <v/>
      </c>
      <c r="G2925" s="18"/>
      <c r="H2925" s="16" t="s">
        <v>87</v>
      </c>
      <c r="I2925" s="16" t="s">
        <v>87</v>
      </c>
      <c r="J2925" s="19"/>
      <c r="L2925" s="16" t="str">
        <f>IFERROR(__xludf.DUMMYFUNCTION("""COMPUTED_VALUE"""),"")</f>
        <v/>
      </c>
      <c r="M2925" s="16" t="str">
        <f>IFERROR(__xludf.DUMMYFUNCTION("""COMPUTED_VALUE"""),"")</f>
        <v/>
      </c>
      <c r="U2925" s="16" t="s">
        <v>87</v>
      </c>
      <c r="V2925" s="16" t="str">
        <f>IFERROR(__xludf.DUMMYFUNCTION("""COMPUTED_VALUE"""),"")</f>
        <v/>
      </c>
      <c r="W2925" s="16" t="str">
        <f>IFERROR(__xludf.DUMMYFUNCTION("""COMPUTED_VALUE"""),"")</f>
        <v/>
      </c>
      <c r="X2925" s="16" t="str">
        <f>IFERROR(__xludf.DUMMYFUNCTION("""COMPUTED_VALUE"""),"")</f>
        <v/>
      </c>
      <c r="AC2925" s="16" t="str">
        <f>IFERROR(__xludf.DUMMYFUNCTION("""COMPUTED_VALUE"""),"")</f>
        <v/>
      </c>
    </row>
    <row r="2926">
      <c r="A2926" s="16" t="s">
        <v>87</v>
      </c>
      <c r="E2926" s="16" t="str">
        <f>IFERROR(__xludf.DUMMYFUNCTION("""COMPUTED_VALUE"""),"")</f>
        <v/>
      </c>
      <c r="G2926" s="18"/>
      <c r="H2926" s="16" t="s">
        <v>87</v>
      </c>
      <c r="I2926" s="16" t="s">
        <v>87</v>
      </c>
      <c r="J2926" s="19"/>
      <c r="L2926" s="16" t="str">
        <f>IFERROR(__xludf.DUMMYFUNCTION("""COMPUTED_VALUE"""),"")</f>
        <v/>
      </c>
      <c r="M2926" s="16" t="str">
        <f>IFERROR(__xludf.DUMMYFUNCTION("""COMPUTED_VALUE"""),"")</f>
        <v/>
      </c>
      <c r="U2926" s="16" t="s">
        <v>87</v>
      </c>
      <c r="V2926" s="16" t="str">
        <f>IFERROR(__xludf.DUMMYFUNCTION("""COMPUTED_VALUE"""),"")</f>
        <v/>
      </c>
      <c r="W2926" s="16" t="str">
        <f>IFERROR(__xludf.DUMMYFUNCTION("""COMPUTED_VALUE"""),"")</f>
        <v/>
      </c>
      <c r="X2926" s="16" t="str">
        <f>IFERROR(__xludf.DUMMYFUNCTION("""COMPUTED_VALUE"""),"")</f>
        <v/>
      </c>
      <c r="AC2926" s="16" t="str">
        <f>IFERROR(__xludf.DUMMYFUNCTION("""COMPUTED_VALUE"""),"")</f>
        <v/>
      </c>
    </row>
    <row r="2927">
      <c r="A2927" s="16" t="s">
        <v>87</v>
      </c>
      <c r="E2927" s="16" t="str">
        <f>IFERROR(__xludf.DUMMYFUNCTION("""COMPUTED_VALUE"""),"")</f>
        <v/>
      </c>
      <c r="G2927" s="18"/>
      <c r="H2927" s="16" t="s">
        <v>87</v>
      </c>
      <c r="I2927" s="16" t="s">
        <v>87</v>
      </c>
      <c r="J2927" s="19"/>
      <c r="L2927" s="16" t="str">
        <f>IFERROR(__xludf.DUMMYFUNCTION("""COMPUTED_VALUE"""),"")</f>
        <v/>
      </c>
      <c r="M2927" s="16" t="str">
        <f>IFERROR(__xludf.DUMMYFUNCTION("""COMPUTED_VALUE"""),"")</f>
        <v/>
      </c>
      <c r="U2927" s="16" t="s">
        <v>87</v>
      </c>
      <c r="V2927" s="16" t="str">
        <f>IFERROR(__xludf.DUMMYFUNCTION("""COMPUTED_VALUE"""),"")</f>
        <v/>
      </c>
      <c r="W2927" s="16" t="str">
        <f>IFERROR(__xludf.DUMMYFUNCTION("""COMPUTED_VALUE"""),"")</f>
        <v/>
      </c>
      <c r="X2927" s="16" t="str">
        <f>IFERROR(__xludf.DUMMYFUNCTION("""COMPUTED_VALUE"""),"")</f>
        <v/>
      </c>
      <c r="AC2927" s="16" t="str">
        <f>IFERROR(__xludf.DUMMYFUNCTION("""COMPUTED_VALUE"""),"")</f>
        <v/>
      </c>
    </row>
    <row r="2928">
      <c r="A2928" s="16" t="s">
        <v>87</v>
      </c>
      <c r="E2928" s="16" t="str">
        <f>IFERROR(__xludf.DUMMYFUNCTION("""COMPUTED_VALUE"""),"")</f>
        <v/>
      </c>
      <c r="G2928" s="18"/>
      <c r="H2928" s="16" t="s">
        <v>87</v>
      </c>
      <c r="I2928" s="16" t="s">
        <v>87</v>
      </c>
      <c r="J2928" s="19"/>
      <c r="L2928" s="16" t="str">
        <f>IFERROR(__xludf.DUMMYFUNCTION("""COMPUTED_VALUE"""),"")</f>
        <v/>
      </c>
      <c r="M2928" s="16" t="str">
        <f>IFERROR(__xludf.DUMMYFUNCTION("""COMPUTED_VALUE"""),"")</f>
        <v/>
      </c>
      <c r="U2928" s="16" t="s">
        <v>87</v>
      </c>
      <c r="V2928" s="16" t="str">
        <f>IFERROR(__xludf.DUMMYFUNCTION("""COMPUTED_VALUE"""),"")</f>
        <v/>
      </c>
      <c r="W2928" s="16" t="str">
        <f>IFERROR(__xludf.DUMMYFUNCTION("""COMPUTED_VALUE"""),"")</f>
        <v/>
      </c>
      <c r="X2928" s="16" t="str">
        <f>IFERROR(__xludf.DUMMYFUNCTION("""COMPUTED_VALUE"""),"")</f>
        <v/>
      </c>
      <c r="AC2928" s="16" t="str">
        <f>IFERROR(__xludf.DUMMYFUNCTION("""COMPUTED_VALUE"""),"")</f>
        <v/>
      </c>
    </row>
    <row r="2929">
      <c r="A2929" s="16" t="s">
        <v>87</v>
      </c>
      <c r="E2929" s="16" t="str">
        <f>IFERROR(__xludf.DUMMYFUNCTION("""COMPUTED_VALUE"""),"")</f>
        <v/>
      </c>
      <c r="G2929" s="18"/>
      <c r="H2929" s="16" t="s">
        <v>87</v>
      </c>
      <c r="I2929" s="16" t="s">
        <v>87</v>
      </c>
      <c r="J2929" s="19"/>
      <c r="L2929" s="16" t="str">
        <f>IFERROR(__xludf.DUMMYFUNCTION("""COMPUTED_VALUE"""),"")</f>
        <v/>
      </c>
      <c r="M2929" s="16" t="str">
        <f>IFERROR(__xludf.DUMMYFUNCTION("""COMPUTED_VALUE"""),"")</f>
        <v/>
      </c>
      <c r="U2929" s="16" t="s">
        <v>87</v>
      </c>
      <c r="V2929" s="16" t="str">
        <f>IFERROR(__xludf.DUMMYFUNCTION("""COMPUTED_VALUE"""),"")</f>
        <v/>
      </c>
      <c r="W2929" s="16" t="str">
        <f>IFERROR(__xludf.DUMMYFUNCTION("""COMPUTED_VALUE"""),"")</f>
        <v/>
      </c>
      <c r="X2929" s="16" t="str">
        <f>IFERROR(__xludf.DUMMYFUNCTION("""COMPUTED_VALUE"""),"")</f>
        <v/>
      </c>
      <c r="AC2929" s="16" t="str">
        <f>IFERROR(__xludf.DUMMYFUNCTION("""COMPUTED_VALUE"""),"")</f>
        <v/>
      </c>
    </row>
    <row r="2930">
      <c r="A2930" s="16" t="s">
        <v>87</v>
      </c>
      <c r="E2930" s="16" t="str">
        <f>IFERROR(__xludf.DUMMYFUNCTION("""COMPUTED_VALUE"""),"")</f>
        <v/>
      </c>
      <c r="G2930" s="18"/>
      <c r="H2930" s="16" t="s">
        <v>87</v>
      </c>
      <c r="I2930" s="16" t="s">
        <v>87</v>
      </c>
      <c r="J2930" s="19"/>
      <c r="L2930" s="16" t="str">
        <f>IFERROR(__xludf.DUMMYFUNCTION("""COMPUTED_VALUE"""),"")</f>
        <v/>
      </c>
      <c r="M2930" s="16" t="str">
        <f>IFERROR(__xludf.DUMMYFUNCTION("""COMPUTED_VALUE"""),"")</f>
        <v/>
      </c>
      <c r="U2930" s="16" t="s">
        <v>87</v>
      </c>
      <c r="V2930" s="16" t="str">
        <f>IFERROR(__xludf.DUMMYFUNCTION("""COMPUTED_VALUE"""),"")</f>
        <v/>
      </c>
      <c r="W2930" s="16" t="str">
        <f>IFERROR(__xludf.DUMMYFUNCTION("""COMPUTED_VALUE"""),"")</f>
        <v/>
      </c>
      <c r="X2930" s="16" t="str">
        <f>IFERROR(__xludf.DUMMYFUNCTION("""COMPUTED_VALUE"""),"")</f>
        <v/>
      </c>
      <c r="AC2930" s="16" t="str">
        <f>IFERROR(__xludf.DUMMYFUNCTION("""COMPUTED_VALUE"""),"")</f>
        <v/>
      </c>
    </row>
    <row r="2931">
      <c r="A2931" s="16" t="s">
        <v>87</v>
      </c>
      <c r="E2931" s="16" t="str">
        <f>IFERROR(__xludf.DUMMYFUNCTION("""COMPUTED_VALUE"""),"")</f>
        <v/>
      </c>
      <c r="G2931" s="18"/>
      <c r="H2931" s="16" t="s">
        <v>87</v>
      </c>
      <c r="I2931" s="16" t="s">
        <v>87</v>
      </c>
      <c r="J2931" s="19"/>
      <c r="L2931" s="16" t="str">
        <f>IFERROR(__xludf.DUMMYFUNCTION("""COMPUTED_VALUE"""),"")</f>
        <v/>
      </c>
      <c r="M2931" s="16" t="str">
        <f>IFERROR(__xludf.DUMMYFUNCTION("""COMPUTED_VALUE"""),"")</f>
        <v/>
      </c>
      <c r="U2931" s="16" t="s">
        <v>87</v>
      </c>
      <c r="V2931" s="16" t="str">
        <f>IFERROR(__xludf.DUMMYFUNCTION("""COMPUTED_VALUE"""),"")</f>
        <v/>
      </c>
      <c r="W2931" s="16" t="str">
        <f>IFERROR(__xludf.DUMMYFUNCTION("""COMPUTED_VALUE"""),"")</f>
        <v/>
      </c>
      <c r="X2931" s="16" t="str">
        <f>IFERROR(__xludf.DUMMYFUNCTION("""COMPUTED_VALUE"""),"")</f>
        <v/>
      </c>
      <c r="AC2931" s="16" t="str">
        <f>IFERROR(__xludf.DUMMYFUNCTION("""COMPUTED_VALUE"""),"")</f>
        <v/>
      </c>
    </row>
    <row r="2932">
      <c r="A2932" s="16" t="s">
        <v>87</v>
      </c>
      <c r="E2932" s="16" t="str">
        <f>IFERROR(__xludf.DUMMYFUNCTION("""COMPUTED_VALUE"""),"")</f>
        <v/>
      </c>
      <c r="G2932" s="18"/>
      <c r="H2932" s="16" t="s">
        <v>87</v>
      </c>
      <c r="I2932" s="16" t="s">
        <v>87</v>
      </c>
      <c r="J2932" s="19"/>
      <c r="L2932" s="16" t="str">
        <f>IFERROR(__xludf.DUMMYFUNCTION("""COMPUTED_VALUE"""),"")</f>
        <v/>
      </c>
      <c r="M2932" s="16" t="str">
        <f>IFERROR(__xludf.DUMMYFUNCTION("""COMPUTED_VALUE"""),"")</f>
        <v/>
      </c>
      <c r="U2932" s="16" t="s">
        <v>87</v>
      </c>
      <c r="V2932" s="16" t="str">
        <f>IFERROR(__xludf.DUMMYFUNCTION("""COMPUTED_VALUE"""),"")</f>
        <v/>
      </c>
      <c r="W2932" s="16" t="str">
        <f>IFERROR(__xludf.DUMMYFUNCTION("""COMPUTED_VALUE"""),"")</f>
        <v/>
      </c>
      <c r="X2932" s="16" t="str">
        <f>IFERROR(__xludf.DUMMYFUNCTION("""COMPUTED_VALUE"""),"")</f>
        <v/>
      </c>
      <c r="AC2932" s="16" t="str">
        <f>IFERROR(__xludf.DUMMYFUNCTION("""COMPUTED_VALUE"""),"")</f>
        <v/>
      </c>
    </row>
    <row r="2933">
      <c r="A2933" s="16" t="s">
        <v>87</v>
      </c>
      <c r="E2933" s="16" t="str">
        <f>IFERROR(__xludf.DUMMYFUNCTION("""COMPUTED_VALUE"""),"")</f>
        <v/>
      </c>
      <c r="G2933" s="18"/>
      <c r="H2933" s="16" t="s">
        <v>87</v>
      </c>
      <c r="I2933" s="16" t="s">
        <v>87</v>
      </c>
      <c r="J2933" s="19"/>
      <c r="L2933" s="16" t="str">
        <f>IFERROR(__xludf.DUMMYFUNCTION("""COMPUTED_VALUE"""),"")</f>
        <v/>
      </c>
      <c r="M2933" s="16" t="str">
        <f>IFERROR(__xludf.DUMMYFUNCTION("""COMPUTED_VALUE"""),"")</f>
        <v/>
      </c>
      <c r="U2933" s="16" t="s">
        <v>87</v>
      </c>
      <c r="V2933" s="16" t="str">
        <f>IFERROR(__xludf.DUMMYFUNCTION("""COMPUTED_VALUE"""),"")</f>
        <v/>
      </c>
      <c r="W2933" s="16" t="str">
        <f>IFERROR(__xludf.DUMMYFUNCTION("""COMPUTED_VALUE"""),"")</f>
        <v/>
      </c>
      <c r="X2933" s="16" t="str">
        <f>IFERROR(__xludf.DUMMYFUNCTION("""COMPUTED_VALUE"""),"")</f>
        <v/>
      </c>
      <c r="AC2933" s="16" t="str">
        <f>IFERROR(__xludf.DUMMYFUNCTION("""COMPUTED_VALUE"""),"")</f>
        <v/>
      </c>
    </row>
    <row r="2934">
      <c r="A2934" s="16" t="s">
        <v>87</v>
      </c>
      <c r="E2934" s="16" t="str">
        <f>IFERROR(__xludf.DUMMYFUNCTION("""COMPUTED_VALUE"""),"")</f>
        <v/>
      </c>
      <c r="G2934" s="18"/>
      <c r="H2934" s="16" t="s">
        <v>87</v>
      </c>
      <c r="I2934" s="16" t="s">
        <v>87</v>
      </c>
      <c r="J2934" s="19"/>
      <c r="L2934" s="16" t="str">
        <f>IFERROR(__xludf.DUMMYFUNCTION("""COMPUTED_VALUE"""),"")</f>
        <v/>
      </c>
      <c r="M2934" s="16" t="str">
        <f>IFERROR(__xludf.DUMMYFUNCTION("""COMPUTED_VALUE"""),"")</f>
        <v/>
      </c>
      <c r="U2934" s="16" t="s">
        <v>87</v>
      </c>
      <c r="V2934" s="16" t="str">
        <f>IFERROR(__xludf.DUMMYFUNCTION("""COMPUTED_VALUE"""),"")</f>
        <v/>
      </c>
      <c r="W2934" s="16" t="str">
        <f>IFERROR(__xludf.DUMMYFUNCTION("""COMPUTED_VALUE"""),"")</f>
        <v/>
      </c>
      <c r="X2934" s="16" t="str">
        <f>IFERROR(__xludf.DUMMYFUNCTION("""COMPUTED_VALUE"""),"")</f>
        <v/>
      </c>
      <c r="AC2934" s="16" t="str">
        <f>IFERROR(__xludf.DUMMYFUNCTION("""COMPUTED_VALUE"""),"")</f>
        <v/>
      </c>
    </row>
    <row r="2935">
      <c r="A2935" s="16" t="s">
        <v>87</v>
      </c>
      <c r="E2935" s="16" t="str">
        <f>IFERROR(__xludf.DUMMYFUNCTION("""COMPUTED_VALUE"""),"")</f>
        <v/>
      </c>
      <c r="G2935" s="18"/>
      <c r="H2935" s="16" t="s">
        <v>87</v>
      </c>
      <c r="I2935" s="16" t="s">
        <v>87</v>
      </c>
      <c r="J2935" s="19"/>
      <c r="L2935" s="16" t="str">
        <f>IFERROR(__xludf.DUMMYFUNCTION("""COMPUTED_VALUE"""),"")</f>
        <v/>
      </c>
      <c r="M2935" s="16" t="str">
        <f>IFERROR(__xludf.DUMMYFUNCTION("""COMPUTED_VALUE"""),"")</f>
        <v/>
      </c>
      <c r="U2935" s="16" t="s">
        <v>87</v>
      </c>
      <c r="V2935" s="16" t="str">
        <f>IFERROR(__xludf.DUMMYFUNCTION("""COMPUTED_VALUE"""),"")</f>
        <v/>
      </c>
      <c r="W2935" s="16" t="str">
        <f>IFERROR(__xludf.DUMMYFUNCTION("""COMPUTED_VALUE"""),"")</f>
        <v/>
      </c>
      <c r="X2935" s="16" t="str">
        <f>IFERROR(__xludf.DUMMYFUNCTION("""COMPUTED_VALUE"""),"")</f>
        <v/>
      </c>
      <c r="AC2935" s="16" t="str">
        <f>IFERROR(__xludf.DUMMYFUNCTION("""COMPUTED_VALUE"""),"")</f>
        <v/>
      </c>
    </row>
    <row r="2936">
      <c r="A2936" s="16" t="s">
        <v>87</v>
      </c>
      <c r="E2936" s="16" t="str">
        <f>IFERROR(__xludf.DUMMYFUNCTION("""COMPUTED_VALUE"""),"")</f>
        <v/>
      </c>
      <c r="G2936" s="18"/>
      <c r="H2936" s="16" t="s">
        <v>87</v>
      </c>
      <c r="I2936" s="16" t="s">
        <v>87</v>
      </c>
      <c r="J2936" s="19"/>
      <c r="L2936" s="16" t="str">
        <f>IFERROR(__xludf.DUMMYFUNCTION("""COMPUTED_VALUE"""),"")</f>
        <v/>
      </c>
      <c r="M2936" s="16" t="str">
        <f>IFERROR(__xludf.DUMMYFUNCTION("""COMPUTED_VALUE"""),"")</f>
        <v/>
      </c>
      <c r="U2936" s="16" t="s">
        <v>87</v>
      </c>
      <c r="V2936" s="16" t="str">
        <f>IFERROR(__xludf.DUMMYFUNCTION("""COMPUTED_VALUE"""),"")</f>
        <v/>
      </c>
      <c r="W2936" s="16" t="str">
        <f>IFERROR(__xludf.DUMMYFUNCTION("""COMPUTED_VALUE"""),"")</f>
        <v/>
      </c>
      <c r="X2936" s="16" t="str">
        <f>IFERROR(__xludf.DUMMYFUNCTION("""COMPUTED_VALUE"""),"")</f>
        <v/>
      </c>
      <c r="AC2936" s="16" t="str">
        <f>IFERROR(__xludf.DUMMYFUNCTION("""COMPUTED_VALUE"""),"")</f>
        <v/>
      </c>
    </row>
    <row r="2937">
      <c r="A2937" s="16" t="s">
        <v>87</v>
      </c>
      <c r="E2937" s="16" t="str">
        <f>IFERROR(__xludf.DUMMYFUNCTION("""COMPUTED_VALUE"""),"")</f>
        <v/>
      </c>
      <c r="G2937" s="18"/>
      <c r="H2937" s="16" t="s">
        <v>87</v>
      </c>
      <c r="I2937" s="16" t="s">
        <v>87</v>
      </c>
      <c r="J2937" s="19"/>
      <c r="L2937" s="16" t="str">
        <f>IFERROR(__xludf.DUMMYFUNCTION("""COMPUTED_VALUE"""),"")</f>
        <v/>
      </c>
      <c r="M2937" s="16" t="str">
        <f>IFERROR(__xludf.DUMMYFUNCTION("""COMPUTED_VALUE"""),"")</f>
        <v/>
      </c>
      <c r="U2937" s="16" t="s">
        <v>87</v>
      </c>
      <c r="V2937" s="16" t="str">
        <f>IFERROR(__xludf.DUMMYFUNCTION("""COMPUTED_VALUE"""),"")</f>
        <v/>
      </c>
      <c r="W2937" s="16" t="str">
        <f>IFERROR(__xludf.DUMMYFUNCTION("""COMPUTED_VALUE"""),"")</f>
        <v/>
      </c>
      <c r="X2937" s="16" t="str">
        <f>IFERROR(__xludf.DUMMYFUNCTION("""COMPUTED_VALUE"""),"")</f>
        <v/>
      </c>
      <c r="AC2937" s="16" t="str">
        <f>IFERROR(__xludf.DUMMYFUNCTION("""COMPUTED_VALUE"""),"")</f>
        <v/>
      </c>
    </row>
    <row r="2938">
      <c r="A2938" s="16" t="s">
        <v>87</v>
      </c>
      <c r="E2938" s="16" t="str">
        <f>IFERROR(__xludf.DUMMYFUNCTION("""COMPUTED_VALUE"""),"")</f>
        <v/>
      </c>
      <c r="G2938" s="18"/>
      <c r="H2938" s="16" t="s">
        <v>87</v>
      </c>
      <c r="I2938" s="16" t="s">
        <v>87</v>
      </c>
      <c r="J2938" s="19"/>
      <c r="L2938" s="16" t="str">
        <f>IFERROR(__xludf.DUMMYFUNCTION("""COMPUTED_VALUE"""),"")</f>
        <v/>
      </c>
      <c r="M2938" s="16" t="str">
        <f>IFERROR(__xludf.DUMMYFUNCTION("""COMPUTED_VALUE"""),"")</f>
        <v/>
      </c>
      <c r="U2938" s="16" t="s">
        <v>87</v>
      </c>
      <c r="V2938" s="16" t="str">
        <f>IFERROR(__xludf.DUMMYFUNCTION("""COMPUTED_VALUE"""),"")</f>
        <v/>
      </c>
      <c r="W2938" s="16" t="str">
        <f>IFERROR(__xludf.DUMMYFUNCTION("""COMPUTED_VALUE"""),"")</f>
        <v/>
      </c>
      <c r="X2938" s="16" t="str">
        <f>IFERROR(__xludf.DUMMYFUNCTION("""COMPUTED_VALUE"""),"")</f>
        <v/>
      </c>
      <c r="AC2938" s="16" t="str">
        <f>IFERROR(__xludf.DUMMYFUNCTION("""COMPUTED_VALUE"""),"")</f>
        <v/>
      </c>
    </row>
    <row r="2939">
      <c r="A2939" s="16" t="s">
        <v>87</v>
      </c>
      <c r="E2939" s="16" t="str">
        <f>IFERROR(__xludf.DUMMYFUNCTION("""COMPUTED_VALUE"""),"")</f>
        <v/>
      </c>
      <c r="G2939" s="18"/>
      <c r="H2939" s="16" t="s">
        <v>87</v>
      </c>
      <c r="I2939" s="16" t="s">
        <v>87</v>
      </c>
      <c r="J2939" s="19"/>
      <c r="L2939" s="16" t="str">
        <f>IFERROR(__xludf.DUMMYFUNCTION("""COMPUTED_VALUE"""),"")</f>
        <v/>
      </c>
      <c r="M2939" s="16" t="str">
        <f>IFERROR(__xludf.DUMMYFUNCTION("""COMPUTED_VALUE"""),"")</f>
        <v/>
      </c>
      <c r="U2939" s="16" t="s">
        <v>87</v>
      </c>
      <c r="V2939" s="16" t="str">
        <f>IFERROR(__xludf.DUMMYFUNCTION("""COMPUTED_VALUE"""),"")</f>
        <v/>
      </c>
      <c r="W2939" s="16" t="str">
        <f>IFERROR(__xludf.DUMMYFUNCTION("""COMPUTED_VALUE"""),"")</f>
        <v/>
      </c>
      <c r="X2939" s="16" t="str">
        <f>IFERROR(__xludf.DUMMYFUNCTION("""COMPUTED_VALUE"""),"")</f>
        <v/>
      </c>
      <c r="AC2939" s="16" t="str">
        <f>IFERROR(__xludf.DUMMYFUNCTION("""COMPUTED_VALUE"""),"")</f>
        <v/>
      </c>
    </row>
    <row r="2940">
      <c r="A2940" s="16" t="s">
        <v>87</v>
      </c>
      <c r="E2940" s="16" t="str">
        <f>IFERROR(__xludf.DUMMYFUNCTION("""COMPUTED_VALUE"""),"")</f>
        <v/>
      </c>
      <c r="G2940" s="18"/>
      <c r="H2940" s="16" t="s">
        <v>87</v>
      </c>
      <c r="I2940" s="16" t="s">
        <v>87</v>
      </c>
      <c r="J2940" s="19"/>
      <c r="L2940" s="16" t="str">
        <f>IFERROR(__xludf.DUMMYFUNCTION("""COMPUTED_VALUE"""),"")</f>
        <v/>
      </c>
      <c r="M2940" s="16" t="str">
        <f>IFERROR(__xludf.DUMMYFUNCTION("""COMPUTED_VALUE"""),"")</f>
        <v/>
      </c>
      <c r="U2940" s="16" t="s">
        <v>87</v>
      </c>
      <c r="V2940" s="16" t="str">
        <f>IFERROR(__xludf.DUMMYFUNCTION("""COMPUTED_VALUE"""),"")</f>
        <v/>
      </c>
      <c r="W2940" s="16" t="str">
        <f>IFERROR(__xludf.DUMMYFUNCTION("""COMPUTED_VALUE"""),"")</f>
        <v/>
      </c>
      <c r="X2940" s="16" t="str">
        <f>IFERROR(__xludf.DUMMYFUNCTION("""COMPUTED_VALUE"""),"")</f>
        <v/>
      </c>
      <c r="AC2940" s="16" t="str">
        <f>IFERROR(__xludf.DUMMYFUNCTION("""COMPUTED_VALUE"""),"")</f>
        <v/>
      </c>
    </row>
    <row r="2941">
      <c r="A2941" s="16" t="s">
        <v>87</v>
      </c>
      <c r="E2941" s="16" t="str">
        <f>IFERROR(__xludf.DUMMYFUNCTION("""COMPUTED_VALUE"""),"")</f>
        <v/>
      </c>
      <c r="G2941" s="18"/>
      <c r="H2941" s="16" t="s">
        <v>87</v>
      </c>
      <c r="I2941" s="16" t="s">
        <v>87</v>
      </c>
      <c r="J2941" s="19"/>
      <c r="L2941" s="16" t="str">
        <f>IFERROR(__xludf.DUMMYFUNCTION("""COMPUTED_VALUE"""),"")</f>
        <v/>
      </c>
      <c r="M2941" s="16" t="str">
        <f>IFERROR(__xludf.DUMMYFUNCTION("""COMPUTED_VALUE"""),"")</f>
        <v/>
      </c>
      <c r="U2941" s="16" t="s">
        <v>87</v>
      </c>
      <c r="V2941" s="16" t="str">
        <f>IFERROR(__xludf.DUMMYFUNCTION("""COMPUTED_VALUE"""),"")</f>
        <v/>
      </c>
      <c r="W2941" s="16" t="str">
        <f>IFERROR(__xludf.DUMMYFUNCTION("""COMPUTED_VALUE"""),"")</f>
        <v/>
      </c>
      <c r="X2941" s="16" t="str">
        <f>IFERROR(__xludf.DUMMYFUNCTION("""COMPUTED_VALUE"""),"")</f>
        <v/>
      </c>
      <c r="AC2941" s="16" t="str">
        <f>IFERROR(__xludf.DUMMYFUNCTION("""COMPUTED_VALUE"""),"")</f>
        <v/>
      </c>
    </row>
    <row r="2942">
      <c r="A2942" s="16" t="s">
        <v>87</v>
      </c>
      <c r="E2942" s="16" t="str">
        <f>IFERROR(__xludf.DUMMYFUNCTION("""COMPUTED_VALUE"""),"")</f>
        <v/>
      </c>
      <c r="G2942" s="18"/>
      <c r="H2942" s="16" t="s">
        <v>87</v>
      </c>
      <c r="I2942" s="16" t="s">
        <v>87</v>
      </c>
      <c r="J2942" s="19"/>
      <c r="L2942" s="16" t="str">
        <f>IFERROR(__xludf.DUMMYFUNCTION("""COMPUTED_VALUE"""),"")</f>
        <v/>
      </c>
      <c r="M2942" s="16" t="str">
        <f>IFERROR(__xludf.DUMMYFUNCTION("""COMPUTED_VALUE"""),"")</f>
        <v/>
      </c>
      <c r="U2942" s="16" t="s">
        <v>87</v>
      </c>
      <c r="V2942" s="16" t="str">
        <f>IFERROR(__xludf.DUMMYFUNCTION("""COMPUTED_VALUE"""),"")</f>
        <v/>
      </c>
      <c r="W2942" s="16" t="str">
        <f>IFERROR(__xludf.DUMMYFUNCTION("""COMPUTED_VALUE"""),"")</f>
        <v/>
      </c>
      <c r="X2942" s="16" t="str">
        <f>IFERROR(__xludf.DUMMYFUNCTION("""COMPUTED_VALUE"""),"")</f>
        <v/>
      </c>
      <c r="AC2942" s="16" t="str">
        <f>IFERROR(__xludf.DUMMYFUNCTION("""COMPUTED_VALUE"""),"")</f>
        <v/>
      </c>
    </row>
    <row r="2943">
      <c r="A2943" s="16" t="s">
        <v>87</v>
      </c>
      <c r="E2943" s="16" t="str">
        <f>IFERROR(__xludf.DUMMYFUNCTION("""COMPUTED_VALUE"""),"")</f>
        <v/>
      </c>
      <c r="G2943" s="18"/>
      <c r="H2943" s="16" t="s">
        <v>87</v>
      </c>
      <c r="I2943" s="16" t="s">
        <v>87</v>
      </c>
      <c r="J2943" s="19"/>
      <c r="L2943" s="16" t="str">
        <f>IFERROR(__xludf.DUMMYFUNCTION("""COMPUTED_VALUE"""),"")</f>
        <v/>
      </c>
      <c r="M2943" s="16" t="str">
        <f>IFERROR(__xludf.DUMMYFUNCTION("""COMPUTED_VALUE"""),"")</f>
        <v/>
      </c>
      <c r="U2943" s="16" t="s">
        <v>87</v>
      </c>
      <c r="V2943" s="16" t="str">
        <f>IFERROR(__xludf.DUMMYFUNCTION("""COMPUTED_VALUE"""),"")</f>
        <v/>
      </c>
      <c r="W2943" s="16" t="str">
        <f>IFERROR(__xludf.DUMMYFUNCTION("""COMPUTED_VALUE"""),"")</f>
        <v/>
      </c>
      <c r="X2943" s="16" t="str">
        <f>IFERROR(__xludf.DUMMYFUNCTION("""COMPUTED_VALUE"""),"")</f>
        <v/>
      </c>
      <c r="AC2943" s="16" t="str">
        <f>IFERROR(__xludf.DUMMYFUNCTION("""COMPUTED_VALUE"""),"")</f>
        <v/>
      </c>
    </row>
    <row r="2944">
      <c r="A2944" s="16" t="s">
        <v>87</v>
      </c>
      <c r="E2944" s="16" t="str">
        <f>IFERROR(__xludf.DUMMYFUNCTION("""COMPUTED_VALUE"""),"")</f>
        <v/>
      </c>
      <c r="G2944" s="18"/>
      <c r="H2944" s="16" t="s">
        <v>87</v>
      </c>
      <c r="I2944" s="16" t="s">
        <v>87</v>
      </c>
      <c r="J2944" s="19"/>
      <c r="L2944" s="16" t="str">
        <f>IFERROR(__xludf.DUMMYFUNCTION("""COMPUTED_VALUE"""),"")</f>
        <v/>
      </c>
      <c r="M2944" s="16" t="str">
        <f>IFERROR(__xludf.DUMMYFUNCTION("""COMPUTED_VALUE"""),"")</f>
        <v/>
      </c>
      <c r="U2944" s="16" t="s">
        <v>87</v>
      </c>
      <c r="V2944" s="16" t="str">
        <f>IFERROR(__xludf.DUMMYFUNCTION("""COMPUTED_VALUE"""),"")</f>
        <v/>
      </c>
      <c r="W2944" s="16" t="str">
        <f>IFERROR(__xludf.DUMMYFUNCTION("""COMPUTED_VALUE"""),"")</f>
        <v/>
      </c>
      <c r="X2944" s="16" t="str">
        <f>IFERROR(__xludf.DUMMYFUNCTION("""COMPUTED_VALUE"""),"")</f>
        <v/>
      </c>
      <c r="AC2944" s="16" t="str">
        <f>IFERROR(__xludf.DUMMYFUNCTION("""COMPUTED_VALUE"""),"")</f>
        <v/>
      </c>
    </row>
    <row r="2945">
      <c r="A2945" s="16" t="s">
        <v>87</v>
      </c>
      <c r="E2945" s="16" t="str">
        <f>IFERROR(__xludf.DUMMYFUNCTION("""COMPUTED_VALUE"""),"")</f>
        <v/>
      </c>
      <c r="G2945" s="18"/>
      <c r="H2945" s="16" t="s">
        <v>87</v>
      </c>
      <c r="I2945" s="16" t="s">
        <v>87</v>
      </c>
      <c r="J2945" s="19"/>
      <c r="L2945" s="16" t="str">
        <f>IFERROR(__xludf.DUMMYFUNCTION("""COMPUTED_VALUE"""),"")</f>
        <v/>
      </c>
      <c r="M2945" s="16" t="str">
        <f>IFERROR(__xludf.DUMMYFUNCTION("""COMPUTED_VALUE"""),"")</f>
        <v/>
      </c>
      <c r="U2945" s="16" t="s">
        <v>87</v>
      </c>
      <c r="V2945" s="16" t="str">
        <f>IFERROR(__xludf.DUMMYFUNCTION("""COMPUTED_VALUE"""),"")</f>
        <v/>
      </c>
      <c r="W2945" s="16" t="str">
        <f>IFERROR(__xludf.DUMMYFUNCTION("""COMPUTED_VALUE"""),"")</f>
        <v/>
      </c>
      <c r="X2945" s="16" t="str">
        <f>IFERROR(__xludf.DUMMYFUNCTION("""COMPUTED_VALUE"""),"")</f>
        <v/>
      </c>
      <c r="AC2945" s="16" t="str">
        <f>IFERROR(__xludf.DUMMYFUNCTION("""COMPUTED_VALUE"""),"")</f>
        <v/>
      </c>
    </row>
    <row r="2946">
      <c r="A2946" s="16" t="s">
        <v>87</v>
      </c>
      <c r="E2946" s="16" t="str">
        <f>IFERROR(__xludf.DUMMYFUNCTION("""COMPUTED_VALUE"""),"")</f>
        <v/>
      </c>
      <c r="G2946" s="18"/>
      <c r="H2946" s="16" t="s">
        <v>87</v>
      </c>
      <c r="I2946" s="16" t="s">
        <v>87</v>
      </c>
      <c r="J2946" s="19"/>
      <c r="L2946" s="16" t="str">
        <f>IFERROR(__xludf.DUMMYFUNCTION("""COMPUTED_VALUE"""),"")</f>
        <v/>
      </c>
      <c r="M2946" s="16" t="str">
        <f>IFERROR(__xludf.DUMMYFUNCTION("""COMPUTED_VALUE"""),"")</f>
        <v/>
      </c>
      <c r="U2946" s="16" t="s">
        <v>87</v>
      </c>
      <c r="V2946" s="16" t="str">
        <f>IFERROR(__xludf.DUMMYFUNCTION("""COMPUTED_VALUE"""),"")</f>
        <v/>
      </c>
      <c r="W2946" s="16" t="str">
        <f>IFERROR(__xludf.DUMMYFUNCTION("""COMPUTED_VALUE"""),"")</f>
        <v/>
      </c>
      <c r="X2946" s="16" t="str">
        <f>IFERROR(__xludf.DUMMYFUNCTION("""COMPUTED_VALUE"""),"")</f>
        <v/>
      </c>
      <c r="AC2946" s="16" t="str">
        <f>IFERROR(__xludf.DUMMYFUNCTION("""COMPUTED_VALUE"""),"")</f>
        <v/>
      </c>
    </row>
    <row r="2947">
      <c r="A2947" s="16" t="s">
        <v>87</v>
      </c>
      <c r="E2947" s="16" t="str">
        <f>IFERROR(__xludf.DUMMYFUNCTION("""COMPUTED_VALUE"""),"")</f>
        <v/>
      </c>
      <c r="G2947" s="18"/>
      <c r="H2947" s="16" t="s">
        <v>87</v>
      </c>
      <c r="I2947" s="16" t="s">
        <v>87</v>
      </c>
      <c r="J2947" s="19"/>
      <c r="L2947" s="16" t="str">
        <f>IFERROR(__xludf.DUMMYFUNCTION("""COMPUTED_VALUE"""),"")</f>
        <v/>
      </c>
      <c r="M2947" s="16" t="str">
        <f>IFERROR(__xludf.DUMMYFUNCTION("""COMPUTED_VALUE"""),"")</f>
        <v/>
      </c>
      <c r="U2947" s="16" t="s">
        <v>87</v>
      </c>
      <c r="V2947" s="16" t="str">
        <f>IFERROR(__xludf.DUMMYFUNCTION("""COMPUTED_VALUE"""),"")</f>
        <v/>
      </c>
      <c r="W2947" s="16" t="str">
        <f>IFERROR(__xludf.DUMMYFUNCTION("""COMPUTED_VALUE"""),"")</f>
        <v/>
      </c>
      <c r="X2947" s="16" t="str">
        <f>IFERROR(__xludf.DUMMYFUNCTION("""COMPUTED_VALUE"""),"")</f>
        <v/>
      </c>
      <c r="AC2947" s="16" t="str">
        <f>IFERROR(__xludf.DUMMYFUNCTION("""COMPUTED_VALUE"""),"")</f>
        <v/>
      </c>
    </row>
    <row r="2948">
      <c r="A2948" s="16" t="s">
        <v>87</v>
      </c>
      <c r="E2948" s="16" t="str">
        <f>IFERROR(__xludf.DUMMYFUNCTION("""COMPUTED_VALUE"""),"")</f>
        <v/>
      </c>
      <c r="G2948" s="18"/>
      <c r="H2948" s="16" t="s">
        <v>87</v>
      </c>
      <c r="I2948" s="16" t="s">
        <v>87</v>
      </c>
      <c r="J2948" s="19"/>
      <c r="L2948" s="16" t="str">
        <f>IFERROR(__xludf.DUMMYFUNCTION("""COMPUTED_VALUE"""),"")</f>
        <v/>
      </c>
      <c r="M2948" s="16" t="str">
        <f>IFERROR(__xludf.DUMMYFUNCTION("""COMPUTED_VALUE"""),"")</f>
        <v/>
      </c>
      <c r="U2948" s="16" t="s">
        <v>87</v>
      </c>
      <c r="V2948" s="16" t="str">
        <f>IFERROR(__xludf.DUMMYFUNCTION("""COMPUTED_VALUE"""),"")</f>
        <v/>
      </c>
      <c r="W2948" s="16" t="str">
        <f>IFERROR(__xludf.DUMMYFUNCTION("""COMPUTED_VALUE"""),"")</f>
        <v/>
      </c>
      <c r="X2948" s="16" t="str">
        <f>IFERROR(__xludf.DUMMYFUNCTION("""COMPUTED_VALUE"""),"")</f>
        <v/>
      </c>
      <c r="AC2948" s="16" t="str">
        <f>IFERROR(__xludf.DUMMYFUNCTION("""COMPUTED_VALUE"""),"")</f>
        <v/>
      </c>
    </row>
    <row r="2949">
      <c r="A2949" s="16" t="s">
        <v>87</v>
      </c>
      <c r="E2949" s="16" t="str">
        <f>IFERROR(__xludf.DUMMYFUNCTION("""COMPUTED_VALUE"""),"")</f>
        <v/>
      </c>
      <c r="G2949" s="18"/>
      <c r="H2949" s="16" t="s">
        <v>87</v>
      </c>
      <c r="I2949" s="16" t="s">
        <v>87</v>
      </c>
      <c r="J2949" s="19"/>
      <c r="L2949" s="16" t="str">
        <f>IFERROR(__xludf.DUMMYFUNCTION("""COMPUTED_VALUE"""),"")</f>
        <v/>
      </c>
      <c r="M2949" s="16" t="str">
        <f>IFERROR(__xludf.DUMMYFUNCTION("""COMPUTED_VALUE"""),"")</f>
        <v/>
      </c>
      <c r="U2949" s="16" t="s">
        <v>87</v>
      </c>
      <c r="V2949" s="16" t="str">
        <f>IFERROR(__xludf.DUMMYFUNCTION("""COMPUTED_VALUE"""),"")</f>
        <v/>
      </c>
      <c r="W2949" s="16" t="str">
        <f>IFERROR(__xludf.DUMMYFUNCTION("""COMPUTED_VALUE"""),"")</f>
        <v/>
      </c>
      <c r="X2949" s="16" t="str">
        <f>IFERROR(__xludf.DUMMYFUNCTION("""COMPUTED_VALUE"""),"")</f>
        <v/>
      </c>
      <c r="AC2949" s="16" t="str">
        <f>IFERROR(__xludf.DUMMYFUNCTION("""COMPUTED_VALUE"""),"")</f>
        <v/>
      </c>
    </row>
    <row r="2950">
      <c r="A2950" s="16" t="s">
        <v>87</v>
      </c>
      <c r="E2950" s="16" t="str">
        <f>IFERROR(__xludf.DUMMYFUNCTION("""COMPUTED_VALUE"""),"")</f>
        <v/>
      </c>
      <c r="G2950" s="18"/>
      <c r="H2950" s="16" t="s">
        <v>87</v>
      </c>
      <c r="I2950" s="16" t="s">
        <v>87</v>
      </c>
      <c r="J2950" s="19"/>
      <c r="L2950" s="16" t="str">
        <f>IFERROR(__xludf.DUMMYFUNCTION("""COMPUTED_VALUE"""),"")</f>
        <v/>
      </c>
      <c r="M2950" s="16" t="str">
        <f>IFERROR(__xludf.DUMMYFUNCTION("""COMPUTED_VALUE"""),"")</f>
        <v/>
      </c>
      <c r="U2950" s="16" t="s">
        <v>87</v>
      </c>
      <c r="V2950" s="16" t="str">
        <f>IFERROR(__xludf.DUMMYFUNCTION("""COMPUTED_VALUE"""),"")</f>
        <v/>
      </c>
      <c r="W2950" s="16" t="str">
        <f>IFERROR(__xludf.DUMMYFUNCTION("""COMPUTED_VALUE"""),"")</f>
        <v/>
      </c>
      <c r="X2950" s="16" t="str">
        <f>IFERROR(__xludf.DUMMYFUNCTION("""COMPUTED_VALUE"""),"")</f>
        <v/>
      </c>
      <c r="AC2950" s="16" t="str">
        <f>IFERROR(__xludf.DUMMYFUNCTION("""COMPUTED_VALUE"""),"")</f>
        <v/>
      </c>
    </row>
    <row r="2951">
      <c r="A2951" s="16" t="s">
        <v>87</v>
      </c>
      <c r="E2951" s="16" t="str">
        <f>IFERROR(__xludf.DUMMYFUNCTION("""COMPUTED_VALUE"""),"")</f>
        <v/>
      </c>
      <c r="G2951" s="18"/>
      <c r="H2951" s="16" t="s">
        <v>87</v>
      </c>
      <c r="I2951" s="16" t="s">
        <v>87</v>
      </c>
      <c r="J2951" s="19"/>
      <c r="L2951" s="16" t="str">
        <f>IFERROR(__xludf.DUMMYFUNCTION("""COMPUTED_VALUE"""),"")</f>
        <v/>
      </c>
      <c r="M2951" s="16" t="str">
        <f>IFERROR(__xludf.DUMMYFUNCTION("""COMPUTED_VALUE"""),"")</f>
        <v/>
      </c>
      <c r="U2951" s="16" t="s">
        <v>87</v>
      </c>
      <c r="V2951" s="16" t="str">
        <f>IFERROR(__xludf.DUMMYFUNCTION("""COMPUTED_VALUE"""),"")</f>
        <v/>
      </c>
      <c r="W2951" s="16" t="str">
        <f>IFERROR(__xludf.DUMMYFUNCTION("""COMPUTED_VALUE"""),"")</f>
        <v/>
      </c>
      <c r="X2951" s="16" t="str">
        <f>IFERROR(__xludf.DUMMYFUNCTION("""COMPUTED_VALUE"""),"")</f>
        <v/>
      </c>
      <c r="AC2951" s="16" t="str">
        <f>IFERROR(__xludf.DUMMYFUNCTION("""COMPUTED_VALUE"""),"")</f>
        <v/>
      </c>
    </row>
    <row r="2952">
      <c r="A2952" s="16" t="s">
        <v>87</v>
      </c>
      <c r="E2952" s="16" t="str">
        <f>IFERROR(__xludf.DUMMYFUNCTION("""COMPUTED_VALUE"""),"")</f>
        <v/>
      </c>
      <c r="G2952" s="18"/>
      <c r="H2952" s="16" t="s">
        <v>87</v>
      </c>
      <c r="I2952" s="16" t="s">
        <v>87</v>
      </c>
      <c r="J2952" s="19"/>
      <c r="L2952" s="16" t="str">
        <f>IFERROR(__xludf.DUMMYFUNCTION("""COMPUTED_VALUE"""),"")</f>
        <v/>
      </c>
      <c r="M2952" s="16" t="str">
        <f>IFERROR(__xludf.DUMMYFUNCTION("""COMPUTED_VALUE"""),"")</f>
        <v/>
      </c>
      <c r="U2952" s="16" t="s">
        <v>87</v>
      </c>
      <c r="V2952" s="16" t="str">
        <f>IFERROR(__xludf.DUMMYFUNCTION("""COMPUTED_VALUE"""),"")</f>
        <v/>
      </c>
      <c r="W2952" s="16" t="str">
        <f>IFERROR(__xludf.DUMMYFUNCTION("""COMPUTED_VALUE"""),"")</f>
        <v/>
      </c>
      <c r="X2952" s="16" t="str">
        <f>IFERROR(__xludf.DUMMYFUNCTION("""COMPUTED_VALUE"""),"")</f>
        <v/>
      </c>
      <c r="AC2952" s="16" t="str">
        <f>IFERROR(__xludf.DUMMYFUNCTION("""COMPUTED_VALUE"""),"")</f>
        <v/>
      </c>
    </row>
    <row r="2953">
      <c r="A2953" s="16" t="s">
        <v>87</v>
      </c>
      <c r="E2953" s="16" t="str">
        <f>IFERROR(__xludf.DUMMYFUNCTION("""COMPUTED_VALUE"""),"")</f>
        <v/>
      </c>
      <c r="G2953" s="18"/>
      <c r="H2953" s="16" t="s">
        <v>87</v>
      </c>
      <c r="I2953" s="16" t="s">
        <v>87</v>
      </c>
      <c r="J2953" s="19"/>
      <c r="L2953" s="16" t="str">
        <f>IFERROR(__xludf.DUMMYFUNCTION("""COMPUTED_VALUE"""),"")</f>
        <v/>
      </c>
      <c r="M2953" s="16" t="str">
        <f>IFERROR(__xludf.DUMMYFUNCTION("""COMPUTED_VALUE"""),"")</f>
        <v/>
      </c>
      <c r="U2953" s="16" t="s">
        <v>87</v>
      </c>
      <c r="V2953" s="16" t="str">
        <f>IFERROR(__xludf.DUMMYFUNCTION("""COMPUTED_VALUE"""),"")</f>
        <v/>
      </c>
      <c r="W2953" s="16" t="str">
        <f>IFERROR(__xludf.DUMMYFUNCTION("""COMPUTED_VALUE"""),"")</f>
        <v/>
      </c>
      <c r="X2953" s="16" t="str">
        <f>IFERROR(__xludf.DUMMYFUNCTION("""COMPUTED_VALUE"""),"")</f>
        <v/>
      </c>
      <c r="AC2953" s="16" t="str">
        <f>IFERROR(__xludf.DUMMYFUNCTION("""COMPUTED_VALUE"""),"")</f>
        <v/>
      </c>
    </row>
    <row r="2954">
      <c r="A2954" s="16" t="s">
        <v>87</v>
      </c>
      <c r="E2954" s="16" t="str">
        <f>IFERROR(__xludf.DUMMYFUNCTION("""COMPUTED_VALUE"""),"")</f>
        <v/>
      </c>
      <c r="G2954" s="18"/>
      <c r="H2954" s="16" t="s">
        <v>87</v>
      </c>
      <c r="I2954" s="16" t="s">
        <v>87</v>
      </c>
      <c r="J2954" s="19"/>
      <c r="L2954" s="16" t="str">
        <f>IFERROR(__xludf.DUMMYFUNCTION("""COMPUTED_VALUE"""),"")</f>
        <v/>
      </c>
      <c r="M2954" s="16" t="str">
        <f>IFERROR(__xludf.DUMMYFUNCTION("""COMPUTED_VALUE"""),"")</f>
        <v/>
      </c>
      <c r="U2954" s="16" t="s">
        <v>87</v>
      </c>
      <c r="V2954" s="16" t="str">
        <f>IFERROR(__xludf.DUMMYFUNCTION("""COMPUTED_VALUE"""),"")</f>
        <v/>
      </c>
      <c r="W2954" s="16" t="str">
        <f>IFERROR(__xludf.DUMMYFUNCTION("""COMPUTED_VALUE"""),"")</f>
        <v/>
      </c>
      <c r="X2954" s="16" t="str">
        <f>IFERROR(__xludf.DUMMYFUNCTION("""COMPUTED_VALUE"""),"")</f>
        <v/>
      </c>
      <c r="AC2954" s="16" t="str">
        <f>IFERROR(__xludf.DUMMYFUNCTION("""COMPUTED_VALUE"""),"")</f>
        <v/>
      </c>
    </row>
    <row r="2955">
      <c r="A2955" s="16" t="s">
        <v>87</v>
      </c>
      <c r="E2955" s="16" t="str">
        <f>IFERROR(__xludf.DUMMYFUNCTION("""COMPUTED_VALUE"""),"")</f>
        <v/>
      </c>
      <c r="G2955" s="18"/>
      <c r="H2955" s="16" t="s">
        <v>87</v>
      </c>
      <c r="I2955" s="16" t="s">
        <v>87</v>
      </c>
      <c r="J2955" s="19"/>
      <c r="L2955" s="16" t="str">
        <f>IFERROR(__xludf.DUMMYFUNCTION("""COMPUTED_VALUE"""),"")</f>
        <v/>
      </c>
      <c r="M2955" s="16" t="str">
        <f>IFERROR(__xludf.DUMMYFUNCTION("""COMPUTED_VALUE"""),"")</f>
        <v/>
      </c>
      <c r="U2955" s="16" t="s">
        <v>87</v>
      </c>
      <c r="V2955" s="16" t="str">
        <f>IFERROR(__xludf.DUMMYFUNCTION("""COMPUTED_VALUE"""),"")</f>
        <v/>
      </c>
      <c r="W2955" s="16" t="str">
        <f>IFERROR(__xludf.DUMMYFUNCTION("""COMPUTED_VALUE"""),"")</f>
        <v/>
      </c>
      <c r="X2955" s="16" t="str">
        <f>IFERROR(__xludf.DUMMYFUNCTION("""COMPUTED_VALUE"""),"")</f>
        <v/>
      </c>
      <c r="AC2955" s="16" t="str">
        <f>IFERROR(__xludf.DUMMYFUNCTION("""COMPUTED_VALUE"""),"")</f>
        <v/>
      </c>
    </row>
    <row r="2956">
      <c r="A2956" s="16" t="s">
        <v>87</v>
      </c>
      <c r="E2956" s="16" t="str">
        <f>IFERROR(__xludf.DUMMYFUNCTION("""COMPUTED_VALUE"""),"")</f>
        <v/>
      </c>
      <c r="G2956" s="18"/>
      <c r="H2956" s="16" t="s">
        <v>87</v>
      </c>
      <c r="I2956" s="16" t="s">
        <v>87</v>
      </c>
      <c r="J2956" s="19"/>
      <c r="L2956" s="16" t="str">
        <f>IFERROR(__xludf.DUMMYFUNCTION("""COMPUTED_VALUE"""),"")</f>
        <v/>
      </c>
      <c r="M2956" s="16" t="str">
        <f>IFERROR(__xludf.DUMMYFUNCTION("""COMPUTED_VALUE"""),"")</f>
        <v/>
      </c>
      <c r="U2956" s="16" t="s">
        <v>87</v>
      </c>
      <c r="V2956" s="16" t="str">
        <f>IFERROR(__xludf.DUMMYFUNCTION("""COMPUTED_VALUE"""),"")</f>
        <v/>
      </c>
      <c r="W2956" s="16" t="str">
        <f>IFERROR(__xludf.DUMMYFUNCTION("""COMPUTED_VALUE"""),"")</f>
        <v/>
      </c>
      <c r="X2956" s="16" t="str">
        <f>IFERROR(__xludf.DUMMYFUNCTION("""COMPUTED_VALUE"""),"")</f>
        <v/>
      </c>
      <c r="AC2956" s="16" t="str">
        <f>IFERROR(__xludf.DUMMYFUNCTION("""COMPUTED_VALUE"""),"")</f>
        <v/>
      </c>
    </row>
    <row r="2957">
      <c r="A2957" s="16" t="s">
        <v>87</v>
      </c>
      <c r="E2957" s="16" t="str">
        <f>IFERROR(__xludf.DUMMYFUNCTION("""COMPUTED_VALUE"""),"")</f>
        <v/>
      </c>
      <c r="G2957" s="18"/>
      <c r="H2957" s="16" t="s">
        <v>87</v>
      </c>
      <c r="I2957" s="16" t="s">
        <v>87</v>
      </c>
      <c r="J2957" s="19"/>
      <c r="L2957" s="16" t="str">
        <f>IFERROR(__xludf.DUMMYFUNCTION("""COMPUTED_VALUE"""),"")</f>
        <v/>
      </c>
      <c r="M2957" s="16" t="str">
        <f>IFERROR(__xludf.DUMMYFUNCTION("""COMPUTED_VALUE"""),"")</f>
        <v/>
      </c>
      <c r="U2957" s="16" t="s">
        <v>87</v>
      </c>
      <c r="V2957" s="16" t="str">
        <f>IFERROR(__xludf.DUMMYFUNCTION("""COMPUTED_VALUE"""),"")</f>
        <v/>
      </c>
      <c r="W2957" s="16" t="str">
        <f>IFERROR(__xludf.DUMMYFUNCTION("""COMPUTED_VALUE"""),"")</f>
        <v/>
      </c>
      <c r="X2957" s="16" t="str">
        <f>IFERROR(__xludf.DUMMYFUNCTION("""COMPUTED_VALUE"""),"")</f>
        <v/>
      </c>
      <c r="AC2957" s="16" t="str">
        <f>IFERROR(__xludf.DUMMYFUNCTION("""COMPUTED_VALUE"""),"")</f>
        <v/>
      </c>
    </row>
    <row r="2958">
      <c r="A2958" s="16" t="s">
        <v>87</v>
      </c>
      <c r="E2958" s="16" t="str">
        <f>IFERROR(__xludf.DUMMYFUNCTION("""COMPUTED_VALUE"""),"")</f>
        <v/>
      </c>
      <c r="G2958" s="18"/>
      <c r="H2958" s="16" t="s">
        <v>87</v>
      </c>
      <c r="I2958" s="16" t="s">
        <v>87</v>
      </c>
      <c r="J2958" s="19"/>
      <c r="L2958" s="16" t="str">
        <f>IFERROR(__xludf.DUMMYFUNCTION("""COMPUTED_VALUE"""),"")</f>
        <v/>
      </c>
      <c r="M2958" s="16" t="str">
        <f>IFERROR(__xludf.DUMMYFUNCTION("""COMPUTED_VALUE"""),"")</f>
        <v/>
      </c>
      <c r="U2958" s="16" t="s">
        <v>87</v>
      </c>
      <c r="V2958" s="16" t="str">
        <f>IFERROR(__xludf.DUMMYFUNCTION("""COMPUTED_VALUE"""),"")</f>
        <v/>
      </c>
      <c r="W2958" s="16" t="str">
        <f>IFERROR(__xludf.DUMMYFUNCTION("""COMPUTED_VALUE"""),"")</f>
        <v/>
      </c>
      <c r="X2958" s="16" t="str">
        <f>IFERROR(__xludf.DUMMYFUNCTION("""COMPUTED_VALUE"""),"")</f>
        <v/>
      </c>
      <c r="AC2958" s="16" t="str">
        <f>IFERROR(__xludf.DUMMYFUNCTION("""COMPUTED_VALUE"""),"")</f>
        <v/>
      </c>
    </row>
    <row r="2959">
      <c r="A2959" s="16" t="s">
        <v>87</v>
      </c>
      <c r="E2959" s="16" t="str">
        <f>IFERROR(__xludf.DUMMYFUNCTION("""COMPUTED_VALUE"""),"")</f>
        <v/>
      </c>
      <c r="G2959" s="18"/>
      <c r="H2959" s="16" t="s">
        <v>87</v>
      </c>
      <c r="I2959" s="16" t="s">
        <v>87</v>
      </c>
      <c r="J2959" s="19"/>
      <c r="L2959" s="16" t="str">
        <f>IFERROR(__xludf.DUMMYFUNCTION("""COMPUTED_VALUE"""),"")</f>
        <v/>
      </c>
      <c r="M2959" s="16" t="str">
        <f>IFERROR(__xludf.DUMMYFUNCTION("""COMPUTED_VALUE"""),"")</f>
        <v/>
      </c>
      <c r="U2959" s="16" t="s">
        <v>87</v>
      </c>
      <c r="V2959" s="16" t="str">
        <f>IFERROR(__xludf.DUMMYFUNCTION("""COMPUTED_VALUE"""),"")</f>
        <v/>
      </c>
      <c r="W2959" s="16" t="str">
        <f>IFERROR(__xludf.DUMMYFUNCTION("""COMPUTED_VALUE"""),"")</f>
        <v/>
      </c>
      <c r="X2959" s="16" t="str">
        <f>IFERROR(__xludf.DUMMYFUNCTION("""COMPUTED_VALUE"""),"")</f>
        <v/>
      </c>
      <c r="AC2959" s="16" t="str">
        <f>IFERROR(__xludf.DUMMYFUNCTION("""COMPUTED_VALUE"""),"")</f>
        <v/>
      </c>
    </row>
    <row r="2960">
      <c r="A2960" s="16" t="s">
        <v>87</v>
      </c>
      <c r="E2960" s="16" t="str">
        <f>IFERROR(__xludf.DUMMYFUNCTION("""COMPUTED_VALUE"""),"")</f>
        <v/>
      </c>
      <c r="G2960" s="18"/>
      <c r="H2960" s="16" t="s">
        <v>87</v>
      </c>
      <c r="I2960" s="16" t="s">
        <v>87</v>
      </c>
      <c r="J2960" s="19"/>
      <c r="L2960" s="16" t="str">
        <f>IFERROR(__xludf.DUMMYFUNCTION("""COMPUTED_VALUE"""),"")</f>
        <v/>
      </c>
      <c r="M2960" s="16" t="str">
        <f>IFERROR(__xludf.DUMMYFUNCTION("""COMPUTED_VALUE"""),"")</f>
        <v/>
      </c>
      <c r="U2960" s="16" t="s">
        <v>87</v>
      </c>
      <c r="V2960" s="16" t="str">
        <f>IFERROR(__xludf.DUMMYFUNCTION("""COMPUTED_VALUE"""),"")</f>
        <v/>
      </c>
      <c r="W2960" s="16" t="str">
        <f>IFERROR(__xludf.DUMMYFUNCTION("""COMPUTED_VALUE"""),"")</f>
        <v/>
      </c>
      <c r="X2960" s="16" t="str">
        <f>IFERROR(__xludf.DUMMYFUNCTION("""COMPUTED_VALUE"""),"")</f>
        <v/>
      </c>
      <c r="AC2960" s="16" t="str">
        <f>IFERROR(__xludf.DUMMYFUNCTION("""COMPUTED_VALUE"""),"")</f>
        <v/>
      </c>
    </row>
    <row r="2961">
      <c r="A2961" s="16" t="s">
        <v>87</v>
      </c>
      <c r="E2961" s="16" t="str">
        <f>IFERROR(__xludf.DUMMYFUNCTION("""COMPUTED_VALUE"""),"")</f>
        <v/>
      </c>
      <c r="G2961" s="18"/>
      <c r="H2961" s="16" t="s">
        <v>87</v>
      </c>
      <c r="I2961" s="16" t="s">
        <v>87</v>
      </c>
      <c r="J2961" s="19"/>
      <c r="L2961" s="16" t="str">
        <f>IFERROR(__xludf.DUMMYFUNCTION("""COMPUTED_VALUE"""),"")</f>
        <v/>
      </c>
      <c r="M2961" s="16" t="str">
        <f>IFERROR(__xludf.DUMMYFUNCTION("""COMPUTED_VALUE"""),"")</f>
        <v/>
      </c>
      <c r="U2961" s="16" t="s">
        <v>87</v>
      </c>
      <c r="V2961" s="16" t="str">
        <f>IFERROR(__xludf.DUMMYFUNCTION("""COMPUTED_VALUE"""),"")</f>
        <v/>
      </c>
      <c r="W2961" s="16" t="str">
        <f>IFERROR(__xludf.DUMMYFUNCTION("""COMPUTED_VALUE"""),"")</f>
        <v/>
      </c>
      <c r="X2961" s="16" t="str">
        <f>IFERROR(__xludf.DUMMYFUNCTION("""COMPUTED_VALUE"""),"")</f>
        <v/>
      </c>
      <c r="AC2961" s="16" t="str">
        <f>IFERROR(__xludf.DUMMYFUNCTION("""COMPUTED_VALUE"""),"")</f>
        <v/>
      </c>
    </row>
    <row r="2962">
      <c r="A2962" s="16" t="s">
        <v>87</v>
      </c>
      <c r="E2962" s="16" t="str">
        <f>IFERROR(__xludf.DUMMYFUNCTION("""COMPUTED_VALUE"""),"")</f>
        <v/>
      </c>
      <c r="G2962" s="18"/>
      <c r="H2962" s="16" t="s">
        <v>87</v>
      </c>
      <c r="I2962" s="16" t="s">
        <v>87</v>
      </c>
      <c r="J2962" s="19"/>
      <c r="L2962" s="16" t="str">
        <f>IFERROR(__xludf.DUMMYFUNCTION("""COMPUTED_VALUE"""),"")</f>
        <v/>
      </c>
      <c r="M2962" s="16" t="str">
        <f>IFERROR(__xludf.DUMMYFUNCTION("""COMPUTED_VALUE"""),"")</f>
        <v/>
      </c>
      <c r="U2962" s="16" t="s">
        <v>87</v>
      </c>
      <c r="V2962" s="16" t="str">
        <f>IFERROR(__xludf.DUMMYFUNCTION("""COMPUTED_VALUE"""),"")</f>
        <v/>
      </c>
      <c r="W2962" s="16" t="str">
        <f>IFERROR(__xludf.DUMMYFUNCTION("""COMPUTED_VALUE"""),"")</f>
        <v/>
      </c>
      <c r="X2962" s="16" t="str">
        <f>IFERROR(__xludf.DUMMYFUNCTION("""COMPUTED_VALUE"""),"")</f>
        <v/>
      </c>
      <c r="AC2962" s="16" t="str">
        <f>IFERROR(__xludf.DUMMYFUNCTION("""COMPUTED_VALUE"""),"")</f>
        <v/>
      </c>
    </row>
    <row r="2963">
      <c r="A2963" s="16" t="s">
        <v>87</v>
      </c>
      <c r="E2963" s="16" t="str">
        <f>IFERROR(__xludf.DUMMYFUNCTION("""COMPUTED_VALUE"""),"")</f>
        <v/>
      </c>
      <c r="G2963" s="18"/>
      <c r="H2963" s="16" t="s">
        <v>87</v>
      </c>
      <c r="I2963" s="16" t="s">
        <v>87</v>
      </c>
      <c r="J2963" s="19"/>
      <c r="L2963" s="16" t="str">
        <f>IFERROR(__xludf.DUMMYFUNCTION("""COMPUTED_VALUE"""),"")</f>
        <v/>
      </c>
      <c r="M2963" s="16" t="str">
        <f>IFERROR(__xludf.DUMMYFUNCTION("""COMPUTED_VALUE"""),"")</f>
        <v/>
      </c>
      <c r="U2963" s="16" t="s">
        <v>87</v>
      </c>
      <c r="V2963" s="16" t="str">
        <f>IFERROR(__xludf.DUMMYFUNCTION("""COMPUTED_VALUE"""),"")</f>
        <v/>
      </c>
      <c r="W2963" s="16" t="str">
        <f>IFERROR(__xludf.DUMMYFUNCTION("""COMPUTED_VALUE"""),"")</f>
        <v/>
      </c>
      <c r="X2963" s="16" t="str">
        <f>IFERROR(__xludf.DUMMYFUNCTION("""COMPUTED_VALUE"""),"")</f>
        <v/>
      </c>
      <c r="AC2963" s="16" t="str">
        <f>IFERROR(__xludf.DUMMYFUNCTION("""COMPUTED_VALUE"""),"")</f>
        <v/>
      </c>
    </row>
    <row r="2964">
      <c r="A2964" s="16" t="s">
        <v>87</v>
      </c>
      <c r="E2964" s="16" t="str">
        <f>IFERROR(__xludf.DUMMYFUNCTION("""COMPUTED_VALUE"""),"")</f>
        <v/>
      </c>
      <c r="G2964" s="18"/>
      <c r="H2964" s="16" t="s">
        <v>87</v>
      </c>
      <c r="I2964" s="16" t="s">
        <v>87</v>
      </c>
      <c r="J2964" s="19"/>
      <c r="L2964" s="16" t="str">
        <f>IFERROR(__xludf.DUMMYFUNCTION("""COMPUTED_VALUE"""),"")</f>
        <v/>
      </c>
      <c r="M2964" s="16" t="str">
        <f>IFERROR(__xludf.DUMMYFUNCTION("""COMPUTED_VALUE"""),"")</f>
        <v/>
      </c>
      <c r="U2964" s="16" t="s">
        <v>87</v>
      </c>
      <c r="V2964" s="16" t="str">
        <f>IFERROR(__xludf.DUMMYFUNCTION("""COMPUTED_VALUE"""),"")</f>
        <v/>
      </c>
      <c r="W2964" s="16" t="str">
        <f>IFERROR(__xludf.DUMMYFUNCTION("""COMPUTED_VALUE"""),"")</f>
        <v/>
      </c>
      <c r="X2964" s="16" t="str">
        <f>IFERROR(__xludf.DUMMYFUNCTION("""COMPUTED_VALUE"""),"")</f>
        <v/>
      </c>
      <c r="AC2964" s="16" t="str">
        <f>IFERROR(__xludf.DUMMYFUNCTION("""COMPUTED_VALUE"""),"")</f>
        <v/>
      </c>
    </row>
    <row r="2965">
      <c r="A2965" s="16" t="s">
        <v>87</v>
      </c>
      <c r="E2965" s="16" t="str">
        <f>IFERROR(__xludf.DUMMYFUNCTION("""COMPUTED_VALUE"""),"")</f>
        <v/>
      </c>
      <c r="G2965" s="18"/>
      <c r="H2965" s="16" t="s">
        <v>87</v>
      </c>
      <c r="I2965" s="16" t="s">
        <v>87</v>
      </c>
      <c r="J2965" s="19"/>
      <c r="L2965" s="16" t="str">
        <f>IFERROR(__xludf.DUMMYFUNCTION("""COMPUTED_VALUE"""),"")</f>
        <v/>
      </c>
      <c r="M2965" s="16" t="str">
        <f>IFERROR(__xludf.DUMMYFUNCTION("""COMPUTED_VALUE"""),"")</f>
        <v/>
      </c>
      <c r="U2965" s="16" t="s">
        <v>87</v>
      </c>
      <c r="V2965" s="16" t="str">
        <f>IFERROR(__xludf.DUMMYFUNCTION("""COMPUTED_VALUE"""),"")</f>
        <v/>
      </c>
      <c r="W2965" s="16" t="str">
        <f>IFERROR(__xludf.DUMMYFUNCTION("""COMPUTED_VALUE"""),"")</f>
        <v/>
      </c>
      <c r="X2965" s="16" t="str">
        <f>IFERROR(__xludf.DUMMYFUNCTION("""COMPUTED_VALUE"""),"")</f>
        <v/>
      </c>
      <c r="AC2965" s="16" t="str">
        <f>IFERROR(__xludf.DUMMYFUNCTION("""COMPUTED_VALUE"""),"")</f>
        <v/>
      </c>
    </row>
    <row r="2966">
      <c r="A2966" s="16" t="s">
        <v>87</v>
      </c>
      <c r="E2966" s="16" t="str">
        <f>IFERROR(__xludf.DUMMYFUNCTION("""COMPUTED_VALUE"""),"")</f>
        <v/>
      </c>
      <c r="G2966" s="18"/>
      <c r="H2966" s="16" t="s">
        <v>87</v>
      </c>
      <c r="I2966" s="16" t="s">
        <v>87</v>
      </c>
      <c r="J2966" s="19"/>
      <c r="L2966" s="16" t="str">
        <f>IFERROR(__xludf.DUMMYFUNCTION("""COMPUTED_VALUE"""),"")</f>
        <v/>
      </c>
      <c r="M2966" s="16" t="str">
        <f>IFERROR(__xludf.DUMMYFUNCTION("""COMPUTED_VALUE"""),"")</f>
        <v/>
      </c>
      <c r="U2966" s="16" t="s">
        <v>87</v>
      </c>
      <c r="V2966" s="16" t="str">
        <f>IFERROR(__xludf.DUMMYFUNCTION("""COMPUTED_VALUE"""),"")</f>
        <v/>
      </c>
      <c r="W2966" s="16" t="str">
        <f>IFERROR(__xludf.DUMMYFUNCTION("""COMPUTED_VALUE"""),"")</f>
        <v/>
      </c>
      <c r="X2966" s="16" t="str">
        <f>IFERROR(__xludf.DUMMYFUNCTION("""COMPUTED_VALUE"""),"")</f>
        <v/>
      </c>
      <c r="AC2966" s="16" t="str">
        <f>IFERROR(__xludf.DUMMYFUNCTION("""COMPUTED_VALUE"""),"")</f>
        <v/>
      </c>
    </row>
    <row r="2967">
      <c r="A2967" s="16" t="s">
        <v>87</v>
      </c>
      <c r="E2967" s="16" t="str">
        <f>IFERROR(__xludf.DUMMYFUNCTION("""COMPUTED_VALUE"""),"")</f>
        <v/>
      </c>
      <c r="G2967" s="18"/>
      <c r="H2967" s="16" t="s">
        <v>87</v>
      </c>
      <c r="I2967" s="16" t="s">
        <v>87</v>
      </c>
      <c r="J2967" s="19"/>
      <c r="L2967" s="16" t="str">
        <f>IFERROR(__xludf.DUMMYFUNCTION("""COMPUTED_VALUE"""),"")</f>
        <v/>
      </c>
      <c r="M2967" s="16" t="str">
        <f>IFERROR(__xludf.DUMMYFUNCTION("""COMPUTED_VALUE"""),"")</f>
        <v/>
      </c>
      <c r="U2967" s="16" t="s">
        <v>87</v>
      </c>
      <c r="V2967" s="16" t="str">
        <f>IFERROR(__xludf.DUMMYFUNCTION("""COMPUTED_VALUE"""),"")</f>
        <v/>
      </c>
      <c r="W2967" s="16" t="str">
        <f>IFERROR(__xludf.DUMMYFUNCTION("""COMPUTED_VALUE"""),"")</f>
        <v/>
      </c>
      <c r="X2967" s="16" t="str">
        <f>IFERROR(__xludf.DUMMYFUNCTION("""COMPUTED_VALUE"""),"")</f>
        <v/>
      </c>
      <c r="AC2967" s="16" t="str">
        <f>IFERROR(__xludf.DUMMYFUNCTION("""COMPUTED_VALUE"""),"")</f>
        <v/>
      </c>
    </row>
    <row r="2968">
      <c r="A2968" s="16" t="s">
        <v>87</v>
      </c>
      <c r="E2968" s="16" t="str">
        <f>IFERROR(__xludf.DUMMYFUNCTION("""COMPUTED_VALUE"""),"")</f>
        <v/>
      </c>
      <c r="G2968" s="18"/>
      <c r="H2968" s="16" t="s">
        <v>87</v>
      </c>
      <c r="I2968" s="16" t="s">
        <v>87</v>
      </c>
      <c r="J2968" s="19"/>
      <c r="L2968" s="16" t="str">
        <f>IFERROR(__xludf.DUMMYFUNCTION("""COMPUTED_VALUE"""),"")</f>
        <v/>
      </c>
      <c r="M2968" s="16" t="str">
        <f>IFERROR(__xludf.DUMMYFUNCTION("""COMPUTED_VALUE"""),"")</f>
        <v/>
      </c>
      <c r="U2968" s="16" t="s">
        <v>87</v>
      </c>
      <c r="V2968" s="16" t="str">
        <f>IFERROR(__xludf.DUMMYFUNCTION("""COMPUTED_VALUE"""),"")</f>
        <v/>
      </c>
      <c r="W2968" s="16" t="str">
        <f>IFERROR(__xludf.DUMMYFUNCTION("""COMPUTED_VALUE"""),"")</f>
        <v/>
      </c>
      <c r="X2968" s="16" t="str">
        <f>IFERROR(__xludf.DUMMYFUNCTION("""COMPUTED_VALUE"""),"")</f>
        <v/>
      </c>
      <c r="AC2968" s="16" t="str">
        <f>IFERROR(__xludf.DUMMYFUNCTION("""COMPUTED_VALUE"""),"")</f>
        <v/>
      </c>
    </row>
    <row r="2969">
      <c r="A2969" s="16" t="s">
        <v>87</v>
      </c>
      <c r="E2969" s="16" t="str">
        <f>IFERROR(__xludf.DUMMYFUNCTION("""COMPUTED_VALUE"""),"")</f>
        <v/>
      </c>
      <c r="G2969" s="18"/>
      <c r="H2969" s="16" t="s">
        <v>87</v>
      </c>
      <c r="I2969" s="16" t="s">
        <v>87</v>
      </c>
      <c r="J2969" s="19"/>
      <c r="L2969" s="16" t="str">
        <f>IFERROR(__xludf.DUMMYFUNCTION("""COMPUTED_VALUE"""),"")</f>
        <v/>
      </c>
      <c r="M2969" s="16" t="str">
        <f>IFERROR(__xludf.DUMMYFUNCTION("""COMPUTED_VALUE"""),"")</f>
        <v/>
      </c>
      <c r="U2969" s="16" t="s">
        <v>87</v>
      </c>
      <c r="V2969" s="16" t="str">
        <f>IFERROR(__xludf.DUMMYFUNCTION("""COMPUTED_VALUE"""),"")</f>
        <v/>
      </c>
      <c r="W2969" s="16" t="str">
        <f>IFERROR(__xludf.DUMMYFUNCTION("""COMPUTED_VALUE"""),"")</f>
        <v/>
      </c>
      <c r="X2969" s="16" t="str">
        <f>IFERROR(__xludf.DUMMYFUNCTION("""COMPUTED_VALUE"""),"")</f>
        <v/>
      </c>
      <c r="AC2969" s="16" t="str">
        <f>IFERROR(__xludf.DUMMYFUNCTION("""COMPUTED_VALUE"""),"")</f>
        <v/>
      </c>
    </row>
    <row r="2970">
      <c r="A2970" s="16" t="s">
        <v>87</v>
      </c>
      <c r="E2970" s="16" t="str">
        <f>IFERROR(__xludf.DUMMYFUNCTION("""COMPUTED_VALUE"""),"")</f>
        <v/>
      </c>
      <c r="G2970" s="18"/>
      <c r="H2970" s="16" t="s">
        <v>87</v>
      </c>
      <c r="I2970" s="16" t="s">
        <v>87</v>
      </c>
      <c r="J2970" s="19"/>
      <c r="L2970" s="16" t="str">
        <f>IFERROR(__xludf.DUMMYFUNCTION("""COMPUTED_VALUE"""),"")</f>
        <v/>
      </c>
      <c r="M2970" s="16" t="str">
        <f>IFERROR(__xludf.DUMMYFUNCTION("""COMPUTED_VALUE"""),"")</f>
        <v/>
      </c>
      <c r="U2970" s="16" t="s">
        <v>87</v>
      </c>
      <c r="V2970" s="16" t="str">
        <f>IFERROR(__xludf.DUMMYFUNCTION("""COMPUTED_VALUE"""),"")</f>
        <v/>
      </c>
      <c r="W2970" s="16" t="str">
        <f>IFERROR(__xludf.DUMMYFUNCTION("""COMPUTED_VALUE"""),"")</f>
        <v/>
      </c>
      <c r="X2970" s="16" t="str">
        <f>IFERROR(__xludf.DUMMYFUNCTION("""COMPUTED_VALUE"""),"")</f>
        <v/>
      </c>
      <c r="AC2970" s="16" t="str">
        <f>IFERROR(__xludf.DUMMYFUNCTION("""COMPUTED_VALUE"""),"")</f>
        <v/>
      </c>
    </row>
    <row r="2971">
      <c r="A2971" s="16" t="s">
        <v>87</v>
      </c>
      <c r="E2971" s="16" t="str">
        <f>IFERROR(__xludf.DUMMYFUNCTION("""COMPUTED_VALUE"""),"")</f>
        <v/>
      </c>
      <c r="G2971" s="18"/>
      <c r="H2971" s="16" t="s">
        <v>87</v>
      </c>
      <c r="I2971" s="16" t="s">
        <v>87</v>
      </c>
      <c r="J2971" s="19"/>
      <c r="L2971" s="16" t="str">
        <f>IFERROR(__xludf.DUMMYFUNCTION("""COMPUTED_VALUE"""),"")</f>
        <v/>
      </c>
      <c r="M2971" s="16" t="str">
        <f>IFERROR(__xludf.DUMMYFUNCTION("""COMPUTED_VALUE"""),"")</f>
        <v/>
      </c>
      <c r="U2971" s="16" t="s">
        <v>87</v>
      </c>
      <c r="V2971" s="16" t="str">
        <f>IFERROR(__xludf.DUMMYFUNCTION("""COMPUTED_VALUE"""),"")</f>
        <v/>
      </c>
      <c r="W2971" s="16" t="str">
        <f>IFERROR(__xludf.DUMMYFUNCTION("""COMPUTED_VALUE"""),"")</f>
        <v/>
      </c>
      <c r="X2971" s="16" t="str">
        <f>IFERROR(__xludf.DUMMYFUNCTION("""COMPUTED_VALUE"""),"")</f>
        <v/>
      </c>
      <c r="AC2971" s="16" t="str">
        <f>IFERROR(__xludf.DUMMYFUNCTION("""COMPUTED_VALUE"""),"")</f>
        <v/>
      </c>
    </row>
    <row r="2972">
      <c r="A2972" s="16" t="s">
        <v>87</v>
      </c>
      <c r="E2972" s="16" t="str">
        <f>IFERROR(__xludf.DUMMYFUNCTION("""COMPUTED_VALUE"""),"")</f>
        <v/>
      </c>
      <c r="G2972" s="18"/>
      <c r="H2972" s="16" t="s">
        <v>87</v>
      </c>
      <c r="I2972" s="16" t="s">
        <v>87</v>
      </c>
      <c r="J2972" s="19"/>
      <c r="L2972" s="16" t="str">
        <f>IFERROR(__xludf.DUMMYFUNCTION("""COMPUTED_VALUE"""),"")</f>
        <v/>
      </c>
      <c r="M2972" s="16" t="str">
        <f>IFERROR(__xludf.DUMMYFUNCTION("""COMPUTED_VALUE"""),"")</f>
        <v/>
      </c>
      <c r="U2972" s="16" t="s">
        <v>87</v>
      </c>
      <c r="V2972" s="16" t="str">
        <f>IFERROR(__xludf.DUMMYFUNCTION("""COMPUTED_VALUE"""),"")</f>
        <v/>
      </c>
      <c r="W2972" s="16" t="str">
        <f>IFERROR(__xludf.DUMMYFUNCTION("""COMPUTED_VALUE"""),"")</f>
        <v/>
      </c>
      <c r="X2972" s="16" t="str">
        <f>IFERROR(__xludf.DUMMYFUNCTION("""COMPUTED_VALUE"""),"")</f>
        <v/>
      </c>
      <c r="AC2972" s="16" t="str">
        <f>IFERROR(__xludf.DUMMYFUNCTION("""COMPUTED_VALUE"""),"")</f>
        <v/>
      </c>
    </row>
    <row r="2973">
      <c r="A2973" s="16" t="s">
        <v>87</v>
      </c>
      <c r="E2973" s="16" t="str">
        <f>IFERROR(__xludf.DUMMYFUNCTION("""COMPUTED_VALUE"""),"")</f>
        <v/>
      </c>
      <c r="G2973" s="18"/>
      <c r="H2973" s="16" t="s">
        <v>87</v>
      </c>
      <c r="I2973" s="16" t="s">
        <v>87</v>
      </c>
      <c r="J2973" s="19"/>
      <c r="L2973" s="16" t="str">
        <f>IFERROR(__xludf.DUMMYFUNCTION("""COMPUTED_VALUE"""),"")</f>
        <v/>
      </c>
      <c r="M2973" s="16" t="str">
        <f>IFERROR(__xludf.DUMMYFUNCTION("""COMPUTED_VALUE"""),"")</f>
        <v/>
      </c>
      <c r="U2973" s="16" t="s">
        <v>87</v>
      </c>
      <c r="V2973" s="16" t="str">
        <f>IFERROR(__xludf.DUMMYFUNCTION("""COMPUTED_VALUE"""),"")</f>
        <v/>
      </c>
      <c r="W2973" s="16" t="str">
        <f>IFERROR(__xludf.DUMMYFUNCTION("""COMPUTED_VALUE"""),"")</f>
        <v/>
      </c>
      <c r="X2973" s="16" t="str">
        <f>IFERROR(__xludf.DUMMYFUNCTION("""COMPUTED_VALUE"""),"")</f>
        <v/>
      </c>
      <c r="AC2973" s="16" t="str">
        <f>IFERROR(__xludf.DUMMYFUNCTION("""COMPUTED_VALUE"""),"")</f>
        <v/>
      </c>
    </row>
    <row r="2974">
      <c r="A2974" s="16" t="s">
        <v>87</v>
      </c>
      <c r="E2974" s="16" t="str">
        <f>IFERROR(__xludf.DUMMYFUNCTION("""COMPUTED_VALUE"""),"")</f>
        <v/>
      </c>
      <c r="G2974" s="18"/>
      <c r="H2974" s="16" t="s">
        <v>87</v>
      </c>
      <c r="I2974" s="16" t="s">
        <v>87</v>
      </c>
      <c r="J2974" s="19"/>
      <c r="L2974" s="16" t="str">
        <f>IFERROR(__xludf.DUMMYFUNCTION("""COMPUTED_VALUE"""),"")</f>
        <v/>
      </c>
      <c r="M2974" s="16" t="str">
        <f>IFERROR(__xludf.DUMMYFUNCTION("""COMPUTED_VALUE"""),"")</f>
        <v/>
      </c>
      <c r="U2974" s="16" t="s">
        <v>87</v>
      </c>
      <c r="V2974" s="16" t="str">
        <f>IFERROR(__xludf.DUMMYFUNCTION("""COMPUTED_VALUE"""),"")</f>
        <v/>
      </c>
      <c r="W2974" s="16" t="str">
        <f>IFERROR(__xludf.DUMMYFUNCTION("""COMPUTED_VALUE"""),"")</f>
        <v/>
      </c>
      <c r="X2974" s="16" t="str">
        <f>IFERROR(__xludf.DUMMYFUNCTION("""COMPUTED_VALUE"""),"")</f>
        <v/>
      </c>
      <c r="AC2974" s="16" t="str">
        <f>IFERROR(__xludf.DUMMYFUNCTION("""COMPUTED_VALUE"""),"")</f>
        <v/>
      </c>
    </row>
    <row r="2975">
      <c r="A2975" s="16" t="s">
        <v>87</v>
      </c>
      <c r="E2975" s="16" t="str">
        <f>IFERROR(__xludf.DUMMYFUNCTION("""COMPUTED_VALUE"""),"")</f>
        <v/>
      </c>
      <c r="G2975" s="18"/>
      <c r="H2975" s="16" t="s">
        <v>87</v>
      </c>
      <c r="I2975" s="16" t="s">
        <v>87</v>
      </c>
      <c r="J2975" s="19"/>
      <c r="L2975" s="16" t="str">
        <f>IFERROR(__xludf.DUMMYFUNCTION("""COMPUTED_VALUE"""),"")</f>
        <v/>
      </c>
      <c r="M2975" s="16" t="str">
        <f>IFERROR(__xludf.DUMMYFUNCTION("""COMPUTED_VALUE"""),"")</f>
        <v/>
      </c>
      <c r="U2975" s="16" t="s">
        <v>87</v>
      </c>
      <c r="V2975" s="16" t="str">
        <f>IFERROR(__xludf.DUMMYFUNCTION("""COMPUTED_VALUE"""),"")</f>
        <v/>
      </c>
      <c r="W2975" s="16" t="str">
        <f>IFERROR(__xludf.DUMMYFUNCTION("""COMPUTED_VALUE"""),"")</f>
        <v/>
      </c>
      <c r="X2975" s="16" t="str">
        <f>IFERROR(__xludf.DUMMYFUNCTION("""COMPUTED_VALUE"""),"")</f>
        <v/>
      </c>
      <c r="AC2975" s="16" t="str">
        <f>IFERROR(__xludf.DUMMYFUNCTION("""COMPUTED_VALUE"""),"")</f>
        <v/>
      </c>
    </row>
    <row r="2976">
      <c r="A2976" s="16" t="s">
        <v>87</v>
      </c>
      <c r="E2976" s="16" t="str">
        <f>IFERROR(__xludf.DUMMYFUNCTION("""COMPUTED_VALUE"""),"")</f>
        <v/>
      </c>
      <c r="G2976" s="18"/>
      <c r="H2976" s="16" t="s">
        <v>87</v>
      </c>
      <c r="I2976" s="16" t="s">
        <v>87</v>
      </c>
      <c r="J2976" s="19"/>
      <c r="L2976" s="16" t="str">
        <f>IFERROR(__xludf.DUMMYFUNCTION("""COMPUTED_VALUE"""),"")</f>
        <v/>
      </c>
      <c r="M2976" s="16" t="str">
        <f>IFERROR(__xludf.DUMMYFUNCTION("""COMPUTED_VALUE"""),"")</f>
        <v/>
      </c>
      <c r="U2976" s="16" t="s">
        <v>87</v>
      </c>
      <c r="V2976" s="16" t="str">
        <f>IFERROR(__xludf.DUMMYFUNCTION("""COMPUTED_VALUE"""),"")</f>
        <v/>
      </c>
      <c r="W2976" s="16" t="str">
        <f>IFERROR(__xludf.DUMMYFUNCTION("""COMPUTED_VALUE"""),"")</f>
        <v/>
      </c>
      <c r="X2976" s="16" t="str">
        <f>IFERROR(__xludf.DUMMYFUNCTION("""COMPUTED_VALUE"""),"")</f>
        <v/>
      </c>
      <c r="AC2976" s="16" t="str">
        <f>IFERROR(__xludf.DUMMYFUNCTION("""COMPUTED_VALUE"""),"")</f>
        <v/>
      </c>
    </row>
    <row r="2977">
      <c r="A2977" s="16" t="s">
        <v>87</v>
      </c>
      <c r="E2977" s="16" t="str">
        <f>IFERROR(__xludf.DUMMYFUNCTION("""COMPUTED_VALUE"""),"")</f>
        <v/>
      </c>
      <c r="G2977" s="18"/>
      <c r="H2977" s="16" t="s">
        <v>87</v>
      </c>
      <c r="I2977" s="16" t="s">
        <v>87</v>
      </c>
      <c r="J2977" s="19"/>
      <c r="L2977" s="16" t="str">
        <f>IFERROR(__xludf.DUMMYFUNCTION("""COMPUTED_VALUE"""),"")</f>
        <v/>
      </c>
      <c r="M2977" s="16" t="str">
        <f>IFERROR(__xludf.DUMMYFUNCTION("""COMPUTED_VALUE"""),"")</f>
        <v/>
      </c>
      <c r="U2977" s="16" t="s">
        <v>87</v>
      </c>
      <c r="V2977" s="16" t="str">
        <f>IFERROR(__xludf.DUMMYFUNCTION("""COMPUTED_VALUE"""),"")</f>
        <v/>
      </c>
      <c r="W2977" s="16" t="str">
        <f>IFERROR(__xludf.DUMMYFUNCTION("""COMPUTED_VALUE"""),"")</f>
        <v/>
      </c>
      <c r="X2977" s="16" t="str">
        <f>IFERROR(__xludf.DUMMYFUNCTION("""COMPUTED_VALUE"""),"")</f>
        <v/>
      </c>
      <c r="AC2977" s="16" t="str">
        <f>IFERROR(__xludf.DUMMYFUNCTION("""COMPUTED_VALUE"""),"")</f>
        <v/>
      </c>
    </row>
    <row r="2978">
      <c r="A2978" s="16" t="s">
        <v>87</v>
      </c>
      <c r="E2978" s="16" t="str">
        <f>IFERROR(__xludf.DUMMYFUNCTION("""COMPUTED_VALUE"""),"")</f>
        <v/>
      </c>
      <c r="G2978" s="18"/>
      <c r="H2978" s="16" t="s">
        <v>87</v>
      </c>
      <c r="I2978" s="16" t="s">
        <v>87</v>
      </c>
      <c r="J2978" s="19"/>
      <c r="L2978" s="16" t="str">
        <f>IFERROR(__xludf.DUMMYFUNCTION("""COMPUTED_VALUE"""),"")</f>
        <v/>
      </c>
      <c r="M2978" s="16" t="str">
        <f>IFERROR(__xludf.DUMMYFUNCTION("""COMPUTED_VALUE"""),"")</f>
        <v/>
      </c>
      <c r="U2978" s="16" t="s">
        <v>87</v>
      </c>
      <c r="V2978" s="16" t="str">
        <f>IFERROR(__xludf.DUMMYFUNCTION("""COMPUTED_VALUE"""),"")</f>
        <v/>
      </c>
      <c r="W2978" s="16" t="str">
        <f>IFERROR(__xludf.DUMMYFUNCTION("""COMPUTED_VALUE"""),"")</f>
        <v/>
      </c>
      <c r="X2978" s="16" t="str">
        <f>IFERROR(__xludf.DUMMYFUNCTION("""COMPUTED_VALUE"""),"")</f>
        <v/>
      </c>
      <c r="AC2978" s="16" t="str">
        <f>IFERROR(__xludf.DUMMYFUNCTION("""COMPUTED_VALUE"""),"")</f>
        <v/>
      </c>
    </row>
    <row r="2979">
      <c r="A2979" s="16" t="s">
        <v>87</v>
      </c>
      <c r="E2979" s="16" t="str">
        <f>IFERROR(__xludf.DUMMYFUNCTION("""COMPUTED_VALUE"""),"")</f>
        <v/>
      </c>
      <c r="G2979" s="18"/>
      <c r="H2979" s="16" t="s">
        <v>87</v>
      </c>
      <c r="I2979" s="16" t="s">
        <v>87</v>
      </c>
      <c r="J2979" s="19"/>
      <c r="L2979" s="16" t="str">
        <f>IFERROR(__xludf.DUMMYFUNCTION("""COMPUTED_VALUE"""),"")</f>
        <v/>
      </c>
      <c r="M2979" s="16" t="str">
        <f>IFERROR(__xludf.DUMMYFUNCTION("""COMPUTED_VALUE"""),"")</f>
        <v/>
      </c>
      <c r="U2979" s="16" t="s">
        <v>87</v>
      </c>
      <c r="V2979" s="16" t="str">
        <f>IFERROR(__xludf.DUMMYFUNCTION("""COMPUTED_VALUE"""),"")</f>
        <v/>
      </c>
      <c r="W2979" s="16" t="str">
        <f>IFERROR(__xludf.DUMMYFUNCTION("""COMPUTED_VALUE"""),"")</f>
        <v/>
      </c>
      <c r="X2979" s="16" t="str">
        <f>IFERROR(__xludf.DUMMYFUNCTION("""COMPUTED_VALUE"""),"")</f>
        <v/>
      </c>
      <c r="AC2979" s="16" t="str">
        <f>IFERROR(__xludf.DUMMYFUNCTION("""COMPUTED_VALUE"""),"")</f>
        <v/>
      </c>
    </row>
    <row r="2980">
      <c r="A2980" s="16" t="s">
        <v>87</v>
      </c>
      <c r="E2980" s="16" t="str">
        <f>IFERROR(__xludf.DUMMYFUNCTION("""COMPUTED_VALUE"""),"")</f>
        <v/>
      </c>
      <c r="G2980" s="18"/>
      <c r="H2980" s="16" t="s">
        <v>87</v>
      </c>
      <c r="I2980" s="16" t="s">
        <v>87</v>
      </c>
      <c r="J2980" s="19"/>
      <c r="L2980" s="16" t="str">
        <f>IFERROR(__xludf.DUMMYFUNCTION("""COMPUTED_VALUE"""),"")</f>
        <v/>
      </c>
      <c r="M2980" s="16" t="str">
        <f>IFERROR(__xludf.DUMMYFUNCTION("""COMPUTED_VALUE"""),"")</f>
        <v/>
      </c>
      <c r="U2980" s="16" t="s">
        <v>87</v>
      </c>
      <c r="V2980" s="16" t="str">
        <f>IFERROR(__xludf.DUMMYFUNCTION("""COMPUTED_VALUE"""),"")</f>
        <v/>
      </c>
      <c r="W2980" s="16" t="str">
        <f>IFERROR(__xludf.DUMMYFUNCTION("""COMPUTED_VALUE"""),"")</f>
        <v/>
      </c>
      <c r="X2980" s="16" t="str">
        <f>IFERROR(__xludf.DUMMYFUNCTION("""COMPUTED_VALUE"""),"")</f>
        <v/>
      </c>
      <c r="AC2980" s="16" t="str">
        <f>IFERROR(__xludf.DUMMYFUNCTION("""COMPUTED_VALUE"""),"")</f>
        <v/>
      </c>
    </row>
    <row r="2981">
      <c r="A2981" s="16" t="s">
        <v>87</v>
      </c>
      <c r="E2981" s="16" t="str">
        <f>IFERROR(__xludf.DUMMYFUNCTION("""COMPUTED_VALUE"""),"")</f>
        <v/>
      </c>
      <c r="G2981" s="18"/>
      <c r="H2981" s="16" t="s">
        <v>87</v>
      </c>
      <c r="I2981" s="16" t="s">
        <v>87</v>
      </c>
      <c r="J2981" s="19"/>
      <c r="L2981" s="16" t="str">
        <f>IFERROR(__xludf.DUMMYFUNCTION("""COMPUTED_VALUE"""),"")</f>
        <v/>
      </c>
      <c r="M2981" s="16" t="str">
        <f>IFERROR(__xludf.DUMMYFUNCTION("""COMPUTED_VALUE"""),"")</f>
        <v/>
      </c>
      <c r="U2981" s="16" t="s">
        <v>87</v>
      </c>
      <c r="V2981" s="16" t="str">
        <f>IFERROR(__xludf.DUMMYFUNCTION("""COMPUTED_VALUE"""),"")</f>
        <v/>
      </c>
      <c r="W2981" s="16" t="str">
        <f>IFERROR(__xludf.DUMMYFUNCTION("""COMPUTED_VALUE"""),"")</f>
        <v/>
      </c>
      <c r="X2981" s="16" t="str">
        <f>IFERROR(__xludf.DUMMYFUNCTION("""COMPUTED_VALUE"""),"")</f>
        <v/>
      </c>
      <c r="AC2981" s="16" t="str">
        <f>IFERROR(__xludf.DUMMYFUNCTION("""COMPUTED_VALUE"""),"")</f>
        <v/>
      </c>
    </row>
    <row r="2982">
      <c r="A2982" s="16" t="s">
        <v>87</v>
      </c>
      <c r="E2982" s="16" t="str">
        <f>IFERROR(__xludf.DUMMYFUNCTION("""COMPUTED_VALUE"""),"")</f>
        <v/>
      </c>
      <c r="G2982" s="18"/>
      <c r="H2982" s="16" t="s">
        <v>87</v>
      </c>
      <c r="I2982" s="16" t="s">
        <v>87</v>
      </c>
      <c r="J2982" s="19"/>
      <c r="L2982" s="16" t="str">
        <f>IFERROR(__xludf.DUMMYFUNCTION("""COMPUTED_VALUE"""),"")</f>
        <v/>
      </c>
      <c r="M2982" s="16" t="str">
        <f>IFERROR(__xludf.DUMMYFUNCTION("""COMPUTED_VALUE"""),"")</f>
        <v/>
      </c>
      <c r="U2982" s="16" t="s">
        <v>87</v>
      </c>
      <c r="V2982" s="16" t="str">
        <f>IFERROR(__xludf.DUMMYFUNCTION("""COMPUTED_VALUE"""),"")</f>
        <v/>
      </c>
      <c r="W2982" s="16" t="str">
        <f>IFERROR(__xludf.DUMMYFUNCTION("""COMPUTED_VALUE"""),"")</f>
        <v/>
      </c>
      <c r="X2982" s="16" t="str">
        <f>IFERROR(__xludf.DUMMYFUNCTION("""COMPUTED_VALUE"""),"")</f>
        <v/>
      </c>
      <c r="AC2982" s="16" t="str">
        <f>IFERROR(__xludf.DUMMYFUNCTION("""COMPUTED_VALUE"""),"")</f>
        <v/>
      </c>
    </row>
    <row r="2983">
      <c r="A2983" s="16" t="s">
        <v>87</v>
      </c>
      <c r="E2983" s="16" t="str">
        <f>IFERROR(__xludf.DUMMYFUNCTION("""COMPUTED_VALUE"""),"")</f>
        <v/>
      </c>
      <c r="G2983" s="18"/>
      <c r="H2983" s="16" t="s">
        <v>87</v>
      </c>
      <c r="I2983" s="16" t="s">
        <v>87</v>
      </c>
      <c r="J2983" s="19"/>
      <c r="L2983" s="16" t="str">
        <f>IFERROR(__xludf.DUMMYFUNCTION("""COMPUTED_VALUE"""),"")</f>
        <v/>
      </c>
      <c r="M2983" s="16" t="str">
        <f>IFERROR(__xludf.DUMMYFUNCTION("""COMPUTED_VALUE"""),"")</f>
        <v/>
      </c>
      <c r="U2983" s="16" t="s">
        <v>87</v>
      </c>
      <c r="V2983" s="16" t="str">
        <f>IFERROR(__xludf.DUMMYFUNCTION("""COMPUTED_VALUE"""),"")</f>
        <v/>
      </c>
      <c r="W2983" s="16" t="str">
        <f>IFERROR(__xludf.DUMMYFUNCTION("""COMPUTED_VALUE"""),"")</f>
        <v/>
      </c>
      <c r="X2983" s="16" t="str">
        <f>IFERROR(__xludf.DUMMYFUNCTION("""COMPUTED_VALUE"""),"")</f>
        <v/>
      </c>
      <c r="AC2983" s="16" t="str">
        <f>IFERROR(__xludf.DUMMYFUNCTION("""COMPUTED_VALUE"""),"")</f>
        <v/>
      </c>
    </row>
    <row r="2984">
      <c r="A2984" s="16" t="s">
        <v>87</v>
      </c>
      <c r="E2984" s="16" t="str">
        <f>IFERROR(__xludf.DUMMYFUNCTION("""COMPUTED_VALUE"""),"")</f>
        <v/>
      </c>
      <c r="G2984" s="18"/>
      <c r="H2984" s="16" t="s">
        <v>87</v>
      </c>
      <c r="I2984" s="16" t="s">
        <v>87</v>
      </c>
      <c r="J2984" s="19"/>
      <c r="L2984" s="16" t="str">
        <f>IFERROR(__xludf.DUMMYFUNCTION("""COMPUTED_VALUE"""),"")</f>
        <v/>
      </c>
      <c r="M2984" s="16" t="str">
        <f>IFERROR(__xludf.DUMMYFUNCTION("""COMPUTED_VALUE"""),"")</f>
        <v/>
      </c>
      <c r="U2984" s="16" t="s">
        <v>87</v>
      </c>
      <c r="V2984" s="16" t="str">
        <f>IFERROR(__xludf.DUMMYFUNCTION("""COMPUTED_VALUE"""),"")</f>
        <v/>
      </c>
      <c r="W2984" s="16" t="str">
        <f>IFERROR(__xludf.DUMMYFUNCTION("""COMPUTED_VALUE"""),"")</f>
        <v/>
      </c>
      <c r="X2984" s="16" t="str">
        <f>IFERROR(__xludf.DUMMYFUNCTION("""COMPUTED_VALUE"""),"")</f>
        <v/>
      </c>
      <c r="AC2984" s="16" t="str">
        <f>IFERROR(__xludf.DUMMYFUNCTION("""COMPUTED_VALUE"""),"")</f>
        <v/>
      </c>
    </row>
    <row r="2985">
      <c r="A2985" s="16" t="s">
        <v>87</v>
      </c>
      <c r="E2985" s="16" t="str">
        <f>IFERROR(__xludf.DUMMYFUNCTION("""COMPUTED_VALUE"""),"")</f>
        <v/>
      </c>
      <c r="G2985" s="18"/>
      <c r="H2985" s="16" t="s">
        <v>87</v>
      </c>
      <c r="I2985" s="16" t="s">
        <v>87</v>
      </c>
      <c r="J2985" s="19"/>
      <c r="L2985" s="16" t="str">
        <f>IFERROR(__xludf.DUMMYFUNCTION("""COMPUTED_VALUE"""),"")</f>
        <v/>
      </c>
      <c r="M2985" s="16" t="str">
        <f>IFERROR(__xludf.DUMMYFUNCTION("""COMPUTED_VALUE"""),"")</f>
        <v/>
      </c>
      <c r="U2985" s="16" t="s">
        <v>87</v>
      </c>
      <c r="V2985" s="16" t="str">
        <f>IFERROR(__xludf.DUMMYFUNCTION("""COMPUTED_VALUE"""),"")</f>
        <v/>
      </c>
      <c r="W2985" s="16" t="str">
        <f>IFERROR(__xludf.DUMMYFUNCTION("""COMPUTED_VALUE"""),"")</f>
        <v/>
      </c>
      <c r="X2985" s="16" t="str">
        <f>IFERROR(__xludf.DUMMYFUNCTION("""COMPUTED_VALUE"""),"")</f>
        <v/>
      </c>
      <c r="AC2985" s="16" t="str">
        <f>IFERROR(__xludf.DUMMYFUNCTION("""COMPUTED_VALUE"""),"")</f>
        <v/>
      </c>
    </row>
    <row r="2986">
      <c r="A2986" s="16" t="s">
        <v>87</v>
      </c>
      <c r="E2986" s="16" t="str">
        <f>IFERROR(__xludf.DUMMYFUNCTION("""COMPUTED_VALUE"""),"")</f>
        <v/>
      </c>
      <c r="G2986" s="18"/>
      <c r="H2986" s="16" t="s">
        <v>87</v>
      </c>
      <c r="I2986" s="16" t="s">
        <v>87</v>
      </c>
      <c r="J2986" s="19"/>
      <c r="L2986" s="16" t="str">
        <f>IFERROR(__xludf.DUMMYFUNCTION("""COMPUTED_VALUE"""),"")</f>
        <v/>
      </c>
      <c r="M2986" s="16" t="str">
        <f>IFERROR(__xludf.DUMMYFUNCTION("""COMPUTED_VALUE"""),"")</f>
        <v/>
      </c>
      <c r="U2986" s="16" t="s">
        <v>87</v>
      </c>
      <c r="V2986" s="16" t="str">
        <f>IFERROR(__xludf.DUMMYFUNCTION("""COMPUTED_VALUE"""),"")</f>
        <v/>
      </c>
      <c r="W2986" s="16" t="str">
        <f>IFERROR(__xludf.DUMMYFUNCTION("""COMPUTED_VALUE"""),"")</f>
        <v/>
      </c>
      <c r="X2986" s="16" t="str">
        <f>IFERROR(__xludf.DUMMYFUNCTION("""COMPUTED_VALUE"""),"")</f>
        <v/>
      </c>
      <c r="AC2986" s="16" t="str">
        <f>IFERROR(__xludf.DUMMYFUNCTION("""COMPUTED_VALUE"""),"")</f>
        <v/>
      </c>
    </row>
    <row r="2987">
      <c r="A2987" s="16" t="s">
        <v>87</v>
      </c>
      <c r="E2987" s="16" t="str">
        <f>IFERROR(__xludf.DUMMYFUNCTION("""COMPUTED_VALUE"""),"")</f>
        <v/>
      </c>
      <c r="G2987" s="18"/>
      <c r="H2987" s="16" t="s">
        <v>87</v>
      </c>
      <c r="I2987" s="16" t="s">
        <v>87</v>
      </c>
      <c r="J2987" s="19"/>
      <c r="L2987" s="16" t="str">
        <f>IFERROR(__xludf.DUMMYFUNCTION("""COMPUTED_VALUE"""),"")</f>
        <v/>
      </c>
      <c r="M2987" s="16" t="str">
        <f>IFERROR(__xludf.DUMMYFUNCTION("""COMPUTED_VALUE"""),"")</f>
        <v/>
      </c>
      <c r="U2987" s="16" t="s">
        <v>87</v>
      </c>
      <c r="V2987" s="16" t="str">
        <f>IFERROR(__xludf.DUMMYFUNCTION("""COMPUTED_VALUE"""),"")</f>
        <v/>
      </c>
      <c r="W2987" s="16" t="str">
        <f>IFERROR(__xludf.DUMMYFUNCTION("""COMPUTED_VALUE"""),"")</f>
        <v/>
      </c>
      <c r="X2987" s="16" t="str">
        <f>IFERROR(__xludf.DUMMYFUNCTION("""COMPUTED_VALUE"""),"")</f>
        <v/>
      </c>
      <c r="AC2987" s="16" t="str">
        <f>IFERROR(__xludf.DUMMYFUNCTION("""COMPUTED_VALUE"""),"")</f>
        <v/>
      </c>
    </row>
    <row r="2988">
      <c r="A2988" s="16" t="s">
        <v>87</v>
      </c>
      <c r="E2988" s="16" t="str">
        <f>IFERROR(__xludf.DUMMYFUNCTION("""COMPUTED_VALUE"""),"")</f>
        <v/>
      </c>
      <c r="G2988" s="18"/>
      <c r="H2988" s="16" t="s">
        <v>87</v>
      </c>
      <c r="I2988" s="16" t="s">
        <v>87</v>
      </c>
      <c r="J2988" s="19"/>
      <c r="L2988" s="16" t="str">
        <f>IFERROR(__xludf.DUMMYFUNCTION("""COMPUTED_VALUE"""),"")</f>
        <v/>
      </c>
      <c r="M2988" s="16" t="str">
        <f>IFERROR(__xludf.DUMMYFUNCTION("""COMPUTED_VALUE"""),"")</f>
        <v/>
      </c>
      <c r="U2988" s="16" t="s">
        <v>87</v>
      </c>
      <c r="V2988" s="16" t="str">
        <f>IFERROR(__xludf.DUMMYFUNCTION("""COMPUTED_VALUE"""),"")</f>
        <v/>
      </c>
      <c r="W2988" s="16" t="str">
        <f>IFERROR(__xludf.DUMMYFUNCTION("""COMPUTED_VALUE"""),"")</f>
        <v/>
      </c>
      <c r="X2988" s="16" t="str">
        <f>IFERROR(__xludf.DUMMYFUNCTION("""COMPUTED_VALUE"""),"")</f>
        <v/>
      </c>
      <c r="AC2988" s="16" t="str">
        <f>IFERROR(__xludf.DUMMYFUNCTION("""COMPUTED_VALUE"""),"")</f>
        <v/>
      </c>
    </row>
    <row r="2989">
      <c r="A2989" s="16" t="s">
        <v>87</v>
      </c>
      <c r="E2989" s="16" t="str">
        <f>IFERROR(__xludf.DUMMYFUNCTION("""COMPUTED_VALUE"""),"")</f>
        <v/>
      </c>
      <c r="G2989" s="18"/>
      <c r="H2989" s="16" t="s">
        <v>87</v>
      </c>
      <c r="I2989" s="16" t="s">
        <v>87</v>
      </c>
      <c r="J2989" s="19"/>
      <c r="L2989" s="16" t="str">
        <f>IFERROR(__xludf.DUMMYFUNCTION("""COMPUTED_VALUE"""),"")</f>
        <v/>
      </c>
      <c r="M2989" s="16" t="str">
        <f>IFERROR(__xludf.DUMMYFUNCTION("""COMPUTED_VALUE"""),"")</f>
        <v/>
      </c>
      <c r="U2989" s="16" t="s">
        <v>87</v>
      </c>
      <c r="V2989" s="16" t="str">
        <f>IFERROR(__xludf.DUMMYFUNCTION("""COMPUTED_VALUE"""),"")</f>
        <v/>
      </c>
      <c r="W2989" s="16" t="str">
        <f>IFERROR(__xludf.DUMMYFUNCTION("""COMPUTED_VALUE"""),"")</f>
        <v/>
      </c>
      <c r="X2989" s="16" t="str">
        <f>IFERROR(__xludf.DUMMYFUNCTION("""COMPUTED_VALUE"""),"")</f>
        <v/>
      </c>
      <c r="AC2989" s="16" t="str">
        <f>IFERROR(__xludf.DUMMYFUNCTION("""COMPUTED_VALUE"""),"")</f>
        <v/>
      </c>
    </row>
    <row r="2990">
      <c r="A2990" s="16" t="s">
        <v>87</v>
      </c>
      <c r="E2990" s="16" t="str">
        <f>IFERROR(__xludf.DUMMYFUNCTION("""COMPUTED_VALUE"""),"")</f>
        <v/>
      </c>
      <c r="G2990" s="18"/>
      <c r="H2990" s="16" t="s">
        <v>87</v>
      </c>
      <c r="I2990" s="16" t="s">
        <v>87</v>
      </c>
      <c r="J2990" s="19"/>
      <c r="L2990" s="16" t="str">
        <f>IFERROR(__xludf.DUMMYFUNCTION("""COMPUTED_VALUE"""),"")</f>
        <v/>
      </c>
      <c r="M2990" s="16" t="str">
        <f>IFERROR(__xludf.DUMMYFUNCTION("""COMPUTED_VALUE"""),"")</f>
        <v/>
      </c>
      <c r="U2990" s="16" t="s">
        <v>87</v>
      </c>
      <c r="V2990" s="16" t="str">
        <f>IFERROR(__xludf.DUMMYFUNCTION("""COMPUTED_VALUE"""),"")</f>
        <v/>
      </c>
      <c r="W2990" s="16" t="str">
        <f>IFERROR(__xludf.DUMMYFUNCTION("""COMPUTED_VALUE"""),"")</f>
        <v/>
      </c>
      <c r="X2990" s="16" t="str">
        <f>IFERROR(__xludf.DUMMYFUNCTION("""COMPUTED_VALUE"""),"")</f>
        <v/>
      </c>
      <c r="AC2990" s="16" t="str">
        <f>IFERROR(__xludf.DUMMYFUNCTION("""COMPUTED_VALUE"""),"")</f>
        <v/>
      </c>
    </row>
    <row r="2991">
      <c r="A2991" s="16" t="s">
        <v>87</v>
      </c>
      <c r="E2991" s="16" t="str">
        <f>IFERROR(__xludf.DUMMYFUNCTION("""COMPUTED_VALUE"""),"")</f>
        <v/>
      </c>
      <c r="G2991" s="18"/>
      <c r="H2991" s="16" t="s">
        <v>87</v>
      </c>
      <c r="I2991" s="16" t="s">
        <v>87</v>
      </c>
      <c r="J2991" s="19"/>
      <c r="L2991" s="16" t="str">
        <f>IFERROR(__xludf.DUMMYFUNCTION("""COMPUTED_VALUE"""),"")</f>
        <v/>
      </c>
      <c r="M2991" s="16" t="str">
        <f>IFERROR(__xludf.DUMMYFUNCTION("""COMPUTED_VALUE"""),"")</f>
        <v/>
      </c>
      <c r="U2991" s="16" t="s">
        <v>87</v>
      </c>
      <c r="V2991" s="16" t="str">
        <f>IFERROR(__xludf.DUMMYFUNCTION("""COMPUTED_VALUE"""),"")</f>
        <v/>
      </c>
      <c r="W2991" s="16" t="str">
        <f>IFERROR(__xludf.DUMMYFUNCTION("""COMPUTED_VALUE"""),"")</f>
        <v/>
      </c>
      <c r="X2991" s="16" t="str">
        <f>IFERROR(__xludf.DUMMYFUNCTION("""COMPUTED_VALUE"""),"")</f>
        <v/>
      </c>
      <c r="AC2991" s="16" t="str">
        <f>IFERROR(__xludf.DUMMYFUNCTION("""COMPUTED_VALUE"""),"")</f>
        <v/>
      </c>
    </row>
    <row r="2992">
      <c r="A2992" s="16" t="s">
        <v>87</v>
      </c>
      <c r="E2992" s="16" t="str">
        <f>IFERROR(__xludf.DUMMYFUNCTION("""COMPUTED_VALUE"""),"")</f>
        <v/>
      </c>
      <c r="G2992" s="18"/>
      <c r="H2992" s="16" t="s">
        <v>87</v>
      </c>
      <c r="I2992" s="16" t="s">
        <v>87</v>
      </c>
      <c r="J2992" s="19"/>
      <c r="L2992" s="16" t="str">
        <f>IFERROR(__xludf.DUMMYFUNCTION("""COMPUTED_VALUE"""),"")</f>
        <v/>
      </c>
      <c r="M2992" s="16" t="str">
        <f>IFERROR(__xludf.DUMMYFUNCTION("""COMPUTED_VALUE"""),"")</f>
        <v/>
      </c>
      <c r="U2992" s="16" t="s">
        <v>87</v>
      </c>
      <c r="V2992" s="16" t="str">
        <f>IFERROR(__xludf.DUMMYFUNCTION("""COMPUTED_VALUE"""),"")</f>
        <v/>
      </c>
      <c r="W2992" s="16" t="str">
        <f>IFERROR(__xludf.DUMMYFUNCTION("""COMPUTED_VALUE"""),"")</f>
        <v/>
      </c>
      <c r="X2992" s="16" t="str">
        <f>IFERROR(__xludf.DUMMYFUNCTION("""COMPUTED_VALUE"""),"")</f>
        <v/>
      </c>
      <c r="AC2992" s="16" t="str">
        <f>IFERROR(__xludf.DUMMYFUNCTION("""COMPUTED_VALUE"""),"")</f>
        <v/>
      </c>
    </row>
    <row r="2993">
      <c r="A2993" s="16" t="s">
        <v>87</v>
      </c>
      <c r="E2993" s="16" t="str">
        <f>IFERROR(__xludf.DUMMYFUNCTION("""COMPUTED_VALUE"""),"")</f>
        <v/>
      </c>
      <c r="G2993" s="18"/>
      <c r="H2993" s="16" t="s">
        <v>87</v>
      </c>
      <c r="I2993" s="16" t="s">
        <v>87</v>
      </c>
      <c r="J2993" s="19"/>
      <c r="L2993" s="16" t="str">
        <f>IFERROR(__xludf.DUMMYFUNCTION("""COMPUTED_VALUE"""),"")</f>
        <v/>
      </c>
      <c r="M2993" s="16" t="str">
        <f>IFERROR(__xludf.DUMMYFUNCTION("""COMPUTED_VALUE"""),"")</f>
        <v/>
      </c>
      <c r="U2993" s="16" t="s">
        <v>87</v>
      </c>
      <c r="V2993" s="16" t="str">
        <f>IFERROR(__xludf.DUMMYFUNCTION("""COMPUTED_VALUE"""),"")</f>
        <v/>
      </c>
      <c r="W2993" s="16" t="str">
        <f>IFERROR(__xludf.DUMMYFUNCTION("""COMPUTED_VALUE"""),"")</f>
        <v/>
      </c>
      <c r="X2993" s="16" t="str">
        <f>IFERROR(__xludf.DUMMYFUNCTION("""COMPUTED_VALUE"""),"")</f>
        <v/>
      </c>
      <c r="AC2993" s="16" t="str">
        <f>IFERROR(__xludf.DUMMYFUNCTION("""COMPUTED_VALUE"""),"")</f>
        <v/>
      </c>
    </row>
    <row r="2994">
      <c r="A2994" s="16" t="s">
        <v>87</v>
      </c>
      <c r="E2994" s="16" t="str">
        <f>IFERROR(__xludf.DUMMYFUNCTION("""COMPUTED_VALUE"""),"")</f>
        <v/>
      </c>
      <c r="G2994" s="18"/>
      <c r="H2994" s="16" t="s">
        <v>87</v>
      </c>
      <c r="I2994" s="16" t="s">
        <v>87</v>
      </c>
      <c r="J2994" s="19"/>
      <c r="L2994" s="16" t="str">
        <f>IFERROR(__xludf.DUMMYFUNCTION("""COMPUTED_VALUE"""),"")</f>
        <v/>
      </c>
      <c r="M2994" s="16" t="str">
        <f>IFERROR(__xludf.DUMMYFUNCTION("""COMPUTED_VALUE"""),"")</f>
        <v/>
      </c>
      <c r="U2994" s="16" t="s">
        <v>87</v>
      </c>
      <c r="V2994" s="16" t="str">
        <f>IFERROR(__xludf.DUMMYFUNCTION("""COMPUTED_VALUE"""),"")</f>
        <v/>
      </c>
      <c r="W2994" s="16" t="str">
        <f>IFERROR(__xludf.DUMMYFUNCTION("""COMPUTED_VALUE"""),"")</f>
        <v/>
      </c>
      <c r="X2994" s="16" t="str">
        <f>IFERROR(__xludf.DUMMYFUNCTION("""COMPUTED_VALUE"""),"")</f>
        <v/>
      </c>
      <c r="AC2994" s="16" t="str">
        <f>IFERROR(__xludf.DUMMYFUNCTION("""COMPUTED_VALUE"""),"")</f>
        <v/>
      </c>
    </row>
    <row r="2995">
      <c r="A2995" s="16" t="s">
        <v>87</v>
      </c>
      <c r="E2995" s="16" t="str">
        <f>IFERROR(__xludf.DUMMYFUNCTION("""COMPUTED_VALUE"""),"")</f>
        <v/>
      </c>
      <c r="G2995" s="18"/>
      <c r="H2995" s="16" t="s">
        <v>87</v>
      </c>
      <c r="I2995" s="16" t="s">
        <v>87</v>
      </c>
      <c r="J2995" s="19"/>
      <c r="L2995" s="16" t="str">
        <f>IFERROR(__xludf.DUMMYFUNCTION("""COMPUTED_VALUE"""),"")</f>
        <v/>
      </c>
      <c r="M2995" s="16" t="str">
        <f>IFERROR(__xludf.DUMMYFUNCTION("""COMPUTED_VALUE"""),"")</f>
        <v/>
      </c>
      <c r="U2995" s="16" t="s">
        <v>87</v>
      </c>
      <c r="V2995" s="16" t="str">
        <f>IFERROR(__xludf.DUMMYFUNCTION("""COMPUTED_VALUE"""),"")</f>
        <v/>
      </c>
      <c r="W2995" s="16" t="str">
        <f>IFERROR(__xludf.DUMMYFUNCTION("""COMPUTED_VALUE"""),"")</f>
        <v/>
      </c>
      <c r="X2995" s="16" t="str">
        <f>IFERROR(__xludf.DUMMYFUNCTION("""COMPUTED_VALUE"""),"")</f>
        <v/>
      </c>
      <c r="AC2995" s="16" t="str">
        <f>IFERROR(__xludf.DUMMYFUNCTION("""COMPUTED_VALUE"""),"")</f>
        <v/>
      </c>
    </row>
    <row r="2996">
      <c r="A2996" s="16" t="s">
        <v>87</v>
      </c>
      <c r="E2996" s="16" t="str">
        <f>IFERROR(__xludf.DUMMYFUNCTION("""COMPUTED_VALUE"""),"")</f>
        <v/>
      </c>
      <c r="G2996" s="18"/>
      <c r="H2996" s="16" t="s">
        <v>87</v>
      </c>
      <c r="I2996" s="16" t="s">
        <v>87</v>
      </c>
      <c r="J2996" s="19"/>
      <c r="L2996" s="16" t="str">
        <f>IFERROR(__xludf.DUMMYFUNCTION("""COMPUTED_VALUE"""),"")</f>
        <v/>
      </c>
      <c r="M2996" s="16" t="str">
        <f>IFERROR(__xludf.DUMMYFUNCTION("""COMPUTED_VALUE"""),"")</f>
        <v/>
      </c>
      <c r="U2996" s="16" t="s">
        <v>87</v>
      </c>
      <c r="V2996" s="16" t="str">
        <f>IFERROR(__xludf.DUMMYFUNCTION("""COMPUTED_VALUE"""),"")</f>
        <v/>
      </c>
      <c r="W2996" s="16" t="str">
        <f>IFERROR(__xludf.DUMMYFUNCTION("""COMPUTED_VALUE"""),"")</f>
        <v/>
      </c>
      <c r="X2996" s="16" t="str">
        <f>IFERROR(__xludf.DUMMYFUNCTION("""COMPUTED_VALUE"""),"")</f>
        <v/>
      </c>
      <c r="AC2996" s="16" t="str">
        <f>IFERROR(__xludf.DUMMYFUNCTION("""COMPUTED_VALUE"""),"")</f>
        <v/>
      </c>
    </row>
    <row r="2997">
      <c r="A2997" s="16" t="s">
        <v>87</v>
      </c>
      <c r="E2997" s="16" t="str">
        <f>IFERROR(__xludf.DUMMYFUNCTION("""COMPUTED_VALUE"""),"")</f>
        <v/>
      </c>
      <c r="G2997" s="18"/>
      <c r="H2997" s="16" t="s">
        <v>87</v>
      </c>
      <c r="I2997" s="16" t="s">
        <v>87</v>
      </c>
      <c r="J2997" s="19"/>
      <c r="L2997" s="16" t="str">
        <f>IFERROR(__xludf.DUMMYFUNCTION("""COMPUTED_VALUE"""),"")</f>
        <v/>
      </c>
      <c r="M2997" s="16" t="str">
        <f>IFERROR(__xludf.DUMMYFUNCTION("""COMPUTED_VALUE"""),"")</f>
        <v/>
      </c>
      <c r="U2997" s="16" t="s">
        <v>87</v>
      </c>
      <c r="V2997" s="16" t="str">
        <f>IFERROR(__xludf.DUMMYFUNCTION("""COMPUTED_VALUE"""),"")</f>
        <v/>
      </c>
      <c r="W2997" s="16" t="str">
        <f>IFERROR(__xludf.DUMMYFUNCTION("""COMPUTED_VALUE"""),"")</f>
        <v/>
      </c>
      <c r="X2997" s="16" t="str">
        <f>IFERROR(__xludf.DUMMYFUNCTION("""COMPUTED_VALUE"""),"")</f>
        <v/>
      </c>
      <c r="AC2997" s="16" t="str">
        <f>IFERROR(__xludf.DUMMYFUNCTION("""COMPUTED_VALUE"""),"")</f>
        <v/>
      </c>
    </row>
    <row r="2998">
      <c r="A2998" s="16" t="s">
        <v>87</v>
      </c>
      <c r="E2998" s="16" t="str">
        <f>IFERROR(__xludf.DUMMYFUNCTION("""COMPUTED_VALUE"""),"")</f>
        <v/>
      </c>
      <c r="G2998" s="18"/>
      <c r="H2998" s="16" t="s">
        <v>87</v>
      </c>
      <c r="I2998" s="16" t="s">
        <v>87</v>
      </c>
      <c r="J2998" s="19"/>
      <c r="L2998" s="16" t="str">
        <f>IFERROR(__xludf.DUMMYFUNCTION("""COMPUTED_VALUE"""),"")</f>
        <v/>
      </c>
      <c r="M2998" s="16" t="str">
        <f>IFERROR(__xludf.DUMMYFUNCTION("""COMPUTED_VALUE"""),"")</f>
        <v/>
      </c>
      <c r="U2998" s="16" t="s">
        <v>87</v>
      </c>
      <c r="V2998" s="16" t="str">
        <f>IFERROR(__xludf.DUMMYFUNCTION("""COMPUTED_VALUE"""),"")</f>
        <v/>
      </c>
      <c r="W2998" s="16" t="str">
        <f>IFERROR(__xludf.DUMMYFUNCTION("""COMPUTED_VALUE"""),"")</f>
        <v/>
      </c>
      <c r="X2998" s="16" t="str">
        <f>IFERROR(__xludf.DUMMYFUNCTION("""COMPUTED_VALUE"""),"")</f>
        <v/>
      </c>
      <c r="AC2998" s="16" t="str">
        <f>IFERROR(__xludf.DUMMYFUNCTION("""COMPUTED_VALUE"""),"")</f>
        <v/>
      </c>
    </row>
    <row r="2999">
      <c r="A2999" s="16" t="s">
        <v>87</v>
      </c>
      <c r="E2999" s="16" t="str">
        <f>IFERROR(__xludf.DUMMYFUNCTION("""COMPUTED_VALUE"""),"")</f>
        <v/>
      </c>
      <c r="G2999" s="18"/>
      <c r="H2999" s="16" t="s">
        <v>87</v>
      </c>
      <c r="I2999" s="16" t="s">
        <v>87</v>
      </c>
      <c r="J2999" s="19"/>
      <c r="L2999" s="16" t="str">
        <f>IFERROR(__xludf.DUMMYFUNCTION("""COMPUTED_VALUE"""),"")</f>
        <v/>
      </c>
      <c r="M2999" s="16" t="str">
        <f>IFERROR(__xludf.DUMMYFUNCTION("""COMPUTED_VALUE"""),"")</f>
        <v/>
      </c>
      <c r="U2999" s="16" t="s">
        <v>87</v>
      </c>
      <c r="V2999" s="16" t="str">
        <f>IFERROR(__xludf.DUMMYFUNCTION("""COMPUTED_VALUE"""),"")</f>
        <v/>
      </c>
      <c r="W2999" s="16" t="str">
        <f>IFERROR(__xludf.DUMMYFUNCTION("""COMPUTED_VALUE"""),"")</f>
        <v/>
      </c>
      <c r="X2999" s="16" t="str">
        <f>IFERROR(__xludf.DUMMYFUNCTION("""COMPUTED_VALUE"""),"")</f>
        <v/>
      </c>
      <c r="AC2999" s="16" t="str">
        <f>IFERROR(__xludf.DUMMYFUNCTION("""COMPUTED_VALUE"""),"")</f>
        <v/>
      </c>
    </row>
    <row r="3000">
      <c r="A3000" s="16" t="s">
        <v>87</v>
      </c>
      <c r="E3000" s="16" t="str">
        <f>IFERROR(__xludf.DUMMYFUNCTION("""COMPUTED_VALUE"""),"")</f>
        <v/>
      </c>
      <c r="G3000" s="18"/>
      <c r="H3000" s="16" t="s">
        <v>87</v>
      </c>
      <c r="I3000" s="16" t="s">
        <v>87</v>
      </c>
      <c r="J3000" s="19"/>
      <c r="L3000" s="16" t="str">
        <f>IFERROR(__xludf.DUMMYFUNCTION("""COMPUTED_VALUE"""),"")</f>
        <v/>
      </c>
      <c r="M3000" s="16" t="str">
        <f>IFERROR(__xludf.DUMMYFUNCTION("""COMPUTED_VALUE"""),"")</f>
        <v/>
      </c>
      <c r="U3000" s="16" t="s">
        <v>87</v>
      </c>
      <c r="V3000" s="16" t="str">
        <f>IFERROR(__xludf.DUMMYFUNCTION("""COMPUTED_VALUE"""),"")</f>
        <v/>
      </c>
      <c r="W3000" s="16" t="str">
        <f>IFERROR(__xludf.DUMMYFUNCTION("""COMPUTED_VALUE"""),"")</f>
        <v/>
      </c>
      <c r="X3000" s="16" t="str">
        <f>IFERROR(__xludf.DUMMYFUNCTION("""COMPUTED_VALUE"""),"")</f>
        <v/>
      </c>
      <c r="AC3000" s="16" t="str">
        <f>IFERROR(__xludf.DUMMYFUNCTION("""COMPUTED_VALUE"""),"")</f>
        <v/>
      </c>
    </row>
    <row r="3001">
      <c r="A3001" s="16" t="s">
        <v>87</v>
      </c>
      <c r="E3001" s="16" t="str">
        <f>IFERROR(__xludf.DUMMYFUNCTION("""COMPUTED_VALUE"""),"")</f>
        <v/>
      </c>
      <c r="G3001" s="18"/>
      <c r="H3001" s="16" t="s">
        <v>87</v>
      </c>
      <c r="I3001" s="16" t="s">
        <v>87</v>
      </c>
      <c r="J3001" s="19"/>
      <c r="L3001" s="16" t="str">
        <f>IFERROR(__xludf.DUMMYFUNCTION("""COMPUTED_VALUE"""),"")</f>
        <v/>
      </c>
      <c r="M3001" s="16" t="str">
        <f>IFERROR(__xludf.DUMMYFUNCTION("""COMPUTED_VALUE"""),"")</f>
        <v/>
      </c>
      <c r="U3001" s="16" t="s">
        <v>87</v>
      </c>
      <c r="V3001" s="16" t="str">
        <f>IFERROR(__xludf.DUMMYFUNCTION("""COMPUTED_VALUE"""),"")</f>
        <v/>
      </c>
      <c r="W3001" s="16" t="str">
        <f>IFERROR(__xludf.DUMMYFUNCTION("""COMPUTED_VALUE"""),"")</f>
        <v/>
      </c>
      <c r="X3001" s="16" t="str">
        <f>IFERROR(__xludf.DUMMYFUNCTION("""COMPUTED_VALUE"""),"")</f>
        <v/>
      </c>
      <c r="AC3001" s="16" t="str">
        <f>IFERROR(__xludf.DUMMYFUNCTION("""COMPUTED_VALUE"""),"")</f>
        <v/>
      </c>
    </row>
    <row r="3002">
      <c r="A3002" s="16" t="s">
        <v>87</v>
      </c>
      <c r="E3002" s="16" t="str">
        <f>IFERROR(__xludf.DUMMYFUNCTION("""COMPUTED_VALUE"""),"")</f>
        <v/>
      </c>
      <c r="G3002" s="18"/>
      <c r="H3002" s="16" t="s">
        <v>87</v>
      </c>
      <c r="I3002" s="16" t="s">
        <v>87</v>
      </c>
      <c r="J3002" s="19"/>
      <c r="L3002" s="16" t="str">
        <f>IFERROR(__xludf.DUMMYFUNCTION("""COMPUTED_VALUE"""),"")</f>
        <v/>
      </c>
      <c r="M3002" s="16" t="str">
        <f>IFERROR(__xludf.DUMMYFUNCTION("""COMPUTED_VALUE"""),"")</f>
        <v/>
      </c>
      <c r="U3002" s="16" t="s">
        <v>87</v>
      </c>
      <c r="V3002" s="16" t="str">
        <f>IFERROR(__xludf.DUMMYFUNCTION("""COMPUTED_VALUE"""),"")</f>
        <v/>
      </c>
      <c r="W3002" s="16" t="str">
        <f>IFERROR(__xludf.DUMMYFUNCTION("""COMPUTED_VALUE"""),"")</f>
        <v/>
      </c>
      <c r="X3002" s="16" t="str">
        <f>IFERROR(__xludf.DUMMYFUNCTION("""COMPUTED_VALUE"""),"")</f>
        <v/>
      </c>
      <c r="AC3002" s="16" t="str">
        <f>IFERROR(__xludf.DUMMYFUNCTION("""COMPUTED_VALUE"""),"")</f>
        <v/>
      </c>
    </row>
    <row r="3003">
      <c r="A3003" s="16" t="s">
        <v>87</v>
      </c>
      <c r="E3003" s="16" t="str">
        <f>IFERROR(__xludf.DUMMYFUNCTION("""COMPUTED_VALUE"""),"")</f>
        <v/>
      </c>
      <c r="G3003" s="18"/>
      <c r="H3003" s="16" t="s">
        <v>87</v>
      </c>
      <c r="I3003" s="16" t="s">
        <v>87</v>
      </c>
      <c r="J3003" s="19"/>
      <c r="L3003" s="16" t="str">
        <f>IFERROR(__xludf.DUMMYFUNCTION("""COMPUTED_VALUE"""),"")</f>
        <v/>
      </c>
      <c r="M3003" s="16" t="str">
        <f>IFERROR(__xludf.DUMMYFUNCTION("""COMPUTED_VALUE"""),"")</f>
        <v/>
      </c>
      <c r="U3003" s="16" t="s">
        <v>87</v>
      </c>
      <c r="V3003" s="16" t="str">
        <f>IFERROR(__xludf.DUMMYFUNCTION("""COMPUTED_VALUE"""),"")</f>
        <v/>
      </c>
      <c r="W3003" s="16" t="str">
        <f>IFERROR(__xludf.DUMMYFUNCTION("""COMPUTED_VALUE"""),"")</f>
        <v/>
      </c>
      <c r="X3003" s="16" t="str">
        <f>IFERROR(__xludf.DUMMYFUNCTION("""COMPUTED_VALUE"""),"")</f>
        <v/>
      </c>
      <c r="AC3003" s="16" t="str">
        <f>IFERROR(__xludf.DUMMYFUNCTION("""COMPUTED_VALUE"""),"")</f>
        <v/>
      </c>
    </row>
    <row r="3004">
      <c r="A3004" s="16" t="s">
        <v>87</v>
      </c>
      <c r="E3004" s="16" t="str">
        <f>IFERROR(__xludf.DUMMYFUNCTION("""COMPUTED_VALUE"""),"")</f>
        <v/>
      </c>
      <c r="G3004" s="18"/>
      <c r="H3004" s="16" t="s">
        <v>87</v>
      </c>
      <c r="I3004" s="16" t="s">
        <v>87</v>
      </c>
      <c r="J3004" s="19"/>
      <c r="L3004" s="16" t="str">
        <f>IFERROR(__xludf.DUMMYFUNCTION("""COMPUTED_VALUE"""),"")</f>
        <v/>
      </c>
      <c r="M3004" s="16" t="str">
        <f>IFERROR(__xludf.DUMMYFUNCTION("""COMPUTED_VALUE"""),"")</f>
        <v/>
      </c>
      <c r="U3004" s="16" t="s">
        <v>87</v>
      </c>
      <c r="V3004" s="16" t="str">
        <f>IFERROR(__xludf.DUMMYFUNCTION("""COMPUTED_VALUE"""),"")</f>
        <v/>
      </c>
      <c r="W3004" s="16" t="str">
        <f>IFERROR(__xludf.DUMMYFUNCTION("""COMPUTED_VALUE"""),"")</f>
        <v/>
      </c>
      <c r="X3004" s="16" t="str">
        <f>IFERROR(__xludf.DUMMYFUNCTION("""COMPUTED_VALUE"""),"")</f>
        <v/>
      </c>
      <c r="AC3004" s="16" t="str">
        <f>IFERROR(__xludf.DUMMYFUNCTION("""COMPUTED_VALUE"""),"")</f>
        <v/>
      </c>
    </row>
    <row r="3005">
      <c r="A3005" s="16" t="s">
        <v>87</v>
      </c>
      <c r="E3005" s="16" t="str">
        <f>IFERROR(__xludf.DUMMYFUNCTION("""COMPUTED_VALUE"""),"")</f>
        <v/>
      </c>
      <c r="G3005" s="18"/>
      <c r="H3005" s="16" t="s">
        <v>87</v>
      </c>
      <c r="I3005" s="16" t="s">
        <v>87</v>
      </c>
      <c r="J3005" s="19"/>
      <c r="L3005" s="16" t="str">
        <f>IFERROR(__xludf.DUMMYFUNCTION("""COMPUTED_VALUE"""),"")</f>
        <v/>
      </c>
      <c r="M3005" s="16" t="str">
        <f>IFERROR(__xludf.DUMMYFUNCTION("""COMPUTED_VALUE"""),"")</f>
        <v/>
      </c>
      <c r="U3005" s="16" t="s">
        <v>87</v>
      </c>
      <c r="V3005" s="16" t="str">
        <f>IFERROR(__xludf.DUMMYFUNCTION("""COMPUTED_VALUE"""),"")</f>
        <v/>
      </c>
      <c r="W3005" s="16" t="str">
        <f>IFERROR(__xludf.DUMMYFUNCTION("""COMPUTED_VALUE"""),"")</f>
        <v/>
      </c>
      <c r="X3005" s="16" t="str">
        <f>IFERROR(__xludf.DUMMYFUNCTION("""COMPUTED_VALUE"""),"")</f>
        <v/>
      </c>
      <c r="AC3005" s="16" t="str">
        <f>IFERROR(__xludf.DUMMYFUNCTION("""COMPUTED_VALUE"""),"")</f>
        <v/>
      </c>
    </row>
    <row r="3006">
      <c r="A3006" s="16" t="s">
        <v>87</v>
      </c>
      <c r="E3006" s="16" t="str">
        <f>IFERROR(__xludf.DUMMYFUNCTION("""COMPUTED_VALUE"""),"")</f>
        <v/>
      </c>
      <c r="G3006" s="18"/>
      <c r="H3006" s="16" t="s">
        <v>87</v>
      </c>
      <c r="I3006" s="16" t="s">
        <v>87</v>
      </c>
      <c r="J3006" s="19"/>
      <c r="L3006" s="16" t="str">
        <f>IFERROR(__xludf.DUMMYFUNCTION("""COMPUTED_VALUE"""),"")</f>
        <v/>
      </c>
      <c r="M3006" s="16" t="str">
        <f>IFERROR(__xludf.DUMMYFUNCTION("""COMPUTED_VALUE"""),"")</f>
        <v/>
      </c>
      <c r="U3006" s="16" t="s">
        <v>87</v>
      </c>
      <c r="V3006" s="16" t="str">
        <f>IFERROR(__xludf.DUMMYFUNCTION("""COMPUTED_VALUE"""),"")</f>
        <v/>
      </c>
      <c r="W3006" s="16" t="str">
        <f>IFERROR(__xludf.DUMMYFUNCTION("""COMPUTED_VALUE"""),"")</f>
        <v/>
      </c>
      <c r="X3006" s="16" t="str">
        <f>IFERROR(__xludf.DUMMYFUNCTION("""COMPUTED_VALUE"""),"")</f>
        <v/>
      </c>
      <c r="AC3006" s="16" t="str">
        <f>IFERROR(__xludf.DUMMYFUNCTION("""COMPUTED_VALUE"""),"")</f>
        <v/>
      </c>
    </row>
    <row r="3007">
      <c r="A3007" s="16" t="s">
        <v>87</v>
      </c>
      <c r="E3007" s="16" t="str">
        <f>IFERROR(__xludf.DUMMYFUNCTION("""COMPUTED_VALUE"""),"")</f>
        <v/>
      </c>
      <c r="G3007" s="18"/>
      <c r="H3007" s="16" t="s">
        <v>87</v>
      </c>
      <c r="I3007" s="16" t="s">
        <v>87</v>
      </c>
      <c r="J3007" s="19"/>
      <c r="L3007" s="16" t="str">
        <f>IFERROR(__xludf.DUMMYFUNCTION("""COMPUTED_VALUE"""),"")</f>
        <v/>
      </c>
      <c r="M3007" s="16" t="str">
        <f>IFERROR(__xludf.DUMMYFUNCTION("""COMPUTED_VALUE"""),"")</f>
        <v/>
      </c>
      <c r="U3007" s="16" t="s">
        <v>87</v>
      </c>
      <c r="V3007" s="16" t="str">
        <f>IFERROR(__xludf.DUMMYFUNCTION("""COMPUTED_VALUE"""),"")</f>
        <v/>
      </c>
      <c r="W3007" s="16" t="str">
        <f>IFERROR(__xludf.DUMMYFUNCTION("""COMPUTED_VALUE"""),"")</f>
        <v/>
      </c>
      <c r="X3007" s="16" t="str">
        <f>IFERROR(__xludf.DUMMYFUNCTION("""COMPUTED_VALUE"""),"")</f>
        <v/>
      </c>
      <c r="AC3007" s="16" t="str">
        <f>IFERROR(__xludf.DUMMYFUNCTION("""COMPUTED_VALUE"""),"")</f>
        <v/>
      </c>
    </row>
    <row r="3008">
      <c r="A3008" s="16" t="s">
        <v>87</v>
      </c>
      <c r="E3008" s="16" t="str">
        <f>IFERROR(__xludf.DUMMYFUNCTION("""COMPUTED_VALUE"""),"")</f>
        <v/>
      </c>
      <c r="G3008" s="18"/>
      <c r="H3008" s="16" t="s">
        <v>87</v>
      </c>
      <c r="I3008" s="16" t="s">
        <v>87</v>
      </c>
      <c r="J3008" s="19"/>
      <c r="L3008" s="16" t="str">
        <f>IFERROR(__xludf.DUMMYFUNCTION("""COMPUTED_VALUE"""),"")</f>
        <v/>
      </c>
      <c r="M3008" s="16" t="str">
        <f>IFERROR(__xludf.DUMMYFUNCTION("""COMPUTED_VALUE"""),"")</f>
        <v/>
      </c>
      <c r="U3008" s="16" t="s">
        <v>87</v>
      </c>
      <c r="V3008" s="16" t="str">
        <f>IFERROR(__xludf.DUMMYFUNCTION("""COMPUTED_VALUE"""),"")</f>
        <v/>
      </c>
      <c r="W3008" s="16" t="str">
        <f>IFERROR(__xludf.DUMMYFUNCTION("""COMPUTED_VALUE"""),"")</f>
        <v/>
      </c>
      <c r="X3008" s="16" t="str">
        <f>IFERROR(__xludf.DUMMYFUNCTION("""COMPUTED_VALUE"""),"")</f>
        <v/>
      </c>
      <c r="AC3008" s="16" t="str">
        <f>IFERROR(__xludf.DUMMYFUNCTION("""COMPUTED_VALUE"""),"")</f>
        <v/>
      </c>
    </row>
    <row r="3009">
      <c r="A3009" s="16" t="s">
        <v>87</v>
      </c>
      <c r="E3009" s="16" t="str">
        <f>IFERROR(__xludf.DUMMYFUNCTION("""COMPUTED_VALUE"""),"")</f>
        <v/>
      </c>
      <c r="G3009" s="18"/>
      <c r="H3009" s="16" t="s">
        <v>87</v>
      </c>
      <c r="I3009" s="16" t="s">
        <v>87</v>
      </c>
      <c r="J3009" s="19"/>
      <c r="L3009" s="16" t="str">
        <f>IFERROR(__xludf.DUMMYFUNCTION("""COMPUTED_VALUE"""),"")</f>
        <v/>
      </c>
      <c r="M3009" s="16" t="str">
        <f>IFERROR(__xludf.DUMMYFUNCTION("""COMPUTED_VALUE"""),"")</f>
        <v/>
      </c>
      <c r="U3009" s="16" t="s">
        <v>87</v>
      </c>
      <c r="V3009" s="16" t="str">
        <f>IFERROR(__xludf.DUMMYFUNCTION("""COMPUTED_VALUE"""),"")</f>
        <v/>
      </c>
      <c r="W3009" s="16" t="str">
        <f>IFERROR(__xludf.DUMMYFUNCTION("""COMPUTED_VALUE"""),"")</f>
        <v/>
      </c>
      <c r="X3009" s="16" t="str">
        <f>IFERROR(__xludf.DUMMYFUNCTION("""COMPUTED_VALUE"""),"")</f>
        <v/>
      </c>
      <c r="AC3009" s="16" t="str">
        <f>IFERROR(__xludf.DUMMYFUNCTION("""COMPUTED_VALUE"""),"")</f>
        <v/>
      </c>
    </row>
    <row r="3010">
      <c r="A3010" s="16" t="s">
        <v>87</v>
      </c>
      <c r="E3010" s="16" t="str">
        <f>IFERROR(__xludf.DUMMYFUNCTION("""COMPUTED_VALUE"""),"")</f>
        <v/>
      </c>
      <c r="G3010" s="18"/>
      <c r="H3010" s="16" t="s">
        <v>87</v>
      </c>
      <c r="I3010" s="16" t="s">
        <v>87</v>
      </c>
      <c r="J3010" s="19"/>
      <c r="L3010" s="16" t="str">
        <f>IFERROR(__xludf.DUMMYFUNCTION("""COMPUTED_VALUE"""),"")</f>
        <v/>
      </c>
      <c r="M3010" s="16" t="str">
        <f>IFERROR(__xludf.DUMMYFUNCTION("""COMPUTED_VALUE"""),"")</f>
        <v/>
      </c>
      <c r="U3010" s="16" t="s">
        <v>87</v>
      </c>
      <c r="V3010" s="16" t="str">
        <f>IFERROR(__xludf.DUMMYFUNCTION("""COMPUTED_VALUE"""),"")</f>
        <v/>
      </c>
      <c r="W3010" s="16" t="str">
        <f>IFERROR(__xludf.DUMMYFUNCTION("""COMPUTED_VALUE"""),"")</f>
        <v/>
      </c>
      <c r="X3010" s="16" t="str">
        <f>IFERROR(__xludf.DUMMYFUNCTION("""COMPUTED_VALUE"""),"")</f>
        <v/>
      </c>
      <c r="AC3010" s="16" t="str">
        <f>IFERROR(__xludf.DUMMYFUNCTION("""COMPUTED_VALUE"""),"")</f>
        <v/>
      </c>
    </row>
    <row r="3011">
      <c r="A3011" s="16" t="s">
        <v>87</v>
      </c>
      <c r="E3011" s="16" t="str">
        <f>IFERROR(__xludf.DUMMYFUNCTION("""COMPUTED_VALUE"""),"")</f>
        <v/>
      </c>
      <c r="G3011" s="18"/>
      <c r="H3011" s="16" t="s">
        <v>87</v>
      </c>
      <c r="I3011" s="16" t="s">
        <v>87</v>
      </c>
      <c r="J3011" s="19"/>
      <c r="L3011" s="16" t="str">
        <f>IFERROR(__xludf.DUMMYFUNCTION("""COMPUTED_VALUE"""),"")</f>
        <v/>
      </c>
      <c r="M3011" s="16" t="str">
        <f>IFERROR(__xludf.DUMMYFUNCTION("""COMPUTED_VALUE"""),"")</f>
        <v/>
      </c>
      <c r="U3011" s="16" t="s">
        <v>87</v>
      </c>
      <c r="V3011" s="16" t="str">
        <f>IFERROR(__xludf.DUMMYFUNCTION("""COMPUTED_VALUE"""),"")</f>
        <v/>
      </c>
      <c r="W3011" s="16" t="str">
        <f>IFERROR(__xludf.DUMMYFUNCTION("""COMPUTED_VALUE"""),"")</f>
        <v/>
      </c>
      <c r="X3011" s="16" t="str">
        <f>IFERROR(__xludf.DUMMYFUNCTION("""COMPUTED_VALUE"""),"")</f>
        <v/>
      </c>
      <c r="AC3011" s="16" t="str">
        <f>IFERROR(__xludf.DUMMYFUNCTION("""COMPUTED_VALUE"""),"")</f>
        <v/>
      </c>
    </row>
    <row r="3012">
      <c r="A3012" s="16" t="s">
        <v>87</v>
      </c>
      <c r="E3012" s="16" t="str">
        <f>IFERROR(__xludf.DUMMYFUNCTION("""COMPUTED_VALUE"""),"")</f>
        <v/>
      </c>
      <c r="G3012" s="18"/>
      <c r="H3012" s="16" t="s">
        <v>87</v>
      </c>
      <c r="I3012" s="16" t="s">
        <v>87</v>
      </c>
      <c r="J3012" s="19"/>
      <c r="L3012" s="16" t="str">
        <f>IFERROR(__xludf.DUMMYFUNCTION("""COMPUTED_VALUE"""),"")</f>
        <v/>
      </c>
      <c r="M3012" s="16" t="str">
        <f>IFERROR(__xludf.DUMMYFUNCTION("""COMPUTED_VALUE"""),"")</f>
        <v/>
      </c>
      <c r="U3012" s="16" t="s">
        <v>87</v>
      </c>
      <c r="V3012" s="16" t="str">
        <f>IFERROR(__xludf.DUMMYFUNCTION("""COMPUTED_VALUE"""),"")</f>
        <v/>
      </c>
      <c r="W3012" s="16" t="str">
        <f>IFERROR(__xludf.DUMMYFUNCTION("""COMPUTED_VALUE"""),"")</f>
        <v/>
      </c>
      <c r="X3012" s="16" t="str">
        <f>IFERROR(__xludf.DUMMYFUNCTION("""COMPUTED_VALUE"""),"")</f>
        <v/>
      </c>
      <c r="AC3012" s="16" t="str">
        <f>IFERROR(__xludf.DUMMYFUNCTION("""COMPUTED_VALUE"""),"")</f>
        <v/>
      </c>
    </row>
    <row r="3013">
      <c r="A3013" s="16" t="s">
        <v>87</v>
      </c>
      <c r="E3013" s="16" t="str">
        <f>IFERROR(__xludf.DUMMYFUNCTION("""COMPUTED_VALUE"""),"")</f>
        <v/>
      </c>
      <c r="G3013" s="18"/>
      <c r="H3013" s="16" t="s">
        <v>87</v>
      </c>
      <c r="I3013" s="16" t="s">
        <v>87</v>
      </c>
      <c r="J3013" s="19"/>
      <c r="L3013" s="16" t="str">
        <f>IFERROR(__xludf.DUMMYFUNCTION("""COMPUTED_VALUE"""),"")</f>
        <v/>
      </c>
      <c r="M3013" s="16" t="str">
        <f>IFERROR(__xludf.DUMMYFUNCTION("""COMPUTED_VALUE"""),"")</f>
        <v/>
      </c>
      <c r="U3013" s="16" t="s">
        <v>87</v>
      </c>
      <c r="V3013" s="16" t="str">
        <f>IFERROR(__xludf.DUMMYFUNCTION("""COMPUTED_VALUE"""),"")</f>
        <v/>
      </c>
      <c r="W3013" s="16" t="str">
        <f>IFERROR(__xludf.DUMMYFUNCTION("""COMPUTED_VALUE"""),"")</f>
        <v/>
      </c>
      <c r="X3013" s="16" t="str">
        <f>IFERROR(__xludf.DUMMYFUNCTION("""COMPUTED_VALUE"""),"")</f>
        <v/>
      </c>
      <c r="AC3013" s="16" t="str">
        <f>IFERROR(__xludf.DUMMYFUNCTION("""COMPUTED_VALUE"""),"")</f>
        <v/>
      </c>
    </row>
    <row r="3014">
      <c r="A3014" s="16" t="s">
        <v>87</v>
      </c>
      <c r="E3014" s="16" t="str">
        <f>IFERROR(__xludf.DUMMYFUNCTION("""COMPUTED_VALUE"""),"")</f>
        <v/>
      </c>
      <c r="G3014" s="18"/>
      <c r="H3014" s="16" t="s">
        <v>87</v>
      </c>
      <c r="I3014" s="16" t="s">
        <v>87</v>
      </c>
      <c r="J3014" s="19"/>
      <c r="L3014" s="16" t="str">
        <f>IFERROR(__xludf.DUMMYFUNCTION("""COMPUTED_VALUE"""),"")</f>
        <v/>
      </c>
      <c r="M3014" s="16" t="str">
        <f>IFERROR(__xludf.DUMMYFUNCTION("""COMPUTED_VALUE"""),"")</f>
        <v/>
      </c>
      <c r="U3014" s="16" t="s">
        <v>87</v>
      </c>
      <c r="V3014" s="16" t="str">
        <f>IFERROR(__xludf.DUMMYFUNCTION("""COMPUTED_VALUE"""),"")</f>
        <v/>
      </c>
      <c r="W3014" s="16" t="str">
        <f>IFERROR(__xludf.DUMMYFUNCTION("""COMPUTED_VALUE"""),"")</f>
        <v/>
      </c>
      <c r="X3014" s="16" t="str">
        <f>IFERROR(__xludf.DUMMYFUNCTION("""COMPUTED_VALUE"""),"")</f>
        <v/>
      </c>
      <c r="AC3014" s="16" t="str">
        <f>IFERROR(__xludf.DUMMYFUNCTION("""COMPUTED_VALUE"""),"")</f>
        <v/>
      </c>
    </row>
    <row r="3015">
      <c r="A3015" s="16" t="s">
        <v>87</v>
      </c>
      <c r="E3015" s="16" t="str">
        <f>IFERROR(__xludf.DUMMYFUNCTION("""COMPUTED_VALUE"""),"")</f>
        <v/>
      </c>
      <c r="G3015" s="18"/>
      <c r="H3015" s="16" t="s">
        <v>87</v>
      </c>
      <c r="I3015" s="16" t="s">
        <v>87</v>
      </c>
      <c r="J3015" s="19"/>
      <c r="L3015" s="16" t="str">
        <f>IFERROR(__xludf.DUMMYFUNCTION("""COMPUTED_VALUE"""),"")</f>
        <v/>
      </c>
      <c r="M3015" s="16" t="str">
        <f>IFERROR(__xludf.DUMMYFUNCTION("""COMPUTED_VALUE"""),"")</f>
        <v/>
      </c>
      <c r="U3015" s="16" t="s">
        <v>87</v>
      </c>
      <c r="V3015" s="16" t="str">
        <f>IFERROR(__xludf.DUMMYFUNCTION("""COMPUTED_VALUE"""),"")</f>
        <v/>
      </c>
      <c r="W3015" s="16" t="str">
        <f>IFERROR(__xludf.DUMMYFUNCTION("""COMPUTED_VALUE"""),"")</f>
        <v/>
      </c>
      <c r="X3015" s="16" t="str">
        <f>IFERROR(__xludf.DUMMYFUNCTION("""COMPUTED_VALUE"""),"")</f>
        <v/>
      </c>
      <c r="AC3015" s="16" t="str">
        <f>IFERROR(__xludf.DUMMYFUNCTION("""COMPUTED_VALUE"""),"")</f>
        <v/>
      </c>
    </row>
    <row r="3016">
      <c r="A3016" s="16" t="s">
        <v>87</v>
      </c>
      <c r="E3016" s="16" t="str">
        <f>IFERROR(__xludf.DUMMYFUNCTION("""COMPUTED_VALUE"""),"")</f>
        <v/>
      </c>
      <c r="G3016" s="18"/>
      <c r="H3016" s="16" t="s">
        <v>87</v>
      </c>
      <c r="I3016" s="16" t="s">
        <v>87</v>
      </c>
      <c r="J3016" s="19"/>
      <c r="L3016" s="16" t="str">
        <f>IFERROR(__xludf.DUMMYFUNCTION("""COMPUTED_VALUE"""),"")</f>
        <v/>
      </c>
      <c r="M3016" s="16" t="str">
        <f>IFERROR(__xludf.DUMMYFUNCTION("""COMPUTED_VALUE"""),"")</f>
        <v/>
      </c>
      <c r="U3016" s="16" t="s">
        <v>87</v>
      </c>
      <c r="V3016" s="16" t="str">
        <f>IFERROR(__xludf.DUMMYFUNCTION("""COMPUTED_VALUE"""),"")</f>
        <v/>
      </c>
      <c r="W3016" s="16" t="str">
        <f>IFERROR(__xludf.DUMMYFUNCTION("""COMPUTED_VALUE"""),"")</f>
        <v/>
      </c>
      <c r="X3016" s="16" t="str">
        <f>IFERROR(__xludf.DUMMYFUNCTION("""COMPUTED_VALUE"""),"")</f>
        <v/>
      </c>
      <c r="AC3016" s="16" t="str">
        <f>IFERROR(__xludf.DUMMYFUNCTION("""COMPUTED_VALUE"""),"")</f>
        <v/>
      </c>
    </row>
    <row r="3017">
      <c r="A3017" s="16" t="s">
        <v>87</v>
      </c>
      <c r="E3017" s="16" t="str">
        <f>IFERROR(__xludf.DUMMYFUNCTION("""COMPUTED_VALUE"""),"")</f>
        <v/>
      </c>
      <c r="G3017" s="18"/>
      <c r="H3017" s="16" t="s">
        <v>87</v>
      </c>
      <c r="I3017" s="16" t="s">
        <v>87</v>
      </c>
      <c r="J3017" s="19"/>
      <c r="L3017" s="16" t="str">
        <f>IFERROR(__xludf.DUMMYFUNCTION("""COMPUTED_VALUE"""),"")</f>
        <v/>
      </c>
      <c r="M3017" s="16" t="str">
        <f>IFERROR(__xludf.DUMMYFUNCTION("""COMPUTED_VALUE"""),"")</f>
        <v/>
      </c>
      <c r="U3017" s="16" t="s">
        <v>87</v>
      </c>
      <c r="V3017" s="16" t="str">
        <f>IFERROR(__xludf.DUMMYFUNCTION("""COMPUTED_VALUE"""),"")</f>
        <v/>
      </c>
      <c r="W3017" s="16" t="str">
        <f>IFERROR(__xludf.DUMMYFUNCTION("""COMPUTED_VALUE"""),"")</f>
        <v/>
      </c>
      <c r="X3017" s="16" t="str">
        <f>IFERROR(__xludf.DUMMYFUNCTION("""COMPUTED_VALUE"""),"")</f>
        <v/>
      </c>
      <c r="AC3017" s="16" t="str">
        <f>IFERROR(__xludf.DUMMYFUNCTION("""COMPUTED_VALUE"""),"")</f>
        <v/>
      </c>
    </row>
    <row r="3018">
      <c r="A3018" s="16" t="s">
        <v>87</v>
      </c>
      <c r="E3018" s="16" t="str">
        <f>IFERROR(__xludf.DUMMYFUNCTION("""COMPUTED_VALUE"""),"")</f>
        <v/>
      </c>
      <c r="G3018" s="18"/>
      <c r="H3018" s="16" t="s">
        <v>87</v>
      </c>
      <c r="I3018" s="16" t="s">
        <v>87</v>
      </c>
      <c r="J3018" s="19"/>
      <c r="L3018" s="16" t="str">
        <f>IFERROR(__xludf.DUMMYFUNCTION("""COMPUTED_VALUE"""),"")</f>
        <v/>
      </c>
      <c r="M3018" s="16" t="str">
        <f>IFERROR(__xludf.DUMMYFUNCTION("""COMPUTED_VALUE"""),"")</f>
        <v/>
      </c>
      <c r="U3018" s="16" t="s">
        <v>87</v>
      </c>
      <c r="V3018" s="16" t="str">
        <f>IFERROR(__xludf.DUMMYFUNCTION("""COMPUTED_VALUE"""),"")</f>
        <v/>
      </c>
      <c r="W3018" s="16" t="str">
        <f>IFERROR(__xludf.DUMMYFUNCTION("""COMPUTED_VALUE"""),"")</f>
        <v/>
      </c>
      <c r="X3018" s="16" t="str">
        <f>IFERROR(__xludf.DUMMYFUNCTION("""COMPUTED_VALUE"""),"")</f>
        <v/>
      </c>
      <c r="AC3018" s="16" t="str">
        <f>IFERROR(__xludf.DUMMYFUNCTION("""COMPUTED_VALUE"""),"")</f>
        <v/>
      </c>
    </row>
    <row r="3019">
      <c r="A3019" s="16" t="s">
        <v>87</v>
      </c>
      <c r="E3019" s="16" t="str">
        <f>IFERROR(__xludf.DUMMYFUNCTION("""COMPUTED_VALUE"""),"")</f>
        <v/>
      </c>
      <c r="G3019" s="18"/>
      <c r="H3019" s="16" t="s">
        <v>87</v>
      </c>
      <c r="I3019" s="16" t="s">
        <v>87</v>
      </c>
      <c r="J3019" s="19"/>
      <c r="L3019" s="16" t="str">
        <f>IFERROR(__xludf.DUMMYFUNCTION("""COMPUTED_VALUE"""),"")</f>
        <v/>
      </c>
      <c r="M3019" s="16" t="str">
        <f>IFERROR(__xludf.DUMMYFUNCTION("""COMPUTED_VALUE"""),"")</f>
        <v/>
      </c>
      <c r="U3019" s="16" t="s">
        <v>87</v>
      </c>
      <c r="V3019" s="16" t="str">
        <f>IFERROR(__xludf.DUMMYFUNCTION("""COMPUTED_VALUE"""),"")</f>
        <v/>
      </c>
      <c r="W3019" s="16" t="str">
        <f>IFERROR(__xludf.DUMMYFUNCTION("""COMPUTED_VALUE"""),"")</f>
        <v/>
      </c>
      <c r="X3019" s="16" t="str">
        <f>IFERROR(__xludf.DUMMYFUNCTION("""COMPUTED_VALUE"""),"")</f>
        <v/>
      </c>
      <c r="AC3019" s="16" t="str">
        <f>IFERROR(__xludf.DUMMYFUNCTION("""COMPUTED_VALUE"""),"")</f>
        <v/>
      </c>
    </row>
    <row r="3020">
      <c r="A3020" s="16" t="s">
        <v>87</v>
      </c>
      <c r="E3020" s="16" t="str">
        <f>IFERROR(__xludf.DUMMYFUNCTION("""COMPUTED_VALUE"""),"")</f>
        <v/>
      </c>
      <c r="G3020" s="18"/>
      <c r="H3020" s="16" t="s">
        <v>87</v>
      </c>
      <c r="I3020" s="16" t="s">
        <v>87</v>
      </c>
      <c r="J3020" s="19"/>
      <c r="L3020" s="16" t="str">
        <f>IFERROR(__xludf.DUMMYFUNCTION("""COMPUTED_VALUE"""),"")</f>
        <v/>
      </c>
      <c r="M3020" s="16" t="str">
        <f>IFERROR(__xludf.DUMMYFUNCTION("""COMPUTED_VALUE"""),"")</f>
        <v/>
      </c>
      <c r="U3020" s="16" t="s">
        <v>87</v>
      </c>
      <c r="V3020" s="16" t="str">
        <f>IFERROR(__xludf.DUMMYFUNCTION("""COMPUTED_VALUE"""),"")</f>
        <v/>
      </c>
      <c r="W3020" s="16" t="str">
        <f>IFERROR(__xludf.DUMMYFUNCTION("""COMPUTED_VALUE"""),"")</f>
        <v/>
      </c>
      <c r="X3020" s="16" t="str">
        <f>IFERROR(__xludf.DUMMYFUNCTION("""COMPUTED_VALUE"""),"")</f>
        <v/>
      </c>
      <c r="AC3020" s="16" t="str">
        <f>IFERROR(__xludf.DUMMYFUNCTION("""COMPUTED_VALUE"""),"")</f>
        <v/>
      </c>
    </row>
    <row r="3021">
      <c r="A3021" s="16" t="s">
        <v>87</v>
      </c>
      <c r="E3021" s="16" t="str">
        <f>IFERROR(__xludf.DUMMYFUNCTION("""COMPUTED_VALUE"""),"")</f>
        <v/>
      </c>
      <c r="G3021" s="18"/>
      <c r="H3021" s="16" t="s">
        <v>87</v>
      </c>
      <c r="I3021" s="16" t="s">
        <v>87</v>
      </c>
      <c r="J3021" s="19"/>
      <c r="L3021" s="16" t="str">
        <f>IFERROR(__xludf.DUMMYFUNCTION("""COMPUTED_VALUE"""),"")</f>
        <v/>
      </c>
      <c r="M3021" s="16" t="str">
        <f>IFERROR(__xludf.DUMMYFUNCTION("""COMPUTED_VALUE"""),"")</f>
        <v/>
      </c>
      <c r="U3021" s="16" t="s">
        <v>87</v>
      </c>
      <c r="V3021" s="16" t="str">
        <f>IFERROR(__xludf.DUMMYFUNCTION("""COMPUTED_VALUE"""),"")</f>
        <v/>
      </c>
      <c r="W3021" s="16" t="str">
        <f>IFERROR(__xludf.DUMMYFUNCTION("""COMPUTED_VALUE"""),"")</f>
        <v/>
      </c>
      <c r="X3021" s="16" t="str">
        <f>IFERROR(__xludf.DUMMYFUNCTION("""COMPUTED_VALUE"""),"")</f>
        <v/>
      </c>
      <c r="AC3021" s="16" t="str">
        <f>IFERROR(__xludf.DUMMYFUNCTION("""COMPUTED_VALUE"""),"")</f>
        <v/>
      </c>
    </row>
    <row r="3022">
      <c r="A3022" s="16" t="s">
        <v>87</v>
      </c>
      <c r="E3022" s="16" t="str">
        <f>IFERROR(__xludf.DUMMYFUNCTION("""COMPUTED_VALUE"""),"")</f>
        <v/>
      </c>
      <c r="G3022" s="18"/>
      <c r="H3022" s="16" t="s">
        <v>87</v>
      </c>
      <c r="I3022" s="16" t="s">
        <v>87</v>
      </c>
      <c r="J3022" s="19"/>
      <c r="L3022" s="16" t="str">
        <f>IFERROR(__xludf.DUMMYFUNCTION("""COMPUTED_VALUE"""),"")</f>
        <v/>
      </c>
      <c r="M3022" s="16" t="str">
        <f>IFERROR(__xludf.DUMMYFUNCTION("""COMPUTED_VALUE"""),"")</f>
        <v/>
      </c>
      <c r="U3022" s="16" t="s">
        <v>87</v>
      </c>
      <c r="V3022" s="16" t="str">
        <f>IFERROR(__xludf.DUMMYFUNCTION("""COMPUTED_VALUE"""),"")</f>
        <v/>
      </c>
      <c r="W3022" s="16" t="str">
        <f>IFERROR(__xludf.DUMMYFUNCTION("""COMPUTED_VALUE"""),"")</f>
        <v/>
      </c>
      <c r="X3022" s="16" t="str">
        <f>IFERROR(__xludf.DUMMYFUNCTION("""COMPUTED_VALUE"""),"")</f>
        <v/>
      </c>
      <c r="AC3022" s="16" t="str">
        <f>IFERROR(__xludf.DUMMYFUNCTION("""COMPUTED_VALUE"""),"")</f>
        <v/>
      </c>
    </row>
    <row r="3023">
      <c r="A3023" s="16" t="s">
        <v>87</v>
      </c>
      <c r="E3023" s="16" t="str">
        <f>IFERROR(__xludf.DUMMYFUNCTION("""COMPUTED_VALUE"""),"")</f>
        <v/>
      </c>
      <c r="G3023" s="18"/>
      <c r="H3023" s="16" t="s">
        <v>87</v>
      </c>
      <c r="I3023" s="16" t="s">
        <v>87</v>
      </c>
      <c r="J3023" s="19"/>
      <c r="L3023" s="16" t="str">
        <f>IFERROR(__xludf.DUMMYFUNCTION("""COMPUTED_VALUE"""),"")</f>
        <v/>
      </c>
      <c r="M3023" s="16" t="str">
        <f>IFERROR(__xludf.DUMMYFUNCTION("""COMPUTED_VALUE"""),"")</f>
        <v/>
      </c>
      <c r="U3023" s="16" t="s">
        <v>87</v>
      </c>
      <c r="V3023" s="16" t="str">
        <f>IFERROR(__xludf.DUMMYFUNCTION("""COMPUTED_VALUE"""),"")</f>
        <v/>
      </c>
      <c r="W3023" s="16" t="str">
        <f>IFERROR(__xludf.DUMMYFUNCTION("""COMPUTED_VALUE"""),"")</f>
        <v/>
      </c>
      <c r="X3023" s="16" t="str">
        <f>IFERROR(__xludf.DUMMYFUNCTION("""COMPUTED_VALUE"""),"")</f>
        <v/>
      </c>
      <c r="AC3023" s="16" t="str">
        <f>IFERROR(__xludf.DUMMYFUNCTION("""COMPUTED_VALUE"""),"")</f>
        <v/>
      </c>
    </row>
    <row r="3024">
      <c r="A3024" s="16" t="s">
        <v>87</v>
      </c>
      <c r="E3024" s="16" t="str">
        <f>IFERROR(__xludf.DUMMYFUNCTION("""COMPUTED_VALUE"""),"")</f>
        <v/>
      </c>
      <c r="G3024" s="18"/>
      <c r="H3024" s="16" t="s">
        <v>87</v>
      </c>
      <c r="I3024" s="16" t="s">
        <v>87</v>
      </c>
      <c r="J3024" s="19"/>
      <c r="L3024" s="16" t="str">
        <f>IFERROR(__xludf.DUMMYFUNCTION("""COMPUTED_VALUE"""),"")</f>
        <v/>
      </c>
      <c r="M3024" s="16" t="str">
        <f>IFERROR(__xludf.DUMMYFUNCTION("""COMPUTED_VALUE"""),"")</f>
        <v/>
      </c>
      <c r="U3024" s="16" t="s">
        <v>87</v>
      </c>
      <c r="V3024" s="16" t="str">
        <f>IFERROR(__xludf.DUMMYFUNCTION("""COMPUTED_VALUE"""),"")</f>
        <v/>
      </c>
      <c r="W3024" s="16" t="str">
        <f>IFERROR(__xludf.DUMMYFUNCTION("""COMPUTED_VALUE"""),"")</f>
        <v/>
      </c>
      <c r="X3024" s="16" t="str">
        <f>IFERROR(__xludf.DUMMYFUNCTION("""COMPUTED_VALUE"""),"")</f>
        <v/>
      </c>
      <c r="AC3024" s="16" t="str">
        <f>IFERROR(__xludf.DUMMYFUNCTION("""COMPUTED_VALUE"""),"")</f>
        <v/>
      </c>
    </row>
    <row r="3025">
      <c r="A3025" s="16" t="s">
        <v>87</v>
      </c>
      <c r="E3025" s="16" t="str">
        <f>IFERROR(__xludf.DUMMYFUNCTION("""COMPUTED_VALUE"""),"")</f>
        <v/>
      </c>
      <c r="G3025" s="18"/>
      <c r="H3025" s="16" t="s">
        <v>87</v>
      </c>
      <c r="I3025" s="16" t="s">
        <v>87</v>
      </c>
      <c r="J3025" s="19"/>
      <c r="L3025" s="16" t="str">
        <f>IFERROR(__xludf.DUMMYFUNCTION("""COMPUTED_VALUE"""),"")</f>
        <v/>
      </c>
      <c r="M3025" s="16" t="str">
        <f>IFERROR(__xludf.DUMMYFUNCTION("""COMPUTED_VALUE"""),"")</f>
        <v/>
      </c>
      <c r="U3025" s="16" t="s">
        <v>87</v>
      </c>
      <c r="V3025" s="16" t="str">
        <f>IFERROR(__xludf.DUMMYFUNCTION("""COMPUTED_VALUE"""),"")</f>
        <v/>
      </c>
      <c r="W3025" s="16" t="str">
        <f>IFERROR(__xludf.DUMMYFUNCTION("""COMPUTED_VALUE"""),"")</f>
        <v/>
      </c>
      <c r="X3025" s="16" t="str">
        <f>IFERROR(__xludf.DUMMYFUNCTION("""COMPUTED_VALUE"""),"")</f>
        <v/>
      </c>
      <c r="AC3025" s="16" t="str">
        <f>IFERROR(__xludf.DUMMYFUNCTION("""COMPUTED_VALUE"""),"")</f>
        <v/>
      </c>
    </row>
    <row r="3026">
      <c r="A3026" s="16" t="s">
        <v>87</v>
      </c>
      <c r="E3026" s="16" t="str">
        <f>IFERROR(__xludf.DUMMYFUNCTION("""COMPUTED_VALUE"""),"")</f>
        <v/>
      </c>
      <c r="G3026" s="18"/>
      <c r="H3026" s="16" t="s">
        <v>87</v>
      </c>
      <c r="I3026" s="16" t="s">
        <v>87</v>
      </c>
      <c r="J3026" s="19"/>
      <c r="L3026" s="16" t="str">
        <f>IFERROR(__xludf.DUMMYFUNCTION("""COMPUTED_VALUE"""),"")</f>
        <v/>
      </c>
      <c r="M3026" s="16" t="str">
        <f>IFERROR(__xludf.DUMMYFUNCTION("""COMPUTED_VALUE"""),"")</f>
        <v/>
      </c>
      <c r="U3026" s="16" t="s">
        <v>87</v>
      </c>
      <c r="V3026" s="16" t="str">
        <f>IFERROR(__xludf.DUMMYFUNCTION("""COMPUTED_VALUE"""),"")</f>
        <v/>
      </c>
      <c r="W3026" s="16" t="str">
        <f>IFERROR(__xludf.DUMMYFUNCTION("""COMPUTED_VALUE"""),"")</f>
        <v/>
      </c>
      <c r="X3026" s="16" t="str">
        <f>IFERROR(__xludf.DUMMYFUNCTION("""COMPUTED_VALUE"""),"")</f>
        <v/>
      </c>
      <c r="AC3026" s="16" t="str">
        <f>IFERROR(__xludf.DUMMYFUNCTION("""COMPUTED_VALUE"""),"")</f>
        <v/>
      </c>
    </row>
    <row r="3027">
      <c r="A3027" s="16" t="s">
        <v>87</v>
      </c>
      <c r="E3027" s="16" t="str">
        <f>IFERROR(__xludf.DUMMYFUNCTION("""COMPUTED_VALUE"""),"")</f>
        <v/>
      </c>
      <c r="G3027" s="18"/>
      <c r="H3027" s="16" t="s">
        <v>87</v>
      </c>
      <c r="I3027" s="16" t="s">
        <v>87</v>
      </c>
      <c r="J3027" s="19"/>
      <c r="L3027" s="16" t="str">
        <f>IFERROR(__xludf.DUMMYFUNCTION("""COMPUTED_VALUE"""),"")</f>
        <v/>
      </c>
      <c r="M3027" s="16" t="str">
        <f>IFERROR(__xludf.DUMMYFUNCTION("""COMPUTED_VALUE"""),"")</f>
        <v/>
      </c>
      <c r="U3027" s="16" t="s">
        <v>87</v>
      </c>
      <c r="V3027" s="16" t="str">
        <f>IFERROR(__xludf.DUMMYFUNCTION("""COMPUTED_VALUE"""),"")</f>
        <v/>
      </c>
      <c r="W3027" s="16" t="str">
        <f>IFERROR(__xludf.DUMMYFUNCTION("""COMPUTED_VALUE"""),"")</f>
        <v/>
      </c>
      <c r="X3027" s="16" t="str">
        <f>IFERROR(__xludf.DUMMYFUNCTION("""COMPUTED_VALUE"""),"")</f>
        <v/>
      </c>
      <c r="AC3027" s="16" t="str">
        <f>IFERROR(__xludf.DUMMYFUNCTION("""COMPUTED_VALUE"""),"")</f>
        <v/>
      </c>
    </row>
    <row r="3028">
      <c r="A3028" s="16" t="s">
        <v>87</v>
      </c>
      <c r="E3028" s="16" t="str">
        <f>IFERROR(__xludf.DUMMYFUNCTION("""COMPUTED_VALUE"""),"")</f>
        <v/>
      </c>
      <c r="G3028" s="18"/>
      <c r="H3028" s="16" t="s">
        <v>87</v>
      </c>
      <c r="I3028" s="16" t="s">
        <v>87</v>
      </c>
      <c r="J3028" s="19"/>
      <c r="L3028" s="16" t="str">
        <f>IFERROR(__xludf.DUMMYFUNCTION("""COMPUTED_VALUE"""),"")</f>
        <v/>
      </c>
      <c r="M3028" s="16" t="str">
        <f>IFERROR(__xludf.DUMMYFUNCTION("""COMPUTED_VALUE"""),"")</f>
        <v/>
      </c>
      <c r="U3028" s="16" t="s">
        <v>87</v>
      </c>
      <c r="V3028" s="16" t="str">
        <f>IFERROR(__xludf.DUMMYFUNCTION("""COMPUTED_VALUE"""),"")</f>
        <v/>
      </c>
      <c r="W3028" s="16" t="str">
        <f>IFERROR(__xludf.DUMMYFUNCTION("""COMPUTED_VALUE"""),"")</f>
        <v/>
      </c>
      <c r="X3028" s="16" t="str">
        <f>IFERROR(__xludf.DUMMYFUNCTION("""COMPUTED_VALUE"""),"")</f>
        <v/>
      </c>
      <c r="AC3028" s="16" t="str">
        <f>IFERROR(__xludf.DUMMYFUNCTION("""COMPUTED_VALUE"""),"")</f>
        <v/>
      </c>
    </row>
    <row r="3029">
      <c r="A3029" s="16" t="s">
        <v>87</v>
      </c>
      <c r="E3029" s="16" t="str">
        <f>IFERROR(__xludf.DUMMYFUNCTION("""COMPUTED_VALUE"""),"")</f>
        <v/>
      </c>
      <c r="G3029" s="18"/>
      <c r="H3029" s="16" t="s">
        <v>87</v>
      </c>
      <c r="I3029" s="16" t="s">
        <v>87</v>
      </c>
      <c r="J3029" s="19"/>
      <c r="L3029" s="16" t="str">
        <f>IFERROR(__xludf.DUMMYFUNCTION("""COMPUTED_VALUE"""),"")</f>
        <v/>
      </c>
      <c r="M3029" s="16" t="str">
        <f>IFERROR(__xludf.DUMMYFUNCTION("""COMPUTED_VALUE"""),"")</f>
        <v/>
      </c>
      <c r="U3029" s="16" t="s">
        <v>87</v>
      </c>
      <c r="V3029" s="16" t="str">
        <f>IFERROR(__xludf.DUMMYFUNCTION("""COMPUTED_VALUE"""),"")</f>
        <v/>
      </c>
      <c r="W3029" s="16" t="str">
        <f>IFERROR(__xludf.DUMMYFUNCTION("""COMPUTED_VALUE"""),"")</f>
        <v/>
      </c>
      <c r="X3029" s="16" t="str">
        <f>IFERROR(__xludf.DUMMYFUNCTION("""COMPUTED_VALUE"""),"")</f>
        <v/>
      </c>
      <c r="AC3029" s="16" t="str">
        <f>IFERROR(__xludf.DUMMYFUNCTION("""COMPUTED_VALUE"""),"")</f>
        <v/>
      </c>
    </row>
    <row r="3030">
      <c r="A3030" s="16" t="s">
        <v>87</v>
      </c>
      <c r="E3030" s="16" t="str">
        <f>IFERROR(__xludf.DUMMYFUNCTION("""COMPUTED_VALUE"""),"")</f>
        <v/>
      </c>
      <c r="G3030" s="18"/>
      <c r="H3030" s="16" t="s">
        <v>87</v>
      </c>
      <c r="I3030" s="16" t="s">
        <v>87</v>
      </c>
      <c r="J3030" s="19"/>
      <c r="L3030" s="16" t="str">
        <f>IFERROR(__xludf.DUMMYFUNCTION("""COMPUTED_VALUE"""),"")</f>
        <v/>
      </c>
      <c r="M3030" s="16" t="str">
        <f>IFERROR(__xludf.DUMMYFUNCTION("""COMPUTED_VALUE"""),"")</f>
        <v/>
      </c>
      <c r="U3030" s="16" t="s">
        <v>87</v>
      </c>
      <c r="V3030" s="16" t="str">
        <f>IFERROR(__xludf.DUMMYFUNCTION("""COMPUTED_VALUE"""),"")</f>
        <v/>
      </c>
      <c r="W3030" s="16" t="str">
        <f>IFERROR(__xludf.DUMMYFUNCTION("""COMPUTED_VALUE"""),"")</f>
        <v/>
      </c>
      <c r="X3030" s="16" t="str">
        <f>IFERROR(__xludf.DUMMYFUNCTION("""COMPUTED_VALUE"""),"")</f>
        <v/>
      </c>
      <c r="AC3030" s="16" t="str">
        <f>IFERROR(__xludf.DUMMYFUNCTION("""COMPUTED_VALUE"""),"")</f>
        <v/>
      </c>
    </row>
    <row r="3031">
      <c r="A3031" s="16" t="s">
        <v>87</v>
      </c>
      <c r="E3031" s="16" t="str">
        <f>IFERROR(__xludf.DUMMYFUNCTION("""COMPUTED_VALUE"""),"")</f>
        <v/>
      </c>
      <c r="G3031" s="18"/>
      <c r="H3031" s="16" t="s">
        <v>87</v>
      </c>
      <c r="I3031" s="16" t="s">
        <v>87</v>
      </c>
      <c r="J3031" s="19"/>
      <c r="L3031" s="16" t="str">
        <f>IFERROR(__xludf.DUMMYFUNCTION("""COMPUTED_VALUE"""),"")</f>
        <v/>
      </c>
      <c r="M3031" s="16" t="str">
        <f>IFERROR(__xludf.DUMMYFUNCTION("""COMPUTED_VALUE"""),"")</f>
        <v/>
      </c>
      <c r="U3031" s="16" t="s">
        <v>87</v>
      </c>
      <c r="V3031" s="16" t="str">
        <f>IFERROR(__xludf.DUMMYFUNCTION("""COMPUTED_VALUE"""),"")</f>
        <v/>
      </c>
      <c r="W3031" s="16" t="str">
        <f>IFERROR(__xludf.DUMMYFUNCTION("""COMPUTED_VALUE"""),"")</f>
        <v/>
      </c>
      <c r="X3031" s="16" t="str">
        <f>IFERROR(__xludf.DUMMYFUNCTION("""COMPUTED_VALUE"""),"")</f>
        <v/>
      </c>
      <c r="AC3031" s="16" t="str">
        <f>IFERROR(__xludf.DUMMYFUNCTION("""COMPUTED_VALUE"""),"")</f>
        <v/>
      </c>
    </row>
    <row r="3032">
      <c r="A3032" s="16" t="s">
        <v>87</v>
      </c>
      <c r="E3032" s="16" t="str">
        <f>IFERROR(__xludf.DUMMYFUNCTION("""COMPUTED_VALUE"""),"")</f>
        <v/>
      </c>
      <c r="G3032" s="18"/>
      <c r="H3032" s="16" t="s">
        <v>87</v>
      </c>
      <c r="I3032" s="16" t="s">
        <v>87</v>
      </c>
      <c r="J3032" s="19"/>
      <c r="L3032" s="16" t="str">
        <f>IFERROR(__xludf.DUMMYFUNCTION("""COMPUTED_VALUE"""),"")</f>
        <v/>
      </c>
      <c r="M3032" s="16" t="str">
        <f>IFERROR(__xludf.DUMMYFUNCTION("""COMPUTED_VALUE"""),"")</f>
        <v/>
      </c>
      <c r="U3032" s="16" t="s">
        <v>87</v>
      </c>
      <c r="V3032" s="16" t="str">
        <f>IFERROR(__xludf.DUMMYFUNCTION("""COMPUTED_VALUE"""),"")</f>
        <v/>
      </c>
      <c r="W3032" s="16" t="str">
        <f>IFERROR(__xludf.DUMMYFUNCTION("""COMPUTED_VALUE"""),"")</f>
        <v/>
      </c>
      <c r="X3032" s="16" t="str">
        <f>IFERROR(__xludf.DUMMYFUNCTION("""COMPUTED_VALUE"""),"")</f>
        <v/>
      </c>
      <c r="AC3032" s="16" t="str">
        <f>IFERROR(__xludf.DUMMYFUNCTION("""COMPUTED_VALUE"""),"")</f>
        <v/>
      </c>
    </row>
    <row r="3033">
      <c r="A3033" s="16" t="s">
        <v>87</v>
      </c>
      <c r="E3033" s="16" t="str">
        <f>IFERROR(__xludf.DUMMYFUNCTION("""COMPUTED_VALUE"""),"")</f>
        <v/>
      </c>
      <c r="G3033" s="18"/>
      <c r="H3033" s="16" t="s">
        <v>87</v>
      </c>
      <c r="I3033" s="16" t="s">
        <v>87</v>
      </c>
      <c r="J3033" s="19"/>
      <c r="L3033" s="16" t="str">
        <f>IFERROR(__xludf.DUMMYFUNCTION("""COMPUTED_VALUE"""),"")</f>
        <v/>
      </c>
      <c r="M3033" s="16" t="str">
        <f>IFERROR(__xludf.DUMMYFUNCTION("""COMPUTED_VALUE"""),"")</f>
        <v/>
      </c>
      <c r="U3033" s="16" t="s">
        <v>87</v>
      </c>
      <c r="V3033" s="16" t="str">
        <f>IFERROR(__xludf.DUMMYFUNCTION("""COMPUTED_VALUE"""),"")</f>
        <v/>
      </c>
      <c r="W3033" s="16" t="str">
        <f>IFERROR(__xludf.DUMMYFUNCTION("""COMPUTED_VALUE"""),"")</f>
        <v/>
      </c>
      <c r="X3033" s="16" t="str">
        <f>IFERROR(__xludf.DUMMYFUNCTION("""COMPUTED_VALUE"""),"")</f>
        <v/>
      </c>
      <c r="AC3033" s="16" t="str">
        <f>IFERROR(__xludf.DUMMYFUNCTION("""COMPUTED_VALUE"""),"")</f>
        <v/>
      </c>
    </row>
    <row r="3034">
      <c r="A3034" s="16" t="s">
        <v>87</v>
      </c>
      <c r="E3034" s="16" t="str">
        <f>IFERROR(__xludf.DUMMYFUNCTION("""COMPUTED_VALUE"""),"")</f>
        <v/>
      </c>
      <c r="G3034" s="18"/>
      <c r="H3034" s="16" t="s">
        <v>87</v>
      </c>
      <c r="I3034" s="16" t="s">
        <v>87</v>
      </c>
      <c r="J3034" s="19"/>
      <c r="L3034" s="16" t="str">
        <f>IFERROR(__xludf.DUMMYFUNCTION("""COMPUTED_VALUE"""),"")</f>
        <v/>
      </c>
      <c r="M3034" s="16" t="str">
        <f>IFERROR(__xludf.DUMMYFUNCTION("""COMPUTED_VALUE"""),"")</f>
        <v/>
      </c>
      <c r="U3034" s="16" t="s">
        <v>87</v>
      </c>
      <c r="V3034" s="16" t="str">
        <f>IFERROR(__xludf.DUMMYFUNCTION("""COMPUTED_VALUE"""),"")</f>
        <v/>
      </c>
      <c r="W3034" s="16" t="str">
        <f>IFERROR(__xludf.DUMMYFUNCTION("""COMPUTED_VALUE"""),"")</f>
        <v/>
      </c>
      <c r="X3034" s="16" t="str">
        <f>IFERROR(__xludf.DUMMYFUNCTION("""COMPUTED_VALUE"""),"")</f>
        <v/>
      </c>
      <c r="AC3034" s="16" t="str">
        <f>IFERROR(__xludf.DUMMYFUNCTION("""COMPUTED_VALUE"""),"")</f>
        <v/>
      </c>
    </row>
    <row r="3035">
      <c r="A3035" s="16" t="s">
        <v>87</v>
      </c>
      <c r="E3035" s="16" t="str">
        <f>IFERROR(__xludf.DUMMYFUNCTION("""COMPUTED_VALUE"""),"")</f>
        <v/>
      </c>
      <c r="G3035" s="18"/>
      <c r="H3035" s="16" t="s">
        <v>87</v>
      </c>
      <c r="I3035" s="16" t="s">
        <v>87</v>
      </c>
      <c r="J3035" s="19"/>
      <c r="L3035" s="16" t="str">
        <f>IFERROR(__xludf.DUMMYFUNCTION("""COMPUTED_VALUE"""),"")</f>
        <v/>
      </c>
      <c r="M3035" s="16" t="str">
        <f>IFERROR(__xludf.DUMMYFUNCTION("""COMPUTED_VALUE"""),"")</f>
        <v/>
      </c>
      <c r="U3035" s="16" t="s">
        <v>87</v>
      </c>
      <c r="V3035" s="16" t="str">
        <f>IFERROR(__xludf.DUMMYFUNCTION("""COMPUTED_VALUE"""),"")</f>
        <v/>
      </c>
      <c r="W3035" s="16" t="str">
        <f>IFERROR(__xludf.DUMMYFUNCTION("""COMPUTED_VALUE"""),"")</f>
        <v/>
      </c>
      <c r="X3035" s="16" t="str">
        <f>IFERROR(__xludf.DUMMYFUNCTION("""COMPUTED_VALUE"""),"")</f>
        <v/>
      </c>
      <c r="AC3035" s="16" t="str">
        <f>IFERROR(__xludf.DUMMYFUNCTION("""COMPUTED_VALUE"""),"")</f>
        <v/>
      </c>
    </row>
    <row r="3036">
      <c r="A3036" s="16" t="s">
        <v>87</v>
      </c>
      <c r="E3036" s="16" t="str">
        <f>IFERROR(__xludf.DUMMYFUNCTION("""COMPUTED_VALUE"""),"")</f>
        <v/>
      </c>
      <c r="G3036" s="18"/>
      <c r="H3036" s="16" t="s">
        <v>87</v>
      </c>
      <c r="I3036" s="16" t="s">
        <v>87</v>
      </c>
      <c r="J3036" s="19"/>
      <c r="L3036" s="16" t="str">
        <f>IFERROR(__xludf.DUMMYFUNCTION("""COMPUTED_VALUE"""),"")</f>
        <v/>
      </c>
      <c r="M3036" s="16" t="str">
        <f>IFERROR(__xludf.DUMMYFUNCTION("""COMPUTED_VALUE"""),"")</f>
        <v/>
      </c>
      <c r="U3036" s="16" t="s">
        <v>87</v>
      </c>
      <c r="V3036" s="16" t="str">
        <f>IFERROR(__xludf.DUMMYFUNCTION("""COMPUTED_VALUE"""),"")</f>
        <v/>
      </c>
      <c r="W3036" s="16" t="str">
        <f>IFERROR(__xludf.DUMMYFUNCTION("""COMPUTED_VALUE"""),"")</f>
        <v/>
      </c>
      <c r="X3036" s="16" t="str">
        <f>IFERROR(__xludf.DUMMYFUNCTION("""COMPUTED_VALUE"""),"")</f>
        <v/>
      </c>
      <c r="AC3036" s="16" t="str">
        <f>IFERROR(__xludf.DUMMYFUNCTION("""COMPUTED_VALUE"""),"")</f>
        <v/>
      </c>
    </row>
    <row r="3037">
      <c r="A3037" s="16" t="s">
        <v>87</v>
      </c>
      <c r="E3037" s="16" t="str">
        <f>IFERROR(__xludf.DUMMYFUNCTION("""COMPUTED_VALUE"""),"")</f>
        <v/>
      </c>
      <c r="G3037" s="18"/>
      <c r="H3037" s="16" t="s">
        <v>87</v>
      </c>
      <c r="I3037" s="16" t="s">
        <v>87</v>
      </c>
      <c r="J3037" s="19"/>
      <c r="L3037" s="16" t="str">
        <f>IFERROR(__xludf.DUMMYFUNCTION("""COMPUTED_VALUE"""),"")</f>
        <v/>
      </c>
      <c r="M3037" s="16" t="str">
        <f>IFERROR(__xludf.DUMMYFUNCTION("""COMPUTED_VALUE"""),"")</f>
        <v/>
      </c>
      <c r="U3037" s="16" t="s">
        <v>87</v>
      </c>
      <c r="V3037" s="16" t="str">
        <f>IFERROR(__xludf.DUMMYFUNCTION("""COMPUTED_VALUE"""),"")</f>
        <v/>
      </c>
      <c r="W3037" s="16" t="str">
        <f>IFERROR(__xludf.DUMMYFUNCTION("""COMPUTED_VALUE"""),"")</f>
        <v/>
      </c>
      <c r="X3037" s="16" t="str">
        <f>IFERROR(__xludf.DUMMYFUNCTION("""COMPUTED_VALUE"""),"")</f>
        <v/>
      </c>
      <c r="AC3037" s="16" t="str">
        <f>IFERROR(__xludf.DUMMYFUNCTION("""COMPUTED_VALUE"""),"")</f>
        <v/>
      </c>
    </row>
    <row r="3038">
      <c r="A3038" s="16" t="s">
        <v>87</v>
      </c>
      <c r="E3038" s="16" t="str">
        <f>IFERROR(__xludf.DUMMYFUNCTION("""COMPUTED_VALUE"""),"")</f>
        <v/>
      </c>
      <c r="G3038" s="18"/>
      <c r="H3038" s="16" t="s">
        <v>87</v>
      </c>
      <c r="I3038" s="16" t="s">
        <v>87</v>
      </c>
      <c r="J3038" s="19"/>
      <c r="L3038" s="16" t="str">
        <f>IFERROR(__xludf.DUMMYFUNCTION("""COMPUTED_VALUE"""),"")</f>
        <v/>
      </c>
      <c r="M3038" s="16" t="str">
        <f>IFERROR(__xludf.DUMMYFUNCTION("""COMPUTED_VALUE"""),"")</f>
        <v/>
      </c>
      <c r="U3038" s="16" t="s">
        <v>87</v>
      </c>
      <c r="V3038" s="16" t="str">
        <f>IFERROR(__xludf.DUMMYFUNCTION("""COMPUTED_VALUE"""),"")</f>
        <v/>
      </c>
      <c r="W3038" s="16" t="str">
        <f>IFERROR(__xludf.DUMMYFUNCTION("""COMPUTED_VALUE"""),"")</f>
        <v/>
      </c>
      <c r="X3038" s="16" t="str">
        <f>IFERROR(__xludf.DUMMYFUNCTION("""COMPUTED_VALUE"""),"")</f>
        <v/>
      </c>
      <c r="AC3038" s="16" t="str">
        <f>IFERROR(__xludf.DUMMYFUNCTION("""COMPUTED_VALUE"""),"")</f>
        <v/>
      </c>
    </row>
    <row r="3039">
      <c r="A3039" s="16" t="s">
        <v>87</v>
      </c>
      <c r="E3039" s="16" t="str">
        <f>IFERROR(__xludf.DUMMYFUNCTION("""COMPUTED_VALUE"""),"")</f>
        <v/>
      </c>
      <c r="G3039" s="18"/>
      <c r="H3039" s="16" t="s">
        <v>87</v>
      </c>
      <c r="I3039" s="16" t="s">
        <v>87</v>
      </c>
      <c r="J3039" s="19"/>
      <c r="L3039" s="16" t="str">
        <f>IFERROR(__xludf.DUMMYFUNCTION("""COMPUTED_VALUE"""),"")</f>
        <v/>
      </c>
      <c r="M3039" s="16" t="str">
        <f>IFERROR(__xludf.DUMMYFUNCTION("""COMPUTED_VALUE"""),"")</f>
        <v/>
      </c>
      <c r="U3039" s="16" t="s">
        <v>87</v>
      </c>
      <c r="V3039" s="16" t="str">
        <f>IFERROR(__xludf.DUMMYFUNCTION("""COMPUTED_VALUE"""),"")</f>
        <v/>
      </c>
      <c r="W3039" s="16" t="str">
        <f>IFERROR(__xludf.DUMMYFUNCTION("""COMPUTED_VALUE"""),"")</f>
        <v/>
      </c>
      <c r="X3039" s="16" t="str">
        <f>IFERROR(__xludf.DUMMYFUNCTION("""COMPUTED_VALUE"""),"")</f>
        <v/>
      </c>
      <c r="AC3039" s="16" t="str">
        <f>IFERROR(__xludf.DUMMYFUNCTION("""COMPUTED_VALUE"""),"")</f>
        <v/>
      </c>
    </row>
    <row r="3040">
      <c r="A3040" s="16" t="s">
        <v>87</v>
      </c>
      <c r="E3040" s="16" t="str">
        <f>IFERROR(__xludf.DUMMYFUNCTION("""COMPUTED_VALUE"""),"")</f>
        <v/>
      </c>
      <c r="G3040" s="18"/>
      <c r="H3040" s="16" t="s">
        <v>87</v>
      </c>
      <c r="I3040" s="16" t="s">
        <v>87</v>
      </c>
      <c r="J3040" s="19"/>
      <c r="L3040" s="16" t="str">
        <f>IFERROR(__xludf.DUMMYFUNCTION("""COMPUTED_VALUE"""),"")</f>
        <v/>
      </c>
      <c r="M3040" s="16" t="str">
        <f>IFERROR(__xludf.DUMMYFUNCTION("""COMPUTED_VALUE"""),"")</f>
        <v/>
      </c>
      <c r="U3040" s="16" t="s">
        <v>87</v>
      </c>
      <c r="V3040" s="16" t="str">
        <f>IFERROR(__xludf.DUMMYFUNCTION("""COMPUTED_VALUE"""),"")</f>
        <v/>
      </c>
      <c r="W3040" s="16" t="str">
        <f>IFERROR(__xludf.DUMMYFUNCTION("""COMPUTED_VALUE"""),"")</f>
        <v/>
      </c>
      <c r="X3040" s="16" t="str">
        <f>IFERROR(__xludf.DUMMYFUNCTION("""COMPUTED_VALUE"""),"")</f>
        <v/>
      </c>
      <c r="AC3040" s="16" t="str">
        <f>IFERROR(__xludf.DUMMYFUNCTION("""COMPUTED_VALUE"""),"")</f>
        <v/>
      </c>
    </row>
    <row r="3041">
      <c r="A3041" s="16" t="s">
        <v>87</v>
      </c>
      <c r="E3041" s="16" t="str">
        <f>IFERROR(__xludf.DUMMYFUNCTION("""COMPUTED_VALUE"""),"")</f>
        <v/>
      </c>
      <c r="G3041" s="18"/>
      <c r="H3041" s="16" t="s">
        <v>87</v>
      </c>
      <c r="I3041" s="16" t="s">
        <v>87</v>
      </c>
      <c r="J3041" s="19"/>
      <c r="L3041" s="16" t="str">
        <f>IFERROR(__xludf.DUMMYFUNCTION("""COMPUTED_VALUE"""),"")</f>
        <v/>
      </c>
      <c r="M3041" s="16" t="str">
        <f>IFERROR(__xludf.DUMMYFUNCTION("""COMPUTED_VALUE"""),"")</f>
        <v/>
      </c>
      <c r="U3041" s="16" t="s">
        <v>87</v>
      </c>
      <c r="V3041" s="16" t="str">
        <f>IFERROR(__xludf.DUMMYFUNCTION("""COMPUTED_VALUE"""),"")</f>
        <v/>
      </c>
      <c r="W3041" s="16" t="str">
        <f>IFERROR(__xludf.DUMMYFUNCTION("""COMPUTED_VALUE"""),"")</f>
        <v/>
      </c>
      <c r="X3041" s="16" t="str">
        <f>IFERROR(__xludf.DUMMYFUNCTION("""COMPUTED_VALUE"""),"")</f>
        <v/>
      </c>
      <c r="AC3041" s="16" t="str">
        <f>IFERROR(__xludf.DUMMYFUNCTION("""COMPUTED_VALUE"""),"")</f>
        <v/>
      </c>
    </row>
    <row r="3042">
      <c r="A3042" s="16" t="s">
        <v>87</v>
      </c>
      <c r="E3042" s="16" t="str">
        <f>IFERROR(__xludf.DUMMYFUNCTION("""COMPUTED_VALUE"""),"")</f>
        <v/>
      </c>
      <c r="G3042" s="18"/>
      <c r="H3042" s="16" t="s">
        <v>87</v>
      </c>
      <c r="I3042" s="16" t="s">
        <v>87</v>
      </c>
      <c r="J3042" s="19"/>
      <c r="L3042" s="16" t="str">
        <f>IFERROR(__xludf.DUMMYFUNCTION("""COMPUTED_VALUE"""),"")</f>
        <v/>
      </c>
      <c r="M3042" s="16" t="str">
        <f>IFERROR(__xludf.DUMMYFUNCTION("""COMPUTED_VALUE"""),"")</f>
        <v/>
      </c>
      <c r="U3042" s="16" t="s">
        <v>87</v>
      </c>
      <c r="V3042" s="16" t="str">
        <f>IFERROR(__xludf.DUMMYFUNCTION("""COMPUTED_VALUE"""),"")</f>
        <v/>
      </c>
      <c r="W3042" s="16" t="str">
        <f>IFERROR(__xludf.DUMMYFUNCTION("""COMPUTED_VALUE"""),"")</f>
        <v/>
      </c>
      <c r="X3042" s="16" t="str">
        <f>IFERROR(__xludf.DUMMYFUNCTION("""COMPUTED_VALUE"""),"")</f>
        <v/>
      </c>
      <c r="AC3042" s="16" t="str">
        <f>IFERROR(__xludf.DUMMYFUNCTION("""COMPUTED_VALUE"""),"")</f>
        <v/>
      </c>
    </row>
    <row r="3043">
      <c r="A3043" s="16" t="s">
        <v>87</v>
      </c>
      <c r="E3043" s="16" t="str">
        <f>IFERROR(__xludf.DUMMYFUNCTION("""COMPUTED_VALUE"""),"")</f>
        <v/>
      </c>
      <c r="G3043" s="18"/>
      <c r="H3043" s="16" t="s">
        <v>87</v>
      </c>
      <c r="I3043" s="16" t="s">
        <v>87</v>
      </c>
      <c r="J3043" s="19"/>
      <c r="L3043" s="16" t="str">
        <f>IFERROR(__xludf.DUMMYFUNCTION("""COMPUTED_VALUE"""),"")</f>
        <v/>
      </c>
      <c r="M3043" s="16" t="str">
        <f>IFERROR(__xludf.DUMMYFUNCTION("""COMPUTED_VALUE"""),"")</f>
        <v/>
      </c>
      <c r="U3043" s="16" t="s">
        <v>87</v>
      </c>
      <c r="V3043" s="16" t="str">
        <f>IFERROR(__xludf.DUMMYFUNCTION("""COMPUTED_VALUE"""),"")</f>
        <v/>
      </c>
      <c r="W3043" s="16" t="str">
        <f>IFERROR(__xludf.DUMMYFUNCTION("""COMPUTED_VALUE"""),"")</f>
        <v/>
      </c>
      <c r="X3043" s="16" t="str">
        <f>IFERROR(__xludf.DUMMYFUNCTION("""COMPUTED_VALUE"""),"")</f>
        <v/>
      </c>
      <c r="AC3043" s="16" t="str">
        <f>IFERROR(__xludf.DUMMYFUNCTION("""COMPUTED_VALUE"""),"")</f>
        <v/>
      </c>
    </row>
    <row r="3044">
      <c r="A3044" s="16" t="s">
        <v>87</v>
      </c>
      <c r="E3044" s="16" t="str">
        <f>IFERROR(__xludf.DUMMYFUNCTION("""COMPUTED_VALUE"""),"")</f>
        <v/>
      </c>
      <c r="G3044" s="18"/>
      <c r="H3044" s="16" t="s">
        <v>87</v>
      </c>
      <c r="I3044" s="16" t="s">
        <v>87</v>
      </c>
      <c r="J3044" s="19"/>
      <c r="L3044" s="16" t="str">
        <f>IFERROR(__xludf.DUMMYFUNCTION("""COMPUTED_VALUE"""),"")</f>
        <v/>
      </c>
      <c r="M3044" s="16" t="str">
        <f>IFERROR(__xludf.DUMMYFUNCTION("""COMPUTED_VALUE"""),"")</f>
        <v/>
      </c>
      <c r="U3044" s="16" t="s">
        <v>87</v>
      </c>
      <c r="V3044" s="16" t="str">
        <f>IFERROR(__xludf.DUMMYFUNCTION("""COMPUTED_VALUE"""),"")</f>
        <v/>
      </c>
      <c r="W3044" s="16" t="str">
        <f>IFERROR(__xludf.DUMMYFUNCTION("""COMPUTED_VALUE"""),"")</f>
        <v/>
      </c>
      <c r="X3044" s="16" t="str">
        <f>IFERROR(__xludf.DUMMYFUNCTION("""COMPUTED_VALUE"""),"")</f>
        <v/>
      </c>
      <c r="AC3044" s="16" t="str">
        <f>IFERROR(__xludf.DUMMYFUNCTION("""COMPUTED_VALUE"""),"")</f>
        <v/>
      </c>
    </row>
    <row r="3045">
      <c r="A3045" s="16" t="s">
        <v>87</v>
      </c>
      <c r="E3045" s="16" t="str">
        <f>IFERROR(__xludf.DUMMYFUNCTION("""COMPUTED_VALUE"""),"")</f>
        <v/>
      </c>
      <c r="G3045" s="18"/>
      <c r="H3045" s="16" t="s">
        <v>87</v>
      </c>
      <c r="I3045" s="16" t="s">
        <v>87</v>
      </c>
      <c r="J3045" s="19"/>
      <c r="L3045" s="16" t="str">
        <f>IFERROR(__xludf.DUMMYFUNCTION("""COMPUTED_VALUE"""),"")</f>
        <v/>
      </c>
      <c r="M3045" s="16" t="str">
        <f>IFERROR(__xludf.DUMMYFUNCTION("""COMPUTED_VALUE"""),"")</f>
        <v/>
      </c>
      <c r="U3045" s="16" t="s">
        <v>87</v>
      </c>
      <c r="V3045" s="16" t="str">
        <f>IFERROR(__xludf.DUMMYFUNCTION("""COMPUTED_VALUE"""),"")</f>
        <v/>
      </c>
      <c r="W3045" s="16" t="str">
        <f>IFERROR(__xludf.DUMMYFUNCTION("""COMPUTED_VALUE"""),"")</f>
        <v/>
      </c>
      <c r="X3045" s="16" t="str">
        <f>IFERROR(__xludf.DUMMYFUNCTION("""COMPUTED_VALUE"""),"")</f>
        <v/>
      </c>
      <c r="AC3045" s="16" t="str">
        <f>IFERROR(__xludf.DUMMYFUNCTION("""COMPUTED_VALUE"""),"")</f>
        <v/>
      </c>
    </row>
    <row r="3046">
      <c r="A3046" s="16" t="s">
        <v>87</v>
      </c>
      <c r="E3046" s="16" t="str">
        <f>IFERROR(__xludf.DUMMYFUNCTION("""COMPUTED_VALUE"""),"")</f>
        <v/>
      </c>
      <c r="G3046" s="18"/>
      <c r="H3046" s="16" t="s">
        <v>87</v>
      </c>
      <c r="I3046" s="16" t="s">
        <v>87</v>
      </c>
      <c r="J3046" s="19"/>
      <c r="L3046" s="16" t="str">
        <f>IFERROR(__xludf.DUMMYFUNCTION("""COMPUTED_VALUE"""),"")</f>
        <v/>
      </c>
      <c r="M3046" s="16" t="str">
        <f>IFERROR(__xludf.DUMMYFUNCTION("""COMPUTED_VALUE"""),"")</f>
        <v/>
      </c>
      <c r="U3046" s="16" t="s">
        <v>87</v>
      </c>
      <c r="V3046" s="16" t="str">
        <f>IFERROR(__xludf.DUMMYFUNCTION("""COMPUTED_VALUE"""),"")</f>
        <v/>
      </c>
      <c r="W3046" s="16" t="str">
        <f>IFERROR(__xludf.DUMMYFUNCTION("""COMPUTED_VALUE"""),"")</f>
        <v/>
      </c>
      <c r="X3046" s="16" t="str">
        <f>IFERROR(__xludf.DUMMYFUNCTION("""COMPUTED_VALUE"""),"")</f>
        <v/>
      </c>
      <c r="AC3046" s="16" t="str">
        <f>IFERROR(__xludf.DUMMYFUNCTION("""COMPUTED_VALUE"""),"")</f>
        <v/>
      </c>
    </row>
    <row r="3047">
      <c r="A3047" s="16" t="s">
        <v>87</v>
      </c>
      <c r="E3047" s="16" t="str">
        <f>IFERROR(__xludf.DUMMYFUNCTION("""COMPUTED_VALUE"""),"")</f>
        <v/>
      </c>
      <c r="G3047" s="18"/>
      <c r="H3047" s="16" t="s">
        <v>87</v>
      </c>
      <c r="I3047" s="16" t="s">
        <v>87</v>
      </c>
      <c r="J3047" s="19"/>
      <c r="L3047" s="16" t="str">
        <f>IFERROR(__xludf.DUMMYFUNCTION("""COMPUTED_VALUE"""),"")</f>
        <v/>
      </c>
      <c r="M3047" s="16" t="str">
        <f>IFERROR(__xludf.DUMMYFUNCTION("""COMPUTED_VALUE"""),"")</f>
        <v/>
      </c>
      <c r="U3047" s="16" t="s">
        <v>87</v>
      </c>
      <c r="V3047" s="16" t="str">
        <f>IFERROR(__xludf.DUMMYFUNCTION("""COMPUTED_VALUE"""),"")</f>
        <v/>
      </c>
      <c r="W3047" s="16" t="str">
        <f>IFERROR(__xludf.DUMMYFUNCTION("""COMPUTED_VALUE"""),"")</f>
        <v/>
      </c>
      <c r="X3047" s="16" t="str">
        <f>IFERROR(__xludf.DUMMYFUNCTION("""COMPUTED_VALUE"""),"")</f>
        <v/>
      </c>
      <c r="AC3047" s="16" t="str">
        <f>IFERROR(__xludf.DUMMYFUNCTION("""COMPUTED_VALUE"""),"")</f>
        <v/>
      </c>
    </row>
    <row r="3048">
      <c r="A3048" s="16" t="s">
        <v>87</v>
      </c>
      <c r="E3048" s="16" t="str">
        <f>IFERROR(__xludf.DUMMYFUNCTION("""COMPUTED_VALUE"""),"")</f>
        <v/>
      </c>
      <c r="G3048" s="18"/>
      <c r="H3048" s="16" t="s">
        <v>87</v>
      </c>
      <c r="I3048" s="16" t="s">
        <v>87</v>
      </c>
      <c r="J3048" s="19"/>
      <c r="L3048" s="16" t="str">
        <f>IFERROR(__xludf.DUMMYFUNCTION("""COMPUTED_VALUE"""),"")</f>
        <v/>
      </c>
      <c r="M3048" s="16" t="str">
        <f>IFERROR(__xludf.DUMMYFUNCTION("""COMPUTED_VALUE"""),"")</f>
        <v/>
      </c>
      <c r="U3048" s="16" t="s">
        <v>87</v>
      </c>
      <c r="V3048" s="16" t="str">
        <f>IFERROR(__xludf.DUMMYFUNCTION("""COMPUTED_VALUE"""),"")</f>
        <v/>
      </c>
      <c r="W3048" s="16" t="str">
        <f>IFERROR(__xludf.DUMMYFUNCTION("""COMPUTED_VALUE"""),"")</f>
        <v/>
      </c>
      <c r="X3048" s="16" t="str">
        <f>IFERROR(__xludf.DUMMYFUNCTION("""COMPUTED_VALUE"""),"")</f>
        <v/>
      </c>
      <c r="AC3048" s="16" t="str">
        <f>IFERROR(__xludf.DUMMYFUNCTION("""COMPUTED_VALUE"""),"")</f>
        <v/>
      </c>
    </row>
    <row r="3049">
      <c r="A3049" s="16" t="s">
        <v>87</v>
      </c>
      <c r="E3049" s="16" t="str">
        <f>IFERROR(__xludf.DUMMYFUNCTION("""COMPUTED_VALUE"""),"")</f>
        <v/>
      </c>
      <c r="G3049" s="18"/>
      <c r="H3049" s="16" t="s">
        <v>87</v>
      </c>
      <c r="I3049" s="16" t="s">
        <v>87</v>
      </c>
      <c r="J3049" s="19"/>
      <c r="L3049" s="16" t="str">
        <f>IFERROR(__xludf.DUMMYFUNCTION("""COMPUTED_VALUE"""),"")</f>
        <v/>
      </c>
      <c r="M3049" s="16" t="str">
        <f>IFERROR(__xludf.DUMMYFUNCTION("""COMPUTED_VALUE"""),"")</f>
        <v/>
      </c>
      <c r="U3049" s="16" t="s">
        <v>87</v>
      </c>
      <c r="V3049" s="16" t="str">
        <f>IFERROR(__xludf.DUMMYFUNCTION("""COMPUTED_VALUE"""),"")</f>
        <v/>
      </c>
      <c r="W3049" s="16" t="str">
        <f>IFERROR(__xludf.DUMMYFUNCTION("""COMPUTED_VALUE"""),"")</f>
        <v/>
      </c>
      <c r="X3049" s="16" t="str">
        <f>IFERROR(__xludf.DUMMYFUNCTION("""COMPUTED_VALUE"""),"")</f>
        <v/>
      </c>
      <c r="AC3049" s="16" t="str">
        <f>IFERROR(__xludf.DUMMYFUNCTION("""COMPUTED_VALUE"""),"")</f>
        <v/>
      </c>
    </row>
    <row r="3050">
      <c r="A3050" s="16" t="s">
        <v>87</v>
      </c>
      <c r="E3050" s="16" t="str">
        <f>IFERROR(__xludf.DUMMYFUNCTION("""COMPUTED_VALUE"""),"")</f>
        <v/>
      </c>
      <c r="G3050" s="18"/>
      <c r="H3050" s="16" t="s">
        <v>87</v>
      </c>
      <c r="I3050" s="16" t="s">
        <v>87</v>
      </c>
      <c r="J3050" s="19"/>
      <c r="L3050" s="16" t="str">
        <f>IFERROR(__xludf.DUMMYFUNCTION("""COMPUTED_VALUE"""),"")</f>
        <v/>
      </c>
      <c r="M3050" s="16" t="str">
        <f>IFERROR(__xludf.DUMMYFUNCTION("""COMPUTED_VALUE"""),"")</f>
        <v/>
      </c>
      <c r="U3050" s="16" t="s">
        <v>87</v>
      </c>
      <c r="V3050" s="16" t="str">
        <f>IFERROR(__xludf.DUMMYFUNCTION("""COMPUTED_VALUE"""),"")</f>
        <v/>
      </c>
      <c r="W3050" s="16" t="str">
        <f>IFERROR(__xludf.DUMMYFUNCTION("""COMPUTED_VALUE"""),"")</f>
        <v/>
      </c>
      <c r="X3050" s="16" t="str">
        <f>IFERROR(__xludf.DUMMYFUNCTION("""COMPUTED_VALUE"""),"")</f>
        <v/>
      </c>
      <c r="AC3050" s="16" t="str">
        <f>IFERROR(__xludf.DUMMYFUNCTION("""COMPUTED_VALUE"""),"")</f>
        <v/>
      </c>
    </row>
    <row r="3051">
      <c r="A3051" s="16" t="s">
        <v>87</v>
      </c>
      <c r="E3051" s="16" t="str">
        <f>IFERROR(__xludf.DUMMYFUNCTION("""COMPUTED_VALUE"""),"")</f>
        <v/>
      </c>
      <c r="G3051" s="18"/>
      <c r="H3051" s="16" t="s">
        <v>87</v>
      </c>
      <c r="I3051" s="16" t="s">
        <v>87</v>
      </c>
      <c r="J3051" s="19"/>
      <c r="L3051" s="16" t="str">
        <f>IFERROR(__xludf.DUMMYFUNCTION("""COMPUTED_VALUE"""),"")</f>
        <v/>
      </c>
      <c r="M3051" s="16" t="str">
        <f>IFERROR(__xludf.DUMMYFUNCTION("""COMPUTED_VALUE"""),"")</f>
        <v/>
      </c>
      <c r="U3051" s="16" t="s">
        <v>87</v>
      </c>
      <c r="V3051" s="16" t="str">
        <f>IFERROR(__xludf.DUMMYFUNCTION("""COMPUTED_VALUE"""),"")</f>
        <v/>
      </c>
      <c r="W3051" s="16" t="str">
        <f>IFERROR(__xludf.DUMMYFUNCTION("""COMPUTED_VALUE"""),"")</f>
        <v/>
      </c>
      <c r="X3051" s="16" t="str">
        <f>IFERROR(__xludf.DUMMYFUNCTION("""COMPUTED_VALUE"""),"")</f>
        <v/>
      </c>
      <c r="AC3051" s="16" t="str">
        <f>IFERROR(__xludf.DUMMYFUNCTION("""COMPUTED_VALUE"""),"")</f>
        <v/>
      </c>
    </row>
    <row r="3052">
      <c r="A3052" s="16" t="s">
        <v>87</v>
      </c>
      <c r="E3052" s="16" t="str">
        <f>IFERROR(__xludf.DUMMYFUNCTION("""COMPUTED_VALUE"""),"")</f>
        <v/>
      </c>
      <c r="G3052" s="18"/>
      <c r="H3052" s="16" t="s">
        <v>87</v>
      </c>
      <c r="I3052" s="16" t="s">
        <v>87</v>
      </c>
      <c r="J3052" s="19"/>
      <c r="L3052" s="16" t="str">
        <f>IFERROR(__xludf.DUMMYFUNCTION("""COMPUTED_VALUE"""),"")</f>
        <v/>
      </c>
      <c r="M3052" s="16" t="str">
        <f>IFERROR(__xludf.DUMMYFUNCTION("""COMPUTED_VALUE"""),"")</f>
        <v/>
      </c>
      <c r="U3052" s="16" t="s">
        <v>87</v>
      </c>
      <c r="V3052" s="16" t="str">
        <f>IFERROR(__xludf.DUMMYFUNCTION("""COMPUTED_VALUE"""),"")</f>
        <v/>
      </c>
      <c r="W3052" s="16" t="str">
        <f>IFERROR(__xludf.DUMMYFUNCTION("""COMPUTED_VALUE"""),"")</f>
        <v/>
      </c>
      <c r="X3052" s="16" t="str">
        <f>IFERROR(__xludf.DUMMYFUNCTION("""COMPUTED_VALUE"""),"")</f>
        <v/>
      </c>
      <c r="AC3052" s="16" t="str">
        <f>IFERROR(__xludf.DUMMYFUNCTION("""COMPUTED_VALUE"""),"")</f>
        <v/>
      </c>
    </row>
    <row r="3053">
      <c r="A3053" s="16" t="s">
        <v>87</v>
      </c>
      <c r="E3053" s="16" t="str">
        <f>IFERROR(__xludf.DUMMYFUNCTION("""COMPUTED_VALUE"""),"")</f>
        <v/>
      </c>
      <c r="G3053" s="18"/>
      <c r="H3053" s="16" t="s">
        <v>87</v>
      </c>
      <c r="I3053" s="16" t="s">
        <v>87</v>
      </c>
      <c r="J3053" s="19"/>
      <c r="L3053" s="16" t="str">
        <f>IFERROR(__xludf.DUMMYFUNCTION("""COMPUTED_VALUE"""),"")</f>
        <v/>
      </c>
      <c r="M3053" s="16" t="str">
        <f>IFERROR(__xludf.DUMMYFUNCTION("""COMPUTED_VALUE"""),"")</f>
        <v/>
      </c>
      <c r="U3053" s="16" t="s">
        <v>87</v>
      </c>
      <c r="V3053" s="16" t="str">
        <f>IFERROR(__xludf.DUMMYFUNCTION("""COMPUTED_VALUE"""),"")</f>
        <v/>
      </c>
      <c r="W3053" s="16" t="str">
        <f>IFERROR(__xludf.DUMMYFUNCTION("""COMPUTED_VALUE"""),"")</f>
        <v/>
      </c>
      <c r="X3053" s="16" t="str">
        <f>IFERROR(__xludf.DUMMYFUNCTION("""COMPUTED_VALUE"""),"")</f>
        <v/>
      </c>
      <c r="AC3053" s="16" t="str">
        <f>IFERROR(__xludf.DUMMYFUNCTION("""COMPUTED_VALUE"""),"")</f>
        <v/>
      </c>
    </row>
    <row r="3054">
      <c r="A3054" s="16" t="s">
        <v>87</v>
      </c>
      <c r="E3054" s="16" t="str">
        <f>IFERROR(__xludf.DUMMYFUNCTION("""COMPUTED_VALUE"""),"")</f>
        <v/>
      </c>
      <c r="G3054" s="18"/>
      <c r="H3054" s="16" t="s">
        <v>87</v>
      </c>
      <c r="I3054" s="16" t="s">
        <v>87</v>
      </c>
      <c r="J3054" s="19"/>
      <c r="L3054" s="16" t="str">
        <f>IFERROR(__xludf.DUMMYFUNCTION("""COMPUTED_VALUE"""),"")</f>
        <v/>
      </c>
      <c r="M3054" s="16" t="str">
        <f>IFERROR(__xludf.DUMMYFUNCTION("""COMPUTED_VALUE"""),"")</f>
        <v/>
      </c>
      <c r="U3054" s="16" t="s">
        <v>87</v>
      </c>
      <c r="V3054" s="16" t="str">
        <f>IFERROR(__xludf.DUMMYFUNCTION("""COMPUTED_VALUE"""),"")</f>
        <v/>
      </c>
      <c r="W3054" s="16" t="str">
        <f>IFERROR(__xludf.DUMMYFUNCTION("""COMPUTED_VALUE"""),"")</f>
        <v/>
      </c>
      <c r="X3054" s="16" t="str">
        <f>IFERROR(__xludf.DUMMYFUNCTION("""COMPUTED_VALUE"""),"")</f>
        <v/>
      </c>
      <c r="AC3054" s="16" t="str">
        <f>IFERROR(__xludf.DUMMYFUNCTION("""COMPUTED_VALUE"""),"")</f>
        <v/>
      </c>
    </row>
    <row r="3055">
      <c r="A3055" s="16" t="s">
        <v>87</v>
      </c>
      <c r="E3055" s="16" t="str">
        <f>IFERROR(__xludf.DUMMYFUNCTION("""COMPUTED_VALUE"""),"")</f>
        <v/>
      </c>
      <c r="G3055" s="18"/>
      <c r="H3055" s="16" t="s">
        <v>87</v>
      </c>
      <c r="I3055" s="16" t="s">
        <v>87</v>
      </c>
      <c r="J3055" s="19"/>
      <c r="L3055" s="16" t="str">
        <f>IFERROR(__xludf.DUMMYFUNCTION("""COMPUTED_VALUE"""),"")</f>
        <v/>
      </c>
      <c r="M3055" s="16" t="str">
        <f>IFERROR(__xludf.DUMMYFUNCTION("""COMPUTED_VALUE"""),"")</f>
        <v/>
      </c>
      <c r="U3055" s="16" t="s">
        <v>87</v>
      </c>
      <c r="V3055" s="16" t="str">
        <f>IFERROR(__xludf.DUMMYFUNCTION("""COMPUTED_VALUE"""),"")</f>
        <v/>
      </c>
      <c r="W3055" s="16" t="str">
        <f>IFERROR(__xludf.DUMMYFUNCTION("""COMPUTED_VALUE"""),"")</f>
        <v/>
      </c>
      <c r="X3055" s="16" t="str">
        <f>IFERROR(__xludf.DUMMYFUNCTION("""COMPUTED_VALUE"""),"")</f>
        <v/>
      </c>
      <c r="AC3055" s="16" t="str">
        <f>IFERROR(__xludf.DUMMYFUNCTION("""COMPUTED_VALUE"""),"")</f>
        <v/>
      </c>
    </row>
    <row r="3056">
      <c r="A3056" s="16" t="s">
        <v>87</v>
      </c>
      <c r="E3056" s="16" t="str">
        <f>IFERROR(__xludf.DUMMYFUNCTION("""COMPUTED_VALUE"""),"")</f>
        <v/>
      </c>
      <c r="G3056" s="18"/>
      <c r="H3056" s="16" t="s">
        <v>87</v>
      </c>
      <c r="I3056" s="16" t="s">
        <v>87</v>
      </c>
      <c r="J3056" s="19"/>
      <c r="L3056" s="16" t="str">
        <f>IFERROR(__xludf.DUMMYFUNCTION("""COMPUTED_VALUE"""),"")</f>
        <v/>
      </c>
      <c r="M3056" s="16" t="str">
        <f>IFERROR(__xludf.DUMMYFUNCTION("""COMPUTED_VALUE"""),"")</f>
        <v/>
      </c>
      <c r="U3056" s="16" t="s">
        <v>87</v>
      </c>
      <c r="V3056" s="16" t="str">
        <f>IFERROR(__xludf.DUMMYFUNCTION("""COMPUTED_VALUE"""),"")</f>
        <v/>
      </c>
      <c r="W3056" s="16" t="str">
        <f>IFERROR(__xludf.DUMMYFUNCTION("""COMPUTED_VALUE"""),"")</f>
        <v/>
      </c>
      <c r="X3056" s="16" t="str">
        <f>IFERROR(__xludf.DUMMYFUNCTION("""COMPUTED_VALUE"""),"")</f>
        <v/>
      </c>
      <c r="AC3056" s="16" t="str">
        <f>IFERROR(__xludf.DUMMYFUNCTION("""COMPUTED_VALUE"""),"")</f>
        <v/>
      </c>
    </row>
    <row r="3057">
      <c r="A3057" s="16" t="s">
        <v>87</v>
      </c>
      <c r="E3057" s="16" t="str">
        <f>IFERROR(__xludf.DUMMYFUNCTION("""COMPUTED_VALUE"""),"")</f>
        <v/>
      </c>
      <c r="G3057" s="18"/>
      <c r="H3057" s="16" t="s">
        <v>87</v>
      </c>
      <c r="I3057" s="16" t="s">
        <v>87</v>
      </c>
      <c r="J3057" s="19"/>
      <c r="L3057" s="16" t="str">
        <f>IFERROR(__xludf.DUMMYFUNCTION("""COMPUTED_VALUE"""),"")</f>
        <v/>
      </c>
      <c r="M3057" s="16" t="str">
        <f>IFERROR(__xludf.DUMMYFUNCTION("""COMPUTED_VALUE"""),"")</f>
        <v/>
      </c>
      <c r="U3057" s="16" t="s">
        <v>87</v>
      </c>
      <c r="V3057" s="16" t="str">
        <f>IFERROR(__xludf.DUMMYFUNCTION("""COMPUTED_VALUE"""),"")</f>
        <v/>
      </c>
      <c r="W3057" s="16" t="str">
        <f>IFERROR(__xludf.DUMMYFUNCTION("""COMPUTED_VALUE"""),"")</f>
        <v/>
      </c>
      <c r="X3057" s="16" t="str">
        <f>IFERROR(__xludf.DUMMYFUNCTION("""COMPUTED_VALUE"""),"")</f>
        <v/>
      </c>
      <c r="AC3057" s="16" t="str">
        <f>IFERROR(__xludf.DUMMYFUNCTION("""COMPUTED_VALUE"""),"")</f>
        <v/>
      </c>
    </row>
    <row r="3058">
      <c r="A3058" s="16" t="s">
        <v>87</v>
      </c>
      <c r="E3058" s="16" t="str">
        <f>IFERROR(__xludf.DUMMYFUNCTION("""COMPUTED_VALUE"""),"")</f>
        <v/>
      </c>
      <c r="G3058" s="18"/>
      <c r="H3058" s="16" t="s">
        <v>87</v>
      </c>
      <c r="I3058" s="16" t="s">
        <v>87</v>
      </c>
      <c r="J3058" s="19"/>
      <c r="L3058" s="16" t="str">
        <f>IFERROR(__xludf.DUMMYFUNCTION("""COMPUTED_VALUE"""),"")</f>
        <v/>
      </c>
      <c r="M3058" s="16" t="str">
        <f>IFERROR(__xludf.DUMMYFUNCTION("""COMPUTED_VALUE"""),"")</f>
        <v/>
      </c>
      <c r="U3058" s="16" t="s">
        <v>87</v>
      </c>
      <c r="V3058" s="16" t="str">
        <f>IFERROR(__xludf.DUMMYFUNCTION("""COMPUTED_VALUE"""),"")</f>
        <v/>
      </c>
      <c r="W3058" s="16" t="str">
        <f>IFERROR(__xludf.DUMMYFUNCTION("""COMPUTED_VALUE"""),"")</f>
        <v/>
      </c>
      <c r="X3058" s="16" t="str">
        <f>IFERROR(__xludf.DUMMYFUNCTION("""COMPUTED_VALUE"""),"")</f>
        <v/>
      </c>
      <c r="AC3058" s="16" t="str">
        <f>IFERROR(__xludf.DUMMYFUNCTION("""COMPUTED_VALUE"""),"")</f>
        <v/>
      </c>
    </row>
    <row r="3059">
      <c r="A3059" s="16" t="s">
        <v>87</v>
      </c>
      <c r="E3059" s="16" t="str">
        <f>IFERROR(__xludf.DUMMYFUNCTION("""COMPUTED_VALUE"""),"")</f>
        <v/>
      </c>
      <c r="G3059" s="18"/>
      <c r="H3059" s="16" t="s">
        <v>87</v>
      </c>
      <c r="I3059" s="16" t="s">
        <v>87</v>
      </c>
      <c r="J3059" s="19"/>
      <c r="L3059" s="16" t="str">
        <f>IFERROR(__xludf.DUMMYFUNCTION("""COMPUTED_VALUE"""),"")</f>
        <v/>
      </c>
      <c r="M3059" s="16" t="str">
        <f>IFERROR(__xludf.DUMMYFUNCTION("""COMPUTED_VALUE"""),"")</f>
        <v/>
      </c>
      <c r="U3059" s="16" t="s">
        <v>87</v>
      </c>
      <c r="V3059" s="16" t="str">
        <f>IFERROR(__xludf.DUMMYFUNCTION("""COMPUTED_VALUE"""),"")</f>
        <v/>
      </c>
      <c r="W3059" s="16" t="str">
        <f>IFERROR(__xludf.DUMMYFUNCTION("""COMPUTED_VALUE"""),"")</f>
        <v/>
      </c>
      <c r="X3059" s="16" t="str">
        <f>IFERROR(__xludf.DUMMYFUNCTION("""COMPUTED_VALUE"""),"")</f>
        <v/>
      </c>
      <c r="AC3059" s="16" t="str">
        <f>IFERROR(__xludf.DUMMYFUNCTION("""COMPUTED_VALUE"""),"")</f>
        <v/>
      </c>
    </row>
    <row r="3060">
      <c r="A3060" s="16" t="s">
        <v>87</v>
      </c>
      <c r="E3060" s="16" t="str">
        <f>IFERROR(__xludf.DUMMYFUNCTION("""COMPUTED_VALUE"""),"")</f>
        <v/>
      </c>
      <c r="G3060" s="18"/>
      <c r="H3060" s="16" t="s">
        <v>87</v>
      </c>
      <c r="I3060" s="16" t="s">
        <v>87</v>
      </c>
      <c r="J3060" s="19"/>
      <c r="L3060" s="16" t="str">
        <f>IFERROR(__xludf.DUMMYFUNCTION("""COMPUTED_VALUE"""),"")</f>
        <v/>
      </c>
      <c r="M3060" s="16" t="str">
        <f>IFERROR(__xludf.DUMMYFUNCTION("""COMPUTED_VALUE"""),"")</f>
        <v/>
      </c>
      <c r="U3060" s="16" t="s">
        <v>87</v>
      </c>
      <c r="V3060" s="16" t="str">
        <f>IFERROR(__xludf.DUMMYFUNCTION("""COMPUTED_VALUE"""),"")</f>
        <v/>
      </c>
      <c r="W3060" s="16" t="str">
        <f>IFERROR(__xludf.DUMMYFUNCTION("""COMPUTED_VALUE"""),"")</f>
        <v/>
      </c>
      <c r="X3060" s="16" t="str">
        <f>IFERROR(__xludf.DUMMYFUNCTION("""COMPUTED_VALUE"""),"")</f>
        <v/>
      </c>
      <c r="AC3060" s="16" t="str">
        <f>IFERROR(__xludf.DUMMYFUNCTION("""COMPUTED_VALUE"""),"")</f>
        <v/>
      </c>
    </row>
    <row r="3061">
      <c r="A3061" s="16" t="s">
        <v>87</v>
      </c>
      <c r="E3061" s="16" t="str">
        <f>IFERROR(__xludf.DUMMYFUNCTION("""COMPUTED_VALUE"""),"")</f>
        <v/>
      </c>
      <c r="G3061" s="18"/>
      <c r="H3061" s="16" t="s">
        <v>87</v>
      </c>
      <c r="I3061" s="16" t="s">
        <v>87</v>
      </c>
      <c r="J3061" s="19"/>
      <c r="L3061" s="16" t="str">
        <f>IFERROR(__xludf.DUMMYFUNCTION("""COMPUTED_VALUE"""),"")</f>
        <v/>
      </c>
      <c r="M3061" s="16" t="str">
        <f>IFERROR(__xludf.DUMMYFUNCTION("""COMPUTED_VALUE"""),"")</f>
        <v/>
      </c>
      <c r="U3061" s="16" t="s">
        <v>87</v>
      </c>
      <c r="V3061" s="16" t="str">
        <f>IFERROR(__xludf.DUMMYFUNCTION("""COMPUTED_VALUE"""),"")</f>
        <v/>
      </c>
      <c r="W3061" s="16" t="str">
        <f>IFERROR(__xludf.DUMMYFUNCTION("""COMPUTED_VALUE"""),"")</f>
        <v/>
      </c>
      <c r="X3061" s="16" t="str">
        <f>IFERROR(__xludf.DUMMYFUNCTION("""COMPUTED_VALUE"""),"")</f>
        <v/>
      </c>
      <c r="AC3061" s="16" t="str">
        <f>IFERROR(__xludf.DUMMYFUNCTION("""COMPUTED_VALUE"""),"")</f>
        <v/>
      </c>
    </row>
    <row r="3062">
      <c r="A3062" s="16" t="s">
        <v>87</v>
      </c>
      <c r="E3062" s="16" t="str">
        <f>IFERROR(__xludf.DUMMYFUNCTION("""COMPUTED_VALUE"""),"")</f>
        <v/>
      </c>
      <c r="G3062" s="18"/>
      <c r="H3062" s="16" t="s">
        <v>87</v>
      </c>
      <c r="I3062" s="16" t="s">
        <v>87</v>
      </c>
      <c r="J3062" s="19"/>
      <c r="L3062" s="16" t="str">
        <f>IFERROR(__xludf.DUMMYFUNCTION("""COMPUTED_VALUE"""),"")</f>
        <v/>
      </c>
      <c r="M3062" s="16" t="str">
        <f>IFERROR(__xludf.DUMMYFUNCTION("""COMPUTED_VALUE"""),"")</f>
        <v/>
      </c>
      <c r="U3062" s="16" t="s">
        <v>87</v>
      </c>
      <c r="V3062" s="16" t="str">
        <f>IFERROR(__xludf.DUMMYFUNCTION("""COMPUTED_VALUE"""),"")</f>
        <v/>
      </c>
      <c r="W3062" s="16" t="str">
        <f>IFERROR(__xludf.DUMMYFUNCTION("""COMPUTED_VALUE"""),"")</f>
        <v/>
      </c>
      <c r="X3062" s="16" t="str">
        <f>IFERROR(__xludf.DUMMYFUNCTION("""COMPUTED_VALUE"""),"")</f>
        <v/>
      </c>
      <c r="AC3062" s="16" t="str">
        <f>IFERROR(__xludf.DUMMYFUNCTION("""COMPUTED_VALUE"""),"")</f>
        <v/>
      </c>
    </row>
    <row r="3063">
      <c r="A3063" s="16" t="s">
        <v>87</v>
      </c>
      <c r="E3063" s="16" t="str">
        <f>IFERROR(__xludf.DUMMYFUNCTION("""COMPUTED_VALUE"""),"")</f>
        <v/>
      </c>
      <c r="G3063" s="18"/>
      <c r="H3063" s="16" t="s">
        <v>87</v>
      </c>
      <c r="I3063" s="16" t="s">
        <v>87</v>
      </c>
      <c r="J3063" s="19"/>
      <c r="L3063" s="16" t="str">
        <f>IFERROR(__xludf.DUMMYFUNCTION("""COMPUTED_VALUE"""),"")</f>
        <v/>
      </c>
      <c r="M3063" s="16" t="str">
        <f>IFERROR(__xludf.DUMMYFUNCTION("""COMPUTED_VALUE"""),"")</f>
        <v/>
      </c>
      <c r="U3063" s="16" t="s">
        <v>87</v>
      </c>
      <c r="V3063" s="16" t="str">
        <f>IFERROR(__xludf.DUMMYFUNCTION("""COMPUTED_VALUE"""),"")</f>
        <v/>
      </c>
      <c r="W3063" s="16" t="str">
        <f>IFERROR(__xludf.DUMMYFUNCTION("""COMPUTED_VALUE"""),"")</f>
        <v/>
      </c>
      <c r="X3063" s="16" t="str">
        <f>IFERROR(__xludf.DUMMYFUNCTION("""COMPUTED_VALUE"""),"")</f>
        <v/>
      </c>
      <c r="AC3063" s="16" t="str">
        <f>IFERROR(__xludf.DUMMYFUNCTION("""COMPUTED_VALUE"""),"")</f>
        <v/>
      </c>
    </row>
    <row r="3064">
      <c r="A3064" s="16" t="s">
        <v>87</v>
      </c>
      <c r="E3064" s="16" t="str">
        <f>IFERROR(__xludf.DUMMYFUNCTION("""COMPUTED_VALUE"""),"")</f>
        <v/>
      </c>
      <c r="G3064" s="18"/>
      <c r="H3064" s="16" t="s">
        <v>87</v>
      </c>
      <c r="I3064" s="16" t="s">
        <v>87</v>
      </c>
      <c r="J3064" s="19"/>
      <c r="L3064" s="16" t="str">
        <f>IFERROR(__xludf.DUMMYFUNCTION("""COMPUTED_VALUE"""),"")</f>
        <v/>
      </c>
      <c r="M3064" s="16" t="str">
        <f>IFERROR(__xludf.DUMMYFUNCTION("""COMPUTED_VALUE"""),"")</f>
        <v/>
      </c>
      <c r="U3064" s="16" t="s">
        <v>87</v>
      </c>
      <c r="V3064" s="16" t="str">
        <f>IFERROR(__xludf.DUMMYFUNCTION("""COMPUTED_VALUE"""),"")</f>
        <v/>
      </c>
      <c r="W3064" s="16" t="str">
        <f>IFERROR(__xludf.DUMMYFUNCTION("""COMPUTED_VALUE"""),"")</f>
        <v/>
      </c>
      <c r="X3064" s="16" t="str">
        <f>IFERROR(__xludf.DUMMYFUNCTION("""COMPUTED_VALUE"""),"")</f>
        <v/>
      </c>
      <c r="AC3064" s="16" t="str">
        <f>IFERROR(__xludf.DUMMYFUNCTION("""COMPUTED_VALUE"""),"")</f>
        <v/>
      </c>
    </row>
    <row r="3065">
      <c r="A3065" s="16" t="s">
        <v>87</v>
      </c>
      <c r="E3065" s="16" t="str">
        <f>IFERROR(__xludf.DUMMYFUNCTION("""COMPUTED_VALUE"""),"")</f>
        <v/>
      </c>
      <c r="G3065" s="18"/>
      <c r="H3065" s="16" t="s">
        <v>87</v>
      </c>
      <c r="I3065" s="16" t="s">
        <v>87</v>
      </c>
      <c r="J3065" s="19"/>
      <c r="L3065" s="16" t="str">
        <f>IFERROR(__xludf.DUMMYFUNCTION("""COMPUTED_VALUE"""),"")</f>
        <v/>
      </c>
      <c r="M3065" s="16" t="str">
        <f>IFERROR(__xludf.DUMMYFUNCTION("""COMPUTED_VALUE"""),"")</f>
        <v/>
      </c>
      <c r="U3065" s="16" t="s">
        <v>87</v>
      </c>
      <c r="V3065" s="16" t="str">
        <f>IFERROR(__xludf.DUMMYFUNCTION("""COMPUTED_VALUE"""),"")</f>
        <v/>
      </c>
      <c r="W3065" s="16" t="str">
        <f>IFERROR(__xludf.DUMMYFUNCTION("""COMPUTED_VALUE"""),"")</f>
        <v/>
      </c>
      <c r="X3065" s="16" t="str">
        <f>IFERROR(__xludf.DUMMYFUNCTION("""COMPUTED_VALUE"""),"")</f>
        <v/>
      </c>
      <c r="AC3065" s="16" t="str">
        <f>IFERROR(__xludf.DUMMYFUNCTION("""COMPUTED_VALUE"""),"")</f>
        <v/>
      </c>
    </row>
    <row r="3066">
      <c r="A3066" s="16" t="s">
        <v>87</v>
      </c>
      <c r="E3066" s="16" t="str">
        <f>IFERROR(__xludf.DUMMYFUNCTION("""COMPUTED_VALUE"""),"")</f>
        <v/>
      </c>
      <c r="G3066" s="18"/>
      <c r="H3066" s="16" t="s">
        <v>87</v>
      </c>
      <c r="I3066" s="16" t="s">
        <v>87</v>
      </c>
      <c r="J3066" s="19"/>
      <c r="L3066" s="16" t="str">
        <f>IFERROR(__xludf.DUMMYFUNCTION("""COMPUTED_VALUE"""),"")</f>
        <v/>
      </c>
      <c r="M3066" s="16" t="str">
        <f>IFERROR(__xludf.DUMMYFUNCTION("""COMPUTED_VALUE"""),"")</f>
        <v/>
      </c>
      <c r="U3066" s="16" t="s">
        <v>87</v>
      </c>
      <c r="V3066" s="16" t="str">
        <f>IFERROR(__xludf.DUMMYFUNCTION("""COMPUTED_VALUE"""),"")</f>
        <v/>
      </c>
      <c r="W3066" s="16" t="str">
        <f>IFERROR(__xludf.DUMMYFUNCTION("""COMPUTED_VALUE"""),"")</f>
        <v/>
      </c>
      <c r="X3066" s="16" t="str">
        <f>IFERROR(__xludf.DUMMYFUNCTION("""COMPUTED_VALUE"""),"")</f>
        <v/>
      </c>
      <c r="AC3066" s="16" t="str">
        <f>IFERROR(__xludf.DUMMYFUNCTION("""COMPUTED_VALUE"""),"")</f>
        <v/>
      </c>
    </row>
    <row r="3067">
      <c r="A3067" s="16" t="s">
        <v>87</v>
      </c>
      <c r="E3067" s="16" t="str">
        <f>IFERROR(__xludf.DUMMYFUNCTION("""COMPUTED_VALUE"""),"")</f>
        <v/>
      </c>
      <c r="G3067" s="18"/>
      <c r="H3067" s="16" t="s">
        <v>87</v>
      </c>
      <c r="I3067" s="16" t="s">
        <v>87</v>
      </c>
      <c r="J3067" s="19"/>
      <c r="L3067" s="16" t="str">
        <f>IFERROR(__xludf.DUMMYFUNCTION("""COMPUTED_VALUE"""),"")</f>
        <v/>
      </c>
      <c r="M3067" s="16" t="str">
        <f>IFERROR(__xludf.DUMMYFUNCTION("""COMPUTED_VALUE"""),"")</f>
        <v/>
      </c>
      <c r="U3067" s="16" t="s">
        <v>87</v>
      </c>
      <c r="V3067" s="16" t="str">
        <f>IFERROR(__xludf.DUMMYFUNCTION("""COMPUTED_VALUE"""),"")</f>
        <v/>
      </c>
      <c r="W3067" s="16" t="str">
        <f>IFERROR(__xludf.DUMMYFUNCTION("""COMPUTED_VALUE"""),"")</f>
        <v/>
      </c>
      <c r="X3067" s="16" t="str">
        <f>IFERROR(__xludf.DUMMYFUNCTION("""COMPUTED_VALUE"""),"")</f>
        <v/>
      </c>
      <c r="AC3067" s="16" t="str">
        <f>IFERROR(__xludf.DUMMYFUNCTION("""COMPUTED_VALUE"""),"")</f>
        <v/>
      </c>
    </row>
    <row r="3068">
      <c r="A3068" s="16" t="s">
        <v>87</v>
      </c>
      <c r="E3068" s="16" t="str">
        <f>IFERROR(__xludf.DUMMYFUNCTION("""COMPUTED_VALUE"""),"")</f>
        <v/>
      </c>
      <c r="G3068" s="18"/>
      <c r="H3068" s="16" t="s">
        <v>87</v>
      </c>
      <c r="I3068" s="16" t="s">
        <v>87</v>
      </c>
      <c r="J3068" s="19"/>
      <c r="L3068" s="16" t="str">
        <f>IFERROR(__xludf.DUMMYFUNCTION("""COMPUTED_VALUE"""),"")</f>
        <v/>
      </c>
      <c r="M3068" s="16" t="str">
        <f>IFERROR(__xludf.DUMMYFUNCTION("""COMPUTED_VALUE"""),"")</f>
        <v/>
      </c>
      <c r="U3068" s="16" t="s">
        <v>87</v>
      </c>
      <c r="V3068" s="16" t="str">
        <f>IFERROR(__xludf.DUMMYFUNCTION("""COMPUTED_VALUE"""),"")</f>
        <v/>
      </c>
      <c r="W3068" s="16" t="str">
        <f>IFERROR(__xludf.DUMMYFUNCTION("""COMPUTED_VALUE"""),"")</f>
        <v/>
      </c>
      <c r="X3068" s="16" t="str">
        <f>IFERROR(__xludf.DUMMYFUNCTION("""COMPUTED_VALUE"""),"")</f>
        <v/>
      </c>
      <c r="AC3068" s="16" t="str">
        <f>IFERROR(__xludf.DUMMYFUNCTION("""COMPUTED_VALUE"""),"")</f>
        <v/>
      </c>
    </row>
    <row r="3069">
      <c r="A3069" s="16" t="s">
        <v>87</v>
      </c>
      <c r="E3069" s="16" t="str">
        <f>IFERROR(__xludf.DUMMYFUNCTION("""COMPUTED_VALUE"""),"")</f>
        <v/>
      </c>
      <c r="G3069" s="18"/>
      <c r="H3069" s="16" t="s">
        <v>87</v>
      </c>
      <c r="I3069" s="16" t="s">
        <v>87</v>
      </c>
      <c r="J3069" s="19"/>
      <c r="L3069" s="16" t="str">
        <f>IFERROR(__xludf.DUMMYFUNCTION("""COMPUTED_VALUE"""),"")</f>
        <v/>
      </c>
      <c r="M3069" s="16" t="str">
        <f>IFERROR(__xludf.DUMMYFUNCTION("""COMPUTED_VALUE"""),"")</f>
        <v/>
      </c>
      <c r="U3069" s="16" t="s">
        <v>87</v>
      </c>
      <c r="V3069" s="16" t="str">
        <f>IFERROR(__xludf.DUMMYFUNCTION("""COMPUTED_VALUE"""),"")</f>
        <v/>
      </c>
      <c r="W3069" s="16" t="str">
        <f>IFERROR(__xludf.DUMMYFUNCTION("""COMPUTED_VALUE"""),"")</f>
        <v/>
      </c>
      <c r="X3069" s="16" t="str">
        <f>IFERROR(__xludf.DUMMYFUNCTION("""COMPUTED_VALUE"""),"")</f>
        <v/>
      </c>
      <c r="AC3069" s="16" t="str">
        <f>IFERROR(__xludf.DUMMYFUNCTION("""COMPUTED_VALUE"""),"")</f>
        <v/>
      </c>
    </row>
    <row r="3070">
      <c r="A3070" s="16" t="s">
        <v>87</v>
      </c>
      <c r="E3070" s="16" t="str">
        <f>IFERROR(__xludf.DUMMYFUNCTION("""COMPUTED_VALUE"""),"")</f>
        <v/>
      </c>
      <c r="G3070" s="18"/>
      <c r="H3070" s="16" t="s">
        <v>87</v>
      </c>
      <c r="I3070" s="16" t="s">
        <v>87</v>
      </c>
      <c r="J3070" s="19"/>
      <c r="L3070" s="16" t="str">
        <f>IFERROR(__xludf.DUMMYFUNCTION("""COMPUTED_VALUE"""),"")</f>
        <v/>
      </c>
      <c r="M3070" s="16" t="str">
        <f>IFERROR(__xludf.DUMMYFUNCTION("""COMPUTED_VALUE"""),"")</f>
        <v/>
      </c>
      <c r="U3070" s="16" t="s">
        <v>87</v>
      </c>
      <c r="V3070" s="16" t="str">
        <f>IFERROR(__xludf.DUMMYFUNCTION("""COMPUTED_VALUE"""),"")</f>
        <v/>
      </c>
      <c r="W3070" s="16" t="str">
        <f>IFERROR(__xludf.DUMMYFUNCTION("""COMPUTED_VALUE"""),"")</f>
        <v/>
      </c>
      <c r="X3070" s="16" t="str">
        <f>IFERROR(__xludf.DUMMYFUNCTION("""COMPUTED_VALUE"""),"")</f>
        <v/>
      </c>
      <c r="AC3070" s="16" t="str">
        <f>IFERROR(__xludf.DUMMYFUNCTION("""COMPUTED_VALUE"""),"")</f>
        <v/>
      </c>
    </row>
    <row r="3071">
      <c r="A3071" s="16" t="s">
        <v>87</v>
      </c>
      <c r="E3071" s="16" t="str">
        <f>IFERROR(__xludf.DUMMYFUNCTION("""COMPUTED_VALUE"""),"")</f>
        <v/>
      </c>
      <c r="G3071" s="18"/>
      <c r="H3071" s="16" t="s">
        <v>87</v>
      </c>
      <c r="I3071" s="16" t="s">
        <v>87</v>
      </c>
      <c r="J3071" s="19"/>
      <c r="L3071" s="16" t="str">
        <f>IFERROR(__xludf.DUMMYFUNCTION("""COMPUTED_VALUE"""),"")</f>
        <v/>
      </c>
      <c r="M3071" s="16" t="str">
        <f>IFERROR(__xludf.DUMMYFUNCTION("""COMPUTED_VALUE"""),"")</f>
        <v/>
      </c>
      <c r="U3071" s="16" t="s">
        <v>87</v>
      </c>
      <c r="V3071" s="16" t="str">
        <f>IFERROR(__xludf.DUMMYFUNCTION("""COMPUTED_VALUE"""),"")</f>
        <v/>
      </c>
      <c r="W3071" s="16" t="str">
        <f>IFERROR(__xludf.DUMMYFUNCTION("""COMPUTED_VALUE"""),"")</f>
        <v/>
      </c>
      <c r="X3071" s="16" t="str">
        <f>IFERROR(__xludf.DUMMYFUNCTION("""COMPUTED_VALUE"""),"")</f>
        <v/>
      </c>
      <c r="AC3071" s="16" t="str">
        <f>IFERROR(__xludf.DUMMYFUNCTION("""COMPUTED_VALUE"""),"")</f>
        <v/>
      </c>
    </row>
    <row r="3072">
      <c r="A3072" s="16" t="s">
        <v>87</v>
      </c>
      <c r="E3072" s="16" t="str">
        <f>IFERROR(__xludf.DUMMYFUNCTION("""COMPUTED_VALUE"""),"")</f>
        <v/>
      </c>
      <c r="G3072" s="18"/>
      <c r="H3072" s="16" t="s">
        <v>87</v>
      </c>
      <c r="I3072" s="16" t="s">
        <v>87</v>
      </c>
      <c r="J3072" s="19"/>
      <c r="L3072" s="16" t="str">
        <f>IFERROR(__xludf.DUMMYFUNCTION("""COMPUTED_VALUE"""),"")</f>
        <v/>
      </c>
      <c r="M3072" s="16" t="str">
        <f>IFERROR(__xludf.DUMMYFUNCTION("""COMPUTED_VALUE"""),"")</f>
        <v/>
      </c>
      <c r="U3072" s="16" t="s">
        <v>87</v>
      </c>
      <c r="V3072" s="16" t="str">
        <f>IFERROR(__xludf.DUMMYFUNCTION("""COMPUTED_VALUE"""),"")</f>
        <v/>
      </c>
      <c r="W3072" s="16" t="str">
        <f>IFERROR(__xludf.DUMMYFUNCTION("""COMPUTED_VALUE"""),"")</f>
        <v/>
      </c>
      <c r="X3072" s="16" t="str">
        <f>IFERROR(__xludf.DUMMYFUNCTION("""COMPUTED_VALUE"""),"")</f>
        <v/>
      </c>
      <c r="AC3072" s="16" t="str">
        <f>IFERROR(__xludf.DUMMYFUNCTION("""COMPUTED_VALUE"""),"")</f>
        <v/>
      </c>
    </row>
    <row r="3073">
      <c r="A3073" s="16" t="s">
        <v>87</v>
      </c>
      <c r="E3073" s="16" t="str">
        <f>IFERROR(__xludf.DUMMYFUNCTION("""COMPUTED_VALUE"""),"")</f>
        <v/>
      </c>
      <c r="G3073" s="18"/>
      <c r="H3073" s="16" t="s">
        <v>87</v>
      </c>
      <c r="I3073" s="16" t="s">
        <v>87</v>
      </c>
      <c r="J3073" s="19"/>
      <c r="L3073" s="16" t="str">
        <f>IFERROR(__xludf.DUMMYFUNCTION("""COMPUTED_VALUE"""),"")</f>
        <v/>
      </c>
      <c r="M3073" s="16" t="str">
        <f>IFERROR(__xludf.DUMMYFUNCTION("""COMPUTED_VALUE"""),"")</f>
        <v/>
      </c>
      <c r="U3073" s="16" t="s">
        <v>87</v>
      </c>
      <c r="V3073" s="16" t="str">
        <f>IFERROR(__xludf.DUMMYFUNCTION("""COMPUTED_VALUE"""),"")</f>
        <v/>
      </c>
      <c r="W3073" s="16" t="str">
        <f>IFERROR(__xludf.DUMMYFUNCTION("""COMPUTED_VALUE"""),"")</f>
        <v/>
      </c>
      <c r="X3073" s="16" t="str">
        <f>IFERROR(__xludf.DUMMYFUNCTION("""COMPUTED_VALUE"""),"")</f>
        <v/>
      </c>
      <c r="AC3073" s="16" t="str">
        <f>IFERROR(__xludf.DUMMYFUNCTION("""COMPUTED_VALUE"""),"")</f>
        <v/>
      </c>
    </row>
    <row r="3074">
      <c r="A3074" s="16" t="s">
        <v>87</v>
      </c>
      <c r="E3074" s="16" t="str">
        <f>IFERROR(__xludf.DUMMYFUNCTION("""COMPUTED_VALUE"""),"")</f>
        <v/>
      </c>
      <c r="G3074" s="18"/>
      <c r="H3074" s="16" t="s">
        <v>87</v>
      </c>
      <c r="I3074" s="16" t="s">
        <v>87</v>
      </c>
      <c r="J3074" s="19"/>
      <c r="L3074" s="16" t="str">
        <f>IFERROR(__xludf.DUMMYFUNCTION("""COMPUTED_VALUE"""),"")</f>
        <v/>
      </c>
      <c r="M3074" s="16" t="str">
        <f>IFERROR(__xludf.DUMMYFUNCTION("""COMPUTED_VALUE"""),"")</f>
        <v/>
      </c>
      <c r="U3074" s="16" t="s">
        <v>87</v>
      </c>
      <c r="V3074" s="16" t="str">
        <f>IFERROR(__xludf.DUMMYFUNCTION("""COMPUTED_VALUE"""),"")</f>
        <v/>
      </c>
      <c r="W3074" s="16" t="str">
        <f>IFERROR(__xludf.DUMMYFUNCTION("""COMPUTED_VALUE"""),"")</f>
        <v/>
      </c>
      <c r="X3074" s="16" t="str">
        <f>IFERROR(__xludf.DUMMYFUNCTION("""COMPUTED_VALUE"""),"")</f>
        <v/>
      </c>
      <c r="AC3074" s="16" t="str">
        <f>IFERROR(__xludf.DUMMYFUNCTION("""COMPUTED_VALUE"""),"")</f>
        <v/>
      </c>
    </row>
    <row r="3075">
      <c r="A3075" s="16" t="s">
        <v>87</v>
      </c>
      <c r="E3075" s="16" t="str">
        <f>IFERROR(__xludf.DUMMYFUNCTION("""COMPUTED_VALUE"""),"")</f>
        <v/>
      </c>
      <c r="G3075" s="18"/>
      <c r="H3075" s="16" t="s">
        <v>87</v>
      </c>
      <c r="I3075" s="16" t="s">
        <v>87</v>
      </c>
      <c r="J3075" s="19"/>
      <c r="L3075" s="16" t="str">
        <f>IFERROR(__xludf.DUMMYFUNCTION("""COMPUTED_VALUE"""),"")</f>
        <v/>
      </c>
      <c r="M3075" s="16" t="str">
        <f>IFERROR(__xludf.DUMMYFUNCTION("""COMPUTED_VALUE"""),"")</f>
        <v/>
      </c>
      <c r="U3075" s="16" t="s">
        <v>87</v>
      </c>
      <c r="V3075" s="16" t="str">
        <f>IFERROR(__xludf.DUMMYFUNCTION("""COMPUTED_VALUE"""),"")</f>
        <v/>
      </c>
      <c r="W3075" s="16" t="str">
        <f>IFERROR(__xludf.DUMMYFUNCTION("""COMPUTED_VALUE"""),"")</f>
        <v/>
      </c>
      <c r="X3075" s="16" t="str">
        <f>IFERROR(__xludf.DUMMYFUNCTION("""COMPUTED_VALUE"""),"")</f>
        <v/>
      </c>
      <c r="AC3075" s="16" t="str">
        <f>IFERROR(__xludf.DUMMYFUNCTION("""COMPUTED_VALUE"""),"")</f>
        <v/>
      </c>
    </row>
    <row r="3076">
      <c r="A3076" s="16" t="s">
        <v>87</v>
      </c>
      <c r="E3076" s="16" t="str">
        <f>IFERROR(__xludf.DUMMYFUNCTION("""COMPUTED_VALUE"""),"")</f>
        <v/>
      </c>
      <c r="G3076" s="18"/>
      <c r="H3076" s="16" t="s">
        <v>87</v>
      </c>
      <c r="I3076" s="16" t="s">
        <v>87</v>
      </c>
      <c r="J3076" s="19"/>
      <c r="L3076" s="16" t="str">
        <f>IFERROR(__xludf.DUMMYFUNCTION("""COMPUTED_VALUE"""),"")</f>
        <v/>
      </c>
      <c r="M3076" s="16" t="str">
        <f>IFERROR(__xludf.DUMMYFUNCTION("""COMPUTED_VALUE"""),"")</f>
        <v/>
      </c>
      <c r="U3076" s="16" t="s">
        <v>87</v>
      </c>
      <c r="V3076" s="16" t="str">
        <f>IFERROR(__xludf.DUMMYFUNCTION("""COMPUTED_VALUE"""),"")</f>
        <v/>
      </c>
      <c r="W3076" s="16" t="str">
        <f>IFERROR(__xludf.DUMMYFUNCTION("""COMPUTED_VALUE"""),"")</f>
        <v/>
      </c>
      <c r="X3076" s="16" t="str">
        <f>IFERROR(__xludf.DUMMYFUNCTION("""COMPUTED_VALUE"""),"")</f>
        <v/>
      </c>
      <c r="AC3076" s="16" t="str">
        <f>IFERROR(__xludf.DUMMYFUNCTION("""COMPUTED_VALUE"""),"")</f>
        <v/>
      </c>
    </row>
    <row r="3077">
      <c r="A3077" s="16" t="s">
        <v>87</v>
      </c>
      <c r="E3077" s="16" t="str">
        <f>IFERROR(__xludf.DUMMYFUNCTION("""COMPUTED_VALUE"""),"")</f>
        <v/>
      </c>
      <c r="G3077" s="18"/>
      <c r="H3077" s="16" t="s">
        <v>87</v>
      </c>
      <c r="I3077" s="16" t="s">
        <v>87</v>
      </c>
      <c r="J3077" s="19"/>
      <c r="L3077" s="16" t="str">
        <f>IFERROR(__xludf.DUMMYFUNCTION("""COMPUTED_VALUE"""),"")</f>
        <v/>
      </c>
      <c r="M3077" s="16" t="str">
        <f>IFERROR(__xludf.DUMMYFUNCTION("""COMPUTED_VALUE"""),"")</f>
        <v/>
      </c>
      <c r="U3077" s="16" t="s">
        <v>87</v>
      </c>
      <c r="V3077" s="16" t="str">
        <f>IFERROR(__xludf.DUMMYFUNCTION("""COMPUTED_VALUE"""),"")</f>
        <v/>
      </c>
      <c r="W3077" s="16" t="str">
        <f>IFERROR(__xludf.DUMMYFUNCTION("""COMPUTED_VALUE"""),"")</f>
        <v/>
      </c>
      <c r="X3077" s="16" t="str">
        <f>IFERROR(__xludf.DUMMYFUNCTION("""COMPUTED_VALUE"""),"")</f>
        <v/>
      </c>
      <c r="AC3077" s="16" t="str">
        <f>IFERROR(__xludf.DUMMYFUNCTION("""COMPUTED_VALUE"""),"")</f>
        <v/>
      </c>
    </row>
    <row r="3078">
      <c r="A3078" s="16" t="s">
        <v>87</v>
      </c>
      <c r="E3078" s="16" t="str">
        <f>IFERROR(__xludf.DUMMYFUNCTION("""COMPUTED_VALUE"""),"")</f>
        <v/>
      </c>
      <c r="G3078" s="18"/>
      <c r="H3078" s="16" t="s">
        <v>87</v>
      </c>
      <c r="I3078" s="16" t="s">
        <v>87</v>
      </c>
      <c r="J3078" s="19"/>
      <c r="L3078" s="16" t="str">
        <f>IFERROR(__xludf.DUMMYFUNCTION("""COMPUTED_VALUE"""),"")</f>
        <v/>
      </c>
      <c r="M3078" s="16" t="str">
        <f>IFERROR(__xludf.DUMMYFUNCTION("""COMPUTED_VALUE"""),"")</f>
        <v/>
      </c>
      <c r="U3078" s="16" t="s">
        <v>87</v>
      </c>
      <c r="V3078" s="16" t="str">
        <f>IFERROR(__xludf.DUMMYFUNCTION("""COMPUTED_VALUE"""),"")</f>
        <v/>
      </c>
      <c r="W3078" s="16" t="str">
        <f>IFERROR(__xludf.DUMMYFUNCTION("""COMPUTED_VALUE"""),"")</f>
        <v/>
      </c>
      <c r="X3078" s="16" t="str">
        <f>IFERROR(__xludf.DUMMYFUNCTION("""COMPUTED_VALUE"""),"")</f>
        <v/>
      </c>
      <c r="AC3078" s="16" t="str">
        <f>IFERROR(__xludf.DUMMYFUNCTION("""COMPUTED_VALUE"""),"")</f>
        <v/>
      </c>
    </row>
    <row r="3079">
      <c r="A3079" s="16" t="s">
        <v>87</v>
      </c>
      <c r="E3079" s="16" t="str">
        <f>IFERROR(__xludf.DUMMYFUNCTION("""COMPUTED_VALUE"""),"")</f>
        <v/>
      </c>
      <c r="G3079" s="18"/>
      <c r="H3079" s="16" t="s">
        <v>87</v>
      </c>
      <c r="I3079" s="16" t="s">
        <v>87</v>
      </c>
      <c r="J3079" s="19"/>
      <c r="L3079" s="16" t="str">
        <f>IFERROR(__xludf.DUMMYFUNCTION("""COMPUTED_VALUE"""),"")</f>
        <v/>
      </c>
      <c r="M3079" s="16" t="str">
        <f>IFERROR(__xludf.DUMMYFUNCTION("""COMPUTED_VALUE"""),"")</f>
        <v/>
      </c>
      <c r="U3079" s="16" t="s">
        <v>87</v>
      </c>
      <c r="V3079" s="16" t="str">
        <f>IFERROR(__xludf.DUMMYFUNCTION("""COMPUTED_VALUE"""),"")</f>
        <v/>
      </c>
      <c r="W3079" s="16" t="str">
        <f>IFERROR(__xludf.DUMMYFUNCTION("""COMPUTED_VALUE"""),"")</f>
        <v/>
      </c>
      <c r="X3079" s="16" t="str">
        <f>IFERROR(__xludf.DUMMYFUNCTION("""COMPUTED_VALUE"""),"")</f>
        <v/>
      </c>
      <c r="AC3079" s="16" t="str">
        <f>IFERROR(__xludf.DUMMYFUNCTION("""COMPUTED_VALUE"""),"")</f>
        <v/>
      </c>
    </row>
    <row r="3080">
      <c r="A3080" s="16" t="s">
        <v>87</v>
      </c>
      <c r="E3080" s="16" t="str">
        <f>IFERROR(__xludf.DUMMYFUNCTION("""COMPUTED_VALUE"""),"")</f>
        <v/>
      </c>
      <c r="G3080" s="18"/>
      <c r="H3080" s="16" t="s">
        <v>87</v>
      </c>
      <c r="I3080" s="16" t="s">
        <v>87</v>
      </c>
      <c r="J3080" s="19"/>
      <c r="L3080" s="16" t="str">
        <f>IFERROR(__xludf.DUMMYFUNCTION("""COMPUTED_VALUE"""),"")</f>
        <v/>
      </c>
      <c r="M3080" s="16" t="str">
        <f>IFERROR(__xludf.DUMMYFUNCTION("""COMPUTED_VALUE"""),"")</f>
        <v/>
      </c>
      <c r="U3080" s="16" t="s">
        <v>87</v>
      </c>
      <c r="V3080" s="16" t="str">
        <f>IFERROR(__xludf.DUMMYFUNCTION("""COMPUTED_VALUE"""),"")</f>
        <v/>
      </c>
      <c r="W3080" s="16" t="str">
        <f>IFERROR(__xludf.DUMMYFUNCTION("""COMPUTED_VALUE"""),"")</f>
        <v/>
      </c>
      <c r="X3080" s="16" t="str">
        <f>IFERROR(__xludf.DUMMYFUNCTION("""COMPUTED_VALUE"""),"")</f>
        <v/>
      </c>
      <c r="AC3080" s="16" t="str">
        <f>IFERROR(__xludf.DUMMYFUNCTION("""COMPUTED_VALUE"""),"")</f>
        <v/>
      </c>
    </row>
    <row r="3081">
      <c r="A3081" s="16" t="s">
        <v>87</v>
      </c>
      <c r="E3081" s="16" t="str">
        <f>IFERROR(__xludf.DUMMYFUNCTION("""COMPUTED_VALUE"""),"")</f>
        <v/>
      </c>
      <c r="G3081" s="18"/>
      <c r="H3081" s="16" t="s">
        <v>87</v>
      </c>
      <c r="I3081" s="16" t="s">
        <v>87</v>
      </c>
      <c r="J3081" s="19"/>
      <c r="L3081" s="16" t="str">
        <f>IFERROR(__xludf.DUMMYFUNCTION("""COMPUTED_VALUE"""),"")</f>
        <v/>
      </c>
      <c r="M3081" s="16" t="str">
        <f>IFERROR(__xludf.DUMMYFUNCTION("""COMPUTED_VALUE"""),"")</f>
        <v/>
      </c>
      <c r="U3081" s="16" t="s">
        <v>87</v>
      </c>
      <c r="V3081" s="16" t="str">
        <f>IFERROR(__xludf.DUMMYFUNCTION("""COMPUTED_VALUE"""),"")</f>
        <v/>
      </c>
      <c r="W3081" s="16" t="str">
        <f>IFERROR(__xludf.DUMMYFUNCTION("""COMPUTED_VALUE"""),"")</f>
        <v/>
      </c>
      <c r="X3081" s="16" t="str">
        <f>IFERROR(__xludf.DUMMYFUNCTION("""COMPUTED_VALUE"""),"")</f>
        <v/>
      </c>
      <c r="AC3081" s="16" t="str">
        <f>IFERROR(__xludf.DUMMYFUNCTION("""COMPUTED_VALUE"""),"")</f>
        <v/>
      </c>
    </row>
    <row r="3082">
      <c r="A3082" s="16" t="s">
        <v>87</v>
      </c>
      <c r="E3082" s="16" t="str">
        <f>IFERROR(__xludf.DUMMYFUNCTION("""COMPUTED_VALUE"""),"")</f>
        <v/>
      </c>
      <c r="G3082" s="18"/>
      <c r="H3082" s="16" t="s">
        <v>87</v>
      </c>
      <c r="I3082" s="16" t="s">
        <v>87</v>
      </c>
      <c r="J3082" s="19"/>
      <c r="L3082" s="16" t="str">
        <f>IFERROR(__xludf.DUMMYFUNCTION("""COMPUTED_VALUE"""),"")</f>
        <v/>
      </c>
      <c r="M3082" s="16" t="str">
        <f>IFERROR(__xludf.DUMMYFUNCTION("""COMPUTED_VALUE"""),"")</f>
        <v/>
      </c>
      <c r="U3082" s="16" t="s">
        <v>87</v>
      </c>
      <c r="V3082" s="16" t="str">
        <f>IFERROR(__xludf.DUMMYFUNCTION("""COMPUTED_VALUE"""),"")</f>
        <v/>
      </c>
      <c r="W3082" s="16" t="str">
        <f>IFERROR(__xludf.DUMMYFUNCTION("""COMPUTED_VALUE"""),"")</f>
        <v/>
      </c>
      <c r="X3082" s="16" t="str">
        <f>IFERROR(__xludf.DUMMYFUNCTION("""COMPUTED_VALUE"""),"")</f>
        <v/>
      </c>
      <c r="AC3082" s="16" t="str">
        <f>IFERROR(__xludf.DUMMYFUNCTION("""COMPUTED_VALUE"""),"")</f>
        <v/>
      </c>
    </row>
    <row r="3083">
      <c r="A3083" s="16" t="s">
        <v>87</v>
      </c>
      <c r="E3083" s="16" t="str">
        <f>IFERROR(__xludf.DUMMYFUNCTION("""COMPUTED_VALUE"""),"")</f>
        <v/>
      </c>
      <c r="G3083" s="18"/>
      <c r="H3083" s="16" t="s">
        <v>87</v>
      </c>
      <c r="I3083" s="16" t="s">
        <v>87</v>
      </c>
      <c r="J3083" s="19"/>
      <c r="L3083" s="16" t="str">
        <f>IFERROR(__xludf.DUMMYFUNCTION("""COMPUTED_VALUE"""),"")</f>
        <v/>
      </c>
      <c r="M3083" s="16" t="str">
        <f>IFERROR(__xludf.DUMMYFUNCTION("""COMPUTED_VALUE"""),"")</f>
        <v/>
      </c>
      <c r="U3083" s="16" t="s">
        <v>87</v>
      </c>
      <c r="V3083" s="16" t="str">
        <f>IFERROR(__xludf.DUMMYFUNCTION("""COMPUTED_VALUE"""),"")</f>
        <v/>
      </c>
      <c r="W3083" s="16" t="str">
        <f>IFERROR(__xludf.DUMMYFUNCTION("""COMPUTED_VALUE"""),"")</f>
        <v/>
      </c>
      <c r="X3083" s="16" t="str">
        <f>IFERROR(__xludf.DUMMYFUNCTION("""COMPUTED_VALUE"""),"")</f>
        <v/>
      </c>
      <c r="AC3083" s="16" t="str">
        <f>IFERROR(__xludf.DUMMYFUNCTION("""COMPUTED_VALUE"""),"")</f>
        <v/>
      </c>
    </row>
    <row r="3084">
      <c r="A3084" s="16" t="s">
        <v>87</v>
      </c>
      <c r="E3084" s="16" t="str">
        <f>IFERROR(__xludf.DUMMYFUNCTION("""COMPUTED_VALUE"""),"")</f>
        <v/>
      </c>
      <c r="G3084" s="18"/>
      <c r="H3084" s="16" t="s">
        <v>87</v>
      </c>
      <c r="I3084" s="16" t="s">
        <v>87</v>
      </c>
      <c r="J3084" s="19"/>
      <c r="L3084" s="16" t="str">
        <f>IFERROR(__xludf.DUMMYFUNCTION("""COMPUTED_VALUE"""),"")</f>
        <v/>
      </c>
      <c r="M3084" s="16" t="str">
        <f>IFERROR(__xludf.DUMMYFUNCTION("""COMPUTED_VALUE"""),"")</f>
        <v/>
      </c>
      <c r="U3084" s="16" t="s">
        <v>87</v>
      </c>
      <c r="V3084" s="16" t="str">
        <f>IFERROR(__xludf.DUMMYFUNCTION("""COMPUTED_VALUE"""),"")</f>
        <v/>
      </c>
      <c r="W3084" s="16" t="str">
        <f>IFERROR(__xludf.DUMMYFUNCTION("""COMPUTED_VALUE"""),"")</f>
        <v/>
      </c>
      <c r="X3084" s="16" t="str">
        <f>IFERROR(__xludf.DUMMYFUNCTION("""COMPUTED_VALUE"""),"")</f>
        <v/>
      </c>
      <c r="AC3084" s="16" t="str">
        <f>IFERROR(__xludf.DUMMYFUNCTION("""COMPUTED_VALUE"""),"")</f>
        <v/>
      </c>
    </row>
    <row r="3085">
      <c r="A3085" s="16" t="s">
        <v>87</v>
      </c>
      <c r="E3085" s="16" t="str">
        <f>IFERROR(__xludf.DUMMYFUNCTION("""COMPUTED_VALUE"""),"")</f>
        <v/>
      </c>
      <c r="G3085" s="18"/>
      <c r="H3085" s="16" t="s">
        <v>87</v>
      </c>
      <c r="I3085" s="16" t="s">
        <v>87</v>
      </c>
      <c r="J3085" s="19"/>
      <c r="L3085" s="16" t="str">
        <f>IFERROR(__xludf.DUMMYFUNCTION("""COMPUTED_VALUE"""),"")</f>
        <v/>
      </c>
      <c r="M3085" s="16" t="str">
        <f>IFERROR(__xludf.DUMMYFUNCTION("""COMPUTED_VALUE"""),"")</f>
        <v/>
      </c>
      <c r="U3085" s="16" t="s">
        <v>87</v>
      </c>
      <c r="V3085" s="16" t="str">
        <f>IFERROR(__xludf.DUMMYFUNCTION("""COMPUTED_VALUE"""),"")</f>
        <v/>
      </c>
      <c r="W3085" s="16" t="str">
        <f>IFERROR(__xludf.DUMMYFUNCTION("""COMPUTED_VALUE"""),"")</f>
        <v/>
      </c>
      <c r="X3085" s="16" t="str">
        <f>IFERROR(__xludf.DUMMYFUNCTION("""COMPUTED_VALUE"""),"")</f>
        <v/>
      </c>
      <c r="AC3085" s="16" t="str">
        <f>IFERROR(__xludf.DUMMYFUNCTION("""COMPUTED_VALUE"""),"")</f>
        <v/>
      </c>
    </row>
    <row r="3086">
      <c r="A3086" s="16" t="s">
        <v>87</v>
      </c>
      <c r="E3086" s="16" t="str">
        <f>IFERROR(__xludf.DUMMYFUNCTION("""COMPUTED_VALUE"""),"")</f>
        <v/>
      </c>
      <c r="G3086" s="18"/>
      <c r="H3086" s="16" t="s">
        <v>87</v>
      </c>
      <c r="I3086" s="16" t="s">
        <v>87</v>
      </c>
      <c r="J3086" s="19"/>
      <c r="L3086" s="16" t="str">
        <f>IFERROR(__xludf.DUMMYFUNCTION("""COMPUTED_VALUE"""),"")</f>
        <v/>
      </c>
      <c r="M3086" s="16" t="str">
        <f>IFERROR(__xludf.DUMMYFUNCTION("""COMPUTED_VALUE"""),"")</f>
        <v/>
      </c>
      <c r="U3086" s="16" t="s">
        <v>87</v>
      </c>
      <c r="V3086" s="16" t="str">
        <f>IFERROR(__xludf.DUMMYFUNCTION("""COMPUTED_VALUE"""),"")</f>
        <v/>
      </c>
      <c r="W3086" s="16" t="str">
        <f>IFERROR(__xludf.DUMMYFUNCTION("""COMPUTED_VALUE"""),"")</f>
        <v/>
      </c>
      <c r="X3086" s="16" t="str">
        <f>IFERROR(__xludf.DUMMYFUNCTION("""COMPUTED_VALUE"""),"")</f>
        <v/>
      </c>
      <c r="AC3086" s="16" t="str">
        <f>IFERROR(__xludf.DUMMYFUNCTION("""COMPUTED_VALUE"""),"")</f>
        <v/>
      </c>
    </row>
    <row r="3087">
      <c r="A3087" s="16" t="s">
        <v>87</v>
      </c>
      <c r="E3087" s="16" t="str">
        <f>IFERROR(__xludf.DUMMYFUNCTION("""COMPUTED_VALUE"""),"")</f>
        <v/>
      </c>
      <c r="G3087" s="18"/>
      <c r="H3087" s="16" t="s">
        <v>87</v>
      </c>
      <c r="I3087" s="16" t="s">
        <v>87</v>
      </c>
      <c r="J3087" s="19"/>
      <c r="L3087" s="16" t="str">
        <f>IFERROR(__xludf.DUMMYFUNCTION("""COMPUTED_VALUE"""),"")</f>
        <v/>
      </c>
      <c r="M3087" s="16" t="str">
        <f>IFERROR(__xludf.DUMMYFUNCTION("""COMPUTED_VALUE"""),"")</f>
        <v/>
      </c>
      <c r="U3087" s="16" t="s">
        <v>87</v>
      </c>
      <c r="V3087" s="16" t="str">
        <f>IFERROR(__xludf.DUMMYFUNCTION("""COMPUTED_VALUE"""),"")</f>
        <v/>
      </c>
      <c r="W3087" s="16" t="str">
        <f>IFERROR(__xludf.DUMMYFUNCTION("""COMPUTED_VALUE"""),"")</f>
        <v/>
      </c>
      <c r="X3087" s="16" t="str">
        <f>IFERROR(__xludf.DUMMYFUNCTION("""COMPUTED_VALUE"""),"")</f>
        <v/>
      </c>
      <c r="AC3087" s="16" t="str">
        <f>IFERROR(__xludf.DUMMYFUNCTION("""COMPUTED_VALUE"""),"")</f>
        <v/>
      </c>
    </row>
    <row r="3088">
      <c r="A3088" s="16" t="s">
        <v>87</v>
      </c>
      <c r="E3088" s="16" t="str">
        <f>IFERROR(__xludf.DUMMYFUNCTION("""COMPUTED_VALUE"""),"")</f>
        <v/>
      </c>
      <c r="G3088" s="18"/>
      <c r="H3088" s="16" t="s">
        <v>87</v>
      </c>
      <c r="I3088" s="16" t="s">
        <v>87</v>
      </c>
      <c r="J3088" s="19"/>
      <c r="L3088" s="16" t="str">
        <f>IFERROR(__xludf.DUMMYFUNCTION("""COMPUTED_VALUE"""),"")</f>
        <v/>
      </c>
      <c r="M3088" s="16" t="str">
        <f>IFERROR(__xludf.DUMMYFUNCTION("""COMPUTED_VALUE"""),"")</f>
        <v/>
      </c>
      <c r="U3088" s="16" t="s">
        <v>87</v>
      </c>
      <c r="V3088" s="16" t="str">
        <f>IFERROR(__xludf.DUMMYFUNCTION("""COMPUTED_VALUE"""),"")</f>
        <v/>
      </c>
      <c r="W3088" s="16" t="str">
        <f>IFERROR(__xludf.DUMMYFUNCTION("""COMPUTED_VALUE"""),"")</f>
        <v/>
      </c>
      <c r="X3088" s="16" t="str">
        <f>IFERROR(__xludf.DUMMYFUNCTION("""COMPUTED_VALUE"""),"")</f>
        <v/>
      </c>
      <c r="AC3088" s="16" t="str">
        <f>IFERROR(__xludf.DUMMYFUNCTION("""COMPUTED_VALUE"""),"")</f>
        <v/>
      </c>
    </row>
    <row r="3089">
      <c r="A3089" s="16" t="s">
        <v>87</v>
      </c>
      <c r="E3089" s="16" t="str">
        <f>IFERROR(__xludf.DUMMYFUNCTION("""COMPUTED_VALUE"""),"")</f>
        <v/>
      </c>
      <c r="G3089" s="18"/>
      <c r="H3089" s="16" t="s">
        <v>87</v>
      </c>
      <c r="I3089" s="16" t="s">
        <v>87</v>
      </c>
      <c r="J3089" s="19"/>
      <c r="L3089" s="16" t="str">
        <f>IFERROR(__xludf.DUMMYFUNCTION("""COMPUTED_VALUE"""),"")</f>
        <v/>
      </c>
      <c r="M3089" s="16" t="str">
        <f>IFERROR(__xludf.DUMMYFUNCTION("""COMPUTED_VALUE"""),"")</f>
        <v/>
      </c>
      <c r="U3089" s="16" t="s">
        <v>87</v>
      </c>
      <c r="V3089" s="16" t="str">
        <f>IFERROR(__xludf.DUMMYFUNCTION("""COMPUTED_VALUE"""),"")</f>
        <v/>
      </c>
      <c r="W3089" s="16" t="str">
        <f>IFERROR(__xludf.DUMMYFUNCTION("""COMPUTED_VALUE"""),"")</f>
        <v/>
      </c>
      <c r="X3089" s="16" t="str">
        <f>IFERROR(__xludf.DUMMYFUNCTION("""COMPUTED_VALUE"""),"")</f>
        <v/>
      </c>
      <c r="AC3089" s="16" t="str">
        <f>IFERROR(__xludf.DUMMYFUNCTION("""COMPUTED_VALUE"""),"")</f>
        <v/>
      </c>
    </row>
    <row r="3090">
      <c r="A3090" s="16" t="s">
        <v>87</v>
      </c>
      <c r="E3090" s="16" t="str">
        <f>IFERROR(__xludf.DUMMYFUNCTION("""COMPUTED_VALUE"""),"")</f>
        <v/>
      </c>
      <c r="G3090" s="18"/>
      <c r="H3090" s="16" t="s">
        <v>87</v>
      </c>
      <c r="I3090" s="16" t="s">
        <v>87</v>
      </c>
      <c r="J3090" s="19"/>
      <c r="L3090" s="16" t="str">
        <f>IFERROR(__xludf.DUMMYFUNCTION("""COMPUTED_VALUE"""),"")</f>
        <v/>
      </c>
      <c r="M3090" s="16" t="str">
        <f>IFERROR(__xludf.DUMMYFUNCTION("""COMPUTED_VALUE"""),"")</f>
        <v/>
      </c>
      <c r="U3090" s="16" t="s">
        <v>87</v>
      </c>
      <c r="V3090" s="16" t="str">
        <f>IFERROR(__xludf.DUMMYFUNCTION("""COMPUTED_VALUE"""),"")</f>
        <v/>
      </c>
      <c r="W3090" s="16" t="str">
        <f>IFERROR(__xludf.DUMMYFUNCTION("""COMPUTED_VALUE"""),"")</f>
        <v/>
      </c>
      <c r="X3090" s="16" t="str">
        <f>IFERROR(__xludf.DUMMYFUNCTION("""COMPUTED_VALUE"""),"")</f>
        <v/>
      </c>
      <c r="AC3090" s="16" t="str">
        <f>IFERROR(__xludf.DUMMYFUNCTION("""COMPUTED_VALUE"""),"")</f>
        <v/>
      </c>
    </row>
    <row r="3091">
      <c r="A3091" s="16" t="s">
        <v>87</v>
      </c>
      <c r="E3091" s="16" t="str">
        <f>IFERROR(__xludf.DUMMYFUNCTION("""COMPUTED_VALUE"""),"")</f>
        <v/>
      </c>
      <c r="G3091" s="18"/>
      <c r="H3091" s="16" t="s">
        <v>87</v>
      </c>
      <c r="I3091" s="16" t="s">
        <v>87</v>
      </c>
      <c r="J3091" s="19"/>
      <c r="L3091" s="16" t="str">
        <f>IFERROR(__xludf.DUMMYFUNCTION("""COMPUTED_VALUE"""),"")</f>
        <v/>
      </c>
      <c r="M3091" s="16" t="str">
        <f>IFERROR(__xludf.DUMMYFUNCTION("""COMPUTED_VALUE"""),"")</f>
        <v/>
      </c>
      <c r="U3091" s="16" t="s">
        <v>87</v>
      </c>
      <c r="V3091" s="16" t="str">
        <f>IFERROR(__xludf.DUMMYFUNCTION("""COMPUTED_VALUE"""),"")</f>
        <v/>
      </c>
      <c r="W3091" s="16" t="str">
        <f>IFERROR(__xludf.DUMMYFUNCTION("""COMPUTED_VALUE"""),"")</f>
        <v/>
      </c>
      <c r="X3091" s="16" t="str">
        <f>IFERROR(__xludf.DUMMYFUNCTION("""COMPUTED_VALUE"""),"")</f>
        <v/>
      </c>
      <c r="AC3091" s="16" t="str">
        <f>IFERROR(__xludf.DUMMYFUNCTION("""COMPUTED_VALUE"""),"")</f>
        <v/>
      </c>
    </row>
    <row r="3092">
      <c r="A3092" s="16" t="s">
        <v>87</v>
      </c>
      <c r="E3092" s="16" t="str">
        <f>IFERROR(__xludf.DUMMYFUNCTION("""COMPUTED_VALUE"""),"")</f>
        <v/>
      </c>
      <c r="G3092" s="18"/>
      <c r="H3092" s="16" t="s">
        <v>87</v>
      </c>
      <c r="I3092" s="16" t="s">
        <v>87</v>
      </c>
      <c r="J3092" s="19"/>
      <c r="L3092" s="16" t="str">
        <f>IFERROR(__xludf.DUMMYFUNCTION("""COMPUTED_VALUE"""),"")</f>
        <v/>
      </c>
      <c r="M3092" s="16" t="str">
        <f>IFERROR(__xludf.DUMMYFUNCTION("""COMPUTED_VALUE"""),"")</f>
        <v/>
      </c>
      <c r="U3092" s="16" t="s">
        <v>87</v>
      </c>
      <c r="V3092" s="16" t="str">
        <f>IFERROR(__xludf.DUMMYFUNCTION("""COMPUTED_VALUE"""),"")</f>
        <v/>
      </c>
      <c r="W3092" s="16" t="str">
        <f>IFERROR(__xludf.DUMMYFUNCTION("""COMPUTED_VALUE"""),"")</f>
        <v/>
      </c>
      <c r="X3092" s="16" t="str">
        <f>IFERROR(__xludf.DUMMYFUNCTION("""COMPUTED_VALUE"""),"")</f>
        <v/>
      </c>
      <c r="AC3092" s="16" t="str">
        <f>IFERROR(__xludf.DUMMYFUNCTION("""COMPUTED_VALUE"""),"")</f>
        <v/>
      </c>
    </row>
    <row r="3093">
      <c r="A3093" s="16" t="s">
        <v>87</v>
      </c>
      <c r="E3093" s="16" t="str">
        <f>IFERROR(__xludf.DUMMYFUNCTION("""COMPUTED_VALUE"""),"")</f>
        <v/>
      </c>
      <c r="G3093" s="18"/>
      <c r="H3093" s="16" t="s">
        <v>87</v>
      </c>
      <c r="I3093" s="16" t="s">
        <v>87</v>
      </c>
      <c r="J3093" s="19"/>
      <c r="L3093" s="16" t="str">
        <f>IFERROR(__xludf.DUMMYFUNCTION("""COMPUTED_VALUE"""),"")</f>
        <v/>
      </c>
      <c r="M3093" s="16" t="str">
        <f>IFERROR(__xludf.DUMMYFUNCTION("""COMPUTED_VALUE"""),"")</f>
        <v/>
      </c>
      <c r="U3093" s="16" t="s">
        <v>87</v>
      </c>
      <c r="V3093" s="16" t="str">
        <f>IFERROR(__xludf.DUMMYFUNCTION("""COMPUTED_VALUE"""),"")</f>
        <v/>
      </c>
      <c r="W3093" s="16" t="str">
        <f>IFERROR(__xludf.DUMMYFUNCTION("""COMPUTED_VALUE"""),"")</f>
        <v/>
      </c>
      <c r="X3093" s="16" t="str">
        <f>IFERROR(__xludf.DUMMYFUNCTION("""COMPUTED_VALUE"""),"")</f>
        <v/>
      </c>
      <c r="AC3093" s="16" t="str">
        <f>IFERROR(__xludf.DUMMYFUNCTION("""COMPUTED_VALUE"""),"")</f>
        <v/>
      </c>
    </row>
    <row r="3094">
      <c r="A3094" s="16" t="s">
        <v>87</v>
      </c>
      <c r="E3094" s="16" t="str">
        <f>IFERROR(__xludf.DUMMYFUNCTION("""COMPUTED_VALUE"""),"")</f>
        <v/>
      </c>
      <c r="G3094" s="18"/>
      <c r="H3094" s="16" t="s">
        <v>87</v>
      </c>
      <c r="I3094" s="16" t="s">
        <v>87</v>
      </c>
      <c r="J3094" s="19"/>
      <c r="L3094" s="16" t="str">
        <f>IFERROR(__xludf.DUMMYFUNCTION("""COMPUTED_VALUE"""),"")</f>
        <v/>
      </c>
      <c r="M3094" s="16" t="str">
        <f>IFERROR(__xludf.DUMMYFUNCTION("""COMPUTED_VALUE"""),"")</f>
        <v/>
      </c>
      <c r="U3094" s="16" t="s">
        <v>87</v>
      </c>
      <c r="V3094" s="16" t="str">
        <f>IFERROR(__xludf.DUMMYFUNCTION("""COMPUTED_VALUE"""),"")</f>
        <v/>
      </c>
      <c r="W3094" s="16" t="str">
        <f>IFERROR(__xludf.DUMMYFUNCTION("""COMPUTED_VALUE"""),"")</f>
        <v/>
      </c>
      <c r="X3094" s="16" t="str">
        <f>IFERROR(__xludf.DUMMYFUNCTION("""COMPUTED_VALUE"""),"")</f>
        <v/>
      </c>
      <c r="AC3094" s="16" t="str">
        <f>IFERROR(__xludf.DUMMYFUNCTION("""COMPUTED_VALUE"""),"")</f>
        <v/>
      </c>
    </row>
    <row r="3095">
      <c r="A3095" s="16" t="s">
        <v>87</v>
      </c>
      <c r="E3095" s="16" t="str">
        <f>IFERROR(__xludf.DUMMYFUNCTION("""COMPUTED_VALUE"""),"")</f>
        <v/>
      </c>
      <c r="G3095" s="18"/>
      <c r="H3095" s="16" t="s">
        <v>87</v>
      </c>
      <c r="I3095" s="16" t="s">
        <v>87</v>
      </c>
      <c r="J3095" s="19"/>
      <c r="L3095" s="16" t="str">
        <f>IFERROR(__xludf.DUMMYFUNCTION("""COMPUTED_VALUE"""),"")</f>
        <v/>
      </c>
      <c r="M3095" s="16" t="str">
        <f>IFERROR(__xludf.DUMMYFUNCTION("""COMPUTED_VALUE"""),"")</f>
        <v/>
      </c>
      <c r="U3095" s="16" t="s">
        <v>87</v>
      </c>
      <c r="V3095" s="16" t="str">
        <f>IFERROR(__xludf.DUMMYFUNCTION("""COMPUTED_VALUE"""),"")</f>
        <v/>
      </c>
      <c r="W3095" s="16" t="str">
        <f>IFERROR(__xludf.DUMMYFUNCTION("""COMPUTED_VALUE"""),"")</f>
        <v/>
      </c>
      <c r="X3095" s="16" t="str">
        <f>IFERROR(__xludf.DUMMYFUNCTION("""COMPUTED_VALUE"""),"")</f>
        <v/>
      </c>
      <c r="AC3095" s="16" t="str">
        <f>IFERROR(__xludf.DUMMYFUNCTION("""COMPUTED_VALUE"""),"")</f>
        <v/>
      </c>
    </row>
    <row r="3096">
      <c r="A3096" s="16" t="s">
        <v>87</v>
      </c>
      <c r="E3096" s="16" t="str">
        <f>IFERROR(__xludf.DUMMYFUNCTION("""COMPUTED_VALUE"""),"")</f>
        <v/>
      </c>
      <c r="G3096" s="18"/>
      <c r="H3096" s="16" t="s">
        <v>87</v>
      </c>
      <c r="I3096" s="16" t="s">
        <v>87</v>
      </c>
      <c r="J3096" s="19"/>
      <c r="L3096" s="16" t="str">
        <f>IFERROR(__xludf.DUMMYFUNCTION("""COMPUTED_VALUE"""),"")</f>
        <v/>
      </c>
      <c r="M3096" s="16" t="str">
        <f>IFERROR(__xludf.DUMMYFUNCTION("""COMPUTED_VALUE"""),"")</f>
        <v/>
      </c>
      <c r="U3096" s="16" t="s">
        <v>87</v>
      </c>
      <c r="V3096" s="16" t="str">
        <f>IFERROR(__xludf.DUMMYFUNCTION("""COMPUTED_VALUE"""),"")</f>
        <v/>
      </c>
      <c r="W3096" s="16" t="str">
        <f>IFERROR(__xludf.DUMMYFUNCTION("""COMPUTED_VALUE"""),"")</f>
        <v/>
      </c>
      <c r="X3096" s="16" t="str">
        <f>IFERROR(__xludf.DUMMYFUNCTION("""COMPUTED_VALUE"""),"")</f>
        <v/>
      </c>
      <c r="AC3096" s="16" t="str">
        <f>IFERROR(__xludf.DUMMYFUNCTION("""COMPUTED_VALUE"""),"")</f>
        <v/>
      </c>
    </row>
    <row r="3097">
      <c r="A3097" s="16" t="s">
        <v>87</v>
      </c>
      <c r="E3097" s="16" t="str">
        <f>IFERROR(__xludf.DUMMYFUNCTION("""COMPUTED_VALUE"""),"")</f>
        <v/>
      </c>
      <c r="G3097" s="18"/>
      <c r="H3097" s="16" t="s">
        <v>87</v>
      </c>
      <c r="I3097" s="16" t="s">
        <v>87</v>
      </c>
      <c r="J3097" s="19"/>
      <c r="L3097" s="16" t="str">
        <f>IFERROR(__xludf.DUMMYFUNCTION("""COMPUTED_VALUE"""),"")</f>
        <v/>
      </c>
      <c r="M3097" s="16" t="str">
        <f>IFERROR(__xludf.DUMMYFUNCTION("""COMPUTED_VALUE"""),"")</f>
        <v/>
      </c>
      <c r="U3097" s="16" t="s">
        <v>87</v>
      </c>
      <c r="V3097" s="16" t="str">
        <f>IFERROR(__xludf.DUMMYFUNCTION("""COMPUTED_VALUE"""),"")</f>
        <v/>
      </c>
      <c r="W3097" s="16" t="str">
        <f>IFERROR(__xludf.DUMMYFUNCTION("""COMPUTED_VALUE"""),"")</f>
        <v/>
      </c>
      <c r="X3097" s="16" t="str">
        <f>IFERROR(__xludf.DUMMYFUNCTION("""COMPUTED_VALUE"""),"")</f>
        <v/>
      </c>
      <c r="AC3097" s="16" t="str">
        <f>IFERROR(__xludf.DUMMYFUNCTION("""COMPUTED_VALUE"""),"")</f>
        <v/>
      </c>
    </row>
    <row r="3098">
      <c r="A3098" s="16" t="s">
        <v>87</v>
      </c>
      <c r="E3098" s="16" t="str">
        <f>IFERROR(__xludf.DUMMYFUNCTION("""COMPUTED_VALUE"""),"")</f>
        <v/>
      </c>
      <c r="G3098" s="18"/>
      <c r="H3098" s="16" t="s">
        <v>87</v>
      </c>
      <c r="I3098" s="16" t="s">
        <v>87</v>
      </c>
      <c r="J3098" s="19"/>
      <c r="L3098" s="16" t="str">
        <f>IFERROR(__xludf.DUMMYFUNCTION("""COMPUTED_VALUE"""),"")</f>
        <v/>
      </c>
      <c r="M3098" s="16" t="str">
        <f>IFERROR(__xludf.DUMMYFUNCTION("""COMPUTED_VALUE"""),"")</f>
        <v/>
      </c>
      <c r="U3098" s="16" t="s">
        <v>87</v>
      </c>
      <c r="V3098" s="16" t="str">
        <f>IFERROR(__xludf.DUMMYFUNCTION("""COMPUTED_VALUE"""),"")</f>
        <v/>
      </c>
      <c r="W3098" s="16" t="str">
        <f>IFERROR(__xludf.DUMMYFUNCTION("""COMPUTED_VALUE"""),"")</f>
        <v/>
      </c>
      <c r="X3098" s="16" t="str">
        <f>IFERROR(__xludf.DUMMYFUNCTION("""COMPUTED_VALUE"""),"")</f>
        <v/>
      </c>
      <c r="AC3098" s="16" t="str">
        <f>IFERROR(__xludf.DUMMYFUNCTION("""COMPUTED_VALUE"""),"")</f>
        <v/>
      </c>
    </row>
    <row r="3099">
      <c r="A3099" s="16" t="s">
        <v>87</v>
      </c>
      <c r="E3099" s="16" t="str">
        <f>IFERROR(__xludf.DUMMYFUNCTION("""COMPUTED_VALUE"""),"")</f>
        <v/>
      </c>
      <c r="G3099" s="18"/>
      <c r="H3099" s="16" t="s">
        <v>87</v>
      </c>
      <c r="I3099" s="16" t="s">
        <v>87</v>
      </c>
      <c r="J3099" s="19"/>
      <c r="L3099" s="16" t="str">
        <f>IFERROR(__xludf.DUMMYFUNCTION("""COMPUTED_VALUE"""),"")</f>
        <v/>
      </c>
      <c r="M3099" s="16" t="str">
        <f>IFERROR(__xludf.DUMMYFUNCTION("""COMPUTED_VALUE"""),"")</f>
        <v/>
      </c>
      <c r="U3099" s="16" t="s">
        <v>87</v>
      </c>
      <c r="V3099" s="16" t="str">
        <f>IFERROR(__xludf.DUMMYFUNCTION("""COMPUTED_VALUE"""),"")</f>
        <v/>
      </c>
      <c r="W3099" s="16" t="str">
        <f>IFERROR(__xludf.DUMMYFUNCTION("""COMPUTED_VALUE"""),"")</f>
        <v/>
      </c>
      <c r="X3099" s="16" t="str">
        <f>IFERROR(__xludf.DUMMYFUNCTION("""COMPUTED_VALUE"""),"")</f>
        <v/>
      </c>
      <c r="AC3099" s="16" t="str">
        <f>IFERROR(__xludf.DUMMYFUNCTION("""COMPUTED_VALUE"""),"")</f>
        <v/>
      </c>
    </row>
    <row r="3100">
      <c r="A3100" s="16" t="s">
        <v>87</v>
      </c>
      <c r="E3100" s="16" t="str">
        <f>IFERROR(__xludf.DUMMYFUNCTION("""COMPUTED_VALUE"""),"")</f>
        <v/>
      </c>
      <c r="G3100" s="18"/>
      <c r="H3100" s="16" t="s">
        <v>87</v>
      </c>
      <c r="I3100" s="16" t="s">
        <v>87</v>
      </c>
      <c r="J3100" s="19"/>
      <c r="L3100" s="16" t="str">
        <f>IFERROR(__xludf.DUMMYFUNCTION("""COMPUTED_VALUE"""),"")</f>
        <v/>
      </c>
      <c r="M3100" s="16" t="str">
        <f>IFERROR(__xludf.DUMMYFUNCTION("""COMPUTED_VALUE"""),"")</f>
        <v/>
      </c>
      <c r="U3100" s="16" t="s">
        <v>87</v>
      </c>
      <c r="V3100" s="16" t="str">
        <f>IFERROR(__xludf.DUMMYFUNCTION("""COMPUTED_VALUE"""),"")</f>
        <v/>
      </c>
      <c r="W3100" s="16" t="str">
        <f>IFERROR(__xludf.DUMMYFUNCTION("""COMPUTED_VALUE"""),"")</f>
        <v/>
      </c>
      <c r="X3100" s="16" t="str">
        <f>IFERROR(__xludf.DUMMYFUNCTION("""COMPUTED_VALUE"""),"")</f>
        <v/>
      </c>
      <c r="AC3100" s="16" t="str">
        <f>IFERROR(__xludf.DUMMYFUNCTION("""COMPUTED_VALUE"""),"")</f>
        <v/>
      </c>
    </row>
    <row r="3101">
      <c r="A3101" s="16" t="s">
        <v>87</v>
      </c>
      <c r="E3101" s="16" t="str">
        <f>IFERROR(__xludf.DUMMYFUNCTION("""COMPUTED_VALUE"""),"")</f>
        <v/>
      </c>
      <c r="G3101" s="18"/>
      <c r="H3101" s="16" t="s">
        <v>87</v>
      </c>
      <c r="I3101" s="16" t="s">
        <v>87</v>
      </c>
      <c r="J3101" s="19"/>
      <c r="L3101" s="16" t="str">
        <f>IFERROR(__xludf.DUMMYFUNCTION("""COMPUTED_VALUE"""),"")</f>
        <v/>
      </c>
      <c r="M3101" s="16" t="str">
        <f>IFERROR(__xludf.DUMMYFUNCTION("""COMPUTED_VALUE"""),"")</f>
        <v/>
      </c>
      <c r="U3101" s="16" t="s">
        <v>87</v>
      </c>
      <c r="V3101" s="16" t="str">
        <f>IFERROR(__xludf.DUMMYFUNCTION("""COMPUTED_VALUE"""),"")</f>
        <v/>
      </c>
      <c r="W3101" s="16" t="str">
        <f>IFERROR(__xludf.DUMMYFUNCTION("""COMPUTED_VALUE"""),"")</f>
        <v/>
      </c>
      <c r="X3101" s="16" t="str">
        <f>IFERROR(__xludf.DUMMYFUNCTION("""COMPUTED_VALUE"""),"")</f>
        <v/>
      </c>
      <c r="AC3101" s="16" t="str">
        <f>IFERROR(__xludf.DUMMYFUNCTION("""COMPUTED_VALUE"""),"")</f>
        <v/>
      </c>
    </row>
    <row r="3102">
      <c r="A3102" s="16" t="s">
        <v>87</v>
      </c>
      <c r="E3102" s="16" t="str">
        <f>IFERROR(__xludf.DUMMYFUNCTION("""COMPUTED_VALUE"""),"")</f>
        <v/>
      </c>
      <c r="G3102" s="18"/>
      <c r="H3102" s="16" t="s">
        <v>87</v>
      </c>
      <c r="I3102" s="16" t="s">
        <v>87</v>
      </c>
      <c r="J3102" s="19"/>
      <c r="L3102" s="16" t="str">
        <f>IFERROR(__xludf.DUMMYFUNCTION("""COMPUTED_VALUE"""),"")</f>
        <v/>
      </c>
      <c r="M3102" s="16" t="str">
        <f>IFERROR(__xludf.DUMMYFUNCTION("""COMPUTED_VALUE"""),"")</f>
        <v/>
      </c>
      <c r="U3102" s="16" t="s">
        <v>87</v>
      </c>
      <c r="V3102" s="16" t="str">
        <f>IFERROR(__xludf.DUMMYFUNCTION("""COMPUTED_VALUE"""),"")</f>
        <v/>
      </c>
      <c r="W3102" s="16" t="str">
        <f>IFERROR(__xludf.DUMMYFUNCTION("""COMPUTED_VALUE"""),"")</f>
        <v/>
      </c>
      <c r="X3102" s="16" t="str">
        <f>IFERROR(__xludf.DUMMYFUNCTION("""COMPUTED_VALUE"""),"")</f>
        <v/>
      </c>
      <c r="AC3102" s="16" t="str">
        <f>IFERROR(__xludf.DUMMYFUNCTION("""COMPUTED_VALUE"""),"")</f>
        <v/>
      </c>
    </row>
    <row r="3103">
      <c r="A3103" s="16" t="s">
        <v>87</v>
      </c>
      <c r="E3103" s="16" t="str">
        <f>IFERROR(__xludf.DUMMYFUNCTION("""COMPUTED_VALUE"""),"")</f>
        <v/>
      </c>
      <c r="G3103" s="18"/>
      <c r="H3103" s="16" t="s">
        <v>87</v>
      </c>
      <c r="I3103" s="16" t="s">
        <v>87</v>
      </c>
      <c r="J3103" s="19"/>
      <c r="L3103" s="16" t="str">
        <f>IFERROR(__xludf.DUMMYFUNCTION("""COMPUTED_VALUE"""),"")</f>
        <v/>
      </c>
      <c r="M3103" s="16" t="str">
        <f>IFERROR(__xludf.DUMMYFUNCTION("""COMPUTED_VALUE"""),"")</f>
        <v/>
      </c>
      <c r="U3103" s="16" t="s">
        <v>87</v>
      </c>
      <c r="V3103" s="16" t="str">
        <f>IFERROR(__xludf.DUMMYFUNCTION("""COMPUTED_VALUE"""),"")</f>
        <v/>
      </c>
      <c r="W3103" s="16" t="str">
        <f>IFERROR(__xludf.DUMMYFUNCTION("""COMPUTED_VALUE"""),"")</f>
        <v/>
      </c>
      <c r="X3103" s="16" t="str">
        <f>IFERROR(__xludf.DUMMYFUNCTION("""COMPUTED_VALUE"""),"")</f>
        <v/>
      </c>
      <c r="AC3103" s="16" t="str">
        <f>IFERROR(__xludf.DUMMYFUNCTION("""COMPUTED_VALUE"""),"")</f>
        <v/>
      </c>
    </row>
    <row r="3104">
      <c r="A3104" s="16" t="s">
        <v>87</v>
      </c>
      <c r="E3104" s="16" t="str">
        <f>IFERROR(__xludf.DUMMYFUNCTION("""COMPUTED_VALUE"""),"")</f>
        <v/>
      </c>
      <c r="G3104" s="18"/>
      <c r="H3104" s="16" t="s">
        <v>87</v>
      </c>
      <c r="I3104" s="16" t="s">
        <v>87</v>
      </c>
      <c r="J3104" s="19"/>
      <c r="L3104" s="16" t="str">
        <f>IFERROR(__xludf.DUMMYFUNCTION("""COMPUTED_VALUE"""),"")</f>
        <v/>
      </c>
      <c r="M3104" s="16" t="str">
        <f>IFERROR(__xludf.DUMMYFUNCTION("""COMPUTED_VALUE"""),"")</f>
        <v/>
      </c>
      <c r="U3104" s="16" t="s">
        <v>87</v>
      </c>
      <c r="V3104" s="16" t="str">
        <f>IFERROR(__xludf.DUMMYFUNCTION("""COMPUTED_VALUE"""),"")</f>
        <v/>
      </c>
      <c r="W3104" s="16" t="str">
        <f>IFERROR(__xludf.DUMMYFUNCTION("""COMPUTED_VALUE"""),"")</f>
        <v/>
      </c>
      <c r="X3104" s="16" t="str">
        <f>IFERROR(__xludf.DUMMYFUNCTION("""COMPUTED_VALUE"""),"")</f>
        <v/>
      </c>
      <c r="AC3104" s="16" t="str">
        <f>IFERROR(__xludf.DUMMYFUNCTION("""COMPUTED_VALUE"""),"")</f>
        <v/>
      </c>
    </row>
    <row r="3105">
      <c r="A3105" s="16" t="s">
        <v>87</v>
      </c>
      <c r="E3105" s="16" t="str">
        <f>IFERROR(__xludf.DUMMYFUNCTION("""COMPUTED_VALUE"""),"")</f>
        <v/>
      </c>
      <c r="G3105" s="18"/>
      <c r="H3105" s="16" t="s">
        <v>87</v>
      </c>
      <c r="I3105" s="16" t="s">
        <v>87</v>
      </c>
      <c r="J3105" s="19"/>
      <c r="L3105" s="16" t="str">
        <f>IFERROR(__xludf.DUMMYFUNCTION("""COMPUTED_VALUE"""),"")</f>
        <v/>
      </c>
      <c r="M3105" s="16" t="str">
        <f>IFERROR(__xludf.DUMMYFUNCTION("""COMPUTED_VALUE"""),"")</f>
        <v/>
      </c>
      <c r="U3105" s="16" t="s">
        <v>87</v>
      </c>
      <c r="V3105" s="16" t="str">
        <f>IFERROR(__xludf.DUMMYFUNCTION("""COMPUTED_VALUE"""),"")</f>
        <v/>
      </c>
      <c r="W3105" s="16" t="str">
        <f>IFERROR(__xludf.DUMMYFUNCTION("""COMPUTED_VALUE"""),"")</f>
        <v/>
      </c>
      <c r="X3105" s="16" t="str">
        <f>IFERROR(__xludf.DUMMYFUNCTION("""COMPUTED_VALUE"""),"")</f>
        <v/>
      </c>
      <c r="AC3105" s="16" t="str">
        <f>IFERROR(__xludf.DUMMYFUNCTION("""COMPUTED_VALUE"""),"")</f>
        <v/>
      </c>
    </row>
    <row r="3106">
      <c r="A3106" s="16" t="s">
        <v>87</v>
      </c>
      <c r="E3106" s="16" t="str">
        <f>IFERROR(__xludf.DUMMYFUNCTION("""COMPUTED_VALUE"""),"")</f>
        <v/>
      </c>
      <c r="G3106" s="18"/>
      <c r="H3106" s="16" t="s">
        <v>87</v>
      </c>
      <c r="I3106" s="16" t="s">
        <v>87</v>
      </c>
      <c r="J3106" s="19"/>
      <c r="L3106" s="16" t="str">
        <f>IFERROR(__xludf.DUMMYFUNCTION("""COMPUTED_VALUE"""),"")</f>
        <v/>
      </c>
      <c r="M3106" s="16" t="str">
        <f>IFERROR(__xludf.DUMMYFUNCTION("""COMPUTED_VALUE"""),"")</f>
        <v/>
      </c>
      <c r="U3106" s="16" t="s">
        <v>87</v>
      </c>
      <c r="V3106" s="16" t="str">
        <f>IFERROR(__xludf.DUMMYFUNCTION("""COMPUTED_VALUE"""),"")</f>
        <v/>
      </c>
      <c r="W3106" s="16" t="str">
        <f>IFERROR(__xludf.DUMMYFUNCTION("""COMPUTED_VALUE"""),"")</f>
        <v/>
      </c>
      <c r="X3106" s="16" t="str">
        <f>IFERROR(__xludf.DUMMYFUNCTION("""COMPUTED_VALUE"""),"")</f>
        <v/>
      </c>
      <c r="AC3106" s="16" t="str">
        <f>IFERROR(__xludf.DUMMYFUNCTION("""COMPUTED_VALUE"""),"")</f>
        <v/>
      </c>
    </row>
    <row r="3107">
      <c r="A3107" s="16" t="s">
        <v>87</v>
      </c>
      <c r="E3107" s="16" t="str">
        <f>IFERROR(__xludf.DUMMYFUNCTION("""COMPUTED_VALUE"""),"")</f>
        <v/>
      </c>
      <c r="G3107" s="18"/>
      <c r="H3107" s="16" t="s">
        <v>87</v>
      </c>
      <c r="I3107" s="16" t="s">
        <v>87</v>
      </c>
      <c r="J3107" s="19"/>
      <c r="L3107" s="16" t="str">
        <f>IFERROR(__xludf.DUMMYFUNCTION("""COMPUTED_VALUE"""),"")</f>
        <v/>
      </c>
      <c r="M3107" s="16" t="str">
        <f>IFERROR(__xludf.DUMMYFUNCTION("""COMPUTED_VALUE"""),"")</f>
        <v/>
      </c>
      <c r="U3107" s="16" t="s">
        <v>87</v>
      </c>
      <c r="V3107" s="16" t="str">
        <f>IFERROR(__xludf.DUMMYFUNCTION("""COMPUTED_VALUE"""),"")</f>
        <v/>
      </c>
      <c r="W3107" s="16" t="str">
        <f>IFERROR(__xludf.DUMMYFUNCTION("""COMPUTED_VALUE"""),"")</f>
        <v/>
      </c>
      <c r="X3107" s="16" t="str">
        <f>IFERROR(__xludf.DUMMYFUNCTION("""COMPUTED_VALUE"""),"")</f>
        <v/>
      </c>
      <c r="AC3107" s="16" t="str">
        <f>IFERROR(__xludf.DUMMYFUNCTION("""COMPUTED_VALUE"""),"")</f>
        <v/>
      </c>
    </row>
    <row r="3108">
      <c r="A3108" s="16" t="s">
        <v>87</v>
      </c>
      <c r="E3108" s="16" t="str">
        <f>IFERROR(__xludf.DUMMYFUNCTION("""COMPUTED_VALUE"""),"")</f>
        <v/>
      </c>
      <c r="G3108" s="18"/>
      <c r="H3108" s="16" t="s">
        <v>87</v>
      </c>
      <c r="I3108" s="16" t="s">
        <v>87</v>
      </c>
      <c r="J3108" s="19"/>
      <c r="L3108" s="16" t="str">
        <f>IFERROR(__xludf.DUMMYFUNCTION("""COMPUTED_VALUE"""),"")</f>
        <v/>
      </c>
      <c r="M3108" s="16" t="str">
        <f>IFERROR(__xludf.DUMMYFUNCTION("""COMPUTED_VALUE"""),"")</f>
        <v/>
      </c>
      <c r="U3108" s="16" t="s">
        <v>87</v>
      </c>
      <c r="V3108" s="16" t="str">
        <f>IFERROR(__xludf.DUMMYFUNCTION("""COMPUTED_VALUE"""),"")</f>
        <v/>
      </c>
      <c r="W3108" s="16" t="str">
        <f>IFERROR(__xludf.DUMMYFUNCTION("""COMPUTED_VALUE"""),"")</f>
        <v/>
      </c>
      <c r="X3108" s="16" t="str">
        <f>IFERROR(__xludf.DUMMYFUNCTION("""COMPUTED_VALUE"""),"")</f>
        <v/>
      </c>
      <c r="AC3108" s="16" t="str">
        <f>IFERROR(__xludf.DUMMYFUNCTION("""COMPUTED_VALUE"""),"")</f>
        <v/>
      </c>
    </row>
    <row r="3109">
      <c r="A3109" s="16" t="s">
        <v>87</v>
      </c>
      <c r="E3109" s="16" t="str">
        <f>IFERROR(__xludf.DUMMYFUNCTION("""COMPUTED_VALUE"""),"")</f>
        <v/>
      </c>
      <c r="G3109" s="18"/>
      <c r="H3109" s="16" t="s">
        <v>87</v>
      </c>
      <c r="I3109" s="16" t="s">
        <v>87</v>
      </c>
      <c r="J3109" s="19"/>
      <c r="L3109" s="16" t="str">
        <f>IFERROR(__xludf.DUMMYFUNCTION("""COMPUTED_VALUE"""),"")</f>
        <v/>
      </c>
      <c r="M3109" s="16" t="str">
        <f>IFERROR(__xludf.DUMMYFUNCTION("""COMPUTED_VALUE"""),"")</f>
        <v/>
      </c>
      <c r="U3109" s="16" t="s">
        <v>87</v>
      </c>
      <c r="V3109" s="16" t="str">
        <f>IFERROR(__xludf.DUMMYFUNCTION("""COMPUTED_VALUE"""),"")</f>
        <v/>
      </c>
      <c r="W3109" s="16" t="str">
        <f>IFERROR(__xludf.DUMMYFUNCTION("""COMPUTED_VALUE"""),"")</f>
        <v/>
      </c>
      <c r="X3109" s="16" t="str">
        <f>IFERROR(__xludf.DUMMYFUNCTION("""COMPUTED_VALUE"""),"")</f>
        <v/>
      </c>
      <c r="AC3109" s="16" t="str">
        <f>IFERROR(__xludf.DUMMYFUNCTION("""COMPUTED_VALUE"""),"")</f>
        <v/>
      </c>
    </row>
    <row r="3110">
      <c r="A3110" s="16" t="s">
        <v>87</v>
      </c>
      <c r="E3110" s="16" t="str">
        <f>IFERROR(__xludf.DUMMYFUNCTION("""COMPUTED_VALUE"""),"")</f>
        <v/>
      </c>
      <c r="G3110" s="18"/>
      <c r="H3110" s="16" t="s">
        <v>87</v>
      </c>
      <c r="I3110" s="16" t="s">
        <v>87</v>
      </c>
      <c r="J3110" s="19"/>
      <c r="L3110" s="16" t="str">
        <f>IFERROR(__xludf.DUMMYFUNCTION("""COMPUTED_VALUE"""),"")</f>
        <v/>
      </c>
      <c r="M3110" s="16" t="str">
        <f>IFERROR(__xludf.DUMMYFUNCTION("""COMPUTED_VALUE"""),"")</f>
        <v/>
      </c>
      <c r="U3110" s="16" t="s">
        <v>87</v>
      </c>
      <c r="V3110" s="16" t="str">
        <f>IFERROR(__xludf.DUMMYFUNCTION("""COMPUTED_VALUE"""),"")</f>
        <v/>
      </c>
      <c r="W3110" s="16" t="str">
        <f>IFERROR(__xludf.DUMMYFUNCTION("""COMPUTED_VALUE"""),"")</f>
        <v/>
      </c>
      <c r="X3110" s="16" t="str">
        <f>IFERROR(__xludf.DUMMYFUNCTION("""COMPUTED_VALUE"""),"")</f>
        <v/>
      </c>
      <c r="AC3110" s="16" t="str">
        <f>IFERROR(__xludf.DUMMYFUNCTION("""COMPUTED_VALUE"""),"")</f>
        <v/>
      </c>
    </row>
    <row r="3111">
      <c r="A3111" s="16" t="s">
        <v>87</v>
      </c>
      <c r="E3111" s="16" t="str">
        <f>IFERROR(__xludf.DUMMYFUNCTION("""COMPUTED_VALUE"""),"")</f>
        <v/>
      </c>
      <c r="G3111" s="18"/>
      <c r="H3111" s="16" t="s">
        <v>87</v>
      </c>
      <c r="I3111" s="16" t="s">
        <v>87</v>
      </c>
      <c r="J3111" s="19"/>
      <c r="L3111" s="16" t="str">
        <f>IFERROR(__xludf.DUMMYFUNCTION("""COMPUTED_VALUE"""),"")</f>
        <v/>
      </c>
      <c r="M3111" s="16" t="str">
        <f>IFERROR(__xludf.DUMMYFUNCTION("""COMPUTED_VALUE"""),"")</f>
        <v/>
      </c>
      <c r="U3111" s="16" t="s">
        <v>87</v>
      </c>
      <c r="V3111" s="16" t="str">
        <f>IFERROR(__xludf.DUMMYFUNCTION("""COMPUTED_VALUE"""),"")</f>
        <v/>
      </c>
      <c r="W3111" s="16" t="str">
        <f>IFERROR(__xludf.DUMMYFUNCTION("""COMPUTED_VALUE"""),"")</f>
        <v/>
      </c>
      <c r="X3111" s="16" t="str">
        <f>IFERROR(__xludf.DUMMYFUNCTION("""COMPUTED_VALUE"""),"")</f>
        <v/>
      </c>
      <c r="AC3111" s="16" t="str">
        <f>IFERROR(__xludf.DUMMYFUNCTION("""COMPUTED_VALUE"""),"")</f>
        <v/>
      </c>
    </row>
    <row r="3112">
      <c r="A3112" s="16" t="s">
        <v>87</v>
      </c>
      <c r="E3112" s="16" t="str">
        <f>IFERROR(__xludf.DUMMYFUNCTION("""COMPUTED_VALUE"""),"")</f>
        <v/>
      </c>
      <c r="G3112" s="18"/>
      <c r="H3112" s="16" t="s">
        <v>87</v>
      </c>
      <c r="I3112" s="16" t="s">
        <v>87</v>
      </c>
      <c r="J3112" s="19"/>
      <c r="L3112" s="16" t="str">
        <f>IFERROR(__xludf.DUMMYFUNCTION("""COMPUTED_VALUE"""),"")</f>
        <v/>
      </c>
      <c r="M3112" s="16" t="str">
        <f>IFERROR(__xludf.DUMMYFUNCTION("""COMPUTED_VALUE"""),"")</f>
        <v/>
      </c>
      <c r="U3112" s="16" t="s">
        <v>87</v>
      </c>
      <c r="V3112" s="16" t="str">
        <f>IFERROR(__xludf.DUMMYFUNCTION("""COMPUTED_VALUE"""),"")</f>
        <v/>
      </c>
      <c r="W3112" s="16" t="str">
        <f>IFERROR(__xludf.DUMMYFUNCTION("""COMPUTED_VALUE"""),"")</f>
        <v/>
      </c>
      <c r="X3112" s="16" t="str">
        <f>IFERROR(__xludf.DUMMYFUNCTION("""COMPUTED_VALUE"""),"")</f>
        <v/>
      </c>
      <c r="AC3112" s="16" t="str">
        <f>IFERROR(__xludf.DUMMYFUNCTION("""COMPUTED_VALUE"""),"")</f>
        <v/>
      </c>
    </row>
    <row r="3113">
      <c r="A3113" s="16" t="s">
        <v>87</v>
      </c>
      <c r="E3113" s="16" t="str">
        <f>IFERROR(__xludf.DUMMYFUNCTION("""COMPUTED_VALUE"""),"")</f>
        <v/>
      </c>
      <c r="G3113" s="18"/>
      <c r="H3113" s="16" t="s">
        <v>87</v>
      </c>
      <c r="I3113" s="16" t="s">
        <v>87</v>
      </c>
      <c r="J3113" s="19"/>
      <c r="L3113" s="16" t="str">
        <f>IFERROR(__xludf.DUMMYFUNCTION("""COMPUTED_VALUE"""),"")</f>
        <v/>
      </c>
      <c r="M3113" s="16" t="str">
        <f>IFERROR(__xludf.DUMMYFUNCTION("""COMPUTED_VALUE"""),"")</f>
        <v/>
      </c>
      <c r="U3113" s="16" t="s">
        <v>87</v>
      </c>
      <c r="V3113" s="16" t="str">
        <f>IFERROR(__xludf.DUMMYFUNCTION("""COMPUTED_VALUE"""),"")</f>
        <v/>
      </c>
      <c r="W3113" s="16" t="str">
        <f>IFERROR(__xludf.DUMMYFUNCTION("""COMPUTED_VALUE"""),"")</f>
        <v/>
      </c>
      <c r="X3113" s="16" t="str">
        <f>IFERROR(__xludf.DUMMYFUNCTION("""COMPUTED_VALUE"""),"")</f>
        <v/>
      </c>
      <c r="AC3113" s="16" t="str">
        <f>IFERROR(__xludf.DUMMYFUNCTION("""COMPUTED_VALUE"""),"")</f>
        <v/>
      </c>
    </row>
    <row r="3114">
      <c r="A3114" s="16" t="s">
        <v>87</v>
      </c>
      <c r="E3114" s="16" t="str">
        <f>IFERROR(__xludf.DUMMYFUNCTION("""COMPUTED_VALUE"""),"")</f>
        <v/>
      </c>
      <c r="G3114" s="18"/>
      <c r="H3114" s="16" t="s">
        <v>87</v>
      </c>
      <c r="I3114" s="16" t="s">
        <v>87</v>
      </c>
      <c r="J3114" s="19"/>
      <c r="L3114" s="16" t="str">
        <f>IFERROR(__xludf.DUMMYFUNCTION("""COMPUTED_VALUE"""),"")</f>
        <v/>
      </c>
      <c r="M3114" s="16" t="str">
        <f>IFERROR(__xludf.DUMMYFUNCTION("""COMPUTED_VALUE"""),"")</f>
        <v/>
      </c>
      <c r="U3114" s="16" t="s">
        <v>87</v>
      </c>
      <c r="V3114" s="16" t="str">
        <f>IFERROR(__xludf.DUMMYFUNCTION("""COMPUTED_VALUE"""),"")</f>
        <v/>
      </c>
      <c r="W3114" s="16" t="str">
        <f>IFERROR(__xludf.DUMMYFUNCTION("""COMPUTED_VALUE"""),"")</f>
        <v/>
      </c>
      <c r="X3114" s="16" t="str">
        <f>IFERROR(__xludf.DUMMYFUNCTION("""COMPUTED_VALUE"""),"")</f>
        <v/>
      </c>
      <c r="AC3114" s="16" t="str">
        <f>IFERROR(__xludf.DUMMYFUNCTION("""COMPUTED_VALUE"""),"")</f>
        <v/>
      </c>
    </row>
    <row r="3115">
      <c r="A3115" s="16" t="s">
        <v>87</v>
      </c>
      <c r="E3115" s="16" t="str">
        <f>IFERROR(__xludf.DUMMYFUNCTION("""COMPUTED_VALUE"""),"")</f>
        <v/>
      </c>
      <c r="G3115" s="18"/>
      <c r="H3115" s="16" t="s">
        <v>87</v>
      </c>
      <c r="I3115" s="16" t="s">
        <v>87</v>
      </c>
      <c r="J3115" s="19"/>
      <c r="L3115" s="16" t="str">
        <f>IFERROR(__xludf.DUMMYFUNCTION("""COMPUTED_VALUE"""),"")</f>
        <v/>
      </c>
      <c r="M3115" s="16" t="str">
        <f>IFERROR(__xludf.DUMMYFUNCTION("""COMPUTED_VALUE"""),"")</f>
        <v/>
      </c>
      <c r="U3115" s="16" t="s">
        <v>87</v>
      </c>
      <c r="V3115" s="16" t="str">
        <f>IFERROR(__xludf.DUMMYFUNCTION("""COMPUTED_VALUE"""),"")</f>
        <v/>
      </c>
      <c r="W3115" s="16" t="str">
        <f>IFERROR(__xludf.DUMMYFUNCTION("""COMPUTED_VALUE"""),"")</f>
        <v/>
      </c>
      <c r="X3115" s="16" t="str">
        <f>IFERROR(__xludf.DUMMYFUNCTION("""COMPUTED_VALUE"""),"")</f>
        <v/>
      </c>
      <c r="AC3115" s="16" t="str">
        <f>IFERROR(__xludf.DUMMYFUNCTION("""COMPUTED_VALUE"""),"")</f>
        <v/>
      </c>
    </row>
    <row r="3116">
      <c r="A3116" s="16" t="s">
        <v>87</v>
      </c>
      <c r="E3116" s="16" t="str">
        <f>IFERROR(__xludf.DUMMYFUNCTION("""COMPUTED_VALUE"""),"")</f>
        <v/>
      </c>
      <c r="G3116" s="18"/>
      <c r="H3116" s="16" t="s">
        <v>87</v>
      </c>
      <c r="I3116" s="16" t="s">
        <v>87</v>
      </c>
      <c r="J3116" s="19"/>
      <c r="L3116" s="16" t="str">
        <f>IFERROR(__xludf.DUMMYFUNCTION("""COMPUTED_VALUE"""),"")</f>
        <v/>
      </c>
      <c r="M3116" s="16" t="str">
        <f>IFERROR(__xludf.DUMMYFUNCTION("""COMPUTED_VALUE"""),"")</f>
        <v/>
      </c>
      <c r="U3116" s="16" t="s">
        <v>87</v>
      </c>
      <c r="V3116" s="16" t="str">
        <f>IFERROR(__xludf.DUMMYFUNCTION("""COMPUTED_VALUE"""),"")</f>
        <v/>
      </c>
      <c r="W3116" s="16" t="str">
        <f>IFERROR(__xludf.DUMMYFUNCTION("""COMPUTED_VALUE"""),"")</f>
        <v/>
      </c>
      <c r="X3116" s="16" t="str">
        <f>IFERROR(__xludf.DUMMYFUNCTION("""COMPUTED_VALUE"""),"")</f>
        <v/>
      </c>
      <c r="AC3116" s="16" t="str">
        <f>IFERROR(__xludf.DUMMYFUNCTION("""COMPUTED_VALUE"""),"")</f>
        <v/>
      </c>
    </row>
    <row r="3117">
      <c r="A3117" s="16" t="s">
        <v>87</v>
      </c>
      <c r="E3117" s="16" t="str">
        <f>IFERROR(__xludf.DUMMYFUNCTION("""COMPUTED_VALUE"""),"")</f>
        <v/>
      </c>
      <c r="G3117" s="18"/>
      <c r="H3117" s="16" t="s">
        <v>87</v>
      </c>
      <c r="I3117" s="16" t="s">
        <v>87</v>
      </c>
      <c r="J3117" s="19"/>
      <c r="L3117" s="16" t="str">
        <f>IFERROR(__xludf.DUMMYFUNCTION("""COMPUTED_VALUE"""),"")</f>
        <v/>
      </c>
      <c r="M3117" s="16" t="str">
        <f>IFERROR(__xludf.DUMMYFUNCTION("""COMPUTED_VALUE"""),"")</f>
        <v/>
      </c>
      <c r="U3117" s="16" t="s">
        <v>87</v>
      </c>
      <c r="V3117" s="16" t="str">
        <f>IFERROR(__xludf.DUMMYFUNCTION("""COMPUTED_VALUE"""),"")</f>
        <v/>
      </c>
      <c r="W3117" s="16" t="str">
        <f>IFERROR(__xludf.DUMMYFUNCTION("""COMPUTED_VALUE"""),"")</f>
        <v/>
      </c>
      <c r="X3117" s="16" t="str">
        <f>IFERROR(__xludf.DUMMYFUNCTION("""COMPUTED_VALUE"""),"")</f>
        <v/>
      </c>
      <c r="AC3117" s="16" t="str">
        <f>IFERROR(__xludf.DUMMYFUNCTION("""COMPUTED_VALUE"""),"")</f>
        <v/>
      </c>
    </row>
    <row r="3118">
      <c r="A3118" s="16" t="s">
        <v>87</v>
      </c>
      <c r="E3118" s="16" t="str">
        <f>IFERROR(__xludf.DUMMYFUNCTION("""COMPUTED_VALUE"""),"")</f>
        <v/>
      </c>
      <c r="G3118" s="18"/>
      <c r="H3118" s="16" t="s">
        <v>87</v>
      </c>
      <c r="I3118" s="16" t="s">
        <v>87</v>
      </c>
      <c r="J3118" s="19"/>
      <c r="L3118" s="16" t="str">
        <f>IFERROR(__xludf.DUMMYFUNCTION("""COMPUTED_VALUE"""),"")</f>
        <v/>
      </c>
      <c r="M3118" s="16" t="str">
        <f>IFERROR(__xludf.DUMMYFUNCTION("""COMPUTED_VALUE"""),"")</f>
        <v/>
      </c>
      <c r="U3118" s="16" t="s">
        <v>87</v>
      </c>
      <c r="V3118" s="16" t="str">
        <f>IFERROR(__xludf.DUMMYFUNCTION("""COMPUTED_VALUE"""),"")</f>
        <v/>
      </c>
      <c r="W3118" s="16" t="str">
        <f>IFERROR(__xludf.DUMMYFUNCTION("""COMPUTED_VALUE"""),"")</f>
        <v/>
      </c>
      <c r="X3118" s="16" t="str">
        <f>IFERROR(__xludf.DUMMYFUNCTION("""COMPUTED_VALUE"""),"")</f>
        <v/>
      </c>
      <c r="AC3118" s="16" t="str">
        <f>IFERROR(__xludf.DUMMYFUNCTION("""COMPUTED_VALUE"""),"")</f>
        <v/>
      </c>
    </row>
    <row r="3119">
      <c r="A3119" s="16" t="s">
        <v>87</v>
      </c>
      <c r="E3119" s="16" t="str">
        <f>IFERROR(__xludf.DUMMYFUNCTION("""COMPUTED_VALUE"""),"")</f>
        <v/>
      </c>
      <c r="G3119" s="18"/>
      <c r="H3119" s="16" t="s">
        <v>87</v>
      </c>
      <c r="I3119" s="16" t="s">
        <v>87</v>
      </c>
      <c r="J3119" s="19"/>
      <c r="L3119" s="16" t="str">
        <f>IFERROR(__xludf.DUMMYFUNCTION("""COMPUTED_VALUE"""),"")</f>
        <v/>
      </c>
      <c r="M3119" s="16" t="str">
        <f>IFERROR(__xludf.DUMMYFUNCTION("""COMPUTED_VALUE"""),"")</f>
        <v/>
      </c>
      <c r="U3119" s="16" t="s">
        <v>87</v>
      </c>
      <c r="V3119" s="16" t="str">
        <f>IFERROR(__xludf.DUMMYFUNCTION("""COMPUTED_VALUE"""),"")</f>
        <v/>
      </c>
      <c r="W3119" s="16" t="str">
        <f>IFERROR(__xludf.DUMMYFUNCTION("""COMPUTED_VALUE"""),"")</f>
        <v/>
      </c>
      <c r="X3119" s="16" t="str">
        <f>IFERROR(__xludf.DUMMYFUNCTION("""COMPUTED_VALUE"""),"")</f>
        <v/>
      </c>
      <c r="AC3119" s="16" t="str">
        <f>IFERROR(__xludf.DUMMYFUNCTION("""COMPUTED_VALUE"""),"")</f>
        <v/>
      </c>
    </row>
    <row r="3120">
      <c r="A3120" s="16" t="s">
        <v>87</v>
      </c>
      <c r="E3120" s="16" t="str">
        <f>IFERROR(__xludf.DUMMYFUNCTION("""COMPUTED_VALUE"""),"")</f>
        <v/>
      </c>
      <c r="G3120" s="18"/>
      <c r="H3120" s="16" t="s">
        <v>87</v>
      </c>
      <c r="I3120" s="16" t="s">
        <v>87</v>
      </c>
      <c r="J3120" s="19"/>
      <c r="L3120" s="16" t="str">
        <f>IFERROR(__xludf.DUMMYFUNCTION("""COMPUTED_VALUE"""),"")</f>
        <v/>
      </c>
      <c r="M3120" s="16" t="str">
        <f>IFERROR(__xludf.DUMMYFUNCTION("""COMPUTED_VALUE"""),"")</f>
        <v/>
      </c>
      <c r="U3120" s="16" t="s">
        <v>87</v>
      </c>
      <c r="V3120" s="16" t="str">
        <f>IFERROR(__xludf.DUMMYFUNCTION("""COMPUTED_VALUE"""),"")</f>
        <v/>
      </c>
      <c r="W3120" s="16" t="str">
        <f>IFERROR(__xludf.DUMMYFUNCTION("""COMPUTED_VALUE"""),"")</f>
        <v/>
      </c>
      <c r="X3120" s="16" t="str">
        <f>IFERROR(__xludf.DUMMYFUNCTION("""COMPUTED_VALUE"""),"")</f>
        <v/>
      </c>
      <c r="AC3120" s="16" t="str">
        <f>IFERROR(__xludf.DUMMYFUNCTION("""COMPUTED_VALUE"""),"")</f>
        <v/>
      </c>
    </row>
    <row r="3121">
      <c r="A3121" s="16" t="s">
        <v>87</v>
      </c>
      <c r="E3121" s="16" t="str">
        <f>IFERROR(__xludf.DUMMYFUNCTION("""COMPUTED_VALUE"""),"")</f>
        <v/>
      </c>
      <c r="G3121" s="18"/>
      <c r="H3121" s="16" t="s">
        <v>87</v>
      </c>
      <c r="I3121" s="16" t="s">
        <v>87</v>
      </c>
      <c r="J3121" s="19"/>
      <c r="L3121" s="16" t="str">
        <f>IFERROR(__xludf.DUMMYFUNCTION("""COMPUTED_VALUE"""),"")</f>
        <v/>
      </c>
      <c r="M3121" s="16" t="str">
        <f>IFERROR(__xludf.DUMMYFUNCTION("""COMPUTED_VALUE"""),"")</f>
        <v/>
      </c>
      <c r="U3121" s="16" t="s">
        <v>87</v>
      </c>
      <c r="V3121" s="16" t="str">
        <f>IFERROR(__xludf.DUMMYFUNCTION("""COMPUTED_VALUE"""),"")</f>
        <v/>
      </c>
      <c r="W3121" s="16" t="str">
        <f>IFERROR(__xludf.DUMMYFUNCTION("""COMPUTED_VALUE"""),"")</f>
        <v/>
      </c>
      <c r="X3121" s="16" t="str">
        <f>IFERROR(__xludf.DUMMYFUNCTION("""COMPUTED_VALUE"""),"")</f>
        <v/>
      </c>
      <c r="AC3121" s="16" t="str">
        <f>IFERROR(__xludf.DUMMYFUNCTION("""COMPUTED_VALUE"""),"")</f>
        <v/>
      </c>
    </row>
    <row r="3122">
      <c r="A3122" s="16" t="s">
        <v>87</v>
      </c>
      <c r="E3122" s="16" t="str">
        <f>IFERROR(__xludf.DUMMYFUNCTION("""COMPUTED_VALUE"""),"")</f>
        <v/>
      </c>
      <c r="G3122" s="18"/>
      <c r="H3122" s="16" t="s">
        <v>87</v>
      </c>
      <c r="I3122" s="16" t="s">
        <v>87</v>
      </c>
      <c r="J3122" s="19"/>
      <c r="L3122" s="16" t="str">
        <f>IFERROR(__xludf.DUMMYFUNCTION("""COMPUTED_VALUE"""),"")</f>
        <v/>
      </c>
      <c r="M3122" s="16" t="str">
        <f>IFERROR(__xludf.DUMMYFUNCTION("""COMPUTED_VALUE"""),"")</f>
        <v/>
      </c>
      <c r="U3122" s="16" t="s">
        <v>87</v>
      </c>
      <c r="V3122" s="16" t="str">
        <f>IFERROR(__xludf.DUMMYFUNCTION("""COMPUTED_VALUE"""),"")</f>
        <v/>
      </c>
      <c r="W3122" s="16" t="str">
        <f>IFERROR(__xludf.DUMMYFUNCTION("""COMPUTED_VALUE"""),"")</f>
        <v/>
      </c>
      <c r="X3122" s="16" t="str">
        <f>IFERROR(__xludf.DUMMYFUNCTION("""COMPUTED_VALUE"""),"")</f>
        <v/>
      </c>
      <c r="AC3122" s="16" t="str">
        <f>IFERROR(__xludf.DUMMYFUNCTION("""COMPUTED_VALUE"""),"")</f>
        <v/>
      </c>
    </row>
    <row r="3123">
      <c r="A3123" s="16" t="s">
        <v>87</v>
      </c>
      <c r="E3123" s="16" t="str">
        <f>IFERROR(__xludf.DUMMYFUNCTION("""COMPUTED_VALUE"""),"")</f>
        <v/>
      </c>
      <c r="G3123" s="18"/>
      <c r="H3123" s="16" t="s">
        <v>87</v>
      </c>
      <c r="I3123" s="16" t="s">
        <v>87</v>
      </c>
      <c r="J3123" s="19"/>
      <c r="L3123" s="16" t="str">
        <f>IFERROR(__xludf.DUMMYFUNCTION("""COMPUTED_VALUE"""),"")</f>
        <v/>
      </c>
      <c r="M3123" s="16" t="str">
        <f>IFERROR(__xludf.DUMMYFUNCTION("""COMPUTED_VALUE"""),"")</f>
        <v/>
      </c>
      <c r="U3123" s="16" t="s">
        <v>87</v>
      </c>
      <c r="V3123" s="16" t="str">
        <f>IFERROR(__xludf.DUMMYFUNCTION("""COMPUTED_VALUE"""),"")</f>
        <v/>
      </c>
      <c r="W3123" s="16" t="str">
        <f>IFERROR(__xludf.DUMMYFUNCTION("""COMPUTED_VALUE"""),"")</f>
        <v/>
      </c>
      <c r="X3123" s="16" t="str">
        <f>IFERROR(__xludf.DUMMYFUNCTION("""COMPUTED_VALUE"""),"")</f>
        <v/>
      </c>
      <c r="AC3123" s="16" t="str">
        <f>IFERROR(__xludf.DUMMYFUNCTION("""COMPUTED_VALUE"""),"")</f>
        <v/>
      </c>
    </row>
    <row r="3124">
      <c r="A3124" s="16" t="s">
        <v>87</v>
      </c>
      <c r="E3124" s="16" t="str">
        <f>IFERROR(__xludf.DUMMYFUNCTION("""COMPUTED_VALUE"""),"")</f>
        <v/>
      </c>
      <c r="G3124" s="18"/>
      <c r="H3124" s="16" t="s">
        <v>87</v>
      </c>
      <c r="I3124" s="16" t="s">
        <v>87</v>
      </c>
      <c r="J3124" s="19"/>
      <c r="L3124" s="16" t="str">
        <f>IFERROR(__xludf.DUMMYFUNCTION("""COMPUTED_VALUE"""),"")</f>
        <v/>
      </c>
      <c r="M3124" s="16" t="str">
        <f>IFERROR(__xludf.DUMMYFUNCTION("""COMPUTED_VALUE"""),"")</f>
        <v/>
      </c>
      <c r="U3124" s="16" t="s">
        <v>87</v>
      </c>
      <c r="V3124" s="16" t="str">
        <f>IFERROR(__xludf.DUMMYFUNCTION("""COMPUTED_VALUE"""),"")</f>
        <v/>
      </c>
      <c r="W3124" s="16" t="str">
        <f>IFERROR(__xludf.DUMMYFUNCTION("""COMPUTED_VALUE"""),"")</f>
        <v/>
      </c>
      <c r="X3124" s="16" t="str">
        <f>IFERROR(__xludf.DUMMYFUNCTION("""COMPUTED_VALUE"""),"")</f>
        <v/>
      </c>
      <c r="AC3124" s="16" t="str">
        <f>IFERROR(__xludf.DUMMYFUNCTION("""COMPUTED_VALUE"""),"")</f>
        <v/>
      </c>
    </row>
    <row r="3125">
      <c r="A3125" s="16" t="s">
        <v>87</v>
      </c>
      <c r="E3125" s="16" t="str">
        <f>IFERROR(__xludf.DUMMYFUNCTION("""COMPUTED_VALUE"""),"")</f>
        <v/>
      </c>
      <c r="G3125" s="18"/>
      <c r="H3125" s="16" t="s">
        <v>87</v>
      </c>
      <c r="I3125" s="16" t="s">
        <v>87</v>
      </c>
      <c r="J3125" s="19"/>
      <c r="L3125" s="16" t="str">
        <f>IFERROR(__xludf.DUMMYFUNCTION("""COMPUTED_VALUE"""),"")</f>
        <v/>
      </c>
      <c r="M3125" s="16" t="str">
        <f>IFERROR(__xludf.DUMMYFUNCTION("""COMPUTED_VALUE"""),"")</f>
        <v/>
      </c>
      <c r="U3125" s="16" t="s">
        <v>87</v>
      </c>
      <c r="V3125" s="16" t="str">
        <f>IFERROR(__xludf.DUMMYFUNCTION("""COMPUTED_VALUE"""),"")</f>
        <v/>
      </c>
      <c r="W3125" s="16" t="str">
        <f>IFERROR(__xludf.DUMMYFUNCTION("""COMPUTED_VALUE"""),"")</f>
        <v/>
      </c>
      <c r="X3125" s="16" t="str">
        <f>IFERROR(__xludf.DUMMYFUNCTION("""COMPUTED_VALUE"""),"")</f>
        <v/>
      </c>
      <c r="AC3125" s="16" t="str">
        <f>IFERROR(__xludf.DUMMYFUNCTION("""COMPUTED_VALUE"""),"")</f>
        <v/>
      </c>
    </row>
    <row r="3126">
      <c r="A3126" s="16" t="s">
        <v>87</v>
      </c>
      <c r="E3126" s="16" t="str">
        <f>IFERROR(__xludf.DUMMYFUNCTION("""COMPUTED_VALUE"""),"")</f>
        <v/>
      </c>
      <c r="G3126" s="18"/>
      <c r="H3126" s="16" t="s">
        <v>87</v>
      </c>
      <c r="I3126" s="16" t="s">
        <v>87</v>
      </c>
      <c r="J3126" s="19"/>
      <c r="L3126" s="16" t="str">
        <f>IFERROR(__xludf.DUMMYFUNCTION("""COMPUTED_VALUE"""),"")</f>
        <v/>
      </c>
      <c r="M3126" s="16" t="str">
        <f>IFERROR(__xludf.DUMMYFUNCTION("""COMPUTED_VALUE"""),"")</f>
        <v/>
      </c>
      <c r="U3126" s="16" t="s">
        <v>87</v>
      </c>
      <c r="V3126" s="16" t="str">
        <f>IFERROR(__xludf.DUMMYFUNCTION("""COMPUTED_VALUE"""),"")</f>
        <v/>
      </c>
      <c r="W3126" s="16" t="str">
        <f>IFERROR(__xludf.DUMMYFUNCTION("""COMPUTED_VALUE"""),"")</f>
        <v/>
      </c>
      <c r="X3126" s="16" t="str">
        <f>IFERROR(__xludf.DUMMYFUNCTION("""COMPUTED_VALUE"""),"")</f>
        <v/>
      </c>
      <c r="AC3126" s="16" t="str">
        <f>IFERROR(__xludf.DUMMYFUNCTION("""COMPUTED_VALUE"""),"")</f>
        <v/>
      </c>
    </row>
    <row r="3127">
      <c r="A3127" s="16" t="s">
        <v>87</v>
      </c>
      <c r="E3127" s="16" t="str">
        <f>IFERROR(__xludf.DUMMYFUNCTION("""COMPUTED_VALUE"""),"")</f>
        <v/>
      </c>
      <c r="G3127" s="18"/>
      <c r="H3127" s="16" t="s">
        <v>87</v>
      </c>
      <c r="I3127" s="16" t="s">
        <v>87</v>
      </c>
      <c r="J3127" s="19"/>
      <c r="L3127" s="16" t="str">
        <f>IFERROR(__xludf.DUMMYFUNCTION("""COMPUTED_VALUE"""),"")</f>
        <v/>
      </c>
      <c r="M3127" s="16" t="str">
        <f>IFERROR(__xludf.DUMMYFUNCTION("""COMPUTED_VALUE"""),"")</f>
        <v/>
      </c>
      <c r="U3127" s="16" t="s">
        <v>87</v>
      </c>
      <c r="V3127" s="16" t="str">
        <f>IFERROR(__xludf.DUMMYFUNCTION("""COMPUTED_VALUE"""),"")</f>
        <v/>
      </c>
      <c r="W3127" s="16" t="str">
        <f>IFERROR(__xludf.DUMMYFUNCTION("""COMPUTED_VALUE"""),"")</f>
        <v/>
      </c>
      <c r="X3127" s="16" t="str">
        <f>IFERROR(__xludf.DUMMYFUNCTION("""COMPUTED_VALUE"""),"")</f>
        <v/>
      </c>
      <c r="AC3127" s="16" t="str">
        <f>IFERROR(__xludf.DUMMYFUNCTION("""COMPUTED_VALUE"""),"")</f>
        <v/>
      </c>
    </row>
    <row r="3128">
      <c r="A3128" s="16" t="s">
        <v>87</v>
      </c>
      <c r="E3128" s="16" t="str">
        <f>IFERROR(__xludf.DUMMYFUNCTION("""COMPUTED_VALUE"""),"")</f>
        <v/>
      </c>
      <c r="G3128" s="18"/>
      <c r="H3128" s="16" t="s">
        <v>87</v>
      </c>
      <c r="I3128" s="16" t="s">
        <v>87</v>
      </c>
      <c r="J3128" s="19"/>
      <c r="L3128" s="16" t="str">
        <f>IFERROR(__xludf.DUMMYFUNCTION("""COMPUTED_VALUE"""),"")</f>
        <v/>
      </c>
      <c r="M3128" s="16" t="str">
        <f>IFERROR(__xludf.DUMMYFUNCTION("""COMPUTED_VALUE"""),"")</f>
        <v/>
      </c>
      <c r="U3128" s="16" t="s">
        <v>87</v>
      </c>
      <c r="V3128" s="16" t="str">
        <f>IFERROR(__xludf.DUMMYFUNCTION("""COMPUTED_VALUE"""),"")</f>
        <v/>
      </c>
      <c r="W3128" s="16" t="str">
        <f>IFERROR(__xludf.DUMMYFUNCTION("""COMPUTED_VALUE"""),"")</f>
        <v/>
      </c>
      <c r="X3128" s="16" t="str">
        <f>IFERROR(__xludf.DUMMYFUNCTION("""COMPUTED_VALUE"""),"")</f>
        <v/>
      </c>
      <c r="AC3128" s="16" t="str">
        <f>IFERROR(__xludf.DUMMYFUNCTION("""COMPUTED_VALUE"""),"")</f>
        <v/>
      </c>
    </row>
    <row r="3129">
      <c r="A3129" s="16" t="s">
        <v>87</v>
      </c>
      <c r="E3129" s="16" t="str">
        <f>IFERROR(__xludf.DUMMYFUNCTION("""COMPUTED_VALUE"""),"")</f>
        <v/>
      </c>
      <c r="G3129" s="18"/>
      <c r="H3129" s="16" t="s">
        <v>87</v>
      </c>
      <c r="I3129" s="16" t="s">
        <v>87</v>
      </c>
      <c r="J3129" s="19"/>
      <c r="L3129" s="16" t="str">
        <f>IFERROR(__xludf.DUMMYFUNCTION("""COMPUTED_VALUE"""),"")</f>
        <v/>
      </c>
      <c r="M3129" s="16" t="str">
        <f>IFERROR(__xludf.DUMMYFUNCTION("""COMPUTED_VALUE"""),"")</f>
        <v/>
      </c>
      <c r="U3129" s="16" t="s">
        <v>87</v>
      </c>
      <c r="V3129" s="16" t="str">
        <f>IFERROR(__xludf.DUMMYFUNCTION("""COMPUTED_VALUE"""),"")</f>
        <v/>
      </c>
      <c r="W3129" s="16" t="str">
        <f>IFERROR(__xludf.DUMMYFUNCTION("""COMPUTED_VALUE"""),"")</f>
        <v/>
      </c>
      <c r="X3129" s="16" t="str">
        <f>IFERROR(__xludf.DUMMYFUNCTION("""COMPUTED_VALUE"""),"")</f>
        <v/>
      </c>
      <c r="AC3129" s="16" t="str">
        <f>IFERROR(__xludf.DUMMYFUNCTION("""COMPUTED_VALUE"""),"")</f>
        <v/>
      </c>
    </row>
    <row r="3130">
      <c r="A3130" s="16" t="s">
        <v>87</v>
      </c>
      <c r="E3130" s="16" t="str">
        <f>IFERROR(__xludf.DUMMYFUNCTION("""COMPUTED_VALUE"""),"")</f>
        <v/>
      </c>
      <c r="G3130" s="18"/>
      <c r="H3130" s="16" t="s">
        <v>87</v>
      </c>
      <c r="I3130" s="16" t="s">
        <v>87</v>
      </c>
      <c r="J3130" s="19"/>
      <c r="L3130" s="16" t="str">
        <f>IFERROR(__xludf.DUMMYFUNCTION("""COMPUTED_VALUE"""),"")</f>
        <v/>
      </c>
      <c r="M3130" s="16" t="str">
        <f>IFERROR(__xludf.DUMMYFUNCTION("""COMPUTED_VALUE"""),"")</f>
        <v/>
      </c>
      <c r="U3130" s="16" t="s">
        <v>87</v>
      </c>
      <c r="V3130" s="16" t="str">
        <f>IFERROR(__xludf.DUMMYFUNCTION("""COMPUTED_VALUE"""),"")</f>
        <v/>
      </c>
      <c r="W3130" s="16" t="str">
        <f>IFERROR(__xludf.DUMMYFUNCTION("""COMPUTED_VALUE"""),"")</f>
        <v/>
      </c>
      <c r="X3130" s="16" t="str">
        <f>IFERROR(__xludf.DUMMYFUNCTION("""COMPUTED_VALUE"""),"")</f>
        <v/>
      </c>
      <c r="AC3130" s="16" t="str">
        <f>IFERROR(__xludf.DUMMYFUNCTION("""COMPUTED_VALUE"""),"")</f>
        <v/>
      </c>
    </row>
    <row r="3131">
      <c r="A3131" s="16" t="s">
        <v>87</v>
      </c>
      <c r="E3131" s="16" t="str">
        <f>IFERROR(__xludf.DUMMYFUNCTION("""COMPUTED_VALUE"""),"")</f>
        <v/>
      </c>
      <c r="G3131" s="18"/>
      <c r="H3131" s="16" t="s">
        <v>87</v>
      </c>
      <c r="I3131" s="16" t="s">
        <v>87</v>
      </c>
      <c r="J3131" s="19"/>
      <c r="L3131" s="16" t="str">
        <f>IFERROR(__xludf.DUMMYFUNCTION("""COMPUTED_VALUE"""),"")</f>
        <v/>
      </c>
      <c r="M3131" s="16" t="str">
        <f>IFERROR(__xludf.DUMMYFUNCTION("""COMPUTED_VALUE"""),"")</f>
        <v/>
      </c>
      <c r="U3131" s="16" t="s">
        <v>87</v>
      </c>
      <c r="V3131" s="16" t="str">
        <f>IFERROR(__xludf.DUMMYFUNCTION("""COMPUTED_VALUE"""),"")</f>
        <v/>
      </c>
      <c r="W3131" s="16" t="str">
        <f>IFERROR(__xludf.DUMMYFUNCTION("""COMPUTED_VALUE"""),"")</f>
        <v/>
      </c>
      <c r="X3131" s="16" t="str">
        <f>IFERROR(__xludf.DUMMYFUNCTION("""COMPUTED_VALUE"""),"")</f>
        <v/>
      </c>
      <c r="AC3131" s="16" t="str">
        <f>IFERROR(__xludf.DUMMYFUNCTION("""COMPUTED_VALUE"""),"")</f>
        <v/>
      </c>
    </row>
    <row r="3132">
      <c r="A3132" s="16" t="s">
        <v>87</v>
      </c>
      <c r="E3132" s="16" t="str">
        <f>IFERROR(__xludf.DUMMYFUNCTION("""COMPUTED_VALUE"""),"")</f>
        <v/>
      </c>
      <c r="G3132" s="18"/>
      <c r="H3132" s="16" t="s">
        <v>87</v>
      </c>
      <c r="I3132" s="16" t="s">
        <v>87</v>
      </c>
      <c r="J3132" s="19"/>
      <c r="L3132" s="16" t="str">
        <f>IFERROR(__xludf.DUMMYFUNCTION("""COMPUTED_VALUE"""),"")</f>
        <v/>
      </c>
      <c r="M3132" s="16" t="str">
        <f>IFERROR(__xludf.DUMMYFUNCTION("""COMPUTED_VALUE"""),"")</f>
        <v/>
      </c>
      <c r="U3132" s="16" t="s">
        <v>87</v>
      </c>
      <c r="V3132" s="16" t="str">
        <f>IFERROR(__xludf.DUMMYFUNCTION("""COMPUTED_VALUE"""),"")</f>
        <v/>
      </c>
      <c r="W3132" s="16" t="str">
        <f>IFERROR(__xludf.DUMMYFUNCTION("""COMPUTED_VALUE"""),"")</f>
        <v/>
      </c>
      <c r="X3132" s="16" t="str">
        <f>IFERROR(__xludf.DUMMYFUNCTION("""COMPUTED_VALUE"""),"")</f>
        <v/>
      </c>
      <c r="AC3132" s="16" t="str">
        <f>IFERROR(__xludf.DUMMYFUNCTION("""COMPUTED_VALUE"""),"")</f>
        <v/>
      </c>
    </row>
    <row r="3133">
      <c r="A3133" s="16" t="s">
        <v>87</v>
      </c>
      <c r="E3133" s="16" t="str">
        <f>IFERROR(__xludf.DUMMYFUNCTION("""COMPUTED_VALUE"""),"")</f>
        <v/>
      </c>
      <c r="G3133" s="18"/>
      <c r="H3133" s="16" t="s">
        <v>87</v>
      </c>
      <c r="I3133" s="16" t="s">
        <v>87</v>
      </c>
      <c r="J3133" s="19"/>
      <c r="L3133" s="16" t="str">
        <f>IFERROR(__xludf.DUMMYFUNCTION("""COMPUTED_VALUE"""),"")</f>
        <v/>
      </c>
      <c r="M3133" s="16" t="str">
        <f>IFERROR(__xludf.DUMMYFUNCTION("""COMPUTED_VALUE"""),"")</f>
        <v/>
      </c>
      <c r="U3133" s="16" t="s">
        <v>87</v>
      </c>
      <c r="V3133" s="16" t="str">
        <f>IFERROR(__xludf.DUMMYFUNCTION("""COMPUTED_VALUE"""),"")</f>
        <v/>
      </c>
      <c r="W3133" s="16" t="str">
        <f>IFERROR(__xludf.DUMMYFUNCTION("""COMPUTED_VALUE"""),"")</f>
        <v/>
      </c>
      <c r="X3133" s="16" t="str">
        <f>IFERROR(__xludf.DUMMYFUNCTION("""COMPUTED_VALUE"""),"")</f>
        <v/>
      </c>
      <c r="AC3133" s="16" t="str">
        <f>IFERROR(__xludf.DUMMYFUNCTION("""COMPUTED_VALUE"""),"")</f>
        <v/>
      </c>
    </row>
    <row r="3134">
      <c r="A3134" s="16" t="s">
        <v>87</v>
      </c>
      <c r="E3134" s="16" t="str">
        <f>IFERROR(__xludf.DUMMYFUNCTION("""COMPUTED_VALUE"""),"")</f>
        <v/>
      </c>
      <c r="G3134" s="18"/>
      <c r="H3134" s="16" t="s">
        <v>87</v>
      </c>
      <c r="I3134" s="16" t="s">
        <v>87</v>
      </c>
      <c r="J3134" s="19"/>
      <c r="L3134" s="16" t="str">
        <f>IFERROR(__xludf.DUMMYFUNCTION("""COMPUTED_VALUE"""),"")</f>
        <v/>
      </c>
      <c r="M3134" s="16" t="str">
        <f>IFERROR(__xludf.DUMMYFUNCTION("""COMPUTED_VALUE"""),"")</f>
        <v/>
      </c>
      <c r="U3134" s="16" t="s">
        <v>87</v>
      </c>
      <c r="V3134" s="16" t="str">
        <f>IFERROR(__xludf.DUMMYFUNCTION("""COMPUTED_VALUE"""),"")</f>
        <v/>
      </c>
      <c r="W3134" s="16" t="str">
        <f>IFERROR(__xludf.DUMMYFUNCTION("""COMPUTED_VALUE"""),"")</f>
        <v/>
      </c>
      <c r="X3134" s="16" t="str">
        <f>IFERROR(__xludf.DUMMYFUNCTION("""COMPUTED_VALUE"""),"")</f>
        <v/>
      </c>
      <c r="AC3134" s="16" t="str">
        <f>IFERROR(__xludf.DUMMYFUNCTION("""COMPUTED_VALUE"""),"")</f>
        <v/>
      </c>
    </row>
    <row r="3135">
      <c r="A3135" s="16" t="s">
        <v>87</v>
      </c>
      <c r="E3135" s="16" t="str">
        <f>IFERROR(__xludf.DUMMYFUNCTION("""COMPUTED_VALUE"""),"")</f>
        <v/>
      </c>
      <c r="G3135" s="18"/>
      <c r="H3135" s="16" t="s">
        <v>87</v>
      </c>
      <c r="I3135" s="16" t="s">
        <v>87</v>
      </c>
      <c r="J3135" s="19"/>
      <c r="L3135" s="16" t="str">
        <f>IFERROR(__xludf.DUMMYFUNCTION("""COMPUTED_VALUE"""),"")</f>
        <v/>
      </c>
      <c r="M3135" s="16" t="str">
        <f>IFERROR(__xludf.DUMMYFUNCTION("""COMPUTED_VALUE"""),"")</f>
        <v/>
      </c>
      <c r="U3135" s="16" t="s">
        <v>87</v>
      </c>
      <c r="V3135" s="16" t="str">
        <f>IFERROR(__xludf.DUMMYFUNCTION("""COMPUTED_VALUE"""),"")</f>
        <v/>
      </c>
      <c r="W3135" s="16" t="str">
        <f>IFERROR(__xludf.DUMMYFUNCTION("""COMPUTED_VALUE"""),"")</f>
        <v/>
      </c>
      <c r="X3135" s="16" t="str">
        <f>IFERROR(__xludf.DUMMYFUNCTION("""COMPUTED_VALUE"""),"")</f>
        <v/>
      </c>
      <c r="AC3135" s="16" t="str">
        <f>IFERROR(__xludf.DUMMYFUNCTION("""COMPUTED_VALUE"""),"")</f>
        <v/>
      </c>
    </row>
    <row r="3136">
      <c r="A3136" s="16" t="s">
        <v>87</v>
      </c>
      <c r="E3136" s="16" t="str">
        <f>IFERROR(__xludf.DUMMYFUNCTION("""COMPUTED_VALUE"""),"")</f>
        <v/>
      </c>
      <c r="G3136" s="18"/>
      <c r="H3136" s="16" t="s">
        <v>87</v>
      </c>
      <c r="I3136" s="16" t="s">
        <v>87</v>
      </c>
      <c r="J3136" s="19"/>
      <c r="L3136" s="16" t="str">
        <f>IFERROR(__xludf.DUMMYFUNCTION("""COMPUTED_VALUE"""),"")</f>
        <v/>
      </c>
      <c r="M3136" s="16" t="str">
        <f>IFERROR(__xludf.DUMMYFUNCTION("""COMPUTED_VALUE"""),"")</f>
        <v/>
      </c>
      <c r="U3136" s="16" t="s">
        <v>87</v>
      </c>
      <c r="V3136" s="16" t="str">
        <f>IFERROR(__xludf.DUMMYFUNCTION("""COMPUTED_VALUE"""),"")</f>
        <v/>
      </c>
      <c r="W3136" s="16" t="str">
        <f>IFERROR(__xludf.DUMMYFUNCTION("""COMPUTED_VALUE"""),"")</f>
        <v/>
      </c>
      <c r="X3136" s="16" t="str">
        <f>IFERROR(__xludf.DUMMYFUNCTION("""COMPUTED_VALUE"""),"")</f>
        <v/>
      </c>
      <c r="AC3136" s="16" t="str">
        <f>IFERROR(__xludf.DUMMYFUNCTION("""COMPUTED_VALUE"""),"")</f>
        <v/>
      </c>
    </row>
    <row r="3137">
      <c r="A3137" s="16" t="s">
        <v>87</v>
      </c>
      <c r="E3137" s="16" t="str">
        <f>IFERROR(__xludf.DUMMYFUNCTION("""COMPUTED_VALUE"""),"")</f>
        <v/>
      </c>
      <c r="G3137" s="18"/>
      <c r="H3137" s="16" t="s">
        <v>87</v>
      </c>
      <c r="I3137" s="16" t="s">
        <v>87</v>
      </c>
      <c r="J3137" s="19"/>
      <c r="L3137" s="16" t="str">
        <f>IFERROR(__xludf.DUMMYFUNCTION("""COMPUTED_VALUE"""),"")</f>
        <v/>
      </c>
      <c r="M3137" s="16" t="str">
        <f>IFERROR(__xludf.DUMMYFUNCTION("""COMPUTED_VALUE"""),"")</f>
        <v/>
      </c>
      <c r="U3137" s="16" t="s">
        <v>87</v>
      </c>
      <c r="V3137" s="16" t="str">
        <f>IFERROR(__xludf.DUMMYFUNCTION("""COMPUTED_VALUE"""),"")</f>
        <v/>
      </c>
      <c r="W3137" s="16" t="str">
        <f>IFERROR(__xludf.DUMMYFUNCTION("""COMPUTED_VALUE"""),"")</f>
        <v/>
      </c>
      <c r="X3137" s="16" t="str">
        <f>IFERROR(__xludf.DUMMYFUNCTION("""COMPUTED_VALUE"""),"")</f>
        <v/>
      </c>
      <c r="AC3137" s="16" t="str">
        <f>IFERROR(__xludf.DUMMYFUNCTION("""COMPUTED_VALUE"""),"")</f>
        <v/>
      </c>
    </row>
    <row r="3138">
      <c r="A3138" s="16" t="s">
        <v>87</v>
      </c>
      <c r="E3138" s="16" t="str">
        <f>IFERROR(__xludf.DUMMYFUNCTION("""COMPUTED_VALUE"""),"")</f>
        <v/>
      </c>
      <c r="G3138" s="18"/>
      <c r="H3138" s="16" t="s">
        <v>87</v>
      </c>
      <c r="I3138" s="16" t="s">
        <v>87</v>
      </c>
      <c r="J3138" s="19"/>
      <c r="L3138" s="16" t="str">
        <f>IFERROR(__xludf.DUMMYFUNCTION("""COMPUTED_VALUE"""),"")</f>
        <v/>
      </c>
      <c r="M3138" s="16" t="str">
        <f>IFERROR(__xludf.DUMMYFUNCTION("""COMPUTED_VALUE"""),"")</f>
        <v/>
      </c>
      <c r="U3138" s="16" t="s">
        <v>87</v>
      </c>
      <c r="V3138" s="16" t="str">
        <f>IFERROR(__xludf.DUMMYFUNCTION("""COMPUTED_VALUE"""),"")</f>
        <v/>
      </c>
      <c r="W3138" s="16" t="str">
        <f>IFERROR(__xludf.DUMMYFUNCTION("""COMPUTED_VALUE"""),"")</f>
        <v/>
      </c>
      <c r="X3138" s="16" t="str">
        <f>IFERROR(__xludf.DUMMYFUNCTION("""COMPUTED_VALUE"""),"")</f>
        <v/>
      </c>
      <c r="AC3138" s="16" t="str">
        <f>IFERROR(__xludf.DUMMYFUNCTION("""COMPUTED_VALUE"""),"")</f>
        <v/>
      </c>
    </row>
    <row r="3139">
      <c r="A3139" s="16" t="s">
        <v>87</v>
      </c>
      <c r="E3139" s="16" t="str">
        <f>IFERROR(__xludf.DUMMYFUNCTION("""COMPUTED_VALUE"""),"")</f>
        <v/>
      </c>
      <c r="G3139" s="18"/>
      <c r="H3139" s="16" t="s">
        <v>87</v>
      </c>
      <c r="I3139" s="16" t="s">
        <v>87</v>
      </c>
      <c r="J3139" s="19"/>
      <c r="L3139" s="16" t="str">
        <f>IFERROR(__xludf.DUMMYFUNCTION("""COMPUTED_VALUE"""),"")</f>
        <v/>
      </c>
      <c r="M3139" s="16" t="str">
        <f>IFERROR(__xludf.DUMMYFUNCTION("""COMPUTED_VALUE"""),"")</f>
        <v/>
      </c>
      <c r="U3139" s="16" t="s">
        <v>87</v>
      </c>
      <c r="V3139" s="16" t="str">
        <f>IFERROR(__xludf.DUMMYFUNCTION("""COMPUTED_VALUE"""),"")</f>
        <v/>
      </c>
      <c r="W3139" s="16" t="str">
        <f>IFERROR(__xludf.DUMMYFUNCTION("""COMPUTED_VALUE"""),"")</f>
        <v/>
      </c>
      <c r="X3139" s="16" t="str">
        <f>IFERROR(__xludf.DUMMYFUNCTION("""COMPUTED_VALUE"""),"")</f>
        <v/>
      </c>
      <c r="AC3139" s="16" t="str">
        <f>IFERROR(__xludf.DUMMYFUNCTION("""COMPUTED_VALUE"""),"")</f>
        <v/>
      </c>
    </row>
    <row r="3140">
      <c r="A3140" s="16" t="s">
        <v>87</v>
      </c>
      <c r="E3140" s="16" t="str">
        <f>IFERROR(__xludf.DUMMYFUNCTION("""COMPUTED_VALUE"""),"")</f>
        <v/>
      </c>
      <c r="G3140" s="18"/>
      <c r="H3140" s="16" t="s">
        <v>87</v>
      </c>
      <c r="I3140" s="16" t="s">
        <v>87</v>
      </c>
      <c r="J3140" s="19"/>
      <c r="L3140" s="16" t="str">
        <f>IFERROR(__xludf.DUMMYFUNCTION("""COMPUTED_VALUE"""),"")</f>
        <v/>
      </c>
      <c r="M3140" s="16" t="str">
        <f>IFERROR(__xludf.DUMMYFUNCTION("""COMPUTED_VALUE"""),"")</f>
        <v/>
      </c>
      <c r="U3140" s="16" t="s">
        <v>87</v>
      </c>
      <c r="V3140" s="16" t="str">
        <f>IFERROR(__xludf.DUMMYFUNCTION("""COMPUTED_VALUE"""),"")</f>
        <v/>
      </c>
      <c r="W3140" s="16" t="str">
        <f>IFERROR(__xludf.DUMMYFUNCTION("""COMPUTED_VALUE"""),"")</f>
        <v/>
      </c>
      <c r="X3140" s="16" t="str">
        <f>IFERROR(__xludf.DUMMYFUNCTION("""COMPUTED_VALUE"""),"")</f>
        <v/>
      </c>
      <c r="AC3140" s="16" t="str">
        <f>IFERROR(__xludf.DUMMYFUNCTION("""COMPUTED_VALUE"""),"")</f>
        <v/>
      </c>
    </row>
    <row r="3141">
      <c r="A3141" s="16" t="s">
        <v>87</v>
      </c>
      <c r="E3141" s="16" t="str">
        <f>IFERROR(__xludf.DUMMYFUNCTION("""COMPUTED_VALUE"""),"")</f>
        <v/>
      </c>
      <c r="G3141" s="18"/>
      <c r="H3141" s="16" t="s">
        <v>87</v>
      </c>
      <c r="I3141" s="16" t="s">
        <v>87</v>
      </c>
      <c r="J3141" s="19"/>
      <c r="L3141" s="16" t="str">
        <f>IFERROR(__xludf.DUMMYFUNCTION("""COMPUTED_VALUE"""),"")</f>
        <v/>
      </c>
      <c r="M3141" s="16" t="str">
        <f>IFERROR(__xludf.DUMMYFUNCTION("""COMPUTED_VALUE"""),"")</f>
        <v/>
      </c>
      <c r="U3141" s="16" t="s">
        <v>87</v>
      </c>
      <c r="V3141" s="16" t="str">
        <f>IFERROR(__xludf.DUMMYFUNCTION("""COMPUTED_VALUE"""),"")</f>
        <v/>
      </c>
      <c r="W3141" s="16" t="str">
        <f>IFERROR(__xludf.DUMMYFUNCTION("""COMPUTED_VALUE"""),"")</f>
        <v/>
      </c>
      <c r="X3141" s="16" t="str">
        <f>IFERROR(__xludf.DUMMYFUNCTION("""COMPUTED_VALUE"""),"")</f>
        <v/>
      </c>
      <c r="AC3141" s="16" t="str">
        <f>IFERROR(__xludf.DUMMYFUNCTION("""COMPUTED_VALUE"""),"")</f>
        <v/>
      </c>
    </row>
    <row r="3142">
      <c r="A3142" s="16" t="s">
        <v>87</v>
      </c>
      <c r="E3142" s="16" t="str">
        <f>IFERROR(__xludf.DUMMYFUNCTION("""COMPUTED_VALUE"""),"")</f>
        <v/>
      </c>
      <c r="G3142" s="18"/>
      <c r="H3142" s="16" t="s">
        <v>87</v>
      </c>
      <c r="I3142" s="16" t="s">
        <v>87</v>
      </c>
      <c r="J3142" s="19"/>
      <c r="L3142" s="16" t="str">
        <f>IFERROR(__xludf.DUMMYFUNCTION("""COMPUTED_VALUE"""),"")</f>
        <v/>
      </c>
      <c r="M3142" s="16" t="str">
        <f>IFERROR(__xludf.DUMMYFUNCTION("""COMPUTED_VALUE"""),"")</f>
        <v/>
      </c>
      <c r="U3142" s="16" t="s">
        <v>87</v>
      </c>
      <c r="V3142" s="16" t="str">
        <f>IFERROR(__xludf.DUMMYFUNCTION("""COMPUTED_VALUE"""),"")</f>
        <v/>
      </c>
      <c r="W3142" s="16" t="str">
        <f>IFERROR(__xludf.DUMMYFUNCTION("""COMPUTED_VALUE"""),"")</f>
        <v/>
      </c>
      <c r="X3142" s="16" t="str">
        <f>IFERROR(__xludf.DUMMYFUNCTION("""COMPUTED_VALUE"""),"")</f>
        <v/>
      </c>
      <c r="AC3142" s="16" t="str">
        <f>IFERROR(__xludf.DUMMYFUNCTION("""COMPUTED_VALUE"""),"")</f>
        <v/>
      </c>
    </row>
    <row r="3143">
      <c r="A3143" s="16" t="s">
        <v>87</v>
      </c>
      <c r="E3143" s="16" t="str">
        <f>IFERROR(__xludf.DUMMYFUNCTION("""COMPUTED_VALUE"""),"")</f>
        <v/>
      </c>
      <c r="G3143" s="18"/>
      <c r="H3143" s="16" t="s">
        <v>87</v>
      </c>
      <c r="I3143" s="16" t="s">
        <v>87</v>
      </c>
      <c r="J3143" s="19"/>
      <c r="L3143" s="16" t="str">
        <f>IFERROR(__xludf.DUMMYFUNCTION("""COMPUTED_VALUE"""),"")</f>
        <v/>
      </c>
      <c r="M3143" s="16" t="str">
        <f>IFERROR(__xludf.DUMMYFUNCTION("""COMPUTED_VALUE"""),"")</f>
        <v/>
      </c>
      <c r="U3143" s="16" t="s">
        <v>87</v>
      </c>
      <c r="V3143" s="16" t="str">
        <f>IFERROR(__xludf.DUMMYFUNCTION("""COMPUTED_VALUE"""),"")</f>
        <v/>
      </c>
      <c r="W3143" s="16" t="str">
        <f>IFERROR(__xludf.DUMMYFUNCTION("""COMPUTED_VALUE"""),"")</f>
        <v/>
      </c>
      <c r="X3143" s="16" t="str">
        <f>IFERROR(__xludf.DUMMYFUNCTION("""COMPUTED_VALUE"""),"")</f>
        <v/>
      </c>
      <c r="AC3143" s="16" t="str">
        <f>IFERROR(__xludf.DUMMYFUNCTION("""COMPUTED_VALUE"""),"")</f>
        <v/>
      </c>
    </row>
    <row r="3144">
      <c r="A3144" s="16" t="s">
        <v>87</v>
      </c>
      <c r="E3144" s="16" t="str">
        <f>IFERROR(__xludf.DUMMYFUNCTION("""COMPUTED_VALUE"""),"")</f>
        <v/>
      </c>
      <c r="G3144" s="18"/>
      <c r="H3144" s="16" t="s">
        <v>87</v>
      </c>
      <c r="I3144" s="16" t="s">
        <v>87</v>
      </c>
      <c r="J3144" s="19"/>
      <c r="L3144" s="16" t="str">
        <f>IFERROR(__xludf.DUMMYFUNCTION("""COMPUTED_VALUE"""),"")</f>
        <v/>
      </c>
      <c r="M3144" s="16" t="str">
        <f>IFERROR(__xludf.DUMMYFUNCTION("""COMPUTED_VALUE"""),"")</f>
        <v/>
      </c>
      <c r="U3144" s="16" t="s">
        <v>87</v>
      </c>
      <c r="V3144" s="16" t="str">
        <f>IFERROR(__xludf.DUMMYFUNCTION("""COMPUTED_VALUE"""),"")</f>
        <v/>
      </c>
      <c r="W3144" s="16" t="str">
        <f>IFERROR(__xludf.DUMMYFUNCTION("""COMPUTED_VALUE"""),"")</f>
        <v/>
      </c>
      <c r="X3144" s="16" t="str">
        <f>IFERROR(__xludf.DUMMYFUNCTION("""COMPUTED_VALUE"""),"")</f>
        <v/>
      </c>
      <c r="AC3144" s="16" t="str">
        <f>IFERROR(__xludf.DUMMYFUNCTION("""COMPUTED_VALUE"""),"")</f>
        <v/>
      </c>
    </row>
    <row r="3145">
      <c r="A3145" s="16" t="s">
        <v>87</v>
      </c>
      <c r="E3145" s="16" t="str">
        <f>IFERROR(__xludf.DUMMYFUNCTION("""COMPUTED_VALUE"""),"")</f>
        <v/>
      </c>
      <c r="G3145" s="18"/>
      <c r="H3145" s="16" t="s">
        <v>87</v>
      </c>
      <c r="I3145" s="16" t="s">
        <v>87</v>
      </c>
      <c r="J3145" s="19"/>
      <c r="L3145" s="16" t="str">
        <f>IFERROR(__xludf.DUMMYFUNCTION("""COMPUTED_VALUE"""),"")</f>
        <v/>
      </c>
      <c r="M3145" s="16" t="str">
        <f>IFERROR(__xludf.DUMMYFUNCTION("""COMPUTED_VALUE"""),"")</f>
        <v/>
      </c>
      <c r="U3145" s="16" t="s">
        <v>87</v>
      </c>
      <c r="V3145" s="16" t="str">
        <f>IFERROR(__xludf.DUMMYFUNCTION("""COMPUTED_VALUE"""),"")</f>
        <v/>
      </c>
      <c r="W3145" s="16" t="str">
        <f>IFERROR(__xludf.DUMMYFUNCTION("""COMPUTED_VALUE"""),"")</f>
        <v/>
      </c>
      <c r="X3145" s="16" t="str">
        <f>IFERROR(__xludf.DUMMYFUNCTION("""COMPUTED_VALUE"""),"")</f>
        <v/>
      </c>
      <c r="AC3145" s="16" t="str">
        <f>IFERROR(__xludf.DUMMYFUNCTION("""COMPUTED_VALUE"""),"")</f>
        <v/>
      </c>
    </row>
    <row r="3146">
      <c r="A3146" s="16" t="s">
        <v>87</v>
      </c>
      <c r="E3146" s="16" t="str">
        <f>IFERROR(__xludf.DUMMYFUNCTION("""COMPUTED_VALUE"""),"")</f>
        <v/>
      </c>
      <c r="G3146" s="18"/>
      <c r="H3146" s="16" t="s">
        <v>87</v>
      </c>
      <c r="I3146" s="16" t="s">
        <v>87</v>
      </c>
      <c r="J3146" s="19"/>
      <c r="L3146" s="16" t="str">
        <f>IFERROR(__xludf.DUMMYFUNCTION("""COMPUTED_VALUE"""),"")</f>
        <v/>
      </c>
      <c r="M3146" s="16" t="str">
        <f>IFERROR(__xludf.DUMMYFUNCTION("""COMPUTED_VALUE"""),"")</f>
        <v/>
      </c>
      <c r="U3146" s="16" t="s">
        <v>87</v>
      </c>
      <c r="V3146" s="16" t="str">
        <f>IFERROR(__xludf.DUMMYFUNCTION("""COMPUTED_VALUE"""),"")</f>
        <v/>
      </c>
      <c r="W3146" s="16" t="str">
        <f>IFERROR(__xludf.DUMMYFUNCTION("""COMPUTED_VALUE"""),"")</f>
        <v/>
      </c>
      <c r="X3146" s="16" t="str">
        <f>IFERROR(__xludf.DUMMYFUNCTION("""COMPUTED_VALUE"""),"")</f>
        <v/>
      </c>
      <c r="AC3146" s="16" t="str">
        <f>IFERROR(__xludf.DUMMYFUNCTION("""COMPUTED_VALUE"""),"")</f>
        <v/>
      </c>
    </row>
    <row r="3147">
      <c r="A3147" s="16" t="s">
        <v>87</v>
      </c>
      <c r="E3147" s="16" t="str">
        <f>IFERROR(__xludf.DUMMYFUNCTION("""COMPUTED_VALUE"""),"")</f>
        <v/>
      </c>
      <c r="G3147" s="18"/>
      <c r="H3147" s="16" t="s">
        <v>87</v>
      </c>
      <c r="I3147" s="16" t="s">
        <v>87</v>
      </c>
      <c r="J3147" s="19"/>
      <c r="L3147" s="16" t="str">
        <f>IFERROR(__xludf.DUMMYFUNCTION("""COMPUTED_VALUE"""),"")</f>
        <v/>
      </c>
      <c r="M3147" s="16" t="str">
        <f>IFERROR(__xludf.DUMMYFUNCTION("""COMPUTED_VALUE"""),"")</f>
        <v/>
      </c>
      <c r="U3147" s="16" t="s">
        <v>87</v>
      </c>
      <c r="V3147" s="16" t="str">
        <f>IFERROR(__xludf.DUMMYFUNCTION("""COMPUTED_VALUE"""),"")</f>
        <v/>
      </c>
      <c r="W3147" s="16" t="str">
        <f>IFERROR(__xludf.DUMMYFUNCTION("""COMPUTED_VALUE"""),"")</f>
        <v/>
      </c>
      <c r="X3147" s="16" t="str">
        <f>IFERROR(__xludf.DUMMYFUNCTION("""COMPUTED_VALUE"""),"")</f>
        <v/>
      </c>
      <c r="AC3147" s="16" t="str">
        <f>IFERROR(__xludf.DUMMYFUNCTION("""COMPUTED_VALUE"""),"")</f>
        <v/>
      </c>
    </row>
    <row r="3148">
      <c r="A3148" s="16" t="s">
        <v>87</v>
      </c>
      <c r="E3148" s="16" t="str">
        <f>IFERROR(__xludf.DUMMYFUNCTION("""COMPUTED_VALUE"""),"")</f>
        <v/>
      </c>
      <c r="G3148" s="18"/>
      <c r="H3148" s="16" t="s">
        <v>87</v>
      </c>
      <c r="I3148" s="16" t="s">
        <v>87</v>
      </c>
      <c r="J3148" s="19"/>
      <c r="L3148" s="16" t="str">
        <f>IFERROR(__xludf.DUMMYFUNCTION("""COMPUTED_VALUE"""),"")</f>
        <v/>
      </c>
      <c r="M3148" s="16" t="str">
        <f>IFERROR(__xludf.DUMMYFUNCTION("""COMPUTED_VALUE"""),"")</f>
        <v/>
      </c>
      <c r="U3148" s="16" t="s">
        <v>87</v>
      </c>
      <c r="V3148" s="16" t="str">
        <f>IFERROR(__xludf.DUMMYFUNCTION("""COMPUTED_VALUE"""),"")</f>
        <v/>
      </c>
      <c r="W3148" s="16" t="str">
        <f>IFERROR(__xludf.DUMMYFUNCTION("""COMPUTED_VALUE"""),"")</f>
        <v/>
      </c>
      <c r="X3148" s="16" t="str">
        <f>IFERROR(__xludf.DUMMYFUNCTION("""COMPUTED_VALUE"""),"")</f>
        <v/>
      </c>
      <c r="AC3148" s="16" t="str">
        <f>IFERROR(__xludf.DUMMYFUNCTION("""COMPUTED_VALUE"""),"")</f>
        <v/>
      </c>
    </row>
    <row r="3149">
      <c r="A3149" s="16" t="s">
        <v>87</v>
      </c>
      <c r="E3149" s="16" t="str">
        <f>IFERROR(__xludf.DUMMYFUNCTION("""COMPUTED_VALUE"""),"")</f>
        <v/>
      </c>
      <c r="G3149" s="18"/>
      <c r="H3149" s="16" t="s">
        <v>87</v>
      </c>
      <c r="I3149" s="16" t="s">
        <v>87</v>
      </c>
      <c r="J3149" s="19"/>
      <c r="L3149" s="16" t="str">
        <f>IFERROR(__xludf.DUMMYFUNCTION("""COMPUTED_VALUE"""),"")</f>
        <v/>
      </c>
      <c r="M3149" s="16" t="str">
        <f>IFERROR(__xludf.DUMMYFUNCTION("""COMPUTED_VALUE"""),"")</f>
        <v/>
      </c>
      <c r="U3149" s="16" t="s">
        <v>87</v>
      </c>
      <c r="V3149" s="16" t="str">
        <f>IFERROR(__xludf.DUMMYFUNCTION("""COMPUTED_VALUE"""),"")</f>
        <v/>
      </c>
      <c r="W3149" s="16" t="str">
        <f>IFERROR(__xludf.DUMMYFUNCTION("""COMPUTED_VALUE"""),"")</f>
        <v/>
      </c>
      <c r="X3149" s="16" t="str">
        <f>IFERROR(__xludf.DUMMYFUNCTION("""COMPUTED_VALUE"""),"")</f>
        <v/>
      </c>
      <c r="AC3149" s="16" t="str">
        <f>IFERROR(__xludf.DUMMYFUNCTION("""COMPUTED_VALUE"""),"")</f>
        <v/>
      </c>
    </row>
    <row r="3150">
      <c r="A3150" s="16" t="s">
        <v>87</v>
      </c>
      <c r="E3150" s="16" t="str">
        <f>IFERROR(__xludf.DUMMYFUNCTION("""COMPUTED_VALUE"""),"")</f>
        <v/>
      </c>
      <c r="G3150" s="18"/>
      <c r="H3150" s="16" t="s">
        <v>87</v>
      </c>
      <c r="I3150" s="16" t="s">
        <v>87</v>
      </c>
      <c r="J3150" s="19"/>
      <c r="L3150" s="16" t="str">
        <f>IFERROR(__xludf.DUMMYFUNCTION("""COMPUTED_VALUE"""),"")</f>
        <v/>
      </c>
      <c r="M3150" s="16" t="str">
        <f>IFERROR(__xludf.DUMMYFUNCTION("""COMPUTED_VALUE"""),"")</f>
        <v/>
      </c>
      <c r="U3150" s="16" t="s">
        <v>87</v>
      </c>
      <c r="V3150" s="16" t="str">
        <f>IFERROR(__xludf.DUMMYFUNCTION("""COMPUTED_VALUE"""),"")</f>
        <v/>
      </c>
      <c r="W3150" s="16" t="str">
        <f>IFERROR(__xludf.DUMMYFUNCTION("""COMPUTED_VALUE"""),"")</f>
        <v/>
      </c>
      <c r="X3150" s="16" t="str">
        <f>IFERROR(__xludf.DUMMYFUNCTION("""COMPUTED_VALUE"""),"")</f>
        <v/>
      </c>
      <c r="AC3150" s="16" t="str">
        <f>IFERROR(__xludf.DUMMYFUNCTION("""COMPUTED_VALUE"""),"")</f>
        <v/>
      </c>
    </row>
    <row r="3151">
      <c r="A3151" s="16" t="s">
        <v>87</v>
      </c>
      <c r="E3151" s="16" t="str">
        <f>IFERROR(__xludf.DUMMYFUNCTION("""COMPUTED_VALUE"""),"")</f>
        <v/>
      </c>
      <c r="G3151" s="18"/>
      <c r="H3151" s="16" t="s">
        <v>87</v>
      </c>
      <c r="I3151" s="16" t="s">
        <v>87</v>
      </c>
      <c r="J3151" s="19"/>
      <c r="L3151" s="16" t="str">
        <f>IFERROR(__xludf.DUMMYFUNCTION("""COMPUTED_VALUE"""),"")</f>
        <v/>
      </c>
      <c r="M3151" s="16" t="str">
        <f>IFERROR(__xludf.DUMMYFUNCTION("""COMPUTED_VALUE"""),"")</f>
        <v/>
      </c>
      <c r="U3151" s="16" t="s">
        <v>87</v>
      </c>
      <c r="V3151" s="16" t="str">
        <f>IFERROR(__xludf.DUMMYFUNCTION("""COMPUTED_VALUE"""),"")</f>
        <v/>
      </c>
      <c r="W3151" s="16" t="str">
        <f>IFERROR(__xludf.DUMMYFUNCTION("""COMPUTED_VALUE"""),"")</f>
        <v/>
      </c>
      <c r="X3151" s="16" t="str">
        <f>IFERROR(__xludf.DUMMYFUNCTION("""COMPUTED_VALUE"""),"")</f>
        <v/>
      </c>
      <c r="AC3151" s="16" t="str">
        <f>IFERROR(__xludf.DUMMYFUNCTION("""COMPUTED_VALUE"""),"")</f>
        <v/>
      </c>
    </row>
    <row r="3152">
      <c r="A3152" s="16" t="s">
        <v>87</v>
      </c>
      <c r="E3152" s="16" t="str">
        <f>IFERROR(__xludf.DUMMYFUNCTION("""COMPUTED_VALUE"""),"")</f>
        <v/>
      </c>
      <c r="G3152" s="18"/>
      <c r="H3152" s="16" t="s">
        <v>87</v>
      </c>
      <c r="I3152" s="16" t="s">
        <v>87</v>
      </c>
      <c r="J3152" s="19"/>
      <c r="L3152" s="16" t="str">
        <f>IFERROR(__xludf.DUMMYFUNCTION("""COMPUTED_VALUE"""),"")</f>
        <v/>
      </c>
      <c r="M3152" s="16" t="str">
        <f>IFERROR(__xludf.DUMMYFUNCTION("""COMPUTED_VALUE"""),"")</f>
        <v/>
      </c>
      <c r="U3152" s="16" t="s">
        <v>87</v>
      </c>
      <c r="V3152" s="16" t="str">
        <f>IFERROR(__xludf.DUMMYFUNCTION("""COMPUTED_VALUE"""),"")</f>
        <v/>
      </c>
      <c r="W3152" s="16" t="str">
        <f>IFERROR(__xludf.DUMMYFUNCTION("""COMPUTED_VALUE"""),"")</f>
        <v/>
      </c>
      <c r="X3152" s="16" t="str">
        <f>IFERROR(__xludf.DUMMYFUNCTION("""COMPUTED_VALUE"""),"")</f>
        <v/>
      </c>
      <c r="AC3152" s="16" t="str">
        <f>IFERROR(__xludf.DUMMYFUNCTION("""COMPUTED_VALUE"""),"")</f>
        <v/>
      </c>
    </row>
    <row r="3153">
      <c r="A3153" s="16" t="s">
        <v>87</v>
      </c>
      <c r="E3153" s="16" t="str">
        <f>IFERROR(__xludf.DUMMYFUNCTION("""COMPUTED_VALUE"""),"")</f>
        <v/>
      </c>
      <c r="G3153" s="18"/>
      <c r="H3153" s="16" t="s">
        <v>87</v>
      </c>
      <c r="I3153" s="16" t="s">
        <v>87</v>
      </c>
      <c r="J3153" s="19"/>
      <c r="L3153" s="16" t="str">
        <f>IFERROR(__xludf.DUMMYFUNCTION("""COMPUTED_VALUE"""),"")</f>
        <v/>
      </c>
      <c r="M3153" s="16" t="str">
        <f>IFERROR(__xludf.DUMMYFUNCTION("""COMPUTED_VALUE"""),"")</f>
        <v/>
      </c>
      <c r="U3153" s="16" t="s">
        <v>87</v>
      </c>
      <c r="V3153" s="16" t="str">
        <f>IFERROR(__xludf.DUMMYFUNCTION("""COMPUTED_VALUE"""),"")</f>
        <v/>
      </c>
      <c r="W3153" s="16" t="str">
        <f>IFERROR(__xludf.DUMMYFUNCTION("""COMPUTED_VALUE"""),"")</f>
        <v/>
      </c>
      <c r="X3153" s="16" t="str">
        <f>IFERROR(__xludf.DUMMYFUNCTION("""COMPUTED_VALUE"""),"")</f>
        <v/>
      </c>
      <c r="AC3153" s="16" t="str">
        <f>IFERROR(__xludf.DUMMYFUNCTION("""COMPUTED_VALUE"""),"")</f>
        <v/>
      </c>
    </row>
    <row r="3154">
      <c r="A3154" s="16" t="s">
        <v>87</v>
      </c>
      <c r="E3154" s="16" t="str">
        <f>IFERROR(__xludf.DUMMYFUNCTION("""COMPUTED_VALUE"""),"")</f>
        <v/>
      </c>
      <c r="G3154" s="18"/>
      <c r="H3154" s="16" t="s">
        <v>87</v>
      </c>
      <c r="I3154" s="16" t="s">
        <v>87</v>
      </c>
      <c r="J3154" s="19"/>
      <c r="L3154" s="16" t="str">
        <f>IFERROR(__xludf.DUMMYFUNCTION("""COMPUTED_VALUE"""),"")</f>
        <v/>
      </c>
      <c r="M3154" s="16" t="str">
        <f>IFERROR(__xludf.DUMMYFUNCTION("""COMPUTED_VALUE"""),"")</f>
        <v/>
      </c>
      <c r="U3154" s="16" t="s">
        <v>87</v>
      </c>
      <c r="V3154" s="16" t="str">
        <f>IFERROR(__xludf.DUMMYFUNCTION("""COMPUTED_VALUE"""),"")</f>
        <v/>
      </c>
      <c r="W3154" s="16" t="str">
        <f>IFERROR(__xludf.DUMMYFUNCTION("""COMPUTED_VALUE"""),"")</f>
        <v/>
      </c>
      <c r="X3154" s="16" t="str">
        <f>IFERROR(__xludf.DUMMYFUNCTION("""COMPUTED_VALUE"""),"")</f>
        <v/>
      </c>
      <c r="AC3154" s="16" t="str">
        <f>IFERROR(__xludf.DUMMYFUNCTION("""COMPUTED_VALUE"""),"")</f>
        <v/>
      </c>
    </row>
    <row r="3155">
      <c r="A3155" s="16" t="s">
        <v>87</v>
      </c>
      <c r="E3155" s="16" t="str">
        <f>IFERROR(__xludf.DUMMYFUNCTION("""COMPUTED_VALUE"""),"")</f>
        <v/>
      </c>
      <c r="G3155" s="18"/>
      <c r="H3155" s="16" t="s">
        <v>87</v>
      </c>
      <c r="I3155" s="16" t="s">
        <v>87</v>
      </c>
      <c r="J3155" s="19"/>
      <c r="L3155" s="16" t="str">
        <f>IFERROR(__xludf.DUMMYFUNCTION("""COMPUTED_VALUE"""),"")</f>
        <v/>
      </c>
      <c r="M3155" s="16" t="str">
        <f>IFERROR(__xludf.DUMMYFUNCTION("""COMPUTED_VALUE"""),"")</f>
        <v/>
      </c>
      <c r="U3155" s="16" t="s">
        <v>87</v>
      </c>
      <c r="V3155" s="16" t="str">
        <f>IFERROR(__xludf.DUMMYFUNCTION("""COMPUTED_VALUE"""),"")</f>
        <v/>
      </c>
      <c r="W3155" s="16" t="str">
        <f>IFERROR(__xludf.DUMMYFUNCTION("""COMPUTED_VALUE"""),"")</f>
        <v/>
      </c>
      <c r="X3155" s="16" t="str">
        <f>IFERROR(__xludf.DUMMYFUNCTION("""COMPUTED_VALUE"""),"")</f>
        <v/>
      </c>
      <c r="AC3155" s="16" t="str">
        <f>IFERROR(__xludf.DUMMYFUNCTION("""COMPUTED_VALUE"""),"")</f>
        <v/>
      </c>
    </row>
    <row r="3156">
      <c r="A3156" s="16" t="s">
        <v>87</v>
      </c>
      <c r="E3156" s="16" t="str">
        <f>IFERROR(__xludf.DUMMYFUNCTION("""COMPUTED_VALUE"""),"")</f>
        <v/>
      </c>
      <c r="G3156" s="18"/>
      <c r="H3156" s="16" t="s">
        <v>87</v>
      </c>
      <c r="I3156" s="16" t="s">
        <v>87</v>
      </c>
      <c r="J3156" s="19"/>
      <c r="L3156" s="16" t="str">
        <f>IFERROR(__xludf.DUMMYFUNCTION("""COMPUTED_VALUE"""),"")</f>
        <v/>
      </c>
      <c r="M3156" s="16" t="str">
        <f>IFERROR(__xludf.DUMMYFUNCTION("""COMPUTED_VALUE"""),"")</f>
        <v/>
      </c>
      <c r="U3156" s="16" t="s">
        <v>87</v>
      </c>
      <c r="V3156" s="16" t="str">
        <f>IFERROR(__xludf.DUMMYFUNCTION("""COMPUTED_VALUE"""),"")</f>
        <v/>
      </c>
      <c r="W3156" s="16" t="str">
        <f>IFERROR(__xludf.DUMMYFUNCTION("""COMPUTED_VALUE"""),"")</f>
        <v/>
      </c>
      <c r="X3156" s="16" t="str">
        <f>IFERROR(__xludf.DUMMYFUNCTION("""COMPUTED_VALUE"""),"")</f>
        <v/>
      </c>
      <c r="AC3156" s="16" t="str">
        <f>IFERROR(__xludf.DUMMYFUNCTION("""COMPUTED_VALUE"""),"")</f>
        <v/>
      </c>
    </row>
    <row r="3157">
      <c r="A3157" s="16" t="s">
        <v>87</v>
      </c>
      <c r="E3157" s="16" t="str">
        <f>IFERROR(__xludf.DUMMYFUNCTION("""COMPUTED_VALUE"""),"")</f>
        <v/>
      </c>
      <c r="G3157" s="18"/>
      <c r="H3157" s="16" t="s">
        <v>87</v>
      </c>
      <c r="I3157" s="16" t="s">
        <v>87</v>
      </c>
      <c r="J3157" s="19"/>
      <c r="L3157" s="16" t="str">
        <f>IFERROR(__xludf.DUMMYFUNCTION("""COMPUTED_VALUE"""),"")</f>
        <v/>
      </c>
      <c r="M3157" s="16" t="str">
        <f>IFERROR(__xludf.DUMMYFUNCTION("""COMPUTED_VALUE"""),"")</f>
        <v/>
      </c>
      <c r="U3157" s="16" t="s">
        <v>87</v>
      </c>
      <c r="V3157" s="16" t="str">
        <f>IFERROR(__xludf.DUMMYFUNCTION("""COMPUTED_VALUE"""),"")</f>
        <v/>
      </c>
      <c r="W3157" s="16" t="str">
        <f>IFERROR(__xludf.DUMMYFUNCTION("""COMPUTED_VALUE"""),"")</f>
        <v/>
      </c>
      <c r="X3157" s="16" t="str">
        <f>IFERROR(__xludf.DUMMYFUNCTION("""COMPUTED_VALUE"""),"")</f>
        <v/>
      </c>
      <c r="AC3157" s="16" t="str">
        <f>IFERROR(__xludf.DUMMYFUNCTION("""COMPUTED_VALUE"""),"")</f>
        <v/>
      </c>
    </row>
    <row r="3158">
      <c r="A3158" s="16" t="s">
        <v>87</v>
      </c>
      <c r="E3158" s="16" t="str">
        <f>IFERROR(__xludf.DUMMYFUNCTION("""COMPUTED_VALUE"""),"")</f>
        <v/>
      </c>
      <c r="G3158" s="18"/>
      <c r="H3158" s="16" t="s">
        <v>87</v>
      </c>
      <c r="I3158" s="16" t="s">
        <v>87</v>
      </c>
      <c r="J3158" s="19"/>
      <c r="L3158" s="16" t="str">
        <f>IFERROR(__xludf.DUMMYFUNCTION("""COMPUTED_VALUE"""),"")</f>
        <v/>
      </c>
      <c r="M3158" s="16" t="str">
        <f>IFERROR(__xludf.DUMMYFUNCTION("""COMPUTED_VALUE"""),"")</f>
        <v/>
      </c>
      <c r="U3158" s="16" t="s">
        <v>87</v>
      </c>
      <c r="V3158" s="16" t="str">
        <f>IFERROR(__xludf.DUMMYFUNCTION("""COMPUTED_VALUE"""),"")</f>
        <v/>
      </c>
      <c r="W3158" s="16" t="str">
        <f>IFERROR(__xludf.DUMMYFUNCTION("""COMPUTED_VALUE"""),"")</f>
        <v/>
      </c>
      <c r="X3158" s="16" t="str">
        <f>IFERROR(__xludf.DUMMYFUNCTION("""COMPUTED_VALUE"""),"")</f>
        <v/>
      </c>
      <c r="AC3158" s="16" t="str">
        <f>IFERROR(__xludf.DUMMYFUNCTION("""COMPUTED_VALUE"""),"")</f>
        <v/>
      </c>
    </row>
    <row r="3159">
      <c r="A3159" s="16" t="s">
        <v>87</v>
      </c>
      <c r="E3159" s="16" t="str">
        <f>IFERROR(__xludf.DUMMYFUNCTION("""COMPUTED_VALUE"""),"")</f>
        <v/>
      </c>
      <c r="G3159" s="18"/>
      <c r="H3159" s="16" t="s">
        <v>87</v>
      </c>
      <c r="I3159" s="16" t="s">
        <v>87</v>
      </c>
      <c r="J3159" s="19"/>
      <c r="L3159" s="16" t="str">
        <f>IFERROR(__xludf.DUMMYFUNCTION("""COMPUTED_VALUE"""),"")</f>
        <v/>
      </c>
      <c r="M3159" s="16" t="str">
        <f>IFERROR(__xludf.DUMMYFUNCTION("""COMPUTED_VALUE"""),"")</f>
        <v/>
      </c>
      <c r="U3159" s="16" t="s">
        <v>87</v>
      </c>
      <c r="V3159" s="16" t="str">
        <f>IFERROR(__xludf.DUMMYFUNCTION("""COMPUTED_VALUE"""),"")</f>
        <v/>
      </c>
      <c r="W3159" s="16" t="str">
        <f>IFERROR(__xludf.DUMMYFUNCTION("""COMPUTED_VALUE"""),"")</f>
        <v/>
      </c>
      <c r="X3159" s="16" t="str">
        <f>IFERROR(__xludf.DUMMYFUNCTION("""COMPUTED_VALUE"""),"")</f>
        <v/>
      </c>
      <c r="AC3159" s="16" t="str">
        <f>IFERROR(__xludf.DUMMYFUNCTION("""COMPUTED_VALUE"""),"")</f>
        <v/>
      </c>
    </row>
    <row r="3160">
      <c r="A3160" s="16" t="s">
        <v>87</v>
      </c>
      <c r="E3160" s="16" t="str">
        <f>IFERROR(__xludf.DUMMYFUNCTION("""COMPUTED_VALUE"""),"")</f>
        <v/>
      </c>
      <c r="G3160" s="18"/>
      <c r="H3160" s="16" t="s">
        <v>87</v>
      </c>
      <c r="I3160" s="16" t="s">
        <v>87</v>
      </c>
      <c r="J3160" s="19"/>
      <c r="L3160" s="16" t="str">
        <f>IFERROR(__xludf.DUMMYFUNCTION("""COMPUTED_VALUE"""),"")</f>
        <v/>
      </c>
      <c r="M3160" s="16" t="str">
        <f>IFERROR(__xludf.DUMMYFUNCTION("""COMPUTED_VALUE"""),"")</f>
        <v/>
      </c>
      <c r="U3160" s="16" t="s">
        <v>87</v>
      </c>
      <c r="V3160" s="16" t="str">
        <f>IFERROR(__xludf.DUMMYFUNCTION("""COMPUTED_VALUE"""),"")</f>
        <v/>
      </c>
      <c r="W3160" s="16" t="str">
        <f>IFERROR(__xludf.DUMMYFUNCTION("""COMPUTED_VALUE"""),"")</f>
        <v/>
      </c>
      <c r="X3160" s="16" t="str">
        <f>IFERROR(__xludf.DUMMYFUNCTION("""COMPUTED_VALUE"""),"")</f>
        <v/>
      </c>
      <c r="AC3160" s="16" t="str">
        <f>IFERROR(__xludf.DUMMYFUNCTION("""COMPUTED_VALUE"""),"")</f>
        <v/>
      </c>
    </row>
    <row r="3161">
      <c r="A3161" s="16" t="s">
        <v>87</v>
      </c>
      <c r="E3161" s="16" t="str">
        <f>IFERROR(__xludf.DUMMYFUNCTION("""COMPUTED_VALUE"""),"")</f>
        <v/>
      </c>
      <c r="G3161" s="18"/>
      <c r="H3161" s="16" t="s">
        <v>87</v>
      </c>
      <c r="I3161" s="16" t="s">
        <v>87</v>
      </c>
      <c r="J3161" s="19"/>
      <c r="L3161" s="16" t="str">
        <f>IFERROR(__xludf.DUMMYFUNCTION("""COMPUTED_VALUE"""),"")</f>
        <v/>
      </c>
      <c r="M3161" s="16" t="str">
        <f>IFERROR(__xludf.DUMMYFUNCTION("""COMPUTED_VALUE"""),"")</f>
        <v/>
      </c>
      <c r="U3161" s="16" t="s">
        <v>87</v>
      </c>
      <c r="V3161" s="16" t="str">
        <f>IFERROR(__xludf.DUMMYFUNCTION("""COMPUTED_VALUE"""),"")</f>
        <v/>
      </c>
      <c r="W3161" s="16" t="str">
        <f>IFERROR(__xludf.DUMMYFUNCTION("""COMPUTED_VALUE"""),"")</f>
        <v/>
      </c>
      <c r="X3161" s="16" t="str">
        <f>IFERROR(__xludf.DUMMYFUNCTION("""COMPUTED_VALUE"""),"")</f>
        <v/>
      </c>
      <c r="AC3161" s="16" t="str">
        <f>IFERROR(__xludf.DUMMYFUNCTION("""COMPUTED_VALUE"""),"")</f>
        <v/>
      </c>
    </row>
    <row r="3162">
      <c r="A3162" s="16" t="s">
        <v>87</v>
      </c>
      <c r="E3162" s="16" t="str">
        <f>IFERROR(__xludf.DUMMYFUNCTION("""COMPUTED_VALUE"""),"")</f>
        <v/>
      </c>
      <c r="G3162" s="18"/>
      <c r="H3162" s="16" t="s">
        <v>87</v>
      </c>
      <c r="I3162" s="16" t="s">
        <v>87</v>
      </c>
      <c r="J3162" s="19"/>
      <c r="L3162" s="16" t="str">
        <f>IFERROR(__xludf.DUMMYFUNCTION("""COMPUTED_VALUE"""),"")</f>
        <v/>
      </c>
      <c r="M3162" s="16" t="str">
        <f>IFERROR(__xludf.DUMMYFUNCTION("""COMPUTED_VALUE"""),"")</f>
        <v/>
      </c>
      <c r="U3162" s="16" t="s">
        <v>87</v>
      </c>
      <c r="V3162" s="16" t="str">
        <f>IFERROR(__xludf.DUMMYFUNCTION("""COMPUTED_VALUE"""),"")</f>
        <v/>
      </c>
      <c r="W3162" s="16" t="str">
        <f>IFERROR(__xludf.DUMMYFUNCTION("""COMPUTED_VALUE"""),"")</f>
        <v/>
      </c>
      <c r="X3162" s="16" t="str">
        <f>IFERROR(__xludf.DUMMYFUNCTION("""COMPUTED_VALUE"""),"")</f>
        <v/>
      </c>
      <c r="AC3162" s="16" t="str">
        <f>IFERROR(__xludf.DUMMYFUNCTION("""COMPUTED_VALUE"""),"")</f>
        <v/>
      </c>
    </row>
    <row r="3163">
      <c r="A3163" s="16" t="s">
        <v>87</v>
      </c>
      <c r="E3163" s="16" t="str">
        <f>IFERROR(__xludf.DUMMYFUNCTION("""COMPUTED_VALUE"""),"")</f>
        <v/>
      </c>
      <c r="G3163" s="18"/>
      <c r="H3163" s="16" t="s">
        <v>87</v>
      </c>
      <c r="I3163" s="16" t="s">
        <v>87</v>
      </c>
      <c r="J3163" s="19"/>
      <c r="L3163" s="16" t="str">
        <f>IFERROR(__xludf.DUMMYFUNCTION("""COMPUTED_VALUE"""),"")</f>
        <v/>
      </c>
      <c r="M3163" s="16" t="str">
        <f>IFERROR(__xludf.DUMMYFUNCTION("""COMPUTED_VALUE"""),"")</f>
        <v/>
      </c>
      <c r="U3163" s="16" t="s">
        <v>87</v>
      </c>
      <c r="V3163" s="16" t="str">
        <f>IFERROR(__xludf.DUMMYFUNCTION("""COMPUTED_VALUE"""),"")</f>
        <v/>
      </c>
      <c r="W3163" s="16" t="str">
        <f>IFERROR(__xludf.DUMMYFUNCTION("""COMPUTED_VALUE"""),"")</f>
        <v/>
      </c>
      <c r="X3163" s="16" t="str">
        <f>IFERROR(__xludf.DUMMYFUNCTION("""COMPUTED_VALUE"""),"")</f>
        <v/>
      </c>
      <c r="AC3163" s="16" t="str">
        <f>IFERROR(__xludf.DUMMYFUNCTION("""COMPUTED_VALUE"""),"")</f>
        <v/>
      </c>
    </row>
    <row r="3164">
      <c r="A3164" s="16" t="s">
        <v>87</v>
      </c>
      <c r="E3164" s="16" t="str">
        <f>IFERROR(__xludf.DUMMYFUNCTION("""COMPUTED_VALUE"""),"")</f>
        <v/>
      </c>
      <c r="G3164" s="18"/>
      <c r="H3164" s="16" t="s">
        <v>87</v>
      </c>
      <c r="I3164" s="16" t="s">
        <v>87</v>
      </c>
      <c r="J3164" s="19"/>
      <c r="L3164" s="16" t="str">
        <f>IFERROR(__xludf.DUMMYFUNCTION("""COMPUTED_VALUE"""),"")</f>
        <v/>
      </c>
      <c r="M3164" s="16" t="str">
        <f>IFERROR(__xludf.DUMMYFUNCTION("""COMPUTED_VALUE"""),"")</f>
        <v/>
      </c>
      <c r="U3164" s="16" t="s">
        <v>87</v>
      </c>
      <c r="V3164" s="16" t="str">
        <f>IFERROR(__xludf.DUMMYFUNCTION("""COMPUTED_VALUE"""),"")</f>
        <v/>
      </c>
      <c r="W3164" s="16" t="str">
        <f>IFERROR(__xludf.DUMMYFUNCTION("""COMPUTED_VALUE"""),"")</f>
        <v/>
      </c>
      <c r="X3164" s="16" t="str">
        <f>IFERROR(__xludf.DUMMYFUNCTION("""COMPUTED_VALUE"""),"")</f>
        <v/>
      </c>
      <c r="AC3164" s="16" t="str">
        <f>IFERROR(__xludf.DUMMYFUNCTION("""COMPUTED_VALUE"""),"")</f>
        <v/>
      </c>
    </row>
    <row r="3165">
      <c r="A3165" s="16" t="s">
        <v>87</v>
      </c>
      <c r="E3165" s="16" t="str">
        <f>IFERROR(__xludf.DUMMYFUNCTION("""COMPUTED_VALUE"""),"")</f>
        <v/>
      </c>
      <c r="G3165" s="18"/>
      <c r="H3165" s="16" t="s">
        <v>87</v>
      </c>
      <c r="I3165" s="16" t="s">
        <v>87</v>
      </c>
      <c r="J3165" s="19"/>
      <c r="L3165" s="16" t="str">
        <f>IFERROR(__xludf.DUMMYFUNCTION("""COMPUTED_VALUE"""),"")</f>
        <v/>
      </c>
      <c r="M3165" s="16" t="str">
        <f>IFERROR(__xludf.DUMMYFUNCTION("""COMPUTED_VALUE"""),"")</f>
        <v/>
      </c>
      <c r="U3165" s="16" t="s">
        <v>87</v>
      </c>
      <c r="V3165" s="16" t="str">
        <f>IFERROR(__xludf.DUMMYFUNCTION("""COMPUTED_VALUE"""),"")</f>
        <v/>
      </c>
      <c r="W3165" s="16" t="str">
        <f>IFERROR(__xludf.DUMMYFUNCTION("""COMPUTED_VALUE"""),"")</f>
        <v/>
      </c>
      <c r="X3165" s="16" t="str">
        <f>IFERROR(__xludf.DUMMYFUNCTION("""COMPUTED_VALUE"""),"")</f>
        <v/>
      </c>
      <c r="AC3165" s="16" t="str">
        <f>IFERROR(__xludf.DUMMYFUNCTION("""COMPUTED_VALUE"""),"")</f>
        <v/>
      </c>
    </row>
    <row r="3166">
      <c r="A3166" s="16" t="s">
        <v>87</v>
      </c>
      <c r="E3166" s="16" t="str">
        <f>IFERROR(__xludf.DUMMYFUNCTION("""COMPUTED_VALUE"""),"")</f>
        <v/>
      </c>
      <c r="G3166" s="18"/>
      <c r="H3166" s="16" t="s">
        <v>87</v>
      </c>
      <c r="I3166" s="16" t="s">
        <v>87</v>
      </c>
      <c r="J3166" s="19"/>
      <c r="L3166" s="16" t="str">
        <f>IFERROR(__xludf.DUMMYFUNCTION("""COMPUTED_VALUE"""),"")</f>
        <v/>
      </c>
      <c r="M3166" s="16" t="str">
        <f>IFERROR(__xludf.DUMMYFUNCTION("""COMPUTED_VALUE"""),"")</f>
        <v/>
      </c>
      <c r="U3166" s="16" t="s">
        <v>87</v>
      </c>
      <c r="V3166" s="16" t="str">
        <f>IFERROR(__xludf.DUMMYFUNCTION("""COMPUTED_VALUE"""),"")</f>
        <v/>
      </c>
      <c r="W3166" s="16" t="str">
        <f>IFERROR(__xludf.DUMMYFUNCTION("""COMPUTED_VALUE"""),"")</f>
        <v/>
      </c>
      <c r="X3166" s="16" t="str">
        <f>IFERROR(__xludf.DUMMYFUNCTION("""COMPUTED_VALUE"""),"")</f>
        <v/>
      </c>
      <c r="AC3166" s="16" t="str">
        <f>IFERROR(__xludf.DUMMYFUNCTION("""COMPUTED_VALUE"""),"")</f>
        <v/>
      </c>
    </row>
    <row r="3167">
      <c r="A3167" s="16" t="s">
        <v>87</v>
      </c>
      <c r="E3167" s="16" t="str">
        <f>IFERROR(__xludf.DUMMYFUNCTION("""COMPUTED_VALUE"""),"")</f>
        <v/>
      </c>
      <c r="G3167" s="18"/>
      <c r="H3167" s="16" t="s">
        <v>87</v>
      </c>
      <c r="I3167" s="16" t="s">
        <v>87</v>
      </c>
      <c r="J3167" s="19"/>
      <c r="L3167" s="16" t="str">
        <f>IFERROR(__xludf.DUMMYFUNCTION("""COMPUTED_VALUE"""),"")</f>
        <v/>
      </c>
      <c r="M3167" s="16" t="str">
        <f>IFERROR(__xludf.DUMMYFUNCTION("""COMPUTED_VALUE"""),"")</f>
        <v/>
      </c>
      <c r="U3167" s="16" t="s">
        <v>87</v>
      </c>
      <c r="V3167" s="16" t="str">
        <f>IFERROR(__xludf.DUMMYFUNCTION("""COMPUTED_VALUE"""),"")</f>
        <v/>
      </c>
      <c r="W3167" s="16" t="str">
        <f>IFERROR(__xludf.DUMMYFUNCTION("""COMPUTED_VALUE"""),"")</f>
        <v/>
      </c>
      <c r="X3167" s="16" t="str">
        <f>IFERROR(__xludf.DUMMYFUNCTION("""COMPUTED_VALUE"""),"")</f>
        <v/>
      </c>
      <c r="AC3167" s="16" t="str">
        <f>IFERROR(__xludf.DUMMYFUNCTION("""COMPUTED_VALUE"""),"")</f>
        <v/>
      </c>
    </row>
    <row r="3168">
      <c r="A3168" s="16" t="s">
        <v>87</v>
      </c>
      <c r="E3168" s="16" t="str">
        <f>IFERROR(__xludf.DUMMYFUNCTION("""COMPUTED_VALUE"""),"")</f>
        <v/>
      </c>
      <c r="G3168" s="18"/>
      <c r="H3168" s="16" t="s">
        <v>87</v>
      </c>
      <c r="I3168" s="16" t="s">
        <v>87</v>
      </c>
      <c r="J3168" s="19"/>
      <c r="L3168" s="16" t="str">
        <f>IFERROR(__xludf.DUMMYFUNCTION("""COMPUTED_VALUE"""),"")</f>
        <v/>
      </c>
      <c r="M3168" s="16" t="str">
        <f>IFERROR(__xludf.DUMMYFUNCTION("""COMPUTED_VALUE"""),"")</f>
        <v/>
      </c>
      <c r="U3168" s="16" t="s">
        <v>87</v>
      </c>
      <c r="V3168" s="16" t="str">
        <f>IFERROR(__xludf.DUMMYFUNCTION("""COMPUTED_VALUE"""),"")</f>
        <v/>
      </c>
      <c r="W3168" s="16" t="str">
        <f>IFERROR(__xludf.DUMMYFUNCTION("""COMPUTED_VALUE"""),"")</f>
        <v/>
      </c>
      <c r="X3168" s="16" t="str">
        <f>IFERROR(__xludf.DUMMYFUNCTION("""COMPUTED_VALUE"""),"")</f>
        <v/>
      </c>
      <c r="AC3168" s="16" t="str">
        <f>IFERROR(__xludf.DUMMYFUNCTION("""COMPUTED_VALUE"""),"")</f>
        <v/>
      </c>
    </row>
    <row r="3169">
      <c r="A3169" s="16" t="s">
        <v>87</v>
      </c>
      <c r="E3169" s="16" t="str">
        <f>IFERROR(__xludf.DUMMYFUNCTION("""COMPUTED_VALUE"""),"")</f>
        <v/>
      </c>
      <c r="G3169" s="18"/>
      <c r="H3169" s="16" t="s">
        <v>87</v>
      </c>
      <c r="I3169" s="16" t="s">
        <v>87</v>
      </c>
      <c r="J3169" s="19"/>
      <c r="L3169" s="16" t="str">
        <f>IFERROR(__xludf.DUMMYFUNCTION("""COMPUTED_VALUE"""),"")</f>
        <v/>
      </c>
      <c r="M3169" s="16" t="str">
        <f>IFERROR(__xludf.DUMMYFUNCTION("""COMPUTED_VALUE"""),"")</f>
        <v/>
      </c>
      <c r="U3169" s="16" t="s">
        <v>87</v>
      </c>
      <c r="V3169" s="16" t="str">
        <f>IFERROR(__xludf.DUMMYFUNCTION("""COMPUTED_VALUE"""),"")</f>
        <v/>
      </c>
      <c r="W3169" s="16" t="str">
        <f>IFERROR(__xludf.DUMMYFUNCTION("""COMPUTED_VALUE"""),"")</f>
        <v/>
      </c>
      <c r="X3169" s="16" t="str">
        <f>IFERROR(__xludf.DUMMYFUNCTION("""COMPUTED_VALUE"""),"")</f>
        <v/>
      </c>
      <c r="AC3169" s="16" t="str">
        <f>IFERROR(__xludf.DUMMYFUNCTION("""COMPUTED_VALUE"""),"")</f>
        <v/>
      </c>
    </row>
    <row r="3170">
      <c r="A3170" s="16" t="s">
        <v>87</v>
      </c>
      <c r="E3170" s="16" t="str">
        <f>IFERROR(__xludf.DUMMYFUNCTION("""COMPUTED_VALUE"""),"")</f>
        <v/>
      </c>
      <c r="G3170" s="18"/>
      <c r="H3170" s="16" t="s">
        <v>87</v>
      </c>
      <c r="I3170" s="16" t="s">
        <v>87</v>
      </c>
      <c r="J3170" s="19"/>
      <c r="L3170" s="16" t="str">
        <f>IFERROR(__xludf.DUMMYFUNCTION("""COMPUTED_VALUE"""),"")</f>
        <v/>
      </c>
      <c r="M3170" s="16" t="str">
        <f>IFERROR(__xludf.DUMMYFUNCTION("""COMPUTED_VALUE"""),"")</f>
        <v/>
      </c>
      <c r="U3170" s="16" t="s">
        <v>87</v>
      </c>
      <c r="V3170" s="16" t="str">
        <f>IFERROR(__xludf.DUMMYFUNCTION("""COMPUTED_VALUE"""),"")</f>
        <v/>
      </c>
      <c r="W3170" s="16" t="str">
        <f>IFERROR(__xludf.DUMMYFUNCTION("""COMPUTED_VALUE"""),"")</f>
        <v/>
      </c>
      <c r="X3170" s="16" t="str">
        <f>IFERROR(__xludf.DUMMYFUNCTION("""COMPUTED_VALUE"""),"")</f>
        <v/>
      </c>
      <c r="AC3170" s="16" t="str">
        <f>IFERROR(__xludf.DUMMYFUNCTION("""COMPUTED_VALUE"""),"")</f>
        <v/>
      </c>
    </row>
    <row r="3171">
      <c r="A3171" s="16" t="s">
        <v>87</v>
      </c>
      <c r="E3171" s="16" t="str">
        <f>IFERROR(__xludf.DUMMYFUNCTION("""COMPUTED_VALUE"""),"")</f>
        <v/>
      </c>
      <c r="G3171" s="18"/>
      <c r="H3171" s="16" t="s">
        <v>87</v>
      </c>
      <c r="I3171" s="16" t="s">
        <v>87</v>
      </c>
      <c r="J3171" s="19"/>
      <c r="L3171" s="16" t="str">
        <f>IFERROR(__xludf.DUMMYFUNCTION("""COMPUTED_VALUE"""),"")</f>
        <v/>
      </c>
      <c r="M3171" s="16" t="str">
        <f>IFERROR(__xludf.DUMMYFUNCTION("""COMPUTED_VALUE"""),"")</f>
        <v/>
      </c>
      <c r="U3171" s="16" t="s">
        <v>87</v>
      </c>
      <c r="V3171" s="16" t="str">
        <f>IFERROR(__xludf.DUMMYFUNCTION("""COMPUTED_VALUE"""),"")</f>
        <v/>
      </c>
      <c r="W3171" s="16" t="str">
        <f>IFERROR(__xludf.DUMMYFUNCTION("""COMPUTED_VALUE"""),"")</f>
        <v/>
      </c>
      <c r="X3171" s="16" t="str">
        <f>IFERROR(__xludf.DUMMYFUNCTION("""COMPUTED_VALUE"""),"")</f>
        <v/>
      </c>
      <c r="AC3171" s="16" t="str">
        <f>IFERROR(__xludf.DUMMYFUNCTION("""COMPUTED_VALUE"""),"")</f>
        <v/>
      </c>
    </row>
    <row r="3172">
      <c r="A3172" s="16" t="s">
        <v>87</v>
      </c>
      <c r="E3172" s="16" t="str">
        <f>IFERROR(__xludf.DUMMYFUNCTION("""COMPUTED_VALUE"""),"")</f>
        <v/>
      </c>
      <c r="G3172" s="18"/>
      <c r="H3172" s="16" t="s">
        <v>87</v>
      </c>
      <c r="I3172" s="16" t="s">
        <v>87</v>
      </c>
      <c r="J3172" s="19"/>
      <c r="L3172" s="16" t="str">
        <f>IFERROR(__xludf.DUMMYFUNCTION("""COMPUTED_VALUE"""),"")</f>
        <v/>
      </c>
      <c r="M3172" s="16" t="str">
        <f>IFERROR(__xludf.DUMMYFUNCTION("""COMPUTED_VALUE"""),"")</f>
        <v/>
      </c>
      <c r="U3172" s="16" t="s">
        <v>87</v>
      </c>
      <c r="V3172" s="16" t="str">
        <f>IFERROR(__xludf.DUMMYFUNCTION("""COMPUTED_VALUE"""),"")</f>
        <v/>
      </c>
      <c r="W3172" s="16" t="str">
        <f>IFERROR(__xludf.DUMMYFUNCTION("""COMPUTED_VALUE"""),"")</f>
        <v/>
      </c>
      <c r="X3172" s="16" t="str">
        <f>IFERROR(__xludf.DUMMYFUNCTION("""COMPUTED_VALUE"""),"")</f>
        <v/>
      </c>
      <c r="AC3172" s="16" t="str">
        <f>IFERROR(__xludf.DUMMYFUNCTION("""COMPUTED_VALUE"""),"")</f>
        <v/>
      </c>
    </row>
    <row r="3173">
      <c r="A3173" s="16" t="s">
        <v>87</v>
      </c>
      <c r="E3173" s="16" t="str">
        <f>IFERROR(__xludf.DUMMYFUNCTION("""COMPUTED_VALUE"""),"")</f>
        <v/>
      </c>
      <c r="G3173" s="18"/>
      <c r="H3173" s="16" t="s">
        <v>87</v>
      </c>
      <c r="I3173" s="16" t="s">
        <v>87</v>
      </c>
      <c r="J3173" s="19"/>
      <c r="L3173" s="16" t="str">
        <f>IFERROR(__xludf.DUMMYFUNCTION("""COMPUTED_VALUE"""),"")</f>
        <v/>
      </c>
      <c r="M3173" s="16" t="str">
        <f>IFERROR(__xludf.DUMMYFUNCTION("""COMPUTED_VALUE"""),"")</f>
        <v/>
      </c>
      <c r="U3173" s="16" t="s">
        <v>87</v>
      </c>
      <c r="V3173" s="16" t="str">
        <f>IFERROR(__xludf.DUMMYFUNCTION("""COMPUTED_VALUE"""),"")</f>
        <v/>
      </c>
      <c r="W3173" s="16" t="str">
        <f>IFERROR(__xludf.DUMMYFUNCTION("""COMPUTED_VALUE"""),"")</f>
        <v/>
      </c>
      <c r="X3173" s="16" t="str">
        <f>IFERROR(__xludf.DUMMYFUNCTION("""COMPUTED_VALUE"""),"")</f>
        <v/>
      </c>
      <c r="AC3173" s="16" t="str">
        <f>IFERROR(__xludf.DUMMYFUNCTION("""COMPUTED_VALUE"""),"")</f>
        <v/>
      </c>
    </row>
    <row r="3174">
      <c r="A3174" s="16" t="s">
        <v>87</v>
      </c>
      <c r="E3174" s="16" t="str">
        <f>IFERROR(__xludf.DUMMYFUNCTION("""COMPUTED_VALUE"""),"")</f>
        <v/>
      </c>
      <c r="G3174" s="18"/>
      <c r="H3174" s="16" t="s">
        <v>87</v>
      </c>
      <c r="I3174" s="16" t="s">
        <v>87</v>
      </c>
      <c r="J3174" s="19"/>
      <c r="L3174" s="16" t="str">
        <f>IFERROR(__xludf.DUMMYFUNCTION("""COMPUTED_VALUE"""),"")</f>
        <v/>
      </c>
      <c r="M3174" s="16" t="str">
        <f>IFERROR(__xludf.DUMMYFUNCTION("""COMPUTED_VALUE"""),"")</f>
        <v/>
      </c>
      <c r="U3174" s="16" t="s">
        <v>87</v>
      </c>
      <c r="V3174" s="16" t="str">
        <f>IFERROR(__xludf.DUMMYFUNCTION("""COMPUTED_VALUE"""),"")</f>
        <v/>
      </c>
      <c r="W3174" s="16" t="str">
        <f>IFERROR(__xludf.DUMMYFUNCTION("""COMPUTED_VALUE"""),"")</f>
        <v/>
      </c>
      <c r="X3174" s="16" t="str">
        <f>IFERROR(__xludf.DUMMYFUNCTION("""COMPUTED_VALUE"""),"")</f>
        <v/>
      </c>
      <c r="AC3174" s="16" t="str">
        <f>IFERROR(__xludf.DUMMYFUNCTION("""COMPUTED_VALUE"""),"")</f>
        <v/>
      </c>
    </row>
    <row r="3175">
      <c r="A3175" s="16" t="s">
        <v>87</v>
      </c>
      <c r="E3175" s="16" t="str">
        <f>IFERROR(__xludf.DUMMYFUNCTION("""COMPUTED_VALUE"""),"")</f>
        <v/>
      </c>
      <c r="G3175" s="18"/>
      <c r="H3175" s="16" t="s">
        <v>87</v>
      </c>
      <c r="I3175" s="16" t="s">
        <v>87</v>
      </c>
      <c r="J3175" s="19"/>
      <c r="L3175" s="16" t="str">
        <f>IFERROR(__xludf.DUMMYFUNCTION("""COMPUTED_VALUE"""),"")</f>
        <v/>
      </c>
      <c r="M3175" s="16" t="str">
        <f>IFERROR(__xludf.DUMMYFUNCTION("""COMPUTED_VALUE"""),"")</f>
        <v/>
      </c>
      <c r="U3175" s="16" t="s">
        <v>87</v>
      </c>
      <c r="V3175" s="16" t="str">
        <f>IFERROR(__xludf.DUMMYFUNCTION("""COMPUTED_VALUE"""),"")</f>
        <v/>
      </c>
      <c r="W3175" s="16" t="str">
        <f>IFERROR(__xludf.DUMMYFUNCTION("""COMPUTED_VALUE"""),"")</f>
        <v/>
      </c>
      <c r="X3175" s="16" t="str">
        <f>IFERROR(__xludf.DUMMYFUNCTION("""COMPUTED_VALUE"""),"")</f>
        <v/>
      </c>
      <c r="AC3175" s="16" t="str">
        <f>IFERROR(__xludf.DUMMYFUNCTION("""COMPUTED_VALUE"""),"")</f>
        <v/>
      </c>
    </row>
    <row r="3176">
      <c r="A3176" s="16" t="s">
        <v>87</v>
      </c>
      <c r="E3176" s="16" t="str">
        <f>IFERROR(__xludf.DUMMYFUNCTION("""COMPUTED_VALUE"""),"")</f>
        <v/>
      </c>
      <c r="G3176" s="18"/>
      <c r="H3176" s="16" t="s">
        <v>87</v>
      </c>
      <c r="I3176" s="16" t="s">
        <v>87</v>
      </c>
      <c r="J3176" s="19"/>
      <c r="L3176" s="16" t="str">
        <f>IFERROR(__xludf.DUMMYFUNCTION("""COMPUTED_VALUE"""),"")</f>
        <v/>
      </c>
      <c r="M3176" s="16" t="str">
        <f>IFERROR(__xludf.DUMMYFUNCTION("""COMPUTED_VALUE"""),"")</f>
        <v/>
      </c>
      <c r="U3176" s="16" t="s">
        <v>87</v>
      </c>
      <c r="V3176" s="16" t="str">
        <f>IFERROR(__xludf.DUMMYFUNCTION("""COMPUTED_VALUE"""),"")</f>
        <v/>
      </c>
      <c r="W3176" s="16" t="str">
        <f>IFERROR(__xludf.DUMMYFUNCTION("""COMPUTED_VALUE"""),"")</f>
        <v/>
      </c>
      <c r="X3176" s="16" t="str">
        <f>IFERROR(__xludf.DUMMYFUNCTION("""COMPUTED_VALUE"""),"")</f>
        <v/>
      </c>
      <c r="AC3176" s="16" t="str">
        <f>IFERROR(__xludf.DUMMYFUNCTION("""COMPUTED_VALUE"""),"")</f>
        <v/>
      </c>
    </row>
    <row r="3177">
      <c r="A3177" s="16" t="s">
        <v>87</v>
      </c>
      <c r="E3177" s="16" t="str">
        <f>IFERROR(__xludf.DUMMYFUNCTION("""COMPUTED_VALUE"""),"")</f>
        <v/>
      </c>
      <c r="G3177" s="18"/>
      <c r="H3177" s="16" t="s">
        <v>87</v>
      </c>
      <c r="I3177" s="16" t="s">
        <v>87</v>
      </c>
      <c r="J3177" s="19"/>
      <c r="L3177" s="16" t="str">
        <f>IFERROR(__xludf.DUMMYFUNCTION("""COMPUTED_VALUE"""),"")</f>
        <v/>
      </c>
      <c r="M3177" s="16" t="str">
        <f>IFERROR(__xludf.DUMMYFUNCTION("""COMPUTED_VALUE"""),"")</f>
        <v/>
      </c>
      <c r="U3177" s="16" t="s">
        <v>87</v>
      </c>
      <c r="V3177" s="16" t="str">
        <f>IFERROR(__xludf.DUMMYFUNCTION("""COMPUTED_VALUE"""),"")</f>
        <v/>
      </c>
      <c r="W3177" s="16" t="str">
        <f>IFERROR(__xludf.DUMMYFUNCTION("""COMPUTED_VALUE"""),"")</f>
        <v/>
      </c>
      <c r="X3177" s="16" t="str">
        <f>IFERROR(__xludf.DUMMYFUNCTION("""COMPUTED_VALUE"""),"")</f>
        <v/>
      </c>
      <c r="AC3177" s="16" t="str">
        <f>IFERROR(__xludf.DUMMYFUNCTION("""COMPUTED_VALUE"""),"")</f>
        <v/>
      </c>
    </row>
    <row r="3178">
      <c r="A3178" s="16" t="s">
        <v>87</v>
      </c>
      <c r="E3178" s="16" t="str">
        <f>IFERROR(__xludf.DUMMYFUNCTION("""COMPUTED_VALUE"""),"")</f>
        <v/>
      </c>
      <c r="G3178" s="18"/>
      <c r="H3178" s="16" t="s">
        <v>87</v>
      </c>
      <c r="I3178" s="16" t="s">
        <v>87</v>
      </c>
      <c r="J3178" s="19"/>
      <c r="L3178" s="16" t="str">
        <f>IFERROR(__xludf.DUMMYFUNCTION("""COMPUTED_VALUE"""),"")</f>
        <v/>
      </c>
      <c r="M3178" s="16" t="str">
        <f>IFERROR(__xludf.DUMMYFUNCTION("""COMPUTED_VALUE"""),"")</f>
        <v/>
      </c>
      <c r="U3178" s="16" t="s">
        <v>87</v>
      </c>
      <c r="V3178" s="16" t="str">
        <f>IFERROR(__xludf.DUMMYFUNCTION("""COMPUTED_VALUE"""),"")</f>
        <v/>
      </c>
      <c r="W3178" s="16" t="str">
        <f>IFERROR(__xludf.DUMMYFUNCTION("""COMPUTED_VALUE"""),"")</f>
        <v/>
      </c>
      <c r="X3178" s="16" t="str">
        <f>IFERROR(__xludf.DUMMYFUNCTION("""COMPUTED_VALUE"""),"")</f>
        <v/>
      </c>
      <c r="AC3178" s="16" t="str">
        <f>IFERROR(__xludf.DUMMYFUNCTION("""COMPUTED_VALUE"""),"")</f>
        <v/>
      </c>
    </row>
    <row r="3179">
      <c r="A3179" s="16" t="s">
        <v>87</v>
      </c>
      <c r="E3179" s="16" t="str">
        <f>IFERROR(__xludf.DUMMYFUNCTION("""COMPUTED_VALUE"""),"")</f>
        <v/>
      </c>
      <c r="G3179" s="18"/>
      <c r="H3179" s="16" t="s">
        <v>87</v>
      </c>
      <c r="I3179" s="16" t="s">
        <v>87</v>
      </c>
      <c r="J3179" s="19"/>
      <c r="L3179" s="16" t="str">
        <f>IFERROR(__xludf.DUMMYFUNCTION("""COMPUTED_VALUE"""),"")</f>
        <v/>
      </c>
      <c r="M3179" s="16" t="str">
        <f>IFERROR(__xludf.DUMMYFUNCTION("""COMPUTED_VALUE"""),"")</f>
        <v/>
      </c>
      <c r="U3179" s="16" t="s">
        <v>87</v>
      </c>
      <c r="V3179" s="16" t="str">
        <f>IFERROR(__xludf.DUMMYFUNCTION("""COMPUTED_VALUE"""),"")</f>
        <v/>
      </c>
      <c r="W3179" s="16" t="str">
        <f>IFERROR(__xludf.DUMMYFUNCTION("""COMPUTED_VALUE"""),"")</f>
        <v/>
      </c>
      <c r="X3179" s="16" t="str">
        <f>IFERROR(__xludf.DUMMYFUNCTION("""COMPUTED_VALUE"""),"")</f>
        <v/>
      </c>
      <c r="AC3179" s="16" t="str">
        <f>IFERROR(__xludf.DUMMYFUNCTION("""COMPUTED_VALUE"""),"")</f>
        <v/>
      </c>
    </row>
    <row r="3180">
      <c r="A3180" s="16" t="s">
        <v>87</v>
      </c>
      <c r="E3180" s="16" t="str">
        <f>IFERROR(__xludf.DUMMYFUNCTION("""COMPUTED_VALUE"""),"")</f>
        <v/>
      </c>
      <c r="G3180" s="18"/>
      <c r="H3180" s="16" t="s">
        <v>87</v>
      </c>
      <c r="I3180" s="16" t="s">
        <v>87</v>
      </c>
      <c r="J3180" s="19"/>
      <c r="L3180" s="16" t="str">
        <f>IFERROR(__xludf.DUMMYFUNCTION("""COMPUTED_VALUE"""),"")</f>
        <v/>
      </c>
      <c r="M3180" s="16" t="str">
        <f>IFERROR(__xludf.DUMMYFUNCTION("""COMPUTED_VALUE"""),"")</f>
        <v/>
      </c>
      <c r="U3180" s="16" t="s">
        <v>87</v>
      </c>
      <c r="V3180" s="16" t="str">
        <f>IFERROR(__xludf.DUMMYFUNCTION("""COMPUTED_VALUE"""),"")</f>
        <v/>
      </c>
      <c r="W3180" s="16" t="str">
        <f>IFERROR(__xludf.DUMMYFUNCTION("""COMPUTED_VALUE"""),"")</f>
        <v/>
      </c>
      <c r="X3180" s="16" t="str">
        <f>IFERROR(__xludf.DUMMYFUNCTION("""COMPUTED_VALUE"""),"")</f>
        <v/>
      </c>
      <c r="AC3180" s="16" t="str">
        <f>IFERROR(__xludf.DUMMYFUNCTION("""COMPUTED_VALUE"""),"")</f>
        <v/>
      </c>
    </row>
    <row r="3181">
      <c r="A3181" s="16" t="s">
        <v>87</v>
      </c>
      <c r="E3181" s="16" t="str">
        <f>IFERROR(__xludf.DUMMYFUNCTION("""COMPUTED_VALUE"""),"")</f>
        <v/>
      </c>
      <c r="G3181" s="18"/>
      <c r="H3181" s="16" t="s">
        <v>87</v>
      </c>
      <c r="I3181" s="16" t="s">
        <v>87</v>
      </c>
      <c r="J3181" s="19"/>
      <c r="L3181" s="16" t="str">
        <f>IFERROR(__xludf.DUMMYFUNCTION("""COMPUTED_VALUE"""),"")</f>
        <v/>
      </c>
      <c r="M3181" s="16" t="str">
        <f>IFERROR(__xludf.DUMMYFUNCTION("""COMPUTED_VALUE"""),"")</f>
        <v/>
      </c>
      <c r="U3181" s="16" t="s">
        <v>87</v>
      </c>
      <c r="V3181" s="16" t="str">
        <f>IFERROR(__xludf.DUMMYFUNCTION("""COMPUTED_VALUE"""),"")</f>
        <v/>
      </c>
      <c r="W3181" s="16" t="str">
        <f>IFERROR(__xludf.DUMMYFUNCTION("""COMPUTED_VALUE"""),"")</f>
        <v/>
      </c>
      <c r="X3181" s="16" t="str">
        <f>IFERROR(__xludf.DUMMYFUNCTION("""COMPUTED_VALUE"""),"")</f>
        <v/>
      </c>
      <c r="AC3181" s="16" t="str">
        <f>IFERROR(__xludf.DUMMYFUNCTION("""COMPUTED_VALUE"""),"")</f>
        <v/>
      </c>
    </row>
    <row r="3182">
      <c r="A3182" s="16" t="s">
        <v>87</v>
      </c>
      <c r="E3182" s="16" t="str">
        <f>IFERROR(__xludf.DUMMYFUNCTION("""COMPUTED_VALUE"""),"")</f>
        <v/>
      </c>
      <c r="G3182" s="18"/>
      <c r="H3182" s="16" t="s">
        <v>87</v>
      </c>
      <c r="I3182" s="16" t="s">
        <v>87</v>
      </c>
      <c r="J3182" s="19"/>
      <c r="L3182" s="16" t="str">
        <f>IFERROR(__xludf.DUMMYFUNCTION("""COMPUTED_VALUE"""),"")</f>
        <v/>
      </c>
      <c r="M3182" s="16" t="str">
        <f>IFERROR(__xludf.DUMMYFUNCTION("""COMPUTED_VALUE"""),"")</f>
        <v/>
      </c>
      <c r="U3182" s="16" t="s">
        <v>87</v>
      </c>
      <c r="V3182" s="16" t="str">
        <f>IFERROR(__xludf.DUMMYFUNCTION("""COMPUTED_VALUE"""),"")</f>
        <v/>
      </c>
      <c r="W3182" s="16" t="str">
        <f>IFERROR(__xludf.DUMMYFUNCTION("""COMPUTED_VALUE"""),"")</f>
        <v/>
      </c>
      <c r="X3182" s="16" t="str">
        <f>IFERROR(__xludf.DUMMYFUNCTION("""COMPUTED_VALUE"""),"")</f>
        <v/>
      </c>
      <c r="AC3182" s="16" t="str">
        <f>IFERROR(__xludf.DUMMYFUNCTION("""COMPUTED_VALUE"""),"")</f>
        <v/>
      </c>
    </row>
    <row r="3183">
      <c r="A3183" s="16" t="s">
        <v>87</v>
      </c>
      <c r="E3183" s="16" t="str">
        <f>IFERROR(__xludf.DUMMYFUNCTION("""COMPUTED_VALUE"""),"")</f>
        <v/>
      </c>
      <c r="G3183" s="18"/>
      <c r="H3183" s="16" t="s">
        <v>87</v>
      </c>
      <c r="I3183" s="16" t="s">
        <v>87</v>
      </c>
      <c r="J3183" s="19"/>
      <c r="L3183" s="16" t="str">
        <f>IFERROR(__xludf.DUMMYFUNCTION("""COMPUTED_VALUE"""),"")</f>
        <v/>
      </c>
      <c r="M3183" s="16" t="str">
        <f>IFERROR(__xludf.DUMMYFUNCTION("""COMPUTED_VALUE"""),"")</f>
        <v/>
      </c>
      <c r="U3183" s="16" t="s">
        <v>87</v>
      </c>
      <c r="V3183" s="16" t="str">
        <f>IFERROR(__xludf.DUMMYFUNCTION("""COMPUTED_VALUE"""),"")</f>
        <v/>
      </c>
      <c r="W3183" s="16" t="str">
        <f>IFERROR(__xludf.DUMMYFUNCTION("""COMPUTED_VALUE"""),"")</f>
        <v/>
      </c>
      <c r="X3183" s="16" t="str">
        <f>IFERROR(__xludf.DUMMYFUNCTION("""COMPUTED_VALUE"""),"")</f>
        <v/>
      </c>
      <c r="AC3183" s="16" t="str">
        <f>IFERROR(__xludf.DUMMYFUNCTION("""COMPUTED_VALUE"""),"")</f>
        <v/>
      </c>
    </row>
    <row r="3184">
      <c r="A3184" s="16" t="s">
        <v>87</v>
      </c>
      <c r="E3184" s="16" t="str">
        <f>IFERROR(__xludf.DUMMYFUNCTION("""COMPUTED_VALUE"""),"")</f>
        <v/>
      </c>
      <c r="G3184" s="18"/>
      <c r="H3184" s="16" t="s">
        <v>87</v>
      </c>
      <c r="I3184" s="16" t="s">
        <v>87</v>
      </c>
      <c r="J3184" s="19"/>
      <c r="L3184" s="16" t="str">
        <f>IFERROR(__xludf.DUMMYFUNCTION("""COMPUTED_VALUE"""),"")</f>
        <v/>
      </c>
      <c r="M3184" s="16" t="str">
        <f>IFERROR(__xludf.DUMMYFUNCTION("""COMPUTED_VALUE"""),"")</f>
        <v/>
      </c>
      <c r="U3184" s="16" t="s">
        <v>87</v>
      </c>
      <c r="V3184" s="16" t="str">
        <f>IFERROR(__xludf.DUMMYFUNCTION("""COMPUTED_VALUE"""),"")</f>
        <v/>
      </c>
      <c r="W3184" s="16" t="str">
        <f>IFERROR(__xludf.DUMMYFUNCTION("""COMPUTED_VALUE"""),"")</f>
        <v/>
      </c>
      <c r="X3184" s="16" t="str">
        <f>IFERROR(__xludf.DUMMYFUNCTION("""COMPUTED_VALUE"""),"")</f>
        <v/>
      </c>
      <c r="AC3184" s="16" t="str">
        <f>IFERROR(__xludf.DUMMYFUNCTION("""COMPUTED_VALUE"""),"")</f>
        <v/>
      </c>
    </row>
    <row r="3185">
      <c r="A3185" s="16" t="s">
        <v>87</v>
      </c>
      <c r="E3185" s="16" t="str">
        <f>IFERROR(__xludf.DUMMYFUNCTION("""COMPUTED_VALUE"""),"")</f>
        <v/>
      </c>
      <c r="G3185" s="18"/>
      <c r="H3185" s="16" t="s">
        <v>87</v>
      </c>
      <c r="I3185" s="16" t="s">
        <v>87</v>
      </c>
      <c r="J3185" s="19"/>
      <c r="L3185" s="16" t="str">
        <f>IFERROR(__xludf.DUMMYFUNCTION("""COMPUTED_VALUE"""),"")</f>
        <v/>
      </c>
      <c r="M3185" s="16" t="str">
        <f>IFERROR(__xludf.DUMMYFUNCTION("""COMPUTED_VALUE"""),"")</f>
        <v/>
      </c>
      <c r="U3185" s="16" t="s">
        <v>87</v>
      </c>
      <c r="V3185" s="16" t="str">
        <f>IFERROR(__xludf.DUMMYFUNCTION("""COMPUTED_VALUE"""),"")</f>
        <v/>
      </c>
      <c r="W3185" s="16" t="str">
        <f>IFERROR(__xludf.DUMMYFUNCTION("""COMPUTED_VALUE"""),"")</f>
        <v/>
      </c>
      <c r="X3185" s="16" t="str">
        <f>IFERROR(__xludf.DUMMYFUNCTION("""COMPUTED_VALUE"""),"")</f>
        <v/>
      </c>
      <c r="AC3185" s="16" t="str">
        <f>IFERROR(__xludf.DUMMYFUNCTION("""COMPUTED_VALUE"""),"")</f>
        <v/>
      </c>
    </row>
    <row r="3186">
      <c r="A3186" s="16" t="s">
        <v>87</v>
      </c>
      <c r="E3186" s="16" t="str">
        <f>IFERROR(__xludf.DUMMYFUNCTION("""COMPUTED_VALUE"""),"")</f>
        <v/>
      </c>
      <c r="G3186" s="18"/>
      <c r="H3186" s="16" t="s">
        <v>87</v>
      </c>
      <c r="I3186" s="16" t="s">
        <v>87</v>
      </c>
      <c r="J3186" s="19"/>
      <c r="L3186" s="16" t="str">
        <f>IFERROR(__xludf.DUMMYFUNCTION("""COMPUTED_VALUE"""),"")</f>
        <v/>
      </c>
      <c r="M3186" s="16" t="str">
        <f>IFERROR(__xludf.DUMMYFUNCTION("""COMPUTED_VALUE"""),"")</f>
        <v/>
      </c>
      <c r="U3186" s="16" t="s">
        <v>87</v>
      </c>
      <c r="V3186" s="16" t="str">
        <f>IFERROR(__xludf.DUMMYFUNCTION("""COMPUTED_VALUE"""),"")</f>
        <v/>
      </c>
      <c r="W3186" s="16" t="str">
        <f>IFERROR(__xludf.DUMMYFUNCTION("""COMPUTED_VALUE"""),"")</f>
        <v/>
      </c>
      <c r="X3186" s="16" t="str">
        <f>IFERROR(__xludf.DUMMYFUNCTION("""COMPUTED_VALUE"""),"")</f>
        <v/>
      </c>
      <c r="AC3186" s="16" t="str">
        <f>IFERROR(__xludf.DUMMYFUNCTION("""COMPUTED_VALUE"""),"")</f>
        <v/>
      </c>
    </row>
    <row r="3187">
      <c r="A3187" s="16" t="s">
        <v>87</v>
      </c>
      <c r="E3187" s="16" t="str">
        <f>IFERROR(__xludf.DUMMYFUNCTION("""COMPUTED_VALUE"""),"")</f>
        <v/>
      </c>
      <c r="G3187" s="18"/>
      <c r="H3187" s="16" t="s">
        <v>87</v>
      </c>
      <c r="I3187" s="16" t="s">
        <v>87</v>
      </c>
      <c r="J3187" s="19"/>
      <c r="L3187" s="16" t="str">
        <f>IFERROR(__xludf.DUMMYFUNCTION("""COMPUTED_VALUE"""),"")</f>
        <v/>
      </c>
      <c r="M3187" s="16" t="str">
        <f>IFERROR(__xludf.DUMMYFUNCTION("""COMPUTED_VALUE"""),"")</f>
        <v/>
      </c>
      <c r="U3187" s="16" t="s">
        <v>87</v>
      </c>
      <c r="V3187" s="16" t="str">
        <f>IFERROR(__xludf.DUMMYFUNCTION("""COMPUTED_VALUE"""),"")</f>
        <v/>
      </c>
      <c r="W3187" s="16" t="str">
        <f>IFERROR(__xludf.DUMMYFUNCTION("""COMPUTED_VALUE"""),"")</f>
        <v/>
      </c>
      <c r="X3187" s="16" t="str">
        <f>IFERROR(__xludf.DUMMYFUNCTION("""COMPUTED_VALUE"""),"")</f>
        <v/>
      </c>
      <c r="AC3187" s="16" t="str">
        <f>IFERROR(__xludf.DUMMYFUNCTION("""COMPUTED_VALUE"""),"")</f>
        <v/>
      </c>
    </row>
    <row r="3188">
      <c r="A3188" s="16" t="s">
        <v>87</v>
      </c>
      <c r="E3188" s="16" t="str">
        <f>IFERROR(__xludf.DUMMYFUNCTION("""COMPUTED_VALUE"""),"")</f>
        <v/>
      </c>
      <c r="G3188" s="18"/>
      <c r="H3188" s="16" t="s">
        <v>87</v>
      </c>
      <c r="I3188" s="16" t="s">
        <v>87</v>
      </c>
      <c r="J3188" s="19"/>
      <c r="L3188" s="16" t="str">
        <f>IFERROR(__xludf.DUMMYFUNCTION("""COMPUTED_VALUE"""),"")</f>
        <v/>
      </c>
      <c r="M3188" s="16" t="str">
        <f>IFERROR(__xludf.DUMMYFUNCTION("""COMPUTED_VALUE"""),"")</f>
        <v/>
      </c>
      <c r="U3188" s="16" t="s">
        <v>87</v>
      </c>
      <c r="V3188" s="16" t="str">
        <f>IFERROR(__xludf.DUMMYFUNCTION("""COMPUTED_VALUE"""),"")</f>
        <v/>
      </c>
      <c r="W3188" s="16" t="str">
        <f>IFERROR(__xludf.DUMMYFUNCTION("""COMPUTED_VALUE"""),"")</f>
        <v/>
      </c>
      <c r="X3188" s="16" t="str">
        <f>IFERROR(__xludf.DUMMYFUNCTION("""COMPUTED_VALUE"""),"")</f>
        <v/>
      </c>
      <c r="AC3188" s="16" t="str">
        <f>IFERROR(__xludf.DUMMYFUNCTION("""COMPUTED_VALUE"""),"")</f>
        <v/>
      </c>
    </row>
    <row r="3189">
      <c r="A3189" s="16" t="s">
        <v>87</v>
      </c>
      <c r="E3189" s="16" t="str">
        <f>IFERROR(__xludf.DUMMYFUNCTION("""COMPUTED_VALUE"""),"")</f>
        <v/>
      </c>
      <c r="G3189" s="18"/>
      <c r="H3189" s="16" t="s">
        <v>87</v>
      </c>
      <c r="I3189" s="16" t="s">
        <v>87</v>
      </c>
      <c r="J3189" s="19"/>
      <c r="L3189" s="16" t="str">
        <f>IFERROR(__xludf.DUMMYFUNCTION("""COMPUTED_VALUE"""),"")</f>
        <v/>
      </c>
      <c r="M3189" s="16" t="str">
        <f>IFERROR(__xludf.DUMMYFUNCTION("""COMPUTED_VALUE"""),"")</f>
        <v/>
      </c>
      <c r="U3189" s="16" t="s">
        <v>87</v>
      </c>
      <c r="V3189" s="16" t="str">
        <f>IFERROR(__xludf.DUMMYFUNCTION("""COMPUTED_VALUE"""),"")</f>
        <v/>
      </c>
      <c r="W3189" s="16" t="str">
        <f>IFERROR(__xludf.DUMMYFUNCTION("""COMPUTED_VALUE"""),"")</f>
        <v/>
      </c>
      <c r="X3189" s="16" t="str">
        <f>IFERROR(__xludf.DUMMYFUNCTION("""COMPUTED_VALUE"""),"")</f>
        <v/>
      </c>
      <c r="AC3189" s="16" t="str">
        <f>IFERROR(__xludf.DUMMYFUNCTION("""COMPUTED_VALUE"""),"")</f>
        <v/>
      </c>
    </row>
    <row r="3190">
      <c r="A3190" s="16" t="s">
        <v>87</v>
      </c>
      <c r="E3190" s="16" t="str">
        <f>IFERROR(__xludf.DUMMYFUNCTION("""COMPUTED_VALUE"""),"")</f>
        <v/>
      </c>
      <c r="G3190" s="18"/>
      <c r="H3190" s="16" t="s">
        <v>87</v>
      </c>
      <c r="I3190" s="16" t="s">
        <v>87</v>
      </c>
      <c r="J3190" s="19"/>
      <c r="L3190" s="16" t="str">
        <f>IFERROR(__xludf.DUMMYFUNCTION("""COMPUTED_VALUE"""),"")</f>
        <v/>
      </c>
      <c r="M3190" s="16" t="str">
        <f>IFERROR(__xludf.DUMMYFUNCTION("""COMPUTED_VALUE"""),"")</f>
        <v/>
      </c>
      <c r="U3190" s="16" t="s">
        <v>87</v>
      </c>
      <c r="V3190" s="16" t="str">
        <f>IFERROR(__xludf.DUMMYFUNCTION("""COMPUTED_VALUE"""),"")</f>
        <v/>
      </c>
      <c r="W3190" s="16" t="str">
        <f>IFERROR(__xludf.DUMMYFUNCTION("""COMPUTED_VALUE"""),"")</f>
        <v/>
      </c>
      <c r="X3190" s="16" t="str">
        <f>IFERROR(__xludf.DUMMYFUNCTION("""COMPUTED_VALUE"""),"")</f>
        <v/>
      </c>
      <c r="AC3190" s="16" t="str">
        <f>IFERROR(__xludf.DUMMYFUNCTION("""COMPUTED_VALUE"""),"")</f>
        <v/>
      </c>
    </row>
    <row r="3191">
      <c r="A3191" s="16" t="s">
        <v>87</v>
      </c>
      <c r="E3191" s="16" t="str">
        <f>IFERROR(__xludf.DUMMYFUNCTION("""COMPUTED_VALUE"""),"")</f>
        <v/>
      </c>
      <c r="G3191" s="18"/>
      <c r="H3191" s="16" t="s">
        <v>87</v>
      </c>
      <c r="I3191" s="16" t="s">
        <v>87</v>
      </c>
      <c r="J3191" s="19"/>
      <c r="L3191" s="16" t="str">
        <f>IFERROR(__xludf.DUMMYFUNCTION("""COMPUTED_VALUE"""),"")</f>
        <v/>
      </c>
      <c r="M3191" s="16" t="str">
        <f>IFERROR(__xludf.DUMMYFUNCTION("""COMPUTED_VALUE"""),"")</f>
        <v/>
      </c>
      <c r="U3191" s="16" t="s">
        <v>87</v>
      </c>
      <c r="V3191" s="16" t="str">
        <f>IFERROR(__xludf.DUMMYFUNCTION("""COMPUTED_VALUE"""),"")</f>
        <v/>
      </c>
      <c r="W3191" s="16" t="str">
        <f>IFERROR(__xludf.DUMMYFUNCTION("""COMPUTED_VALUE"""),"")</f>
        <v/>
      </c>
      <c r="X3191" s="16" t="str">
        <f>IFERROR(__xludf.DUMMYFUNCTION("""COMPUTED_VALUE"""),"")</f>
        <v/>
      </c>
      <c r="AC3191" s="16" t="str">
        <f>IFERROR(__xludf.DUMMYFUNCTION("""COMPUTED_VALUE"""),"")</f>
        <v/>
      </c>
    </row>
    <row r="3192">
      <c r="A3192" s="16" t="s">
        <v>87</v>
      </c>
      <c r="E3192" s="16" t="str">
        <f>IFERROR(__xludf.DUMMYFUNCTION("""COMPUTED_VALUE"""),"")</f>
        <v/>
      </c>
      <c r="G3192" s="18"/>
      <c r="H3192" s="16" t="s">
        <v>87</v>
      </c>
      <c r="I3192" s="16" t="s">
        <v>87</v>
      </c>
      <c r="J3192" s="19"/>
      <c r="L3192" s="16" t="str">
        <f>IFERROR(__xludf.DUMMYFUNCTION("""COMPUTED_VALUE"""),"")</f>
        <v/>
      </c>
      <c r="M3192" s="16" t="str">
        <f>IFERROR(__xludf.DUMMYFUNCTION("""COMPUTED_VALUE"""),"")</f>
        <v/>
      </c>
      <c r="U3192" s="16" t="s">
        <v>87</v>
      </c>
      <c r="V3192" s="16" t="str">
        <f>IFERROR(__xludf.DUMMYFUNCTION("""COMPUTED_VALUE"""),"")</f>
        <v/>
      </c>
      <c r="W3192" s="16" t="str">
        <f>IFERROR(__xludf.DUMMYFUNCTION("""COMPUTED_VALUE"""),"")</f>
        <v/>
      </c>
      <c r="X3192" s="16" t="str">
        <f>IFERROR(__xludf.DUMMYFUNCTION("""COMPUTED_VALUE"""),"")</f>
        <v/>
      </c>
      <c r="AC3192" s="16" t="str">
        <f>IFERROR(__xludf.DUMMYFUNCTION("""COMPUTED_VALUE"""),"")</f>
        <v/>
      </c>
    </row>
    <row r="3193">
      <c r="A3193" s="16" t="s">
        <v>87</v>
      </c>
      <c r="E3193" s="16" t="str">
        <f>IFERROR(__xludf.DUMMYFUNCTION("""COMPUTED_VALUE"""),"")</f>
        <v/>
      </c>
      <c r="G3193" s="18"/>
      <c r="H3193" s="16" t="s">
        <v>87</v>
      </c>
      <c r="I3193" s="16" t="s">
        <v>87</v>
      </c>
      <c r="J3193" s="19"/>
      <c r="L3193" s="16" t="str">
        <f>IFERROR(__xludf.DUMMYFUNCTION("""COMPUTED_VALUE"""),"")</f>
        <v/>
      </c>
      <c r="M3193" s="16" t="str">
        <f>IFERROR(__xludf.DUMMYFUNCTION("""COMPUTED_VALUE"""),"")</f>
        <v/>
      </c>
      <c r="U3193" s="16" t="s">
        <v>87</v>
      </c>
      <c r="V3193" s="16" t="str">
        <f>IFERROR(__xludf.DUMMYFUNCTION("""COMPUTED_VALUE"""),"")</f>
        <v/>
      </c>
      <c r="W3193" s="16" t="str">
        <f>IFERROR(__xludf.DUMMYFUNCTION("""COMPUTED_VALUE"""),"")</f>
        <v/>
      </c>
      <c r="X3193" s="16" t="str">
        <f>IFERROR(__xludf.DUMMYFUNCTION("""COMPUTED_VALUE"""),"")</f>
        <v/>
      </c>
      <c r="AC3193" s="16" t="str">
        <f>IFERROR(__xludf.DUMMYFUNCTION("""COMPUTED_VALUE"""),"")</f>
        <v/>
      </c>
    </row>
    <row r="3194">
      <c r="A3194" s="16" t="s">
        <v>87</v>
      </c>
      <c r="E3194" s="16" t="str">
        <f>IFERROR(__xludf.DUMMYFUNCTION("""COMPUTED_VALUE"""),"")</f>
        <v/>
      </c>
      <c r="G3194" s="18"/>
      <c r="H3194" s="16" t="s">
        <v>87</v>
      </c>
      <c r="I3194" s="16" t="s">
        <v>87</v>
      </c>
      <c r="J3194" s="19"/>
      <c r="L3194" s="16" t="str">
        <f>IFERROR(__xludf.DUMMYFUNCTION("""COMPUTED_VALUE"""),"")</f>
        <v/>
      </c>
      <c r="M3194" s="16" t="str">
        <f>IFERROR(__xludf.DUMMYFUNCTION("""COMPUTED_VALUE"""),"")</f>
        <v/>
      </c>
      <c r="U3194" s="16" t="s">
        <v>87</v>
      </c>
      <c r="V3194" s="16" t="str">
        <f>IFERROR(__xludf.DUMMYFUNCTION("""COMPUTED_VALUE"""),"")</f>
        <v/>
      </c>
      <c r="W3194" s="16" t="str">
        <f>IFERROR(__xludf.DUMMYFUNCTION("""COMPUTED_VALUE"""),"")</f>
        <v/>
      </c>
      <c r="X3194" s="16" t="str">
        <f>IFERROR(__xludf.DUMMYFUNCTION("""COMPUTED_VALUE"""),"")</f>
        <v/>
      </c>
      <c r="AC3194" s="16" t="str">
        <f>IFERROR(__xludf.DUMMYFUNCTION("""COMPUTED_VALUE"""),"")</f>
        <v/>
      </c>
    </row>
    <row r="3195">
      <c r="A3195" s="16" t="s">
        <v>87</v>
      </c>
      <c r="E3195" s="16" t="str">
        <f>IFERROR(__xludf.DUMMYFUNCTION("""COMPUTED_VALUE"""),"")</f>
        <v/>
      </c>
      <c r="G3195" s="18"/>
      <c r="H3195" s="16" t="s">
        <v>87</v>
      </c>
      <c r="I3195" s="16" t="s">
        <v>87</v>
      </c>
      <c r="J3195" s="19"/>
      <c r="L3195" s="16" t="str">
        <f>IFERROR(__xludf.DUMMYFUNCTION("""COMPUTED_VALUE"""),"")</f>
        <v/>
      </c>
      <c r="M3195" s="16" t="str">
        <f>IFERROR(__xludf.DUMMYFUNCTION("""COMPUTED_VALUE"""),"")</f>
        <v/>
      </c>
      <c r="U3195" s="16" t="s">
        <v>87</v>
      </c>
      <c r="V3195" s="16" t="str">
        <f>IFERROR(__xludf.DUMMYFUNCTION("""COMPUTED_VALUE"""),"")</f>
        <v/>
      </c>
      <c r="W3195" s="16" t="str">
        <f>IFERROR(__xludf.DUMMYFUNCTION("""COMPUTED_VALUE"""),"")</f>
        <v/>
      </c>
      <c r="X3195" s="16" t="str">
        <f>IFERROR(__xludf.DUMMYFUNCTION("""COMPUTED_VALUE"""),"")</f>
        <v/>
      </c>
      <c r="AC3195" s="16" t="str">
        <f>IFERROR(__xludf.DUMMYFUNCTION("""COMPUTED_VALUE"""),"")</f>
        <v/>
      </c>
    </row>
    <row r="3196">
      <c r="A3196" s="16" t="s">
        <v>87</v>
      </c>
      <c r="E3196" s="16" t="str">
        <f>IFERROR(__xludf.DUMMYFUNCTION("""COMPUTED_VALUE"""),"")</f>
        <v/>
      </c>
      <c r="G3196" s="18"/>
      <c r="H3196" s="16" t="s">
        <v>87</v>
      </c>
      <c r="I3196" s="16" t="s">
        <v>87</v>
      </c>
      <c r="J3196" s="19"/>
      <c r="L3196" s="16" t="str">
        <f>IFERROR(__xludf.DUMMYFUNCTION("""COMPUTED_VALUE"""),"")</f>
        <v/>
      </c>
      <c r="M3196" s="16" t="str">
        <f>IFERROR(__xludf.DUMMYFUNCTION("""COMPUTED_VALUE"""),"")</f>
        <v/>
      </c>
      <c r="U3196" s="16" t="s">
        <v>87</v>
      </c>
      <c r="V3196" s="16" t="str">
        <f>IFERROR(__xludf.DUMMYFUNCTION("""COMPUTED_VALUE"""),"")</f>
        <v/>
      </c>
      <c r="W3196" s="16" t="str">
        <f>IFERROR(__xludf.DUMMYFUNCTION("""COMPUTED_VALUE"""),"")</f>
        <v/>
      </c>
      <c r="X3196" s="16" t="str">
        <f>IFERROR(__xludf.DUMMYFUNCTION("""COMPUTED_VALUE"""),"")</f>
        <v/>
      </c>
      <c r="AC3196" s="16" t="str">
        <f>IFERROR(__xludf.DUMMYFUNCTION("""COMPUTED_VALUE"""),"")</f>
        <v/>
      </c>
    </row>
    <row r="3197">
      <c r="A3197" s="16" t="s">
        <v>87</v>
      </c>
      <c r="E3197" s="16" t="str">
        <f>IFERROR(__xludf.DUMMYFUNCTION("""COMPUTED_VALUE"""),"")</f>
        <v/>
      </c>
      <c r="G3197" s="18"/>
      <c r="H3197" s="16" t="s">
        <v>87</v>
      </c>
      <c r="I3197" s="16" t="s">
        <v>87</v>
      </c>
      <c r="J3197" s="19"/>
      <c r="L3197" s="16" t="str">
        <f>IFERROR(__xludf.DUMMYFUNCTION("""COMPUTED_VALUE"""),"")</f>
        <v/>
      </c>
      <c r="M3197" s="16" t="str">
        <f>IFERROR(__xludf.DUMMYFUNCTION("""COMPUTED_VALUE"""),"")</f>
        <v/>
      </c>
      <c r="U3197" s="16" t="s">
        <v>87</v>
      </c>
      <c r="V3197" s="16" t="str">
        <f>IFERROR(__xludf.DUMMYFUNCTION("""COMPUTED_VALUE"""),"")</f>
        <v/>
      </c>
      <c r="W3197" s="16" t="str">
        <f>IFERROR(__xludf.DUMMYFUNCTION("""COMPUTED_VALUE"""),"")</f>
        <v/>
      </c>
      <c r="X3197" s="16" t="str">
        <f>IFERROR(__xludf.DUMMYFUNCTION("""COMPUTED_VALUE"""),"")</f>
        <v/>
      </c>
      <c r="AC3197" s="16" t="str">
        <f>IFERROR(__xludf.DUMMYFUNCTION("""COMPUTED_VALUE"""),"")</f>
        <v/>
      </c>
    </row>
    <row r="3198">
      <c r="A3198" s="16" t="s">
        <v>87</v>
      </c>
      <c r="E3198" s="16" t="str">
        <f>IFERROR(__xludf.DUMMYFUNCTION("""COMPUTED_VALUE"""),"")</f>
        <v/>
      </c>
      <c r="G3198" s="18"/>
      <c r="H3198" s="16" t="s">
        <v>87</v>
      </c>
      <c r="I3198" s="16" t="s">
        <v>87</v>
      </c>
      <c r="J3198" s="19"/>
      <c r="L3198" s="16" t="str">
        <f>IFERROR(__xludf.DUMMYFUNCTION("""COMPUTED_VALUE"""),"")</f>
        <v/>
      </c>
      <c r="M3198" s="16" t="str">
        <f>IFERROR(__xludf.DUMMYFUNCTION("""COMPUTED_VALUE"""),"")</f>
        <v/>
      </c>
      <c r="U3198" s="16" t="s">
        <v>87</v>
      </c>
      <c r="V3198" s="16" t="str">
        <f>IFERROR(__xludf.DUMMYFUNCTION("""COMPUTED_VALUE"""),"")</f>
        <v/>
      </c>
      <c r="W3198" s="16" t="str">
        <f>IFERROR(__xludf.DUMMYFUNCTION("""COMPUTED_VALUE"""),"")</f>
        <v/>
      </c>
      <c r="X3198" s="16" t="str">
        <f>IFERROR(__xludf.DUMMYFUNCTION("""COMPUTED_VALUE"""),"")</f>
        <v/>
      </c>
      <c r="AC3198" s="16" t="str">
        <f>IFERROR(__xludf.DUMMYFUNCTION("""COMPUTED_VALUE"""),"")</f>
        <v/>
      </c>
    </row>
    <row r="3199">
      <c r="A3199" s="16" t="s">
        <v>87</v>
      </c>
      <c r="E3199" s="16" t="str">
        <f>IFERROR(__xludf.DUMMYFUNCTION("""COMPUTED_VALUE"""),"")</f>
        <v/>
      </c>
      <c r="G3199" s="18"/>
      <c r="H3199" s="16" t="s">
        <v>87</v>
      </c>
      <c r="I3199" s="16" t="s">
        <v>87</v>
      </c>
      <c r="J3199" s="19"/>
      <c r="L3199" s="16" t="str">
        <f>IFERROR(__xludf.DUMMYFUNCTION("""COMPUTED_VALUE"""),"")</f>
        <v/>
      </c>
      <c r="M3199" s="16" t="str">
        <f>IFERROR(__xludf.DUMMYFUNCTION("""COMPUTED_VALUE"""),"")</f>
        <v/>
      </c>
      <c r="U3199" s="16" t="s">
        <v>87</v>
      </c>
      <c r="V3199" s="16" t="str">
        <f>IFERROR(__xludf.DUMMYFUNCTION("""COMPUTED_VALUE"""),"")</f>
        <v/>
      </c>
      <c r="W3199" s="16" t="str">
        <f>IFERROR(__xludf.DUMMYFUNCTION("""COMPUTED_VALUE"""),"")</f>
        <v/>
      </c>
      <c r="X3199" s="16" t="str">
        <f>IFERROR(__xludf.DUMMYFUNCTION("""COMPUTED_VALUE"""),"")</f>
        <v/>
      </c>
      <c r="AC3199" s="16" t="str">
        <f>IFERROR(__xludf.DUMMYFUNCTION("""COMPUTED_VALUE"""),"")</f>
        <v/>
      </c>
    </row>
    <row r="3200">
      <c r="A3200" s="16" t="s">
        <v>87</v>
      </c>
      <c r="E3200" s="16" t="str">
        <f>IFERROR(__xludf.DUMMYFUNCTION("""COMPUTED_VALUE"""),"")</f>
        <v/>
      </c>
      <c r="G3200" s="18"/>
      <c r="H3200" s="16" t="s">
        <v>87</v>
      </c>
      <c r="I3200" s="16" t="s">
        <v>87</v>
      </c>
      <c r="J3200" s="19"/>
      <c r="L3200" s="16" t="str">
        <f>IFERROR(__xludf.DUMMYFUNCTION("""COMPUTED_VALUE"""),"")</f>
        <v/>
      </c>
      <c r="M3200" s="16" t="str">
        <f>IFERROR(__xludf.DUMMYFUNCTION("""COMPUTED_VALUE"""),"")</f>
        <v/>
      </c>
      <c r="U3200" s="16" t="s">
        <v>87</v>
      </c>
      <c r="V3200" s="16" t="str">
        <f>IFERROR(__xludf.DUMMYFUNCTION("""COMPUTED_VALUE"""),"")</f>
        <v/>
      </c>
      <c r="W3200" s="16" t="str">
        <f>IFERROR(__xludf.DUMMYFUNCTION("""COMPUTED_VALUE"""),"")</f>
        <v/>
      </c>
      <c r="X3200" s="16" t="str">
        <f>IFERROR(__xludf.DUMMYFUNCTION("""COMPUTED_VALUE"""),"")</f>
        <v/>
      </c>
      <c r="AC3200" s="16" t="str">
        <f>IFERROR(__xludf.DUMMYFUNCTION("""COMPUTED_VALUE"""),"")</f>
        <v/>
      </c>
    </row>
    <row r="3201">
      <c r="A3201" s="16" t="s">
        <v>87</v>
      </c>
      <c r="E3201" s="16" t="str">
        <f>IFERROR(__xludf.DUMMYFUNCTION("""COMPUTED_VALUE"""),"")</f>
        <v/>
      </c>
      <c r="G3201" s="18"/>
      <c r="H3201" s="16" t="s">
        <v>87</v>
      </c>
      <c r="I3201" s="16" t="s">
        <v>87</v>
      </c>
      <c r="J3201" s="19"/>
      <c r="L3201" s="16" t="str">
        <f>IFERROR(__xludf.DUMMYFUNCTION("""COMPUTED_VALUE"""),"")</f>
        <v/>
      </c>
      <c r="M3201" s="16" t="str">
        <f>IFERROR(__xludf.DUMMYFUNCTION("""COMPUTED_VALUE"""),"")</f>
        <v/>
      </c>
      <c r="U3201" s="16" t="s">
        <v>87</v>
      </c>
      <c r="V3201" s="16" t="str">
        <f>IFERROR(__xludf.DUMMYFUNCTION("""COMPUTED_VALUE"""),"")</f>
        <v/>
      </c>
      <c r="W3201" s="16" t="str">
        <f>IFERROR(__xludf.DUMMYFUNCTION("""COMPUTED_VALUE"""),"")</f>
        <v/>
      </c>
      <c r="X3201" s="16" t="str">
        <f>IFERROR(__xludf.DUMMYFUNCTION("""COMPUTED_VALUE"""),"")</f>
        <v/>
      </c>
      <c r="AC3201" s="16" t="str">
        <f>IFERROR(__xludf.DUMMYFUNCTION("""COMPUTED_VALUE"""),"")</f>
        <v/>
      </c>
    </row>
    <row r="3202">
      <c r="A3202" s="16" t="s">
        <v>87</v>
      </c>
      <c r="E3202" s="16" t="str">
        <f>IFERROR(__xludf.DUMMYFUNCTION("""COMPUTED_VALUE"""),"")</f>
        <v/>
      </c>
      <c r="G3202" s="18"/>
      <c r="H3202" s="16" t="s">
        <v>87</v>
      </c>
      <c r="I3202" s="16" t="s">
        <v>87</v>
      </c>
      <c r="J3202" s="19"/>
      <c r="L3202" s="16" t="str">
        <f>IFERROR(__xludf.DUMMYFUNCTION("""COMPUTED_VALUE"""),"")</f>
        <v/>
      </c>
      <c r="M3202" s="16" t="str">
        <f>IFERROR(__xludf.DUMMYFUNCTION("""COMPUTED_VALUE"""),"")</f>
        <v/>
      </c>
      <c r="U3202" s="16" t="s">
        <v>87</v>
      </c>
      <c r="V3202" s="16" t="str">
        <f>IFERROR(__xludf.DUMMYFUNCTION("""COMPUTED_VALUE"""),"")</f>
        <v/>
      </c>
      <c r="W3202" s="16" t="str">
        <f>IFERROR(__xludf.DUMMYFUNCTION("""COMPUTED_VALUE"""),"")</f>
        <v/>
      </c>
      <c r="X3202" s="16" t="str">
        <f>IFERROR(__xludf.DUMMYFUNCTION("""COMPUTED_VALUE"""),"")</f>
        <v/>
      </c>
      <c r="AC3202" s="16" t="str">
        <f>IFERROR(__xludf.DUMMYFUNCTION("""COMPUTED_VALUE"""),"")</f>
        <v/>
      </c>
    </row>
    <row r="3203">
      <c r="A3203" s="16" t="s">
        <v>87</v>
      </c>
      <c r="E3203" s="16" t="str">
        <f>IFERROR(__xludf.DUMMYFUNCTION("""COMPUTED_VALUE"""),"")</f>
        <v/>
      </c>
      <c r="G3203" s="18"/>
      <c r="H3203" s="16" t="s">
        <v>87</v>
      </c>
      <c r="I3203" s="16" t="s">
        <v>87</v>
      </c>
      <c r="J3203" s="19"/>
      <c r="L3203" s="16" t="str">
        <f>IFERROR(__xludf.DUMMYFUNCTION("""COMPUTED_VALUE"""),"")</f>
        <v/>
      </c>
      <c r="M3203" s="16" t="str">
        <f>IFERROR(__xludf.DUMMYFUNCTION("""COMPUTED_VALUE"""),"")</f>
        <v/>
      </c>
      <c r="U3203" s="16" t="s">
        <v>87</v>
      </c>
      <c r="V3203" s="16" t="str">
        <f>IFERROR(__xludf.DUMMYFUNCTION("""COMPUTED_VALUE"""),"")</f>
        <v/>
      </c>
      <c r="W3203" s="16" t="str">
        <f>IFERROR(__xludf.DUMMYFUNCTION("""COMPUTED_VALUE"""),"")</f>
        <v/>
      </c>
      <c r="X3203" s="16" t="str">
        <f>IFERROR(__xludf.DUMMYFUNCTION("""COMPUTED_VALUE"""),"")</f>
        <v/>
      </c>
      <c r="AC3203" s="16" t="str">
        <f>IFERROR(__xludf.DUMMYFUNCTION("""COMPUTED_VALUE"""),"")</f>
        <v/>
      </c>
    </row>
    <row r="3204">
      <c r="A3204" s="16" t="s">
        <v>87</v>
      </c>
      <c r="E3204" s="16" t="str">
        <f>IFERROR(__xludf.DUMMYFUNCTION("""COMPUTED_VALUE"""),"")</f>
        <v/>
      </c>
      <c r="G3204" s="18"/>
      <c r="H3204" s="16" t="s">
        <v>87</v>
      </c>
      <c r="I3204" s="16" t="s">
        <v>87</v>
      </c>
      <c r="J3204" s="19"/>
      <c r="L3204" s="16" t="str">
        <f>IFERROR(__xludf.DUMMYFUNCTION("""COMPUTED_VALUE"""),"")</f>
        <v/>
      </c>
      <c r="M3204" s="16" t="str">
        <f>IFERROR(__xludf.DUMMYFUNCTION("""COMPUTED_VALUE"""),"")</f>
        <v/>
      </c>
      <c r="U3204" s="16" t="s">
        <v>87</v>
      </c>
      <c r="V3204" s="16" t="str">
        <f>IFERROR(__xludf.DUMMYFUNCTION("""COMPUTED_VALUE"""),"")</f>
        <v/>
      </c>
      <c r="W3204" s="16" t="str">
        <f>IFERROR(__xludf.DUMMYFUNCTION("""COMPUTED_VALUE"""),"")</f>
        <v/>
      </c>
      <c r="X3204" s="16" t="str">
        <f>IFERROR(__xludf.DUMMYFUNCTION("""COMPUTED_VALUE"""),"")</f>
        <v/>
      </c>
      <c r="AC3204" s="16" t="str">
        <f>IFERROR(__xludf.DUMMYFUNCTION("""COMPUTED_VALUE"""),"")</f>
        <v/>
      </c>
    </row>
    <row r="3205">
      <c r="A3205" s="16" t="s">
        <v>87</v>
      </c>
      <c r="E3205" s="16" t="str">
        <f>IFERROR(__xludf.DUMMYFUNCTION("""COMPUTED_VALUE"""),"")</f>
        <v/>
      </c>
      <c r="G3205" s="18"/>
      <c r="H3205" s="16" t="s">
        <v>87</v>
      </c>
      <c r="I3205" s="16" t="s">
        <v>87</v>
      </c>
      <c r="J3205" s="19"/>
      <c r="L3205" s="16" t="str">
        <f>IFERROR(__xludf.DUMMYFUNCTION("""COMPUTED_VALUE"""),"")</f>
        <v/>
      </c>
      <c r="M3205" s="16" t="str">
        <f>IFERROR(__xludf.DUMMYFUNCTION("""COMPUTED_VALUE"""),"")</f>
        <v/>
      </c>
      <c r="U3205" s="16" t="s">
        <v>87</v>
      </c>
      <c r="V3205" s="16" t="str">
        <f>IFERROR(__xludf.DUMMYFUNCTION("""COMPUTED_VALUE"""),"")</f>
        <v/>
      </c>
      <c r="W3205" s="16" t="str">
        <f>IFERROR(__xludf.DUMMYFUNCTION("""COMPUTED_VALUE"""),"")</f>
        <v/>
      </c>
      <c r="X3205" s="16" t="str">
        <f>IFERROR(__xludf.DUMMYFUNCTION("""COMPUTED_VALUE"""),"")</f>
        <v/>
      </c>
      <c r="AC3205" s="16" t="str">
        <f>IFERROR(__xludf.DUMMYFUNCTION("""COMPUTED_VALUE"""),"")</f>
        <v/>
      </c>
    </row>
    <row r="3206">
      <c r="A3206" s="16" t="s">
        <v>87</v>
      </c>
      <c r="E3206" s="16" t="str">
        <f>IFERROR(__xludf.DUMMYFUNCTION("""COMPUTED_VALUE"""),"")</f>
        <v/>
      </c>
      <c r="G3206" s="18"/>
      <c r="H3206" s="16" t="s">
        <v>87</v>
      </c>
      <c r="I3206" s="16" t="s">
        <v>87</v>
      </c>
      <c r="J3206" s="19"/>
      <c r="L3206" s="16" t="str">
        <f>IFERROR(__xludf.DUMMYFUNCTION("""COMPUTED_VALUE"""),"")</f>
        <v/>
      </c>
      <c r="M3206" s="16" t="str">
        <f>IFERROR(__xludf.DUMMYFUNCTION("""COMPUTED_VALUE"""),"")</f>
        <v/>
      </c>
      <c r="U3206" s="16" t="s">
        <v>87</v>
      </c>
      <c r="V3206" s="16" t="str">
        <f>IFERROR(__xludf.DUMMYFUNCTION("""COMPUTED_VALUE"""),"")</f>
        <v/>
      </c>
      <c r="W3206" s="16" t="str">
        <f>IFERROR(__xludf.DUMMYFUNCTION("""COMPUTED_VALUE"""),"")</f>
        <v/>
      </c>
      <c r="X3206" s="16" t="str">
        <f>IFERROR(__xludf.DUMMYFUNCTION("""COMPUTED_VALUE"""),"")</f>
        <v/>
      </c>
      <c r="AC3206" s="16" t="str">
        <f>IFERROR(__xludf.DUMMYFUNCTION("""COMPUTED_VALUE"""),"")</f>
        <v/>
      </c>
    </row>
    <row r="3207">
      <c r="A3207" s="16" t="s">
        <v>87</v>
      </c>
      <c r="E3207" s="16" t="str">
        <f>IFERROR(__xludf.DUMMYFUNCTION("""COMPUTED_VALUE"""),"")</f>
        <v/>
      </c>
      <c r="G3207" s="18"/>
      <c r="H3207" s="16" t="s">
        <v>87</v>
      </c>
      <c r="I3207" s="16" t="s">
        <v>87</v>
      </c>
      <c r="J3207" s="19"/>
      <c r="L3207" s="16" t="str">
        <f>IFERROR(__xludf.DUMMYFUNCTION("""COMPUTED_VALUE"""),"")</f>
        <v/>
      </c>
      <c r="M3207" s="16" t="str">
        <f>IFERROR(__xludf.DUMMYFUNCTION("""COMPUTED_VALUE"""),"")</f>
        <v/>
      </c>
      <c r="U3207" s="16" t="s">
        <v>87</v>
      </c>
      <c r="V3207" s="16" t="str">
        <f>IFERROR(__xludf.DUMMYFUNCTION("""COMPUTED_VALUE"""),"")</f>
        <v/>
      </c>
      <c r="W3207" s="16" t="str">
        <f>IFERROR(__xludf.DUMMYFUNCTION("""COMPUTED_VALUE"""),"")</f>
        <v/>
      </c>
      <c r="X3207" s="16" t="str">
        <f>IFERROR(__xludf.DUMMYFUNCTION("""COMPUTED_VALUE"""),"")</f>
        <v/>
      </c>
      <c r="AC3207" s="16" t="str">
        <f>IFERROR(__xludf.DUMMYFUNCTION("""COMPUTED_VALUE"""),"")</f>
        <v/>
      </c>
    </row>
    <row r="3208">
      <c r="A3208" s="16" t="s">
        <v>87</v>
      </c>
      <c r="E3208" s="16" t="str">
        <f>IFERROR(__xludf.DUMMYFUNCTION("""COMPUTED_VALUE"""),"")</f>
        <v/>
      </c>
      <c r="G3208" s="18"/>
      <c r="H3208" s="16" t="s">
        <v>87</v>
      </c>
      <c r="I3208" s="16" t="s">
        <v>87</v>
      </c>
      <c r="J3208" s="19"/>
      <c r="L3208" s="16" t="str">
        <f>IFERROR(__xludf.DUMMYFUNCTION("""COMPUTED_VALUE"""),"")</f>
        <v/>
      </c>
      <c r="M3208" s="16" t="str">
        <f>IFERROR(__xludf.DUMMYFUNCTION("""COMPUTED_VALUE"""),"")</f>
        <v/>
      </c>
      <c r="U3208" s="16" t="s">
        <v>87</v>
      </c>
      <c r="V3208" s="16" t="str">
        <f>IFERROR(__xludf.DUMMYFUNCTION("""COMPUTED_VALUE"""),"")</f>
        <v/>
      </c>
      <c r="W3208" s="16" t="str">
        <f>IFERROR(__xludf.DUMMYFUNCTION("""COMPUTED_VALUE"""),"")</f>
        <v/>
      </c>
      <c r="X3208" s="16" t="str">
        <f>IFERROR(__xludf.DUMMYFUNCTION("""COMPUTED_VALUE"""),"")</f>
        <v/>
      </c>
      <c r="AC3208" s="16" t="str">
        <f>IFERROR(__xludf.DUMMYFUNCTION("""COMPUTED_VALUE"""),"")</f>
        <v/>
      </c>
    </row>
    <row r="3209">
      <c r="A3209" s="16" t="s">
        <v>87</v>
      </c>
      <c r="E3209" s="16" t="str">
        <f>IFERROR(__xludf.DUMMYFUNCTION("""COMPUTED_VALUE"""),"")</f>
        <v/>
      </c>
      <c r="G3209" s="18"/>
      <c r="H3209" s="16" t="s">
        <v>87</v>
      </c>
      <c r="I3209" s="16" t="s">
        <v>87</v>
      </c>
      <c r="J3209" s="19"/>
      <c r="L3209" s="16" t="str">
        <f>IFERROR(__xludf.DUMMYFUNCTION("""COMPUTED_VALUE"""),"")</f>
        <v/>
      </c>
      <c r="M3209" s="16" t="str">
        <f>IFERROR(__xludf.DUMMYFUNCTION("""COMPUTED_VALUE"""),"")</f>
        <v/>
      </c>
      <c r="U3209" s="16" t="s">
        <v>87</v>
      </c>
      <c r="V3209" s="16" t="str">
        <f>IFERROR(__xludf.DUMMYFUNCTION("""COMPUTED_VALUE"""),"")</f>
        <v/>
      </c>
      <c r="W3209" s="16" t="str">
        <f>IFERROR(__xludf.DUMMYFUNCTION("""COMPUTED_VALUE"""),"")</f>
        <v/>
      </c>
      <c r="X3209" s="16" t="str">
        <f>IFERROR(__xludf.DUMMYFUNCTION("""COMPUTED_VALUE"""),"")</f>
        <v/>
      </c>
      <c r="AC3209" s="16" t="str">
        <f>IFERROR(__xludf.DUMMYFUNCTION("""COMPUTED_VALUE"""),"")</f>
        <v/>
      </c>
    </row>
    <row r="3210">
      <c r="A3210" s="16" t="s">
        <v>87</v>
      </c>
      <c r="E3210" s="16" t="str">
        <f>IFERROR(__xludf.DUMMYFUNCTION("""COMPUTED_VALUE"""),"")</f>
        <v/>
      </c>
      <c r="G3210" s="18"/>
      <c r="H3210" s="16" t="s">
        <v>87</v>
      </c>
      <c r="I3210" s="16" t="s">
        <v>87</v>
      </c>
      <c r="J3210" s="19"/>
      <c r="L3210" s="16" t="str">
        <f>IFERROR(__xludf.DUMMYFUNCTION("""COMPUTED_VALUE"""),"")</f>
        <v/>
      </c>
      <c r="M3210" s="16" t="str">
        <f>IFERROR(__xludf.DUMMYFUNCTION("""COMPUTED_VALUE"""),"")</f>
        <v/>
      </c>
      <c r="U3210" s="16" t="s">
        <v>87</v>
      </c>
      <c r="V3210" s="16" t="str">
        <f>IFERROR(__xludf.DUMMYFUNCTION("""COMPUTED_VALUE"""),"")</f>
        <v/>
      </c>
      <c r="W3210" s="16" t="str">
        <f>IFERROR(__xludf.DUMMYFUNCTION("""COMPUTED_VALUE"""),"")</f>
        <v/>
      </c>
      <c r="X3210" s="16" t="str">
        <f>IFERROR(__xludf.DUMMYFUNCTION("""COMPUTED_VALUE"""),"")</f>
        <v/>
      </c>
      <c r="AC3210" s="16" t="str">
        <f>IFERROR(__xludf.DUMMYFUNCTION("""COMPUTED_VALUE"""),"")</f>
        <v/>
      </c>
    </row>
    <row r="3211">
      <c r="A3211" s="16" t="s">
        <v>87</v>
      </c>
      <c r="E3211" s="16" t="str">
        <f>IFERROR(__xludf.DUMMYFUNCTION("""COMPUTED_VALUE"""),"")</f>
        <v/>
      </c>
      <c r="G3211" s="18"/>
      <c r="H3211" s="16" t="s">
        <v>87</v>
      </c>
      <c r="I3211" s="16" t="s">
        <v>87</v>
      </c>
      <c r="J3211" s="19"/>
      <c r="L3211" s="16" t="str">
        <f>IFERROR(__xludf.DUMMYFUNCTION("""COMPUTED_VALUE"""),"")</f>
        <v/>
      </c>
      <c r="M3211" s="16" t="str">
        <f>IFERROR(__xludf.DUMMYFUNCTION("""COMPUTED_VALUE"""),"")</f>
        <v/>
      </c>
      <c r="U3211" s="16" t="s">
        <v>87</v>
      </c>
      <c r="V3211" s="16" t="str">
        <f>IFERROR(__xludf.DUMMYFUNCTION("""COMPUTED_VALUE"""),"")</f>
        <v/>
      </c>
      <c r="W3211" s="16" t="str">
        <f>IFERROR(__xludf.DUMMYFUNCTION("""COMPUTED_VALUE"""),"")</f>
        <v/>
      </c>
      <c r="X3211" s="16" t="str">
        <f>IFERROR(__xludf.DUMMYFUNCTION("""COMPUTED_VALUE"""),"")</f>
        <v/>
      </c>
      <c r="AC3211" s="16" t="str">
        <f>IFERROR(__xludf.DUMMYFUNCTION("""COMPUTED_VALUE"""),"")</f>
        <v/>
      </c>
    </row>
    <row r="3212">
      <c r="A3212" s="16" t="s">
        <v>87</v>
      </c>
      <c r="E3212" s="16" t="str">
        <f>IFERROR(__xludf.DUMMYFUNCTION("""COMPUTED_VALUE"""),"")</f>
        <v/>
      </c>
      <c r="G3212" s="18"/>
      <c r="H3212" s="16" t="s">
        <v>87</v>
      </c>
      <c r="I3212" s="16" t="s">
        <v>87</v>
      </c>
      <c r="J3212" s="19"/>
      <c r="L3212" s="16" t="str">
        <f>IFERROR(__xludf.DUMMYFUNCTION("""COMPUTED_VALUE"""),"")</f>
        <v/>
      </c>
      <c r="M3212" s="16" t="str">
        <f>IFERROR(__xludf.DUMMYFUNCTION("""COMPUTED_VALUE"""),"")</f>
        <v/>
      </c>
      <c r="U3212" s="16" t="s">
        <v>87</v>
      </c>
      <c r="V3212" s="16" t="str">
        <f>IFERROR(__xludf.DUMMYFUNCTION("""COMPUTED_VALUE"""),"")</f>
        <v/>
      </c>
      <c r="W3212" s="16" t="str">
        <f>IFERROR(__xludf.DUMMYFUNCTION("""COMPUTED_VALUE"""),"")</f>
        <v/>
      </c>
      <c r="X3212" s="16" t="str">
        <f>IFERROR(__xludf.DUMMYFUNCTION("""COMPUTED_VALUE"""),"")</f>
        <v/>
      </c>
      <c r="AC3212" s="16" t="str">
        <f>IFERROR(__xludf.DUMMYFUNCTION("""COMPUTED_VALUE"""),"")</f>
        <v/>
      </c>
    </row>
    <row r="3213">
      <c r="A3213" s="16" t="s">
        <v>87</v>
      </c>
      <c r="E3213" s="16" t="str">
        <f>IFERROR(__xludf.DUMMYFUNCTION("""COMPUTED_VALUE"""),"")</f>
        <v/>
      </c>
      <c r="G3213" s="18"/>
      <c r="H3213" s="16" t="s">
        <v>87</v>
      </c>
      <c r="I3213" s="16" t="s">
        <v>87</v>
      </c>
      <c r="J3213" s="19"/>
      <c r="L3213" s="16" t="str">
        <f>IFERROR(__xludf.DUMMYFUNCTION("""COMPUTED_VALUE"""),"")</f>
        <v/>
      </c>
      <c r="M3213" s="16" t="str">
        <f>IFERROR(__xludf.DUMMYFUNCTION("""COMPUTED_VALUE"""),"")</f>
        <v/>
      </c>
      <c r="U3213" s="16" t="s">
        <v>87</v>
      </c>
      <c r="V3213" s="16" t="str">
        <f>IFERROR(__xludf.DUMMYFUNCTION("""COMPUTED_VALUE"""),"")</f>
        <v/>
      </c>
      <c r="W3213" s="16" t="str">
        <f>IFERROR(__xludf.DUMMYFUNCTION("""COMPUTED_VALUE"""),"")</f>
        <v/>
      </c>
      <c r="X3213" s="16" t="str">
        <f>IFERROR(__xludf.DUMMYFUNCTION("""COMPUTED_VALUE"""),"")</f>
        <v/>
      </c>
      <c r="AC3213" s="16" t="str">
        <f>IFERROR(__xludf.DUMMYFUNCTION("""COMPUTED_VALUE"""),"")</f>
        <v/>
      </c>
    </row>
    <row r="3214">
      <c r="A3214" s="16" t="s">
        <v>87</v>
      </c>
      <c r="E3214" s="16" t="str">
        <f>IFERROR(__xludf.DUMMYFUNCTION("""COMPUTED_VALUE"""),"")</f>
        <v/>
      </c>
      <c r="G3214" s="18"/>
      <c r="H3214" s="16" t="s">
        <v>87</v>
      </c>
      <c r="I3214" s="16" t="s">
        <v>87</v>
      </c>
      <c r="J3214" s="19"/>
      <c r="L3214" s="16" t="str">
        <f>IFERROR(__xludf.DUMMYFUNCTION("""COMPUTED_VALUE"""),"")</f>
        <v/>
      </c>
      <c r="M3214" s="16" t="str">
        <f>IFERROR(__xludf.DUMMYFUNCTION("""COMPUTED_VALUE"""),"")</f>
        <v/>
      </c>
      <c r="U3214" s="16" t="s">
        <v>87</v>
      </c>
      <c r="V3214" s="16" t="str">
        <f>IFERROR(__xludf.DUMMYFUNCTION("""COMPUTED_VALUE"""),"")</f>
        <v/>
      </c>
      <c r="W3214" s="16" t="str">
        <f>IFERROR(__xludf.DUMMYFUNCTION("""COMPUTED_VALUE"""),"")</f>
        <v/>
      </c>
      <c r="X3214" s="16" t="str">
        <f>IFERROR(__xludf.DUMMYFUNCTION("""COMPUTED_VALUE"""),"")</f>
        <v/>
      </c>
      <c r="AC3214" s="16" t="str">
        <f>IFERROR(__xludf.DUMMYFUNCTION("""COMPUTED_VALUE"""),"")</f>
        <v/>
      </c>
    </row>
    <row r="3215">
      <c r="A3215" s="16" t="s">
        <v>87</v>
      </c>
      <c r="E3215" s="16" t="str">
        <f>IFERROR(__xludf.DUMMYFUNCTION("""COMPUTED_VALUE"""),"")</f>
        <v/>
      </c>
      <c r="G3215" s="18"/>
      <c r="H3215" s="16" t="s">
        <v>87</v>
      </c>
      <c r="I3215" s="16" t="s">
        <v>87</v>
      </c>
      <c r="J3215" s="19"/>
      <c r="L3215" s="16" t="str">
        <f>IFERROR(__xludf.DUMMYFUNCTION("""COMPUTED_VALUE"""),"")</f>
        <v/>
      </c>
      <c r="M3215" s="16" t="str">
        <f>IFERROR(__xludf.DUMMYFUNCTION("""COMPUTED_VALUE"""),"")</f>
        <v/>
      </c>
      <c r="U3215" s="16" t="s">
        <v>87</v>
      </c>
      <c r="V3215" s="16" t="str">
        <f>IFERROR(__xludf.DUMMYFUNCTION("""COMPUTED_VALUE"""),"")</f>
        <v/>
      </c>
      <c r="W3215" s="16" t="str">
        <f>IFERROR(__xludf.DUMMYFUNCTION("""COMPUTED_VALUE"""),"")</f>
        <v/>
      </c>
      <c r="X3215" s="16" t="str">
        <f>IFERROR(__xludf.DUMMYFUNCTION("""COMPUTED_VALUE"""),"")</f>
        <v/>
      </c>
      <c r="AC3215" s="16" t="str">
        <f>IFERROR(__xludf.DUMMYFUNCTION("""COMPUTED_VALUE"""),"")</f>
        <v/>
      </c>
    </row>
    <row r="3216">
      <c r="A3216" s="16" t="s">
        <v>87</v>
      </c>
      <c r="E3216" s="16" t="str">
        <f>IFERROR(__xludf.DUMMYFUNCTION("""COMPUTED_VALUE"""),"")</f>
        <v/>
      </c>
      <c r="G3216" s="18"/>
      <c r="H3216" s="16" t="s">
        <v>87</v>
      </c>
      <c r="I3216" s="16" t="s">
        <v>87</v>
      </c>
      <c r="J3216" s="19"/>
      <c r="L3216" s="16" t="str">
        <f>IFERROR(__xludf.DUMMYFUNCTION("""COMPUTED_VALUE"""),"")</f>
        <v/>
      </c>
      <c r="M3216" s="16" t="str">
        <f>IFERROR(__xludf.DUMMYFUNCTION("""COMPUTED_VALUE"""),"")</f>
        <v/>
      </c>
      <c r="U3216" s="16" t="s">
        <v>87</v>
      </c>
      <c r="V3216" s="16" t="str">
        <f>IFERROR(__xludf.DUMMYFUNCTION("""COMPUTED_VALUE"""),"")</f>
        <v/>
      </c>
      <c r="W3216" s="16" t="str">
        <f>IFERROR(__xludf.DUMMYFUNCTION("""COMPUTED_VALUE"""),"")</f>
        <v/>
      </c>
      <c r="X3216" s="16" t="str">
        <f>IFERROR(__xludf.DUMMYFUNCTION("""COMPUTED_VALUE"""),"")</f>
        <v/>
      </c>
      <c r="AC3216" s="16" t="str">
        <f>IFERROR(__xludf.DUMMYFUNCTION("""COMPUTED_VALUE"""),"")</f>
        <v/>
      </c>
    </row>
    <row r="3217">
      <c r="A3217" s="16" t="s">
        <v>87</v>
      </c>
      <c r="E3217" s="16" t="str">
        <f>IFERROR(__xludf.DUMMYFUNCTION("""COMPUTED_VALUE"""),"")</f>
        <v/>
      </c>
      <c r="G3217" s="18"/>
      <c r="H3217" s="16" t="s">
        <v>87</v>
      </c>
      <c r="I3217" s="16" t="s">
        <v>87</v>
      </c>
      <c r="J3217" s="19"/>
      <c r="L3217" s="16" t="str">
        <f>IFERROR(__xludf.DUMMYFUNCTION("""COMPUTED_VALUE"""),"")</f>
        <v/>
      </c>
      <c r="M3217" s="16" t="str">
        <f>IFERROR(__xludf.DUMMYFUNCTION("""COMPUTED_VALUE"""),"")</f>
        <v/>
      </c>
      <c r="U3217" s="16" t="s">
        <v>87</v>
      </c>
      <c r="V3217" s="16" t="str">
        <f>IFERROR(__xludf.DUMMYFUNCTION("""COMPUTED_VALUE"""),"")</f>
        <v/>
      </c>
      <c r="W3217" s="16" t="str">
        <f>IFERROR(__xludf.DUMMYFUNCTION("""COMPUTED_VALUE"""),"")</f>
        <v/>
      </c>
      <c r="X3217" s="16" t="str">
        <f>IFERROR(__xludf.DUMMYFUNCTION("""COMPUTED_VALUE"""),"")</f>
        <v/>
      </c>
      <c r="AC3217" s="16" t="str">
        <f>IFERROR(__xludf.DUMMYFUNCTION("""COMPUTED_VALUE"""),"")</f>
        <v/>
      </c>
    </row>
    <row r="3218">
      <c r="A3218" s="16" t="s">
        <v>87</v>
      </c>
      <c r="E3218" s="16" t="str">
        <f>IFERROR(__xludf.DUMMYFUNCTION("""COMPUTED_VALUE"""),"")</f>
        <v/>
      </c>
      <c r="G3218" s="18"/>
      <c r="H3218" s="16" t="s">
        <v>87</v>
      </c>
      <c r="I3218" s="16" t="s">
        <v>87</v>
      </c>
      <c r="J3218" s="19"/>
      <c r="L3218" s="16" t="str">
        <f>IFERROR(__xludf.DUMMYFUNCTION("""COMPUTED_VALUE"""),"")</f>
        <v/>
      </c>
      <c r="M3218" s="16" t="str">
        <f>IFERROR(__xludf.DUMMYFUNCTION("""COMPUTED_VALUE"""),"")</f>
        <v/>
      </c>
      <c r="U3218" s="16" t="s">
        <v>87</v>
      </c>
      <c r="V3218" s="16" t="str">
        <f>IFERROR(__xludf.DUMMYFUNCTION("""COMPUTED_VALUE"""),"")</f>
        <v/>
      </c>
      <c r="W3218" s="16" t="str">
        <f>IFERROR(__xludf.DUMMYFUNCTION("""COMPUTED_VALUE"""),"")</f>
        <v/>
      </c>
      <c r="X3218" s="16" t="str">
        <f>IFERROR(__xludf.DUMMYFUNCTION("""COMPUTED_VALUE"""),"")</f>
        <v/>
      </c>
      <c r="AC3218" s="16" t="str">
        <f>IFERROR(__xludf.DUMMYFUNCTION("""COMPUTED_VALUE"""),"")</f>
        <v/>
      </c>
    </row>
    <row r="3219">
      <c r="A3219" s="16" t="s">
        <v>87</v>
      </c>
      <c r="E3219" s="16" t="str">
        <f>IFERROR(__xludf.DUMMYFUNCTION("""COMPUTED_VALUE"""),"")</f>
        <v/>
      </c>
      <c r="G3219" s="18"/>
      <c r="H3219" s="16" t="s">
        <v>87</v>
      </c>
      <c r="I3219" s="16" t="s">
        <v>87</v>
      </c>
      <c r="J3219" s="19"/>
      <c r="L3219" s="16" t="str">
        <f>IFERROR(__xludf.DUMMYFUNCTION("""COMPUTED_VALUE"""),"")</f>
        <v/>
      </c>
      <c r="M3219" s="16" t="str">
        <f>IFERROR(__xludf.DUMMYFUNCTION("""COMPUTED_VALUE"""),"")</f>
        <v/>
      </c>
      <c r="U3219" s="16" t="s">
        <v>87</v>
      </c>
      <c r="V3219" s="16" t="str">
        <f>IFERROR(__xludf.DUMMYFUNCTION("""COMPUTED_VALUE"""),"")</f>
        <v/>
      </c>
      <c r="W3219" s="16" t="str">
        <f>IFERROR(__xludf.DUMMYFUNCTION("""COMPUTED_VALUE"""),"")</f>
        <v/>
      </c>
      <c r="X3219" s="16" t="str">
        <f>IFERROR(__xludf.DUMMYFUNCTION("""COMPUTED_VALUE"""),"")</f>
        <v/>
      </c>
      <c r="AC3219" s="16" t="str">
        <f>IFERROR(__xludf.DUMMYFUNCTION("""COMPUTED_VALUE"""),"")</f>
        <v/>
      </c>
    </row>
    <row r="3220">
      <c r="A3220" s="16" t="s">
        <v>87</v>
      </c>
      <c r="E3220" s="16" t="str">
        <f>IFERROR(__xludf.DUMMYFUNCTION("""COMPUTED_VALUE"""),"")</f>
        <v/>
      </c>
      <c r="G3220" s="18"/>
      <c r="H3220" s="16" t="s">
        <v>87</v>
      </c>
      <c r="I3220" s="16" t="s">
        <v>87</v>
      </c>
      <c r="J3220" s="19"/>
      <c r="L3220" s="16" t="str">
        <f>IFERROR(__xludf.DUMMYFUNCTION("""COMPUTED_VALUE"""),"")</f>
        <v/>
      </c>
      <c r="M3220" s="16" t="str">
        <f>IFERROR(__xludf.DUMMYFUNCTION("""COMPUTED_VALUE"""),"")</f>
        <v/>
      </c>
      <c r="U3220" s="16" t="s">
        <v>87</v>
      </c>
      <c r="V3220" s="16" t="str">
        <f>IFERROR(__xludf.DUMMYFUNCTION("""COMPUTED_VALUE"""),"")</f>
        <v/>
      </c>
      <c r="W3220" s="16" t="str">
        <f>IFERROR(__xludf.DUMMYFUNCTION("""COMPUTED_VALUE"""),"")</f>
        <v/>
      </c>
      <c r="X3220" s="16" t="str">
        <f>IFERROR(__xludf.DUMMYFUNCTION("""COMPUTED_VALUE"""),"")</f>
        <v/>
      </c>
      <c r="AC3220" s="16" t="str">
        <f>IFERROR(__xludf.DUMMYFUNCTION("""COMPUTED_VALUE"""),"")</f>
        <v/>
      </c>
    </row>
    <row r="3221">
      <c r="A3221" s="16" t="s">
        <v>87</v>
      </c>
      <c r="E3221" s="16" t="str">
        <f>IFERROR(__xludf.DUMMYFUNCTION("""COMPUTED_VALUE"""),"")</f>
        <v/>
      </c>
      <c r="G3221" s="18"/>
      <c r="H3221" s="16" t="s">
        <v>87</v>
      </c>
      <c r="I3221" s="16" t="s">
        <v>87</v>
      </c>
      <c r="J3221" s="19"/>
      <c r="L3221" s="16" t="str">
        <f>IFERROR(__xludf.DUMMYFUNCTION("""COMPUTED_VALUE"""),"")</f>
        <v/>
      </c>
      <c r="M3221" s="16" t="str">
        <f>IFERROR(__xludf.DUMMYFUNCTION("""COMPUTED_VALUE"""),"")</f>
        <v/>
      </c>
      <c r="U3221" s="16" t="s">
        <v>87</v>
      </c>
      <c r="V3221" s="16" t="str">
        <f>IFERROR(__xludf.DUMMYFUNCTION("""COMPUTED_VALUE"""),"")</f>
        <v/>
      </c>
      <c r="W3221" s="16" t="str">
        <f>IFERROR(__xludf.DUMMYFUNCTION("""COMPUTED_VALUE"""),"")</f>
        <v/>
      </c>
      <c r="X3221" s="16" t="str">
        <f>IFERROR(__xludf.DUMMYFUNCTION("""COMPUTED_VALUE"""),"")</f>
        <v/>
      </c>
      <c r="AC3221" s="16" t="str">
        <f>IFERROR(__xludf.DUMMYFUNCTION("""COMPUTED_VALUE"""),"")</f>
        <v/>
      </c>
    </row>
    <row r="3222">
      <c r="A3222" s="16" t="s">
        <v>87</v>
      </c>
      <c r="E3222" s="16" t="str">
        <f>IFERROR(__xludf.DUMMYFUNCTION("""COMPUTED_VALUE"""),"")</f>
        <v/>
      </c>
      <c r="G3222" s="18"/>
      <c r="H3222" s="16" t="s">
        <v>87</v>
      </c>
      <c r="I3222" s="16" t="s">
        <v>87</v>
      </c>
      <c r="J3222" s="19"/>
      <c r="L3222" s="16" t="str">
        <f>IFERROR(__xludf.DUMMYFUNCTION("""COMPUTED_VALUE"""),"")</f>
        <v/>
      </c>
      <c r="M3222" s="16" t="str">
        <f>IFERROR(__xludf.DUMMYFUNCTION("""COMPUTED_VALUE"""),"")</f>
        <v/>
      </c>
      <c r="U3222" s="16" t="s">
        <v>87</v>
      </c>
      <c r="V3222" s="16" t="str">
        <f>IFERROR(__xludf.DUMMYFUNCTION("""COMPUTED_VALUE"""),"")</f>
        <v/>
      </c>
      <c r="W3222" s="16" t="str">
        <f>IFERROR(__xludf.DUMMYFUNCTION("""COMPUTED_VALUE"""),"")</f>
        <v/>
      </c>
      <c r="X3222" s="16" t="str">
        <f>IFERROR(__xludf.DUMMYFUNCTION("""COMPUTED_VALUE"""),"")</f>
        <v/>
      </c>
      <c r="AC3222" s="16" t="str">
        <f>IFERROR(__xludf.DUMMYFUNCTION("""COMPUTED_VALUE"""),"")</f>
        <v/>
      </c>
    </row>
    <row r="3223">
      <c r="A3223" s="16" t="s">
        <v>87</v>
      </c>
      <c r="E3223" s="16" t="str">
        <f>IFERROR(__xludf.DUMMYFUNCTION("""COMPUTED_VALUE"""),"")</f>
        <v/>
      </c>
      <c r="G3223" s="18"/>
      <c r="H3223" s="16" t="s">
        <v>87</v>
      </c>
      <c r="I3223" s="16" t="s">
        <v>87</v>
      </c>
      <c r="J3223" s="19"/>
      <c r="L3223" s="16" t="str">
        <f>IFERROR(__xludf.DUMMYFUNCTION("""COMPUTED_VALUE"""),"")</f>
        <v/>
      </c>
      <c r="M3223" s="16" t="str">
        <f>IFERROR(__xludf.DUMMYFUNCTION("""COMPUTED_VALUE"""),"")</f>
        <v/>
      </c>
      <c r="U3223" s="16" t="s">
        <v>87</v>
      </c>
      <c r="V3223" s="16" t="str">
        <f>IFERROR(__xludf.DUMMYFUNCTION("""COMPUTED_VALUE"""),"")</f>
        <v/>
      </c>
      <c r="W3223" s="16" t="str">
        <f>IFERROR(__xludf.DUMMYFUNCTION("""COMPUTED_VALUE"""),"")</f>
        <v/>
      </c>
      <c r="X3223" s="16" t="str">
        <f>IFERROR(__xludf.DUMMYFUNCTION("""COMPUTED_VALUE"""),"")</f>
        <v/>
      </c>
      <c r="AC3223" s="16" t="str">
        <f>IFERROR(__xludf.DUMMYFUNCTION("""COMPUTED_VALUE"""),"")</f>
        <v/>
      </c>
    </row>
    <row r="3224">
      <c r="A3224" s="16" t="s">
        <v>87</v>
      </c>
      <c r="E3224" s="16" t="str">
        <f>IFERROR(__xludf.DUMMYFUNCTION("""COMPUTED_VALUE"""),"")</f>
        <v/>
      </c>
      <c r="G3224" s="18"/>
      <c r="H3224" s="16" t="s">
        <v>87</v>
      </c>
      <c r="I3224" s="16" t="s">
        <v>87</v>
      </c>
      <c r="J3224" s="19"/>
      <c r="L3224" s="16" t="str">
        <f>IFERROR(__xludf.DUMMYFUNCTION("""COMPUTED_VALUE"""),"")</f>
        <v/>
      </c>
      <c r="M3224" s="16" t="str">
        <f>IFERROR(__xludf.DUMMYFUNCTION("""COMPUTED_VALUE"""),"")</f>
        <v/>
      </c>
      <c r="U3224" s="16" t="s">
        <v>87</v>
      </c>
      <c r="V3224" s="16" t="str">
        <f>IFERROR(__xludf.DUMMYFUNCTION("""COMPUTED_VALUE"""),"")</f>
        <v/>
      </c>
      <c r="W3224" s="16" t="str">
        <f>IFERROR(__xludf.DUMMYFUNCTION("""COMPUTED_VALUE"""),"")</f>
        <v/>
      </c>
      <c r="X3224" s="16" t="str">
        <f>IFERROR(__xludf.DUMMYFUNCTION("""COMPUTED_VALUE"""),"")</f>
        <v/>
      </c>
      <c r="AC3224" s="16" t="str">
        <f>IFERROR(__xludf.DUMMYFUNCTION("""COMPUTED_VALUE"""),"")</f>
        <v/>
      </c>
    </row>
    <row r="3225">
      <c r="A3225" s="16" t="s">
        <v>87</v>
      </c>
      <c r="E3225" s="16" t="str">
        <f>IFERROR(__xludf.DUMMYFUNCTION("""COMPUTED_VALUE"""),"")</f>
        <v/>
      </c>
      <c r="G3225" s="18"/>
      <c r="H3225" s="16" t="s">
        <v>87</v>
      </c>
      <c r="I3225" s="16" t="s">
        <v>87</v>
      </c>
      <c r="J3225" s="19"/>
      <c r="L3225" s="16" t="str">
        <f>IFERROR(__xludf.DUMMYFUNCTION("""COMPUTED_VALUE"""),"")</f>
        <v/>
      </c>
      <c r="M3225" s="16" t="str">
        <f>IFERROR(__xludf.DUMMYFUNCTION("""COMPUTED_VALUE"""),"")</f>
        <v/>
      </c>
      <c r="U3225" s="16" t="s">
        <v>87</v>
      </c>
      <c r="V3225" s="16" t="str">
        <f>IFERROR(__xludf.DUMMYFUNCTION("""COMPUTED_VALUE"""),"")</f>
        <v/>
      </c>
      <c r="W3225" s="16" t="str">
        <f>IFERROR(__xludf.DUMMYFUNCTION("""COMPUTED_VALUE"""),"")</f>
        <v/>
      </c>
      <c r="X3225" s="16" t="str">
        <f>IFERROR(__xludf.DUMMYFUNCTION("""COMPUTED_VALUE"""),"")</f>
        <v/>
      </c>
      <c r="AC3225" s="16" t="str">
        <f>IFERROR(__xludf.DUMMYFUNCTION("""COMPUTED_VALUE"""),"")</f>
        <v/>
      </c>
    </row>
    <row r="3226">
      <c r="A3226" s="16" t="s">
        <v>87</v>
      </c>
      <c r="E3226" s="16" t="str">
        <f>IFERROR(__xludf.DUMMYFUNCTION("""COMPUTED_VALUE"""),"")</f>
        <v/>
      </c>
      <c r="G3226" s="18"/>
      <c r="H3226" s="16" t="s">
        <v>87</v>
      </c>
      <c r="I3226" s="16" t="s">
        <v>87</v>
      </c>
      <c r="J3226" s="19"/>
      <c r="L3226" s="16" t="str">
        <f>IFERROR(__xludf.DUMMYFUNCTION("""COMPUTED_VALUE"""),"")</f>
        <v/>
      </c>
      <c r="M3226" s="16" t="str">
        <f>IFERROR(__xludf.DUMMYFUNCTION("""COMPUTED_VALUE"""),"")</f>
        <v/>
      </c>
      <c r="U3226" s="16" t="s">
        <v>87</v>
      </c>
      <c r="V3226" s="16" t="str">
        <f>IFERROR(__xludf.DUMMYFUNCTION("""COMPUTED_VALUE"""),"")</f>
        <v/>
      </c>
      <c r="W3226" s="16" t="str">
        <f>IFERROR(__xludf.DUMMYFUNCTION("""COMPUTED_VALUE"""),"")</f>
        <v/>
      </c>
      <c r="X3226" s="16" t="str">
        <f>IFERROR(__xludf.DUMMYFUNCTION("""COMPUTED_VALUE"""),"")</f>
        <v/>
      </c>
      <c r="AC3226" s="16" t="str">
        <f>IFERROR(__xludf.DUMMYFUNCTION("""COMPUTED_VALUE"""),"")</f>
        <v/>
      </c>
    </row>
    <row r="3227">
      <c r="A3227" s="16" t="s">
        <v>87</v>
      </c>
      <c r="E3227" s="16" t="str">
        <f>IFERROR(__xludf.DUMMYFUNCTION("""COMPUTED_VALUE"""),"")</f>
        <v/>
      </c>
      <c r="G3227" s="18"/>
      <c r="H3227" s="16" t="s">
        <v>87</v>
      </c>
      <c r="I3227" s="16" t="s">
        <v>87</v>
      </c>
      <c r="J3227" s="19"/>
      <c r="L3227" s="16" t="str">
        <f>IFERROR(__xludf.DUMMYFUNCTION("""COMPUTED_VALUE"""),"")</f>
        <v/>
      </c>
      <c r="M3227" s="16" t="str">
        <f>IFERROR(__xludf.DUMMYFUNCTION("""COMPUTED_VALUE"""),"")</f>
        <v/>
      </c>
      <c r="U3227" s="16" t="s">
        <v>87</v>
      </c>
      <c r="V3227" s="16" t="str">
        <f>IFERROR(__xludf.DUMMYFUNCTION("""COMPUTED_VALUE"""),"")</f>
        <v/>
      </c>
      <c r="W3227" s="16" t="str">
        <f>IFERROR(__xludf.DUMMYFUNCTION("""COMPUTED_VALUE"""),"")</f>
        <v/>
      </c>
      <c r="X3227" s="16" t="str">
        <f>IFERROR(__xludf.DUMMYFUNCTION("""COMPUTED_VALUE"""),"")</f>
        <v/>
      </c>
      <c r="AC3227" s="16" t="str">
        <f>IFERROR(__xludf.DUMMYFUNCTION("""COMPUTED_VALUE"""),"")</f>
        <v/>
      </c>
    </row>
    <row r="3228">
      <c r="A3228" s="16" t="s">
        <v>87</v>
      </c>
      <c r="E3228" s="16" t="str">
        <f>IFERROR(__xludf.DUMMYFUNCTION("""COMPUTED_VALUE"""),"")</f>
        <v/>
      </c>
      <c r="G3228" s="18"/>
      <c r="H3228" s="16" t="s">
        <v>87</v>
      </c>
      <c r="I3228" s="16" t="s">
        <v>87</v>
      </c>
      <c r="J3228" s="19"/>
      <c r="L3228" s="16" t="str">
        <f>IFERROR(__xludf.DUMMYFUNCTION("""COMPUTED_VALUE"""),"")</f>
        <v/>
      </c>
      <c r="M3228" s="16" t="str">
        <f>IFERROR(__xludf.DUMMYFUNCTION("""COMPUTED_VALUE"""),"")</f>
        <v/>
      </c>
      <c r="U3228" s="16" t="s">
        <v>87</v>
      </c>
      <c r="V3228" s="16" t="str">
        <f>IFERROR(__xludf.DUMMYFUNCTION("""COMPUTED_VALUE"""),"")</f>
        <v/>
      </c>
      <c r="W3228" s="16" t="str">
        <f>IFERROR(__xludf.DUMMYFUNCTION("""COMPUTED_VALUE"""),"")</f>
        <v/>
      </c>
      <c r="X3228" s="16" t="str">
        <f>IFERROR(__xludf.DUMMYFUNCTION("""COMPUTED_VALUE"""),"")</f>
        <v/>
      </c>
      <c r="AC3228" s="16" t="str">
        <f>IFERROR(__xludf.DUMMYFUNCTION("""COMPUTED_VALUE"""),"")</f>
        <v/>
      </c>
    </row>
    <row r="3229">
      <c r="A3229" s="16" t="s">
        <v>87</v>
      </c>
      <c r="E3229" s="16" t="str">
        <f>IFERROR(__xludf.DUMMYFUNCTION("""COMPUTED_VALUE"""),"")</f>
        <v/>
      </c>
      <c r="G3229" s="18"/>
      <c r="H3229" s="16" t="s">
        <v>87</v>
      </c>
      <c r="I3229" s="16" t="s">
        <v>87</v>
      </c>
      <c r="J3229" s="19"/>
      <c r="L3229" s="16" t="str">
        <f>IFERROR(__xludf.DUMMYFUNCTION("""COMPUTED_VALUE"""),"")</f>
        <v/>
      </c>
      <c r="M3229" s="16" t="str">
        <f>IFERROR(__xludf.DUMMYFUNCTION("""COMPUTED_VALUE"""),"")</f>
        <v/>
      </c>
      <c r="U3229" s="16" t="s">
        <v>87</v>
      </c>
      <c r="V3229" s="16" t="str">
        <f>IFERROR(__xludf.DUMMYFUNCTION("""COMPUTED_VALUE"""),"")</f>
        <v/>
      </c>
      <c r="W3229" s="16" t="str">
        <f>IFERROR(__xludf.DUMMYFUNCTION("""COMPUTED_VALUE"""),"")</f>
        <v/>
      </c>
      <c r="X3229" s="16" t="str">
        <f>IFERROR(__xludf.DUMMYFUNCTION("""COMPUTED_VALUE"""),"")</f>
        <v/>
      </c>
      <c r="AC3229" s="16" t="str">
        <f>IFERROR(__xludf.DUMMYFUNCTION("""COMPUTED_VALUE"""),"")</f>
        <v/>
      </c>
    </row>
    <row r="3230">
      <c r="A3230" s="16" t="s">
        <v>87</v>
      </c>
      <c r="E3230" s="16" t="str">
        <f>IFERROR(__xludf.DUMMYFUNCTION("""COMPUTED_VALUE"""),"")</f>
        <v/>
      </c>
      <c r="G3230" s="18"/>
      <c r="H3230" s="16" t="s">
        <v>87</v>
      </c>
      <c r="I3230" s="16" t="s">
        <v>87</v>
      </c>
      <c r="J3230" s="19"/>
      <c r="L3230" s="16" t="str">
        <f>IFERROR(__xludf.DUMMYFUNCTION("""COMPUTED_VALUE"""),"")</f>
        <v/>
      </c>
      <c r="M3230" s="16" t="str">
        <f>IFERROR(__xludf.DUMMYFUNCTION("""COMPUTED_VALUE"""),"")</f>
        <v/>
      </c>
      <c r="U3230" s="16" t="s">
        <v>87</v>
      </c>
      <c r="V3230" s="16" t="str">
        <f>IFERROR(__xludf.DUMMYFUNCTION("""COMPUTED_VALUE"""),"")</f>
        <v/>
      </c>
      <c r="W3230" s="16" t="str">
        <f>IFERROR(__xludf.DUMMYFUNCTION("""COMPUTED_VALUE"""),"")</f>
        <v/>
      </c>
      <c r="X3230" s="16" t="str">
        <f>IFERROR(__xludf.DUMMYFUNCTION("""COMPUTED_VALUE"""),"")</f>
        <v/>
      </c>
      <c r="AC3230" s="16" t="str">
        <f>IFERROR(__xludf.DUMMYFUNCTION("""COMPUTED_VALUE"""),"")</f>
        <v/>
      </c>
    </row>
    <row r="3231">
      <c r="A3231" s="16" t="s">
        <v>87</v>
      </c>
      <c r="E3231" s="16" t="str">
        <f>IFERROR(__xludf.DUMMYFUNCTION("""COMPUTED_VALUE"""),"")</f>
        <v/>
      </c>
      <c r="G3231" s="18"/>
      <c r="H3231" s="16" t="s">
        <v>87</v>
      </c>
      <c r="I3231" s="16" t="s">
        <v>87</v>
      </c>
      <c r="J3231" s="19"/>
      <c r="L3231" s="16" t="str">
        <f>IFERROR(__xludf.DUMMYFUNCTION("""COMPUTED_VALUE"""),"")</f>
        <v/>
      </c>
      <c r="M3231" s="16" t="str">
        <f>IFERROR(__xludf.DUMMYFUNCTION("""COMPUTED_VALUE"""),"")</f>
        <v/>
      </c>
      <c r="U3231" s="16" t="s">
        <v>87</v>
      </c>
      <c r="V3231" s="16" t="str">
        <f>IFERROR(__xludf.DUMMYFUNCTION("""COMPUTED_VALUE"""),"")</f>
        <v/>
      </c>
      <c r="W3231" s="16" t="str">
        <f>IFERROR(__xludf.DUMMYFUNCTION("""COMPUTED_VALUE"""),"")</f>
        <v/>
      </c>
      <c r="X3231" s="16" t="str">
        <f>IFERROR(__xludf.DUMMYFUNCTION("""COMPUTED_VALUE"""),"")</f>
        <v/>
      </c>
      <c r="AC3231" s="16" t="str">
        <f>IFERROR(__xludf.DUMMYFUNCTION("""COMPUTED_VALUE"""),"")</f>
        <v/>
      </c>
    </row>
    <row r="3232">
      <c r="A3232" s="16" t="s">
        <v>87</v>
      </c>
      <c r="E3232" s="16" t="str">
        <f>IFERROR(__xludf.DUMMYFUNCTION("""COMPUTED_VALUE"""),"")</f>
        <v/>
      </c>
      <c r="G3232" s="18"/>
      <c r="H3232" s="16" t="s">
        <v>87</v>
      </c>
      <c r="I3232" s="16" t="s">
        <v>87</v>
      </c>
      <c r="J3232" s="19"/>
      <c r="L3232" s="16" t="str">
        <f>IFERROR(__xludf.DUMMYFUNCTION("""COMPUTED_VALUE"""),"")</f>
        <v/>
      </c>
      <c r="M3232" s="16" t="str">
        <f>IFERROR(__xludf.DUMMYFUNCTION("""COMPUTED_VALUE"""),"")</f>
        <v/>
      </c>
      <c r="U3232" s="16" t="s">
        <v>87</v>
      </c>
      <c r="V3232" s="16" t="str">
        <f>IFERROR(__xludf.DUMMYFUNCTION("""COMPUTED_VALUE"""),"")</f>
        <v/>
      </c>
      <c r="W3232" s="16" t="str">
        <f>IFERROR(__xludf.DUMMYFUNCTION("""COMPUTED_VALUE"""),"")</f>
        <v/>
      </c>
      <c r="X3232" s="16" t="str">
        <f>IFERROR(__xludf.DUMMYFUNCTION("""COMPUTED_VALUE"""),"")</f>
        <v/>
      </c>
      <c r="AC3232" s="16" t="str">
        <f>IFERROR(__xludf.DUMMYFUNCTION("""COMPUTED_VALUE"""),"")</f>
        <v/>
      </c>
    </row>
    <row r="3233">
      <c r="A3233" s="16" t="s">
        <v>87</v>
      </c>
      <c r="E3233" s="16" t="str">
        <f>IFERROR(__xludf.DUMMYFUNCTION("""COMPUTED_VALUE"""),"")</f>
        <v/>
      </c>
      <c r="G3233" s="18"/>
      <c r="H3233" s="16" t="s">
        <v>87</v>
      </c>
      <c r="I3233" s="16" t="s">
        <v>87</v>
      </c>
      <c r="J3233" s="19"/>
      <c r="L3233" s="16" t="str">
        <f>IFERROR(__xludf.DUMMYFUNCTION("""COMPUTED_VALUE"""),"")</f>
        <v/>
      </c>
      <c r="M3233" s="16" t="str">
        <f>IFERROR(__xludf.DUMMYFUNCTION("""COMPUTED_VALUE"""),"")</f>
        <v/>
      </c>
      <c r="U3233" s="16" t="s">
        <v>87</v>
      </c>
      <c r="V3233" s="16" t="str">
        <f>IFERROR(__xludf.DUMMYFUNCTION("""COMPUTED_VALUE"""),"")</f>
        <v/>
      </c>
      <c r="W3233" s="16" t="str">
        <f>IFERROR(__xludf.DUMMYFUNCTION("""COMPUTED_VALUE"""),"")</f>
        <v/>
      </c>
      <c r="X3233" s="16" t="str">
        <f>IFERROR(__xludf.DUMMYFUNCTION("""COMPUTED_VALUE"""),"")</f>
        <v/>
      </c>
      <c r="AC3233" s="16" t="str">
        <f>IFERROR(__xludf.DUMMYFUNCTION("""COMPUTED_VALUE"""),"")</f>
        <v/>
      </c>
    </row>
    <row r="3234">
      <c r="A3234" s="16" t="s">
        <v>87</v>
      </c>
      <c r="E3234" s="16" t="str">
        <f>IFERROR(__xludf.DUMMYFUNCTION("""COMPUTED_VALUE"""),"")</f>
        <v/>
      </c>
      <c r="G3234" s="18"/>
      <c r="H3234" s="16" t="s">
        <v>87</v>
      </c>
      <c r="I3234" s="16" t="s">
        <v>87</v>
      </c>
      <c r="J3234" s="19"/>
      <c r="L3234" s="16" t="str">
        <f>IFERROR(__xludf.DUMMYFUNCTION("""COMPUTED_VALUE"""),"")</f>
        <v/>
      </c>
      <c r="M3234" s="16" t="str">
        <f>IFERROR(__xludf.DUMMYFUNCTION("""COMPUTED_VALUE"""),"")</f>
        <v/>
      </c>
      <c r="U3234" s="16" t="s">
        <v>87</v>
      </c>
      <c r="V3234" s="16" t="str">
        <f>IFERROR(__xludf.DUMMYFUNCTION("""COMPUTED_VALUE"""),"")</f>
        <v/>
      </c>
      <c r="W3234" s="16" t="str">
        <f>IFERROR(__xludf.DUMMYFUNCTION("""COMPUTED_VALUE"""),"")</f>
        <v/>
      </c>
      <c r="X3234" s="16" t="str">
        <f>IFERROR(__xludf.DUMMYFUNCTION("""COMPUTED_VALUE"""),"")</f>
        <v/>
      </c>
      <c r="AC3234" s="16" t="str">
        <f>IFERROR(__xludf.DUMMYFUNCTION("""COMPUTED_VALUE"""),"")</f>
        <v/>
      </c>
    </row>
    <row r="3235">
      <c r="A3235" s="16" t="s">
        <v>87</v>
      </c>
      <c r="E3235" s="16" t="str">
        <f>IFERROR(__xludf.DUMMYFUNCTION("""COMPUTED_VALUE"""),"")</f>
        <v/>
      </c>
      <c r="G3235" s="18"/>
      <c r="H3235" s="16" t="s">
        <v>87</v>
      </c>
      <c r="I3235" s="16" t="s">
        <v>87</v>
      </c>
      <c r="J3235" s="19"/>
      <c r="L3235" s="16" t="str">
        <f>IFERROR(__xludf.DUMMYFUNCTION("""COMPUTED_VALUE"""),"")</f>
        <v/>
      </c>
      <c r="M3235" s="16" t="str">
        <f>IFERROR(__xludf.DUMMYFUNCTION("""COMPUTED_VALUE"""),"")</f>
        <v/>
      </c>
      <c r="U3235" s="16" t="s">
        <v>87</v>
      </c>
      <c r="V3235" s="16" t="str">
        <f>IFERROR(__xludf.DUMMYFUNCTION("""COMPUTED_VALUE"""),"")</f>
        <v/>
      </c>
      <c r="W3235" s="16" t="str">
        <f>IFERROR(__xludf.DUMMYFUNCTION("""COMPUTED_VALUE"""),"")</f>
        <v/>
      </c>
      <c r="X3235" s="16" t="str">
        <f>IFERROR(__xludf.DUMMYFUNCTION("""COMPUTED_VALUE"""),"")</f>
        <v/>
      </c>
      <c r="AC3235" s="16" t="str">
        <f>IFERROR(__xludf.DUMMYFUNCTION("""COMPUTED_VALUE"""),"")</f>
        <v/>
      </c>
    </row>
    <row r="3236">
      <c r="A3236" s="16" t="s">
        <v>87</v>
      </c>
      <c r="E3236" s="16" t="str">
        <f>IFERROR(__xludf.DUMMYFUNCTION("""COMPUTED_VALUE"""),"")</f>
        <v/>
      </c>
      <c r="G3236" s="18"/>
      <c r="H3236" s="16" t="s">
        <v>87</v>
      </c>
      <c r="I3236" s="16" t="s">
        <v>87</v>
      </c>
      <c r="J3236" s="19"/>
      <c r="L3236" s="16" t="str">
        <f>IFERROR(__xludf.DUMMYFUNCTION("""COMPUTED_VALUE"""),"")</f>
        <v/>
      </c>
      <c r="M3236" s="16" t="str">
        <f>IFERROR(__xludf.DUMMYFUNCTION("""COMPUTED_VALUE"""),"")</f>
        <v/>
      </c>
      <c r="U3236" s="16" t="s">
        <v>87</v>
      </c>
      <c r="V3236" s="16" t="str">
        <f>IFERROR(__xludf.DUMMYFUNCTION("""COMPUTED_VALUE"""),"")</f>
        <v/>
      </c>
      <c r="W3236" s="16" t="str">
        <f>IFERROR(__xludf.DUMMYFUNCTION("""COMPUTED_VALUE"""),"")</f>
        <v/>
      </c>
      <c r="X3236" s="16" t="str">
        <f>IFERROR(__xludf.DUMMYFUNCTION("""COMPUTED_VALUE"""),"")</f>
        <v/>
      </c>
      <c r="AC3236" s="16" t="str">
        <f>IFERROR(__xludf.DUMMYFUNCTION("""COMPUTED_VALUE"""),"")</f>
        <v/>
      </c>
    </row>
    <row r="3237">
      <c r="A3237" s="16" t="s">
        <v>87</v>
      </c>
      <c r="E3237" s="16" t="str">
        <f>IFERROR(__xludf.DUMMYFUNCTION("""COMPUTED_VALUE"""),"")</f>
        <v/>
      </c>
      <c r="G3237" s="18"/>
      <c r="H3237" s="16" t="s">
        <v>87</v>
      </c>
      <c r="I3237" s="16" t="s">
        <v>87</v>
      </c>
      <c r="J3237" s="19"/>
      <c r="L3237" s="16" t="str">
        <f>IFERROR(__xludf.DUMMYFUNCTION("""COMPUTED_VALUE"""),"")</f>
        <v/>
      </c>
      <c r="M3237" s="16" t="str">
        <f>IFERROR(__xludf.DUMMYFUNCTION("""COMPUTED_VALUE"""),"")</f>
        <v/>
      </c>
      <c r="U3237" s="16" t="s">
        <v>87</v>
      </c>
      <c r="V3237" s="16" t="str">
        <f>IFERROR(__xludf.DUMMYFUNCTION("""COMPUTED_VALUE"""),"")</f>
        <v/>
      </c>
      <c r="W3237" s="16" t="str">
        <f>IFERROR(__xludf.DUMMYFUNCTION("""COMPUTED_VALUE"""),"")</f>
        <v/>
      </c>
      <c r="X3237" s="16" t="str">
        <f>IFERROR(__xludf.DUMMYFUNCTION("""COMPUTED_VALUE"""),"")</f>
        <v/>
      </c>
      <c r="AC3237" s="16" t="str">
        <f>IFERROR(__xludf.DUMMYFUNCTION("""COMPUTED_VALUE"""),"")</f>
        <v/>
      </c>
    </row>
    <row r="3238">
      <c r="A3238" s="16" t="s">
        <v>87</v>
      </c>
      <c r="E3238" s="16" t="str">
        <f>IFERROR(__xludf.DUMMYFUNCTION("""COMPUTED_VALUE"""),"")</f>
        <v/>
      </c>
      <c r="G3238" s="18"/>
      <c r="H3238" s="16" t="s">
        <v>87</v>
      </c>
      <c r="I3238" s="16" t="s">
        <v>87</v>
      </c>
      <c r="J3238" s="19"/>
      <c r="L3238" s="16" t="str">
        <f>IFERROR(__xludf.DUMMYFUNCTION("""COMPUTED_VALUE"""),"")</f>
        <v/>
      </c>
      <c r="M3238" s="16" t="str">
        <f>IFERROR(__xludf.DUMMYFUNCTION("""COMPUTED_VALUE"""),"")</f>
        <v/>
      </c>
      <c r="U3238" s="16" t="s">
        <v>87</v>
      </c>
      <c r="V3238" s="16" t="str">
        <f>IFERROR(__xludf.DUMMYFUNCTION("""COMPUTED_VALUE"""),"")</f>
        <v/>
      </c>
      <c r="W3238" s="16" t="str">
        <f>IFERROR(__xludf.DUMMYFUNCTION("""COMPUTED_VALUE"""),"")</f>
        <v/>
      </c>
      <c r="X3238" s="16" t="str">
        <f>IFERROR(__xludf.DUMMYFUNCTION("""COMPUTED_VALUE"""),"")</f>
        <v/>
      </c>
      <c r="AC3238" s="16" t="str">
        <f>IFERROR(__xludf.DUMMYFUNCTION("""COMPUTED_VALUE"""),"")</f>
        <v/>
      </c>
    </row>
    <row r="3239">
      <c r="A3239" s="16" t="s">
        <v>87</v>
      </c>
      <c r="E3239" s="16" t="str">
        <f>IFERROR(__xludf.DUMMYFUNCTION("""COMPUTED_VALUE"""),"")</f>
        <v/>
      </c>
      <c r="G3239" s="18"/>
      <c r="H3239" s="16" t="s">
        <v>87</v>
      </c>
      <c r="I3239" s="16" t="s">
        <v>87</v>
      </c>
      <c r="J3239" s="19"/>
      <c r="L3239" s="16" t="str">
        <f>IFERROR(__xludf.DUMMYFUNCTION("""COMPUTED_VALUE"""),"")</f>
        <v/>
      </c>
      <c r="M3239" s="16" t="str">
        <f>IFERROR(__xludf.DUMMYFUNCTION("""COMPUTED_VALUE"""),"")</f>
        <v/>
      </c>
      <c r="U3239" s="16" t="s">
        <v>87</v>
      </c>
      <c r="V3239" s="16" t="str">
        <f>IFERROR(__xludf.DUMMYFUNCTION("""COMPUTED_VALUE"""),"")</f>
        <v/>
      </c>
      <c r="W3239" s="16" t="str">
        <f>IFERROR(__xludf.DUMMYFUNCTION("""COMPUTED_VALUE"""),"")</f>
        <v/>
      </c>
      <c r="X3239" s="16" t="str">
        <f>IFERROR(__xludf.DUMMYFUNCTION("""COMPUTED_VALUE"""),"")</f>
        <v/>
      </c>
      <c r="AC3239" s="16" t="str">
        <f>IFERROR(__xludf.DUMMYFUNCTION("""COMPUTED_VALUE"""),"")</f>
        <v/>
      </c>
    </row>
    <row r="3240">
      <c r="A3240" s="16" t="s">
        <v>87</v>
      </c>
      <c r="E3240" s="16" t="str">
        <f>IFERROR(__xludf.DUMMYFUNCTION("""COMPUTED_VALUE"""),"")</f>
        <v/>
      </c>
      <c r="G3240" s="18"/>
      <c r="H3240" s="16" t="s">
        <v>87</v>
      </c>
      <c r="I3240" s="16" t="s">
        <v>87</v>
      </c>
      <c r="J3240" s="19"/>
      <c r="L3240" s="16" t="str">
        <f>IFERROR(__xludf.DUMMYFUNCTION("""COMPUTED_VALUE"""),"")</f>
        <v/>
      </c>
      <c r="M3240" s="16" t="str">
        <f>IFERROR(__xludf.DUMMYFUNCTION("""COMPUTED_VALUE"""),"")</f>
        <v/>
      </c>
      <c r="U3240" s="16" t="s">
        <v>87</v>
      </c>
      <c r="V3240" s="16" t="str">
        <f>IFERROR(__xludf.DUMMYFUNCTION("""COMPUTED_VALUE"""),"")</f>
        <v/>
      </c>
      <c r="W3240" s="16" t="str">
        <f>IFERROR(__xludf.DUMMYFUNCTION("""COMPUTED_VALUE"""),"")</f>
        <v/>
      </c>
      <c r="X3240" s="16" t="str">
        <f>IFERROR(__xludf.DUMMYFUNCTION("""COMPUTED_VALUE"""),"")</f>
        <v/>
      </c>
      <c r="AC3240" s="16" t="str">
        <f>IFERROR(__xludf.DUMMYFUNCTION("""COMPUTED_VALUE"""),"")</f>
        <v/>
      </c>
    </row>
    <row r="3241">
      <c r="A3241" s="16" t="s">
        <v>87</v>
      </c>
      <c r="E3241" s="16" t="str">
        <f>IFERROR(__xludf.DUMMYFUNCTION("""COMPUTED_VALUE"""),"")</f>
        <v/>
      </c>
      <c r="G3241" s="18"/>
      <c r="H3241" s="16" t="s">
        <v>87</v>
      </c>
      <c r="I3241" s="16" t="s">
        <v>87</v>
      </c>
      <c r="J3241" s="19"/>
      <c r="L3241" s="16" t="str">
        <f>IFERROR(__xludf.DUMMYFUNCTION("""COMPUTED_VALUE"""),"")</f>
        <v/>
      </c>
      <c r="M3241" s="16" t="str">
        <f>IFERROR(__xludf.DUMMYFUNCTION("""COMPUTED_VALUE"""),"")</f>
        <v/>
      </c>
      <c r="U3241" s="16" t="s">
        <v>87</v>
      </c>
      <c r="V3241" s="16" t="str">
        <f>IFERROR(__xludf.DUMMYFUNCTION("""COMPUTED_VALUE"""),"")</f>
        <v/>
      </c>
      <c r="W3241" s="16" t="str">
        <f>IFERROR(__xludf.DUMMYFUNCTION("""COMPUTED_VALUE"""),"")</f>
        <v/>
      </c>
      <c r="X3241" s="16" t="str">
        <f>IFERROR(__xludf.DUMMYFUNCTION("""COMPUTED_VALUE"""),"")</f>
        <v/>
      </c>
      <c r="AC3241" s="16" t="str">
        <f>IFERROR(__xludf.DUMMYFUNCTION("""COMPUTED_VALUE"""),"")</f>
        <v/>
      </c>
    </row>
    <row r="3242">
      <c r="A3242" s="16" t="s">
        <v>87</v>
      </c>
      <c r="E3242" s="16" t="str">
        <f>IFERROR(__xludf.DUMMYFUNCTION("""COMPUTED_VALUE"""),"")</f>
        <v/>
      </c>
      <c r="G3242" s="18"/>
      <c r="H3242" s="16" t="s">
        <v>87</v>
      </c>
      <c r="I3242" s="16" t="s">
        <v>87</v>
      </c>
      <c r="J3242" s="19"/>
      <c r="L3242" s="16" t="str">
        <f>IFERROR(__xludf.DUMMYFUNCTION("""COMPUTED_VALUE"""),"")</f>
        <v/>
      </c>
      <c r="M3242" s="16" t="str">
        <f>IFERROR(__xludf.DUMMYFUNCTION("""COMPUTED_VALUE"""),"")</f>
        <v/>
      </c>
      <c r="U3242" s="16" t="s">
        <v>87</v>
      </c>
      <c r="V3242" s="16" t="str">
        <f>IFERROR(__xludf.DUMMYFUNCTION("""COMPUTED_VALUE"""),"")</f>
        <v/>
      </c>
      <c r="W3242" s="16" t="str">
        <f>IFERROR(__xludf.DUMMYFUNCTION("""COMPUTED_VALUE"""),"")</f>
        <v/>
      </c>
      <c r="X3242" s="16" t="str">
        <f>IFERROR(__xludf.DUMMYFUNCTION("""COMPUTED_VALUE"""),"")</f>
        <v/>
      </c>
      <c r="AC3242" s="16" t="str">
        <f>IFERROR(__xludf.DUMMYFUNCTION("""COMPUTED_VALUE"""),"")</f>
        <v/>
      </c>
    </row>
    <row r="3243">
      <c r="A3243" s="16" t="s">
        <v>87</v>
      </c>
      <c r="E3243" s="16" t="str">
        <f>IFERROR(__xludf.DUMMYFUNCTION("""COMPUTED_VALUE"""),"")</f>
        <v/>
      </c>
      <c r="G3243" s="18"/>
      <c r="H3243" s="16" t="s">
        <v>87</v>
      </c>
      <c r="I3243" s="16" t="s">
        <v>87</v>
      </c>
      <c r="J3243" s="19"/>
      <c r="L3243" s="16" t="str">
        <f>IFERROR(__xludf.DUMMYFUNCTION("""COMPUTED_VALUE"""),"")</f>
        <v/>
      </c>
      <c r="M3243" s="16" t="str">
        <f>IFERROR(__xludf.DUMMYFUNCTION("""COMPUTED_VALUE"""),"")</f>
        <v/>
      </c>
      <c r="U3243" s="16" t="s">
        <v>87</v>
      </c>
      <c r="V3243" s="16" t="str">
        <f>IFERROR(__xludf.DUMMYFUNCTION("""COMPUTED_VALUE"""),"")</f>
        <v/>
      </c>
      <c r="W3243" s="16" t="str">
        <f>IFERROR(__xludf.DUMMYFUNCTION("""COMPUTED_VALUE"""),"")</f>
        <v/>
      </c>
      <c r="X3243" s="16" t="str">
        <f>IFERROR(__xludf.DUMMYFUNCTION("""COMPUTED_VALUE"""),"")</f>
        <v/>
      </c>
      <c r="AC3243" s="16" t="str">
        <f>IFERROR(__xludf.DUMMYFUNCTION("""COMPUTED_VALUE"""),"")</f>
        <v/>
      </c>
    </row>
    <row r="3244">
      <c r="A3244" s="16" t="s">
        <v>87</v>
      </c>
      <c r="E3244" s="16" t="str">
        <f>IFERROR(__xludf.DUMMYFUNCTION("""COMPUTED_VALUE"""),"")</f>
        <v/>
      </c>
      <c r="G3244" s="18"/>
      <c r="H3244" s="16" t="s">
        <v>87</v>
      </c>
      <c r="I3244" s="16" t="s">
        <v>87</v>
      </c>
      <c r="J3244" s="19"/>
      <c r="L3244" s="16" t="str">
        <f>IFERROR(__xludf.DUMMYFUNCTION("""COMPUTED_VALUE"""),"")</f>
        <v/>
      </c>
      <c r="M3244" s="16" t="str">
        <f>IFERROR(__xludf.DUMMYFUNCTION("""COMPUTED_VALUE"""),"")</f>
        <v/>
      </c>
      <c r="U3244" s="16" t="s">
        <v>87</v>
      </c>
      <c r="V3244" s="16" t="str">
        <f>IFERROR(__xludf.DUMMYFUNCTION("""COMPUTED_VALUE"""),"")</f>
        <v/>
      </c>
      <c r="W3244" s="16" t="str">
        <f>IFERROR(__xludf.DUMMYFUNCTION("""COMPUTED_VALUE"""),"")</f>
        <v/>
      </c>
      <c r="X3244" s="16" t="str">
        <f>IFERROR(__xludf.DUMMYFUNCTION("""COMPUTED_VALUE"""),"")</f>
        <v/>
      </c>
      <c r="AC3244" s="16" t="str">
        <f>IFERROR(__xludf.DUMMYFUNCTION("""COMPUTED_VALUE"""),"")</f>
        <v/>
      </c>
    </row>
    <row r="3245">
      <c r="A3245" s="16" t="s">
        <v>87</v>
      </c>
      <c r="E3245" s="16" t="str">
        <f>IFERROR(__xludf.DUMMYFUNCTION("""COMPUTED_VALUE"""),"")</f>
        <v/>
      </c>
      <c r="G3245" s="18"/>
      <c r="H3245" s="16" t="s">
        <v>87</v>
      </c>
      <c r="I3245" s="16" t="s">
        <v>87</v>
      </c>
      <c r="J3245" s="19"/>
      <c r="L3245" s="16" t="str">
        <f>IFERROR(__xludf.DUMMYFUNCTION("""COMPUTED_VALUE"""),"")</f>
        <v/>
      </c>
      <c r="M3245" s="16" t="str">
        <f>IFERROR(__xludf.DUMMYFUNCTION("""COMPUTED_VALUE"""),"")</f>
        <v/>
      </c>
      <c r="U3245" s="16" t="s">
        <v>87</v>
      </c>
      <c r="V3245" s="16" t="str">
        <f>IFERROR(__xludf.DUMMYFUNCTION("""COMPUTED_VALUE"""),"")</f>
        <v/>
      </c>
      <c r="W3245" s="16" t="str">
        <f>IFERROR(__xludf.DUMMYFUNCTION("""COMPUTED_VALUE"""),"")</f>
        <v/>
      </c>
      <c r="X3245" s="16" t="str">
        <f>IFERROR(__xludf.DUMMYFUNCTION("""COMPUTED_VALUE"""),"")</f>
        <v/>
      </c>
      <c r="AC3245" s="16" t="str">
        <f>IFERROR(__xludf.DUMMYFUNCTION("""COMPUTED_VALUE"""),"")</f>
        <v/>
      </c>
    </row>
    <row r="3246">
      <c r="A3246" s="16" t="s">
        <v>87</v>
      </c>
      <c r="E3246" s="16" t="str">
        <f>IFERROR(__xludf.DUMMYFUNCTION("""COMPUTED_VALUE"""),"")</f>
        <v/>
      </c>
      <c r="G3246" s="18"/>
      <c r="H3246" s="16" t="s">
        <v>87</v>
      </c>
      <c r="I3246" s="16" t="s">
        <v>87</v>
      </c>
      <c r="J3246" s="19"/>
      <c r="L3246" s="16" t="str">
        <f>IFERROR(__xludf.DUMMYFUNCTION("""COMPUTED_VALUE"""),"")</f>
        <v/>
      </c>
      <c r="M3246" s="16" t="str">
        <f>IFERROR(__xludf.DUMMYFUNCTION("""COMPUTED_VALUE"""),"")</f>
        <v/>
      </c>
      <c r="U3246" s="16" t="s">
        <v>87</v>
      </c>
      <c r="V3246" s="16" t="str">
        <f>IFERROR(__xludf.DUMMYFUNCTION("""COMPUTED_VALUE"""),"")</f>
        <v/>
      </c>
      <c r="W3246" s="16" t="str">
        <f>IFERROR(__xludf.DUMMYFUNCTION("""COMPUTED_VALUE"""),"")</f>
        <v/>
      </c>
      <c r="X3246" s="16" t="str">
        <f>IFERROR(__xludf.DUMMYFUNCTION("""COMPUTED_VALUE"""),"")</f>
        <v/>
      </c>
      <c r="AC3246" s="16" t="str">
        <f>IFERROR(__xludf.DUMMYFUNCTION("""COMPUTED_VALUE"""),"")</f>
        <v/>
      </c>
    </row>
    <row r="3247">
      <c r="A3247" s="16" t="s">
        <v>87</v>
      </c>
      <c r="E3247" s="16" t="str">
        <f>IFERROR(__xludf.DUMMYFUNCTION("""COMPUTED_VALUE"""),"")</f>
        <v/>
      </c>
      <c r="G3247" s="18"/>
      <c r="H3247" s="16" t="s">
        <v>87</v>
      </c>
      <c r="I3247" s="16" t="s">
        <v>87</v>
      </c>
      <c r="J3247" s="19"/>
      <c r="L3247" s="16" t="str">
        <f>IFERROR(__xludf.DUMMYFUNCTION("""COMPUTED_VALUE"""),"")</f>
        <v/>
      </c>
      <c r="M3247" s="16" t="str">
        <f>IFERROR(__xludf.DUMMYFUNCTION("""COMPUTED_VALUE"""),"")</f>
        <v/>
      </c>
      <c r="U3247" s="16" t="s">
        <v>87</v>
      </c>
      <c r="V3247" s="16" t="str">
        <f>IFERROR(__xludf.DUMMYFUNCTION("""COMPUTED_VALUE"""),"")</f>
        <v/>
      </c>
      <c r="W3247" s="16" t="str">
        <f>IFERROR(__xludf.DUMMYFUNCTION("""COMPUTED_VALUE"""),"")</f>
        <v/>
      </c>
      <c r="X3247" s="16" t="str">
        <f>IFERROR(__xludf.DUMMYFUNCTION("""COMPUTED_VALUE"""),"")</f>
        <v/>
      </c>
      <c r="AC3247" s="16" t="str">
        <f>IFERROR(__xludf.DUMMYFUNCTION("""COMPUTED_VALUE"""),"")</f>
        <v/>
      </c>
    </row>
    <row r="3248">
      <c r="A3248" s="16" t="s">
        <v>87</v>
      </c>
      <c r="E3248" s="16" t="str">
        <f>IFERROR(__xludf.DUMMYFUNCTION("""COMPUTED_VALUE"""),"")</f>
        <v/>
      </c>
      <c r="G3248" s="18"/>
      <c r="H3248" s="16" t="s">
        <v>87</v>
      </c>
      <c r="I3248" s="16" t="s">
        <v>87</v>
      </c>
      <c r="J3248" s="19"/>
      <c r="L3248" s="16" t="str">
        <f>IFERROR(__xludf.DUMMYFUNCTION("""COMPUTED_VALUE"""),"")</f>
        <v/>
      </c>
      <c r="M3248" s="16" t="str">
        <f>IFERROR(__xludf.DUMMYFUNCTION("""COMPUTED_VALUE"""),"")</f>
        <v/>
      </c>
      <c r="U3248" s="16" t="s">
        <v>87</v>
      </c>
      <c r="V3248" s="16" t="str">
        <f>IFERROR(__xludf.DUMMYFUNCTION("""COMPUTED_VALUE"""),"")</f>
        <v/>
      </c>
      <c r="W3248" s="16" t="str">
        <f>IFERROR(__xludf.DUMMYFUNCTION("""COMPUTED_VALUE"""),"")</f>
        <v/>
      </c>
      <c r="X3248" s="16" t="str">
        <f>IFERROR(__xludf.DUMMYFUNCTION("""COMPUTED_VALUE"""),"")</f>
        <v/>
      </c>
      <c r="AC3248" s="16" t="str">
        <f>IFERROR(__xludf.DUMMYFUNCTION("""COMPUTED_VALUE"""),"")</f>
        <v/>
      </c>
    </row>
    <row r="3249">
      <c r="A3249" s="16" t="s">
        <v>87</v>
      </c>
      <c r="E3249" s="16" t="str">
        <f>IFERROR(__xludf.DUMMYFUNCTION("""COMPUTED_VALUE"""),"")</f>
        <v/>
      </c>
      <c r="G3249" s="18"/>
      <c r="H3249" s="16" t="s">
        <v>87</v>
      </c>
      <c r="I3249" s="16" t="s">
        <v>87</v>
      </c>
      <c r="J3249" s="19"/>
      <c r="L3249" s="16" t="str">
        <f>IFERROR(__xludf.DUMMYFUNCTION("""COMPUTED_VALUE"""),"")</f>
        <v/>
      </c>
      <c r="M3249" s="16" t="str">
        <f>IFERROR(__xludf.DUMMYFUNCTION("""COMPUTED_VALUE"""),"")</f>
        <v/>
      </c>
      <c r="U3249" s="16" t="s">
        <v>87</v>
      </c>
      <c r="V3249" s="16" t="str">
        <f>IFERROR(__xludf.DUMMYFUNCTION("""COMPUTED_VALUE"""),"")</f>
        <v/>
      </c>
      <c r="W3249" s="16" t="str">
        <f>IFERROR(__xludf.DUMMYFUNCTION("""COMPUTED_VALUE"""),"")</f>
        <v/>
      </c>
      <c r="X3249" s="16" t="str">
        <f>IFERROR(__xludf.DUMMYFUNCTION("""COMPUTED_VALUE"""),"")</f>
        <v/>
      </c>
      <c r="AC3249" s="16" t="str">
        <f>IFERROR(__xludf.DUMMYFUNCTION("""COMPUTED_VALUE"""),"")</f>
        <v/>
      </c>
    </row>
    <row r="3250">
      <c r="A3250" s="16" t="s">
        <v>87</v>
      </c>
      <c r="E3250" s="16" t="str">
        <f>IFERROR(__xludf.DUMMYFUNCTION("""COMPUTED_VALUE"""),"")</f>
        <v/>
      </c>
      <c r="G3250" s="18"/>
      <c r="H3250" s="16" t="s">
        <v>87</v>
      </c>
      <c r="I3250" s="16" t="s">
        <v>87</v>
      </c>
      <c r="J3250" s="19"/>
      <c r="L3250" s="16" t="str">
        <f>IFERROR(__xludf.DUMMYFUNCTION("""COMPUTED_VALUE"""),"")</f>
        <v/>
      </c>
      <c r="M3250" s="16" t="str">
        <f>IFERROR(__xludf.DUMMYFUNCTION("""COMPUTED_VALUE"""),"")</f>
        <v/>
      </c>
      <c r="U3250" s="16" t="s">
        <v>87</v>
      </c>
      <c r="V3250" s="16" t="str">
        <f>IFERROR(__xludf.DUMMYFUNCTION("""COMPUTED_VALUE"""),"")</f>
        <v/>
      </c>
      <c r="W3250" s="16" t="str">
        <f>IFERROR(__xludf.DUMMYFUNCTION("""COMPUTED_VALUE"""),"")</f>
        <v/>
      </c>
      <c r="X3250" s="16" t="str">
        <f>IFERROR(__xludf.DUMMYFUNCTION("""COMPUTED_VALUE"""),"")</f>
        <v/>
      </c>
      <c r="AC3250" s="16" t="str">
        <f>IFERROR(__xludf.DUMMYFUNCTION("""COMPUTED_VALUE"""),"")</f>
        <v/>
      </c>
    </row>
    <row r="3251">
      <c r="A3251" s="16" t="s">
        <v>87</v>
      </c>
      <c r="E3251" s="16" t="str">
        <f>IFERROR(__xludf.DUMMYFUNCTION("""COMPUTED_VALUE"""),"")</f>
        <v/>
      </c>
      <c r="G3251" s="18"/>
      <c r="H3251" s="16" t="s">
        <v>87</v>
      </c>
      <c r="I3251" s="16" t="s">
        <v>87</v>
      </c>
      <c r="J3251" s="19"/>
      <c r="L3251" s="16" t="str">
        <f>IFERROR(__xludf.DUMMYFUNCTION("""COMPUTED_VALUE"""),"")</f>
        <v/>
      </c>
      <c r="M3251" s="16" t="str">
        <f>IFERROR(__xludf.DUMMYFUNCTION("""COMPUTED_VALUE"""),"")</f>
        <v/>
      </c>
      <c r="U3251" s="16" t="s">
        <v>87</v>
      </c>
      <c r="V3251" s="16" t="str">
        <f>IFERROR(__xludf.DUMMYFUNCTION("""COMPUTED_VALUE"""),"")</f>
        <v/>
      </c>
      <c r="W3251" s="16" t="str">
        <f>IFERROR(__xludf.DUMMYFUNCTION("""COMPUTED_VALUE"""),"")</f>
        <v/>
      </c>
      <c r="X3251" s="16" t="str">
        <f>IFERROR(__xludf.DUMMYFUNCTION("""COMPUTED_VALUE"""),"")</f>
        <v/>
      </c>
      <c r="AC3251" s="16" t="str">
        <f>IFERROR(__xludf.DUMMYFUNCTION("""COMPUTED_VALUE"""),"")</f>
        <v/>
      </c>
    </row>
    <row r="3252">
      <c r="A3252" s="16" t="s">
        <v>87</v>
      </c>
      <c r="E3252" s="16" t="str">
        <f>IFERROR(__xludf.DUMMYFUNCTION("""COMPUTED_VALUE"""),"")</f>
        <v/>
      </c>
      <c r="G3252" s="18"/>
      <c r="H3252" s="16" t="s">
        <v>87</v>
      </c>
      <c r="I3252" s="16" t="s">
        <v>87</v>
      </c>
      <c r="J3252" s="19"/>
      <c r="L3252" s="16" t="str">
        <f>IFERROR(__xludf.DUMMYFUNCTION("""COMPUTED_VALUE"""),"")</f>
        <v/>
      </c>
      <c r="M3252" s="16" t="str">
        <f>IFERROR(__xludf.DUMMYFUNCTION("""COMPUTED_VALUE"""),"")</f>
        <v/>
      </c>
      <c r="U3252" s="16" t="s">
        <v>87</v>
      </c>
      <c r="V3252" s="16" t="str">
        <f>IFERROR(__xludf.DUMMYFUNCTION("""COMPUTED_VALUE"""),"")</f>
        <v/>
      </c>
      <c r="W3252" s="16" t="str">
        <f>IFERROR(__xludf.DUMMYFUNCTION("""COMPUTED_VALUE"""),"")</f>
        <v/>
      </c>
      <c r="X3252" s="16" t="str">
        <f>IFERROR(__xludf.DUMMYFUNCTION("""COMPUTED_VALUE"""),"")</f>
        <v/>
      </c>
      <c r="AC3252" s="16" t="str">
        <f>IFERROR(__xludf.DUMMYFUNCTION("""COMPUTED_VALUE"""),"")</f>
        <v/>
      </c>
    </row>
    <row r="3253">
      <c r="A3253" s="16" t="s">
        <v>87</v>
      </c>
      <c r="E3253" s="16" t="str">
        <f>IFERROR(__xludf.DUMMYFUNCTION("""COMPUTED_VALUE"""),"")</f>
        <v/>
      </c>
      <c r="G3253" s="18"/>
      <c r="H3253" s="16" t="s">
        <v>87</v>
      </c>
      <c r="I3253" s="16" t="s">
        <v>87</v>
      </c>
      <c r="J3253" s="19"/>
      <c r="L3253" s="16" t="str">
        <f>IFERROR(__xludf.DUMMYFUNCTION("""COMPUTED_VALUE"""),"")</f>
        <v/>
      </c>
      <c r="M3253" s="16" t="str">
        <f>IFERROR(__xludf.DUMMYFUNCTION("""COMPUTED_VALUE"""),"")</f>
        <v/>
      </c>
      <c r="U3253" s="16" t="s">
        <v>87</v>
      </c>
      <c r="V3253" s="16" t="str">
        <f>IFERROR(__xludf.DUMMYFUNCTION("""COMPUTED_VALUE"""),"")</f>
        <v/>
      </c>
      <c r="W3253" s="16" t="str">
        <f>IFERROR(__xludf.DUMMYFUNCTION("""COMPUTED_VALUE"""),"")</f>
        <v/>
      </c>
      <c r="X3253" s="16" t="str">
        <f>IFERROR(__xludf.DUMMYFUNCTION("""COMPUTED_VALUE"""),"")</f>
        <v/>
      </c>
      <c r="AC3253" s="16" t="str">
        <f>IFERROR(__xludf.DUMMYFUNCTION("""COMPUTED_VALUE"""),"")</f>
        <v/>
      </c>
    </row>
    <row r="3254">
      <c r="A3254" s="16" t="s">
        <v>87</v>
      </c>
      <c r="E3254" s="16" t="str">
        <f>IFERROR(__xludf.DUMMYFUNCTION("""COMPUTED_VALUE"""),"")</f>
        <v/>
      </c>
      <c r="G3254" s="18"/>
      <c r="H3254" s="16" t="s">
        <v>87</v>
      </c>
      <c r="I3254" s="16" t="s">
        <v>87</v>
      </c>
      <c r="J3254" s="19"/>
      <c r="L3254" s="16" t="str">
        <f>IFERROR(__xludf.DUMMYFUNCTION("""COMPUTED_VALUE"""),"")</f>
        <v/>
      </c>
      <c r="M3254" s="16" t="str">
        <f>IFERROR(__xludf.DUMMYFUNCTION("""COMPUTED_VALUE"""),"")</f>
        <v/>
      </c>
      <c r="U3254" s="16" t="s">
        <v>87</v>
      </c>
      <c r="V3254" s="16" t="str">
        <f>IFERROR(__xludf.DUMMYFUNCTION("""COMPUTED_VALUE"""),"")</f>
        <v/>
      </c>
      <c r="W3254" s="16" t="str">
        <f>IFERROR(__xludf.DUMMYFUNCTION("""COMPUTED_VALUE"""),"")</f>
        <v/>
      </c>
      <c r="X3254" s="16" t="str">
        <f>IFERROR(__xludf.DUMMYFUNCTION("""COMPUTED_VALUE"""),"")</f>
        <v/>
      </c>
      <c r="AC3254" s="16" t="str">
        <f>IFERROR(__xludf.DUMMYFUNCTION("""COMPUTED_VALUE"""),"")</f>
        <v/>
      </c>
    </row>
    <row r="3255">
      <c r="A3255" s="16" t="s">
        <v>87</v>
      </c>
      <c r="E3255" s="16" t="str">
        <f>IFERROR(__xludf.DUMMYFUNCTION("""COMPUTED_VALUE"""),"")</f>
        <v/>
      </c>
      <c r="G3255" s="18"/>
      <c r="H3255" s="16" t="s">
        <v>87</v>
      </c>
      <c r="I3255" s="16" t="s">
        <v>87</v>
      </c>
      <c r="J3255" s="19"/>
      <c r="L3255" s="16" t="str">
        <f>IFERROR(__xludf.DUMMYFUNCTION("""COMPUTED_VALUE"""),"")</f>
        <v/>
      </c>
      <c r="M3255" s="16" t="str">
        <f>IFERROR(__xludf.DUMMYFUNCTION("""COMPUTED_VALUE"""),"")</f>
        <v/>
      </c>
      <c r="U3255" s="16" t="s">
        <v>87</v>
      </c>
      <c r="V3255" s="16" t="str">
        <f>IFERROR(__xludf.DUMMYFUNCTION("""COMPUTED_VALUE"""),"")</f>
        <v/>
      </c>
      <c r="W3255" s="16" t="str">
        <f>IFERROR(__xludf.DUMMYFUNCTION("""COMPUTED_VALUE"""),"")</f>
        <v/>
      </c>
      <c r="X3255" s="16" t="str">
        <f>IFERROR(__xludf.DUMMYFUNCTION("""COMPUTED_VALUE"""),"")</f>
        <v/>
      </c>
      <c r="AC3255" s="16" t="str">
        <f>IFERROR(__xludf.DUMMYFUNCTION("""COMPUTED_VALUE"""),"")</f>
        <v/>
      </c>
    </row>
    <row r="3256">
      <c r="A3256" s="16" t="s">
        <v>87</v>
      </c>
      <c r="E3256" s="16" t="str">
        <f>IFERROR(__xludf.DUMMYFUNCTION("""COMPUTED_VALUE"""),"")</f>
        <v/>
      </c>
      <c r="G3256" s="18"/>
      <c r="H3256" s="16" t="s">
        <v>87</v>
      </c>
      <c r="I3256" s="16" t="s">
        <v>87</v>
      </c>
      <c r="J3256" s="19"/>
      <c r="L3256" s="16" t="str">
        <f>IFERROR(__xludf.DUMMYFUNCTION("""COMPUTED_VALUE"""),"")</f>
        <v/>
      </c>
      <c r="M3256" s="16" t="str">
        <f>IFERROR(__xludf.DUMMYFUNCTION("""COMPUTED_VALUE"""),"")</f>
        <v/>
      </c>
      <c r="U3256" s="16" t="s">
        <v>87</v>
      </c>
      <c r="V3256" s="16" t="str">
        <f>IFERROR(__xludf.DUMMYFUNCTION("""COMPUTED_VALUE"""),"")</f>
        <v/>
      </c>
      <c r="W3256" s="16" t="str">
        <f>IFERROR(__xludf.DUMMYFUNCTION("""COMPUTED_VALUE"""),"")</f>
        <v/>
      </c>
      <c r="X3256" s="16" t="str">
        <f>IFERROR(__xludf.DUMMYFUNCTION("""COMPUTED_VALUE"""),"")</f>
        <v/>
      </c>
      <c r="AC3256" s="16" t="str">
        <f>IFERROR(__xludf.DUMMYFUNCTION("""COMPUTED_VALUE"""),"")</f>
        <v/>
      </c>
    </row>
    <row r="3257">
      <c r="A3257" s="16" t="s">
        <v>87</v>
      </c>
      <c r="E3257" s="16" t="str">
        <f>IFERROR(__xludf.DUMMYFUNCTION("""COMPUTED_VALUE"""),"")</f>
        <v/>
      </c>
      <c r="G3257" s="18"/>
      <c r="H3257" s="16" t="s">
        <v>87</v>
      </c>
      <c r="I3257" s="16" t="s">
        <v>87</v>
      </c>
      <c r="J3257" s="19"/>
      <c r="L3257" s="16" t="str">
        <f>IFERROR(__xludf.DUMMYFUNCTION("""COMPUTED_VALUE"""),"")</f>
        <v/>
      </c>
      <c r="M3257" s="16" t="str">
        <f>IFERROR(__xludf.DUMMYFUNCTION("""COMPUTED_VALUE"""),"")</f>
        <v/>
      </c>
      <c r="U3257" s="16" t="s">
        <v>87</v>
      </c>
      <c r="V3257" s="16" t="str">
        <f>IFERROR(__xludf.DUMMYFUNCTION("""COMPUTED_VALUE"""),"")</f>
        <v/>
      </c>
      <c r="W3257" s="16" t="str">
        <f>IFERROR(__xludf.DUMMYFUNCTION("""COMPUTED_VALUE"""),"")</f>
        <v/>
      </c>
      <c r="X3257" s="16" t="str">
        <f>IFERROR(__xludf.DUMMYFUNCTION("""COMPUTED_VALUE"""),"")</f>
        <v/>
      </c>
      <c r="AC3257" s="16" t="str">
        <f>IFERROR(__xludf.DUMMYFUNCTION("""COMPUTED_VALUE"""),"")</f>
        <v/>
      </c>
    </row>
    <row r="3258">
      <c r="A3258" s="16" t="s">
        <v>87</v>
      </c>
      <c r="E3258" s="16" t="str">
        <f>IFERROR(__xludf.DUMMYFUNCTION("""COMPUTED_VALUE"""),"")</f>
        <v/>
      </c>
      <c r="G3258" s="18"/>
      <c r="H3258" s="16" t="s">
        <v>87</v>
      </c>
      <c r="I3258" s="16" t="s">
        <v>87</v>
      </c>
      <c r="J3258" s="19"/>
      <c r="L3258" s="16" t="str">
        <f>IFERROR(__xludf.DUMMYFUNCTION("""COMPUTED_VALUE"""),"")</f>
        <v/>
      </c>
      <c r="M3258" s="16" t="str">
        <f>IFERROR(__xludf.DUMMYFUNCTION("""COMPUTED_VALUE"""),"")</f>
        <v/>
      </c>
      <c r="U3258" s="16" t="s">
        <v>87</v>
      </c>
      <c r="V3258" s="16" t="str">
        <f>IFERROR(__xludf.DUMMYFUNCTION("""COMPUTED_VALUE"""),"")</f>
        <v/>
      </c>
      <c r="W3258" s="16" t="str">
        <f>IFERROR(__xludf.DUMMYFUNCTION("""COMPUTED_VALUE"""),"")</f>
        <v/>
      </c>
      <c r="X3258" s="16" t="str">
        <f>IFERROR(__xludf.DUMMYFUNCTION("""COMPUTED_VALUE"""),"")</f>
        <v/>
      </c>
      <c r="AC3258" s="16" t="str">
        <f>IFERROR(__xludf.DUMMYFUNCTION("""COMPUTED_VALUE"""),"")</f>
        <v/>
      </c>
    </row>
    <row r="3259">
      <c r="A3259" s="16" t="s">
        <v>87</v>
      </c>
      <c r="E3259" s="16" t="str">
        <f>IFERROR(__xludf.DUMMYFUNCTION("""COMPUTED_VALUE"""),"")</f>
        <v/>
      </c>
      <c r="G3259" s="18"/>
      <c r="H3259" s="16" t="s">
        <v>87</v>
      </c>
      <c r="I3259" s="16" t="s">
        <v>87</v>
      </c>
      <c r="J3259" s="19"/>
      <c r="L3259" s="16" t="str">
        <f>IFERROR(__xludf.DUMMYFUNCTION("""COMPUTED_VALUE"""),"")</f>
        <v/>
      </c>
      <c r="M3259" s="16" t="str">
        <f>IFERROR(__xludf.DUMMYFUNCTION("""COMPUTED_VALUE"""),"")</f>
        <v/>
      </c>
      <c r="U3259" s="16" t="s">
        <v>87</v>
      </c>
      <c r="V3259" s="16" t="str">
        <f>IFERROR(__xludf.DUMMYFUNCTION("""COMPUTED_VALUE"""),"")</f>
        <v/>
      </c>
      <c r="W3259" s="16" t="str">
        <f>IFERROR(__xludf.DUMMYFUNCTION("""COMPUTED_VALUE"""),"")</f>
        <v/>
      </c>
      <c r="X3259" s="16" t="str">
        <f>IFERROR(__xludf.DUMMYFUNCTION("""COMPUTED_VALUE"""),"")</f>
        <v/>
      </c>
      <c r="AC3259" s="16" t="str">
        <f>IFERROR(__xludf.DUMMYFUNCTION("""COMPUTED_VALUE"""),"")</f>
        <v/>
      </c>
    </row>
    <row r="3260">
      <c r="A3260" s="16" t="s">
        <v>87</v>
      </c>
      <c r="E3260" s="16" t="str">
        <f>IFERROR(__xludf.DUMMYFUNCTION("""COMPUTED_VALUE"""),"")</f>
        <v/>
      </c>
      <c r="G3260" s="18"/>
      <c r="H3260" s="16" t="s">
        <v>87</v>
      </c>
      <c r="I3260" s="16" t="s">
        <v>87</v>
      </c>
      <c r="J3260" s="19"/>
      <c r="L3260" s="16" t="str">
        <f>IFERROR(__xludf.DUMMYFUNCTION("""COMPUTED_VALUE"""),"")</f>
        <v/>
      </c>
      <c r="M3260" s="16" t="str">
        <f>IFERROR(__xludf.DUMMYFUNCTION("""COMPUTED_VALUE"""),"")</f>
        <v/>
      </c>
      <c r="U3260" s="16" t="s">
        <v>87</v>
      </c>
      <c r="V3260" s="16" t="str">
        <f>IFERROR(__xludf.DUMMYFUNCTION("""COMPUTED_VALUE"""),"")</f>
        <v/>
      </c>
      <c r="W3260" s="16" t="str">
        <f>IFERROR(__xludf.DUMMYFUNCTION("""COMPUTED_VALUE"""),"")</f>
        <v/>
      </c>
      <c r="X3260" s="16" t="str">
        <f>IFERROR(__xludf.DUMMYFUNCTION("""COMPUTED_VALUE"""),"")</f>
        <v/>
      </c>
      <c r="AC3260" s="16" t="str">
        <f>IFERROR(__xludf.DUMMYFUNCTION("""COMPUTED_VALUE"""),"")</f>
        <v/>
      </c>
    </row>
    <row r="3261">
      <c r="A3261" s="16" t="s">
        <v>87</v>
      </c>
      <c r="E3261" s="16" t="str">
        <f>IFERROR(__xludf.DUMMYFUNCTION("""COMPUTED_VALUE"""),"")</f>
        <v/>
      </c>
      <c r="G3261" s="18"/>
      <c r="H3261" s="16" t="s">
        <v>87</v>
      </c>
      <c r="I3261" s="16" t="s">
        <v>87</v>
      </c>
      <c r="J3261" s="19"/>
      <c r="L3261" s="16" t="str">
        <f>IFERROR(__xludf.DUMMYFUNCTION("""COMPUTED_VALUE"""),"")</f>
        <v/>
      </c>
      <c r="M3261" s="16" t="str">
        <f>IFERROR(__xludf.DUMMYFUNCTION("""COMPUTED_VALUE"""),"")</f>
        <v/>
      </c>
      <c r="U3261" s="16" t="s">
        <v>87</v>
      </c>
      <c r="V3261" s="16" t="str">
        <f>IFERROR(__xludf.DUMMYFUNCTION("""COMPUTED_VALUE"""),"")</f>
        <v/>
      </c>
      <c r="W3261" s="16" t="str">
        <f>IFERROR(__xludf.DUMMYFUNCTION("""COMPUTED_VALUE"""),"")</f>
        <v/>
      </c>
      <c r="X3261" s="16" t="str">
        <f>IFERROR(__xludf.DUMMYFUNCTION("""COMPUTED_VALUE"""),"")</f>
        <v/>
      </c>
      <c r="AC3261" s="16" t="str">
        <f>IFERROR(__xludf.DUMMYFUNCTION("""COMPUTED_VALUE"""),"")</f>
        <v/>
      </c>
    </row>
    <row r="3262">
      <c r="A3262" s="16" t="s">
        <v>87</v>
      </c>
      <c r="E3262" s="16" t="str">
        <f>IFERROR(__xludf.DUMMYFUNCTION("""COMPUTED_VALUE"""),"")</f>
        <v/>
      </c>
      <c r="G3262" s="18"/>
      <c r="H3262" s="16" t="s">
        <v>87</v>
      </c>
      <c r="I3262" s="16" t="s">
        <v>87</v>
      </c>
      <c r="J3262" s="19"/>
      <c r="L3262" s="16" t="str">
        <f>IFERROR(__xludf.DUMMYFUNCTION("""COMPUTED_VALUE"""),"")</f>
        <v/>
      </c>
      <c r="M3262" s="16" t="str">
        <f>IFERROR(__xludf.DUMMYFUNCTION("""COMPUTED_VALUE"""),"")</f>
        <v/>
      </c>
      <c r="U3262" s="16" t="s">
        <v>87</v>
      </c>
      <c r="V3262" s="16" t="str">
        <f>IFERROR(__xludf.DUMMYFUNCTION("""COMPUTED_VALUE"""),"")</f>
        <v/>
      </c>
      <c r="W3262" s="16" t="str">
        <f>IFERROR(__xludf.DUMMYFUNCTION("""COMPUTED_VALUE"""),"")</f>
        <v/>
      </c>
      <c r="X3262" s="16" t="str">
        <f>IFERROR(__xludf.DUMMYFUNCTION("""COMPUTED_VALUE"""),"")</f>
        <v/>
      </c>
      <c r="AC3262" s="16" t="str">
        <f>IFERROR(__xludf.DUMMYFUNCTION("""COMPUTED_VALUE"""),"")</f>
        <v/>
      </c>
    </row>
    <row r="3263">
      <c r="A3263" s="16" t="s">
        <v>87</v>
      </c>
      <c r="E3263" s="16" t="str">
        <f>IFERROR(__xludf.DUMMYFUNCTION("""COMPUTED_VALUE"""),"")</f>
        <v/>
      </c>
      <c r="G3263" s="18"/>
      <c r="H3263" s="16" t="s">
        <v>87</v>
      </c>
      <c r="I3263" s="16" t="s">
        <v>87</v>
      </c>
      <c r="J3263" s="19"/>
      <c r="L3263" s="16" t="str">
        <f>IFERROR(__xludf.DUMMYFUNCTION("""COMPUTED_VALUE"""),"")</f>
        <v/>
      </c>
      <c r="M3263" s="16" t="str">
        <f>IFERROR(__xludf.DUMMYFUNCTION("""COMPUTED_VALUE"""),"")</f>
        <v/>
      </c>
      <c r="U3263" s="16" t="s">
        <v>87</v>
      </c>
      <c r="V3263" s="16" t="str">
        <f>IFERROR(__xludf.DUMMYFUNCTION("""COMPUTED_VALUE"""),"")</f>
        <v/>
      </c>
      <c r="W3263" s="16" t="str">
        <f>IFERROR(__xludf.DUMMYFUNCTION("""COMPUTED_VALUE"""),"")</f>
        <v/>
      </c>
      <c r="X3263" s="16" t="str">
        <f>IFERROR(__xludf.DUMMYFUNCTION("""COMPUTED_VALUE"""),"")</f>
        <v/>
      </c>
      <c r="AC3263" s="16" t="str">
        <f>IFERROR(__xludf.DUMMYFUNCTION("""COMPUTED_VALUE"""),"")</f>
        <v/>
      </c>
    </row>
    <row r="3264">
      <c r="A3264" s="16" t="s">
        <v>87</v>
      </c>
      <c r="E3264" s="16" t="str">
        <f>IFERROR(__xludf.DUMMYFUNCTION("""COMPUTED_VALUE"""),"")</f>
        <v/>
      </c>
      <c r="G3264" s="18"/>
      <c r="H3264" s="16" t="s">
        <v>87</v>
      </c>
      <c r="I3264" s="16" t="s">
        <v>87</v>
      </c>
      <c r="J3264" s="19"/>
      <c r="L3264" s="16" t="str">
        <f>IFERROR(__xludf.DUMMYFUNCTION("""COMPUTED_VALUE"""),"")</f>
        <v/>
      </c>
      <c r="M3264" s="16" t="str">
        <f>IFERROR(__xludf.DUMMYFUNCTION("""COMPUTED_VALUE"""),"")</f>
        <v/>
      </c>
      <c r="U3264" s="16" t="s">
        <v>87</v>
      </c>
      <c r="V3264" s="16" t="str">
        <f>IFERROR(__xludf.DUMMYFUNCTION("""COMPUTED_VALUE"""),"")</f>
        <v/>
      </c>
      <c r="W3264" s="16" t="str">
        <f>IFERROR(__xludf.DUMMYFUNCTION("""COMPUTED_VALUE"""),"")</f>
        <v/>
      </c>
      <c r="X3264" s="16" t="str">
        <f>IFERROR(__xludf.DUMMYFUNCTION("""COMPUTED_VALUE"""),"")</f>
        <v/>
      </c>
      <c r="AC3264" s="16" t="str">
        <f>IFERROR(__xludf.DUMMYFUNCTION("""COMPUTED_VALUE"""),"")</f>
        <v/>
      </c>
    </row>
    <row r="3265">
      <c r="A3265" s="16" t="s">
        <v>87</v>
      </c>
      <c r="E3265" s="16" t="str">
        <f>IFERROR(__xludf.DUMMYFUNCTION("""COMPUTED_VALUE"""),"")</f>
        <v/>
      </c>
      <c r="G3265" s="18"/>
      <c r="H3265" s="16" t="s">
        <v>87</v>
      </c>
      <c r="I3265" s="16" t="s">
        <v>87</v>
      </c>
      <c r="J3265" s="19"/>
      <c r="L3265" s="16" t="str">
        <f>IFERROR(__xludf.DUMMYFUNCTION("""COMPUTED_VALUE"""),"")</f>
        <v/>
      </c>
      <c r="M3265" s="16" t="str">
        <f>IFERROR(__xludf.DUMMYFUNCTION("""COMPUTED_VALUE"""),"")</f>
        <v/>
      </c>
      <c r="U3265" s="16" t="s">
        <v>87</v>
      </c>
      <c r="V3265" s="16" t="str">
        <f>IFERROR(__xludf.DUMMYFUNCTION("""COMPUTED_VALUE"""),"")</f>
        <v/>
      </c>
      <c r="W3265" s="16" t="str">
        <f>IFERROR(__xludf.DUMMYFUNCTION("""COMPUTED_VALUE"""),"")</f>
        <v/>
      </c>
      <c r="X3265" s="16" t="str">
        <f>IFERROR(__xludf.DUMMYFUNCTION("""COMPUTED_VALUE"""),"")</f>
        <v/>
      </c>
      <c r="AC3265" s="16" t="str">
        <f>IFERROR(__xludf.DUMMYFUNCTION("""COMPUTED_VALUE"""),"")</f>
        <v/>
      </c>
    </row>
    <row r="3266">
      <c r="A3266" s="16" t="s">
        <v>87</v>
      </c>
      <c r="E3266" s="16" t="str">
        <f>IFERROR(__xludf.DUMMYFUNCTION("""COMPUTED_VALUE"""),"")</f>
        <v/>
      </c>
      <c r="G3266" s="18"/>
      <c r="H3266" s="16" t="s">
        <v>87</v>
      </c>
      <c r="I3266" s="16" t="s">
        <v>87</v>
      </c>
      <c r="J3266" s="19"/>
      <c r="L3266" s="16" t="str">
        <f>IFERROR(__xludf.DUMMYFUNCTION("""COMPUTED_VALUE"""),"")</f>
        <v/>
      </c>
      <c r="M3266" s="16" t="str">
        <f>IFERROR(__xludf.DUMMYFUNCTION("""COMPUTED_VALUE"""),"")</f>
        <v/>
      </c>
      <c r="U3266" s="16" t="s">
        <v>87</v>
      </c>
      <c r="V3266" s="16" t="str">
        <f>IFERROR(__xludf.DUMMYFUNCTION("""COMPUTED_VALUE"""),"")</f>
        <v/>
      </c>
      <c r="W3266" s="16" t="str">
        <f>IFERROR(__xludf.DUMMYFUNCTION("""COMPUTED_VALUE"""),"")</f>
        <v/>
      </c>
      <c r="X3266" s="16" t="str">
        <f>IFERROR(__xludf.DUMMYFUNCTION("""COMPUTED_VALUE"""),"")</f>
        <v/>
      </c>
      <c r="AC3266" s="16" t="str">
        <f>IFERROR(__xludf.DUMMYFUNCTION("""COMPUTED_VALUE"""),"")</f>
        <v/>
      </c>
    </row>
    <row r="3267">
      <c r="A3267" s="16" t="s">
        <v>87</v>
      </c>
      <c r="E3267" s="16" t="str">
        <f>IFERROR(__xludf.DUMMYFUNCTION("""COMPUTED_VALUE"""),"")</f>
        <v/>
      </c>
      <c r="G3267" s="18"/>
      <c r="H3267" s="16" t="s">
        <v>87</v>
      </c>
      <c r="I3267" s="16" t="s">
        <v>87</v>
      </c>
      <c r="J3267" s="19"/>
      <c r="L3267" s="16" t="str">
        <f>IFERROR(__xludf.DUMMYFUNCTION("""COMPUTED_VALUE"""),"")</f>
        <v/>
      </c>
      <c r="M3267" s="16" t="str">
        <f>IFERROR(__xludf.DUMMYFUNCTION("""COMPUTED_VALUE"""),"")</f>
        <v/>
      </c>
      <c r="U3267" s="16" t="s">
        <v>87</v>
      </c>
      <c r="V3267" s="16" t="str">
        <f>IFERROR(__xludf.DUMMYFUNCTION("""COMPUTED_VALUE"""),"")</f>
        <v/>
      </c>
      <c r="W3267" s="16" t="str">
        <f>IFERROR(__xludf.DUMMYFUNCTION("""COMPUTED_VALUE"""),"")</f>
        <v/>
      </c>
      <c r="X3267" s="16" t="str">
        <f>IFERROR(__xludf.DUMMYFUNCTION("""COMPUTED_VALUE"""),"")</f>
        <v/>
      </c>
      <c r="AC3267" s="16" t="str">
        <f>IFERROR(__xludf.DUMMYFUNCTION("""COMPUTED_VALUE"""),"")</f>
        <v/>
      </c>
    </row>
    <row r="3268">
      <c r="A3268" s="16" t="s">
        <v>87</v>
      </c>
      <c r="E3268" s="16" t="str">
        <f>IFERROR(__xludf.DUMMYFUNCTION("""COMPUTED_VALUE"""),"")</f>
        <v/>
      </c>
      <c r="G3268" s="18"/>
      <c r="H3268" s="16" t="s">
        <v>87</v>
      </c>
      <c r="I3268" s="16" t="s">
        <v>87</v>
      </c>
      <c r="J3268" s="19"/>
      <c r="L3268" s="16" t="str">
        <f>IFERROR(__xludf.DUMMYFUNCTION("""COMPUTED_VALUE"""),"")</f>
        <v/>
      </c>
      <c r="M3268" s="16" t="str">
        <f>IFERROR(__xludf.DUMMYFUNCTION("""COMPUTED_VALUE"""),"")</f>
        <v/>
      </c>
      <c r="U3268" s="16" t="s">
        <v>87</v>
      </c>
      <c r="V3268" s="16" t="str">
        <f>IFERROR(__xludf.DUMMYFUNCTION("""COMPUTED_VALUE"""),"")</f>
        <v/>
      </c>
      <c r="W3268" s="16" t="str">
        <f>IFERROR(__xludf.DUMMYFUNCTION("""COMPUTED_VALUE"""),"")</f>
        <v/>
      </c>
      <c r="X3268" s="16" t="str">
        <f>IFERROR(__xludf.DUMMYFUNCTION("""COMPUTED_VALUE"""),"")</f>
        <v/>
      </c>
      <c r="AC3268" s="16" t="str">
        <f>IFERROR(__xludf.DUMMYFUNCTION("""COMPUTED_VALUE"""),"")</f>
        <v/>
      </c>
    </row>
    <row r="3269">
      <c r="A3269" s="16" t="s">
        <v>87</v>
      </c>
      <c r="E3269" s="16" t="str">
        <f>IFERROR(__xludf.DUMMYFUNCTION("""COMPUTED_VALUE"""),"")</f>
        <v/>
      </c>
      <c r="G3269" s="18"/>
      <c r="H3269" s="16" t="s">
        <v>87</v>
      </c>
      <c r="I3269" s="16" t="s">
        <v>87</v>
      </c>
      <c r="J3269" s="19"/>
      <c r="L3269" s="16" t="str">
        <f>IFERROR(__xludf.DUMMYFUNCTION("""COMPUTED_VALUE"""),"")</f>
        <v/>
      </c>
      <c r="M3269" s="16" t="str">
        <f>IFERROR(__xludf.DUMMYFUNCTION("""COMPUTED_VALUE"""),"")</f>
        <v/>
      </c>
      <c r="U3269" s="16" t="s">
        <v>87</v>
      </c>
      <c r="V3269" s="16" t="str">
        <f>IFERROR(__xludf.DUMMYFUNCTION("""COMPUTED_VALUE"""),"")</f>
        <v/>
      </c>
      <c r="W3269" s="16" t="str">
        <f>IFERROR(__xludf.DUMMYFUNCTION("""COMPUTED_VALUE"""),"")</f>
        <v/>
      </c>
      <c r="X3269" s="16" t="str">
        <f>IFERROR(__xludf.DUMMYFUNCTION("""COMPUTED_VALUE"""),"")</f>
        <v/>
      </c>
      <c r="AC3269" s="16" t="str">
        <f>IFERROR(__xludf.DUMMYFUNCTION("""COMPUTED_VALUE"""),"")</f>
        <v/>
      </c>
    </row>
    <row r="3270">
      <c r="A3270" s="16" t="s">
        <v>87</v>
      </c>
      <c r="E3270" s="16" t="str">
        <f>IFERROR(__xludf.DUMMYFUNCTION("""COMPUTED_VALUE"""),"")</f>
        <v/>
      </c>
      <c r="G3270" s="18"/>
      <c r="H3270" s="16" t="s">
        <v>87</v>
      </c>
      <c r="I3270" s="16" t="s">
        <v>87</v>
      </c>
      <c r="J3270" s="19"/>
      <c r="L3270" s="16" t="str">
        <f>IFERROR(__xludf.DUMMYFUNCTION("""COMPUTED_VALUE"""),"")</f>
        <v/>
      </c>
      <c r="M3270" s="16" t="str">
        <f>IFERROR(__xludf.DUMMYFUNCTION("""COMPUTED_VALUE"""),"")</f>
        <v/>
      </c>
      <c r="U3270" s="16" t="s">
        <v>87</v>
      </c>
      <c r="V3270" s="16" t="str">
        <f>IFERROR(__xludf.DUMMYFUNCTION("""COMPUTED_VALUE"""),"")</f>
        <v/>
      </c>
      <c r="W3270" s="16" t="str">
        <f>IFERROR(__xludf.DUMMYFUNCTION("""COMPUTED_VALUE"""),"")</f>
        <v/>
      </c>
      <c r="X3270" s="16" t="str">
        <f>IFERROR(__xludf.DUMMYFUNCTION("""COMPUTED_VALUE"""),"")</f>
        <v/>
      </c>
      <c r="AC3270" s="16" t="str">
        <f>IFERROR(__xludf.DUMMYFUNCTION("""COMPUTED_VALUE"""),"")</f>
        <v/>
      </c>
    </row>
    <row r="3271">
      <c r="A3271" s="16" t="s">
        <v>87</v>
      </c>
      <c r="E3271" s="16" t="str">
        <f>IFERROR(__xludf.DUMMYFUNCTION("""COMPUTED_VALUE"""),"")</f>
        <v/>
      </c>
      <c r="G3271" s="18"/>
      <c r="H3271" s="16" t="s">
        <v>87</v>
      </c>
      <c r="I3271" s="16" t="s">
        <v>87</v>
      </c>
      <c r="J3271" s="19"/>
      <c r="L3271" s="16" t="str">
        <f>IFERROR(__xludf.DUMMYFUNCTION("""COMPUTED_VALUE"""),"")</f>
        <v/>
      </c>
      <c r="M3271" s="16" t="str">
        <f>IFERROR(__xludf.DUMMYFUNCTION("""COMPUTED_VALUE"""),"")</f>
        <v/>
      </c>
      <c r="U3271" s="16" t="s">
        <v>87</v>
      </c>
      <c r="V3271" s="16" t="str">
        <f>IFERROR(__xludf.DUMMYFUNCTION("""COMPUTED_VALUE"""),"")</f>
        <v/>
      </c>
      <c r="W3271" s="16" t="str">
        <f>IFERROR(__xludf.DUMMYFUNCTION("""COMPUTED_VALUE"""),"")</f>
        <v/>
      </c>
      <c r="X3271" s="16" t="str">
        <f>IFERROR(__xludf.DUMMYFUNCTION("""COMPUTED_VALUE"""),"")</f>
        <v/>
      </c>
      <c r="AC3271" s="16" t="str">
        <f>IFERROR(__xludf.DUMMYFUNCTION("""COMPUTED_VALUE"""),"")</f>
        <v/>
      </c>
    </row>
    <row r="3272">
      <c r="A3272" s="16" t="s">
        <v>87</v>
      </c>
      <c r="E3272" s="16" t="str">
        <f>IFERROR(__xludf.DUMMYFUNCTION("""COMPUTED_VALUE"""),"")</f>
        <v/>
      </c>
      <c r="G3272" s="18"/>
      <c r="H3272" s="16" t="s">
        <v>87</v>
      </c>
      <c r="I3272" s="16" t="s">
        <v>87</v>
      </c>
      <c r="J3272" s="19"/>
      <c r="L3272" s="16" t="str">
        <f>IFERROR(__xludf.DUMMYFUNCTION("""COMPUTED_VALUE"""),"")</f>
        <v/>
      </c>
      <c r="M3272" s="16" t="str">
        <f>IFERROR(__xludf.DUMMYFUNCTION("""COMPUTED_VALUE"""),"")</f>
        <v/>
      </c>
      <c r="U3272" s="16" t="s">
        <v>87</v>
      </c>
      <c r="V3272" s="16" t="str">
        <f>IFERROR(__xludf.DUMMYFUNCTION("""COMPUTED_VALUE"""),"")</f>
        <v/>
      </c>
      <c r="W3272" s="16" t="str">
        <f>IFERROR(__xludf.DUMMYFUNCTION("""COMPUTED_VALUE"""),"")</f>
        <v/>
      </c>
      <c r="X3272" s="16" t="str">
        <f>IFERROR(__xludf.DUMMYFUNCTION("""COMPUTED_VALUE"""),"")</f>
        <v/>
      </c>
      <c r="AC3272" s="16" t="str">
        <f>IFERROR(__xludf.DUMMYFUNCTION("""COMPUTED_VALUE"""),"")</f>
        <v/>
      </c>
    </row>
    <row r="3273">
      <c r="A3273" s="16" t="s">
        <v>87</v>
      </c>
      <c r="E3273" s="16" t="str">
        <f>IFERROR(__xludf.DUMMYFUNCTION("""COMPUTED_VALUE"""),"")</f>
        <v/>
      </c>
      <c r="G3273" s="18"/>
      <c r="H3273" s="16" t="s">
        <v>87</v>
      </c>
      <c r="I3273" s="16" t="s">
        <v>87</v>
      </c>
      <c r="J3273" s="19"/>
      <c r="L3273" s="16" t="str">
        <f>IFERROR(__xludf.DUMMYFUNCTION("""COMPUTED_VALUE"""),"")</f>
        <v/>
      </c>
      <c r="M3273" s="16" t="str">
        <f>IFERROR(__xludf.DUMMYFUNCTION("""COMPUTED_VALUE"""),"")</f>
        <v/>
      </c>
      <c r="U3273" s="16" t="s">
        <v>87</v>
      </c>
      <c r="V3273" s="16" t="str">
        <f>IFERROR(__xludf.DUMMYFUNCTION("""COMPUTED_VALUE"""),"")</f>
        <v/>
      </c>
      <c r="W3273" s="16" t="str">
        <f>IFERROR(__xludf.DUMMYFUNCTION("""COMPUTED_VALUE"""),"")</f>
        <v/>
      </c>
      <c r="X3273" s="16" t="str">
        <f>IFERROR(__xludf.DUMMYFUNCTION("""COMPUTED_VALUE"""),"")</f>
        <v/>
      </c>
      <c r="AC3273" s="16" t="str">
        <f>IFERROR(__xludf.DUMMYFUNCTION("""COMPUTED_VALUE"""),"")</f>
        <v/>
      </c>
    </row>
    <row r="3274">
      <c r="A3274" s="16" t="s">
        <v>87</v>
      </c>
      <c r="E3274" s="16" t="str">
        <f>IFERROR(__xludf.DUMMYFUNCTION("""COMPUTED_VALUE"""),"")</f>
        <v/>
      </c>
      <c r="G3274" s="18"/>
      <c r="H3274" s="16" t="s">
        <v>87</v>
      </c>
      <c r="I3274" s="16" t="s">
        <v>87</v>
      </c>
      <c r="J3274" s="19"/>
      <c r="L3274" s="16" t="str">
        <f>IFERROR(__xludf.DUMMYFUNCTION("""COMPUTED_VALUE"""),"")</f>
        <v/>
      </c>
      <c r="M3274" s="16" t="str">
        <f>IFERROR(__xludf.DUMMYFUNCTION("""COMPUTED_VALUE"""),"")</f>
        <v/>
      </c>
      <c r="U3274" s="16" t="s">
        <v>87</v>
      </c>
      <c r="V3274" s="16" t="str">
        <f>IFERROR(__xludf.DUMMYFUNCTION("""COMPUTED_VALUE"""),"")</f>
        <v/>
      </c>
      <c r="W3274" s="16" t="str">
        <f>IFERROR(__xludf.DUMMYFUNCTION("""COMPUTED_VALUE"""),"")</f>
        <v/>
      </c>
      <c r="X3274" s="16" t="str">
        <f>IFERROR(__xludf.DUMMYFUNCTION("""COMPUTED_VALUE"""),"")</f>
        <v/>
      </c>
      <c r="AC3274" s="16" t="str">
        <f>IFERROR(__xludf.DUMMYFUNCTION("""COMPUTED_VALUE"""),"")</f>
        <v/>
      </c>
    </row>
    <row r="3275">
      <c r="A3275" s="16" t="s">
        <v>87</v>
      </c>
      <c r="E3275" s="16" t="str">
        <f>IFERROR(__xludf.DUMMYFUNCTION("""COMPUTED_VALUE"""),"")</f>
        <v/>
      </c>
      <c r="G3275" s="18"/>
      <c r="H3275" s="16" t="s">
        <v>87</v>
      </c>
      <c r="I3275" s="16" t="s">
        <v>87</v>
      </c>
      <c r="J3275" s="19"/>
      <c r="L3275" s="16" t="str">
        <f>IFERROR(__xludf.DUMMYFUNCTION("""COMPUTED_VALUE"""),"")</f>
        <v/>
      </c>
      <c r="M3275" s="16" t="str">
        <f>IFERROR(__xludf.DUMMYFUNCTION("""COMPUTED_VALUE"""),"")</f>
        <v/>
      </c>
      <c r="U3275" s="16" t="s">
        <v>87</v>
      </c>
      <c r="V3275" s="16" t="str">
        <f>IFERROR(__xludf.DUMMYFUNCTION("""COMPUTED_VALUE"""),"")</f>
        <v/>
      </c>
      <c r="W3275" s="16" t="str">
        <f>IFERROR(__xludf.DUMMYFUNCTION("""COMPUTED_VALUE"""),"")</f>
        <v/>
      </c>
      <c r="X3275" s="16" t="str">
        <f>IFERROR(__xludf.DUMMYFUNCTION("""COMPUTED_VALUE"""),"")</f>
        <v/>
      </c>
      <c r="AC3275" s="16" t="str">
        <f>IFERROR(__xludf.DUMMYFUNCTION("""COMPUTED_VALUE"""),"")</f>
        <v/>
      </c>
    </row>
    <row r="3276">
      <c r="A3276" s="16" t="s">
        <v>87</v>
      </c>
      <c r="E3276" s="16" t="str">
        <f>IFERROR(__xludf.DUMMYFUNCTION("""COMPUTED_VALUE"""),"")</f>
        <v/>
      </c>
      <c r="G3276" s="18"/>
      <c r="H3276" s="16" t="s">
        <v>87</v>
      </c>
      <c r="I3276" s="16" t="s">
        <v>87</v>
      </c>
      <c r="J3276" s="19"/>
      <c r="L3276" s="16" t="str">
        <f>IFERROR(__xludf.DUMMYFUNCTION("""COMPUTED_VALUE"""),"")</f>
        <v/>
      </c>
      <c r="M3276" s="16" t="str">
        <f>IFERROR(__xludf.DUMMYFUNCTION("""COMPUTED_VALUE"""),"")</f>
        <v/>
      </c>
      <c r="U3276" s="16" t="s">
        <v>87</v>
      </c>
      <c r="V3276" s="16" t="str">
        <f>IFERROR(__xludf.DUMMYFUNCTION("""COMPUTED_VALUE"""),"")</f>
        <v/>
      </c>
      <c r="W3276" s="16" t="str">
        <f>IFERROR(__xludf.DUMMYFUNCTION("""COMPUTED_VALUE"""),"")</f>
        <v/>
      </c>
      <c r="X3276" s="16" t="str">
        <f>IFERROR(__xludf.DUMMYFUNCTION("""COMPUTED_VALUE"""),"")</f>
        <v/>
      </c>
      <c r="AC3276" s="16" t="str">
        <f>IFERROR(__xludf.DUMMYFUNCTION("""COMPUTED_VALUE"""),"")</f>
        <v/>
      </c>
    </row>
    <row r="3277">
      <c r="A3277" s="16" t="s">
        <v>87</v>
      </c>
      <c r="E3277" s="16" t="str">
        <f>IFERROR(__xludf.DUMMYFUNCTION("""COMPUTED_VALUE"""),"")</f>
        <v/>
      </c>
      <c r="G3277" s="18"/>
      <c r="H3277" s="16" t="s">
        <v>87</v>
      </c>
      <c r="I3277" s="16" t="s">
        <v>87</v>
      </c>
      <c r="J3277" s="19"/>
      <c r="L3277" s="16" t="str">
        <f>IFERROR(__xludf.DUMMYFUNCTION("""COMPUTED_VALUE"""),"")</f>
        <v/>
      </c>
      <c r="M3277" s="16" t="str">
        <f>IFERROR(__xludf.DUMMYFUNCTION("""COMPUTED_VALUE"""),"")</f>
        <v/>
      </c>
      <c r="U3277" s="16" t="s">
        <v>87</v>
      </c>
      <c r="V3277" s="16" t="str">
        <f>IFERROR(__xludf.DUMMYFUNCTION("""COMPUTED_VALUE"""),"")</f>
        <v/>
      </c>
      <c r="W3277" s="16" t="str">
        <f>IFERROR(__xludf.DUMMYFUNCTION("""COMPUTED_VALUE"""),"")</f>
        <v/>
      </c>
      <c r="X3277" s="16" t="str">
        <f>IFERROR(__xludf.DUMMYFUNCTION("""COMPUTED_VALUE"""),"")</f>
        <v/>
      </c>
      <c r="AC3277" s="16" t="str">
        <f>IFERROR(__xludf.DUMMYFUNCTION("""COMPUTED_VALUE"""),"")</f>
        <v/>
      </c>
    </row>
    <row r="3278">
      <c r="A3278" s="16" t="s">
        <v>87</v>
      </c>
      <c r="E3278" s="16" t="str">
        <f>IFERROR(__xludf.DUMMYFUNCTION("""COMPUTED_VALUE"""),"")</f>
        <v/>
      </c>
      <c r="G3278" s="18"/>
      <c r="H3278" s="16" t="s">
        <v>87</v>
      </c>
      <c r="I3278" s="16" t="s">
        <v>87</v>
      </c>
      <c r="J3278" s="19"/>
      <c r="L3278" s="16" t="str">
        <f>IFERROR(__xludf.DUMMYFUNCTION("""COMPUTED_VALUE"""),"")</f>
        <v/>
      </c>
      <c r="M3278" s="16" t="str">
        <f>IFERROR(__xludf.DUMMYFUNCTION("""COMPUTED_VALUE"""),"")</f>
        <v/>
      </c>
      <c r="U3278" s="16" t="s">
        <v>87</v>
      </c>
      <c r="V3278" s="16" t="str">
        <f>IFERROR(__xludf.DUMMYFUNCTION("""COMPUTED_VALUE"""),"")</f>
        <v/>
      </c>
      <c r="W3278" s="16" t="str">
        <f>IFERROR(__xludf.DUMMYFUNCTION("""COMPUTED_VALUE"""),"")</f>
        <v/>
      </c>
      <c r="X3278" s="16" t="str">
        <f>IFERROR(__xludf.DUMMYFUNCTION("""COMPUTED_VALUE"""),"")</f>
        <v/>
      </c>
      <c r="AC3278" s="16" t="str">
        <f>IFERROR(__xludf.DUMMYFUNCTION("""COMPUTED_VALUE"""),"")</f>
        <v/>
      </c>
    </row>
    <row r="3279">
      <c r="A3279" s="16" t="s">
        <v>87</v>
      </c>
      <c r="E3279" s="16" t="str">
        <f>IFERROR(__xludf.DUMMYFUNCTION("""COMPUTED_VALUE"""),"")</f>
        <v/>
      </c>
      <c r="G3279" s="18"/>
      <c r="H3279" s="16" t="s">
        <v>87</v>
      </c>
      <c r="I3279" s="16" t="s">
        <v>87</v>
      </c>
      <c r="J3279" s="19"/>
      <c r="L3279" s="16" t="str">
        <f>IFERROR(__xludf.DUMMYFUNCTION("""COMPUTED_VALUE"""),"")</f>
        <v/>
      </c>
      <c r="M3279" s="16" t="str">
        <f>IFERROR(__xludf.DUMMYFUNCTION("""COMPUTED_VALUE"""),"")</f>
        <v/>
      </c>
      <c r="U3279" s="16" t="s">
        <v>87</v>
      </c>
      <c r="V3279" s="16" t="str">
        <f>IFERROR(__xludf.DUMMYFUNCTION("""COMPUTED_VALUE"""),"")</f>
        <v/>
      </c>
      <c r="W3279" s="16" t="str">
        <f>IFERROR(__xludf.DUMMYFUNCTION("""COMPUTED_VALUE"""),"")</f>
        <v/>
      </c>
      <c r="X3279" s="16" t="str">
        <f>IFERROR(__xludf.DUMMYFUNCTION("""COMPUTED_VALUE"""),"")</f>
        <v/>
      </c>
      <c r="AC3279" s="16" t="str">
        <f>IFERROR(__xludf.DUMMYFUNCTION("""COMPUTED_VALUE"""),"")</f>
        <v/>
      </c>
    </row>
    <row r="3280">
      <c r="A3280" s="16" t="s">
        <v>87</v>
      </c>
      <c r="E3280" s="16" t="str">
        <f>IFERROR(__xludf.DUMMYFUNCTION("""COMPUTED_VALUE"""),"")</f>
        <v/>
      </c>
      <c r="G3280" s="18"/>
      <c r="H3280" s="16" t="s">
        <v>87</v>
      </c>
      <c r="I3280" s="16" t="s">
        <v>87</v>
      </c>
      <c r="J3280" s="19"/>
      <c r="L3280" s="16" t="str">
        <f>IFERROR(__xludf.DUMMYFUNCTION("""COMPUTED_VALUE"""),"")</f>
        <v/>
      </c>
      <c r="M3280" s="16" t="str">
        <f>IFERROR(__xludf.DUMMYFUNCTION("""COMPUTED_VALUE"""),"")</f>
        <v/>
      </c>
      <c r="U3280" s="16" t="s">
        <v>87</v>
      </c>
      <c r="V3280" s="16" t="str">
        <f>IFERROR(__xludf.DUMMYFUNCTION("""COMPUTED_VALUE"""),"")</f>
        <v/>
      </c>
      <c r="W3280" s="16" t="str">
        <f>IFERROR(__xludf.DUMMYFUNCTION("""COMPUTED_VALUE"""),"")</f>
        <v/>
      </c>
      <c r="X3280" s="16" t="str">
        <f>IFERROR(__xludf.DUMMYFUNCTION("""COMPUTED_VALUE"""),"")</f>
        <v/>
      </c>
      <c r="AC3280" s="16" t="str">
        <f>IFERROR(__xludf.DUMMYFUNCTION("""COMPUTED_VALUE"""),"")</f>
        <v/>
      </c>
    </row>
    <row r="3281">
      <c r="A3281" s="16" t="s">
        <v>87</v>
      </c>
      <c r="E3281" s="16" t="str">
        <f>IFERROR(__xludf.DUMMYFUNCTION("""COMPUTED_VALUE"""),"")</f>
        <v/>
      </c>
      <c r="G3281" s="18"/>
      <c r="H3281" s="16" t="s">
        <v>87</v>
      </c>
      <c r="I3281" s="16" t="s">
        <v>87</v>
      </c>
      <c r="J3281" s="19"/>
      <c r="L3281" s="16" t="str">
        <f>IFERROR(__xludf.DUMMYFUNCTION("""COMPUTED_VALUE"""),"")</f>
        <v/>
      </c>
      <c r="M3281" s="16" t="str">
        <f>IFERROR(__xludf.DUMMYFUNCTION("""COMPUTED_VALUE"""),"")</f>
        <v/>
      </c>
      <c r="U3281" s="16" t="s">
        <v>87</v>
      </c>
      <c r="V3281" s="16" t="str">
        <f>IFERROR(__xludf.DUMMYFUNCTION("""COMPUTED_VALUE"""),"")</f>
        <v/>
      </c>
      <c r="W3281" s="16" t="str">
        <f>IFERROR(__xludf.DUMMYFUNCTION("""COMPUTED_VALUE"""),"")</f>
        <v/>
      </c>
      <c r="X3281" s="16" t="str">
        <f>IFERROR(__xludf.DUMMYFUNCTION("""COMPUTED_VALUE"""),"")</f>
        <v/>
      </c>
      <c r="AC3281" s="16" t="str">
        <f>IFERROR(__xludf.DUMMYFUNCTION("""COMPUTED_VALUE"""),"")</f>
        <v/>
      </c>
    </row>
    <row r="3282">
      <c r="A3282" s="16" t="s">
        <v>87</v>
      </c>
      <c r="E3282" s="16" t="str">
        <f>IFERROR(__xludf.DUMMYFUNCTION("""COMPUTED_VALUE"""),"")</f>
        <v/>
      </c>
      <c r="G3282" s="18"/>
      <c r="H3282" s="16" t="s">
        <v>87</v>
      </c>
      <c r="I3282" s="16" t="s">
        <v>87</v>
      </c>
      <c r="J3282" s="19"/>
      <c r="L3282" s="16" t="str">
        <f>IFERROR(__xludf.DUMMYFUNCTION("""COMPUTED_VALUE"""),"")</f>
        <v/>
      </c>
      <c r="M3282" s="16" t="str">
        <f>IFERROR(__xludf.DUMMYFUNCTION("""COMPUTED_VALUE"""),"")</f>
        <v/>
      </c>
      <c r="U3282" s="16" t="s">
        <v>87</v>
      </c>
      <c r="V3282" s="16" t="str">
        <f>IFERROR(__xludf.DUMMYFUNCTION("""COMPUTED_VALUE"""),"")</f>
        <v/>
      </c>
      <c r="W3282" s="16" t="str">
        <f>IFERROR(__xludf.DUMMYFUNCTION("""COMPUTED_VALUE"""),"")</f>
        <v/>
      </c>
      <c r="X3282" s="16" t="str">
        <f>IFERROR(__xludf.DUMMYFUNCTION("""COMPUTED_VALUE"""),"")</f>
        <v/>
      </c>
      <c r="AC3282" s="16" t="str">
        <f>IFERROR(__xludf.DUMMYFUNCTION("""COMPUTED_VALUE"""),"")</f>
        <v/>
      </c>
    </row>
    <row r="3283">
      <c r="A3283" s="16" t="s">
        <v>87</v>
      </c>
      <c r="E3283" s="16" t="str">
        <f>IFERROR(__xludf.DUMMYFUNCTION("""COMPUTED_VALUE"""),"")</f>
        <v/>
      </c>
      <c r="G3283" s="18"/>
      <c r="H3283" s="16" t="s">
        <v>87</v>
      </c>
      <c r="I3283" s="16" t="s">
        <v>87</v>
      </c>
      <c r="J3283" s="19"/>
      <c r="L3283" s="16" t="str">
        <f>IFERROR(__xludf.DUMMYFUNCTION("""COMPUTED_VALUE"""),"")</f>
        <v/>
      </c>
      <c r="M3283" s="16" t="str">
        <f>IFERROR(__xludf.DUMMYFUNCTION("""COMPUTED_VALUE"""),"")</f>
        <v/>
      </c>
      <c r="U3283" s="16" t="s">
        <v>87</v>
      </c>
      <c r="V3283" s="16" t="str">
        <f>IFERROR(__xludf.DUMMYFUNCTION("""COMPUTED_VALUE"""),"")</f>
        <v/>
      </c>
      <c r="W3283" s="16" t="str">
        <f>IFERROR(__xludf.DUMMYFUNCTION("""COMPUTED_VALUE"""),"")</f>
        <v/>
      </c>
      <c r="X3283" s="16" t="str">
        <f>IFERROR(__xludf.DUMMYFUNCTION("""COMPUTED_VALUE"""),"")</f>
        <v/>
      </c>
      <c r="AC3283" s="16" t="str">
        <f>IFERROR(__xludf.DUMMYFUNCTION("""COMPUTED_VALUE"""),"")</f>
        <v/>
      </c>
    </row>
    <row r="3284">
      <c r="A3284" s="16" t="s">
        <v>87</v>
      </c>
      <c r="E3284" s="16" t="str">
        <f>IFERROR(__xludf.DUMMYFUNCTION("""COMPUTED_VALUE"""),"")</f>
        <v/>
      </c>
      <c r="G3284" s="18"/>
      <c r="H3284" s="16" t="s">
        <v>87</v>
      </c>
      <c r="I3284" s="16" t="s">
        <v>87</v>
      </c>
      <c r="J3284" s="19"/>
      <c r="L3284" s="16" t="str">
        <f>IFERROR(__xludf.DUMMYFUNCTION("""COMPUTED_VALUE"""),"")</f>
        <v/>
      </c>
      <c r="M3284" s="16" t="str">
        <f>IFERROR(__xludf.DUMMYFUNCTION("""COMPUTED_VALUE"""),"")</f>
        <v/>
      </c>
      <c r="U3284" s="16" t="s">
        <v>87</v>
      </c>
      <c r="V3284" s="16" t="str">
        <f>IFERROR(__xludf.DUMMYFUNCTION("""COMPUTED_VALUE"""),"")</f>
        <v/>
      </c>
      <c r="W3284" s="16" t="str">
        <f>IFERROR(__xludf.DUMMYFUNCTION("""COMPUTED_VALUE"""),"")</f>
        <v/>
      </c>
      <c r="X3284" s="16" t="str">
        <f>IFERROR(__xludf.DUMMYFUNCTION("""COMPUTED_VALUE"""),"")</f>
        <v/>
      </c>
      <c r="AC3284" s="16" t="str">
        <f>IFERROR(__xludf.DUMMYFUNCTION("""COMPUTED_VALUE"""),"")</f>
        <v/>
      </c>
    </row>
    <row r="3285">
      <c r="A3285" s="16" t="s">
        <v>87</v>
      </c>
      <c r="E3285" s="16" t="str">
        <f>IFERROR(__xludf.DUMMYFUNCTION("""COMPUTED_VALUE"""),"")</f>
        <v/>
      </c>
      <c r="G3285" s="18"/>
      <c r="H3285" s="16" t="s">
        <v>87</v>
      </c>
      <c r="I3285" s="16" t="s">
        <v>87</v>
      </c>
      <c r="J3285" s="19"/>
      <c r="L3285" s="16" t="str">
        <f>IFERROR(__xludf.DUMMYFUNCTION("""COMPUTED_VALUE"""),"")</f>
        <v/>
      </c>
      <c r="M3285" s="16" t="str">
        <f>IFERROR(__xludf.DUMMYFUNCTION("""COMPUTED_VALUE"""),"")</f>
        <v/>
      </c>
      <c r="U3285" s="16" t="s">
        <v>87</v>
      </c>
      <c r="V3285" s="16" t="str">
        <f>IFERROR(__xludf.DUMMYFUNCTION("""COMPUTED_VALUE"""),"")</f>
        <v/>
      </c>
      <c r="W3285" s="16" t="str">
        <f>IFERROR(__xludf.DUMMYFUNCTION("""COMPUTED_VALUE"""),"")</f>
        <v/>
      </c>
      <c r="X3285" s="16" t="str">
        <f>IFERROR(__xludf.DUMMYFUNCTION("""COMPUTED_VALUE"""),"")</f>
        <v/>
      </c>
      <c r="AC3285" s="16" t="str">
        <f>IFERROR(__xludf.DUMMYFUNCTION("""COMPUTED_VALUE"""),"")</f>
        <v/>
      </c>
    </row>
    <row r="3286">
      <c r="A3286" s="16" t="s">
        <v>87</v>
      </c>
      <c r="E3286" s="16" t="str">
        <f>IFERROR(__xludf.DUMMYFUNCTION("""COMPUTED_VALUE"""),"")</f>
        <v/>
      </c>
      <c r="G3286" s="18"/>
      <c r="H3286" s="16" t="s">
        <v>87</v>
      </c>
      <c r="I3286" s="16" t="s">
        <v>87</v>
      </c>
      <c r="J3286" s="19"/>
      <c r="L3286" s="16" t="str">
        <f>IFERROR(__xludf.DUMMYFUNCTION("""COMPUTED_VALUE"""),"")</f>
        <v/>
      </c>
      <c r="M3286" s="16" t="str">
        <f>IFERROR(__xludf.DUMMYFUNCTION("""COMPUTED_VALUE"""),"")</f>
        <v/>
      </c>
      <c r="U3286" s="16" t="s">
        <v>87</v>
      </c>
      <c r="V3286" s="16" t="str">
        <f>IFERROR(__xludf.DUMMYFUNCTION("""COMPUTED_VALUE"""),"")</f>
        <v/>
      </c>
      <c r="W3286" s="16" t="str">
        <f>IFERROR(__xludf.DUMMYFUNCTION("""COMPUTED_VALUE"""),"")</f>
        <v/>
      </c>
      <c r="X3286" s="16" t="str">
        <f>IFERROR(__xludf.DUMMYFUNCTION("""COMPUTED_VALUE"""),"")</f>
        <v/>
      </c>
      <c r="AC3286" s="16" t="str">
        <f>IFERROR(__xludf.DUMMYFUNCTION("""COMPUTED_VALUE"""),"")</f>
        <v/>
      </c>
    </row>
    <row r="3287">
      <c r="A3287" s="16" t="s">
        <v>87</v>
      </c>
      <c r="E3287" s="16" t="str">
        <f>IFERROR(__xludf.DUMMYFUNCTION("""COMPUTED_VALUE"""),"")</f>
        <v/>
      </c>
      <c r="G3287" s="18"/>
      <c r="H3287" s="16" t="s">
        <v>87</v>
      </c>
      <c r="I3287" s="16" t="s">
        <v>87</v>
      </c>
      <c r="J3287" s="19"/>
      <c r="L3287" s="16" t="str">
        <f>IFERROR(__xludf.DUMMYFUNCTION("""COMPUTED_VALUE"""),"")</f>
        <v/>
      </c>
      <c r="M3287" s="16" t="str">
        <f>IFERROR(__xludf.DUMMYFUNCTION("""COMPUTED_VALUE"""),"")</f>
        <v/>
      </c>
      <c r="U3287" s="16" t="s">
        <v>87</v>
      </c>
      <c r="V3287" s="16" t="str">
        <f>IFERROR(__xludf.DUMMYFUNCTION("""COMPUTED_VALUE"""),"")</f>
        <v/>
      </c>
      <c r="W3287" s="16" t="str">
        <f>IFERROR(__xludf.DUMMYFUNCTION("""COMPUTED_VALUE"""),"")</f>
        <v/>
      </c>
      <c r="X3287" s="16" t="str">
        <f>IFERROR(__xludf.DUMMYFUNCTION("""COMPUTED_VALUE"""),"")</f>
        <v/>
      </c>
      <c r="AC3287" s="16" t="str">
        <f>IFERROR(__xludf.DUMMYFUNCTION("""COMPUTED_VALUE"""),"")</f>
        <v/>
      </c>
    </row>
    <row r="3288">
      <c r="A3288" s="16" t="s">
        <v>87</v>
      </c>
      <c r="E3288" s="16" t="str">
        <f>IFERROR(__xludf.DUMMYFUNCTION("""COMPUTED_VALUE"""),"")</f>
        <v/>
      </c>
      <c r="G3288" s="18"/>
      <c r="H3288" s="16" t="s">
        <v>87</v>
      </c>
      <c r="I3288" s="16" t="s">
        <v>87</v>
      </c>
      <c r="J3288" s="19"/>
      <c r="L3288" s="16" t="str">
        <f>IFERROR(__xludf.DUMMYFUNCTION("""COMPUTED_VALUE"""),"")</f>
        <v/>
      </c>
      <c r="M3288" s="16" t="str">
        <f>IFERROR(__xludf.DUMMYFUNCTION("""COMPUTED_VALUE"""),"")</f>
        <v/>
      </c>
      <c r="U3288" s="16" t="s">
        <v>87</v>
      </c>
      <c r="V3288" s="16" t="str">
        <f>IFERROR(__xludf.DUMMYFUNCTION("""COMPUTED_VALUE"""),"")</f>
        <v/>
      </c>
      <c r="W3288" s="16" t="str">
        <f>IFERROR(__xludf.DUMMYFUNCTION("""COMPUTED_VALUE"""),"")</f>
        <v/>
      </c>
      <c r="X3288" s="16" t="str">
        <f>IFERROR(__xludf.DUMMYFUNCTION("""COMPUTED_VALUE"""),"")</f>
        <v/>
      </c>
      <c r="AC3288" s="16" t="str">
        <f>IFERROR(__xludf.DUMMYFUNCTION("""COMPUTED_VALUE"""),"")</f>
        <v/>
      </c>
    </row>
    <row r="3289">
      <c r="A3289" s="16" t="s">
        <v>87</v>
      </c>
      <c r="E3289" s="16" t="str">
        <f>IFERROR(__xludf.DUMMYFUNCTION("""COMPUTED_VALUE"""),"")</f>
        <v/>
      </c>
      <c r="G3289" s="18"/>
      <c r="H3289" s="16" t="s">
        <v>87</v>
      </c>
      <c r="I3289" s="16" t="s">
        <v>87</v>
      </c>
      <c r="J3289" s="19"/>
      <c r="L3289" s="16" t="str">
        <f>IFERROR(__xludf.DUMMYFUNCTION("""COMPUTED_VALUE"""),"")</f>
        <v/>
      </c>
      <c r="M3289" s="16" t="str">
        <f>IFERROR(__xludf.DUMMYFUNCTION("""COMPUTED_VALUE"""),"")</f>
        <v/>
      </c>
      <c r="U3289" s="16" t="s">
        <v>87</v>
      </c>
      <c r="V3289" s="16" t="str">
        <f>IFERROR(__xludf.DUMMYFUNCTION("""COMPUTED_VALUE"""),"")</f>
        <v/>
      </c>
      <c r="W3289" s="16" t="str">
        <f>IFERROR(__xludf.DUMMYFUNCTION("""COMPUTED_VALUE"""),"")</f>
        <v/>
      </c>
      <c r="X3289" s="16" t="str">
        <f>IFERROR(__xludf.DUMMYFUNCTION("""COMPUTED_VALUE"""),"")</f>
        <v/>
      </c>
      <c r="AC3289" s="16" t="str">
        <f>IFERROR(__xludf.DUMMYFUNCTION("""COMPUTED_VALUE"""),"")</f>
        <v/>
      </c>
    </row>
    <row r="3290">
      <c r="A3290" s="16" t="s">
        <v>87</v>
      </c>
      <c r="E3290" s="16" t="str">
        <f>IFERROR(__xludf.DUMMYFUNCTION("""COMPUTED_VALUE"""),"")</f>
        <v/>
      </c>
      <c r="G3290" s="18"/>
      <c r="H3290" s="16" t="s">
        <v>87</v>
      </c>
      <c r="I3290" s="16" t="s">
        <v>87</v>
      </c>
      <c r="J3290" s="19"/>
      <c r="L3290" s="16" t="str">
        <f>IFERROR(__xludf.DUMMYFUNCTION("""COMPUTED_VALUE"""),"")</f>
        <v/>
      </c>
      <c r="M3290" s="16" t="str">
        <f>IFERROR(__xludf.DUMMYFUNCTION("""COMPUTED_VALUE"""),"")</f>
        <v/>
      </c>
      <c r="U3290" s="16" t="s">
        <v>87</v>
      </c>
      <c r="V3290" s="16" t="str">
        <f>IFERROR(__xludf.DUMMYFUNCTION("""COMPUTED_VALUE"""),"")</f>
        <v/>
      </c>
      <c r="W3290" s="16" t="str">
        <f>IFERROR(__xludf.DUMMYFUNCTION("""COMPUTED_VALUE"""),"")</f>
        <v/>
      </c>
      <c r="X3290" s="16" t="str">
        <f>IFERROR(__xludf.DUMMYFUNCTION("""COMPUTED_VALUE"""),"")</f>
        <v/>
      </c>
      <c r="AC3290" s="16" t="str">
        <f>IFERROR(__xludf.DUMMYFUNCTION("""COMPUTED_VALUE"""),"")</f>
        <v/>
      </c>
    </row>
    <row r="3291">
      <c r="A3291" s="16" t="s">
        <v>87</v>
      </c>
      <c r="E3291" s="16" t="str">
        <f>IFERROR(__xludf.DUMMYFUNCTION("""COMPUTED_VALUE"""),"")</f>
        <v/>
      </c>
      <c r="G3291" s="18"/>
      <c r="H3291" s="16" t="s">
        <v>87</v>
      </c>
      <c r="I3291" s="16" t="s">
        <v>87</v>
      </c>
      <c r="J3291" s="19"/>
      <c r="L3291" s="16" t="str">
        <f>IFERROR(__xludf.DUMMYFUNCTION("""COMPUTED_VALUE"""),"")</f>
        <v/>
      </c>
      <c r="M3291" s="16" t="str">
        <f>IFERROR(__xludf.DUMMYFUNCTION("""COMPUTED_VALUE"""),"")</f>
        <v/>
      </c>
      <c r="U3291" s="16" t="s">
        <v>87</v>
      </c>
      <c r="V3291" s="16" t="str">
        <f>IFERROR(__xludf.DUMMYFUNCTION("""COMPUTED_VALUE"""),"")</f>
        <v/>
      </c>
      <c r="W3291" s="16" t="str">
        <f>IFERROR(__xludf.DUMMYFUNCTION("""COMPUTED_VALUE"""),"")</f>
        <v/>
      </c>
      <c r="X3291" s="16" t="str">
        <f>IFERROR(__xludf.DUMMYFUNCTION("""COMPUTED_VALUE"""),"")</f>
        <v/>
      </c>
      <c r="AC3291" s="16" t="str">
        <f>IFERROR(__xludf.DUMMYFUNCTION("""COMPUTED_VALUE"""),"")</f>
        <v/>
      </c>
    </row>
    <row r="3292">
      <c r="A3292" s="16" t="s">
        <v>87</v>
      </c>
      <c r="E3292" s="16" t="str">
        <f>IFERROR(__xludf.DUMMYFUNCTION("""COMPUTED_VALUE"""),"")</f>
        <v/>
      </c>
      <c r="G3292" s="18"/>
      <c r="H3292" s="16" t="s">
        <v>87</v>
      </c>
      <c r="I3292" s="16" t="s">
        <v>87</v>
      </c>
      <c r="J3292" s="19"/>
      <c r="L3292" s="16" t="str">
        <f>IFERROR(__xludf.DUMMYFUNCTION("""COMPUTED_VALUE"""),"")</f>
        <v/>
      </c>
      <c r="M3292" s="16" t="str">
        <f>IFERROR(__xludf.DUMMYFUNCTION("""COMPUTED_VALUE"""),"")</f>
        <v/>
      </c>
      <c r="U3292" s="16" t="s">
        <v>87</v>
      </c>
      <c r="V3292" s="16" t="str">
        <f>IFERROR(__xludf.DUMMYFUNCTION("""COMPUTED_VALUE"""),"")</f>
        <v/>
      </c>
      <c r="W3292" s="16" t="str">
        <f>IFERROR(__xludf.DUMMYFUNCTION("""COMPUTED_VALUE"""),"")</f>
        <v/>
      </c>
      <c r="X3292" s="16" t="str">
        <f>IFERROR(__xludf.DUMMYFUNCTION("""COMPUTED_VALUE"""),"")</f>
        <v/>
      </c>
      <c r="AC3292" s="16" t="str">
        <f>IFERROR(__xludf.DUMMYFUNCTION("""COMPUTED_VALUE"""),"")</f>
        <v/>
      </c>
    </row>
    <row r="3293">
      <c r="A3293" s="16" t="s">
        <v>87</v>
      </c>
      <c r="E3293" s="16" t="str">
        <f>IFERROR(__xludf.DUMMYFUNCTION("""COMPUTED_VALUE"""),"")</f>
        <v/>
      </c>
      <c r="G3293" s="18"/>
      <c r="H3293" s="16" t="s">
        <v>87</v>
      </c>
      <c r="I3293" s="16" t="s">
        <v>87</v>
      </c>
      <c r="J3293" s="19"/>
      <c r="L3293" s="16" t="str">
        <f>IFERROR(__xludf.DUMMYFUNCTION("""COMPUTED_VALUE"""),"")</f>
        <v/>
      </c>
      <c r="M3293" s="16" t="str">
        <f>IFERROR(__xludf.DUMMYFUNCTION("""COMPUTED_VALUE"""),"")</f>
        <v/>
      </c>
      <c r="U3293" s="16" t="s">
        <v>87</v>
      </c>
      <c r="V3293" s="16" t="str">
        <f>IFERROR(__xludf.DUMMYFUNCTION("""COMPUTED_VALUE"""),"")</f>
        <v/>
      </c>
      <c r="W3293" s="16" t="str">
        <f>IFERROR(__xludf.DUMMYFUNCTION("""COMPUTED_VALUE"""),"")</f>
        <v/>
      </c>
      <c r="X3293" s="16" t="str">
        <f>IFERROR(__xludf.DUMMYFUNCTION("""COMPUTED_VALUE"""),"")</f>
        <v/>
      </c>
      <c r="AC3293" s="16" t="str">
        <f>IFERROR(__xludf.DUMMYFUNCTION("""COMPUTED_VALUE"""),"")</f>
        <v/>
      </c>
    </row>
    <row r="3294">
      <c r="A3294" s="16" t="s">
        <v>87</v>
      </c>
      <c r="E3294" s="16" t="str">
        <f>IFERROR(__xludf.DUMMYFUNCTION("""COMPUTED_VALUE"""),"")</f>
        <v/>
      </c>
      <c r="G3294" s="18"/>
      <c r="H3294" s="16" t="s">
        <v>87</v>
      </c>
      <c r="I3294" s="16" t="s">
        <v>87</v>
      </c>
      <c r="J3294" s="19"/>
      <c r="L3294" s="16" t="str">
        <f>IFERROR(__xludf.DUMMYFUNCTION("""COMPUTED_VALUE"""),"")</f>
        <v/>
      </c>
      <c r="M3294" s="16" t="str">
        <f>IFERROR(__xludf.DUMMYFUNCTION("""COMPUTED_VALUE"""),"")</f>
        <v/>
      </c>
      <c r="U3294" s="16" t="s">
        <v>87</v>
      </c>
      <c r="V3294" s="16" t="str">
        <f>IFERROR(__xludf.DUMMYFUNCTION("""COMPUTED_VALUE"""),"")</f>
        <v/>
      </c>
      <c r="W3294" s="16" t="str">
        <f>IFERROR(__xludf.DUMMYFUNCTION("""COMPUTED_VALUE"""),"")</f>
        <v/>
      </c>
      <c r="X3294" s="16" t="str">
        <f>IFERROR(__xludf.DUMMYFUNCTION("""COMPUTED_VALUE"""),"")</f>
        <v/>
      </c>
      <c r="AC3294" s="16" t="str">
        <f>IFERROR(__xludf.DUMMYFUNCTION("""COMPUTED_VALUE"""),"")</f>
        <v/>
      </c>
    </row>
    <row r="3295">
      <c r="A3295" s="16" t="s">
        <v>87</v>
      </c>
      <c r="E3295" s="16" t="str">
        <f>IFERROR(__xludf.DUMMYFUNCTION("""COMPUTED_VALUE"""),"")</f>
        <v/>
      </c>
      <c r="G3295" s="18"/>
      <c r="H3295" s="16" t="s">
        <v>87</v>
      </c>
      <c r="I3295" s="16" t="s">
        <v>87</v>
      </c>
      <c r="J3295" s="19"/>
      <c r="L3295" s="16" t="str">
        <f>IFERROR(__xludf.DUMMYFUNCTION("""COMPUTED_VALUE"""),"")</f>
        <v/>
      </c>
      <c r="M3295" s="16" t="str">
        <f>IFERROR(__xludf.DUMMYFUNCTION("""COMPUTED_VALUE"""),"")</f>
        <v/>
      </c>
      <c r="U3295" s="16" t="s">
        <v>87</v>
      </c>
      <c r="V3295" s="16" t="str">
        <f>IFERROR(__xludf.DUMMYFUNCTION("""COMPUTED_VALUE"""),"")</f>
        <v/>
      </c>
      <c r="W3295" s="16" t="str">
        <f>IFERROR(__xludf.DUMMYFUNCTION("""COMPUTED_VALUE"""),"")</f>
        <v/>
      </c>
      <c r="X3295" s="16" t="str">
        <f>IFERROR(__xludf.DUMMYFUNCTION("""COMPUTED_VALUE"""),"")</f>
        <v/>
      </c>
      <c r="AC3295" s="16" t="str">
        <f>IFERROR(__xludf.DUMMYFUNCTION("""COMPUTED_VALUE"""),"")</f>
        <v/>
      </c>
    </row>
    <row r="3296">
      <c r="A3296" s="16" t="s">
        <v>87</v>
      </c>
      <c r="E3296" s="16" t="str">
        <f>IFERROR(__xludf.DUMMYFUNCTION("""COMPUTED_VALUE"""),"")</f>
        <v/>
      </c>
      <c r="G3296" s="18"/>
      <c r="H3296" s="16" t="s">
        <v>87</v>
      </c>
      <c r="I3296" s="16" t="s">
        <v>87</v>
      </c>
      <c r="J3296" s="19"/>
      <c r="L3296" s="16" t="str">
        <f>IFERROR(__xludf.DUMMYFUNCTION("""COMPUTED_VALUE"""),"")</f>
        <v/>
      </c>
      <c r="M3296" s="16" t="str">
        <f>IFERROR(__xludf.DUMMYFUNCTION("""COMPUTED_VALUE"""),"")</f>
        <v/>
      </c>
      <c r="U3296" s="16" t="s">
        <v>87</v>
      </c>
      <c r="V3296" s="16" t="str">
        <f>IFERROR(__xludf.DUMMYFUNCTION("""COMPUTED_VALUE"""),"")</f>
        <v/>
      </c>
      <c r="W3296" s="16" t="str">
        <f>IFERROR(__xludf.DUMMYFUNCTION("""COMPUTED_VALUE"""),"")</f>
        <v/>
      </c>
      <c r="X3296" s="16" t="str">
        <f>IFERROR(__xludf.DUMMYFUNCTION("""COMPUTED_VALUE"""),"")</f>
        <v/>
      </c>
      <c r="AC3296" s="16" t="str">
        <f>IFERROR(__xludf.DUMMYFUNCTION("""COMPUTED_VALUE"""),"")</f>
        <v/>
      </c>
    </row>
    <row r="3297">
      <c r="A3297" s="16" t="s">
        <v>87</v>
      </c>
      <c r="E3297" s="16" t="str">
        <f>IFERROR(__xludf.DUMMYFUNCTION("""COMPUTED_VALUE"""),"")</f>
        <v/>
      </c>
      <c r="G3297" s="18"/>
      <c r="H3297" s="16" t="s">
        <v>87</v>
      </c>
      <c r="I3297" s="16" t="s">
        <v>87</v>
      </c>
      <c r="J3297" s="19"/>
      <c r="L3297" s="16" t="str">
        <f>IFERROR(__xludf.DUMMYFUNCTION("""COMPUTED_VALUE"""),"")</f>
        <v/>
      </c>
      <c r="M3297" s="16" t="str">
        <f>IFERROR(__xludf.DUMMYFUNCTION("""COMPUTED_VALUE"""),"")</f>
        <v/>
      </c>
      <c r="U3297" s="16" t="s">
        <v>87</v>
      </c>
      <c r="V3297" s="16" t="str">
        <f>IFERROR(__xludf.DUMMYFUNCTION("""COMPUTED_VALUE"""),"")</f>
        <v/>
      </c>
      <c r="W3297" s="16" t="str">
        <f>IFERROR(__xludf.DUMMYFUNCTION("""COMPUTED_VALUE"""),"")</f>
        <v/>
      </c>
      <c r="X3297" s="16" t="str">
        <f>IFERROR(__xludf.DUMMYFUNCTION("""COMPUTED_VALUE"""),"")</f>
        <v/>
      </c>
      <c r="AC3297" s="16" t="str">
        <f>IFERROR(__xludf.DUMMYFUNCTION("""COMPUTED_VALUE"""),"")</f>
        <v/>
      </c>
    </row>
    <row r="3298">
      <c r="A3298" s="16" t="s">
        <v>87</v>
      </c>
      <c r="E3298" s="16" t="str">
        <f>IFERROR(__xludf.DUMMYFUNCTION("""COMPUTED_VALUE"""),"")</f>
        <v/>
      </c>
      <c r="G3298" s="18"/>
      <c r="H3298" s="16" t="s">
        <v>87</v>
      </c>
      <c r="I3298" s="16" t="s">
        <v>87</v>
      </c>
      <c r="J3298" s="19"/>
      <c r="L3298" s="16" t="str">
        <f>IFERROR(__xludf.DUMMYFUNCTION("""COMPUTED_VALUE"""),"")</f>
        <v/>
      </c>
      <c r="M3298" s="16" t="str">
        <f>IFERROR(__xludf.DUMMYFUNCTION("""COMPUTED_VALUE"""),"")</f>
        <v/>
      </c>
      <c r="U3298" s="16" t="s">
        <v>87</v>
      </c>
      <c r="V3298" s="16" t="str">
        <f>IFERROR(__xludf.DUMMYFUNCTION("""COMPUTED_VALUE"""),"")</f>
        <v/>
      </c>
      <c r="W3298" s="16" t="str">
        <f>IFERROR(__xludf.DUMMYFUNCTION("""COMPUTED_VALUE"""),"")</f>
        <v/>
      </c>
      <c r="X3298" s="16" t="str">
        <f>IFERROR(__xludf.DUMMYFUNCTION("""COMPUTED_VALUE"""),"")</f>
        <v/>
      </c>
      <c r="AC3298" s="16" t="str">
        <f>IFERROR(__xludf.DUMMYFUNCTION("""COMPUTED_VALUE"""),"")</f>
        <v/>
      </c>
    </row>
    <row r="3299">
      <c r="A3299" s="16" t="s">
        <v>87</v>
      </c>
      <c r="E3299" s="16" t="str">
        <f>IFERROR(__xludf.DUMMYFUNCTION("""COMPUTED_VALUE"""),"")</f>
        <v/>
      </c>
      <c r="G3299" s="18"/>
      <c r="H3299" s="16" t="s">
        <v>87</v>
      </c>
      <c r="I3299" s="16" t="s">
        <v>87</v>
      </c>
      <c r="J3299" s="19"/>
      <c r="L3299" s="16" t="str">
        <f>IFERROR(__xludf.DUMMYFUNCTION("""COMPUTED_VALUE"""),"")</f>
        <v/>
      </c>
      <c r="M3299" s="16" t="str">
        <f>IFERROR(__xludf.DUMMYFUNCTION("""COMPUTED_VALUE"""),"")</f>
        <v/>
      </c>
      <c r="U3299" s="16" t="s">
        <v>87</v>
      </c>
      <c r="V3299" s="16" t="str">
        <f>IFERROR(__xludf.DUMMYFUNCTION("""COMPUTED_VALUE"""),"")</f>
        <v/>
      </c>
      <c r="W3299" s="16" t="str">
        <f>IFERROR(__xludf.DUMMYFUNCTION("""COMPUTED_VALUE"""),"")</f>
        <v/>
      </c>
      <c r="X3299" s="16" t="str">
        <f>IFERROR(__xludf.DUMMYFUNCTION("""COMPUTED_VALUE"""),"")</f>
        <v/>
      </c>
      <c r="AC3299" s="16" t="str">
        <f>IFERROR(__xludf.DUMMYFUNCTION("""COMPUTED_VALUE"""),"")</f>
        <v/>
      </c>
    </row>
    <row r="3300">
      <c r="A3300" s="16" t="s">
        <v>87</v>
      </c>
      <c r="E3300" s="16" t="str">
        <f>IFERROR(__xludf.DUMMYFUNCTION("""COMPUTED_VALUE"""),"")</f>
        <v/>
      </c>
      <c r="G3300" s="18"/>
      <c r="H3300" s="16" t="s">
        <v>87</v>
      </c>
      <c r="I3300" s="16" t="s">
        <v>87</v>
      </c>
      <c r="J3300" s="19"/>
      <c r="L3300" s="16" t="str">
        <f>IFERROR(__xludf.DUMMYFUNCTION("""COMPUTED_VALUE"""),"")</f>
        <v/>
      </c>
      <c r="M3300" s="16" t="str">
        <f>IFERROR(__xludf.DUMMYFUNCTION("""COMPUTED_VALUE"""),"")</f>
        <v/>
      </c>
      <c r="U3300" s="16" t="s">
        <v>87</v>
      </c>
      <c r="V3300" s="16" t="str">
        <f>IFERROR(__xludf.DUMMYFUNCTION("""COMPUTED_VALUE"""),"")</f>
        <v/>
      </c>
      <c r="W3300" s="16" t="str">
        <f>IFERROR(__xludf.DUMMYFUNCTION("""COMPUTED_VALUE"""),"")</f>
        <v/>
      </c>
      <c r="X3300" s="16" t="str">
        <f>IFERROR(__xludf.DUMMYFUNCTION("""COMPUTED_VALUE"""),"")</f>
        <v/>
      </c>
      <c r="AC3300" s="16" t="str">
        <f>IFERROR(__xludf.DUMMYFUNCTION("""COMPUTED_VALUE"""),"")</f>
        <v/>
      </c>
    </row>
    <row r="3301">
      <c r="A3301" s="16" t="s">
        <v>87</v>
      </c>
      <c r="E3301" s="16" t="str">
        <f>IFERROR(__xludf.DUMMYFUNCTION("""COMPUTED_VALUE"""),"")</f>
        <v/>
      </c>
      <c r="G3301" s="18"/>
      <c r="H3301" s="16" t="s">
        <v>87</v>
      </c>
      <c r="I3301" s="16" t="s">
        <v>87</v>
      </c>
      <c r="J3301" s="19"/>
      <c r="L3301" s="16" t="str">
        <f>IFERROR(__xludf.DUMMYFUNCTION("""COMPUTED_VALUE"""),"")</f>
        <v/>
      </c>
      <c r="M3301" s="16" t="str">
        <f>IFERROR(__xludf.DUMMYFUNCTION("""COMPUTED_VALUE"""),"")</f>
        <v/>
      </c>
      <c r="U3301" s="16" t="s">
        <v>87</v>
      </c>
      <c r="V3301" s="16" t="str">
        <f>IFERROR(__xludf.DUMMYFUNCTION("""COMPUTED_VALUE"""),"")</f>
        <v/>
      </c>
      <c r="W3301" s="16" t="str">
        <f>IFERROR(__xludf.DUMMYFUNCTION("""COMPUTED_VALUE"""),"")</f>
        <v/>
      </c>
      <c r="X3301" s="16" t="str">
        <f>IFERROR(__xludf.DUMMYFUNCTION("""COMPUTED_VALUE"""),"")</f>
        <v/>
      </c>
      <c r="AC3301" s="16" t="str">
        <f>IFERROR(__xludf.DUMMYFUNCTION("""COMPUTED_VALUE"""),"")</f>
        <v/>
      </c>
    </row>
    <row r="3302">
      <c r="A3302" s="16" t="s">
        <v>87</v>
      </c>
      <c r="E3302" s="16" t="str">
        <f>IFERROR(__xludf.DUMMYFUNCTION("""COMPUTED_VALUE"""),"")</f>
        <v/>
      </c>
      <c r="G3302" s="18"/>
      <c r="H3302" s="16" t="s">
        <v>87</v>
      </c>
      <c r="I3302" s="16" t="s">
        <v>87</v>
      </c>
      <c r="J3302" s="19"/>
      <c r="L3302" s="16" t="str">
        <f>IFERROR(__xludf.DUMMYFUNCTION("""COMPUTED_VALUE"""),"")</f>
        <v/>
      </c>
      <c r="M3302" s="16" t="str">
        <f>IFERROR(__xludf.DUMMYFUNCTION("""COMPUTED_VALUE"""),"")</f>
        <v/>
      </c>
      <c r="U3302" s="16" t="s">
        <v>87</v>
      </c>
      <c r="V3302" s="16" t="str">
        <f>IFERROR(__xludf.DUMMYFUNCTION("""COMPUTED_VALUE"""),"")</f>
        <v/>
      </c>
      <c r="W3302" s="16" t="str">
        <f>IFERROR(__xludf.DUMMYFUNCTION("""COMPUTED_VALUE"""),"")</f>
        <v/>
      </c>
      <c r="X3302" s="16" t="str">
        <f>IFERROR(__xludf.DUMMYFUNCTION("""COMPUTED_VALUE"""),"")</f>
        <v/>
      </c>
      <c r="AC3302" s="16" t="str">
        <f>IFERROR(__xludf.DUMMYFUNCTION("""COMPUTED_VALUE"""),"")</f>
        <v/>
      </c>
    </row>
    <row r="3303">
      <c r="A3303" s="16" t="s">
        <v>87</v>
      </c>
      <c r="E3303" s="16" t="str">
        <f>IFERROR(__xludf.DUMMYFUNCTION("""COMPUTED_VALUE"""),"")</f>
        <v/>
      </c>
      <c r="G3303" s="18"/>
      <c r="H3303" s="16" t="s">
        <v>87</v>
      </c>
      <c r="I3303" s="16" t="s">
        <v>87</v>
      </c>
      <c r="J3303" s="19"/>
      <c r="L3303" s="16" t="str">
        <f>IFERROR(__xludf.DUMMYFUNCTION("""COMPUTED_VALUE"""),"")</f>
        <v/>
      </c>
      <c r="M3303" s="16" t="str">
        <f>IFERROR(__xludf.DUMMYFUNCTION("""COMPUTED_VALUE"""),"")</f>
        <v/>
      </c>
      <c r="U3303" s="16" t="s">
        <v>87</v>
      </c>
      <c r="V3303" s="16" t="str">
        <f>IFERROR(__xludf.DUMMYFUNCTION("""COMPUTED_VALUE"""),"")</f>
        <v/>
      </c>
      <c r="W3303" s="16" t="str">
        <f>IFERROR(__xludf.DUMMYFUNCTION("""COMPUTED_VALUE"""),"")</f>
        <v/>
      </c>
      <c r="X3303" s="16" t="str">
        <f>IFERROR(__xludf.DUMMYFUNCTION("""COMPUTED_VALUE"""),"")</f>
        <v/>
      </c>
      <c r="AC3303" s="16" t="str">
        <f>IFERROR(__xludf.DUMMYFUNCTION("""COMPUTED_VALUE"""),"")</f>
        <v/>
      </c>
    </row>
    <row r="3304">
      <c r="A3304" s="16" t="s">
        <v>87</v>
      </c>
      <c r="E3304" s="16" t="str">
        <f>IFERROR(__xludf.DUMMYFUNCTION("""COMPUTED_VALUE"""),"")</f>
        <v/>
      </c>
      <c r="G3304" s="18"/>
      <c r="H3304" s="16" t="s">
        <v>87</v>
      </c>
      <c r="I3304" s="16" t="s">
        <v>87</v>
      </c>
      <c r="J3304" s="19"/>
      <c r="L3304" s="16" t="str">
        <f>IFERROR(__xludf.DUMMYFUNCTION("""COMPUTED_VALUE"""),"")</f>
        <v/>
      </c>
      <c r="M3304" s="16" t="str">
        <f>IFERROR(__xludf.DUMMYFUNCTION("""COMPUTED_VALUE"""),"")</f>
        <v/>
      </c>
      <c r="U3304" s="16" t="s">
        <v>87</v>
      </c>
      <c r="V3304" s="16" t="str">
        <f>IFERROR(__xludf.DUMMYFUNCTION("""COMPUTED_VALUE"""),"")</f>
        <v/>
      </c>
      <c r="W3304" s="16" t="str">
        <f>IFERROR(__xludf.DUMMYFUNCTION("""COMPUTED_VALUE"""),"")</f>
        <v/>
      </c>
      <c r="X3304" s="16" t="str">
        <f>IFERROR(__xludf.DUMMYFUNCTION("""COMPUTED_VALUE"""),"")</f>
        <v/>
      </c>
      <c r="AC3304" s="16" t="str">
        <f>IFERROR(__xludf.DUMMYFUNCTION("""COMPUTED_VALUE"""),"")</f>
        <v/>
      </c>
    </row>
    <row r="3305">
      <c r="A3305" s="16" t="s">
        <v>87</v>
      </c>
      <c r="E3305" s="16" t="str">
        <f>IFERROR(__xludf.DUMMYFUNCTION("""COMPUTED_VALUE"""),"")</f>
        <v/>
      </c>
      <c r="G3305" s="18"/>
      <c r="H3305" s="16" t="s">
        <v>87</v>
      </c>
      <c r="I3305" s="16" t="s">
        <v>87</v>
      </c>
      <c r="J3305" s="19"/>
      <c r="L3305" s="16" t="str">
        <f>IFERROR(__xludf.DUMMYFUNCTION("""COMPUTED_VALUE"""),"")</f>
        <v/>
      </c>
      <c r="M3305" s="16" t="str">
        <f>IFERROR(__xludf.DUMMYFUNCTION("""COMPUTED_VALUE"""),"")</f>
        <v/>
      </c>
      <c r="U3305" s="16" t="s">
        <v>87</v>
      </c>
      <c r="V3305" s="16" t="str">
        <f>IFERROR(__xludf.DUMMYFUNCTION("""COMPUTED_VALUE"""),"")</f>
        <v/>
      </c>
      <c r="W3305" s="16" t="str">
        <f>IFERROR(__xludf.DUMMYFUNCTION("""COMPUTED_VALUE"""),"")</f>
        <v/>
      </c>
      <c r="X3305" s="16" t="str">
        <f>IFERROR(__xludf.DUMMYFUNCTION("""COMPUTED_VALUE"""),"")</f>
        <v/>
      </c>
      <c r="AC3305" s="16" t="str">
        <f>IFERROR(__xludf.DUMMYFUNCTION("""COMPUTED_VALUE"""),"")</f>
        <v/>
      </c>
    </row>
    <row r="3306">
      <c r="A3306" s="16" t="s">
        <v>87</v>
      </c>
      <c r="E3306" s="16" t="str">
        <f>IFERROR(__xludf.DUMMYFUNCTION("""COMPUTED_VALUE"""),"")</f>
        <v/>
      </c>
      <c r="G3306" s="18"/>
      <c r="H3306" s="16" t="s">
        <v>87</v>
      </c>
      <c r="I3306" s="16" t="s">
        <v>87</v>
      </c>
      <c r="J3306" s="19"/>
      <c r="L3306" s="16" t="str">
        <f>IFERROR(__xludf.DUMMYFUNCTION("""COMPUTED_VALUE"""),"")</f>
        <v/>
      </c>
      <c r="M3306" s="16" t="str">
        <f>IFERROR(__xludf.DUMMYFUNCTION("""COMPUTED_VALUE"""),"")</f>
        <v/>
      </c>
      <c r="U3306" s="16" t="s">
        <v>87</v>
      </c>
      <c r="V3306" s="16" t="str">
        <f>IFERROR(__xludf.DUMMYFUNCTION("""COMPUTED_VALUE"""),"")</f>
        <v/>
      </c>
      <c r="W3306" s="16" t="str">
        <f>IFERROR(__xludf.DUMMYFUNCTION("""COMPUTED_VALUE"""),"")</f>
        <v/>
      </c>
      <c r="X3306" s="16" t="str">
        <f>IFERROR(__xludf.DUMMYFUNCTION("""COMPUTED_VALUE"""),"")</f>
        <v/>
      </c>
      <c r="AC3306" s="16" t="str">
        <f>IFERROR(__xludf.DUMMYFUNCTION("""COMPUTED_VALUE"""),"")</f>
        <v/>
      </c>
    </row>
    <row r="3307">
      <c r="A3307" s="16" t="s">
        <v>87</v>
      </c>
      <c r="E3307" s="16" t="str">
        <f>IFERROR(__xludf.DUMMYFUNCTION("""COMPUTED_VALUE"""),"")</f>
        <v/>
      </c>
      <c r="G3307" s="18"/>
      <c r="H3307" s="16" t="s">
        <v>87</v>
      </c>
      <c r="I3307" s="16" t="s">
        <v>87</v>
      </c>
      <c r="J3307" s="19"/>
      <c r="L3307" s="16" t="str">
        <f>IFERROR(__xludf.DUMMYFUNCTION("""COMPUTED_VALUE"""),"")</f>
        <v/>
      </c>
      <c r="M3307" s="16" t="str">
        <f>IFERROR(__xludf.DUMMYFUNCTION("""COMPUTED_VALUE"""),"")</f>
        <v/>
      </c>
      <c r="U3307" s="16" t="s">
        <v>87</v>
      </c>
      <c r="V3307" s="16" t="str">
        <f>IFERROR(__xludf.DUMMYFUNCTION("""COMPUTED_VALUE"""),"")</f>
        <v/>
      </c>
      <c r="W3307" s="16" t="str">
        <f>IFERROR(__xludf.DUMMYFUNCTION("""COMPUTED_VALUE"""),"")</f>
        <v/>
      </c>
      <c r="X3307" s="16" t="str">
        <f>IFERROR(__xludf.DUMMYFUNCTION("""COMPUTED_VALUE"""),"")</f>
        <v/>
      </c>
      <c r="AC3307" s="16" t="str">
        <f>IFERROR(__xludf.DUMMYFUNCTION("""COMPUTED_VALUE"""),"")</f>
        <v/>
      </c>
    </row>
    <row r="3308">
      <c r="A3308" s="16" t="s">
        <v>87</v>
      </c>
      <c r="E3308" s="16" t="str">
        <f>IFERROR(__xludf.DUMMYFUNCTION("""COMPUTED_VALUE"""),"")</f>
        <v/>
      </c>
      <c r="G3308" s="18"/>
      <c r="H3308" s="16" t="s">
        <v>87</v>
      </c>
      <c r="I3308" s="16" t="s">
        <v>87</v>
      </c>
      <c r="J3308" s="19"/>
      <c r="L3308" s="16" t="str">
        <f>IFERROR(__xludf.DUMMYFUNCTION("""COMPUTED_VALUE"""),"")</f>
        <v/>
      </c>
      <c r="M3308" s="16" t="str">
        <f>IFERROR(__xludf.DUMMYFUNCTION("""COMPUTED_VALUE"""),"")</f>
        <v/>
      </c>
      <c r="U3308" s="16" t="s">
        <v>87</v>
      </c>
      <c r="V3308" s="16" t="str">
        <f>IFERROR(__xludf.DUMMYFUNCTION("""COMPUTED_VALUE"""),"")</f>
        <v/>
      </c>
      <c r="W3308" s="16" t="str">
        <f>IFERROR(__xludf.DUMMYFUNCTION("""COMPUTED_VALUE"""),"")</f>
        <v/>
      </c>
      <c r="X3308" s="16" t="str">
        <f>IFERROR(__xludf.DUMMYFUNCTION("""COMPUTED_VALUE"""),"")</f>
        <v/>
      </c>
      <c r="AC3308" s="16" t="str">
        <f>IFERROR(__xludf.DUMMYFUNCTION("""COMPUTED_VALUE"""),"")</f>
        <v/>
      </c>
    </row>
    <row r="3309">
      <c r="A3309" s="16" t="s">
        <v>87</v>
      </c>
      <c r="E3309" s="16" t="str">
        <f>IFERROR(__xludf.DUMMYFUNCTION("""COMPUTED_VALUE"""),"")</f>
        <v/>
      </c>
      <c r="G3309" s="18"/>
      <c r="H3309" s="16" t="s">
        <v>87</v>
      </c>
      <c r="I3309" s="16" t="s">
        <v>87</v>
      </c>
      <c r="J3309" s="19"/>
      <c r="L3309" s="16" t="str">
        <f>IFERROR(__xludf.DUMMYFUNCTION("""COMPUTED_VALUE"""),"")</f>
        <v/>
      </c>
      <c r="M3309" s="16" t="str">
        <f>IFERROR(__xludf.DUMMYFUNCTION("""COMPUTED_VALUE"""),"")</f>
        <v/>
      </c>
      <c r="U3309" s="16" t="s">
        <v>87</v>
      </c>
      <c r="V3309" s="16" t="str">
        <f>IFERROR(__xludf.DUMMYFUNCTION("""COMPUTED_VALUE"""),"")</f>
        <v/>
      </c>
      <c r="W3309" s="16" t="str">
        <f>IFERROR(__xludf.DUMMYFUNCTION("""COMPUTED_VALUE"""),"")</f>
        <v/>
      </c>
      <c r="X3309" s="16" t="str">
        <f>IFERROR(__xludf.DUMMYFUNCTION("""COMPUTED_VALUE"""),"")</f>
        <v/>
      </c>
      <c r="AC3309" s="16" t="str">
        <f>IFERROR(__xludf.DUMMYFUNCTION("""COMPUTED_VALUE"""),"")</f>
        <v/>
      </c>
    </row>
    <row r="3310">
      <c r="A3310" s="16" t="s">
        <v>87</v>
      </c>
      <c r="E3310" s="16" t="str">
        <f>IFERROR(__xludf.DUMMYFUNCTION("""COMPUTED_VALUE"""),"")</f>
        <v/>
      </c>
      <c r="G3310" s="18"/>
      <c r="H3310" s="16" t="s">
        <v>87</v>
      </c>
      <c r="I3310" s="16" t="s">
        <v>87</v>
      </c>
      <c r="J3310" s="19"/>
      <c r="L3310" s="16" t="str">
        <f>IFERROR(__xludf.DUMMYFUNCTION("""COMPUTED_VALUE"""),"")</f>
        <v/>
      </c>
      <c r="M3310" s="16" t="str">
        <f>IFERROR(__xludf.DUMMYFUNCTION("""COMPUTED_VALUE"""),"")</f>
        <v/>
      </c>
      <c r="U3310" s="16" t="s">
        <v>87</v>
      </c>
      <c r="V3310" s="16" t="str">
        <f>IFERROR(__xludf.DUMMYFUNCTION("""COMPUTED_VALUE"""),"")</f>
        <v/>
      </c>
      <c r="W3310" s="16" t="str">
        <f>IFERROR(__xludf.DUMMYFUNCTION("""COMPUTED_VALUE"""),"")</f>
        <v/>
      </c>
      <c r="X3310" s="16" t="str">
        <f>IFERROR(__xludf.DUMMYFUNCTION("""COMPUTED_VALUE"""),"")</f>
        <v/>
      </c>
      <c r="AC3310" s="16" t="str">
        <f>IFERROR(__xludf.DUMMYFUNCTION("""COMPUTED_VALUE"""),"")</f>
        <v/>
      </c>
    </row>
    <row r="3311">
      <c r="A3311" s="16" t="s">
        <v>87</v>
      </c>
      <c r="E3311" s="16" t="str">
        <f>IFERROR(__xludf.DUMMYFUNCTION("""COMPUTED_VALUE"""),"")</f>
        <v/>
      </c>
      <c r="G3311" s="18"/>
      <c r="H3311" s="16" t="s">
        <v>87</v>
      </c>
      <c r="I3311" s="16" t="s">
        <v>87</v>
      </c>
      <c r="J3311" s="19"/>
      <c r="L3311" s="16" t="str">
        <f>IFERROR(__xludf.DUMMYFUNCTION("""COMPUTED_VALUE"""),"")</f>
        <v/>
      </c>
      <c r="M3311" s="16" t="str">
        <f>IFERROR(__xludf.DUMMYFUNCTION("""COMPUTED_VALUE"""),"")</f>
        <v/>
      </c>
      <c r="U3311" s="16" t="s">
        <v>87</v>
      </c>
      <c r="V3311" s="16" t="str">
        <f>IFERROR(__xludf.DUMMYFUNCTION("""COMPUTED_VALUE"""),"")</f>
        <v/>
      </c>
      <c r="W3311" s="16" t="str">
        <f>IFERROR(__xludf.DUMMYFUNCTION("""COMPUTED_VALUE"""),"")</f>
        <v/>
      </c>
      <c r="X3311" s="16" t="str">
        <f>IFERROR(__xludf.DUMMYFUNCTION("""COMPUTED_VALUE"""),"")</f>
        <v/>
      </c>
      <c r="AC3311" s="16" t="str">
        <f>IFERROR(__xludf.DUMMYFUNCTION("""COMPUTED_VALUE"""),"")</f>
        <v/>
      </c>
    </row>
    <row r="3312">
      <c r="A3312" s="16" t="s">
        <v>87</v>
      </c>
      <c r="E3312" s="16" t="str">
        <f>IFERROR(__xludf.DUMMYFUNCTION("""COMPUTED_VALUE"""),"")</f>
        <v/>
      </c>
      <c r="G3312" s="18"/>
      <c r="H3312" s="16" t="s">
        <v>87</v>
      </c>
      <c r="I3312" s="16" t="s">
        <v>87</v>
      </c>
      <c r="J3312" s="19"/>
      <c r="L3312" s="16" t="str">
        <f>IFERROR(__xludf.DUMMYFUNCTION("""COMPUTED_VALUE"""),"")</f>
        <v/>
      </c>
      <c r="M3312" s="16" t="str">
        <f>IFERROR(__xludf.DUMMYFUNCTION("""COMPUTED_VALUE"""),"")</f>
        <v/>
      </c>
      <c r="U3312" s="16" t="s">
        <v>87</v>
      </c>
      <c r="V3312" s="16" t="str">
        <f>IFERROR(__xludf.DUMMYFUNCTION("""COMPUTED_VALUE"""),"")</f>
        <v/>
      </c>
      <c r="W3312" s="16" t="str">
        <f>IFERROR(__xludf.DUMMYFUNCTION("""COMPUTED_VALUE"""),"")</f>
        <v/>
      </c>
      <c r="X3312" s="16" t="str">
        <f>IFERROR(__xludf.DUMMYFUNCTION("""COMPUTED_VALUE"""),"")</f>
        <v/>
      </c>
      <c r="AC3312" s="16" t="str">
        <f>IFERROR(__xludf.DUMMYFUNCTION("""COMPUTED_VALUE"""),"")</f>
        <v/>
      </c>
    </row>
    <row r="3313">
      <c r="A3313" s="16" t="s">
        <v>87</v>
      </c>
      <c r="E3313" s="16" t="str">
        <f>IFERROR(__xludf.DUMMYFUNCTION("""COMPUTED_VALUE"""),"")</f>
        <v/>
      </c>
      <c r="G3313" s="18"/>
      <c r="H3313" s="16" t="s">
        <v>87</v>
      </c>
      <c r="I3313" s="16" t="s">
        <v>87</v>
      </c>
      <c r="J3313" s="19"/>
      <c r="L3313" s="16" t="str">
        <f>IFERROR(__xludf.DUMMYFUNCTION("""COMPUTED_VALUE"""),"")</f>
        <v/>
      </c>
      <c r="M3313" s="16" t="str">
        <f>IFERROR(__xludf.DUMMYFUNCTION("""COMPUTED_VALUE"""),"")</f>
        <v/>
      </c>
      <c r="U3313" s="16" t="s">
        <v>87</v>
      </c>
      <c r="V3313" s="16" t="str">
        <f>IFERROR(__xludf.DUMMYFUNCTION("""COMPUTED_VALUE"""),"")</f>
        <v/>
      </c>
      <c r="W3313" s="16" t="str">
        <f>IFERROR(__xludf.DUMMYFUNCTION("""COMPUTED_VALUE"""),"")</f>
        <v/>
      </c>
      <c r="X3313" s="16" t="str">
        <f>IFERROR(__xludf.DUMMYFUNCTION("""COMPUTED_VALUE"""),"")</f>
        <v/>
      </c>
      <c r="AC3313" s="16" t="str">
        <f>IFERROR(__xludf.DUMMYFUNCTION("""COMPUTED_VALUE"""),"")</f>
        <v/>
      </c>
    </row>
    <row r="3314">
      <c r="A3314" s="16" t="s">
        <v>87</v>
      </c>
      <c r="E3314" s="16" t="str">
        <f>IFERROR(__xludf.DUMMYFUNCTION("""COMPUTED_VALUE"""),"")</f>
        <v/>
      </c>
      <c r="G3314" s="18"/>
      <c r="H3314" s="16" t="s">
        <v>87</v>
      </c>
      <c r="I3314" s="16" t="s">
        <v>87</v>
      </c>
      <c r="J3314" s="19"/>
      <c r="L3314" s="16" t="str">
        <f>IFERROR(__xludf.DUMMYFUNCTION("""COMPUTED_VALUE"""),"")</f>
        <v/>
      </c>
      <c r="M3314" s="16" t="str">
        <f>IFERROR(__xludf.DUMMYFUNCTION("""COMPUTED_VALUE"""),"")</f>
        <v/>
      </c>
      <c r="U3314" s="16" t="s">
        <v>87</v>
      </c>
      <c r="V3314" s="16" t="str">
        <f>IFERROR(__xludf.DUMMYFUNCTION("""COMPUTED_VALUE"""),"")</f>
        <v/>
      </c>
      <c r="W3314" s="16" t="str">
        <f>IFERROR(__xludf.DUMMYFUNCTION("""COMPUTED_VALUE"""),"")</f>
        <v/>
      </c>
      <c r="X3314" s="16" t="str">
        <f>IFERROR(__xludf.DUMMYFUNCTION("""COMPUTED_VALUE"""),"")</f>
        <v/>
      </c>
      <c r="AC3314" s="16" t="str">
        <f>IFERROR(__xludf.DUMMYFUNCTION("""COMPUTED_VALUE"""),"")</f>
        <v/>
      </c>
    </row>
    <row r="3315">
      <c r="A3315" s="16" t="s">
        <v>87</v>
      </c>
      <c r="E3315" s="16" t="str">
        <f>IFERROR(__xludf.DUMMYFUNCTION("""COMPUTED_VALUE"""),"")</f>
        <v/>
      </c>
      <c r="G3315" s="18"/>
      <c r="H3315" s="16" t="s">
        <v>87</v>
      </c>
      <c r="I3315" s="16" t="s">
        <v>87</v>
      </c>
      <c r="J3315" s="19"/>
      <c r="L3315" s="16" t="str">
        <f>IFERROR(__xludf.DUMMYFUNCTION("""COMPUTED_VALUE"""),"")</f>
        <v/>
      </c>
      <c r="M3315" s="16" t="str">
        <f>IFERROR(__xludf.DUMMYFUNCTION("""COMPUTED_VALUE"""),"")</f>
        <v/>
      </c>
      <c r="U3315" s="16" t="s">
        <v>87</v>
      </c>
      <c r="V3315" s="16" t="str">
        <f>IFERROR(__xludf.DUMMYFUNCTION("""COMPUTED_VALUE"""),"")</f>
        <v/>
      </c>
      <c r="W3315" s="16" t="str">
        <f>IFERROR(__xludf.DUMMYFUNCTION("""COMPUTED_VALUE"""),"")</f>
        <v/>
      </c>
      <c r="X3315" s="16" t="str">
        <f>IFERROR(__xludf.DUMMYFUNCTION("""COMPUTED_VALUE"""),"")</f>
        <v/>
      </c>
      <c r="AC3315" s="16" t="str">
        <f>IFERROR(__xludf.DUMMYFUNCTION("""COMPUTED_VALUE"""),"")</f>
        <v/>
      </c>
    </row>
    <row r="3316">
      <c r="A3316" s="16" t="s">
        <v>87</v>
      </c>
      <c r="E3316" s="16" t="str">
        <f>IFERROR(__xludf.DUMMYFUNCTION("""COMPUTED_VALUE"""),"")</f>
        <v/>
      </c>
      <c r="G3316" s="18"/>
      <c r="H3316" s="16" t="s">
        <v>87</v>
      </c>
      <c r="I3316" s="16" t="s">
        <v>87</v>
      </c>
      <c r="J3316" s="19"/>
      <c r="L3316" s="16" t="str">
        <f>IFERROR(__xludf.DUMMYFUNCTION("""COMPUTED_VALUE"""),"")</f>
        <v/>
      </c>
      <c r="M3316" s="16" t="str">
        <f>IFERROR(__xludf.DUMMYFUNCTION("""COMPUTED_VALUE"""),"")</f>
        <v/>
      </c>
      <c r="U3316" s="16" t="s">
        <v>87</v>
      </c>
      <c r="V3316" s="16" t="str">
        <f>IFERROR(__xludf.DUMMYFUNCTION("""COMPUTED_VALUE"""),"")</f>
        <v/>
      </c>
      <c r="W3316" s="16" t="str">
        <f>IFERROR(__xludf.DUMMYFUNCTION("""COMPUTED_VALUE"""),"")</f>
        <v/>
      </c>
      <c r="X3316" s="16" t="str">
        <f>IFERROR(__xludf.DUMMYFUNCTION("""COMPUTED_VALUE"""),"")</f>
        <v/>
      </c>
      <c r="AC3316" s="16" t="str">
        <f>IFERROR(__xludf.DUMMYFUNCTION("""COMPUTED_VALUE"""),"")</f>
        <v/>
      </c>
    </row>
    <row r="3317">
      <c r="A3317" s="16" t="s">
        <v>87</v>
      </c>
      <c r="E3317" s="16" t="str">
        <f>IFERROR(__xludf.DUMMYFUNCTION("""COMPUTED_VALUE"""),"")</f>
        <v/>
      </c>
      <c r="G3317" s="18"/>
      <c r="H3317" s="16" t="s">
        <v>87</v>
      </c>
      <c r="I3317" s="16" t="s">
        <v>87</v>
      </c>
      <c r="J3317" s="19"/>
      <c r="L3317" s="16" t="str">
        <f>IFERROR(__xludf.DUMMYFUNCTION("""COMPUTED_VALUE"""),"")</f>
        <v/>
      </c>
      <c r="M3317" s="16" t="str">
        <f>IFERROR(__xludf.DUMMYFUNCTION("""COMPUTED_VALUE"""),"")</f>
        <v/>
      </c>
      <c r="U3317" s="16" t="s">
        <v>87</v>
      </c>
      <c r="V3317" s="16" t="str">
        <f>IFERROR(__xludf.DUMMYFUNCTION("""COMPUTED_VALUE"""),"")</f>
        <v/>
      </c>
      <c r="W3317" s="16" t="str">
        <f>IFERROR(__xludf.DUMMYFUNCTION("""COMPUTED_VALUE"""),"")</f>
        <v/>
      </c>
      <c r="X3317" s="16" t="str">
        <f>IFERROR(__xludf.DUMMYFUNCTION("""COMPUTED_VALUE"""),"")</f>
        <v/>
      </c>
      <c r="AC3317" s="16" t="str">
        <f>IFERROR(__xludf.DUMMYFUNCTION("""COMPUTED_VALUE"""),"")</f>
        <v/>
      </c>
    </row>
    <row r="3318">
      <c r="A3318" s="16" t="s">
        <v>87</v>
      </c>
      <c r="E3318" s="16" t="str">
        <f>IFERROR(__xludf.DUMMYFUNCTION("""COMPUTED_VALUE"""),"")</f>
        <v/>
      </c>
      <c r="G3318" s="18"/>
      <c r="H3318" s="16" t="s">
        <v>87</v>
      </c>
      <c r="I3318" s="16" t="s">
        <v>87</v>
      </c>
      <c r="J3318" s="19"/>
      <c r="L3318" s="16" t="str">
        <f>IFERROR(__xludf.DUMMYFUNCTION("""COMPUTED_VALUE"""),"")</f>
        <v/>
      </c>
      <c r="M3318" s="16" t="str">
        <f>IFERROR(__xludf.DUMMYFUNCTION("""COMPUTED_VALUE"""),"")</f>
        <v/>
      </c>
      <c r="U3318" s="16" t="s">
        <v>87</v>
      </c>
      <c r="V3318" s="16" t="str">
        <f>IFERROR(__xludf.DUMMYFUNCTION("""COMPUTED_VALUE"""),"")</f>
        <v/>
      </c>
      <c r="W3318" s="16" t="str">
        <f>IFERROR(__xludf.DUMMYFUNCTION("""COMPUTED_VALUE"""),"")</f>
        <v/>
      </c>
      <c r="X3318" s="16" t="str">
        <f>IFERROR(__xludf.DUMMYFUNCTION("""COMPUTED_VALUE"""),"")</f>
        <v/>
      </c>
      <c r="AC3318" s="16" t="str">
        <f>IFERROR(__xludf.DUMMYFUNCTION("""COMPUTED_VALUE"""),"")</f>
        <v/>
      </c>
    </row>
    <row r="3319">
      <c r="A3319" s="16" t="s">
        <v>87</v>
      </c>
      <c r="E3319" s="16" t="str">
        <f>IFERROR(__xludf.DUMMYFUNCTION("""COMPUTED_VALUE"""),"")</f>
        <v/>
      </c>
      <c r="G3319" s="18"/>
      <c r="H3319" s="16" t="s">
        <v>87</v>
      </c>
      <c r="I3319" s="16" t="s">
        <v>87</v>
      </c>
      <c r="J3319" s="19"/>
      <c r="L3319" s="16" t="str">
        <f>IFERROR(__xludf.DUMMYFUNCTION("""COMPUTED_VALUE"""),"")</f>
        <v/>
      </c>
      <c r="M3319" s="16" t="str">
        <f>IFERROR(__xludf.DUMMYFUNCTION("""COMPUTED_VALUE"""),"")</f>
        <v/>
      </c>
      <c r="U3319" s="16" t="s">
        <v>87</v>
      </c>
      <c r="V3319" s="16" t="str">
        <f>IFERROR(__xludf.DUMMYFUNCTION("""COMPUTED_VALUE"""),"")</f>
        <v/>
      </c>
      <c r="W3319" s="16" t="str">
        <f>IFERROR(__xludf.DUMMYFUNCTION("""COMPUTED_VALUE"""),"")</f>
        <v/>
      </c>
      <c r="X3319" s="16" t="str">
        <f>IFERROR(__xludf.DUMMYFUNCTION("""COMPUTED_VALUE"""),"")</f>
        <v/>
      </c>
      <c r="AC3319" s="16" t="str">
        <f>IFERROR(__xludf.DUMMYFUNCTION("""COMPUTED_VALUE"""),"")</f>
        <v/>
      </c>
    </row>
    <row r="3320">
      <c r="A3320" s="16" t="s">
        <v>87</v>
      </c>
      <c r="E3320" s="16" t="str">
        <f>IFERROR(__xludf.DUMMYFUNCTION("""COMPUTED_VALUE"""),"")</f>
        <v/>
      </c>
      <c r="G3320" s="18"/>
      <c r="H3320" s="16" t="s">
        <v>87</v>
      </c>
      <c r="I3320" s="16" t="s">
        <v>87</v>
      </c>
      <c r="J3320" s="19"/>
      <c r="L3320" s="16" t="str">
        <f>IFERROR(__xludf.DUMMYFUNCTION("""COMPUTED_VALUE"""),"")</f>
        <v/>
      </c>
      <c r="M3320" s="16" t="str">
        <f>IFERROR(__xludf.DUMMYFUNCTION("""COMPUTED_VALUE"""),"")</f>
        <v/>
      </c>
      <c r="U3320" s="16" t="s">
        <v>87</v>
      </c>
      <c r="V3320" s="16" t="str">
        <f>IFERROR(__xludf.DUMMYFUNCTION("""COMPUTED_VALUE"""),"")</f>
        <v/>
      </c>
      <c r="W3320" s="16" t="str">
        <f>IFERROR(__xludf.DUMMYFUNCTION("""COMPUTED_VALUE"""),"")</f>
        <v/>
      </c>
      <c r="X3320" s="16" t="str">
        <f>IFERROR(__xludf.DUMMYFUNCTION("""COMPUTED_VALUE"""),"")</f>
        <v/>
      </c>
      <c r="AC3320" s="16" t="str">
        <f>IFERROR(__xludf.DUMMYFUNCTION("""COMPUTED_VALUE"""),"")</f>
        <v/>
      </c>
    </row>
    <row r="3321">
      <c r="A3321" s="16" t="s">
        <v>87</v>
      </c>
      <c r="E3321" s="16" t="str">
        <f>IFERROR(__xludf.DUMMYFUNCTION("""COMPUTED_VALUE"""),"")</f>
        <v/>
      </c>
      <c r="G3321" s="18"/>
      <c r="H3321" s="16" t="s">
        <v>87</v>
      </c>
      <c r="I3321" s="16" t="s">
        <v>87</v>
      </c>
      <c r="J3321" s="19"/>
      <c r="L3321" s="16" t="str">
        <f>IFERROR(__xludf.DUMMYFUNCTION("""COMPUTED_VALUE"""),"")</f>
        <v/>
      </c>
      <c r="M3321" s="16" t="str">
        <f>IFERROR(__xludf.DUMMYFUNCTION("""COMPUTED_VALUE"""),"")</f>
        <v/>
      </c>
      <c r="U3321" s="16" t="s">
        <v>87</v>
      </c>
      <c r="V3321" s="16" t="str">
        <f>IFERROR(__xludf.DUMMYFUNCTION("""COMPUTED_VALUE"""),"")</f>
        <v/>
      </c>
      <c r="W3321" s="16" t="str">
        <f>IFERROR(__xludf.DUMMYFUNCTION("""COMPUTED_VALUE"""),"")</f>
        <v/>
      </c>
      <c r="X3321" s="16" t="str">
        <f>IFERROR(__xludf.DUMMYFUNCTION("""COMPUTED_VALUE"""),"")</f>
        <v/>
      </c>
      <c r="AC3321" s="16" t="str">
        <f>IFERROR(__xludf.DUMMYFUNCTION("""COMPUTED_VALUE"""),"")</f>
        <v/>
      </c>
    </row>
    <row r="3322">
      <c r="A3322" s="16" t="s">
        <v>87</v>
      </c>
      <c r="E3322" s="16" t="str">
        <f>IFERROR(__xludf.DUMMYFUNCTION("""COMPUTED_VALUE"""),"")</f>
        <v/>
      </c>
      <c r="G3322" s="18"/>
      <c r="H3322" s="16" t="s">
        <v>87</v>
      </c>
      <c r="I3322" s="16" t="s">
        <v>87</v>
      </c>
      <c r="J3322" s="19"/>
      <c r="L3322" s="16" t="str">
        <f>IFERROR(__xludf.DUMMYFUNCTION("""COMPUTED_VALUE"""),"")</f>
        <v/>
      </c>
      <c r="M3322" s="16" t="str">
        <f>IFERROR(__xludf.DUMMYFUNCTION("""COMPUTED_VALUE"""),"")</f>
        <v/>
      </c>
      <c r="U3322" s="16" t="s">
        <v>87</v>
      </c>
      <c r="V3322" s="16" t="str">
        <f>IFERROR(__xludf.DUMMYFUNCTION("""COMPUTED_VALUE"""),"")</f>
        <v/>
      </c>
      <c r="W3322" s="16" t="str">
        <f>IFERROR(__xludf.DUMMYFUNCTION("""COMPUTED_VALUE"""),"")</f>
        <v/>
      </c>
      <c r="X3322" s="16" t="str">
        <f>IFERROR(__xludf.DUMMYFUNCTION("""COMPUTED_VALUE"""),"")</f>
        <v/>
      </c>
      <c r="AC3322" s="16" t="str">
        <f>IFERROR(__xludf.DUMMYFUNCTION("""COMPUTED_VALUE"""),"")</f>
        <v/>
      </c>
    </row>
    <row r="3323">
      <c r="A3323" s="16" t="s">
        <v>87</v>
      </c>
      <c r="E3323" s="16" t="str">
        <f>IFERROR(__xludf.DUMMYFUNCTION("""COMPUTED_VALUE"""),"")</f>
        <v/>
      </c>
      <c r="G3323" s="18"/>
      <c r="H3323" s="16" t="s">
        <v>87</v>
      </c>
      <c r="I3323" s="16" t="s">
        <v>87</v>
      </c>
      <c r="J3323" s="19"/>
      <c r="L3323" s="16" t="str">
        <f>IFERROR(__xludf.DUMMYFUNCTION("""COMPUTED_VALUE"""),"")</f>
        <v/>
      </c>
      <c r="M3323" s="16" t="str">
        <f>IFERROR(__xludf.DUMMYFUNCTION("""COMPUTED_VALUE"""),"")</f>
        <v/>
      </c>
      <c r="U3323" s="16" t="s">
        <v>87</v>
      </c>
      <c r="V3323" s="16" t="str">
        <f>IFERROR(__xludf.DUMMYFUNCTION("""COMPUTED_VALUE"""),"")</f>
        <v/>
      </c>
      <c r="W3323" s="16" t="str">
        <f>IFERROR(__xludf.DUMMYFUNCTION("""COMPUTED_VALUE"""),"")</f>
        <v/>
      </c>
      <c r="X3323" s="16" t="str">
        <f>IFERROR(__xludf.DUMMYFUNCTION("""COMPUTED_VALUE"""),"")</f>
        <v/>
      </c>
      <c r="AC3323" s="16" t="str">
        <f>IFERROR(__xludf.DUMMYFUNCTION("""COMPUTED_VALUE"""),"")</f>
        <v/>
      </c>
    </row>
    <row r="3324">
      <c r="A3324" s="16" t="s">
        <v>87</v>
      </c>
      <c r="E3324" s="16" t="str">
        <f>IFERROR(__xludf.DUMMYFUNCTION("""COMPUTED_VALUE"""),"")</f>
        <v/>
      </c>
      <c r="G3324" s="18"/>
      <c r="H3324" s="16" t="s">
        <v>87</v>
      </c>
      <c r="I3324" s="16" t="s">
        <v>87</v>
      </c>
      <c r="J3324" s="19"/>
      <c r="L3324" s="16" t="str">
        <f>IFERROR(__xludf.DUMMYFUNCTION("""COMPUTED_VALUE"""),"")</f>
        <v/>
      </c>
      <c r="M3324" s="16" t="str">
        <f>IFERROR(__xludf.DUMMYFUNCTION("""COMPUTED_VALUE"""),"")</f>
        <v/>
      </c>
      <c r="U3324" s="16" t="s">
        <v>87</v>
      </c>
      <c r="V3324" s="16" t="str">
        <f>IFERROR(__xludf.DUMMYFUNCTION("""COMPUTED_VALUE"""),"")</f>
        <v/>
      </c>
      <c r="W3324" s="16" t="str">
        <f>IFERROR(__xludf.DUMMYFUNCTION("""COMPUTED_VALUE"""),"")</f>
        <v/>
      </c>
      <c r="X3324" s="16" t="str">
        <f>IFERROR(__xludf.DUMMYFUNCTION("""COMPUTED_VALUE"""),"")</f>
        <v/>
      </c>
      <c r="AC3324" s="16" t="str">
        <f>IFERROR(__xludf.DUMMYFUNCTION("""COMPUTED_VALUE"""),"")</f>
        <v/>
      </c>
    </row>
    <row r="3325">
      <c r="A3325" s="16" t="s">
        <v>87</v>
      </c>
      <c r="E3325" s="16" t="str">
        <f>IFERROR(__xludf.DUMMYFUNCTION("""COMPUTED_VALUE"""),"")</f>
        <v/>
      </c>
      <c r="G3325" s="18"/>
      <c r="H3325" s="16" t="s">
        <v>87</v>
      </c>
      <c r="I3325" s="16" t="s">
        <v>87</v>
      </c>
      <c r="J3325" s="19"/>
      <c r="L3325" s="16" t="str">
        <f>IFERROR(__xludf.DUMMYFUNCTION("""COMPUTED_VALUE"""),"")</f>
        <v/>
      </c>
      <c r="M3325" s="16" t="str">
        <f>IFERROR(__xludf.DUMMYFUNCTION("""COMPUTED_VALUE"""),"")</f>
        <v/>
      </c>
      <c r="U3325" s="16" t="s">
        <v>87</v>
      </c>
      <c r="V3325" s="16" t="str">
        <f>IFERROR(__xludf.DUMMYFUNCTION("""COMPUTED_VALUE"""),"")</f>
        <v/>
      </c>
      <c r="W3325" s="16" t="str">
        <f>IFERROR(__xludf.DUMMYFUNCTION("""COMPUTED_VALUE"""),"")</f>
        <v/>
      </c>
      <c r="X3325" s="16" t="str">
        <f>IFERROR(__xludf.DUMMYFUNCTION("""COMPUTED_VALUE"""),"")</f>
        <v/>
      </c>
      <c r="AC3325" s="16" t="str">
        <f>IFERROR(__xludf.DUMMYFUNCTION("""COMPUTED_VALUE"""),"")</f>
        <v/>
      </c>
    </row>
    <row r="3326">
      <c r="A3326" s="16" t="s">
        <v>87</v>
      </c>
      <c r="E3326" s="16" t="str">
        <f>IFERROR(__xludf.DUMMYFUNCTION("""COMPUTED_VALUE"""),"")</f>
        <v/>
      </c>
      <c r="G3326" s="18"/>
      <c r="H3326" s="16" t="s">
        <v>87</v>
      </c>
      <c r="I3326" s="16" t="s">
        <v>87</v>
      </c>
      <c r="J3326" s="19"/>
      <c r="L3326" s="16" t="str">
        <f>IFERROR(__xludf.DUMMYFUNCTION("""COMPUTED_VALUE"""),"")</f>
        <v/>
      </c>
      <c r="M3326" s="16" t="str">
        <f>IFERROR(__xludf.DUMMYFUNCTION("""COMPUTED_VALUE"""),"")</f>
        <v/>
      </c>
      <c r="U3326" s="16" t="s">
        <v>87</v>
      </c>
      <c r="V3326" s="16" t="str">
        <f>IFERROR(__xludf.DUMMYFUNCTION("""COMPUTED_VALUE"""),"")</f>
        <v/>
      </c>
      <c r="W3326" s="16" t="str">
        <f>IFERROR(__xludf.DUMMYFUNCTION("""COMPUTED_VALUE"""),"")</f>
        <v/>
      </c>
      <c r="X3326" s="16" t="str">
        <f>IFERROR(__xludf.DUMMYFUNCTION("""COMPUTED_VALUE"""),"")</f>
        <v/>
      </c>
      <c r="AC3326" s="16" t="str">
        <f>IFERROR(__xludf.DUMMYFUNCTION("""COMPUTED_VALUE"""),"")</f>
        <v/>
      </c>
    </row>
    <row r="3327">
      <c r="A3327" s="16" t="s">
        <v>87</v>
      </c>
      <c r="E3327" s="16" t="str">
        <f>IFERROR(__xludf.DUMMYFUNCTION("""COMPUTED_VALUE"""),"")</f>
        <v/>
      </c>
      <c r="G3327" s="18"/>
      <c r="H3327" s="16" t="s">
        <v>87</v>
      </c>
      <c r="I3327" s="16" t="s">
        <v>87</v>
      </c>
      <c r="J3327" s="19"/>
      <c r="L3327" s="16" t="str">
        <f>IFERROR(__xludf.DUMMYFUNCTION("""COMPUTED_VALUE"""),"")</f>
        <v/>
      </c>
      <c r="M3327" s="16" t="str">
        <f>IFERROR(__xludf.DUMMYFUNCTION("""COMPUTED_VALUE"""),"")</f>
        <v/>
      </c>
      <c r="U3327" s="16" t="s">
        <v>87</v>
      </c>
      <c r="V3327" s="16" t="str">
        <f>IFERROR(__xludf.DUMMYFUNCTION("""COMPUTED_VALUE"""),"")</f>
        <v/>
      </c>
      <c r="W3327" s="16" t="str">
        <f>IFERROR(__xludf.DUMMYFUNCTION("""COMPUTED_VALUE"""),"")</f>
        <v/>
      </c>
      <c r="X3327" s="16" t="str">
        <f>IFERROR(__xludf.DUMMYFUNCTION("""COMPUTED_VALUE"""),"")</f>
        <v/>
      </c>
      <c r="AC3327" s="16" t="str">
        <f>IFERROR(__xludf.DUMMYFUNCTION("""COMPUTED_VALUE"""),"")</f>
        <v/>
      </c>
    </row>
    <row r="3328">
      <c r="A3328" s="16" t="s">
        <v>87</v>
      </c>
      <c r="E3328" s="16" t="str">
        <f>IFERROR(__xludf.DUMMYFUNCTION("""COMPUTED_VALUE"""),"")</f>
        <v/>
      </c>
      <c r="G3328" s="18"/>
      <c r="H3328" s="16" t="s">
        <v>87</v>
      </c>
      <c r="I3328" s="16" t="s">
        <v>87</v>
      </c>
      <c r="J3328" s="19"/>
      <c r="L3328" s="16" t="str">
        <f>IFERROR(__xludf.DUMMYFUNCTION("""COMPUTED_VALUE"""),"")</f>
        <v/>
      </c>
      <c r="M3328" s="16" t="str">
        <f>IFERROR(__xludf.DUMMYFUNCTION("""COMPUTED_VALUE"""),"")</f>
        <v/>
      </c>
      <c r="U3328" s="16" t="s">
        <v>87</v>
      </c>
      <c r="V3328" s="16" t="str">
        <f>IFERROR(__xludf.DUMMYFUNCTION("""COMPUTED_VALUE"""),"")</f>
        <v/>
      </c>
      <c r="W3328" s="16" t="str">
        <f>IFERROR(__xludf.DUMMYFUNCTION("""COMPUTED_VALUE"""),"")</f>
        <v/>
      </c>
      <c r="X3328" s="16" t="str">
        <f>IFERROR(__xludf.DUMMYFUNCTION("""COMPUTED_VALUE"""),"")</f>
        <v/>
      </c>
      <c r="AC3328" s="16" t="str">
        <f>IFERROR(__xludf.DUMMYFUNCTION("""COMPUTED_VALUE"""),"")</f>
        <v/>
      </c>
    </row>
    <row r="3329">
      <c r="A3329" s="16" t="s">
        <v>87</v>
      </c>
      <c r="E3329" s="16" t="str">
        <f>IFERROR(__xludf.DUMMYFUNCTION("""COMPUTED_VALUE"""),"")</f>
        <v/>
      </c>
      <c r="G3329" s="18"/>
      <c r="H3329" s="16" t="s">
        <v>87</v>
      </c>
      <c r="I3329" s="16" t="s">
        <v>87</v>
      </c>
      <c r="J3329" s="19"/>
      <c r="L3329" s="16" t="str">
        <f>IFERROR(__xludf.DUMMYFUNCTION("""COMPUTED_VALUE"""),"")</f>
        <v/>
      </c>
      <c r="M3329" s="16" t="str">
        <f>IFERROR(__xludf.DUMMYFUNCTION("""COMPUTED_VALUE"""),"")</f>
        <v/>
      </c>
      <c r="U3329" s="16" t="s">
        <v>87</v>
      </c>
      <c r="V3329" s="16" t="str">
        <f>IFERROR(__xludf.DUMMYFUNCTION("""COMPUTED_VALUE"""),"")</f>
        <v/>
      </c>
      <c r="W3329" s="16" t="str">
        <f>IFERROR(__xludf.DUMMYFUNCTION("""COMPUTED_VALUE"""),"")</f>
        <v/>
      </c>
      <c r="X3329" s="16" t="str">
        <f>IFERROR(__xludf.DUMMYFUNCTION("""COMPUTED_VALUE"""),"")</f>
        <v/>
      </c>
      <c r="AC3329" s="16" t="str">
        <f>IFERROR(__xludf.DUMMYFUNCTION("""COMPUTED_VALUE"""),"")</f>
        <v/>
      </c>
    </row>
    <row r="3330">
      <c r="A3330" s="16" t="s">
        <v>87</v>
      </c>
      <c r="E3330" s="16" t="str">
        <f>IFERROR(__xludf.DUMMYFUNCTION("""COMPUTED_VALUE"""),"")</f>
        <v/>
      </c>
      <c r="G3330" s="18"/>
      <c r="H3330" s="16" t="s">
        <v>87</v>
      </c>
      <c r="I3330" s="16" t="s">
        <v>87</v>
      </c>
      <c r="J3330" s="19"/>
      <c r="L3330" s="16" t="str">
        <f>IFERROR(__xludf.DUMMYFUNCTION("""COMPUTED_VALUE"""),"")</f>
        <v/>
      </c>
      <c r="M3330" s="16" t="str">
        <f>IFERROR(__xludf.DUMMYFUNCTION("""COMPUTED_VALUE"""),"")</f>
        <v/>
      </c>
      <c r="U3330" s="16" t="s">
        <v>87</v>
      </c>
      <c r="V3330" s="16" t="str">
        <f>IFERROR(__xludf.DUMMYFUNCTION("""COMPUTED_VALUE"""),"")</f>
        <v/>
      </c>
      <c r="W3330" s="16" t="str">
        <f>IFERROR(__xludf.DUMMYFUNCTION("""COMPUTED_VALUE"""),"")</f>
        <v/>
      </c>
      <c r="X3330" s="16" t="str">
        <f>IFERROR(__xludf.DUMMYFUNCTION("""COMPUTED_VALUE"""),"")</f>
        <v/>
      </c>
      <c r="AC3330" s="16" t="str">
        <f>IFERROR(__xludf.DUMMYFUNCTION("""COMPUTED_VALUE"""),"")</f>
        <v/>
      </c>
    </row>
    <row r="3331">
      <c r="A3331" s="16" t="s">
        <v>87</v>
      </c>
      <c r="E3331" s="16" t="str">
        <f>IFERROR(__xludf.DUMMYFUNCTION("""COMPUTED_VALUE"""),"")</f>
        <v/>
      </c>
      <c r="G3331" s="18"/>
      <c r="H3331" s="16" t="s">
        <v>87</v>
      </c>
      <c r="I3331" s="16" t="s">
        <v>87</v>
      </c>
      <c r="J3331" s="19"/>
      <c r="L3331" s="16" t="str">
        <f>IFERROR(__xludf.DUMMYFUNCTION("""COMPUTED_VALUE"""),"")</f>
        <v/>
      </c>
      <c r="M3331" s="16" t="str">
        <f>IFERROR(__xludf.DUMMYFUNCTION("""COMPUTED_VALUE"""),"")</f>
        <v/>
      </c>
      <c r="U3331" s="16" t="s">
        <v>87</v>
      </c>
      <c r="V3331" s="16" t="str">
        <f>IFERROR(__xludf.DUMMYFUNCTION("""COMPUTED_VALUE"""),"")</f>
        <v/>
      </c>
      <c r="W3331" s="16" t="str">
        <f>IFERROR(__xludf.DUMMYFUNCTION("""COMPUTED_VALUE"""),"")</f>
        <v/>
      </c>
      <c r="X3331" s="16" t="str">
        <f>IFERROR(__xludf.DUMMYFUNCTION("""COMPUTED_VALUE"""),"")</f>
        <v/>
      </c>
      <c r="AC3331" s="16" t="str">
        <f>IFERROR(__xludf.DUMMYFUNCTION("""COMPUTED_VALUE"""),"")</f>
        <v/>
      </c>
    </row>
    <row r="3332">
      <c r="A3332" s="16" t="s">
        <v>87</v>
      </c>
      <c r="E3332" s="16" t="str">
        <f>IFERROR(__xludf.DUMMYFUNCTION("""COMPUTED_VALUE"""),"")</f>
        <v/>
      </c>
      <c r="G3332" s="18"/>
      <c r="H3332" s="16" t="s">
        <v>87</v>
      </c>
      <c r="I3332" s="16" t="s">
        <v>87</v>
      </c>
      <c r="J3332" s="19"/>
      <c r="L3332" s="16" t="str">
        <f>IFERROR(__xludf.DUMMYFUNCTION("""COMPUTED_VALUE"""),"")</f>
        <v/>
      </c>
      <c r="M3332" s="16" t="str">
        <f>IFERROR(__xludf.DUMMYFUNCTION("""COMPUTED_VALUE"""),"")</f>
        <v/>
      </c>
      <c r="U3332" s="16" t="s">
        <v>87</v>
      </c>
      <c r="V3332" s="16" t="str">
        <f>IFERROR(__xludf.DUMMYFUNCTION("""COMPUTED_VALUE"""),"")</f>
        <v/>
      </c>
      <c r="W3332" s="16" t="str">
        <f>IFERROR(__xludf.DUMMYFUNCTION("""COMPUTED_VALUE"""),"")</f>
        <v/>
      </c>
      <c r="X3332" s="16" t="str">
        <f>IFERROR(__xludf.DUMMYFUNCTION("""COMPUTED_VALUE"""),"")</f>
        <v/>
      </c>
      <c r="AC3332" s="16" t="str">
        <f>IFERROR(__xludf.DUMMYFUNCTION("""COMPUTED_VALUE"""),"")</f>
        <v/>
      </c>
    </row>
    <row r="3333">
      <c r="A3333" s="16" t="s">
        <v>87</v>
      </c>
      <c r="E3333" s="16" t="str">
        <f>IFERROR(__xludf.DUMMYFUNCTION("""COMPUTED_VALUE"""),"")</f>
        <v/>
      </c>
      <c r="G3333" s="18"/>
      <c r="H3333" s="16" t="s">
        <v>87</v>
      </c>
      <c r="I3333" s="16" t="s">
        <v>87</v>
      </c>
      <c r="J3333" s="19"/>
      <c r="L3333" s="16" t="str">
        <f>IFERROR(__xludf.DUMMYFUNCTION("""COMPUTED_VALUE"""),"")</f>
        <v/>
      </c>
      <c r="M3333" s="16" t="str">
        <f>IFERROR(__xludf.DUMMYFUNCTION("""COMPUTED_VALUE"""),"")</f>
        <v/>
      </c>
      <c r="U3333" s="16" t="s">
        <v>87</v>
      </c>
      <c r="V3333" s="16" t="str">
        <f>IFERROR(__xludf.DUMMYFUNCTION("""COMPUTED_VALUE"""),"")</f>
        <v/>
      </c>
      <c r="W3333" s="16" t="str">
        <f>IFERROR(__xludf.DUMMYFUNCTION("""COMPUTED_VALUE"""),"")</f>
        <v/>
      </c>
      <c r="X3333" s="16" t="str">
        <f>IFERROR(__xludf.DUMMYFUNCTION("""COMPUTED_VALUE"""),"")</f>
        <v/>
      </c>
      <c r="AC3333" s="16" t="str">
        <f>IFERROR(__xludf.DUMMYFUNCTION("""COMPUTED_VALUE"""),"")</f>
        <v/>
      </c>
    </row>
    <row r="3334">
      <c r="A3334" s="16" t="s">
        <v>87</v>
      </c>
      <c r="E3334" s="16" t="str">
        <f>IFERROR(__xludf.DUMMYFUNCTION("""COMPUTED_VALUE"""),"")</f>
        <v/>
      </c>
      <c r="G3334" s="18"/>
      <c r="H3334" s="16" t="s">
        <v>87</v>
      </c>
      <c r="I3334" s="16" t="s">
        <v>87</v>
      </c>
      <c r="J3334" s="19"/>
      <c r="L3334" s="16" t="str">
        <f>IFERROR(__xludf.DUMMYFUNCTION("""COMPUTED_VALUE"""),"")</f>
        <v/>
      </c>
      <c r="M3334" s="16" t="str">
        <f>IFERROR(__xludf.DUMMYFUNCTION("""COMPUTED_VALUE"""),"")</f>
        <v/>
      </c>
      <c r="U3334" s="16" t="s">
        <v>87</v>
      </c>
      <c r="V3334" s="16" t="str">
        <f>IFERROR(__xludf.DUMMYFUNCTION("""COMPUTED_VALUE"""),"")</f>
        <v/>
      </c>
      <c r="W3334" s="16" t="str">
        <f>IFERROR(__xludf.DUMMYFUNCTION("""COMPUTED_VALUE"""),"")</f>
        <v/>
      </c>
      <c r="X3334" s="16" t="str">
        <f>IFERROR(__xludf.DUMMYFUNCTION("""COMPUTED_VALUE"""),"")</f>
        <v/>
      </c>
      <c r="AC3334" s="16" t="str">
        <f>IFERROR(__xludf.DUMMYFUNCTION("""COMPUTED_VALUE"""),"")</f>
        <v/>
      </c>
    </row>
    <row r="3335">
      <c r="A3335" s="16" t="s">
        <v>87</v>
      </c>
      <c r="E3335" s="16" t="str">
        <f>IFERROR(__xludf.DUMMYFUNCTION("""COMPUTED_VALUE"""),"")</f>
        <v/>
      </c>
      <c r="G3335" s="18"/>
      <c r="H3335" s="16" t="s">
        <v>87</v>
      </c>
      <c r="I3335" s="16" t="s">
        <v>87</v>
      </c>
      <c r="J3335" s="19"/>
      <c r="L3335" s="16" t="str">
        <f>IFERROR(__xludf.DUMMYFUNCTION("""COMPUTED_VALUE"""),"")</f>
        <v/>
      </c>
      <c r="M3335" s="16" t="str">
        <f>IFERROR(__xludf.DUMMYFUNCTION("""COMPUTED_VALUE"""),"")</f>
        <v/>
      </c>
      <c r="U3335" s="16" t="s">
        <v>87</v>
      </c>
      <c r="V3335" s="16" t="str">
        <f>IFERROR(__xludf.DUMMYFUNCTION("""COMPUTED_VALUE"""),"")</f>
        <v/>
      </c>
      <c r="W3335" s="16" t="str">
        <f>IFERROR(__xludf.DUMMYFUNCTION("""COMPUTED_VALUE"""),"")</f>
        <v/>
      </c>
      <c r="X3335" s="16" t="str">
        <f>IFERROR(__xludf.DUMMYFUNCTION("""COMPUTED_VALUE"""),"")</f>
        <v/>
      </c>
      <c r="AC3335" s="16" t="str">
        <f>IFERROR(__xludf.DUMMYFUNCTION("""COMPUTED_VALUE"""),"")</f>
        <v/>
      </c>
    </row>
    <row r="3336">
      <c r="A3336" s="16" t="s">
        <v>87</v>
      </c>
      <c r="E3336" s="16" t="str">
        <f>IFERROR(__xludf.DUMMYFUNCTION("""COMPUTED_VALUE"""),"")</f>
        <v/>
      </c>
      <c r="G3336" s="18"/>
      <c r="H3336" s="16" t="s">
        <v>87</v>
      </c>
      <c r="I3336" s="16" t="s">
        <v>87</v>
      </c>
      <c r="J3336" s="19"/>
      <c r="L3336" s="16" t="str">
        <f>IFERROR(__xludf.DUMMYFUNCTION("""COMPUTED_VALUE"""),"")</f>
        <v/>
      </c>
      <c r="M3336" s="16" t="str">
        <f>IFERROR(__xludf.DUMMYFUNCTION("""COMPUTED_VALUE"""),"")</f>
        <v/>
      </c>
      <c r="U3336" s="16" t="s">
        <v>87</v>
      </c>
      <c r="V3336" s="16" t="str">
        <f>IFERROR(__xludf.DUMMYFUNCTION("""COMPUTED_VALUE"""),"")</f>
        <v/>
      </c>
      <c r="W3336" s="16" t="str">
        <f>IFERROR(__xludf.DUMMYFUNCTION("""COMPUTED_VALUE"""),"")</f>
        <v/>
      </c>
      <c r="X3336" s="16" t="str">
        <f>IFERROR(__xludf.DUMMYFUNCTION("""COMPUTED_VALUE"""),"")</f>
        <v/>
      </c>
      <c r="AC3336" s="16" t="str">
        <f>IFERROR(__xludf.DUMMYFUNCTION("""COMPUTED_VALUE"""),"")</f>
        <v/>
      </c>
    </row>
    <row r="3337">
      <c r="A3337" s="16" t="s">
        <v>87</v>
      </c>
      <c r="E3337" s="16" t="str">
        <f>IFERROR(__xludf.DUMMYFUNCTION("""COMPUTED_VALUE"""),"")</f>
        <v/>
      </c>
      <c r="G3337" s="18"/>
      <c r="H3337" s="16" t="s">
        <v>87</v>
      </c>
      <c r="I3337" s="16" t="s">
        <v>87</v>
      </c>
      <c r="J3337" s="19"/>
      <c r="L3337" s="16" t="str">
        <f>IFERROR(__xludf.DUMMYFUNCTION("""COMPUTED_VALUE"""),"")</f>
        <v/>
      </c>
      <c r="M3337" s="16" t="str">
        <f>IFERROR(__xludf.DUMMYFUNCTION("""COMPUTED_VALUE"""),"")</f>
        <v/>
      </c>
      <c r="U3337" s="16" t="s">
        <v>87</v>
      </c>
      <c r="V3337" s="16" t="str">
        <f>IFERROR(__xludf.DUMMYFUNCTION("""COMPUTED_VALUE"""),"")</f>
        <v/>
      </c>
      <c r="W3337" s="16" t="str">
        <f>IFERROR(__xludf.DUMMYFUNCTION("""COMPUTED_VALUE"""),"")</f>
        <v/>
      </c>
      <c r="X3337" s="16" t="str">
        <f>IFERROR(__xludf.DUMMYFUNCTION("""COMPUTED_VALUE"""),"")</f>
        <v/>
      </c>
      <c r="AC3337" s="16" t="str">
        <f>IFERROR(__xludf.DUMMYFUNCTION("""COMPUTED_VALUE"""),"")</f>
        <v/>
      </c>
    </row>
    <row r="3338">
      <c r="A3338" s="16" t="s">
        <v>87</v>
      </c>
      <c r="E3338" s="16" t="str">
        <f>IFERROR(__xludf.DUMMYFUNCTION("""COMPUTED_VALUE"""),"")</f>
        <v/>
      </c>
      <c r="G3338" s="18"/>
      <c r="H3338" s="16" t="s">
        <v>87</v>
      </c>
      <c r="I3338" s="16" t="s">
        <v>87</v>
      </c>
      <c r="J3338" s="19"/>
      <c r="L3338" s="16" t="str">
        <f>IFERROR(__xludf.DUMMYFUNCTION("""COMPUTED_VALUE"""),"")</f>
        <v/>
      </c>
      <c r="M3338" s="16" t="str">
        <f>IFERROR(__xludf.DUMMYFUNCTION("""COMPUTED_VALUE"""),"")</f>
        <v/>
      </c>
      <c r="U3338" s="16" t="s">
        <v>87</v>
      </c>
      <c r="V3338" s="16" t="str">
        <f>IFERROR(__xludf.DUMMYFUNCTION("""COMPUTED_VALUE"""),"")</f>
        <v/>
      </c>
      <c r="W3338" s="16" t="str">
        <f>IFERROR(__xludf.DUMMYFUNCTION("""COMPUTED_VALUE"""),"")</f>
        <v/>
      </c>
      <c r="X3338" s="16" t="str">
        <f>IFERROR(__xludf.DUMMYFUNCTION("""COMPUTED_VALUE"""),"")</f>
        <v/>
      </c>
      <c r="AC3338" s="16" t="str">
        <f>IFERROR(__xludf.DUMMYFUNCTION("""COMPUTED_VALUE"""),"")</f>
        <v/>
      </c>
    </row>
    <row r="3339">
      <c r="A3339" s="16" t="s">
        <v>87</v>
      </c>
      <c r="E3339" s="16" t="str">
        <f>IFERROR(__xludf.DUMMYFUNCTION("""COMPUTED_VALUE"""),"")</f>
        <v/>
      </c>
      <c r="G3339" s="18"/>
      <c r="H3339" s="16" t="s">
        <v>87</v>
      </c>
      <c r="I3339" s="16" t="s">
        <v>87</v>
      </c>
      <c r="J3339" s="19"/>
      <c r="L3339" s="16" t="str">
        <f>IFERROR(__xludf.DUMMYFUNCTION("""COMPUTED_VALUE"""),"")</f>
        <v/>
      </c>
      <c r="M3339" s="16" t="str">
        <f>IFERROR(__xludf.DUMMYFUNCTION("""COMPUTED_VALUE"""),"")</f>
        <v/>
      </c>
      <c r="U3339" s="16" t="s">
        <v>87</v>
      </c>
      <c r="V3339" s="16" t="str">
        <f>IFERROR(__xludf.DUMMYFUNCTION("""COMPUTED_VALUE"""),"")</f>
        <v/>
      </c>
      <c r="W3339" s="16" t="str">
        <f>IFERROR(__xludf.DUMMYFUNCTION("""COMPUTED_VALUE"""),"")</f>
        <v/>
      </c>
      <c r="X3339" s="16" t="str">
        <f>IFERROR(__xludf.DUMMYFUNCTION("""COMPUTED_VALUE"""),"")</f>
        <v/>
      </c>
      <c r="AC3339" s="16" t="str">
        <f>IFERROR(__xludf.DUMMYFUNCTION("""COMPUTED_VALUE"""),"")</f>
        <v/>
      </c>
    </row>
    <row r="3340">
      <c r="A3340" s="16" t="s">
        <v>87</v>
      </c>
      <c r="E3340" s="16" t="str">
        <f>IFERROR(__xludf.DUMMYFUNCTION("""COMPUTED_VALUE"""),"")</f>
        <v/>
      </c>
      <c r="G3340" s="18"/>
      <c r="H3340" s="16" t="s">
        <v>87</v>
      </c>
      <c r="I3340" s="16" t="s">
        <v>87</v>
      </c>
      <c r="J3340" s="19"/>
      <c r="L3340" s="16" t="str">
        <f>IFERROR(__xludf.DUMMYFUNCTION("""COMPUTED_VALUE"""),"")</f>
        <v/>
      </c>
      <c r="M3340" s="16" t="str">
        <f>IFERROR(__xludf.DUMMYFUNCTION("""COMPUTED_VALUE"""),"")</f>
        <v/>
      </c>
      <c r="U3340" s="16" t="s">
        <v>87</v>
      </c>
      <c r="V3340" s="16" t="str">
        <f>IFERROR(__xludf.DUMMYFUNCTION("""COMPUTED_VALUE"""),"")</f>
        <v/>
      </c>
      <c r="W3340" s="16" t="str">
        <f>IFERROR(__xludf.DUMMYFUNCTION("""COMPUTED_VALUE"""),"")</f>
        <v/>
      </c>
      <c r="X3340" s="16" t="str">
        <f>IFERROR(__xludf.DUMMYFUNCTION("""COMPUTED_VALUE"""),"")</f>
        <v/>
      </c>
      <c r="AC3340" s="16" t="str">
        <f>IFERROR(__xludf.DUMMYFUNCTION("""COMPUTED_VALUE"""),"")</f>
        <v/>
      </c>
    </row>
    <row r="3341">
      <c r="A3341" s="16" t="s">
        <v>87</v>
      </c>
      <c r="E3341" s="16" t="str">
        <f>IFERROR(__xludf.DUMMYFUNCTION("""COMPUTED_VALUE"""),"")</f>
        <v/>
      </c>
      <c r="G3341" s="18"/>
      <c r="H3341" s="16" t="s">
        <v>87</v>
      </c>
      <c r="I3341" s="16" t="s">
        <v>87</v>
      </c>
      <c r="J3341" s="19"/>
      <c r="L3341" s="16" t="str">
        <f>IFERROR(__xludf.DUMMYFUNCTION("""COMPUTED_VALUE"""),"")</f>
        <v/>
      </c>
      <c r="M3341" s="16" t="str">
        <f>IFERROR(__xludf.DUMMYFUNCTION("""COMPUTED_VALUE"""),"")</f>
        <v/>
      </c>
      <c r="U3341" s="16" t="s">
        <v>87</v>
      </c>
      <c r="V3341" s="16" t="str">
        <f>IFERROR(__xludf.DUMMYFUNCTION("""COMPUTED_VALUE"""),"")</f>
        <v/>
      </c>
      <c r="W3341" s="16" t="str">
        <f>IFERROR(__xludf.DUMMYFUNCTION("""COMPUTED_VALUE"""),"")</f>
        <v/>
      </c>
      <c r="X3341" s="16" t="str">
        <f>IFERROR(__xludf.DUMMYFUNCTION("""COMPUTED_VALUE"""),"")</f>
        <v/>
      </c>
      <c r="AC3341" s="16" t="str">
        <f>IFERROR(__xludf.DUMMYFUNCTION("""COMPUTED_VALUE"""),"")</f>
        <v/>
      </c>
    </row>
    <row r="3342">
      <c r="A3342" s="16" t="s">
        <v>87</v>
      </c>
      <c r="E3342" s="16" t="str">
        <f>IFERROR(__xludf.DUMMYFUNCTION("""COMPUTED_VALUE"""),"")</f>
        <v/>
      </c>
      <c r="G3342" s="18"/>
      <c r="H3342" s="16" t="s">
        <v>87</v>
      </c>
      <c r="I3342" s="16" t="s">
        <v>87</v>
      </c>
      <c r="J3342" s="19"/>
      <c r="L3342" s="16" t="str">
        <f>IFERROR(__xludf.DUMMYFUNCTION("""COMPUTED_VALUE"""),"")</f>
        <v/>
      </c>
      <c r="M3342" s="16" t="str">
        <f>IFERROR(__xludf.DUMMYFUNCTION("""COMPUTED_VALUE"""),"")</f>
        <v/>
      </c>
      <c r="U3342" s="16" t="s">
        <v>87</v>
      </c>
      <c r="V3342" s="16" t="str">
        <f>IFERROR(__xludf.DUMMYFUNCTION("""COMPUTED_VALUE"""),"")</f>
        <v/>
      </c>
      <c r="W3342" s="16" t="str">
        <f>IFERROR(__xludf.DUMMYFUNCTION("""COMPUTED_VALUE"""),"")</f>
        <v/>
      </c>
      <c r="X3342" s="16" t="str">
        <f>IFERROR(__xludf.DUMMYFUNCTION("""COMPUTED_VALUE"""),"")</f>
        <v/>
      </c>
      <c r="AC3342" s="16" t="str">
        <f>IFERROR(__xludf.DUMMYFUNCTION("""COMPUTED_VALUE"""),"")</f>
        <v/>
      </c>
    </row>
    <row r="3343">
      <c r="A3343" s="16" t="s">
        <v>87</v>
      </c>
      <c r="E3343" s="16" t="str">
        <f>IFERROR(__xludf.DUMMYFUNCTION("""COMPUTED_VALUE"""),"")</f>
        <v/>
      </c>
      <c r="G3343" s="18"/>
      <c r="H3343" s="16" t="s">
        <v>87</v>
      </c>
      <c r="I3343" s="16" t="s">
        <v>87</v>
      </c>
      <c r="J3343" s="19"/>
      <c r="L3343" s="16" t="str">
        <f>IFERROR(__xludf.DUMMYFUNCTION("""COMPUTED_VALUE"""),"")</f>
        <v/>
      </c>
      <c r="M3343" s="16" t="str">
        <f>IFERROR(__xludf.DUMMYFUNCTION("""COMPUTED_VALUE"""),"")</f>
        <v/>
      </c>
      <c r="U3343" s="16" t="s">
        <v>87</v>
      </c>
      <c r="V3343" s="16" t="str">
        <f>IFERROR(__xludf.DUMMYFUNCTION("""COMPUTED_VALUE"""),"")</f>
        <v/>
      </c>
      <c r="W3343" s="16" t="str">
        <f>IFERROR(__xludf.DUMMYFUNCTION("""COMPUTED_VALUE"""),"")</f>
        <v/>
      </c>
      <c r="X3343" s="16" t="str">
        <f>IFERROR(__xludf.DUMMYFUNCTION("""COMPUTED_VALUE"""),"")</f>
        <v/>
      </c>
      <c r="AC3343" s="16" t="str">
        <f>IFERROR(__xludf.DUMMYFUNCTION("""COMPUTED_VALUE"""),"")</f>
        <v/>
      </c>
    </row>
    <row r="3344">
      <c r="A3344" s="16" t="s">
        <v>87</v>
      </c>
      <c r="E3344" s="16" t="str">
        <f>IFERROR(__xludf.DUMMYFUNCTION("""COMPUTED_VALUE"""),"")</f>
        <v/>
      </c>
      <c r="G3344" s="18"/>
      <c r="H3344" s="16" t="s">
        <v>87</v>
      </c>
      <c r="I3344" s="16" t="s">
        <v>87</v>
      </c>
      <c r="J3344" s="19"/>
      <c r="L3344" s="16" t="str">
        <f>IFERROR(__xludf.DUMMYFUNCTION("""COMPUTED_VALUE"""),"")</f>
        <v/>
      </c>
      <c r="M3344" s="16" t="str">
        <f>IFERROR(__xludf.DUMMYFUNCTION("""COMPUTED_VALUE"""),"")</f>
        <v/>
      </c>
      <c r="U3344" s="16" t="s">
        <v>87</v>
      </c>
      <c r="V3344" s="16" t="str">
        <f>IFERROR(__xludf.DUMMYFUNCTION("""COMPUTED_VALUE"""),"")</f>
        <v/>
      </c>
      <c r="W3344" s="16" t="str">
        <f>IFERROR(__xludf.DUMMYFUNCTION("""COMPUTED_VALUE"""),"")</f>
        <v/>
      </c>
      <c r="X3344" s="16" t="str">
        <f>IFERROR(__xludf.DUMMYFUNCTION("""COMPUTED_VALUE"""),"")</f>
        <v/>
      </c>
      <c r="AC3344" s="16" t="str">
        <f>IFERROR(__xludf.DUMMYFUNCTION("""COMPUTED_VALUE"""),"")</f>
        <v/>
      </c>
    </row>
    <row r="3345">
      <c r="A3345" s="16" t="s">
        <v>87</v>
      </c>
      <c r="E3345" s="16" t="str">
        <f>IFERROR(__xludf.DUMMYFUNCTION("""COMPUTED_VALUE"""),"")</f>
        <v/>
      </c>
      <c r="G3345" s="18"/>
      <c r="H3345" s="16" t="s">
        <v>87</v>
      </c>
      <c r="I3345" s="16" t="s">
        <v>87</v>
      </c>
      <c r="J3345" s="19"/>
      <c r="L3345" s="16" t="str">
        <f>IFERROR(__xludf.DUMMYFUNCTION("""COMPUTED_VALUE"""),"")</f>
        <v/>
      </c>
      <c r="M3345" s="16" t="str">
        <f>IFERROR(__xludf.DUMMYFUNCTION("""COMPUTED_VALUE"""),"")</f>
        <v/>
      </c>
      <c r="U3345" s="16" t="s">
        <v>87</v>
      </c>
      <c r="V3345" s="16" t="str">
        <f>IFERROR(__xludf.DUMMYFUNCTION("""COMPUTED_VALUE"""),"")</f>
        <v/>
      </c>
      <c r="W3345" s="16" t="str">
        <f>IFERROR(__xludf.DUMMYFUNCTION("""COMPUTED_VALUE"""),"")</f>
        <v/>
      </c>
      <c r="X3345" s="16" t="str">
        <f>IFERROR(__xludf.DUMMYFUNCTION("""COMPUTED_VALUE"""),"")</f>
        <v/>
      </c>
      <c r="AC3345" s="16" t="str">
        <f>IFERROR(__xludf.DUMMYFUNCTION("""COMPUTED_VALUE"""),"")</f>
        <v/>
      </c>
    </row>
    <row r="3346">
      <c r="A3346" s="16" t="s">
        <v>87</v>
      </c>
      <c r="E3346" s="16" t="str">
        <f>IFERROR(__xludf.DUMMYFUNCTION("""COMPUTED_VALUE"""),"")</f>
        <v/>
      </c>
      <c r="G3346" s="18"/>
      <c r="H3346" s="16" t="s">
        <v>87</v>
      </c>
      <c r="I3346" s="16" t="s">
        <v>87</v>
      </c>
      <c r="J3346" s="19"/>
      <c r="L3346" s="16" t="str">
        <f>IFERROR(__xludf.DUMMYFUNCTION("""COMPUTED_VALUE"""),"")</f>
        <v/>
      </c>
      <c r="M3346" s="16" t="str">
        <f>IFERROR(__xludf.DUMMYFUNCTION("""COMPUTED_VALUE"""),"")</f>
        <v/>
      </c>
      <c r="U3346" s="16" t="s">
        <v>87</v>
      </c>
      <c r="V3346" s="16" t="str">
        <f>IFERROR(__xludf.DUMMYFUNCTION("""COMPUTED_VALUE"""),"")</f>
        <v/>
      </c>
      <c r="W3346" s="16" t="str">
        <f>IFERROR(__xludf.DUMMYFUNCTION("""COMPUTED_VALUE"""),"")</f>
        <v/>
      </c>
      <c r="X3346" s="16" t="str">
        <f>IFERROR(__xludf.DUMMYFUNCTION("""COMPUTED_VALUE"""),"")</f>
        <v/>
      </c>
      <c r="AC3346" s="16" t="str">
        <f>IFERROR(__xludf.DUMMYFUNCTION("""COMPUTED_VALUE"""),"")</f>
        <v/>
      </c>
    </row>
    <row r="3347">
      <c r="A3347" s="16" t="s">
        <v>87</v>
      </c>
      <c r="E3347" s="16" t="str">
        <f>IFERROR(__xludf.DUMMYFUNCTION("""COMPUTED_VALUE"""),"")</f>
        <v/>
      </c>
      <c r="G3347" s="18"/>
      <c r="H3347" s="16" t="s">
        <v>87</v>
      </c>
      <c r="I3347" s="16" t="s">
        <v>87</v>
      </c>
      <c r="J3347" s="19"/>
      <c r="L3347" s="16" t="str">
        <f>IFERROR(__xludf.DUMMYFUNCTION("""COMPUTED_VALUE"""),"")</f>
        <v/>
      </c>
      <c r="M3347" s="16" t="str">
        <f>IFERROR(__xludf.DUMMYFUNCTION("""COMPUTED_VALUE"""),"")</f>
        <v/>
      </c>
      <c r="U3347" s="16" t="s">
        <v>87</v>
      </c>
      <c r="V3347" s="16" t="str">
        <f>IFERROR(__xludf.DUMMYFUNCTION("""COMPUTED_VALUE"""),"")</f>
        <v/>
      </c>
      <c r="W3347" s="16" t="str">
        <f>IFERROR(__xludf.DUMMYFUNCTION("""COMPUTED_VALUE"""),"")</f>
        <v/>
      </c>
      <c r="X3347" s="16" t="str">
        <f>IFERROR(__xludf.DUMMYFUNCTION("""COMPUTED_VALUE"""),"")</f>
        <v/>
      </c>
      <c r="AC3347" s="16" t="str">
        <f>IFERROR(__xludf.DUMMYFUNCTION("""COMPUTED_VALUE"""),"")</f>
        <v/>
      </c>
    </row>
    <row r="3348">
      <c r="A3348" s="16" t="s">
        <v>87</v>
      </c>
      <c r="E3348" s="16" t="str">
        <f>IFERROR(__xludf.DUMMYFUNCTION("""COMPUTED_VALUE"""),"")</f>
        <v/>
      </c>
      <c r="G3348" s="18"/>
      <c r="H3348" s="16" t="s">
        <v>87</v>
      </c>
      <c r="I3348" s="16" t="s">
        <v>87</v>
      </c>
      <c r="J3348" s="19"/>
      <c r="L3348" s="16" t="str">
        <f>IFERROR(__xludf.DUMMYFUNCTION("""COMPUTED_VALUE"""),"")</f>
        <v/>
      </c>
      <c r="M3348" s="16" t="str">
        <f>IFERROR(__xludf.DUMMYFUNCTION("""COMPUTED_VALUE"""),"")</f>
        <v/>
      </c>
      <c r="U3348" s="16" t="s">
        <v>87</v>
      </c>
      <c r="V3348" s="16" t="str">
        <f>IFERROR(__xludf.DUMMYFUNCTION("""COMPUTED_VALUE"""),"")</f>
        <v/>
      </c>
      <c r="W3348" s="16" t="str">
        <f>IFERROR(__xludf.DUMMYFUNCTION("""COMPUTED_VALUE"""),"")</f>
        <v/>
      </c>
      <c r="X3348" s="16" t="str">
        <f>IFERROR(__xludf.DUMMYFUNCTION("""COMPUTED_VALUE"""),"")</f>
        <v/>
      </c>
      <c r="AC3348" s="16" t="str">
        <f>IFERROR(__xludf.DUMMYFUNCTION("""COMPUTED_VALUE"""),"")</f>
        <v/>
      </c>
    </row>
    <row r="3349">
      <c r="A3349" s="16" t="s">
        <v>87</v>
      </c>
      <c r="E3349" s="16" t="str">
        <f>IFERROR(__xludf.DUMMYFUNCTION("""COMPUTED_VALUE"""),"")</f>
        <v/>
      </c>
      <c r="G3349" s="18"/>
      <c r="H3349" s="16" t="s">
        <v>87</v>
      </c>
      <c r="I3349" s="16" t="s">
        <v>87</v>
      </c>
      <c r="J3349" s="19"/>
      <c r="L3349" s="16" t="str">
        <f>IFERROR(__xludf.DUMMYFUNCTION("""COMPUTED_VALUE"""),"")</f>
        <v/>
      </c>
      <c r="M3349" s="16" t="str">
        <f>IFERROR(__xludf.DUMMYFUNCTION("""COMPUTED_VALUE"""),"")</f>
        <v/>
      </c>
      <c r="U3349" s="16" t="s">
        <v>87</v>
      </c>
      <c r="V3349" s="16" t="str">
        <f>IFERROR(__xludf.DUMMYFUNCTION("""COMPUTED_VALUE"""),"")</f>
        <v/>
      </c>
      <c r="W3349" s="16" t="str">
        <f>IFERROR(__xludf.DUMMYFUNCTION("""COMPUTED_VALUE"""),"")</f>
        <v/>
      </c>
      <c r="X3349" s="16" t="str">
        <f>IFERROR(__xludf.DUMMYFUNCTION("""COMPUTED_VALUE"""),"")</f>
        <v/>
      </c>
      <c r="AC3349" s="16" t="str">
        <f>IFERROR(__xludf.DUMMYFUNCTION("""COMPUTED_VALUE"""),"")</f>
        <v/>
      </c>
    </row>
    <row r="3350">
      <c r="A3350" s="16" t="s">
        <v>87</v>
      </c>
      <c r="E3350" s="16" t="str">
        <f>IFERROR(__xludf.DUMMYFUNCTION("""COMPUTED_VALUE"""),"")</f>
        <v/>
      </c>
      <c r="G3350" s="18"/>
      <c r="H3350" s="16" t="s">
        <v>87</v>
      </c>
      <c r="I3350" s="16" t="s">
        <v>87</v>
      </c>
      <c r="J3350" s="19"/>
      <c r="L3350" s="16" t="str">
        <f>IFERROR(__xludf.DUMMYFUNCTION("""COMPUTED_VALUE"""),"")</f>
        <v/>
      </c>
      <c r="M3350" s="16" t="str">
        <f>IFERROR(__xludf.DUMMYFUNCTION("""COMPUTED_VALUE"""),"")</f>
        <v/>
      </c>
      <c r="U3350" s="16" t="s">
        <v>87</v>
      </c>
      <c r="V3350" s="16" t="str">
        <f>IFERROR(__xludf.DUMMYFUNCTION("""COMPUTED_VALUE"""),"")</f>
        <v/>
      </c>
      <c r="W3350" s="16" t="str">
        <f>IFERROR(__xludf.DUMMYFUNCTION("""COMPUTED_VALUE"""),"")</f>
        <v/>
      </c>
      <c r="X3350" s="16" t="str">
        <f>IFERROR(__xludf.DUMMYFUNCTION("""COMPUTED_VALUE"""),"")</f>
        <v/>
      </c>
      <c r="AC3350" s="16" t="str">
        <f>IFERROR(__xludf.DUMMYFUNCTION("""COMPUTED_VALUE"""),"")</f>
        <v/>
      </c>
    </row>
    <row r="3351">
      <c r="A3351" s="16" t="s">
        <v>87</v>
      </c>
      <c r="E3351" s="16" t="str">
        <f>IFERROR(__xludf.DUMMYFUNCTION("""COMPUTED_VALUE"""),"")</f>
        <v/>
      </c>
      <c r="G3351" s="18"/>
      <c r="H3351" s="16" t="s">
        <v>87</v>
      </c>
      <c r="I3351" s="16" t="s">
        <v>87</v>
      </c>
      <c r="J3351" s="19"/>
      <c r="L3351" s="16" t="str">
        <f>IFERROR(__xludf.DUMMYFUNCTION("""COMPUTED_VALUE"""),"")</f>
        <v/>
      </c>
      <c r="M3351" s="16" t="str">
        <f>IFERROR(__xludf.DUMMYFUNCTION("""COMPUTED_VALUE"""),"")</f>
        <v/>
      </c>
      <c r="U3351" s="16" t="s">
        <v>87</v>
      </c>
      <c r="V3351" s="16" t="str">
        <f>IFERROR(__xludf.DUMMYFUNCTION("""COMPUTED_VALUE"""),"")</f>
        <v/>
      </c>
      <c r="W3351" s="16" t="str">
        <f>IFERROR(__xludf.DUMMYFUNCTION("""COMPUTED_VALUE"""),"")</f>
        <v/>
      </c>
      <c r="X3351" s="16" t="str">
        <f>IFERROR(__xludf.DUMMYFUNCTION("""COMPUTED_VALUE"""),"")</f>
        <v/>
      </c>
      <c r="AC3351" s="16" t="str">
        <f>IFERROR(__xludf.DUMMYFUNCTION("""COMPUTED_VALUE"""),"")</f>
        <v/>
      </c>
    </row>
    <row r="3352">
      <c r="A3352" s="16" t="s">
        <v>87</v>
      </c>
      <c r="E3352" s="16" t="str">
        <f>IFERROR(__xludf.DUMMYFUNCTION("""COMPUTED_VALUE"""),"")</f>
        <v/>
      </c>
      <c r="G3352" s="18"/>
      <c r="H3352" s="16" t="s">
        <v>87</v>
      </c>
      <c r="I3352" s="16" t="s">
        <v>87</v>
      </c>
      <c r="J3352" s="19"/>
      <c r="L3352" s="16" t="str">
        <f>IFERROR(__xludf.DUMMYFUNCTION("""COMPUTED_VALUE"""),"")</f>
        <v/>
      </c>
      <c r="M3352" s="16" t="str">
        <f>IFERROR(__xludf.DUMMYFUNCTION("""COMPUTED_VALUE"""),"")</f>
        <v/>
      </c>
      <c r="U3352" s="16" t="s">
        <v>87</v>
      </c>
      <c r="V3352" s="16" t="str">
        <f>IFERROR(__xludf.DUMMYFUNCTION("""COMPUTED_VALUE"""),"")</f>
        <v/>
      </c>
      <c r="W3352" s="16" t="str">
        <f>IFERROR(__xludf.DUMMYFUNCTION("""COMPUTED_VALUE"""),"")</f>
        <v/>
      </c>
      <c r="X3352" s="16" t="str">
        <f>IFERROR(__xludf.DUMMYFUNCTION("""COMPUTED_VALUE"""),"")</f>
        <v/>
      </c>
      <c r="AC3352" s="16" t="str">
        <f>IFERROR(__xludf.DUMMYFUNCTION("""COMPUTED_VALUE"""),"")</f>
        <v/>
      </c>
    </row>
    <row r="3353">
      <c r="A3353" s="16" t="s">
        <v>87</v>
      </c>
      <c r="E3353" s="16" t="str">
        <f>IFERROR(__xludf.DUMMYFUNCTION("""COMPUTED_VALUE"""),"")</f>
        <v/>
      </c>
      <c r="G3353" s="18"/>
      <c r="H3353" s="16" t="s">
        <v>87</v>
      </c>
      <c r="I3353" s="16" t="s">
        <v>87</v>
      </c>
      <c r="J3353" s="19"/>
      <c r="L3353" s="16" t="str">
        <f>IFERROR(__xludf.DUMMYFUNCTION("""COMPUTED_VALUE"""),"")</f>
        <v/>
      </c>
      <c r="M3353" s="16" t="str">
        <f>IFERROR(__xludf.DUMMYFUNCTION("""COMPUTED_VALUE"""),"")</f>
        <v/>
      </c>
      <c r="U3353" s="16" t="s">
        <v>87</v>
      </c>
      <c r="V3353" s="16" t="str">
        <f>IFERROR(__xludf.DUMMYFUNCTION("""COMPUTED_VALUE"""),"")</f>
        <v/>
      </c>
      <c r="W3353" s="16" t="str">
        <f>IFERROR(__xludf.DUMMYFUNCTION("""COMPUTED_VALUE"""),"")</f>
        <v/>
      </c>
      <c r="X3353" s="16" t="str">
        <f>IFERROR(__xludf.DUMMYFUNCTION("""COMPUTED_VALUE"""),"")</f>
        <v/>
      </c>
      <c r="AC3353" s="16" t="str">
        <f>IFERROR(__xludf.DUMMYFUNCTION("""COMPUTED_VALUE"""),"")</f>
        <v/>
      </c>
    </row>
    <row r="3354">
      <c r="A3354" s="16" t="s">
        <v>87</v>
      </c>
      <c r="E3354" s="16" t="str">
        <f>IFERROR(__xludf.DUMMYFUNCTION("""COMPUTED_VALUE"""),"")</f>
        <v/>
      </c>
      <c r="G3354" s="18"/>
      <c r="H3354" s="16" t="s">
        <v>87</v>
      </c>
      <c r="I3354" s="16" t="s">
        <v>87</v>
      </c>
      <c r="J3354" s="19"/>
      <c r="L3354" s="16" t="str">
        <f>IFERROR(__xludf.DUMMYFUNCTION("""COMPUTED_VALUE"""),"")</f>
        <v/>
      </c>
      <c r="M3354" s="16" t="str">
        <f>IFERROR(__xludf.DUMMYFUNCTION("""COMPUTED_VALUE"""),"")</f>
        <v/>
      </c>
      <c r="U3354" s="16" t="s">
        <v>87</v>
      </c>
      <c r="V3354" s="16" t="str">
        <f>IFERROR(__xludf.DUMMYFUNCTION("""COMPUTED_VALUE"""),"")</f>
        <v/>
      </c>
      <c r="W3354" s="16" t="str">
        <f>IFERROR(__xludf.DUMMYFUNCTION("""COMPUTED_VALUE"""),"")</f>
        <v/>
      </c>
      <c r="X3354" s="16" t="str">
        <f>IFERROR(__xludf.DUMMYFUNCTION("""COMPUTED_VALUE"""),"")</f>
        <v/>
      </c>
      <c r="AC3354" s="16" t="str">
        <f>IFERROR(__xludf.DUMMYFUNCTION("""COMPUTED_VALUE"""),"")</f>
        <v/>
      </c>
    </row>
    <row r="3355">
      <c r="A3355" s="16" t="s">
        <v>87</v>
      </c>
      <c r="E3355" s="16" t="str">
        <f>IFERROR(__xludf.DUMMYFUNCTION("""COMPUTED_VALUE"""),"")</f>
        <v/>
      </c>
      <c r="G3355" s="18"/>
      <c r="H3355" s="16" t="s">
        <v>87</v>
      </c>
      <c r="I3355" s="16" t="s">
        <v>87</v>
      </c>
      <c r="J3355" s="19"/>
      <c r="L3355" s="16" t="str">
        <f>IFERROR(__xludf.DUMMYFUNCTION("""COMPUTED_VALUE"""),"")</f>
        <v/>
      </c>
      <c r="M3355" s="16" t="str">
        <f>IFERROR(__xludf.DUMMYFUNCTION("""COMPUTED_VALUE"""),"")</f>
        <v/>
      </c>
      <c r="U3355" s="16" t="s">
        <v>87</v>
      </c>
      <c r="V3355" s="16" t="str">
        <f>IFERROR(__xludf.DUMMYFUNCTION("""COMPUTED_VALUE"""),"")</f>
        <v/>
      </c>
      <c r="W3355" s="16" t="str">
        <f>IFERROR(__xludf.DUMMYFUNCTION("""COMPUTED_VALUE"""),"")</f>
        <v/>
      </c>
      <c r="X3355" s="16" t="str">
        <f>IFERROR(__xludf.DUMMYFUNCTION("""COMPUTED_VALUE"""),"")</f>
        <v/>
      </c>
      <c r="AC3355" s="16" t="str">
        <f>IFERROR(__xludf.DUMMYFUNCTION("""COMPUTED_VALUE"""),"")</f>
        <v/>
      </c>
    </row>
    <row r="3356">
      <c r="A3356" s="16" t="s">
        <v>87</v>
      </c>
      <c r="E3356" s="16" t="str">
        <f>IFERROR(__xludf.DUMMYFUNCTION("""COMPUTED_VALUE"""),"")</f>
        <v/>
      </c>
      <c r="G3356" s="18"/>
      <c r="H3356" s="16" t="s">
        <v>87</v>
      </c>
      <c r="I3356" s="16" t="s">
        <v>87</v>
      </c>
      <c r="J3356" s="19"/>
      <c r="L3356" s="16" t="str">
        <f>IFERROR(__xludf.DUMMYFUNCTION("""COMPUTED_VALUE"""),"")</f>
        <v/>
      </c>
      <c r="M3356" s="16" t="str">
        <f>IFERROR(__xludf.DUMMYFUNCTION("""COMPUTED_VALUE"""),"")</f>
        <v/>
      </c>
      <c r="U3356" s="16" t="s">
        <v>87</v>
      </c>
      <c r="V3356" s="16" t="str">
        <f>IFERROR(__xludf.DUMMYFUNCTION("""COMPUTED_VALUE"""),"")</f>
        <v/>
      </c>
      <c r="W3356" s="16" t="str">
        <f>IFERROR(__xludf.DUMMYFUNCTION("""COMPUTED_VALUE"""),"")</f>
        <v/>
      </c>
      <c r="X3356" s="16" t="str">
        <f>IFERROR(__xludf.DUMMYFUNCTION("""COMPUTED_VALUE"""),"")</f>
        <v/>
      </c>
      <c r="AC3356" s="16" t="str">
        <f>IFERROR(__xludf.DUMMYFUNCTION("""COMPUTED_VALUE"""),"")</f>
        <v/>
      </c>
    </row>
    <row r="3357">
      <c r="A3357" s="16" t="s">
        <v>87</v>
      </c>
      <c r="E3357" s="16" t="str">
        <f>IFERROR(__xludf.DUMMYFUNCTION("""COMPUTED_VALUE"""),"")</f>
        <v/>
      </c>
      <c r="G3357" s="18"/>
      <c r="H3357" s="16" t="s">
        <v>87</v>
      </c>
      <c r="I3357" s="16" t="s">
        <v>87</v>
      </c>
      <c r="J3357" s="19"/>
      <c r="L3357" s="16" t="str">
        <f>IFERROR(__xludf.DUMMYFUNCTION("""COMPUTED_VALUE"""),"")</f>
        <v/>
      </c>
      <c r="M3357" s="16" t="str">
        <f>IFERROR(__xludf.DUMMYFUNCTION("""COMPUTED_VALUE"""),"")</f>
        <v/>
      </c>
      <c r="U3357" s="16" t="s">
        <v>87</v>
      </c>
      <c r="V3357" s="16" t="str">
        <f>IFERROR(__xludf.DUMMYFUNCTION("""COMPUTED_VALUE"""),"")</f>
        <v/>
      </c>
      <c r="W3357" s="16" t="str">
        <f>IFERROR(__xludf.DUMMYFUNCTION("""COMPUTED_VALUE"""),"")</f>
        <v/>
      </c>
      <c r="X3357" s="16" t="str">
        <f>IFERROR(__xludf.DUMMYFUNCTION("""COMPUTED_VALUE"""),"")</f>
        <v/>
      </c>
      <c r="AC3357" s="16" t="str">
        <f>IFERROR(__xludf.DUMMYFUNCTION("""COMPUTED_VALUE"""),"")</f>
        <v/>
      </c>
    </row>
    <row r="3358">
      <c r="A3358" s="16" t="s">
        <v>87</v>
      </c>
      <c r="E3358" s="16" t="str">
        <f>IFERROR(__xludf.DUMMYFUNCTION("""COMPUTED_VALUE"""),"")</f>
        <v/>
      </c>
      <c r="G3358" s="18"/>
      <c r="H3358" s="16" t="s">
        <v>87</v>
      </c>
      <c r="I3358" s="16" t="s">
        <v>87</v>
      </c>
      <c r="J3358" s="19"/>
      <c r="L3358" s="16" t="str">
        <f>IFERROR(__xludf.DUMMYFUNCTION("""COMPUTED_VALUE"""),"")</f>
        <v/>
      </c>
      <c r="M3358" s="16" t="str">
        <f>IFERROR(__xludf.DUMMYFUNCTION("""COMPUTED_VALUE"""),"")</f>
        <v/>
      </c>
      <c r="U3358" s="16" t="s">
        <v>87</v>
      </c>
      <c r="V3358" s="16" t="str">
        <f>IFERROR(__xludf.DUMMYFUNCTION("""COMPUTED_VALUE"""),"")</f>
        <v/>
      </c>
      <c r="W3358" s="16" t="str">
        <f>IFERROR(__xludf.DUMMYFUNCTION("""COMPUTED_VALUE"""),"")</f>
        <v/>
      </c>
      <c r="X3358" s="16" t="str">
        <f>IFERROR(__xludf.DUMMYFUNCTION("""COMPUTED_VALUE"""),"")</f>
        <v/>
      </c>
      <c r="AC3358" s="16" t="str">
        <f>IFERROR(__xludf.DUMMYFUNCTION("""COMPUTED_VALUE"""),"")</f>
        <v/>
      </c>
    </row>
    <row r="3359">
      <c r="A3359" s="16" t="s">
        <v>87</v>
      </c>
      <c r="E3359" s="16" t="str">
        <f>IFERROR(__xludf.DUMMYFUNCTION("""COMPUTED_VALUE"""),"")</f>
        <v/>
      </c>
      <c r="G3359" s="18"/>
      <c r="H3359" s="16" t="s">
        <v>87</v>
      </c>
      <c r="I3359" s="16" t="s">
        <v>87</v>
      </c>
      <c r="J3359" s="19"/>
      <c r="L3359" s="16" t="str">
        <f>IFERROR(__xludf.DUMMYFUNCTION("""COMPUTED_VALUE"""),"")</f>
        <v/>
      </c>
      <c r="M3359" s="16" t="str">
        <f>IFERROR(__xludf.DUMMYFUNCTION("""COMPUTED_VALUE"""),"")</f>
        <v/>
      </c>
      <c r="U3359" s="16" t="s">
        <v>87</v>
      </c>
      <c r="V3359" s="16" t="str">
        <f>IFERROR(__xludf.DUMMYFUNCTION("""COMPUTED_VALUE"""),"")</f>
        <v/>
      </c>
      <c r="W3359" s="16" t="str">
        <f>IFERROR(__xludf.DUMMYFUNCTION("""COMPUTED_VALUE"""),"")</f>
        <v/>
      </c>
      <c r="X3359" s="16" t="str">
        <f>IFERROR(__xludf.DUMMYFUNCTION("""COMPUTED_VALUE"""),"")</f>
        <v/>
      </c>
      <c r="AC3359" s="16" t="str">
        <f>IFERROR(__xludf.DUMMYFUNCTION("""COMPUTED_VALUE"""),"")</f>
        <v/>
      </c>
    </row>
    <row r="3360">
      <c r="A3360" s="16" t="s">
        <v>87</v>
      </c>
      <c r="E3360" s="16" t="str">
        <f>IFERROR(__xludf.DUMMYFUNCTION("""COMPUTED_VALUE"""),"")</f>
        <v/>
      </c>
      <c r="G3360" s="18"/>
      <c r="H3360" s="16" t="s">
        <v>87</v>
      </c>
      <c r="I3360" s="16" t="s">
        <v>87</v>
      </c>
      <c r="J3360" s="19"/>
      <c r="L3360" s="16" t="str">
        <f>IFERROR(__xludf.DUMMYFUNCTION("""COMPUTED_VALUE"""),"")</f>
        <v/>
      </c>
      <c r="M3360" s="16" t="str">
        <f>IFERROR(__xludf.DUMMYFUNCTION("""COMPUTED_VALUE"""),"")</f>
        <v/>
      </c>
      <c r="U3360" s="16" t="s">
        <v>87</v>
      </c>
      <c r="V3360" s="16" t="str">
        <f>IFERROR(__xludf.DUMMYFUNCTION("""COMPUTED_VALUE"""),"")</f>
        <v/>
      </c>
      <c r="W3360" s="16" t="str">
        <f>IFERROR(__xludf.DUMMYFUNCTION("""COMPUTED_VALUE"""),"")</f>
        <v/>
      </c>
      <c r="X3360" s="16" t="str">
        <f>IFERROR(__xludf.DUMMYFUNCTION("""COMPUTED_VALUE"""),"")</f>
        <v/>
      </c>
      <c r="AC3360" s="16" t="str">
        <f>IFERROR(__xludf.DUMMYFUNCTION("""COMPUTED_VALUE"""),"")</f>
        <v/>
      </c>
    </row>
    <row r="3361">
      <c r="A3361" s="16" t="s">
        <v>87</v>
      </c>
      <c r="E3361" s="16" t="str">
        <f>IFERROR(__xludf.DUMMYFUNCTION("""COMPUTED_VALUE"""),"")</f>
        <v/>
      </c>
      <c r="G3361" s="18"/>
      <c r="H3361" s="16" t="s">
        <v>87</v>
      </c>
      <c r="I3361" s="16" t="s">
        <v>87</v>
      </c>
      <c r="J3361" s="19"/>
      <c r="L3361" s="16" t="str">
        <f>IFERROR(__xludf.DUMMYFUNCTION("""COMPUTED_VALUE"""),"")</f>
        <v/>
      </c>
      <c r="M3361" s="16" t="str">
        <f>IFERROR(__xludf.DUMMYFUNCTION("""COMPUTED_VALUE"""),"")</f>
        <v/>
      </c>
      <c r="U3361" s="16" t="s">
        <v>87</v>
      </c>
      <c r="V3361" s="16" t="str">
        <f>IFERROR(__xludf.DUMMYFUNCTION("""COMPUTED_VALUE"""),"")</f>
        <v/>
      </c>
      <c r="W3361" s="16" t="str">
        <f>IFERROR(__xludf.DUMMYFUNCTION("""COMPUTED_VALUE"""),"")</f>
        <v/>
      </c>
      <c r="X3361" s="16" t="str">
        <f>IFERROR(__xludf.DUMMYFUNCTION("""COMPUTED_VALUE"""),"")</f>
        <v/>
      </c>
      <c r="AC3361" s="16" t="str">
        <f>IFERROR(__xludf.DUMMYFUNCTION("""COMPUTED_VALUE"""),"")</f>
        <v/>
      </c>
    </row>
    <row r="3362">
      <c r="A3362" s="16" t="s">
        <v>87</v>
      </c>
      <c r="E3362" s="16" t="str">
        <f>IFERROR(__xludf.DUMMYFUNCTION("""COMPUTED_VALUE"""),"")</f>
        <v/>
      </c>
      <c r="G3362" s="18"/>
      <c r="H3362" s="16" t="s">
        <v>87</v>
      </c>
      <c r="I3362" s="16" t="s">
        <v>87</v>
      </c>
      <c r="J3362" s="19"/>
      <c r="L3362" s="16" t="str">
        <f>IFERROR(__xludf.DUMMYFUNCTION("""COMPUTED_VALUE"""),"")</f>
        <v/>
      </c>
      <c r="M3362" s="16" t="str">
        <f>IFERROR(__xludf.DUMMYFUNCTION("""COMPUTED_VALUE"""),"")</f>
        <v/>
      </c>
      <c r="U3362" s="16" t="s">
        <v>87</v>
      </c>
      <c r="V3362" s="16" t="str">
        <f>IFERROR(__xludf.DUMMYFUNCTION("""COMPUTED_VALUE"""),"")</f>
        <v/>
      </c>
      <c r="W3362" s="16" t="str">
        <f>IFERROR(__xludf.DUMMYFUNCTION("""COMPUTED_VALUE"""),"")</f>
        <v/>
      </c>
      <c r="X3362" s="16" t="str">
        <f>IFERROR(__xludf.DUMMYFUNCTION("""COMPUTED_VALUE"""),"")</f>
        <v/>
      </c>
      <c r="AC3362" s="16" t="str">
        <f>IFERROR(__xludf.DUMMYFUNCTION("""COMPUTED_VALUE"""),"")</f>
        <v/>
      </c>
    </row>
    <row r="3363">
      <c r="A3363" s="16" t="s">
        <v>87</v>
      </c>
      <c r="E3363" s="16" t="str">
        <f>IFERROR(__xludf.DUMMYFUNCTION("""COMPUTED_VALUE"""),"")</f>
        <v/>
      </c>
      <c r="G3363" s="18"/>
      <c r="H3363" s="16" t="s">
        <v>87</v>
      </c>
      <c r="I3363" s="16" t="s">
        <v>87</v>
      </c>
      <c r="J3363" s="19"/>
      <c r="L3363" s="16" t="str">
        <f>IFERROR(__xludf.DUMMYFUNCTION("""COMPUTED_VALUE"""),"")</f>
        <v/>
      </c>
      <c r="M3363" s="16" t="str">
        <f>IFERROR(__xludf.DUMMYFUNCTION("""COMPUTED_VALUE"""),"")</f>
        <v/>
      </c>
      <c r="U3363" s="16" t="s">
        <v>87</v>
      </c>
      <c r="V3363" s="16" t="str">
        <f>IFERROR(__xludf.DUMMYFUNCTION("""COMPUTED_VALUE"""),"")</f>
        <v/>
      </c>
      <c r="W3363" s="16" t="str">
        <f>IFERROR(__xludf.DUMMYFUNCTION("""COMPUTED_VALUE"""),"")</f>
        <v/>
      </c>
      <c r="X3363" s="16" t="str">
        <f>IFERROR(__xludf.DUMMYFUNCTION("""COMPUTED_VALUE"""),"")</f>
        <v/>
      </c>
      <c r="AC3363" s="16" t="str">
        <f>IFERROR(__xludf.DUMMYFUNCTION("""COMPUTED_VALUE"""),"")</f>
        <v/>
      </c>
    </row>
    <row r="3364">
      <c r="A3364" s="16" t="s">
        <v>87</v>
      </c>
      <c r="E3364" s="16" t="str">
        <f>IFERROR(__xludf.DUMMYFUNCTION("""COMPUTED_VALUE"""),"")</f>
        <v/>
      </c>
      <c r="G3364" s="18"/>
      <c r="H3364" s="16" t="s">
        <v>87</v>
      </c>
      <c r="I3364" s="16" t="s">
        <v>87</v>
      </c>
      <c r="J3364" s="19"/>
      <c r="L3364" s="16" t="str">
        <f>IFERROR(__xludf.DUMMYFUNCTION("""COMPUTED_VALUE"""),"")</f>
        <v/>
      </c>
      <c r="M3364" s="16" t="str">
        <f>IFERROR(__xludf.DUMMYFUNCTION("""COMPUTED_VALUE"""),"")</f>
        <v/>
      </c>
      <c r="U3364" s="16" t="s">
        <v>87</v>
      </c>
      <c r="V3364" s="16" t="str">
        <f>IFERROR(__xludf.DUMMYFUNCTION("""COMPUTED_VALUE"""),"")</f>
        <v/>
      </c>
      <c r="W3364" s="16" t="str">
        <f>IFERROR(__xludf.DUMMYFUNCTION("""COMPUTED_VALUE"""),"")</f>
        <v/>
      </c>
      <c r="X3364" s="16" t="str">
        <f>IFERROR(__xludf.DUMMYFUNCTION("""COMPUTED_VALUE"""),"")</f>
        <v/>
      </c>
      <c r="AC3364" s="16" t="str">
        <f>IFERROR(__xludf.DUMMYFUNCTION("""COMPUTED_VALUE"""),"")</f>
        <v/>
      </c>
    </row>
    <row r="3365">
      <c r="A3365" s="16" t="s">
        <v>87</v>
      </c>
      <c r="E3365" s="16" t="str">
        <f>IFERROR(__xludf.DUMMYFUNCTION("""COMPUTED_VALUE"""),"")</f>
        <v/>
      </c>
      <c r="G3365" s="18"/>
      <c r="H3365" s="16" t="s">
        <v>87</v>
      </c>
      <c r="I3365" s="16" t="s">
        <v>87</v>
      </c>
      <c r="J3365" s="19"/>
      <c r="L3365" s="16" t="str">
        <f>IFERROR(__xludf.DUMMYFUNCTION("""COMPUTED_VALUE"""),"")</f>
        <v/>
      </c>
      <c r="M3365" s="16" t="str">
        <f>IFERROR(__xludf.DUMMYFUNCTION("""COMPUTED_VALUE"""),"")</f>
        <v/>
      </c>
      <c r="U3365" s="16" t="s">
        <v>87</v>
      </c>
      <c r="V3365" s="16" t="str">
        <f>IFERROR(__xludf.DUMMYFUNCTION("""COMPUTED_VALUE"""),"")</f>
        <v/>
      </c>
      <c r="W3365" s="16" t="str">
        <f>IFERROR(__xludf.DUMMYFUNCTION("""COMPUTED_VALUE"""),"")</f>
        <v/>
      </c>
      <c r="X3365" s="16" t="str">
        <f>IFERROR(__xludf.DUMMYFUNCTION("""COMPUTED_VALUE"""),"")</f>
        <v/>
      </c>
      <c r="AC3365" s="16" t="str">
        <f>IFERROR(__xludf.DUMMYFUNCTION("""COMPUTED_VALUE"""),"")</f>
        <v/>
      </c>
    </row>
    <row r="3366">
      <c r="A3366" s="16" t="s">
        <v>87</v>
      </c>
      <c r="E3366" s="16" t="str">
        <f>IFERROR(__xludf.DUMMYFUNCTION("""COMPUTED_VALUE"""),"")</f>
        <v/>
      </c>
      <c r="G3366" s="18"/>
      <c r="H3366" s="16" t="s">
        <v>87</v>
      </c>
      <c r="I3366" s="16" t="s">
        <v>87</v>
      </c>
      <c r="J3366" s="19"/>
      <c r="L3366" s="16" t="str">
        <f>IFERROR(__xludf.DUMMYFUNCTION("""COMPUTED_VALUE"""),"")</f>
        <v/>
      </c>
      <c r="M3366" s="16" t="str">
        <f>IFERROR(__xludf.DUMMYFUNCTION("""COMPUTED_VALUE"""),"")</f>
        <v/>
      </c>
      <c r="U3366" s="16" t="s">
        <v>87</v>
      </c>
      <c r="V3366" s="16" t="str">
        <f>IFERROR(__xludf.DUMMYFUNCTION("""COMPUTED_VALUE"""),"")</f>
        <v/>
      </c>
      <c r="W3366" s="16" t="str">
        <f>IFERROR(__xludf.DUMMYFUNCTION("""COMPUTED_VALUE"""),"")</f>
        <v/>
      </c>
      <c r="X3366" s="16" t="str">
        <f>IFERROR(__xludf.DUMMYFUNCTION("""COMPUTED_VALUE"""),"")</f>
        <v/>
      </c>
      <c r="AC3366" s="16" t="str">
        <f>IFERROR(__xludf.DUMMYFUNCTION("""COMPUTED_VALUE"""),"")</f>
        <v/>
      </c>
    </row>
    <row r="3367">
      <c r="A3367" s="16" t="s">
        <v>87</v>
      </c>
      <c r="E3367" s="16" t="str">
        <f>IFERROR(__xludf.DUMMYFUNCTION("""COMPUTED_VALUE"""),"")</f>
        <v/>
      </c>
      <c r="G3367" s="18"/>
      <c r="H3367" s="16" t="s">
        <v>87</v>
      </c>
      <c r="I3367" s="16" t="s">
        <v>87</v>
      </c>
      <c r="J3367" s="19"/>
      <c r="L3367" s="16" t="str">
        <f>IFERROR(__xludf.DUMMYFUNCTION("""COMPUTED_VALUE"""),"")</f>
        <v/>
      </c>
      <c r="M3367" s="16" t="str">
        <f>IFERROR(__xludf.DUMMYFUNCTION("""COMPUTED_VALUE"""),"")</f>
        <v/>
      </c>
      <c r="U3367" s="16" t="s">
        <v>87</v>
      </c>
      <c r="V3367" s="16" t="str">
        <f>IFERROR(__xludf.DUMMYFUNCTION("""COMPUTED_VALUE"""),"")</f>
        <v/>
      </c>
      <c r="W3367" s="16" t="str">
        <f>IFERROR(__xludf.DUMMYFUNCTION("""COMPUTED_VALUE"""),"")</f>
        <v/>
      </c>
      <c r="X3367" s="16" t="str">
        <f>IFERROR(__xludf.DUMMYFUNCTION("""COMPUTED_VALUE"""),"")</f>
        <v/>
      </c>
      <c r="AC3367" s="16" t="str">
        <f>IFERROR(__xludf.DUMMYFUNCTION("""COMPUTED_VALUE"""),"")</f>
        <v/>
      </c>
    </row>
    <row r="3368">
      <c r="A3368" s="16" t="s">
        <v>87</v>
      </c>
      <c r="E3368" s="16" t="str">
        <f>IFERROR(__xludf.DUMMYFUNCTION("""COMPUTED_VALUE"""),"")</f>
        <v/>
      </c>
      <c r="G3368" s="18"/>
      <c r="H3368" s="16" t="s">
        <v>87</v>
      </c>
      <c r="I3368" s="16" t="s">
        <v>87</v>
      </c>
      <c r="J3368" s="19"/>
      <c r="L3368" s="16" t="str">
        <f>IFERROR(__xludf.DUMMYFUNCTION("""COMPUTED_VALUE"""),"")</f>
        <v/>
      </c>
      <c r="M3368" s="16" t="str">
        <f>IFERROR(__xludf.DUMMYFUNCTION("""COMPUTED_VALUE"""),"")</f>
        <v/>
      </c>
      <c r="U3368" s="16" t="s">
        <v>87</v>
      </c>
      <c r="V3368" s="16" t="str">
        <f>IFERROR(__xludf.DUMMYFUNCTION("""COMPUTED_VALUE"""),"")</f>
        <v/>
      </c>
      <c r="W3368" s="16" t="str">
        <f>IFERROR(__xludf.DUMMYFUNCTION("""COMPUTED_VALUE"""),"")</f>
        <v/>
      </c>
      <c r="X3368" s="16" t="str">
        <f>IFERROR(__xludf.DUMMYFUNCTION("""COMPUTED_VALUE"""),"")</f>
        <v/>
      </c>
      <c r="AC3368" s="16" t="str">
        <f>IFERROR(__xludf.DUMMYFUNCTION("""COMPUTED_VALUE"""),"")</f>
        <v/>
      </c>
    </row>
    <row r="3369">
      <c r="A3369" s="16" t="s">
        <v>87</v>
      </c>
      <c r="E3369" s="16" t="str">
        <f>IFERROR(__xludf.DUMMYFUNCTION("""COMPUTED_VALUE"""),"")</f>
        <v/>
      </c>
      <c r="G3369" s="18"/>
      <c r="H3369" s="16" t="s">
        <v>87</v>
      </c>
      <c r="I3369" s="16" t="s">
        <v>87</v>
      </c>
      <c r="J3369" s="19"/>
      <c r="L3369" s="16" t="str">
        <f>IFERROR(__xludf.DUMMYFUNCTION("""COMPUTED_VALUE"""),"")</f>
        <v/>
      </c>
      <c r="M3369" s="16" t="str">
        <f>IFERROR(__xludf.DUMMYFUNCTION("""COMPUTED_VALUE"""),"")</f>
        <v/>
      </c>
      <c r="U3369" s="16" t="s">
        <v>87</v>
      </c>
      <c r="V3369" s="16" t="str">
        <f>IFERROR(__xludf.DUMMYFUNCTION("""COMPUTED_VALUE"""),"")</f>
        <v/>
      </c>
      <c r="W3369" s="16" t="str">
        <f>IFERROR(__xludf.DUMMYFUNCTION("""COMPUTED_VALUE"""),"")</f>
        <v/>
      </c>
      <c r="X3369" s="16" t="str">
        <f>IFERROR(__xludf.DUMMYFUNCTION("""COMPUTED_VALUE"""),"")</f>
        <v/>
      </c>
      <c r="AC3369" s="16" t="str">
        <f>IFERROR(__xludf.DUMMYFUNCTION("""COMPUTED_VALUE"""),"")</f>
        <v/>
      </c>
    </row>
    <row r="3370">
      <c r="A3370" s="16" t="s">
        <v>87</v>
      </c>
      <c r="E3370" s="16" t="str">
        <f>IFERROR(__xludf.DUMMYFUNCTION("""COMPUTED_VALUE"""),"")</f>
        <v/>
      </c>
      <c r="G3370" s="18"/>
      <c r="H3370" s="16" t="s">
        <v>87</v>
      </c>
      <c r="I3370" s="16" t="s">
        <v>87</v>
      </c>
      <c r="J3370" s="19"/>
      <c r="L3370" s="16" t="str">
        <f>IFERROR(__xludf.DUMMYFUNCTION("""COMPUTED_VALUE"""),"")</f>
        <v/>
      </c>
      <c r="M3370" s="16" t="str">
        <f>IFERROR(__xludf.DUMMYFUNCTION("""COMPUTED_VALUE"""),"")</f>
        <v/>
      </c>
      <c r="U3370" s="16" t="s">
        <v>87</v>
      </c>
      <c r="V3370" s="16" t="str">
        <f>IFERROR(__xludf.DUMMYFUNCTION("""COMPUTED_VALUE"""),"")</f>
        <v/>
      </c>
      <c r="W3370" s="16" t="str">
        <f>IFERROR(__xludf.DUMMYFUNCTION("""COMPUTED_VALUE"""),"")</f>
        <v/>
      </c>
      <c r="X3370" s="16" t="str">
        <f>IFERROR(__xludf.DUMMYFUNCTION("""COMPUTED_VALUE"""),"")</f>
        <v/>
      </c>
      <c r="AC3370" s="16" t="str">
        <f>IFERROR(__xludf.DUMMYFUNCTION("""COMPUTED_VALUE"""),"")</f>
        <v/>
      </c>
    </row>
    <row r="3371">
      <c r="A3371" s="16" t="s">
        <v>87</v>
      </c>
      <c r="E3371" s="16" t="str">
        <f>IFERROR(__xludf.DUMMYFUNCTION("""COMPUTED_VALUE"""),"")</f>
        <v/>
      </c>
      <c r="G3371" s="18"/>
      <c r="H3371" s="16" t="s">
        <v>87</v>
      </c>
      <c r="I3371" s="16" t="s">
        <v>87</v>
      </c>
      <c r="J3371" s="19"/>
      <c r="L3371" s="16" t="str">
        <f>IFERROR(__xludf.DUMMYFUNCTION("""COMPUTED_VALUE"""),"")</f>
        <v/>
      </c>
      <c r="M3371" s="16" t="str">
        <f>IFERROR(__xludf.DUMMYFUNCTION("""COMPUTED_VALUE"""),"")</f>
        <v/>
      </c>
      <c r="U3371" s="16" t="s">
        <v>87</v>
      </c>
      <c r="V3371" s="16" t="str">
        <f>IFERROR(__xludf.DUMMYFUNCTION("""COMPUTED_VALUE"""),"")</f>
        <v/>
      </c>
      <c r="W3371" s="16" t="str">
        <f>IFERROR(__xludf.DUMMYFUNCTION("""COMPUTED_VALUE"""),"")</f>
        <v/>
      </c>
      <c r="X3371" s="16" t="str">
        <f>IFERROR(__xludf.DUMMYFUNCTION("""COMPUTED_VALUE"""),"")</f>
        <v/>
      </c>
      <c r="AC3371" s="16" t="str">
        <f>IFERROR(__xludf.DUMMYFUNCTION("""COMPUTED_VALUE"""),"")</f>
        <v/>
      </c>
    </row>
    <row r="3372">
      <c r="A3372" s="16" t="s">
        <v>87</v>
      </c>
      <c r="E3372" s="16" t="str">
        <f>IFERROR(__xludf.DUMMYFUNCTION("""COMPUTED_VALUE"""),"")</f>
        <v/>
      </c>
      <c r="G3372" s="18"/>
      <c r="H3372" s="16" t="s">
        <v>87</v>
      </c>
      <c r="I3372" s="16" t="s">
        <v>87</v>
      </c>
      <c r="J3372" s="19"/>
      <c r="L3372" s="16" t="str">
        <f>IFERROR(__xludf.DUMMYFUNCTION("""COMPUTED_VALUE"""),"")</f>
        <v/>
      </c>
      <c r="M3372" s="16" t="str">
        <f>IFERROR(__xludf.DUMMYFUNCTION("""COMPUTED_VALUE"""),"")</f>
        <v/>
      </c>
      <c r="U3372" s="16" t="s">
        <v>87</v>
      </c>
      <c r="V3372" s="16" t="str">
        <f>IFERROR(__xludf.DUMMYFUNCTION("""COMPUTED_VALUE"""),"")</f>
        <v/>
      </c>
      <c r="W3372" s="16" t="str">
        <f>IFERROR(__xludf.DUMMYFUNCTION("""COMPUTED_VALUE"""),"")</f>
        <v/>
      </c>
      <c r="X3372" s="16" t="str">
        <f>IFERROR(__xludf.DUMMYFUNCTION("""COMPUTED_VALUE"""),"")</f>
        <v/>
      </c>
      <c r="AC3372" s="16" t="str">
        <f>IFERROR(__xludf.DUMMYFUNCTION("""COMPUTED_VALUE"""),"")</f>
        <v/>
      </c>
    </row>
    <row r="3373">
      <c r="A3373" s="16" t="s">
        <v>87</v>
      </c>
      <c r="E3373" s="16" t="str">
        <f>IFERROR(__xludf.DUMMYFUNCTION("""COMPUTED_VALUE"""),"")</f>
        <v/>
      </c>
      <c r="G3373" s="18"/>
      <c r="H3373" s="16" t="s">
        <v>87</v>
      </c>
      <c r="I3373" s="16" t="s">
        <v>87</v>
      </c>
      <c r="J3373" s="19"/>
      <c r="L3373" s="16" t="str">
        <f>IFERROR(__xludf.DUMMYFUNCTION("""COMPUTED_VALUE"""),"")</f>
        <v/>
      </c>
      <c r="M3373" s="16" t="str">
        <f>IFERROR(__xludf.DUMMYFUNCTION("""COMPUTED_VALUE"""),"")</f>
        <v/>
      </c>
      <c r="U3373" s="16" t="s">
        <v>87</v>
      </c>
      <c r="V3373" s="16" t="str">
        <f>IFERROR(__xludf.DUMMYFUNCTION("""COMPUTED_VALUE"""),"")</f>
        <v/>
      </c>
      <c r="W3373" s="16" t="str">
        <f>IFERROR(__xludf.DUMMYFUNCTION("""COMPUTED_VALUE"""),"")</f>
        <v/>
      </c>
      <c r="X3373" s="16" t="str">
        <f>IFERROR(__xludf.DUMMYFUNCTION("""COMPUTED_VALUE"""),"")</f>
        <v/>
      </c>
      <c r="AC3373" s="16" t="str">
        <f>IFERROR(__xludf.DUMMYFUNCTION("""COMPUTED_VALUE"""),"")</f>
        <v/>
      </c>
    </row>
    <row r="3374">
      <c r="A3374" s="16" t="s">
        <v>87</v>
      </c>
      <c r="E3374" s="16" t="str">
        <f>IFERROR(__xludf.DUMMYFUNCTION("""COMPUTED_VALUE"""),"")</f>
        <v/>
      </c>
      <c r="G3374" s="18"/>
      <c r="H3374" s="16" t="s">
        <v>87</v>
      </c>
      <c r="I3374" s="16" t="s">
        <v>87</v>
      </c>
      <c r="J3374" s="19"/>
      <c r="L3374" s="16" t="str">
        <f>IFERROR(__xludf.DUMMYFUNCTION("""COMPUTED_VALUE"""),"")</f>
        <v/>
      </c>
      <c r="M3374" s="16" t="str">
        <f>IFERROR(__xludf.DUMMYFUNCTION("""COMPUTED_VALUE"""),"")</f>
        <v/>
      </c>
      <c r="U3374" s="16" t="s">
        <v>87</v>
      </c>
      <c r="V3374" s="16" t="str">
        <f>IFERROR(__xludf.DUMMYFUNCTION("""COMPUTED_VALUE"""),"")</f>
        <v/>
      </c>
      <c r="W3374" s="16" t="str">
        <f>IFERROR(__xludf.DUMMYFUNCTION("""COMPUTED_VALUE"""),"")</f>
        <v/>
      </c>
      <c r="X3374" s="16" t="str">
        <f>IFERROR(__xludf.DUMMYFUNCTION("""COMPUTED_VALUE"""),"")</f>
        <v/>
      </c>
      <c r="AC3374" s="16" t="str">
        <f>IFERROR(__xludf.DUMMYFUNCTION("""COMPUTED_VALUE"""),"")</f>
        <v/>
      </c>
    </row>
    <row r="3375">
      <c r="A3375" s="16" t="s">
        <v>87</v>
      </c>
      <c r="E3375" s="16" t="str">
        <f>IFERROR(__xludf.DUMMYFUNCTION("""COMPUTED_VALUE"""),"")</f>
        <v/>
      </c>
      <c r="G3375" s="18"/>
      <c r="H3375" s="16" t="s">
        <v>87</v>
      </c>
      <c r="I3375" s="16" t="s">
        <v>87</v>
      </c>
      <c r="J3375" s="19"/>
      <c r="L3375" s="16" t="str">
        <f>IFERROR(__xludf.DUMMYFUNCTION("""COMPUTED_VALUE"""),"")</f>
        <v/>
      </c>
      <c r="M3375" s="16" t="str">
        <f>IFERROR(__xludf.DUMMYFUNCTION("""COMPUTED_VALUE"""),"")</f>
        <v/>
      </c>
      <c r="U3375" s="16" t="s">
        <v>87</v>
      </c>
      <c r="V3375" s="16" t="str">
        <f>IFERROR(__xludf.DUMMYFUNCTION("""COMPUTED_VALUE"""),"")</f>
        <v/>
      </c>
      <c r="W3375" s="16" t="str">
        <f>IFERROR(__xludf.DUMMYFUNCTION("""COMPUTED_VALUE"""),"")</f>
        <v/>
      </c>
      <c r="X3375" s="16" t="str">
        <f>IFERROR(__xludf.DUMMYFUNCTION("""COMPUTED_VALUE"""),"")</f>
        <v/>
      </c>
      <c r="AC3375" s="16" t="str">
        <f>IFERROR(__xludf.DUMMYFUNCTION("""COMPUTED_VALUE"""),"")</f>
        <v/>
      </c>
    </row>
    <row r="3376">
      <c r="A3376" s="16" t="s">
        <v>87</v>
      </c>
      <c r="E3376" s="16" t="str">
        <f>IFERROR(__xludf.DUMMYFUNCTION("""COMPUTED_VALUE"""),"")</f>
        <v/>
      </c>
      <c r="G3376" s="18"/>
      <c r="H3376" s="16" t="s">
        <v>87</v>
      </c>
      <c r="I3376" s="16" t="s">
        <v>87</v>
      </c>
      <c r="J3376" s="19"/>
      <c r="L3376" s="16" t="str">
        <f>IFERROR(__xludf.DUMMYFUNCTION("""COMPUTED_VALUE"""),"")</f>
        <v/>
      </c>
      <c r="M3376" s="16" t="str">
        <f>IFERROR(__xludf.DUMMYFUNCTION("""COMPUTED_VALUE"""),"")</f>
        <v/>
      </c>
      <c r="U3376" s="16" t="s">
        <v>87</v>
      </c>
      <c r="V3376" s="16" t="str">
        <f>IFERROR(__xludf.DUMMYFUNCTION("""COMPUTED_VALUE"""),"")</f>
        <v/>
      </c>
      <c r="W3376" s="16" t="str">
        <f>IFERROR(__xludf.DUMMYFUNCTION("""COMPUTED_VALUE"""),"")</f>
        <v/>
      </c>
      <c r="X3376" s="16" t="str">
        <f>IFERROR(__xludf.DUMMYFUNCTION("""COMPUTED_VALUE"""),"")</f>
        <v/>
      </c>
      <c r="AC3376" s="16" t="str">
        <f>IFERROR(__xludf.DUMMYFUNCTION("""COMPUTED_VALUE"""),"")</f>
        <v/>
      </c>
    </row>
    <row r="3377">
      <c r="A3377" s="16" t="s">
        <v>87</v>
      </c>
      <c r="E3377" s="16" t="str">
        <f>IFERROR(__xludf.DUMMYFUNCTION("""COMPUTED_VALUE"""),"")</f>
        <v/>
      </c>
      <c r="G3377" s="18"/>
      <c r="H3377" s="16" t="s">
        <v>87</v>
      </c>
      <c r="I3377" s="16" t="s">
        <v>87</v>
      </c>
      <c r="J3377" s="19"/>
      <c r="L3377" s="16" t="str">
        <f>IFERROR(__xludf.DUMMYFUNCTION("""COMPUTED_VALUE"""),"")</f>
        <v/>
      </c>
      <c r="M3377" s="16" t="str">
        <f>IFERROR(__xludf.DUMMYFUNCTION("""COMPUTED_VALUE"""),"")</f>
        <v/>
      </c>
      <c r="U3377" s="16" t="s">
        <v>87</v>
      </c>
      <c r="V3377" s="16" t="str">
        <f>IFERROR(__xludf.DUMMYFUNCTION("""COMPUTED_VALUE"""),"")</f>
        <v/>
      </c>
      <c r="W3377" s="16" t="str">
        <f>IFERROR(__xludf.DUMMYFUNCTION("""COMPUTED_VALUE"""),"")</f>
        <v/>
      </c>
      <c r="X3377" s="16" t="str">
        <f>IFERROR(__xludf.DUMMYFUNCTION("""COMPUTED_VALUE"""),"")</f>
        <v/>
      </c>
      <c r="AC3377" s="16" t="str">
        <f>IFERROR(__xludf.DUMMYFUNCTION("""COMPUTED_VALUE"""),"")</f>
        <v/>
      </c>
    </row>
    <row r="3378">
      <c r="A3378" s="16" t="s">
        <v>87</v>
      </c>
      <c r="E3378" s="16" t="str">
        <f>IFERROR(__xludf.DUMMYFUNCTION("""COMPUTED_VALUE"""),"")</f>
        <v/>
      </c>
      <c r="G3378" s="18"/>
      <c r="H3378" s="16" t="s">
        <v>87</v>
      </c>
      <c r="I3378" s="16" t="s">
        <v>87</v>
      </c>
      <c r="J3378" s="19"/>
      <c r="L3378" s="16" t="str">
        <f>IFERROR(__xludf.DUMMYFUNCTION("""COMPUTED_VALUE"""),"")</f>
        <v/>
      </c>
      <c r="M3378" s="16" t="str">
        <f>IFERROR(__xludf.DUMMYFUNCTION("""COMPUTED_VALUE"""),"")</f>
        <v/>
      </c>
      <c r="U3378" s="16" t="s">
        <v>87</v>
      </c>
      <c r="V3378" s="16" t="str">
        <f>IFERROR(__xludf.DUMMYFUNCTION("""COMPUTED_VALUE"""),"")</f>
        <v/>
      </c>
      <c r="W3378" s="16" t="str">
        <f>IFERROR(__xludf.DUMMYFUNCTION("""COMPUTED_VALUE"""),"")</f>
        <v/>
      </c>
      <c r="X3378" s="16" t="str">
        <f>IFERROR(__xludf.DUMMYFUNCTION("""COMPUTED_VALUE"""),"")</f>
        <v/>
      </c>
      <c r="AC3378" s="16" t="str">
        <f>IFERROR(__xludf.DUMMYFUNCTION("""COMPUTED_VALUE"""),"")</f>
        <v/>
      </c>
    </row>
    <row r="3379">
      <c r="A3379" s="16" t="s">
        <v>87</v>
      </c>
      <c r="E3379" s="16" t="str">
        <f>IFERROR(__xludf.DUMMYFUNCTION("""COMPUTED_VALUE"""),"")</f>
        <v/>
      </c>
      <c r="G3379" s="18"/>
      <c r="H3379" s="16" t="s">
        <v>87</v>
      </c>
      <c r="I3379" s="16" t="s">
        <v>87</v>
      </c>
      <c r="J3379" s="19"/>
      <c r="L3379" s="16" t="str">
        <f>IFERROR(__xludf.DUMMYFUNCTION("""COMPUTED_VALUE"""),"")</f>
        <v/>
      </c>
      <c r="M3379" s="16" t="str">
        <f>IFERROR(__xludf.DUMMYFUNCTION("""COMPUTED_VALUE"""),"")</f>
        <v/>
      </c>
      <c r="U3379" s="16" t="s">
        <v>87</v>
      </c>
      <c r="V3379" s="16" t="str">
        <f>IFERROR(__xludf.DUMMYFUNCTION("""COMPUTED_VALUE"""),"")</f>
        <v/>
      </c>
      <c r="W3379" s="16" t="str">
        <f>IFERROR(__xludf.DUMMYFUNCTION("""COMPUTED_VALUE"""),"")</f>
        <v/>
      </c>
      <c r="X3379" s="16" t="str">
        <f>IFERROR(__xludf.DUMMYFUNCTION("""COMPUTED_VALUE"""),"")</f>
        <v/>
      </c>
      <c r="AC3379" s="16" t="str">
        <f>IFERROR(__xludf.DUMMYFUNCTION("""COMPUTED_VALUE"""),"")</f>
        <v/>
      </c>
    </row>
    <row r="3380">
      <c r="A3380" s="16" t="s">
        <v>87</v>
      </c>
      <c r="E3380" s="16" t="str">
        <f>IFERROR(__xludf.DUMMYFUNCTION("""COMPUTED_VALUE"""),"")</f>
        <v/>
      </c>
      <c r="G3380" s="18"/>
      <c r="H3380" s="16" t="s">
        <v>87</v>
      </c>
      <c r="I3380" s="16" t="s">
        <v>87</v>
      </c>
      <c r="J3380" s="19"/>
      <c r="L3380" s="16" t="str">
        <f>IFERROR(__xludf.DUMMYFUNCTION("""COMPUTED_VALUE"""),"")</f>
        <v/>
      </c>
      <c r="M3380" s="16" t="str">
        <f>IFERROR(__xludf.DUMMYFUNCTION("""COMPUTED_VALUE"""),"")</f>
        <v/>
      </c>
      <c r="U3380" s="16" t="s">
        <v>87</v>
      </c>
      <c r="V3380" s="16" t="str">
        <f>IFERROR(__xludf.DUMMYFUNCTION("""COMPUTED_VALUE"""),"")</f>
        <v/>
      </c>
      <c r="W3380" s="16" t="str">
        <f>IFERROR(__xludf.DUMMYFUNCTION("""COMPUTED_VALUE"""),"")</f>
        <v/>
      </c>
      <c r="X3380" s="16" t="str">
        <f>IFERROR(__xludf.DUMMYFUNCTION("""COMPUTED_VALUE"""),"")</f>
        <v/>
      </c>
      <c r="AC3380" s="16" t="str">
        <f>IFERROR(__xludf.DUMMYFUNCTION("""COMPUTED_VALUE"""),"")</f>
        <v/>
      </c>
    </row>
    <row r="3381">
      <c r="A3381" s="16" t="s">
        <v>87</v>
      </c>
      <c r="E3381" s="16" t="str">
        <f>IFERROR(__xludf.DUMMYFUNCTION("""COMPUTED_VALUE"""),"")</f>
        <v/>
      </c>
      <c r="G3381" s="18"/>
      <c r="H3381" s="16" t="s">
        <v>87</v>
      </c>
      <c r="I3381" s="16" t="s">
        <v>87</v>
      </c>
      <c r="J3381" s="19"/>
      <c r="L3381" s="16" t="str">
        <f>IFERROR(__xludf.DUMMYFUNCTION("""COMPUTED_VALUE"""),"")</f>
        <v/>
      </c>
      <c r="M3381" s="16" t="str">
        <f>IFERROR(__xludf.DUMMYFUNCTION("""COMPUTED_VALUE"""),"")</f>
        <v/>
      </c>
      <c r="U3381" s="16" t="s">
        <v>87</v>
      </c>
      <c r="V3381" s="16" t="str">
        <f>IFERROR(__xludf.DUMMYFUNCTION("""COMPUTED_VALUE"""),"")</f>
        <v/>
      </c>
      <c r="W3381" s="16" t="str">
        <f>IFERROR(__xludf.DUMMYFUNCTION("""COMPUTED_VALUE"""),"")</f>
        <v/>
      </c>
      <c r="X3381" s="16" t="str">
        <f>IFERROR(__xludf.DUMMYFUNCTION("""COMPUTED_VALUE"""),"")</f>
        <v/>
      </c>
      <c r="AC3381" s="16" t="str">
        <f>IFERROR(__xludf.DUMMYFUNCTION("""COMPUTED_VALUE"""),"")</f>
        <v/>
      </c>
    </row>
    <row r="3382">
      <c r="A3382" s="16" t="s">
        <v>87</v>
      </c>
      <c r="E3382" s="16" t="str">
        <f>IFERROR(__xludf.DUMMYFUNCTION("""COMPUTED_VALUE"""),"")</f>
        <v/>
      </c>
      <c r="G3382" s="18"/>
      <c r="H3382" s="16" t="s">
        <v>87</v>
      </c>
      <c r="I3382" s="16" t="s">
        <v>87</v>
      </c>
      <c r="J3382" s="19"/>
      <c r="L3382" s="16" t="str">
        <f>IFERROR(__xludf.DUMMYFUNCTION("""COMPUTED_VALUE"""),"")</f>
        <v/>
      </c>
      <c r="M3382" s="16" t="str">
        <f>IFERROR(__xludf.DUMMYFUNCTION("""COMPUTED_VALUE"""),"")</f>
        <v/>
      </c>
      <c r="U3382" s="16" t="s">
        <v>87</v>
      </c>
      <c r="V3382" s="16" t="str">
        <f>IFERROR(__xludf.DUMMYFUNCTION("""COMPUTED_VALUE"""),"")</f>
        <v/>
      </c>
      <c r="W3382" s="16" t="str">
        <f>IFERROR(__xludf.DUMMYFUNCTION("""COMPUTED_VALUE"""),"")</f>
        <v/>
      </c>
      <c r="X3382" s="16" t="str">
        <f>IFERROR(__xludf.DUMMYFUNCTION("""COMPUTED_VALUE"""),"")</f>
        <v/>
      </c>
      <c r="AC3382" s="16" t="str">
        <f>IFERROR(__xludf.DUMMYFUNCTION("""COMPUTED_VALUE"""),"")</f>
        <v/>
      </c>
    </row>
    <row r="3383">
      <c r="A3383" s="16" t="s">
        <v>87</v>
      </c>
      <c r="E3383" s="16" t="str">
        <f>IFERROR(__xludf.DUMMYFUNCTION("""COMPUTED_VALUE"""),"")</f>
        <v/>
      </c>
      <c r="G3383" s="18"/>
      <c r="H3383" s="16" t="s">
        <v>87</v>
      </c>
      <c r="I3383" s="16" t="s">
        <v>87</v>
      </c>
      <c r="J3383" s="19"/>
      <c r="L3383" s="16" t="str">
        <f>IFERROR(__xludf.DUMMYFUNCTION("""COMPUTED_VALUE"""),"")</f>
        <v/>
      </c>
      <c r="M3383" s="16" t="str">
        <f>IFERROR(__xludf.DUMMYFUNCTION("""COMPUTED_VALUE"""),"")</f>
        <v/>
      </c>
      <c r="U3383" s="16" t="s">
        <v>87</v>
      </c>
      <c r="V3383" s="16" t="str">
        <f>IFERROR(__xludf.DUMMYFUNCTION("""COMPUTED_VALUE"""),"")</f>
        <v/>
      </c>
      <c r="W3383" s="16" t="str">
        <f>IFERROR(__xludf.DUMMYFUNCTION("""COMPUTED_VALUE"""),"")</f>
        <v/>
      </c>
      <c r="X3383" s="16" t="str">
        <f>IFERROR(__xludf.DUMMYFUNCTION("""COMPUTED_VALUE"""),"")</f>
        <v/>
      </c>
      <c r="AC3383" s="16" t="str">
        <f>IFERROR(__xludf.DUMMYFUNCTION("""COMPUTED_VALUE"""),"")</f>
        <v/>
      </c>
    </row>
    <row r="3384">
      <c r="A3384" s="16" t="s">
        <v>87</v>
      </c>
      <c r="E3384" s="16" t="str">
        <f>IFERROR(__xludf.DUMMYFUNCTION("""COMPUTED_VALUE"""),"")</f>
        <v/>
      </c>
      <c r="G3384" s="18"/>
      <c r="H3384" s="16" t="s">
        <v>87</v>
      </c>
      <c r="I3384" s="16" t="s">
        <v>87</v>
      </c>
      <c r="J3384" s="19"/>
      <c r="L3384" s="16" t="str">
        <f>IFERROR(__xludf.DUMMYFUNCTION("""COMPUTED_VALUE"""),"")</f>
        <v/>
      </c>
      <c r="M3384" s="16" t="str">
        <f>IFERROR(__xludf.DUMMYFUNCTION("""COMPUTED_VALUE"""),"")</f>
        <v/>
      </c>
      <c r="U3384" s="16" t="s">
        <v>87</v>
      </c>
      <c r="V3384" s="16" t="str">
        <f>IFERROR(__xludf.DUMMYFUNCTION("""COMPUTED_VALUE"""),"")</f>
        <v/>
      </c>
      <c r="W3384" s="16" t="str">
        <f>IFERROR(__xludf.DUMMYFUNCTION("""COMPUTED_VALUE"""),"")</f>
        <v/>
      </c>
      <c r="X3384" s="16" t="str">
        <f>IFERROR(__xludf.DUMMYFUNCTION("""COMPUTED_VALUE"""),"")</f>
        <v/>
      </c>
      <c r="AC3384" s="16" t="str">
        <f>IFERROR(__xludf.DUMMYFUNCTION("""COMPUTED_VALUE"""),"")</f>
        <v/>
      </c>
    </row>
    <row r="3385">
      <c r="A3385" s="16" t="s">
        <v>87</v>
      </c>
      <c r="E3385" s="16" t="str">
        <f>IFERROR(__xludf.DUMMYFUNCTION("""COMPUTED_VALUE"""),"")</f>
        <v/>
      </c>
      <c r="G3385" s="18"/>
      <c r="H3385" s="16" t="s">
        <v>87</v>
      </c>
      <c r="I3385" s="16" t="s">
        <v>87</v>
      </c>
      <c r="J3385" s="19"/>
      <c r="L3385" s="16" t="str">
        <f>IFERROR(__xludf.DUMMYFUNCTION("""COMPUTED_VALUE"""),"")</f>
        <v/>
      </c>
      <c r="M3385" s="16" t="str">
        <f>IFERROR(__xludf.DUMMYFUNCTION("""COMPUTED_VALUE"""),"")</f>
        <v/>
      </c>
      <c r="U3385" s="16" t="s">
        <v>87</v>
      </c>
      <c r="V3385" s="16" t="str">
        <f>IFERROR(__xludf.DUMMYFUNCTION("""COMPUTED_VALUE"""),"")</f>
        <v/>
      </c>
      <c r="W3385" s="16" t="str">
        <f>IFERROR(__xludf.DUMMYFUNCTION("""COMPUTED_VALUE"""),"")</f>
        <v/>
      </c>
      <c r="X3385" s="16" t="str">
        <f>IFERROR(__xludf.DUMMYFUNCTION("""COMPUTED_VALUE"""),"")</f>
        <v/>
      </c>
      <c r="AC3385" s="16" t="str">
        <f>IFERROR(__xludf.DUMMYFUNCTION("""COMPUTED_VALUE"""),"")</f>
        <v/>
      </c>
    </row>
    <row r="3386">
      <c r="A3386" s="16" t="s">
        <v>87</v>
      </c>
      <c r="E3386" s="16" t="str">
        <f>IFERROR(__xludf.DUMMYFUNCTION("""COMPUTED_VALUE"""),"")</f>
        <v/>
      </c>
      <c r="G3386" s="18"/>
      <c r="H3386" s="16" t="s">
        <v>87</v>
      </c>
      <c r="I3386" s="16" t="s">
        <v>87</v>
      </c>
      <c r="J3386" s="19"/>
      <c r="L3386" s="16" t="str">
        <f>IFERROR(__xludf.DUMMYFUNCTION("""COMPUTED_VALUE"""),"")</f>
        <v/>
      </c>
      <c r="M3386" s="16" t="str">
        <f>IFERROR(__xludf.DUMMYFUNCTION("""COMPUTED_VALUE"""),"")</f>
        <v/>
      </c>
      <c r="U3386" s="16" t="s">
        <v>87</v>
      </c>
      <c r="V3386" s="16" t="str">
        <f>IFERROR(__xludf.DUMMYFUNCTION("""COMPUTED_VALUE"""),"")</f>
        <v/>
      </c>
      <c r="W3386" s="16" t="str">
        <f>IFERROR(__xludf.DUMMYFUNCTION("""COMPUTED_VALUE"""),"")</f>
        <v/>
      </c>
      <c r="X3386" s="16" t="str">
        <f>IFERROR(__xludf.DUMMYFUNCTION("""COMPUTED_VALUE"""),"")</f>
        <v/>
      </c>
      <c r="AC3386" s="16" t="str">
        <f>IFERROR(__xludf.DUMMYFUNCTION("""COMPUTED_VALUE"""),"")</f>
        <v/>
      </c>
    </row>
    <row r="3387">
      <c r="A3387" s="16" t="s">
        <v>87</v>
      </c>
      <c r="E3387" s="16" t="str">
        <f>IFERROR(__xludf.DUMMYFUNCTION("""COMPUTED_VALUE"""),"")</f>
        <v/>
      </c>
      <c r="G3387" s="18"/>
      <c r="H3387" s="16" t="s">
        <v>87</v>
      </c>
      <c r="I3387" s="16" t="s">
        <v>87</v>
      </c>
      <c r="J3387" s="19"/>
      <c r="L3387" s="16" t="str">
        <f>IFERROR(__xludf.DUMMYFUNCTION("""COMPUTED_VALUE"""),"")</f>
        <v/>
      </c>
      <c r="M3387" s="16" t="str">
        <f>IFERROR(__xludf.DUMMYFUNCTION("""COMPUTED_VALUE"""),"")</f>
        <v/>
      </c>
      <c r="U3387" s="16" t="s">
        <v>87</v>
      </c>
      <c r="V3387" s="16" t="str">
        <f>IFERROR(__xludf.DUMMYFUNCTION("""COMPUTED_VALUE"""),"")</f>
        <v/>
      </c>
      <c r="W3387" s="16" t="str">
        <f>IFERROR(__xludf.DUMMYFUNCTION("""COMPUTED_VALUE"""),"")</f>
        <v/>
      </c>
      <c r="X3387" s="16" t="str">
        <f>IFERROR(__xludf.DUMMYFUNCTION("""COMPUTED_VALUE"""),"")</f>
        <v/>
      </c>
      <c r="AC3387" s="16" t="str">
        <f>IFERROR(__xludf.DUMMYFUNCTION("""COMPUTED_VALUE"""),"")</f>
        <v/>
      </c>
    </row>
    <row r="3388">
      <c r="A3388" s="16" t="s">
        <v>87</v>
      </c>
      <c r="E3388" s="16" t="str">
        <f>IFERROR(__xludf.DUMMYFUNCTION("""COMPUTED_VALUE"""),"")</f>
        <v/>
      </c>
      <c r="G3388" s="18"/>
      <c r="H3388" s="16" t="s">
        <v>87</v>
      </c>
      <c r="I3388" s="16" t="s">
        <v>87</v>
      </c>
      <c r="J3388" s="19"/>
      <c r="L3388" s="16" t="str">
        <f>IFERROR(__xludf.DUMMYFUNCTION("""COMPUTED_VALUE"""),"")</f>
        <v/>
      </c>
      <c r="M3388" s="16" t="str">
        <f>IFERROR(__xludf.DUMMYFUNCTION("""COMPUTED_VALUE"""),"")</f>
        <v/>
      </c>
      <c r="U3388" s="16" t="s">
        <v>87</v>
      </c>
      <c r="V3388" s="16" t="str">
        <f>IFERROR(__xludf.DUMMYFUNCTION("""COMPUTED_VALUE"""),"")</f>
        <v/>
      </c>
      <c r="W3388" s="16" t="str">
        <f>IFERROR(__xludf.DUMMYFUNCTION("""COMPUTED_VALUE"""),"")</f>
        <v/>
      </c>
      <c r="X3388" s="16" t="str">
        <f>IFERROR(__xludf.DUMMYFUNCTION("""COMPUTED_VALUE"""),"")</f>
        <v/>
      </c>
      <c r="AC3388" s="16" t="str">
        <f>IFERROR(__xludf.DUMMYFUNCTION("""COMPUTED_VALUE"""),"")</f>
        <v/>
      </c>
    </row>
    <row r="3389">
      <c r="A3389" s="16" t="s">
        <v>87</v>
      </c>
      <c r="E3389" s="16" t="str">
        <f>IFERROR(__xludf.DUMMYFUNCTION("""COMPUTED_VALUE"""),"")</f>
        <v/>
      </c>
      <c r="G3389" s="18"/>
      <c r="H3389" s="16" t="s">
        <v>87</v>
      </c>
      <c r="I3389" s="16" t="s">
        <v>87</v>
      </c>
      <c r="J3389" s="19"/>
      <c r="L3389" s="16" t="str">
        <f>IFERROR(__xludf.DUMMYFUNCTION("""COMPUTED_VALUE"""),"")</f>
        <v/>
      </c>
      <c r="M3389" s="16" t="str">
        <f>IFERROR(__xludf.DUMMYFUNCTION("""COMPUTED_VALUE"""),"")</f>
        <v/>
      </c>
      <c r="U3389" s="16" t="s">
        <v>87</v>
      </c>
      <c r="V3389" s="16" t="str">
        <f>IFERROR(__xludf.DUMMYFUNCTION("""COMPUTED_VALUE"""),"")</f>
        <v/>
      </c>
      <c r="W3389" s="16" t="str">
        <f>IFERROR(__xludf.DUMMYFUNCTION("""COMPUTED_VALUE"""),"")</f>
        <v/>
      </c>
      <c r="X3389" s="16" t="str">
        <f>IFERROR(__xludf.DUMMYFUNCTION("""COMPUTED_VALUE"""),"")</f>
        <v/>
      </c>
      <c r="AC3389" s="16" t="str">
        <f>IFERROR(__xludf.DUMMYFUNCTION("""COMPUTED_VALUE"""),"")</f>
        <v/>
      </c>
    </row>
    <row r="3390">
      <c r="A3390" s="16" t="s">
        <v>87</v>
      </c>
      <c r="E3390" s="16" t="str">
        <f>IFERROR(__xludf.DUMMYFUNCTION("""COMPUTED_VALUE"""),"")</f>
        <v/>
      </c>
      <c r="G3390" s="18"/>
      <c r="H3390" s="16" t="s">
        <v>87</v>
      </c>
      <c r="I3390" s="16" t="s">
        <v>87</v>
      </c>
      <c r="J3390" s="19"/>
      <c r="L3390" s="16" t="str">
        <f>IFERROR(__xludf.DUMMYFUNCTION("""COMPUTED_VALUE"""),"")</f>
        <v/>
      </c>
      <c r="M3390" s="16" t="str">
        <f>IFERROR(__xludf.DUMMYFUNCTION("""COMPUTED_VALUE"""),"")</f>
        <v/>
      </c>
      <c r="U3390" s="16" t="s">
        <v>87</v>
      </c>
      <c r="V3390" s="16" t="str">
        <f>IFERROR(__xludf.DUMMYFUNCTION("""COMPUTED_VALUE"""),"")</f>
        <v/>
      </c>
      <c r="W3390" s="16" t="str">
        <f>IFERROR(__xludf.DUMMYFUNCTION("""COMPUTED_VALUE"""),"")</f>
        <v/>
      </c>
      <c r="X3390" s="16" t="str">
        <f>IFERROR(__xludf.DUMMYFUNCTION("""COMPUTED_VALUE"""),"")</f>
        <v/>
      </c>
      <c r="AC3390" s="16" t="str">
        <f>IFERROR(__xludf.DUMMYFUNCTION("""COMPUTED_VALUE"""),"")</f>
        <v/>
      </c>
    </row>
    <row r="3391">
      <c r="A3391" s="16" t="s">
        <v>87</v>
      </c>
      <c r="E3391" s="16" t="str">
        <f>IFERROR(__xludf.DUMMYFUNCTION("""COMPUTED_VALUE"""),"")</f>
        <v/>
      </c>
      <c r="G3391" s="18"/>
      <c r="H3391" s="16" t="s">
        <v>87</v>
      </c>
      <c r="I3391" s="16" t="s">
        <v>87</v>
      </c>
      <c r="J3391" s="19"/>
      <c r="L3391" s="16" t="str">
        <f>IFERROR(__xludf.DUMMYFUNCTION("""COMPUTED_VALUE"""),"")</f>
        <v/>
      </c>
      <c r="M3391" s="16" t="str">
        <f>IFERROR(__xludf.DUMMYFUNCTION("""COMPUTED_VALUE"""),"")</f>
        <v/>
      </c>
      <c r="U3391" s="16" t="s">
        <v>87</v>
      </c>
      <c r="V3391" s="16" t="str">
        <f>IFERROR(__xludf.DUMMYFUNCTION("""COMPUTED_VALUE"""),"")</f>
        <v/>
      </c>
      <c r="W3391" s="16" t="str">
        <f>IFERROR(__xludf.DUMMYFUNCTION("""COMPUTED_VALUE"""),"")</f>
        <v/>
      </c>
      <c r="X3391" s="16" t="str">
        <f>IFERROR(__xludf.DUMMYFUNCTION("""COMPUTED_VALUE"""),"")</f>
        <v/>
      </c>
      <c r="AC3391" s="16" t="str">
        <f>IFERROR(__xludf.DUMMYFUNCTION("""COMPUTED_VALUE"""),"")</f>
        <v/>
      </c>
    </row>
    <row r="3392">
      <c r="A3392" s="16" t="s">
        <v>87</v>
      </c>
      <c r="E3392" s="16" t="str">
        <f>IFERROR(__xludf.DUMMYFUNCTION("""COMPUTED_VALUE"""),"")</f>
        <v/>
      </c>
      <c r="G3392" s="18"/>
      <c r="H3392" s="16" t="s">
        <v>87</v>
      </c>
      <c r="I3392" s="16" t="s">
        <v>87</v>
      </c>
      <c r="J3392" s="19"/>
      <c r="L3392" s="16" t="str">
        <f>IFERROR(__xludf.DUMMYFUNCTION("""COMPUTED_VALUE"""),"")</f>
        <v/>
      </c>
      <c r="M3392" s="16" t="str">
        <f>IFERROR(__xludf.DUMMYFUNCTION("""COMPUTED_VALUE"""),"")</f>
        <v/>
      </c>
      <c r="U3392" s="16" t="s">
        <v>87</v>
      </c>
      <c r="V3392" s="16" t="str">
        <f>IFERROR(__xludf.DUMMYFUNCTION("""COMPUTED_VALUE"""),"")</f>
        <v/>
      </c>
      <c r="W3392" s="16" t="str">
        <f>IFERROR(__xludf.DUMMYFUNCTION("""COMPUTED_VALUE"""),"")</f>
        <v/>
      </c>
      <c r="X3392" s="16" t="str">
        <f>IFERROR(__xludf.DUMMYFUNCTION("""COMPUTED_VALUE"""),"")</f>
        <v/>
      </c>
      <c r="AC3392" s="16" t="str">
        <f>IFERROR(__xludf.DUMMYFUNCTION("""COMPUTED_VALUE"""),"")</f>
        <v/>
      </c>
    </row>
    <row r="3393">
      <c r="A3393" s="16" t="s">
        <v>87</v>
      </c>
      <c r="E3393" s="16" t="str">
        <f>IFERROR(__xludf.DUMMYFUNCTION("""COMPUTED_VALUE"""),"")</f>
        <v/>
      </c>
      <c r="G3393" s="18"/>
      <c r="H3393" s="16" t="s">
        <v>87</v>
      </c>
      <c r="I3393" s="16" t="s">
        <v>87</v>
      </c>
      <c r="J3393" s="19"/>
      <c r="L3393" s="16" t="str">
        <f>IFERROR(__xludf.DUMMYFUNCTION("""COMPUTED_VALUE"""),"")</f>
        <v/>
      </c>
      <c r="M3393" s="16" t="str">
        <f>IFERROR(__xludf.DUMMYFUNCTION("""COMPUTED_VALUE"""),"")</f>
        <v/>
      </c>
      <c r="U3393" s="16" t="s">
        <v>87</v>
      </c>
      <c r="V3393" s="16" t="str">
        <f>IFERROR(__xludf.DUMMYFUNCTION("""COMPUTED_VALUE"""),"")</f>
        <v/>
      </c>
      <c r="W3393" s="16" t="str">
        <f>IFERROR(__xludf.DUMMYFUNCTION("""COMPUTED_VALUE"""),"")</f>
        <v/>
      </c>
      <c r="X3393" s="16" t="str">
        <f>IFERROR(__xludf.DUMMYFUNCTION("""COMPUTED_VALUE"""),"")</f>
        <v/>
      </c>
      <c r="AC3393" s="16" t="str">
        <f>IFERROR(__xludf.DUMMYFUNCTION("""COMPUTED_VALUE"""),"")</f>
        <v/>
      </c>
    </row>
    <row r="3394">
      <c r="A3394" s="16" t="s">
        <v>87</v>
      </c>
      <c r="E3394" s="16" t="str">
        <f>IFERROR(__xludf.DUMMYFUNCTION("""COMPUTED_VALUE"""),"")</f>
        <v/>
      </c>
      <c r="G3394" s="18"/>
      <c r="H3394" s="16" t="s">
        <v>87</v>
      </c>
      <c r="I3394" s="16" t="s">
        <v>87</v>
      </c>
      <c r="J3394" s="19"/>
      <c r="L3394" s="16" t="str">
        <f>IFERROR(__xludf.DUMMYFUNCTION("""COMPUTED_VALUE"""),"")</f>
        <v/>
      </c>
      <c r="M3394" s="16" t="str">
        <f>IFERROR(__xludf.DUMMYFUNCTION("""COMPUTED_VALUE"""),"")</f>
        <v/>
      </c>
      <c r="U3394" s="16" t="s">
        <v>87</v>
      </c>
      <c r="V3394" s="16" t="str">
        <f>IFERROR(__xludf.DUMMYFUNCTION("""COMPUTED_VALUE"""),"")</f>
        <v/>
      </c>
      <c r="W3394" s="16" t="str">
        <f>IFERROR(__xludf.DUMMYFUNCTION("""COMPUTED_VALUE"""),"")</f>
        <v/>
      </c>
      <c r="X3394" s="16" t="str">
        <f>IFERROR(__xludf.DUMMYFUNCTION("""COMPUTED_VALUE"""),"")</f>
        <v/>
      </c>
      <c r="AC3394" s="16" t="str">
        <f>IFERROR(__xludf.DUMMYFUNCTION("""COMPUTED_VALUE"""),"")</f>
        <v/>
      </c>
    </row>
    <row r="3395">
      <c r="A3395" s="16" t="s">
        <v>87</v>
      </c>
      <c r="E3395" s="16" t="str">
        <f>IFERROR(__xludf.DUMMYFUNCTION("""COMPUTED_VALUE"""),"")</f>
        <v/>
      </c>
      <c r="G3395" s="18"/>
      <c r="H3395" s="16" t="s">
        <v>87</v>
      </c>
      <c r="I3395" s="16" t="s">
        <v>87</v>
      </c>
      <c r="J3395" s="19"/>
      <c r="L3395" s="16" t="str">
        <f>IFERROR(__xludf.DUMMYFUNCTION("""COMPUTED_VALUE"""),"")</f>
        <v/>
      </c>
      <c r="M3395" s="16" t="str">
        <f>IFERROR(__xludf.DUMMYFUNCTION("""COMPUTED_VALUE"""),"")</f>
        <v/>
      </c>
      <c r="U3395" s="16" t="s">
        <v>87</v>
      </c>
      <c r="V3395" s="16" t="str">
        <f>IFERROR(__xludf.DUMMYFUNCTION("""COMPUTED_VALUE"""),"")</f>
        <v/>
      </c>
      <c r="W3395" s="16" t="str">
        <f>IFERROR(__xludf.DUMMYFUNCTION("""COMPUTED_VALUE"""),"")</f>
        <v/>
      </c>
      <c r="X3395" s="16" t="str">
        <f>IFERROR(__xludf.DUMMYFUNCTION("""COMPUTED_VALUE"""),"")</f>
        <v/>
      </c>
      <c r="AC3395" s="16" t="str">
        <f>IFERROR(__xludf.DUMMYFUNCTION("""COMPUTED_VALUE"""),"")</f>
        <v/>
      </c>
    </row>
    <row r="3396">
      <c r="A3396" s="16" t="s">
        <v>87</v>
      </c>
      <c r="E3396" s="16" t="str">
        <f>IFERROR(__xludf.DUMMYFUNCTION("""COMPUTED_VALUE"""),"")</f>
        <v/>
      </c>
      <c r="G3396" s="18"/>
      <c r="H3396" s="16" t="s">
        <v>87</v>
      </c>
      <c r="I3396" s="16" t="s">
        <v>87</v>
      </c>
      <c r="J3396" s="19"/>
      <c r="L3396" s="16" t="str">
        <f>IFERROR(__xludf.DUMMYFUNCTION("""COMPUTED_VALUE"""),"")</f>
        <v/>
      </c>
      <c r="M3396" s="16" t="str">
        <f>IFERROR(__xludf.DUMMYFUNCTION("""COMPUTED_VALUE"""),"")</f>
        <v/>
      </c>
      <c r="U3396" s="16" t="s">
        <v>87</v>
      </c>
      <c r="V3396" s="16" t="str">
        <f>IFERROR(__xludf.DUMMYFUNCTION("""COMPUTED_VALUE"""),"")</f>
        <v/>
      </c>
      <c r="W3396" s="16" t="str">
        <f>IFERROR(__xludf.DUMMYFUNCTION("""COMPUTED_VALUE"""),"")</f>
        <v/>
      </c>
      <c r="X3396" s="16" t="str">
        <f>IFERROR(__xludf.DUMMYFUNCTION("""COMPUTED_VALUE"""),"")</f>
        <v/>
      </c>
      <c r="AC3396" s="16" t="str">
        <f>IFERROR(__xludf.DUMMYFUNCTION("""COMPUTED_VALUE"""),"")</f>
        <v/>
      </c>
    </row>
    <row r="3397">
      <c r="A3397" s="16" t="s">
        <v>87</v>
      </c>
      <c r="E3397" s="16" t="str">
        <f>IFERROR(__xludf.DUMMYFUNCTION("""COMPUTED_VALUE"""),"")</f>
        <v/>
      </c>
      <c r="G3397" s="18"/>
      <c r="H3397" s="16" t="s">
        <v>87</v>
      </c>
      <c r="I3397" s="16" t="s">
        <v>87</v>
      </c>
      <c r="J3397" s="19"/>
      <c r="L3397" s="16" t="str">
        <f>IFERROR(__xludf.DUMMYFUNCTION("""COMPUTED_VALUE"""),"")</f>
        <v/>
      </c>
      <c r="M3397" s="16" t="str">
        <f>IFERROR(__xludf.DUMMYFUNCTION("""COMPUTED_VALUE"""),"")</f>
        <v/>
      </c>
      <c r="U3397" s="16" t="s">
        <v>87</v>
      </c>
      <c r="V3397" s="16" t="str">
        <f>IFERROR(__xludf.DUMMYFUNCTION("""COMPUTED_VALUE"""),"")</f>
        <v/>
      </c>
      <c r="W3397" s="16" t="str">
        <f>IFERROR(__xludf.DUMMYFUNCTION("""COMPUTED_VALUE"""),"")</f>
        <v/>
      </c>
      <c r="X3397" s="16" t="str">
        <f>IFERROR(__xludf.DUMMYFUNCTION("""COMPUTED_VALUE"""),"")</f>
        <v/>
      </c>
      <c r="AC3397" s="16" t="str">
        <f>IFERROR(__xludf.DUMMYFUNCTION("""COMPUTED_VALUE"""),"")</f>
        <v/>
      </c>
    </row>
    <row r="3398">
      <c r="A3398" s="16" t="s">
        <v>87</v>
      </c>
      <c r="E3398" s="16" t="str">
        <f>IFERROR(__xludf.DUMMYFUNCTION("""COMPUTED_VALUE"""),"")</f>
        <v/>
      </c>
      <c r="G3398" s="18"/>
      <c r="H3398" s="16" t="s">
        <v>87</v>
      </c>
      <c r="I3398" s="16" t="s">
        <v>87</v>
      </c>
      <c r="J3398" s="19"/>
      <c r="L3398" s="16" t="str">
        <f>IFERROR(__xludf.DUMMYFUNCTION("""COMPUTED_VALUE"""),"")</f>
        <v/>
      </c>
      <c r="M3398" s="16" t="str">
        <f>IFERROR(__xludf.DUMMYFUNCTION("""COMPUTED_VALUE"""),"")</f>
        <v/>
      </c>
      <c r="U3398" s="16" t="s">
        <v>87</v>
      </c>
      <c r="V3398" s="16" t="str">
        <f>IFERROR(__xludf.DUMMYFUNCTION("""COMPUTED_VALUE"""),"")</f>
        <v/>
      </c>
      <c r="W3398" s="16" t="str">
        <f>IFERROR(__xludf.DUMMYFUNCTION("""COMPUTED_VALUE"""),"")</f>
        <v/>
      </c>
      <c r="X3398" s="16" t="str">
        <f>IFERROR(__xludf.DUMMYFUNCTION("""COMPUTED_VALUE"""),"")</f>
        <v/>
      </c>
      <c r="AC3398" s="16" t="str">
        <f>IFERROR(__xludf.DUMMYFUNCTION("""COMPUTED_VALUE"""),"")</f>
        <v/>
      </c>
    </row>
    <row r="3399">
      <c r="A3399" s="16" t="s">
        <v>87</v>
      </c>
      <c r="E3399" s="16" t="str">
        <f>IFERROR(__xludf.DUMMYFUNCTION("""COMPUTED_VALUE"""),"")</f>
        <v/>
      </c>
      <c r="G3399" s="18"/>
      <c r="H3399" s="16" t="s">
        <v>87</v>
      </c>
      <c r="I3399" s="16" t="s">
        <v>87</v>
      </c>
      <c r="J3399" s="19"/>
      <c r="L3399" s="16" t="str">
        <f>IFERROR(__xludf.DUMMYFUNCTION("""COMPUTED_VALUE"""),"")</f>
        <v/>
      </c>
      <c r="M3399" s="16" t="str">
        <f>IFERROR(__xludf.DUMMYFUNCTION("""COMPUTED_VALUE"""),"")</f>
        <v/>
      </c>
      <c r="U3399" s="16" t="s">
        <v>87</v>
      </c>
      <c r="V3399" s="16" t="str">
        <f>IFERROR(__xludf.DUMMYFUNCTION("""COMPUTED_VALUE"""),"")</f>
        <v/>
      </c>
      <c r="W3399" s="16" t="str">
        <f>IFERROR(__xludf.DUMMYFUNCTION("""COMPUTED_VALUE"""),"")</f>
        <v/>
      </c>
      <c r="X3399" s="16" t="str">
        <f>IFERROR(__xludf.DUMMYFUNCTION("""COMPUTED_VALUE"""),"")</f>
        <v/>
      </c>
      <c r="AC3399" s="16" t="str">
        <f>IFERROR(__xludf.DUMMYFUNCTION("""COMPUTED_VALUE"""),"")</f>
        <v/>
      </c>
    </row>
    <row r="3400">
      <c r="A3400" s="16" t="s">
        <v>87</v>
      </c>
      <c r="E3400" s="16" t="str">
        <f>IFERROR(__xludf.DUMMYFUNCTION("""COMPUTED_VALUE"""),"")</f>
        <v/>
      </c>
      <c r="G3400" s="18"/>
      <c r="H3400" s="16" t="s">
        <v>87</v>
      </c>
      <c r="I3400" s="16" t="s">
        <v>87</v>
      </c>
      <c r="J3400" s="19"/>
      <c r="L3400" s="16" t="str">
        <f>IFERROR(__xludf.DUMMYFUNCTION("""COMPUTED_VALUE"""),"")</f>
        <v/>
      </c>
      <c r="M3400" s="16" t="str">
        <f>IFERROR(__xludf.DUMMYFUNCTION("""COMPUTED_VALUE"""),"")</f>
        <v/>
      </c>
      <c r="U3400" s="16" t="s">
        <v>87</v>
      </c>
      <c r="V3400" s="16" t="str">
        <f>IFERROR(__xludf.DUMMYFUNCTION("""COMPUTED_VALUE"""),"")</f>
        <v/>
      </c>
      <c r="W3400" s="16" t="str">
        <f>IFERROR(__xludf.DUMMYFUNCTION("""COMPUTED_VALUE"""),"")</f>
        <v/>
      </c>
      <c r="X3400" s="16" t="str">
        <f>IFERROR(__xludf.DUMMYFUNCTION("""COMPUTED_VALUE"""),"")</f>
        <v/>
      </c>
      <c r="AC3400" s="16" t="str">
        <f>IFERROR(__xludf.DUMMYFUNCTION("""COMPUTED_VALUE"""),"")</f>
        <v/>
      </c>
    </row>
    <row r="3401">
      <c r="A3401" s="16" t="s">
        <v>87</v>
      </c>
      <c r="E3401" s="16" t="str">
        <f>IFERROR(__xludf.DUMMYFUNCTION("""COMPUTED_VALUE"""),"")</f>
        <v/>
      </c>
      <c r="G3401" s="18"/>
      <c r="H3401" s="16" t="s">
        <v>87</v>
      </c>
      <c r="I3401" s="16" t="s">
        <v>87</v>
      </c>
      <c r="J3401" s="19"/>
      <c r="L3401" s="16" t="str">
        <f>IFERROR(__xludf.DUMMYFUNCTION("""COMPUTED_VALUE"""),"")</f>
        <v/>
      </c>
      <c r="M3401" s="16" t="str">
        <f>IFERROR(__xludf.DUMMYFUNCTION("""COMPUTED_VALUE"""),"")</f>
        <v/>
      </c>
      <c r="U3401" s="16" t="s">
        <v>87</v>
      </c>
      <c r="V3401" s="16" t="str">
        <f>IFERROR(__xludf.DUMMYFUNCTION("""COMPUTED_VALUE"""),"")</f>
        <v/>
      </c>
      <c r="W3401" s="16" t="str">
        <f>IFERROR(__xludf.DUMMYFUNCTION("""COMPUTED_VALUE"""),"")</f>
        <v/>
      </c>
      <c r="X3401" s="16" t="str">
        <f>IFERROR(__xludf.DUMMYFUNCTION("""COMPUTED_VALUE"""),"")</f>
        <v/>
      </c>
      <c r="AC3401" s="16" t="str">
        <f>IFERROR(__xludf.DUMMYFUNCTION("""COMPUTED_VALUE"""),"")</f>
        <v/>
      </c>
    </row>
    <row r="3402">
      <c r="A3402" s="16" t="s">
        <v>87</v>
      </c>
      <c r="E3402" s="16" t="str">
        <f>IFERROR(__xludf.DUMMYFUNCTION("""COMPUTED_VALUE"""),"")</f>
        <v/>
      </c>
      <c r="G3402" s="18"/>
      <c r="H3402" s="16" t="s">
        <v>87</v>
      </c>
      <c r="I3402" s="16" t="s">
        <v>87</v>
      </c>
      <c r="J3402" s="19"/>
      <c r="L3402" s="16" t="str">
        <f>IFERROR(__xludf.DUMMYFUNCTION("""COMPUTED_VALUE"""),"")</f>
        <v/>
      </c>
      <c r="M3402" s="16" t="str">
        <f>IFERROR(__xludf.DUMMYFUNCTION("""COMPUTED_VALUE"""),"")</f>
        <v/>
      </c>
      <c r="U3402" s="16" t="s">
        <v>87</v>
      </c>
      <c r="V3402" s="16" t="str">
        <f>IFERROR(__xludf.DUMMYFUNCTION("""COMPUTED_VALUE"""),"")</f>
        <v/>
      </c>
      <c r="W3402" s="16" t="str">
        <f>IFERROR(__xludf.DUMMYFUNCTION("""COMPUTED_VALUE"""),"")</f>
        <v/>
      </c>
      <c r="X3402" s="16" t="str">
        <f>IFERROR(__xludf.DUMMYFUNCTION("""COMPUTED_VALUE"""),"")</f>
        <v/>
      </c>
      <c r="AC3402" s="16" t="str">
        <f>IFERROR(__xludf.DUMMYFUNCTION("""COMPUTED_VALUE"""),"")</f>
        <v/>
      </c>
    </row>
    <row r="3403">
      <c r="A3403" s="16" t="s">
        <v>87</v>
      </c>
      <c r="E3403" s="16" t="str">
        <f>IFERROR(__xludf.DUMMYFUNCTION("""COMPUTED_VALUE"""),"")</f>
        <v/>
      </c>
      <c r="G3403" s="18"/>
      <c r="H3403" s="16" t="s">
        <v>87</v>
      </c>
      <c r="I3403" s="16" t="s">
        <v>87</v>
      </c>
      <c r="J3403" s="19"/>
      <c r="L3403" s="16" t="str">
        <f>IFERROR(__xludf.DUMMYFUNCTION("""COMPUTED_VALUE"""),"")</f>
        <v/>
      </c>
      <c r="M3403" s="16" t="str">
        <f>IFERROR(__xludf.DUMMYFUNCTION("""COMPUTED_VALUE"""),"")</f>
        <v/>
      </c>
      <c r="U3403" s="16" t="s">
        <v>87</v>
      </c>
      <c r="V3403" s="16" t="str">
        <f>IFERROR(__xludf.DUMMYFUNCTION("""COMPUTED_VALUE"""),"")</f>
        <v/>
      </c>
      <c r="W3403" s="16" t="str">
        <f>IFERROR(__xludf.DUMMYFUNCTION("""COMPUTED_VALUE"""),"")</f>
        <v/>
      </c>
      <c r="X3403" s="16" t="str">
        <f>IFERROR(__xludf.DUMMYFUNCTION("""COMPUTED_VALUE"""),"")</f>
        <v/>
      </c>
      <c r="AC3403" s="16" t="str">
        <f>IFERROR(__xludf.DUMMYFUNCTION("""COMPUTED_VALUE"""),"")</f>
        <v/>
      </c>
    </row>
    <row r="3404">
      <c r="A3404" s="16" t="s">
        <v>87</v>
      </c>
      <c r="E3404" s="16" t="str">
        <f>IFERROR(__xludf.DUMMYFUNCTION("""COMPUTED_VALUE"""),"")</f>
        <v/>
      </c>
      <c r="G3404" s="18"/>
      <c r="H3404" s="16" t="s">
        <v>87</v>
      </c>
      <c r="I3404" s="16" t="s">
        <v>87</v>
      </c>
      <c r="J3404" s="19"/>
      <c r="L3404" s="16" t="str">
        <f>IFERROR(__xludf.DUMMYFUNCTION("""COMPUTED_VALUE"""),"")</f>
        <v/>
      </c>
      <c r="M3404" s="16" t="str">
        <f>IFERROR(__xludf.DUMMYFUNCTION("""COMPUTED_VALUE"""),"")</f>
        <v/>
      </c>
      <c r="U3404" s="16" t="s">
        <v>87</v>
      </c>
      <c r="V3404" s="16" t="str">
        <f>IFERROR(__xludf.DUMMYFUNCTION("""COMPUTED_VALUE"""),"")</f>
        <v/>
      </c>
      <c r="W3404" s="16" t="str">
        <f>IFERROR(__xludf.DUMMYFUNCTION("""COMPUTED_VALUE"""),"")</f>
        <v/>
      </c>
      <c r="X3404" s="16" t="str">
        <f>IFERROR(__xludf.DUMMYFUNCTION("""COMPUTED_VALUE"""),"")</f>
        <v/>
      </c>
      <c r="AC3404" s="16" t="str">
        <f>IFERROR(__xludf.DUMMYFUNCTION("""COMPUTED_VALUE"""),"")</f>
        <v/>
      </c>
    </row>
    <row r="3405">
      <c r="A3405" s="16" t="s">
        <v>87</v>
      </c>
      <c r="E3405" s="16" t="str">
        <f>IFERROR(__xludf.DUMMYFUNCTION("""COMPUTED_VALUE"""),"")</f>
        <v/>
      </c>
      <c r="G3405" s="18"/>
      <c r="H3405" s="16" t="s">
        <v>87</v>
      </c>
      <c r="I3405" s="16" t="s">
        <v>87</v>
      </c>
      <c r="J3405" s="19"/>
      <c r="L3405" s="16" t="str">
        <f>IFERROR(__xludf.DUMMYFUNCTION("""COMPUTED_VALUE"""),"")</f>
        <v/>
      </c>
      <c r="M3405" s="16" t="str">
        <f>IFERROR(__xludf.DUMMYFUNCTION("""COMPUTED_VALUE"""),"")</f>
        <v/>
      </c>
      <c r="U3405" s="16" t="s">
        <v>87</v>
      </c>
      <c r="V3405" s="16" t="str">
        <f>IFERROR(__xludf.DUMMYFUNCTION("""COMPUTED_VALUE"""),"")</f>
        <v/>
      </c>
      <c r="W3405" s="16" t="str">
        <f>IFERROR(__xludf.DUMMYFUNCTION("""COMPUTED_VALUE"""),"")</f>
        <v/>
      </c>
      <c r="X3405" s="16" t="str">
        <f>IFERROR(__xludf.DUMMYFUNCTION("""COMPUTED_VALUE"""),"")</f>
        <v/>
      </c>
      <c r="AC3405" s="16" t="str">
        <f>IFERROR(__xludf.DUMMYFUNCTION("""COMPUTED_VALUE"""),"")</f>
        <v/>
      </c>
    </row>
    <row r="3406">
      <c r="A3406" s="16" t="s">
        <v>87</v>
      </c>
      <c r="E3406" s="16" t="str">
        <f>IFERROR(__xludf.DUMMYFUNCTION("""COMPUTED_VALUE"""),"")</f>
        <v/>
      </c>
      <c r="G3406" s="18"/>
      <c r="H3406" s="16" t="s">
        <v>87</v>
      </c>
      <c r="I3406" s="16" t="s">
        <v>87</v>
      </c>
      <c r="J3406" s="19"/>
      <c r="L3406" s="16" t="str">
        <f>IFERROR(__xludf.DUMMYFUNCTION("""COMPUTED_VALUE"""),"")</f>
        <v/>
      </c>
      <c r="M3406" s="16" t="str">
        <f>IFERROR(__xludf.DUMMYFUNCTION("""COMPUTED_VALUE"""),"")</f>
        <v/>
      </c>
      <c r="U3406" s="16" t="s">
        <v>87</v>
      </c>
      <c r="V3406" s="16" t="str">
        <f>IFERROR(__xludf.DUMMYFUNCTION("""COMPUTED_VALUE"""),"")</f>
        <v/>
      </c>
      <c r="W3406" s="16" t="str">
        <f>IFERROR(__xludf.DUMMYFUNCTION("""COMPUTED_VALUE"""),"")</f>
        <v/>
      </c>
      <c r="X3406" s="16" t="str">
        <f>IFERROR(__xludf.DUMMYFUNCTION("""COMPUTED_VALUE"""),"")</f>
        <v/>
      </c>
      <c r="AC3406" s="16" t="str">
        <f>IFERROR(__xludf.DUMMYFUNCTION("""COMPUTED_VALUE"""),"")</f>
        <v/>
      </c>
    </row>
    <row r="3407">
      <c r="A3407" s="16" t="s">
        <v>87</v>
      </c>
      <c r="E3407" s="16" t="str">
        <f>IFERROR(__xludf.DUMMYFUNCTION("""COMPUTED_VALUE"""),"")</f>
        <v/>
      </c>
      <c r="G3407" s="18"/>
      <c r="H3407" s="16" t="s">
        <v>87</v>
      </c>
      <c r="I3407" s="16" t="s">
        <v>87</v>
      </c>
      <c r="J3407" s="19"/>
      <c r="L3407" s="16" t="str">
        <f>IFERROR(__xludf.DUMMYFUNCTION("""COMPUTED_VALUE"""),"")</f>
        <v/>
      </c>
      <c r="M3407" s="16" t="str">
        <f>IFERROR(__xludf.DUMMYFUNCTION("""COMPUTED_VALUE"""),"")</f>
        <v/>
      </c>
      <c r="U3407" s="16" t="s">
        <v>87</v>
      </c>
      <c r="V3407" s="16" t="str">
        <f>IFERROR(__xludf.DUMMYFUNCTION("""COMPUTED_VALUE"""),"")</f>
        <v/>
      </c>
      <c r="W3407" s="16" t="str">
        <f>IFERROR(__xludf.DUMMYFUNCTION("""COMPUTED_VALUE"""),"")</f>
        <v/>
      </c>
      <c r="X3407" s="16" t="str">
        <f>IFERROR(__xludf.DUMMYFUNCTION("""COMPUTED_VALUE"""),"")</f>
        <v/>
      </c>
      <c r="AC3407" s="16" t="str">
        <f>IFERROR(__xludf.DUMMYFUNCTION("""COMPUTED_VALUE"""),"")</f>
        <v/>
      </c>
    </row>
    <row r="3408">
      <c r="A3408" s="16" t="s">
        <v>87</v>
      </c>
      <c r="E3408" s="16" t="str">
        <f>IFERROR(__xludf.DUMMYFUNCTION("""COMPUTED_VALUE"""),"")</f>
        <v/>
      </c>
      <c r="G3408" s="18"/>
      <c r="H3408" s="16" t="s">
        <v>87</v>
      </c>
      <c r="I3408" s="16" t="s">
        <v>87</v>
      </c>
      <c r="J3408" s="19"/>
      <c r="L3408" s="16" t="str">
        <f>IFERROR(__xludf.DUMMYFUNCTION("""COMPUTED_VALUE"""),"")</f>
        <v/>
      </c>
      <c r="M3408" s="16" t="str">
        <f>IFERROR(__xludf.DUMMYFUNCTION("""COMPUTED_VALUE"""),"")</f>
        <v/>
      </c>
      <c r="U3408" s="16" t="s">
        <v>87</v>
      </c>
      <c r="V3408" s="16" t="str">
        <f>IFERROR(__xludf.DUMMYFUNCTION("""COMPUTED_VALUE"""),"")</f>
        <v/>
      </c>
      <c r="W3408" s="16" t="str">
        <f>IFERROR(__xludf.DUMMYFUNCTION("""COMPUTED_VALUE"""),"")</f>
        <v/>
      </c>
      <c r="X3408" s="16" t="str">
        <f>IFERROR(__xludf.DUMMYFUNCTION("""COMPUTED_VALUE"""),"")</f>
        <v/>
      </c>
      <c r="AC3408" s="16" t="str">
        <f>IFERROR(__xludf.DUMMYFUNCTION("""COMPUTED_VALUE"""),"")</f>
        <v/>
      </c>
    </row>
    <row r="3409">
      <c r="A3409" s="16" t="s">
        <v>87</v>
      </c>
      <c r="E3409" s="16" t="str">
        <f>IFERROR(__xludf.DUMMYFUNCTION("""COMPUTED_VALUE"""),"")</f>
        <v/>
      </c>
      <c r="G3409" s="18"/>
      <c r="H3409" s="16" t="s">
        <v>87</v>
      </c>
      <c r="I3409" s="16" t="s">
        <v>87</v>
      </c>
      <c r="J3409" s="19"/>
      <c r="L3409" s="16" t="str">
        <f>IFERROR(__xludf.DUMMYFUNCTION("""COMPUTED_VALUE"""),"")</f>
        <v/>
      </c>
      <c r="M3409" s="16" t="str">
        <f>IFERROR(__xludf.DUMMYFUNCTION("""COMPUTED_VALUE"""),"")</f>
        <v/>
      </c>
      <c r="U3409" s="16" t="s">
        <v>87</v>
      </c>
      <c r="V3409" s="16" t="str">
        <f>IFERROR(__xludf.DUMMYFUNCTION("""COMPUTED_VALUE"""),"")</f>
        <v/>
      </c>
      <c r="W3409" s="16" t="str">
        <f>IFERROR(__xludf.DUMMYFUNCTION("""COMPUTED_VALUE"""),"")</f>
        <v/>
      </c>
      <c r="X3409" s="16" t="str">
        <f>IFERROR(__xludf.DUMMYFUNCTION("""COMPUTED_VALUE"""),"")</f>
        <v/>
      </c>
      <c r="AC3409" s="16" t="str">
        <f>IFERROR(__xludf.DUMMYFUNCTION("""COMPUTED_VALUE"""),"")</f>
        <v/>
      </c>
    </row>
    <row r="3410">
      <c r="A3410" s="16" t="s">
        <v>87</v>
      </c>
      <c r="E3410" s="16" t="str">
        <f>IFERROR(__xludf.DUMMYFUNCTION("""COMPUTED_VALUE"""),"")</f>
        <v/>
      </c>
      <c r="G3410" s="18"/>
      <c r="H3410" s="16" t="s">
        <v>87</v>
      </c>
      <c r="I3410" s="16" t="s">
        <v>87</v>
      </c>
      <c r="J3410" s="19"/>
      <c r="L3410" s="16" t="str">
        <f>IFERROR(__xludf.DUMMYFUNCTION("""COMPUTED_VALUE"""),"")</f>
        <v/>
      </c>
      <c r="M3410" s="16" t="str">
        <f>IFERROR(__xludf.DUMMYFUNCTION("""COMPUTED_VALUE"""),"")</f>
        <v/>
      </c>
      <c r="U3410" s="16" t="s">
        <v>87</v>
      </c>
      <c r="V3410" s="16" t="str">
        <f>IFERROR(__xludf.DUMMYFUNCTION("""COMPUTED_VALUE"""),"")</f>
        <v/>
      </c>
      <c r="W3410" s="16" t="str">
        <f>IFERROR(__xludf.DUMMYFUNCTION("""COMPUTED_VALUE"""),"")</f>
        <v/>
      </c>
      <c r="X3410" s="16" t="str">
        <f>IFERROR(__xludf.DUMMYFUNCTION("""COMPUTED_VALUE"""),"")</f>
        <v/>
      </c>
      <c r="AC3410" s="16" t="str">
        <f>IFERROR(__xludf.DUMMYFUNCTION("""COMPUTED_VALUE"""),"")</f>
        <v/>
      </c>
    </row>
    <row r="3411">
      <c r="A3411" s="16" t="s">
        <v>87</v>
      </c>
      <c r="E3411" s="16" t="str">
        <f>IFERROR(__xludf.DUMMYFUNCTION("""COMPUTED_VALUE"""),"")</f>
        <v/>
      </c>
      <c r="G3411" s="18"/>
      <c r="H3411" s="16" t="s">
        <v>87</v>
      </c>
      <c r="I3411" s="16" t="s">
        <v>87</v>
      </c>
      <c r="J3411" s="19"/>
      <c r="L3411" s="16" t="str">
        <f>IFERROR(__xludf.DUMMYFUNCTION("""COMPUTED_VALUE"""),"")</f>
        <v/>
      </c>
      <c r="M3411" s="16" t="str">
        <f>IFERROR(__xludf.DUMMYFUNCTION("""COMPUTED_VALUE"""),"")</f>
        <v/>
      </c>
      <c r="U3411" s="16" t="s">
        <v>87</v>
      </c>
      <c r="V3411" s="16" t="str">
        <f>IFERROR(__xludf.DUMMYFUNCTION("""COMPUTED_VALUE"""),"")</f>
        <v/>
      </c>
      <c r="W3411" s="16" t="str">
        <f>IFERROR(__xludf.DUMMYFUNCTION("""COMPUTED_VALUE"""),"")</f>
        <v/>
      </c>
      <c r="X3411" s="16" t="str">
        <f>IFERROR(__xludf.DUMMYFUNCTION("""COMPUTED_VALUE"""),"")</f>
        <v/>
      </c>
      <c r="AC3411" s="16" t="str">
        <f>IFERROR(__xludf.DUMMYFUNCTION("""COMPUTED_VALUE"""),"")</f>
        <v/>
      </c>
    </row>
    <row r="3412">
      <c r="A3412" s="16" t="s">
        <v>87</v>
      </c>
      <c r="E3412" s="16" t="str">
        <f>IFERROR(__xludf.DUMMYFUNCTION("""COMPUTED_VALUE"""),"")</f>
        <v/>
      </c>
      <c r="G3412" s="18"/>
      <c r="H3412" s="16" t="s">
        <v>87</v>
      </c>
      <c r="I3412" s="16" t="s">
        <v>87</v>
      </c>
      <c r="J3412" s="19"/>
      <c r="L3412" s="16" t="str">
        <f>IFERROR(__xludf.DUMMYFUNCTION("""COMPUTED_VALUE"""),"")</f>
        <v/>
      </c>
      <c r="M3412" s="16" t="str">
        <f>IFERROR(__xludf.DUMMYFUNCTION("""COMPUTED_VALUE"""),"")</f>
        <v/>
      </c>
      <c r="U3412" s="16" t="s">
        <v>87</v>
      </c>
      <c r="V3412" s="16" t="str">
        <f>IFERROR(__xludf.DUMMYFUNCTION("""COMPUTED_VALUE"""),"")</f>
        <v/>
      </c>
      <c r="W3412" s="16" t="str">
        <f>IFERROR(__xludf.DUMMYFUNCTION("""COMPUTED_VALUE"""),"")</f>
        <v/>
      </c>
      <c r="X3412" s="16" t="str">
        <f>IFERROR(__xludf.DUMMYFUNCTION("""COMPUTED_VALUE"""),"")</f>
        <v/>
      </c>
      <c r="AC3412" s="16" t="str">
        <f>IFERROR(__xludf.DUMMYFUNCTION("""COMPUTED_VALUE"""),"")</f>
        <v/>
      </c>
    </row>
    <row r="3413">
      <c r="A3413" s="16" t="s">
        <v>87</v>
      </c>
      <c r="E3413" s="16" t="str">
        <f>IFERROR(__xludf.DUMMYFUNCTION("""COMPUTED_VALUE"""),"")</f>
        <v/>
      </c>
      <c r="G3413" s="18"/>
      <c r="H3413" s="16" t="s">
        <v>87</v>
      </c>
      <c r="I3413" s="16" t="s">
        <v>87</v>
      </c>
      <c r="J3413" s="19"/>
      <c r="L3413" s="16" t="str">
        <f>IFERROR(__xludf.DUMMYFUNCTION("""COMPUTED_VALUE"""),"")</f>
        <v/>
      </c>
      <c r="M3413" s="16" t="str">
        <f>IFERROR(__xludf.DUMMYFUNCTION("""COMPUTED_VALUE"""),"")</f>
        <v/>
      </c>
      <c r="U3413" s="16" t="s">
        <v>87</v>
      </c>
      <c r="V3413" s="16" t="str">
        <f>IFERROR(__xludf.DUMMYFUNCTION("""COMPUTED_VALUE"""),"")</f>
        <v/>
      </c>
      <c r="W3413" s="16" t="str">
        <f>IFERROR(__xludf.DUMMYFUNCTION("""COMPUTED_VALUE"""),"")</f>
        <v/>
      </c>
      <c r="X3413" s="16" t="str">
        <f>IFERROR(__xludf.DUMMYFUNCTION("""COMPUTED_VALUE"""),"")</f>
        <v/>
      </c>
      <c r="AC3413" s="16" t="str">
        <f>IFERROR(__xludf.DUMMYFUNCTION("""COMPUTED_VALUE"""),"")</f>
        <v/>
      </c>
    </row>
    <row r="3414">
      <c r="A3414" s="16" t="s">
        <v>87</v>
      </c>
      <c r="E3414" s="16" t="str">
        <f>IFERROR(__xludf.DUMMYFUNCTION("""COMPUTED_VALUE"""),"")</f>
        <v/>
      </c>
      <c r="G3414" s="18"/>
      <c r="H3414" s="16" t="s">
        <v>87</v>
      </c>
      <c r="I3414" s="16" t="s">
        <v>87</v>
      </c>
      <c r="J3414" s="19"/>
      <c r="L3414" s="16" t="str">
        <f>IFERROR(__xludf.DUMMYFUNCTION("""COMPUTED_VALUE"""),"")</f>
        <v/>
      </c>
      <c r="M3414" s="16" t="str">
        <f>IFERROR(__xludf.DUMMYFUNCTION("""COMPUTED_VALUE"""),"")</f>
        <v/>
      </c>
      <c r="U3414" s="16" t="s">
        <v>87</v>
      </c>
      <c r="V3414" s="16" t="str">
        <f>IFERROR(__xludf.DUMMYFUNCTION("""COMPUTED_VALUE"""),"")</f>
        <v/>
      </c>
      <c r="W3414" s="16" t="str">
        <f>IFERROR(__xludf.DUMMYFUNCTION("""COMPUTED_VALUE"""),"")</f>
        <v/>
      </c>
      <c r="X3414" s="16" t="str">
        <f>IFERROR(__xludf.DUMMYFUNCTION("""COMPUTED_VALUE"""),"")</f>
        <v/>
      </c>
      <c r="AC3414" s="16" t="str">
        <f>IFERROR(__xludf.DUMMYFUNCTION("""COMPUTED_VALUE"""),"")</f>
        <v/>
      </c>
    </row>
    <row r="3415">
      <c r="A3415" s="16" t="s">
        <v>87</v>
      </c>
      <c r="E3415" s="16" t="str">
        <f>IFERROR(__xludf.DUMMYFUNCTION("""COMPUTED_VALUE"""),"")</f>
        <v/>
      </c>
      <c r="G3415" s="18"/>
      <c r="H3415" s="16" t="s">
        <v>87</v>
      </c>
      <c r="I3415" s="16" t="s">
        <v>87</v>
      </c>
      <c r="J3415" s="19"/>
      <c r="L3415" s="16" t="str">
        <f>IFERROR(__xludf.DUMMYFUNCTION("""COMPUTED_VALUE"""),"")</f>
        <v/>
      </c>
      <c r="M3415" s="16" t="str">
        <f>IFERROR(__xludf.DUMMYFUNCTION("""COMPUTED_VALUE"""),"")</f>
        <v/>
      </c>
      <c r="U3415" s="16" t="s">
        <v>87</v>
      </c>
      <c r="V3415" s="16" t="str">
        <f>IFERROR(__xludf.DUMMYFUNCTION("""COMPUTED_VALUE"""),"")</f>
        <v/>
      </c>
      <c r="W3415" s="16" t="str">
        <f>IFERROR(__xludf.DUMMYFUNCTION("""COMPUTED_VALUE"""),"")</f>
        <v/>
      </c>
      <c r="X3415" s="16" t="str">
        <f>IFERROR(__xludf.DUMMYFUNCTION("""COMPUTED_VALUE"""),"")</f>
        <v/>
      </c>
      <c r="AC3415" s="16" t="str">
        <f>IFERROR(__xludf.DUMMYFUNCTION("""COMPUTED_VALUE"""),"")</f>
        <v/>
      </c>
    </row>
    <row r="3416">
      <c r="A3416" s="16" t="s">
        <v>87</v>
      </c>
      <c r="E3416" s="16" t="str">
        <f>IFERROR(__xludf.DUMMYFUNCTION("""COMPUTED_VALUE"""),"")</f>
        <v/>
      </c>
      <c r="G3416" s="18"/>
      <c r="H3416" s="16" t="s">
        <v>87</v>
      </c>
      <c r="I3416" s="16" t="s">
        <v>87</v>
      </c>
      <c r="J3416" s="19"/>
      <c r="L3416" s="16" t="str">
        <f>IFERROR(__xludf.DUMMYFUNCTION("""COMPUTED_VALUE"""),"")</f>
        <v/>
      </c>
      <c r="M3416" s="16" t="str">
        <f>IFERROR(__xludf.DUMMYFUNCTION("""COMPUTED_VALUE"""),"")</f>
        <v/>
      </c>
      <c r="U3416" s="16" t="s">
        <v>87</v>
      </c>
      <c r="V3416" s="16" t="str">
        <f>IFERROR(__xludf.DUMMYFUNCTION("""COMPUTED_VALUE"""),"")</f>
        <v/>
      </c>
      <c r="W3416" s="16" t="str">
        <f>IFERROR(__xludf.DUMMYFUNCTION("""COMPUTED_VALUE"""),"")</f>
        <v/>
      </c>
      <c r="X3416" s="16" t="str">
        <f>IFERROR(__xludf.DUMMYFUNCTION("""COMPUTED_VALUE"""),"")</f>
        <v/>
      </c>
      <c r="AC3416" s="16" t="str">
        <f>IFERROR(__xludf.DUMMYFUNCTION("""COMPUTED_VALUE"""),"")</f>
        <v/>
      </c>
    </row>
    <row r="3417">
      <c r="A3417" s="16" t="s">
        <v>87</v>
      </c>
      <c r="E3417" s="16" t="str">
        <f>IFERROR(__xludf.DUMMYFUNCTION("""COMPUTED_VALUE"""),"")</f>
        <v/>
      </c>
      <c r="G3417" s="18"/>
      <c r="H3417" s="16" t="s">
        <v>87</v>
      </c>
      <c r="I3417" s="16" t="s">
        <v>87</v>
      </c>
      <c r="J3417" s="19"/>
      <c r="L3417" s="16" t="str">
        <f>IFERROR(__xludf.DUMMYFUNCTION("""COMPUTED_VALUE"""),"")</f>
        <v/>
      </c>
      <c r="M3417" s="16" t="str">
        <f>IFERROR(__xludf.DUMMYFUNCTION("""COMPUTED_VALUE"""),"")</f>
        <v/>
      </c>
      <c r="U3417" s="16" t="s">
        <v>87</v>
      </c>
      <c r="V3417" s="16" t="str">
        <f>IFERROR(__xludf.DUMMYFUNCTION("""COMPUTED_VALUE"""),"")</f>
        <v/>
      </c>
      <c r="W3417" s="16" t="str">
        <f>IFERROR(__xludf.DUMMYFUNCTION("""COMPUTED_VALUE"""),"")</f>
        <v/>
      </c>
      <c r="X3417" s="16" t="str">
        <f>IFERROR(__xludf.DUMMYFUNCTION("""COMPUTED_VALUE"""),"")</f>
        <v/>
      </c>
      <c r="AC3417" s="16" t="str">
        <f>IFERROR(__xludf.DUMMYFUNCTION("""COMPUTED_VALUE"""),"")</f>
        <v/>
      </c>
    </row>
    <row r="3418">
      <c r="A3418" s="16" t="s">
        <v>87</v>
      </c>
      <c r="E3418" s="16" t="str">
        <f>IFERROR(__xludf.DUMMYFUNCTION("""COMPUTED_VALUE"""),"")</f>
        <v/>
      </c>
      <c r="G3418" s="18"/>
      <c r="H3418" s="16" t="s">
        <v>87</v>
      </c>
      <c r="I3418" s="16" t="s">
        <v>87</v>
      </c>
      <c r="J3418" s="19"/>
      <c r="L3418" s="16" t="str">
        <f>IFERROR(__xludf.DUMMYFUNCTION("""COMPUTED_VALUE"""),"")</f>
        <v/>
      </c>
      <c r="M3418" s="16" t="str">
        <f>IFERROR(__xludf.DUMMYFUNCTION("""COMPUTED_VALUE"""),"")</f>
        <v/>
      </c>
      <c r="U3418" s="16" t="s">
        <v>87</v>
      </c>
      <c r="V3418" s="16" t="str">
        <f>IFERROR(__xludf.DUMMYFUNCTION("""COMPUTED_VALUE"""),"")</f>
        <v/>
      </c>
      <c r="W3418" s="16" t="str">
        <f>IFERROR(__xludf.DUMMYFUNCTION("""COMPUTED_VALUE"""),"")</f>
        <v/>
      </c>
      <c r="X3418" s="16" t="str">
        <f>IFERROR(__xludf.DUMMYFUNCTION("""COMPUTED_VALUE"""),"")</f>
        <v/>
      </c>
      <c r="AC3418" s="16" t="str">
        <f>IFERROR(__xludf.DUMMYFUNCTION("""COMPUTED_VALUE"""),"")</f>
        <v/>
      </c>
    </row>
    <row r="3419">
      <c r="A3419" s="16" t="s">
        <v>87</v>
      </c>
      <c r="E3419" s="16" t="str">
        <f>IFERROR(__xludf.DUMMYFUNCTION("""COMPUTED_VALUE"""),"")</f>
        <v/>
      </c>
      <c r="G3419" s="18"/>
      <c r="H3419" s="16" t="s">
        <v>87</v>
      </c>
      <c r="I3419" s="16" t="s">
        <v>87</v>
      </c>
      <c r="J3419" s="19"/>
      <c r="L3419" s="16" t="str">
        <f>IFERROR(__xludf.DUMMYFUNCTION("""COMPUTED_VALUE"""),"")</f>
        <v/>
      </c>
      <c r="M3419" s="16" t="str">
        <f>IFERROR(__xludf.DUMMYFUNCTION("""COMPUTED_VALUE"""),"")</f>
        <v/>
      </c>
      <c r="U3419" s="16" t="s">
        <v>87</v>
      </c>
      <c r="V3419" s="16" t="str">
        <f>IFERROR(__xludf.DUMMYFUNCTION("""COMPUTED_VALUE"""),"")</f>
        <v/>
      </c>
      <c r="W3419" s="16" t="str">
        <f>IFERROR(__xludf.DUMMYFUNCTION("""COMPUTED_VALUE"""),"")</f>
        <v/>
      </c>
      <c r="X3419" s="16" t="str">
        <f>IFERROR(__xludf.DUMMYFUNCTION("""COMPUTED_VALUE"""),"")</f>
        <v/>
      </c>
      <c r="AC3419" s="16" t="str">
        <f>IFERROR(__xludf.DUMMYFUNCTION("""COMPUTED_VALUE"""),"")</f>
        <v/>
      </c>
    </row>
    <row r="3420">
      <c r="A3420" s="16" t="s">
        <v>87</v>
      </c>
      <c r="E3420" s="16" t="str">
        <f>IFERROR(__xludf.DUMMYFUNCTION("""COMPUTED_VALUE"""),"")</f>
        <v/>
      </c>
      <c r="G3420" s="18"/>
      <c r="H3420" s="16" t="s">
        <v>87</v>
      </c>
      <c r="I3420" s="16" t="s">
        <v>87</v>
      </c>
      <c r="J3420" s="19"/>
      <c r="L3420" s="16" t="str">
        <f>IFERROR(__xludf.DUMMYFUNCTION("""COMPUTED_VALUE"""),"")</f>
        <v/>
      </c>
      <c r="M3420" s="16" t="str">
        <f>IFERROR(__xludf.DUMMYFUNCTION("""COMPUTED_VALUE"""),"")</f>
        <v/>
      </c>
      <c r="U3420" s="16" t="s">
        <v>87</v>
      </c>
      <c r="V3420" s="16" t="str">
        <f>IFERROR(__xludf.DUMMYFUNCTION("""COMPUTED_VALUE"""),"")</f>
        <v/>
      </c>
      <c r="W3420" s="16" t="str">
        <f>IFERROR(__xludf.DUMMYFUNCTION("""COMPUTED_VALUE"""),"")</f>
        <v/>
      </c>
      <c r="X3420" s="16" t="str">
        <f>IFERROR(__xludf.DUMMYFUNCTION("""COMPUTED_VALUE"""),"")</f>
        <v/>
      </c>
      <c r="AC3420" s="16" t="str">
        <f>IFERROR(__xludf.DUMMYFUNCTION("""COMPUTED_VALUE"""),"")</f>
        <v/>
      </c>
    </row>
    <row r="3421">
      <c r="A3421" s="16" t="s">
        <v>87</v>
      </c>
      <c r="E3421" s="16" t="str">
        <f>IFERROR(__xludf.DUMMYFUNCTION("""COMPUTED_VALUE"""),"")</f>
        <v/>
      </c>
      <c r="G3421" s="18"/>
      <c r="H3421" s="16" t="s">
        <v>87</v>
      </c>
      <c r="I3421" s="16" t="s">
        <v>87</v>
      </c>
      <c r="J3421" s="19"/>
      <c r="L3421" s="16" t="str">
        <f>IFERROR(__xludf.DUMMYFUNCTION("""COMPUTED_VALUE"""),"")</f>
        <v/>
      </c>
      <c r="M3421" s="16" t="str">
        <f>IFERROR(__xludf.DUMMYFUNCTION("""COMPUTED_VALUE"""),"")</f>
        <v/>
      </c>
      <c r="U3421" s="16" t="s">
        <v>87</v>
      </c>
      <c r="V3421" s="16" t="str">
        <f>IFERROR(__xludf.DUMMYFUNCTION("""COMPUTED_VALUE"""),"")</f>
        <v/>
      </c>
      <c r="W3421" s="16" t="str">
        <f>IFERROR(__xludf.DUMMYFUNCTION("""COMPUTED_VALUE"""),"")</f>
        <v/>
      </c>
      <c r="X3421" s="16" t="str">
        <f>IFERROR(__xludf.DUMMYFUNCTION("""COMPUTED_VALUE"""),"")</f>
        <v/>
      </c>
      <c r="AC3421" s="16" t="str">
        <f>IFERROR(__xludf.DUMMYFUNCTION("""COMPUTED_VALUE"""),"")</f>
        <v/>
      </c>
    </row>
    <row r="3422">
      <c r="A3422" s="16" t="s">
        <v>87</v>
      </c>
      <c r="E3422" s="16" t="str">
        <f>IFERROR(__xludf.DUMMYFUNCTION("""COMPUTED_VALUE"""),"")</f>
        <v/>
      </c>
      <c r="G3422" s="18"/>
      <c r="H3422" s="16" t="s">
        <v>87</v>
      </c>
      <c r="I3422" s="16" t="s">
        <v>87</v>
      </c>
      <c r="J3422" s="19"/>
      <c r="L3422" s="16" t="str">
        <f>IFERROR(__xludf.DUMMYFUNCTION("""COMPUTED_VALUE"""),"")</f>
        <v/>
      </c>
      <c r="M3422" s="16" t="str">
        <f>IFERROR(__xludf.DUMMYFUNCTION("""COMPUTED_VALUE"""),"")</f>
        <v/>
      </c>
      <c r="U3422" s="16" t="s">
        <v>87</v>
      </c>
      <c r="V3422" s="16" t="str">
        <f>IFERROR(__xludf.DUMMYFUNCTION("""COMPUTED_VALUE"""),"")</f>
        <v/>
      </c>
      <c r="W3422" s="16" t="str">
        <f>IFERROR(__xludf.DUMMYFUNCTION("""COMPUTED_VALUE"""),"")</f>
        <v/>
      </c>
      <c r="X3422" s="16" t="str">
        <f>IFERROR(__xludf.DUMMYFUNCTION("""COMPUTED_VALUE"""),"")</f>
        <v/>
      </c>
      <c r="AC3422" s="16" t="str">
        <f>IFERROR(__xludf.DUMMYFUNCTION("""COMPUTED_VALUE"""),"")</f>
        <v/>
      </c>
    </row>
    <row r="3423">
      <c r="A3423" s="16" t="s">
        <v>87</v>
      </c>
      <c r="E3423" s="16" t="str">
        <f>IFERROR(__xludf.DUMMYFUNCTION("""COMPUTED_VALUE"""),"")</f>
        <v/>
      </c>
      <c r="G3423" s="18"/>
      <c r="H3423" s="16" t="s">
        <v>87</v>
      </c>
      <c r="I3423" s="16" t="s">
        <v>87</v>
      </c>
      <c r="J3423" s="19"/>
      <c r="L3423" s="16" t="str">
        <f>IFERROR(__xludf.DUMMYFUNCTION("""COMPUTED_VALUE"""),"")</f>
        <v/>
      </c>
      <c r="M3423" s="16" t="str">
        <f>IFERROR(__xludf.DUMMYFUNCTION("""COMPUTED_VALUE"""),"")</f>
        <v/>
      </c>
      <c r="U3423" s="16" t="s">
        <v>87</v>
      </c>
      <c r="V3423" s="16" t="str">
        <f>IFERROR(__xludf.DUMMYFUNCTION("""COMPUTED_VALUE"""),"")</f>
        <v/>
      </c>
      <c r="W3423" s="16" t="str">
        <f>IFERROR(__xludf.DUMMYFUNCTION("""COMPUTED_VALUE"""),"")</f>
        <v/>
      </c>
      <c r="X3423" s="16" t="str">
        <f>IFERROR(__xludf.DUMMYFUNCTION("""COMPUTED_VALUE"""),"")</f>
        <v/>
      </c>
      <c r="AC3423" s="16" t="str">
        <f>IFERROR(__xludf.DUMMYFUNCTION("""COMPUTED_VALUE"""),"")</f>
        <v/>
      </c>
    </row>
    <row r="3424">
      <c r="A3424" s="16" t="s">
        <v>87</v>
      </c>
      <c r="E3424" s="16" t="str">
        <f>IFERROR(__xludf.DUMMYFUNCTION("""COMPUTED_VALUE"""),"")</f>
        <v/>
      </c>
      <c r="G3424" s="18"/>
      <c r="H3424" s="16" t="s">
        <v>87</v>
      </c>
      <c r="I3424" s="16" t="s">
        <v>87</v>
      </c>
      <c r="J3424" s="19"/>
      <c r="L3424" s="16" t="str">
        <f>IFERROR(__xludf.DUMMYFUNCTION("""COMPUTED_VALUE"""),"")</f>
        <v/>
      </c>
      <c r="M3424" s="16" t="str">
        <f>IFERROR(__xludf.DUMMYFUNCTION("""COMPUTED_VALUE"""),"")</f>
        <v/>
      </c>
      <c r="U3424" s="16" t="s">
        <v>87</v>
      </c>
      <c r="V3424" s="16" t="str">
        <f>IFERROR(__xludf.DUMMYFUNCTION("""COMPUTED_VALUE"""),"")</f>
        <v/>
      </c>
      <c r="W3424" s="16" t="str">
        <f>IFERROR(__xludf.DUMMYFUNCTION("""COMPUTED_VALUE"""),"")</f>
        <v/>
      </c>
      <c r="X3424" s="16" t="str">
        <f>IFERROR(__xludf.DUMMYFUNCTION("""COMPUTED_VALUE"""),"")</f>
        <v/>
      </c>
      <c r="AC3424" s="16" t="str">
        <f>IFERROR(__xludf.DUMMYFUNCTION("""COMPUTED_VALUE"""),"")</f>
        <v/>
      </c>
    </row>
    <row r="3425">
      <c r="A3425" s="16" t="s">
        <v>87</v>
      </c>
      <c r="E3425" s="16" t="str">
        <f>IFERROR(__xludf.DUMMYFUNCTION("""COMPUTED_VALUE"""),"")</f>
        <v/>
      </c>
      <c r="G3425" s="18"/>
      <c r="H3425" s="16" t="s">
        <v>87</v>
      </c>
      <c r="I3425" s="16" t="s">
        <v>87</v>
      </c>
      <c r="J3425" s="19"/>
      <c r="L3425" s="16" t="str">
        <f>IFERROR(__xludf.DUMMYFUNCTION("""COMPUTED_VALUE"""),"")</f>
        <v/>
      </c>
      <c r="M3425" s="16" t="str">
        <f>IFERROR(__xludf.DUMMYFUNCTION("""COMPUTED_VALUE"""),"")</f>
        <v/>
      </c>
      <c r="U3425" s="16" t="s">
        <v>87</v>
      </c>
      <c r="V3425" s="16" t="str">
        <f>IFERROR(__xludf.DUMMYFUNCTION("""COMPUTED_VALUE"""),"")</f>
        <v/>
      </c>
      <c r="W3425" s="16" t="str">
        <f>IFERROR(__xludf.DUMMYFUNCTION("""COMPUTED_VALUE"""),"")</f>
        <v/>
      </c>
      <c r="X3425" s="16" t="str">
        <f>IFERROR(__xludf.DUMMYFUNCTION("""COMPUTED_VALUE"""),"")</f>
        <v/>
      </c>
      <c r="AC3425" s="16" t="str">
        <f>IFERROR(__xludf.DUMMYFUNCTION("""COMPUTED_VALUE"""),"")</f>
        <v/>
      </c>
    </row>
    <row r="3426">
      <c r="A3426" s="16" t="s">
        <v>87</v>
      </c>
      <c r="E3426" s="16" t="str">
        <f>IFERROR(__xludf.DUMMYFUNCTION("""COMPUTED_VALUE"""),"")</f>
        <v/>
      </c>
      <c r="G3426" s="18"/>
      <c r="H3426" s="16" t="s">
        <v>87</v>
      </c>
      <c r="I3426" s="16" t="s">
        <v>87</v>
      </c>
      <c r="J3426" s="19"/>
      <c r="L3426" s="16" t="str">
        <f>IFERROR(__xludf.DUMMYFUNCTION("""COMPUTED_VALUE"""),"")</f>
        <v/>
      </c>
      <c r="M3426" s="16" t="str">
        <f>IFERROR(__xludf.DUMMYFUNCTION("""COMPUTED_VALUE"""),"")</f>
        <v/>
      </c>
      <c r="U3426" s="16" t="s">
        <v>87</v>
      </c>
      <c r="V3426" s="16" t="str">
        <f>IFERROR(__xludf.DUMMYFUNCTION("""COMPUTED_VALUE"""),"")</f>
        <v/>
      </c>
      <c r="W3426" s="16" t="str">
        <f>IFERROR(__xludf.DUMMYFUNCTION("""COMPUTED_VALUE"""),"")</f>
        <v/>
      </c>
      <c r="X3426" s="16" t="str">
        <f>IFERROR(__xludf.DUMMYFUNCTION("""COMPUTED_VALUE"""),"")</f>
        <v/>
      </c>
      <c r="AC3426" s="16" t="str">
        <f>IFERROR(__xludf.DUMMYFUNCTION("""COMPUTED_VALUE"""),"")</f>
        <v/>
      </c>
    </row>
    <row r="3427">
      <c r="A3427" s="16" t="s">
        <v>87</v>
      </c>
      <c r="E3427" s="16" t="str">
        <f>IFERROR(__xludf.DUMMYFUNCTION("""COMPUTED_VALUE"""),"")</f>
        <v/>
      </c>
      <c r="G3427" s="18"/>
      <c r="H3427" s="16" t="s">
        <v>87</v>
      </c>
      <c r="I3427" s="16" t="s">
        <v>87</v>
      </c>
      <c r="J3427" s="19"/>
      <c r="L3427" s="16" t="str">
        <f>IFERROR(__xludf.DUMMYFUNCTION("""COMPUTED_VALUE"""),"")</f>
        <v/>
      </c>
      <c r="M3427" s="16" t="str">
        <f>IFERROR(__xludf.DUMMYFUNCTION("""COMPUTED_VALUE"""),"")</f>
        <v/>
      </c>
      <c r="U3427" s="16" t="s">
        <v>87</v>
      </c>
      <c r="V3427" s="16" t="str">
        <f>IFERROR(__xludf.DUMMYFUNCTION("""COMPUTED_VALUE"""),"")</f>
        <v/>
      </c>
      <c r="W3427" s="16" t="str">
        <f>IFERROR(__xludf.DUMMYFUNCTION("""COMPUTED_VALUE"""),"")</f>
        <v/>
      </c>
      <c r="X3427" s="16" t="str">
        <f>IFERROR(__xludf.DUMMYFUNCTION("""COMPUTED_VALUE"""),"")</f>
        <v/>
      </c>
      <c r="AC3427" s="16" t="str">
        <f>IFERROR(__xludf.DUMMYFUNCTION("""COMPUTED_VALUE"""),"")</f>
        <v/>
      </c>
    </row>
    <row r="3428">
      <c r="A3428" s="16" t="s">
        <v>87</v>
      </c>
      <c r="E3428" s="16" t="str">
        <f>IFERROR(__xludf.DUMMYFUNCTION("""COMPUTED_VALUE"""),"")</f>
        <v/>
      </c>
      <c r="G3428" s="18"/>
      <c r="H3428" s="16" t="s">
        <v>87</v>
      </c>
      <c r="I3428" s="16" t="s">
        <v>87</v>
      </c>
      <c r="J3428" s="19"/>
      <c r="L3428" s="16" t="str">
        <f>IFERROR(__xludf.DUMMYFUNCTION("""COMPUTED_VALUE"""),"")</f>
        <v/>
      </c>
      <c r="M3428" s="16" t="str">
        <f>IFERROR(__xludf.DUMMYFUNCTION("""COMPUTED_VALUE"""),"")</f>
        <v/>
      </c>
      <c r="U3428" s="16" t="s">
        <v>87</v>
      </c>
      <c r="V3428" s="16" t="str">
        <f>IFERROR(__xludf.DUMMYFUNCTION("""COMPUTED_VALUE"""),"")</f>
        <v/>
      </c>
      <c r="W3428" s="16" t="str">
        <f>IFERROR(__xludf.DUMMYFUNCTION("""COMPUTED_VALUE"""),"")</f>
        <v/>
      </c>
      <c r="X3428" s="16" t="str">
        <f>IFERROR(__xludf.DUMMYFUNCTION("""COMPUTED_VALUE"""),"")</f>
        <v/>
      </c>
      <c r="AC3428" s="16" t="str">
        <f>IFERROR(__xludf.DUMMYFUNCTION("""COMPUTED_VALUE"""),"")</f>
        <v/>
      </c>
    </row>
    <row r="3429">
      <c r="A3429" s="16" t="s">
        <v>87</v>
      </c>
      <c r="E3429" s="16" t="str">
        <f>IFERROR(__xludf.DUMMYFUNCTION("""COMPUTED_VALUE"""),"")</f>
        <v/>
      </c>
      <c r="G3429" s="18"/>
      <c r="H3429" s="16" t="s">
        <v>87</v>
      </c>
      <c r="I3429" s="16" t="s">
        <v>87</v>
      </c>
      <c r="J3429" s="19"/>
      <c r="L3429" s="16" t="str">
        <f>IFERROR(__xludf.DUMMYFUNCTION("""COMPUTED_VALUE"""),"")</f>
        <v/>
      </c>
      <c r="M3429" s="16" t="str">
        <f>IFERROR(__xludf.DUMMYFUNCTION("""COMPUTED_VALUE"""),"")</f>
        <v/>
      </c>
      <c r="U3429" s="16" t="s">
        <v>87</v>
      </c>
      <c r="V3429" s="16" t="str">
        <f>IFERROR(__xludf.DUMMYFUNCTION("""COMPUTED_VALUE"""),"")</f>
        <v/>
      </c>
      <c r="W3429" s="16" t="str">
        <f>IFERROR(__xludf.DUMMYFUNCTION("""COMPUTED_VALUE"""),"")</f>
        <v/>
      </c>
      <c r="X3429" s="16" t="str">
        <f>IFERROR(__xludf.DUMMYFUNCTION("""COMPUTED_VALUE"""),"")</f>
        <v/>
      </c>
      <c r="AC3429" s="16" t="str">
        <f>IFERROR(__xludf.DUMMYFUNCTION("""COMPUTED_VALUE"""),"")</f>
        <v/>
      </c>
    </row>
    <row r="3430">
      <c r="A3430" s="16" t="s">
        <v>87</v>
      </c>
      <c r="E3430" s="16" t="str">
        <f>IFERROR(__xludf.DUMMYFUNCTION("""COMPUTED_VALUE"""),"")</f>
        <v/>
      </c>
      <c r="G3430" s="18"/>
      <c r="H3430" s="16" t="s">
        <v>87</v>
      </c>
      <c r="I3430" s="16" t="s">
        <v>87</v>
      </c>
      <c r="J3430" s="19"/>
      <c r="L3430" s="16" t="str">
        <f>IFERROR(__xludf.DUMMYFUNCTION("""COMPUTED_VALUE"""),"")</f>
        <v/>
      </c>
      <c r="M3430" s="16" t="str">
        <f>IFERROR(__xludf.DUMMYFUNCTION("""COMPUTED_VALUE"""),"")</f>
        <v/>
      </c>
      <c r="U3430" s="16" t="s">
        <v>87</v>
      </c>
      <c r="V3430" s="16" t="str">
        <f>IFERROR(__xludf.DUMMYFUNCTION("""COMPUTED_VALUE"""),"")</f>
        <v/>
      </c>
      <c r="W3430" s="16" t="str">
        <f>IFERROR(__xludf.DUMMYFUNCTION("""COMPUTED_VALUE"""),"")</f>
        <v/>
      </c>
      <c r="X3430" s="16" t="str">
        <f>IFERROR(__xludf.DUMMYFUNCTION("""COMPUTED_VALUE"""),"")</f>
        <v/>
      </c>
      <c r="AC3430" s="16" t="str">
        <f>IFERROR(__xludf.DUMMYFUNCTION("""COMPUTED_VALUE"""),"")</f>
        <v/>
      </c>
    </row>
    <row r="3431">
      <c r="A3431" s="16" t="s">
        <v>87</v>
      </c>
      <c r="E3431" s="16" t="str">
        <f>IFERROR(__xludf.DUMMYFUNCTION("""COMPUTED_VALUE"""),"")</f>
        <v/>
      </c>
      <c r="G3431" s="18"/>
      <c r="H3431" s="16" t="s">
        <v>87</v>
      </c>
      <c r="I3431" s="16" t="s">
        <v>87</v>
      </c>
      <c r="J3431" s="19"/>
      <c r="L3431" s="16" t="str">
        <f>IFERROR(__xludf.DUMMYFUNCTION("""COMPUTED_VALUE"""),"")</f>
        <v/>
      </c>
      <c r="M3431" s="16" t="str">
        <f>IFERROR(__xludf.DUMMYFUNCTION("""COMPUTED_VALUE"""),"")</f>
        <v/>
      </c>
      <c r="U3431" s="16" t="s">
        <v>87</v>
      </c>
      <c r="V3431" s="16" t="str">
        <f>IFERROR(__xludf.DUMMYFUNCTION("""COMPUTED_VALUE"""),"")</f>
        <v/>
      </c>
      <c r="W3431" s="16" t="str">
        <f>IFERROR(__xludf.DUMMYFUNCTION("""COMPUTED_VALUE"""),"")</f>
        <v/>
      </c>
      <c r="X3431" s="16" t="str">
        <f>IFERROR(__xludf.DUMMYFUNCTION("""COMPUTED_VALUE"""),"")</f>
        <v/>
      </c>
      <c r="AC3431" s="16" t="str">
        <f>IFERROR(__xludf.DUMMYFUNCTION("""COMPUTED_VALUE"""),"")</f>
        <v/>
      </c>
    </row>
    <row r="3432">
      <c r="A3432" s="16" t="s">
        <v>87</v>
      </c>
      <c r="E3432" s="16" t="str">
        <f>IFERROR(__xludf.DUMMYFUNCTION("""COMPUTED_VALUE"""),"")</f>
        <v/>
      </c>
      <c r="G3432" s="18"/>
      <c r="H3432" s="16" t="s">
        <v>87</v>
      </c>
      <c r="I3432" s="16" t="s">
        <v>87</v>
      </c>
      <c r="J3432" s="19"/>
      <c r="L3432" s="16" t="str">
        <f>IFERROR(__xludf.DUMMYFUNCTION("""COMPUTED_VALUE"""),"")</f>
        <v/>
      </c>
      <c r="M3432" s="16" t="str">
        <f>IFERROR(__xludf.DUMMYFUNCTION("""COMPUTED_VALUE"""),"")</f>
        <v/>
      </c>
      <c r="U3432" s="16" t="s">
        <v>87</v>
      </c>
      <c r="V3432" s="16" t="str">
        <f>IFERROR(__xludf.DUMMYFUNCTION("""COMPUTED_VALUE"""),"")</f>
        <v/>
      </c>
      <c r="W3432" s="16" t="str">
        <f>IFERROR(__xludf.DUMMYFUNCTION("""COMPUTED_VALUE"""),"")</f>
        <v/>
      </c>
      <c r="X3432" s="16" t="str">
        <f>IFERROR(__xludf.DUMMYFUNCTION("""COMPUTED_VALUE"""),"")</f>
        <v/>
      </c>
      <c r="AC3432" s="16" t="str">
        <f>IFERROR(__xludf.DUMMYFUNCTION("""COMPUTED_VALUE"""),"")</f>
        <v/>
      </c>
    </row>
    <row r="3433">
      <c r="A3433" s="16" t="s">
        <v>87</v>
      </c>
      <c r="E3433" s="16" t="str">
        <f>IFERROR(__xludf.DUMMYFUNCTION("""COMPUTED_VALUE"""),"")</f>
        <v/>
      </c>
      <c r="G3433" s="18"/>
      <c r="H3433" s="16" t="s">
        <v>87</v>
      </c>
      <c r="I3433" s="16" t="s">
        <v>87</v>
      </c>
      <c r="J3433" s="19"/>
      <c r="L3433" s="16" t="str">
        <f>IFERROR(__xludf.DUMMYFUNCTION("""COMPUTED_VALUE"""),"")</f>
        <v/>
      </c>
      <c r="M3433" s="16" t="str">
        <f>IFERROR(__xludf.DUMMYFUNCTION("""COMPUTED_VALUE"""),"")</f>
        <v/>
      </c>
      <c r="U3433" s="16" t="s">
        <v>87</v>
      </c>
      <c r="V3433" s="16" t="str">
        <f>IFERROR(__xludf.DUMMYFUNCTION("""COMPUTED_VALUE"""),"")</f>
        <v/>
      </c>
      <c r="W3433" s="16" t="str">
        <f>IFERROR(__xludf.DUMMYFUNCTION("""COMPUTED_VALUE"""),"")</f>
        <v/>
      </c>
      <c r="X3433" s="16" t="str">
        <f>IFERROR(__xludf.DUMMYFUNCTION("""COMPUTED_VALUE"""),"")</f>
        <v/>
      </c>
      <c r="AC3433" s="16" t="str">
        <f>IFERROR(__xludf.DUMMYFUNCTION("""COMPUTED_VALUE"""),"")</f>
        <v/>
      </c>
    </row>
    <row r="3434">
      <c r="A3434" s="16" t="s">
        <v>87</v>
      </c>
      <c r="E3434" s="16" t="str">
        <f>IFERROR(__xludf.DUMMYFUNCTION("""COMPUTED_VALUE"""),"")</f>
        <v/>
      </c>
      <c r="G3434" s="18"/>
      <c r="H3434" s="16" t="s">
        <v>87</v>
      </c>
      <c r="I3434" s="16" t="s">
        <v>87</v>
      </c>
      <c r="J3434" s="19"/>
      <c r="L3434" s="16" t="str">
        <f>IFERROR(__xludf.DUMMYFUNCTION("""COMPUTED_VALUE"""),"")</f>
        <v/>
      </c>
      <c r="M3434" s="16" t="str">
        <f>IFERROR(__xludf.DUMMYFUNCTION("""COMPUTED_VALUE"""),"")</f>
        <v/>
      </c>
      <c r="U3434" s="16" t="s">
        <v>87</v>
      </c>
      <c r="V3434" s="16" t="str">
        <f>IFERROR(__xludf.DUMMYFUNCTION("""COMPUTED_VALUE"""),"")</f>
        <v/>
      </c>
      <c r="W3434" s="16" t="str">
        <f>IFERROR(__xludf.DUMMYFUNCTION("""COMPUTED_VALUE"""),"")</f>
        <v/>
      </c>
      <c r="X3434" s="16" t="str">
        <f>IFERROR(__xludf.DUMMYFUNCTION("""COMPUTED_VALUE"""),"")</f>
        <v/>
      </c>
      <c r="AC3434" s="16" t="str">
        <f>IFERROR(__xludf.DUMMYFUNCTION("""COMPUTED_VALUE"""),"")</f>
        <v/>
      </c>
    </row>
    <row r="3435">
      <c r="A3435" s="16" t="s">
        <v>87</v>
      </c>
      <c r="E3435" s="16" t="str">
        <f>IFERROR(__xludf.DUMMYFUNCTION("""COMPUTED_VALUE"""),"")</f>
        <v/>
      </c>
      <c r="G3435" s="18"/>
      <c r="H3435" s="16" t="s">
        <v>87</v>
      </c>
      <c r="I3435" s="16" t="s">
        <v>87</v>
      </c>
      <c r="J3435" s="19"/>
      <c r="L3435" s="16" t="str">
        <f>IFERROR(__xludf.DUMMYFUNCTION("""COMPUTED_VALUE"""),"")</f>
        <v/>
      </c>
      <c r="M3435" s="16" t="str">
        <f>IFERROR(__xludf.DUMMYFUNCTION("""COMPUTED_VALUE"""),"")</f>
        <v/>
      </c>
      <c r="U3435" s="16" t="s">
        <v>87</v>
      </c>
      <c r="V3435" s="16" t="str">
        <f>IFERROR(__xludf.DUMMYFUNCTION("""COMPUTED_VALUE"""),"")</f>
        <v/>
      </c>
      <c r="W3435" s="16" t="str">
        <f>IFERROR(__xludf.DUMMYFUNCTION("""COMPUTED_VALUE"""),"")</f>
        <v/>
      </c>
      <c r="X3435" s="16" t="str">
        <f>IFERROR(__xludf.DUMMYFUNCTION("""COMPUTED_VALUE"""),"")</f>
        <v/>
      </c>
      <c r="AC3435" s="16" t="str">
        <f>IFERROR(__xludf.DUMMYFUNCTION("""COMPUTED_VALUE"""),"")</f>
        <v/>
      </c>
    </row>
    <row r="3436">
      <c r="A3436" s="16" t="s">
        <v>87</v>
      </c>
      <c r="E3436" s="16" t="str">
        <f>IFERROR(__xludf.DUMMYFUNCTION("""COMPUTED_VALUE"""),"")</f>
        <v/>
      </c>
      <c r="G3436" s="18"/>
      <c r="H3436" s="16" t="s">
        <v>87</v>
      </c>
      <c r="I3436" s="16" t="s">
        <v>87</v>
      </c>
      <c r="J3436" s="19"/>
      <c r="L3436" s="16" t="str">
        <f>IFERROR(__xludf.DUMMYFUNCTION("""COMPUTED_VALUE"""),"")</f>
        <v/>
      </c>
      <c r="M3436" s="16" t="str">
        <f>IFERROR(__xludf.DUMMYFUNCTION("""COMPUTED_VALUE"""),"")</f>
        <v/>
      </c>
      <c r="U3436" s="16" t="s">
        <v>87</v>
      </c>
      <c r="V3436" s="16" t="str">
        <f>IFERROR(__xludf.DUMMYFUNCTION("""COMPUTED_VALUE"""),"")</f>
        <v/>
      </c>
      <c r="W3436" s="16" t="str">
        <f>IFERROR(__xludf.DUMMYFUNCTION("""COMPUTED_VALUE"""),"")</f>
        <v/>
      </c>
      <c r="X3436" s="16" t="str">
        <f>IFERROR(__xludf.DUMMYFUNCTION("""COMPUTED_VALUE"""),"")</f>
        <v/>
      </c>
      <c r="AC3436" s="16" t="str">
        <f>IFERROR(__xludf.DUMMYFUNCTION("""COMPUTED_VALUE"""),"")</f>
        <v/>
      </c>
    </row>
    <row r="3437">
      <c r="A3437" s="16" t="s">
        <v>87</v>
      </c>
      <c r="E3437" s="16" t="str">
        <f>IFERROR(__xludf.DUMMYFUNCTION("""COMPUTED_VALUE"""),"")</f>
        <v/>
      </c>
      <c r="G3437" s="18"/>
      <c r="H3437" s="16" t="s">
        <v>87</v>
      </c>
      <c r="I3437" s="16" t="s">
        <v>87</v>
      </c>
      <c r="J3437" s="19"/>
      <c r="L3437" s="16" t="str">
        <f>IFERROR(__xludf.DUMMYFUNCTION("""COMPUTED_VALUE"""),"")</f>
        <v/>
      </c>
      <c r="M3437" s="16" t="str">
        <f>IFERROR(__xludf.DUMMYFUNCTION("""COMPUTED_VALUE"""),"")</f>
        <v/>
      </c>
      <c r="U3437" s="16" t="s">
        <v>87</v>
      </c>
      <c r="V3437" s="16" t="str">
        <f>IFERROR(__xludf.DUMMYFUNCTION("""COMPUTED_VALUE"""),"")</f>
        <v/>
      </c>
      <c r="W3437" s="16" t="str">
        <f>IFERROR(__xludf.DUMMYFUNCTION("""COMPUTED_VALUE"""),"")</f>
        <v/>
      </c>
      <c r="X3437" s="16" t="str">
        <f>IFERROR(__xludf.DUMMYFUNCTION("""COMPUTED_VALUE"""),"")</f>
        <v/>
      </c>
      <c r="AC3437" s="16" t="str">
        <f>IFERROR(__xludf.DUMMYFUNCTION("""COMPUTED_VALUE"""),"")</f>
        <v/>
      </c>
    </row>
    <row r="3438">
      <c r="A3438" s="16" t="s">
        <v>87</v>
      </c>
      <c r="E3438" s="16" t="str">
        <f>IFERROR(__xludf.DUMMYFUNCTION("""COMPUTED_VALUE"""),"")</f>
        <v/>
      </c>
      <c r="G3438" s="18"/>
      <c r="H3438" s="16" t="s">
        <v>87</v>
      </c>
      <c r="I3438" s="16" t="s">
        <v>87</v>
      </c>
      <c r="J3438" s="19"/>
      <c r="L3438" s="16" t="str">
        <f>IFERROR(__xludf.DUMMYFUNCTION("""COMPUTED_VALUE"""),"")</f>
        <v/>
      </c>
      <c r="M3438" s="16" t="str">
        <f>IFERROR(__xludf.DUMMYFUNCTION("""COMPUTED_VALUE"""),"")</f>
        <v/>
      </c>
      <c r="U3438" s="16" t="s">
        <v>87</v>
      </c>
      <c r="V3438" s="16" t="str">
        <f>IFERROR(__xludf.DUMMYFUNCTION("""COMPUTED_VALUE"""),"")</f>
        <v/>
      </c>
      <c r="W3438" s="16" t="str">
        <f>IFERROR(__xludf.DUMMYFUNCTION("""COMPUTED_VALUE"""),"")</f>
        <v/>
      </c>
      <c r="X3438" s="16" t="str">
        <f>IFERROR(__xludf.DUMMYFUNCTION("""COMPUTED_VALUE"""),"")</f>
        <v/>
      </c>
      <c r="AC3438" s="16" t="str">
        <f>IFERROR(__xludf.DUMMYFUNCTION("""COMPUTED_VALUE"""),"")</f>
        <v/>
      </c>
    </row>
    <row r="3439">
      <c r="A3439" s="16" t="s">
        <v>87</v>
      </c>
      <c r="E3439" s="16" t="str">
        <f>IFERROR(__xludf.DUMMYFUNCTION("""COMPUTED_VALUE"""),"")</f>
        <v/>
      </c>
      <c r="G3439" s="18"/>
      <c r="H3439" s="16" t="s">
        <v>87</v>
      </c>
      <c r="I3439" s="16" t="s">
        <v>87</v>
      </c>
      <c r="J3439" s="19"/>
      <c r="L3439" s="16" t="str">
        <f>IFERROR(__xludf.DUMMYFUNCTION("""COMPUTED_VALUE"""),"")</f>
        <v/>
      </c>
      <c r="M3439" s="16" t="str">
        <f>IFERROR(__xludf.DUMMYFUNCTION("""COMPUTED_VALUE"""),"")</f>
        <v/>
      </c>
      <c r="U3439" s="16" t="s">
        <v>87</v>
      </c>
      <c r="V3439" s="16" t="str">
        <f>IFERROR(__xludf.DUMMYFUNCTION("""COMPUTED_VALUE"""),"")</f>
        <v/>
      </c>
      <c r="W3439" s="16" t="str">
        <f>IFERROR(__xludf.DUMMYFUNCTION("""COMPUTED_VALUE"""),"")</f>
        <v/>
      </c>
      <c r="X3439" s="16" t="str">
        <f>IFERROR(__xludf.DUMMYFUNCTION("""COMPUTED_VALUE"""),"")</f>
        <v/>
      </c>
      <c r="AC3439" s="16" t="str">
        <f>IFERROR(__xludf.DUMMYFUNCTION("""COMPUTED_VALUE"""),"")</f>
        <v/>
      </c>
    </row>
    <row r="3440">
      <c r="A3440" s="16" t="s">
        <v>87</v>
      </c>
      <c r="E3440" s="16" t="str">
        <f>IFERROR(__xludf.DUMMYFUNCTION("""COMPUTED_VALUE"""),"")</f>
        <v/>
      </c>
      <c r="G3440" s="18"/>
      <c r="H3440" s="16" t="s">
        <v>87</v>
      </c>
      <c r="I3440" s="16" t="s">
        <v>87</v>
      </c>
      <c r="J3440" s="19"/>
      <c r="L3440" s="16" t="str">
        <f>IFERROR(__xludf.DUMMYFUNCTION("""COMPUTED_VALUE"""),"")</f>
        <v/>
      </c>
      <c r="M3440" s="16" t="str">
        <f>IFERROR(__xludf.DUMMYFUNCTION("""COMPUTED_VALUE"""),"")</f>
        <v/>
      </c>
      <c r="U3440" s="16" t="s">
        <v>87</v>
      </c>
      <c r="V3440" s="16" t="str">
        <f>IFERROR(__xludf.DUMMYFUNCTION("""COMPUTED_VALUE"""),"")</f>
        <v/>
      </c>
      <c r="W3440" s="16" t="str">
        <f>IFERROR(__xludf.DUMMYFUNCTION("""COMPUTED_VALUE"""),"")</f>
        <v/>
      </c>
      <c r="X3440" s="16" t="str">
        <f>IFERROR(__xludf.DUMMYFUNCTION("""COMPUTED_VALUE"""),"")</f>
        <v/>
      </c>
      <c r="AC3440" s="16" t="str">
        <f>IFERROR(__xludf.DUMMYFUNCTION("""COMPUTED_VALUE"""),"")</f>
        <v/>
      </c>
    </row>
    <row r="3441">
      <c r="A3441" s="16" t="s">
        <v>87</v>
      </c>
      <c r="E3441" s="16" t="str">
        <f>IFERROR(__xludf.DUMMYFUNCTION("""COMPUTED_VALUE"""),"")</f>
        <v/>
      </c>
      <c r="G3441" s="18"/>
      <c r="H3441" s="16" t="s">
        <v>87</v>
      </c>
      <c r="I3441" s="16" t="s">
        <v>87</v>
      </c>
      <c r="J3441" s="19"/>
      <c r="L3441" s="16" t="str">
        <f>IFERROR(__xludf.DUMMYFUNCTION("""COMPUTED_VALUE"""),"")</f>
        <v/>
      </c>
      <c r="M3441" s="16" t="str">
        <f>IFERROR(__xludf.DUMMYFUNCTION("""COMPUTED_VALUE"""),"")</f>
        <v/>
      </c>
      <c r="U3441" s="16" t="s">
        <v>87</v>
      </c>
      <c r="V3441" s="16" t="str">
        <f>IFERROR(__xludf.DUMMYFUNCTION("""COMPUTED_VALUE"""),"")</f>
        <v/>
      </c>
      <c r="W3441" s="16" t="str">
        <f>IFERROR(__xludf.DUMMYFUNCTION("""COMPUTED_VALUE"""),"")</f>
        <v/>
      </c>
      <c r="X3441" s="16" t="str">
        <f>IFERROR(__xludf.DUMMYFUNCTION("""COMPUTED_VALUE"""),"")</f>
        <v/>
      </c>
      <c r="AC3441" s="16" t="str">
        <f>IFERROR(__xludf.DUMMYFUNCTION("""COMPUTED_VALUE"""),"")</f>
        <v/>
      </c>
    </row>
    <row r="3442">
      <c r="A3442" s="16" t="s">
        <v>87</v>
      </c>
      <c r="E3442" s="16" t="str">
        <f>IFERROR(__xludf.DUMMYFUNCTION("""COMPUTED_VALUE"""),"")</f>
        <v/>
      </c>
      <c r="G3442" s="18"/>
      <c r="H3442" s="16" t="s">
        <v>87</v>
      </c>
      <c r="I3442" s="16" t="s">
        <v>87</v>
      </c>
      <c r="J3442" s="19"/>
      <c r="L3442" s="16" t="str">
        <f>IFERROR(__xludf.DUMMYFUNCTION("""COMPUTED_VALUE"""),"")</f>
        <v/>
      </c>
      <c r="M3442" s="16" t="str">
        <f>IFERROR(__xludf.DUMMYFUNCTION("""COMPUTED_VALUE"""),"")</f>
        <v/>
      </c>
      <c r="U3442" s="16" t="s">
        <v>87</v>
      </c>
      <c r="V3442" s="16" t="str">
        <f>IFERROR(__xludf.DUMMYFUNCTION("""COMPUTED_VALUE"""),"")</f>
        <v/>
      </c>
      <c r="W3442" s="16" t="str">
        <f>IFERROR(__xludf.DUMMYFUNCTION("""COMPUTED_VALUE"""),"")</f>
        <v/>
      </c>
      <c r="X3442" s="16" t="str">
        <f>IFERROR(__xludf.DUMMYFUNCTION("""COMPUTED_VALUE"""),"")</f>
        <v/>
      </c>
      <c r="AC3442" s="16" t="str">
        <f>IFERROR(__xludf.DUMMYFUNCTION("""COMPUTED_VALUE"""),"")</f>
        <v/>
      </c>
    </row>
    <row r="3443">
      <c r="A3443" s="16" t="s">
        <v>87</v>
      </c>
      <c r="E3443" s="16" t="str">
        <f>IFERROR(__xludf.DUMMYFUNCTION("""COMPUTED_VALUE"""),"")</f>
        <v/>
      </c>
      <c r="G3443" s="18"/>
      <c r="H3443" s="16" t="s">
        <v>87</v>
      </c>
      <c r="I3443" s="16" t="s">
        <v>87</v>
      </c>
      <c r="J3443" s="19"/>
      <c r="L3443" s="16" t="str">
        <f>IFERROR(__xludf.DUMMYFUNCTION("""COMPUTED_VALUE"""),"")</f>
        <v/>
      </c>
      <c r="M3443" s="16" t="str">
        <f>IFERROR(__xludf.DUMMYFUNCTION("""COMPUTED_VALUE"""),"")</f>
        <v/>
      </c>
      <c r="U3443" s="16" t="s">
        <v>87</v>
      </c>
      <c r="V3443" s="16" t="str">
        <f>IFERROR(__xludf.DUMMYFUNCTION("""COMPUTED_VALUE"""),"")</f>
        <v/>
      </c>
      <c r="W3443" s="16" t="str">
        <f>IFERROR(__xludf.DUMMYFUNCTION("""COMPUTED_VALUE"""),"")</f>
        <v/>
      </c>
      <c r="X3443" s="16" t="str">
        <f>IFERROR(__xludf.DUMMYFUNCTION("""COMPUTED_VALUE"""),"")</f>
        <v/>
      </c>
      <c r="AC3443" s="16" t="str">
        <f>IFERROR(__xludf.DUMMYFUNCTION("""COMPUTED_VALUE"""),"")</f>
        <v/>
      </c>
    </row>
    <row r="3444">
      <c r="A3444" s="16" t="s">
        <v>87</v>
      </c>
      <c r="E3444" s="16" t="str">
        <f>IFERROR(__xludf.DUMMYFUNCTION("""COMPUTED_VALUE"""),"")</f>
        <v/>
      </c>
      <c r="G3444" s="18"/>
      <c r="H3444" s="16" t="s">
        <v>87</v>
      </c>
      <c r="I3444" s="16" t="s">
        <v>87</v>
      </c>
      <c r="J3444" s="19"/>
      <c r="L3444" s="16" t="str">
        <f>IFERROR(__xludf.DUMMYFUNCTION("""COMPUTED_VALUE"""),"")</f>
        <v/>
      </c>
      <c r="M3444" s="16" t="str">
        <f>IFERROR(__xludf.DUMMYFUNCTION("""COMPUTED_VALUE"""),"")</f>
        <v/>
      </c>
      <c r="U3444" s="16" t="s">
        <v>87</v>
      </c>
      <c r="V3444" s="16" t="str">
        <f>IFERROR(__xludf.DUMMYFUNCTION("""COMPUTED_VALUE"""),"")</f>
        <v/>
      </c>
      <c r="W3444" s="16" t="str">
        <f>IFERROR(__xludf.DUMMYFUNCTION("""COMPUTED_VALUE"""),"")</f>
        <v/>
      </c>
      <c r="X3444" s="16" t="str">
        <f>IFERROR(__xludf.DUMMYFUNCTION("""COMPUTED_VALUE"""),"")</f>
        <v/>
      </c>
      <c r="AC3444" s="16" t="str">
        <f>IFERROR(__xludf.DUMMYFUNCTION("""COMPUTED_VALUE"""),"")</f>
        <v/>
      </c>
    </row>
    <row r="3445">
      <c r="A3445" s="16" t="s">
        <v>87</v>
      </c>
      <c r="E3445" s="16" t="str">
        <f>IFERROR(__xludf.DUMMYFUNCTION("""COMPUTED_VALUE"""),"")</f>
        <v/>
      </c>
      <c r="G3445" s="18"/>
      <c r="H3445" s="16" t="s">
        <v>87</v>
      </c>
      <c r="I3445" s="16" t="s">
        <v>87</v>
      </c>
      <c r="J3445" s="19"/>
      <c r="L3445" s="16" t="str">
        <f>IFERROR(__xludf.DUMMYFUNCTION("""COMPUTED_VALUE"""),"")</f>
        <v/>
      </c>
      <c r="M3445" s="16" t="str">
        <f>IFERROR(__xludf.DUMMYFUNCTION("""COMPUTED_VALUE"""),"")</f>
        <v/>
      </c>
      <c r="U3445" s="16" t="s">
        <v>87</v>
      </c>
      <c r="V3445" s="16" t="str">
        <f>IFERROR(__xludf.DUMMYFUNCTION("""COMPUTED_VALUE"""),"")</f>
        <v/>
      </c>
      <c r="W3445" s="16" t="str">
        <f>IFERROR(__xludf.DUMMYFUNCTION("""COMPUTED_VALUE"""),"")</f>
        <v/>
      </c>
      <c r="X3445" s="16" t="str">
        <f>IFERROR(__xludf.DUMMYFUNCTION("""COMPUTED_VALUE"""),"")</f>
        <v/>
      </c>
      <c r="AC3445" s="16" t="str">
        <f>IFERROR(__xludf.DUMMYFUNCTION("""COMPUTED_VALUE"""),"")</f>
        <v/>
      </c>
    </row>
    <row r="3446">
      <c r="A3446" s="16" t="s">
        <v>87</v>
      </c>
      <c r="E3446" s="16" t="str">
        <f>IFERROR(__xludf.DUMMYFUNCTION("""COMPUTED_VALUE"""),"")</f>
        <v/>
      </c>
      <c r="G3446" s="18"/>
      <c r="H3446" s="16" t="s">
        <v>87</v>
      </c>
      <c r="I3446" s="16" t="s">
        <v>87</v>
      </c>
      <c r="J3446" s="19"/>
      <c r="L3446" s="16" t="str">
        <f>IFERROR(__xludf.DUMMYFUNCTION("""COMPUTED_VALUE"""),"")</f>
        <v/>
      </c>
      <c r="M3446" s="16" t="str">
        <f>IFERROR(__xludf.DUMMYFUNCTION("""COMPUTED_VALUE"""),"")</f>
        <v/>
      </c>
      <c r="U3446" s="16" t="s">
        <v>87</v>
      </c>
      <c r="V3446" s="16" t="str">
        <f>IFERROR(__xludf.DUMMYFUNCTION("""COMPUTED_VALUE"""),"")</f>
        <v/>
      </c>
      <c r="W3446" s="16" t="str">
        <f>IFERROR(__xludf.DUMMYFUNCTION("""COMPUTED_VALUE"""),"")</f>
        <v/>
      </c>
      <c r="X3446" s="16" t="str">
        <f>IFERROR(__xludf.DUMMYFUNCTION("""COMPUTED_VALUE"""),"")</f>
        <v/>
      </c>
      <c r="AC3446" s="16" t="str">
        <f>IFERROR(__xludf.DUMMYFUNCTION("""COMPUTED_VALUE"""),"")</f>
        <v/>
      </c>
    </row>
    <row r="3447">
      <c r="A3447" s="16" t="s">
        <v>87</v>
      </c>
      <c r="E3447" s="16" t="str">
        <f>IFERROR(__xludf.DUMMYFUNCTION("""COMPUTED_VALUE"""),"")</f>
        <v/>
      </c>
      <c r="G3447" s="18"/>
      <c r="H3447" s="16" t="s">
        <v>87</v>
      </c>
      <c r="I3447" s="16" t="s">
        <v>87</v>
      </c>
      <c r="J3447" s="19"/>
      <c r="L3447" s="16" t="str">
        <f>IFERROR(__xludf.DUMMYFUNCTION("""COMPUTED_VALUE"""),"")</f>
        <v/>
      </c>
      <c r="M3447" s="16" t="str">
        <f>IFERROR(__xludf.DUMMYFUNCTION("""COMPUTED_VALUE"""),"")</f>
        <v/>
      </c>
      <c r="U3447" s="16" t="s">
        <v>87</v>
      </c>
      <c r="V3447" s="16" t="str">
        <f>IFERROR(__xludf.DUMMYFUNCTION("""COMPUTED_VALUE"""),"")</f>
        <v/>
      </c>
      <c r="W3447" s="16" t="str">
        <f>IFERROR(__xludf.DUMMYFUNCTION("""COMPUTED_VALUE"""),"")</f>
        <v/>
      </c>
      <c r="X3447" s="16" t="str">
        <f>IFERROR(__xludf.DUMMYFUNCTION("""COMPUTED_VALUE"""),"")</f>
        <v/>
      </c>
      <c r="AC3447" s="16" t="str">
        <f>IFERROR(__xludf.DUMMYFUNCTION("""COMPUTED_VALUE"""),"")</f>
        <v/>
      </c>
    </row>
    <row r="3448">
      <c r="A3448" s="16" t="s">
        <v>87</v>
      </c>
      <c r="E3448" s="16" t="str">
        <f>IFERROR(__xludf.DUMMYFUNCTION("""COMPUTED_VALUE"""),"")</f>
        <v/>
      </c>
      <c r="G3448" s="18"/>
      <c r="H3448" s="16" t="s">
        <v>87</v>
      </c>
      <c r="I3448" s="16" t="s">
        <v>87</v>
      </c>
      <c r="J3448" s="19"/>
      <c r="L3448" s="16" t="str">
        <f>IFERROR(__xludf.DUMMYFUNCTION("""COMPUTED_VALUE"""),"")</f>
        <v/>
      </c>
      <c r="M3448" s="16" t="str">
        <f>IFERROR(__xludf.DUMMYFUNCTION("""COMPUTED_VALUE"""),"")</f>
        <v/>
      </c>
      <c r="U3448" s="16" t="s">
        <v>87</v>
      </c>
      <c r="V3448" s="16" t="str">
        <f>IFERROR(__xludf.DUMMYFUNCTION("""COMPUTED_VALUE"""),"")</f>
        <v/>
      </c>
      <c r="W3448" s="16" t="str">
        <f>IFERROR(__xludf.DUMMYFUNCTION("""COMPUTED_VALUE"""),"")</f>
        <v/>
      </c>
      <c r="X3448" s="16" t="str">
        <f>IFERROR(__xludf.DUMMYFUNCTION("""COMPUTED_VALUE"""),"")</f>
        <v/>
      </c>
      <c r="AC3448" s="16" t="str">
        <f>IFERROR(__xludf.DUMMYFUNCTION("""COMPUTED_VALUE"""),"")</f>
        <v/>
      </c>
    </row>
    <row r="3449">
      <c r="A3449" s="16" t="s">
        <v>87</v>
      </c>
      <c r="E3449" s="16" t="str">
        <f>IFERROR(__xludf.DUMMYFUNCTION("""COMPUTED_VALUE"""),"")</f>
        <v/>
      </c>
      <c r="G3449" s="18"/>
      <c r="H3449" s="16" t="s">
        <v>87</v>
      </c>
      <c r="I3449" s="16" t="s">
        <v>87</v>
      </c>
      <c r="J3449" s="19"/>
      <c r="L3449" s="16" t="str">
        <f>IFERROR(__xludf.DUMMYFUNCTION("""COMPUTED_VALUE"""),"")</f>
        <v/>
      </c>
      <c r="M3449" s="16" t="str">
        <f>IFERROR(__xludf.DUMMYFUNCTION("""COMPUTED_VALUE"""),"")</f>
        <v/>
      </c>
      <c r="U3449" s="16" t="s">
        <v>87</v>
      </c>
      <c r="V3449" s="16" t="str">
        <f>IFERROR(__xludf.DUMMYFUNCTION("""COMPUTED_VALUE"""),"")</f>
        <v/>
      </c>
      <c r="W3449" s="16" t="str">
        <f>IFERROR(__xludf.DUMMYFUNCTION("""COMPUTED_VALUE"""),"")</f>
        <v/>
      </c>
      <c r="X3449" s="16" t="str">
        <f>IFERROR(__xludf.DUMMYFUNCTION("""COMPUTED_VALUE"""),"")</f>
        <v/>
      </c>
      <c r="AC3449" s="16" t="str">
        <f>IFERROR(__xludf.DUMMYFUNCTION("""COMPUTED_VALUE"""),"")</f>
        <v/>
      </c>
    </row>
    <row r="3450">
      <c r="A3450" s="16" t="s">
        <v>87</v>
      </c>
      <c r="E3450" s="16" t="str">
        <f>IFERROR(__xludf.DUMMYFUNCTION("""COMPUTED_VALUE"""),"")</f>
        <v/>
      </c>
      <c r="G3450" s="18"/>
      <c r="H3450" s="16" t="s">
        <v>87</v>
      </c>
      <c r="I3450" s="16" t="s">
        <v>87</v>
      </c>
      <c r="J3450" s="19"/>
      <c r="L3450" s="16" t="str">
        <f>IFERROR(__xludf.DUMMYFUNCTION("""COMPUTED_VALUE"""),"")</f>
        <v/>
      </c>
      <c r="M3450" s="16" t="str">
        <f>IFERROR(__xludf.DUMMYFUNCTION("""COMPUTED_VALUE"""),"")</f>
        <v/>
      </c>
      <c r="U3450" s="16" t="s">
        <v>87</v>
      </c>
      <c r="V3450" s="16" t="str">
        <f>IFERROR(__xludf.DUMMYFUNCTION("""COMPUTED_VALUE"""),"")</f>
        <v/>
      </c>
      <c r="W3450" s="16" t="str">
        <f>IFERROR(__xludf.DUMMYFUNCTION("""COMPUTED_VALUE"""),"")</f>
        <v/>
      </c>
      <c r="X3450" s="16" t="str">
        <f>IFERROR(__xludf.DUMMYFUNCTION("""COMPUTED_VALUE"""),"")</f>
        <v/>
      </c>
      <c r="AC3450" s="16" t="str">
        <f>IFERROR(__xludf.DUMMYFUNCTION("""COMPUTED_VALUE"""),"")</f>
        <v/>
      </c>
    </row>
    <row r="3451">
      <c r="A3451" s="16" t="s">
        <v>87</v>
      </c>
      <c r="E3451" s="16" t="str">
        <f>IFERROR(__xludf.DUMMYFUNCTION("""COMPUTED_VALUE"""),"")</f>
        <v/>
      </c>
      <c r="G3451" s="18"/>
      <c r="H3451" s="16" t="s">
        <v>87</v>
      </c>
      <c r="I3451" s="16" t="s">
        <v>87</v>
      </c>
      <c r="J3451" s="19"/>
      <c r="L3451" s="16" t="str">
        <f>IFERROR(__xludf.DUMMYFUNCTION("""COMPUTED_VALUE"""),"")</f>
        <v/>
      </c>
      <c r="M3451" s="16" t="str">
        <f>IFERROR(__xludf.DUMMYFUNCTION("""COMPUTED_VALUE"""),"")</f>
        <v/>
      </c>
      <c r="U3451" s="16" t="s">
        <v>87</v>
      </c>
      <c r="V3451" s="16" t="str">
        <f>IFERROR(__xludf.DUMMYFUNCTION("""COMPUTED_VALUE"""),"")</f>
        <v/>
      </c>
      <c r="W3451" s="16" t="str">
        <f>IFERROR(__xludf.DUMMYFUNCTION("""COMPUTED_VALUE"""),"")</f>
        <v/>
      </c>
      <c r="X3451" s="16" t="str">
        <f>IFERROR(__xludf.DUMMYFUNCTION("""COMPUTED_VALUE"""),"")</f>
        <v/>
      </c>
      <c r="AC3451" s="16" t="str">
        <f>IFERROR(__xludf.DUMMYFUNCTION("""COMPUTED_VALUE"""),"")</f>
        <v/>
      </c>
    </row>
    <row r="3452">
      <c r="A3452" s="16" t="s">
        <v>87</v>
      </c>
      <c r="E3452" s="16" t="str">
        <f>IFERROR(__xludf.DUMMYFUNCTION("""COMPUTED_VALUE"""),"")</f>
        <v/>
      </c>
      <c r="G3452" s="18"/>
      <c r="H3452" s="16" t="s">
        <v>87</v>
      </c>
      <c r="I3452" s="16" t="s">
        <v>87</v>
      </c>
      <c r="J3452" s="19"/>
      <c r="L3452" s="16" t="str">
        <f>IFERROR(__xludf.DUMMYFUNCTION("""COMPUTED_VALUE"""),"")</f>
        <v/>
      </c>
      <c r="M3452" s="16" t="str">
        <f>IFERROR(__xludf.DUMMYFUNCTION("""COMPUTED_VALUE"""),"")</f>
        <v/>
      </c>
      <c r="U3452" s="16" t="s">
        <v>87</v>
      </c>
      <c r="V3452" s="16" t="str">
        <f>IFERROR(__xludf.DUMMYFUNCTION("""COMPUTED_VALUE"""),"")</f>
        <v/>
      </c>
      <c r="W3452" s="16" t="str">
        <f>IFERROR(__xludf.DUMMYFUNCTION("""COMPUTED_VALUE"""),"")</f>
        <v/>
      </c>
      <c r="X3452" s="16" t="str">
        <f>IFERROR(__xludf.DUMMYFUNCTION("""COMPUTED_VALUE"""),"")</f>
        <v/>
      </c>
      <c r="AC3452" s="16" t="str">
        <f>IFERROR(__xludf.DUMMYFUNCTION("""COMPUTED_VALUE"""),"")</f>
        <v/>
      </c>
    </row>
    <row r="3453">
      <c r="A3453" s="16" t="s">
        <v>87</v>
      </c>
      <c r="E3453" s="16" t="str">
        <f>IFERROR(__xludf.DUMMYFUNCTION("""COMPUTED_VALUE"""),"")</f>
        <v/>
      </c>
      <c r="G3453" s="18"/>
      <c r="H3453" s="16" t="s">
        <v>87</v>
      </c>
      <c r="I3453" s="16" t="s">
        <v>87</v>
      </c>
      <c r="J3453" s="19"/>
      <c r="L3453" s="16" t="str">
        <f>IFERROR(__xludf.DUMMYFUNCTION("""COMPUTED_VALUE"""),"")</f>
        <v/>
      </c>
      <c r="M3453" s="16" t="str">
        <f>IFERROR(__xludf.DUMMYFUNCTION("""COMPUTED_VALUE"""),"")</f>
        <v/>
      </c>
      <c r="U3453" s="16" t="s">
        <v>87</v>
      </c>
      <c r="V3453" s="16" t="str">
        <f>IFERROR(__xludf.DUMMYFUNCTION("""COMPUTED_VALUE"""),"")</f>
        <v/>
      </c>
      <c r="W3453" s="16" t="str">
        <f>IFERROR(__xludf.DUMMYFUNCTION("""COMPUTED_VALUE"""),"")</f>
        <v/>
      </c>
      <c r="X3453" s="16" t="str">
        <f>IFERROR(__xludf.DUMMYFUNCTION("""COMPUTED_VALUE"""),"")</f>
        <v/>
      </c>
      <c r="AC3453" s="16" t="str">
        <f>IFERROR(__xludf.DUMMYFUNCTION("""COMPUTED_VALUE"""),"")</f>
        <v/>
      </c>
    </row>
    <row r="3454">
      <c r="A3454" s="16" t="s">
        <v>87</v>
      </c>
      <c r="E3454" s="16" t="str">
        <f>IFERROR(__xludf.DUMMYFUNCTION("""COMPUTED_VALUE"""),"")</f>
        <v/>
      </c>
      <c r="G3454" s="18"/>
      <c r="H3454" s="16" t="s">
        <v>87</v>
      </c>
      <c r="I3454" s="16" t="s">
        <v>87</v>
      </c>
      <c r="J3454" s="19"/>
      <c r="L3454" s="16" t="str">
        <f>IFERROR(__xludf.DUMMYFUNCTION("""COMPUTED_VALUE"""),"")</f>
        <v/>
      </c>
      <c r="M3454" s="16" t="str">
        <f>IFERROR(__xludf.DUMMYFUNCTION("""COMPUTED_VALUE"""),"")</f>
        <v/>
      </c>
      <c r="U3454" s="16" t="s">
        <v>87</v>
      </c>
      <c r="V3454" s="16" t="str">
        <f>IFERROR(__xludf.DUMMYFUNCTION("""COMPUTED_VALUE"""),"")</f>
        <v/>
      </c>
      <c r="W3454" s="16" t="str">
        <f>IFERROR(__xludf.DUMMYFUNCTION("""COMPUTED_VALUE"""),"")</f>
        <v/>
      </c>
      <c r="X3454" s="16" t="str">
        <f>IFERROR(__xludf.DUMMYFUNCTION("""COMPUTED_VALUE"""),"")</f>
        <v/>
      </c>
      <c r="AC3454" s="16" t="str">
        <f>IFERROR(__xludf.DUMMYFUNCTION("""COMPUTED_VALUE"""),"")</f>
        <v/>
      </c>
    </row>
    <row r="3455">
      <c r="A3455" s="16" t="s">
        <v>87</v>
      </c>
      <c r="E3455" s="16" t="str">
        <f>IFERROR(__xludf.DUMMYFUNCTION("""COMPUTED_VALUE"""),"")</f>
        <v/>
      </c>
      <c r="G3455" s="18"/>
      <c r="H3455" s="16" t="s">
        <v>87</v>
      </c>
      <c r="I3455" s="16" t="s">
        <v>87</v>
      </c>
      <c r="J3455" s="19"/>
      <c r="L3455" s="16" t="str">
        <f>IFERROR(__xludf.DUMMYFUNCTION("""COMPUTED_VALUE"""),"")</f>
        <v/>
      </c>
      <c r="M3455" s="16" t="str">
        <f>IFERROR(__xludf.DUMMYFUNCTION("""COMPUTED_VALUE"""),"")</f>
        <v/>
      </c>
      <c r="U3455" s="16" t="s">
        <v>87</v>
      </c>
      <c r="V3455" s="16" t="str">
        <f>IFERROR(__xludf.DUMMYFUNCTION("""COMPUTED_VALUE"""),"")</f>
        <v/>
      </c>
      <c r="W3455" s="16" t="str">
        <f>IFERROR(__xludf.DUMMYFUNCTION("""COMPUTED_VALUE"""),"")</f>
        <v/>
      </c>
      <c r="X3455" s="16" t="str">
        <f>IFERROR(__xludf.DUMMYFUNCTION("""COMPUTED_VALUE"""),"")</f>
        <v/>
      </c>
      <c r="AC3455" s="16" t="str">
        <f>IFERROR(__xludf.DUMMYFUNCTION("""COMPUTED_VALUE"""),"")</f>
        <v/>
      </c>
    </row>
    <row r="3456">
      <c r="A3456" s="16" t="s">
        <v>87</v>
      </c>
      <c r="E3456" s="16" t="str">
        <f>IFERROR(__xludf.DUMMYFUNCTION("""COMPUTED_VALUE"""),"")</f>
        <v/>
      </c>
      <c r="G3456" s="18"/>
      <c r="H3456" s="16" t="s">
        <v>87</v>
      </c>
      <c r="I3456" s="16" t="s">
        <v>87</v>
      </c>
      <c r="J3456" s="19"/>
      <c r="L3456" s="16" t="str">
        <f>IFERROR(__xludf.DUMMYFUNCTION("""COMPUTED_VALUE"""),"")</f>
        <v/>
      </c>
      <c r="M3456" s="16" t="str">
        <f>IFERROR(__xludf.DUMMYFUNCTION("""COMPUTED_VALUE"""),"")</f>
        <v/>
      </c>
      <c r="U3456" s="16" t="s">
        <v>87</v>
      </c>
      <c r="V3456" s="16" t="str">
        <f>IFERROR(__xludf.DUMMYFUNCTION("""COMPUTED_VALUE"""),"")</f>
        <v/>
      </c>
      <c r="W3456" s="16" t="str">
        <f>IFERROR(__xludf.DUMMYFUNCTION("""COMPUTED_VALUE"""),"")</f>
        <v/>
      </c>
      <c r="X3456" s="16" t="str">
        <f>IFERROR(__xludf.DUMMYFUNCTION("""COMPUTED_VALUE"""),"")</f>
        <v/>
      </c>
      <c r="AC3456" s="16" t="str">
        <f>IFERROR(__xludf.DUMMYFUNCTION("""COMPUTED_VALUE"""),"")</f>
        <v/>
      </c>
    </row>
    <row r="3457">
      <c r="A3457" s="16" t="s">
        <v>87</v>
      </c>
      <c r="E3457" s="16" t="str">
        <f>IFERROR(__xludf.DUMMYFUNCTION("""COMPUTED_VALUE"""),"")</f>
        <v/>
      </c>
      <c r="G3457" s="18"/>
      <c r="H3457" s="16" t="s">
        <v>87</v>
      </c>
      <c r="I3457" s="16" t="s">
        <v>87</v>
      </c>
      <c r="J3457" s="19"/>
      <c r="L3457" s="16" t="str">
        <f>IFERROR(__xludf.DUMMYFUNCTION("""COMPUTED_VALUE"""),"")</f>
        <v/>
      </c>
      <c r="M3457" s="16" t="str">
        <f>IFERROR(__xludf.DUMMYFUNCTION("""COMPUTED_VALUE"""),"")</f>
        <v/>
      </c>
      <c r="U3457" s="16" t="s">
        <v>87</v>
      </c>
      <c r="V3457" s="16" t="str">
        <f>IFERROR(__xludf.DUMMYFUNCTION("""COMPUTED_VALUE"""),"")</f>
        <v/>
      </c>
      <c r="W3457" s="16" t="str">
        <f>IFERROR(__xludf.DUMMYFUNCTION("""COMPUTED_VALUE"""),"")</f>
        <v/>
      </c>
      <c r="X3457" s="16" t="str">
        <f>IFERROR(__xludf.DUMMYFUNCTION("""COMPUTED_VALUE"""),"")</f>
        <v/>
      </c>
      <c r="AC3457" s="16" t="str">
        <f>IFERROR(__xludf.DUMMYFUNCTION("""COMPUTED_VALUE"""),"")</f>
        <v/>
      </c>
    </row>
    <row r="3458">
      <c r="A3458" s="16" t="s">
        <v>87</v>
      </c>
      <c r="E3458" s="16" t="str">
        <f>IFERROR(__xludf.DUMMYFUNCTION("""COMPUTED_VALUE"""),"")</f>
        <v/>
      </c>
      <c r="G3458" s="18"/>
      <c r="H3458" s="16" t="s">
        <v>87</v>
      </c>
      <c r="I3458" s="16" t="s">
        <v>87</v>
      </c>
      <c r="J3458" s="19"/>
      <c r="L3458" s="16" t="str">
        <f>IFERROR(__xludf.DUMMYFUNCTION("""COMPUTED_VALUE"""),"")</f>
        <v/>
      </c>
      <c r="M3458" s="16" t="str">
        <f>IFERROR(__xludf.DUMMYFUNCTION("""COMPUTED_VALUE"""),"")</f>
        <v/>
      </c>
      <c r="U3458" s="16" t="s">
        <v>87</v>
      </c>
      <c r="V3458" s="16" t="str">
        <f>IFERROR(__xludf.DUMMYFUNCTION("""COMPUTED_VALUE"""),"")</f>
        <v/>
      </c>
      <c r="W3458" s="16" t="str">
        <f>IFERROR(__xludf.DUMMYFUNCTION("""COMPUTED_VALUE"""),"")</f>
        <v/>
      </c>
      <c r="X3458" s="16" t="str">
        <f>IFERROR(__xludf.DUMMYFUNCTION("""COMPUTED_VALUE"""),"")</f>
        <v/>
      </c>
      <c r="AC3458" s="16" t="str">
        <f>IFERROR(__xludf.DUMMYFUNCTION("""COMPUTED_VALUE"""),"")</f>
        <v/>
      </c>
    </row>
    <row r="3459">
      <c r="A3459" s="16" t="s">
        <v>87</v>
      </c>
      <c r="E3459" s="16" t="str">
        <f>IFERROR(__xludf.DUMMYFUNCTION("""COMPUTED_VALUE"""),"")</f>
        <v/>
      </c>
      <c r="G3459" s="18"/>
      <c r="H3459" s="16" t="s">
        <v>87</v>
      </c>
      <c r="I3459" s="16" t="s">
        <v>87</v>
      </c>
      <c r="J3459" s="19"/>
      <c r="L3459" s="16" t="str">
        <f>IFERROR(__xludf.DUMMYFUNCTION("""COMPUTED_VALUE"""),"")</f>
        <v/>
      </c>
      <c r="M3459" s="16" t="str">
        <f>IFERROR(__xludf.DUMMYFUNCTION("""COMPUTED_VALUE"""),"")</f>
        <v/>
      </c>
      <c r="U3459" s="16" t="s">
        <v>87</v>
      </c>
      <c r="V3459" s="16" t="str">
        <f>IFERROR(__xludf.DUMMYFUNCTION("""COMPUTED_VALUE"""),"")</f>
        <v/>
      </c>
      <c r="W3459" s="16" t="str">
        <f>IFERROR(__xludf.DUMMYFUNCTION("""COMPUTED_VALUE"""),"")</f>
        <v/>
      </c>
      <c r="X3459" s="16" t="str">
        <f>IFERROR(__xludf.DUMMYFUNCTION("""COMPUTED_VALUE"""),"")</f>
        <v/>
      </c>
      <c r="AC3459" s="16" t="str">
        <f>IFERROR(__xludf.DUMMYFUNCTION("""COMPUTED_VALUE"""),"")</f>
        <v/>
      </c>
    </row>
    <row r="3460">
      <c r="A3460" s="16" t="s">
        <v>87</v>
      </c>
      <c r="E3460" s="16" t="str">
        <f>IFERROR(__xludf.DUMMYFUNCTION("""COMPUTED_VALUE"""),"")</f>
        <v/>
      </c>
      <c r="G3460" s="18"/>
      <c r="H3460" s="16" t="s">
        <v>87</v>
      </c>
      <c r="I3460" s="16" t="s">
        <v>87</v>
      </c>
      <c r="J3460" s="19"/>
      <c r="L3460" s="16" t="str">
        <f>IFERROR(__xludf.DUMMYFUNCTION("""COMPUTED_VALUE"""),"")</f>
        <v/>
      </c>
      <c r="M3460" s="16" t="str">
        <f>IFERROR(__xludf.DUMMYFUNCTION("""COMPUTED_VALUE"""),"")</f>
        <v/>
      </c>
      <c r="U3460" s="16" t="s">
        <v>87</v>
      </c>
      <c r="V3460" s="16" t="str">
        <f>IFERROR(__xludf.DUMMYFUNCTION("""COMPUTED_VALUE"""),"")</f>
        <v/>
      </c>
      <c r="W3460" s="16" t="str">
        <f>IFERROR(__xludf.DUMMYFUNCTION("""COMPUTED_VALUE"""),"")</f>
        <v/>
      </c>
      <c r="X3460" s="16" t="str">
        <f>IFERROR(__xludf.DUMMYFUNCTION("""COMPUTED_VALUE"""),"")</f>
        <v/>
      </c>
      <c r="AC3460" s="16" t="str">
        <f>IFERROR(__xludf.DUMMYFUNCTION("""COMPUTED_VALUE"""),"")</f>
        <v/>
      </c>
    </row>
    <row r="3461">
      <c r="A3461" s="16" t="s">
        <v>87</v>
      </c>
      <c r="E3461" s="16" t="str">
        <f>IFERROR(__xludf.DUMMYFUNCTION("""COMPUTED_VALUE"""),"")</f>
        <v/>
      </c>
      <c r="G3461" s="18"/>
      <c r="H3461" s="16" t="s">
        <v>87</v>
      </c>
      <c r="I3461" s="16" t="s">
        <v>87</v>
      </c>
      <c r="J3461" s="19"/>
      <c r="L3461" s="16" t="str">
        <f>IFERROR(__xludf.DUMMYFUNCTION("""COMPUTED_VALUE"""),"")</f>
        <v/>
      </c>
      <c r="M3461" s="16" t="str">
        <f>IFERROR(__xludf.DUMMYFUNCTION("""COMPUTED_VALUE"""),"")</f>
        <v/>
      </c>
      <c r="U3461" s="16" t="s">
        <v>87</v>
      </c>
      <c r="V3461" s="16" t="str">
        <f>IFERROR(__xludf.DUMMYFUNCTION("""COMPUTED_VALUE"""),"")</f>
        <v/>
      </c>
      <c r="W3461" s="16" t="str">
        <f>IFERROR(__xludf.DUMMYFUNCTION("""COMPUTED_VALUE"""),"")</f>
        <v/>
      </c>
      <c r="X3461" s="16" t="str">
        <f>IFERROR(__xludf.DUMMYFUNCTION("""COMPUTED_VALUE"""),"")</f>
        <v/>
      </c>
      <c r="AC3461" s="16" t="str">
        <f>IFERROR(__xludf.DUMMYFUNCTION("""COMPUTED_VALUE"""),"")</f>
        <v/>
      </c>
    </row>
    <row r="3462">
      <c r="A3462" s="16" t="s">
        <v>87</v>
      </c>
      <c r="E3462" s="16" t="str">
        <f>IFERROR(__xludf.DUMMYFUNCTION("""COMPUTED_VALUE"""),"")</f>
        <v/>
      </c>
      <c r="G3462" s="18"/>
      <c r="H3462" s="16" t="s">
        <v>87</v>
      </c>
      <c r="I3462" s="16" t="s">
        <v>87</v>
      </c>
      <c r="J3462" s="19"/>
      <c r="L3462" s="16" t="str">
        <f>IFERROR(__xludf.DUMMYFUNCTION("""COMPUTED_VALUE"""),"")</f>
        <v/>
      </c>
      <c r="M3462" s="16" t="str">
        <f>IFERROR(__xludf.DUMMYFUNCTION("""COMPUTED_VALUE"""),"")</f>
        <v/>
      </c>
      <c r="U3462" s="16" t="s">
        <v>87</v>
      </c>
      <c r="V3462" s="16" t="str">
        <f>IFERROR(__xludf.DUMMYFUNCTION("""COMPUTED_VALUE"""),"")</f>
        <v/>
      </c>
      <c r="W3462" s="16" t="str">
        <f>IFERROR(__xludf.DUMMYFUNCTION("""COMPUTED_VALUE"""),"")</f>
        <v/>
      </c>
      <c r="X3462" s="16" t="str">
        <f>IFERROR(__xludf.DUMMYFUNCTION("""COMPUTED_VALUE"""),"")</f>
        <v/>
      </c>
      <c r="AC3462" s="16" t="str">
        <f>IFERROR(__xludf.DUMMYFUNCTION("""COMPUTED_VALUE"""),"")</f>
        <v/>
      </c>
    </row>
    <row r="3463">
      <c r="A3463" s="16" t="s">
        <v>87</v>
      </c>
      <c r="E3463" s="16" t="str">
        <f>IFERROR(__xludf.DUMMYFUNCTION("""COMPUTED_VALUE"""),"")</f>
        <v/>
      </c>
      <c r="G3463" s="18"/>
      <c r="H3463" s="16" t="s">
        <v>87</v>
      </c>
      <c r="I3463" s="16" t="s">
        <v>87</v>
      </c>
      <c r="J3463" s="19"/>
      <c r="L3463" s="16" t="str">
        <f>IFERROR(__xludf.DUMMYFUNCTION("""COMPUTED_VALUE"""),"")</f>
        <v/>
      </c>
      <c r="M3463" s="16" t="str">
        <f>IFERROR(__xludf.DUMMYFUNCTION("""COMPUTED_VALUE"""),"")</f>
        <v/>
      </c>
      <c r="U3463" s="16" t="s">
        <v>87</v>
      </c>
      <c r="V3463" s="16" t="str">
        <f>IFERROR(__xludf.DUMMYFUNCTION("""COMPUTED_VALUE"""),"")</f>
        <v/>
      </c>
      <c r="W3463" s="16" t="str">
        <f>IFERROR(__xludf.DUMMYFUNCTION("""COMPUTED_VALUE"""),"")</f>
        <v/>
      </c>
      <c r="X3463" s="16" t="str">
        <f>IFERROR(__xludf.DUMMYFUNCTION("""COMPUTED_VALUE"""),"")</f>
        <v/>
      </c>
      <c r="AC3463" s="16" t="str">
        <f>IFERROR(__xludf.DUMMYFUNCTION("""COMPUTED_VALUE"""),"")</f>
        <v/>
      </c>
    </row>
    <row r="3464">
      <c r="A3464" s="16" t="s">
        <v>87</v>
      </c>
      <c r="E3464" s="16" t="str">
        <f>IFERROR(__xludf.DUMMYFUNCTION("""COMPUTED_VALUE"""),"")</f>
        <v/>
      </c>
      <c r="G3464" s="18"/>
      <c r="H3464" s="16" t="s">
        <v>87</v>
      </c>
      <c r="I3464" s="16" t="s">
        <v>87</v>
      </c>
      <c r="J3464" s="19"/>
      <c r="L3464" s="16" t="str">
        <f>IFERROR(__xludf.DUMMYFUNCTION("""COMPUTED_VALUE"""),"")</f>
        <v/>
      </c>
      <c r="M3464" s="16" t="str">
        <f>IFERROR(__xludf.DUMMYFUNCTION("""COMPUTED_VALUE"""),"")</f>
        <v/>
      </c>
      <c r="U3464" s="16" t="s">
        <v>87</v>
      </c>
      <c r="V3464" s="16" t="str">
        <f>IFERROR(__xludf.DUMMYFUNCTION("""COMPUTED_VALUE"""),"")</f>
        <v/>
      </c>
      <c r="W3464" s="16" t="str">
        <f>IFERROR(__xludf.DUMMYFUNCTION("""COMPUTED_VALUE"""),"")</f>
        <v/>
      </c>
      <c r="X3464" s="16" t="str">
        <f>IFERROR(__xludf.DUMMYFUNCTION("""COMPUTED_VALUE"""),"")</f>
        <v/>
      </c>
      <c r="AC3464" s="16" t="str">
        <f>IFERROR(__xludf.DUMMYFUNCTION("""COMPUTED_VALUE"""),"")</f>
        <v/>
      </c>
    </row>
    <row r="3465">
      <c r="A3465" s="16" t="s">
        <v>87</v>
      </c>
      <c r="E3465" s="16" t="str">
        <f>IFERROR(__xludf.DUMMYFUNCTION("""COMPUTED_VALUE"""),"")</f>
        <v/>
      </c>
      <c r="G3465" s="18"/>
      <c r="H3465" s="16" t="s">
        <v>87</v>
      </c>
      <c r="I3465" s="16" t="s">
        <v>87</v>
      </c>
      <c r="J3465" s="19"/>
      <c r="L3465" s="16" t="str">
        <f>IFERROR(__xludf.DUMMYFUNCTION("""COMPUTED_VALUE"""),"")</f>
        <v/>
      </c>
      <c r="M3465" s="16" t="str">
        <f>IFERROR(__xludf.DUMMYFUNCTION("""COMPUTED_VALUE"""),"")</f>
        <v/>
      </c>
      <c r="U3465" s="16" t="s">
        <v>87</v>
      </c>
      <c r="V3465" s="16" t="str">
        <f>IFERROR(__xludf.DUMMYFUNCTION("""COMPUTED_VALUE"""),"")</f>
        <v/>
      </c>
      <c r="W3465" s="16" t="str">
        <f>IFERROR(__xludf.DUMMYFUNCTION("""COMPUTED_VALUE"""),"")</f>
        <v/>
      </c>
      <c r="X3465" s="16" t="str">
        <f>IFERROR(__xludf.DUMMYFUNCTION("""COMPUTED_VALUE"""),"")</f>
        <v/>
      </c>
      <c r="AC3465" s="16" t="str">
        <f>IFERROR(__xludf.DUMMYFUNCTION("""COMPUTED_VALUE"""),"")</f>
        <v/>
      </c>
    </row>
    <row r="3466">
      <c r="A3466" s="16" t="s">
        <v>87</v>
      </c>
      <c r="E3466" s="16" t="str">
        <f>IFERROR(__xludf.DUMMYFUNCTION("""COMPUTED_VALUE"""),"")</f>
        <v/>
      </c>
      <c r="G3466" s="18"/>
      <c r="H3466" s="16" t="s">
        <v>87</v>
      </c>
      <c r="I3466" s="16" t="s">
        <v>87</v>
      </c>
      <c r="J3466" s="19"/>
      <c r="L3466" s="16" t="str">
        <f>IFERROR(__xludf.DUMMYFUNCTION("""COMPUTED_VALUE"""),"")</f>
        <v/>
      </c>
      <c r="M3466" s="16" t="str">
        <f>IFERROR(__xludf.DUMMYFUNCTION("""COMPUTED_VALUE"""),"")</f>
        <v/>
      </c>
      <c r="U3466" s="16" t="s">
        <v>87</v>
      </c>
      <c r="V3466" s="16" t="str">
        <f>IFERROR(__xludf.DUMMYFUNCTION("""COMPUTED_VALUE"""),"")</f>
        <v/>
      </c>
      <c r="W3466" s="16" t="str">
        <f>IFERROR(__xludf.DUMMYFUNCTION("""COMPUTED_VALUE"""),"")</f>
        <v/>
      </c>
      <c r="X3466" s="16" t="str">
        <f>IFERROR(__xludf.DUMMYFUNCTION("""COMPUTED_VALUE"""),"")</f>
        <v/>
      </c>
      <c r="AC3466" s="16" t="str">
        <f>IFERROR(__xludf.DUMMYFUNCTION("""COMPUTED_VALUE"""),"")</f>
        <v/>
      </c>
    </row>
    <row r="3467">
      <c r="A3467" s="16" t="s">
        <v>87</v>
      </c>
      <c r="E3467" s="16" t="str">
        <f>IFERROR(__xludf.DUMMYFUNCTION("""COMPUTED_VALUE"""),"")</f>
        <v/>
      </c>
      <c r="G3467" s="18"/>
      <c r="H3467" s="16" t="s">
        <v>87</v>
      </c>
      <c r="I3467" s="16" t="s">
        <v>87</v>
      </c>
      <c r="J3467" s="19"/>
      <c r="L3467" s="16" t="str">
        <f>IFERROR(__xludf.DUMMYFUNCTION("""COMPUTED_VALUE"""),"")</f>
        <v/>
      </c>
      <c r="M3467" s="16" t="str">
        <f>IFERROR(__xludf.DUMMYFUNCTION("""COMPUTED_VALUE"""),"")</f>
        <v/>
      </c>
      <c r="U3467" s="16" t="s">
        <v>87</v>
      </c>
      <c r="V3467" s="16" t="str">
        <f>IFERROR(__xludf.DUMMYFUNCTION("""COMPUTED_VALUE"""),"")</f>
        <v/>
      </c>
      <c r="W3467" s="16" t="str">
        <f>IFERROR(__xludf.DUMMYFUNCTION("""COMPUTED_VALUE"""),"")</f>
        <v/>
      </c>
      <c r="X3467" s="16" t="str">
        <f>IFERROR(__xludf.DUMMYFUNCTION("""COMPUTED_VALUE"""),"")</f>
        <v/>
      </c>
      <c r="AC3467" s="16" t="str">
        <f>IFERROR(__xludf.DUMMYFUNCTION("""COMPUTED_VALUE"""),"")</f>
        <v/>
      </c>
    </row>
    <row r="3468">
      <c r="A3468" s="16" t="s">
        <v>87</v>
      </c>
      <c r="E3468" s="16" t="str">
        <f>IFERROR(__xludf.DUMMYFUNCTION("""COMPUTED_VALUE"""),"")</f>
        <v/>
      </c>
      <c r="G3468" s="18"/>
      <c r="H3468" s="16" t="s">
        <v>87</v>
      </c>
      <c r="I3468" s="16" t="s">
        <v>87</v>
      </c>
      <c r="J3468" s="19"/>
      <c r="L3468" s="16" t="str">
        <f>IFERROR(__xludf.DUMMYFUNCTION("""COMPUTED_VALUE"""),"")</f>
        <v/>
      </c>
      <c r="M3468" s="16" t="str">
        <f>IFERROR(__xludf.DUMMYFUNCTION("""COMPUTED_VALUE"""),"")</f>
        <v/>
      </c>
      <c r="U3468" s="16" t="s">
        <v>87</v>
      </c>
      <c r="V3468" s="16" t="str">
        <f>IFERROR(__xludf.DUMMYFUNCTION("""COMPUTED_VALUE"""),"")</f>
        <v/>
      </c>
      <c r="W3468" s="16" t="str">
        <f>IFERROR(__xludf.DUMMYFUNCTION("""COMPUTED_VALUE"""),"")</f>
        <v/>
      </c>
      <c r="X3468" s="16" t="str">
        <f>IFERROR(__xludf.DUMMYFUNCTION("""COMPUTED_VALUE"""),"")</f>
        <v/>
      </c>
      <c r="AC3468" s="16" t="str">
        <f>IFERROR(__xludf.DUMMYFUNCTION("""COMPUTED_VALUE"""),"")</f>
        <v/>
      </c>
    </row>
    <row r="3469">
      <c r="A3469" s="16" t="s">
        <v>87</v>
      </c>
      <c r="E3469" s="16" t="str">
        <f>IFERROR(__xludf.DUMMYFUNCTION("""COMPUTED_VALUE"""),"")</f>
        <v/>
      </c>
      <c r="G3469" s="18"/>
      <c r="H3469" s="16" t="s">
        <v>87</v>
      </c>
      <c r="I3469" s="16" t="s">
        <v>87</v>
      </c>
      <c r="J3469" s="19"/>
      <c r="L3469" s="16" t="str">
        <f>IFERROR(__xludf.DUMMYFUNCTION("""COMPUTED_VALUE"""),"")</f>
        <v/>
      </c>
      <c r="M3469" s="16" t="str">
        <f>IFERROR(__xludf.DUMMYFUNCTION("""COMPUTED_VALUE"""),"")</f>
        <v/>
      </c>
      <c r="U3469" s="16" t="s">
        <v>87</v>
      </c>
      <c r="V3469" s="16" t="str">
        <f>IFERROR(__xludf.DUMMYFUNCTION("""COMPUTED_VALUE"""),"")</f>
        <v/>
      </c>
      <c r="W3469" s="16" t="str">
        <f>IFERROR(__xludf.DUMMYFUNCTION("""COMPUTED_VALUE"""),"")</f>
        <v/>
      </c>
      <c r="X3469" s="16" t="str">
        <f>IFERROR(__xludf.DUMMYFUNCTION("""COMPUTED_VALUE"""),"")</f>
        <v/>
      </c>
      <c r="AC3469" s="16" t="str">
        <f>IFERROR(__xludf.DUMMYFUNCTION("""COMPUTED_VALUE"""),"")</f>
        <v/>
      </c>
    </row>
    <row r="3470">
      <c r="A3470" s="16" t="s">
        <v>87</v>
      </c>
      <c r="E3470" s="16" t="str">
        <f>IFERROR(__xludf.DUMMYFUNCTION("""COMPUTED_VALUE"""),"")</f>
        <v/>
      </c>
      <c r="G3470" s="18"/>
      <c r="H3470" s="16" t="s">
        <v>87</v>
      </c>
      <c r="I3470" s="16" t="s">
        <v>87</v>
      </c>
      <c r="J3470" s="19"/>
      <c r="L3470" s="16" t="str">
        <f>IFERROR(__xludf.DUMMYFUNCTION("""COMPUTED_VALUE"""),"")</f>
        <v/>
      </c>
      <c r="M3470" s="16" t="str">
        <f>IFERROR(__xludf.DUMMYFUNCTION("""COMPUTED_VALUE"""),"")</f>
        <v/>
      </c>
      <c r="U3470" s="16" t="s">
        <v>87</v>
      </c>
      <c r="V3470" s="16" t="str">
        <f>IFERROR(__xludf.DUMMYFUNCTION("""COMPUTED_VALUE"""),"")</f>
        <v/>
      </c>
      <c r="W3470" s="16" t="str">
        <f>IFERROR(__xludf.DUMMYFUNCTION("""COMPUTED_VALUE"""),"")</f>
        <v/>
      </c>
      <c r="X3470" s="16" t="str">
        <f>IFERROR(__xludf.DUMMYFUNCTION("""COMPUTED_VALUE"""),"")</f>
        <v/>
      </c>
      <c r="AC3470" s="16" t="str">
        <f>IFERROR(__xludf.DUMMYFUNCTION("""COMPUTED_VALUE"""),"")</f>
        <v/>
      </c>
    </row>
    <row r="3471">
      <c r="A3471" s="16" t="s">
        <v>87</v>
      </c>
      <c r="E3471" s="16" t="str">
        <f>IFERROR(__xludf.DUMMYFUNCTION("""COMPUTED_VALUE"""),"")</f>
        <v/>
      </c>
      <c r="G3471" s="18"/>
      <c r="H3471" s="16" t="s">
        <v>87</v>
      </c>
      <c r="I3471" s="16" t="s">
        <v>87</v>
      </c>
      <c r="J3471" s="19"/>
      <c r="L3471" s="16" t="str">
        <f>IFERROR(__xludf.DUMMYFUNCTION("""COMPUTED_VALUE"""),"")</f>
        <v/>
      </c>
      <c r="M3471" s="16" t="str">
        <f>IFERROR(__xludf.DUMMYFUNCTION("""COMPUTED_VALUE"""),"")</f>
        <v/>
      </c>
      <c r="U3471" s="16" t="s">
        <v>87</v>
      </c>
      <c r="V3471" s="16" t="str">
        <f>IFERROR(__xludf.DUMMYFUNCTION("""COMPUTED_VALUE"""),"")</f>
        <v/>
      </c>
      <c r="W3471" s="16" t="str">
        <f>IFERROR(__xludf.DUMMYFUNCTION("""COMPUTED_VALUE"""),"")</f>
        <v/>
      </c>
      <c r="X3471" s="16" t="str">
        <f>IFERROR(__xludf.DUMMYFUNCTION("""COMPUTED_VALUE"""),"")</f>
        <v/>
      </c>
      <c r="AC3471" s="16" t="str">
        <f>IFERROR(__xludf.DUMMYFUNCTION("""COMPUTED_VALUE"""),"")</f>
        <v/>
      </c>
    </row>
    <row r="3472">
      <c r="A3472" s="16" t="s">
        <v>87</v>
      </c>
      <c r="E3472" s="16" t="str">
        <f>IFERROR(__xludf.DUMMYFUNCTION("""COMPUTED_VALUE"""),"")</f>
        <v/>
      </c>
      <c r="G3472" s="18"/>
      <c r="H3472" s="16" t="s">
        <v>87</v>
      </c>
      <c r="I3472" s="16" t="s">
        <v>87</v>
      </c>
      <c r="J3472" s="19"/>
      <c r="L3472" s="16" t="str">
        <f>IFERROR(__xludf.DUMMYFUNCTION("""COMPUTED_VALUE"""),"")</f>
        <v/>
      </c>
      <c r="M3472" s="16" t="str">
        <f>IFERROR(__xludf.DUMMYFUNCTION("""COMPUTED_VALUE"""),"")</f>
        <v/>
      </c>
      <c r="U3472" s="16" t="s">
        <v>87</v>
      </c>
      <c r="V3472" s="16" t="str">
        <f>IFERROR(__xludf.DUMMYFUNCTION("""COMPUTED_VALUE"""),"")</f>
        <v/>
      </c>
      <c r="W3472" s="16" t="str">
        <f>IFERROR(__xludf.DUMMYFUNCTION("""COMPUTED_VALUE"""),"")</f>
        <v/>
      </c>
      <c r="X3472" s="16" t="str">
        <f>IFERROR(__xludf.DUMMYFUNCTION("""COMPUTED_VALUE"""),"")</f>
        <v/>
      </c>
      <c r="AC3472" s="16" t="str">
        <f>IFERROR(__xludf.DUMMYFUNCTION("""COMPUTED_VALUE"""),"")</f>
        <v/>
      </c>
    </row>
    <row r="3473">
      <c r="A3473" s="16" t="s">
        <v>87</v>
      </c>
      <c r="E3473" s="16" t="str">
        <f>IFERROR(__xludf.DUMMYFUNCTION("""COMPUTED_VALUE"""),"")</f>
        <v/>
      </c>
      <c r="G3473" s="18"/>
      <c r="H3473" s="16" t="s">
        <v>87</v>
      </c>
      <c r="I3473" s="16" t="s">
        <v>87</v>
      </c>
      <c r="J3473" s="19"/>
      <c r="L3473" s="16" t="str">
        <f>IFERROR(__xludf.DUMMYFUNCTION("""COMPUTED_VALUE"""),"")</f>
        <v/>
      </c>
      <c r="M3473" s="16" t="str">
        <f>IFERROR(__xludf.DUMMYFUNCTION("""COMPUTED_VALUE"""),"")</f>
        <v/>
      </c>
      <c r="U3473" s="16" t="s">
        <v>87</v>
      </c>
      <c r="V3473" s="16" t="str">
        <f>IFERROR(__xludf.DUMMYFUNCTION("""COMPUTED_VALUE"""),"")</f>
        <v/>
      </c>
      <c r="W3473" s="16" t="str">
        <f>IFERROR(__xludf.DUMMYFUNCTION("""COMPUTED_VALUE"""),"")</f>
        <v/>
      </c>
      <c r="X3473" s="16" t="str">
        <f>IFERROR(__xludf.DUMMYFUNCTION("""COMPUTED_VALUE"""),"")</f>
        <v/>
      </c>
      <c r="AC3473" s="16" t="str">
        <f>IFERROR(__xludf.DUMMYFUNCTION("""COMPUTED_VALUE"""),"")</f>
        <v/>
      </c>
    </row>
    <row r="3474">
      <c r="A3474" s="16" t="s">
        <v>87</v>
      </c>
      <c r="E3474" s="16" t="str">
        <f>IFERROR(__xludf.DUMMYFUNCTION("""COMPUTED_VALUE"""),"")</f>
        <v/>
      </c>
      <c r="G3474" s="18"/>
      <c r="H3474" s="16" t="s">
        <v>87</v>
      </c>
      <c r="I3474" s="16" t="s">
        <v>87</v>
      </c>
      <c r="J3474" s="19"/>
      <c r="L3474" s="16" t="str">
        <f>IFERROR(__xludf.DUMMYFUNCTION("""COMPUTED_VALUE"""),"")</f>
        <v/>
      </c>
      <c r="M3474" s="16" t="str">
        <f>IFERROR(__xludf.DUMMYFUNCTION("""COMPUTED_VALUE"""),"")</f>
        <v/>
      </c>
      <c r="U3474" s="16" t="s">
        <v>87</v>
      </c>
      <c r="V3474" s="16" t="str">
        <f>IFERROR(__xludf.DUMMYFUNCTION("""COMPUTED_VALUE"""),"")</f>
        <v/>
      </c>
      <c r="W3474" s="16" t="str">
        <f>IFERROR(__xludf.DUMMYFUNCTION("""COMPUTED_VALUE"""),"")</f>
        <v/>
      </c>
      <c r="X3474" s="16" t="str">
        <f>IFERROR(__xludf.DUMMYFUNCTION("""COMPUTED_VALUE"""),"")</f>
        <v/>
      </c>
      <c r="AC3474" s="16" t="str">
        <f>IFERROR(__xludf.DUMMYFUNCTION("""COMPUTED_VALUE"""),"")</f>
        <v/>
      </c>
    </row>
    <row r="3475">
      <c r="A3475" s="16" t="s">
        <v>87</v>
      </c>
      <c r="E3475" s="16" t="str">
        <f>IFERROR(__xludf.DUMMYFUNCTION("""COMPUTED_VALUE"""),"")</f>
        <v/>
      </c>
      <c r="G3475" s="18"/>
      <c r="H3475" s="16" t="s">
        <v>87</v>
      </c>
      <c r="I3475" s="16" t="s">
        <v>87</v>
      </c>
      <c r="J3475" s="19"/>
      <c r="L3475" s="16" t="str">
        <f>IFERROR(__xludf.DUMMYFUNCTION("""COMPUTED_VALUE"""),"")</f>
        <v/>
      </c>
      <c r="M3475" s="16" t="str">
        <f>IFERROR(__xludf.DUMMYFUNCTION("""COMPUTED_VALUE"""),"")</f>
        <v/>
      </c>
      <c r="U3475" s="16" t="s">
        <v>87</v>
      </c>
      <c r="V3475" s="16" t="str">
        <f>IFERROR(__xludf.DUMMYFUNCTION("""COMPUTED_VALUE"""),"")</f>
        <v/>
      </c>
      <c r="W3475" s="16" t="str">
        <f>IFERROR(__xludf.DUMMYFUNCTION("""COMPUTED_VALUE"""),"")</f>
        <v/>
      </c>
      <c r="X3475" s="16" t="str">
        <f>IFERROR(__xludf.DUMMYFUNCTION("""COMPUTED_VALUE"""),"")</f>
        <v/>
      </c>
      <c r="AC3475" s="16" t="str">
        <f>IFERROR(__xludf.DUMMYFUNCTION("""COMPUTED_VALUE"""),"")</f>
        <v/>
      </c>
    </row>
    <row r="3476">
      <c r="A3476" s="16" t="s">
        <v>87</v>
      </c>
      <c r="E3476" s="16" t="str">
        <f>IFERROR(__xludf.DUMMYFUNCTION("""COMPUTED_VALUE"""),"")</f>
        <v/>
      </c>
      <c r="G3476" s="18"/>
      <c r="H3476" s="16" t="s">
        <v>87</v>
      </c>
      <c r="I3476" s="16" t="s">
        <v>87</v>
      </c>
      <c r="J3476" s="19"/>
      <c r="L3476" s="16" t="str">
        <f>IFERROR(__xludf.DUMMYFUNCTION("""COMPUTED_VALUE"""),"")</f>
        <v/>
      </c>
      <c r="M3476" s="16" t="str">
        <f>IFERROR(__xludf.DUMMYFUNCTION("""COMPUTED_VALUE"""),"")</f>
        <v/>
      </c>
      <c r="U3476" s="16" t="s">
        <v>87</v>
      </c>
      <c r="V3476" s="16" t="str">
        <f>IFERROR(__xludf.DUMMYFUNCTION("""COMPUTED_VALUE"""),"")</f>
        <v/>
      </c>
      <c r="W3476" s="16" t="str">
        <f>IFERROR(__xludf.DUMMYFUNCTION("""COMPUTED_VALUE"""),"")</f>
        <v/>
      </c>
      <c r="X3476" s="16" t="str">
        <f>IFERROR(__xludf.DUMMYFUNCTION("""COMPUTED_VALUE"""),"")</f>
        <v/>
      </c>
      <c r="AC3476" s="16" t="str">
        <f>IFERROR(__xludf.DUMMYFUNCTION("""COMPUTED_VALUE"""),"")</f>
        <v/>
      </c>
    </row>
    <row r="3477">
      <c r="A3477" s="16" t="s">
        <v>87</v>
      </c>
      <c r="E3477" s="16" t="str">
        <f>IFERROR(__xludf.DUMMYFUNCTION("""COMPUTED_VALUE"""),"")</f>
        <v/>
      </c>
      <c r="G3477" s="18"/>
      <c r="H3477" s="16" t="s">
        <v>87</v>
      </c>
      <c r="I3477" s="16" t="s">
        <v>87</v>
      </c>
      <c r="J3477" s="19"/>
      <c r="L3477" s="16" t="str">
        <f>IFERROR(__xludf.DUMMYFUNCTION("""COMPUTED_VALUE"""),"")</f>
        <v/>
      </c>
      <c r="M3477" s="16" t="str">
        <f>IFERROR(__xludf.DUMMYFUNCTION("""COMPUTED_VALUE"""),"")</f>
        <v/>
      </c>
      <c r="U3477" s="16" t="s">
        <v>87</v>
      </c>
      <c r="V3477" s="16" t="str">
        <f>IFERROR(__xludf.DUMMYFUNCTION("""COMPUTED_VALUE"""),"")</f>
        <v/>
      </c>
      <c r="W3477" s="16" t="str">
        <f>IFERROR(__xludf.DUMMYFUNCTION("""COMPUTED_VALUE"""),"")</f>
        <v/>
      </c>
      <c r="X3477" s="16" t="str">
        <f>IFERROR(__xludf.DUMMYFUNCTION("""COMPUTED_VALUE"""),"")</f>
        <v/>
      </c>
      <c r="AC3477" s="16" t="str">
        <f>IFERROR(__xludf.DUMMYFUNCTION("""COMPUTED_VALUE"""),"")</f>
        <v/>
      </c>
    </row>
    <row r="3478">
      <c r="A3478" s="16" t="s">
        <v>87</v>
      </c>
      <c r="E3478" s="16" t="str">
        <f>IFERROR(__xludf.DUMMYFUNCTION("""COMPUTED_VALUE"""),"")</f>
        <v/>
      </c>
      <c r="G3478" s="18"/>
      <c r="H3478" s="16" t="s">
        <v>87</v>
      </c>
      <c r="I3478" s="16" t="s">
        <v>87</v>
      </c>
      <c r="J3478" s="19"/>
      <c r="L3478" s="16" t="str">
        <f>IFERROR(__xludf.DUMMYFUNCTION("""COMPUTED_VALUE"""),"")</f>
        <v/>
      </c>
      <c r="M3478" s="16" t="str">
        <f>IFERROR(__xludf.DUMMYFUNCTION("""COMPUTED_VALUE"""),"")</f>
        <v/>
      </c>
      <c r="U3478" s="16" t="s">
        <v>87</v>
      </c>
      <c r="V3478" s="16" t="str">
        <f>IFERROR(__xludf.DUMMYFUNCTION("""COMPUTED_VALUE"""),"")</f>
        <v/>
      </c>
      <c r="W3478" s="16" t="str">
        <f>IFERROR(__xludf.DUMMYFUNCTION("""COMPUTED_VALUE"""),"")</f>
        <v/>
      </c>
      <c r="X3478" s="16" t="str">
        <f>IFERROR(__xludf.DUMMYFUNCTION("""COMPUTED_VALUE"""),"")</f>
        <v/>
      </c>
      <c r="AC3478" s="16" t="str">
        <f>IFERROR(__xludf.DUMMYFUNCTION("""COMPUTED_VALUE"""),"")</f>
        <v/>
      </c>
    </row>
    <row r="3479">
      <c r="A3479" s="16" t="s">
        <v>87</v>
      </c>
      <c r="E3479" s="16" t="str">
        <f>IFERROR(__xludf.DUMMYFUNCTION("""COMPUTED_VALUE"""),"")</f>
        <v/>
      </c>
      <c r="G3479" s="18"/>
      <c r="H3479" s="16" t="s">
        <v>87</v>
      </c>
      <c r="I3479" s="16" t="s">
        <v>87</v>
      </c>
      <c r="J3479" s="19"/>
      <c r="L3479" s="16" t="str">
        <f>IFERROR(__xludf.DUMMYFUNCTION("""COMPUTED_VALUE"""),"")</f>
        <v/>
      </c>
      <c r="M3479" s="16" t="str">
        <f>IFERROR(__xludf.DUMMYFUNCTION("""COMPUTED_VALUE"""),"")</f>
        <v/>
      </c>
      <c r="U3479" s="16" t="s">
        <v>87</v>
      </c>
      <c r="V3479" s="16" t="str">
        <f>IFERROR(__xludf.DUMMYFUNCTION("""COMPUTED_VALUE"""),"")</f>
        <v/>
      </c>
      <c r="W3479" s="16" t="str">
        <f>IFERROR(__xludf.DUMMYFUNCTION("""COMPUTED_VALUE"""),"")</f>
        <v/>
      </c>
      <c r="X3479" s="16" t="str">
        <f>IFERROR(__xludf.DUMMYFUNCTION("""COMPUTED_VALUE"""),"")</f>
        <v/>
      </c>
      <c r="AC3479" s="16" t="str">
        <f>IFERROR(__xludf.DUMMYFUNCTION("""COMPUTED_VALUE"""),"")</f>
        <v/>
      </c>
    </row>
    <row r="3480">
      <c r="A3480" s="16" t="s">
        <v>87</v>
      </c>
      <c r="E3480" s="16" t="str">
        <f>IFERROR(__xludf.DUMMYFUNCTION("""COMPUTED_VALUE"""),"")</f>
        <v/>
      </c>
      <c r="G3480" s="18"/>
      <c r="H3480" s="16" t="s">
        <v>87</v>
      </c>
      <c r="I3480" s="16" t="s">
        <v>87</v>
      </c>
      <c r="J3480" s="19"/>
      <c r="L3480" s="16" t="str">
        <f>IFERROR(__xludf.DUMMYFUNCTION("""COMPUTED_VALUE"""),"")</f>
        <v/>
      </c>
      <c r="M3480" s="16" t="str">
        <f>IFERROR(__xludf.DUMMYFUNCTION("""COMPUTED_VALUE"""),"")</f>
        <v/>
      </c>
      <c r="U3480" s="16" t="s">
        <v>87</v>
      </c>
      <c r="V3480" s="16" t="str">
        <f>IFERROR(__xludf.DUMMYFUNCTION("""COMPUTED_VALUE"""),"")</f>
        <v/>
      </c>
      <c r="W3480" s="16" t="str">
        <f>IFERROR(__xludf.DUMMYFUNCTION("""COMPUTED_VALUE"""),"")</f>
        <v/>
      </c>
      <c r="X3480" s="16" t="str">
        <f>IFERROR(__xludf.DUMMYFUNCTION("""COMPUTED_VALUE"""),"")</f>
        <v/>
      </c>
      <c r="AC3480" s="16" t="str">
        <f>IFERROR(__xludf.DUMMYFUNCTION("""COMPUTED_VALUE"""),"")</f>
        <v/>
      </c>
    </row>
    <row r="3481">
      <c r="A3481" s="16" t="s">
        <v>87</v>
      </c>
      <c r="E3481" s="16" t="str">
        <f>IFERROR(__xludf.DUMMYFUNCTION("""COMPUTED_VALUE"""),"")</f>
        <v/>
      </c>
      <c r="G3481" s="18"/>
      <c r="H3481" s="16" t="s">
        <v>87</v>
      </c>
      <c r="I3481" s="16" t="s">
        <v>87</v>
      </c>
      <c r="J3481" s="19"/>
      <c r="L3481" s="16" t="str">
        <f>IFERROR(__xludf.DUMMYFUNCTION("""COMPUTED_VALUE"""),"")</f>
        <v/>
      </c>
      <c r="M3481" s="16" t="str">
        <f>IFERROR(__xludf.DUMMYFUNCTION("""COMPUTED_VALUE"""),"")</f>
        <v/>
      </c>
      <c r="U3481" s="16" t="s">
        <v>87</v>
      </c>
      <c r="V3481" s="16" t="str">
        <f>IFERROR(__xludf.DUMMYFUNCTION("""COMPUTED_VALUE"""),"")</f>
        <v/>
      </c>
      <c r="W3481" s="16" t="str">
        <f>IFERROR(__xludf.DUMMYFUNCTION("""COMPUTED_VALUE"""),"")</f>
        <v/>
      </c>
      <c r="X3481" s="16" t="str">
        <f>IFERROR(__xludf.DUMMYFUNCTION("""COMPUTED_VALUE"""),"")</f>
        <v/>
      </c>
      <c r="AC3481" s="16" t="str">
        <f>IFERROR(__xludf.DUMMYFUNCTION("""COMPUTED_VALUE"""),"")</f>
        <v/>
      </c>
    </row>
    <row r="3482">
      <c r="A3482" s="16" t="s">
        <v>87</v>
      </c>
      <c r="E3482" s="16" t="str">
        <f>IFERROR(__xludf.DUMMYFUNCTION("""COMPUTED_VALUE"""),"")</f>
        <v/>
      </c>
      <c r="G3482" s="18"/>
      <c r="H3482" s="16" t="s">
        <v>87</v>
      </c>
      <c r="I3482" s="16" t="s">
        <v>87</v>
      </c>
      <c r="J3482" s="19"/>
      <c r="L3482" s="16" t="str">
        <f>IFERROR(__xludf.DUMMYFUNCTION("""COMPUTED_VALUE"""),"")</f>
        <v/>
      </c>
      <c r="M3482" s="16" t="str">
        <f>IFERROR(__xludf.DUMMYFUNCTION("""COMPUTED_VALUE"""),"")</f>
        <v/>
      </c>
      <c r="U3482" s="16" t="s">
        <v>87</v>
      </c>
      <c r="V3482" s="16" t="str">
        <f>IFERROR(__xludf.DUMMYFUNCTION("""COMPUTED_VALUE"""),"")</f>
        <v/>
      </c>
      <c r="W3482" s="16" t="str">
        <f>IFERROR(__xludf.DUMMYFUNCTION("""COMPUTED_VALUE"""),"")</f>
        <v/>
      </c>
      <c r="X3482" s="16" t="str">
        <f>IFERROR(__xludf.DUMMYFUNCTION("""COMPUTED_VALUE"""),"")</f>
        <v/>
      </c>
      <c r="AC3482" s="16" t="str">
        <f>IFERROR(__xludf.DUMMYFUNCTION("""COMPUTED_VALUE"""),"")</f>
        <v/>
      </c>
    </row>
    <row r="3483">
      <c r="A3483" s="16" t="s">
        <v>87</v>
      </c>
      <c r="E3483" s="16" t="str">
        <f>IFERROR(__xludf.DUMMYFUNCTION("""COMPUTED_VALUE"""),"")</f>
        <v/>
      </c>
      <c r="G3483" s="18"/>
      <c r="H3483" s="16" t="s">
        <v>87</v>
      </c>
      <c r="I3483" s="16" t="s">
        <v>87</v>
      </c>
      <c r="J3483" s="19"/>
      <c r="L3483" s="16" t="str">
        <f>IFERROR(__xludf.DUMMYFUNCTION("""COMPUTED_VALUE"""),"")</f>
        <v/>
      </c>
      <c r="M3483" s="16" t="str">
        <f>IFERROR(__xludf.DUMMYFUNCTION("""COMPUTED_VALUE"""),"")</f>
        <v/>
      </c>
      <c r="U3483" s="16" t="s">
        <v>87</v>
      </c>
      <c r="V3483" s="16" t="str">
        <f>IFERROR(__xludf.DUMMYFUNCTION("""COMPUTED_VALUE"""),"")</f>
        <v/>
      </c>
      <c r="W3483" s="16" t="str">
        <f>IFERROR(__xludf.DUMMYFUNCTION("""COMPUTED_VALUE"""),"")</f>
        <v/>
      </c>
      <c r="X3483" s="16" t="str">
        <f>IFERROR(__xludf.DUMMYFUNCTION("""COMPUTED_VALUE"""),"")</f>
        <v/>
      </c>
      <c r="AC3483" s="16" t="str">
        <f>IFERROR(__xludf.DUMMYFUNCTION("""COMPUTED_VALUE"""),"")</f>
        <v/>
      </c>
    </row>
    <row r="3484">
      <c r="A3484" s="16" t="s">
        <v>87</v>
      </c>
      <c r="E3484" s="16" t="str">
        <f>IFERROR(__xludf.DUMMYFUNCTION("""COMPUTED_VALUE"""),"")</f>
        <v/>
      </c>
      <c r="G3484" s="18"/>
      <c r="H3484" s="16" t="s">
        <v>87</v>
      </c>
      <c r="I3484" s="16" t="s">
        <v>87</v>
      </c>
      <c r="J3484" s="19"/>
      <c r="L3484" s="16" t="str">
        <f>IFERROR(__xludf.DUMMYFUNCTION("""COMPUTED_VALUE"""),"")</f>
        <v/>
      </c>
      <c r="M3484" s="16" t="str">
        <f>IFERROR(__xludf.DUMMYFUNCTION("""COMPUTED_VALUE"""),"")</f>
        <v/>
      </c>
      <c r="U3484" s="16" t="s">
        <v>87</v>
      </c>
      <c r="V3484" s="16" t="str">
        <f>IFERROR(__xludf.DUMMYFUNCTION("""COMPUTED_VALUE"""),"")</f>
        <v/>
      </c>
      <c r="W3484" s="16" t="str">
        <f>IFERROR(__xludf.DUMMYFUNCTION("""COMPUTED_VALUE"""),"")</f>
        <v/>
      </c>
      <c r="X3484" s="16" t="str">
        <f>IFERROR(__xludf.DUMMYFUNCTION("""COMPUTED_VALUE"""),"")</f>
        <v/>
      </c>
      <c r="AC3484" s="16" t="str">
        <f>IFERROR(__xludf.DUMMYFUNCTION("""COMPUTED_VALUE"""),"")</f>
        <v/>
      </c>
    </row>
    <row r="3485">
      <c r="A3485" s="16" t="s">
        <v>87</v>
      </c>
      <c r="E3485" s="16" t="str">
        <f>IFERROR(__xludf.DUMMYFUNCTION("""COMPUTED_VALUE"""),"")</f>
        <v/>
      </c>
      <c r="G3485" s="18"/>
      <c r="H3485" s="16" t="s">
        <v>87</v>
      </c>
      <c r="I3485" s="16" t="s">
        <v>87</v>
      </c>
      <c r="J3485" s="19"/>
      <c r="L3485" s="16" t="str">
        <f>IFERROR(__xludf.DUMMYFUNCTION("""COMPUTED_VALUE"""),"")</f>
        <v/>
      </c>
      <c r="M3485" s="16" t="str">
        <f>IFERROR(__xludf.DUMMYFUNCTION("""COMPUTED_VALUE"""),"")</f>
        <v/>
      </c>
      <c r="U3485" s="16" t="s">
        <v>87</v>
      </c>
      <c r="V3485" s="16" t="str">
        <f>IFERROR(__xludf.DUMMYFUNCTION("""COMPUTED_VALUE"""),"")</f>
        <v/>
      </c>
      <c r="W3485" s="16" t="str">
        <f>IFERROR(__xludf.DUMMYFUNCTION("""COMPUTED_VALUE"""),"")</f>
        <v/>
      </c>
      <c r="X3485" s="16" t="str">
        <f>IFERROR(__xludf.DUMMYFUNCTION("""COMPUTED_VALUE"""),"")</f>
        <v/>
      </c>
      <c r="AC3485" s="16" t="str">
        <f>IFERROR(__xludf.DUMMYFUNCTION("""COMPUTED_VALUE"""),"")</f>
        <v/>
      </c>
    </row>
    <row r="3486">
      <c r="A3486" s="16" t="s">
        <v>87</v>
      </c>
      <c r="E3486" s="16" t="str">
        <f>IFERROR(__xludf.DUMMYFUNCTION("""COMPUTED_VALUE"""),"")</f>
        <v/>
      </c>
      <c r="G3486" s="18"/>
      <c r="H3486" s="16" t="s">
        <v>87</v>
      </c>
      <c r="I3486" s="16" t="s">
        <v>87</v>
      </c>
      <c r="J3486" s="19"/>
      <c r="L3486" s="16" t="str">
        <f>IFERROR(__xludf.DUMMYFUNCTION("""COMPUTED_VALUE"""),"")</f>
        <v/>
      </c>
      <c r="M3486" s="16" t="str">
        <f>IFERROR(__xludf.DUMMYFUNCTION("""COMPUTED_VALUE"""),"")</f>
        <v/>
      </c>
      <c r="U3486" s="16" t="s">
        <v>87</v>
      </c>
      <c r="V3486" s="16" t="str">
        <f>IFERROR(__xludf.DUMMYFUNCTION("""COMPUTED_VALUE"""),"")</f>
        <v/>
      </c>
      <c r="W3486" s="16" t="str">
        <f>IFERROR(__xludf.DUMMYFUNCTION("""COMPUTED_VALUE"""),"")</f>
        <v/>
      </c>
      <c r="X3486" s="16" t="str">
        <f>IFERROR(__xludf.DUMMYFUNCTION("""COMPUTED_VALUE"""),"")</f>
        <v/>
      </c>
      <c r="AC3486" s="16" t="str">
        <f>IFERROR(__xludf.DUMMYFUNCTION("""COMPUTED_VALUE"""),"")</f>
        <v/>
      </c>
    </row>
    <row r="3487">
      <c r="A3487" s="16" t="s">
        <v>87</v>
      </c>
      <c r="E3487" s="16" t="str">
        <f>IFERROR(__xludf.DUMMYFUNCTION("""COMPUTED_VALUE"""),"")</f>
        <v/>
      </c>
      <c r="G3487" s="18"/>
      <c r="H3487" s="16" t="s">
        <v>87</v>
      </c>
      <c r="I3487" s="16" t="s">
        <v>87</v>
      </c>
      <c r="J3487" s="19"/>
      <c r="L3487" s="16" t="str">
        <f>IFERROR(__xludf.DUMMYFUNCTION("""COMPUTED_VALUE"""),"")</f>
        <v/>
      </c>
      <c r="M3487" s="16" t="str">
        <f>IFERROR(__xludf.DUMMYFUNCTION("""COMPUTED_VALUE"""),"")</f>
        <v/>
      </c>
      <c r="U3487" s="16" t="s">
        <v>87</v>
      </c>
      <c r="V3487" s="16" t="str">
        <f>IFERROR(__xludf.DUMMYFUNCTION("""COMPUTED_VALUE"""),"")</f>
        <v/>
      </c>
      <c r="W3487" s="16" t="str">
        <f>IFERROR(__xludf.DUMMYFUNCTION("""COMPUTED_VALUE"""),"")</f>
        <v/>
      </c>
      <c r="X3487" s="16" t="str">
        <f>IFERROR(__xludf.DUMMYFUNCTION("""COMPUTED_VALUE"""),"")</f>
        <v/>
      </c>
      <c r="AC3487" s="16" t="str">
        <f>IFERROR(__xludf.DUMMYFUNCTION("""COMPUTED_VALUE"""),"")</f>
        <v/>
      </c>
    </row>
    <row r="3488">
      <c r="A3488" s="16" t="s">
        <v>87</v>
      </c>
      <c r="E3488" s="16" t="str">
        <f>IFERROR(__xludf.DUMMYFUNCTION("""COMPUTED_VALUE"""),"")</f>
        <v/>
      </c>
      <c r="G3488" s="18"/>
      <c r="H3488" s="16" t="s">
        <v>87</v>
      </c>
      <c r="I3488" s="16" t="s">
        <v>87</v>
      </c>
      <c r="J3488" s="19"/>
      <c r="L3488" s="16" t="str">
        <f>IFERROR(__xludf.DUMMYFUNCTION("""COMPUTED_VALUE"""),"")</f>
        <v/>
      </c>
      <c r="M3488" s="16" t="str">
        <f>IFERROR(__xludf.DUMMYFUNCTION("""COMPUTED_VALUE"""),"")</f>
        <v/>
      </c>
      <c r="U3488" s="16" t="s">
        <v>87</v>
      </c>
      <c r="V3488" s="16" t="str">
        <f>IFERROR(__xludf.DUMMYFUNCTION("""COMPUTED_VALUE"""),"")</f>
        <v/>
      </c>
      <c r="W3488" s="16" t="str">
        <f>IFERROR(__xludf.DUMMYFUNCTION("""COMPUTED_VALUE"""),"")</f>
        <v/>
      </c>
      <c r="X3488" s="16" t="str">
        <f>IFERROR(__xludf.DUMMYFUNCTION("""COMPUTED_VALUE"""),"")</f>
        <v/>
      </c>
      <c r="AC3488" s="16" t="str">
        <f>IFERROR(__xludf.DUMMYFUNCTION("""COMPUTED_VALUE"""),"")</f>
        <v/>
      </c>
    </row>
    <row r="3489">
      <c r="A3489" s="16" t="s">
        <v>87</v>
      </c>
      <c r="E3489" s="16" t="str">
        <f>IFERROR(__xludf.DUMMYFUNCTION("""COMPUTED_VALUE"""),"")</f>
        <v/>
      </c>
      <c r="G3489" s="18"/>
      <c r="H3489" s="16" t="s">
        <v>87</v>
      </c>
      <c r="I3489" s="16" t="s">
        <v>87</v>
      </c>
      <c r="J3489" s="19"/>
      <c r="L3489" s="16" t="str">
        <f>IFERROR(__xludf.DUMMYFUNCTION("""COMPUTED_VALUE"""),"")</f>
        <v/>
      </c>
      <c r="M3489" s="16" t="str">
        <f>IFERROR(__xludf.DUMMYFUNCTION("""COMPUTED_VALUE"""),"")</f>
        <v/>
      </c>
      <c r="U3489" s="16" t="s">
        <v>87</v>
      </c>
      <c r="V3489" s="16" t="str">
        <f>IFERROR(__xludf.DUMMYFUNCTION("""COMPUTED_VALUE"""),"")</f>
        <v/>
      </c>
      <c r="W3489" s="16" t="str">
        <f>IFERROR(__xludf.DUMMYFUNCTION("""COMPUTED_VALUE"""),"")</f>
        <v/>
      </c>
      <c r="X3489" s="16" t="str">
        <f>IFERROR(__xludf.DUMMYFUNCTION("""COMPUTED_VALUE"""),"")</f>
        <v/>
      </c>
      <c r="AC3489" s="16" t="str">
        <f>IFERROR(__xludf.DUMMYFUNCTION("""COMPUTED_VALUE"""),"")</f>
        <v/>
      </c>
    </row>
    <row r="3490">
      <c r="A3490" s="16" t="s">
        <v>87</v>
      </c>
      <c r="E3490" s="16" t="str">
        <f>IFERROR(__xludf.DUMMYFUNCTION("""COMPUTED_VALUE"""),"")</f>
        <v/>
      </c>
      <c r="G3490" s="18"/>
      <c r="H3490" s="16" t="s">
        <v>87</v>
      </c>
      <c r="I3490" s="16" t="s">
        <v>87</v>
      </c>
      <c r="J3490" s="19"/>
      <c r="L3490" s="16" t="str">
        <f>IFERROR(__xludf.DUMMYFUNCTION("""COMPUTED_VALUE"""),"")</f>
        <v/>
      </c>
      <c r="M3490" s="16" t="str">
        <f>IFERROR(__xludf.DUMMYFUNCTION("""COMPUTED_VALUE"""),"")</f>
        <v/>
      </c>
      <c r="U3490" s="16" t="s">
        <v>87</v>
      </c>
      <c r="V3490" s="16" t="str">
        <f>IFERROR(__xludf.DUMMYFUNCTION("""COMPUTED_VALUE"""),"")</f>
        <v/>
      </c>
      <c r="W3490" s="16" t="str">
        <f>IFERROR(__xludf.DUMMYFUNCTION("""COMPUTED_VALUE"""),"")</f>
        <v/>
      </c>
      <c r="X3490" s="16" t="str">
        <f>IFERROR(__xludf.DUMMYFUNCTION("""COMPUTED_VALUE"""),"")</f>
        <v/>
      </c>
      <c r="AC3490" s="16" t="str">
        <f>IFERROR(__xludf.DUMMYFUNCTION("""COMPUTED_VALUE"""),"")</f>
        <v/>
      </c>
    </row>
    <row r="3491">
      <c r="A3491" s="16" t="s">
        <v>87</v>
      </c>
      <c r="E3491" s="16" t="str">
        <f>IFERROR(__xludf.DUMMYFUNCTION("""COMPUTED_VALUE"""),"")</f>
        <v/>
      </c>
      <c r="G3491" s="18"/>
      <c r="H3491" s="16" t="s">
        <v>87</v>
      </c>
      <c r="I3491" s="16" t="s">
        <v>87</v>
      </c>
      <c r="J3491" s="19"/>
      <c r="L3491" s="16" t="str">
        <f>IFERROR(__xludf.DUMMYFUNCTION("""COMPUTED_VALUE"""),"")</f>
        <v/>
      </c>
      <c r="M3491" s="16" t="str">
        <f>IFERROR(__xludf.DUMMYFUNCTION("""COMPUTED_VALUE"""),"")</f>
        <v/>
      </c>
      <c r="U3491" s="16" t="s">
        <v>87</v>
      </c>
      <c r="V3491" s="16" t="str">
        <f>IFERROR(__xludf.DUMMYFUNCTION("""COMPUTED_VALUE"""),"")</f>
        <v/>
      </c>
      <c r="W3491" s="16" t="str">
        <f>IFERROR(__xludf.DUMMYFUNCTION("""COMPUTED_VALUE"""),"")</f>
        <v/>
      </c>
      <c r="X3491" s="16" t="str">
        <f>IFERROR(__xludf.DUMMYFUNCTION("""COMPUTED_VALUE"""),"")</f>
        <v/>
      </c>
      <c r="AC3491" s="16" t="str">
        <f>IFERROR(__xludf.DUMMYFUNCTION("""COMPUTED_VALUE"""),"")</f>
        <v/>
      </c>
    </row>
    <row r="3492">
      <c r="A3492" s="16" t="s">
        <v>87</v>
      </c>
      <c r="E3492" s="16" t="str">
        <f>IFERROR(__xludf.DUMMYFUNCTION("""COMPUTED_VALUE"""),"")</f>
        <v/>
      </c>
      <c r="G3492" s="18"/>
      <c r="H3492" s="16" t="s">
        <v>87</v>
      </c>
      <c r="I3492" s="16" t="s">
        <v>87</v>
      </c>
      <c r="J3492" s="19"/>
      <c r="L3492" s="16" t="str">
        <f>IFERROR(__xludf.DUMMYFUNCTION("""COMPUTED_VALUE"""),"")</f>
        <v/>
      </c>
      <c r="M3492" s="16" t="str">
        <f>IFERROR(__xludf.DUMMYFUNCTION("""COMPUTED_VALUE"""),"")</f>
        <v/>
      </c>
      <c r="U3492" s="16" t="s">
        <v>87</v>
      </c>
      <c r="V3492" s="16" t="str">
        <f>IFERROR(__xludf.DUMMYFUNCTION("""COMPUTED_VALUE"""),"")</f>
        <v/>
      </c>
      <c r="W3492" s="16" t="str">
        <f>IFERROR(__xludf.DUMMYFUNCTION("""COMPUTED_VALUE"""),"")</f>
        <v/>
      </c>
      <c r="X3492" s="16" t="str">
        <f>IFERROR(__xludf.DUMMYFUNCTION("""COMPUTED_VALUE"""),"")</f>
        <v/>
      </c>
      <c r="AC3492" s="16" t="str">
        <f>IFERROR(__xludf.DUMMYFUNCTION("""COMPUTED_VALUE"""),"")</f>
        <v/>
      </c>
    </row>
    <row r="3493">
      <c r="A3493" s="16" t="s">
        <v>87</v>
      </c>
      <c r="E3493" s="16" t="str">
        <f>IFERROR(__xludf.DUMMYFUNCTION("""COMPUTED_VALUE"""),"")</f>
        <v/>
      </c>
      <c r="G3493" s="18"/>
      <c r="H3493" s="16" t="s">
        <v>87</v>
      </c>
      <c r="I3493" s="16" t="s">
        <v>87</v>
      </c>
      <c r="J3493" s="19"/>
      <c r="L3493" s="16" t="str">
        <f>IFERROR(__xludf.DUMMYFUNCTION("""COMPUTED_VALUE"""),"")</f>
        <v/>
      </c>
      <c r="M3493" s="16" t="str">
        <f>IFERROR(__xludf.DUMMYFUNCTION("""COMPUTED_VALUE"""),"")</f>
        <v/>
      </c>
      <c r="U3493" s="16" t="s">
        <v>87</v>
      </c>
      <c r="V3493" s="16" t="str">
        <f>IFERROR(__xludf.DUMMYFUNCTION("""COMPUTED_VALUE"""),"")</f>
        <v/>
      </c>
      <c r="W3493" s="16" t="str">
        <f>IFERROR(__xludf.DUMMYFUNCTION("""COMPUTED_VALUE"""),"")</f>
        <v/>
      </c>
      <c r="X3493" s="16" t="str">
        <f>IFERROR(__xludf.DUMMYFUNCTION("""COMPUTED_VALUE"""),"")</f>
        <v/>
      </c>
      <c r="AC3493" s="16" t="str">
        <f>IFERROR(__xludf.DUMMYFUNCTION("""COMPUTED_VALUE"""),"")</f>
        <v/>
      </c>
    </row>
    <row r="3494">
      <c r="A3494" s="16" t="s">
        <v>87</v>
      </c>
      <c r="E3494" s="16" t="str">
        <f>IFERROR(__xludf.DUMMYFUNCTION("""COMPUTED_VALUE"""),"")</f>
        <v/>
      </c>
      <c r="G3494" s="18"/>
      <c r="H3494" s="16" t="s">
        <v>87</v>
      </c>
      <c r="I3494" s="16" t="s">
        <v>87</v>
      </c>
      <c r="J3494" s="19"/>
      <c r="L3494" s="16" t="str">
        <f>IFERROR(__xludf.DUMMYFUNCTION("""COMPUTED_VALUE"""),"")</f>
        <v/>
      </c>
      <c r="M3494" s="16" t="str">
        <f>IFERROR(__xludf.DUMMYFUNCTION("""COMPUTED_VALUE"""),"")</f>
        <v/>
      </c>
      <c r="U3494" s="16" t="s">
        <v>87</v>
      </c>
      <c r="V3494" s="16" t="str">
        <f>IFERROR(__xludf.DUMMYFUNCTION("""COMPUTED_VALUE"""),"")</f>
        <v/>
      </c>
      <c r="W3494" s="16" t="str">
        <f>IFERROR(__xludf.DUMMYFUNCTION("""COMPUTED_VALUE"""),"")</f>
        <v/>
      </c>
      <c r="X3494" s="16" t="str">
        <f>IFERROR(__xludf.DUMMYFUNCTION("""COMPUTED_VALUE"""),"")</f>
        <v/>
      </c>
      <c r="AC3494" s="16" t="str">
        <f>IFERROR(__xludf.DUMMYFUNCTION("""COMPUTED_VALUE"""),"")</f>
        <v/>
      </c>
    </row>
    <row r="3495">
      <c r="A3495" s="16" t="s">
        <v>87</v>
      </c>
      <c r="E3495" s="16" t="str">
        <f>IFERROR(__xludf.DUMMYFUNCTION("""COMPUTED_VALUE"""),"")</f>
        <v/>
      </c>
      <c r="G3495" s="18"/>
      <c r="H3495" s="16" t="s">
        <v>87</v>
      </c>
      <c r="I3495" s="16" t="s">
        <v>87</v>
      </c>
      <c r="J3495" s="19"/>
      <c r="L3495" s="16" t="str">
        <f>IFERROR(__xludf.DUMMYFUNCTION("""COMPUTED_VALUE"""),"")</f>
        <v/>
      </c>
      <c r="M3495" s="16" t="str">
        <f>IFERROR(__xludf.DUMMYFUNCTION("""COMPUTED_VALUE"""),"")</f>
        <v/>
      </c>
      <c r="U3495" s="16" t="s">
        <v>87</v>
      </c>
      <c r="V3495" s="16" t="str">
        <f>IFERROR(__xludf.DUMMYFUNCTION("""COMPUTED_VALUE"""),"")</f>
        <v/>
      </c>
      <c r="W3495" s="16" t="str">
        <f>IFERROR(__xludf.DUMMYFUNCTION("""COMPUTED_VALUE"""),"")</f>
        <v/>
      </c>
      <c r="X3495" s="16" t="str">
        <f>IFERROR(__xludf.DUMMYFUNCTION("""COMPUTED_VALUE"""),"")</f>
        <v/>
      </c>
      <c r="AC3495" s="16" t="str">
        <f>IFERROR(__xludf.DUMMYFUNCTION("""COMPUTED_VALUE"""),"")</f>
        <v/>
      </c>
    </row>
    <row r="3496">
      <c r="A3496" s="16" t="s">
        <v>87</v>
      </c>
      <c r="E3496" s="16" t="str">
        <f>IFERROR(__xludf.DUMMYFUNCTION("""COMPUTED_VALUE"""),"")</f>
        <v/>
      </c>
      <c r="G3496" s="18"/>
      <c r="H3496" s="16" t="s">
        <v>87</v>
      </c>
      <c r="I3496" s="16" t="s">
        <v>87</v>
      </c>
      <c r="J3496" s="19"/>
      <c r="L3496" s="16" t="str">
        <f>IFERROR(__xludf.DUMMYFUNCTION("""COMPUTED_VALUE"""),"")</f>
        <v/>
      </c>
      <c r="M3496" s="16" t="str">
        <f>IFERROR(__xludf.DUMMYFUNCTION("""COMPUTED_VALUE"""),"")</f>
        <v/>
      </c>
      <c r="U3496" s="16" t="s">
        <v>87</v>
      </c>
      <c r="V3496" s="16" t="str">
        <f>IFERROR(__xludf.DUMMYFUNCTION("""COMPUTED_VALUE"""),"")</f>
        <v/>
      </c>
      <c r="W3496" s="16" t="str">
        <f>IFERROR(__xludf.DUMMYFUNCTION("""COMPUTED_VALUE"""),"")</f>
        <v/>
      </c>
      <c r="X3496" s="16" t="str">
        <f>IFERROR(__xludf.DUMMYFUNCTION("""COMPUTED_VALUE"""),"")</f>
        <v/>
      </c>
      <c r="AC3496" s="16" t="str">
        <f>IFERROR(__xludf.DUMMYFUNCTION("""COMPUTED_VALUE"""),"")</f>
        <v/>
      </c>
    </row>
    <row r="3497">
      <c r="A3497" s="16" t="s">
        <v>87</v>
      </c>
      <c r="E3497" s="16" t="str">
        <f>IFERROR(__xludf.DUMMYFUNCTION("""COMPUTED_VALUE"""),"")</f>
        <v/>
      </c>
      <c r="G3497" s="18"/>
      <c r="H3497" s="16" t="s">
        <v>87</v>
      </c>
      <c r="I3497" s="16" t="s">
        <v>87</v>
      </c>
      <c r="J3497" s="19"/>
      <c r="L3497" s="16" t="str">
        <f>IFERROR(__xludf.DUMMYFUNCTION("""COMPUTED_VALUE"""),"")</f>
        <v/>
      </c>
      <c r="M3497" s="16" t="str">
        <f>IFERROR(__xludf.DUMMYFUNCTION("""COMPUTED_VALUE"""),"")</f>
        <v/>
      </c>
      <c r="U3497" s="16" t="s">
        <v>87</v>
      </c>
      <c r="V3497" s="16" t="str">
        <f>IFERROR(__xludf.DUMMYFUNCTION("""COMPUTED_VALUE"""),"")</f>
        <v/>
      </c>
      <c r="W3497" s="16" t="str">
        <f>IFERROR(__xludf.DUMMYFUNCTION("""COMPUTED_VALUE"""),"")</f>
        <v/>
      </c>
      <c r="X3497" s="16" t="str">
        <f>IFERROR(__xludf.DUMMYFUNCTION("""COMPUTED_VALUE"""),"")</f>
        <v/>
      </c>
      <c r="AC3497" s="16" t="str">
        <f>IFERROR(__xludf.DUMMYFUNCTION("""COMPUTED_VALUE"""),"")</f>
        <v/>
      </c>
    </row>
    <row r="3498">
      <c r="A3498" s="16" t="s">
        <v>87</v>
      </c>
      <c r="E3498" s="16" t="str">
        <f>IFERROR(__xludf.DUMMYFUNCTION("""COMPUTED_VALUE"""),"")</f>
        <v/>
      </c>
      <c r="G3498" s="18"/>
      <c r="H3498" s="16" t="s">
        <v>87</v>
      </c>
      <c r="I3498" s="16" t="s">
        <v>87</v>
      </c>
      <c r="J3498" s="19"/>
      <c r="L3498" s="16" t="str">
        <f>IFERROR(__xludf.DUMMYFUNCTION("""COMPUTED_VALUE"""),"")</f>
        <v/>
      </c>
      <c r="M3498" s="16" t="str">
        <f>IFERROR(__xludf.DUMMYFUNCTION("""COMPUTED_VALUE"""),"")</f>
        <v/>
      </c>
      <c r="U3498" s="16" t="s">
        <v>87</v>
      </c>
      <c r="V3498" s="16" t="str">
        <f>IFERROR(__xludf.DUMMYFUNCTION("""COMPUTED_VALUE"""),"")</f>
        <v/>
      </c>
      <c r="W3498" s="16" t="str">
        <f>IFERROR(__xludf.DUMMYFUNCTION("""COMPUTED_VALUE"""),"")</f>
        <v/>
      </c>
      <c r="X3498" s="16" t="str">
        <f>IFERROR(__xludf.DUMMYFUNCTION("""COMPUTED_VALUE"""),"")</f>
        <v/>
      </c>
      <c r="AC3498" s="16" t="str">
        <f>IFERROR(__xludf.DUMMYFUNCTION("""COMPUTED_VALUE"""),"")</f>
        <v/>
      </c>
    </row>
    <row r="3499">
      <c r="A3499" s="16" t="s">
        <v>87</v>
      </c>
      <c r="E3499" s="16" t="str">
        <f>IFERROR(__xludf.DUMMYFUNCTION("""COMPUTED_VALUE"""),"")</f>
        <v/>
      </c>
      <c r="G3499" s="18"/>
      <c r="H3499" s="16" t="s">
        <v>87</v>
      </c>
      <c r="I3499" s="16" t="s">
        <v>87</v>
      </c>
      <c r="J3499" s="19"/>
      <c r="L3499" s="16" t="str">
        <f>IFERROR(__xludf.DUMMYFUNCTION("""COMPUTED_VALUE"""),"")</f>
        <v/>
      </c>
      <c r="M3499" s="16" t="str">
        <f>IFERROR(__xludf.DUMMYFUNCTION("""COMPUTED_VALUE"""),"")</f>
        <v/>
      </c>
      <c r="U3499" s="16" t="s">
        <v>87</v>
      </c>
      <c r="V3499" s="16" t="str">
        <f>IFERROR(__xludf.DUMMYFUNCTION("""COMPUTED_VALUE"""),"")</f>
        <v/>
      </c>
      <c r="W3499" s="16" t="str">
        <f>IFERROR(__xludf.DUMMYFUNCTION("""COMPUTED_VALUE"""),"")</f>
        <v/>
      </c>
      <c r="X3499" s="16" t="str">
        <f>IFERROR(__xludf.DUMMYFUNCTION("""COMPUTED_VALUE"""),"")</f>
        <v/>
      </c>
      <c r="AC3499" s="16" t="str">
        <f>IFERROR(__xludf.DUMMYFUNCTION("""COMPUTED_VALUE"""),"")</f>
        <v/>
      </c>
    </row>
    <row r="3500">
      <c r="A3500" s="16" t="s">
        <v>87</v>
      </c>
      <c r="E3500" s="16" t="str">
        <f>IFERROR(__xludf.DUMMYFUNCTION("""COMPUTED_VALUE"""),"")</f>
        <v/>
      </c>
      <c r="G3500" s="18"/>
      <c r="H3500" s="16" t="s">
        <v>87</v>
      </c>
      <c r="I3500" s="16" t="s">
        <v>87</v>
      </c>
      <c r="J3500" s="19"/>
      <c r="L3500" s="16" t="str">
        <f>IFERROR(__xludf.DUMMYFUNCTION("""COMPUTED_VALUE"""),"")</f>
        <v/>
      </c>
      <c r="M3500" s="16" t="str">
        <f>IFERROR(__xludf.DUMMYFUNCTION("""COMPUTED_VALUE"""),"")</f>
        <v/>
      </c>
      <c r="U3500" s="16" t="s">
        <v>87</v>
      </c>
      <c r="V3500" s="16" t="str">
        <f>IFERROR(__xludf.DUMMYFUNCTION("""COMPUTED_VALUE"""),"")</f>
        <v/>
      </c>
      <c r="W3500" s="16" t="str">
        <f>IFERROR(__xludf.DUMMYFUNCTION("""COMPUTED_VALUE"""),"")</f>
        <v/>
      </c>
      <c r="X3500" s="16" t="str">
        <f>IFERROR(__xludf.DUMMYFUNCTION("""COMPUTED_VALUE"""),"")</f>
        <v/>
      </c>
      <c r="AC3500" s="16" t="str">
        <f>IFERROR(__xludf.DUMMYFUNCTION("""COMPUTED_VALUE"""),"")</f>
        <v/>
      </c>
    </row>
    <row r="3501">
      <c r="A3501" s="16" t="s">
        <v>87</v>
      </c>
      <c r="E3501" s="16" t="str">
        <f>IFERROR(__xludf.DUMMYFUNCTION("""COMPUTED_VALUE"""),"")</f>
        <v/>
      </c>
      <c r="G3501" s="18"/>
      <c r="H3501" s="16" t="s">
        <v>87</v>
      </c>
      <c r="I3501" s="16" t="s">
        <v>87</v>
      </c>
      <c r="J3501" s="19"/>
      <c r="L3501" s="16" t="str">
        <f>IFERROR(__xludf.DUMMYFUNCTION("""COMPUTED_VALUE"""),"")</f>
        <v/>
      </c>
      <c r="M3501" s="16" t="str">
        <f>IFERROR(__xludf.DUMMYFUNCTION("""COMPUTED_VALUE"""),"")</f>
        <v/>
      </c>
      <c r="U3501" s="16" t="s">
        <v>87</v>
      </c>
      <c r="V3501" s="16" t="str">
        <f>IFERROR(__xludf.DUMMYFUNCTION("""COMPUTED_VALUE"""),"")</f>
        <v/>
      </c>
      <c r="W3501" s="16" t="str">
        <f>IFERROR(__xludf.DUMMYFUNCTION("""COMPUTED_VALUE"""),"")</f>
        <v/>
      </c>
      <c r="X3501" s="16" t="str">
        <f>IFERROR(__xludf.DUMMYFUNCTION("""COMPUTED_VALUE"""),"")</f>
        <v/>
      </c>
      <c r="AC3501" s="16" t="str">
        <f>IFERROR(__xludf.DUMMYFUNCTION("""COMPUTED_VALUE"""),"")</f>
        <v/>
      </c>
    </row>
    <row r="3502">
      <c r="A3502" s="16" t="s">
        <v>87</v>
      </c>
      <c r="E3502" s="16" t="str">
        <f>IFERROR(__xludf.DUMMYFUNCTION("""COMPUTED_VALUE"""),"")</f>
        <v/>
      </c>
      <c r="G3502" s="18"/>
      <c r="H3502" s="16" t="s">
        <v>87</v>
      </c>
      <c r="I3502" s="16" t="s">
        <v>87</v>
      </c>
      <c r="J3502" s="19"/>
      <c r="L3502" s="16" t="str">
        <f>IFERROR(__xludf.DUMMYFUNCTION("""COMPUTED_VALUE"""),"")</f>
        <v/>
      </c>
      <c r="M3502" s="16" t="str">
        <f>IFERROR(__xludf.DUMMYFUNCTION("""COMPUTED_VALUE"""),"")</f>
        <v/>
      </c>
      <c r="U3502" s="16" t="s">
        <v>87</v>
      </c>
      <c r="V3502" s="16" t="str">
        <f>IFERROR(__xludf.DUMMYFUNCTION("""COMPUTED_VALUE"""),"")</f>
        <v/>
      </c>
      <c r="W3502" s="16" t="str">
        <f>IFERROR(__xludf.DUMMYFUNCTION("""COMPUTED_VALUE"""),"")</f>
        <v/>
      </c>
      <c r="X3502" s="16" t="str">
        <f>IFERROR(__xludf.DUMMYFUNCTION("""COMPUTED_VALUE"""),"")</f>
        <v/>
      </c>
      <c r="AC3502" s="16" t="str">
        <f>IFERROR(__xludf.DUMMYFUNCTION("""COMPUTED_VALUE"""),"")</f>
        <v/>
      </c>
    </row>
    <row r="3503">
      <c r="A3503" s="16" t="s">
        <v>87</v>
      </c>
      <c r="E3503" s="16" t="str">
        <f>IFERROR(__xludf.DUMMYFUNCTION("""COMPUTED_VALUE"""),"")</f>
        <v/>
      </c>
      <c r="G3503" s="18"/>
      <c r="H3503" s="16" t="s">
        <v>87</v>
      </c>
      <c r="I3503" s="16" t="s">
        <v>87</v>
      </c>
      <c r="J3503" s="19"/>
      <c r="L3503" s="16" t="str">
        <f>IFERROR(__xludf.DUMMYFUNCTION("""COMPUTED_VALUE"""),"")</f>
        <v/>
      </c>
      <c r="M3503" s="16" t="str">
        <f>IFERROR(__xludf.DUMMYFUNCTION("""COMPUTED_VALUE"""),"")</f>
        <v/>
      </c>
      <c r="U3503" s="16" t="s">
        <v>87</v>
      </c>
      <c r="V3503" s="16" t="str">
        <f>IFERROR(__xludf.DUMMYFUNCTION("""COMPUTED_VALUE"""),"")</f>
        <v/>
      </c>
      <c r="W3503" s="16" t="str">
        <f>IFERROR(__xludf.DUMMYFUNCTION("""COMPUTED_VALUE"""),"")</f>
        <v/>
      </c>
      <c r="X3503" s="16" t="str">
        <f>IFERROR(__xludf.DUMMYFUNCTION("""COMPUTED_VALUE"""),"")</f>
        <v/>
      </c>
      <c r="AC3503" s="16" t="str">
        <f>IFERROR(__xludf.DUMMYFUNCTION("""COMPUTED_VALUE"""),"")</f>
        <v/>
      </c>
    </row>
    <row r="3504">
      <c r="A3504" s="16" t="s">
        <v>87</v>
      </c>
      <c r="E3504" s="16" t="str">
        <f>IFERROR(__xludf.DUMMYFUNCTION("""COMPUTED_VALUE"""),"")</f>
        <v/>
      </c>
      <c r="G3504" s="18"/>
      <c r="H3504" s="16" t="s">
        <v>87</v>
      </c>
      <c r="I3504" s="16" t="s">
        <v>87</v>
      </c>
      <c r="J3504" s="19"/>
      <c r="L3504" s="16" t="str">
        <f>IFERROR(__xludf.DUMMYFUNCTION("""COMPUTED_VALUE"""),"")</f>
        <v/>
      </c>
      <c r="M3504" s="16" t="str">
        <f>IFERROR(__xludf.DUMMYFUNCTION("""COMPUTED_VALUE"""),"")</f>
        <v/>
      </c>
      <c r="U3504" s="16" t="s">
        <v>87</v>
      </c>
      <c r="V3504" s="16" t="str">
        <f>IFERROR(__xludf.DUMMYFUNCTION("""COMPUTED_VALUE"""),"")</f>
        <v/>
      </c>
      <c r="W3504" s="16" t="str">
        <f>IFERROR(__xludf.DUMMYFUNCTION("""COMPUTED_VALUE"""),"")</f>
        <v/>
      </c>
      <c r="X3504" s="16" t="str">
        <f>IFERROR(__xludf.DUMMYFUNCTION("""COMPUTED_VALUE"""),"")</f>
        <v/>
      </c>
      <c r="AC3504" s="16" t="str">
        <f>IFERROR(__xludf.DUMMYFUNCTION("""COMPUTED_VALUE"""),"")</f>
        <v/>
      </c>
    </row>
    <row r="3505">
      <c r="A3505" s="16" t="s">
        <v>87</v>
      </c>
      <c r="E3505" s="16" t="str">
        <f>IFERROR(__xludf.DUMMYFUNCTION("""COMPUTED_VALUE"""),"")</f>
        <v/>
      </c>
      <c r="G3505" s="18"/>
      <c r="H3505" s="16" t="s">
        <v>87</v>
      </c>
      <c r="I3505" s="16" t="s">
        <v>87</v>
      </c>
      <c r="J3505" s="19"/>
      <c r="L3505" s="16" t="str">
        <f>IFERROR(__xludf.DUMMYFUNCTION("""COMPUTED_VALUE"""),"")</f>
        <v/>
      </c>
      <c r="M3505" s="16" t="str">
        <f>IFERROR(__xludf.DUMMYFUNCTION("""COMPUTED_VALUE"""),"")</f>
        <v/>
      </c>
      <c r="U3505" s="16" t="s">
        <v>87</v>
      </c>
      <c r="V3505" s="16" t="str">
        <f>IFERROR(__xludf.DUMMYFUNCTION("""COMPUTED_VALUE"""),"")</f>
        <v/>
      </c>
      <c r="W3505" s="16" t="str">
        <f>IFERROR(__xludf.DUMMYFUNCTION("""COMPUTED_VALUE"""),"")</f>
        <v/>
      </c>
      <c r="X3505" s="16" t="str">
        <f>IFERROR(__xludf.DUMMYFUNCTION("""COMPUTED_VALUE"""),"")</f>
        <v/>
      </c>
      <c r="AC3505" s="16" t="str">
        <f>IFERROR(__xludf.DUMMYFUNCTION("""COMPUTED_VALUE"""),"")</f>
        <v/>
      </c>
    </row>
    <row r="3506">
      <c r="A3506" s="16" t="s">
        <v>87</v>
      </c>
      <c r="E3506" s="16" t="str">
        <f>IFERROR(__xludf.DUMMYFUNCTION("""COMPUTED_VALUE"""),"")</f>
        <v/>
      </c>
      <c r="G3506" s="18"/>
      <c r="H3506" s="16" t="s">
        <v>87</v>
      </c>
      <c r="I3506" s="16" t="s">
        <v>87</v>
      </c>
      <c r="J3506" s="19"/>
      <c r="L3506" s="16" t="str">
        <f>IFERROR(__xludf.DUMMYFUNCTION("""COMPUTED_VALUE"""),"")</f>
        <v/>
      </c>
      <c r="M3506" s="16" t="str">
        <f>IFERROR(__xludf.DUMMYFUNCTION("""COMPUTED_VALUE"""),"")</f>
        <v/>
      </c>
      <c r="U3506" s="16" t="s">
        <v>87</v>
      </c>
      <c r="V3506" s="16" t="str">
        <f>IFERROR(__xludf.DUMMYFUNCTION("""COMPUTED_VALUE"""),"")</f>
        <v/>
      </c>
      <c r="W3506" s="16" t="str">
        <f>IFERROR(__xludf.DUMMYFUNCTION("""COMPUTED_VALUE"""),"")</f>
        <v/>
      </c>
      <c r="X3506" s="16" t="str">
        <f>IFERROR(__xludf.DUMMYFUNCTION("""COMPUTED_VALUE"""),"")</f>
        <v/>
      </c>
      <c r="AC3506" s="16" t="str">
        <f>IFERROR(__xludf.DUMMYFUNCTION("""COMPUTED_VALUE"""),"")</f>
        <v/>
      </c>
    </row>
    <row r="3507">
      <c r="A3507" s="16" t="s">
        <v>87</v>
      </c>
      <c r="E3507" s="16" t="str">
        <f>IFERROR(__xludf.DUMMYFUNCTION("""COMPUTED_VALUE"""),"")</f>
        <v/>
      </c>
      <c r="G3507" s="18"/>
      <c r="H3507" s="16" t="s">
        <v>87</v>
      </c>
      <c r="I3507" s="16" t="s">
        <v>87</v>
      </c>
      <c r="J3507" s="19"/>
      <c r="L3507" s="16" t="str">
        <f>IFERROR(__xludf.DUMMYFUNCTION("""COMPUTED_VALUE"""),"")</f>
        <v/>
      </c>
      <c r="M3507" s="16" t="str">
        <f>IFERROR(__xludf.DUMMYFUNCTION("""COMPUTED_VALUE"""),"")</f>
        <v/>
      </c>
      <c r="U3507" s="16" t="s">
        <v>87</v>
      </c>
      <c r="V3507" s="16" t="str">
        <f>IFERROR(__xludf.DUMMYFUNCTION("""COMPUTED_VALUE"""),"")</f>
        <v/>
      </c>
      <c r="W3507" s="16" t="str">
        <f>IFERROR(__xludf.DUMMYFUNCTION("""COMPUTED_VALUE"""),"")</f>
        <v/>
      </c>
      <c r="X3507" s="16" t="str">
        <f>IFERROR(__xludf.DUMMYFUNCTION("""COMPUTED_VALUE"""),"")</f>
        <v/>
      </c>
      <c r="AC3507" s="16" t="str">
        <f>IFERROR(__xludf.DUMMYFUNCTION("""COMPUTED_VALUE"""),"")</f>
        <v/>
      </c>
    </row>
    <row r="3508">
      <c r="A3508" s="16" t="s">
        <v>87</v>
      </c>
      <c r="E3508" s="16" t="str">
        <f>IFERROR(__xludf.DUMMYFUNCTION("""COMPUTED_VALUE"""),"")</f>
        <v/>
      </c>
      <c r="G3508" s="18"/>
      <c r="H3508" s="16" t="s">
        <v>87</v>
      </c>
      <c r="I3508" s="16" t="s">
        <v>87</v>
      </c>
      <c r="J3508" s="19"/>
      <c r="L3508" s="16" t="str">
        <f>IFERROR(__xludf.DUMMYFUNCTION("""COMPUTED_VALUE"""),"")</f>
        <v/>
      </c>
      <c r="M3508" s="16" t="str">
        <f>IFERROR(__xludf.DUMMYFUNCTION("""COMPUTED_VALUE"""),"")</f>
        <v/>
      </c>
      <c r="U3508" s="16" t="s">
        <v>87</v>
      </c>
      <c r="V3508" s="16" t="str">
        <f>IFERROR(__xludf.DUMMYFUNCTION("""COMPUTED_VALUE"""),"")</f>
        <v/>
      </c>
      <c r="W3508" s="16" t="str">
        <f>IFERROR(__xludf.DUMMYFUNCTION("""COMPUTED_VALUE"""),"")</f>
        <v/>
      </c>
      <c r="X3508" s="16" t="str">
        <f>IFERROR(__xludf.DUMMYFUNCTION("""COMPUTED_VALUE"""),"")</f>
        <v/>
      </c>
      <c r="AC3508" s="16" t="str">
        <f>IFERROR(__xludf.DUMMYFUNCTION("""COMPUTED_VALUE"""),"")</f>
        <v/>
      </c>
    </row>
    <row r="3509">
      <c r="A3509" s="16" t="s">
        <v>87</v>
      </c>
      <c r="E3509" s="16" t="str">
        <f>IFERROR(__xludf.DUMMYFUNCTION("""COMPUTED_VALUE"""),"")</f>
        <v/>
      </c>
      <c r="G3509" s="18"/>
      <c r="H3509" s="16" t="s">
        <v>87</v>
      </c>
      <c r="I3509" s="16" t="s">
        <v>87</v>
      </c>
      <c r="J3509" s="19"/>
      <c r="L3509" s="16" t="str">
        <f>IFERROR(__xludf.DUMMYFUNCTION("""COMPUTED_VALUE"""),"")</f>
        <v/>
      </c>
      <c r="M3509" s="16" t="str">
        <f>IFERROR(__xludf.DUMMYFUNCTION("""COMPUTED_VALUE"""),"")</f>
        <v/>
      </c>
      <c r="U3509" s="16" t="s">
        <v>87</v>
      </c>
      <c r="V3509" s="16" t="str">
        <f>IFERROR(__xludf.DUMMYFUNCTION("""COMPUTED_VALUE"""),"")</f>
        <v/>
      </c>
      <c r="W3509" s="16" t="str">
        <f>IFERROR(__xludf.DUMMYFUNCTION("""COMPUTED_VALUE"""),"")</f>
        <v/>
      </c>
      <c r="X3509" s="16" t="str">
        <f>IFERROR(__xludf.DUMMYFUNCTION("""COMPUTED_VALUE"""),"")</f>
        <v/>
      </c>
      <c r="AC3509" s="16" t="str">
        <f>IFERROR(__xludf.DUMMYFUNCTION("""COMPUTED_VALUE"""),"")</f>
        <v/>
      </c>
    </row>
    <row r="3510">
      <c r="A3510" s="16" t="s">
        <v>87</v>
      </c>
      <c r="E3510" s="16" t="str">
        <f>IFERROR(__xludf.DUMMYFUNCTION("""COMPUTED_VALUE"""),"")</f>
        <v/>
      </c>
      <c r="G3510" s="18"/>
      <c r="H3510" s="16" t="s">
        <v>87</v>
      </c>
      <c r="I3510" s="16" t="s">
        <v>87</v>
      </c>
      <c r="J3510" s="19"/>
      <c r="L3510" s="16" t="str">
        <f>IFERROR(__xludf.DUMMYFUNCTION("""COMPUTED_VALUE"""),"")</f>
        <v/>
      </c>
      <c r="M3510" s="16" t="str">
        <f>IFERROR(__xludf.DUMMYFUNCTION("""COMPUTED_VALUE"""),"")</f>
        <v/>
      </c>
      <c r="U3510" s="16" t="s">
        <v>87</v>
      </c>
      <c r="V3510" s="16" t="str">
        <f>IFERROR(__xludf.DUMMYFUNCTION("""COMPUTED_VALUE"""),"")</f>
        <v/>
      </c>
      <c r="W3510" s="16" t="str">
        <f>IFERROR(__xludf.DUMMYFUNCTION("""COMPUTED_VALUE"""),"")</f>
        <v/>
      </c>
      <c r="X3510" s="16" t="str">
        <f>IFERROR(__xludf.DUMMYFUNCTION("""COMPUTED_VALUE"""),"")</f>
        <v/>
      </c>
      <c r="AC3510" s="16" t="str">
        <f>IFERROR(__xludf.DUMMYFUNCTION("""COMPUTED_VALUE"""),"")</f>
        <v/>
      </c>
    </row>
    <row r="3511">
      <c r="A3511" s="16" t="s">
        <v>87</v>
      </c>
      <c r="E3511" s="16" t="str">
        <f>IFERROR(__xludf.DUMMYFUNCTION("""COMPUTED_VALUE"""),"")</f>
        <v/>
      </c>
      <c r="G3511" s="18"/>
      <c r="H3511" s="16" t="s">
        <v>87</v>
      </c>
      <c r="I3511" s="16" t="s">
        <v>87</v>
      </c>
      <c r="J3511" s="19"/>
      <c r="L3511" s="16" t="str">
        <f>IFERROR(__xludf.DUMMYFUNCTION("""COMPUTED_VALUE"""),"")</f>
        <v/>
      </c>
      <c r="M3511" s="16" t="str">
        <f>IFERROR(__xludf.DUMMYFUNCTION("""COMPUTED_VALUE"""),"")</f>
        <v/>
      </c>
      <c r="U3511" s="16" t="s">
        <v>87</v>
      </c>
      <c r="V3511" s="16" t="str">
        <f>IFERROR(__xludf.DUMMYFUNCTION("""COMPUTED_VALUE"""),"")</f>
        <v/>
      </c>
      <c r="W3511" s="16" t="str">
        <f>IFERROR(__xludf.DUMMYFUNCTION("""COMPUTED_VALUE"""),"")</f>
        <v/>
      </c>
      <c r="X3511" s="16" t="str">
        <f>IFERROR(__xludf.DUMMYFUNCTION("""COMPUTED_VALUE"""),"")</f>
        <v/>
      </c>
      <c r="AC3511" s="16" t="str">
        <f>IFERROR(__xludf.DUMMYFUNCTION("""COMPUTED_VALUE"""),"")</f>
        <v/>
      </c>
    </row>
    <row r="3512">
      <c r="A3512" s="16" t="s">
        <v>87</v>
      </c>
      <c r="E3512" s="16" t="str">
        <f>IFERROR(__xludf.DUMMYFUNCTION("""COMPUTED_VALUE"""),"")</f>
        <v/>
      </c>
      <c r="G3512" s="18"/>
      <c r="H3512" s="16" t="s">
        <v>87</v>
      </c>
      <c r="I3512" s="16" t="s">
        <v>87</v>
      </c>
      <c r="J3512" s="19"/>
      <c r="L3512" s="16" t="str">
        <f>IFERROR(__xludf.DUMMYFUNCTION("""COMPUTED_VALUE"""),"")</f>
        <v/>
      </c>
      <c r="M3512" s="16" t="str">
        <f>IFERROR(__xludf.DUMMYFUNCTION("""COMPUTED_VALUE"""),"")</f>
        <v/>
      </c>
      <c r="U3512" s="16" t="s">
        <v>87</v>
      </c>
      <c r="V3512" s="16" t="str">
        <f>IFERROR(__xludf.DUMMYFUNCTION("""COMPUTED_VALUE"""),"")</f>
        <v/>
      </c>
      <c r="W3512" s="16" t="str">
        <f>IFERROR(__xludf.DUMMYFUNCTION("""COMPUTED_VALUE"""),"")</f>
        <v/>
      </c>
      <c r="X3512" s="16" t="str">
        <f>IFERROR(__xludf.DUMMYFUNCTION("""COMPUTED_VALUE"""),"")</f>
        <v/>
      </c>
      <c r="AC3512" s="16" t="str">
        <f>IFERROR(__xludf.DUMMYFUNCTION("""COMPUTED_VALUE"""),"")</f>
        <v/>
      </c>
    </row>
    <row r="3513">
      <c r="A3513" s="16" t="s">
        <v>87</v>
      </c>
      <c r="E3513" s="16" t="str">
        <f>IFERROR(__xludf.DUMMYFUNCTION("""COMPUTED_VALUE"""),"")</f>
        <v/>
      </c>
      <c r="G3513" s="18"/>
      <c r="H3513" s="16" t="s">
        <v>87</v>
      </c>
      <c r="I3513" s="16" t="s">
        <v>87</v>
      </c>
      <c r="J3513" s="19"/>
      <c r="L3513" s="16" t="str">
        <f>IFERROR(__xludf.DUMMYFUNCTION("""COMPUTED_VALUE"""),"")</f>
        <v/>
      </c>
      <c r="M3513" s="16" t="str">
        <f>IFERROR(__xludf.DUMMYFUNCTION("""COMPUTED_VALUE"""),"")</f>
        <v/>
      </c>
      <c r="U3513" s="16" t="s">
        <v>87</v>
      </c>
      <c r="V3513" s="16" t="str">
        <f>IFERROR(__xludf.DUMMYFUNCTION("""COMPUTED_VALUE"""),"")</f>
        <v/>
      </c>
      <c r="W3513" s="16" t="str">
        <f>IFERROR(__xludf.DUMMYFUNCTION("""COMPUTED_VALUE"""),"")</f>
        <v/>
      </c>
      <c r="X3513" s="16" t="str">
        <f>IFERROR(__xludf.DUMMYFUNCTION("""COMPUTED_VALUE"""),"")</f>
        <v/>
      </c>
      <c r="AC3513" s="16" t="str">
        <f>IFERROR(__xludf.DUMMYFUNCTION("""COMPUTED_VALUE"""),"")</f>
        <v/>
      </c>
    </row>
    <row r="3514">
      <c r="A3514" s="16" t="s">
        <v>87</v>
      </c>
      <c r="E3514" s="16" t="str">
        <f>IFERROR(__xludf.DUMMYFUNCTION("""COMPUTED_VALUE"""),"")</f>
        <v/>
      </c>
      <c r="G3514" s="18"/>
      <c r="H3514" s="16" t="s">
        <v>87</v>
      </c>
      <c r="I3514" s="16" t="s">
        <v>87</v>
      </c>
      <c r="J3514" s="19"/>
      <c r="L3514" s="16" t="str">
        <f>IFERROR(__xludf.DUMMYFUNCTION("""COMPUTED_VALUE"""),"")</f>
        <v/>
      </c>
      <c r="M3514" s="16" t="str">
        <f>IFERROR(__xludf.DUMMYFUNCTION("""COMPUTED_VALUE"""),"")</f>
        <v/>
      </c>
      <c r="U3514" s="16" t="s">
        <v>87</v>
      </c>
      <c r="V3514" s="16" t="str">
        <f>IFERROR(__xludf.DUMMYFUNCTION("""COMPUTED_VALUE"""),"")</f>
        <v/>
      </c>
      <c r="W3514" s="16" t="str">
        <f>IFERROR(__xludf.DUMMYFUNCTION("""COMPUTED_VALUE"""),"")</f>
        <v/>
      </c>
      <c r="X3514" s="16" t="str">
        <f>IFERROR(__xludf.DUMMYFUNCTION("""COMPUTED_VALUE"""),"")</f>
        <v/>
      </c>
      <c r="AC3514" s="16" t="str">
        <f>IFERROR(__xludf.DUMMYFUNCTION("""COMPUTED_VALUE"""),"")</f>
        <v/>
      </c>
    </row>
    <row r="3515">
      <c r="A3515" s="16" t="s">
        <v>87</v>
      </c>
      <c r="E3515" s="16" t="str">
        <f>IFERROR(__xludf.DUMMYFUNCTION("""COMPUTED_VALUE"""),"")</f>
        <v/>
      </c>
      <c r="G3515" s="18"/>
      <c r="H3515" s="16" t="s">
        <v>87</v>
      </c>
      <c r="I3515" s="16" t="s">
        <v>87</v>
      </c>
      <c r="J3515" s="19"/>
      <c r="L3515" s="16" t="str">
        <f>IFERROR(__xludf.DUMMYFUNCTION("""COMPUTED_VALUE"""),"")</f>
        <v/>
      </c>
      <c r="M3515" s="16" t="str">
        <f>IFERROR(__xludf.DUMMYFUNCTION("""COMPUTED_VALUE"""),"")</f>
        <v/>
      </c>
      <c r="U3515" s="16" t="s">
        <v>87</v>
      </c>
      <c r="V3515" s="16" t="str">
        <f>IFERROR(__xludf.DUMMYFUNCTION("""COMPUTED_VALUE"""),"")</f>
        <v/>
      </c>
      <c r="W3515" s="16" t="str">
        <f>IFERROR(__xludf.DUMMYFUNCTION("""COMPUTED_VALUE"""),"")</f>
        <v/>
      </c>
      <c r="X3515" s="16" t="str">
        <f>IFERROR(__xludf.DUMMYFUNCTION("""COMPUTED_VALUE"""),"")</f>
        <v/>
      </c>
      <c r="AC3515" s="16" t="str">
        <f>IFERROR(__xludf.DUMMYFUNCTION("""COMPUTED_VALUE"""),"")</f>
        <v/>
      </c>
    </row>
    <row r="3516">
      <c r="A3516" s="16" t="s">
        <v>87</v>
      </c>
      <c r="E3516" s="16" t="str">
        <f>IFERROR(__xludf.DUMMYFUNCTION("""COMPUTED_VALUE"""),"")</f>
        <v/>
      </c>
      <c r="G3516" s="18"/>
      <c r="H3516" s="16" t="s">
        <v>87</v>
      </c>
      <c r="I3516" s="16" t="s">
        <v>87</v>
      </c>
      <c r="J3516" s="19"/>
      <c r="L3516" s="16" t="str">
        <f>IFERROR(__xludf.DUMMYFUNCTION("""COMPUTED_VALUE"""),"")</f>
        <v/>
      </c>
      <c r="M3516" s="16" t="str">
        <f>IFERROR(__xludf.DUMMYFUNCTION("""COMPUTED_VALUE"""),"")</f>
        <v/>
      </c>
      <c r="U3516" s="16" t="s">
        <v>87</v>
      </c>
      <c r="V3516" s="16" t="str">
        <f>IFERROR(__xludf.DUMMYFUNCTION("""COMPUTED_VALUE"""),"")</f>
        <v/>
      </c>
      <c r="W3516" s="16" t="str">
        <f>IFERROR(__xludf.DUMMYFUNCTION("""COMPUTED_VALUE"""),"")</f>
        <v/>
      </c>
      <c r="X3516" s="16" t="str">
        <f>IFERROR(__xludf.DUMMYFUNCTION("""COMPUTED_VALUE"""),"")</f>
        <v/>
      </c>
      <c r="AC3516" s="16" t="str">
        <f>IFERROR(__xludf.DUMMYFUNCTION("""COMPUTED_VALUE"""),"")</f>
        <v/>
      </c>
    </row>
    <row r="3517">
      <c r="A3517" s="16" t="s">
        <v>87</v>
      </c>
      <c r="E3517" s="16" t="str">
        <f>IFERROR(__xludf.DUMMYFUNCTION("""COMPUTED_VALUE"""),"")</f>
        <v/>
      </c>
      <c r="G3517" s="18"/>
      <c r="H3517" s="16" t="s">
        <v>87</v>
      </c>
      <c r="I3517" s="16" t="s">
        <v>87</v>
      </c>
      <c r="J3517" s="19"/>
      <c r="L3517" s="16" t="str">
        <f>IFERROR(__xludf.DUMMYFUNCTION("""COMPUTED_VALUE"""),"")</f>
        <v/>
      </c>
      <c r="M3517" s="16" t="str">
        <f>IFERROR(__xludf.DUMMYFUNCTION("""COMPUTED_VALUE"""),"")</f>
        <v/>
      </c>
      <c r="U3517" s="16" t="s">
        <v>87</v>
      </c>
      <c r="V3517" s="16" t="str">
        <f>IFERROR(__xludf.DUMMYFUNCTION("""COMPUTED_VALUE"""),"")</f>
        <v/>
      </c>
      <c r="W3517" s="16" t="str">
        <f>IFERROR(__xludf.DUMMYFUNCTION("""COMPUTED_VALUE"""),"")</f>
        <v/>
      </c>
      <c r="X3517" s="16" t="str">
        <f>IFERROR(__xludf.DUMMYFUNCTION("""COMPUTED_VALUE"""),"")</f>
        <v/>
      </c>
      <c r="AC3517" s="16" t="str">
        <f>IFERROR(__xludf.DUMMYFUNCTION("""COMPUTED_VALUE"""),"")</f>
        <v/>
      </c>
    </row>
    <row r="3518">
      <c r="A3518" s="16" t="s">
        <v>87</v>
      </c>
      <c r="E3518" s="16" t="str">
        <f>IFERROR(__xludf.DUMMYFUNCTION("""COMPUTED_VALUE"""),"")</f>
        <v/>
      </c>
      <c r="G3518" s="18"/>
      <c r="H3518" s="16" t="s">
        <v>87</v>
      </c>
      <c r="I3518" s="16" t="s">
        <v>87</v>
      </c>
      <c r="J3518" s="19"/>
      <c r="L3518" s="16" t="str">
        <f>IFERROR(__xludf.DUMMYFUNCTION("""COMPUTED_VALUE"""),"")</f>
        <v/>
      </c>
      <c r="M3518" s="16" t="str">
        <f>IFERROR(__xludf.DUMMYFUNCTION("""COMPUTED_VALUE"""),"")</f>
        <v/>
      </c>
      <c r="U3518" s="16" t="s">
        <v>87</v>
      </c>
      <c r="V3518" s="16" t="str">
        <f>IFERROR(__xludf.DUMMYFUNCTION("""COMPUTED_VALUE"""),"")</f>
        <v/>
      </c>
      <c r="W3518" s="16" t="str">
        <f>IFERROR(__xludf.DUMMYFUNCTION("""COMPUTED_VALUE"""),"")</f>
        <v/>
      </c>
      <c r="X3518" s="16" t="str">
        <f>IFERROR(__xludf.DUMMYFUNCTION("""COMPUTED_VALUE"""),"")</f>
        <v/>
      </c>
      <c r="AC3518" s="16" t="str">
        <f>IFERROR(__xludf.DUMMYFUNCTION("""COMPUTED_VALUE"""),"")</f>
        <v/>
      </c>
    </row>
    <row r="3519">
      <c r="A3519" s="16" t="s">
        <v>87</v>
      </c>
      <c r="E3519" s="16" t="str">
        <f>IFERROR(__xludf.DUMMYFUNCTION("""COMPUTED_VALUE"""),"")</f>
        <v/>
      </c>
      <c r="G3519" s="18"/>
      <c r="H3519" s="16" t="s">
        <v>87</v>
      </c>
      <c r="I3519" s="16" t="s">
        <v>87</v>
      </c>
      <c r="J3519" s="19"/>
      <c r="L3519" s="16" t="str">
        <f>IFERROR(__xludf.DUMMYFUNCTION("""COMPUTED_VALUE"""),"")</f>
        <v/>
      </c>
      <c r="M3519" s="16" t="str">
        <f>IFERROR(__xludf.DUMMYFUNCTION("""COMPUTED_VALUE"""),"")</f>
        <v/>
      </c>
      <c r="U3519" s="16" t="s">
        <v>87</v>
      </c>
      <c r="V3519" s="16" t="str">
        <f>IFERROR(__xludf.DUMMYFUNCTION("""COMPUTED_VALUE"""),"")</f>
        <v/>
      </c>
      <c r="W3519" s="16" t="str">
        <f>IFERROR(__xludf.DUMMYFUNCTION("""COMPUTED_VALUE"""),"")</f>
        <v/>
      </c>
      <c r="X3519" s="16" t="str">
        <f>IFERROR(__xludf.DUMMYFUNCTION("""COMPUTED_VALUE"""),"")</f>
        <v/>
      </c>
      <c r="AC3519" s="16" t="str">
        <f>IFERROR(__xludf.DUMMYFUNCTION("""COMPUTED_VALUE"""),"")</f>
        <v/>
      </c>
    </row>
    <row r="3520">
      <c r="A3520" s="16" t="s">
        <v>87</v>
      </c>
      <c r="E3520" s="16" t="str">
        <f>IFERROR(__xludf.DUMMYFUNCTION("""COMPUTED_VALUE"""),"")</f>
        <v/>
      </c>
      <c r="G3520" s="18"/>
      <c r="H3520" s="16" t="s">
        <v>87</v>
      </c>
      <c r="I3520" s="16" t="s">
        <v>87</v>
      </c>
      <c r="J3520" s="19"/>
      <c r="L3520" s="16" t="str">
        <f>IFERROR(__xludf.DUMMYFUNCTION("""COMPUTED_VALUE"""),"")</f>
        <v/>
      </c>
      <c r="M3520" s="16" t="str">
        <f>IFERROR(__xludf.DUMMYFUNCTION("""COMPUTED_VALUE"""),"")</f>
        <v/>
      </c>
      <c r="U3520" s="16" t="s">
        <v>87</v>
      </c>
      <c r="V3520" s="16" t="str">
        <f>IFERROR(__xludf.DUMMYFUNCTION("""COMPUTED_VALUE"""),"")</f>
        <v/>
      </c>
      <c r="W3520" s="16" t="str">
        <f>IFERROR(__xludf.DUMMYFUNCTION("""COMPUTED_VALUE"""),"")</f>
        <v/>
      </c>
      <c r="X3520" s="16" t="str">
        <f>IFERROR(__xludf.DUMMYFUNCTION("""COMPUTED_VALUE"""),"")</f>
        <v/>
      </c>
      <c r="AC3520" s="16" t="str">
        <f>IFERROR(__xludf.DUMMYFUNCTION("""COMPUTED_VALUE"""),"")</f>
        <v/>
      </c>
    </row>
    <row r="3521">
      <c r="A3521" s="16" t="s">
        <v>87</v>
      </c>
      <c r="E3521" s="16" t="str">
        <f>IFERROR(__xludf.DUMMYFUNCTION("""COMPUTED_VALUE"""),"")</f>
        <v/>
      </c>
      <c r="G3521" s="18"/>
      <c r="H3521" s="16" t="s">
        <v>87</v>
      </c>
      <c r="I3521" s="16" t="s">
        <v>87</v>
      </c>
      <c r="J3521" s="19"/>
      <c r="L3521" s="16" t="str">
        <f>IFERROR(__xludf.DUMMYFUNCTION("""COMPUTED_VALUE"""),"")</f>
        <v/>
      </c>
      <c r="M3521" s="16" t="str">
        <f>IFERROR(__xludf.DUMMYFUNCTION("""COMPUTED_VALUE"""),"")</f>
        <v/>
      </c>
      <c r="U3521" s="16" t="s">
        <v>87</v>
      </c>
      <c r="V3521" s="16" t="str">
        <f>IFERROR(__xludf.DUMMYFUNCTION("""COMPUTED_VALUE"""),"")</f>
        <v/>
      </c>
      <c r="W3521" s="16" t="str">
        <f>IFERROR(__xludf.DUMMYFUNCTION("""COMPUTED_VALUE"""),"")</f>
        <v/>
      </c>
      <c r="X3521" s="16" t="str">
        <f>IFERROR(__xludf.DUMMYFUNCTION("""COMPUTED_VALUE"""),"")</f>
        <v/>
      </c>
      <c r="AC3521" s="16" t="str">
        <f>IFERROR(__xludf.DUMMYFUNCTION("""COMPUTED_VALUE"""),"")</f>
        <v/>
      </c>
    </row>
    <row r="3522">
      <c r="A3522" s="16" t="s">
        <v>87</v>
      </c>
      <c r="E3522" s="16" t="str">
        <f>IFERROR(__xludf.DUMMYFUNCTION("""COMPUTED_VALUE"""),"")</f>
        <v/>
      </c>
      <c r="G3522" s="18"/>
      <c r="H3522" s="16" t="s">
        <v>87</v>
      </c>
      <c r="I3522" s="16" t="s">
        <v>87</v>
      </c>
      <c r="J3522" s="19"/>
      <c r="L3522" s="16" t="str">
        <f>IFERROR(__xludf.DUMMYFUNCTION("""COMPUTED_VALUE"""),"")</f>
        <v/>
      </c>
      <c r="M3522" s="16" t="str">
        <f>IFERROR(__xludf.DUMMYFUNCTION("""COMPUTED_VALUE"""),"")</f>
        <v/>
      </c>
      <c r="U3522" s="16" t="s">
        <v>87</v>
      </c>
      <c r="V3522" s="16" t="str">
        <f>IFERROR(__xludf.DUMMYFUNCTION("""COMPUTED_VALUE"""),"")</f>
        <v/>
      </c>
      <c r="W3522" s="16" t="str">
        <f>IFERROR(__xludf.DUMMYFUNCTION("""COMPUTED_VALUE"""),"")</f>
        <v/>
      </c>
      <c r="X3522" s="16" t="str">
        <f>IFERROR(__xludf.DUMMYFUNCTION("""COMPUTED_VALUE"""),"")</f>
        <v/>
      </c>
      <c r="AC3522" s="16" t="str">
        <f>IFERROR(__xludf.DUMMYFUNCTION("""COMPUTED_VALUE"""),"")</f>
        <v/>
      </c>
    </row>
    <row r="3523">
      <c r="A3523" s="16" t="s">
        <v>87</v>
      </c>
      <c r="E3523" s="16" t="str">
        <f>IFERROR(__xludf.DUMMYFUNCTION("""COMPUTED_VALUE"""),"")</f>
        <v/>
      </c>
      <c r="G3523" s="18"/>
      <c r="H3523" s="16" t="s">
        <v>87</v>
      </c>
      <c r="I3523" s="16" t="s">
        <v>87</v>
      </c>
      <c r="J3523" s="19"/>
      <c r="L3523" s="16" t="str">
        <f>IFERROR(__xludf.DUMMYFUNCTION("""COMPUTED_VALUE"""),"")</f>
        <v/>
      </c>
      <c r="M3523" s="16" t="str">
        <f>IFERROR(__xludf.DUMMYFUNCTION("""COMPUTED_VALUE"""),"")</f>
        <v/>
      </c>
      <c r="U3523" s="16" t="s">
        <v>87</v>
      </c>
      <c r="V3523" s="16" t="str">
        <f>IFERROR(__xludf.DUMMYFUNCTION("""COMPUTED_VALUE"""),"")</f>
        <v/>
      </c>
      <c r="W3523" s="16" t="str">
        <f>IFERROR(__xludf.DUMMYFUNCTION("""COMPUTED_VALUE"""),"")</f>
        <v/>
      </c>
      <c r="X3523" s="16" t="str">
        <f>IFERROR(__xludf.DUMMYFUNCTION("""COMPUTED_VALUE"""),"")</f>
        <v/>
      </c>
      <c r="AC3523" s="16" t="str">
        <f>IFERROR(__xludf.DUMMYFUNCTION("""COMPUTED_VALUE"""),"")</f>
        <v/>
      </c>
    </row>
    <row r="3524">
      <c r="A3524" s="16" t="s">
        <v>87</v>
      </c>
      <c r="E3524" s="16" t="str">
        <f>IFERROR(__xludf.DUMMYFUNCTION("""COMPUTED_VALUE"""),"")</f>
        <v/>
      </c>
      <c r="G3524" s="18"/>
      <c r="H3524" s="16" t="s">
        <v>87</v>
      </c>
      <c r="I3524" s="16" t="s">
        <v>87</v>
      </c>
      <c r="J3524" s="19"/>
      <c r="L3524" s="16" t="str">
        <f>IFERROR(__xludf.DUMMYFUNCTION("""COMPUTED_VALUE"""),"")</f>
        <v/>
      </c>
      <c r="M3524" s="16" t="str">
        <f>IFERROR(__xludf.DUMMYFUNCTION("""COMPUTED_VALUE"""),"")</f>
        <v/>
      </c>
      <c r="U3524" s="16" t="s">
        <v>87</v>
      </c>
      <c r="V3524" s="16" t="str">
        <f>IFERROR(__xludf.DUMMYFUNCTION("""COMPUTED_VALUE"""),"")</f>
        <v/>
      </c>
      <c r="W3524" s="16" t="str">
        <f>IFERROR(__xludf.DUMMYFUNCTION("""COMPUTED_VALUE"""),"")</f>
        <v/>
      </c>
      <c r="X3524" s="16" t="str">
        <f>IFERROR(__xludf.DUMMYFUNCTION("""COMPUTED_VALUE"""),"")</f>
        <v/>
      </c>
      <c r="AC3524" s="16" t="str">
        <f>IFERROR(__xludf.DUMMYFUNCTION("""COMPUTED_VALUE"""),"")</f>
        <v/>
      </c>
    </row>
    <row r="3525">
      <c r="A3525" s="16" t="s">
        <v>87</v>
      </c>
      <c r="E3525" s="16" t="str">
        <f>IFERROR(__xludf.DUMMYFUNCTION("""COMPUTED_VALUE"""),"")</f>
        <v/>
      </c>
      <c r="G3525" s="18"/>
      <c r="H3525" s="16" t="s">
        <v>87</v>
      </c>
      <c r="I3525" s="16" t="s">
        <v>87</v>
      </c>
      <c r="J3525" s="19"/>
      <c r="L3525" s="16" t="str">
        <f>IFERROR(__xludf.DUMMYFUNCTION("""COMPUTED_VALUE"""),"")</f>
        <v/>
      </c>
      <c r="M3525" s="16" t="str">
        <f>IFERROR(__xludf.DUMMYFUNCTION("""COMPUTED_VALUE"""),"")</f>
        <v/>
      </c>
      <c r="U3525" s="16" t="s">
        <v>87</v>
      </c>
      <c r="V3525" s="16" t="str">
        <f>IFERROR(__xludf.DUMMYFUNCTION("""COMPUTED_VALUE"""),"")</f>
        <v/>
      </c>
      <c r="W3525" s="16" t="str">
        <f>IFERROR(__xludf.DUMMYFUNCTION("""COMPUTED_VALUE"""),"")</f>
        <v/>
      </c>
      <c r="X3525" s="16" t="str">
        <f>IFERROR(__xludf.DUMMYFUNCTION("""COMPUTED_VALUE"""),"")</f>
        <v/>
      </c>
      <c r="AC3525" s="16" t="str">
        <f>IFERROR(__xludf.DUMMYFUNCTION("""COMPUTED_VALUE"""),"")</f>
        <v/>
      </c>
    </row>
    <row r="3526">
      <c r="A3526" s="16" t="s">
        <v>87</v>
      </c>
      <c r="E3526" s="16" t="str">
        <f>IFERROR(__xludf.DUMMYFUNCTION("""COMPUTED_VALUE"""),"")</f>
        <v/>
      </c>
      <c r="G3526" s="18"/>
      <c r="H3526" s="16" t="s">
        <v>87</v>
      </c>
      <c r="I3526" s="16" t="s">
        <v>87</v>
      </c>
      <c r="J3526" s="19"/>
      <c r="L3526" s="16" t="str">
        <f>IFERROR(__xludf.DUMMYFUNCTION("""COMPUTED_VALUE"""),"")</f>
        <v/>
      </c>
      <c r="M3526" s="16" t="str">
        <f>IFERROR(__xludf.DUMMYFUNCTION("""COMPUTED_VALUE"""),"")</f>
        <v/>
      </c>
      <c r="U3526" s="16" t="s">
        <v>87</v>
      </c>
      <c r="V3526" s="16" t="str">
        <f>IFERROR(__xludf.DUMMYFUNCTION("""COMPUTED_VALUE"""),"")</f>
        <v/>
      </c>
      <c r="W3526" s="16" t="str">
        <f>IFERROR(__xludf.DUMMYFUNCTION("""COMPUTED_VALUE"""),"")</f>
        <v/>
      </c>
      <c r="X3526" s="16" t="str">
        <f>IFERROR(__xludf.DUMMYFUNCTION("""COMPUTED_VALUE"""),"")</f>
        <v/>
      </c>
      <c r="AC3526" s="16" t="str">
        <f>IFERROR(__xludf.DUMMYFUNCTION("""COMPUTED_VALUE"""),"")</f>
        <v/>
      </c>
    </row>
    <row r="3527">
      <c r="A3527" s="16" t="s">
        <v>87</v>
      </c>
      <c r="E3527" s="16" t="str">
        <f>IFERROR(__xludf.DUMMYFUNCTION("""COMPUTED_VALUE"""),"")</f>
        <v/>
      </c>
      <c r="G3527" s="18"/>
      <c r="H3527" s="16" t="s">
        <v>87</v>
      </c>
      <c r="I3527" s="16" t="s">
        <v>87</v>
      </c>
      <c r="J3527" s="19"/>
      <c r="L3527" s="16" t="str">
        <f>IFERROR(__xludf.DUMMYFUNCTION("""COMPUTED_VALUE"""),"")</f>
        <v/>
      </c>
      <c r="M3527" s="16" t="str">
        <f>IFERROR(__xludf.DUMMYFUNCTION("""COMPUTED_VALUE"""),"")</f>
        <v/>
      </c>
      <c r="U3527" s="16" t="s">
        <v>87</v>
      </c>
      <c r="V3527" s="16" t="str">
        <f>IFERROR(__xludf.DUMMYFUNCTION("""COMPUTED_VALUE"""),"")</f>
        <v/>
      </c>
      <c r="W3527" s="16" t="str">
        <f>IFERROR(__xludf.DUMMYFUNCTION("""COMPUTED_VALUE"""),"")</f>
        <v/>
      </c>
      <c r="X3527" s="16" t="str">
        <f>IFERROR(__xludf.DUMMYFUNCTION("""COMPUTED_VALUE"""),"")</f>
        <v/>
      </c>
      <c r="AC3527" s="16" t="str">
        <f>IFERROR(__xludf.DUMMYFUNCTION("""COMPUTED_VALUE"""),"")</f>
        <v/>
      </c>
    </row>
    <row r="3528">
      <c r="A3528" s="16" t="s">
        <v>87</v>
      </c>
      <c r="E3528" s="16" t="str">
        <f>IFERROR(__xludf.DUMMYFUNCTION("""COMPUTED_VALUE"""),"")</f>
        <v/>
      </c>
      <c r="G3528" s="18"/>
      <c r="H3528" s="16" t="s">
        <v>87</v>
      </c>
      <c r="I3528" s="16" t="s">
        <v>87</v>
      </c>
      <c r="J3528" s="19"/>
      <c r="L3528" s="16" t="str">
        <f>IFERROR(__xludf.DUMMYFUNCTION("""COMPUTED_VALUE"""),"")</f>
        <v/>
      </c>
      <c r="M3528" s="16" t="str">
        <f>IFERROR(__xludf.DUMMYFUNCTION("""COMPUTED_VALUE"""),"")</f>
        <v/>
      </c>
      <c r="U3528" s="16" t="s">
        <v>87</v>
      </c>
      <c r="V3528" s="16" t="str">
        <f>IFERROR(__xludf.DUMMYFUNCTION("""COMPUTED_VALUE"""),"")</f>
        <v/>
      </c>
      <c r="W3528" s="16" t="str">
        <f>IFERROR(__xludf.DUMMYFUNCTION("""COMPUTED_VALUE"""),"")</f>
        <v/>
      </c>
      <c r="X3528" s="16" t="str">
        <f>IFERROR(__xludf.DUMMYFUNCTION("""COMPUTED_VALUE"""),"")</f>
        <v/>
      </c>
      <c r="AC3528" s="16" t="str">
        <f>IFERROR(__xludf.DUMMYFUNCTION("""COMPUTED_VALUE"""),"")</f>
        <v/>
      </c>
    </row>
    <row r="3529">
      <c r="A3529" s="16" t="s">
        <v>87</v>
      </c>
      <c r="E3529" s="16" t="str">
        <f>IFERROR(__xludf.DUMMYFUNCTION("""COMPUTED_VALUE"""),"")</f>
        <v/>
      </c>
      <c r="G3529" s="18"/>
      <c r="H3529" s="16" t="s">
        <v>87</v>
      </c>
      <c r="I3529" s="16" t="s">
        <v>87</v>
      </c>
      <c r="J3529" s="19"/>
      <c r="L3529" s="16" t="str">
        <f>IFERROR(__xludf.DUMMYFUNCTION("""COMPUTED_VALUE"""),"")</f>
        <v/>
      </c>
      <c r="M3529" s="16" t="str">
        <f>IFERROR(__xludf.DUMMYFUNCTION("""COMPUTED_VALUE"""),"")</f>
        <v/>
      </c>
      <c r="U3529" s="16" t="s">
        <v>87</v>
      </c>
      <c r="V3529" s="16" t="str">
        <f>IFERROR(__xludf.DUMMYFUNCTION("""COMPUTED_VALUE"""),"")</f>
        <v/>
      </c>
      <c r="W3529" s="16" t="str">
        <f>IFERROR(__xludf.DUMMYFUNCTION("""COMPUTED_VALUE"""),"")</f>
        <v/>
      </c>
      <c r="X3529" s="16" t="str">
        <f>IFERROR(__xludf.DUMMYFUNCTION("""COMPUTED_VALUE"""),"")</f>
        <v/>
      </c>
      <c r="AC3529" s="16" t="str">
        <f>IFERROR(__xludf.DUMMYFUNCTION("""COMPUTED_VALUE"""),"")</f>
        <v/>
      </c>
    </row>
    <row r="3530">
      <c r="A3530" s="16" t="s">
        <v>87</v>
      </c>
      <c r="E3530" s="16" t="str">
        <f>IFERROR(__xludf.DUMMYFUNCTION("""COMPUTED_VALUE"""),"")</f>
        <v/>
      </c>
      <c r="G3530" s="18"/>
      <c r="H3530" s="16" t="s">
        <v>87</v>
      </c>
      <c r="I3530" s="16" t="s">
        <v>87</v>
      </c>
      <c r="J3530" s="19"/>
      <c r="L3530" s="16" t="str">
        <f>IFERROR(__xludf.DUMMYFUNCTION("""COMPUTED_VALUE"""),"")</f>
        <v/>
      </c>
      <c r="M3530" s="16" t="str">
        <f>IFERROR(__xludf.DUMMYFUNCTION("""COMPUTED_VALUE"""),"")</f>
        <v/>
      </c>
      <c r="U3530" s="16" t="s">
        <v>87</v>
      </c>
      <c r="V3530" s="16" t="str">
        <f>IFERROR(__xludf.DUMMYFUNCTION("""COMPUTED_VALUE"""),"")</f>
        <v/>
      </c>
      <c r="W3530" s="16" t="str">
        <f>IFERROR(__xludf.DUMMYFUNCTION("""COMPUTED_VALUE"""),"")</f>
        <v/>
      </c>
      <c r="X3530" s="16" t="str">
        <f>IFERROR(__xludf.DUMMYFUNCTION("""COMPUTED_VALUE"""),"")</f>
        <v/>
      </c>
      <c r="AC3530" s="16" t="str">
        <f>IFERROR(__xludf.DUMMYFUNCTION("""COMPUTED_VALUE"""),"")</f>
        <v/>
      </c>
    </row>
    <row r="3531">
      <c r="A3531" s="16" t="s">
        <v>87</v>
      </c>
      <c r="E3531" s="16" t="str">
        <f>IFERROR(__xludf.DUMMYFUNCTION("""COMPUTED_VALUE"""),"")</f>
        <v/>
      </c>
      <c r="G3531" s="18"/>
      <c r="H3531" s="16" t="s">
        <v>87</v>
      </c>
      <c r="I3531" s="16" t="s">
        <v>87</v>
      </c>
      <c r="J3531" s="19"/>
      <c r="L3531" s="16" t="str">
        <f>IFERROR(__xludf.DUMMYFUNCTION("""COMPUTED_VALUE"""),"")</f>
        <v/>
      </c>
      <c r="M3531" s="16" t="str">
        <f>IFERROR(__xludf.DUMMYFUNCTION("""COMPUTED_VALUE"""),"")</f>
        <v/>
      </c>
      <c r="U3531" s="16" t="s">
        <v>87</v>
      </c>
      <c r="V3531" s="16" t="str">
        <f>IFERROR(__xludf.DUMMYFUNCTION("""COMPUTED_VALUE"""),"")</f>
        <v/>
      </c>
      <c r="W3531" s="16" t="str">
        <f>IFERROR(__xludf.DUMMYFUNCTION("""COMPUTED_VALUE"""),"")</f>
        <v/>
      </c>
      <c r="X3531" s="16" t="str">
        <f>IFERROR(__xludf.DUMMYFUNCTION("""COMPUTED_VALUE"""),"")</f>
        <v/>
      </c>
      <c r="AC3531" s="16" t="str">
        <f>IFERROR(__xludf.DUMMYFUNCTION("""COMPUTED_VALUE"""),"")</f>
        <v/>
      </c>
    </row>
    <row r="3532">
      <c r="A3532" s="16" t="s">
        <v>87</v>
      </c>
      <c r="E3532" s="16" t="str">
        <f>IFERROR(__xludf.DUMMYFUNCTION("""COMPUTED_VALUE"""),"")</f>
        <v/>
      </c>
      <c r="G3532" s="18"/>
      <c r="H3532" s="16" t="s">
        <v>87</v>
      </c>
      <c r="I3532" s="16" t="s">
        <v>87</v>
      </c>
      <c r="J3532" s="19"/>
      <c r="L3532" s="16" t="str">
        <f>IFERROR(__xludf.DUMMYFUNCTION("""COMPUTED_VALUE"""),"")</f>
        <v/>
      </c>
      <c r="M3532" s="16" t="str">
        <f>IFERROR(__xludf.DUMMYFUNCTION("""COMPUTED_VALUE"""),"")</f>
        <v/>
      </c>
      <c r="U3532" s="16" t="s">
        <v>87</v>
      </c>
      <c r="V3532" s="16" t="str">
        <f>IFERROR(__xludf.DUMMYFUNCTION("""COMPUTED_VALUE"""),"")</f>
        <v/>
      </c>
      <c r="W3532" s="16" t="str">
        <f>IFERROR(__xludf.DUMMYFUNCTION("""COMPUTED_VALUE"""),"")</f>
        <v/>
      </c>
      <c r="X3532" s="16" t="str">
        <f>IFERROR(__xludf.DUMMYFUNCTION("""COMPUTED_VALUE"""),"")</f>
        <v/>
      </c>
      <c r="AC3532" s="16" t="str">
        <f>IFERROR(__xludf.DUMMYFUNCTION("""COMPUTED_VALUE"""),"")</f>
        <v/>
      </c>
    </row>
    <row r="3533">
      <c r="A3533" s="16" t="s">
        <v>87</v>
      </c>
      <c r="E3533" s="16" t="str">
        <f>IFERROR(__xludf.DUMMYFUNCTION("""COMPUTED_VALUE"""),"")</f>
        <v/>
      </c>
      <c r="G3533" s="18"/>
      <c r="H3533" s="16" t="s">
        <v>87</v>
      </c>
      <c r="I3533" s="16" t="s">
        <v>87</v>
      </c>
      <c r="J3533" s="19"/>
      <c r="L3533" s="16" t="str">
        <f>IFERROR(__xludf.DUMMYFUNCTION("""COMPUTED_VALUE"""),"")</f>
        <v/>
      </c>
      <c r="M3533" s="16" t="str">
        <f>IFERROR(__xludf.DUMMYFUNCTION("""COMPUTED_VALUE"""),"")</f>
        <v/>
      </c>
      <c r="U3533" s="16" t="s">
        <v>87</v>
      </c>
      <c r="V3533" s="16" t="str">
        <f>IFERROR(__xludf.DUMMYFUNCTION("""COMPUTED_VALUE"""),"")</f>
        <v/>
      </c>
      <c r="W3533" s="16" t="str">
        <f>IFERROR(__xludf.DUMMYFUNCTION("""COMPUTED_VALUE"""),"")</f>
        <v/>
      </c>
      <c r="X3533" s="16" t="str">
        <f>IFERROR(__xludf.DUMMYFUNCTION("""COMPUTED_VALUE"""),"")</f>
        <v/>
      </c>
      <c r="AC3533" s="16" t="str">
        <f>IFERROR(__xludf.DUMMYFUNCTION("""COMPUTED_VALUE"""),"")</f>
        <v/>
      </c>
    </row>
    <row r="3534">
      <c r="A3534" s="16" t="s">
        <v>87</v>
      </c>
      <c r="E3534" s="16" t="str">
        <f>IFERROR(__xludf.DUMMYFUNCTION("""COMPUTED_VALUE"""),"")</f>
        <v/>
      </c>
      <c r="G3534" s="18"/>
      <c r="H3534" s="16" t="s">
        <v>87</v>
      </c>
      <c r="I3534" s="16" t="s">
        <v>87</v>
      </c>
      <c r="J3534" s="19"/>
      <c r="L3534" s="16" t="str">
        <f>IFERROR(__xludf.DUMMYFUNCTION("""COMPUTED_VALUE"""),"")</f>
        <v/>
      </c>
      <c r="M3534" s="16" t="str">
        <f>IFERROR(__xludf.DUMMYFUNCTION("""COMPUTED_VALUE"""),"")</f>
        <v/>
      </c>
      <c r="U3534" s="16" t="s">
        <v>87</v>
      </c>
      <c r="V3534" s="16" t="str">
        <f>IFERROR(__xludf.DUMMYFUNCTION("""COMPUTED_VALUE"""),"")</f>
        <v/>
      </c>
      <c r="W3534" s="16" t="str">
        <f>IFERROR(__xludf.DUMMYFUNCTION("""COMPUTED_VALUE"""),"")</f>
        <v/>
      </c>
      <c r="X3534" s="16" t="str">
        <f>IFERROR(__xludf.DUMMYFUNCTION("""COMPUTED_VALUE"""),"")</f>
        <v/>
      </c>
      <c r="AC3534" s="16" t="str">
        <f>IFERROR(__xludf.DUMMYFUNCTION("""COMPUTED_VALUE"""),"")</f>
        <v/>
      </c>
    </row>
    <row r="3535">
      <c r="A3535" s="16" t="s">
        <v>87</v>
      </c>
      <c r="E3535" s="16" t="str">
        <f>IFERROR(__xludf.DUMMYFUNCTION("""COMPUTED_VALUE"""),"")</f>
        <v/>
      </c>
      <c r="G3535" s="18"/>
      <c r="H3535" s="16" t="s">
        <v>87</v>
      </c>
      <c r="I3535" s="16" t="s">
        <v>87</v>
      </c>
      <c r="J3535" s="19"/>
      <c r="L3535" s="16" t="str">
        <f>IFERROR(__xludf.DUMMYFUNCTION("""COMPUTED_VALUE"""),"")</f>
        <v/>
      </c>
      <c r="M3535" s="16" t="str">
        <f>IFERROR(__xludf.DUMMYFUNCTION("""COMPUTED_VALUE"""),"")</f>
        <v/>
      </c>
      <c r="U3535" s="16" t="s">
        <v>87</v>
      </c>
      <c r="V3535" s="16" t="str">
        <f>IFERROR(__xludf.DUMMYFUNCTION("""COMPUTED_VALUE"""),"")</f>
        <v/>
      </c>
      <c r="W3535" s="16" t="str">
        <f>IFERROR(__xludf.DUMMYFUNCTION("""COMPUTED_VALUE"""),"")</f>
        <v/>
      </c>
      <c r="X3535" s="16" t="str">
        <f>IFERROR(__xludf.DUMMYFUNCTION("""COMPUTED_VALUE"""),"")</f>
        <v/>
      </c>
      <c r="AC3535" s="16" t="str">
        <f>IFERROR(__xludf.DUMMYFUNCTION("""COMPUTED_VALUE"""),"")</f>
        <v/>
      </c>
    </row>
    <row r="3536">
      <c r="A3536" s="16" t="s">
        <v>87</v>
      </c>
      <c r="E3536" s="16" t="str">
        <f>IFERROR(__xludf.DUMMYFUNCTION("""COMPUTED_VALUE"""),"")</f>
        <v/>
      </c>
      <c r="G3536" s="18"/>
      <c r="H3536" s="16" t="s">
        <v>87</v>
      </c>
      <c r="I3536" s="16" t="s">
        <v>87</v>
      </c>
      <c r="J3536" s="19"/>
      <c r="L3536" s="16" t="str">
        <f>IFERROR(__xludf.DUMMYFUNCTION("""COMPUTED_VALUE"""),"")</f>
        <v/>
      </c>
      <c r="M3536" s="16" t="str">
        <f>IFERROR(__xludf.DUMMYFUNCTION("""COMPUTED_VALUE"""),"")</f>
        <v/>
      </c>
      <c r="U3536" s="16" t="s">
        <v>87</v>
      </c>
      <c r="V3536" s="16" t="str">
        <f>IFERROR(__xludf.DUMMYFUNCTION("""COMPUTED_VALUE"""),"")</f>
        <v/>
      </c>
      <c r="W3536" s="16" t="str">
        <f>IFERROR(__xludf.DUMMYFUNCTION("""COMPUTED_VALUE"""),"")</f>
        <v/>
      </c>
      <c r="X3536" s="16" t="str">
        <f>IFERROR(__xludf.DUMMYFUNCTION("""COMPUTED_VALUE"""),"")</f>
        <v/>
      </c>
      <c r="AC3536" s="16" t="str">
        <f>IFERROR(__xludf.DUMMYFUNCTION("""COMPUTED_VALUE"""),"")</f>
        <v/>
      </c>
    </row>
    <row r="3537">
      <c r="A3537" s="16" t="s">
        <v>87</v>
      </c>
      <c r="E3537" s="16" t="str">
        <f>IFERROR(__xludf.DUMMYFUNCTION("""COMPUTED_VALUE"""),"")</f>
        <v/>
      </c>
      <c r="G3537" s="18"/>
      <c r="H3537" s="16" t="s">
        <v>87</v>
      </c>
      <c r="I3537" s="16" t="s">
        <v>87</v>
      </c>
      <c r="J3537" s="19"/>
      <c r="L3537" s="16" t="str">
        <f>IFERROR(__xludf.DUMMYFUNCTION("""COMPUTED_VALUE"""),"")</f>
        <v/>
      </c>
      <c r="M3537" s="16" t="str">
        <f>IFERROR(__xludf.DUMMYFUNCTION("""COMPUTED_VALUE"""),"")</f>
        <v/>
      </c>
      <c r="U3537" s="16" t="s">
        <v>87</v>
      </c>
      <c r="V3537" s="16" t="str">
        <f>IFERROR(__xludf.DUMMYFUNCTION("""COMPUTED_VALUE"""),"")</f>
        <v/>
      </c>
      <c r="W3537" s="16" t="str">
        <f>IFERROR(__xludf.DUMMYFUNCTION("""COMPUTED_VALUE"""),"")</f>
        <v/>
      </c>
      <c r="X3537" s="16" t="str">
        <f>IFERROR(__xludf.DUMMYFUNCTION("""COMPUTED_VALUE"""),"")</f>
        <v/>
      </c>
      <c r="AC3537" s="16" t="str">
        <f>IFERROR(__xludf.DUMMYFUNCTION("""COMPUTED_VALUE"""),"")</f>
        <v/>
      </c>
    </row>
    <row r="3538">
      <c r="A3538" s="16" t="s">
        <v>87</v>
      </c>
      <c r="E3538" s="16" t="str">
        <f>IFERROR(__xludf.DUMMYFUNCTION("""COMPUTED_VALUE"""),"")</f>
        <v/>
      </c>
      <c r="G3538" s="18"/>
      <c r="H3538" s="16" t="s">
        <v>87</v>
      </c>
      <c r="I3538" s="16" t="s">
        <v>87</v>
      </c>
      <c r="J3538" s="19"/>
      <c r="L3538" s="16" t="str">
        <f>IFERROR(__xludf.DUMMYFUNCTION("""COMPUTED_VALUE"""),"")</f>
        <v/>
      </c>
      <c r="M3538" s="16" t="str">
        <f>IFERROR(__xludf.DUMMYFUNCTION("""COMPUTED_VALUE"""),"")</f>
        <v/>
      </c>
      <c r="U3538" s="16" t="s">
        <v>87</v>
      </c>
      <c r="V3538" s="16" t="str">
        <f>IFERROR(__xludf.DUMMYFUNCTION("""COMPUTED_VALUE"""),"")</f>
        <v/>
      </c>
      <c r="W3538" s="16" t="str">
        <f>IFERROR(__xludf.DUMMYFUNCTION("""COMPUTED_VALUE"""),"")</f>
        <v/>
      </c>
      <c r="X3538" s="16" t="str">
        <f>IFERROR(__xludf.DUMMYFUNCTION("""COMPUTED_VALUE"""),"")</f>
        <v/>
      </c>
      <c r="AC3538" s="16" t="str">
        <f>IFERROR(__xludf.DUMMYFUNCTION("""COMPUTED_VALUE"""),"")</f>
        <v/>
      </c>
    </row>
    <row r="3539">
      <c r="A3539" s="16" t="s">
        <v>87</v>
      </c>
      <c r="E3539" s="16" t="str">
        <f>IFERROR(__xludf.DUMMYFUNCTION("""COMPUTED_VALUE"""),"")</f>
        <v/>
      </c>
      <c r="G3539" s="18"/>
      <c r="H3539" s="16" t="s">
        <v>87</v>
      </c>
      <c r="I3539" s="16" t="s">
        <v>87</v>
      </c>
      <c r="J3539" s="19"/>
      <c r="L3539" s="16" t="str">
        <f>IFERROR(__xludf.DUMMYFUNCTION("""COMPUTED_VALUE"""),"")</f>
        <v/>
      </c>
      <c r="M3539" s="16" t="str">
        <f>IFERROR(__xludf.DUMMYFUNCTION("""COMPUTED_VALUE"""),"")</f>
        <v/>
      </c>
      <c r="U3539" s="16" t="s">
        <v>87</v>
      </c>
      <c r="V3539" s="16" t="str">
        <f>IFERROR(__xludf.DUMMYFUNCTION("""COMPUTED_VALUE"""),"")</f>
        <v/>
      </c>
      <c r="W3539" s="16" t="str">
        <f>IFERROR(__xludf.DUMMYFUNCTION("""COMPUTED_VALUE"""),"")</f>
        <v/>
      </c>
      <c r="X3539" s="16" t="str">
        <f>IFERROR(__xludf.DUMMYFUNCTION("""COMPUTED_VALUE"""),"")</f>
        <v/>
      </c>
      <c r="AC3539" s="16" t="str">
        <f>IFERROR(__xludf.DUMMYFUNCTION("""COMPUTED_VALUE"""),"")</f>
        <v/>
      </c>
    </row>
    <row r="3540">
      <c r="A3540" s="16" t="s">
        <v>87</v>
      </c>
      <c r="E3540" s="16" t="str">
        <f>IFERROR(__xludf.DUMMYFUNCTION("""COMPUTED_VALUE"""),"")</f>
        <v/>
      </c>
      <c r="G3540" s="18"/>
      <c r="H3540" s="16" t="s">
        <v>87</v>
      </c>
      <c r="I3540" s="16" t="s">
        <v>87</v>
      </c>
      <c r="J3540" s="19"/>
      <c r="L3540" s="16" t="str">
        <f>IFERROR(__xludf.DUMMYFUNCTION("""COMPUTED_VALUE"""),"")</f>
        <v/>
      </c>
      <c r="M3540" s="16" t="str">
        <f>IFERROR(__xludf.DUMMYFUNCTION("""COMPUTED_VALUE"""),"")</f>
        <v/>
      </c>
      <c r="U3540" s="16" t="s">
        <v>87</v>
      </c>
      <c r="V3540" s="16" t="str">
        <f>IFERROR(__xludf.DUMMYFUNCTION("""COMPUTED_VALUE"""),"")</f>
        <v/>
      </c>
      <c r="W3540" s="16" t="str">
        <f>IFERROR(__xludf.DUMMYFUNCTION("""COMPUTED_VALUE"""),"")</f>
        <v/>
      </c>
      <c r="X3540" s="16" t="str">
        <f>IFERROR(__xludf.DUMMYFUNCTION("""COMPUTED_VALUE"""),"")</f>
        <v/>
      </c>
      <c r="AC3540" s="16" t="str">
        <f>IFERROR(__xludf.DUMMYFUNCTION("""COMPUTED_VALUE"""),"")</f>
        <v/>
      </c>
    </row>
    <row r="3541">
      <c r="A3541" s="16" t="s">
        <v>87</v>
      </c>
      <c r="E3541" s="16" t="str">
        <f>IFERROR(__xludf.DUMMYFUNCTION("""COMPUTED_VALUE"""),"")</f>
        <v/>
      </c>
      <c r="G3541" s="18"/>
      <c r="H3541" s="16" t="s">
        <v>87</v>
      </c>
      <c r="I3541" s="16" t="s">
        <v>87</v>
      </c>
      <c r="J3541" s="19"/>
      <c r="L3541" s="16" t="str">
        <f>IFERROR(__xludf.DUMMYFUNCTION("""COMPUTED_VALUE"""),"")</f>
        <v/>
      </c>
      <c r="M3541" s="16" t="str">
        <f>IFERROR(__xludf.DUMMYFUNCTION("""COMPUTED_VALUE"""),"")</f>
        <v/>
      </c>
      <c r="U3541" s="16" t="s">
        <v>87</v>
      </c>
      <c r="V3541" s="16" t="str">
        <f>IFERROR(__xludf.DUMMYFUNCTION("""COMPUTED_VALUE"""),"")</f>
        <v/>
      </c>
      <c r="W3541" s="16" t="str">
        <f>IFERROR(__xludf.DUMMYFUNCTION("""COMPUTED_VALUE"""),"")</f>
        <v/>
      </c>
      <c r="X3541" s="16" t="str">
        <f>IFERROR(__xludf.DUMMYFUNCTION("""COMPUTED_VALUE"""),"")</f>
        <v/>
      </c>
      <c r="AC3541" s="16" t="str">
        <f>IFERROR(__xludf.DUMMYFUNCTION("""COMPUTED_VALUE"""),"")</f>
        <v/>
      </c>
    </row>
    <row r="3542">
      <c r="A3542" s="16" t="s">
        <v>87</v>
      </c>
      <c r="E3542" s="16" t="str">
        <f>IFERROR(__xludf.DUMMYFUNCTION("""COMPUTED_VALUE"""),"")</f>
        <v/>
      </c>
      <c r="G3542" s="18"/>
      <c r="H3542" s="16" t="s">
        <v>87</v>
      </c>
      <c r="I3542" s="16" t="s">
        <v>87</v>
      </c>
      <c r="J3542" s="19"/>
      <c r="L3542" s="16" t="str">
        <f>IFERROR(__xludf.DUMMYFUNCTION("""COMPUTED_VALUE"""),"")</f>
        <v/>
      </c>
      <c r="M3542" s="16" t="str">
        <f>IFERROR(__xludf.DUMMYFUNCTION("""COMPUTED_VALUE"""),"")</f>
        <v/>
      </c>
      <c r="U3542" s="16" t="s">
        <v>87</v>
      </c>
      <c r="V3542" s="16" t="str">
        <f>IFERROR(__xludf.DUMMYFUNCTION("""COMPUTED_VALUE"""),"")</f>
        <v/>
      </c>
      <c r="W3542" s="16" t="str">
        <f>IFERROR(__xludf.DUMMYFUNCTION("""COMPUTED_VALUE"""),"")</f>
        <v/>
      </c>
      <c r="X3542" s="16" t="str">
        <f>IFERROR(__xludf.DUMMYFUNCTION("""COMPUTED_VALUE"""),"")</f>
        <v/>
      </c>
      <c r="AC3542" s="16" t="str">
        <f>IFERROR(__xludf.DUMMYFUNCTION("""COMPUTED_VALUE"""),"")</f>
        <v/>
      </c>
    </row>
    <row r="3543">
      <c r="A3543" s="16" t="s">
        <v>87</v>
      </c>
      <c r="E3543" s="16" t="str">
        <f>IFERROR(__xludf.DUMMYFUNCTION("""COMPUTED_VALUE"""),"")</f>
        <v/>
      </c>
      <c r="G3543" s="18"/>
      <c r="H3543" s="16" t="s">
        <v>87</v>
      </c>
      <c r="I3543" s="16" t="s">
        <v>87</v>
      </c>
      <c r="J3543" s="19"/>
      <c r="L3543" s="16" t="str">
        <f>IFERROR(__xludf.DUMMYFUNCTION("""COMPUTED_VALUE"""),"")</f>
        <v/>
      </c>
      <c r="M3543" s="16" t="str">
        <f>IFERROR(__xludf.DUMMYFUNCTION("""COMPUTED_VALUE"""),"")</f>
        <v/>
      </c>
      <c r="U3543" s="16" t="s">
        <v>87</v>
      </c>
      <c r="V3543" s="16" t="str">
        <f>IFERROR(__xludf.DUMMYFUNCTION("""COMPUTED_VALUE"""),"")</f>
        <v/>
      </c>
      <c r="W3543" s="16" t="str">
        <f>IFERROR(__xludf.DUMMYFUNCTION("""COMPUTED_VALUE"""),"")</f>
        <v/>
      </c>
      <c r="X3543" s="16" t="str">
        <f>IFERROR(__xludf.DUMMYFUNCTION("""COMPUTED_VALUE"""),"")</f>
        <v/>
      </c>
      <c r="AC3543" s="16" t="str">
        <f>IFERROR(__xludf.DUMMYFUNCTION("""COMPUTED_VALUE"""),"")</f>
        <v/>
      </c>
    </row>
    <row r="3544">
      <c r="A3544" s="16" t="s">
        <v>87</v>
      </c>
      <c r="E3544" s="16" t="str">
        <f>IFERROR(__xludf.DUMMYFUNCTION("""COMPUTED_VALUE"""),"")</f>
        <v/>
      </c>
      <c r="G3544" s="18"/>
      <c r="H3544" s="16" t="s">
        <v>87</v>
      </c>
      <c r="I3544" s="16" t="s">
        <v>87</v>
      </c>
      <c r="J3544" s="19"/>
      <c r="L3544" s="16" t="str">
        <f>IFERROR(__xludf.DUMMYFUNCTION("""COMPUTED_VALUE"""),"")</f>
        <v/>
      </c>
      <c r="M3544" s="16" t="str">
        <f>IFERROR(__xludf.DUMMYFUNCTION("""COMPUTED_VALUE"""),"")</f>
        <v/>
      </c>
      <c r="U3544" s="16" t="s">
        <v>87</v>
      </c>
      <c r="V3544" s="16" t="str">
        <f>IFERROR(__xludf.DUMMYFUNCTION("""COMPUTED_VALUE"""),"")</f>
        <v/>
      </c>
      <c r="W3544" s="16" t="str">
        <f>IFERROR(__xludf.DUMMYFUNCTION("""COMPUTED_VALUE"""),"")</f>
        <v/>
      </c>
      <c r="X3544" s="16" t="str">
        <f>IFERROR(__xludf.DUMMYFUNCTION("""COMPUTED_VALUE"""),"")</f>
        <v/>
      </c>
      <c r="AC3544" s="16" t="str">
        <f>IFERROR(__xludf.DUMMYFUNCTION("""COMPUTED_VALUE"""),"")</f>
        <v/>
      </c>
    </row>
    <row r="3545">
      <c r="A3545" s="16" t="s">
        <v>87</v>
      </c>
      <c r="E3545" s="16" t="str">
        <f>IFERROR(__xludf.DUMMYFUNCTION("""COMPUTED_VALUE"""),"")</f>
        <v/>
      </c>
      <c r="G3545" s="18"/>
      <c r="H3545" s="16" t="s">
        <v>87</v>
      </c>
      <c r="I3545" s="16" t="s">
        <v>87</v>
      </c>
      <c r="J3545" s="19"/>
      <c r="L3545" s="16" t="str">
        <f>IFERROR(__xludf.DUMMYFUNCTION("""COMPUTED_VALUE"""),"")</f>
        <v/>
      </c>
      <c r="M3545" s="16" t="str">
        <f>IFERROR(__xludf.DUMMYFUNCTION("""COMPUTED_VALUE"""),"")</f>
        <v/>
      </c>
      <c r="U3545" s="16" t="s">
        <v>87</v>
      </c>
      <c r="V3545" s="16" t="str">
        <f>IFERROR(__xludf.DUMMYFUNCTION("""COMPUTED_VALUE"""),"")</f>
        <v/>
      </c>
      <c r="W3545" s="16" t="str">
        <f>IFERROR(__xludf.DUMMYFUNCTION("""COMPUTED_VALUE"""),"")</f>
        <v/>
      </c>
      <c r="X3545" s="16" t="str">
        <f>IFERROR(__xludf.DUMMYFUNCTION("""COMPUTED_VALUE"""),"")</f>
        <v/>
      </c>
      <c r="AC3545" s="16" t="str">
        <f>IFERROR(__xludf.DUMMYFUNCTION("""COMPUTED_VALUE"""),"")</f>
        <v/>
      </c>
    </row>
    <row r="3546">
      <c r="A3546" s="16" t="s">
        <v>87</v>
      </c>
      <c r="E3546" s="16" t="str">
        <f>IFERROR(__xludf.DUMMYFUNCTION("""COMPUTED_VALUE"""),"")</f>
        <v/>
      </c>
      <c r="G3546" s="18"/>
      <c r="H3546" s="16" t="s">
        <v>87</v>
      </c>
      <c r="I3546" s="16" t="s">
        <v>87</v>
      </c>
      <c r="J3546" s="19"/>
      <c r="L3546" s="16" t="str">
        <f>IFERROR(__xludf.DUMMYFUNCTION("""COMPUTED_VALUE"""),"")</f>
        <v/>
      </c>
      <c r="M3546" s="16" t="str">
        <f>IFERROR(__xludf.DUMMYFUNCTION("""COMPUTED_VALUE"""),"")</f>
        <v/>
      </c>
      <c r="U3546" s="16" t="s">
        <v>87</v>
      </c>
      <c r="V3546" s="16" t="str">
        <f>IFERROR(__xludf.DUMMYFUNCTION("""COMPUTED_VALUE"""),"")</f>
        <v/>
      </c>
      <c r="W3546" s="16" t="str">
        <f>IFERROR(__xludf.DUMMYFUNCTION("""COMPUTED_VALUE"""),"")</f>
        <v/>
      </c>
      <c r="X3546" s="16" t="str">
        <f>IFERROR(__xludf.DUMMYFUNCTION("""COMPUTED_VALUE"""),"")</f>
        <v/>
      </c>
      <c r="AC3546" s="16" t="str">
        <f>IFERROR(__xludf.DUMMYFUNCTION("""COMPUTED_VALUE"""),"")</f>
        <v/>
      </c>
    </row>
    <row r="3547">
      <c r="A3547" s="16" t="s">
        <v>87</v>
      </c>
      <c r="E3547" s="16" t="str">
        <f>IFERROR(__xludf.DUMMYFUNCTION("""COMPUTED_VALUE"""),"")</f>
        <v/>
      </c>
      <c r="G3547" s="18"/>
      <c r="H3547" s="16" t="s">
        <v>87</v>
      </c>
      <c r="I3547" s="16" t="s">
        <v>87</v>
      </c>
      <c r="J3547" s="19"/>
      <c r="L3547" s="16" t="str">
        <f>IFERROR(__xludf.DUMMYFUNCTION("""COMPUTED_VALUE"""),"")</f>
        <v/>
      </c>
      <c r="M3547" s="16" t="str">
        <f>IFERROR(__xludf.DUMMYFUNCTION("""COMPUTED_VALUE"""),"")</f>
        <v/>
      </c>
      <c r="U3547" s="16" t="s">
        <v>87</v>
      </c>
      <c r="V3547" s="16" t="str">
        <f>IFERROR(__xludf.DUMMYFUNCTION("""COMPUTED_VALUE"""),"")</f>
        <v/>
      </c>
      <c r="W3547" s="16" t="str">
        <f>IFERROR(__xludf.DUMMYFUNCTION("""COMPUTED_VALUE"""),"")</f>
        <v/>
      </c>
      <c r="X3547" s="16" t="str">
        <f>IFERROR(__xludf.DUMMYFUNCTION("""COMPUTED_VALUE"""),"")</f>
        <v/>
      </c>
      <c r="AC3547" s="16" t="str">
        <f>IFERROR(__xludf.DUMMYFUNCTION("""COMPUTED_VALUE"""),"")</f>
        <v/>
      </c>
    </row>
    <row r="3548">
      <c r="A3548" s="16" t="s">
        <v>87</v>
      </c>
      <c r="E3548" s="16" t="str">
        <f>IFERROR(__xludf.DUMMYFUNCTION("""COMPUTED_VALUE"""),"")</f>
        <v/>
      </c>
      <c r="G3548" s="18"/>
      <c r="H3548" s="16" t="s">
        <v>87</v>
      </c>
      <c r="I3548" s="16" t="s">
        <v>87</v>
      </c>
      <c r="J3548" s="19"/>
      <c r="L3548" s="16" t="str">
        <f>IFERROR(__xludf.DUMMYFUNCTION("""COMPUTED_VALUE"""),"")</f>
        <v/>
      </c>
      <c r="M3548" s="16" t="str">
        <f>IFERROR(__xludf.DUMMYFUNCTION("""COMPUTED_VALUE"""),"")</f>
        <v/>
      </c>
      <c r="U3548" s="16" t="s">
        <v>87</v>
      </c>
      <c r="V3548" s="16" t="str">
        <f>IFERROR(__xludf.DUMMYFUNCTION("""COMPUTED_VALUE"""),"")</f>
        <v/>
      </c>
      <c r="W3548" s="16" t="str">
        <f>IFERROR(__xludf.DUMMYFUNCTION("""COMPUTED_VALUE"""),"")</f>
        <v/>
      </c>
      <c r="X3548" s="16" t="str">
        <f>IFERROR(__xludf.DUMMYFUNCTION("""COMPUTED_VALUE"""),"")</f>
        <v/>
      </c>
      <c r="AC3548" s="16" t="str">
        <f>IFERROR(__xludf.DUMMYFUNCTION("""COMPUTED_VALUE"""),"")</f>
        <v/>
      </c>
    </row>
    <row r="3549">
      <c r="A3549" s="16" t="s">
        <v>87</v>
      </c>
      <c r="E3549" s="16" t="str">
        <f>IFERROR(__xludf.DUMMYFUNCTION("""COMPUTED_VALUE"""),"")</f>
        <v/>
      </c>
      <c r="G3549" s="18"/>
      <c r="H3549" s="16" t="s">
        <v>87</v>
      </c>
      <c r="I3549" s="16" t="s">
        <v>87</v>
      </c>
      <c r="J3549" s="19"/>
      <c r="L3549" s="16" t="str">
        <f>IFERROR(__xludf.DUMMYFUNCTION("""COMPUTED_VALUE"""),"")</f>
        <v/>
      </c>
      <c r="M3549" s="16" t="str">
        <f>IFERROR(__xludf.DUMMYFUNCTION("""COMPUTED_VALUE"""),"")</f>
        <v/>
      </c>
      <c r="U3549" s="16" t="s">
        <v>87</v>
      </c>
      <c r="V3549" s="16" t="str">
        <f>IFERROR(__xludf.DUMMYFUNCTION("""COMPUTED_VALUE"""),"")</f>
        <v/>
      </c>
      <c r="W3549" s="16" t="str">
        <f>IFERROR(__xludf.DUMMYFUNCTION("""COMPUTED_VALUE"""),"")</f>
        <v/>
      </c>
      <c r="X3549" s="16" t="str">
        <f>IFERROR(__xludf.DUMMYFUNCTION("""COMPUTED_VALUE"""),"")</f>
        <v/>
      </c>
      <c r="AC3549" s="16" t="str">
        <f>IFERROR(__xludf.DUMMYFUNCTION("""COMPUTED_VALUE"""),"")</f>
        <v/>
      </c>
    </row>
    <row r="3550">
      <c r="A3550" s="16" t="s">
        <v>87</v>
      </c>
      <c r="E3550" s="16" t="str">
        <f>IFERROR(__xludf.DUMMYFUNCTION("""COMPUTED_VALUE"""),"")</f>
        <v/>
      </c>
      <c r="G3550" s="18"/>
      <c r="H3550" s="16" t="s">
        <v>87</v>
      </c>
      <c r="I3550" s="16" t="s">
        <v>87</v>
      </c>
      <c r="J3550" s="19"/>
      <c r="L3550" s="16" t="str">
        <f>IFERROR(__xludf.DUMMYFUNCTION("""COMPUTED_VALUE"""),"")</f>
        <v/>
      </c>
      <c r="M3550" s="16" t="str">
        <f>IFERROR(__xludf.DUMMYFUNCTION("""COMPUTED_VALUE"""),"")</f>
        <v/>
      </c>
      <c r="U3550" s="16" t="s">
        <v>87</v>
      </c>
      <c r="V3550" s="16" t="str">
        <f>IFERROR(__xludf.DUMMYFUNCTION("""COMPUTED_VALUE"""),"")</f>
        <v/>
      </c>
      <c r="W3550" s="16" t="str">
        <f>IFERROR(__xludf.DUMMYFUNCTION("""COMPUTED_VALUE"""),"")</f>
        <v/>
      </c>
      <c r="X3550" s="16" t="str">
        <f>IFERROR(__xludf.DUMMYFUNCTION("""COMPUTED_VALUE"""),"")</f>
        <v/>
      </c>
      <c r="AC3550" s="16" t="str">
        <f>IFERROR(__xludf.DUMMYFUNCTION("""COMPUTED_VALUE"""),"")</f>
        <v/>
      </c>
    </row>
    <row r="3551">
      <c r="A3551" s="16" t="s">
        <v>87</v>
      </c>
      <c r="E3551" s="16" t="str">
        <f>IFERROR(__xludf.DUMMYFUNCTION("""COMPUTED_VALUE"""),"")</f>
        <v/>
      </c>
      <c r="G3551" s="18"/>
      <c r="H3551" s="16" t="s">
        <v>87</v>
      </c>
      <c r="I3551" s="16" t="s">
        <v>87</v>
      </c>
      <c r="J3551" s="19"/>
      <c r="L3551" s="16" t="str">
        <f>IFERROR(__xludf.DUMMYFUNCTION("""COMPUTED_VALUE"""),"")</f>
        <v/>
      </c>
      <c r="M3551" s="16" t="str">
        <f>IFERROR(__xludf.DUMMYFUNCTION("""COMPUTED_VALUE"""),"")</f>
        <v/>
      </c>
      <c r="U3551" s="16" t="s">
        <v>87</v>
      </c>
      <c r="V3551" s="16" t="str">
        <f>IFERROR(__xludf.DUMMYFUNCTION("""COMPUTED_VALUE"""),"")</f>
        <v/>
      </c>
      <c r="W3551" s="16" t="str">
        <f>IFERROR(__xludf.DUMMYFUNCTION("""COMPUTED_VALUE"""),"")</f>
        <v/>
      </c>
      <c r="X3551" s="16" t="str">
        <f>IFERROR(__xludf.DUMMYFUNCTION("""COMPUTED_VALUE"""),"")</f>
        <v/>
      </c>
      <c r="AC3551" s="16" t="str">
        <f>IFERROR(__xludf.DUMMYFUNCTION("""COMPUTED_VALUE"""),"")</f>
        <v/>
      </c>
    </row>
    <row r="3552">
      <c r="A3552" s="16" t="s">
        <v>87</v>
      </c>
      <c r="E3552" s="16" t="str">
        <f>IFERROR(__xludf.DUMMYFUNCTION("""COMPUTED_VALUE"""),"")</f>
        <v/>
      </c>
      <c r="G3552" s="18"/>
      <c r="H3552" s="16" t="s">
        <v>87</v>
      </c>
      <c r="I3552" s="16" t="s">
        <v>87</v>
      </c>
      <c r="J3552" s="19"/>
      <c r="L3552" s="16" t="str">
        <f>IFERROR(__xludf.DUMMYFUNCTION("""COMPUTED_VALUE"""),"")</f>
        <v/>
      </c>
      <c r="M3552" s="16" t="str">
        <f>IFERROR(__xludf.DUMMYFUNCTION("""COMPUTED_VALUE"""),"")</f>
        <v/>
      </c>
      <c r="U3552" s="16" t="s">
        <v>87</v>
      </c>
      <c r="V3552" s="16" t="str">
        <f>IFERROR(__xludf.DUMMYFUNCTION("""COMPUTED_VALUE"""),"")</f>
        <v/>
      </c>
      <c r="W3552" s="16" t="str">
        <f>IFERROR(__xludf.DUMMYFUNCTION("""COMPUTED_VALUE"""),"")</f>
        <v/>
      </c>
      <c r="X3552" s="16" t="str">
        <f>IFERROR(__xludf.DUMMYFUNCTION("""COMPUTED_VALUE"""),"")</f>
        <v/>
      </c>
      <c r="AC3552" s="16" t="str">
        <f>IFERROR(__xludf.DUMMYFUNCTION("""COMPUTED_VALUE"""),"")</f>
        <v/>
      </c>
    </row>
    <row r="3553">
      <c r="A3553" s="16" t="s">
        <v>87</v>
      </c>
      <c r="E3553" s="16" t="str">
        <f>IFERROR(__xludf.DUMMYFUNCTION("""COMPUTED_VALUE"""),"")</f>
        <v/>
      </c>
      <c r="G3553" s="18"/>
      <c r="H3553" s="16" t="s">
        <v>87</v>
      </c>
      <c r="I3553" s="16" t="s">
        <v>87</v>
      </c>
      <c r="J3553" s="19"/>
      <c r="L3553" s="16" t="str">
        <f>IFERROR(__xludf.DUMMYFUNCTION("""COMPUTED_VALUE"""),"")</f>
        <v/>
      </c>
      <c r="M3553" s="16" t="str">
        <f>IFERROR(__xludf.DUMMYFUNCTION("""COMPUTED_VALUE"""),"")</f>
        <v/>
      </c>
      <c r="U3553" s="16" t="s">
        <v>87</v>
      </c>
      <c r="V3553" s="16" t="str">
        <f>IFERROR(__xludf.DUMMYFUNCTION("""COMPUTED_VALUE"""),"")</f>
        <v/>
      </c>
      <c r="W3553" s="16" t="str">
        <f>IFERROR(__xludf.DUMMYFUNCTION("""COMPUTED_VALUE"""),"")</f>
        <v/>
      </c>
      <c r="X3553" s="16" t="str">
        <f>IFERROR(__xludf.DUMMYFUNCTION("""COMPUTED_VALUE"""),"")</f>
        <v/>
      </c>
      <c r="AC3553" s="16" t="str">
        <f>IFERROR(__xludf.DUMMYFUNCTION("""COMPUTED_VALUE"""),"")</f>
        <v/>
      </c>
    </row>
    <row r="3554">
      <c r="A3554" s="16" t="s">
        <v>87</v>
      </c>
      <c r="E3554" s="16" t="str">
        <f>IFERROR(__xludf.DUMMYFUNCTION("""COMPUTED_VALUE"""),"")</f>
        <v/>
      </c>
      <c r="G3554" s="18"/>
      <c r="H3554" s="16" t="s">
        <v>87</v>
      </c>
      <c r="I3554" s="16" t="s">
        <v>87</v>
      </c>
      <c r="J3554" s="19"/>
      <c r="L3554" s="16" t="str">
        <f>IFERROR(__xludf.DUMMYFUNCTION("""COMPUTED_VALUE"""),"")</f>
        <v/>
      </c>
      <c r="M3554" s="16" t="str">
        <f>IFERROR(__xludf.DUMMYFUNCTION("""COMPUTED_VALUE"""),"")</f>
        <v/>
      </c>
      <c r="U3554" s="16" t="s">
        <v>87</v>
      </c>
      <c r="V3554" s="16" t="str">
        <f>IFERROR(__xludf.DUMMYFUNCTION("""COMPUTED_VALUE"""),"")</f>
        <v/>
      </c>
      <c r="W3554" s="16" t="str">
        <f>IFERROR(__xludf.DUMMYFUNCTION("""COMPUTED_VALUE"""),"")</f>
        <v/>
      </c>
      <c r="X3554" s="16" t="str">
        <f>IFERROR(__xludf.DUMMYFUNCTION("""COMPUTED_VALUE"""),"")</f>
        <v/>
      </c>
      <c r="AC3554" s="16" t="str">
        <f>IFERROR(__xludf.DUMMYFUNCTION("""COMPUTED_VALUE"""),"")</f>
        <v/>
      </c>
    </row>
    <row r="3555">
      <c r="A3555" s="16" t="s">
        <v>87</v>
      </c>
      <c r="E3555" s="16" t="str">
        <f>IFERROR(__xludf.DUMMYFUNCTION("""COMPUTED_VALUE"""),"")</f>
        <v/>
      </c>
      <c r="G3555" s="18"/>
      <c r="H3555" s="16" t="s">
        <v>87</v>
      </c>
      <c r="I3555" s="16" t="s">
        <v>87</v>
      </c>
      <c r="J3555" s="19"/>
      <c r="L3555" s="16" t="str">
        <f>IFERROR(__xludf.DUMMYFUNCTION("""COMPUTED_VALUE"""),"")</f>
        <v/>
      </c>
      <c r="M3555" s="16" t="str">
        <f>IFERROR(__xludf.DUMMYFUNCTION("""COMPUTED_VALUE"""),"")</f>
        <v/>
      </c>
      <c r="U3555" s="16" t="s">
        <v>87</v>
      </c>
      <c r="V3555" s="16" t="str">
        <f>IFERROR(__xludf.DUMMYFUNCTION("""COMPUTED_VALUE"""),"")</f>
        <v/>
      </c>
      <c r="W3555" s="16" t="str">
        <f>IFERROR(__xludf.DUMMYFUNCTION("""COMPUTED_VALUE"""),"")</f>
        <v/>
      </c>
      <c r="X3555" s="16" t="str">
        <f>IFERROR(__xludf.DUMMYFUNCTION("""COMPUTED_VALUE"""),"")</f>
        <v/>
      </c>
      <c r="AC3555" s="16" t="str">
        <f>IFERROR(__xludf.DUMMYFUNCTION("""COMPUTED_VALUE"""),"")</f>
        <v/>
      </c>
    </row>
    <row r="3556">
      <c r="A3556" s="16" t="s">
        <v>87</v>
      </c>
      <c r="E3556" s="16" t="str">
        <f>IFERROR(__xludf.DUMMYFUNCTION("""COMPUTED_VALUE"""),"")</f>
        <v/>
      </c>
      <c r="G3556" s="18"/>
      <c r="H3556" s="16" t="s">
        <v>87</v>
      </c>
      <c r="I3556" s="16" t="s">
        <v>87</v>
      </c>
      <c r="J3556" s="19"/>
      <c r="L3556" s="16" t="str">
        <f>IFERROR(__xludf.DUMMYFUNCTION("""COMPUTED_VALUE"""),"")</f>
        <v/>
      </c>
      <c r="M3556" s="16" t="str">
        <f>IFERROR(__xludf.DUMMYFUNCTION("""COMPUTED_VALUE"""),"")</f>
        <v/>
      </c>
      <c r="U3556" s="16" t="s">
        <v>87</v>
      </c>
      <c r="V3556" s="16" t="str">
        <f>IFERROR(__xludf.DUMMYFUNCTION("""COMPUTED_VALUE"""),"")</f>
        <v/>
      </c>
      <c r="W3556" s="16" t="str">
        <f>IFERROR(__xludf.DUMMYFUNCTION("""COMPUTED_VALUE"""),"")</f>
        <v/>
      </c>
      <c r="X3556" s="16" t="str">
        <f>IFERROR(__xludf.DUMMYFUNCTION("""COMPUTED_VALUE"""),"")</f>
        <v/>
      </c>
      <c r="AC3556" s="16" t="str">
        <f>IFERROR(__xludf.DUMMYFUNCTION("""COMPUTED_VALUE"""),"")</f>
        <v/>
      </c>
    </row>
    <row r="3557">
      <c r="A3557" s="16" t="s">
        <v>87</v>
      </c>
      <c r="E3557" s="16" t="str">
        <f>IFERROR(__xludf.DUMMYFUNCTION("""COMPUTED_VALUE"""),"")</f>
        <v/>
      </c>
      <c r="G3557" s="18"/>
      <c r="H3557" s="16" t="s">
        <v>87</v>
      </c>
      <c r="I3557" s="16" t="s">
        <v>87</v>
      </c>
      <c r="J3557" s="19"/>
      <c r="L3557" s="16" t="str">
        <f>IFERROR(__xludf.DUMMYFUNCTION("""COMPUTED_VALUE"""),"")</f>
        <v/>
      </c>
      <c r="M3557" s="16" t="str">
        <f>IFERROR(__xludf.DUMMYFUNCTION("""COMPUTED_VALUE"""),"")</f>
        <v/>
      </c>
      <c r="U3557" s="16" t="s">
        <v>87</v>
      </c>
      <c r="V3557" s="16" t="str">
        <f>IFERROR(__xludf.DUMMYFUNCTION("""COMPUTED_VALUE"""),"")</f>
        <v/>
      </c>
      <c r="W3557" s="16" t="str">
        <f>IFERROR(__xludf.DUMMYFUNCTION("""COMPUTED_VALUE"""),"")</f>
        <v/>
      </c>
      <c r="X3557" s="16" t="str">
        <f>IFERROR(__xludf.DUMMYFUNCTION("""COMPUTED_VALUE"""),"")</f>
        <v/>
      </c>
      <c r="AC3557" s="16" t="str">
        <f>IFERROR(__xludf.DUMMYFUNCTION("""COMPUTED_VALUE"""),"")</f>
        <v/>
      </c>
    </row>
    <row r="3558">
      <c r="A3558" s="16" t="s">
        <v>87</v>
      </c>
      <c r="E3558" s="16" t="str">
        <f>IFERROR(__xludf.DUMMYFUNCTION("""COMPUTED_VALUE"""),"")</f>
        <v/>
      </c>
      <c r="G3558" s="18"/>
      <c r="H3558" s="16" t="s">
        <v>87</v>
      </c>
      <c r="I3558" s="16" t="s">
        <v>87</v>
      </c>
      <c r="J3558" s="19"/>
      <c r="L3558" s="16" t="str">
        <f>IFERROR(__xludf.DUMMYFUNCTION("""COMPUTED_VALUE"""),"")</f>
        <v/>
      </c>
      <c r="M3558" s="16" t="str">
        <f>IFERROR(__xludf.DUMMYFUNCTION("""COMPUTED_VALUE"""),"")</f>
        <v/>
      </c>
      <c r="U3558" s="16" t="s">
        <v>87</v>
      </c>
      <c r="V3558" s="16" t="str">
        <f>IFERROR(__xludf.DUMMYFUNCTION("""COMPUTED_VALUE"""),"")</f>
        <v/>
      </c>
      <c r="W3558" s="16" t="str">
        <f>IFERROR(__xludf.DUMMYFUNCTION("""COMPUTED_VALUE"""),"")</f>
        <v/>
      </c>
      <c r="X3558" s="16" t="str">
        <f>IFERROR(__xludf.DUMMYFUNCTION("""COMPUTED_VALUE"""),"")</f>
        <v/>
      </c>
      <c r="AC3558" s="16" t="str">
        <f>IFERROR(__xludf.DUMMYFUNCTION("""COMPUTED_VALUE"""),"")</f>
        <v/>
      </c>
    </row>
    <row r="3559">
      <c r="A3559" s="16" t="s">
        <v>87</v>
      </c>
      <c r="E3559" s="16" t="str">
        <f>IFERROR(__xludf.DUMMYFUNCTION("""COMPUTED_VALUE"""),"")</f>
        <v/>
      </c>
      <c r="G3559" s="18"/>
      <c r="H3559" s="16" t="s">
        <v>87</v>
      </c>
      <c r="I3559" s="16" t="s">
        <v>87</v>
      </c>
      <c r="J3559" s="19"/>
      <c r="L3559" s="16" t="str">
        <f>IFERROR(__xludf.DUMMYFUNCTION("""COMPUTED_VALUE"""),"")</f>
        <v/>
      </c>
      <c r="M3559" s="16" t="str">
        <f>IFERROR(__xludf.DUMMYFUNCTION("""COMPUTED_VALUE"""),"")</f>
        <v/>
      </c>
      <c r="U3559" s="16" t="s">
        <v>87</v>
      </c>
      <c r="V3559" s="16" t="str">
        <f>IFERROR(__xludf.DUMMYFUNCTION("""COMPUTED_VALUE"""),"")</f>
        <v/>
      </c>
      <c r="W3559" s="16" t="str">
        <f>IFERROR(__xludf.DUMMYFUNCTION("""COMPUTED_VALUE"""),"")</f>
        <v/>
      </c>
      <c r="X3559" s="16" t="str">
        <f>IFERROR(__xludf.DUMMYFUNCTION("""COMPUTED_VALUE"""),"")</f>
        <v/>
      </c>
      <c r="AC3559" s="16" t="str">
        <f>IFERROR(__xludf.DUMMYFUNCTION("""COMPUTED_VALUE"""),"")</f>
        <v/>
      </c>
    </row>
    <row r="3560">
      <c r="A3560" s="16" t="s">
        <v>87</v>
      </c>
      <c r="E3560" s="16" t="str">
        <f>IFERROR(__xludf.DUMMYFUNCTION("""COMPUTED_VALUE"""),"")</f>
        <v/>
      </c>
      <c r="G3560" s="18"/>
      <c r="H3560" s="16" t="s">
        <v>87</v>
      </c>
      <c r="I3560" s="16" t="s">
        <v>87</v>
      </c>
      <c r="J3560" s="19"/>
      <c r="L3560" s="16" t="str">
        <f>IFERROR(__xludf.DUMMYFUNCTION("""COMPUTED_VALUE"""),"")</f>
        <v/>
      </c>
      <c r="M3560" s="16" t="str">
        <f>IFERROR(__xludf.DUMMYFUNCTION("""COMPUTED_VALUE"""),"")</f>
        <v/>
      </c>
      <c r="U3560" s="16" t="s">
        <v>87</v>
      </c>
      <c r="V3560" s="16" t="str">
        <f>IFERROR(__xludf.DUMMYFUNCTION("""COMPUTED_VALUE"""),"")</f>
        <v/>
      </c>
      <c r="W3560" s="16" t="str">
        <f>IFERROR(__xludf.DUMMYFUNCTION("""COMPUTED_VALUE"""),"")</f>
        <v/>
      </c>
      <c r="X3560" s="16" t="str">
        <f>IFERROR(__xludf.DUMMYFUNCTION("""COMPUTED_VALUE"""),"")</f>
        <v/>
      </c>
      <c r="AC3560" s="16" t="str">
        <f>IFERROR(__xludf.DUMMYFUNCTION("""COMPUTED_VALUE"""),"")</f>
        <v/>
      </c>
    </row>
    <row r="3561">
      <c r="A3561" s="16" t="s">
        <v>87</v>
      </c>
      <c r="E3561" s="16" t="str">
        <f>IFERROR(__xludf.DUMMYFUNCTION("""COMPUTED_VALUE"""),"")</f>
        <v/>
      </c>
      <c r="G3561" s="18"/>
      <c r="H3561" s="16" t="s">
        <v>87</v>
      </c>
      <c r="I3561" s="16" t="s">
        <v>87</v>
      </c>
      <c r="J3561" s="19"/>
      <c r="L3561" s="16" t="str">
        <f>IFERROR(__xludf.DUMMYFUNCTION("""COMPUTED_VALUE"""),"")</f>
        <v/>
      </c>
      <c r="M3561" s="16" t="str">
        <f>IFERROR(__xludf.DUMMYFUNCTION("""COMPUTED_VALUE"""),"")</f>
        <v/>
      </c>
      <c r="U3561" s="16" t="s">
        <v>87</v>
      </c>
      <c r="V3561" s="16" t="str">
        <f>IFERROR(__xludf.DUMMYFUNCTION("""COMPUTED_VALUE"""),"")</f>
        <v/>
      </c>
      <c r="W3561" s="16" t="str">
        <f>IFERROR(__xludf.DUMMYFUNCTION("""COMPUTED_VALUE"""),"")</f>
        <v/>
      </c>
      <c r="X3561" s="16" t="str">
        <f>IFERROR(__xludf.DUMMYFUNCTION("""COMPUTED_VALUE"""),"")</f>
        <v/>
      </c>
      <c r="AC3561" s="16" t="str">
        <f>IFERROR(__xludf.DUMMYFUNCTION("""COMPUTED_VALUE"""),"")</f>
        <v/>
      </c>
    </row>
    <row r="3562">
      <c r="A3562" s="16" t="s">
        <v>87</v>
      </c>
      <c r="E3562" s="16" t="str">
        <f>IFERROR(__xludf.DUMMYFUNCTION("""COMPUTED_VALUE"""),"")</f>
        <v/>
      </c>
      <c r="G3562" s="18"/>
      <c r="H3562" s="16" t="s">
        <v>87</v>
      </c>
      <c r="I3562" s="16" t="s">
        <v>87</v>
      </c>
      <c r="J3562" s="19"/>
      <c r="L3562" s="16" t="str">
        <f>IFERROR(__xludf.DUMMYFUNCTION("""COMPUTED_VALUE"""),"")</f>
        <v/>
      </c>
      <c r="M3562" s="16" t="str">
        <f>IFERROR(__xludf.DUMMYFUNCTION("""COMPUTED_VALUE"""),"")</f>
        <v/>
      </c>
      <c r="U3562" s="16" t="s">
        <v>87</v>
      </c>
      <c r="V3562" s="16" t="str">
        <f>IFERROR(__xludf.DUMMYFUNCTION("""COMPUTED_VALUE"""),"")</f>
        <v/>
      </c>
      <c r="W3562" s="16" t="str">
        <f>IFERROR(__xludf.DUMMYFUNCTION("""COMPUTED_VALUE"""),"")</f>
        <v/>
      </c>
      <c r="X3562" s="16" t="str">
        <f>IFERROR(__xludf.DUMMYFUNCTION("""COMPUTED_VALUE"""),"")</f>
        <v/>
      </c>
      <c r="AC3562" s="16" t="str">
        <f>IFERROR(__xludf.DUMMYFUNCTION("""COMPUTED_VALUE"""),"")</f>
        <v/>
      </c>
    </row>
    <row r="3563">
      <c r="A3563" s="16" t="s">
        <v>87</v>
      </c>
      <c r="E3563" s="16" t="str">
        <f>IFERROR(__xludf.DUMMYFUNCTION("""COMPUTED_VALUE"""),"")</f>
        <v/>
      </c>
      <c r="G3563" s="18"/>
      <c r="H3563" s="16" t="s">
        <v>87</v>
      </c>
      <c r="I3563" s="16" t="s">
        <v>87</v>
      </c>
      <c r="J3563" s="19"/>
      <c r="L3563" s="16" t="str">
        <f>IFERROR(__xludf.DUMMYFUNCTION("""COMPUTED_VALUE"""),"")</f>
        <v/>
      </c>
      <c r="M3563" s="16" t="str">
        <f>IFERROR(__xludf.DUMMYFUNCTION("""COMPUTED_VALUE"""),"")</f>
        <v/>
      </c>
      <c r="U3563" s="16" t="s">
        <v>87</v>
      </c>
      <c r="V3563" s="16" t="str">
        <f>IFERROR(__xludf.DUMMYFUNCTION("""COMPUTED_VALUE"""),"")</f>
        <v/>
      </c>
      <c r="W3563" s="16" t="str">
        <f>IFERROR(__xludf.DUMMYFUNCTION("""COMPUTED_VALUE"""),"")</f>
        <v/>
      </c>
      <c r="X3563" s="16" t="str">
        <f>IFERROR(__xludf.DUMMYFUNCTION("""COMPUTED_VALUE"""),"")</f>
        <v/>
      </c>
      <c r="AC3563" s="16" t="str">
        <f>IFERROR(__xludf.DUMMYFUNCTION("""COMPUTED_VALUE"""),"")</f>
        <v/>
      </c>
    </row>
    <row r="3564">
      <c r="A3564" s="16" t="s">
        <v>87</v>
      </c>
      <c r="E3564" s="16" t="str">
        <f>IFERROR(__xludf.DUMMYFUNCTION("""COMPUTED_VALUE"""),"")</f>
        <v/>
      </c>
      <c r="G3564" s="18"/>
      <c r="H3564" s="16" t="s">
        <v>87</v>
      </c>
      <c r="I3564" s="16" t="s">
        <v>87</v>
      </c>
      <c r="J3564" s="19"/>
      <c r="L3564" s="16" t="str">
        <f>IFERROR(__xludf.DUMMYFUNCTION("""COMPUTED_VALUE"""),"")</f>
        <v/>
      </c>
      <c r="M3564" s="16" t="str">
        <f>IFERROR(__xludf.DUMMYFUNCTION("""COMPUTED_VALUE"""),"")</f>
        <v/>
      </c>
      <c r="U3564" s="16" t="s">
        <v>87</v>
      </c>
      <c r="V3564" s="16" t="str">
        <f>IFERROR(__xludf.DUMMYFUNCTION("""COMPUTED_VALUE"""),"")</f>
        <v/>
      </c>
      <c r="W3564" s="16" t="str">
        <f>IFERROR(__xludf.DUMMYFUNCTION("""COMPUTED_VALUE"""),"")</f>
        <v/>
      </c>
      <c r="X3564" s="16" t="str">
        <f>IFERROR(__xludf.DUMMYFUNCTION("""COMPUTED_VALUE"""),"")</f>
        <v/>
      </c>
      <c r="AC3564" s="16" t="str">
        <f>IFERROR(__xludf.DUMMYFUNCTION("""COMPUTED_VALUE"""),"")</f>
        <v/>
      </c>
    </row>
    <row r="3565">
      <c r="A3565" s="16" t="s">
        <v>87</v>
      </c>
      <c r="E3565" s="16" t="str">
        <f>IFERROR(__xludf.DUMMYFUNCTION("""COMPUTED_VALUE"""),"")</f>
        <v/>
      </c>
      <c r="G3565" s="18"/>
      <c r="H3565" s="16" t="s">
        <v>87</v>
      </c>
      <c r="I3565" s="16" t="s">
        <v>87</v>
      </c>
      <c r="J3565" s="19"/>
      <c r="L3565" s="16" t="str">
        <f>IFERROR(__xludf.DUMMYFUNCTION("""COMPUTED_VALUE"""),"")</f>
        <v/>
      </c>
      <c r="M3565" s="16" t="str">
        <f>IFERROR(__xludf.DUMMYFUNCTION("""COMPUTED_VALUE"""),"")</f>
        <v/>
      </c>
      <c r="U3565" s="16" t="s">
        <v>87</v>
      </c>
      <c r="V3565" s="16" t="str">
        <f>IFERROR(__xludf.DUMMYFUNCTION("""COMPUTED_VALUE"""),"")</f>
        <v/>
      </c>
      <c r="W3565" s="16" t="str">
        <f>IFERROR(__xludf.DUMMYFUNCTION("""COMPUTED_VALUE"""),"")</f>
        <v/>
      </c>
      <c r="X3565" s="16" t="str">
        <f>IFERROR(__xludf.DUMMYFUNCTION("""COMPUTED_VALUE"""),"")</f>
        <v/>
      </c>
      <c r="AC3565" s="16" t="str">
        <f>IFERROR(__xludf.DUMMYFUNCTION("""COMPUTED_VALUE"""),"")</f>
        <v/>
      </c>
    </row>
    <row r="3566">
      <c r="A3566" s="16" t="s">
        <v>87</v>
      </c>
      <c r="E3566" s="16" t="str">
        <f>IFERROR(__xludf.DUMMYFUNCTION("""COMPUTED_VALUE"""),"")</f>
        <v/>
      </c>
      <c r="G3566" s="18"/>
      <c r="H3566" s="16" t="s">
        <v>87</v>
      </c>
      <c r="I3566" s="16" t="s">
        <v>87</v>
      </c>
      <c r="J3566" s="19"/>
      <c r="L3566" s="16" t="str">
        <f>IFERROR(__xludf.DUMMYFUNCTION("""COMPUTED_VALUE"""),"")</f>
        <v/>
      </c>
      <c r="M3566" s="16" t="str">
        <f>IFERROR(__xludf.DUMMYFUNCTION("""COMPUTED_VALUE"""),"")</f>
        <v/>
      </c>
      <c r="U3566" s="16" t="s">
        <v>87</v>
      </c>
      <c r="V3566" s="16" t="str">
        <f>IFERROR(__xludf.DUMMYFUNCTION("""COMPUTED_VALUE"""),"")</f>
        <v/>
      </c>
      <c r="W3566" s="16" t="str">
        <f>IFERROR(__xludf.DUMMYFUNCTION("""COMPUTED_VALUE"""),"")</f>
        <v/>
      </c>
      <c r="X3566" s="16" t="str">
        <f>IFERROR(__xludf.DUMMYFUNCTION("""COMPUTED_VALUE"""),"")</f>
        <v/>
      </c>
      <c r="AC3566" s="16" t="str">
        <f>IFERROR(__xludf.DUMMYFUNCTION("""COMPUTED_VALUE"""),"")</f>
        <v/>
      </c>
    </row>
    <row r="3567">
      <c r="A3567" s="16" t="s">
        <v>87</v>
      </c>
      <c r="E3567" s="16" t="str">
        <f>IFERROR(__xludf.DUMMYFUNCTION("""COMPUTED_VALUE"""),"")</f>
        <v/>
      </c>
      <c r="G3567" s="18"/>
      <c r="H3567" s="16" t="s">
        <v>87</v>
      </c>
      <c r="I3567" s="16" t="s">
        <v>87</v>
      </c>
      <c r="J3567" s="19"/>
      <c r="L3567" s="16" t="str">
        <f>IFERROR(__xludf.DUMMYFUNCTION("""COMPUTED_VALUE"""),"")</f>
        <v/>
      </c>
      <c r="M3567" s="16" t="str">
        <f>IFERROR(__xludf.DUMMYFUNCTION("""COMPUTED_VALUE"""),"")</f>
        <v/>
      </c>
      <c r="U3567" s="16" t="s">
        <v>87</v>
      </c>
      <c r="V3567" s="16" t="str">
        <f>IFERROR(__xludf.DUMMYFUNCTION("""COMPUTED_VALUE"""),"")</f>
        <v/>
      </c>
      <c r="W3567" s="16" t="str">
        <f>IFERROR(__xludf.DUMMYFUNCTION("""COMPUTED_VALUE"""),"")</f>
        <v/>
      </c>
      <c r="X3567" s="16" t="str">
        <f>IFERROR(__xludf.DUMMYFUNCTION("""COMPUTED_VALUE"""),"")</f>
        <v/>
      </c>
      <c r="AC3567" s="16" t="str">
        <f>IFERROR(__xludf.DUMMYFUNCTION("""COMPUTED_VALUE"""),"")</f>
        <v/>
      </c>
    </row>
    <row r="3568">
      <c r="A3568" s="16" t="s">
        <v>87</v>
      </c>
      <c r="E3568" s="16" t="str">
        <f>IFERROR(__xludf.DUMMYFUNCTION("""COMPUTED_VALUE"""),"")</f>
        <v/>
      </c>
      <c r="G3568" s="18"/>
      <c r="H3568" s="16" t="s">
        <v>87</v>
      </c>
      <c r="I3568" s="16" t="s">
        <v>87</v>
      </c>
      <c r="J3568" s="19"/>
      <c r="L3568" s="16" t="str">
        <f>IFERROR(__xludf.DUMMYFUNCTION("""COMPUTED_VALUE"""),"")</f>
        <v/>
      </c>
      <c r="M3568" s="16" t="str">
        <f>IFERROR(__xludf.DUMMYFUNCTION("""COMPUTED_VALUE"""),"")</f>
        <v/>
      </c>
      <c r="U3568" s="16" t="s">
        <v>87</v>
      </c>
      <c r="V3568" s="16" t="str">
        <f>IFERROR(__xludf.DUMMYFUNCTION("""COMPUTED_VALUE"""),"")</f>
        <v/>
      </c>
      <c r="W3568" s="16" t="str">
        <f>IFERROR(__xludf.DUMMYFUNCTION("""COMPUTED_VALUE"""),"")</f>
        <v/>
      </c>
      <c r="X3568" s="16" t="str">
        <f>IFERROR(__xludf.DUMMYFUNCTION("""COMPUTED_VALUE"""),"")</f>
        <v/>
      </c>
      <c r="AC3568" s="16" t="str">
        <f>IFERROR(__xludf.DUMMYFUNCTION("""COMPUTED_VALUE"""),"")</f>
        <v/>
      </c>
    </row>
    <row r="3569">
      <c r="A3569" s="16" t="s">
        <v>87</v>
      </c>
      <c r="E3569" s="16" t="str">
        <f>IFERROR(__xludf.DUMMYFUNCTION("""COMPUTED_VALUE"""),"")</f>
        <v/>
      </c>
      <c r="G3569" s="18"/>
      <c r="H3569" s="16" t="s">
        <v>87</v>
      </c>
      <c r="I3569" s="16" t="s">
        <v>87</v>
      </c>
      <c r="J3569" s="19"/>
      <c r="L3569" s="16" t="str">
        <f>IFERROR(__xludf.DUMMYFUNCTION("""COMPUTED_VALUE"""),"")</f>
        <v/>
      </c>
      <c r="M3569" s="16" t="str">
        <f>IFERROR(__xludf.DUMMYFUNCTION("""COMPUTED_VALUE"""),"")</f>
        <v/>
      </c>
      <c r="U3569" s="16" t="s">
        <v>87</v>
      </c>
      <c r="V3569" s="16" t="str">
        <f>IFERROR(__xludf.DUMMYFUNCTION("""COMPUTED_VALUE"""),"")</f>
        <v/>
      </c>
      <c r="W3569" s="16" t="str">
        <f>IFERROR(__xludf.DUMMYFUNCTION("""COMPUTED_VALUE"""),"")</f>
        <v/>
      </c>
      <c r="X3569" s="16" t="str">
        <f>IFERROR(__xludf.DUMMYFUNCTION("""COMPUTED_VALUE"""),"")</f>
        <v/>
      </c>
      <c r="AC3569" s="16" t="str">
        <f>IFERROR(__xludf.DUMMYFUNCTION("""COMPUTED_VALUE"""),"")</f>
        <v/>
      </c>
    </row>
    <row r="3570">
      <c r="A3570" s="16" t="s">
        <v>87</v>
      </c>
      <c r="E3570" s="16" t="str">
        <f>IFERROR(__xludf.DUMMYFUNCTION("""COMPUTED_VALUE"""),"")</f>
        <v/>
      </c>
      <c r="G3570" s="18"/>
      <c r="H3570" s="16" t="s">
        <v>87</v>
      </c>
      <c r="I3570" s="16" t="s">
        <v>87</v>
      </c>
      <c r="J3570" s="19"/>
      <c r="L3570" s="16" t="str">
        <f>IFERROR(__xludf.DUMMYFUNCTION("""COMPUTED_VALUE"""),"")</f>
        <v/>
      </c>
      <c r="M3570" s="16" t="str">
        <f>IFERROR(__xludf.DUMMYFUNCTION("""COMPUTED_VALUE"""),"")</f>
        <v/>
      </c>
      <c r="U3570" s="16" t="s">
        <v>87</v>
      </c>
      <c r="V3570" s="16" t="str">
        <f>IFERROR(__xludf.DUMMYFUNCTION("""COMPUTED_VALUE"""),"")</f>
        <v/>
      </c>
      <c r="W3570" s="16" t="str">
        <f>IFERROR(__xludf.DUMMYFUNCTION("""COMPUTED_VALUE"""),"")</f>
        <v/>
      </c>
      <c r="X3570" s="16" t="str">
        <f>IFERROR(__xludf.DUMMYFUNCTION("""COMPUTED_VALUE"""),"")</f>
        <v/>
      </c>
      <c r="AC3570" s="16" t="str">
        <f>IFERROR(__xludf.DUMMYFUNCTION("""COMPUTED_VALUE"""),"")</f>
        <v/>
      </c>
    </row>
    <row r="3571">
      <c r="A3571" s="16" t="s">
        <v>87</v>
      </c>
      <c r="E3571" s="16" t="str">
        <f>IFERROR(__xludf.DUMMYFUNCTION("""COMPUTED_VALUE"""),"")</f>
        <v/>
      </c>
      <c r="G3571" s="18"/>
      <c r="H3571" s="16" t="s">
        <v>87</v>
      </c>
      <c r="I3571" s="16" t="s">
        <v>87</v>
      </c>
      <c r="J3571" s="19"/>
      <c r="L3571" s="16" t="str">
        <f>IFERROR(__xludf.DUMMYFUNCTION("""COMPUTED_VALUE"""),"")</f>
        <v/>
      </c>
      <c r="M3571" s="16" t="str">
        <f>IFERROR(__xludf.DUMMYFUNCTION("""COMPUTED_VALUE"""),"")</f>
        <v/>
      </c>
      <c r="U3571" s="16" t="s">
        <v>87</v>
      </c>
      <c r="V3571" s="16" t="str">
        <f>IFERROR(__xludf.DUMMYFUNCTION("""COMPUTED_VALUE"""),"")</f>
        <v/>
      </c>
      <c r="W3571" s="16" t="str">
        <f>IFERROR(__xludf.DUMMYFUNCTION("""COMPUTED_VALUE"""),"")</f>
        <v/>
      </c>
      <c r="X3571" s="16" t="str">
        <f>IFERROR(__xludf.DUMMYFUNCTION("""COMPUTED_VALUE"""),"")</f>
        <v/>
      </c>
      <c r="AC3571" s="16" t="str">
        <f>IFERROR(__xludf.DUMMYFUNCTION("""COMPUTED_VALUE"""),"")</f>
        <v/>
      </c>
    </row>
    <row r="3572">
      <c r="A3572" s="16" t="s">
        <v>87</v>
      </c>
      <c r="E3572" s="16" t="str">
        <f>IFERROR(__xludf.DUMMYFUNCTION("""COMPUTED_VALUE"""),"")</f>
        <v/>
      </c>
      <c r="G3572" s="18"/>
      <c r="H3572" s="16" t="s">
        <v>87</v>
      </c>
      <c r="I3572" s="16" t="s">
        <v>87</v>
      </c>
      <c r="J3572" s="19"/>
      <c r="L3572" s="16" t="str">
        <f>IFERROR(__xludf.DUMMYFUNCTION("""COMPUTED_VALUE"""),"")</f>
        <v/>
      </c>
      <c r="M3572" s="16" t="str">
        <f>IFERROR(__xludf.DUMMYFUNCTION("""COMPUTED_VALUE"""),"")</f>
        <v/>
      </c>
      <c r="U3572" s="16" t="s">
        <v>87</v>
      </c>
      <c r="V3572" s="16" t="str">
        <f>IFERROR(__xludf.DUMMYFUNCTION("""COMPUTED_VALUE"""),"")</f>
        <v/>
      </c>
      <c r="W3572" s="16" t="str">
        <f>IFERROR(__xludf.DUMMYFUNCTION("""COMPUTED_VALUE"""),"")</f>
        <v/>
      </c>
      <c r="X3572" s="16" t="str">
        <f>IFERROR(__xludf.DUMMYFUNCTION("""COMPUTED_VALUE"""),"")</f>
        <v/>
      </c>
      <c r="AC3572" s="16" t="str">
        <f>IFERROR(__xludf.DUMMYFUNCTION("""COMPUTED_VALUE"""),"")</f>
        <v/>
      </c>
    </row>
    <row r="3573">
      <c r="A3573" s="16" t="s">
        <v>87</v>
      </c>
      <c r="E3573" s="16" t="str">
        <f>IFERROR(__xludf.DUMMYFUNCTION("""COMPUTED_VALUE"""),"")</f>
        <v/>
      </c>
      <c r="G3573" s="18"/>
      <c r="H3573" s="16" t="s">
        <v>87</v>
      </c>
      <c r="I3573" s="16" t="s">
        <v>87</v>
      </c>
      <c r="J3573" s="19"/>
      <c r="L3573" s="16" t="str">
        <f>IFERROR(__xludf.DUMMYFUNCTION("""COMPUTED_VALUE"""),"")</f>
        <v/>
      </c>
      <c r="M3573" s="16" t="str">
        <f>IFERROR(__xludf.DUMMYFUNCTION("""COMPUTED_VALUE"""),"")</f>
        <v/>
      </c>
      <c r="U3573" s="16" t="s">
        <v>87</v>
      </c>
      <c r="V3573" s="16" t="str">
        <f>IFERROR(__xludf.DUMMYFUNCTION("""COMPUTED_VALUE"""),"")</f>
        <v/>
      </c>
      <c r="W3573" s="16" t="str">
        <f>IFERROR(__xludf.DUMMYFUNCTION("""COMPUTED_VALUE"""),"")</f>
        <v/>
      </c>
      <c r="X3573" s="16" t="str">
        <f>IFERROR(__xludf.DUMMYFUNCTION("""COMPUTED_VALUE"""),"")</f>
        <v/>
      </c>
      <c r="AC3573" s="16" t="str">
        <f>IFERROR(__xludf.DUMMYFUNCTION("""COMPUTED_VALUE"""),"")</f>
        <v/>
      </c>
    </row>
    <row r="3574">
      <c r="A3574" s="16" t="s">
        <v>87</v>
      </c>
      <c r="E3574" s="16" t="str">
        <f>IFERROR(__xludf.DUMMYFUNCTION("""COMPUTED_VALUE"""),"")</f>
        <v/>
      </c>
      <c r="G3574" s="18"/>
      <c r="H3574" s="16" t="s">
        <v>87</v>
      </c>
      <c r="I3574" s="16" t="s">
        <v>87</v>
      </c>
      <c r="J3574" s="19"/>
      <c r="L3574" s="16" t="str">
        <f>IFERROR(__xludf.DUMMYFUNCTION("""COMPUTED_VALUE"""),"")</f>
        <v/>
      </c>
      <c r="M3574" s="16" t="str">
        <f>IFERROR(__xludf.DUMMYFUNCTION("""COMPUTED_VALUE"""),"")</f>
        <v/>
      </c>
      <c r="U3574" s="16" t="s">
        <v>87</v>
      </c>
      <c r="V3574" s="16" t="str">
        <f>IFERROR(__xludf.DUMMYFUNCTION("""COMPUTED_VALUE"""),"")</f>
        <v/>
      </c>
      <c r="W3574" s="16" t="str">
        <f>IFERROR(__xludf.DUMMYFUNCTION("""COMPUTED_VALUE"""),"")</f>
        <v/>
      </c>
      <c r="X3574" s="16" t="str">
        <f>IFERROR(__xludf.DUMMYFUNCTION("""COMPUTED_VALUE"""),"")</f>
        <v/>
      </c>
      <c r="AC3574" s="16" t="str">
        <f>IFERROR(__xludf.DUMMYFUNCTION("""COMPUTED_VALUE"""),"")</f>
        <v/>
      </c>
    </row>
    <row r="3575">
      <c r="A3575" s="16" t="s">
        <v>87</v>
      </c>
      <c r="E3575" s="16" t="str">
        <f>IFERROR(__xludf.DUMMYFUNCTION("""COMPUTED_VALUE"""),"")</f>
        <v/>
      </c>
      <c r="G3575" s="18"/>
      <c r="H3575" s="16" t="s">
        <v>87</v>
      </c>
      <c r="I3575" s="16" t="s">
        <v>87</v>
      </c>
      <c r="J3575" s="19"/>
      <c r="L3575" s="16" t="str">
        <f>IFERROR(__xludf.DUMMYFUNCTION("""COMPUTED_VALUE"""),"")</f>
        <v/>
      </c>
      <c r="M3575" s="16" t="str">
        <f>IFERROR(__xludf.DUMMYFUNCTION("""COMPUTED_VALUE"""),"")</f>
        <v/>
      </c>
      <c r="U3575" s="16" t="s">
        <v>87</v>
      </c>
      <c r="V3575" s="16" t="str">
        <f>IFERROR(__xludf.DUMMYFUNCTION("""COMPUTED_VALUE"""),"")</f>
        <v/>
      </c>
      <c r="W3575" s="16" t="str">
        <f>IFERROR(__xludf.DUMMYFUNCTION("""COMPUTED_VALUE"""),"")</f>
        <v/>
      </c>
      <c r="X3575" s="16" t="str">
        <f>IFERROR(__xludf.DUMMYFUNCTION("""COMPUTED_VALUE"""),"")</f>
        <v/>
      </c>
      <c r="AC3575" s="16" t="str">
        <f>IFERROR(__xludf.DUMMYFUNCTION("""COMPUTED_VALUE"""),"")</f>
        <v/>
      </c>
    </row>
    <row r="3576">
      <c r="A3576" s="16" t="s">
        <v>87</v>
      </c>
      <c r="E3576" s="16" t="str">
        <f>IFERROR(__xludf.DUMMYFUNCTION("""COMPUTED_VALUE"""),"")</f>
        <v/>
      </c>
      <c r="G3576" s="18"/>
      <c r="H3576" s="16" t="s">
        <v>87</v>
      </c>
      <c r="I3576" s="16" t="s">
        <v>87</v>
      </c>
      <c r="J3576" s="19"/>
      <c r="L3576" s="16" t="str">
        <f>IFERROR(__xludf.DUMMYFUNCTION("""COMPUTED_VALUE"""),"")</f>
        <v/>
      </c>
      <c r="M3576" s="16" t="str">
        <f>IFERROR(__xludf.DUMMYFUNCTION("""COMPUTED_VALUE"""),"")</f>
        <v/>
      </c>
      <c r="U3576" s="16" t="s">
        <v>87</v>
      </c>
      <c r="V3576" s="16" t="str">
        <f>IFERROR(__xludf.DUMMYFUNCTION("""COMPUTED_VALUE"""),"")</f>
        <v/>
      </c>
      <c r="W3576" s="16" t="str">
        <f>IFERROR(__xludf.DUMMYFUNCTION("""COMPUTED_VALUE"""),"")</f>
        <v/>
      </c>
      <c r="X3576" s="16" t="str">
        <f>IFERROR(__xludf.DUMMYFUNCTION("""COMPUTED_VALUE"""),"")</f>
        <v/>
      </c>
      <c r="AC3576" s="16" t="str">
        <f>IFERROR(__xludf.DUMMYFUNCTION("""COMPUTED_VALUE"""),"")</f>
        <v/>
      </c>
    </row>
    <row r="3577">
      <c r="A3577" s="16" t="s">
        <v>87</v>
      </c>
      <c r="E3577" s="16" t="str">
        <f>IFERROR(__xludf.DUMMYFUNCTION("""COMPUTED_VALUE"""),"")</f>
        <v/>
      </c>
      <c r="G3577" s="18"/>
      <c r="H3577" s="16" t="s">
        <v>87</v>
      </c>
      <c r="I3577" s="16" t="s">
        <v>87</v>
      </c>
      <c r="J3577" s="19"/>
      <c r="L3577" s="16" t="str">
        <f>IFERROR(__xludf.DUMMYFUNCTION("""COMPUTED_VALUE"""),"")</f>
        <v/>
      </c>
      <c r="M3577" s="16" t="str">
        <f>IFERROR(__xludf.DUMMYFUNCTION("""COMPUTED_VALUE"""),"")</f>
        <v/>
      </c>
      <c r="U3577" s="16" t="s">
        <v>87</v>
      </c>
      <c r="V3577" s="16" t="str">
        <f>IFERROR(__xludf.DUMMYFUNCTION("""COMPUTED_VALUE"""),"")</f>
        <v/>
      </c>
      <c r="W3577" s="16" t="str">
        <f>IFERROR(__xludf.DUMMYFUNCTION("""COMPUTED_VALUE"""),"")</f>
        <v/>
      </c>
      <c r="X3577" s="16" t="str">
        <f>IFERROR(__xludf.DUMMYFUNCTION("""COMPUTED_VALUE"""),"")</f>
        <v/>
      </c>
      <c r="AC3577" s="16" t="str">
        <f>IFERROR(__xludf.DUMMYFUNCTION("""COMPUTED_VALUE"""),"")</f>
        <v/>
      </c>
    </row>
    <row r="3578">
      <c r="A3578" s="16" t="s">
        <v>87</v>
      </c>
      <c r="E3578" s="16" t="str">
        <f>IFERROR(__xludf.DUMMYFUNCTION("""COMPUTED_VALUE"""),"")</f>
        <v/>
      </c>
      <c r="G3578" s="18"/>
      <c r="H3578" s="16" t="s">
        <v>87</v>
      </c>
      <c r="I3578" s="16" t="s">
        <v>87</v>
      </c>
      <c r="J3578" s="19"/>
      <c r="L3578" s="16" t="str">
        <f>IFERROR(__xludf.DUMMYFUNCTION("""COMPUTED_VALUE"""),"")</f>
        <v/>
      </c>
      <c r="M3578" s="16" t="str">
        <f>IFERROR(__xludf.DUMMYFUNCTION("""COMPUTED_VALUE"""),"")</f>
        <v/>
      </c>
      <c r="U3578" s="16" t="s">
        <v>87</v>
      </c>
      <c r="V3578" s="16" t="str">
        <f>IFERROR(__xludf.DUMMYFUNCTION("""COMPUTED_VALUE"""),"")</f>
        <v/>
      </c>
      <c r="W3578" s="16" t="str">
        <f>IFERROR(__xludf.DUMMYFUNCTION("""COMPUTED_VALUE"""),"")</f>
        <v/>
      </c>
      <c r="X3578" s="16" t="str">
        <f>IFERROR(__xludf.DUMMYFUNCTION("""COMPUTED_VALUE"""),"")</f>
        <v/>
      </c>
      <c r="AC3578" s="16" t="str">
        <f>IFERROR(__xludf.DUMMYFUNCTION("""COMPUTED_VALUE"""),"")</f>
        <v/>
      </c>
    </row>
    <row r="3579">
      <c r="A3579" s="16" t="s">
        <v>87</v>
      </c>
      <c r="E3579" s="16" t="str">
        <f>IFERROR(__xludf.DUMMYFUNCTION("""COMPUTED_VALUE"""),"")</f>
        <v/>
      </c>
      <c r="G3579" s="18"/>
      <c r="H3579" s="16" t="s">
        <v>87</v>
      </c>
      <c r="I3579" s="16" t="s">
        <v>87</v>
      </c>
      <c r="J3579" s="19"/>
      <c r="L3579" s="16" t="str">
        <f>IFERROR(__xludf.DUMMYFUNCTION("""COMPUTED_VALUE"""),"")</f>
        <v/>
      </c>
      <c r="M3579" s="16" t="str">
        <f>IFERROR(__xludf.DUMMYFUNCTION("""COMPUTED_VALUE"""),"")</f>
        <v/>
      </c>
      <c r="U3579" s="16" t="s">
        <v>87</v>
      </c>
      <c r="V3579" s="16" t="str">
        <f>IFERROR(__xludf.DUMMYFUNCTION("""COMPUTED_VALUE"""),"")</f>
        <v/>
      </c>
      <c r="W3579" s="16" t="str">
        <f>IFERROR(__xludf.DUMMYFUNCTION("""COMPUTED_VALUE"""),"")</f>
        <v/>
      </c>
      <c r="X3579" s="16" t="str">
        <f>IFERROR(__xludf.DUMMYFUNCTION("""COMPUTED_VALUE"""),"")</f>
        <v/>
      </c>
      <c r="AC3579" s="16" t="str">
        <f>IFERROR(__xludf.DUMMYFUNCTION("""COMPUTED_VALUE"""),"")</f>
        <v/>
      </c>
    </row>
    <row r="3580">
      <c r="A3580" s="16" t="s">
        <v>87</v>
      </c>
      <c r="E3580" s="16" t="str">
        <f>IFERROR(__xludf.DUMMYFUNCTION("""COMPUTED_VALUE"""),"")</f>
        <v/>
      </c>
      <c r="G3580" s="18"/>
      <c r="H3580" s="16" t="s">
        <v>87</v>
      </c>
      <c r="I3580" s="16" t="s">
        <v>87</v>
      </c>
      <c r="J3580" s="19"/>
      <c r="L3580" s="16" t="str">
        <f>IFERROR(__xludf.DUMMYFUNCTION("""COMPUTED_VALUE"""),"")</f>
        <v/>
      </c>
      <c r="M3580" s="16" t="str">
        <f>IFERROR(__xludf.DUMMYFUNCTION("""COMPUTED_VALUE"""),"")</f>
        <v/>
      </c>
      <c r="U3580" s="16" t="s">
        <v>87</v>
      </c>
      <c r="V3580" s="16" t="str">
        <f>IFERROR(__xludf.DUMMYFUNCTION("""COMPUTED_VALUE"""),"")</f>
        <v/>
      </c>
      <c r="W3580" s="16" t="str">
        <f>IFERROR(__xludf.DUMMYFUNCTION("""COMPUTED_VALUE"""),"")</f>
        <v/>
      </c>
      <c r="X3580" s="16" t="str">
        <f>IFERROR(__xludf.DUMMYFUNCTION("""COMPUTED_VALUE"""),"")</f>
        <v/>
      </c>
      <c r="AC3580" s="16" t="str">
        <f>IFERROR(__xludf.DUMMYFUNCTION("""COMPUTED_VALUE"""),"")</f>
        <v/>
      </c>
    </row>
    <row r="3581">
      <c r="A3581" s="16" t="s">
        <v>87</v>
      </c>
      <c r="E3581" s="16" t="str">
        <f>IFERROR(__xludf.DUMMYFUNCTION("""COMPUTED_VALUE"""),"")</f>
        <v/>
      </c>
      <c r="G3581" s="18"/>
      <c r="H3581" s="16" t="s">
        <v>87</v>
      </c>
      <c r="I3581" s="16" t="s">
        <v>87</v>
      </c>
      <c r="J3581" s="19"/>
      <c r="L3581" s="16" t="str">
        <f>IFERROR(__xludf.DUMMYFUNCTION("""COMPUTED_VALUE"""),"")</f>
        <v/>
      </c>
      <c r="M3581" s="16" t="str">
        <f>IFERROR(__xludf.DUMMYFUNCTION("""COMPUTED_VALUE"""),"")</f>
        <v/>
      </c>
      <c r="U3581" s="16" t="s">
        <v>87</v>
      </c>
      <c r="V3581" s="16" t="str">
        <f>IFERROR(__xludf.DUMMYFUNCTION("""COMPUTED_VALUE"""),"")</f>
        <v/>
      </c>
      <c r="W3581" s="16" t="str">
        <f>IFERROR(__xludf.DUMMYFUNCTION("""COMPUTED_VALUE"""),"")</f>
        <v/>
      </c>
      <c r="X3581" s="16" t="str">
        <f>IFERROR(__xludf.DUMMYFUNCTION("""COMPUTED_VALUE"""),"")</f>
        <v/>
      </c>
      <c r="AC3581" s="16" t="str">
        <f>IFERROR(__xludf.DUMMYFUNCTION("""COMPUTED_VALUE"""),"")</f>
        <v/>
      </c>
    </row>
    <row r="3582">
      <c r="A3582" s="16" t="s">
        <v>87</v>
      </c>
      <c r="E3582" s="16" t="str">
        <f>IFERROR(__xludf.DUMMYFUNCTION("""COMPUTED_VALUE"""),"")</f>
        <v/>
      </c>
      <c r="G3582" s="18"/>
      <c r="H3582" s="16" t="s">
        <v>87</v>
      </c>
      <c r="I3582" s="16" t="s">
        <v>87</v>
      </c>
      <c r="J3582" s="19"/>
      <c r="L3582" s="16" t="str">
        <f>IFERROR(__xludf.DUMMYFUNCTION("""COMPUTED_VALUE"""),"")</f>
        <v/>
      </c>
      <c r="M3582" s="16" t="str">
        <f>IFERROR(__xludf.DUMMYFUNCTION("""COMPUTED_VALUE"""),"")</f>
        <v/>
      </c>
      <c r="U3582" s="16" t="s">
        <v>87</v>
      </c>
      <c r="V3582" s="16" t="str">
        <f>IFERROR(__xludf.DUMMYFUNCTION("""COMPUTED_VALUE"""),"")</f>
        <v/>
      </c>
      <c r="W3582" s="16" t="str">
        <f>IFERROR(__xludf.DUMMYFUNCTION("""COMPUTED_VALUE"""),"")</f>
        <v/>
      </c>
      <c r="X3582" s="16" t="str">
        <f>IFERROR(__xludf.DUMMYFUNCTION("""COMPUTED_VALUE"""),"")</f>
        <v/>
      </c>
      <c r="AC3582" s="16" t="str">
        <f>IFERROR(__xludf.DUMMYFUNCTION("""COMPUTED_VALUE"""),"")</f>
        <v/>
      </c>
    </row>
    <row r="3583">
      <c r="A3583" s="16" t="s">
        <v>87</v>
      </c>
      <c r="E3583" s="16" t="str">
        <f>IFERROR(__xludf.DUMMYFUNCTION("""COMPUTED_VALUE"""),"")</f>
        <v/>
      </c>
      <c r="G3583" s="18"/>
      <c r="H3583" s="16" t="s">
        <v>87</v>
      </c>
      <c r="I3583" s="16" t="s">
        <v>87</v>
      </c>
      <c r="J3583" s="19"/>
      <c r="L3583" s="16" t="str">
        <f>IFERROR(__xludf.DUMMYFUNCTION("""COMPUTED_VALUE"""),"")</f>
        <v/>
      </c>
      <c r="M3583" s="16" t="str">
        <f>IFERROR(__xludf.DUMMYFUNCTION("""COMPUTED_VALUE"""),"")</f>
        <v/>
      </c>
      <c r="U3583" s="16" t="s">
        <v>87</v>
      </c>
      <c r="V3583" s="16" t="str">
        <f>IFERROR(__xludf.DUMMYFUNCTION("""COMPUTED_VALUE"""),"")</f>
        <v/>
      </c>
      <c r="W3583" s="16" t="str">
        <f>IFERROR(__xludf.DUMMYFUNCTION("""COMPUTED_VALUE"""),"")</f>
        <v/>
      </c>
      <c r="X3583" s="16" t="str">
        <f>IFERROR(__xludf.DUMMYFUNCTION("""COMPUTED_VALUE"""),"")</f>
        <v/>
      </c>
      <c r="AC3583" s="16" t="str">
        <f>IFERROR(__xludf.DUMMYFUNCTION("""COMPUTED_VALUE"""),"")</f>
        <v/>
      </c>
    </row>
    <row r="3584">
      <c r="A3584" s="16" t="s">
        <v>87</v>
      </c>
      <c r="E3584" s="16" t="str">
        <f>IFERROR(__xludf.DUMMYFUNCTION("""COMPUTED_VALUE"""),"")</f>
        <v/>
      </c>
      <c r="G3584" s="18"/>
      <c r="H3584" s="16" t="s">
        <v>87</v>
      </c>
      <c r="I3584" s="16" t="s">
        <v>87</v>
      </c>
      <c r="J3584" s="19"/>
      <c r="L3584" s="16" t="str">
        <f>IFERROR(__xludf.DUMMYFUNCTION("""COMPUTED_VALUE"""),"")</f>
        <v/>
      </c>
      <c r="M3584" s="16" t="str">
        <f>IFERROR(__xludf.DUMMYFUNCTION("""COMPUTED_VALUE"""),"")</f>
        <v/>
      </c>
      <c r="U3584" s="16" t="s">
        <v>87</v>
      </c>
      <c r="V3584" s="16" t="str">
        <f>IFERROR(__xludf.DUMMYFUNCTION("""COMPUTED_VALUE"""),"")</f>
        <v/>
      </c>
      <c r="W3584" s="16" t="str">
        <f>IFERROR(__xludf.DUMMYFUNCTION("""COMPUTED_VALUE"""),"")</f>
        <v/>
      </c>
      <c r="X3584" s="16" t="str">
        <f>IFERROR(__xludf.DUMMYFUNCTION("""COMPUTED_VALUE"""),"")</f>
        <v/>
      </c>
      <c r="AC3584" s="16" t="str">
        <f>IFERROR(__xludf.DUMMYFUNCTION("""COMPUTED_VALUE"""),"")</f>
        <v/>
      </c>
    </row>
    <row r="3585">
      <c r="A3585" s="16" t="s">
        <v>87</v>
      </c>
      <c r="E3585" s="16" t="str">
        <f>IFERROR(__xludf.DUMMYFUNCTION("""COMPUTED_VALUE"""),"")</f>
        <v/>
      </c>
      <c r="G3585" s="18"/>
      <c r="H3585" s="16" t="s">
        <v>87</v>
      </c>
      <c r="I3585" s="16" t="s">
        <v>87</v>
      </c>
      <c r="J3585" s="19"/>
      <c r="L3585" s="16" t="str">
        <f>IFERROR(__xludf.DUMMYFUNCTION("""COMPUTED_VALUE"""),"")</f>
        <v/>
      </c>
      <c r="M3585" s="16" t="str">
        <f>IFERROR(__xludf.DUMMYFUNCTION("""COMPUTED_VALUE"""),"")</f>
        <v/>
      </c>
      <c r="U3585" s="16" t="s">
        <v>87</v>
      </c>
      <c r="V3585" s="16" t="str">
        <f>IFERROR(__xludf.DUMMYFUNCTION("""COMPUTED_VALUE"""),"")</f>
        <v/>
      </c>
      <c r="W3585" s="16" t="str">
        <f>IFERROR(__xludf.DUMMYFUNCTION("""COMPUTED_VALUE"""),"")</f>
        <v/>
      </c>
      <c r="X3585" s="16" t="str">
        <f>IFERROR(__xludf.DUMMYFUNCTION("""COMPUTED_VALUE"""),"")</f>
        <v/>
      </c>
      <c r="AC3585" s="16" t="str">
        <f>IFERROR(__xludf.DUMMYFUNCTION("""COMPUTED_VALUE"""),"")</f>
        <v/>
      </c>
    </row>
    <row r="3586">
      <c r="A3586" s="16" t="s">
        <v>87</v>
      </c>
      <c r="E3586" s="16" t="str">
        <f>IFERROR(__xludf.DUMMYFUNCTION("""COMPUTED_VALUE"""),"")</f>
        <v/>
      </c>
      <c r="G3586" s="18"/>
      <c r="H3586" s="16" t="s">
        <v>87</v>
      </c>
      <c r="I3586" s="16" t="s">
        <v>87</v>
      </c>
      <c r="J3586" s="19"/>
      <c r="L3586" s="16" t="str">
        <f>IFERROR(__xludf.DUMMYFUNCTION("""COMPUTED_VALUE"""),"")</f>
        <v/>
      </c>
      <c r="M3586" s="16" t="str">
        <f>IFERROR(__xludf.DUMMYFUNCTION("""COMPUTED_VALUE"""),"")</f>
        <v/>
      </c>
      <c r="U3586" s="16" t="s">
        <v>87</v>
      </c>
      <c r="V3586" s="16" t="str">
        <f>IFERROR(__xludf.DUMMYFUNCTION("""COMPUTED_VALUE"""),"")</f>
        <v/>
      </c>
      <c r="W3586" s="16" t="str">
        <f>IFERROR(__xludf.DUMMYFUNCTION("""COMPUTED_VALUE"""),"")</f>
        <v/>
      </c>
      <c r="X3586" s="16" t="str">
        <f>IFERROR(__xludf.DUMMYFUNCTION("""COMPUTED_VALUE"""),"")</f>
        <v/>
      </c>
      <c r="AC3586" s="16" t="str">
        <f>IFERROR(__xludf.DUMMYFUNCTION("""COMPUTED_VALUE"""),"")</f>
        <v/>
      </c>
    </row>
    <row r="3587">
      <c r="A3587" s="16" t="s">
        <v>87</v>
      </c>
      <c r="E3587" s="16" t="str">
        <f>IFERROR(__xludf.DUMMYFUNCTION("""COMPUTED_VALUE"""),"")</f>
        <v/>
      </c>
      <c r="G3587" s="18"/>
      <c r="H3587" s="16" t="s">
        <v>87</v>
      </c>
      <c r="I3587" s="16" t="s">
        <v>87</v>
      </c>
      <c r="J3587" s="19"/>
      <c r="L3587" s="16" t="str">
        <f>IFERROR(__xludf.DUMMYFUNCTION("""COMPUTED_VALUE"""),"")</f>
        <v/>
      </c>
      <c r="M3587" s="16" t="str">
        <f>IFERROR(__xludf.DUMMYFUNCTION("""COMPUTED_VALUE"""),"")</f>
        <v/>
      </c>
      <c r="U3587" s="16" t="s">
        <v>87</v>
      </c>
      <c r="V3587" s="16" t="str">
        <f>IFERROR(__xludf.DUMMYFUNCTION("""COMPUTED_VALUE"""),"")</f>
        <v/>
      </c>
      <c r="W3587" s="16" t="str">
        <f>IFERROR(__xludf.DUMMYFUNCTION("""COMPUTED_VALUE"""),"")</f>
        <v/>
      </c>
      <c r="X3587" s="16" t="str">
        <f>IFERROR(__xludf.DUMMYFUNCTION("""COMPUTED_VALUE"""),"")</f>
        <v/>
      </c>
      <c r="AC3587" s="16" t="str">
        <f>IFERROR(__xludf.DUMMYFUNCTION("""COMPUTED_VALUE"""),"")</f>
        <v/>
      </c>
    </row>
    <row r="3588">
      <c r="A3588" s="16" t="s">
        <v>87</v>
      </c>
      <c r="E3588" s="16" t="str">
        <f>IFERROR(__xludf.DUMMYFUNCTION("""COMPUTED_VALUE"""),"")</f>
        <v/>
      </c>
      <c r="G3588" s="18"/>
      <c r="H3588" s="16" t="s">
        <v>87</v>
      </c>
      <c r="I3588" s="16" t="s">
        <v>87</v>
      </c>
      <c r="J3588" s="19"/>
      <c r="L3588" s="16" t="str">
        <f>IFERROR(__xludf.DUMMYFUNCTION("""COMPUTED_VALUE"""),"")</f>
        <v/>
      </c>
      <c r="M3588" s="16" t="str">
        <f>IFERROR(__xludf.DUMMYFUNCTION("""COMPUTED_VALUE"""),"")</f>
        <v/>
      </c>
      <c r="U3588" s="16" t="s">
        <v>87</v>
      </c>
      <c r="V3588" s="16" t="str">
        <f>IFERROR(__xludf.DUMMYFUNCTION("""COMPUTED_VALUE"""),"")</f>
        <v/>
      </c>
      <c r="W3588" s="16" t="str">
        <f>IFERROR(__xludf.DUMMYFUNCTION("""COMPUTED_VALUE"""),"")</f>
        <v/>
      </c>
      <c r="X3588" s="16" t="str">
        <f>IFERROR(__xludf.DUMMYFUNCTION("""COMPUTED_VALUE"""),"")</f>
        <v/>
      </c>
      <c r="AC3588" s="16" t="str">
        <f>IFERROR(__xludf.DUMMYFUNCTION("""COMPUTED_VALUE"""),"")</f>
        <v/>
      </c>
    </row>
    <row r="3589">
      <c r="A3589" s="16" t="s">
        <v>87</v>
      </c>
      <c r="E3589" s="16" t="str">
        <f>IFERROR(__xludf.DUMMYFUNCTION("""COMPUTED_VALUE"""),"")</f>
        <v/>
      </c>
      <c r="G3589" s="18"/>
      <c r="H3589" s="16" t="s">
        <v>87</v>
      </c>
      <c r="I3589" s="16" t="s">
        <v>87</v>
      </c>
      <c r="J3589" s="19"/>
      <c r="L3589" s="16" t="str">
        <f>IFERROR(__xludf.DUMMYFUNCTION("""COMPUTED_VALUE"""),"")</f>
        <v/>
      </c>
      <c r="M3589" s="16" t="str">
        <f>IFERROR(__xludf.DUMMYFUNCTION("""COMPUTED_VALUE"""),"")</f>
        <v/>
      </c>
      <c r="U3589" s="16" t="s">
        <v>87</v>
      </c>
      <c r="V3589" s="16" t="str">
        <f>IFERROR(__xludf.DUMMYFUNCTION("""COMPUTED_VALUE"""),"")</f>
        <v/>
      </c>
      <c r="W3589" s="16" t="str">
        <f>IFERROR(__xludf.DUMMYFUNCTION("""COMPUTED_VALUE"""),"")</f>
        <v/>
      </c>
      <c r="X3589" s="16" t="str">
        <f>IFERROR(__xludf.DUMMYFUNCTION("""COMPUTED_VALUE"""),"")</f>
        <v/>
      </c>
      <c r="AC3589" s="16" t="str">
        <f>IFERROR(__xludf.DUMMYFUNCTION("""COMPUTED_VALUE"""),"")</f>
        <v/>
      </c>
    </row>
    <row r="3590">
      <c r="A3590" s="16" t="s">
        <v>87</v>
      </c>
      <c r="E3590" s="16" t="str">
        <f>IFERROR(__xludf.DUMMYFUNCTION("""COMPUTED_VALUE"""),"")</f>
        <v/>
      </c>
      <c r="G3590" s="18"/>
      <c r="H3590" s="16" t="s">
        <v>87</v>
      </c>
      <c r="I3590" s="16" t="s">
        <v>87</v>
      </c>
      <c r="J3590" s="19"/>
      <c r="L3590" s="16" t="str">
        <f>IFERROR(__xludf.DUMMYFUNCTION("""COMPUTED_VALUE"""),"")</f>
        <v/>
      </c>
      <c r="M3590" s="16" t="str">
        <f>IFERROR(__xludf.DUMMYFUNCTION("""COMPUTED_VALUE"""),"")</f>
        <v/>
      </c>
      <c r="U3590" s="16" t="s">
        <v>87</v>
      </c>
      <c r="V3590" s="16" t="str">
        <f>IFERROR(__xludf.DUMMYFUNCTION("""COMPUTED_VALUE"""),"")</f>
        <v/>
      </c>
      <c r="W3590" s="16" t="str">
        <f>IFERROR(__xludf.DUMMYFUNCTION("""COMPUTED_VALUE"""),"")</f>
        <v/>
      </c>
      <c r="X3590" s="16" t="str">
        <f>IFERROR(__xludf.DUMMYFUNCTION("""COMPUTED_VALUE"""),"")</f>
        <v/>
      </c>
      <c r="AC3590" s="16" t="str">
        <f>IFERROR(__xludf.DUMMYFUNCTION("""COMPUTED_VALUE"""),"")</f>
        <v/>
      </c>
    </row>
    <row r="3591">
      <c r="A3591" s="16" t="s">
        <v>87</v>
      </c>
      <c r="E3591" s="16" t="str">
        <f>IFERROR(__xludf.DUMMYFUNCTION("""COMPUTED_VALUE"""),"")</f>
        <v/>
      </c>
      <c r="G3591" s="18"/>
      <c r="H3591" s="16" t="s">
        <v>87</v>
      </c>
      <c r="I3591" s="16" t="s">
        <v>87</v>
      </c>
      <c r="J3591" s="19"/>
      <c r="L3591" s="16" t="str">
        <f>IFERROR(__xludf.DUMMYFUNCTION("""COMPUTED_VALUE"""),"")</f>
        <v/>
      </c>
      <c r="M3591" s="16" t="str">
        <f>IFERROR(__xludf.DUMMYFUNCTION("""COMPUTED_VALUE"""),"")</f>
        <v/>
      </c>
      <c r="U3591" s="16" t="s">
        <v>87</v>
      </c>
      <c r="V3591" s="16" t="str">
        <f>IFERROR(__xludf.DUMMYFUNCTION("""COMPUTED_VALUE"""),"")</f>
        <v/>
      </c>
      <c r="W3591" s="16" t="str">
        <f>IFERROR(__xludf.DUMMYFUNCTION("""COMPUTED_VALUE"""),"")</f>
        <v/>
      </c>
      <c r="X3591" s="16" t="str">
        <f>IFERROR(__xludf.DUMMYFUNCTION("""COMPUTED_VALUE"""),"")</f>
        <v/>
      </c>
      <c r="AC3591" s="16" t="str">
        <f>IFERROR(__xludf.DUMMYFUNCTION("""COMPUTED_VALUE"""),"")</f>
        <v/>
      </c>
    </row>
    <row r="3592">
      <c r="A3592" s="16" t="s">
        <v>87</v>
      </c>
      <c r="E3592" s="16" t="str">
        <f>IFERROR(__xludf.DUMMYFUNCTION("""COMPUTED_VALUE"""),"")</f>
        <v/>
      </c>
      <c r="G3592" s="18"/>
      <c r="H3592" s="16" t="s">
        <v>87</v>
      </c>
      <c r="I3592" s="16" t="s">
        <v>87</v>
      </c>
      <c r="J3592" s="19"/>
      <c r="L3592" s="16" t="str">
        <f>IFERROR(__xludf.DUMMYFUNCTION("""COMPUTED_VALUE"""),"")</f>
        <v/>
      </c>
      <c r="M3592" s="16" t="str">
        <f>IFERROR(__xludf.DUMMYFUNCTION("""COMPUTED_VALUE"""),"")</f>
        <v/>
      </c>
      <c r="U3592" s="16" t="s">
        <v>87</v>
      </c>
      <c r="V3592" s="16" t="str">
        <f>IFERROR(__xludf.DUMMYFUNCTION("""COMPUTED_VALUE"""),"")</f>
        <v/>
      </c>
      <c r="W3592" s="16" t="str">
        <f>IFERROR(__xludf.DUMMYFUNCTION("""COMPUTED_VALUE"""),"")</f>
        <v/>
      </c>
      <c r="X3592" s="16" t="str">
        <f>IFERROR(__xludf.DUMMYFUNCTION("""COMPUTED_VALUE"""),"")</f>
        <v/>
      </c>
      <c r="AC3592" s="16" t="str">
        <f>IFERROR(__xludf.DUMMYFUNCTION("""COMPUTED_VALUE"""),"")</f>
        <v/>
      </c>
    </row>
    <row r="3593">
      <c r="A3593" s="16" t="s">
        <v>87</v>
      </c>
      <c r="E3593" s="16" t="str">
        <f>IFERROR(__xludf.DUMMYFUNCTION("""COMPUTED_VALUE"""),"")</f>
        <v/>
      </c>
      <c r="G3593" s="18"/>
      <c r="H3593" s="16" t="s">
        <v>87</v>
      </c>
      <c r="I3593" s="16" t="s">
        <v>87</v>
      </c>
      <c r="J3593" s="19"/>
      <c r="L3593" s="16" t="str">
        <f>IFERROR(__xludf.DUMMYFUNCTION("""COMPUTED_VALUE"""),"")</f>
        <v/>
      </c>
      <c r="M3593" s="16" t="str">
        <f>IFERROR(__xludf.DUMMYFUNCTION("""COMPUTED_VALUE"""),"")</f>
        <v/>
      </c>
      <c r="U3593" s="16" t="s">
        <v>87</v>
      </c>
      <c r="V3593" s="16" t="str">
        <f>IFERROR(__xludf.DUMMYFUNCTION("""COMPUTED_VALUE"""),"")</f>
        <v/>
      </c>
      <c r="W3593" s="16" t="str">
        <f>IFERROR(__xludf.DUMMYFUNCTION("""COMPUTED_VALUE"""),"")</f>
        <v/>
      </c>
      <c r="X3593" s="16" t="str">
        <f>IFERROR(__xludf.DUMMYFUNCTION("""COMPUTED_VALUE"""),"")</f>
        <v/>
      </c>
      <c r="AC3593" s="16" t="str">
        <f>IFERROR(__xludf.DUMMYFUNCTION("""COMPUTED_VALUE"""),"")</f>
        <v/>
      </c>
    </row>
    <row r="3594">
      <c r="A3594" s="16" t="s">
        <v>87</v>
      </c>
      <c r="E3594" s="16" t="str">
        <f>IFERROR(__xludf.DUMMYFUNCTION("""COMPUTED_VALUE"""),"")</f>
        <v/>
      </c>
      <c r="G3594" s="18"/>
      <c r="H3594" s="16" t="s">
        <v>87</v>
      </c>
      <c r="I3594" s="16" t="s">
        <v>87</v>
      </c>
      <c r="J3594" s="19"/>
      <c r="L3594" s="16" t="str">
        <f>IFERROR(__xludf.DUMMYFUNCTION("""COMPUTED_VALUE"""),"")</f>
        <v/>
      </c>
      <c r="M3594" s="16" t="str">
        <f>IFERROR(__xludf.DUMMYFUNCTION("""COMPUTED_VALUE"""),"")</f>
        <v/>
      </c>
      <c r="U3594" s="16" t="s">
        <v>87</v>
      </c>
      <c r="V3594" s="16" t="str">
        <f>IFERROR(__xludf.DUMMYFUNCTION("""COMPUTED_VALUE"""),"")</f>
        <v/>
      </c>
      <c r="W3594" s="16" t="str">
        <f>IFERROR(__xludf.DUMMYFUNCTION("""COMPUTED_VALUE"""),"")</f>
        <v/>
      </c>
      <c r="X3594" s="16" t="str">
        <f>IFERROR(__xludf.DUMMYFUNCTION("""COMPUTED_VALUE"""),"")</f>
        <v/>
      </c>
      <c r="AC3594" s="16" t="str">
        <f>IFERROR(__xludf.DUMMYFUNCTION("""COMPUTED_VALUE"""),"")</f>
        <v/>
      </c>
    </row>
    <row r="3595">
      <c r="A3595" s="16" t="s">
        <v>87</v>
      </c>
      <c r="E3595" s="16" t="str">
        <f>IFERROR(__xludf.DUMMYFUNCTION("""COMPUTED_VALUE"""),"")</f>
        <v/>
      </c>
      <c r="G3595" s="18"/>
      <c r="H3595" s="16" t="s">
        <v>87</v>
      </c>
      <c r="I3595" s="16" t="s">
        <v>87</v>
      </c>
      <c r="J3595" s="19"/>
      <c r="L3595" s="16" t="str">
        <f>IFERROR(__xludf.DUMMYFUNCTION("""COMPUTED_VALUE"""),"")</f>
        <v/>
      </c>
      <c r="M3595" s="16" t="str">
        <f>IFERROR(__xludf.DUMMYFUNCTION("""COMPUTED_VALUE"""),"")</f>
        <v/>
      </c>
      <c r="U3595" s="16" t="s">
        <v>87</v>
      </c>
      <c r="V3595" s="16" t="str">
        <f>IFERROR(__xludf.DUMMYFUNCTION("""COMPUTED_VALUE"""),"")</f>
        <v/>
      </c>
      <c r="W3595" s="16" t="str">
        <f>IFERROR(__xludf.DUMMYFUNCTION("""COMPUTED_VALUE"""),"")</f>
        <v/>
      </c>
      <c r="X3595" s="16" t="str">
        <f>IFERROR(__xludf.DUMMYFUNCTION("""COMPUTED_VALUE"""),"")</f>
        <v/>
      </c>
      <c r="AC3595" s="16" t="str">
        <f>IFERROR(__xludf.DUMMYFUNCTION("""COMPUTED_VALUE"""),"")</f>
        <v/>
      </c>
    </row>
    <row r="3596">
      <c r="A3596" s="16" t="s">
        <v>87</v>
      </c>
      <c r="E3596" s="16" t="str">
        <f>IFERROR(__xludf.DUMMYFUNCTION("""COMPUTED_VALUE"""),"")</f>
        <v/>
      </c>
      <c r="G3596" s="18"/>
      <c r="H3596" s="16" t="s">
        <v>87</v>
      </c>
      <c r="I3596" s="16" t="s">
        <v>87</v>
      </c>
      <c r="J3596" s="19"/>
      <c r="L3596" s="16" t="str">
        <f>IFERROR(__xludf.DUMMYFUNCTION("""COMPUTED_VALUE"""),"")</f>
        <v/>
      </c>
      <c r="M3596" s="16" t="str">
        <f>IFERROR(__xludf.DUMMYFUNCTION("""COMPUTED_VALUE"""),"")</f>
        <v/>
      </c>
      <c r="U3596" s="16" t="s">
        <v>87</v>
      </c>
      <c r="V3596" s="16" t="str">
        <f>IFERROR(__xludf.DUMMYFUNCTION("""COMPUTED_VALUE"""),"")</f>
        <v/>
      </c>
      <c r="W3596" s="16" t="str">
        <f>IFERROR(__xludf.DUMMYFUNCTION("""COMPUTED_VALUE"""),"")</f>
        <v/>
      </c>
      <c r="X3596" s="16" t="str">
        <f>IFERROR(__xludf.DUMMYFUNCTION("""COMPUTED_VALUE"""),"")</f>
        <v/>
      </c>
      <c r="AC3596" s="16" t="str">
        <f>IFERROR(__xludf.DUMMYFUNCTION("""COMPUTED_VALUE"""),"")</f>
        <v/>
      </c>
    </row>
    <row r="3597">
      <c r="A3597" s="16" t="s">
        <v>87</v>
      </c>
      <c r="E3597" s="16" t="str">
        <f>IFERROR(__xludf.DUMMYFUNCTION("""COMPUTED_VALUE"""),"")</f>
        <v/>
      </c>
      <c r="G3597" s="18"/>
      <c r="H3597" s="16" t="s">
        <v>87</v>
      </c>
      <c r="I3597" s="16" t="s">
        <v>87</v>
      </c>
      <c r="J3597" s="19"/>
      <c r="L3597" s="16" t="str">
        <f>IFERROR(__xludf.DUMMYFUNCTION("""COMPUTED_VALUE"""),"")</f>
        <v/>
      </c>
      <c r="M3597" s="16" t="str">
        <f>IFERROR(__xludf.DUMMYFUNCTION("""COMPUTED_VALUE"""),"")</f>
        <v/>
      </c>
      <c r="U3597" s="16" t="s">
        <v>87</v>
      </c>
      <c r="V3597" s="16" t="str">
        <f>IFERROR(__xludf.DUMMYFUNCTION("""COMPUTED_VALUE"""),"")</f>
        <v/>
      </c>
      <c r="W3597" s="16" t="str">
        <f>IFERROR(__xludf.DUMMYFUNCTION("""COMPUTED_VALUE"""),"")</f>
        <v/>
      </c>
      <c r="X3597" s="16" t="str">
        <f>IFERROR(__xludf.DUMMYFUNCTION("""COMPUTED_VALUE"""),"")</f>
        <v/>
      </c>
      <c r="AC3597" s="16" t="str">
        <f>IFERROR(__xludf.DUMMYFUNCTION("""COMPUTED_VALUE"""),"")</f>
        <v/>
      </c>
    </row>
    <row r="3598">
      <c r="A3598" s="16" t="s">
        <v>87</v>
      </c>
      <c r="E3598" s="16" t="str">
        <f>IFERROR(__xludf.DUMMYFUNCTION("""COMPUTED_VALUE"""),"")</f>
        <v/>
      </c>
      <c r="G3598" s="18"/>
      <c r="H3598" s="16" t="s">
        <v>87</v>
      </c>
      <c r="I3598" s="16" t="s">
        <v>87</v>
      </c>
      <c r="J3598" s="19"/>
      <c r="L3598" s="16" t="str">
        <f>IFERROR(__xludf.DUMMYFUNCTION("""COMPUTED_VALUE"""),"")</f>
        <v/>
      </c>
      <c r="M3598" s="16" t="str">
        <f>IFERROR(__xludf.DUMMYFUNCTION("""COMPUTED_VALUE"""),"")</f>
        <v/>
      </c>
      <c r="U3598" s="16" t="s">
        <v>87</v>
      </c>
      <c r="V3598" s="16" t="str">
        <f>IFERROR(__xludf.DUMMYFUNCTION("""COMPUTED_VALUE"""),"")</f>
        <v/>
      </c>
      <c r="W3598" s="16" t="str">
        <f>IFERROR(__xludf.DUMMYFUNCTION("""COMPUTED_VALUE"""),"")</f>
        <v/>
      </c>
      <c r="X3598" s="16" t="str">
        <f>IFERROR(__xludf.DUMMYFUNCTION("""COMPUTED_VALUE"""),"")</f>
        <v/>
      </c>
      <c r="AC3598" s="16" t="str">
        <f>IFERROR(__xludf.DUMMYFUNCTION("""COMPUTED_VALUE"""),"")</f>
        <v/>
      </c>
    </row>
    <row r="3599">
      <c r="A3599" s="16" t="s">
        <v>87</v>
      </c>
      <c r="E3599" s="16" t="str">
        <f>IFERROR(__xludf.DUMMYFUNCTION("""COMPUTED_VALUE"""),"")</f>
        <v/>
      </c>
      <c r="G3599" s="18"/>
      <c r="H3599" s="16" t="s">
        <v>87</v>
      </c>
      <c r="I3599" s="16" t="s">
        <v>87</v>
      </c>
      <c r="J3599" s="19"/>
      <c r="L3599" s="16" t="str">
        <f>IFERROR(__xludf.DUMMYFUNCTION("""COMPUTED_VALUE"""),"")</f>
        <v/>
      </c>
      <c r="M3599" s="16" t="str">
        <f>IFERROR(__xludf.DUMMYFUNCTION("""COMPUTED_VALUE"""),"")</f>
        <v/>
      </c>
      <c r="U3599" s="16" t="s">
        <v>87</v>
      </c>
      <c r="V3599" s="16" t="str">
        <f>IFERROR(__xludf.DUMMYFUNCTION("""COMPUTED_VALUE"""),"")</f>
        <v/>
      </c>
      <c r="W3599" s="16" t="str">
        <f>IFERROR(__xludf.DUMMYFUNCTION("""COMPUTED_VALUE"""),"")</f>
        <v/>
      </c>
      <c r="X3599" s="16" t="str">
        <f>IFERROR(__xludf.DUMMYFUNCTION("""COMPUTED_VALUE"""),"")</f>
        <v/>
      </c>
      <c r="AC3599" s="16" t="str">
        <f>IFERROR(__xludf.DUMMYFUNCTION("""COMPUTED_VALUE"""),"")</f>
        <v/>
      </c>
    </row>
    <row r="3600">
      <c r="A3600" s="16" t="s">
        <v>87</v>
      </c>
      <c r="E3600" s="16" t="str">
        <f>IFERROR(__xludf.DUMMYFUNCTION("""COMPUTED_VALUE"""),"")</f>
        <v/>
      </c>
      <c r="G3600" s="18"/>
      <c r="H3600" s="16" t="s">
        <v>87</v>
      </c>
      <c r="I3600" s="16" t="s">
        <v>87</v>
      </c>
      <c r="J3600" s="19"/>
      <c r="L3600" s="16" t="str">
        <f>IFERROR(__xludf.DUMMYFUNCTION("""COMPUTED_VALUE"""),"")</f>
        <v/>
      </c>
      <c r="M3600" s="16" t="str">
        <f>IFERROR(__xludf.DUMMYFUNCTION("""COMPUTED_VALUE"""),"")</f>
        <v/>
      </c>
      <c r="U3600" s="16" t="s">
        <v>87</v>
      </c>
      <c r="V3600" s="16" t="str">
        <f>IFERROR(__xludf.DUMMYFUNCTION("""COMPUTED_VALUE"""),"")</f>
        <v/>
      </c>
      <c r="W3600" s="16" t="str">
        <f>IFERROR(__xludf.DUMMYFUNCTION("""COMPUTED_VALUE"""),"")</f>
        <v/>
      </c>
      <c r="X3600" s="16" t="str">
        <f>IFERROR(__xludf.DUMMYFUNCTION("""COMPUTED_VALUE"""),"")</f>
        <v/>
      </c>
      <c r="AC3600" s="16" t="str">
        <f>IFERROR(__xludf.DUMMYFUNCTION("""COMPUTED_VALUE"""),"")</f>
        <v/>
      </c>
    </row>
    <row r="3601">
      <c r="A3601" s="16" t="s">
        <v>87</v>
      </c>
      <c r="E3601" s="16" t="str">
        <f>IFERROR(__xludf.DUMMYFUNCTION("""COMPUTED_VALUE"""),"")</f>
        <v/>
      </c>
      <c r="G3601" s="18"/>
      <c r="H3601" s="16" t="s">
        <v>87</v>
      </c>
      <c r="I3601" s="16" t="s">
        <v>87</v>
      </c>
      <c r="J3601" s="19"/>
      <c r="L3601" s="16" t="str">
        <f>IFERROR(__xludf.DUMMYFUNCTION("""COMPUTED_VALUE"""),"")</f>
        <v/>
      </c>
      <c r="M3601" s="16" t="str">
        <f>IFERROR(__xludf.DUMMYFUNCTION("""COMPUTED_VALUE"""),"")</f>
        <v/>
      </c>
      <c r="U3601" s="16" t="s">
        <v>87</v>
      </c>
      <c r="V3601" s="16" t="str">
        <f>IFERROR(__xludf.DUMMYFUNCTION("""COMPUTED_VALUE"""),"")</f>
        <v/>
      </c>
      <c r="W3601" s="16" t="str">
        <f>IFERROR(__xludf.DUMMYFUNCTION("""COMPUTED_VALUE"""),"")</f>
        <v/>
      </c>
      <c r="X3601" s="16" t="str">
        <f>IFERROR(__xludf.DUMMYFUNCTION("""COMPUTED_VALUE"""),"")</f>
        <v/>
      </c>
      <c r="AC3601" s="16" t="str">
        <f>IFERROR(__xludf.DUMMYFUNCTION("""COMPUTED_VALUE"""),"")</f>
        <v/>
      </c>
    </row>
    <row r="3602">
      <c r="A3602" s="16" t="s">
        <v>87</v>
      </c>
      <c r="E3602" s="16" t="str">
        <f>IFERROR(__xludf.DUMMYFUNCTION("""COMPUTED_VALUE"""),"")</f>
        <v/>
      </c>
      <c r="G3602" s="18"/>
      <c r="H3602" s="16" t="s">
        <v>87</v>
      </c>
      <c r="I3602" s="16" t="s">
        <v>87</v>
      </c>
      <c r="J3602" s="19"/>
      <c r="L3602" s="16" t="str">
        <f>IFERROR(__xludf.DUMMYFUNCTION("""COMPUTED_VALUE"""),"")</f>
        <v/>
      </c>
      <c r="M3602" s="16" t="str">
        <f>IFERROR(__xludf.DUMMYFUNCTION("""COMPUTED_VALUE"""),"")</f>
        <v/>
      </c>
      <c r="U3602" s="16" t="s">
        <v>87</v>
      </c>
      <c r="V3602" s="16" t="str">
        <f>IFERROR(__xludf.DUMMYFUNCTION("""COMPUTED_VALUE"""),"")</f>
        <v/>
      </c>
      <c r="W3602" s="16" t="str">
        <f>IFERROR(__xludf.DUMMYFUNCTION("""COMPUTED_VALUE"""),"")</f>
        <v/>
      </c>
      <c r="X3602" s="16" t="str">
        <f>IFERROR(__xludf.DUMMYFUNCTION("""COMPUTED_VALUE"""),"")</f>
        <v/>
      </c>
      <c r="AC3602" s="16" t="str">
        <f>IFERROR(__xludf.DUMMYFUNCTION("""COMPUTED_VALUE"""),"")</f>
        <v/>
      </c>
    </row>
    <row r="3603">
      <c r="A3603" s="16" t="s">
        <v>87</v>
      </c>
      <c r="E3603" s="16" t="str">
        <f>IFERROR(__xludf.DUMMYFUNCTION("""COMPUTED_VALUE"""),"")</f>
        <v/>
      </c>
      <c r="G3603" s="18"/>
      <c r="H3603" s="16" t="s">
        <v>87</v>
      </c>
      <c r="I3603" s="16" t="s">
        <v>87</v>
      </c>
      <c r="J3603" s="19"/>
      <c r="L3603" s="16" t="str">
        <f>IFERROR(__xludf.DUMMYFUNCTION("""COMPUTED_VALUE"""),"")</f>
        <v/>
      </c>
      <c r="M3603" s="16" t="str">
        <f>IFERROR(__xludf.DUMMYFUNCTION("""COMPUTED_VALUE"""),"")</f>
        <v/>
      </c>
      <c r="U3603" s="16" t="s">
        <v>87</v>
      </c>
      <c r="V3603" s="16" t="str">
        <f>IFERROR(__xludf.DUMMYFUNCTION("""COMPUTED_VALUE"""),"")</f>
        <v/>
      </c>
      <c r="W3603" s="16" t="str">
        <f>IFERROR(__xludf.DUMMYFUNCTION("""COMPUTED_VALUE"""),"")</f>
        <v/>
      </c>
      <c r="X3603" s="16" t="str">
        <f>IFERROR(__xludf.DUMMYFUNCTION("""COMPUTED_VALUE"""),"")</f>
        <v/>
      </c>
      <c r="AC3603" s="16" t="str">
        <f>IFERROR(__xludf.DUMMYFUNCTION("""COMPUTED_VALUE"""),"")</f>
        <v/>
      </c>
    </row>
    <row r="3604">
      <c r="A3604" s="16" t="s">
        <v>87</v>
      </c>
      <c r="E3604" s="16" t="str">
        <f>IFERROR(__xludf.DUMMYFUNCTION("""COMPUTED_VALUE"""),"")</f>
        <v/>
      </c>
      <c r="G3604" s="18"/>
      <c r="H3604" s="16" t="s">
        <v>87</v>
      </c>
      <c r="I3604" s="16" t="s">
        <v>87</v>
      </c>
      <c r="J3604" s="19"/>
      <c r="L3604" s="16" t="str">
        <f>IFERROR(__xludf.DUMMYFUNCTION("""COMPUTED_VALUE"""),"")</f>
        <v/>
      </c>
      <c r="M3604" s="16" t="str">
        <f>IFERROR(__xludf.DUMMYFUNCTION("""COMPUTED_VALUE"""),"")</f>
        <v/>
      </c>
      <c r="U3604" s="16" t="s">
        <v>87</v>
      </c>
      <c r="V3604" s="16" t="str">
        <f>IFERROR(__xludf.DUMMYFUNCTION("""COMPUTED_VALUE"""),"")</f>
        <v/>
      </c>
      <c r="W3604" s="16" t="str">
        <f>IFERROR(__xludf.DUMMYFUNCTION("""COMPUTED_VALUE"""),"")</f>
        <v/>
      </c>
      <c r="X3604" s="16" t="str">
        <f>IFERROR(__xludf.DUMMYFUNCTION("""COMPUTED_VALUE"""),"")</f>
        <v/>
      </c>
      <c r="AC3604" s="16" t="str">
        <f>IFERROR(__xludf.DUMMYFUNCTION("""COMPUTED_VALUE"""),"")</f>
        <v/>
      </c>
    </row>
    <row r="3605">
      <c r="A3605" s="16" t="s">
        <v>87</v>
      </c>
      <c r="E3605" s="16" t="str">
        <f>IFERROR(__xludf.DUMMYFUNCTION("""COMPUTED_VALUE"""),"")</f>
        <v/>
      </c>
      <c r="G3605" s="18"/>
      <c r="H3605" s="16" t="s">
        <v>87</v>
      </c>
      <c r="I3605" s="16" t="s">
        <v>87</v>
      </c>
      <c r="J3605" s="19"/>
      <c r="L3605" s="16" t="str">
        <f>IFERROR(__xludf.DUMMYFUNCTION("""COMPUTED_VALUE"""),"")</f>
        <v/>
      </c>
      <c r="M3605" s="16" t="str">
        <f>IFERROR(__xludf.DUMMYFUNCTION("""COMPUTED_VALUE"""),"")</f>
        <v/>
      </c>
      <c r="U3605" s="16" t="s">
        <v>87</v>
      </c>
      <c r="V3605" s="16" t="str">
        <f>IFERROR(__xludf.DUMMYFUNCTION("""COMPUTED_VALUE"""),"")</f>
        <v/>
      </c>
      <c r="W3605" s="16" t="str">
        <f>IFERROR(__xludf.DUMMYFUNCTION("""COMPUTED_VALUE"""),"")</f>
        <v/>
      </c>
      <c r="X3605" s="16" t="str">
        <f>IFERROR(__xludf.DUMMYFUNCTION("""COMPUTED_VALUE"""),"")</f>
        <v/>
      </c>
      <c r="AC3605" s="16" t="str">
        <f>IFERROR(__xludf.DUMMYFUNCTION("""COMPUTED_VALUE"""),"")</f>
        <v/>
      </c>
    </row>
    <row r="3606">
      <c r="A3606" s="16" t="s">
        <v>87</v>
      </c>
      <c r="E3606" s="16" t="str">
        <f>IFERROR(__xludf.DUMMYFUNCTION("""COMPUTED_VALUE"""),"")</f>
        <v/>
      </c>
      <c r="G3606" s="18"/>
      <c r="H3606" s="16" t="s">
        <v>87</v>
      </c>
      <c r="I3606" s="16" t="s">
        <v>87</v>
      </c>
      <c r="J3606" s="19"/>
      <c r="L3606" s="16" t="str">
        <f>IFERROR(__xludf.DUMMYFUNCTION("""COMPUTED_VALUE"""),"")</f>
        <v/>
      </c>
      <c r="M3606" s="16" t="str">
        <f>IFERROR(__xludf.DUMMYFUNCTION("""COMPUTED_VALUE"""),"")</f>
        <v/>
      </c>
      <c r="U3606" s="16" t="s">
        <v>87</v>
      </c>
      <c r="V3606" s="16" t="str">
        <f>IFERROR(__xludf.DUMMYFUNCTION("""COMPUTED_VALUE"""),"")</f>
        <v/>
      </c>
      <c r="W3606" s="16" t="str">
        <f>IFERROR(__xludf.DUMMYFUNCTION("""COMPUTED_VALUE"""),"")</f>
        <v/>
      </c>
      <c r="X3606" s="16" t="str">
        <f>IFERROR(__xludf.DUMMYFUNCTION("""COMPUTED_VALUE"""),"")</f>
        <v/>
      </c>
      <c r="AC3606" s="16" t="str">
        <f>IFERROR(__xludf.DUMMYFUNCTION("""COMPUTED_VALUE"""),"")</f>
        <v/>
      </c>
    </row>
    <row r="3607">
      <c r="A3607" s="16" t="s">
        <v>87</v>
      </c>
      <c r="E3607" s="16" t="str">
        <f>IFERROR(__xludf.DUMMYFUNCTION("""COMPUTED_VALUE"""),"")</f>
        <v/>
      </c>
      <c r="G3607" s="18"/>
      <c r="H3607" s="16" t="s">
        <v>87</v>
      </c>
      <c r="I3607" s="16" t="s">
        <v>87</v>
      </c>
      <c r="J3607" s="19"/>
      <c r="L3607" s="16" t="str">
        <f>IFERROR(__xludf.DUMMYFUNCTION("""COMPUTED_VALUE"""),"")</f>
        <v/>
      </c>
      <c r="M3607" s="16" t="str">
        <f>IFERROR(__xludf.DUMMYFUNCTION("""COMPUTED_VALUE"""),"")</f>
        <v/>
      </c>
      <c r="U3607" s="16" t="s">
        <v>87</v>
      </c>
      <c r="V3607" s="16" t="str">
        <f>IFERROR(__xludf.DUMMYFUNCTION("""COMPUTED_VALUE"""),"")</f>
        <v/>
      </c>
      <c r="W3607" s="16" t="str">
        <f>IFERROR(__xludf.DUMMYFUNCTION("""COMPUTED_VALUE"""),"")</f>
        <v/>
      </c>
      <c r="X3607" s="16" t="str">
        <f>IFERROR(__xludf.DUMMYFUNCTION("""COMPUTED_VALUE"""),"")</f>
        <v/>
      </c>
      <c r="AC3607" s="16" t="str">
        <f>IFERROR(__xludf.DUMMYFUNCTION("""COMPUTED_VALUE"""),"")</f>
        <v/>
      </c>
    </row>
    <row r="3608">
      <c r="A3608" s="16" t="s">
        <v>87</v>
      </c>
      <c r="E3608" s="16" t="str">
        <f>IFERROR(__xludf.DUMMYFUNCTION("""COMPUTED_VALUE"""),"")</f>
        <v/>
      </c>
      <c r="G3608" s="18"/>
      <c r="H3608" s="16" t="s">
        <v>87</v>
      </c>
      <c r="I3608" s="16" t="s">
        <v>87</v>
      </c>
      <c r="J3608" s="19"/>
      <c r="L3608" s="16" t="str">
        <f>IFERROR(__xludf.DUMMYFUNCTION("""COMPUTED_VALUE"""),"")</f>
        <v/>
      </c>
      <c r="M3608" s="16" t="str">
        <f>IFERROR(__xludf.DUMMYFUNCTION("""COMPUTED_VALUE"""),"")</f>
        <v/>
      </c>
      <c r="U3608" s="16" t="s">
        <v>87</v>
      </c>
      <c r="V3608" s="16" t="str">
        <f>IFERROR(__xludf.DUMMYFUNCTION("""COMPUTED_VALUE"""),"")</f>
        <v/>
      </c>
      <c r="W3608" s="16" t="str">
        <f>IFERROR(__xludf.DUMMYFUNCTION("""COMPUTED_VALUE"""),"")</f>
        <v/>
      </c>
      <c r="X3608" s="16" t="str">
        <f>IFERROR(__xludf.DUMMYFUNCTION("""COMPUTED_VALUE"""),"")</f>
        <v/>
      </c>
      <c r="AC3608" s="16" t="str">
        <f>IFERROR(__xludf.DUMMYFUNCTION("""COMPUTED_VALUE"""),"")</f>
        <v/>
      </c>
    </row>
    <row r="3609">
      <c r="A3609" s="16" t="s">
        <v>87</v>
      </c>
      <c r="E3609" s="16" t="str">
        <f>IFERROR(__xludf.DUMMYFUNCTION("""COMPUTED_VALUE"""),"")</f>
        <v/>
      </c>
      <c r="G3609" s="18"/>
      <c r="H3609" s="16" t="s">
        <v>87</v>
      </c>
      <c r="I3609" s="16" t="s">
        <v>87</v>
      </c>
      <c r="J3609" s="19"/>
      <c r="L3609" s="16" t="str">
        <f>IFERROR(__xludf.DUMMYFUNCTION("""COMPUTED_VALUE"""),"")</f>
        <v/>
      </c>
      <c r="M3609" s="16" t="str">
        <f>IFERROR(__xludf.DUMMYFUNCTION("""COMPUTED_VALUE"""),"")</f>
        <v/>
      </c>
      <c r="U3609" s="16" t="s">
        <v>87</v>
      </c>
      <c r="V3609" s="16" t="str">
        <f>IFERROR(__xludf.DUMMYFUNCTION("""COMPUTED_VALUE"""),"")</f>
        <v/>
      </c>
      <c r="W3609" s="16" t="str">
        <f>IFERROR(__xludf.DUMMYFUNCTION("""COMPUTED_VALUE"""),"")</f>
        <v/>
      </c>
      <c r="X3609" s="16" t="str">
        <f>IFERROR(__xludf.DUMMYFUNCTION("""COMPUTED_VALUE"""),"")</f>
        <v/>
      </c>
      <c r="AC3609" s="16" t="str">
        <f>IFERROR(__xludf.DUMMYFUNCTION("""COMPUTED_VALUE"""),"")</f>
        <v/>
      </c>
    </row>
    <row r="3610">
      <c r="A3610" s="16" t="s">
        <v>87</v>
      </c>
      <c r="E3610" s="16" t="str">
        <f>IFERROR(__xludf.DUMMYFUNCTION("""COMPUTED_VALUE"""),"")</f>
        <v/>
      </c>
      <c r="G3610" s="18"/>
      <c r="H3610" s="16" t="s">
        <v>87</v>
      </c>
      <c r="I3610" s="16" t="s">
        <v>87</v>
      </c>
      <c r="J3610" s="19"/>
      <c r="L3610" s="16" t="str">
        <f>IFERROR(__xludf.DUMMYFUNCTION("""COMPUTED_VALUE"""),"")</f>
        <v/>
      </c>
      <c r="M3610" s="16" t="str">
        <f>IFERROR(__xludf.DUMMYFUNCTION("""COMPUTED_VALUE"""),"")</f>
        <v/>
      </c>
      <c r="U3610" s="16" t="s">
        <v>87</v>
      </c>
      <c r="V3610" s="16" t="str">
        <f>IFERROR(__xludf.DUMMYFUNCTION("""COMPUTED_VALUE"""),"")</f>
        <v/>
      </c>
      <c r="W3610" s="16" t="str">
        <f>IFERROR(__xludf.DUMMYFUNCTION("""COMPUTED_VALUE"""),"")</f>
        <v/>
      </c>
      <c r="X3610" s="16" t="str">
        <f>IFERROR(__xludf.DUMMYFUNCTION("""COMPUTED_VALUE"""),"")</f>
        <v/>
      </c>
      <c r="AC3610" s="16" t="str">
        <f>IFERROR(__xludf.DUMMYFUNCTION("""COMPUTED_VALUE"""),"")</f>
        <v/>
      </c>
    </row>
    <row r="3611">
      <c r="A3611" s="16" t="s">
        <v>87</v>
      </c>
      <c r="E3611" s="16" t="str">
        <f>IFERROR(__xludf.DUMMYFUNCTION("""COMPUTED_VALUE"""),"")</f>
        <v/>
      </c>
      <c r="G3611" s="18"/>
      <c r="H3611" s="16" t="s">
        <v>87</v>
      </c>
      <c r="I3611" s="16" t="s">
        <v>87</v>
      </c>
      <c r="J3611" s="19"/>
      <c r="L3611" s="16" t="str">
        <f>IFERROR(__xludf.DUMMYFUNCTION("""COMPUTED_VALUE"""),"")</f>
        <v/>
      </c>
      <c r="M3611" s="16" t="str">
        <f>IFERROR(__xludf.DUMMYFUNCTION("""COMPUTED_VALUE"""),"")</f>
        <v/>
      </c>
      <c r="U3611" s="16" t="s">
        <v>87</v>
      </c>
      <c r="V3611" s="16" t="str">
        <f>IFERROR(__xludf.DUMMYFUNCTION("""COMPUTED_VALUE"""),"")</f>
        <v/>
      </c>
      <c r="W3611" s="16" t="str">
        <f>IFERROR(__xludf.DUMMYFUNCTION("""COMPUTED_VALUE"""),"")</f>
        <v/>
      </c>
      <c r="X3611" s="16" t="str">
        <f>IFERROR(__xludf.DUMMYFUNCTION("""COMPUTED_VALUE"""),"")</f>
        <v/>
      </c>
      <c r="AC3611" s="16" t="str">
        <f>IFERROR(__xludf.DUMMYFUNCTION("""COMPUTED_VALUE"""),"")</f>
        <v/>
      </c>
    </row>
    <row r="3612">
      <c r="A3612" s="16" t="s">
        <v>87</v>
      </c>
      <c r="E3612" s="16" t="str">
        <f>IFERROR(__xludf.DUMMYFUNCTION("""COMPUTED_VALUE"""),"")</f>
        <v/>
      </c>
      <c r="G3612" s="18"/>
      <c r="H3612" s="16" t="s">
        <v>87</v>
      </c>
      <c r="I3612" s="16" t="s">
        <v>87</v>
      </c>
      <c r="J3612" s="19"/>
      <c r="L3612" s="16" t="str">
        <f>IFERROR(__xludf.DUMMYFUNCTION("""COMPUTED_VALUE"""),"")</f>
        <v/>
      </c>
      <c r="M3612" s="16" t="str">
        <f>IFERROR(__xludf.DUMMYFUNCTION("""COMPUTED_VALUE"""),"")</f>
        <v/>
      </c>
      <c r="U3612" s="16" t="s">
        <v>87</v>
      </c>
      <c r="V3612" s="16" t="str">
        <f>IFERROR(__xludf.DUMMYFUNCTION("""COMPUTED_VALUE"""),"")</f>
        <v/>
      </c>
      <c r="W3612" s="16" t="str">
        <f>IFERROR(__xludf.DUMMYFUNCTION("""COMPUTED_VALUE"""),"")</f>
        <v/>
      </c>
      <c r="X3612" s="16" t="str">
        <f>IFERROR(__xludf.DUMMYFUNCTION("""COMPUTED_VALUE"""),"")</f>
        <v/>
      </c>
      <c r="AC3612" s="16" t="str">
        <f>IFERROR(__xludf.DUMMYFUNCTION("""COMPUTED_VALUE"""),"")</f>
        <v/>
      </c>
    </row>
    <row r="3613">
      <c r="A3613" s="16" t="s">
        <v>87</v>
      </c>
      <c r="E3613" s="16" t="str">
        <f>IFERROR(__xludf.DUMMYFUNCTION("""COMPUTED_VALUE"""),"")</f>
        <v/>
      </c>
      <c r="G3613" s="18"/>
      <c r="H3613" s="16" t="s">
        <v>87</v>
      </c>
      <c r="I3613" s="16" t="s">
        <v>87</v>
      </c>
      <c r="J3613" s="19"/>
      <c r="L3613" s="16" t="str">
        <f>IFERROR(__xludf.DUMMYFUNCTION("""COMPUTED_VALUE"""),"")</f>
        <v/>
      </c>
      <c r="M3613" s="16" t="str">
        <f>IFERROR(__xludf.DUMMYFUNCTION("""COMPUTED_VALUE"""),"")</f>
        <v/>
      </c>
      <c r="U3613" s="16" t="s">
        <v>87</v>
      </c>
      <c r="V3613" s="16" t="str">
        <f>IFERROR(__xludf.DUMMYFUNCTION("""COMPUTED_VALUE"""),"")</f>
        <v/>
      </c>
      <c r="W3613" s="16" t="str">
        <f>IFERROR(__xludf.DUMMYFUNCTION("""COMPUTED_VALUE"""),"")</f>
        <v/>
      </c>
      <c r="X3613" s="16" t="str">
        <f>IFERROR(__xludf.DUMMYFUNCTION("""COMPUTED_VALUE"""),"")</f>
        <v/>
      </c>
      <c r="AC3613" s="16" t="str">
        <f>IFERROR(__xludf.DUMMYFUNCTION("""COMPUTED_VALUE"""),"")</f>
        <v/>
      </c>
    </row>
    <row r="3614">
      <c r="A3614" s="16" t="s">
        <v>87</v>
      </c>
      <c r="E3614" s="16" t="str">
        <f>IFERROR(__xludf.DUMMYFUNCTION("""COMPUTED_VALUE"""),"")</f>
        <v/>
      </c>
      <c r="G3614" s="18"/>
      <c r="H3614" s="16" t="s">
        <v>87</v>
      </c>
      <c r="I3614" s="16" t="s">
        <v>87</v>
      </c>
      <c r="J3614" s="19"/>
      <c r="L3614" s="16" t="str">
        <f>IFERROR(__xludf.DUMMYFUNCTION("""COMPUTED_VALUE"""),"")</f>
        <v/>
      </c>
      <c r="M3614" s="16" t="str">
        <f>IFERROR(__xludf.DUMMYFUNCTION("""COMPUTED_VALUE"""),"")</f>
        <v/>
      </c>
      <c r="U3614" s="16" t="s">
        <v>87</v>
      </c>
      <c r="V3614" s="16" t="str">
        <f>IFERROR(__xludf.DUMMYFUNCTION("""COMPUTED_VALUE"""),"")</f>
        <v/>
      </c>
      <c r="W3614" s="16" t="str">
        <f>IFERROR(__xludf.DUMMYFUNCTION("""COMPUTED_VALUE"""),"")</f>
        <v/>
      </c>
      <c r="X3614" s="16" t="str">
        <f>IFERROR(__xludf.DUMMYFUNCTION("""COMPUTED_VALUE"""),"")</f>
        <v/>
      </c>
      <c r="AC3614" s="16" t="str">
        <f>IFERROR(__xludf.DUMMYFUNCTION("""COMPUTED_VALUE"""),"")</f>
        <v/>
      </c>
    </row>
    <row r="3615">
      <c r="A3615" s="16" t="s">
        <v>87</v>
      </c>
      <c r="E3615" s="16" t="str">
        <f>IFERROR(__xludf.DUMMYFUNCTION("""COMPUTED_VALUE"""),"")</f>
        <v/>
      </c>
      <c r="G3615" s="18"/>
      <c r="H3615" s="16" t="s">
        <v>87</v>
      </c>
      <c r="I3615" s="16" t="s">
        <v>87</v>
      </c>
      <c r="J3615" s="19"/>
      <c r="L3615" s="16" t="str">
        <f>IFERROR(__xludf.DUMMYFUNCTION("""COMPUTED_VALUE"""),"")</f>
        <v/>
      </c>
      <c r="M3615" s="16" t="str">
        <f>IFERROR(__xludf.DUMMYFUNCTION("""COMPUTED_VALUE"""),"")</f>
        <v/>
      </c>
      <c r="U3615" s="16" t="s">
        <v>87</v>
      </c>
      <c r="V3615" s="16" t="str">
        <f>IFERROR(__xludf.DUMMYFUNCTION("""COMPUTED_VALUE"""),"")</f>
        <v/>
      </c>
      <c r="W3615" s="16" t="str">
        <f>IFERROR(__xludf.DUMMYFUNCTION("""COMPUTED_VALUE"""),"")</f>
        <v/>
      </c>
      <c r="X3615" s="16" t="str">
        <f>IFERROR(__xludf.DUMMYFUNCTION("""COMPUTED_VALUE"""),"")</f>
        <v/>
      </c>
      <c r="AC3615" s="16" t="str">
        <f>IFERROR(__xludf.DUMMYFUNCTION("""COMPUTED_VALUE"""),"")</f>
        <v/>
      </c>
    </row>
    <row r="3616">
      <c r="A3616" s="16" t="s">
        <v>87</v>
      </c>
      <c r="E3616" s="16" t="str">
        <f>IFERROR(__xludf.DUMMYFUNCTION("""COMPUTED_VALUE"""),"")</f>
        <v/>
      </c>
      <c r="G3616" s="18"/>
      <c r="H3616" s="16" t="s">
        <v>87</v>
      </c>
      <c r="I3616" s="16" t="s">
        <v>87</v>
      </c>
      <c r="J3616" s="19"/>
      <c r="L3616" s="16" t="str">
        <f>IFERROR(__xludf.DUMMYFUNCTION("""COMPUTED_VALUE"""),"")</f>
        <v/>
      </c>
      <c r="M3616" s="16" t="str">
        <f>IFERROR(__xludf.DUMMYFUNCTION("""COMPUTED_VALUE"""),"")</f>
        <v/>
      </c>
      <c r="U3616" s="16" t="s">
        <v>87</v>
      </c>
      <c r="V3616" s="16" t="str">
        <f>IFERROR(__xludf.DUMMYFUNCTION("""COMPUTED_VALUE"""),"")</f>
        <v/>
      </c>
      <c r="W3616" s="16" t="str">
        <f>IFERROR(__xludf.DUMMYFUNCTION("""COMPUTED_VALUE"""),"")</f>
        <v/>
      </c>
      <c r="X3616" s="16" t="str">
        <f>IFERROR(__xludf.DUMMYFUNCTION("""COMPUTED_VALUE"""),"")</f>
        <v/>
      </c>
      <c r="AC3616" s="16" t="str">
        <f>IFERROR(__xludf.DUMMYFUNCTION("""COMPUTED_VALUE"""),"")</f>
        <v/>
      </c>
    </row>
    <row r="3617">
      <c r="A3617" s="16" t="s">
        <v>87</v>
      </c>
      <c r="E3617" s="16" t="str">
        <f>IFERROR(__xludf.DUMMYFUNCTION("""COMPUTED_VALUE"""),"")</f>
        <v/>
      </c>
      <c r="G3617" s="18"/>
      <c r="H3617" s="16" t="s">
        <v>87</v>
      </c>
      <c r="I3617" s="16" t="s">
        <v>87</v>
      </c>
      <c r="J3617" s="19"/>
      <c r="L3617" s="16" t="str">
        <f>IFERROR(__xludf.DUMMYFUNCTION("""COMPUTED_VALUE"""),"")</f>
        <v/>
      </c>
      <c r="M3617" s="16" t="str">
        <f>IFERROR(__xludf.DUMMYFUNCTION("""COMPUTED_VALUE"""),"")</f>
        <v/>
      </c>
      <c r="U3617" s="16" t="s">
        <v>87</v>
      </c>
      <c r="V3617" s="16" t="str">
        <f>IFERROR(__xludf.DUMMYFUNCTION("""COMPUTED_VALUE"""),"")</f>
        <v/>
      </c>
      <c r="W3617" s="16" t="str">
        <f>IFERROR(__xludf.DUMMYFUNCTION("""COMPUTED_VALUE"""),"")</f>
        <v/>
      </c>
      <c r="X3617" s="16" t="str">
        <f>IFERROR(__xludf.DUMMYFUNCTION("""COMPUTED_VALUE"""),"")</f>
        <v/>
      </c>
      <c r="AC3617" s="16" t="str">
        <f>IFERROR(__xludf.DUMMYFUNCTION("""COMPUTED_VALUE"""),"")</f>
        <v/>
      </c>
    </row>
    <row r="3618">
      <c r="A3618" s="16" t="s">
        <v>87</v>
      </c>
      <c r="E3618" s="16" t="str">
        <f>IFERROR(__xludf.DUMMYFUNCTION("""COMPUTED_VALUE"""),"")</f>
        <v/>
      </c>
      <c r="G3618" s="18"/>
      <c r="H3618" s="16" t="s">
        <v>87</v>
      </c>
      <c r="I3618" s="16" t="s">
        <v>87</v>
      </c>
      <c r="J3618" s="19"/>
      <c r="L3618" s="16" t="str">
        <f>IFERROR(__xludf.DUMMYFUNCTION("""COMPUTED_VALUE"""),"")</f>
        <v/>
      </c>
      <c r="M3618" s="16" t="str">
        <f>IFERROR(__xludf.DUMMYFUNCTION("""COMPUTED_VALUE"""),"")</f>
        <v/>
      </c>
      <c r="U3618" s="16" t="s">
        <v>87</v>
      </c>
      <c r="V3618" s="16" t="str">
        <f>IFERROR(__xludf.DUMMYFUNCTION("""COMPUTED_VALUE"""),"")</f>
        <v/>
      </c>
      <c r="W3618" s="16" t="str">
        <f>IFERROR(__xludf.DUMMYFUNCTION("""COMPUTED_VALUE"""),"")</f>
        <v/>
      </c>
      <c r="X3618" s="16" t="str">
        <f>IFERROR(__xludf.DUMMYFUNCTION("""COMPUTED_VALUE"""),"")</f>
        <v/>
      </c>
      <c r="AC3618" s="16" t="str">
        <f>IFERROR(__xludf.DUMMYFUNCTION("""COMPUTED_VALUE"""),"")</f>
        <v/>
      </c>
    </row>
    <row r="3619">
      <c r="A3619" s="16" t="s">
        <v>87</v>
      </c>
      <c r="E3619" s="16" t="str">
        <f>IFERROR(__xludf.DUMMYFUNCTION("""COMPUTED_VALUE"""),"")</f>
        <v/>
      </c>
      <c r="G3619" s="18"/>
      <c r="H3619" s="16" t="s">
        <v>87</v>
      </c>
      <c r="I3619" s="16" t="s">
        <v>87</v>
      </c>
      <c r="J3619" s="19"/>
      <c r="L3619" s="16" t="str">
        <f>IFERROR(__xludf.DUMMYFUNCTION("""COMPUTED_VALUE"""),"")</f>
        <v/>
      </c>
      <c r="M3619" s="16" t="str">
        <f>IFERROR(__xludf.DUMMYFUNCTION("""COMPUTED_VALUE"""),"")</f>
        <v/>
      </c>
      <c r="U3619" s="16" t="s">
        <v>87</v>
      </c>
      <c r="V3619" s="16" t="str">
        <f>IFERROR(__xludf.DUMMYFUNCTION("""COMPUTED_VALUE"""),"")</f>
        <v/>
      </c>
      <c r="W3619" s="16" t="str">
        <f>IFERROR(__xludf.DUMMYFUNCTION("""COMPUTED_VALUE"""),"")</f>
        <v/>
      </c>
      <c r="X3619" s="16" t="str">
        <f>IFERROR(__xludf.DUMMYFUNCTION("""COMPUTED_VALUE"""),"")</f>
        <v/>
      </c>
      <c r="AC3619" s="16" t="str">
        <f>IFERROR(__xludf.DUMMYFUNCTION("""COMPUTED_VALUE"""),"")</f>
        <v/>
      </c>
    </row>
    <row r="3620">
      <c r="A3620" s="16" t="s">
        <v>87</v>
      </c>
      <c r="E3620" s="16" t="str">
        <f>IFERROR(__xludf.DUMMYFUNCTION("""COMPUTED_VALUE"""),"")</f>
        <v/>
      </c>
      <c r="G3620" s="18"/>
      <c r="H3620" s="16" t="s">
        <v>87</v>
      </c>
      <c r="I3620" s="16" t="s">
        <v>87</v>
      </c>
      <c r="J3620" s="19"/>
      <c r="L3620" s="16" t="str">
        <f>IFERROR(__xludf.DUMMYFUNCTION("""COMPUTED_VALUE"""),"")</f>
        <v/>
      </c>
      <c r="M3620" s="16" t="str">
        <f>IFERROR(__xludf.DUMMYFUNCTION("""COMPUTED_VALUE"""),"")</f>
        <v/>
      </c>
      <c r="U3620" s="16" t="s">
        <v>87</v>
      </c>
      <c r="V3620" s="16" t="str">
        <f>IFERROR(__xludf.DUMMYFUNCTION("""COMPUTED_VALUE"""),"")</f>
        <v/>
      </c>
      <c r="W3620" s="16" t="str">
        <f>IFERROR(__xludf.DUMMYFUNCTION("""COMPUTED_VALUE"""),"")</f>
        <v/>
      </c>
      <c r="X3620" s="16" t="str">
        <f>IFERROR(__xludf.DUMMYFUNCTION("""COMPUTED_VALUE"""),"")</f>
        <v/>
      </c>
      <c r="AC3620" s="16" t="str">
        <f>IFERROR(__xludf.DUMMYFUNCTION("""COMPUTED_VALUE"""),"")</f>
        <v/>
      </c>
    </row>
    <row r="3621">
      <c r="A3621" s="16" t="s">
        <v>87</v>
      </c>
      <c r="E3621" s="16" t="str">
        <f>IFERROR(__xludf.DUMMYFUNCTION("""COMPUTED_VALUE"""),"")</f>
        <v/>
      </c>
      <c r="G3621" s="18"/>
      <c r="H3621" s="16" t="s">
        <v>87</v>
      </c>
      <c r="I3621" s="16" t="s">
        <v>87</v>
      </c>
      <c r="J3621" s="19"/>
      <c r="L3621" s="16" t="str">
        <f>IFERROR(__xludf.DUMMYFUNCTION("""COMPUTED_VALUE"""),"")</f>
        <v/>
      </c>
      <c r="M3621" s="16" t="str">
        <f>IFERROR(__xludf.DUMMYFUNCTION("""COMPUTED_VALUE"""),"")</f>
        <v/>
      </c>
      <c r="U3621" s="16" t="s">
        <v>87</v>
      </c>
      <c r="V3621" s="16" t="str">
        <f>IFERROR(__xludf.DUMMYFUNCTION("""COMPUTED_VALUE"""),"")</f>
        <v/>
      </c>
      <c r="W3621" s="16" t="str">
        <f>IFERROR(__xludf.DUMMYFUNCTION("""COMPUTED_VALUE"""),"")</f>
        <v/>
      </c>
      <c r="X3621" s="16" t="str">
        <f>IFERROR(__xludf.DUMMYFUNCTION("""COMPUTED_VALUE"""),"")</f>
        <v/>
      </c>
      <c r="AC3621" s="16" t="str">
        <f>IFERROR(__xludf.DUMMYFUNCTION("""COMPUTED_VALUE"""),"")</f>
        <v/>
      </c>
    </row>
    <row r="3622">
      <c r="A3622" s="16" t="s">
        <v>87</v>
      </c>
      <c r="E3622" s="16" t="str">
        <f>IFERROR(__xludf.DUMMYFUNCTION("""COMPUTED_VALUE"""),"")</f>
        <v/>
      </c>
      <c r="G3622" s="18"/>
      <c r="H3622" s="16" t="s">
        <v>87</v>
      </c>
      <c r="I3622" s="16" t="s">
        <v>87</v>
      </c>
      <c r="J3622" s="19"/>
      <c r="L3622" s="16" t="str">
        <f>IFERROR(__xludf.DUMMYFUNCTION("""COMPUTED_VALUE"""),"")</f>
        <v/>
      </c>
      <c r="M3622" s="16" t="str">
        <f>IFERROR(__xludf.DUMMYFUNCTION("""COMPUTED_VALUE"""),"")</f>
        <v/>
      </c>
      <c r="U3622" s="16" t="s">
        <v>87</v>
      </c>
      <c r="V3622" s="16" t="str">
        <f>IFERROR(__xludf.DUMMYFUNCTION("""COMPUTED_VALUE"""),"")</f>
        <v/>
      </c>
      <c r="W3622" s="16" t="str">
        <f>IFERROR(__xludf.DUMMYFUNCTION("""COMPUTED_VALUE"""),"")</f>
        <v/>
      </c>
      <c r="X3622" s="16" t="str">
        <f>IFERROR(__xludf.DUMMYFUNCTION("""COMPUTED_VALUE"""),"")</f>
        <v/>
      </c>
      <c r="AC3622" s="16" t="str">
        <f>IFERROR(__xludf.DUMMYFUNCTION("""COMPUTED_VALUE"""),"")</f>
        <v/>
      </c>
    </row>
    <row r="3623">
      <c r="A3623" s="16" t="s">
        <v>87</v>
      </c>
      <c r="E3623" s="16" t="str">
        <f>IFERROR(__xludf.DUMMYFUNCTION("""COMPUTED_VALUE"""),"")</f>
        <v/>
      </c>
      <c r="G3623" s="18"/>
      <c r="H3623" s="16" t="s">
        <v>87</v>
      </c>
      <c r="I3623" s="16" t="s">
        <v>87</v>
      </c>
      <c r="J3623" s="19"/>
      <c r="L3623" s="16" t="str">
        <f>IFERROR(__xludf.DUMMYFUNCTION("""COMPUTED_VALUE"""),"")</f>
        <v/>
      </c>
      <c r="M3623" s="16" t="str">
        <f>IFERROR(__xludf.DUMMYFUNCTION("""COMPUTED_VALUE"""),"")</f>
        <v/>
      </c>
      <c r="U3623" s="16" t="s">
        <v>87</v>
      </c>
      <c r="V3623" s="16" t="str">
        <f>IFERROR(__xludf.DUMMYFUNCTION("""COMPUTED_VALUE"""),"")</f>
        <v/>
      </c>
      <c r="W3623" s="16" t="str">
        <f>IFERROR(__xludf.DUMMYFUNCTION("""COMPUTED_VALUE"""),"")</f>
        <v/>
      </c>
      <c r="X3623" s="16" t="str">
        <f>IFERROR(__xludf.DUMMYFUNCTION("""COMPUTED_VALUE"""),"")</f>
        <v/>
      </c>
      <c r="AC3623" s="16" t="str">
        <f>IFERROR(__xludf.DUMMYFUNCTION("""COMPUTED_VALUE"""),"")</f>
        <v/>
      </c>
    </row>
    <row r="3624">
      <c r="A3624" s="16" t="s">
        <v>87</v>
      </c>
      <c r="E3624" s="16" t="str">
        <f>IFERROR(__xludf.DUMMYFUNCTION("""COMPUTED_VALUE"""),"")</f>
        <v/>
      </c>
      <c r="G3624" s="18"/>
      <c r="H3624" s="16" t="s">
        <v>87</v>
      </c>
      <c r="I3624" s="16" t="s">
        <v>87</v>
      </c>
      <c r="J3624" s="19"/>
      <c r="L3624" s="16" t="str">
        <f>IFERROR(__xludf.DUMMYFUNCTION("""COMPUTED_VALUE"""),"")</f>
        <v/>
      </c>
      <c r="M3624" s="16" t="str">
        <f>IFERROR(__xludf.DUMMYFUNCTION("""COMPUTED_VALUE"""),"")</f>
        <v/>
      </c>
      <c r="U3624" s="16" t="s">
        <v>87</v>
      </c>
      <c r="V3624" s="16" t="str">
        <f>IFERROR(__xludf.DUMMYFUNCTION("""COMPUTED_VALUE"""),"")</f>
        <v/>
      </c>
      <c r="W3624" s="16" t="str">
        <f>IFERROR(__xludf.DUMMYFUNCTION("""COMPUTED_VALUE"""),"")</f>
        <v/>
      </c>
      <c r="X3624" s="16" t="str">
        <f>IFERROR(__xludf.DUMMYFUNCTION("""COMPUTED_VALUE"""),"")</f>
        <v/>
      </c>
      <c r="AC3624" s="16" t="str">
        <f>IFERROR(__xludf.DUMMYFUNCTION("""COMPUTED_VALUE"""),"")</f>
        <v/>
      </c>
    </row>
    <row r="3625">
      <c r="A3625" s="16" t="s">
        <v>87</v>
      </c>
      <c r="E3625" s="16" t="str">
        <f>IFERROR(__xludf.DUMMYFUNCTION("""COMPUTED_VALUE"""),"")</f>
        <v/>
      </c>
      <c r="G3625" s="18"/>
      <c r="H3625" s="16" t="s">
        <v>87</v>
      </c>
      <c r="I3625" s="16" t="s">
        <v>87</v>
      </c>
      <c r="J3625" s="19"/>
      <c r="L3625" s="16" t="str">
        <f>IFERROR(__xludf.DUMMYFUNCTION("""COMPUTED_VALUE"""),"")</f>
        <v/>
      </c>
      <c r="M3625" s="16" t="str">
        <f>IFERROR(__xludf.DUMMYFUNCTION("""COMPUTED_VALUE"""),"")</f>
        <v/>
      </c>
      <c r="U3625" s="16" t="s">
        <v>87</v>
      </c>
      <c r="V3625" s="16" t="str">
        <f>IFERROR(__xludf.DUMMYFUNCTION("""COMPUTED_VALUE"""),"")</f>
        <v/>
      </c>
      <c r="W3625" s="16" t="str">
        <f>IFERROR(__xludf.DUMMYFUNCTION("""COMPUTED_VALUE"""),"")</f>
        <v/>
      </c>
      <c r="X3625" s="16" t="str">
        <f>IFERROR(__xludf.DUMMYFUNCTION("""COMPUTED_VALUE"""),"")</f>
        <v/>
      </c>
      <c r="AC3625" s="16" t="str">
        <f>IFERROR(__xludf.DUMMYFUNCTION("""COMPUTED_VALUE"""),"")</f>
        <v/>
      </c>
    </row>
    <row r="3626">
      <c r="A3626" s="16" t="s">
        <v>87</v>
      </c>
      <c r="E3626" s="16" t="str">
        <f>IFERROR(__xludf.DUMMYFUNCTION("""COMPUTED_VALUE"""),"")</f>
        <v/>
      </c>
      <c r="G3626" s="18"/>
      <c r="H3626" s="16" t="s">
        <v>87</v>
      </c>
      <c r="I3626" s="16" t="s">
        <v>87</v>
      </c>
      <c r="J3626" s="19"/>
      <c r="L3626" s="16" t="str">
        <f>IFERROR(__xludf.DUMMYFUNCTION("""COMPUTED_VALUE"""),"")</f>
        <v/>
      </c>
      <c r="M3626" s="16" t="str">
        <f>IFERROR(__xludf.DUMMYFUNCTION("""COMPUTED_VALUE"""),"")</f>
        <v/>
      </c>
      <c r="U3626" s="16" t="s">
        <v>87</v>
      </c>
      <c r="V3626" s="16" t="str">
        <f>IFERROR(__xludf.DUMMYFUNCTION("""COMPUTED_VALUE"""),"")</f>
        <v/>
      </c>
      <c r="W3626" s="16" t="str">
        <f>IFERROR(__xludf.DUMMYFUNCTION("""COMPUTED_VALUE"""),"")</f>
        <v/>
      </c>
      <c r="X3626" s="16" t="str">
        <f>IFERROR(__xludf.DUMMYFUNCTION("""COMPUTED_VALUE"""),"")</f>
        <v/>
      </c>
      <c r="AC3626" s="16" t="str">
        <f>IFERROR(__xludf.DUMMYFUNCTION("""COMPUTED_VALUE"""),"")</f>
        <v/>
      </c>
    </row>
    <row r="3627">
      <c r="A3627" s="16" t="s">
        <v>87</v>
      </c>
      <c r="E3627" s="16" t="str">
        <f>IFERROR(__xludf.DUMMYFUNCTION("""COMPUTED_VALUE"""),"")</f>
        <v/>
      </c>
      <c r="G3627" s="18"/>
      <c r="H3627" s="16" t="s">
        <v>87</v>
      </c>
      <c r="I3627" s="16" t="s">
        <v>87</v>
      </c>
      <c r="J3627" s="19"/>
      <c r="L3627" s="16" t="str">
        <f>IFERROR(__xludf.DUMMYFUNCTION("""COMPUTED_VALUE"""),"")</f>
        <v/>
      </c>
      <c r="M3627" s="16" t="str">
        <f>IFERROR(__xludf.DUMMYFUNCTION("""COMPUTED_VALUE"""),"")</f>
        <v/>
      </c>
      <c r="U3627" s="16" t="s">
        <v>87</v>
      </c>
      <c r="V3627" s="16" t="str">
        <f>IFERROR(__xludf.DUMMYFUNCTION("""COMPUTED_VALUE"""),"")</f>
        <v/>
      </c>
      <c r="W3627" s="16" t="str">
        <f>IFERROR(__xludf.DUMMYFUNCTION("""COMPUTED_VALUE"""),"")</f>
        <v/>
      </c>
      <c r="X3627" s="16" t="str">
        <f>IFERROR(__xludf.DUMMYFUNCTION("""COMPUTED_VALUE"""),"")</f>
        <v/>
      </c>
      <c r="AC3627" s="16" t="str">
        <f>IFERROR(__xludf.DUMMYFUNCTION("""COMPUTED_VALUE"""),"")</f>
        <v/>
      </c>
    </row>
    <row r="3628">
      <c r="A3628" s="16" t="s">
        <v>87</v>
      </c>
      <c r="E3628" s="16" t="str">
        <f>IFERROR(__xludf.DUMMYFUNCTION("""COMPUTED_VALUE"""),"")</f>
        <v/>
      </c>
      <c r="G3628" s="18"/>
      <c r="H3628" s="16" t="s">
        <v>87</v>
      </c>
      <c r="I3628" s="16" t="s">
        <v>87</v>
      </c>
      <c r="J3628" s="19"/>
      <c r="L3628" s="16" t="str">
        <f>IFERROR(__xludf.DUMMYFUNCTION("""COMPUTED_VALUE"""),"")</f>
        <v/>
      </c>
      <c r="M3628" s="16" t="str">
        <f>IFERROR(__xludf.DUMMYFUNCTION("""COMPUTED_VALUE"""),"")</f>
        <v/>
      </c>
      <c r="U3628" s="16" t="s">
        <v>87</v>
      </c>
      <c r="V3628" s="16" t="str">
        <f>IFERROR(__xludf.DUMMYFUNCTION("""COMPUTED_VALUE"""),"")</f>
        <v/>
      </c>
      <c r="W3628" s="16" t="str">
        <f>IFERROR(__xludf.DUMMYFUNCTION("""COMPUTED_VALUE"""),"")</f>
        <v/>
      </c>
      <c r="X3628" s="16" t="str">
        <f>IFERROR(__xludf.DUMMYFUNCTION("""COMPUTED_VALUE"""),"")</f>
        <v/>
      </c>
      <c r="AC3628" s="16" t="str">
        <f>IFERROR(__xludf.DUMMYFUNCTION("""COMPUTED_VALUE"""),"")</f>
        <v/>
      </c>
    </row>
    <row r="3629">
      <c r="A3629" s="16" t="s">
        <v>87</v>
      </c>
      <c r="E3629" s="16" t="str">
        <f>IFERROR(__xludf.DUMMYFUNCTION("""COMPUTED_VALUE"""),"")</f>
        <v/>
      </c>
      <c r="G3629" s="18"/>
      <c r="H3629" s="16" t="s">
        <v>87</v>
      </c>
      <c r="I3629" s="16" t="s">
        <v>87</v>
      </c>
      <c r="J3629" s="19"/>
      <c r="L3629" s="16" t="str">
        <f>IFERROR(__xludf.DUMMYFUNCTION("""COMPUTED_VALUE"""),"")</f>
        <v/>
      </c>
      <c r="M3629" s="16" t="str">
        <f>IFERROR(__xludf.DUMMYFUNCTION("""COMPUTED_VALUE"""),"")</f>
        <v/>
      </c>
      <c r="U3629" s="16" t="s">
        <v>87</v>
      </c>
      <c r="V3629" s="16" t="str">
        <f>IFERROR(__xludf.DUMMYFUNCTION("""COMPUTED_VALUE"""),"")</f>
        <v/>
      </c>
      <c r="W3629" s="16" t="str">
        <f>IFERROR(__xludf.DUMMYFUNCTION("""COMPUTED_VALUE"""),"")</f>
        <v/>
      </c>
      <c r="X3629" s="16" t="str">
        <f>IFERROR(__xludf.DUMMYFUNCTION("""COMPUTED_VALUE"""),"")</f>
        <v/>
      </c>
      <c r="AC3629" s="16" t="str">
        <f>IFERROR(__xludf.DUMMYFUNCTION("""COMPUTED_VALUE"""),"")</f>
        <v/>
      </c>
    </row>
    <row r="3630">
      <c r="A3630" s="16" t="s">
        <v>87</v>
      </c>
      <c r="E3630" s="16" t="str">
        <f>IFERROR(__xludf.DUMMYFUNCTION("""COMPUTED_VALUE"""),"")</f>
        <v/>
      </c>
      <c r="G3630" s="18"/>
      <c r="H3630" s="16" t="s">
        <v>87</v>
      </c>
      <c r="I3630" s="16" t="s">
        <v>87</v>
      </c>
      <c r="J3630" s="19"/>
      <c r="L3630" s="16" t="str">
        <f>IFERROR(__xludf.DUMMYFUNCTION("""COMPUTED_VALUE"""),"")</f>
        <v/>
      </c>
      <c r="M3630" s="16" t="str">
        <f>IFERROR(__xludf.DUMMYFUNCTION("""COMPUTED_VALUE"""),"")</f>
        <v/>
      </c>
      <c r="U3630" s="16" t="s">
        <v>87</v>
      </c>
      <c r="V3630" s="16" t="str">
        <f>IFERROR(__xludf.DUMMYFUNCTION("""COMPUTED_VALUE"""),"")</f>
        <v/>
      </c>
      <c r="W3630" s="16" t="str">
        <f>IFERROR(__xludf.DUMMYFUNCTION("""COMPUTED_VALUE"""),"")</f>
        <v/>
      </c>
      <c r="X3630" s="16" t="str">
        <f>IFERROR(__xludf.DUMMYFUNCTION("""COMPUTED_VALUE"""),"")</f>
        <v/>
      </c>
      <c r="AC3630" s="16" t="str">
        <f>IFERROR(__xludf.DUMMYFUNCTION("""COMPUTED_VALUE"""),"")</f>
        <v/>
      </c>
    </row>
    <row r="3631">
      <c r="A3631" s="16" t="s">
        <v>87</v>
      </c>
      <c r="E3631" s="16" t="str">
        <f>IFERROR(__xludf.DUMMYFUNCTION("""COMPUTED_VALUE"""),"")</f>
        <v/>
      </c>
      <c r="G3631" s="18"/>
      <c r="H3631" s="16" t="s">
        <v>87</v>
      </c>
      <c r="I3631" s="16" t="s">
        <v>87</v>
      </c>
      <c r="J3631" s="19"/>
      <c r="L3631" s="16" t="str">
        <f>IFERROR(__xludf.DUMMYFUNCTION("""COMPUTED_VALUE"""),"")</f>
        <v/>
      </c>
      <c r="M3631" s="16" t="str">
        <f>IFERROR(__xludf.DUMMYFUNCTION("""COMPUTED_VALUE"""),"")</f>
        <v/>
      </c>
      <c r="U3631" s="16" t="s">
        <v>87</v>
      </c>
      <c r="V3631" s="16" t="str">
        <f>IFERROR(__xludf.DUMMYFUNCTION("""COMPUTED_VALUE"""),"")</f>
        <v/>
      </c>
      <c r="W3631" s="16" t="str">
        <f>IFERROR(__xludf.DUMMYFUNCTION("""COMPUTED_VALUE"""),"")</f>
        <v/>
      </c>
      <c r="X3631" s="16" t="str">
        <f>IFERROR(__xludf.DUMMYFUNCTION("""COMPUTED_VALUE"""),"")</f>
        <v/>
      </c>
      <c r="AC3631" s="16" t="str">
        <f>IFERROR(__xludf.DUMMYFUNCTION("""COMPUTED_VALUE"""),"")</f>
        <v/>
      </c>
    </row>
    <row r="3632">
      <c r="A3632" s="16" t="s">
        <v>87</v>
      </c>
      <c r="E3632" s="16" t="str">
        <f>IFERROR(__xludf.DUMMYFUNCTION("""COMPUTED_VALUE"""),"")</f>
        <v/>
      </c>
      <c r="G3632" s="18"/>
      <c r="H3632" s="16" t="s">
        <v>87</v>
      </c>
      <c r="I3632" s="16" t="s">
        <v>87</v>
      </c>
      <c r="J3632" s="19"/>
      <c r="L3632" s="16" t="str">
        <f>IFERROR(__xludf.DUMMYFUNCTION("""COMPUTED_VALUE"""),"")</f>
        <v/>
      </c>
      <c r="M3632" s="16" t="str">
        <f>IFERROR(__xludf.DUMMYFUNCTION("""COMPUTED_VALUE"""),"")</f>
        <v/>
      </c>
      <c r="U3632" s="16" t="s">
        <v>87</v>
      </c>
      <c r="V3632" s="16" t="str">
        <f>IFERROR(__xludf.DUMMYFUNCTION("""COMPUTED_VALUE"""),"")</f>
        <v/>
      </c>
      <c r="W3632" s="16" t="str">
        <f>IFERROR(__xludf.DUMMYFUNCTION("""COMPUTED_VALUE"""),"")</f>
        <v/>
      </c>
      <c r="X3632" s="16" t="str">
        <f>IFERROR(__xludf.DUMMYFUNCTION("""COMPUTED_VALUE"""),"")</f>
        <v/>
      </c>
      <c r="AC3632" s="16" t="str">
        <f>IFERROR(__xludf.DUMMYFUNCTION("""COMPUTED_VALUE"""),"")</f>
        <v/>
      </c>
    </row>
    <row r="3633">
      <c r="A3633" s="16" t="s">
        <v>87</v>
      </c>
      <c r="E3633" s="16" t="str">
        <f>IFERROR(__xludf.DUMMYFUNCTION("""COMPUTED_VALUE"""),"")</f>
        <v/>
      </c>
      <c r="G3633" s="18"/>
      <c r="H3633" s="16" t="s">
        <v>87</v>
      </c>
      <c r="I3633" s="16" t="s">
        <v>87</v>
      </c>
      <c r="J3633" s="19"/>
      <c r="L3633" s="16" t="str">
        <f>IFERROR(__xludf.DUMMYFUNCTION("""COMPUTED_VALUE"""),"")</f>
        <v/>
      </c>
      <c r="M3633" s="16" t="str">
        <f>IFERROR(__xludf.DUMMYFUNCTION("""COMPUTED_VALUE"""),"")</f>
        <v/>
      </c>
      <c r="U3633" s="16" t="s">
        <v>87</v>
      </c>
      <c r="V3633" s="16" t="str">
        <f>IFERROR(__xludf.DUMMYFUNCTION("""COMPUTED_VALUE"""),"")</f>
        <v/>
      </c>
      <c r="W3633" s="16" t="str">
        <f>IFERROR(__xludf.DUMMYFUNCTION("""COMPUTED_VALUE"""),"")</f>
        <v/>
      </c>
      <c r="X3633" s="16" t="str">
        <f>IFERROR(__xludf.DUMMYFUNCTION("""COMPUTED_VALUE"""),"")</f>
        <v/>
      </c>
      <c r="AC3633" s="16" t="str">
        <f>IFERROR(__xludf.DUMMYFUNCTION("""COMPUTED_VALUE"""),"")</f>
        <v/>
      </c>
    </row>
    <row r="3634">
      <c r="A3634" s="16" t="s">
        <v>87</v>
      </c>
      <c r="E3634" s="16" t="str">
        <f>IFERROR(__xludf.DUMMYFUNCTION("""COMPUTED_VALUE"""),"")</f>
        <v/>
      </c>
      <c r="G3634" s="18"/>
      <c r="H3634" s="16" t="s">
        <v>87</v>
      </c>
      <c r="I3634" s="16" t="s">
        <v>87</v>
      </c>
      <c r="J3634" s="19"/>
      <c r="L3634" s="16" t="str">
        <f>IFERROR(__xludf.DUMMYFUNCTION("""COMPUTED_VALUE"""),"")</f>
        <v/>
      </c>
      <c r="M3634" s="16" t="str">
        <f>IFERROR(__xludf.DUMMYFUNCTION("""COMPUTED_VALUE"""),"")</f>
        <v/>
      </c>
      <c r="U3634" s="16" t="s">
        <v>87</v>
      </c>
      <c r="V3634" s="16" t="str">
        <f>IFERROR(__xludf.DUMMYFUNCTION("""COMPUTED_VALUE"""),"")</f>
        <v/>
      </c>
      <c r="W3634" s="16" t="str">
        <f>IFERROR(__xludf.DUMMYFUNCTION("""COMPUTED_VALUE"""),"")</f>
        <v/>
      </c>
      <c r="X3634" s="16" t="str">
        <f>IFERROR(__xludf.DUMMYFUNCTION("""COMPUTED_VALUE"""),"")</f>
        <v/>
      </c>
      <c r="AC3634" s="16" t="str">
        <f>IFERROR(__xludf.DUMMYFUNCTION("""COMPUTED_VALUE"""),"")</f>
        <v/>
      </c>
    </row>
    <row r="3635">
      <c r="A3635" s="16" t="s">
        <v>87</v>
      </c>
      <c r="E3635" s="16" t="str">
        <f>IFERROR(__xludf.DUMMYFUNCTION("""COMPUTED_VALUE"""),"")</f>
        <v/>
      </c>
      <c r="G3635" s="18"/>
      <c r="H3635" s="16" t="s">
        <v>87</v>
      </c>
      <c r="I3635" s="16" t="s">
        <v>87</v>
      </c>
      <c r="J3635" s="19"/>
      <c r="L3635" s="16" t="str">
        <f>IFERROR(__xludf.DUMMYFUNCTION("""COMPUTED_VALUE"""),"")</f>
        <v/>
      </c>
      <c r="M3635" s="16" t="str">
        <f>IFERROR(__xludf.DUMMYFUNCTION("""COMPUTED_VALUE"""),"")</f>
        <v/>
      </c>
      <c r="U3635" s="16" t="s">
        <v>87</v>
      </c>
      <c r="V3635" s="16" t="str">
        <f>IFERROR(__xludf.DUMMYFUNCTION("""COMPUTED_VALUE"""),"")</f>
        <v/>
      </c>
      <c r="W3635" s="16" t="str">
        <f>IFERROR(__xludf.DUMMYFUNCTION("""COMPUTED_VALUE"""),"")</f>
        <v/>
      </c>
      <c r="X3635" s="16" t="str">
        <f>IFERROR(__xludf.DUMMYFUNCTION("""COMPUTED_VALUE"""),"")</f>
        <v/>
      </c>
      <c r="AC3635" s="16" t="str">
        <f>IFERROR(__xludf.DUMMYFUNCTION("""COMPUTED_VALUE"""),"")</f>
        <v/>
      </c>
    </row>
    <row r="3636">
      <c r="A3636" s="16" t="s">
        <v>87</v>
      </c>
      <c r="E3636" s="16" t="str">
        <f>IFERROR(__xludf.DUMMYFUNCTION("""COMPUTED_VALUE"""),"")</f>
        <v/>
      </c>
      <c r="G3636" s="18"/>
      <c r="H3636" s="16" t="s">
        <v>87</v>
      </c>
      <c r="I3636" s="16" t="s">
        <v>87</v>
      </c>
      <c r="J3636" s="19"/>
      <c r="L3636" s="16" t="str">
        <f>IFERROR(__xludf.DUMMYFUNCTION("""COMPUTED_VALUE"""),"")</f>
        <v/>
      </c>
      <c r="M3636" s="16" t="str">
        <f>IFERROR(__xludf.DUMMYFUNCTION("""COMPUTED_VALUE"""),"")</f>
        <v/>
      </c>
      <c r="U3636" s="16" t="s">
        <v>87</v>
      </c>
      <c r="V3636" s="16" t="str">
        <f>IFERROR(__xludf.DUMMYFUNCTION("""COMPUTED_VALUE"""),"")</f>
        <v/>
      </c>
      <c r="W3636" s="16" t="str">
        <f>IFERROR(__xludf.DUMMYFUNCTION("""COMPUTED_VALUE"""),"")</f>
        <v/>
      </c>
      <c r="X3636" s="16" t="str">
        <f>IFERROR(__xludf.DUMMYFUNCTION("""COMPUTED_VALUE"""),"")</f>
        <v/>
      </c>
      <c r="AC3636" s="16" t="str">
        <f>IFERROR(__xludf.DUMMYFUNCTION("""COMPUTED_VALUE"""),"")</f>
        <v/>
      </c>
    </row>
    <row r="3637">
      <c r="A3637" s="16" t="s">
        <v>87</v>
      </c>
      <c r="E3637" s="16" t="str">
        <f>IFERROR(__xludf.DUMMYFUNCTION("""COMPUTED_VALUE"""),"")</f>
        <v/>
      </c>
      <c r="G3637" s="18"/>
      <c r="H3637" s="16" t="s">
        <v>87</v>
      </c>
      <c r="I3637" s="16" t="s">
        <v>87</v>
      </c>
      <c r="J3637" s="19"/>
      <c r="L3637" s="16" t="str">
        <f>IFERROR(__xludf.DUMMYFUNCTION("""COMPUTED_VALUE"""),"")</f>
        <v/>
      </c>
      <c r="M3637" s="16" t="str">
        <f>IFERROR(__xludf.DUMMYFUNCTION("""COMPUTED_VALUE"""),"")</f>
        <v/>
      </c>
      <c r="U3637" s="16" t="s">
        <v>87</v>
      </c>
      <c r="V3637" s="16" t="str">
        <f>IFERROR(__xludf.DUMMYFUNCTION("""COMPUTED_VALUE"""),"")</f>
        <v/>
      </c>
      <c r="W3637" s="16" t="str">
        <f>IFERROR(__xludf.DUMMYFUNCTION("""COMPUTED_VALUE"""),"")</f>
        <v/>
      </c>
      <c r="X3637" s="16" t="str">
        <f>IFERROR(__xludf.DUMMYFUNCTION("""COMPUTED_VALUE"""),"")</f>
        <v/>
      </c>
      <c r="AC3637" s="16" t="str">
        <f>IFERROR(__xludf.DUMMYFUNCTION("""COMPUTED_VALUE"""),"")</f>
        <v/>
      </c>
    </row>
    <row r="3638">
      <c r="A3638" s="16" t="s">
        <v>87</v>
      </c>
      <c r="E3638" s="16" t="str">
        <f>IFERROR(__xludf.DUMMYFUNCTION("""COMPUTED_VALUE"""),"")</f>
        <v/>
      </c>
      <c r="G3638" s="18"/>
      <c r="H3638" s="16" t="s">
        <v>87</v>
      </c>
      <c r="I3638" s="16" t="s">
        <v>87</v>
      </c>
      <c r="J3638" s="19"/>
      <c r="L3638" s="16" t="str">
        <f>IFERROR(__xludf.DUMMYFUNCTION("""COMPUTED_VALUE"""),"")</f>
        <v/>
      </c>
      <c r="M3638" s="16" t="str">
        <f>IFERROR(__xludf.DUMMYFUNCTION("""COMPUTED_VALUE"""),"")</f>
        <v/>
      </c>
      <c r="U3638" s="16" t="s">
        <v>87</v>
      </c>
      <c r="V3638" s="16" t="str">
        <f>IFERROR(__xludf.DUMMYFUNCTION("""COMPUTED_VALUE"""),"")</f>
        <v/>
      </c>
      <c r="W3638" s="16" t="str">
        <f>IFERROR(__xludf.DUMMYFUNCTION("""COMPUTED_VALUE"""),"")</f>
        <v/>
      </c>
      <c r="X3638" s="16" t="str">
        <f>IFERROR(__xludf.DUMMYFUNCTION("""COMPUTED_VALUE"""),"")</f>
        <v/>
      </c>
      <c r="AC3638" s="16" t="str">
        <f>IFERROR(__xludf.DUMMYFUNCTION("""COMPUTED_VALUE"""),"")</f>
        <v/>
      </c>
    </row>
    <row r="3639">
      <c r="A3639" s="16" t="s">
        <v>87</v>
      </c>
      <c r="E3639" s="16" t="str">
        <f>IFERROR(__xludf.DUMMYFUNCTION("""COMPUTED_VALUE"""),"")</f>
        <v/>
      </c>
      <c r="G3639" s="18"/>
      <c r="H3639" s="16" t="s">
        <v>87</v>
      </c>
      <c r="I3639" s="16" t="s">
        <v>87</v>
      </c>
      <c r="J3639" s="19"/>
      <c r="L3639" s="16" t="str">
        <f>IFERROR(__xludf.DUMMYFUNCTION("""COMPUTED_VALUE"""),"")</f>
        <v/>
      </c>
      <c r="M3639" s="16" t="str">
        <f>IFERROR(__xludf.DUMMYFUNCTION("""COMPUTED_VALUE"""),"")</f>
        <v/>
      </c>
      <c r="U3639" s="16" t="s">
        <v>87</v>
      </c>
      <c r="V3639" s="16" t="str">
        <f>IFERROR(__xludf.DUMMYFUNCTION("""COMPUTED_VALUE"""),"")</f>
        <v/>
      </c>
      <c r="W3639" s="16" t="str">
        <f>IFERROR(__xludf.DUMMYFUNCTION("""COMPUTED_VALUE"""),"")</f>
        <v/>
      </c>
      <c r="X3639" s="16" t="str">
        <f>IFERROR(__xludf.DUMMYFUNCTION("""COMPUTED_VALUE"""),"")</f>
        <v/>
      </c>
      <c r="AC3639" s="16" t="str">
        <f>IFERROR(__xludf.DUMMYFUNCTION("""COMPUTED_VALUE"""),"")</f>
        <v/>
      </c>
    </row>
    <row r="3640">
      <c r="A3640" s="16" t="s">
        <v>87</v>
      </c>
      <c r="E3640" s="16" t="str">
        <f>IFERROR(__xludf.DUMMYFUNCTION("""COMPUTED_VALUE"""),"")</f>
        <v/>
      </c>
      <c r="G3640" s="18"/>
      <c r="H3640" s="16" t="s">
        <v>87</v>
      </c>
      <c r="I3640" s="16" t="s">
        <v>87</v>
      </c>
      <c r="J3640" s="19"/>
      <c r="L3640" s="16" t="str">
        <f>IFERROR(__xludf.DUMMYFUNCTION("""COMPUTED_VALUE"""),"")</f>
        <v/>
      </c>
      <c r="M3640" s="16" t="str">
        <f>IFERROR(__xludf.DUMMYFUNCTION("""COMPUTED_VALUE"""),"")</f>
        <v/>
      </c>
      <c r="U3640" s="16" t="s">
        <v>87</v>
      </c>
      <c r="V3640" s="16" t="str">
        <f>IFERROR(__xludf.DUMMYFUNCTION("""COMPUTED_VALUE"""),"")</f>
        <v/>
      </c>
      <c r="W3640" s="16" t="str">
        <f>IFERROR(__xludf.DUMMYFUNCTION("""COMPUTED_VALUE"""),"")</f>
        <v/>
      </c>
      <c r="X3640" s="16" t="str">
        <f>IFERROR(__xludf.DUMMYFUNCTION("""COMPUTED_VALUE"""),"")</f>
        <v/>
      </c>
      <c r="AC3640" s="16" t="str">
        <f>IFERROR(__xludf.DUMMYFUNCTION("""COMPUTED_VALUE"""),"")</f>
        <v/>
      </c>
    </row>
    <row r="3641">
      <c r="A3641" s="16" t="s">
        <v>87</v>
      </c>
      <c r="E3641" s="16" t="str">
        <f>IFERROR(__xludf.DUMMYFUNCTION("""COMPUTED_VALUE"""),"")</f>
        <v/>
      </c>
      <c r="G3641" s="18"/>
      <c r="H3641" s="16" t="s">
        <v>87</v>
      </c>
      <c r="I3641" s="16" t="s">
        <v>87</v>
      </c>
      <c r="J3641" s="19"/>
      <c r="L3641" s="16" t="str">
        <f>IFERROR(__xludf.DUMMYFUNCTION("""COMPUTED_VALUE"""),"")</f>
        <v/>
      </c>
      <c r="M3641" s="16" t="str">
        <f>IFERROR(__xludf.DUMMYFUNCTION("""COMPUTED_VALUE"""),"")</f>
        <v/>
      </c>
      <c r="U3641" s="16" t="s">
        <v>87</v>
      </c>
      <c r="V3641" s="16" t="str">
        <f>IFERROR(__xludf.DUMMYFUNCTION("""COMPUTED_VALUE"""),"")</f>
        <v/>
      </c>
      <c r="W3641" s="16" t="str">
        <f>IFERROR(__xludf.DUMMYFUNCTION("""COMPUTED_VALUE"""),"")</f>
        <v/>
      </c>
      <c r="X3641" s="16" t="str">
        <f>IFERROR(__xludf.DUMMYFUNCTION("""COMPUTED_VALUE"""),"")</f>
        <v/>
      </c>
      <c r="AC3641" s="16" t="str">
        <f>IFERROR(__xludf.DUMMYFUNCTION("""COMPUTED_VALUE"""),"")</f>
        <v/>
      </c>
    </row>
    <row r="3642">
      <c r="A3642" s="16" t="s">
        <v>87</v>
      </c>
      <c r="E3642" s="16" t="str">
        <f>IFERROR(__xludf.DUMMYFUNCTION("""COMPUTED_VALUE"""),"")</f>
        <v/>
      </c>
      <c r="G3642" s="18"/>
      <c r="H3642" s="16" t="s">
        <v>87</v>
      </c>
      <c r="I3642" s="16" t="s">
        <v>87</v>
      </c>
      <c r="J3642" s="19"/>
      <c r="L3642" s="16" t="str">
        <f>IFERROR(__xludf.DUMMYFUNCTION("""COMPUTED_VALUE"""),"")</f>
        <v/>
      </c>
      <c r="M3642" s="16" t="str">
        <f>IFERROR(__xludf.DUMMYFUNCTION("""COMPUTED_VALUE"""),"")</f>
        <v/>
      </c>
      <c r="U3642" s="16" t="s">
        <v>87</v>
      </c>
      <c r="V3642" s="16" t="str">
        <f>IFERROR(__xludf.DUMMYFUNCTION("""COMPUTED_VALUE"""),"")</f>
        <v/>
      </c>
      <c r="W3642" s="16" t="str">
        <f>IFERROR(__xludf.DUMMYFUNCTION("""COMPUTED_VALUE"""),"")</f>
        <v/>
      </c>
      <c r="X3642" s="16" t="str">
        <f>IFERROR(__xludf.DUMMYFUNCTION("""COMPUTED_VALUE"""),"")</f>
        <v/>
      </c>
      <c r="AC3642" s="16" t="str">
        <f>IFERROR(__xludf.DUMMYFUNCTION("""COMPUTED_VALUE"""),"")</f>
        <v/>
      </c>
    </row>
    <row r="3643">
      <c r="A3643" s="16" t="s">
        <v>87</v>
      </c>
      <c r="E3643" s="16" t="str">
        <f>IFERROR(__xludf.DUMMYFUNCTION("""COMPUTED_VALUE"""),"")</f>
        <v/>
      </c>
      <c r="G3643" s="18"/>
      <c r="H3643" s="16" t="s">
        <v>87</v>
      </c>
      <c r="I3643" s="16" t="s">
        <v>87</v>
      </c>
      <c r="J3643" s="19"/>
      <c r="L3643" s="16" t="str">
        <f>IFERROR(__xludf.DUMMYFUNCTION("""COMPUTED_VALUE"""),"")</f>
        <v/>
      </c>
      <c r="M3643" s="16" t="str">
        <f>IFERROR(__xludf.DUMMYFUNCTION("""COMPUTED_VALUE"""),"")</f>
        <v/>
      </c>
      <c r="U3643" s="16" t="s">
        <v>87</v>
      </c>
      <c r="V3643" s="16" t="str">
        <f>IFERROR(__xludf.DUMMYFUNCTION("""COMPUTED_VALUE"""),"")</f>
        <v/>
      </c>
      <c r="W3643" s="16" t="str">
        <f>IFERROR(__xludf.DUMMYFUNCTION("""COMPUTED_VALUE"""),"")</f>
        <v/>
      </c>
      <c r="X3643" s="16" t="str">
        <f>IFERROR(__xludf.DUMMYFUNCTION("""COMPUTED_VALUE"""),"")</f>
        <v/>
      </c>
      <c r="AC3643" s="16" t="str">
        <f>IFERROR(__xludf.DUMMYFUNCTION("""COMPUTED_VALUE"""),"")</f>
        <v/>
      </c>
    </row>
    <row r="3644">
      <c r="A3644" s="16" t="s">
        <v>87</v>
      </c>
      <c r="E3644" s="16" t="str">
        <f>IFERROR(__xludf.DUMMYFUNCTION("""COMPUTED_VALUE"""),"")</f>
        <v/>
      </c>
      <c r="G3644" s="18"/>
      <c r="H3644" s="16" t="s">
        <v>87</v>
      </c>
      <c r="I3644" s="16" t="s">
        <v>87</v>
      </c>
      <c r="J3644" s="19"/>
      <c r="L3644" s="16" t="str">
        <f>IFERROR(__xludf.DUMMYFUNCTION("""COMPUTED_VALUE"""),"")</f>
        <v/>
      </c>
      <c r="M3644" s="16" t="str">
        <f>IFERROR(__xludf.DUMMYFUNCTION("""COMPUTED_VALUE"""),"")</f>
        <v/>
      </c>
      <c r="U3644" s="16" t="s">
        <v>87</v>
      </c>
      <c r="V3644" s="16" t="str">
        <f>IFERROR(__xludf.DUMMYFUNCTION("""COMPUTED_VALUE"""),"")</f>
        <v/>
      </c>
      <c r="W3644" s="16" t="str">
        <f>IFERROR(__xludf.DUMMYFUNCTION("""COMPUTED_VALUE"""),"")</f>
        <v/>
      </c>
      <c r="X3644" s="16" t="str">
        <f>IFERROR(__xludf.DUMMYFUNCTION("""COMPUTED_VALUE"""),"")</f>
        <v/>
      </c>
      <c r="AC3644" s="16" t="str">
        <f>IFERROR(__xludf.DUMMYFUNCTION("""COMPUTED_VALUE"""),"")</f>
        <v/>
      </c>
    </row>
    <row r="3645">
      <c r="A3645" s="16" t="s">
        <v>87</v>
      </c>
      <c r="E3645" s="16" t="str">
        <f>IFERROR(__xludf.DUMMYFUNCTION("""COMPUTED_VALUE"""),"")</f>
        <v/>
      </c>
      <c r="G3645" s="18"/>
      <c r="H3645" s="16" t="s">
        <v>87</v>
      </c>
      <c r="I3645" s="16" t="s">
        <v>87</v>
      </c>
      <c r="J3645" s="19"/>
      <c r="L3645" s="16" t="str">
        <f>IFERROR(__xludf.DUMMYFUNCTION("""COMPUTED_VALUE"""),"")</f>
        <v/>
      </c>
      <c r="M3645" s="16" t="str">
        <f>IFERROR(__xludf.DUMMYFUNCTION("""COMPUTED_VALUE"""),"")</f>
        <v/>
      </c>
      <c r="U3645" s="16" t="s">
        <v>87</v>
      </c>
      <c r="V3645" s="16" t="str">
        <f>IFERROR(__xludf.DUMMYFUNCTION("""COMPUTED_VALUE"""),"")</f>
        <v/>
      </c>
      <c r="W3645" s="16" t="str">
        <f>IFERROR(__xludf.DUMMYFUNCTION("""COMPUTED_VALUE"""),"")</f>
        <v/>
      </c>
      <c r="X3645" s="16" t="str">
        <f>IFERROR(__xludf.DUMMYFUNCTION("""COMPUTED_VALUE"""),"")</f>
        <v/>
      </c>
      <c r="AC3645" s="16" t="str">
        <f>IFERROR(__xludf.DUMMYFUNCTION("""COMPUTED_VALUE"""),"")</f>
        <v/>
      </c>
    </row>
    <row r="3646">
      <c r="A3646" s="16" t="s">
        <v>87</v>
      </c>
      <c r="E3646" s="16" t="str">
        <f>IFERROR(__xludf.DUMMYFUNCTION("""COMPUTED_VALUE"""),"")</f>
        <v/>
      </c>
      <c r="G3646" s="18"/>
      <c r="H3646" s="16" t="s">
        <v>87</v>
      </c>
      <c r="I3646" s="16" t="s">
        <v>87</v>
      </c>
      <c r="J3646" s="19"/>
      <c r="L3646" s="16" t="str">
        <f>IFERROR(__xludf.DUMMYFUNCTION("""COMPUTED_VALUE"""),"")</f>
        <v/>
      </c>
      <c r="M3646" s="16" t="str">
        <f>IFERROR(__xludf.DUMMYFUNCTION("""COMPUTED_VALUE"""),"")</f>
        <v/>
      </c>
      <c r="U3646" s="16" t="s">
        <v>87</v>
      </c>
      <c r="V3646" s="16" t="str">
        <f>IFERROR(__xludf.DUMMYFUNCTION("""COMPUTED_VALUE"""),"")</f>
        <v/>
      </c>
      <c r="W3646" s="16" t="str">
        <f>IFERROR(__xludf.DUMMYFUNCTION("""COMPUTED_VALUE"""),"")</f>
        <v/>
      </c>
      <c r="X3646" s="16" t="str">
        <f>IFERROR(__xludf.DUMMYFUNCTION("""COMPUTED_VALUE"""),"")</f>
        <v/>
      </c>
      <c r="AC3646" s="16" t="str">
        <f>IFERROR(__xludf.DUMMYFUNCTION("""COMPUTED_VALUE"""),"")</f>
        <v/>
      </c>
    </row>
    <row r="3647">
      <c r="A3647" s="16" t="s">
        <v>87</v>
      </c>
      <c r="E3647" s="16" t="str">
        <f>IFERROR(__xludf.DUMMYFUNCTION("""COMPUTED_VALUE"""),"")</f>
        <v/>
      </c>
      <c r="G3647" s="18"/>
      <c r="H3647" s="16" t="s">
        <v>87</v>
      </c>
      <c r="I3647" s="16" t="s">
        <v>87</v>
      </c>
      <c r="J3647" s="19"/>
      <c r="L3647" s="16" t="str">
        <f>IFERROR(__xludf.DUMMYFUNCTION("""COMPUTED_VALUE"""),"")</f>
        <v/>
      </c>
      <c r="M3647" s="16" t="str">
        <f>IFERROR(__xludf.DUMMYFUNCTION("""COMPUTED_VALUE"""),"")</f>
        <v/>
      </c>
      <c r="U3647" s="16" t="s">
        <v>87</v>
      </c>
      <c r="V3647" s="16" t="str">
        <f>IFERROR(__xludf.DUMMYFUNCTION("""COMPUTED_VALUE"""),"")</f>
        <v/>
      </c>
      <c r="W3647" s="16" t="str">
        <f>IFERROR(__xludf.DUMMYFUNCTION("""COMPUTED_VALUE"""),"")</f>
        <v/>
      </c>
      <c r="X3647" s="16" t="str">
        <f>IFERROR(__xludf.DUMMYFUNCTION("""COMPUTED_VALUE"""),"")</f>
        <v/>
      </c>
      <c r="AC3647" s="16" t="str">
        <f>IFERROR(__xludf.DUMMYFUNCTION("""COMPUTED_VALUE"""),"")</f>
        <v/>
      </c>
    </row>
    <row r="3648">
      <c r="A3648" s="16" t="s">
        <v>87</v>
      </c>
      <c r="E3648" s="16" t="str">
        <f>IFERROR(__xludf.DUMMYFUNCTION("""COMPUTED_VALUE"""),"")</f>
        <v/>
      </c>
      <c r="G3648" s="18"/>
      <c r="H3648" s="16" t="s">
        <v>87</v>
      </c>
      <c r="I3648" s="16" t="s">
        <v>87</v>
      </c>
      <c r="J3648" s="19"/>
      <c r="L3648" s="16" t="str">
        <f>IFERROR(__xludf.DUMMYFUNCTION("""COMPUTED_VALUE"""),"")</f>
        <v/>
      </c>
      <c r="M3648" s="16" t="str">
        <f>IFERROR(__xludf.DUMMYFUNCTION("""COMPUTED_VALUE"""),"")</f>
        <v/>
      </c>
      <c r="U3648" s="16" t="s">
        <v>87</v>
      </c>
      <c r="V3648" s="16" t="str">
        <f>IFERROR(__xludf.DUMMYFUNCTION("""COMPUTED_VALUE"""),"")</f>
        <v/>
      </c>
      <c r="W3648" s="16" t="str">
        <f>IFERROR(__xludf.DUMMYFUNCTION("""COMPUTED_VALUE"""),"")</f>
        <v/>
      </c>
      <c r="X3648" s="16" t="str">
        <f>IFERROR(__xludf.DUMMYFUNCTION("""COMPUTED_VALUE"""),"")</f>
        <v/>
      </c>
      <c r="AC3648" s="16" t="str">
        <f>IFERROR(__xludf.DUMMYFUNCTION("""COMPUTED_VALUE"""),"")</f>
        <v/>
      </c>
    </row>
    <row r="3649">
      <c r="A3649" s="16" t="s">
        <v>87</v>
      </c>
      <c r="E3649" s="16" t="str">
        <f>IFERROR(__xludf.DUMMYFUNCTION("""COMPUTED_VALUE"""),"")</f>
        <v/>
      </c>
      <c r="G3649" s="18"/>
      <c r="H3649" s="16" t="s">
        <v>87</v>
      </c>
      <c r="I3649" s="16" t="s">
        <v>87</v>
      </c>
      <c r="J3649" s="19"/>
      <c r="L3649" s="16" t="str">
        <f>IFERROR(__xludf.DUMMYFUNCTION("""COMPUTED_VALUE"""),"")</f>
        <v/>
      </c>
      <c r="M3649" s="16" t="str">
        <f>IFERROR(__xludf.DUMMYFUNCTION("""COMPUTED_VALUE"""),"")</f>
        <v/>
      </c>
      <c r="U3649" s="16" t="s">
        <v>87</v>
      </c>
      <c r="V3649" s="16" t="str">
        <f>IFERROR(__xludf.DUMMYFUNCTION("""COMPUTED_VALUE"""),"")</f>
        <v/>
      </c>
      <c r="W3649" s="16" t="str">
        <f>IFERROR(__xludf.DUMMYFUNCTION("""COMPUTED_VALUE"""),"")</f>
        <v/>
      </c>
      <c r="X3649" s="16" t="str">
        <f>IFERROR(__xludf.DUMMYFUNCTION("""COMPUTED_VALUE"""),"")</f>
        <v/>
      </c>
      <c r="AC3649" s="16" t="str">
        <f>IFERROR(__xludf.DUMMYFUNCTION("""COMPUTED_VALUE"""),"")</f>
        <v/>
      </c>
    </row>
    <row r="3650">
      <c r="A3650" s="16" t="s">
        <v>87</v>
      </c>
      <c r="E3650" s="16" t="str">
        <f>IFERROR(__xludf.DUMMYFUNCTION("""COMPUTED_VALUE"""),"")</f>
        <v/>
      </c>
      <c r="G3650" s="18"/>
      <c r="H3650" s="16" t="s">
        <v>87</v>
      </c>
      <c r="I3650" s="16" t="s">
        <v>87</v>
      </c>
      <c r="J3650" s="19"/>
      <c r="L3650" s="16" t="str">
        <f>IFERROR(__xludf.DUMMYFUNCTION("""COMPUTED_VALUE"""),"")</f>
        <v/>
      </c>
      <c r="M3650" s="16" t="str">
        <f>IFERROR(__xludf.DUMMYFUNCTION("""COMPUTED_VALUE"""),"")</f>
        <v/>
      </c>
      <c r="U3650" s="16" t="s">
        <v>87</v>
      </c>
      <c r="V3650" s="16" t="str">
        <f>IFERROR(__xludf.DUMMYFUNCTION("""COMPUTED_VALUE"""),"")</f>
        <v/>
      </c>
      <c r="W3650" s="16" t="str">
        <f>IFERROR(__xludf.DUMMYFUNCTION("""COMPUTED_VALUE"""),"")</f>
        <v/>
      </c>
      <c r="X3650" s="16" t="str">
        <f>IFERROR(__xludf.DUMMYFUNCTION("""COMPUTED_VALUE"""),"")</f>
        <v/>
      </c>
      <c r="AC3650" s="16" t="str">
        <f>IFERROR(__xludf.DUMMYFUNCTION("""COMPUTED_VALUE"""),"")</f>
        <v/>
      </c>
    </row>
    <row r="3651">
      <c r="A3651" s="16" t="s">
        <v>87</v>
      </c>
      <c r="E3651" s="16" t="str">
        <f>IFERROR(__xludf.DUMMYFUNCTION("""COMPUTED_VALUE"""),"")</f>
        <v/>
      </c>
      <c r="G3651" s="18"/>
      <c r="H3651" s="16" t="s">
        <v>87</v>
      </c>
      <c r="I3651" s="16" t="s">
        <v>87</v>
      </c>
      <c r="J3651" s="19"/>
      <c r="L3651" s="16" t="str">
        <f>IFERROR(__xludf.DUMMYFUNCTION("""COMPUTED_VALUE"""),"")</f>
        <v/>
      </c>
      <c r="M3651" s="16" t="str">
        <f>IFERROR(__xludf.DUMMYFUNCTION("""COMPUTED_VALUE"""),"")</f>
        <v/>
      </c>
      <c r="U3651" s="16" t="s">
        <v>87</v>
      </c>
      <c r="V3651" s="16" t="str">
        <f>IFERROR(__xludf.DUMMYFUNCTION("""COMPUTED_VALUE"""),"")</f>
        <v/>
      </c>
      <c r="W3651" s="16" t="str">
        <f>IFERROR(__xludf.DUMMYFUNCTION("""COMPUTED_VALUE"""),"")</f>
        <v/>
      </c>
      <c r="X3651" s="16" t="str">
        <f>IFERROR(__xludf.DUMMYFUNCTION("""COMPUTED_VALUE"""),"")</f>
        <v/>
      </c>
      <c r="AC3651" s="16" t="str">
        <f>IFERROR(__xludf.DUMMYFUNCTION("""COMPUTED_VALUE"""),"")</f>
        <v/>
      </c>
    </row>
    <row r="3652">
      <c r="A3652" s="16" t="s">
        <v>87</v>
      </c>
      <c r="E3652" s="16" t="str">
        <f>IFERROR(__xludf.DUMMYFUNCTION("""COMPUTED_VALUE"""),"")</f>
        <v/>
      </c>
      <c r="G3652" s="18"/>
      <c r="H3652" s="16" t="s">
        <v>87</v>
      </c>
      <c r="I3652" s="16" t="s">
        <v>87</v>
      </c>
      <c r="J3652" s="19"/>
      <c r="L3652" s="16" t="str">
        <f>IFERROR(__xludf.DUMMYFUNCTION("""COMPUTED_VALUE"""),"")</f>
        <v/>
      </c>
      <c r="M3652" s="16" t="str">
        <f>IFERROR(__xludf.DUMMYFUNCTION("""COMPUTED_VALUE"""),"")</f>
        <v/>
      </c>
      <c r="U3652" s="16" t="s">
        <v>87</v>
      </c>
      <c r="V3652" s="16" t="str">
        <f>IFERROR(__xludf.DUMMYFUNCTION("""COMPUTED_VALUE"""),"")</f>
        <v/>
      </c>
      <c r="W3652" s="16" t="str">
        <f>IFERROR(__xludf.DUMMYFUNCTION("""COMPUTED_VALUE"""),"")</f>
        <v/>
      </c>
      <c r="X3652" s="16" t="str">
        <f>IFERROR(__xludf.DUMMYFUNCTION("""COMPUTED_VALUE"""),"")</f>
        <v/>
      </c>
      <c r="AC3652" s="16" t="str">
        <f>IFERROR(__xludf.DUMMYFUNCTION("""COMPUTED_VALUE"""),"")</f>
        <v/>
      </c>
    </row>
    <row r="3653">
      <c r="A3653" s="16" t="s">
        <v>87</v>
      </c>
      <c r="E3653" s="16" t="str">
        <f>IFERROR(__xludf.DUMMYFUNCTION("""COMPUTED_VALUE"""),"")</f>
        <v/>
      </c>
      <c r="G3653" s="18"/>
      <c r="H3653" s="16" t="s">
        <v>87</v>
      </c>
      <c r="I3653" s="16" t="s">
        <v>87</v>
      </c>
      <c r="J3653" s="19"/>
      <c r="L3653" s="16" t="str">
        <f>IFERROR(__xludf.DUMMYFUNCTION("""COMPUTED_VALUE"""),"")</f>
        <v/>
      </c>
      <c r="M3653" s="16" t="str">
        <f>IFERROR(__xludf.DUMMYFUNCTION("""COMPUTED_VALUE"""),"")</f>
        <v/>
      </c>
      <c r="U3653" s="16" t="s">
        <v>87</v>
      </c>
      <c r="V3653" s="16" t="str">
        <f>IFERROR(__xludf.DUMMYFUNCTION("""COMPUTED_VALUE"""),"")</f>
        <v/>
      </c>
      <c r="W3653" s="16" t="str">
        <f>IFERROR(__xludf.DUMMYFUNCTION("""COMPUTED_VALUE"""),"")</f>
        <v/>
      </c>
      <c r="X3653" s="16" t="str">
        <f>IFERROR(__xludf.DUMMYFUNCTION("""COMPUTED_VALUE"""),"")</f>
        <v/>
      </c>
      <c r="AC3653" s="16" t="str">
        <f>IFERROR(__xludf.DUMMYFUNCTION("""COMPUTED_VALUE"""),"")</f>
        <v/>
      </c>
    </row>
    <row r="3654">
      <c r="A3654" s="16" t="s">
        <v>87</v>
      </c>
      <c r="E3654" s="16" t="str">
        <f>IFERROR(__xludf.DUMMYFUNCTION("""COMPUTED_VALUE"""),"")</f>
        <v/>
      </c>
      <c r="G3654" s="18"/>
      <c r="H3654" s="16" t="s">
        <v>87</v>
      </c>
      <c r="I3654" s="16" t="s">
        <v>87</v>
      </c>
      <c r="J3654" s="19"/>
      <c r="L3654" s="16" t="str">
        <f>IFERROR(__xludf.DUMMYFUNCTION("""COMPUTED_VALUE"""),"")</f>
        <v/>
      </c>
      <c r="M3654" s="16" t="str">
        <f>IFERROR(__xludf.DUMMYFUNCTION("""COMPUTED_VALUE"""),"")</f>
        <v/>
      </c>
      <c r="U3654" s="16" t="s">
        <v>87</v>
      </c>
      <c r="V3654" s="16" t="str">
        <f>IFERROR(__xludf.DUMMYFUNCTION("""COMPUTED_VALUE"""),"")</f>
        <v/>
      </c>
      <c r="W3654" s="16" t="str">
        <f>IFERROR(__xludf.DUMMYFUNCTION("""COMPUTED_VALUE"""),"")</f>
        <v/>
      </c>
      <c r="X3654" s="16" t="str">
        <f>IFERROR(__xludf.DUMMYFUNCTION("""COMPUTED_VALUE"""),"")</f>
        <v/>
      </c>
      <c r="AC3654" s="16" t="str">
        <f>IFERROR(__xludf.DUMMYFUNCTION("""COMPUTED_VALUE"""),"")</f>
        <v/>
      </c>
    </row>
    <row r="3655">
      <c r="A3655" s="16" t="s">
        <v>87</v>
      </c>
      <c r="E3655" s="16" t="str">
        <f>IFERROR(__xludf.DUMMYFUNCTION("""COMPUTED_VALUE"""),"")</f>
        <v/>
      </c>
      <c r="G3655" s="18"/>
      <c r="H3655" s="16" t="s">
        <v>87</v>
      </c>
      <c r="I3655" s="16" t="s">
        <v>87</v>
      </c>
      <c r="J3655" s="19"/>
      <c r="L3655" s="16" t="str">
        <f>IFERROR(__xludf.DUMMYFUNCTION("""COMPUTED_VALUE"""),"")</f>
        <v/>
      </c>
      <c r="M3655" s="16" t="str">
        <f>IFERROR(__xludf.DUMMYFUNCTION("""COMPUTED_VALUE"""),"")</f>
        <v/>
      </c>
      <c r="U3655" s="16" t="s">
        <v>87</v>
      </c>
      <c r="V3655" s="16" t="str">
        <f>IFERROR(__xludf.DUMMYFUNCTION("""COMPUTED_VALUE"""),"")</f>
        <v/>
      </c>
      <c r="W3655" s="16" t="str">
        <f>IFERROR(__xludf.DUMMYFUNCTION("""COMPUTED_VALUE"""),"")</f>
        <v/>
      </c>
      <c r="X3655" s="16" t="str">
        <f>IFERROR(__xludf.DUMMYFUNCTION("""COMPUTED_VALUE"""),"")</f>
        <v/>
      </c>
      <c r="AC3655" s="16" t="str">
        <f>IFERROR(__xludf.DUMMYFUNCTION("""COMPUTED_VALUE"""),"")</f>
        <v/>
      </c>
    </row>
    <row r="3656">
      <c r="A3656" s="16" t="s">
        <v>87</v>
      </c>
      <c r="E3656" s="16" t="str">
        <f>IFERROR(__xludf.DUMMYFUNCTION("""COMPUTED_VALUE"""),"")</f>
        <v/>
      </c>
      <c r="G3656" s="18"/>
      <c r="H3656" s="16" t="s">
        <v>87</v>
      </c>
      <c r="I3656" s="16" t="s">
        <v>87</v>
      </c>
      <c r="J3656" s="19"/>
      <c r="L3656" s="16" t="str">
        <f>IFERROR(__xludf.DUMMYFUNCTION("""COMPUTED_VALUE"""),"")</f>
        <v/>
      </c>
      <c r="M3656" s="16" t="str">
        <f>IFERROR(__xludf.DUMMYFUNCTION("""COMPUTED_VALUE"""),"")</f>
        <v/>
      </c>
      <c r="U3656" s="16" t="s">
        <v>87</v>
      </c>
      <c r="V3656" s="16" t="str">
        <f>IFERROR(__xludf.DUMMYFUNCTION("""COMPUTED_VALUE"""),"")</f>
        <v/>
      </c>
      <c r="W3656" s="16" t="str">
        <f>IFERROR(__xludf.DUMMYFUNCTION("""COMPUTED_VALUE"""),"")</f>
        <v/>
      </c>
      <c r="X3656" s="16" t="str">
        <f>IFERROR(__xludf.DUMMYFUNCTION("""COMPUTED_VALUE"""),"")</f>
        <v/>
      </c>
      <c r="AC3656" s="16" t="str">
        <f>IFERROR(__xludf.DUMMYFUNCTION("""COMPUTED_VALUE"""),"")</f>
        <v/>
      </c>
    </row>
    <row r="3657">
      <c r="A3657" s="16" t="s">
        <v>87</v>
      </c>
      <c r="E3657" s="16" t="str">
        <f>IFERROR(__xludf.DUMMYFUNCTION("""COMPUTED_VALUE"""),"")</f>
        <v/>
      </c>
      <c r="G3657" s="18"/>
      <c r="H3657" s="16" t="s">
        <v>87</v>
      </c>
      <c r="I3657" s="16" t="s">
        <v>87</v>
      </c>
      <c r="J3657" s="19"/>
      <c r="L3657" s="16" t="str">
        <f>IFERROR(__xludf.DUMMYFUNCTION("""COMPUTED_VALUE"""),"")</f>
        <v/>
      </c>
      <c r="M3657" s="16" t="str">
        <f>IFERROR(__xludf.DUMMYFUNCTION("""COMPUTED_VALUE"""),"")</f>
        <v/>
      </c>
      <c r="U3657" s="16" t="s">
        <v>87</v>
      </c>
      <c r="V3657" s="16" t="str">
        <f>IFERROR(__xludf.DUMMYFUNCTION("""COMPUTED_VALUE"""),"")</f>
        <v/>
      </c>
      <c r="W3657" s="16" t="str">
        <f>IFERROR(__xludf.DUMMYFUNCTION("""COMPUTED_VALUE"""),"")</f>
        <v/>
      </c>
      <c r="X3657" s="16" t="str">
        <f>IFERROR(__xludf.DUMMYFUNCTION("""COMPUTED_VALUE"""),"")</f>
        <v/>
      </c>
      <c r="AC3657" s="16" t="str">
        <f>IFERROR(__xludf.DUMMYFUNCTION("""COMPUTED_VALUE"""),"")</f>
        <v/>
      </c>
    </row>
    <row r="3658">
      <c r="A3658" s="16" t="s">
        <v>87</v>
      </c>
      <c r="E3658" s="16" t="str">
        <f>IFERROR(__xludf.DUMMYFUNCTION("""COMPUTED_VALUE"""),"")</f>
        <v/>
      </c>
      <c r="G3658" s="18"/>
      <c r="H3658" s="16" t="s">
        <v>87</v>
      </c>
      <c r="I3658" s="16" t="s">
        <v>87</v>
      </c>
      <c r="J3658" s="19"/>
      <c r="L3658" s="16" t="str">
        <f>IFERROR(__xludf.DUMMYFUNCTION("""COMPUTED_VALUE"""),"")</f>
        <v/>
      </c>
      <c r="M3658" s="16" t="str">
        <f>IFERROR(__xludf.DUMMYFUNCTION("""COMPUTED_VALUE"""),"")</f>
        <v/>
      </c>
      <c r="U3658" s="16" t="s">
        <v>87</v>
      </c>
      <c r="V3658" s="16" t="str">
        <f>IFERROR(__xludf.DUMMYFUNCTION("""COMPUTED_VALUE"""),"")</f>
        <v/>
      </c>
      <c r="W3658" s="16" t="str">
        <f>IFERROR(__xludf.DUMMYFUNCTION("""COMPUTED_VALUE"""),"")</f>
        <v/>
      </c>
      <c r="X3658" s="16" t="str">
        <f>IFERROR(__xludf.DUMMYFUNCTION("""COMPUTED_VALUE"""),"")</f>
        <v/>
      </c>
      <c r="AC3658" s="16" t="str">
        <f>IFERROR(__xludf.DUMMYFUNCTION("""COMPUTED_VALUE"""),"")</f>
        <v/>
      </c>
    </row>
    <row r="3659">
      <c r="A3659" s="16" t="s">
        <v>87</v>
      </c>
      <c r="E3659" s="16" t="str">
        <f>IFERROR(__xludf.DUMMYFUNCTION("""COMPUTED_VALUE"""),"")</f>
        <v/>
      </c>
      <c r="G3659" s="18"/>
      <c r="H3659" s="16" t="s">
        <v>87</v>
      </c>
      <c r="I3659" s="16" t="s">
        <v>87</v>
      </c>
      <c r="J3659" s="19"/>
      <c r="L3659" s="16" t="str">
        <f>IFERROR(__xludf.DUMMYFUNCTION("""COMPUTED_VALUE"""),"")</f>
        <v/>
      </c>
      <c r="M3659" s="16" t="str">
        <f>IFERROR(__xludf.DUMMYFUNCTION("""COMPUTED_VALUE"""),"")</f>
        <v/>
      </c>
      <c r="U3659" s="16" t="s">
        <v>87</v>
      </c>
      <c r="V3659" s="16" t="str">
        <f>IFERROR(__xludf.DUMMYFUNCTION("""COMPUTED_VALUE"""),"")</f>
        <v/>
      </c>
      <c r="W3659" s="16" t="str">
        <f>IFERROR(__xludf.DUMMYFUNCTION("""COMPUTED_VALUE"""),"")</f>
        <v/>
      </c>
      <c r="X3659" s="16" t="str">
        <f>IFERROR(__xludf.DUMMYFUNCTION("""COMPUTED_VALUE"""),"")</f>
        <v/>
      </c>
      <c r="AC3659" s="16" t="str">
        <f>IFERROR(__xludf.DUMMYFUNCTION("""COMPUTED_VALUE"""),"")</f>
        <v/>
      </c>
    </row>
    <row r="3660">
      <c r="A3660" s="16" t="s">
        <v>87</v>
      </c>
      <c r="E3660" s="16" t="str">
        <f>IFERROR(__xludf.DUMMYFUNCTION("""COMPUTED_VALUE"""),"")</f>
        <v/>
      </c>
      <c r="G3660" s="18"/>
      <c r="H3660" s="16" t="s">
        <v>87</v>
      </c>
      <c r="I3660" s="16" t="s">
        <v>87</v>
      </c>
      <c r="J3660" s="19"/>
      <c r="L3660" s="16" t="str">
        <f>IFERROR(__xludf.DUMMYFUNCTION("""COMPUTED_VALUE"""),"")</f>
        <v/>
      </c>
      <c r="M3660" s="16" t="str">
        <f>IFERROR(__xludf.DUMMYFUNCTION("""COMPUTED_VALUE"""),"")</f>
        <v/>
      </c>
      <c r="U3660" s="16" t="s">
        <v>87</v>
      </c>
      <c r="V3660" s="16" t="str">
        <f>IFERROR(__xludf.DUMMYFUNCTION("""COMPUTED_VALUE"""),"")</f>
        <v/>
      </c>
      <c r="W3660" s="16" t="str">
        <f>IFERROR(__xludf.DUMMYFUNCTION("""COMPUTED_VALUE"""),"")</f>
        <v/>
      </c>
      <c r="X3660" s="16" t="str">
        <f>IFERROR(__xludf.DUMMYFUNCTION("""COMPUTED_VALUE"""),"")</f>
        <v/>
      </c>
      <c r="AC3660" s="16" t="str">
        <f>IFERROR(__xludf.DUMMYFUNCTION("""COMPUTED_VALUE"""),"")</f>
        <v/>
      </c>
    </row>
    <row r="3661">
      <c r="A3661" s="16" t="s">
        <v>87</v>
      </c>
      <c r="E3661" s="16" t="str">
        <f>IFERROR(__xludf.DUMMYFUNCTION("""COMPUTED_VALUE"""),"")</f>
        <v/>
      </c>
      <c r="G3661" s="18"/>
      <c r="H3661" s="16" t="s">
        <v>87</v>
      </c>
      <c r="I3661" s="16" t="s">
        <v>87</v>
      </c>
      <c r="J3661" s="19"/>
      <c r="L3661" s="16" t="str">
        <f>IFERROR(__xludf.DUMMYFUNCTION("""COMPUTED_VALUE"""),"")</f>
        <v/>
      </c>
      <c r="M3661" s="16" t="str">
        <f>IFERROR(__xludf.DUMMYFUNCTION("""COMPUTED_VALUE"""),"")</f>
        <v/>
      </c>
      <c r="U3661" s="16" t="s">
        <v>87</v>
      </c>
      <c r="V3661" s="16" t="str">
        <f>IFERROR(__xludf.DUMMYFUNCTION("""COMPUTED_VALUE"""),"")</f>
        <v/>
      </c>
      <c r="W3661" s="16" t="str">
        <f>IFERROR(__xludf.DUMMYFUNCTION("""COMPUTED_VALUE"""),"")</f>
        <v/>
      </c>
      <c r="X3661" s="16" t="str">
        <f>IFERROR(__xludf.DUMMYFUNCTION("""COMPUTED_VALUE"""),"")</f>
        <v/>
      </c>
      <c r="AC3661" s="16" t="str">
        <f>IFERROR(__xludf.DUMMYFUNCTION("""COMPUTED_VALUE"""),"")</f>
        <v/>
      </c>
    </row>
    <row r="3662">
      <c r="A3662" s="16" t="s">
        <v>87</v>
      </c>
      <c r="E3662" s="16" t="str">
        <f>IFERROR(__xludf.DUMMYFUNCTION("""COMPUTED_VALUE"""),"")</f>
        <v/>
      </c>
      <c r="G3662" s="18"/>
      <c r="H3662" s="16" t="s">
        <v>87</v>
      </c>
      <c r="I3662" s="16" t="s">
        <v>87</v>
      </c>
      <c r="J3662" s="19"/>
      <c r="L3662" s="16" t="str">
        <f>IFERROR(__xludf.DUMMYFUNCTION("""COMPUTED_VALUE"""),"")</f>
        <v/>
      </c>
      <c r="M3662" s="16" t="str">
        <f>IFERROR(__xludf.DUMMYFUNCTION("""COMPUTED_VALUE"""),"")</f>
        <v/>
      </c>
      <c r="U3662" s="16" t="s">
        <v>87</v>
      </c>
      <c r="V3662" s="16" t="str">
        <f>IFERROR(__xludf.DUMMYFUNCTION("""COMPUTED_VALUE"""),"")</f>
        <v/>
      </c>
      <c r="W3662" s="16" t="str">
        <f>IFERROR(__xludf.DUMMYFUNCTION("""COMPUTED_VALUE"""),"")</f>
        <v/>
      </c>
      <c r="X3662" s="16" t="str">
        <f>IFERROR(__xludf.DUMMYFUNCTION("""COMPUTED_VALUE"""),"")</f>
        <v/>
      </c>
      <c r="AC3662" s="16" t="str">
        <f>IFERROR(__xludf.DUMMYFUNCTION("""COMPUTED_VALUE"""),"")</f>
        <v/>
      </c>
    </row>
    <row r="3663">
      <c r="A3663" s="16" t="s">
        <v>87</v>
      </c>
      <c r="E3663" s="16" t="str">
        <f>IFERROR(__xludf.DUMMYFUNCTION("""COMPUTED_VALUE"""),"")</f>
        <v/>
      </c>
      <c r="G3663" s="18"/>
      <c r="H3663" s="16" t="s">
        <v>87</v>
      </c>
      <c r="I3663" s="16" t="s">
        <v>87</v>
      </c>
      <c r="J3663" s="19"/>
      <c r="L3663" s="16" t="str">
        <f>IFERROR(__xludf.DUMMYFUNCTION("""COMPUTED_VALUE"""),"")</f>
        <v/>
      </c>
      <c r="M3663" s="16" t="str">
        <f>IFERROR(__xludf.DUMMYFUNCTION("""COMPUTED_VALUE"""),"")</f>
        <v/>
      </c>
      <c r="U3663" s="16" t="s">
        <v>87</v>
      </c>
      <c r="V3663" s="16" t="str">
        <f>IFERROR(__xludf.DUMMYFUNCTION("""COMPUTED_VALUE"""),"")</f>
        <v/>
      </c>
      <c r="W3663" s="16" t="str">
        <f>IFERROR(__xludf.DUMMYFUNCTION("""COMPUTED_VALUE"""),"")</f>
        <v/>
      </c>
      <c r="X3663" s="16" t="str">
        <f>IFERROR(__xludf.DUMMYFUNCTION("""COMPUTED_VALUE"""),"")</f>
        <v/>
      </c>
      <c r="AC3663" s="16" t="str">
        <f>IFERROR(__xludf.DUMMYFUNCTION("""COMPUTED_VALUE"""),"")</f>
        <v/>
      </c>
    </row>
    <row r="3664">
      <c r="A3664" s="16" t="s">
        <v>87</v>
      </c>
      <c r="E3664" s="16" t="str">
        <f>IFERROR(__xludf.DUMMYFUNCTION("""COMPUTED_VALUE"""),"")</f>
        <v/>
      </c>
      <c r="G3664" s="18"/>
      <c r="H3664" s="16" t="s">
        <v>87</v>
      </c>
      <c r="I3664" s="16" t="s">
        <v>87</v>
      </c>
      <c r="J3664" s="19"/>
      <c r="L3664" s="16" t="str">
        <f>IFERROR(__xludf.DUMMYFUNCTION("""COMPUTED_VALUE"""),"")</f>
        <v/>
      </c>
      <c r="M3664" s="16" t="str">
        <f>IFERROR(__xludf.DUMMYFUNCTION("""COMPUTED_VALUE"""),"")</f>
        <v/>
      </c>
      <c r="U3664" s="16" t="s">
        <v>87</v>
      </c>
      <c r="V3664" s="16" t="str">
        <f>IFERROR(__xludf.DUMMYFUNCTION("""COMPUTED_VALUE"""),"")</f>
        <v/>
      </c>
      <c r="W3664" s="16" t="str">
        <f>IFERROR(__xludf.DUMMYFUNCTION("""COMPUTED_VALUE"""),"")</f>
        <v/>
      </c>
      <c r="X3664" s="16" t="str">
        <f>IFERROR(__xludf.DUMMYFUNCTION("""COMPUTED_VALUE"""),"")</f>
        <v/>
      </c>
      <c r="AC3664" s="16" t="str">
        <f>IFERROR(__xludf.DUMMYFUNCTION("""COMPUTED_VALUE"""),"")</f>
        <v/>
      </c>
    </row>
    <row r="3665">
      <c r="A3665" s="16" t="s">
        <v>87</v>
      </c>
      <c r="E3665" s="16" t="str">
        <f>IFERROR(__xludf.DUMMYFUNCTION("""COMPUTED_VALUE"""),"")</f>
        <v/>
      </c>
      <c r="G3665" s="18"/>
      <c r="H3665" s="16" t="s">
        <v>87</v>
      </c>
      <c r="I3665" s="16" t="s">
        <v>87</v>
      </c>
      <c r="J3665" s="19"/>
      <c r="L3665" s="16" t="str">
        <f>IFERROR(__xludf.DUMMYFUNCTION("""COMPUTED_VALUE"""),"")</f>
        <v/>
      </c>
      <c r="M3665" s="16" t="str">
        <f>IFERROR(__xludf.DUMMYFUNCTION("""COMPUTED_VALUE"""),"")</f>
        <v/>
      </c>
      <c r="U3665" s="16" t="s">
        <v>87</v>
      </c>
      <c r="V3665" s="16" t="str">
        <f>IFERROR(__xludf.DUMMYFUNCTION("""COMPUTED_VALUE"""),"")</f>
        <v/>
      </c>
      <c r="W3665" s="16" t="str">
        <f>IFERROR(__xludf.DUMMYFUNCTION("""COMPUTED_VALUE"""),"")</f>
        <v/>
      </c>
      <c r="X3665" s="16" t="str">
        <f>IFERROR(__xludf.DUMMYFUNCTION("""COMPUTED_VALUE"""),"")</f>
        <v/>
      </c>
      <c r="AC3665" s="16" t="str">
        <f>IFERROR(__xludf.DUMMYFUNCTION("""COMPUTED_VALUE"""),"")</f>
        <v/>
      </c>
    </row>
    <row r="3666">
      <c r="A3666" s="16" t="s">
        <v>87</v>
      </c>
      <c r="E3666" s="16" t="str">
        <f>IFERROR(__xludf.DUMMYFUNCTION("""COMPUTED_VALUE"""),"")</f>
        <v/>
      </c>
      <c r="G3666" s="18"/>
      <c r="H3666" s="16" t="s">
        <v>87</v>
      </c>
      <c r="I3666" s="16" t="s">
        <v>87</v>
      </c>
      <c r="J3666" s="19"/>
      <c r="L3666" s="16" t="str">
        <f>IFERROR(__xludf.DUMMYFUNCTION("""COMPUTED_VALUE"""),"")</f>
        <v/>
      </c>
      <c r="M3666" s="16" t="str">
        <f>IFERROR(__xludf.DUMMYFUNCTION("""COMPUTED_VALUE"""),"")</f>
        <v/>
      </c>
      <c r="U3666" s="16" t="s">
        <v>87</v>
      </c>
      <c r="V3666" s="16" t="str">
        <f>IFERROR(__xludf.DUMMYFUNCTION("""COMPUTED_VALUE"""),"")</f>
        <v/>
      </c>
      <c r="W3666" s="16" t="str">
        <f>IFERROR(__xludf.DUMMYFUNCTION("""COMPUTED_VALUE"""),"")</f>
        <v/>
      </c>
      <c r="X3666" s="16" t="str">
        <f>IFERROR(__xludf.DUMMYFUNCTION("""COMPUTED_VALUE"""),"")</f>
        <v/>
      </c>
      <c r="AC3666" s="16" t="str">
        <f>IFERROR(__xludf.DUMMYFUNCTION("""COMPUTED_VALUE"""),"")</f>
        <v/>
      </c>
    </row>
    <row r="3667">
      <c r="A3667" s="16" t="s">
        <v>87</v>
      </c>
      <c r="E3667" s="16" t="str">
        <f>IFERROR(__xludf.DUMMYFUNCTION("""COMPUTED_VALUE"""),"")</f>
        <v/>
      </c>
      <c r="G3667" s="18"/>
      <c r="H3667" s="16" t="s">
        <v>87</v>
      </c>
      <c r="I3667" s="16" t="s">
        <v>87</v>
      </c>
      <c r="J3667" s="19"/>
      <c r="L3667" s="16" t="str">
        <f>IFERROR(__xludf.DUMMYFUNCTION("""COMPUTED_VALUE"""),"")</f>
        <v/>
      </c>
      <c r="M3667" s="16" t="str">
        <f>IFERROR(__xludf.DUMMYFUNCTION("""COMPUTED_VALUE"""),"")</f>
        <v/>
      </c>
      <c r="U3667" s="16" t="s">
        <v>87</v>
      </c>
      <c r="V3667" s="16" t="str">
        <f>IFERROR(__xludf.DUMMYFUNCTION("""COMPUTED_VALUE"""),"")</f>
        <v/>
      </c>
      <c r="W3667" s="16" t="str">
        <f>IFERROR(__xludf.DUMMYFUNCTION("""COMPUTED_VALUE"""),"")</f>
        <v/>
      </c>
      <c r="X3667" s="16" t="str">
        <f>IFERROR(__xludf.DUMMYFUNCTION("""COMPUTED_VALUE"""),"")</f>
        <v/>
      </c>
      <c r="AC3667" s="16" t="str">
        <f>IFERROR(__xludf.DUMMYFUNCTION("""COMPUTED_VALUE"""),"")</f>
        <v/>
      </c>
    </row>
    <row r="3668">
      <c r="A3668" s="16" t="s">
        <v>87</v>
      </c>
      <c r="E3668" s="16" t="str">
        <f>IFERROR(__xludf.DUMMYFUNCTION("""COMPUTED_VALUE"""),"")</f>
        <v/>
      </c>
      <c r="G3668" s="18"/>
      <c r="H3668" s="16" t="s">
        <v>87</v>
      </c>
      <c r="I3668" s="16" t="s">
        <v>87</v>
      </c>
      <c r="J3668" s="19"/>
      <c r="L3668" s="16" t="str">
        <f>IFERROR(__xludf.DUMMYFUNCTION("""COMPUTED_VALUE"""),"")</f>
        <v/>
      </c>
      <c r="M3668" s="16" t="str">
        <f>IFERROR(__xludf.DUMMYFUNCTION("""COMPUTED_VALUE"""),"")</f>
        <v/>
      </c>
      <c r="U3668" s="16" t="s">
        <v>87</v>
      </c>
      <c r="V3668" s="16" t="str">
        <f>IFERROR(__xludf.DUMMYFUNCTION("""COMPUTED_VALUE"""),"")</f>
        <v/>
      </c>
      <c r="W3668" s="16" t="str">
        <f>IFERROR(__xludf.DUMMYFUNCTION("""COMPUTED_VALUE"""),"")</f>
        <v/>
      </c>
      <c r="X3668" s="16" t="str">
        <f>IFERROR(__xludf.DUMMYFUNCTION("""COMPUTED_VALUE"""),"")</f>
        <v/>
      </c>
      <c r="AC3668" s="16" t="str">
        <f>IFERROR(__xludf.DUMMYFUNCTION("""COMPUTED_VALUE"""),"")</f>
        <v/>
      </c>
    </row>
    <row r="3669">
      <c r="A3669" s="16" t="s">
        <v>87</v>
      </c>
      <c r="E3669" s="16" t="str">
        <f>IFERROR(__xludf.DUMMYFUNCTION("""COMPUTED_VALUE"""),"")</f>
        <v/>
      </c>
      <c r="G3669" s="18"/>
      <c r="H3669" s="16" t="s">
        <v>87</v>
      </c>
      <c r="I3669" s="16" t="s">
        <v>87</v>
      </c>
      <c r="J3669" s="19"/>
      <c r="L3669" s="16" t="str">
        <f>IFERROR(__xludf.DUMMYFUNCTION("""COMPUTED_VALUE"""),"")</f>
        <v/>
      </c>
      <c r="M3669" s="16" t="str">
        <f>IFERROR(__xludf.DUMMYFUNCTION("""COMPUTED_VALUE"""),"")</f>
        <v/>
      </c>
      <c r="U3669" s="16" t="s">
        <v>87</v>
      </c>
      <c r="V3669" s="16" t="str">
        <f>IFERROR(__xludf.DUMMYFUNCTION("""COMPUTED_VALUE"""),"")</f>
        <v/>
      </c>
      <c r="W3669" s="16" t="str">
        <f>IFERROR(__xludf.DUMMYFUNCTION("""COMPUTED_VALUE"""),"")</f>
        <v/>
      </c>
      <c r="X3669" s="16" t="str">
        <f>IFERROR(__xludf.DUMMYFUNCTION("""COMPUTED_VALUE"""),"")</f>
        <v/>
      </c>
      <c r="AC3669" s="16" t="str">
        <f>IFERROR(__xludf.DUMMYFUNCTION("""COMPUTED_VALUE"""),"")</f>
        <v/>
      </c>
    </row>
    <row r="3670">
      <c r="A3670" s="16" t="s">
        <v>87</v>
      </c>
      <c r="E3670" s="16" t="str">
        <f>IFERROR(__xludf.DUMMYFUNCTION("""COMPUTED_VALUE"""),"")</f>
        <v/>
      </c>
      <c r="G3670" s="18"/>
      <c r="H3670" s="16" t="s">
        <v>87</v>
      </c>
      <c r="I3670" s="16" t="s">
        <v>87</v>
      </c>
      <c r="J3670" s="19"/>
      <c r="L3670" s="16" t="str">
        <f>IFERROR(__xludf.DUMMYFUNCTION("""COMPUTED_VALUE"""),"")</f>
        <v/>
      </c>
      <c r="M3670" s="16" t="str">
        <f>IFERROR(__xludf.DUMMYFUNCTION("""COMPUTED_VALUE"""),"")</f>
        <v/>
      </c>
      <c r="U3670" s="16" t="s">
        <v>87</v>
      </c>
      <c r="V3670" s="16" t="str">
        <f>IFERROR(__xludf.DUMMYFUNCTION("""COMPUTED_VALUE"""),"")</f>
        <v/>
      </c>
      <c r="W3670" s="16" t="str">
        <f>IFERROR(__xludf.DUMMYFUNCTION("""COMPUTED_VALUE"""),"")</f>
        <v/>
      </c>
      <c r="X3670" s="16" t="str">
        <f>IFERROR(__xludf.DUMMYFUNCTION("""COMPUTED_VALUE"""),"")</f>
        <v/>
      </c>
      <c r="AC3670" s="16" t="str">
        <f>IFERROR(__xludf.DUMMYFUNCTION("""COMPUTED_VALUE"""),"")</f>
        <v/>
      </c>
    </row>
    <row r="3671">
      <c r="A3671" s="16" t="s">
        <v>87</v>
      </c>
      <c r="E3671" s="16" t="str">
        <f>IFERROR(__xludf.DUMMYFUNCTION("""COMPUTED_VALUE"""),"")</f>
        <v/>
      </c>
      <c r="G3671" s="18"/>
      <c r="H3671" s="16" t="s">
        <v>87</v>
      </c>
      <c r="I3671" s="16" t="s">
        <v>87</v>
      </c>
      <c r="J3671" s="19"/>
      <c r="L3671" s="16" t="str">
        <f>IFERROR(__xludf.DUMMYFUNCTION("""COMPUTED_VALUE"""),"")</f>
        <v/>
      </c>
      <c r="M3671" s="16" t="str">
        <f>IFERROR(__xludf.DUMMYFUNCTION("""COMPUTED_VALUE"""),"")</f>
        <v/>
      </c>
      <c r="U3671" s="16" t="s">
        <v>87</v>
      </c>
      <c r="V3671" s="16" t="str">
        <f>IFERROR(__xludf.DUMMYFUNCTION("""COMPUTED_VALUE"""),"")</f>
        <v/>
      </c>
      <c r="W3671" s="16" t="str">
        <f>IFERROR(__xludf.DUMMYFUNCTION("""COMPUTED_VALUE"""),"")</f>
        <v/>
      </c>
      <c r="X3671" s="16" t="str">
        <f>IFERROR(__xludf.DUMMYFUNCTION("""COMPUTED_VALUE"""),"")</f>
        <v/>
      </c>
      <c r="AC3671" s="16" t="str">
        <f>IFERROR(__xludf.DUMMYFUNCTION("""COMPUTED_VALUE"""),"")</f>
        <v/>
      </c>
    </row>
    <row r="3672">
      <c r="A3672" s="16" t="s">
        <v>87</v>
      </c>
      <c r="E3672" s="16" t="str">
        <f>IFERROR(__xludf.DUMMYFUNCTION("""COMPUTED_VALUE"""),"")</f>
        <v/>
      </c>
      <c r="G3672" s="18"/>
      <c r="H3672" s="16" t="s">
        <v>87</v>
      </c>
      <c r="I3672" s="16" t="s">
        <v>87</v>
      </c>
      <c r="J3672" s="19"/>
      <c r="L3672" s="16" t="str">
        <f>IFERROR(__xludf.DUMMYFUNCTION("""COMPUTED_VALUE"""),"")</f>
        <v/>
      </c>
      <c r="M3672" s="16" t="str">
        <f>IFERROR(__xludf.DUMMYFUNCTION("""COMPUTED_VALUE"""),"")</f>
        <v/>
      </c>
      <c r="U3672" s="16" t="s">
        <v>87</v>
      </c>
      <c r="V3672" s="16" t="str">
        <f>IFERROR(__xludf.DUMMYFUNCTION("""COMPUTED_VALUE"""),"")</f>
        <v/>
      </c>
      <c r="W3672" s="16" t="str">
        <f>IFERROR(__xludf.DUMMYFUNCTION("""COMPUTED_VALUE"""),"")</f>
        <v/>
      </c>
      <c r="X3672" s="16" t="str">
        <f>IFERROR(__xludf.DUMMYFUNCTION("""COMPUTED_VALUE"""),"")</f>
        <v/>
      </c>
      <c r="AC3672" s="16" t="str">
        <f>IFERROR(__xludf.DUMMYFUNCTION("""COMPUTED_VALUE"""),"")</f>
        <v/>
      </c>
    </row>
    <row r="3673">
      <c r="A3673" s="16" t="s">
        <v>87</v>
      </c>
      <c r="E3673" s="16" t="str">
        <f>IFERROR(__xludf.DUMMYFUNCTION("""COMPUTED_VALUE"""),"")</f>
        <v/>
      </c>
      <c r="G3673" s="18"/>
      <c r="H3673" s="16" t="s">
        <v>87</v>
      </c>
      <c r="I3673" s="16" t="s">
        <v>87</v>
      </c>
      <c r="J3673" s="19"/>
      <c r="L3673" s="16" t="str">
        <f>IFERROR(__xludf.DUMMYFUNCTION("""COMPUTED_VALUE"""),"")</f>
        <v/>
      </c>
      <c r="M3673" s="16" t="str">
        <f>IFERROR(__xludf.DUMMYFUNCTION("""COMPUTED_VALUE"""),"")</f>
        <v/>
      </c>
      <c r="U3673" s="16" t="s">
        <v>87</v>
      </c>
      <c r="V3673" s="16" t="str">
        <f>IFERROR(__xludf.DUMMYFUNCTION("""COMPUTED_VALUE"""),"")</f>
        <v/>
      </c>
      <c r="W3673" s="16" t="str">
        <f>IFERROR(__xludf.DUMMYFUNCTION("""COMPUTED_VALUE"""),"")</f>
        <v/>
      </c>
      <c r="X3673" s="16" t="str">
        <f>IFERROR(__xludf.DUMMYFUNCTION("""COMPUTED_VALUE"""),"")</f>
        <v/>
      </c>
      <c r="AC3673" s="16" t="str">
        <f>IFERROR(__xludf.DUMMYFUNCTION("""COMPUTED_VALUE"""),"")</f>
        <v/>
      </c>
    </row>
    <row r="3674">
      <c r="A3674" s="16" t="s">
        <v>87</v>
      </c>
      <c r="E3674" s="16" t="str">
        <f>IFERROR(__xludf.DUMMYFUNCTION("""COMPUTED_VALUE"""),"")</f>
        <v/>
      </c>
      <c r="G3674" s="18"/>
      <c r="H3674" s="16" t="s">
        <v>87</v>
      </c>
      <c r="I3674" s="16" t="s">
        <v>87</v>
      </c>
      <c r="J3674" s="19"/>
      <c r="L3674" s="16" t="str">
        <f>IFERROR(__xludf.DUMMYFUNCTION("""COMPUTED_VALUE"""),"")</f>
        <v/>
      </c>
      <c r="M3674" s="16" t="str">
        <f>IFERROR(__xludf.DUMMYFUNCTION("""COMPUTED_VALUE"""),"")</f>
        <v/>
      </c>
      <c r="U3674" s="16" t="s">
        <v>87</v>
      </c>
      <c r="V3674" s="16" t="str">
        <f>IFERROR(__xludf.DUMMYFUNCTION("""COMPUTED_VALUE"""),"")</f>
        <v/>
      </c>
      <c r="W3674" s="16" t="str">
        <f>IFERROR(__xludf.DUMMYFUNCTION("""COMPUTED_VALUE"""),"")</f>
        <v/>
      </c>
      <c r="X3674" s="16" t="str">
        <f>IFERROR(__xludf.DUMMYFUNCTION("""COMPUTED_VALUE"""),"")</f>
        <v/>
      </c>
      <c r="AC3674" s="16" t="str">
        <f>IFERROR(__xludf.DUMMYFUNCTION("""COMPUTED_VALUE"""),"")</f>
        <v/>
      </c>
    </row>
    <row r="3675">
      <c r="A3675" s="16" t="s">
        <v>87</v>
      </c>
      <c r="E3675" s="16" t="str">
        <f>IFERROR(__xludf.DUMMYFUNCTION("""COMPUTED_VALUE"""),"")</f>
        <v/>
      </c>
      <c r="G3675" s="18"/>
      <c r="H3675" s="16" t="s">
        <v>87</v>
      </c>
      <c r="I3675" s="16" t="s">
        <v>87</v>
      </c>
      <c r="J3675" s="19"/>
      <c r="L3675" s="16" t="str">
        <f>IFERROR(__xludf.DUMMYFUNCTION("""COMPUTED_VALUE"""),"")</f>
        <v/>
      </c>
      <c r="M3675" s="16" t="str">
        <f>IFERROR(__xludf.DUMMYFUNCTION("""COMPUTED_VALUE"""),"")</f>
        <v/>
      </c>
      <c r="U3675" s="16" t="s">
        <v>87</v>
      </c>
      <c r="V3675" s="16" t="str">
        <f>IFERROR(__xludf.DUMMYFUNCTION("""COMPUTED_VALUE"""),"")</f>
        <v/>
      </c>
      <c r="W3675" s="16" t="str">
        <f>IFERROR(__xludf.DUMMYFUNCTION("""COMPUTED_VALUE"""),"")</f>
        <v/>
      </c>
      <c r="X3675" s="16" t="str">
        <f>IFERROR(__xludf.DUMMYFUNCTION("""COMPUTED_VALUE"""),"")</f>
        <v/>
      </c>
      <c r="AC3675" s="16" t="str">
        <f>IFERROR(__xludf.DUMMYFUNCTION("""COMPUTED_VALUE"""),"")</f>
        <v/>
      </c>
    </row>
    <row r="3676">
      <c r="A3676" s="16" t="s">
        <v>87</v>
      </c>
      <c r="E3676" s="16" t="str">
        <f>IFERROR(__xludf.DUMMYFUNCTION("""COMPUTED_VALUE"""),"")</f>
        <v/>
      </c>
      <c r="G3676" s="18"/>
      <c r="H3676" s="16" t="s">
        <v>87</v>
      </c>
      <c r="I3676" s="16" t="s">
        <v>87</v>
      </c>
      <c r="J3676" s="19"/>
      <c r="L3676" s="16" t="str">
        <f>IFERROR(__xludf.DUMMYFUNCTION("""COMPUTED_VALUE"""),"")</f>
        <v/>
      </c>
      <c r="M3676" s="16" t="str">
        <f>IFERROR(__xludf.DUMMYFUNCTION("""COMPUTED_VALUE"""),"")</f>
        <v/>
      </c>
      <c r="U3676" s="16" t="s">
        <v>87</v>
      </c>
      <c r="V3676" s="16" t="str">
        <f>IFERROR(__xludf.DUMMYFUNCTION("""COMPUTED_VALUE"""),"")</f>
        <v/>
      </c>
      <c r="W3676" s="16" t="str">
        <f>IFERROR(__xludf.DUMMYFUNCTION("""COMPUTED_VALUE"""),"")</f>
        <v/>
      </c>
      <c r="X3676" s="16" t="str">
        <f>IFERROR(__xludf.DUMMYFUNCTION("""COMPUTED_VALUE"""),"")</f>
        <v/>
      </c>
      <c r="AC3676" s="16" t="str">
        <f>IFERROR(__xludf.DUMMYFUNCTION("""COMPUTED_VALUE"""),"")</f>
        <v/>
      </c>
    </row>
    <row r="3677">
      <c r="A3677" s="16" t="s">
        <v>87</v>
      </c>
      <c r="E3677" s="16" t="str">
        <f>IFERROR(__xludf.DUMMYFUNCTION("""COMPUTED_VALUE"""),"")</f>
        <v/>
      </c>
      <c r="G3677" s="18"/>
      <c r="H3677" s="16" t="s">
        <v>87</v>
      </c>
      <c r="I3677" s="16" t="s">
        <v>87</v>
      </c>
      <c r="J3677" s="19"/>
      <c r="L3677" s="16" t="str">
        <f>IFERROR(__xludf.DUMMYFUNCTION("""COMPUTED_VALUE"""),"")</f>
        <v/>
      </c>
      <c r="M3677" s="16" t="str">
        <f>IFERROR(__xludf.DUMMYFUNCTION("""COMPUTED_VALUE"""),"")</f>
        <v/>
      </c>
      <c r="U3677" s="16" t="s">
        <v>87</v>
      </c>
      <c r="V3677" s="16" t="str">
        <f>IFERROR(__xludf.DUMMYFUNCTION("""COMPUTED_VALUE"""),"")</f>
        <v/>
      </c>
      <c r="W3677" s="16" t="str">
        <f>IFERROR(__xludf.DUMMYFUNCTION("""COMPUTED_VALUE"""),"")</f>
        <v/>
      </c>
      <c r="X3677" s="16" t="str">
        <f>IFERROR(__xludf.DUMMYFUNCTION("""COMPUTED_VALUE"""),"")</f>
        <v/>
      </c>
      <c r="AC3677" s="16" t="str">
        <f>IFERROR(__xludf.DUMMYFUNCTION("""COMPUTED_VALUE"""),"")</f>
        <v/>
      </c>
    </row>
    <row r="3678">
      <c r="A3678" s="16" t="s">
        <v>87</v>
      </c>
      <c r="E3678" s="16" t="str">
        <f>IFERROR(__xludf.DUMMYFUNCTION("""COMPUTED_VALUE"""),"")</f>
        <v/>
      </c>
      <c r="G3678" s="18"/>
      <c r="H3678" s="16" t="s">
        <v>87</v>
      </c>
      <c r="I3678" s="16" t="s">
        <v>87</v>
      </c>
      <c r="J3678" s="19"/>
      <c r="L3678" s="16" t="str">
        <f>IFERROR(__xludf.DUMMYFUNCTION("""COMPUTED_VALUE"""),"")</f>
        <v/>
      </c>
      <c r="M3678" s="16" t="str">
        <f>IFERROR(__xludf.DUMMYFUNCTION("""COMPUTED_VALUE"""),"")</f>
        <v/>
      </c>
      <c r="U3678" s="16" t="s">
        <v>87</v>
      </c>
      <c r="V3678" s="16" t="str">
        <f>IFERROR(__xludf.DUMMYFUNCTION("""COMPUTED_VALUE"""),"")</f>
        <v/>
      </c>
      <c r="W3678" s="16" t="str">
        <f>IFERROR(__xludf.DUMMYFUNCTION("""COMPUTED_VALUE"""),"")</f>
        <v/>
      </c>
      <c r="X3678" s="16" t="str">
        <f>IFERROR(__xludf.DUMMYFUNCTION("""COMPUTED_VALUE"""),"")</f>
        <v/>
      </c>
      <c r="AC3678" s="16" t="str">
        <f>IFERROR(__xludf.DUMMYFUNCTION("""COMPUTED_VALUE"""),"")</f>
        <v/>
      </c>
    </row>
    <row r="3679">
      <c r="A3679" s="16" t="s">
        <v>87</v>
      </c>
      <c r="E3679" s="16" t="str">
        <f>IFERROR(__xludf.DUMMYFUNCTION("""COMPUTED_VALUE"""),"")</f>
        <v/>
      </c>
      <c r="G3679" s="18"/>
      <c r="H3679" s="16" t="s">
        <v>87</v>
      </c>
      <c r="I3679" s="16" t="s">
        <v>87</v>
      </c>
      <c r="J3679" s="19"/>
      <c r="L3679" s="16" t="str">
        <f>IFERROR(__xludf.DUMMYFUNCTION("""COMPUTED_VALUE"""),"")</f>
        <v/>
      </c>
      <c r="M3679" s="16" t="str">
        <f>IFERROR(__xludf.DUMMYFUNCTION("""COMPUTED_VALUE"""),"")</f>
        <v/>
      </c>
      <c r="U3679" s="16" t="s">
        <v>87</v>
      </c>
      <c r="V3679" s="16" t="str">
        <f>IFERROR(__xludf.DUMMYFUNCTION("""COMPUTED_VALUE"""),"")</f>
        <v/>
      </c>
      <c r="W3679" s="16" t="str">
        <f>IFERROR(__xludf.DUMMYFUNCTION("""COMPUTED_VALUE"""),"")</f>
        <v/>
      </c>
      <c r="X3679" s="16" t="str">
        <f>IFERROR(__xludf.DUMMYFUNCTION("""COMPUTED_VALUE"""),"")</f>
        <v/>
      </c>
      <c r="AC3679" s="16" t="str">
        <f>IFERROR(__xludf.DUMMYFUNCTION("""COMPUTED_VALUE"""),"")</f>
        <v/>
      </c>
    </row>
    <row r="3680">
      <c r="A3680" s="16" t="s">
        <v>87</v>
      </c>
      <c r="E3680" s="16" t="str">
        <f>IFERROR(__xludf.DUMMYFUNCTION("""COMPUTED_VALUE"""),"")</f>
        <v/>
      </c>
      <c r="G3680" s="18"/>
      <c r="H3680" s="16" t="s">
        <v>87</v>
      </c>
      <c r="I3680" s="16" t="s">
        <v>87</v>
      </c>
      <c r="J3680" s="19"/>
      <c r="L3680" s="16" t="str">
        <f>IFERROR(__xludf.DUMMYFUNCTION("""COMPUTED_VALUE"""),"")</f>
        <v/>
      </c>
      <c r="M3680" s="16" t="str">
        <f>IFERROR(__xludf.DUMMYFUNCTION("""COMPUTED_VALUE"""),"")</f>
        <v/>
      </c>
      <c r="U3680" s="16" t="s">
        <v>87</v>
      </c>
      <c r="V3680" s="16" t="str">
        <f>IFERROR(__xludf.DUMMYFUNCTION("""COMPUTED_VALUE"""),"")</f>
        <v/>
      </c>
      <c r="W3680" s="16" t="str">
        <f>IFERROR(__xludf.DUMMYFUNCTION("""COMPUTED_VALUE"""),"")</f>
        <v/>
      </c>
      <c r="X3680" s="16" t="str">
        <f>IFERROR(__xludf.DUMMYFUNCTION("""COMPUTED_VALUE"""),"")</f>
        <v/>
      </c>
      <c r="AC3680" s="16" t="str">
        <f>IFERROR(__xludf.DUMMYFUNCTION("""COMPUTED_VALUE"""),"")</f>
        <v/>
      </c>
    </row>
    <row r="3681">
      <c r="A3681" s="16" t="s">
        <v>87</v>
      </c>
      <c r="E3681" s="16" t="str">
        <f>IFERROR(__xludf.DUMMYFUNCTION("""COMPUTED_VALUE"""),"")</f>
        <v/>
      </c>
      <c r="G3681" s="18"/>
      <c r="H3681" s="16" t="s">
        <v>87</v>
      </c>
      <c r="I3681" s="16" t="s">
        <v>87</v>
      </c>
      <c r="J3681" s="19"/>
      <c r="L3681" s="16" t="str">
        <f>IFERROR(__xludf.DUMMYFUNCTION("""COMPUTED_VALUE"""),"")</f>
        <v/>
      </c>
      <c r="M3681" s="16" t="str">
        <f>IFERROR(__xludf.DUMMYFUNCTION("""COMPUTED_VALUE"""),"")</f>
        <v/>
      </c>
      <c r="U3681" s="16" t="s">
        <v>87</v>
      </c>
      <c r="V3681" s="16" t="str">
        <f>IFERROR(__xludf.DUMMYFUNCTION("""COMPUTED_VALUE"""),"")</f>
        <v/>
      </c>
      <c r="W3681" s="16" t="str">
        <f>IFERROR(__xludf.DUMMYFUNCTION("""COMPUTED_VALUE"""),"")</f>
        <v/>
      </c>
      <c r="X3681" s="16" t="str">
        <f>IFERROR(__xludf.DUMMYFUNCTION("""COMPUTED_VALUE"""),"")</f>
        <v/>
      </c>
      <c r="AC3681" s="16" t="str">
        <f>IFERROR(__xludf.DUMMYFUNCTION("""COMPUTED_VALUE"""),"")</f>
        <v/>
      </c>
    </row>
    <row r="3682">
      <c r="A3682" s="16" t="s">
        <v>87</v>
      </c>
      <c r="E3682" s="16" t="str">
        <f>IFERROR(__xludf.DUMMYFUNCTION("""COMPUTED_VALUE"""),"")</f>
        <v/>
      </c>
      <c r="G3682" s="18"/>
      <c r="H3682" s="16" t="s">
        <v>87</v>
      </c>
      <c r="I3682" s="16" t="s">
        <v>87</v>
      </c>
      <c r="J3682" s="19"/>
      <c r="L3682" s="16" t="str">
        <f>IFERROR(__xludf.DUMMYFUNCTION("""COMPUTED_VALUE"""),"")</f>
        <v/>
      </c>
      <c r="M3682" s="16" t="str">
        <f>IFERROR(__xludf.DUMMYFUNCTION("""COMPUTED_VALUE"""),"")</f>
        <v/>
      </c>
      <c r="U3682" s="16" t="s">
        <v>87</v>
      </c>
      <c r="V3682" s="16" t="str">
        <f>IFERROR(__xludf.DUMMYFUNCTION("""COMPUTED_VALUE"""),"")</f>
        <v/>
      </c>
      <c r="W3682" s="16" t="str">
        <f>IFERROR(__xludf.DUMMYFUNCTION("""COMPUTED_VALUE"""),"")</f>
        <v/>
      </c>
      <c r="X3682" s="16" t="str">
        <f>IFERROR(__xludf.DUMMYFUNCTION("""COMPUTED_VALUE"""),"")</f>
        <v/>
      </c>
      <c r="AC3682" s="16" t="str">
        <f>IFERROR(__xludf.DUMMYFUNCTION("""COMPUTED_VALUE"""),"")</f>
        <v/>
      </c>
    </row>
    <row r="3683">
      <c r="A3683" s="16" t="s">
        <v>87</v>
      </c>
      <c r="E3683" s="16" t="str">
        <f>IFERROR(__xludf.DUMMYFUNCTION("""COMPUTED_VALUE"""),"")</f>
        <v/>
      </c>
      <c r="G3683" s="18"/>
      <c r="H3683" s="16" t="s">
        <v>87</v>
      </c>
      <c r="I3683" s="16" t="s">
        <v>87</v>
      </c>
      <c r="J3683" s="19"/>
      <c r="L3683" s="16" t="str">
        <f>IFERROR(__xludf.DUMMYFUNCTION("""COMPUTED_VALUE"""),"")</f>
        <v/>
      </c>
      <c r="M3683" s="16" t="str">
        <f>IFERROR(__xludf.DUMMYFUNCTION("""COMPUTED_VALUE"""),"")</f>
        <v/>
      </c>
      <c r="U3683" s="16" t="s">
        <v>87</v>
      </c>
      <c r="V3683" s="16" t="str">
        <f>IFERROR(__xludf.DUMMYFUNCTION("""COMPUTED_VALUE"""),"")</f>
        <v/>
      </c>
      <c r="W3683" s="16" t="str">
        <f>IFERROR(__xludf.DUMMYFUNCTION("""COMPUTED_VALUE"""),"")</f>
        <v/>
      </c>
      <c r="X3683" s="16" t="str">
        <f>IFERROR(__xludf.DUMMYFUNCTION("""COMPUTED_VALUE"""),"")</f>
        <v/>
      </c>
      <c r="AC3683" s="16" t="str">
        <f>IFERROR(__xludf.DUMMYFUNCTION("""COMPUTED_VALUE"""),"")</f>
        <v/>
      </c>
    </row>
    <row r="3684">
      <c r="A3684" s="16" t="s">
        <v>87</v>
      </c>
      <c r="E3684" s="16" t="str">
        <f>IFERROR(__xludf.DUMMYFUNCTION("""COMPUTED_VALUE"""),"")</f>
        <v/>
      </c>
      <c r="G3684" s="18"/>
      <c r="H3684" s="16" t="s">
        <v>87</v>
      </c>
      <c r="I3684" s="16" t="s">
        <v>87</v>
      </c>
      <c r="J3684" s="19"/>
      <c r="L3684" s="16" t="str">
        <f>IFERROR(__xludf.DUMMYFUNCTION("""COMPUTED_VALUE"""),"")</f>
        <v/>
      </c>
      <c r="M3684" s="16" t="str">
        <f>IFERROR(__xludf.DUMMYFUNCTION("""COMPUTED_VALUE"""),"")</f>
        <v/>
      </c>
      <c r="U3684" s="16" t="s">
        <v>87</v>
      </c>
      <c r="V3684" s="16" t="str">
        <f>IFERROR(__xludf.DUMMYFUNCTION("""COMPUTED_VALUE"""),"")</f>
        <v/>
      </c>
      <c r="W3684" s="16" t="str">
        <f>IFERROR(__xludf.DUMMYFUNCTION("""COMPUTED_VALUE"""),"")</f>
        <v/>
      </c>
      <c r="X3684" s="16" t="str">
        <f>IFERROR(__xludf.DUMMYFUNCTION("""COMPUTED_VALUE"""),"")</f>
        <v/>
      </c>
      <c r="AC3684" s="16" t="str">
        <f>IFERROR(__xludf.DUMMYFUNCTION("""COMPUTED_VALUE"""),"")</f>
        <v/>
      </c>
    </row>
    <row r="3685">
      <c r="A3685" s="16" t="s">
        <v>87</v>
      </c>
      <c r="E3685" s="16" t="str">
        <f>IFERROR(__xludf.DUMMYFUNCTION("""COMPUTED_VALUE"""),"")</f>
        <v/>
      </c>
      <c r="G3685" s="18"/>
      <c r="H3685" s="16" t="s">
        <v>87</v>
      </c>
      <c r="I3685" s="16" t="s">
        <v>87</v>
      </c>
      <c r="J3685" s="19"/>
      <c r="L3685" s="16" t="str">
        <f>IFERROR(__xludf.DUMMYFUNCTION("""COMPUTED_VALUE"""),"")</f>
        <v/>
      </c>
      <c r="M3685" s="16" t="str">
        <f>IFERROR(__xludf.DUMMYFUNCTION("""COMPUTED_VALUE"""),"")</f>
        <v/>
      </c>
      <c r="U3685" s="16" t="s">
        <v>87</v>
      </c>
      <c r="V3685" s="16" t="str">
        <f>IFERROR(__xludf.DUMMYFUNCTION("""COMPUTED_VALUE"""),"")</f>
        <v/>
      </c>
      <c r="W3685" s="16" t="str">
        <f>IFERROR(__xludf.DUMMYFUNCTION("""COMPUTED_VALUE"""),"")</f>
        <v/>
      </c>
      <c r="X3685" s="16" t="str">
        <f>IFERROR(__xludf.DUMMYFUNCTION("""COMPUTED_VALUE"""),"")</f>
        <v/>
      </c>
      <c r="AC3685" s="16" t="str">
        <f>IFERROR(__xludf.DUMMYFUNCTION("""COMPUTED_VALUE"""),"")</f>
        <v/>
      </c>
    </row>
    <row r="3686">
      <c r="A3686" s="16" t="s">
        <v>87</v>
      </c>
      <c r="E3686" s="16" t="str">
        <f>IFERROR(__xludf.DUMMYFUNCTION("""COMPUTED_VALUE"""),"")</f>
        <v/>
      </c>
      <c r="G3686" s="18"/>
      <c r="H3686" s="16" t="s">
        <v>87</v>
      </c>
      <c r="I3686" s="16" t="s">
        <v>87</v>
      </c>
      <c r="J3686" s="19"/>
      <c r="L3686" s="16" t="str">
        <f>IFERROR(__xludf.DUMMYFUNCTION("""COMPUTED_VALUE"""),"")</f>
        <v/>
      </c>
      <c r="M3686" s="16" t="str">
        <f>IFERROR(__xludf.DUMMYFUNCTION("""COMPUTED_VALUE"""),"")</f>
        <v/>
      </c>
      <c r="U3686" s="16" t="s">
        <v>87</v>
      </c>
      <c r="V3686" s="16" t="str">
        <f>IFERROR(__xludf.DUMMYFUNCTION("""COMPUTED_VALUE"""),"")</f>
        <v/>
      </c>
      <c r="W3686" s="16" t="str">
        <f>IFERROR(__xludf.DUMMYFUNCTION("""COMPUTED_VALUE"""),"")</f>
        <v/>
      </c>
      <c r="X3686" s="16" t="str">
        <f>IFERROR(__xludf.DUMMYFUNCTION("""COMPUTED_VALUE"""),"")</f>
        <v/>
      </c>
      <c r="AC3686" s="16" t="str">
        <f>IFERROR(__xludf.DUMMYFUNCTION("""COMPUTED_VALUE"""),"")</f>
        <v/>
      </c>
    </row>
    <row r="3687">
      <c r="A3687" s="16" t="s">
        <v>87</v>
      </c>
      <c r="E3687" s="16" t="str">
        <f>IFERROR(__xludf.DUMMYFUNCTION("""COMPUTED_VALUE"""),"")</f>
        <v/>
      </c>
      <c r="G3687" s="18"/>
      <c r="H3687" s="16" t="s">
        <v>87</v>
      </c>
      <c r="I3687" s="16" t="s">
        <v>87</v>
      </c>
      <c r="J3687" s="19"/>
      <c r="L3687" s="16" t="str">
        <f>IFERROR(__xludf.DUMMYFUNCTION("""COMPUTED_VALUE"""),"")</f>
        <v/>
      </c>
      <c r="M3687" s="16" t="str">
        <f>IFERROR(__xludf.DUMMYFUNCTION("""COMPUTED_VALUE"""),"")</f>
        <v/>
      </c>
      <c r="U3687" s="16" t="s">
        <v>87</v>
      </c>
      <c r="V3687" s="16" t="str">
        <f>IFERROR(__xludf.DUMMYFUNCTION("""COMPUTED_VALUE"""),"")</f>
        <v/>
      </c>
      <c r="W3687" s="16" t="str">
        <f>IFERROR(__xludf.DUMMYFUNCTION("""COMPUTED_VALUE"""),"")</f>
        <v/>
      </c>
      <c r="X3687" s="16" t="str">
        <f>IFERROR(__xludf.DUMMYFUNCTION("""COMPUTED_VALUE"""),"")</f>
        <v/>
      </c>
      <c r="AC3687" s="16" t="str">
        <f>IFERROR(__xludf.DUMMYFUNCTION("""COMPUTED_VALUE"""),"")</f>
        <v/>
      </c>
    </row>
    <row r="3688">
      <c r="A3688" s="16" t="s">
        <v>87</v>
      </c>
      <c r="E3688" s="16" t="str">
        <f>IFERROR(__xludf.DUMMYFUNCTION("""COMPUTED_VALUE"""),"")</f>
        <v/>
      </c>
      <c r="G3688" s="18"/>
      <c r="H3688" s="16" t="s">
        <v>87</v>
      </c>
      <c r="I3688" s="16" t="s">
        <v>87</v>
      </c>
      <c r="J3688" s="19"/>
      <c r="L3688" s="16" t="str">
        <f>IFERROR(__xludf.DUMMYFUNCTION("""COMPUTED_VALUE"""),"")</f>
        <v/>
      </c>
      <c r="M3688" s="16" t="str">
        <f>IFERROR(__xludf.DUMMYFUNCTION("""COMPUTED_VALUE"""),"")</f>
        <v/>
      </c>
      <c r="U3688" s="16" t="s">
        <v>87</v>
      </c>
      <c r="V3688" s="16" t="str">
        <f>IFERROR(__xludf.DUMMYFUNCTION("""COMPUTED_VALUE"""),"")</f>
        <v/>
      </c>
      <c r="W3688" s="16" t="str">
        <f>IFERROR(__xludf.DUMMYFUNCTION("""COMPUTED_VALUE"""),"")</f>
        <v/>
      </c>
      <c r="X3688" s="16" t="str">
        <f>IFERROR(__xludf.DUMMYFUNCTION("""COMPUTED_VALUE"""),"")</f>
        <v/>
      </c>
      <c r="AC3688" s="16" t="str">
        <f>IFERROR(__xludf.DUMMYFUNCTION("""COMPUTED_VALUE"""),"")</f>
        <v/>
      </c>
    </row>
    <row r="3689">
      <c r="A3689" s="16" t="s">
        <v>87</v>
      </c>
      <c r="E3689" s="16" t="str">
        <f>IFERROR(__xludf.DUMMYFUNCTION("""COMPUTED_VALUE"""),"")</f>
        <v/>
      </c>
      <c r="G3689" s="18"/>
      <c r="H3689" s="16" t="s">
        <v>87</v>
      </c>
      <c r="I3689" s="16" t="s">
        <v>87</v>
      </c>
      <c r="J3689" s="19"/>
      <c r="L3689" s="16" t="str">
        <f>IFERROR(__xludf.DUMMYFUNCTION("""COMPUTED_VALUE"""),"")</f>
        <v/>
      </c>
      <c r="M3689" s="16" t="str">
        <f>IFERROR(__xludf.DUMMYFUNCTION("""COMPUTED_VALUE"""),"")</f>
        <v/>
      </c>
      <c r="U3689" s="16" t="s">
        <v>87</v>
      </c>
      <c r="V3689" s="16" t="str">
        <f>IFERROR(__xludf.DUMMYFUNCTION("""COMPUTED_VALUE"""),"")</f>
        <v/>
      </c>
      <c r="W3689" s="16" t="str">
        <f>IFERROR(__xludf.DUMMYFUNCTION("""COMPUTED_VALUE"""),"")</f>
        <v/>
      </c>
      <c r="X3689" s="16" t="str">
        <f>IFERROR(__xludf.DUMMYFUNCTION("""COMPUTED_VALUE"""),"")</f>
        <v/>
      </c>
      <c r="AC3689" s="16" t="str">
        <f>IFERROR(__xludf.DUMMYFUNCTION("""COMPUTED_VALUE"""),"")</f>
        <v/>
      </c>
    </row>
    <row r="3690">
      <c r="A3690" s="16" t="s">
        <v>87</v>
      </c>
      <c r="E3690" s="16" t="str">
        <f>IFERROR(__xludf.DUMMYFUNCTION("""COMPUTED_VALUE"""),"")</f>
        <v/>
      </c>
      <c r="G3690" s="18"/>
      <c r="H3690" s="16" t="s">
        <v>87</v>
      </c>
      <c r="I3690" s="16" t="s">
        <v>87</v>
      </c>
      <c r="J3690" s="19"/>
      <c r="L3690" s="16" t="str">
        <f>IFERROR(__xludf.DUMMYFUNCTION("""COMPUTED_VALUE"""),"")</f>
        <v/>
      </c>
      <c r="M3690" s="16" t="str">
        <f>IFERROR(__xludf.DUMMYFUNCTION("""COMPUTED_VALUE"""),"")</f>
        <v/>
      </c>
      <c r="U3690" s="16" t="s">
        <v>87</v>
      </c>
      <c r="V3690" s="16" t="str">
        <f>IFERROR(__xludf.DUMMYFUNCTION("""COMPUTED_VALUE"""),"")</f>
        <v/>
      </c>
      <c r="W3690" s="16" t="str">
        <f>IFERROR(__xludf.DUMMYFUNCTION("""COMPUTED_VALUE"""),"")</f>
        <v/>
      </c>
      <c r="X3690" s="16" t="str">
        <f>IFERROR(__xludf.DUMMYFUNCTION("""COMPUTED_VALUE"""),"")</f>
        <v/>
      </c>
      <c r="AC3690" s="16" t="str">
        <f>IFERROR(__xludf.DUMMYFUNCTION("""COMPUTED_VALUE"""),"")</f>
        <v/>
      </c>
    </row>
    <row r="3691">
      <c r="A3691" s="16" t="s">
        <v>87</v>
      </c>
      <c r="E3691" s="16" t="str">
        <f>IFERROR(__xludf.DUMMYFUNCTION("""COMPUTED_VALUE"""),"")</f>
        <v/>
      </c>
      <c r="G3691" s="18"/>
      <c r="H3691" s="16" t="s">
        <v>87</v>
      </c>
      <c r="I3691" s="16" t="s">
        <v>87</v>
      </c>
      <c r="J3691" s="19"/>
      <c r="L3691" s="16" t="str">
        <f>IFERROR(__xludf.DUMMYFUNCTION("""COMPUTED_VALUE"""),"")</f>
        <v/>
      </c>
      <c r="M3691" s="16" t="str">
        <f>IFERROR(__xludf.DUMMYFUNCTION("""COMPUTED_VALUE"""),"")</f>
        <v/>
      </c>
      <c r="U3691" s="16" t="s">
        <v>87</v>
      </c>
      <c r="V3691" s="16" t="str">
        <f>IFERROR(__xludf.DUMMYFUNCTION("""COMPUTED_VALUE"""),"")</f>
        <v/>
      </c>
      <c r="W3691" s="16" t="str">
        <f>IFERROR(__xludf.DUMMYFUNCTION("""COMPUTED_VALUE"""),"")</f>
        <v/>
      </c>
      <c r="X3691" s="16" t="str">
        <f>IFERROR(__xludf.DUMMYFUNCTION("""COMPUTED_VALUE"""),"")</f>
        <v/>
      </c>
      <c r="AC3691" s="16" t="str">
        <f>IFERROR(__xludf.DUMMYFUNCTION("""COMPUTED_VALUE"""),"")</f>
        <v/>
      </c>
    </row>
    <row r="3692">
      <c r="A3692" s="16" t="s">
        <v>87</v>
      </c>
      <c r="E3692" s="16" t="str">
        <f>IFERROR(__xludf.DUMMYFUNCTION("""COMPUTED_VALUE"""),"")</f>
        <v/>
      </c>
      <c r="G3692" s="18"/>
      <c r="H3692" s="16" t="s">
        <v>87</v>
      </c>
      <c r="I3692" s="16" t="s">
        <v>87</v>
      </c>
      <c r="J3692" s="19"/>
      <c r="L3692" s="16" t="str">
        <f>IFERROR(__xludf.DUMMYFUNCTION("""COMPUTED_VALUE"""),"")</f>
        <v/>
      </c>
      <c r="M3692" s="16" t="str">
        <f>IFERROR(__xludf.DUMMYFUNCTION("""COMPUTED_VALUE"""),"")</f>
        <v/>
      </c>
      <c r="U3692" s="16" t="s">
        <v>87</v>
      </c>
      <c r="V3692" s="16" t="str">
        <f>IFERROR(__xludf.DUMMYFUNCTION("""COMPUTED_VALUE"""),"")</f>
        <v/>
      </c>
      <c r="W3692" s="16" t="str">
        <f>IFERROR(__xludf.DUMMYFUNCTION("""COMPUTED_VALUE"""),"")</f>
        <v/>
      </c>
      <c r="X3692" s="16" t="str">
        <f>IFERROR(__xludf.DUMMYFUNCTION("""COMPUTED_VALUE"""),"")</f>
        <v/>
      </c>
      <c r="AC3692" s="16" t="str">
        <f>IFERROR(__xludf.DUMMYFUNCTION("""COMPUTED_VALUE"""),"")</f>
        <v/>
      </c>
    </row>
    <row r="3693">
      <c r="A3693" s="16" t="s">
        <v>87</v>
      </c>
      <c r="E3693" s="16" t="str">
        <f>IFERROR(__xludf.DUMMYFUNCTION("""COMPUTED_VALUE"""),"")</f>
        <v/>
      </c>
      <c r="G3693" s="18"/>
      <c r="H3693" s="16" t="s">
        <v>87</v>
      </c>
      <c r="I3693" s="16" t="s">
        <v>87</v>
      </c>
      <c r="J3693" s="19"/>
      <c r="L3693" s="16" t="str">
        <f>IFERROR(__xludf.DUMMYFUNCTION("""COMPUTED_VALUE"""),"")</f>
        <v/>
      </c>
      <c r="M3693" s="16" t="str">
        <f>IFERROR(__xludf.DUMMYFUNCTION("""COMPUTED_VALUE"""),"")</f>
        <v/>
      </c>
      <c r="U3693" s="16" t="s">
        <v>87</v>
      </c>
      <c r="V3693" s="16" t="str">
        <f>IFERROR(__xludf.DUMMYFUNCTION("""COMPUTED_VALUE"""),"")</f>
        <v/>
      </c>
      <c r="W3693" s="16" t="str">
        <f>IFERROR(__xludf.DUMMYFUNCTION("""COMPUTED_VALUE"""),"")</f>
        <v/>
      </c>
      <c r="X3693" s="16" t="str">
        <f>IFERROR(__xludf.DUMMYFUNCTION("""COMPUTED_VALUE"""),"")</f>
        <v/>
      </c>
      <c r="AC3693" s="16" t="str">
        <f>IFERROR(__xludf.DUMMYFUNCTION("""COMPUTED_VALUE"""),"")</f>
        <v/>
      </c>
    </row>
    <row r="3694">
      <c r="A3694" s="16" t="s">
        <v>87</v>
      </c>
      <c r="E3694" s="16" t="str">
        <f>IFERROR(__xludf.DUMMYFUNCTION("""COMPUTED_VALUE"""),"")</f>
        <v/>
      </c>
      <c r="G3694" s="18"/>
      <c r="H3694" s="16" t="s">
        <v>87</v>
      </c>
      <c r="I3694" s="16" t="s">
        <v>87</v>
      </c>
      <c r="J3694" s="19"/>
      <c r="L3694" s="16" t="str">
        <f>IFERROR(__xludf.DUMMYFUNCTION("""COMPUTED_VALUE"""),"")</f>
        <v/>
      </c>
      <c r="M3694" s="16" t="str">
        <f>IFERROR(__xludf.DUMMYFUNCTION("""COMPUTED_VALUE"""),"")</f>
        <v/>
      </c>
      <c r="U3694" s="16" t="s">
        <v>87</v>
      </c>
      <c r="V3694" s="16" t="str">
        <f>IFERROR(__xludf.DUMMYFUNCTION("""COMPUTED_VALUE"""),"")</f>
        <v/>
      </c>
      <c r="W3694" s="16" t="str">
        <f>IFERROR(__xludf.DUMMYFUNCTION("""COMPUTED_VALUE"""),"")</f>
        <v/>
      </c>
      <c r="X3694" s="16" t="str">
        <f>IFERROR(__xludf.DUMMYFUNCTION("""COMPUTED_VALUE"""),"")</f>
        <v/>
      </c>
      <c r="AC3694" s="16" t="str">
        <f>IFERROR(__xludf.DUMMYFUNCTION("""COMPUTED_VALUE"""),"")</f>
        <v/>
      </c>
    </row>
    <row r="3695">
      <c r="A3695" s="16" t="s">
        <v>87</v>
      </c>
      <c r="E3695" s="16" t="str">
        <f>IFERROR(__xludf.DUMMYFUNCTION("""COMPUTED_VALUE"""),"")</f>
        <v/>
      </c>
      <c r="G3695" s="18"/>
      <c r="H3695" s="16" t="s">
        <v>87</v>
      </c>
      <c r="I3695" s="16" t="s">
        <v>87</v>
      </c>
      <c r="J3695" s="19"/>
      <c r="L3695" s="16" t="str">
        <f>IFERROR(__xludf.DUMMYFUNCTION("""COMPUTED_VALUE"""),"")</f>
        <v/>
      </c>
      <c r="M3695" s="16" t="str">
        <f>IFERROR(__xludf.DUMMYFUNCTION("""COMPUTED_VALUE"""),"")</f>
        <v/>
      </c>
      <c r="U3695" s="16" t="s">
        <v>87</v>
      </c>
      <c r="V3695" s="16" t="str">
        <f>IFERROR(__xludf.DUMMYFUNCTION("""COMPUTED_VALUE"""),"")</f>
        <v/>
      </c>
      <c r="W3695" s="16" t="str">
        <f>IFERROR(__xludf.DUMMYFUNCTION("""COMPUTED_VALUE"""),"")</f>
        <v/>
      </c>
      <c r="X3695" s="16" t="str">
        <f>IFERROR(__xludf.DUMMYFUNCTION("""COMPUTED_VALUE"""),"")</f>
        <v/>
      </c>
      <c r="AC3695" s="16" t="str">
        <f>IFERROR(__xludf.DUMMYFUNCTION("""COMPUTED_VALUE"""),"")</f>
        <v/>
      </c>
    </row>
    <row r="3696">
      <c r="A3696" s="16" t="s">
        <v>87</v>
      </c>
      <c r="E3696" s="16" t="str">
        <f>IFERROR(__xludf.DUMMYFUNCTION("""COMPUTED_VALUE"""),"")</f>
        <v/>
      </c>
      <c r="G3696" s="18"/>
      <c r="H3696" s="16" t="s">
        <v>87</v>
      </c>
      <c r="I3696" s="16" t="s">
        <v>87</v>
      </c>
      <c r="J3696" s="19"/>
      <c r="L3696" s="16" t="str">
        <f>IFERROR(__xludf.DUMMYFUNCTION("""COMPUTED_VALUE"""),"")</f>
        <v/>
      </c>
      <c r="M3696" s="16" t="str">
        <f>IFERROR(__xludf.DUMMYFUNCTION("""COMPUTED_VALUE"""),"")</f>
        <v/>
      </c>
      <c r="U3696" s="16" t="s">
        <v>87</v>
      </c>
      <c r="V3696" s="16" t="str">
        <f>IFERROR(__xludf.DUMMYFUNCTION("""COMPUTED_VALUE"""),"")</f>
        <v/>
      </c>
      <c r="W3696" s="16" t="str">
        <f>IFERROR(__xludf.DUMMYFUNCTION("""COMPUTED_VALUE"""),"")</f>
        <v/>
      </c>
      <c r="X3696" s="16" t="str">
        <f>IFERROR(__xludf.DUMMYFUNCTION("""COMPUTED_VALUE"""),"")</f>
        <v/>
      </c>
      <c r="AC3696" s="16" t="str">
        <f>IFERROR(__xludf.DUMMYFUNCTION("""COMPUTED_VALUE"""),"")</f>
        <v/>
      </c>
    </row>
    <row r="3697">
      <c r="A3697" s="16" t="s">
        <v>87</v>
      </c>
      <c r="E3697" s="16" t="str">
        <f>IFERROR(__xludf.DUMMYFUNCTION("""COMPUTED_VALUE"""),"")</f>
        <v/>
      </c>
      <c r="G3697" s="18"/>
      <c r="H3697" s="16" t="s">
        <v>87</v>
      </c>
      <c r="I3697" s="16" t="s">
        <v>87</v>
      </c>
      <c r="J3697" s="19"/>
      <c r="L3697" s="16" t="str">
        <f>IFERROR(__xludf.DUMMYFUNCTION("""COMPUTED_VALUE"""),"")</f>
        <v/>
      </c>
      <c r="M3697" s="16" t="str">
        <f>IFERROR(__xludf.DUMMYFUNCTION("""COMPUTED_VALUE"""),"")</f>
        <v/>
      </c>
      <c r="U3697" s="16" t="s">
        <v>87</v>
      </c>
      <c r="V3697" s="16" t="str">
        <f>IFERROR(__xludf.DUMMYFUNCTION("""COMPUTED_VALUE"""),"")</f>
        <v/>
      </c>
      <c r="W3697" s="16" t="str">
        <f>IFERROR(__xludf.DUMMYFUNCTION("""COMPUTED_VALUE"""),"")</f>
        <v/>
      </c>
      <c r="X3697" s="16" t="str">
        <f>IFERROR(__xludf.DUMMYFUNCTION("""COMPUTED_VALUE"""),"")</f>
        <v/>
      </c>
      <c r="AC3697" s="16" t="str">
        <f>IFERROR(__xludf.DUMMYFUNCTION("""COMPUTED_VALUE"""),"")</f>
        <v/>
      </c>
    </row>
    <row r="3698">
      <c r="A3698" s="16" t="s">
        <v>87</v>
      </c>
      <c r="E3698" s="16" t="str">
        <f>IFERROR(__xludf.DUMMYFUNCTION("""COMPUTED_VALUE"""),"")</f>
        <v/>
      </c>
      <c r="G3698" s="18"/>
      <c r="H3698" s="16" t="s">
        <v>87</v>
      </c>
      <c r="I3698" s="16" t="s">
        <v>87</v>
      </c>
      <c r="J3698" s="19"/>
      <c r="L3698" s="16" t="str">
        <f>IFERROR(__xludf.DUMMYFUNCTION("""COMPUTED_VALUE"""),"")</f>
        <v/>
      </c>
      <c r="M3698" s="16" t="str">
        <f>IFERROR(__xludf.DUMMYFUNCTION("""COMPUTED_VALUE"""),"")</f>
        <v/>
      </c>
      <c r="U3698" s="16" t="s">
        <v>87</v>
      </c>
      <c r="V3698" s="16" t="str">
        <f>IFERROR(__xludf.DUMMYFUNCTION("""COMPUTED_VALUE"""),"")</f>
        <v/>
      </c>
      <c r="W3698" s="16" t="str">
        <f>IFERROR(__xludf.DUMMYFUNCTION("""COMPUTED_VALUE"""),"")</f>
        <v/>
      </c>
      <c r="X3698" s="16" t="str">
        <f>IFERROR(__xludf.DUMMYFUNCTION("""COMPUTED_VALUE"""),"")</f>
        <v/>
      </c>
      <c r="AC3698" s="16" t="str">
        <f>IFERROR(__xludf.DUMMYFUNCTION("""COMPUTED_VALUE"""),"")</f>
        <v/>
      </c>
    </row>
    <row r="3699">
      <c r="A3699" s="16" t="s">
        <v>87</v>
      </c>
      <c r="E3699" s="16" t="str">
        <f>IFERROR(__xludf.DUMMYFUNCTION("""COMPUTED_VALUE"""),"")</f>
        <v/>
      </c>
      <c r="G3699" s="18"/>
      <c r="H3699" s="16" t="s">
        <v>87</v>
      </c>
      <c r="I3699" s="16" t="s">
        <v>87</v>
      </c>
      <c r="J3699" s="19"/>
      <c r="L3699" s="16" t="str">
        <f>IFERROR(__xludf.DUMMYFUNCTION("""COMPUTED_VALUE"""),"")</f>
        <v/>
      </c>
      <c r="M3699" s="16" t="str">
        <f>IFERROR(__xludf.DUMMYFUNCTION("""COMPUTED_VALUE"""),"")</f>
        <v/>
      </c>
      <c r="U3699" s="16" t="s">
        <v>87</v>
      </c>
      <c r="V3699" s="16" t="str">
        <f>IFERROR(__xludf.DUMMYFUNCTION("""COMPUTED_VALUE"""),"")</f>
        <v/>
      </c>
      <c r="W3699" s="16" t="str">
        <f>IFERROR(__xludf.DUMMYFUNCTION("""COMPUTED_VALUE"""),"")</f>
        <v/>
      </c>
      <c r="X3699" s="16" t="str">
        <f>IFERROR(__xludf.DUMMYFUNCTION("""COMPUTED_VALUE"""),"")</f>
        <v/>
      </c>
      <c r="AC3699" s="16" t="str">
        <f>IFERROR(__xludf.DUMMYFUNCTION("""COMPUTED_VALUE"""),"")</f>
        <v/>
      </c>
    </row>
    <row r="3700">
      <c r="A3700" s="16" t="s">
        <v>87</v>
      </c>
      <c r="E3700" s="16" t="str">
        <f>IFERROR(__xludf.DUMMYFUNCTION("""COMPUTED_VALUE"""),"")</f>
        <v/>
      </c>
      <c r="G3700" s="18"/>
      <c r="H3700" s="16" t="s">
        <v>87</v>
      </c>
      <c r="I3700" s="16" t="s">
        <v>87</v>
      </c>
      <c r="J3700" s="19"/>
      <c r="L3700" s="16" t="str">
        <f>IFERROR(__xludf.DUMMYFUNCTION("""COMPUTED_VALUE"""),"")</f>
        <v/>
      </c>
      <c r="M3700" s="16" t="str">
        <f>IFERROR(__xludf.DUMMYFUNCTION("""COMPUTED_VALUE"""),"")</f>
        <v/>
      </c>
      <c r="U3700" s="16" t="s">
        <v>87</v>
      </c>
      <c r="V3700" s="16" t="str">
        <f>IFERROR(__xludf.DUMMYFUNCTION("""COMPUTED_VALUE"""),"")</f>
        <v/>
      </c>
      <c r="W3700" s="16" t="str">
        <f>IFERROR(__xludf.DUMMYFUNCTION("""COMPUTED_VALUE"""),"")</f>
        <v/>
      </c>
      <c r="X3700" s="16" t="str">
        <f>IFERROR(__xludf.DUMMYFUNCTION("""COMPUTED_VALUE"""),"")</f>
        <v/>
      </c>
      <c r="AC3700" s="16" t="str">
        <f>IFERROR(__xludf.DUMMYFUNCTION("""COMPUTED_VALUE"""),"")</f>
        <v/>
      </c>
    </row>
    <row r="3701">
      <c r="A3701" s="16" t="s">
        <v>87</v>
      </c>
      <c r="E3701" s="16" t="str">
        <f>IFERROR(__xludf.DUMMYFUNCTION("""COMPUTED_VALUE"""),"")</f>
        <v/>
      </c>
      <c r="G3701" s="18"/>
      <c r="H3701" s="16" t="s">
        <v>87</v>
      </c>
      <c r="I3701" s="16" t="s">
        <v>87</v>
      </c>
      <c r="J3701" s="19"/>
      <c r="L3701" s="16" t="str">
        <f>IFERROR(__xludf.DUMMYFUNCTION("""COMPUTED_VALUE"""),"")</f>
        <v/>
      </c>
      <c r="M3701" s="16" t="str">
        <f>IFERROR(__xludf.DUMMYFUNCTION("""COMPUTED_VALUE"""),"")</f>
        <v/>
      </c>
      <c r="U3701" s="16" t="s">
        <v>87</v>
      </c>
      <c r="V3701" s="16" t="str">
        <f>IFERROR(__xludf.DUMMYFUNCTION("""COMPUTED_VALUE"""),"")</f>
        <v/>
      </c>
      <c r="W3701" s="16" t="str">
        <f>IFERROR(__xludf.DUMMYFUNCTION("""COMPUTED_VALUE"""),"")</f>
        <v/>
      </c>
      <c r="X3701" s="16" t="str">
        <f>IFERROR(__xludf.DUMMYFUNCTION("""COMPUTED_VALUE"""),"")</f>
        <v/>
      </c>
      <c r="AC3701" s="16" t="str">
        <f>IFERROR(__xludf.DUMMYFUNCTION("""COMPUTED_VALUE"""),"")</f>
        <v/>
      </c>
    </row>
    <row r="3702">
      <c r="A3702" s="16" t="s">
        <v>87</v>
      </c>
      <c r="E3702" s="16" t="str">
        <f>IFERROR(__xludf.DUMMYFUNCTION("""COMPUTED_VALUE"""),"")</f>
        <v/>
      </c>
      <c r="G3702" s="18"/>
      <c r="H3702" s="16" t="s">
        <v>87</v>
      </c>
      <c r="I3702" s="16" t="s">
        <v>87</v>
      </c>
      <c r="J3702" s="19"/>
      <c r="L3702" s="16" t="str">
        <f>IFERROR(__xludf.DUMMYFUNCTION("""COMPUTED_VALUE"""),"")</f>
        <v/>
      </c>
      <c r="M3702" s="16" t="str">
        <f>IFERROR(__xludf.DUMMYFUNCTION("""COMPUTED_VALUE"""),"")</f>
        <v/>
      </c>
      <c r="U3702" s="16" t="s">
        <v>87</v>
      </c>
      <c r="V3702" s="16" t="str">
        <f>IFERROR(__xludf.DUMMYFUNCTION("""COMPUTED_VALUE"""),"")</f>
        <v/>
      </c>
      <c r="W3702" s="16" t="str">
        <f>IFERROR(__xludf.DUMMYFUNCTION("""COMPUTED_VALUE"""),"")</f>
        <v/>
      </c>
      <c r="X3702" s="16" t="str">
        <f>IFERROR(__xludf.DUMMYFUNCTION("""COMPUTED_VALUE"""),"")</f>
        <v/>
      </c>
      <c r="AC3702" s="16" t="str">
        <f>IFERROR(__xludf.DUMMYFUNCTION("""COMPUTED_VALUE"""),"")</f>
        <v/>
      </c>
    </row>
    <row r="3703">
      <c r="A3703" s="16" t="s">
        <v>87</v>
      </c>
      <c r="E3703" s="16" t="str">
        <f>IFERROR(__xludf.DUMMYFUNCTION("""COMPUTED_VALUE"""),"")</f>
        <v/>
      </c>
      <c r="G3703" s="18"/>
      <c r="H3703" s="16" t="s">
        <v>87</v>
      </c>
      <c r="I3703" s="16" t="s">
        <v>87</v>
      </c>
      <c r="J3703" s="19"/>
      <c r="L3703" s="16" t="str">
        <f>IFERROR(__xludf.DUMMYFUNCTION("""COMPUTED_VALUE"""),"")</f>
        <v/>
      </c>
      <c r="M3703" s="16" t="str">
        <f>IFERROR(__xludf.DUMMYFUNCTION("""COMPUTED_VALUE"""),"")</f>
        <v/>
      </c>
      <c r="U3703" s="16" t="s">
        <v>87</v>
      </c>
      <c r="V3703" s="16" t="str">
        <f>IFERROR(__xludf.DUMMYFUNCTION("""COMPUTED_VALUE"""),"")</f>
        <v/>
      </c>
      <c r="W3703" s="16" t="str">
        <f>IFERROR(__xludf.DUMMYFUNCTION("""COMPUTED_VALUE"""),"")</f>
        <v/>
      </c>
      <c r="X3703" s="16" t="str">
        <f>IFERROR(__xludf.DUMMYFUNCTION("""COMPUTED_VALUE"""),"")</f>
        <v/>
      </c>
      <c r="AC3703" s="16" t="str">
        <f>IFERROR(__xludf.DUMMYFUNCTION("""COMPUTED_VALUE"""),"")</f>
        <v/>
      </c>
    </row>
    <row r="3704">
      <c r="A3704" s="16" t="s">
        <v>87</v>
      </c>
      <c r="E3704" s="16" t="str">
        <f>IFERROR(__xludf.DUMMYFUNCTION("""COMPUTED_VALUE"""),"")</f>
        <v/>
      </c>
      <c r="G3704" s="18"/>
      <c r="H3704" s="16" t="s">
        <v>87</v>
      </c>
      <c r="I3704" s="16" t="s">
        <v>87</v>
      </c>
      <c r="J3704" s="19"/>
      <c r="L3704" s="16" t="str">
        <f>IFERROR(__xludf.DUMMYFUNCTION("""COMPUTED_VALUE"""),"")</f>
        <v/>
      </c>
      <c r="M3704" s="16" t="str">
        <f>IFERROR(__xludf.DUMMYFUNCTION("""COMPUTED_VALUE"""),"")</f>
        <v/>
      </c>
      <c r="U3704" s="16" t="s">
        <v>87</v>
      </c>
      <c r="V3704" s="16" t="str">
        <f>IFERROR(__xludf.DUMMYFUNCTION("""COMPUTED_VALUE"""),"")</f>
        <v/>
      </c>
      <c r="W3704" s="16" t="str">
        <f>IFERROR(__xludf.DUMMYFUNCTION("""COMPUTED_VALUE"""),"")</f>
        <v/>
      </c>
      <c r="X3704" s="16" t="str">
        <f>IFERROR(__xludf.DUMMYFUNCTION("""COMPUTED_VALUE"""),"")</f>
        <v/>
      </c>
      <c r="AC3704" s="16" t="str">
        <f>IFERROR(__xludf.DUMMYFUNCTION("""COMPUTED_VALUE"""),"")</f>
        <v/>
      </c>
    </row>
    <row r="3705">
      <c r="A3705" s="16" t="s">
        <v>87</v>
      </c>
      <c r="E3705" s="16" t="str">
        <f>IFERROR(__xludf.DUMMYFUNCTION("""COMPUTED_VALUE"""),"")</f>
        <v/>
      </c>
      <c r="G3705" s="18"/>
      <c r="H3705" s="16" t="s">
        <v>87</v>
      </c>
      <c r="I3705" s="16" t="s">
        <v>87</v>
      </c>
      <c r="J3705" s="19"/>
      <c r="L3705" s="16" t="str">
        <f>IFERROR(__xludf.DUMMYFUNCTION("""COMPUTED_VALUE"""),"")</f>
        <v/>
      </c>
      <c r="M3705" s="16" t="str">
        <f>IFERROR(__xludf.DUMMYFUNCTION("""COMPUTED_VALUE"""),"")</f>
        <v/>
      </c>
      <c r="U3705" s="16" t="s">
        <v>87</v>
      </c>
      <c r="V3705" s="16" t="str">
        <f>IFERROR(__xludf.DUMMYFUNCTION("""COMPUTED_VALUE"""),"")</f>
        <v/>
      </c>
      <c r="W3705" s="16" t="str">
        <f>IFERROR(__xludf.DUMMYFUNCTION("""COMPUTED_VALUE"""),"")</f>
        <v/>
      </c>
      <c r="X3705" s="16" t="str">
        <f>IFERROR(__xludf.DUMMYFUNCTION("""COMPUTED_VALUE"""),"")</f>
        <v/>
      </c>
      <c r="AC3705" s="16" t="str">
        <f>IFERROR(__xludf.DUMMYFUNCTION("""COMPUTED_VALUE"""),"")</f>
        <v/>
      </c>
    </row>
    <row r="3706">
      <c r="A3706" s="16" t="s">
        <v>87</v>
      </c>
      <c r="E3706" s="16" t="str">
        <f>IFERROR(__xludf.DUMMYFUNCTION("""COMPUTED_VALUE"""),"")</f>
        <v/>
      </c>
      <c r="G3706" s="18"/>
      <c r="H3706" s="16" t="s">
        <v>87</v>
      </c>
      <c r="I3706" s="16" t="s">
        <v>87</v>
      </c>
      <c r="J3706" s="19"/>
      <c r="L3706" s="16" t="str">
        <f>IFERROR(__xludf.DUMMYFUNCTION("""COMPUTED_VALUE"""),"")</f>
        <v/>
      </c>
      <c r="M3706" s="16" t="str">
        <f>IFERROR(__xludf.DUMMYFUNCTION("""COMPUTED_VALUE"""),"")</f>
        <v/>
      </c>
      <c r="U3706" s="16" t="s">
        <v>87</v>
      </c>
      <c r="V3706" s="16" t="str">
        <f>IFERROR(__xludf.DUMMYFUNCTION("""COMPUTED_VALUE"""),"")</f>
        <v/>
      </c>
      <c r="W3706" s="16" t="str">
        <f>IFERROR(__xludf.DUMMYFUNCTION("""COMPUTED_VALUE"""),"")</f>
        <v/>
      </c>
      <c r="X3706" s="16" t="str">
        <f>IFERROR(__xludf.DUMMYFUNCTION("""COMPUTED_VALUE"""),"")</f>
        <v/>
      </c>
      <c r="AC3706" s="16" t="str">
        <f>IFERROR(__xludf.DUMMYFUNCTION("""COMPUTED_VALUE"""),"")</f>
        <v/>
      </c>
    </row>
    <row r="3707">
      <c r="A3707" s="16" t="s">
        <v>87</v>
      </c>
      <c r="E3707" s="16" t="str">
        <f>IFERROR(__xludf.DUMMYFUNCTION("""COMPUTED_VALUE"""),"")</f>
        <v/>
      </c>
      <c r="G3707" s="18"/>
      <c r="H3707" s="16" t="s">
        <v>87</v>
      </c>
      <c r="I3707" s="16" t="s">
        <v>87</v>
      </c>
      <c r="J3707" s="19"/>
      <c r="L3707" s="16" t="str">
        <f>IFERROR(__xludf.DUMMYFUNCTION("""COMPUTED_VALUE"""),"")</f>
        <v/>
      </c>
      <c r="M3707" s="16" t="str">
        <f>IFERROR(__xludf.DUMMYFUNCTION("""COMPUTED_VALUE"""),"")</f>
        <v/>
      </c>
      <c r="U3707" s="16" t="s">
        <v>87</v>
      </c>
      <c r="V3707" s="16" t="str">
        <f>IFERROR(__xludf.DUMMYFUNCTION("""COMPUTED_VALUE"""),"")</f>
        <v/>
      </c>
      <c r="W3707" s="16" t="str">
        <f>IFERROR(__xludf.DUMMYFUNCTION("""COMPUTED_VALUE"""),"")</f>
        <v/>
      </c>
      <c r="X3707" s="16" t="str">
        <f>IFERROR(__xludf.DUMMYFUNCTION("""COMPUTED_VALUE"""),"")</f>
        <v/>
      </c>
      <c r="AC3707" s="16" t="str">
        <f>IFERROR(__xludf.DUMMYFUNCTION("""COMPUTED_VALUE"""),"")</f>
        <v/>
      </c>
    </row>
    <row r="3708">
      <c r="A3708" s="16" t="s">
        <v>87</v>
      </c>
      <c r="E3708" s="16" t="str">
        <f>IFERROR(__xludf.DUMMYFUNCTION("""COMPUTED_VALUE"""),"")</f>
        <v/>
      </c>
      <c r="G3708" s="18"/>
      <c r="H3708" s="16" t="s">
        <v>87</v>
      </c>
      <c r="I3708" s="16" t="s">
        <v>87</v>
      </c>
      <c r="J3708" s="19"/>
      <c r="L3708" s="16" t="str">
        <f>IFERROR(__xludf.DUMMYFUNCTION("""COMPUTED_VALUE"""),"")</f>
        <v/>
      </c>
      <c r="M3708" s="16" t="str">
        <f>IFERROR(__xludf.DUMMYFUNCTION("""COMPUTED_VALUE"""),"")</f>
        <v/>
      </c>
      <c r="U3708" s="16" t="s">
        <v>87</v>
      </c>
      <c r="V3708" s="16" t="str">
        <f>IFERROR(__xludf.DUMMYFUNCTION("""COMPUTED_VALUE"""),"")</f>
        <v/>
      </c>
      <c r="W3708" s="16" t="str">
        <f>IFERROR(__xludf.DUMMYFUNCTION("""COMPUTED_VALUE"""),"")</f>
        <v/>
      </c>
      <c r="X3708" s="16" t="str">
        <f>IFERROR(__xludf.DUMMYFUNCTION("""COMPUTED_VALUE"""),"")</f>
        <v/>
      </c>
      <c r="AC3708" s="16" t="str">
        <f>IFERROR(__xludf.DUMMYFUNCTION("""COMPUTED_VALUE"""),"")</f>
        <v/>
      </c>
    </row>
    <row r="3709">
      <c r="A3709" s="16" t="s">
        <v>87</v>
      </c>
      <c r="E3709" s="16" t="str">
        <f>IFERROR(__xludf.DUMMYFUNCTION("""COMPUTED_VALUE"""),"")</f>
        <v/>
      </c>
      <c r="G3709" s="18"/>
      <c r="H3709" s="16" t="s">
        <v>87</v>
      </c>
      <c r="I3709" s="16" t="s">
        <v>87</v>
      </c>
      <c r="J3709" s="19"/>
      <c r="L3709" s="16" t="str">
        <f>IFERROR(__xludf.DUMMYFUNCTION("""COMPUTED_VALUE"""),"")</f>
        <v/>
      </c>
      <c r="M3709" s="16" t="str">
        <f>IFERROR(__xludf.DUMMYFUNCTION("""COMPUTED_VALUE"""),"")</f>
        <v/>
      </c>
      <c r="U3709" s="16" t="s">
        <v>87</v>
      </c>
      <c r="V3709" s="16" t="str">
        <f>IFERROR(__xludf.DUMMYFUNCTION("""COMPUTED_VALUE"""),"")</f>
        <v/>
      </c>
      <c r="W3709" s="16" t="str">
        <f>IFERROR(__xludf.DUMMYFUNCTION("""COMPUTED_VALUE"""),"")</f>
        <v/>
      </c>
      <c r="X3709" s="16" t="str">
        <f>IFERROR(__xludf.DUMMYFUNCTION("""COMPUTED_VALUE"""),"")</f>
        <v/>
      </c>
      <c r="AC3709" s="16" t="str">
        <f>IFERROR(__xludf.DUMMYFUNCTION("""COMPUTED_VALUE"""),"")</f>
        <v/>
      </c>
    </row>
    <row r="3710">
      <c r="A3710" s="16" t="s">
        <v>87</v>
      </c>
      <c r="E3710" s="16" t="str">
        <f>IFERROR(__xludf.DUMMYFUNCTION("""COMPUTED_VALUE"""),"")</f>
        <v/>
      </c>
      <c r="G3710" s="18"/>
      <c r="H3710" s="16" t="s">
        <v>87</v>
      </c>
      <c r="I3710" s="16" t="s">
        <v>87</v>
      </c>
      <c r="J3710" s="19"/>
      <c r="L3710" s="16" t="str">
        <f>IFERROR(__xludf.DUMMYFUNCTION("""COMPUTED_VALUE"""),"")</f>
        <v/>
      </c>
      <c r="M3710" s="16" t="str">
        <f>IFERROR(__xludf.DUMMYFUNCTION("""COMPUTED_VALUE"""),"")</f>
        <v/>
      </c>
      <c r="U3710" s="16" t="s">
        <v>87</v>
      </c>
      <c r="V3710" s="16" t="str">
        <f>IFERROR(__xludf.DUMMYFUNCTION("""COMPUTED_VALUE"""),"")</f>
        <v/>
      </c>
      <c r="W3710" s="16" t="str">
        <f>IFERROR(__xludf.DUMMYFUNCTION("""COMPUTED_VALUE"""),"")</f>
        <v/>
      </c>
      <c r="X3710" s="16" t="str">
        <f>IFERROR(__xludf.DUMMYFUNCTION("""COMPUTED_VALUE"""),"")</f>
        <v/>
      </c>
      <c r="AC3710" s="16" t="str">
        <f>IFERROR(__xludf.DUMMYFUNCTION("""COMPUTED_VALUE"""),"")</f>
        <v/>
      </c>
    </row>
    <row r="3711">
      <c r="A3711" s="16" t="s">
        <v>87</v>
      </c>
      <c r="E3711" s="16" t="str">
        <f>IFERROR(__xludf.DUMMYFUNCTION("""COMPUTED_VALUE"""),"")</f>
        <v/>
      </c>
      <c r="G3711" s="18"/>
      <c r="H3711" s="16" t="s">
        <v>87</v>
      </c>
      <c r="I3711" s="16" t="s">
        <v>87</v>
      </c>
      <c r="J3711" s="19"/>
      <c r="L3711" s="16" t="str">
        <f>IFERROR(__xludf.DUMMYFUNCTION("""COMPUTED_VALUE"""),"")</f>
        <v/>
      </c>
      <c r="M3711" s="16" t="str">
        <f>IFERROR(__xludf.DUMMYFUNCTION("""COMPUTED_VALUE"""),"")</f>
        <v/>
      </c>
      <c r="U3711" s="16" t="s">
        <v>87</v>
      </c>
      <c r="V3711" s="16" t="str">
        <f>IFERROR(__xludf.DUMMYFUNCTION("""COMPUTED_VALUE"""),"")</f>
        <v/>
      </c>
      <c r="W3711" s="16" t="str">
        <f>IFERROR(__xludf.DUMMYFUNCTION("""COMPUTED_VALUE"""),"")</f>
        <v/>
      </c>
      <c r="X3711" s="16" t="str">
        <f>IFERROR(__xludf.DUMMYFUNCTION("""COMPUTED_VALUE"""),"")</f>
        <v/>
      </c>
      <c r="AC3711" s="16" t="str">
        <f>IFERROR(__xludf.DUMMYFUNCTION("""COMPUTED_VALUE"""),"")</f>
        <v/>
      </c>
    </row>
    <row r="3712">
      <c r="A3712" s="16" t="s">
        <v>87</v>
      </c>
      <c r="E3712" s="16" t="str">
        <f>IFERROR(__xludf.DUMMYFUNCTION("""COMPUTED_VALUE"""),"")</f>
        <v/>
      </c>
      <c r="G3712" s="18"/>
      <c r="H3712" s="16" t="s">
        <v>87</v>
      </c>
      <c r="I3712" s="16" t="s">
        <v>87</v>
      </c>
      <c r="J3712" s="19"/>
      <c r="L3712" s="16" t="str">
        <f>IFERROR(__xludf.DUMMYFUNCTION("""COMPUTED_VALUE"""),"")</f>
        <v/>
      </c>
      <c r="M3712" s="16" t="str">
        <f>IFERROR(__xludf.DUMMYFUNCTION("""COMPUTED_VALUE"""),"")</f>
        <v/>
      </c>
      <c r="U3712" s="16" t="s">
        <v>87</v>
      </c>
      <c r="V3712" s="16" t="str">
        <f>IFERROR(__xludf.DUMMYFUNCTION("""COMPUTED_VALUE"""),"")</f>
        <v/>
      </c>
      <c r="W3712" s="16" t="str">
        <f>IFERROR(__xludf.DUMMYFUNCTION("""COMPUTED_VALUE"""),"")</f>
        <v/>
      </c>
      <c r="X3712" s="16" t="str">
        <f>IFERROR(__xludf.DUMMYFUNCTION("""COMPUTED_VALUE"""),"")</f>
        <v/>
      </c>
      <c r="AC3712" s="16" t="str">
        <f>IFERROR(__xludf.DUMMYFUNCTION("""COMPUTED_VALUE"""),"")</f>
        <v/>
      </c>
    </row>
    <row r="3713">
      <c r="A3713" s="16" t="s">
        <v>87</v>
      </c>
      <c r="E3713" s="16" t="str">
        <f>IFERROR(__xludf.DUMMYFUNCTION("""COMPUTED_VALUE"""),"")</f>
        <v/>
      </c>
      <c r="G3713" s="18"/>
      <c r="H3713" s="16" t="s">
        <v>87</v>
      </c>
      <c r="I3713" s="16" t="s">
        <v>87</v>
      </c>
      <c r="J3713" s="19"/>
      <c r="L3713" s="16" t="str">
        <f>IFERROR(__xludf.DUMMYFUNCTION("""COMPUTED_VALUE"""),"")</f>
        <v/>
      </c>
      <c r="M3713" s="16" t="str">
        <f>IFERROR(__xludf.DUMMYFUNCTION("""COMPUTED_VALUE"""),"")</f>
        <v/>
      </c>
      <c r="U3713" s="16" t="s">
        <v>87</v>
      </c>
      <c r="V3713" s="16" t="str">
        <f>IFERROR(__xludf.DUMMYFUNCTION("""COMPUTED_VALUE"""),"")</f>
        <v/>
      </c>
      <c r="W3713" s="16" t="str">
        <f>IFERROR(__xludf.DUMMYFUNCTION("""COMPUTED_VALUE"""),"")</f>
        <v/>
      </c>
      <c r="X3713" s="16" t="str">
        <f>IFERROR(__xludf.DUMMYFUNCTION("""COMPUTED_VALUE"""),"")</f>
        <v/>
      </c>
      <c r="AC3713" s="16" t="str">
        <f>IFERROR(__xludf.DUMMYFUNCTION("""COMPUTED_VALUE"""),"")</f>
        <v/>
      </c>
    </row>
    <row r="3714">
      <c r="A3714" s="16" t="s">
        <v>87</v>
      </c>
      <c r="E3714" s="16" t="str">
        <f>IFERROR(__xludf.DUMMYFUNCTION("""COMPUTED_VALUE"""),"")</f>
        <v/>
      </c>
      <c r="G3714" s="18"/>
      <c r="H3714" s="16" t="s">
        <v>87</v>
      </c>
      <c r="I3714" s="16" t="s">
        <v>87</v>
      </c>
      <c r="J3714" s="19"/>
      <c r="L3714" s="16" t="str">
        <f>IFERROR(__xludf.DUMMYFUNCTION("""COMPUTED_VALUE"""),"")</f>
        <v/>
      </c>
      <c r="M3714" s="16" t="str">
        <f>IFERROR(__xludf.DUMMYFUNCTION("""COMPUTED_VALUE"""),"")</f>
        <v/>
      </c>
      <c r="U3714" s="16" t="s">
        <v>87</v>
      </c>
      <c r="V3714" s="16" t="str">
        <f>IFERROR(__xludf.DUMMYFUNCTION("""COMPUTED_VALUE"""),"")</f>
        <v/>
      </c>
      <c r="W3714" s="16" t="str">
        <f>IFERROR(__xludf.DUMMYFUNCTION("""COMPUTED_VALUE"""),"")</f>
        <v/>
      </c>
      <c r="X3714" s="16" t="str">
        <f>IFERROR(__xludf.DUMMYFUNCTION("""COMPUTED_VALUE"""),"")</f>
        <v/>
      </c>
      <c r="AC3714" s="16" t="str">
        <f>IFERROR(__xludf.DUMMYFUNCTION("""COMPUTED_VALUE"""),"")</f>
        <v/>
      </c>
    </row>
    <row r="3715">
      <c r="A3715" s="16" t="s">
        <v>87</v>
      </c>
      <c r="E3715" s="16" t="str">
        <f>IFERROR(__xludf.DUMMYFUNCTION("""COMPUTED_VALUE"""),"")</f>
        <v/>
      </c>
      <c r="G3715" s="18"/>
      <c r="H3715" s="16" t="s">
        <v>87</v>
      </c>
      <c r="I3715" s="16" t="s">
        <v>87</v>
      </c>
      <c r="J3715" s="19"/>
      <c r="L3715" s="16" t="str">
        <f>IFERROR(__xludf.DUMMYFUNCTION("""COMPUTED_VALUE"""),"")</f>
        <v/>
      </c>
      <c r="M3715" s="16" t="str">
        <f>IFERROR(__xludf.DUMMYFUNCTION("""COMPUTED_VALUE"""),"")</f>
        <v/>
      </c>
      <c r="U3715" s="16" t="s">
        <v>87</v>
      </c>
      <c r="V3715" s="16" t="str">
        <f>IFERROR(__xludf.DUMMYFUNCTION("""COMPUTED_VALUE"""),"")</f>
        <v/>
      </c>
      <c r="W3715" s="16" t="str">
        <f>IFERROR(__xludf.DUMMYFUNCTION("""COMPUTED_VALUE"""),"")</f>
        <v/>
      </c>
      <c r="X3715" s="16" t="str">
        <f>IFERROR(__xludf.DUMMYFUNCTION("""COMPUTED_VALUE"""),"")</f>
        <v/>
      </c>
      <c r="AC3715" s="16" t="str">
        <f>IFERROR(__xludf.DUMMYFUNCTION("""COMPUTED_VALUE"""),"")</f>
        <v/>
      </c>
    </row>
    <row r="3716">
      <c r="A3716" s="16" t="s">
        <v>87</v>
      </c>
      <c r="E3716" s="16" t="str">
        <f>IFERROR(__xludf.DUMMYFUNCTION("""COMPUTED_VALUE"""),"")</f>
        <v/>
      </c>
      <c r="G3716" s="18"/>
      <c r="H3716" s="16" t="s">
        <v>87</v>
      </c>
      <c r="I3716" s="16" t="s">
        <v>87</v>
      </c>
      <c r="J3716" s="19"/>
      <c r="L3716" s="16" t="str">
        <f>IFERROR(__xludf.DUMMYFUNCTION("""COMPUTED_VALUE"""),"")</f>
        <v/>
      </c>
      <c r="M3716" s="16" t="str">
        <f>IFERROR(__xludf.DUMMYFUNCTION("""COMPUTED_VALUE"""),"")</f>
        <v/>
      </c>
      <c r="U3716" s="16" t="s">
        <v>87</v>
      </c>
      <c r="V3716" s="16" t="str">
        <f>IFERROR(__xludf.DUMMYFUNCTION("""COMPUTED_VALUE"""),"")</f>
        <v/>
      </c>
      <c r="W3716" s="16" t="str">
        <f>IFERROR(__xludf.DUMMYFUNCTION("""COMPUTED_VALUE"""),"")</f>
        <v/>
      </c>
      <c r="X3716" s="16" t="str">
        <f>IFERROR(__xludf.DUMMYFUNCTION("""COMPUTED_VALUE"""),"")</f>
        <v/>
      </c>
      <c r="AC3716" s="16" t="str">
        <f>IFERROR(__xludf.DUMMYFUNCTION("""COMPUTED_VALUE"""),"")</f>
        <v/>
      </c>
    </row>
    <row r="3717">
      <c r="A3717" s="16" t="s">
        <v>87</v>
      </c>
      <c r="E3717" s="16" t="str">
        <f>IFERROR(__xludf.DUMMYFUNCTION("""COMPUTED_VALUE"""),"")</f>
        <v/>
      </c>
      <c r="G3717" s="18"/>
      <c r="H3717" s="16" t="s">
        <v>87</v>
      </c>
      <c r="I3717" s="16" t="s">
        <v>87</v>
      </c>
      <c r="J3717" s="19"/>
      <c r="L3717" s="16" t="str">
        <f>IFERROR(__xludf.DUMMYFUNCTION("""COMPUTED_VALUE"""),"")</f>
        <v/>
      </c>
      <c r="M3717" s="16" t="str">
        <f>IFERROR(__xludf.DUMMYFUNCTION("""COMPUTED_VALUE"""),"")</f>
        <v/>
      </c>
      <c r="U3717" s="16" t="s">
        <v>87</v>
      </c>
      <c r="V3717" s="16" t="str">
        <f>IFERROR(__xludf.DUMMYFUNCTION("""COMPUTED_VALUE"""),"")</f>
        <v/>
      </c>
      <c r="W3717" s="16" t="str">
        <f>IFERROR(__xludf.DUMMYFUNCTION("""COMPUTED_VALUE"""),"")</f>
        <v/>
      </c>
      <c r="X3717" s="16" t="str">
        <f>IFERROR(__xludf.DUMMYFUNCTION("""COMPUTED_VALUE"""),"")</f>
        <v/>
      </c>
      <c r="AC3717" s="16" t="str">
        <f>IFERROR(__xludf.DUMMYFUNCTION("""COMPUTED_VALUE"""),"")</f>
        <v/>
      </c>
    </row>
    <row r="3718">
      <c r="A3718" s="16" t="s">
        <v>87</v>
      </c>
      <c r="E3718" s="16" t="str">
        <f>IFERROR(__xludf.DUMMYFUNCTION("""COMPUTED_VALUE"""),"")</f>
        <v/>
      </c>
      <c r="G3718" s="18"/>
      <c r="H3718" s="16" t="s">
        <v>87</v>
      </c>
      <c r="I3718" s="16" t="s">
        <v>87</v>
      </c>
      <c r="J3718" s="19"/>
      <c r="L3718" s="16" t="str">
        <f>IFERROR(__xludf.DUMMYFUNCTION("""COMPUTED_VALUE"""),"")</f>
        <v/>
      </c>
      <c r="M3718" s="16" t="str">
        <f>IFERROR(__xludf.DUMMYFUNCTION("""COMPUTED_VALUE"""),"")</f>
        <v/>
      </c>
      <c r="U3718" s="16" t="s">
        <v>87</v>
      </c>
      <c r="V3718" s="16" t="str">
        <f>IFERROR(__xludf.DUMMYFUNCTION("""COMPUTED_VALUE"""),"")</f>
        <v/>
      </c>
      <c r="W3718" s="16" t="str">
        <f>IFERROR(__xludf.DUMMYFUNCTION("""COMPUTED_VALUE"""),"")</f>
        <v/>
      </c>
      <c r="X3718" s="16" t="str">
        <f>IFERROR(__xludf.DUMMYFUNCTION("""COMPUTED_VALUE"""),"")</f>
        <v/>
      </c>
      <c r="AC3718" s="16" t="str">
        <f>IFERROR(__xludf.DUMMYFUNCTION("""COMPUTED_VALUE"""),"")</f>
        <v/>
      </c>
    </row>
    <row r="3719">
      <c r="A3719" s="16" t="s">
        <v>87</v>
      </c>
      <c r="E3719" s="16" t="str">
        <f>IFERROR(__xludf.DUMMYFUNCTION("""COMPUTED_VALUE"""),"")</f>
        <v/>
      </c>
      <c r="G3719" s="18"/>
      <c r="H3719" s="16" t="s">
        <v>87</v>
      </c>
      <c r="I3719" s="16" t="s">
        <v>87</v>
      </c>
      <c r="J3719" s="19"/>
      <c r="L3719" s="16" t="str">
        <f>IFERROR(__xludf.DUMMYFUNCTION("""COMPUTED_VALUE"""),"")</f>
        <v/>
      </c>
      <c r="M3719" s="16" t="str">
        <f>IFERROR(__xludf.DUMMYFUNCTION("""COMPUTED_VALUE"""),"")</f>
        <v/>
      </c>
      <c r="U3719" s="16" t="s">
        <v>87</v>
      </c>
      <c r="V3719" s="16" t="str">
        <f>IFERROR(__xludf.DUMMYFUNCTION("""COMPUTED_VALUE"""),"")</f>
        <v/>
      </c>
      <c r="W3719" s="16" t="str">
        <f>IFERROR(__xludf.DUMMYFUNCTION("""COMPUTED_VALUE"""),"")</f>
        <v/>
      </c>
      <c r="X3719" s="16" t="str">
        <f>IFERROR(__xludf.DUMMYFUNCTION("""COMPUTED_VALUE"""),"")</f>
        <v/>
      </c>
      <c r="AC3719" s="16" t="str">
        <f>IFERROR(__xludf.DUMMYFUNCTION("""COMPUTED_VALUE"""),"")</f>
        <v/>
      </c>
    </row>
    <row r="3720">
      <c r="A3720" s="16" t="s">
        <v>87</v>
      </c>
      <c r="E3720" s="16" t="str">
        <f>IFERROR(__xludf.DUMMYFUNCTION("""COMPUTED_VALUE"""),"")</f>
        <v/>
      </c>
      <c r="G3720" s="18"/>
      <c r="H3720" s="16" t="s">
        <v>87</v>
      </c>
      <c r="I3720" s="16" t="s">
        <v>87</v>
      </c>
      <c r="J3720" s="19"/>
      <c r="L3720" s="16" t="str">
        <f>IFERROR(__xludf.DUMMYFUNCTION("""COMPUTED_VALUE"""),"")</f>
        <v/>
      </c>
      <c r="M3720" s="16" t="str">
        <f>IFERROR(__xludf.DUMMYFUNCTION("""COMPUTED_VALUE"""),"")</f>
        <v/>
      </c>
      <c r="U3720" s="16" t="s">
        <v>87</v>
      </c>
      <c r="V3720" s="16" t="str">
        <f>IFERROR(__xludf.DUMMYFUNCTION("""COMPUTED_VALUE"""),"")</f>
        <v/>
      </c>
      <c r="W3720" s="16" t="str">
        <f>IFERROR(__xludf.DUMMYFUNCTION("""COMPUTED_VALUE"""),"")</f>
        <v/>
      </c>
      <c r="X3720" s="16" t="str">
        <f>IFERROR(__xludf.DUMMYFUNCTION("""COMPUTED_VALUE"""),"")</f>
        <v/>
      </c>
      <c r="AC3720" s="16" t="str">
        <f>IFERROR(__xludf.DUMMYFUNCTION("""COMPUTED_VALUE"""),"")</f>
        <v/>
      </c>
    </row>
    <row r="3721">
      <c r="A3721" s="16" t="s">
        <v>87</v>
      </c>
      <c r="E3721" s="16" t="str">
        <f>IFERROR(__xludf.DUMMYFUNCTION("""COMPUTED_VALUE"""),"")</f>
        <v/>
      </c>
      <c r="G3721" s="18"/>
      <c r="H3721" s="16" t="s">
        <v>87</v>
      </c>
      <c r="I3721" s="16" t="s">
        <v>87</v>
      </c>
      <c r="J3721" s="19"/>
      <c r="L3721" s="16" t="str">
        <f>IFERROR(__xludf.DUMMYFUNCTION("""COMPUTED_VALUE"""),"")</f>
        <v/>
      </c>
      <c r="M3721" s="16" t="str">
        <f>IFERROR(__xludf.DUMMYFUNCTION("""COMPUTED_VALUE"""),"")</f>
        <v/>
      </c>
      <c r="U3721" s="16" t="s">
        <v>87</v>
      </c>
      <c r="V3721" s="16" t="str">
        <f>IFERROR(__xludf.DUMMYFUNCTION("""COMPUTED_VALUE"""),"")</f>
        <v/>
      </c>
      <c r="W3721" s="16" t="str">
        <f>IFERROR(__xludf.DUMMYFUNCTION("""COMPUTED_VALUE"""),"")</f>
        <v/>
      </c>
      <c r="X3721" s="16" t="str">
        <f>IFERROR(__xludf.DUMMYFUNCTION("""COMPUTED_VALUE"""),"")</f>
        <v/>
      </c>
      <c r="AC3721" s="16" t="str">
        <f>IFERROR(__xludf.DUMMYFUNCTION("""COMPUTED_VALUE"""),"")</f>
        <v/>
      </c>
    </row>
    <row r="3722">
      <c r="A3722" s="16" t="s">
        <v>87</v>
      </c>
      <c r="E3722" s="16" t="str">
        <f>IFERROR(__xludf.DUMMYFUNCTION("""COMPUTED_VALUE"""),"")</f>
        <v/>
      </c>
      <c r="G3722" s="18"/>
      <c r="H3722" s="16" t="s">
        <v>87</v>
      </c>
      <c r="I3722" s="16" t="s">
        <v>87</v>
      </c>
      <c r="J3722" s="19"/>
      <c r="L3722" s="16" t="str">
        <f>IFERROR(__xludf.DUMMYFUNCTION("""COMPUTED_VALUE"""),"")</f>
        <v/>
      </c>
      <c r="M3722" s="16" t="str">
        <f>IFERROR(__xludf.DUMMYFUNCTION("""COMPUTED_VALUE"""),"")</f>
        <v/>
      </c>
      <c r="U3722" s="16" t="s">
        <v>87</v>
      </c>
      <c r="V3722" s="16" t="str">
        <f>IFERROR(__xludf.DUMMYFUNCTION("""COMPUTED_VALUE"""),"")</f>
        <v/>
      </c>
      <c r="W3722" s="16" t="str">
        <f>IFERROR(__xludf.DUMMYFUNCTION("""COMPUTED_VALUE"""),"")</f>
        <v/>
      </c>
      <c r="X3722" s="16" t="str">
        <f>IFERROR(__xludf.DUMMYFUNCTION("""COMPUTED_VALUE"""),"")</f>
        <v/>
      </c>
      <c r="AC3722" s="16" t="str">
        <f>IFERROR(__xludf.DUMMYFUNCTION("""COMPUTED_VALUE"""),"")</f>
        <v/>
      </c>
    </row>
    <row r="3723">
      <c r="A3723" s="16" t="s">
        <v>87</v>
      </c>
      <c r="E3723" s="16" t="str">
        <f>IFERROR(__xludf.DUMMYFUNCTION("""COMPUTED_VALUE"""),"")</f>
        <v/>
      </c>
      <c r="G3723" s="18"/>
      <c r="H3723" s="16" t="s">
        <v>87</v>
      </c>
      <c r="I3723" s="16" t="s">
        <v>87</v>
      </c>
      <c r="J3723" s="19"/>
      <c r="L3723" s="16" t="str">
        <f>IFERROR(__xludf.DUMMYFUNCTION("""COMPUTED_VALUE"""),"")</f>
        <v/>
      </c>
      <c r="M3723" s="16" t="str">
        <f>IFERROR(__xludf.DUMMYFUNCTION("""COMPUTED_VALUE"""),"")</f>
        <v/>
      </c>
      <c r="U3723" s="16" t="s">
        <v>87</v>
      </c>
      <c r="V3723" s="16" t="str">
        <f>IFERROR(__xludf.DUMMYFUNCTION("""COMPUTED_VALUE"""),"")</f>
        <v/>
      </c>
      <c r="W3723" s="16" t="str">
        <f>IFERROR(__xludf.DUMMYFUNCTION("""COMPUTED_VALUE"""),"")</f>
        <v/>
      </c>
      <c r="X3723" s="16" t="str">
        <f>IFERROR(__xludf.DUMMYFUNCTION("""COMPUTED_VALUE"""),"")</f>
        <v/>
      </c>
      <c r="AC3723" s="16" t="str">
        <f>IFERROR(__xludf.DUMMYFUNCTION("""COMPUTED_VALUE"""),"")</f>
        <v/>
      </c>
    </row>
    <row r="3724">
      <c r="A3724" s="16" t="s">
        <v>87</v>
      </c>
      <c r="E3724" s="16" t="str">
        <f>IFERROR(__xludf.DUMMYFUNCTION("""COMPUTED_VALUE"""),"")</f>
        <v/>
      </c>
      <c r="G3724" s="18"/>
      <c r="H3724" s="16" t="s">
        <v>87</v>
      </c>
      <c r="I3724" s="16" t="s">
        <v>87</v>
      </c>
      <c r="J3724" s="19"/>
      <c r="L3724" s="16" t="str">
        <f>IFERROR(__xludf.DUMMYFUNCTION("""COMPUTED_VALUE"""),"")</f>
        <v/>
      </c>
      <c r="M3724" s="16" t="str">
        <f>IFERROR(__xludf.DUMMYFUNCTION("""COMPUTED_VALUE"""),"")</f>
        <v/>
      </c>
      <c r="U3724" s="16" t="s">
        <v>87</v>
      </c>
      <c r="V3724" s="16" t="str">
        <f>IFERROR(__xludf.DUMMYFUNCTION("""COMPUTED_VALUE"""),"")</f>
        <v/>
      </c>
      <c r="W3724" s="16" t="str">
        <f>IFERROR(__xludf.DUMMYFUNCTION("""COMPUTED_VALUE"""),"")</f>
        <v/>
      </c>
      <c r="X3724" s="16" t="str">
        <f>IFERROR(__xludf.DUMMYFUNCTION("""COMPUTED_VALUE"""),"")</f>
        <v/>
      </c>
      <c r="AC3724" s="16" t="str">
        <f>IFERROR(__xludf.DUMMYFUNCTION("""COMPUTED_VALUE"""),"")</f>
        <v/>
      </c>
    </row>
    <row r="3725">
      <c r="A3725" s="16" t="s">
        <v>87</v>
      </c>
      <c r="E3725" s="16" t="str">
        <f>IFERROR(__xludf.DUMMYFUNCTION("""COMPUTED_VALUE"""),"")</f>
        <v/>
      </c>
      <c r="G3725" s="18"/>
      <c r="H3725" s="16" t="s">
        <v>87</v>
      </c>
      <c r="I3725" s="16" t="s">
        <v>87</v>
      </c>
      <c r="J3725" s="19"/>
      <c r="L3725" s="16" t="str">
        <f>IFERROR(__xludf.DUMMYFUNCTION("""COMPUTED_VALUE"""),"")</f>
        <v/>
      </c>
      <c r="M3725" s="16" t="str">
        <f>IFERROR(__xludf.DUMMYFUNCTION("""COMPUTED_VALUE"""),"")</f>
        <v/>
      </c>
      <c r="U3725" s="16" t="s">
        <v>87</v>
      </c>
      <c r="V3725" s="16" t="str">
        <f>IFERROR(__xludf.DUMMYFUNCTION("""COMPUTED_VALUE"""),"")</f>
        <v/>
      </c>
      <c r="W3725" s="16" t="str">
        <f>IFERROR(__xludf.DUMMYFUNCTION("""COMPUTED_VALUE"""),"")</f>
        <v/>
      </c>
      <c r="X3725" s="16" t="str">
        <f>IFERROR(__xludf.DUMMYFUNCTION("""COMPUTED_VALUE"""),"")</f>
        <v/>
      </c>
      <c r="AC3725" s="16" t="str">
        <f>IFERROR(__xludf.DUMMYFUNCTION("""COMPUTED_VALUE"""),"")</f>
        <v/>
      </c>
    </row>
    <row r="3726">
      <c r="A3726" s="16" t="s">
        <v>87</v>
      </c>
      <c r="E3726" s="16" t="str">
        <f>IFERROR(__xludf.DUMMYFUNCTION("""COMPUTED_VALUE"""),"")</f>
        <v/>
      </c>
      <c r="G3726" s="18"/>
      <c r="H3726" s="16" t="s">
        <v>87</v>
      </c>
      <c r="I3726" s="16" t="s">
        <v>87</v>
      </c>
      <c r="J3726" s="19"/>
      <c r="L3726" s="16" t="str">
        <f>IFERROR(__xludf.DUMMYFUNCTION("""COMPUTED_VALUE"""),"")</f>
        <v/>
      </c>
      <c r="M3726" s="16" t="str">
        <f>IFERROR(__xludf.DUMMYFUNCTION("""COMPUTED_VALUE"""),"")</f>
        <v/>
      </c>
      <c r="U3726" s="16" t="s">
        <v>87</v>
      </c>
      <c r="V3726" s="16" t="str">
        <f>IFERROR(__xludf.DUMMYFUNCTION("""COMPUTED_VALUE"""),"")</f>
        <v/>
      </c>
      <c r="W3726" s="16" t="str">
        <f>IFERROR(__xludf.DUMMYFUNCTION("""COMPUTED_VALUE"""),"")</f>
        <v/>
      </c>
      <c r="X3726" s="16" t="str">
        <f>IFERROR(__xludf.DUMMYFUNCTION("""COMPUTED_VALUE"""),"")</f>
        <v/>
      </c>
      <c r="AC3726" s="16" t="str">
        <f>IFERROR(__xludf.DUMMYFUNCTION("""COMPUTED_VALUE"""),"")</f>
        <v/>
      </c>
    </row>
    <row r="3727">
      <c r="A3727" s="16" t="s">
        <v>87</v>
      </c>
      <c r="E3727" s="16" t="str">
        <f>IFERROR(__xludf.DUMMYFUNCTION("""COMPUTED_VALUE"""),"")</f>
        <v/>
      </c>
      <c r="G3727" s="18"/>
      <c r="H3727" s="16" t="s">
        <v>87</v>
      </c>
      <c r="I3727" s="16" t="s">
        <v>87</v>
      </c>
      <c r="J3727" s="19"/>
      <c r="L3727" s="16" t="str">
        <f>IFERROR(__xludf.DUMMYFUNCTION("""COMPUTED_VALUE"""),"")</f>
        <v/>
      </c>
      <c r="M3727" s="16" t="str">
        <f>IFERROR(__xludf.DUMMYFUNCTION("""COMPUTED_VALUE"""),"")</f>
        <v/>
      </c>
      <c r="U3727" s="16" t="s">
        <v>87</v>
      </c>
      <c r="V3727" s="16" t="str">
        <f>IFERROR(__xludf.DUMMYFUNCTION("""COMPUTED_VALUE"""),"")</f>
        <v/>
      </c>
      <c r="W3727" s="16" t="str">
        <f>IFERROR(__xludf.DUMMYFUNCTION("""COMPUTED_VALUE"""),"")</f>
        <v/>
      </c>
      <c r="X3727" s="16" t="str">
        <f>IFERROR(__xludf.DUMMYFUNCTION("""COMPUTED_VALUE"""),"")</f>
        <v/>
      </c>
      <c r="AC3727" s="16" t="str">
        <f>IFERROR(__xludf.DUMMYFUNCTION("""COMPUTED_VALUE"""),"")</f>
        <v/>
      </c>
    </row>
    <row r="3728">
      <c r="A3728" s="16" t="s">
        <v>87</v>
      </c>
      <c r="E3728" s="16" t="str">
        <f>IFERROR(__xludf.DUMMYFUNCTION("""COMPUTED_VALUE"""),"")</f>
        <v/>
      </c>
      <c r="G3728" s="18"/>
      <c r="H3728" s="16" t="s">
        <v>87</v>
      </c>
      <c r="I3728" s="16" t="s">
        <v>87</v>
      </c>
      <c r="J3728" s="19"/>
      <c r="L3728" s="16" t="str">
        <f>IFERROR(__xludf.DUMMYFUNCTION("""COMPUTED_VALUE"""),"")</f>
        <v/>
      </c>
      <c r="M3728" s="16" t="str">
        <f>IFERROR(__xludf.DUMMYFUNCTION("""COMPUTED_VALUE"""),"")</f>
        <v/>
      </c>
      <c r="U3728" s="16" t="s">
        <v>87</v>
      </c>
      <c r="V3728" s="16" t="str">
        <f>IFERROR(__xludf.DUMMYFUNCTION("""COMPUTED_VALUE"""),"")</f>
        <v/>
      </c>
      <c r="W3728" s="16" t="str">
        <f>IFERROR(__xludf.DUMMYFUNCTION("""COMPUTED_VALUE"""),"")</f>
        <v/>
      </c>
      <c r="X3728" s="16" t="str">
        <f>IFERROR(__xludf.DUMMYFUNCTION("""COMPUTED_VALUE"""),"")</f>
        <v/>
      </c>
      <c r="AC3728" s="16" t="str">
        <f>IFERROR(__xludf.DUMMYFUNCTION("""COMPUTED_VALUE"""),"")</f>
        <v/>
      </c>
    </row>
    <row r="3729">
      <c r="A3729" s="16" t="s">
        <v>87</v>
      </c>
      <c r="E3729" s="16" t="str">
        <f>IFERROR(__xludf.DUMMYFUNCTION("""COMPUTED_VALUE"""),"")</f>
        <v/>
      </c>
      <c r="G3729" s="18"/>
      <c r="H3729" s="16" t="s">
        <v>87</v>
      </c>
      <c r="I3729" s="16" t="s">
        <v>87</v>
      </c>
      <c r="J3729" s="19"/>
      <c r="L3729" s="16" t="str">
        <f>IFERROR(__xludf.DUMMYFUNCTION("""COMPUTED_VALUE"""),"")</f>
        <v/>
      </c>
      <c r="M3729" s="16" t="str">
        <f>IFERROR(__xludf.DUMMYFUNCTION("""COMPUTED_VALUE"""),"")</f>
        <v/>
      </c>
      <c r="U3729" s="16" t="s">
        <v>87</v>
      </c>
      <c r="V3729" s="16" t="str">
        <f>IFERROR(__xludf.DUMMYFUNCTION("""COMPUTED_VALUE"""),"")</f>
        <v/>
      </c>
      <c r="W3729" s="16" t="str">
        <f>IFERROR(__xludf.DUMMYFUNCTION("""COMPUTED_VALUE"""),"")</f>
        <v/>
      </c>
      <c r="X3729" s="16" t="str">
        <f>IFERROR(__xludf.DUMMYFUNCTION("""COMPUTED_VALUE"""),"")</f>
        <v/>
      </c>
      <c r="AC3729" s="16" t="str">
        <f>IFERROR(__xludf.DUMMYFUNCTION("""COMPUTED_VALUE"""),"")</f>
        <v/>
      </c>
    </row>
    <row r="3730">
      <c r="A3730" s="16" t="s">
        <v>87</v>
      </c>
      <c r="E3730" s="16" t="str">
        <f>IFERROR(__xludf.DUMMYFUNCTION("""COMPUTED_VALUE"""),"")</f>
        <v/>
      </c>
      <c r="G3730" s="18"/>
      <c r="H3730" s="16" t="s">
        <v>87</v>
      </c>
      <c r="I3730" s="16" t="s">
        <v>87</v>
      </c>
      <c r="J3730" s="19"/>
      <c r="L3730" s="16" t="str">
        <f>IFERROR(__xludf.DUMMYFUNCTION("""COMPUTED_VALUE"""),"")</f>
        <v/>
      </c>
      <c r="M3730" s="16" t="str">
        <f>IFERROR(__xludf.DUMMYFUNCTION("""COMPUTED_VALUE"""),"")</f>
        <v/>
      </c>
      <c r="U3730" s="16" t="s">
        <v>87</v>
      </c>
      <c r="V3730" s="16" t="str">
        <f>IFERROR(__xludf.DUMMYFUNCTION("""COMPUTED_VALUE"""),"")</f>
        <v/>
      </c>
      <c r="W3730" s="16" t="str">
        <f>IFERROR(__xludf.DUMMYFUNCTION("""COMPUTED_VALUE"""),"")</f>
        <v/>
      </c>
      <c r="X3730" s="16" t="str">
        <f>IFERROR(__xludf.DUMMYFUNCTION("""COMPUTED_VALUE"""),"")</f>
        <v/>
      </c>
      <c r="AC3730" s="16" t="str">
        <f>IFERROR(__xludf.DUMMYFUNCTION("""COMPUTED_VALUE"""),"")</f>
        <v/>
      </c>
    </row>
    <row r="3731">
      <c r="A3731" s="16" t="s">
        <v>87</v>
      </c>
      <c r="E3731" s="16" t="str">
        <f>IFERROR(__xludf.DUMMYFUNCTION("""COMPUTED_VALUE"""),"")</f>
        <v/>
      </c>
      <c r="G3731" s="18"/>
      <c r="H3731" s="16" t="s">
        <v>87</v>
      </c>
      <c r="I3731" s="16" t="s">
        <v>87</v>
      </c>
      <c r="J3731" s="19"/>
      <c r="L3731" s="16" t="str">
        <f>IFERROR(__xludf.DUMMYFUNCTION("""COMPUTED_VALUE"""),"")</f>
        <v/>
      </c>
      <c r="M3731" s="16" t="str">
        <f>IFERROR(__xludf.DUMMYFUNCTION("""COMPUTED_VALUE"""),"")</f>
        <v/>
      </c>
      <c r="U3731" s="16" t="s">
        <v>87</v>
      </c>
      <c r="V3731" s="16" t="str">
        <f>IFERROR(__xludf.DUMMYFUNCTION("""COMPUTED_VALUE"""),"")</f>
        <v/>
      </c>
      <c r="W3731" s="16" t="str">
        <f>IFERROR(__xludf.DUMMYFUNCTION("""COMPUTED_VALUE"""),"")</f>
        <v/>
      </c>
      <c r="X3731" s="16" t="str">
        <f>IFERROR(__xludf.DUMMYFUNCTION("""COMPUTED_VALUE"""),"")</f>
        <v/>
      </c>
      <c r="AC3731" s="16" t="str">
        <f>IFERROR(__xludf.DUMMYFUNCTION("""COMPUTED_VALUE"""),"")</f>
        <v/>
      </c>
    </row>
    <row r="3732">
      <c r="A3732" s="16" t="s">
        <v>87</v>
      </c>
      <c r="E3732" s="16" t="str">
        <f>IFERROR(__xludf.DUMMYFUNCTION("""COMPUTED_VALUE"""),"")</f>
        <v/>
      </c>
      <c r="G3732" s="18"/>
      <c r="H3732" s="16" t="s">
        <v>87</v>
      </c>
      <c r="I3732" s="16" t="s">
        <v>87</v>
      </c>
      <c r="J3732" s="19"/>
      <c r="L3732" s="16" t="str">
        <f>IFERROR(__xludf.DUMMYFUNCTION("""COMPUTED_VALUE"""),"")</f>
        <v/>
      </c>
      <c r="M3732" s="16" t="str">
        <f>IFERROR(__xludf.DUMMYFUNCTION("""COMPUTED_VALUE"""),"")</f>
        <v/>
      </c>
      <c r="U3732" s="16" t="s">
        <v>87</v>
      </c>
      <c r="V3732" s="16" t="str">
        <f>IFERROR(__xludf.DUMMYFUNCTION("""COMPUTED_VALUE"""),"")</f>
        <v/>
      </c>
      <c r="W3732" s="16" t="str">
        <f>IFERROR(__xludf.DUMMYFUNCTION("""COMPUTED_VALUE"""),"")</f>
        <v/>
      </c>
      <c r="X3732" s="16" t="str">
        <f>IFERROR(__xludf.DUMMYFUNCTION("""COMPUTED_VALUE"""),"")</f>
        <v/>
      </c>
      <c r="AC3732" s="16" t="str">
        <f>IFERROR(__xludf.DUMMYFUNCTION("""COMPUTED_VALUE"""),"")</f>
        <v/>
      </c>
    </row>
    <row r="3733">
      <c r="A3733" s="16" t="s">
        <v>87</v>
      </c>
      <c r="E3733" s="16" t="str">
        <f>IFERROR(__xludf.DUMMYFUNCTION("""COMPUTED_VALUE"""),"")</f>
        <v/>
      </c>
      <c r="G3733" s="18"/>
      <c r="H3733" s="16" t="s">
        <v>87</v>
      </c>
      <c r="I3733" s="16" t="s">
        <v>87</v>
      </c>
      <c r="J3733" s="19"/>
      <c r="L3733" s="16" t="str">
        <f>IFERROR(__xludf.DUMMYFUNCTION("""COMPUTED_VALUE"""),"")</f>
        <v/>
      </c>
      <c r="M3733" s="16" t="str">
        <f>IFERROR(__xludf.DUMMYFUNCTION("""COMPUTED_VALUE"""),"")</f>
        <v/>
      </c>
      <c r="U3733" s="16" t="s">
        <v>87</v>
      </c>
      <c r="V3733" s="16" t="str">
        <f>IFERROR(__xludf.DUMMYFUNCTION("""COMPUTED_VALUE"""),"")</f>
        <v/>
      </c>
      <c r="W3733" s="16" t="str">
        <f>IFERROR(__xludf.DUMMYFUNCTION("""COMPUTED_VALUE"""),"")</f>
        <v/>
      </c>
      <c r="X3733" s="16" t="str">
        <f>IFERROR(__xludf.DUMMYFUNCTION("""COMPUTED_VALUE"""),"")</f>
        <v/>
      </c>
      <c r="AC3733" s="16" t="str">
        <f>IFERROR(__xludf.DUMMYFUNCTION("""COMPUTED_VALUE"""),"")</f>
        <v/>
      </c>
    </row>
    <row r="3734">
      <c r="A3734" s="16" t="s">
        <v>87</v>
      </c>
      <c r="E3734" s="16" t="str">
        <f>IFERROR(__xludf.DUMMYFUNCTION("""COMPUTED_VALUE"""),"")</f>
        <v/>
      </c>
      <c r="G3734" s="18"/>
      <c r="H3734" s="16" t="s">
        <v>87</v>
      </c>
      <c r="I3734" s="16" t="s">
        <v>87</v>
      </c>
      <c r="J3734" s="19"/>
      <c r="L3734" s="16" t="str">
        <f>IFERROR(__xludf.DUMMYFUNCTION("""COMPUTED_VALUE"""),"")</f>
        <v/>
      </c>
      <c r="M3734" s="16" t="str">
        <f>IFERROR(__xludf.DUMMYFUNCTION("""COMPUTED_VALUE"""),"")</f>
        <v/>
      </c>
      <c r="U3734" s="16" t="s">
        <v>87</v>
      </c>
      <c r="V3734" s="16" t="str">
        <f>IFERROR(__xludf.DUMMYFUNCTION("""COMPUTED_VALUE"""),"")</f>
        <v/>
      </c>
      <c r="W3734" s="16" t="str">
        <f>IFERROR(__xludf.DUMMYFUNCTION("""COMPUTED_VALUE"""),"")</f>
        <v/>
      </c>
      <c r="X3734" s="16" t="str">
        <f>IFERROR(__xludf.DUMMYFUNCTION("""COMPUTED_VALUE"""),"")</f>
        <v/>
      </c>
      <c r="AC3734" s="16" t="str">
        <f>IFERROR(__xludf.DUMMYFUNCTION("""COMPUTED_VALUE"""),"")</f>
        <v/>
      </c>
    </row>
    <row r="3735">
      <c r="A3735" s="16" t="s">
        <v>87</v>
      </c>
      <c r="E3735" s="16" t="str">
        <f>IFERROR(__xludf.DUMMYFUNCTION("""COMPUTED_VALUE"""),"")</f>
        <v/>
      </c>
      <c r="G3735" s="18"/>
      <c r="H3735" s="16" t="s">
        <v>87</v>
      </c>
      <c r="I3735" s="16" t="s">
        <v>87</v>
      </c>
      <c r="J3735" s="19"/>
      <c r="L3735" s="16" t="str">
        <f>IFERROR(__xludf.DUMMYFUNCTION("""COMPUTED_VALUE"""),"")</f>
        <v/>
      </c>
      <c r="M3735" s="16" t="str">
        <f>IFERROR(__xludf.DUMMYFUNCTION("""COMPUTED_VALUE"""),"")</f>
        <v/>
      </c>
      <c r="U3735" s="16" t="s">
        <v>87</v>
      </c>
      <c r="V3735" s="16" t="str">
        <f>IFERROR(__xludf.DUMMYFUNCTION("""COMPUTED_VALUE"""),"")</f>
        <v/>
      </c>
      <c r="W3735" s="16" t="str">
        <f>IFERROR(__xludf.DUMMYFUNCTION("""COMPUTED_VALUE"""),"")</f>
        <v/>
      </c>
      <c r="X3735" s="16" t="str">
        <f>IFERROR(__xludf.DUMMYFUNCTION("""COMPUTED_VALUE"""),"")</f>
        <v/>
      </c>
      <c r="AC3735" s="16" t="str">
        <f>IFERROR(__xludf.DUMMYFUNCTION("""COMPUTED_VALUE"""),"")</f>
        <v/>
      </c>
    </row>
    <row r="3736">
      <c r="A3736" s="16" t="s">
        <v>87</v>
      </c>
      <c r="E3736" s="16" t="str">
        <f>IFERROR(__xludf.DUMMYFUNCTION("""COMPUTED_VALUE"""),"")</f>
        <v/>
      </c>
      <c r="G3736" s="18"/>
      <c r="H3736" s="16" t="s">
        <v>87</v>
      </c>
      <c r="I3736" s="16" t="s">
        <v>87</v>
      </c>
      <c r="J3736" s="19"/>
      <c r="L3736" s="16" t="str">
        <f>IFERROR(__xludf.DUMMYFUNCTION("""COMPUTED_VALUE"""),"")</f>
        <v/>
      </c>
      <c r="M3736" s="16" t="str">
        <f>IFERROR(__xludf.DUMMYFUNCTION("""COMPUTED_VALUE"""),"")</f>
        <v/>
      </c>
      <c r="U3736" s="16" t="s">
        <v>87</v>
      </c>
      <c r="V3736" s="16" t="str">
        <f>IFERROR(__xludf.DUMMYFUNCTION("""COMPUTED_VALUE"""),"")</f>
        <v/>
      </c>
      <c r="W3736" s="16" t="str">
        <f>IFERROR(__xludf.DUMMYFUNCTION("""COMPUTED_VALUE"""),"")</f>
        <v/>
      </c>
      <c r="X3736" s="16" t="str">
        <f>IFERROR(__xludf.DUMMYFUNCTION("""COMPUTED_VALUE"""),"")</f>
        <v/>
      </c>
      <c r="AC3736" s="16" t="str">
        <f>IFERROR(__xludf.DUMMYFUNCTION("""COMPUTED_VALUE"""),"")</f>
        <v/>
      </c>
    </row>
    <row r="3737">
      <c r="A3737" s="16" t="s">
        <v>87</v>
      </c>
      <c r="E3737" s="16" t="str">
        <f>IFERROR(__xludf.DUMMYFUNCTION("""COMPUTED_VALUE"""),"")</f>
        <v/>
      </c>
      <c r="G3737" s="18"/>
      <c r="H3737" s="16" t="s">
        <v>87</v>
      </c>
      <c r="I3737" s="16" t="s">
        <v>87</v>
      </c>
      <c r="J3737" s="19"/>
      <c r="L3737" s="16" t="str">
        <f>IFERROR(__xludf.DUMMYFUNCTION("""COMPUTED_VALUE"""),"")</f>
        <v/>
      </c>
      <c r="M3737" s="16" t="str">
        <f>IFERROR(__xludf.DUMMYFUNCTION("""COMPUTED_VALUE"""),"")</f>
        <v/>
      </c>
      <c r="U3737" s="16" t="s">
        <v>87</v>
      </c>
      <c r="V3737" s="16" t="str">
        <f>IFERROR(__xludf.DUMMYFUNCTION("""COMPUTED_VALUE"""),"")</f>
        <v/>
      </c>
      <c r="W3737" s="16" t="str">
        <f>IFERROR(__xludf.DUMMYFUNCTION("""COMPUTED_VALUE"""),"")</f>
        <v/>
      </c>
      <c r="X3737" s="16" t="str">
        <f>IFERROR(__xludf.DUMMYFUNCTION("""COMPUTED_VALUE"""),"")</f>
        <v/>
      </c>
      <c r="AC3737" s="16" t="str">
        <f>IFERROR(__xludf.DUMMYFUNCTION("""COMPUTED_VALUE"""),"")</f>
        <v/>
      </c>
    </row>
    <row r="3738">
      <c r="A3738" s="16" t="s">
        <v>87</v>
      </c>
      <c r="E3738" s="16" t="str">
        <f>IFERROR(__xludf.DUMMYFUNCTION("""COMPUTED_VALUE"""),"")</f>
        <v/>
      </c>
      <c r="G3738" s="18"/>
      <c r="H3738" s="16" t="s">
        <v>87</v>
      </c>
      <c r="I3738" s="16" t="s">
        <v>87</v>
      </c>
      <c r="J3738" s="19"/>
      <c r="L3738" s="16" t="str">
        <f>IFERROR(__xludf.DUMMYFUNCTION("""COMPUTED_VALUE"""),"")</f>
        <v/>
      </c>
      <c r="M3738" s="16" t="str">
        <f>IFERROR(__xludf.DUMMYFUNCTION("""COMPUTED_VALUE"""),"")</f>
        <v/>
      </c>
      <c r="U3738" s="16" t="s">
        <v>87</v>
      </c>
      <c r="V3738" s="16" t="str">
        <f>IFERROR(__xludf.DUMMYFUNCTION("""COMPUTED_VALUE"""),"")</f>
        <v/>
      </c>
      <c r="W3738" s="16" t="str">
        <f>IFERROR(__xludf.DUMMYFUNCTION("""COMPUTED_VALUE"""),"")</f>
        <v/>
      </c>
      <c r="X3738" s="16" t="str">
        <f>IFERROR(__xludf.DUMMYFUNCTION("""COMPUTED_VALUE"""),"")</f>
        <v/>
      </c>
      <c r="AC3738" s="16" t="str">
        <f>IFERROR(__xludf.DUMMYFUNCTION("""COMPUTED_VALUE"""),"")</f>
        <v/>
      </c>
    </row>
    <row r="3739">
      <c r="A3739" s="16" t="s">
        <v>87</v>
      </c>
      <c r="E3739" s="16" t="str">
        <f>IFERROR(__xludf.DUMMYFUNCTION("""COMPUTED_VALUE"""),"")</f>
        <v/>
      </c>
      <c r="G3739" s="18"/>
      <c r="H3739" s="16" t="s">
        <v>87</v>
      </c>
      <c r="I3739" s="16" t="s">
        <v>87</v>
      </c>
      <c r="J3739" s="19"/>
      <c r="L3739" s="16" t="str">
        <f>IFERROR(__xludf.DUMMYFUNCTION("""COMPUTED_VALUE"""),"")</f>
        <v/>
      </c>
      <c r="M3739" s="16" t="str">
        <f>IFERROR(__xludf.DUMMYFUNCTION("""COMPUTED_VALUE"""),"")</f>
        <v/>
      </c>
      <c r="U3739" s="16" t="s">
        <v>87</v>
      </c>
      <c r="V3739" s="16" t="str">
        <f>IFERROR(__xludf.DUMMYFUNCTION("""COMPUTED_VALUE"""),"")</f>
        <v/>
      </c>
      <c r="W3739" s="16" t="str">
        <f>IFERROR(__xludf.DUMMYFUNCTION("""COMPUTED_VALUE"""),"")</f>
        <v/>
      </c>
      <c r="X3739" s="16" t="str">
        <f>IFERROR(__xludf.DUMMYFUNCTION("""COMPUTED_VALUE"""),"")</f>
        <v/>
      </c>
      <c r="AC3739" s="16" t="str">
        <f>IFERROR(__xludf.DUMMYFUNCTION("""COMPUTED_VALUE"""),"")</f>
        <v/>
      </c>
    </row>
    <row r="3740">
      <c r="A3740" s="16" t="s">
        <v>87</v>
      </c>
      <c r="E3740" s="16" t="str">
        <f>IFERROR(__xludf.DUMMYFUNCTION("""COMPUTED_VALUE"""),"")</f>
        <v/>
      </c>
      <c r="G3740" s="18"/>
      <c r="H3740" s="16" t="s">
        <v>87</v>
      </c>
      <c r="I3740" s="16" t="s">
        <v>87</v>
      </c>
      <c r="J3740" s="19"/>
      <c r="L3740" s="16" t="str">
        <f>IFERROR(__xludf.DUMMYFUNCTION("""COMPUTED_VALUE"""),"")</f>
        <v/>
      </c>
      <c r="M3740" s="16" t="str">
        <f>IFERROR(__xludf.DUMMYFUNCTION("""COMPUTED_VALUE"""),"")</f>
        <v/>
      </c>
      <c r="U3740" s="16" t="s">
        <v>87</v>
      </c>
      <c r="V3740" s="16" t="str">
        <f>IFERROR(__xludf.DUMMYFUNCTION("""COMPUTED_VALUE"""),"")</f>
        <v/>
      </c>
      <c r="W3740" s="16" t="str">
        <f>IFERROR(__xludf.DUMMYFUNCTION("""COMPUTED_VALUE"""),"")</f>
        <v/>
      </c>
      <c r="X3740" s="16" t="str">
        <f>IFERROR(__xludf.DUMMYFUNCTION("""COMPUTED_VALUE"""),"")</f>
        <v/>
      </c>
      <c r="AC3740" s="16" t="str">
        <f>IFERROR(__xludf.DUMMYFUNCTION("""COMPUTED_VALUE"""),"")</f>
        <v/>
      </c>
    </row>
    <row r="3741">
      <c r="A3741" s="16" t="s">
        <v>87</v>
      </c>
      <c r="E3741" s="16" t="str">
        <f>IFERROR(__xludf.DUMMYFUNCTION("""COMPUTED_VALUE"""),"")</f>
        <v/>
      </c>
      <c r="G3741" s="18"/>
      <c r="H3741" s="16" t="s">
        <v>87</v>
      </c>
      <c r="I3741" s="16" t="s">
        <v>87</v>
      </c>
      <c r="J3741" s="19"/>
      <c r="L3741" s="16" t="str">
        <f>IFERROR(__xludf.DUMMYFUNCTION("""COMPUTED_VALUE"""),"")</f>
        <v/>
      </c>
      <c r="M3741" s="16" t="str">
        <f>IFERROR(__xludf.DUMMYFUNCTION("""COMPUTED_VALUE"""),"")</f>
        <v/>
      </c>
      <c r="U3741" s="16" t="s">
        <v>87</v>
      </c>
      <c r="V3741" s="16" t="str">
        <f>IFERROR(__xludf.DUMMYFUNCTION("""COMPUTED_VALUE"""),"")</f>
        <v/>
      </c>
      <c r="W3741" s="16" t="str">
        <f>IFERROR(__xludf.DUMMYFUNCTION("""COMPUTED_VALUE"""),"")</f>
        <v/>
      </c>
      <c r="X3741" s="16" t="str">
        <f>IFERROR(__xludf.DUMMYFUNCTION("""COMPUTED_VALUE"""),"")</f>
        <v/>
      </c>
      <c r="AC3741" s="16" t="str">
        <f>IFERROR(__xludf.DUMMYFUNCTION("""COMPUTED_VALUE"""),"")</f>
        <v/>
      </c>
    </row>
    <row r="3742">
      <c r="A3742" s="16" t="s">
        <v>87</v>
      </c>
      <c r="E3742" s="16" t="str">
        <f>IFERROR(__xludf.DUMMYFUNCTION("""COMPUTED_VALUE"""),"")</f>
        <v/>
      </c>
      <c r="G3742" s="18"/>
      <c r="H3742" s="16" t="s">
        <v>87</v>
      </c>
      <c r="I3742" s="16" t="s">
        <v>87</v>
      </c>
      <c r="J3742" s="19"/>
      <c r="L3742" s="16" t="str">
        <f>IFERROR(__xludf.DUMMYFUNCTION("""COMPUTED_VALUE"""),"")</f>
        <v/>
      </c>
      <c r="M3742" s="16" t="str">
        <f>IFERROR(__xludf.DUMMYFUNCTION("""COMPUTED_VALUE"""),"")</f>
        <v/>
      </c>
      <c r="U3742" s="16" t="s">
        <v>87</v>
      </c>
      <c r="V3742" s="16" t="str">
        <f>IFERROR(__xludf.DUMMYFUNCTION("""COMPUTED_VALUE"""),"")</f>
        <v/>
      </c>
      <c r="W3742" s="16" t="str">
        <f>IFERROR(__xludf.DUMMYFUNCTION("""COMPUTED_VALUE"""),"")</f>
        <v/>
      </c>
      <c r="X3742" s="16" t="str">
        <f>IFERROR(__xludf.DUMMYFUNCTION("""COMPUTED_VALUE"""),"")</f>
        <v/>
      </c>
      <c r="AC3742" s="16" t="str">
        <f>IFERROR(__xludf.DUMMYFUNCTION("""COMPUTED_VALUE"""),"")</f>
        <v/>
      </c>
    </row>
    <row r="3743">
      <c r="A3743" s="16" t="s">
        <v>87</v>
      </c>
      <c r="E3743" s="16" t="str">
        <f>IFERROR(__xludf.DUMMYFUNCTION("""COMPUTED_VALUE"""),"")</f>
        <v/>
      </c>
      <c r="G3743" s="18"/>
      <c r="H3743" s="16" t="s">
        <v>87</v>
      </c>
      <c r="I3743" s="16" t="s">
        <v>87</v>
      </c>
      <c r="J3743" s="19"/>
      <c r="L3743" s="16" t="str">
        <f>IFERROR(__xludf.DUMMYFUNCTION("""COMPUTED_VALUE"""),"")</f>
        <v/>
      </c>
      <c r="M3743" s="16" t="str">
        <f>IFERROR(__xludf.DUMMYFUNCTION("""COMPUTED_VALUE"""),"")</f>
        <v/>
      </c>
      <c r="U3743" s="16" t="s">
        <v>87</v>
      </c>
      <c r="V3743" s="16" t="str">
        <f>IFERROR(__xludf.DUMMYFUNCTION("""COMPUTED_VALUE"""),"")</f>
        <v/>
      </c>
      <c r="W3743" s="16" t="str">
        <f>IFERROR(__xludf.DUMMYFUNCTION("""COMPUTED_VALUE"""),"")</f>
        <v/>
      </c>
      <c r="X3743" s="16" t="str">
        <f>IFERROR(__xludf.DUMMYFUNCTION("""COMPUTED_VALUE"""),"")</f>
        <v/>
      </c>
      <c r="AC3743" s="16" t="str">
        <f>IFERROR(__xludf.DUMMYFUNCTION("""COMPUTED_VALUE"""),"")</f>
        <v/>
      </c>
    </row>
    <row r="3744">
      <c r="A3744" s="16" t="s">
        <v>87</v>
      </c>
      <c r="E3744" s="16" t="str">
        <f>IFERROR(__xludf.DUMMYFUNCTION("""COMPUTED_VALUE"""),"")</f>
        <v/>
      </c>
      <c r="G3744" s="18"/>
      <c r="H3744" s="16" t="s">
        <v>87</v>
      </c>
      <c r="I3744" s="16" t="s">
        <v>87</v>
      </c>
      <c r="J3744" s="19"/>
      <c r="L3744" s="16" t="str">
        <f>IFERROR(__xludf.DUMMYFUNCTION("""COMPUTED_VALUE"""),"")</f>
        <v/>
      </c>
      <c r="M3744" s="16" t="str">
        <f>IFERROR(__xludf.DUMMYFUNCTION("""COMPUTED_VALUE"""),"")</f>
        <v/>
      </c>
      <c r="U3744" s="16" t="s">
        <v>87</v>
      </c>
      <c r="V3744" s="16" t="str">
        <f>IFERROR(__xludf.DUMMYFUNCTION("""COMPUTED_VALUE"""),"")</f>
        <v/>
      </c>
      <c r="W3744" s="16" t="str">
        <f>IFERROR(__xludf.DUMMYFUNCTION("""COMPUTED_VALUE"""),"")</f>
        <v/>
      </c>
      <c r="X3744" s="16" t="str">
        <f>IFERROR(__xludf.DUMMYFUNCTION("""COMPUTED_VALUE"""),"")</f>
        <v/>
      </c>
      <c r="AC3744" s="16" t="str">
        <f>IFERROR(__xludf.DUMMYFUNCTION("""COMPUTED_VALUE"""),"")</f>
        <v/>
      </c>
    </row>
    <row r="3745">
      <c r="A3745" s="16" t="s">
        <v>87</v>
      </c>
      <c r="E3745" s="16" t="str">
        <f>IFERROR(__xludf.DUMMYFUNCTION("""COMPUTED_VALUE"""),"")</f>
        <v/>
      </c>
      <c r="G3745" s="18"/>
      <c r="H3745" s="16" t="s">
        <v>87</v>
      </c>
      <c r="I3745" s="16" t="s">
        <v>87</v>
      </c>
      <c r="J3745" s="19"/>
      <c r="L3745" s="16" t="str">
        <f>IFERROR(__xludf.DUMMYFUNCTION("""COMPUTED_VALUE"""),"")</f>
        <v/>
      </c>
      <c r="M3745" s="16" t="str">
        <f>IFERROR(__xludf.DUMMYFUNCTION("""COMPUTED_VALUE"""),"")</f>
        <v/>
      </c>
      <c r="U3745" s="16" t="s">
        <v>87</v>
      </c>
      <c r="V3745" s="16" t="str">
        <f>IFERROR(__xludf.DUMMYFUNCTION("""COMPUTED_VALUE"""),"")</f>
        <v/>
      </c>
      <c r="W3745" s="16" t="str">
        <f>IFERROR(__xludf.DUMMYFUNCTION("""COMPUTED_VALUE"""),"")</f>
        <v/>
      </c>
      <c r="X3745" s="16" t="str">
        <f>IFERROR(__xludf.DUMMYFUNCTION("""COMPUTED_VALUE"""),"")</f>
        <v/>
      </c>
      <c r="AC3745" s="16" t="str">
        <f>IFERROR(__xludf.DUMMYFUNCTION("""COMPUTED_VALUE"""),"")</f>
        <v/>
      </c>
    </row>
    <row r="3746">
      <c r="A3746" s="16" t="s">
        <v>87</v>
      </c>
      <c r="E3746" s="16" t="str">
        <f>IFERROR(__xludf.DUMMYFUNCTION("""COMPUTED_VALUE"""),"")</f>
        <v/>
      </c>
      <c r="G3746" s="18"/>
      <c r="H3746" s="16" t="s">
        <v>87</v>
      </c>
      <c r="I3746" s="16" t="s">
        <v>87</v>
      </c>
      <c r="J3746" s="19"/>
      <c r="L3746" s="16" t="str">
        <f>IFERROR(__xludf.DUMMYFUNCTION("""COMPUTED_VALUE"""),"")</f>
        <v/>
      </c>
      <c r="M3746" s="16" t="str">
        <f>IFERROR(__xludf.DUMMYFUNCTION("""COMPUTED_VALUE"""),"")</f>
        <v/>
      </c>
      <c r="U3746" s="16" t="s">
        <v>87</v>
      </c>
      <c r="V3746" s="16" t="str">
        <f>IFERROR(__xludf.DUMMYFUNCTION("""COMPUTED_VALUE"""),"")</f>
        <v/>
      </c>
      <c r="W3746" s="16" t="str">
        <f>IFERROR(__xludf.DUMMYFUNCTION("""COMPUTED_VALUE"""),"")</f>
        <v/>
      </c>
      <c r="X3746" s="16" t="str">
        <f>IFERROR(__xludf.DUMMYFUNCTION("""COMPUTED_VALUE"""),"")</f>
        <v/>
      </c>
      <c r="AC3746" s="16" t="str">
        <f>IFERROR(__xludf.DUMMYFUNCTION("""COMPUTED_VALUE"""),"")</f>
        <v/>
      </c>
    </row>
    <row r="3747">
      <c r="A3747" s="16" t="s">
        <v>87</v>
      </c>
      <c r="E3747" s="16" t="str">
        <f>IFERROR(__xludf.DUMMYFUNCTION("""COMPUTED_VALUE"""),"")</f>
        <v/>
      </c>
      <c r="G3747" s="18"/>
      <c r="H3747" s="16" t="s">
        <v>87</v>
      </c>
      <c r="I3747" s="16" t="s">
        <v>87</v>
      </c>
      <c r="J3747" s="19"/>
      <c r="L3747" s="16" t="str">
        <f>IFERROR(__xludf.DUMMYFUNCTION("""COMPUTED_VALUE"""),"")</f>
        <v/>
      </c>
      <c r="M3747" s="16" t="str">
        <f>IFERROR(__xludf.DUMMYFUNCTION("""COMPUTED_VALUE"""),"")</f>
        <v/>
      </c>
      <c r="U3747" s="16" t="s">
        <v>87</v>
      </c>
      <c r="V3747" s="16" t="str">
        <f>IFERROR(__xludf.DUMMYFUNCTION("""COMPUTED_VALUE"""),"")</f>
        <v/>
      </c>
      <c r="W3747" s="16" t="str">
        <f>IFERROR(__xludf.DUMMYFUNCTION("""COMPUTED_VALUE"""),"")</f>
        <v/>
      </c>
      <c r="X3747" s="16" t="str">
        <f>IFERROR(__xludf.DUMMYFUNCTION("""COMPUTED_VALUE"""),"")</f>
        <v/>
      </c>
      <c r="AC3747" s="16" t="str">
        <f>IFERROR(__xludf.DUMMYFUNCTION("""COMPUTED_VALUE"""),"")</f>
        <v/>
      </c>
    </row>
    <row r="3748">
      <c r="A3748" s="16" t="s">
        <v>87</v>
      </c>
      <c r="E3748" s="16" t="str">
        <f>IFERROR(__xludf.DUMMYFUNCTION("""COMPUTED_VALUE"""),"")</f>
        <v/>
      </c>
      <c r="G3748" s="18"/>
      <c r="H3748" s="16" t="s">
        <v>87</v>
      </c>
      <c r="I3748" s="16" t="s">
        <v>87</v>
      </c>
      <c r="J3748" s="19"/>
      <c r="L3748" s="16" t="str">
        <f>IFERROR(__xludf.DUMMYFUNCTION("""COMPUTED_VALUE"""),"")</f>
        <v/>
      </c>
      <c r="M3748" s="16" t="str">
        <f>IFERROR(__xludf.DUMMYFUNCTION("""COMPUTED_VALUE"""),"")</f>
        <v/>
      </c>
      <c r="U3748" s="16" t="s">
        <v>87</v>
      </c>
      <c r="V3748" s="16" t="str">
        <f>IFERROR(__xludf.DUMMYFUNCTION("""COMPUTED_VALUE"""),"")</f>
        <v/>
      </c>
      <c r="W3748" s="16" t="str">
        <f>IFERROR(__xludf.DUMMYFUNCTION("""COMPUTED_VALUE"""),"")</f>
        <v/>
      </c>
      <c r="X3748" s="16" t="str">
        <f>IFERROR(__xludf.DUMMYFUNCTION("""COMPUTED_VALUE"""),"")</f>
        <v/>
      </c>
      <c r="AC3748" s="16" t="str">
        <f>IFERROR(__xludf.DUMMYFUNCTION("""COMPUTED_VALUE"""),"")</f>
        <v/>
      </c>
    </row>
    <row r="3749">
      <c r="A3749" s="16" t="s">
        <v>87</v>
      </c>
      <c r="E3749" s="16" t="str">
        <f>IFERROR(__xludf.DUMMYFUNCTION("""COMPUTED_VALUE"""),"")</f>
        <v/>
      </c>
      <c r="G3749" s="18"/>
      <c r="H3749" s="16" t="s">
        <v>87</v>
      </c>
      <c r="I3749" s="16" t="s">
        <v>87</v>
      </c>
      <c r="J3749" s="19"/>
      <c r="L3749" s="16" t="str">
        <f>IFERROR(__xludf.DUMMYFUNCTION("""COMPUTED_VALUE"""),"")</f>
        <v/>
      </c>
      <c r="M3749" s="16" t="str">
        <f>IFERROR(__xludf.DUMMYFUNCTION("""COMPUTED_VALUE"""),"")</f>
        <v/>
      </c>
      <c r="U3749" s="16" t="s">
        <v>87</v>
      </c>
      <c r="V3749" s="16" t="str">
        <f>IFERROR(__xludf.DUMMYFUNCTION("""COMPUTED_VALUE"""),"")</f>
        <v/>
      </c>
      <c r="W3749" s="16" t="str">
        <f>IFERROR(__xludf.DUMMYFUNCTION("""COMPUTED_VALUE"""),"")</f>
        <v/>
      </c>
      <c r="X3749" s="16" t="str">
        <f>IFERROR(__xludf.DUMMYFUNCTION("""COMPUTED_VALUE"""),"")</f>
        <v/>
      </c>
      <c r="AC3749" s="16" t="str">
        <f>IFERROR(__xludf.DUMMYFUNCTION("""COMPUTED_VALUE"""),"")</f>
        <v/>
      </c>
    </row>
    <row r="3750">
      <c r="A3750" s="16" t="s">
        <v>87</v>
      </c>
      <c r="E3750" s="16" t="str">
        <f>IFERROR(__xludf.DUMMYFUNCTION("""COMPUTED_VALUE"""),"")</f>
        <v/>
      </c>
      <c r="G3750" s="18"/>
      <c r="H3750" s="16" t="s">
        <v>87</v>
      </c>
      <c r="I3750" s="16" t="s">
        <v>87</v>
      </c>
      <c r="J3750" s="19"/>
      <c r="L3750" s="16" t="str">
        <f>IFERROR(__xludf.DUMMYFUNCTION("""COMPUTED_VALUE"""),"")</f>
        <v/>
      </c>
      <c r="M3750" s="16" t="str">
        <f>IFERROR(__xludf.DUMMYFUNCTION("""COMPUTED_VALUE"""),"")</f>
        <v/>
      </c>
      <c r="U3750" s="16" t="s">
        <v>87</v>
      </c>
      <c r="V3750" s="16" t="str">
        <f>IFERROR(__xludf.DUMMYFUNCTION("""COMPUTED_VALUE"""),"")</f>
        <v/>
      </c>
      <c r="W3750" s="16" t="str">
        <f>IFERROR(__xludf.DUMMYFUNCTION("""COMPUTED_VALUE"""),"")</f>
        <v/>
      </c>
      <c r="X3750" s="16" t="str">
        <f>IFERROR(__xludf.DUMMYFUNCTION("""COMPUTED_VALUE"""),"")</f>
        <v/>
      </c>
      <c r="AC3750" s="16" t="str">
        <f>IFERROR(__xludf.DUMMYFUNCTION("""COMPUTED_VALUE"""),"")</f>
        <v/>
      </c>
    </row>
    <row r="3751">
      <c r="A3751" s="16" t="s">
        <v>87</v>
      </c>
      <c r="E3751" s="16" t="str">
        <f>IFERROR(__xludf.DUMMYFUNCTION("""COMPUTED_VALUE"""),"")</f>
        <v/>
      </c>
      <c r="G3751" s="18"/>
      <c r="H3751" s="16" t="s">
        <v>87</v>
      </c>
      <c r="I3751" s="16" t="s">
        <v>87</v>
      </c>
      <c r="J3751" s="19"/>
      <c r="L3751" s="16" t="str">
        <f>IFERROR(__xludf.DUMMYFUNCTION("""COMPUTED_VALUE"""),"")</f>
        <v/>
      </c>
      <c r="M3751" s="16" t="str">
        <f>IFERROR(__xludf.DUMMYFUNCTION("""COMPUTED_VALUE"""),"")</f>
        <v/>
      </c>
      <c r="U3751" s="16" t="s">
        <v>87</v>
      </c>
      <c r="V3751" s="16" t="str">
        <f>IFERROR(__xludf.DUMMYFUNCTION("""COMPUTED_VALUE"""),"")</f>
        <v/>
      </c>
      <c r="W3751" s="16" t="str">
        <f>IFERROR(__xludf.DUMMYFUNCTION("""COMPUTED_VALUE"""),"")</f>
        <v/>
      </c>
      <c r="X3751" s="16" t="str">
        <f>IFERROR(__xludf.DUMMYFUNCTION("""COMPUTED_VALUE"""),"")</f>
        <v/>
      </c>
      <c r="AC3751" s="16" t="str">
        <f>IFERROR(__xludf.DUMMYFUNCTION("""COMPUTED_VALUE"""),"")</f>
        <v/>
      </c>
    </row>
    <row r="3752">
      <c r="A3752" s="16" t="s">
        <v>87</v>
      </c>
      <c r="E3752" s="16" t="str">
        <f>IFERROR(__xludf.DUMMYFUNCTION("""COMPUTED_VALUE"""),"")</f>
        <v/>
      </c>
      <c r="G3752" s="18"/>
      <c r="H3752" s="16" t="s">
        <v>87</v>
      </c>
      <c r="I3752" s="16" t="s">
        <v>87</v>
      </c>
      <c r="J3752" s="19"/>
      <c r="L3752" s="16" t="str">
        <f>IFERROR(__xludf.DUMMYFUNCTION("""COMPUTED_VALUE"""),"")</f>
        <v/>
      </c>
      <c r="M3752" s="16" t="str">
        <f>IFERROR(__xludf.DUMMYFUNCTION("""COMPUTED_VALUE"""),"")</f>
        <v/>
      </c>
      <c r="U3752" s="16" t="s">
        <v>87</v>
      </c>
      <c r="V3752" s="16" t="str">
        <f>IFERROR(__xludf.DUMMYFUNCTION("""COMPUTED_VALUE"""),"")</f>
        <v/>
      </c>
      <c r="W3752" s="16" t="str">
        <f>IFERROR(__xludf.DUMMYFUNCTION("""COMPUTED_VALUE"""),"")</f>
        <v/>
      </c>
      <c r="X3752" s="16" t="str">
        <f>IFERROR(__xludf.DUMMYFUNCTION("""COMPUTED_VALUE"""),"")</f>
        <v/>
      </c>
      <c r="AC3752" s="16" t="str">
        <f>IFERROR(__xludf.DUMMYFUNCTION("""COMPUTED_VALUE"""),"")</f>
        <v/>
      </c>
    </row>
    <row r="3753">
      <c r="A3753" s="16" t="s">
        <v>87</v>
      </c>
      <c r="E3753" s="16" t="str">
        <f>IFERROR(__xludf.DUMMYFUNCTION("""COMPUTED_VALUE"""),"")</f>
        <v/>
      </c>
      <c r="G3753" s="18"/>
      <c r="H3753" s="16" t="s">
        <v>87</v>
      </c>
      <c r="I3753" s="16" t="s">
        <v>87</v>
      </c>
      <c r="J3753" s="19"/>
      <c r="L3753" s="16" t="str">
        <f>IFERROR(__xludf.DUMMYFUNCTION("""COMPUTED_VALUE"""),"")</f>
        <v/>
      </c>
      <c r="M3753" s="16" t="str">
        <f>IFERROR(__xludf.DUMMYFUNCTION("""COMPUTED_VALUE"""),"")</f>
        <v/>
      </c>
      <c r="U3753" s="16" t="s">
        <v>87</v>
      </c>
      <c r="V3753" s="16" t="str">
        <f>IFERROR(__xludf.DUMMYFUNCTION("""COMPUTED_VALUE"""),"")</f>
        <v/>
      </c>
      <c r="W3753" s="16" t="str">
        <f>IFERROR(__xludf.DUMMYFUNCTION("""COMPUTED_VALUE"""),"")</f>
        <v/>
      </c>
      <c r="X3753" s="16" t="str">
        <f>IFERROR(__xludf.DUMMYFUNCTION("""COMPUTED_VALUE"""),"")</f>
        <v/>
      </c>
      <c r="AC3753" s="16" t="str">
        <f>IFERROR(__xludf.DUMMYFUNCTION("""COMPUTED_VALUE"""),"")</f>
        <v/>
      </c>
    </row>
    <row r="3754">
      <c r="A3754" s="16" t="s">
        <v>87</v>
      </c>
      <c r="E3754" s="16" t="str">
        <f>IFERROR(__xludf.DUMMYFUNCTION("""COMPUTED_VALUE"""),"")</f>
        <v/>
      </c>
      <c r="G3754" s="18"/>
      <c r="H3754" s="16" t="s">
        <v>87</v>
      </c>
      <c r="I3754" s="16" t="s">
        <v>87</v>
      </c>
      <c r="J3754" s="19"/>
      <c r="L3754" s="16" t="str">
        <f>IFERROR(__xludf.DUMMYFUNCTION("""COMPUTED_VALUE"""),"")</f>
        <v/>
      </c>
      <c r="M3754" s="16" t="str">
        <f>IFERROR(__xludf.DUMMYFUNCTION("""COMPUTED_VALUE"""),"")</f>
        <v/>
      </c>
      <c r="U3754" s="16" t="s">
        <v>87</v>
      </c>
      <c r="V3754" s="16" t="str">
        <f>IFERROR(__xludf.DUMMYFUNCTION("""COMPUTED_VALUE"""),"")</f>
        <v/>
      </c>
      <c r="W3754" s="16" t="str">
        <f>IFERROR(__xludf.DUMMYFUNCTION("""COMPUTED_VALUE"""),"")</f>
        <v/>
      </c>
      <c r="X3754" s="16" t="str">
        <f>IFERROR(__xludf.DUMMYFUNCTION("""COMPUTED_VALUE"""),"")</f>
        <v/>
      </c>
      <c r="AC3754" s="16" t="str">
        <f>IFERROR(__xludf.DUMMYFUNCTION("""COMPUTED_VALUE"""),"")</f>
        <v/>
      </c>
    </row>
    <row r="3755">
      <c r="A3755" s="16" t="s">
        <v>87</v>
      </c>
      <c r="E3755" s="16" t="str">
        <f>IFERROR(__xludf.DUMMYFUNCTION("""COMPUTED_VALUE"""),"")</f>
        <v/>
      </c>
      <c r="G3755" s="18"/>
      <c r="H3755" s="16" t="s">
        <v>87</v>
      </c>
      <c r="I3755" s="16" t="s">
        <v>87</v>
      </c>
      <c r="J3755" s="19"/>
      <c r="L3755" s="16" t="str">
        <f>IFERROR(__xludf.DUMMYFUNCTION("""COMPUTED_VALUE"""),"")</f>
        <v/>
      </c>
      <c r="M3755" s="16" t="str">
        <f>IFERROR(__xludf.DUMMYFUNCTION("""COMPUTED_VALUE"""),"")</f>
        <v/>
      </c>
      <c r="U3755" s="16" t="s">
        <v>87</v>
      </c>
      <c r="V3755" s="16" t="str">
        <f>IFERROR(__xludf.DUMMYFUNCTION("""COMPUTED_VALUE"""),"")</f>
        <v/>
      </c>
      <c r="W3755" s="16" t="str">
        <f>IFERROR(__xludf.DUMMYFUNCTION("""COMPUTED_VALUE"""),"")</f>
        <v/>
      </c>
      <c r="X3755" s="16" t="str">
        <f>IFERROR(__xludf.DUMMYFUNCTION("""COMPUTED_VALUE"""),"")</f>
        <v/>
      </c>
      <c r="AC3755" s="16" t="str">
        <f>IFERROR(__xludf.DUMMYFUNCTION("""COMPUTED_VALUE"""),"")</f>
        <v/>
      </c>
    </row>
    <row r="3756">
      <c r="A3756" s="16" t="s">
        <v>87</v>
      </c>
      <c r="E3756" s="16" t="str">
        <f>IFERROR(__xludf.DUMMYFUNCTION("""COMPUTED_VALUE"""),"")</f>
        <v/>
      </c>
      <c r="G3756" s="18"/>
      <c r="H3756" s="16" t="s">
        <v>87</v>
      </c>
      <c r="I3756" s="16" t="s">
        <v>87</v>
      </c>
      <c r="J3756" s="19"/>
      <c r="L3756" s="16" t="str">
        <f>IFERROR(__xludf.DUMMYFUNCTION("""COMPUTED_VALUE"""),"")</f>
        <v/>
      </c>
      <c r="M3756" s="16" t="str">
        <f>IFERROR(__xludf.DUMMYFUNCTION("""COMPUTED_VALUE"""),"")</f>
        <v/>
      </c>
      <c r="U3756" s="16" t="s">
        <v>87</v>
      </c>
      <c r="V3756" s="16" t="str">
        <f>IFERROR(__xludf.DUMMYFUNCTION("""COMPUTED_VALUE"""),"")</f>
        <v/>
      </c>
      <c r="W3756" s="16" t="str">
        <f>IFERROR(__xludf.DUMMYFUNCTION("""COMPUTED_VALUE"""),"")</f>
        <v/>
      </c>
      <c r="X3756" s="16" t="str">
        <f>IFERROR(__xludf.DUMMYFUNCTION("""COMPUTED_VALUE"""),"")</f>
        <v/>
      </c>
      <c r="AC3756" s="16" t="str">
        <f>IFERROR(__xludf.DUMMYFUNCTION("""COMPUTED_VALUE"""),"")</f>
        <v/>
      </c>
    </row>
    <row r="3757">
      <c r="A3757" s="16" t="s">
        <v>87</v>
      </c>
      <c r="E3757" s="16" t="str">
        <f>IFERROR(__xludf.DUMMYFUNCTION("""COMPUTED_VALUE"""),"")</f>
        <v/>
      </c>
      <c r="G3757" s="18"/>
      <c r="H3757" s="16" t="s">
        <v>87</v>
      </c>
      <c r="I3757" s="16" t="s">
        <v>87</v>
      </c>
      <c r="J3757" s="19"/>
      <c r="L3757" s="16" t="str">
        <f>IFERROR(__xludf.DUMMYFUNCTION("""COMPUTED_VALUE"""),"")</f>
        <v/>
      </c>
      <c r="M3757" s="16" t="str">
        <f>IFERROR(__xludf.DUMMYFUNCTION("""COMPUTED_VALUE"""),"")</f>
        <v/>
      </c>
      <c r="U3757" s="16" t="s">
        <v>87</v>
      </c>
      <c r="V3757" s="16" t="str">
        <f>IFERROR(__xludf.DUMMYFUNCTION("""COMPUTED_VALUE"""),"")</f>
        <v/>
      </c>
      <c r="W3757" s="16" t="str">
        <f>IFERROR(__xludf.DUMMYFUNCTION("""COMPUTED_VALUE"""),"")</f>
        <v/>
      </c>
      <c r="X3757" s="16" t="str">
        <f>IFERROR(__xludf.DUMMYFUNCTION("""COMPUTED_VALUE"""),"")</f>
        <v/>
      </c>
      <c r="AC3757" s="16" t="str">
        <f>IFERROR(__xludf.DUMMYFUNCTION("""COMPUTED_VALUE"""),"")</f>
        <v/>
      </c>
    </row>
    <row r="3758">
      <c r="A3758" s="16" t="s">
        <v>87</v>
      </c>
      <c r="E3758" s="16" t="str">
        <f>IFERROR(__xludf.DUMMYFUNCTION("""COMPUTED_VALUE"""),"")</f>
        <v/>
      </c>
      <c r="G3758" s="18"/>
      <c r="H3758" s="16" t="s">
        <v>87</v>
      </c>
      <c r="I3758" s="16" t="s">
        <v>87</v>
      </c>
      <c r="J3758" s="19"/>
      <c r="L3758" s="16" t="str">
        <f>IFERROR(__xludf.DUMMYFUNCTION("""COMPUTED_VALUE"""),"")</f>
        <v/>
      </c>
      <c r="M3758" s="16" t="str">
        <f>IFERROR(__xludf.DUMMYFUNCTION("""COMPUTED_VALUE"""),"")</f>
        <v/>
      </c>
      <c r="U3758" s="16" t="s">
        <v>87</v>
      </c>
      <c r="V3758" s="16" t="str">
        <f>IFERROR(__xludf.DUMMYFUNCTION("""COMPUTED_VALUE"""),"")</f>
        <v/>
      </c>
      <c r="W3758" s="16" t="str">
        <f>IFERROR(__xludf.DUMMYFUNCTION("""COMPUTED_VALUE"""),"")</f>
        <v/>
      </c>
      <c r="X3758" s="16" t="str">
        <f>IFERROR(__xludf.DUMMYFUNCTION("""COMPUTED_VALUE"""),"")</f>
        <v/>
      </c>
      <c r="AC3758" s="16" t="str">
        <f>IFERROR(__xludf.DUMMYFUNCTION("""COMPUTED_VALUE"""),"")</f>
        <v/>
      </c>
    </row>
    <row r="3759">
      <c r="A3759" s="16" t="s">
        <v>87</v>
      </c>
      <c r="E3759" s="16" t="str">
        <f>IFERROR(__xludf.DUMMYFUNCTION("""COMPUTED_VALUE"""),"")</f>
        <v/>
      </c>
      <c r="G3759" s="18"/>
      <c r="H3759" s="16" t="s">
        <v>87</v>
      </c>
      <c r="I3759" s="16" t="s">
        <v>87</v>
      </c>
      <c r="J3759" s="19"/>
      <c r="L3759" s="16" t="str">
        <f>IFERROR(__xludf.DUMMYFUNCTION("""COMPUTED_VALUE"""),"")</f>
        <v/>
      </c>
      <c r="M3759" s="16" t="str">
        <f>IFERROR(__xludf.DUMMYFUNCTION("""COMPUTED_VALUE"""),"")</f>
        <v/>
      </c>
      <c r="U3759" s="16" t="s">
        <v>87</v>
      </c>
      <c r="V3759" s="16" t="str">
        <f>IFERROR(__xludf.DUMMYFUNCTION("""COMPUTED_VALUE"""),"")</f>
        <v/>
      </c>
      <c r="W3759" s="16" t="str">
        <f>IFERROR(__xludf.DUMMYFUNCTION("""COMPUTED_VALUE"""),"")</f>
        <v/>
      </c>
      <c r="X3759" s="16" t="str">
        <f>IFERROR(__xludf.DUMMYFUNCTION("""COMPUTED_VALUE"""),"")</f>
        <v/>
      </c>
      <c r="AC3759" s="16" t="str">
        <f>IFERROR(__xludf.DUMMYFUNCTION("""COMPUTED_VALUE"""),"")</f>
        <v/>
      </c>
    </row>
    <row r="3760">
      <c r="A3760" s="16" t="s">
        <v>87</v>
      </c>
      <c r="E3760" s="16" t="str">
        <f>IFERROR(__xludf.DUMMYFUNCTION("""COMPUTED_VALUE"""),"")</f>
        <v/>
      </c>
      <c r="G3760" s="18"/>
      <c r="H3760" s="16" t="s">
        <v>87</v>
      </c>
      <c r="I3760" s="16" t="s">
        <v>87</v>
      </c>
      <c r="J3760" s="19"/>
      <c r="L3760" s="16" t="str">
        <f>IFERROR(__xludf.DUMMYFUNCTION("""COMPUTED_VALUE"""),"")</f>
        <v/>
      </c>
      <c r="M3760" s="16" t="str">
        <f>IFERROR(__xludf.DUMMYFUNCTION("""COMPUTED_VALUE"""),"")</f>
        <v/>
      </c>
      <c r="U3760" s="16" t="s">
        <v>87</v>
      </c>
      <c r="V3760" s="16" t="str">
        <f>IFERROR(__xludf.DUMMYFUNCTION("""COMPUTED_VALUE"""),"")</f>
        <v/>
      </c>
      <c r="W3760" s="16" t="str">
        <f>IFERROR(__xludf.DUMMYFUNCTION("""COMPUTED_VALUE"""),"")</f>
        <v/>
      </c>
      <c r="X3760" s="16" t="str">
        <f>IFERROR(__xludf.DUMMYFUNCTION("""COMPUTED_VALUE"""),"")</f>
        <v/>
      </c>
      <c r="AC3760" s="16" t="str">
        <f>IFERROR(__xludf.DUMMYFUNCTION("""COMPUTED_VALUE"""),"")</f>
        <v/>
      </c>
    </row>
    <row r="3761">
      <c r="A3761" s="16" t="s">
        <v>87</v>
      </c>
      <c r="E3761" s="16" t="str">
        <f>IFERROR(__xludf.DUMMYFUNCTION("""COMPUTED_VALUE"""),"")</f>
        <v/>
      </c>
      <c r="G3761" s="18"/>
      <c r="H3761" s="16" t="s">
        <v>87</v>
      </c>
      <c r="I3761" s="16" t="s">
        <v>87</v>
      </c>
      <c r="J3761" s="19"/>
      <c r="L3761" s="16" t="str">
        <f>IFERROR(__xludf.DUMMYFUNCTION("""COMPUTED_VALUE"""),"")</f>
        <v/>
      </c>
      <c r="M3761" s="16" t="str">
        <f>IFERROR(__xludf.DUMMYFUNCTION("""COMPUTED_VALUE"""),"")</f>
        <v/>
      </c>
      <c r="U3761" s="16" t="s">
        <v>87</v>
      </c>
      <c r="V3761" s="16" t="str">
        <f>IFERROR(__xludf.DUMMYFUNCTION("""COMPUTED_VALUE"""),"")</f>
        <v/>
      </c>
      <c r="W3761" s="16" t="str">
        <f>IFERROR(__xludf.DUMMYFUNCTION("""COMPUTED_VALUE"""),"")</f>
        <v/>
      </c>
      <c r="X3761" s="16" t="str">
        <f>IFERROR(__xludf.DUMMYFUNCTION("""COMPUTED_VALUE"""),"")</f>
        <v/>
      </c>
      <c r="AC3761" s="16" t="str">
        <f>IFERROR(__xludf.DUMMYFUNCTION("""COMPUTED_VALUE"""),"")</f>
        <v/>
      </c>
    </row>
    <row r="3762">
      <c r="A3762" s="16" t="s">
        <v>87</v>
      </c>
      <c r="E3762" s="16" t="str">
        <f>IFERROR(__xludf.DUMMYFUNCTION("""COMPUTED_VALUE"""),"")</f>
        <v/>
      </c>
      <c r="G3762" s="18"/>
      <c r="H3762" s="16" t="s">
        <v>87</v>
      </c>
      <c r="I3762" s="16" t="s">
        <v>87</v>
      </c>
      <c r="J3762" s="19"/>
      <c r="L3762" s="16" t="str">
        <f>IFERROR(__xludf.DUMMYFUNCTION("""COMPUTED_VALUE"""),"")</f>
        <v/>
      </c>
      <c r="M3762" s="16" t="str">
        <f>IFERROR(__xludf.DUMMYFUNCTION("""COMPUTED_VALUE"""),"")</f>
        <v/>
      </c>
      <c r="U3762" s="16" t="s">
        <v>87</v>
      </c>
      <c r="V3762" s="16" t="str">
        <f>IFERROR(__xludf.DUMMYFUNCTION("""COMPUTED_VALUE"""),"")</f>
        <v/>
      </c>
      <c r="W3762" s="16" t="str">
        <f>IFERROR(__xludf.DUMMYFUNCTION("""COMPUTED_VALUE"""),"")</f>
        <v/>
      </c>
      <c r="X3762" s="16" t="str">
        <f>IFERROR(__xludf.DUMMYFUNCTION("""COMPUTED_VALUE"""),"")</f>
        <v/>
      </c>
      <c r="AC3762" s="16" t="str">
        <f>IFERROR(__xludf.DUMMYFUNCTION("""COMPUTED_VALUE"""),"")</f>
        <v/>
      </c>
    </row>
    <row r="3763">
      <c r="A3763" s="16" t="s">
        <v>87</v>
      </c>
      <c r="E3763" s="16" t="str">
        <f>IFERROR(__xludf.DUMMYFUNCTION("""COMPUTED_VALUE"""),"")</f>
        <v/>
      </c>
      <c r="G3763" s="18"/>
      <c r="H3763" s="16" t="s">
        <v>87</v>
      </c>
      <c r="I3763" s="16" t="s">
        <v>87</v>
      </c>
      <c r="J3763" s="19"/>
      <c r="L3763" s="16" t="str">
        <f>IFERROR(__xludf.DUMMYFUNCTION("""COMPUTED_VALUE"""),"")</f>
        <v/>
      </c>
      <c r="M3763" s="16" t="str">
        <f>IFERROR(__xludf.DUMMYFUNCTION("""COMPUTED_VALUE"""),"")</f>
        <v/>
      </c>
      <c r="U3763" s="16" t="s">
        <v>87</v>
      </c>
      <c r="V3763" s="16" t="str">
        <f>IFERROR(__xludf.DUMMYFUNCTION("""COMPUTED_VALUE"""),"")</f>
        <v/>
      </c>
      <c r="W3763" s="16" t="str">
        <f>IFERROR(__xludf.DUMMYFUNCTION("""COMPUTED_VALUE"""),"")</f>
        <v/>
      </c>
      <c r="X3763" s="16" t="str">
        <f>IFERROR(__xludf.DUMMYFUNCTION("""COMPUTED_VALUE"""),"")</f>
        <v/>
      </c>
      <c r="AC3763" s="16" t="str">
        <f>IFERROR(__xludf.DUMMYFUNCTION("""COMPUTED_VALUE"""),"")</f>
        <v/>
      </c>
    </row>
    <row r="3764">
      <c r="A3764" s="16" t="s">
        <v>87</v>
      </c>
      <c r="E3764" s="16" t="str">
        <f>IFERROR(__xludf.DUMMYFUNCTION("""COMPUTED_VALUE"""),"")</f>
        <v/>
      </c>
      <c r="G3764" s="18"/>
      <c r="H3764" s="16" t="s">
        <v>87</v>
      </c>
      <c r="I3764" s="16" t="s">
        <v>87</v>
      </c>
      <c r="J3764" s="19"/>
      <c r="L3764" s="16" t="str">
        <f>IFERROR(__xludf.DUMMYFUNCTION("""COMPUTED_VALUE"""),"")</f>
        <v/>
      </c>
      <c r="M3764" s="16" t="str">
        <f>IFERROR(__xludf.DUMMYFUNCTION("""COMPUTED_VALUE"""),"")</f>
        <v/>
      </c>
      <c r="U3764" s="16" t="s">
        <v>87</v>
      </c>
      <c r="V3764" s="16" t="str">
        <f>IFERROR(__xludf.DUMMYFUNCTION("""COMPUTED_VALUE"""),"")</f>
        <v/>
      </c>
      <c r="W3764" s="16" t="str">
        <f>IFERROR(__xludf.DUMMYFUNCTION("""COMPUTED_VALUE"""),"")</f>
        <v/>
      </c>
      <c r="X3764" s="16" t="str">
        <f>IFERROR(__xludf.DUMMYFUNCTION("""COMPUTED_VALUE"""),"")</f>
        <v/>
      </c>
      <c r="AC3764" s="16" t="str">
        <f>IFERROR(__xludf.DUMMYFUNCTION("""COMPUTED_VALUE"""),"")</f>
        <v/>
      </c>
    </row>
    <row r="3765">
      <c r="A3765" s="16" t="s">
        <v>87</v>
      </c>
      <c r="E3765" s="16" t="str">
        <f>IFERROR(__xludf.DUMMYFUNCTION("""COMPUTED_VALUE"""),"")</f>
        <v/>
      </c>
      <c r="G3765" s="18"/>
      <c r="H3765" s="16" t="s">
        <v>87</v>
      </c>
      <c r="I3765" s="16" t="s">
        <v>87</v>
      </c>
      <c r="J3765" s="19"/>
      <c r="L3765" s="16" t="str">
        <f>IFERROR(__xludf.DUMMYFUNCTION("""COMPUTED_VALUE"""),"")</f>
        <v/>
      </c>
      <c r="M3765" s="16" t="str">
        <f>IFERROR(__xludf.DUMMYFUNCTION("""COMPUTED_VALUE"""),"")</f>
        <v/>
      </c>
      <c r="U3765" s="16" t="s">
        <v>87</v>
      </c>
      <c r="V3765" s="16" t="str">
        <f>IFERROR(__xludf.DUMMYFUNCTION("""COMPUTED_VALUE"""),"")</f>
        <v/>
      </c>
      <c r="W3765" s="16" t="str">
        <f>IFERROR(__xludf.DUMMYFUNCTION("""COMPUTED_VALUE"""),"")</f>
        <v/>
      </c>
      <c r="X3765" s="16" t="str">
        <f>IFERROR(__xludf.DUMMYFUNCTION("""COMPUTED_VALUE"""),"")</f>
        <v/>
      </c>
      <c r="AC3765" s="16" t="str">
        <f>IFERROR(__xludf.DUMMYFUNCTION("""COMPUTED_VALUE"""),"")</f>
        <v/>
      </c>
    </row>
    <row r="3766">
      <c r="A3766" s="16" t="s">
        <v>87</v>
      </c>
      <c r="E3766" s="16" t="str">
        <f>IFERROR(__xludf.DUMMYFUNCTION("""COMPUTED_VALUE"""),"")</f>
        <v/>
      </c>
      <c r="G3766" s="18"/>
      <c r="H3766" s="16" t="s">
        <v>87</v>
      </c>
      <c r="I3766" s="16" t="s">
        <v>87</v>
      </c>
      <c r="J3766" s="19"/>
      <c r="L3766" s="16" t="str">
        <f>IFERROR(__xludf.DUMMYFUNCTION("""COMPUTED_VALUE"""),"")</f>
        <v/>
      </c>
      <c r="M3766" s="16" t="str">
        <f>IFERROR(__xludf.DUMMYFUNCTION("""COMPUTED_VALUE"""),"")</f>
        <v/>
      </c>
      <c r="U3766" s="16" t="s">
        <v>87</v>
      </c>
      <c r="V3766" s="16" t="str">
        <f>IFERROR(__xludf.DUMMYFUNCTION("""COMPUTED_VALUE"""),"")</f>
        <v/>
      </c>
      <c r="W3766" s="16" t="str">
        <f>IFERROR(__xludf.DUMMYFUNCTION("""COMPUTED_VALUE"""),"")</f>
        <v/>
      </c>
      <c r="X3766" s="16" t="str">
        <f>IFERROR(__xludf.DUMMYFUNCTION("""COMPUTED_VALUE"""),"")</f>
        <v/>
      </c>
      <c r="AC3766" s="16" t="str">
        <f>IFERROR(__xludf.DUMMYFUNCTION("""COMPUTED_VALUE"""),"")</f>
        <v/>
      </c>
    </row>
    <row r="3767">
      <c r="A3767" s="16" t="s">
        <v>87</v>
      </c>
      <c r="E3767" s="16" t="str">
        <f>IFERROR(__xludf.DUMMYFUNCTION("""COMPUTED_VALUE"""),"")</f>
        <v/>
      </c>
      <c r="G3767" s="18"/>
      <c r="H3767" s="16" t="s">
        <v>87</v>
      </c>
      <c r="I3767" s="16" t="s">
        <v>87</v>
      </c>
      <c r="J3767" s="19"/>
      <c r="L3767" s="16" t="str">
        <f>IFERROR(__xludf.DUMMYFUNCTION("""COMPUTED_VALUE"""),"")</f>
        <v/>
      </c>
      <c r="M3767" s="16" t="str">
        <f>IFERROR(__xludf.DUMMYFUNCTION("""COMPUTED_VALUE"""),"")</f>
        <v/>
      </c>
      <c r="U3767" s="16" t="s">
        <v>87</v>
      </c>
      <c r="V3767" s="16" t="str">
        <f>IFERROR(__xludf.DUMMYFUNCTION("""COMPUTED_VALUE"""),"")</f>
        <v/>
      </c>
      <c r="W3767" s="16" t="str">
        <f>IFERROR(__xludf.DUMMYFUNCTION("""COMPUTED_VALUE"""),"")</f>
        <v/>
      </c>
      <c r="X3767" s="16" t="str">
        <f>IFERROR(__xludf.DUMMYFUNCTION("""COMPUTED_VALUE"""),"")</f>
        <v/>
      </c>
      <c r="AC3767" s="16" t="str">
        <f>IFERROR(__xludf.DUMMYFUNCTION("""COMPUTED_VALUE"""),"")</f>
        <v/>
      </c>
    </row>
    <row r="3768">
      <c r="A3768" s="16" t="s">
        <v>87</v>
      </c>
      <c r="E3768" s="16" t="str">
        <f>IFERROR(__xludf.DUMMYFUNCTION("""COMPUTED_VALUE"""),"")</f>
        <v/>
      </c>
      <c r="G3768" s="18"/>
      <c r="H3768" s="16" t="s">
        <v>87</v>
      </c>
      <c r="I3768" s="16" t="s">
        <v>87</v>
      </c>
      <c r="J3768" s="19"/>
      <c r="L3768" s="16" t="str">
        <f>IFERROR(__xludf.DUMMYFUNCTION("""COMPUTED_VALUE"""),"")</f>
        <v/>
      </c>
      <c r="M3768" s="16" t="str">
        <f>IFERROR(__xludf.DUMMYFUNCTION("""COMPUTED_VALUE"""),"")</f>
        <v/>
      </c>
      <c r="U3768" s="16" t="s">
        <v>87</v>
      </c>
      <c r="V3768" s="16" t="str">
        <f>IFERROR(__xludf.DUMMYFUNCTION("""COMPUTED_VALUE"""),"")</f>
        <v/>
      </c>
      <c r="W3768" s="16" t="str">
        <f>IFERROR(__xludf.DUMMYFUNCTION("""COMPUTED_VALUE"""),"")</f>
        <v/>
      </c>
      <c r="X3768" s="16" t="str">
        <f>IFERROR(__xludf.DUMMYFUNCTION("""COMPUTED_VALUE"""),"")</f>
        <v/>
      </c>
      <c r="AC3768" s="16" t="str">
        <f>IFERROR(__xludf.DUMMYFUNCTION("""COMPUTED_VALUE"""),"")</f>
        <v/>
      </c>
    </row>
    <row r="3769">
      <c r="A3769" s="16" t="s">
        <v>87</v>
      </c>
      <c r="E3769" s="16" t="str">
        <f>IFERROR(__xludf.DUMMYFUNCTION("""COMPUTED_VALUE"""),"")</f>
        <v/>
      </c>
      <c r="G3769" s="18"/>
      <c r="H3769" s="16" t="s">
        <v>87</v>
      </c>
      <c r="I3769" s="16" t="s">
        <v>87</v>
      </c>
      <c r="J3769" s="19"/>
      <c r="L3769" s="16" t="str">
        <f>IFERROR(__xludf.DUMMYFUNCTION("""COMPUTED_VALUE"""),"")</f>
        <v/>
      </c>
      <c r="M3769" s="16" t="str">
        <f>IFERROR(__xludf.DUMMYFUNCTION("""COMPUTED_VALUE"""),"")</f>
        <v/>
      </c>
      <c r="U3769" s="16" t="s">
        <v>87</v>
      </c>
      <c r="V3769" s="16" t="str">
        <f>IFERROR(__xludf.DUMMYFUNCTION("""COMPUTED_VALUE"""),"")</f>
        <v/>
      </c>
      <c r="W3769" s="16" t="str">
        <f>IFERROR(__xludf.DUMMYFUNCTION("""COMPUTED_VALUE"""),"")</f>
        <v/>
      </c>
      <c r="X3769" s="16" t="str">
        <f>IFERROR(__xludf.DUMMYFUNCTION("""COMPUTED_VALUE"""),"")</f>
        <v/>
      </c>
      <c r="AC3769" s="16" t="str">
        <f>IFERROR(__xludf.DUMMYFUNCTION("""COMPUTED_VALUE"""),"")</f>
        <v/>
      </c>
    </row>
    <row r="3770">
      <c r="A3770" s="16" t="s">
        <v>87</v>
      </c>
      <c r="E3770" s="16" t="str">
        <f>IFERROR(__xludf.DUMMYFUNCTION("""COMPUTED_VALUE"""),"")</f>
        <v/>
      </c>
      <c r="G3770" s="18"/>
      <c r="H3770" s="16" t="s">
        <v>87</v>
      </c>
      <c r="I3770" s="16" t="s">
        <v>87</v>
      </c>
      <c r="J3770" s="19"/>
      <c r="L3770" s="16" t="str">
        <f>IFERROR(__xludf.DUMMYFUNCTION("""COMPUTED_VALUE"""),"")</f>
        <v/>
      </c>
      <c r="M3770" s="16" t="str">
        <f>IFERROR(__xludf.DUMMYFUNCTION("""COMPUTED_VALUE"""),"")</f>
        <v/>
      </c>
      <c r="U3770" s="16" t="s">
        <v>87</v>
      </c>
      <c r="V3770" s="16" t="str">
        <f>IFERROR(__xludf.DUMMYFUNCTION("""COMPUTED_VALUE"""),"")</f>
        <v/>
      </c>
      <c r="W3770" s="16" t="str">
        <f>IFERROR(__xludf.DUMMYFUNCTION("""COMPUTED_VALUE"""),"")</f>
        <v/>
      </c>
      <c r="X3770" s="16" t="str">
        <f>IFERROR(__xludf.DUMMYFUNCTION("""COMPUTED_VALUE"""),"")</f>
        <v/>
      </c>
      <c r="AC3770" s="16" t="str">
        <f>IFERROR(__xludf.DUMMYFUNCTION("""COMPUTED_VALUE"""),"")</f>
        <v/>
      </c>
    </row>
    <row r="3771">
      <c r="A3771" s="16" t="s">
        <v>87</v>
      </c>
      <c r="E3771" s="16" t="str">
        <f>IFERROR(__xludf.DUMMYFUNCTION("""COMPUTED_VALUE"""),"")</f>
        <v/>
      </c>
      <c r="G3771" s="18"/>
      <c r="H3771" s="16" t="s">
        <v>87</v>
      </c>
      <c r="I3771" s="16" t="s">
        <v>87</v>
      </c>
      <c r="J3771" s="19"/>
      <c r="L3771" s="16" t="str">
        <f>IFERROR(__xludf.DUMMYFUNCTION("""COMPUTED_VALUE"""),"")</f>
        <v/>
      </c>
      <c r="M3771" s="16" t="str">
        <f>IFERROR(__xludf.DUMMYFUNCTION("""COMPUTED_VALUE"""),"")</f>
        <v/>
      </c>
      <c r="U3771" s="16" t="s">
        <v>87</v>
      </c>
      <c r="V3771" s="16" t="str">
        <f>IFERROR(__xludf.DUMMYFUNCTION("""COMPUTED_VALUE"""),"")</f>
        <v/>
      </c>
      <c r="W3771" s="16" t="str">
        <f>IFERROR(__xludf.DUMMYFUNCTION("""COMPUTED_VALUE"""),"")</f>
        <v/>
      </c>
      <c r="X3771" s="16" t="str">
        <f>IFERROR(__xludf.DUMMYFUNCTION("""COMPUTED_VALUE"""),"")</f>
        <v/>
      </c>
      <c r="AC3771" s="16" t="str">
        <f>IFERROR(__xludf.DUMMYFUNCTION("""COMPUTED_VALUE"""),"")</f>
        <v/>
      </c>
    </row>
    <row r="3772">
      <c r="A3772" s="16" t="s">
        <v>87</v>
      </c>
      <c r="E3772" s="16" t="str">
        <f>IFERROR(__xludf.DUMMYFUNCTION("""COMPUTED_VALUE"""),"")</f>
        <v/>
      </c>
      <c r="G3772" s="18"/>
      <c r="H3772" s="16" t="s">
        <v>87</v>
      </c>
      <c r="I3772" s="16" t="s">
        <v>87</v>
      </c>
      <c r="J3772" s="19"/>
      <c r="L3772" s="16" t="str">
        <f>IFERROR(__xludf.DUMMYFUNCTION("""COMPUTED_VALUE"""),"")</f>
        <v/>
      </c>
      <c r="M3772" s="16" t="str">
        <f>IFERROR(__xludf.DUMMYFUNCTION("""COMPUTED_VALUE"""),"")</f>
        <v/>
      </c>
      <c r="U3772" s="16" t="s">
        <v>87</v>
      </c>
      <c r="V3772" s="16" t="str">
        <f>IFERROR(__xludf.DUMMYFUNCTION("""COMPUTED_VALUE"""),"")</f>
        <v/>
      </c>
      <c r="W3772" s="16" t="str">
        <f>IFERROR(__xludf.DUMMYFUNCTION("""COMPUTED_VALUE"""),"")</f>
        <v/>
      </c>
      <c r="X3772" s="16" t="str">
        <f>IFERROR(__xludf.DUMMYFUNCTION("""COMPUTED_VALUE"""),"")</f>
        <v/>
      </c>
      <c r="AC3772" s="16" t="str">
        <f>IFERROR(__xludf.DUMMYFUNCTION("""COMPUTED_VALUE"""),"")</f>
        <v/>
      </c>
    </row>
    <row r="3773">
      <c r="A3773" s="16" t="s">
        <v>87</v>
      </c>
      <c r="E3773" s="16" t="str">
        <f>IFERROR(__xludf.DUMMYFUNCTION("""COMPUTED_VALUE"""),"")</f>
        <v/>
      </c>
      <c r="G3773" s="18"/>
      <c r="H3773" s="16" t="s">
        <v>87</v>
      </c>
      <c r="I3773" s="16" t="s">
        <v>87</v>
      </c>
      <c r="J3773" s="19"/>
      <c r="L3773" s="16" t="str">
        <f>IFERROR(__xludf.DUMMYFUNCTION("""COMPUTED_VALUE"""),"")</f>
        <v/>
      </c>
      <c r="M3773" s="16" t="str">
        <f>IFERROR(__xludf.DUMMYFUNCTION("""COMPUTED_VALUE"""),"")</f>
        <v/>
      </c>
      <c r="U3773" s="16" t="s">
        <v>87</v>
      </c>
      <c r="V3773" s="16" t="str">
        <f>IFERROR(__xludf.DUMMYFUNCTION("""COMPUTED_VALUE"""),"")</f>
        <v/>
      </c>
      <c r="W3773" s="16" t="str">
        <f>IFERROR(__xludf.DUMMYFUNCTION("""COMPUTED_VALUE"""),"")</f>
        <v/>
      </c>
      <c r="X3773" s="16" t="str">
        <f>IFERROR(__xludf.DUMMYFUNCTION("""COMPUTED_VALUE"""),"")</f>
        <v/>
      </c>
      <c r="AC3773" s="16" t="str">
        <f>IFERROR(__xludf.DUMMYFUNCTION("""COMPUTED_VALUE"""),"")</f>
        <v/>
      </c>
    </row>
    <row r="3774">
      <c r="A3774" s="16" t="s">
        <v>87</v>
      </c>
      <c r="E3774" s="16" t="str">
        <f>IFERROR(__xludf.DUMMYFUNCTION("""COMPUTED_VALUE"""),"")</f>
        <v/>
      </c>
      <c r="G3774" s="18"/>
      <c r="H3774" s="16" t="s">
        <v>87</v>
      </c>
      <c r="I3774" s="16" t="s">
        <v>87</v>
      </c>
      <c r="J3774" s="19"/>
      <c r="L3774" s="16" t="str">
        <f>IFERROR(__xludf.DUMMYFUNCTION("""COMPUTED_VALUE"""),"")</f>
        <v/>
      </c>
      <c r="M3774" s="16" t="str">
        <f>IFERROR(__xludf.DUMMYFUNCTION("""COMPUTED_VALUE"""),"")</f>
        <v/>
      </c>
      <c r="U3774" s="16" t="s">
        <v>87</v>
      </c>
      <c r="V3774" s="16" t="str">
        <f>IFERROR(__xludf.DUMMYFUNCTION("""COMPUTED_VALUE"""),"")</f>
        <v/>
      </c>
      <c r="W3774" s="16" t="str">
        <f>IFERROR(__xludf.DUMMYFUNCTION("""COMPUTED_VALUE"""),"")</f>
        <v/>
      </c>
      <c r="X3774" s="16" t="str">
        <f>IFERROR(__xludf.DUMMYFUNCTION("""COMPUTED_VALUE"""),"")</f>
        <v/>
      </c>
      <c r="AC3774" s="16" t="str">
        <f>IFERROR(__xludf.DUMMYFUNCTION("""COMPUTED_VALUE"""),"")</f>
        <v/>
      </c>
    </row>
    <row r="3775">
      <c r="A3775" s="16" t="s">
        <v>87</v>
      </c>
      <c r="E3775" s="16" t="str">
        <f>IFERROR(__xludf.DUMMYFUNCTION("""COMPUTED_VALUE"""),"")</f>
        <v/>
      </c>
      <c r="G3775" s="18"/>
      <c r="H3775" s="16" t="s">
        <v>87</v>
      </c>
      <c r="I3775" s="16" t="s">
        <v>87</v>
      </c>
      <c r="J3775" s="19"/>
      <c r="L3775" s="16" t="str">
        <f>IFERROR(__xludf.DUMMYFUNCTION("""COMPUTED_VALUE"""),"")</f>
        <v/>
      </c>
      <c r="M3775" s="16" t="str">
        <f>IFERROR(__xludf.DUMMYFUNCTION("""COMPUTED_VALUE"""),"")</f>
        <v/>
      </c>
      <c r="U3775" s="16" t="s">
        <v>87</v>
      </c>
      <c r="V3775" s="16" t="str">
        <f>IFERROR(__xludf.DUMMYFUNCTION("""COMPUTED_VALUE"""),"")</f>
        <v/>
      </c>
      <c r="W3775" s="16" t="str">
        <f>IFERROR(__xludf.DUMMYFUNCTION("""COMPUTED_VALUE"""),"")</f>
        <v/>
      </c>
      <c r="X3775" s="16" t="str">
        <f>IFERROR(__xludf.DUMMYFUNCTION("""COMPUTED_VALUE"""),"")</f>
        <v/>
      </c>
      <c r="AC3775" s="16" t="str">
        <f>IFERROR(__xludf.DUMMYFUNCTION("""COMPUTED_VALUE"""),"")</f>
        <v/>
      </c>
    </row>
    <row r="3776">
      <c r="A3776" s="16" t="s">
        <v>87</v>
      </c>
      <c r="E3776" s="16" t="str">
        <f>IFERROR(__xludf.DUMMYFUNCTION("""COMPUTED_VALUE"""),"")</f>
        <v/>
      </c>
      <c r="G3776" s="18"/>
      <c r="H3776" s="16" t="s">
        <v>87</v>
      </c>
      <c r="I3776" s="16" t="s">
        <v>87</v>
      </c>
      <c r="J3776" s="19"/>
      <c r="L3776" s="16" t="str">
        <f>IFERROR(__xludf.DUMMYFUNCTION("""COMPUTED_VALUE"""),"")</f>
        <v/>
      </c>
      <c r="M3776" s="16" t="str">
        <f>IFERROR(__xludf.DUMMYFUNCTION("""COMPUTED_VALUE"""),"")</f>
        <v/>
      </c>
      <c r="U3776" s="16" t="s">
        <v>87</v>
      </c>
      <c r="V3776" s="16" t="str">
        <f>IFERROR(__xludf.DUMMYFUNCTION("""COMPUTED_VALUE"""),"")</f>
        <v/>
      </c>
      <c r="W3776" s="16" t="str">
        <f>IFERROR(__xludf.DUMMYFUNCTION("""COMPUTED_VALUE"""),"")</f>
        <v/>
      </c>
      <c r="X3776" s="16" t="str">
        <f>IFERROR(__xludf.DUMMYFUNCTION("""COMPUTED_VALUE"""),"")</f>
        <v/>
      </c>
      <c r="AC3776" s="16" t="str">
        <f>IFERROR(__xludf.DUMMYFUNCTION("""COMPUTED_VALUE"""),"")</f>
        <v/>
      </c>
    </row>
    <row r="3777">
      <c r="A3777" s="16" t="s">
        <v>87</v>
      </c>
      <c r="E3777" s="16" t="str">
        <f>IFERROR(__xludf.DUMMYFUNCTION("""COMPUTED_VALUE"""),"")</f>
        <v/>
      </c>
      <c r="G3777" s="18"/>
      <c r="H3777" s="16" t="s">
        <v>87</v>
      </c>
      <c r="I3777" s="16" t="s">
        <v>87</v>
      </c>
      <c r="J3777" s="19"/>
      <c r="L3777" s="16" t="str">
        <f>IFERROR(__xludf.DUMMYFUNCTION("""COMPUTED_VALUE"""),"")</f>
        <v/>
      </c>
      <c r="M3777" s="16" t="str">
        <f>IFERROR(__xludf.DUMMYFUNCTION("""COMPUTED_VALUE"""),"")</f>
        <v/>
      </c>
      <c r="U3777" s="16" t="s">
        <v>87</v>
      </c>
      <c r="V3777" s="16" t="str">
        <f>IFERROR(__xludf.DUMMYFUNCTION("""COMPUTED_VALUE"""),"")</f>
        <v/>
      </c>
      <c r="W3777" s="16" t="str">
        <f>IFERROR(__xludf.DUMMYFUNCTION("""COMPUTED_VALUE"""),"")</f>
        <v/>
      </c>
      <c r="X3777" s="16" t="str">
        <f>IFERROR(__xludf.DUMMYFUNCTION("""COMPUTED_VALUE"""),"")</f>
        <v/>
      </c>
      <c r="AC3777" s="16" t="str">
        <f>IFERROR(__xludf.DUMMYFUNCTION("""COMPUTED_VALUE"""),"")</f>
        <v/>
      </c>
    </row>
    <row r="3778">
      <c r="A3778" s="16" t="s">
        <v>87</v>
      </c>
      <c r="E3778" s="16" t="str">
        <f>IFERROR(__xludf.DUMMYFUNCTION("""COMPUTED_VALUE"""),"")</f>
        <v/>
      </c>
      <c r="G3778" s="18"/>
      <c r="H3778" s="16" t="s">
        <v>87</v>
      </c>
      <c r="I3778" s="16" t="s">
        <v>87</v>
      </c>
      <c r="J3778" s="19"/>
      <c r="L3778" s="16" t="str">
        <f>IFERROR(__xludf.DUMMYFUNCTION("""COMPUTED_VALUE"""),"")</f>
        <v/>
      </c>
      <c r="M3778" s="16" t="str">
        <f>IFERROR(__xludf.DUMMYFUNCTION("""COMPUTED_VALUE"""),"")</f>
        <v/>
      </c>
      <c r="U3778" s="16" t="s">
        <v>87</v>
      </c>
      <c r="V3778" s="16" t="str">
        <f>IFERROR(__xludf.DUMMYFUNCTION("""COMPUTED_VALUE"""),"")</f>
        <v/>
      </c>
      <c r="W3778" s="16" t="str">
        <f>IFERROR(__xludf.DUMMYFUNCTION("""COMPUTED_VALUE"""),"")</f>
        <v/>
      </c>
      <c r="X3778" s="16" t="str">
        <f>IFERROR(__xludf.DUMMYFUNCTION("""COMPUTED_VALUE"""),"")</f>
        <v/>
      </c>
      <c r="AC3778" s="16" t="str">
        <f>IFERROR(__xludf.DUMMYFUNCTION("""COMPUTED_VALUE"""),"")</f>
        <v/>
      </c>
    </row>
    <row r="3779">
      <c r="A3779" s="16" t="s">
        <v>87</v>
      </c>
      <c r="E3779" s="16" t="str">
        <f>IFERROR(__xludf.DUMMYFUNCTION("""COMPUTED_VALUE"""),"")</f>
        <v/>
      </c>
      <c r="G3779" s="18"/>
      <c r="H3779" s="16" t="s">
        <v>87</v>
      </c>
      <c r="I3779" s="16" t="s">
        <v>87</v>
      </c>
      <c r="J3779" s="19"/>
      <c r="L3779" s="16" t="str">
        <f>IFERROR(__xludf.DUMMYFUNCTION("""COMPUTED_VALUE"""),"")</f>
        <v/>
      </c>
      <c r="M3779" s="16" t="str">
        <f>IFERROR(__xludf.DUMMYFUNCTION("""COMPUTED_VALUE"""),"")</f>
        <v/>
      </c>
      <c r="U3779" s="16" t="s">
        <v>87</v>
      </c>
      <c r="V3779" s="16" t="str">
        <f>IFERROR(__xludf.DUMMYFUNCTION("""COMPUTED_VALUE"""),"")</f>
        <v/>
      </c>
      <c r="W3779" s="16" t="str">
        <f>IFERROR(__xludf.DUMMYFUNCTION("""COMPUTED_VALUE"""),"")</f>
        <v/>
      </c>
      <c r="X3779" s="16" t="str">
        <f>IFERROR(__xludf.DUMMYFUNCTION("""COMPUTED_VALUE"""),"")</f>
        <v/>
      </c>
      <c r="AC3779" s="16" t="str">
        <f>IFERROR(__xludf.DUMMYFUNCTION("""COMPUTED_VALUE"""),"")</f>
        <v/>
      </c>
    </row>
    <row r="3780">
      <c r="A3780" s="16" t="s">
        <v>87</v>
      </c>
      <c r="E3780" s="16" t="str">
        <f>IFERROR(__xludf.DUMMYFUNCTION("""COMPUTED_VALUE"""),"")</f>
        <v/>
      </c>
      <c r="G3780" s="18"/>
      <c r="H3780" s="16" t="s">
        <v>87</v>
      </c>
      <c r="I3780" s="16" t="s">
        <v>87</v>
      </c>
      <c r="J3780" s="19"/>
      <c r="L3780" s="16" t="str">
        <f>IFERROR(__xludf.DUMMYFUNCTION("""COMPUTED_VALUE"""),"")</f>
        <v/>
      </c>
      <c r="M3780" s="16" t="str">
        <f>IFERROR(__xludf.DUMMYFUNCTION("""COMPUTED_VALUE"""),"")</f>
        <v/>
      </c>
      <c r="U3780" s="16" t="s">
        <v>87</v>
      </c>
      <c r="V3780" s="16" t="str">
        <f>IFERROR(__xludf.DUMMYFUNCTION("""COMPUTED_VALUE"""),"")</f>
        <v/>
      </c>
      <c r="W3780" s="16" t="str">
        <f>IFERROR(__xludf.DUMMYFUNCTION("""COMPUTED_VALUE"""),"")</f>
        <v/>
      </c>
      <c r="X3780" s="16" t="str">
        <f>IFERROR(__xludf.DUMMYFUNCTION("""COMPUTED_VALUE"""),"")</f>
        <v/>
      </c>
      <c r="AC3780" s="16" t="str">
        <f>IFERROR(__xludf.DUMMYFUNCTION("""COMPUTED_VALUE"""),"")</f>
        <v/>
      </c>
    </row>
    <row r="3781">
      <c r="A3781" s="16" t="s">
        <v>87</v>
      </c>
      <c r="E3781" s="16" t="str">
        <f>IFERROR(__xludf.DUMMYFUNCTION("""COMPUTED_VALUE"""),"")</f>
        <v/>
      </c>
      <c r="G3781" s="18"/>
      <c r="H3781" s="16" t="s">
        <v>87</v>
      </c>
      <c r="I3781" s="16" t="s">
        <v>87</v>
      </c>
      <c r="J3781" s="19"/>
      <c r="L3781" s="16" t="str">
        <f>IFERROR(__xludf.DUMMYFUNCTION("""COMPUTED_VALUE"""),"")</f>
        <v/>
      </c>
      <c r="M3781" s="16" t="str">
        <f>IFERROR(__xludf.DUMMYFUNCTION("""COMPUTED_VALUE"""),"")</f>
        <v/>
      </c>
      <c r="U3781" s="16" t="s">
        <v>87</v>
      </c>
      <c r="V3781" s="16" t="str">
        <f>IFERROR(__xludf.DUMMYFUNCTION("""COMPUTED_VALUE"""),"")</f>
        <v/>
      </c>
      <c r="W3781" s="16" t="str">
        <f>IFERROR(__xludf.DUMMYFUNCTION("""COMPUTED_VALUE"""),"")</f>
        <v/>
      </c>
      <c r="X3781" s="16" t="str">
        <f>IFERROR(__xludf.DUMMYFUNCTION("""COMPUTED_VALUE"""),"")</f>
        <v/>
      </c>
      <c r="AC3781" s="16" t="str">
        <f>IFERROR(__xludf.DUMMYFUNCTION("""COMPUTED_VALUE"""),"")</f>
        <v/>
      </c>
    </row>
    <row r="3782">
      <c r="A3782" s="16" t="s">
        <v>87</v>
      </c>
      <c r="E3782" s="16" t="str">
        <f>IFERROR(__xludf.DUMMYFUNCTION("""COMPUTED_VALUE"""),"")</f>
        <v/>
      </c>
      <c r="G3782" s="18"/>
      <c r="H3782" s="16" t="s">
        <v>87</v>
      </c>
      <c r="I3782" s="16" t="s">
        <v>87</v>
      </c>
      <c r="J3782" s="19"/>
      <c r="L3782" s="16" t="str">
        <f>IFERROR(__xludf.DUMMYFUNCTION("""COMPUTED_VALUE"""),"")</f>
        <v/>
      </c>
      <c r="M3782" s="16" t="str">
        <f>IFERROR(__xludf.DUMMYFUNCTION("""COMPUTED_VALUE"""),"")</f>
        <v/>
      </c>
      <c r="U3782" s="16" t="s">
        <v>87</v>
      </c>
      <c r="V3782" s="16" t="str">
        <f>IFERROR(__xludf.DUMMYFUNCTION("""COMPUTED_VALUE"""),"")</f>
        <v/>
      </c>
      <c r="W3782" s="16" t="str">
        <f>IFERROR(__xludf.DUMMYFUNCTION("""COMPUTED_VALUE"""),"")</f>
        <v/>
      </c>
      <c r="X3782" s="16" t="str">
        <f>IFERROR(__xludf.DUMMYFUNCTION("""COMPUTED_VALUE"""),"")</f>
        <v/>
      </c>
      <c r="AC3782" s="16" t="str">
        <f>IFERROR(__xludf.DUMMYFUNCTION("""COMPUTED_VALUE"""),"")</f>
        <v/>
      </c>
    </row>
    <row r="3783">
      <c r="A3783" s="16" t="s">
        <v>87</v>
      </c>
      <c r="E3783" s="16" t="str">
        <f>IFERROR(__xludf.DUMMYFUNCTION("""COMPUTED_VALUE"""),"")</f>
        <v/>
      </c>
      <c r="G3783" s="18"/>
      <c r="H3783" s="16" t="s">
        <v>87</v>
      </c>
      <c r="I3783" s="16" t="s">
        <v>87</v>
      </c>
      <c r="J3783" s="19"/>
      <c r="L3783" s="16" t="str">
        <f>IFERROR(__xludf.DUMMYFUNCTION("""COMPUTED_VALUE"""),"")</f>
        <v/>
      </c>
      <c r="M3783" s="16" t="str">
        <f>IFERROR(__xludf.DUMMYFUNCTION("""COMPUTED_VALUE"""),"")</f>
        <v/>
      </c>
      <c r="U3783" s="16" t="s">
        <v>87</v>
      </c>
      <c r="V3783" s="16" t="str">
        <f>IFERROR(__xludf.DUMMYFUNCTION("""COMPUTED_VALUE"""),"")</f>
        <v/>
      </c>
      <c r="W3783" s="16" t="str">
        <f>IFERROR(__xludf.DUMMYFUNCTION("""COMPUTED_VALUE"""),"")</f>
        <v/>
      </c>
      <c r="X3783" s="16" t="str">
        <f>IFERROR(__xludf.DUMMYFUNCTION("""COMPUTED_VALUE"""),"")</f>
        <v/>
      </c>
      <c r="AC3783" s="16" t="str">
        <f>IFERROR(__xludf.DUMMYFUNCTION("""COMPUTED_VALUE"""),"")</f>
        <v/>
      </c>
    </row>
    <row r="3784">
      <c r="A3784" s="16" t="s">
        <v>87</v>
      </c>
      <c r="E3784" s="16" t="str">
        <f>IFERROR(__xludf.DUMMYFUNCTION("""COMPUTED_VALUE"""),"")</f>
        <v/>
      </c>
      <c r="G3784" s="18"/>
      <c r="H3784" s="16" t="s">
        <v>87</v>
      </c>
      <c r="I3784" s="16" t="s">
        <v>87</v>
      </c>
      <c r="J3784" s="19"/>
      <c r="L3784" s="16" t="str">
        <f>IFERROR(__xludf.DUMMYFUNCTION("""COMPUTED_VALUE"""),"")</f>
        <v/>
      </c>
      <c r="M3784" s="16" t="str">
        <f>IFERROR(__xludf.DUMMYFUNCTION("""COMPUTED_VALUE"""),"")</f>
        <v/>
      </c>
      <c r="U3784" s="16" t="s">
        <v>87</v>
      </c>
      <c r="V3784" s="16" t="str">
        <f>IFERROR(__xludf.DUMMYFUNCTION("""COMPUTED_VALUE"""),"")</f>
        <v/>
      </c>
      <c r="W3784" s="16" t="str">
        <f>IFERROR(__xludf.DUMMYFUNCTION("""COMPUTED_VALUE"""),"")</f>
        <v/>
      </c>
      <c r="X3784" s="16" t="str">
        <f>IFERROR(__xludf.DUMMYFUNCTION("""COMPUTED_VALUE"""),"")</f>
        <v/>
      </c>
      <c r="AC3784" s="16" t="str">
        <f>IFERROR(__xludf.DUMMYFUNCTION("""COMPUTED_VALUE"""),"")</f>
        <v/>
      </c>
    </row>
    <row r="3785">
      <c r="A3785" s="16" t="s">
        <v>87</v>
      </c>
      <c r="E3785" s="16" t="str">
        <f>IFERROR(__xludf.DUMMYFUNCTION("""COMPUTED_VALUE"""),"")</f>
        <v/>
      </c>
      <c r="G3785" s="18"/>
      <c r="H3785" s="16" t="s">
        <v>87</v>
      </c>
      <c r="I3785" s="16" t="s">
        <v>87</v>
      </c>
      <c r="J3785" s="19"/>
      <c r="L3785" s="16" t="str">
        <f>IFERROR(__xludf.DUMMYFUNCTION("""COMPUTED_VALUE"""),"")</f>
        <v/>
      </c>
      <c r="M3785" s="16" t="str">
        <f>IFERROR(__xludf.DUMMYFUNCTION("""COMPUTED_VALUE"""),"")</f>
        <v/>
      </c>
      <c r="U3785" s="16" t="s">
        <v>87</v>
      </c>
      <c r="V3785" s="16" t="str">
        <f>IFERROR(__xludf.DUMMYFUNCTION("""COMPUTED_VALUE"""),"")</f>
        <v/>
      </c>
      <c r="W3785" s="16" t="str">
        <f>IFERROR(__xludf.DUMMYFUNCTION("""COMPUTED_VALUE"""),"")</f>
        <v/>
      </c>
      <c r="X3785" s="16" t="str">
        <f>IFERROR(__xludf.DUMMYFUNCTION("""COMPUTED_VALUE"""),"")</f>
        <v/>
      </c>
      <c r="AC3785" s="16" t="str">
        <f>IFERROR(__xludf.DUMMYFUNCTION("""COMPUTED_VALUE"""),"")</f>
        <v/>
      </c>
    </row>
    <row r="3786">
      <c r="A3786" s="16" t="s">
        <v>87</v>
      </c>
      <c r="E3786" s="16" t="str">
        <f>IFERROR(__xludf.DUMMYFUNCTION("""COMPUTED_VALUE"""),"")</f>
        <v/>
      </c>
      <c r="G3786" s="18"/>
      <c r="H3786" s="16" t="s">
        <v>87</v>
      </c>
      <c r="I3786" s="16" t="s">
        <v>87</v>
      </c>
      <c r="J3786" s="19"/>
      <c r="L3786" s="16" t="str">
        <f>IFERROR(__xludf.DUMMYFUNCTION("""COMPUTED_VALUE"""),"")</f>
        <v/>
      </c>
      <c r="M3786" s="16" t="str">
        <f>IFERROR(__xludf.DUMMYFUNCTION("""COMPUTED_VALUE"""),"")</f>
        <v/>
      </c>
      <c r="U3786" s="16" t="s">
        <v>87</v>
      </c>
      <c r="V3786" s="16" t="str">
        <f>IFERROR(__xludf.DUMMYFUNCTION("""COMPUTED_VALUE"""),"")</f>
        <v/>
      </c>
      <c r="W3786" s="16" t="str">
        <f>IFERROR(__xludf.DUMMYFUNCTION("""COMPUTED_VALUE"""),"")</f>
        <v/>
      </c>
      <c r="X3786" s="16" t="str">
        <f>IFERROR(__xludf.DUMMYFUNCTION("""COMPUTED_VALUE"""),"")</f>
        <v/>
      </c>
      <c r="AC3786" s="16" t="str">
        <f>IFERROR(__xludf.DUMMYFUNCTION("""COMPUTED_VALUE"""),"")</f>
        <v/>
      </c>
    </row>
    <row r="3787">
      <c r="A3787" s="16" t="s">
        <v>87</v>
      </c>
      <c r="E3787" s="16" t="str">
        <f>IFERROR(__xludf.DUMMYFUNCTION("""COMPUTED_VALUE"""),"")</f>
        <v/>
      </c>
      <c r="G3787" s="18"/>
      <c r="H3787" s="16" t="s">
        <v>87</v>
      </c>
      <c r="I3787" s="16" t="s">
        <v>87</v>
      </c>
      <c r="J3787" s="19"/>
      <c r="L3787" s="16" t="str">
        <f>IFERROR(__xludf.DUMMYFUNCTION("""COMPUTED_VALUE"""),"")</f>
        <v/>
      </c>
      <c r="M3787" s="16" t="str">
        <f>IFERROR(__xludf.DUMMYFUNCTION("""COMPUTED_VALUE"""),"")</f>
        <v/>
      </c>
      <c r="U3787" s="16" t="s">
        <v>87</v>
      </c>
      <c r="V3787" s="16" t="str">
        <f>IFERROR(__xludf.DUMMYFUNCTION("""COMPUTED_VALUE"""),"")</f>
        <v/>
      </c>
      <c r="W3787" s="16" t="str">
        <f>IFERROR(__xludf.DUMMYFUNCTION("""COMPUTED_VALUE"""),"")</f>
        <v/>
      </c>
      <c r="X3787" s="16" t="str">
        <f>IFERROR(__xludf.DUMMYFUNCTION("""COMPUTED_VALUE"""),"")</f>
        <v/>
      </c>
      <c r="AC3787" s="16" t="str">
        <f>IFERROR(__xludf.DUMMYFUNCTION("""COMPUTED_VALUE"""),"")</f>
        <v/>
      </c>
    </row>
    <row r="3788">
      <c r="A3788" s="16" t="s">
        <v>87</v>
      </c>
      <c r="E3788" s="16" t="str">
        <f>IFERROR(__xludf.DUMMYFUNCTION("""COMPUTED_VALUE"""),"")</f>
        <v/>
      </c>
      <c r="G3788" s="18"/>
      <c r="H3788" s="16" t="s">
        <v>87</v>
      </c>
      <c r="I3788" s="16" t="s">
        <v>87</v>
      </c>
      <c r="J3788" s="19"/>
      <c r="L3788" s="16" t="str">
        <f>IFERROR(__xludf.DUMMYFUNCTION("""COMPUTED_VALUE"""),"")</f>
        <v/>
      </c>
      <c r="M3788" s="16" t="str">
        <f>IFERROR(__xludf.DUMMYFUNCTION("""COMPUTED_VALUE"""),"")</f>
        <v/>
      </c>
      <c r="U3788" s="16" t="s">
        <v>87</v>
      </c>
      <c r="V3788" s="16" t="str">
        <f>IFERROR(__xludf.DUMMYFUNCTION("""COMPUTED_VALUE"""),"")</f>
        <v/>
      </c>
      <c r="W3788" s="16" t="str">
        <f>IFERROR(__xludf.DUMMYFUNCTION("""COMPUTED_VALUE"""),"")</f>
        <v/>
      </c>
      <c r="X3788" s="16" t="str">
        <f>IFERROR(__xludf.DUMMYFUNCTION("""COMPUTED_VALUE"""),"")</f>
        <v/>
      </c>
      <c r="AC3788" s="16" t="str">
        <f>IFERROR(__xludf.DUMMYFUNCTION("""COMPUTED_VALUE"""),"")</f>
        <v/>
      </c>
    </row>
    <row r="3789">
      <c r="A3789" s="16" t="s">
        <v>87</v>
      </c>
      <c r="E3789" s="16" t="str">
        <f>IFERROR(__xludf.DUMMYFUNCTION("""COMPUTED_VALUE"""),"")</f>
        <v/>
      </c>
      <c r="G3789" s="18"/>
      <c r="H3789" s="16" t="s">
        <v>87</v>
      </c>
      <c r="I3789" s="16" t="s">
        <v>87</v>
      </c>
      <c r="J3789" s="19"/>
      <c r="L3789" s="16" t="str">
        <f>IFERROR(__xludf.DUMMYFUNCTION("""COMPUTED_VALUE"""),"")</f>
        <v/>
      </c>
      <c r="M3789" s="16" t="str">
        <f>IFERROR(__xludf.DUMMYFUNCTION("""COMPUTED_VALUE"""),"")</f>
        <v/>
      </c>
      <c r="U3789" s="16" t="s">
        <v>87</v>
      </c>
      <c r="V3789" s="16" t="str">
        <f>IFERROR(__xludf.DUMMYFUNCTION("""COMPUTED_VALUE"""),"")</f>
        <v/>
      </c>
      <c r="W3789" s="16" t="str">
        <f>IFERROR(__xludf.DUMMYFUNCTION("""COMPUTED_VALUE"""),"")</f>
        <v/>
      </c>
      <c r="X3789" s="16" t="str">
        <f>IFERROR(__xludf.DUMMYFUNCTION("""COMPUTED_VALUE"""),"")</f>
        <v/>
      </c>
      <c r="AC3789" s="16" t="str">
        <f>IFERROR(__xludf.DUMMYFUNCTION("""COMPUTED_VALUE"""),"")</f>
        <v/>
      </c>
    </row>
    <row r="3790">
      <c r="A3790" s="16" t="s">
        <v>87</v>
      </c>
      <c r="E3790" s="16" t="str">
        <f>IFERROR(__xludf.DUMMYFUNCTION("""COMPUTED_VALUE"""),"")</f>
        <v/>
      </c>
      <c r="G3790" s="18"/>
      <c r="H3790" s="16" t="s">
        <v>87</v>
      </c>
      <c r="I3790" s="16" t="s">
        <v>87</v>
      </c>
      <c r="J3790" s="19"/>
      <c r="L3790" s="16" t="str">
        <f>IFERROR(__xludf.DUMMYFUNCTION("""COMPUTED_VALUE"""),"")</f>
        <v/>
      </c>
      <c r="M3790" s="16" t="str">
        <f>IFERROR(__xludf.DUMMYFUNCTION("""COMPUTED_VALUE"""),"")</f>
        <v/>
      </c>
      <c r="U3790" s="16" t="s">
        <v>87</v>
      </c>
      <c r="V3790" s="16" t="str">
        <f>IFERROR(__xludf.DUMMYFUNCTION("""COMPUTED_VALUE"""),"")</f>
        <v/>
      </c>
      <c r="W3790" s="16" t="str">
        <f>IFERROR(__xludf.DUMMYFUNCTION("""COMPUTED_VALUE"""),"")</f>
        <v/>
      </c>
      <c r="X3790" s="16" t="str">
        <f>IFERROR(__xludf.DUMMYFUNCTION("""COMPUTED_VALUE"""),"")</f>
        <v/>
      </c>
      <c r="AC3790" s="16" t="str">
        <f>IFERROR(__xludf.DUMMYFUNCTION("""COMPUTED_VALUE"""),"")</f>
        <v/>
      </c>
    </row>
    <row r="3791">
      <c r="A3791" s="16" t="s">
        <v>87</v>
      </c>
      <c r="E3791" s="16" t="str">
        <f>IFERROR(__xludf.DUMMYFUNCTION("""COMPUTED_VALUE"""),"")</f>
        <v/>
      </c>
      <c r="G3791" s="18"/>
      <c r="H3791" s="16" t="s">
        <v>87</v>
      </c>
      <c r="I3791" s="16" t="s">
        <v>87</v>
      </c>
      <c r="J3791" s="19"/>
      <c r="L3791" s="16" t="str">
        <f>IFERROR(__xludf.DUMMYFUNCTION("""COMPUTED_VALUE"""),"")</f>
        <v/>
      </c>
      <c r="M3791" s="16" t="str">
        <f>IFERROR(__xludf.DUMMYFUNCTION("""COMPUTED_VALUE"""),"")</f>
        <v/>
      </c>
      <c r="U3791" s="16" t="s">
        <v>87</v>
      </c>
      <c r="V3791" s="16" t="str">
        <f>IFERROR(__xludf.DUMMYFUNCTION("""COMPUTED_VALUE"""),"")</f>
        <v/>
      </c>
      <c r="W3791" s="16" t="str">
        <f>IFERROR(__xludf.DUMMYFUNCTION("""COMPUTED_VALUE"""),"")</f>
        <v/>
      </c>
      <c r="X3791" s="16" t="str">
        <f>IFERROR(__xludf.DUMMYFUNCTION("""COMPUTED_VALUE"""),"")</f>
        <v/>
      </c>
      <c r="AC3791" s="16" t="str">
        <f>IFERROR(__xludf.DUMMYFUNCTION("""COMPUTED_VALUE"""),"")</f>
        <v/>
      </c>
    </row>
    <row r="3792">
      <c r="A3792" s="16" t="s">
        <v>87</v>
      </c>
      <c r="E3792" s="16" t="str">
        <f>IFERROR(__xludf.DUMMYFUNCTION("""COMPUTED_VALUE"""),"")</f>
        <v/>
      </c>
      <c r="G3792" s="18"/>
      <c r="H3792" s="16" t="s">
        <v>87</v>
      </c>
      <c r="I3792" s="16" t="s">
        <v>87</v>
      </c>
      <c r="J3792" s="19"/>
      <c r="L3792" s="16" t="str">
        <f>IFERROR(__xludf.DUMMYFUNCTION("""COMPUTED_VALUE"""),"")</f>
        <v/>
      </c>
      <c r="M3792" s="16" t="str">
        <f>IFERROR(__xludf.DUMMYFUNCTION("""COMPUTED_VALUE"""),"")</f>
        <v/>
      </c>
      <c r="U3792" s="16" t="s">
        <v>87</v>
      </c>
      <c r="V3792" s="16" t="str">
        <f>IFERROR(__xludf.DUMMYFUNCTION("""COMPUTED_VALUE"""),"")</f>
        <v/>
      </c>
      <c r="W3792" s="16" t="str">
        <f>IFERROR(__xludf.DUMMYFUNCTION("""COMPUTED_VALUE"""),"")</f>
        <v/>
      </c>
      <c r="X3792" s="16" t="str">
        <f>IFERROR(__xludf.DUMMYFUNCTION("""COMPUTED_VALUE"""),"")</f>
        <v/>
      </c>
      <c r="AC3792" s="16" t="str">
        <f>IFERROR(__xludf.DUMMYFUNCTION("""COMPUTED_VALUE"""),"")</f>
        <v/>
      </c>
    </row>
    <row r="3793">
      <c r="A3793" s="16" t="s">
        <v>87</v>
      </c>
      <c r="E3793" s="16" t="str">
        <f>IFERROR(__xludf.DUMMYFUNCTION("""COMPUTED_VALUE"""),"")</f>
        <v/>
      </c>
      <c r="G3793" s="18"/>
      <c r="H3793" s="16" t="s">
        <v>87</v>
      </c>
      <c r="I3793" s="16" t="s">
        <v>87</v>
      </c>
      <c r="J3793" s="19"/>
      <c r="L3793" s="16" t="str">
        <f>IFERROR(__xludf.DUMMYFUNCTION("""COMPUTED_VALUE"""),"")</f>
        <v/>
      </c>
      <c r="M3793" s="16" t="str">
        <f>IFERROR(__xludf.DUMMYFUNCTION("""COMPUTED_VALUE"""),"")</f>
        <v/>
      </c>
      <c r="U3793" s="16" t="s">
        <v>87</v>
      </c>
      <c r="V3793" s="16" t="str">
        <f>IFERROR(__xludf.DUMMYFUNCTION("""COMPUTED_VALUE"""),"")</f>
        <v/>
      </c>
      <c r="W3793" s="16" t="str">
        <f>IFERROR(__xludf.DUMMYFUNCTION("""COMPUTED_VALUE"""),"")</f>
        <v/>
      </c>
      <c r="X3793" s="16" t="str">
        <f>IFERROR(__xludf.DUMMYFUNCTION("""COMPUTED_VALUE"""),"")</f>
        <v/>
      </c>
      <c r="AC3793" s="16" t="str">
        <f>IFERROR(__xludf.DUMMYFUNCTION("""COMPUTED_VALUE"""),"")</f>
        <v/>
      </c>
    </row>
    <row r="3794">
      <c r="A3794" s="16" t="s">
        <v>87</v>
      </c>
      <c r="E3794" s="16" t="str">
        <f>IFERROR(__xludf.DUMMYFUNCTION("""COMPUTED_VALUE"""),"")</f>
        <v/>
      </c>
      <c r="G3794" s="18"/>
      <c r="H3794" s="16" t="s">
        <v>87</v>
      </c>
      <c r="I3794" s="16" t="s">
        <v>87</v>
      </c>
      <c r="J3794" s="19"/>
      <c r="L3794" s="16" t="str">
        <f>IFERROR(__xludf.DUMMYFUNCTION("""COMPUTED_VALUE"""),"")</f>
        <v/>
      </c>
      <c r="M3794" s="16" t="str">
        <f>IFERROR(__xludf.DUMMYFUNCTION("""COMPUTED_VALUE"""),"")</f>
        <v/>
      </c>
      <c r="U3794" s="16" t="s">
        <v>87</v>
      </c>
      <c r="V3794" s="16" t="str">
        <f>IFERROR(__xludf.DUMMYFUNCTION("""COMPUTED_VALUE"""),"")</f>
        <v/>
      </c>
      <c r="W3794" s="16" t="str">
        <f>IFERROR(__xludf.DUMMYFUNCTION("""COMPUTED_VALUE"""),"")</f>
        <v/>
      </c>
      <c r="X3794" s="16" t="str">
        <f>IFERROR(__xludf.DUMMYFUNCTION("""COMPUTED_VALUE"""),"")</f>
        <v/>
      </c>
      <c r="AC3794" s="16" t="str">
        <f>IFERROR(__xludf.DUMMYFUNCTION("""COMPUTED_VALUE"""),"")</f>
        <v/>
      </c>
    </row>
    <row r="3795">
      <c r="A3795" s="16" t="s">
        <v>87</v>
      </c>
      <c r="E3795" s="16" t="str">
        <f>IFERROR(__xludf.DUMMYFUNCTION("""COMPUTED_VALUE"""),"")</f>
        <v/>
      </c>
      <c r="G3795" s="18"/>
      <c r="H3795" s="16" t="s">
        <v>87</v>
      </c>
      <c r="I3795" s="16" t="s">
        <v>87</v>
      </c>
      <c r="J3795" s="19"/>
      <c r="L3795" s="16" t="str">
        <f>IFERROR(__xludf.DUMMYFUNCTION("""COMPUTED_VALUE"""),"")</f>
        <v/>
      </c>
      <c r="M3795" s="16" t="str">
        <f>IFERROR(__xludf.DUMMYFUNCTION("""COMPUTED_VALUE"""),"")</f>
        <v/>
      </c>
      <c r="U3795" s="16" t="s">
        <v>87</v>
      </c>
      <c r="V3795" s="16" t="str">
        <f>IFERROR(__xludf.DUMMYFUNCTION("""COMPUTED_VALUE"""),"")</f>
        <v/>
      </c>
      <c r="W3795" s="16" t="str">
        <f>IFERROR(__xludf.DUMMYFUNCTION("""COMPUTED_VALUE"""),"")</f>
        <v/>
      </c>
      <c r="X3795" s="16" t="str">
        <f>IFERROR(__xludf.DUMMYFUNCTION("""COMPUTED_VALUE"""),"")</f>
        <v/>
      </c>
      <c r="AC3795" s="16" t="str">
        <f>IFERROR(__xludf.DUMMYFUNCTION("""COMPUTED_VALUE"""),"")</f>
        <v/>
      </c>
    </row>
    <row r="3796">
      <c r="A3796" s="16" t="s">
        <v>87</v>
      </c>
      <c r="E3796" s="16" t="str">
        <f>IFERROR(__xludf.DUMMYFUNCTION("""COMPUTED_VALUE"""),"")</f>
        <v/>
      </c>
      <c r="G3796" s="18"/>
      <c r="H3796" s="16" t="s">
        <v>87</v>
      </c>
      <c r="I3796" s="16" t="s">
        <v>87</v>
      </c>
      <c r="J3796" s="19"/>
      <c r="L3796" s="16" t="str">
        <f>IFERROR(__xludf.DUMMYFUNCTION("""COMPUTED_VALUE"""),"")</f>
        <v/>
      </c>
      <c r="M3796" s="16" t="str">
        <f>IFERROR(__xludf.DUMMYFUNCTION("""COMPUTED_VALUE"""),"")</f>
        <v/>
      </c>
      <c r="U3796" s="16" t="s">
        <v>87</v>
      </c>
      <c r="V3796" s="16" t="str">
        <f>IFERROR(__xludf.DUMMYFUNCTION("""COMPUTED_VALUE"""),"")</f>
        <v/>
      </c>
      <c r="W3796" s="16" t="str">
        <f>IFERROR(__xludf.DUMMYFUNCTION("""COMPUTED_VALUE"""),"")</f>
        <v/>
      </c>
      <c r="X3796" s="16" t="str">
        <f>IFERROR(__xludf.DUMMYFUNCTION("""COMPUTED_VALUE"""),"")</f>
        <v/>
      </c>
      <c r="AC3796" s="16" t="str">
        <f>IFERROR(__xludf.DUMMYFUNCTION("""COMPUTED_VALUE"""),"")</f>
        <v/>
      </c>
    </row>
    <row r="3797">
      <c r="A3797" s="16" t="s">
        <v>87</v>
      </c>
      <c r="E3797" s="16" t="str">
        <f>IFERROR(__xludf.DUMMYFUNCTION("""COMPUTED_VALUE"""),"")</f>
        <v/>
      </c>
      <c r="G3797" s="18"/>
      <c r="H3797" s="16" t="s">
        <v>87</v>
      </c>
      <c r="I3797" s="16" t="s">
        <v>87</v>
      </c>
      <c r="J3797" s="19"/>
      <c r="L3797" s="16" t="str">
        <f>IFERROR(__xludf.DUMMYFUNCTION("""COMPUTED_VALUE"""),"")</f>
        <v/>
      </c>
      <c r="M3797" s="16" t="str">
        <f>IFERROR(__xludf.DUMMYFUNCTION("""COMPUTED_VALUE"""),"")</f>
        <v/>
      </c>
      <c r="U3797" s="16" t="s">
        <v>87</v>
      </c>
      <c r="V3797" s="16" t="str">
        <f>IFERROR(__xludf.DUMMYFUNCTION("""COMPUTED_VALUE"""),"")</f>
        <v/>
      </c>
      <c r="W3797" s="16" t="str">
        <f>IFERROR(__xludf.DUMMYFUNCTION("""COMPUTED_VALUE"""),"")</f>
        <v/>
      </c>
      <c r="X3797" s="16" t="str">
        <f>IFERROR(__xludf.DUMMYFUNCTION("""COMPUTED_VALUE"""),"")</f>
        <v/>
      </c>
      <c r="AC3797" s="16" t="str">
        <f>IFERROR(__xludf.DUMMYFUNCTION("""COMPUTED_VALUE"""),"")</f>
        <v/>
      </c>
    </row>
    <row r="3798">
      <c r="A3798" s="16" t="s">
        <v>87</v>
      </c>
      <c r="E3798" s="16" t="str">
        <f>IFERROR(__xludf.DUMMYFUNCTION("""COMPUTED_VALUE"""),"")</f>
        <v/>
      </c>
      <c r="G3798" s="18"/>
      <c r="H3798" s="16" t="s">
        <v>87</v>
      </c>
      <c r="I3798" s="16" t="s">
        <v>87</v>
      </c>
      <c r="J3798" s="19"/>
      <c r="L3798" s="16" t="str">
        <f>IFERROR(__xludf.DUMMYFUNCTION("""COMPUTED_VALUE"""),"")</f>
        <v/>
      </c>
      <c r="M3798" s="16" t="str">
        <f>IFERROR(__xludf.DUMMYFUNCTION("""COMPUTED_VALUE"""),"")</f>
        <v/>
      </c>
      <c r="U3798" s="16" t="s">
        <v>87</v>
      </c>
      <c r="V3798" s="16" t="str">
        <f>IFERROR(__xludf.DUMMYFUNCTION("""COMPUTED_VALUE"""),"")</f>
        <v/>
      </c>
      <c r="W3798" s="16" t="str">
        <f>IFERROR(__xludf.DUMMYFUNCTION("""COMPUTED_VALUE"""),"")</f>
        <v/>
      </c>
      <c r="X3798" s="16" t="str">
        <f>IFERROR(__xludf.DUMMYFUNCTION("""COMPUTED_VALUE"""),"")</f>
        <v/>
      </c>
      <c r="AC3798" s="16" t="str">
        <f>IFERROR(__xludf.DUMMYFUNCTION("""COMPUTED_VALUE"""),"")</f>
        <v/>
      </c>
    </row>
    <row r="3799">
      <c r="A3799" s="16" t="s">
        <v>87</v>
      </c>
      <c r="E3799" s="16" t="str">
        <f>IFERROR(__xludf.DUMMYFUNCTION("""COMPUTED_VALUE"""),"")</f>
        <v/>
      </c>
      <c r="G3799" s="18"/>
      <c r="H3799" s="16" t="s">
        <v>87</v>
      </c>
      <c r="I3799" s="16" t="s">
        <v>87</v>
      </c>
      <c r="J3799" s="19"/>
      <c r="L3799" s="16" t="str">
        <f>IFERROR(__xludf.DUMMYFUNCTION("""COMPUTED_VALUE"""),"")</f>
        <v/>
      </c>
      <c r="M3799" s="16" t="str">
        <f>IFERROR(__xludf.DUMMYFUNCTION("""COMPUTED_VALUE"""),"")</f>
        <v/>
      </c>
      <c r="U3799" s="16" t="s">
        <v>87</v>
      </c>
      <c r="V3799" s="16" t="str">
        <f>IFERROR(__xludf.DUMMYFUNCTION("""COMPUTED_VALUE"""),"")</f>
        <v/>
      </c>
      <c r="W3799" s="16" t="str">
        <f>IFERROR(__xludf.DUMMYFUNCTION("""COMPUTED_VALUE"""),"")</f>
        <v/>
      </c>
      <c r="X3799" s="16" t="str">
        <f>IFERROR(__xludf.DUMMYFUNCTION("""COMPUTED_VALUE"""),"")</f>
        <v/>
      </c>
      <c r="AC3799" s="16" t="str">
        <f>IFERROR(__xludf.DUMMYFUNCTION("""COMPUTED_VALUE"""),"")</f>
        <v/>
      </c>
    </row>
    <row r="3800">
      <c r="A3800" s="16" t="s">
        <v>87</v>
      </c>
      <c r="E3800" s="16" t="str">
        <f>IFERROR(__xludf.DUMMYFUNCTION("""COMPUTED_VALUE"""),"")</f>
        <v/>
      </c>
      <c r="G3800" s="18"/>
      <c r="H3800" s="16" t="s">
        <v>87</v>
      </c>
      <c r="I3800" s="16" t="s">
        <v>87</v>
      </c>
      <c r="J3800" s="19"/>
      <c r="L3800" s="16" t="str">
        <f>IFERROR(__xludf.DUMMYFUNCTION("""COMPUTED_VALUE"""),"")</f>
        <v/>
      </c>
      <c r="M3800" s="16" t="str">
        <f>IFERROR(__xludf.DUMMYFUNCTION("""COMPUTED_VALUE"""),"")</f>
        <v/>
      </c>
      <c r="U3800" s="16" t="s">
        <v>87</v>
      </c>
      <c r="V3800" s="16" t="str">
        <f>IFERROR(__xludf.DUMMYFUNCTION("""COMPUTED_VALUE"""),"")</f>
        <v/>
      </c>
      <c r="W3800" s="16" t="str">
        <f>IFERROR(__xludf.DUMMYFUNCTION("""COMPUTED_VALUE"""),"")</f>
        <v/>
      </c>
      <c r="X3800" s="16" t="str">
        <f>IFERROR(__xludf.DUMMYFUNCTION("""COMPUTED_VALUE"""),"")</f>
        <v/>
      </c>
      <c r="AC3800" s="16" t="str">
        <f>IFERROR(__xludf.DUMMYFUNCTION("""COMPUTED_VALUE"""),"")</f>
        <v/>
      </c>
    </row>
    <row r="3801">
      <c r="A3801" s="16" t="s">
        <v>87</v>
      </c>
      <c r="E3801" s="16" t="str">
        <f>IFERROR(__xludf.DUMMYFUNCTION("""COMPUTED_VALUE"""),"")</f>
        <v/>
      </c>
      <c r="G3801" s="18"/>
      <c r="H3801" s="16" t="s">
        <v>87</v>
      </c>
      <c r="I3801" s="16" t="s">
        <v>87</v>
      </c>
      <c r="J3801" s="19"/>
      <c r="L3801" s="16" t="str">
        <f>IFERROR(__xludf.DUMMYFUNCTION("""COMPUTED_VALUE"""),"")</f>
        <v/>
      </c>
      <c r="M3801" s="16" t="str">
        <f>IFERROR(__xludf.DUMMYFUNCTION("""COMPUTED_VALUE"""),"")</f>
        <v/>
      </c>
      <c r="U3801" s="16" t="s">
        <v>87</v>
      </c>
      <c r="V3801" s="16" t="str">
        <f>IFERROR(__xludf.DUMMYFUNCTION("""COMPUTED_VALUE"""),"")</f>
        <v/>
      </c>
      <c r="W3801" s="16" t="str">
        <f>IFERROR(__xludf.DUMMYFUNCTION("""COMPUTED_VALUE"""),"")</f>
        <v/>
      </c>
      <c r="X3801" s="16" t="str">
        <f>IFERROR(__xludf.DUMMYFUNCTION("""COMPUTED_VALUE"""),"")</f>
        <v/>
      </c>
      <c r="AC3801" s="16" t="str">
        <f>IFERROR(__xludf.DUMMYFUNCTION("""COMPUTED_VALUE"""),"")</f>
        <v/>
      </c>
    </row>
    <row r="3802">
      <c r="A3802" s="16" t="s">
        <v>87</v>
      </c>
      <c r="E3802" s="16" t="str">
        <f>IFERROR(__xludf.DUMMYFUNCTION("""COMPUTED_VALUE"""),"")</f>
        <v/>
      </c>
      <c r="G3802" s="18"/>
      <c r="H3802" s="16" t="s">
        <v>87</v>
      </c>
      <c r="I3802" s="16" t="s">
        <v>87</v>
      </c>
      <c r="J3802" s="19"/>
      <c r="L3802" s="16" t="str">
        <f>IFERROR(__xludf.DUMMYFUNCTION("""COMPUTED_VALUE"""),"")</f>
        <v/>
      </c>
      <c r="M3802" s="16" t="str">
        <f>IFERROR(__xludf.DUMMYFUNCTION("""COMPUTED_VALUE"""),"")</f>
        <v/>
      </c>
      <c r="U3802" s="16" t="s">
        <v>87</v>
      </c>
      <c r="V3802" s="16" t="str">
        <f>IFERROR(__xludf.DUMMYFUNCTION("""COMPUTED_VALUE"""),"")</f>
        <v/>
      </c>
      <c r="W3802" s="16" t="str">
        <f>IFERROR(__xludf.DUMMYFUNCTION("""COMPUTED_VALUE"""),"")</f>
        <v/>
      </c>
      <c r="X3802" s="16" t="str">
        <f>IFERROR(__xludf.DUMMYFUNCTION("""COMPUTED_VALUE"""),"")</f>
        <v/>
      </c>
      <c r="AC3802" s="16" t="str">
        <f>IFERROR(__xludf.DUMMYFUNCTION("""COMPUTED_VALUE"""),"")</f>
        <v/>
      </c>
    </row>
    <row r="3803">
      <c r="A3803" s="16" t="s">
        <v>87</v>
      </c>
      <c r="E3803" s="16" t="str">
        <f>IFERROR(__xludf.DUMMYFUNCTION("""COMPUTED_VALUE"""),"")</f>
        <v/>
      </c>
      <c r="G3803" s="18"/>
      <c r="H3803" s="16" t="s">
        <v>87</v>
      </c>
      <c r="I3803" s="16" t="s">
        <v>87</v>
      </c>
      <c r="J3803" s="19"/>
      <c r="L3803" s="16" t="str">
        <f>IFERROR(__xludf.DUMMYFUNCTION("""COMPUTED_VALUE"""),"")</f>
        <v/>
      </c>
      <c r="M3803" s="16" t="str">
        <f>IFERROR(__xludf.DUMMYFUNCTION("""COMPUTED_VALUE"""),"")</f>
        <v/>
      </c>
      <c r="U3803" s="16" t="s">
        <v>87</v>
      </c>
      <c r="V3803" s="16" t="str">
        <f>IFERROR(__xludf.DUMMYFUNCTION("""COMPUTED_VALUE"""),"")</f>
        <v/>
      </c>
      <c r="W3803" s="16" t="str">
        <f>IFERROR(__xludf.DUMMYFUNCTION("""COMPUTED_VALUE"""),"")</f>
        <v/>
      </c>
      <c r="X3803" s="16" t="str">
        <f>IFERROR(__xludf.DUMMYFUNCTION("""COMPUTED_VALUE"""),"")</f>
        <v/>
      </c>
      <c r="AC3803" s="16" t="str">
        <f>IFERROR(__xludf.DUMMYFUNCTION("""COMPUTED_VALUE"""),"")</f>
        <v/>
      </c>
    </row>
    <row r="3804">
      <c r="A3804" s="16" t="s">
        <v>87</v>
      </c>
      <c r="E3804" s="16" t="str">
        <f>IFERROR(__xludf.DUMMYFUNCTION("""COMPUTED_VALUE"""),"")</f>
        <v/>
      </c>
      <c r="G3804" s="18"/>
      <c r="H3804" s="16" t="s">
        <v>87</v>
      </c>
      <c r="I3804" s="16" t="s">
        <v>87</v>
      </c>
      <c r="J3804" s="19"/>
      <c r="L3804" s="16" t="str">
        <f>IFERROR(__xludf.DUMMYFUNCTION("""COMPUTED_VALUE"""),"")</f>
        <v/>
      </c>
      <c r="M3804" s="16" t="str">
        <f>IFERROR(__xludf.DUMMYFUNCTION("""COMPUTED_VALUE"""),"")</f>
        <v/>
      </c>
      <c r="U3804" s="16" t="s">
        <v>87</v>
      </c>
      <c r="V3804" s="16" t="str">
        <f>IFERROR(__xludf.DUMMYFUNCTION("""COMPUTED_VALUE"""),"")</f>
        <v/>
      </c>
      <c r="W3804" s="16" t="str">
        <f>IFERROR(__xludf.DUMMYFUNCTION("""COMPUTED_VALUE"""),"")</f>
        <v/>
      </c>
      <c r="X3804" s="16" t="str">
        <f>IFERROR(__xludf.DUMMYFUNCTION("""COMPUTED_VALUE"""),"")</f>
        <v/>
      </c>
      <c r="AC3804" s="16" t="str">
        <f>IFERROR(__xludf.DUMMYFUNCTION("""COMPUTED_VALUE"""),"")</f>
        <v/>
      </c>
    </row>
    <row r="3805">
      <c r="A3805" s="16" t="s">
        <v>87</v>
      </c>
      <c r="E3805" s="16" t="str">
        <f>IFERROR(__xludf.DUMMYFUNCTION("""COMPUTED_VALUE"""),"")</f>
        <v/>
      </c>
      <c r="G3805" s="18"/>
      <c r="H3805" s="16" t="s">
        <v>87</v>
      </c>
      <c r="I3805" s="16" t="s">
        <v>87</v>
      </c>
      <c r="J3805" s="19"/>
      <c r="L3805" s="16" t="str">
        <f>IFERROR(__xludf.DUMMYFUNCTION("""COMPUTED_VALUE"""),"")</f>
        <v/>
      </c>
      <c r="M3805" s="16" t="str">
        <f>IFERROR(__xludf.DUMMYFUNCTION("""COMPUTED_VALUE"""),"")</f>
        <v/>
      </c>
      <c r="U3805" s="16" t="s">
        <v>87</v>
      </c>
      <c r="V3805" s="16" t="str">
        <f>IFERROR(__xludf.DUMMYFUNCTION("""COMPUTED_VALUE"""),"")</f>
        <v/>
      </c>
      <c r="W3805" s="16" t="str">
        <f>IFERROR(__xludf.DUMMYFUNCTION("""COMPUTED_VALUE"""),"")</f>
        <v/>
      </c>
      <c r="X3805" s="16" t="str">
        <f>IFERROR(__xludf.DUMMYFUNCTION("""COMPUTED_VALUE"""),"")</f>
        <v/>
      </c>
      <c r="AC3805" s="16" t="str">
        <f>IFERROR(__xludf.DUMMYFUNCTION("""COMPUTED_VALUE"""),"")</f>
        <v/>
      </c>
    </row>
    <row r="3806">
      <c r="A3806" s="16" t="s">
        <v>87</v>
      </c>
      <c r="E3806" s="16" t="str">
        <f>IFERROR(__xludf.DUMMYFUNCTION("""COMPUTED_VALUE"""),"")</f>
        <v/>
      </c>
      <c r="G3806" s="18"/>
      <c r="H3806" s="16" t="s">
        <v>87</v>
      </c>
      <c r="I3806" s="16" t="s">
        <v>87</v>
      </c>
      <c r="J3806" s="19"/>
      <c r="L3806" s="16" t="str">
        <f>IFERROR(__xludf.DUMMYFUNCTION("""COMPUTED_VALUE"""),"")</f>
        <v/>
      </c>
      <c r="M3806" s="16" t="str">
        <f>IFERROR(__xludf.DUMMYFUNCTION("""COMPUTED_VALUE"""),"")</f>
        <v/>
      </c>
      <c r="U3806" s="16" t="s">
        <v>87</v>
      </c>
      <c r="V3806" s="16" t="str">
        <f>IFERROR(__xludf.DUMMYFUNCTION("""COMPUTED_VALUE"""),"")</f>
        <v/>
      </c>
      <c r="W3806" s="16" t="str">
        <f>IFERROR(__xludf.DUMMYFUNCTION("""COMPUTED_VALUE"""),"")</f>
        <v/>
      </c>
      <c r="X3806" s="16" t="str">
        <f>IFERROR(__xludf.DUMMYFUNCTION("""COMPUTED_VALUE"""),"")</f>
        <v/>
      </c>
      <c r="AC3806" s="16" t="str">
        <f>IFERROR(__xludf.DUMMYFUNCTION("""COMPUTED_VALUE"""),"")</f>
        <v/>
      </c>
    </row>
    <row r="3807">
      <c r="A3807" s="16" t="s">
        <v>87</v>
      </c>
      <c r="E3807" s="16" t="str">
        <f>IFERROR(__xludf.DUMMYFUNCTION("""COMPUTED_VALUE"""),"")</f>
        <v/>
      </c>
      <c r="G3807" s="18"/>
      <c r="H3807" s="16" t="s">
        <v>87</v>
      </c>
      <c r="I3807" s="16" t="s">
        <v>87</v>
      </c>
      <c r="J3807" s="19"/>
      <c r="L3807" s="16" t="str">
        <f>IFERROR(__xludf.DUMMYFUNCTION("""COMPUTED_VALUE"""),"")</f>
        <v/>
      </c>
      <c r="M3807" s="16" t="str">
        <f>IFERROR(__xludf.DUMMYFUNCTION("""COMPUTED_VALUE"""),"")</f>
        <v/>
      </c>
      <c r="U3807" s="16" t="s">
        <v>87</v>
      </c>
      <c r="V3807" s="16" t="str">
        <f>IFERROR(__xludf.DUMMYFUNCTION("""COMPUTED_VALUE"""),"")</f>
        <v/>
      </c>
      <c r="W3807" s="16" t="str">
        <f>IFERROR(__xludf.DUMMYFUNCTION("""COMPUTED_VALUE"""),"")</f>
        <v/>
      </c>
      <c r="X3807" s="16" t="str">
        <f>IFERROR(__xludf.DUMMYFUNCTION("""COMPUTED_VALUE"""),"")</f>
        <v/>
      </c>
      <c r="AC3807" s="16" t="str">
        <f>IFERROR(__xludf.DUMMYFUNCTION("""COMPUTED_VALUE"""),"")</f>
        <v/>
      </c>
    </row>
    <row r="3808">
      <c r="A3808" s="16" t="s">
        <v>87</v>
      </c>
      <c r="E3808" s="16" t="str">
        <f>IFERROR(__xludf.DUMMYFUNCTION("""COMPUTED_VALUE"""),"")</f>
        <v/>
      </c>
      <c r="G3808" s="18"/>
      <c r="H3808" s="16" t="s">
        <v>87</v>
      </c>
      <c r="I3808" s="16" t="s">
        <v>87</v>
      </c>
      <c r="J3808" s="19"/>
      <c r="L3808" s="16" t="str">
        <f>IFERROR(__xludf.DUMMYFUNCTION("""COMPUTED_VALUE"""),"")</f>
        <v/>
      </c>
      <c r="M3808" s="16" t="str">
        <f>IFERROR(__xludf.DUMMYFUNCTION("""COMPUTED_VALUE"""),"")</f>
        <v/>
      </c>
      <c r="U3808" s="16" t="s">
        <v>87</v>
      </c>
      <c r="V3808" s="16" t="str">
        <f>IFERROR(__xludf.DUMMYFUNCTION("""COMPUTED_VALUE"""),"")</f>
        <v/>
      </c>
      <c r="W3808" s="16" t="str">
        <f>IFERROR(__xludf.DUMMYFUNCTION("""COMPUTED_VALUE"""),"")</f>
        <v/>
      </c>
      <c r="X3808" s="16" t="str">
        <f>IFERROR(__xludf.DUMMYFUNCTION("""COMPUTED_VALUE"""),"")</f>
        <v/>
      </c>
      <c r="AC3808" s="16" t="str">
        <f>IFERROR(__xludf.DUMMYFUNCTION("""COMPUTED_VALUE"""),"")</f>
        <v/>
      </c>
    </row>
    <row r="3809">
      <c r="A3809" s="16" t="s">
        <v>87</v>
      </c>
      <c r="E3809" s="16" t="str">
        <f>IFERROR(__xludf.DUMMYFUNCTION("""COMPUTED_VALUE"""),"")</f>
        <v/>
      </c>
      <c r="G3809" s="18"/>
      <c r="H3809" s="16" t="s">
        <v>87</v>
      </c>
      <c r="I3809" s="16" t="s">
        <v>87</v>
      </c>
      <c r="J3809" s="19"/>
      <c r="L3809" s="16" t="str">
        <f>IFERROR(__xludf.DUMMYFUNCTION("""COMPUTED_VALUE"""),"")</f>
        <v/>
      </c>
      <c r="M3809" s="16" t="str">
        <f>IFERROR(__xludf.DUMMYFUNCTION("""COMPUTED_VALUE"""),"")</f>
        <v/>
      </c>
      <c r="U3809" s="16" t="s">
        <v>87</v>
      </c>
      <c r="V3809" s="16" t="str">
        <f>IFERROR(__xludf.DUMMYFUNCTION("""COMPUTED_VALUE"""),"")</f>
        <v/>
      </c>
      <c r="W3809" s="16" t="str">
        <f>IFERROR(__xludf.DUMMYFUNCTION("""COMPUTED_VALUE"""),"")</f>
        <v/>
      </c>
      <c r="X3809" s="16" t="str">
        <f>IFERROR(__xludf.DUMMYFUNCTION("""COMPUTED_VALUE"""),"")</f>
        <v/>
      </c>
      <c r="AC3809" s="16" t="str">
        <f>IFERROR(__xludf.DUMMYFUNCTION("""COMPUTED_VALUE"""),"")</f>
        <v/>
      </c>
    </row>
    <row r="3810">
      <c r="A3810" s="16" t="s">
        <v>87</v>
      </c>
      <c r="E3810" s="16" t="str">
        <f>IFERROR(__xludf.DUMMYFUNCTION("""COMPUTED_VALUE"""),"")</f>
        <v/>
      </c>
      <c r="G3810" s="18"/>
      <c r="H3810" s="16" t="s">
        <v>87</v>
      </c>
      <c r="I3810" s="16" t="s">
        <v>87</v>
      </c>
      <c r="J3810" s="19"/>
      <c r="L3810" s="16" t="str">
        <f>IFERROR(__xludf.DUMMYFUNCTION("""COMPUTED_VALUE"""),"")</f>
        <v/>
      </c>
      <c r="M3810" s="16" t="str">
        <f>IFERROR(__xludf.DUMMYFUNCTION("""COMPUTED_VALUE"""),"")</f>
        <v/>
      </c>
      <c r="U3810" s="16" t="s">
        <v>87</v>
      </c>
      <c r="V3810" s="16" t="str">
        <f>IFERROR(__xludf.DUMMYFUNCTION("""COMPUTED_VALUE"""),"")</f>
        <v/>
      </c>
      <c r="W3810" s="16" t="str">
        <f>IFERROR(__xludf.DUMMYFUNCTION("""COMPUTED_VALUE"""),"")</f>
        <v/>
      </c>
      <c r="X3810" s="16" t="str">
        <f>IFERROR(__xludf.DUMMYFUNCTION("""COMPUTED_VALUE"""),"")</f>
        <v/>
      </c>
      <c r="AC3810" s="16" t="str">
        <f>IFERROR(__xludf.DUMMYFUNCTION("""COMPUTED_VALUE"""),"")</f>
        <v/>
      </c>
    </row>
    <row r="3811">
      <c r="A3811" s="16" t="s">
        <v>87</v>
      </c>
      <c r="E3811" s="16" t="str">
        <f>IFERROR(__xludf.DUMMYFUNCTION("""COMPUTED_VALUE"""),"")</f>
        <v/>
      </c>
      <c r="G3811" s="18"/>
      <c r="H3811" s="16" t="s">
        <v>87</v>
      </c>
      <c r="I3811" s="16" t="s">
        <v>87</v>
      </c>
      <c r="J3811" s="19"/>
      <c r="L3811" s="16" t="str">
        <f>IFERROR(__xludf.DUMMYFUNCTION("""COMPUTED_VALUE"""),"")</f>
        <v/>
      </c>
      <c r="M3811" s="16" t="str">
        <f>IFERROR(__xludf.DUMMYFUNCTION("""COMPUTED_VALUE"""),"")</f>
        <v/>
      </c>
      <c r="U3811" s="16" t="s">
        <v>87</v>
      </c>
      <c r="V3811" s="16" t="str">
        <f>IFERROR(__xludf.DUMMYFUNCTION("""COMPUTED_VALUE"""),"")</f>
        <v/>
      </c>
      <c r="W3811" s="16" t="str">
        <f>IFERROR(__xludf.DUMMYFUNCTION("""COMPUTED_VALUE"""),"")</f>
        <v/>
      </c>
      <c r="X3811" s="16" t="str">
        <f>IFERROR(__xludf.DUMMYFUNCTION("""COMPUTED_VALUE"""),"")</f>
        <v/>
      </c>
      <c r="AC3811" s="16" t="str">
        <f>IFERROR(__xludf.DUMMYFUNCTION("""COMPUTED_VALUE"""),"")</f>
        <v/>
      </c>
    </row>
    <row r="3812">
      <c r="A3812" s="16" t="s">
        <v>87</v>
      </c>
      <c r="E3812" s="16" t="str">
        <f>IFERROR(__xludf.DUMMYFUNCTION("""COMPUTED_VALUE"""),"")</f>
        <v/>
      </c>
      <c r="G3812" s="18"/>
      <c r="H3812" s="16" t="s">
        <v>87</v>
      </c>
      <c r="I3812" s="16" t="s">
        <v>87</v>
      </c>
      <c r="J3812" s="19"/>
      <c r="L3812" s="16" t="str">
        <f>IFERROR(__xludf.DUMMYFUNCTION("""COMPUTED_VALUE"""),"")</f>
        <v/>
      </c>
      <c r="M3812" s="16" t="str">
        <f>IFERROR(__xludf.DUMMYFUNCTION("""COMPUTED_VALUE"""),"")</f>
        <v/>
      </c>
      <c r="U3812" s="16" t="s">
        <v>87</v>
      </c>
      <c r="V3812" s="16" t="str">
        <f>IFERROR(__xludf.DUMMYFUNCTION("""COMPUTED_VALUE"""),"")</f>
        <v/>
      </c>
      <c r="W3812" s="16" t="str">
        <f>IFERROR(__xludf.DUMMYFUNCTION("""COMPUTED_VALUE"""),"")</f>
        <v/>
      </c>
      <c r="X3812" s="16" t="str">
        <f>IFERROR(__xludf.DUMMYFUNCTION("""COMPUTED_VALUE"""),"")</f>
        <v/>
      </c>
      <c r="AC3812" s="16" t="str">
        <f>IFERROR(__xludf.DUMMYFUNCTION("""COMPUTED_VALUE"""),"")</f>
        <v/>
      </c>
    </row>
    <row r="3813">
      <c r="A3813" s="16" t="s">
        <v>87</v>
      </c>
      <c r="E3813" s="16" t="str">
        <f>IFERROR(__xludf.DUMMYFUNCTION("""COMPUTED_VALUE"""),"")</f>
        <v/>
      </c>
      <c r="G3813" s="18"/>
      <c r="H3813" s="16" t="s">
        <v>87</v>
      </c>
      <c r="I3813" s="16" t="s">
        <v>87</v>
      </c>
      <c r="J3813" s="19"/>
      <c r="L3813" s="16" t="str">
        <f>IFERROR(__xludf.DUMMYFUNCTION("""COMPUTED_VALUE"""),"")</f>
        <v/>
      </c>
      <c r="M3813" s="16" t="str">
        <f>IFERROR(__xludf.DUMMYFUNCTION("""COMPUTED_VALUE"""),"")</f>
        <v/>
      </c>
      <c r="U3813" s="16" t="s">
        <v>87</v>
      </c>
      <c r="V3813" s="16" t="str">
        <f>IFERROR(__xludf.DUMMYFUNCTION("""COMPUTED_VALUE"""),"")</f>
        <v/>
      </c>
      <c r="W3813" s="16" t="str">
        <f>IFERROR(__xludf.DUMMYFUNCTION("""COMPUTED_VALUE"""),"")</f>
        <v/>
      </c>
      <c r="X3813" s="16" t="str">
        <f>IFERROR(__xludf.DUMMYFUNCTION("""COMPUTED_VALUE"""),"")</f>
        <v/>
      </c>
      <c r="AC3813" s="16" t="str">
        <f>IFERROR(__xludf.DUMMYFUNCTION("""COMPUTED_VALUE"""),"")</f>
        <v/>
      </c>
    </row>
    <row r="3814">
      <c r="A3814" s="16" t="s">
        <v>87</v>
      </c>
      <c r="E3814" s="16" t="str">
        <f>IFERROR(__xludf.DUMMYFUNCTION("""COMPUTED_VALUE"""),"")</f>
        <v/>
      </c>
      <c r="G3814" s="18"/>
      <c r="H3814" s="16" t="s">
        <v>87</v>
      </c>
      <c r="I3814" s="16" t="s">
        <v>87</v>
      </c>
      <c r="J3814" s="19"/>
      <c r="L3814" s="16" t="str">
        <f>IFERROR(__xludf.DUMMYFUNCTION("""COMPUTED_VALUE"""),"")</f>
        <v/>
      </c>
      <c r="M3814" s="16" t="str">
        <f>IFERROR(__xludf.DUMMYFUNCTION("""COMPUTED_VALUE"""),"")</f>
        <v/>
      </c>
      <c r="U3814" s="16" t="s">
        <v>87</v>
      </c>
      <c r="V3814" s="16" t="str">
        <f>IFERROR(__xludf.DUMMYFUNCTION("""COMPUTED_VALUE"""),"")</f>
        <v/>
      </c>
      <c r="W3814" s="16" t="str">
        <f>IFERROR(__xludf.DUMMYFUNCTION("""COMPUTED_VALUE"""),"")</f>
        <v/>
      </c>
      <c r="X3814" s="16" t="str">
        <f>IFERROR(__xludf.DUMMYFUNCTION("""COMPUTED_VALUE"""),"")</f>
        <v/>
      </c>
      <c r="AC3814" s="16" t="str">
        <f>IFERROR(__xludf.DUMMYFUNCTION("""COMPUTED_VALUE"""),"")</f>
        <v/>
      </c>
    </row>
    <row r="3815">
      <c r="A3815" s="16" t="s">
        <v>87</v>
      </c>
      <c r="E3815" s="16" t="str">
        <f>IFERROR(__xludf.DUMMYFUNCTION("""COMPUTED_VALUE"""),"")</f>
        <v/>
      </c>
      <c r="G3815" s="18"/>
      <c r="H3815" s="16" t="s">
        <v>87</v>
      </c>
      <c r="I3815" s="16" t="s">
        <v>87</v>
      </c>
      <c r="J3815" s="19"/>
      <c r="L3815" s="16" t="str">
        <f>IFERROR(__xludf.DUMMYFUNCTION("""COMPUTED_VALUE"""),"")</f>
        <v/>
      </c>
      <c r="M3815" s="16" t="str">
        <f>IFERROR(__xludf.DUMMYFUNCTION("""COMPUTED_VALUE"""),"")</f>
        <v/>
      </c>
      <c r="U3815" s="16" t="s">
        <v>87</v>
      </c>
      <c r="V3815" s="16" t="str">
        <f>IFERROR(__xludf.DUMMYFUNCTION("""COMPUTED_VALUE"""),"")</f>
        <v/>
      </c>
      <c r="W3815" s="16" t="str">
        <f>IFERROR(__xludf.DUMMYFUNCTION("""COMPUTED_VALUE"""),"")</f>
        <v/>
      </c>
      <c r="X3815" s="16" t="str">
        <f>IFERROR(__xludf.DUMMYFUNCTION("""COMPUTED_VALUE"""),"")</f>
        <v/>
      </c>
      <c r="AC3815" s="16" t="str">
        <f>IFERROR(__xludf.DUMMYFUNCTION("""COMPUTED_VALUE"""),"")</f>
        <v/>
      </c>
    </row>
    <row r="3816">
      <c r="A3816" s="16" t="s">
        <v>87</v>
      </c>
      <c r="E3816" s="16" t="str">
        <f>IFERROR(__xludf.DUMMYFUNCTION("""COMPUTED_VALUE"""),"")</f>
        <v/>
      </c>
      <c r="G3816" s="18"/>
      <c r="H3816" s="16" t="s">
        <v>87</v>
      </c>
      <c r="I3816" s="16" t="s">
        <v>87</v>
      </c>
      <c r="J3816" s="19"/>
      <c r="L3816" s="16" t="str">
        <f>IFERROR(__xludf.DUMMYFUNCTION("""COMPUTED_VALUE"""),"")</f>
        <v/>
      </c>
      <c r="M3816" s="16" t="str">
        <f>IFERROR(__xludf.DUMMYFUNCTION("""COMPUTED_VALUE"""),"")</f>
        <v/>
      </c>
      <c r="U3816" s="16" t="s">
        <v>87</v>
      </c>
      <c r="V3816" s="16" t="str">
        <f>IFERROR(__xludf.DUMMYFUNCTION("""COMPUTED_VALUE"""),"")</f>
        <v/>
      </c>
      <c r="W3816" s="16" t="str">
        <f>IFERROR(__xludf.DUMMYFUNCTION("""COMPUTED_VALUE"""),"")</f>
        <v/>
      </c>
      <c r="X3816" s="16" t="str">
        <f>IFERROR(__xludf.DUMMYFUNCTION("""COMPUTED_VALUE"""),"")</f>
        <v/>
      </c>
      <c r="AC3816" s="16" t="str">
        <f>IFERROR(__xludf.DUMMYFUNCTION("""COMPUTED_VALUE"""),"")</f>
        <v/>
      </c>
    </row>
    <row r="3817">
      <c r="A3817" s="16" t="s">
        <v>87</v>
      </c>
      <c r="E3817" s="16" t="str">
        <f>IFERROR(__xludf.DUMMYFUNCTION("""COMPUTED_VALUE"""),"")</f>
        <v/>
      </c>
      <c r="G3817" s="18"/>
      <c r="H3817" s="16" t="s">
        <v>87</v>
      </c>
      <c r="I3817" s="16" t="s">
        <v>87</v>
      </c>
      <c r="J3817" s="19"/>
      <c r="L3817" s="16" t="str">
        <f>IFERROR(__xludf.DUMMYFUNCTION("""COMPUTED_VALUE"""),"")</f>
        <v/>
      </c>
      <c r="M3817" s="16" t="str">
        <f>IFERROR(__xludf.DUMMYFUNCTION("""COMPUTED_VALUE"""),"")</f>
        <v/>
      </c>
      <c r="U3817" s="16" t="s">
        <v>87</v>
      </c>
      <c r="V3817" s="16" t="str">
        <f>IFERROR(__xludf.DUMMYFUNCTION("""COMPUTED_VALUE"""),"")</f>
        <v/>
      </c>
      <c r="W3817" s="16" t="str">
        <f>IFERROR(__xludf.DUMMYFUNCTION("""COMPUTED_VALUE"""),"")</f>
        <v/>
      </c>
      <c r="X3817" s="16" t="str">
        <f>IFERROR(__xludf.DUMMYFUNCTION("""COMPUTED_VALUE"""),"")</f>
        <v/>
      </c>
      <c r="AC3817" s="16" t="str">
        <f>IFERROR(__xludf.DUMMYFUNCTION("""COMPUTED_VALUE"""),"")</f>
        <v/>
      </c>
    </row>
    <row r="3818">
      <c r="A3818" s="16" t="s">
        <v>87</v>
      </c>
      <c r="E3818" s="16" t="str">
        <f>IFERROR(__xludf.DUMMYFUNCTION("""COMPUTED_VALUE"""),"")</f>
        <v/>
      </c>
      <c r="G3818" s="18"/>
      <c r="H3818" s="16" t="s">
        <v>87</v>
      </c>
      <c r="I3818" s="16" t="s">
        <v>87</v>
      </c>
      <c r="J3818" s="19"/>
      <c r="L3818" s="16" t="str">
        <f>IFERROR(__xludf.DUMMYFUNCTION("""COMPUTED_VALUE"""),"")</f>
        <v/>
      </c>
      <c r="M3818" s="16" t="str">
        <f>IFERROR(__xludf.DUMMYFUNCTION("""COMPUTED_VALUE"""),"")</f>
        <v/>
      </c>
      <c r="U3818" s="16" t="s">
        <v>87</v>
      </c>
      <c r="V3818" s="16" t="str">
        <f>IFERROR(__xludf.DUMMYFUNCTION("""COMPUTED_VALUE"""),"")</f>
        <v/>
      </c>
      <c r="W3818" s="16" t="str">
        <f>IFERROR(__xludf.DUMMYFUNCTION("""COMPUTED_VALUE"""),"")</f>
        <v/>
      </c>
      <c r="X3818" s="16" t="str">
        <f>IFERROR(__xludf.DUMMYFUNCTION("""COMPUTED_VALUE"""),"")</f>
        <v/>
      </c>
      <c r="AC3818" s="16" t="str">
        <f>IFERROR(__xludf.DUMMYFUNCTION("""COMPUTED_VALUE"""),"")</f>
        <v/>
      </c>
    </row>
    <row r="3819">
      <c r="A3819" s="16" t="s">
        <v>87</v>
      </c>
      <c r="E3819" s="16" t="str">
        <f>IFERROR(__xludf.DUMMYFUNCTION("""COMPUTED_VALUE"""),"")</f>
        <v/>
      </c>
      <c r="G3819" s="18"/>
      <c r="H3819" s="16" t="s">
        <v>87</v>
      </c>
      <c r="I3819" s="16" t="s">
        <v>87</v>
      </c>
      <c r="J3819" s="19"/>
      <c r="L3819" s="16" t="str">
        <f>IFERROR(__xludf.DUMMYFUNCTION("""COMPUTED_VALUE"""),"")</f>
        <v/>
      </c>
      <c r="M3819" s="16" t="str">
        <f>IFERROR(__xludf.DUMMYFUNCTION("""COMPUTED_VALUE"""),"")</f>
        <v/>
      </c>
      <c r="U3819" s="16" t="s">
        <v>87</v>
      </c>
      <c r="V3819" s="16" t="str">
        <f>IFERROR(__xludf.DUMMYFUNCTION("""COMPUTED_VALUE"""),"")</f>
        <v/>
      </c>
      <c r="W3819" s="16" t="str">
        <f>IFERROR(__xludf.DUMMYFUNCTION("""COMPUTED_VALUE"""),"")</f>
        <v/>
      </c>
      <c r="X3819" s="16" t="str">
        <f>IFERROR(__xludf.DUMMYFUNCTION("""COMPUTED_VALUE"""),"")</f>
        <v/>
      </c>
      <c r="AC3819" s="16" t="str">
        <f>IFERROR(__xludf.DUMMYFUNCTION("""COMPUTED_VALUE"""),"")</f>
        <v/>
      </c>
    </row>
    <row r="3820">
      <c r="A3820" s="16" t="s">
        <v>87</v>
      </c>
      <c r="E3820" s="16" t="str">
        <f>IFERROR(__xludf.DUMMYFUNCTION("""COMPUTED_VALUE"""),"")</f>
        <v/>
      </c>
      <c r="G3820" s="18"/>
      <c r="H3820" s="16" t="s">
        <v>87</v>
      </c>
      <c r="I3820" s="16" t="s">
        <v>87</v>
      </c>
      <c r="J3820" s="19"/>
      <c r="L3820" s="16" t="str">
        <f>IFERROR(__xludf.DUMMYFUNCTION("""COMPUTED_VALUE"""),"")</f>
        <v/>
      </c>
      <c r="M3820" s="16" t="str">
        <f>IFERROR(__xludf.DUMMYFUNCTION("""COMPUTED_VALUE"""),"")</f>
        <v/>
      </c>
      <c r="U3820" s="16" t="s">
        <v>87</v>
      </c>
      <c r="V3820" s="16" t="str">
        <f>IFERROR(__xludf.DUMMYFUNCTION("""COMPUTED_VALUE"""),"")</f>
        <v/>
      </c>
      <c r="W3820" s="16" t="str">
        <f>IFERROR(__xludf.DUMMYFUNCTION("""COMPUTED_VALUE"""),"")</f>
        <v/>
      </c>
      <c r="X3820" s="16" t="str">
        <f>IFERROR(__xludf.DUMMYFUNCTION("""COMPUTED_VALUE"""),"")</f>
        <v/>
      </c>
      <c r="AC3820" s="16" t="str">
        <f>IFERROR(__xludf.DUMMYFUNCTION("""COMPUTED_VALUE"""),"")</f>
        <v/>
      </c>
    </row>
    <row r="3821">
      <c r="A3821" s="16" t="s">
        <v>87</v>
      </c>
      <c r="E3821" s="16" t="str">
        <f>IFERROR(__xludf.DUMMYFUNCTION("""COMPUTED_VALUE"""),"")</f>
        <v/>
      </c>
      <c r="G3821" s="18"/>
      <c r="H3821" s="16" t="s">
        <v>87</v>
      </c>
      <c r="I3821" s="16" t="s">
        <v>87</v>
      </c>
      <c r="J3821" s="19"/>
      <c r="L3821" s="16" t="str">
        <f>IFERROR(__xludf.DUMMYFUNCTION("""COMPUTED_VALUE"""),"")</f>
        <v/>
      </c>
      <c r="M3821" s="16" t="str">
        <f>IFERROR(__xludf.DUMMYFUNCTION("""COMPUTED_VALUE"""),"")</f>
        <v/>
      </c>
      <c r="U3821" s="16" t="s">
        <v>87</v>
      </c>
      <c r="V3821" s="16" t="str">
        <f>IFERROR(__xludf.DUMMYFUNCTION("""COMPUTED_VALUE"""),"")</f>
        <v/>
      </c>
      <c r="W3821" s="16" t="str">
        <f>IFERROR(__xludf.DUMMYFUNCTION("""COMPUTED_VALUE"""),"")</f>
        <v/>
      </c>
      <c r="X3821" s="16" t="str">
        <f>IFERROR(__xludf.DUMMYFUNCTION("""COMPUTED_VALUE"""),"")</f>
        <v/>
      </c>
      <c r="AC3821" s="16" t="str">
        <f>IFERROR(__xludf.DUMMYFUNCTION("""COMPUTED_VALUE"""),"")</f>
        <v/>
      </c>
    </row>
    <row r="3822">
      <c r="A3822" s="16" t="s">
        <v>87</v>
      </c>
      <c r="E3822" s="16" t="str">
        <f>IFERROR(__xludf.DUMMYFUNCTION("""COMPUTED_VALUE"""),"")</f>
        <v/>
      </c>
      <c r="G3822" s="18"/>
      <c r="H3822" s="16" t="s">
        <v>87</v>
      </c>
      <c r="I3822" s="16" t="s">
        <v>87</v>
      </c>
      <c r="J3822" s="19"/>
      <c r="L3822" s="16" t="str">
        <f>IFERROR(__xludf.DUMMYFUNCTION("""COMPUTED_VALUE"""),"")</f>
        <v/>
      </c>
      <c r="M3822" s="16" t="str">
        <f>IFERROR(__xludf.DUMMYFUNCTION("""COMPUTED_VALUE"""),"")</f>
        <v/>
      </c>
      <c r="U3822" s="16" t="s">
        <v>87</v>
      </c>
      <c r="V3822" s="16" t="str">
        <f>IFERROR(__xludf.DUMMYFUNCTION("""COMPUTED_VALUE"""),"")</f>
        <v/>
      </c>
      <c r="W3822" s="16" t="str">
        <f>IFERROR(__xludf.DUMMYFUNCTION("""COMPUTED_VALUE"""),"")</f>
        <v/>
      </c>
      <c r="X3822" s="16" t="str">
        <f>IFERROR(__xludf.DUMMYFUNCTION("""COMPUTED_VALUE"""),"")</f>
        <v/>
      </c>
      <c r="AC3822" s="16" t="str">
        <f>IFERROR(__xludf.DUMMYFUNCTION("""COMPUTED_VALUE"""),"")</f>
        <v/>
      </c>
    </row>
    <row r="3823">
      <c r="A3823" s="16" t="s">
        <v>87</v>
      </c>
      <c r="E3823" s="16" t="str">
        <f>IFERROR(__xludf.DUMMYFUNCTION("""COMPUTED_VALUE"""),"")</f>
        <v/>
      </c>
      <c r="G3823" s="18"/>
      <c r="H3823" s="16" t="s">
        <v>87</v>
      </c>
      <c r="I3823" s="16" t="s">
        <v>87</v>
      </c>
      <c r="J3823" s="19"/>
      <c r="L3823" s="16" t="str">
        <f>IFERROR(__xludf.DUMMYFUNCTION("""COMPUTED_VALUE"""),"")</f>
        <v/>
      </c>
      <c r="M3823" s="16" t="str">
        <f>IFERROR(__xludf.DUMMYFUNCTION("""COMPUTED_VALUE"""),"")</f>
        <v/>
      </c>
      <c r="U3823" s="16" t="s">
        <v>87</v>
      </c>
      <c r="V3823" s="16" t="str">
        <f>IFERROR(__xludf.DUMMYFUNCTION("""COMPUTED_VALUE"""),"")</f>
        <v/>
      </c>
      <c r="W3823" s="16" t="str">
        <f>IFERROR(__xludf.DUMMYFUNCTION("""COMPUTED_VALUE"""),"")</f>
        <v/>
      </c>
      <c r="X3823" s="16" t="str">
        <f>IFERROR(__xludf.DUMMYFUNCTION("""COMPUTED_VALUE"""),"")</f>
        <v/>
      </c>
      <c r="AC3823" s="16" t="str">
        <f>IFERROR(__xludf.DUMMYFUNCTION("""COMPUTED_VALUE"""),"")</f>
        <v/>
      </c>
    </row>
    <row r="3824">
      <c r="A3824" s="16" t="s">
        <v>87</v>
      </c>
      <c r="E3824" s="16" t="str">
        <f>IFERROR(__xludf.DUMMYFUNCTION("""COMPUTED_VALUE"""),"")</f>
        <v/>
      </c>
      <c r="G3824" s="18"/>
      <c r="H3824" s="16" t="s">
        <v>87</v>
      </c>
      <c r="I3824" s="16" t="s">
        <v>87</v>
      </c>
      <c r="J3824" s="19"/>
      <c r="L3824" s="16" t="str">
        <f>IFERROR(__xludf.DUMMYFUNCTION("""COMPUTED_VALUE"""),"")</f>
        <v/>
      </c>
      <c r="M3824" s="16" t="str">
        <f>IFERROR(__xludf.DUMMYFUNCTION("""COMPUTED_VALUE"""),"")</f>
        <v/>
      </c>
      <c r="U3824" s="16" t="s">
        <v>87</v>
      </c>
      <c r="V3824" s="16" t="str">
        <f>IFERROR(__xludf.DUMMYFUNCTION("""COMPUTED_VALUE"""),"")</f>
        <v/>
      </c>
      <c r="W3824" s="16" t="str">
        <f>IFERROR(__xludf.DUMMYFUNCTION("""COMPUTED_VALUE"""),"")</f>
        <v/>
      </c>
      <c r="X3824" s="16" t="str">
        <f>IFERROR(__xludf.DUMMYFUNCTION("""COMPUTED_VALUE"""),"")</f>
        <v/>
      </c>
      <c r="AC3824" s="16" t="str">
        <f>IFERROR(__xludf.DUMMYFUNCTION("""COMPUTED_VALUE"""),"")</f>
        <v/>
      </c>
    </row>
    <row r="3825">
      <c r="A3825" s="16" t="s">
        <v>87</v>
      </c>
      <c r="E3825" s="16" t="str">
        <f>IFERROR(__xludf.DUMMYFUNCTION("""COMPUTED_VALUE"""),"")</f>
        <v/>
      </c>
      <c r="G3825" s="18"/>
      <c r="H3825" s="16" t="s">
        <v>87</v>
      </c>
      <c r="I3825" s="16" t="s">
        <v>87</v>
      </c>
      <c r="J3825" s="19"/>
      <c r="L3825" s="16" t="str">
        <f>IFERROR(__xludf.DUMMYFUNCTION("""COMPUTED_VALUE"""),"")</f>
        <v/>
      </c>
      <c r="M3825" s="16" t="str">
        <f>IFERROR(__xludf.DUMMYFUNCTION("""COMPUTED_VALUE"""),"")</f>
        <v/>
      </c>
      <c r="U3825" s="16" t="s">
        <v>87</v>
      </c>
      <c r="V3825" s="16" t="str">
        <f>IFERROR(__xludf.DUMMYFUNCTION("""COMPUTED_VALUE"""),"")</f>
        <v/>
      </c>
      <c r="W3825" s="16" t="str">
        <f>IFERROR(__xludf.DUMMYFUNCTION("""COMPUTED_VALUE"""),"")</f>
        <v/>
      </c>
      <c r="X3825" s="16" t="str">
        <f>IFERROR(__xludf.DUMMYFUNCTION("""COMPUTED_VALUE"""),"")</f>
        <v/>
      </c>
      <c r="AC3825" s="16" t="str">
        <f>IFERROR(__xludf.DUMMYFUNCTION("""COMPUTED_VALUE"""),"")</f>
        <v/>
      </c>
    </row>
    <row r="3826">
      <c r="A3826" s="16" t="s">
        <v>87</v>
      </c>
      <c r="E3826" s="16" t="str">
        <f>IFERROR(__xludf.DUMMYFUNCTION("""COMPUTED_VALUE"""),"")</f>
        <v/>
      </c>
      <c r="G3826" s="18"/>
      <c r="H3826" s="16" t="s">
        <v>87</v>
      </c>
      <c r="I3826" s="16" t="s">
        <v>87</v>
      </c>
      <c r="J3826" s="19"/>
      <c r="L3826" s="16" t="str">
        <f>IFERROR(__xludf.DUMMYFUNCTION("""COMPUTED_VALUE"""),"")</f>
        <v/>
      </c>
      <c r="M3826" s="16" t="str">
        <f>IFERROR(__xludf.DUMMYFUNCTION("""COMPUTED_VALUE"""),"")</f>
        <v/>
      </c>
      <c r="U3826" s="16" t="s">
        <v>87</v>
      </c>
      <c r="V3826" s="16" t="str">
        <f>IFERROR(__xludf.DUMMYFUNCTION("""COMPUTED_VALUE"""),"")</f>
        <v/>
      </c>
      <c r="W3826" s="16" t="str">
        <f>IFERROR(__xludf.DUMMYFUNCTION("""COMPUTED_VALUE"""),"")</f>
        <v/>
      </c>
      <c r="X3826" s="16" t="str">
        <f>IFERROR(__xludf.DUMMYFUNCTION("""COMPUTED_VALUE"""),"")</f>
        <v/>
      </c>
      <c r="AC3826" s="16" t="str">
        <f>IFERROR(__xludf.DUMMYFUNCTION("""COMPUTED_VALUE"""),"")</f>
        <v/>
      </c>
    </row>
    <row r="3827">
      <c r="A3827" s="16" t="s">
        <v>87</v>
      </c>
      <c r="E3827" s="16" t="str">
        <f>IFERROR(__xludf.DUMMYFUNCTION("""COMPUTED_VALUE"""),"")</f>
        <v/>
      </c>
      <c r="G3827" s="18"/>
      <c r="H3827" s="16" t="s">
        <v>87</v>
      </c>
      <c r="I3827" s="16" t="s">
        <v>87</v>
      </c>
      <c r="J3827" s="19"/>
      <c r="L3827" s="16" t="str">
        <f>IFERROR(__xludf.DUMMYFUNCTION("""COMPUTED_VALUE"""),"")</f>
        <v/>
      </c>
      <c r="M3827" s="16" t="str">
        <f>IFERROR(__xludf.DUMMYFUNCTION("""COMPUTED_VALUE"""),"")</f>
        <v/>
      </c>
      <c r="U3827" s="16" t="s">
        <v>87</v>
      </c>
      <c r="V3827" s="16" t="str">
        <f>IFERROR(__xludf.DUMMYFUNCTION("""COMPUTED_VALUE"""),"")</f>
        <v/>
      </c>
      <c r="W3827" s="16" t="str">
        <f>IFERROR(__xludf.DUMMYFUNCTION("""COMPUTED_VALUE"""),"")</f>
        <v/>
      </c>
      <c r="X3827" s="16" t="str">
        <f>IFERROR(__xludf.DUMMYFUNCTION("""COMPUTED_VALUE"""),"")</f>
        <v/>
      </c>
      <c r="AC3827" s="16" t="str">
        <f>IFERROR(__xludf.DUMMYFUNCTION("""COMPUTED_VALUE"""),"")</f>
        <v/>
      </c>
    </row>
    <row r="3828">
      <c r="A3828" s="16" t="s">
        <v>87</v>
      </c>
      <c r="E3828" s="16" t="str">
        <f>IFERROR(__xludf.DUMMYFUNCTION("""COMPUTED_VALUE"""),"")</f>
        <v/>
      </c>
      <c r="G3828" s="18"/>
      <c r="H3828" s="16" t="s">
        <v>87</v>
      </c>
      <c r="I3828" s="16" t="s">
        <v>87</v>
      </c>
      <c r="J3828" s="19"/>
      <c r="L3828" s="16" t="str">
        <f>IFERROR(__xludf.DUMMYFUNCTION("""COMPUTED_VALUE"""),"")</f>
        <v/>
      </c>
      <c r="M3828" s="16" t="str">
        <f>IFERROR(__xludf.DUMMYFUNCTION("""COMPUTED_VALUE"""),"")</f>
        <v/>
      </c>
      <c r="U3828" s="16" t="s">
        <v>87</v>
      </c>
      <c r="V3828" s="16" t="str">
        <f>IFERROR(__xludf.DUMMYFUNCTION("""COMPUTED_VALUE"""),"")</f>
        <v/>
      </c>
      <c r="W3828" s="16" t="str">
        <f>IFERROR(__xludf.DUMMYFUNCTION("""COMPUTED_VALUE"""),"")</f>
        <v/>
      </c>
      <c r="X3828" s="16" t="str">
        <f>IFERROR(__xludf.DUMMYFUNCTION("""COMPUTED_VALUE"""),"")</f>
        <v/>
      </c>
      <c r="AC3828" s="16" t="str">
        <f>IFERROR(__xludf.DUMMYFUNCTION("""COMPUTED_VALUE"""),"")</f>
        <v/>
      </c>
    </row>
    <row r="3829">
      <c r="A3829" s="16" t="s">
        <v>87</v>
      </c>
      <c r="E3829" s="16" t="str">
        <f>IFERROR(__xludf.DUMMYFUNCTION("""COMPUTED_VALUE"""),"")</f>
        <v/>
      </c>
      <c r="G3829" s="18"/>
      <c r="H3829" s="16" t="s">
        <v>87</v>
      </c>
      <c r="I3829" s="16" t="s">
        <v>87</v>
      </c>
      <c r="J3829" s="19"/>
      <c r="L3829" s="16" t="str">
        <f>IFERROR(__xludf.DUMMYFUNCTION("""COMPUTED_VALUE"""),"")</f>
        <v/>
      </c>
      <c r="M3829" s="16" t="str">
        <f>IFERROR(__xludf.DUMMYFUNCTION("""COMPUTED_VALUE"""),"")</f>
        <v/>
      </c>
      <c r="U3829" s="16" t="s">
        <v>87</v>
      </c>
      <c r="V3829" s="16" t="str">
        <f>IFERROR(__xludf.DUMMYFUNCTION("""COMPUTED_VALUE"""),"")</f>
        <v/>
      </c>
      <c r="W3829" s="16" t="str">
        <f>IFERROR(__xludf.DUMMYFUNCTION("""COMPUTED_VALUE"""),"")</f>
        <v/>
      </c>
      <c r="X3829" s="16" t="str">
        <f>IFERROR(__xludf.DUMMYFUNCTION("""COMPUTED_VALUE"""),"")</f>
        <v/>
      </c>
      <c r="AC3829" s="16" t="str">
        <f>IFERROR(__xludf.DUMMYFUNCTION("""COMPUTED_VALUE"""),"")</f>
        <v/>
      </c>
    </row>
    <row r="3830">
      <c r="A3830" s="16" t="s">
        <v>87</v>
      </c>
      <c r="E3830" s="16" t="str">
        <f>IFERROR(__xludf.DUMMYFUNCTION("""COMPUTED_VALUE"""),"")</f>
        <v/>
      </c>
      <c r="G3830" s="18"/>
      <c r="H3830" s="16" t="s">
        <v>87</v>
      </c>
      <c r="I3830" s="16" t="s">
        <v>87</v>
      </c>
      <c r="J3830" s="19"/>
      <c r="L3830" s="16" t="str">
        <f>IFERROR(__xludf.DUMMYFUNCTION("""COMPUTED_VALUE"""),"")</f>
        <v/>
      </c>
      <c r="M3830" s="16" t="str">
        <f>IFERROR(__xludf.DUMMYFUNCTION("""COMPUTED_VALUE"""),"")</f>
        <v/>
      </c>
      <c r="U3830" s="16" t="s">
        <v>87</v>
      </c>
      <c r="V3830" s="16" t="str">
        <f>IFERROR(__xludf.DUMMYFUNCTION("""COMPUTED_VALUE"""),"")</f>
        <v/>
      </c>
      <c r="W3830" s="16" t="str">
        <f>IFERROR(__xludf.DUMMYFUNCTION("""COMPUTED_VALUE"""),"")</f>
        <v/>
      </c>
      <c r="X3830" s="16" t="str">
        <f>IFERROR(__xludf.DUMMYFUNCTION("""COMPUTED_VALUE"""),"")</f>
        <v/>
      </c>
      <c r="AC3830" s="16" t="str">
        <f>IFERROR(__xludf.DUMMYFUNCTION("""COMPUTED_VALUE"""),"")</f>
        <v/>
      </c>
    </row>
    <row r="3831">
      <c r="A3831" s="16" t="s">
        <v>87</v>
      </c>
      <c r="E3831" s="16" t="str">
        <f>IFERROR(__xludf.DUMMYFUNCTION("""COMPUTED_VALUE"""),"")</f>
        <v/>
      </c>
      <c r="G3831" s="18"/>
      <c r="H3831" s="16" t="s">
        <v>87</v>
      </c>
      <c r="I3831" s="16" t="s">
        <v>87</v>
      </c>
      <c r="J3831" s="19"/>
      <c r="L3831" s="16" t="str">
        <f>IFERROR(__xludf.DUMMYFUNCTION("""COMPUTED_VALUE"""),"")</f>
        <v/>
      </c>
      <c r="M3831" s="16" t="str">
        <f>IFERROR(__xludf.DUMMYFUNCTION("""COMPUTED_VALUE"""),"")</f>
        <v/>
      </c>
      <c r="U3831" s="16" t="s">
        <v>87</v>
      </c>
      <c r="V3831" s="16" t="str">
        <f>IFERROR(__xludf.DUMMYFUNCTION("""COMPUTED_VALUE"""),"")</f>
        <v/>
      </c>
      <c r="W3831" s="16" t="str">
        <f>IFERROR(__xludf.DUMMYFUNCTION("""COMPUTED_VALUE"""),"")</f>
        <v/>
      </c>
      <c r="X3831" s="16" t="str">
        <f>IFERROR(__xludf.DUMMYFUNCTION("""COMPUTED_VALUE"""),"")</f>
        <v/>
      </c>
      <c r="AC3831" s="16" t="str">
        <f>IFERROR(__xludf.DUMMYFUNCTION("""COMPUTED_VALUE"""),"")</f>
        <v/>
      </c>
    </row>
    <row r="3832">
      <c r="A3832" s="16" t="s">
        <v>87</v>
      </c>
      <c r="E3832" s="16" t="str">
        <f>IFERROR(__xludf.DUMMYFUNCTION("""COMPUTED_VALUE"""),"")</f>
        <v/>
      </c>
      <c r="G3832" s="18"/>
      <c r="H3832" s="16" t="s">
        <v>87</v>
      </c>
      <c r="I3832" s="16" t="s">
        <v>87</v>
      </c>
      <c r="J3832" s="19"/>
      <c r="L3832" s="16" t="str">
        <f>IFERROR(__xludf.DUMMYFUNCTION("""COMPUTED_VALUE"""),"")</f>
        <v/>
      </c>
      <c r="M3832" s="16" t="str">
        <f>IFERROR(__xludf.DUMMYFUNCTION("""COMPUTED_VALUE"""),"")</f>
        <v/>
      </c>
      <c r="U3832" s="16" t="s">
        <v>87</v>
      </c>
      <c r="V3832" s="16" t="str">
        <f>IFERROR(__xludf.DUMMYFUNCTION("""COMPUTED_VALUE"""),"")</f>
        <v/>
      </c>
      <c r="W3832" s="16" t="str">
        <f>IFERROR(__xludf.DUMMYFUNCTION("""COMPUTED_VALUE"""),"")</f>
        <v/>
      </c>
      <c r="X3832" s="16" t="str">
        <f>IFERROR(__xludf.DUMMYFUNCTION("""COMPUTED_VALUE"""),"")</f>
        <v/>
      </c>
      <c r="AC3832" s="16" t="str">
        <f>IFERROR(__xludf.DUMMYFUNCTION("""COMPUTED_VALUE"""),"")</f>
        <v/>
      </c>
    </row>
    <row r="3833">
      <c r="A3833" s="16" t="s">
        <v>87</v>
      </c>
      <c r="E3833" s="16" t="str">
        <f>IFERROR(__xludf.DUMMYFUNCTION("""COMPUTED_VALUE"""),"")</f>
        <v/>
      </c>
      <c r="G3833" s="18"/>
      <c r="H3833" s="16" t="s">
        <v>87</v>
      </c>
      <c r="I3833" s="16" t="s">
        <v>87</v>
      </c>
      <c r="J3833" s="19"/>
      <c r="L3833" s="16" t="str">
        <f>IFERROR(__xludf.DUMMYFUNCTION("""COMPUTED_VALUE"""),"")</f>
        <v/>
      </c>
      <c r="M3833" s="16" t="str">
        <f>IFERROR(__xludf.DUMMYFUNCTION("""COMPUTED_VALUE"""),"")</f>
        <v/>
      </c>
      <c r="U3833" s="16" t="s">
        <v>87</v>
      </c>
      <c r="V3833" s="16" t="str">
        <f>IFERROR(__xludf.DUMMYFUNCTION("""COMPUTED_VALUE"""),"")</f>
        <v/>
      </c>
      <c r="W3833" s="16" t="str">
        <f>IFERROR(__xludf.DUMMYFUNCTION("""COMPUTED_VALUE"""),"")</f>
        <v/>
      </c>
      <c r="X3833" s="16" t="str">
        <f>IFERROR(__xludf.DUMMYFUNCTION("""COMPUTED_VALUE"""),"")</f>
        <v/>
      </c>
      <c r="AC3833" s="16" t="str">
        <f>IFERROR(__xludf.DUMMYFUNCTION("""COMPUTED_VALUE"""),"")</f>
        <v/>
      </c>
    </row>
    <row r="3834">
      <c r="A3834" s="16" t="s">
        <v>87</v>
      </c>
      <c r="E3834" s="16" t="str">
        <f>IFERROR(__xludf.DUMMYFUNCTION("""COMPUTED_VALUE"""),"")</f>
        <v/>
      </c>
      <c r="G3834" s="18"/>
      <c r="H3834" s="16" t="s">
        <v>87</v>
      </c>
      <c r="I3834" s="16" t="s">
        <v>87</v>
      </c>
      <c r="J3834" s="19"/>
      <c r="L3834" s="16" t="str">
        <f>IFERROR(__xludf.DUMMYFUNCTION("""COMPUTED_VALUE"""),"")</f>
        <v/>
      </c>
      <c r="M3834" s="16" t="str">
        <f>IFERROR(__xludf.DUMMYFUNCTION("""COMPUTED_VALUE"""),"")</f>
        <v/>
      </c>
      <c r="U3834" s="16" t="s">
        <v>87</v>
      </c>
      <c r="V3834" s="16" t="str">
        <f>IFERROR(__xludf.DUMMYFUNCTION("""COMPUTED_VALUE"""),"")</f>
        <v/>
      </c>
      <c r="W3834" s="16" t="str">
        <f>IFERROR(__xludf.DUMMYFUNCTION("""COMPUTED_VALUE"""),"")</f>
        <v/>
      </c>
      <c r="X3834" s="16" t="str">
        <f>IFERROR(__xludf.DUMMYFUNCTION("""COMPUTED_VALUE"""),"")</f>
        <v/>
      </c>
      <c r="AC3834" s="16" t="str">
        <f>IFERROR(__xludf.DUMMYFUNCTION("""COMPUTED_VALUE"""),"")</f>
        <v/>
      </c>
    </row>
    <row r="3835">
      <c r="A3835" s="16" t="s">
        <v>87</v>
      </c>
      <c r="E3835" s="16" t="str">
        <f>IFERROR(__xludf.DUMMYFUNCTION("""COMPUTED_VALUE"""),"")</f>
        <v/>
      </c>
      <c r="G3835" s="18"/>
      <c r="H3835" s="16" t="s">
        <v>87</v>
      </c>
      <c r="I3835" s="16" t="s">
        <v>87</v>
      </c>
      <c r="J3835" s="19"/>
      <c r="L3835" s="16" t="str">
        <f>IFERROR(__xludf.DUMMYFUNCTION("""COMPUTED_VALUE"""),"")</f>
        <v/>
      </c>
      <c r="M3835" s="16" t="str">
        <f>IFERROR(__xludf.DUMMYFUNCTION("""COMPUTED_VALUE"""),"")</f>
        <v/>
      </c>
      <c r="U3835" s="16" t="s">
        <v>87</v>
      </c>
      <c r="V3835" s="16" t="str">
        <f>IFERROR(__xludf.DUMMYFUNCTION("""COMPUTED_VALUE"""),"")</f>
        <v/>
      </c>
      <c r="W3835" s="16" t="str">
        <f>IFERROR(__xludf.DUMMYFUNCTION("""COMPUTED_VALUE"""),"")</f>
        <v/>
      </c>
      <c r="X3835" s="16" t="str">
        <f>IFERROR(__xludf.DUMMYFUNCTION("""COMPUTED_VALUE"""),"")</f>
        <v/>
      </c>
      <c r="AC3835" s="16" t="str">
        <f>IFERROR(__xludf.DUMMYFUNCTION("""COMPUTED_VALUE"""),"")</f>
        <v/>
      </c>
    </row>
    <row r="3836">
      <c r="A3836" s="16" t="s">
        <v>87</v>
      </c>
      <c r="E3836" s="16" t="str">
        <f>IFERROR(__xludf.DUMMYFUNCTION("""COMPUTED_VALUE"""),"")</f>
        <v/>
      </c>
      <c r="G3836" s="18"/>
      <c r="H3836" s="16" t="s">
        <v>87</v>
      </c>
      <c r="I3836" s="16" t="s">
        <v>87</v>
      </c>
      <c r="J3836" s="19"/>
      <c r="L3836" s="16" t="str">
        <f>IFERROR(__xludf.DUMMYFUNCTION("""COMPUTED_VALUE"""),"")</f>
        <v/>
      </c>
      <c r="M3836" s="16" t="str">
        <f>IFERROR(__xludf.DUMMYFUNCTION("""COMPUTED_VALUE"""),"")</f>
        <v/>
      </c>
      <c r="U3836" s="16" t="s">
        <v>87</v>
      </c>
      <c r="V3836" s="16" t="str">
        <f>IFERROR(__xludf.DUMMYFUNCTION("""COMPUTED_VALUE"""),"")</f>
        <v/>
      </c>
      <c r="W3836" s="16" t="str">
        <f>IFERROR(__xludf.DUMMYFUNCTION("""COMPUTED_VALUE"""),"")</f>
        <v/>
      </c>
      <c r="X3836" s="16" t="str">
        <f>IFERROR(__xludf.DUMMYFUNCTION("""COMPUTED_VALUE"""),"")</f>
        <v/>
      </c>
      <c r="AC3836" s="16" t="str">
        <f>IFERROR(__xludf.DUMMYFUNCTION("""COMPUTED_VALUE"""),"")</f>
        <v/>
      </c>
    </row>
    <row r="3837">
      <c r="A3837" s="16" t="s">
        <v>87</v>
      </c>
      <c r="E3837" s="16" t="str">
        <f>IFERROR(__xludf.DUMMYFUNCTION("""COMPUTED_VALUE"""),"")</f>
        <v/>
      </c>
      <c r="G3837" s="18"/>
      <c r="H3837" s="16" t="s">
        <v>87</v>
      </c>
      <c r="I3837" s="16" t="s">
        <v>87</v>
      </c>
      <c r="J3837" s="19"/>
      <c r="L3837" s="16" t="str">
        <f>IFERROR(__xludf.DUMMYFUNCTION("""COMPUTED_VALUE"""),"")</f>
        <v/>
      </c>
      <c r="M3837" s="16" t="str">
        <f>IFERROR(__xludf.DUMMYFUNCTION("""COMPUTED_VALUE"""),"")</f>
        <v/>
      </c>
      <c r="U3837" s="16" t="s">
        <v>87</v>
      </c>
      <c r="V3837" s="16" t="str">
        <f>IFERROR(__xludf.DUMMYFUNCTION("""COMPUTED_VALUE"""),"")</f>
        <v/>
      </c>
      <c r="W3837" s="16" t="str">
        <f>IFERROR(__xludf.DUMMYFUNCTION("""COMPUTED_VALUE"""),"")</f>
        <v/>
      </c>
      <c r="X3837" s="16" t="str">
        <f>IFERROR(__xludf.DUMMYFUNCTION("""COMPUTED_VALUE"""),"")</f>
        <v/>
      </c>
      <c r="AC3837" s="16" t="str">
        <f>IFERROR(__xludf.DUMMYFUNCTION("""COMPUTED_VALUE"""),"")</f>
        <v/>
      </c>
    </row>
    <row r="3838">
      <c r="A3838" s="16" t="s">
        <v>87</v>
      </c>
      <c r="E3838" s="16" t="str">
        <f>IFERROR(__xludf.DUMMYFUNCTION("""COMPUTED_VALUE"""),"")</f>
        <v/>
      </c>
      <c r="G3838" s="18"/>
      <c r="H3838" s="16" t="s">
        <v>87</v>
      </c>
      <c r="I3838" s="16" t="s">
        <v>87</v>
      </c>
      <c r="J3838" s="19"/>
      <c r="L3838" s="16" t="str">
        <f>IFERROR(__xludf.DUMMYFUNCTION("""COMPUTED_VALUE"""),"")</f>
        <v/>
      </c>
      <c r="M3838" s="16" t="str">
        <f>IFERROR(__xludf.DUMMYFUNCTION("""COMPUTED_VALUE"""),"")</f>
        <v/>
      </c>
      <c r="U3838" s="16" t="s">
        <v>87</v>
      </c>
      <c r="V3838" s="16" t="str">
        <f>IFERROR(__xludf.DUMMYFUNCTION("""COMPUTED_VALUE"""),"")</f>
        <v/>
      </c>
      <c r="W3838" s="16" t="str">
        <f>IFERROR(__xludf.DUMMYFUNCTION("""COMPUTED_VALUE"""),"")</f>
        <v/>
      </c>
      <c r="X3838" s="16" t="str">
        <f>IFERROR(__xludf.DUMMYFUNCTION("""COMPUTED_VALUE"""),"")</f>
        <v/>
      </c>
      <c r="AC3838" s="16" t="str">
        <f>IFERROR(__xludf.DUMMYFUNCTION("""COMPUTED_VALUE"""),"")</f>
        <v/>
      </c>
    </row>
    <row r="3839">
      <c r="A3839" s="16" t="s">
        <v>87</v>
      </c>
      <c r="E3839" s="16" t="str">
        <f>IFERROR(__xludf.DUMMYFUNCTION("""COMPUTED_VALUE"""),"")</f>
        <v/>
      </c>
      <c r="G3839" s="18"/>
      <c r="H3839" s="16" t="s">
        <v>87</v>
      </c>
      <c r="I3839" s="16" t="s">
        <v>87</v>
      </c>
      <c r="J3839" s="19"/>
      <c r="L3839" s="16" t="str">
        <f>IFERROR(__xludf.DUMMYFUNCTION("""COMPUTED_VALUE"""),"")</f>
        <v/>
      </c>
      <c r="M3839" s="16" t="str">
        <f>IFERROR(__xludf.DUMMYFUNCTION("""COMPUTED_VALUE"""),"")</f>
        <v/>
      </c>
      <c r="U3839" s="16" t="s">
        <v>87</v>
      </c>
      <c r="V3839" s="16" t="str">
        <f>IFERROR(__xludf.DUMMYFUNCTION("""COMPUTED_VALUE"""),"")</f>
        <v/>
      </c>
      <c r="W3839" s="16" t="str">
        <f>IFERROR(__xludf.DUMMYFUNCTION("""COMPUTED_VALUE"""),"")</f>
        <v/>
      </c>
      <c r="X3839" s="16" t="str">
        <f>IFERROR(__xludf.DUMMYFUNCTION("""COMPUTED_VALUE"""),"")</f>
        <v/>
      </c>
      <c r="AC3839" s="16" t="str">
        <f>IFERROR(__xludf.DUMMYFUNCTION("""COMPUTED_VALUE"""),"")</f>
        <v/>
      </c>
    </row>
    <row r="3840">
      <c r="A3840" s="16" t="s">
        <v>87</v>
      </c>
      <c r="E3840" s="16" t="str">
        <f>IFERROR(__xludf.DUMMYFUNCTION("""COMPUTED_VALUE"""),"")</f>
        <v/>
      </c>
      <c r="G3840" s="18"/>
      <c r="H3840" s="16" t="s">
        <v>87</v>
      </c>
      <c r="I3840" s="16" t="s">
        <v>87</v>
      </c>
      <c r="J3840" s="19"/>
      <c r="L3840" s="16" t="str">
        <f>IFERROR(__xludf.DUMMYFUNCTION("""COMPUTED_VALUE"""),"")</f>
        <v/>
      </c>
      <c r="M3840" s="16" t="str">
        <f>IFERROR(__xludf.DUMMYFUNCTION("""COMPUTED_VALUE"""),"")</f>
        <v/>
      </c>
      <c r="U3840" s="16" t="s">
        <v>87</v>
      </c>
      <c r="V3840" s="16" t="str">
        <f>IFERROR(__xludf.DUMMYFUNCTION("""COMPUTED_VALUE"""),"")</f>
        <v/>
      </c>
      <c r="W3840" s="16" t="str">
        <f>IFERROR(__xludf.DUMMYFUNCTION("""COMPUTED_VALUE"""),"")</f>
        <v/>
      </c>
      <c r="X3840" s="16" t="str">
        <f>IFERROR(__xludf.DUMMYFUNCTION("""COMPUTED_VALUE"""),"")</f>
        <v/>
      </c>
      <c r="AC3840" s="16" t="str">
        <f>IFERROR(__xludf.DUMMYFUNCTION("""COMPUTED_VALUE"""),"")</f>
        <v/>
      </c>
    </row>
    <row r="3841">
      <c r="A3841" s="16" t="s">
        <v>87</v>
      </c>
      <c r="E3841" s="16" t="str">
        <f>IFERROR(__xludf.DUMMYFUNCTION("""COMPUTED_VALUE"""),"")</f>
        <v/>
      </c>
      <c r="G3841" s="18"/>
      <c r="H3841" s="16" t="s">
        <v>87</v>
      </c>
      <c r="I3841" s="16" t="s">
        <v>87</v>
      </c>
      <c r="J3841" s="19"/>
      <c r="L3841" s="16" t="str">
        <f>IFERROR(__xludf.DUMMYFUNCTION("""COMPUTED_VALUE"""),"")</f>
        <v/>
      </c>
      <c r="M3841" s="16" t="str">
        <f>IFERROR(__xludf.DUMMYFUNCTION("""COMPUTED_VALUE"""),"")</f>
        <v/>
      </c>
      <c r="U3841" s="16" t="s">
        <v>87</v>
      </c>
      <c r="V3841" s="16" t="str">
        <f>IFERROR(__xludf.DUMMYFUNCTION("""COMPUTED_VALUE"""),"")</f>
        <v/>
      </c>
      <c r="W3841" s="16" t="str">
        <f>IFERROR(__xludf.DUMMYFUNCTION("""COMPUTED_VALUE"""),"")</f>
        <v/>
      </c>
      <c r="X3841" s="16" t="str">
        <f>IFERROR(__xludf.DUMMYFUNCTION("""COMPUTED_VALUE"""),"")</f>
        <v/>
      </c>
      <c r="AC3841" s="16" t="str">
        <f>IFERROR(__xludf.DUMMYFUNCTION("""COMPUTED_VALUE"""),"")</f>
        <v/>
      </c>
    </row>
    <row r="3842">
      <c r="A3842" s="16" t="s">
        <v>87</v>
      </c>
      <c r="E3842" s="16" t="str">
        <f>IFERROR(__xludf.DUMMYFUNCTION("""COMPUTED_VALUE"""),"")</f>
        <v/>
      </c>
      <c r="G3842" s="18"/>
      <c r="H3842" s="16" t="s">
        <v>87</v>
      </c>
      <c r="I3842" s="16" t="s">
        <v>87</v>
      </c>
      <c r="J3842" s="19"/>
      <c r="L3842" s="16" t="str">
        <f>IFERROR(__xludf.DUMMYFUNCTION("""COMPUTED_VALUE"""),"")</f>
        <v/>
      </c>
      <c r="M3842" s="16" t="str">
        <f>IFERROR(__xludf.DUMMYFUNCTION("""COMPUTED_VALUE"""),"")</f>
        <v/>
      </c>
      <c r="U3842" s="16" t="s">
        <v>87</v>
      </c>
      <c r="V3842" s="16" t="str">
        <f>IFERROR(__xludf.DUMMYFUNCTION("""COMPUTED_VALUE"""),"")</f>
        <v/>
      </c>
      <c r="W3842" s="16" t="str">
        <f>IFERROR(__xludf.DUMMYFUNCTION("""COMPUTED_VALUE"""),"")</f>
        <v/>
      </c>
      <c r="X3842" s="16" t="str">
        <f>IFERROR(__xludf.DUMMYFUNCTION("""COMPUTED_VALUE"""),"")</f>
        <v/>
      </c>
      <c r="AC3842" s="16" t="str">
        <f>IFERROR(__xludf.DUMMYFUNCTION("""COMPUTED_VALUE"""),"")</f>
        <v/>
      </c>
    </row>
    <row r="3843">
      <c r="A3843" s="16" t="s">
        <v>87</v>
      </c>
      <c r="E3843" s="16" t="str">
        <f>IFERROR(__xludf.DUMMYFUNCTION("""COMPUTED_VALUE"""),"")</f>
        <v/>
      </c>
      <c r="G3843" s="18"/>
      <c r="H3843" s="16" t="s">
        <v>87</v>
      </c>
      <c r="I3843" s="16" t="s">
        <v>87</v>
      </c>
      <c r="J3843" s="19"/>
      <c r="L3843" s="16" t="str">
        <f>IFERROR(__xludf.DUMMYFUNCTION("""COMPUTED_VALUE"""),"")</f>
        <v/>
      </c>
      <c r="M3843" s="16" t="str">
        <f>IFERROR(__xludf.DUMMYFUNCTION("""COMPUTED_VALUE"""),"")</f>
        <v/>
      </c>
      <c r="U3843" s="16" t="s">
        <v>87</v>
      </c>
      <c r="V3843" s="16" t="str">
        <f>IFERROR(__xludf.DUMMYFUNCTION("""COMPUTED_VALUE"""),"")</f>
        <v/>
      </c>
      <c r="W3843" s="16" t="str">
        <f>IFERROR(__xludf.DUMMYFUNCTION("""COMPUTED_VALUE"""),"")</f>
        <v/>
      </c>
      <c r="X3843" s="16" t="str">
        <f>IFERROR(__xludf.DUMMYFUNCTION("""COMPUTED_VALUE"""),"")</f>
        <v/>
      </c>
      <c r="AC3843" s="16" t="str">
        <f>IFERROR(__xludf.DUMMYFUNCTION("""COMPUTED_VALUE"""),"")</f>
        <v/>
      </c>
    </row>
    <row r="3844">
      <c r="A3844" s="16" t="s">
        <v>87</v>
      </c>
      <c r="E3844" s="16" t="str">
        <f>IFERROR(__xludf.DUMMYFUNCTION("""COMPUTED_VALUE"""),"")</f>
        <v/>
      </c>
      <c r="G3844" s="18"/>
      <c r="H3844" s="16" t="s">
        <v>87</v>
      </c>
      <c r="I3844" s="16" t="s">
        <v>87</v>
      </c>
      <c r="J3844" s="19"/>
      <c r="L3844" s="16" t="str">
        <f>IFERROR(__xludf.DUMMYFUNCTION("""COMPUTED_VALUE"""),"")</f>
        <v/>
      </c>
      <c r="M3844" s="16" t="str">
        <f>IFERROR(__xludf.DUMMYFUNCTION("""COMPUTED_VALUE"""),"")</f>
        <v/>
      </c>
      <c r="U3844" s="16" t="s">
        <v>87</v>
      </c>
      <c r="V3844" s="16" t="str">
        <f>IFERROR(__xludf.DUMMYFUNCTION("""COMPUTED_VALUE"""),"")</f>
        <v/>
      </c>
      <c r="W3844" s="16" t="str">
        <f>IFERROR(__xludf.DUMMYFUNCTION("""COMPUTED_VALUE"""),"")</f>
        <v/>
      </c>
      <c r="X3844" s="16" t="str">
        <f>IFERROR(__xludf.DUMMYFUNCTION("""COMPUTED_VALUE"""),"")</f>
        <v/>
      </c>
      <c r="AC3844" s="16" t="str">
        <f>IFERROR(__xludf.DUMMYFUNCTION("""COMPUTED_VALUE"""),"")</f>
        <v/>
      </c>
    </row>
    <row r="3845">
      <c r="A3845" s="16" t="s">
        <v>87</v>
      </c>
      <c r="E3845" s="16" t="str">
        <f>IFERROR(__xludf.DUMMYFUNCTION("""COMPUTED_VALUE"""),"")</f>
        <v/>
      </c>
      <c r="G3845" s="18"/>
      <c r="H3845" s="16" t="s">
        <v>87</v>
      </c>
      <c r="I3845" s="16" t="s">
        <v>87</v>
      </c>
      <c r="J3845" s="19"/>
      <c r="L3845" s="16" t="str">
        <f>IFERROR(__xludf.DUMMYFUNCTION("""COMPUTED_VALUE"""),"")</f>
        <v/>
      </c>
      <c r="M3845" s="16" t="str">
        <f>IFERROR(__xludf.DUMMYFUNCTION("""COMPUTED_VALUE"""),"")</f>
        <v/>
      </c>
      <c r="U3845" s="16" t="s">
        <v>87</v>
      </c>
      <c r="V3845" s="16" t="str">
        <f>IFERROR(__xludf.DUMMYFUNCTION("""COMPUTED_VALUE"""),"")</f>
        <v/>
      </c>
      <c r="W3845" s="16" t="str">
        <f>IFERROR(__xludf.DUMMYFUNCTION("""COMPUTED_VALUE"""),"")</f>
        <v/>
      </c>
      <c r="X3845" s="16" t="str">
        <f>IFERROR(__xludf.DUMMYFUNCTION("""COMPUTED_VALUE"""),"")</f>
        <v/>
      </c>
      <c r="AC3845" s="16" t="str">
        <f>IFERROR(__xludf.DUMMYFUNCTION("""COMPUTED_VALUE"""),"")</f>
        <v/>
      </c>
    </row>
    <row r="3846">
      <c r="A3846" s="16" t="s">
        <v>87</v>
      </c>
      <c r="E3846" s="16" t="str">
        <f>IFERROR(__xludf.DUMMYFUNCTION("""COMPUTED_VALUE"""),"")</f>
        <v/>
      </c>
      <c r="G3846" s="18"/>
      <c r="H3846" s="16" t="s">
        <v>87</v>
      </c>
      <c r="I3846" s="16" t="s">
        <v>87</v>
      </c>
      <c r="J3846" s="19"/>
      <c r="L3846" s="16" t="str">
        <f>IFERROR(__xludf.DUMMYFUNCTION("""COMPUTED_VALUE"""),"")</f>
        <v/>
      </c>
      <c r="M3846" s="16" t="str">
        <f>IFERROR(__xludf.DUMMYFUNCTION("""COMPUTED_VALUE"""),"")</f>
        <v/>
      </c>
      <c r="U3846" s="16" t="s">
        <v>87</v>
      </c>
      <c r="V3846" s="16" t="str">
        <f>IFERROR(__xludf.DUMMYFUNCTION("""COMPUTED_VALUE"""),"")</f>
        <v/>
      </c>
      <c r="W3846" s="16" t="str">
        <f>IFERROR(__xludf.DUMMYFUNCTION("""COMPUTED_VALUE"""),"")</f>
        <v/>
      </c>
      <c r="X3846" s="16" t="str">
        <f>IFERROR(__xludf.DUMMYFUNCTION("""COMPUTED_VALUE"""),"")</f>
        <v/>
      </c>
      <c r="AC3846" s="16" t="str">
        <f>IFERROR(__xludf.DUMMYFUNCTION("""COMPUTED_VALUE"""),"")</f>
        <v/>
      </c>
    </row>
    <row r="3847">
      <c r="A3847" s="16" t="s">
        <v>87</v>
      </c>
      <c r="E3847" s="16" t="str">
        <f>IFERROR(__xludf.DUMMYFUNCTION("""COMPUTED_VALUE"""),"")</f>
        <v/>
      </c>
      <c r="G3847" s="18"/>
      <c r="H3847" s="16" t="s">
        <v>87</v>
      </c>
      <c r="I3847" s="16" t="s">
        <v>87</v>
      </c>
      <c r="J3847" s="19"/>
      <c r="L3847" s="16" t="str">
        <f>IFERROR(__xludf.DUMMYFUNCTION("""COMPUTED_VALUE"""),"")</f>
        <v/>
      </c>
      <c r="M3847" s="16" t="str">
        <f>IFERROR(__xludf.DUMMYFUNCTION("""COMPUTED_VALUE"""),"")</f>
        <v/>
      </c>
      <c r="U3847" s="16" t="s">
        <v>87</v>
      </c>
      <c r="V3847" s="16" t="str">
        <f>IFERROR(__xludf.DUMMYFUNCTION("""COMPUTED_VALUE"""),"")</f>
        <v/>
      </c>
      <c r="W3847" s="16" t="str">
        <f>IFERROR(__xludf.DUMMYFUNCTION("""COMPUTED_VALUE"""),"")</f>
        <v/>
      </c>
      <c r="X3847" s="16" t="str">
        <f>IFERROR(__xludf.DUMMYFUNCTION("""COMPUTED_VALUE"""),"")</f>
        <v/>
      </c>
      <c r="AC3847" s="16" t="str">
        <f>IFERROR(__xludf.DUMMYFUNCTION("""COMPUTED_VALUE"""),"")</f>
        <v/>
      </c>
    </row>
    <row r="3848">
      <c r="A3848" s="16" t="s">
        <v>87</v>
      </c>
      <c r="E3848" s="16" t="str">
        <f>IFERROR(__xludf.DUMMYFUNCTION("""COMPUTED_VALUE"""),"")</f>
        <v/>
      </c>
      <c r="G3848" s="18"/>
      <c r="H3848" s="16" t="s">
        <v>87</v>
      </c>
      <c r="I3848" s="16" t="s">
        <v>87</v>
      </c>
      <c r="J3848" s="19"/>
      <c r="L3848" s="16" t="str">
        <f>IFERROR(__xludf.DUMMYFUNCTION("""COMPUTED_VALUE"""),"")</f>
        <v/>
      </c>
      <c r="M3848" s="16" t="str">
        <f>IFERROR(__xludf.DUMMYFUNCTION("""COMPUTED_VALUE"""),"")</f>
        <v/>
      </c>
      <c r="U3848" s="16" t="s">
        <v>87</v>
      </c>
      <c r="V3848" s="16" t="str">
        <f>IFERROR(__xludf.DUMMYFUNCTION("""COMPUTED_VALUE"""),"")</f>
        <v/>
      </c>
      <c r="W3848" s="16" t="str">
        <f>IFERROR(__xludf.DUMMYFUNCTION("""COMPUTED_VALUE"""),"")</f>
        <v/>
      </c>
      <c r="X3848" s="16" t="str">
        <f>IFERROR(__xludf.DUMMYFUNCTION("""COMPUTED_VALUE"""),"")</f>
        <v/>
      </c>
      <c r="AC3848" s="16" t="str">
        <f>IFERROR(__xludf.DUMMYFUNCTION("""COMPUTED_VALUE"""),"")</f>
        <v/>
      </c>
    </row>
    <row r="3849">
      <c r="A3849" s="16" t="s">
        <v>87</v>
      </c>
      <c r="E3849" s="16" t="str">
        <f>IFERROR(__xludf.DUMMYFUNCTION("""COMPUTED_VALUE"""),"")</f>
        <v/>
      </c>
      <c r="G3849" s="18"/>
      <c r="H3849" s="16" t="s">
        <v>87</v>
      </c>
      <c r="I3849" s="16" t="s">
        <v>87</v>
      </c>
      <c r="J3849" s="19"/>
      <c r="L3849" s="16" t="str">
        <f>IFERROR(__xludf.DUMMYFUNCTION("""COMPUTED_VALUE"""),"")</f>
        <v/>
      </c>
      <c r="M3849" s="16" t="str">
        <f>IFERROR(__xludf.DUMMYFUNCTION("""COMPUTED_VALUE"""),"")</f>
        <v/>
      </c>
      <c r="U3849" s="16" t="s">
        <v>87</v>
      </c>
      <c r="V3849" s="16" t="str">
        <f>IFERROR(__xludf.DUMMYFUNCTION("""COMPUTED_VALUE"""),"")</f>
        <v/>
      </c>
      <c r="W3849" s="16" t="str">
        <f>IFERROR(__xludf.DUMMYFUNCTION("""COMPUTED_VALUE"""),"")</f>
        <v/>
      </c>
      <c r="X3849" s="16" t="str">
        <f>IFERROR(__xludf.DUMMYFUNCTION("""COMPUTED_VALUE"""),"")</f>
        <v/>
      </c>
      <c r="AC3849" s="16" t="str">
        <f>IFERROR(__xludf.DUMMYFUNCTION("""COMPUTED_VALUE"""),"")</f>
        <v/>
      </c>
    </row>
    <row r="3850">
      <c r="A3850" s="16" t="s">
        <v>87</v>
      </c>
      <c r="E3850" s="16" t="str">
        <f>IFERROR(__xludf.DUMMYFUNCTION("""COMPUTED_VALUE"""),"")</f>
        <v/>
      </c>
      <c r="G3850" s="18"/>
      <c r="H3850" s="16" t="s">
        <v>87</v>
      </c>
      <c r="I3850" s="16" t="s">
        <v>87</v>
      </c>
      <c r="J3850" s="19"/>
      <c r="L3850" s="16" t="str">
        <f>IFERROR(__xludf.DUMMYFUNCTION("""COMPUTED_VALUE"""),"")</f>
        <v/>
      </c>
      <c r="M3850" s="16" t="str">
        <f>IFERROR(__xludf.DUMMYFUNCTION("""COMPUTED_VALUE"""),"")</f>
        <v/>
      </c>
      <c r="U3850" s="16" t="s">
        <v>87</v>
      </c>
      <c r="V3850" s="16" t="str">
        <f>IFERROR(__xludf.DUMMYFUNCTION("""COMPUTED_VALUE"""),"")</f>
        <v/>
      </c>
      <c r="W3850" s="16" t="str">
        <f>IFERROR(__xludf.DUMMYFUNCTION("""COMPUTED_VALUE"""),"")</f>
        <v/>
      </c>
      <c r="X3850" s="16" t="str">
        <f>IFERROR(__xludf.DUMMYFUNCTION("""COMPUTED_VALUE"""),"")</f>
        <v/>
      </c>
      <c r="AC3850" s="16" t="str">
        <f>IFERROR(__xludf.DUMMYFUNCTION("""COMPUTED_VALUE"""),"")</f>
        <v/>
      </c>
    </row>
    <row r="3851">
      <c r="A3851" s="16" t="s">
        <v>87</v>
      </c>
      <c r="E3851" s="16" t="str">
        <f>IFERROR(__xludf.DUMMYFUNCTION("""COMPUTED_VALUE"""),"")</f>
        <v/>
      </c>
      <c r="G3851" s="18"/>
      <c r="H3851" s="16" t="s">
        <v>87</v>
      </c>
      <c r="I3851" s="16" t="s">
        <v>87</v>
      </c>
      <c r="J3851" s="19"/>
      <c r="L3851" s="16" t="str">
        <f>IFERROR(__xludf.DUMMYFUNCTION("""COMPUTED_VALUE"""),"")</f>
        <v/>
      </c>
      <c r="M3851" s="16" t="str">
        <f>IFERROR(__xludf.DUMMYFUNCTION("""COMPUTED_VALUE"""),"")</f>
        <v/>
      </c>
      <c r="U3851" s="16" t="s">
        <v>87</v>
      </c>
      <c r="V3851" s="16" t="str">
        <f>IFERROR(__xludf.DUMMYFUNCTION("""COMPUTED_VALUE"""),"")</f>
        <v/>
      </c>
      <c r="W3851" s="16" t="str">
        <f>IFERROR(__xludf.DUMMYFUNCTION("""COMPUTED_VALUE"""),"")</f>
        <v/>
      </c>
      <c r="X3851" s="16" t="str">
        <f>IFERROR(__xludf.DUMMYFUNCTION("""COMPUTED_VALUE"""),"")</f>
        <v/>
      </c>
      <c r="AC3851" s="16" t="str">
        <f>IFERROR(__xludf.DUMMYFUNCTION("""COMPUTED_VALUE"""),"")</f>
        <v/>
      </c>
    </row>
    <row r="3852">
      <c r="A3852" s="16" t="s">
        <v>87</v>
      </c>
      <c r="E3852" s="16" t="str">
        <f>IFERROR(__xludf.DUMMYFUNCTION("""COMPUTED_VALUE"""),"")</f>
        <v/>
      </c>
      <c r="G3852" s="18"/>
      <c r="H3852" s="16" t="s">
        <v>87</v>
      </c>
      <c r="I3852" s="16" t="s">
        <v>87</v>
      </c>
      <c r="J3852" s="19"/>
      <c r="L3852" s="16" t="str">
        <f>IFERROR(__xludf.DUMMYFUNCTION("""COMPUTED_VALUE"""),"")</f>
        <v/>
      </c>
      <c r="M3852" s="16" t="str">
        <f>IFERROR(__xludf.DUMMYFUNCTION("""COMPUTED_VALUE"""),"")</f>
        <v/>
      </c>
      <c r="U3852" s="16" t="s">
        <v>87</v>
      </c>
      <c r="V3852" s="16" t="str">
        <f>IFERROR(__xludf.DUMMYFUNCTION("""COMPUTED_VALUE"""),"")</f>
        <v/>
      </c>
      <c r="W3852" s="16" t="str">
        <f>IFERROR(__xludf.DUMMYFUNCTION("""COMPUTED_VALUE"""),"")</f>
        <v/>
      </c>
      <c r="X3852" s="16" t="str">
        <f>IFERROR(__xludf.DUMMYFUNCTION("""COMPUTED_VALUE"""),"")</f>
        <v/>
      </c>
      <c r="AC3852" s="16" t="str">
        <f>IFERROR(__xludf.DUMMYFUNCTION("""COMPUTED_VALUE"""),"")</f>
        <v/>
      </c>
    </row>
    <row r="3853">
      <c r="A3853" s="16" t="s">
        <v>87</v>
      </c>
      <c r="E3853" s="16" t="str">
        <f>IFERROR(__xludf.DUMMYFUNCTION("""COMPUTED_VALUE"""),"")</f>
        <v/>
      </c>
      <c r="G3853" s="18"/>
      <c r="H3853" s="16" t="s">
        <v>87</v>
      </c>
      <c r="I3853" s="16" t="s">
        <v>87</v>
      </c>
      <c r="J3853" s="19"/>
      <c r="L3853" s="16" t="str">
        <f>IFERROR(__xludf.DUMMYFUNCTION("""COMPUTED_VALUE"""),"")</f>
        <v/>
      </c>
      <c r="M3853" s="16" t="str">
        <f>IFERROR(__xludf.DUMMYFUNCTION("""COMPUTED_VALUE"""),"")</f>
        <v/>
      </c>
      <c r="U3853" s="16" t="s">
        <v>87</v>
      </c>
      <c r="V3853" s="16" t="str">
        <f>IFERROR(__xludf.DUMMYFUNCTION("""COMPUTED_VALUE"""),"")</f>
        <v/>
      </c>
      <c r="W3853" s="16" t="str">
        <f>IFERROR(__xludf.DUMMYFUNCTION("""COMPUTED_VALUE"""),"")</f>
        <v/>
      </c>
      <c r="X3853" s="16" t="str">
        <f>IFERROR(__xludf.DUMMYFUNCTION("""COMPUTED_VALUE"""),"")</f>
        <v/>
      </c>
      <c r="AC3853" s="16" t="str">
        <f>IFERROR(__xludf.DUMMYFUNCTION("""COMPUTED_VALUE"""),"")</f>
        <v/>
      </c>
    </row>
    <row r="3854">
      <c r="A3854" s="16" t="s">
        <v>87</v>
      </c>
      <c r="E3854" s="16" t="str">
        <f>IFERROR(__xludf.DUMMYFUNCTION("""COMPUTED_VALUE"""),"")</f>
        <v/>
      </c>
      <c r="G3854" s="18"/>
      <c r="H3854" s="16" t="s">
        <v>87</v>
      </c>
      <c r="I3854" s="16" t="s">
        <v>87</v>
      </c>
      <c r="J3854" s="19"/>
      <c r="L3854" s="16" t="str">
        <f>IFERROR(__xludf.DUMMYFUNCTION("""COMPUTED_VALUE"""),"")</f>
        <v/>
      </c>
      <c r="M3854" s="16" t="str">
        <f>IFERROR(__xludf.DUMMYFUNCTION("""COMPUTED_VALUE"""),"")</f>
        <v/>
      </c>
      <c r="U3854" s="16" t="s">
        <v>87</v>
      </c>
      <c r="V3854" s="16" t="str">
        <f>IFERROR(__xludf.DUMMYFUNCTION("""COMPUTED_VALUE"""),"")</f>
        <v/>
      </c>
      <c r="W3854" s="16" t="str">
        <f>IFERROR(__xludf.DUMMYFUNCTION("""COMPUTED_VALUE"""),"")</f>
        <v/>
      </c>
      <c r="X3854" s="16" t="str">
        <f>IFERROR(__xludf.DUMMYFUNCTION("""COMPUTED_VALUE"""),"")</f>
        <v/>
      </c>
      <c r="AC3854" s="16" t="str">
        <f>IFERROR(__xludf.DUMMYFUNCTION("""COMPUTED_VALUE"""),"")</f>
        <v/>
      </c>
    </row>
    <row r="3855">
      <c r="A3855" s="16" t="s">
        <v>87</v>
      </c>
      <c r="E3855" s="16" t="str">
        <f>IFERROR(__xludf.DUMMYFUNCTION("""COMPUTED_VALUE"""),"")</f>
        <v/>
      </c>
      <c r="G3855" s="18"/>
      <c r="H3855" s="16" t="s">
        <v>87</v>
      </c>
      <c r="I3855" s="16" t="s">
        <v>87</v>
      </c>
      <c r="J3855" s="19"/>
      <c r="L3855" s="16" t="str">
        <f>IFERROR(__xludf.DUMMYFUNCTION("""COMPUTED_VALUE"""),"")</f>
        <v/>
      </c>
      <c r="M3855" s="16" t="str">
        <f>IFERROR(__xludf.DUMMYFUNCTION("""COMPUTED_VALUE"""),"")</f>
        <v/>
      </c>
      <c r="U3855" s="16" t="s">
        <v>87</v>
      </c>
      <c r="V3855" s="16" t="str">
        <f>IFERROR(__xludf.DUMMYFUNCTION("""COMPUTED_VALUE"""),"")</f>
        <v/>
      </c>
      <c r="W3855" s="16" t="str">
        <f>IFERROR(__xludf.DUMMYFUNCTION("""COMPUTED_VALUE"""),"")</f>
        <v/>
      </c>
      <c r="X3855" s="16" t="str">
        <f>IFERROR(__xludf.DUMMYFUNCTION("""COMPUTED_VALUE"""),"")</f>
        <v/>
      </c>
      <c r="AC3855" s="16" t="str">
        <f>IFERROR(__xludf.DUMMYFUNCTION("""COMPUTED_VALUE"""),"")</f>
        <v/>
      </c>
    </row>
    <row r="3856">
      <c r="A3856" s="16" t="s">
        <v>87</v>
      </c>
      <c r="E3856" s="16" t="str">
        <f>IFERROR(__xludf.DUMMYFUNCTION("""COMPUTED_VALUE"""),"")</f>
        <v/>
      </c>
      <c r="G3856" s="18"/>
      <c r="H3856" s="16" t="s">
        <v>87</v>
      </c>
      <c r="I3856" s="16" t="s">
        <v>87</v>
      </c>
      <c r="J3856" s="19"/>
      <c r="L3856" s="16" t="str">
        <f>IFERROR(__xludf.DUMMYFUNCTION("""COMPUTED_VALUE"""),"")</f>
        <v/>
      </c>
      <c r="M3856" s="16" t="str">
        <f>IFERROR(__xludf.DUMMYFUNCTION("""COMPUTED_VALUE"""),"")</f>
        <v/>
      </c>
      <c r="U3856" s="16" t="s">
        <v>87</v>
      </c>
      <c r="V3856" s="16" t="str">
        <f>IFERROR(__xludf.DUMMYFUNCTION("""COMPUTED_VALUE"""),"")</f>
        <v/>
      </c>
      <c r="W3856" s="16" t="str">
        <f>IFERROR(__xludf.DUMMYFUNCTION("""COMPUTED_VALUE"""),"")</f>
        <v/>
      </c>
      <c r="X3856" s="16" t="str">
        <f>IFERROR(__xludf.DUMMYFUNCTION("""COMPUTED_VALUE"""),"")</f>
        <v/>
      </c>
      <c r="AC3856" s="16" t="str">
        <f>IFERROR(__xludf.DUMMYFUNCTION("""COMPUTED_VALUE"""),"")</f>
        <v/>
      </c>
    </row>
    <row r="3857">
      <c r="A3857" s="16" t="s">
        <v>87</v>
      </c>
      <c r="E3857" s="16" t="str">
        <f>IFERROR(__xludf.DUMMYFUNCTION("""COMPUTED_VALUE"""),"")</f>
        <v/>
      </c>
      <c r="G3857" s="18"/>
      <c r="H3857" s="16" t="s">
        <v>87</v>
      </c>
      <c r="I3857" s="16" t="s">
        <v>87</v>
      </c>
      <c r="J3857" s="19"/>
      <c r="L3857" s="16" t="str">
        <f>IFERROR(__xludf.DUMMYFUNCTION("""COMPUTED_VALUE"""),"")</f>
        <v/>
      </c>
      <c r="M3857" s="16" t="str">
        <f>IFERROR(__xludf.DUMMYFUNCTION("""COMPUTED_VALUE"""),"")</f>
        <v/>
      </c>
      <c r="U3857" s="16" t="s">
        <v>87</v>
      </c>
      <c r="V3857" s="16" t="str">
        <f>IFERROR(__xludf.DUMMYFUNCTION("""COMPUTED_VALUE"""),"")</f>
        <v/>
      </c>
      <c r="W3857" s="16" t="str">
        <f>IFERROR(__xludf.DUMMYFUNCTION("""COMPUTED_VALUE"""),"")</f>
        <v/>
      </c>
      <c r="X3857" s="16" t="str">
        <f>IFERROR(__xludf.DUMMYFUNCTION("""COMPUTED_VALUE"""),"")</f>
        <v/>
      </c>
      <c r="AC3857" s="16" t="str">
        <f>IFERROR(__xludf.DUMMYFUNCTION("""COMPUTED_VALUE"""),"")</f>
        <v/>
      </c>
    </row>
    <row r="3858">
      <c r="A3858" s="16" t="s">
        <v>87</v>
      </c>
      <c r="E3858" s="16" t="str">
        <f>IFERROR(__xludf.DUMMYFUNCTION("""COMPUTED_VALUE"""),"")</f>
        <v/>
      </c>
      <c r="G3858" s="18"/>
      <c r="H3858" s="16" t="s">
        <v>87</v>
      </c>
      <c r="I3858" s="16" t="s">
        <v>87</v>
      </c>
      <c r="J3858" s="19"/>
      <c r="L3858" s="16" t="str">
        <f>IFERROR(__xludf.DUMMYFUNCTION("""COMPUTED_VALUE"""),"")</f>
        <v/>
      </c>
      <c r="M3858" s="16" t="str">
        <f>IFERROR(__xludf.DUMMYFUNCTION("""COMPUTED_VALUE"""),"")</f>
        <v/>
      </c>
      <c r="U3858" s="16" t="s">
        <v>87</v>
      </c>
      <c r="V3858" s="16" t="str">
        <f>IFERROR(__xludf.DUMMYFUNCTION("""COMPUTED_VALUE"""),"")</f>
        <v/>
      </c>
      <c r="W3858" s="16" t="str">
        <f>IFERROR(__xludf.DUMMYFUNCTION("""COMPUTED_VALUE"""),"")</f>
        <v/>
      </c>
      <c r="X3858" s="16" t="str">
        <f>IFERROR(__xludf.DUMMYFUNCTION("""COMPUTED_VALUE"""),"")</f>
        <v/>
      </c>
      <c r="AC3858" s="16" t="str">
        <f>IFERROR(__xludf.DUMMYFUNCTION("""COMPUTED_VALUE"""),"")</f>
        <v/>
      </c>
    </row>
    <row r="3859">
      <c r="A3859" s="16" t="s">
        <v>87</v>
      </c>
      <c r="E3859" s="16" t="str">
        <f>IFERROR(__xludf.DUMMYFUNCTION("""COMPUTED_VALUE"""),"")</f>
        <v/>
      </c>
      <c r="G3859" s="18"/>
      <c r="H3859" s="16" t="s">
        <v>87</v>
      </c>
      <c r="I3859" s="16" t="s">
        <v>87</v>
      </c>
      <c r="J3859" s="19"/>
      <c r="L3859" s="16" t="str">
        <f>IFERROR(__xludf.DUMMYFUNCTION("""COMPUTED_VALUE"""),"")</f>
        <v/>
      </c>
      <c r="M3859" s="16" t="str">
        <f>IFERROR(__xludf.DUMMYFUNCTION("""COMPUTED_VALUE"""),"")</f>
        <v/>
      </c>
      <c r="U3859" s="16" t="s">
        <v>87</v>
      </c>
      <c r="V3859" s="16" t="str">
        <f>IFERROR(__xludf.DUMMYFUNCTION("""COMPUTED_VALUE"""),"")</f>
        <v/>
      </c>
      <c r="W3859" s="16" t="str">
        <f>IFERROR(__xludf.DUMMYFUNCTION("""COMPUTED_VALUE"""),"")</f>
        <v/>
      </c>
      <c r="X3859" s="16" t="str">
        <f>IFERROR(__xludf.DUMMYFUNCTION("""COMPUTED_VALUE"""),"")</f>
        <v/>
      </c>
      <c r="AC3859" s="16" t="str">
        <f>IFERROR(__xludf.DUMMYFUNCTION("""COMPUTED_VALUE"""),"")</f>
        <v/>
      </c>
    </row>
    <row r="3860">
      <c r="A3860" s="16" t="s">
        <v>87</v>
      </c>
      <c r="E3860" s="16" t="str">
        <f>IFERROR(__xludf.DUMMYFUNCTION("""COMPUTED_VALUE"""),"")</f>
        <v/>
      </c>
      <c r="G3860" s="18"/>
      <c r="H3860" s="16" t="s">
        <v>87</v>
      </c>
      <c r="I3860" s="16" t="s">
        <v>87</v>
      </c>
      <c r="J3860" s="19"/>
      <c r="L3860" s="16" t="str">
        <f>IFERROR(__xludf.DUMMYFUNCTION("""COMPUTED_VALUE"""),"")</f>
        <v/>
      </c>
      <c r="M3860" s="16" t="str">
        <f>IFERROR(__xludf.DUMMYFUNCTION("""COMPUTED_VALUE"""),"")</f>
        <v/>
      </c>
      <c r="U3860" s="16" t="s">
        <v>87</v>
      </c>
      <c r="V3860" s="16" t="str">
        <f>IFERROR(__xludf.DUMMYFUNCTION("""COMPUTED_VALUE"""),"")</f>
        <v/>
      </c>
      <c r="W3860" s="16" t="str">
        <f>IFERROR(__xludf.DUMMYFUNCTION("""COMPUTED_VALUE"""),"")</f>
        <v/>
      </c>
      <c r="X3860" s="16" t="str">
        <f>IFERROR(__xludf.DUMMYFUNCTION("""COMPUTED_VALUE"""),"")</f>
        <v/>
      </c>
      <c r="AC3860" s="16" t="str">
        <f>IFERROR(__xludf.DUMMYFUNCTION("""COMPUTED_VALUE"""),"")</f>
        <v/>
      </c>
    </row>
    <row r="3861">
      <c r="A3861" s="16" t="s">
        <v>87</v>
      </c>
      <c r="E3861" s="16" t="str">
        <f>IFERROR(__xludf.DUMMYFUNCTION("""COMPUTED_VALUE"""),"")</f>
        <v/>
      </c>
      <c r="G3861" s="18"/>
      <c r="H3861" s="16" t="s">
        <v>87</v>
      </c>
      <c r="I3861" s="16" t="s">
        <v>87</v>
      </c>
      <c r="J3861" s="19"/>
      <c r="L3861" s="16" t="str">
        <f>IFERROR(__xludf.DUMMYFUNCTION("""COMPUTED_VALUE"""),"")</f>
        <v/>
      </c>
      <c r="M3861" s="16" t="str">
        <f>IFERROR(__xludf.DUMMYFUNCTION("""COMPUTED_VALUE"""),"")</f>
        <v/>
      </c>
      <c r="U3861" s="16" t="s">
        <v>87</v>
      </c>
      <c r="V3861" s="16" t="str">
        <f>IFERROR(__xludf.DUMMYFUNCTION("""COMPUTED_VALUE"""),"")</f>
        <v/>
      </c>
      <c r="W3861" s="16" t="str">
        <f>IFERROR(__xludf.DUMMYFUNCTION("""COMPUTED_VALUE"""),"")</f>
        <v/>
      </c>
      <c r="X3861" s="16" t="str">
        <f>IFERROR(__xludf.DUMMYFUNCTION("""COMPUTED_VALUE"""),"")</f>
        <v/>
      </c>
      <c r="AC3861" s="16" t="str">
        <f>IFERROR(__xludf.DUMMYFUNCTION("""COMPUTED_VALUE"""),"")</f>
        <v/>
      </c>
    </row>
    <row r="3862">
      <c r="A3862" s="16" t="s">
        <v>87</v>
      </c>
      <c r="E3862" s="16" t="str">
        <f>IFERROR(__xludf.DUMMYFUNCTION("""COMPUTED_VALUE"""),"")</f>
        <v/>
      </c>
      <c r="G3862" s="18"/>
      <c r="H3862" s="16" t="s">
        <v>87</v>
      </c>
      <c r="I3862" s="16" t="s">
        <v>87</v>
      </c>
      <c r="J3862" s="19"/>
      <c r="L3862" s="16" t="str">
        <f>IFERROR(__xludf.DUMMYFUNCTION("""COMPUTED_VALUE"""),"")</f>
        <v/>
      </c>
      <c r="M3862" s="16" t="str">
        <f>IFERROR(__xludf.DUMMYFUNCTION("""COMPUTED_VALUE"""),"")</f>
        <v/>
      </c>
      <c r="U3862" s="16" t="s">
        <v>87</v>
      </c>
      <c r="V3862" s="16" t="str">
        <f>IFERROR(__xludf.DUMMYFUNCTION("""COMPUTED_VALUE"""),"")</f>
        <v/>
      </c>
      <c r="W3862" s="16" t="str">
        <f>IFERROR(__xludf.DUMMYFUNCTION("""COMPUTED_VALUE"""),"")</f>
        <v/>
      </c>
      <c r="X3862" s="16" t="str">
        <f>IFERROR(__xludf.DUMMYFUNCTION("""COMPUTED_VALUE"""),"")</f>
        <v/>
      </c>
      <c r="AC3862" s="16" t="str">
        <f>IFERROR(__xludf.DUMMYFUNCTION("""COMPUTED_VALUE"""),"")</f>
        <v/>
      </c>
    </row>
    <row r="3863">
      <c r="A3863" s="16" t="s">
        <v>87</v>
      </c>
      <c r="E3863" s="16" t="str">
        <f>IFERROR(__xludf.DUMMYFUNCTION("""COMPUTED_VALUE"""),"")</f>
        <v/>
      </c>
      <c r="G3863" s="18"/>
      <c r="H3863" s="16" t="s">
        <v>87</v>
      </c>
      <c r="I3863" s="16" t="s">
        <v>87</v>
      </c>
      <c r="J3863" s="19"/>
      <c r="L3863" s="16" t="str">
        <f>IFERROR(__xludf.DUMMYFUNCTION("""COMPUTED_VALUE"""),"")</f>
        <v/>
      </c>
      <c r="M3863" s="16" t="str">
        <f>IFERROR(__xludf.DUMMYFUNCTION("""COMPUTED_VALUE"""),"")</f>
        <v/>
      </c>
      <c r="U3863" s="16" t="s">
        <v>87</v>
      </c>
      <c r="V3863" s="16" t="str">
        <f>IFERROR(__xludf.DUMMYFUNCTION("""COMPUTED_VALUE"""),"")</f>
        <v/>
      </c>
      <c r="W3863" s="16" t="str">
        <f>IFERROR(__xludf.DUMMYFUNCTION("""COMPUTED_VALUE"""),"")</f>
        <v/>
      </c>
      <c r="X3863" s="16" t="str">
        <f>IFERROR(__xludf.DUMMYFUNCTION("""COMPUTED_VALUE"""),"")</f>
        <v/>
      </c>
      <c r="AC3863" s="16" t="str">
        <f>IFERROR(__xludf.DUMMYFUNCTION("""COMPUTED_VALUE"""),"")</f>
        <v/>
      </c>
    </row>
    <row r="3864">
      <c r="A3864" s="16" t="s">
        <v>87</v>
      </c>
      <c r="E3864" s="16" t="str">
        <f>IFERROR(__xludf.DUMMYFUNCTION("""COMPUTED_VALUE"""),"")</f>
        <v/>
      </c>
      <c r="G3864" s="18"/>
      <c r="H3864" s="16" t="s">
        <v>87</v>
      </c>
      <c r="I3864" s="16" t="s">
        <v>87</v>
      </c>
      <c r="J3864" s="19"/>
      <c r="L3864" s="16" t="str">
        <f>IFERROR(__xludf.DUMMYFUNCTION("""COMPUTED_VALUE"""),"")</f>
        <v/>
      </c>
      <c r="M3864" s="16" t="str">
        <f>IFERROR(__xludf.DUMMYFUNCTION("""COMPUTED_VALUE"""),"")</f>
        <v/>
      </c>
      <c r="U3864" s="16" t="s">
        <v>87</v>
      </c>
      <c r="V3864" s="16" t="str">
        <f>IFERROR(__xludf.DUMMYFUNCTION("""COMPUTED_VALUE"""),"")</f>
        <v/>
      </c>
      <c r="W3864" s="16" t="str">
        <f>IFERROR(__xludf.DUMMYFUNCTION("""COMPUTED_VALUE"""),"")</f>
        <v/>
      </c>
      <c r="X3864" s="16" t="str">
        <f>IFERROR(__xludf.DUMMYFUNCTION("""COMPUTED_VALUE"""),"")</f>
        <v/>
      </c>
      <c r="AC3864" s="16" t="str">
        <f>IFERROR(__xludf.DUMMYFUNCTION("""COMPUTED_VALUE"""),"")</f>
        <v/>
      </c>
    </row>
    <row r="3865">
      <c r="A3865" s="16" t="s">
        <v>87</v>
      </c>
      <c r="E3865" s="16" t="str">
        <f>IFERROR(__xludf.DUMMYFUNCTION("""COMPUTED_VALUE"""),"")</f>
        <v/>
      </c>
      <c r="G3865" s="18"/>
      <c r="H3865" s="16" t="s">
        <v>87</v>
      </c>
      <c r="I3865" s="16" t="s">
        <v>87</v>
      </c>
      <c r="J3865" s="19"/>
      <c r="L3865" s="16" t="str">
        <f>IFERROR(__xludf.DUMMYFUNCTION("""COMPUTED_VALUE"""),"")</f>
        <v/>
      </c>
      <c r="M3865" s="16" t="str">
        <f>IFERROR(__xludf.DUMMYFUNCTION("""COMPUTED_VALUE"""),"")</f>
        <v/>
      </c>
      <c r="U3865" s="16" t="s">
        <v>87</v>
      </c>
      <c r="V3865" s="16" t="str">
        <f>IFERROR(__xludf.DUMMYFUNCTION("""COMPUTED_VALUE"""),"")</f>
        <v/>
      </c>
      <c r="W3865" s="16" t="str">
        <f>IFERROR(__xludf.DUMMYFUNCTION("""COMPUTED_VALUE"""),"")</f>
        <v/>
      </c>
      <c r="X3865" s="16" t="str">
        <f>IFERROR(__xludf.DUMMYFUNCTION("""COMPUTED_VALUE"""),"")</f>
        <v/>
      </c>
      <c r="AC3865" s="16" t="str">
        <f>IFERROR(__xludf.DUMMYFUNCTION("""COMPUTED_VALUE"""),"")</f>
        <v/>
      </c>
    </row>
    <row r="3866">
      <c r="A3866" s="16" t="s">
        <v>87</v>
      </c>
      <c r="E3866" s="16" t="str">
        <f>IFERROR(__xludf.DUMMYFUNCTION("""COMPUTED_VALUE"""),"")</f>
        <v/>
      </c>
      <c r="G3866" s="18"/>
      <c r="H3866" s="16" t="s">
        <v>87</v>
      </c>
      <c r="I3866" s="16" t="s">
        <v>87</v>
      </c>
      <c r="J3866" s="19"/>
      <c r="L3866" s="16" t="str">
        <f>IFERROR(__xludf.DUMMYFUNCTION("""COMPUTED_VALUE"""),"")</f>
        <v/>
      </c>
      <c r="M3866" s="16" t="str">
        <f>IFERROR(__xludf.DUMMYFUNCTION("""COMPUTED_VALUE"""),"")</f>
        <v/>
      </c>
      <c r="U3866" s="16" t="s">
        <v>87</v>
      </c>
      <c r="V3866" s="16" t="str">
        <f>IFERROR(__xludf.DUMMYFUNCTION("""COMPUTED_VALUE"""),"")</f>
        <v/>
      </c>
      <c r="W3866" s="16" t="str">
        <f>IFERROR(__xludf.DUMMYFUNCTION("""COMPUTED_VALUE"""),"")</f>
        <v/>
      </c>
      <c r="X3866" s="16" t="str">
        <f>IFERROR(__xludf.DUMMYFUNCTION("""COMPUTED_VALUE"""),"")</f>
        <v/>
      </c>
      <c r="AC3866" s="16" t="str">
        <f>IFERROR(__xludf.DUMMYFUNCTION("""COMPUTED_VALUE"""),"")</f>
        <v/>
      </c>
    </row>
    <row r="3867">
      <c r="A3867" s="16" t="s">
        <v>87</v>
      </c>
      <c r="E3867" s="16" t="str">
        <f>IFERROR(__xludf.DUMMYFUNCTION("""COMPUTED_VALUE"""),"")</f>
        <v/>
      </c>
      <c r="G3867" s="18"/>
      <c r="H3867" s="16" t="s">
        <v>87</v>
      </c>
      <c r="I3867" s="16" t="s">
        <v>87</v>
      </c>
      <c r="J3867" s="19"/>
      <c r="L3867" s="16" t="str">
        <f>IFERROR(__xludf.DUMMYFUNCTION("""COMPUTED_VALUE"""),"")</f>
        <v/>
      </c>
      <c r="M3867" s="16" t="str">
        <f>IFERROR(__xludf.DUMMYFUNCTION("""COMPUTED_VALUE"""),"")</f>
        <v/>
      </c>
      <c r="U3867" s="16" t="s">
        <v>87</v>
      </c>
      <c r="V3867" s="16" t="str">
        <f>IFERROR(__xludf.DUMMYFUNCTION("""COMPUTED_VALUE"""),"")</f>
        <v/>
      </c>
      <c r="W3867" s="16" t="str">
        <f>IFERROR(__xludf.DUMMYFUNCTION("""COMPUTED_VALUE"""),"")</f>
        <v/>
      </c>
      <c r="X3867" s="16" t="str">
        <f>IFERROR(__xludf.DUMMYFUNCTION("""COMPUTED_VALUE"""),"")</f>
        <v/>
      </c>
      <c r="AC3867" s="16" t="str">
        <f>IFERROR(__xludf.DUMMYFUNCTION("""COMPUTED_VALUE"""),"")</f>
        <v/>
      </c>
    </row>
    <row r="3868">
      <c r="A3868" s="16" t="s">
        <v>87</v>
      </c>
      <c r="E3868" s="16" t="str">
        <f>IFERROR(__xludf.DUMMYFUNCTION("""COMPUTED_VALUE"""),"")</f>
        <v/>
      </c>
      <c r="G3868" s="18"/>
      <c r="H3868" s="16" t="s">
        <v>87</v>
      </c>
      <c r="I3868" s="16" t="s">
        <v>87</v>
      </c>
      <c r="J3868" s="19"/>
      <c r="L3868" s="16" t="str">
        <f>IFERROR(__xludf.DUMMYFUNCTION("""COMPUTED_VALUE"""),"")</f>
        <v/>
      </c>
      <c r="M3868" s="16" t="str">
        <f>IFERROR(__xludf.DUMMYFUNCTION("""COMPUTED_VALUE"""),"")</f>
        <v/>
      </c>
      <c r="U3868" s="16" t="s">
        <v>87</v>
      </c>
      <c r="V3868" s="16" t="str">
        <f>IFERROR(__xludf.DUMMYFUNCTION("""COMPUTED_VALUE"""),"")</f>
        <v/>
      </c>
      <c r="W3868" s="16" t="str">
        <f>IFERROR(__xludf.DUMMYFUNCTION("""COMPUTED_VALUE"""),"")</f>
        <v/>
      </c>
      <c r="X3868" s="16" t="str">
        <f>IFERROR(__xludf.DUMMYFUNCTION("""COMPUTED_VALUE"""),"")</f>
        <v/>
      </c>
      <c r="AC3868" s="16" t="str">
        <f>IFERROR(__xludf.DUMMYFUNCTION("""COMPUTED_VALUE"""),"")</f>
        <v/>
      </c>
    </row>
    <row r="3869">
      <c r="A3869" s="16" t="s">
        <v>87</v>
      </c>
      <c r="E3869" s="16" t="str">
        <f>IFERROR(__xludf.DUMMYFUNCTION("""COMPUTED_VALUE"""),"")</f>
        <v/>
      </c>
      <c r="G3869" s="18"/>
      <c r="H3869" s="16" t="s">
        <v>87</v>
      </c>
      <c r="I3869" s="16" t="s">
        <v>87</v>
      </c>
      <c r="J3869" s="19"/>
      <c r="L3869" s="16" t="str">
        <f>IFERROR(__xludf.DUMMYFUNCTION("""COMPUTED_VALUE"""),"")</f>
        <v/>
      </c>
      <c r="M3869" s="16" t="str">
        <f>IFERROR(__xludf.DUMMYFUNCTION("""COMPUTED_VALUE"""),"")</f>
        <v/>
      </c>
      <c r="U3869" s="16" t="s">
        <v>87</v>
      </c>
      <c r="V3869" s="16" t="str">
        <f>IFERROR(__xludf.DUMMYFUNCTION("""COMPUTED_VALUE"""),"")</f>
        <v/>
      </c>
      <c r="W3869" s="16" t="str">
        <f>IFERROR(__xludf.DUMMYFUNCTION("""COMPUTED_VALUE"""),"")</f>
        <v/>
      </c>
      <c r="X3869" s="16" t="str">
        <f>IFERROR(__xludf.DUMMYFUNCTION("""COMPUTED_VALUE"""),"")</f>
        <v/>
      </c>
      <c r="AC3869" s="16" t="str">
        <f>IFERROR(__xludf.DUMMYFUNCTION("""COMPUTED_VALUE"""),"")</f>
        <v/>
      </c>
    </row>
    <row r="3870">
      <c r="A3870" s="16" t="s">
        <v>87</v>
      </c>
      <c r="E3870" s="16" t="str">
        <f>IFERROR(__xludf.DUMMYFUNCTION("""COMPUTED_VALUE"""),"")</f>
        <v/>
      </c>
      <c r="G3870" s="18"/>
      <c r="H3870" s="16" t="s">
        <v>87</v>
      </c>
      <c r="I3870" s="16" t="s">
        <v>87</v>
      </c>
      <c r="J3870" s="19"/>
      <c r="L3870" s="16" t="str">
        <f>IFERROR(__xludf.DUMMYFUNCTION("""COMPUTED_VALUE"""),"")</f>
        <v/>
      </c>
      <c r="M3870" s="16" t="str">
        <f>IFERROR(__xludf.DUMMYFUNCTION("""COMPUTED_VALUE"""),"")</f>
        <v/>
      </c>
      <c r="U3870" s="16" t="s">
        <v>87</v>
      </c>
      <c r="V3870" s="16" t="str">
        <f>IFERROR(__xludf.DUMMYFUNCTION("""COMPUTED_VALUE"""),"")</f>
        <v/>
      </c>
      <c r="W3870" s="16" t="str">
        <f>IFERROR(__xludf.DUMMYFUNCTION("""COMPUTED_VALUE"""),"")</f>
        <v/>
      </c>
      <c r="X3870" s="16" t="str">
        <f>IFERROR(__xludf.DUMMYFUNCTION("""COMPUTED_VALUE"""),"")</f>
        <v/>
      </c>
      <c r="AC3870" s="16" t="str">
        <f>IFERROR(__xludf.DUMMYFUNCTION("""COMPUTED_VALUE"""),"")</f>
        <v/>
      </c>
    </row>
    <row r="3871">
      <c r="A3871" s="16" t="s">
        <v>87</v>
      </c>
      <c r="E3871" s="16" t="str">
        <f>IFERROR(__xludf.DUMMYFUNCTION("""COMPUTED_VALUE"""),"")</f>
        <v/>
      </c>
      <c r="G3871" s="18"/>
      <c r="H3871" s="16" t="s">
        <v>87</v>
      </c>
      <c r="I3871" s="16" t="s">
        <v>87</v>
      </c>
      <c r="J3871" s="19"/>
      <c r="L3871" s="16" t="str">
        <f>IFERROR(__xludf.DUMMYFUNCTION("""COMPUTED_VALUE"""),"")</f>
        <v/>
      </c>
      <c r="M3871" s="16" t="str">
        <f>IFERROR(__xludf.DUMMYFUNCTION("""COMPUTED_VALUE"""),"")</f>
        <v/>
      </c>
      <c r="U3871" s="16" t="s">
        <v>87</v>
      </c>
      <c r="V3871" s="16" t="str">
        <f>IFERROR(__xludf.DUMMYFUNCTION("""COMPUTED_VALUE"""),"")</f>
        <v/>
      </c>
      <c r="W3871" s="16" t="str">
        <f>IFERROR(__xludf.DUMMYFUNCTION("""COMPUTED_VALUE"""),"")</f>
        <v/>
      </c>
      <c r="X3871" s="16" t="str">
        <f>IFERROR(__xludf.DUMMYFUNCTION("""COMPUTED_VALUE"""),"")</f>
        <v/>
      </c>
      <c r="AC3871" s="16" t="str">
        <f>IFERROR(__xludf.DUMMYFUNCTION("""COMPUTED_VALUE"""),"")</f>
        <v/>
      </c>
    </row>
    <row r="3872">
      <c r="A3872" s="16" t="s">
        <v>87</v>
      </c>
      <c r="E3872" s="16" t="str">
        <f>IFERROR(__xludf.DUMMYFUNCTION("""COMPUTED_VALUE"""),"")</f>
        <v/>
      </c>
      <c r="G3872" s="18"/>
      <c r="H3872" s="16" t="s">
        <v>87</v>
      </c>
      <c r="I3872" s="16" t="s">
        <v>87</v>
      </c>
      <c r="J3872" s="19"/>
      <c r="L3872" s="16" t="str">
        <f>IFERROR(__xludf.DUMMYFUNCTION("""COMPUTED_VALUE"""),"")</f>
        <v/>
      </c>
      <c r="M3872" s="16" t="str">
        <f>IFERROR(__xludf.DUMMYFUNCTION("""COMPUTED_VALUE"""),"")</f>
        <v/>
      </c>
      <c r="U3872" s="16" t="s">
        <v>87</v>
      </c>
      <c r="V3872" s="16" t="str">
        <f>IFERROR(__xludf.DUMMYFUNCTION("""COMPUTED_VALUE"""),"")</f>
        <v/>
      </c>
      <c r="W3872" s="16" t="str">
        <f>IFERROR(__xludf.DUMMYFUNCTION("""COMPUTED_VALUE"""),"")</f>
        <v/>
      </c>
      <c r="X3872" s="16" t="str">
        <f>IFERROR(__xludf.DUMMYFUNCTION("""COMPUTED_VALUE"""),"")</f>
        <v/>
      </c>
      <c r="AC3872" s="16" t="str">
        <f>IFERROR(__xludf.DUMMYFUNCTION("""COMPUTED_VALUE"""),"")</f>
        <v/>
      </c>
    </row>
    <row r="3873">
      <c r="A3873" s="16" t="s">
        <v>87</v>
      </c>
      <c r="E3873" s="16" t="str">
        <f>IFERROR(__xludf.DUMMYFUNCTION("""COMPUTED_VALUE"""),"")</f>
        <v/>
      </c>
      <c r="G3873" s="18"/>
      <c r="H3873" s="16" t="s">
        <v>87</v>
      </c>
      <c r="I3873" s="16" t="s">
        <v>87</v>
      </c>
      <c r="J3873" s="19"/>
      <c r="L3873" s="16" t="str">
        <f>IFERROR(__xludf.DUMMYFUNCTION("""COMPUTED_VALUE"""),"")</f>
        <v/>
      </c>
      <c r="M3873" s="16" t="str">
        <f>IFERROR(__xludf.DUMMYFUNCTION("""COMPUTED_VALUE"""),"")</f>
        <v/>
      </c>
      <c r="U3873" s="16" t="s">
        <v>87</v>
      </c>
      <c r="V3873" s="16" t="str">
        <f>IFERROR(__xludf.DUMMYFUNCTION("""COMPUTED_VALUE"""),"")</f>
        <v/>
      </c>
      <c r="W3873" s="16" t="str">
        <f>IFERROR(__xludf.DUMMYFUNCTION("""COMPUTED_VALUE"""),"")</f>
        <v/>
      </c>
      <c r="X3873" s="16" t="str">
        <f>IFERROR(__xludf.DUMMYFUNCTION("""COMPUTED_VALUE"""),"")</f>
        <v/>
      </c>
      <c r="AC3873" s="16" t="str">
        <f>IFERROR(__xludf.DUMMYFUNCTION("""COMPUTED_VALUE"""),"")</f>
        <v/>
      </c>
    </row>
    <row r="3874">
      <c r="A3874" s="16" t="s">
        <v>87</v>
      </c>
      <c r="E3874" s="16" t="str">
        <f>IFERROR(__xludf.DUMMYFUNCTION("""COMPUTED_VALUE"""),"")</f>
        <v/>
      </c>
      <c r="G3874" s="18"/>
      <c r="H3874" s="16" t="s">
        <v>87</v>
      </c>
      <c r="I3874" s="16" t="s">
        <v>87</v>
      </c>
      <c r="J3874" s="19"/>
      <c r="L3874" s="16" t="str">
        <f>IFERROR(__xludf.DUMMYFUNCTION("""COMPUTED_VALUE"""),"")</f>
        <v/>
      </c>
      <c r="M3874" s="16" t="str">
        <f>IFERROR(__xludf.DUMMYFUNCTION("""COMPUTED_VALUE"""),"")</f>
        <v/>
      </c>
      <c r="U3874" s="16" t="s">
        <v>87</v>
      </c>
      <c r="V3874" s="16" t="str">
        <f>IFERROR(__xludf.DUMMYFUNCTION("""COMPUTED_VALUE"""),"")</f>
        <v/>
      </c>
      <c r="W3874" s="16" t="str">
        <f>IFERROR(__xludf.DUMMYFUNCTION("""COMPUTED_VALUE"""),"")</f>
        <v/>
      </c>
      <c r="X3874" s="16" t="str">
        <f>IFERROR(__xludf.DUMMYFUNCTION("""COMPUTED_VALUE"""),"")</f>
        <v/>
      </c>
      <c r="AC3874" s="16" t="str">
        <f>IFERROR(__xludf.DUMMYFUNCTION("""COMPUTED_VALUE"""),"")</f>
        <v/>
      </c>
    </row>
    <row r="3875">
      <c r="A3875" s="16" t="s">
        <v>87</v>
      </c>
      <c r="E3875" s="16" t="str">
        <f>IFERROR(__xludf.DUMMYFUNCTION("""COMPUTED_VALUE"""),"")</f>
        <v/>
      </c>
      <c r="G3875" s="18"/>
      <c r="H3875" s="16" t="s">
        <v>87</v>
      </c>
      <c r="I3875" s="16" t="s">
        <v>87</v>
      </c>
      <c r="J3875" s="19"/>
      <c r="L3875" s="16" t="str">
        <f>IFERROR(__xludf.DUMMYFUNCTION("""COMPUTED_VALUE"""),"")</f>
        <v/>
      </c>
      <c r="M3875" s="16" t="str">
        <f>IFERROR(__xludf.DUMMYFUNCTION("""COMPUTED_VALUE"""),"")</f>
        <v/>
      </c>
      <c r="U3875" s="16" t="s">
        <v>87</v>
      </c>
      <c r="V3875" s="16" t="str">
        <f>IFERROR(__xludf.DUMMYFUNCTION("""COMPUTED_VALUE"""),"")</f>
        <v/>
      </c>
      <c r="W3875" s="16" t="str">
        <f>IFERROR(__xludf.DUMMYFUNCTION("""COMPUTED_VALUE"""),"")</f>
        <v/>
      </c>
      <c r="X3875" s="16" t="str">
        <f>IFERROR(__xludf.DUMMYFUNCTION("""COMPUTED_VALUE"""),"")</f>
        <v/>
      </c>
      <c r="AC3875" s="16" t="str">
        <f>IFERROR(__xludf.DUMMYFUNCTION("""COMPUTED_VALUE"""),"")</f>
        <v/>
      </c>
    </row>
    <row r="3876">
      <c r="A3876" s="16" t="s">
        <v>87</v>
      </c>
      <c r="E3876" s="16" t="str">
        <f>IFERROR(__xludf.DUMMYFUNCTION("""COMPUTED_VALUE"""),"")</f>
        <v/>
      </c>
      <c r="G3876" s="18"/>
      <c r="H3876" s="16" t="s">
        <v>87</v>
      </c>
      <c r="I3876" s="16" t="s">
        <v>87</v>
      </c>
      <c r="J3876" s="19"/>
      <c r="L3876" s="16" t="str">
        <f>IFERROR(__xludf.DUMMYFUNCTION("""COMPUTED_VALUE"""),"")</f>
        <v/>
      </c>
      <c r="M3876" s="16" t="str">
        <f>IFERROR(__xludf.DUMMYFUNCTION("""COMPUTED_VALUE"""),"")</f>
        <v/>
      </c>
      <c r="U3876" s="16" t="s">
        <v>87</v>
      </c>
      <c r="V3876" s="16" t="str">
        <f>IFERROR(__xludf.DUMMYFUNCTION("""COMPUTED_VALUE"""),"")</f>
        <v/>
      </c>
      <c r="W3876" s="16" t="str">
        <f>IFERROR(__xludf.DUMMYFUNCTION("""COMPUTED_VALUE"""),"")</f>
        <v/>
      </c>
      <c r="X3876" s="16" t="str">
        <f>IFERROR(__xludf.DUMMYFUNCTION("""COMPUTED_VALUE"""),"")</f>
        <v/>
      </c>
      <c r="AC3876" s="16" t="str">
        <f>IFERROR(__xludf.DUMMYFUNCTION("""COMPUTED_VALUE"""),"")</f>
        <v/>
      </c>
    </row>
    <row r="3877">
      <c r="A3877" s="16" t="s">
        <v>87</v>
      </c>
      <c r="E3877" s="16" t="str">
        <f>IFERROR(__xludf.DUMMYFUNCTION("""COMPUTED_VALUE"""),"")</f>
        <v/>
      </c>
      <c r="G3877" s="18"/>
      <c r="H3877" s="16" t="s">
        <v>87</v>
      </c>
      <c r="I3877" s="16" t="s">
        <v>87</v>
      </c>
      <c r="J3877" s="19"/>
      <c r="L3877" s="16" t="str">
        <f>IFERROR(__xludf.DUMMYFUNCTION("""COMPUTED_VALUE"""),"")</f>
        <v/>
      </c>
      <c r="M3877" s="16" t="str">
        <f>IFERROR(__xludf.DUMMYFUNCTION("""COMPUTED_VALUE"""),"")</f>
        <v/>
      </c>
      <c r="U3877" s="16" t="s">
        <v>87</v>
      </c>
      <c r="V3877" s="16" t="str">
        <f>IFERROR(__xludf.DUMMYFUNCTION("""COMPUTED_VALUE"""),"")</f>
        <v/>
      </c>
      <c r="W3877" s="16" t="str">
        <f>IFERROR(__xludf.DUMMYFUNCTION("""COMPUTED_VALUE"""),"")</f>
        <v/>
      </c>
      <c r="X3877" s="16" t="str">
        <f>IFERROR(__xludf.DUMMYFUNCTION("""COMPUTED_VALUE"""),"")</f>
        <v/>
      </c>
      <c r="AC3877" s="16" t="str">
        <f>IFERROR(__xludf.DUMMYFUNCTION("""COMPUTED_VALUE"""),"")</f>
        <v/>
      </c>
    </row>
    <row r="3878">
      <c r="A3878" s="16" t="s">
        <v>87</v>
      </c>
      <c r="E3878" s="16" t="str">
        <f>IFERROR(__xludf.DUMMYFUNCTION("""COMPUTED_VALUE"""),"")</f>
        <v/>
      </c>
      <c r="G3878" s="18"/>
      <c r="H3878" s="16" t="s">
        <v>87</v>
      </c>
      <c r="I3878" s="16" t="s">
        <v>87</v>
      </c>
      <c r="J3878" s="19"/>
      <c r="L3878" s="16" t="str">
        <f>IFERROR(__xludf.DUMMYFUNCTION("""COMPUTED_VALUE"""),"")</f>
        <v/>
      </c>
      <c r="M3878" s="16" t="str">
        <f>IFERROR(__xludf.DUMMYFUNCTION("""COMPUTED_VALUE"""),"")</f>
        <v/>
      </c>
      <c r="U3878" s="16" t="s">
        <v>87</v>
      </c>
      <c r="V3878" s="16" t="str">
        <f>IFERROR(__xludf.DUMMYFUNCTION("""COMPUTED_VALUE"""),"")</f>
        <v/>
      </c>
      <c r="W3878" s="16" t="str">
        <f>IFERROR(__xludf.DUMMYFUNCTION("""COMPUTED_VALUE"""),"")</f>
        <v/>
      </c>
      <c r="X3878" s="16" t="str">
        <f>IFERROR(__xludf.DUMMYFUNCTION("""COMPUTED_VALUE"""),"")</f>
        <v/>
      </c>
      <c r="AC3878" s="16" t="str">
        <f>IFERROR(__xludf.DUMMYFUNCTION("""COMPUTED_VALUE"""),"")</f>
        <v/>
      </c>
    </row>
    <row r="3879">
      <c r="A3879" s="16" t="s">
        <v>87</v>
      </c>
      <c r="E3879" s="16" t="str">
        <f>IFERROR(__xludf.DUMMYFUNCTION("""COMPUTED_VALUE"""),"")</f>
        <v/>
      </c>
      <c r="G3879" s="18"/>
      <c r="H3879" s="16" t="s">
        <v>87</v>
      </c>
      <c r="I3879" s="16" t="s">
        <v>87</v>
      </c>
      <c r="J3879" s="19"/>
      <c r="L3879" s="16" t="str">
        <f>IFERROR(__xludf.DUMMYFUNCTION("""COMPUTED_VALUE"""),"")</f>
        <v/>
      </c>
      <c r="M3879" s="16" t="str">
        <f>IFERROR(__xludf.DUMMYFUNCTION("""COMPUTED_VALUE"""),"")</f>
        <v/>
      </c>
      <c r="U3879" s="16" t="s">
        <v>87</v>
      </c>
      <c r="V3879" s="16" t="str">
        <f>IFERROR(__xludf.DUMMYFUNCTION("""COMPUTED_VALUE"""),"")</f>
        <v/>
      </c>
      <c r="W3879" s="16" t="str">
        <f>IFERROR(__xludf.DUMMYFUNCTION("""COMPUTED_VALUE"""),"")</f>
        <v/>
      </c>
      <c r="X3879" s="16" t="str">
        <f>IFERROR(__xludf.DUMMYFUNCTION("""COMPUTED_VALUE"""),"")</f>
        <v/>
      </c>
      <c r="AC3879" s="16" t="str">
        <f>IFERROR(__xludf.DUMMYFUNCTION("""COMPUTED_VALUE"""),"")</f>
        <v/>
      </c>
    </row>
    <row r="3880">
      <c r="A3880" s="16" t="s">
        <v>87</v>
      </c>
      <c r="E3880" s="16" t="str">
        <f>IFERROR(__xludf.DUMMYFUNCTION("""COMPUTED_VALUE"""),"")</f>
        <v/>
      </c>
      <c r="G3880" s="18"/>
      <c r="H3880" s="16" t="s">
        <v>87</v>
      </c>
      <c r="I3880" s="16" t="s">
        <v>87</v>
      </c>
      <c r="J3880" s="19"/>
      <c r="L3880" s="16" t="str">
        <f>IFERROR(__xludf.DUMMYFUNCTION("""COMPUTED_VALUE"""),"")</f>
        <v/>
      </c>
      <c r="M3880" s="16" t="str">
        <f>IFERROR(__xludf.DUMMYFUNCTION("""COMPUTED_VALUE"""),"")</f>
        <v/>
      </c>
      <c r="U3880" s="16" t="s">
        <v>87</v>
      </c>
      <c r="V3880" s="16" t="str">
        <f>IFERROR(__xludf.DUMMYFUNCTION("""COMPUTED_VALUE"""),"")</f>
        <v/>
      </c>
      <c r="W3880" s="16" t="str">
        <f>IFERROR(__xludf.DUMMYFUNCTION("""COMPUTED_VALUE"""),"")</f>
        <v/>
      </c>
      <c r="X3880" s="16" t="str">
        <f>IFERROR(__xludf.DUMMYFUNCTION("""COMPUTED_VALUE"""),"")</f>
        <v/>
      </c>
      <c r="AC3880" s="16" t="str">
        <f>IFERROR(__xludf.DUMMYFUNCTION("""COMPUTED_VALUE"""),"")</f>
        <v/>
      </c>
    </row>
    <row r="3881">
      <c r="A3881" s="16" t="s">
        <v>87</v>
      </c>
      <c r="E3881" s="16" t="str">
        <f>IFERROR(__xludf.DUMMYFUNCTION("""COMPUTED_VALUE"""),"")</f>
        <v/>
      </c>
      <c r="G3881" s="18"/>
      <c r="H3881" s="16" t="s">
        <v>87</v>
      </c>
      <c r="I3881" s="16" t="s">
        <v>87</v>
      </c>
      <c r="J3881" s="19"/>
      <c r="L3881" s="16" t="str">
        <f>IFERROR(__xludf.DUMMYFUNCTION("""COMPUTED_VALUE"""),"")</f>
        <v/>
      </c>
      <c r="M3881" s="16" t="str">
        <f>IFERROR(__xludf.DUMMYFUNCTION("""COMPUTED_VALUE"""),"")</f>
        <v/>
      </c>
      <c r="U3881" s="16" t="s">
        <v>87</v>
      </c>
      <c r="V3881" s="16" t="str">
        <f>IFERROR(__xludf.DUMMYFUNCTION("""COMPUTED_VALUE"""),"")</f>
        <v/>
      </c>
      <c r="W3881" s="16" t="str">
        <f>IFERROR(__xludf.DUMMYFUNCTION("""COMPUTED_VALUE"""),"")</f>
        <v/>
      </c>
      <c r="X3881" s="16" t="str">
        <f>IFERROR(__xludf.DUMMYFUNCTION("""COMPUTED_VALUE"""),"")</f>
        <v/>
      </c>
      <c r="AC3881" s="16" t="str">
        <f>IFERROR(__xludf.DUMMYFUNCTION("""COMPUTED_VALUE"""),"")</f>
        <v/>
      </c>
    </row>
    <row r="3882">
      <c r="A3882" s="16" t="s">
        <v>87</v>
      </c>
      <c r="E3882" s="16" t="str">
        <f>IFERROR(__xludf.DUMMYFUNCTION("""COMPUTED_VALUE"""),"")</f>
        <v/>
      </c>
      <c r="G3882" s="18"/>
      <c r="H3882" s="16" t="s">
        <v>87</v>
      </c>
      <c r="I3882" s="16" t="s">
        <v>87</v>
      </c>
      <c r="J3882" s="19"/>
      <c r="L3882" s="16" t="str">
        <f>IFERROR(__xludf.DUMMYFUNCTION("""COMPUTED_VALUE"""),"")</f>
        <v/>
      </c>
      <c r="M3882" s="16" t="str">
        <f>IFERROR(__xludf.DUMMYFUNCTION("""COMPUTED_VALUE"""),"")</f>
        <v/>
      </c>
      <c r="U3882" s="16" t="s">
        <v>87</v>
      </c>
      <c r="V3882" s="16" t="str">
        <f>IFERROR(__xludf.DUMMYFUNCTION("""COMPUTED_VALUE"""),"")</f>
        <v/>
      </c>
      <c r="W3882" s="16" t="str">
        <f>IFERROR(__xludf.DUMMYFUNCTION("""COMPUTED_VALUE"""),"")</f>
        <v/>
      </c>
      <c r="X3882" s="16" t="str">
        <f>IFERROR(__xludf.DUMMYFUNCTION("""COMPUTED_VALUE"""),"")</f>
        <v/>
      </c>
      <c r="AC3882" s="16" t="str">
        <f>IFERROR(__xludf.DUMMYFUNCTION("""COMPUTED_VALUE"""),"")</f>
        <v/>
      </c>
    </row>
    <row r="3883">
      <c r="A3883" s="16" t="s">
        <v>87</v>
      </c>
      <c r="E3883" s="16" t="str">
        <f>IFERROR(__xludf.DUMMYFUNCTION("""COMPUTED_VALUE"""),"")</f>
        <v/>
      </c>
      <c r="G3883" s="18"/>
      <c r="H3883" s="16" t="s">
        <v>87</v>
      </c>
      <c r="I3883" s="16" t="s">
        <v>87</v>
      </c>
      <c r="J3883" s="19"/>
      <c r="L3883" s="16" t="str">
        <f>IFERROR(__xludf.DUMMYFUNCTION("""COMPUTED_VALUE"""),"")</f>
        <v/>
      </c>
      <c r="M3883" s="16" t="str">
        <f>IFERROR(__xludf.DUMMYFUNCTION("""COMPUTED_VALUE"""),"")</f>
        <v/>
      </c>
      <c r="U3883" s="16" t="s">
        <v>87</v>
      </c>
      <c r="V3883" s="16" t="str">
        <f>IFERROR(__xludf.DUMMYFUNCTION("""COMPUTED_VALUE"""),"")</f>
        <v/>
      </c>
      <c r="W3883" s="16" t="str">
        <f>IFERROR(__xludf.DUMMYFUNCTION("""COMPUTED_VALUE"""),"")</f>
        <v/>
      </c>
      <c r="X3883" s="16" t="str">
        <f>IFERROR(__xludf.DUMMYFUNCTION("""COMPUTED_VALUE"""),"")</f>
        <v/>
      </c>
      <c r="AC3883" s="16" t="str">
        <f>IFERROR(__xludf.DUMMYFUNCTION("""COMPUTED_VALUE"""),"")</f>
        <v/>
      </c>
    </row>
    <row r="3884">
      <c r="A3884" s="16" t="s">
        <v>87</v>
      </c>
      <c r="E3884" s="16" t="str">
        <f>IFERROR(__xludf.DUMMYFUNCTION("""COMPUTED_VALUE"""),"")</f>
        <v/>
      </c>
      <c r="G3884" s="18"/>
      <c r="H3884" s="16" t="s">
        <v>87</v>
      </c>
      <c r="I3884" s="16" t="s">
        <v>87</v>
      </c>
      <c r="J3884" s="19"/>
      <c r="L3884" s="16" t="str">
        <f>IFERROR(__xludf.DUMMYFUNCTION("""COMPUTED_VALUE"""),"")</f>
        <v/>
      </c>
      <c r="M3884" s="16" t="str">
        <f>IFERROR(__xludf.DUMMYFUNCTION("""COMPUTED_VALUE"""),"")</f>
        <v/>
      </c>
      <c r="U3884" s="16" t="s">
        <v>87</v>
      </c>
      <c r="V3884" s="16" t="str">
        <f>IFERROR(__xludf.DUMMYFUNCTION("""COMPUTED_VALUE"""),"")</f>
        <v/>
      </c>
      <c r="W3884" s="16" t="str">
        <f>IFERROR(__xludf.DUMMYFUNCTION("""COMPUTED_VALUE"""),"")</f>
        <v/>
      </c>
      <c r="X3884" s="16" t="str">
        <f>IFERROR(__xludf.DUMMYFUNCTION("""COMPUTED_VALUE"""),"")</f>
        <v/>
      </c>
      <c r="AC3884" s="16" t="str">
        <f>IFERROR(__xludf.DUMMYFUNCTION("""COMPUTED_VALUE"""),"")</f>
        <v/>
      </c>
    </row>
    <row r="3885">
      <c r="A3885" s="16" t="s">
        <v>87</v>
      </c>
      <c r="E3885" s="16" t="str">
        <f>IFERROR(__xludf.DUMMYFUNCTION("""COMPUTED_VALUE"""),"")</f>
        <v/>
      </c>
      <c r="G3885" s="18"/>
      <c r="H3885" s="16" t="s">
        <v>87</v>
      </c>
      <c r="I3885" s="16" t="s">
        <v>87</v>
      </c>
      <c r="J3885" s="19"/>
      <c r="L3885" s="16" t="str">
        <f>IFERROR(__xludf.DUMMYFUNCTION("""COMPUTED_VALUE"""),"")</f>
        <v/>
      </c>
      <c r="M3885" s="16" t="str">
        <f>IFERROR(__xludf.DUMMYFUNCTION("""COMPUTED_VALUE"""),"")</f>
        <v/>
      </c>
      <c r="U3885" s="16" t="s">
        <v>87</v>
      </c>
      <c r="V3885" s="16" t="str">
        <f>IFERROR(__xludf.DUMMYFUNCTION("""COMPUTED_VALUE"""),"")</f>
        <v/>
      </c>
      <c r="W3885" s="16" t="str">
        <f>IFERROR(__xludf.DUMMYFUNCTION("""COMPUTED_VALUE"""),"")</f>
        <v/>
      </c>
      <c r="X3885" s="16" t="str">
        <f>IFERROR(__xludf.DUMMYFUNCTION("""COMPUTED_VALUE"""),"")</f>
        <v/>
      </c>
      <c r="AC3885" s="16" t="str">
        <f>IFERROR(__xludf.DUMMYFUNCTION("""COMPUTED_VALUE"""),"")</f>
        <v/>
      </c>
    </row>
    <row r="3886">
      <c r="A3886" s="16" t="s">
        <v>87</v>
      </c>
      <c r="E3886" s="16" t="str">
        <f>IFERROR(__xludf.DUMMYFUNCTION("""COMPUTED_VALUE"""),"")</f>
        <v/>
      </c>
      <c r="G3886" s="18"/>
      <c r="H3886" s="16" t="s">
        <v>87</v>
      </c>
      <c r="I3886" s="16" t="s">
        <v>87</v>
      </c>
      <c r="J3886" s="19"/>
      <c r="L3886" s="16" t="str">
        <f>IFERROR(__xludf.DUMMYFUNCTION("""COMPUTED_VALUE"""),"")</f>
        <v/>
      </c>
      <c r="M3886" s="16" t="str">
        <f>IFERROR(__xludf.DUMMYFUNCTION("""COMPUTED_VALUE"""),"")</f>
        <v/>
      </c>
      <c r="U3886" s="16" t="s">
        <v>87</v>
      </c>
      <c r="V3886" s="16" t="str">
        <f>IFERROR(__xludf.DUMMYFUNCTION("""COMPUTED_VALUE"""),"")</f>
        <v/>
      </c>
      <c r="W3886" s="16" t="str">
        <f>IFERROR(__xludf.DUMMYFUNCTION("""COMPUTED_VALUE"""),"")</f>
        <v/>
      </c>
      <c r="X3886" s="16" t="str">
        <f>IFERROR(__xludf.DUMMYFUNCTION("""COMPUTED_VALUE"""),"")</f>
        <v/>
      </c>
      <c r="AC3886" s="16" t="str">
        <f>IFERROR(__xludf.DUMMYFUNCTION("""COMPUTED_VALUE"""),"")</f>
        <v/>
      </c>
    </row>
    <row r="3887">
      <c r="A3887" s="16" t="s">
        <v>87</v>
      </c>
      <c r="E3887" s="16" t="str">
        <f>IFERROR(__xludf.DUMMYFUNCTION("""COMPUTED_VALUE"""),"")</f>
        <v/>
      </c>
      <c r="G3887" s="18"/>
      <c r="H3887" s="16" t="s">
        <v>87</v>
      </c>
      <c r="I3887" s="16" t="s">
        <v>87</v>
      </c>
      <c r="J3887" s="19"/>
      <c r="L3887" s="16" t="str">
        <f>IFERROR(__xludf.DUMMYFUNCTION("""COMPUTED_VALUE"""),"")</f>
        <v/>
      </c>
      <c r="M3887" s="16" t="str">
        <f>IFERROR(__xludf.DUMMYFUNCTION("""COMPUTED_VALUE"""),"")</f>
        <v/>
      </c>
      <c r="U3887" s="16" t="s">
        <v>87</v>
      </c>
      <c r="V3887" s="16" t="str">
        <f>IFERROR(__xludf.DUMMYFUNCTION("""COMPUTED_VALUE"""),"")</f>
        <v/>
      </c>
      <c r="W3887" s="16" t="str">
        <f>IFERROR(__xludf.DUMMYFUNCTION("""COMPUTED_VALUE"""),"")</f>
        <v/>
      </c>
      <c r="X3887" s="16" t="str">
        <f>IFERROR(__xludf.DUMMYFUNCTION("""COMPUTED_VALUE"""),"")</f>
        <v/>
      </c>
      <c r="AC3887" s="16" t="str">
        <f>IFERROR(__xludf.DUMMYFUNCTION("""COMPUTED_VALUE"""),"")</f>
        <v/>
      </c>
    </row>
    <row r="3888">
      <c r="A3888" s="16" t="s">
        <v>87</v>
      </c>
      <c r="E3888" s="16" t="str">
        <f>IFERROR(__xludf.DUMMYFUNCTION("""COMPUTED_VALUE"""),"")</f>
        <v/>
      </c>
      <c r="G3888" s="18"/>
      <c r="H3888" s="16" t="s">
        <v>87</v>
      </c>
      <c r="I3888" s="16" t="s">
        <v>87</v>
      </c>
      <c r="J3888" s="19"/>
      <c r="L3888" s="16" t="str">
        <f>IFERROR(__xludf.DUMMYFUNCTION("""COMPUTED_VALUE"""),"")</f>
        <v/>
      </c>
      <c r="M3888" s="16" t="str">
        <f>IFERROR(__xludf.DUMMYFUNCTION("""COMPUTED_VALUE"""),"")</f>
        <v/>
      </c>
      <c r="U3888" s="16" t="s">
        <v>87</v>
      </c>
      <c r="V3888" s="16" t="str">
        <f>IFERROR(__xludf.DUMMYFUNCTION("""COMPUTED_VALUE"""),"")</f>
        <v/>
      </c>
      <c r="W3888" s="16" t="str">
        <f>IFERROR(__xludf.DUMMYFUNCTION("""COMPUTED_VALUE"""),"")</f>
        <v/>
      </c>
      <c r="X3888" s="16" t="str">
        <f>IFERROR(__xludf.DUMMYFUNCTION("""COMPUTED_VALUE"""),"")</f>
        <v/>
      </c>
      <c r="AC3888" s="16" t="str">
        <f>IFERROR(__xludf.DUMMYFUNCTION("""COMPUTED_VALUE"""),"")</f>
        <v/>
      </c>
    </row>
    <row r="3889">
      <c r="A3889" s="16" t="s">
        <v>87</v>
      </c>
      <c r="E3889" s="16" t="str">
        <f>IFERROR(__xludf.DUMMYFUNCTION("""COMPUTED_VALUE"""),"")</f>
        <v/>
      </c>
      <c r="G3889" s="18"/>
      <c r="H3889" s="16" t="s">
        <v>87</v>
      </c>
      <c r="I3889" s="16" t="s">
        <v>87</v>
      </c>
      <c r="J3889" s="19"/>
      <c r="L3889" s="16" t="str">
        <f>IFERROR(__xludf.DUMMYFUNCTION("""COMPUTED_VALUE"""),"")</f>
        <v/>
      </c>
      <c r="M3889" s="16" t="str">
        <f>IFERROR(__xludf.DUMMYFUNCTION("""COMPUTED_VALUE"""),"")</f>
        <v/>
      </c>
      <c r="U3889" s="16" t="s">
        <v>87</v>
      </c>
      <c r="V3889" s="16" t="str">
        <f>IFERROR(__xludf.DUMMYFUNCTION("""COMPUTED_VALUE"""),"")</f>
        <v/>
      </c>
      <c r="W3889" s="16" t="str">
        <f>IFERROR(__xludf.DUMMYFUNCTION("""COMPUTED_VALUE"""),"")</f>
        <v/>
      </c>
      <c r="X3889" s="16" t="str">
        <f>IFERROR(__xludf.DUMMYFUNCTION("""COMPUTED_VALUE"""),"")</f>
        <v/>
      </c>
      <c r="AC3889" s="16" t="str">
        <f>IFERROR(__xludf.DUMMYFUNCTION("""COMPUTED_VALUE"""),"")</f>
        <v/>
      </c>
    </row>
    <row r="3890">
      <c r="A3890" s="16" t="s">
        <v>87</v>
      </c>
      <c r="E3890" s="16" t="str">
        <f>IFERROR(__xludf.DUMMYFUNCTION("""COMPUTED_VALUE"""),"")</f>
        <v/>
      </c>
      <c r="G3890" s="18"/>
      <c r="H3890" s="16" t="s">
        <v>87</v>
      </c>
      <c r="I3890" s="16" t="s">
        <v>87</v>
      </c>
      <c r="J3890" s="19"/>
      <c r="L3890" s="16" t="str">
        <f>IFERROR(__xludf.DUMMYFUNCTION("""COMPUTED_VALUE"""),"")</f>
        <v/>
      </c>
      <c r="M3890" s="16" t="str">
        <f>IFERROR(__xludf.DUMMYFUNCTION("""COMPUTED_VALUE"""),"")</f>
        <v/>
      </c>
      <c r="U3890" s="16" t="s">
        <v>87</v>
      </c>
      <c r="V3890" s="16" t="str">
        <f>IFERROR(__xludf.DUMMYFUNCTION("""COMPUTED_VALUE"""),"")</f>
        <v/>
      </c>
      <c r="W3890" s="16" t="str">
        <f>IFERROR(__xludf.DUMMYFUNCTION("""COMPUTED_VALUE"""),"")</f>
        <v/>
      </c>
      <c r="X3890" s="16" t="str">
        <f>IFERROR(__xludf.DUMMYFUNCTION("""COMPUTED_VALUE"""),"")</f>
        <v/>
      </c>
      <c r="AC3890" s="16" t="str">
        <f>IFERROR(__xludf.DUMMYFUNCTION("""COMPUTED_VALUE"""),"")</f>
        <v/>
      </c>
    </row>
    <row r="3891">
      <c r="A3891" s="16" t="s">
        <v>87</v>
      </c>
      <c r="E3891" s="16" t="str">
        <f>IFERROR(__xludf.DUMMYFUNCTION("""COMPUTED_VALUE"""),"")</f>
        <v/>
      </c>
      <c r="G3891" s="18"/>
      <c r="H3891" s="16" t="s">
        <v>87</v>
      </c>
      <c r="I3891" s="16" t="s">
        <v>87</v>
      </c>
      <c r="J3891" s="19"/>
      <c r="L3891" s="16" t="str">
        <f>IFERROR(__xludf.DUMMYFUNCTION("""COMPUTED_VALUE"""),"")</f>
        <v/>
      </c>
      <c r="M3891" s="16" t="str">
        <f>IFERROR(__xludf.DUMMYFUNCTION("""COMPUTED_VALUE"""),"")</f>
        <v/>
      </c>
      <c r="U3891" s="16" t="s">
        <v>87</v>
      </c>
      <c r="V3891" s="16" t="str">
        <f>IFERROR(__xludf.DUMMYFUNCTION("""COMPUTED_VALUE"""),"")</f>
        <v/>
      </c>
      <c r="W3891" s="16" t="str">
        <f>IFERROR(__xludf.DUMMYFUNCTION("""COMPUTED_VALUE"""),"")</f>
        <v/>
      </c>
      <c r="X3891" s="16" t="str">
        <f>IFERROR(__xludf.DUMMYFUNCTION("""COMPUTED_VALUE"""),"")</f>
        <v/>
      </c>
      <c r="AC3891" s="16" t="str">
        <f>IFERROR(__xludf.DUMMYFUNCTION("""COMPUTED_VALUE"""),"")</f>
        <v/>
      </c>
    </row>
    <row r="3892">
      <c r="A3892" s="16" t="s">
        <v>87</v>
      </c>
      <c r="E3892" s="16" t="str">
        <f>IFERROR(__xludf.DUMMYFUNCTION("""COMPUTED_VALUE"""),"")</f>
        <v/>
      </c>
      <c r="G3892" s="18"/>
      <c r="H3892" s="16" t="s">
        <v>87</v>
      </c>
      <c r="I3892" s="16" t="s">
        <v>87</v>
      </c>
      <c r="J3892" s="19"/>
      <c r="L3892" s="16" t="str">
        <f>IFERROR(__xludf.DUMMYFUNCTION("""COMPUTED_VALUE"""),"")</f>
        <v/>
      </c>
      <c r="M3892" s="16" t="str">
        <f>IFERROR(__xludf.DUMMYFUNCTION("""COMPUTED_VALUE"""),"")</f>
        <v/>
      </c>
      <c r="U3892" s="16" t="s">
        <v>87</v>
      </c>
      <c r="V3892" s="16" t="str">
        <f>IFERROR(__xludf.DUMMYFUNCTION("""COMPUTED_VALUE"""),"")</f>
        <v/>
      </c>
      <c r="W3892" s="16" t="str">
        <f>IFERROR(__xludf.DUMMYFUNCTION("""COMPUTED_VALUE"""),"")</f>
        <v/>
      </c>
      <c r="X3892" s="16" t="str">
        <f>IFERROR(__xludf.DUMMYFUNCTION("""COMPUTED_VALUE"""),"")</f>
        <v/>
      </c>
      <c r="AC3892" s="16" t="str">
        <f>IFERROR(__xludf.DUMMYFUNCTION("""COMPUTED_VALUE"""),"")</f>
        <v/>
      </c>
    </row>
    <row r="3893">
      <c r="A3893" s="16" t="s">
        <v>87</v>
      </c>
      <c r="E3893" s="16" t="str">
        <f>IFERROR(__xludf.DUMMYFUNCTION("""COMPUTED_VALUE"""),"")</f>
        <v/>
      </c>
      <c r="G3893" s="18"/>
      <c r="H3893" s="16" t="s">
        <v>87</v>
      </c>
      <c r="I3893" s="16" t="s">
        <v>87</v>
      </c>
      <c r="J3893" s="19"/>
      <c r="L3893" s="16" t="str">
        <f>IFERROR(__xludf.DUMMYFUNCTION("""COMPUTED_VALUE"""),"")</f>
        <v/>
      </c>
      <c r="M3893" s="16" t="str">
        <f>IFERROR(__xludf.DUMMYFUNCTION("""COMPUTED_VALUE"""),"")</f>
        <v/>
      </c>
      <c r="U3893" s="16" t="s">
        <v>87</v>
      </c>
      <c r="V3893" s="16" t="str">
        <f>IFERROR(__xludf.DUMMYFUNCTION("""COMPUTED_VALUE"""),"")</f>
        <v/>
      </c>
      <c r="W3893" s="16" t="str">
        <f>IFERROR(__xludf.DUMMYFUNCTION("""COMPUTED_VALUE"""),"")</f>
        <v/>
      </c>
      <c r="X3893" s="16" t="str">
        <f>IFERROR(__xludf.DUMMYFUNCTION("""COMPUTED_VALUE"""),"")</f>
        <v/>
      </c>
      <c r="AC3893" s="16" t="str">
        <f>IFERROR(__xludf.DUMMYFUNCTION("""COMPUTED_VALUE"""),"")</f>
        <v/>
      </c>
    </row>
    <row r="3894">
      <c r="A3894" s="16" t="s">
        <v>87</v>
      </c>
      <c r="E3894" s="16" t="str">
        <f>IFERROR(__xludf.DUMMYFUNCTION("""COMPUTED_VALUE"""),"")</f>
        <v/>
      </c>
      <c r="G3894" s="18"/>
      <c r="H3894" s="16" t="s">
        <v>87</v>
      </c>
      <c r="I3894" s="16" t="s">
        <v>87</v>
      </c>
      <c r="J3894" s="19"/>
      <c r="L3894" s="16" t="str">
        <f>IFERROR(__xludf.DUMMYFUNCTION("""COMPUTED_VALUE"""),"")</f>
        <v/>
      </c>
      <c r="M3894" s="16" t="str">
        <f>IFERROR(__xludf.DUMMYFUNCTION("""COMPUTED_VALUE"""),"")</f>
        <v/>
      </c>
      <c r="U3894" s="16" t="s">
        <v>87</v>
      </c>
      <c r="V3894" s="16" t="str">
        <f>IFERROR(__xludf.DUMMYFUNCTION("""COMPUTED_VALUE"""),"")</f>
        <v/>
      </c>
      <c r="W3894" s="16" t="str">
        <f>IFERROR(__xludf.DUMMYFUNCTION("""COMPUTED_VALUE"""),"")</f>
        <v/>
      </c>
      <c r="X3894" s="16" t="str">
        <f>IFERROR(__xludf.DUMMYFUNCTION("""COMPUTED_VALUE"""),"")</f>
        <v/>
      </c>
      <c r="AC3894" s="16" t="str">
        <f>IFERROR(__xludf.DUMMYFUNCTION("""COMPUTED_VALUE"""),"")</f>
        <v/>
      </c>
    </row>
    <row r="3895">
      <c r="A3895" s="16" t="s">
        <v>87</v>
      </c>
      <c r="E3895" s="16" t="str">
        <f>IFERROR(__xludf.DUMMYFUNCTION("""COMPUTED_VALUE"""),"")</f>
        <v/>
      </c>
      <c r="G3895" s="18"/>
      <c r="H3895" s="16" t="s">
        <v>87</v>
      </c>
      <c r="I3895" s="16" t="s">
        <v>87</v>
      </c>
      <c r="J3895" s="19"/>
      <c r="L3895" s="16" t="str">
        <f>IFERROR(__xludf.DUMMYFUNCTION("""COMPUTED_VALUE"""),"")</f>
        <v/>
      </c>
      <c r="M3895" s="16" t="str">
        <f>IFERROR(__xludf.DUMMYFUNCTION("""COMPUTED_VALUE"""),"")</f>
        <v/>
      </c>
      <c r="U3895" s="16" t="s">
        <v>87</v>
      </c>
      <c r="V3895" s="16" t="str">
        <f>IFERROR(__xludf.DUMMYFUNCTION("""COMPUTED_VALUE"""),"")</f>
        <v/>
      </c>
      <c r="W3895" s="16" t="str">
        <f>IFERROR(__xludf.DUMMYFUNCTION("""COMPUTED_VALUE"""),"")</f>
        <v/>
      </c>
      <c r="X3895" s="16" t="str">
        <f>IFERROR(__xludf.DUMMYFUNCTION("""COMPUTED_VALUE"""),"")</f>
        <v/>
      </c>
      <c r="AC3895" s="16" t="str">
        <f>IFERROR(__xludf.DUMMYFUNCTION("""COMPUTED_VALUE"""),"")</f>
        <v/>
      </c>
    </row>
    <row r="3896">
      <c r="A3896" s="16" t="s">
        <v>87</v>
      </c>
      <c r="E3896" s="16" t="str">
        <f>IFERROR(__xludf.DUMMYFUNCTION("""COMPUTED_VALUE"""),"")</f>
        <v/>
      </c>
      <c r="G3896" s="18"/>
      <c r="H3896" s="16" t="s">
        <v>87</v>
      </c>
      <c r="I3896" s="16" t="s">
        <v>87</v>
      </c>
      <c r="J3896" s="19"/>
      <c r="L3896" s="16" t="str">
        <f>IFERROR(__xludf.DUMMYFUNCTION("""COMPUTED_VALUE"""),"")</f>
        <v/>
      </c>
      <c r="M3896" s="16" t="str">
        <f>IFERROR(__xludf.DUMMYFUNCTION("""COMPUTED_VALUE"""),"")</f>
        <v/>
      </c>
      <c r="U3896" s="16" t="s">
        <v>87</v>
      </c>
      <c r="V3896" s="16" t="str">
        <f>IFERROR(__xludf.DUMMYFUNCTION("""COMPUTED_VALUE"""),"")</f>
        <v/>
      </c>
      <c r="W3896" s="16" t="str">
        <f>IFERROR(__xludf.DUMMYFUNCTION("""COMPUTED_VALUE"""),"")</f>
        <v/>
      </c>
      <c r="X3896" s="16" t="str">
        <f>IFERROR(__xludf.DUMMYFUNCTION("""COMPUTED_VALUE"""),"")</f>
        <v/>
      </c>
      <c r="AC3896" s="16" t="str">
        <f>IFERROR(__xludf.DUMMYFUNCTION("""COMPUTED_VALUE"""),"")</f>
        <v/>
      </c>
    </row>
    <row r="3897">
      <c r="A3897" s="16" t="s">
        <v>87</v>
      </c>
      <c r="E3897" s="16" t="str">
        <f>IFERROR(__xludf.DUMMYFUNCTION("""COMPUTED_VALUE"""),"")</f>
        <v/>
      </c>
      <c r="G3897" s="18"/>
      <c r="H3897" s="16" t="s">
        <v>87</v>
      </c>
      <c r="I3897" s="16" t="s">
        <v>87</v>
      </c>
      <c r="J3897" s="19"/>
      <c r="L3897" s="16" t="str">
        <f>IFERROR(__xludf.DUMMYFUNCTION("""COMPUTED_VALUE"""),"")</f>
        <v/>
      </c>
      <c r="M3897" s="16" t="str">
        <f>IFERROR(__xludf.DUMMYFUNCTION("""COMPUTED_VALUE"""),"")</f>
        <v/>
      </c>
      <c r="U3897" s="16" t="s">
        <v>87</v>
      </c>
      <c r="V3897" s="16" t="str">
        <f>IFERROR(__xludf.DUMMYFUNCTION("""COMPUTED_VALUE"""),"")</f>
        <v/>
      </c>
      <c r="W3897" s="16" t="str">
        <f>IFERROR(__xludf.DUMMYFUNCTION("""COMPUTED_VALUE"""),"")</f>
        <v/>
      </c>
      <c r="X3897" s="16" t="str">
        <f>IFERROR(__xludf.DUMMYFUNCTION("""COMPUTED_VALUE"""),"")</f>
        <v/>
      </c>
      <c r="AC3897" s="16" t="str">
        <f>IFERROR(__xludf.DUMMYFUNCTION("""COMPUTED_VALUE"""),"")</f>
        <v/>
      </c>
    </row>
    <row r="3898">
      <c r="A3898" s="16" t="s">
        <v>87</v>
      </c>
      <c r="E3898" s="16" t="str">
        <f>IFERROR(__xludf.DUMMYFUNCTION("""COMPUTED_VALUE"""),"")</f>
        <v/>
      </c>
      <c r="G3898" s="18"/>
      <c r="H3898" s="16" t="s">
        <v>87</v>
      </c>
      <c r="I3898" s="16" t="s">
        <v>87</v>
      </c>
      <c r="J3898" s="19"/>
      <c r="L3898" s="16" t="str">
        <f>IFERROR(__xludf.DUMMYFUNCTION("""COMPUTED_VALUE"""),"")</f>
        <v/>
      </c>
      <c r="M3898" s="16" t="str">
        <f>IFERROR(__xludf.DUMMYFUNCTION("""COMPUTED_VALUE"""),"")</f>
        <v/>
      </c>
      <c r="U3898" s="16" t="s">
        <v>87</v>
      </c>
      <c r="V3898" s="16" t="str">
        <f>IFERROR(__xludf.DUMMYFUNCTION("""COMPUTED_VALUE"""),"")</f>
        <v/>
      </c>
      <c r="W3898" s="16" t="str">
        <f>IFERROR(__xludf.DUMMYFUNCTION("""COMPUTED_VALUE"""),"")</f>
        <v/>
      </c>
      <c r="X3898" s="16" t="str">
        <f>IFERROR(__xludf.DUMMYFUNCTION("""COMPUTED_VALUE"""),"")</f>
        <v/>
      </c>
      <c r="AC3898" s="16" t="str">
        <f>IFERROR(__xludf.DUMMYFUNCTION("""COMPUTED_VALUE"""),"")</f>
        <v/>
      </c>
    </row>
    <row r="3899">
      <c r="A3899" s="16" t="s">
        <v>87</v>
      </c>
      <c r="E3899" s="16" t="str">
        <f>IFERROR(__xludf.DUMMYFUNCTION("""COMPUTED_VALUE"""),"")</f>
        <v/>
      </c>
      <c r="G3899" s="18"/>
      <c r="H3899" s="16" t="s">
        <v>87</v>
      </c>
      <c r="I3899" s="16" t="s">
        <v>87</v>
      </c>
      <c r="J3899" s="19"/>
      <c r="L3899" s="16" t="str">
        <f>IFERROR(__xludf.DUMMYFUNCTION("""COMPUTED_VALUE"""),"")</f>
        <v/>
      </c>
      <c r="M3899" s="16" t="str">
        <f>IFERROR(__xludf.DUMMYFUNCTION("""COMPUTED_VALUE"""),"")</f>
        <v/>
      </c>
      <c r="U3899" s="16" t="s">
        <v>87</v>
      </c>
      <c r="V3899" s="16" t="str">
        <f>IFERROR(__xludf.DUMMYFUNCTION("""COMPUTED_VALUE"""),"")</f>
        <v/>
      </c>
      <c r="W3899" s="16" t="str">
        <f>IFERROR(__xludf.DUMMYFUNCTION("""COMPUTED_VALUE"""),"")</f>
        <v/>
      </c>
      <c r="X3899" s="16" t="str">
        <f>IFERROR(__xludf.DUMMYFUNCTION("""COMPUTED_VALUE"""),"")</f>
        <v/>
      </c>
      <c r="AC3899" s="16" t="str">
        <f>IFERROR(__xludf.DUMMYFUNCTION("""COMPUTED_VALUE"""),"")</f>
        <v/>
      </c>
    </row>
    <row r="3900">
      <c r="A3900" s="16" t="s">
        <v>87</v>
      </c>
      <c r="E3900" s="16" t="str">
        <f>IFERROR(__xludf.DUMMYFUNCTION("""COMPUTED_VALUE"""),"")</f>
        <v/>
      </c>
      <c r="G3900" s="18"/>
      <c r="H3900" s="16" t="s">
        <v>87</v>
      </c>
      <c r="I3900" s="16" t="s">
        <v>87</v>
      </c>
      <c r="J3900" s="19"/>
      <c r="L3900" s="16" t="str">
        <f>IFERROR(__xludf.DUMMYFUNCTION("""COMPUTED_VALUE"""),"")</f>
        <v/>
      </c>
      <c r="M3900" s="16" t="str">
        <f>IFERROR(__xludf.DUMMYFUNCTION("""COMPUTED_VALUE"""),"")</f>
        <v/>
      </c>
      <c r="U3900" s="16" t="s">
        <v>87</v>
      </c>
      <c r="V3900" s="16" t="str">
        <f>IFERROR(__xludf.DUMMYFUNCTION("""COMPUTED_VALUE"""),"")</f>
        <v/>
      </c>
      <c r="W3900" s="16" t="str">
        <f>IFERROR(__xludf.DUMMYFUNCTION("""COMPUTED_VALUE"""),"")</f>
        <v/>
      </c>
      <c r="X3900" s="16" t="str">
        <f>IFERROR(__xludf.DUMMYFUNCTION("""COMPUTED_VALUE"""),"")</f>
        <v/>
      </c>
      <c r="AC3900" s="16" t="str">
        <f>IFERROR(__xludf.DUMMYFUNCTION("""COMPUTED_VALUE"""),"")</f>
        <v/>
      </c>
    </row>
    <row r="3901">
      <c r="A3901" s="16" t="s">
        <v>87</v>
      </c>
      <c r="E3901" s="16" t="str">
        <f>IFERROR(__xludf.DUMMYFUNCTION("""COMPUTED_VALUE"""),"")</f>
        <v/>
      </c>
      <c r="G3901" s="18"/>
      <c r="H3901" s="16" t="s">
        <v>87</v>
      </c>
      <c r="I3901" s="16" t="s">
        <v>87</v>
      </c>
      <c r="J3901" s="19"/>
      <c r="L3901" s="16" t="str">
        <f>IFERROR(__xludf.DUMMYFUNCTION("""COMPUTED_VALUE"""),"")</f>
        <v/>
      </c>
      <c r="M3901" s="16" t="str">
        <f>IFERROR(__xludf.DUMMYFUNCTION("""COMPUTED_VALUE"""),"")</f>
        <v/>
      </c>
      <c r="U3901" s="16" t="s">
        <v>87</v>
      </c>
      <c r="V3901" s="16" t="str">
        <f>IFERROR(__xludf.DUMMYFUNCTION("""COMPUTED_VALUE"""),"")</f>
        <v/>
      </c>
      <c r="W3901" s="16" t="str">
        <f>IFERROR(__xludf.DUMMYFUNCTION("""COMPUTED_VALUE"""),"")</f>
        <v/>
      </c>
      <c r="X3901" s="16" t="str">
        <f>IFERROR(__xludf.DUMMYFUNCTION("""COMPUTED_VALUE"""),"")</f>
        <v/>
      </c>
      <c r="AC3901" s="16" t="str">
        <f>IFERROR(__xludf.DUMMYFUNCTION("""COMPUTED_VALUE"""),"")</f>
        <v/>
      </c>
    </row>
    <row r="3902">
      <c r="A3902" s="16" t="s">
        <v>87</v>
      </c>
      <c r="E3902" s="16" t="str">
        <f>IFERROR(__xludf.DUMMYFUNCTION("""COMPUTED_VALUE"""),"")</f>
        <v/>
      </c>
      <c r="G3902" s="18"/>
      <c r="H3902" s="16" t="s">
        <v>87</v>
      </c>
      <c r="I3902" s="16" t="s">
        <v>87</v>
      </c>
      <c r="J3902" s="19"/>
      <c r="L3902" s="16" t="str">
        <f>IFERROR(__xludf.DUMMYFUNCTION("""COMPUTED_VALUE"""),"")</f>
        <v/>
      </c>
      <c r="M3902" s="16" t="str">
        <f>IFERROR(__xludf.DUMMYFUNCTION("""COMPUTED_VALUE"""),"")</f>
        <v/>
      </c>
      <c r="U3902" s="16" t="s">
        <v>87</v>
      </c>
      <c r="V3902" s="16" t="str">
        <f>IFERROR(__xludf.DUMMYFUNCTION("""COMPUTED_VALUE"""),"")</f>
        <v/>
      </c>
      <c r="W3902" s="16" t="str">
        <f>IFERROR(__xludf.DUMMYFUNCTION("""COMPUTED_VALUE"""),"")</f>
        <v/>
      </c>
      <c r="X3902" s="16" t="str">
        <f>IFERROR(__xludf.DUMMYFUNCTION("""COMPUTED_VALUE"""),"")</f>
        <v/>
      </c>
      <c r="AC3902" s="16" t="str">
        <f>IFERROR(__xludf.DUMMYFUNCTION("""COMPUTED_VALUE"""),"")</f>
        <v/>
      </c>
    </row>
    <row r="3903">
      <c r="A3903" s="16" t="s">
        <v>87</v>
      </c>
      <c r="E3903" s="16" t="str">
        <f>IFERROR(__xludf.DUMMYFUNCTION("""COMPUTED_VALUE"""),"")</f>
        <v/>
      </c>
      <c r="G3903" s="18"/>
      <c r="H3903" s="16" t="s">
        <v>87</v>
      </c>
      <c r="I3903" s="16" t="s">
        <v>87</v>
      </c>
      <c r="J3903" s="19"/>
      <c r="L3903" s="16" t="str">
        <f>IFERROR(__xludf.DUMMYFUNCTION("""COMPUTED_VALUE"""),"")</f>
        <v/>
      </c>
      <c r="M3903" s="16" t="str">
        <f>IFERROR(__xludf.DUMMYFUNCTION("""COMPUTED_VALUE"""),"")</f>
        <v/>
      </c>
      <c r="U3903" s="16" t="s">
        <v>87</v>
      </c>
      <c r="V3903" s="16" t="str">
        <f>IFERROR(__xludf.DUMMYFUNCTION("""COMPUTED_VALUE"""),"")</f>
        <v/>
      </c>
      <c r="W3903" s="16" t="str">
        <f>IFERROR(__xludf.DUMMYFUNCTION("""COMPUTED_VALUE"""),"")</f>
        <v/>
      </c>
      <c r="X3903" s="16" t="str">
        <f>IFERROR(__xludf.DUMMYFUNCTION("""COMPUTED_VALUE"""),"")</f>
        <v/>
      </c>
      <c r="AC3903" s="16" t="str">
        <f>IFERROR(__xludf.DUMMYFUNCTION("""COMPUTED_VALUE"""),"")</f>
        <v/>
      </c>
    </row>
    <row r="3904">
      <c r="A3904" s="16" t="s">
        <v>87</v>
      </c>
      <c r="E3904" s="16" t="str">
        <f>IFERROR(__xludf.DUMMYFUNCTION("""COMPUTED_VALUE"""),"")</f>
        <v/>
      </c>
      <c r="G3904" s="18"/>
      <c r="H3904" s="16" t="s">
        <v>87</v>
      </c>
      <c r="I3904" s="16" t="s">
        <v>87</v>
      </c>
      <c r="J3904" s="19"/>
      <c r="L3904" s="16" t="str">
        <f>IFERROR(__xludf.DUMMYFUNCTION("""COMPUTED_VALUE"""),"")</f>
        <v/>
      </c>
      <c r="M3904" s="16" t="str">
        <f>IFERROR(__xludf.DUMMYFUNCTION("""COMPUTED_VALUE"""),"")</f>
        <v/>
      </c>
      <c r="U3904" s="16" t="s">
        <v>87</v>
      </c>
      <c r="V3904" s="16" t="str">
        <f>IFERROR(__xludf.DUMMYFUNCTION("""COMPUTED_VALUE"""),"")</f>
        <v/>
      </c>
      <c r="W3904" s="16" t="str">
        <f>IFERROR(__xludf.DUMMYFUNCTION("""COMPUTED_VALUE"""),"")</f>
        <v/>
      </c>
      <c r="X3904" s="16" t="str">
        <f>IFERROR(__xludf.DUMMYFUNCTION("""COMPUTED_VALUE"""),"")</f>
        <v/>
      </c>
      <c r="AC3904" s="16" t="str">
        <f>IFERROR(__xludf.DUMMYFUNCTION("""COMPUTED_VALUE"""),"")</f>
        <v/>
      </c>
    </row>
    <row r="3905">
      <c r="A3905" s="16" t="s">
        <v>87</v>
      </c>
      <c r="E3905" s="16" t="str">
        <f>IFERROR(__xludf.DUMMYFUNCTION("""COMPUTED_VALUE"""),"")</f>
        <v/>
      </c>
      <c r="G3905" s="18"/>
      <c r="H3905" s="16" t="s">
        <v>87</v>
      </c>
      <c r="I3905" s="16" t="s">
        <v>87</v>
      </c>
      <c r="J3905" s="19"/>
      <c r="L3905" s="16" t="str">
        <f>IFERROR(__xludf.DUMMYFUNCTION("""COMPUTED_VALUE"""),"")</f>
        <v/>
      </c>
      <c r="M3905" s="16" t="str">
        <f>IFERROR(__xludf.DUMMYFUNCTION("""COMPUTED_VALUE"""),"")</f>
        <v/>
      </c>
      <c r="U3905" s="16" t="s">
        <v>87</v>
      </c>
      <c r="V3905" s="16" t="str">
        <f>IFERROR(__xludf.DUMMYFUNCTION("""COMPUTED_VALUE"""),"")</f>
        <v/>
      </c>
      <c r="W3905" s="16" t="str">
        <f>IFERROR(__xludf.DUMMYFUNCTION("""COMPUTED_VALUE"""),"")</f>
        <v/>
      </c>
      <c r="X3905" s="16" t="str">
        <f>IFERROR(__xludf.DUMMYFUNCTION("""COMPUTED_VALUE"""),"")</f>
        <v/>
      </c>
      <c r="AC3905" s="16" t="str">
        <f>IFERROR(__xludf.DUMMYFUNCTION("""COMPUTED_VALUE"""),"")</f>
        <v/>
      </c>
    </row>
    <row r="3906">
      <c r="A3906" s="16" t="s">
        <v>87</v>
      </c>
      <c r="E3906" s="16" t="str">
        <f>IFERROR(__xludf.DUMMYFUNCTION("""COMPUTED_VALUE"""),"")</f>
        <v/>
      </c>
      <c r="G3906" s="18"/>
      <c r="H3906" s="16" t="s">
        <v>87</v>
      </c>
      <c r="I3906" s="16" t="s">
        <v>87</v>
      </c>
      <c r="J3906" s="19"/>
      <c r="L3906" s="16" t="str">
        <f>IFERROR(__xludf.DUMMYFUNCTION("""COMPUTED_VALUE"""),"")</f>
        <v/>
      </c>
      <c r="M3906" s="16" t="str">
        <f>IFERROR(__xludf.DUMMYFUNCTION("""COMPUTED_VALUE"""),"")</f>
        <v/>
      </c>
      <c r="U3906" s="16" t="s">
        <v>87</v>
      </c>
      <c r="V3906" s="16" t="str">
        <f>IFERROR(__xludf.DUMMYFUNCTION("""COMPUTED_VALUE"""),"")</f>
        <v/>
      </c>
      <c r="W3906" s="16" t="str">
        <f>IFERROR(__xludf.DUMMYFUNCTION("""COMPUTED_VALUE"""),"")</f>
        <v/>
      </c>
      <c r="X3906" s="16" t="str">
        <f>IFERROR(__xludf.DUMMYFUNCTION("""COMPUTED_VALUE"""),"")</f>
        <v/>
      </c>
      <c r="AC3906" s="16" t="str">
        <f>IFERROR(__xludf.DUMMYFUNCTION("""COMPUTED_VALUE"""),"")</f>
        <v/>
      </c>
    </row>
    <row r="3907">
      <c r="A3907" s="16" t="s">
        <v>87</v>
      </c>
      <c r="E3907" s="16" t="str">
        <f>IFERROR(__xludf.DUMMYFUNCTION("""COMPUTED_VALUE"""),"")</f>
        <v/>
      </c>
      <c r="G3907" s="18"/>
      <c r="H3907" s="16" t="s">
        <v>87</v>
      </c>
      <c r="I3907" s="16" t="s">
        <v>87</v>
      </c>
      <c r="J3907" s="19"/>
      <c r="L3907" s="16" t="str">
        <f>IFERROR(__xludf.DUMMYFUNCTION("""COMPUTED_VALUE"""),"")</f>
        <v/>
      </c>
      <c r="M3907" s="16" t="str">
        <f>IFERROR(__xludf.DUMMYFUNCTION("""COMPUTED_VALUE"""),"")</f>
        <v/>
      </c>
      <c r="U3907" s="16" t="s">
        <v>87</v>
      </c>
      <c r="V3907" s="16" t="str">
        <f>IFERROR(__xludf.DUMMYFUNCTION("""COMPUTED_VALUE"""),"")</f>
        <v/>
      </c>
      <c r="W3907" s="16" t="str">
        <f>IFERROR(__xludf.DUMMYFUNCTION("""COMPUTED_VALUE"""),"")</f>
        <v/>
      </c>
      <c r="X3907" s="16" t="str">
        <f>IFERROR(__xludf.DUMMYFUNCTION("""COMPUTED_VALUE"""),"")</f>
        <v/>
      </c>
      <c r="AC3907" s="16" t="str">
        <f>IFERROR(__xludf.DUMMYFUNCTION("""COMPUTED_VALUE"""),"")</f>
        <v/>
      </c>
    </row>
    <row r="3908">
      <c r="A3908" s="16" t="s">
        <v>87</v>
      </c>
      <c r="E3908" s="16" t="str">
        <f>IFERROR(__xludf.DUMMYFUNCTION("""COMPUTED_VALUE"""),"")</f>
        <v/>
      </c>
      <c r="G3908" s="18"/>
      <c r="H3908" s="16" t="s">
        <v>87</v>
      </c>
      <c r="I3908" s="16" t="s">
        <v>87</v>
      </c>
      <c r="J3908" s="19"/>
      <c r="L3908" s="16" t="str">
        <f>IFERROR(__xludf.DUMMYFUNCTION("""COMPUTED_VALUE"""),"")</f>
        <v/>
      </c>
      <c r="M3908" s="16" t="str">
        <f>IFERROR(__xludf.DUMMYFUNCTION("""COMPUTED_VALUE"""),"")</f>
        <v/>
      </c>
      <c r="U3908" s="16" t="s">
        <v>87</v>
      </c>
      <c r="V3908" s="16" t="str">
        <f>IFERROR(__xludf.DUMMYFUNCTION("""COMPUTED_VALUE"""),"")</f>
        <v/>
      </c>
      <c r="W3908" s="16" t="str">
        <f>IFERROR(__xludf.DUMMYFUNCTION("""COMPUTED_VALUE"""),"")</f>
        <v/>
      </c>
      <c r="X3908" s="16" t="str">
        <f>IFERROR(__xludf.DUMMYFUNCTION("""COMPUTED_VALUE"""),"")</f>
        <v/>
      </c>
      <c r="AC3908" s="16" t="str">
        <f>IFERROR(__xludf.DUMMYFUNCTION("""COMPUTED_VALUE"""),"")</f>
        <v/>
      </c>
    </row>
    <row r="3909">
      <c r="A3909" s="16" t="s">
        <v>87</v>
      </c>
      <c r="E3909" s="16" t="str">
        <f>IFERROR(__xludf.DUMMYFUNCTION("""COMPUTED_VALUE"""),"")</f>
        <v/>
      </c>
      <c r="G3909" s="18"/>
      <c r="H3909" s="16" t="s">
        <v>87</v>
      </c>
      <c r="I3909" s="16" t="s">
        <v>87</v>
      </c>
      <c r="J3909" s="19"/>
      <c r="L3909" s="16" t="str">
        <f>IFERROR(__xludf.DUMMYFUNCTION("""COMPUTED_VALUE"""),"")</f>
        <v/>
      </c>
      <c r="M3909" s="16" t="str">
        <f>IFERROR(__xludf.DUMMYFUNCTION("""COMPUTED_VALUE"""),"")</f>
        <v/>
      </c>
      <c r="U3909" s="16" t="s">
        <v>87</v>
      </c>
      <c r="V3909" s="16" t="str">
        <f>IFERROR(__xludf.DUMMYFUNCTION("""COMPUTED_VALUE"""),"")</f>
        <v/>
      </c>
      <c r="W3909" s="16" t="str">
        <f>IFERROR(__xludf.DUMMYFUNCTION("""COMPUTED_VALUE"""),"")</f>
        <v/>
      </c>
      <c r="X3909" s="16" t="str">
        <f>IFERROR(__xludf.DUMMYFUNCTION("""COMPUTED_VALUE"""),"")</f>
        <v/>
      </c>
      <c r="AC3909" s="16" t="str">
        <f>IFERROR(__xludf.DUMMYFUNCTION("""COMPUTED_VALUE"""),"")</f>
        <v/>
      </c>
    </row>
    <row r="3910">
      <c r="A3910" s="16" t="s">
        <v>87</v>
      </c>
      <c r="E3910" s="16" t="str">
        <f>IFERROR(__xludf.DUMMYFUNCTION("""COMPUTED_VALUE"""),"")</f>
        <v/>
      </c>
      <c r="G3910" s="18"/>
      <c r="H3910" s="16" t="s">
        <v>87</v>
      </c>
      <c r="I3910" s="16" t="s">
        <v>87</v>
      </c>
      <c r="J3910" s="19"/>
      <c r="L3910" s="16" t="str">
        <f>IFERROR(__xludf.DUMMYFUNCTION("""COMPUTED_VALUE"""),"")</f>
        <v/>
      </c>
      <c r="M3910" s="16" t="str">
        <f>IFERROR(__xludf.DUMMYFUNCTION("""COMPUTED_VALUE"""),"")</f>
        <v/>
      </c>
      <c r="U3910" s="16" t="s">
        <v>87</v>
      </c>
      <c r="V3910" s="16" t="str">
        <f>IFERROR(__xludf.DUMMYFUNCTION("""COMPUTED_VALUE"""),"")</f>
        <v/>
      </c>
      <c r="W3910" s="16" t="str">
        <f>IFERROR(__xludf.DUMMYFUNCTION("""COMPUTED_VALUE"""),"")</f>
        <v/>
      </c>
      <c r="X3910" s="16" t="str">
        <f>IFERROR(__xludf.DUMMYFUNCTION("""COMPUTED_VALUE"""),"")</f>
        <v/>
      </c>
      <c r="AC3910" s="16" t="str">
        <f>IFERROR(__xludf.DUMMYFUNCTION("""COMPUTED_VALUE"""),"")</f>
        <v/>
      </c>
    </row>
    <row r="3911">
      <c r="A3911" s="16" t="s">
        <v>87</v>
      </c>
      <c r="E3911" s="16" t="str">
        <f>IFERROR(__xludf.DUMMYFUNCTION("""COMPUTED_VALUE"""),"")</f>
        <v/>
      </c>
      <c r="G3911" s="18"/>
      <c r="H3911" s="16" t="s">
        <v>87</v>
      </c>
      <c r="I3911" s="16" t="s">
        <v>87</v>
      </c>
      <c r="J3911" s="19"/>
      <c r="L3911" s="16" t="str">
        <f>IFERROR(__xludf.DUMMYFUNCTION("""COMPUTED_VALUE"""),"")</f>
        <v/>
      </c>
      <c r="M3911" s="16" t="str">
        <f>IFERROR(__xludf.DUMMYFUNCTION("""COMPUTED_VALUE"""),"")</f>
        <v/>
      </c>
      <c r="U3911" s="16" t="s">
        <v>87</v>
      </c>
      <c r="V3911" s="16" t="str">
        <f>IFERROR(__xludf.DUMMYFUNCTION("""COMPUTED_VALUE"""),"")</f>
        <v/>
      </c>
      <c r="W3911" s="16" t="str">
        <f>IFERROR(__xludf.DUMMYFUNCTION("""COMPUTED_VALUE"""),"")</f>
        <v/>
      </c>
      <c r="X3911" s="16" t="str">
        <f>IFERROR(__xludf.DUMMYFUNCTION("""COMPUTED_VALUE"""),"")</f>
        <v/>
      </c>
      <c r="AC3911" s="16" t="str">
        <f>IFERROR(__xludf.DUMMYFUNCTION("""COMPUTED_VALUE"""),"")</f>
        <v/>
      </c>
    </row>
    <row r="3912">
      <c r="A3912" s="16" t="s">
        <v>87</v>
      </c>
      <c r="E3912" s="16" t="str">
        <f>IFERROR(__xludf.DUMMYFUNCTION("""COMPUTED_VALUE"""),"")</f>
        <v/>
      </c>
      <c r="G3912" s="18"/>
      <c r="H3912" s="16" t="s">
        <v>87</v>
      </c>
      <c r="I3912" s="16" t="s">
        <v>87</v>
      </c>
      <c r="J3912" s="19"/>
      <c r="L3912" s="16" t="str">
        <f>IFERROR(__xludf.DUMMYFUNCTION("""COMPUTED_VALUE"""),"")</f>
        <v/>
      </c>
      <c r="M3912" s="16" t="str">
        <f>IFERROR(__xludf.DUMMYFUNCTION("""COMPUTED_VALUE"""),"")</f>
        <v/>
      </c>
      <c r="U3912" s="16" t="s">
        <v>87</v>
      </c>
      <c r="V3912" s="16" t="str">
        <f>IFERROR(__xludf.DUMMYFUNCTION("""COMPUTED_VALUE"""),"")</f>
        <v/>
      </c>
      <c r="W3912" s="16" t="str">
        <f>IFERROR(__xludf.DUMMYFUNCTION("""COMPUTED_VALUE"""),"")</f>
        <v/>
      </c>
      <c r="X3912" s="16" t="str">
        <f>IFERROR(__xludf.DUMMYFUNCTION("""COMPUTED_VALUE"""),"")</f>
        <v/>
      </c>
      <c r="AC3912" s="16" t="str">
        <f>IFERROR(__xludf.DUMMYFUNCTION("""COMPUTED_VALUE"""),"")</f>
        <v/>
      </c>
    </row>
    <row r="3913">
      <c r="A3913" s="16" t="s">
        <v>87</v>
      </c>
      <c r="E3913" s="16" t="str">
        <f>IFERROR(__xludf.DUMMYFUNCTION("""COMPUTED_VALUE"""),"")</f>
        <v/>
      </c>
      <c r="G3913" s="18"/>
      <c r="H3913" s="16" t="s">
        <v>87</v>
      </c>
      <c r="I3913" s="16" t="s">
        <v>87</v>
      </c>
      <c r="J3913" s="19"/>
      <c r="L3913" s="16" t="str">
        <f>IFERROR(__xludf.DUMMYFUNCTION("""COMPUTED_VALUE"""),"")</f>
        <v/>
      </c>
      <c r="M3913" s="16" t="str">
        <f>IFERROR(__xludf.DUMMYFUNCTION("""COMPUTED_VALUE"""),"")</f>
        <v/>
      </c>
      <c r="U3913" s="16" t="s">
        <v>87</v>
      </c>
      <c r="V3913" s="16" t="str">
        <f>IFERROR(__xludf.DUMMYFUNCTION("""COMPUTED_VALUE"""),"")</f>
        <v/>
      </c>
      <c r="W3913" s="16" t="str">
        <f>IFERROR(__xludf.DUMMYFUNCTION("""COMPUTED_VALUE"""),"")</f>
        <v/>
      </c>
      <c r="X3913" s="16" t="str">
        <f>IFERROR(__xludf.DUMMYFUNCTION("""COMPUTED_VALUE"""),"")</f>
        <v/>
      </c>
      <c r="AC3913" s="16" t="str">
        <f>IFERROR(__xludf.DUMMYFUNCTION("""COMPUTED_VALUE"""),"")</f>
        <v/>
      </c>
    </row>
    <row r="3914">
      <c r="A3914" s="16" t="s">
        <v>87</v>
      </c>
      <c r="E3914" s="16" t="str">
        <f>IFERROR(__xludf.DUMMYFUNCTION("""COMPUTED_VALUE"""),"")</f>
        <v/>
      </c>
      <c r="G3914" s="18"/>
      <c r="H3914" s="16" t="s">
        <v>87</v>
      </c>
      <c r="I3914" s="16" t="s">
        <v>87</v>
      </c>
      <c r="J3914" s="19"/>
      <c r="L3914" s="16" t="str">
        <f>IFERROR(__xludf.DUMMYFUNCTION("""COMPUTED_VALUE"""),"")</f>
        <v/>
      </c>
      <c r="M3914" s="16" t="str">
        <f>IFERROR(__xludf.DUMMYFUNCTION("""COMPUTED_VALUE"""),"")</f>
        <v/>
      </c>
      <c r="U3914" s="16" t="s">
        <v>87</v>
      </c>
      <c r="V3914" s="16" t="str">
        <f>IFERROR(__xludf.DUMMYFUNCTION("""COMPUTED_VALUE"""),"")</f>
        <v/>
      </c>
      <c r="W3914" s="16" t="str">
        <f>IFERROR(__xludf.DUMMYFUNCTION("""COMPUTED_VALUE"""),"")</f>
        <v/>
      </c>
      <c r="X3914" s="16" t="str">
        <f>IFERROR(__xludf.DUMMYFUNCTION("""COMPUTED_VALUE"""),"")</f>
        <v/>
      </c>
      <c r="AC3914" s="16" t="str">
        <f>IFERROR(__xludf.DUMMYFUNCTION("""COMPUTED_VALUE"""),"")</f>
        <v/>
      </c>
    </row>
    <row r="3915">
      <c r="A3915" s="16" t="s">
        <v>87</v>
      </c>
      <c r="E3915" s="16" t="str">
        <f>IFERROR(__xludf.DUMMYFUNCTION("""COMPUTED_VALUE"""),"")</f>
        <v/>
      </c>
      <c r="G3915" s="18"/>
      <c r="H3915" s="16" t="s">
        <v>87</v>
      </c>
      <c r="I3915" s="16" t="s">
        <v>87</v>
      </c>
      <c r="J3915" s="19"/>
      <c r="L3915" s="16" t="str">
        <f>IFERROR(__xludf.DUMMYFUNCTION("""COMPUTED_VALUE"""),"")</f>
        <v/>
      </c>
      <c r="M3915" s="16" t="str">
        <f>IFERROR(__xludf.DUMMYFUNCTION("""COMPUTED_VALUE"""),"")</f>
        <v/>
      </c>
      <c r="U3915" s="16" t="s">
        <v>87</v>
      </c>
      <c r="V3915" s="16" t="str">
        <f>IFERROR(__xludf.DUMMYFUNCTION("""COMPUTED_VALUE"""),"")</f>
        <v/>
      </c>
      <c r="W3915" s="16" t="str">
        <f>IFERROR(__xludf.DUMMYFUNCTION("""COMPUTED_VALUE"""),"")</f>
        <v/>
      </c>
      <c r="X3915" s="16" t="str">
        <f>IFERROR(__xludf.DUMMYFUNCTION("""COMPUTED_VALUE"""),"")</f>
        <v/>
      </c>
      <c r="AC3915" s="16" t="str">
        <f>IFERROR(__xludf.DUMMYFUNCTION("""COMPUTED_VALUE"""),"")</f>
        <v/>
      </c>
    </row>
    <row r="3916">
      <c r="A3916" s="16" t="s">
        <v>87</v>
      </c>
      <c r="E3916" s="16" t="str">
        <f>IFERROR(__xludf.DUMMYFUNCTION("""COMPUTED_VALUE"""),"")</f>
        <v/>
      </c>
      <c r="G3916" s="18"/>
      <c r="H3916" s="16" t="s">
        <v>87</v>
      </c>
      <c r="I3916" s="16" t="s">
        <v>87</v>
      </c>
      <c r="J3916" s="19"/>
      <c r="L3916" s="16" t="str">
        <f>IFERROR(__xludf.DUMMYFUNCTION("""COMPUTED_VALUE"""),"")</f>
        <v/>
      </c>
      <c r="M3916" s="16" t="str">
        <f>IFERROR(__xludf.DUMMYFUNCTION("""COMPUTED_VALUE"""),"")</f>
        <v/>
      </c>
      <c r="U3916" s="16" t="s">
        <v>87</v>
      </c>
      <c r="V3916" s="16" t="str">
        <f>IFERROR(__xludf.DUMMYFUNCTION("""COMPUTED_VALUE"""),"")</f>
        <v/>
      </c>
      <c r="W3916" s="16" t="str">
        <f>IFERROR(__xludf.DUMMYFUNCTION("""COMPUTED_VALUE"""),"")</f>
        <v/>
      </c>
      <c r="X3916" s="16" t="str">
        <f>IFERROR(__xludf.DUMMYFUNCTION("""COMPUTED_VALUE"""),"")</f>
        <v/>
      </c>
      <c r="AC3916" s="16" t="str">
        <f>IFERROR(__xludf.DUMMYFUNCTION("""COMPUTED_VALUE"""),"")</f>
        <v/>
      </c>
    </row>
    <row r="3917">
      <c r="A3917" s="16" t="s">
        <v>87</v>
      </c>
      <c r="E3917" s="16" t="str">
        <f>IFERROR(__xludf.DUMMYFUNCTION("""COMPUTED_VALUE"""),"")</f>
        <v/>
      </c>
      <c r="G3917" s="18"/>
      <c r="H3917" s="16" t="s">
        <v>87</v>
      </c>
      <c r="I3917" s="16" t="s">
        <v>87</v>
      </c>
      <c r="J3917" s="19"/>
      <c r="L3917" s="16" t="str">
        <f>IFERROR(__xludf.DUMMYFUNCTION("""COMPUTED_VALUE"""),"")</f>
        <v/>
      </c>
      <c r="M3917" s="16" t="str">
        <f>IFERROR(__xludf.DUMMYFUNCTION("""COMPUTED_VALUE"""),"")</f>
        <v/>
      </c>
      <c r="U3917" s="16" t="s">
        <v>87</v>
      </c>
      <c r="V3917" s="16" t="str">
        <f>IFERROR(__xludf.DUMMYFUNCTION("""COMPUTED_VALUE"""),"")</f>
        <v/>
      </c>
      <c r="W3917" s="16" t="str">
        <f>IFERROR(__xludf.DUMMYFUNCTION("""COMPUTED_VALUE"""),"")</f>
        <v/>
      </c>
      <c r="X3917" s="16" t="str">
        <f>IFERROR(__xludf.DUMMYFUNCTION("""COMPUTED_VALUE"""),"")</f>
        <v/>
      </c>
      <c r="AC3917" s="16" t="str">
        <f>IFERROR(__xludf.DUMMYFUNCTION("""COMPUTED_VALUE"""),"")</f>
        <v/>
      </c>
    </row>
    <row r="3918">
      <c r="A3918" s="16" t="s">
        <v>87</v>
      </c>
      <c r="E3918" s="16" t="str">
        <f>IFERROR(__xludf.DUMMYFUNCTION("""COMPUTED_VALUE"""),"")</f>
        <v/>
      </c>
      <c r="G3918" s="18"/>
      <c r="H3918" s="16" t="s">
        <v>87</v>
      </c>
      <c r="I3918" s="16" t="s">
        <v>87</v>
      </c>
      <c r="J3918" s="19"/>
      <c r="L3918" s="16" t="str">
        <f>IFERROR(__xludf.DUMMYFUNCTION("""COMPUTED_VALUE"""),"")</f>
        <v/>
      </c>
      <c r="M3918" s="16" t="str">
        <f>IFERROR(__xludf.DUMMYFUNCTION("""COMPUTED_VALUE"""),"")</f>
        <v/>
      </c>
      <c r="U3918" s="16" t="s">
        <v>87</v>
      </c>
      <c r="V3918" s="16" t="str">
        <f>IFERROR(__xludf.DUMMYFUNCTION("""COMPUTED_VALUE"""),"")</f>
        <v/>
      </c>
      <c r="W3918" s="16" t="str">
        <f>IFERROR(__xludf.DUMMYFUNCTION("""COMPUTED_VALUE"""),"")</f>
        <v/>
      </c>
      <c r="X3918" s="16" t="str">
        <f>IFERROR(__xludf.DUMMYFUNCTION("""COMPUTED_VALUE"""),"")</f>
        <v/>
      </c>
      <c r="AC3918" s="16" t="str">
        <f>IFERROR(__xludf.DUMMYFUNCTION("""COMPUTED_VALUE"""),"")</f>
        <v/>
      </c>
    </row>
    <row r="3919">
      <c r="A3919" s="16" t="s">
        <v>87</v>
      </c>
      <c r="E3919" s="16" t="str">
        <f>IFERROR(__xludf.DUMMYFUNCTION("""COMPUTED_VALUE"""),"")</f>
        <v/>
      </c>
      <c r="G3919" s="18"/>
      <c r="H3919" s="16" t="s">
        <v>87</v>
      </c>
      <c r="I3919" s="16" t="s">
        <v>87</v>
      </c>
      <c r="J3919" s="19"/>
      <c r="L3919" s="16" t="str">
        <f>IFERROR(__xludf.DUMMYFUNCTION("""COMPUTED_VALUE"""),"")</f>
        <v/>
      </c>
      <c r="M3919" s="16" t="str">
        <f>IFERROR(__xludf.DUMMYFUNCTION("""COMPUTED_VALUE"""),"")</f>
        <v/>
      </c>
      <c r="U3919" s="16" t="s">
        <v>87</v>
      </c>
      <c r="V3919" s="16" t="str">
        <f>IFERROR(__xludf.DUMMYFUNCTION("""COMPUTED_VALUE"""),"")</f>
        <v/>
      </c>
      <c r="W3919" s="16" t="str">
        <f>IFERROR(__xludf.DUMMYFUNCTION("""COMPUTED_VALUE"""),"")</f>
        <v/>
      </c>
      <c r="X3919" s="16" t="str">
        <f>IFERROR(__xludf.DUMMYFUNCTION("""COMPUTED_VALUE"""),"")</f>
        <v/>
      </c>
      <c r="AC3919" s="16" t="str">
        <f>IFERROR(__xludf.DUMMYFUNCTION("""COMPUTED_VALUE"""),"")</f>
        <v/>
      </c>
    </row>
    <row r="3920">
      <c r="A3920" s="16" t="s">
        <v>87</v>
      </c>
      <c r="E3920" s="16" t="str">
        <f>IFERROR(__xludf.DUMMYFUNCTION("""COMPUTED_VALUE"""),"")</f>
        <v/>
      </c>
      <c r="G3920" s="18"/>
      <c r="H3920" s="16" t="s">
        <v>87</v>
      </c>
      <c r="I3920" s="16" t="s">
        <v>87</v>
      </c>
      <c r="J3920" s="19"/>
      <c r="L3920" s="16" t="str">
        <f>IFERROR(__xludf.DUMMYFUNCTION("""COMPUTED_VALUE"""),"")</f>
        <v/>
      </c>
      <c r="M3920" s="16" t="str">
        <f>IFERROR(__xludf.DUMMYFUNCTION("""COMPUTED_VALUE"""),"")</f>
        <v/>
      </c>
      <c r="U3920" s="16" t="s">
        <v>87</v>
      </c>
      <c r="V3920" s="16" t="str">
        <f>IFERROR(__xludf.DUMMYFUNCTION("""COMPUTED_VALUE"""),"")</f>
        <v/>
      </c>
      <c r="W3920" s="16" t="str">
        <f>IFERROR(__xludf.DUMMYFUNCTION("""COMPUTED_VALUE"""),"")</f>
        <v/>
      </c>
      <c r="X3920" s="16" t="str">
        <f>IFERROR(__xludf.DUMMYFUNCTION("""COMPUTED_VALUE"""),"")</f>
        <v/>
      </c>
      <c r="AC3920" s="16" t="str">
        <f>IFERROR(__xludf.DUMMYFUNCTION("""COMPUTED_VALUE"""),"")</f>
        <v/>
      </c>
    </row>
    <row r="3921">
      <c r="A3921" s="16" t="s">
        <v>87</v>
      </c>
      <c r="E3921" s="16" t="str">
        <f>IFERROR(__xludf.DUMMYFUNCTION("""COMPUTED_VALUE"""),"")</f>
        <v/>
      </c>
      <c r="G3921" s="18"/>
      <c r="H3921" s="16" t="s">
        <v>87</v>
      </c>
      <c r="I3921" s="16" t="s">
        <v>87</v>
      </c>
      <c r="J3921" s="19"/>
      <c r="L3921" s="16" t="str">
        <f>IFERROR(__xludf.DUMMYFUNCTION("""COMPUTED_VALUE"""),"")</f>
        <v/>
      </c>
      <c r="M3921" s="16" t="str">
        <f>IFERROR(__xludf.DUMMYFUNCTION("""COMPUTED_VALUE"""),"")</f>
        <v/>
      </c>
      <c r="U3921" s="16" t="s">
        <v>87</v>
      </c>
      <c r="V3921" s="16" t="str">
        <f>IFERROR(__xludf.DUMMYFUNCTION("""COMPUTED_VALUE"""),"")</f>
        <v/>
      </c>
      <c r="W3921" s="16" t="str">
        <f>IFERROR(__xludf.DUMMYFUNCTION("""COMPUTED_VALUE"""),"")</f>
        <v/>
      </c>
      <c r="X3921" s="16" t="str">
        <f>IFERROR(__xludf.DUMMYFUNCTION("""COMPUTED_VALUE"""),"")</f>
        <v/>
      </c>
      <c r="AC3921" s="16" t="str">
        <f>IFERROR(__xludf.DUMMYFUNCTION("""COMPUTED_VALUE"""),"")</f>
        <v/>
      </c>
    </row>
    <row r="3922">
      <c r="A3922" s="16" t="s">
        <v>87</v>
      </c>
      <c r="E3922" s="16" t="str">
        <f>IFERROR(__xludf.DUMMYFUNCTION("""COMPUTED_VALUE"""),"")</f>
        <v/>
      </c>
      <c r="G3922" s="18"/>
      <c r="H3922" s="16" t="s">
        <v>87</v>
      </c>
      <c r="I3922" s="16" t="s">
        <v>87</v>
      </c>
      <c r="J3922" s="19"/>
      <c r="L3922" s="16" t="str">
        <f>IFERROR(__xludf.DUMMYFUNCTION("""COMPUTED_VALUE"""),"")</f>
        <v/>
      </c>
      <c r="M3922" s="16" t="str">
        <f>IFERROR(__xludf.DUMMYFUNCTION("""COMPUTED_VALUE"""),"")</f>
        <v/>
      </c>
      <c r="U3922" s="16" t="s">
        <v>87</v>
      </c>
      <c r="V3922" s="16" t="str">
        <f>IFERROR(__xludf.DUMMYFUNCTION("""COMPUTED_VALUE"""),"")</f>
        <v/>
      </c>
      <c r="W3922" s="16" t="str">
        <f>IFERROR(__xludf.DUMMYFUNCTION("""COMPUTED_VALUE"""),"")</f>
        <v/>
      </c>
      <c r="X3922" s="16" t="str">
        <f>IFERROR(__xludf.DUMMYFUNCTION("""COMPUTED_VALUE"""),"")</f>
        <v/>
      </c>
      <c r="AC3922" s="16" t="str">
        <f>IFERROR(__xludf.DUMMYFUNCTION("""COMPUTED_VALUE"""),"")</f>
        <v/>
      </c>
    </row>
    <row r="3923">
      <c r="A3923" s="16" t="s">
        <v>87</v>
      </c>
      <c r="E3923" s="16" t="str">
        <f>IFERROR(__xludf.DUMMYFUNCTION("""COMPUTED_VALUE"""),"")</f>
        <v/>
      </c>
      <c r="G3923" s="18"/>
      <c r="H3923" s="16" t="s">
        <v>87</v>
      </c>
      <c r="I3923" s="16" t="s">
        <v>87</v>
      </c>
      <c r="J3923" s="19"/>
      <c r="L3923" s="16" t="str">
        <f>IFERROR(__xludf.DUMMYFUNCTION("""COMPUTED_VALUE"""),"")</f>
        <v/>
      </c>
      <c r="M3923" s="16" t="str">
        <f>IFERROR(__xludf.DUMMYFUNCTION("""COMPUTED_VALUE"""),"")</f>
        <v/>
      </c>
      <c r="U3923" s="16" t="s">
        <v>87</v>
      </c>
      <c r="V3923" s="16" t="str">
        <f>IFERROR(__xludf.DUMMYFUNCTION("""COMPUTED_VALUE"""),"")</f>
        <v/>
      </c>
      <c r="W3923" s="16" t="str">
        <f>IFERROR(__xludf.DUMMYFUNCTION("""COMPUTED_VALUE"""),"")</f>
        <v/>
      </c>
      <c r="X3923" s="16" t="str">
        <f>IFERROR(__xludf.DUMMYFUNCTION("""COMPUTED_VALUE"""),"")</f>
        <v/>
      </c>
      <c r="AC3923" s="16" t="str">
        <f>IFERROR(__xludf.DUMMYFUNCTION("""COMPUTED_VALUE"""),"")</f>
        <v/>
      </c>
    </row>
    <row r="3924">
      <c r="A3924" s="16" t="s">
        <v>87</v>
      </c>
      <c r="E3924" s="16" t="str">
        <f>IFERROR(__xludf.DUMMYFUNCTION("""COMPUTED_VALUE"""),"")</f>
        <v/>
      </c>
      <c r="G3924" s="18"/>
      <c r="H3924" s="16" t="s">
        <v>87</v>
      </c>
      <c r="I3924" s="16" t="s">
        <v>87</v>
      </c>
      <c r="J3924" s="19"/>
      <c r="L3924" s="16" t="str">
        <f>IFERROR(__xludf.DUMMYFUNCTION("""COMPUTED_VALUE"""),"")</f>
        <v/>
      </c>
      <c r="M3924" s="16" t="str">
        <f>IFERROR(__xludf.DUMMYFUNCTION("""COMPUTED_VALUE"""),"")</f>
        <v/>
      </c>
      <c r="U3924" s="16" t="s">
        <v>87</v>
      </c>
      <c r="V3924" s="16" t="str">
        <f>IFERROR(__xludf.DUMMYFUNCTION("""COMPUTED_VALUE"""),"")</f>
        <v/>
      </c>
      <c r="W3924" s="16" t="str">
        <f>IFERROR(__xludf.DUMMYFUNCTION("""COMPUTED_VALUE"""),"")</f>
        <v/>
      </c>
      <c r="X3924" s="16" t="str">
        <f>IFERROR(__xludf.DUMMYFUNCTION("""COMPUTED_VALUE"""),"")</f>
        <v/>
      </c>
      <c r="AC3924" s="16" t="str">
        <f>IFERROR(__xludf.DUMMYFUNCTION("""COMPUTED_VALUE"""),"")</f>
        <v/>
      </c>
    </row>
    <row r="3925">
      <c r="A3925" s="16" t="s">
        <v>87</v>
      </c>
      <c r="E3925" s="16" t="str">
        <f>IFERROR(__xludf.DUMMYFUNCTION("""COMPUTED_VALUE"""),"")</f>
        <v/>
      </c>
      <c r="G3925" s="18"/>
      <c r="H3925" s="16" t="s">
        <v>87</v>
      </c>
      <c r="I3925" s="16" t="s">
        <v>87</v>
      </c>
      <c r="J3925" s="19"/>
      <c r="L3925" s="16" t="str">
        <f>IFERROR(__xludf.DUMMYFUNCTION("""COMPUTED_VALUE"""),"")</f>
        <v/>
      </c>
      <c r="M3925" s="16" t="str">
        <f>IFERROR(__xludf.DUMMYFUNCTION("""COMPUTED_VALUE"""),"")</f>
        <v/>
      </c>
      <c r="U3925" s="16" t="s">
        <v>87</v>
      </c>
      <c r="V3925" s="16" t="str">
        <f>IFERROR(__xludf.DUMMYFUNCTION("""COMPUTED_VALUE"""),"")</f>
        <v/>
      </c>
      <c r="W3925" s="16" t="str">
        <f>IFERROR(__xludf.DUMMYFUNCTION("""COMPUTED_VALUE"""),"")</f>
        <v/>
      </c>
      <c r="X3925" s="16" t="str">
        <f>IFERROR(__xludf.DUMMYFUNCTION("""COMPUTED_VALUE"""),"")</f>
        <v/>
      </c>
      <c r="AC3925" s="16" t="str">
        <f>IFERROR(__xludf.DUMMYFUNCTION("""COMPUTED_VALUE"""),"")</f>
        <v/>
      </c>
    </row>
    <row r="3926">
      <c r="A3926" s="16" t="s">
        <v>87</v>
      </c>
      <c r="E3926" s="16" t="str">
        <f>IFERROR(__xludf.DUMMYFUNCTION("""COMPUTED_VALUE"""),"")</f>
        <v/>
      </c>
      <c r="G3926" s="18"/>
      <c r="H3926" s="16" t="s">
        <v>87</v>
      </c>
      <c r="I3926" s="16" t="s">
        <v>87</v>
      </c>
      <c r="J3926" s="19"/>
      <c r="L3926" s="16" t="str">
        <f>IFERROR(__xludf.DUMMYFUNCTION("""COMPUTED_VALUE"""),"")</f>
        <v/>
      </c>
      <c r="M3926" s="16" t="str">
        <f>IFERROR(__xludf.DUMMYFUNCTION("""COMPUTED_VALUE"""),"")</f>
        <v/>
      </c>
      <c r="U3926" s="16" t="s">
        <v>87</v>
      </c>
      <c r="V3926" s="16" t="str">
        <f>IFERROR(__xludf.DUMMYFUNCTION("""COMPUTED_VALUE"""),"")</f>
        <v/>
      </c>
      <c r="W3926" s="16" t="str">
        <f>IFERROR(__xludf.DUMMYFUNCTION("""COMPUTED_VALUE"""),"")</f>
        <v/>
      </c>
      <c r="X3926" s="16" t="str">
        <f>IFERROR(__xludf.DUMMYFUNCTION("""COMPUTED_VALUE"""),"")</f>
        <v/>
      </c>
      <c r="AC3926" s="16" t="str">
        <f>IFERROR(__xludf.DUMMYFUNCTION("""COMPUTED_VALUE"""),"")</f>
        <v/>
      </c>
    </row>
    <row r="3927">
      <c r="A3927" s="16" t="s">
        <v>87</v>
      </c>
      <c r="E3927" s="16" t="str">
        <f>IFERROR(__xludf.DUMMYFUNCTION("""COMPUTED_VALUE"""),"")</f>
        <v/>
      </c>
      <c r="G3927" s="18"/>
      <c r="H3927" s="16" t="s">
        <v>87</v>
      </c>
      <c r="I3927" s="16" t="s">
        <v>87</v>
      </c>
      <c r="J3927" s="19"/>
      <c r="L3927" s="16" t="str">
        <f>IFERROR(__xludf.DUMMYFUNCTION("""COMPUTED_VALUE"""),"")</f>
        <v/>
      </c>
      <c r="M3927" s="16" t="str">
        <f>IFERROR(__xludf.DUMMYFUNCTION("""COMPUTED_VALUE"""),"")</f>
        <v/>
      </c>
      <c r="U3927" s="16" t="s">
        <v>87</v>
      </c>
      <c r="V3927" s="16" t="str">
        <f>IFERROR(__xludf.DUMMYFUNCTION("""COMPUTED_VALUE"""),"")</f>
        <v/>
      </c>
      <c r="W3927" s="16" t="str">
        <f>IFERROR(__xludf.DUMMYFUNCTION("""COMPUTED_VALUE"""),"")</f>
        <v/>
      </c>
      <c r="X3927" s="16" t="str">
        <f>IFERROR(__xludf.DUMMYFUNCTION("""COMPUTED_VALUE"""),"")</f>
        <v/>
      </c>
      <c r="AC3927" s="16" t="str">
        <f>IFERROR(__xludf.DUMMYFUNCTION("""COMPUTED_VALUE"""),"")</f>
        <v/>
      </c>
    </row>
    <row r="3928">
      <c r="A3928" s="16" t="s">
        <v>87</v>
      </c>
      <c r="E3928" s="16" t="str">
        <f>IFERROR(__xludf.DUMMYFUNCTION("""COMPUTED_VALUE"""),"")</f>
        <v/>
      </c>
      <c r="G3928" s="18"/>
      <c r="H3928" s="16" t="s">
        <v>87</v>
      </c>
      <c r="I3928" s="16" t="s">
        <v>87</v>
      </c>
      <c r="J3928" s="19"/>
      <c r="L3928" s="16" t="str">
        <f>IFERROR(__xludf.DUMMYFUNCTION("""COMPUTED_VALUE"""),"")</f>
        <v/>
      </c>
      <c r="M3928" s="16" t="str">
        <f>IFERROR(__xludf.DUMMYFUNCTION("""COMPUTED_VALUE"""),"")</f>
        <v/>
      </c>
      <c r="U3928" s="16" t="s">
        <v>87</v>
      </c>
      <c r="V3928" s="16" t="str">
        <f>IFERROR(__xludf.DUMMYFUNCTION("""COMPUTED_VALUE"""),"")</f>
        <v/>
      </c>
      <c r="W3928" s="16" t="str">
        <f>IFERROR(__xludf.DUMMYFUNCTION("""COMPUTED_VALUE"""),"")</f>
        <v/>
      </c>
      <c r="X3928" s="16" t="str">
        <f>IFERROR(__xludf.DUMMYFUNCTION("""COMPUTED_VALUE"""),"")</f>
        <v/>
      </c>
      <c r="AC3928" s="16" t="str">
        <f>IFERROR(__xludf.DUMMYFUNCTION("""COMPUTED_VALUE"""),"")</f>
        <v/>
      </c>
    </row>
    <row r="3929">
      <c r="A3929" s="16" t="s">
        <v>87</v>
      </c>
      <c r="E3929" s="16" t="str">
        <f>IFERROR(__xludf.DUMMYFUNCTION("""COMPUTED_VALUE"""),"")</f>
        <v/>
      </c>
      <c r="G3929" s="18"/>
      <c r="H3929" s="16" t="s">
        <v>87</v>
      </c>
      <c r="I3929" s="16" t="s">
        <v>87</v>
      </c>
      <c r="J3929" s="19"/>
      <c r="L3929" s="16" t="str">
        <f>IFERROR(__xludf.DUMMYFUNCTION("""COMPUTED_VALUE"""),"")</f>
        <v/>
      </c>
      <c r="M3929" s="16" t="str">
        <f>IFERROR(__xludf.DUMMYFUNCTION("""COMPUTED_VALUE"""),"")</f>
        <v/>
      </c>
      <c r="U3929" s="16" t="s">
        <v>87</v>
      </c>
      <c r="V3929" s="16" t="str">
        <f>IFERROR(__xludf.DUMMYFUNCTION("""COMPUTED_VALUE"""),"")</f>
        <v/>
      </c>
      <c r="W3929" s="16" t="str">
        <f>IFERROR(__xludf.DUMMYFUNCTION("""COMPUTED_VALUE"""),"")</f>
        <v/>
      </c>
      <c r="X3929" s="16" t="str">
        <f>IFERROR(__xludf.DUMMYFUNCTION("""COMPUTED_VALUE"""),"")</f>
        <v/>
      </c>
      <c r="AC3929" s="16" t="str">
        <f>IFERROR(__xludf.DUMMYFUNCTION("""COMPUTED_VALUE"""),"")</f>
        <v/>
      </c>
    </row>
    <row r="3930">
      <c r="A3930" s="16" t="s">
        <v>87</v>
      </c>
      <c r="E3930" s="16" t="str">
        <f>IFERROR(__xludf.DUMMYFUNCTION("""COMPUTED_VALUE"""),"")</f>
        <v/>
      </c>
      <c r="G3930" s="18"/>
      <c r="H3930" s="16" t="s">
        <v>87</v>
      </c>
      <c r="I3930" s="16" t="s">
        <v>87</v>
      </c>
      <c r="J3930" s="19"/>
      <c r="L3930" s="16" t="str">
        <f>IFERROR(__xludf.DUMMYFUNCTION("""COMPUTED_VALUE"""),"")</f>
        <v/>
      </c>
      <c r="M3930" s="16" t="str">
        <f>IFERROR(__xludf.DUMMYFUNCTION("""COMPUTED_VALUE"""),"")</f>
        <v/>
      </c>
      <c r="U3930" s="16" t="s">
        <v>87</v>
      </c>
      <c r="V3930" s="16" t="str">
        <f>IFERROR(__xludf.DUMMYFUNCTION("""COMPUTED_VALUE"""),"")</f>
        <v/>
      </c>
      <c r="W3930" s="16" t="str">
        <f>IFERROR(__xludf.DUMMYFUNCTION("""COMPUTED_VALUE"""),"")</f>
        <v/>
      </c>
      <c r="X3930" s="16" t="str">
        <f>IFERROR(__xludf.DUMMYFUNCTION("""COMPUTED_VALUE"""),"")</f>
        <v/>
      </c>
      <c r="AC3930" s="16" t="str">
        <f>IFERROR(__xludf.DUMMYFUNCTION("""COMPUTED_VALUE"""),"")</f>
        <v/>
      </c>
    </row>
    <row r="3931">
      <c r="A3931" s="16" t="s">
        <v>87</v>
      </c>
      <c r="E3931" s="16" t="str">
        <f>IFERROR(__xludf.DUMMYFUNCTION("""COMPUTED_VALUE"""),"")</f>
        <v/>
      </c>
      <c r="G3931" s="18"/>
      <c r="H3931" s="16" t="s">
        <v>87</v>
      </c>
      <c r="I3931" s="16" t="s">
        <v>87</v>
      </c>
      <c r="J3931" s="19"/>
      <c r="L3931" s="16" t="str">
        <f>IFERROR(__xludf.DUMMYFUNCTION("""COMPUTED_VALUE"""),"")</f>
        <v/>
      </c>
      <c r="M3931" s="16" t="str">
        <f>IFERROR(__xludf.DUMMYFUNCTION("""COMPUTED_VALUE"""),"")</f>
        <v/>
      </c>
      <c r="U3931" s="16" t="s">
        <v>87</v>
      </c>
      <c r="V3931" s="16" t="str">
        <f>IFERROR(__xludf.DUMMYFUNCTION("""COMPUTED_VALUE"""),"")</f>
        <v/>
      </c>
      <c r="W3931" s="16" t="str">
        <f>IFERROR(__xludf.DUMMYFUNCTION("""COMPUTED_VALUE"""),"")</f>
        <v/>
      </c>
      <c r="X3931" s="16" t="str">
        <f>IFERROR(__xludf.DUMMYFUNCTION("""COMPUTED_VALUE"""),"")</f>
        <v/>
      </c>
      <c r="AC3931" s="16" t="str">
        <f>IFERROR(__xludf.DUMMYFUNCTION("""COMPUTED_VALUE"""),"")</f>
        <v/>
      </c>
    </row>
    <row r="3932">
      <c r="A3932" s="16" t="s">
        <v>87</v>
      </c>
      <c r="E3932" s="16" t="str">
        <f>IFERROR(__xludf.DUMMYFUNCTION("""COMPUTED_VALUE"""),"")</f>
        <v/>
      </c>
      <c r="G3932" s="18"/>
      <c r="H3932" s="16" t="s">
        <v>87</v>
      </c>
      <c r="I3932" s="16" t="s">
        <v>87</v>
      </c>
      <c r="J3932" s="19"/>
      <c r="L3932" s="16" t="str">
        <f>IFERROR(__xludf.DUMMYFUNCTION("""COMPUTED_VALUE"""),"")</f>
        <v/>
      </c>
      <c r="M3932" s="16" t="str">
        <f>IFERROR(__xludf.DUMMYFUNCTION("""COMPUTED_VALUE"""),"")</f>
        <v/>
      </c>
      <c r="U3932" s="16" t="s">
        <v>87</v>
      </c>
      <c r="V3932" s="16" t="str">
        <f>IFERROR(__xludf.DUMMYFUNCTION("""COMPUTED_VALUE"""),"")</f>
        <v/>
      </c>
      <c r="W3932" s="16" t="str">
        <f>IFERROR(__xludf.DUMMYFUNCTION("""COMPUTED_VALUE"""),"")</f>
        <v/>
      </c>
      <c r="X3932" s="16" t="str">
        <f>IFERROR(__xludf.DUMMYFUNCTION("""COMPUTED_VALUE"""),"")</f>
        <v/>
      </c>
      <c r="AC3932" s="16" t="str">
        <f>IFERROR(__xludf.DUMMYFUNCTION("""COMPUTED_VALUE"""),"")</f>
        <v/>
      </c>
    </row>
    <row r="3933">
      <c r="A3933" s="16" t="s">
        <v>87</v>
      </c>
      <c r="E3933" s="16" t="str">
        <f>IFERROR(__xludf.DUMMYFUNCTION("""COMPUTED_VALUE"""),"")</f>
        <v/>
      </c>
      <c r="G3933" s="18"/>
      <c r="H3933" s="16" t="s">
        <v>87</v>
      </c>
      <c r="I3933" s="16" t="s">
        <v>87</v>
      </c>
      <c r="J3933" s="19"/>
      <c r="L3933" s="16" t="str">
        <f>IFERROR(__xludf.DUMMYFUNCTION("""COMPUTED_VALUE"""),"")</f>
        <v/>
      </c>
      <c r="M3933" s="16" t="str">
        <f>IFERROR(__xludf.DUMMYFUNCTION("""COMPUTED_VALUE"""),"")</f>
        <v/>
      </c>
      <c r="U3933" s="16" t="s">
        <v>87</v>
      </c>
      <c r="V3933" s="16" t="str">
        <f>IFERROR(__xludf.DUMMYFUNCTION("""COMPUTED_VALUE"""),"")</f>
        <v/>
      </c>
      <c r="W3933" s="16" t="str">
        <f>IFERROR(__xludf.DUMMYFUNCTION("""COMPUTED_VALUE"""),"")</f>
        <v/>
      </c>
      <c r="X3933" s="16" t="str">
        <f>IFERROR(__xludf.DUMMYFUNCTION("""COMPUTED_VALUE"""),"")</f>
        <v/>
      </c>
      <c r="AC3933" s="16" t="str">
        <f>IFERROR(__xludf.DUMMYFUNCTION("""COMPUTED_VALUE"""),"")</f>
        <v/>
      </c>
    </row>
    <row r="3934">
      <c r="A3934" s="16" t="s">
        <v>87</v>
      </c>
      <c r="E3934" s="16" t="str">
        <f>IFERROR(__xludf.DUMMYFUNCTION("""COMPUTED_VALUE"""),"")</f>
        <v/>
      </c>
      <c r="G3934" s="18"/>
      <c r="H3934" s="16" t="s">
        <v>87</v>
      </c>
      <c r="I3934" s="16" t="s">
        <v>87</v>
      </c>
      <c r="J3934" s="19"/>
      <c r="L3934" s="16" t="str">
        <f>IFERROR(__xludf.DUMMYFUNCTION("""COMPUTED_VALUE"""),"")</f>
        <v/>
      </c>
      <c r="M3934" s="16" t="str">
        <f>IFERROR(__xludf.DUMMYFUNCTION("""COMPUTED_VALUE"""),"")</f>
        <v/>
      </c>
      <c r="U3934" s="16" t="s">
        <v>87</v>
      </c>
      <c r="V3934" s="16" t="str">
        <f>IFERROR(__xludf.DUMMYFUNCTION("""COMPUTED_VALUE"""),"")</f>
        <v/>
      </c>
      <c r="W3934" s="16" t="str">
        <f>IFERROR(__xludf.DUMMYFUNCTION("""COMPUTED_VALUE"""),"")</f>
        <v/>
      </c>
      <c r="X3934" s="16" t="str">
        <f>IFERROR(__xludf.DUMMYFUNCTION("""COMPUTED_VALUE"""),"")</f>
        <v/>
      </c>
      <c r="AC3934" s="16" t="str">
        <f>IFERROR(__xludf.DUMMYFUNCTION("""COMPUTED_VALUE"""),"")</f>
        <v/>
      </c>
    </row>
    <row r="3935">
      <c r="A3935" s="16" t="s">
        <v>87</v>
      </c>
      <c r="E3935" s="16" t="str">
        <f>IFERROR(__xludf.DUMMYFUNCTION("""COMPUTED_VALUE"""),"")</f>
        <v/>
      </c>
      <c r="G3935" s="18"/>
      <c r="H3935" s="16" t="s">
        <v>87</v>
      </c>
      <c r="I3935" s="16" t="s">
        <v>87</v>
      </c>
      <c r="J3935" s="19"/>
      <c r="L3935" s="16" t="str">
        <f>IFERROR(__xludf.DUMMYFUNCTION("""COMPUTED_VALUE"""),"")</f>
        <v/>
      </c>
      <c r="M3935" s="16" t="str">
        <f>IFERROR(__xludf.DUMMYFUNCTION("""COMPUTED_VALUE"""),"")</f>
        <v/>
      </c>
      <c r="U3935" s="16" t="s">
        <v>87</v>
      </c>
      <c r="V3935" s="16" t="str">
        <f>IFERROR(__xludf.DUMMYFUNCTION("""COMPUTED_VALUE"""),"")</f>
        <v/>
      </c>
      <c r="W3935" s="16" t="str">
        <f>IFERROR(__xludf.DUMMYFUNCTION("""COMPUTED_VALUE"""),"")</f>
        <v/>
      </c>
      <c r="X3935" s="16" t="str">
        <f>IFERROR(__xludf.DUMMYFUNCTION("""COMPUTED_VALUE"""),"")</f>
        <v/>
      </c>
      <c r="AC3935" s="16" t="str">
        <f>IFERROR(__xludf.DUMMYFUNCTION("""COMPUTED_VALUE"""),"")</f>
        <v/>
      </c>
    </row>
    <row r="3936">
      <c r="A3936" s="16" t="s">
        <v>87</v>
      </c>
      <c r="E3936" s="16" t="str">
        <f>IFERROR(__xludf.DUMMYFUNCTION("""COMPUTED_VALUE"""),"")</f>
        <v/>
      </c>
      <c r="G3936" s="18"/>
      <c r="H3936" s="16" t="s">
        <v>87</v>
      </c>
      <c r="I3936" s="16" t="s">
        <v>87</v>
      </c>
      <c r="J3936" s="19"/>
      <c r="L3936" s="16" t="str">
        <f>IFERROR(__xludf.DUMMYFUNCTION("""COMPUTED_VALUE"""),"")</f>
        <v/>
      </c>
      <c r="M3936" s="16" t="str">
        <f>IFERROR(__xludf.DUMMYFUNCTION("""COMPUTED_VALUE"""),"")</f>
        <v/>
      </c>
      <c r="U3936" s="16" t="s">
        <v>87</v>
      </c>
      <c r="V3936" s="16" t="str">
        <f>IFERROR(__xludf.DUMMYFUNCTION("""COMPUTED_VALUE"""),"")</f>
        <v/>
      </c>
      <c r="W3936" s="16" t="str">
        <f>IFERROR(__xludf.DUMMYFUNCTION("""COMPUTED_VALUE"""),"")</f>
        <v/>
      </c>
      <c r="X3936" s="16" t="str">
        <f>IFERROR(__xludf.DUMMYFUNCTION("""COMPUTED_VALUE"""),"")</f>
        <v/>
      </c>
      <c r="AC3936" s="16" t="str">
        <f>IFERROR(__xludf.DUMMYFUNCTION("""COMPUTED_VALUE"""),"")</f>
        <v/>
      </c>
    </row>
    <row r="3937">
      <c r="A3937" s="16" t="s">
        <v>87</v>
      </c>
      <c r="E3937" s="16" t="str">
        <f>IFERROR(__xludf.DUMMYFUNCTION("""COMPUTED_VALUE"""),"")</f>
        <v/>
      </c>
      <c r="G3937" s="18"/>
      <c r="H3937" s="16" t="s">
        <v>87</v>
      </c>
      <c r="I3937" s="16" t="s">
        <v>87</v>
      </c>
      <c r="J3937" s="19"/>
      <c r="L3937" s="16" t="str">
        <f>IFERROR(__xludf.DUMMYFUNCTION("""COMPUTED_VALUE"""),"")</f>
        <v/>
      </c>
      <c r="M3937" s="16" t="str">
        <f>IFERROR(__xludf.DUMMYFUNCTION("""COMPUTED_VALUE"""),"")</f>
        <v/>
      </c>
      <c r="U3937" s="16" t="s">
        <v>87</v>
      </c>
      <c r="V3937" s="16" t="str">
        <f>IFERROR(__xludf.DUMMYFUNCTION("""COMPUTED_VALUE"""),"")</f>
        <v/>
      </c>
      <c r="W3937" s="16" t="str">
        <f>IFERROR(__xludf.DUMMYFUNCTION("""COMPUTED_VALUE"""),"")</f>
        <v/>
      </c>
      <c r="X3937" s="16" t="str">
        <f>IFERROR(__xludf.DUMMYFUNCTION("""COMPUTED_VALUE"""),"")</f>
        <v/>
      </c>
      <c r="AC3937" s="16" t="str">
        <f>IFERROR(__xludf.DUMMYFUNCTION("""COMPUTED_VALUE"""),"")</f>
        <v/>
      </c>
    </row>
    <row r="3938">
      <c r="A3938" s="16" t="s">
        <v>87</v>
      </c>
      <c r="E3938" s="16" t="str">
        <f>IFERROR(__xludf.DUMMYFUNCTION("""COMPUTED_VALUE"""),"")</f>
        <v/>
      </c>
      <c r="G3938" s="18"/>
      <c r="H3938" s="16" t="s">
        <v>87</v>
      </c>
      <c r="I3938" s="16" t="s">
        <v>87</v>
      </c>
      <c r="J3938" s="19"/>
      <c r="L3938" s="16" t="str">
        <f>IFERROR(__xludf.DUMMYFUNCTION("""COMPUTED_VALUE"""),"")</f>
        <v/>
      </c>
      <c r="M3938" s="16" t="str">
        <f>IFERROR(__xludf.DUMMYFUNCTION("""COMPUTED_VALUE"""),"")</f>
        <v/>
      </c>
      <c r="U3938" s="16" t="s">
        <v>87</v>
      </c>
      <c r="V3938" s="16" t="str">
        <f>IFERROR(__xludf.DUMMYFUNCTION("""COMPUTED_VALUE"""),"")</f>
        <v/>
      </c>
      <c r="W3938" s="16" t="str">
        <f>IFERROR(__xludf.DUMMYFUNCTION("""COMPUTED_VALUE"""),"")</f>
        <v/>
      </c>
      <c r="X3938" s="16" t="str">
        <f>IFERROR(__xludf.DUMMYFUNCTION("""COMPUTED_VALUE"""),"")</f>
        <v/>
      </c>
      <c r="AC3938" s="16" t="str">
        <f>IFERROR(__xludf.DUMMYFUNCTION("""COMPUTED_VALUE"""),"")</f>
        <v/>
      </c>
    </row>
    <row r="3939">
      <c r="A3939" s="16" t="s">
        <v>87</v>
      </c>
      <c r="E3939" s="16" t="str">
        <f>IFERROR(__xludf.DUMMYFUNCTION("""COMPUTED_VALUE"""),"")</f>
        <v/>
      </c>
      <c r="G3939" s="18"/>
      <c r="H3939" s="16" t="s">
        <v>87</v>
      </c>
      <c r="I3939" s="16" t="s">
        <v>87</v>
      </c>
      <c r="J3939" s="19"/>
      <c r="L3939" s="16" t="str">
        <f>IFERROR(__xludf.DUMMYFUNCTION("""COMPUTED_VALUE"""),"")</f>
        <v/>
      </c>
      <c r="M3939" s="16" t="str">
        <f>IFERROR(__xludf.DUMMYFUNCTION("""COMPUTED_VALUE"""),"")</f>
        <v/>
      </c>
      <c r="U3939" s="16" t="s">
        <v>87</v>
      </c>
      <c r="V3939" s="16" t="str">
        <f>IFERROR(__xludf.DUMMYFUNCTION("""COMPUTED_VALUE"""),"")</f>
        <v/>
      </c>
      <c r="W3939" s="16" t="str">
        <f>IFERROR(__xludf.DUMMYFUNCTION("""COMPUTED_VALUE"""),"")</f>
        <v/>
      </c>
      <c r="X3939" s="16" t="str">
        <f>IFERROR(__xludf.DUMMYFUNCTION("""COMPUTED_VALUE"""),"")</f>
        <v/>
      </c>
      <c r="AC3939" s="16" t="str">
        <f>IFERROR(__xludf.DUMMYFUNCTION("""COMPUTED_VALUE"""),"")</f>
        <v/>
      </c>
    </row>
    <row r="3940">
      <c r="A3940" s="16" t="s">
        <v>87</v>
      </c>
      <c r="E3940" s="16" t="str">
        <f>IFERROR(__xludf.DUMMYFUNCTION("""COMPUTED_VALUE"""),"")</f>
        <v/>
      </c>
      <c r="G3940" s="18"/>
      <c r="H3940" s="16" t="s">
        <v>87</v>
      </c>
      <c r="I3940" s="16" t="s">
        <v>87</v>
      </c>
      <c r="J3940" s="19"/>
      <c r="L3940" s="16" t="str">
        <f>IFERROR(__xludf.DUMMYFUNCTION("""COMPUTED_VALUE"""),"")</f>
        <v/>
      </c>
      <c r="M3940" s="16" t="str">
        <f>IFERROR(__xludf.DUMMYFUNCTION("""COMPUTED_VALUE"""),"")</f>
        <v/>
      </c>
      <c r="U3940" s="16" t="s">
        <v>87</v>
      </c>
      <c r="V3940" s="16" t="str">
        <f>IFERROR(__xludf.DUMMYFUNCTION("""COMPUTED_VALUE"""),"")</f>
        <v/>
      </c>
      <c r="W3940" s="16" t="str">
        <f>IFERROR(__xludf.DUMMYFUNCTION("""COMPUTED_VALUE"""),"")</f>
        <v/>
      </c>
      <c r="X3940" s="16" t="str">
        <f>IFERROR(__xludf.DUMMYFUNCTION("""COMPUTED_VALUE"""),"")</f>
        <v/>
      </c>
      <c r="AC3940" s="16" t="str">
        <f>IFERROR(__xludf.DUMMYFUNCTION("""COMPUTED_VALUE"""),"")</f>
        <v/>
      </c>
    </row>
    <row r="3941">
      <c r="A3941" s="16" t="s">
        <v>87</v>
      </c>
      <c r="E3941" s="16" t="str">
        <f>IFERROR(__xludf.DUMMYFUNCTION("""COMPUTED_VALUE"""),"")</f>
        <v/>
      </c>
      <c r="G3941" s="18"/>
      <c r="H3941" s="16" t="s">
        <v>87</v>
      </c>
      <c r="I3941" s="16" t="s">
        <v>87</v>
      </c>
      <c r="J3941" s="19"/>
      <c r="L3941" s="16" t="str">
        <f>IFERROR(__xludf.DUMMYFUNCTION("""COMPUTED_VALUE"""),"")</f>
        <v/>
      </c>
      <c r="M3941" s="16" t="str">
        <f>IFERROR(__xludf.DUMMYFUNCTION("""COMPUTED_VALUE"""),"")</f>
        <v/>
      </c>
      <c r="U3941" s="16" t="s">
        <v>87</v>
      </c>
      <c r="V3941" s="16" t="str">
        <f>IFERROR(__xludf.DUMMYFUNCTION("""COMPUTED_VALUE"""),"")</f>
        <v/>
      </c>
      <c r="W3941" s="16" t="str">
        <f>IFERROR(__xludf.DUMMYFUNCTION("""COMPUTED_VALUE"""),"")</f>
        <v/>
      </c>
      <c r="X3941" s="16" t="str">
        <f>IFERROR(__xludf.DUMMYFUNCTION("""COMPUTED_VALUE"""),"")</f>
        <v/>
      </c>
      <c r="AC3941" s="16" t="str">
        <f>IFERROR(__xludf.DUMMYFUNCTION("""COMPUTED_VALUE"""),"")</f>
        <v/>
      </c>
    </row>
    <row r="3942">
      <c r="A3942" s="16" t="s">
        <v>87</v>
      </c>
      <c r="E3942" s="16" t="str">
        <f>IFERROR(__xludf.DUMMYFUNCTION("""COMPUTED_VALUE"""),"")</f>
        <v/>
      </c>
      <c r="G3942" s="18"/>
      <c r="H3942" s="16" t="s">
        <v>87</v>
      </c>
      <c r="I3942" s="16" t="s">
        <v>87</v>
      </c>
      <c r="J3942" s="19"/>
      <c r="L3942" s="16" t="str">
        <f>IFERROR(__xludf.DUMMYFUNCTION("""COMPUTED_VALUE"""),"")</f>
        <v/>
      </c>
      <c r="M3942" s="16" t="str">
        <f>IFERROR(__xludf.DUMMYFUNCTION("""COMPUTED_VALUE"""),"")</f>
        <v/>
      </c>
      <c r="U3942" s="16" t="s">
        <v>87</v>
      </c>
      <c r="V3942" s="16" t="str">
        <f>IFERROR(__xludf.DUMMYFUNCTION("""COMPUTED_VALUE"""),"")</f>
        <v/>
      </c>
      <c r="W3942" s="16" t="str">
        <f>IFERROR(__xludf.DUMMYFUNCTION("""COMPUTED_VALUE"""),"")</f>
        <v/>
      </c>
      <c r="X3942" s="16" t="str">
        <f>IFERROR(__xludf.DUMMYFUNCTION("""COMPUTED_VALUE"""),"")</f>
        <v/>
      </c>
      <c r="AC3942" s="16" t="str">
        <f>IFERROR(__xludf.DUMMYFUNCTION("""COMPUTED_VALUE"""),"")</f>
        <v/>
      </c>
    </row>
    <row r="3943">
      <c r="A3943" s="16" t="s">
        <v>87</v>
      </c>
      <c r="E3943" s="16" t="str">
        <f>IFERROR(__xludf.DUMMYFUNCTION("""COMPUTED_VALUE"""),"")</f>
        <v/>
      </c>
      <c r="G3943" s="18"/>
      <c r="H3943" s="16" t="s">
        <v>87</v>
      </c>
      <c r="I3943" s="16" t="s">
        <v>87</v>
      </c>
      <c r="J3943" s="19"/>
      <c r="L3943" s="16" t="str">
        <f>IFERROR(__xludf.DUMMYFUNCTION("""COMPUTED_VALUE"""),"")</f>
        <v/>
      </c>
      <c r="M3943" s="16" t="str">
        <f>IFERROR(__xludf.DUMMYFUNCTION("""COMPUTED_VALUE"""),"")</f>
        <v/>
      </c>
      <c r="U3943" s="16" t="s">
        <v>87</v>
      </c>
      <c r="V3943" s="16" t="str">
        <f>IFERROR(__xludf.DUMMYFUNCTION("""COMPUTED_VALUE"""),"")</f>
        <v/>
      </c>
      <c r="W3943" s="16" t="str">
        <f>IFERROR(__xludf.DUMMYFUNCTION("""COMPUTED_VALUE"""),"")</f>
        <v/>
      </c>
      <c r="X3943" s="16" t="str">
        <f>IFERROR(__xludf.DUMMYFUNCTION("""COMPUTED_VALUE"""),"")</f>
        <v/>
      </c>
      <c r="AC3943" s="16" t="str">
        <f>IFERROR(__xludf.DUMMYFUNCTION("""COMPUTED_VALUE"""),"")</f>
        <v/>
      </c>
    </row>
    <row r="3944">
      <c r="A3944" s="16" t="s">
        <v>87</v>
      </c>
      <c r="E3944" s="16" t="str">
        <f>IFERROR(__xludf.DUMMYFUNCTION("""COMPUTED_VALUE"""),"")</f>
        <v/>
      </c>
      <c r="G3944" s="18"/>
      <c r="H3944" s="16" t="s">
        <v>87</v>
      </c>
      <c r="I3944" s="16" t="s">
        <v>87</v>
      </c>
      <c r="J3944" s="19"/>
      <c r="L3944" s="16" t="str">
        <f>IFERROR(__xludf.DUMMYFUNCTION("""COMPUTED_VALUE"""),"")</f>
        <v/>
      </c>
      <c r="M3944" s="16" t="str">
        <f>IFERROR(__xludf.DUMMYFUNCTION("""COMPUTED_VALUE"""),"")</f>
        <v/>
      </c>
      <c r="U3944" s="16" t="s">
        <v>87</v>
      </c>
      <c r="V3944" s="16" t="str">
        <f>IFERROR(__xludf.DUMMYFUNCTION("""COMPUTED_VALUE"""),"")</f>
        <v/>
      </c>
      <c r="W3944" s="16" t="str">
        <f>IFERROR(__xludf.DUMMYFUNCTION("""COMPUTED_VALUE"""),"")</f>
        <v/>
      </c>
      <c r="X3944" s="16" t="str">
        <f>IFERROR(__xludf.DUMMYFUNCTION("""COMPUTED_VALUE"""),"")</f>
        <v/>
      </c>
      <c r="AC3944" s="16" t="str">
        <f>IFERROR(__xludf.DUMMYFUNCTION("""COMPUTED_VALUE"""),"")</f>
        <v/>
      </c>
    </row>
    <row r="3945">
      <c r="A3945" s="16" t="s">
        <v>87</v>
      </c>
      <c r="E3945" s="16" t="str">
        <f>IFERROR(__xludf.DUMMYFUNCTION("""COMPUTED_VALUE"""),"")</f>
        <v/>
      </c>
      <c r="G3945" s="18"/>
      <c r="H3945" s="16" t="s">
        <v>87</v>
      </c>
      <c r="I3945" s="16" t="s">
        <v>87</v>
      </c>
      <c r="J3945" s="19"/>
      <c r="L3945" s="16" t="str">
        <f>IFERROR(__xludf.DUMMYFUNCTION("""COMPUTED_VALUE"""),"")</f>
        <v/>
      </c>
      <c r="M3945" s="16" t="str">
        <f>IFERROR(__xludf.DUMMYFUNCTION("""COMPUTED_VALUE"""),"")</f>
        <v/>
      </c>
      <c r="U3945" s="16" t="s">
        <v>87</v>
      </c>
      <c r="V3945" s="16" t="str">
        <f>IFERROR(__xludf.DUMMYFUNCTION("""COMPUTED_VALUE"""),"")</f>
        <v/>
      </c>
      <c r="W3945" s="16" t="str">
        <f>IFERROR(__xludf.DUMMYFUNCTION("""COMPUTED_VALUE"""),"")</f>
        <v/>
      </c>
      <c r="X3945" s="16" t="str">
        <f>IFERROR(__xludf.DUMMYFUNCTION("""COMPUTED_VALUE"""),"")</f>
        <v/>
      </c>
      <c r="AC3945" s="16" t="str">
        <f>IFERROR(__xludf.DUMMYFUNCTION("""COMPUTED_VALUE"""),"")</f>
        <v/>
      </c>
    </row>
    <row r="3946">
      <c r="A3946" s="16" t="s">
        <v>87</v>
      </c>
      <c r="E3946" s="16" t="str">
        <f>IFERROR(__xludf.DUMMYFUNCTION("""COMPUTED_VALUE"""),"")</f>
        <v/>
      </c>
      <c r="G3946" s="18"/>
      <c r="H3946" s="16" t="s">
        <v>87</v>
      </c>
      <c r="I3946" s="16" t="s">
        <v>87</v>
      </c>
      <c r="J3946" s="19"/>
      <c r="L3946" s="16" t="str">
        <f>IFERROR(__xludf.DUMMYFUNCTION("""COMPUTED_VALUE"""),"")</f>
        <v/>
      </c>
      <c r="M3946" s="16" t="str">
        <f>IFERROR(__xludf.DUMMYFUNCTION("""COMPUTED_VALUE"""),"")</f>
        <v/>
      </c>
      <c r="U3946" s="16" t="s">
        <v>87</v>
      </c>
      <c r="V3946" s="16" t="str">
        <f>IFERROR(__xludf.DUMMYFUNCTION("""COMPUTED_VALUE"""),"")</f>
        <v/>
      </c>
      <c r="W3946" s="16" t="str">
        <f>IFERROR(__xludf.DUMMYFUNCTION("""COMPUTED_VALUE"""),"")</f>
        <v/>
      </c>
      <c r="X3946" s="16" t="str">
        <f>IFERROR(__xludf.DUMMYFUNCTION("""COMPUTED_VALUE"""),"")</f>
        <v/>
      </c>
      <c r="AC3946" s="16" t="str">
        <f>IFERROR(__xludf.DUMMYFUNCTION("""COMPUTED_VALUE"""),"")</f>
        <v/>
      </c>
    </row>
    <row r="3947">
      <c r="A3947" s="16" t="s">
        <v>87</v>
      </c>
      <c r="E3947" s="16" t="str">
        <f>IFERROR(__xludf.DUMMYFUNCTION("""COMPUTED_VALUE"""),"")</f>
        <v/>
      </c>
      <c r="G3947" s="18"/>
      <c r="H3947" s="16" t="s">
        <v>87</v>
      </c>
      <c r="I3947" s="16" t="s">
        <v>87</v>
      </c>
      <c r="J3947" s="19"/>
      <c r="L3947" s="16" t="str">
        <f>IFERROR(__xludf.DUMMYFUNCTION("""COMPUTED_VALUE"""),"")</f>
        <v/>
      </c>
      <c r="M3947" s="16" t="str">
        <f>IFERROR(__xludf.DUMMYFUNCTION("""COMPUTED_VALUE"""),"")</f>
        <v/>
      </c>
      <c r="U3947" s="16" t="s">
        <v>87</v>
      </c>
      <c r="V3947" s="16" t="str">
        <f>IFERROR(__xludf.DUMMYFUNCTION("""COMPUTED_VALUE"""),"")</f>
        <v/>
      </c>
      <c r="W3947" s="16" t="str">
        <f>IFERROR(__xludf.DUMMYFUNCTION("""COMPUTED_VALUE"""),"")</f>
        <v/>
      </c>
      <c r="X3947" s="16" t="str">
        <f>IFERROR(__xludf.DUMMYFUNCTION("""COMPUTED_VALUE"""),"")</f>
        <v/>
      </c>
      <c r="AC3947" s="16" t="str">
        <f>IFERROR(__xludf.DUMMYFUNCTION("""COMPUTED_VALUE"""),"")</f>
        <v/>
      </c>
    </row>
    <row r="3948">
      <c r="A3948" s="16" t="s">
        <v>87</v>
      </c>
      <c r="E3948" s="16" t="str">
        <f>IFERROR(__xludf.DUMMYFUNCTION("""COMPUTED_VALUE"""),"")</f>
        <v/>
      </c>
      <c r="G3948" s="18"/>
      <c r="H3948" s="16" t="s">
        <v>87</v>
      </c>
      <c r="I3948" s="16" t="s">
        <v>87</v>
      </c>
      <c r="J3948" s="19"/>
      <c r="L3948" s="16" t="str">
        <f>IFERROR(__xludf.DUMMYFUNCTION("""COMPUTED_VALUE"""),"")</f>
        <v/>
      </c>
      <c r="M3948" s="16" t="str">
        <f>IFERROR(__xludf.DUMMYFUNCTION("""COMPUTED_VALUE"""),"")</f>
        <v/>
      </c>
      <c r="U3948" s="16" t="s">
        <v>87</v>
      </c>
      <c r="V3948" s="16" t="str">
        <f>IFERROR(__xludf.DUMMYFUNCTION("""COMPUTED_VALUE"""),"")</f>
        <v/>
      </c>
      <c r="W3948" s="16" t="str">
        <f>IFERROR(__xludf.DUMMYFUNCTION("""COMPUTED_VALUE"""),"")</f>
        <v/>
      </c>
      <c r="X3948" s="16" t="str">
        <f>IFERROR(__xludf.DUMMYFUNCTION("""COMPUTED_VALUE"""),"")</f>
        <v/>
      </c>
      <c r="AC3948" s="16" t="str">
        <f>IFERROR(__xludf.DUMMYFUNCTION("""COMPUTED_VALUE"""),"")</f>
        <v/>
      </c>
    </row>
    <row r="3949">
      <c r="A3949" s="16" t="s">
        <v>87</v>
      </c>
      <c r="E3949" s="16" t="str">
        <f>IFERROR(__xludf.DUMMYFUNCTION("""COMPUTED_VALUE"""),"")</f>
        <v/>
      </c>
      <c r="G3949" s="18"/>
      <c r="H3949" s="16" t="s">
        <v>87</v>
      </c>
      <c r="I3949" s="16" t="s">
        <v>87</v>
      </c>
      <c r="J3949" s="19"/>
      <c r="L3949" s="16" t="str">
        <f>IFERROR(__xludf.DUMMYFUNCTION("""COMPUTED_VALUE"""),"")</f>
        <v/>
      </c>
      <c r="M3949" s="16" t="str">
        <f>IFERROR(__xludf.DUMMYFUNCTION("""COMPUTED_VALUE"""),"")</f>
        <v/>
      </c>
      <c r="U3949" s="16" t="s">
        <v>87</v>
      </c>
      <c r="V3949" s="16" t="str">
        <f>IFERROR(__xludf.DUMMYFUNCTION("""COMPUTED_VALUE"""),"")</f>
        <v/>
      </c>
      <c r="W3949" s="16" t="str">
        <f>IFERROR(__xludf.DUMMYFUNCTION("""COMPUTED_VALUE"""),"")</f>
        <v/>
      </c>
      <c r="X3949" s="16" t="str">
        <f>IFERROR(__xludf.DUMMYFUNCTION("""COMPUTED_VALUE"""),"")</f>
        <v/>
      </c>
      <c r="AC3949" s="16" t="str">
        <f>IFERROR(__xludf.DUMMYFUNCTION("""COMPUTED_VALUE"""),"")</f>
        <v/>
      </c>
    </row>
    <row r="3950">
      <c r="A3950" s="16" t="s">
        <v>87</v>
      </c>
      <c r="E3950" s="16" t="str">
        <f>IFERROR(__xludf.DUMMYFUNCTION("""COMPUTED_VALUE"""),"")</f>
        <v/>
      </c>
      <c r="G3950" s="18"/>
      <c r="H3950" s="16" t="s">
        <v>87</v>
      </c>
      <c r="I3950" s="16" t="s">
        <v>87</v>
      </c>
      <c r="J3950" s="19"/>
      <c r="L3950" s="16" t="str">
        <f>IFERROR(__xludf.DUMMYFUNCTION("""COMPUTED_VALUE"""),"")</f>
        <v/>
      </c>
      <c r="M3950" s="16" t="str">
        <f>IFERROR(__xludf.DUMMYFUNCTION("""COMPUTED_VALUE"""),"")</f>
        <v/>
      </c>
      <c r="U3950" s="16" t="s">
        <v>87</v>
      </c>
      <c r="V3950" s="16" t="str">
        <f>IFERROR(__xludf.DUMMYFUNCTION("""COMPUTED_VALUE"""),"")</f>
        <v/>
      </c>
      <c r="W3950" s="16" t="str">
        <f>IFERROR(__xludf.DUMMYFUNCTION("""COMPUTED_VALUE"""),"")</f>
        <v/>
      </c>
      <c r="X3950" s="16" t="str">
        <f>IFERROR(__xludf.DUMMYFUNCTION("""COMPUTED_VALUE"""),"")</f>
        <v/>
      </c>
      <c r="AC3950" s="16" t="str">
        <f>IFERROR(__xludf.DUMMYFUNCTION("""COMPUTED_VALUE"""),"")</f>
        <v/>
      </c>
    </row>
    <row r="3951">
      <c r="A3951" s="16" t="s">
        <v>87</v>
      </c>
      <c r="E3951" s="16" t="str">
        <f>IFERROR(__xludf.DUMMYFUNCTION("""COMPUTED_VALUE"""),"")</f>
        <v/>
      </c>
      <c r="G3951" s="18"/>
      <c r="H3951" s="16" t="s">
        <v>87</v>
      </c>
      <c r="I3951" s="16" t="s">
        <v>87</v>
      </c>
      <c r="J3951" s="19"/>
      <c r="L3951" s="16" t="str">
        <f>IFERROR(__xludf.DUMMYFUNCTION("""COMPUTED_VALUE"""),"")</f>
        <v/>
      </c>
      <c r="M3951" s="16" t="str">
        <f>IFERROR(__xludf.DUMMYFUNCTION("""COMPUTED_VALUE"""),"")</f>
        <v/>
      </c>
      <c r="U3951" s="16" t="s">
        <v>87</v>
      </c>
      <c r="V3951" s="16" t="str">
        <f>IFERROR(__xludf.DUMMYFUNCTION("""COMPUTED_VALUE"""),"")</f>
        <v/>
      </c>
      <c r="W3951" s="16" t="str">
        <f>IFERROR(__xludf.DUMMYFUNCTION("""COMPUTED_VALUE"""),"")</f>
        <v/>
      </c>
      <c r="X3951" s="16" t="str">
        <f>IFERROR(__xludf.DUMMYFUNCTION("""COMPUTED_VALUE"""),"")</f>
        <v/>
      </c>
      <c r="AC3951" s="16" t="str">
        <f>IFERROR(__xludf.DUMMYFUNCTION("""COMPUTED_VALUE"""),"")</f>
        <v/>
      </c>
    </row>
    <row r="3952">
      <c r="A3952" s="16" t="s">
        <v>87</v>
      </c>
      <c r="E3952" s="16" t="str">
        <f>IFERROR(__xludf.DUMMYFUNCTION("""COMPUTED_VALUE"""),"")</f>
        <v/>
      </c>
      <c r="G3952" s="18"/>
      <c r="H3952" s="16" t="s">
        <v>87</v>
      </c>
      <c r="I3952" s="16" t="s">
        <v>87</v>
      </c>
      <c r="J3952" s="19"/>
      <c r="L3952" s="16" t="str">
        <f>IFERROR(__xludf.DUMMYFUNCTION("""COMPUTED_VALUE"""),"")</f>
        <v/>
      </c>
      <c r="M3952" s="16" t="str">
        <f>IFERROR(__xludf.DUMMYFUNCTION("""COMPUTED_VALUE"""),"")</f>
        <v/>
      </c>
      <c r="U3952" s="16" t="s">
        <v>87</v>
      </c>
      <c r="V3952" s="16" t="str">
        <f>IFERROR(__xludf.DUMMYFUNCTION("""COMPUTED_VALUE"""),"")</f>
        <v/>
      </c>
      <c r="W3952" s="16" t="str">
        <f>IFERROR(__xludf.DUMMYFUNCTION("""COMPUTED_VALUE"""),"")</f>
        <v/>
      </c>
      <c r="X3952" s="16" t="str">
        <f>IFERROR(__xludf.DUMMYFUNCTION("""COMPUTED_VALUE"""),"")</f>
        <v/>
      </c>
      <c r="AC3952" s="16" t="str">
        <f>IFERROR(__xludf.DUMMYFUNCTION("""COMPUTED_VALUE"""),"")</f>
        <v/>
      </c>
    </row>
    <row r="3953">
      <c r="A3953" s="16" t="s">
        <v>87</v>
      </c>
      <c r="E3953" s="16" t="str">
        <f>IFERROR(__xludf.DUMMYFUNCTION("""COMPUTED_VALUE"""),"")</f>
        <v/>
      </c>
      <c r="G3953" s="18"/>
      <c r="H3953" s="16" t="s">
        <v>87</v>
      </c>
      <c r="I3953" s="16" t="s">
        <v>87</v>
      </c>
      <c r="J3953" s="19"/>
      <c r="L3953" s="16" t="str">
        <f>IFERROR(__xludf.DUMMYFUNCTION("""COMPUTED_VALUE"""),"")</f>
        <v/>
      </c>
      <c r="M3953" s="16" t="str">
        <f>IFERROR(__xludf.DUMMYFUNCTION("""COMPUTED_VALUE"""),"")</f>
        <v/>
      </c>
      <c r="U3953" s="16" t="s">
        <v>87</v>
      </c>
      <c r="V3953" s="16" t="str">
        <f>IFERROR(__xludf.DUMMYFUNCTION("""COMPUTED_VALUE"""),"")</f>
        <v/>
      </c>
      <c r="W3953" s="16" t="str">
        <f>IFERROR(__xludf.DUMMYFUNCTION("""COMPUTED_VALUE"""),"")</f>
        <v/>
      </c>
      <c r="X3953" s="16" t="str">
        <f>IFERROR(__xludf.DUMMYFUNCTION("""COMPUTED_VALUE"""),"")</f>
        <v/>
      </c>
      <c r="AC3953" s="16" t="str">
        <f>IFERROR(__xludf.DUMMYFUNCTION("""COMPUTED_VALUE"""),"")</f>
        <v/>
      </c>
    </row>
    <row r="3954">
      <c r="A3954" s="16" t="s">
        <v>87</v>
      </c>
      <c r="E3954" s="16" t="str">
        <f>IFERROR(__xludf.DUMMYFUNCTION("""COMPUTED_VALUE"""),"")</f>
        <v/>
      </c>
      <c r="G3954" s="18"/>
      <c r="H3954" s="16" t="s">
        <v>87</v>
      </c>
      <c r="I3954" s="16" t="s">
        <v>87</v>
      </c>
      <c r="J3954" s="19"/>
      <c r="L3954" s="16" t="str">
        <f>IFERROR(__xludf.DUMMYFUNCTION("""COMPUTED_VALUE"""),"")</f>
        <v/>
      </c>
      <c r="M3954" s="16" t="str">
        <f>IFERROR(__xludf.DUMMYFUNCTION("""COMPUTED_VALUE"""),"")</f>
        <v/>
      </c>
      <c r="U3954" s="16" t="s">
        <v>87</v>
      </c>
      <c r="V3954" s="16" t="str">
        <f>IFERROR(__xludf.DUMMYFUNCTION("""COMPUTED_VALUE"""),"")</f>
        <v/>
      </c>
      <c r="W3954" s="16" t="str">
        <f>IFERROR(__xludf.DUMMYFUNCTION("""COMPUTED_VALUE"""),"")</f>
        <v/>
      </c>
      <c r="X3954" s="16" t="str">
        <f>IFERROR(__xludf.DUMMYFUNCTION("""COMPUTED_VALUE"""),"")</f>
        <v/>
      </c>
      <c r="AC3954" s="16" t="str">
        <f>IFERROR(__xludf.DUMMYFUNCTION("""COMPUTED_VALUE"""),"")</f>
        <v/>
      </c>
    </row>
    <row r="3955">
      <c r="A3955" s="16" t="s">
        <v>87</v>
      </c>
      <c r="E3955" s="16" t="str">
        <f>IFERROR(__xludf.DUMMYFUNCTION("""COMPUTED_VALUE"""),"")</f>
        <v/>
      </c>
      <c r="G3955" s="18"/>
      <c r="H3955" s="16" t="s">
        <v>87</v>
      </c>
      <c r="I3955" s="16" t="s">
        <v>87</v>
      </c>
      <c r="J3955" s="19"/>
      <c r="L3955" s="16" t="str">
        <f>IFERROR(__xludf.DUMMYFUNCTION("""COMPUTED_VALUE"""),"")</f>
        <v/>
      </c>
      <c r="M3955" s="16" t="str">
        <f>IFERROR(__xludf.DUMMYFUNCTION("""COMPUTED_VALUE"""),"")</f>
        <v/>
      </c>
      <c r="U3955" s="16" t="s">
        <v>87</v>
      </c>
      <c r="V3955" s="16" t="str">
        <f>IFERROR(__xludf.DUMMYFUNCTION("""COMPUTED_VALUE"""),"")</f>
        <v/>
      </c>
      <c r="W3955" s="16" t="str">
        <f>IFERROR(__xludf.DUMMYFUNCTION("""COMPUTED_VALUE"""),"")</f>
        <v/>
      </c>
      <c r="X3955" s="16" t="str">
        <f>IFERROR(__xludf.DUMMYFUNCTION("""COMPUTED_VALUE"""),"")</f>
        <v/>
      </c>
      <c r="AC3955" s="16" t="str">
        <f>IFERROR(__xludf.DUMMYFUNCTION("""COMPUTED_VALUE"""),"")</f>
        <v/>
      </c>
    </row>
    <row r="3956">
      <c r="A3956" s="16" t="s">
        <v>87</v>
      </c>
      <c r="E3956" s="16" t="str">
        <f>IFERROR(__xludf.DUMMYFUNCTION("""COMPUTED_VALUE"""),"")</f>
        <v/>
      </c>
      <c r="G3956" s="18"/>
      <c r="H3956" s="16" t="s">
        <v>87</v>
      </c>
      <c r="I3956" s="16" t="s">
        <v>87</v>
      </c>
      <c r="J3956" s="19"/>
      <c r="L3956" s="16" t="str">
        <f>IFERROR(__xludf.DUMMYFUNCTION("""COMPUTED_VALUE"""),"")</f>
        <v/>
      </c>
      <c r="M3956" s="16" t="str">
        <f>IFERROR(__xludf.DUMMYFUNCTION("""COMPUTED_VALUE"""),"")</f>
        <v/>
      </c>
      <c r="U3956" s="16" t="s">
        <v>87</v>
      </c>
      <c r="V3956" s="16" t="str">
        <f>IFERROR(__xludf.DUMMYFUNCTION("""COMPUTED_VALUE"""),"")</f>
        <v/>
      </c>
      <c r="W3956" s="16" t="str">
        <f>IFERROR(__xludf.DUMMYFUNCTION("""COMPUTED_VALUE"""),"")</f>
        <v/>
      </c>
      <c r="X3956" s="16" t="str">
        <f>IFERROR(__xludf.DUMMYFUNCTION("""COMPUTED_VALUE"""),"")</f>
        <v/>
      </c>
      <c r="AC3956" s="16" t="str">
        <f>IFERROR(__xludf.DUMMYFUNCTION("""COMPUTED_VALUE"""),"")</f>
        <v/>
      </c>
    </row>
    <row r="3957">
      <c r="A3957" s="16" t="s">
        <v>87</v>
      </c>
      <c r="E3957" s="16" t="str">
        <f>IFERROR(__xludf.DUMMYFUNCTION("""COMPUTED_VALUE"""),"")</f>
        <v/>
      </c>
      <c r="G3957" s="18"/>
      <c r="H3957" s="16" t="s">
        <v>87</v>
      </c>
      <c r="I3957" s="16" t="s">
        <v>87</v>
      </c>
      <c r="J3957" s="19"/>
      <c r="L3957" s="16" t="str">
        <f>IFERROR(__xludf.DUMMYFUNCTION("""COMPUTED_VALUE"""),"")</f>
        <v/>
      </c>
      <c r="M3957" s="16" t="str">
        <f>IFERROR(__xludf.DUMMYFUNCTION("""COMPUTED_VALUE"""),"")</f>
        <v/>
      </c>
      <c r="U3957" s="16" t="s">
        <v>87</v>
      </c>
      <c r="V3957" s="16" t="str">
        <f>IFERROR(__xludf.DUMMYFUNCTION("""COMPUTED_VALUE"""),"")</f>
        <v/>
      </c>
      <c r="W3957" s="16" t="str">
        <f>IFERROR(__xludf.DUMMYFUNCTION("""COMPUTED_VALUE"""),"")</f>
        <v/>
      </c>
      <c r="X3957" s="16" t="str">
        <f>IFERROR(__xludf.DUMMYFUNCTION("""COMPUTED_VALUE"""),"")</f>
        <v/>
      </c>
      <c r="AC3957" s="16" t="str">
        <f>IFERROR(__xludf.DUMMYFUNCTION("""COMPUTED_VALUE"""),"")</f>
        <v/>
      </c>
    </row>
    <row r="3958">
      <c r="A3958" s="16" t="s">
        <v>87</v>
      </c>
      <c r="E3958" s="16" t="str">
        <f>IFERROR(__xludf.DUMMYFUNCTION("""COMPUTED_VALUE"""),"")</f>
        <v/>
      </c>
      <c r="G3958" s="18"/>
      <c r="H3958" s="16" t="s">
        <v>87</v>
      </c>
      <c r="I3958" s="16" t="s">
        <v>87</v>
      </c>
      <c r="J3958" s="19"/>
      <c r="L3958" s="16" t="str">
        <f>IFERROR(__xludf.DUMMYFUNCTION("""COMPUTED_VALUE"""),"")</f>
        <v/>
      </c>
      <c r="M3958" s="16" t="str">
        <f>IFERROR(__xludf.DUMMYFUNCTION("""COMPUTED_VALUE"""),"")</f>
        <v/>
      </c>
      <c r="U3958" s="16" t="s">
        <v>87</v>
      </c>
      <c r="V3958" s="16" t="str">
        <f>IFERROR(__xludf.DUMMYFUNCTION("""COMPUTED_VALUE"""),"")</f>
        <v/>
      </c>
      <c r="W3958" s="16" t="str">
        <f>IFERROR(__xludf.DUMMYFUNCTION("""COMPUTED_VALUE"""),"")</f>
        <v/>
      </c>
      <c r="X3958" s="16" t="str">
        <f>IFERROR(__xludf.DUMMYFUNCTION("""COMPUTED_VALUE"""),"")</f>
        <v/>
      </c>
      <c r="AC3958" s="16" t="str">
        <f>IFERROR(__xludf.DUMMYFUNCTION("""COMPUTED_VALUE"""),"")</f>
        <v/>
      </c>
    </row>
    <row r="3959">
      <c r="A3959" s="16" t="s">
        <v>87</v>
      </c>
      <c r="E3959" s="16" t="str">
        <f>IFERROR(__xludf.DUMMYFUNCTION("""COMPUTED_VALUE"""),"")</f>
        <v/>
      </c>
      <c r="G3959" s="18"/>
      <c r="H3959" s="16" t="s">
        <v>87</v>
      </c>
      <c r="I3959" s="16" t="s">
        <v>87</v>
      </c>
      <c r="J3959" s="19"/>
      <c r="L3959" s="16" t="str">
        <f>IFERROR(__xludf.DUMMYFUNCTION("""COMPUTED_VALUE"""),"")</f>
        <v/>
      </c>
      <c r="M3959" s="16" t="str">
        <f>IFERROR(__xludf.DUMMYFUNCTION("""COMPUTED_VALUE"""),"")</f>
        <v/>
      </c>
      <c r="U3959" s="16" t="s">
        <v>87</v>
      </c>
      <c r="V3959" s="16" t="str">
        <f>IFERROR(__xludf.DUMMYFUNCTION("""COMPUTED_VALUE"""),"")</f>
        <v/>
      </c>
      <c r="W3959" s="16" t="str">
        <f>IFERROR(__xludf.DUMMYFUNCTION("""COMPUTED_VALUE"""),"")</f>
        <v/>
      </c>
      <c r="X3959" s="16" t="str">
        <f>IFERROR(__xludf.DUMMYFUNCTION("""COMPUTED_VALUE"""),"")</f>
        <v/>
      </c>
      <c r="AC3959" s="16" t="str">
        <f>IFERROR(__xludf.DUMMYFUNCTION("""COMPUTED_VALUE"""),"")</f>
        <v/>
      </c>
    </row>
    <row r="3960">
      <c r="A3960" s="16" t="s">
        <v>87</v>
      </c>
      <c r="E3960" s="16" t="str">
        <f>IFERROR(__xludf.DUMMYFUNCTION("""COMPUTED_VALUE"""),"")</f>
        <v/>
      </c>
      <c r="G3960" s="18"/>
      <c r="H3960" s="16" t="s">
        <v>87</v>
      </c>
      <c r="I3960" s="16" t="s">
        <v>87</v>
      </c>
      <c r="J3960" s="19"/>
      <c r="L3960" s="16" t="str">
        <f>IFERROR(__xludf.DUMMYFUNCTION("""COMPUTED_VALUE"""),"")</f>
        <v/>
      </c>
      <c r="M3960" s="16" t="str">
        <f>IFERROR(__xludf.DUMMYFUNCTION("""COMPUTED_VALUE"""),"")</f>
        <v/>
      </c>
      <c r="U3960" s="16" t="s">
        <v>87</v>
      </c>
      <c r="V3960" s="16" t="str">
        <f>IFERROR(__xludf.DUMMYFUNCTION("""COMPUTED_VALUE"""),"")</f>
        <v/>
      </c>
      <c r="W3960" s="16" t="str">
        <f>IFERROR(__xludf.DUMMYFUNCTION("""COMPUTED_VALUE"""),"")</f>
        <v/>
      </c>
      <c r="X3960" s="16" t="str">
        <f>IFERROR(__xludf.DUMMYFUNCTION("""COMPUTED_VALUE"""),"")</f>
        <v/>
      </c>
      <c r="AC3960" s="16" t="str">
        <f>IFERROR(__xludf.DUMMYFUNCTION("""COMPUTED_VALUE"""),"")</f>
        <v/>
      </c>
    </row>
    <row r="3961">
      <c r="A3961" s="16" t="s">
        <v>87</v>
      </c>
      <c r="E3961" s="16" t="str">
        <f>IFERROR(__xludf.DUMMYFUNCTION("""COMPUTED_VALUE"""),"")</f>
        <v/>
      </c>
      <c r="G3961" s="18"/>
      <c r="H3961" s="16" t="s">
        <v>87</v>
      </c>
      <c r="I3961" s="16" t="s">
        <v>87</v>
      </c>
      <c r="J3961" s="19"/>
      <c r="L3961" s="16" t="str">
        <f>IFERROR(__xludf.DUMMYFUNCTION("""COMPUTED_VALUE"""),"")</f>
        <v/>
      </c>
      <c r="M3961" s="16" t="str">
        <f>IFERROR(__xludf.DUMMYFUNCTION("""COMPUTED_VALUE"""),"")</f>
        <v/>
      </c>
      <c r="U3961" s="16" t="s">
        <v>87</v>
      </c>
      <c r="V3961" s="16" t="str">
        <f>IFERROR(__xludf.DUMMYFUNCTION("""COMPUTED_VALUE"""),"")</f>
        <v/>
      </c>
      <c r="W3961" s="16" t="str">
        <f>IFERROR(__xludf.DUMMYFUNCTION("""COMPUTED_VALUE"""),"")</f>
        <v/>
      </c>
      <c r="X3961" s="16" t="str">
        <f>IFERROR(__xludf.DUMMYFUNCTION("""COMPUTED_VALUE"""),"")</f>
        <v/>
      </c>
      <c r="AC3961" s="16" t="str">
        <f>IFERROR(__xludf.DUMMYFUNCTION("""COMPUTED_VALUE"""),"")</f>
        <v/>
      </c>
    </row>
    <row r="3962">
      <c r="A3962" s="16" t="s">
        <v>87</v>
      </c>
      <c r="E3962" s="16" t="str">
        <f>IFERROR(__xludf.DUMMYFUNCTION("""COMPUTED_VALUE"""),"")</f>
        <v/>
      </c>
      <c r="G3962" s="18"/>
      <c r="H3962" s="16" t="s">
        <v>87</v>
      </c>
      <c r="I3962" s="16" t="s">
        <v>87</v>
      </c>
      <c r="J3962" s="19"/>
      <c r="L3962" s="16" t="str">
        <f>IFERROR(__xludf.DUMMYFUNCTION("""COMPUTED_VALUE"""),"")</f>
        <v/>
      </c>
      <c r="M3962" s="16" t="str">
        <f>IFERROR(__xludf.DUMMYFUNCTION("""COMPUTED_VALUE"""),"")</f>
        <v/>
      </c>
      <c r="U3962" s="16" t="s">
        <v>87</v>
      </c>
      <c r="V3962" s="16" t="str">
        <f>IFERROR(__xludf.DUMMYFUNCTION("""COMPUTED_VALUE"""),"")</f>
        <v/>
      </c>
      <c r="W3962" s="16" t="str">
        <f>IFERROR(__xludf.DUMMYFUNCTION("""COMPUTED_VALUE"""),"")</f>
        <v/>
      </c>
      <c r="X3962" s="16" t="str">
        <f>IFERROR(__xludf.DUMMYFUNCTION("""COMPUTED_VALUE"""),"")</f>
        <v/>
      </c>
      <c r="AC3962" s="16" t="str">
        <f>IFERROR(__xludf.DUMMYFUNCTION("""COMPUTED_VALUE"""),"")</f>
        <v/>
      </c>
    </row>
    <row r="3963">
      <c r="A3963" s="16" t="s">
        <v>87</v>
      </c>
      <c r="E3963" s="16" t="str">
        <f>IFERROR(__xludf.DUMMYFUNCTION("""COMPUTED_VALUE"""),"")</f>
        <v/>
      </c>
      <c r="G3963" s="18"/>
      <c r="H3963" s="16" t="s">
        <v>87</v>
      </c>
      <c r="I3963" s="16" t="s">
        <v>87</v>
      </c>
      <c r="J3963" s="19"/>
      <c r="L3963" s="16" t="str">
        <f>IFERROR(__xludf.DUMMYFUNCTION("""COMPUTED_VALUE"""),"")</f>
        <v/>
      </c>
      <c r="M3963" s="16" t="str">
        <f>IFERROR(__xludf.DUMMYFUNCTION("""COMPUTED_VALUE"""),"")</f>
        <v/>
      </c>
      <c r="U3963" s="16" t="s">
        <v>87</v>
      </c>
      <c r="V3963" s="16" t="str">
        <f>IFERROR(__xludf.DUMMYFUNCTION("""COMPUTED_VALUE"""),"")</f>
        <v/>
      </c>
      <c r="W3963" s="16" t="str">
        <f>IFERROR(__xludf.DUMMYFUNCTION("""COMPUTED_VALUE"""),"")</f>
        <v/>
      </c>
      <c r="X3963" s="16" t="str">
        <f>IFERROR(__xludf.DUMMYFUNCTION("""COMPUTED_VALUE"""),"")</f>
        <v/>
      </c>
      <c r="AC3963" s="16" t="str">
        <f>IFERROR(__xludf.DUMMYFUNCTION("""COMPUTED_VALUE"""),"")</f>
        <v/>
      </c>
    </row>
    <row r="3964">
      <c r="A3964" s="16" t="s">
        <v>87</v>
      </c>
      <c r="E3964" s="16" t="str">
        <f>IFERROR(__xludf.DUMMYFUNCTION("""COMPUTED_VALUE"""),"")</f>
        <v/>
      </c>
      <c r="G3964" s="18"/>
      <c r="H3964" s="16" t="s">
        <v>87</v>
      </c>
      <c r="I3964" s="16" t="s">
        <v>87</v>
      </c>
      <c r="J3964" s="19"/>
      <c r="L3964" s="16" t="str">
        <f>IFERROR(__xludf.DUMMYFUNCTION("""COMPUTED_VALUE"""),"")</f>
        <v/>
      </c>
      <c r="M3964" s="16" t="str">
        <f>IFERROR(__xludf.DUMMYFUNCTION("""COMPUTED_VALUE"""),"")</f>
        <v/>
      </c>
      <c r="U3964" s="16" t="s">
        <v>87</v>
      </c>
      <c r="V3964" s="16" t="str">
        <f>IFERROR(__xludf.DUMMYFUNCTION("""COMPUTED_VALUE"""),"")</f>
        <v/>
      </c>
      <c r="W3964" s="16" t="str">
        <f>IFERROR(__xludf.DUMMYFUNCTION("""COMPUTED_VALUE"""),"")</f>
        <v/>
      </c>
      <c r="X3964" s="16" t="str">
        <f>IFERROR(__xludf.DUMMYFUNCTION("""COMPUTED_VALUE"""),"")</f>
        <v/>
      </c>
      <c r="AC3964" s="16" t="str">
        <f>IFERROR(__xludf.DUMMYFUNCTION("""COMPUTED_VALUE"""),"")</f>
        <v/>
      </c>
    </row>
    <row r="3965">
      <c r="A3965" s="16" t="s">
        <v>87</v>
      </c>
      <c r="E3965" s="16" t="str">
        <f>IFERROR(__xludf.DUMMYFUNCTION("""COMPUTED_VALUE"""),"")</f>
        <v/>
      </c>
      <c r="G3965" s="18"/>
      <c r="H3965" s="16" t="s">
        <v>87</v>
      </c>
      <c r="I3965" s="16" t="s">
        <v>87</v>
      </c>
      <c r="J3965" s="19"/>
      <c r="L3965" s="16" t="str">
        <f>IFERROR(__xludf.DUMMYFUNCTION("""COMPUTED_VALUE"""),"")</f>
        <v/>
      </c>
      <c r="M3965" s="16" t="str">
        <f>IFERROR(__xludf.DUMMYFUNCTION("""COMPUTED_VALUE"""),"")</f>
        <v/>
      </c>
      <c r="U3965" s="16" t="s">
        <v>87</v>
      </c>
      <c r="V3965" s="16" t="str">
        <f>IFERROR(__xludf.DUMMYFUNCTION("""COMPUTED_VALUE"""),"")</f>
        <v/>
      </c>
      <c r="W3965" s="16" t="str">
        <f>IFERROR(__xludf.DUMMYFUNCTION("""COMPUTED_VALUE"""),"")</f>
        <v/>
      </c>
      <c r="X3965" s="16" t="str">
        <f>IFERROR(__xludf.DUMMYFUNCTION("""COMPUTED_VALUE"""),"")</f>
        <v/>
      </c>
      <c r="AC3965" s="16" t="str">
        <f>IFERROR(__xludf.DUMMYFUNCTION("""COMPUTED_VALUE"""),"")</f>
        <v/>
      </c>
    </row>
    <row r="3966">
      <c r="A3966" s="16" t="s">
        <v>87</v>
      </c>
      <c r="E3966" s="16" t="str">
        <f>IFERROR(__xludf.DUMMYFUNCTION("""COMPUTED_VALUE"""),"")</f>
        <v/>
      </c>
      <c r="G3966" s="18"/>
      <c r="H3966" s="16" t="s">
        <v>87</v>
      </c>
      <c r="I3966" s="16" t="s">
        <v>87</v>
      </c>
      <c r="J3966" s="19"/>
      <c r="L3966" s="16" t="str">
        <f>IFERROR(__xludf.DUMMYFUNCTION("""COMPUTED_VALUE"""),"")</f>
        <v/>
      </c>
      <c r="M3966" s="16" t="str">
        <f>IFERROR(__xludf.DUMMYFUNCTION("""COMPUTED_VALUE"""),"")</f>
        <v/>
      </c>
      <c r="U3966" s="16" t="s">
        <v>87</v>
      </c>
      <c r="V3966" s="16" t="str">
        <f>IFERROR(__xludf.DUMMYFUNCTION("""COMPUTED_VALUE"""),"")</f>
        <v/>
      </c>
      <c r="W3966" s="16" t="str">
        <f>IFERROR(__xludf.DUMMYFUNCTION("""COMPUTED_VALUE"""),"")</f>
        <v/>
      </c>
      <c r="X3966" s="16" t="str">
        <f>IFERROR(__xludf.DUMMYFUNCTION("""COMPUTED_VALUE"""),"")</f>
        <v/>
      </c>
      <c r="AC3966" s="16" t="str">
        <f>IFERROR(__xludf.DUMMYFUNCTION("""COMPUTED_VALUE"""),"")</f>
        <v/>
      </c>
    </row>
    <row r="3967">
      <c r="A3967" s="16" t="s">
        <v>87</v>
      </c>
      <c r="E3967" s="16" t="str">
        <f>IFERROR(__xludf.DUMMYFUNCTION("""COMPUTED_VALUE"""),"")</f>
        <v/>
      </c>
      <c r="G3967" s="18"/>
      <c r="H3967" s="16" t="s">
        <v>87</v>
      </c>
      <c r="I3967" s="16" t="s">
        <v>87</v>
      </c>
      <c r="J3967" s="19"/>
      <c r="L3967" s="16" t="str">
        <f>IFERROR(__xludf.DUMMYFUNCTION("""COMPUTED_VALUE"""),"")</f>
        <v/>
      </c>
      <c r="M3967" s="16" t="str">
        <f>IFERROR(__xludf.DUMMYFUNCTION("""COMPUTED_VALUE"""),"")</f>
        <v/>
      </c>
      <c r="U3967" s="16" t="s">
        <v>87</v>
      </c>
      <c r="V3967" s="16" t="str">
        <f>IFERROR(__xludf.DUMMYFUNCTION("""COMPUTED_VALUE"""),"")</f>
        <v/>
      </c>
      <c r="W3967" s="16" t="str">
        <f>IFERROR(__xludf.DUMMYFUNCTION("""COMPUTED_VALUE"""),"")</f>
        <v/>
      </c>
      <c r="X3967" s="16" t="str">
        <f>IFERROR(__xludf.DUMMYFUNCTION("""COMPUTED_VALUE"""),"")</f>
        <v/>
      </c>
      <c r="AC3967" s="16" t="str">
        <f>IFERROR(__xludf.DUMMYFUNCTION("""COMPUTED_VALUE"""),"")</f>
        <v/>
      </c>
    </row>
    <row r="3968">
      <c r="A3968" s="16" t="s">
        <v>87</v>
      </c>
      <c r="E3968" s="16" t="str">
        <f>IFERROR(__xludf.DUMMYFUNCTION("""COMPUTED_VALUE"""),"")</f>
        <v/>
      </c>
      <c r="G3968" s="18"/>
      <c r="H3968" s="16" t="s">
        <v>87</v>
      </c>
      <c r="I3968" s="16" t="s">
        <v>87</v>
      </c>
      <c r="J3968" s="19"/>
      <c r="L3968" s="16" t="str">
        <f>IFERROR(__xludf.DUMMYFUNCTION("""COMPUTED_VALUE"""),"")</f>
        <v/>
      </c>
      <c r="M3968" s="16" t="str">
        <f>IFERROR(__xludf.DUMMYFUNCTION("""COMPUTED_VALUE"""),"")</f>
        <v/>
      </c>
      <c r="U3968" s="16" t="s">
        <v>87</v>
      </c>
      <c r="V3968" s="16" t="str">
        <f>IFERROR(__xludf.DUMMYFUNCTION("""COMPUTED_VALUE"""),"")</f>
        <v/>
      </c>
      <c r="W3968" s="16" t="str">
        <f>IFERROR(__xludf.DUMMYFUNCTION("""COMPUTED_VALUE"""),"")</f>
        <v/>
      </c>
      <c r="X3968" s="16" t="str">
        <f>IFERROR(__xludf.DUMMYFUNCTION("""COMPUTED_VALUE"""),"")</f>
        <v/>
      </c>
      <c r="AC3968" s="16" t="str">
        <f>IFERROR(__xludf.DUMMYFUNCTION("""COMPUTED_VALUE"""),"")</f>
        <v/>
      </c>
    </row>
    <row r="3969">
      <c r="A3969" s="16" t="s">
        <v>87</v>
      </c>
      <c r="E3969" s="16" t="str">
        <f>IFERROR(__xludf.DUMMYFUNCTION("""COMPUTED_VALUE"""),"")</f>
        <v/>
      </c>
      <c r="G3969" s="18"/>
      <c r="H3969" s="16" t="s">
        <v>87</v>
      </c>
      <c r="I3969" s="16" t="s">
        <v>87</v>
      </c>
      <c r="J3969" s="19"/>
      <c r="L3969" s="16" t="str">
        <f>IFERROR(__xludf.DUMMYFUNCTION("""COMPUTED_VALUE"""),"")</f>
        <v/>
      </c>
      <c r="M3969" s="16" t="str">
        <f>IFERROR(__xludf.DUMMYFUNCTION("""COMPUTED_VALUE"""),"")</f>
        <v/>
      </c>
      <c r="U3969" s="16" t="s">
        <v>87</v>
      </c>
      <c r="V3969" s="16" t="str">
        <f>IFERROR(__xludf.DUMMYFUNCTION("""COMPUTED_VALUE"""),"")</f>
        <v/>
      </c>
      <c r="W3969" s="16" t="str">
        <f>IFERROR(__xludf.DUMMYFUNCTION("""COMPUTED_VALUE"""),"")</f>
        <v/>
      </c>
      <c r="X3969" s="16" t="str">
        <f>IFERROR(__xludf.DUMMYFUNCTION("""COMPUTED_VALUE"""),"")</f>
        <v/>
      </c>
      <c r="AC3969" s="16" t="str">
        <f>IFERROR(__xludf.DUMMYFUNCTION("""COMPUTED_VALUE"""),"")</f>
        <v/>
      </c>
    </row>
    <row r="3970">
      <c r="A3970" s="16" t="s">
        <v>87</v>
      </c>
      <c r="E3970" s="16" t="str">
        <f>IFERROR(__xludf.DUMMYFUNCTION("""COMPUTED_VALUE"""),"")</f>
        <v/>
      </c>
      <c r="G3970" s="18"/>
      <c r="H3970" s="16" t="s">
        <v>87</v>
      </c>
      <c r="I3970" s="16" t="s">
        <v>87</v>
      </c>
      <c r="J3970" s="19"/>
      <c r="L3970" s="16" t="str">
        <f>IFERROR(__xludf.DUMMYFUNCTION("""COMPUTED_VALUE"""),"")</f>
        <v/>
      </c>
      <c r="M3970" s="16" t="str">
        <f>IFERROR(__xludf.DUMMYFUNCTION("""COMPUTED_VALUE"""),"")</f>
        <v/>
      </c>
      <c r="U3970" s="16" t="s">
        <v>87</v>
      </c>
      <c r="V3970" s="16" t="str">
        <f>IFERROR(__xludf.DUMMYFUNCTION("""COMPUTED_VALUE"""),"")</f>
        <v/>
      </c>
      <c r="W3970" s="16" t="str">
        <f>IFERROR(__xludf.DUMMYFUNCTION("""COMPUTED_VALUE"""),"")</f>
        <v/>
      </c>
      <c r="X3970" s="16" t="str">
        <f>IFERROR(__xludf.DUMMYFUNCTION("""COMPUTED_VALUE"""),"")</f>
        <v/>
      </c>
      <c r="AC3970" s="16" t="str">
        <f>IFERROR(__xludf.DUMMYFUNCTION("""COMPUTED_VALUE"""),"")</f>
        <v/>
      </c>
    </row>
    <row r="3971">
      <c r="A3971" s="16" t="s">
        <v>87</v>
      </c>
      <c r="E3971" s="16" t="str">
        <f>IFERROR(__xludf.DUMMYFUNCTION("""COMPUTED_VALUE"""),"")</f>
        <v/>
      </c>
      <c r="G3971" s="18"/>
      <c r="H3971" s="16" t="s">
        <v>87</v>
      </c>
      <c r="I3971" s="16" t="s">
        <v>87</v>
      </c>
      <c r="J3971" s="19"/>
      <c r="L3971" s="16" t="str">
        <f>IFERROR(__xludf.DUMMYFUNCTION("""COMPUTED_VALUE"""),"")</f>
        <v/>
      </c>
      <c r="M3971" s="16" t="str">
        <f>IFERROR(__xludf.DUMMYFUNCTION("""COMPUTED_VALUE"""),"")</f>
        <v/>
      </c>
      <c r="U3971" s="16" t="s">
        <v>87</v>
      </c>
      <c r="V3971" s="16" t="str">
        <f>IFERROR(__xludf.DUMMYFUNCTION("""COMPUTED_VALUE"""),"")</f>
        <v/>
      </c>
      <c r="W3971" s="16" t="str">
        <f>IFERROR(__xludf.DUMMYFUNCTION("""COMPUTED_VALUE"""),"")</f>
        <v/>
      </c>
      <c r="X3971" s="16" t="str">
        <f>IFERROR(__xludf.DUMMYFUNCTION("""COMPUTED_VALUE"""),"")</f>
        <v/>
      </c>
      <c r="AC3971" s="16" t="str">
        <f>IFERROR(__xludf.DUMMYFUNCTION("""COMPUTED_VALUE"""),"")</f>
        <v/>
      </c>
    </row>
    <row r="3972">
      <c r="A3972" s="16" t="s">
        <v>87</v>
      </c>
      <c r="E3972" s="16" t="str">
        <f>IFERROR(__xludf.DUMMYFUNCTION("""COMPUTED_VALUE"""),"")</f>
        <v/>
      </c>
      <c r="G3972" s="18"/>
      <c r="H3972" s="16" t="s">
        <v>87</v>
      </c>
      <c r="I3972" s="16" t="s">
        <v>87</v>
      </c>
      <c r="J3972" s="19"/>
      <c r="L3972" s="16" t="str">
        <f>IFERROR(__xludf.DUMMYFUNCTION("""COMPUTED_VALUE"""),"")</f>
        <v/>
      </c>
      <c r="M3972" s="16" t="str">
        <f>IFERROR(__xludf.DUMMYFUNCTION("""COMPUTED_VALUE"""),"")</f>
        <v/>
      </c>
      <c r="U3972" s="16" t="s">
        <v>87</v>
      </c>
      <c r="V3972" s="16" t="str">
        <f>IFERROR(__xludf.DUMMYFUNCTION("""COMPUTED_VALUE"""),"")</f>
        <v/>
      </c>
      <c r="W3972" s="16" t="str">
        <f>IFERROR(__xludf.DUMMYFUNCTION("""COMPUTED_VALUE"""),"")</f>
        <v/>
      </c>
      <c r="X3972" s="16" t="str">
        <f>IFERROR(__xludf.DUMMYFUNCTION("""COMPUTED_VALUE"""),"")</f>
        <v/>
      </c>
      <c r="AC3972" s="16" t="str">
        <f>IFERROR(__xludf.DUMMYFUNCTION("""COMPUTED_VALUE"""),"")</f>
        <v/>
      </c>
    </row>
    <row r="3973">
      <c r="A3973" s="16" t="s">
        <v>87</v>
      </c>
      <c r="E3973" s="16" t="str">
        <f>IFERROR(__xludf.DUMMYFUNCTION("""COMPUTED_VALUE"""),"")</f>
        <v/>
      </c>
      <c r="G3973" s="18"/>
      <c r="H3973" s="16" t="s">
        <v>87</v>
      </c>
      <c r="I3973" s="16" t="s">
        <v>87</v>
      </c>
      <c r="J3973" s="19"/>
      <c r="L3973" s="16" t="str">
        <f>IFERROR(__xludf.DUMMYFUNCTION("""COMPUTED_VALUE"""),"")</f>
        <v/>
      </c>
      <c r="M3973" s="16" t="str">
        <f>IFERROR(__xludf.DUMMYFUNCTION("""COMPUTED_VALUE"""),"")</f>
        <v/>
      </c>
      <c r="U3973" s="16" t="s">
        <v>87</v>
      </c>
      <c r="V3973" s="16" t="str">
        <f>IFERROR(__xludf.DUMMYFUNCTION("""COMPUTED_VALUE"""),"")</f>
        <v/>
      </c>
      <c r="W3973" s="16" t="str">
        <f>IFERROR(__xludf.DUMMYFUNCTION("""COMPUTED_VALUE"""),"")</f>
        <v/>
      </c>
      <c r="X3973" s="16" t="str">
        <f>IFERROR(__xludf.DUMMYFUNCTION("""COMPUTED_VALUE"""),"")</f>
        <v/>
      </c>
      <c r="AC3973" s="16" t="str">
        <f>IFERROR(__xludf.DUMMYFUNCTION("""COMPUTED_VALUE"""),"")</f>
        <v/>
      </c>
    </row>
    <row r="3974">
      <c r="A3974" s="16" t="s">
        <v>87</v>
      </c>
      <c r="E3974" s="16" t="str">
        <f>IFERROR(__xludf.DUMMYFUNCTION("""COMPUTED_VALUE"""),"")</f>
        <v/>
      </c>
      <c r="G3974" s="18"/>
      <c r="H3974" s="16" t="s">
        <v>87</v>
      </c>
      <c r="I3974" s="16" t="s">
        <v>87</v>
      </c>
      <c r="J3974" s="19"/>
      <c r="L3974" s="16" t="str">
        <f>IFERROR(__xludf.DUMMYFUNCTION("""COMPUTED_VALUE"""),"")</f>
        <v/>
      </c>
      <c r="M3974" s="16" t="str">
        <f>IFERROR(__xludf.DUMMYFUNCTION("""COMPUTED_VALUE"""),"")</f>
        <v/>
      </c>
      <c r="U3974" s="16" t="s">
        <v>87</v>
      </c>
      <c r="V3974" s="16" t="str">
        <f>IFERROR(__xludf.DUMMYFUNCTION("""COMPUTED_VALUE"""),"")</f>
        <v/>
      </c>
      <c r="W3974" s="16" t="str">
        <f>IFERROR(__xludf.DUMMYFUNCTION("""COMPUTED_VALUE"""),"")</f>
        <v/>
      </c>
      <c r="X3974" s="16" t="str">
        <f>IFERROR(__xludf.DUMMYFUNCTION("""COMPUTED_VALUE"""),"")</f>
        <v/>
      </c>
      <c r="AC3974" s="16" t="str">
        <f>IFERROR(__xludf.DUMMYFUNCTION("""COMPUTED_VALUE"""),"")</f>
        <v/>
      </c>
    </row>
    <row r="3975">
      <c r="A3975" s="16" t="s">
        <v>87</v>
      </c>
      <c r="E3975" s="16" t="str">
        <f>IFERROR(__xludf.DUMMYFUNCTION("""COMPUTED_VALUE"""),"")</f>
        <v/>
      </c>
      <c r="G3975" s="18"/>
      <c r="H3975" s="16" t="s">
        <v>87</v>
      </c>
      <c r="I3975" s="16" t="s">
        <v>87</v>
      </c>
      <c r="J3975" s="19"/>
      <c r="L3975" s="16" t="str">
        <f>IFERROR(__xludf.DUMMYFUNCTION("""COMPUTED_VALUE"""),"")</f>
        <v/>
      </c>
      <c r="M3975" s="16" t="str">
        <f>IFERROR(__xludf.DUMMYFUNCTION("""COMPUTED_VALUE"""),"")</f>
        <v/>
      </c>
      <c r="U3975" s="16" t="s">
        <v>87</v>
      </c>
      <c r="V3975" s="16" t="str">
        <f>IFERROR(__xludf.DUMMYFUNCTION("""COMPUTED_VALUE"""),"")</f>
        <v/>
      </c>
      <c r="W3975" s="16" t="str">
        <f>IFERROR(__xludf.DUMMYFUNCTION("""COMPUTED_VALUE"""),"")</f>
        <v/>
      </c>
      <c r="X3975" s="16" t="str">
        <f>IFERROR(__xludf.DUMMYFUNCTION("""COMPUTED_VALUE"""),"")</f>
        <v/>
      </c>
      <c r="AC3975" s="16" t="str">
        <f>IFERROR(__xludf.DUMMYFUNCTION("""COMPUTED_VALUE"""),"")</f>
        <v/>
      </c>
    </row>
    <row r="3976">
      <c r="A3976" s="16" t="s">
        <v>87</v>
      </c>
      <c r="E3976" s="16" t="str">
        <f>IFERROR(__xludf.DUMMYFUNCTION("""COMPUTED_VALUE"""),"")</f>
        <v/>
      </c>
      <c r="G3976" s="18"/>
      <c r="H3976" s="16" t="s">
        <v>87</v>
      </c>
      <c r="I3976" s="16" t="s">
        <v>87</v>
      </c>
      <c r="J3976" s="19"/>
      <c r="L3976" s="16" t="str">
        <f>IFERROR(__xludf.DUMMYFUNCTION("""COMPUTED_VALUE"""),"")</f>
        <v/>
      </c>
      <c r="M3976" s="16" t="str">
        <f>IFERROR(__xludf.DUMMYFUNCTION("""COMPUTED_VALUE"""),"")</f>
        <v/>
      </c>
      <c r="U3976" s="16" t="s">
        <v>87</v>
      </c>
      <c r="V3976" s="16" t="str">
        <f>IFERROR(__xludf.DUMMYFUNCTION("""COMPUTED_VALUE"""),"")</f>
        <v/>
      </c>
      <c r="W3976" s="16" t="str">
        <f>IFERROR(__xludf.DUMMYFUNCTION("""COMPUTED_VALUE"""),"")</f>
        <v/>
      </c>
      <c r="X3976" s="16" t="str">
        <f>IFERROR(__xludf.DUMMYFUNCTION("""COMPUTED_VALUE"""),"")</f>
        <v/>
      </c>
      <c r="AC3976" s="16" t="str">
        <f>IFERROR(__xludf.DUMMYFUNCTION("""COMPUTED_VALUE"""),"")</f>
        <v/>
      </c>
    </row>
    <row r="3977">
      <c r="A3977" s="16" t="s">
        <v>87</v>
      </c>
      <c r="E3977" s="16" t="str">
        <f>IFERROR(__xludf.DUMMYFUNCTION("""COMPUTED_VALUE"""),"")</f>
        <v/>
      </c>
      <c r="G3977" s="18"/>
      <c r="H3977" s="16" t="s">
        <v>87</v>
      </c>
      <c r="I3977" s="16" t="s">
        <v>87</v>
      </c>
      <c r="J3977" s="19"/>
      <c r="L3977" s="16" t="str">
        <f>IFERROR(__xludf.DUMMYFUNCTION("""COMPUTED_VALUE"""),"")</f>
        <v/>
      </c>
      <c r="M3977" s="16" t="str">
        <f>IFERROR(__xludf.DUMMYFUNCTION("""COMPUTED_VALUE"""),"")</f>
        <v/>
      </c>
      <c r="U3977" s="16" t="s">
        <v>87</v>
      </c>
      <c r="V3977" s="16" t="str">
        <f>IFERROR(__xludf.DUMMYFUNCTION("""COMPUTED_VALUE"""),"")</f>
        <v/>
      </c>
      <c r="W3977" s="16" t="str">
        <f>IFERROR(__xludf.DUMMYFUNCTION("""COMPUTED_VALUE"""),"")</f>
        <v/>
      </c>
      <c r="X3977" s="16" t="str">
        <f>IFERROR(__xludf.DUMMYFUNCTION("""COMPUTED_VALUE"""),"")</f>
        <v/>
      </c>
      <c r="AC3977" s="16" t="str">
        <f>IFERROR(__xludf.DUMMYFUNCTION("""COMPUTED_VALUE"""),"")</f>
        <v/>
      </c>
    </row>
    <row r="3978">
      <c r="A3978" s="16" t="s">
        <v>87</v>
      </c>
      <c r="E3978" s="16" t="str">
        <f>IFERROR(__xludf.DUMMYFUNCTION("""COMPUTED_VALUE"""),"")</f>
        <v/>
      </c>
      <c r="G3978" s="18"/>
      <c r="H3978" s="16" t="s">
        <v>87</v>
      </c>
      <c r="I3978" s="16" t="s">
        <v>87</v>
      </c>
      <c r="J3978" s="19"/>
      <c r="L3978" s="16" t="str">
        <f>IFERROR(__xludf.DUMMYFUNCTION("""COMPUTED_VALUE"""),"")</f>
        <v/>
      </c>
      <c r="M3978" s="16" t="str">
        <f>IFERROR(__xludf.DUMMYFUNCTION("""COMPUTED_VALUE"""),"")</f>
        <v/>
      </c>
      <c r="U3978" s="16" t="s">
        <v>87</v>
      </c>
      <c r="V3978" s="16" t="str">
        <f>IFERROR(__xludf.DUMMYFUNCTION("""COMPUTED_VALUE"""),"")</f>
        <v/>
      </c>
      <c r="W3978" s="16" t="str">
        <f>IFERROR(__xludf.DUMMYFUNCTION("""COMPUTED_VALUE"""),"")</f>
        <v/>
      </c>
      <c r="X3978" s="16" t="str">
        <f>IFERROR(__xludf.DUMMYFUNCTION("""COMPUTED_VALUE"""),"")</f>
        <v/>
      </c>
      <c r="AC3978" s="16" t="str">
        <f>IFERROR(__xludf.DUMMYFUNCTION("""COMPUTED_VALUE"""),"")</f>
        <v/>
      </c>
    </row>
    <row r="3979">
      <c r="A3979" s="16" t="s">
        <v>87</v>
      </c>
      <c r="E3979" s="16" t="str">
        <f>IFERROR(__xludf.DUMMYFUNCTION("""COMPUTED_VALUE"""),"")</f>
        <v/>
      </c>
      <c r="G3979" s="18"/>
      <c r="H3979" s="16" t="s">
        <v>87</v>
      </c>
      <c r="I3979" s="16" t="s">
        <v>87</v>
      </c>
      <c r="J3979" s="19"/>
      <c r="L3979" s="16" t="str">
        <f>IFERROR(__xludf.DUMMYFUNCTION("""COMPUTED_VALUE"""),"")</f>
        <v/>
      </c>
      <c r="M3979" s="16" t="str">
        <f>IFERROR(__xludf.DUMMYFUNCTION("""COMPUTED_VALUE"""),"")</f>
        <v/>
      </c>
      <c r="U3979" s="16" t="s">
        <v>87</v>
      </c>
      <c r="V3979" s="16" t="str">
        <f>IFERROR(__xludf.DUMMYFUNCTION("""COMPUTED_VALUE"""),"")</f>
        <v/>
      </c>
      <c r="W3979" s="16" t="str">
        <f>IFERROR(__xludf.DUMMYFUNCTION("""COMPUTED_VALUE"""),"")</f>
        <v/>
      </c>
      <c r="X3979" s="16" t="str">
        <f>IFERROR(__xludf.DUMMYFUNCTION("""COMPUTED_VALUE"""),"")</f>
        <v/>
      </c>
      <c r="AC3979" s="16" t="str">
        <f>IFERROR(__xludf.DUMMYFUNCTION("""COMPUTED_VALUE"""),"")</f>
        <v/>
      </c>
    </row>
    <row r="3980">
      <c r="A3980" s="16" t="s">
        <v>87</v>
      </c>
      <c r="E3980" s="16" t="str">
        <f>IFERROR(__xludf.DUMMYFUNCTION("""COMPUTED_VALUE"""),"")</f>
        <v/>
      </c>
      <c r="G3980" s="18"/>
      <c r="H3980" s="16" t="s">
        <v>87</v>
      </c>
      <c r="I3980" s="16" t="s">
        <v>87</v>
      </c>
      <c r="J3980" s="19"/>
      <c r="L3980" s="16" t="str">
        <f>IFERROR(__xludf.DUMMYFUNCTION("""COMPUTED_VALUE"""),"")</f>
        <v/>
      </c>
      <c r="M3980" s="16" t="str">
        <f>IFERROR(__xludf.DUMMYFUNCTION("""COMPUTED_VALUE"""),"")</f>
        <v/>
      </c>
      <c r="U3980" s="16" t="s">
        <v>87</v>
      </c>
      <c r="V3980" s="16" t="str">
        <f>IFERROR(__xludf.DUMMYFUNCTION("""COMPUTED_VALUE"""),"")</f>
        <v/>
      </c>
      <c r="W3980" s="16" t="str">
        <f>IFERROR(__xludf.DUMMYFUNCTION("""COMPUTED_VALUE"""),"")</f>
        <v/>
      </c>
      <c r="X3980" s="16" t="str">
        <f>IFERROR(__xludf.DUMMYFUNCTION("""COMPUTED_VALUE"""),"")</f>
        <v/>
      </c>
      <c r="AC3980" s="16" t="str">
        <f>IFERROR(__xludf.DUMMYFUNCTION("""COMPUTED_VALUE"""),"")</f>
        <v/>
      </c>
    </row>
    <row r="3981">
      <c r="A3981" s="16" t="s">
        <v>87</v>
      </c>
      <c r="E3981" s="16" t="str">
        <f>IFERROR(__xludf.DUMMYFUNCTION("""COMPUTED_VALUE"""),"")</f>
        <v/>
      </c>
      <c r="G3981" s="18"/>
      <c r="H3981" s="16" t="s">
        <v>87</v>
      </c>
      <c r="I3981" s="16" t="s">
        <v>87</v>
      </c>
      <c r="J3981" s="19"/>
      <c r="L3981" s="16" t="str">
        <f>IFERROR(__xludf.DUMMYFUNCTION("""COMPUTED_VALUE"""),"")</f>
        <v/>
      </c>
      <c r="M3981" s="16" t="str">
        <f>IFERROR(__xludf.DUMMYFUNCTION("""COMPUTED_VALUE"""),"")</f>
        <v/>
      </c>
      <c r="U3981" s="16" t="s">
        <v>87</v>
      </c>
      <c r="V3981" s="16" t="str">
        <f>IFERROR(__xludf.DUMMYFUNCTION("""COMPUTED_VALUE"""),"")</f>
        <v/>
      </c>
      <c r="W3981" s="16" t="str">
        <f>IFERROR(__xludf.DUMMYFUNCTION("""COMPUTED_VALUE"""),"")</f>
        <v/>
      </c>
      <c r="X3981" s="16" t="str">
        <f>IFERROR(__xludf.DUMMYFUNCTION("""COMPUTED_VALUE"""),"")</f>
        <v/>
      </c>
      <c r="AC3981" s="16" t="str">
        <f>IFERROR(__xludf.DUMMYFUNCTION("""COMPUTED_VALUE"""),"")</f>
        <v/>
      </c>
    </row>
    <row r="3982">
      <c r="A3982" s="16" t="s">
        <v>87</v>
      </c>
      <c r="E3982" s="16" t="str">
        <f>IFERROR(__xludf.DUMMYFUNCTION("""COMPUTED_VALUE"""),"")</f>
        <v/>
      </c>
      <c r="G3982" s="18"/>
      <c r="H3982" s="16" t="s">
        <v>87</v>
      </c>
      <c r="I3982" s="16" t="s">
        <v>87</v>
      </c>
      <c r="J3982" s="19"/>
      <c r="L3982" s="16" t="str">
        <f>IFERROR(__xludf.DUMMYFUNCTION("""COMPUTED_VALUE"""),"")</f>
        <v/>
      </c>
      <c r="M3982" s="16" t="str">
        <f>IFERROR(__xludf.DUMMYFUNCTION("""COMPUTED_VALUE"""),"")</f>
        <v/>
      </c>
      <c r="U3982" s="16" t="s">
        <v>87</v>
      </c>
      <c r="V3982" s="16" t="str">
        <f>IFERROR(__xludf.DUMMYFUNCTION("""COMPUTED_VALUE"""),"")</f>
        <v/>
      </c>
      <c r="W3982" s="16" t="str">
        <f>IFERROR(__xludf.DUMMYFUNCTION("""COMPUTED_VALUE"""),"")</f>
        <v/>
      </c>
      <c r="X3982" s="16" t="str">
        <f>IFERROR(__xludf.DUMMYFUNCTION("""COMPUTED_VALUE"""),"")</f>
        <v/>
      </c>
      <c r="AC3982" s="16" t="str">
        <f>IFERROR(__xludf.DUMMYFUNCTION("""COMPUTED_VALUE"""),"")</f>
        <v/>
      </c>
    </row>
    <row r="3983">
      <c r="A3983" s="16" t="s">
        <v>87</v>
      </c>
      <c r="E3983" s="16" t="str">
        <f>IFERROR(__xludf.DUMMYFUNCTION("""COMPUTED_VALUE"""),"")</f>
        <v/>
      </c>
      <c r="G3983" s="18"/>
      <c r="H3983" s="16" t="s">
        <v>87</v>
      </c>
      <c r="I3983" s="16" t="s">
        <v>87</v>
      </c>
      <c r="J3983" s="19"/>
      <c r="L3983" s="16" t="str">
        <f>IFERROR(__xludf.DUMMYFUNCTION("""COMPUTED_VALUE"""),"")</f>
        <v/>
      </c>
      <c r="M3983" s="16" t="str">
        <f>IFERROR(__xludf.DUMMYFUNCTION("""COMPUTED_VALUE"""),"")</f>
        <v/>
      </c>
      <c r="U3983" s="16" t="s">
        <v>87</v>
      </c>
      <c r="V3983" s="16" t="str">
        <f>IFERROR(__xludf.DUMMYFUNCTION("""COMPUTED_VALUE"""),"")</f>
        <v/>
      </c>
      <c r="W3983" s="16" t="str">
        <f>IFERROR(__xludf.DUMMYFUNCTION("""COMPUTED_VALUE"""),"")</f>
        <v/>
      </c>
      <c r="X3983" s="16" t="str">
        <f>IFERROR(__xludf.DUMMYFUNCTION("""COMPUTED_VALUE"""),"")</f>
        <v/>
      </c>
      <c r="AC3983" s="16" t="str">
        <f>IFERROR(__xludf.DUMMYFUNCTION("""COMPUTED_VALUE"""),"")</f>
        <v/>
      </c>
    </row>
    <row r="3984">
      <c r="A3984" s="16" t="s">
        <v>87</v>
      </c>
      <c r="E3984" s="16" t="str">
        <f>IFERROR(__xludf.DUMMYFUNCTION("""COMPUTED_VALUE"""),"")</f>
        <v/>
      </c>
      <c r="G3984" s="18"/>
      <c r="H3984" s="16" t="s">
        <v>87</v>
      </c>
      <c r="I3984" s="16" t="s">
        <v>87</v>
      </c>
      <c r="J3984" s="19"/>
      <c r="L3984" s="16" t="str">
        <f>IFERROR(__xludf.DUMMYFUNCTION("""COMPUTED_VALUE"""),"")</f>
        <v/>
      </c>
      <c r="M3984" s="16" t="str">
        <f>IFERROR(__xludf.DUMMYFUNCTION("""COMPUTED_VALUE"""),"")</f>
        <v/>
      </c>
      <c r="U3984" s="16" t="s">
        <v>87</v>
      </c>
      <c r="V3984" s="16" t="str">
        <f>IFERROR(__xludf.DUMMYFUNCTION("""COMPUTED_VALUE"""),"")</f>
        <v/>
      </c>
      <c r="W3984" s="16" t="str">
        <f>IFERROR(__xludf.DUMMYFUNCTION("""COMPUTED_VALUE"""),"")</f>
        <v/>
      </c>
      <c r="X3984" s="16" t="str">
        <f>IFERROR(__xludf.DUMMYFUNCTION("""COMPUTED_VALUE"""),"")</f>
        <v/>
      </c>
      <c r="AC3984" s="16" t="str">
        <f>IFERROR(__xludf.DUMMYFUNCTION("""COMPUTED_VALUE"""),"")</f>
        <v/>
      </c>
    </row>
    <row r="3985">
      <c r="A3985" s="16" t="s">
        <v>87</v>
      </c>
      <c r="E3985" s="16" t="str">
        <f>IFERROR(__xludf.DUMMYFUNCTION("""COMPUTED_VALUE"""),"")</f>
        <v/>
      </c>
      <c r="G3985" s="18"/>
      <c r="H3985" s="16" t="s">
        <v>87</v>
      </c>
      <c r="I3985" s="16" t="s">
        <v>87</v>
      </c>
      <c r="J3985" s="19"/>
      <c r="L3985" s="16" t="str">
        <f>IFERROR(__xludf.DUMMYFUNCTION("""COMPUTED_VALUE"""),"")</f>
        <v/>
      </c>
      <c r="M3985" s="16" t="str">
        <f>IFERROR(__xludf.DUMMYFUNCTION("""COMPUTED_VALUE"""),"")</f>
        <v/>
      </c>
      <c r="U3985" s="16" t="s">
        <v>87</v>
      </c>
      <c r="V3985" s="16" t="str">
        <f>IFERROR(__xludf.DUMMYFUNCTION("""COMPUTED_VALUE"""),"")</f>
        <v/>
      </c>
      <c r="W3985" s="16" t="str">
        <f>IFERROR(__xludf.DUMMYFUNCTION("""COMPUTED_VALUE"""),"")</f>
        <v/>
      </c>
      <c r="X3985" s="16" t="str">
        <f>IFERROR(__xludf.DUMMYFUNCTION("""COMPUTED_VALUE"""),"")</f>
        <v/>
      </c>
      <c r="AC3985" s="16" t="str">
        <f>IFERROR(__xludf.DUMMYFUNCTION("""COMPUTED_VALUE"""),"")</f>
        <v/>
      </c>
    </row>
    <row r="3986">
      <c r="A3986" s="16" t="s">
        <v>87</v>
      </c>
      <c r="E3986" s="16" t="str">
        <f>IFERROR(__xludf.DUMMYFUNCTION("""COMPUTED_VALUE"""),"")</f>
        <v/>
      </c>
      <c r="G3986" s="18"/>
      <c r="H3986" s="16" t="s">
        <v>87</v>
      </c>
      <c r="I3986" s="16" t="s">
        <v>87</v>
      </c>
      <c r="J3986" s="19"/>
      <c r="L3986" s="16" t="str">
        <f>IFERROR(__xludf.DUMMYFUNCTION("""COMPUTED_VALUE"""),"")</f>
        <v/>
      </c>
      <c r="M3986" s="16" t="str">
        <f>IFERROR(__xludf.DUMMYFUNCTION("""COMPUTED_VALUE"""),"")</f>
        <v/>
      </c>
      <c r="U3986" s="16" t="s">
        <v>87</v>
      </c>
      <c r="V3986" s="16" t="str">
        <f>IFERROR(__xludf.DUMMYFUNCTION("""COMPUTED_VALUE"""),"")</f>
        <v/>
      </c>
      <c r="W3986" s="16" t="str">
        <f>IFERROR(__xludf.DUMMYFUNCTION("""COMPUTED_VALUE"""),"")</f>
        <v/>
      </c>
      <c r="X3986" s="16" t="str">
        <f>IFERROR(__xludf.DUMMYFUNCTION("""COMPUTED_VALUE"""),"")</f>
        <v/>
      </c>
      <c r="AC3986" s="16" t="str">
        <f>IFERROR(__xludf.DUMMYFUNCTION("""COMPUTED_VALUE"""),"")</f>
        <v/>
      </c>
    </row>
    <row r="3987">
      <c r="A3987" s="16" t="s">
        <v>87</v>
      </c>
      <c r="E3987" s="16" t="str">
        <f>IFERROR(__xludf.DUMMYFUNCTION("""COMPUTED_VALUE"""),"")</f>
        <v/>
      </c>
      <c r="G3987" s="18"/>
      <c r="H3987" s="16" t="s">
        <v>87</v>
      </c>
      <c r="I3987" s="16" t="s">
        <v>87</v>
      </c>
      <c r="J3987" s="19"/>
      <c r="L3987" s="16" t="str">
        <f>IFERROR(__xludf.DUMMYFUNCTION("""COMPUTED_VALUE"""),"")</f>
        <v/>
      </c>
      <c r="M3987" s="16" t="str">
        <f>IFERROR(__xludf.DUMMYFUNCTION("""COMPUTED_VALUE"""),"")</f>
        <v/>
      </c>
      <c r="U3987" s="16" t="s">
        <v>87</v>
      </c>
      <c r="V3987" s="16" t="str">
        <f>IFERROR(__xludf.DUMMYFUNCTION("""COMPUTED_VALUE"""),"")</f>
        <v/>
      </c>
      <c r="W3987" s="16" t="str">
        <f>IFERROR(__xludf.DUMMYFUNCTION("""COMPUTED_VALUE"""),"")</f>
        <v/>
      </c>
      <c r="X3987" s="16" t="str">
        <f>IFERROR(__xludf.DUMMYFUNCTION("""COMPUTED_VALUE"""),"")</f>
        <v/>
      </c>
      <c r="AC3987" s="16" t="str">
        <f>IFERROR(__xludf.DUMMYFUNCTION("""COMPUTED_VALUE"""),"")</f>
        <v/>
      </c>
    </row>
    <row r="3988">
      <c r="A3988" s="16" t="s">
        <v>87</v>
      </c>
      <c r="E3988" s="16" t="str">
        <f>IFERROR(__xludf.DUMMYFUNCTION("""COMPUTED_VALUE"""),"")</f>
        <v/>
      </c>
      <c r="G3988" s="18"/>
      <c r="H3988" s="16" t="s">
        <v>87</v>
      </c>
      <c r="I3988" s="16" t="s">
        <v>87</v>
      </c>
      <c r="J3988" s="19"/>
      <c r="L3988" s="16" t="str">
        <f>IFERROR(__xludf.DUMMYFUNCTION("""COMPUTED_VALUE"""),"")</f>
        <v/>
      </c>
      <c r="M3988" s="16" t="str">
        <f>IFERROR(__xludf.DUMMYFUNCTION("""COMPUTED_VALUE"""),"")</f>
        <v/>
      </c>
      <c r="U3988" s="16" t="s">
        <v>87</v>
      </c>
      <c r="V3988" s="16" t="str">
        <f>IFERROR(__xludf.DUMMYFUNCTION("""COMPUTED_VALUE"""),"")</f>
        <v/>
      </c>
      <c r="W3988" s="16" t="str">
        <f>IFERROR(__xludf.DUMMYFUNCTION("""COMPUTED_VALUE"""),"")</f>
        <v/>
      </c>
      <c r="X3988" s="16" t="str">
        <f>IFERROR(__xludf.DUMMYFUNCTION("""COMPUTED_VALUE"""),"")</f>
        <v/>
      </c>
      <c r="AC3988" s="16" t="str">
        <f>IFERROR(__xludf.DUMMYFUNCTION("""COMPUTED_VALUE"""),"")</f>
        <v/>
      </c>
    </row>
    <row r="3989">
      <c r="A3989" s="16" t="s">
        <v>87</v>
      </c>
      <c r="E3989" s="16" t="str">
        <f>IFERROR(__xludf.DUMMYFUNCTION("""COMPUTED_VALUE"""),"")</f>
        <v/>
      </c>
      <c r="G3989" s="18"/>
      <c r="H3989" s="16" t="s">
        <v>87</v>
      </c>
      <c r="I3989" s="16" t="s">
        <v>87</v>
      </c>
      <c r="J3989" s="19"/>
      <c r="L3989" s="16" t="str">
        <f>IFERROR(__xludf.DUMMYFUNCTION("""COMPUTED_VALUE"""),"")</f>
        <v/>
      </c>
      <c r="M3989" s="16" t="str">
        <f>IFERROR(__xludf.DUMMYFUNCTION("""COMPUTED_VALUE"""),"")</f>
        <v/>
      </c>
      <c r="U3989" s="16" t="s">
        <v>87</v>
      </c>
      <c r="V3989" s="16" t="str">
        <f>IFERROR(__xludf.DUMMYFUNCTION("""COMPUTED_VALUE"""),"")</f>
        <v/>
      </c>
      <c r="W3989" s="16" t="str">
        <f>IFERROR(__xludf.DUMMYFUNCTION("""COMPUTED_VALUE"""),"")</f>
        <v/>
      </c>
      <c r="X3989" s="16" t="str">
        <f>IFERROR(__xludf.DUMMYFUNCTION("""COMPUTED_VALUE"""),"")</f>
        <v/>
      </c>
      <c r="AC3989" s="16" t="str">
        <f>IFERROR(__xludf.DUMMYFUNCTION("""COMPUTED_VALUE"""),"")</f>
        <v/>
      </c>
    </row>
    <row r="3990">
      <c r="A3990" s="16" t="s">
        <v>87</v>
      </c>
      <c r="E3990" s="16" t="str">
        <f>IFERROR(__xludf.DUMMYFUNCTION("""COMPUTED_VALUE"""),"")</f>
        <v/>
      </c>
      <c r="G3990" s="18"/>
      <c r="H3990" s="16" t="s">
        <v>87</v>
      </c>
      <c r="I3990" s="16" t="s">
        <v>87</v>
      </c>
      <c r="J3990" s="19"/>
      <c r="L3990" s="16" t="str">
        <f>IFERROR(__xludf.DUMMYFUNCTION("""COMPUTED_VALUE"""),"")</f>
        <v/>
      </c>
      <c r="M3990" s="16" t="str">
        <f>IFERROR(__xludf.DUMMYFUNCTION("""COMPUTED_VALUE"""),"")</f>
        <v/>
      </c>
      <c r="U3990" s="16" t="s">
        <v>87</v>
      </c>
      <c r="V3990" s="16" t="str">
        <f>IFERROR(__xludf.DUMMYFUNCTION("""COMPUTED_VALUE"""),"")</f>
        <v/>
      </c>
      <c r="W3990" s="16" t="str">
        <f>IFERROR(__xludf.DUMMYFUNCTION("""COMPUTED_VALUE"""),"")</f>
        <v/>
      </c>
      <c r="X3990" s="16" t="str">
        <f>IFERROR(__xludf.DUMMYFUNCTION("""COMPUTED_VALUE"""),"")</f>
        <v/>
      </c>
      <c r="AC3990" s="16" t="str">
        <f>IFERROR(__xludf.DUMMYFUNCTION("""COMPUTED_VALUE"""),"")</f>
        <v/>
      </c>
    </row>
    <row r="3991">
      <c r="A3991" s="16" t="s">
        <v>87</v>
      </c>
      <c r="E3991" s="16" t="str">
        <f>IFERROR(__xludf.DUMMYFUNCTION("""COMPUTED_VALUE"""),"")</f>
        <v/>
      </c>
      <c r="G3991" s="18"/>
      <c r="H3991" s="16" t="s">
        <v>87</v>
      </c>
      <c r="I3991" s="16" t="s">
        <v>87</v>
      </c>
      <c r="J3991" s="19"/>
      <c r="L3991" s="16" t="str">
        <f>IFERROR(__xludf.DUMMYFUNCTION("""COMPUTED_VALUE"""),"")</f>
        <v/>
      </c>
      <c r="M3991" s="16" t="str">
        <f>IFERROR(__xludf.DUMMYFUNCTION("""COMPUTED_VALUE"""),"")</f>
        <v/>
      </c>
      <c r="U3991" s="16" t="s">
        <v>87</v>
      </c>
      <c r="V3991" s="16" t="str">
        <f>IFERROR(__xludf.DUMMYFUNCTION("""COMPUTED_VALUE"""),"")</f>
        <v/>
      </c>
      <c r="W3991" s="16" t="str">
        <f>IFERROR(__xludf.DUMMYFUNCTION("""COMPUTED_VALUE"""),"")</f>
        <v/>
      </c>
      <c r="X3991" s="16" t="str">
        <f>IFERROR(__xludf.DUMMYFUNCTION("""COMPUTED_VALUE"""),"")</f>
        <v/>
      </c>
      <c r="AC3991" s="16" t="str">
        <f>IFERROR(__xludf.DUMMYFUNCTION("""COMPUTED_VALUE"""),"")</f>
        <v/>
      </c>
    </row>
    <row r="3992">
      <c r="A3992" s="16" t="s">
        <v>87</v>
      </c>
      <c r="E3992" s="16" t="str">
        <f>IFERROR(__xludf.DUMMYFUNCTION("""COMPUTED_VALUE"""),"")</f>
        <v/>
      </c>
      <c r="G3992" s="18"/>
      <c r="H3992" s="16" t="s">
        <v>87</v>
      </c>
      <c r="I3992" s="16" t="s">
        <v>87</v>
      </c>
      <c r="J3992" s="19"/>
      <c r="L3992" s="16" t="str">
        <f>IFERROR(__xludf.DUMMYFUNCTION("""COMPUTED_VALUE"""),"")</f>
        <v/>
      </c>
      <c r="M3992" s="16" t="str">
        <f>IFERROR(__xludf.DUMMYFUNCTION("""COMPUTED_VALUE"""),"")</f>
        <v/>
      </c>
      <c r="U3992" s="16" t="s">
        <v>87</v>
      </c>
      <c r="V3992" s="16" t="str">
        <f>IFERROR(__xludf.DUMMYFUNCTION("""COMPUTED_VALUE"""),"")</f>
        <v/>
      </c>
      <c r="W3992" s="16" t="str">
        <f>IFERROR(__xludf.DUMMYFUNCTION("""COMPUTED_VALUE"""),"")</f>
        <v/>
      </c>
      <c r="X3992" s="16" t="str">
        <f>IFERROR(__xludf.DUMMYFUNCTION("""COMPUTED_VALUE"""),"")</f>
        <v/>
      </c>
      <c r="AC3992" s="16" t="str">
        <f>IFERROR(__xludf.DUMMYFUNCTION("""COMPUTED_VALUE"""),"")</f>
        <v/>
      </c>
    </row>
    <row r="3993">
      <c r="A3993" s="16" t="s">
        <v>87</v>
      </c>
      <c r="E3993" s="16" t="str">
        <f>IFERROR(__xludf.DUMMYFUNCTION("""COMPUTED_VALUE"""),"")</f>
        <v/>
      </c>
      <c r="G3993" s="18"/>
      <c r="H3993" s="16" t="s">
        <v>87</v>
      </c>
      <c r="I3993" s="16" t="s">
        <v>87</v>
      </c>
      <c r="J3993" s="19"/>
      <c r="L3993" s="16" t="str">
        <f>IFERROR(__xludf.DUMMYFUNCTION("""COMPUTED_VALUE"""),"")</f>
        <v/>
      </c>
      <c r="M3993" s="16" t="str">
        <f>IFERROR(__xludf.DUMMYFUNCTION("""COMPUTED_VALUE"""),"")</f>
        <v/>
      </c>
      <c r="U3993" s="16" t="s">
        <v>87</v>
      </c>
      <c r="V3993" s="16" t="str">
        <f>IFERROR(__xludf.DUMMYFUNCTION("""COMPUTED_VALUE"""),"")</f>
        <v/>
      </c>
      <c r="W3993" s="16" t="str">
        <f>IFERROR(__xludf.DUMMYFUNCTION("""COMPUTED_VALUE"""),"")</f>
        <v/>
      </c>
      <c r="X3993" s="16" t="str">
        <f>IFERROR(__xludf.DUMMYFUNCTION("""COMPUTED_VALUE"""),"")</f>
        <v/>
      </c>
      <c r="AC3993" s="16" t="str">
        <f>IFERROR(__xludf.DUMMYFUNCTION("""COMPUTED_VALUE"""),"")</f>
        <v/>
      </c>
    </row>
    <row r="3994">
      <c r="A3994" s="16" t="s">
        <v>87</v>
      </c>
      <c r="E3994" s="16" t="str">
        <f>IFERROR(__xludf.DUMMYFUNCTION("""COMPUTED_VALUE"""),"")</f>
        <v/>
      </c>
      <c r="G3994" s="18"/>
      <c r="H3994" s="16" t="s">
        <v>87</v>
      </c>
      <c r="I3994" s="16" t="s">
        <v>87</v>
      </c>
      <c r="J3994" s="19"/>
      <c r="L3994" s="16" t="str">
        <f>IFERROR(__xludf.DUMMYFUNCTION("""COMPUTED_VALUE"""),"")</f>
        <v/>
      </c>
      <c r="M3994" s="16" t="str">
        <f>IFERROR(__xludf.DUMMYFUNCTION("""COMPUTED_VALUE"""),"")</f>
        <v/>
      </c>
      <c r="U3994" s="16" t="s">
        <v>87</v>
      </c>
      <c r="V3994" s="16" t="str">
        <f>IFERROR(__xludf.DUMMYFUNCTION("""COMPUTED_VALUE"""),"")</f>
        <v/>
      </c>
      <c r="W3994" s="16" t="str">
        <f>IFERROR(__xludf.DUMMYFUNCTION("""COMPUTED_VALUE"""),"")</f>
        <v/>
      </c>
      <c r="X3994" s="16" t="str">
        <f>IFERROR(__xludf.DUMMYFUNCTION("""COMPUTED_VALUE"""),"")</f>
        <v/>
      </c>
      <c r="AC3994" s="16" t="str">
        <f>IFERROR(__xludf.DUMMYFUNCTION("""COMPUTED_VALUE"""),"")</f>
        <v/>
      </c>
    </row>
    <row r="3995">
      <c r="A3995" s="16" t="s">
        <v>87</v>
      </c>
      <c r="E3995" s="16" t="str">
        <f>IFERROR(__xludf.DUMMYFUNCTION("""COMPUTED_VALUE"""),"")</f>
        <v/>
      </c>
      <c r="G3995" s="18"/>
      <c r="H3995" s="16" t="s">
        <v>87</v>
      </c>
      <c r="I3995" s="16" t="s">
        <v>87</v>
      </c>
      <c r="J3995" s="19"/>
      <c r="L3995" s="16" t="str">
        <f>IFERROR(__xludf.DUMMYFUNCTION("""COMPUTED_VALUE"""),"")</f>
        <v/>
      </c>
      <c r="M3995" s="16" t="str">
        <f>IFERROR(__xludf.DUMMYFUNCTION("""COMPUTED_VALUE"""),"")</f>
        <v/>
      </c>
      <c r="U3995" s="16" t="s">
        <v>87</v>
      </c>
      <c r="V3995" s="16" t="str">
        <f>IFERROR(__xludf.DUMMYFUNCTION("""COMPUTED_VALUE"""),"")</f>
        <v/>
      </c>
      <c r="W3995" s="16" t="str">
        <f>IFERROR(__xludf.DUMMYFUNCTION("""COMPUTED_VALUE"""),"")</f>
        <v/>
      </c>
      <c r="X3995" s="16" t="str">
        <f>IFERROR(__xludf.DUMMYFUNCTION("""COMPUTED_VALUE"""),"")</f>
        <v/>
      </c>
      <c r="AC3995" s="16" t="str">
        <f>IFERROR(__xludf.DUMMYFUNCTION("""COMPUTED_VALUE"""),"")</f>
        <v/>
      </c>
    </row>
    <row r="3996">
      <c r="A3996" s="16" t="s">
        <v>87</v>
      </c>
      <c r="E3996" s="16" t="str">
        <f>IFERROR(__xludf.DUMMYFUNCTION("""COMPUTED_VALUE"""),"")</f>
        <v/>
      </c>
      <c r="G3996" s="18"/>
      <c r="H3996" s="16" t="s">
        <v>87</v>
      </c>
      <c r="I3996" s="16" t="s">
        <v>87</v>
      </c>
      <c r="J3996" s="19"/>
      <c r="L3996" s="16" t="str">
        <f>IFERROR(__xludf.DUMMYFUNCTION("""COMPUTED_VALUE"""),"")</f>
        <v/>
      </c>
      <c r="M3996" s="16" t="str">
        <f>IFERROR(__xludf.DUMMYFUNCTION("""COMPUTED_VALUE"""),"")</f>
        <v/>
      </c>
      <c r="U3996" s="16" t="s">
        <v>87</v>
      </c>
      <c r="V3996" s="16" t="str">
        <f>IFERROR(__xludf.DUMMYFUNCTION("""COMPUTED_VALUE"""),"")</f>
        <v/>
      </c>
      <c r="W3996" s="16" t="str">
        <f>IFERROR(__xludf.DUMMYFUNCTION("""COMPUTED_VALUE"""),"")</f>
        <v/>
      </c>
      <c r="X3996" s="16" t="str">
        <f>IFERROR(__xludf.DUMMYFUNCTION("""COMPUTED_VALUE"""),"")</f>
        <v/>
      </c>
      <c r="AC3996" s="16" t="str">
        <f>IFERROR(__xludf.DUMMYFUNCTION("""COMPUTED_VALUE"""),"")</f>
        <v/>
      </c>
    </row>
    <row r="3997">
      <c r="A3997" s="16" t="s">
        <v>87</v>
      </c>
      <c r="E3997" s="16" t="str">
        <f>IFERROR(__xludf.DUMMYFUNCTION("""COMPUTED_VALUE"""),"")</f>
        <v/>
      </c>
      <c r="G3997" s="18"/>
      <c r="H3997" s="16" t="s">
        <v>87</v>
      </c>
      <c r="I3997" s="16" t="s">
        <v>87</v>
      </c>
      <c r="J3997" s="19"/>
      <c r="L3997" s="16" t="str">
        <f>IFERROR(__xludf.DUMMYFUNCTION("""COMPUTED_VALUE"""),"")</f>
        <v/>
      </c>
      <c r="M3997" s="16" t="str">
        <f>IFERROR(__xludf.DUMMYFUNCTION("""COMPUTED_VALUE"""),"")</f>
        <v/>
      </c>
      <c r="U3997" s="16" t="s">
        <v>87</v>
      </c>
      <c r="V3997" s="16" t="str">
        <f>IFERROR(__xludf.DUMMYFUNCTION("""COMPUTED_VALUE"""),"")</f>
        <v/>
      </c>
      <c r="W3997" s="16" t="str">
        <f>IFERROR(__xludf.DUMMYFUNCTION("""COMPUTED_VALUE"""),"")</f>
        <v/>
      </c>
      <c r="X3997" s="16" t="str">
        <f>IFERROR(__xludf.DUMMYFUNCTION("""COMPUTED_VALUE"""),"")</f>
        <v/>
      </c>
      <c r="AC3997" s="16" t="str">
        <f>IFERROR(__xludf.DUMMYFUNCTION("""COMPUTED_VALUE"""),"")</f>
        <v/>
      </c>
    </row>
    <row r="3998">
      <c r="A3998" s="16" t="s">
        <v>87</v>
      </c>
      <c r="E3998" s="16" t="str">
        <f>IFERROR(__xludf.DUMMYFUNCTION("""COMPUTED_VALUE"""),"")</f>
        <v/>
      </c>
      <c r="G3998" s="18"/>
      <c r="H3998" s="16" t="s">
        <v>87</v>
      </c>
      <c r="I3998" s="16" t="s">
        <v>87</v>
      </c>
      <c r="J3998" s="19"/>
      <c r="L3998" s="16" t="str">
        <f>IFERROR(__xludf.DUMMYFUNCTION("""COMPUTED_VALUE"""),"")</f>
        <v/>
      </c>
      <c r="M3998" s="16" t="str">
        <f>IFERROR(__xludf.DUMMYFUNCTION("""COMPUTED_VALUE"""),"")</f>
        <v/>
      </c>
      <c r="U3998" s="16" t="s">
        <v>87</v>
      </c>
      <c r="V3998" s="16" t="str">
        <f>IFERROR(__xludf.DUMMYFUNCTION("""COMPUTED_VALUE"""),"")</f>
        <v/>
      </c>
      <c r="W3998" s="16" t="str">
        <f>IFERROR(__xludf.DUMMYFUNCTION("""COMPUTED_VALUE"""),"")</f>
        <v/>
      </c>
      <c r="X3998" s="16" t="str">
        <f>IFERROR(__xludf.DUMMYFUNCTION("""COMPUTED_VALUE"""),"")</f>
        <v/>
      </c>
      <c r="AC3998" s="16" t="str">
        <f>IFERROR(__xludf.DUMMYFUNCTION("""COMPUTED_VALUE"""),"")</f>
        <v/>
      </c>
    </row>
    <row r="3999">
      <c r="A3999" s="16" t="s">
        <v>87</v>
      </c>
      <c r="E3999" s="16" t="str">
        <f>IFERROR(__xludf.DUMMYFUNCTION("""COMPUTED_VALUE"""),"")</f>
        <v/>
      </c>
      <c r="G3999" s="18"/>
      <c r="H3999" s="16" t="s">
        <v>87</v>
      </c>
      <c r="I3999" s="16" t="s">
        <v>87</v>
      </c>
      <c r="J3999" s="19"/>
      <c r="L3999" s="16" t="str">
        <f>IFERROR(__xludf.DUMMYFUNCTION("""COMPUTED_VALUE"""),"")</f>
        <v/>
      </c>
      <c r="M3999" s="16" t="str">
        <f>IFERROR(__xludf.DUMMYFUNCTION("""COMPUTED_VALUE"""),"")</f>
        <v/>
      </c>
      <c r="U3999" s="16" t="s">
        <v>87</v>
      </c>
      <c r="V3999" s="16" t="str">
        <f>IFERROR(__xludf.DUMMYFUNCTION("""COMPUTED_VALUE"""),"")</f>
        <v/>
      </c>
      <c r="W3999" s="16" t="str">
        <f>IFERROR(__xludf.DUMMYFUNCTION("""COMPUTED_VALUE"""),"")</f>
        <v/>
      </c>
      <c r="X3999" s="16" t="str">
        <f>IFERROR(__xludf.DUMMYFUNCTION("""COMPUTED_VALUE"""),"")</f>
        <v/>
      </c>
      <c r="AC3999" s="16" t="str">
        <f>IFERROR(__xludf.DUMMYFUNCTION("""COMPUTED_VALUE"""),"")</f>
        <v/>
      </c>
    </row>
    <row r="4000">
      <c r="A4000" s="16" t="s">
        <v>87</v>
      </c>
      <c r="E4000" s="16" t="str">
        <f>IFERROR(__xludf.DUMMYFUNCTION("""COMPUTED_VALUE"""),"")</f>
        <v/>
      </c>
      <c r="G4000" s="18"/>
      <c r="H4000" s="16" t="s">
        <v>87</v>
      </c>
      <c r="I4000" s="16" t="s">
        <v>87</v>
      </c>
      <c r="J4000" s="19"/>
      <c r="L4000" s="16" t="str">
        <f>IFERROR(__xludf.DUMMYFUNCTION("""COMPUTED_VALUE"""),"")</f>
        <v/>
      </c>
      <c r="M4000" s="16" t="str">
        <f>IFERROR(__xludf.DUMMYFUNCTION("""COMPUTED_VALUE"""),"")</f>
        <v/>
      </c>
      <c r="U4000" s="16" t="s">
        <v>87</v>
      </c>
      <c r="V4000" s="16" t="str">
        <f>IFERROR(__xludf.DUMMYFUNCTION("""COMPUTED_VALUE"""),"")</f>
        <v/>
      </c>
      <c r="W4000" s="16" t="str">
        <f>IFERROR(__xludf.DUMMYFUNCTION("""COMPUTED_VALUE"""),"")</f>
        <v/>
      </c>
      <c r="X4000" s="16" t="str">
        <f>IFERROR(__xludf.DUMMYFUNCTION("""COMPUTED_VALUE"""),"")</f>
        <v/>
      </c>
      <c r="AC4000" s="16" t="str">
        <f>IFERROR(__xludf.DUMMYFUNCTION("""COMPUTED_VALUE"""),"")</f>
        <v/>
      </c>
    </row>
    <row r="4001">
      <c r="A4001" s="16" t="s">
        <v>87</v>
      </c>
      <c r="E4001" s="16" t="str">
        <f>IFERROR(__xludf.DUMMYFUNCTION("""COMPUTED_VALUE"""),"")</f>
        <v/>
      </c>
      <c r="G4001" s="18"/>
      <c r="H4001" s="16" t="s">
        <v>87</v>
      </c>
      <c r="I4001" s="16" t="s">
        <v>87</v>
      </c>
      <c r="J4001" s="19"/>
      <c r="L4001" s="16" t="str">
        <f>IFERROR(__xludf.DUMMYFUNCTION("""COMPUTED_VALUE"""),"")</f>
        <v/>
      </c>
      <c r="M4001" s="16" t="str">
        <f>IFERROR(__xludf.DUMMYFUNCTION("""COMPUTED_VALUE"""),"")</f>
        <v/>
      </c>
      <c r="U4001" s="16" t="s">
        <v>87</v>
      </c>
      <c r="V4001" s="16" t="str">
        <f>IFERROR(__xludf.DUMMYFUNCTION("""COMPUTED_VALUE"""),"")</f>
        <v/>
      </c>
      <c r="W4001" s="16" t="str">
        <f>IFERROR(__xludf.DUMMYFUNCTION("""COMPUTED_VALUE"""),"")</f>
        <v/>
      </c>
      <c r="X4001" s="16" t="str">
        <f>IFERROR(__xludf.DUMMYFUNCTION("""COMPUTED_VALUE"""),"")</f>
        <v/>
      </c>
      <c r="AC4001" s="16" t="str">
        <f>IFERROR(__xludf.DUMMYFUNCTION("""COMPUTED_VALUE"""),"")</f>
        <v/>
      </c>
    </row>
    <row r="4002">
      <c r="A4002" s="16" t="s">
        <v>87</v>
      </c>
      <c r="E4002" s="16" t="str">
        <f>IFERROR(__xludf.DUMMYFUNCTION("""COMPUTED_VALUE"""),"")</f>
        <v/>
      </c>
      <c r="G4002" s="18"/>
      <c r="H4002" s="16" t="s">
        <v>87</v>
      </c>
      <c r="I4002" s="16" t="s">
        <v>87</v>
      </c>
      <c r="J4002" s="19"/>
      <c r="L4002" s="16" t="str">
        <f>IFERROR(__xludf.DUMMYFUNCTION("""COMPUTED_VALUE"""),"")</f>
        <v/>
      </c>
      <c r="M4002" s="16" t="str">
        <f>IFERROR(__xludf.DUMMYFUNCTION("""COMPUTED_VALUE"""),"")</f>
        <v/>
      </c>
      <c r="U4002" s="16" t="s">
        <v>87</v>
      </c>
      <c r="V4002" s="16" t="str">
        <f>IFERROR(__xludf.DUMMYFUNCTION("""COMPUTED_VALUE"""),"")</f>
        <v/>
      </c>
      <c r="W4002" s="16" t="str">
        <f>IFERROR(__xludf.DUMMYFUNCTION("""COMPUTED_VALUE"""),"")</f>
        <v/>
      </c>
      <c r="X4002" s="16" t="str">
        <f>IFERROR(__xludf.DUMMYFUNCTION("""COMPUTED_VALUE"""),"")</f>
        <v/>
      </c>
      <c r="AC4002" s="16" t="str">
        <f>IFERROR(__xludf.DUMMYFUNCTION("""COMPUTED_VALUE"""),"")</f>
        <v/>
      </c>
    </row>
    <row r="4003">
      <c r="A4003" s="16" t="s">
        <v>87</v>
      </c>
      <c r="E4003" s="16" t="str">
        <f>IFERROR(__xludf.DUMMYFUNCTION("""COMPUTED_VALUE"""),"")</f>
        <v/>
      </c>
      <c r="G4003" s="18"/>
      <c r="H4003" s="16" t="s">
        <v>87</v>
      </c>
      <c r="I4003" s="16" t="s">
        <v>87</v>
      </c>
      <c r="J4003" s="19"/>
      <c r="L4003" s="16" t="str">
        <f>IFERROR(__xludf.DUMMYFUNCTION("""COMPUTED_VALUE"""),"")</f>
        <v/>
      </c>
      <c r="M4003" s="16" t="str">
        <f>IFERROR(__xludf.DUMMYFUNCTION("""COMPUTED_VALUE"""),"")</f>
        <v/>
      </c>
      <c r="U4003" s="16" t="s">
        <v>87</v>
      </c>
      <c r="V4003" s="16" t="str">
        <f>IFERROR(__xludf.DUMMYFUNCTION("""COMPUTED_VALUE"""),"")</f>
        <v/>
      </c>
      <c r="W4003" s="16" t="str">
        <f>IFERROR(__xludf.DUMMYFUNCTION("""COMPUTED_VALUE"""),"")</f>
        <v/>
      </c>
      <c r="X4003" s="16" t="str">
        <f>IFERROR(__xludf.DUMMYFUNCTION("""COMPUTED_VALUE"""),"")</f>
        <v/>
      </c>
      <c r="AC4003" s="16" t="str">
        <f>IFERROR(__xludf.DUMMYFUNCTION("""COMPUTED_VALUE"""),"")</f>
        <v/>
      </c>
    </row>
    <row r="4004">
      <c r="A4004" s="16" t="s">
        <v>87</v>
      </c>
      <c r="E4004" s="16" t="str">
        <f>IFERROR(__xludf.DUMMYFUNCTION("""COMPUTED_VALUE"""),"")</f>
        <v/>
      </c>
      <c r="G4004" s="18"/>
      <c r="H4004" s="16" t="s">
        <v>87</v>
      </c>
      <c r="I4004" s="16" t="s">
        <v>87</v>
      </c>
      <c r="J4004" s="19"/>
      <c r="L4004" s="16" t="str">
        <f>IFERROR(__xludf.DUMMYFUNCTION("""COMPUTED_VALUE"""),"")</f>
        <v/>
      </c>
      <c r="M4004" s="16" t="str">
        <f>IFERROR(__xludf.DUMMYFUNCTION("""COMPUTED_VALUE"""),"")</f>
        <v/>
      </c>
      <c r="U4004" s="16" t="s">
        <v>87</v>
      </c>
      <c r="V4004" s="16" t="str">
        <f>IFERROR(__xludf.DUMMYFUNCTION("""COMPUTED_VALUE"""),"")</f>
        <v/>
      </c>
      <c r="W4004" s="16" t="str">
        <f>IFERROR(__xludf.DUMMYFUNCTION("""COMPUTED_VALUE"""),"")</f>
        <v/>
      </c>
      <c r="X4004" s="16" t="str">
        <f>IFERROR(__xludf.DUMMYFUNCTION("""COMPUTED_VALUE"""),"")</f>
        <v/>
      </c>
      <c r="AC4004" s="16" t="str">
        <f>IFERROR(__xludf.DUMMYFUNCTION("""COMPUTED_VALUE"""),"")</f>
        <v/>
      </c>
    </row>
    <row r="4005">
      <c r="A4005" s="16" t="s">
        <v>87</v>
      </c>
      <c r="E4005" s="16" t="str">
        <f>IFERROR(__xludf.DUMMYFUNCTION("""COMPUTED_VALUE"""),"")</f>
        <v/>
      </c>
      <c r="G4005" s="18"/>
      <c r="H4005" s="16" t="s">
        <v>87</v>
      </c>
      <c r="I4005" s="16" t="s">
        <v>87</v>
      </c>
      <c r="J4005" s="19"/>
      <c r="L4005" s="16" t="str">
        <f>IFERROR(__xludf.DUMMYFUNCTION("""COMPUTED_VALUE"""),"")</f>
        <v/>
      </c>
      <c r="M4005" s="16" t="str">
        <f>IFERROR(__xludf.DUMMYFUNCTION("""COMPUTED_VALUE"""),"")</f>
        <v/>
      </c>
      <c r="U4005" s="16" t="s">
        <v>87</v>
      </c>
      <c r="V4005" s="16" t="str">
        <f>IFERROR(__xludf.DUMMYFUNCTION("""COMPUTED_VALUE"""),"")</f>
        <v/>
      </c>
      <c r="W4005" s="16" t="str">
        <f>IFERROR(__xludf.DUMMYFUNCTION("""COMPUTED_VALUE"""),"")</f>
        <v/>
      </c>
      <c r="X4005" s="16" t="str">
        <f>IFERROR(__xludf.DUMMYFUNCTION("""COMPUTED_VALUE"""),"")</f>
        <v/>
      </c>
      <c r="AC4005" s="16" t="str">
        <f>IFERROR(__xludf.DUMMYFUNCTION("""COMPUTED_VALUE"""),"")</f>
        <v/>
      </c>
    </row>
    <row r="4006">
      <c r="A4006" s="16" t="s">
        <v>87</v>
      </c>
      <c r="E4006" s="16" t="str">
        <f>IFERROR(__xludf.DUMMYFUNCTION("""COMPUTED_VALUE"""),"")</f>
        <v/>
      </c>
      <c r="G4006" s="18"/>
      <c r="H4006" s="16" t="s">
        <v>87</v>
      </c>
      <c r="I4006" s="16" t="s">
        <v>87</v>
      </c>
      <c r="J4006" s="19"/>
      <c r="L4006" s="16" t="str">
        <f>IFERROR(__xludf.DUMMYFUNCTION("""COMPUTED_VALUE"""),"")</f>
        <v/>
      </c>
      <c r="M4006" s="16" t="str">
        <f>IFERROR(__xludf.DUMMYFUNCTION("""COMPUTED_VALUE"""),"")</f>
        <v/>
      </c>
      <c r="U4006" s="16" t="s">
        <v>87</v>
      </c>
      <c r="V4006" s="16" t="str">
        <f>IFERROR(__xludf.DUMMYFUNCTION("""COMPUTED_VALUE"""),"")</f>
        <v/>
      </c>
      <c r="W4006" s="16" t="str">
        <f>IFERROR(__xludf.DUMMYFUNCTION("""COMPUTED_VALUE"""),"")</f>
        <v/>
      </c>
      <c r="X4006" s="16" t="str">
        <f>IFERROR(__xludf.DUMMYFUNCTION("""COMPUTED_VALUE"""),"")</f>
        <v/>
      </c>
      <c r="AC4006" s="16" t="str">
        <f>IFERROR(__xludf.DUMMYFUNCTION("""COMPUTED_VALUE"""),"")</f>
        <v/>
      </c>
    </row>
    <row r="4007">
      <c r="A4007" s="16" t="s">
        <v>87</v>
      </c>
      <c r="E4007" s="16" t="str">
        <f>IFERROR(__xludf.DUMMYFUNCTION("""COMPUTED_VALUE"""),"")</f>
        <v/>
      </c>
      <c r="G4007" s="18"/>
      <c r="H4007" s="16" t="s">
        <v>87</v>
      </c>
      <c r="I4007" s="16" t="s">
        <v>87</v>
      </c>
      <c r="J4007" s="19"/>
      <c r="L4007" s="16" t="str">
        <f>IFERROR(__xludf.DUMMYFUNCTION("""COMPUTED_VALUE"""),"")</f>
        <v/>
      </c>
      <c r="M4007" s="16" t="str">
        <f>IFERROR(__xludf.DUMMYFUNCTION("""COMPUTED_VALUE"""),"")</f>
        <v/>
      </c>
      <c r="U4007" s="16" t="s">
        <v>87</v>
      </c>
      <c r="V4007" s="16" t="str">
        <f>IFERROR(__xludf.DUMMYFUNCTION("""COMPUTED_VALUE"""),"")</f>
        <v/>
      </c>
      <c r="W4007" s="16" t="str">
        <f>IFERROR(__xludf.DUMMYFUNCTION("""COMPUTED_VALUE"""),"")</f>
        <v/>
      </c>
      <c r="X4007" s="16" t="str">
        <f>IFERROR(__xludf.DUMMYFUNCTION("""COMPUTED_VALUE"""),"")</f>
        <v/>
      </c>
      <c r="AC4007" s="16" t="str">
        <f>IFERROR(__xludf.DUMMYFUNCTION("""COMPUTED_VALUE"""),"")</f>
        <v/>
      </c>
    </row>
    <row r="4008">
      <c r="A4008" s="16" t="s">
        <v>87</v>
      </c>
      <c r="E4008" s="16" t="str">
        <f>IFERROR(__xludf.DUMMYFUNCTION("""COMPUTED_VALUE"""),"")</f>
        <v/>
      </c>
      <c r="G4008" s="18"/>
      <c r="H4008" s="16" t="s">
        <v>87</v>
      </c>
      <c r="I4008" s="16" t="s">
        <v>87</v>
      </c>
      <c r="J4008" s="19"/>
      <c r="L4008" s="16" t="str">
        <f>IFERROR(__xludf.DUMMYFUNCTION("""COMPUTED_VALUE"""),"")</f>
        <v/>
      </c>
      <c r="M4008" s="16" t="str">
        <f>IFERROR(__xludf.DUMMYFUNCTION("""COMPUTED_VALUE"""),"")</f>
        <v/>
      </c>
      <c r="U4008" s="16" t="s">
        <v>87</v>
      </c>
      <c r="V4008" s="16" t="str">
        <f>IFERROR(__xludf.DUMMYFUNCTION("""COMPUTED_VALUE"""),"")</f>
        <v/>
      </c>
      <c r="W4008" s="16" t="str">
        <f>IFERROR(__xludf.DUMMYFUNCTION("""COMPUTED_VALUE"""),"")</f>
        <v/>
      </c>
      <c r="X4008" s="16" t="str">
        <f>IFERROR(__xludf.DUMMYFUNCTION("""COMPUTED_VALUE"""),"")</f>
        <v/>
      </c>
      <c r="AC4008" s="16" t="str">
        <f>IFERROR(__xludf.DUMMYFUNCTION("""COMPUTED_VALUE"""),"")</f>
        <v/>
      </c>
    </row>
    <row r="4009">
      <c r="A4009" s="16" t="s">
        <v>87</v>
      </c>
      <c r="E4009" s="16" t="str">
        <f>IFERROR(__xludf.DUMMYFUNCTION("""COMPUTED_VALUE"""),"")</f>
        <v/>
      </c>
      <c r="G4009" s="18"/>
      <c r="H4009" s="16" t="s">
        <v>87</v>
      </c>
      <c r="I4009" s="16" t="s">
        <v>87</v>
      </c>
      <c r="J4009" s="19"/>
      <c r="L4009" s="16" t="str">
        <f>IFERROR(__xludf.DUMMYFUNCTION("""COMPUTED_VALUE"""),"")</f>
        <v/>
      </c>
      <c r="M4009" s="16" t="str">
        <f>IFERROR(__xludf.DUMMYFUNCTION("""COMPUTED_VALUE"""),"")</f>
        <v/>
      </c>
      <c r="U4009" s="16" t="s">
        <v>87</v>
      </c>
      <c r="V4009" s="16" t="str">
        <f>IFERROR(__xludf.DUMMYFUNCTION("""COMPUTED_VALUE"""),"")</f>
        <v/>
      </c>
      <c r="W4009" s="16" t="str">
        <f>IFERROR(__xludf.DUMMYFUNCTION("""COMPUTED_VALUE"""),"")</f>
        <v/>
      </c>
      <c r="X4009" s="16" t="str">
        <f>IFERROR(__xludf.DUMMYFUNCTION("""COMPUTED_VALUE"""),"")</f>
        <v/>
      </c>
      <c r="AC4009" s="16" t="str">
        <f>IFERROR(__xludf.DUMMYFUNCTION("""COMPUTED_VALUE"""),"")</f>
        <v/>
      </c>
    </row>
    <row r="4010">
      <c r="A4010" s="16" t="s">
        <v>87</v>
      </c>
      <c r="E4010" s="16" t="str">
        <f>IFERROR(__xludf.DUMMYFUNCTION("""COMPUTED_VALUE"""),"")</f>
        <v/>
      </c>
      <c r="G4010" s="18"/>
      <c r="H4010" s="16" t="s">
        <v>87</v>
      </c>
      <c r="I4010" s="16" t="s">
        <v>87</v>
      </c>
      <c r="J4010" s="19"/>
      <c r="L4010" s="16" t="str">
        <f>IFERROR(__xludf.DUMMYFUNCTION("""COMPUTED_VALUE"""),"")</f>
        <v/>
      </c>
      <c r="M4010" s="16" t="str">
        <f>IFERROR(__xludf.DUMMYFUNCTION("""COMPUTED_VALUE"""),"")</f>
        <v/>
      </c>
      <c r="U4010" s="16" t="s">
        <v>87</v>
      </c>
      <c r="V4010" s="16" t="str">
        <f>IFERROR(__xludf.DUMMYFUNCTION("""COMPUTED_VALUE"""),"")</f>
        <v/>
      </c>
      <c r="W4010" s="16" t="str">
        <f>IFERROR(__xludf.DUMMYFUNCTION("""COMPUTED_VALUE"""),"")</f>
        <v/>
      </c>
      <c r="X4010" s="16" t="str">
        <f>IFERROR(__xludf.DUMMYFUNCTION("""COMPUTED_VALUE"""),"")</f>
        <v/>
      </c>
      <c r="AC4010" s="16" t="str">
        <f>IFERROR(__xludf.DUMMYFUNCTION("""COMPUTED_VALUE"""),"")</f>
        <v/>
      </c>
    </row>
    <row r="4011">
      <c r="A4011" s="16" t="s">
        <v>87</v>
      </c>
      <c r="E4011" s="16" t="str">
        <f>IFERROR(__xludf.DUMMYFUNCTION("""COMPUTED_VALUE"""),"")</f>
        <v/>
      </c>
      <c r="G4011" s="18"/>
      <c r="H4011" s="16" t="s">
        <v>87</v>
      </c>
      <c r="I4011" s="16" t="s">
        <v>87</v>
      </c>
      <c r="J4011" s="19"/>
      <c r="L4011" s="16" t="str">
        <f>IFERROR(__xludf.DUMMYFUNCTION("""COMPUTED_VALUE"""),"")</f>
        <v/>
      </c>
      <c r="M4011" s="16" t="str">
        <f>IFERROR(__xludf.DUMMYFUNCTION("""COMPUTED_VALUE"""),"")</f>
        <v/>
      </c>
      <c r="U4011" s="16" t="s">
        <v>87</v>
      </c>
      <c r="V4011" s="16" t="str">
        <f>IFERROR(__xludf.DUMMYFUNCTION("""COMPUTED_VALUE"""),"")</f>
        <v/>
      </c>
      <c r="W4011" s="16" t="str">
        <f>IFERROR(__xludf.DUMMYFUNCTION("""COMPUTED_VALUE"""),"")</f>
        <v/>
      </c>
      <c r="X4011" s="16" t="str">
        <f>IFERROR(__xludf.DUMMYFUNCTION("""COMPUTED_VALUE"""),"")</f>
        <v/>
      </c>
      <c r="AC4011" s="16" t="str">
        <f>IFERROR(__xludf.DUMMYFUNCTION("""COMPUTED_VALUE"""),"")</f>
        <v/>
      </c>
    </row>
    <row r="4012">
      <c r="A4012" s="16" t="s">
        <v>87</v>
      </c>
      <c r="E4012" s="16" t="str">
        <f>IFERROR(__xludf.DUMMYFUNCTION("""COMPUTED_VALUE"""),"")</f>
        <v/>
      </c>
      <c r="G4012" s="18"/>
      <c r="H4012" s="16" t="s">
        <v>87</v>
      </c>
      <c r="I4012" s="16" t="s">
        <v>87</v>
      </c>
      <c r="J4012" s="19"/>
      <c r="L4012" s="16" t="str">
        <f>IFERROR(__xludf.DUMMYFUNCTION("""COMPUTED_VALUE"""),"")</f>
        <v/>
      </c>
      <c r="M4012" s="16" t="str">
        <f>IFERROR(__xludf.DUMMYFUNCTION("""COMPUTED_VALUE"""),"")</f>
        <v/>
      </c>
      <c r="U4012" s="16" t="s">
        <v>87</v>
      </c>
      <c r="V4012" s="16" t="str">
        <f>IFERROR(__xludf.DUMMYFUNCTION("""COMPUTED_VALUE"""),"")</f>
        <v/>
      </c>
      <c r="W4012" s="16" t="str">
        <f>IFERROR(__xludf.DUMMYFUNCTION("""COMPUTED_VALUE"""),"")</f>
        <v/>
      </c>
      <c r="X4012" s="16" t="str">
        <f>IFERROR(__xludf.DUMMYFUNCTION("""COMPUTED_VALUE"""),"")</f>
        <v/>
      </c>
      <c r="AC4012" s="16" t="str">
        <f>IFERROR(__xludf.DUMMYFUNCTION("""COMPUTED_VALUE"""),"")</f>
        <v/>
      </c>
    </row>
    <row r="4013">
      <c r="A4013" s="16" t="s">
        <v>87</v>
      </c>
      <c r="E4013" s="16" t="str">
        <f>IFERROR(__xludf.DUMMYFUNCTION("""COMPUTED_VALUE"""),"")</f>
        <v/>
      </c>
      <c r="G4013" s="18"/>
      <c r="H4013" s="16" t="s">
        <v>87</v>
      </c>
      <c r="I4013" s="16" t="s">
        <v>87</v>
      </c>
      <c r="J4013" s="19"/>
      <c r="L4013" s="16" t="str">
        <f>IFERROR(__xludf.DUMMYFUNCTION("""COMPUTED_VALUE"""),"")</f>
        <v/>
      </c>
      <c r="M4013" s="16" t="str">
        <f>IFERROR(__xludf.DUMMYFUNCTION("""COMPUTED_VALUE"""),"")</f>
        <v/>
      </c>
      <c r="U4013" s="16" t="s">
        <v>87</v>
      </c>
      <c r="V4013" s="16" t="str">
        <f>IFERROR(__xludf.DUMMYFUNCTION("""COMPUTED_VALUE"""),"")</f>
        <v/>
      </c>
      <c r="W4013" s="16" t="str">
        <f>IFERROR(__xludf.DUMMYFUNCTION("""COMPUTED_VALUE"""),"")</f>
        <v/>
      </c>
      <c r="X4013" s="16" t="str">
        <f>IFERROR(__xludf.DUMMYFUNCTION("""COMPUTED_VALUE"""),"")</f>
        <v/>
      </c>
      <c r="AC4013" s="16" t="str">
        <f>IFERROR(__xludf.DUMMYFUNCTION("""COMPUTED_VALUE"""),"")</f>
        <v/>
      </c>
    </row>
    <row r="4014">
      <c r="A4014" s="16" t="s">
        <v>87</v>
      </c>
      <c r="E4014" s="16" t="str">
        <f>IFERROR(__xludf.DUMMYFUNCTION("""COMPUTED_VALUE"""),"")</f>
        <v/>
      </c>
      <c r="G4014" s="18"/>
      <c r="H4014" s="16" t="s">
        <v>87</v>
      </c>
      <c r="I4014" s="16" t="s">
        <v>87</v>
      </c>
      <c r="J4014" s="19"/>
      <c r="L4014" s="16" t="str">
        <f>IFERROR(__xludf.DUMMYFUNCTION("""COMPUTED_VALUE"""),"")</f>
        <v/>
      </c>
      <c r="M4014" s="16" t="str">
        <f>IFERROR(__xludf.DUMMYFUNCTION("""COMPUTED_VALUE"""),"")</f>
        <v/>
      </c>
      <c r="U4014" s="16" t="s">
        <v>87</v>
      </c>
      <c r="V4014" s="16" t="str">
        <f>IFERROR(__xludf.DUMMYFUNCTION("""COMPUTED_VALUE"""),"")</f>
        <v/>
      </c>
      <c r="W4014" s="16" t="str">
        <f>IFERROR(__xludf.DUMMYFUNCTION("""COMPUTED_VALUE"""),"")</f>
        <v/>
      </c>
      <c r="X4014" s="16" t="str">
        <f>IFERROR(__xludf.DUMMYFUNCTION("""COMPUTED_VALUE"""),"")</f>
        <v/>
      </c>
      <c r="AC4014" s="16" t="str">
        <f>IFERROR(__xludf.DUMMYFUNCTION("""COMPUTED_VALUE"""),"")</f>
        <v/>
      </c>
    </row>
    <row r="4015">
      <c r="A4015" s="16" t="s">
        <v>87</v>
      </c>
      <c r="E4015" s="16" t="str">
        <f>IFERROR(__xludf.DUMMYFUNCTION("""COMPUTED_VALUE"""),"")</f>
        <v/>
      </c>
      <c r="G4015" s="18"/>
      <c r="H4015" s="16" t="s">
        <v>87</v>
      </c>
      <c r="I4015" s="16" t="s">
        <v>87</v>
      </c>
      <c r="J4015" s="19"/>
      <c r="L4015" s="16" t="str">
        <f>IFERROR(__xludf.DUMMYFUNCTION("""COMPUTED_VALUE"""),"")</f>
        <v/>
      </c>
      <c r="M4015" s="16" t="str">
        <f>IFERROR(__xludf.DUMMYFUNCTION("""COMPUTED_VALUE"""),"")</f>
        <v/>
      </c>
      <c r="U4015" s="16" t="s">
        <v>87</v>
      </c>
      <c r="V4015" s="16" t="str">
        <f>IFERROR(__xludf.DUMMYFUNCTION("""COMPUTED_VALUE"""),"")</f>
        <v/>
      </c>
      <c r="W4015" s="16" t="str">
        <f>IFERROR(__xludf.DUMMYFUNCTION("""COMPUTED_VALUE"""),"")</f>
        <v/>
      </c>
      <c r="X4015" s="16" t="str">
        <f>IFERROR(__xludf.DUMMYFUNCTION("""COMPUTED_VALUE"""),"")</f>
        <v/>
      </c>
      <c r="AC4015" s="16" t="str">
        <f>IFERROR(__xludf.DUMMYFUNCTION("""COMPUTED_VALUE"""),"")</f>
        <v/>
      </c>
    </row>
    <row r="4016">
      <c r="A4016" s="16" t="s">
        <v>87</v>
      </c>
      <c r="E4016" s="16" t="str">
        <f>IFERROR(__xludf.DUMMYFUNCTION("""COMPUTED_VALUE"""),"")</f>
        <v/>
      </c>
      <c r="G4016" s="18"/>
      <c r="H4016" s="16" t="s">
        <v>87</v>
      </c>
      <c r="I4016" s="16" t="s">
        <v>87</v>
      </c>
      <c r="J4016" s="19"/>
      <c r="L4016" s="16" t="str">
        <f>IFERROR(__xludf.DUMMYFUNCTION("""COMPUTED_VALUE"""),"")</f>
        <v/>
      </c>
      <c r="M4016" s="16" t="str">
        <f>IFERROR(__xludf.DUMMYFUNCTION("""COMPUTED_VALUE"""),"")</f>
        <v/>
      </c>
      <c r="U4016" s="16" t="s">
        <v>87</v>
      </c>
      <c r="V4016" s="16" t="str">
        <f>IFERROR(__xludf.DUMMYFUNCTION("""COMPUTED_VALUE"""),"")</f>
        <v/>
      </c>
      <c r="W4016" s="16" t="str">
        <f>IFERROR(__xludf.DUMMYFUNCTION("""COMPUTED_VALUE"""),"")</f>
        <v/>
      </c>
      <c r="X4016" s="16" t="str">
        <f>IFERROR(__xludf.DUMMYFUNCTION("""COMPUTED_VALUE"""),"")</f>
        <v/>
      </c>
      <c r="AC4016" s="16" t="str">
        <f>IFERROR(__xludf.DUMMYFUNCTION("""COMPUTED_VALUE"""),"")</f>
        <v/>
      </c>
    </row>
    <row r="4017">
      <c r="A4017" s="16" t="s">
        <v>87</v>
      </c>
      <c r="E4017" s="16" t="str">
        <f>IFERROR(__xludf.DUMMYFUNCTION("""COMPUTED_VALUE"""),"")</f>
        <v/>
      </c>
      <c r="G4017" s="18"/>
      <c r="H4017" s="16" t="s">
        <v>87</v>
      </c>
      <c r="I4017" s="16" t="s">
        <v>87</v>
      </c>
      <c r="J4017" s="19"/>
      <c r="L4017" s="16" t="str">
        <f>IFERROR(__xludf.DUMMYFUNCTION("""COMPUTED_VALUE"""),"")</f>
        <v/>
      </c>
      <c r="M4017" s="16" t="str">
        <f>IFERROR(__xludf.DUMMYFUNCTION("""COMPUTED_VALUE"""),"")</f>
        <v/>
      </c>
      <c r="U4017" s="16" t="s">
        <v>87</v>
      </c>
      <c r="V4017" s="16" t="str">
        <f>IFERROR(__xludf.DUMMYFUNCTION("""COMPUTED_VALUE"""),"")</f>
        <v/>
      </c>
      <c r="W4017" s="16" t="str">
        <f>IFERROR(__xludf.DUMMYFUNCTION("""COMPUTED_VALUE"""),"")</f>
        <v/>
      </c>
      <c r="X4017" s="16" t="str">
        <f>IFERROR(__xludf.DUMMYFUNCTION("""COMPUTED_VALUE"""),"")</f>
        <v/>
      </c>
      <c r="AC4017" s="16" t="str">
        <f>IFERROR(__xludf.DUMMYFUNCTION("""COMPUTED_VALUE"""),"")</f>
        <v/>
      </c>
    </row>
    <row r="4018">
      <c r="A4018" s="16" t="s">
        <v>87</v>
      </c>
      <c r="E4018" s="16" t="str">
        <f>IFERROR(__xludf.DUMMYFUNCTION("""COMPUTED_VALUE"""),"")</f>
        <v/>
      </c>
      <c r="G4018" s="18"/>
      <c r="H4018" s="16" t="s">
        <v>87</v>
      </c>
      <c r="I4018" s="16" t="s">
        <v>87</v>
      </c>
      <c r="J4018" s="19"/>
      <c r="L4018" s="16" t="str">
        <f>IFERROR(__xludf.DUMMYFUNCTION("""COMPUTED_VALUE"""),"")</f>
        <v/>
      </c>
      <c r="M4018" s="16" t="str">
        <f>IFERROR(__xludf.DUMMYFUNCTION("""COMPUTED_VALUE"""),"")</f>
        <v/>
      </c>
      <c r="U4018" s="16" t="s">
        <v>87</v>
      </c>
      <c r="V4018" s="16" t="str">
        <f>IFERROR(__xludf.DUMMYFUNCTION("""COMPUTED_VALUE"""),"")</f>
        <v/>
      </c>
      <c r="W4018" s="16" t="str">
        <f>IFERROR(__xludf.DUMMYFUNCTION("""COMPUTED_VALUE"""),"")</f>
        <v/>
      </c>
      <c r="X4018" s="16" t="str">
        <f>IFERROR(__xludf.DUMMYFUNCTION("""COMPUTED_VALUE"""),"")</f>
        <v/>
      </c>
      <c r="AC4018" s="16" t="str">
        <f>IFERROR(__xludf.DUMMYFUNCTION("""COMPUTED_VALUE"""),"")</f>
        <v/>
      </c>
    </row>
    <row r="4019">
      <c r="A4019" s="16" t="s">
        <v>87</v>
      </c>
      <c r="E4019" s="16" t="str">
        <f>IFERROR(__xludf.DUMMYFUNCTION("""COMPUTED_VALUE"""),"")</f>
        <v/>
      </c>
      <c r="G4019" s="18"/>
      <c r="H4019" s="16" t="s">
        <v>87</v>
      </c>
      <c r="I4019" s="16" t="s">
        <v>87</v>
      </c>
      <c r="J4019" s="19"/>
      <c r="L4019" s="16" t="str">
        <f>IFERROR(__xludf.DUMMYFUNCTION("""COMPUTED_VALUE"""),"")</f>
        <v/>
      </c>
      <c r="M4019" s="16" t="str">
        <f>IFERROR(__xludf.DUMMYFUNCTION("""COMPUTED_VALUE"""),"")</f>
        <v/>
      </c>
      <c r="U4019" s="16" t="s">
        <v>87</v>
      </c>
      <c r="V4019" s="16" t="str">
        <f>IFERROR(__xludf.DUMMYFUNCTION("""COMPUTED_VALUE"""),"")</f>
        <v/>
      </c>
      <c r="W4019" s="16" t="str">
        <f>IFERROR(__xludf.DUMMYFUNCTION("""COMPUTED_VALUE"""),"")</f>
        <v/>
      </c>
      <c r="X4019" s="16" t="str">
        <f>IFERROR(__xludf.DUMMYFUNCTION("""COMPUTED_VALUE"""),"")</f>
        <v/>
      </c>
      <c r="AC4019" s="16" t="str">
        <f>IFERROR(__xludf.DUMMYFUNCTION("""COMPUTED_VALUE"""),"")</f>
        <v/>
      </c>
    </row>
    <row r="4020">
      <c r="A4020" s="16" t="s">
        <v>87</v>
      </c>
      <c r="E4020" s="16" t="str">
        <f>IFERROR(__xludf.DUMMYFUNCTION("""COMPUTED_VALUE"""),"")</f>
        <v/>
      </c>
      <c r="G4020" s="18"/>
      <c r="H4020" s="16" t="s">
        <v>87</v>
      </c>
      <c r="I4020" s="16" t="s">
        <v>87</v>
      </c>
      <c r="J4020" s="19"/>
      <c r="L4020" s="16" t="str">
        <f>IFERROR(__xludf.DUMMYFUNCTION("""COMPUTED_VALUE"""),"")</f>
        <v/>
      </c>
      <c r="M4020" s="16" t="str">
        <f>IFERROR(__xludf.DUMMYFUNCTION("""COMPUTED_VALUE"""),"")</f>
        <v/>
      </c>
      <c r="U4020" s="16" t="s">
        <v>87</v>
      </c>
      <c r="V4020" s="16" t="str">
        <f>IFERROR(__xludf.DUMMYFUNCTION("""COMPUTED_VALUE"""),"")</f>
        <v/>
      </c>
      <c r="W4020" s="16" t="str">
        <f>IFERROR(__xludf.DUMMYFUNCTION("""COMPUTED_VALUE"""),"")</f>
        <v/>
      </c>
      <c r="X4020" s="16" t="str">
        <f>IFERROR(__xludf.DUMMYFUNCTION("""COMPUTED_VALUE"""),"")</f>
        <v/>
      </c>
      <c r="AC4020" s="16" t="str">
        <f>IFERROR(__xludf.DUMMYFUNCTION("""COMPUTED_VALUE"""),"")</f>
        <v/>
      </c>
    </row>
    <row r="4021">
      <c r="A4021" s="16" t="s">
        <v>87</v>
      </c>
      <c r="E4021" s="16" t="str">
        <f>IFERROR(__xludf.DUMMYFUNCTION("""COMPUTED_VALUE"""),"")</f>
        <v/>
      </c>
      <c r="G4021" s="18"/>
      <c r="H4021" s="16" t="s">
        <v>87</v>
      </c>
      <c r="I4021" s="16" t="s">
        <v>87</v>
      </c>
      <c r="J4021" s="19"/>
      <c r="L4021" s="16" t="str">
        <f>IFERROR(__xludf.DUMMYFUNCTION("""COMPUTED_VALUE"""),"")</f>
        <v/>
      </c>
      <c r="M4021" s="16" t="str">
        <f>IFERROR(__xludf.DUMMYFUNCTION("""COMPUTED_VALUE"""),"")</f>
        <v/>
      </c>
      <c r="U4021" s="16" t="s">
        <v>87</v>
      </c>
      <c r="V4021" s="16" t="str">
        <f>IFERROR(__xludf.DUMMYFUNCTION("""COMPUTED_VALUE"""),"")</f>
        <v/>
      </c>
      <c r="W4021" s="16" t="str">
        <f>IFERROR(__xludf.DUMMYFUNCTION("""COMPUTED_VALUE"""),"")</f>
        <v/>
      </c>
      <c r="X4021" s="16" t="str">
        <f>IFERROR(__xludf.DUMMYFUNCTION("""COMPUTED_VALUE"""),"")</f>
        <v/>
      </c>
      <c r="AC4021" s="16" t="str">
        <f>IFERROR(__xludf.DUMMYFUNCTION("""COMPUTED_VALUE"""),"")</f>
        <v/>
      </c>
    </row>
    <row r="4022">
      <c r="A4022" s="16" t="s">
        <v>87</v>
      </c>
      <c r="E4022" s="16" t="str">
        <f>IFERROR(__xludf.DUMMYFUNCTION("""COMPUTED_VALUE"""),"")</f>
        <v/>
      </c>
      <c r="G4022" s="18"/>
      <c r="H4022" s="16" t="s">
        <v>87</v>
      </c>
      <c r="I4022" s="16" t="s">
        <v>87</v>
      </c>
      <c r="J4022" s="19"/>
      <c r="L4022" s="16" t="str">
        <f>IFERROR(__xludf.DUMMYFUNCTION("""COMPUTED_VALUE"""),"")</f>
        <v/>
      </c>
      <c r="M4022" s="16" t="str">
        <f>IFERROR(__xludf.DUMMYFUNCTION("""COMPUTED_VALUE"""),"")</f>
        <v/>
      </c>
      <c r="U4022" s="16" t="s">
        <v>87</v>
      </c>
      <c r="V4022" s="16" t="str">
        <f>IFERROR(__xludf.DUMMYFUNCTION("""COMPUTED_VALUE"""),"")</f>
        <v/>
      </c>
      <c r="W4022" s="16" t="str">
        <f>IFERROR(__xludf.DUMMYFUNCTION("""COMPUTED_VALUE"""),"")</f>
        <v/>
      </c>
      <c r="X4022" s="16" t="str">
        <f>IFERROR(__xludf.DUMMYFUNCTION("""COMPUTED_VALUE"""),"")</f>
        <v/>
      </c>
      <c r="AC4022" s="16" t="str">
        <f>IFERROR(__xludf.DUMMYFUNCTION("""COMPUTED_VALUE"""),"")</f>
        <v/>
      </c>
    </row>
    <row r="4023">
      <c r="A4023" s="16" t="s">
        <v>87</v>
      </c>
      <c r="E4023" s="16" t="str">
        <f>IFERROR(__xludf.DUMMYFUNCTION("""COMPUTED_VALUE"""),"")</f>
        <v/>
      </c>
      <c r="G4023" s="18"/>
      <c r="H4023" s="16" t="s">
        <v>87</v>
      </c>
      <c r="I4023" s="16" t="s">
        <v>87</v>
      </c>
      <c r="J4023" s="19"/>
      <c r="L4023" s="16" t="str">
        <f>IFERROR(__xludf.DUMMYFUNCTION("""COMPUTED_VALUE"""),"")</f>
        <v/>
      </c>
      <c r="M4023" s="16" t="str">
        <f>IFERROR(__xludf.DUMMYFUNCTION("""COMPUTED_VALUE"""),"")</f>
        <v/>
      </c>
      <c r="U4023" s="16" t="s">
        <v>87</v>
      </c>
      <c r="V4023" s="16" t="str">
        <f>IFERROR(__xludf.DUMMYFUNCTION("""COMPUTED_VALUE"""),"")</f>
        <v/>
      </c>
      <c r="W4023" s="16" t="str">
        <f>IFERROR(__xludf.DUMMYFUNCTION("""COMPUTED_VALUE"""),"")</f>
        <v/>
      </c>
      <c r="X4023" s="16" t="str">
        <f>IFERROR(__xludf.DUMMYFUNCTION("""COMPUTED_VALUE"""),"")</f>
        <v/>
      </c>
      <c r="AC4023" s="16" t="str">
        <f>IFERROR(__xludf.DUMMYFUNCTION("""COMPUTED_VALUE"""),"")</f>
        <v/>
      </c>
    </row>
    <row r="4024">
      <c r="A4024" s="16" t="s">
        <v>87</v>
      </c>
      <c r="E4024" s="16" t="str">
        <f>IFERROR(__xludf.DUMMYFUNCTION("""COMPUTED_VALUE"""),"")</f>
        <v/>
      </c>
      <c r="G4024" s="18"/>
      <c r="H4024" s="16" t="s">
        <v>87</v>
      </c>
      <c r="I4024" s="16" t="s">
        <v>87</v>
      </c>
      <c r="J4024" s="19"/>
      <c r="L4024" s="16" t="str">
        <f>IFERROR(__xludf.DUMMYFUNCTION("""COMPUTED_VALUE"""),"")</f>
        <v/>
      </c>
      <c r="M4024" s="16" t="str">
        <f>IFERROR(__xludf.DUMMYFUNCTION("""COMPUTED_VALUE"""),"")</f>
        <v/>
      </c>
      <c r="U4024" s="16" t="s">
        <v>87</v>
      </c>
      <c r="V4024" s="16" t="str">
        <f>IFERROR(__xludf.DUMMYFUNCTION("""COMPUTED_VALUE"""),"")</f>
        <v/>
      </c>
      <c r="W4024" s="16" t="str">
        <f>IFERROR(__xludf.DUMMYFUNCTION("""COMPUTED_VALUE"""),"")</f>
        <v/>
      </c>
      <c r="X4024" s="16" t="str">
        <f>IFERROR(__xludf.DUMMYFUNCTION("""COMPUTED_VALUE"""),"")</f>
        <v/>
      </c>
      <c r="AC4024" s="16" t="str">
        <f>IFERROR(__xludf.DUMMYFUNCTION("""COMPUTED_VALUE"""),"")</f>
        <v/>
      </c>
    </row>
    <row r="4025">
      <c r="A4025" s="16" t="s">
        <v>87</v>
      </c>
      <c r="E4025" s="16" t="str">
        <f>IFERROR(__xludf.DUMMYFUNCTION("""COMPUTED_VALUE"""),"")</f>
        <v/>
      </c>
      <c r="G4025" s="18"/>
      <c r="H4025" s="16" t="s">
        <v>87</v>
      </c>
      <c r="I4025" s="16" t="s">
        <v>87</v>
      </c>
      <c r="J4025" s="19"/>
      <c r="L4025" s="16" t="str">
        <f>IFERROR(__xludf.DUMMYFUNCTION("""COMPUTED_VALUE"""),"")</f>
        <v/>
      </c>
      <c r="M4025" s="16" t="str">
        <f>IFERROR(__xludf.DUMMYFUNCTION("""COMPUTED_VALUE"""),"")</f>
        <v/>
      </c>
      <c r="U4025" s="16" t="s">
        <v>87</v>
      </c>
      <c r="V4025" s="16" t="str">
        <f>IFERROR(__xludf.DUMMYFUNCTION("""COMPUTED_VALUE"""),"")</f>
        <v/>
      </c>
      <c r="W4025" s="16" t="str">
        <f>IFERROR(__xludf.DUMMYFUNCTION("""COMPUTED_VALUE"""),"")</f>
        <v/>
      </c>
      <c r="X4025" s="16" t="str">
        <f>IFERROR(__xludf.DUMMYFUNCTION("""COMPUTED_VALUE"""),"")</f>
        <v/>
      </c>
      <c r="AC4025" s="16" t="str">
        <f>IFERROR(__xludf.DUMMYFUNCTION("""COMPUTED_VALUE"""),"")</f>
        <v/>
      </c>
    </row>
    <row r="4026">
      <c r="A4026" s="16" t="s">
        <v>87</v>
      </c>
      <c r="E4026" s="16" t="str">
        <f>IFERROR(__xludf.DUMMYFUNCTION("""COMPUTED_VALUE"""),"")</f>
        <v/>
      </c>
      <c r="G4026" s="18"/>
      <c r="H4026" s="16" t="s">
        <v>87</v>
      </c>
      <c r="I4026" s="16" t="s">
        <v>87</v>
      </c>
      <c r="J4026" s="19"/>
      <c r="L4026" s="16" t="str">
        <f>IFERROR(__xludf.DUMMYFUNCTION("""COMPUTED_VALUE"""),"")</f>
        <v/>
      </c>
      <c r="M4026" s="16" t="str">
        <f>IFERROR(__xludf.DUMMYFUNCTION("""COMPUTED_VALUE"""),"")</f>
        <v/>
      </c>
      <c r="U4026" s="16" t="s">
        <v>87</v>
      </c>
      <c r="V4026" s="16" t="str">
        <f>IFERROR(__xludf.DUMMYFUNCTION("""COMPUTED_VALUE"""),"")</f>
        <v/>
      </c>
      <c r="W4026" s="16" t="str">
        <f>IFERROR(__xludf.DUMMYFUNCTION("""COMPUTED_VALUE"""),"")</f>
        <v/>
      </c>
      <c r="X4026" s="16" t="str">
        <f>IFERROR(__xludf.DUMMYFUNCTION("""COMPUTED_VALUE"""),"")</f>
        <v/>
      </c>
      <c r="AC4026" s="16" t="str">
        <f>IFERROR(__xludf.DUMMYFUNCTION("""COMPUTED_VALUE"""),"")</f>
        <v/>
      </c>
    </row>
    <row r="4027">
      <c r="A4027" s="16" t="s">
        <v>87</v>
      </c>
      <c r="E4027" s="16" t="str">
        <f>IFERROR(__xludf.DUMMYFUNCTION("""COMPUTED_VALUE"""),"")</f>
        <v/>
      </c>
      <c r="G4027" s="18"/>
      <c r="H4027" s="16" t="s">
        <v>87</v>
      </c>
      <c r="I4027" s="16" t="s">
        <v>87</v>
      </c>
      <c r="J4027" s="19"/>
      <c r="L4027" s="16" t="str">
        <f>IFERROR(__xludf.DUMMYFUNCTION("""COMPUTED_VALUE"""),"")</f>
        <v/>
      </c>
      <c r="M4027" s="16" t="str">
        <f>IFERROR(__xludf.DUMMYFUNCTION("""COMPUTED_VALUE"""),"")</f>
        <v/>
      </c>
      <c r="U4027" s="16" t="s">
        <v>87</v>
      </c>
      <c r="V4027" s="16" t="str">
        <f>IFERROR(__xludf.DUMMYFUNCTION("""COMPUTED_VALUE"""),"")</f>
        <v/>
      </c>
      <c r="W4027" s="16" t="str">
        <f>IFERROR(__xludf.DUMMYFUNCTION("""COMPUTED_VALUE"""),"")</f>
        <v/>
      </c>
      <c r="X4027" s="16" t="str">
        <f>IFERROR(__xludf.DUMMYFUNCTION("""COMPUTED_VALUE"""),"")</f>
        <v/>
      </c>
      <c r="AC4027" s="16" t="str">
        <f>IFERROR(__xludf.DUMMYFUNCTION("""COMPUTED_VALUE"""),"")</f>
        <v/>
      </c>
    </row>
    <row r="4028">
      <c r="A4028" s="16" t="s">
        <v>87</v>
      </c>
      <c r="E4028" s="16" t="str">
        <f>IFERROR(__xludf.DUMMYFUNCTION("""COMPUTED_VALUE"""),"")</f>
        <v/>
      </c>
      <c r="G4028" s="18"/>
      <c r="H4028" s="16" t="s">
        <v>87</v>
      </c>
      <c r="I4028" s="16" t="s">
        <v>87</v>
      </c>
      <c r="J4028" s="19"/>
      <c r="L4028" s="16" t="str">
        <f>IFERROR(__xludf.DUMMYFUNCTION("""COMPUTED_VALUE"""),"")</f>
        <v/>
      </c>
      <c r="M4028" s="16" t="str">
        <f>IFERROR(__xludf.DUMMYFUNCTION("""COMPUTED_VALUE"""),"")</f>
        <v/>
      </c>
      <c r="U4028" s="16" t="s">
        <v>87</v>
      </c>
      <c r="V4028" s="16" t="str">
        <f>IFERROR(__xludf.DUMMYFUNCTION("""COMPUTED_VALUE"""),"")</f>
        <v/>
      </c>
      <c r="W4028" s="16" t="str">
        <f>IFERROR(__xludf.DUMMYFUNCTION("""COMPUTED_VALUE"""),"")</f>
        <v/>
      </c>
      <c r="X4028" s="16" t="str">
        <f>IFERROR(__xludf.DUMMYFUNCTION("""COMPUTED_VALUE"""),"")</f>
        <v/>
      </c>
      <c r="AC4028" s="16" t="str">
        <f>IFERROR(__xludf.DUMMYFUNCTION("""COMPUTED_VALUE"""),"")</f>
        <v/>
      </c>
    </row>
    <row r="4029">
      <c r="A4029" s="16" t="s">
        <v>87</v>
      </c>
      <c r="E4029" s="16" t="str">
        <f>IFERROR(__xludf.DUMMYFUNCTION("""COMPUTED_VALUE"""),"")</f>
        <v/>
      </c>
      <c r="G4029" s="18"/>
      <c r="H4029" s="16" t="s">
        <v>87</v>
      </c>
      <c r="I4029" s="16" t="s">
        <v>87</v>
      </c>
      <c r="J4029" s="19"/>
      <c r="L4029" s="16" t="str">
        <f>IFERROR(__xludf.DUMMYFUNCTION("""COMPUTED_VALUE"""),"")</f>
        <v/>
      </c>
      <c r="M4029" s="16" t="str">
        <f>IFERROR(__xludf.DUMMYFUNCTION("""COMPUTED_VALUE"""),"")</f>
        <v/>
      </c>
      <c r="U4029" s="16" t="s">
        <v>87</v>
      </c>
      <c r="V4029" s="16" t="str">
        <f>IFERROR(__xludf.DUMMYFUNCTION("""COMPUTED_VALUE"""),"")</f>
        <v/>
      </c>
      <c r="W4029" s="16" t="str">
        <f>IFERROR(__xludf.DUMMYFUNCTION("""COMPUTED_VALUE"""),"")</f>
        <v/>
      </c>
      <c r="X4029" s="16" t="str">
        <f>IFERROR(__xludf.DUMMYFUNCTION("""COMPUTED_VALUE"""),"")</f>
        <v/>
      </c>
      <c r="AC4029" s="16" t="str">
        <f>IFERROR(__xludf.DUMMYFUNCTION("""COMPUTED_VALUE"""),"")</f>
        <v/>
      </c>
    </row>
    <row r="4030">
      <c r="A4030" s="16" t="s">
        <v>87</v>
      </c>
      <c r="E4030" s="16" t="str">
        <f>IFERROR(__xludf.DUMMYFUNCTION("""COMPUTED_VALUE"""),"")</f>
        <v/>
      </c>
      <c r="G4030" s="18"/>
      <c r="H4030" s="16" t="s">
        <v>87</v>
      </c>
      <c r="I4030" s="16" t="s">
        <v>87</v>
      </c>
      <c r="J4030" s="19"/>
      <c r="L4030" s="16" t="str">
        <f>IFERROR(__xludf.DUMMYFUNCTION("""COMPUTED_VALUE"""),"")</f>
        <v/>
      </c>
      <c r="M4030" s="16" t="str">
        <f>IFERROR(__xludf.DUMMYFUNCTION("""COMPUTED_VALUE"""),"")</f>
        <v/>
      </c>
      <c r="U4030" s="16" t="s">
        <v>87</v>
      </c>
      <c r="V4030" s="16" t="str">
        <f>IFERROR(__xludf.DUMMYFUNCTION("""COMPUTED_VALUE"""),"")</f>
        <v/>
      </c>
      <c r="W4030" s="16" t="str">
        <f>IFERROR(__xludf.DUMMYFUNCTION("""COMPUTED_VALUE"""),"")</f>
        <v/>
      </c>
      <c r="X4030" s="16" t="str">
        <f>IFERROR(__xludf.DUMMYFUNCTION("""COMPUTED_VALUE"""),"")</f>
        <v/>
      </c>
      <c r="AC4030" s="16" t="str">
        <f>IFERROR(__xludf.DUMMYFUNCTION("""COMPUTED_VALUE"""),"")</f>
        <v/>
      </c>
    </row>
    <row r="4031">
      <c r="A4031" s="16" t="s">
        <v>87</v>
      </c>
      <c r="E4031" s="16" t="str">
        <f>IFERROR(__xludf.DUMMYFUNCTION("""COMPUTED_VALUE"""),"")</f>
        <v/>
      </c>
      <c r="G4031" s="18"/>
      <c r="H4031" s="16" t="s">
        <v>87</v>
      </c>
      <c r="I4031" s="16" t="s">
        <v>87</v>
      </c>
      <c r="J4031" s="19"/>
      <c r="L4031" s="16" t="str">
        <f>IFERROR(__xludf.DUMMYFUNCTION("""COMPUTED_VALUE"""),"")</f>
        <v/>
      </c>
      <c r="M4031" s="16" t="str">
        <f>IFERROR(__xludf.DUMMYFUNCTION("""COMPUTED_VALUE"""),"")</f>
        <v/>
      </c>
      <c r="U4031" s="16" t="s">
        <v>87</v>
      </c>
      <c r="V4031" s="16" t="str">
        <f>IFERROR(__xludf.DUMMYFUNCTION("""COMPUTED_VALUE"""),"")</f>
        <v/>
      </c>
      <c r="W4031" s="16" t="str">
        <f>IFERROR(__xludf.DUMMYFUNCTION("""COMPUTED_VALUE"""),"")</f>
        <v/>
      </c>
      <c r="X4031" s="16" t="str">
        <f>IFERROR(__xludf.DUMMYFUNCTION("""COMPUTED_VALUE"""),"")</f>
        <v/>
      </c>
      <c r="AC4031" s="16" t="str">
        <f>IFERROR(__xludf.DUMMYFUNCTION("""COMPUTED_VALUE"""),"")</f>
        <v/>
      </c>
    </row>
    <row r="4032">
      <c r="A4032" s="16" t="s">
        <v>87</v>
      </c>
      <c r="E4032" s="16" t="str">
        <f>IFERROR(__xludf.DUMMYFUNCTION("""COMPUTED_VALUE"""),"")</f>
        <v/>
      </c>
      <c r="G4032" s="18"/>
      <c r="H4032" s="16" t="s">
        <v>87</v>
      </c>
      <c r="I4032" s="16" t="s">
        <v>87</v>
      </c>
      <c r="J4032" s="19"/>
      <c r="L4032" s="16" t="str">
        <f>IFERROR(__xludf.DUMMYFUNCTION("""COMPUTED_VALUE"""),"")</f>
        <v/>
      </c>
      <c r="M4032" s="16" t="str">
        <f>IFERROR(__xludf.DUMMYFUNCTION("""COMPUTED_VALUE"""),"")</f>
        <v/>
      </c>
      <c r="U4032" s="16" t="s">
        <v>87</v>
      </c>
      <c r="V4032" s="16" t="str">
        <f>IFERROR(__xludf.DUMMYFUNCTION("""COMPUTED_VALUE"""),"")</f>
        <v/>
      </c>
      <c r="W4032" s="16" t="str">
        <f>IFERROR(__xludf.DUMMYFUNCTION("""COMPUTED_VALUE"""),"")</f>
        <v/>
      </c>
      <c r="X4032" s="16" t="str">
        <f>IFERROR(__xludf.DUMMYFUNCTION("""COMPUTED_VALUE"""),"")</f>
        <v/>
      </c>
      <c r="AC4032" s="16" t="str">
        <f>IFERROR(__xludf.DUMMYFUNCTION("""COMPUTED_VALUE"""),"")</f>
        <v/>
      </c>
    </row>
    <row r="4033">
      <c r="A4033" s="16" t="s">
        <v>87</v>
      </c>
      <c r="E4033" s="16" t="str">
        <f>IFERROR(__xludf.DUMMYFUNCTION("""COMPUTED_VALUE"""),"")</f>
        <v/>
      </c>
      <c r="G4033" s="18"/>
      <c r="H4033" s="16" t="s">
        <v>87</v>
      </c>
      <c r="I4033" s="16" t="s">
        <v>87</v>
      </c>
      <c r="J4033" s="19"/>
      <c r="L4033" s="16" t="str">
        <f>IFERROR(__xludf.DUMMYFUNCTION("""COMPUTED_VALUE"""),"")</f>
        <v/>
      </c>
      <c r="M4033" s="16" t="str">
        <f>IFERROR(__xludf.DUMMYFUNCTION("""COMPUTED_VALUE"""),"")</f>
        <v/>
      </c>
      <c r="U4033" s="16" t="s">
        <v>87</v>
      </c>
      <c r="V4033" s="16" t="str">
        <f>IFERROR(__xludf.DUMMYFUNCTION("""COMPUTED_VALUE"""),"")</f>
        <v/>
      </c>
      <c r="W4033" s="16" t="str">
        <f>IFERROR(__xludf.DUMMYFUNCTION("""COMPUTED_VALUE"""),"")</f>
        <v/>
      </c>
      <c r="X4033" s="16" t="str">
        <f>IFERROR(__xludf.DUMMYFUNCTION("""COMPUTED_VALUE"""),"")</f>
        <v/>
      </c>
      <c r="AC4033" s="16" t="str">
        <f>IFERROR(__xludf.DUMMYFUNCTION("""COMPUTED_VALUE"""),"")</f>
        <v/>
      </c>
    </row>
    <row r="4034">
      <c r="A4034" s="16" t="s">
        <v>87</v>
      </c>
      <c r="E4034" s="16" t="str">
        <f>IFERROR(__xludf.DUMMYFUNCTION("""COMPUTED_VALUE"""),"")</f>
        <v/>
      </c>
      <c r="G4034" s="18"/>
      <c r="H4034" s="16" t="s">
        <v>87</v>
      </c>
      <c r="I4034" s="16" t="s">
        <v>87</v>
      </c>
      <c r="J4034" s="19"/>
      <c r="L4034" s="16" t="str">
        <f>IFERROR(__xludf.DUMMYFUNCTION("""COMPUTED_VALUE"""),"")</f>
        <v/>
      </c>
      <c r="M4034" s="16" t="str">
        <f>IFERROR(__xludf.DUMMYFUNCTION("""COMPUTED_VALUE"""),"")</f>
        <v/>
      </c>
      <c r="U4034" s="16" t="s">
        <v>87</v>
      </c>
      <c r="V4034" s="16" t="str">
        <f>IFERROR(__xludf.DUMMYFUNCTION("""COMPUTED_VALUE"""),"")</f>
        <v/>
      </c>
      <c r="W4034" s="16" t="str">
        <f>IFERROR(__xludf.DUMMYFUNCTION("""COMPUTED_VALUE"""),"")</f>
        <v/>
      </c>
      <c r="X4034" s="16" t="str">
        <f>IFERROR(__xludf.DUMMYFUNCTION("""COMPUTED_VALUE"""),"")</f>
        <v/>
      </c>
      <c r="AC4034" s="16" t="str">
        <f>IFERROR(__xludf.DUMMYFUNCTION("""COMPUTED_VALUE"""),"")</f>
        <v/>
      </c>
    </row>
    <row r="4035">
      <c r="A4035" s="16" t="s">
        <v>87</v>
      </c>
      <c r="E4035" s="16" t="str">
        <f>IFERROR(__xludf.DUMMYFUNCTION("""COMPUTED_VALUE"""),"")</f>
        <v/>
      </c>
      <c r="G4035" s="18"/>
      <c r="H4035" s="16" t="s">
        <v>87</v>
      </c>
      <c r="I4035" s="16" t="s">
        <v>87</v>
      </c>
      <c r="J4035" s="19"/>
      <c r="L4035" s="16" t="str">
        <f>IFERROR(__xludf.DUMMYFUNCTION("""COMPUTED_VALUE"""),"")</f>
        <v/>
      </c>
      <c r="M4035" s="16" t="str">
        <f>IFERROR(__xludf.DUMMYFUNCTION("""COMPUTED_VALUE"""),"")</f>
        <v/>
      </c>
      <c r="U4035" s="16" t="s">
        <v>87</v>
      </c>
      <c r="V4035" s="16" t="str">
        <f>IFERROR(__xludf.DUMMYFUNCTION("""COMPUTED_VALUE"""),"")</f>
        <v/>
      </c>
      <c r="W4035" s="16" t="str">
        <f>IFERROR(__xludf.DUMMYFUNCTION("""COMPUTED_VALUE"""),"")</f>
        <v/>
      </c>
      <c r="X4035" s="16" t="str">
        <f>IFERROR(__xludf.DUMMYFUNCTION("""COMPUTED_VALUE"""),"")</f>
        <v/>
      </c>
      <c r="AC4035" s="16" t="str">
        <f>IFERROR(__xludf.DUMMYFUNCTION("""COMPUTED_VALUE"""),"")</f>
        <v/>
      </c>
    </row>
    <row r="4036">
      <c r="A4036" s="16" t="s">
        <v>87</v>
      </c>
      <c r="E4036" s="16" t="str">
        <f>IFERROR(__xludf.DUMMYFUNCTION("""COMPUTED_VALUE"""),"")</f>
        <v/>
      </c>
      <c r="G4036" s="18"/>
      <c r="H4036" s="16" t="s">
        <v>87</v>
      </c>
      <c r="I4036" s="16" t="s">
        <v>87</v>
      </c>
      <c r="J4036" s="19"/>
      <c r="L4036" s="16" t="str">
        <f>IFERROR(__xludf.DUMMYFUNCTION("""COMPUTED_VALUE"""),"")</f>
        <v/>
      </c>
      <c r="M4036" s="16" t="str">
        <f>IFERROR(__xludf.DUMMYFUNCTION("""COMPUTED_VALUE"""),"")</f>
        <v/>
      </c>
      <c r="U4036" s="16" t="s">
        <v>87</v>
      </c>
      <c r="V4036" s="16" t="str">
        <f>IFERROR(__xludf.DUMMYFUNCTION("""COMPUTED_VALUE"""),"")</f>
        <v/>
      </c>
      <c r="W4036" s="16" t="str">
        <f>IFERROR(__xludf.DUMMYFUNCTION("""COMPUTED_VALUE"""),"")</f>
        <v/>
      </c>
      <c r="X4036" s="16" t="str">
        <f>IFERROR(__xludf.DUMMYFUNCTION("""COMPUTED_VALUE"""),"")</f>
        <v/>
      </c>
      <c r="AC4036" s="16" t="str">
        <f>IFERROR(__xludf.DUMMYFUNCTION("""COMPUTED_VALUE"""),"")</f>
        <v/>
      </c>
    </row>
    <row r="4037">
      <c r="A4037" s="16" t="s">
        <v>87</v>
      </c>
      <c r="E4037" s="16" t="str">
        <f>IFERROR(__xludf.DUMMYFUNCTION("""COMPUTED_VALUE"""),"")</f>
        <v/>
      </c>
      <c r="G4037" s="18"/>
      <c r="H4037" s="16" t="s">
        <v>87</v>
      </c>
      <c r="I4037" s="16" t="s">
        <v>87</v>
      </c>
      <c r="J4037" s="19"/>
      <c r="L4037" s="16" t="str">
        <f>IFERROR(__xludf.DUMMYFUNCTION("""COMPUTED_VALUE"""),"")</f>
        <v/>
      </c>
      <c r="M4037" s="16" t="str">
        <f>IFERROR(__xludf.DUMMYFUNCTION("""COMPUTED_VALUE"""),"")</f>
        <v/>
      </c>
      <c r="U4037" s="16" t="s">
        <v>87</v>
      </c>
      <c r="V4037" s="16" t="str">
        <f>IFERROR(__xludf.DUMMYFUNCTION("""COMPUTED_VALUE"""),"")</f>
        <v/>
      </c>
      <c r="W4037" s="16" t="str">
        <f>IFERROR(__xludf.DUMMYFUNCTION("""COMPUTED_VALUE"""),"")</f>
        <v/>
      </c>
      <c r="X4037" s="16" t="str">
        <f>IFERROR(__xludf.DUMMYFUNCTION("""COMPUTED_VALUE"""),"")</f>
        <v/>
      </c>
      <c r="AC4037" s="16" t="str">
        <f>IFERROR(__xludf.DUMMYFUNCTION("""COMPUTED_VALUE"""),"")</f>
        <v/>
      </c>
    </row>
    <row r="4038">
      <c r="A4038" s="16" t="s">
        <v>87</v>
      </c>
      <c r="E4038" s="16" t="str">
        <f>IFERROR(__xludf.DUMMYFUNCTION("""COMPUTED_VALUE"""),"")</f>
        <v/>
      </c>
      <c r="G4038" s="18"/>
      <c r="H4038" s="16" t="s">
        <v>87</v>
      </c>
      <c r="I4038" s="16" t="s">
        <v>87</v>
      </c>
      <c r="J4038" s="19"/>
      <c r="L4038" s="16" t="str">
        <f>IFERROR(__xludf.DUMMYFUNCTION("""COMPUTED_VALUE"""),"")</f>
        <v/>
      </c>
      <c r="M4038" s="16" t="str">
        <f>IFERROR(__xludf.DUMMYFUNCTION("""COMPUTED_VALUE"""),"")</f>
        <v/>
      </c>
      <c r="U4038" s="16" t="s">
        <v>87</v>
      </c>
      <c r="V4038" s="16" t="str">
        <f>IFERROR(__xludf.DUMMYFUNCTION("""COMPUTED_VALUE"""),"")</f>
        <v/>
      </c>
      <c r="W4038" s="16" t="str">
        <f>IFERROR(__xludf.DUMMYFUNCTION("""COMPUTED_VALUE"""),"")</f>
        <v/>
      </c>
      <c r="X4038" s="16" t="str">
        <f>IFERROR(__xludf.DUMMYFUNCTION("""COMPUTED_VALUE"""),"")</f>
        <v/>
      </c>
      <c r="AC4038" s="16" t="str">
        <f>IFERROR(__xludf.DUMMYFUNCTION("""COMPUTED_VALUE"""),"")</f>
        <v/>
      </c>
    </row>
    <row r="4039">
      <c r="A4039" s="16" t="s">
        <v>87</v>
      </c>
      <c r="E4039" s="16" t="str">
        <f>IFERROR(__xludf.DUMMYFUNCTION("""COMPUTED_VALUE"""),"")</f>
        <v/>
      </c>
      <c r="G4039" s="18"/>
      <c r="H4039" s="16" t="s">
        <v>87</v>
      </c>
      <c r="I4039" s="16" t="s">
        <v>87</v>
      </c>
      <c r="J4039" s="19"/>
      <c r="L4039" s="16" t="str">
        <f>IFERROR(__xludf.DUMMYFUNCTION("""COMPUTED_VALUE"""),"")</f>
        <v/>
      </c>
      <c r="M4039" s="16" t="str">
        <f>IFERROR(__xludf.DUMMYFUNCTION("""COMPUTED_VALUE"""),"")</f>
        <v/>
      </c>
      <c r="U4039" s="16" t="s">
        <v>87</v>
      </c>
      <c r="V4039" s="16" t="str">
        <f>IFERROR(__xludf.DUMMYFUNCTION("""COMPUTED_VALUE"""),"")</f>
        <v/>
      </c>
      <c r="W4039" s="16" t="str">
        <f>IFERROR(__xludf.DUMMYFUNCTION("""COMPUTED_VALUE"""),"")</f>
        <v/>
      </c>
      <c r="X4039" s="16" t="str">
        <f>IFERROR(__xludf.DUMMYFUNCTION("""COMPUTED_VALUE"""),"")</f>
        <v/>
      </c>
      <c r="AC4039" s="16" t="str">
        <f>IFERROR(__xludf.DUMMYFUNCTION("""COMPUTED_VALUE"""),"")</f>
        <v/>
      </c>
    </row>
    <row r="4040">
      <c r="A4040" s="16" t="s">
        <v>87</v>
      </c>
      <c r="E4040" s="16" t="str">
        <f>IFERROR(__xludf.DUMMYFUNCTION("""COMPUTED_VALUE"""),"")</f>
        <v/>
      </c>
      <c r="G4040" s="18"/>
      <c r="H4040" s="16" t="s">
        <v>87</v>
      </c>
      <c r="I4040" s="16" t="s">
        <v>87</v>
      </c>
      <c r="J4040" s="19"/>
      <c r="L4040" s="16" t="str">
        <f>IFERROR(__xludf.DUMMYFUNCTION("""COMPUTED_VALUE"""),"")</f>
        <v/>
      </c>
      <c r="M4040" s="16" t="str">
        <f>IFERROR(__xludf.DUMMYFUNCTION("""COMPUTED_VALUE"""),"")</f>
        <v/>
      </c>
      <c r="U4040" s="16" t="s">
        <v>87</v>
      </c>
      <c r="V4040" s="16" t="str">
        <f>IFERROR(__xludf.DUMMYFUNCTION("""COMPUTED_VALUE"""),"")</f>
        <v/>
      </c>
      <c r="W4040" s="16" t="str">
        <f>IFERROR(__xludf.DUMMYFUNCTION("""COMPUTED_VALUE"""),"")</f>
        <v/>
      </c>
      <c r="X4040" s="16" t="str">
        <f>IFERROR(__xludf.DUMMYFUNCTION("""COMPUTED_VALUE"""),"")</f>
        <v/>
      </c>
      <c r="AC4040" s="16" t="str">
        <f>IFERROR(__xludf.DUMMYFUNCTION("""COMPUTED_VALUE"""),"")</f>
        <v/>
      </c>
    </row>
    <row r="4041">
      <c r="A4041" s="16" t="s">
        <v>87</v>
      </c>
      <c r="E4041" s="16" t="str">
        <f>IFERROR(__xludf.DUMMYFUNCTION("""COMPUTED_VALUE"""),"")</f>
        <v/>
      </c>
      <c r="G4041" s="18"/>
      <c r="H4041" s="16" t="s">
        <v>87</v>
      </c>
      <c r="I4041" s="16" t="s">
        <v>87</v>
      </c>
      <c r="J4041" s="19"/>
      <c r="L4041" s="16" t="str">
        <f>IFERROR(__xludf.DUMMYFUNCTION("""COMPUTED_VALUE"""),"")</f>
        <v/>
      </c>
      <c r="M4041" s="16" t="str">
        <f>IFERROR(__xludf.DUMMYFUNCTION("""COMPUTED_VALUE"""),"")</f>
        <v/>
      </c>
      <c r="U4041" s="16" t="s">
        <v>87</v>
      </c>
      <c r="V4041" s="16" t="str">
        <f>IFERROR(__xludf.DUMMYFUNCTION("""COMPUTED_VALUE"""),"")</f>
        <v/>
      </c>
      <c r="W4041" s="16" t="str">
        <f>IFERROR(__xludf.DUMMYFUNCTION("""COMPUTED_VALUE"""),"")</f>
        <v/>
      </c>
      <c r="X4041" s="16" t="str">
        <f>IFERROR(__xludf.DUMMYFUNCTION("""COMPUTED_VALUE"""),"")</f>
        <v/>
      </c>
      <c r="AC4041" s="16" t="str">
        <f>IFERROR(__xludf.DUMMYFUNCTION("""COMPUTED_VALUE"""),"")</f>
        <v/>
      </c>
    </row>
    <row r="4042">
      <c r="A4042" s="16" t="s">
        <v>87</v>
      </c>
      <c r="E4042" s="16" t="str">
        <f>IFERROR(__xludf.DUMMYFUNCTION("""COMPUTED_VALUE"""),"")</f>
        <v/>
      </c>
      <c r="G4042" s="18"/>
      <c r="H4042" s="16" t="s">
        <v>87</v>
      </c>
      <c r="I4042" s="16" t="s">
        <v>87</v>
      </c>
      <c r="J4042" s="19"/>
      <c r="L4042" s="16" t="str">
        <f>IFERROR(__xludf.DUMMYFUNCTION("""COMPUTED_VALUE"""),"")</f>
        <v/>
      </c>
      <c r="M4042" s="16" t="str">
        <f>IFERROR(__xludf.DUMMYFUNCTION("""COMPUTED_VALUE"""),"")</f>
        <v/>
      </c>
      <c r="U4042" s="16" t="s">
        <v>87</v>
      </c>
      <c r="V4042" s="16" t="str">
        <f>IFERROR(__xludf.DUMMYFUNCTION("""COMPUTED_VALUE"""),"")</f>
        <v/>
      </c>
      <c r="W4042" s="16" t="str">
        <f>IFERROR(__xludf.DUMMYFUNCTION("""COMPUTED_VALUE"""),"")</f>
        <v/>
      </c>
      <c r="X4042" s="16" t="str">
        <f>IFERROR(__xludf.DUMMYFUNCTION("""COMPUTED_VALUE"""),"")</f>
        <v/>
      </c>
      <c r="AC4042" s="16" t="str">
        <f>IFERROR(__xludf.DUMMYFUNCTION("""COMPUTED_VALUE"""),"")</f>
        <v/>
      </c>
    </row>
    <row r="4043">
      <c r="A4043" s="16" t="s">
        <v>87</v>
      </c>
      <c r="E4043" s="16" t="str">
        <f>IFERROR(__xludf.DUMMYFUNCTION("""COMPUTED_VALUE"""),"")</f>
        <v/>
      </c>
      <c r="G4043" s="18"/>
      <c r="H4043" s="16" t="s">
        <v>87</v>
      </c>
      <c r="I4043" s="16" t="s">
        <v>87</v>
      </c>
      <c r="J4043" s="19"/>
      <c r="L4043" s="16" t="str">
        <f>IFERROR(__xludf.DUMMYFUNCTION("""COMPUTED_VALUE"""),"")</f>
        <v/>
      </c>
      <c r="M4043" s="16" t="str">
        <f>IFERROR(__xludf.DUMMYFUNCTION("""COMPUTED_VALUE"""),"")</f>
        <v/>
      </c>
      <c r="U4043" s="16" t="s">
        <v>87</v>
      </c>
      <c r="V4043" s="16" t="str">
        <f>IFERROR(__xludf.DUMMYFUNCTION("""COMPUTED_VALUE"""),"")</f>
        <v/>
      </c>
      <c r="W4043" s="16" t="str">
        <f>IFERROR(__xludf.DUMMYFUNCTION("""COMPUTED_VALUE"""),"")</f>
        <v/>
      </c>
      <c r="X4043" s="16" t="str">
        <f>IFERROR(__xludf.DUMMYFUNCTION("""COMPUTED_VALUE"""),"")</f>
        <v/>
      </c>
      <c r="AC4043" s="16" t="str">
        <f>IFERROR(__xludf.DUMMYFUNCTION("""COMPUTED_VALUE"""),"")</f>
        <v/>
      </c>
    </row>
    <row r="4044">
      <c r="A4044" s="16" t="s">
        <v>87</v>
      </c>
      <c r="E4044" s="16" t="str">
        <f>IFERROR(__xludf.DUMMYFUNCTION("""COMPUTED_VALUE"""),"")</f>
        <v/>
      </c>
      <c r="G4044" s="18"/>
      <c r="H4044" s="16" t="s">
        <v>87</v>
      </c>
      <c r="I4044" s="16" t="s">
        <v>87</v>
      </c>
      <c r="J4044" s="19"/>
      <c r="L4044" s="16" t="str">
        <f>IFERROR(__xludf.DUMMYFUNCTION("""COMPUTED_VALUE"""),"")</f>
        <v/>
      </c>
      <c r="M4044" s="16" t="str">
        <f>IFERROR(__xludf.DUMMYFUNCTION("""COMPUTED_VALUE"""),"")</f>
        <v/>
      </c>
      <c r="U4044" s="16" t="s">
        <v>87</v>
      </c>
      <c r="V4044" s="16" t="str">
        <f>IFERROR(__xludf.DUMMYFUNCTION("""COMPUTED_VALUE"""),"")</f>
        <v/>
      </c>
      <c r="W4044" s="16" t="str">
        <f>IFERROR(__xludf.DUMMYFUNCTION("""COMPUTED_VALUE"""),"")</f>
        <v/>
      </c>
      <c r="X4044" s="16" t="str">
        <f>IFERROR(__xludf.DUMMYFUNCTION("""COMPUTED_VALUE"""),"")</f>
        <v/>
      </c>
      <c r="AC4044" s="16" t="str">
        <f>IFERROR(__xludf.DUMMYFUNCTION("""COMPUTED_VALUE"""),"")</f>
        <v/>
      </c>
    </row>
    <row r="4045">
      <c r="A4045" s="16" t="s">
        <v>87</v>
      </c>
      <c r="E4045" s="16" t="str">
        <f>IFERROR(__xludf.DUMMYFUNCTION("""COMPUTED_VALUE"""),"")</f>
        <v/>
      </c>
      <c r="G4045" s="18"/>
      <c r="H4045" s="16" t="s">
        <v>87</v>
      </c>
      <c r="I4045" s="16" t="s">
        <v>87</v>
      </c>
      <c r="J4045" s="19"/>
      <c r="L4045" s="16" t="str">
        <f>IFERROR(__xludf.DUMMYFUNCTION("""COMPUTED_VALUE"""),"")</f>
        <v/>
      </c>
      <c r="M4045" s="16" t="str">
        <f>IFERROR(__xludf.DUMMYFUNCTION("""COMPUTED_VALUE"""),"")</f>
        <v/>
      </c>
      <c r="U4045" s="16" t="s">
        <v>87</v>
      </c>
      <c r="V4045" s="16" t="str">
        <f>IFERROR(__xludf.DUMMYFUNCTION("""COMPUTED_VALUE"""),"")</f>
        <v/>
      </c>
      <c r="W4045" s="16" t="str">
        <f>IFERROR(__xludf.DUMMYFUNCTION("""COMPUTED_VALUE"""),"")</f>
        <v/>
      </c>
      <c r="X4045" s="16" t="str">
        <f>IFERROR(__xludf.DUMMYFUNCTION("""COMPUTED_VALUE"""),"")</f>
        <v/>
      </c>
      <c r="AC4045" s="16" t="str">
        <f>IFERROR(__xludf.DUMMYFUNCTION("""COMPUTED_VALUE"""),"")</f>
        <v/>
      </c>
    </row>
    <row r="4046">
      <c r="A4046" s="16" t="s">
        <v>87</v>
      </c>
      <c r="E4046" s="16" t="str">
        <f>IFERROR(__xludf.DUMMYFUNCTION("""COMPUTED_VALUE"""),"")</f>
        <v/>
      </c>
      <c r="G4046" s="18"/>
      <c r="H4046" s="16" t="s">
        <v>87</v>
      </c>
      <c r="I4046" s="16" t="s">
        <v>87</v>
      </c>
      <c r="J4046" s="19"/>
      <c r="L4046" s="16" t="str">
        <f>IFERROR(__xludf.DUMMYFUNCTION("""COMPUTED_VALUE"""),"")</f>
        <v/>
      </c>
      <c r="M4046" s="16" t="str">
        <f>IFERROR(__xludf.DUMMYFUNCTION("""COMPUTED_VALUE"""),"")</f>
        <v/>
      </c>
      <c r="U4046" s="16" t="s">
        <v>87</v>
      </c>
      <c r="V4046" s="16" t="str">
        <f>IFERROR(__xludf.DUMMYFUNCTION("""COMPUTED_VALUE"""),"")</f>
        <v/>
      </c>
      <c r="W4046" s="16" t="str">
        <f>IFERROR(__xludf.DUMMYFUNCTION("""COMPUTED_VALUE"""),"")</f>
        <v/>
      </c>
      <c r="X4046" s="16" t="str">
        <f>IFERROR(__xludf.DUMMYFUNCTION("""COMPUTED_VALUE"""),"")</f>
        <v/>
      </c>
      <c r="AC4046" s="16" t="str">
        <f>IFERROR(__xludf.DUMMYFUNCTION("""COMPUTED_VALUE"""),"")</f>
        <v/>
      </c>
    </row>
    <row r="4047">
      <c r="A4047" s="16" t="s">
        <v>87</v>
      </c>
      <c r="E4047" s="16" t="str">
        <f>IFERROR(__xludf.DUMMYFUNCTION("""COMPUTED_VALUE"""),"")</f>
        <v/>
      </c>
      <c r="G4047" s="18"/>
      <c r="H4047" s="16" t="s">
        <v>87</v>
      </c>
      <c r="I4047" s="16" t="s">
        <v>87</v>
      </c>
      <c r="J4047" s="19"/>
      <c r="L4047" s="16" t="str">
        <f>IFERROR(__xludf.DUMMYFUNCTION("""COMPUTED_VALUE"""),"")</f>
        <v/>
      </c>
      <c r="M4047" s="16" t="str">
        <f>IFERROR(__xludf.DUMMYFUNCTION("""COMPUTED_VALUE"""),"")</f>
        <v/>
      </c>
      <c r="U4047" s="16" t="s">
        <v>87</v>
      </c>
      <c r="V4047" s="16" t="str">
        <f>IFERROR(__xludf.DUMMYFUNCTION("""COMPUTED_VALUE"""),"")</f>
        <v/>
      </c>
      <c r="W4047" s="16" t="str">
        <f>IFERROR(__xludf.DUMMYFUNCTION("""COMPUTED_VALUE"""),"")</f>
        <v/>
      </c>
      <c r="X4047" s="16" t="str">
        <f>IFERROR(__xludf.DUMMYFUNCTION("""COMPUTED_VALUE"""),"")</f>
        <v/>
      </c>
      <c r="AC4047" s="16" t="str">
        <f>IFERROR(__xludf.DUMMYFUNCTION("""COMPUTED_VALUE"""),"")</f>
        <v/>
      </c>
    </row>
    <row r="4048">
      <c r="A4048" s="16" t="s">
        <v>87</v>
      </c>
      <c r="E4048" s="16" t="str">
        <f>IFERROR(__xludf.DUMMYFUNCTION("""COMPUTED_VALUE"""),"")</f>
        <v/>
      </c>
      <c r="G4048" s="18"/>
      <c r="H4048" s="16" t="s">
        <v>87</v>
      </c>
      <c r="I4048" s="16" t="s">
        <v>87</v>
      </c>
      <c r="J4048" s="19"/>
      <c r="L4048" s="16" t="str">
        <f>IFERROR(__xludf.DUMMYFUNCTION("""COMPUTED_VALUE"""),"")</f>
        <v/>
      </c>
      <c r="M4048" s="16" t="str">
        <f>IFERROR(__xludf.DUMMYFUNCTION("""COMPUTED_VALUE"""),"")</f>
        <v/>
      </c>
      <c r="U4048" s="16" t="s">
        <v>87</v>
      </c>
      <c r="V4048" s="16" t="str">
        <f>IFERROR(__xludf.DUMMYFUNCTION("""COMPUTED_VALUE"""),"")</f>
        <v/>
      </c>
      <c r="W4048" s="16" t="str">
        <f>IFERROR(__xludf.DUMMYFUNCTION("""COMPUTED_VALUE"""),"")</f>
        <v/>
      </c>
      <c r="X4048" s="16" t="str">
        <f>IFERROR(__xludf.DUMMYFUNCTION("""COMPUTED_VALUE"""),"")</f>
        <v/>
      </c>
      <c r="AC4048" s="16" t="str">
        <f>IFERROR(__xludf.DUMMYFUNCTION("""COMPUTED_VALUE"""),"")</f>
        <v/>
      </c>
    </row>
    <row r="4049">
      <c r="A4049" s="16" t="s">
        <v>87</v>
      </c>
      <c r="E4049" s="16" t="str">
        <f>IFERROR(__xludf.DUMMYFUNCTION("""COMPUTED_VALUE"""),"")</f>
        <v/>
      </c>
      <c r="G4049" s="18"/>
      <c r="H4049" s="16" t="s">
        <v>87</v>
      </c>
      <c r="I4049" s="16" t="s">
        <v>87</v>
      </c>
      <c r="J4049" s="19"/>
      <c r="L4049" s="16" t="str">
        <f>IFERROR(__xludf.DUMMYFUNCTION("""COMPUTED_VALUE"""),"")</f>
        <v/>
      </c>
      <c r="M4049" s="16" t="str">
        <f>IFERROR(__xludf.DUMMYFUNCTION("""COMPUTED_VALUE"""),"")</f>
        <v/>
      </c>
      <c r="U4049" s="16" t="s">
        <v>87</v>
      </c>
      <c r="V4049" s="16" t="str">
        <f>IFERROR(__xludf.DUMMYFUNCTION("""COMPUTED_VALUE"""),"")</f>
        <v/>
      </c>
      <c r="W4049" s="16" t="str">
        <f>IFERROR(__xludf.DUMMYFUNCTION("""COMPUTED_VALUE"""),"")</f>
        <v/>
      </c>
      <c r="X4049" s="16" t="str">
        <f>IFERROR(__xludf.DUMMYFUNCTION("""COMPUTED_VALUE"""),"")</f>
        <v/>
      </c>
      <c r="AC4049" s="16" t="str">
        <f>IFERROR(__xludf.DUMMYFUNCTION("""COMPUTED_VALUE"""),"")</f>
        <v/>
      </c>
    </row>
    <row r="4050">
      <c r="A4050" s="16" t="s">
        <v>87</v>
      </c>
      <c r="E4050" s="16" t="str">
        <f>IFERROR(__xludf.DUMMYFUNCTION("""COMPUTED_VALUE"""),"")</f>
        <v/>
      </c>
      <c r="G4050" s="18"/>
      <c r="H4050" s="16" t="s">
        <v>87</v>
      </c>
      <c r="I4050" s="16" t="s">
        <v>87</v>
      </c>
      <c r="J4050" s="19"/>
      <c r="L4050" s="16" t="str">
        <f>IFERROR(__xludf.DUMMYFUNCTION("""COMPUTED_VALUE"""),"")</f>
        <v/>
      </c>
      <c r="M4050" s="16" t="str">
        <f>IFERROR(__xludf.DUMMYFUNCTION("""COMPUTED_VALUE"""),"")</f>
        <v/>
      </c>
      <c r="U4050" s="16" t="s">
        <v>87</v>
      </c>
      <c r="V4050" s="16" t="str">
        <f>IFERROR(__xludf.DUMMYFUNCTION("""COMPUTED_VALUE"""),"")</f>
        <v/>
      </c>
      <c r="W4050" s="16" t="str">
        <f>IFERROR(__xludf.DUMMYFUNCTION("""COMPUTED_VALUE"""),"")</f>
        <v/>
      </c>
      <c r="X4050" s="16" t="str">
        <f>IFERROR(__xludf.DUMMYFUNCTION("""COMPUTED_VALUE"""),"")</f>
        <v/>
      </c>
      <c r="AC4050" s="16" t="str">
        <f>IFERROR(__xludf.DUMMYFUNCTION("""COMPUTED_VALUE"""),"")</f>
        <v/>
      </c>
    </row>
    <row r="4051">
      <c r="A4051" s="16" t="s">
        <v>87</v>
      </c>
      <c r="E4051" s="16" t="str">
        <f>IFERROR(__xludf.DUMMYFUNCTION("""COMPUTED_VALUE"""),"")</f>
        <v/>
      </c>
      <c r="G4051" s="18"/>
      <c r="H4051" s="16" t="s">
        <v>87</v>
      </c>
      <c r="I4051" s="16" t="s">
        <v>87</v>
      </c>
      <c r="J4051" s="19"/>
      <c r="L4051" s="16" t="str">
        <f>IFERROR(__xludf.DUMMYFUNCTION("""COMPUTED_VALUE"""),"")</f>
        <v/>
      </c>
      <c r="M4051" s="16" t="str">
        <f>IFERROR(__xludf.DUMMYFUNCTION("""COMPUTED_VALUE"""),"")</f>
        <v/>
      </c>
      <c r="U4051" s="16" t="s">
        <v>87</v>
      </c>
      <c r="V4051" s="16" t="str">
        <f>IFERROR(__xludf.DUMMYFUNCTION("""COMPUTED_VALUE"""),"")</f>
        <v/>
      </c>
      <c r="W4051" s="16" t="str">
        <f>IFERROR(__xludf.DUMMYFUNCTION("""COMPUTED_VALUE"""),"")</f>
        <v/>
      </c>
      <c r="X4051" s="16" t="str">
        <f>IFERROR(__xludf.DUMMYFUNCTION("""COMPUTED_VALUE"""),"")</f>
        <v/>
      </c>
      <c r="AC4051" s="16" t="str">
        <f>IFERROR(__xludf.DUMMYFUNCTION("""COMPUTED_VALUE"""),"")</f>
        <v/>
      </c>
    </row>
    <row r="4052">
      <c r="A4052" s="16" t="s">
        <v>87</v>
      </c>
      <c r="E4052" s="16" t="str">
        <f>IFERROR(__xludf.DUMMYFUNCTION("""COMPUTED_VALUE"""),"")</f>
        <v/>
      </c>
      <c r="G4052" s="18"/>
      <c r="H4052" s="16" t="s">
        <v>87</v>
      </c>
      <c r="I4052" s="16" t="s">
        <v>87</v>
      </c>
      <c r="J4052" s="19"/>
      <c r="L4052" s="16" t="str">
        <f>IFERROR(__xludf.DUMMYFUNCTION("""COMPUTED_VALUE"""),"")</f>
        <v/>
      </c>
      <c r="M4052" s="16" t="str">
        <f>IFERROR(__xludf.DUMMYFUNCTION("""COMPUTED_VALUE"""),"")</f>
        <v/>
      </c>
      <c r="U4052" s="16" t="s">
        <v>87</v>
      </c>
      <c r="V4052" s="16" t="str">
        <f>IFERROR(__xludf.DUMMYFUNCTION("""COMPUTED_VALUE"""),"")</f>
        <v/>
      </c>
      <c r="W4052" s="16" t="str">
        <f>IFERROR(__xludf.DUMMYFUNCTION("""COMPUTED_VALUE"""),"")</f>
        <v/>
      </c>
      <c r="X4052" s="16" t="str">
        <f>IFERROR(__xludf.DUMMYFUNCTION("""COMPUTED_VALUE"""),"")</f>
        <v/>
      </c>
      <c r="AC4052" s="16" t="str">
        <f>IFERROR(__xludf.DUMMYFUNCTION("""COMPUTED_VALUE"""),"")</f>
        <v/>
      </c>
    </row>
    <row r="4053">
      <c r="A4053" s="16" t="s">
        <v>87</v>
      </c>
      <c r="E4053" s="16" t="str">
        <f>IFERROR(__xludf.DUMMYFUNCTION("""COMPUTED_VALUE"""),"")</f>
        <v/>
      </c>
      <c r="G4053" s="18"/>
      <c r="H4053" s="16" t="s">
        <v>87</v>
      </c>
      <c r="I4053" s="16" t="s">
        <v>87</v>
      </c>
      <c r="J4053" s="19"/>
      <c r="L4053" s="16" t="str">
        <f>IFERROR(__xludf.DUMMYFUNCTION("""COMPUTED_VALUE"""),"")</f>
        <v/>
      </c>
      <c r="M4053" s="16" t="str">
        <f>IFERROR(__xludf.DUMMYFUNCTION("""COMPUTED_VALUE"""),"")</f>
        <v/>
      </c>
      <c r="U4053" s="16" t="s">
        <v>87</v>
      </c>
      <c r="V4053" s="16" t="str">
        <f>IFERROR(__xludf.DUMMYFUNCTION("""COMPUTED_VALUE"""),"")</f>
        <v/>
      </c>
      <c r="W4053" s="16" t="str">
        <f>IFERROR(__xludf.DUMMYFUNCTION("""COMPUTED_VALUE"""),"")</f>
        <v/>
      </c>
      <c r="X4053" s="16" t="str">
        <f>IFERROR(__xludf.DUMMYFUNCTION("""COMPUTED_VALUE"""),"")</f>
        <v/>
      </c>
      <c r="AC4053" s="16" t="str">
        <f>IFERROR(__xludf.DUMMYFUNCTION("""COMPUTED_VALUE"""),"")</f>
        <v/>
      </c>
    </row>
    <row r="4054">
      <c r="A4054" s="16" t="s">
        <v>87</v>
      </c>
      <c r="E4054" s="16" t="str">
        <f>IFERROR(__xludf.DUMMYFUNCTION("""COMPUTED_VALUE"""),"")</f>
        <v/>
      </c>
      <c r="G4054" s="18"/>
      <c r="H4054" s="16" t="s">
        <v>87</v>
      </c>
      <c r="I4054" s="16" t="s">
        <v>87</v>
      </c>
      <c r="J4054" s="19"/>
      <c r="L4054" s="16" t="str">
        <f>IFERROR(__xludf.DUMMYFUNCTION("""COMPUTED_VALUE"""),"")</f>
        <v/>
      </c>
      <c r="M4054" s="16" t="str">
        <f>IFERROR(__xludf.DUMMYFUNCTION("""COMPUTED_VALUE"""),"")</f>
        <v/>
      </c>
      <c r="U4054" s="16" t="s">
        <v>87</v>
      </c>
      <c r="V4054" s="16" t="str">
        <f>IFERROR(__xludf.DUMMYFUNCTION("""COMPUTED_VALUE"""),"")</f>
        <v/>
      </c>
      <c r="W4054" s="16" t="str">
        <f>IFERROR(__xludf.DUMMYFUNCTION("""COMPUTED_VALUE"""),"")</f>
        <v/>
      </c>
      <c r="X4054" s="16" t="str">
        <f>IFERROR(__xludf.DUMMYFUNCTION("""COMPUTED_VALUE"""),"")</f>
        <v/>
      </c>
      <c r="AC4054" s="16" t="str">
        <f>IFERROR(__xludf.DUMMYFUNCTION("""COMPUTED_VALUE"""),"")</f>
        <v/>
      </c>
    </row>
    <row r="4055">
      <c r="A4055" s="16" t="s">
        <v>87</v>
      </c>
      <c r="E4055" s="16" t="str">
        <f>IFERROR(__xludf.DUMMYFUNCTION("""COMPUTED_VALUE"""),"")</f>
        <v/>
      </c>
      <c r="G4055" s="18"/>
      <c r="H4055" s="16" t="s">
        <v>87</v>
      </c>
      <c r="I4055" s="16" t="s">
        <v>87</v>
      </c>
      <c r="J4055" s="19"/>
      <c r="L4055" s="16" t="str">
        <f>IFERROR(__xludf.DUMMYFUNCTION("""COMPUTED_VALUE"""),"")</f>
        <v/>
      </c>
      <c r="M4055" s="16" t="str">
        <f>IFERROR(__xludf.DUMMYFUNCTION("""COMPUTED_VALUE"""),"")</f>
        <v/>
      </c>
      <c r="U4055" s="16" t="s">
        <v>87</v>
      </c>
      <c r="V4055" s="16" t="str">
        <f>IFERROR(__xludf.DUMMYFUNCTION("""COMPUTED_VALUE"""),"")</f>
        <v/>
      </c>
      <c r="W4055" s="16" t="str">
        <f>IFERROR(__xludf.DUMMYFUNCTION("""COMPUTED_VALUE"""),"")</f>
        <v/>
      </c>
      <c r="X4055" s="16" t="str">
        <f>IFERROR(__xludf.DUMMYFUNCTION("""COMPUTED_VALUE"""),"")</f>
        <v/>
      </c>
      <c r="AC4055" s="16" t="str">
        <f>IFERROR(__xludf.DUMMYFUNCTION("""COMPUTED_VALUE"""),"")</f>
        <v/>
      </c>
    </row>
    <row r="4056">
      <c r="A4056" s="16" t="s">
        <v>87</v>
      </c>
      <c r="E4056" s="16" t="str">
        <f>IFERROR(__xludf.DUMMYFUNCTION("""COMPUTED_VALUE"""),"")</f>
        <v/>
      </c>
      <c r="G4056" s="18"/>
      <c r="H4056" s="16" t="s">
        <v>87</v>
      </c>
      <c r="I4056" s="16" t="s">
        <v>87</v>
      </c>
      <c r="J4056" s="19"/>
      <c r="L4056" s="16" t="str">
        <f>IFERROR(__xludf.DUMMYFUNCTION("""COMPUTED_VALUE"""),"")</f>
        <v/>
      </c>
      <c r="M4056" s="16" t="str">
        <f>IFERROR(__xludf.DUMMYFUNCTION("""COMPUTED_VALUE"""),"")</f>
        <v/>
      </c>
      <c r="U4056" s="16" t="s">
        <v>87</v>
      </c>
      <c r="V4056" s="16" t="str">
        <f>IFERROR(__xludf.DUMMYFUNCTION("""COMPUTED_VALUE"""),"")</f>
        <v/>
      </c>
      <c r="W4056" s="16" t="str">
        <f>IFERROR(__xludf.DUMMYFUNCTION("""COMPUTED_VALUE"""),"")</f>
        <v/>
      </c>
      <c r="X4056" s="16" t="str">
        <f>IFERROR(__xludf.DUMMYFUNCTION("""COMPUTED_VALUE"""),"")</f>
        <v/>
      </c>
      <c r="AC4056" s="16" t="str">
        <f>IFERROR(__xludf.DUMMYFUNCTION("""COMPUTED_VALUE"""),"")</f>
        <v/>
      </c>
    </row>
    <row r="4057">
      <c r="A4057" s="16" t="s">
        <v>87</v>
      </c>
      <c r="E4057" s="16" t="str">
        <f>IFERROR(__xludf.DUMMYFUNCTION("""COMPUTED_VALUE"""),"")</f>
        <v/>
      </c>
      <c r="G4057" s="18"/>
      <c r="H4057" s="16" t="s">
        <v>87</v>
      </c>
      <c r="I4057" s="16" t="s">
        <v>87</v>
      </c>
      <c r="J4057" s="19"/>
      <c r="L4057" s="16" t="str">
        <f>IFERROR(__xludf.DUMMYFUNCTION("""COMPUTED_VALUE"""),"")</f>
        <v/>
      </c>
      <c r="M4057" s="16" t="str">
        <f>IFERROR(__xludf.DUMMYFUNCTION("""COMPUTED_VALUE"""),"")</f>
        <v/>
      </c>
      <c r="U4057" s="16" t="s">
        <v>87</v>
      </c>
      <c r="V4057" s="16" t="str">
        <f>IFERROR(__xludf.DUMMYFUNCTION("""COMPUTED_VALUE"""),"")</f>
        <v/>
      </c>
      <c r="W4057" s="16" t="str">
        <f>IFERROR(__xludf.DUMMYFUNCTION("""COMPUTED_VALUE"""),"")</f>
        <v/>
      </c>
      <c r="X4057" s="16" t="str">
        <f>IFERROR(__xludf.DUMMYFUNCTION("""COMPUTED_VALUE"""),"")</f>
        <v/>
      </c>
      <c r="AC4057" s="16" t="str">
        <f>IFERROR(__xludf.DUMMYFUNCTION("""COMPUTED_VALUE"""),"")</f>
        <v/>
      </c>
    </row>
    <row r="4058">
      <c r="A4058" s="16" t="s">
        <v>87</v>
      </c>
      <c r="E4058" s="16" t="str">
        <f>IFERROR(__xludf.DUMMYFUNCTION("""COMPUTED_VALUE"""),"")</f>
        <v/>
      </c>
      <c r="G4058" s="18"/>
      <c r="H4058" s="16" t="s">
        <v>87</v>
      </c>
      <c r="I4058" s="16" t="s">
        <v>87</v>
      </c>
      <c r="J4058" s="19"/>
      <c r="L4058" s="16" t="str">
        <f>IFERROR(__xludf.DUMMYFUNCTION("""COMPUTED_VALUE"""),"")</f>
        <v/>
      </c>
      <c r="M4058" s="16" t="str">
        <f>IFERROR(__xludf.DUMMYFUNCTION("""COMPUTED_VALUE"""),"")</f>
        <v/>
      </c>
      <c r="U4058" s="16" t="s">
        <v>87</v>
      </c>
      <c r="V4058" s="16" t="str">
        <f>IFERROR(__xludf.DUMMYFUNCTION("""COMPUTED_VALUE"""),"")</f>
        <v/>
      </c>
      <c r="W4058" s="16" t="str">
        <f>IFERROR(__xludf.DUMMYFUNCTION("""COMPUTED_VALUE"""),"")</f>
        <v/>
      </c>
      <c r="X4058" s="16" t="str">
        <f>IFERROR(__xludf.DUMMYFUNCTION("""COMPUTED_VALUE"""),"")</f>
        <v/>
      </c>
      <c r="AC4058" s="16" t="str">
        <f>IFERROR(__xludf.DUMMYFUNCTION("""COMPUTED_VALUE"""),"")</f>
        <v/>
      </c>
    </row>
    <row r="4059">
      <c r="A4059" s="16" t="s">
        <v>87</v>
      </c>
      <c r="E4059" s="16" t="str">
        <f>IFERROR(__xludf.DUMMYFUNCTION("""COMPUTED_VALUE"""),"")</f>
        <v/>
      </c>
      <c r="G4059" s="18"/>
      <c r="H4059" s="16" t="s">
        <v>87</v>
      </c>
      <c r="I4059" s="16" t="s">
        <v>87</v>
      </c>
      <c r="J4059" s="19"/>
      <c r="L4059" s="16" t="str">
        <f>IFERROR(__xludf.DUMMYFUNCTION("""COMPUTED_VALUE"""),"")</f>
        <v/>
      </c>
      <c r="M4059" s="16" t="str">
        <f>IFERROR(__xludf.DUMMYFUNCTION("""COMPUTED_VALUE"""),"")</f>
        <v/>
      </c>
      <c r="U4059" s="16" t="s">
        <v>87</v>
      </c>
      <c r="V4059" s="16" t="str">
        <f>IFERROR(__xludf.DUMMYFUNCTION("""COMPUTED_VALUE"""),"")</f>
        <v/>
      </c>
      <c r="W4059" s="16" t="str">
        <f>IFERROR(__xludf.DUMMYFUNCTION("""COMPUTED_VALUE"""),"")</f>
        <v/>
      </c>
      <c r="X4059" s="16" t="str">
        <f>IFERROR(__xludf.DUMMYFUNCTION("""COMPUTED_VALUE"""),"")</f>
        <v/>
      </c>
      <c r="AC4059" s="16" t="str">
        <f>IFERROR(__xludf.DUMMYFUNCTION("""COMPUTED_VALUE"""),"")</f>
        <v/>
      </c>
    </row>
    <row r="4060">
      <c r="A4060" s="16" t="s">
        <v>87</v>
      </c>
      <c r="E4060" s="16" t="str">
        <f>IFERROR(__xludf.DUMMYFUNCTION("""COMPUTED_VALUE"""),"")</f>
        <v/>
      </c>
      <c r="G4060" s="18"/>
      <c r="H4060" s="16" t="s">
        <v>87</v>
      </c>
      <c r="I4060" s="16" t="s">
        <v>87</v>
      </c>
      <c r="J4060" s="19"/>
      <c r="L4060" s="16" t="str">
        <f>IFERROR(__xludf.DUMMYFUNCTION("""COMPUTED_VALUE"""),"")</f>
        <v/>
      </c>
      <c r="M4060" s="16" t="str">
        <f>IFERROR(__xludf.DUMMYFUNCTION("""COMPUTED_VALUE"""),"")</f>
        <v/>
      </c>
      <c r="U4060" s="16" t="s">
        <v>87</v>
      </c>
      <c r="V4060" s="16" t="str">
        <f>IFERROR(__xludf.DUMMYFUNCTION("""COMPUTED_VALUE"""),"")</f>
        <v/>
      </c>
      <c r="W4060" s="16" t="str">
        <f>IFERROR(__xludf.DUMMYFUNCTION("""COMPUTED_VALUE"""),"")</f>
        <v/>
      </c>
      <c r="X4060" s="16" t="str">
        <f>IFERROR(__xludf.DUMMYFUNCTION("""COMPUTED_VALUE"""),"")</f>
        <v/>
      </c>
      <c r="AC4060" s="16" t="str">
        <f>IFERROR(__xludf.DUMMYFUNCTION("""COMPUTED_VALUE"""),"")</f>
        <v/>
      </c>
    </row>
    <row r="4061">
      <c r="A4061" s="16" t="s">
        <v>87</v>
      </c>
      <c r="E4061" s="16" t="str">
        <f>IFERROR(__xludf.DUMMYFUNCTION("""COMPUTED_VALUE"""),"")</f>
        <v/>
      </c>
      <c r="G4061" s="18"/>
      <c r="H4061" s="16" t="s">
        <v>87</v>
      </c>
      <c r="I4061" s="16" t="s">
        <v>87</v>
      </c>
      <c r="J4061" s="19"/>
      <c r="L4061" s="16" t="str">
        <f>IFERROR(__xludf.DUMMYFUNCTION("""COMPUTED_VALUE"""),"")</f>
        <v/>
      </c>
      <c r="M4061" s="16" t="str">
        <f>IFERROR(__xludf.DUMMYFUNCTION("""COMPUTED_VALUE"""),"")</f>
        <v/>
      </c>
      <c r="U4061" s="16" t="s">
        <v>87</v>
      </c>
      <c r="V4061" s="16" t="str">
        <f>IFERROR(__xludf.DUMMYFUNCTION("""COMPUTED_VALUE"""),"")</f>
        <v/>
      </c>
      <c r="W4061" s="16" t="str">
        <f>IFERROR(__xludf.DUMMYFUNCTION("""COMPUTED_VALUE"""),"")</f>
        <v/>
      </c>
      <c r="X4061" s="16" t="str">
        <f>IFERROR(__xludf.DUMMYFUNCTION("""COMPUTED_VALUE"""),"")</f>
        <v/>
      </c>
      <c r="AC4061" s="16" t="str">
        <f>IFERROR(__xludf.DUMMYFUNCTION("""COMPUTED_VALUE"""),"")</f>
        <v/>
      </c>
    </row>
    <row r="4062">
      <c r="A4062" s="16" t="s">
        <v>87</v>
      </c>
      <c r="E4062" s="16" t="str">
        <f>IFERROR(__xludf.DUMMYFUNCTION("""COMPUTED_VALUE"""),"")</f>
        <v/>
      </c>
      <c r="G4062" s="18"/>
      <c r="H4062" s="16" t="s">
        <v>87</v>
      </c>
      <c r="I4062" s="16" t="s">
        <v>87</v>
      </c>
      <c r="J4062" s="19"/>
      <c r="L4062" s="16" t="str">
        <f>IFERROR(__xludf.DUMMYFUNCTION("""COMPUTED_VALUE"""),"")</f>
        <v/>
      </c>
      <c r="M4062" s="16" t="str">
        <f>IFERROR(__xludf.DUMMYFUNCTION("""COMPUTED_VALUE"""),"")</f>
        <v/>
      </c>
      <c r="U4062" s="16" t="s">
        <v>87</v>
      </c>
      <c r="V4062" s="16" t="str">
        <f>IFERROR(__xludf.DUMMYFUNCTION("""COMPUTED_VALUE"""),"")</f>
        <v/>
      </c>
      <c r="W4062" s="16" t="str">
        <f>IFERROR(__xludf.DUMMYFUNCTION("""COMPUTED_VALUE"""),"")</f>
        <v/>
      </c>
      <c r="X4062" s="16" t="str">
        <f>IFERROR(__xludf.DUMMYFUNCTION("""COMPUTED_VALUE"""),"")</f>
        <v/>
      </c>
      <c r="AC4062" s="16" t="str">
        <f>IFERROR(__xludf.DUMMYFUNCTION("""COMPUTED_VALUE"""),"")</f>
        <v/>
      </c>
    </row>
    <row r="4063">
      <c r="A4063" s="16" t="s">
        <v>87</v>
      </c>
      <c r="E4063" s="16" t="str">
        <f>IFERROR(__xludf.DUMMYFUNCTION("""COMPUTED_VALUE"""),"")</f>
        <v/>
      </c>
      <c r="G4063" s="18"/>
      <c r="H4063" s="16" t="s">
        <v>87</v>
      </c>
      <c r="I4063" s="16" t="s">
        <v>87</v>
      </c>
      <c r="J4063" s="19"/>
      <c r="L4063" s="16" t="str">
        <f>IFERROR(__xludf.DUMMYFUNCTION("""COMPUTED_VALUE"""),"")</f>
        <v/>
      </c>
      <c r="M4063" s="16" t="str">
        <f>IFERROR(__xludf.DUMMYFUNCTION("""COMPUTED_VALUE"""),"")</f>
        <v/>
      </c>
      <c r="U4063" s="16" t="s">
        <v>87</v>
      </c>
      <c r="V4063" s="16" t="str">
        <f>IFERROR(__xludf.DUMMYFUNCTION("""COMPUTED_VALUE"""),"")</f>
        <v/>
      </c>
      <c r="W4063" s="16" t="str">
        <f>IFERROR(__xludf.DUMMYFUNCTION("""COMPUTED_VALUE"""),"")</f>
        <v/>
      </c>
      <c r="X4063" s="16" t="str">
        <f>IFERROR(__xludf.DUMMYFUNCTION("""COMPUTED_VALUE"""),"")</f>
        <v/>
      </c>
      <c r="AC4063" s="16" t="str">
        <f>IFERROR(__xludf.DUMMYFUNCTION("""COMPUTED_VALUE"""),"")</f>
        <v/>
      </c>
    </row>
    <row r="4064">
      <c r="A4064" s="16" t="s">
        <v>87</v>
      </c>
      <c r="E4064" s="16" t="str">
        <f>IFERROR(__xludf.DUMMYFUNCTION("""COMPUTED_VALUE"""),"")</f>
        <v/>
      </c>
      <c r="G4064" s="18"/>
      <c r="H4064" s="16" t="s">
        <v>87</v>
      </c>
      <c r="I4064" s="16" t="s">
        <v>87</v>
      </c>
      <c r="J4064" s="19"/>
      <c r="L4064" s="16" t="str">
        <f>IFERROR(__xludf.DUMMYFUNCTION("""COMPUTED_VALUE"""),"")</f>
        <v/>
      </c>
      <c r="M4064" s="16" t="str">
        <f>IFERROR(__xludf.DUMMYFUNCTION("""COMPUTED_VALUE"""),"")</f>
        <v/>
      </c>
      <c r="U4064" s="16" t="s">
        <v>87</v>
      </c>
      <c r="V4064" s="16" t="str">
        <f>IFERROR(__xludf.DUMMYFUNCTION("""COMPUTED_VALUE"""),"")</f>
        <v/>
      </c>
      <c r="W4064" s="16" t="str">
        <f>IFERROR(__xludf.DUMMYFUNCTION("""COMPUTED_VALUE"""),"")</f>
        <v/>
      </c>
      <c r="X4064" s="16" t="str">
        <f>IFERROR(__xludf.DUMMYFUNCTION("""COMPUTED_VALUE"""),"")</f>
        <v/>
      </c>
      <c r="AC4064" s="16" t="str">
        <f>IFERROR(__xludf.DUMMYFUNCTION("""COMPUTED_VALUE"""),"")</f>
        <v/>
      </c>
    </row>
    <row r="4065">
      <c r="A4065" s="16" t="s">
        <v>87</v>
      </c>
      <c r="E4065" s="16" t="str">
        <f>IFERROR(__xludf.DUMMYFUNCTION("""COMPUTED_VALUE"""),"")</f>
        <v/>
      </c>
      <c r="G4065" s="18"/>
      <c r="H4065" s="16" t="s">
        <v>87</v>
      </c>
      <c r="I4065" s="16" t="s">
        <v>87</v>
      </c>
      <c r="J4065" s="19"/>
      <c r="L4065" s="16" t="str">
        <f>IFERROR(__xludf.DUMMYFUNCTION("""COMPUTED_VALUE"""),"")</f>
        <v/>
      </c>
      <c r="M4065" s="16" t="str">
        <f>IFERROR(__xludf.DUMMYFUNCTION("""COMPUTED_VALUE"""),"")</f>
        <v/>
      </c>
      <c r="U4065" s="16" t="s">
        <v>87</v>
      </c>
      <c r="V4065" s="16" t="str">
        <f>IFERROR(__xludf.DUMMYFUNCTION("""COMPUTED_VALUE"""),"")</f>
        <v/>
      </c>
      <c r="W4065" s="16" t="str">
        <f>IFERROR(__xludf.DUMMYFUNCTION("""COMPUTED_VALUE"""),"")</f>
        <v/>
      </c>
      <c r="X4065" s="16" t="str">
        <f>IFERROR(__xludf.DUMMYFUNCTION("""COMPUTED_VALUE"""),"")</f>
        <v/>
      </c>
      <c r="AC4065" s="16" t="str">
        <f>IFERROR(__xludf.DUMMYFUNCTION("""COMPUTED_VALUE"""),"")</f>
        <v/>
      </c>
    </row>
    <row r="4066">
      <c r="A4066" s="16" t="s">
        <v>87</v>
      </c>
      <c r="E4066" s="16" t="str">
        <f>IFERROR(__xludf.DUMMYFUNCTION("""COMPUTED_VALUE"""),"")</f>
        <v/>
      </c>
      <c r="G4066" s="18"/>
      <c r="H4066" s="16" t="s">
        <v>87</v>
      </c>
      <c r="I4066" s="16" t="s">
        <v>87</v>
      </c>
      <c r="J4066" s="19"/>
      <c r="L4066" s="16" t="str">
        <f>IFERROR(__xludf.DUMMYFUNCTION("""COMPUTED_VALUE"""),"")</f>
        <v/>
      </c>
      <c r="M4066" s="16" t="str">
        <f>IFERROR(__xludf.DUMMYFUNCTION("""COMPUTED_VALUE"""),"")</f>
        <v/>
      </c>
      <c r="U4066" s="16" t="s">
        <v>87</v>
      </c>
      <c r="V4066" s="16" t="str">
        <f>IFERROR(__xludf.DUMMYFUNCTION("""COMPUTED_VALUE"""),"")</f>
        <v/>
      </c>
      <c r="W4066" s="16" t="str">
        <f>IFERROR(__xludf.DUMMYFUNCTION("""COMPUTED_VALUE"""),"")</f>
        <v/>
      </c>
      <c r="X4066" s="16" t="str">
        <f>IFERROR(__xludf.DUMMYFUNCTION("""COMPUTED_VALUE"""),"")</f>
        <v/>
      </c>
      <c r="AC4066" s="16" t="str">
        <f>IFERROR(__xludf.DUMMYFUNCTION("""COMPUTED_VALUE"""),"")</f>
        <v/>
      </c>
    </row>
    <row r="4067">
      <c r="A4067" s="16" t="s">
        <v>87</v>
      </c>
      <c r="E4067" s="16" t="str">
        <f>IFERROR(__xludf.DUMMYFUNCTION("""COMPUTED_VALUE"""),"")</f>
        <v/>
      </c>
      <c r="G4067" s="18"/>
      <c r="H4067" s="16" t="s">
        <v>87</v>
      </c>
      <c r="I4067" s="16" t="s">
        <v>87</v>
      </c>
      <c r="J4067" s="19"/>
      <c r="L4067" s="16" t="str">
        <f>IFERROR(__xludf.DUMMYFUNCTION("""COMPUTED_VALUE"""),"")</f>
        <v/>
      </c>
      <c r="M4067" s="16" t="str">
        <f>IFERROR(__xludf.DUMMYFUNCTION("""COMPUTED_VALUE"""),"")</f>
        <v/>
      </c>
      <c r="U4067" s="16" t="s">
        <v>87</v>
      </c>
      <c r="V4067" s="16" t="str">
        <f>IFERROR(__xludf.DUMMYFUNCTION("""COMPUTED_VALUE"""),"")</f>
        <v/>
      </c>
      <c r="W4067" s="16" t="str">
        <f>IFERROR(__xludf.DUMMYFUNCTION("""COMPUTED_VALUE"""),"")</f>
        <v/>
      </c>
      <c r="X4067" s="16" t="str">
        <f>IFERROR(__xludf.DUMMYFUNCTION("""COMPUTED_VALUE"""),"")</f>
        <v/>
      </c>
      <c r="AC4067" s="16" t="str">
        <f>IFERROR(__xludf.DUMMYFUNCTION("""COMPUTED_VALUE"""),"")</f>
        <v/>
      </c>
    </row>
    <row r="4068">
      <c r="A4068" s="16" t="s">
        <v>87</v>
      </c>
      <c r="E4068" s="16" t="str">
        <f>IFERROR(__xludf.DUMMYFUNCTION("""COMPUTED_VALUE"""),"")</f>
        <v/>
      </c>
      <c r="G4068" s="18"/>
      <c r="H4068" s="16" t="s">
        <v>87</v>
      </c>
      <c r="I4068" s="16" t="s">
        <v>87</v>
      </c>
      <c r="J4068" s="19"/>
      <c r="L4068" s="16" t="str">
        <f>IFERROR(__xludf.DUMMYFUNCTION("""COMPUTED_VALUE"""),"")</f>
        <v/>
      </c>
      <c r="M4068" s="16" t="str">
        <f>IFERROR(__xludf.DUMMYFUNCTION("""COMPUTED_VALUE"""),"")</f>
        <v/>
      </c>
      <c r="U4068" s="16" t="s">
        <v>87</v>
      </c>
      <c r="V4068" s="16" t="str">
        <f>IFERROR(__xludf.DUMMYFUNCTION("""COMPUTED_VALUE"""),"")</f>
        <v/>
      </c>
      <c r="W4068" s="16" t="str">
        <f>IFERROR(__xludf.DUMMYFUNCTION("""COMPUTED_VALUE"""),"")</f>
        <v/>
      </c>
      <c r="X4068" s="16" t="str">
        <f>IFERROR(__xludf.DUMMYFUNCTION("""COMPUTED_VALUE"""),"")</f>
        <v/>
      </c>
      <c r="AC4068" s="16" t="str">
        <f>IFERROR(__xludf.DUMMYFUNCTION("""COMPUTED_VALUE"""),"")</f>
        <v/>
      </c>
    </row>
    <row r="4069">
      <c r="A4069" s="16" t="s">
        <v>87</v>
      </c>
      <c r="E4069" s="16" t="str">
        <f>IFERROR(__xludf.DUMMYFUNCTION("""COMPUTED_VALUE"""),"")</f>
        <v/>
      </c>
      <c r="G4069" s="18"/>
      <c r="H4069" s="16" t="s">
        <v>87</v>
      </c>
      <c r="I4069" s="16" t="s">
        <v>87</v>
      </c>
      <c r="J4069" s="19"/>
      <c r="L4069" s="16" t="str">
        <f>IFERROR(__xludf.DUMMYFUNCTION("""COMPUTED_VALUE"""),"")</f>
        <v/>
      </c>
      <c r="M4069" s="16" t="str">
        <f>IFERROR(__xludf.DUMMYFUNCTION("""COMPUTED_VALUE"""),"")</f>
        <v/>
      </c>
      <c r="U4069" s="16" t="s">
        <v>87</v>
      </c>
      <c r="V4069" s="16" t="str">
        <f>IFERROR(__xludf.DUMMYFUNCTION("""COMPUTED_VALUE"""),"")</f>
        <v/>
      </c>
      <c r="W4069" s="16" t="str">
        <f>IFERROR(__xludf.DUMMYFUNCTION("""COMPUTED_VALUE"""),"")</f>
        <v/>
      </c>
      <c r="X4069" s="16" t="str">
        <f>IFERROR(__xludf.DUMMYFUNCTION("""COMPUTED_VALUE"""),"")</f>
        <v/>
      </c>
      <c r="AC4069" s="16" t="str">
        <f>IFERROR(__xludf.DUMMYFUNCTION("""COMPUTED_VALUE"""),"")</f>
        <v/>
      </c>
    </row>
    <row r="4070">
      <c r="A4070" s="16" t="s">
        <v>87</v>
      </c>
      <c r="E4070" s="16" t="str">
        <f>IFERROR(__xludf.DUMMYFUNCTION("""COMPUTED_VALUE"""),"")</f>
        <v/>
      </c>
      <c r="G4070" s="18"/>
      <c r="H4070" s="16" t="s">
        <v>87</v>
      </c>
      <c r="I4070" s="16" t="s">
        <v>87</v>
      </c>
      <c r="J4070" s="19"/>
      <c r="L4070" s="16" t="str">
        <f>IFERROR(__xludf.DUMMYFUNCTION("""COMPUTED_VALUE"""),"")</f>
        <v/>
      </c>
      <c r="M4070" s="16" t="str">
        <f>IFERROR(__xludf.DUMMYFUNCTION("""COMPUTED_VALUE"""),"")</f>
        <v/>
      </c>
      <c r="U4070" s="16" t="s">
        <v>87</v>
      </c>
      <c r="V4070" s="16" t="str">
        <f>IFERROR(__xludf.DUMMYFUNCTION("""COMPUTED_VALUE"""),"")</f>
        <v/>
      </c>
      <c r="W4070" s="16" t="str">
        <f>IFERROR(__xludf.DUMMYFUNCTION("""COMPUTED_VALUE"""),"")</f>
        <v/>
      </c>
      <c r="X4070" s="16" t="str">
        <f>IFERROR(__xludf.DUMMYFUNCTION("""COMPUTED_VALUE"""),"")</f>
        <v/>
      </c>
      <c r="AC4070" s="16" t="str">
        <f>IFERROR(__xludf.DUMMYFUNCTION("""COMPUTED_VALUE"""),"")</f>
        <v/>
      </c>
    </row>
    <row r="4071">
      <c r="A4071" s="16" t="s">
        <v>87</v>
      </c>
      <c r="E4071" s="16" t="str">
        <f>IFERROR(__xludf.DUMMYFUNCTION("""COMPUTED_VALUE"""),"")</f>
        <v/>
      </c>
      <c r="G4071" s="18"/>
      <c r="H4071" s="16" t="s">
        <v>87</v>
      </c>
      <c r="I4071" s="16" t="s">
        <v>87</v>
      </c>
      <c r="J4071" s="19"/>
      <c r="L4071" s="16" t="str">
        <f>IFERROR(__xludf.DUMMYFUNCTION("""COMPUTED_VALUE"""),"")</f>
        <v/>
      </c>
      <c r="M4071" s="16" t="str">
        <f>IFERROR(__xludf.DUMMYFUNCTION("""COMPUTED_VALUE"""),"")</f>
        <v/>
      </c>
      <c r="U4071" s="16" t="s">
        <v>87</v>
      </c>
      <c r="V4071" s="16" t="str">
        <f>IFERROR(__xludf.DUMMYFUNCTION("""COMPUTED_VALUE"""),"")</f>
        <v/>
      </c>
      <c r="W4071" s="16" t="str">
        <f>IFERROR(__xludf.DUMMYFUNCTION("""COMPUTED_VALUE"""),"")</f>
        <v/>
      </c>
      <c r="X4071" s="16" t="str">
        <f>IFERROR(__xludf.DUMMYFUNCTION("""COMPUTED_VALUE"""),"")</f>
        <v/>
      </c>
      <c r="AC4071" s="16" t="str">
        <f>IFERROR(__xludf.DUMMYFUNCTION("""COMPUTED_VALUE"""),"")</f>
        <v/>
      </c>
    </row>
    <row r="4072">
      <c r="A4072" s="16" t="s">
        <v>87</v>
      </c>
      <c r="E4072" s="16" t="str">
        <f>IFERROR(__xludf.DUMMYFUNCTION("""COMPUTED_VALUE"""),"")</f>
        <v/>
      </c>
      <c r="G4072" s="18"/>
      <c r="H4072" s="16" t="s">
        <v>87</v>
      </c>
      <c r="I4072" s="16" t="s">
        <v>87</v>
      </c>
      <c r="J4072" s="19"/>
      <c r="L4072" s="16" t="str">
        <f>IFERROR(__xludf.DUMMYFUNCTION("""COMPUTED_VALUE"""),"")</f>
        <v/>
      </c>
      <c r="M4072" s="16" t="str">
        <f>IFERROR(__xludf.DUMMYFUNCTION("""COMPUTED_VALUE"""),"")</f>
        <v/>
      </c>
      <c r="U4072" s="16" t="s">
        <v>87</v>
      </c>
      <c r="V4072" s="16" t="str">
        <f>IFERROR(__xludf.DUMMYFUNCTION("""COMPUTED_VALUE"""),"")</f>
        <v/>
      </c>
      <c r="W4072" s="16" t="str">
        <f>IFERROR(__xludf.DUMMYFUNCTION("""COMPUTED_VALUE"""),"")</f>
        <v/>
      </c>
      <c r="X4072" s="16" t="str">
        <f>IFERROR(__xludf.DUMMYFUNCTION("""COMPUTED_VALUE"""),"")</f>
        <v/>
      </c>
      <c r="AC4072" s="16" t="str">
        <f>IFERROR(__xludf.DUMMYFUNCTION("""COMPUTED_VALUE"""),"")</f>
        <v/>
      </c>
    </row>
    <row r="4073">
      <c r="A4073" s="16" t="s">
        <v>87</v>
      </c>
      <c r="E4073" s="16" t="str">
        <f>IFERROR(__xludf.DUMMYFUNCTION("""COMPUTED_VALUE"""),"")</f>
        <v/>
      </c>
      <c r="G4073" s="18"/>
      <c r="H4073" s="16" t="s">
        <v>87</v>
      </c>
      <c r="I4073" s="16" t="s">
        <v>87</v>
      </c>
      <c r="J4073" s="19"/>
      <c r="L4073" s="16" t="str">
        <f>IFERROR(__xludf.DUMMYFUNCTION("""COMPUTED_VALUE"""),"")</f>
        <v/>
      </c>
      <c r="M4073" s="16" t="str">
        <f>IFERROR(__xludf.DUMMYFUNCTION("""COMPUTED_VALUE"""),"")</f>
        <v/>
      </c>
      <c r="U4073" s="16" t="s">
        <v>87</v>
      </c>
      <c r="V4073" s="16" t="str">
        <f>IFERROR(__xludf.DUMMYFUNCTION("""COMPUTED_VALUE"""),"")</f>
        <v/>
      </c>
      <c r="W4073" s="16" t="str">
        <f>IFERROR(__xludf.DUMMYFUNCTION("""COMPUTED_VALUE"""),"")</f>
        <v/>
      </c>
      <c r="X4073" s="16" t="str">
        <f>IFERROR(__xludf.DUMMYFUNCTION("""COMPUTED_VALUE"""),"")</f>
        <v/>
      </c>
      <c r="AC4073" s="16" t="str">
        <f>IFERROR(__xludf.DUMMYFUNCTION("""COMPUTED_VALUE"""),"")</f>
        <v/>
      </c>
    </row>
    <row r="4074">
      <c r="A4074" s="16" t="s">
        <v>87</v>
      </c>
      <c r="E4074" s="16" t="str">
        <f>IFERROR(__xludf.DUMMYFUNCTION("""COMPUTED_VALUE"""),"")</f>
        <v/>
      </c>
      <c r="G4074" s="18"/>
      <c r="H4074" s="16" t="s">
        <v>87</v>
      </c>
      <c r="I4074" s="16" t="s">
        <v>87</v>
      </c>
      <c r="J4074" s="19"/>
      <c r="L4074" s="16" t="str">
        <f>IFERROR(__xludf.DUMMYFUNCTION("""COMPUTED_VALUE"""),"")</f>
        <v/>
      </c>
      <c r="M4074" s="16" t="str">
        <f>IFERROR(__xludf.DUMMYFUNCTION("""COMPUTED_VALUE"""),"")</f>
        <v/>
      </c>
      <c r="U4074" s="16" t="s">
        <v>87</v>
      </c>
      <c r="V4074" s="16" t="str">
        <f>IFERROR(__xludf.DUMMYFUNCTION("""COMPUTED_VALUE"""),"")</f>
        <v/>
      </c>
      <c r="W4074" s="16" t="str">
        <f>IFERROR(__xludf.DUMMYFUNCTION("""COMPUTED_VALUE"""),"")</f>
        <v/>
      </c>
      <c r="X4074" s="16" t="str">
        <f>IFERROR(__xludf.DUMMYFUNCTION("""COMPUTED_VALUE"""),"")</f>
        <v/>
      </c>
      <c r="AC4074" s="16" t="str">
        <f>IFERROR(__xludf.DUMMYFUNCTION("""COMPUTED_VALUE"""),"")</f>
        <v/>
      </c>
    </row>
    <row r="4075">
      <c r="A4075" s="16" t="s">
        <v>87</v>
      </c>
      <c r="E4075" s="16" t="str">
        <f>IFERROR(__xludf.DUMMYFUNCTION("""COMPUTED_VALUE"""),"")</f>
        <v/>
      </c>
      <c r="G4075" s="18"/>
      <c r="H4075" s="16" t="s">
        <v>87</v>
      </c>
      <c r="I4075" s="16" t="s">
        <v>87</v>
      </c>
      <c r="J4075" s="19"/>
      <c r="L4075" s="16" t="str">
        <f>IFERROR(__xludf.DUMMYFUNCTION("""COMPUTED_VALUE"""),"")</f>
        <v/>
      </c>
      <c r="M4075" s="16" t="str">
        <f>IFERROR(__xludf.DUMMYFUNCTION("""COMPUTED_VALUE"""),"")</f>
        <v/>
      </c>
      <c r="U4075" s="16" t="s">
        <v>87</v>
      </c>
      <c r="V4075" s="16" t="str">
        <f>IFERROR(__xludf.DUMMYFUNCTION("""COMPUTED_VALUE"""),"")</f>
        <v/>
      </c>
      <c r="W4075" s="16" t="str">
        <f>IFERROR(__xludf.DUMMYFUNCTION("""COMPUTED_VALUE"""),"")</f>
        <v/>
      </c>
      <c r="X4075" s="16" t="str">
        <f>IFERROR(__xludf.DUMMYFUNCTION("""COMPUTED_VALUE"""),"")</f>
        <v/>
      </c>
      <c r="AC4075" s="16" t="str">
        <f>IFERROR(__xludf.DUMMYFUNCTION("""COMPUTED_VALUE"""),"")</f>
        <v/>
      </c>
    </row>
    <row r="4076">
      <c r="A4076" s="16" t="s">
        <v>87</v>
      </c>
      <c r="E4076" s="16" t="str">
        <f>IFERROR(__xludf.DUMMYFUNCTION("""COMPUTED_VALUE"""),"")</f>
        <v/>
      </c>
      <c r="G4076" s="18"/>
      <c r="H4076" s="16" t="s">
        <v>87</v>
      </c>
      <c r="I4076" s="16" t="s">
        <v>87</v>
      </c>
      <c r="J4076" s="19"/>
      <c r="L4076" s="16" t="str">
        <f>IFERROR(__xludf.DUMMYFUNCTION("""COMPUTED_VALUE"""),"")</f>
        <v/>
      </c>
      <c r="M4076" s="16" t="str">
        <f>IFERROR(__xludf.DUMMYFUNCTION("""COMPUTED_VALUE"""),"")</f>
        <v/>
      </c>
      <c r="U4076" s="16" t="s">
        <v>87</v>
      </c>
      <c r="V4076" s="16" t="str">
        <f>IFERROR(__xludf.DUMMYFUNCTION("""COMPUTED_VALUE"""),"")</f>
        <v/>
      </c>
      <c r="W4076" s="16" t="str">
        <f>IFERROR(__xludf.DUMMYFUNCTION("""COMPUTED_VALUE"""),"")</f>
        <v/>
      </c>
      <c r="X4076" s="16" t="str">
        <f>IFERROR(__xludf.DUMMYFUNCTION("""COMPUTED_VALUE"""),"")</f>
        <v/>
      </c>
      <c r="AC4076" s="16" t="str">
        <f>IFERROR(__xludf.DUMMYFUNCTION("""COMPUTED_VALUE"""),"")</f>
        <v/>
      </c>
    </row>
    <row r="4077">
      <c r="A4077" s="16" t="s">
        <v>87</v>
      </c>
      <c r="E4077" s="16" t="str">
        <f>IFERROR(__xludf.DUMMYFUNCTION("""COMPUTED_VALUE"""),"")</f>
        <v/>
      </c>
      <c r="G4077" s="18"/>
      <c r="H4077" s="16" t="s">
        <v>87</v>
      </c>
      <c r="I4077" s="16" t="s">
        <v>87</v>
      </c>
      <c r="J4077" s="19"/>
      <c r="L4077" s="16" t="str">
        <f>IFERROR(__xludf.DUMMYFUNCTION("""COMPUTED_VALUE"""),"")</f>
        <v/>
      </c>
      <c r="M4077" s="16" t="str">
        <f>IFERROR(__xludf.DUMMYFUNCTION("""COMPUTED_VALUE"""),"")</f>
        <v/>
      </c>
      <c r="U4077" s="16" t="s">
        <v>87</v>
      </c>
      <c r="V4077" s="16" t="str">
        <f>IFERROR(__xludf.DUMMYFUNCTION("""COMPUTED_VALUE"""),"")</f>
        <v/>
      </c>
      <c r="W4077" s="16" t="str">
        <f>IFERROR(__xludf.DUMMYFUNCTION("""COMPUTED_VALUE"""),"")</f>
        <v/>
      </c>
      <c r="X4077" s="16" t="str">
        <f>IFERROR(__xludf.DUMMYFUNCTION("""COMPUTED_VALUE"""),"")</f>
        <v/>
      </c>
      <c r="AC4077" s="16" t="str">
        <f>IFERROR(__xludf.DUMMYFUNCTION("""COMPUTED_VALUE"""),"")</f>
        <v/>
      </c>
    </row>
    <row r="4078">
      <c r="A4078" s="16" t="s">
        <v>87</v>
      </c>
      <c r="E4078" s="16" t="str">
        <f>IFERROR(__xludf.DUMMYFUNCTION("""COMPUTED_VALUE"""),"")</f>
        <v/>
      </c>
      <c r="G4078" s="18"/>
      <c r="H4078" s="16" t="s">
        <v>87</v>
      </c>
      <c r="I4078" s="16" t="s">
        <v>87</v>
      </c>
      <c r="J4078" s="19"/>
      <c r="L4078" s="16" t="str">
        <f>IFERROR(__xludf.DUMMYFUNCTION("""COMPUTED_VALUE"""),"")</f>
        <v/>
      </c>
      <c r="M4078" s="16" t="str">
        <f>IFERROR(__xludf.DUMMYFUNCTION("""COMPUTED_VALUE"""),"")</f>
        <v/>
      </c>
      <c r="U4078" s="16" t="s">
        <v>87</v>
      </c>
      <c r="V4078" s="16" t="str">
        <f>IFERROR(__xludf.DUMMYFUNCTION("""COMPUTED_VALUE"""),"")</f>
        <v/>
      </c>
      <c r="W4078" s="16" t="str">
        <f>IFERROR(__xludf.DUMMYFUNCTION("""COMPUTED_VALUE"""),"")</f>
        <v/>
      </c>
      <c r="X4078" s="16" t="str">
        <f>IFERROR(__xludf.DUMMYFUNCTION("""COMPUTED_VALUE"""),"")</f>
        <v/>
      </c>
      <c r="AC4078" s="16" t="str">
        <f>IFERROR(__xludf.DUMMYFUNCTION("""COMPUTED_VALUE"""),"")</f>
        <v/>
      </c>
    </row>
    <row r="4079">
      <c r="A4079" s="16" t="s">
        <v>87</v>
      </c>
      <c r="E4079" s="16" t="str">
        <f>IFERROR(__xludf.DUMMYFUNCTION("""COMPUTED_VALUE"""),"")</f>
        <v/>
      </c>
      <c r="G4079" s="18"/>
      <c r="H4079" s="16" t="s">
        <v>87</v>
      </c>
      <c r="I4079" s="16" t="s">
        <v>87</v>
      </c>
      <c r="J4079" s="19"/>
      <c r="L4079" s="16" t="str">
        <f>IFERROR(__xludf.DUMMYFUNCTION("""COMPUTED_VALUE"""),"")</f>
        <v/>
      </c>
      <c r="M4079" s="16" t="str">
        <f>IFERROR(__xludf.DUMMYFUNCTION("""COMPUTED_VALUE"""),"")</f>
        <v/>
      </c>
      <c r="U4079" s="16" t="s">
        <v>87</v>
      </c>
      <c r="V4079" s="16" t="str">
        <f>IFERROR(__xludf.DUMMYFUNCTION("""COMPUTED_VALUE"""),"")</f>
        <v/>
      </c>
      <c r="W4079" s="16" t="str">
        <f>IFERROR(__xludf.DUMMYFUNCTION("""COMPUTED_VALUE"""),"")</f>
        <v/>
      </c>
      <c r="X4079" s="16" t="str">
        <f>IFERROR(__xludf.DUMMYFUNCTION("""COMPUTED_VALUE"""),"")</f>
        <v/>
      </c>
      <c r="AC4079" s="16" t="str">
        <f>IFERROR(__xludf.DUMMYFUNCTION("""COMPUTED_VALUE"""),"")</f>
        <v/>
      </c>
    </row>
    <row r="4080">
      <c r="A4080" s="16" t="s">
        <v>87</v>
      </c>
      <c r="E4080" s="16" t="str">
        <f>IFERROR(__xludf.DUMMYFUNCTION("""COMPUTED_VALUE"""),"")</f>
        <v/>
      </c>
      <c r="G4080" s="18"/>
      <c r="H4080" s="16" t="s">
        <v>87</v>
      </c>
      <c r="I4080" s="16" t="s">
        <v>87</v>
      </c>
      <c r="J4080" s="19"/>
      <c r="L4080" s="16" t="str">
        <f>IFERROR(__xludf.DUMMYFUNCTION("""COMPUTED_VALUE"""),"")</f>
        <v/>
      </c>
      <c r="M4080" s="16" t="str">
        <f>IFERROR(__xludf.DUMMYFUNCTION("""COMPUTED_VALUE"""),"")</f>
        <v/>
      </c>
      <c r="U4080" s="16" t="s">
        <v>87</v>
      </c>
      <c r="V4080" s="16" t="str">
        <f>IFERROR(__xludf.DUMMYFUNCTION("""COMPUTED_VALUE"""),"")</f>
        <v/>
      </c>
      <c r="W4080" s="16" t="str">
        <f>IFERROR(__xludf.DUMMYFUNCTION("""COMPUTED_VALUE"""),"")</f>
        <v/>
      </c>
      <c r="X4080" s="16" t="str">
        <f>IFERROR(__xludf.DUMMYFUNCTION("""COMPUTED_VALUE"""),"")</f>
        <v/>
      </c>
      <c r="AC4080" s="16" t="str">
        <f>IFERROR(__xludf.DUMMYFUNCTION("""COMPUTED_VALUE"""),"")</f>
        <v/>
      </c>
    </row>
    <row r="4081">
      <c r="A4081" s="16" t="s">
        <v>87</v>
      </c>
      <c r="E4081" s="16" t="str">
        <f>IFERROR(__xludf.DUMMYFUNCTION("""COMPUTED_VALUE"""),"")</f>
        <v/>
      </c>
      <c r="G4081" s="18"/>
      <c r="H4081" s="16" t="s">
        <v>87</v>
      </c>
      <c r="I4081" s="16" t="s">
        <v>87</v>
      </c>
      <c r="J4081" s="19"/>
      <c r="L4081" s="16" t="str">
        <f>IFERROR(__xludf.DUMMYFUNCTION("""COMPUTED_VALUE"""),"")</f>
        <v/>
      </c>
      <c r="M4081" s="16" t="str">
        <f>IFERROR(__xludf.DUMMYFUNCTION("""COMPUTED_VALUE"""),"")</f>
        <v/>
      </c>
      <c r="U4081" s="16" t="s">
        <v>87</v>
      </c>
      <c r="V4081" s="16" t="str">
        <f>IFERROR(__xludf.DUMMYFUNCTION("""COMPUTED_VALUE"""),"")</f>
        <v/>
      </c>
      <c r="W4081" s="16" t="str">
        <f>IFERROR(__xludf.DUMMYFUNCTION("""COMPUTED_VALUE"""),"")</f>
        <v/>
      </c>
      <c r="X4081" s="16" t="str">
        <f>IFERROR(__xludf.DUMMYFUNCTION("""COMPUTED_VALUE"""),"")</f>
        <v/>
      </c>
      <c r="AC4081" s="16" t="str">
        <f>IFERROR(__xludf.DUMMYFUNCTION("""COMPUTED_VALUE"""),"")</f>
        <v/>
      </c>
    </row>
    <row r="4082">
      <c r="A4082" s="16" t="s">
        <v>87</v>
      </c>
      <c r="E4082" s="16" t="str">
        <f>IFERROR(__xludf.DUMMYFUNCTION("""COMPUTED_VALUE"""),"")</f>
        <v/>
      </c>
      <c r="G4082" s="18"/>
      <c r="H4082" s="16" t="s">
        <v>87</v>
      </c>
      <c r="I4082" s="16" t="s">
        <v>87</v>
      </c>
      <c r="J4082" s="19"/>
      <c r="L4082" s="16" t="str">
        <f>IFERROR(__xludf.DUMMYFUNCTION("""COMPUTED_VALUE"""),"")</f>
        <v/>
      </c>
      <c r="M4082" s="16" t="str">
        <f>IFERROR(__xludf.DUMMYFUNCTION("""COMPUTED_VALUE"""),"")</f>
        <v/>
      </c>
      <c r="U4082" s="16" t="s">
        <v>87</v>
      </c>
      <c r="V4082" s="16" t="str">
        <f>IFERROR(__xludf.DUMMYFUNCTION("""COMPUTED_VALUE"""),"")</f>
        <v/>
      </c>
      <c r="W4082" s="16" t="str">
        <f>IFERROR(__xludf.DUMMYFUNCTION("""COMPUTED_VALUE"""),"")</f>
        <v/>
      </c>
      <c r="X4082" s="16" t="str">
        <f>IFERROR(__xludf.DUMMYFUNCTION("""COMPUTED_VALUE"""),"")</f>
        <v/>
      </c>
      <c r="AC4082" s="16" t="str">
        <f>IFERROR(__xludf.DUMMYFUNCTION("""COMPUTED_VALUE"""),"")</f>
        <v/>
      </c>
    </row>
    <row r="4083">
      <c r="A4083" s="16" t="s">
        <v>87</v>
      </c>
      <c r="E4083" s="16" t="str">
        <f>IFERROR(__xludf.DUMMYFUNCTION("""COMPUTED_VALUE"""),"")</f>
        <v/>
      </c>
      <c r="G4083" s="18"/>
      <c r="H4083" s="16" t="s">
        <v>87</v>
      </c>
      <c r="I4083" s="16" t="s">
        <v>87</v>
      </c>
      <c r="J4083" s="19"/>
      <c r="L4083" s="16" t="str">
        <f>IFERROR(__xludf.DUMMYFUNCTION("""COMPUTED_VALUE"""),"")</f>
        <v/>
      </c>
      <c r="M4083" s="16" t="str">
        <f>IFERROR(__xludf.DUMMYFUNCTION("""COMPUTED_VALUE"""),"")</f>
        <v/>
      </c>
      <c r="U4083" s="16" t="s">
        <v>87</v>
      </c>
      <c r="V4083" s="16" t="str">
        <f>IFERROR(__xludf.DUMMYFUNCTION("""COMPUTED_VALUE"""),"")</f>
        <v/>
      </c>
      <c r="W4083" s="16" t="str">
        <f>IFERROR(__xludf.DUMMYFUNCTION("""COMPUTED_VALUE"""),"")</f>
        <v/>
      </c>
      <c r="X4083" s="16" t="str">
        <f>IFERROR(__xludf.DUMMYFUNCTION("""COMPUTED_VALUE"""),"")</f>
        <v/>
      </c>
      <c r="AC4083" s="16" t="str">
        <f>IFERROR(__xludf.DUMMYFUNCTION("""COMPUTED_VALUE"""),"")</f>
        <v/>
      </c>
    </row>
    <row r="4084">
      <c r="A4084" s="16" t="s">
        <v>87</v>
      </c>
      <c r="E4084" s="16" t="str">
        <f>IFERROR(__xludf.DUMMYFUNCTION("""COMPUTED_VALUE"""),"")</f>
        <v/>
      </c>
      <c r="G4084" s="18"/>
      <c r="H4084" s="16" t="s">
        <v>87</v>
      </c>
      <c r="I4084" s="16" t="s">
        <v>87</v>
      </c>
      <c r="J4084" s="19"/>
      <c r="L4084" s="16" t="str">
        <f>IFERROR(__xludf.DUMMYFUNCTION("""COMPUTED_VALUE"""),"")</f>
        <v/>
      </c>
      <c r="M4084" s="16" t="str">
        <f>IFERROR(__xludf.DUMMYFUNCTION("""COMPUTED_VALUE"""),"")</f>
        <v/>
      </c>
      <c r="U4084" s="16" t="s">
        <v>87</v>
      </c>
      <c r="V4084" s="16" t="str">
        <f>IFERROR(__xludf.DUMMYFUNCTION("""COMPUTED_VALUE"""),"")</f>
        <v/>
      </c>
      <c r="W4084" s="16" t="str">
        <f>IFERROR(__xludf.DUMMYFUNCTION("""COMPUTED_VALUE"""),"")</f>
        <v/>
      </c>
      <c r="X4084" s="16" t="str">
        <f>IFERROR(__xludf.DUMMYFUNCTION("""COMPUTED_VALUE"""),"")</f>
        <v/>
      </c>
      <c r="AC4084" s="16" t="str">
        <f>IFERROR(__xludf.DUMMYFUNCTION("""COMPUTED_VALUE"""),"")</f>
        <v/>
      </c>
    </row>
    <row r="4085">
      <c r="A4085" s="16" t="s">
        <v>87</v>
      </c>
      <c r="E4085" s="16" t="str">
        <f>IFERROR(__xludf.DUMMYFUNCTION("""COMPUTED_VALUE"""),"")</f>
        <v/>
      </c>
      <c r="G4085" s="18"/>
      <c r="H4085" s="16" t="s">
        <v>87</v>
      </c>
      <c r="I4085" s="16" t="s">
        <v>87</v>
      </c>
      <c r="J4085" s="19"/>
      <c r="L4085" s="16" t="str">
        <f>IFERROR(__xludf.DUMMYFUNCTION("""COMPUTED_VALUE"""),"")</f>
        <v/>
      </c>
      <c r="M4085" s="16" t="str">
        <f>IFERROR(__xludf.DUMMYFUNCTION("""COMPUTED_VALUE"""),"")</f>
        <v/>
      </c>
      <c r="U4085" s="16" t="s">
        <v>87</v>
      </c>
      <c r="V4085" s="16" t="str">
        <f>IFERROR(__xludf.DUMMYFUNCTION("""COMPUTED_VALUE"""),"")</f>
        <v/>
      </c>
      <c r="W4085" s="16" t="str">
        <f>IFERROR(__xludf.DUMMYFUNCTION("""COMPUTED_VALUE"""),"")</f>
        <v/>
      </c>
      <c r="X4085" s="16" t="str">
        <f>IFERROR(__xludf.DUMMYFUNCTION("""COMPUTED_VALUE"""),"")</f>
        <v/>
      </c>
      <c r="AC4085" s="16" t="str">
        <f>IFERROR(__xludf.DUMMYFUNCTION("""COMPUTED_VALUE"""),"")</f>
        <v/>
      </c>
    </row>
    <row r="4086">
      <c r="A4086" s="16" t="s">
        <v>87</v>
      </c>
      <c r="E4086" s="16" t="str">
        <f>IFERROR(__xludf.DUMMYFUNCTION("""COMPUTED_VALUE"""),"")</f>
        <v/>
      </c>
      <c r="G4086" s="18"/>
      <c r="H4086" s="16" t="s">
        <v>87</v>
      </c>
      <c r="I4086" s="16" t="s">
        <v>87</v>
      </c>
      <c r="J4086" s="19"/>
      <c r="L4086" s="16" t="str">
        <f>IFERROR(__xludf.DUMMYFUNCTION("""COMPUTED_VALUE"""),"")</f>
        <v/>
      </c>
      <c r="M4086" s="16" t="str">
        <f>IFERROR(__xludf.DUMMYFUNCTION("""COMPUTED_VALUE"""),"")</f>
        <v/>
      </c>
      <c r="U4086" s="16" t="s">
        <v>87</v>
      </c>
      <c r="V4086" s="16" t="str">
        <f>IFERROR(__xludf.DUMMYFUNCTION("""COMPUTED_VALUE"""),"")</f>
        <v/>
      </c>
      <c r="W4086" s="16" t="str">
        <f>IFERROR(__xludf.DUMMYFUNCTION("""COMPUTED_VALUE"""),"")</f>
        <v/>
      </c>
      <c r="X4086" s="16" t="str">
        <f>IFERROR(__xludf.DUMMYFUNCTION("""COMPUTED_VALUE"""),"")</f>
        <v/>
      </c>
      <c r="AC4086" s="16" t="str">
        <f>IFERROR(__xludf.DUMMYFUNCTION("""COMPUTED_VALUE"""),"")</f>
        <v/>
      </c>
    </row>
    <row r="4087">
      <c r="A4087" s="16" t="s">
        <v>87</v>
      </c>
      <c r="E4087" s="16" t="str">
        <f>IFERROR(__xludf.DUMMYFUNCTION("""COMPUTED_VALUE"""),"")</f>
        <v/>
      </c>
      <c r="G4087" s="18"/>
      <c r="H4087" s="16" t="s">
        <v>87</v>
      </c>
      <c r="I4087" s="16" t="s">
        <v>87</v>
      </c>
      <c r="J4087" s="19"/>
      <c r="L4087" s="16" t="str">
        <f>IFERROR(__xludf.DUMMYFUNCTION("""COMPUTED_VALUE"""),"")</f>
        <v/>
      </c>
      <c r="M4087" s="16" t="str">
        <f>IFERROR(__xludf.DUMMYFUNCTION("""COMPUTED_VALUE"""),"")</f>
        <v/>
      </c>
      <c r="U4087" s="16" t="s">
        <v>87</v>
      </c>
      <c r="V4087" s="16" t="str">
        <f>IFERROR(__xludf.DUMMYFUNCTION("""COMPUTED_VALUE"""),"")</f>
        <v/>
      </c>
      <c r="W4087" s="16" t="str">
        <f>IFERROR(__xludf.DUMMYFUNCTION("""COMPUTED_VALUE"""),"")</f>
        <v/>
      </c>
      <c r="X4087" s="16" t="str">
        <f>IFERROR(__xludf.DUMMYFUNCTION("""COMPUTED_VALUE"""),"")</f>
        <v/>
      </c>
      <c r="AC4087" s="16" t="str">
        <f>IFERROR(__xludf.DUMMYFUNCTION("""COMPUTED_VALUE"""),"")</f>
        <v/>
      </c>
    </row>
    <row r="4088">
      <c r="A4088" s="16" t="s">
        <v>87</v>
      </c>
      <c r="E4088" s="16" t="str">
        <f>IFERROR(__xludf.DUMMYFUNCTION("""COMPUTED_VALUE"""),"")</f>
        <v/>
      </c>
      <c r="G4088" s="18"/>
      <c r="H4088" s="16" t="s">
        <v>87</v>
      </c>
      <c r="I4088" s="16" t="s">
        <v>87</v>
      </c>
      <c r="J4088" s="19"/>
      <c r="L4088" s="16" t="str">
        <f>IFERROR(__xludf.DUMMYFUNCTION("""COMPUTED_VALUE"""),"")</f>
        <v/>
      </c>
      <c r="M4088" s="16" t="str">
        <f>IFERROR(__xludf.DUMMYFUNCTION("""COMPUTED_VALUE"""),"")</f>
        <v/>
      </c>
      <c r="U4088" s="16" t="s">
        <v>87</v>
      </c>
      <c r="V4088" s="16" t="str">
        <f>IFERROR(__xludf.DUMMYFUNCTION("""COMPUTED_VALUE"""),"")</f>
        <v/>
      </c>
      <c r="W4088" s="16" t="str">
        <f>IFERROR(__xludf.DUMMYFUNCTION("""COMPUTED_VALUE"""),"")</f>
        <v/>
      </c>
      <c r="X4088" s="16" t="str">
        <f>IFERROR(__xludf.DUMMYFUNCTION("""COMPUTED_VALUE"""),"")</f>
        <v/>
      </c>
      <c r="AC4088" s="16" t="str">
        <f>IFERROR(__xludf.DUMMYFUNCTION("""COMPUTED_VALUE"""),"")</f>
        <v/>
      </c>
    </row>
    <row r="4089">
      <c r="A4089" s="16" t="s">
        <v>87</v>
      </c>
      <c r="E4089" s="16" t="str">
        <f>IFERROR(__xludf.DUMMYFUNCTION("""COMPUTED_VALUE"""),"")</f>
        <v/>
      </c>
      <c r="G4089" s="18"/>
      <c r="H4089" s="16" t="s">
        <v>87</v>
      </c>
      <c r="I4089" s="16" t="s">
        <v>87</v>
      </c>
      <c r="J4089" s="19"/>
      <c r="L4089" s="16" t="str">
        <f>IFERROR(__xludf.DUMMYFUNCTION("""COMPUTED_VALUE"""),"")</f>
        <v/>
      </c>
      <c r="M4089" s="16" t="str">
        <f>IFERROR(__xludf.DUMMYFUNCTION("""COMPUTED_VALUE"""),"")</f>
        <v/>
      </c>
      <c r="U4089" s="16" t="s">
        <v>87</v>
      </c>
      <c r="V4089" s="16" t="str">
        <f>IFERROR(__xludf.DUMMYFUNCTION("""COMPUTED_VALUE"""),"")</f>
        <v/>
      </c>
      <c r="W4089" s="16" t="str">
        <f>IFERROR(__xludf.DUMMYFUNCTION("""COMPUTED_VALUE"""),"")</f>
        <v/>
      </c>
      <c r="X4089" s="16" t="str">
        <f>IFERROR(__xludf.DUMMYFUNCTION("""COMPUTED_VALUE"""),"")</f>
        <v/>
      </c>
      <c r="AC4089" s="16" t="str">
        <f>IFERROR(__xludf.DUMMYFUNCTION("""COMPUTED_VALUE"""),"")</f>
        <v/>
      </c>
    </row>
    <row r="4090">
      <c r="A4090" s="16" t="s">
        <v>87</v>
      </c>
      <c r="E4090" s="16" t="str">
        <f>IFERROR(__xludf.DUMMYFUNCTION("""COMPUTED_VALUE"""),"")</f>
        <v/>
      </c>
      <c r="G4090" s="18"/>
      <c r="H4090" s="16" t="s">
        <v>87</v>
      </c>
      <c r="I4090" s="16" t="s">
        <v>87</v>
      </c>
      <c r="J4090" s="19"/>
      <c r="L4090" s="16" t="str">
        <f>IFERROR(__xludf.DUMMYFUNCTION("""COMPUTED_VALUE"""),"")</f>
        <v/>
      </c>
      <c r="M4090" s="16" t="str">
        <f>IFERROR(__xludf.DUMMYFUNCTION("""COMPUTED_VALUE"""),"")</f>
        <v/>
      </c>
      <c r="U4090" s="16" t="s">
        <v>87</v>
      </c>
      <c r="V4090" s="16" t="str">
        <f>IFERROR(__xludf.DUMMYFUNCTION("""COMPUTED_VALUE"""),"")</f>
        <v/>
      </c>
      <c r="W4090" s="16" t="str">
        <f>IFERROR(__xludf.DUMMYFUNCTION("""COMPUTED_VALUE"""),"")</f>
        <v/>
      </c>
      <c r="X4090" s="16" t="str">
        <f>IFERROR(__xludf.DUMMYFUNCTION("""COMPUTED_VALUE"""),"")</f>
        <v/>
      </c>
      <c r="AC4090" s="16" t="str">
        <f>IFERROR(__xludf.DUMMYFUNCTION("""COMPUTED_VALUE"""),"")</f>
        <v/>
      </c>
    </row>
    <row r="4091">
      <c r="A4091" s="16" t="s">
        <v>87</v>
      </c>
      <c r="E4091" s="16" t="str">
        <f>IFERROR(__xludf.DUMMYFUNCTION("""COMPUTED_VALUE"""),"")</f>
        <v/>
      </c>
      <c r="G4091" s="18"/>
      <c r="H4091" s="16" t="s">
        <v>87</v>
      </c>
      <c r="I4091" s="16" t="s">
        <v>87</v>
      </c>
      <c r="J4091" s="19"/>
      <c r="L4091" s="16" t="str">
        <f>IFERROR(__xludf.DUMMYFUNCTION("""COMPUTED_VALUE"""),"")</f>
        <v/>
      </c>
      <c r="M4091" s="16" t="str">
        <f>IFERROR(__xludf.DUMMYFUNCTION("""COMPUTED_VALUE"""),"")</f>
        <v/>
      </c>
      <c r="U4091" s="16" t="s">
        <v>87</v>
      </c>
      <c r="V4091" s="16" t="str">
        <f>IFERROR(__xludf.DUMMYFUNCTION("""COMPUTED_VALUE"""),"")</f>
        <v/>
      </c>
      <c r="W4091" s="16" t="str">
        <f>IFERROR(__xludf.DUMMYFUNCTION("""COMPUTED_VALUE"""),"")</f>
        <v/>
      </c>
      <c r="X4091" s="16" t="str">
        <f>IFERROR(__xludf.DUMMYFUNCTION("""COMPUTED_VALUE"""),"")</f>
        <v/>
      </c>
      <c r="AC4091" s="16" t="str">
        <f>IFERROR(__xludf.DUMMYFUNCTION("""COMPUTED_VALUE"""),"")</f>
        <v/>
      </c>
    </row>
    <row r="4092">
      <c r="A4092" s="16" t="s">
        <v>87</v>
      </c>
      <c r="E4092" s="16" t="str">
        <f>IFERROR(__xludf.DUMMYFUNCTION("""COMPUTED_VALUE"""),"")</f>
        <v/>
      </c>
      <c r="G4092" s="18"/>
      <c r="H4092" s="16" t="s">
        <v>87</v>
      </c>
      <c r="I4092" s="16" t="s">
        <v>87</v>
      </c>
      <c r="J4092" s="19"/>
      <c r="L4092" s="16" t="str">
        <f>IFERROR(__xludf.DUMMYFUNCTION("""COMPUTED_VALUE"""),"")</f>
        <v/>
      </c>
      <c r="M4092" s="16" t="str">
        <f>IFERROR(__xludf.DUMMYFUNCTION("""COMPUTED_VALUE"""),"")</f>
        <v/>
      </c>
      <c r="U4092" s="16" t="s">
        <v>87</v>
      </c>
      <c r="V4092" s="16" t="str">
        <f>IFERROR(__xludf.DUMMYFUNCTION("""COMPUTED_VALUE"""),"")</f>
        <v/>
      </c>
      <c r="W4092" s="16" t="str">
        <f>IFERROR(__xludf.DUMMYFUNCTION("""COMPUTED_VALUE"""),"")</f>
        <v/>
      </c>
      <c r="X4092" s="16" t="str">
        <f>IFERROR(__xludf.DUMMYFUNCTION("""COMPUTED_VALUE"""),"")</f>
        <v/>
      </c>
      <c r="AC4092" s="16" t="str">
        <f>IFERROR(__xludf.DUMMYFUNCTION("""COMPUTED_VALUE"""),"")</f>
        <v/>
      </c>
    </row>
    <row r="4093">
      <c r="A4093" s="16" t="s">
        <v>87</v>
      </c>
      <c r="E4093" s="16" t="str">
        <f>IFERROR(__xludf.DUMMYFUNCTION("""COMPUTED_VALUE"""),"")</f>
        <v/>
      </c>
      <c r="G4093" s="18"/>
      <c r="H4093" s="16" t="s">
        <v>87</v>
      </c>
      <c r="I4093" s="16" t="s">
        <v>87</v>
      </c>
      <c r="J4093" s="19"/>
      <c r="L4093" s="16" t="str">
        <f>IFERROR(__xludf.DUMMYFUNCTION("""COMPUTED_VALUE"""),"")</f>
        <v/>
      </c>
      <c r="M4093" s="16" t="str">
        <f>IFERROR(__xludf.DUMMYFUNCTION("""COMPUTED_VALUE"""),"")</f>
        <v/>
      </c>
      <c r="U4093" s="16" t="s">
        <v>87</v>
      </c>
      <c r="V4093" s="16" t="str">
        <f>IFERROR(__xludf.DUMMYFUNCTION("""COMPUTED_VALUE"""),"")</f>
        <v/>
      </c>
      <c r="W4093" s="16" t="str">
        <f>IFERROR(__xludf.DUMMYFUNCTION("""COMPUTED_VALUE"""),"")</f>
        <v/>
      </c>
      <c r="X4093" s="16" t="str">
        <f>IFERROR(__xludf.DUMMYFUNCTION("""COMPUTED_VALUE"""),"")</f>
        <v/>
      </c>
      <c r="AC4093" s="16" t="str">
        <f>IFERROR(__xludf.DUMMYFUNCTION("""COMPUTED_VALUE"""),"")</f>
        <v/>
      </c>
    </row>
    <row r="4094">
      <c r="A4094" s="16" t="s">
        <v>87</v>
      </c>
      <c r="E4094" s="16" t="str">
        <f>IFERROR(__xludf.DUMMYFUNCTION("""COMPUTED_VALUE"""),"")</f>
        <v/>
      </c>
      <c r="G4094" s="18"/>
      <c r="H4094" s="16" t="s">
        <v>87</v>
      </c>
      <c r="I4094" s="16" t="s">
        <v>87</v>
      </c>
      <c r="J4094" s="19"/>
      <c r="L4094" s="16" t="str">
        <f>IFERROR(__xludf.DUMMYFUNCTION("""COMPUTED_VALUE"""),"")</f>
        <v/>
      </c>
      <c r="M4094" s="16" t="str">
        <f>IFERROR(__xludf.DUMMYFUNCTION("""COMPUTED_VALUE"""),"")</f>
        <v/>
      </c>
      <c r="U4094" s="16" t="s">
        <v>87</v>
      </c>
      <c r="V4094" s="16" t="str">
        <f>IFERROR(__xludf.DUMMYFUNCTION("""COMPUTED_VALUE"""),"")</f>
        <v/>
      </c>
      <c r="W4094" s="16" t="str">
        <f>IFERROR(__xludf.DUMMYFUNCTION("""COMPUTED_VALUE"""),"")</f>
        <v/>
      </c>
      <c r="X4094" s="16" t="str">
        <f>IFERROR(__xludf.DUMMYFUNCTION("""COMPUTED_VALUE"""),"")</f>
        <v/>
      </c>
      <c r="AC4094" s="16" t="str">
        <f>IFERROR(__xludf.DUMMYFUNCTION("""COMPUTED_VALUE"""),"")</f>
        <v/>
      </c>
    </row>
    <row r="4095">
      <c r="A4095" s="16" t="s">
        <v>87</v>
      </c>
      <c r="E4095" s="16" t="str">
        <f>IFERROR(__xludf.DUMMYFUNCTION("""COMPUTED_VALUE"""),"")</f>
        <v/>
      </c>
      <c r="G4095" s="18"/>
      <c r="H4095" s="16" t="s">
        <v>87</v>
      </c>
      <c r="I4095" s="16" t="s">
        <v>87</v>
      </c>
      <c r="J4095" s="19"/>
      <c r="L4095" s="16" t="str">
        <f>IFERROR(__xludf.DUMMYFUNCTION("""COMPUTED_VALUE"""),"")</f>
        <v/>
      </c>
      <c r="M4095" s="16" t="str">
        <f>IFERROR(__xludf.DUMMYFUNCTION("""COMPUTED_VALUE"""),"")</f>
        <v/>
      </c>
      <c r="U4095" s="16" t="s">
        <v>87</v>
      </c>
      <c r="V4095" s="16" t="str">
        <f>IFERROR(__xludf.DUMMYFUNCTION("""COMPUTED_VALUE"""),"")</f>
        <v/>
      </c>
      <c r="W4095" s="16" t="str">
        <f>IFERROR(__xludf.DUMMYFUNCTION("""COMPUTED_VALUE"""),"")</f>
        <v/>
      </c>
      <c r="X4095" s="16" t="str">
        <f>IFERROR(__xludf.DUMMYFUNCTION("""COMPUTED_VALUE"""),"")</f>
        <v/>
      </c>
      <c r="AC4095" s="16" t="str">
        <f>IFERROR(__xludf.DUMMYFUNCTION("""COMPUTED_VALUE"""),"")</f>
        <v/>
      </c>
    </row>
    <row r="4096">
      <c r="A4096" s="16" t="s">
        <v>87</v>
      </c>
      <c r="E4096" s="16" t="str">
        <f>IFERROR(__xludf.DUMMYFUNCTION("""COMPUTED_VALUE"""),"")</f>
        <v/>
      </c>
      <c r="G4096" s="18"/>
      <c r="H4096" s="16" t="s">
        <v>87</v>
      </c>
      <c r="I4096" s="16" t="s">
        <v>87</v>
      </c>
      <c r="J4096" s="19"/>
      <c r="L4096" s="16" t="str">
        <f>IFERROR(__xludf.DUMMYFUNCTION("""COMPUTED_VALUE"""),"")</f>
        <v/>
      </c>
      <c r="M4096" s="16" t="str">
        <f>IFERROR(__xludf.DUMMYFUNCTION("""COMPUTED_VALUE"""),"")</f>
        <v/>
      </c>
      <c r="U4096" s="16" t="s">
        <v>87</v>
      </c>
      <c r="V4096" s="16" t="str">
        <f>IFERROR(__xludf.DUMMYFUNCTION("""COMPUTED_VALUE"""),"")</f>
        <v/>
      </c>
      <c r="W4096" s="16" t="str">
        <f>IFERROR(__xludf.DUMMYFUNCTION("""COMPUTED_VALUE"""),"")</f>
        <v/>
      </c>
      <c r="X4096" s="16" t="str">
        <f>IFERROR(__xludf.DUMMYFUNCTION("""COMPUTED_VALUE"""),"")</f>
        <v/>
      </c>
      <c r="AC4096" s="16" t="str">
        <f>IFERROR(__xludf.DUMMYFUNCTION("""COMPUTED_VALUE"""),"")</f>
        <v/>
      </c>
    </row>
    <row r="4097">
      <c r="A4097" s="16" t="s">
        <v>87</v>
      </c>
      <c r="E4097" s="16" t="str">
        <f>IFERROR(__xludf.DUMMYFUNCTION("""COMPUTED_VALUE"""),"")</f>
        <v/>
      </c>
      <c r="G4097" s="18"/>
      <c r="H4097" s="16" t="s">
        <v>87</v>
      </c>
      <c r="I4097" s="16" t="s">
        <v>87</v>
      </c>
      <c r="J4097" s="19"/>
      <c r="L4097" s="16" t="str">
        <f>IFERROR(__xludf.DUMMYFUNCTION("""COMPUTED_VALUE"""),"")</f>
        <v/>
      </c>
      <c r="M4097" s="16" t="str">
        <f>IFERROR(__xludf.DUMMYFUNCTION("""COMPUTED_VALUE"""),"")</f>
        <v/>
      </c>
      <c r="U4097" s="16" t="s">
        <v>87</v>
      </c>
      <c r="V4097" s="16" t="str">
        <f>IFERROR(__xludf.DUMMYFUNCTION("""COMPUTED_VALUE"""),"")</f>
        <v/>
      </c>
      <c r="W4097" s="16" t="str">
        <f>IFERROR(__xludf.DUMMYFUNCTION("""COMPUTED_VALUE"""),"")</f>
        <v/>
      </c>
      <c r="X4097" s="16" t="str">
        <f>IFERROR(__xludf.DUMMYFUNCTION("""COMPUTED_VALUE"""),"")</f>
        <v/>
      </c>
      <c r="AC4097" s="16" t="str">
        <f>IFERROR(__xludf.DUMMYFUNCTION("""COMPUTED_VALUE"""),"")</f>
        <v/>
      </c>
    </row>
    <row r="4098">
      <c r="A4098" s="16" t="s">
        <v>87</v>
      </c>
      <c r="E4098" s="16" t="str">
        <f>IFERROR(__xludf.DUMMYFUNCTION("""COMPUTED_VALUE"""),"")</f>
        <v/>
      </c>
      <c r="G4098" s="18"/>
      <c r="H4098" s="16" t="s">
        <v>87</v>
      </c>
      <c r="I4098" s="16" t="s">
        <v>87</v>
      </c>
      <c r="J4098" s="19"/>
      <c r="L4098" s="16" t="str">
        <f>IFERROR(__xludf.DUMMYFUNCTION("""COMPUTED_VALUE"""),"")</f>
        <v/>
      </c>
      <c r="M4098" s="16" t="str">
        <f>IFERROR(__xludf.DUMMYFUNCTION("""COMPUTED_VALUE"""),"")</f>
        <v/>
      </c>
      <c r="U4098" s="16" t="s">
        <v>87</v>
      </c>
      <c r="V4098" s="16" t="str">
        <f>IFERROR(__xludf.DUMMYFUNCTION("""COMPUTED_VALUE"""),"")</f>
        <v/>
      </c>
      <c r="W4098" s="16" t="str">
        <f>IFERROR(__xludf.DUMMYFUNCTION("""COMPUTED_VALUE"""),"")</f>
        <v/>
      </c>
      <c r="X4098" s="16" t="str">
        <f>IFERROR(__xludf.DUMMYFUNCTION("""COMPUTED_VALUE"""),"")</f>
        <v/>
      </c>
      <c r="AC4098" s="16" t="str">
        <f>IFERROR(__xludf.DUMMYFUNCTION("""COMPUTED_VALUE"""),"")</f>
        <v/>
      </c>
    </row>
    <row r="4099">
      <c r="A4099" s="16" t="s">
        <v>87</v>
      </c>
      <c r="E4099" s="16" t="str">
        <f>IFERROR(__xludf.DUMMYFUNCTION("""COMPUTED_VALUE"""),"")</f>
        <v/>
      </c>
      <c r="G4099" s="18"/>
      <c r="H4099" s="16" t="s">
        <v>87</v>
      </c>
      <c r="I4099" s="16" t="s">
        <v>87</v>
      </c>
      <c r="J4099" s="19"/>
      <c r="L4099" s="16" t="str">
        <f>IFERROR(__xludf.DUMMYFUNCTION("""COMPUTED_VALUE"""),"")</f>
        <v/>
      </c>
      <c r="M4099" s="16" t="str">
        <f>IFERROR(__xludf.DUMMYFUNCTION("""COMPUTED_VALUE"""),"")</f>
        <v/>
      </c>
      <c r="U4099" s="16" t="s">
        <v>87</v>
      </c>
      <c r="V4099" s="16" t="str">
        <f>IFERROR(__xludf.DUMMYFUNCTION("""COMPUTED_VALUE"""),"")</f>
        <v/>
      </c>
      <c r="W4099" s="16" t="str">
        <f>IFERROR(__xludf.DUMMYFUNCTION("""COMPUTED_VALUE"""),"")</f>
        <v/>
      </c>
      <c r="X4099" s="16" t="str">
        <f>IFERROR(__xludf.DUMMYFUNCTION("""COMPUTED_VALUE"""),"")</f>
        <v/>
      </c>
      <c r="AC4099" s="16" t="str">
        <f>IFERROR(__xludf.DUMMYFUNCTION("""COMPUTED_VALUE"""),"")</f>
        <v/>
      </c>
    </row>
    <row r="4100">
      <c r="A4100" s="16" t="s">
        <v>87</v>
      </c>
      <c r="E4100" s="16" t="str">
        <f>IFERROR(__xludf.DUMMYFUNCTION("""COMPUTED_VALUE"""),"")</f>
        <v/>
      </c>
      <c r="G4100" s="18"/>
      <c r="H4100" s="16" t="s">
        <v>87</v>
      </c>
      <c r="I4100" s="16" t="s">
        <v>87</v>
      </c>
      <c r="J4100" s="19"/>
      <c r="L4100" s="16" t="str">
        <f>IFERROR(__xludf.DUMMYFUNCTION("""COMPUTED_VALUE"""),"")</f>
        <v/>
      </c>
      <c r="M4100" s="16" t="str">
        <f>IFERROR(__xludf.DUMMYFUNCTION("""COMPUTED_VALUE"""),"")</f>
        <v/>
      </c>
      <c r="U4100" s="16" t="s">
        <v>87</v>
      </c>
      <c r="V4100" s="16" t="str">
        <f>IFERROR(__xludf.DUMMYFUNCTION("""COMPUTED_VALUE"""),"")</f>
        <v/>
      </c>
      <c r="W4100" s="16" t="str">
        <f>IFERROR(__xludf.DUMMYFUNCTION("""COMPUTED_VALUE"""),"")</f>
        <v/>
      </c>
      <c r="X4100" s="16" t="str">
        <f>IFERROR(__xludf.DUMMYFUNCTION("""COMPUTED_VALUE"""),"")</f>
        <v/>
      </c>
      <c r="AC4100" s="16" t="str">
        <f>IFERROR(__xludf.DUMMYFUNCTION("""COMPUTED_VALUE"""),"")</f>
        <v/>
      </c>
    </row>
    <row r="4101">
      <c r="A4101" s="16" t="s">
        <v>87</v>
      </c>
      <c r="E4101" s="16" t="str">
        <f>IFERROR(__xludf.DUMMYFUNCTION("""COMPUTED_VALUE"""),"")</f>
        <v/>
      </c>
      <c r="G4101" s="18"/>
      <c r="H4101" s="16" t="s">
        <v>87</v>
      </c>
      <c r="I4101" s="16" t="s">
        <v>87</v>
      </c>
      <c r="J4101" s="19"/>
      <c r="L4101" s="16" t="str">
        <f>IFERROR(__xludf.DUMMYFUNCTION("""COMPUTED_VALUE"""),"")</f>
        <v/>
      </c>
      <c r="M4101" s="16" t="str">
        <f>IFERROR(__xludf.DUMMYFUNCTION("""COMPUTED_VALUE"""),"")</f>
        <v/>
      </c>
      <c r="U4101" s="16" t="s">
        <v>87</v>
      </c>
      <c r="V4101" s="16" t="str">
        <f>IFERROR(__xludf.DUMMYFUNCTION("""COMPUTED_VALUE"""),"")</f>
        <v/>
      </c>
      <c r="W4101" s="16" t="str">
        <f>IFERROR(__xludf.DUMMYFUNCTION("""COMPUTED_VALUE"""),"")</f>
        <v/>
      </c>
      <c r="X4101" s="16" t="str">
        <f>IFERROR(__xludf.DUMMYFUNCTION("""COMPUTED_VALUE"""),"")</f>
        <v/>
      </c>
      <c r="AC4101" s="16" t="str">
        <f>IFERROR(__xludf.DUMMYFUNCTION("""COMPUTED_VALUE"""),"")</f>
        <v/>
      </c>
    </row>
    <row r="4102">
      <c r="A4102" s="16" t="s">
        <v>87</v>
      </c>
      <c r="E4102" s="16" t="str">
        <f>IFERROR(__xludf.DUMMYFUNCTION("""COMPUTED_VALUE"""),"")</f>
        <v/>
      </c>
      <c r="G4102" s="18"/>
      <c r="H4102" s="16" t="s">
        <v>87</v>
      </c>
      <c r="I4102" s="16" t="s">
        <v>87</v>
      </c>
      <c r="J4102" s="19"/>
      <c r="L4102" s="16" t="str">
        <f>IFERROR(__xludf.DUMMYFUNCTION("""COMPUTED_VALUE"""),"")</f>
        <v/>
      </c>
      <c r="M4102" s="16" t="str">
        <f>IFERROR(__xludf.DUMMYFUNCTION("""COMPUTED_VALUE"""),"")</f>
        <v/>
      </c>
      <c r="U4102" s="16" t="s">
        <v>87</v>
      </c>
      <c r="V4102" s="16" t="str">
        <f>IFERROR(__xludf.DUMMYFUNCTION("""COMPUTED_VALUE"""),"")</f>
        <v/>
      </c>
      <c r="W4102" s="16" t="str">
        <f>IFERROR(__xludf.DUMMYFUNCTION("""COMPUTED_VALUE"""),"")</f>
        <v/>
      </c>
      <c r="X4102" s="16" t="str">
        <f>IFERROR(__xludf.DUMMYFUNCTION("""COMPUTED_VALUE"""),"")</f>
        <v/>
      </c>
      <c r="AC4102" s="16" t="str">
        <f>IFERROR(__xludf.DUMMYFUNCTION("""COMPUTED_VALUE"""),"")</f>
        <v/>
      </c>
    </row>
    <row r="4103">
      <c r="A4103" s="16" t="s">
        <v>87</v>
      </c>
      <c r="E4103" s="16" t="str">
        <f>IFERROR(__xludf.DUMMYFUNCTION("""COMPUTED_VALUE"""),"")</f>
        <v/>
      </c>
      <c r="G4103" s="18"/>
      <c r="H4103" s="16" t="s">
        <v>87</v>
      </c>
      <c r="I4103" s="16" t="s">
        <v>87</v>
      </c>
      <c r="J4103" s="19"/>
      <c r="L4103" s="16" t="str">
        <f>IFERROR(__xludf.DUMMYFUNCTION("""COMPUTED_VALUE"""),"")</f>
        <v/>
      </c>
      <c r="M4103" s="16" t="str">
        <f>IFERROR(__xludf.DUMMYFUNCTION("""COMPUTED_VALUE"""),"")</f>
        <v/>
      </c>
      <c r="U4103" s="16" t="s">
        <v>87</v>
      </c>
      <c r="V4103" s="16" t="str">
        <f>IFERROR(__xludf.DUMMYFUNCTION("""COMPUTED_VALUE"""),"")</f>
        <v/>
      </c>
      <c r="W4103" s="16" t="str">
        <f>IFERROR(__xludf.DUMMYFUNCTION("""COMPUTED_VALUE"""),"")</f>
        <v/>
      </c>
      <c r="X4103" s="16" t="str">
        <f>IFERROR(__xludf.DUMMYFUNCTION("""COMPUTED_VALUE"""),"")</f>
        <v/>
      </c>
      <c r="AC4103" s="16" t="str">
        <f>IFERROR(__xludf.DUMMYFUNCTION("""COMPUTED_VALUE"""),"")</f>
        <v/>
      </c>
    </row>
    <row r="4104">
      <c r="A4104" s="16" t="s">
        <v>87</v>
      </c>
      <c r="E4104" s="16" t="str">
        <f>IFERROR(__xludf.DUMMYFUNCTION("""COMPUTED_VALUE"""),"")</f>
        <v/>
      </c>
      <c r="G4104" s="18"/>
      <c r="H4104" s="16" t="s">
        <v>87</v>
      </c>
      <c r="I4104" s="16" t="s">
        <v>87</v>
      </c>
      <c r="J4104" s="19"/>
      <c r="L4104" s="16" t="str">
        <f>IFERROR(__xludf.DUMMYFUNCTION("""COMPUTED_VALUE"""),"")</f>
        <v/>
      </c>
      <c r="M4104" s="16" t="str">
        <f>IFERROR(__xludf.DUMMYFUNCTION("""COMPUTED_VALUE"""),"")</f>
        <v/>
      </c>
      <c r="U4104" s="16" t="s">
        <v>87</v>
      </c>
      <c r="V4104" s="16" t="str">
        <f>IFERROR(__xludf.DUMMYFUNCTION("""COMPUTED_VALUE"""),"")</f>
        <v/>
      </c>
      <c r="W4104" s="16" t="str">
        <f>IFERROR(__xludf.DUMMYFUNCTION("""COMPUTED_VALUE"""),"")</f>
        <v/>
      </c>
      <c r="X4104" s="16" t="str">
        <f>IFERROR(__xludf.DUMMYFUNCTION("""COMPUTED_VALUE"""),"")</f>
        <v/>
      </c>
      <c r="AC4104" s="16" t="str">
        <f>IFERROR(__xludf.DUMMYFUNCTION("""COMPUTED_VALUE"""),"")</f>
        <v/>
      </c>
    </row>
    <row r="4105">
      <c r="A4105" s="16" t="s">
        <v>87</v>
      </c>
      <c r="E4105" s="16" t="str">
        <f>IFERROR(__xludf.DUMMYFUNCTION("""COMPUTED_VALUE"""),"")</f>
        <v/>
      </c>
      <c r="G4105" s="18"/>
      <c r="H4105" s="16" t="s">
        <v>87</v>
      </c>
      <c r="I4105" s="16" t="s">
        <v>87</v>
      </c>
      <c r="J4105" s="19"/>
      <c r="L4105" s="16" t="str">
        <f>IFERROR(__xludf.DUMMYFUNCTION("""COMPUTED_VALUE"""),"")</f>
        <v/>
      </c>
      <c r="M4105" s="16" t="str">
        <f>IFERROR(__xludf.DUMMYFUNCTION("""COMPUTED_VALUE"""),"")</f>
        <v/>
      </c>
      <c r="U4105" s="16" t="s">
        <v>87</v>
      </c>
      <c r="V4105" s="16" t="str">
        <f>IFERROR(__xludf.DUMMYFUNCTION("""COMPUTED_VALUE"""),"")</f>
        <v/>
      </c>
      <c r="W4105" s="16" t="str">
        <f>IFERROR(__xludf.DUMMYFUNCTION("""COMPUTED_VALUE"""),"")</f>
        <v/>
      </c>
      <c r="X4105" s="16" t="str">
        <f>IFERROR(__xludf.DUMMYFUNCTION("""COMPUTED_VALUE"""),"")</f>
        <v/>
      </c>
      <c r="AC4105" s="16" t="str">
        <f>IFERROR(__xludf.DUMMYFUNCTION("""COMPUTED_VALUE"""),"")</f>
        <v/>
      </c>
    </row>
    <row r="4106">
      <c r="A4106" s="16" t="s">
        <v>87</v>
      </c>
      <c r="E4106" s="16" t="str">
        <f>IFERROR(__xludf.DUMMYFUNCTION("""COMPUTED_VALUE"""),"")</f>
        <v/>
      </c>
      <c r="G4106" s="18"/>
      <c r="H4106" s="16" t="s">
        <v>87</v>
      </c>
      <c r="I4106" s="16" t="s">
        <v>87</v>
      </c>
      <c r="J4106" s="19"/>
      <c r="L4106" s="16" t="str">
        <f>IFERROR(__xludf.DUMMYFUNCTION("""COMPUTED_VALUE"""),"")</f>
        <v/>
      </c>
      <c r="M4106" s="16" t="str">
        <f>IFERROR(__xludf.DUMMYFUNCTION("""COMPUTED_VALUE"""),"")</f>
        <v/>
      </c>
      <c r="U4106" s="16" t="s">
        <v>87</v>
      </c>
      <c r="V4106" s="16" t="str">
        <f>IFERROR(__xludf.DUMMYFUNCTION("""COMPUTED_VALUE"""),"")</f>
        <v/>
      </c>
      <c r="W4106" s="16" t="str">
        <f>IFERROR(__xludf.DUMMYFUNCTION("""COMPUTED_VALUE"""),"")</f>
        <v/>
      </c>
      <c r="X4106" s="16" t="str">
        <f>IFERROR(__xludf.DUMMYFUNCTION("""COMPUTED_VALUE"""),"")</f>
        <v/>
      </c>
      <c r="AC4106" s="16" t="str">
        <f>IFERROR(__xludf.DUMMYFUNCTION("""COMPUTED_VALUE"""),"")</f>
        <v/>
      </c>
    </row>
    <row r="4107">
      <c r="A4107" s="16" t="s">
        <v>87</v>
      </c>
      <c r="E4107" s="16" t="str">
        <f>IFERROR(__xludf.DUMMYFUNCTION("""COMPUTED_VALUE"""),"")</f>
        <v/>
      </c>
      <c r="G4107" s="18"/>
      <c r="H4107" s="16" t="s">
        <v>87</v>
      </c>
      <c r="I4107" s="16" t="s">
        <v>87</v>
      </c>
      <c r="J4107" s="19"/>
      <c r="L4107" s="16" t="str">
        <f>IFERROR(__xludf.DUMMYFUNCTION("""COMPUTED_VALUE"""),"")</f>
        <v/>
      </c>
      <c r="M4107" s="16" t="str">
        <f>IFERROR(__xludf.DUMMYFUNCTION("""COMPUTED_VALUE"""),"")</f>
        <v/>
      </c>
      <c r="U4107" s="16" t="s">
        <v>87</v>
      </c>
      <c r="V4107" s="16" t="str">
        <f>IFERROR(__xludf.DUMMYFUNCTION("""COMPUTED_VALUE"""),"")</f>
        <v/>
      </c>
      <c r="W4107" s="16" t="str">
        <f>IFERROR(__xludf.DUMMYFUNCTION("""COMPUTED_VALUE"""),"")</f>
        <v/>
      </c>
      <c r="X4107" s="16" t="str">
        <f>IFERROR(__xludf.DUMMYFUNCTION("""COMPUTED_VALUE"""),"")</f>
        <v/>
      </c>
      <c r="AC4107" s="16" t="str">
        <f>IFERROR(__xludf.DUMMYFUNCTION("""COMPUTED_VALUE"""),"")</f>
        <v/>
      </c>
    </row>
    <row r="4108">
      <c r="A4108" s="16" t="s">
        <v>87</v>
      </c>
      <c r="E4108" s="16" t="str">
        <f>IFERROR(__xludf.DUMMYFUNCTION("""COMPUTED_VALUE"""),"")</f>
        <v/>
      </c>
      <c r="G4108" s="18"/>
      <c r="H4108" s="16" t="s">
        <v>87</v>
      </c>
      <c r="I4108" s="16" t="s">
        <v>87</v>
      </c>
      <c r="J4108" s="19"/>
      <c r="L4108" s="16" t="str">
        <f>IFERROR(__xludf.DUMMYFUNCTION("""COMPUTED_VALUE"""),"")</f>
        <v/>
      </c>
      <c r="M4108" s="16" t="str">
        <f>IFERROR(__xludf.DUMMYFUNCTION("""COMPUTED_VALUE"""),"")</f>
        <v/>
      </c>
      <c r="U4108" s="16" t="s">
        <v>87</v>
      </c>
      <c r="V4108" s="16" t="str">
        <f>IFERROR(__xludf.DUMMYFUNCTION("""COMPUTED_VALUE"""),"")</f>
        <v/>
      </c>
      <c r="W4108" s="16" t="str">
        <f>IFERROR(__xludf.DUMMYFUNCTION("""COMPUTED_VALUE"""),"")</f>
        <v/>
      </c>
      <c r="X4108" s="16" t="str">
        <f>IFERROR(__xludf.DUMMYFUNCTION("""COMPUTED_VALUE"""),"")</f>
        <v/>
      </c>
      <c r="AC4108" s="16" t="str">
        <f>IFERROR(__xludf.DUMMYFUNCTION("""COMPUTED_VALUE"""),"")</f>
        <v/>
      </c>
    </row>
    <row r="4109">
      <c r="A4109" s="16" t="s">
        <v>87</v>
      </c>
      <c r="E4109" s="16" t="str">
        <f>IFERROR(__xludf.DUMMYFUNCTION("""COMPUTED_VALUE"""),"")</f>
        <v/>
      </c>
      <c r="G4109" s="18"/>
      <c r="H4109" s="16" t="s">
        <v>87</v>
      </c>
      <c r="I4109" s="16" t="s">
        <v>87</v>
      </c>
      <c r="J4109" s="19"/>
      <c r="L4109" s="16" t="str">
        <f>IFERROR(__xludf.DUMMYFUNCTION("""COMPUTED_VALUE"""),"")</f>
        <v/>
      </c>
      <c r="M4109" s="16" t="str">
        <f>IFERROR(__xludf.DUMMYFUNCTION("""COMPUTED_VALUE"""),"")</f>
        <v/>
      </c>
      <c r="U4109" s="16" t="s">
        <v>87</v>
      </c>
      <c r="V4109" s="16" t="str">
        <f>IFERROR(__xludf.DUMMYFUNCTION("""COMPUTED_VALUE"""),"")</f>
        <v/>
      </c>
      <c r="W4109" s="16" t="str">
        <f>IFERROR(__xludf.DUMMYFUNCTION("""COMPUTED_VALUE"""),"")</f>
        <v/>
      </c>
      <c r="X4109" s="16" t="str">
        <f>IFERROR(__xludf.DUMMYFUNCTION("""COMPUTED_VALUE"""),"")</f>
        <v/>
      </c>
      <c r="AC4109" s="16" t="str">
        <f>IFERROR(__xludf.DUMMYFUNCTION("""COMPUTED_VALUE"""),"")</f>
        <v/>
      </c>
    </row>
    <row r="4110">
      <c r="A4110" s="16" t="s">
        <v>87</v>
      </c>
      <c r="E4110" s="16" t="str">
        <f>IFERROR(__xludf.DUMMYFUNCTION("""COMPUTED_VALUE"""),"")</f>
        <v/>
      </c>
      <c r="G4110" s="18"/>
      <c r="H4110" s="16" t="s">
        <v>87</v>
      </c>
      <c r="I4110" s="16" t="s">
        <v>87</v>
      </c>
      <c r="J4110" s="19"/>
      <c r="L4110" s="16" t="str">
        <f>IFERROR(__xludf.DUMMYFUNCTION("""COMPUTED_VALUE"""),"")</f>
        <v/>
      </c>
      <c r="M4110" s="16" t="str">
        <f>IFERROR(__xludf.DUMMYFUNCTION("""COMPUTED_VALUE"""),"")</f>
        <v/>
      </c>
      <c r="U4110" s="16" t="s">
        <v>87</v>
      </c>
      <c r="V4110" s="16" t="str">
        <f>IFERROR(__xludf.DUMMYFUNCTION("""COMPUTED_VALUE"""),"")</f>
        <v/>
      </c>
      <c r="W4110" s="16" t="str">
        <f>IFERROR(__xludf.DUMMYFUNCTION("""COMPUTED_VALUE"""),"")</f>
        <v/>
      </c>
      <c r="X4110" s="16" t="str">
        <f>IFERROR(__xludf.DUMMYFUNCTION("""COMPUTED_VALUE"""),"")</f>
        <v/>
      </c>
      <c r="AC4110" s="16" t="str">
        <f>IFERROR(__xludf.DUMMYFUNCTION("""COMPUTED_VALUE"""),"")</f>
        <v/>
      </c>
    </row>
    <row r="4111">
      <c r="A4111" s="16" t="s">
        <v>87</v>
      </c>
      <c r="E4111" s="16" t="str">
        <f>IFERROR(__xludf.DUMMYFUNCTION("""COMPUTED_VALUE"""),"")</f>
        <v/>
      </c>
      <c r="G4111" s="18"/>
      <c r="H4111" s="16" t="s">
        <v>87</v>
      </c>
      <c r="I4111" s="16" t="s">
        <v>87</v>
      </c>
      <c r="J4111" s="19"/>
      <c r="L4111" s="16" t="str">
        <f>IFERROR(__xludf.DUMMYFUNCTION("""COMPUTED_VALUE"""),"")</f>
        <v/>
      </c>
      <c r="M4111" s="16" t="str">
        <f>IFERROR(__xludf.DUMMYFUNCTION("""COMPUTED_VALUE"""),"")</f>
        <v/>
      </c>
      <c r="U4111" s="16" t="s">
        <v>87</v>
      </c>
      <c r="V4111" s="16" t="str">
        <f>IFERROR(__xludf.DUMMYFUNCTION("""COMPUTED_VALUE"""),"")</f>
        <v/>
      </c>
      <c r="W4111" s="16" t="str">
        <f>IFERROR(__xludf.DUMMYFUNCTION("""COMPUTED_VALUE"""),"")</f>
        <v/>
      </c>
      <c r="X4111" s="16" t="str">
        <f>IFERROR(__xludf.DUMMYFUNCTION("""COMPUTED_VALUE"""),"")</f>
        <v/>
      </c>
      <c r="AC4111" s="16" t="str">
        <f>IFERROR(__xludf.DUMMYFUNCTION("""COMPUTED_VALUE"""),"")</f>
        <v/>
      </c>
    </row>
    <row r="4112">
      <c r="A4112" s="16" t="s">
        <v>87</v>
      </c>
      <c r="E4112" s="16" t="str">
        <f>IFERROR(__xludf.DUMMYFUNCTION("""COMPUTED_VALUE"""),"")</f>
        <v/>
      </c>
      <c r="G4112" s="18"/>
      <c r="H4112" s="16" t="s">
        <v>87</v>
      </c>
      <c r="I4112" s="16" t="s">
        <v>87</v>
      </c>
      <c r="J4112" s="19"/>
      <c r="L4112" s="16" t="str">
        <f>IFERROR(__xludf.DUMMYFUNCTION("""COMPUTED_VALUE"""),"")</f>
        <v/>
      </c>
      <c r="M4112" s="16" t="str">
        <f>IFERROR(__xludf.DUMMYFUNCTION("""COMPUTED_VALUE"""),"")</f>
        <v/>
      </c>
      <c r="U4112" s="16" t="s">
        <v>87</v>
      </c>
      <c r="V4112" s="16" t="str">
        <f>IFERROR(__xludf.DUMMYFUNCTION("""COMPUTED_VALUE"""),"")</f>
        <v/>
      </c>
      <c r="W4112" s="16" t="str">
        <f>IFERROR(__xludf.DUMMYFUNCTION("""COMPUTED_VALUE"""),"")</f>
        <v/>
      </c>
      <c r="X4112" s="16" t="str">
        <f>IFERROR(__xludf.DUMMYFUNCTION("""COMPUTED_VALUE"""),"")</f>
        <v/>
      </c>
      <c r="AC4112" s="16" t="str">
        <f>IFERROR(__xludf.DUMMYFUNCTION("""COMPUTED_VALUE"""),"")</f>
        <v/>
      </c>
    </row>
    <row r="4113">
      <c r="A4113" s="16" t="s">
        <v>87</v>
      </c>
      <c r="E4113" s="16" t="str">
        <f>IFERROR(__xludf.DUMMYFUNCTION("""COMPUTED_VALUE"""),"")</f>
        <v/>
      </c>
      <c r="G4113" s="18"/>
      <c r="H4113" s="16" t="s">
        <v>87</v>
      </c>
      <c r="I4113" s="16" t="s">
        <v>87</v>
      </c>
      <c r="J4113" s="19"/>
      <c r="L4113" s="16" t="str">
        <f>IFERROR(__xludf.DUMMYFUNCTION("""COMPUTED_VALUE"""),"")</f>
        <v/>
      </c>
      <c r="M4113" s="16" t="str">
        <f>IFERROR(__xludf.DUMMYFUNCTION("""COMPUTED_VALUE"""),"")</f>
        <v/>
      </c>
      <c r="U4113" s="16" t="s">
        <v>87</v>
      </c>
      <c r="V4113" s="16" t="str">
        <f>IFERROR(__xludf.DUMMYFUNCTION("""COMPUTED_VALUE"""),"")</f>
        <v/>
      </c>
      <c r="W4113" s="16" t="str">
        <f>IFERROR(__xludf.DUMMYFUNCTION("""COMPUTED_VALUE"""),"")</f>
        <v/>
      </c>
      <c r="X4113" s="16" t="str">
        <f>IFERROR(__xludf.DUMMYFUNCTION("""COMPUTED_VALUE"""),"")</f>
        <v/>
      </c>
      <c r="AC4113" s="16" t="str">
        <f>IFERROR(__xludf.DUMMYFUNCTION("""COMPUTED_VALUE"""),"")</f>
        <v/>
      </c>
    </row>
    <row r="4114">
      <c r="A4114" s="16" t="s">
        <v>87</v>
      </c>
      <c r="E4114" s="16" t="str">
        <f>IFERROR(__xludf.DUMMYFUNCTION("""COMPUTED_VALUE"""),"")</f>
        <v/>
      </c>
      <c r="G4114" s="18"/>
      <c r="H4114" s="16" t="s">
        <v>87</v>
      </c>
      <c r="I4114" s="16" t="s">
        <v>87</v>
      </c>
      <c r="J4114" s="19"/>
      <c r="L4114" s="16" t="str">
        <f>IFERROR(__xludf.DUMMYFUNCTION("""COMPUTED_VALUE"""),"")</f>
        <v/>
      </c>
      <c r="M4114" s="16" t="str">
        <f>IFERROR(__xludf.DUMMYFUNCTION("""COMPUTED_VALUE"""),"")</f>
        <v/>
      </c>
      <c r="U4114" s="16" t="s">
        <v>87</v>
      </c>
      <c r="V4114" s="16" t="str">
        <f>IFERROR(__xludf.DUMMYFUNCTION("""COMPUTED_VALUE"""),"")</f>
        <v/>
      </c>
      <c r="W4114" s="16" t="str">
        <f>IFERROR(__xludf.DUMMYFUNCTION("""COMPUTED_VALUE"""),"")</f>
        <v/>
      </c>
      <c r="X4114" s="16" t="str">
        <f>IFERROR(__xludf.DUMMYFUNCTION("""COMPUTED_VALUE"""),"")</f>
        <v/>
      </c>
      <c r="AC4114" s="16" t="str">
        <f>IFERROR(__xludf.DUMMYFUNCTION("""COMPUTED_VALUE"""),"")</f>
        <v/>
      </c>
    </row>
    <row r="4115">
      <c r="A4115" s="16" t="s">
        <v>87</v>
      </c>
      <c r="E4115" s="16" t="str">
        <f>IFERROR(__xludf.DUMMYFUNCTION("""COMPUTED_VALUE"""),"")</f>
        <v/>
      </c>
      <c r="G4115" s="18"/>
      <c r="H4115" s="16" t="s">
        <v>87</v>
      </c>
      <c r="I4115" s="16" t="s">
        <v>87</v>
      </c>
      <c r="J4115" s="19"/>
      <c r="L4115" s="16" t="str">
        <f>IFERROR(__xludf.DUMMYFUNCTION("""COMPUTED_VALUE"""),"")</f>
        <v/>
      </c>
      <c r="M4115" s="16" t="str">
        <f>IFERROR(__xludf.DUMMYFUNCTION("""COMPUTED_VALUE"""),"")</f>
        <v/>
      </c>
      <c r="U4115" s="16" t="s">
        <v>87</v>
      </c>
      <c r="V4115" s="16" t="str">
        <f>IFERROR(__xludf.DUMMYFUNCTION("""COMPUTED_VALUE"""),"")</f>
        <v/>
      </c>
      <c r="W4115" s="16" t="str">
        <f>IFERROR(__xludf.DUMMYFUNCTION("""COMPUTED_VALUE"""),"")</f>
        <v/>
      </c>
      <c r="X4115" s="16" t="str">
        <f>IFERROR(__xludf.DUMMYFUNCTION("""COMPUTED_VALUE"""),"")</f>
        <v/>
      </c>
      <c r="AC4115" s="16" t="str">
        <f>IFERROR(__xludf.DUMMYFUNCTION("""COMPUTED_VALUE"""),"")</f>
        <v/>
      </c>
    </row>
    <row r="4116">
      <c r="A4116" s="16" t="s">
        <v>87</v>
      </c>
      <c r="E4116" s="16" t="str">
        <f>IFERROR(__xludf.DUMMYFUNCTION("""COMPUTED_VALUE"""),"")</f>
        <v/>
      </c>
      <c r="G4116" s="18"/>
      <c r="H4116" s="16" t="s">
        <v>87</v>
      </c>
      <c r="I4116" s="16" t="s">
        <v>87</v>
      </c>
      <c r="J4116" s="19"/>
      <c r="L4116" s="16" t="str">
        <f>IFERROR(__xludf.DUMMYFUNCTION("""COMPUTED_VALUE"""),"")</f>
        <v/>
      </c>
      <c r="M4116" s="16" t="str">
        <f>IFERROR(__xludf.DUMMYFUNCTION("""COMPUTED_VALUE"""),"")</f>
        <v/>
      </c>
      <c r="U4116" s="16" t="s">
        <v>87</v>
      </c>
      <c r="V4116" s="16" t="str">
        <f>IFERROR(__xludf.DUMMYFUNCTION("""COMPUTED_VALUE"""),"")</f>
        <v/>
      </c>
      <c r="W4116" s="16" t="str">
        <f>IFERROR(__xludf.DUMMYFUNCTION("""COMPUTED_VALUE"""),"")</f>
        <v/>
      </c>
      <c r="X4116" s="16" t="str">
        <f>IFERROR(__xludf.DUMMYFUNCTION("""COMPUTED_VALUE"""),"")</f>
        <v/>
      </c>
      <c r="AC4116" s="16" t="str">
        <f>IFERROR(__xludf.DUMMYFUNCTION("""COMPUTED_VALUE"""),"")</f>
        <v/>
      </c>
    </row>
    <row r="4117">
      <c r="A4117" s="16" t="s">
        <v>87</v>
      </c>
      <c r="E4117" s="16" t="str">
        <f>IFERROR(__xludf.DUMMYFUNCTION("""COMPUTED_VALUE"""),"")</f>
        <v/>
      </c>
      <c r="G4117" s="18"/>
      <c r="H4117" s="16" t="s">
        <v>87</v>
      </c>
      <c r="I4117" s="16" t="s">
        <v>87</v>
      </c>
      <c r="J4117" s="19"/>
      <c r="L4117" s="16" t="str">
        <f>IFERROR(__xludf.DUMMYFUNCTION("""COMPUTED_VALUE"""),"")</f>
        <v/>
      </c>
      <c r="M4117" s="16" t="str">
        <f>IFERROR(__xludf.DUMMYFUNCTION("""COMPUTED_VALUE"""),"")</f>
        <v/>
      </c>
      <c r="U4117" s="16" t="s">
        <v>87</v>
      </c>
      <c r="V4117" s="16" t="str">
        <f>IFERROR(__xludf.DUMMYFUNCTION("""COMPUTED_VALUE"""),"")</f>
        <v/>
      </c>
      <c r="W4117" s="16" t="str">
        <f>IFERROR(__xludf.DUMMYFUNCTION("""COMPUTED_VALUE"""),"")</f>
        <v/>
      </c>
      <c r="X4117" s="16" t="str">
        <f>IFERROR(__xludf.DUMMYFUNCTION("""COMPUTED_VALUE"""),"")</f>
        <v/>
      </c>
      <c r="AC4117" s="16" t="str">
        <f>IFERROR(__xludf.DUMMYFUNCTION("""COMPUTED_VALUE"""),"")</f>
        <v/>
      </c>
    </row>
    <row r="4118">
      <c r="A4118" s="16" t="s">
        <v>87</v>
      </c>
      <c r="E4118" s="16" t="str">
        <f>IFERROR(__xludf.DUMMYFUNCTION("""COMPUTED_VALUE"""),"")</f>
        <v/>
      </c>
      <c r="G4118" s="18"/>
      <c r="H4118" s="16" t="s">
        <v>87</v>
      </c>
      <c r="I4118" s="16" t="s">
        <v>87</v>
      </c>
      <c r="J4118" s="19"/>
      <c r="L4118" s="16" t="str">
        <f>IFERROR(__xludf.DUMMYFUNCTION("""COMPUTED_VALUE"""),"")</f>
        <v/>
      </c>
      <c r="M4118" s="16" t="str">
        <f>IFERROR(__xludf.DUMMYFUNCTION("""COMPUTED_VALUE"""),"")</f>
        <v/>
      </c>
      <c r="U4118" s="16" t="s">
        <v>87</v>
      </c>
      <c r="V4118" s="16" t="str">
        <f>IFERROR(__xludf.DUMMYFUNCTION("""COMPUTED_VALUE"""),"")</f>
        <v/>
      </c>
      <c r="W4118" s="16" t="str">
        <f>IFERROR(__xludf.DUMMYFUNCTION("""COMPUTED_VALUE"""),"")</f>
        <v/>
      </c>
      <c r="X4118" s="16" t="str">
        <f>IFERROR(__xludf.DUMMYFUNCTION("""COMPUTED_VALUE"""),"")</f>
        <v/>
      </c>
      <c r="AC4118" s="16" t="str">
        <f>IFERROR(__xludf.DUMMYFUNCTION("""COMPUTED_VALUE"""),"")</f>
        <v/>
      </c>
    </row>
    <row r="4119">
      <c r="A4119" s="16" t="s">
        <v>87</v>
      </c>
      <c r="E4119" s="16" t="str">
        <f>IFERROR(__xludf.DUMMYFUNCTION("""COMPUTED_VALUE"""),"")</f>
        <v/>
      </c>
      <c r="G4119" s="18"/>
      <c r="H4119" s="16" t="s">
        <v>87</v>
      </c>
      <c r="I4119" s="16" t="s">
        <v>87</v>
      </c>
      <c r="J4119" s="19"/>
      <c r="L4119" s="16" t="str">
        <f>IFERROR(__xludf.DUMMYFUNCTION("""COMPUTED_VALUE"""),"")</f>
        <v/>
      </c>
      <c r="M4119" s="16" t="str">
        <f>IFERROR(__xludf.DUMMYFUNCTION("""COMPUTED_VALUE"""),"")</f>
        <v/>
      </c>
      <c r="U4119" s="16" t="s">
        <v>87</v>
      </c>
      <c r="V4119" s="16" t="str">
        <f>IFERROR(__xludf.DUMMYFUNCTION("""COMPUTED_VALUE"""),"")</f>
        <v/>
      </c>
      <c r="W4119" s="16" t="str">
        <f>IFERROR(__xludf.DUMMYFUNCTION("""COMPUTED_VALUE"""),"")</f>
        <v/>
      </c>
      <c r="X4119" s="16" t="str">
        <f>IFERROR(__xludf.DUMMYFUNCTION("""COMPUTED_VALUE"""),"")</f>
        <v/>
      </c>
      <c r="AC4119" s="16" t="str">
        <f>IFERROR(__xludf.DUMMYFUNCTION("""COMPUTED_VALUE"""),"")</f>
        <v/>
      </c>
    </row>
    <row r="4120">
      <c r="A4120" s="16" t="s">
        <v>87</v>
      </c>
      <c r="E4120" s="16" t="str">
        <f>IFERROR(__xludf.DUMMYFUNCTION("""COMPUTED_VALUE"""),"")</f>
        <v/>
      </c>
      <c r="G4120" s="18"/>
      <c r="H4120" s="16" t="s">
        <v>87</v>
      </c>
      <c r="I4120" s="16" t="s">
        <v>87</v>
      </c>
      <c r="J4120" s="19"/>
      <c r="L4120" s="16" t="str">
        <f>IFERROR(__xludf.DUMMYFUNCTION("""COMPUTED_VALUE"""),"")</f>
        <v/>
      </c>
      <c r="M4120" s="16" t="str">
        <f>IFERROR(__xludf.DUMMYFUNCTION("""COMPUTED_VALUE"""),"")</f>
        <v/>
      </c>
      <c r="U4120" s="16" t="s">
        <v>87</v>
      </c>
      <c r="V4120" s="16" t="str">
        <f>IFERROR(__xludf.DUMMYFUNCTION("""COMPUTED_VALUE"""),"")</f>
        <v/>
      </c>
      <c r="W4120" s="16" t="str">
        <f>IFERROR(__xludf.DUMMYFUNCTION("""COMPUTED_VALUE"""),"")</f>
        <v/>
      </c>
      <c r="X4120" s="16" t="str">
        <f>IFERROR(__xludf.DUMMYFUNCTION("""COMPUTED_VALUE"""),"")</f>
        <v/>
      </c>
      <c r="AC4120" s="16" t="str">
        <f>IFERROR(__xludf.DUMMYFUNCTION("""COMPUTED_VALUE"""),"")</f>
        <v/>
      </c>
    </row>
    <row r="4121">
      <c r="A4121" s="16" t="s">
        <v>87</v>
      </c>
      <c r="E4121" s="16" t="str">
        <f>IFERROR(__xludf.DUMMYFUNCTION("""COMPUTED_VALUE"""),"")</f>
        <v/>
      </c>
      <c r="G4121" s="18"/>
      <c r="H4121" s="16" t="s">
        <v>87</v>
      </c>
      <c r="I4121" s="16" t="s">
        <v>87</v>
      </c>
      <c r="J4121" s="19"/>
      <c r="L4121" s="16" t="str">
        <f>IFERROR(__xludf.DUMMYFUNCTION("""COMPUTED_VALUE"""),"")</f>
        <v/>
      </c>
      <c r="M4121" s="16" t="str">
        <f>IFERROR(__xludf.DUMMYFUNCTION("""COMPUTED_VALUE"""),"")</f>
        <v/>
      </c>
      <c r="U4121" s="16" t="s">
        <v>87</v>
      </c>
      <c r="V4121" s="16" t="str">
        <f>IFERROR(__xludf.DUMMYFUNCTION("""COMPUTED_VALUE"""),"")</f>
        <v/>
      </c>
      <c r="W4121" s="16" t="str">
        <f>IFERROR(__xludf.DUMMYFUNCTION("""COMPUTED_VALUE"""),"")</f>
        <v/>
      </c>
      <c r="X4121" s="16" t="str">
        <f>IFERROR(__xludf.DUMMYFUNCTION("""COMPUTED_VALUE"""),"")</f>
        <v/>
      </c>
      <c r="AC4121" s="16" t="str">
        <f>IFERROR(__xludf.DUMMYFUNCTION("""COMPUTED_VALUE"""),"")</f>
        <v/>
      </c>
    </row>
    <row r="4122">
      <c r="A4122" s="16" t="s">
        <v>87</v>
      </c>
      <c r="E4122" s="16" t="str">
        <f>IFERROR(__xludf.DUMMYFUNCTION("""COMPUTED_VALUE"""),"")</f>
        <v/>
      </c>
      <c r="G4122" s="18"/>
      <c r="H4122" s="16" t="s">
        <v>87</v>
      </c>
      <c r="I4122" s="16" t="s">
        <v>87</v>
      </c>
      <c r="J4122" s="19"/>
      <c r="L4122" s="16" t="str">
        <f>IFERROR(__xludf.DUMMYFUNCTION("""COMPUTED_VALUE"""),"")</f>
        <v/>
      </c>
      <c r="M4122" s="16" t="str">
        <f>IFERROR(__xludf.DUMMYFUNCTION("""COMPUTED_VALUE"""),"")</f>
        <v/>
      </c>
      <c r="U4122" s="16" t="s">
        <v>87</v>
      </c>
      <c r="V4122" s="16" t="str">
        <f>IFERROR(__xludf.DUMMYFUNCTION("""COMPUTED_VALUE"""),"")</f>
        <v/>
      </c>
      <c r="W4122" s="16" t="str">
        <f>IFERROR(__xludf.DUMMYFUNCTION("""COMPUTED_VALUE"""),"")</f>
        <v/>
      </c>
      <c r="X4122" s="16" t="str">
        <f>IFERROR(__xludf.DUMMYFUNCTION("""COMPUTED_VALUE"""),"")</f>
        <v/>
      </c>
      <c r="AC4122" s="16" t="str">
        <f>IFERROR(__xludf.DUMMYFUNCTION("""COMPUTED_VALUE"""),"")</f>
        <v/>
      </c>
    </row>
    <row r="4123">
      <c r="A4123" s="16" t="s">
        <v>87</v>
      </c>
      <c r="E4123" s="16" t="str">
        <f>IFERROR(__xludf.DUMMYFUNCTION("""COMPUTED_VALUE"""),"")</f>
        <v/>
      </c>
      <c r="G4123" s="18"/>
      <c r="H4123" s="16" t="s">
        <v>87</v>
      </c>
      <c r="I4123" s="16" t="s">
        <v>87</v>
      </c>
      <c r="J4123" s="19"/>
      <c r="L4123" s="16" t="str">
        <f>IFERROR(__xludf.DUMMYFUNCTION("""COMPUTED_VALUE"""),"")</f>
        <v/>
      </c>
      <c r="M4123" s="16" t="str">
        <f>IFERROR(__xludf.DUMMYFUNCTION("""COMPUTED_VALUE"""),"")</f>
        <v/>
      </c>
      <c r="U4123" s="16" t="s">
        <v>87</v>
      </c>
      <c r="V4123" s="16" t="str">
        <f>IFERROR(__xludf.DUMMYFUNCTION("""COMPUTED_VALUE"""),"")</f>
        <v/>
      </c>
      <c r="W4123" s="16" t="str">
        <f>IFERROR(__xludf.DUMMYFUNCTION("""COMPUTED_VALUE"""),"")</f>
        <v/>
      </c>
      <c r="X4123" s="16" t="str">
        <f>IFERROR(__xludf.DUMMYFUNCTION("""COMPUTED_VALUE"""),"")</f>
        <v/>
      </c>
      <c r="AC4123" s="16" t="str">
        <f>IFERROR(__xludf.DUMMYFUNCTION("""COMPUTED_VALUE"""),"")</f>
        <v/>
      </c>
    </row>
    <row r="4124">
      <c r="A4124" s="16" t="s">
        <v>87</v>
      </c>
      <c r="E4124" s="16" t="str">
        <f>IFERROR(__xludf.DUMMYFUNCTION("""COMPUTED_VALUE"""),"")</f>
        <v/>
      </c>
      <c r="G4124" s="18"/>
      <c r="H4124" s="16" t="s">
        <v>87</v>
      </c>
      <c r="I4124" s="16" t="s">
        <v>87</v>
      </c>
      <c r="J4124" s="19"/>
      <c r="L4124" s="16" t="str">
        <f>IFERROR(__xludf.DUMMYFUNCTION("""COMPUTED_VALUE"""),"")</f>
        <v/>
      </c>
      <c r="M4124" s="16" t="str">
        <f>IFERROR(__xludf.DUMMYFUNCTION("""COMPUTED_VALUE"""),"")</f>
        <v/>
      </c>
      <c r="U4124" s="16" t="s">
        <v>87</v>
      </c>
      <c r="V4124" s="16" t="str">
        <f>IFERROR(__xludf.DUMMYFUNCTION("""COMPUTED_VALUE"""),"")</f>
        <v/>
      </c>
      <c r="W4124" s="16" t="str">
        <f>IFERROR(__xludf.DUMMYFUNCTION("""COMPUTED_VALUE"""),"")</f>
        <v/>
      </c>
      <c r="X4124" s="16" t="str">
        <f>IFERROR(__xludf.DUMMYFUNCTION("""COMPUTED_VALUE"""),"")</f>
        <v/>
      </c>
      <c r="AC4124" s="16" t="str">
        <f>IFERROR(__xludf.DUMMYFUNCTION("""COMPUTED_VALUE"""),"")</f>
        <v/>
      </c>
    </row>
    <row r="4125">
      <c r="A4125" s="16" t="s">
        <v>87</v>
      </c>
      <c r="E4125" s="16" t="str">
        <f>IFERROR(__xludf.DUMMYFUNCTION("""COMPUTED_VALUE"""),"")</f>
        <v/>
      </c>
      <c r="G4125" s="18"/>
      <c r="H4125" s="16" t="s">
        <v>87</v>
      </c>
      <c r="I4125" s="16" t="s">
        <v>87</v>
      </c>
      <c r="J4125" s="19"/>
      <c r="L4125" s="16" t="str">
        <f>IFERROR(__xludf.DUMMYFUNCTION("""COMPUTED_VALUE"""),"")</f>
        <v/>
      </c>
      <c r="M4125" s="16" t="str">
        <f>IFERROR(__xludf.DUMMYFUNCTION("""COMPUTED_VALUE"""),"")</f>
        <v/>
      </c>
      <c r="U4125" s="16" t="s">
        <v>87</v>
      </c>
      <c r="V4125" s="16" t="str">
        <f>IFERROR(__xludf.DUMMYFUNCTION("""COMPUTED_VALUE"""),"")</f>
        <v/>
      </c>
      <c r="W4125" s="16" t="str">
        <f>IFERROR(__xludf.DUMMYFUNCTION("""COMPUTED_VALUE"""),"")</f>
        <v/>
      </c>
      <c r="X4125" s="16" t="str">
        <f>IFERROR(__xludf.DUMMYFUNCTION("""COMPUTED_VALUE"""),"")</f>
        <v/>
      </c>
      <c r="AC4125" s="16" t="str">
        <f>IFERROR(__xludf.DUMMYFUNCTION("""COMPUTED_VALUE"""),"")</f>
        <v/>
      </c>
    </row>
    <row r="4126">
      <c r="A4126" s="16" t="s">
        <v>87</v>
      </c>
      <c r="E4126" s="16" t="str">
        <f>IFERROR(__xludf.DUMMYFUNCTION("""COMPUTED_VALUE"""),"")</f>
        <v/>
      </c>
      <c r="G4126" s="18"/>
      <c r="H4126" s="16" t="s">
        <v>87</v>
      </c>
      <c r="I4126" s="16" t="s">
        <v>87</v>
      </c>
      <c r="J4126" s="19"/>
      <c r="L4126" s="16" t="str">
        <f>IFERROR(__xludf.DUMMYFUNCTION("""COMPUTED_VALUE"""),"")</f>
        <v/>
      </c>
      <c r="M4126" s="16" t="str">
        <f>IFERROR(__xludf.DUMMYFUNCTION("""COMPUTED_VALUE"""),"")</f>
        <v/>
      </c>
      <c r="U4126" s="16" t="s">
        <v>87</v>
      </c>
      <c r="V4126" s="16" t="str">
        <f>IFERROR(__xludf.DUMMYFUNCTION("""COMPUTED_VALUE"""),"")</f>
        <v/>
      </c>
      <c r="W4126" s="16" t="str">
        <f>IFERROR(__xludf.DUMMYFUNCTION("""COMPUTED_VALUE"""),"")</f>
        <v/>
      </c>
      <c r="X4126" s="16" t="str">
        <f>IFERROR(__xludf.DUMMYFUNCTION("""COMPUTED_VALUE"""),"")</f>
        <v/>
      </c>
      <c r="AC4126" s="16" t="str">
        <f>IFERROR(__xludf.DUMMYFUNCTION("""COMPUTED_VALUE"""),"")</f>
        <v/>
      </c>
    </row>
    <row r="4127">
      <c r="A4127" s="16" t="s">
        <v>87</v>
      </c>
      <c r="E4127" s="16" t="str">
        <f>IFERROR(__xludf.DUMMYFUNCTION("""COMPUTED_VALUE"""),"")</f>
        <v/>
      </c>
      <c r="G4127" s="18"/>
      <c r="H4127" s="16" t="s">
        <v>87</v>
      </c>
      <c r="I4127" s="16" t="s">
        <v>87</v>
      </c>
      <c r="J4127" s="19"/>
      <c r="L4127" s="16" t="str">
        <f>IFERROR(__xludf.DUMMYFUNCTION("""COMPUTED_VALUE"""),"")</f>
        <v/>
      </c>
      <c r="M4127" s="16" t="str">
        <f>IFERROR(__xludf.DUMMYFUNCTION("""COMPUTED_VALUE"""),"")</f>
        <v/>
      </c>
      <c r="U4127" s="16" t="s">
        <v>87</v>
      </c>
      <c r="V4127" s="16" t="str">
        <f>IFERROR(__xludf.DUMMYFUNCTION("""COMPUTED_VALUE"""),"")</f>
        <v/>
      </c>
      <c r="W4127" s="16" t="str">
        <f>IFERROR(__xludf.DUMMYFUNCTION("""COMPUTED_VALUE"""),"")</f>
        <v/>
      </c>
      <c r="X4127" s="16" t="str">
        <f>IFERROR(__xludf.DUMMYFUNCTION("""COMPUTED_VALUE"""),"")</f>
        <v/>
      </c>
      <c r="AC4127" s="16" t="str">
        <f>IFERROR(__xludf.DUMMYFUNCTION("""COMPUTED_VALUE"""),"")</f>
        <v/>
      </c>
    </row>
    <row r="4128">
      <c r="A4128" s="16" t="s">
        <v>87</v>
      </c>
      <c r="E4128" s="16" t="str">
        <f>IFERROR(__xludf.DUMMYFUNCTION("""COMPUTED_VALUE"""),"")</f>
        <v/>
      </c>
      <c r="G4128" s="18"/>
      <c r="H4128" s="16" t="s">
        <v>87</v>
      </c>
      <c r="I4128" s="16" t="s">
        <v>87</v>
      </c>
      <c r="J4128" s="19"/>
      <c r="L4128" s="16" t="str">
        <f>IFERROR(__xludf.DUMMYFUNCTION("""COMPUTED_VALUE"""),"")</f>
        <v/>
      </c>
      <c r="M4128" s="16" t="str">
        <f>IFERROR(__xludf.DUMMYFUNCTION("""COMPUTED_VALUE"""),"")</f>
        <v/>
      </c>
      <c r="U4128" s="16" t="s">
        <v>87</v>
      </c>
      <c r="V4128" s="16" t="str">
        <f>IFERROR(__xludf.DUMMYFUNCTION("""COMPUTED_VALUE"""),"")</f>
        <v/>
      </c>
      <c r="W4128" s="16" t="str">
        <f>IFERROR(__xludf.DUMMYFUNCTION("""COMPUTED_VALUE"""),"")</f>
        <v/>
      </c>
      <c r="X4128" s="16" t="str">
        <f>IFERROR(__xludf.DUMMYFUNCTION("""COMPUTED_VALUE"""),"")</f>
        <v/>
      </c>
      <c r="AC4128" s="16" t="str">
        <f>IFERROR(__xludf.DUMMYFUNCTION("""COMPUTED_VALUE"""),"")</f>
        <v/>
      </c>
    </row>
    <row r="4129">
      <c r="A4129" s="16" t="s">
        <v>87</v>
      </c>
      <c r="E4129" s="16" t="str">
        <f>IFERROR(__xludf.DUMMYFUNCTION("""COMPUTED_VALUE"""),"")</f>
        <v/>
      </c>
      <c r="G4129" s="18"/>
      <c r="H4129" s="16" t="s">
        <v>87</v>
      </c>
      <c r="I4129" s="16" t="s">
        <v>87</v>
      </c>
      <c r="J4129" s="19"/>
      <c r="L4129" s="16" t="str">
        <f>IFERROR(__xludf.DUMMYFUNCTION("""COMPUTED_VALUE"""),"")</f>
        <v/>
      </c>
      <c r="M4129" s="16" t="str">
        <f>IFERROR(__xludf.DUMMYFUNCTION("""COMPUTED_VALUE"""),"")</f>
        <v/>
      </c>
      <c r="U4129" s="16" t="s">
        <v>87</v>
      </c>
      <c r="V4129" s="16" t="str">
        <f>IFERROR(__xludf.DUMMYFUNCTION("""COMPUTED_VALUE"""),"")</f>
        <v/>
      </c>
      <c r="W4129" s="16" t="str">
        <f>IFERROR(__xludf.DUMMYFUNCTION("""COMPUTED_VALUE"""),"")</f>
        <v/>
      </c>
      <c r="X4129" s="16" t="str">
        <f>IFERROR(__xludf.DUMMYFUNCTION("""COMPUTED_VALUE"""),"")</f>
        <v/>
      </c>
      <c r="AC4129" s="16" t="str">
        <f>IFERROR(__xludf.DUMMYFUNCTION("""COMPUTED_VALUE"""),"")</f>
        <v/>
      </c>
    </row>
    <row r="4130">
      <c r="A4130" s="16" t="s">
        <v>87</v>
      </c>
      <c r="E4130" s="16" t="str">
        <f>IFERROR(__xludf.DUMMYFUNCTION("""COMPUTED_VALUE"""),"")</f>
        <v/>
      </c>
      <c r="G4130" s="18"/>
      <c r="H4130" s="16" t="s">
        <v>87</v>
      </c>
      <c r="I4130" s="16" t="s">
        <v>87</v>
      </c>
      <c r="J4130" s="19"/>
      <c r="L4130" s="16" t="str">
        <f>IFERROR(__xludf.DUMMYFUNCTION("""COMPUTED_VALUE"""),"")</f>
        <v/>
      </c>
      <c r="M4130" s="16" t="str">
        <f>IFERROR(__xludf.DUMMYFUNCTION("""COMPUTED_VALUE"""),"")</f>
        <v/>
      </c>
      <c r="U4130" s="16" t="s">
        <v>87</v>
      </c>
      <c r="V4130" s="16" t="str">
        <f>IFERROR(__xludf.DUMMYFUNCTION("""COMPUTED_VALUE"""),"")</f>
        <v/>
      </c>
      <c r="W4130" s="16" t="str">
        <f>IFERROR(__xludf.DUMMYFUNCTION("""COMPUTED_VALUE"""),"")</f>
        <v/>
      </c>
      <c r="X4130" s="16" t="str">
        <f>IFERROR(__xludf.DUMMYFUNCTION("""COMPUTED_VALUE"""),"")</f>
        <v/>
      </c>
      <c r="AC4130" s="16" t="str">
        <f>IFERROR(__xludf.DUMMYFUNCTION("""COMPUTED_VALUE"""),"")</f>
        <v/>
      </c>
    </row>
    <row r="4131">
      <c r="A4131" s="16" t="s">
        <v>87</v>
      </c>
      <c r="E4131" s="16" t="str">
        <f>IFERROR(__xludf.DUMMYFUNCTION("""COMPUTED_VALUE"""),"")</f>
        <v/>
      </c>
      <c r="G4131" s="18"/>
      <c r="H4131" s="16" t="s">
        <v>87</v>
      </c>
      <c r="I4131" s="16" t="s">
        <v>87</v>
      </c>
      <c r="J4131" s="19"/>
      <c r="L4131" s="16" t="str">
        <f>IFERROR(__xludf.DUMMYFUNCTION("""COMPUTED_VALUE"""),"")</f>
        <v/>
      </c>
      <c r="M4131" s="16" t="str">
        <f>IFERROR(__xludf.DUMMYFUNCTION("""COMPUTED_VALUE"""),"")</f>
        <v/>
      </c>
      <c r="U4131" s="16" t="s">
        <v>87</v>
      </c>
      <c r="V4131" s="16" t="str">
        <f>IFERROR(__xludf.DUMMYFUNCTION("""COMPUTED_VALUE"""),"")</f>
        <v/>
      </c>
      <c r="W4131" s="16" t="str">
        <f>IFERROR(__xludf.DUMMYFUNCTION("""COMPUTED_VALUE"""),"")</f>
        <v/>
      </c>
      <c r="X4131" s="16" t="str">
        <f>IFERROR(__xludf.DUMMYFUNCTION("""COMPUTED_VALUE"""),"")</f>
        <v/>
      </c>
      <c r="AC4131" s="16" t="str">
        <f>IFERROR(__xludf.DUMMYFUNCTION("""COMPUTED_VALUE"""),"")</f>
        <v/>
      </c>
    </row>
    <row r="4132">
      <c r="A4132" s="16" t="s">
        <v>87</v>
      </c>
      <c r="E4132" s="16" t="str">
        <f>IFERROR(__xludf.DUMMYFUNCTION("""COMPUTED_VALUE"""),"")</f>
        <v/>
      </c>
      <c r="G4132" s="18"/>
      <c r="H4132" s="16" t="s">
        <v>87</v>
      </c>
      <c r="I4132" s="16" t="s">
        <v>87</v>
      </c>
      <c r="J4132" s="19"/>
      <c r="L4132" s="16" t="str">
        <f>IFERROR(__xludf.DUMMYFUNCTION("""COMPUTED_VALUE"""),"")</f>
        <v/>
      </c>
      <c r="M4132" s="16" t="str">
        <f>IFERROR(__xludf.DUMMYFUNCTION("""COMPUTED_VALUE"""),"")</f>
        <v/>
      </c>
      <c r="U4132" s="16" t="s">
        <v>87</v>
      </c>
      <c r="V4132" s="16" t="str">
        <f>IFERROR(__xludf.DUMMYFUNCTION("""COMPUTED_VALUE"""),"")</f>
        <v/>
      </c>
      <c r="W4132" s="16" t="str">
        <f>IFERROR(__xludf.DUMMYFUNCTION("""COMPUTED_VALUE"""),"")</f>
        <v/>
      </c>
      <c r="X4132" s="16" t="str">
        <f>IFERROR(__xludf.DUMMYFUNCTION("""COMPUTED_VALUE"""),"")</f>
        <v/>
      </c>
      <c r="AC4132" s="16" t="str">
        <f>IFERROR(__xludf.DUMMYFUNCTION("""COMPUTED_VALUE"""),"")</f>
        <v/>
      </c>
    </row>
    <row r="4133">
      <c r="A4133" s="16" t="s">
        <v>87</v>
      </c>
      <c r="E4133" s="16" t="str">
        <f>IFERROR(__xludf.DUMMYFUNCTION("""COMPUTED_VALUE"""),"")</f>
        <v/>
      </c>
      <c r="G4133" s="18"/>
      <c r="H4133" s="16" t="s">
        <v>87</v>
      </c>
      <c r="I4133" s="16" t="s">
        <v>87</v>
      </c>
      <c r="J4133" s="19"/>
      <c r="L4133" s="16" t="str">
        <f>IFERROR(__xludf.DUMMYFUNCTION("""COMPUTED_VALUE"""),"")</f>
        <v/>
      </c>
      <c r="M4133" s="16" t="str">
        <f>IFERROR(__xludf.DUMMYFUNCTION("""COMPUTED_VALUE"""),"")</f>
        <v/>
      </c>
      <c r="U4133" s="16" t="s">
        <v>87</v>
      </c>
      <c r="V4133" s="16" t="str">
        <f>IFERROR(__xludf.DUMMYFUNCTION("""COMPUTED_VALUE"""),"")</f>
        <v/>
      </c>
      <c r="W4133" s="16" t="str">
        <f>IFERROR(__xludf.DUMMYFUNCTION("""COMPUTED_VALUE"""),"")</f>
        <v/>
      </c>
      <c r="X4133" s="16" t="str">
        <f>IFERROR(__xludf.DUMMYFUNCTION("""COMPUTED_VALUE"""),"")</f>
        <v/>
      </c>
      <c r="AC4133" s="16" t="str">
        <f>IFERROR(__xludf.DUMMYFUNCTION("""COMPUTED_VALUE"""),"")</f>
        <v/>
      </c>
    </row>
    <row r="4134">
      <c r="A4134" s="16" t="s">
        <v>87</v>
      </c>
      <c r="E4134" s="16" t="str">
        <f>IFERROR(__xludf.DUMMYFUNCTION("""COMPUTED_VALUE"""),"")</f>
        <v/>
      </c>
      <c r="G4134" s="18"/>
      <c r="H4134" s="16" t="s">
        <v>87</v>
      </c>
      <c r="I4134" s="16" t="s">
        <v>87</v>
      </c>
      <c r="J4134" s="19"/>
      <c r="L4134" s="16" t="str">
        <f>IFERROR(__xludf.DUMMYFUNCTION("""COMPUTED_VALUE"""),"")</f>
        <v/>
      </c>
      <c r="M4134" s="16" t="str">
        <f>IFERROR(__xludf.DUMMYFUNCTION("""COMPUTED_VALUE"""),"")</f>
        <v/>
      </c>
      <c r="U4134" s="16" t="s">
        <v>87</v>
      </c>
      <c r="V4134" s="16" t="str">
        <f>IFERROR(__xludf.DUMMYFUNCTION("""COMPUTED_VALUE"""),"")</f>
        <v/>
      </c>
      <c r="W4134" s="16" t="str">
        <f>IFERROR(__xludf.DUMMYFUNCTION("""COMPUTED_VALUE"""),"")</f>
        <v/>
      </c>
      <c r="X4134" s="16" t="str">
        <f>IFERROR(__xludf.DUMMYFUNCTION("""COMPUTED_VALUE"""),"")</f>
        <v/>
      </c>
      <c r="AC4134" s="16" t="str">
        <f>IFERROR(__xludf.DUMMYFUNCTION("""COMPUTED_VALUE"""),"")</f>
        <v/>
      </c>
    </row>
    <row r="4135">
      <c r="A4135" s="16" t="s">
        <v>87</v>
      </c>
      <c r="E4135" s="16" t="str">
        <f>IFERROR(__xludf.DUMMYFUNCTION("""COMPUTED_VALUE"""),"")</f>
        <v/>
      </c>
      <c r="G4135" s="18"/>
      <c r="H4135" s="16" t="s">
        <v>87</v>
      </c>
      <c r="I4135" s="16" t="s">
        <v>87</v>
      </c>
      <c r="J4135" s="19"/>
      <c r="L4135" s="16" t="str">
        <f>IFERROR(__xludf.DUMMYFUNCTION("""COMPUTED_VALUE"""),"")</f>
        <v/>
      </c>
      <c r="M4135" s="16" t="str">
        <f>IFERROR(__xludf.DUMMYFUNCTION("""COMPUTED_VALUE"""),"")</f>
        <v/>
      </c>
      <c r="U4135" s="16" t="s">
        <v>87</v>
      </c>
      <c r="V4135" s="16" t="str">
        <f>IFERROR(__xludf.DUMMYFUNCTION("""COMPUTED_VALUE"""),"")</f>
        <v/>
      </c>
      <c r="W4135" s="16" t="str">
        <f>IFERROR(__xludf.DUMMYFUNCTION("""COMPUTED_VALUE"""),"")</f>
        <v/>
      </c>
      <c r="X4135" s="16" t="str">
        <f>IFERROR(__xludf.DUMMYFUNCTION("""COMPUTED_VALUE"""),"")</f>
        <v/>
      </c>
      <c r="AC4135" s="16" t="str">
        <f>IFERROR(__xludf.DUMMYFUNCTION("""COMPUTED_VALUE"""),"")</f>
        <v/>
      </c>
    </row>
    <row r="4136">
      <c r="A4136" s="16" t="s">
        <v>87</v>
      </c>
      <c r="E4136" s="16" t="str">
        <f>IFERROR(__xludf.DUMMYFUNCTION("""COMPUTED_VALUE"""),"")</f>
        <v/>
      </c>
      <c r="G4136" s="18"/>
      <c r="H4136" s="16" t="s">
        <v>87</v>
      </c>
      <c r="I4136" s="16" t="s">
        <v>87</v>
      </c>
      <c r="J4136" s="19"/>
      <c r="L4136" s="16" t="str">
        <f>IFERROR(__xludf.DUMMYFUNCTION("""COMPUTED_VALUE"""),"")</f>
        <v/>
      </c>
      <c r="M4136" s="16" t="str">
        <f>IFERROR(__xludf.DUMMYFUNCTION("""COMPUTED_VALUE"""),"")</f>
        <v/>
      </c>
      <c r="U4136" s="16" t="s">
        <v>87</v>
      </c>
      <c r="V4136" s="16" t="str">
        <f>IFERROR(__xludf.DUMMYFUNCTION("""COMPUTED_VALUE"""),"")</f>
        <v/>
      </c>
      <c r="W4136" s="16" t="str">
        <f>IFERROR(__xludf.DUMMYFUNCTION("""COMPUTED_VALUE"""),"")</f>
        <v/>
      </c>
      <c r="X4136" s="16" t="str">
        <f>IFERROR(__xludf.DUMMYFUNCTION("""COMPUTED_VALUE"""),"")</f>
        <v/>
      </c>
      <c r="AC4136" s="16" t="str">
        <f>IFERROR(__xludf.DUMMYFUNCTION("""COMPUTED_VALUE"""),"")</f>
        <v/>
      </c>
    </row>
    <row r="4137">
      <c r="A4137" s="16" t="s">
        <v>87</v>
      </c>
      <c r="E4137" s="16" t="str">
        <f>IFERROR(__xludf.DUMMYFUNCTION("""COMPUTED_VALUE"""),"")</f>
        <v/>
      </c>
      <c r="G4137" s="18"/>
      <c r="H4137" s="16" t="s">
        <v>87</v>
      </c>
      <c r="I4137" s="16" t="s">
        <v>87</v>
      </c>
      <c r="J4137" s="19"/>
      <c r="L4137" s="16" t="str">
        <f>IFERROR(__xludf.DUMMYFUNCTION("""COMPUTED_VALUE"""),"")</f>
        <v/>
      </c>
      <c r="M4137" s="16" t="str">
        <f>IFERROR(__xludf.DUMMYFUNCTION("""COMPUTED_VALUE"""),"")</f>
        <v/>
      </c>
      <c r="U4137" s="16" t="s">
        <v>87</v>
      </c>
      <c r="V4137" s="16" t="str">
        <f>IFERROR(__xludf.DUMMYFUNCTION("""COMPUTED_VALUE"""),"")</f>
        <v/>
      </c>
      <c r="W4137" s="16" t="str">
        <f>IFERROR(__xludf.DUMMYFUNCTION("""COMPUTED_VALUE"""),"")</f>
        <v/>
      </c>
      <c r="X4137" s="16" t="str">
        <f>IFERROR(__xludf.DUMMYFUNCTION("""COMPUTED_VALUE"""),"")</f>
        <v/>
      </c>
      <c r="AC4137" s="16" t="str">
        <f>IFERROR(__xludf.DUMMYFUNCTION("""COMPUTED_VALUE"""),"")</f>
        <v/>
      </c>
    </row>
    <row r="4138">
      <c r="A4138" s="16" t="s">
        <v>87</v>
      </c>
      <c r="E4138" s="16" t="str">
        <f>IFERROR(__xludf.DUMMYFUNCTION("""COMPUTED_VALUE"""),"")</f>
        <v/>
      </c>
      <c r="G4138" s="18"/>
      <c r="H4138" s="16" t="s">
        <v>87</v>
      </c>
      <c r="I4138" s="16" t="s">
        <v>87</v>
      </c>
      <c r="J4138" s="19"/>
      <c r="L4138" s="16" t="str">
        <f>IFERROR(__xludf.DUMMYFUNCTION("""COMPUTED_VALUE"""),"")</f>
        <v/>
      </c>
      <c r="M4138" s="16" t="str">
        <f>IFERROR(__xludf.DUMMYFUNCTION("""COMPUTED_VALUE"""),"")</f>
        <v/>
      </c>
      <c r="U4138" s="16" t="s">
        <v>87</v>
      </c>
      <c r="V4138" s="16" t="str">
        <f>IFERROR(__xludf.DUMMYFUNCTION("""COMPUTED_VALUE"""),"")</f>
        <v/>
      </c>
      <c r="W4138" s="16" t="str">
        <f>IFERROR(__xludf.DUMMYFUNCTION("""COMPUTED_VALUE"""),"")</f>
        <v/>
      </c>
      <c r="X4138" s="16" t="str">
        <f>IFERROR(__xludf.DUMMYFUNCTION("""COMPUTED_VALUE"""),"")</f>
        <v/>
      </c>
      <c r="AC4138" s="16" t="str">
        <f>IFERROR(__xludf.DUMMYFUNCTION("""COMPUTED_VALUE"""),"")</f>
        <v/>
      </c>
    </row>
    <row r="4139">
      <c r="A4139" s="16" t="s">
        <v>87</v>
      </c>
      <c r="E4139" s="16" t="str">
        <f>IFERROR(__xludf.DUMMYFUNCTION("""COMPUTED_VALUE"""),"")</f>
        <v/>
      </c>
      <c r="G4139" s="18"/>
      <c r="H4139" s="16" t="s">
        <v>87</v>
      </c>
      <c r="I4139" s="16" t="s">
        <v>87</v>
      </c>
      <c r="J4139" s="19"/>
      <c r="L4139" s="16" t="str">
        <f>IFERROR(__xludf.DUMMYFUNCTION("""COMPUTED_VALUE"""),"")</f>
        <v/>
      </c>
      <c r="M4139" s="16" t="str">
        <f>IFERROR(__xludf.DUMMYFUNCTION("""COMPUTED_VALUE"""),"")</f>
        <v/>
      </c>
      <c r="U4139" s="16" t="s">
        <v>87</v>
      </c>
      <c r="V4139" s="16" t="str">
        <f>IFERROR(__xludf.DUMMYFUNCTION("""COMPUTED_VALUE"""),"")</f>
        <v/>
      </c>
      <c r="W4139" s="16" t="str">
        <f>IFERROR(__xludf.DUMMYFUNCTION("""COMPUTED_VALUE"""),"")</f>
        <v/>
      </c>
      <c r="X4139" s="16" t="str">
        <f>IFERROR(__xludf.DUMMYFUNCTION("""COMPUTED_VALUE"""),"")</f>
        <v/>
      </c>
      <c r="AC4139" s="16" t="str">
        <f>IFERROR(__xludf.DUMMYFUNCTION("""COMPUTED_VALUE"""),"")</f>
        <v/>
      </c>
    </row>
    <row r="4140">
      <c r="A4140" s="16" t="s">
        <v>87</v>
      </c>
      <c r="E4140" s="16" t="str">
        <f>IFERROR(__xludf.DUMMYFUNCTION("""COMPUTED_VALUE"""),"")</f>
        <v/>
      </c>
      <c r="G4140" s="18"/>
      <c r="H4140" s="16" t="s">
        <v>87</v>
      </c>
      <c r="I4140" s="16" t="s">
        <v>87</v>
      </c>
      <c r="J4140" s="19"/>
      <c r="L4140" s="16" t="str">
        <f>IFERROR(__xludf.DUMMYFUNCTION("""COMPUTED_VALUE"""),"")</f>
        <v/>
      </c>
      <c r="M4140" s="16" t="str">
        <f>IFERROR(__xludf.DUMMYFUNCTION("""COMPUTED_VALUE"""),"")</f>
        <v/>
      </c>
      <c r="U4140" s="16" t="s">
        <v>87</v>
      </c>
      <c r="V4140" s="16" t="str">
        <f>IFERROR(__xludf.DUMMYFUNCTION("""COMPUTED_VALUE"""),"")</f>
        <v/>
      </c>
      <c r="W4140" s="16" t="str">
        <f>IFERROR(__xludf.DUMMYFUNCTION("""COMPUTED_VALUE"""),"")</f>
        <v/>
      </c>
      <c r="X4140" s="16" t="str">
        <f>IFERROR(__xludf.DUMMYFUNCTION("""COMPUTED_VALUE"""),"")</f>
        <v/>
      </c>
      <c r="AC4140" s="16" t="str">
        <f>IFERROR(__xludf.DUMMYFUNCTION("""COMPUTED_VALUE"""),"")</f>
        <v/>
      </c>
    </row>
    <row r="4141">
      <c r="A4141" s="16" t="s">
        <v>87</v>
      </c>
      <c r="E4141" s="16" t="str">
        <f>IFERROR(__xludf.DUMMYFUNCTION("""COMPUTED_VALUE"""),"")</f>
        <v/>
      </c>
      <c r="G4141" s="18"/>
      <c r="H4141" s="16" t="s">
        <v>87</v>
      </c>
      <c r="I4141" s="16" t="s">
        <v>87</v>
      </c>
      <c r="J4141" s="19"/>
      <c r="L4141" s="16" t="str">
        <f>IFERROR(__xludf.DUMMYFUNCTION("""COMPUTED_VALUE"""),"")</f>
        <v/>
      </c>
      <c r="M4141" s="16" t="str">
        <f>IFERROR(__xludf.DUMMYFUNCTION("""COMPUTED_VALUE"""),"")</f>
        <v/>
      </c>
      <c r="U4141" s="16" t="s">
        <v>87</v>
      </c>
      <c r="V4141" s="16" t="str">
        <f>IFERROR(__xludf.DUMMYFUNCTION("""COMPUTED_VALUE"""),"")</f>
        <v/>
      </c>
      <c r="W4141" s="16" t="str">
        <f>IFERROR(__xludf.DUMMYFUNCTION("""COMPUTED_VALUE"""),"")</f>
        <v/>
      </c>
      <c r="X4141" s="16" t="str">
        <f>IFERROR(__xludf.DUMMYFUNCTION("""COMPUTED_VALUE"""),"")</f>
        <v/>
      </c>
      <c r="AC4141" s="16" t="str">
        <f>IFERROR(__xludf.DUMMYFUNCTION("""COMPUTED_VALUE"""),"")</f>
        <v/>
      </c>
    </row>
    <row r="4142">
      <c r="A4142" s="16" t="s">
        <v>87</v>
      </c>
      <c r="E4142" s="16" t="str">
        <f>IFERROR(__xludf.DUMMYFUNCTION("""COMPUTED_VALUE"""),"")</f>
        <v/>
      </c>
      <c r="G4142" s="18"/>
      <c r="H4142" s="16" t="s">
        <v>87</v>
      </c>
      <c r="I4142" s="16" t="s">
        <v>87</v>
      </c>
      <c r="J4142" s="19"/>
      <c r="L4142" s="16" t="str">
        <f>IFERROR(__xludf.DUMMYFUNCTION("""COMPUTED_VALUE"""),"")</f>
        <v/>
      </c>
      <c r="M4142" s="16" t="str">
        <f>IFERROR(__xludf.DUMMYFUNCTION("""COMPUTED_VALUE"""),"")</f>
        <v/>
      </c>
      <c r="U4142" s="16" t="s">
        <v>87</v>
      </c>
      <c r="V4142" s="16" t="str">
        <f>IFERROR(__xludf.DUMMYFUNCTION("""COMPUTED_VALUE"""),"")</f>
        <v/>
      </c>
      <c r="W4142" s="16" t="str">
        <f>IFERROR(__xludf.DUMMYFUNCTION("""COMPUTED_VALUE"""),"")</f>
        <v/>
      </c>
      <c r="X4142" s="16" t="str">
        <f>IFERROR(__xludf.DUMMYFUNCTION("""COMPUTED_VALUE"""),"")</f>
        <v/>
      </c>
      <c r="AC4142" s="16" t="str">
        <f>IFERROR(__xludf.DUMMYFUNCTION("""COMPUTED_VALUE"""),"")</f>
        <v/>
      </c>
    </row>
    <row r="4143">
      <c r="A4143" s="16" t="s">
        <v>87</v>
      </c>
      <c r="E4143" s="16" t="str">
        <f>IFERROR(__xludf.DUMMYFUNCTION("""COMPUTED_VALUE"""),"")</f>
        <v/>
      </c>
      <c r="G4143" s="18"/>
      <c r="H4143" s="16" t="s">
        <v>87</v>
      </c>
      <c r="I4143" s="16" t="s">
        <v>87</v>
      </c>
      <c r="J4143" s="19"/>
      <c r="L4143" s="16" t="str">
        <f>IFERROR(__xludf.DUMMYFUNCTION("""COMPUTED_VALUE"""),"")</f>
        <v/>
      </c>
      <c r="M4143" s="16" t="str">
        <f>IFERROR(__xludf.DUMMYFUNCTION("""COMPUTED_VALUE"""),"")</f>
        <v/>
      </c>
      <c r="U4143" s="16" t="s">
        <v>87</v>
      </c>
      <c r="V4143" s="16" t="str">
        <f>IFERROR(__xludf.DUMMYFUNCTION("""COMPUTED_VALUE"""),"")</f>
        <v/>
      </c>
      <c r="W4143" s="16" t="str">
        <f>IFERROR(__xludf.DUMMYFUNCTION("""COMPUTED_VALUE"""),"")</f>
        <v/>
      </c>
      <c r="X4143" s="16" t="str">
        <f>IFERROR(__xludf.DUMMYFUNCTION("""COMPUTED_VALUE"""),"")</f>
        <v/>
      </c>
      <c r="AC4143" s="16" t="str">
        <f>IFERROR(__xludf.DUMMYFUNCTION("""COMPUTED_VALUE"""),"")</f>
        <v/>
      </c>
    </row>
    <row r="4144">
      <c r="A4144" s="16" t="s">
        <v>87</v>
      </c>
      <c r="E4144" s="16" t="str">
        <f>IFERROR(__xludf.DUMMYFUNCTION("""COMPUTED_VALUE"""),"")</f>
        <v/>
      </c>
      <c r="G4144" s="18"/>
      <c r="H4144" s="16" t="s">
        <v>87</v>
      </c>
      <c r="I4144" s="16" t="s">
        <v>87</v>
      </c>
      <c r="J4144" s="19"/>
      <c r="L4144" s="16" t="str">
        <f>IFERROR(__xludf.DUMMYFUNCTION("""COMPUTED_VALUE"""),"")</f>
        <v/>
      </c>
      <c r="M4144" s="16" t="str">
        <f>IFERROR(__xludf.DUMMYFUNCTION("""COMPUTED_VALUE"""),"")</f>
        <v/>
      </c>
      <c r="U4144" s="16" t="s">
        <v>87</v>
      </c>
      <c r="V4144" s="16" t="str">
        <f>IFERROR(__xludf.DUMMYFUNCTION("""COMPUTED_VALUE"""),"")</f>
        <v/>
      </c>
      <c r="W4144" s="16" t="str">
        <f>IFERROR(__xludf.DUMMYFUNCTION("""COMPUTED_VALUE"""),"")</f>
        <v/>
      </c>
      <c r="X4144" s="16" t="str">
        <f>IFERROR(__xludf.DUMMYFUNCTION("""COMPUTED_VALUE"""),"")</f>
        <v/>
      </c>
      <c r="AC4144" s="16" t="str">
        <f>IFERROR(__xludf.DUMMYFUNCTION("""COMPUTED_VALUE"""),"")</f>
        <v/>
      </c>
    </row>
    <row r="4145">
      <c r="A4145" s="16" t="s">
        <v>87</v>
      </c>
      <c r="E4145" s="16" t="str">
        <f>IFERROR(__xludf.DUMMYFUNCTION("""COMPUTED_VALUE"""),"")</f>
        <v/>
      </c>
      <c r="G4145" s="18"/>
      <c r="H4145" s="16" t="s">
        <v>87</v>
      </c>
      <c r="I4145" s="16" t="s">
        <v>87</v>
      </c>
      <c r="J4145" s="19"/>
      <c r="L4145" s="16" t="str">
        <f>IFERROR(__xludf.DUMMYFUNCTION("""COMPUTED_VALUE"""),"")</f>
        <v/>
      </c>
      <c r="M4145" s="16" t="str">
        <f>IFERROR(__xludf.DUMMYFUNCTION("""COMPUTED_VALUE"""),"")</f>
        <v/>
      </c>
      <c r="U4145" s="16" t="s">
        <v>87</v>
      </c>
      <c r="V4145" s="16" t="str">
        <f>IFERROR(__xludf.DUMMYFUNCTION("""COMPUTED_VALUE"""),"")</f>
        <v/>
      </c>
      <c r="W4145" s="16" t="str">
        <f>IFERROR(__xludf.DUMMYFUNCTION("""COMPUTED_VALUE"""),"")</f>
        <v/>
      </c>
      <c r="X4145" s="16" t="str">
        <f>IFERROR(__xludf.DUMMYFUNCTION("""COMPUTED_VALUE"""),"")</f>
        <v/>
      </c>
      <c r="AC4145" s="16" t="str">
        <f>IFERROR(__xludf.DUMMYFUNCTION("""COMPUTED_VALUE"""),"")</f>
        <v/>
      </c>
    </row>
    <row r="4146">
      <c r="A4146" s="16" t="s">
        <v>87</v>
      </c>
      <c r="E4146" s="16" t="str">
        <f>IFERROR(__xludf.DUMMYFUNCTION("""COMPUTED_VALUE"""),"")</f>
        <v/>
      </c>
      <c r="G4146" s="18"/>
      <c r="H4146" s="16" t="s">
        <v>87</v>
      </c>
      <c r="I4146" s="16" t="s">
        <v>87</v>
      </c>
      <c r="J4146" s="19"/>
      <c r="L4146" s="16" t="str">
        <f>IFERROR(__xludf.DUMMYFUNCTION("""COMPUTED_VALUE"""),"")</f>
        <v/>
      </c>
      <c r="M4146" s="16" t="str">
        <f>IFERROR(__xludf.DUMMYFUNCTION("""COMPUTED_VALUE"""),"")</f>
        <v/>
      </c>
      <c r="U4146" s="16" t="s">
        <v>87</v>
      </c>
      <c r="V4146" s="16" t="str">
        <f>IFERROR(__xludf.DUMMYFUNCTION("""COMPUTED_VALUE"""),"")</f>
        <v/>
      </c>
      <c r="W4146" s="16" t="str">
        <f>IFERROR(__xludf.DUMMYFUNCTION("""COMPUTED_VALUE"""),"")</f>
        <v/>
      </c>
      <c r="X4146" s="16" t="str">
        <f>IFERROR(__xludf.DUMMYFUNCTION("""COMPUTED_VALUE"""),"")</f>
        <v/>
      </c>
      <c r="AC4146" s="16" t="str">
        <f>IFERROR(__xludf.DUMMYFUNCTION("""COMPUTED_VALUE"""),"")</f>
        <v/>
      </c>
    </row>
    <row r="4147">
      <c r="A4147" s="16" t="s">
        <v>87</v>
      </c>
      <c r="E4147" s="16" t="str">
        <f>IFERROR(__xludf.DUMMYFUNCTION("""COMPUTED_VALUE"""),"")</f>
        <v/>
      </c>
      <c r="G4147" s="18"/>
      <c r="H4147" s="16" t="s">
        <v>87</v>
      </c>
      <c r="I4147" s="16" t="s">
        <v>87</v>
      </c>
      <c r="J4147" s="19"/>
      <c r="L4147" s="16" t="str">
        <f>IFERROR(__xludf.DUMMYFUNCTION("""COMPUTED_VALUE"""),"")</f>
        <v/>
      </c>
      <c r="M4147" s="16" t="str">
        <f>IFERROR(__xludf.DUMMYFUNCTION("""COMPUTED_VALUE"""),"")</f>
        <v/>
      </c>
      <c r="U4147" s="16" t="s">
        <v>87</v>
      </c>
      <c r="V4147" s="16" t="str">
        <f>IFERROR(__xludf.DUMMYFUNCTION("""COMPUTED_VALUE"""),"")</f>
        <v/>
      </c>
      <c r="W4147" s="16" t="str">
        <f>IFERROR(__xludf.DUMMYFUNCTION("""COMPUTED_VALUE"""),"")</f>
        <v/>
      </c>
      <c r="X4147" s="16" t="str">
        <f>IFERROR(__xludf.DUMMYFUNCTION("""COMPUTED_VALUE"""),"")</f>
        <v/>
      </c>
      <c r="AC4147" s="16" t="str">
        <f>IFERROR(__xludf.DUMMYFUNCTION("""COMPUTED_VALUE"""),"")</f>
        <v/>
      </c>
    </row>
    <row r="4148">
      <c r="A4148" s="16" t="s">
        <v>87</v>
      </c>
      <c r="E4148" s="16" t="str">
        <f>IFERROR(__xludf.DUMMYFUNCTION("""COMPUTED_VALUE"""),"")</f>
        <v/>
      </c>
      <c r="G4148" s="18"/>
      <c r="H4148" s="16" t="s">
        <v>87</v>
      </c>
      <c r="I4148" s="16" t="s">
        <v>87</v>
      </c>
      <c r="J4148" s="19"/>
      <c r="L4148" s="16" t="str">
        <f>IFERROR(__xludf.DUMMYFUNCTION("""COMPUTED_VALUE"""),"")</f>
        <v/>
      </c>
      <c r="M4148" s="16" t="str">
        <f>IFERROR(__xludf.DUMMYFUNCTION("""COMPUTED_VALUE"""),"")</f>
        <v/>
      </c>
      <c r="U4148" s="16" t="s">
        <v>87</v>
      </c>
      <c r="V4148" s="16" t="str">
        <f>IFERROR(__xludf.DUMMYFUNCTION("""COMPUTED_VALUE"""),"")</f>
        <v/>
      </c>
      <c r="W4148" s="16" t="str">
        <f>IFERROR(__xludf.DUMMYFUNCTION("""COMPUTED_VALUE"""),"")</f>
        <v/>
      </c>
      <c r="X4148" s="16" t="str">
        <f>IFERROR(__xludf.DUMMYFUNCTION("""COMPUTED_VALUE"""),"")</f>
        <v/>
      </c>
      <c r="AC4148" s="16" t="str">
        <f>IFERROR(__xludf.DUMMYFUNCTION("""COMPUTED_VALUE"""),"")</f>
        <v/>
      </c>
    </row>
    <row r="4149">
      <c r="A4149" s="16" t="s">
        <v>87</v>
      </c>
      <c r="E4149" s="16" t="str">
        <f>IFERROR(__xludf.DUMMYFUNCTION("""COMPUTED_VALUE"""),"")</f>
        <v/>
      </c>
      <c r="G4149" s="18"/>
      <c r="H4149" s="16" t="s">
        <v>87</v>
      </c>
      <c r="I4149" s="16" t="s">
        <v>87</v>
      </c>
      <c r="J4149" s="19"/>
      <c r="L4149" s="16" t="str">
        <f>IFERROR(__xludf.DUMMYFUNCTION("""COMPUTED_VALUE"""),"")</f>
        <v/>
      </c>
      <c r="M4149" s="16" t="str">
        <f>IFERROR(__xludf.DUMMYFUNCTION("""COMPUTED_VALUE"""),"")</f>
        <v/>
      </c>
      <c r="U4149" s="16" t="s">
        <v>87</v>
      </c>
      <c r="V4149" s="16" t="str">
        <f>IFERROR(__xludf.DUMMYFUNCTION("""COMPUTED_VALUE"""),"")</f>
        <v/>
      </c>
      <c r="W4149" s="16" t="str">
        <f>IFERROR(__xludf.DUMMYFUNCTION("""COMPUTED_VALUE"""),"")</f>
        <v/>
      </c>
      <c r="X4149" s="16" t="str">
        <f>IFERROR(__xludf.DUMMYFUNCTION("""COMPUTED_VALUE"""),"")</f>
        <v/>
      </c>
      <c r="AC4149" s="16" t="str">
        <f>IFERROR(__xludf.DUMMYFUNCTION("""COMPUTED_VALUE"""),"")</f>
        <v/>
      </c>
    </row>
    <row r="4150">
      <c r="A4150" s="16" t="s">
        <v>87</v>
      </c>
      <c r="E4150" s="16" t="str">
        <f>IFERROR(__xludf.DUMMYFUNCTION("""COMPUTED_VALUE"""),"")</f>
        <v/>
      </c>
      <c r="G4150" s="18"/>
      <c r="H4150" s="16" t="s">
        <v>87</v>
      </c>
      <c r="I4150" s="16" t="s">
        <v>87</v>
      </c>
      <c r="J4150" s="19"/>
      <c r="L4150" s="16" t="str">
        <f>IFERROR(__xludf.DUMMYFUNCTION("""COMPUTED_VALUE"""),"")</f>
        <v/>
      </c>
      <c r="M4150" s="16" t="str">
        <f>IFERROR(__xludf.DUMMYFUNCTION("""COMPUTED_VALUE"""),"")</f>
        <v/>
      </c>
      <c r="U4150" s="16" t="s">
        <v>87</v>
      </c>
      <c r="V4150" s="16" t="str">
        <f>IFERROR(__xludf.DUMMYFUNCTION("""COMPUTED_VALUE"""),"")</f>
        <v/>
      </c>
      <c r="W4150" s="16" t="str">
        <f>IFERROR(__xludf.DUMMYFUNCTION("""COMPUTED_VALUE"""),"")</f>
        <v/>
      </c>
      <c r="X4150" s="16" t="str">
        <f>IFERROR(__xludf.DUMMYFUNCTION("""COMPUTED_VALUE"""),"")</f>
        <v/>
      </c>
      <c r="AC4150" s="16" t="str">
        <f>IFERROR(__xludf.DUMMYFUNCTION("""COMPUTED_VALUE"""),"")</f>
        <v/>
      </c>
    </row>
    <row r="4151">
      <c r="A4151" s="16" t="s">
        <v>87</v>
      </c>
      <c r="E4151" s="16" t="str">
        <f>IFERROR(__xludf.DUMMYFUNCTION("""COMPUTED_VALUE"""),"")</f>
        <v/>
      </c>
      <c r="G4151" s="18"/>
      <c r="H4151" s="16" t="s">
        <v>87</v>
      </c>
      <c r="I4151" s="16" t="s">
        <v>87</v>
      </c>
      <c r="J4151" s="19"/>
      <c r="L4151" s="16" t="str">
        <f>IFERROR(__xludf.DUMMYFUNCTION("""COMPUTED_VALUE"""),"")</f>
        <v/>
      </c>
      <c r="M4151" s="16" t="str">
        <f>IFERROR(__xludf.DUMMYFUNCTION("""COMPUTED_VALUE"""),"")</f>
        <v/>
      </c>
      <c r="U4151" s="16" t="s">
        <v>87</v>
      </c>
      <c r="V4151" s="16" t="str">
        <f>IFERROR(__xludf.DUMMYFUNCTION("""COMPUTED_VALUE"""),"")</f>
        <v/>
      </c>
      <c r="W4151" s="16" t="str">
        <f>IFERROR(__xludf.DUMMYFUNCTION("""COMPUTED_VALUE"""),"")</f>
        <v/>
      </c>
      <c r="X4151" s="16" t="str">
        <f>IFERROR(__xludf.DUMMYFUNCTION("""COMPUTED_VALUE"""),"")</f>
        <v/>
      </c>
      <c r="AC4151" s="16" t="str">
        <f>IFERROR(__xludf.DUMMYFUNCTION("""COMPUTED_VALUE"""),"")</f>
        <v/>
      </c>
    </row>
    <row r="4152">
      <c r="A4152" s="16" t="s">
        <v>87</v>
      </c>
      <c r="E4152" s="16" t="str">
        <f>IFERROR(__xludf.DUMMYFUNCTION("""COMPUTED_VALUE"""),"")</f>
        <v/>
      </c>
      <c r="G4152" s="18"/>
      <c r="H4152" s="16" t="s">
        <v>87</v>
      </c>
      <c r="I4152" s="16" t="s">
        <v>87</v>
      </c>
      <c r="J4152" s="19"/>
      <c r="L4152" s="16" t="str">
        <f>IFERROR(__xludf.DUMMYFUNCTION("""COMPUTED_VALUE"""),"")</f>
        <v/>
      </c>
      <c r="M4152" s="16" t="str">
        <f>IFERROR(__xludf.DUMMYFUNCTION("""COMPUTED_VALUE"""),"")</f>
        <v/>
      </c>
      <c r="U4152" s="16" t="s">
        <v>87</v>
      </c>
      <c r="V4152" s="16" t="str">
        <f>IFERROR(__xludf.DUMMYFUNCTION("""COMPUTED_VALUE"""),"")</f>
        <v/>
      </c>
      <c r="W4152" s="16" t="str">
        <f>IFERROR(__xludf.DUMMYFUNCTION("""COMPUTED_VALUE"""),"")</f>
        <v/>
      </c>
      <c r="X4152" s="16" t="str">
        <f>IFERROR(__xludf.DUMMYFUNCTION("""COMPUTED_VALUE"""),"")</f>
        <v/>
      </c>
      <c r="AC4152" s="16" t="str">
        <f>IFERROR(__xludf.DUMMYFUNCTION("""COMPUTED_VALUE"""),"")</f>
        <v/>
      </c>
    </row>
    <row r="4153">
      <c r="A4153" s="16" t="s">
        <v>87</v>
      </c>
      <c r="E4153" s="16" t="str">
        <f>IFERROR(__xludf.DUMMYFUNCTION("""COMPUTED_VALUE"""),"")</f>
        <v/>
      </c>
      <c r="G4153" s="18"/>
      <c r="H4153" s="16" t="s">
        <v>87</v>
      </c>
      <c r="I4153" s="16" t="s">
        <v>87</v>
      </c>
      <c r="J4153" s="19"/>
      <c r="L4153" s="16" t="str">
        <f>IFERROR(__xludf.DUMMYFUNCTION("""COMPUTED_VALUE"""),"")</f>
        <v/>
      </c>
      <c r="M4153" s="16" t="str">
        <f>IFERROR(__xludf.DUMMYFUNCTION("""COMPUTED_VALUE"""),"")</f>
        <v/>
      </c>
      <c r="U4153" s="16" t="s">
        <v>87</v>
      </c>
      <c r="V4153" s="16" t="str">
        <f>IFERROR(__xludf.DUMMYFUNCTION("""COMPUTED_VALUE"""),"")</f>
        <v/>
      </c>
      <c r="W4153" s="16" t="str">
        <f>IFERROR(__xludf.DUMMYFUNCTION("""COMPUTED_VALUE"""),"")</f>
        <v/>
      </c>
      <c r="X4153" s="16" t="str">
        <f>IFERROR(__xludf.DUMMYFUNCTION("""COMPUTED_VALUE"""),"")</f>
        <v/>
      </c>
      <c r="AC4153" s="16" t="str">
        <f>IFERROR(__xludf.DUMMYFUNCTION("""COMPUTED_VALUE"""),"")</f>
        <v/>
      </c>
    </row>
    <row r="4154">
      <c r="A4154" s="16" t="s">
        <v>87</v>
      </c>
      <c r="E4154" s="16" t="str">
        <f>IFERROR(__xludf.DUMMYFUNCTION("""COMPUTED_VALUE"""),"")</f>
        <v/>
      </c>
      <c r="G4154" s="18"/>
      <c r="H4154" s="16" t="s">
        <v>87</v>
      </c>
      <c r="I4154" s="16" t="s">
        <v>87</v>
      </c>
      <c r="J4154" s="19"/>
      <c r="L4154" s="16" t="str">
        <f>IFERROR(__xludf.DUMMYFUNCTION("""COMPUTED_VALUE"""),"")</f>
        <v/>
      </c>
      <c r="M4154" s="16" t="str">
        <f>IFERROR(__xludf.DUMMYFUNCTION("""COMPUTED_VALUE"""),"")</f>
        <v/>
      </c>
      <c r="U4154" s="16" t="s">
        <v>87</v>
      </c>
      <c r="V4154" s="16" t="str">
        <f>IFERROR(__xludf.DUMMYFUNCTION("""COMPUTED_VALUE"""),"")</f>
        <v/>
      </c>
      <c r="W4154" s="16" t="str">
        <f>IFERROR(__xludf.DUMMYFUNCTION("""COMPUTED_VALUE"""),"")</f>
        <v/>
      </c>
      <c r="X4154" s="16" t="str">
        <f>IFERROR(__xludf.DUMMYFUNCTION("""COMPUTED_VALUE"""),"")</f>
        <v/>
      </c>
      <c r="AC4154" s="16" t="str">
        <f>IFERROR(__xludf.DUMMYFUNCTION("""COMPUTED_VALUE"""),"")</f>
        <v/>
      </c>
    </row>
    <row r="4155">
      <c r="A4155" s="16" t="s">
        <v>87</v>
      </c>
      <c r="E4155" s="16" t="str">
        <f>IFERROR(__xludf.DUMMYFUNCTION("""COMPUTED_VALUE"""),"")</f>
        <v/>
      </c>
      <c r="G4155" s="18"/>
      <c r="H4155" s="16" t="s">
        <v>87</v>
      </c>
      <c r="I4155" s="16" t="s">
        <v>87</v>
      </c>
      <c r="J4155" s="19"/>
      <c r="L4155" s="16" t="str">
        <f>IFERROR(__xludf.DUMMYFUNCTION("""COMPUTED_VALUE"""),"")</f>
        <v/>
      </c>
      <c r="M4155" s="16" t="str">
        <f>IFERROR(__xludf.DUMMYFUNCTION("""COMPUTED_VALUE"""),"")</f>
        <v/>
      </c>
      <c r="U4155" s="16" t="s">
        <v>87</v>
      </c>
      <c r="V4155" s="16" t="str">
        <f>IFERROR(__xludf.DUMMYFUNCTION("""COMPUTED_VALUE"""),"")</f>
        <v/>
      </c>
      <c r="W4155" s="16" t="str">
        <f>IFERROR(__xludf.DUMMYFUNCTION("""COMPUTED_VALUE"""),"")</f>
        <v/>
      </c>
      <c r="X4155" s="16" t="str">
        <f>IFERROR(__xludf.DUMMYFUNCTION("""COMPUTED_VALUE"""),"")</f>
        <v/>
      </c>
      <c r="AC4155" s="16" t="str">
        <f>IFERROR(__xludf.DUMMYFUNCTION("""COMPUTED_VALUE"""),"")</f>
        <v/>
      </c>
    </row>
    <row r="4156">
      <c r="A4156" s="16" t="s">
        <v>87</v>
      </c>
      <c r="E4156" s="16" t="str">
        <f>IFERROR(__xludf.DUMMYFUNCTION("""COMPUTED_VALUE"""),"")</f>
        <v/>
      </c>
      <c r="G4156" s="18"/>
      <c r="H4156" s="16" t="s">
        <v>87</v>
      </c>
      <c r="I4156" s="16" t="s">
        <v>87</v>
      </c>
      <c r="J4156" s="19"/>
      <c r="L4156" s="16" t="str">
        <f>IFERROR(__xludf.DUMMYFUNCTION("""COMPUTED_VALUE"""),"")</f>
        <v/>
      </c>
      <c r="M4156" s="16" t="str">
        <f>IFERROR(__xludf.DUMMYFUNCTION("""COMPUTED_VALUE"""),"")</f>
        <v/>
      </c>
      <c r="U4156" s="16" t="s">
        <v>87</v>
      </c>
      <c r="V4156" s="16" t="str">
        <f>IFERROR(__xludf.DUMMYFUNCTION("""COMPUTED_VALUE"""),"")</f>
        <v/>
      </c>
      <c r="W4156" s="16" t="str">
        <f>IFERROR(__xludf.DUMMYFUNCTION("""COMPUTED_VALUE"""),"")</f>
        <v/>
      </c>
      <c r="X4156" s="16" t="str">
        <f>IFERROR(__xludf.DUMMYFUNCTION("""COMPUTED_VALUE"""),"")</f>
        <v/>
      </c>
      <c r="AC4156" s="16" t="str">
        <f>IFERROR(__xludf.DUMMYFUNCTION("""COMPUTED_VALUE"""),"")</f>
        <v/>
      </c>
    </row>
    <row r="4157">
      <c r="A4157" s="16" t="s">
        <v>87</v>
      </c>
      <c r="E4157" s="16" t="str">
        <f>IFERROR(__xludf.DUMMYFUNCTION("""COMPUTED_VALUE"""),"")</f>
        <v/>
      </c>
      <c r="G4157" s="18"/>
      <c r="H4157" s="16" t="s">
        <v>87</v>
      </c>
      <c r="I4157" s="16" t="s">
        <v>87</v>
      </c>
      <c r="J4157" s="19"/>
      <c r="L4157" s="16" t="str">
        <f>IFERROR(__xludf.DUMMYFUNCTION("""COMPUTED_VALUE"""),"")</f>
        <v/>
      </c>
      <c r="M4157" s="16" t="str">
        <f>IFERROR(__xludf.DUMMYFUNCTION("""COMPUTED_VALUE"""),"")</f>
        <v/>
      </c>
      <c r="U4157" s="16" t="s">
        <v>87</v>
      </c>
      <c r="V4157" s="16" t="str">
        <f>IFERROR(__xludf.DUMMYFUNCTION("""COMPUTED_VALUE"""),"")</f>
        <v/>
      </c>
      <c r="W4157" s="16" t="str">
        <f>IFERROR(__xludf.DUMMYFUNCTION("""COMPUTED_VALUE"""),"")</f>
        <v/>
      </c>
      <c r="X4157" s="16" t="str">
        <f>IFERROR(__xludf.DUMMYFUNCTION("""COMPUTED_VALUE"""),"")</f>
        <v/>
      </c>
      <c r="AC4157" s="16" t="str">
        <f>IFERROR(__xludf.DUMMYFUNCTION("""COMPUTED_VALUE"""),"")</f>
        <v/>
      </c>
    </row>
    <row r="4158">
      <c r="A4158" s="16" t="s">
        <v>87</v>
      </c>
      <c r="E4158" s="16" t="str">
        <f>IFERROR(__xludf.DUMMYFUNCTION("""COMPUTED_VALUE"""),"")</f>
        <v/>
      </c>
      <c r="G4158" s="18"/>
      <c r="H4158" s="16" t="s">
        <v>87</v>
      </c>
      <c r="I4158" s="16" t="s">
        <v>87</v>
      </c>
      <c r="J4158" s="19"/>
      <c r="L4158" s="16" t="str">
        <f>IFERROR(__xludf.DUMMYFUNCTION("""COMPUTED_VALUE"""),"")</f>
        <v/>
      </c>
      <c r="M4158" s="16" t="str">
        <f>IFERROR(__xludf.DUMMYFUNCTION("""COMPUTED_VALUE"""),"")</f>
        <v/>
      </c>
      <c r="U4158" s="16" t="s">
        <v>87</v>
      </c>
      <c r="V4158" s="16" t="str">
        <f>IFERROR(__xludf.DUMMYFUNCTION("""COMPUTED_VALUE"""),"")</f>
        <v/>
      </c>
      <c r="W4158" s="16" t="str">
        <f>IFERROR(__xludf.DUMMYFUNCTION("""COMPUTED_VALUE"""),"")</f>
        <v/>
      </c>
      <c r="X4158" s="16" t="str">
        <f>IFERROR(__xludf.DUMMYFUNCTION("""COMPUTED_VALUE"""),"")</f>
        <v/>
      </c>
      <c r="AC4158" s="16" t="str">
        <f>IFERROR(__xludf.DUMMYFUNCTION("""COMPUTED_VALUE"""),"")</f>
        <v/>
      </c>
    </row>
    <row r="4159">
      <c r="A4159" s="16" t="s">
        <v>87</v>
      </c>
      <c r="E4159" s="16" t="str">
        <f>IFERROR(__xludf.DUMMYFUNCTION("""COMPUTED_VALUE"""),"")</f>
        <v/>
      </c>
      <c r="G4159" s="18"/>
      <c r="H4159" s="16" t="s">
        <v>87</v>
      </c>
      <c r="I4159" s="16" t="s">
        <v>87</v>
      </c>
      <c r="J4159" s="19"/>
      <c r="L4159" s="16" t="str">
        <f>IFERROR(__xludf.DUMMYFUNCTION("""COMPUTED_VALUE"""),"")</f>
        <v/>
      </c>
      <c r="M4159" s="16" t="str">
        <f>IFERROR(__xludf.DUMMYFUNCTION("""COMPUTED_VALUE"""),"")</f>
        <v/>
      </c>
      <c r="U4159" s="16" t="s">
        <v>87</v>
      </c>
      <c r="V4159" s="16" t="str">
        <f>IFERROR(__xludf.DUMMYFUNCTION("""COMPUTED_VALUE"""),"")</f>
        <v/>
      </c>
      <c r="W4159" s="16" t="str">
        <f>IFERROR(__xludf.DUMMYFUNCTION("""COMPUTED_VALUE"""),"")</f>
        <v/>
      </c>
      <c r="X4159" s="16" t="str">
        <f>IFERROR(__xludf.DUMMYFUNCTION("""COMPUTED_VALUE"""),"")</f>
        <v/>
      </c>
      <c r="AC4159" s="16" t="str">
        <f>IFERROR(__xludf.DUMMYFUNCTION("""COMPUTED_VALUE"""),"")</f>
        <v/>
      </c>
    </row>
    <row r="4160">
      <c r="A4160" s="16" t="s">
        <v>87</v>
      </c>
      <c r="E4160" s="16" t="str">
        <f>IFERROR(__xludf.DUMMYFUNCTION("""COMPUTED_VALUE"""),"")</f>
        <v/>
      </c>
      <c r="G4160" s="18"/>
      <c r="H4160" s="16" t="s">
        <v>87</v>
      </c>
      <c r="I4160" s="16" t="s">
        <v>87</v>
      </c>
      <c r="J4160" s="19"/>
      <c r="L4160" s="16" t="str">
        <f>IFERROR(__xludf.DUMMYFUNCTION("""COMPUTED_VALUE"""),"")</f>
        <v/>
      </c>
      <c r="M4160" s="16" t="str">
        <f>IFERROR(__xludf.DUMMYFUNCTION("""COMPUTED_VALUE"""),"")</f>
        <v/>
      </c>
      <c r="U4160" s="16" t="s">
        <v>87</v>
      </c>
      <c r="V4160" s="16" t="str">
        <f>IFERROR(__xludf.DUMMYFUNCTION("""COMPUTED_VALUE"""),"")</f>
        <v/>
      </c>
      <c r="W4160" s="16" t="str">
        <f>IFERROR(__xludf.DUMMYFUNCTION("""COMPUTED_VALUE"""),"")</f>
        <v/>
      </c>
      <c r="X4160" s="16" t="str">
        <f>IFERROR(__xludf.DUMMYFUNCTION("""COMPUTED_VALUE"""),"")</f>
        <v/>
      </c>
      <c r="AC4160" s="16" t="str">
        <f>IFERROR(__xludf.DUMMYFUNCTION("""COMPUTED_VALUE"""),"")</f>
        <v/>
      </c>
    </row>
    <row r="4161">
      <c r="A4161" s="16" t="s">
        <v>87</v>
      </c>
      <c r="E4161" s="16" t="str">
        <f>IFERROR(__xludf.DUMMYFUNCTION("""COMPUTED_VALUE"""),"")</f>
        <v/>
      </c>
      <c r="G4161" s="18"/>
      <c r="H4161" s="16" t="s">
        <v>87</v>
      </c>
      <c r="I4161" s="16" t="s">
        <v>87</v>
      </c>
      <c r="J4161" s="19"/>
      <c r="L4161" s="16" t="str">
        <f>IFERROR(__xludf.DUMMYFUNCTION("""COMPUTED_VALUE"""),"")</f>
        <v/>
      </c>
      <c r="M4161" s="16" t="str">
        <f>IFERROR(__xludf.DUMMYFUNCTION("""COMPUTED_VALUE"""),"")</f>
        <v/>
      </c>
      <c r="U4161" s="16" t="s">
        <v>87</v>
      </c>
      <c r="V4161" s="16" t="str">
        <f>IFERROR(__xludf.DUMMYFUNCTION("""COMPUTED_VALUE"""),"")</f>
        <v/>
      </c>
      <c r="W4161" s="16" t="str">
        <f>IFERROR(__xludf.DUMMYFUNCTION("""COMPUTED_VALUE"""),"")</f>
        <v/>
      </c>
      <c r="X4161" s="16" t="str">
        <f>IFERROR(__xludf.DUMMYFUNCTION("""COMPUTED_VALUE"""),"")</f>
        <v/>
      </c>
      <c r="AC4161" s="16" t="str">
        <f>IFERROR(__xludf.DUMMYFUNCTION("""COMPUTED_VALUE"""),"")</f>
        <v/>
      </c>
    </row>
    <row r="4162">
      <c r="A4162" s="16" t="s">
        <v>87</v>
      </c>
      <c r="E4162" s="16" t="str">
        <f>IFERROR(__xludf.DUMMYFUNCTION("""COMPUTED_VALUE"""),"")</f>
        <v/>
      </c>
      <c r="G4162" s="18"/>
      <c r="H4162" s="16" t="s">
        <v>87</v>
      </c>
      <c r="I4162" s="16" t="s">
        <v>87</v>
      </c>
      <c r="J4162" s="19"/>
      <c r="L4162" s="16" t="str">
        <f>IFERROR(__xludf.DUMMYFUNCTION("""COMPUTED_VALUE"""),"")</f>
        <v/>
      </c>
      <c r="M4162" s="16" t="str">
        <f>IFERROR(__xludf.DUMMYFUNCTION("""COMPUTED_VALUE"""),"")</f>
        <v/>
      </c>
      <c r="U4162" s="16" t="s">
        <v>87</v>
      </c>
      <c r="V4162" s="16" t="str">
        <f>IFERROR(__xludf.DUMMYFUNCTION("""COMPUTED_VALUE"""),"")</f>
        <v/>
      </c>
      <c r="W4162" s="16" t="str">
        <f>IFERROR(__xludf.DUMMYFUNCTION("""COMPUTED_VALUE"""),"")</f>
        <v/>
      </c>
      <c r="X4162" s="16" t="str">
        <f>IFERROR(__xludf.DUMMYFUNCTION("""COMPUTED_VALUE"""),"")</f>
        <v/>
      </c>
      <c r="AC4162" s="16" t="str">
        <f>IFERROR(__xludf.DUMMYFUNCTION("""COMPUTED_VALUE"""),"")</f>
        <v/>
      </c>
    </row>
    <row r="4163">
      <c r="A4163" s="16" t="s">
        <v>87</v>
      </c>
      <c r="E4163" s="16" t="str">
        <f>IFERROR(__xludf.DUMMYFUNCTION("""COMPUTED_VALUE"""),"")</f>
        <v/>
      </c>
      <c r="G4163" s="18"/>
      <c r="H4163" s="16" t="s">
        <v>87</v>
      </c>
      <c r="I4163" s="16" t="s">
        <v>87</v>
      </c>
      <c r="J4163" s="19"/>
      <c r="L4163" s="16" t="str">
        <f>IFERROR(__xludf.DUMMYFUNCTION("""COMPUTED_VALUE"""),"")</f>
        <v/>
      </c>
      <c r="M4163" s="16" t="str">
        <f>IFERROR(__xludf.DUMMYFUNCTION("""COMPUTED_VALUE"""),"")</f>
        <v/>
      </c>
      <c r="U4163" s="16" t="s">
        <v>87</v>
      </c>
      <c r="V4163" s="16" t="str">
        <f>IFERROR(__xludf.DUMMYFUNCTION("""COMPUTED_VALUE"""),"")</f>
        <v/>
      </c>
      <c r="W4163" s="16" t="str">
        <f>IFERROR(__xludf.DUMMYFUNCTION("""COMPUTED_VALUE"""),"")</f>
        <v/>
      </c>
      <c r="X4163" s="16" t="str">
        <f>IFERROR(__xludf.DUMMYFUNCTION("""COMPUTED_VALUE"""),"")</f>
        <v/>
      </c>
      <c r="AC4163" s="16" t="str">
        <f>IFERROR(__xludf.DUMMYFUNCTION("""COMPUTED_VALUE"""),"")</f>
        <v/>
      </c>
    </row>
    <row r="4164">
      <c r="A4164" s="16" t="s">
        <v>87</v>
      </c>
      <c r="E4164" s="16" t="str">
        <f>IFERROR(__xludf.DUMMYFUNCTION("""COMPUTED_VALUE"""),"")</f>
        <v/>
      </c>
      <c r="G4164" s="18"/>
      <c r="H4164" s="16" t="s">
        <v>87</v>
      </c>
      <c r="I4164" s="16" t="s">
        <v>87</v>
      </c>
      <c r="J4164" s="19"/>
      <c r="L4164" s="16" t="str">
        <f>IFERROR(__xludf.DUMMYFUNCTION("""COMPUTED_VALUE"""),"")</f>
        <v/>
      </c>
      <c r="M4164" s="16" t="str">
        <f>IFERROR(__xludf.DUMMYFUNCTION("""COMPUTED_VALUE"""),"")</f>
        <v/>
      </c>
      <c r="U4164" s="16" t="s">
        <v>87</v>
      </c>
      <c r="V4164" s="16" t="str">
        <f>IFERROR(__xludf.DUMMYFUNCTION("""COMPUTED_VALUE"""),"")</f>
        <v/>
      </c>
      <c r="W4164" s="16" t="str">
        <f>IFERROR(__xludf.DUMMYFUNCTION("""COMPUTED_VALUE"""),"")</f>
        <v/>
      </c>
      <c r="X4164" s="16" t="str">
        <f>IFERROR(__xludf.DUMMYFUNCTION("""COMPUTED_VALUE"""),"")</f>
        <v/>
      </c>
      <c r="AC4164" s="16" t="str">
        <f>IFERROR(__xludf.DUMMYFUNCTION("""COMPUTED_VALUE"""),"")</f>
        <v/>
      </c>
    </row>
    <row r="4165">
      <c r="A4165" s="16" t="s">
        <v>87</v>
      </c>
      <c r="E4165" s="16" t="str">
        <f>IFERROR(__xludf.DUMMYFUNCTION("""COMPUTED_VALUE"""),"")</f>
        <v/>
      </c>
      <c r="G4165" s="18"/>
      <c r="H4165" s="16" t="s">
        <v>87</v>
      </c>
      <c r="I4165" s="16" t="s">
        <v>87</v>
      </c>
      <c r="J4165" s="19"/>
      <c r="L4165" s="16" t="str">
        <f>IFERROR(__xludf.DUMMYFUNCTION("""COMPUTED_VALUE"""),"")</f>
        <v/>
      </c>
      <c r="M4165" s="16" t="str">
        <f>IFERROR(__xludf.DUMMYFUNCTION("""COMPUTED_VALUE"""),"")</f>
        <v/>
      </c>
      <c r="U4165" s="16" t="s">
        <v>87</v>
      </c>
      <c r="V4165" s="16" t="str">
        <f>IFERROR(__xludf.DUMMYFUNCTION("""COMPUTED_VALUE"""),"")</f>
        <v/>
      </c>
      <c r="W4165" s="16" t="str">
        <f>IFERROR(__xludf.DUMMYFUNCTION("""COMPUTED_VALUE"""),"")</f>
        <v/>
      </c>
      <c r="X4165" s="16" t="str">
        <f>IFERROR(__xludf.DUMMYFUNCTION("""COMPUTED_VALUE"""),"")</f>
        <v/>
      </c>
      <c r="AC4165" s="16" t="str">
        <f>IFERROR(__xludf.DUMMYFUNCTION("""COMPUTED_VALUE"""),"")</f>
        <v/>
      </c>
    </row>
    <row r="4166">
      <c r="A4166" s="16" t="s">
        <v>87</v>
      </c>
      <c r="E4166" s="16" t="str">
        <f>IFERROR(__xludf.DUMMYFUNCTION("""COMPUTED_VALUE"""),"")</f>
        <v/>
      </c>
      <c r="G4166" s="18"/>
      <c r="H4166" s="16" t="s">
        <v>87</v>
      </c>
      <c r="I4166" s="16" t="s">
        <v>87</v>
      </c>
      <c r="J4166" s="19"/>
      <c r="L4166" s="16" t="str">
        <f>IFERROR(__xludf.DUMMYFUNCTION("""COMPUTED_VALUE"""),"")</f>
        <v/>
      </c>
      <c r="M4166" s="16" t="str">
        <f>IFERROR(__xludf.DUMMYFUNCTION("""COMPUTED_VALUE"""),"")</f>
        <v/>
      </c>
      <c r="U4166" s="16" t="s">
        <v>87</v>
      </c>
      <c r="V4166" s="16" t="str">
        <f>IFERROR(__xludf.DUMMYFUNCTION("""COMPUTED_VALUE"""),"")</f>
        <v/>
      </c>
      <c r="W4166" s="16" t="str">
        <f>IFERROR(__xludf.DUMMYFUNCTION("""COMPUTED_VALUE"""),"")</f>
        <v/>
      </c>
      <c r="X4166" s="16" t="str">
        <f>IFERROR(__xludf.DUMMYFUNCTION("""COMPUTED_VALUE"""),"")</f>
        <v/>
      </c>
      <c r="AC4166" s="16" t="str">
        <f>IFERROR(__xludf.DUMMYFUNCTION("""COMPUTED_VALUE"""),"")</f>
        <v/>
      </c>
    </row>
    <row r="4167">
      <c r="A4167" s="16" t="s">
        <v>87</v>
      </c>
      <c r="E4167" s="16" t="str">
        <f>IFERROR(__xludf.DUMMYFUNCTION("""COMPUTED_VALUE"""),"")</f>
        <v/>
      </c>
      <c r="G4167" s="18"/>
      <c r="H4167" s="16" t="s">
        <v>87</v>
      </c>
      <c r="I4167" s="16" t="s">
        <v>87</v>
      </c>
      <c r="J4167" s="19"/>
      <c r="L4167" s="16" t="str">
        <f>IFERROR(__xludf.DUMMYFUNCTION("""COMPUTED_VALUE"""),"")</f>
        <v/>
      </c>
      <c r="M4167" s="16" t="str">
        <f>IFERROR(__xludf.DUMMYFUNCTION("""COMPUTED_VALUE"""),"")</f>
        <v/>
      </c>
      <c r="U4167" s="16" t="s">
        <v>87</v>
      </c>
      <c r="V4167" s="16" t="str">
        <f>IFERROR(__xludf.DUMMYFUNCTION("""COMPUTED_VALUE"""),"")</f>
        <v/>
      </c>
      <c r="W4167" s="16" t="str">
        <f>IFERROR(__xludf.DUMMYFUNCTION("""COMPUTED_VALUE"""),"")</f>
        <v/>
      </c>
      <c r="X4167" s="16" t="str">
        <f>IFERROR(__xludf.DUMMYFUNCTION("""COMPUTED_VALUE"""),"")</f>
        <v/>
      </c>
      <c r="AC4167" s="16" t="str">
        <f>IFERROR(__xludf.DUMMYFUNCTION("""COMPUTED_VALUE"""),"")</f>
        <v/>
      </c>
    </row>
    <row r="4168">
      <c r="A4168" s="16" t="s">
        <v>87</v>
      </c>
      <c r="E4168" s="16" t="str">
        <f>IFERROR(__xludf.DUMMYFUNCTION("""COMPUTED_VALUE"""),"")</f>
        <v/>
      </c>
      <c r="G4168" s="18"/>
      <c r="H4168" s="16" t="s">
        <v>87</v>
      </c>
      <c r="I4168" s="16" t="s">
        <v>87</v>
      </c>
      <c r="J4168" s="19"/>
      <c r="L4168" s="16" t="str">
        <f>IFERROR(__xludf.DUMMYFUNCTION("""COMPUTED_VALUE"""),"")</f>
        <v/>
      </c>
      <c r="M4168" s="16" t="str">
        <f>IFERROR(__xludf.DUMMYFUNCTION("""COMPUTED_VALUE"""),"")</f>
        <v/>
      </c>
      <c r="U4168" s="16" t="s">
        <v>87</v>
      </c>
      <c r="V4168" s="16" t="str">
        <f>IFERROR(__xludf.DUMMYFUNCTION("""COMPUTED_VALUE"""),"")</f>
        <v/>
      </c>
      <c r="W4168" s="16" t="str">
        <f>IFERROR(__xludf.DUMMYFUNCTION("""COMPUTED_VALUE"""),"")</f>
        <v/>
      </c>
      <c r="X4168" s="16" t="str">
        <f>IFERROR(__xludf.DUMMYFUNCTION("""COMPUTED_VALUE"""),"")</f>
        <v/>
      </c>
      <c r="AC4168" s="16" t="str">
        <f>IFERROR(__xludf.DUMMYFUNCTION("""COMPUTED_VALUE"""),"")</f>
        <v/>
      </c>
    </row>
    <row r="4169">
      <c r="A4169" s="16" t="s">
        <v>87</v>
      </c>
      <c r="E4169" s="16" t="str">
        <f>IFERROR(__xludf.DUMMYFUNCTION("""COMPUTED_VALUE"""),"")</f>
        <v/>
      </c>
      <c r="G4169" s="18"/>
      <c r="H4169" s="16" t="s">
        <v>87</v>
      </c>
      <c r="I4169" s="16" t="s">
        <v>87</v>
      </c>
      <c r="J4169" s="19"/>
      <c r="L4169" s="16" t="str">
        <f>IFERROR(__xludf.DUMMYFUNCTION("""COMPUTED_VALUE"""),"")</f>
        <v/>
      </c>
      <c r="M4169" s="16" t="str">
        <f>IFERROR(__xludf.DUMMYFUNCTION("""COMPUTED_VALUE"""),"")</f>
        <v/>
      </c>
      <c r="U4169" s="16" t="s">
        <v>87</v>
      </c>
      <c r="V4169" s="16" t="str">
        <f>IFERROR(__xludf.DUMMYFUNCTION("""COMPUTED_VALUE"""),"")</f>
        <v/>
      </c>
      <c r="W4169" s="16" t="str">
        <f>IFERROR(__xludf.DUMMYFUNCTION("""COMPUTED_VALUE"""),"")</f>
        <v/>
      </c>
      <c r="X4169" s="16" t="str">
        <f>IFERROR(__xludf.DUMMYFUNCTION("""COMPUTED_VALUE"""),"")</f>
        <v/>
      </c>
      <c r="AC4169" s="16" t="str">
        <f>IFERROR(__xludf.DUMMYFUNCTION("""COMPUTED_VALUE"""),"")</f>
        <v/>
      </c>
    </row>
    <row r="4170">
      <c r="A4170" s="16" t="s">
        <v>87</v>
      </c>
      <c r="E4170" s="16" t="str">
        <f>IFERROR(__xludf.DUMMYFUNCTION("""COMPUTED_VALUE"""),"")</f>
        <v/>
      </c>
      <c r="G4170" s="18"/>
      <c r="H4170" s="16" t="s">
        <v>87</v>
      </c>
      <c r="I4170" s="16" t="s">
        <v>87</v>
      </c>
      <c r="J4170" s="19"/>
      <c r="L4170" s="16" t="str">
        <f>IFERROR(__xludf.DUMMYFUNCTION("""COMPUTED_VALUE"""),"")</f>
        <v/>
      </c>
      <c r="M4170" s="16" t="str">
        <f>IFERROR(__xludf.DUMMYFUNCTION("""COMPUTED_VALUE"""),"")</f>
        <v/>
      </c>
      <c r="U4170" s="16" t="s">
        <v>87</v>
      </c>
      <c r="V4170" s="16" t="str">
        <f>IFERROR(__xludf.DUMMYFUNCTION("""COMPUTED_VALUE"""),"")</f>
        <v/>
      </c>
      <c r="W4170" s="16" t="str">
        <f>IFERROR(__xludf.DUMMYFUNCTION("""COMPUTED_VALUE"""),"")</f>
        <v/>
      </c>
      <c r="X4170" s="16" t="str">
        <f>IFERROR(__xludf.DUMMYFUNCTION("""COMPUTED_VALUE"""),"")</f>
        <v/>
      </c>
      <c r="AC4170" s="16" t="str">
        <f>IFERROR(__xludf.DUMMYFUNCTION("""COMPUTED_VALUE"""),"")</f>
        <v/>
      </c>
    </row>
    <row r="4171">
      <c r="A4171" s="16" t="s">
        <v>87</v>
      </c>
      <c r="E4171" s="16" t="str">
        <f>IFERROR(__xludf.DUMMYFUNCTION("""COMPUTED_VALUE"""),"")</f>
        <v/>
      </c>
      <c r="G4171" s="18"/>
      <c r="H4171" s="16" t="s">
        <v>87</v>
      </c>
      <c r="I4171" s="16" t="s">
        <v>87</v>
      </c>
      <c r="J4171" s="19"/>
      <c r="L4171" s="16" t="str">
        <f>IFERROR(__xludf.DUMMYFUNCTION("""COMPUTED_VALUE"""),"")</f>
        <v/>
      </c>
      <c r="M4171" s="16" t="str">
        <f>IFERROR(__xludf.DUMMYFUNCTION("""COMPUTED_VALUE"""),"")</f>
        <v/>
      </c>
      <c r="U4171" s="16" t="s">
        <v>87</v>
      </c>
      <c r="V4171" s="16" t="str">
        <f>IFERROR(__xludf.DUMMYFUNCTION("""COMPUTED_VALUE"""),"")</f>
        <v/>
      </c>
      <c r="W4171" s="16" t="str">
        <f>IFERROR(__xludf.DUMMYFUNCTION("""COMPUTED_VALUE"""),"")</f>
        <v/>
      </c>
      <c r="X4171" s="16" t="str">
        <f>IFERROR(__xludf.DUMMYFUNCTION("""COMPUTED_VALUE"""),"")</f>
        <v/>
      </c>
      <c r="AC4171" s="16" t="str">
        <f>IFERROR(__xludf.DUMMYFUNCTION("""COMPUTED_VALUE"""),"")</f>
        <v/>
      </c>
    </row>
    <row r="4172">
      <c r="A4172" s="16" t="s">
        <v>87</v>
      </c>
      <c r="E4172" s="16" t="str">
        <f>IFERROR(__xludf.DUMMYFUNCTION("""COMPUTED_VALUE"""),"")</f>
        <v/>
      </c>
      <c r="G4172" s="18"/>
      <c r="H4172" s="16" t="s">
        <v>87</v>
      </c>
      <c r="I4172" s="16" t="s">
        <v>87</v>
      </c>
      <c r="J4172" s="19"/>
      <c r="L4172" s="16" t="str">
        <f>IFERROR(__xludf.DUMMYFUNCTION("""COMPUTED_VALUE"""),"")</f>
        <v/>
      </c>
      <c r="M4172" s="16" t="str">
        <f>IFERROR(__xludf.DUMMYFUNCTION("""COMPUTED_VALUE"""),"")</f>
        <v/>
      </c>
      <c r="U4172" s="16" t="s">
        <v>87</v>
      </c>
      <c r="V4172" s="16" t="str">
        <f>IFERROR(__xludf.DUMMYFUNCTION("""COMPUTED_VALUE"""),"")</f>
        <v/>
      </c>
      <c r="W4172" s="16" t="str">
        <f>IFERROR(__xludf.DUMMYFUNCTION("""COMPUTED_VALUE"""),"")</f>
        <v/>
      </c>
      <c r="X4172" s="16" t="str">
        <f>IFERROR(__xludf.DUMMYFUNCTION("""COMPUTED_VALUE"""),"")</f>
        <v/>
      </c>
      <c r="AC4172" s="16" t="str">
        <f>IFERROR(__xludf.DUMMYFUNCTION("""COMPUTED_VALUE"""),"")</f>
        <v/>
      </c>
    </row>
    <row r="4173">
      <c r="A4173" s="16" t="s">
        <v>87</v>
      </c>
      <c r="E4173" s="16" t="str">
        <f>IFERROR(__xludf.DUMMYFUNCTION("""COMPUTED_VALUE"""),"")</f>
        <v/>
      </c>
      <c r="G4173" s="18"/>
      <c r="H4173" s="16" t="s">
        <v>87</v>
      </c>
      <c r="I4173" s="16" t="s">
        <v>87</v>
      </c>
      <c r="J4173" s="19"/>
      <c r="L4173" s="16" t="str">
        <f>IFERROR(__xludf.DUMMYFUNCTION("""COMPUTED_VALUE"""),"")</f>
        <v/>
      </c>
      <c r="M4173" s="16" t="str">
        <f>IFERROR(__xludf.DUMMYFUNCTION("""COMPUTED_VALUE"""),"")</f>
        <v/>
      </c>
      <c r="U4173" s="16" t="s">
        <v>87</v>
      </c>
      <c r="V4173" s="16" t="str">
        <f>IFERROR(__xludf.DUMMYFUNCTION("""COMPUTED_VALUE"""),"")</f>
        <v/>
      </c>
      <c r="W4173" s="16" t="str">
        <f>IFERROR(__xludf.DUMMYFUNCTION("""COMPUTED_VALUE"""),"")</f>
        <v/>
      </c>
      <c r="X4173" s="16" t="str">
        <f>IFERROR(__xludf.DUMMYFUNCTION("""COMPUTED_VALUE"""),"")</f>
        <v/>
      </c>
      <c r="AC4173" s="16" t="str">
        <f>IFERROR(__xludf.DUMMYFUNCTION("""COMPUTED_VALUE"""),"")</f>
        <v/>
      </c>
    </row>
    <row r="4174">
      <c r="A4174" s="16" t="s">
        <v>87</v>
      </c>
      <c r="E4174" s="16" t="str">
        <f>IFERROR(__xludf.DUMMYFUNCTION("""COMPUTED_VALUE"""),"")</f>
        <v/>
      </c>
      <c r="G4174" s="18"/>
      <c r="H4174" s="16" t="s">
        <v>87</v>
      </c>
      <c r="I4174" s="16" t="s">
        <v>87</v>
      </c>
      <c r="J4174" s="19"/>
      <c r="L4174" s="16" t="str">
        <f>IFERROR(__xludf.DUMMYFUNCTION("""COMPUTED_VALUE"""),"")</f>
        <v/>
      </c>
      <c r="M4174" s="16" t="str">
        <f>IFERROR(__xludf.DUMMYFUNCTION("""COMPUTED_VALUE"""),"")</f>
        <v/>
      </c>
      <c r="U4174" s="16" t="s">
        <v>87</v>
      </c>
      <c r="V4174" s="16" t="str">
        <f>IFERROR(__xludf.DUMMYFUNCTION("""COMPUTED_VALUE"""),"")</f>
        <v/>
      </c>
      <c r="W4174" s="16" t="str">
        <f>IFERROR(__xludf.DUMMYFUNCTION("""COMPUTED_VALUE"""),"")</f>
        <v/>
      </c>
      <c r="X4174" s="16" t="str">
        <f>IFERROR(__xludf.DUMMYFUNCTION("""COMPUTED_VALUE"""),"")</f>
        <v/>
      </c>
      <c r="AC4174" s="16" t="str">
        <f>IFERROR(__xludf.DUMMYFUNCTION("""COMPUTED_VALUE"""),"")</f>
        <v/>
      </c>
    </row>
    <row r="4175">
      <c r="A4175" s="16" t="s">
        <v>87</v>
      </c>
      <c r="E4175" s="16" t="str">
        <f>IFERROR(__xludf.DUMMYFUNCTION("""COMPUTED_VALUE"""),"")</f>
        <v/>
      </c>
      <c r="G4175" s="18"/>
      <c r="H4175" s="16" t="s">
        <v>87</v>
      </c>
      <c r="I4175" s="16" t="s">
        <v>87</v>
      </c>
      <c r="J4175" s="19"/>
      <c r="L4175" s="16" t="str">
        <f>IFERROR(__xludf.DUMMYFUNCTION("""COMPUTED_VALUE"""),"")</f>
        <v/>
      </c>
      <c r="M4175" s="16" t="str">
        <f>IFERROR(__xludf.DUMMYFUNCTION("""COMPUTED_VALUE"""),"")</f>
        <v/>
      </c>
      <c r="U4175" s="16" t="s">
        <v>87</v>
      </c>
      <c r="V4175" s="16" t="str">
        <f>IFERROR(__xludf.DUMMYFUNCTION("""COMPUTED_VALUE"""),"")</f>
        <v/>
      </c>
      <c r="W4175" s="16" t="str">
        <f>IFERROR(__xludf.DUMMYFUNCTION("""COMPUTED_VALUE"""),"")</f>
        <v/>
      </c>
      <c r="X4175" s="16" t="str">
        <f>IFERROR(__xludf.DUMMYFUNCTION("""COMPUTED_VALUE"""),"")</f>
        <v/>
      </c>
      <c r="AC4175" s="16" t="str">
        <f>IFERROR(__xludf.DUMMYFUNCTION("""COMPUTED_VALUE"""),"")</f>
        <v/>
      </c>
    </row>
    <row r="4176">
      <c r="A4176" s="16" t="s">
        <v>87</v>
      </c>
      <c r="E4176" s="16" t="str">
        <f>IFERROR(__xludf.DUMMYFUNCTION("""COMPUTED_VALUE"""),"")</f>
        <v/>
      </c>
      <c r="G4176" s="18"/>
      <c r="H4176" s="16" t="s">
        <v>87</v>
      </c>
      <c r="I4176" s="16" t="s">
        <v>87</v>
      </c>
      <c r="J4176" s="19"/>
      <c r="L4176" s="16" t="str">
        <f>IFERROR(__xludf.DUMMYFUNCTION("""COMPUTED_VALUE"""),"")</f>
        <v/>
      </c>
      <c r="M4176" s="16" t="str">
        <f>IFERROR(__xludf.DUMMYFUNCTION("""COMPUTED_VALUE"""),"")</f>
        <v/>
      </c>
      <c r="U4176" s="16" t="s">
        <v>87</v>
      </c>
      <c r="V4176" s="16" t="str">
        <f>IFERROR(__xludf.DUMMYFUNCTION("""COMPUTED_VALUE"""),"")</f>
        <v/>
      </c>
      <c r="W4176" s="16" t="str">
        <f>IFERROR(__xludf.DUMMYFUNCTION("""COMPUTED_VALUE"""),"")</f>
        <v/>
      </c>
      <c r="X4176" s="16" t="str">
        <f>IFERROR(__xludf.DUMMYFUNCTION("""COMPUTED_VALUE"""),"")</f>
        <v/>
      </c>
      <c r="AC4176" s="16" t="str">
        <f>IFERROR(__xludf.DUMMYFUNCTION("""COMPUTED_VALUE"""),"")</f>
        <v/>
      </c>
    </row>
    <row r="4177">
      <c r="A4177" s="16" t="s">
        <v>87</v>
      </c>
      <c r="E4177" s="16" t="str">
        <f>IFERROR(__xludf.DUMMYFUNCTION("""COMPUTED_VALUE"""),"")</f>
        <v/>
      </c>
      <c r="G4177" s="18"/>
      <c r="H4177" s="16" t="s">
        <v>87</v>
      </c>
      <c r="I4177" s="16" t="s">
        <v>87</v>
      </c>
      <c r="J4177" s="19"/>
      <c r="L4177" s="16" t="str">
        <f>IFERROR(__xludf.DUMMYFUNCTION("""COMPUTED_VALUE"""),"")</f>
        <v/>
      </c>
      <c r="M4177" s="16" t="str">
        <f>IFERROR(__xludf.DUMMYFUNCTION("""COMPUTED_VALUE"""),"")</f>
        <v/>
      </c>
      <c r="U4177" s="16" t="s">
        <v>87</v>
      </c>
      <c r="V4177" s="16" t="str">
        <f>IFERROR(__xludf.DUMMYFUNCTION("""COMPUTED_VALUE"""),"")</f>
        <v/>
      </c>
      <c r="W4177" s="16" t="str">
        <f>IFERROR(__xludf.DUMMYFUNCTION("""COMPUTED_VALUE"""),"")</f>
        <v/>
      </c>
      <c r="X4177" s="16" t="str">
        <f>IFERROR(__xludf.DUMMYFUNCTION("""COMPUTED_VALUE"""),"")</f>
        <v/>
      </c>
      <c r="AC4177" s="16" t="str">
        <f>IFERROR(__xludf.DUMMYFUNCTION("""COMPUTED_VALUE"""),"")</f>
        <v/>
      </c>
    </row>
    <row r="4178">
      <c r="A4178" s="16" t="s">
        <v>87</v>
      </c>
      <c r="E4178" s="16" t="str">
        <f>IFERROR(__xludf.DUMMYFUNCTION("""COMPUTED_VALUE"""),"")</f>
        <v/>
      </c>
      <c r="G4178" s="18"/>
      <c r="H4178" s="16" t="s">
        <v>87</v>
      </c>
      <c r="I4178" s="16" t="s">
        <v>87</v>
      </c>
      <c r="J4178" s="19"/>
      <c r="L4178" s="16" t="str">
        <f>IFERROR(__xludf.DUMMYFUNCTION("""COMPUTED_VALUE"""),"")</f>
        <v/>
      </c>
      <c r="M4178" s="16" t="str">
        <f>IFERROR(__xludf.DUMMYFUNCTION("""COMPUTED_VALUE"""),"")</f>
        <v/>
      </c>
      <c r="U4178" s="16" t="s">
        <v>87</v>
      </c>
      <c r="V4178" s="16" t="str">
        <f>IFERROR(__xludf.DUMMYFUNCTION("""COMPUTED_VALUE"""),"")</f>
        <v/>
      </c>
      <c r="W4178" s="16" t="str">
        <f>IFERROR(__xludf.DUMMYFUNCTION("""COMPUTED_VALUE"""),"")</f>
        <v/>
      </c>
      <c r="X4178" s="16" t="str">
        <f>IFERROR(__xludf.DUMMYFUNCTION("""COMPUTED_VALUE"""),"")</f>
        <v/>
      </c>
      <c r="AC4178" s="16" t="str">
        <f>IFERROR(__xludf.DUMMYFUNCTION("""COMPUTED_VALUE"""),"")</f>
        <v/>
      </c>
    </row>
    <row r="4179">
      <c r="A4179" s="16" t="s">
        <v>87</v>
      </c>
      <c r="E4179" s="16" t="str">
        <f>IFERROR(__xludf.DUMMYFUNCTION("""COMPUTED_VALUE"""),"")</f>
        <v/>
      </c>
      <c r="G4179" s="18"/>
      <c r="H4179" s="16" t="s">
        <v>87</v>
      </c>
      <c r="I4179" s="16" t="s">
        <v>87</v>
      </c>
      <c r="J4179" s="19"/>
      <c r="L4179" s="16" t="str">
        <f>IFERROR(__xludf.DUMMYFUNCTION("""COMPUTED_VALUE"""),"")</f>
        <v/>
      </c>
      <c r="M4179" s="16" t="str">
        <f>IFERROR(__xludf.DUMMYFUNCTION("""COMPUTED_VALUE"""),"")</f>
        <v/>
      </c>
      <c r="U4179" s="16" t="s">
        <v>87</v>
      </c>
      <c r="V4179" s="16" t="str">
        <f>IFERROR(__xludf.DUMMYFUNCTION("""COMPUTED_VALUE"""),"")</f>
        <v/>
      </c>
      <c r="W4179" s="16" t="str">
        <f>IFERROR(__xludf.DUMMYFUNCTION("""COMPUTED_VALUE"""),"")</f>
        <v/>
      </c>
      <c r="X4179" s="16" t="str">
        <f>IFERROR(__xludf.DUMMYFUNCTION("""COMPUTED_VALUE"""),"")</f>
        <v/>
      </c>
      <c r="AC4179" s="16" t="str">
        <f>IFERROR(__xludf.DUMMYFUNCTION("""COMPUTED_VALUE"""),"")</f>
        <v/>
      </c>
    </row>
    <row r="4180">
      <c r="A4180" s="16" t="s">
        <v>87</v>
      </c>
      <c r="E4180" s="16" t="str">
        <f>IFERROR(__xludf.DUMMYFUNCTION("""COMPUTED_VALUE"""),"")</f>
        <v/>
      </c>
      <c r="G4180" s="18"/>
      <c r="H4180" s="16" t="s">
        <v>87</v>
      </c>
      <c r="I4180" s="16" t="s">
        <v>87</v>
      </c>
      <c r="J4180" s="19"/>
      <c r="L4180" s="16" t="str">
        <f>IFERROR(__xludf.DUMMYFUNCTION("""COMPUTED_VALUE"""),"")</f>
        <v/>
      </c>
      <c r="M4180" s="16" t="str">
        <f>IFERROR(__xludf.DUMMYFUNCTION("""COMPUTED_VALUE"""),"")</f>
        <v/>
      </c>
      <c r="U4180" s="16" t="s">
        <v>87</v>
      </c>
      <c r="V4180" s="16" t="str">
        <f>IFERROR(__xludf.DUMMYFUNCTION("""COMPUTED_VALUE"""),"")</f>
        <v/>
      </c>
      <c r="W4180" s="16" t="str">
        <f>IFERROR(__xludf.DUMMYFUNCTION("""COMPUTED_VALUE"""),"")</f>
        <v/>
      </c>
      <c r="X4180" s="16" t="str">
        <f>IFERROR(__xludf.DUMMYFUNCTION("""COMPUTED_VALUE"""),"")</f>
        <v/>
      </c>
      <c r="AC4180" s="16" t="str">
        <f>IFERROR(__xludf.DUMMYFUNCTION("""COMPUTED_VALUE"""),"")</f>
        <v/>
      </c>
    </row>
    <row r="4181">
      <c r="A4181" s="16" t="s">
        <v>87</v>
      </c>
      <c r="E4181" s="16" t="str">
        <f>IFERROR(__xludf.DUMMYFUNCTION("""COMPUTED_VALUE"""),"")</f>
        <v/>
      </c>
      <c r="G4181" s="18"/>
      <c r="H4181" s="16" t="s">
        <v>87</v>
      </c>
      <c r="I4181" s="16" t="s">
        <v>87</v>
      </c>
      <c r="J4181" s="19"/>
      <c r="L4181" s="16" t="str">
        <f>IFERROR(__xludf.DUMMYFUNCTION("""COMPUTED_VALUE"""),"")</f>
        <v/>
      </c>
      <c r="M4181" s="16" t="str">
        <f>IFERROR(__xludf.DUMMYFUNCTION("""COMPUTED_VALUE"""),"")</f>
        <v/>
      </c>
      <c r="U4181" s="16" t="s">
        <v>87</v>
      </c>
      <c r="V4181" s="16" t="str">
        <f>IFERROR(__xludf.DUMMYFUNCTION("""COMPUTED_VALUE"""),"")</f>
        <v/>
      </c>
      <c r="W4181" s="16" t="str">
        <f>IFERROR(__xludf.DUMMYFUNCTION("""COMPUTED_VALUE"""),"")</f>
        <v/>
      </c>
      <c r="X4181" s="16" t="str">
        <f>IFERROR(__xludf.DUMMYFUNCTION("""COMPUTED_VALUE"""),"")</f>
        <v/>
      </c>
      <c r="AC4181" s="16" t="str">
        <f>IFERROR(__xludf.DUMMYFUNCTION("""COMPUTED_VALUE"""),"")</f>
        <v/>
      </c>
    </row>
    <row r="4182">
      <c r="A4182" s="16" t="s">
        <v>87</v>
      </c>
      <c r="E4182" s="16" t="str">
        <f>IFERROR(__xludf.DUMMYFUNCTION("""COMPUTED_VALUE"""),"")</f>
        <v/>
      </c>
      <c r="G4182" s="18"/>
      <c r="H4182" s="16" t="s">
        <v>87</v>
      </c>
      <c r="I4182" s="16" t="s">
        <v>87</v>
      </c>
      <c r="J4182" s="19"/>
      <c r="L4182" s="16" t="str">
        <f>IFERROR(__xludf.DUMMYFUNCTION("""COMPUTED_VALUE"""),"")</f>
        <v/>
      </c>
      <c r="M4182" s="16" t="str">
        <f>IFERROR(__xludf.DUMMYFUNCTION("""COMPUTED_VALUE"""),"")</f>
        <v/>
      </c>
      <c r="U4182" s="16" t="s">
        <v>87</v>
      </c>
      <c r="V4182" s="16" t="str">
        <f>IFERROR(__xludf.DUMMYFUNCTION("""COMPUTED_VALUE"""),"")</f>
        <v/>
      </c>
      <c r="W4182" s="16" t="str">
        <f>IFERROR(__xludf.DUMMYFUNCTION("""COMPUTED_VALUE"""),"")</f>
        <v/>
      </c>
      <c r="X4182" s="16" t="str">
        <f>IFERROR(__xludf.DUMMYFUNCTION("""COMPUTED_VALUE"""),"")</f>
        <v/>
      </c>
      <c r="AC4182" s="16" t="str">
        <f>IFERROR(__xludf.DUMMYFUNCTION("""COMPUTED_VALUE"""),"")</f>
        <v/>
      </c>
    </row>
    <row r="4183">
      <c r="A4183" s="16" t="s">
        <v>87</v>
      </c>
      <c r="E4183" s="16" t="str">
        <f>IFERROR(__xludf.DUMMYFUNCTION("""COMPUTED_VALUE"""),"")</f>
        <v/>
      </c>
      <c r="G4183" s="18"/>
      <c r="H4183" s="16" t="s">
        <v>87</v>
      </c>
      <c r="I4183" s="16" t="s">
        <v>87</v>
      </c>
      <c r="J4183" s="19"/>
      <c r="L4183" s="16" t="str">
        <f>IFERROR(__xludf.DUMMYFUNCTION("""COMPUTED_VALUE"""),"")</f>
        <v/>
      </c>
      <c r="M4183" s="16" t="str">
        <f>IFERROR(__xludf.DUMMYFUNCTION("""COMPUTED_VALUE"""),"")</f>
        <v/>
      </c>
      <c r="U4183" s="16" t="s">
        <v>87</v>
      </c>
      <c r="V4183" s="16" t="str">
        <f>IFERROR(__xludf.DUMMYFUNCTION("""COMPUTED_VALUE"""),"")</f>
        <v/>
      </c>
      <c r="W4183" s="16" t="str">
        <f>IFERROR(__xludf.DUMMYFUNCTION("""COMPUTED_VALUE"""),"")</f>
        <v/>
      </c>
      <c r="X4183" s="16" t="str">
        <f>IFERROR(__xludf.DUMMYFUNCTION("""COMPUTED_VALUE"""),"")</f>
        <v/>
      </c>
      <c r="AC4183" s="16" t="str">
        <f>IFERROR(__xludf.DUMMYFUNCTION("""COMPUTED_VALUE"""),"")</f>
        <v/>
      </c>
    </row>
    <row r="4184">
      <c r="A4184" s="16" t="s">
        <v>87</v>
      </c>
      <c r="E4184" s="16" t="str">
        <f>IFERROR(__xludf.DUMMYFUNCTION("""COMPUTED_VALUE"""),"")</f>
        <v/>
      </c>
      <c r="G4184" s="18"/>
      <c r="H4184" s="16" t="s">
        <v>87</v>
      </c>
      <c r="I4184" s="16" t="s">
        <v>87</v>
      </c>
      <c r="J4184" s="19"/>
      <c r="L4184" s="16" t="str">
        <f>IFERROR(__xludf.DUMMYFUNCTION("""COMPUTED_VALUE"""),"")</f>
        <v/>
      </c>
      <c r="M4184" s="16" t="str">
        <f>IFERROR(__xludf.DUMMYFUNCTION("""COMPUTED_VALUE"""),"")</f>
        <v/>
      </c>
      <c r="U4184" s="16" t="s">
        <v>87</v>
      </c>
      <c r="V4184" s="16" t="str">
        <f>IFERROR(__xludf.DUMMYFUNCTION("""COMPUTED_VALUE"""),"")</f>
        <v/>
      </c>
      <c r="W4184" s="16" t="str">
        <f>IFERROR(__xludf.DUMMYFUNCTION("""COMPUTED_VALUE"""),"")</f>
        <v/>
      </c>
      <c r="X4184" s="16" t="str">
        <f>IFERROR(__xludf.DUMMYFUNCTION("""COMPUTED_VALUE"""),"")</f>
        <v/>
      </c>
      <c r="AC4184" s="16" t="str">
        <f>IFERROR(__xludf.DUMMYFUNCTION("""COMPUTED_VALUE"""),"")</f>
        <v/>
      </c>
    </row>
    <row r="4185">
      <c r="A4185" s="16" t="s">
        <v>87</v>
      </c>
      <c r="E4185" s="16" t="str">
        <f>IFERROR(__xludf.DUMMYFUNCTION("""COMPUTED_VALUE"""),"")</f>
        <v/>
      </c>
      <c r="G4185" s="18"/>
      <c r="H4185" s="16" t="s">
        <v>87</v>
      </c>
      <c r="I4185" s="16" t="s">
        <v>87</v>
      </c>
      <c r="J4185" s="19"/>
      <c r="L4185" s="16" t="str">
        <f>IFERROR(__xludf.DUMMYFUNCTION("""COMPUTED_VALUE"""),"")</f>
        <v/>
      </c>
      <c r="M4185" s="16" t="str">
        <f>IFERROR(__xludf.DUMMYFUNCTION("""COMPUTED_VALUE"""),"")</f>
        <v/>
      </c>
      <c r="U4185" s="16" t="s">
        <v>87</v>
      </c>
      <c r="V4185" s="16" t="str">
        <f>IFERROR(__xludf.DUMMYFUNCTION("""COMPUTED_VALUE"""),"")</f>
        <v/>
      </c>
      <c r="W4185" s="16" t="str">
        <f>IFERROR(__xludf.DUMMYFUNCTION("""COMPUTED_VALUE"""),"")</f>
        <v/>
      </c>
      <c r="X4185" s="16" t="str">
        <f>IFERROR(__xludf.DUMMYFUNCTION("""COMPUTED_VALUE"""),"")</f>
        <v/>
      </c>
      <c r="AC4185" s="16" t="str">
        <f>IFERROR(__xludf.DUMMYFUNCTION("""COMPUTED_VALUE"""),"")</f>
        <v/>
      </c>
    </row>
    <row r="4186">
      <c r="A4186" s="16" t="s">
        <v>87</v>
      </c>
      <c r="E4186" s="16" t="str">
        <f>IFERROR(__xludf.DUMMYFUNCTION("""COMPUTED_VALUE"""),"")</f>
        <v/>
      </c>
      <c r="G4186" s="18"/>
      <c r="H4186" s="16" t="s">
        <v>87</v>
      </c>
      <c r="I4186" s="16" t="s">
        <v>87</v>
      </c>
      <c r="J4186" s="19"/>
      <c r="L4186" s="16" t="str">
        <f>IFERROR(__xludf.DUMMYFUNCTION("""COMPUTED_VALUE"""),"")</f>
        <v/>
      </c>
      <c r="M4186" s="16" t="str">
        <f>IFERROR(__xludf.DUMMYFUNCTION("""COMPUTED_VALUE"""),"")</f>
        <v/>
      </c>
      <c r="U4186" s="16" t="s">
        <v>87</v>
      </c>
      <c r="V4186" s="16" t="str">
        <f>IFERROR(__xludf.DUMMYFUNCTION("""COMPUTED_VALUE"""),"")</f>
        <v/>
      </c>
      <c r="W4186" s="16" t="str">
        <f>IFERROR(__xludf.DUMMYFUNCTION("""COMPUTED_VALUE"""),"")</f>
        <v/>
      </c>
      <c r="X4186" s="16" t="str">
        <f>IFERROR(__xludf.DUMMYFUNCTION("""COMPUTED_VALUE"""),"")</f>
        <v/>
      </c>
      <c r="AC4186" s="16" t="str">
        <f>IFERROR(__xludf.DUMMYFUNCTION("""COMPUTED_VALUE"""),"")</f>
        <v/>
      </c>
    </row>
    <row r="4187">
      <c r="A4187" s="16" t="s">
        <v>87</v>
      </c>
      <c r="E4187" s="16" t="str">
        <f>IFERROR(__xludf.DUMMYFUNCTION("""COMPUTED_VALUE"""),"")</f>
        <v/>
      </c>
      <c r="G4187" s="18"/>
      <c r="H4187" s="16" t="s">
        <v>87</v>
      </c>
      <c r="I4187" s="16" t="s">
        <v>87</v>
      </c>
      <c r="J4187" s="19"/>
      <c r="L4187" s="16" t="str">
        <f>IFERROR(__xludf.DUMMYFUNCTION("""COMPUTED_VALUE"""),"")</f>
        <v/>
      </c>
      <c r="M4187" s="16" t="str">
        <f>IFERROR(__xludf.DUMMYFUNCTION("""COMPUTED_VALUE"""),"")</f>
        <v/>
      </c>
      <c r="U4187" s="16" t="s">
        <v>87</v>
      </c>
      <c r="V4187" s="16" t="str">
        <f>IFERROR(__xludf.DUMMYFUNCTION("""COMPUTED_VALUE"""),"")</f>
        <v/>
      </c>
      <c r="W4187" s="16" t="str">
        <f>IFERROR(__xludf.DUMMYFUNCTION("""COMPUTED_VALUE"""),"")</f>
        <v/>
      </c>
      <c r="X4187" s="16" t="str">
        <f>IFERROR(__xludf.DUMMYFUNCTION("""COMPUTED_VALUE"""),"")</f>
        <v/>
      </c>
      <c r="AC4187" s="16" t="str">
        <f>IFERROR(__xludf.DUMMYFUNCTION("""COMPUTED_VALUE"""),"")</f>
        <v/>
      </c>
    </row>
    <row r="4188">
      <c r="A4188" s="16" t="s">
        <v>87</v>
      </c>
      <c r="E4188" s="16" t="str">
        <f>IFERROR(__xludf.DUMMYFUNCTION("""COMPUTED_VALUE"""),"")</f>
        <v/>
      </c>
      <c r="G4188" s="18"/>
      <c r="H4188" s="16" t="s">
        <v>87</v>
      </c>
      <c r="I4188" s="16" t="s">
        <v>87</v>
      </c>
      <c r="J4188" s="19"/>
      <c r="L4188" s="16" t="str">
        <f>IFERROR(__xludf.DUMMYFUNCTION("""COMPUTED_VALUE"""),"")</f>
        <v/>
      </c>
      <c r="M4188" s="16" t="str">
        <f>IFERROR(__xludf.DUMMYFUNCTION("""COMPUTED_VALUE"""),"")</f>
        <v/>
      </c>
      <c r="U4188" s="16" t="s">
        <v>87</v>
      </c>
      <c r="V4188" s="16" t="str">
        <f>IFERROR(__xludf.DUMMYFUNCTION("""COMPUTED_VALUE"""),"")</f>
        <v/>
      </c>
      <c r="W4188" s="16" t="str">
        <f>IFERROR(__xludf.DUMMYFUNCTION("""COMPUTED_VALUE"""),"")</f>
        <v/>
      </c>
      <c r="X4188" s="16" t="str">
        <f>IFERROR(__xludf.DUMMYFUNCTION("""COMPUTED_VALUE"""),"")</f>
        <v/>
      </c>
      <c r="AC4188" s="16" t="str">
        <f>IFERROR(__xludf.DUMMYFUNCTION("""COMPUTED_VALUE"""),"")</f>
        <v/>
      </c>
    </row>
    <row r="4189">
      <c r="A4189" s="16" t="s">
        <v>87</v>
      </c>
      <c r="E4189" s="16" t="str">
        <f>IFERROR(__xludf.DUMMYFUNCTION("""COMPUTED_VALUE"""),"")</f>
        <v/>
      </c>
      <c r="G4189" s="18"/>
      <c r="H4189" s="16" t="s">
        <v>87</v>
      </c>
      <c r="I4189" s="16" t="s">
        <v>87</v>
      </c>
      <c r="J4189" s="19"/>
      <c r="L4189" s="16" t="str">
        <f>IFERROR(__xludf.DUMMYFUNCTION("""COMPUTED_VALUE"""),"")</f>
        <v/>
      </c>
      <c r="M4189" s="16" t="str">
        <f>IFERROR(__xludf.DUMMYFUNCTION("""COMPUTED_VALUE"""),"")</f>
        <v/>
      </c>
      <c r="U4189" s="16" t="s">
        <v>87</v>
      </c>
      <c r="V4189" s="16" t="str">
        <f>IFERROR(__xludf.DUMMYFUNCTION("""COMPUTED_VALUE"""),"")</f>
        <v/>
      </c>
      <c r="W4189" s="16" t="str">
        <f>IFERROR(__xludf.DUMMYFUNCTION("""COMPUTED_VALUE"""),"")</f>
        <v/>
      </c>
      <c r="X4189" s="16" t="str">
        <f>IFERROR(__xludf.DUMMYFUNCTION("""COMPUTED_VALUE"""),"")</f>
        <v/>
      </c>
      <c r="AC4189" s="16" t="str">
        <f>IFERROR(__xludf.DUMMYFUNCTION("""COMPUTED_VALUE"""),"")</f>
        <v/>
      </c>
    </row>
    <row r="4190">
      <c r="A4190" s="16" t="s">
        <v>87</v>
      </c>
      <c r="E4190" s="16" t="str">
        <f>IFERROR(__xludf.DUMMYFUNCTION("""COMPUTED_VALUE"""),"")</f>
        <v/>
      </c>
      <c r="G4190" s="18"/>
      <c r="H4190" s="16" t="s">
        <v>87</v>
      </c>
      <c r="I4190" s="16" t="s">
        <v>87</v>
      </c>
      <c r="J4190" s="19"/>
      <c r="L4190" s="16" t="str">
        <f>IFERROR(__xludf.DUMMYFUNCTION("""COMPUTED_VALUE"""),"")</f>
        <v/>
      </c>
      <c r="M4190" s="16" t="str">
        <f>IFERROR(__xludf.DUMMYFUNCTION("""COMPUTED_VALUE"""),"")</f>
        <v/>
      </c>
      <c r="U4190" s="16" t="s">
        <v>87</v>
      </c>
      <c r="V4190" s="16" t="str">
        <f>IFERROR(__xludf.DUMMYFUNCTION("""COMPUTED_VALUE"""),"")</f>
        <v/>
      </c>
      <c r="W4190" s="16" t="str">
        <f>IFERROR(__xludf.DUMMYFUNCTION("""COMPUTED_VALUE"""),"")</f>
        <v/>
      </c>
      <c r="X4190" s="16" t="str">
        <f>IFERROR(__xludf.DUMMYFUNCTION("""COMPUTED_VALUE"""),"")</f>
        <v/>
      </c>
      <c r="AC4190" s="16" t="str">
        <f>IFERROR(__xludf.DUMMYFUNCTION("""COMPUTED_VALUE"""),"")</f>
        <v/>
      </c>
    </row>
    <row r="4191">
      <c r="A4191" s="16" t="s">
        <v>87</v>
      </c>
      <c r="E4191" s="16" t="str">
        <f>IFERROR(__xludf.DUMMYFUNCTION("""COMPUTED_VALUE"""),"")</f>
        <v/>
      </c>
      <c r="G4191" s="18"/>
      <c r="H4191" s="16" t="s">
        <v>87</v>
      </c>
      <c r="I4191" s="16" t="s">
        <v>87</v>
      </c>
      <c r="J4191" s="19"/>
      <c r="L4191" s="16" t="str">
        <f>IFERROR(__xludf.DUMMYFUNCTION("""COMPUTED_VALUE"""),"")</f>
        <v/>
      </c>
      <c r="M4191" s="16" t="str">
        <f>IFERROR(__xludf.DUMMYFUNCTION("""COMPUTED_VALUE"""),"")</f>
        <v/>
      </c>
      <c r="U4191" s="16" t="s">
        <v>87</v>
      </c>
      <c r="V4191" s="16" t="str">
        <f>IFERROR(__xludf.DUMMYFUNCTION("""COMPUTED_VALUE"""),"")</f>
        <v/>
      </c>
      <c r="W4191" s="16" t="str">
        <f>IFERROR(__xludf.DUMMYFUNCTION("""COMPUTED_VALUE"""),"")</f>
        <v/>
      </c>
      <c r="X4191" s="16" t="str">
        <f>IFERROR(__xludf.DUMMYFUNCTION("""COMPUTED_VALUE"""),"")</f>
        <v/>
      </c>
      <c r="AC4191" s="16" t="str">
        <f>IFERROR(__xludf.DUMMYFUNCTION("""COMPUTED_VALUE"""),"")</f>
        <v/>
      </c>
    </row>
    <row r="4192">
      <c r="A4192" s="16" t="s">
        <v>87</v>
      </c>
      <c r="E4192" s="16" t="str">
        <f>IFERROR(__xludf.DUMMYFUNCTION("""COMPUTED_VALUE"""),"")</f>
        <v/>
      </c>
      <c r="G4192" s="18"/>
      <c r="H4192" s="16" t="s">
        <v>87</v>
      </c>
      <c r="I4192" s="16" t="s">
        <v>87</v>
      </c>
      <c r="J4192" s="19"/>
      <c r="L4192" s="16" t="str">
        <f>IFERROR(__xludf.DUMMYFUNCTION("""COMPUTED_VALUE"""),"")</f>
        <v/>
      </c>
      <c r="M4192" s="16" t="str">
        <f>IFERROR(__xludf.DUMMYFUNCTION("""COMPUTED_VALUE"""),"")</f>
        <v/>
      </c>
      <c r="U4192" s="16" t="s">
        <v>87</v>
      </c>
      <c r="V4192" s="16" t="str">
        <f>IFERROR(__xludf.DUMMYFUNCTION("""COMPUTED_VALUE"""),"")</f>
        <v/>
      </c>
      <c r="W4192" s="16" t="str">
        <f>IFERROR(__xludf.DUMMYFUNCTION("""COMPUTED_VALUE"""),"")</f>
        <v/>
      </c>
      <c r="X4192" s="16" t="str">
        <f>IFERROR(__xludf.DUMMYFUNCTION("""COMPUTED_VALUE"""),"")</f>
        <v/>
      </c>
      <c r="AC4192" s="16" t="str">
        <f>IFERROR(__xludf.DUMMYFUNCTION("""COMPUTED_VALUE"""),"")</f>
        <v/>
      </c>
    </row>
    <row r="4193">
      <c r="A4193" s="16" t="s">
        <v>87</v>
      </c>
      <c r="E4193" s="16" t="str">
        <f>IFERROR(__xludf.DUMMYFUNCTION("""COMPUTED_VALUE"""),"")</f>
        <v/>
      </c>
      <c r="G4193" s="18"/>
      <c r="H4193" s="16" t="s">
        <v>87</v>
      </c>
      <c r="I4193" s="16" t="s">
        <v>87</v>
      </c>
      <c r="J4193" s="19"/>
      <c r="L4193" s="16" t="str">
        <f>IFERROR(__xludf.DUMMYFUNCTION("""COMPUTED_VALUE"""),"")</f>
        <v/>
      </c>
      <c r="M4193" s="16" t="str">
        <f>IFERROR(__xludf.DUMMYFUNCTION("""COMPUTED_VALUE"""),"")</f>
        <v/>
      </c>
      <c r="U4193" s="16" t="s">
        <v>87</v>
      </c>
      <c r="V4193" s="16" t="str">
        <f>IFERROR(__xludf.DUMMYFUNCTION("""COMPUTED_VALUE"""),"")</f>
        <v/>
      </c>
      <c r="W4193" s="16" t="str">
        <f>IFERROR(__xludf.DUMMYFUNCTION("""COMPUTED_VALUE"""),"")</f>
        <v/>
      </c>
      <c r="X4193" s="16" t="str">
        <f>IFERROR(__xludf.DUMMYFUNCTION("""COMPUTED_VALUE"""),"")</f>
        <v/>
      </c>
      <c r="AC4193" s="16" t="str">
        <f>IFERROR(__xludf.DUMMYFUNCTION("""COMPUTED_VALUE"""),"")</f>
        <v/>
      </c>
    </row>
    <row r="4194">
      <c r="A4194" s="16" t="s">
        <v>87</v>
      </c>
      <c r="E4194" s="16" t="str">
        <f>IFERROR(__xludf.DUMMYFUNCTION("""COMPUTED_VALUE"""),"")</f>
        <v/>
      </c>
      <c r="G4194" s="18"/>
      <c r="H4194" s="16" t="s">
        <v>87</v>
      </c>
      <c r="I4194" s="16" t="s">
        <v>87</v>
      </c>
      <c r="J4194" s="19"/>
      <c r="L4194" s="16" t="str">
        <f>IFERROR(__xludf.DUMMYFUNCTION("""COMPUTED_VALUE"""),"")</f>
        <v/>
      </c>
      <c r="M4194" s="16" t="str">
        <f>IFERROR(__xludf.DUMMYFUNCTION("""COMPUTED_VALUE"""),"")</f>
        <v/>
      </c>
      <c r="U4194" s="16" t="s">
        <v>87</v>
      </c>
      <c r="V4194" s="16" t="str">
        <f>IFERROR(__xludf.DUMMYFUNCTION("""COMPUTED_VALUE"""),"")</f>
        <v/>
      </c>
      <c r="W4194" s="16" t="str">
        <f>IFERROR(__xludf.DUMMYFUNCTION("""COMPUTED_VALUE"""),"")</f>
        <v/>
      </c>
      <c r="X4194" s="16" t="str">
        <f>IFERROR(__xludf.DUMMYFUNCTION("""COMPUTED_VALUE"""),"")</f>
        <v/>
      </c>
      <c r="AC4194" s="16" t="str">
        <f>IFERROR(__xludf.DUMMYFUNCTION("""COMPUTED_VALUE"""),"")</f>
        <v/>
      </c>
    </row>
    <row r="4195">
      <c r="A4195" s="16" t="s">
        <v>87</v>
      </c>
      <c r="E4195" s="16" t="str">
        <f>IFERROR(__xludf.DUMMYFUNCTION("""COMPUTED_VALUE"""),"")</f>
        <v/>
      </c>
      <c r="G4195" s="18"/>
      <c r="H4195" s="16" t="s">
        <v>87</v>
      </c>
      <c r="I4195" s="16" t="s">
        <v>87</v>
      </c>
      <c r="J4195" s="19"/>
      <c r="L4195" s="16" t="str">
        <f>IFERROR(__xludf.DUMMYFUNCTION("""COMPUTED_VALUE"""),"")</f>
        <v/>
      </c>
      <c r="M4195" s="16" t="str">
        <f>IFERROR(__xludf.DUMMYFUNCTION("""COMPUTED_VALUE"""),"")</f>
        <v/>
      </c>
      <c r="U4195" s="16" t="s">
        <v>87</v>
      </c>
      <c r="V4195" s="16" t="str">
        <f>IFERROR(__xludf.DUMMYFUNCTION("""COMPUTED_VALUE"""),"")</f>
        <v/>
      </c>
      <c r="W4195" s="16" t="str">
        <f>IFERROR(__xludf.DUMMYFUNCTION("""COMPUTED_VALUE"""),"")</f>
        <v/>
      </c>
      <c r="X4195" s="16" t="str">
        <f>IFERROR(__xludf.DUMMYFUNCTION("""COMPUTED_VALUE"""),"")</f>
        <v/>
      </c>
      <c r="AC4195" s="16" t="str">
        <f>IFERROR(__xludf.DUMMYFUNCTION("""COMPUTED_VALUE"""),"")</f>
        <v/>
      </c>
    </row>
    <row r="4196">
      <c r="A4196" s="16" t="s">
        <v>87</v>
      </c>
      <c r="E4196" s="16" t="str">
        <f>IFERROR(__xludf.DUMMYFUNCTION("""COMPUTED_VALUE"""),"")</f>
        <v/>
      </c>
      <c r="G4196" s="18"/>
      <c r="H4196" s="16" t="s">
        <v>87</v>
      </c>
      <c r="I4196" s="16" t="s">
        <v>87</v>
      </c>
      <c r="J4196" s="19"/>
      <c r="L4196" s="16" t="str">
        <f>IFERROR(__xludf.DUMMYFUNCTION("""COMPUTED_VALUE"""),"")</f>
        <v/>
      </c>
      <c r="M4196" s="16" t="str">
        <f>IFERROR(__xludf.DUMMYFUNCTION("""COMPUTED_VALUE"""),"")</f>
        <v/>
      </c>
      <c r="U4196" s="16" t="s">
        <v>87</v>
      </c>
      <c r="V4196" s="16" t="str">
        <f>IFERROR(__xludf.DUMMYFUNCTION("""COMPUTED_VALUE"""),"")</f>
        <v/>
      </c>
      <c r="W4196" s="16" t="str">
        <f>IFERROR(__xludf.DUMMYFUNCTION("""COMPUTED_VALUE"""),"")</f>
        <v/>
      </c>
      <c r="X4196" s="16" t="str">
        <f>IFERROR(__xludf.DUMMYFUNCTION("""COMPUTED_VALUE"""),"")</f>
        <v/>
      </c>
      <c r="AC4196" s="16" t="str">
        <f>IFERROR(__xludf.DUMMYFUNCTION("""COMPUTED_VALUE"""),"")</f>
        <v/>
      </c>
    </row>
    <row r="4197">
      <c r="A4197" s="16" t="s">
        <v>87</v>
      </c>
      <c r="E4197" s="16" t="str">
        <f>IFERROR(__xludf.DUMMYFUNCTION("""COMPUTED_VALUE"""),"")</f>
        <v/>
      </c>
      <c r="G4197" s="18"/>
      <c r="H4197" s="16" t="s">
        <v>87</v>
      </c>
      <c r="I4197" s="16" t="s">
        <v>87</v>
      </c>
      <c r="J4197" s="19"/>
      <c r="L4197" s="16" t="str">
        <f>IFERROR(__xludf.DUMMYFUNCTION("""COMPUTED_VALUE"""),"")</f>
        <v/>
      </c>
      <c r="M4197" s="16" t="str">
        <f>IFERROR(__xludf.DUMMYFUNCTION("""COMPUTED_VALUE"""),"")</f>
        <v/>
      </c>
      <c r="U4197" s="16" t="s">
        <v>87</v>
      </c>
      <c r="V4197" s="16" t="str">
        <f>IFERROR(__xludf.DUMMYFUNCTION("""COMPUTED_VALUE"""),"")</f>
        <v/>
      </c>
      <c r="W4197" s="16" t="str">
        <f>IFERROR(__xludf.DUMMYFUNCTION("""COMPUTED_VALUE"""),"")</f>
        <v/>
      </c>
      <c r="X4197" s="16" t="str">
        <f>IFERROR(__xludf.DUMMYFUNCTION("""COMPUTED_VALUE"""),"")</f>
        <v/>
      </c>
      <c r="AC4197" s="16" t="str">
        <f>IFERROR(__xludf.DUMMYFUNCTION("""COMPUTED_VALUE"""),"")</f>
        <v/>
      </c>
    </row>
    <row r="4198">
      <c r="A4198" s="16" t="s">
        <v>87</v>
      </c>
      <c r="E4198" s="16" t="str">
        <f>IFERROR(__xludf.DUMMYFUNCTION("""COMPUTED_VALUE"""),"")</f>
        <v/>
      </c>
      <c r="G4198" s="18"/>
      <c r="H4198" s="16" t="s">
        <v>87</v>
      </c>
      <c r="I4198" s="16" t="s">
        <v>87</v>
      </c>
      <c r="J4198" s="19"/>
      <c r="L4198" s="16" t="str">
        <f>IFERROR(__xludf.DUMMYFUNCTION("""COMPUTED_VALUE"""),"")</f>
        <v/>
      </c>
      <c r="M4198" s="16" t="str">
        <f>IFERROR(__xludf.DUMMYFUNCTION("""COMPUTED_VALUE"""),"")</f>
        <v/>
      </c>
      <c r="U4198" s="16" t="s">
        <v>87</v>
      </c>
      <c r="V4198" s="16" t="str">
        <f>IFERROR(__xludf.DUMMYFUNCTION("""COMPUTED_VALUE"""),"")</f>
        <v/>
      </c>
      <c r="W4198" s="16" t="str">
        <f>IFERROR(__xludf.DUMMYFUNCTION("""COMPUTED_VALUE"""),"")</f>
        <v/>
      </c>
      <c r="X4198" s="16" t="str">
        <f>IFERROR(__xludf.DUMMYFUNCTION("""COMPUTED_VALUE"""),"")</f>
        <v/>
      </c>
      <c r="AC4198" s="16" t="str">
        <f>IFERROR(__xludf.DUMMYFUNCTION("""COMPUTED_VALUE"""),"")</f>
        <v/>
      </c>
    </row>
    <row r="4199">
      <c r="A4199" s="16" t="s">
        <v>87</v>
      </c>
      <c r="E4199" s="16" t="str">
        <f>IFERROR(__xludf.DUMMYFUNCTION("""COMPUTED_VALUE"""),"")</f>
        <v/>
      </c>
      <c r="G4199" s="18"/>
      <c r="H4199" s="16" t="s">
        <v>87</v>
      </c>
      <c r="I4199" s="16" t="s">
        <v>87</v>
      </c>
      <c r="J4199" s="19"/>
      <c r="L4199" s="16" t="str">
        <f>IFERROR(__xludf.DUMMYFUNCTION("""COMPUTED_VALUE"""),"")</f>
        <v/>
      </c>
      <c r="M4199" s="16" t="str">
        <f>IFERROR(__xludf.DUMMYFUNCTION("""COMPUTED_VALUE"""),"")</f>
        <v/>
      </c>
      <c r="U4199" s="16" t="s">
        <v>87</v>
      </c>
      <c r="V4199" s="16" t="str">
        <f>IFERROR(__xludf.DUMMYFUNCTION("""COMPUTED_VALUE"""),"")</f>
        <v/>
      </c>
      <c r="W4199" s="16" t="str">
        <f>IFERROR(__xludf.DUMMYFUNCTION("""COMPUTED_VALUE"""),"")</f>
        <v/>
      </c>
      <c r="X4199" s="16" t="str">
        <f>IFERROR(__xludf.DUMMYFUNCTION("""COMPUTED_VALUE"""),"")</f>
        <v/>
      </c>
      <c r="AC4199" s="16" t="str">
        <f>IFERROR(__xludf.DUMMYFUNCTION("""COMPUTED_VALUE"""),"")</f>
        <v/>
      </c>
    </row>
    <row r="4200">
      <c r="A4200" s="16" t="s">
        <v>87</v>
      </c>
      <c r="E4200" s="16" t="str">
        <f>IFERROR(__xludf.DUMMYFUNCTION("""COMPUTED_VALUE"""),"")</f>
        <v/>
      </c>
      <c r="G4200" s="18"/>
      <c r="H4200" s="16" t="s">
        <v>87</v>
      </c>
      <c r="I4200" s="16" t="s">
        <v>87</v>
      </c>
      <c r="J4200" s="19"/>
      <c r="L4200" s="16" t="str">
        <f>IFERROR(__xludf.DUMMYFUNCTION("""COMPUTED_VALUE"""),"")</f>
        <v/>
      </c>
      <c r="M4200" s="16" t="str">
        <f>IFERROR(__xludf.DUMMYFUNCTION("""COMPUTED_VALUE"""),"")</f>
        <v/>
      </c>
      <c r="U4200" s="16" t="s">
        <v>87</v>
      </c>
      <c r="V4200" s="16" t="str">
        <f>IFERROR(__xludf.DUMMYFUNCTION("""COMPUTED_VALUE"""),"")</f>
        <v/>
      </c>
      <c r="W4200" s="16" t="str">
        <f>IFERROR(__xludf.DUMMYFUNCTION("""COMPUTED_VALUE"""),"")</f>
        <v/>
      </c>
      <c r="X4200" s="16" t="str">
        <f>IFERROR(__xludf.DUMMYFUNCTION("""COMPUTED_VALUE"""),"")</f>
        <v/>
      </c>
      <c r="AC4200" s="16" t="str">
        <f>IFERROR(__xludf.DUMMYFUNCTION("""COMPUTED_VALUE"""),"")</f>
        <v/>
      </c>
    </row>
    <row r="4201">
      <c r="A4201" s="16" t="s">
        <v>87</v>
      </c>
      <c r="E4201" s="16" t="str">
        <f>IFERROR(__xludf.DUMMYFUNCTION("""COMPUTED_VALUE"""),"")</f>
        <v/>
      </c>
      <c r="G4201" s="18"/>
      <c r="H4201" s="16" t="s">
        <v>87</v>
      </c>
      <c r="I4201" s="16" t="s">
        <v>87</v>
      </c>
      <c r="J4201" s="19"/>
      <c r="L4201" s="16" t="str">
        <f>IFERROR(__xludf.DUMMYFUNCTION("""COMPUTED_VALUE"""),"")</f>
        <v/>
      </c>
      <c r="M4201" s="16" t="str">
        <f>IFERROR(__xludf.DUMMYFUNCTION("""COMPUTED_VALUE"""),"")</f>
        <v/>
      </c>
      <c r="U4201" s="16" t="s">
        <v>87</v>
      </c>
      <c r="V4201" s="16" t="str">
        <f>IFERROR(__xludf.DUMMYFUNCTION("""COMPUTED_VALUE"""),"")</f>
        <v/>
      </c>
      <c r="W4201" s="16" t="str">
        <f>IFERROR(__xludf.DUMMYFUNCTION("""COMPUTED_VALUE"""),"")</f>
        <v/>
      </c>
      <c r="X4201" s="16" t="str">
        <f>IFERROR(__xludf.DUMMYFUNCTION("""COMPUTED_VALUE"""),"")</f>
        <v/>
      </c>
      <c r="AC4201" s="16" t="str">
        <f>IFERROR(__xludf.DUMMYFUNCTION("""COMPUTED_VALUE"""),"")</f>
        <v/>
      </c>
    </row>
    <row r="4202">
      <c r="A4202" s="16" t="s">
        <v>87</v>
      </c>
      <c r="E4202" s="16" t="str">
        <f>IFERROR(__xludf.DUMMYFUNCTION("""COMPUTED_VALUE"""),"")</f>
        <v/>
      </c>
      <c r="G4202" s="18"/>
      <c r="H4202" s="16" t="s">
        <v>87</v>
      </c>
      <c r="I4202" s="16" t="s">
        <v>87</v>
      </c>
      <c r="J4202" s="19"/>
      <c r="L4202" s="16" t="str">
        <f>IFERROR(__xludf.DUMMYFUNCTION("""COMPUTED_VALUE"""),"")</f>
        <v/>
      </c>
      <c r="M4202" s="16" t="str">
        <f>IFERROR(__xludf.DUMMYFUNCTION("""COMPUTED_VALUE"""),"")</f>
        <v/>
      </c>
      <c r="U4202" s="16" t="s">
        <v>87</v>
      </c>
      <c r="V4202" s="16" t="str">
        <f>IFERROR(__xludf.DUMMYFUNCTION("""COMPUTED_VALUE"""),"")</f>
        <v/>
      </c>
      <c r="W4202" s="16" t="str">
        <f>IFERROR(__xludf.DUMMYFUNCTION("""COMPUTED_VALUE"""),"")</f>
        <v/>
      </c>
      <c r="X4202" s="16" t="str">
        <f>IFERROR(__xludf.DUMMYFUNCTION("""COMPUTED_VALUE"""),"")</f>
        <v/>
      </c>
      <c r="AC4202" s="16" t="str">
        <f>IFERROR(__xludf.DUMMYFUNCTION("""COMPUTED_VALUE"""),"")</f>
        <v/>
      </c>
    </row>
    <row r="4203">
      <c r="A4203" s="16" t="s">
        <v>87</v>
      </c>
      <c r="E4203" s="16" t="str">
        <f>IFERROR(__xludf.DUMMYFUNCTION("""COMPUTED_VALUE"""),"")</f>
        <v/>
      </c>
      <c r="G4203" s="18"/>
      <c r="H4203" s="16" t="s">
        <v>87</v>
      </c>
      <c r="I4203" s="16" t="s">
        <v>87</v>
      </c>
      <c r="J4203" s="19"/>
      <c r="L4203" s="16" t="str">
        <f>IFERROR(__xludf.DUMMYFUNCTION("""COMPUTED_VALUE"""),"")</f>
        <v/>
      </c>
      <c r="M4203" s="16" t="str">
        <f>IFERROR(__xludf.DUMMYFUNCTION("""COMPUTED_VALUE"""),"")</f>
        <v/>
      </c>
      <c r="U4203" s="16" t="s">
        <v>87</v>
      </c>
      <c r="V4203" s="16" t="str">
        <f>IFERROR(__xludf.DUMMYFUNCTION("""COMPUTED_VALUE"""),"")</f>
        <v/>
      </c>
      <c r="W4203" s="16" t="str">
        <f>IFERROR(__xludf.DUMMYFUNCTION("""COMPUTED_VALUE"""),"")</f>
        <v/>
      </c>
      <c r="X4203" s="16" t="str">
        <f>IFERROR(__xludf.DUMMYFUNCTION("""COMPUTED_VALUE"""),"")</f>
        <v/>
      </c>
      <c r="AC4203" s="16" t="str">
        <f>IFERROR(__xludf.DUMMYFUNCTION("""COMPUTED_VALUE"""),"")</f>
        <v/>
      </c>
    </row>
    <row r="4204">
      <c r="A4204" s="16" t="s">
        <v>87</v>
      </c>
      <c r="E4204" s="16" t="str">
        <f>IFERROR(__xludf.DUMMYFUNCTION("""COMPUTED_VALUE"""),"")</f>
        <v/>
      </c>
      <c r="G4204" s="18"/>
      <c r="H4204" s="16" t="s">
        <v>87</v>
      </c>
      <c r="I4204" s="16" t="s">
        <v>87</v>
      </c>
      <c r="J4204" s="19"/>
      <c r="L4204" s="16" t="str">
        <f>IFERROR(__xludf.DUMMYFUNCTION("""COMPUTED_VALUE"""),"")</f>
        <v/>
      </c>
      <c r="M4204" s="16" t="str">
        <f>IFERROR(__xludf.DUMMYFUNCTION("""COMPUTED_VALUE"""),"")</f>
        <v/>
      </c>
      <c r="U4204" s="16" t="s">
        <v>87</v>
      </c>
      <c r="V4204" s="16" t="str">
        <f>IFERROR(__xludf.DUMMYFUNCTION("""COMPUTED_VALUE"""),"")</f>
        <v/>
      </c>
      <c r="W4204" s="16" t="str">
        <f>IFERROR(__xludf.DUMMYFUNCTION("""COMPUTED_VALUE"""),"")</f>
        <v/>
      </c>
      <c r="X4204" s="16" t="str">
        <f>IFERROR(__xludf.DUMMYFUNCTION("""COMPUTED_VALUE"""),"")</f>
        <v/>
      </c>
      <c r="AC4204" s="16" t="str">
        <f>IFERROR(__xludf.DUMMYFUNCTION("""COMPUTED_VALUE"""),"")</f>
        <v/>
      </c>
    </row>
    <row r="4205">
      <c r="A4205" s="16" t="s">
        <v>87</v>
      </c>
      <c r="E4205" s="16" t="str">
        <f>IFERROR(__xludf.DUMMYFUNCTION("""COMPUTED_VALUE"""),"")</f>
        <v/>
      </c>
      <c r="G4205" s="18"/>
      <c r="H4205" s="16" t="s">
        <v>87</v>
      </c>
      <c r="I4205" s="16" t="s">
        <v>87</v>
      </c>
      <c r="J4205" s="19"/>
      <c r="L4205" s="16" t="str">
        <f>IFERROR(__xludf.DUMMYFUNCTION("""COMPUTED_VALUE"""),"")</f>
        <v/>
      </c>
      <c r="M4205" s="16" t="str">
        <f>IFERROR(__xludf.DUMMYFUNCTION("""COMPUTED_VALUE"""),"")</f>
        <v/>
      </c>
      <c r="U4205" s="16" t="s">
        <v>87</v>
      </c>
      <c r="V4205" s="16" t="str">
        <f>IFERROR(__xludf.DUMMYFUNCTION("""COMPUTED_VALUE"""),"")</f>
        <v/>
      </c>
      <c r="W4205" s="16" t="str">
        <f>IFERROR(__xludf.DUMMYFUNCTION("""COMPUTED_VALUE"""),"")</f>
        <v/>
      </c>
      <c r="X4205" s="16" t="str">
        <f>IFERROR(__xludf.DUMMYFUNCTION("""COMPUTED_VALUE"""),"")</f>
        <v/>
      </c>
      <c r="AC4205" s="16" t="str">
        <f>IFERROR(__xludf.DUMMYFUNCTION("""COMPUTED_VALUE"""),"")</f>
        <v/>
      </c>
    </row>
    <row r="4206">
      <c r="A4206" s="16" t="s">
        <v>87</v>
      </c>
      <c r="E4206" s="16" t="str">
        <f>IFERROR(__xludf.DUMMYFUNCTION("""COMPUTED_VALUE"""),"")</f>
        <v/>
      </c>
      <c r="G4206" s="18"/>
      <c r="H4206" s="16" t="s">
        <v>87</v>
      </c>
      <c r="I4206" s="16" t="s">
        <v>87</v>
      </c>
      <c r="J4206" s="19"/>
      <c r="L4206" s="16" t="str">
        <f>IFERROR(__xludf.DUMMYFUNCTION("""COMPUTED_VALUE"""),"")</f>
        <v/>
      </c>
      <c r="M4206" s="16" t="str">
        <f>IFERROR(__xludf.DUMMYFUNCTION("""COMPUTED_VALUE"""),"")</f>
        <v/>
      </c>
      <c r="U4206" s="16" t="s">
        <v>87</v>
      </c>
      <c r="V4206" s="16" t="str">
        <f>IFERROR(__xludf.DUMMYFUNCTION("""COMPUTED_VALUE"""),"")</f>
        <v/>
      </c>
      <c r="W4206" s="16" t="str">
        <f>IFERROR(__xludf.DUMMYFUNCTION("""COMPUTED_VALUE"""),"")</f>
        <v/>
      </c>
      <c r="X4206" s="16" t="str">
        <f>IFERROR(__xludf.DUMMYFUNCTION("""COMPUTED_VALUE"""),"")</f>
        <v/>
      </c>
      <c r="AC4206" s="16" t="str">
        <f>IFERROR(__xludf.DUMMYFUNCTION("""COMPUTED_VALUE"""),"")</f>
        <v/>
      </c>
    </row>
    <row r="4207">
      <c r="A4207" s="16" t="s">
        <v>87</v>
      </c>
      <c r="E4207" s="16" t="str">
        <f>IFERROR(__xludf.DUMMYFUNCTION("""COMPUTED_VALUE"""),"")</f>
        <v/>
      </c>
      <c r="G4207" s="18"/>
      <c r="H4207" s="16" t="s">
        <v>87</v>
      </c>
      <c r="I4207" s="16" t="s">
        <v>87</v>
      </c>
      <c r="J4207" s="19"/>
      <c r="L4207" s="16" t="str">
        <f>IFERROR(__xludf.DUMMYFUNCTION("""COMPUTED_VALUE"""),"")</f>
        <v/>
      </c>
      <c r="M4207" s="16" t="str">
        <f>IFERROR(__xludf.DUMMYFUNCTION("""COMPUTED_VALUE"""),"")</f>
        <v/>
      </c>
      <c r="U4207" s="16" t="s">
        <v>87</v>
      </c>
      <c r="V4207" s="16" t="str">
        <f>IFERROR(__xludf.DUMMYFUNCTION("""COMPUTED_VALUE"""),"")</f>
        <v/>
      </c>
      <c r="W4207" s="16" t="str">
        <f>IFERROR(__xludf.DUMMYFUNCTION("""COMPUTED_VALUE"""),"")</f>
        <v/>
      </c>
      <c r="X4207" s="16" t="str">
        <f>IFERROR(__xludf.DUMMYFUNCTION("""COMPUTED_VALUE"""),"")</f>
        <v/>
      </c>
      <c r="AC4207" s="16" t="str">
        <f>IFERROR(__xludf.DUMMYFUNCTION("""COMPUTED_VALUE"""),"")</f>
        <v/>
      </c>
    </row>
    <row r="4208">
      <c r="A4208" s="16" t="s">
        <v>87</v>
      </c>
      <c r="E4208" s="16" t="str">
        <f>IFERROR(__xludf.DUMMYFUNCTION("""COMPUTED_VALUE"""),"")</f>
        <v/>
      </c>
      <c r="G4208" s="18"/>
      <c r="H4208" s="16" t="s">
        <v>87</v>
      </c>
      <c r="I4208" s="16" t="s">
        <v>87</v>
      </c>
      <c r="J4208" s="19"/>
      <c r="L4208" s="16" t="str">
        <f>IFERROR(__xludf.DUMMYFUNCTION("""COMPUTED_VALUE"""),"")</f>
        <v/>
      </c>
      <c r="M4208" s="16" t="str">
        <f>IFERROR(__xludf.DUMMYFUNCTION("""COMPUTED_VALUE"""),"")</f>
        <v/>
      </c>
      <c r="U4208" s="16" t="s">
        <v>87</v>
      </c>
      <c r="V4208" s="16" t="str">
        <f>IFERROR(__xludf.DUMMYFUNCTION("""COMPUTED_VALUE"""),"")</f>
        <v/>
      </c>
      <c r="W4208" s="16" t="str">
        <f>IFERROR(__xludf.DUMMYFUNCTION("""COMPUTED_VALUE"""),"")</f>
        <v/>
      </c>
      <c r="X4208" s="16" t="str">
        <f>IFERROR(__xludf.DUMMYFUNCTION("""COMPUTED_VALUE"""),"")</f>
        <v/>
      </c>
      <c r="AC4208" s="16" t="str">
        <f>IFERROR(__xludf.DUMMYFUNCTION("""COMPUTED_VALUE"""),"")</f>
        <v/>
      </c>
    </row>
    <row r="4209">
      <c r="A4209" s="16" t="s">
        <v>87</v>
      </c>
      <c r="E4209" s="16" t="str">
        <f>IFERROR(__xludf.DUMMYFUNCTION("""COMPUTED_VALUE"""),"")</f>
        <v/>
      </c>
      <c r="G4209" s="18"/>
      <c r="H4209" s="16" t="s">
        <v>87</v>
      </c>
      <c r="I4209" s="16" t="s">
        <v>87</v>
      </c>
      <c r="J4209" s="19"/>
      <c r="L4209" s="16" t="str">
        <f>IFERROR(__xludf.DUMMYFUNCTION("""COMPUTED_VALUE"""),"")</f>
        <v/>
      </c>
      <c r="M4209" s="16" t="str">
        <f>IFERROR(__xludf.DUMMYFUNCTION("""COMPUTED_VALUE"""),"")</f>
        <v/>
      </c>
      <c r="U4209" s="16" t="s">
        <v>87</v>
      </c>
      <c r="V4209" s="16" t="str">
        <f>IFERROR(__xludf.DUMMYFUNCTION("""COMPUTED_VALUE"""),"")</f>
        <v/>
      </c>
      <c r="W4209" s="16" t="str">
        <f>IFERROR(__xludf.DUMMYFUNCTION("""COMPUTED_VALUE"""),"")</f>
        <v/>
      </c>
      <c r="X4209" s="16" t="str">
        <f>IFERROR(__xludf.DUMMYFUNCTION("""COMPUTED_VALUE"""),"")</f>
        <v/>
      </c>
      <c r="AC4209" s="16" t="str">
        <f>IFERROR(__xludf.DUMMYFUNCTION("""COMPUTED_VALUE"""),"")</f>
        <v/>
      </c>
    </row>
    <row r="4210">
      <c r="A4210" s="16" t="s">
        <v>87</v>
      </c>
      <c r="E4210" s="16" t="str">
        <f>IFERROR(__xludf.DUMMYFUNCTION("""COMPUTED_VALUE"""),"")</f>
        <v/>
      </c>
      <c r="G4210" s="18"/>
      <c r="H4210" s="16" t="s">
        <v>87</v>
      </c>
      <c r="I4210" s="16" t="s">
        <v>87</v>
      </c>
      <c r="J4210" s="19"/>
      <c r="L4210" s="16" t="str">
        <f>IFERROR(__xludf.DUMMYFUNCTION("""COMPUTED_VALUE"""),"")</f>
        <v/>
      </c>
      <c r="M4210" s="16" t="str">
        <f>IFERROR(__xludf.DUMMYFUNCTION("""COMPUTED_VALUE"""),"")</f>
        <v/>
      </c>
      <c r="U4210" s="16" t="s">
        <v>87</v>
      </c>
      <c r="V4210" s="16" t="str">
        <f>IFERROR(__xludf.DUMMYFUNCTION("""COMPUTED_VALUE"""),"")</f>
        <v/>
      </c>
      <c r="W4210" s="16" t="str">
        <f>IFERROR(__xludf.DUMMYFUNCTION("""COMPUTED_VALUE"""),"")</f>
        <v/>
      </c>
      <c r="X4210" s="16" t="str">
        <f>IFERROR(__xludf.DUMMYFUNCTION("""COMPUTED_VALUE"""),"")</f>
        <v/>
      </c>
      <c r="AC4210" s="16" t="str">
        <f>IFERROR(__xludf.DUMMYFUNCTION("""COMPUTED_VALUE"""),"")</f>
        <v/>
      </c>
    </row>
    <row r="4211">
      <c r="A4211" s="16" t="s">
        <v>87</v>
      </c>
      <c r="E4211" s="16" t="str">
        <f>IFERROR(__xludf.DUMMYFUNCTION("""COMPUTED_VALUE"""),"")</f>
        <v/>
      </c>
      <c r="G4211" s="18"/>
      <c r="H4211" s="16" t="s">
        <v>87</v>
      </c>
      <c r="I4211" s="16" t="s">
        <v>87</v>
      </c>
      <c r="J4211" s="19"/>
      <c r="L4211" s="16" t="str">
        <f>IFERROR(__xludf.DUMMYFUNCTION("""COMPUTED_VALUE"""),"")</f>
        <v/>
      </c>
      <c r="M4211" s="16" t="str">
        <f>IFERROR(__xludf.DUMMYFUNCTION("""COMPUTED_VALUE"""),"")</f>
        <v/>
      </c>
      <c r="U4211" s="16" t="s">
        <v>87</v>
      </c>
      <c r="V4211" s="16" t="str">
        <f>IFERROR(__xludf.DUMMYFUNCTION("""COMPUTED_VALUE"""),"")</f>
        <v/>
      </c>
      <c r="W4211" s="16" t="str">
        <f>IFERROR(__xludf.DUMMYFUNCTION("""COMPUTED_VALUE"""),"")</f>
        <v/>
      </c>
      <c r="X4211" s="16" t="str">
        <f>IFERROR(__xludf.DUMMYFUNCTION("""COMPUTED_VALUE"""),"")</f>
        <v/>
      </c>
      <c r="AC4211" s="16" t="str">
        <f>IFERROR(__xludf.DUMMYFUNCTION("""COMPUTED_VALUE"""),"")</f>
        <v/>
      </c>
    </row>
    <row r="4212">
      <c r="A4212" s="16" t="s">
        <v>87</v>
      </c>
      <c r="E4212" s="16" t="str">
        <f>IFERROR(__xludf.DUMMYFUNCTION("""COMPUTED_VALUE"""),"")</f>
        <v/>
      </c>
      <c r="G4212" s="18"/>
      <c r="H4212" s="16" t="s">
        <v>87</v>
      </c>
      <c r="I4212" s="16" t="s">
        <v>87</v>
      </c>
      <c r="J4212" s="19"/>
      <c r="L4212" s="16" t="str">
        <f>IFERROR(__xludf.DUMMYFUNCTION("""COMPUTED_VALUE"""),"")</f>
        <v/>
      </c>
      <c r="M4212" s="16" t="str">
        <f>IFERROR(__xludf.DUMMYFUNCTION("""COMPUTED_VALUE"""),"")</f>
        <v/>
      </c>
      <c r="U4212" s="16" t="s">
        <v>87</v>
      </c>
      <c r="V4212" s="16" t="str">
        <f>IFERROR(__xludf.DUMMYFUNCTION("""COMPUTED_VALUE"""),"")</f>
        <v/>
      </c>
      <c r="W4212" s="16" t="str">
        <f>IFERROR(__xludf.DUMMYFUNCTION("""COMPUTED_VALUE"""),"")</f>
        <v/>
      </c>
      <c r="X4212" s="16" t="str">
        <f>IFERROR(__xludf.DUMMYFUNCTION("""COMPUTED_VALUE"""),"")</f>
        <v/>
      </c>
      <c r="AC4212" s="16" t="str">
        <f>IFERROR(__xludf.DUMMYFUNCTION("""COMPUTED_VALUE"""),"")</f>
        <v/>
      </c>
    </row>
    <row r="4213">
      <c r="A4213" s="16" t="s">
        <v>87</v>
      </c>
      <c r="E4213" s="16" t="str">
        <f>IFERROR(__xludf.DUMMYFUNCTION("""COMPUTED_VALUE"""),"")</f>
        <v/>
      </c>
      <c r="G4213" s="18"/>
      <c r="H4213" s="16" t="s">
        <v>87</v>
      </c>
      <c r="I4213" s="16" t="s">
        <v>87</v>
      </c>
      <c r="J4213" s="19"/>
      <c r="L4213" s="16" t="str">
        <f>IFERROR(__xludf.DUMMYFUNCTION("""COMPUTED_VALUE"""),"")</f>
        <v/>
      </c>
      <c r="M4213" s="16" t="str">
        <f>IFERROR(__xludf.DUMMYFUNCTION("""COMPUTED_VALUE"""),"")</f>
        <v/>
      </c>
      <c r="U4213" s="16" t="s">
        <v>87</v>
      </c>
      <c r="V4213" s="16" t="str">
        <f>IFERROR(__xludf.DUMMYFUNCTION("""COMPUTED_VALUE"""),"")</f>
        <v/>
      </c>
      <c r="W4213" s="16" t="str">
        <f>IFERROR(__xludf.DUMMYFUNCTION("""COMPUTED_VALUE"""),"")</f>
        <v/>
      </c>
      <c r="X4213" s="16" t="str">
        <f>IFERROR(__xludf.DUMMYFUNCTION("""COMPUTED_VALUE"""),"")</f>
        <v/>
      </c>
      <c r="AC4213" s="16" t="str">
        <f>IFERROR(__xludf.DUMMYFUNCTION("""COMPUTED_VALUE"""),"")</f>
        <v/>
      </c>
    </row>
    <row r="4214">
      <c r="A4214" s="16" t="s">
        <v>87</v>
      </c>
      <c r="E4214" s="16" t="str">
        <f>IFERROR(__xludf.DUMMYFUNCTION("""COMPUTED_VALUE"""),"")</f>
        <v/>
      </c>
      <c r="G4214" s="18"/>
      <c r="H4214" s="16" t="s">
        <v>87</v>
      </c>
      <c r="I4214" s="16" t="s">
        <v>87</v>
      </c>
      <c r="J4214" s="19"/>
      <c r="L4214" s="16" t="str">
        <f>IFERROR(__xludf.DUMMYFUNCTION("""COMPUTED_VALUE"""),"")</f>
        <v/>
      </c>
      <c r="M4214" s="16" t="str">
        <f>IFERROR(__xludf.DUMMYFUNCTION("""COMPUTED_VALUE"""),"")</f>
        <v/>
      </c>
      <c r="U4214" s="16" t="s">
        <v>87</v>
      </c>
      <c r="V4214" s="16" t="str">
        <f>IFERROR(__xludf.DUMMYFUNCTION("""COMPUTED_VALUE"""),"")</f>
        <v/>
      </c>
      <c r="W4214" s="16" t="str">
        <f>IFERROR(__xludf.DUMMYFUNCTION("""COMPUTED_VALUE"""),"")</f>
        <v/>
      </c>
      <c r="X4214" s="16" t="str">
        <f>IFERROR(__xludf.DUMMYFUNCTION("""COMPUTED_VALUE"""),"")</f>
        <v/>
      </c>
      <c r="AC4214" s="16" t="str">
        <f>IFERROR(__xludf.DUMMYFUNCTION("""COMPUTED_VALUE"""),"")</f>
        <v/>
      </c>
    </row>
    <row r="4215">
      <c r="A4215" s="16" t="s">
        <v>87</v>
      </c>
      <c r="E4215" s="16" t="str">
        <f>IFERROR(__xludf.DUMMYFUNCTION("""COMPUTED_VALUE"""),"")</f>
        <v/>
      </c>
      <c r="G4215" s="18"/>
      <c r="H4215" s="16" t="s">
        <v>87</v>
      </c>
      <c r="I4215" s="16" t="s">
        <v>87</v>
      </c>
      <c r="J4215" s="19"/>
      <c r="L4215" s="16" t="str">
        <f>IFERROR(__xludf.DUMMYFUNCTION("""COMPUTED_VALUE"""),"")</f>
        <v/>
      </c>
      <c r="M4215" s="16" t="str">
        <f>IFERROR(__xludf.DUMMYFUNCTION("""COMPUTED_VALUE"""),"")</f>
        <v/>
      </c>
      <c r="U4215" s="16" t="s">
        <v>87</v>
      </c>
      <c r="V4215" s="16" t="str">
        <f>IFERROR(__xludf.DUMMYFUNCTION("""COMPUTED_VALUE"""),"")</f>
        <v/>
      </c>
      <c r="W4215" s="16" t="str">
        <f>IFERROR(__xludf.DUMMYFUNCTION("""COMPUTED_VALUE"""),"")</f>
        <v/>
      </c>
      <c r="X4215" s="16" t="str">
        <f>IFERROR(__xludf.DUMMYFUNCTION("""COMPUTED_VALUE"""),"")</f>
        <v/>
      </c>
      <c r="AC4215" s="16" t="str">
        <f>IFERROR(__xludf.DUMMYFUNCTION("""COMPUTED_VALUE"""),"")</f>
        <v/>
      </c>
    </row>
    <row r="4216">
      <c r="A4216" s="16" t="s">
        <v>87</v>
      </c>
      <c r="E4216" s="16" t="str">
        <f>IFERROR(__xludf.DUMMYFUNCTION("""COMPUTED_VALUE"""),"")</f>
        <v/>
      </c>
      <c r="G4216" s="18"/>
      <c r="H4216" s="16" t="s">
        <v>87</v>
      </c>
      <c r="I4216" s="16" t="s">
        <v>87</v>
      </c>
      <c r="J4216" s="19"/>
      <c r="L4216" s="16" t="str">
        <f>IFERROR(__xludf.DUMMYFUNCTION("""COMPUTED_VALUE"""),"")</f>
        <v/>
      </c>
      <c r="M4216" s="16" t="str">
        <f>IFERROR(__xludf.DUMMYFUNCTION("""COMPUTED_VALUE"""),"")</f>
        <v/>
      </c>
      <c r="U4216" s="16" t="s">
        <v>87</v>
      </c>
      <c r="V4216" s="16" t="str">
        <f>IFERROR(__xludf.DUMMYFUNCTION("""COMPUTED_VALUE"""),"")</f>
        <v/>
      </c>
      <c r="W4216" s="16" t="str">
        <f>IFERROR(__xludf.DUMMYFUNCTION("""COMPUTED_VALUE"""),"")</f>
        <v/>
      </c>
      <c r="X4216" s="16" t="str">
        <f>IFERROR(__xludf.DUMMYFUNCTION("""COMPUTED_VALUE"""),"")</f>
        <v/>
      </c>
      <c r="AC4216" s="16" t="str">
        <f>IFERROR(__xludf.DUMMYFUNCTION("""COMPUTED_VALUE"""),"")</f>
        <v/>
      </c>
    </row>
    <row r="4217">
      <c r="A4217" s="16" t="s">
        <v>87</v>
      </c>
      <c r="E4217" s="16" t="str">
        <f>IFERROR(__xludf.DUMMYFUNCTION("""COMPUTED_VALUE"""),"")</f>
        <v/>
      </c>
      <c r="G4217" s="18"/>
      <c r="H4217" s="16" t="s">
        <v>87</v>
      </c>
      <c r="I4217" s="16" t="s">
        <v>87</v>
      </c>
      <c r="J4217" s="19"/>
      <c r="L4217" s="16" t="str">
        <f>IFERROR(__xludf.DUMMYFUNCTION("""COMPUTED_VALUE"""),"")</f>
        <v/>
      </c>
      <c r="M4217" s="16" t="str">
        <f>IFERROR(__xludf.DUMMYFUNCTION("""COMPUTED_VALUE"""),"")</f>
        <v/>
      </c>
      <c r="U4217" s="16" t="s">
        <v>87</v>
      </c>
      <c r="V4217" s="16" t="str">
        <f>IFERROR(__xludf.DUMMYFUNCTION("""COMPUTED_VALUE"""),"")</f>
        <v/>
      </c>
      <c r="W4217" s="16" t="str">
        <f>IFERROR(__xludf.DUMMYFUNCTION("""COMPUTED_VALUE"""),"")</f>
        <v/>
      </c>
      <c r="X4217" s="16" t="str">
        <f>IFERROR(__xludf.DUMMYFUNCTION("""COMPUTED_VALUE"""),"")</f>
        <v/>
      </c>
      <c r="AC4217" s="16" t="str">
        <f>IFERROR(__xludf.DUMMYFUNCTION("""COMPUTED_VALUE"""),"")</f>
        <v/>
      </c>
    </row>
    <row r="4218">
      <c r="A4218" s="16" t="s">
        <v>87</v>
      </c>
      <c r="E4218" s="16" t="str">
        <f>IFERROR(__xludf.DUMMYFUNCTION("""COMPUTED_VALUE"""),"")</f>
        <v/>
      </c>
      <c r="G4218" s="18"/>
      <c r="H4218" s="16" t="s">
        <v>87</v>
      </c>
      <c r="I4218" s="16" t="s">
        <v>87</v>
      </c>
      <c r="J4218" s="19"/>
      <c r="L4218" s="16" t="str">
        <f>IFERROR(__xludf.DUMMYFUNCTION("""COMPUTED_VALUE"""),"")</f>
        <v/>
      </c>
      <c r="M4218" s="16" t="str">
        <f>IFERROR(__xludf.DUMMYFUNCTION("""COMPUTED_VALUE"""),"")</f>
        <v/>
      </c>
      <c r="U4218" s="16" t="s">
        <v>87</v>
      </c>
      <c r="V4218" s="16" t="str">
        <f>IFERROR(__xludf.DUMMYFUNCTION("""COMPUTED_VALUE"""),"")</f>
        <v/>
      </c>
      <c r="W4218" s="16" t="str">
        <f>IFERROR(__xludf.DUMMYFUNCTION("""COMPUTED_VALUE"""),"")</f>
        <v/>
      </c>
      <c r="X4218" s="16" t="str">
        <f>IFERROR(__xludf.DUMMYFUNCTION("""COMPUTED_VALUE"""),"")</f>
        <v/>
      </c>
      <c r="AC4218" s="16" t="str">
        <f>IFERROR(__xludf.DUMMYFUNCTION("""COMPUTED_VALUE"""),"")</f>
        <v/>
      </c>
    </row>
    <row r="4219">
      <c r="A4219" s="16" t="s">
        <v>87</v>
      </c>
      <c r="E4219" s="16" t="str">
        <f>IFERROR(__xludf.DUMMYFUNCTION("""COMPUTED_VALUE"""),"")</f>
        <v/>
      </c>
      <c r="G4219" s="18"/>
      <c r="H4219" s="16" t="s">
        <v>87</v>
      </c>
      <c r="I4219" s="16" t="s">
        <v>87</v>
      </c>
      <c r="J4219" s="19"/>
      <c r="L4219" s="16" t="str">
        <f>IFERROR(__xludf.DUMMYFUNCTION("""COMPUTED_VALUE"""),"")</f>
        <v/>
      </c>
      <c r="M4219" s="16" t="str">
        <f>IFERROR(__xludf.DUMMYFUNCTION("""COMPUTED_VALUE"""),"")</f>
        <v/>
      </c>
      <c r="U4219" s="16" t="s">
        <v>87</v>
      </c>
      <c r="V4219" s="16" t="str">
        <f>IFERROR(__xludf.DUMMYFUNCTION("""COMPUTED_VALUE"""),"")</f>
        <v/>
      </c>
      <c r="W4219" s="16" t="str">
        <f>IFERROR(__xludf.DUMMYFUNCTION("""COMPUTED_VALUE"""),"")</f>
        <v/>
      </c>
      <c r="X4219" s="16" t="str">
        <f>IFERROR(__xludf.DUMMYFUNCTION("""COMPUTED_VALUE"""),"")</f>
        <v/>
      </c>
      <c r="AC4219" s="16" t="str">
        <f>IFERROR(__xludf.DUMMYFUNCTION("""COMPUTED_VALUE"""),"")</f>
        <v/>
      </c>
    </row>
    <row r="4220">
      <c r="A4220" s="16" t="s">
        <v>87</v>
      </c>
      <c r="E4220" s="16" t="str">
        <f>IFERROR(__xludf.DUMMYFUNCTION("""COMPUTED_VALUE"""),"")</f>
        <v/>
      </c>
      <c r="G4220" s="18"/>
      <c r="H4220" s="16" t="s">
        <v>87</v>
      </c>
      <c r="I4220" s="16" t="s">
        <v>87</v>
      </c>
      <c r="J4220" s="19"/>
      <c r="L4220" s="16" t="str">
        <f>IFERROR(__xludf.DUMMYFUNCTION("""COMPUTED_VALUE"""),"")</f>
        <v/>
      </c>
      <c r="M4220" s="16" t="str">
        <f>IFERROR(__xludf.DUMMYFUNCTION("""COMPUTED_VALUE"""),"")</f>
        <v/>
      </c>
      <c r="U4220" s="16" t="s">
        <v>87</v>
      </c>
      <c r="V4220" s="16" t="str">
        <f>IFERROR(__xludf.DUMMYFUNCTION("""COMPUTED_VALUE"""),"")</f>
        <v/>
      </c>
      <c r="W4220" s="16" t="str">
        <f>IFERROR(__xludf.DUMMYFUNCTION("""COMPUTED_VALUE"""),"")</f>
        <v/>
      </c>
      <c r="X4220" s="16" t="str">
        <f>IFERROR(__xludf.DUMMYFUNCTION("""COMPUTED_VALUE"""),"")</f>
        <v/>
      </c>
      <c r="AC4220" s="16" t="str">
        <f>IFERROR(__xludf.DUMMYFUNCTION("""COMPUTED_VALUE"""),"")</f>
        <v/>
      </c>
    </row>
    <row r="4221">
      <c r="A4221" s="16" t="s">
        <v>87</v>
      </c>
      <c r="E4221" s="16" t="str">
        <f>IFERROR(__xludf.DUMMYFUNCTION("""COMPUTED_VALUE"""),"")</f>
        <v/>
      </c>
      <c r="G4221" s="18"/>
      <c r="H4221" s="16" t="s">
        <v>87</v>
      </c>
      <c r="I4221" s="16" t="s">
        <v>87</v>
      </c>
      <c r="J4221" s="19"/>
      <c r="L4221" s="16" t="str">
        <f>IFERROR(__xludf.DUMMYFUNCTION("""COMPUTED_VALUE"""),"")</f>
        <v/>
      </c>
      <c r="M4221" s="16" t="str">
        <f>IFERROR(__xludf.DUMMYFUNCTION("""COMPUTED_VALUE"""),"")</f>
        <v/>
      </c>
      <c r="U4221" s="16" t="s">
        <v>87</v>
      </c>
      <c r="V4221" s="16" t="str">
        <f>IFERROR(__xludf.DUMMYFUNCTION("""COMPUTED_VALUE"""),"")</f>
        <v/>
      </c>
      <c r="W4221" s="16" t="str">
        <f>IFERROR(__xludf.DUMMYFUNCTION("""COMPUTED_VALUE"""),"")</f>
        <v/>
      </c>
      <c r="X4221" s="16" t="str">
        <f>IFERROR(__xludf.DUMMYFUNCTION("""COMPUTED_VALUE"""),"")</f>
        <v/>
      </c>
      <c r="AC4221" s="16" t="str">
        <f>IFERROR(__xludf.DUMMYFUNCTION("""COMPUTED_VALUE"""),"")</f>
        <v/>
      </c>
    </row>
    <row r="4222">
      <c r="A4222" s="16" t="s">
        <v>87</v>
      </c>
      <c r="E4222" s="16" t="str">
        <f>IFERROR(__xludf.DUMMYFUNCTION("""COMPUTED_VALUE"""),"")</f>
        <v/>
      </c>
      <c r="G4222" s="18"/>
      <c r="H4222" s="16" t="s">
        <v>87</v>
      </c>
      <c r="I4222" s="16" t="s">
        <v>87</v>
      </c>
      <c r="J4222" s="19"/>
      <c r="L4222" s="16" t="str">
        <f>IFERROR(__xludf.DUMMYFUNCTION("""COMPUTED_VALUE"""),"")</f>
        <v/>
      </c>
      <c r="M4222" s="16" t="str">
        <f>IFERROR(__xludf.DUMMYFUNCTION("""COMPUTED_VALUE"""),"")</f>
        <v/>
      </c>
      <c r="U4222" s="16" t="s">
        <v>87</v>
      </c>
      <c r="V4222" s="16" t="str">
        <f>IFERROR(__xludf.DUMMYFUNCTION("""COMPUTED_VALUE"""),"")</f>
        <v/>
      </c>
      <c r="W4222" s="16" t="str">
        <f>IFERROR(__xludf.DUMMYFUNCTION("""COMPUTED_VALUE"""),"")</f>
        <v/>
      </c>
      <c r="X4222" s="16" t="str">
        <f>IFERROR(__xludf.DUMMYFUNCTION("""COMPUTED_VALUE"""),"")</f>
        <v/>
      </c>
      <c r="AC4222" s="16" t="str">
        <f>IFERROR(__xludf.DUMMYFUNCTION("""COMPUTED_VALUE"""),"")</f>
        <v/>
      </c>
    </row>
    <row r="4223">
      <c r="A4223" s="16" t="s">
        <v>87</v>
      </c>
      <c r="E4223" s="16" t="str">
        <f>IFERROR(__xludf.DUMMYFUNCTION("""COMPUTED_VALUE"""),"")</f>
        <v/>
      </c>
      <c r="G4223" s="18"/>
      <c r="H4223" s="16" t="s">
        <v>87</v>
      </c>
      <c r="I4223" s="16" t="s">
        <v>87</v>
      </c>
      <c r="J4223" s="19"/>
      <c r="L4223" s="16" t="str">
        <f>IFERROR(__xludf.DUMMYFUNCTION("""COMPUTED_VALUE"""),"")</f>
        <v/>
      </c>
      <c r="M4223" s="16" t="str">
        <f>IFERROR(__xludf.DUMMYFUNCTION("""COMPUTED_VALUE"""),"")</f>
        <v/>
      </c>
      <c r="U4223" s="16" t="s">
        <v>87</v>
      </c>
      <c r="V4223" s="16" t="str">
        <f>IFERROR(__xludf.DUMMYFUNCTION("""COMPUTED_VALUE"""),"")</f>
        <v/>
      </c>
      <c r="W4223" s="16" t="str">
        <f>IFERROR(__xludf.DUMMYFUNCTION("""COMPUTED_VALUE"""),"")</f>
        <v/>
      </c>
      <c r="X4223" s="16" t="str">
        <f>IFERROR(__xludf.DUMMYFUNCTION("""COMPUTED_VALUE"""),"")</f>
        <v/>
      </c>
      <c r="AC4223" s="16" t="str">
        <f>IFERROR(__xludf.DUMMYFUNCTION("""COMPUTED_VALUE"""),"")</f>
        <v/>
      </c>
    </row>
    <row r="4224">
      <c r="A4224" s="16" t="s">
        <v>87</v>
      </c>
      <c r="E4224" s="16" t="str">
        <f>IFERROR(__xludf.DUMMYFUNCTION("""COMPUTED_VALUE"""),"")</f>
        <v/>
      </c>
      <c r="G4224" s="18"/>
      <c r="H4224" s="16" t="s">
        <v>87</v>
      </c>
      <c r="I4224" s="16" t="s">
        <v>87</v>
      </c>
      <c r="J4224" s="19"/>
      <c r="L4224" s="16" t="str">
        <f>IFERROR(__xludf.DUMMYFUNCTION("""COMPUTED_VALUE"""),"")</f>
        <v/>
      </c>
      <c r="M4224" s="16" t="str">
        <f>IFERROR(__xludf.DUMMYFUNCTION("""COMPUTED_VALUE"""),"")</f>
        <v/>
      </c>
      <c r="U4224" s="16" t="s">
        <v>87</v>
      </c>
      <c r="V4224" s="16" t="str">
        <f>IFERROR(__xludf.DUMMYFUNCTION("""COMPUTED_VALUE"""),"")</f>
        <v/>
      </c>
      <c r="W4224" s="16" t="str">
        <f>IFERROR(__xludf.DUMMYFUNCTION("""COMPUTED_VALUE"""),"")</f>
        <v/>
      </c>
      <c r="X4224" s="16" t="str">
        <f>IFERROR(__xludf.DUMMYFUNCTION("""COMPUTED_VALUE"""),"")</f>
        <v/>
      </c>
      <c r="AC4224" s="16" t="str">
        <f>IFERROR(__xludf.DUMMYFUNCTION("""COMPUTED_VALUE"""),"")</f>
        <v/>
      </c>
    </row>
    <row r="4225">
      <c r="A4225" s="16" t="s">
        <v>87</v>
      </c>
      <c r="E4225" s="16" t="str">
        <f>IFERROR(__xludf.DUMMYFUNCTION("""COMPUTED_VALUE"""),"")</f>
        <v/>
      </c>
      <c r="G4225" s="18"/>
      <c r="H4225" s="16" t="s">
        <v>87</v>
      </c>
      <c r="I4225" s="16" t="s">
        <v>87</v>
      </c>
      <c r="J4225" s="19"/>
      <c r="L4225" s="16" t="str">
        <f>IFERROR(__xludf.DUMMYFUNCTION("""COMPUTED_VALUE"""),"")</f>
        <v/>
      </c>
      <c r="M4225" s="16" t="str">
        <f>IFERROR(__xludf.DUMMYFUNCTION("""COMPUTED_VALUE"""),"")</f>
        <v/>
      </c>
      <c r="U4225" s="16" t="s">
        <v>87</v>
      </c>
      <c r="V4225" s="16" t="str">
        <f>IFERROR(__xludf.DUMMYFUNCTION("""COMPUTED_VALUE"""),"")</f>
        <v/>
      </c>
      <c r="W4225" s="16" t="str">
        <f>IFERROR(__xludf.DUMMYFUNCTION("""COMPUTED_VALUE"""),"")</f>
        <v/>
      </c>
      <c r="X4225" s="16" t="str">
        <f>IFERROR(__xludf.DUMMYFUNCTION("""COMPUTED_VALUE"""),"")</f>
        <v/>
      </c>
      <c r="AC4225" s="16" t="str">
        <f>IFERROR(__xludf.DUMMYFUNCTION("""COMPUTED_VALUE"""),"")</f>
        <v/>
      </c>
    </row>
    <row r="4226">
      <c r="A4226" s="16" t="s">
        <v>87</v>
      </c>
      <c r="E4226" s="16" t="str">
        <f>IFERROR(__xludf.DUMMYFUNCTION("""COMPUTED_VALUE"""),"")</f>
        <v/>
      </c>
      <c r="G4226" s="18"/>
      <c r="H4226" s="16" t="s">
        <v>87</v>
      </c>
      <c r="I4226" s="16" t="s">
        <v>87</v>
      </c>
      <c r="J4226" s="19"/>
      <c r="L4226" s="16" t="str">
        <f>IFERROR(__xludf.DUMMYFUNCTION("""COMPUTED_VALUE"""),"")</f>
        <v/>
      </c>
      <c r="M4226" s="16" t="str">
        <f>IFERROR(__xludf.DUMMYFUNCTION("""COMPUTED_VALUE"""),"")</f>
        <v/>
      </c>
      <c r="U4226" s="16" t="s">
        <v>87</v>
      </c>
      <c r="V4226" s="16" t="str">
        <f>IFERROR(__xludf.DUMMYFUNCTION("""COMPUTED_VALUE"""),"")</f>
        <v/>
      </c>
      <c r="W4226" s="16" t="str">
        <f>IFERROR(__xludf.DUMMYFUNCTION("""COMPUTED_VALUE"""),"")</f>
        <v/>
      </c>
      <c r="X4226" s="16" t="str">
        <f>IFERROR(__xludf.DUMMYFUNCTION("""COMPUTED_VALUE"""),"")</f>
        <v/>
      </c>
      <c r="AC4226" s="16" t="str">
        <f>IFERROR(__xludf.DUMMYFUNCTION("""COMPUTED_VALUE"""),"")</f>
        <v/>
      </c>
    </row>
    <row r="4227">
      <c r="A4227" s="16" t="s">
        <v>87</v>
      </c>
      <c r="E4227" s="16" t="str">
        <f>IFERROR(__xludf.DUMMYFUNCTION("""COMPUTED_VALUE"""),"")</f>
        <v/>
      </c>
      <c r="G4227" s="18"/>
      <c r="H4227" s="16" t="s">
        <v>87</v>
      </c>
      <c r="I4227" s="16" t="s">
        <v>87</v>
      </c>
      <c r="J4227" s="19"/>
      <c r="L4227" s="16" t="str">
        <f>IFERROR(__xludf.DUMMYFUNCTION("""COMPUTED_VALUE"""),"")</f>
        <v/>
      </c>
      <c r="M4227" s="16" t="str">
        <f>IFERROR(__xludf.DUMMYFUNCTION("""COMPUTED_VALUE"""),"")</f>
        <v/>
      </c>
      <c r="U4227" s="16" t="s">
        <v>87</v>
      </c>
      <c r="V4227" s="16" t="str">
        <f>IFERROR(__xludf.DUMMYFUNCTION("""COMPUTED_VALUE"""),"")</f>
        <v/>
      </c>
      <c r="W4227" s="16" t="str">
        <f>IFERROR(__xludf.DUMMYFUNCTION("""COMPUTED_VALUE"""),"")</f>
        <v/>
      </c>
      <c r="X4227" s="16" t="str">
        <f>IFERROR(__xludf.DUMMYFUNCTION("""COMPUTED_VALUE"""),"")</f>
        <v/>
      </c>
      <c r="AC4227" s="16" t="str">
        <f>IFERROR(__xludf.DUMMYFUNCTION("""COMPUTED_VALUE"""),"")</f>
        <v/>
      </c>
    </row>
    <row r="4228">
      <c r="A4228" s="16" t="s">
        <v>87</v>
      </c>
      <c r="E4228" s="16" t="str">
        <f>IFERROR(__xludf.DUMMYFUNCTION("""COMPUTED_VALUE"""),"")</f>
        <v/>
      </c>
      <c r="G4228" s="18"/>
      <c r="H4228" s="16" t="s">
        <v>87</v>
      </c>
      <c r="I4228" s="16" t="s">
        <v>87</v>
      </c>
      <c r="J4228" s="19"/>
      <c r="L4228" s="16" t="str">
        <f>IFERROR(__xludf.DUMMYFUNCTION("""COMPUTED_VALUE"""),"")</f>
        <v/>
      </c>
      <c r="M4228" s="16" t="str">
        <f>IFERROR(__xludf.DUMMYFUNCTION("""COMPUTED_VALUE"""),"")</f>
        <v/>
      </c>
      <c r="U4228" s="16" t="s">
        <v>87</v>
      </c>
      <c r="V4228" s="16" t="str">
        <f>IFERROR(__xludf.DUMMYFUNCTION("""COMPUTED_VALUE"""),"")</f>
        <v/>
      </c>
      <c r="W4228" s="16" t="str">
        <f>IFERROR(__xludf.DUMMYFUNCTION("""COMPUTED_VALUE"""),"")</f>
        <v/>
      </c>
      <c r="X4228" s="16" t="str">
        <f>IFERROR(__xludf.DUMMYFUNCTION("""COMPUTED_VALUE"""),"")</f>
        <v/>
      </c>
      <c r="AC4228" s="16" t="str">
        <f>IFERROR(__xludf.DUMMYFUNCTION("""COMPUTED_VALUE"""),"")</f>
        <v/>
      </c>
    </row>
    <row r="4229">
      <c r="A4229" s="16" t="s">
        <v>87</v>
      </c>
      <c r="E4229" s="16" t="str">
        <f>IFERROR(__xludf.DUMMYFUNCTION("""COMPUTED_VALUE"""),"")</f>
        <v/>
      </c>
      <c r="G4229" s="18"/>
      <c r="H4229" s="16" t="s">
        <v>87</v>
      </c>
      <c r="I4229" s="16" t="s">
        <v>87</v>
      </c>
      <c r="J4229" s="19"/>
      <c r="L4229" s="16" t="str">
        <f>IFERROR(__xludf.DUMMYFUNCTION("""COMPUTED_VALUE"""),"")</f>
        <v/>
      </c>
      <c r="M4229" s="16" t="str">
        <f>IFERROR(__xludf.DUMMYFUNCTION("""COMPUTED_VALUE"""),"")</f>
        <v/>
      </c>
      <c r="U4229" s="16" t="s">
        <v>87</v>
      </c>
      <c r="V4229" s="16" t="str">
        <f>IFERROR(__xludf.DUMMYFUNCTION("""COMPUTED_VALUE"""),"")</f>
        <v/>
      </c>
      <c r="W4229" s="16" t="str">
        <f>IFERROR(__xludf.DUMMYFUNCTION("""COMPUTED_VALUE"""),"")</f>
        <v/>
      </c>
      <c r="X4229" s="16" t="str">
        <f>IFERROR(__xludf.DUMMYFUNCTION("""COMPUTED_VALUE"""),"")</f>
        <v/>
      </c>
      <c r="AC4229" s="16" t="str">
        <f>IFERROR(__xludf.DUMMYFUNCTION("""COMPUTED_VALUE"""),"")</f>
        <v/>
      </c>
    </row>
    <row r="4230">
      <c r="A4230" s="16" t="s">
        <v>87</v>
      </c>
      <c r="E4230" s="16" t="str">
        <f>IFERROR(__xludf.DUMMYFUNCTION("""COMPUTED_VALUE"""),"")</f>
        <v/>
      </c>
      <c r="G4230" s="18"/>
      <c r="H4230" s="16" t="s">
        <v>87</v>
      </c>
      <c r="I4230" s="16" t="s">
        <v>87</v>
      </c>
      <c r="J4230" s="19"/>
      <c r="L4230" s="16" t="str">
        <f>IFERROR(__xludf.DUMMYFUNCTION("""COMPUTED_VALUE"""),"")</f>
        <v/>
      </c>
      <c r="M4230" s="16" t="str">
        <f>IFERROR(__xludf.DUMMYFUNCTION("""COMPUTED_VALUE"""),"")</f>
        <v/>
      </c>
      <c r="U4230" s="16" t="s">
        <v>87</v>
      </c>
      <c r="V4230" s="16" t="str">
        <f>IFERROR(__xludf.DUMMYFUNCTION("""COMPUTED_VALUE"""),"")</f>
        <v/>
      </c>
      <c r="W4230" s="16" t="str">
        <f>IFERROR(__xludf.DUMMYFUNCTION("""COMPUTED_VALUE"""),"")</f>
        <v/>
      </c>
      <c r="X4230" s="16" t="str">
        <f>IFERROR(__xludf.DUMMYFUNCTION("""COMPUTED_VALUE"""),"")</f>
        <v/>
      </c>
      <c r="AC4230" s="16" t="str">
        <f>IFERROR(__xludf.DUMMYFUNCTION("""COMPUTED_VALUE"""),"")</f>
        <v/>
      </c>
    </row>
    <row r="4231">
      <c r="A4231" s="16" t="s">
        <v>87</v>
      </c>
      <c r="E4231" s="16" t="str">
        <f>IFERROR(__xludf.DUMMYFUNCTION("""COMPUTED_VALUE"""),"")</f>
        <v/>
      </c>
      <c r="G4231" s="18"/>
      <c r="H4231" s="16" t="s">
        <v>87</v>
      </c>
      <c r="I4231" s="16" t="s">
        <v>87</v>
      </c>
      <c r="J4231" s="19"/>
      <c r="L4231" s="16" t="str">
        <f>IFERROR(__xludf.DUMMYFUNCTION("""COMPUTED_VALUE"""),"")</f>
        <v/>
      </c>
      <c r="M4231" s="16" t="str">
        <f>IFERROR(__xludf.DUMMYFUNCTION("""COMPUTED_VALUE"""),"")</f>
        <v/>
      </c>
      <c r="U4231" s="16" t="s">
        <v>87</v>
      </c>
      <c r="V4231" s="16" t="str">
        <f>IFERROR(__xludf.DUMMYFUNCTION("""COMPUTED_VALUE"""),"")</f>
        <v/>
      </c>
      <c r="W4231" s="16" t="str">
        <f>IFERROR(__xludf.DUMMYFUNCTION("""COMPUTED_VALUE"""),"")</f>
        <v/>
      </c>
      <c r="X4231" s="16" t="str">
        <f>IFERROR(__xludf.DUMMYFUNCTION("""COMPUTED_VALUE"""),"")</f>
        <v/>
      </c>
      <c r="AC4231" s="16" t="str">
        <f>IFERROR(__xludf.DUMMYFUNCTION("""COMPUTED_VALUE"""),"")</f>
        <v/>
      </c>
    </row>
    <row r="4232">
      <c r="A4232" s="16" t="s">
        <v>87</v>
      </c>
      <c r="E4232" s="16" t="str">
        <f>IFERROR(__xludf.DUMMYFUNCTION("""COMPUTED_VALUE"""),"")</f>
        <v/>
      </c>
      <c r="G4232" s="18"/>
      <c r="H4232" s="16" t="s">
        <v>87</v>
      </c>
      <c r="I4232" s="16" t="s">
        <v>87</v>
      </c>
      <c r="J4232" s="19"/>
      <c r="L4232" s="16" t="str">
        <f>IFERROR(__xludf.DUMMYFUNCTION("""COMPUTED_VALUE"""),"")</f>
        <v/>
      </c>
      <c r="M4232" s="16" t="str">
        <f>IFERROR(__xludf.DUMMYFUNCTION("""COMPUTED_VALUE"""),"")</f>
        <v/>
      </c>
      <c r="U4232" s="16" t="s">
        <v>87</v>
      </c>
      <c r="V4232" s="16" t="str">
        <f>IFERROR(__xludf.DUMMYFUNCTION("""COMPUTED_VALUE"""),"")</f>
        <v/>
      </c>
      <c r="W4232" s="16" t="str">
        <f>IFERROR(__xludf.DUMMYFUNCTION("""COMPUTED_VALUE"""),"")</f>
        <v/>
      </c>
      <c r="X4232" s="16" t="str">
        <f>IFERROR(__xludf.DUMMYFUNCTION("""COMPUTED_VALUE"""),"")</f>
        <v/>
      </c>
      <c r="AC4232" s="16" t="str">
        <f>IFERROR(__xludf.DUMMYFUNCTION("""COMPUTED_VALUE"""),"")</f>
        <v/>
      </c>
    </row>
    <row r="4233">
      <c r="A4233" s="16" t="s">
        <v>87</v>
      </c>
      <c r="E4233" s="16" t="str">
        <f>IFERROR(__xludf.DUMMYFUNCTION("""COMPUTED_VALUE"""),"")</f>
        <v/>
      </c>
      <c r="G4233" s="18"/>
      <c r="H4233" s="16" t="s">
        <v>87</v>
      </c>
      <c r="I4233" s="16" t="s">
        <v>87</v>
      </c>
      <c r="J4233" s="19"/>
      <c r="L4233" s="16" t="str">
        <f>IFERROR(__xludf.DUMMYFUNCTION("""COMPUTED_VALUE"""),"")</f>
        <v/>
      </c>
      <c r="M4233" s="16" t="str">
        <f>IFERROR(__xludf.DUMMYFUNCTION("""COMPUTED_VALUE"""),"")</f>
        <v/>
      </c>
      <c r="U4233" s="16" t="s">
        <v>87</v>
      </c>
      <c r="V4233" s="16" t="str">
        <f>IFERROR(__xludf.DUMMYFUNCTION("""COMPUTED_VALUE"""),"")</f>
        <v/>
      </c>
      <c r="W4233" s="16" t="str">
        <f>IFERROR(__xludf.DUMMYFUNCTION("""COMPUTED_VALUE"""),"")</f>
        <v/>
      </c>
      <c r="X4233" s="16" t="str">
        <f>IFERROR(__xludf.DUMMYFUNCTION("""COMPUTED_VALUE"""),"")</f>
        <v/>
      </c>
      <c r="AC4233" s="16" t="str">
        <f>IFERROR(__xludf.DUMMYFUNCTION("""COMPUTED_VALUE"""),"")</f>
        <v/>
      </c>
    </row>
    <row r="4234">
      <c r="A4234" s="16" t="s">
        <v>87</v>
      </c>
      <c r="E4234" s="16" t="str">
        <f>IFERROR(__xludf.DUMMYFUNCTION("""COMPUTED_VALUE"""),"")</f>
        <v/>
      </c>
      <c r="G4234" s="18"/>
      <c r="H4234" s="16" t="s">
        <v>87</v>
      </c>
      <c r="I4234" s="16" t="s">
        <v>87</v>
      </c>
      <c r="J4234" s="19"/>
      <c r="L4234" s="16" t="str">
        <f>IFERROR(__xludf.DUMMYFUNCTION("""COMPUTED_VALUE"""),"")</f>
        <v/>
      </c>
      <c r="M4234" s="16" t="str">
        <f>IFERROR(__xludf.DUMMYFUNCTION("""COMPUTED_VALUE"""),"")</f>
        <v/>
      </c>
      <c r="U4234" s="16" t="s">
        <v>87</v>
      </c>
      <c r="V4234" s="16" t="str">
        <f>IFERROR(__xludf.DUMMYFUNCTION("""COMPUTED_VALUE"""),"")</f>
        <v/>
      </c>
      <c r="W4234" s="16" t="str">
        <f>IFERROR(__xludf.DUMMYFUNCTION("""COMPUTED_VALUE"""),"")</f>
        <v/>
      </c>
      <c r="X4234" s="16" t="str">
        <f>IFERROR(__xludf.DUMMYFUNCTION("""COMPUTED_VALUE"""),"")</f>
        <v/>
      </c>
      <c r="AC4234" s="16" t="str">
        <f>IFERROR(__xludf.DUMMYFUNCTION("""COMPUTED_VALUE"""),"")</f>
        <v/>
      </c>
    </row>
    <row r="4235">
      <c r="A4235" s="16" t="s">
        <v>87</v>
      </c>
      <c r="E4235" s="16" t="str">
        <f>IFERROR(__xludf.DUMMYFUNCTION("""COMPUTED_VALUE"""),"")</f>
        <v/>
      </c>
      <c r="G4235" s="18"/>
      <c r="H4235" s="16" t="s">
        <v>87</v>
      </c>
      <c r="I4235" s="16" t="s">
        <v>87</v>
      </c>
      <c r="J4235" s="19"/>
      <c r="L4235" s="16" t="str">
        <f>IFERROR(__xludf.DUMMYFUNCTION("""COMPUTED_VALUE"""),"")</f>
        <v/>
      </c>
      <c r="M4235" s="16" t="str">
        <f>IFERROR(__xludf.DUMMYFUNCTION("""COMPUTED_VALUE"""),"")</f>
        <v/>
      </c>
      <c r="U4235" s="16" t="s">
        <v>87</v>
      </c>
      <c r="V4235" s="16" t="str">
        <f>IFERROR(__xludf.DUMMYFUNCTION("""COMPUTED_VALUE"""),"")</f>
        <v/>
      </c>
      <c r="W4235" s="16" t="str">
        <f>IFERROR(__xludf.DUMMYFUNCTION("""COMPUTED_VALUE"""),"")</f>
        <v/>
      </c>
      <c r="X4235" s="16" t="str">
        <f>IFERROR(__xludf.DUMMYFUNCTION("""COMPUTED_VALUE"""),"")</f>
        <v/>
      </c>
      <c r="AC4235" s="16" t="str">
        <f>IFERROR(__xludf.DUMMYFUNCTION("""COMPUTED_VALUE"""),"")</f>
        <v/>
      </c>
    </row>
    <row r="4236">
      <c r="A4236" s="16" t="s">
        <v>87</v>
      </c>
      <c r="E4236" s="16" t="str">
        <f>IFERROR(__xludf.DUMMYFUNCTION("""COMPUTED_VALUE"""),"")</f>
        <v/>
      </c>
      <c r="G4236" s="18"/>
      <c r="H4236" s="16" t="s">
        <v>87</v>
      </c>
      <c r="I4236" s="16" t="s">
        <v>87</v>
      </c>
      <c r="J4236" s="19"/>
      <c r="L4236" s="16" t="str">
        <f>IFERROR(__xludf.DUMMYFUNCTION("""COMPUTED_VALUE"""),"")</f>
        <v/>
      </c>
      <c r="M4236" s="16" t="str">
        <f>IFERROR(__xludf.DUMMYFUNCTION("""COMPUTED_VALUE"""),"")</f>
        <v/>
      </c>
      <c r="U4236" s="16" t="s">
        <v>87</v>
      </c>
      <c r="V4236" s="16" t="str">
        <f>IFERROR(__xludf.DUMMYFUNCTION("""COMPUTED_VALUE"""),"")</f>
        <v/>
      </c>
      <c r="W4236" s="16" t="str">
        <f>IFERROR(__xludf.DUMMYFUNCTION("""COMPUTED_VALUE"""),"")</f>
        <v/>
      </c>
      <c r="X4236" s="16" t="str">
        <f>IFERROR(__xludf.DUMMYFUNCTION("""COMPUTED_VALUE"""),"")</f>
        <v/>
      </c>
      <c r="AC4236" s="16" t="str">
        <f>IFERROR(__xludf.DUMMYFUNCTION("""COMPUTED_VALUE"""),"")</f>
        <v/>
      </c>
    </row>
    <row r="4237">
      <c r="A4237" s="16" t="s">
        <v>87</v>
      </c>
      <c r="E4237" s="16" t="str">
        <f>IFERROR(__xludf.DUMMYFUNCTION("""COMPUTED_VALUE"""),"")</f>
        <v/>
      </c>
      <c r="G4237" s="18"/>
      <c r="H4237" s="16" t="s">
        <v>87</v>
      </c>
      <c r="I4237" s="16" t="s">
        <v>87</v>
      </c>
      <c r="J4237" s="19"/>
      <c r="L4237" s="16" t="str">
        <f>IFERROR(__xludf.DUMMYFUNCTION("""COMPUTED_VALUE"""),"")</f>
        <v/>
      </c>
      <c r="M4237" s="16" t="str">
        <f>IFERROR(__xludf.DUMMYFUNCTION("""COMPUTED_VALUE"""),"")</f>
        <v/>
      </c>
      <c r="U4237" s="16" t="s">
        <v>87</v>
      </c>
      <c r="V4237" s="16" t="str">
        <f>IFERROR(__xludf.DUMMYFUNCTION("""COMPUTED_VALUE"""),"")</f>
        <v/>
      </c>
      <c r="W4237" s="16" t="str">
        <f>IFERROR(__xludf.DUMMYFUNCTION("""COMPUTED_VALUE"""),"")</f>
        <v/>
      </c>
      <c r="X4237" s="16" t="str">
        <f>IFERROR(__xludf.DUMMYFUNCTION("""COMPUTED_VALUE"""),"")</f>
        <v/>
      </c>
      <c r="AC4237" s="16" t="str">
        <f>IFERROR(__xludf.DUMMYFUNCTION("""COMPUTED_VALUE"""),"")</f>
        <v/>
      </c>
    </row>
    <row r="4238">
      <c r="A4238" s="16" t="s">
        <v>87</v>
      </c>
      <c r="E4238" s="16" t="str">
        <f>IFERROR(__xludf.DUMMYFUNCTION("""COMPUTED_VALUE"""),"")</f>
        <v/>
      </c>
      <c r="G4238" s="18"/>
      <c r="H4238" s="16" t="s">
        <v>87</v>
      </c>
      <c r="I4238" s="16" t="s">
        <v>87</v>
      </c>
      <c r="J4238" s="19"/>
      <c r="L4238" s="16" t="str">
        <f>IFERROR(__xludf.DUMMYFUNCTION("""COMPUTED_VALUE"""),"")</f>
        <v/>
      </c>
      <c r="M4238" s="16" t="str">
        <f>IFERROR(__xludf.DUMMYFUNCTION("""COMPUTED_VALUE"""),"")</f>
        <v/>
      </c>
      <c r="U4238" s="16" t="s">
        <v>87</v>
      </c>
      <c r="V4238" s="16" t="str">
        <f>IFERROR(__xludf.DUMMYFUNCTION("""COMPUTED_VALUE"""),"")</f>
        <v/>
      </c>
      <c r="W4238" s="16" t="str">
        <f>IFERROR(__xludf.DUMMYFUNCTION("""COMPUTED_VALUE"""),"")</f>
        <v/>
      </c>
      <c r="X4238" s="16" t="str">
        <f>IFERROR(__xludf.DUMMYFUNCTION("""COMPUTED_VALUE"""),"")</f>
        <v/>
      </c>
      <c r="AC4238" s="16" t="str">
        <f>IFERROR(__xludf.DUMMYFUNCTION("""COMPUTED_VALUE"""),"")</f>
        <v/>
      </c>
    </row>
    <row r="4239">
      <c r="A4239" s="16" t="s">
        <v>87</v>
      </c>
      <c r="E4239" s="16" t="str">
        <f>IFERROR(__xludf.DUMMYFUNCTION("""COMPUTED_VALUE"""),"")</f>
        <v/>
      </c>
      <c r="G4239" s="18"/>
      <c r="H4239" s="16" t="s">
        <v>87</v>
      </c>
      <c r="I4239" s="16" t="s">
        <v>87</v>
      </c>
      <c r="J4239" s="19"/>
      <c r="L4239" s="16" t="str">
        <f>IFERROR(__xludf.DUMMYFUNCTION("""COMPUTED_VALUE"""),"")</f>
        <v/>
      </c>
      <c r="M4239" s="16" t="str">
        <f>IFERROR(__xludf.DUMMYFUNCTION("""COMPUTED_VALUE"""),"")</f>
        <v/>
      </c>
      <c r="U4239" s="16" t="s">
        <v>87</v>
      </c>
      <c r="V4239" s="16" t="str">
        <f>IFERROR(__xludf.DUMMYFUNCTION("""COMPUTED_VALUE"""),"")</f>
        <v/>
      </c>
      <c r="W4239" s="16" t="str">
        <f>IFERROR(__xludf.DUMMYFUNCTION("""COMPUTED_VALUE"""),"")</f>
        <v/>
      </c>
      <c r="X4239" s="16" t="str">
        <f>IFERROR(__xludf.DUMMYFUNCTION("""COMPUTED_VALUE"""),"")</f>
        <v/>
      </c>
      <c r="AC4239" s="16" t="str">
        <f>IFERROR(__xludf.DUMMYFUNCTION("""COMPUTED_VALUE"""),"")</f>
        <v/>
      </c>
    </row>
    <row r="4240">
      <c r="A4240" s="16" t="s">
        <v>87</v>
      </c>
      <c r="E4240" s="16" t="str">
        <f>IFERROR(__xludf.DUMMYFUNCTION("""COMPUTED_VALUE"""),"")</f>
        <v/>
      </c>
      <c r="G4240" s="18"/>
      <c r="H4240" s="16" t="s">
        <v>87</v>
      </c>
      <c r="I4240" s="16" t="s">
        <v>87</v>
      </c>
      <c r="J4240" s="19"/>
      <c r="L4240" s="16" t="str">
        <f>IFERROR(__xludf.DUMMYFUNCTION("""COMPUTED_VALUE"""),"")</f>
        <v/>
      </c>
      <c r="M4240" s="16" t="str">
        <f>IFERROR(__xludf.DUMMYFUNCTION("""COMPUTED_VALUE"""),"")</f>
        <v/>
      </c>
      <c r="U4240" s="16" t="s">
        <v>87</v>
      </c>
      <c r="V4240" s="16" t="str">
        <f>IFERROR(__xludf.DUMMYFUNCTION("""COMPUTED_VALUE"""),"")</f>
        <v/>
      </c>
      <c r="W4240" s="16" t="str">
        <f>IFERROR(__xludf.DUMMYFUNCTION("""COMPUTED_VALUE"""),"")</f>
        <v/>
      </c>
      <c r="X4240" s="16" t="str">
        <f>IFERROR(__xludf.DUMMYFUNCTION("""COMPUTED_VALUE"""),"")</f>
        <v/>
      </c>
      <c r="AC4240" s="16" t="str">
        <f>IFERROR(__xludf.DUMMYFUNCTION("""COMPUTED_VALUE"""),"")</f>
        <v/>
      </c>
    </row>
    <row r="4241">
      <c r="A4241" s="16" t="s">
        <v>87</v>
      </c>
      <c r="E4241" s="16" t="str">
        <f>IFERROR(__xludf.DUMMYFUNCTION("""COMPUTED_VALUE"""),"")</f>
        <v/>
      </c>
      <c r="G4241" s="18"/>
      <c r="H4241" s="16" t="s">
        <v>87</v>
      </c>
      <c r="I4241" s="16" t="s">
        <v>87</v>
      </c>
      <c r="J4241" s="19"/>
      <c r="L4241" s="16" t="str">
        <f>IFERROR(__xludf.DUMMYFUNCTION("""COMPUTED_VALUE"""),"")</f>
        <v/>
      </c>
      <c r="M4241" s="16" t="str">
        <f>IFERROR(__xludf.DUMMYFUNCTION("""COMPUTED_VALUE"""),"")</f>
        <v/>
      </c>
      <c r="U4241" s="16" t="s">
        <v>87</v>
      </c>
      <c r="V4241" s="16" t="str">
        <f>IFERROR(__xludf.DUMMYFUNCTION("""COMPUTED_VALUE"""),"")</f>
        <v/>
      </c>
      <c r="W4241" s="16" t="str">
        <f>IFERROR(__xludf.DUMMYFUNCTION("""COMPUTED_VALUE"""),"")</f>
        <v/>
      </c>
      <c r="X4241" s="16" t="str">
        <f>IFERROR(__xludf.DUMMYFUNCTION("""COMPUTED_VALUE"""),"")</f>
        <v/>
      </c>
      <c r="AC4241" s="16" t="str">
        <f>IFERROR(__xludf.DUMMYFUNCTION("""COMPUTED_VALUE"""),"")</f>
        <v/>
      </c>
    </row>
    <row r="4242">
      <c r="A4242" s="16" t="s">
        <v>87</v>
      </c>
      <c r="E4242" s="16" t="str">
        <f>IFERROR(__xludf.DUMMYFUNCTION("""COMPUTED_VALUE"""),"")</f>
        <v/>
      </c>
      <c r="G4242" s="18"/>
      <c r="H4242" s="16" t="s">
        <v>87</v>
      </c>
      <c r="I4242" s="16" t="s">
        <v>87</v>
      </c>
      <c r="J4242" s="19"/>
      <c r="L4242" s="16" t="str">
        <f>IFERROR(__xludf.DUMMYFUNCTION("""COMPUTED_VALUE"""),"")</f>
        <v/>
      </c>
      <c r="M4242" s="16" t="str">
        <f>IFERROR(__xludf.DUMMYFUNCTION("""COMPUTED_VALUE"""),"")</f>
        <v/>
      </c>
      <c r="U4242" s="16" t="s">
        <v>87</v>
      </c>
      <c r="V4242" s="16" t="str">
        <f>IFERROR(__xludf.DUMMYFUNCTION("""COMPUTED_VALUE"""),"")</f>
        <v/>
      </c>
      <c r="W4242" s="16" t="str">
        <f>IFERROR(__xludf.DUMMYFUNCTION("""COMPUTED_VALUE"""),"")</f>
        <v/>
      </c>
      <c r="X4242" s="16" t="str">
        <f>IFERROR(__xludf.DUMMYFUNCTION("""COMPUTED_VALUE"""),"")</f>
        <v/>
      </c>
      <c r="AC4242" s="16" t="str">
        <f>IFERROR(__xludf.DUMMYFUNCTION("""COMPUTED_VALUE"""),"")</f>
        <v/>
      </c>
    </row>
    <row r="4243">
      <c r="A4243" s="16" t="s">
        <v>87</v>
      </c>
      <c r="E4243" s="16" t="str">
        <f>IFERROR(__xludf.DUMMYFUNCTION("""COMPUTED_VALUE"""),"")</f>
        <v/>
      </c>
      <c r="G4243" s="18"/>
      <c r="H4243" s="16" t="s">
        <v>87</v>
      </c>
      <c r="I4243" s="16" t="s">
        <v>87</v>
      </c>
      <c r="J4243" s="19"/>
      <c r="L4243" s="16" t="str">
        <f>IFERROR(__xludf.DUMMYFUNCTION("""COMPUTED_VALUE"""),"")</f>
        <v/>
      </c>
      <c r="M4243" s="16" t="str">
        <f>IFERROR(__xludf.DUMMYFUNCTION("""COMPUTED_VALUE"""),"")</f>
        <v/>
      </c>
      <c r="U4243" s="16" t="s">
        <v>87</v>
      </c>
      <c r="V4243" s="16" t="str">
        <f>IFERROR(__xludf.DUMMYFUNCTION("""COMPUTED_VALUE"""),"")</f>
        <v/>
      </c>
      <c r="W4243" s="16" t="str">
        <f>IFERROR(__xludf.DUMMYFUNCTION("""COMPUTED_VALUE"""),"")</f>
        <v/>
      </c>
      <c r="X4243" s="16" t="str">
        <f>IFERROR(__xludf.DUMMYFUNCTION("""COMPUTED_VALUE"""),"")</f>
        <v/>
      </c>
      <c r="AC4243" s="16" t="str">
        <f>IFERROR(__xludf.DUMMYFUNCTION("""COMPUTED_VALUE"""),"")</f>
        <v/>
      </c>
    </row>
    <row r="4244">
      <c r="A4244" s="16" t="s">
        <v>87</v>
      </c>
      <c r="E4244" s="16" t="str">
        <f>IFERROR(__xludf.DUMMYFUNCTION("""COMPUTED_VALUE"""),"")</f>
        <v/>
      </c>
      <c r="G4244" s="18"/>
      <c r="H4244" s="16" t="s">
        <v>87</v>
      </c>
      <c r="I4244" s="16" t="s">
        <v>87</v>
      </c>
      <c r="J4244" s="19"/>
      <c r="L4244" s="16" t="str">
        <f>IFERROR(__xludf.DUMMYFUNCTION("""COMPUTED_VALUE"""),"")</f>
        <v/>
      </c>
      <c r="M4244" s="16" t="str">
        <f>IFERROR(__xludf.DUMMYFUNCTION("""COMPUTED_VALUE"""),"")</f>
        <v/>
      </c>
      <c r="U4244" s="16" t="s">
        <v>87</v>
      </c>
      <c r="V4244" s="16" t="str">
        <f>IFERROR(__xludf.DUMMYFUNCTION("""COMPUTED_VALUE"""),"")</f>
        <v/>
      </c>
      <c r="W4244" s="16" t="str">
        <f>IFERROR(__xludf.DUMMYFUNCTION("""COMPUTED_VALUE"""),"")</f>
        <v/>
      </c>
      <c r="X4244" s="16" t="str">
        <f>IFERROR(__xludf.DUMMYFUNCTION("""COMPUTED_VALUE"""),"")</f>
        <v/>
      </c>
      <c r="AC4244" s="16" t="str">
        <f>IFERROR(__xludf.DUMMYFUNCTION("""COMPUTED_VALUE"""),"")</f>
        <v/>
      </c>
    </row>
    <row r="4245">
      <c r="A4245" s="16" t="s">
        <v>87</v>
      </c>
      <c r="E4245" s="16" t="str">
        <f>IFERROR(__xludf.DUMMYFUNCTION("""COMPUTED_VALUE"""),"")</f>
        <v/>
      </c>
      <c r="G4245" s="18"/>
      <c r="H4245" s="16" t="s">
        <v>87</v>
      </c>
      <c r="I4245" s="16" t="s">
        <v>87</v>
      </c>
      <c r="J4245" s="19"/>
      <c r="L4245" s="16" t="str">
        <f>IFERROR(__xludf.DUMMYFUNCTION("""COMPUTED_VALUE"""),"")</f>
        <v/>
      </c>
      <c r="M4245" s="16" t="str">
        <f>IFERROR(__xludf.DUMMYFUNCTION("""COMPUTED_VALUE"""),"")</f>
        <v/>
      </c>
      <c r="U4245" s="16" t="s">
        <v>87</v>
      </c>
      <c r="V4245" s="16" t="str">
        <f>IFERROR(__xludf.DUMMYFUNCTION("""COMPUTED_VALUE"""),"")</f>
        <v/>
      </c>
      <c r="W4245" s="16" t="str">
        <f>IFERROR(__xludf.DUMMYFUNCTION("""COMPUTED_VALUE"""),"")</f>
        <v/>
      </c>
      <c r="X4245" s="16" t="str">
        <f>IFERROR(__xludf.DUMMYFUNCTION("""COMPUTED_VALUE"""),"")</f>
        <v/>
      </c>
      <c r="AC4245" s="16" t="str">
        <f>IFERROR(__xludf.DUMMYFUNCTION("""COMPUTED_VALUE"""),"")</f>
        <v/>
      </c>
    </row>
    <row r="4246">
      <c r="A4246" s="16" t="s">
        <v>87</v>
      </c>
      <c r="E4246" s="16" t="str">
        <f>IFERROR(__xludf.DUMMYFUNCTION("""COMPUTED_VALUE"""),"")</f>
        <v/>
      </c>
      <c r="G4246" s="18"/>
      <c r="H4246" s="16" t="s">
        <v>87</v>
      </c>
      <c r="I4246" s="16" t="s">
        <v>87</v>
      </c>
      <c r="J4246" s="19"/>
      <c r="L4246" s="16" t="str">
        <f>IFERROR(__xludf.DUMMYFUNCTION("""COMPUTED_VALUE"""),"")</f>
        <v/>
      </c>
      <c r="M4246" s="16" t="str">
        <f>IFERROR(__xludf.DUMMYFUNCTION("""COMPUTED_VALUE"""),"")</f>
        <v/>
      </c>
      <c r="U4246" s="16" t="s">
        <v>87</v>
      </c>
      <c r="V4246" s="16" t="str">
        <f>IFERROR(__xludf.DUMMYFUNCTION("""COMPUTED_VALUE"""),"")</f>
        <v/>
      </c>
      <c r="W4246" s="16" t="str">
        <f>IFERROR(__xludf.DUMMYFUNCTION("""COMPUTED_VALUE"""),"")</f>
        <v/>
      </c>
      <c r="X4246" s="16" t="str">
        <f>IFERROR(__xludf.DUMMYFUNCTION("""COMPUTED_VALUE"""),"")</f>
        <v/>
      </c>
      <c r="AC4246" s="16" t="str">
        <f>IFERROR(__xludf.DUMMYFUNCTION("""COMPUTED_VALUE"""),"")</f>
        <v/>
      </c>
    </row>
    <row r="4247">
      <c r="A4247" s="16" t="s">
        <v>87</v>
      </c>
      <c r="E4247" s="16" t="str">
        <f>IFERROR(__xludf.DUMMYFUNCTION("""COMPUTED_VALUE"""),"")</f>
        <v/>
      </c>
      <c r="G4247" s="18"/>
      <c r="H4247" s="16" t="s">
        <v>87</v>
      </c>
      <c r="I4247" s="16" t="s">
        <v>87</v>
      </c>
      <c r="J4247" s="19"/>
      <c r="L4247" s="16" t="str">
        <f>IFERROR(__xludf.DUMMYFUNCTION("""COMPUTED_VALUE"""),"")</f>
        <v/>
      </c>
      <c r="M4247" s="16" t="str">
        <f>IFERROR(__xludf.DUMMYFUNCTION("""COMPUTED_VALUE"""),"")</f>
        <v/>
      </c>
      <c r="U4247" s="16" t="s">
        <v>87</v>
      </c>
      <c r="V4247" s="16" t="str">
        <f>IFERROR(__xludf.DUMMYFUNCTION("""COMPUTED_VALUE"""),"")</f>
        <v/>
      </c>
      <c r="W4247" s="16" t="str">
        <f>IFERROR(__xludf.DUMMYFUNCTION("""COMPUTED_VALUE"""),"")</f>
        <v/>
      </c>
      <c r="X4247" s="16" t="str">
        <f>IFERROR(__xludf.DUMMYFUNCTION("""COMPUTED_VALUE"""),"")</f>
        <v/>
      </c>
      <c r="AC4247" s="16" t="str">
        <f>IFERROR(__xludf.DUMMYFUNCTION("""COMPUTED_VALUE"""),"")</f>
        <v/>
      </c>
    </row>
    <row r="4248">
      <c r="A4248" s="16" t="s">
        <v>87</v>
      </c>
      <c r="E4248" s="16" t="str">
        <f>IFERROR(__xludf.DUMMYFUNCTION("""COMPUTED_VALUE"""),"")</f>
        <v/>
      </c>
      <c r="G4248" s="18"/>
      <c r="H4248" s="16" t="s">
        <v>87</v>
      </c>
      <c r="I4248" s="16" t="s">
        <v>87</v>
      </c>
      <c r="J4248" s="19"/>
      <c r="L4248" s="16" t="str">
        <f>IFERROR(__xludf.DUMMYFUNCTION("""COMPUTED_VALUE"""),"")</f>
        <v/>
      </c>
      <c r="M4248" s="16" t="str">
        <f>IFERROR(__xludf.DUMMYFUNCTION("""COMPUTED_VALUE"""),"")</f>
        <v/>
      </c>
      <c r="U4248" s="16" t="s">
        <v>87</v>
      </c>
      <c r="V4248" s="16" t="str">
        <f>IFERROR(__xludf.DUMMYFUNCTION("""COMPUTED_VALUE"""),"")</f>
        <v/>
      </c>
      <c r="W4248" s="16" t="str">
        <f>IFERROR(__xludf.DUMMYFUNCTION("""COMPUTED_VALUE"""),"")</f>
        <v/>
      </c>
      <c r="X4248" s="16" t="str">
        <f>IFERROR(__xludf.DUMMYFUNCTION("""COMPUTED_VALUE"""),"")</f>
        <v/>
      </c>
      <c r="AC4248" s="16" t="str">
        <f>IFERROR(__xludf.DUMMYFUNCTION("""COMPUTED_VALUE"""),"")</f>
        <v/>
      </c>
    </row>
    <row r="4249">
      <c r="A4249" s="16" t="s">
        <v>87</v>
      </c>
      <c r="E4249" s="16" t="str">
        <f>IFERROR(__xludf.DUMMYFUNCTION("""COMPUTED_VALUE"""),"")</f>
        <v/>
      </c>
      <c r="G4249" s="18"/>
      <c r="H4249" s="16" t="s">
        <v>87</v>
      </c>
      <c r="I4249" s="16" t="s">
        <v>87</v>
      </c>
      <c r="J4249" s="19"/>
      <c r="L4249" s="16" t="str">
        <f>IFERROR(__xludf.DUMMYFUNCTION("""COMPUTED_VALUE"""),"")</f>
        <v/>
      </c>
      <c r="M4249" s="16" t="str">
        <f>IFERROR(__xludf.DUMMYFUNCTION("""COMPUTED_VALUE"""),"")</f>
        <v/>
      </c>
      <c r="U4249" s="16" t="s">
        <v>87</v>
      </c>
      <c r="V4249" s="16" t="str">
        <f>IFERROR(__xludf.DUMMYFUNCTION("""COMPUTED_VALUE"""),"")</f>
        <v/>
      </c>
      <c r="W4249" s="16" t="str">
        <f>IFERROR(__xludf.DUMMYFUNCTION("""COMPUTED_VALUE"""),"")</f>
        <v/>
      </c>
      <c r="X4249" s="16" t="str">
        <f>IFERROR(__xludf.DUMMYFUNCTION("""COMPUTED_VALUE"""),"")</f>
        <v/>
      </c>
      <c r="AC4249" s="16" t="str">
        <f>IFERROR(__xludf.DUMMYFUNCTION("""COMPUTED_VALUE"""),"")</f>
        <v/>
      </c>
    </row>
    <row r="4250">
      <c r="A4250" s="16" t="s">
        <v>87</v>
      </c>
      <c r="E4250" s="16" t="str">
        <f>IFERROR(__xludf.DUMMYFUNCTION("""COMPUTED_VALUE"""),"")</f>
        <v/>
      </c>
      <c r="G4250" s="18"/>
      <c r="H4250" s="16" t="s">
        <v>87</v>
      </c>
      <c r="I4250" s="16" t="s">
        <v>87</v>
      </c>
      <c r="J4250" s="19"/>
      <c r="L4250" s="16" t="str">
        <f>IFERROR(__xludf.DUMMYFUNCTION("""COMPUTED_VALUE"""),"")</f>
        <v/>
      </c>
      <c r="M4250" s="16" t="str">
        <f>IFERROR(__xludf.DUMMYFUNCTION("""COMPUTED_VALUE"""),"")</f>
        <v/>
      </c>
      <c r="U4250" s="16" t="s">
        <v>87</v>
      </c>
      <c r="V4250" s="16" t="str">
        <f>IFERROR(__xludf.DUMMYFUNCTION("""COMPUTED_VALUE"""),"")</f>
        <v/>
      </c>
      <c r="W4250" s="16" t="str">
        <f>IFERROR(__xludf.DUMMYFUNCTION("""COMPUTED_VALUE"""),"")</f>
        <v/>
      </c>
      <c r="X4250" s="16" t="str">
        <f>IFERROR(__xludf.DUMMYFUNCTION("""COMPUTED_VALUE"""),"")</f>
        <v/>
      </c>
      <c r="AC4250" s="16" t="str">
        <f>IFERROR(__xludf.DUMMYFUNCTION("""COMPUTED_VALUE"""),"")</f>
        <v/>
      </c>
    </row>
    <row r="4251">
      <c r="A4251" s="16" t="s">
        <v>87</v>
      </c>
      <c r="E4251" s="16" t="str">
        <f>IFERROR(__xludf.DUMMYFUNCTION("""COMPUTED_VALUE"""),"")</f>
        <v/>
      </c>
      <c r="G4251" s="18"/>
      <c r="H4251" s="16" t="s">
        <v>87</v>
      </c>
      <c r="I4251" s="16" t="s">
        <v>87</v>
      </c>
      <c r="J4251" s="19"/>
      <c r="L4251" s="16" t="str">
        <f>IFERROR(__xludf.DUMMYFUNCTION("""COMPUTED_VALUE"""),"")</f>
        <v/>
      </c>
      <c r="M4251" s="16" t="str">
        <f>IFERROR(__xludf.DUMMYFUNCTION("""COMPUTED_VALUE"""),"")</f>
        <v/>
      </c>
      <c r="U4251" s="16" t="s">
        <v>87</v>
      </c>
      <c r="V4251" s="16" t="str">
        <f>IFERROR(__xludf.DUMMYFUNCTION("""COMPUTED_VALUE"""),"")</f>
        <v/>
      </c>
      <c r="W4251" s="16" t="str">
        <f>IFERROR(__xludf.DUMMYFUNCTION("""COMPUTED_VALUE"""),"")</f>
        <v/>
      </c>
      <c r="X4251" s="16" t="str">
        <f>IFERROR(__xludf.DUMMYFUNCTION("""COMPUTED_VALUE"""),"")</f>
        <v/>
      </c>
      <c r="AC4251" s="16" t="str">
        <f>IFERROR(__xludf.DUMMYFUNCTION("""COMPUTED_VALUE"""),"")</f>
        <v/>
      </c>
    </row>
    <row r="4252">
      <c r="A4252" s="16" t="s">
        <v>87</v>
      </c>
      <c r="E4252" s="16" t="str">
        <f>IFERROR(__xludf.DUMMYFUNCTION("""COMPUTED_VALUE"""),"")</f>
        <v/>
      </c>
      <c r="G4252" s="18"/>
      <c r="H4252" s="16" t="s">
        <v>87</v>
      </c>
      <c r="I4252" s="16" t="s">
        <v>87</v>
      </c>
      <c r="J4252" s="19"/>
      <c r="L4252" s="16" t="str">
        <f>IFERROR(__xludf.DUMMYFUNCTION("""COMPUTED_VALUE"""),"")</f>
        <v/>
      </c>
      <c r="M4252" s="16" t="str">
        <f>IFERROR(__xludf.DUMMYFUNCTION("""COMPUTED_VALUE"""),"")</f>
        <v/>
      </c>
      <c r="U4252" s="16" t="s">
        <v>87</v>
      </c>
      <c r="V4252" s="16" t="str">
        <f>IFERROR(__xludf.DUMMYFUNCTION("""COMPUTED_VALUE"""),"")</f>
        <v/>
      </c>
      <c r="W4252" s="16" t="str">
        <f>IFERROR(__xludf.DUMMYFUNCTION("""COMPUTED_VALUE"""),"")</f>
        <v/>
      </c>
      <c r="X4252" s="16" t="str">
        <f>IFERROR(__xludf.DUMMYFUNCTION("""COMPUTED_VALUE"""),"")</f>
        <v/>
      </c>
      <c r="AC4252" s="16" t="str">
        <f>IFERROR(__xludf.DUMMYFUNCTION("""COMPUTED_VALUE"""),"")</f>
        <v/>
      </c>
    </row>
    <row r="4253">
      <c r="A4253" s="16" t="s">
        <v>87</v>
      </c>
      <c r="E4253" s="16" t="str">
        <f>IFERROR(__xludf.DUMMYFUNCTION("""COMPUTED_VALUE"""),"")</f>
        <v/>
      </c>
      <c r="G4253" s="18"/>
      <c r="H4253" s="16" t="s">
        <v>87</v>
      </c>
      <c r="I4253" s="16" t="s">
        <v>87</v>
      </c>
      <c r="J4253" s="19"/>
      <c r="L4253" s="16" t="str">
        <f>IFERROR(__xludf.DUMMYFUNCTION("""COMPUTED_VALUE"""),"")</f>
        <v/>
      </c>
      <c r="M4253" s="16" t="str">
        <f>IFERROR(__xludf.DUMMYFUNCTION("""COMPUTED_VALUE"""),"")</f>
        <v/>
      </c>
      <c r="U4253" s="16" t="s">
        <v>87</v>
      </c>
      <c r="V4253" s="16" t="str">
        <f>IFERROR(__xludf.DUMMYFUNCTION("""COMPUTED_VALUE"""),"")</f>
        <v/>
      </c>
      <c r="W4253" s="16" t="str">
        <f>IFERROR(__xludf.DUMMYFUNCTION("""COMPUTED_VALUE"""),"")</f>
        <v/>
      </c>
      <c r="X4253" s="16" t="str">
        <f>IFERROR(__xludf.DUMMYFUNCTION("""COMPUTED_VALUE"""),"")</f>
        <v/>
      </c>
      <c r="AC4253" s="16" t="str">
        <f>IFERROR(__xludf.DUMMYFUNCTION("""COMPUTED_VALUE"""),"")</f>
        <v/>
      </c>
    </row>
    <row r="4254">
      <c r="A4254" s="16" t="s">
        <v>87</v>
      </c>
      <c r="E4254" s="16" t="str">
        <f>IFERROR(__xludf.DUMMYFUNCTION("""COMPUTED_VALUE"""),"")</f>
        <v/>
      </c>
      <c r="G4254" s="18"/>
      <c r="H4254" s="16" t="s">
        <v>87</v>
      </c>
      <c r="I4254" s="16" t="s">
        <v>87</v>
      </c>
      <c r="J4254" s="19"/>
      <c r="L4254" s="16" t="str">
        <f>IFERROR(__xludf.DUMMYFUNCTION("""COMPUTED_VALUE"""),"")</f>
        <v/>
      </c>
      <c r="M4254" s="16" t="str">
        <f>IFERROR(__xludf.DUMMYFUNCTION("""COMPUTED_VALUE"""),"")</f>
        <v/>
      </c>
      <c r="U4254" s="16" t="s">
        <v>87</v>
      </c>
      <c r="V4254" s="16" t="str">
        <f>IFERROR(__xludf.DUMMYFUNCTION("""COMPUTED_VALUE"""),"")</f>
        <v/>
      </c>
      <c r="W4254" s="16" t="str">
        <f>IFERROR(__xludf.DUMMYFUNCTION("""COMPUTED_VALUE"""),"")</f>
        <v/>
      </c>
      <c r="X4254" s="16" t="str">
        <f>IFERROR(__xludf.DUMMYFUNCTION("""COMPUTED_VALUE"""),"")</f>
        <v/>
      </c>
      <c r="AC4254" s="16" t="str">
        <f>IFERROR(__xludf.DUMMYFUNCTION("""COMPUTED_VALUE"""),"")</f>
        <v/>
      </c>
    </row>
    <row r="4255">
      <c r="A4255" s="16" t="s">
        <v>87</v>
      </c>
      <c r="E4255" s="16" t="str">
        <f>IFERROR(__xludf.DUMMYFUNCTION("""COMPUTED_VALUE"""),"")</f>
        <v/>
      </c>
      <c r="G4255" s="18"/>
      <c r="H4255" s="16" t="s">
        <v>87</v>
      </c>
      <c r="I4255" s="16" t="s">
        <v>87</v>
      </c>
      <c r="J4255" s="19"/>
      <c r="L4255" s="16" t="str">
        <f>IFERROR(__xludf.DUMMYFUNCTION("""COMPUTED_VALUE"""),"")</f>
        <v/>
      </c>
      <c r="M4255" s="16" t="str">
        <f>IFERROR(__xludf.DUMMYFUNCTION("""COMPUTED_VALUE"""),"")</f>
        <v/>
      </c>
      <c r="U4255" s="16" t="s">
        <v>87</v>
      </c>
      <c r="V4255" s="16" t="str">
        <f>IFERROR(__xludf.DUMMYFUNCTION("""COMPUTED_VALUE"""),"")</f>
        <v/>
      </c>
      <c r="W4255" s="16" t="str">
        <f>IFERROR(__xludf.DUMMYFUNCTION("""COMPUTED_VALUE"""),"")</f>
        <v/>
      </c>
      <c r="X4255" s="16" t="str">
        <f>IFERROR(__xludf.DUMMYFUNCTION("""COMPUTED_VALUE"""),"")</f>
        <v/>
      </c>
      <c r="AC4255" s="16" t="str">
        <f>IFERROR(__xludf.DUMMYFUNCTION("""COMPUTED_VALUE"""),"")</f>
        <v/>
      </c>
    </row>
    <row r="4256">
      <c r="A4256" s="16" t="s">
        <v>87</v>
      </c>
      <c r="E4256" s="16" t="str">
        <f>IFERROR(__xludf.DUMMYFUNCTION("""COMPUTED_VALUE"""),"")</f>
        <v/>
      </c>
      <c r="G4256" s="18"/>
      <c r="H4256" s="16" t="s">
        <v>87</v>
      </c>
      <c r="I4256" s="16" t="s">
        <v>87</v>
      </c>
      <c r="J4256" s="19"/>
      <c r="L4256" s="16" t="str">
        <f>IFERROR(__xludf.DUMMYFUNCTION("""COMPUTED_VALUE"""),"")</f>
        <v/>
      </c>
      <c r="M4256" s="16" t="str">
        <f>IFERROR(__xludf.DUMMYFUNCTION("""COMPUTED_VALUE"""),"")</f>
        <v/>
      </c>
      <c r="U4256" s="16" t="s">
        <v>87</v>
      </c>
      <c r="V4256" s="16" t="str">
        <f>IFERROR(__xludf.DUMMYFUNCTION("""COMPUTED_VALUE"""),"")</f>
        <v/>
      </c>
      <c r="W4256" s="16" t="str">
        <f>IFERROR(__xludf.DUMMYFUNCTION("""COMPUTED_VALUE"""),"")</f>
        <v/>
      </c>
      <c r="X4256" s="16" t="str">
        <f>IFERROR(__xludf.DUMMYFUNCTION("""COMPUTED_VALUE"""),"")</f>
        <v/>
      </c>
      <c r="AC4256" s="16" t="str">
        <f>IFERROR(__xludf.DUMMYFUNCTION("""COMPUTED_VALUE"""),"")</f>
        <v/>
      </c>
    </row>
    <row r="4257">
      <c r="A4257" s="16" t="s">
        <v>87</v>
      </c>
      <c r="E4257" s="16" t="str">
        <f>IFERROR(__xludf.DUMMYFUNCTION("""COMPUTED_VALUE"""),"")</f>
        <v/>
      </c>
      <c r="G4257" s="18"/>
      <c r="H4257" s="16" t="s">
        <v>87</v>
      </c>
      <c r="I4257" s="16" t="s">
        <v>87</v>
      </c>
      <c r="J4257" s="19"/>
      <c r="L4257" s="16" t="str">
        <f>IFERROR(__xludf.DUMMYFUNCTION("""COMPUTED_VALUE"""),"")</f>
        <v/>
      </c>
      <c r="M4257" s="16" t="str">
        <f>IFERROR(__xludf.DUMMYFUNCTION("""COMPUTED_VALUE"""),"")</f>
        <v/>
      </c>
      <c r="U4257" s="16" t="s">
        <v>87</v>
      </c>
      <c r="V4257" s="16" t="str">
        <f>IFERROR(__xludf.DUMMYFUNCTION("""COMPUTED_VALUE"""),"")</f>
        <v/>
      </c>
      <c r="W4257" s="16" t="str">
        <f>IFERROR(__xludf.DUMMYFUNCTION("""COMPUTED_VALUE"""),"")</f>
        <v/>
      </c>
      <c r="X4257" s="16" t="str">
        <f>IFERROR(__xludf.DUMMYFUNCTION("""COMPUTED_VALUE"""),"")</f>
        <v/>
      </c>
      <c r="AC4257" s="16" t="str">
        <f>IFERROR(__xludf.DUMMYFUNCTION("""COMPUTED_VALUE"""),"")</f>
        <v/>
      </c>
    </row>
    <row r="4258">
      <c r="A4258" s="16" t="s">
        <v>87</v>
      </c>
      <c r="E4258" s="16" t="str">
        <f>IFERROR(__xludf.DUMMYFUNCTION("""COMPUTED_VALUE"""),"")</f>
        <v/>
      </c>
      <c r="G4258" s="18"/>
      <c r="H4258" s="16" t="s">
        <v>87</v>
      </c>
      <c r="I4258" s="16" t="s">
        <v>87</v>
      </c>
      <c r="J4258" s="19"/>
      <c r="L4258" s="16" t="str">
        <f>IFERROR(__xludf.DUMMYFUNCTION("""COMPUTED_VALUE"""),"")</f>
        <v/>
      </c>
      <c r="M4258" s="16" t="str">
        <f>IFERROR(__xludf.DUMMYFUNCTION("""COMPUTED_VALUE"""),"")</f>
        <v/>
      </c>
      <c r="U4258" s="16" t="s">
        <v>87</v>
      </c>
      <c r="V4258" s="16" t="str">
        <f>IFERROR(__xludf.DUMMYFUNCTION("""COMPUTED_VALUE"""),"")</f>
        <v/>
      </c>
      <c r="W4258" s="16" t="str">
        <f>IFERROR(__xludf.DUMMYFUNCTION("""COMPUTED_VALUE"""),"")</f>
        <v/>
      </c>
      <c r="X4258" s="16" t="str">
        <f>IFERROR(__xludf.DUMMYFUNCTION("""COMPUTED_VALUE"""),"")</f>
        <v/>
      </c>
      <c r="AC4258" s="16" t="str">
        <f>IFERROR(__xludf.DUMMYFUNCTION("""COMPUTED_VALUE"""),"")</f>
        <v/>
      </c>
    </row>
    <row r="4259">
      <c r="A4259" s="16" t="s">
        <v>87</v>
      </c>
      <c r="E4259" s="16" t="str">
        <f>IFERROR(__xludf.DUMMYFUNCTION("""COMPUTED_VALUE"""),"")</f>
        <v/>
      </c>
      <c r="G4259" s="18"/>
      <c r="H4259" s="16" t="s">
        <v>87</v>
      </c>
      <c r="I4259" s="16" t="s">
        <v>87</v>
      </c>
      <c r="J4259" s="19"/>
      <c r="L4259" s="16" t="str">
        <f>IFERROR(__xludf.DUMMYFUNCTION("""COMPUTED_VALUE"""),"")</f>
        <v/>
      </c>
      <c r="M4259" s="16" t="str">
        <f>IFERROR(__xludf.DUMMYFUNCTION("""COMPUTED_VALUE"""),"")</f>
        <v/>
      </c>
      <c r="U4259" s="16" t="s">
        <v>87</v>
      </c>
      <c r="V4259" s="16" t="str">
        <f>IFERROR(__xludf.DUMMYFUNCTION("""COMPUTED_VALUE"""),"")</f>
        <v/>
      </c>
      <c r="W4259" s="16" t="str">
        <f>IFERROR(__xludf.DUMMYFUNCTION("""COMPUTED_VALUE"""),"")</f>
        <v/>
      </c>
      <c r="X4259" s="16" t="str">
        <f>IFERROR(__xludf.DUMMYFUNCTION("""COMPUTED_VALUE"""),"")</f>
        <v/>
      </c>
      <c r="AC4259" s="16" t="str">
        <f>IFERROR(__xludf.DUMMYFUNCTION("""COMPUTED_VALUE"""),"")</f>
        <v/>
      </c>
    </row>
    <row r="4260">
      <c r="A4260" s="16" t="s">
        <v>87</v>
      </c>
      <c r="E4260" s="16" t="str">
        <f>IFERROR(__xludf.DUMMYFUNCTION("""COMPUTED_VALUE"""),"")</f>
        <v/>
      </c>
      <c r="G4260" s="18"/>
      <c r="H4260" s="16" t="s">
        <v>87</v>
      </c>
      <c r="I4260" s="16" t="s">
        <v>87</v>
      </c>
      <c r="J4260" s="19"/>
      <c r="L4260" s="16" t="str">
        <f>IFERROR(__xludf.DUMMYFUNCTION("""COMPUTED_VALUE"""),"")</f>
        <v/>
      </c>
      <c r="M4260" s="16" t="str">
        <f>IFERROR(__xludf.DUMMYFUNCTION("""COMPUTED_VALUE"""),"")</f>
        <v/>
      </c>
      <c r="U4260" s="16" t="s">
        <v>87</v>
      </c>
      <c r="V4260" s="16" t="str">
        <f>IFERROR(__xludf.DUMMYFUNCTION("""COMPUTED_VALUE"""),"")</f>
        <v/>
      </c>
      <c r="W4260" s="16" t="str">
        <f>IFERROR(__xludf.DUMMYFUNCTION("""COMPUTED_VALUE"""),"")</f>
        <v/>
      </c>
      <c r="X4260" s="16" t="str">
        <f>IFERROR(__xludf.DUMMYFUNCTION("""COMPUTED_VALUE"""),"")</f>
        <v/>
      </c>
      <c r="AC4260" s="16" t="str">
        <f>IFERROR(__xludf.DUMMYFUNCTION("""COMPUTED_VALUE"""),"")</f>
        <v/>
      </c>
    </row>
    <row r="4261">
      <c r="A4261" s="16" t="s">
        <v>87</v>
      </c>
      <c r="E4261" s="16" t="str">
        <f>IFERROR(__xludf.DUMMYFUNCTION("""COMPUTED_VALUE"""),"")</f>
        <v/>
      </c>
      <c r="G4261" s="18"/>
      <c r="H4261" s="16" t="s">
        <v>87</v>
      </c>
      <c r="I4261" s="16" t="s">
        <v>87</v>
      </c>
      <c r="J4261" s="19"/>
      <c r="L4261" s="16" t="str">
        <f>IFERROR(__xludf.DUMMYFUNCTION("""COMPUTED_VALUE"""),"")</f>
        <v/>
      </c>
      <c r="M4261" s="16" t="str">
        <f>IFERROR(__xludf.DUMMYFUNCTION("""COMPUTED_VALUE"""),"")</f>
        <v/>
      </c>
      <c r="U4261" s="16" t="s">
        <v>87</v>
      </c>
      <c r="V4261" s="16" t="str">
        <f>IFERROR(__xludf.DUMMYFUNCTION("""COMPUTED_VALUE"""),"")</f>
        <v/>
      </c>
      <c r="W4261" s="16" t="str">
        <f>IFERROR(__xludf.DUMMYFUNCTION("""COMPUTED_VALUE"""),"")</f>
        <v/>
      </c>
      <c r="X4261" s="16" t="str">
        <f>IFERROR(__xludf.DUMMYFUNCTION("""COMPUTED_VALUE"""),"")</f>
        <v/>
      </c>
      <c r="AC4261" s="16" t="str">
        <f>IFERROR(__xludf.DUMMYFUNCTION("""COMPUTED_VALUE"""),"")</f>
        <v/>
      </c>
    </row>
    <row r="4262">
      <c r="A4262" s="16" t="s">
        <v>87</v>
      </c>
      <c r="E4262" s="16" t="str">
        <f>IFERROR(__xludf.DUMMYFUNCTION("""COMPUTED_VALUE"""),"")</f>
        <v/>
      </c>
      <c r="G4262" s="18"/>
      <c r="H4262" s="16" t="s">
        <v>87</v>
      </c>
      <c r="I4262" s="16" t="s">
        <v>87</v>
      </c>
      <c r="J4262" s="19"/>
      <c r="L4262" s="16" t="str">
        <f>IFERROR(__xludf.DUMMYFUNCTION("""COMPUTED_VALUE"""),"")</f>
        <v/>
      </c>
      <c r="M4262" s="16" t="str">
        <f>IFERROR(__xludf.DUMMYFUNCTION("""COMPUTED_VALUE"""),"")</f>
        <v/>
      </c>
      <c r="U4262" s="16" t="s">
        <v>87</v>
      </c>
      <c r="V4262" s="16" t="str">
        <f>IFERROR(__xludf.DUMMYFUNCTION("""COMPUTED_VALUE"""),"")</f>
        <v/>
      </c>
      <c r="W4262" s="16" t="str">
        <f>IFERROR(__xludf.DUMMYFUNCTION("""COMPUTED_VALUE"""),"")</f>
        <v/>
      </c>
      <c r="X4262" s="16" t="str">
        <f>IFERROR(__xludf.DUMMYFUNCTION("""COMPUTED_VALUE"""),"")</f>
        <v/>
      </c>
      <c r="AC4262" s="16" t="str">
        <f>IFERROR(__xludf.DUMMYFUNCTION("""COMPUTED_VALUE"""),"")</f>
        <v/>
      </c>
    </row>
    <row r="4263">
      <c r="A4263" s="16" t="s">
        <v>87</v>
      </c>
      <c r="E4263" s="16" t="str">
        <f>IFERROR(__xludf.DUMMYFUNCTION("""COMPUTED_VALUE"""),"")</f>
        <v/>
      </c>
      <c r="G4263" s="18"/>
      <c r="H4263" s="16" t="s">
        <v>87</v>
      </c>
      <c r="I4263" s="16" t="s">
        <v>87</v>
      </c>
      <c r="J4263" s="19"/>
      <c r="L4263" s="16" t="str">
        <f>IFERROR(__xludf.DUMMYFUNCTION("""COMPUTED_VALUE"""),"")</f>
        <v/>
      </c>
      <c r="M4263" s="16" t="str">
        <f>IFERROR(__xludf.DUMMYFUNCTION("""COMPUTED_VALUE"""),"")</f>
        <v/>
      </c>
      <c r="U4263" s="16" t="s">
        <v>87</v>
      </c>
      <c r="V4263" s="16" t="str">
        <f>IFERROR(__xludf.DUMMYFUNCTION("""COMPUTED_VALUE"""),"")</f>
        <v/>
      </c>
      <c r="W4263" s="16" t="str">
        <f>IFERROR(__xludf.DUMMYFUNCTION("""COMPUTED_VALUE"""),"")</f>
        <v/>
      </c>
      <c r="X4263" s="16" t="str">
        <f>IFERROR(__xludf.DUMMYFUNCTION("""COMPUTED_VALUE"""),"")</f>
        <v/>
      </c>
      <c r="AC4263" s="16" t="str">
        <f>IFERROR(__xludf.DUMMYFUNCTION("""COMPUTED_VALUE"""),"")</f>
        <v/>
      </c>
    </row>
    <row r="4264">
      <c r="A4264" s="16" t="s">
        <v>87</v>
      </c>
      <c r="E4264" s="16" t="str">
        <f>IFERROR(__xludf.DUMMYFUNCTION("""COMPUTED_VALUE"""),"")</f>
        <v/>
      </c>
      <c r="G4264" s="18"/>
      <c r="H4264" s="16" t="s">
        <v>87</v>
      </c>
      <c r="I4264" s="16" t="s">
        <v>87</v>
      </c>
      <c r="J4264" s="19"/>
      <c r="L4264" s="16" t="str">
        <f>IFERROR(__xludf.DUMMYFUNCTION("""COMPUTED_VALUE"""),"")</f>
        <v/>
      </c>
      <c r="M4264" s="16" t="str">
        <f>IFERROR(__xludf.DUMMYFUNCTION("""COMPUTED_VALUE"""),"")</f>
        <v/>
      </c>
      <c r="U4264" s="16" t="s">
        <v>87</v>
      </c>
      <c r="V4264" s="16" t="str">
        <f>IFERROR(__xludf.DUMMYFUNCTION("""COMPUTED_VALUE"""),"")</f>
        <v/>
      </c>
      <c r="W4264" s="16" t="str">
        <f>IFERROR(__xludf.DUMMYFUNCTION("""COMPUTED_VALUE"""),"")</f>
        <v/>
      </c>
      <c r="X4264" s="16" t="str">
        <f>IFERROR(__xludf.DUMMYFUNCTION("""COMPUTED_VALUE"""),"")</f>
        <v/>
      </c>
      <c r="AC4264" s="16" t="str">
        <f>IFERROR(__xludf.DUMMYFUNCTION("""COMPUTED_VALUE"""),"")</f>
        <v/>
      </c>
    </row>
    <row r="4265">
      <c r="A4265" s="16" t="s">
        <v>87</v>
      </c>
      <c r="E4265" s="16" t="str">
        <f>IFERROR(__xludf.DUMMYFUNCTION("""COMPUTED_VALUE"""),"")</f>
        <v/>
      </c>
      <c r="G4265" s="18"/>
      <c r="H4265" s="16" t="s">
        <v>87</v>
      </c>
      <c r="I4265" s="16" t="s">
        <v>87</v>
      </c>
      <c r="J4265" s="19"/>
      <c r="L4265" s="16" t="str">
        <f>IFERROR(__xludf.DUMMYFUNCTION("""COMPUTED_VALUE"""),"")</f>
        <v/>
      </c>
      <c r="M4265" s="16" t="str">
        <f>IFERROR(__xludf.DUMMYFUNCTION("""COMPUTED_VALUE"""),"")</f>
        <v/>
      </c>
      <c r="U4265" s="16" t="s">
        <v>87</v>
      </c>
      <c r="V4265" s="16" t="str">
        <f>IFERROR(__xludf.DUMMYFUNCTION("""COMPUTED_VALUE"""),"")</f>
        <v/>
      </c>
      <c r="W4265" s="16" t="str">
        <f>IFERROR(__xludf.DUMMYFUNCTION("""COMPUTED_VALUE"""),"")</f>
        <v/>
      </c>
      <c r="X4265" s="16" t="str">
        <f>IFERROR(__xludf.DUMMYFUNCTION("""COMPUTED_VALUE"""),"")</f>
        <v/>
      </c>
      <c r="AC4265" s="16" t="str">
        <f>IFERROR(__xludf.DUMMYFUNCTION("""COMPUTED_VALUE"""),"")</f>
        <v/>
      </c>
    </row>
    <row r="4266">
      <c r="A4266" s="16" t="s">
        <v>87</v>
      </c>
      <c r="E4266" s="16" t="str">
        <f>IFERROR(__xludf.DUMMYFUNCTION("""COMPUTED_VALUE"""),"")</f>
        <v/>
      </c>
      <c r="G4266" s="18"/>
      <c r="H4266" s="16" t="s">
        <v>87</v>
      </c>
      <c r="I4266" s="16" t="s">
        <v>87</v>
      </c>
      <c r="J4266" s="19"/>
      <c r="L4266" s="16" t="str">
        <f>IFERROR(__xludf.DUMMYFUNCTION("""COMPUTED_VALUE"""),"")</f>
        <v/>
      </c>
      <c r="M4266" s="16" t="str">
        <f>IFERROR(__xludf.DUMMYFUNCTION("""COMPUTED_VALUE"""),"")</f>
        <v/>
      </c>
      <c r="U4266" s="16" t="s">
        <v>87</v>
      </c>
      <c r="V4266" s="16" t="str">
        <f>IFERROR(__xludf.DUMMYFUNCTION("""COMPUTED_VALUE"""),"")</f>
        <v/>
      </c>
      <c r="W4266" s="16" t="str">
        <f>IFERROR(__xludf.DUMMYFUNCTION("""COMPUTED_VALUE"""),"")</f>
        <v/>
      </c>
      <c r="X4266" s="16" t="str">
        <f>IFERROR(__xludf.DUMMYFUNCTION("""COMPUTED_VALUE"""),"")</f>
        <v/>
      </c>
      <c r="AC4266" s="16" t="str">
        <f>IFERROR(__xludf.DUMMYFUNCTION("""COMPUTED_VALUE"""),"")</f>
        <v/>
      </c>
    </row>
    <row r="4267">
      <c r="A4267" s="16" t="s">
        <v>87</v>
      </c>
      <c r="E4267" s="16" t="str">
        <f>IFERROR(__xludf.DUMMYFUNCTION("""COMPUTED_VALUE"""),"")</f>
        <v/>
      </c>
      <c r="G4267" s="18"/>
      <c r="H4267" s="16" t="s">
        <v>87</v>
      </c>
      <c r="I4267" s="16" t="s">
        <v>87</v>
      </c>
      <c r="J4267" s="19"/>
      <c r="L4267" s="16" t="str">
        <f>IFERROR(__xludf.DUMMYFUNCTION("""COMPUTED_VALUE"""),"")</f>
        <v/>
      </c>
      <c r="M4267" s="16" t="str">
        <f>IFERROR(__xludf.DUMMYFUNCTION("""COMPUTED_VALUE"""),"")</f>
        <v/>
      </c>
      <c r="U4267" s="16" t="s">
        <v>87</v>
      </c>
      <c r="V4267" s="16" t="str">
        <f>IFERROR(__xludf.DUMMYFUNCTION("""COMPUTED_VALUE"""),"")</f>
        <v/>
      </c>
      <c r="W4267" s="16" t="str">
        <f>IFERROR(__xludf.DUMMYFUNCTION("""COMPUTED_VALUE"""),"")</f>
        <v/>
      </c>
      <c r="X4267" s="16" t="str">
        <f>IFERROR(__xludf.DUMMYFUNCTION("""COMPUTED_VALUE"""),"")</f>
        <v/>
      </c>
      <c r="AC4267" s="16" t="str">
        <f>IFERROR(__xludf.DUMMYFUNCTION("""COMPUTED_VALUE"""),"")</f>
        <v/>
      </c>
    </row>
    <row r="4268">
      <c r="A4268" s="16" t="s">
        <v>87</v>
      </c>
      <c r="E4268" s="16" t="str">
        <f>IFERROR(__xludf.DUMMYFUNCTION("""COMPUTED_VALUE"""),"")</f>
        <v/>
      </c>
      <c r="G4268" s="18"/>
      <c r="H4268" s="16" t="s">
        <v>87</v>
      </c>
      <c r="I4268" s="16" t="s">
        <v>87</v>
      </c>
      <c r="J4268" s="19"/>
      <c r="L4268" s="16" t="str">
        <f>IFERROR(__xludf.DUMMYFUNCTION("""COMPUTED_VALUE"""),"")</f>
        <v/>
      </c>
      <c r="M4268" s="16" t="str">
        <f>IFERROR(__xludf.DUMMYFUNCTION("""COMPUTED_VALUE"""),"")</f>
        <v/>
      </c>
      <c r="U4268" s="16" t="s">
        <v>87</v>
      </c>
      <c r="V4268" s="16" t="str">
        <f>IFERROR(__xludf.DUMMYFUNCTION("""COMPUTED_VALUE"""),"")</f>
        <v/>
      </c>
      <c r="W4268" s="16" t="str">
        <f>IFERROR(__xludf.DUMMYFUNCTION("""COMPUTED_VALUE"""),"")</f>
        <v/>
      </c>
      <c r="X4268" s="16" t="str">
        <f>IFERROR(__xludf.DUMMYFUNCTION("""COMPUTED_VALUE"""),"")</f>
        <v/>
      </c>
      <c r="AC4268" s="16" t="str">
        <f>IFERROR(__xludf.DUMMYFUNCTION("""COMPUTED_VALUE"""),"")</f>
        <v/>
      </c>
    </row>
    <row r="4269">
      <c r="A4269" s="16" t="s">
        <v>87</v>
      </c>
      <c r="E4269" s="16" t="str">
        <f>IFERROR(__xludf.DUMMYFUNCTION("""COMPUTED_VALUE"""),"")</f>
        <v/>
      </c>
      <c r="G4269" s="18"/>
      <c r="H4269" s="16" t="s">
        <v>87</v>
      </c>
      <c r="I4269" s="16" t="s">
        <v>87</v>
      </c>
      <c r="J4269" s="19"/>
      <c r="L4269" s="16" t="str">
        <f>IFERROR(__xludf.DUMMYFUNCTION("""COMPUTED_VALUE"""),"")</f>
        <v/>
      </c>
      <c r="M4269" s="16" t="str">
        <f>IFERROR(__xludf.DUMMYFUNCTION("""COMPUTED_VALUE"""),"")</f>
        <v/>
      </c>
      <c r="U4269" s="16" t="s">
        <v>87</v>
      </c>
      <c r="V4269" s="16" t="str">
        <f>IFERROR(__xludf.DUMMYFUNCTION("""COMPUTED_VALUE"""),"")</f>
        <v/>
      </c>
      <c r="W4269" s="16" t="str">
        <f>IFERROR(__xludf.DUMMYFUNCTION("""COMPUTED_VALUE"""),"")</f>
        <v/>
      </c>
      <c r="X4269" s="16" t="str">
        <f>IFERROR(__xludf.DUMMYFUNCTION("""COMPUTED_VALUE"""),"")</f>
        <v/>
      </c>
      <c r="AC4269" s="16" t="str">
        <f>IFERROR(__xludf.DUMMYFUNCTION("""COMPUTED_VALUE"""),"")</f>
        <v/>
      </c>
    </row>
    <row r="4270">
      <c r="A4270" s="16" t="s">
        <v>87</v>
      </c>
      <c r="E4270" s="16" t="str">
        <f>IFERROR(__xludf.DUMMYFUNCTION("""COMPUTED_VALUE"""),"")</f>
        <v/>
      </c>
      <c r="G4270" s="18"/>
      <c r="H4270" s="16" t="s">
        <v>87</v>
      </c>
      <c r="I4270" s="16" t="s">
        <v>87</v>
      </c>
      <c r="J4270" s="19"/>
      <c r="L4270" s="16" t="str">
        <f>IFERROR(__xludf.DUMMYFUNCTION("""COMPUTED_VALUE"""),"")</f>
        <v/>
      </c>
      <c r="M4270" s="16" t="str">
        <f>IFERROR(__xludf.DUMMYFUNCTION("""COMPUTED_VALUE"""),"")</f>
        <v/>
      </c>
      <c r="U4270" s="16" t="s">
        <v>87</v>
      </c>
      <c r="V4270" s="16" t="str">
        <f>IFERROR(__xludf.DUMMYFUNCTION("""COMPUTED_VALUE"""),"")</f>
        <v/>
      </c>
      <c r="W4270" s="16" t="str">
        <f>IFERROR(__xludf.DUMMYFUNCTION("""COMPUTED_VALUE"""),"")</f>
        <v/>
      </c>
      <c r="X4270" s="16" t="str">
        <f>IFERROR(__xludf.DUMMYFUNCTION("""COMPUTED_VALUE"""),"")</f>
        <v/>
      </c>
      <c r="AC4270" s="16" t="str">
        <f>IFERROR(__xludf.DUMMYFUNCTION("""COMPUTED_VALUE"""),"")</f>
        <v/>
      </c>
    </row>
    <row r="4271">
      <c r="A4271" s="16" t="s">
        <v>87</v>
      </c>
      <c r="E4271" s="16" t="str">
        <f>IFERROR(__xludf.DUMMYFUNCTION("""COMPUTED_VALUE"""),"")</f>
        <v/>
      </c>
      <c r="G4271" s="18"/>
      <c r="H4271" s="16" t="s">
        <v>87</v>
      </c>
      <c r="I4271" s="16" t="s">
        <v>87</v>
      </c>
      <c r="J4271" s="19"/>
      <c r="L4271" s="16" t="str">
        <f>IFERROR(__xludf.DUMMYFUNCTION("""COMPUTED_VALUE"""),"")</f>
        <v/>
      </c>
      <c r="M4271" s="16" t="str">
        <f>IFERROR(__xludf.DUMMYFUNCTION("""COMPUTED_VALUE"""),"")</f>
        <v/>
      </c>
      <c r="U4271" s="16" t="s">
        <v>87</v>
      </c>
      <c r="V4271" s="16" t="str">
        <f>IFERROR(__xludf.DUMMYFUNCTION("""COMPUTED_VALUE"""),"")</f>
        <v/>
      </c>
      <c r="W4271" s="16" t="str">
        <f>IFERROR(__xludf.DUMMYFUNCTION("""COMPUTED_VALUE"""),"")</f>
        <v/>
      </c>
      <c r="X4271" s="16" t="str">
        <f>IFERROR(__xludf.DUMMYFUNCTION("""COMPUTED_VALUE"""),"")</f>
        <v/>
      </c>
      <c r="AC4271" s="16" t="str">
        <f>IFERROR(__xludf.DUMMYFUNCTION("""COMPUTED_VALUE"""),"")</f>
        <v/>
      </c>
    </row>
    <row r="4272">
      <c r="A4272" s="16" t="s">
        <v>87</v>
      </c>
      <c r="E4272" s="16" t="str">
        <f>IFERROR(__xludf.DUMMYFUNCTION("""COMPUTED_VALUE"""),"")</f>
        <v/>
      </c>
      <c r="G4272" s="18"/>
      <c r="H4272" s="16" t="s">
        <v>87</v>
      </c>
      <c r="I4272" s="16" t="s">
        <v>87</v>
      </c>
      <c r="J4272" s="19"/>
      <c r="L4272" s="16" t="str">
        <f>IFERROR(__xludf.DUMMYFUNCTION("""COMPUTED_VALUE"""),"")</f>
        <v/>
      </c>
      <c r="M4272" s="16" t="str">
        <f>IFERROR(__xludf.DUMMYFUNCTION("""COMPUTED_VALUE"""),"")</f>
        <v/>
      </c>
      <c r="U4272" s="16" t="s">
        <v>87</v>
      </c>
      <c r="V4272" s="16" t="str">
        <f>IFERROR(__xludf.DUMMYFUNCTION("""COMPUTED_VALUE"""),"")</f>
        <v/>
      </c>
      <c r="W4272" s="16" t="str">
        <f>IFERROR(__xludf.DUMMYFUNCTION("""COMPUTED_VALUE"""),"")</f>
        <v/>
      </c>
      <c r="X4272" s="16" t="str">
        <f>IFERROR(__xludf.DUMMYFUNCTION("""COMPUTED_VALUE"""),"")</f>
        <v/>
      </c>
      <c r="AC4272" s="16" t="str">
        <f>IFERROR(__xludf.DUMMYFUNCTION("""COMPUTED_VALUE"""),"")</f>
        <v/>
      </c>
    </row>
    <row r="4273">
      <c r="A4273" s="16" t="s">
        <v>87</v>
      </c>
      <c r="E4273" s="16" t="str">
        <f>IFERROR(__xludf.DUMMYFUNCTION("""COMPUTED_VALUE"""),"")</f>
        <v/>
      </c>
      <c r="G4273" s="18"/>
      <c r="H4273" s="16" t="s">
        <v>87</v>
      </c>
      <c r="I4273" s="16" t="s">
        <v>87</v>
      </c>
      <c r="J4273" s="19"/>
      <c r="L4273" s="16" t="str">
        <f>IFERROR(__xludf.DUMMYFUNCTION("""COMPUTED_VALUE"""),"")</f>
        <v/>
      </c>
      <c r="M4273" s="16" t="str">
        <f>IFERROR(__xludf.DUMMYFUNCTION("""COMPUTED_VALUE"""),"")</f>
        <v/>
      </c>
      <c r="U4273" s="16" t="s">
        <v>87</v>
      </c>
      <c r="V4273" s="16" t="str">
        <f>IFERROR(__xludf.DUMMYFUNCTION("""COMPUTED_VALUE"""),"")</f>
        <v/>
      </c>
      <c r="W4273" s="16" t="str">
        <f>IFERROR(__xludf.DUMMYFUNCTION("""COMPUTED_VALUE"""),"")</f>
        <v/>
      </c>
      <c r="X4273" s="16" t="str">
        <f>IFERROR(__xludf.DUMMYFUNCTION("""COMPUTED_VALUE"""),"")</f>
        <v/>
      </c>
      <c r="AC4273" s="16" t="str">
        <f>IFERROR(__xludf.DUMMYFUNCTION("""COMPUTED_VALUE"""),"")</f>
        <v/>
      </c>
    </row>
    <row r="4274">
      <c r="A4274" s="16" t="s">
        <v>87</v>
      </c>
      <c r="E4274" s="16" t="str">
        <f>IFERROR(__xludf.DUMMYFUNCTION("""COMPUTED_VALUE"""),"")</f>
        <v/>
      </c>
      <c r="G4274" s="18"/>
      <c r="H4274" s="16" t="s">
        <v>87</v>
      </c>
      <c r="I4274" s="16" t="s">
        <v>87</v>
      </c>
      <c r="J4274" s="19"/>
      <c r="L4274" s="16" t="str">
        <f>IFERROR(__xludf.DUMMYFUNCTION("""COMPUTED_VALUE"""),"")</f>
        <v/>
      </c>
      <c r="M4274" s="16" t="str">
        <f>IFERROR(__xludf.DUMMYFUNCTION("""COMPUTED_VALUE"""),"")</f>
        <v/>
      </c>
      <c r="U4274" s="16" t="s">
        <v>87</v>
      </c>
      <c r="V4274" s="16" t="str">
        <f>IFERROR(__xludf.DUMMYFUNCTION("""COMPUTED_VALUE"""),"")</f>
        <v/>
      </c>
      <c r="W4274" s="16" t="str">
        <f>IFERROR(__xludf.DUMMYFUNCTION("""COMPUTED_VALUE"""),"")</f>
        <v/>
      </c>
      <c r="X4274" s="16" t="str">
        <f>IFERROR(__xludf.DUMMYFUNCTION("""COMPUTED_VALUE"""),"")</f>
        <v/>
      </c>
      <c r="AC4274" s="16" t="str">
        <f>IFERROR(__xludf.DUMMYFUNCTION("""COMPUTED_VALUE"""),"")</f>
        <v/>
      </c>
    </row>
    <row r="4275">
      <c r="A4275" s="16" t="s">
        <v>87</v>
      </c>
      <c r="E4275" s="16" t="str">
        <f>IFERROR(__xludf.DUMMYFUNCTION("""COMPUTED_VALUE"""),"")</f>
        <v/>
      </c>
      <c r="G4275" s="18"/>
      <c r="H4275" s="16" t="s">
        <v>87</v>
      </c>
      <c r="I4275" s="16" t="s">
        <v>87</v>
      </c>
      <c r="J4275" s="19"/>
      <c r="L4275" s="16" t="str">
        <f>IFERROR(__xludf.DUMMYFUNCTION("""COMPUTED_VALUE"""),"")</f>
        <v/>
      </c>
      <c r="M4275" s="16" t="str">
        <f>IFERROR(__xludf.DUMMYFUNCTION("""COMPUTED_VALUE"""),"")</f>
        <v/>
      </c>
      <c r="U4275" s="16" t="s">
        <v>87</v>
      </c>
      <c r="V4275" s="16" t="str">
        <f>IFERROR(__xludf.DUMMYFUNCTION("""COMPUTED_VALUE"""),"")</f>
        <v/>
      </c>
      <c r="W4275" s="16" t="str">
        <f>IFERROR(__xludf.DUMMYFUNCTION("""COMPUTED_VALUE"""),"")</f>
        <v/>
      </c>
      <c r="X4275" s="16" t="str">
        <f>IFERROR(__xludf.DUMMYFUNCTION("""COMPUTED_VALUE"""),"")</f>
        <v/>
      </c>
      <c r="AC4275" s="16" t="str">
        <f>IFERROR(__xludf.DUMMYFUNCTION("""COMPUTED_VALUE"""),"")</f>
        <v/>
      </c>
    </row>
    <row r="4276">
      <c r="A4276" s="16" t="s">
        <v>87</v>
      </c>
      <c r="E4276" s="16" t="str">
        <f>IFERROR(__xludf.DUMMYFUNCTION("""COMPUTED_VALUE"""),"")</f>
        <v/>
      </c>
      <c r="G4276" s="18"/>
      <c r="H4276" s="16" t="s">
        <v>87</v>
      </c>
      <c r="I4276" s="16" t="s">
        <v>87</v>
      </c>
      <c r="J4276" s="19"/>
      <c r="L4276" s="16" t="str">
        <f>IFERROR(__xludf.DUMMYFUNCTION("""COMPUTED_VALUE"""),"")</f>
        <v/>
      </c>
      <c r="M4276" s="16" t="str">
        <f>IFERROR(__xludf.DUMMYFUNCTION("""COMPUTED_VALUE"""),"")</f>
        <v/>
      </c>
      <c r="U4276" s="16" t="s">
        <v>87</v>
      </c>
      <c r="V4276" s="16" t="str">
        <f>IFERROR(__xludf.DUMMYFUNCTION("""COMPUTED_VALUE"""),"")</f>
        <v/>
      </c>
      <c r="W4276" s="16" t="str">
        <f>IFERROR(__xludf.DUMMYFUNCTION("""COMPUTED_VALUE"""),"")</f>
        <v/>
      </c>
      <c r="X4276" s="16" t="str">
        <f>IFERROR(__xludf.DUMMYFUNCTION("""COMPUTED_VALUE"""),"")</f>
        <v/>
      </c>
      <c r="AC4276" s="16" t="str">
        <f>IFERROR(__xludf.DUMMYFUNCTION("""COMPUTED_VALUE"""),"")</f>
        <v/>
      </c>
    </row>
    <row r="4277">
      <c r="A4277" s="16" t="s">
        <v>87</v>
      </c>
      <c r="E4277" s="16" t="str">
        <f>IFERROR(__xludf.DUMMYFUNCTION("""COMPUTED_VALUE"""),"")</f>
        <v/>
      </c>
      <c r="G4277" s="18"/>
      <c r="H4277" s="16" t="s">
        <v>87</v>
      </c>
      <c r="I4277" s="16" t="s">
        <v>87</v>
      </c>
      <c r="J4277" s="19"/>
      <c r="L4277" s="16" t="str">
        <f>IFERROR(__xludf.DUMMYFUNCTION("""COMPUTED_VALUE"""),"")</f>
        <v/>
      </c>
      <c r="M4277" s="16" t="str">
        <f>IFERROR(__xludf.DUMMYFUNCTION("""COMPUTED_VALUE"""),"")</f>
        <v/>
      </c>
      <c r="U4277" s="16" t="s">
        <v>87</v>
      </c>
      <c r="V4277" s="16" t="str">
        <f>IFERROR(__xludf.DUMMYFUNCTION("""COMPUTED_VALUE"""),"")</f>
        <v/>
      </c>
      <c r="W4277" s="16" t="str">
        <f>IFERROR(__xludf.DUMMYFUNCTION("""COMPUTED_VALUE"""),"")</f>
        <v/>
      </c>
      <c r="X4277" s="16" t="str">
        <f>IFERROR(__xludf.DUMMYFUNCTION("""COMPUTED_VALUE"""),"")</f>
        <v/>
      </c>
      <c r="AC4277" s="16" t="str">
        <f>IFERROR(__xludf.DUMMYFUNCTION("""COMPUTED_VALUE"""),"")</f>
        <v/>
      </c>
    </row>
    <row r="4278">
      <c r="A4278" s="16" t="s">
        <v>87</v>
      </c>
      <c r="E4278" s="16" t="str">
        <f>IFERROR(__xludf.DUMMYFUNCTION("""COMPUTED_VALUE"""),"")</f>
        <v/>
      </c>
      <c r="G4278" s="18"/>
      <c r="H4278" s="16" t="s">
        <v>87</v>
      </c>
      <c r="I4278" s="16" t="s">
        <v>87</v>
      </c>
      <c r="J4278" s="19"/>
      <c r="L4278" s="16" t="str">
        <f>IFERROR(__xludf.DUMMYFUNCTION("""COMPUTED_VALUE"""),"")</f>
        <v/>
      </c>
      <c r="M4278" s="16" t="str">
        <f>IFERROR(__xludf.DUMMYFUNCTION("""COMPUTED_VALUE"""),"")</f>
        <v/>
      </c>
      <c r="U4278" s="16" t="s">
        <v>87</v>
      </c>
      <c r="V4278" s="16" t="str">
        <f>IFERROR(__xludf.DUMMYFUNCTION("""COMPUTED_VALUE"""),"")</f>
        <v/>
      </c>
      <c r="W4278" s="16" t="str">
        <f>IFERROR(__xludf.DUMMYFUNCTION("""COMPUTED_VALUE"""),"")</f>
        <v/>
      </c>
      <c r="X4278" s="16" t="str">
        <f>IFERROR(__xludf.DUMMYFUNCTION("""COMPUTED_VALUE"""),"")</f>
        <v/>
      </c>
      <c r="AC4278" s="16" t="str">
        <f>IFERROR(__xludf.DUMMYFUNCTION("""COMPUTED_VALUE"""),"")</f>
        <v/>
      </c>
    </row>
    <row r="4279">
      <c r="A4279" s="16" t="s">
        <v>87</v>
      </c>
      <c r="E4279" s="16" t="str">
        <f>IFERROR(__xludf.DUMMYFUNCTION("""COMPUTED_VALUE"""),"")</f>
        <v/>
      </c>
      <c r="G4279" s="18"/>
      <c r="H4279" s="16" t="s">
        <v>87</v>
      </c>
      <c r="I4279" s="16" t="s">
        <v>87</v>
      </c>
      <c r="J4279" s="19"/>
      <c r="L4279" s="16" t="str">
        <f>IFERROR(__xludf.DUMMYFUNCTION("""COMPUTED_VALUE"""),"")</f>
        <v/>
      </c>
      <c r="M4279" s="16" t="str">
        <f>IFERROR(__xludf.DUMMYFUNCTION("""COMPUTED_VALUE"""),"")</f>
        <v/>
      </c>
      <c r="U4279" s="16" t="s">
        <v>87</v>
      </c>
      <c r="V4279" s="16" t="str">
        <f>IFERROR(__xludf.DUMMYFUNCTION("""COMPUTED_VALUE"""),"")</f>
        <v/>
      </c>
      <c r="W4279" s="16" t="str">
        <f>IFERROR(__xludf.DUMMYFUNCTION("""COMPUTED_VALUE"""),"")</f>
        <v/>
      </c>
      <c r="X4279" s="16" t="str">
        <f>IFERROR(__xludf.DUMMYFUNCTION("""COMPUTED_VALUE"""),"")</f>
        <v/>
      </c>
      <c r="AC4279" s="16" t="str">
        <f>IFERROR(__xludf.DUMMYFUNCTION("""COMPUTED_VALUE"""),"")</f>
        <v/>
      </c>
    </row>
    <row r="4280">
      <c r="A4280" s="16" t="s">
        <v>87</v>
      </c>
      <c r="E4280" s="16" t="str">
        <f>IFERROR(__xludf.DUMMYFUNCTION("""COMPUTED_VALUE"""),"")</f>
        <v/>
      </c>
      <c r="G4280" s="18"/>
      <c r="H4280" s="16" t="s">
        <v>87</v>
      </c>
      <c r="I4280" s="16" t="s">
        <v>87</v>
      </c>
      <c r="J4280" s="19"/>
      <c r="L4280" s="16" t="str">
        <f>IFERROR(__xludf.DUMMYFUNCTION("""COMPUTED_VALUE"""),"")</f>
        <v/>
      </c>
      <c r="M4280" s="16" t="str">
        <f>IFERROR(__xludf.DUMMYFUNCTION("""COMPUTED_VALUE"""),"")</f>
        <v/>
      </c>
      <c r="U4280" s="16" t="s">
        <v>87</v>
      </c>
      <c r="V4280" s="16" t="str">
        <f>IFERROR(__xludf.DUMMYFUNCTION("""COMPUTED_VALUE"""),"")</f>
        <v/>
      </c>
      <c r="W4280" s="16" t="str">
        <f>IFERROR(__xludf.DUMMYFUNCTION("""COMPUTED_VALUE"""),"")</f>
        <v/>
      </c>
      <c r="X4280" s="16" t="str">
        <f>IFERROR(__xludf.DUMMYFUNCTION("""COMPUTED_VALUE"""),"")</f>
        <v/>
      </c>
      <c r="AC4280" s="16" t="str">
        <f>IFERROR(__xludf.DUMMYFUNCTION("""COMPUTED_VALUE"""),"")</f>
        <v/>
      </c>
    </row>
    <row r="4281">
      <c r="A4281" s="16" t="s">
        <v>87</v>
      </c>
      <c r="E4281" s="16" t="str">
        <f>IFERROR(__xludf.DUMMYFUNCTION("""COMPUTED_VALUE"""),"")</f>
        <v/>
      </c>
      <c r="G4281" s="18"/>
      <c r="H4281" s="16" t="s">
        <v>87</v>
      </c>
      <c r="I4281" s="16" t="s">
        <v>87</v>
      </c>
      <c r="J4281" s="19"/>
      <c r="L4281" s="16" t="str">
        <f>IFERROR(__xludf.DUMMYFUNCTION("""COMPUTED_VALUE"""),"")</f>
        <v/>
      </c>
      <c r="M4281" s="16" t="str">
        <f>IFERROR(__xludf.DUMMYFUNCTION("""COMPUTED_VALUE"""),"")</f>
        <v/>
      </c>
      <c r="U4281" s="16" t="s">
        <v>87</v>
      </c>
      <c r="V4281" s="16" t="str">
        <f>IFERROR(__xludf.DUMMYFUNCTION("""COMPUTED_VALUE"""),"")</f>
        <v/>
      </c>
      <c r="W4281" s="16" t="str">
        <f>IFERROR(__xludf.DUMMYFUNCTION("""COMPUTED_VALUE"""),"")</f>
        <v/>
      </c>
      <c r="X4281" s="16" t="str">
        <f>IFERROR(__xludf.DUMMYFUNCTION("""COMPUTED_VALUE"""),"")</f>
        <v/>
      </c>
      <c r="AC4281" s="16" t="str">
        <f>IFERROR(__xludf.DUMMYFUNCTION("""COMPUTED_VALUE"""),"")</f>
        <v/>
      </c>
    </row>
    <row r="4282">
      <c r="A4282" s="16" t="s">
        <v>87</v>
      </c>
      <c r="E4282" s="16" t="str">
        <f>IFERROR(__xludf.DUMMYFUNCTION("""COMPUTED_VALUE"""),"")</f>
        <v/>
      </c>
      <c r="G4282" s="18"/>
      <c r="H4282" s="16" t="s">
        <v>87</v>
      </c>
      <c r="I4282" s="16" t="s">
        <v>87</v>
      </c>
      <c r="J4282" s="19"/>
      <c r="L4282" s="16" t="str">
        <f>IFERROR(__xludf.DUMMYFUNCTION("""COMPUTED_VALUE"""),"")</f>
        <v/>
      </c>
      <c r="M4282" s="16" t="str">
        <f>IFERROR(__xludf.DUMMYFUNCTION("""COMPUTED_VALUE"""),"")</f>
        <v/>
      </c>
      <c r="U4282" s="16" t="s">
        <v>87</v>
      </c>
      <c r="V4282" s="16" t="str">
        <f>IFERROR(__xludf.DUMMYFUNCTION("""COMPUTED_VALUE"""),"")</f>
        <v/>
      </c>
      <c r="W4282" s="16" t="str">
        <f>IFERROR(__xludf.DUMMYFUNCTION("""COMPUTED_VALUE"""),"")</f>
        <v/>
      </c>
      <c r="X4282" s="16" t="str">
        <f>IFERROR(__xludf.DUMMYFUNCTION("""COMPUTED_VALUE"""),"")</f>
        <v/>
      </c>
      <c r="AC4282" s="16" t="str">
        <f>IFERROR(__xludf.DUMMYFUNCTION("""COMPUTED_VALUE"""),"")</f>
        <v/>
      </c>
    </row>
    <row r="4283">
      <c r="A4283" s="16" t="s">
        <v>87</v>
      </c>
      <c r="E4283" s="16" t="str">
        <f>IFERROR(__xludf.DUMMYFUNCTION("""COMPUTED_VALUE"""),"")</f>
        <v/>
      </c>
      <c r="G4283" s="18"/>
      <c r="H4283" s="16" t="s">
        <v>87</v>
      </c>
      <c r="I4283" s="16" t="s">
        <v>87</v>
      </c>
      <c r="J4283" s="19"/>
      <c r="L4283" s="16" t="str">
        <f>IFERROR(__xludf.DUMMYFUNCTION("""COMPUTED_VALUE"""),"")</f>
        <v/>
      </c>
      <c r="M4283" s="16" t="str">
        <f>IFERROR(__xludf.DUMMYFUNCTION("""COMPUTED_VALUE"""),"")</f>
        <v/>
      </c>
      <c r="U4283" s="16" t="s">
        <v>87</v>
      </c>
      <c r="V4283" s="16" t="str">
        <f>IFERROR(__xludf.DUMMYFUNCTION("""COMPUTED_VALUE"""),"")</f>
        <v/>
      </c>
      <c r="W4283" s="16" t="str">
        <f>IFERROR(__xludf.DUMMYFUNCTION("""COMPUTED_VALUE"""),"")</f>
        <v/>
      </c>
      <c r="X4283" s="16" t="str">
        <f>IFERROR(__xludf.DUMMYFUNCTION("""COMPUTED_VALUE"""),"")</f>
        <v/>
      </c>
      <c r="AC4283" s="16" t="str">
        <f>IFERROR(__xludf.DUMMYFUNCTION("""COMPUTED_VALUE"""),"")</f>
        <v/>
      </c>
    </row>
    <row r="4284">
      <c r="A4284" s="16" t="s">
        <v>87</v>
      </c>
      <c r="E4284" s="16" t="str">
        <f>IFERROR(__xludf.DUMMYFUNCTION("""COMPUTED_VALUE"""),"")</f>
        <v/>
      </c>
      <c r="G4284" s="18"/>
      <c r="H4284" s="16" t="s">
        <v>87</v>
      </c>
      <c r="I4284" s="16" t="s">
        <v>87</v>
      </c>
      <c r="J4284" s="19"/>
      <c r="L4284" s="16" t="str">
        <f>IFERROR(__xludf.DUMMYFUNCTION("""COMPUTED_VALUE"""),"")</f>
        <v/>
      </c>
      <c r="M4284" s="16" t="str">
        <f>IFERROR(__xludf.DUMMYFUNCTION("""COMPUTED_VALUE"""),"")</f>
        <v/>
      </c>
      <c r="U4284" s="16" t="s">
        <v>87</v>
      </c>
      <c r="V4284" s="16" t="str">
        <f>IFERROR(__xludf.DUMMYFUNCTION("""COMPUTED_VALUE"""),"")</f>
        <v/>
      </c>
      <c r="W4284" s="16" t="str">
        <f>IFERROR(__xludf.DUMMYFUNCTION("""COMPUTED_VALUE"""),"")</f>
        <v/>
      </c>
      <c r="X4284" s="16" t="str">
        <f>IFERROR(__xludf.DUMMYFUNCTION("""COMPUTED_VALUE"""),"")</f>
        <v/>
      </c>
      <c r="AC4284" s="16" t="str">
        <f>IFERROR(__xludf.DUMMYFUNCTION("""COMPUTED_VALUE"""),"")</f>
        <v/>
      </c>
    </row>
    <row r="4285">
      <c r="A4285" s="16" t="s">
        <v>87</v>
      </c>
      <c r="E4285" s="16" t="str">
        <f>IFERROR(__xludf.DUMMYFUNCTION("""COMPUTED_VALUE"""),"")</f>
        <v/>
      </c>
      <c r="G4285" s="18"/>
      <c r="H4285" s="16" t="s">
        <v>87</v>
      </c>
      <c r="I4285" s="16" t="s">
        <v>87</v>
      </c>
      <c r="J4285" s="19"/>
      <c r="L4285" s="16" t="str">
        <f>IFERROR(__xludf.DUMMYFUNCTION("""COMPUTED_VALUE"""),"")</f>
        <v/>
      </c>
      <c r="M4285" s="16" t="str">
        <f>IFERROR(__xludf.DUMMYFUNCTION("""COMPUTED_VALUE"""),"")</f>
        <v/>
      </c>
      <c r="U4285" s="16" t="s">
        <v>87</v>
      </c>
      <c r="V4285" s="16" t="str">
        <f>IFERROR(__xludf.DUMMYFUNCTION("""COMPUTED_VALUE"""),"")</f>
        <v/>
      </c>
      <c r="W4285" s="16" t="str">
        <f>IFERROR(__xludf.DUMMYFUNCTION("""COMPUTED_VALUE"""),"")</f>
        <v/>
      </c>
      <c r="X4285" s="16" t="str">
        <f>IFERROR(__xludf.DUMMYFUNCTION("""COMPUTED_VALUE"""),"")</f>
        <v/>
      </c>
      <c r="AC4285" s="16" t="str">
        <f>IFERROR(__xludf.DUMMYFUNCTION("""COMPUTED_VALUE"""),"")</f>
        <v/>
      </c>
    </row>
    <row r="4286">
      <c r="A4286" s="16" t="s">
        <v>87</v>
      </c>
      <c r="E4286" s="16" t="str">
        <f>IFERROR(__xludf.DUMMYFUNCTION("""COMPUTED_VALUE"""),"")</f>
        <v/>
      </c>
      <c r="G4286" s="18"/>
      <c r="H4286" s="16" t="s">
        <v>87</v>
      </c>
      <c r="I4286" s="16" t="s">
        <v>87</v>
      </c>
      <c r="J4286" s="19"/>
      <c r="L4286" s="16" t="str">
        <f>IFERROR(__xludf.DUMMYFUNCTION("""COMPUTED_VALUE"""),"")</f>
        <v/>
      </c>
      <c r="M4286" s="16" t="str">
        <f>IFERROR(__xludf.DUMMYFUNCTION("""COMPUTED_VALUE"""),"")</f>
        <v/>
      </c>
      <c r="U4286" s="16" t="s">
        <v>87</v>
      </c>
      <c r="V4286" s="16" t="str">
        <f>IFERROR(__xludf.DUMMYFUNCTION("""COMPUTED_VALUE"""),"")</f>
        <v/>
      </c>
      <c r="W4286" s="16" t="str">
        <f>IFERROR(__xludf.DUMMYFUNCTION("""COMPUTED_VALUE"""),"")</f>
        <v/>
      </c>
      <c r="X4286" s="16" t="str">
        <f>IFERROR(__xludf.DUMMYFUNCTION("""COMPUTED_VALUE"""),"")</f>
        <v/>
      </c>
      <c r="AC4286" s="16" t="str">
        <f>IFERROR(__xludf.DUMMYFUNCTION("""COMPUTED_VALUE"""),"")</f>
        <v/>
      </c>
    </row>
    <row r="4287">
      <c r="A4287" s="16" t="s">
        <v>87</v>
      </c>
      <c r="E4287" s="16" t="str">
        <f>IFERROR(__xludf.DUMMYFUNCTION("""COMPUTED_VALUE"""),"")</f>
        <v/>
      </c>
      <c r="G4287" s="18"/>
      <c r="H4287" s="16" t="s">
        <v>87</v>
      </c>
      <c r="I4287" s="16" t="s">
        <v>87</v>
      </c>
      <c r="J4287" s="19"/>
      <c r="L4287" s="16" t="str">
        <f>IFERROR(__xludf.DUMMYFUNCTION("""COMPUTED_VALUE"""),"")</f>
        <v/>
      </c>
      <c r="M4287" s="16" t="str">
        <f>IFERROR(__xludf.DUMMYFUNCTION("""COMPUTED_VALUE"""),"")</f>
        <v/>
      </c>
      <c r="U4287" s="16" t="s">
        <v>87</v>
      </c>
      <c r="V4287" s="16" t="str">
        <f>IFERROR(__xludf.DUMMYFUNCTION("""COMPUTED_VALUE"""),"")</f>
        <v/>
      </c>
      <c r="W4287" s="16" t="str">
        <f>IFERROR(__xludf.DUMMYFUNCTION("""COMPUTED_VALUE"""),"")</f>
        <v/>
      </c>
      <c r="X4287" s="16" t="str">
        <f>IFERROR(__xludf.DUMMYFUNCTION("""COMPUTED_VALUE"""),"")</f>
        <v/>
      </c>
      <c r="AC4287" s="16" t="str">
        <f>IFERROR(__xludf.DUMMYFUNCTION("""COMPUTED_VALUE"""),"")</f>
        <v/>
      </c>
    </row>
    <row r="4288">
      <c r="A4288" s="16" t="s">
        <v>87</v>
      </c>
      <c r="E4288" s="16" t="str">
        <f>IFERROR(__xludf.DUMMYFUNCTION("""COMPUTED_VALUE"""),"")</f>
        <v/>
      </c>
      <c r="G4288" s="18"/>
      <c r="H4288" s="16" t="s">
        <v>87</v>
      </c>
      <c r="I4288" s="16" t="s">
        <v>87</v>
      </c>
      <c r="J4288" s="19"/>
      <c r="L4288" s="16" t="str">
        <f>IFERROR(__xludf.DUMMYFUNCTION("""COMPUTED_VALUE"""),"")</f>
        <v/>
      </c>
      <c r="M4288" s="16" t="str">
        <f>IFERROR(__xludf.DUMMYFUNCTION("""COMPUTED_VALUE"""),"")</f>
        <v/>
      </c>
      <c r="U4288" s="16" t="s">
        <v>87</v>
      </c>
      <c r="V4288" s="16" t="str">
        <f>IFERROR(__xludf.DUMMYFUNCTION("""COMPUTED_VALUE"""),"")</f>
        <v/>
      </c>
      <c r="W4288" s="16" t="str">
        <f>IFERROR(__xludf.DUMMYFUNCTION("""COMPUTED_VALUE"""),"")</f>
        <v/>
      </c>
      <c r="X4288" s="16" t="str">
        <f>IFERROR(__xludf.DUMMYFUNCTION("""COMPUTED_VALUE"""),"")</f>
        <v/>
      </c>
      <c r="AC4288" s="16" t="str">
        <f>IFERROR(__xludf.DUMMYFUNCTION("""COMPUTED_VALUE"""),"")</f>
        <v/>
      </c>
    </row>
    <row r="4289">
      <c r="A4289" s="16" t="s">
        <v>87</v>
      </c>
      <c r="E4289" s="16" t="str">
        <f>IFERROR(__xludf.DUMMYFUNCTION("""COMPUTED_VALUE"""),"")</f>
        <v/>
      </c>
      <c r="G4289" s="18"/>
      <c r="H4289" s="16" t="s">
        <v>87</v>
      </c>
      <c r="I4289" s="16" t="s">
        <v>87</v>
      </c>
      <c r="J4289" s="19"/>
      <c r="L4289" s="16" t="str">
        <f>IFERROR(__xludf.DUMMYFUNCTION("""COMPUTED_VALUE"""),"")</f>
        <v/>
      </c>
      <c r="M4289" s="16" t="str">
        <f>IFERROR(__xludf.DUMMYFUNCTION("""COMPUTED_VALUE"""),"")</f>
        <v/>
      </c>
      <c r="U4289" s="16" t="s">
        <v>87</v>
      </c>
      <c r="V4289" s="16" t="str">
        <f>IFERROR(__xludf.DUMMYFUNCTION("""COMPUTED_VALUE"""),"")</f>
        <v/>
      </c>
      <c r="W4289" s="16" t="str">
        <f>IFERROR(__xludf.DUMMYFUNCTION("""COMPUTED_VALUE"""),"")</f>
        <v/>
      </c>
      <c r="X4289" s="16" t="str">
        <f>IFERROR(__xludf.DUMMYFUNCTION("""COMPUTED_VALUE"""),"")</f>
        <v/>
      </c>
      <c r="AC4289" s="16" t="str">
        <f>IFERROR(__xludf.DUMMYFUNCTION("""COMPUTED_VALUE"""),"")</f>
        <v/>
      </c>
    </row>
    <row r="4290">
      <c r="A4290" s="16" t="s">
        <v>87</v>
      </c>
      <c r="E4290" s="16" t="str">
        <f>IFERROR(__xludf.DUMMYFUNCTION("""COMPUTED_VALUE"""),"")</f>
        <v/>
      </c>
      <c r="G4290" s="18"/>
      <c r="H4290" s="16" t="s">
        <v>87</v>
      </c>
      <c r="I4290" s="16" t="s">
        <v>87</v>
      </c>
      <c r="J4290" s="19"/>
      <c r="L4290" s="16" t="str">
        <f>IFERROR(__xludf.DUMMYFUNCTION("""COMPUTED_VALUE"""),"")</f>
        <v/>
      </c>
      <c r="M4290" s="16" t="str">
        <f>IFERROR(__xludf.DUMMYFUNCTION("""COMPUTED_VALUE"""),"")</f>
        <v/>
      </c>
      <c r="U4290" s="16" t="s">
        <v>87</v>
      </c>
      <c r="V4290" s="16" t="str">
        <f>IFERROR(__xludf.DUMMYFUNCTION("""COMPUTED_VALUE"""),"")</f>
        <v/>
      </c>
      <c r="W4290" s="16" t="str">
        <f>IFERROR(__xludf.DUMMYFUNCTION("""COMPUTED_VALUE"""),"")</f>
        <v/>
      </c>
      <c r="X4290" s="16" t="str">
        <f>IFERROR(__xludf.DUMMYFUNCTION("""COMPUTED_VALUE"""),"")</f>
        <v/>
      </c>
      <c r="AC4290" s="16" t="str">
        <f>IFERROR(__xludf.DUMMYFUNCTION("""COMPUTED_VALUE"""),"")</f>
        <v/>
      </c>
    </row>
    <row r="4291">
      <c r="A4291" s="16" t="s">
        <v>87</v>
      </c>
      <c r="E4291" s="16" t="str">
        <f>IFERROR(__xludf.DUMMYFUNCTION("""COMPUTED_VALUE"""),"")</f>
        <v/>
      </c>
      <c r="G4291" s="18"/>
      <c r="H4291" s="16" t="s">
        <v>87</v>
      </c>
      <c r="I4291" s="16" t="s">
        <v>87</v>
      </c>
      <c r="J4291" s="19"/>
      <c r="L4291" s="16" t="str">
        <f>IFERROR(__xludf.DUMMYFUNCTION("""COMPUTED_VALUE"""),"")</f>
        <v/>
      </c>
      <c r="M4291" s="16" t="str">
        <f>IFERROR(__xludf.DUMMYFUNCTION("""COMPUTED_VALUE"""),"")</f>
        <v/>
      </c>
      <c r="U4291" s="16" t="s">
        <v>87</v>
      </c>
      <c r="V4291" s="16" t="str">
        <f>IFERROR(__xludf.DUMMYFUNCTION("""COMPUTED_VALUE"""),"")</f>
        <v/>
      </c>
      <c r="W4291" s="16" t="str">
        <f>IFERROR(__xludf.DUMMYFUNCTION("""COMPUTED_VALUE"""),"")</f>
        <v/>
      </c>
      <c r="X4291" s="16" t="str">
        <f>IFERROR(__xludf.DUMMYFUNCTION("""COMPUTED_VALUE"""),"")</f>
        <v/>
      </c>
      <c r="AC4291" s="16" t="str">
        <f>IFERROR(__xludf.DUMMYFUNCTION("""COMPUTED_VALUE"""),"")</f>
        <v/>
      </c>
    </row>
    <row r="4292">
      <c r="A4292" s="16" t="s">
        <v>87</v>
      </c>
      <c r="E4292" s="16" t="str">
        <f>IFERROR(__xludf.DUMMYFUNCTION("""COMPUTED_VALUE"""),"")</f>
        <v/>
      </c>
      <c r="G4292" s="18"/>
      <c r="H4292" s="16" t="s">
        <v>87</v>
      </c>
      <c r="I4292" s="16" t="s">
        <v>87</v>
      </c>
      <c r="J4292" s="19"/>
      <c r="L4292" s="16" t="str">
        <f>IFERROR(__xludf.DUMMYFUNCTION("""COMPUTED_VALUE"""),"")</f>
        <v/>
      </c>
      <c r="M4292" s="16" t="str">
        <f>IFERROR(__xludf.DUMMYFUNCTION("""COMPUTED_VALUE"""),"")</f>
        <v/>
      </c>
      <c r="U4292" s="16" t="s">
        <v>87</v>
      </c>
      <c r="V4292" s="16" t="str">
        <f>IFERROR(__xludf.DUMMYFUNCTION("""COMPUTED_VALUE"""),"")</f>
        <v/>
      </c>
      <c r="W4292" s="16" t="str">
        <f>IFERROR(__xludf.DUMMYFUNCTION("""COMPUTED_VALUE"""),"")</f>
        <v/>
      </c>
      <c r="X4292" s="16" t="str">
        <f>IFERROR(__xludf.DUMMYFUNCTION("""COMPUTED_VALUE"""),"")</f>
        <v/>
      </c>
      <c r="AC4292" s="16" t="str">
        <f>IFERROR(__xludf.DUMMYFUNCTION("""COMPUTED_VALUE"""),"")</f>
        <v/>
      </c>
    </row>
    <row r="4293">
      <c r="A4293" s="16" t="s">
        <v>87</v>
      </c>
      <c r="E4293" s="16" t="str">
        <f>IFERROR(__xludf.DUMMYFUNCTION("""COMPUTED_VALUE"""),"")</f>
        <v/>
      </c>
      <c r="G4293" s="18"/>
      <c r="H4293" s="16" t="s">
        <v>87</v>
      </c>
      <c r="I4293" s="16" t="s">
        <v>87</v>
      </c>
      <c r="J4293" s="19"/>
      <c r="L4293" s="16" t="str">
        <f>IFERROR(__xludf.DUMMYFUNCTION("""COMPUTED_VALUE"""),"")</f>
        <v/>
      </c>
      <c r="M4293" s="16" t="str">
        <f>IFERROR(__xludf.DUMMYFUNCTION("""COMPUTED_VALUE"""),"")</f>
        <v/>
      </c>
      <c r="U4293" s="16" t="s">
        <v>87</v>
      </c>
      <c r="V4293" s="16" t="str">
        <f>IFERROR(__xludf.DUMMYFUNCTION("""COMPUTED_VALUE"""),"")</f>
        <v/>
      </c>
      <c r="W4293" s="16" t="str">
        <f>IFERROR(__xludf.DUMMYFUNCTION("""COMPUTED_VALUE"""),"")</f>
        <v/>
      </c>
      <c r="X4293" s="16" t="str">
        <f>IFERROR(__xludf.DUMMYFUNCTION("""COMPUTED_VALUE"""),"")</f>
        <v/>
      </c>
      <c r="AC4293" s="16" t="str">
        <f>IFERROR(__xludf.DUMMYFUNCTION("""COMPUTED_VALUE"""),"")</f>
        <v/>
      </c>
    </row>
    <row r="4294">
      <c r="A4294" s="16" t="s">
        <v>87</v>
      </c>
      <c r="E4294" s="16" t="str">
        <f>IFERROR(__xludf.DUMMYFUNCTION("""COMPUTED_VALUE"""),"")</f>
        <v/>
      </c>
      <c r="G4294" s="18"/>
      <c r="H4294" s="16" t="s">
        <v>87</v>
      </c>
      <c r="I4294" s="16" t="s">
        <v>87</v>
      </c>
      <c r="J4294" s="19"/>
      <c r="L4294" s="16" t="str">
        <f>IFERROR(__xludf.DUMMYFUNCTION("""COMPUTED_VALUE"""),"")</f>
        <v/>
      </c>
      <c r="M4294" s="16" t="str">
        <f>IFERROR(__xludf.DUMMYFUNCTION("""COMPUTED_VALUE"""),"")</f>
        <v/>
      </c>
      <c r="U4294" s="16" t="s">
        <v>87</v>
      </c>
      <c r="V4294" s="16" t="str">
        <f>IFERROR(__xludf.DUMMYFUNCTION("""COMPUTED_VALUE"""),"")</f>
        <v/>
      </c>
      <c r="W4294" s="16" t="str">
        <f>IFERROR(__xludf.DUMMYFUNCTION("""COMPUTED_VALUE"""),"")</f>
        <v/>
      </c>
      <c r="X4294" s="16" t="str">
        <f>IFERROR(__xludf.DUMMYFUNCTION("""COMPUTED_VALUE"""),"")</f>
        <v/>
      </c>
      <c r="AC4294" s="16" t="str">
        <f>IFERROR(__xludf.DUMMYFUNCTION("""COMPUTED_VALUE"""),"")</f>
        <v/>
      </c>
    </row>
    <row r="4295">
      <c r="A4295" s="16" t="s">
        <v>87</v>
      </c>
      <c r="E4295" s="16" t="str">
        <f>IFERROR(__xludf.DUMMYFUNCTION("""COMPUTED_VALUE"""),"")</f>
        <v/>
      </c>
      <c r="G4295" s="18"/>
      <c r="H4295" s="16" t="s">
        <v>87</v>
      </c>
      <c r="I4295" s="16" t="s">
        <v>87</v>
      </c>
      <c r="J4295" s="19"/>
      <c r="L4295" s="16" t="str">
        <f>IFERROR(__xludf.DUMMYFUNCTION("""COMPUTED_VALUE"""),"")</f>
        <v/>
      </c>
      <c r="M4295" s="16" t="str">
        <f>IFERROR(__xludf.DUMMYFUNCTION("""COMPUTED_VALUE"""),"")</f>
        <v/>
      </c>
      <c r="U4295" s="16" t="s">
        <v>87</v>
      </c>
      <c r="V4295" s="16" t="str">
        <f>IFERROR(__xludf.DUMMYFUNCTION("""COMPUTED_VALUE"""),"")</f>
        <v/>
      </c>
      <c r="W4295" s="16" t="str">
        <f>IFERROR(__xludf.DUMMYFUNCTION("""COMPUTED_VALUE"""),"")</f>
        <v/>
      </c>
      <c r="X4295" s="16" t="str">
        <f>IFERROR(__xludf.DUMMYFUNCTION("""COMPUTED_VALUE"""),"")</f>
        <v/>
      </c>
      <c r="AC4295" s="16" t="str">
        <f>IFERROR(__xludf.DUMMYFUNCTION("""COMPUTED_VALUE"""),"")</f>
        <v/>
      </c>
    </row>
    <row r="4296">
      <c r="A4296" s="16" t="s">
        <v>87</v>
      </c>
      <c r="E4296" s="16" t="str">
        <f>IFERROR(__xludf.DUMMYFUNCTION("""COMPUTED_VALUE"""),"")</f>
        <v/>
      </c>
      <c r="G4296" s="18"/>
      <c r="H4296" s="16" t="s">
        <v>87</v>
      </c>
      <c r="I4296" s="16" t="s">
        <v>87</v>
      </c>
      <c r="J4296" s="19"/>
      <c r="L4296" s="16" t="str">
        <f>IFERROR(__xludf.DUMMYFUNCTION("""COMPUTED_VALUE"""),"")</f>
        <v/>
      </c>
      <c r="M4296" s="16" t="str">
        <f>IFERROR(__xludf.DUMMYFUNCTION("""COMPUTED_VALUE"""),"")</f>
        <v/>
      </c>
      <c r="U4296" s="16" t="s">
        <v>87</v>
      </c>
      <c r="V4296" s="16" t="str">
        <f>IFERROR(__xludf.DUMMYFUNCTION("""COMPUTED_VALUE"""),"")</f>
        <v/>
      </c>
      <c r="W4296" s="16" t="str">
        <f>IFERROR(__xludf.DUMMYFUNCTION("""COMPUTED_VALUE"""),"")</f>
        <v/>
      </c>
      <c r="X4296" s="16" t="str">
        <f>IFERROR(__xludf.DUMMYFUNCTION("""COMPUTED_VALUE"""),"")</f>
        <v/>
      </c>
      <c r="AC4296" s="16" t="str">
        <f>IFERROR(__xludf.DUMMYFUNCTION("""COMPUTED_VALUE"""),"")</f>
        <v/>
      </c>
    </row>
    <row r="4297">
      <c r="A4297" s="16" t="s">
        <v>87</v>
      </c>
      <c r="E4297" s="16" t="str">
        <f>IFERROR(__xludf.DUMMYFUNCTION("""COMPUTED_VALUE"""),"")</f>
        <v/>
      </c>
      <c r="G4297" s="18"/>
      <c r="H4297" s="16" t="s">
        <v>87</v>
      </c>
      <c r="I4297" s="16" t="s">
        <v>87</v>
      </c>
      <c r="J4297" s="19"/>
      <c r="L4297" s="16" t="str">
        <f>IFERROR(__xludf.DUMMYFUNCTION("""COMPUTED_VALUE"""),"")</f>
        <v/>
      </c>
      <c r="M4297" s="16" t="str">
        <f>IFERROR(__xludf.DUMMYFUNCTION("""COMPUTED_VALUE"""),"")</f>
        <v/>
      </c>
      <c r="U4297" s="16" t="s">
        <v>87</v>
      </c>
      <c r="V4297" s="16" t="str">
        <f>IFERROR(__xludf.DUMMYFUNCTION("""COMPUTED_VALUE"""),"")</f>
        <v/>
      </c>
      <c r="W4297" s="16" t="str">
        <f>IFERROR(__xludf.DUMMYFUNCTION("""COMPUTED_VALUE"""),"")</f>
        <v/>
      </c>
      <c r="X4297" s="16" t="str">
        <f>IFERROR(__xludf.DUMMYFUNCTION("""COMPUTED_VALUE"""),"")</f>
        <v/>
      </c>
      <c r="AC4297" s="16" t="str">
        <f>IFERROR(__xludf.DUMMYFUNCTION("""COMPUTED_VALUE"""),"")</f>
        <v/>
      </c>
    </row>
    <row r="4298">
      <c r="A4298" s="16" t="s">
        <v>87</v>
      </c>
      <c r="E4298" s="16" t="str">
        <f>IFERROR(__xludf.DUMMYFUNCTION("""COMPUTED_VALUE"""),"")</f>
        <v/>
      </c>
      <c r="G4298" s="18"/>
      <c r="H4298" s="16" t="s">
        <v>87</v>
      </c>
      <c r="I4298" s="16" t="s">
        <v>87</v>
      </c>
      <c r="J4298" s="19"/>
      <c r="L4298" s="16" t="str">
        <f>IFERROR(__xludf.DUMMYFUNCTION("""COMPUTED_VALUE"""),"")</f>
        <v/>
      </c>
      <c r="M4298" s="16" t="str">
        <f>IFERROR(__xludf.DUMMYFUNCTION("""COMPUTED_VALUE"""),"")</f>
        <v/>
      </c>
      <c r="U4298" s="16" t="s">
        <v>87</v>
      </c>
      <c r="V4298" s="16" t="str">
        <f>IFERROR(__xludf.DUMMYFUNCTION("""COMPUTED_VALUE"""),"")</f>
        <v/>
      </c>
      <c r="W4298" s="16" t="str">
        <f>IFERROR(__xludf.DUMMYFUNCTION("""COMPUTED_VALUE"""),"")</f>
        <v/>
      </c>
      <c r="X4298" s="16" t="str">
        <f>IFERROR(__xludf.DUMMYFUNCTION("""COMPUTED_VALUE"""),"")</f>
        <v/>
      </c>
      <c r="AC4298" s="16" t="str">
        <f>IFERROR(__xludf.DUMMYFUNCTION("""COMPUTED_VALUE"""),"")</f>
        <v/>
      </c>
    </row>
    <row r="4299">
      <c r="A4299" s="16" t="s">
        <v>87</v>
      </c>
      <c r="E4299" s="16" t="str">
        <f>IFERROR(__xludf.DUMMYFUNCTION("""COMPUTED_VALUE"""),"")</f>
        <v/>
      </c>
      <c r="G4299" s="18"/>
      <c r="H4299" s="16" t="s">
        <v>87</v>
      </c>
      <c r="I4299" s="16" t="s">
        <v>87</v>
      </c>
      <c r="J4299" s="19"/>
      <c r="L4299" s="16" t="str">
        <f>IFERROR(__xludf.DUMMYFUNCTION("""COMPUTED_VALUE"""),"")</f>
        <v/>
      </c>
      <c r="M4299" s="16" t="str">
        <f>IFERROR(__xludf.DUMMYFUNCTION("""COMPUTED_VALUE"""),"")</f>
        <v/>
      </c>
      <c r="U4299" s="16" t="s">
        <v>87</v>
      </c>
      <c r="V4299" s="16" t="str">
        <f>IFERROR(__xludf.DUMMYFUNCTION("""COMPUTED_VALUE"""),"")</f>
        <v/>
      </c>
      <c r="W4299" s="16" t="str">
        <f>IFERROR(__xludf.DUMMYFUNCTION("""COMPUTED_VALUE"""),"")</f>
        <v/>
      </c>
      <c r="X4299" s="16" t="str">
        <f>IFERROR(__xludf.DUMMYFUNCTION("""COMPUTED_VALUE"""),"")</f>
        <v/>
      </c>
      <c r="AC4299" s="16" t="str">
        <f>IFERROR(__xludf.DUMMYFUNCTION("""COMPUTED_VALUE"""),"")</f>
        <v/>
      </c>
    </row>
    <row r="4300">
      <c r="A4300" s="16" t="s">
        <v>87</v>
      </c>
      <c r="E4300" s="16" t="str">
        <f>IFERROR(__xludf.DUMMYFUNCTION("""COMPUTED_VALUE"""),"")</f>
        <v/>
      </c>
      <c r="G4300" s="18"/>
      <c r="H4300" s="16" t="s">
        <v>87</v>
      </c>
      <c r="I4300" s="16" t="s">
        <v>87</v>
      </c>
      <c r="J4300" s="19"/>
      <c r="L4300" s="16" t="str">
        <f>IFERROR(__xludf.DUMMYFUNCTION("""COMPUTED_VALUE"""),"")</f>
        <v/>
      </c>
      <c r="M4300" s="16" t="str">
        <f>IFERROR(__xludf.DUMMYFUNCTION("""COMPUTED_VALUE"""),"")</f>
        <v/>
      </c>
      <c r="U4300" s="16" t="s">
        <v>87</v>
      </c>
      <c r="V4300" s="16" t="str">
        <f>IFERROR(__xludf.DUMMYFUNCTION("""COMPUTED_VALUE"""),"")</f>
        <v/>
      </c>
      <c r="W4300" s="16" t="str">
        <f>IFERROR(__xludf.DUMMYFUNCTION("""COMPUTED_VALUE"""),"")</f>
        <v/>
      </c>
      <c r="X4300" s="16" t="str">
        <f>IFERROR(__xludf.DUMMYFUNCTION("""COMPUTED_VALUE"""),"")</f>
        <v/>
      </c>
      <c r="AC4300" s="16" t="str">
        <f>IFERROR(__xludf.DUMMYFUNCTION("""COMPUTED_VALUE"""),"")</f>
        <v/>
      </c>
    </row>
    <row r="4301">
      <c r="A4301" s="16" t="s">
        <v>87</v>
      </c>
      <c r="E4301" s="16" t="str">
        <f>IFERROR(__xludf.DUMMYFUNCTION("""COMPUTED_VALUE"""),"")</f>
        <v/>
      </c>
      <c r="G4301" s="18"/>
      <c r="H4301" s="16" t="s">
        <v>87</v>
      </c>
      <c r="I4301" s="16" t="s">
        <v>87</v>
      </c>
      <c r="J4301" s="19"/>
      <c r="L4301" s="16" t="str">
        <f>IFERROR(__xludf.DUMMYFUNCTION("""COMPUTED_VALUE"""),"")</f>
        <v/>
      </c>
      <c r="M4301" s="16" t="str">
        <f>IFERROR(__xludf.DUMMYFUNCTION("""COMPUTED_VALUE"""),"")</f>
        <v/>
      </c>
      <c r="U4301" s="16" t="s">
        <v>87</v>
      </c>
      <c r="V4301" s="16" t="str">
        <f>IFERROR(__xludf.DUMMYFUNCTION("""COMPUTED_VALUE"""),"")</f>
        <v/>
      </c>
      <c r="W4301" s="16" t="str">
        <f>IFERROR(__xludf.DUMMYFUNCTION("""COMPUTED_VALUE"""),"")</f>
        <v/>
      </c>
      <c r="X4301" s="16" t="str">
        <f>IFERROR(__xludf.DUMMYFUNCTION("""COMPUTED_VALUE"""),"")</f>
        <v/>
      </c>
      <c r="AC4301" s="16" t="str">
        <f>IFERROR(__xludf.DUMMYFUNCTION("""COMPUTED_VALUE"""),"")</f>
        <v/>
      </c>
    </row>
    <row r="4302">
      <c r="A4302" s="16" t="s">
        <v>87</v>
      </c>
      <c r="E4302" s="16" t="str">
        <f>IFERROR(__xludf.DUMMYFUNCTION("""COMPUTED_VALUE"""),"")</f>
        <v/>
      </c>
      <c r="G4302" s="18"/>
      <c r="H4302" s="16" t="s">
        <v>87</v>
      </c>
      <c r="I4302" s="16" t="s">
        <v>87</v>
      </c>
      <c r="J4302" s="19"/>
      <c r="L4302" s="16" t="str">
        <f>IFERROR(__xludf.DUMMYFUNCTION("""COMPUTED_VALUE"""),"")</f>
        <v/>
      </c>
      <c r="M4302" s="16" t="str">
        <f>IFERROR(__xludf.DUMMYFUNCTION("""COMPUTED_VALUE"""),"")</f>
        <v/>
      </c>
      <c r="U4302" s="16" t="s">
        <v>87</v>
      </c>
      <c r="V4302" s="16" t="str">
        <f>IFERROR(__xludf.DUMMYFUNCTION("""COMPUTED_VALUE"""),"")</f>
        <v/>
      </c>
      <c r="W4302" s="16" t="str">
        <f>IFERROR(__xludf.DUMMYFUNCTION("""COMPUTED_VALUE"""),"")</f>
        <v/>
      </c>
      <c r="X4302" s="16" t="str">
        <f>IFERROR(__xludf.DUMMYFUNCTION("""COMPUTED_VALUE"""),"")</f>
        <v/>
      </c>
      <c r="AC4302" s="16" t="str">
        <f>IFERROR(__xludf.DUMMYFUNCTION("""COMPUTED_VALUE"""),"")</f>
        <v/>
      </c>
    </row>
    <row r="4303">
      <c r="A4303" s="16" t="s">
        <v>87</v>
      </c>
      <c r="E4303" s="16" t="str">
        <f>IFERROR(__xludf.DUMMYFUNCTION("""COMPUTED_VALUE"""),"")</f>
        <v/>
      </c>
      <c r="G4303" s="18"/>
      <c r="H4303" s="16" t="s">
        <v>87</v>
      </c>
      <c r="I4303" s="16" t="s">
        <v>87</v>
      </c>
      <c r="J4303" s="19"/>
      <c r="L4303" s="16" t="str">
        <f>IFERROR(__xludf.DUMMYFUNCTION("""COMPUTED_VALUE"""),"")</f>
        <v/>
      </c>
      <c r="M4303" s="16" t="str">
        <f>IFERROR(__xludf.DUMMYFUNCTION("""COMPUTED_VALUE"""),"")</f>
        <v/>
      </c>
      <c r="U4303" s="16" t="s">
        <v>87</v>
      </c>
      <c r="V4303" s="16" t="str">
        <f>IFERROR(__xludf.DUMMYFUNCTION("""COMPUTED_VALUE"""),"")</f>
        <v/>
      </c>
      <c r="W4303" s="16" t="str">
        <f>IFERROR(__xludf.DUMMYFUNCTION("""COMPUTED_VALUE"""),"")</f>
        <v/>
      </c>
      <c r="X4303" s="16" t="str">
        <f>IFERROR(__xludf.DUMMYFUNCTION("""COMPUTED_VALUE"""),"")</f>
        <v/>
      </c>
      <c r="AC4303" s="16" t="str">
        <f>IFERROR(__xludf.DUMMYFUNCTION("""COMPUTED_VALUE"""),"")</f>
        <v/>
      </c>
    </row>
    <row r="4304">
      <c r="A4304" s="16" t="s">
        <v>87</v>
      </c>
      <c r="E4304" s="16" t="str">
        <f>IFERROR(__xludf.DUMMYFUNCTION("""COMPUTED_VALUE"""),"")</f>
        <v/>
      </c>
      <c r="G4304" s="18"/>
      <c r="H4304" s="16" t="s">
        <v>87</v>
      </c>
      <c r="I4304" s="16" t="s">
        <v>87</v>
      </c>
      <c r="J4304" s="19"/>
      <c r="L4304" s="16" t="str">
        <f>IFERROR(__xludf.DUMMYFUNCTION("""COMPUTED_VALUE"""),"")</f>
        <v/>
      </c>
      <c r="M4304" s="16" t="str">
        <f>IFERROR(__xludf.DUMMYFUNCTION("""COMPUTED_VALUE"""),"")</f>
        <v/>
      </c>
      <c r="U4304" s="16" t="s">
        <v>87</v>
      </c>
      <c r="V4304" s="16" t="str">
        <f>IFERROR(__xludf.DUMMYFUNCTION("""COMPUTED_VALUE"""),"")</f>
        <v/>
      </c>
      <c r="W4304" s="16" t="str">
        <f>IFERROR(__xludf.DUMMYFUNCTION("""COMPUTED_VALUE"""),"")</f>
        <v/>
      </c>
      <c r="X4304" s="16" t="str">
        <f>IFERROR(__xludf.DUMMYFUNCTION("""COMPUTED_VALUE"""),"")</f>
        <v/>
      </c>
      <c r="AC4304" s="16" t="str">
        <f>IFERROR(__xludf.DUMMYFUNCTION("""COMPUTED_VALUE"""),"")</f>
        <v/>
      </c>
    </row>
    <row r="4305">
      <c r="A4305" s="16" t="s">
        <v>87</v>
      </c>
      <c r="E4305" s="16" t="str">
        <f>IFERROR(__xludf.DUMMYFUNCTION("""COMPUTED_VALUE"""),"")</f>
        <v/>
      </c>
      <c r="G4305" s="18"/>
      <c r="H4305" s="16" t="s">
        <v>87</v>
      </c>
      <c r="I4305" s="16" t="s">
        <v>87</v>
      </c>
      <c r="J4305" s="19"/>
      <c r="L4305" s="16" t="str">
        <f>IFERROR(__xludf.DUMMYFUNCTION("""COMPUTED_VALUE"""),"")</f>
        <v/>
      </c>
      <c r="M4305" s="16" t="str">
        <f>IFERROR(__xludf.DUMMYFUNCTION("""COMPUTED_VALUE"""),"")</f>
        <v/>
      </c>
      <c r="U4305" s="16" t="s">
        <v>87</v>
      </c>
      <c r="V4305" s="16" t="str">
        <f>IFERROR(__xludf.DUMMYFUNCTION("""COMPUTED_VALUE"""),"")</f>
        <v/>
      </c>
      <c r="W4305" s="16" t="str">
        <f>IFERROR(__xludf.DUMMYFUNCTION("""COMPUTED_VALUE"""),"")</f>
        <v/>
      </c>
      <c r="X4305" s="16" t="str">
        <f>IFERROR(__xludf.DUMMYFUNCTION("""COMPUTED_VALUE"""),"")</f>
        <v/>
      </c>
      <c r="AC4305" s="16" t="str">
        <f>IFERROR(__xludf.DUMMYFUNCTION("""COMPUTED_VALUE"""),"")</f>
        <v/>
      </c>
    </row>
    <row r="4306">
      <c r="A4306" s="16" t="s">
        <v>87</v>
      </c>
      <c r="E4306" s="16" t="str">
        <f>IFERROR(__xludf.DUMMYFUNCTION("""COMPUTED_VALUE"""),"")</f>
        <v/>
      </c>
      <c r="G4306" s="18"/>
      <c r="H4306" s="16" t="s">
        <v>87</v>
      </c>
      <c r="I4306" s="16" t="s">
        <v>87</v>
      </c>
      <c r="J4306" s="19"/>
      <c r="L4306" s="16" t="str">
        <f>IFERROR(__xludf.DUMMYFUNCTION("""COMPUTED_VALUE"""),"")</f>
        <v/>
      </c>
      <c r="M4306" s="16" t="str">
        <f>IFERROR(__xludf.DUMMYFUNCTION("""COMPUTED_VALUE"""),"")</f>
        <v/>
      </c>
      <c r="U4306" s="16" t="s">
        <v>87</v>
      </c>
      <c r="V4306" s="16" t="str">
        <f>IFERROR(__xludf.DUMMYFUNCTION("""COMPUTED_VALUE"""),"")</f>
        <v/>
      </c>
      <c r="W4306" s="16" t="str">
        <f>IFERROR(__xludf.DUMMYFUNCTION("""COMPUTED_VALUE"""),"")</f>
        <v/>
      </c>
      <c r="X4306" s="16" t="str">
        <f>IFERROR(__xludf.DUMMYFUNCTION("""COMPUTED_VALUE"""),"")</f>
        <v/>
      </c>
      <c r="AC4306" s="16" t="str">
        <f>IFERROR(__xludf.DUMMYFUNCTION("""COMPUTED_VALUE"""),"")</f>
        <v/>
      </c>
    </row>
    <row r="4307">
      <c r="A4307" s="16" t="s">
        <v>87</v>
      </c>
      <c r="E4307" s="16" t="str">
        <f>IFERROR(__xludf.DUMMYFUNCTION("""COMPUTED_VALUE"""),"")</f>
        <v/>
      </c>
      <c r="G4307" s="18"/>
      <c r="H4307" s="16" t="s">
        <v>87</v>
      </c>
      <c r="I4307" s="16" t="s">
        <v>87</v>
      </c>
      <c r="J4307" s="19"/>
      <c r="L4307" s="16" t="str">
        <f>IFERROR(__xludf.DUMMYFUNCTION("""COMPUTED_VALUE"""),"")</f>
        <v/>
      </c>
      <c r="M4307" s="16" t="str">
        <f>IFERROR(__xludf.DUMMYFUNCTION("""COMPUTED_VALUE"""),"")</f>
        <v/>
      </c>
      <c r="U4307" s="16" t="s">
        <v>87</v>
      </c>
      <c r="V4307" s="16" t="str">
        <f>IFERROR(__xludf.DUMMYFUNCTION("""COMPUTED_VALUE"""),"")</f>
        <v/>
      </c>
      <c r="W4307" s="16" t="str">
        <f>IFERROR(__xludf.DUMMYFUNCTION("""COMPUTED_VALUE"""),"")</f>
        <v/>
      </c>
      <c r="X4307" s="16" t="str">
        <f>IFERROR(__xludf.DUMMYFUNCTION("""COMPUTED_VALUE"""),"")</f>
        <v/>
      </c>
      <c r="AC4307" s="16" t="str">
        <f>IFERROR(__xludf.DUMMYFUNCTION("""COMPUTED_VALUE"""),"")</f>
        <v/>
      </c>
    </row>
    <row r="4308">
      <c r="A4308" s="16" t="s">
        <v>87</v>
      </c>
      <c r="E4308" s="16" t="str">
        <f>IFERROR(__xludf.DUMMYFUNCTION("""COMPUTED_VALUE"""),"")</f>
        <v/>
      </c>
      <c r="G4308" s="18"/>
      <c r="H4308" s="16" t="s">
        <v>87</v>
      </c>
      <c r="I4308" s="16" t="s">
        <v>87</v>
      </c>
      <c r="J4308" s="19"/>
      <c r="L4308" s="16" t="str">
        <f>IFERROR(__xludf.DUMMYFUNCTION("""COMPUTED_VALUE"""),"")</f>
        <v/>
      </c>
      <c r="M4308" s="16" t="str">
        <f>IFERROR(__xludf.DUMMYFUNCTION("""COMPUTED_VALUE"""),"")</f>
        <v/>
      </c>
      <c r="U4308" s="16" t="s">
        <v>87</v>
      </c>
      <c r="V4308" s="16" t="str">
        <f>IFERROR(__xludf.DUMMYFUNCTION("""COMPUTED_VALUE"""),"")</f>
        <v/>
      </c>
      <c r="W4308" s="16" t="str">
        <f>IFERROR(__xludf.DUMMYFUNCTION("""COMPUTED_VALUE"""),"")</f>
        <v/>
      </c>
      <c r="X4308" s="16" t="str">
        <f>IFERROR(__xludf.DUMMYFUNCTION("""COMPUTED_VALUE"""),"")</f>
        <v/>
      </c>
      <c r="AC4308" s="16" t="str">
        <f>IFERROR(__xludf.DUMMYFUNCTION("""COMPUTED_VALUE"""),"")</f>
        <v/>
      </c>
    </row>
    <row r="4309">
      <c r="A4309" s="16" t="s">
        <v>87</v>
      </c>
      <c r="E4309" s="16" t="str">
        <f>IFERROR(__xludf.DUMMYFUNCTION("""COMPUTED_VALUE"""),"")</f>
        <v/>
      </c>
      <c r="G4309" s="18"/>
      <c r="H4309" s="16" t="s">
        <v>87</v>
      </c>
      <c r="I4309" s="16" t="s">
        <v>87</v>
      </c>
      <c r="J4309" s="19"/>
      <c r="L4309" s="16" t="str">
        <f>IFERROR(__xludf.DUMMYFUNCTION("""COMPUTED_VALUE"""),"")</f>
        <v/>
      </c>
      <c r="M4309" s="16" t="str">
        <f>IFERROR(__xludf.DUMMYFUNCTION("""COMPUTED_VALUE"""),"")</f>
        <v/>
      </c>
      <c r="U4309" s="16" t="s">
        <v>87</v>
      </c>
      <c r="V4309" s="16" t="str">
        <f>IFERROR(__xludf.DUMMYFUNCTION("""COMPUTED_VALUE"""),"")</f>
        <v/>
      </c>
      <c r="W4309" s="16" t="str">
        <f>IFERROR(__xludf.DUMMYFUNCTION("""COMPUTED_VALUE"""),"")</f>
        <v/>
      </c>
      <c r="X4309" s="16" t="str">
        <f>IFERROR(__xludf.DUMMYFUNCTION("""COMPUTED_VALUE"""),"")</f>
        <v/>
      </c>
      <c r="AC4309" s="16" t="str">
        <f>IFERROR(__xludf.DUMMYFUNCTION("""COMPUTED_VALUE"""),"")</f>
        <v/>
      </c>
    </row>
    <row r="4310">
      <c r="A4310" s="16" t="s">
        <v>87</v>
      </c>
      <c r="E4310" s="16" t="str">
        <f>IFERROR(__xludf.DUMMYFUNCTION("""COMPUTED_VALUE"""),"")</f>
        <v/>
      </c>
      <c r="G4310" s="18"/>
      <c r="H4310" s="16" t="s">
        <v>87</v>
      </c>
      <c r="I4310" s="16" t="s">
        <v>87</v>
      </c>
      <c r="J4310" s="19"/>
      <c r="L4310" s="16" t="str">
        <f>IFERROR(__xludf.DUMMYFUNCTION("""COMPUTED_VALUE"""),"")</f>
        <v/>
      </c>
      <c r="M4310" s="16" t="str">
        <f>IFERROR(__xludf.DUMMYFUNCTION("""COMPUTED_VALUE"""),"")</f>
        <v/>
      </c>
      <c r="U4310" s="16" t="s">
        <v>87</v>
      </c>
      <c r="V4310" s="16" t="str">
        <f>IFERROR(__xludf.DUMMYFUNCTION("""COMPUTED_VALUE"""),"")</f>
        <v/>
      </c>
      <c r="W4310" s="16" t="str">
        <f>IFERROR(__xludf.DUMMYFUNCTION("""COMPUTED_VALUE"""),"")</f>
        <v/>
      </c>
      <c r="X4310" s="16" t="str">
        <f>IFERROR(__xludf.DUMMYFUNCTION("""COMPUTED_VALUE"""),"")</f>
        <v/>
      </c>
      <c r="AC4310" s="16" t="str">
        <f>IFERROR(__xludf.DUMMYFUNCTION("""COMPUTED_VALUE"""),"")</f>
        <v/>
      </c>
    </row>
    <row r="4311">
      <c r="A4311" s="16" t="s">
        <v>87</v>
      </c>
      <c r="E4311" s="16" t="str">
        <f>IFERROR(__xludf.DUMMYFUNCTION("""COMPUTED_VALUE"""),"")</f>
        <v/>
      </c>
      <c r="G4311" s="18"/>
      <c r="H4311" s="16" t="s">
        <v>87</v>
      </c>
      <c r="I4311" s="16" t="s">
        <v>87</v>
      </c>
      <c r="J4311" s="19"/>
      <c r="L4311" s="16" t="str">
        <f>IFERROR(__xludf.DUMMYFUNCTION("""COMPUTED_VALUE"""),"")</f>
        <v/>
      </c>
      <c r="M4311" s="16" t="str">
        <f>IFERROR(__xludf.DUMMYFUNCTION("""COMPUTED_VALUE"""),"")</f>
        <v/>
      </c>
      <c r="U4311" s="16" t="s">
        <v>87</v>
      </c>
      <c r="V4311" s="16" t="str">
        <f>IFERROR(__xludf.DUMMYFUNCTION("""COMPUTED_VALUE"""),"")</f>
        <v/>
      </c>
      <c r="W4311" s="16" t="str">
        <f>IFERROR(__xludf.DUMMYFUNCTION("""COMPUTED_VALUE"""),"")</f>
        <v/>
      </c>
      <c r="X4311" s="16" t="str">
        <f>IFERROR(__xludf.DUMMYFUNCTION("""COMPUTED_VALUE"""),"")</f>
        <v/>
      </c>
      <c r="AC4311" s="16" t="str">
        <f>IFERROR(__xludf.DUMMYFUNCTION("""COMPUTED_VALUE"""),"")</f>
        <v/>
      </c>
    </row>
    <row r="4312">
      <c r="A4312" s="16" t="s">
        <v>87</v>
      </c>
      <c r="E4312" s="16" t="str">
        <f>IFERROR(__xludf.DUMMYFUNCTION("""COMPUTED_VALUE"""),"")</f>
        <v/>
      </c>
      <c r="G4312" s="18"/>
      <c r="H4312" s="16" t="s">
        <v>87</v>
      </c>
      <c r="I4312" s="16" t="s">
        <v>87</v>
      </c>
      <c r="J4312" s="19"/>
      <c r="L4312" s="16" t="str">
        <f>IFERROR(__xludf.DUMMYFUNCTION("""COMPUTED_VALUE"""),"")</f>
        <v/>
      </c>
      <c r="M4312" s="16" t="str">
        <f>IFERROR(__xludf.DUMMYFUNCTION("""COMPUTED_VALUE"""),"")</f>
        <v/>
      </c>
      <c r="U4312" s="16" t="s">
        <v>87</v>
      </c>
      <c r="V4312" s="16" t="str">
        <f>IFERROR(__xludf.DUMMYFUNCTION("""COMPUTED_VALUE"""),"")</f>
        <v/>
      </c>
      <c r="W4312" s="16" t="str">
        <f>IFERROR(__xludf.DUMMYFUNCTION("""COMPUTED_VALUE"""),"")</f>
        <v/>
      </c>
      <c r="X4312" s="16" t="str">
        <f>IFERROR(__xludf.DUMMYFUNCTION("""COMPUTED_VALUE"""),"")</f>
        <v/>
      </c>
      <c r="AC4312" s="16" t="str">
        <f>IFERROR(__xludf.DUMMYFUNCTION("""COMPUTED_VALUE"""),"")</f>
        <v/>
      </c>
    </row>
    <row r="4313">
      <c r="A4313" s="16" t="s">
        <v>87</v>
      </c>
      <c r="E4313" s="16" t="str">
        <f>IFERROR(__xludf.DUMMYFUNCTION("""COMPUTED_VALUE"""),"")</f>
        <v/>
      </c>
      <c r="G4313" s="18"/>
      <c r="H4313" s="16" t="s">
        <v>87</v>
      </c>
      <c r="I4313" s="16" t="s">
        <v>87</v>
      </c>
      <c r="J4313" s="19"/>
      <c r="L4313" s="16" t="str">
        <f>IFERROR(__xludf.DUMMYFUNCTION("""COMPUTED_VALUE"""),"")</f>
        <v/>
      </c>
      <c r="M4313" s="16" t="str">
        <f>IFERROR(__xludf.DUMMYFUNCTION("""COMPUTED_VALUE"""),"")</f>
        <v/>
      </c>
      <c r="U4313" s="16" t="s">
        <v>87</v>
      </c>
      <c r="V4313" s="16" t="str">
        <f>IFERROR(__xludf.DUMMYFUNCTION("""COMPUTED_VALUE"""),"")</f>
        <v/>
      </c>
      <c r="W4313" s="16" t="str">
        <f>IFERROR(__xludf.DUMMYFUNCTION("""COMPUTED_VALUE"""),"")</f>
        <v/>
      </c>
      <c r="X4313" s="16" t="str">
        <f>IFERROR(__xludf.DUMMYFUNCTION("""COMPUTED_VALUE"""),"")</f>
        <v/>
      </c>
      <c r="AC4313" s="16" t="str">
        <f>IFERROR(__xludf.DUMMYFUNCTION("""COMPUTED_VALUE"""),"")</f>
        <v/>
      </c>
    </row>
    <row r="4314">
      <c r="A4314" s="16" t="s">
        <v>87</v>
      </c>
      <c r="E4314" s="16" t="str">
        <f>IFERROR(__xludf.DUMMYFUNCTION("""COMPUTED_VALUE"""),"")</f>
        <v/>
      </c>
      <c r="G4314" s="18"/>
      <c r="H4314" s="16" t="s">
        <v>87</v>
      </c>
      <c r="I4314" s="16" t="s">
        <v>87</v>
      </c>
      <c r="J4314" s="19"/>
      <c r="L4314" s="16" t="str">
        <f>IFERROR(__xludf.DUMMYFUNCTION("""COMPUTED_VALUE"""),"")</f>
        <v/>
      </c>
      <c r="M4314" s="16" t="str">
        <f>IFERROR(__xludf.DUMMYFUNCTION("""COMPUTED_VALUE"""),"")</f>
        <v/>
      </c>
      <c r="U4314" s="16" t="s">
        <v>87</v>
      </c>
      <c r="V4314" s="16" t="str">
        <f>IFERROR(__xludf.DUMMYFUNCTION("""COMPUTED_VALUE"""),"")</f>
        <v/>
      </c>
      <c r="W4314" s="16" t="str">
        <f>IFERROR(__xludf.DUMMYFUNCTION("""COMPUTED_VALUE"""),"")</f>
        <v/>
      </c>
      <c r="X4314" s="16" t="str">
        <f>IFERROR(__xludf.DUMMYFUNCTION("""COMPUTED_VALUE"""),"")</f>
        <v/>
      </c>
      <c r="AC4314" s="16" t="str">
        <f>IFERROR(__xludf.DUMMYFUNCTION("""COMPUTED_VALUE"""),"")</f>
        <v/>
      </c>
    </row>
    <row r="4315">
      <c r="A4315" s="16" t="s">
        <v>87</v>
      </c>
      <c r="E4315" s="16" t="str">
        <f>IFERROR(__xludf.DUMMYFUNCTION("""COMPUTED_VALUE"""),"")</f>
        <v/>
      </c>
      <c r="G4315" s="18"/>
      <c r="H4315" s="16" t="s">
        <v>87</v>
      </c>
      <c r="I4315" s="16" t="s">
        <v>87</v>
      </c>
      <c r="J4315" s="19"/>
      <c r="L4315" s="16" t="str">
        <f>IFERROR(__xludf.DUMMYFUNCTION("""COMPUTED_VALUE"""),"")</f>
        <v/>
      </c>
      <c r="M4315" s="16" t="str">
        <f>IFERROR(__xludf.DUMMYFUNCTION("""COMPUTED_VALUE"""),"")</f>
        <v/>
      </c>
      <c r="U4315" s="16" t="s">
        <v>87</v>
      </c>
      <c r="V4315" s="16" t="str">
        <f>IFERROR(__xludf.DUMMYFUNCTION("""COMPUTED_VALUE"""),"")</f>
        <v/>
      </c>
      <c r="W4315" s="16" t="str">
        <f>IFERROR(__xludf.DUMMYFUNCTION("""COMPUTED_VALUE"""),"")</f>
        <v/>
      </c>
      <c r="X4315" s="16" t="str">
        <f>IFERROR(__xludf.DUMMYFUNCTION("""COMPUTED_VALUE"""),"")</f>
        <v/>
      </c>
      <c r="AC4315" s="16" t="str">
        <f>IFERROR(__xludf.DUMMYFUNCTION("""COMPUTED_VALUE"""),"")</f>
        <v/>
      </c>
    </row>
    <row r="4316">
      <c r="A4316" s="16" t="s">
        <v>87</v>
      </c>
      <c r="E4316" s="16" t="str">
        <f>IFERROR(__xludf.DUMMYFUNCTION("""COMPUTED_VALUE"""),"")</f>
        <v/>
      </c>
      <c r="G4316" s="18"/>
      <c r="H4316" s="16" t="s">
        <v>87</v>
      </c>
      <c r="I4316" s="16" t="s">
        <v>87</v>
      </c>
      <c r="J4316" s="19"/>
      <c r="L4316" s="16" t="str">
        <f>IFERROR(__xludf.DUMMYFUNCTION("""COMPUTED_VALUE"""),"")</f>
        <v/>
      </c>
      <c r="M4316" s="16" t="str">
        <f>IFERROR(__xludf.DUMMYFUNCTION("""COMPUTED_VALUE"""),"")</f>
        <v/>
      </c>
      <c r="U4316" s="16" t="s">
        <v>87</v>
      </c>
      <c r="V4316" s="16" t="str">
        <f>IFERROR(__xludf.DUMMYFUNCTION("""COMPUTED_VALUE"""),"")</f>
        <v/>
      </c>
      <c r="W4316" s="16" t="str">
        <f>IFERROR(__xludf.DUMMYFUNCTION("""COMPUTED_VALUE"""),"")</f>
        <v/>
      </c>
      <c r="X4316" s="16" t="str">
        <f>IFERROR(__xludf.DUMMYFUNCTION("""COMPUTED_VALUE"""),"")</f>
        <v/>
      </c>
      <c r="AC4316" s="16" t="str">
        <f>IFERROR(__xludf.DUMMYFUNCTION("""COMPUTED_VALUE"""),"")</f>
        <v/>
      </c>
    </row>
    <row r="4317">
      <c r="A4317" s="16" t="s">
        <v>87</v>
      </c>
      <c r="E4317" s="16" t="str">
        <f>IFERROR(__xludf.DUMMYFUNCTION("""COMPUTED_VALUE"""),"")</f>
        <v/>
      </c>
      <c r="G4317" s="18"/>
      <c r="H4317" s="16" t="s">
        <v>87</v>
      </c>
      <c r="I4317" s="16" t="s">
        <v>87</v>
      </c>
      <c r="J4317" s="19"/>
      <c r="L4317" s="16" t="str">
        <f>IFERROR(__xludf.DUMMYFUNCTION("""COMPUTED_VALUE"""),"")</f>
        <v/>
      </c>
      <c r="M4317" s="16" t="str">
        <f>IFERROR(__xludf.DUMMYFUNCTION("""COMPUTED_VALUE"""),"")</f>
        <v/>
      </c>
      <c r="U4317" s="16" t="s">
        <v>87</v>
      </c>
      <c r="V4317" s="16" t="str">
        <f>IFERROR(__xludf.DUMMYFUNCTION("""COMPUTED_VALUE"""),"")</f>
        <v/>
      </c>
      <c r="W4317" s="16" t="str">
        <f>IFERROR(__xludf.DUMMYFUNCTION("""COMPUTED_VALUE"""),"")</f>
        <v/>
      </c>
      <c r="X4317" s="16" t="str">
        <f>IFERROR(__xludf.DUMMYFUNCTION("""COMPUTED_VALUE"""),"")</f>
        <v/>
      </c>
      <c r="AC4317" s="16" t="str">
        <f>IFERROR(__xludf.DUMMYFUNCTION("""COMPUTED_VALUE"""),"")</f>
        <v/>
      </c>
    </row>
    <row r="4318">
      <c r="A4318" s="16" t="s">
        <v>87</v>
      </c>
      <c r="E4318" s="16" t="str">
        <f>IFERROR(__xludf.DUMMYFUNCTION("""COMPUTED_VALUE"""),"")</f>
        <v/>
      </c>
      <c r="G4318" s="18"/>
      <c r="H4318" s="16" t="s">
        <v>87</v>
      </c>
      <c r="I4318" s="16" t="s">
        <v>87</v>
      </c>
      <c r="J4318" s="19"/>
      <c r="L4318" s="16" t="str">
        <f>IFERROR(__xludf.DUMMYFUNCTION("""COMPUTED_VALUE"""),"")</f>
        <v/>
      </c>
      <c r="M4318" s="16" t="str">
        <f>IFERROR(__xludf.DUMMYFUNCTION("""COMPUTED_VALUE"""),"")</f>
        <v/>
      </c>
      <c r="U4318" s="16" t="s">
        <v>87</v>
      </c>
      <c r="V4318" s="16" t="str">
        <f>IFERROR(__xludf.DUMMYFUNCTION("""COMPUTED_VALUE"""),"")</f>
        <v/>
      </c>
      <c r="W4318" s="16" t="str">
        <f>IFERROR(__xludf.DUMMYFUNCTION("""COMPUTED_VALUE"""),"")</f>
        <v/>
      </c>
      <c r="X4318" s="16" t="str">
        <f>IFERROR(__xludf.DUMMYFUNCTION("""COMPUTED_VALUE"""),"")</f>
        <v/>
      </c>
      <c r="AC4318" s="16" t="str">
        <f>IFERROR(__xludf.DUMMYFUNCTION("""COMPUTED_VALUE"""),"")</f>
        <v/>
      </c>
    </row>
    <row r="4319">
      <c r="A4319" s="16" t="s">
        <v>87</v>
      </c>
      <c r="E4319" s="16" t="str">
        <f>IFERROR(__xludf.DUMMYFUNCTION("""COMPUTED_VALUE"""),"")</f>
        <v/>
      </c>
      <c r="G4319" s="18"/>
      <c r="H4319" s="16" t="s">
        <v>87</v>
      </c>
      <c r="I4319" s="16" t="s">
        <v>87</v>
      </c>
      <c r="J4319" s="19"/>
      <c r="L4319" s="16" t="str">
        <f>IFERROR(__xludf.DUMMYFUNCTION("""COMPUTED_VALUE"""),"")</f>
        <v/>
      </c>
      <c r="M4319" s="16" t="str">
        <f>IFERROR(__xludf.DUMMYFUNCTION("""COMPUTED_VALUE"""),"")</f>
        <v/>
      </c>
      <c r="U4319" s="16" t="s">
        <v>87</v>
      </c>
      <c r="V4319" s="16" t="str">
        <f>IFERROR(__xludf.DUMMYFUNCTION("""COMPUTED_VALUE"""),"")</f>
        <v/>
      </c>
      <c r="W4319" s="16" t="str">
        <f>IFERROR(__xludf.DUMMYFUNCTION("""COMPUTED_VALUE"""),"")</f>
        <v/>
      </c>
      <c r="X4319" s="16" t="str">
        <f>IFERROR(__xludf.DUMMYFUNCTION("""COMPUTED_VALUE"""),"")</f>
        <v/>
      </c>
      <c r="AC4319" s="16" t="str">
        <f>IFERROR(__xludf.DUMMYFUNCTION("""COMPUTED_VALUE"""),"")</f>
        <v/>
      </c>
    </row>
    <row r="4320">
      <c r="A4320" s="16" t="s">
        <v>87</v>
      </c>
      <c r="E4320" s="16" t="str">
        <f>IFERROR(__xludf.DUMMYFUNCTION("""COMPUTED_VALUE"""),"")</f>
        <v/>
      </c>
      <c r="G4320" s="18"/>
      <c r="H4320" s="16" t="s">
        <v>87</v>
      </c>
      <c r="I4320" s="16" t="s">
        <v>87</v>
      </c>
      <c r="J4320" s="19"/>
      <c r="L4320" s="16" t="str">
        <f>IFERROR(__xludf.DUMMYFUNCTION("""COMPUTED_VALUE"""),"")</f>
        <v/>
      </c>
      <c r="M4320" s="16" t="str">
        <f>IFERROR(__xludf.DUMMYFUNCTION("""COMPUTED_VALUE"""),"")</f>
        <v/>
      </c>
      <c r="U4320" s="16" t="s">
        <v>87</v>
      </c>
      <c r="V4320" s="16" t="str">
        <f>IFERROR(__xludf.DUMMYFUNCTION("""COMPUTED_VALUE"""),"")</f>
        <v/>
      </c>
      <c r="W4320" s="16" t="str">
        <f>IFERROR(__xludf.DUMMYFUNCTION("""COMPUTED_VALUE"""),"")</f>
        <v/>
      </c>
      <c r="X4320" s="16" t="str">
        <f>IFERROR(__xludf.DUMMYFUNCTION("""COMPUTED_VALUE"""),"")</f>
        <v/>
      </c>
      <c r="AC4320" s="16" t="str">
        <f>IFERROR(__xludf.DUMMYFUNCTION("""COMPUTED_VALUE"""),"")</f>
        <v/>
      </c>
    </row>
    <row r="4321">
      <c r="A4321" s="16" t="s">
        <v>87</v>
      </c>
      <c r="E4321" s="16" t="str">
        <f>IFERROR(__xludf.DUMMYFUNCTION("""COMPUTED_VALUE"""),"")</f>
        <v/>
      </c>
      <c r="G4321" s="18"/>
      <c r="H4321" s="16" t="s">
        <v>87</v>
      </c>
      <c r="I4321" s="16" t="s">
        <v>87</v>
      </c>
      <c r="J4321" s="19"/>
      <c r="L4321" s="16" t="str">
        <f>IFERROR(__xludf.DUMMYFUNCTION("""COMPUTED_VALUE"""),"")</f>
        <v/>
      </c>
      <c r="M4321" s="16" t="str">
        <f>IFERROR(__xludf.DUMMYFUNCTION("""COMPUTED_VALUE"""),"")</f>
        <v/>
      </c>
      <c r="U4321" s="16" t="s">
        <v>87</v>
      </c>
      <c r="V4321" s="16" t="str">
        <f>IFERROR(__xludf.DUMMYFUNCTION("""COMPUTED_VALUE"""),"")</f>
        <v/>
      </c>
      <c r="W4321" s="16" t="str">
        <f>IFERROR(__xludf.DUMMYFUNCTION("""COMPUTED_VALUE"""),"")</f>
        <v/>
      </c>
      <c r="X4321" s="16" t="str">
        <f>IFERROR(__xludf.DUMMYFUNCTION("""COMPUTED_VALUE"""),"")</f>
        <v/>
      </c>
      <c r="AC4321" s="16" t="str">
        <f>IFERROR(__xludf.DUMMYFUNCTION("""COMPUTED_VALUE"""),"")</f>
        <v/>
      </c>
    </row>
    <row r="4322">
      <c r="A4322" s="16" t="s">
        <v>87</v>
      </c>
      <c r="E4322" s="16" t="str">
        <f>IFERROR(__xludf.DUMMYFUNCTION("""COMPUTED_VALUE"""),"")</f>
        <v/>
      </c>
      <c r="G4322" s="18"/>
      <c r="H4322" s="16" t="s">
        <v>87</v>
      </c>
      <c r="I4322" s="16" t="s">
        <v>87</v>
      </c>
      <c r="J4322" s="19"/>
      <c r="L4322" s="16" t="str">
        <f>IFERROR(__xludf.DUMMYFUNCTION("""COMPUTED_VALUE"""),"")</f>
        <v/>
      </c>
      <c r="M4322" s="16" t="str">
        <f>IFERROR(__xludf.DUMMYFUNCTION("""COMPUTED_VALUE"""),"")</f>
        <v/>
      </c>
      <c r="U4322" s="16" t="s">
        <v>87</v>
      </c>
      <c r="V4322" s="16" t="str">
        <f>IFERROR(__xludf.DUMMYFUNCTION("""COMPUTED_VALUE"""),"")</f>
        <v/>
      </c>
      <c r="W4322" s="16" t="str">
        <f>IFERROR(__xludf.DUMMYFUNCTION("""COMPUTED_VALUE"""),"")</f>
        <v/>
      </c>
      <c r="X4322" s="16" t="str">
        <f>IFERROR(__xludf.DUMMYFUNCTION("""COMPUTED_VALUE"""),"")</f>
        <v/>
      </c>
      <c r="AC4322" s="16" t="str">
        <f>IFERROR(__xludf.DUMMYFUNCTION("""COMPUTED_VALUE"""),"")</f>
        <v/>
      </c>
    </row>
    <row r="4323">
      <c r="A4323" s="16" t="s">
        <v>87</v>
      </c>
      <c r="E4323" s="16" t="str">
        <f>IFERROR(__xludf.DUMMYFUNCTION("""COMPUTED_VALUE"""),"")</f>
        <v/>
      </c>
      <c r="G4323" s="18"/>
      <c r="H4323" s="16" t="s">
        <v>87</v>
      </c>
      <c r="I4323" s="16" t="s">
        <v>87</v>
      </c>
      <c r="J4323" s="19"/>
      <c r="L4323" s="16" t="str">
        <f>IFERROR(__xludf.DUMMYFUNCTION("""COMPUTED_VALUE"""),"")</f>
        <v/>
      </c>
      <c r="M4323" s="16" t="str">
        <f>IFERROR(__xludf.DUMMYFUNCTION("""COMPUTED_VALUE"""),"")</f>
        <v/>
      </c>
      <c r="U4323" s="16" t="s">
        <v>87</v>
      </c>
      <c r="V4323" s="16" t="str">
        <f>IFERROR(__xludf.DUMMYFUNCTION("""COMPUTED_VALUE"""),"")</f>
        <v/>
      </c>
      <c r="W4323" s="16" t="str">
        <f>IFERROR(__xludf.DUMMYFUNCTION("""COMPUTED_VALUE"""),"")</f>
        <v/>
      </c>
      <c r="X4323" s="16" t="str">
        <f>IFERROR(__xludf.DUMMYFUNCTION("""COMPUTED_VALUE"""),"")</f>
        <v/>
      </c>
      <c r="AC4323" s="16" t="str">
        <f>IFERROR(__xludf.DUMMYFUNCTION("""COMPUTED_VALUE"""),"")</f>
        <v/>
      </c>
    </row>
    <row r="4324">
      <c r="A4324" s="16" t="s">
        <v>87</v>
      </c>
      <c r="E4324" s="16" t="str">
        <f>IFERROR(__xludf.DUMMYFUNCTION("""COMPUTED_VALUE"""),"")</f>
        <v/>
      </c>
      <c r="G4324" s="18"/>
      <c r="H4324" s="16" t="s">
        <v>87</v>
      </c>
      <c r="I4324" s="16" t="s">
        <v>87</v>
      </c>
      <c r="J4324" s="19"/>
      <c r="L4324" s="16" t="str">
        <f>IFERROR(__xludf.DUMMYFUNCTION("""COMPUTED_VALUE"""),"")</f>
        <v/>
      </c>
      <c r="M4324" s="16" t="str">
        <f>IFERROR(__xludf.DUMMYFUNCTION("""COMPUTED_VALUE"""),"")</f>
        <v/>
      </c>
      <c r="U4324" s="16" t="s">
        <v>87</v>
      </c>
      <c r="V4324" s="16" t="str">
        <f>IFERROR(__xludf.DUMMYFUNCTION("""COMPUTED_VALUE"""),"")</f>
        <v/>
      </c>
      <c r="W4324" s="16" t="str">
        <f>IFERROR(__xludf.DUMMYFUNCTION("""COMPUTED_VALUE"""),"")</f>
        <v/>
      </c>
      <c r="X4324" s="16" t="str">
        <f>IFERROR(__xludf.DUMMYFUNCTION("""COMPUTED_VALUE"""),"")</f>
        <v/>
      </c>
      <c r="AC4324" s="16" t="str">
        <f>IFERROR(__xludf.DUMMYFUNCTION("""COMPUTED_VALUE"""),"")</f>
        <v/>
      </c>
    </row>
    <row r="4325">
      <c r="A4325" s="16" t="s">
        <v>87</v>
      </c>
      <c r="E4325" s="16" t="str">
        <f>IFERROR(__xludf.DUMMYFUNCTION("""COMPUTED_VALUE"""),"")</f>
        <v/>
      </c>
      <c r="G4325" s="18"/>
      <c r="H4325" s="16" t="s">
        <v>87</v>
      </c>
      <c r="I4325" s="16" t="s">
        <v>87</v>
      </c>
      <c r="J4325" s="19"/>
      <c r="L4325" s="16" t="str">
        <f>IFERROR(__xludf.DUMMYFUNCTION("""COMPUTED_VALUE"""),"")</f>
        <v/>
      </c>
      <c r="M4325" s="16" t="str">
        <f>IFERROR(__xludf.DUMMYFUNCTION("""COMPUTED_VALUE"""),"")</f>
        <v/>
      </c>
      <c r="U4325" s="16" t="s">
        <v>87</v>
      </c>
      <c r="V4325" s="16" t="str">
        <f>IFERROR(__xludf.DUMMYFUNCTION("""COMPUTED_VALUE"""),"")</f>
        <v/>
      </c>
      <c r="W4325" s="16" t="str">
        <f>IFERROR(__xludf.DUMMYFUNCTION("""COMPUTED_VALUE"""),"")</f>
        <v/>
      </c>
      <c r="X4325" s="16" t="str">
        <f>IFERROR(__xludf.DUMMYFUNCTION("""COMPUTED_VALUE"""),"")</f>
        <v/>
      </c>
      <c r="AC4325" s="16" t="str">
        <f>IFERROR(__xludf.DUMMYFUNCTION("""COMPUTED_VALUE"""),"")</f>
        <v/>
      </c>
    </row>
    <row r="4326">
      <c r="A4326" s="16" t="s">
        <v>87</v>
      </c>
      <c r="E4326" s="16" t="str">
        <f>IFERROR(__xludf.DUMMYFUNCTION("""COMPUTED_VALUE"""),"")</f>
        <v/>
      </c>
      <c r="G4326" s="18"/>
      <c r="H4326" s="16" t="s">
        <v>87</v>
      </c>
      <c r="I4326" s="16" t="s">
        <v>87</v>
      </c>
      <c r="J4326" s="19"/>
      <c r="L4326" s="16" t="str">
        <f>IFERROR(__xludf.DUMMYFUNCTION("""COMPUTED_VALUE"""),"")</f>
        <v/>
      </c>
      <c r="M4326" s="16" t="str">
        <f>IFERROR(__xludf.DUMMYFUNCTION("""COMPUTED_VALUE"""),"")</f>
        <v/>
      </c>
      <c r="U4326" s="16" t="s">
        <v>87</v>
      </c>
      <c r="V4326" s="16" t="str">
        <f>IFERROR(__xludf.DUMMYFUNCTION("""COMPUTED_VALUE"""),"")</f>
        <v/>
      </c>
      <c r="W4326" s="16" t="str">
        <f>IFERROR(__xludf.DUMMYFUNCTION("""COMPUTED_VALUE"""),"")</f>
        <v/>
      </c>
      <c r="X4326" s="16" t="str">
        <f>IFERROR(__xludf.DUMMYFUNCTION("""COMPUTED_VALUE"""),"")</f>
        <v/>
      </c>
      <c r="AC4326" s="16" t="str">
        <f>IFERROR(__xludf.DUMMYFUNCTION("""COMPUTED_VALUE"""),"")</f>
        <v/>
      </c>
    </row>
    <row r="4327">
      <c r="A4327" s="16" t="s">
        <v>87</v>
      </c>
      <c r="E4327" s="16" t="str">
        <f>IFERROR(__xludf.DUMMYFUNCTION("""COMPUTED_VALUE"""),"")</f>
        <v/>
      </c>
      <c r="G4327" s="18"/>
      <c r="H4327" s="16" t="s">
        <v>87</v>
      </c>
      <c r="I4327" s="16" t="s">
        <v>87</v>
      </c>
      <c r="J4327" s="19"/>
      <c r="L4327" s="16" t="str">
        <f>IFERROR(__xludf.DUMMYFUNCTION("""COMPUTED_VALUE"""),"")</f>
        <v/>
      </c>
      <c r="M4327" s="16" t="str">
        <f>IFERROR(__xludf.DUMMYFUNCTION("""COMPUTED_VALUE"""),"")</f>
        <v/>
      </c>
      <c r="U4327" s="16" t="s">
        <v>87</v>
      </c>
      <c r="V4327" s="16" t="str">
        <f>IFERROR(__xludf.DUMMYFUNCTION("""COMPUTED_VALUE"""),"")</f>
        <v/>
      </c>
      <c r="W4327" s="16" t="str">
        <f>IFERROR(__xludf.DUMMYFUNCTION("""COMPUTED_VALUE"""),"")</f>
        <v/>
      </c>
      <c r="X4327" s="16" t="str">
        <f>IFERROR(__xludf.DUMMYFUNCTION("""COMPUTED_VALUE"""),"")</f>
        <v/>
      </c>
      <c r="AC4327" s="16" t="str">
        <f>IFERROR(__xludf.DUMMYFUNCTION("""COMPUTED_VALUE"""),"")</f>
        <v/>
      </c>
    </row>
    <row r="4328">
      <c r="A4328" s="16" t="s">
        <v>87</v>
      </c>
      <c r="E4328" s="16" t="str">
        <f>IFERROR(__xludf.DUMMYFUNCTION("""COMPUTED_VALUE"""),"")</f>
        <v/>
      </c>
      <c r="G4328" s="18"/>
      <c r="H4328" s="16" t="s">
        <v>87</v>
      </c>
      <c r="I4328" s="16" t="s">
        <v>87</v>
      </c>
      <c r="J4328" s="19"/>
      <c r="L4328" s="16" t="str">
        <f>IFERROR(__xludf.DUMMYFUNCTION("""COMPUTED_VALUE"""),"")</f>
        <v/>
      </c>
      <c r="M4328" s="16" t="str">
        <f>IFERROR(__xludf.DUMMYFUNCTION("""COMPUTED_VALUE"""),"")</f>
        <v/>
      </c>
      <c r="U4328" s="16" t="s">
        <v>87</v>
      </c>
      <c r="V4328" s="16" t="str">
        <f>IFERROR(__xludf.DUMMYFUNCTION("""COMPUTED_VALUE"""),"")</f>
        <v/>
      </c>
      <c r="W4328" s="16" t="str">
        <f>IFERROR(__xludf.DUMMYFUNCTION("""COMPUTED_VALUE"""),"")</f>
        <v/>
      </c>
      <c r="X4328" s="16" t="str">
        <f>IFERROR(__xludf.DUMMYFUNCTION("""COMPUTED_VALUE"""),"")</f>
        <v/>
      </c>
      <c r="AC4328" s="16" t="str">
        <f>IFERROR(__xludf.DUMMYFUNCTION("""COMPUTED_VALUE"""),"")</f>
        <v/>
      </c>
    </row>
    <row r="4329">
      <c r="A4329" s="16" t="s">
        <v>87</v>
      </c>
      <c r="E4329" s="16" t="str">
        <f>IFERROR(__xludf.DUMMYFUNCTION("""COMPUTED_VALUE"""),"")</f>
        <v/>
      </c>
      <c r="G4329" s="18"/>
      <c r="H4329" s="16" t="s">
        <v>87</v>
      </c>
      <c r="I4329" s="16" t="s">
        <v>87</v>
      </c>
      <c r="J4329" s="19"/>
      <c r="L4329" s="16" t="str">
        <f>IFERROR(__xludf.DUMMYFUNCTION("""COMPUTED_VALUE"""),"")</f>
        <v/>
      </c>
      <c r="M4329" s="16" t="str">
        <f>IFERROR(__xludf.DUMMYFUNCTION("""COMPUTED_VALUE"""),"")</f>
        <v/>
      </c>
      <c r="U4329" s="16" t="s">
        <v>87</v>
      </c>
      <c r="V4329" s="16" t="str">
        <f>IFERROR(__xludf.DUMMYFUNCTION("""COMPUTED_VALUE"""),"")</f>
        <v/>
      </c>
      <c r="W4329" s="16" t="str">
        <f>IFERROR(__xludf.DUMMYFUNCTION("""COMPUTED_VALUE"""),"")</f>
        <v/>
      </c>
      <c r="X4329" s="16" t="str">
        <f>IFERROR(__xludf.DUMMYFUNCTION("""COMPUTED_VALUE"""),"")</f>
        <v/>
      </c>
      <c r="AC4329" s="16" t="str">
        <f>IFERROR(__xludf.DUMMYFUNCTION("""COMPUTED_VALUE"""),"")</f>
        <v/>
      </c>
    </row>
    <row r="4330">
      <c r="A4330" s="16" t="s">
        <v>87</v>
      </c>
      <c r="E4330" s="16" t="str">
        <f>IFERROR(__xludf.DUMMYFUNCTION("""COMPUTED_VALUE"""),"")</f>
        <v/>
      </c>
      <c r="G4330" s="18"/>
      <c r="H4330" s="16" t="s">
        <v>87</v>
      </c>
      <c r="I4330" s="16" t="s">
        <v>87</v>
      </c>
      <c r="J4330" s="19"/>
      <c r="L4330" s="16" t="str">
        <f>IFERROR(__xludf.DUMMYFUNCTION("""COMPUTED_VALUE"""),"")</f>
        <v/>
      </c>
      <c r="M4330" s="16" t="str">
        <f>IFERROR(__xludf.DUMMYFUNCTION("""COMPUTED_VALUE"""),"")</f>
        <v/>
      </c>
      <c r="U4330" s="16" t="s">
        <v>87</v>
      </c>
      <c r="V4330" s="16" t="str">
        <f>IFERROR(__xludf.DUMMYFUNCTION("""COMPUTED_VALUE"""),"")</f>
        <v/>
      </c>
      <c r="W4330" s="16" t="str">
        <f>IFERROR(__xludf.DUMMYFUNCTION("""COMPUTED_VALUE"""),"")</f>
        <v/>
      </c>
      <c r="X4330" s="16" t="str">
        <f>IFERROR(__xludf.DUMMYFUNCTION("""COMPUTED_VALUE"""),"")</f>
        <v/>
      </c>
      <c r="AC4330" s="16" t="str">
        <f>IFERROR(__xludf.DUMMYFUNCTION("""COMPUTED_VALUE"""),"")</f>
        <v/>
      </c>
    </row>
    <row r="4331">
      <c r="A4331" s="16" t="s">
        <v>87</v>
      </c>
      <c r="E4331" s="16" t="str">
        <f>IFERROR(__xludf.DUMMYFUNCTION("""COMPUTED_VALUE"""),"")</f>
        <v/>
      </c>
      <c r="G4331" s="18"/>
      <c r="H4331" s="16" t="s">
        <v>87</v>
      </c>
      <c r="I4331" s="16" t="s">
        <v>87</v>
      </c>
      <c r="J4331" s="19"/>
      <c r="L4331" s="16" t="str">
        <f>IFERROR(__xludf.DUMMYFUNCTION("""COMPUTED_VALUE"""),"")</f>
        <v/>
      </c>
      <c r="M4331" s="16" t="str">
        <f>IFERROR(__xludf.DUMMYFUNCTION("""COMPUTED_VALUE"""),"")</f>
        <v/>
      </c>
      <c r="U4331" s="16" t="s">
        <v>87</v>
      </c>
      <c r="V4331" s="16" t="str">
        <f>IFERROR(__xludf.DUMMYFUNCTION("""COMPUTED_VALUE"""),"")</f>
        <v/>
      </c>
      <c r="W4331" s="16" t="str">
        <f>IFERROR(__xludf.DUMMYFUNCTION("""COMPUTED_VALUE"""),"")</f>
        <v/>
      </c>
      <c r="X4331" s="16" t="str">
        <f>IFERROR(__xludf.DUMMYFUNCTION("""COMPUTED_VALUE"""),"")</f>
        <v/>
      </c>
      <c r="AC4331" s="16" t="str">
        <f>IFERROR(__xludf.DUMMYFUNCTION("""COMPUTED_VALUE"""),"")</f>
        <v/>
      </c>
    </row>
    <row r="4332">
      <c r="A4332" s="16" t="s">
        <v>87</v>
      </c>
      <c r="E4332" s="16" t="str">
        <f>IFERROR(__xludf.DUMMYFUNCTION("""COMPUTED_VALUE"""),"")</f>
        <v/>
      </c>
      <c r="G4332" s="18"/>
      <c r="H4332" s="16" t="s">
        <v>87</v>
      </c>
      <c r="I4332" s="16" t="s">
        <v>87</v>
      </c>
      <c r="J4332" s="19"/>
      <c r="L4332" s="16" t="str">
        <f>IFERROR(__xludf.DUMMYFUNCTION("""COMPUTED_VALUE"""),"")</f>
        <v/>
      </c>
      <c r="M4332" s="16" t="str">
        <f>IFERROR(__xludf.DUMMYFUNCTION("""COMPUTED_VALUE"""),"")</f>
        <v/>
      </c>
      <c r="U4332" s="16" t="s">
        <v>87</v>
      </c>
      <c r="V4332" s="16" t="str">
        <f>IFERROR(__xludf.DUMMYFUNCTION("""COMPUTED_VALUE"""),"")</f>
        <v/>
      </c>
      <c r="W4332" s="16" t="str">
        <f>IFERROR(__xludf.DUMMYFUNCTION("""COMPUTED_VALUE"""),"")</f>
        <v/>
      </c>
      <c r="X4332" s="16" t="str">
        <f>IFERROR(__xludf.DUMMYFUNCTION("""COMPUTED_VALUE"""),"")</f>
        <v/>
      </c>
      <c r="AC4332" s="16" t="str">
        <f>IFERROR(__xludf.DUMMYFUNCTION("""COMPUTED_VALUE"""),"")</f>
        <v/>
      </c>
    </row>
    <row r="4333">
      <c r="A4333" s="16" t="s">
        <v>87</v>
      </c>
      <c r="E4333" s="16" t="str">
        <f>IFERROR(__xludf.DUMMYFUNCTION("""COMPUTED_VALUE"""),"")</f>
        <v/>
      </c>
      <c r="G4333" s="18"/>
      <c r="H4333" s="16" t="s">
        <v>87</v>
      </c>
      <c r="I4333" s="16" t="s">
        <v>87</v>
      </c>
      <c r="J4333" s="19"/>
      <c r="L4333" s="16" t="str">
        <f>IFERROR(__xludf.DUMMYFUNCTION("""COMPUTED_VALUE"""),"")</f>
        <v/>
      </c>
      <c r="M4333" s="16" t="str">
        <f>IFERROR(__xludf.DUMMYFUNCTION("""COMPUTED_VALUE"""),"")</f>
        <v/>
      </c>
      <c r="U4333" s="16" t="s">
        <v>87</v>
      </c>
      <c r="V4333" s="16" t="str">
        <f>IFERROR(__xludf.DUMMYFUNCTION("""COMPUTED_VALUE"""),"")</f>
        <v/>
      </c>
      <c r="W4333" s="16" t="str">
        <f>IFERROR(__xludf.DUMMYFUNCTION("""COMPUTED_VALUE"""),"")</f>
        <v/>
      </c>
      <c r="X4333" s="16" t="str">
        <f>IFERROR(__xludf.DUMMYFUNCTION("""COMPUTED_VALUE"""),"")</f>
        <v/>
      </c>
      <c r="AC4333" s="16" t="str">
        <f>IFERROR(__xludf.DUMMYFUNCTION("""COMPUTED_VALUE"""),"")</f>
        <v/>
      </c>
    </row>
    <row r="4334">
      <c r="A4334" s="16" t="s">
        <v>87</v>
      </c>
      <c r="E4334" s="16" t="str">
        <f>IFERROR(__xludf.DUMMYFUNCTION("""COMPUTED_VALUE"""),"")</f>
        <v/>
      </c>
      <c r="G4334" s="18"/>
      <c r="H4334" s="16" t="s">
        <v>87</v>
      </c>
      <c r="I4334" s="16" t="s">
        <v>87</v>
      </c>
      <c r="J4334" s="19"/>
      <c r="L4334" s="16" t="str">
        <f>IFERROR(__xludf.DUMMYFUNCTION("""COMPUTED_VALUE"""),"")</f>
        <v/>
      </c>
      <c r="M4334" s="16" t="str">
        <f>IFERROR(__xludf.DUMMYFUNCTION("""COMPUTED_VALUE"""),"")</f>
        <v/>
      </c>
      <c r="U4334" s="16" t="s">
        <v>87</v>
      </c>
      <c r="V4334" s="16" t="str">
        <f>IFERROR(__xludf.DUMMYFUNCTION("""COMPUTED_VALUE"""),"")</f>
        <v/>
      </c>
      <c r="W4334" s="16" t="str">
        <f>IFERROR(__xludf.DUMMYFUNCTION("""COMPUTED_VALUE"""),"")</f>
        <v/>
      </c>
      <c r="X4334" s="16" t="str">
        <f>IFERROR(__xludf.DUMMYFUNCTION("""COMPUTED_VALUE"""),"")</f>
        <v/>
      </c>
      <c r="AC4334" s="16" t="str">
        <f>IFERROR(__xludf.DUMMYFUNCTION("""COMPUTED_VALUE"""),"")</f>
        <v/>
      </c>
    </row>
    <row r="4335">
      <c r="A4335" s="16" t="s">
        <v>87</v>
      </c>
      <c r="E4335" s="16" t="str">
        <f>IFERROR(__xludf.DUMMYFUNCTION("""COMPUTED_VALUE"""),"")</f>
        <v/>
      </c>
      <c r="G4335" s="18"/>
      <c r="H4335" s="16" t="s">
        <v>87</v>
      </c>
      <c r="I4335" s="16" t="s">
        <v>87</v>
      </c>
      <c r="J4335" s="19"/>
      <c r="L4335" s="16" t="str">
        <f>IFERROR(__xludf.DUMMYFUNCTION("""COMPUTED_VALUE"""),"")</f>
        <v/>
      </c>
      <c r="M4335" s="16" t="str">
        <f>IFERROR(__xludf.DUMMYFUNCTION("""COMPUTED_VALUE"""),"")</f>
        <v/>
      </c>
      <c r="U4335" s="16" t="s">
        <v>87</v>
      </c>
      <c r="V4335" s="16" t="str">
        <f>IFERROR(__xludf.DUMMYFUNCTION("""COMPUTED_VALUE"""),"")</f>
        <v/>
      </c>
      <c r="W4335" s="16" t="str">
        <f>IFERROR(__xludf.DUMMYFUNCTION("""COMPUTED_VALUE"""),"")</f>
        <v/>
      </c>
      <c r="X4335" s="16" t="str">
        <f>IFERROR(__xludf.DUMMYFUNCTION("""COMPUTED_VALUE"""),"")</f>
        <v/>
      </c>
      <c r="AC4335" s="16" t="str">
        <f>IFERROR(__xludf.DUMMYFUNCTION("""COMPUTED_VALUE"""),"")</f>
        <v/>
      </c>
    </row>
    <row r="4336">
      <c r="A4336" s="16" t="s">
        <v>87</v>
      </c>
      <c r="E4336" s="16" t="str">
        <f>IFERROR(__xludf.DUMMYFUNCTION("""COMPUTED_VALUE"""),"")</f>
        <v/>
      </c>
      <c r="G4336" s="18"/>
      <c r="H4336" s="16" t="s">
        <v>87</v>
      </c>
      <c r="I4336" s="16" t="s">
        <v>87</v>
      </c>
      <c r="J4336" s="19"/>
      <c r="L4336" s="16" t="str">
        <f>IFERROR(__xludf.DUMMYFUNCTION("""COMPUTED_VALUE"""),"")</f>
        <v/>
      </c>
      <c r="M4336" s="16" t="str">
        <f>IFERROR(__xludf.DUMMYFUNCTION("""COMPUTED_VALUE"""),"")</f>
        <v/>
      </c>
      <c r="U4336" s="16" t="s">
        <v>87</v>
      </c>
      <c r="V4336" s="16" t="str">
        <f>IFERROR(__xludf.DUMMYFUNCTION("""COMPUTED_VALUE"""),"")</f>
        <v/>
      </c>
      <c r="W4336" s="16" t="str">
        <f>IFERROR(__xludf.DUMMYFUNCTION("""COMPUTED_VALUE"""),"")</f>
        <v/>
      </c>
      <c r="X4336" s="16" t="str">
        <f>IFERROR(__xludf.DUMMYFUNCTION("""COMPUTED_VALUE"""),"")</f>
        <v/>
      </c>
      <c r="AC4336" s="16" t="str">
        <f>IFERROR(__xludf.DUMMYFUNCTION("""COMPUTED_VALUE"""),"")</f>
        <v/>
      </c>
    </row>
    <row r="4337">
      <c r="A4337" s="16" t="s">
        <v>87</v>
      </c>
      <c r="E4337" s="16" t="str">
        <f>IFERROR(__xludf.DUMMYFUNCTION("""COMPUTED_VALUE"""),"")</f>
        <v/>
      </c>
      <c r="G4337" s="18"/>
      <c r="H4337" s="16" t="s">
        <v>87</v>
      </c>
      <c r="I4337" s="16" t="s">
        <v>87</v>
      </c>
      <c r="J4337" s="19"/>
      <c r="L4337" s="16" t="str">
        <f>IFERROR(__xludf.DUMMYFUNCTION("""COMPUTED_VALUE"""),"")</f>
        <v/>
      </c>
      <c r="M4337" s="16" t="str">
        <f>IFERROR(__xludf.DUMMYFUNCTION("""COMPUTED_VALUE"""),"")</f>
        <v/>
      </c>
      <c r="U4337" s="16" t="s">
        <v>87</v>
      </c>
      <c r="V4337" s="16" t="str">
        <f>IFERROR(__xludf.DUMMYFUNCTION("""COMPUTED_VALUE"""),"")</f>
        <v/>
      </c>
      <c r="W4337" s="16" t="str">
        <f>IFERROR(__xludf.DUMMYFUNCTION("""COMPUTED_VALUE"""),"")</f>
        <v/>
      </c>
      <c r="X4337" s="16" t="str">
        <f>IFERROR(__xludf.DUMMYFUNCTION("""COMPUTED_VALUE"""),"")</f>
        <v/>
      </c>
      <c r="AC4337" s="16" t="str">
        <f>IFERROR(__xludf.DUMMYFUNCTION("""COMPUTED_VALUE"""),"")</f>
        <v/>
      </c>
    </row>
    <row r="4338">
      <c r="A4338" s="16" t="s">
        <v>87</v>
      </c>
      <c r="E4338" s="16" t="str">
        <f>IFERROR(__xludf.DUMMYFUNCTION("""COMPUTED_VALUE"""),"")</f>
        <v/>
      </c>
      <c r="G4338" s="18"/>
      <c r="H4338" s="16" t="s">
        <v>87</v>
      </c>
      <c r="I4338" s="16" t="s">
        <v>87</v>
      </c>
      <c r="J4338" s="19"/>
      <c r="L4338" s="16" t="str">
        <f>IFERROR(__xludf.DUMMYFUNCTION("""COMPUTED_VALUE"""),"")</f>
        <v/>
      </c>
      <c r="M4338" s="16" t="str">
        <f>IFERROR(__xludf.DUMMYFUNCTION("""COMPUTED_VALUE"""),"")</f>
        <v/>
      </c>
      <c r="U4338" s="16" t="s">
        <v>87</v>
      </c>
      <c r="V4338" s="16" t="str">
        <f>IFERROR(__xludf.DUMMYFUNCTION("""COMPUTED_VALUE"""),"")</f>
        <v/>
      </c>
      <c r="W4338" s="16" t="str">
        <f>IFERROR(__xludf.DUMMYFUNCTION("""COMPUTED_VALUE"""),"")</f>
        <v/>
      </c>
      <c r="X4338" s="16" t="str">
        <f>IFERROR(__xludf.DUMMYFUNCTION("""COMPUTED_VALUE"""),"")</f>
        <v/>
      </c>
      <c r="AC4338" s="16" t="str">
        <f>IFERROR(__xludf.DUMMYFUNCTION("""COMPUTED_VALUE"""),"")</f>
        <v/>
      </c>
    </row>
    <row r="4339">
      <c r="A4339" s="16" t="s">
        <v>87</v>
      </c>
      <c r="E4339" s="16" t="str">
        <f>IFERROR(__xludf.DUMMYFUNCTION("""COMPUTED_VALUE"""),"")</f>
        <v/>
      </c>
      <c r="G4339" s="18"/>
      <c r="H4339" s="16" t="s">
        <v>87</v>
      </c>
      <c r="I4339" s="16" t="s">
        <v>87</v>
      </c>
      <c r="J4339" s="19"/>
      <c r="L4339" s="16" t="str">
        <f>IFERROR(__xludf.DUMMYFUNCTION("""COMPUTED_VALUE"""),"")</f>
        <v/>
      </c>
      <c r="M4339" s="16" t="str">
        <f>IFERROR(__xludf.DUMMYFUNCTION("""COMPUTED_VALUE"""),"")</f>
        <v/>
      </c>
      <c r="U4339" s="16" t="s">
        <v>87</v>
      </c>
      <c r="V4339" s="16" t="str">
        <f>IFERROR(__xludf.DUMMYFUNCTION("""COMPUTED_VALUE"""),"")</f>
        <v/>
      </c>
      <c r="W4339" s="16" t="str">
        <f>IFERROR(__xludf.DUMMYFUNCTION("""COMPUTED_VALUE"""),"")</f>
        <v/>
      </c>
      <c r="X4339" s="16" t="str">
        <f>IFERROR(__xludf.DUMMYFUNCTION("""COMPUTED_VALUE"""),"")</f>
        <v/>
      </c>
      <c r="AC4339" s="16" t="str">
        <f>IFERROR(__xludf.DUMMYFUNCTION("""COMPUTED_VALUE"""),"")</f>
        <v/>
      </c>
    </row>
    <row r="4340">
      <c r="A4340" s="16" t="s">
        <v>87</v>
      </c>
      <c r="E4340" s="16" t="str">
        <f>IFERROR(__xludf.DUMMYFUNCTION("""COMPUTED_VALUE"""),"")</f>
        <v/>
      </c>
      <c r="G4340" s="18"/>
      <c r="H4340" s="16" t="s">
        <v>87</v>
      </c>
      <c r="I4340" s="16" t="s">
        <v>87</v>
      </c>
      <c r="J4340" s="19"/>
      <c r="L4340" s="16" t="str">
        <f>IFERROR(__xludf.DUMMYFUNCTION("""COMPUTED_VALUE"""),"")</f>
        <v/>
      </c>
      <c r="M4340" s="16" t="str">
        <f>IFERROR(__xludf.DUMMYFUNCTION("""COMPUTED_VALUE"""),"")</f>
        <v/>
      </c>
      <c r="U4340" s="16" t="s">
        <v>87</v>
      </c>
      <c r="V4340" s="16" t="str">
        <f>IFERROR(__xludf.DUMMYFUNCTION("""COMPUTED_VALUE"""),"")</f>
        <v/>
      </c>
      <c r="W4340" s="16" t="str">
        <f>IFERROR(__xludf.DUMMYFUNCTION("""COMPUTED_VALUE"""),"")</f>
        <v/>
      </c>
      <c r="X4340" s="16" t="str">
        <f>IFERROR(__xludf.DUMMYFUNCTION("""COMPUTED_VALUE"""),"")</f>
        <v/>
      </c>
      <c r="AC4340" s="16" t="str">
        <f>IFERROR(__xludf.DUMMYFUNCTION("""COMPUTED_VALUE"""),"")</f>
        <v/>
      </c>
    </row>
    <row r="4341">
      <c r="A4341" s="16" t="s">
        <v>87</v>
      </c>
      <c r="E4341" s="16" t="str">
        <f>IFERROR(__xludf.DUMMYFUNCTION("""COMPUTED_VALUE"""),"")</f>
        <v/>
      </c>
      <c r="G4341" s="18"/>
      <c r="H4341" s="16" t="s">
        <v>87</v>
      </c>
      <c r="I4341" s="16" t="s">
        <v>87</v>
      </c>
      <c r="J4341" s="19"/>
      <c r="L4341" s="16" t="str">
        <f>IFERROR(__xludf.DUMMYFUNCTION("""COMPUTED_VALUE"""),"")</f>
        <v/>
      </c>
      <c r="M4341" s="16" t="str">
        <f>IFERROR(__xludf.DUMMYFUNCTION("""COMPUTED_VALUE"""),"")</f>
        <v/>
      </c>
      <c r="U4341" s="16" t="s">
        <v>87</v>
      </c>
      <c r="V4341" s="16" t="str">
        <f>IFERROR(__xludf.DUMMYFUNCTION("""COMPUTED_VALUE"""),"")</f>
        <v/>
      </c>
      <c r="W4341" s="16" t="str">
        <f>IFERROR(__xludf.DUMMYFUNCTION("""COMPUTED_VALUE"""),"")</f>
        <v/>
      </c>
      <c r="X4341" s="16" t="str">
        <f>IFERROR(__xludf.DUMMYFUNCTION("""COMPUTED_VALUE"""),"")</f>
        <v/>
      </c>
      <c r="AC4341" s="16" t="str">
        <f>IFERROR(__xludf.DUMMYFUNCTION("""COMPUTED_VALUE"""),"")</f>
        <v/>
      </c>
    </row>
    <row r="4342">
      <c r="A4342" s="16" t="s">
        <v>87</v>
      </c>
      <c r="E4342" s="16" t="str">
        <f>IFERROR(__xludf.DUMMYFUNCTION("""COMPUTED_VALUE"""),"")</f>
        <v/>
      </c>
      <c r="G4342" s="18"/>
      <c r="H4342" s="16" t="s">
        <v>87</v>
      </c>
      <c r="I4342" s="16" t="s">
        <v>87</v>
      </c>
      <c r="J4342" s="19"/>
      <c r="L4342" s="16" t="str">
        <f>IFERROR(__xludf.DUMMYFUNCTION("""COMPUTED_VALUE"""),"")</f>
        <v/>
      </c>
      <c r="M4342" s="16" t="str">
        <f>IFERROR(__xludf.DUMMYFUNCTION("""COMPUTED_VALUE"""),"")</f>
        <v/>
      </c>
      <c r="U4342" s="16" t="s">
        <v>87</v>
      </c>
      <c r="V4342" s="16" t="str">
        <f>IFERROR(__xludf.DUMMYFUNCTION("""COMPUTED_VALUE"""),"")</f>
        <v/>
      </c>
      <c r="W4342" s="16" t="str">
        <f>IFERROR(__xludf.DUMMYFUNCTION("""COMPUTED_VALUE"""),"")</f>
        <v/>
      </c>
      <c r="X4342" s="16" t="str">
        <f>IFERROR(__xludf.DUMMYFUNCTION("""COMPUTED_VALUE"""),"")</f>
        <v/>
      </c>
      <c r="AC4342" s="16" t="str">
        <f>IFERROR(__xludf.DUMMYFUNCTION("""COMPUTED_VALUE"""),"")</f>
        <v/>
      </c>
    </row>
    <row r="4343">
      <c r="A4343" s="16" t="s">
        <v>87</v>
      </c>
      <c r="E4343" s="16" t="str">
        <f>IFERROR(__xludf.DUMMYFUNCTION("""COMPUTED_VALUE"""),"")</f>
        <v/>
      </c>
      <c r="G4343" s="18"/>
      <c r="H4343" s="16" t="s">
        <v>87</v>
      </c>
      <c r="I4343" s="16" t="s">
        <v>87</v>
      </c>
      <c r="J4343" s="19"/>
      <c r="L4343" s="16" t="str">
        <f>IFERROR(__xludf.DUMMYFUNCTION("""COMPUTED_VALUE"""),"")</f>
        <v/>
      </c>
      <c r="M4343" s="16" t="str">
        <f>IFERROR(__xludf.DUMMYFUNCTION("""COMPUTED_VALUE"""),"")</f>
        <v/>
      </c>
      <c r="U4343" s="16" t="s">
        <v>87</v>
      </c>
      <c r="V4343" s="16" t="str">
        <f>IFERROR(__xludf.DUMMYFUNCTION("""COMPUTED_VALUE"""),"")</f>
        <v/>
      </c>
      <c r="W4343" s="16" t="str">
        <f>IFERROR(__xludf.DUMMYFUNCTION("""COMPUTED_VALUE"""),"")</f>
        <v/>
      </c>
      <c r="X4343" s="16" t="str">
        <f>IFERROR(__xludf.DUMMYFUNCTION("""COMPUTED_VALUE"""),"")</f>
        <v/>
      </c>
      <c r="AC4343" s="16" t="str">
        <f>IFERROR(__xludf.DUMMYFUNCTION("""COMPUTED_VALUE"""),"")</f>
        <v/>
      </c>
    </row>
    <row r="4344">
      <c r="A4344" s="16" t="s">
        <v>87</v>
      </c>
      <c r="E4344" s="16" t="str">
        <f>IFERROR(__xludf.DUMMYFUNCTION("""COMPUTED_VALUE"""),"")</f>
        <v/>
      </c>
      <c r="G4344" s="18"/>
      <c r="H4344" s="16" t="s">
        <v>87</v>
      </c>
      <c r="I4344" s="16" t="s">
        <v>87</v>
      </c>
      <c r="J4344" s="19"/>
      <c r="L4344" s="16" t="str">
        <f>IFERROR(__xludf.DUMMYFUNCTION("""COMPUTED_VALUE"""),"")</f>
        <v/>
      </c>
      <c r="M4344" s="16" t="str">
        <f>IFERROR(__xludf.DUMMYFUNCTION("""COMPUTED_VALUE"""),"")</f>
        <v/>
      </c>
      <c r="U4344" s="16" t="s">
        <v>87</v>
      </c>
      <c r="V4344" s="16" t="str">
        <f>IFERROR(__xludf.DUMMYFUNCTION("""COMPUTED_VALUE"""),"")</f>
        <v/>
      </c>
      <c r="W4344" s="16" t="str">
        <f>IFERROR(__xludf.DUMMYFUNCTION("""COMPUTED_VALUE"""),"")</f>
        <v/>
      </c>
      <c r="X4344" s="16" t="str">
        <f>IFERROR(__xludf.DUMMYFUNCTION("""COMPUTED_VALUE"""),"")</f>
        <v/>
      </c>
      <c r="AC4344" s="16" t="str">
        <f>IFERROR(__xludf.DUMMYFUNCTION("""COMPUTED_VALUE"""),"")</f>
        <v/>
      </c>
    </row>
    <row r="4345">
      <c r="A4345" s="16" t="s">
        <v>87</v>
      </c>
      <c r="E4345" s="16" t="str">
        <f>IFERROR(__xludf.DUMMYFUNCTION("""COMPUTED_VALUE"""),"")</f>
        <v/>
      </c>
      <c r="G4345" s="18"/>
      <c r="H4345" s="16" t="s">
        <v>87</v>
      </c>
      <c r="I4345" s="16" t="s">
        <v>87</v>
      </c>
      <c r="J4345" s="19"/>
      <c r="L4345" s="16" t="str">
        <f>IFERROR(__xludf.DUMMYFUNCTION("""COMPUTED_VALUE"""),"")</f>
        <v/>
      </c>
      <c r="M4345" s="16" t="str">
        <f>IFERROR(__xludf.DUMMYFUNCTION("""COMPUTED_VALUE"""),"")</f>
        <v/>
      </c>
      <c r="U4345" s="16" t="s">
        <v>87</v>
      </c>
      <c r="V4345" s="16" t="str">
        <f>IFERROR(__xludf.DUMMYFUNCTION("""COMPUTED_VALUE"""),"")</f>
        <v/>
      </c>
      <c r="W4345" s="16" t="str">
        <f>IFERROR(__xludf.DUMMYFUNCTION("""COMPUTED_VALUE"""),"")</f>
        <v/>
      </c>
      <c r="X4345" s="16" t="str">
        <f>IFERROR(__xludf.DUMMYFUNCTION("""COMPUTED_VALUE"""),"")</f>
        <v/>
      </c>
      <c r="AC4345" s="16" t="str">
        <f>IFERROR(__xludf.DUMMYFUNCTION("""COMPUTED_VALUE"""),"")</f>
        <v/>
      </c>
    </row>
    <row r="4346">
      <c r="A4346" s="16" t="s">
        <v>87</v>
      </c>
      <c r="E4346" s="16" t="str">
        <f>IFERROR(__xludf.DUMMYFUNCTION("""COMPUTED_VALUE"""),"")</f>
        <v/>
      </c>
      <c r="G4346" s="18"/>
      <c r="H4346" s="16" t="s">
        <v>87</v>
      </c>
      <c r="I4346" s="16" t="s">
        <v>87</v>
      </c>
      <c r="J4346" s="19"/>
      <c r="L4346" s="16" t="str">
        <f>IFERROR(__xludf.DUMMYFUNCTION("""COMPUTED_VALUE"""),"")</f>
        <v/>
      </c>
      <c r="M4346" s="16" t="str">
        <f>IFERROR(__xludf.DUMMYFUNCTION("""COMPUTED_VALUE"""),"")</f>
        <v/>
      </c>
      <c r="U4346" s="16" t="s">
        <v>87</v>
      </c>
      <c r="V4346" s="16" t="str">
        <f>IFERROR(__xludf.DUMMYFUNCTION("""COMPUTED_VALUE"""),"")</f>
        <v/>
      </c>
      <c r="W4346" s="16" t="str">
        <f>IFERROR(__xludf.DUMMYFUNCTION("""COMPUTED_VALUE"""),"")</f>
        <v/>
      </c>
      <c r="X4346" s="16" t="str">
        <f>IFERROR(__xludf.DUMMYFUNCTION("""COMPUTED_VALUE"""),"")</f>
        <v/>
      </c>
      <c r="AC4346" s="16" t="str">
        <f>IFERROR(__xludf.DUMMYFUNCTION("""COMPUTED_VALUE"""),"")</f>
        <v/>
      </c>
    </row>
    <row r="4347">
      <c r="A4347" s="16" t="s">
        <v>87</v>
      </c>
      <c r="E4347" s="16" t="str">
        <f>IFERROR(__xludf.DUMMYFUNCTION("""COMPUTED_VALUE"""),"")</f>
        <v/>
      </c>
      <c r="G4347" s="18"/>
      <c r="H4347" s="16" t="s">
        <v>87</v>
      </c>
      <c r="I4347" s="16" t="s">
        <v>87</v>
      </c>
      <c r="J4347" s="19"/>
      <c r="L4347" s="16" t="str">
        <f>IFERROR(__xludf.DUMMYFUNCTION("""COMPUTED_VALUE"""),"")</f>
        <v/>
      </c>
      <c r="M4347" s="16" t="str">
        <f>IFERROR(__xludf.DUMMYFUNCTION("""COMPUTED_VALUE"""),"")</f>
        <v/>
      </c>
      <c r="U4347" s="16" t="s">
        <v>87</v>
      </c>
      <c r="V4347" s="16" t="str">
        <f>IFERROR(__xludf.DUMMYFUNCTION("""COMPUTED_VALUE"""),"")</f>
        <v/>
      </c>
      <c r="W4347" s="16" t="str">
        <f>IFERROR(__xludf.DUMMYFUNCTION("""COMPUTED_VALUE"""),"")</f>
        <v/>
      </c>
      <c r="X4347" s="16" t="str">
        <f>IFERROR(__xludf.DUMMYFUNCTION("""COMPUTED_VALUE"""),"")</f>
        <v/>
      </c>
      <c r="AC4347" s="16" t="str">
        <f>IFERROR(__xludf.DUMMYFUNCTION("""COMPUTED_VALUE"""),"")</f>
        <v/>
      </c>
    </row>
    <row r="4348">
      <c r="A4348" s="16" t="s">
        <v>87</v>
      </c>
      <c r="E4348" s="16" t="str">
        <f>IFERROR(__xludf.DUMMYFUNCTION("""COMPUTED_VALUE"""),"")</f>
        <v/>
      </c>
      <c r="G4348" s="18"/>
      <c r="H4348" s="16" t="s">
        <v>87</v>
      </c>
      <c r="I4348" s="16" t="s">
        <v>87</v>
      </c>
      <c r="J4348" s="19"/>
      <c r="L4348" s="16" t="str">
        <f>IFERROR(__xludf.DUMMYFUNCTION("""COMPUTED_VALUE"""),"")</f>
        <v/>
      </c>
      <c r="M4348" s="16" t="str">
        <f>IFERROR(__xludf.DUMMYFUNCTION("""COMPUTED_VALUE"""),"")</f>
        <v/>
      </c>
      <c r="U4348" s="16" t="s">
        <v>87</v>
      </c>
      <c r="V4348" s="16" t="str">
        <f>IFERROR(__xludf.DUMMYFUNCTION("""COMPUTED_VALUE"""),"")</f>
        <v/>
      </c>
      <c r="W4348" s="16" t="str">
        <f>IFERROR(__xludf.DUMMYFUNCTION("""COMPUTED_VALUE"""),"")</f>
        <v/>
      </c>
      <c r="X4348" s="16" t="str">
        <f>IFERROR(__xludf.DUMMYFUNCTION("""COMPUTED_VALUE"""),"")</f>
        <v/>
      </c>
      <c r="AC4348" s="16" t="str">
        <f>IFERROR(__xludf.DUMMYFUNCTION("""COMPUTED_VALUE"""),"")</f>
        <v/>
      </c>
    </row>
    <row r="4349">
      <c r="A4349" s="16" t="s">
        <v>87</v>
      </c>
      <c r="E4349" s="16" t="str">
        <f>IFERROR(__xludf.DUMMYFUNCTION("""COMPUTED_VALUE"""),"")</f>
        <v/>
      </c>
      <c r="G4349" s="18"/>
      <c r="H4349" s="16" t="s">
        <v>87</v>
      </c>
      <c r="I4349" s="16" t="s">
        <v>87</v>
      </c>
      <c r="J4349" s="19"/>
      <c r="L4349" s="16" t="str">
        <f>IFERROR(__xludf.DUMMYFUNCTION("""COMPUTED_VALUE"""),"")</f>
        <v/>
      </c>
      <c r="M4349" s="16" t="str">
        <f>IFERROR(__xludf.DUMMYFUNCTION("""COMPUTED_VALUE"""),"")</f>
        <v/>
      </c>
      <c r="U4349" s="16" t="s">
        <v>87</v>
      </c>
      <c r="V4349" s="16" t="str">
        <f>IFERROR(__xludf.DUMMYFUNCTION("""COMPUTED_VALUE"""),"")</f>
        <v/>
      </c>
      <c r="W4349" s="16" t="str">
        <f>IFERROR(__xludf.DUMMYFUNCTION("""COMPUTED_VALUE"""),"")</f>
        <v/>
      </c>
      <c r="X4349" s="16" t="str">
        <f>IFERROR(__xludf.DUMMYFUNCTION("""COMPUTED_VALUE"""),"")</f>
        <v/>
      </c>
      <c r="AC4349" s="16" t="str">
        <f>IFERROR(__xludf.DUMMYFUNCTION("""COMPUTED_VALUE"""),"")</f>
        <v/>
      </c>
    </row>
    <row r="4350">
      <c r="A4350" s="16" t="s">
        <v>87</v>
      </c>
      <c r="E4350" s="16" t="str">
        <f>IFERROR(__xludf.DUMMYFUNCTION("""COMPUTED_VALUE"""),"")</f>
        <v/>
      </c>
      <c r="G4350" s="18"/>
      <c r="H4350" s="16" t="s">
        <v>87</v>
      </c>
      <c r="I4350" s="16" t="s">
        <v>87</v>
      </c>
      <c r="J4350" s="19"/>
      <c r="L4350" s="16" t="str">
        <f>IFERROR(__xludf.DUMMYFUNCTION("""COMPUTED_VALUE"""),"")</f>
        <v/>
      </c>
      <c r="M4350" s="16" t="str">
        <f>IFERROR(__xludf.DUMMYFUNCTION("""COMPUTED_VALUE"""),"")</f>
        <v/>
      </c>
      <c r="U4350" s="16" t="s">
        <v>87</v>
      </c>
      <c r="V4350" s="16" t="str">
        <f>IFERROR(__xludf.DUMMYFUNCTION("""COMPUTED_VALUE"""),"")</f>
        <v/>
      </c>
      <c r="W4350" s="16" t="str">
        <f>IFERROR(__xludf.DUMMYFUNCTION("""COMPUTED_VALUE"""),"")</f>
        <v/>
      </c>
      <c r="X4350" s="16" t="str">
        <f>IFERROR(__xludf.DUMMYFUNCTION("""COMPUTED_VALUE"""),"")</f>
        <v/>
      </c>
      <c r="AC4350" s="16" t="str">
        <f>IFERROR(__xludf.DUMMYFUNCTION("""COMPUTED_VALUE"""),"")</f>
        <v/>
      </c>
    </row>
    <row r="4351">
      <c r="A4351" s="16" t="s">
        <v>87</v>
      </c>
      <c r="E4351" s="16" t="str">
        <f>IFERROR(__xludf.DUMMYFUNCTION("""COMPUTED_VALUE"""),"")</f>
        <v/>
      </c>
      <c r="G4351" s="18"/>
      <c r="H4351" s="16" t="s">
        <v>87</v>
      </c>
      <c r="I4351" s="16" t="s">
        <v>87</v>
      </c>
      <c r="J4351" s="19"/>
      <c r="L4351" s="16" t="str">
        <f>IFERROR(__xludf.DUMMYFUNCTION("""COMPUTED_VALUE"""),"")</f>
        <v/>
      </c>
      <c r="M4351" s="16" t="str">
        <f>IFERROR(__xludf.DUMMYFUNCTION("""COMPUTED_VALUE"""),"")</f>
        <v/>
      </c>
      <c r="U4351" s="16" t="s">
        <v>87</v>
      </c>
      <c r="V4351" s="16" t="str">
        <f>IFERROR(__xludf.DUMMYFUNCTION("""COMPUTED_VALUE"""),"")</f>
        <v/>
      </c>
      <c r="W4351" s="16" t="str">
        <f>IFERROR(__xludf.DUMMYFUNCTION("""COMPUTED_VALUE"""),"")</f>
        <v/>
      </c>
      <c r="X4351" s="16" t="str">
        <f>IFERROR(__xludf.DUMMYFUNCTION("""COMPUTED_VALUE"""),"")</f>
        <v/>
      </c>
      <c r="AC4351" s="16" t="str">
        <f>IFERROR(__xludf.DUMMYFUNCTION("""COMPUTED_VALUE"""),"")</f>
        <v/>
      </c>
    </row>
    <row r="4352">
      <c r="A4352" s="16" t="s">
        <v>87</v>
      </c>
      <c r="E4352" s="16" t="str">
        <f>IFERROR(__xludf.DUMMYFUNCTION("""COMPUTED_VALUE"""),"")</f>
        <v/>
      </c>
      <c r="G4352" s="18"/>
      <c r="H4352" s="16" t="s">
        <v>87</v>
      </c>
      <c r="I4352" s="16" t="s">
        <v>87</v>
      </c>
      <c r="J4352" s="19"/>
      <c r="L4352" s="16" t="str">
        <f>IFERROR(__xludf.DUMMYFUNCTION("""COMPUTED_VALUE"""),"")</f>
        <v/>
      </c>
      <c r="M4352" s="16" t="str">
        <f>IFERROR(__xludf.DUMMYFUNCTION("""COMPUTED_VALUE"""),"")</f>
        <v/>
      </c>
      <c r="U4352" s="16" t="s">
        <v>87</v>
      </c>
      <c r="V4352" s="16" t="str">
        <f>IFERROR(__xludf.DUMMYFUNCTION("""COMPUTED_VALUE"""),"")</f>
        <v/>
      </c>
      <c r="W4352" s="16" t="str">
        <f>IFERROR(__xludf.DUMMYFUNCTION("""COMPUTED_VALUE"""),"")</f>
        <v/>
      </c>
      <c r="X4352" s="16" t="str">
        <f>IFERROR(__xludf.DUMMYFUNCTION("""COMPUTED_VALUE"""),"")</f>
        <v/>
      </c>
      <c r="AC4352" s="16" t="str">
        <f>IFERROR(__xludf.DUMMYFUNCTION("""COMPUTED_VALUE"""),"")</f>
        <v/>
      </c>
    </row>
    <row r="4353">
      <c r="A4353" s="16" t="s">
        <v>87</v>
      </c>
      <c r="E4353" s="16" t="str">
        <f>IFERROR(__xludf.DUMMYFUNCTION("""COMPUTED_VALUE"""),"")</f>
        <v/>
      </c>
      <c r="G4353" s="18"/>
      <c r="H4353" s="16" t="s">
        <v>87</v>
      </c>
      <c r="I4353" s="16" t="s">
        <v>87</v>
      </c>
      <c r="J4353" s="19"/>
      <c r="L4353" s="16" t="str">
        <f>IFERROR(__xludf.DUMMYFUNCTION("""COMPUTED_VALUE"""),"")</f>
        <v/>
      </c>
      <c r="M4353" s="16" t="str">
        <f>IFERROR(__xludf.DUMMYFUNCTION("""COMPUTED_VALUE"""),"")</f>
        <v/>
      </c>
      <c r="U4353" s="16" t="s">
        <v>87</v>
      </c>
      <c r="V4353" s="16" t="str">
        <f>IFERROR(__xludf.DUMMYFUNCTION("""COMPUTED_VALUE"""),"")</f>
        <v/>
      </c>
      <c r="W4353" s="16" t="str">
        <f>IFERROR(__xludf.DUMMYFUNCTION("""COMPUTED_VALUE"""),"")</f>
        <v/>
      </c>
      <c r="X4353" s="16" t="str">
        <f>IFERROR(__xludf.DUMMYFUNCTION("""COMPUTED_VALUE"""),"")</f>
        <v/>
      </c>
      <c r="AC4353" s="16" t="str">
        <f>IFERROR(__xludf.DUMMYFUNCTION("""COMPUTED_VALUE"""),"")</f>
        <v/>
      </c>
    </row>
    <row r="4354">
      <c r="A4354" s="16" t="s">
        <v>87</v>
      </c>
      <c r="E4354" s="16" t="str">
        <f>IFERROR(__xludf.DUMMYFUNCTION("""COMPUTED_VALUE"""),"")</f>
        <v/>
      </c>
      <c r="G4354" s="18"/>
      <c r="H4354" s="16" t="s">
        <v>87</v>
      </c>
      <c r="I4354" s="16" t="s">
        <v>87</v>
      </c>
      <c r="J4354" s="19"/>
      <c r="L4354" s="16" t="str">
        <f>IFERROR(__xludf.DUMMYFUNCTION("""COMPUTED_VALUE"""),"")</f>
        <v/>
      </c>
      <c r="M4354" s="16" t="str">
        <f>IFERROR(__xludf.DUMMYFUNCTION("""COMPUTED_VALUE"""),"")</f>
        <v/>
      </c>
      <c r="U4354" s="16" t="s">
        <v>87</v>
      </c>
      <c r="V4354" s="16" t="str">
        <f>IFERROR(__xludf.DUMMYFUNCTION("""COMPUTED_VALUE"""),"")</f>
        <v/>
      </c>
      <c r="W4354" s="16" t="str">
        <f>IFERROR(__xludf.DUMMYFUNCTION("""COMPUTED_VALUE"""),"")</f>
        <v/>
      </c>
      <c r="X4354" s="16" t="str">
        <f>IFERROR(__xludf.DUMMYFUNCTION("""COMPUTED_VALUE"""),"")</f>
        <v/>
      </c>
      <c r="AC4354" s="16" t="str">
        <f>IFERROR(__xludf.DUMMYFUNCTION("""COMPUTED_VALUE"""),"")</f>
        <v/>
      </c>
    </row>
    <row r="4355">
      <c r="A4355" s="16" t="s">
        <v>87</v>
      </c>
      <c r="E4355" s="16" t="str">
        <f>IFERROR(__xludf.DUMMYFUNCTION("""COMPUTED_VALUE"""),"")</f>
        <v/>
      </c>
      <c r="G4355" s="18"/>
      <c r="H4355" s="16" t="s">
        <v>87</v>
      </c>
      <c r="I4355" s="16" t="s">
        <v>87</v>
      </c>
      <c r="J4355" s="19"/>
      <c r="L4355" s="16" t="str">
        <f>IFERROR(__xludf.DUMMYFUNCTION("""COMPUTED_VALUE"""),"")</f>
        <v/>
      </c>
      <c r="M4355" s="16" t="str">
        <f>IFERROR(__xludf.DUMMYFUNCTION("""COMPUTED_VALUE"""),"")</f>
        <v/>
      </c>
      <c r="U4355" s="16" t="s">
        <v>87</v>
      </c>
      <c r="V4355" s="16" t="str">
        <f>IFERROR(__xludf.DUMMYFUNCTION("""COMPUTED_VALUE"""),"")</f>
        <v/>
      </c>
      <c r="W4355" s="16" t="str">
        <f>IFERROR(__xludf.DUMMYFUNCTION("""COMPUTED_VALUE"""),"")</f>
        <v/>
      </c>
      <c r="X4355" s="16" t="str">
        <f>IFERROR(__xludf.DUMMYFUNCTION("""COMPUTED_VALUE"""),"")</f>
        <v/>
      </c>
      <c r="AC4355" s="16" t="str">
        <f>IFERROR(__xludf.DUMMYFUNCTION("""COMPUTED_VALUE"""),"")</f>
        <v/>
      </c>
    </row>
    <row r="4356">
      <c r="A4356" s="16" t="s">
        <v>87</v>
      </c>
      <c r="E4356" s="16" t="str">
        <f>IFERROR(__xludf.DUMMYFUNCTION("""COMPUTED_VALUE"""),"")</f>
        <v/>
      </c>
      <c r="G4356" s="18"/>
      <c r="H4356" s="16" t="s">
        <v>87</v>
      </c>
      <c r="I4356" s="16" t="s">
        <v>87</v>
      </c>
      <c r="J4356" s="19"/>
      <c r="L4356" s="16" t="str">
        <f>IFERROR(__xludf.DUMMYFUNCTION("""COMPUTED_VALUE"""),"")</f>
        <v/>
      </c>
      <c r="M4356" s="16" t="str">
        <f>IFERROR(__xludf.DUMMYFUNCTION("""COMPUTED_VALUE"""),"")</f>
        <v/>
      </c>
      <c r="U4356" s="16" t="s">
        <v>87</v>
      </c>
      <c r="V4356" s="16" t="str">
        <f>IFERROR(__xludf.DUMMYFUNCTION("""COMPUTED_VALUE"""),"")</f>
        <v/>
      </c>
      <c r="W4356" s="16" t="str">
        <f>IFERROR(__xludf.DUMMYFUNCTION("""COMPUTED_VALUE"""),"")</f>
        <v/>
      </c>
      <c r="X4356" s="16" t="str">
        <f>IFERROR(__xludf.DUMMYFUNCTION("""COMPUTED_VALUE"""),"")</f>
        <v/>
      </c>
      <c r="AC4356" s="16" t="str">
        <f>IFERROR(__xludf.DUMMYFUNCTION("""COMPUTED_VALUE"""),"")</f>
        <v/>
      </c>
    </row>
    <row r="4357">
      <c r="A4357" s="16" t="s">
        <v>87</v>
      </c>
      <c r="E4357" s="16" t="str">
        <f>IFERROR(__xludf.DUMMYFUNCTION("""COMPUTED_VALUE"""),"")</f>
        <v/>
      </c>
      <c r="G4357" s="18"/>
      <c r="H4357" s="16" t="s">
        <v>87</v>
      </c>
      <c r="I4357" s="16" t="s">
        <v>87</v>
      </c>
      <c r="J4357" s="19"/>
      <c r="L4357" s="16" t="str">
        <f>IFERROR(__xludf.DUMMYFUNCTION("""COMPUTED_VALUE"""),"")</f>
        <v/>
      </c>
      <c r="M4357" s="16" t="str">
        <f>IFERROR(__xludf.DUMMYFUNCTION("""COMPUTED_VALUE"""),"")</f>
        <v/>
      </c>
      <c r="U4357" s="16" t="s">
        <v>87</v>
      </c>
      <c r="V4357" s="16" t="str">
        <f>IFERROR(__xludf.DUMMYFUNCTION("""COMPUTED_VALUE"""),"")</f>
        <v/>
      </c>
      <c r="W4357" s="16" t="str">
        <f>IFERROR(__xludf.DUMMYFUNCTION("""COMPUTED_VALUE"""),"")</f>
        <v/>
      </c>
      <c r="X4357" s="16" t="str">
        <f>IFERROR(__xludf.DUMMYFUNCTION("""COMPUTED_VALUE"""),"")</f>
        <v/>
      </c>
      <c r="AC4357" s="16" t="str">
        <f>IFERROR(__xludf.DUMMYFUNCTION("""COMPUTED_VALUE"""),"")</f>
        <v/>
      </c>
    </row>
    <row r="4358">
      <c r="A4358" s="16" t="s">
        <v>87</v>
      </c>
      <c r="E4358" s="16" t="str">
        <f>IFERROR(__xludf.DUMMYFUNCTION("""COMPUTED_VALUE"""),"")</f>
        <v/>
      </c>
      <c r="G4358" s="18"/>
      <c r="H4358" s="16" t="s">
        <v>87</v>
      </c>
      <c r="I4358" s="16" t="s">
        <v>87</v>
      </c>
      <c r="J4358" s="19"/>
      <c r="L4358" s="16" t="str">
        <f>IFERROR(__xludf.DUMMYFUNCTION("""COMPUTED_VALUE"""),"")</f>
        <v/>
      </c>
      <c r="M4358" s="16" t="str">
        <f>IFERROR(__xludf.DUMMYFUNCTION("""COMPUTED_VALUE"""),"")</f>
        <v/>
      </c>
      <c r="U4358" s="16" t="s">
        <v>87</v>
      </c>
      <c r="V4358" s="16" t="str">
        <f>IFERROR(__xludf.DUMMYFUNCTION("""COMPUTED_VALUE"""),"")</f>
        <v/>
      </c>
      <c r="W4358" s="16" t="str">
        <f>IFERROR(__xludf.DUMMYFUNCTION("""COMPUTED_VALUE"""),"")</f>
        <v/>
      </c>
      <c r="X4358" s="16" t="str">
        <f>IFERROR(__xludf.DUMMYFUNCTION("""COMPUTED_VALUE"""),"")</f>
        <v/>
      </c>
      <c r="AC4358" s="16" t="str">
        <f>IFERROR(__xludf.DUMMYFUNCTION("""COMPUTED_VALUE"""),"")</f>
        <v/>
      </c>
    </row>
    <row r="4359">
      <c r="A4359" s="16" t="s">
        <v>87</v>
      </c>
      <c r="E4359" s="16" t="str">
        <f>IFERROR(__xludf.DUMMYFUNCTION("""COMPUTED_VALUE"""),"")</f>
        <v/>
      </c>
      <c r="G4359" s="18"/>
      <c r="H4359" s="16" t="s">
        <v>87</v>
      </c>
      <c r="I4359" s="16" t="s">
        <v>87</v>
      </c>
      <c r="J4359" s="19"/>
      <c r="L4359" s="16" t="str">
        <f>IFERROR(__xludf.DUMMYFUNCTION("""COMPUTED_VALUE"""),"")</f>
        <v/>
      </c>
      <c r="M4359" s="16" t="str">
        <f>IFERROR(__xludf.DUMMYFUNCTION("""COMPUTED_VALUE"""),"")</f>
        <v/>
      </c>
      <c r="U4359" s="16" t="s">
        <v>87</v>
      </c>
      <c r="V4359" s="16" t="str">
        <f>IFERROR(__xludf.DUMMYFUNCTION("""COMPUTED_VALUE"""),"")</f>
        <v/>
      </c>
      <c r="W4359" s="16" t="str">
        <f>IFERROR(__xludf.DUMMYFUNCTION("""COMPUTED_VALUE"""),"")</f>
        <v/>
      </c>
      <c r="X4359" s="16" t="str">
        <f>IFERROR(__xludf.DUMMYFUNCTION("""COMPUTED_VALUE"""),"")</f>
        <v/>
      </c>
      <c r="AC4359" s="16" t="str">
        <f>IFERROR(__xludf.DUMMYFUNCTION("""COMPUTED_VALUE"""),"")</f>
        <v/>
      </c>
    </row>
    <row r="4360">
      <c r="A4360" s="16" t="s">
        <v>87</v>
      </c>
      <c r="E4360" s="16" t="str">
        <f>IFERROR(__xludf.DUMMYFUNCTION("""COMPUTED_VALUE"""),"")</f>
        <v/>
      </c>
      <c r="G4360" s="18"/>
      <c r="H4360" s="16" t="s">
        <v>87</v>
      </c>
      <c r="I4360" s="16" t="s">
        <v>87</v>
      </c>
      <c r="J4360" s="19"/>
      <c r="L4360" s="16" t="str">
        <f>IFERROR(__xludf.DUMMYFUNCTION("""COMPUTED_VALUE"""),"")</f>
        <v/>
      </c>
      <c r="M4360" s="16" t="str">
        <f>IFERROR(__xludf.DUMMYFUNCTION("""COMPUTED_VALUE"""),"")</f>
        <v/>
      </c>
      <c r="U4360" s="16" t="s">
        <v>87</v>
      </c>
      <c r="V4360" s="16" t="str">
        <f>IFERROR(__xludf.DUMMYFUNCTION("""COMPUTED_VALUE"""),"")</f>
        <v/>
      </c>
      <c r="W4360" s="16" t="str">
        <f>IFERROR(__xludf.DUMMYFUNCTION("""COMPUTED_VALUE"""),"")</f>
        <v/>
      </c>
      <c r="X4360" s="16" t="str">
        <f>IFERROR(__xludf.DUMMYFUNCTION("""COMPUTED_VALUE"""),"")</f>
        <v/>
      </c>
      <c r="AC4360" s="16" t="str">
        <f>IFERROR(__xludf.DUMMYFUNCTION("""COMPUTED_VALUE"""),"")</f>
        <v/>
      </c>
    </row>
    <row r="4361">
      <c r="A4361" s="16" t="s">
        <v>87</v>
      </c>
      <c r="E4361" s="16" t="str">
        <f>IFERROR(__xludf.DUMMYFUNCTION("""COMPUTED_VALUE"""),"")</f>
        <v/>
      </c>
      <c r="G4361" s="18"/>
      <c r="H4361" s="16" t="s">
        <v>87</v>
      </c>
      <c r="I4361" s="16" t="s">
        <v>87</v>
      </c>
      <c r="J4361" s="19"/>
      <c r="L4361" s="16" t="str">
        <f>IFERROR(__xludf.DUMMYFUNCTION("""COMPUTED_VALUE"""),"")</f>
        <v/>
      </c>
      <c r="M4361" s="16" t="str">
        <f>IFERROR(__xludf.DUMMYFUNCTION("""COMPUTED_VALUE"""),"")</f>
        <v/>
      </c>
      <c r="U4361" s="16" t="s">
        <v>87</v>
      </c>
      <c r="V4361" s="16" t="str">
        <f>IFERROR(__xludf.DUMMYFUNCTION("""COMPUTED_VALUE"""),"")</f>
        <v/>
      </c>
      <c r="W4361" s="16" t="str">
        <f>IFERROR(__xludf.DUMMYFUNCTION("""COMPUTED_VALUE"""),"")</f>
        <v/>
      </c>
      <c r="X4361" s="16" t="str">
        <f>IFERROR(__xludf.DUMMYFUNCTION("""COMPUTED_VALUE"""),"")</f>
        <v/>
      </c>
      <c r="AC4361" s="16" t="str">
        <f>IFERROR(__xludf.DUMMYFUNCTION("""COMPUTED_VALUE"""),"")</f>
        <v/>
      </c>
    </row>
    <row r="4362">
      <c r="A4362" s="16" t="s">
        <v>87</v>
      </c>
      <c r="E4362" s="16" t="str">
        <f>IFERROR(__xludf.DUMMYFUNCTION("""COMPUTED_VALUE"""),"")</f>
        <v/>
      </c>
      <c r="G4362" s="18"/>
      <c r="H4362" s="16" t="s">
        <v>87</v>
      </c>
      <c r="I4362" s="16" t="s">
        <v>87</v>
      </c>
      <c r="J4362" s="19"/>
      <c r="L4362" s="16" t="str">
        <f>IFERROR(__xludf.DUMMYFUNCTION("""COMPUTED_VALUE"""),"")</f>
        <v/>
      </c>
      <c r="M4362" s="16" t="str">
        <f>IFERROR(__xludf.DUMMYFUNCTION("""COMPUTED_VALUE"""),"")</f>
        <v/>
      </c>
      <c r="U4362" s="16" t="s">
        <v>87</v>
      </c>
      <c r="V4362" s="16" t="str">
        <f>IFERROR(__xludf.DUMMYFUNCTION("""COMPUTED_VALUE"""),"")</f>
        <v/>
      </c>
      <c r="W4362" s="16" t="str">
        <f>IFERROR(__xludf.DUMMYFUNCTION("""COMPUTED_VALUE"""),"")</f>
        <v/>
      </c>
      <c r="X4362" s="16" t="str">
        <f>IFERROR(__xludf.DUMMYFUNCTION("""COMPUTED_VALUE"""),"")</f>
        <v/>
      </c>
      <c r="AC4362" s="16" t="str">
        <f>IFERROR(__xludf.DUMMYFUNCTION("""COMPUTED_VALUE"""),"")</f>
        <v/>
      </c>
    </row>
    <row r="4363">
      <c r="A4363" s="16" t="s">
        <v>87</v>
      </c>
      <c r="E4363" s="16" t="str">
        <f>IFERROR(__xludf.DUMMYFUNCTION("""COMPUTED_VALUE"""),"")</f>
        <v/>
      </c>
      <c r="G4363" s="18"/>
      <c r="H4363" s="16" t="s">
        <v>87</v>
      </c>
      <c r="I4363" s="16" t="s">
        <v>87</v>
      </c>
      <c r="J4363" s="19"/>
      <c r="L4363" s="16" t="str">
        <f>IFERROR(__xludf.DUMMYFUNCTION("""COMPUTED_VALUE"""),"")</f>
        <v/>
      </c>
      <c r="M4363" s="16" t="str">
        <f>IFERROR(__xludf.DUMMYFUNCTION("""COMPUTED_VALUE"""),"")</f>
        <v/>
      </c>
      <c r="U4363" s="16" t="s">
        <v>87</v>
      </c>
      <c r="V4363" s="16" t="str">
        <f>IFERROR(__xludf.DUMMYFUNCTION("""COMPUTED_VALUE"""),"")</f>
        <v/>
      </c>
      <c r="W4363" s="16" t="str">
        <f>IFERROR(__xludf.DUMMYFUNCTION("""COMPUTED_VALUE"""),"")</f>
        <v/>
      </c>
      <c r="X4363" s="16" t="str">
        <f>IFERROR(__xludf.DUMMYFUNCTION("""COMPUTED_VALUE"""),"")</f>
        <v/>
      </c>
      <c r="AC4363" s="16" t="str">
        <f>IFERROR(__xludf.DUMMYFUNCTION("""COMPUTED_VALUE"""),"")</f>
        <v/>
      </c>
    </row>
    <row r="4364">
      <c r="A4364" s="16" t="s">
        <v>87</v>
      </c>
      <c r="E4364" s="16" t="str">
        <f>IFERROR(__xludf.DUMMYFUNCTION("""COMPUTED_VALUE"""),"")</f>
        <v/>
      </c>
      <c r="G4364" s="18"/>
      <c r="H4364" s="16" t="s">
        <v>87</v>
      </c>
      <c r="I4364" s="16" t="s">
        <v>87</v>
      </c>
      <c r="J4364" s="19"/>
      <c r="L4364" s="16" t="str">
        <f>IFERROR(__xludf.DUMMYFUNCTION("""COMPUTED_VALUE"""),"")</f>
        <v/>
      </c>
      <c r="M4364" s="16" t="str">
        <f>IFERROR(__xludf.DUMMYFUNCTION("""COMPUTED_VALUE"""),"")</f>
        <v/>
      </c>
      <c r="U4364" s="16" t="s">
        <v>87</v>
      </c>
      <c r="V4364" s="16" t="str">
        <f>IFERROR(__xludf.DUMMYFUNCTION("""COMPUTED_VALUE"""),"")</f>
        <v/>
      </c>
      <c r="W4364" s="16" t="str">
        <f>IFERROR(__xludf.DUMMYFUNCTION("""COMPUTED_VALUE"""),"")</f>
        <v/>
      </c>
      <c r="X4364" s="16" t="str">
        <f>IFERROR(__xludf.DUMMYFUNCTION("""COMPUTED_VALUE"""),"")</f>
        <v/>
      </c>
      <c r="AC4364" s="16" t="str">
        <f>IFERROR(__xludf.DUMMYFUNCTION("""COMPUTED_VALUE"""),"")</f>
        <v/>
      </c>
    </row>
    <row r="4365">
      <c r="A4365" s="16" t="s">
        <v>87</v>
      </c>
      <c r="E4365" s="16" t="str">
        <f>IFERROR(__xludf.DUMMYFUNCTION("""COMPUTED_VALUE"""),"")</f>
        <v/>
      </c>
      <c r="G4365" s="18"/>
      <c r="H4365" s="16" t="s">
        <v>87</v>
      </c>
      <c r="I4365" s="16" t="s">
        <v>87</v>
      </c>
      <c r="J4365" s="19"/>
      <c r="L4365" s="16" t="str">
        <f>IFERROR(__xludf.DUMMYFUNCTION("""COMPUTED_VALUE"""),"")</f>
        <v/>
      </c>
      <c r="M4365" s="16" t="str">
        <f>IFERROR(__xludf.DUMMYFUNCTION("""COMPUTED_VALUE"""),"")</f>
        <v/>
      </c>
      <c r="U4365" s="16" t="s">
        <v>87</v>
      </c>
      <c r="V4365" s="16" t="str">
        <f>IFERROR(__xludf.DUMMYFUNCTION("""COMPUTED_VALUE"""),"")</f>
        <v/>
      </c>
      <c r="W4365" s="16" t="str">
        <f>IFERROR(__xludf.DUMMYFUNCTION("""COMPUTED_VALUE"""),"")</f>
        <v/>
      </c>
      <c r="X4365" s="16" t="str">
        <f>IFERROR(__xludf.DUMMYFUNCTION("""COMPUTED_VALUE"""),"")</f>
        <v/>
      </c>
      <c r="AC4365" s="16" t="str">
        <f>IFERROR(__xludf.DUMMYFUNCTION("""COMPUTED_VALUE"""),"")</f>
        <v/>
      </c>
    </row>
    <row r="4366">
      <c r="A4366" s="16" t="s">
        <v>87</v>
      </c>
      <c r="E4366" s="16" t="str">
        <f>IFERROR(__xludf.DUMMYFUNCTION("""COMPUTED_VALUE"""),"")</f>
        <v/>
      </c>
      <c r="G4366" s="18"/>
      <c r="H4366" s="16" t="s">
        <v>87</v>
      </c>
      <c r="I4366" s="16" t="s">
        <v>87</v>
      </c>
      <c r="J4366" s="19"/>
      <c r="L4366" s="16" t="str">
        <f>IFERROR(__xludf.DUMMYFUNCTION("""COMPUTED_VALUE"""),"")</f>
        <v/>
      </c>
      <c r="M4366" s="16" t="str">
        <f>IFERROR(__xludf.DUMMYFUNCTION("""COMPUTED_VALUE"""),"")</f>
        <v/>
      </c>
      <c r="U4366" s="16" t="s">
        <v>87</v>
      </c>
      <c r="V4366" s="16" t="str">
        <f>IFERROR(__xludf.DUMMYFUNCTION("""COMPUTED_VALUE"""),"")</f>
        <v/>
      </c>
      <c r="W4366" s="16" t="str">
        <f>IFERROR(__xludf.DUMMYFUNCTION("""COMPUTED_VALUE"""),"")</f>
        <v/>
      </c>
      <c r="X4366" s="16" t="str">
        <f>IFERROR(__xludf.DUMMYFUNCTION("""COMPUTED_VALUE"""),"")</f>
        <v/>
      </c>
      <c r="AC4366" s="16" t="str">
        <f>IFERROR(__xludf.DUMMYFUNCTION("""COMPUTED_VALUE"""),"")</f>
        <v/>
      </c>
    </row>
    <row r="4367">
      <c r="A4367" s="16" t="s">
        <v>87</v>
      </c>
      <c r="E4367" s="16" t="str">
        <f>IFERROR(__xludf.DUMMYFUNCTION("""COMPUTED_VALUE"""),"")</f>
        <v/>
      </c>
      <c r="G4367" s="18"/>
      <c r="H4367" s="16" t="s">
        <v>87</v>
      </c>
      <c r="I4367" s="16" t="s">
        <v>87</v>
      </c>
      <c r="J4367" s="19"/>
      <c r="L4367" s="16" t="str">
        <f>IFERROR(__xludf.DUMMYFUNCTION("""COMPUTED_VALUE"""),"")</f>
        <v/>
      </c>
      <c r="M4367" s="16" t="str">
        <f>IFERROR(__xludf.DUMMYFUNCTION("""COMPUTED_VALUE"""),"")</f>
        <v/>
      </c>
      <c r="U4367" s="16" t="s">
        <v>87</v>
      </c>
      <c r="V4367" s="16" t="str">
        <f>IFERROR(__xludf.DUMMYFUNCTION("""COMPUTED_VALUE"""),"")</f>
        <v/>
      </c>
      <c r="W4367" s="16" t="str">
        <f>IFERROR(__xludf.DUMMYFUNCTION("""COMPUTED_VALUE"""),"")</f>
        <v/>
      </c>
      <c r="X4367" s="16" t="str">
        <f>IFERROR(__xludf.DUMMYFUNCTION("""COMPUTED_VALUE"""),"")</f>
        <v/>
      </c>
      <c r="AC4367" s="16" t="str">
        <f>IFERROR(__xludf.DUMMYFUNCTION("""COMPUTED_VALUE"""),"")</f>
        <v/>
      </c>
    </row>
    <row r="4368">
      <c r="A4368" s="16" t="s">
        <v>87</v>
      </c>
      <c r="E4368" s="16" t="str">
        <f>IFERROR(__xludf.DUMMYFUNCTION("""COMPUTED_VALUE"""),"")</f>
        <v/>
      </c>
      <c r="G4368" s="18"/>
      <c r="H4368" s="16" t="s">
        <v>87</v>
      </c>
      <c r="I4368" s="16" t="s">
        <v>87</v>
      </c>
      <c r="J4368" s="19"/>
      <c r="L4368" s="16" t="str">
        <f>IFERROR(__xludf.DUMMYFUNCTION("""COMPUTED_VALUE"""),"")</f>
        <v/>
      </c>
      <c r="M4368" s="16" t="str">
        <f>IFERROR(__xludf.DUMMYFUNCTION("""COMPUTED_VALUE"""),"")</f>
        <v/>
      </c>
      <c r="U4368" s="16" t="s">
        <v>87</v>
      </c>
      <c r="V4368" s="16" t="str">
        <f>IFERROR(__xludf.DUMMYFUNCTION("""COMPUTED_VALUE"""),"")</f>
        <v/>
      </c>
      <c r="W4368" s="16" t="str">
        <f>IFERROR(__xludf.DUMMYFUNCTION("""COMPUTED_VALUE"""),"")</f>
        <v/>
      </c>
      <c r="X4368" s="16" t="str">
        <f>IFERROR(__xludf.DUMMYFUNCTION("""COMPUTED_VALUE"""),"")</f>
        <v/>
      </c>
      <c r="AC4368" s="16" t="str">
        <f>IFERROR(__xludf.DUMMYFUNCTION("""COMPUTED_VALUE"""),"")</f>
        <v/>
      </c>
    </row>
    <row r="4369">
      <c r="A4369" s="16" t="s">
        <v>87</v>
      </c>
      <c r="E4369" s="16" t="str">
        <f>IFERROR(__xludf.DUMMYFUNCTION("""COMPUTED_VALUE"""),"")</f>
        <v/>
      </c>
      <c r="G4369" s="18"/>
      <c r="H4369" s="16" t="s">
        <v>87</v>
      </c>
      <c r="I4369" s="16" t="s">
        <v>87</v>
      </c>
      <c r="J4369" s="19"/>
      <c r="L4369" s="16" t="str">
        <f>IFERROR(__xludf.DUMMYFUNCTION("""COMPUTED_VALUE"""),"")</f>
        <v/>
      </c>
      <c r="M4369" s="16" t="str">
        <f>IFERROR(__xludf.DUMMYFUNCTION("""COMPUTED_VALUE"""),"")</f>
        <v/>
      </c>
      <c r="U4369" s="16" t="s">
        <v>87</v>
      </c>
      <c r="V4369" s="16" t="str">
        <f>IFERROR(__xludf.DUMMYFUNCTION("""COMPUTED_VALUE"""),"")</f>
        <v/>
      </c>
      <c r="W4369" s="16" t="str">
        <f>IFERROR(__xludf.DUMMYFUNCTION("""COMPUTED_VALUE"""),"")</f>
        <v/>
      </c>
      <c r="X4369" s="16" t="str">
        <f>IFERROR(__xludf.DUMMYFUNCTION("""COMPUTED_VALUE"""),"")</f>
        <v/>
      </c>
      <c r="AC4369" s="16" t="str">
        <f>IFERROR(__xludf.DUMMYFUNCTION("""COMPUTED_VALUE"""),"")</f>
        <v/>
      </c>
    </row>
    <row r="4370">
      <c r="A4370" s="16" t="s">
        <v>87</v>
      </c>
      <c r="E4370" s="16" t="str">
        <f>IFERROR(__xludf.DUMMYFUNCTION("""COMPUTED_VALUE"""),"")</f>
        <v/>
      </c>
      <c r="G4370" s="18"/>
      <c r="H4370" s="16" t="s">
        <v>87</v>
      </c>
      <c r="I4370" s="16" t="s">
        <v>87</v>
      </c>
      <c r="J4370" s="19"/>
      <c r="L4370" s="16" t="str">
        <f>IFERROR(__xludf.DUMMYFUNCTION("""COMPUTED_VALUE"""),"")</f>
        <v/>
      </c>
      <c r="M4370" s="16" t="str">
        <f>IFERROR(__xludf.DUMMYFUNCTION("""COMPUTED_VALUE"""),"")</f>
        <v/>
      </c>
      <c r="U4370" s="16" t="s">
        <v>87</v>
      </c>
      <c r="V4370" s="16" t="str">
        <f>IFERROR(__xludf.DUMMYFUNCTION("""COMPUTED_VALUE"""),"")</f>
        <v/>
      </c>
      <c r="W4370" s="16" t="str">
        <f>IFERROR(__xludf.DUMMYFUNCTION("""COMPUTED_VALUE"""),"")</f>
        <v/>
      </c>
      <c r="X4370" s="16" t="str">
        <f>IFERROR(__xludf.DUMMYFUNCTION("""COMPUTED_VALUE"""),"")</f>
        <v/>
      </c>
      <c r="AC4370" s="16" t="str">
        <f>IFERROR(__xludf.DUMMYFUNCTION("""COMPUTED_VALUE"""),"")</f>
        <v/>
      </c>
    </row>
    <row r="4371">
      <c r="A4371" s="16" t="s">
        <v>87</v>
      </c>
      <c r="E4371" s="16" t="str">
        <f>IFERROR(__xludf.DUMMYFUNCTION("""COMPUTED_VALUE"""),"")</f>
        <v/>
      </c>
      <c r="G4371" s="18"/>
      <c r="H4371" s="16" t="s">
        <v>87</v>
      </c>
      <c r="I4371" s="16" t="s">
        <v>87</v>
      </c>
      <c r="J4371" s="19"/>
      <c r="L4371" s="16" t="str">
        <f>IFERROR(__xludf.DUMMYFUNCTION("""COMPUTED_VALUE"""),"")</f>
        <v/>
      </c>
      <c r="M4371" s="16" t="str">
        <f>IFERROR(__xludf.DUMMYFUNCTION("""COMPUTED_VALUE"""),"")</f>
        <v/>
      </c>
      <c r="U4371" s="16" t="s">
        <v>87</v>
      </c>
      <c r="V4371" s="16" t="str">
        <f>IFERROR(__xludf.DUMMYFUNCTION("""COMPUTED_VALUE"""),"")</f>
        <v/>
      </c>
      <c r="W4371" s="16" t="str">
        <f>IFERROR(__xludf.DUMMYFUNCTION("""COMPUTED_VALUE"""),"")</f>
        <v/>
      </c>
      <c r="X4371" s="16" t="str">
        <f>IFERROR(__xludf.DUMMYFUNCTION("""COMPUTED_VALUE"""),"")</f>
        <v/>
      </c>
      <c r="AC4371" s="16" t="str">
        <f>IFERROR(__xludf.DUMMYFUNCTION("""COMPUTED_VALUE"""),"")</f>
        <v/>
      </c>
    </row>
    <row r="4372">
      <c r="A4372" s="16" t="s">
        <v>87</v>
      </c>
      <c r="E4372" s="16" t="str">
        <f>IFERROR(__xludf.DUMMYFUNCTION("""COMPUTED_VALUE"""),"")</f>
        <v/>
      </c>
      <c r="G4372" s="18"/>
      <c r="H4372" s="16" t="s">
        <v>87</v>
      </c>
      <c r="I4372" s="16" t="s">
        <v>87</v>
      </c>
      <c r="J4372" s="19"/>
      <c r="L4372" s="16" t="str">
        <f>IFERROR(__xludf.DUMMYFUNCTION("""COMPUTED_VALUE"""),"")</f>
        <v/>
      </c>
      <c r="M4372" s="16" t="str">
        <f>IFERROR(__xludf.DUMMYFUNCTION("""COMPUTED_VALUE"""),"")</f>
        <v/>
      </c>
      <c r="U4372" s="16" t="s">
        <v>87</v>
      </c>
      <c r="V4372" s="16" t="str">
        <f>IFERROR(__xludf.DUMMYFUNCTION("""COMPUTED_VALUE"""),"")</f>
        <v/>
      </c>
      <c r="W4372" s="16" t="str">
        <f>IFERROR(__xludf.DUMMYFUNCTION("""COMPUTED_VALUE"""),"")</f>
        <v/>
      </c>
      <c r="X4372" s="16" t="str">
        <f>IFERROR(__xludf.DUMMYFUNCTION("""COMPUTED_VALUE"""),"")</f>
        <v/>
      </c>
      <c r="AC4372" s="16" t="str">
        <f>IFERROR(__xludf.DUMMYFUNCTION("""COMPUTED_VALUE"""),"")</f>
        <v/>
      </c>
    </row>
    <row r="4373">
      <c r="A4373" s="16" t="s">
        <v>87</v>
      </c>
      <c r="E4373" s="16" t="str">
        <f>IFERROR(__xludf.DUMMYFUNCTION("""COMPUTED_VALUE"""),"")</f>
        <v/>
      </c>
      <c r="G4373" s="18"/>
      <c r="H4373" s="16" t="s">
        <v>87</v>
      </c>
      <c r="I4373" s="16" t="s">
        <v>87</v>
      </c>
      <c r="J4373" s="19"/>
      <c r="L4373" s="16" t="str">
        <f>IFERROR(__xludf.DUMMYFUNCTION("""COMPUTED_VALUE"""),"")</f>
        <v/>
      </c>
      <c r="M4373" s="16" t="str">
        <f>IFERROR(__xludf.DUMMYFUNCTION("""COMPUTED_VALUE"""),"")</f>
        <v/>
      </c>
      <c r="U4373" s="16" t="s">
        <v>87</v>
      </c>
      <c r="V4373" s="16" t="str">
        <f>IFERROR(__xludf.DUMMYFUNCTION("""COMPUTED_VALUE"""),"")</f>
        <v/>
      </c>
      <c r="W4373" s="16" t="str">
        <f>IFERROR(__xludf.DUMMYFUNCTION("""COMPUTED_VALUE"""),"")</f>
        <v/>
      </c>
      <c r="X4373" s="16" t="str">
        <f>IFERROR(__xludf.DUMMYFUNCTION("""COMPUTED_VALUE"""),"")</f>
        <v/>
      </c>
      <c r="AC4373" s="16" t="str">
        <f>IFERROR(__xludf.DUMMYFUNCTION("""COMPUTED_VALUE"""),"")</f>
        <v/>
      </c>
    </row>
    <row r="4374">
      <c r="A4374" s="16" t="s">
        <v>87</v>
      </c>
      <c r="E4374" s="16" t="str">
        <f>IFERROR(__xludf.DUMMYFUNCTION("""COMPUTED_VALUE"""),"")</f>
        <v/>
      </c>
      <c r="G4374" s="18"/>
      <c r="H4374" s="16" t="s">
        <v>87</v>
      </c>
      <c r="I4374" s="16" t="s">
        <v>87</v>
      </c>
      <c r="J4374" s="19"/>
      <c r="L4374" s="16" t="str">
        <f>IFERROR(__xludf.DUMMYFUNCTION("""COMPUTED_VALUE"""),"")</f>
        <v/>
      </c>
      <c r="M4374" s="16" t="str">
        <f>IFERROR(__xludf.DUMMYFUNCTION("""COMPUTED_VALUE"""),"")</f>
        <v/>
      </c>
      <c r="U4374" s="16" t="s">
        <v>87</v>
      </c>
      <c r="V4374" s="16" t="str">
        <f>IFERROR(__xludf.DUMMYFUNCTION("""COMPUTED_VALUE"""),"")</f>
        <v/>
      </c>
      <c r="W4374" s="16" t="str">
        <f>IFERROR(__xludf.DUMMYFUNCTION("""COMPUTED_VALUE"""),"")</f>
        <v/>
      </c>
      <c r="X4374" s="16" t="str">
        <f>IFERROR(__xludf.DUMMYFUNCTION("""COMPUTED_VALUE"""),"")</f>
        <v/>
      </c>
      <c r="AC4374" s="16" t="str">
        <f>IFERROR(__xludf.DUMMYFUNCTION("""COMPUTED_VALUE"""),"")</f>
        <v/>
      </c>
    </row>
    <row r="4375">
      <c r="A4375" s="16" t="s">
        <v>87</v>
      </c>
      <c r="E4375" s="16" t="str">
        <f>IFERROR(__xludf.DUMMYFUNCTION("""COMPUTED_VALUE"""),"")</f>
        <v/>
      </c>
      <c r="G4375" s="18"/>
      <c r="H4375" s="16" t="s">
        <v>87</v>
      </c>
      <c r="I4375" s="16" t="s">
        <v>87</v>
      </c>
      <c r="J4375" s="19"/>
      <c r="L4375" s="16" t="str">
        <f>IFERROR(__xludf.DUMMYFUNCTION("""COMPUTED_VALUE"""),"")</f>
        <v/>
      </c>
      <c r="M4375" s="16" t="str">
        <f>IFERROR(__xludf.DUMMYFUNCTION("""COMPUTED_VALUE"""),"")</f>
        <v/>
      </c>
      <c r="U4375" s="16" t="s">
        <v>87</v>
      </c>
      <c r="V4375" s="16" t="str">
        <f>IFERROR(__xludf.DUMMYFUNCTION("""COMPUTED_VALUE"""),"")</f>
        <v/>
      </c>
      <c r="W4375" s="16" t="str">
        <f>IFERROR(__xludf.DUMMYFUNCTION("""COMPUTED_VALUE"""),"")</f>
        <v/>
      </c>
      <c r="X4375" s="16" t="str">
        <f>IFERROR(__xludf.DUMMYFUNCTION("""COMPUTED_VALUE"""),"")</f>
        <v/>
      </c>
      <c r="AC4375" s="16" t="str">
        <f>IFERROR(__xludf.DUMMYFUNCTION("""COMPUTED_VALUE"""),"")</f>
        <v/>
      </c>
    </row>
    <row r="4376">
      <c r="A4376" s="16" t="s">
        <v>87</v>
      </c>
      <c r="E4376" s="16" t="str">
        <f>IFERROR(__xludf.DUMMYFUNCTION("""COMPUTED_VALUE"""),"")</f>
        <v/>
      </c>
      <c r="G4376" s="18"/>
      <c r="H4376" s="16" t="s">
        <v>87</v>
      </c>
      <c r="I4376" s="16" t="s">
        <v>87</v>
      </c>
      <c r="J4376" s="19"/>
      <c r="L4376" s="16" t="str">
        <f>IFERROR(__xludf.DUMMYFUNCTION("""COMPUTED_VALUE"""),"")</f>
        <v/>
      </c>
      <c r="M4376" s="16" t="str">
        <f>IFERROR(__xludf.DUMMYFUNCTION("""COMPUTED_VALUE"""),"")</f>
        <v/>
      </c>
      <c r="U4376" s="16" t="s">
        <v>87</v>
      </c>
      <c r="V4376" s="16" t="str">
        <f>IFERROR(__xludf.DUMMYFUNCTION("""COMPUTED_VALUE"""),"")</f>
        <v/>
      </c>
      <c r="W4376" s="16" t="str">
        <f>IFERROR(__xludf.DUMMYFUNCTION("""COMPUTED_VALUE"""),"")</f>
        <v/>
      </c>
      <c r="X4376" s="16" t="str">
        <f>IFERROR(__xludf.DUMMYFUNCTION("""COMPUTED_VALUE"""),"")</f>
        <v/>
      </c>
      <c r="AC4376" s="16" t="str">
        <f>IFERROR(__xludf.DUMMYFUNCTION("""COMPUTED_VALUE"""),"")</f>
        <v/>
      </c>
    </row>
    <row r="4377">
      <c r="A4377" s="16" t="s">
        <v>87</v>
      </c>
      <c r="E4377" s="16" t="str">
        <f>IFERROR(__xludf.DUMMYFUNCTION("""COMPUTED_VALUE"""),"")</f>
        <v/>
      </c>
      <c r="G4377" s="18"/>
      <c r="H4377" s="16" t="s">
        <v>87</v>
      </c>
      <c r="I4377" s="16" t="s">
        <v>87</v>
      </c>
      <c r="J4377" s="19"/>
      <c r="L4377" s="16" t="str">
        <f>IFERROR(__xludf.DUMMYFUNCTION("""COMPUTED_VALUE"""),"")</f>
        <v/>
      </c>
      <c r="M4377" s="16" t="str">
        <f>IFERROR(__xludf.DUMMYFUNCTION("""COMPUTED_VALUE"""),"")</f>
        <v/>
      </c>
      <c r="U4377" s="16" t="s">
        <v>87</v>
      </c>
      <c r="V4377" s="16" t="str">
        <f>IFERROR(__xludf.DUMMYFUNCTION("""COMPUTED_VALUE"""),"")</f>
        <v/>
      </c>
      <c r="W4377" s="16" t="str">
        <f>IFERROR(__xludf.DUMMYFUNCTION("""COMPUTED_VALUE"""),"")</f>
        <v/>
      </c>
      <c r="X4377" s="16" t="str">
        <f>IFERROR(__xludf.DUMMYFUNCTION("""COMPUTED_VALUE"""),"")</f>
        <v/>
      </c>
      <c r="AC4377" s="16" t="str">
        <f>IFERROR(__xludf.DUMMYFUNCTION("""COMPUTED_VALUE"""),"")</f>
        <v/>
      </c>
    </row>
    <row r="4378">
      <c r="A4378" s="16" t="s">
        <v>87</v>
      </c>
      <c r="E4378" s="16" t="str">
        <f>IFERROR(__xludf.DUMMYFUNCTION("""COMPUTED_VALUE"""),"")</f>
        <v/>
      </c>
      <c r="G4378" s="18"/>
      <c r="H4378" s="16" t="s">
        <v>87</v>
      </c>
      <c r="I4378" s="16" t="s">
        <v>87</v>
      </c>
      <c r="J4378" s="19"/>
      <c r="L4378" s="16" t="str">
        <f>IFERROR(__xludf.DUMMYFUNCTION("""COMPUTED_VALUE"""),"")</f>
        <v/>
      </c>
      <c r="M4378" s="16" t="str">
        <f>IFERROR(__xludf.DUMMYFUNCTION("""COMPUTED_VALUE"""),"")</f>
        <v/>
      </c>
      <c r="U4378" s="16" t="s">
        <v>87</v>
      </c>
      <c r="V4378" s="16" t="str">
        <f>IFERROR(__xludf.DUMMYFUNCTION("""COMPUTED_VALUE"""),"")</f>
        <v/>
      </c>
      <c r="W4378" s="16" t="str">
        <f>IFERROR(__xludf.DUMMYFUNCTION("""COMPUTED_VALUE"""),"")</f>
        <v/>
      </c>
      <c r="X4378" s="16" t="str">
        <f>IFERROR(__xludf.DUMMYFUNCTION("""COMPUTED_VALUE"""),"")</f>
        <v/>
      </c>
      <c r="AC4378" s="16" t="str">
        <f>IFERROR(__xludf.DUMMYFUNCTION("""COMPUTED_VALUE"""),"")</f>
        <v/>
      </c>
    </row>
    <row r="4379">
      <c r="A4379" s="16" t="s">
        <v>87</v>
      </c>
      <c r="E4379" s="16" t="str">
        <f>IFERROR(__xludf.DUMMYFUNCTION("""COMPUTED_VALUE"""),"")</f>
        <v/>
      </c>
      <c r="G4379" s="18"/>
      <c r="H4379" s="16" t="s">
        <v>87</v>
      </c>
      <c r="I4379" s="16" t="s">
        <v>87</v>
      </c>
      <c r="J4379" s="19"/>
      <c r="L4379" s="16" t="str">
        <f>IFERROR(__xludf.DUMMYFUNCTION("""COMPUTED_VALUE"""),"")</f>
        <v/>
      </c>
      <c r="M4379" s="16" t="str">
        <f>IFERROR(__xludf.DUMMYFUNCTION("""COMPUTED_VALUE"""),"")</f>
        <v/>
      </c>
      <c r="U4379" s="16" t="s">
        <v>87</v>
      </c>
      <c r="V4379" s="16" t="str">
        <f>IFERROR(__xludf.DUMMYFUNCTION("""COMPUTED_VALUE"""),"")</f>
        <v/>
      </c>
      <c r="W4379" s="16" t="str">
        <f>IFERROR(__xludf.DUMMYFUNCTION("""COMPUTED_VALUE"""),"")</f>
        <v/>
      </c>
      <c r="X4379" s="16" t="str">
        <f>IFERROR(__xludf.DUMMYFUNCTION("""COMPUTED_VALUE"""),"")</f>
        <v/>
      </c>
      <c r="AC4379" s="16" t="str">
        <f>IFERROR(__xludf.DUMMYFUNCTION("""COMPUTED_VALUE"""),"")</f>
        <v/>
      </c>
    </row>
    <row r="4380">
      <c r="A4380" s="16" t="s">
        <v>87</v>
      </c>
      <c r="E4380" s="16" t="str">
        <f>IFERROR(__xludf.DUMMYFUNCTION("""COMPUTED_VALUE"""),"")</f>
        <v/>
      </c>
      <c r="G4380" s="18"/>
      <c r="H4380" s="16" t="s">
        <v>87</v>
      </c>
      <c r="I4380" s="16" t="s">
        <v>87</v>
      </c>
      <c r="J4380" s="19"/>
      <c r="L4380" s="16" t="str">
        <f>IFERROR(__xludf.DUMMYFUNCTION("""COMPUTED_VALUE"""),"")</f>
        <v/>
      </c>
      <c r="M4380" s="16" t="str">
        <f>IFERROR(__xludf.DUMMYFUNCTION("""COMPUTED_VALUE"""),"")</f>
        <v/>
      </c>
      <c r="U4380" s="16" t="s">
        <v>87</v>
      </c>
      <c r="V4380" s="16" t="str">
        <f>IFERROR(__xludf.DUMMYFUNCTION("""COMPUTED_VALUE"""),"")</f>
        <v/>
      </c>
      <c r="W4380" s="16" t="str">
        <f>IFERROR(__xludf.DUMMYFUNCTION("""COMPUTED_VALUE"""),"")</f>
        <v/>
      </c>
      <c r="X4380" s="16" t="str">
        <f>IFERROR(__xludf.DUMMYFUNCTION("""COMPUTED_VALUE"""),"")</f>
        <v/>
      </c>
      <c r="AC4380" s="16" t="str">
        <f>IFERROR(__xludf.DUMMYFUNCTION("""COMPUTED_VALUE"""),"")</f>
        <v/>
      </c>
    </row>
    <row r="4381">
      <c r="A4381" s="16" t="s">
        <v>87</v>
      </c>
      <c r="E4381" s="16" t="str">
        <f>IFERROR(__xludf.DUMMYFUNCTION("""COMPUTED_VALUE"""),"")</f>
        <v/>
      </c>
      <c r="G4381" s="18"/>
      <c r="H4381" s="16" t="s">
        <v>87</v>
      </c>
      <c r="I4381" s="16" t="s">
        <v>87</v>
      </c>
      <c r="J4381" s="19"/>
      <c r="L4381" s="16" t="str">
        <f>IFERROR(__xludf.DUMMYFUNCTION("""COMPUTED_VALUE"""),"")</f>
        <v/>
      </c>
      <c r="M4381" s="16" t="str">
        <f>IFERROR(__xludf.DUMMYFUNCTION("""COMPUTED_VALUE"""),"")</f>
        <v/>
      </c>
      <c r="U4381" s="16" t="s">
        <v>87</v>
      </c>
      <c r="V4381" s="16" t="str">
        <f>IFERROR(__xludf.DUMMYFUNCTION("""COMPUTED_VALUE"""),"")</f>
        <v/>
      </c>
      <c r="W4381" s="16" t="str">
        <f>IFERROR(__xludf.DUMMYFUNCTION("""COMPUTED_VALUE"""),"")</f>
        <v/>
      </c>
      <c r="X4381" s="16" t="str">
        <f>IFERROR(__xludf.DUMMYFUNCTION("""COMPUTED_VALUE"""),"")</f>
        <v/>
      </c>
      <c r="AC4381" s="16" t="str">
        <f>IFERROR(__xludf.DUMMYFUNCTION("""COMPUTED_VALUE"""),"")</f>
        <v/>
      </c>
    </row>
    <row r="4382">
      <c r="A4382" s="16" t="s">
        <v>87</v>
      </c>
      <c r="E4382" s="16" t="str">
        <f>IFERROR(__xludf.DUMMYFUNCTION("""COMPUTED_VALUE"""),"")</f>
        <v/>
      </c>
      <c r="G4382" s="18"/>
      <c r="H4382" s="16" t="s">
        <v>87</v>
      </c>
      <c r="I4382" s="16" t="s">
        <v>87</v>
      </c>
      <c r="J4382" s="19"/>
      <c r="L4382" s="16" t="str">
        <f>IFERROR(__xludf.DUMMYFUNCTION("""COMPUTED_VALUE"""),"")</f>
        <v/>
      </c>
      <c r="M4382" s="16" t="str">
        <f>IFERROR(__xludf.DUMMYFUNCTION("""COMPUTED_VALUE"""),"")</f>
        <v/>
      </c>
      <c r="U4382" s="16" t="s">
        <v>87</v>
      </c>
      <c r="V4382" s="16" t="str">
        <f>IFERROR(__xludf.DUMMYFUNCTION("""COMPUTED_VALUE"""),"")</f>
        <v/>
      </c>
      <c r="W4382" s="16" t="str">
        <f>IFERROR(__xludf.DUMMYFUNCTION("""COMPUTED_VALUE"""),"")</f>
        <v/>
      </c>
      <c r="X4382" s="16" t="str">
        <f>IFERROR(__xludf.DUMMYFUNCTION("""COMPUTED_VALUE"""),"")</f>
        <v/>
      </c>
      <c r="AC4382" s="16" t="str">
        <f>IFERROR(__xludf.DUMMYFUNCTION("""COMPUTED_VALUE"""),"")</f>
        <v/>
      </c>
    </row>
    <row r="4383">
      <c r="A4383" s="16" t="s">
        <v>87</v>
      </c>
      <c r="E4383" s="16" t="str">
        <f>IFERROR(__xludf.DUMMYFUNCTION("""COMPUTED_VALUE"""),"")</f>
        <v/>
      </c>
      <c r="G4383" s="18"/>
      <c r="H4383" s="16" t="s">
        <v>87</v>
      </c>
      <c r="I4383" s="16" t="s">
        <v>87</v>
      </c>
      <c r="J4383" s="19"/>
      <c r="L4383" s="16" t="str">
        <f>IFERROR(__xludf.DUMMYFUNCTION("""COMPUTED_VALUE"""),"")</f>
        <v/>
      </c>
      <c r="M4383" s="16" t="str">
        <f>IFERROR(__xludf.DUMMYFUNCTION("""COMPUTED_VALUE"""),"")</f>
        <v/>
      </c>
      <c r="U4383" s="16" t="s">
        <v>87</v>
      </c>
      <c r="V4383" s="16" t="str">
        <f>IFERROR(__xludf.DUMMYFUNCTION("""COMPUTED_VALUE"""),"")</f>
        <v/>
      </c>
      <c r="W4383" s="16" t="str">
        <f>IFERROR(__xludf.DUMMYFUNCTION("""COMPUTED_VALUE"""),"")</f>
        <v/>
      </c>
      <c r="X4383" s="16" t="str">
        <f>IFERROR(__xludf.DUMMYFUNCTION("""COMPUTED_VALUE"""),"")</f>
        <v/>
      </c>
      <c r="AC4383" s="16" t="str">
        <f>IFERROR(__xludf.DUMMYFUNCTION("""COMPUTED_VALUE"""),"")</f>
        <v/>
      </c>
    </row>
    <row r="4384">
      <c r="A4384" s="16" t="s">
        <v>87</v>
      </c>
      <c r="E4384" s="16" t="str">
        <f>IFERROR(__xludf.DUMMYFUNCTION("""COMPUTED_VALUE"""),"")</f>
        <v/>
      </c>
      <c r="G4384" s="18"/>
      <c r="H4384" s="16" t="s">
        <v>87</v>
      </c>
      <c r="I4384" s="16" t="s">
        <v>87</v>
      </c>
      <c r="J4384" s="19"/>
      <c r="L4384" s="16" t="str">
        <f>IFERROR(__xludf.DUMMYFUNCTION("""COMPUTED_VALUE"""),"")</f>
        <v/>
      </c>
      <c r="M4384" s="16" t="str">
        <f>IFERROR(__xludf.DUMMYFUNCTION("""COMPUTED_VALUE"""),"")</f>
        <v/>
      </c>
      <c r="U4384" s="16" t="s">
        <v>87</v>
      </c>
      <c r="V4384" s="16" t="str">
        <f>IFERROR(__xludf.DUMMYFUNCTION("""COMPUTED_VALUE"""),"")</f>
        <v/>
      </c>
      <c r="W4384" s="16" t="str">
        <f>IFERROR(__xludf.DUMMYFUNCTION("""COMPUTED_VALUE"""),"")</f>
        <v/>
      </c>
      <c r="X4384" s="16" t="str">
        <f>IFERROR(__xludf.DUMMYFUNCTION("""COMPUTED_VALUE"""),"")</f>
        <v/>
      </c>
      <c r="AC4384" s="16" t="str">
        <f>IFERROR(__xludf.DUMMYFUNCTION("""COMPUTED_VALUE"""),"")</f>
        <v/>
      </c>
    </row>
    <row r="4385">
      <c r="A4385" s="16" t="s">
        <v>87</v>
      </c>
      <c r="E4385" s="16" t="str">
        <f>IFERROR(__xludf.DUMMYFUNCTION("""COMPUTED_VALUE"""),"")</f>
        <v/>
      </c>
      <c r="G4385" s="18"/>
      <c r="H4385" s="16" t="s">
        <v>87</v>
      </c>
      <c r="I4385" s="16" t="s">
        <v>87</v>
      </c>
      <c r="J4385" s="19"/>
      <c r="L4385" s="16" t="str">
        <f>IFERROR(__xludf.DUMMYFUNCTION("""COMPUTED_VALUE"""),"")</f>
        <v/>
      </c>
      <c r="M4385" s="16" t="str">
        <f>IFERROR(__xludf.DUMMYFUNCTION("""COMPUTED_VALUE"""),"")</f>
        <v/>
      </c>
      <c r="U4385" s="16" t="s">
        <v>87</v>
      </c>
      <c r="V4385" s="16" t="str">
        <f>IFERROR(__xludf.DUMMYFUNCTION("""COMPUTED_VALUE"""),"")</f>
        <v/>
      </c>
      <c r="W4385" s="16" t="str">
        <f>IFERROR(__xludf.DUMMYFUNCTION("""COMPUTED_VALUE"""),"")</f>
        <v/>
      </c>
      <c r="X4385" s="16" t="str">
        <f>IFERROR(__xludf.DUMMYFUNCTION("""COMPUTED_VALUE"""),"")</f>
        <v/>
      </c>
      <c r="AC4385" s="16" t="str">
        <f>IFERROR(__xludf.DUMMYFUNCTION("""COMPUTED_VALUE"""),"")</f>
        <v/>
      </c>
    </row>
    <row r="4386">
      <c r="A4386" s="16" t="s">
        <v>87</v>
      </c>
      <c r="E4386" s="16" t="str">
        <f>IFERROR(__xludf.DUMMYFUNCTION("""COMPUTED_VALUE"""),"")</f>
        <v/>
      </c>
      <c r="G4386" s="18"/>
      <c r="H4386" s="16" t="s">
        <v>87</v>
      </c>
      <c r="I4386" s="16" t="s">
        <v>87</v>
      </c>
      <c r="J4386" s="19"/>
      <c r="L4386" s="16" t="str">
        <f>IFERROR(__xludf.DUMMYFUNCTION("""COMPUTED_VALUE"""),"")</f>
        <v/>
      </c>
      <c r="M4386" s="16" t="str">
        <f>IFERROR(__xludf.DUMMYFUNCTION("""COMPUTED_VALUE"""),"")</f>
        <v/>
      </c>
      <c r="U4386" s="16" t="s">
        <v>87</v>
      </c>
      <c r="V4386" s="16" t="str">
        <f>IFERROR(__xludf.DUMMYFUNCTION("""COMPUTED_VALUE"""),"")</f>
        <v/>
      </c>
      <c r="W4386" s="16" t="str">
        <f>IFERROR(__xludf.DUMMYFUNCTION("""COMPUTED_VALUE"""),"")</f>
        <v/>
      </c>
      <c r="X4386" s="16" t="str">
        <f>IFERROR(__xludf.DUMMYFUNCTION("""COMPUTED_VALUE"""),"")</f>
        <v/>
      </c>
      <c r="AC4386" s="16" t="str">
        <f>IFERROR(__xludf.DUMMYFUNCTION("""COMPUTED_VALUE"""),"")</f>
        <v/>
      </c>
    </row>
    <row r="4387">
      <c r="A4387" s="16" t="s">
        <v>87</v>
      </c>
      <c r="E4387" s="16" t="str">
        <f>IFERROR(__xludf.DUMMYFUNCTION("""COMPUTED_VALUE"""),"")</f>
        <v/>
      </c>
      <c r="G4387" s="18"/>
      <c r="H4387" s="16" t="s">
        <v>87</v>
      </c>
      <c r="I4387" s="16" t="s">
        <v>87</v>
      </c>
      <c r="J4387" s="19"/>
      <c r="L4387" s="16" t="str">
        <f>IFERROR(__xludf.DUMMYFUNCTION("""COMPUTED_VALUE"""),"")</f>
        <v/>
      </c>
      <c r="M4387" s="16" t="str">
        <f>IFERROR(__xludf.DUMMYFUNCTION("""COMPUTED_VALUE"""),"")</f>
        <v/>
      </c>
      <c r="U4387" s="16" t="s">
        <v>87</v>
      </c>
      <c r="V4387" s="16" t="str">
        <f>IFERROR(__xludf.DUMMYFUNCTION("""COMPUTED_VALUE"""),"")</f>
        <v/>
      </c>
      <c r="W4387" s="16" t="str">
        <f>IFERROR(__xludf.DUMMYFUNCTION("""COMPUTED_VALUE"""),"")</f>
        <v/>
      </c>
      <c r="X4387" s="16" t="str">
        <f>IFERROR(__xludf.DUMMYFUNCTION("""COMPUTED_VALUE"""),"")</f>
        <v/>
      </c>
      <c r="AC4387" s="16" t="str">
        <f>IFERROR(__xludf.DUMMYFUNCTION("""COMPUTED_VALUE"""),"")</f>
        <v/>
      </c>
    </row>
    <row r="4388">
      <c r="A4388" s="16" t="s">
        <v>87</v>
      </c>
      <c r="E4388" s="16" t="str">
        <f>IFERROR(__xludf.DUMMYFUNCTION("""COMPUTED_VALUE"""),"")</f>
        <v/>
      </c>
      <c r="G4388" s="18"/>
      <c r="H4388" s="16" t="s">
        <v>87</v>
      </c>
      <c r="I4388" s="16" t="s">
        <v>87</v>
      </c>
      <c r="J4388" s="19"/>
      <c r="L4388" s="16" t="str">
        <f>IFERROR(__xludf.DUMMYFUNCTION("""COMPUTED_VALUE"""),"")</f>
        <v/>
      </c>
      <c r="M4388" s="16" t="str">
        <f>IFERROR(__xludf.DUMMYFUNCTION("""COMPUTED_VALUE"""),"")</f>
        <v/>
      </c>
      <c r="U4388" s="16" t="s">
        <v>87</v>
      </c>
      <c r="V4388" s="16" t="str">
        <f>IFERROR(__xludf.DUMMYFUNCTION("""COMPUTED_VALUE"""),"")</f>
        <v/>
      </c>
      <c r="W4388" s="16" t="str">
        <f>IFERROR(__xludf.DUMMYFUNCTION("""COMPUTED_VALUE"""),"")</f>
        <v/>
      </c>
      <c r="X4388" s="16" t="str">
        <f>IFERROR(__xludf.DUMMYFUNCTION("""COMPUTED_VALUE"""),"")</f>
        <v/>
      </c>
      <c r="AC4388" s="16" t="str">
        <f>IFERROR(__xludf.DUMMYFUNCTION("""COMPUTED_VALUE"""),"")</f>
        <v/>
      </c>
    </row>
    <row r="4389">
      <c r="A4389" s="16" t="s">
        <v>87</v>
      </c>
      <c r="E4389" s="16" t="str">
        <f>IFERROR(__xludf.DUMMYFUNCTION("""COMPUTED_VALUE"""),"")</f>
        <v/>
      </c>
      <c r="G4389" s="18"/>
      <c r="H4389" s="16" t="s">
        <v>87</v>
      </c>
      <c r="I4389" s="16" t="s">
        <v>87</v>
      </c>
      <c r="J4389" s="19"/>
      <c r="L4389" s="16" t="str">
        <f>IFERROR(__xludf.DUMMYFUNCTION("""COMPUTED_VALUE"""),"")</f>
        <v/>
      </c>
      <c r="M4389" s="16" t="str">
        <f>IFERROR(__xludf.DUMMYFUNCTION("""COMPUTED_VALUE"""),"")</f>
        <v/>
      </c>
      <c r="U4389" s="16" t="s">
        <v>87</v>
      </c>
      <c r="V4389" s="16" t="str">
        <f>IFERROR(__xludf.DUMMYFUNCTION("""COMPUTED_VALUE"""),"")</f>
        <v/>
      </c>
      <c r="W4389" s="16" t="str">
        <f>IFERROR(__xludf.DUMMYFUNCTION("""COMPUTED_VALUE"""),"")</f>
        <v/>
      </c>
      <c r="X4389" s="16" t="str">
        <f>IFERROR(__xludf.DUMMYFUNCTION("""COMPUTED_VALUE"""),"")</f>
        <v/>
      </c>
      <c r="AC4389" s="16" t="str">
        <f>IFERROR(__xludf.DUMMYFUNCTION("""COMPUTED_VALUE"""),"")</f>
        <v/>
      </c>
    </row>
    <row r="4390">
      <c r="A4390" s="16" t="s">
        <v>87</v>
      </c>
      <c r="E4390" s="16" t="str">
        <f>IFERROR(__xludf.DUMMYFUNCTION("""COMPUTED_VALUE"""),"")</f>
        <v/>
      </c>
      <c r="G4390" s="18"/>
      <c r="H4390" s="16" t="s">
        <v>87</v>
      </c>
      <c r="I4390" s="16" t="s">
        <v>87</v>
      </c>
      <c r="J4390" s="19"/>
      <c r="L4390" s="16" t="str">
        <f>IFERROR(__xludf.DUMMYFUNCTION("""COMPUTED_VALUE"""),"")</f>
        <v/>
      </c>
      <c r="M4390" s="16" t="str">
        <f>IFERROR(__xludf.DUMMYFUNCTION("""COMPUTED_VALUE"""),"")</f>
        <v/>
      </c>
      <c r="U4390" s="16" t="s">
        <v>87</v>
      </c>
      <c r="V4390" s="16" t="str">
        <f>IFERROR(__xludf.DUMMYFUNCTION("""COMPUTED_VALUE"""),"")</f>
        <v/>
      </c>
      <c r="W4390" s="16" t="str">
        <f>IFERROR(__xludf.DUMMYFUNCTION("""COMPUTED_VALUE"""),"")</f>
        <v/>
      </c>
      <c r="X4390" s="16" t="str">
        <f>IFERROR(__xludf.DUMMYFUNCTION("""COMPUTED_VALUE"""),"")</f>
        <v/>
      </c>
      <c r="AC4390" s="16" t="str">
        <f>IFERROR(__xludf.DUMMYFUNCTION("""COMPUTED_VALUE"""),"")</f>
        <v/>
      </c>
    </row>
    <row r="4391">
      <c r="A4391" s="16" t="s">
        <v>87</v>
      </c>
      <c r="E4391" s="16" t="str">
        <f>IFERROR(__xludf.DUMMYFUNCTION("""COMPUTED_VALUE"""),"")</f>
        <v/>
      </c>
      <c r="G4391" s="18"/>
      <c r="H4391" s="16" t="s">
        <v>87</v>
      </c>
      <c r="I4391" s="16" t="s">
        <v>87</v>
      </c>
      <c r="J4391" s="19"/>
      <c r="L4391" s="16" t="str">
        <f>IFERROR(__xludf.DUMMYFUNCTION("""COMPUTED_VALUE"""),"")</f>
        <v/>
      </c>
      <c r="M4391" s="16" t="str">
        <f>IFERROR(__xludf.DUMMYFUNCTION("""COMPUTED_VALUE"""),"")</f>
        <v/>
      </c>
      <c r="U4391" s="16" t="s">
        <v>87</v>
      </c>
      <c r="V4391" s="16" t="str">
        <f>IFERROR(__xludf.DUMMYFUNCTION("""COMPUTED_VALUE"""),"")</f>
        <v/>
      </c>
      <c r="W4391" s="16" t="str">
        <f>IFERROR(__xludf.DUMMYFUNCTION("""COMPUTED_VALUE"""),"")</f>
        <v/>
      </c>
      <c r="X4391" s="16" t="str">
        <f>IFERROR(__xludf.DUMMYFUNCTION("""COMPUTED_VALUE"""),"")</f>
        <v/>
      </c>
      <c r="AC4391" s="16" t="str">
        <f>IFERROR(__xludf.DUMMYFUNCTION("""COMPUTED_VALUE"""),"")</f>
        <v/>
      </c>
    </row>
    <row r="4392">
      <c r="A4392" s="16" t="s">
        <v>87</v>
      </c>
      <c r="E4392" s="16" t="str">
        <f>IFERROR(__xludf.DUMMYFUNCTION("""COMPUTED_VALUE"""),"")</f>
        <v/>
      </c>
      <c r="G4392" s="18"/>
      <c r="H4392" s="16" t="s">
        <v>87</v>
      </c>
      <c r="I4392" s="16" t="s">
        <v>87</v>
      </c>
      <c r="J4392" s="19"/>
      <c r="L4392" s="16" t="str">
        <f>IFERROR(__xludf.DUMMYFUNCTION("""COMPUTED_VALUE"""),"")</f>
        <v/>
      </c>
      <c r="M4392" s="16" t="str">
        <f>IFERROR(__xludf.DUMMYFUNCTION("""COMPUTED_VALUE"""),"")</f>
        <v/>
      </c>
      <c r="U4392" s="16" t="s">
        <v>87</v>
      </c>
      <c r="V4392" s="16" t="str">
        <f>IFERROR(__xludf.DUMMYFUNCTION("""COMPUTED_VALUE"""),"")</f>
        <v/>
      </c>
      <c r="W4392" s="16" t="str">
        <f>IFERROR(__xludf.DUMMYFUNCTION("""COMPUTED_VALUE"""),"")</f>
        <v/>
      </c>
      <c r="X4392" s="16" t="str">
        <f>IFERROR(__xludf.DUMMYFUNCTION("""COMPUTED_VALUE"""),"")</f>
        <v/>
      </c>
      <c r="AC4392" s="16" t="str">
        <f>IFERROR(__xludf.DUMMYFUNCTION("""COMPUTED_VALUE"""),"")</f>
        <v/>
      </c>
    </row>
    <row r="4393">
      <c r="A4393" s="16" t="s">
        <v>87</v>
      </c>
      <c r="E4393" s="16" t="str">
        <f>IFERROR(__xludf.DUMMYFUNCTION("""COMPUTED_VALUE"""),"")</f>
        <v/>
      </c>
      <c r="G4393" s="18"/>
      <c r="H4393" s="16" t="s">
        <v>87</v>
      </c>
      <c r="I4393" s="16" t="s">
        <v>87</v>
      </c>
      <c r="J4393" s="19"/>
      <c r="L4393" s="16" t="str">
        <f>IFERROR(__xludf.DUMMYFUNCTION("""COMPUTED_VALUE"""),"")</f>
        <v/>
      </c>
      <c r="M4393" s="16" t="str">
        <f>IFERROR(__xludf.DUMMYFUNCTION("""COMPUTED_VALUE"""),"")</f>
        <v/>
      </c>
      <c r="U4393" s="16" t="s">
        <v>87</v>
      </c>
      <c r="V4393" s="16" t="str">
        <f>IFERROR(__xludf.DUMMYFUNCTION("""COMPUTED_VALUE"""),"")</f>
        <v/>
      </c>
      <c r="W4393" s="16" t="str">
        <f>IFERROR(__xludf.DUMMYFUNCTION("""COMPUTED_VALUE"""),"")</f>
        <v/>
      </c>
      <c r="X4393" s="16" t="str">
        <f>IFERROR(__xludf.DUMMYFUNCTION("""COMPUTED_VALUE"""),"")</f>
        <v/>
      </c>
      <c r="AC4393" s="16" t="str">
        <f>IFERROR(__xludf.DUMMYFUNCTION("""COMPUTED_VALUE"""),"")</f>
        <v/>
      </c>
    </row>
    <row r="4394">
      <c r="A4394" s="16" t="s">
        <v>87</v>
      </c>
      <c r="E4394" s="16" t="str">
        <f>IFERROR(__xludf.DUMMYFUNCTION("""COMPUTED_VALUE"""),"")</f>
        <v/>
      </c>
      <c r="G4394" s="18"/>
      <c r="H4394" s="16" t="s">
        <v>87</v>
      </c>
      <c r="I4394" s="16" t="s">
        <v>87</v>
      </c>
      <c r="J4394" s="19"/>
      <c r="L4394" s="16" t="str">
        <f>IFERROR(__xludf.DUMMYFUNCTION("""COMPUTED_VALUE"""),"")</f>
        <v/>
      </c>
      <c r="M4394" s="16" t="str">
        <f>IFERROR(__xludf.DUMMYFUNCTION("""COMPUTED_VALUE"""),"")</f>
        <v/>
      </c>
      <c r="U4394" s="16" t="s">
        <v>87</v>
      </c>
      <c r="V4394" s="16" t="str">
        <f>IFERROR(__xludf.DUMMYFUNCTION("""COMPUTED_VALUE"""),"")</f>
        <v/>
      </c>
      <c r="W4394" s="16" t="str">
        <f>IFERROR(__xludf.DUMMYFUNCTION("""COMPUTED_VALUE"""),"")</f>
        <v/>
      </c>
      <c r="X4394" s="16" t="str">
        <f>IFERROR(__xludf.DUMMYFUNCTION("""COMPUTED_VALUE"""),"")</f>
        <v/>
      </c>
      <c r="AC4394" s="16" t="str">
        <f>IFERROR(__xludf.DUMMYFUNCTION("""COMPUTED_VALUE"""),"")</f>
        <v/>
      </c>
    </row>
    <row r="4395">
      <c r="A4395" s="16" t="s">
        <v>87</v>
      </c>
      <c r="E4395" s="16" t="str">
        <f>IFERROR(__xludf.DUMMYFUNCTION("""COMPUTED_VALUE"""),"")</f>
        <v/>
      </c>
      <c r="G4395" s="18"/>
      <c r="H4395" s="16" t="s">
        <v>87</v>
      </c>
      <c r="I4395" s="16" t="s">
        <v>87</v>
      </c>
      <c r="J4395" s="19"/>
      <c r="L4395" s="16" t="str">
        <f>IFERROR(__xludf.DUMMYFUNCTION("""COMPUTED_VALUE"""),"")</f>
        <v/>
      </c>
      <c r="M4395" s="16" t="str">
        <f>IFERROR(__xludf.DUMMYFUNCTION("""COMPUTED_VALUE"""),"")</f>
        <v/>
      </c>
      <c r="U4395" s="16" t="s">
        <v>87</v>
      </c>
      <c r="V4395" s="16" t="str">
        <f>IFERROR(__xludf.DUMMYFUNCTION("""COMPUTED_VALUE"""),"")</f>
        <v/>
      </c>
      <c r="W4395" s="16" t="str">
        <f>IFERROR(__xludf.DUMMYFUNCTION("""COMPUTED_VALUE"""),"")</f>
        <v/>
      </c>
      <c r="X4395" s="16" t="str">
        <f>IFERROR(__xludf.DUMMYFUNCTION("""COMPUTED_VALUE"""),"")</f>
        <v/>
      </c>
      <c r="AC4395" s="16" t="str">
        <f>IFERROR(__xludf.DUMMYFUNCTION("""COMPUTED_VALUE"""),"")</f>
        <v/>
      </c>
    </row>
    <row r="4396">
      <c r="A4396" s="16" t="s">
        <v>87</v>
      </c>
      <c r="E4396" s="16" t="str">
        <f>IFERROR(__xludf.DUMMYFUNCTION("""COMPUTED_VALUE"""),"")</f>
        <v/>
      </c>
      <c r="G4396" s="18"/>
      <c r="H4396" s="16" t="s">
        <v>87</v>
      </c>
      <c r="I4396" s="16" t="s">
        <v>87</v>
      </c>
      <c r="J4396" s="19"/>
      <c r="L4396" s="16" t="str">
        <f>IFERROR(__xludf.DUMMYFUNCTION("""COMPUTED_VALUE"""),"")</f>
        <v/>
      </c>
      <c r="M4396" s="16" t="str">
        <f>IFERROR(__xludf.DUMMYFUNCTION("""COMPUTED_VALUE"""),"")</f>
        <v/>
      </c>
      <c r="U4396" s="16" t="s">
        <v>87</v>
      </c>
      <c r="V4396" s="16" t="str">
        <f>IFERROR(__xludf.DUMMYFUNCTION("""COMPUTED_VALUE"""),"")</f>
        <v/>
      </c>
      <c r="W4396" s="16" t="str">
        <f>IFERROR(__xludf.DUMMYFUNCTION("""COMPUTED_VALUE"""),"")</f>
        <v/>
      </c>
      <c r="X4396" s="16" t="str">
        <f>IFERROR(__xludf.DUMMYFUNCTION("""COMPUTED_VALUE"""),"")</f>
        <v/>
      </c>
      <c r="AC4396" s="16" t="str">
        <f>IFERROR(__xludf.DUMMYFUNCTION("""COMPUTED_VALUE"""),"")</f>
        <v/>
      </c>
    </row>
    <row r="4397">
      <c r="A4397" s="16" t="s">
        <v>87</v>
      </c>
      <c r="E4397" s="16" t="str">
        <f>IFERROR(__xludf.DUMMYFUNCTION("""COMPUTED_VALUE"""),"")</f>
        <v/>
      </c>
      <c r="G4397" s="18"/>
      <c r="H4397" s="16" t="s">
        <v>87</v>
      </c>
      <c r="I4397" s="16" t="s">
        <v>87</v>
      </c>
      <c r="J4397" s="19"/>
      <c r="L4397" s="16" t="str">
        <f>IFERROR(__xludf.DUMMYFUNCTION("""COMPUTED_VALUE"""),"")</f>
        <v/>
      </c>
      <c r="M4397" s="16" t="str">
        <f>IFERROR(__xludf.DUMMYFUNCTION("""COMPUTED_VALUE"""),"")</f>
        <v/>
      </c>
      <c r="U4397" s="16" t="s">
        <v>87</v>
      </c>
      <c r="V4397" s="16" t="str">
        <f>IFERROR(__xludf.DUMMYFUNCTION("""COMPUTED_VALUE"""),"")</f>
        <v/>
      </c>
      <c r="W4397" s="16" t="str">
        <f>IFERROR(__xludf.DUMMYFUNCTION("""COMPUTED_VALUE"""),"")</f>
        <v/>
      </c>
      <c r="X4397" s="16" t="str">
        <f>IFERROR(__xludf.DUMMYFUNCTION("""COMPUTED_VALUE"""),"")</f>
        <v/>
      </c>
      <c r="AC4397" s="16" t="str">
        <f>IFERROR(__xludf.DUMMYFUNCTION("""COMPUTED_VALUE"""),"")</f>
        <v/>
      </c>
    </row>
    <row r="4398">
      <c r="A4398" s="16" t="s">
        <v>87</v>
      </c>
      <c r="E4398" s="16" t="str">
        <f>IFERROR(__xludf.DUMMYFUNCTION("""COMPUTED_VALUE"""),"")</f>
        <v/>
      </c>
      <c r="G4398" s="18"/>
      <c r="H4398" s="16" t="s">
        <v>87</v>
      </c>
      <c r="I4398" s="16" t="s">
        <v>87</v>
      </c>
      <c r="J4398" s="19"/>
      <c r="L4398" s="16" t="str">
        <f>IFERROR(__xludf.DUMMYFUNCTION("""COMPUTED_VALUE"""),"")</f>
        <v/>
      </c>
      <c r="M4398" s="16" t="str">
        <f>IFERROR(__xludf.DUMMYFUNCTION("""COMPUTED_VALUE"""),"")</f>
        <v/>
      </c>
      <c r="U4398" s="16" t="s">
        <v>87</v>
      </c>
      <c r="V4398" s="16" t="str">
        <f>IFERROR(__xludf.DUMMYFUNCTION("""COMPUTED_VALUE"""),"")</f>
        <v/>
      </c>
      <c r="W4398" s="16" t="str">
        <f>IFERROR(__xludf.DUMMYFUNCTION("""COMPUTED_VALUE"""),"")</f>
        <v/>
      </c>
      <c r="X4398" s="16" t="str">
        <f>IFERROR(__xludf.DUMMYFUNCTION("""COMPUTED_VALUE"""),"")</f>
        <v/>
      </c>
      <c r="AC4398" s="16" t="str">
        <f>IFERROR(__xludf.DUMMYFUNCTION("""COMPUTED_VALUE"""),"")</f>
        <v/>
      </c>
    </row>
    <row r="4399">
      <c r="A4399" s="16" t="s">
        <v>87</v>
      </c>
      <c r="E4399" s="16" t="str">
        <f>IFERROR(__xludf.DUMMYFUNCTION("""COMPUTED_VALUE"""),"")</f>
        <v/>
      </c>
      <c r="G4399" s="18"/>
      <c r="H4399" s="16" t="s">
        <v>87</v>
      </c>
      <c r="I4399" s="16" t="s">
        <v>87</v>
      </c>
      <c r="J4399" s="19"/>
      <c r="L4399" s="16" t="str">
        <f>IFERROR(__xludf.DUMMYFUNCTION("""COMPUTED_VALUE"""),"")</f>
        <v/>
      </c>
      <c r="M4399" s="16" t="str">
        <f>IFERROR(__xludf.DUMMYFUNCTION("""COMPUTED_VALUE"""),"")</f>
        <v/>
      </c>
      <c r="U4399" s="16" t="s">
        <v>87</v>
      </c>
      <c r="V4399" s="16" t="str">
        <f>IFERROR(__xludf.DUMMYFUNCTION("""COMPUTED_VALUE"""),"")</f>
        <v/>
      </c>
      <c r="W4399" s="16" t="str">
        <f>IFERROR(__xludf.DUMMYFUNCTION("""COMPUTED_VALUE"""),"")</f>
        <v/>
      </c>
      <c r="X4399" s="16" t="str">
        <f>IFERROR(__xludf.DUMMYFUNCTION("""COMPUTED_VALUE"""),"")</f>
        <v/>
      </c>
      <c r="AC4399" s="16" t="str">
        <f>IFERROR(__xludf.DUMMYFUNCTION("""COMPUTED_VALUE"""),"")</f>
        <v/>
      </c>
    </row>
    <row r="4400">
      <c r="A4400" s="16" t="s">
        <v>87</v>
      </c>
      <c r="E4400" s="16" t="str">
        <f>IFERROR(__xludf.DUMMYFUNCTION("""COMPUTED_VALUE"""),"")</f>
        <v/>
      </c>
      <c r="G4400" s="18"/>
      <c r="H4400" s="16" t="s">
        <v>87</v>
      </c>
      <c r="I4400" s="16" t="s">
        <v>87</v>
      </c>
      <c r="J4400" s="19"/>
      <c r="L4400" s="16" t="str">
        <f>IFERROR(__xludf.DUMMYFUNCTION("""COMPUTED_VALUE"""),"")</f>
        <v/>
      </c>
      <c r="M4400" s="16" t="str">
        <f>IFERROR(__xludf.DUMMYFUNCTION("""COMPUTED_VALUE"""),"")</f>
        <v/>
      </c>
      <c r="U4400" s="16" t="s">
        <v>87</v>
      </c>
      <c r="V4400" s="16" t="str">
        <f>IFERROR(__xludf.DUMMYFUNCTION("""COMPUTED_VALUE"""),"")</f>
        <v/>
      </c>
      <c r="W4400" s="16" t="str">
        <f>IFERROR(__xludf.DUMMYFUNCTION("""COMPUTED_VALUE"""),"")</f>
        <v/>
      </c>
      <c r="X4400" s="16" t="str">
        <f>IFERROR(__xludf.DUMMYFUNCTION("""COMPUTED_VALUE"""),"")</f>
        <v/>
      </c>
      <c r="AC4400" s="16" t="str">
        <f>IFERROR(__xludf.DUMMYFUNCTION("""COMPUTED_VALUE"""),"")</f>
        <v/>
      </c>
    </row>
    <row r="4401">
      <c r="A4401" s="16" t="s">
        <v>87</v>
      </c>
      <c r="E4401" s="16" t="str">
        <f>IFERROR(__xludf.DUMMYFUNCTION("""COMPUTED_VALUE"""),"")</f>
        <v/>
      </c>
      <c r="G4401" s="18"/>
      <c r="H4401" s="16" t="s">
        <v>87</v>
      </c>
      <c r="I4401" s="16" t="s">
        <v>87</v>
      </c>
      <c r="J4401" s="19"/>
      <c r="L4401" s="16" t="str">
        <f>IFERROR(__xludf.DUMMYFUNCTION("""COMPUTED_VALUE"""),"")</f>
        <v/>
      </c>
      <c r="M4401" s="16" t="str">
        <f>IFERROR(__xludf.DUMMYFUNCTION("""COMPUTED_VALUE"""),"")</f>
        <v/>
      </c>
      <c r="U4401" s="16" t="s">
        <v>87</v>
      </c>
      <c r="V4401" s="16" t="str">
        <f>IFERROR(__xludf.DUMMYFUNCTION("""COMPUTED_VALUE"""),"")</f>
        <v/>
      </c>
      <c r="W4401" s="16" t="str">
        <f>IFERROR(__xludf.DUMMYFUNCTION("""COMPUTED_VALUE"""),"")</f>
        <v/>
      </c>
      <c r="X4401" s="16" t="str">
        <f>IFERROR(__xludf.DUMMYFUNCTION("""COMPUTED_VALUE"""),"")</f>
        <v/>
      </c>
      <c r="AC4401" s="16" t="str">
        <f>IFERROR(__xludf.DUMMYFUNCTION("""COMPUTED_VALUE"""),"")</f>
        <v/>
      </c>
    </row>
    <row r="4402">
      <c r="A4402" s="16" t="s">
        <v>87</v>
      </c>
      <c r="E4402" s="16" t="str">
        <f>IFERROR(__xludf.DUMMYFUNCTION("""COMPUTED_VALUE"""),"")</f>
        <v/>
      </c>
      <c r="G4402" s="18"/>
      <c r="H4402" s="16" t="s">
        <v>87</v>
      </c>
      <c r="I4402" s="16" t="s">
        <v>87</v>
      </c>
      <c r="J4402" s="19"/>
      <c r="L4402" s="16" t="str">
        <f>IFERROR(__xludf.DUMMYFUNCTION("""COMPUTED_VALUE"""),"")</f>
        <v/>
      </c>
      <c r="M4402" s="16" t="str">
        <f>IFERROR(__xludf.DUMMYFUNCTION("""COMPUTED_VALUE"""),"")</f>
        <v/>
      </c>
      <c r="U4402" s="16" t="s">
        <v>87</v>
      </c>
      <c r="V4402" s="16" t="str">
        <f>IFERROR(__xludf.DUMMYFUNCTION("""COMPUTED_VALUE"""),"")</f>
        <v/>
      </c>
      <c r="W4402" s="16" t="str">
        <f>IFERROR(__xludf.DUMMYFUNCTION("""COMPUTED_VALUE"""),"")</f>
        <v/>
      </c>
      <c r="X4402" s="16" t="str">
        <f>IFERROR(__xludf.DUMMYFUNCTION("""COMPUTED_VALUE"""),"")</f>
        <v/>
      </c>
      <c r="AC4402" s="16" t="str">
        <f>IFERROR(__xludf.DUMMYFUNCTION("""COMPUTED_VALUE"""),"")</f>
        <v/>
      </c>
    </row>
    <row r="4403">
      <c r="A4403" s="16" t="s">
        <v>87</v>
      </c>
      <c r="E4403" s="16" t="str">
        <f>IFERROR(__xludf.DUMMYFUNCTION("""COMPUTED_VALUE"""),"")</f>
        <v/>
      </c>
      <c r="G4403" s="18"/>
      <c r="H4403" s="16" t="s">
        <v>87</v>
      </c>
      <c r="I4403" s="16" t="s">
        <v>87</v>
      </c>
      <c r="J4403" s="19"/>
      <c r="L4403" s="16" t="str">
        <f>IFERROR(__xludf.DUMMYFUNCTION("""COMPUTED_VALUE"""),"")</f>
        <v/>
      </c>
      <c r="M4403" s="16" t="str">
        <f>IFERROR(__xludf.DUMMYFUNCTION("""COMPUTED_VALUE"""),"")</f>
        <v/>
      </c>
      <c r="U4403" s="16" t="s">
        <v>87</v>
      </c>
      <c r="V4403" s="16" t="str">
        <f>IFERROR(__xludf.DUMMYFUNCTION("""COMPUTED_VALUE"""),"")</f>
        <v/>
      </c>
      <c r="W4403" s="16" t="str">
        <f>IFERROR(__xludf.DUMMYFUNCTION("""COMPUTED_VALUE"""),"")</f>
        <v/>
      </c>
      <c r="X4403" s="16" t="str">
        <f>IFERROR(__xludf.DUMMYFUNCTION("""COMPUTED_VALUE"""),"")</f>
        <v/>
      </c>
      <c r="AC4403" s="16" t="str">
        <f>IFERROR(__xludf.DUMMYFUNCTION("""COMPUTED_VALUE"""),"")</f>
        <v/>
      </c>
    </row>
    <row r="4404">
      <c r="A4404" s="16" t="s">
        <v>87</v>
      </c>
      <c r="E4404" s="16" t="str">
        <f>IFERROR(__xludf.DUMMYFUNCTION("""COMPUTED_VALUE"""),"")</f>
        <v/>
      </c>
      <c r="G4404" s="18"/>
      <c r="H4404" s="16" t="s">
        <v>87</v>
      </c>
      <c r="I4404" s="16" t="s">
        <v>87</v>
      </c>
      <c r="J4404" s="19"/>
      <c r="L4404" s="16" t="str">
        <f>IFERROR(__xludf.DUMMYFUNCTION("""COMPUTED_VALUE"""),"")</f>
        <v/>
      </c>
      <c r="M4404" s="16" t="str">
        <f>IFERROR(__xludf.DUMMYFUNCTION("""COMPUTED_VALUE"""),"")</f>
        <v/>
      </c>
      <c r="U4404" s="16" t="s">
        <v>87</v>
      </c>
      <c r="V4404" s="16" t="str">
        <f>IFERROR(__xludf.DUMMYFUNCTION("""COMPUTED_VALUE"""),"")</f>
        <v/>
      </c>
      <c r="W4404" s="16" t="str">
        <f>IFERROR(__xludf.DUMMYFUNCTION("""COMPUTED_VALUE"""),"")</f>
        <v/>
      </c>
      <c r="X4404" s="16" t="str">
        <f>IFERROR(__xludf.DUMMYFUNCTION("""COMPUTED_VALUE"""),"")</f>
        <v/>
      </c>
      <c r="AC4404" s="16" t="str">
        <f>IFERROR(__xludf.DUMMYFUNCTION("""COMPUTED_VALUE"""),"")</f>
        <v/>
      </c>
    </row>
    <row r="4405">
      <c r="A4405" s="16" t="s">
        <v>87</v>
      </c>
      <c r="E4405" s="16" t="str">
        <f>IFERROR(__xludf.DUMMYFUNCTION("""COMPUTED_VALUE"""),"")</f>
        <v/>
      </c>
      <c r="G4405" s="18"/>
      <c r="H4405" s="16" t="s">
        <v>87</v>
      </c>
      <c r="I4405" s="16" t="s">
        <v>87</v>
      </c>
      <c r="J4405" s="19"/>
      <c r="L4405" s="16" t="str">
        <f>IFERROR(__xludf.DUMMYFUNCTION("""COMPUTED_VALUE"""),"")</f>
        <v/>
      </c>
      <c r="M4405" s="16" t="str">
        <f>IFERROR(__xludf.DUMMYFUNCTION("""COMPUTED_VALUE"""),"")</f>
        <v/>
      </c>
      <c r="U4405" s="16" t="s">
        <v>87</v>
      </c>
      <c r="V4405" s="16" t="str">
        <f>IFERROR(__xludf.DUMMYFUNCTION("""COMPUTED_VALUE"""),"")</f>
        <v/>
      </c>
      <c r="W4405" s="16" t="str">
        <f>IFERROR(__xludf.DUMMYFUNCTION("""COMPUTED_VALUE"""),"")</f>
        <v/>
      </c>
      <c r="X4405" s="16" t="str">
        <f>IFERROR(__xludf.DUMMYFUNCTION("""COMPUTED_VALUE"""),"")</f>
        <v/>
      </c>
      <c r="AC4405" s="16" t="str">
        <f>IFERROR(__xludf.DUMMYFUNCTION("""COMPUTED_VALUE"""),"")</f>
        <v/>
      </c>
    </row>
    <row r="4406">
      <c r="A4406" s="16" t="s">
        <v>87</v>
      </c>
      <c r="E4406" s="16" t="str">
        <f>IFERROR(__xludf.DUMMYFUNCTION("""COMPUTED_VALUE"""),"")</f>
        <v/>
      </c>
      <c r="G4406" s="18"/>
      <c r="H4406" s="16" t="s">
        <v>87</v>
      </c>
      <c r="I4406" s="16" t="s">
        <v>87</v>
      </c>
      <c r="J4406" s="19"/>
      <c r="L4406" s="16" t="str">
        <f>IFERROR(__xludf.DUMMYFUNCTION("""COMPUTED_VALUE"""),"")</f>
        <v/>
      </c>
      <c r="M4406" s="16" t="str">
        <f>IFERROR(__xludf.DUMMYFUNCTION("""COMPUTED_VALUE"""),"")</f>
        <v/>
      </c>
      <c r="U4406" s="16" t="s">
        <v>87</v>
      </c>
      <c r="V4406" s="16" t="str">
        <f>IFERROR(__xludf.DUMMYFUNCTION("""COMPUTED_VALUE"""),"")</f>
        <v/>
      </c>
      <c r="W4406" s="16" t="str">
        <f>IFERROR(__xludf.DUMMYFUNCTION("""COMPUTED_VALUE"""),"")</f>
        <v/>
      </c>
      <c r="X4406" s="16" t="str">
        <f>IFERROR(__xludf.DUMMYFUNCTION("""COMPUTED_VALUE"""),"")</f>
        <v/>
      </c>
      <c r="AC4406" s="16" t="str">
        <f>IFERROR(__xludf.DUMMYFUNCTION("""COMPUTED_VALUE"""),"")</f>
        <v/>
      </c>
    </row>
    <row r="4407">
      <c r="A4407" s="16" t="s">
        <v>87</v>
      </c>
      <c r="E4407" s="16" t="str">
        <f>IFERROR(__xludf.DUMMYFUNCTION("""COMPUTED_VALUE"""),"")</f>
        <v/>
      </c>
      <c r="G4407" s="18"/>
      <c r="H4407" s="16" t="s">
        <v>87</v>
      </c>
      <c r="I4407" s="16" t="s">
        <v>87</v>
      </c>
      <c r="J4407" s="19"/>
      <c r="L4407" s="16" t="str">
        <f>IFERROR(__xludf.DUMMYFUNCTION("""COMPUTED_VALUE"""),"")</f>
        <v/>
      </c>
      <c r="M4407" s="16" t="str">
        <f>IFERROR(__xludf.DUMMYFUNCTION("""COMPUTED_VALUE"""),"")</f>
        <v/>
      </c>
      <c r="U4407" s="16" t="s">
        <v>87</v>
      </c>
      <c r="V4407" s="16" t="str">
        <f>IFERROR(__xludf.DUMMYFUNCTION("""COMPUTED_VALUE"""),"")</f>
        <v/>
      </c>
      <c r="W4407" s="16" t="str">
        <f>IFERROR(__xludf.DUMMYFUNCTION("""COMPUTED_VALUE"""),"")</f>
        <v/>
      </c>
      <c r="X4407" s="16" t="str">
        <f>IFERROR(__xludf.DUMMYFUNCTION("""COMPUTED_VALUE"""),"")</f>
        <v/>
      </c>
      <c r="AC4407" s="16" t="str">
        <f>IFERROR(__xludf.DUMMYFUNCTION("""COMPUTED_VALUE"""),"")</f>
        <v/>
      </c>
    </row>
    <row r="4408">
      <c r="A4408" s="16" t="s">
        <v>87</v>
      </c>
      <c r="E4408" s="16" t="str">
        <f>IFERROR(__xludf.DUMMYFUNCTION("""COMPUTED_VALUE"""),"")</f>
        <v/>
      </c>
      <c r="G4408" s="18"/>
      <c r="H4408" s="16" t="s">
        <v>87</v>
      </c>
      <c r="I4408" s="16" t="s">
        <v>87</v>
      </c>
      <c r="J4408" s="19"/>
      <c r="L4408" s="16" t="str">
        <f>IFERROR(__xludf.DUMMYFUNCTION("""COMPUTED_VALUE"""),"")</f>
        <v/>
      </c>
      <c r="M4408" s="16" t="str">
        <f>IFERROR(__xludf.DUMMYFUNCTION("""COMPUTED_VALUE"""),"")</f>
        <v/>
      </c>
      <c r="U4408" s="16" t="s">
        <v>87</v>
      </c>
      <c r="V4408" s="16" t="str">
        <f>IFERROR(__xludf.DUMMYFUNCTION("""COMPUTED_VALUE"""),"")</f>
        <v/>
      </c>
      <c r="W4408" s="16" t="str">
        <f>IFERROR(__xludf.DUMMYFUNCTION("""COMPUTED_VALUE"""),"")</f>
        <v/>
      </c>
      <c r="X4408" s="16" t="str">
        <f>IFERROR(__xludf.DUMMYFUNCTION("""COMPUTED_VALUE"""),"")</f>
        <v/>
      </c>
      <c r="AC4408" s="16" t="str">
        <f>IFERROR(__xludf.DUMMYFUNCTION("""COMPUTED_VALUE"""),"")</f>
        <v/>
      </c>
    </row>
    <row r="4409">
      <c r="A4409" s="16" t="s">
        <v>87</v>
      </c>
      <c r="E4409" s="16" t="str">
        <f>IFERROR(__xludf.DUMMYFUNCTION("""COMPUTED_VALUE"""),"")</f>
        <v/>
      </c>
      <c r="G4409" s="18"/>
      <c r="H4409" s="16" t="s">
        <v>87</v>
      </c>
      <c r="I4409" s="16" t="s">
        <v>87</v>
      </c>
      <c r="J4409" s="19"/>
      <c r="L4409" s="16" t="str">
        <f>IFERROR(__xludf.DUMMYFUNCTION("""COMPUTED_VALUE"""),"")</f>
        <v/>
      </c>
      <c r="M4409" s="16" t="str">
        <f>IFERROR(__xludf.DUMMYFUNCTION("""COMPUTED_VALUE"""),"")</f>
        <v/>
      </c>
      <c r="U4409" s="16" t="s">
        <v>87</v>
      </c>
      <c r="V4409" s="16" t="str">
        <f>IFERROR(__xludf.DUMMYFUNCTION("""COMPUTED_VALUE"""),"")</f>
        <v/>
      </c>
      <c r="W4409" s="16" t="str">
        <f>IFERROR(__xludf.DUMMYFUNCTION("""COMPUTED_VALUE"""),"")</f>
        <v/>
      </c>
      <c r="X4409" s="16" t="str">
        <f>IFERROR(__xludf.DUMMYFUNCTION("""COMPUTED_VALUE"""),"")</f>
        <v/>
      </c>
      <c r="AC4409" s="16" t="str">
        <f>IFERROR(__xludf.DUMMYFUNCTION("""COMPUTED_VALUE"""),"")</f>
        <v/>
      </c>
    </row>
    <row r="4410">
      <c r="A4410" s="16" t="s">
        <v>87</v>
      </c>
      <c r="E4410" s="16" t="str">
        <f>IFERROR(__xludf.DUMMYFUNCTION("""COMPUTED_VALUE"""),"")</f>
        <v/>
      </c>
      <c r="G4410" s="18"/>
      <c r="H4410" s="16" t="s">
        <v>87</v>
      </c>
      <c r="I4410" s="16" t="s">
        <v>87</v>
      </c>
      <c r="J4410" s="19"/>
      <c r="L4410" s="16" t="str">
        <f>IFERROR(__xludf.DUMMYFUNCTION("""COMPUTED_VALUE"""),"")</f>
        <v/>
      </c>
      <c r="M4410" s="16" t="str">
        <f>IFERROR(__xludf.DUMMYFUNCTION("""COMPUTED_VALUE"""),"")</f>
        <v/>
      </c>
      <c r="U4410" s="16" t="s">
        <v>87</v>
      </c>
      <c r="V4410" s="16" t="str">
        <f>IFERROR(__xludf.DUMMYFUNCTION("""COMPUTED_VALUE"""),"")</f>
        <v/>
      </c>
      <c r="W4410" s="16" t="str">
        <f>IFERROR(__xludf.DUMMYFUNCTION("""COMPUTED_VALUE"""),"")</f>
        <v/>
      </c>
      <c r="X4410" s="16" t="str">
        <f>IFERROR(__xludf.DUMMYFUNCTION("""COMPUTED_VALUE"""),"")</f>
        <v/>
      </c>
      <c r="AC4410" s="16" t="str">
        <f>IFERROR(__xludf.DUMMYFUNCTION("""COMPUTED_VALUE"""),"")</f>
        <v/>
      </c>
    </row>
    <row r="4411">
      <c r="A4411" s="16" t="s">
        <v>87</v>
      </c>
      <c r="E4411" s="16" t="str">
        <f>IFERROR(__xludf.DUMMYFUNCTION("""COMPUTED_VALUE"""),"")</f>
        <v/>
      </c>
      <c r="G4411" s="18"/>
      <c r="H4411" s="16" t="s">
        <v>87</v>
      </c>
      <c r="I4411" s="16" t="s">
        <v>87</v>
      </c>
      <c r="J4411" s="19"/>
      <c r="L4411" s="16" t="str">
        <f>IFERROR(__xludf.DUMMYFUNCTION("""COMPUTED_VALUE"""),"")</f>
        <v/>
      </c>
      <c r="M4411" s="16" t="str">
        <f>IFERROR(__xludf.DUMMYFUNCTION("""COMPUTED_VALUE"""),"")</f>
        <v/>
      </c>
      <c r="U4411" s="16" t="s">
        <v>87</v>
      </c>
      <c r="V4411" s="16" t="str">
        <f>IFERROR(__xludf.DUMMYFUNCTION("""COMPUTED_VALUE"""),"")</f>
        <v/>
      </c>
      <c r="W4411" s="16" t="str">
        <f>IFERROR(__xludf.DUMMYFUNCTION("""COMPUTED_VALUE"""),"")</f>
        <v/>
      </c>
      <c r="X4411" s="16" t="str">
        <f>IFERROR(__xludf.DUMMYFUNCTION("""COMPUTED_VALUE"""),"")</f>
        <v/>
      </c>
      <c r="AC4411" s="16" t="str">
        <f>IFERROR(__xludf.DUMMYFUNCTION("""COMPUTED_VALUE"""),"")</f>
        <v/>
      </c>
    </row>
    <row r="4412">
      <c r="A4412" s="16" t="s">
        <v>87</v>
      </c>
      <c r="E4412" s="16" t="str">
        <f>IFERROR(__xludf.DUMMYFUNCTION("""COMPUTED_VALUE"""),"")</f>
        <v/>
      </c>
      <c r="G4412" s="18"/>
      <c r="H4412" s="16" t="s">
        <v>87</v>
      </c>
      <c r="I4412" s="16" t="s">
        <v>87</v>
      </c>
      <c r="J4412" s="19"/>
      <c r="L4412" s="16" t="str">
        <f>IFERROR(__xludf.DUMMYFUNCTION("""COMPUTED_VALUE"""),"")</f>
        <v/>
      </c>
      <c r="M4412" s="16" t="str">
        <f>IFERROR(__xludf.DUMMYFUNCTION("""COMPUTED_VALUE"""),"")</f>
        <v/>
      </c>
      <c r="U4412" s="16" t="s">
        <v>87</v>
      </c>
      <c r="V4412" s="16" t="str">
        <f>IFERROR(__xludf.DUMMYFUNCTION("""COMPUTED_VALUE"""),"")</f>
        <v/>
      </c>
      <c r="W4412" s="16" t="str">
        <f>IFERROR(__xludf.DUMMYFUNCTION("""COMPUTED_VALUE"""),"")</f>
        <v/>
      </c>
      <c r="X4412" s="16" t="str">
        <f>IFERROR(__xludf.DUMMYFUNCTION("""COMPUTED_VALUE"""),"")</f>
        <v/>
      </c>
      <c r="AC4412" s="16" t="str">
        <f>IFERROR(__xludf.DUMMYFUNCTION("""COMPUTED_VALUE"""),"")</f>
        <v/>
      </c>
    </row>
    <row r="4413">
      <c r="A4413" s="16" t="s">
        <v>87</v>
      </c>
      <c r="E4413" s="16" t="str">
        <f>IFERROR(__xludf.DUMMYFUNCTION("""COMPUTED_VALUE"""),"")</f>
        <v/>
      </c>
      <c r="G4413" s="18"/>
      <c r="H4413" s="16" t="s">
        <v>87</v>
      </c>
      <c r="I4413" s="16" t="s">
        <v>87</v>
      </c>
      <c r="J4413" s="19"/>
      <c r="L4413" s="16" t="str">
        <f>IFERROR(__xludf.DUMMYFUNCTION("""COMPUTED_VALUE"""),"")</f>
        <v/>
      </c>
      <c r="M4413" s="16" t="str">
        <f>IFERROR(__xludf.DUMMYFUNCTION("""COMPUTED_VALUE"""),"")</f>
        <v/>
      </c>
      <c r="U4413" s="16" t="s">
        <v>87</v>
      </c>
      <c r="V4413" s="16" t="str">
        <f>IFERROR(__xludf.DUMMYFUNCTION("""COMPUTED_VALUE"""),"")</f>
        <v/>
      </c>
      <c r="W4413" s="16" t="str">
        <f>IFERROR(__xludf.DUMMYFUNCTION("""COMPUTED_VALUE"""),"")</f>
        <v/>
      </c>
      <c r="X4413" s="16" t="str">
        <f>IFERROR(__xludf.DUMMYFUNCTION("""COMPUTED_VALUE"""),"")</f>
        <v/>
      </c>
      <c r="AC4413" s="16" t="str">
        <f>IFERROR(__xludf.DUMMYFUNCTION("""COMPUTED_VALUE"""),"")</f>
        <v/>
      </c>
    </row>
    <row r="4414">
      <c r="A4414" s="16" t="s">
        <v>87</v>
      </c>
      <c r="E4414" s="16" t="str">
        <f>IFERROR(__xludf.DUMMYFUNCTION("""COMPUTED_VALUE"""),"")</f>
        <v/>
      </c>
      <c r="G4414" s="18"/>
      <c r="H4414" s="16" t="s">
        <v>87</v>
      </c>
      <c r="I4414" s="16" t="s">
        <v>87</v>
      </c>
      <c r="J4414" s="19"/>
      <c r="L4414" s="16" t="str">
        <f>IFERROR(__xludf.DUMMYFUNCTION("""COMPUTED_VALUE"""),"")</f>
        <v/>
      </c>
      <c r="M4414" s="16" t="str">
        <f>IFERROR(__xludf.DUMMYFUNCTION("""COMPUTED_VALUE"""),"")</f>
        <v/>
      </c>
      <c r="U4414" s="16" t="s">
        <v>87</v>
      </c>
      <c r="V4414" s="16" t="str">
        <f>IFERROR(__xludf.DUMMYFUNCTION("""COMPUTED_VALUE"""),"")</f>
        <v/>
      </c>
      <c r="W4414" s="16" t="str">
        <f>IFERROR(__xludf.DUMMYFUNCTION("""COMPUTED_VALUE"""),"")</f>
        <v/>
      </c>
      <c r="X4414" s="16" t="str">
        <f>IFERROR(__xludf.DUMMYFUNCTION("""COMPUTED_VALUE"""),"")</f>
        <v/>
      </c>
      <c r="AC4414" s="16" t="str">
        <f>IFERROR(__xludf.DUMMYFUNCTION("""COMPUTED_VALUE"""),"")</f>
        <v/>
      </c>
    </row>
    <row r="4415">
      <c r="A4415" s="16" t="s">
        <v>87</v>
      </c>
      <c r="E4415" s="16" t="str">
        <f>IFERROR(__xludf.DUMMYFUNCTION("""COMPUTED_VALUE"""),"")</f>
        <v/>
      </c>
      <c r="G4415" s="18"/>
      <c r="H4415" s="16" t="s">
        <v>87</v>
      </c>
      <c r="I4415" s="16" t="s">
        <v>87</v>
      </c>
      <c r="J4415" s="19"/>
      <c r="L4415" s="16" t="str">
        <f>IFERROR(__xludf.DUMMYFUNCTION("""COMPUTED_VALUE"""),"")</f>
        <v/>
      </c>
      <c r="M4415" s="16" t="str">
        <f>IFERROR(__xludf.DUMMYFUNCTION("""COMPUTED_VALUE"""),"")</f>
        <v/>
      </c>
      <c r="U4415" s="16" t="s">
        <v>87</v>
      </c>
      <c r="V4415" s="16" t="str">
        <f>IFERROR(__xludf.DUMMYFUNCTION("""COMPUTED_VALUE"""),"")</f>
        <v/>
      </c>
      <c r="W4415" s="16" t="str">
        <f>IFERROR(__xludf.DUMMYFUNCTION("""COMPUTED_VALUE"""),"")</f>
        <v/>
      </c>
      <c r="X4415" s="16" t="str">
        <f>IFERROR(__xludf.DUMMYFUNCTION("""COMPUTED_VALUE"""),"")</f>
        <v/>
      </c>
      <c r="AC4415" s="16" t="str">
        <f>IFERROR(__xludf.DUMMYFUNCTION("""COMPUTED_VALUE"""),"")</f>
        <v/>
      </c>
    </row>
    <row r="4416">
      <c r="A4416" s="16" t="s">
        <v>87</v>
      </c>
      <c r="E4416" s="16" t="str">
        <f>IFERROR(__xludf.DUMMYFUNCTION("""COMPUTED_VALUE"""),"")</f>
        <v/>
      </c>
      <c r="G4416" s="18"/>
      <c r="H4416" s="16" t="s">
        <v>87</v>
      </c>
      <c r="I4416" s="16" t="s">
        <v>87</v>
      </c>
      <c r="J4416" s="19"/>
      <c r="L4416" s="16" t="str">
        <f>IFERROR(__xludf.DUMMYFUNCTION("""COMPUTED_VALUE"""),"")</f>
        <v/>
      </c>
      <c r="M4416" s="16" t="str">
        <f>IFERROR(__xludf.DUMMYFUNCTION("""COMPUTED_VALUE"""),"")</f>
        <v/>
      </c>
      <c r="U4416" s="16" t="s">
        <v>87</v>
      </c>
      <c r="V4416" s="16" t="str">
        <f>IFERROR(__xludf.DUMMYFUNCTION("""COMPUTED_VALUE"""),"")</f>
        <v/>
      </c>
      <c r="W4416" s="16" t="str">
        <f>IFERROR(__xludf.DUMMYFUNCTION("""COMPUTED_VALUE"""),"")</f>
        <v/>
      </c>
      <c r="X4416" s="16" t="str">
        <f>IFERROR(__xludf.DUMMYFUNCTION("""COMPUTED_VALUE"""),"")</f>
        <v/>
      </c>
      <c r="AC4416" s="16" t="str">
        <f>IFERROR(__xludf.DUMMYFUNCTION("""COMPUTED_VALUE"""),"")</f>
        <v/>
      </c>
    </row>
    <row r="4417">
      <c r="A4417" s="16" t="s">
        <v>87</v>
      </c>
      <c r="E4417" s="16" t="str">
        <f>IFERROR(__xludf.DUMMYFUNCTION("""COMPUTED_VALUE"""),"")</f>
        <v/>
      </c>
      <c r="G4417" s="18"/>
      <c r="H4417" s="16" t="s">
        <v>87</v>
      </c>
      <c r="I4417" s="16" t="s">
        <v>87</v>
      </c>
      <c r="J4417" s="19"/>
      <c r="L4417" s="16" t="str">
        <f>IFERROR(__xludf.DUMMYFUNCTION("""COMPUTED_VALUE"""),"")</f>
        <v/>
      </c>
      <c r="M4417" s="16" t="str">
        <f>IFERROR(__xludf.DUMMYFUNCTION("""COMPUTED_VALUE"""),"")</f>
        <v/>
      </c>
      <c r="U4417" s="16" t="s">
        <v>87</v>
      </c>
      <c r="V4417" s="16" t="str">
        <f>IFERROR(__xludf.DUMMYFUNCTION("""COMPUTED_VALUE"""),"")</f>
        <v/>
      </c>
      <c r="W4417" s="16" t="str">
        <f>IFERROR(__xludf.DUMMYFUNCTION("""COMPUTED_VALUE"""),"")</f>
        <v/>
      </c>
      <c r="X4417" s="16" t="str">
        <f>IFERROR(__xludf.DUMMYFUNCTION("""COMPUTED_VALUE"""),"")</f>
        <v/>
      </c>
      <c r="AC4417" s="16" t="str">
        <f>IFERROR(__xludf.DUMMYFUNCTION("""COMPUTED_VALUE"""),"")</f>
        <v/>
      </c>
    </row>
    <row r="4418">
      <c r="A4418" s="16" t="s">
        <v>87</v>
      </c>
      <c r="E4418" s="16" t="str">
        <f>IFERROR(__xludf.DUMMYFUNCTION("""COMPUTED_VALUE"""),"")</f>
        <v/>
      </c>
      <c r="G4418" s="18"/>
      <c r="H4418" s="16" t="s">
        <v>87</v>
      </c>
      <c r="I4418" s="16" t="s">
        <v>87</v>
      </c>
      <c r="J4418" s="19"/>
      <c r="L4418" s="16" t="str">
        <f>IFERROR(__xludf.DUMMYFUNCTION("""COMPUTED_VALUE"""),"")</f>
        <v/>
      </c>
      <c r="M4418" s="16" t="str">
        <f>IFERROR(__xludf.DUMMYFUNCTION("""COMPUTED_VALUE"""),"")</f>
        <v/>
      </c>
      <c r="U4418" s="16" t="s">
        <v>87</v>
      </c>
      <c r="V4418" s="16" t="str">
        <f>IFERROR(__xludf.DUMMYFUNCTION("""COMPUTED_VALUE"""),"")</f>
        <v/>
      </c>
      <c r="W4418" s="16" t="str">
        <f>IFERROR(__xludf.DUMMYFUNCTION("""COMPUTED_VALUE"""),"")</f>
        <v/>
      </c>
      <c r="X4418" s="16" t="str">
        <f>IFERROR(__xludf.DUMMYFUNCTION("""COMPUTED_VALUE"""),"")</f>
        <v/>
      </c>
      <c r="AC4418" s="16" t="str">
        <f>IFERROR(__xludf.DUMMYFUNCTION("""COMPUTED_VALUE"""),"")</f>
        <v/>
      </c>
    </row>
    <row r="4419">
      <c r="A4419" s="16" t="s">
        <v>87</v>
      </c>
      <c r="E4419" s="16" t="str">
        <f>IFERROR(__xludf.DUMMYFUNCTION("""COMPUTED_VALUE"""),"")</f>
        <v/>
      </c>
      <c r="G4419" s="18"/>
      <c r="H4419" s="16" t="s">
        <v>87</v>
      </c>
      <c r="I4419" s="16" t="s">
        <v>87</v>
      </c>
      <c r="J4419" s="19"/>
      <c r="L4419" s="16" t="str">
        <f>IFERROR(__xludf.DUMMYFUNCTION("""COMPUTED_VALUE"""),"")</f>
        <v/>
      </c>
      <c r="M4419" s="16" t="str">
        <f>IFERROR(__xludf.DUMMYFUNCTION("""COMPUTED_VALUE"""),"")</f>
        <v/>
      </c>
      <c r="U4419" s="16" t="s">
        <v>87</v>
      </c>
      <c r="V4419" s="16" t="str">
        <f>IFERROR(__xludf.DUMMYFUNCTION("""COMPUTED_VALUE"""),"")</f>
        <v/>
      </c>
      <c r="W4419" s="16" t="str">
        <f>IFERROR(__xludf.DUMMYFUNCTION("""COMPUTED_VALUE"""),"")</f>
        <v/>
      </c>
      <c r="X4419" s="16" t="str">
        <f>IFERROR(__xludf.DUMMYFUNCTION("""COMPUTED_VALUE"""),"")</f>
        <v/>
      </c>
      <c r="AC4419" s="16" t="str">
        <f>IFERROR(__xludf.DUMMYFUNCTION("""COMPUTED_VALUE"""),"")</f>
        <v/>
      </c>
    </row>
    <row r="4420">
      <c r="A4420" s="16" t="s">
        <v>87</v>
      </c>
      <c r="E4420" s="16" t="str">
        <f>IFERROR(__xludf.DUMMYFUNCTION("""COMPUTED_VALUE"""),"")</f>
        <v/>
      </c>
      <c r="G4420" s="18"/>
      <c r="H4420" s="16" t="s">
        <v>87</v>
      </c>
      <c r="I4420" s="16" t="s">
        <v>87</v>
      </c>
      <c r="J4420" s="19"/>
      <c r="L4420" s="16" t="str">
        <f>IFERROR(__xludf.DUMMYFUNCTION("""COMPUTED_VALUE"""),"")</f>
        <v/>
      </c>
      <c r="M4420" s="16" t="str">
        <f>IFERROR(__xludf.DUMMYFUNCTION("""COMPUTED_VALUE"""),"")</f>
        <v/>
      </c>
      <c r="U4420" s="16" t="s">
        <v>87</v>
      </c>
      <c r="V4420" s="16" t="str">
        <f>IFERROR(__xludf.DUMMYFUNCTION("""COMPUTED_VALUE"""),"")</f>
        <v/>
      </c>
      <c r="W4420" s="16" t="str">
        <f>IFERROR(__xludf.DUMMYFUNCTION("""COMPUTED_VALUE"""),"")</f>
        <v/>
      </c>
      <c r="X4420" s="16" t="str">
        <f>IFERROR(__xludf.DUMMYFUNCTION("""COMPUTED_VALUE"""),"")</f>
        <v/>
      </c>
      <c r="AC4420" s="16" t="str">
        <f>IFERROR(__xludf.DUMMYFUNCTION("""COMPUTED_VALUE"""),"")</f>
        <v/>
      </c>
    </row>
    <row r="4421">
      <c r="A4421" s="16" t="s">
        <v>87</v>
      </c>
      <c r="E4421" s="16" t="str">
        <f>IFERROR(__xludf.DUMMYFUNCTION("""COMPUTED_VALUE"""),"")</f>
        <v/>
      </c>
      <c r="G4421" s="18"/>
      <c r="H4421" s="16" t="s">
        <v>87</v>
      </c>
      <c r="I4421" s="16" t="s">
        <v>87</v>
      </c>
      <c r="J4421" s="19"/>
      <c r="L4421" s="16" t="str">
        <f>IFERROR(__xludf.DUMMYFUNCTION("""COMPUTED_VALUE"""),"")</f>
        <v/>
      </c>
      <c r="M4421" s="16" t="str">
        <f>IFERROR(__xludf.DUMMYFUNCTION("""COMPUTED_VALUE"""),"")</f>
        <v/>
      </c>
      <c r="U4421" s="16" t="s">
        <v>87</v>
      </c>
      <c r="V4421" s="16" t="str">
        <f>IFERROR(__xludf.DUMMYFUNCTION("""COMPUTED_VALUE"""),"")</f>
        <v/>
      </c>
      <c r="W4421" s="16" t="str">
        <f>IFERROR(__xludf.DUMMYFUNCTION("""COMPUTED_VALUE"""),"")</f>
        <v/>
      </c>
      <c r="X4421" s="16" t="str">
        <f>IFERROR(__xludf.DUMMYFUNCTION("""COMPUTED_VALUE"""),"")</f>
        <v/>
      </c>
      <c r="AC4421" s="16" t="str">
        <f>IFERROR(__xludf.DUMMYFUNCTION("""COMPUTED_VALUE"""),"")</f>
        <v/>
      </c>
    </row>
    <row r="4422">
      <c r="A4422" s="16" t="s">
        <v>87</v>
      </c>
      <c r="E4422" s="16" t="str">
        <f>IFERROR(__xludf.DUMMYFUNCTION("""COMPUTED_VALUE"""),"")</f>
        <v/>
      </c>
      <c r="G4422" s="18"/>
      <c r="H4422" s="16" t="s">
        <v>87</v>
      </c>
      <c r="I4422" s="16" t="s">
        <v>87</v>
      </c>
      <c r="J4422" s="19"/>
      <c r="L4422" s="16" t="str">
        <f>IFERROR(__xludf.DUMMYFUNCTION("""COMPUTED_VALUE"""),"")</f>
        <v/>
      </c>
      <c r="M4422" s="16" t="str">
        <f>IFERROR(__xludf.DUMMYFUNCTION("""COMPUTED_VALUE"""),"")</f>
        <v/>
      </c>
      <c r="U4422" s="16" t="s">
        <v>87</v>
      </c>
      <c r="V4422" s="16" t="str">
        <f>IFERROR(__xludf.DUMMYFUNCTION("""COMPUTED_VALUE"""),"")</f>
        <v/>
      </c>
      <c r="W4422" s="16" t="str">
        <f>IFERROR(__xludf.DUMMYFUNCTION("""COMPUTED_VALUE"""),"")</f>
        <v/>
      </c>
      <c r="X4422" s="16" t="str">
        <f>IFERROR(__xludf.DUMMYFUNCTION("""COMPUTED_VALUE"""),"")</f>
        <v/>
      </c>
      <c r="AC4422" s="16" t="str">
        <f>IFERROR(__xludf.DUMMYFUNCTION("""COMPUTED_VALUE"""),"")</f>
        <v/>
      </c>
    </row>
    <row r="4423">
      <c r="A4423" s="16" t="s">
        <v>87</v>
      </c>
      <c r="E4423" s="16" t="str">
        <f>IFERROR(__xludf.DUMMYFUNCTION("""COMPUTED_VALUE"""),"")</f>
        <v/>
      </c>
      <c r="G4423" s="18"/>
      <c r="H4423" s="16" t="s">
        <v>87</v>
      </c>
      <c r="I4423" s="16" t="s">
        <v>87</v>
      </c>
      <c r="J4423" s="19"/>
      <c r="L4423" s="16" t="str">
        <f>IFERROR(__xludf.DUMMYFUNCTION("""COMPUTED_VALUE"""),"")</f>
        <v/>
      </c>
      <c r="M4423" s="16" t="str">
        <f>IFERROR(__xludf.DUMMYFUNCTION("""COMPUTED_VALUE"""),"")</f>
        <v/>
      </c>
      <c r="U4423" s="16" t="s">
        <v>87</v>
      </c>
      <c r="V4423" s="16" t="str">
        <f>IFERROR(__xludf.DUMMYFUNCTION("""COMPUTED_VALUE"""),"")</f>
        <v/>
      </c>
      <c r="W4423" s="16" t="str">
        <f>IFERROR(__xludf.DUMMYFUNCTION("""COMPUTED_VALUE"""),"")</f>
        <v/>
      </c>
      <c r="X4423" s="16" t="str">
        <f>IFERROR(__xludf.DUMMYFUNCTION("""COMPUTED_VALUE"""),"")</f>
        <v/>
      </c>
      <c r="AC4423" s="16" t="str">
        <f>IFERROR(__xludf.DUMMYFUNCTION("""COMPUTED_VALUE"""),"")</f>
        <v/>
      </c>
    </row>
    <row r="4424">
      <c r="A4424" s="16" t="s">
        <v>87</v>
      </c>
      <c r="E4424" s="16" t="str">
        <f>IFERROR(__xludf.DUMMYFUNCTION("""COMPUTED_VALUE"""),"")</f>
        <v/>
      </c>
      <c r="G4424" s="18"/>
      <c r="H4424" s="16" t="s">
        <v>87</v>
      </c>
      <c r="I4424" s="16" t="s">
        <v>87</v>
      </c>
      <c r="J4424" s="19"/>
      <c r="L4424" s="16" t="str">
        <f>IFERROR(__xludf.DUMMYFUNCTION("""COMPUTED_VALUE"""),"")</f>
        <v/>
      </c>
      <c r="M4424" s="16" t="str">
        <f>IFERROR(__xludf.DUMMYFUNCTION("""COMPUTED_VALUE"""),"")</f>
        <v/>
      </c>
      <c r="U4424" s="16" t="s">
        <v>87</v>
      </c>
      <c r="V4424" s="16" t="str">
        <f>IFERROR(__xludf.DUMMYFUNCTION("""COMPUTED_VALUE"""),"")</f>
        <v/>
      </c>
      <c r="W4424" s="16" t="str">
        <f>IFERROR(__xludf.DUMMYFUNCTION("""COMPUTED_VALUE"""),"")</f>
        <v/>
      </c>
      <c r="X4424" s="16" t="str">
        <f>IFERROR(__xludf.DUMMYFUNCTION("""COMPUTED_VALUE"""),"")</f>
        <v/>
      </c>
      <c r="AC4424" s="16" t="str">
        <f>IFERROR(__xludf.DUMMYFUNCTION("""COMPUTED_VALUE"""),"")</f>
        <v/>
      </c>
    </row>
    <row r="4425">
      <c r="A4425" s="16" t="s">
        <v>87</v>
      </c>
      <c r="E4425" s="16" t="str">
        <f>IFERROR(__xludf.DUMMYFUNCTION("""COMPUTED_VALUE"""),"")</f>
        <v/>
      </c>
      <c r="G4425" s="18"/>
      <c r="H4425" s="16" t="s">
        <v>87</v>
      </c>
      <c r="I4425" s="16" t="s">
        <v>87</v>
      </c>
      <c r="J4425" s="19"/>
      <c r="L4425" s="16" t="str">
        <f>IFERROR(__xludf.DUMMYFUNCTION("""COMPUTED_VALUE"""),"")</f>
        <v/>
      </c>
      <c r="M4425" s="16" t="str">
        <f>IFERROR(__xludf.DUMMYFUNCTION("""COMPUTED_VALUE"""),"")</f>
        <v/>
      </c>
      <c r="U4425" s="16" t="s">
        <v>87</v>
      </c>
      <c r="V4425" s="16" t="str">
        <f>IFERROR(__xludf.DUMMYFUNCTION("""COMPUTED_VALUE"""),"")</f>
        <v/>
      </c>
      <c r="W4425" s="16" t="str">
        <f>IFERROR(__xludf.DUMMYFUNCTION("""COMPUTED_VALUE"""),"")</f>
        <v/>
      </c>
      <c r="X4425" s="16" t="str">
        <f>IFERROR(__xludf.DUMMYFUNCTION("""COMPUTED_VALUE"""),"")</f>
        <v/>
      </c>
      <c r="AC4425" s="16" t="str">
        <f>IFERROR(__xludf.DUMMYFUNCTION("""COMPUTED_VALUE"""),"")</f>
        <v/>
      </c>
    </row>
    <row r="4426">
      <c r="A4426" s="16" t="s">
        <v>87</v>
      </c>
      <c r="E4426" s="16" t="str">
        <f>IFERROR(__xludf.DUMMYFUNCTION("""COMPUTED_VALUE"""),"")</f>
        <v/>
      </c>
      <c r="G4426" s="18"/>
      <c r="H4426" s="16" t="s">
        <v>87</v>
      </c>
      <c r="I4426" s="16" t="s">
        <v>87</v>
      </c>
      <c r="J4426" s="19"/>
      <c r="L4426" s="16" t="str">
        <f>IFERROR(__xludf.DUMMYFUNCTION("""COMPUTED_VALUE"""),"")</f>
        <v/>
      </c>
      <c r="M4426" s="16" t="str">
        <f>IFERROR(__xludf.DUMMYFUNCTION("""COMPUTED_VALUE"""),"")</f>
        <v/>
      </c>
      <c r="U4426" s="16" t="s">
        <v>87</v>
      </c>
      <c r="V4426" s="16" t="str">
        <f>IFERROR(__xludf.DUMMYFUNCTION("""COMPUTED_VALUE"""),"")</f>
        <v/>
      </c>
      <c r="W4426" s="16" t="str">
        <f>IFERROR(__xludf.DUMMYFUNCTION("""COMPUTED_VALUE"""),"")</f>
        <v/>
      </c>
      <c r="X4426" s="16" t="str">
        <f>IFERROR(__xludf.DUMMYFUNCTION("""COMPUTED_VALUE"""),"")</f>
        <v/>
      </c>
      <c r="AC4426" s="16" t="str">
        <f>IFERROR(__xludf.DUMMYFUNCTION("""COMPUTED_VALUE"""),"")</f>
        <v/>
      </c>
    </row>
    <row r="4427">
      <c r="A4427" s="16" t="s">
        <v>87</v>
      </c>
      <c r="E4427" s="16" t="str">
        <f>IFERROR(__xludf.DUMMYFUNCTION("""COMPUTED_VALUE"""),"")</f>
        <v/>
      </c>
      <c r="G4427" s="18"/>
      <c r="H4427" s="16" t="s">
        <v>87</v>
      </c>
      <c r="I4427" s="16" t="s">
        <v>87</v>
      </c>
      <c r="J4427" s="19"/>
      <c r="L4427" s="16" t="str">
        <f>IFERROR(__xludf.DUMMYFUNCTION("""COMPUTED_VALUE"""),"")</f>
        <v/>
      </c>
      <c r="M4427" s="16" t="str">
        <f>IFERROR(__xludf.DUMMYFUNCTION("""COMPUTED_VALUE"""),"")</f>
        <v/>
      </c>
      <c r="U4427" s="16" t="s">
        <v>87</v>
      </c>
      <c r="V4427" s="16" t="str">
        <f>IFERROR(__xludf.DUMMYFUNCTION("""COMPUTED_VALUE"""),"")</f>
        <v/>
      </c>
      <c r="W4427" s="16" t="str">
        <f>IFERROR(__xludf.DUMMYFUNCTION("""COMPUTED_VALUE"""),"")</f>
        <v/>
      </c>
      <c r="X4427" s="16" t="str">
        <f>IFERROR(__xludf.DUMMYFUNCTION("""COMPUTED_VALUE"""),"")</f>
        <v/>
      </c>
      <c r="AC4427" s="16" t="str">
        <f>IFERROR(__xludf.DUMMYFUNCTION("""COMPUTED_VALUE"""),"")</f>
        <v/>
      </c>
    </row>
    <row r="4428">
      <c r="A4428" s="16" t="s">
        <v>87</v>
      </c>
      <c r="E4428" s="16" t="str">
        <f>IFERROR(__xludf.DUMMYFUNCTION("""COMPUTED_VALUE"""),"")</f>
        <v/>
      </c>
      <c r="G4428" s="18"/>
      <c r="H4428" s="16" t="s">
        <v>87</v>
      </c>
      <c r="I4428" s="16" t="s">
        <v>87</v>
      </c>
      <c r="J4428" s="19"/>
      <c r="L4428" s="16" t="str">
        <f>IFERROR(__xludf.DUMMYFUNCTION("""COMPUTED_VALUE"""),"")</f>
        <v/>
      </c>
      <c r="M4428" s="16" t="str">
        <f>IFERROR(__xludf.DUMMYFUNCTION("""COMPUTED_VALUE"""),"")</f>
        <v/>
      </c>
      <c r="U4428" s="16" t="s">
        <v>87</v>
      </c>
      <c r="V4428" s="16" t="str">
        <f>IFERROR(__xludf.DUMMYFUNCTION("""COMPUTED_VALUE"""),"")</f>
        <v/>
      </c>
      <c r="W4428" s="16" t="str">
        <f>IFERROR(__xludf.DUMMYFUNCTION("""COMPUTED_VALUE"""),"")</f>
        <v/>
      </c>
      <c r="X4428" s="16" t="str">
        <f>IFERROR(__xludf.DUMMYFUNCTION("""COMPUTED_VALUE"""),"")</f>
        <v/>
      </c>
      <c r="AC4428" s="16" t="str">
        <f>IFERROR(__xludf.DUMMYFUNCTION("""COMPUTED_VALUE"""),"")</f>
        <v/>
      </c>
    </row>
    <row r="4429">
      <c r="A4429" s="16" t="s">
        <v>87</v>
      </c>
      <c r="E4429" s="16" t="str">
        <f>IFERROR(__xludf.DUMMYFUNCTION("""COMPUTED_VALUE"""),"")</f>
        <v/>
      </c>
      <c r="G4429" s="18"/>
      <c r="H4429" s="16" t="s">
        <v>87</v>
      </c>
      <c r="I4429" s="16" t="s">
        <v>87</v>
      </c>
      <c r="J4429" s="19"/>
      <c r="L4429" s="16" t="str">
        <f>IFERROR(__xludf.DUMMYFUNCTION("""COMPUTED_VALUE"""),"")</f>
        <v/>
      </c>
      <c r="M4429" s="16" t="str">
        <f>IFERROR(__xludf.DUMMYFUNCTION("""COMPUTED_VALUE"""),"")</f>
        <v/>
      </c>
      <c r="U4429" s="16" t="s">
        <v>87</v>
      </c>
      <c r="V4429" s="16" t="str">
        <f>IFERROR(__xludf.DUMMYFUNCTION("""COMPUTED_VALUE"""),"")</f>
        <v/>
      </c>
      <c r="W4429" s="16" t="str">
        <f>IFERROR(__xludf.DUMMYFUNCTION("""COMPUTED_VALUE"""),"")</f>
        <v/>
      </c>
      <c r="X4429" s="16" t="str">
        <f>IFERROR(__xludf.DUMMYFUNCTION("""COMPUTED_VALUE"""),"")</f>
        <v/>
      </c>
      <c r="AC4429" s="16" t="str">
        <f>IFERROR(__xludf.DUMMYFUNCTION("""COMPUTED_VALUE"""),"")</f>
        <v/>
      </c>
    </row>
    <row r="4430">
      <c r="A4430" s="16" t="s">
        <v>87</v>
      </c>
      <c r="E4430" s="16" t="str">
        <f>IFERROR(__xludf.DUMMYFUNCTION("""COMPUTED_VALUE"""),"")</f>
        <v/>
      </c>
      <c r="G4430" s="18"/>
      <c r="H4430" s="16" t="s">
        <v>87</v>
      </c>
      <c r="I4430" s="16" t="s">
        <v>87</v>
      </c>
      <c r="J4430" s="19"/>
      <c r="L4430" s="16" t="str">
        <f>IFERROR(__xludf.DUMMYFUNCTION("""COMPUTED_VALUE"""),"")</f>
        <v/>
      </c>
      <c r="M4430" s="16" t="str">
        <f>IFERROR(__xludf.DUMMYFUNCTION("""COMPUTED_VALUE"""),"")</f>
        <v/>
      </c>
      <c r="U4430" s="16" t="s">
        <v>87</v>
      </c>
      <c r="V4430" s="16" t="str">
        <f>IFERROR(__xludf.DUMMYFUNCTION("""COMPUTED_VALUE"""),"")</f>
        <v/>
      </c>
      <c r="W4430" s="16" t="str">
        <f>IFERROR(__xludf.DUMMYFUNCTION("""COMPUTED_VALUE"""),"")</f>
        <v/>
      </c>
      <c r="X4430" s="16" t="str">
        <f>IFERROR(__xludf.DUMMYFUNCTION("""COMPUTED_VALUE"""),"")</f>
        <v/>
      </c>
      <c r="AC4430" s="16" t="str">
        <f>IFERROR(__xludf.DUMMYFUNCTION("""COMPUTED_VALUE"""),"")</f>
        <v/>
      </c>
    </row>
    <row r="4431">
      <c r="A4431" s="16" t="s">
        <v>87</v>
      </c>
      <c r="E4431" s="16" t="str">
        <f>IFERROR(__xludf.DUMMYFUNCTION("""COMPUTED_VALUE"""),"")</f>
        <v/>
      </c>
      <c r="G4431" s="18"/>
      <c r="H4431" s="16" t="s">
        <v>87</v>
      </c>
      <c r="I4431" s="16" t="s">
        <v>87</v>
      </c>
      <c r="J4431" s="19"/>
      <c r="L4431" s="16" t="str">
        <f>IFERROR(__xludf.DUMMYFUNCTION("""COMPUTED_VALUE"""),"")</f>
        <v/>
      </c>
      <c r="M4431" s="16" t="str">
        <f>IFERROR(__xludf.DUMMYFUNCTION("""COMPUTED_VALUE"""),"")</f>
        <v/>
      </c>
      <c r="U4431" s="16" t="s">
        <v>87</v>
      </c>
      <c r="V4431" s="16" t="str">
        <f>IFERROR(__xludf.DUMMYFUNCTION("""COMPUTED_VALUE"""),"")</f>
        <v/>
      </c>
      <c r="W4431" s="16" t="str">
        <f>IFERROR(__xludf.DUMMYFUNCTION("""COMPUTED_VALUE"""),"")</f>
        <v/>
      </c>
      <c r="X4431" s="16" t="str">
        <f>IFERROR(__xludf.DUMMYFUNCTION("""COMPUTED_VALUE"""),"")</f>
        <v/>
      </c>
      <c r="AC4431" s="16" t="str">
        <f>IFERROR(__xludf.DUMMYFUNCTION("""COMPUTED_VALUE"""),"")</f>
        <v/>
      </c>
    </row>
    <row r="4432">
      <c r="A4432" s="16" t="s">
        <v>87</v>
      </c>
      <c r="E4432" s="16" t="str">
        <f>IFERROR(__xludf.DUMMYFUNCTION("""COMPUTED_VALUE"""),"")</f>
        <v/>
      </c>
      <c r="G4432" s="18"/>
      <c r="H4432" s="16" t="s">
        <v>87</v>
      </c>
      <c r="I4432" s="16" t="s">
        <v>87</v>
      </c>
      <c r="J4432" s="19"/>
      <c r="L4432" s="16" t="str">
        <f>IFERROR(__xludf.DUMMYFUNCTION("""COMPUTED_VALUE"""),"")</f>
        <v/>
      </c>
      <c r="M4432" s="16" t="str">
        <f>IFERROR(__xludf.DUMMYFUNCTION("""COMPUTED_VALUE"""),"")</f>
        <v/>
      </c>
      <c r="U4432" s="16" t="s">
        <v>87</v>
      </c>
      <c r="V4432" s="16" t="str">
        <f>IFERROR(__xludf.DUMMYFUNCTION("""COMPUTED_VALUE"""),"")</f>
        <v/>
      </c>
      <c r="W4432" s="16" t="str">
        <f>IFERROR(__xludf.DUMMYFUNCTION("""COMPUTED_VALUE"""),"")</f>
        <v/>
      </c>
      <c r="X4432" s="16" t="str">
        <f>IFERROR(__xludf.DUMMYFUNCTION("""COMPUTED_VALUE"""),"")</f>
        <v/>
      </c>
      <c r="AC4432" s="16" t="str">
        <f>IFERROR(__xludf.DUMMYFUNCTION("""COMPUTED_VALUE"""),"")</f>
        <v/>
      </c>
    </row>
    <row r="4433">
      <c r="A4433" s="16" t="s">
        <v>87</v>
      </c>
      <c r="E4433" s="16" t="str">
        <f>IFERROR(__xludf.DUMMYFUNCTION("""COMPUTED_VALUE"""),"")</f>
        <v/>
      </c>
      <c r="G4433" s="18"/>
      <c r="H4433" s="16" t="s">
        <v>87</v>
      </c>
      <c r="I4433" s="16" t="s">
        <v>87</v>
      </c>
      <c r="J4433" s="19"/>
      <c r="L4433" s="16" t="str">
        <f>IFERROR(__xludf.DUMMYFUNCTION("""COMPUTED_VALUE"""),"")</f>
        <v/>
      </c>
      <c r="M4433" s="16" t="str">
        <f>IFERROR(__xludf.DUMMYFUNCTION("""COMPUTED_VALUE"""),"")</f>
        <v/>
      </c>
      <c r="U4433" s="16" t="s">
        <v>87</v>
      </c>
      <c r="V4433" s="16" t="str">
        <f>IFERROR(__xludf.DUMMYFUNCTION("""COMPUTED_VALUE"""),"")</f>
        <v/>
      </c>
      <c r="W4433" s="16" t="str">
        <f>IFERROR(__xludf.DUMMYFUNCTION("""COMPUTED_VALUE"""),"")</f>
        <v/>
      </c>
      <c r="X4433" s="16" t="str">
        <f>IFERROR(__xludf.DUMMYFUNCTION("""COMPUTED_VALUE"""),"")</f>
        <v/>
      </c>
      <c r="AC4433" s="16" t="str">
        <f>IFERROR(__xludf.DUMMYFUNCTION("""COMPUTED_VALUE"""),"")</f>
        <v/>
      </c>
    </row>
    <row r="4434">
      <c r="A4434" s="16" t="s">
        <v>87</v>
      </c>
      <c r="E4434" s="16" t="str">
        <f>IFERROR(__xludf.DUMMYFUNCTION("""COMPUTED_VALUE"""),"")</f>
        <v/>
      </c>
      <c r="G4434" s="18"/>
      <c r="H4434" s="16" t="s">
        <v>87</v>
      </c>
      <c r="I4434" s="16" t="s">
        <v>87</v>
      </c>
      <c r="J4434" s="19"/>
      <c r="L4434" s="16" t="str">
        <f>IFERROR(__xludf.DUMMYFUNCTION("""COMPUTED_VALUE"""),"")</f>
        <v/>
      </c>
      <c r="M4434" s="16" t="str">
        <f>IFERROR(__xludf.DUMMYFUNCTION("""COMPUTED_VALUE"""),"")</f>
        <v/>
      </c>
      <c r="U4434" s="16" t="s">
        <v>87</v>
      </c>
      <c r="V4434" s="16" t="str">
        <f>IFERROR(__xludf.DUMMYFUNCTION("""COMPUTED_VALUE"""),"")</f>
        <v/>
      </c>
      <c r="W4434" s="16" t="str">
        <f>IFERROR(__xludf.DUMMYFUNCTION("""COMPUTED_VALUE"""),"")</f>
        <v/>
      </c>
      <c r="X4434" s="16" t="str">
        <f>IFERROR(__xludf.DUMMYFUNCTION("""COMPUTED_VALUE"""),"")</f>
        <v/>
      </c>
      <c r="AC4434" s="16" t="str">
        <f>IFERROR(__xludf.DUMMYFUNCTION("""COMPUTED_VALUE"""),"")</f>
        <v/>
      </c>
    </row>
    <row r="4435">
      <c r="A4435" s="16" t="s">
        <v>87</v>
      </c>
      <c r="E4435" s="16" t="str">
        <f>IFERROR(__xludf.DUMMYFUNCTION("""COMPUTED_VALUE"""),"")</f>
        <v/>
      </c>
      <c r="G4435" s="18"/>
      <c r="H4435" s="16" t="s">
        <v>87</v>
      </c>
      <c r="I4435" s="16" t="s">
        <v>87</v>
      </c>
      <c r="J4435" s="19"/>
      <c r="L4435" s="16" t="str">
        <f>IFERROR(__xludf.DUMMYFUNCTION("""COMPUTED_VALUE"""),"")</f>
        <v/>
      </c>
      <c r="M4435" s="16" t="str">
        <f>IFERROR(__xludf.DUMMYFUNCTION("""COMPUTED_VALUE"""),"")</f>
        <v/>
      </c>
      <c r="U4435" s="16" t="s">
        <v>87</v>
      </c>
      <c r="V4435" s="16" t="str">
        <f>IFERROR(__xludf.DUMMYFUNCTION("""COMPUTED_VALUE"""),"")</f>
        <v/>
      </c>
      <c r="W4435" s="16" t="str">
        <f>IFERROR(__xludf.DUMMYFUNCTION("""COMPUTED_VALUE"""),"")</f>
        <v/>
      </c>
      <c r="X4435" s="16" t="str">
        <f>IFERROR(__xludf.DUMMYFUNCTION("""COMPUTED_VALUE"""),"")</f>
        <v/>
      </c>
      <c r="AC4435" s="16" t="str">
        <f>IFERROR(__xludf.DUMMYFUNCTION("""COMPUTED_VALUE"""),"")</f>
        <v/>
      </c>
    </row>
    <row r="4436">
      <c r="A4436" s="16" t="s">
        <v>87</v>
      </c>
      <c r="E4436" s="16" t="str">
        <f>IFERROR(__xludf.DUMMYFUNCTION("""COMPUTED_VALUE"""),"")</f>
        <v/>
      </c>
      <c r="G4436" s="18"/>
      <c r="H4436" s="16" t="s">
        <v>87</v>
      </c>
      <c r="I4436" s="16" t="s">
        <v>87</v>
      </c>
      <c r="J4436" s="19"/>
      <c r="L4436" s="16" t="str">
        <f>IFERROR(__xludf.DUMMYFUNCTION("""COMPUTED_VALUE"""),"")</f>
        <v/>
      </c>
      <c r="M4436" s="16" t="str">
        <f>IFERROR(__xludf.DUMMYFUNCTION("""COMPUTED_VALUE"""),"")</f>
        <v/>
      </c>
      <c r="U4436" s="16" t="s">
        <v>87</v>
      </c>
      <c r="V4436" s="16" t="str">
        <f>IFERROR(__xludf.DUMMYFUNCTION("""COMPUTED_VALUE"""),"")</f>
        <v/>
      </c>
      <c r="W4436" s="16" t="str">
        <f>IFERROR(__xludf.DUMMYFUNCTION("""COMPUTED_VALUE"""),"")</f>
        <v/>
      </c>
      <c r="X4436" s="16" t="str">
        <f>IFERROR(__xludf.DUMMYFUNCTION("""COMPUTED_VALUE"""),"")</f>
        <v/>
      </c>
      <c r="AC4436" s="16" t="str">
        <f>IFERROR(__xludf.DUMMYFUNCTION("""COMPUTED_VALUE"""),"")</f>
        <v/>
      </c>
    </row>
    <row r="4437">
      <c r="A4437" s="16" t="s">
        <v>87</v>
      </c>
      <c r="E4437" s="16" t="str">
        <f>IFERROR(__xludf.DUMMYFUNCTION("""COMPUTED_VALUE"""),"")</f>
        <v/>
      </c>
      <c r="G4437" s="18"/>
      <c r="H4437" s="16" t="s">
        <v>87</v>
      </c>
      <c r="I4437" s="16" t="s">
        <v>87</v>
      </c>
      <c r="J4437" s="19"/>
      <c r="L4437" s="16" t="str">
        <f>IFERROR(__xludf.DUMMYFUNCTION("""COMPUTED_VALUE"""),"")</f>
        <v/>
      </c>
      <c r="M4437" s="16" t="str">
        <f>IFERROR(__xludf.DUMMYFUNCTION("""COMPUTED_VALUE"""),"")</f>
        <v/>
      </c>
      <c r="U4437" s="16" t="s">
        <v>87</v>
      </c>
      <c r="V4437" s="16" t="str">
        <f>IFERROR(__xludf.DUMMYFUNCTION("""COMPUTED_VALUE"""),"")</f>
        <v/>
      </c>
      <c r="W4437" s="16" t="str">
        <f>IFERROR(__xludf.DUMMYFUNCTION("""COMPUTED_VALUE"""),"")</f>
        <v/>
      </c>
      <c r="X4437" s="16" t="str">
        <f>IFERROR(__xludf.DUMMYFUNCTION("""COMPUTED_VALUE"""),"")</f>
        <v/>
      </c>
      <c r="AC4437" s="16" t="str">
        <f>IFERROR(__xludf.DUMMYFUNCTION("""COMPUTED_VALUE"""),"")</f>
        <v/>
      </c>
    </row>
    <row r="4438">
      <c r="A4438" s="16" t="s">
        <v>87</v>
      </c>
      <c r="E4438" s="16" t="str">
        <f>IFERROR(__xludf.DUMMYFUNCTION("""COMPUTED_VALUE"""),"")</f>
        <v/>
      </c>
      <c r="G4438" s="18"/>
      <c r="H4438" s="16" t="s">
        <v>87</v>
      </c>
      <c r="I4438" s="16" t="s">
        <v>87</v>
      </c>
      <c r="J4438" s="19"/>
      <c r="L4438" s="16" t="str">
        <f>IFERROR(__xludf.DUMMYFUNCTION("""COMPUTED_VALUE"""),"")</f>
        <v/>
      </c>
      <c r="M4438" s="16" t="str">
        <f>IFERROR(__xludf.DUMMYFUNCTION("""COMPUTED_VALUE"""),"")</f>
        <v/>
      </c>
      <c r="U4438" s="16" t="s">
        <v>87</v>
      </c>
      <c r="V4438" s="16" t="str">
        <f>IFERROR(__xludf.DUMMYFUNCTION("""COMPUTED_VALUE"""),"")</f>
        <v/>
      </c>
      <c r="W4438" s="16" t="str">
        <f>IFERROR(__xludf.DUMMYFUNCTION("""COMPUTED_VALUE"""),"")</f>
        <v/>
      </c>
      <c r="X4438" s="16" t="str">
        <f>IFERROR(__xludf.DUMMYFUNCTION("""COMPUTED_VALUE"""),"")</f>
        <v/>
      </c>
      <c r="AC4438" s="16" t="str">
        <f>IFERROR(__xludf.DUMMYFUNCTION("""COMPUTED_VALUE"""),"")</f>
        <v/>
      </c>
    </row>
    <row r="4439">
      <c r="A4439" s="16" t="s">
        <v>87</v>
      </c>
      <c r="E4439" s="16" t="str">
        <f>IFERROR(__xludf.DUMMYFUNCTION("""COMPUTED_VALUE"""),"")</f>
        <v/>
      </c>
      <c r="G4439" s="18"/>
      <c r="H4439" s="16" t="s">
        <v>87</v>
      </c>
      <c r="I4439" s="16" t="s">
        <v>87</v>
      </c>
      <c r="J4439" s="19"/>
      <c r="L4439" s="16" t="str">
        <f>IFERROR(__xludf.DUMMYFUNCTION("""COMPUTED_VALUE"""),"")</f>
        <v/>
      </c>
      <c r="M4439" s="16" t="str">
        <f>IFERROR(__xludf.DUMMYFUNCTION("""COMPUTED_VALUE"""),"")</f>
        <v/>
      </c>
      <c r="U4439" s="16" t="s">
        <v>87</v>
      </c>
      <c r="V4439" s="16" t="str">
        <f>IFERROR(__xludf.DUMMYFUNCTION("""COMPUTED_VALUE"""),"")</f>
        <v/>
      </c>
      <c r="W4439" s="16" t="str">
        <f>IFERROR(__xludf.DUMMYFUNCTION("""COMPUTED_VALUE"""),"")</f>
        <v/>
      </c>
      <c r="X4439" s="16" t="str">
        <f>IFERROR(__xludf.DUMMYFUNCTION("""COMPUTED_VALUE"""),"")</f>
        <v/>
      </c>
      <c r="AC4439" s="16" t="str">
        <f>IFERROR(__xludf.DUMMYFUNCTION("""COMPUTED_VALUE"""),"")</f>
        <v/>
      </c>
    </row>
    <row r="4440">
      <c r="A4440" s="16" t="s">
        <v>87</v>
      </c>
      <c r="E4440" s="16" t="str">
        <f>IFERROR(__xludf.DUMMYFUNCTION("""COMPUTED_VALUE"""),"")</f>
        <v/>
      </c>
      <c r="G4440" s="18"/>
      <c r="H4440" s="16" t="s">
        <v>87</v>
      </c>
      <c r="I4440" s="16" t="s">
        <v>87</v>
      </c>
      <c r="J4440" s="19"/>
      <c r="L4440" s="16" t="str">
        <f>IFERROR(__xludf.DUMMYFUNCTION("""COMPUTED_VALUE"""),"")</f>
        <v/>
      </c>
      <c r="M4440" s="16" t="str">
        <f>IFERROR(__xludf.DUMMYFUNCTION("""COMPUTED_VALUE"""),"")</f>
        <v/>
      </c>
      <c r="U4440" s="16" t="s">
        <v>87</v>
      </c>
      <c r="V4440" s="16" t="str">
        <f>IFERROR(__xludf.DUMMYFUNCTION("""COMPUTED_VALUE"""),"")</f>
        <v/>
      </c>
      <c r="W4440" s="16" t="str">
        <f>IFERROR(__xludf.DUMMYFUNCTION("""COMPUTED_VALUE"""),"")</f>
        <v/>
      </c>
      <c r="X4440" s="16" t="str">
        <f>IFERROR(__xludf.DUMMYFUNCTION("""COMPUTED_VALUE"""),"")</f>
        <v/>
      </c>
      <c r="AC4440" s="16" t="str">
        <f>IFERROR(__xludf.DUMMYFUNCTION("""COMPUTED_VALUE"""),"")</f>
        <v/>
      </c>
    </row>
    <row r="4441">
      <c r="A4441" s="16" t="s">
        <v>87</v>
      </c>
      <c r="E4441" s="16" t="str">
        <f>IFERROR(__xludf.DUMMYFUNCTION("""COMPUTED_VALUE"""),"")</f>
        <v/>
      </c>
      <c r="G4441" s="18"/>
      <c r="H4441" s="16" t="s">
        <v>87</v>
      </c>
      <c r="I4441" s="16" t="s">
        <v>87</v>
      </c>
      <c r="J4441" s="19"/>
      <c r="L4441" s="16" t="str">
        <f>IFERROR(__xludf.DUMMYFUNCTION("""COMPUTED_VALUE"""),"")</f>
        <v/>
      </c>
      <c r="M4441" s="16" t="str">
        <f>IFERROR(__xludf.DUMMYFUNCTION("""COMPUTED_VALUE"""),"")</f>
        <v/>
      </c>
      <c r="U4441" s="16" t="s">
        <v>87</v>
      </c>
      <c r="V4441" s="16" t="str">
        <f>IFERROR(__xludf.DUMMYFUNCTION("""COMPUTED_VALUE"""),"")</f>
        <v/>
      </c>
      <c r="W4441" s="16" t="str">
        <f>IFERROR(__xludf.DUMMYFUNCTION("""COMPUTED_VALUE"""),"")</f>
        <v/>
      </c>
      <c r="X4441" s="16" t="str">
        <f>IFERROR(__xludf.DUMMYFUNCTION("""COMPUTED_VALUE"""),"")</f>
        <v/>
      </c>
      <c r="AC4441" s="16" t="str">
        <f>IFERROR(__xludf.DUMMYFUNCTION("""COMPUTED_VALUE"""),"")</f>
        <v/>
      </c>
    </row>
    <row r="4442">
      <c r="A4442" s="16" t="s">
        <v>87</v>
      </c>
      <c r="E4442" s="16" t="str">
        <f>IFERROR(__xludf.DUMMYFUNCTION("""COMPUTED_VALUE"""),"")</f>
        <v/>
      </c>
      <c r="G4442" s="18"/>
      <c r="H4442" s="16" t="s">
        <v>87</v>
      </c>
      <c r="I4442" s="16" t="s">
        <v>87</v>
      </c>
      <c r="J4442" s="19"/>
      <c r="L4442" s="16" t="str">
        <f>IFERROR(__xludf.DUMMYFUNCTION("""COMPUTED_VALUE"""),"")</f>
        <v/>
      </c>
      <c r="M4442" s="16" t="str">
        <f>IFERROR(__xludf.DUMMYFUNCTION("""COMPUTED_VALUE"""),"")</f>
        <v/>
      </c>
      <c r="U4442" s="16" t="s">
        <v>87</v>
      </c>
      <c r="V4442" s="16" t="str">
        <f>IFERROR(__xludf.DUMMYFUNCTION("""COMPUTED_VALUE"""),"")</f>
        <v/>
      </c>
      <c r="W4442" s="16" t="str">
        <f>IFERROR(__xludf.DUMMYFUNCTION("""COMPUTED_VALUE"""),"")</f>
        <v/>
      </c>
      <c r="X4442" s="16" t="str">
        <f>IFERROR(__xludf.DUMMYFUNCTION("""COMPUTED_VALUE"""),"")</f>
        <v/>
      </c>
      <c r="AC4442" s="16" t="str">
        <f>IFERROR(__xludf.DUMMYFUNCTION("""COMPUTED_VALUE"""),"")</f>
        <v/>
      </c>
    </row>
    <row r="4443">
      <c r="A4443" s="16" t="s">
        <v>87</v>
      </c>
      <c r="E4443" s="16" t="str">
        <f>IFERROR(__xludf.DUMMYFUNCTION("""COMPUTED_VALUE"""),"")</f>
        <v/>
      </c>
      <c r="G4443" s="18"/>
      <c r="H4443" s="16" t="s">
        <v>87</v>
      </c>
      <c r="I4443" s="16" t="s">
        <v>87</v>
      </c>
      <c r="J4443" s="19"/>
      <c r="L4443" s="16" t="str">
        <f>IFERROR(__xludf.DUMMYFUNCTION("""COMPUTED_VALUE"""),"")</f>
        <v/>
      </c>
      <c r="M4443" s="16" t="str">
        <f>IFERROR(__xludf.DUMMYFUNCTION("""COMPUTED_VALUE"""),"")</f>
        <v/>
      </c>
      <c r="U4443" s="16" t="s">
        <v>87</v>
      </c>
      <c r="V4443" s="16" t="str">
        <f>IFERROR(__xludf.DUMMYFUNCTION("""COMPUTED_VALUE"""),"")</f>
        <v/>
      </c>
      <c r="W4443" s="16" t="str">
        <f>IFERROR(__xludf.DUMMYFUNCTION("""COMPUTED_VALUE"""),"")</f>
        <v/>
      </c>
      <c r="X4443" s="16" t="str">
        <f>IFERROR(__xludf.DUMMYFUNCTION("""COMPUTED_VALUE"""),"")</f>
        <v/>
      </c>
      <c r="AC4443" s="16" t="str">
        <f>IFERROR(__xludf.DUMMYFUNCTION("""COMPUTED_VALUE"""),"")</f>
        <v/>
      </c>
    </row>
    <row r="4444">
      <c r="A4444" s="16" t="s">
        <v>87</v>
      </c>
      <c r="E4444" s="16" t="str">
        <f>IFERROR(__xludf.DUMMYFUNCTION("""COMPUTED_VALUE"""),"")</f>
        <v/>
      </c>
      <c r="G4444" s="18"/>
      <c r="H4444" s="16" t="s">
        <v>87</v>
      </c>
      <c r="I4444" s="16" t="s">
        <v>87</v>
      </c>
      <c r="J4444" s="19"/>
      <c r="L4444" s="16" t="str">
        <f>IFERROR(__xludf.DUMMYFUNCTION("""COMPUTED_VALUE"""),"")</f>
        <v/>
      </c>
      <c r="M4444" s="16" t="str">
        <f>IFERROR(__xludf.DUMMYFUNCTION("""COMPUTED_VALUE"""),"")</f>
        <v/>
      </c>
      <c r="U4444" s="16" t="s">
        <v>87</v>
      </c>
      <c r="V4444" s="16" t="str">
        <f>IFERROR(__xludf.DUMMYFUNCTION("""COMPUTED_VALUE"""),"")</f>
        <v/>
      </c>
      <c r="W4444" s="16" t="str">
        <f>IFERROR(__xludf.DUMMYFUNCTION("""COMPUTED_VALUE"""),"")</f>
        <v/>
      </c>
      <c r="X4444" s="16" t="str">
        <f>IFERROR(__xludf.DUMMYFUNCTION("""COMPUTED_VALUE"""),"")</f>
        <v/>
      </c>
      <c r="AC4444" s="16" t="str">
        <f>IFERROR(__xludf.DUMMYFUNCTION("""COMPUTED_VALUE"""),"")</f>
        <v/>
      </c>
    </row>
    <row r="4445">
      <c r="A4445" s="16" t="s">
        <v>87</v>
      </c>
      <c r="E4445" s="16" t="str">
        <f>IFERROR(__xludf.DUMMYFUNCTION("""COMPUTED_VALUE"""),"")</f>
        <v/>
      </c>
      <c r="G4445" s="18"/>
      <c r="H4445" s="16" t="s">
        <v>87</v>
      </c>
      <c r="I4445" s="16" t="s">
        <v>87</v>
      </c>
      <c r="J4445" s="19"/>
      <c r="L4445" s="16" t="str">
        <f>IFERROR(__xludf.DUMMYFUNCTION("""COMPUTED_VALUE"""),"")</f>
        <v/>
      </c>
      <c r="M4445" s="16" t="str">
        <f>IFERROR(__xludf.DUMMYFUNCTION("""COMPUTED_VALUE"""),"")</f>
        <v/>
      </c>
      <c r="U4445" s="16" t="s">
        <v>87</v>
      </c>
      <c r="V4445" s="16" t="str">
        <f>IFERROR(__xludf.DUMMYFUNCTION("""COMPUTED_VALUE"""),"")</f>
        <v/>
      </c>
      <c r="W4445" s="16" t="str">
        <f>IFERROR(__xludf.DUMMYFUNCTION("""COMPUTED_VALUE"""),"")</f>
        <v/>
      </c>
      <c r="X4445" s="16" t="str">
        <f>IFERROR(__xludf.DUMMYFUNCTION("""COMPUTED_VALUE"""),"")</f>
        <v/>
      </c>
      <c r="AC4445" s="16" t="str">
        <f>IFERROR(__xludf.DUMMYFUNCTION("""COMPUTED_VALUE"""),"")</f>
        <v/>
      </c>
    </row>
    <row r="4446">
      <c r="A4446" s="16" t="s">
        <v>87</v>
      </c>
      <c r="E4446" s="16" t="str">
        <f>IFERROR(__xludf.DUMMYFUNCTION("""COMPUTED_VALUE"""),"")</f>
        <v/>
      </c>
      <c r="G4446" s="18"/>
      <c r="H4446" s="16" t="s">
        <v>87</v>
      </c>
      <c r="I4446" s="16" t="s">
        <v>87</v>
      </c>
      <c r="J4446" s="19"/>
      <c r="L4446" s="16" t="str">
        <f>IFERROR(__xludf.DUMMYFUNCTION("""COMPUTED_VALUE"""),"")</f>
        <v/>
      </c>
      <c r="M4446" s="16" t="str">
        <f>IFERROR(__xludf.DUMMYFUNCTION("""COMPUTED_VALUE"""),"")</f>
        <v/>
      </c>
      <c r="U4446" s="16" t="s">
        <v>87</v>
      </c>
      <c r="V4446" s="16" t="str">
        <f>IFERROR(__xludf.DUMMYFUNCTION("""COMPUTED_VALUE"""),"")</f>
        <v/>
      </c>
      <c r="W4446" s="16" t="str">
        <f>IFERROR(__xludf.DUMMYFUNCTION("""COMPUTED_VALUE"""),"")</f>
        <v/>
      </c>
      <c r="X4446" s="16" t="str">
        <f>IFERROR(__xludf.DUMMYFUNCTION("""COMPUTED_VALUE"""),"")</f>
        <v/>
      </c>
      <c r="AC4446" s="16" t="str">
        <f>IFERROR(__xludf.DUMMYFUNCTION("""COMPUTED_VALUE"""),"")</f>
        <v/>
      </c>
    </row>
    <row r="4447">
      <c r="A4447" s="16" t="s">
        <v>87</v>
      </c>
      <c r="E4447" s="16" t="str">
        <f>IFERROR(__xludf.DUMMYFUNCTION("""COMPUTED_VALUE"""),"")</f>
        <v/>
      </c>
      <c r="G4447" s="18"/>
      <c r="H4447" s="16" t="s">
        <v>87</v>
      </c>
      <c r="I4447" s="16" t="s">
        <v>87</v>
      </c>
      <c r="J4447" s="19"/>
      <c r="L4447" s="16" t="str">
        <f>IFERROR(__xludf.DUMMYFUNCTION("""COMPUTED_VALUE"""),"")</f>
        <v/>
      </c>
      <c r="M4447" s="16" t="str">
        <f>IFERROR(__xludf.DUMMYFUNCTION("""COMPUTED_VALUE"""),"")</f>
        <v/>
      </c>
      <c r="U4447" s="16" t="s">
        <v>87</v>
      </c>
      <c r="V4447" s="16" t="str">
        <f>IFERROR(__xludf.DUMMYFUNCTION("""COMPUTED_VALUE"""),"")</f>
        <v/>
      </c>
      <c r="W4447" s="16" t="str">
        <f>IFERROR(__xludf.DUMMYFUNCTION("""COMPUTED_VALUE"""),"")</f>
        <v/>
      </c>
      <c r="X4447" s="16" t="str">
        <f>IFERROR(__xludf.DUMMYFUNCTION("""COMPUTED_VALUE"""),"")</f>
        <v/>
      </c>
      <c r="AC4447" s="16" t="str">
        <f>IFERROR(__xludf.DUMMYFUNCTION("""COMPUTED_VALUE"""),"")</f>
        <v/>
      </c>
    </row>
    <row r="4448">
      <c r="A4448" s="16" t="s">
        <v>87</v>
      </c>
      <c r="E4448" s="16" t="str">
        <f>IFERROR(__xludf.DUMMYFUNCTION("""COMPUTED_VALUE"""),"")</f>
        <v/>
      </c>
      <c r="G4448" s="18"/>
      <c r="H4448" s="16" t="s">
        <v>87</v>
      </c>
      <c r="I4448" s="16" t="s">
        <v>87</v>
      </c>
      <c r="J4448" s="19"/>
      <c r="L4448" s="16" t="str">
        <f>IFERROR(__xludf.DUMMYFUNCTION("""COMPUTED_VALUE"""),"")</f>
        <v/>
      </c>
      <c r="M4448" s="16" t="str">
        <f>IFERROR(__xludf.DUMMYFUNCTION("""COMPUTED_VALUE"""),"")</f>
        <v/>
      </c>
      <c r="U4448" s="16" t="s">
        <v>87</v>
      </c>
      <c r="V4448" s="16" t="str">
        <f>IFERROR(__xludf.DUMMYFUNCTION("""COMPUTED_VALUE"""),"")</f>
        <v/>
      </c>
      <c r="W4448" s="16" t="str">
        <f>IFERROR(__xludf.DUMMYFUNCTION("""COMPUTED_VALUE"""),"")</f>
        <v/>
      </c>
      <c r="X4448" s="16" t="str">
        <f>IFERROR(__xludf.DUMMYFUNCTION("""COMPUTED_VALUE"""),"")</f>
        <v/>
      </c>
      <c r="AC4448" s="16" t="str">
        <f>IFERROR(__xludf.DUMMYFUNCTION("""COMPUTED_VALUE"""),"")</f>
        <v/>
      </c>
    </row>
    <row r="4449">
      <c r="A4449" s="16" t="s">
        <v>87</v>
      </c>
      <c r="E4449" s="16" t="str">
        <f>IFERROR(__xludf.DUMMYFUNCTION("""COMPUTED_VALUE"""),"")</f>
        <v/>
      </c>
      <c r="G4449" s="18"/>
      <c r="H4449" s="16" t="s">
        <v>87</v>
      </c>
      <c r="I4449" s="16" t="s">
        <v>87</v>
      </c>
      <c r="J4449" s="19"/>
      <c r="L4449" s="16" t="str">
        <f>IFERROR(__xludf.DUMMYFUNCTION("""COMPUTED_VALUE"""),"")</f>
        <v/>
      </c>
      <c r="M4449" s="16" t="str">
        <f>IFERROR(__xludf.DUMMYFUNCTION("""COMPUTED_VALUE"""),"")</f>
        <v/>
      </c>
      <c r="U4449" s="16" t="s">
        <v>87</v>
      </c>
      <c r="V4449" s="16" t="str">
        <f>IFERROR(__xludf.DUMMYFUNCTION("""COMPUTED_VALUE"""),"")</f>
        <v/>
      </c>
      <c r="W4449" s="16" t="str">
        <f>IFERROR(__xludf.DUMMYFUNCTION("""COMPUTED_VALUE"""),"")</f>
        <v/>
      </c>
      <c r="X4449" s="16" t="str">
        <f>IFERROR(__xludf.DUMMYFUNCTION("""COMPUTED_VALUE"""),"")</f>
        <v/>
      </c>
      <c r="AC4449" s="16" t="str">
        <f>IFERROR(__xludf.DUMMYFUNCTION("""COMPUTED_VALUE"""),"")</f>
        <v/>
      </c>
    </row>
    <row r="4450">
      <c r="A4450" s="16" t="s">
        <v>87</v>
      </c>
      <c r="E4450" s="16" t="str">
        <f>IFERROR(__xludf.DUMMYFUNCTION("""COMPUTED_VALUE"""),"")</f>
        <v/>
      </c>
      <c r="G4450" s="18"/>
      <c r="H4450" s="16" t="s">
        <v>87</v>
      </c>
      <c r="I4450" s="16" t="s">
        <v>87</v>
      </c>
      <c r="J4450" s="19"/>
      <c r="L4450" s="16" t="str">
        <f>IFERROR(__xludf.DUMMYFUNCTION("""COMPUTED_VALUE"""),"")</f>
        <v/>
      </c>
      <c r="M4450" s="16" t="str">
        <f>IFERROR(__xludf.DUMMYFUNCTION("""COMPUTED_VALUE"""),"")</f>
        <v/>
      </c>
      <c r="U4450" s="16" t="s">
        <v>87</v>
      </c>
      <c r="V4450" s="16" t="str">
        <f>IFERROR(__xludf.DUMMYFUNCTION("""COMPUTED_VALUE"""),"")</f>
        <v/>
      </c>
      <c r="W4450" s="16" t="str">
        <f>IFERROR(__xludf.DUMMYFUNCTION("""COMPUTED_VALUE"""),"")</f>
        <v/>
      </c>
      <c r="X4450" s="16" t="str">
        <f>IFERROR(__xludf.DUMMYFUNCTION("""COMPUTED_VALUE"""),"")</f>
        <v/>
      </c>
      <c r="AC4450" s="16" t="str">
        <f>IFERROR(__xludf.DUMMYFUNCTION("""COMPUTED_VALUE"""),"")</f>
        <v/>
      </c>
    </row>
    <row r="4451">
      <c r="A4451" s="16" t="s">
        <v>87</v>
      </c>
      <c r="E4451" s="16" t="str">
        <f>IFERROR(__xludf.DUMMYFUNCTION("""COMPUTED_VALUE"""),"")</f>
        <v/>
      </c>
      <c r="G4451" s="18"/>
      <c r="H4451" s="16" t="s">
        <v>87</v>
      </c>
      <c r="I4451" s="16" t="s">
        <v>87</v>
      </c>
      <c r="J4451" s="19"/>
      <c r="L4451" s="16" t="str">
        <f>IFERROR(__xludf.DUMMYFUNCTION("""COMPUTED_VALUE"""),"")</f>
        <v/>
      </c>
      <c r="M4451" s="16" t="str">
        <f>IFERROR(__xludf.DUMMYFUNCTION("""COMPUTED_VALUE"""),"")</f>
        <v/>
      </c>
      <c r="U4451" s="16" t="s">
        <v>87</v>
      </c>
      <c r="V4451" s="16" t="str">
        <f>IFERROR(__xludf.DUMMYFUNCTION("""COMPUTED_VALUE"""),"")</f>
        <v/>
      </c>
      <c r="W4451" s="16" t="str">
        <f>IFERROR(__xludf.DUMMYFUNCTION("""COMPUTED_VALUE"""),"")</f>
        <v/>
      </c>
      <c r="X4451" s="16" t="str">
        <f>IFERROR(__xludf.DUMMYFUNCTION("""COMPUTED_VALUE"""),"")</f>
        <v/>
      </c>
      <c r="AC4451" s="16" t="str">
        <f>IFERROR(__xludf.DUMMYFUNCTION("""COMPUTED_VALUE"""),"")</f>
        <v/>
      </c>
    </row>
    <row r="4452">
      <c r="A4452" s="16" t="s">
        <v>87</v>
      </c>
      <c r="E4452" s="16" t="str">
        <f>IFERROR(__xludf.DUMMYFUNCTION("""COMPUTED_VALUE"""),"")</f>
        <v/>
      </c>
      <c r="G4452" s="18"/>
      <c r="H4452" s="16" t="s">
        <v>87</v>
      </c>
      <c r="I4452" s="16" t="s">
        <v>87</v>
      </c>
      <c r="J4452" s="19"/>
      <c r="L4452" s="16" t="str">
        <f>IFERROR(__xludf.DUMMYFUNCTION("""COMPUTED_VALUE"""),"")</f>
        <v/>
      </c>
      <c r="M4452" s="16" t="str">
        <f>IFERROR(__xludf.DUMMYFUNCTION("""COMPUTED_VALUE"""),"")</f>
        <v/>
      </c>
      <c r="U4452" s="16" t="s">
        <v>87</v>
      </c>
      <c r="V4452" s="16" t="str">
        <f>IFERROR(__xludf.DUMMYFUNCTION("""COMPUTED_VALUE"""),"")</f>
        <v/>
      </c>
      <c r="W4452" s="16" t="str">
        <f>IFERROR(__xludf.DUMMYFUNCTION("""COMPUTED_VALUE"""),"")</f>
        <v/>
      </c>
      <c r="X4452" s="16" t="str">
        <f>IFERROR(__xludf.DUMMYFUNCTION("""COMPUTED_VALUE"""),"")</f>
        <v/>
      </c>
      <c r="AC4452" s="16" t="str">
        <f>IFERROR(__xludf.DUMMYFUNCTION("""COMPUTED_VALUE"""),"")</f>
        <v/>
      </c>
    </row>
    <row r="4453">
      <c r="A4453" s="16" t="s">
        <v>87</v>
      </c>
      <c r="E4453" s="16" t="str">
        <f>IFERROR(__xludf.DUMMYFUNCTION("""COMPUTED_VALUE"""),"")</f>
        <v/>
      </c>
      <c r="G4453" s="18"/>
      <c r="H4453" s="16" t="s">
        <v>87</v>
      </c>
      <c r="I4453" s="16" t="s">
        <v>87</v>
      </c>
      <c r="J4453" s="19"/>
      <c r="L4453" s="16" t="str">
        <f>IFERROR(__xludf.DUMMYFUNCTION("""COMPUTED_VALUE"""),"")</f>
        <v/>
      </c>
      <c r="M4453" s="16" t="str">
        <f>IFERROR(__xludf.DUMMYFUNCTION("""COMPUTED_VALUE"""),"")</f>
        <v/>
      </c>
      <c r="U4453" s="16" t="s">
        <v>87</v>
      </c>
      <c r="V4453" s="16" t="str">
        <f>IFERROR(__xludf.DUMMYFUNCTION("""COMPUTED_VALUE"""),"")</f>
        <v/>
      </c>
      <c r="W4453" s="16" t="str">
        <f>IFERROR(__xludf.DUMMYFUNCTION("""COMPUTED_VALUE"""),"")</f>
        <v/>
      </c>
      <c r="X4453" s="16" t="str">
        <f>IFERROR(__xludf.DUMMYFUNCTION("""COMPUTED_VALUE"""),"")</f>
        <v/>
      </c>
      <c r="AC4453" s="16" t="str">
        <f>IFERROR(__xludf.DUMMYFUNCTION("""COMPUTED_VALUE"""),"")</f>
        <v/>
      </c>
    </row>
    <row r="4454">
      <c r="A4454" s="16" t="s">
        <v>87</v>
      </c>
      <c r="E4454" s="16" t="str">
        <f>IFERROR(__xludf.DUMMYFUNCTION("""COMPUTED_VALUE"""),"")</f>
        <v/>
      </c>
      <c r="G4454" s="18"/>
      <c r="H4454" s="16" t="s">
        <v>87</v>
      </c>
      <c r="I4454" s="16" t="s">
        <v>87</v>
      </c>
      <c r="J4454" s="19"/>
      <c r="L4454" s="16" t="str">
        <f>IFERROR(__xludf.DUMMYFUNCTION("""COMPUTED_VALUE"""),"")</f>
        <v/>
      </c>
      <c r="M4454" s="16" t="str">
        <f>IFERROR(__xludf.DUMMYFUNCTION("""COMPUTED_VALUE"""),"")</f>
        <v/>
      </c>
      <c r="U4454" s="16" t="s">
        <v>87</v>
      </c>
      <c r="V4454" s="16" t="str">
        <f>IFERROR(__xludf.DUMMYFUNCTION("""COMPUTED_VALUE"""),"")</f>
        <v/>
      </c>
      <c r="W4454" s="16" t="str">
        <f>IFERROR(__xludf.DUMMYFUNCTION("""COMPUTED_VALUE"""),"")</f>
        <v/>
      </c>
      <c r="X4454" s="16" t="str">
        <f>IFERROR(__xludf.DUMMYFUNCTION("""COMPUTED_VALUE"""),"")</f>
        <v/>
      </c>
      <c r="AC4454" s="16" t="str">
        <f>IFERROR(__xludf.DUMMYFUNCTION("""COMPUTED_VALUE"""),"")</f>
        <v/>
      </c>
    </row>
    <row r="4455">
      <c r="A4455" s="16" t="s">
        <v>87</v>
      </c>
      <c r="E4455" s="16" t="str">
        <f>IFERROR(__xludf.DUMMYFUNCTION("""COMPUTED_VALUE"""),"")</f>
        <v/>
      </c>
      <c r="G4455" s="18"/>
      <c r="H4455" s="16" t="s">
        <v>87</v>
      </c>
      <c r="I4455" s="16" t="s">
        <v>87</v>
      </c>
      <c r="J4455" s="19"/>
      <c r="L4455" s="16" t="str">
        <f>IFERROR(__xludf.DUMMYFUNCTION("""COMPUTED_VALUE"""),"")</f>
        <v/>
      </c>
      <c r="M4455" s="16" t="str">
        <f>IFERROR(__xludf.DUMMYFUNCTION("""COMPUTED_VALUE"""),"")</f>
        <v/>
      </c>
      <c r="U4455" s="16" t="s">
        <v>87</v>
      </c>
      <c r="V4455" s="16" t="str">
        <f>IFERROR(__xludf.DUMMYFUNCTION("""COMPUTED_VALUE"""),"")</f>
        <v/>
      </c>
      <c r="W4455" s="16" t="str">
        <f>IFERROR(__xludf.DUMMYFUNCTION("""COMPUTED_VALUE"""),"")</f>
        <v/>
      </c>
      <c r="X4455" s="16" t="str">
        <f>IFERROR(__xludf.DUMMYFUNCTION("""COMPUTED_VALUE"""),"")</f>
        <v/>
      </c>
      <c r="AC4455" s="16" t="str">
        <f>IFERROR(__xludf.DUMMYFUNCTION("""COMPUTED_VALUE"""),"")</f>
        <v/>
      </c>
    </row>
    <row r="4456">
      <c r="A4456" s="16" t="s">
        <v>87</v>
      </c>
      <c r="E4456" s="16" t="str">
        <f>IFERROR(__xludf.DUMMYFUNCTION("""COMPUTED_VALUE"""),"")</f>
        <v/>
      </c>
      <c r="G4456" s="18"/>
      <c r="H4456" s="16" t="s">
        <v>87</v>
      </c>
      <c r="I4456" s="16" t="s">
        <v>87</v>
      </c>
      <c r="J4456" s="19"/>
      <c r="L4456" s="16" t="str">
        <f>IFERROR(__xludf.DUMMYFUNCTION("""COMPUTED_VALUE"""),"")</f>
        <v/>
      </c>
      <c r="M4456" s="16" t="str">
        <f>IFERROR(__xludf.DUMMYFUNCTION("""COMPUTED_VALUE"""),"")</f>
        <v/>
      </c>
      <c r="U4456" s="16" t="s">
        <v>87</v>
      </c>
      <c r="V4456" s="16" t="str">
        <f>IFERROR(__xludf.DUMMYFUNCTION("""COMPUTED_VALUE"""),"")</f>
        <v/>
      </c>
      <c r="W4456" s="16" t="str">
        <f>IFERROR(__xludf.DUMMYFUNCTION("""COMPUTED_VALUE"""),"")</f>
        <v/>
      </c>
      <c r="X4456" s="16" t="str">
        <f>IFERROR(__xludf.DUMMYFUNCTION("""COMPUTED_VALUE"""),"")</f>
        <v/>
      </c>
      <c r="AC4456" s="16" t="str">
        <f>IFERROR(__xludf.DUMMYFUNCTION("""COMPUTED_VALUE"""),"")</f>
        <v/>
      </c>
    </row>
    <row r="4457">
      <c r="A4457" s="16" t="s">
        <v>87</v>
      </c>
      <c r="E4457" s="16" t="str">
        <f>IFERROR(__xludf.DUMMYFUNCTION("""COMPUTED_VALUE"""),"")</f>
        <v/>
      </c>
      <c r="G4457" s="18"/>
      <c r="H4457" s="16" t="s">
        <v>87</v>
      </c>
      <c r="I4457" s="16" t="s">
        <v>87</v>
      </c>
      <c r="J4457" s="19"/>
      <c r="L4457" s="16" t="str">
        <f>IFERROR(__xludf.DUMMYFUNCTION("""COMPUTED_VALUE"""),"")</f>
        <v/>
      </c>
      <c r="M4457" s="16" t="str">
        <f>IFERROR(__xludf.DUMMYFUNCTION("""COMPUTED_VALUE"""),"")</f>
        <v/>
      </c>
      <c r="U4457" s="16" t="s">
        <v>87</v>
      </c>
      <c r="V4457" s="16" t="str">
        <f>IFERROR(__xludf.DUMMYFUNCTION("""COMPUTED_VALUE"""),"")</f>
        <v/>
      </c>
      <c r="W4457" s="16" t="str">
        <f>IFERROR(__xludf.DUMMYFUNCTION("""COMPUTED_VALUE"""),"")</f>
        <v/>
      </c>
      <c r="X4457" s="16" t="str">
        <f>IFERROR(__xludf.DUMMYFUNCTION("""COMPUTED_VALUE"""),"")</f>
        <v/>
      </c>
      <c r="AC4457" s="16" t="str">
        <f>IFERROR(__xludf.DUMMYFUNCTION("""COMPUTED_VALUE"""),"")</f>
        <v/>
      </c>
    </row>
    <row r="4458">
      <c r="A4458" s="16" t="s">
        <v>87</v>
      </c>
      <c r="E4458" s="16" t="str">
        <f>IFERROR(__xludf.DUMMYFUNCTION("""COMPUTED_VALUE"""),"")</f>
        <v/>
      </c>
      <c r="G4458" s="18"/>
      <c r="H4458" s="16" t="s">
        <v>87</v>
      </c>
      <c r="I4458" s="16" t="s">
        <v>87</v>
      </c>
      <c r="J4458" s="19"/>
      <c r="L4458" s="16" t="str">
        <f>IFERROR(__xludf.DUMMYFUNCTION("""COMPUTED_VALUE"""),"")</f>
        <v/>
      </c>
      <c r="M4458" s="16" t="str">
        <f>IFERROR(__xludf.DUMMYFUNCTION("""COMPUTED_VALUE"""),"")</f>
        <v/>
      </c>
      <c r="U4458" s="16" t="s">
        <v>87</v>
      </c>
      <c r="V4458" s="16" t="str">
        <f>IFERROR(__xludf.DUMMYFUNCTION("""COMPUTED_VALUE"""),"")</f>
        <v/>
      </c>
      <c r="W4458" s="16" t="str">
        <f>IFERROR(__xludf.DUMMYFUNCTION("""COMPUTED_VALUE"""),"")</f>
        <v/>
      </c>
      <c r="X4458" s="16" t="str">
        <f>IFERROR(__xludf.DUMMYFUNCTION("""COMPUTED_VALUE"""),"")</f>
        <v/>
      </c>
      <c r="AC4458" s="16" t="str">
        <f>IFERROR(__xludf.DUMMYFUNCTION("""COMPUTED_VALUE"""),"")</f>
        <v/>
      </c>
    </row>
    <row r="4459">
      <c r="A4459" s="16" t="s">
        <v>87</v>
      </c>
      <c r="E4459" s="16" t="str">
        <f>IFERROR(__xludf.DUMMYFUNCTION("""COMPUTED_VALUE"""),"")</f>
        <v/>
      </c>
      <c r="G4459" s="18"/>
      <c r="H4459" s="16" t="s">
        <v>87</v>
      </c>
      <c r="I4459" s="16" t="s">
        <v>87</v>
      </c>
      <c r="J4459" s="19"/>
      <c r="L4459" s="16" t="str">
        <f>IFERROR(__xludf.DUMMYFUNCTION("""COMPUTED_VALUE"""),"")</f>
        <v/>
      </c>
      <c r="M4459" s="16" t="str">
        <f>IFERROR(__xludf.DUMMYFUNCTION("""COMPUTED_VALUE"""),"")</f>
        <v/>
      </c>
      <c r="U4459" s="16" t="s">
        <v>87</v>
      </c>
      <c r="V4459" s="16" t="str">
        <f>IFERROR(__xludf.DUMMYFUNCTION("""COMPUTED_VALUE"""),"")</f>
        <v/>
      </c>
      <c r="W4459" s="16" t="str">
        <f>IFERROR(__xludf.DUMMYFUNCTION("""COMPUTED_VALUE"""),"")</f>
        <v/>
      </c>
      <c r="X4459" s="16" t="str">
        <f>IFERROR(__xludf.DUMMYFUNCTION("""COMPUTED_VALUE"""),"")</f>
        <v/>
      </c>
      <c r="AC4459" s="16" t="str">
        <f>IFERROR(__xludf.DUMMYFUNCTION("""COMPUTED_VALUE"""),"")</f>
        <v/>
      </c>
    </row>
    <row r="4460">
      <c r="A4460" s="16" t="s">
        <v>87</v>
      </c>
      <c r="E4460" s="16" t="str">
        <f>IFERROR(__xludf.DUMMYFUNCTION("""COMPUTED_VALUE"""),"")</f>
        <v/>
      </c>
      <c r="G4460" s="18"/>
      <c r="H4460" s="16" t="s">
        <v>87</v>
      </c>
      <c r="I4460" s="16" t="s">
        <v>87</v>
      </c>
      <c r="J4460" s="19"/>
      <c r="L4460" s="16" t="str">
        <f>IFERROR(__xludf.DUMMYFUNCTION("""COMPUTED_VALUE"""),"")</f>
        <v/>
      </c>
      <c r="M4460" s="16" t="str">
        <f>IFERROR(__xludf.DUMMYFUNCTION("""COMPUTED_VALUE"""),"")</f>
        <v/>
      </c>
      <c r="U4460" s="16" t="s">
        <v>87</v>
      </c>
      <c r="V4460" s="16" t="str">
        <f>IFERROR(__xludf.DUMMYFUNCTION("""COMPUTED_VALUE"""),"")</f>
        <v/>
      </c>
      <c r="W4460" s="16" t="str">
        <f>IFERROR(__xludf.DUMMYFUNCTION("""COMPUTED_VALUE"""),"")</f>
        <v/>
      </c>
      <c r="X4460" s="16" t="str">
        <f>IFERROR(__xludf.DUMMYFUNCTION("""COMPUTED_VALUE"""),"")</f>
        <v/>
      </c>
      <c r="AC4460" s="16" t="str">
        <f>IFERROR(__xludf.DUMMYFUNCTION("""COMPUTED_VALUE"""),"")</f>
        <v/>
      </c>
    </row>
    <row r="4461">
      <c r="A4461" s="16" t="s">
        <v>87</v>
      </c>
      <c r="E4461" s="16" t="str">
        <f>IFERROR(__xludf.DUMMYFUNCTION("""COMPUTED_VALUE"""),"")</f>
        <v/>
      </c>
      <c r="G4461" s="18"/>
      <c r="H4461" s="16" t="s">
        <v>87</v>
      </c>
      <c r="I4461" s="16" t="s">
        <v>87</v>
      </c>
      <c r="J4461" s="19"/>
      <c r="L4461" s="16" t="str">
        <f>IFERROR(__xludf.DUMMYFUNCTION("""COMPUTED_VALUE"""),"")</f>
        <v/>
      </c>
      <c r="M4461" s="16" t="str">
        <f>IFERROR(__xludf.DUMMYFUNCTION("""COMPUTED_VALUE"""),"")</f>
        <v/>
      </c>
      <c r="U4461" s="16" t="s">
        <v>87</v>
      </c>
      <c r="V4461" s="16" t="str">
        <f>IFERROR(__xludf.DUMMYFUNCTION("""COMPUTED_VALUE"""),"")</f>
        <v/>
      </c>
      <c r="W4461" s="16" t="str">
        <f>IFERROR(__xludf.DUMMYFUNCTION("""COMPUTED_VALUE"""),"")</f>
        <v/>
      </c>
      <c r="X4461" s="16" t="str">
        <f>IFERROR(__xludf.DUMMYFUNCTION("""COMPUTED_VALUE"""),"")</f>
        <v/>
      </c>
      <c r="AC4461" s="16" t="str">
        <f>IFERROR(__xludf.DUMMYFUNCTION("""COMPUTED_VALUE"""),"")</f>
        <v/>
      </c>
    </row>
    <row r="4462">
      <c r="A4462" s="16" t="s">
        <v>87</v>
      </c>
      <c r="E4462" s="16" t="str">
        <f>IFERROR(__xludf.DUMMYFUNCTION("""COMPUTED_VALUE"""),"")</f>
        <v/>
      </c>
      <c r="G4462" s="18"/>
      <c r="H4462" s="16" t="s">
        <v>87</v>
      </c>
      <c r="I4462" s="16" t="s">
        <v>87</v>
      </c>
      <c r="J4462" s="19"/>
      <c r="L4462" s="16" t="str">
        <f>IFERROR(__xludf.DUMMYFUNCTION("""COMPUTED_VALUE"""),"")</f>
        <v/>
      </c>
      <c r="M4462" s="16" t="str">
        <f>IFERROR(__xludf.DUMMYFUNCTION("""COMPUTED_VALUE"""),"")</f>
        <v/>
      </c>
      <c r="U4462" s="16" t="s">
        <v>87</v>
      </c>
      <c r="V4462" s="16" t="str">
        <f>IFERROR(__xludf.DUMMYFUNCTION("""COMPUTED_VALUE"""),"")</f>
        <v/>
      </c>
      <c r="W4462" s="16" t="str">
        <f>IFERROR(__xludf.DUMMYFUNCTION("""COMPUTED_VALUE"""),"")</f>
        <v/>
      </c>
      <c r="X4462" s="16" t="str">
        <f>IFERROR(__xludf.DUMMYFUNCTION("""COMPUTED_VALUE"""),"")</f>
        <v/>
      </c>
      <c r="AC4462" s="16" t="str">
        <f>IFERROR(__xludf.DUMMYFUNCTION("""COMPUTED_VALUE"""),"")</f>
        <v/>
      </c>
    </row>
    <row r="4463">
      <c r="A4463" s="16" t="s">
        <v>87</v>
      </c>
      <c r="E4463" s="16" t="str">
        <f>IFERROR(__xludf.DUMMYFUNCTION("""COMPUTED_VALUE"""),"")</f>
        <v/>
      </c>
      <c r="G4463" s="18"/>
      <c r="H4463" s="16" t="s">
        <v>87</v>
      </c>
      <c r="I4463" s="16" t="s">
        <v>87</v>
      </c>
      <c r="J4463" s="19"/>
      <c r="L4463" s="16" t="str">
        <f>IFERROR(__xludf.DUMMYFUNCTION("""COMPUTED_VALUE"""),"")</f>
        <v/>
      </c>
      <c r="M4463" s="16" t="str">
        <f>IFERROR(__xludf.DUMMYFUNCTION("""COMPUTED_VALUE"""),"")</f>
        <v/>
      </c>
      <c r="U4463" s="16" t="s">
        <v>87</v>
      </c>
      <c r="V4463" s="16" t="str">
        <f>IFERROR(__xludf.DUMMYFUNCTION("""COMPUTED_VALUE"""),"")</f>
        <v/>
      </c>
      <c r="W4463" s="16" t="str">
        <f>IFERROR(__xludf.DUMMYFUNCTION("""COMPUTED_VALUE"""),"")</f>
        <v/>
      </c>
      <c r="X4463" s="16" t="str">
        <f>IFERROR(__xludf.DUMMYFUNCTION("""COMPUTED_VALUE"""),"")</f>
        <v/>
      </c>
      <c r="AC4463" s="16" t="str">
        <f>IFERROR(__xludf.DUMMYFUNCTION("""COMPUTED_VALUE"""),"")</f>
        <v/>
      </c>
    </row>
    <row r="4464">
      <c r="A4464" s="16" t="s">
        <v>87</v>
      </c>
      <c r="E4464" s="16" t="str">
        <f>IFERROR(__xludf.DUMMYFUNCTION("""COMPUTED_VALUE"""),"")</f>
        <v/>
      </c>
      <c r="G4464" s="18"/>
      <c r="H4464" s="16" t="s">
        <v>87</v>
      </c>
      <c r="I4464" s="16" t="s">
        <v>87</v>
      </c>
      <c r="J4464" s="19"/>
      <c r="L4464" s="16" t="str">
        <f>IFERROR(__xludf.DUMMYFUNCTION("""COMPUTED_VALUE"""),"")</f>
        <v/>
      </c>
      <c r="M4464" s="16" t="str">
        <f>IFERROR(__xludf.DUMMYFUNCTION("""COMPUTED_VALUE"""),"")</f>
        <v/>
      </c>
      <c r="U4464" s="16" t="s">
        <v>87</v>
      </c>
      <c r="V4464" s="16" t="str">
        <f>IFERROR(__xludf.DUMMYFUNCTION("""COMPUTED_VALUE"""),"")</f>
        <v/>
      </c>
      <c r="W4464" s="16" t="str">
        <f>IFERROR(__xludf.DUMMYFUNCTION("""COMPUTED_VALUE"""),"")</f>
        <v/>
      </c>
      <c r="X4464" s="16" t="str">
        <f>IFERROR(__xludf.DUMMYFUNCTION("""COMPUTED_VALUE"""),"")</f>
        <v/>
      </c>
      <c r="AC4464" s="16" t="str">
        <f>IFERROR(__xludf.DUMMYFUNCTION("""COMPUTED_VALUE"""),"")</f>
        <v/>
      </c>
    </row>
    <row r="4465">
      <c r="A4465" s="16" t="s">
        <v>87</v>
      </c>
      <c r="E4465" s="16" t="str">
        <f>IFERROR(__xludf.DUMMYFUNCTION("""COMPUTED_VALUE"""),"")</f>
        <v/>
      </c>
      <c r="G4465" s="18"/>
      <c r="H4465" s="16" t="s">
        <v>87</v>
      </c>
      <c r="I4465" s="16" t="s">
        <v>87</v>
      </c>
      <c r="J4465" s="19"/>
      <c r="L4465" s="16" t="str">
        <f>IFERROR(__xludf.DUMMYFUNCTION("""COMPUTED_VALUE"""),"")</f>
        <v/>
      </c>
      <c r="M4465" s="16" t="str">
        <f>IFERROR(__xludf.DUMMYFUNCTION("""COMPUTED_VALUE"""),"")</f>
        <v/>
      </c>
      <c r="U4465" s="16" t="s">
        <v>87</v>
      </c>
      <c r="V4465" s="16" t="str">
        <f>IFERROR(__xludf.DUMMYFUNCTION("""COMPUTED_VALUE"""),"")</f>
        <v/>
      </c>
      <c r="W4465" s="16" t="str">
        <f>IFERROR(__xludf.DUMMYFUNCTION("""COMPUTED_VALUE"""),"")</f>
        <v/>
      </c>
      <c r="X4465" s="16" t="str">
        <f>IFERROR(__xludf.DUMMYFUNCTION("""COMPUTED_VALUE"""),"")</f>
        <v/>
      </c>
      <c r="AC4465" s="16" t="str">
        <f>IFERROR(__xludf.DUMMYFUNCTION("""COMPUTED_VALUE"""),"")</f>
        <v/>
      </c>
    </row>
    <row r="4466">
      <c r="A4466" s="16" t="s">
        <v>87</v>
      </c>
      <c r="E4466" s="16" t="str">
        <f>IFERROR(__xludf.DUMMYFUNCTION("""COMPUTED_VALUE"""),"")</f>
        <v/>
      </c>
      <c r="G4466" s="18"/>
      <c r="H4466" s="16" t="s">
        <v>87</v>
      </c>
      <c r="I4466" s="16" t="s">
        <v>87</v>
      </c>
      <c r="J4466" s="19"/>
      <c r="L4466" s="16" t="str">
        <f>IFERROR(__xludf.DUMMYFUNCTION("""COMPUTED_VALUE"""),"")</f>
        <v/>
      </c>
      <c r="M4466" s="16" t="str">
        <f>IFERROR(__xludf.DUMMYFUNCTION("""COMPUTED_VALUE"""),"")</f>
        <v/>
      </c>
      <c r="U4466" s="16" t="s">
        <v>87</v>
      </c>
      <c r="V4466" s="16" t="str">
        <f>IFERROR(__xludf.DUMMYFUNCTION("""COMPUTED_VALUE"""),"")</f>
        <v/>
      </c>
      <c r="W4466" s="16" t="str">
        <f>IFERROR(__xludf.DUMMYFUNCTION("""COMPUTED_VALUE"""),"")</f>
        <v/>
      </c>
      <c r="X4466" s="16" t="str">
        <f>IFERROR(__xludf.DUMMYFUNCTION("""COMPUTED_VALUE"""),"")</f>
        <v/>
      </c>
      <c r="AC4466" s="16" t="str">
        <f>IFERROR(__xludf.DUMMYFUNCTION("""COMPUTED_VALUE"""),"")</f>
        <v/>
      </c>
    </row>
    <row r="4467">
      <c r="A4467" s="16" t="s">
        <v>87</v>
      </c>
      <c r="E4467" s="16" t="str">
        <f>IFERROR(__xludf.DUMMYFUNCTION("""COMPUTED_VALUE"""),"")</f>
        <v/>
      </c>
      <c r="G4467" s="18"/>
      <c r="H4467" s="16" t="s">
        <v>87</v>
      </c>
      <c r="I4467" s="16" t="s">
        <v>87</v>
      </c>
      <c r="J4467" s="19"/>
      <c r="L4467" s="16" t="str">
        <f>IFERROR(__xludf.DUMMYFUNCTION("""COMPUTED_VALUE"""),"")</f>
        <v/>
      </c>
      <c r="M4467" s="16" t="str">
        <f>IFERROR(__xludf.DUMMYFUNCTION("""COMPUTED_VALUE"""),"")</f>
        <v/>
      </c>
      <c r="U4467" s="16" t="s">
        <v>87</v>
      </c>
      <c r="V4467" s="16" t="str">
        <f>IFERROR(__xludf.DUMMYFUNCTION("""COMPUTED_VALUE"""),"")</f>
        <v/>
      </c>
      <c r="W4467" s="16" t="str">
        <f>IFERROR(__xludf.DUMMYFUNCTION("""COMPUTED_VALUE"""),"")</f>
        <v/>
      </c>
      <c r="X4467" s="16" t="str">
        <f>IFERROR(__xludf.DUMMYFUNCTION("""COMPUTED_VALUE"""),"")</f>
        <v/>
      </c>
      <c r="AC4467" s="16" t="str">
        <f>IFERROR(__xludf.DUMMYFUNCTION("""COMPUTED_VALUE"""),"")</f>
        <v/>
      </c>
    </row>
    <row r="4468">
      <c r="A4468" s="16" t="s">
        <v>87</v>
      </c>
      <c r="E4468" s="16" t="str">
        <f>IFERROR(__xludf.DUMMYFUNCTION("""COMPUTED_VALUE"""),"")</f>
        <v/>
      </c>
      <c r="G4468" s="18"/>
      <c r="H4468" s="16" t="s">
        <v>87</v>
      </c>
      <c r="I4468" s="16" t="s">
        <v>87</v>
      </c>
      <c r="J4468" s="19"/>
      <c r="L4468" s="16" t="str">
        <f>IFERROR(__xludf.DUMMYFUNCTION("""COMPUTED_VALUE"""),"")</f>
        <v/>
      </c>
      <c r="M4468" s="16" t="str">
        <f>IFERROR(__xludf.DUMMYFUNCTION("""COMPUTED_VALUE"""),"")</f>
        <v/>
      </c>
      <c r="U4468" s="16" t="s">
        <v>87</v>
      </c>
      <c r="V4468" s="16" t="str">
        <f>IFERROR(__xludf.DUMMYFUNCTION("""COMPUTED_VALUE"""),"")</f>
        <v/>
      </c>
      <c r="W4468" s="16" t="str">
        <f>IFERROR(__xludf.DUMMYFUNCTION("""COMPUTED_VALUE"""),"")</f>
        <v/>
      </c>
      <c r="X4468" s="16" t="str">
        <f>IFERROR(__xludf.DUMMYFUNCTION("""COMPUTED_VALUE"""),"")</f>
        <v/>
      </c>
      <c r="AC4468" s="16" t="str">
        <f>IFERROR(__xludf.DUMMYFUNCTION("""COMPUTED_VALUE"""),"")</f>
        <v/>
      </c>
    </row>
    <row r="4469">
      <c r="A4469" s="16" t="s">
        <v>87</v>
      </c>
      <c r="E4469" s="16" t="str">
        <f>IFERROR(__xludf.DUMMYFUNCTION("""COMPUTED_VALUE"""),"")</f>
        <v/>
      </c>
      <c r="G4469" s="18"/>
      <c r="H4469" s="16" t="s">
        <v>87</v>
      </c>
      <c r="I4469" s="16" t="s">
        <v>87</v>
      </c>
      <c r="J4469" s="19"/>
      <c r="L4469" s="16" t="str">
        <f>IFERROR(__xludf.DUMMYFUNCTION("""COMPUTED_VALUE"""),"")</f>
        <v/>
      </c>
      <c r="M4469" s="16" t="str">
        <f>IFERROR(__xludf.DUMMYFUNCTION("""COMPUTED_VALUE"""),"")</f>
        <v/>
      </c>
      <c r="U4469" s="16" t="s">
        <v>87</v>
      </c>
      <c r="V4469" s="16" t="str">
        <f>IFERROR(__xludf.DUMMYFUNCTION("""COMPUTED_VALUE"""),"")</f>
        <v/>
      </c>
      <c r="W4469" s="16" t="str">
        <f>IFERROR(__xludf.DUMMYFUNCTION("""COMPUTED_VALUE"""),"")</f>
        <v/>
      </c>
      <c r="X4469" s="16" t="str">
        <f>IFERROR(__xludf.DUMMYFUNCTION("""COMPUTED_VALUE"""),"")</f>
        <v/>
      </c>
      <c r="AC4469" s="16" t="str">
        <f>IFERROR(__xludf.DUMMYFUNCTION("""COMPUTED_VALUE"""),"")</f>
        <v/>
      </c>
    </row>
    <row r="4470">
      <c r="A4470" s="16" t="s">
        <v>87</v>
      </c>
      <c r="E4470" s="16" t="str">
        <f>IFERROR(__xludf.DUMMYFUNCTION("""COMPUTED_VALUE"""),"")</f>
        <v/>
      </c>
      <c r="G4470" s="18"/>
      <c r="H4470" s="16" t="s">
        <v>87</v>
      </c>
      <c r="I4470" s="16" t="s">
        <v>87</v>
      </c>
      <c r="J4470" s="19"/>
      <c r="L4470" s="16" t="str">
        <f>IFERROR(__xludf.DUMMYFUNCTION("""COMPUTED_VALUE"""),"")</f>
        <v/>
      </c>
      <c r="M4470" s="16" t="str">
        <f>IFERROR(__xludf.DUMMYFUNCTION("""COMPUTED_VALUE"""),"")</f>
        <v/>
      </c>
      <c r="U4470" s="16" t="s">
        <v>87</v>
      </c>
      <c r="V4470" s="16" t="str">
        <f>IFERROR(__xludf.DUMMYFUNCTION("""COMPUTED_VALUE"""),"")</f>
        <v/>
      </c>
      <c r="W4470" s="16" t="str">
        <f>IFERROR(__xludf.DUMMYFUNCTION("""COMPUTED_VALUE"""),"")</f>
        <v/>
      </c>
      <c r="X4470" s="16" t="str">
        <f>IFERROR(__xludf.DUMMYFUNCTION("""COMPUTED_VALUE"""),"")</f>
        <v/>
      </c>
      <c r="AC4470" s="16" t="str">
        <f>IFERROR(__xludf.DUMMYFUNCTION("""COMPUTED_VALUE"""),"")</f>
        <v/>
      </c>
    </row>
    <row r="4471">
      <c r="A4471" s="16" t="s">
        <v>87</v>
      </c>
      <c r="E4471" s="16" t="str">
        <f>IFERROR(__xludf.DUMMYFUNCTION("""COMPUTED_VALUE"""),"")</f>
        <v/>
      </c>
      <c r="G4471" s="18"/>
      <c r="H4471" s="16" t="s">
        <v>87</v>
      </c>
      <c r="I4471" s="16" t="s">
        <v>87</v>
      </c>
      <c r="J4471" s="19"/>
      <c r="L4471" s="16" t="str">
        <f>IFERROR(__xludf.DUMMYFUNCTION("""COMPUTED_VALUE"""),"")</f>
        <v/>
      </c>
      <c r="M4471" s="16" t="str">
        <f>IFERROR(__xludf.DUMMYFUNCTION("""COMPUTED_VALUE"""),"")</f>
        <v/>
      </c>
      <c r="U4471" s="16" t="s">
        <v>87</v>
      </c>
      <c r="V4471" s="16" t="str">
        <f>IFERROR(__xludf.DUMMYFUNCTION("""COMPUTED_VALUE"""),"")</f>
        <v/>
      </c>
      <c r="W4471" s="16" t="str">
        <f>IFERROR(__xludf.DUMMYFUNCTION("""COMPUTED_VALUE"""),"")</f>
        <v/>
      </c>
      <c r="X4471" s="16" t="str">
        <f>IFERROR(__xludf.DUMMYFUNCTION("""COMPUTED_VALUE"""),"")</f>
        <v/>
      </c>
      <c r="AC4471" s="16" t="str">
        <f>IFERROR(__xludf.DUMMYFUNCTION("""COMPUTED_VALUE"""),"")</f>
        <v/>
      </c>
    </row>
    <row r="4472">
      <c r="A4472" s="16" t="s">
        <v>87</v>
      </c>
      <c r="E4472" s="16" t="str">
        <f>IFERROR(__xludf.DUMMYFUNCTION("""COMPUTED_VALUE"""),"")</f>
        <v/>
      </c>
      <c r="G4472" s="18"/>
      <c r="H4472" s="16" t="s">
        <v>87</v>
      </c>
      <c r="I4472" s="16" t="s">
        <v>87</v>
      </c>
      <c r="J4472" s="19"/>
      <c r="L4472" s="16" t="str">
        <f>IFERROR(__xludf.DUMMYFUNCTION("""COMPUTED_VALUE"""),"")</f>
        <v/>
      </c>
      <c r="M4472" s="16" t="str">
        <f>IFERROR(__xludf.DUMMYFUNCTION("""COMPUTED_VALUE"""),"")</f>
        <v/>
      </c>
      <c r="U4472" s="16" t="s">
        <v>87</v>
      </c>
      <c r="V4472" s="16" t="str">
        <f>IFERROR(__xludf.DUMMYFUNCTION("""COMPUTED_VALUE"""),"")</f>
        <v/>
      </c>
      <c r="W4472" s="16" t="str">
        <f>IFERROR(__xludf.DUMMYFUNCTION("""COMPUTED_VALUE"""),"")</f>
        <v/>
      </c>
      <c r="X4472" s="16" t="str">
        <f>IFERROR(__xludf.DUMMYFUNCTION("""COMPUTED_VALUE"""),"")</f>
        <v/>
      </c>
      <c r="AC4472" s="16" t="str">
        <f>IFERROR(__xludf.DUMMYFUNCTION("""COMPUTED_VALUE"""),"")</f>
        <v/>
      </c>
    </row>
    <row r="4473">
      <c r="A4473" s="16" t="s">
        <v>87</v>
      </c>
      <c r="E4473" s="16" t="str">
        <f>IFERROR(__xludf.DUMMYFUNCTION("""COMPUTED_VALUE"""),"")</f>
        <v/>
      </c>
      <c r="G4473" s="18"/>
      <c r="H4473" s="16" t="s">
        <v>87</v>
      </c>
      <c r="I4473" s="16" t="s">
        <v>87</v>
      </c>
      <c r="J4473" s="19"/>
      <c r="L4473" s="16" t="str">
        <f>IFERROR(__xludf.DUMMYFUNCTION("""COMPUTED_VALUE"""),"")</f>
        <v/>
      </c>
      <c r="M4473" s="16" t="str">
        <f>IFERROR(__xludf.DUMMYFUNCTION("""COMPUTED_VALUE"""),"")</f>
        <v/>
      </c>
      <c r="U4473" s="16" t="s">
        <v>87</v>
      </c>
      <c r="V4473" s="16" t="str">
        <f>IFERROR(__xludf.DUMMYFUNCTION("""COMPUTED_VALUE"""),"")</f>
        <v/>
      </c>
      <c r="W4473" s="16" t="str">
        <f>IFERROR(__xludf.DUMMYFUNCTION("""COMPUTED_VALUE"""),"")</f>
        <v/>
      </c>
      <c r="X4473" s="16" t="str">
        <f>IFERROR(__xludf.DUMMYFUNCTION("""COMPUTED_VALUE"""),"")</f>
        <v/>
      </c>
      <c r="AC4473" s="16" t="str">
        <f>IFERROR(__xludf.DUMMYFUNCTION("""COMPUTED_VALUE"""),"")</f>
        <v/>
      </c>
    </row>
    <row r="4474">
      <c r="A4474" s="16" t="s">
        <v>87</v>
      </c>
      <c r="E4474" s="16" t="str">
        <f>IFERROR(__xludf.DUMMYFUNCTION("""COMPUTED_VALUE"""),"")</f>
        <v/>
      </c>
      <c r="G4474" s="18"/>
      <c r="H4474" s="16" t="s">
        <v>87</v>
      </c>
      <c r="I4474" s="16" t="s">
        <v>87</v>
      </c>
      <c r="J4474" s="19"/>
      <c r="L4474" s="16" t="str">
        <f>IFERROR(__xludf.DUMMYFUNCTION("""COMPUTED_VALUE"""),"")</f>
        <v/>
      </c>
      <c r="M4474" s="16" t="str">
        <f>IFERROR(__xludf.DUMMYFUNCTION("""COMPUTED_VALUE"""),"")</f>
        <v/>
      </c>
      <c r="U4474" s="16" t="s">
        <v>87</v>
      </c>
      <c r="V4474" s="16" t="str">
        <f>IFERROR(__xludf.DUMMYFUNCTION("""COMPUTED_VALUE"""),"")</f>
        <v/>
      </c>
      <c r="W4474" s="16" t="str">
        <f>IFERROR(__xludf.DUMMYFUNCTION("""COMPUTED_VALUE"""),"")</f>
        <v/>
      </c>
      <c r="X4474" s="16" t="str">
        <f>IFERROR(__xludf.DUMMYFUNCTION("""COMPUTED_VALUE"""),"")</f>
        <v/>
      </c>
      <c r="AC4474" s="16" t="str">
        <f>IFERROR(__xludf.DUMMYFUNCTION("""COMPUTED_VALUE"""),"")</f>
        <v/>
      </c>
    </row>
    <row r="4475">
      <c r="A4475" s="16" t="s">
        <v>87</v>
      </c>
      <c r="E4475" s="16" t="str">
        <f>IFERROR(__xludf.DUMMYFUNCTION("""COMPUTED_VALUE"""),"")</f>
        <v/>
      </c>
      <c r="G4475" s="18"/>
      <c r="H4475" s="16" t="s">
        <v>87</v>
      </c>
      <c r="I4475" s="16" t="s">
        <v>87</v>
      </c>
      <c r="J4475" s="19"/>
      <c r="L4475" s="16" t="str">
        <f>IFERROR(__xludf.DUMMYFUNCTION("""COMPUTED_VALUE"""),"")</f>
        <v/>
      </c>
      <c r="M4475" s="16" t="str">
        <f>IFERROR(__xludf.DUMMYFUNCTION("""COMPUTED_VALUE"""),"")</f>
        <v/>
      </c>
      <c r="U4475" s="16" t="s">
        <v>87</v>
      </c>
      <c r="V4475" s="16" t="str">
        <f>IFERROR(__xludf.DUMMYFUNCTION("""COMPUTED_VALUE"""),"")</f>
        <v/>
      </c>
      <c r="W4475" s="16" t="str">
        <f>IFERROR(__xludf.DUMMYFUNCTION("""COMPUTED_VALUE"""),"")</f>
        <v/>
      </c>
      <c r="X4475" s="16" t="str">
        <f>IFERROR(__xludf.DUMMYFUNCTION("""COMPUTED_VALUE"""),"")</f>
        <v/>
      </c>
      <c r="AC4475" s="16" t="str">
        <f>IFERROR(__xludf.DUMMYFUNCTION("""COMPUTED_VALUE"""),"")</f>
        <v/>
      </c>
    </row>
    <row r="4476">
      <c r="A4476" s="16" t="s">
        <v>87</v>
      </c>
      <c r="E4476" s="16" t="str">
        <f>IFERROR(__xludf.DUMMYFUNCTION("""COMPUTED_VALUE"""),"")</f>
        <v/>
      </c>
      <c r="G4476" s="18"/>
      <c r="H4476" s="16" t="s">
        <v>87</v>
      </c>
      <c r="I4476" s="16" t="s">
        <v>87</v>
      </c>
      <c r="J4476" s="19"/>
      <c r="L4476" s="16" t="str">
        <f>IFERROR(__xludf.DUMMYFUNCTION("""COMPUTED_VALUE"""),"")</f>
        <v/>
      </c>
      <c r="M4476" s="16" t="str">
        <f>IFERROR(__xludf.DUMMYFUNCTION("""COMPUTED_VALUE"""),"")</f>
        <v/>
      </c>
      <c r="U4476" s="16" t="s">
        <v>87</v>
      </c>
      <c r="V4476" s="16" t="str">
        <f>IFERROR(__xludf.DUMMYFUNCTION("""COMPUTED_VALUE"""),"")</f>
        <v/>
      </c>
      <c r="W4476" s="16" t="str">
        <f>IFERROR(__xludf.DUMMYFUNCTION("""COMPUTED_VALUE"""),"")</f>
        <v/>
      </c>
      <c r="X4476" s="16" t="str">
        <f>IFERROR(__xludf.DUMMYFUNCTION("""COMPUTED_VALUE"""),"")</f>
        <v/>
      </c>
      <c r="AC4476" s="16" t="str">
        <f>IFERROR(__xludf.DUMMYFUNCTION("""COMPUTED_VALUE"""),"")</f>
        <v/>
      </c>
    </row>
    <row r="4477">
      <c r="A4477" s="16" t="s">
        <v>87</v>
      </c>
      <c r="E4477" s="16" t="str">
        <f>IFERROR(__xludf.DUMMYFUNCTION("""COMPUTED_VALUE"""),"")</f>
        <v/>
      </c>
      <c r="G4477" s="18"/>
      <c r="H4477" s="16" t="s">
        <v>87</v>
      </c>
      <c r="I4477" s="16" t="s">
        <v>87</v>
      </c>
      <c r="J4477" s="19"/>
      <c r="L4477" s="16" t="str">
        <f>IFERROR(__xludf.DUMMYFUNCTION("""COMPUTED_VALUE"""),"")</f>
        <v/>
      </c>
      <c r="M4477" s="16" t="str">
        <f>IFERROR(__xludf.DUMMYFUNCTION("""COMPUTED_VALUE"""),"")</f>
        <v/>
      </c>
      <c r="U4477" s="16" t="s">
        <v>87</v>
      </c>
      <c r="V4477" s="16" t="str">
        <f>IFERROR(__xludf.DUMMYFUNCTION("""COMPUTED_VALUE"""),"")</f>
        <v/>
      </c>
      <c r="W4477" s="16" t="str">
        <f>IFERROR(__xludf.DUMMYFUNCTION("""COMPUTED_VALUE"""),"")</f>
        <v/>
      </c>
      <c r="X4477" s="16" t="str">
        <f>IFERROR(__xludf.DUMMYFUNCTION("""COMPUTED_VALUE"""),"")</f>
        <v/>
      </c>
      <c r="AC4477" s="16" t="str">
        <f>IFERROR(__xludf.DUMMYFUNCTION("""COMPUTED_VALUE"""),"")</f>
        <v/>
      </c>
    </row>
    <row r="4478">
      <c r="A4478" s="16" t="s">
        <v>87</v>
      </c>
      <c r="E4478" s="16" t="str">
        <f>IFERROR(__xludf.DUMMYFUNCTION("""COMPUTED_VALUE"""),"")</f>
        <v/>
      </c>
      <c r="G4478" s="18"/>
      <c r="H4478" s="16" t="s">
        <v>87</v>
      </c>
      <c r="I4478" s="16" t="s">
        <v>87</v>
      </c>
      <c r="J4478" s="19"/>
      <c r="L4478" s="16" t="str">
        <f>IFERROR(__xludf.DUMMYFUNCTION("""COMPUTED_VALUE"""),"")</f>
        <v/>
      </c>
      <c r="M4478" s="16" t="str">
        <f>IFERROR(__xludf.DUMMYFUNCTION("""COMPUTED_VALUE"""),"")</f>
        <v/>
      </c>
      <c r="U4478" s="16" t="s">
        <v>87</v>
      </c>
      <c r="V4478" s="16" t="str">
        <f>IFERROR(__xludf.DUMMYFUNCTION("""COMPUTED_VALUE"""),"")</f>
        <v/>
      </c>
      <c r="W4478" s="16" t="str">
        <f>IFERROR(__xludf.DUMMYFUNCTION("""COMPUTED_VALUE"""),"")</f>
        <v/>
      </c>
      <c r="X4478" s="16" t="str">
        <f>IFERROR(__xludf.DUMMYFUNCTION("""COMPUTED_VALUE"""),"")</f>
        <v/>
      </c>
      <c r="AC4478" s="16" t="str">
        <f>IFERROR(__xludf.DUMMYFUNCTION("""COMPUTED_VALUE"""),"")</f>
        <v/>
      </c>
    </row>
    <row r="4479">
      <c r="A4479" s="16" t="s">
        <v>87</v>
      </c>
      <c r="E4479" s="16" t="str">
        <f>IFERROR(__xludf.DUMMYFUNCTION("""COMPUTED_VALUE"""),"")</f>
        <v/>
      </c>
      <c r="G4479" s="18"/>
      <c r="H4479" s="16" t="s">
        <v>87</v>
      </c>
      <c r="I4479" s="16" t="s">
        <v>87</v>
      </c>
      <c r="J4479" s="19"/>
      <c r="L4479" s="16" t="str">
        <f>IFERROR(__xludf.DUMMYFUNCTION("""COMPUTED_VALUE"""),"")</f>
        <v/>
      </c>
      <c r="M4479" s="16" t="str">
        <f>IFERROR(__xludf.DUMMYFUNCTION("""COMPUTED_VALUE"""),"")</f>
        <v/>
      </c>
      <c r="U4479" s="16" t="s">
        <v>87</v>
      </c>
      <c r="V4479" s="16" t="str">
        <f>IFERROR(__xludf.DUMMYFUNCTION("""COMPUTED_VALUE"""),"")</f>
        <v/>
      </c>
      <c r="W4479" s="16" t="str">
        <f>IFERROR(__xludf.DUMMYFUNCTION("""COMPUTED_VALUE"""),"")</f>
        <v/>
      </c>
      <c r="X4479" s="16" t="str">
        <f>IFERROR(__xludf.DUMMYFUNCTION("""COMPUTED_VALUE"""),"")</f>
        <v/>
      </c>
      <c r="AC4479" s="16" t="str">
        <f>IFERROR(__xludf.DUMMYFUNCTION("""COMPUTED_VALUE"""),"")</f>
        <v/>
      </c>
    </row>
    <row r="4480">
      <c r="A4480" s="16" t="s">
        <v>87</v>
      </c>
      <c r="E4480" s="16" t="str">
        <f>IFERROR(__xludf.DUMMYFUNCTION("""COMPUTED_VALUE"""),"")</f>
        <v/>
      </c>
      <c r="G4480" s="18"/>
      <c r="H4480" s="16" t="s">
        <v>87</v>
      </c>
      <c r="I4480" s="16" t="s">
        <v>87</v>
      </c>
      <c r="J4480" s="19"/>
      <c r="L4480" s="16" t="str">
        <f>IFERROR(__xludf.DUMMYFUNCTION("""COMPUTED_VALUE"""),"")</f>
        <v/>
      </c>
      <c r="M4480" s="16" t="str">
        <f>IFERROR(__xludf.DUMMYFUNCTION("""COMPUTED_VALUE"""),"")</f>
        <v/>
      </c>
      <c r="U4480" s="16" t="s">
        <v>87</v>
      </c>
      <c r="V4480" s="16" t="str">
        <f>IFERROR(__xludf.DUMMYFUNCTION("""COMPUTED_VALUE"""),"")</f>
        <v/>
      </c>
      <c r="W4480" s="16" t="str">
        <f>IFERROR(__xludf.DUMMYFUNCTION("""COMPUTED_VALUE"""),"")</f>
        <v/>
      </c>
      <c r="X4480" s="16" t="str">
        <f>IFERROR(__xludf.DUMMYFUNCTION("""COMPUTED_VALUE"""),"")</f>
        <v/>
      </c>
      <c r="AC4480" s="16" t="str">
        <f>IFERROR(__xludf.DUMMYFUNCTION("""COMPUTED_VALUE"""),"")</f>
        <v/>
      </c>
    </row>
    <row r="4481">
      <c r="A4481" s="16" t="s">
        <v>87</v>
      </c>
      <c r="E4481" s="16" t="str">
        <f>IFERROR(__xludf.DUMMYFUNCTION("""COMPUTED_VALUE"""),"")</f>
        <v/>
      </c>
      <c r="G4481" s="18"/>
      <c r="H4481" s="16" t="s">
        <v>87</v>
      </c>
      <c r="I4481" s="16" t="s">
        <v>87</v>
      </c>
      <c r="J4481" s="19"/>
      <c r="L4481" s="16" t="str">
        <f>IFERROR(__xludf.DUMMYFUNCTION("""COMPUTED_VALUE"""),"")</f>
        <v/>
      </c>
      <c r="M4481" s="16" t="str">
        <f>IFERROR(__xludf.DUMMYFUNCTION("""COMPUTED_VALUE"""),"")</f>
        <v/>
      </c>
      <c r="U4481" s="16" t="s">
        <v>87</v>
      </c>
      <c r="V4481" s="16" t="str">
        <f>IFERROR(__xludf.DUMMYFUNCTION("""COMPUTED_VALUE"""),"")</f>
        <v/>
      </c>
      <c r="W4481" s="16" t="str">
        <f>IFERROR(__xludf.DUMMYFUNCTION("""COMPUTED_VALUE"""),"")</f>
        <v/>
      </c>
      <c r="X4481" s="16" t="str">
        <f>IFERROR(__xludf.DUMMYFUNCTION("""COMPUTED_VALUE"""),"")</f>
        <v/>
      </c>
      <c r="AC4481" s="16" t="str">
        <f>IFERROR(__xludf.DUMMYFUNCTION("""COMPUTED_VALUE"""),"")</f>
        <v/>
      </c>
    </row>
    <row r="4482">
      <c r="A4482" s="16" t="s">
        <v>87</v>
      </c>
      <c r="E4482" s="16" t="str">
        <f>IFERROR(__xludf.DUMMYFUNCTION("""COMPUTED_VALUE"""),"")</f>
        <v/>
      </c>
      <c r="G4482" s="18"/>
      <c r="H4482" s="16" t="s">
        <v>87</v>
      </c>
      <c r="I4482" s="16" t="s">
        <v>87</v>
      </c>
      <c r="J4482" s="19"/>
      <c r="L4482" s="16" t="str">
        <f>IFERROR(__xludf.DUMMYFUNCTION("""COMPUTED_VALUE"""),"")</f>
        <v/>
      </c>
      <c r="M4482" s="16" t="str">
        <f>IFERROR(__xludf.DUMMYFUNCTION("""COMPUTED_VALUE"""),"")</f>
        <v/>
      </c>
      <c r="U4482" s="16" t="s">
        <v>87</v>
      </c>
      <c r="V4482" s="16" t="str">
        <f>IFERROR(__xludf.DUMMYFUNCTION("""COMPUTED_VALUE"""),"")</f>
        <v/>
      </c>
      <c r="W4482" s="16" t="str">
        <f>IFERROR(__xludf.DUMMYFUNCTION("""COMPUTED_VALUE"""),"")</f>
        <v/>
      </c>
      <c r="X4482" s="16" t="str">
        <f>IFERROR(__xludf.DUMMYFUNCTION("""COMPUTED_VALUE"""),"")</f>
        <v/>
      </c>
      <c r="AC4482" s="16" t="str">
        <f>IFERROR(__xludf.DUMMYFUNCTION("""COMPUTED_VALUE"""),"")</f>
        <v/>
      </c>
    </row>
    <row r="4483">
      <c r="A4483" s="16" t="s">
        <v>87</v>
      </c>
      <c r="E4483" s="16" t="str">
        <f>IFERROR(__xludf.DUMMYFUNCTION("""COMPUTED_VALUE"""),"")</f>
        <v/>
      </c>
      <c r="G4483" s="18"/>
      <c r="H4483" s="16" t="s">
        <v>87</v>
      </c>
      <c r="I4483" s="16" t="s">
        <v>87</v>
      </c>
      <c r="J4483" s="19"/>
      <c r="L4483" s="16" t="str">
        <f>IFERROR(__xludf.DUMMYFUNCTION("""COMPUTED_VALUE"""),"")</f>
        <v/>
      </c>
      <c r="M4483" s="16" t="str">
        <f>IFERROR(__xludf.DUMMYFUNCTION("""COMPUTED_VALUE"""),"")</f>
        <v/>
      </c>
      <c r="U4483" s="16" t="s">
        <v>87</v>
      </c>
      <c r="V4483" s="16" t="str">
        <f>IFERROR(__xludf.DUMMYFUNCTION("""COMPUTED_VALUE"""),"")</f>
        <v/>
      </c>
      <c r="W4483" s="16" t="str">
        <f>IFERROR(__xludf.DUMMYFUNCTION("""COMPUTED_VALUE"""),"")</f>
        <v/>
      </c>
      <c r="X4483" s="16" t="str">
        <f>IFERROR(__xludf.DUMMYFUNCTION("""COMPUTED_VALUE"""),"")</f>
        <v/>
      </c>
      <c r="AC4483" s="16" t="str">
        <f>IFERROR(__xludf.DUMMYFUNCTION("""COMPUTED_VALUE"""),"")</f>
        <v/>
      </c>
    </row>
    <row r="4484">
      <c r="A4484" s="16" t="s">
        <v>87</v>
      </c>
      <c r="E4484" s="16" t="str">
        <f>IFERROR(__xludf.DUMMYFUNCTION("""COMPUTED_VALUE"""),"")</f>
        <v/>
      </c>
      <c r="G4484" s="18"/>
      <c r="H4484" s="16" t="s">
        <v>87</v>
      </c>
      <c r="I4484" s="16" t="s">
        <v>87</v>
      </c>
      <c r="J4484" s="19"/>
      <c r="L4484" s="16" t="str">
        <f>IFERROR(__xludf.DUMMYFUNCTION("""COMPUTED_VALUE"""),"")</f>
        <v/>
      </c>
      <c r="M4484" s="16" t="str">
        <f>IFERROR(__xludf.DUMMYFUNCTION("""COMPUTED_VALUE"""),"")</f>
        <v/>
      </c>
      <c r="U4484" s="16" t="s">
        <v>87</v>
      </c>
      <c r="V4484" s="16" t="str">
        <f>IFERROR(__xludf.DUMMYFUNCTION("""COMPUTED_VALUE"""),"")</f>
        <v/>
      </c>
      <c r="W4484" s="16" t="str">
        <f>IFERROR(__xludf.DUMMYFUNCTION("""COMPUTED_VALUE"""),"")</f>
        <v/>
      </c>
      <c r="X4484" s="16" t="str">
        <f>IFERROR(__xludf.DUMMYFUNCTION("""COMPUTED_VALUE"""),"")</f>
        <v/>
      </c>
      <c r="AC4484" s="16" t="str">
        <f>IFERROR(__xludf.DUMMYFUNCTION("""COMPUTED_VALUE"""),"")</f>
        <v/>
      </c>
    </row>
    <row r="4485">
      <c r="A4485" s="16" t="s">
        <v>87</v>
      </c>
      <c r="E4485" s="16" t="str">
        <f>IFERROR(__xludf.DUMMYFUNCTION("""COMPUTED_VALUE"""),"")</f>
        <v/>
      </c>
      <c r="G4485" s="18"/>
      <c r="H4485" s="16" t="s">
        <v>87</v>
      </c>
      <c r="I4485" s="16" t="s">
        <v>87</v>
      </c>
      <c r="J4485" s="19"/>
      <c r="L4485" s="16" t="str">
        <f>IFERROR(__xludf.DUMMYFUNCTION("""COMPUTED_VALUE"""),"")</f>
        <v/>
      </c>
      <c r="M4485" s="16" t="str">
        <f>IFERROR(__xludf.DUMMYFUNCTION("""COMPUTED_VALUE"""),"")</f>
        <v/>
      </c>
      <c r="U4485" s="16" t="s">
        <v>87</v>
      </c>
      <c r="V4485" s="16" t="str">
        <f>IFERROR(__xludf.DUMMYFUNCTION("""COMPUTED_VALUE"""),"")</f>
        <v/>
      </c>
      <c r="W4485" s="16" t="str">
        <f>IFERROR(__xludf.DUMMYFUNCTION("""COMPUTED_VALUE"""),"")</f>
        <v/>
      </c>
      <c r="X4485" s="16" t="str">
        <f>IFERROR(__xludf.DUMMYFUNCTION("""COMPUTED_VALUE"""),"")</f>
        <v/>
      </c>
      <c r="AC4485" s="16" t="str">
        <f>IFERROR(__xludf.DUMMYFUNCTION("""COMPUTED_VALUE"""),"")</f>
        <v/>
      </c>
    </row>
    <row r="4486">
      <c r="A4486" s="16" t="s">
        <v>87</v>
      </c>
      <c r="E4486" s="16" t="str">
        <f>IFERROR(__xludf.DUMMYFUNCTION("""COMPUTED_VALUE"""),"")</f>
        <v/>
      </c>
      <c r="G4486" s="18"/>
      <c r="H4486" s="16" t="s">
        <v>87</v>
      </c>
      <c r="I4486" s="16" t="s">
        <v>87</v>
      </c>
      <c r="J4486" s="19"/>
      <c r="L4486" s="16" t="str">
        <f>IFERROR(__xludf.DUMMYFUNCTION("""COMPUTED_VALUE"""),"")</f>
        <v/>
      </c>
      <c r="M4486" s="16" t="str">
        <f>IFERROR(__xludf.DUMMYFUNCTION("""COMPUTED_VALUE"""),"")</f>
        <v/>
      </c>
      <c r="U4486" s="16" t="s">
        <v>87</v>
      </c>
      <c r="V4486" s="16" t="str">
        <f>IFERROR(__xludf.DUMMYFUNCTION("""COMPUTED_VALUE"""),"")</f>
        <v/>
      </c>
      <c r="W4486" s="16" t="str">
        <f>IFERROR(__xludf.DUMMYFUNCTION("""COMPUTED_VALUE"""),"")</f>
        <v/>
      </c>
      <c r="X4486" s="16" t="str">
        <f>IFERROR(__xludf.DUMMYFUNCTION("""COMPUTED_VALUE"""),"")</f>
        <v/>
      </c>
      <c r="AC4486" s="16" t="str">
        <f>IFERROR(__xludf.DUMMYFUNCTION("""COMPUTED_VALUE"""),"")</f>
        <v/>
      </c>
    </row>
    <row r="4487">
      <c r="A4487" s="16" t="s">
        <v>87</v>
      </c>
      <c r="E4487" s="16" t="str">
        <f>IFERROR(__xludf.DUMMYFUNCTION("""COMPUTED_VALUE"""),"")</f>
        <v/>
      </c>
      <c r="G4487" s="18"/>
      <c r="H4487" s="16" t="s">
        <v>87</v>
      </c>
      <c r="I4487" s="16" t="s">
        <v>87</v>
      </c>
      <c r="J4487" s="19"/>
      <c r="L4487" s="16" t="str">
        <f>IFERROR(__xludf.DUMMYFUNCTION("""COMPUTED_VALUE"""),"")</f>
        <v/>
      </c>
      <c r="M4487" s="16" t="str">
        <f>IFERROR(__xludf.DUMMYFUNCTION("""COMPUTED_VALUE"""),"")</f>
        <v/>
      </c>
      <c r="U4487" s="16" t="s">
        <v>87</v>
      </c>
      <c r="V4487" s="16" t="str">
        <f>IFERROR(__xludf.DUMMYFUNCTION("""COMPUTED_VALUE"""),"")</f>
        <v/>
      </c>
      <c r="W4487" s="16" t="str">
        <f>IFERROR(__xludf.DUMMYFUNCTION("""COMPUTED_VALUE"""),"")</f>
        <v/>
      </c>
      <c r="X4487" s="16" t="str">
        <f>IFERROR(__xludf.DUMMYFUNCTION("""COMPUTED_VALUE"""),"")</f>
        <v/>
      </c>
      <c r="AC4487" s="16" t="str">
        <f>IFERROR(__xludf.DUMMYFUNCTION("""COMPUTED_VALUE"""),"")</f>
        <v/>
      </c>
    </row>
    <row r="4488">
      <c r="A4488" s="16" t="s">
        <v>87</v>
      </c>
      <c r="E4488" s="16" t="str">
        <f>IFERROR(__xludf.DUMMYFUNCTION("""COMPUTED_VALUE"""),"")</f>
        <v/>
      </c>
      <c r="G4488" s="18"/>
      <c r="H4488" s="16" t="s">
        <v>87</v>
      </c>
      <c r="I4488" s="16" t="s">
        <v>87</v>
      </c>
      <c r="J4488" s="19"/>
      <c r="L4488" s="16" t="str">
        <f>IFERROR(__xludf.DUMMYFUNCTION("""COMPUTED_VALUE"""),"")</f>
        <v/>
      </c>
      <c r="M4488" s="16" t="str">
        <f>IFERROR(__xludf.DUMMYFUNCTION("""COMPUTED_VALUE"""),"")</f>
        <v/>
      </c>
      <c r="U4488" s="16" t="s">
        <v>87</v>
      </c>
      <c r="V4488" s="16" t="str">
        <f>IFERROR(__xludf.DUMMYFUNCTION("""COMPUTED_VALUE"""),"")</f>
        <v/>
      </c>
      <c r="W4488" s="16" t="str">
        <f>IFERROR(__xludf.DUMMYFUNCTION("""COMPUTED_VALUE"""),"")</f>
        <v/>
      </c>
      <c r="X4488" s="16" t="str">
        <f>IFERROR(__xludf.DUMMYFUNCTION("""COMPUTED_VALUE"""),"")</f>
        <v/>
      </c>
      <c r="AC4488" s="16" t="str">
        <f>IFERROR(__xludf.DUMMYFUNCTION("""COMPUTED_VALUE"""),"")</f>
        <v/>
      </c>
    </row>
    <row r="4489">
      <c r="A4489" s="16" t="s">
        <v>87</v>
      </c>
      <c r="E4489" s="16" t="str">
        <f>IFERROR(__xludf.DUMMYFUNCTION("""COMPUTED_VALUE"""),"")</f>
        <v/>
      </c>
      <c r="G4489" s="18"/>
      <c r="H4489" s="16" t="s">
        <v>87</v>
      </c>
      <c r="I4489" s="16" t="s">
        <v>87</v>
      </c>
      <c r="J4489" s="19"/>
      <c r="L4489" s="16" t="str">
        <f>IFERROR(__xludf.DUMMYFUNCTION("""COMPUTED_VALUE"""),"")</f>
        <v/>
      </c>
      <c r="M4489" s="16" t="str">
        <f>IFERROR(__xludf.DUMMYFUNCTION("""COMPUTED_VALUE"""),"")</f>
        <v/>
      </c>
      <c r="U4489" s="16" t="s">
        <v>87</v>
      </c>
      <c r="V4489" s="16" t="str">
        <f>IFERROR(__xludf.DUMMYFUNCTION("""COMPUTED_VALUE"""),"")</f>
        <v/>
      </c>
      <c r="W4489" s="16" t="str">
        <f>IFERROR(__xludf.DUMMYFUNCTION("""COMPUTED_VALUE"""),"")</f>
        <v/>
      </c>
      <c r="X4489" s="16" t="str">
        <f>IFERROR(__xludf.DUMMYFUNCTION("""COMPUTED_VALUE"""),"")</f>
        <v/>
      </c>
      <c r="AC4489" s="16" t="str">
        <f>IFERROR(__xludf.DUMMYFUNCTION("""COMPUTED_VALUE"""),"")</f>
        <v/>
      </c>
    </row>
    <row r="4490">
      <c r="A4490" s="16" t="s">
        <v>87</v>
      </c>
      <c r="E4490" s="16" t="str">
        <f>IFERROR(__xludf.DUMMYFUNCTION("""COMPUTED_VALUE"""),"")</f>
        <v/>
      </c>
      <c r="G4490" s="18"/>
      <c r="H4490" s="16" t="s">
        <v>87</v>
      </c>
      <c r="I4490" s="16" t="s">
        <v>87</v>
      </c>
      <c r="J4490" s="19"/>
      <c r="L4490" s="16" t="str">
        <f>IFERROR(__xludf.DUMMYFUNCTION("""COMPUTED_VALUE"""),"")</f>
        <v/>
      </c>
      <c r="M4490" s="16" t="str">
        <f>IFERROR(__xludf.DUMMYFUNCTION("""COMPUTED_VALUE"""),"")</f>
        <v/>
      </c>
      <c r="U4490" s="16" t="s">
        <v>87</v>
      </c>
      <c r="V4490" s="16" t="str">
        <f>IFERROR(__xludf.DUMMYFUNCTION("""COMPUTED_VALUE"""),"")</f>
        <v/>
      </c>
      <c r="W4490" s="16" t="str">
        <f>IFERROR(__xludf.DUMMYFUNCTION("""COMPUTED_VALUE"""),"")</f>
        <v/>
      </c>
      <c r="X4490" s="16" t="str">
        <f>IFERROR(__xludf.DUMMYFUNCTION("""COMPUTED_VALUE"""),"")</f>
        <v/>
      </c>
      <c r="AC4490" s="16" t="str">
        <f>IFERROR(__xludf.DUMMYFUNCTION("""COMPUTED_VALUE"""),"")</f>
        <v/>
      </c>
    </row>
    <row r="4491">
      <c r="A4491" s="16" t="s">
        <v>87</v>
      </c>
      <c r="E4491" s="16" t="str">
        <f>IFERROR(__xludf.DUMMYFUNCTION("""COMPUTED_VALUE"""),"")</f>
        <v/>
      </c>
      <c r="G4491" s="18"/>
      <c r="H4491" s="16" t="s">
        <v>87</v>
      </c>
      <c r="I4491" s="16" t="s">
        <v>87</v>
      </c>
      <c r="J4491" s="19"/>
      <c r="L4491" s="16" t="str">
        <f>IFERROR(__xludf.DUMMYFUNCTION("""COMPUTED_VALUE"""),"")</f>
        <v/>
      </c>
      <c r="M4491" s="16" t="str">
        <f>IFERROR(__xludf.DUMMYFUNCTION("""COMPUTED_VALUE"""),"")</f>
        <v/>
      </c>
      <c r="U4491" s="16" t="s">
        <v>87</v>
      </c>
      <c r="V4491" s="16" t="str">
        <f>IFERROR(__xludf.DUMMYFUNCTION("""COMPUTED_VALUE"""),"")</f>
        <v/>
      </c>
      <c r="W4491" s="16" t="str">
        <f>IFERROR(__xludf.DUMMYFUNCTION("""COMPUTED_VALUE"""),"")</f>
        <v/>
      </c>
      <c r="X4491" s="16" t="str">
        <f>IFERROR(__xludf.DUMMYFUNCTION("""COMPUTED_VALUE"""),"")</f>
        <v/>
      </c>
      <c r="AC4491" s="16" t="str">
        <f>IFERROR(__xludf.DUMMYFUNCTION("""COMPUTED_VALUE"""),"")</f>
        <v/>
      </c>
    </row>
    <row r="4492">
      <c r="A4492" s="16" t="s">
        <v>87</v>
      </c>
      <c r="E4492" s="16" t="str">
        <f>IFERROR(__xludf.DUMMYFUNCTION("""COMPUTED_VALUE"""),"")</f>
        <v/>
      </c>
      <c r="G4492" s="18"/>
      <c r="H4492" s="16" t="s">
        <v>87</v>
      </c>
      <c r="I4492" s="16" t="s">
        <v>87</v>
      </c>
      <c r="J4492" s="19"/>
      <c r="L4492" s="16" t="str">
        <f>IFERROR(__xludf.DUMMYFUNCTION("""COMPUTED_VALUE"""),"")</f>
        <v/>
      </c>
      <c r="M4492" s="16" t="str">
        <f>IFERROR(__xludf.DUMMYFUNCTION("""COMPUTED_VALUE"""),"")</f>
        <v/>
      </c>
      <c r="U4492" s="16" t="s">
        <v>87</v>
      </c>
      <c r="V4492" s="16" t="str">
        <f>IFERROR(__xludf.DUMMYFUNCTION("""COMPUTED_VALUE"""),"")</f>
        <v/>
      </c>
      <c r="W4492" s="16" t="str">
        <f>IFERROR(__xludf.DUMMYFUNCTION("""COMPUTED_VALUE"""),"")</f>
        <v/>
      </c>
      <c r="X4492" s="16" t="str">
        <f>IFERROR(__xludf.DUMMYFUNCTION("""COMPUTED_VALUE"""),"")</f>
        <v/>
      </c>
      <c r="AC4492" s="16" t="str">
        <f>IFERROR(__xludf.DUMMYFUNCTION("""COMPUTED_VALUE"""),"")</f>
        <v/>
      </c>
    </row>
    <row r="4493">
      <c r="A4493" s="16" t="s">
        <v>87</v>
      </c>
      <c r="E4493" s="16" t="str">
        <f>IFERROR(__xludf.DUMMYFUNCTION("""COMPUTED_VALUE"""),"")</f>
        <v/>
      </c>
      <c r="G4493" s="18"/>
      <c r="H4493" s="16" t="s">
        <v>87</v>
      </c>
      <c r="I4493" s="16" t="s">
        <v>87</v>
      </c>
      <c r="J4493" s="19"/>
      <c r="L4493" s="16" t="str">
        <f>IFERROR(__xludf.DUMMYFUNCTION("""COMPUTED_VALUE"""),"")</f>
        <v/>
      </c>
      <c r="M4493" s="16" t="str">
        <f>IFERROR(__xludf.DUMMYFUNCTION("""COMPUTED_VALUE"""),"")</f>
        <v/>
      </c>
      <c r="U4493" s="16" t="s">
        <v>87</v>
      </c>
      <c r="V4493" s="16" t="str">
        <f>IFERROR(__xludf.DUMMYFUNCTION("""COMPUTED_VALUE"""),"")</f>
        <v/>
      </c>
      <c r="W4493" s="16" t="str">
        <f>IFERROR(__xludf.DUMMYFUNCTION("""COMPUTED_VALUE"""),"")</f>
        <v/>
      </c>
      <c r="X4493" s="16" t="str">
        <f>IFERROR(__xludf.DUMMYFUNCTION("""COMPUTED_VALUE"""),"")</f>
        <v/>
      </c>
      <c r="AC4493" s="16" t="str">
        <f>IFERROR(__xludf.DUMMYFUNCTION("""COMPUTED_VALUE"""),"")</f>
        <v/>
      </c>
    </row>
    <row r="4494">
      <c r="A4494" s="16" t="s">
        <v>87</v>
      </c>
      <c r="E4494" s="16" t="str">
        <f>IFERROR(__xludf.DUMMYFUNCTION("""COMPUTED_VALUE"""),"")</f>
        <v/>
      </c>
      <c r="G4494" s="18"/>
      <c r="H4494" s="16" t="s">
        <v>87</v>
      </c>
      <c r="I4494" s="16" t="s">
        <v>87</v>
      </c>
      <c r="J4494" s="19"/>
      <c r="L4494" s="16" t="str">
        <f>IFERROR(__xludf.DUMMYFUNCTION("""COMPUTED_VALUE"""),"")</f>
        <v/>
      </c>
      <c r="M4494" s="16" t="str">
        <f>IFERROR(__xludf.DUMMYFUNCTION("""COMPUTED_VALUE"""),"")</f>
        <v/>
      </c>
      <c r="U4494" s="16" t="s">
        <v>87</v>
      </c>
      <c r="V4494" s="16" t="str">
        <f>IFERROR(__xludf.DUMMYFUNCTION("""COMPUTED_VALUE"""),"")</f>
        <v/>
      </c>
      <c r="W4494" s="16" t="str">
        <f>IFERROR(__xludf.DUMMYFUNCTION("""COMPUTED_VALUE"""),"")</f>
        <v/>
      </c>
      <c r="X4494" s="16" t="str">
        <f>IFERROR(__xludf.DUMMYFUNCTION("""COMPUTED_VALUE"""),"")</f>
        <v/>
      </c>
      <c r="AC4494" s="16" t="str">
        <f>IFERROR(__xludf.DUMMYFUNCTION("""COMPUTED_VALUE"""),"")</f>
        <v/>
      </c>
    </row>
    <row r="4495">
      <c r="A4495" s="16" t="s">
        <v>87</v>
      </c>
      <c r="E4495" s="16" t="str">
        <f>IFERROR(__xludf.DUMMYFUNCTION("""COMPUTED_VALUE"""),"")</f>
        <v/>
      </c>
      <c r="G4495" s="18"/>
      <c r="H4495" s="16" t="s">
        <v>87</v>
      </c>
      <c r="I4495" s="16" t="s">
        <v>87</v>
      </c>
      <c r="J4495" s="19"/>
      <c r="L4495" s="16" t="str">
        <f>IFERROR(__xludf.DUMMYFUNCTION("""COMPUTED_VALUE"""),"")</f>
        <v/>
      </c>
      <c r="M4495" s="16" t="str">
        <f>IFERROR(__xludf.DUMMYFUNCTION("""COMPUTED_VALUE"""),"")</f>
        <v/>
      </c>
      <c r="U4495" s="16" t="s">
        <v>87</v>
      </c>
      <c r="V4495" s="16" t="str">
        <f>IFERROR(__xludf.DUMMYFUNCTION("""COMPUTED_VALUE"""),"")</f>
        <v/>
      </c>
      <c r="W4495" s="16" t="str">
        <f>IFERROR(__xludf.DUMMYFUNCTION("""COMPUTED_VALUE"""),"")</f>
        <v/>
      </c>
      <c r="X4495" s="16" t="str">
        <f>IFERROR(__xludf.DUMMYFUNCTION("""COMPUTED_VALUE"""),"")</f>
        <v/>
      </c>
      <c r="AC4495" s="16" t="str">
        <f>IFERROR(__xludf.DUMMYFUNCTION("""COMPUTED_VALUE"""),"")</f>
        <v/>
      </c>
    </row>
    <row r="4496">
      <c r="A4496" s="16" t="s">
        <v>87</v>
      </c>
      <c r="E4496" s="16" t="str">
        <f>IFERROR(__xludf.DUMMYFUNCTION("""COMPUTED_VALUE"""),"")</f>
        <v/>
      </c>
      <c r="G4496" s="18"/>
      <c r="H4496" s="16" t="s">
        <v>87</v>
      </c>
      <c r="I4496" s="16" t="s">
        <v>87</v>
      </c>
      <c r="J4496" s="19"/>
      <c r="L4496" s="16" t="str">
        <f>IFERROR(__xludf.DUMMYFUNCTION("""COMPUTED_VALUE"""),"")</f>
        <v/>
      </c>
      <c r="M4496" s="16" t="str">
        <f>IFERROR(__xludf.DUMMYFUNCTION("""COMPUTED_VALUE"""),"")</f>
        <v/>
      </c>
      <c r="U4496" s="16" t="s">
        <v>87</v>
      </c>
      <c r="V4496" s="16" t="str">
        <f>IFERROR(__xludf.DUMMYFUNCTION("""COMPUTED_VALUE"""),"")</f>
        <v/>
      </c>
      <c r="W4496" s="16" t="str">
        <f>IFERROR(__xludf.DUMMYFUNCTION("""COMPUTED_VALUE"""),"")</f>
        <v/>
      </c>
      <c r="X4496" s="16" t="str">
        <f>IFERROR(__xludf.DUMMYFUNCTION("""COMPUTED_VALUE"""),"")</f>
        <v/>
      </c>
      <c r="AC4496" s="16" t="str">
        <f>IFERROR(__xludf.DUMMYFUNCTION("""COMPUTED_VALUE"""),"")</f>
        <v/>
      </c>
    </row>
    <row r="4497">
      <c r="A4497" s="16" t="s">
        <v>87</v>
      </c>
      <c r="E4497" s="16" t="str">
        <f>IFERROR(__xludf.DUMMYFUNCTION("""COMPUTED_VALUE"""),"")</f>
        <v/>
      </c>
      <c r="G4497" s="18"/>
      <c r="H4497" s="16" t="s">
        <v>87</v>
      </c>
      <c r="I4497" s="16" t="s">
        <v>87</v>
      </c>
      <c r="J4497" s="19"/>
      <c r="L4497" s="16" t="str">
        <f>IFERROR(__xludf.DUMMYFUNCTION("""COMPUTED_VALUE"""),"")</f>
        <v/>
      </c>
      <c r="M4497" s="16" t="str">
        <f>IFERROR(__xludf.DUMMYFUNCTION("""COMPUTED_VALUE"""),"")</f>
        <v/>
      </c>
      <c r="U4497" s="16" t="s">
        <v>87</v>
      </c>
      <c r="V4497" s="16" t="str">
        <f>IFERROR(__xludf.DUMMYFUNCTION("""COMPUTED_VALUE"""),"")</f>
        <v/>
      </c>
      <c r="W4497" s="16" t="str">
        <f>IFERROR(__xludf.DUMMYFUNCTION("""COMPUTED_VALUE"""),"")</f>
        <v/>
      </c>
      <c r="X4497" s="16" t="str">
        <f>IFERROR(__xludf.DUMMYFUNCTION("""COMPUTED_VALUE"""),"")</f>
        <v/>
      </c>
      <c r="AC4497" s="16" t="str">
        <f>IFERROR(__xludf.DUMMYFUNCTION("""COMPUTED_VALUE"""),"")</f>
        <v/>
      </c>
    </row>
    <row r="4498">
      <c r="A4498" s="16" t="s">
        <v>87</v>
      </c>
      <c r="E4498" s="16" t="str">
        <f>IFERROR(__xludf.DUMMYFUNCTION("""COMPUTED_VALUE"""),"")</f>
        <v/>
      </c>
      <c r="G4498" s="18"/>
      <c r="H4498" s="16" t="s">
        <v>87</v>
      </c>
      <c r="I4498" s="16" t="s">
        <v>87</v>
      </c>
      <c r="J4498" s="19"/>
      <c r="L4498" s="16" t="str">
        <f>IFERROR(__xludf.DUMMYFUNCTION("""COMPUTED_VALUE"""),"")</f>
        <v/>
      </c>
      <c r="M4498" s="16" t="str">
        <f>IFERROR(__xludf.DUMMYFUNCTION("""COMPUTED_VALUE"""),"")</f>
        <v/>
      </c>
      <c r="U4498" s="16" t="s">
        <v>87</v>
      </c>
      <c r="V4498" s="16" t="str">
        <f>IFERROR(__xludf.DUMMYFUNCTION("""COMPUTED_VALUE"""),"")</f>
        <v/>
      </c>
      <c r="W4498" s="16" t="str">
        <f>IFERROR(__xludf.DUMMYFUNCTION("""COMPUTED_VALUE"""),"")</f>
        <v/>
      </c>
      <c r="X4498" s="16" t="str">
        <f>IFERROR(__xludf.DUMMYFUNCTION("""COMPUTED_VALUE"""),"")</f>
        <v/>
      </c>
      <c r="AC4498" s="16" t="str">
        <f>IFERROR(__xludf.DUMMYFUNCTION("""COMPUTED_VALUE"""),"")</f>
        <v/>
      </c>
    </row>
    <row r="4499">
      <c r="A4499" s="16" t="s">
        <v>87</v>
      </c>
      <c r="E4499" s="16" t="str">
        <f>IFERROR(__xludf.DUMMYFUNCTION("""COMPUTED_VALUE"""),"")</f>
        <v/>
      </c>
      <c r="G4499" s="18"/>
      <c r="H4499" s="16" t="s">
        <v>87</v>
      </c>
      <c r="I4499" s="16" t="s">
        <v>87</v>
      </c>
      <c r="J4499" s="19"/>
      <c r="L4499" s="16" t="str">
        <f>IFERROR(__xludf.DUMMYFUNCTION("""COMPUTED_VALUE"""),"")</f>
        <v/>
      </c>
      <c r="M4499" s="16" t="str">
        <f>IFERROR(__xludf.DUMMYFUNCTION("""COMPUTED_VALUE"""),"")</f>
        <v/>
      </c>
      <c r="U4499" s="16" t="s">
        <v>87</v>
      </c>
      <c r="V4499" s="16" t="str">
        <f>IFERROR(__xludf.DUMMYFUNCTION("""COMPUTED_VALUE"""),"")</f>
        <v/>
      </c>
      <c r="W4499" s="16" t="str">
        <f>IFERROR(__xludf.DUMMYFUNCTION("""COMPUTED_VALUE"""),"")</f>
        <v/>
      </c>
      <c r="X4499" s="16" t="str">
        <f>IFERROR(__xludf.DUMMYFUNCTION("""COMPUTED_VALUE"""),"")</f>
        <v/>
      </c>
      <c r="AC4499" s="16" t="str">
        <f>IFERROR(__xludf.DUMMYFUNCTION("""COMPUTED_VALUE"""),"")</f>
        <v/>
      </c>
    </row>
    <row r="4500">
      <c r="A4500" s="16" t="s">
        <v>87</v>
      </c>
      <c r="E4500" s="16" t="str">
        <f>IFERROR(__xludf.DUMMYFUNCTION("""COMPUTED_VALUE"""),"")</f>
        <v/>
      </c>
      <c r="G4500" s="18"/>
      <c r="H4500" s="16" t="s">
        <v>87</v>
      </c>
      <c r="I4500" s="16" t="s">
        <v>87</v>
      </c>
      <c r="J4500" s="19"/>
      <c r="L4500" s="16" t="str">
        <f>IFERROR(__xludf.DUMMYFUNCTION("""COMPUTED_VALUE"""),"")</f>
        <v/>
      </c>
      <c r="M4500" s="16" t="str">
        <f>IFERROR(__xludf.DUMMYFUNCTION("""COMPUTED_VALUE"""),"")</f>
        <v/>
      </c>
      <c r="U4500" s="16" t="s">
        <v>87</v>
      </c>
      <c r="V4500" s="16" t="str">
        <f>IFERROR(__xludf.DUMMYFUNCTION("""COMPUTED_VALUE"""),"")</f>
        <v/>
      </c>
      <c r="W4500" s="16" t="str">
        <f>IFERROR(__xludf.DUMMYFUNCTION("""COMPUTED_VALUE"""),"")</f>
        <v/>
      </c>
      <c r="X4500" s="16" t="str">
        <f>IFERROR(__xludf.DUMMYFUNCTION("""COMPUTED_VALUE"""),"")</f>
        <v/>
      </c>
      <c r="AC4500" s="16" t="str">
        <f>IFERROR(__xludf.DUMMYFUNCTION("""COMPUTED_VALUE"""),"")</f>
        <v/>
      </c>
    </row>
    <row r="4501">
      <c r="A4501" s="16" t="s">
        <v>87</v>
      </c>
      <c r="E4501" s="16" t="str">
        <f>IFERROR(__xludf.DUMMYFUNCTION("""COMPUTED_VALUE"""),"")</f>
        <v/>
      </c>
      <c r="G4501" s="18"/>
      <c r="H4501" s="16" t="s">
        <v>87</v>
      </c>
      <c r="I4501" s="16" t="s">
        <v>87</v>
      </c>
      <c r="J4501" s="19"/>
      <c r="L4501" s="16" t="str">
        <f>IFERROR(__xludf.DUMMYFUNCTION("""COMPUTED_VALUE"""),"")</f>
        <v/>
      </c>
      <c r="M4501" s="16" t="str">
        <f>IFERROR(__xludf.DUMMYFUNCTION("""COMPUTED_VALUE"""),"")</f>
        <v/>
      </c>
      <c r="U4501" s="16" t="s">
        <v>87</v>
      </c>
      <c r="V4501" s="16" t="str">
        <f>IFERROR(__xludf.DUMMYFUNCTION("""COMPUTED_VALUE"""),"")</f>
        <v/>
      </c>
      <c r="W4501" s="16" t="str">
        <f>IFERROR(__xludf.DUMMYFUNCTION("""COMPUTED_VALUE"""),"")</f>
        <v/>
      </c>
      <c r="X4501" s="16" t="str">
        <f>IFERROR(__xludf.DUMMYFUNCTION("""COMPUTED_VALUE"""),"")</f>
        <v/>
      </c>
      <c r="AC4501" s="16" t="str">
        <f>IFERROR(__xludf.DUMMYFUNCTION("""COMPUTED_VALUE"""),"")</f>
        <v/>
      </c>
    </row>
    <row r="4502">
      <c r="A4502" s="16" t="s">
        <v>87</v>
      </c>
      <c r="E4502" s="16" t="str">
        <f>IFERROR(__xludf.DUMMYFUNCTION("""COMPUTED_VALUE"""),"")</f>
        <v/>
      </c>
      <c r="G4502" s="18"/>
      <c r="H4502" s="16" t="s">
        <v>87</v>
      </c>
      <c r="I4502" s="16" t="s">
        <v>87</v>
      </c>
      <c r="J4502" s="19"/>
      <c r="L4502" s="16" t="str">
        <f>IFERROR(__xludf.DUMMYFUNCTION("""COMPUTED_VALUE"""),"")</f>
        <v/>
      </c>
      <c r="M4502" s="16" t="str">
        <f>IFERROR(__xludf.DUMMYFUNCTION("""COMPUTED_VALUE"""),"")</f>
        <v/>
      </c>
      <c r="U4502" s="16" t="s">
        <v>87</v>
      </c>
      <c r="V4502" s="16" t="str">
        <f>IFERROR(__xludf.DUMMYFUNCTION("""COMPUTED_VALUE"""),"")</f>
        <v/>
      </c>
      <c r="W4502" s="16" t="str">
        <f>IFERROR(__xludf.DUMMYFUNCTION("""COMPUTED_VALUE"""),"")</f>
        <v/>
      </c>
      <c r="X4502" s="16" t="str">
        <f>IFERROR(__xludf.DUMMYFUNCTION("""COMPUTED_VALUE"""),"")</f>
        <v/>
      </c>
      <c r="AC4502" s="16" t="str">
        <f>IFERROR(__xludf.DUMMYFUNCTION("""COMPUTED_VALUE"""),"")</f>
        <v/>
      </c>
    </row>
    <row r="4503">
      <c r="A4503" s="16" t="s">
        <v>87</v>
      </c>
      <c r="E4503" s="16" t="str">
        <f>IFERROR(__xludf.DUMMYFUNCTION("""COMPUTED_VALUE"""),"")</f>
        <v/>
      </c>
      <c r="G4503" s="18"/>
      <c r="H4503" s="16" t="s">
        <v>87</v>
      </c>
      <c r="I4503" s="16" t="s">
        <v>87</v>
      </c>
      <c r="J4503" s="19"/>
      <c r="L4503" s="16" t="str">
        <f>IFERROR(__xludf.DUMMYFUNCTION("""COMPUTED_VALUE"""),"")</f>
        <v/>
      </c>
      <c r="M4503" s="16" t="str">
        <f>IFERROR(__xludf.DUMMYFUNCTION("""COMPUTED_VALUE"""),"")</f>
        <v/>
      </c>
      <c r="U4503" s="16" t="s">
        <v>87</v>
      </c>
      <c r="V4503" s="16" t="str">
        <f>IFERROR(__xludf.DUMMYFUNCTION("""COMPUTED_VALUE"""),"")</f>
        <v/>
      </c>
      <c r="W4503" s="16" t="str">
        <f>IFERROR(__xludf.DUMMYFUNCTION("""COMPUTED_VALUE"""),"")</f>
        <v/>
      </c>
      <c r="X4503" s="16" t="str">
        <f>IFERROR(__xludf.DUMMYFUNCTION("""COMPUTED_VALUE"""),"")</f>
        <v/>
      </c>
      <c r="AC4503" s="16" t="str">
        <f>IFERROR(__xludf.DUMMYFUNCTION("""COMPUTED_VALUE"""),"")</f>
        <v/>
      </c>
    </row>
    <row r="4504">
      <c r="A4504" s="16" t="s">
        <v>87</v>
      </c>
      <c r="E4504" s="16" t="str">
        <f>IFERROR(__xludf.DUMMYFUNCTION("""COMPUTED_VALUE"""),"")</f>
        <v/>
      </c>
      <c r="G4504" s="18"/>
      <c r="H4504" s="16" t="s">
        <v>87</v>
      </c>
      <c r="I4504" s="16" t="s">
        <v>87</v>
      </c>
      <c r="J4504" s="19"/>
      <c r="L4504" s="16" t="str">
        <f>IFERROR(__xludf.DUMMYFUNCTION("""COMPUTED_VALUE"""),"")</f>
        <v/>
      </c>
      <c r="M4504" s="16" t="str">
        <f>IFERROR(__xludf.DUMMYFUNCTION("""COMPUTED_VALUE"""),"")</f>
        <v/>
      </c>
      <c r="U4504" s="16" t="s">
        <v>87</v>
      </c>
      <c r="V4504" s="16" t="str">
        <f>IFERROR(__xludf.DUMMYFUNCTION("""COMPUTED_VALUE"""),"")</f>
        <v/>
      </c>
      <c r="W4504" s="16" t="str">
        <f>IFERROR(__xludf.DUMMYFUNCTION("""COMPUTED_VALUE"""),"")</f>
        <v/>
      </c>
      <c r="X4504" s="16" t="str">
        <f>IFERROR(__xludf.DUMMYFUNCTION("""COMPUTED_VALUE"""),"")</f>
        <v/>
      </c>
      <c r="AC4504" s="16" t="str">
        <f>IFERROR(__xludf.DUMMYFUNCTION("""COMPUTED_VALUE"""),"")</f>
        <v/>
      </c>
    </row>
    <row r="4505">
      <c r="A4505" s="16" t="s">
        <v>87</v>
      </c>
      <c r="E4505" s="16" t="str">
        <f>IFERROR(__xludf.DUMMYFUNCTION("""COMPUTED_VALUE"""),"")</f>
        <v/>
      </c>
      <c r="G4505" s="18"/>
      <c r="H4505" s="16" t="s">
        <v>87</v>
      </c>
      <c r="I4505" s="16" t="s">
        <v>87</v>
      </c>
      <c r="J4505" s="19"/>
      <c r="L4505" s="16" t="str">
        <f>IFERROR(__xludf.DUMMYFUNCTION("""COMPUTED_VALUE"""),"")</f>
        <v/>
      </c>
      <c r="M4505" s="16" t="str">
        <f>IFERROR(__xludf.DUMMYFUNCTION("""COMPUTED_VALUE"""),"")</f>
        <v/>
      </c>
      <c r="U4505" s="16" t="s">
        <v>87</v>
      </c>
      <c r="V4505" s="16" t="str">
        <f>IFERROR(__xludf.DUMMYFUNCTION("""COMPUTED_VALUE"""),"")</f>
        <v/>
      </c>
      <c r="W4505" s="16" t="str">
        <f>IFERROR(__xludf.DUMMYFUNCTION("""COMPUTED_VALUE"""),"")</f>
        <v/>
      </c>
      <c r="X4505" s="16" t="str">
        <f>IFERROR(__xludf.DUMMYFUNCTION("""COMPUTED_VALUE"""),"")</f>
        <v/>
      </c>
      <c r="AC4505" s="16" t="str">
        <f>IFERROR(__xludf.DUMMYFUNCTION("""COMPUTED_VALUE"""),"")</f>
        <v/>
      </c>
    </row>
    <row r="4506">
      <c r="A4506" s="16" t="s">
        <v>87</v>
      </c>
      <c r="E4506" s="16" t="str">
        <f>IFERROR(__xludf.DUMMYFUNCTION("""COMPUTED_VALUE"""),"")</f>
        <v/>
      </c>
      <c r="G4506" s="18"/>
      <c r="H4506" s="16" t="s">
        <v>87</v>
      </c>
      <c r="I4506" s="16" t="s">
        <v>87</v>
      </c>
      <c r="J4506" s="19"/>
      <c r="L4506" s="16" t="str">
        <f>IFERROR(__xludf.DUMMYFUNCTION("""COMPUTED_VALUE"""),"")</f>
        <v/>
      </c>
      <c r="M4506" s="16" t="str">
        <f>IFERROR(__xludf.DUMMYFUNCTION("""COMPUTED_VALUE"""),"")</f>
        <v/>
      </c>
      <c r="U4506" s="16" t="s">
        <v>87</v>
      </c>
      <c r="V4506" s="16" t="str">
        <f>IFERROR(__xludf.DUMMYFUNCTION("""COMPUTED_VALUE"""),"")</f>
        <v/>
      </c>
      <c r="W4506" s="16" t="str">
        <f>IFERROR(__xludf.DUMMYFUNCTION("""COMPUTED_VALUE"""),"")</f>
        <v/>
      </c>
      <c r="X4506" s="16" t="str">
        <f>IFERROR(__xludf.DUMMYFUNCTION("""COMPUTED_VALUE"""),"")</f>
        <v/>
      </c>
      <c r="AC4506" s="16" t="str">
        <f>IFERROR(__xludf.DUMMYFUNCTION("""COMPUTED_VALUE"""),"")</f>
        <v/>
      </c>
    </row>
    <row r="4507">
      <c r="A4507" s="16" t="s">
        <v>87</v>
      </c>
      <c r="E4507" s="16" t="str">
        <f>IFERROR(__xludf.DUMMYFUNCTION("""COMPUTED_VALUE"""),"")</f>
        <v/>
      </c>
      <c r="G4507" s="18"/>
      <c r="H4507" s="16" t="s">
        <v>87</v>
      </c>
      <c r="I4507" s="16" t="s">
        <v>87</v>
      </c>
      <c r="J4507" s="19"/>
      <c r="L4507" s="16" t="str">
        <f>IFERROR(__xludf.DUMMYFUNCTION("""COMPUTED_VALUE"""),"")</f>
        <v/>
      </c>
      <c r="M4507" s="16" t="str">
        <f>IFERROR(__xludf.DUMMYFUNCTION("""COMPUTED_VALUE"""),"")</f>
        <v/>
      </c>
      <c r="U4507" s="16" t="s">
        <v>87</v>
      </c>
      <c r="V4507" s="16" t="str">
        <f>IFERROR(__xludf.DUMMYFUNCTION("""COMPUTED_VALUE"""),"")</f>
        <v/>
      </c>
      <c r="W4507" s="16" t="str">
        <f>IFERROR(__xludf.DUMMYFUNCTION("""COMPUTED_VALUE"""),"")</f>
        <v/>
      </c>
      <c r="X4507" s="16" t="str">
        <f>IFERROR(__xludf.DUMMYFUNCTION("""COMPUTED_VALUE"""),"")</f>
        <v/>
      </c>
      <c r="AC4507" s="16" t="str">
        <f>IFERROR(__xludf.DUMMYFUNCTION("""COMPUTED_VALUE"""),"")</f>
        <v/>
      </c>
    </row>
    <row r="4508">
      <c r="A4508" s="16" t="s">
        <v>87</v>
      </c>
      <c r="E4508" s="16" t="str">
        <f>IFERROR(__xludf.DUMMYFUNCTION("""COMPUTED_VALUE"""),"")</f>
        <v/>
      </c>
      <c r="G4508" s="18"/>
      <c r="H4508" s="16" t="s">
        <v>87</v>
      </c>
      <c r="I4508" s="16" t="s">
        <v>87</v>
      </c>
      <c r="J4508" s="19"/>
      <c r="L4508" s="16" t="str">
        <f>IFERROR(__xludf.DUMMYFUNCTION("""COMPUTED_VALUE"""),"")</f>
        <v/>
      </c>
      <c r="M4508" s="16" t="str">
        <f>IFERROR(__xludf.DUMMYFUNCTION("""COMPUTED_VALUE"""),"")</f>
        <v/>
      </c>
      <c r="U4508" s="16" t="s">
        <v>87</v>
      </c>
      <c r="V4508" s="16" t="str">
        <f>IFERROR(__xludf.DUMMYFUNCTION("""COMPUTED_VALUE"""),"")</f>
        <v/>
      </c>
      <c r="W4508" s="16" t="str">
        <f>IFERROR(__xludf.DUMMYFUNCTION("""COMPUTED_VALUE"""),"")</f>
        <v/>
      </c>
      <c r="X4508" s="16" t="str">
        <f>IFERROR(__xludf.DUMMYFUNCTION("""COMPUTED_VALUE"""),"")</f>
        <v/>
      </c>
      <c r="AC4508" s="16" t="str">
        <f>IFERROR(__xludf.DUMMYFUNCTION("""COMPUTED_VALUE"""),"")</f>
        <v/>
      </c>
    </row>
    <row r="4509">
      <c r="A4509" s="16" t="s">
        <v>87</v>
      </c>
      <c r="E4509" s="16" t="str">
        <f>IFERROR(__xludf.DUMMYFUNCTION("""COMPUTED_VALUE"""),"")</f>
        <v/>
      </c>
      <c r="G4509" s="18"/>
      <c r="H4509" s="16" t="s">
        <v>87</v>
      </c>
      <c r="I4509" s="16" t="s">
        <v>87</v>
      </c>
      <c r="J4509" s="19"/>
      <c r="L4509" s="16" t="str">
        <f>IFERROR(__xludf.DUMMYFUNCTION("""COMPUTED_VALUE"""),"")</f>
        <v/>
      </c>
      <c r="M4509" s="16" t="str">
        <f>IFERROR(__xludf.DUMMYFUNCTION("""COMPUTED_VALUE"""),"")</f>
        <v/>
      </c>
      <c r="U4509" s="16" t="s">
        <v>87</v>
      </c>
      <c r="V4509" s="16" t="str">
        <f>IFERROR(__xludf.DUMMYFUNCTION("""COMPUTED_VALUE"""),"")</f>
        <v/>
      </c>
      <c r="W4509" s="16" t="str">
        <f>IFERROR(__xludf.DUMMYFUNCTION("""COMPUTED_VALUE"""),"")</f>
        <v/>
      </c>
      <c r="X4509" s="16" t="str">
        <f>IFERROR(__xludf.DUMMYFUNCTION("""COMPUTED_VALUE"""),"")</f>
        <v/>
      </c>
      <c r="AC4509" s="16" t="str">
        <f>IFERROR(__xludf.DUMMYFUNCTION("""COMPUTED_VALUE"""),"")</f>
        <v/>
      </c>
    </row>
    <row r="4510">
      <c r="A4510" s="16" t="s">
        <v>87</v>
      </c>
      <c r="E4510" s="16" t="str">
        <f>IFERROR(__xludf.DUMMYFUNCTION("""COMPUTED_VALUE"""),"")</f>
        <v/>
      </c>
      <c r="G4510" s="18"/>
      <c r="H4510" s="16" t="s">
        <v>87</v>
      </c>
      <c r="I4510" s="16" t="s">
        <v>87</v>
      </c>
      <c r="J4510" s="19"/>
      <c r="L4510" s="16" t="str">
        <f>IFERROR(__xludf.DUMMYFUNCTION("""COMPUTED_VALUE"""),"")</f>
        <v/>
      </c>
      <c r="M4510" s="16" t="str">
        <f>IFERROR(__xludf.DUMMYFUNCTION("""COMPUTED_VALUE"""),"")</f>
        <v/>
      </c>
      <c r="U4510" s="16" t="s">
        <v>87</v>
      </c>
      <c r="V4510" s="16" t="str">
        <f>IFERROR(__xludf.DUMMYFUNCTION("""COMPUTED_VALUE"""),"")</f>
        <v/>
      </c>
      <c r="W4510" s="16" t="str">
        <f>IFERROR(__xludf.DUMMYFUNCTION("""COMPUTED_VALUE"""),"")</f>
        <v/>
      </c>
      <c r="X4510" s="16" t="str">
        <f>IFERROR(__xludf.DUMMYFUNCTION("""COMPUTED_VALUE"""),"")</f>
        <v/>
      </c>
      <c r="AC4510" s="16" t="str">
        <f>IFERROR(__xludf.DUMMYFUNCTION("""COMPUTED_VALUE"""),"")</f>
        <v/>
      </c>
    </row>
    <row r="4511">
      <c r="A4511" s="16" t="s">
        <v>87</v>
      </c>
      <c r="E4511" s="16" t="str">
        <f>IFERROR(__xludf.DUMMYFUNCTION("""COMPUTED_VALUE"""),"")</f>
        <v/>
      </c>
      <c r="G4511" s="18"/>
      <c r="H4511" s="16" t="s">
        <v>87</v>
      </c>
      <c r="I4511" s="16" t="s">
        <v>87</v>
      </c>
      <c r="J4511" s="19"/>
      <c r="L4511" s="16" t="str">
        <f>IFERROR(__xludf.DUMMYFUNCTION("""COMPUTED_VALUE"""),"")</f>
        <v/>
      </c>
      <c r="M4511" s="16" t="str">
        <f>IFERROR(__xludf.DUMMYFUNCTION("""COMPUTED_VALUE"""),"")</f>
        <v/>
      </c>
      <c r="U4511" s="16" t="s">
        <v>87</v>
      </c>
      <c r="V4511" s="16" t="str">
        <f>IFERROR(__xludf.DUMMYFUNCTION("""COMPUTED_VALUE"""),"")</f>
        <v/>
      </c>
      <c r="W4511" s="16" t="str">
        <f>IFERROR(__xludf.DUMMYFUNCTION("""COMPUTED_VALUE"""),"")</f>
        <v/>
      </c>
      <c r="X4511" s="16" t="str">
        <f>IFERROR(__xludf.DUMMYFUNCTION("""COMPUTED_VALUE"""),"")</f>
        <v/>
      </c>
      <c r="AC4511" s="16" t="str">
        <f>IFERROR(__xludf.DUMMYFUNCTION("""COMPUTED_VALUE"""),"")</f>
        <v/>
      </c>
    </row>
    <row r="4512">
      <c r="A4512" s="16" t="s">
        <v>87</v>
      </c>
      <c r="E4512" s="16" t="str">
        <f>IFERROR(__xludf.DUMMYFUNCTION("""COMPUTED_VALUE"""),"")</f>
        <v/>
      </c>
      <c r="G4512" s="18"/>
      <c r="H4512" s="16" t="s">
        <v>87</v>
      </c>
      <c r="I4512" s="16" t="s">
        <v>87</v>
      </c>
      <c r="J4512" s="19"/>
      <c r="L4512" s="16" t="str">
        <f>IFERROR(__xludf.DUMMYFUNCTION("""COMPUTED_VALUE"""),"")</f>
        <v/>
      </c>
      <c r="M4512" s="16" t="str">
        <f>IFERROR(__xludf.DUMMYFUNCTION("""COMPUTED_VALUE"""),"")</f>
        <v/>
      </c>
      <c r="U4512" s="16" t="s">
        <v>87</v>
      </c>
      <c r="V4512" s="16" t="str">
        <f>IFERROR(__xludf.DUMMYFUNCTION("""COMPUTED_VALUE"""),"")</f>
        <v/>
      </c>
      <c r="W4512" s="16" t="str">
        <f>IFERROR(__xludf.DUMMYFUNCTION("""COMPUTED_VALUE"""),"")</f>
        <v/>
      </c>
      <c r="X4512" s="16" t="str">
        <f>IFERROR(__xludf.DUMMYFUNCTION("""COMPUTED_VALUE"""),"")</f>
        <v/>
      </c>
      <c r="AC4512" s="16" t="str">
        <f>IFERROR(__xludf.DUMMYFUNCTION("""COMPUTED_VALUE"""),"")</f>
        <v/>
      </c>
    </row>
    <row r="4513">
      <c r="A4513" s="16" t="s">
        <v>87</v>
      </c>
      <c r="E4513" s="16" t="str">
        <f>IFERROR(__xludf.DUMMYFUNCTION("""COMPUTED_VALUE"""),"")</f>
        <v/>
      </c>
      <c r="G4513" s="18"/>
      <c r="H4513" s="16" t="s">
        <v>87</v>
      </c>
      <c r="I4513" s="16" t="s">
        <v>87</v>
      </c>
      <c r="J4513" s="19"/>
      <c r="L4513" s="16" t="str">
        <f>IFERROR(__xludf.DUMMYFUNCTION("""COMPUTED_VALUE"""),"")</f>
        <v/>
      </c>
      <c r="M4513" s="16" t="str">
        <f>IFERROR(__xludf.DUMMYFUNCTION("""COMPUTED_VALUE"""),"")</f>
        <v/>
      </c>
      <c r="U4513" s="16" t="s">
        <v>87</v>
      </c>
      <c r="V4513" s="16" t="str">
        <f>IFERROR(__xludf.DUMMYFUNCTION("""COMPUTED_VALUE"""),"")</f>
        <v/>
      </c>
      <c r="W4513" s="16" t="str">
        <f>IFERROR(__xludf.DUMMYFUNCTION("""COMPUTED_VALUE"""),"")</f>
        <v/>
      </c>
      <c r="X4513" s="16" t="str">
        <f>IFERROR(__xludf.DUMMYFUNCTION("""COMPUTED_VALUE"""),"")</f>
        <v/>
      </c>
      <c r="AC4513" s="16" t="str">
        <f>IFERROR(__xludf.DUMMYFUNCTION("""COMPUTED_VALUE"""),"")</f>
        <v/>
      </c>
    </row>
    <row r="4514">
      <c r="A4514" s="16" t="s">
        <v>87</v>
      </c>
      <c r="E4514" s="16" t="str">
        <f>IFERROR(__xludf.DUMMYFUNCTION("""COMPUTED_VALUE"""),"")</f>
        <v/>
      </c>
      <c r="G4514" s="18"/>
      <c r="H4514" s="16" t="s">
        <v>87</v>
      </c>
      <c r="I4514" s="16" t="s">
        <v>87</v>
      </c>
      <c r="J4514" s="19"/>
      <c r="L4514" s="16" t="str">
        <f>IFERROR(__xludf.DUMMYFUNCTION("""COMPUTED_VALUE"""),"")</f>
        <v/>
      </c>
      <c r="M4514" s="16" t="str">
        <f>IFERROR(__xludf.DUMMYFUNCTION("""COMPUTED_VALUE"""),"")</f>
        <v/>
      </c>
      <c r="U4514" s="16" t="s">
        <v>87</v>
      </c>
      <c r="V4514" s="16" t="str">
        <f>IFERROR(__xludf.DUMMYFUNCTION("""COMPUTED_VALUE"""),"")</f>
        <v/>
      </c>
      <c r="W4514" s="16" t="str">
        <f>IFERROR(__xludf.DUMMYFUNCTION("""COMPUTED_VALUE"""),"")</f>
        <v/>
      </c>
      <c r="X4514" s="16" t="str">
        <f>IFERROR(__xludf.DUMMYFUNCTION("""COMPUTED_VALUE"""),"")</f>
        <v/>
      </c>
      <c r="AC4514" s="16" t="str">
        <f>IFERROR(__xludf.DUMMYFUNCTION("""COMPUTED_VALUE"""),"")</f>
        <v/>
      </c>
    </row>
    <row r="4515">
      <c r="A4515" s="16" t="s">
        <v>87</v>
      </c>
      <c r="E4515" s="16" t="str">
        <f>IFERROR(__xludf.DUMMYFUNCTION("""COMPUTED_VALUE"""),"")</f>
        <v/>
      </c>
      <c r="G4515" s="18"/>
      <c r="H4515" s="16" t="s">
        <v>87</v>
      </c>
      <c r="I4515" s="16" t="s">
        <v>87</v>
      </c>
      <c r="J4515" s="19"/>
      <c r="L4515" s="16" t="str">
        <f>IFERROR(__xludf.DUMMYFUNCTION("""COMPUTED_VALUE"""),"")</f>
        <v/>
      </c>
      <c r="M4515" s="16" t="str">
        <f>IFERROR(__xludf.DUMMYFUNCTION("""COMPUTED_VALUE"""),"")</f>
        <v/>
      </c>
      <c r="U4515" s="16" t="s">
        <v>87</v>
      </c>
      <c r="V4515" s="16" t="str">
        <f>IFERROR(__xludf.DUMMYFUNCTION("""COMPUTED_VALUE"""),"")</f>
        <v/>
      </c>
      <c r="W4515" s="16" t="str">
        <f>IFERROR(__xludf.DUMMYFUNCTION("""COMPUTED_VALUE"""),"")</f>
        <v/>
      </c>
      <c r="X4515" s="16" t="str">
        <f>IFERROR(__xludf.DUMMYFUNCTION("""COMPUTED_VALUE"""),"")</f>
        <v/>
      </c>
      <c r="AC4515" s="16" t="str">
        <f>IFERROR(__xludf.DUMMYFUNCTION("""COMPUTED_VALUE"""),"")</f>
        <v/>
      </c>
    </row>
    <row r="4516">
      <c r="A4516" s="16" t="s">
        <v>87</v>
      </c>
      <c r="E4516" s="16" t="str">
        <f>IFERROR(__xludf.DUMMYFUNCTION("""COMPUTED_VALUE"""),"")</f>
        <v/>
      </c>
      <c r="G4516" s="18"/>
      <c r="H4516" s="16" t="s">
        <v>87</v>
      </c>
      <c r="I4516" s="16" t="s">
        <v>87</v>
      </c>
      <c r="J4516" s="19"/>
      <c r="L4516" s="16" t="str">
        <f>IFERROR(__xludf.DUMMYFUNCTION("""COMPUTED_VALUE"""),"")</f>
        <v/>
      </c>
      <c r="M4516" s="16" t="str">
        <f>IFERROR(__xludf.DUMMYFUNCTION("""COMPUTED_VALUE"""),"")</f>
        <v/>
      </c>
      <c r="U4516" s="16" t="s">
        <v>87</v>
      </c>
      <c r="V4516" s="16" t="str">
        <f>IFERROR(__xludf.DUMMYFUNCTION("""COMPUTED_VALUE"""),"")</f>
        <v/>
      </c>
      <c r="W4516" s="16" t="str">
        <f>IFERROR(__xludf.DUMMYFUNCTION("""COMPUTED_VALUE"""),"")</f>
        <v/>
      </c>
      <c r="X4516" s="16" t="str">
        <f>IFERROR(__xludf.DUMMYFUNCTION("""COMPUTED_VALUE"""),"")</f>
        <v/>
      </c>
      <c r="AC4516" s="16" t="str">
        <f>IFERROR(__xludf.DUMMYFUNCTION("""COMPUTED_VALUE"""),"")</f>
        <v/>
      </c>
    </row>
    <row r="4517">
      <c r="A4517" s="16" t="s">
        <v>87</v>
      </c>
      <c r="E4517" s="16" t="str">
        <f>IFERROR(__xludf.DUMMYFUNCTION("""COMPUTED_VALUE"""),"")</f>
        <v/>
      </c>
      <c r="G4517" s="18"/>
      <c r="H4517" s="16" t="s">
        <v>87</v>
      </c>
      <c r="I4517" s="16" t="s">
        <v>87</v>
      </c>
      <c r="J4517" s="19"/>
      <c r="L4517" s="16" t="str">
        <f>IFERROR(__xludf.DUMMYFUNCTION("""COMPUTED_VALUE"""),"")</f>
        <v/>
      </c>
      <c r="M4517" s="16" t="str">
        <f>IFERROR(__xludf.DUMMYFUNCTION("""COMPUTED_VALUE"""),"")</f>
        <v/>
      </c>
      <c r="U4517" s="16" t="s">
        <v>87</v>
      </c>
      <c r="V4517" s="16" t="str">
        <f>IFERROR(__xludf.DUMMYFUNCTION("""COMPUTED_VALUE"""),"")</f>
        <v/>
      </c>
      <c r="W4517" s="16" t="str">
        <f>IFERROR(__xludf.DUMMYFUNCTION("""COMPUTED_VALUE"""),"")</f>
        <v/>
      </c>
      <c r="X4517" s="16" t="str">
        <f>IFERROR(__xludf.DUMMYFUNCTION("""COMPUTED_VALUE"""),"")</f>
        <v/>
      </c>
      <c r="AC4517" s="16" t="str">
        <f>IFERROR(__xludf.DUMMYFUNCTION("""COMPUTED_VALUE"""),"")</f>
        <v/>
      </c>
    </row>
    <row r="4518">
      <c r="A4518" s="16" t="s">
        <v>87</v>
      </c>
      <c r="E4518" s="16" t="str">
        <f>IFERROR(__xludf.DUMMYFUNCTION("""COMPUTED_VALUE"""),"")</f>
        <v/>
      </c>
      <c r="G4518" s="18"/>
      <c r="H4518" s="16" t="s">
        <v>87</v>
      </c>
      <c r="I4518" s="16" t="s">
        <v>87</v>
      </c>
      <c r="J4518" s="19"/>
      <c r="L4518" s="16" t="str">
        <f>IFERROR(__xludf.DUMMYFUNCTION("""COMPUTED_VALUE"""),"")</f>
        <v/>
      </c>
      <c r="M4518" s="16" t="str">
        <f>IFERROR(__xludf.DUMMYFUNCTION("""COMPUTED_VALUE"""),"")</f>
        <v/>
      </c>
      <c r="U4518" s="16" t="s">
        <v>87</v>
      </c>
      <c r="V4518" s="16" t="str">
        <f>IFERROR(__xludf.DUMMYFUNCTION("""COMPUTED_VALUE"""),"")</f>
        <v/>
      </c>
      <c r="W4518" s="16" t="str">
        <f>IFERROR(__xludf.DUMMYFUNCTION("""COMPUTED_VALUE"""),"")</f>
        <v/>
      </c>
      <c r="X4518" s="16" t="str">
        <f>IFERROR(__xludf.DUMMYFUNCTION("""COMPUTED_VALUE"""),"")</f>
        <v/>
      </c>
      <c r="AC4518" s="16" t="str">
        <f>IFERROR(__xludf.DUMMYFUNCTION("""COMPUTED_VALUE"""),"")</f>
        <v/>
      </c>
    </row>
    <row r="4519">
      <c r="A4519" s="16" t="s">
        <v>87</v>
      </c>
      <c r="E4519" s="16" t="str">
        <f>IFERROR(__xludf.DUMMYFUNCTION("""COMPUTED_VALUE"""),"")</f>
        <v/>
      </c>
      <c r="G4519" s="18"/>
      <c r="H4519" s="16" t="s">
        <v>87</v>
      </c>
      <c r="I4519" s="16" t="s">
        <v>87</v>
      </c>
      <c r="J4519" s="19"/>
      <c r="L4519" s="16" t="str">
        <f>IFERROR(__xludf.DUMMYFUNCTION("""COMPUTED_VALUE"""),"")</f>
        <v/>
      </c>
      <c r="M4519" s="16" t="str">
        <f>IFERROR(__xludf.DUMMYFUNCTION("""COMPUTED_VALUE"""),"")</f>
        <v/>
      </c>
      <c r="U4519" s="16" t="s">
        <v>87</v>
      </c>
      <c r="V4519" s="16" t="str">
        <f>IFERROR(__xludf.DUMMYFUNCTION("""COMPUTED_VALUE"""),"")</f>
        <v/>
      </c>
      <c r="W4519" s="16" t="str">
        <f>IFERROR(__xludf.DUMMYFUNCTION("""COMPUTED_VALUE"""),"")</f>
        <v/>
      </c>
      <c r="X4519" s="16" t="str">
        <f>IFERROR(__xludf.DUMMYFUNCTION("""COMPUTED_VALUE"""),"")</f>
        <v/>
      </c>
      <c r="AC4519" s="16" t="str">
        <f>IFERROR(__xludf.DUMMYFUNCTION("""COMPUTED_VALUE"""),"")</f>
        <v/>
      </c>
    </row>
    <row r="4520">
      <c r="A4520" s="16" t="s">
        <v>87</v>
      </c>
      <c r="E4520" s="16" t="str">
        <f>IFERROR(__xludf.DUMMYFUNCTION("""COMPUTED_VALUE"""),"")</f>
        <v/>
      </c>
      <c r="G4520" s="18"/>
      <c r="H4520" s="16" t="s">
        <v>87</v>
      </c>
      <c r="I4520" s="16" t="s">
        <v>87</v>
      </c>
      <c r="J4520" s="19"/>
      <c r="L4520" s="16" t="str">
        <f>IFERROR(__xludf.DUMMYFUNCTION("""COMPUTED_VALUE"""),"")</f>
        <v/>
      </c>
      <c r="M4520" s="16" t="str">
        <f>IFERROR(__xludf.DUMMYFUNCTION("""COMPUTED_VALUE"""),"")</f>
        <v/>
      </c>
      <c r="U4520" s="16" t="s">
        <v>87</v>
      </c>
      <c r="V4520" s="16" t="str">
        <f>IFERROR(__xludf.DUMMYFUNCTION("""COMPUTED_VALUE"""),"")</f>
        <v/>
      </c>
      <c r="W4520" s="16" t="str">
        <f>IFERROR(__xludf.DUMMYFUNCTION("""COMPUTED_VALUE"""),"")</f>
        <v/>
      </c>
      <c r="X4520" s="16" t="str">
        <f>IFERROR(__xludf.DUMMYFUNCTION("""COMPUTED_VALUE"""),"")</f>
        <v/>
      </c>
      <c r="AC4520" s="16" t="str">
        <f>IFERROR(__xludf.DUMMYFUNCTION("""COMPUTED_VALUE"""),"")</f>
        <v/>
      </c>
    </row>
    <row r="4521">
      <c r="A4521" s="16" t="s">
        <v>87</v>
      </c>
      <c r="E4521" s="16" t="str">
        <f>IFERROR(__xludf.DUMMYFUNCTION("""COMPUTED_VALUE"""),"")</f>
        <v/>
      </c>
      <c r="G4521" s="18"/>
      <c r="H4521" s="16" t="s">
        <v>87</v>
      </c>
      <c r="I4521" s="16" t="s">
        <v>87</v>
      </c>
      <c r="J4521" s="19"/>
      <c r="L4521" s="16" t="str">
        <f>IFERROR(__xludf.DUMMYFUNCTION("""COMPUTED_VALUE"""),"")</f>
        <v/>
      </c>
      <c r="M4521" s="16" t="str">
        <f>IFERROR(__xludf.DUMMYFUNCTION("""COMPUTED_VALUE"""),"")</f>
        <v/>
      </c>
      <c r="U4521" s="16" t="s">
        <v>87</v>
      </c>
      <c r="V4521" s="16" t="str">
        <f>IFERROR(__xludf.DUMMYFUNCTION("""COMPUTED_VALUE"""),"")</f>
        <v/>
      </c>
      <c r="W4521" s="16" t="str">
        <f>IFERROR(__xludf.DUMMYFUNCTION("""COMPUTED_VALUE"""),"")</f>
        <v/>
      </c>
      <c r="X4521" s="16" t="str">
        <f>IFERROR(__xludf.DUMMYFUNCTION("""COMPUTED_VALUE"""),"")</f>
        <v/>
      </c>
      <c r="AC4521" s="16" t="str">
        <f>IFERROR(__xludf.DUMMYFUNCTION("""COMPUTED_VALUE"""),"")</f>
        <v/>
      </c>
    </row>
    <row r="4522">
      <c r="A4522" s="16" t="s">
        <v>87</v>
      </c>
      <c r="E4522" s="16" t="str">
        <f>IFERROR(__xludf.DUMMYFUNCTION("""COMPUTED_VALUE"""),"")</f>
        <v/>
      </c>
      <c r="G4522" s="18"/>
      <c r="H4522" s="16" t="s">
        <v>87</v>
      </c>
      <c r="I4522" s="16" t="s">
        <v>87</v>
      </c>
      <c r="J4522" s="19"/>
      <c r="L4522" s="16" t="str">
        <f>IFERROR(__xludf.DUMMYFUNCTION("""COMPUTED_VALUE"""),"")</f>
        <v/>
      </c>
      <c r="M4522" s="16" t="str">
        <f>IFERROR(__xludf.DUMMYFUNCTION("""COMPUTED_VALUE"""),"")</f>
        <v/>
      </c>
      <c r="U4522" s="16" t="s">
        <v>87</v>
      </c>
      <c r="V4522" s="16" t="str">
        <f>IFERROR(__xludf.DUMMYFUNCTION("""COMPUTED_VALUE"""),"")</f>
        <v/>
      </c>
      <c r="W4522" s="16" t="str">
        <f>IFERROR(__xludf.DUMMYFUNCTION("""COMPUTED_VALUE"""),"")</f>
        <v/>
      </c>
      <c r="X4522" s="16" t="str">
        <f>IFERROR(__xludf.DUMMYFUNCTION("""COMPUTED_VALUE"""),"")</f>
        <v/>
      </c>
      <c r="AC4522" s="16" t="str">
        <f>IFERROR(__xludf.DUMMYFUNCTION("""COMPUTED_VALUE"""),"")</f>
        <v/>
      </c>
    </row>
    <row r="4523">
      <c r="A4523" s="16" t="s">
        <v>87</v>
      </c>
      <c r="E4523" s="16" t="str">
        <f>IFERROR(__xludf.DUMMYFUNCTION("""COMPUTED_VALUE"""),"")</f>
        <v/>
      </c>
      <c r="G4523" s="18"/>
      <c r="H4523" s="16" t="s">
        <v>87</v>
      </c>
      <c r="I4523" s="16" t="s">
        <v>87</v>
      </c>
      <c r="J4523" s="19"/>
      <c r="L4523" s="16" t="str">
        <f>IFERROR(__xludf.DUMMYFUNCTION("""COMPUTED_VALUE"""),"")</f>
        <v/>
      </c>
      <c r="M4523" s="16" t="str">
        <f>IFERROR(__xludf.DUMMYFUNCTION("""COMPUTED_VALUE"""),"")</f>
        <v/>
      </c>
      <c r="U4523" s="16" t="s">
        <v>87</v>
      </c>
      <c r="V4523" s="16" t="str">
        <f>IFERROR(__xludf.DUMMYFUNCTION("""COMPUTED_VALUE"""),"")</f>
        <v/>
      </c>
      <c r="W4523" s="16" t="str">
        <f>IFERROR(__xludf.DUMMYFUNCTION("""COMPUTED_VALUE"""),"")</f>
        <v/>
      </c>
      <c r="X4523" s="16" t="str">
        <f>IFERROR(__xludf.DUMMYFUNCTION("""COMPUTED_VALUE"""),"")</f>
        <v/>
      </c>
      <c r="AC4523" s="16" t="str">
        <f>IFERROR(__xludf.DUMMYFUNCTION("""COMPUTED_VALUE"""),"")</f>
        <v/>
      </c>
    </row>
    <row r="4524">
      <c r="A4524" s="16" t="s">
        <v>87</v>
      </c>
      <c r="E4524" s="16" t="str">
        <f>IFERROR(__xludf.DUMMYFUNCTION("""COMPUTED_VALUE"""),"")</f>
        <v/>
      </c>
      <c r="G4524" s="18"/>
      <c r="H4524" s="16" t="s">
        <v>87</v>
      </c>
      <c r="I4524" s="16" t="s">
        <v>87</v>
      </c>
      <c r="J4524" s="19"/>
      <c r="L4524" s="16" t="str">
        <f>IFERROR(__xludf.DUMMYFUNCTION("""COMPUTED_VALUE"""),"")</f>
        <v/>
      </c>
      <c r="M4524" s="16" t="str">
        <f>IFERROR(__xludf.DUMMYFUNCTION("""COMPUTED_VALUE"""),"")</f>
        <v/>
      </c>
      <c r="U4524" s="16" t="s">
        <v>87</v>
      </c>
      <c r="V4524" s="16" t="str">
        <f>IFERROR(__xludf.DUMMYFUNCTION("""COMPUTED_VALUE"""),"")</f>
        <v/>
      </c>
      <c r="W4524" s="16" t="str">
        <f>IFERROR(__xludf.DUMMYFUNCTION("""COMPUTED_VALUE"""),"")</f>
        <v/>
      </c>
      <c r="X4524" s="16" t="str">
        <f>IFERROR(__xludf.DUMMYFUNCTION("""COMPUTED_VALUE"""),"")</f>
        <v/>
      </c>
      <c r="AC4524" s="16" t="str">
        <f>IFERROR(__xludf.DUMMYFUNCTION("""COMPUTED_VALUE"""),"")</f>
        <v/>
      </c>
    </row>
    <row r="4525">
      <c r="A4525" s="16" t="s">
        <v>87</v>
      </c>
      <c r="E4525" s="16" t="str">
        <f>IFERROR(__xludf.DUMMYFUNCTION("""COMPUTED_VALUE"""),"")</f>
        <v/>
      </c>
      <c r="G4525" s="18"/>
      <c r="H4525" s="16" t="s">
        <v>87</v>
      </c>
      <c r="I4525" s="16" t="s">
        <v>87</v>
      </c>
      <c r="J4525" s="19"/>
      <c r="L4525" s="16" t="str">
        <f>IFERROR(__xludf.DUMMYFUNCTION("""COMPUTED_VALUE"""),"")</f>
        <v/>
      </c>
      <c r="M4525" s="16" t="str">
        <f>IFERROR(__xludf.DUMMYFUNCTION("""COMPUTED_VALUE"""),"")</f>
        <v/>
      </c>
      <c r="U4525" s="16" t="s">
        <v>87</v>
      </c>
      <c r="V4525" s="16" t="str">
        <f>IFERROR(__xludf.DUMMYFUNCTION("""COMPUTED_VALUE"""),"")</f>
        <v/>
      </c>
      <c r="W4525" s="16" t="str">
        <f>IFERROR(__xludf.DUMMYFUNCTION("""COMPUTED_VALUE"""),"")</f>
        <v/>
      </c>
      <c r="X4525" s="16" t="str">
        <f>IFERROR(__xludf.DUMMYFUNCTION("""COMPUTED_VALUE"""),"")</f>
        <v/>
      </c>
      <c r="AC4525" s="16" t="str">
        <f>IFERROR(__xludf.DUMMYFUNCTION("""COMPUTED_VALUE"""),"")</f>
        <v/>
      </c>
    </row>
    <row r="4526">
      <c r="A4526" s="16" t="s">
        <v>87</v>
      </c>
      <c r="E4526" s="16" t="str">
        <f>IFERROR(__xludf.DUMMYFUNCTION("""COMPUTED_VALUE"""),"")</f>
        <v/>
      </c>
      <c r="G4526" s="18"/>
      <c r="H4526" s="16" t="s">
        <v>87</v>
      </c>
      <c r="I4526" s="16" t="s">
        <v>87</v>
      </c>
      <c r="J4526" s="19"/>
      <c r="L4526" s="16" t="str">
        <f>IFERROR(__xludf.DUMMYFUNCTION("""COMPUTED_VALUE"""),"")</f>
        <v/>
      </c>
      <c r="M4526" s="16" t="str">
        <f>IFERROR(__xludf.DUMMYFUNCTION("""COMPUTED_VALUE"""),"")</f>
        <v/>
      </c>
      <c r="U4526" s="16" t="s">
        <v>87</v>
      </c>
      <c r="V4526" s="16" t="str">
        <f>IFERROR(__xludf.DUMMYFUNCTION("""COMPUTED_VALUE"""),"")</f>
        <v/>
      </c>
      <c r="W4526" s="16" t="str">
        <f>IFERROR(__xludf.DUMMYFUNCTION("""COMPUTED_VALUE"""),"")</f>
        <v/>
      </c>
      <c r="X4526" s="16" t="str">
        <f>IFERROR(__xludf.DUMMYFUNCTION("""COMPUTED_VALUE"""),"")</f>
        <v/>
      </c>
      <c r="AC4526" s="16" t="str">
        <f>IFERROR(__xludf.DUMMYFUNCTION("""COMPUTED_VALUE"""),"")</f>
        <v/>
      </c>
    </row>
    <row r="4527">
      <c r="A4527" s="16" t="s">
        <v>87</v>
      </c>
      <c r="E4527" s="16" t="str">
        <f>IFERROR(__xludf.DUMMYFUNCTION("""COMPUTED_VALUE"""),"")</f>
        <v/>
      </c>
      <c r="G4527" s="18"/>
      <c r="H4527" s="16" t="s">
        <v>87</v>
      </c>
      <c r="I4527" s="16" t="s">
        <v>87</v>
      </c>
      <c r="J4527" s="19"/>
      <c r="L4527" s="16" t="str">
        <f>IFERROR(__xludf.DUMMYFUNCTION("""COMPUTED_VALUE"""),"")</f>
        <v/>
      </c>
      <c r="M4527" s="16" t="str">
        <f>IFERROR(__xludf.DUMMYFUNCTION("""COMPUTED_VALUE"""),"")</f>
        <v/>
      </c>
      <c r="U4527" s="16" t="s">
        <v>87</v>
      </c>
      <c r="V4527" s="16" t="str">
        <f>IFERROR(__xludf.DUMMYFUNCTION("""COMPUTED_VALUE"""),"")</f>
        <v/>
      </c>
      <c r="W4527" s="16" t="str">
        <f>IFERROR(__xludf.DUMMYFUNCTION("""COMPUTED_VALUE"""),"")</f>
        <v/>
      </c>
      <c r="X4527" s="16" t="str">
        <f>IFERROR(__xludf.DUMMYFUNCTION("""COMPUTED_VALUE"""),"")</f>
        <v/>
      </c>
      <c r="AC4527" s="16" t="str">
        <f>IFERROR(__xludf.DUMMYFUNCTION("""COMPUTED_VALUE"""),"")</f>
        <v/>
      </c>
    </row>
    <row r="4528">
      <c r="A4528" s="16" t="s">
        <v>87</v>
      </c>
      <c r="E4528" s="16" t="str">
        <f>IFERROR(__xludf.DUMMYFUNCTION("""COMPUTED_VALUE"""),"")</f>
        <v/>
      </c>
      <c r="G4528" s="18"/>
      <c r="H4528" s="16" t="s">
        <v>87</v>
      </c>
      <c r="I4528" s="16" t="s">
        <v>87</v>
      </c>
      <c r="J4528" s="19"/>
      <c r="L4528" s="16" t="str">
        <f>IFERROR(__xludf.DUMMYFUNCTION("""COMPUTED_VALUE"""),"")</f>
        <v/>
      </c>
      <c r="M4528" s="16" t="str">
        <f>IFERROR(__xludf.DUMMYFUNCTION("""COMPUTED_VALUE"""),"")</f>
        <v/>
      </c>
      <c r="U4528" s="16" t="s">
        <v>87</v>
      </c>
      <c r="V4528" s="16" t="str">
        <f>IFERROR(__xludf.DUMMYFUNCTION("""COMPUTED_VALUE"""),"")</f>
        <v/>
      </c>
      <c r="W4528" s="16" t="str">
        <f>IFERROR(__xludf.DUMMYFUNCTION("""COMPUTED_VALUE"""),"")</f>
        <v/>
      </c>
      <c r="X4528" s="16" t="str">
        <f>IFERROR(__xludf.DUMMYFUNCTION("""COMPUTED_VALUE"""),"")</f>
        <v/>
      </c>
      <c r="AC4528" s="16" t="str">
        <f>IFERROR(__xludf.DUMMYFUNCTION("""COMPUTED_VALUE"""),"")</f>
        <v/>
      </c>
    </row>
    <row r="4529">
      <c r="A4529" s="16" t="s">
        <v>87</v>
      </c>
      <c r="E4529" s="16" t="str">
        <f>IFERROR(__xludf.DUMMYFUNCTION("""COMPUTED_VALUE"""),"")</f>
        <v/>
      </c>
      <c r="G4529" s="18"/>
      <c r="H4529" s="16" t="s">
        <v>87</v>
      </c>
      <c r="I4529" s="16" t="s">
        <v>87</v>
      </c>
      <c r="J4529" s="19"/>
      <c r="L4529" s="16" t="str">
        <f>IFERROR(__xludf.DUMMYFUNCTION("""COMPUTED_VALUE"""),"")</f>
        <v/>
      </c>
      <c r="M4529" s="16" t="str">
        <f>IFERROR(__xludf.DUMMYFUNCTION("""COMPUTED_VALUE"""),"")</f>
        <v/>
      </c>
      <c r="U4529" s="16" t="s">
        <v>87</v>
      </c>
      <c r="V4529" s="16" t="str">
        <f>IFERROR(__xludf.DUMMYFUNCTION("""COMPUTED_VALUE"""),"")</f>
        <v/>
      </c>
      <c r="W4529" s="16" t="str">
        <f>IFERROR(__xludf.DUMMYFUNCTION("""COMPUTED_VALUE"""),"")</f>
        <v/>
      </c>
      <c r="X4529" s="16" t="str">
        <f>IFERROR(__xludf.DUMMYFUNCTION("""COMPUTED_VALUE"""),"")</f>
        <v/>
      </c>
      <c r="AC4529" s="16" t="str">
        <f>IFERROR(__xludf.DUMMYFUNCTION("""COMPUTED_VALUE"""),"")</f>
        <v/>
      </c>
    </row>
    <row r="4530">
      <c r="A4530" s="16" t="s">
        <v>87</v>
      </c>
      <c r="E4530" s="16" t="str">
        <f>IFERROR(__xludf.DUMMYFUNCTION("""COMPUTED_VALUE"""),"")</f>
        <v/>
      </c>
      <c r="G4530" s="18"/>
      <c r="H4530" s="16" t="s">
        <v>87</v>
      </c>
      <c r="I4530" s="16" t="s">
        <v>87</v>
      </c>
      <c r="J4530" s="19"/>
      <c r="L4530" s="16" t="str">
        <f>IFERROR(__xludf.DUMMYFUNCTION("""COMPUTED_VALUE"""),"")</f>
        <v/>
      </c>
      <c r="M4530" s="16" t="str">
        <f>IFERROR(__xludf.DUMMYFUNCTION("""COMPUTED_VALUE"""),"")</f>
        <v/>
      </c>
      <c r="U4530" s="16" t="s">
        <v>87</v>
      </c>
      <c r="V4530" s="16" t="str">
        <f>IFERROR(__xludf.DUMMYFUNCTION("""COMPUTED_VALUE"""),"")</f>
        <v/>
      </c>
      <c r="W4530" s="16" t="str">
        <f>IFERROR(__xludf.DUMMYFUNCTION("""COMPUTED_VALUE"""),"")</f>
        <v/>
      </c>
      <c r="X4530" s="16" t="str">
        <f>IFERROR(__xludf.DUMMYFUNCTION("""COMPUTED_VALUE"""),"")</f>
        <v/>
      </c>
      <c r="AC4530" s="16" t="str">
        <f>IFERROR(__xludf.DUMMYFUNCTION("""COMPUTED_VALUE"""),"")</f>
        <v/>
      </c>
    </row>
    <row r="4531">
      <c r="A4531" s="16" t="s">
        <v>87</v>
      </c>
      <c r="E4531" s="16" t="str">
        <f>IFERROR(__xludf.DUMMYFUNCTION("""COMPUTED_VALUE"""),"")</f>
        <v/>
      </c>
      <c r="G4531" s="18"/>
      <c r="H4531" s="16" t="s">
        <v>87</v>
      </c>
      <c r="I4531" s="16" t="s">
        <v>87</v>
      </c>
      <c r="J4531" s="19"/>
      <c r="L4531" s="16" t="str">
        <f>IFERROR(__xludf.DUMMYFUNCTION("""COMPUTED_VALUE"""),"")</f>
        <v/>
      </c>
      <c r="M4531" s="16" t="str">
        <f>IFERROR(__xludf.DUMMYFUNCTION("""COMPUTED_VALUE"""),"")</f>
        <v/>
      </c>
      <c r="U4531" s="16" t="s">
        <v>87</v>
      </c>
      <c r="V4531" s="16" t="str">
        <f>IFERROR(__xludf.DUMMYFUNCTION("""COMPUTED_VALUE"""),"")</f>
        <v/>
      </c>
      <c r="W4531" s="16" t="str">
        <f>IFERROR(__xludf.DUMMYFUNCTION("""COMPUTED_VALUE"""),"")</f>
        <v/>
      </c>
      <c r="X4531" s="16" t="str">
        <f>IFERROR(__xludf.DUMMYFUNCTION("""COMPUTED_VALUE"""),"")</f>
        <v/>
      </c>
      <c r="AC4531" s="16" t="str">
        <f>IFERROR(__xludf.DUMMYFUNCTION("""COMPUTED_VALUE"""),"")</f>
        <v/>
      </c>
    </row>
    <row r="4532">
      <c r="A4532" s="16" t="s">
        <v>87</v>
      </c>
      <c r="E4532" s="16" t="str">
        <f>IFERROR(__xludf.DUMMYFUNCTION("""COMPUTED_VALUE"""),"")</f>
        <v/>
      </c>
      <c r="G4532" s="18"/>
      <c r="H4532" s="16" t="s">
        <v>87</v>
      </c>
      <c r="I4532" s="16" t="s">
        <v>87</v>
      </c>
      <c r="J4532" s="19"/>
      <c r="L4532" s="16" t="str">
        <f>IFERROR(__xludf.DUMMYFUNCTION("""COMPUTED_VALUE"""),"")</f>
        <v/>
      </c>
      <c r="M4532" s="16" t="str">
        <f>IFERROR(__xludf.DUMMYFUNCTION("""COMPUTED_VALUE"""),"")</f>
        <v/>
      </c>
      <c r="U4532" s="16" t="s">
        <v>87</v>
      </c>
      <c r="V4532" s="16" t="str">
        <f>IFERROR(__xludf.DUMMYFUNCTION("""COMPUTED_VALUE"""),"")</f>
        <v/>
      </c>
      <c r="W4532" s="16" t="str">
        <f>IFERROR(__xludf.DUMMYFUNCTION("""COMPUTED_VALUE"""),"")</f>
        <v/>
      </c>
      <c r="X4532" s="16" t="str">
        <f>IFERROR(__xludf.DUMMYFUNCTION("""COMPUTED_VALUE"""),"")</f>
        <v/>
      </c>
      <c r="AC4532" s="16" t="str">
        <f>IFERROR(__xludf.DUMMYFUNCTION("""COMPUTED_VALUE"""),"")</f>
        <v/>
      </c>
    </row>
    <row r="4533">
      <c r="A4533" s="16" t="s">
        <v>87</v>
      </c>
      <c r="E4533" s="16" t="str">
        <f>IFERROR(__xludf.DUMMYFUNCTION("""COMPUTED_VALUE"""),"")</f>
        <v/>
      </c>
      <c r="G4533" s="18"/>
      <c r="H4533" s="16" t="s">
        <v>87</v>
      </c>
      <c r="I4533" s="16" t="s">
        <v>87</v>
      </c>
      <c r="J4533" s="19"/>
      <c r="L4533" s="16" t="str">
        <f>IFERROR(__xludf.DUMMYFUNCTION("""COMPUTED_VALUE"""),"")</f>
        <v/>
      </c>
      <c r="M4533" s="16" t="str">
        <f>IFERROR(__xludf.DUMMYFUNCTION("""COMPUTED_VALUE"""),"")</f>
        <v/>
      </c>
      <c r="U4533" s="16" t="s">
        <v>87</v>
      </c>
      <c r="V4533" s="16" t="str">
        <f>IFERROR(__xludf.DUMMYFUNCTION("""COMPUTED_VALUE"""),"")</f>
        <v/>
      </c>
      <c r="W4533" s="16" t="str">
        <f>IFERROR(__xludf.DUMMYFUNCTION("""COMPUTED_VALUE"""),"")</f>
        <v/>
      </c>
      <c r="X4533" s="16" t="str">
        <f>IFERROR(__xludf.DUMMYFUNCTION("""COMPUTED_VALUE"""),"")</f>
        <v/>
      </c>
      <c r="AC4533" s="16" t="str">
        <f>IFERROR(__xludf.DUMMYFUNCTION("""COMPUTED_VALUE"""),"")</f>
        <v/>
      </c>
    </row>
    <row r="4534">
      <c r="A4534" s="16" t="s">
        <v>87</v>
      </c>
      <c r="E4534" s="16" t="str">
        <f>IFERROR(__xludf.DUMMYFUNCTION("""COMPUTED_VALUE"""),"")</f>
        <v/>
      </c>
      <c r="G4534" s="18"/>
      <c r="H4534" s="16" t="s">
        <v>87</v>
      </c>
      <c r="I4534" s="16" t="s">
        <v>87</v>
      </c>
      <c r="J4534" s="19"/>
      <c r="L4534" s="16" t="str">
        <f>IFERROR(__xludf.DUMMYFUNCTION("""COMPUTED_VALUE"""),"")</f>
        <v/>
      </c>
      <c r="M4534" s="16" t="str">
        <f>IFERROR(__xludf.DUMMYFUNCTION("""COMPUTED_VALUE"""),"")</f>
        <v/>
      </c>
      <c r="U4534" s="16" t="s">
        <v>87</v>
      </c>
      <c r="V4534" s="16" t="str">
        <f>IFERROR(__xludf.DUMMYFUNCTION("""COMPUTED_VALUE"""),"")</f>
        <v/>
      </c>
      <c r="W4534" s="16" t="str">
        <f>IFERROR(__xludf.DUMMYFUNCTION("""COMPUTED_VALUE"""),"")</f>
        <v/>
      </c>
      <c r="X4534" s="16" t="str">
        <f>IFERROR(__xludf.DUMMYFUNCTION("""COMPUTED_VALUE"""),"")</f>
        <v/>
      </c>
      <c r="AC4534" s="16" t="str">
        <f>IFERROR(__xludf.DUMMYFUNCTION("""COMPUTED_VALUE"""),"")</f>
        <v/>
      </c>
    </row>
    <row r="4535">
      <c r="A4535" s="16" t="s">
        <v>87</v>
      </c>
      <c r="E4535" s="16" t="str">
        <f>IFERROR(__xludf.DUMMYFUNCTION("""COMPUTED_VALUE"""),"")</f>
        <v/>
      </c>
      <c r="G4535" s="18"/>
      <c r="H4535" s="16" t="s">
        <v>87</v>
      </c>
      <c r="I4535" s="16" t="s">
        <v>87</v>
      </c>
      <c r="J4535" s="19"/>
      <c r="L4535" s="16" t="str">
        <f>IFERROR(__xludf.DUMMYFUNCTION("""COMPUTED_VALUE"""),"")</f>
        <v/>
      </c>
      <c r="M4535" s="16" t="str">
        <f>IFERROR(__xludf.DUMMYFUNCTION("""COMPUTED_VALUE"""),"")</f>
        <v/>
      </c>
      <c r="U4535" s="16" t="s">
        <v>87</v>
      </c>
      <c r="V4535" s="16" t="str">
        <f>IFERROR(__xludf.DUMMYFUNCTION("""COMPUTED_VALUE"""),"")</f>
        <v/>
      </c>
      <c r="W4535" s="16" t="str">
        <f>IFERROR(__xludf.DUMMYFUNCTION("""COMPUTED_VALUE"""),"")</f>
        <v/>
      </c>
      <c r="X4535" s="16" t="str">
        <f>IFERROR(__xludf.DUMMYFUNCTION("""COMPUTED_VALUE"""),"")</f>
        <v/>
      </c>
      <c r="AC4535" s="16" t="str">
        <f>IFERROR(__xludf.DUMMYFUNCTION("""COMPUTED_VALUE"""),"")</f>
        <v/>
      </c>
    </row>
    <row r="4536">
      <c r="A4536" s="16" t="s">
        <v>87</v>
      </c>
      <c r="E4536" s="16" t="str">
        <f>IFERROR(__xludf.DUMMYFUNCTION("""COMPUTED_VALUE"""),"")</f>
        <v/>
      </c>
      <c r="G4536" s="18"/>
      <c r="H4536" s="16" t="s">
        <v>87</v>
      </c>
      <c r="I4536" s="16" t="s">
        <v>87</v>
      </c>
      <c r="J4536" s="19"/>
      <c r="L4536" s="16" t="str">
        <f>IFERROR(__xludf.DUMMYFUNCTION("""COMPUTED_VALUE"""),"")</f>
        <v/>
      </c>
      <c r="M4536" s="16" t="str">
        <f>IFERROR(__xludf.DUMMYFUNCTION("""COMPUTED_VALUE"""),"")</f>
        <v/>
      </c>
      <c r="U4536" s="16" t="s">
        <v>87</v>
      </c>
      <c r="V4536" s="16" t="str">
        <f>IFERROR(__xludf.DUMMYFUNCTION("""COMPUTED_VALUE"""),"")</f>
        <v/>
      </c>
      <c r="W4536" s="16" t="str">
        <f>IFERROR(__xludf.DUMMYFUNCTION("""COMPUTED_VALUE"""),"")</f>
        <v/>
      </c>
      <c r="X4536" s="16" t="str">
        <f>IFERROR(__xludf.DUMMYFUNCTION("""COMPUTED_VALUE"""),"")</f>
        <v/>
      </c>
      <c r="AC4536" s="16" t="str">
        <f>IFERROR(__xludf.DUMMYFUNCTION("""COMPUTED_VALUE"""),"")</f>
        <v/>
      </c>
    </row>
    <row r="4537">
      <c r="A4537" s="16" t="s">
        <v>87</v>
      </c>
      <c r="E4537" s="16" t="str">
        <f>IFERROR(__xludf.DUMMYFUNCTION("""COMPUTED_VALUE"""),"")</f>
        <v/>
      </c>
      <c r="G4537" s="18"/>
      <c r="H4537" s="16" t="s">
        <v>87</v>
      </c>
      <c r="I4537" s="16" t="s">
        <v>87</v>
      </c>
      <c r="J4537" s="19"/>
      <c r="L4537" s="16" t="str">
        <f>IFERROR(__xludf.DUMMYFUNCTION("""COMPUTED_VALUE"""),"")</f>
        <v/>
      </c>
      <c r="M4537" s="16" t="str">
        <f>IFERROR(__xludf.DUMMYFUNCTION("""COMPUTED_VALUE"""),"")</f>
        <v/>
      </c>
      <c r="U4537" s="16" t="s">
        <v>87</v>
      </c>
      <c r="V4537" s="16" t="str">
        <f>IFERROR(__xludf.DUMMYFUNCTION("""COMPUTED_VALUE"""),"")</f>
        <v/>
      </c>
      <c r="W4537" s="16" t="str">
        <f>IFERROR(__xludf.DUMMYFUNCTION("""COMPUTED_VALUE"""),"")</f>
        <v/>
      </c>
      <c r="X4537" s="16" t="str">
        <f>IFERROR(__xludf.DUMMYFUNCTION("""COMPUTED_VALUE"""),"")</f>
        <v/>
      </c>
      <c r="AC4537" s="16" t="str">
        <f>IFERROR(__xludf.DUMMYFUNCTION("""COMPUTED_VALUE"""),"")</f>
        <v/>
      </c>
    </row>
    <row r="4538">
      <c r="A4538" s="16" t="s">
        <v>87</v>
      </c>
      <c r="E4538" s="16" t="str">
        <f>IFERROR(__xludf.DUMMYFUNCTION("""COMPUTED_VALUE"""),"")</f>
        <v/>
      </c>
      <c r="G4538" s="18"/>
      <c r="H4538" s="16" t="s">
        <v>87</v>
      </c>
      <c r="I4538" s="16" t="s">
        <v>87</v>
      </c>
      <c r="J4538" s="19"/>
      <c r="L4538" s="16" t="str">
        <f>IFERROR(__xludf.DUMMYFUNCTION("""COMPUTED_VALUE"""),"")</f>
        <v/>
      </c>
      <c r="M4538" s="16" t="str">
        <f>IFERROR(__xludf.DUMMYFUNCTION("""COMPUTED_VALUE"""),"")</f>
        <v/>
      </c>
      <c r="U4538" s="16" t="s">
        <v>87</v>
      </c>
      <c r="V4538" s="16" t="str">
        <f>IFERROR(__xludf.DUMMYFUNCTION("""COMPUTED_VALUE"""),"")</f>
        <v/>
      </c>
      <c r="W4538" s="16" t="str">
        <f>IFERROR(__xludf.DUMMYFUNCTION("""COMPUTED_VALUE"""),"")</f>
        <v/>
      </c>
      <c r="X4538" s="16" t="str">
        <f>IFERROR(__xludf.DUMMYFUNCTION("""COMPUTED_VALUE"""),"")</f>
        <v/>
      </c>
      <c r="AC4538" s="16" t="str">
        <f>IFERROR(__xludf.DUMMYFUNCTION("""COMPUTED_VALUE"""),"")</f>
        <v/>
      </c>
    </row>
    <row r="4539">
      <c r="A4539" s="16" t="s">
        <v>87</v>
      </c>
      <c r="E4539" s="16" t="str">
        <f>IFERROR(__xludf.DUMMYFUNCTION("""COMPUTED_VALUE"""),"")</f>
        <v/>
      </c>
      <c r="G4539" s="18"/>
      <c r="H4539" s="16" t="s">
        <v>87</v>
      </c>
      <c r="I4539" s="16" t="s">
        <v>87</v>
      </c>
      <c r="J4539" s="19"/>
      <c r="L4539" s="16" t="str">
        <f>IFERROR(__xludf.DUMMYFUNCTION("""COMPUTED_VALUE"""),"")</f>
        <v/>
      </c>
      <c r="M4539" s="16" t="str">
        <f>IFERROR(__xludf.DUMMYFUNCTION("""COMPUTED_VALUE"""),"")</f>
        <v/>
      </c>
      <c r="U4539" s="16" t="s">
        <v>87</v>
      </c>
      <c r="V4539" s="16" t="str">
        <f>IFERROR(__xludf.DUMMYFUNCTION("""COMPUTED_VALUE"""),"")</f>
        <v/>
      </c>
      <c r="W4539" s="16" t="str">
        <f>IFERROR(__xludf.DUMMYFUNCTION("""COMPUTED_VALUE"""),"")</f>
        <v/>
      </c>
      <c r="X4539" s="16" t="str">
        <f>IFERROR(__xludf.DUMMYFUNCTION("""COMPUTED_VALUE"""),"")</f>
        <v/>
      </c>
      <c r="AC4539" s="16" t="str">
        <f>IFERROR(__xludf.DUMMYFUNCTION("""COMPUTED_VALUE"""),"")</f>
        <v/>
      </c>
    </row>
    <row r="4540">
      <c r="A4540" s="16" t="s">
        <v>87</v>
      </c>
      <c r="E4540" s="16" t="str">
        <f>IFERROR(__xludf.DUMMYFUNCTION("""COMPUTED_VALUE"""),"")</f>
        <v/>
      </c>
      <c r="G4540" s="18"/>
      <c r="H4540" s="16" t="s">
        <v>87</v>
      </c>
      <c r="I4540" s="16" t="s">
        <v>87</v>
      </c>
      <c r="J4540" s="19"/>
      <c r="L4540" s="16" t="str">
        <f>IFERROR(__xludf.DUMMYFUNCTION("""COMPUTED_VALUE"""),"")</f>
        <v/>
      </c>
      <c r="M4540" s="16" t="str">
        <f>IFERROR(__xludf.DUMMYFUNCTION("""COMPUTED_VALUE"""),"")</f>
        <v/>
      </c>
      <c r="U4540" s="16" t="s">
        <v>87</v>
      </c>
      <c r="V4540" s="16" t="str">
        <f>IFERROR(__xludf.DUMMYFUNCTION("""COMPUTED_VALUE"""),"")</f>
        <v/>
      </c>
      <c r="W4540" s="16" t="str">
        <f>IFERROR(__xludf.DUMMYFUNCTION("""COMPUTED_VALUE"""),"")</f>
        <v/>
      </c>
      <c r="X4540" s="16" t="str">
        <f>IFERROR(__xludf.DUMMYFUNCTION("""COMPUTED_VALUE"""),"")</f>
        <v/>
      </c>
      <c r="AC4540" s="16" t="str">
        <f>IFERROR(__xludf.DUMMYFUNCTION("""COMPUTED_VALUE"""),"")</f>
        <v/>
      </c>
    </row>
    <row r="4541">
      <c r="A4541" s="16" t="s">
        <v>87</v>
      </c>
      <c r="E4541" s="16" t="str">
        <f>IFERROR(__xludf.DUMMYFUNCTION("""COMPUTED_VALUE"""),"")</f>
        <v/>
      </c>
      <c r="G4541" s="18"/>
      <c r="H4541" s="16" t="s">
        <v>87</v>
      </c>
      <c r="I4541" s="16" t="s">
        <v>87</v>
      </c>
      <c r="J4541" s="19"/>
      <c r="L4541" s="16" t="str">
        <f>IFERROR(__xludf.DUMMYFUNCTION("""COMPUTED_VALUE"""),"")</f>
        <v/>
      </c>
      <c r="M4541" s="16" t="str">
        <f>IFERROR(__xludf.DUMMYFUNCTION("""COMPUTED_VALUE"""),"")</f>
        <v/>
      </c>
      <c r="U4541" s="16" t="s">
        <v>87</v>
      </c>
      <c r="V4541" s="16" t="str">
        <f>IFERROR(__xludf.DUMMYFUNCTION("""COMPUTED_VALUE"""),"")</f>
        <v/>
      </c>
      <c r="W4541" s="16" t="str">
        <f>IFERROR(__xludf.DUMMYFUNCTION("""COMPUTED_VALUE"""),"")</f>
        <v/>
      </c>
      <c r="X4541" s="16" t="str">
        <f>IFERROR(__xludf.DUMMYFUNCTION("""COMPUTED_VALUE"""),"")</f>
        <v/>
      </c>
      <c r="AC4541" s="16" t="str">
        <f>IFERROR(__xludf.DUMMYFUNCTION("""COMPUTED_VALUE"""),"")</f>
        <v/>
      </c>
    </row>
    <row r="4542">
      <c r="A4542" s="16" t="s">
        <v>87</v>
      </c>
      <c r="E4542" s="16" t="str">
        <f>IFERROR(__xludf.DUMMYFUNCTION("""COMPUTED_VALUE"""),"")</f>
        <v/>
      </c>
      <c r="G4542" s="18"/>
      <c r="H4542" s="16" t="s">
        <v>87</v>
      </c>
      <c r="I4542" s="16" t="s">
        <v>87</v>
      </c>
      <c r="J4542" s="19"/>
      <c r="L4542" s="16" t="str">
        <f>IFERROR(__xludf.DUMMYFUNCTION("""COMPUTED_VALUE"""),"")</f>
        <v/>
      </c>
      <c r="M4542" s="16" t="str">
        <f>IFERROR(__xludf.DUMMYFUNCTION("""COMPUTED_VALUE"""),"")</f>
        <v/>
      </c>
      <c r="U4542" s="16" t="s">
        <v>87</v>
      </c>
      <c r="V4542" s="16" t="str">
        <f>IFERROR(__xludf.DUMMYFUNCTION("""COMPUTED_VALUE"""),"")</f>
        <v/>
      </c>
      <c r="W4542" s="16" t="str">
        <f>IFERROR(__xludf.DUMMYFUNCTION("""COMPUTED_VALUE"""),"")</f>
        <v/>
      </c>
      <c r="X4542" s="16" t="str">
        <f>IFERROR(__xludf.DUMMYFUNCTION("""COMPUTED_VALUE"""),"")</f>
        <v/>
      </c>
      <c r="AC4542" s="16" t="str">
        <f>IFERROR(__xludf.DUMMYFUNCTION("""COMPUTED_VALUE"""),"")</f>
        <v/>
      </c>
    </row>
    <row r="4543">
      <c r="A4543" s="16" t="s">
        <v>87</v>
      </c>
      <c r="E4543" s="16" t="str">
        <f>IFERROR(__xludf.DUMMYFUNCTION("""COMPUTED_VALUE"""),"")</f>
        <v/>
      </c>
      <c r="G4543" s="18"/>
      <c r="H4543" s="16" t="s">
        <v>87</v>
      </c>
      <c r="I4543" s="16" t="s">
        <v>87</v>
      </c>
      <c r="J4543" s="19"/>
      <c r="L4543" s="16" t="str">
        <f>IFERROR(__xludf.DUMMYFUNCTION("""COMPUTED_VALUE"""),"")</f>
        <v/>
      </c>
      <c r="M4543" s="16" t="str">
        <f>IFERROR(__xludf.DUMMYFUNCTION("""COMPUTED_VALUE"""),"")</f>
        <v/>
      </c>
      <c r="U4543" s="16" t="s">
        <v>87</v>
      </c>
      <c r="V4543" s="16" t="str">
        <f>IFERROR(__xludf.DUMMYFUNCTION("""COMPUTED_VALUE"""),"")</f>
        <v/>
      </c>
      <c r="W4543" s="16" t="str">
        <f>IFERROR(__xludf.DUMMYFUNCTION("""COMPUTED_VALUE"""),"")</f>
        <v/>
      </c>
      <c r="X4543" s="16" t="str">
        <f>IFERROR(__xludf.DUMMYFUNCTION("""COMPUTED_VALUE"""),"")</f>
        <v/>
      </c>
      <c r="AC4543" s="16" t="str">
        <f>IFERROR(__xludf.DUMMYFUNCTION("""COMPUTED_VALUE"""),"")</f>
        <v/>
      </c>
    </row>
    <row r="4544">
      <c r="A4544" s="16" t="s">
        <v>87</v>
      </c>
      <c r="E4544" s="16" t="str">
        <f>IFERROR(__xludf.DUMMYFUNCTION("""COMPUTED_VALUE"""),"")</f>
        <v/>
      </c>
      <c r="G4544" s="18"/>
      <c r="H4544" s="16" t="s">
        <v>87</v>
      </c>
      <c r="I4544" s="16" t="s">
        <v>87</v>
      </c>
      <c r="J4544" s="19"/>
      <c r="L4544" s="16" t="str">
        <f>IFERROR(__xludf.DUMMYFUNCTION("""COMPUTED_VALUE"""),"")</f>
        <v/>
      </c>
      <c r="M4544" s="16" t="str">
        <f>IFERROR(__xludf.DUMMYFUNCTION("""COMPUTED_VALUE"""),"")</f>
        <v/>
      </c>
      <c r="U4544" s="16" t="s">
        <v>87</v>
      </c>
      <c r="V4544" s="16" t="str">
        <f>IFERROR(__xludf.DUMMYFUNCTION("""COMPUTED_VALUE"""),"")</f>
        <v/>
      </c>
      <c r="W4544" s="16" t="str">
        <f>IFERROR(__xludf.DUMMYFUNCTION("""COMPUTED_VALUE"""),"")</f>
        <v/>
      </c>
      <c r="X4544" s="16" t="str">
        <f>IFERROR(__xludf.DUMMYFUNCTION("""COMPUTED_VALUE"""),"")</f>
        <v/>
      </c>
      <c r="AC4544" s="16" t="str">
        <f>IFERROR(__xludf.DUMMYFUNCTION("""COMPUTED_VALUE"""),"")</f>
        <v/>
      </c>
    </row>
    <row r="4545">
      <c r="A4545" s="16" t="s">
        <v>87</v>
      </c>
      <c r="E4545" s="16" t="str">
        <f>IFERROR(__xludf.DUMMYFUNCTION("""COMPUTED_VALUE"""),"")</f>
        <v/>
      </c>
      <c r="G4545" s="18"/>
      <c r="H4545" s="16" t="s">
        <v>87</v>
      </c>
      <c r="I4545" s="16" t="s">
        <v>87</v>
      </c>
      <c r="J4545" s="19"/>
      <c r="L4545" s="16" t="str">
        <f>IFERROR(__xludf.DUMMYFUNCTION("""COMPUTED_VALUE"""),"")</f>
        <v/>
      </c>
      <c r="M4545" s="16" t="str">
        <f>IFERROR(__xludf.DUMMYFUNCTION("""COMPUTED_VALUE"""),"")</f>
        <v/>
      </c>
      <c r="U4545" s="16" t="s">
        <v>87</v>
      </c>
      <c r="V4545" s="16" t="str">
        <f>IFERROR(__xludf.DUMMYFUNCTION("""COMPUTED_VALUE"""),"")</f>
        <v/>
      </c>
      <c r="W4545" s="16" t="str">
        <f>IFERROR(__xludf.DUMMYFUNCTION("""COMPUTED_VALUE"""),"")</f>
        <v/>
      </c>
      <c r="X4545" s="16" t="str">
        <f>IFERROR(__xludf.DUMMYFUNCTION("""COMPUTED_VALUE"""),"")</f>
        <v/>
      </c>
      <c r="AC4545" s="16" t="str">
        <f>IFERROR(__xludf.DUMMYFUNCTION("""COMPUTED_VALUE"""),"")</f>
        <v/>
      </c>
    </row>
    <row r="4546">
      <c r="A4546" s="16" t="s">
        <v>87</v>
      </c>
      <c r="E4546" s="16" t="str">
        <f>IFERROR(__xludf.DUMMYFUNCTION("""COMPUTED_VALUE"""),"")</f>
        <v/>
      </c>
      <c r="G4546" s="18"/>
      <c r="H4546" s="16" t="s">
        <v>87</v>
      </c>
      <c r="I4546" s="16" t="s">
        <v>87</v>
      </c>
      <c r="J4546" s="19"/>
      <c r="L4546" s="16" t="str">
        <f>IFERROR(__xludf.DUMMYFUNCTION("""COMPUTED_VALUE"""),"")</f>
        <v/>
      </c>
      <c r="M4546" s="16" t="str">
        <f>IFERROR(__xludf.DUMMYFUNCTION("""COMPUTED_VALUE"""),"")</f>
        <v/>
      </c>
      <c r="U4546" s="16" t="s">
        <v>87</v>
      </c>
      <c r="V4546" s="16" t="str">
        <f>IFERROR(__xludf.DUMMYFUNCTION("""COMPUTED_VALUE"""),"")</f>
        <v/>
      </c>
      <c r="W4546" s="16" t="str">
        <f>IFERROR(__xludf.DUMMYFUNCTION("""COMPUTED_VALUE"""),"")</f>
        <v/>
      </c>
      <c r="X4546" s="16" t="str">
        <f>IFERROR(__xludf.DUMMYFUNCTION("""COMPUTED_VALUE"""),"")</f>
        <v/>
      </c>
      <c r="AC4546" s="16" t="str">
        <f>IFERROR(__xludf.DUMMYFUNCTION("""COMPUTED_VALUE"""),"")</f>
        <v/>
      </c>
    </row>
    <row r="4547">
      <c r="A4547" s="16" t="s">
        <v>87</v>
      </c>
      <c r="E4547" s="16" t="str">
        <f>IFERROR(__xludf.DUMMYFUNCTION("""COMPUTED_VALUE"""),"")</f>
        <v/>
      </c>
      <c r="G4547" s="18"/>
      <c r="H4547" s="16" t="s">
        <v>87</v>
      </c>
      <c r="I4547" s="16" t="s">
        <v>87</v>
      </c>
      <c r="J4547" s="19"/>
      <c r="L4547" s="16" t="str">
        <f>IFERROR(__xludf.DUMMYFUNCTION("""COMPUTED_VALUE"""),"")</f>
        <v/>
      </c>
      <c r="M4547" s="16" t="str">
        <f>IFERROR(__xludf.DUMMYFUNCTION("""COMPUTED_VALUE"""),"")</f>
        <v/>
      </c>
      <c r="U4547" s="16" t="s">
        <v>87</v>
      </c>
      <c r="V4547" s="16" t="str">
        <f>IFERROR(__xludf.DUMMYFUNCTION("""COMPUTED_VALUE"""),"")</f>
        <v/>
      </c>
      <c r="W4547" s="16" t="str">
        <f>IFERROR(__xludf.DUMMYFUNCTION("""COMPUTED_VALUE"""),"")</f>
        <v/>
      </c>
      <c r="X4547" s="16" t="str">
        <f>IFERROR(__xludf.DUMMYFUNCTION("""COMPUTED_VALUE"""),"")</f>
        <v/>
      </c>
      <c r="AC4547" s="16" t="str">
        <f>IFERROR(__xludf.DUMMYFUNCTION("""COMPUTED_VALUE"""),"")</f>
        <v/>
      </c>
    </row>
    <row r="4548">
      <c r="A4548" s="16" t="s">
        <v>87</v>
      </c>
      <c r="E4548" s="16" t="str">
        <f>IFERROR(__xludf.DUMMYFUNCTION("""COMPUTED_VALUE"""),"")</f>
        <v/>
      </c>
      <c r="G4548" s="18"/>
      <c r="H4548" s="16" t="s">
        <v>87</v>
      </c>
      <c r="I4548" s="16" t="s">
        <v>87</v>
      </c>
      <c r="J4548" s="19"/>
      <c r="L4548" s="16" t="str">
        <f>IFERROR(__xludf.DUMMYFUNCTION("""COMPUTED_VALUE"""),"")</f>
        <v/>
      </c>
      <c r="M4548" s="16" t="str">
        <f>IFERROR(__xludf.DUMMYFUNCTION("""COMPUTED_VALUE"""),"")</f>
        <v/>
      </c>
      <c r="U4548" s="16" t="s">
        <v>87</v>
      </c>
      <c r="V4548" s="16" t="str">
        <f>IFERROR(__xludf.DUMMYFUNCTION("""COMPUTED_VALUE"""),"")</f>
        <v/>
      </c>
      <c r="W4548" s="16" t="str">
        <f>IFERROR(__xludf.DUMMYFUNCTION("""COMPUTED_VALUE"""),"")</f>
        <v/>
      </c>
      <c r="X4548" s="16" t="str">
        <f>IFERROR(__xludf.DUMMYFUNCTION("""COMPUTED_VALUE"""),"")</f>
        <v/>
      </c>
      <c r="AC4548" s="16" t="str">
        <f>IFERROR(__xludf.DUMMYFUNCTION("""COMPUTED_VALUE"""),"")</f>
        <v/>
      </c>
    </row>
    <row r="4549">
      <c r="A4549" s="16" t="s">
        <v>87</v>
      </c>
      <c r="E4549" s="16" t="str">
        <f>IFERROR(__xludf.DUMMYFUNCTION("""COMPUTED_VALUE"""),"")</f>
        <v/>
      </c>
      <c r="G4549" s="18"/>
      <c r="H4549" s="16" t="s">
        <v>87</v>
      </c>
      <c r="I4549" s="16" t="s">
        <v>87</v>
      </c>
      <c r="J4549" s="19"/>
      <c r="L4549" s="16" t="str">
        <f>IFERROR(__xludf.DUMMYFUNCTION("""COMPUTED_VALUE"""),"")</f>
        <v/>
      </c>
      <c r="M4549" s="16" t="str">
        <f>IFERROR(__xludf.DUMMYFUNCTION("""COMPUTED_VALUE"""),"")</f>
        <v/>
      </c>
      <c r="U4549" s="16" t="s">
        <v>87</v>
      </c>
      <c r="V4549" s="16" t="str">
        <f>IFERROR(__xludf.DUMMYFUNCTION("""COMPUTED_VALUE"""),"")</f>
        <v/>
      </c>
      <c r="W4549" s="16" t="str">
        <f>IFERROR(__xludf.DUMMYFUNCTION("""COMPUTED_VALUE"""),"")</f>
        <v/>
      </c>
      <c r="X4549" s="16" t="str">
        <f>IFERROR(__xludf.DUMMYFUNCTION("""COMPUTED_VALUE"""),"")</f>
        <v/>
      </c>
      <c r="AC4549" s="16" t="str">
        <f>IFERROR(__xludf.DUMMYFUNCTION("""COMPUTED_VALUE"""),"")</f>
        <v/>
      </c>
    </row>
    <row r="4550">
      <c r="A4550" s="16" t="s">
        <v>87</v>
      </c>
      <c r="E4550" s="16" t="str">
        <f>IFERROR(__xludf.DUMMYFUNCTION("""COMPUTED_VALUE"""),"")</f>
        <v/>
      </c>
      <c r="G4550" s="18"/>
      <c r="H4550" s="16" t="s">
        <v>87</v>
      </c>
      <c r="I4550" s="16" t="s">
        <v>87</v>
      </c>
      <c r="J4550" s="19"/>
      <c r="L4550" s="16" t="str">
        <f>IFERROR(__xludf.DUMMYFUNCTION("""COMPUTED_VALUE"""),"")</f>
        <v/>
      </c>
      <c r="M4550" s="16" t="str">
        <f>IFERROR(__xludf.DUMMYFUNCTION("""COMPUTED_VALUE"""),"")</f>
        <v/>
      </c>
      <c r="U4550" s="16" t="s">
        <v>87</v>
      </c>
      <c r="V4550" s="16" t="str">
        <f>IFERROR(__xludf.DUMMYFUNCTION("""COMPUTED_VALUE"""),"")</f>
        <v/>
      </c>
      <c r="W4550" s="16" t="str">
        <f>IFERROR(__xludf.DUMMYFUNCTION("""COMPUTED_VALUE"""),"")</f>
        <v/>
      </c>
      <c r="X4550" s="16" t="str">
        <f>IFERROR(__xludf.DUMMYFUNCTION("""COMPUTED_VALUE"""),"")</f>
        <v/>
      </c>
      <c r="AC4550" s="16" t="str">
        <f>IFERROR(__xludf.DUMMYFUNCTION("""COMPUTED_VALUE"""),"")</f>
        <v/>
      </c>
    </row>
    <row r="4551">
      <c r="A4551" s="16" t="s">
        <v>87</v>
      </c>
      <c r="E4551" s="16" t="str">
        <f>IFERROR(__xludf.DUMMYFUNCTION("""COMPUTED_VALUE"""),"")</f>
        <v/>
      </c>
      <c r="G4551" s="18"/>
      <c r="H4551" s="16" t="s">
        <v>87</v>
      </c>
      <c r="I4551" s="16" t="s">
        <v>87</v>
      </c>
      <c r="J4551" s="19"/>
      <c r="L4551" s="16" t="str">
        <f>IFERROR(__xludf.DUMMYFUNCTION("""COMPUTED_VALUE"""),"")</f>
        <v/>
      </c>
      <c r="M4551" s="16" t="str">
        <f>IFERROR(__xludf.DUMMYFUNCTION("""COMPUTED_VALUE"""),"")</f>
        <v/>
      </c>
      <c r="U4551" s="16" t="s">
        <v>87</v>
      </c>
      <c r="V4551" s="16" t="str">
        <f>IFERROR(__xludf.DUMMYFUNCTION("""COMPUTED_VALUE"""),"")</f>
        <v/>
      </c>
      <c r="W4551" s="16" t="str">
        <f>IFERROR(__xludf.DUMMYFUNCTION("""COMPUTED_VALUE"""),"")</f>
        <v/>
      </c>
      <c r="X4551" s="16" t="str">
        <f>IFERROR(__xludf.DUMMYFUNCTION("""COMPUTED_VALUE"""),"")</f>
        <v/>
      </c>
      <c r="AC4551" s="16" t="str">
        <f>IFERROR(__xludf.DUMMYFUNCTION("""COMPUTED_VALUE"""),"")</f>
        <v/>
      </c>
    </row>
    <row r="4552">
      <c r="A4552" s="16" t="s">
        <v>87</v>
      </c>
      <c r="E4552" s="16" t="str">
        <f>IFERROR(__xludf.DUMMYFUNCTION("""COMPUTED_VALUE"""),"")</f>
        <v/>
      </c>
      <c r="G4552" s="18"/>
      <c r="H4552" s="16" t="s">
        <v>87</v>
      </c>
      <c r="I4552" s="16" t="s">
        <v>87</v>
      </c>
      <c r="J4552" s="19"/>
      <c r="L4552" s="16" t="str">
        <f>IFERROR(__xludf.DUMMYFUNCTION("""COMPUTED_VALUE"""),"")</f>
        <v/>
      </c>
      <c r="M4552" s="16" t="str">
        <f>IFERROR(__xludf.DUMMYFUNCTION("""COMPUTED_VALUE"""),"")</f>
        <v/>
      </c>
      <c r="U4552" s="16" t="s">
        <v>87</v>
      </c>
      <c r="V4552" s="16" t="str">
        <f>IFERROR(__xludf.DUMMYFUNCTION("""COMPUTED_VALUE"""),"")</f>
        <v/>
      </c>
      <c r="W4552" s="16" t="str">
        <f>IFERROR(__xludf.DUMMYFUNCTION("""COMPUTED_VALUE"""),"")</f>
        <v/>
      </c>
      <c r="X4552" s="16" t="str">
        <f>IFERROR(__xludf.DUMMYFUNCTION("""COMPUTED_VALUE"""),"")</f>
        <v/>
      </c>
      <c r="AC4552" s="16" t="str">
        <f>IFERROR(__xludf.DUMMYFUNCTION("""COMPUTED_VALUE"""),"")</f>
        <v/>
      </c>
    </row>
    <row r="4553">
      <c r="A4553" s="16" t="s">
        <v>87</v>
      </c>
      <c r="E4553" s="16" t="str">
        <f>IFERROR(__xludf.DUMMYFUNCTION("""COMPUTED_VALUE"""),"")</f>
        <v/>
      </c>
      <c r="G4553" s="18"/>
      <c r="H4553" s="16" t="s">
        <v>87</v>
      </c>
      <c r="I4553" s="16" t="s">
        <v>87</v>
      </c>
      <c r="J4553" s="19"/>
      <c r="L4553" s="16" t="str">
        <f>IFERROR(__xludf.DUMMYFUNCTION("""COMPUTED_VALUE"""),"")</f>
        <v/>
      </c>
      <c r="M4553" s="16" t="str">
        <f>IFERROR(__xludf.DUMMYFUNCTION("""COMPUTED_VALUE"""),"")</f>
        <v/>
      </c>
      <c r="U4553" s="16" t="s">
        <v>87</v>
      </c>
      <c r="V4553" s="16" t="str">
        <f>IFERROR(__xludf.DUMMYFUNCTION("""COMPUTED_VALUE"""),"")</f>
        <v/>
      </c>
      <c r="W4553" s="16" t="str">
        <f>IFERROR(__xludf.DUMMYFUNCTION("""COMPUTED_VALUE"""),"")</f>
        <v/>
      </c>
      <c r="X4553" s="16" t="str">
        <f>IFERROR(__xludf.DUMMYFUNCTION("""COMPUTED_VALUE"""),"")</f>
        <v/>
      </c>
      <c r="AC4553" s="16" t="str">
        <f>IFERROR(__xludf.DUMMYFUNCTION("""COMPUTED_VALUE"""),"")</f>
        <v/>
      </c>
    </row>
    <row r="4554">
      <c r="A4554" s="16" t="s">
        <v>87</v>
      </c>
      <c r="E4554" s="16" t="str">
        <f>IFERROR(__xludf.DUMMYFUNCTION("""COMPUTED_VALUE"""),"")</f>
        <v/>
      </c>
      <c r="G4554" s="18"/>
      <c r="H4554" s="16" t="s">
        <v>87</v>
      </c>
      <c r="I4554" s="16" t="s">
        <v>87</v>
      </c>
      <c r="J4554" s="19"/>
      <c r="L4554" s="16" t="str">
        <f>IFERROR(__xludf.DUMMYFUNCTION("""COMPUTED_VALUE"""),"")</f>
        <v/>
      </c>
      <c r="M4554" s="16" t="str">
        <f>IFERROR(__xludf.DUMMYFUNCTION("""COMPUTED_VALUE"""),"")</f>
        <v/>
      </c>
      <c r="U4554" s="16" t="s">
        <v>87</v>
      </c>
      <c r="V4554" s="16" t="str">
        <f>IFERROR(__xludf.DUMMYFUNCTION("""COMPUTED_VALUE"""),"")</f>
        <v/>
      </c>
      <c r="W4554" s="16" t="str">
        <f>IFERROR(__xludf.DUMMYFUNCTION("""COMPUTED_VALUE"""),"")</f>
        <v/>
      </c>
      <c r="X4554" s="16" t="str">
        <f>IFERROR(__xludf.DUMMYFUNCTION("""COMPUTED_VALUE"""),"")</f>
        <v/>
      </c>
      <c r="AC4554" s="16" t="str">
        <f>IFERROR(__xludf.DUMMYFUNCTION("""COMPUTED_VALUE"""),"")</f>
        <v/>
      </c>
    </row>
    <row r="4555">
      <c r="A4555" s="16" t="s">
        <v>87</v>
      </c>
      <c r="E4555" s="16" t="str">
        <f>IFERROR(__xludf.DUMMYFUNCTION("""COMPUTED_VALUE"""),"")</f>
        <v/>
      </c>
      <c r="G4555" s="18"/>
      <c r="H4555" s="16" t="s">
        <v>87</v>
      </c>
      <c r="I4555" s="16" t="s">
        <v>87</v>
      </c>
      <c r="J4555" s="19"/>
      <c r="L4555" s="16" t="str">
        <f>IFERROR(__xludf.DUMMYFUNCTION("""COMPUTED_VALUE"""),"")</f>
        <v/>
      </c>
      <c r="M4555" s="16" t="str">
        <f>IFERROR(__xludf.DUMMYFUNCTION("""COMPUTED_VALUE"""),"")</f>
        <v/>
      </c>
      <c r="U4555" s="16" t="s">
        <v>87</v>
      </c>
      <c r="V4555" s="16" t="str">
        <f>IFERROR(__xludf.DUMMYFUNCTION("""COMPUTED_VALUE"""),"")</f>
        <v/>
      </c>
      <c r="W4555" s="16" t="str">
        <f>IFERROR(__xludf.DUMMYFUNCTION("""COMPUTED_VALUE"""),"")</f>
        <v/>
      </c>
      <c r="X4555" s="16" t="str">
        <f>IFERROR(__xludf.DUMMYFUNCTION("""COMPUTED_VALUE"""),"")</f>
        <v/>
      </c>
      <c r="AC4555" s="16" t="str">
        <f>IFERROR(__xludf.DUMMYFUNCTION("""COMPUTED_VALUE"""),"")</f>
        <v/>
      </c>
    </row>
    <row r="4556">
      <c r="A4556" s="16" t="s">
        <v>87</v>
      </c>
      <c r="E4556" s="16" t="str">
        <f>IFERROR(__xludf.DUMMYFUNCTION("""COMPUTED_VALUE"""),"")</f>
        <v/>
      </c>
      <c r="G4556" s="18"/>
      <c r="H4556" s="16" t="s">
        <v>87</v>
      </c>
      <c r="I4556" s="16" t="s">
        <v>87</v>
      </c>
      <c r="J4556" s="19"/>
      <c r="L4556" s="16" t="str">
        <f>IFERROR(__xludf.DUMMYFUNCTION("""COMPUTED_VALUE"""),"")</f>
        <v/>
      </c>
      <c r="M4556" s="16" t="str">
        <f>IFERROR(__xludf.DUMMYFUNCTION("""COMPUTED_VALUE"""),"")</f>
        <v/>
      </c>
      <c r="U4556" s="16" t="s">
        <v>87</v>
      </c>
      <c r="V4556" s="16" t="str">
        <f>IFERROR(__xludf.DUMMYFUNCTION("""COMPUTED_VALUE"""),"")</f>
        <v/>
      </c>
      <c r="W4556" s="16" t="str">
        <f>IFERROR(__xludf.DUMMYFUNCTION("""COMPUTED_VALUE"""),"")</f>
        <v/>
      </c>
      <c r="X4556" s="16" t="str">
        <f>IFERROR(__xludf.DUMMYFUNCTION("""COMPUTED_VALUE"""),"")</f>
        <v/>
      </c>
      <c r="AC4556" s="16" t="str">
        <f>IFERROR(__xludf.DUMMYFUNCTION("""COMPUTED_VALUE"""),"")</f>
        <v/>
      </c>
    </row>
    <row r="4557">
      <c r="A4557" s="16" t="s">
        <v>87</v>
      </c>
      <c r="E4557" s="16" t="str">
        <f>IFERROR(__xludf.DUMMYFUNCTION("""COMPUTED_VALUE"""),"")</f>
        <v/>
      </c>
      <c r="G4557" s="18"/>
      <c r="H4557" s="16" t="s">
        <v>87</v>
      </c>
      <c r="I4557" s="16" t="s">
        <v>87</v>
      </c>
      <c r="J4557" s="19"/>
      <c r="L4557" s="16" t="str">
        <f>IFERROR(__xludf.DUMMYFUNCTION("""COMPUTED_VALUE"""),"")</f>
        <v/>
      </c>
      <c r="M4557" s="16" t="str">
        <f>IFERROR(__xludf.DUMMYFUNCTION("""COMPUTED_VALUE"""),"")</f>
        <v/>
      </c>
      <c r="U4557" s="16" t="s">
        <v>87</v>
      </c>
      <c r="V4557" s="16" t="str">
        <f>IFERROR(__xludf.DUMMYFUNCTION("""COMPUTED_VALUE"""),"")</f>
        <v/>
      </c>
      <c r="W4557" s="16" t="str">
        <f>IFERROR(__xludf.DUMMYFUNCTION("""COMPUTED_VALUE"""),"")</f>
        <v/>
      </c>
      <c r="X4557" s="16" t="str">
        <f>IFERROR(__xludf.DUMMYFUNCTION("""COMPUTED_VALUE"""),"")</f>
        <v/>
      </c>
      <c r="AC4557" s="16" t="str">
        <f>IFERROR(__xludf.DUMMYFUNCTION("""COMPUTED_VALUE"""),"")</f>
        <v/>
      </c>
    </row>
    <row r="4558">
      <c r="A4558" s="16" t="s">
        <v>87</v>
      </c>
      <c r="E4558" s="16" t="str">
        <f>IFERROR(__xludf.DUMMYFUNCTION("""COMPUTED_VALUE"""),"")</f>
        <v/>
      </c>
      <c r="G4558" s="18"/>
      <c r="H4558" s="16" t="s">
        <v>87</v>
      </c>
      <c r="I4558" s="16" t="s">
        <v>87</v>
      </c>
      <c r="J4558" s="19"/>
      <c r="L4558" s="16" t="str">
        <f>IFERROR(__xludf.DUMMYFUNCTION("""COMPUTED_VALUE"""),"")</f>
        <v/>
      </c>
      <c r="M4558" s="16" t="str">
        <f>IFERROR(__xludf.DUMMYFUNCTION("""COMPUTED_VALUE"""),"")</f>
        <v/>
      </c>
      <c r="U4558" s="16" t="s">
        <v>87</v>
      </c>
      <c r="V4558" s="16" t="str">
        <f>IFERROR(__xludf.DUMMYFUNCTION("""COMPUTED_VALUE"""),"")</f>
        <v/>
      </c>
      <c r="W4558" s="16" t="str">
        <f>IFERROR(__xludf.DUMMYFUNCTION("""COMPUTED_VALUE"""),"")</f>
        <v/>
      </c>
      <c r="X4558" s="16" t="str">
        <f>IFERROR(__xludf.DUMMYFUNCTION("""COMPUTED_VALUE"""),"")</f>
        <v/>
      </c>
      <c r="AC4558" s="16" t="str">
        <f>IFERROR(__xludf.DUMMYFUNCTION("""COMPUTED_VALUE"""),"")</f>
        <v/>
      </c>
    </row>
    <row r="4559">
      <c r="A4559" s="16" t="s">
        <v>87</v>
      </c>
      <c r="E4559" s="16" t="str">
        <f>IFERROR(__xludf.DUMMYFUNCTION("""COMPUTED_VALUE"""),"")</f>
        <v/>
      </c>
      <c r="G4559" s="18"/>
      <c r="H4559" s="16" t="s">
        <v>87</v>
      </c>
      <c r="I4559" s="16" t="s">
        <v>87</v>
      </c>
      <c r="J4559" s="19"/>
      <c r="L4559" s="16" t="str">
        <f>IFERROR(__xludf.DUMMYFUNCTION("""COMPUTED_VALUE"""),"")</f>
        <v/>
      </c>
      <c r="M4559" s="16" t="str">
        <f>IFERROR(__xludf.DUMMYFUNCTION("""COMPUTED_VALUE"""),"")</f>
        <v/>
      </c>
      <c r="U4559" s="16" t="s">
        <v>87</v>
      </c>
      <c r="V4559" s="16" t="str">
        <f>IFERROR(__xludf.DUMMYFUNCTION("""COMPUTED_VALUE"""),"")</f>
        <v/>
      </c>
      <c r="W4559" s="16" t="str">
        <f>IFERROR(__xludf.DUMMYFUNCTION("""COMPUTED_VALUE"""),"")</f>
        <v/>
      </c>
      <c r="X4559" s="16" t="str">
        <f>IFERROR(__xludf.DUMMYFUNCTION("""COMPUTED_VALUE"""),"")</f>
        <v/>
      </c>
      <c r="AC4559" s="16" t="str">
        <f>IFERROR(__xludf.DUMMYFUNCTION("""COMPUTED_VALUE"""),"")</f>
        <v/>
      </c>
    </row>
    <row r="4560">
      <c r="A4560" s="16" t="s">
        <v>87</v>
      </c>
      <c r="E4560" s="16" t="str">
        <f>IFERROR(__xludf.DUMMYFUNCTION("""COMPUTED_VALUE"""),"")</f>
        <v/>
      </c>
      <c r="G4560" s="18"/>
      <c r="H4560" s="16" t="s">
        <v>87</v>
      </c>
      <c r="I4560" s="16" t="s">
        <v>87</v>
      </c>
      <c r="J4560" s="19"/>
      <c r="L4560" s="16" t="str">
        <f>IFERROR(__xludf.DUMMYFUNCTION("""COMPUTED_VALUE"""),"")</f>
        <v/>
      </c>
      <c r="M4560" s="16" t="str">
        <f>IFERROR(__xludf.DUMMYFUNCTION("""COMPUTED_VALUE"""),"")</f>
        <v/>
      </c>
      <c r="U4560" s="16" t="s">
        <v>87</v>
      </c>
      <c r="V4560" s="16" t="str">
        <f>IFERROR(__xludf.DUMMYFUNCTION("""COMPUTED_VALUE"""),"")</f>
        <v/>
      </c>
      <c r="W4560" s="16" t="str">
        <f>IFERROR(__xludf.DUMMYFUNCTION("""COMPUTED_VALUE"""),"")</f>
        <v/>
      </c>
      <c r="X4560" s="16" t="str">
        <f>IFERROR(__xludf.DUMMYFUNCTION("""COMPUTED_VALUE"""),"")</f>
        <v/>
      </c>
      <c r="AC4560" s="16" t="str">
        <f>IFERROR(__xludf.DUMMYFUNCTION("""COMPUTED_VALUE"""),"")</f>
        <v/>
      </c>
    </row>
    <row r="4561">
      <c r="A4561" s="16" t="s">
        <v>87</v>
      </c>
      <c r="E4561" s="16" t="str">
        <f>IFERROR(__xludf.DUMMYFUNCTION("""COMPUTED_VALUE"""),"")</f>
        <v/>
      </c>
      <c r="G4561" s="18"/>
      <c r="H4561" s="16" t="s">
        <v>87</v>
      </c>
      <c r="I4561" s="16" t="s">
        <v>87</v>
      </c>
      <c r="J4561" s="19"/>
      <c r="L4561" s="16" t="str">
        <f>IFERROR(__xludf.DUMMYFUNCTION("""COMPUTED_VALUE"""),"")</f>
        <v/>
      </c>
      <c r="M4561" s="16" t="str">
        <f>IFERROR(__xludf.DUMMYFUNCTION("""COMPUTED_VALUE"""),"")</f>
        <v/>
      </c>
      <c r="U4561" s="16" t="s">
        <v>87</v>
      </c>
      <c r="V4561" s="16" t="str">
        <f>IFERROR(__xludf.DUMMYFUNCTION("""COMPUTED_VALUE"""),"")</f>
        <v/>
      </c>
      <c r="W4561" s="16" t="str">
        <f>IFERROR(__xludf.DUMMYFUNCTION("""COMPUTED_VALUE"""),"")</f>
        <v/>
      </c>
      <c r="X4561" s="16" t="str">
        <f>IFERROR(__xludf.DUMMYFUNCTION("""COMPUTED_VALUE"""),"")</f>
        <v/>
      </c>
      <c r="AC4561" s="16" t="str">
        <f>IFERROR(__xludf.DUMMYFUNCTION("""COMPUTED_VALUE"""),"")</f>
        <v/>
      </c>
    </row>
    <row r="4562">
      <c r="A4562" s="16" t="s">
        <v>87</v>
      </c>
      <c r="E4562" s="16" t="str">
        <f>IFERROR(__xludf.DUMMYFUNCTION("""COMPUTED_VALUE"""),"")</f>
        <v/>
      </c>
      <c r="G4562" s="18"/>
      <c r="H4562" s="16" t="s">
        <v>87</v>
      </c>
      <c r="I4562" s="16" t="s">
        <v>87</v>
      </c>
      <c r="J4562" s="19"/>
      <c r="L4562" s="16" t="str">
        <f>IFERROR(__xludf.DUMMYFUNCTION("""COMPUTED_VALUE"""),"")</f>
        <v/>
      </c>
      <c r="M4562" s="16" t="str">
        <f>IFERROR(__xludf.DUMMYFUNCTION("""COMPUTED_VALUE"""),"")</f>
        <v/>
      </c>
      <c r="U4562" s="16" t="s">
        <v>87</v>
      </c>
      <c r="V4562" s="16" t="str">
        <f>IFERROR(__xludf.DUMMYFUNCTION("""COMPUTED_VALUE"""),"")</f>
        <v/>
      </c>
      <c r="W4562" s="16" t="str">
        <f>IFERROR(__xludf.DUMMYFUNCTION("""COMPUTED_VALUE"""),"")</f>
        <v/>
      </c>
      <c r="X4562" s="16" t="str">
        <f>IFERROR(__xludf.DUMMYFUNCTION("""COMPUTED_VALUE"""),"")</f>
        <v/>
      </c>
      <c r="AC4562" s="16" t="str">
        <f>IFERROR(__xludf.DUMMYFUNCTION("""COMPUTED_VALUE"""),"")</f>
        <v/>
      </c>
    </row>
    <row r="4563">
      <c r="A4563" s="16" t="s">
        <v>87</v>
      </c>
      <c r="E4563" s="16" t="str">
        <f>IFERROR(__xludf.DUMMYFUNCTION("""COMPUTED_VALUE"""),"")</f>
        <v/>
      </c>
      <c r="G4563" s="18"/>
      <c r="H4563" s="16" t="s">
        <v>87</v>
      </c>
      <c r="I4563" s="16" t="s">
        <v>87</v>
      </c>
      <c r="J4563" s="19"/>
      <c r="L4563" s="16" t="str">
        <f>IFERROR(__xludf.DUMMYFUNCTION("""COMPUTED_VALUE"""),"")</f>
        <v/>
      </c>
      <c r="M4563" s="16" t="str">
        <f>IFERROR(__xludf.DUMMYFUNCTION("""COMPUTED_VALUE"""),"")</f>
        <v/>
      </c>
      <c r="U4563" s="16" t="s">
        <v>87</v>
      </c>
      <c r="V4563" s="16" t="str">
        <f>IFERROR(__xludf.DUMMYFUNCTION("""COMPUTED_VALUE"""),"")</f>
        <v/>
      </c>
      <c r="W4563" s="16" t="str">
        <f>IFERROR(__xludf.DUMMYFUNCTION("""COMPUTED_VALUE"""),"")</f>
        <v/>
      </c>
      <c r="X4563" s="16" t="str">
        <f>IFERROR(__xludf.DUMMYFUNCTION("""COMPUTED_VALUE"""),"")</f>
        <v/>
      </c>
      <c r="AC4563" s="16" t="str">
        <f>IFERROR(__xludf.DUMMYFUNCTION("""COMPUTED_VALUE"""),"")</f>
        <v/>
      </c>
    </row>
    <row r="4564">
      <c r="A4564" s="16" t="s">
        <v>87</v>
      </c>
      <c r="E4564" s="16" t="str">
        <f>IFERROR(__xludf.DUMMYFUNCTION("""COMPUTED_VALUE"""),"")</f>
        <v/>
      </c>
      <c r="G4564" s="18"/>
      <c r="H4564" s="16" t="s">
        <v>87</v>
      </c>
      <c r="I4564" s="16" t="s">
        <v>87</v>
      </c>
      <c r="J4564" s="19"/>
      <c r="L4564" s="16" t="str">
        <f>IFERROR(__xludf.DUMMYFUNCTION("""COMPUTED_VALUE"""),"")</f>
        <v/>
      </c>
      <c r="M4564" s="16" t="str">
        <f>IFERROR(__xludf.DUMMYFUNCTION("""COMPUTED_VALUE"""),"")</f>
        <v/>
      </c>
      <c r="U4564" s="16" t="s">
        <v>87</v>
      </c>
      <c r="V4564" s="16" t="str">
        <f>IFERROR(__xludf.DUMMYFUNCTION("""COMPUTED_VALUE"""),"")</f>
        <v/>
      </c>
      <c r="W4564" s="16" t="str">
        <f>IFERROR(__xludf.DUMMYFUNCTION("""COMPUTED_VALUE"""),"")</f>
        <v/>
      </c>
      <c r="X4564" s="16" t="str">
        <f>IFERROR(__xludf.DUMMYFUNCTION("""COMPUTED_VALUE"""),"")</f>
        <v/>
      </c>
      <c r="AC4564" s="16" t="str">
        <f>IFERROR(__xludf.DUMMYFUNCTION("""COMPUTED_VALUE"""),"")</f>
        <v/>
      </c>
    </row>
    <row r="4565">
      <c r="A4565" s="16" t="s">
        <v>87</v>
      </c>
      <c r="E4565" s="16" t="str">
        <f>IFERROR(__xludf.DUMMYFUNCTION("""COMPUTED_VALUE"""),"")</f>
        <v/>
      </c>
      <c r="G4565" s="18"/>
      <c r="H4565" s="16" t="s">
        <v>87</v>
      </c>
      <c r="I4565" s="16" t="s">
        <v>87</v>
      </c>
      <c r="J4565" s="19"/>
      <c r="L4565" s="16" t="str">
        <f>IFERROR(__xludf.DUMMYFUNCTION("""COMPUTED_VALUE"""),"")</f>
        <v/>
      </c>
      <c r="M4565" s="16" t="str">
        <f>IFERROR(__xludf.DUMMYFUNCTION("""COMPUTED_VALUE"""),"")</f>
        <v/>
      </c>
      <c r="U4565" s="16" t="s">
        <v>87</v>
      </c>
      <c r="V4565" s="16" t="str">
        <f>IFERROR(__xludf.DUMMYFUNCTION("""COMPUTED_VALUE"""),"")</f>
        <v/>
      </c>
      <c r="W4565" s="16" t="str">
        <f>IFERROR(__xludf.DUMMYFUNCTION("""COMPUTED_VALUE"""),"")</f>
        <v/>
      </c>
      <c r="X4565" s="16" t="str">
        <f>IFERROR(__xludf.DUMMYFUNCTION("""COMPUTED_VALUE"""),"")</f>
        <v/>
      </c>
      <c r="AC4565" s="16" t="str">
        <f>IFERROR(__xludf.DUMMYFUNCTION("""COMPUTED_VALUE"""),"")</f>
        <v/>
      </c>
    </row>
    <row r="4566">
      <c r="A4566" s="16" t="s">
        <v>87</v>
      </c>
      <c r="E4566" s="16" t="str">
        <f>IFERROR(__xludf.DUMMYFUNCTION("""COMPUTED_VALUE"""),"")</f>
        <v/>
      </c>
      <c r="G4566" s="18"/>
      <c r="H4566" s="16" t="s">
        <v>87</v>
      </c>
      <c r="I4566" s="16" t="s">
        <v>87</v>
      </c>
      <c r="J4566" s="19"/>
      <c r="L4566" s="16" t="str">
        <f>IFERROR(__xludf.DUMMYFUNCTION("""COMPUTED_VALUE"""),"")</f>
        <v/>
      </c>
      <c r="M4566" s="16" t="str">
        <f>IFERROR(__xludf.DUMMYFUNCTION("""COMPUTED_VALUE"""),"")</f>
        <v/>
      </c>
      <c r="U4566" s="16" t="s">
        <v>87</v>
      </c>
      <c r="V4566" s="16" t="str">
        <f>IFERROR(__xludf.DUMMYFUNCTION("""COMPUTED_VALUE"""),"")</f>
        <v/>
      </c>
      <c r="W4566" s="16" t="str">
        <f>IFERROR(__xludf.DUMMYFUNCTION("""COMPUTED_VALUE"""),"")</f>
        <v/>
      </c>
      <c r="X4566" s="16" t="str">
        <f>IFERROR(__xludf.DUMMYFUNCTION("""COMPUTED_VALUE"""),"")</f>
        <v/>
      </c>
      <c r="AC4566" s="16" t="str">
        <f>IFERROR(__xludf.DUMMYFUNCTION("""COMPUTED_VALUE"""),"")</f>
        <v/>
      </c>
    </row>
    <row r="4567">
      <c r="A4567" s="16" t="s">
        <v>87</v>
      </c>
      <c r="E4567" s="16" t="str">
        <f>IFERROR(__xludf.DUMMYFUNCTION("""COMPUTED_VALUE"""),"")</f>
        <v/>
      </c>
      <c r="G4567" s="18"/>
      <c r="H4567" s="16" t="s">
        <v>87</v>
      </c>
      <c r="I4567" s="16" t="s">
        <v>87</v>
      </c>
      <c r="J4567" s="19"/>
      <c r="L4567" s="16" t="str">
        <f>IFERROR(__xludf.DUMMYFUNCTION("""COMPUTED_VALUE"""),"")</f>
        <v/>
      </c>
      <c r="M4567" s="16" t="str">
        <f>IFERROR(__xludf.DUMMYFUNCTION("""COMPUTED_VALUE"""),"")</f>
        <v/>
      </c>
      <c r="U4567" s="16" t="s">
        <v>87</v>
      </c>
      <c r="V4567" s="16" t="str">
        <f>IFERROR(__xludf.DUMMYFUNCTION("""COMPUTED_VALUE"""),"")</f>
        <v/>
      </c>
      <c r="W4567" s="16" t="str">
        <f>IFERROR(__xludf.DUMMYFUNCTION("""COMPUTED_VALUE"""),"")</f>
        <v/>
      </c>
      <c r="X4567" s="16" t="str">
        <f>IFERROR(__xludf.DUMMYFUNCTION("""COMPUTED_VALUE"""),"")</f>
        <v/>
      </c>
      <c r="AC4567" s="16" t="str">
        <f>IFERROR(__xludf.DUMMYFUNCTION("""COMPUTED_VALUE"""),"")</f>
        <v/>
      </c>
    </row>
    <row r="4568">
      <c r="A4568" s="16" t="s">
        <v>87</v>
      </c>
      <c r="E4568" s="16" t="str">
        <f>IFERROR(__xludf.DUMMYFUNCTION("""COMPUTED_VALUE"""),"")</f>
        <v/>
      </c>
      <c r="G4568" s="18"/>
      <c r="H4568" s="16" t="s">
        <v>87</v>
      </c>
      <c r="I4568" s="16" t="s">
        <v>87</v>
      </c>
      <c r="J4568" s="19"/>
      <c r="L4568" s="16" t="str">
        <f>IFERROR(__xludf.DUMMYFUNCTION("""COMPUTED_VALUE"""),"")</f>
        <v/>
      </c>
      <c r="M4568" s="16" t="str">
        <f>IFERROR(__xludf.DUMMYFUNCTION("""COMPUTED_VALUE"""),"")</f>
        <v/>
      </c>
      <c r="U4568" s="16" t="s">
        <v>87</v>
      </c>
      <c r="V4568" s="16" t="str">
        <f>IFERROR(__xludf.DUMMYFUNCTION("""COMPUTED_VALUE"""),"")</f>
        <v/>
      </c>
      <c r="W4568" s="16" t="str">
        <f>IFERROR(__xludf.DUMMYFUNCTION("""COMPUTED_VALUE"""),"")</f>
        <v/>
      </c>
      <c r="X4568" s="16" t="str">
        <f>IFERROR(__xludf.DUMMYFUNCTION("""COMPUTED_VALUE"""),"")</f>
        <v/>
      </c>
      <c r="AC4568" s="16" t="str">
        <f>IFERROR(__xludf.DUMMYFUNCTION("""COMPUTED_VALUE"""),"")</f>
        <v/>
      </c>
    </row>
    <row r="4569">
      <c r="A4569" s="16" t="s">
        <v>87</v>
      </c>
      <c r="E4569" s="16" t="str">
        <f>IFERROR(__xludf.DUMMYFUNCTION("""COMPUTED_VALUE"""),"")</f>
        <v/>
      </c>
      <c r="G4569" s="18"/>
      <c r="H4569" s="16" t="s">
        <v>87</v>
      </c>
      <c r="I4569" s="16" t="s">
        <v>87</v>
      </c>
      <c r="J4569" s="19"/>
      <c r="L4569" s="16" t="str">
        <f>IFERROR(__xludf.DUMMYFUNCTION("""COMPUTED_VALUE"""),"")</f>
        <v/>
      </c>
      <c r="M4569" s="16" t="str">
        <f>IFERROR(__xludf.DUMMYFUNCTION("""COMPUTED_VALUE"""),"")</f>
        <v/>
      </c>
      <c r="U4569" s="16" t="s">
        <v>87</v>
      </c>
      <c r="V4569" s="16" t="str">
        <f>IFERROR(__xludf.DUMMYFUNCTION("""COMPUTED_VALUE"""),"")</f>
        <v/>
      </c>
      <c r="W4569" s="16" t="str">
        <f>IFERROR(__xludf.DUMMYFUNCTION("""COMPUTED_VALUE"""),"")</f>
        <v/>
      </c>
      <c r="X4569" s="16" t="str">
        <f>IFERROR(__xludf.DUMMYFUNCTION("""COMPUTED_VALUE"""),"")</f>
        <v/>
      </c>
      <c r="AC4569" s="16" t="str">
        <f>IFERROR(__xludf.DUMMYFUNCTION("""COMPUTED_VALUE"""),"")</f>
        <v/>
      </c>
    </row>
    <row r="4570">
      <c r="A4570" s="16" t="s">
        <v>87</v>
      </c>
      <c r="E4570" s="16" t="str">
        <f>IFERROR(__xludf.DUMMYFUNCTION("""COMPUTED_VALUE"""),"")</f>
        <v/>
      </c>
      <c r="G4570" s="18"/>
      <c r="H4570" s="16" t="s">
        <v>87</v>
      </c>
      <c r="I4570" s="16" t="s">
        <v>87</v>
      </c>
      <c r="J4570" s="19"/>
      <c r="L4570" s="16" t="str">
        <f>IFERROR(__xludf.DUMMYFUNCTION("""COMPUTED_VALUE"""),"")</f>
        <v/>
      </c>
      <c r="M4570" s="16" t="str">
        <f>IFERROR(__xludf.DUMMYFUNCTION("""COMPUTED_VALUE"""),"")</f>
        <v/>
      </c>
      <c r="U4570" s="16" t="s">
        <v>87</v>
      </c>
      <c r="V4570" s="16" t="str">
        <f>IFERROR(__xludf.DUMMYFUNCTION("""COMPUTED_VALUE"""),"")</f>
        <v/>
      </c>
      <c r="W4570" s="16" t="str">
        <f>IFERROR(__xludf.DUMMYFUNCTION("""COMPUTED_VALUE"""),"")</f>
        <v/>
      </c>
      <c r="X4570" s="16" t="str">
        <f>IFERROR(__xludf.DUMMYFUNCTION("""COMPUTED_VALUE"""),"")</f>
        <v/>
      </c>
      <c r="AC4570" s="16" t="str">
        <f>IFERROR(__xludf.DUMMYFUNCTION("""COMPUTED_VALUE"""),"")</f>
        <v/>
      </c>
    </row>
    <row r="4571">
      <c r="A4571" s="16" t="s">
        <v>87</v>
      </c>
      <c r="E4571" s="16" t="str">
        <f>IFERROR(__xludf.DUMMYFUNCTION("""COMPUTED_VALUE"""),"")</f>
        <v/>
      </c>
      <c r="G4571" s="18"/>
      <c r="H4571" s="16" t="s">
        <v>87</v>
      </c>
      <c r="I4571" s="16" t="s">
        <v>87</v>
      </c>
      <c r="J4571" s="19"/>
      <c r="L4571" s="16" t="str">
        <f>IFERROR(__xludf.DUMMYFUNCTION("""COMPUTED_VALUE"""),"")</f>
        <v/>
      </c>
      <c r="M4571" s="16" t="str">
        <f>IFERROR(__xludf.DUMMYFUNCTION("""COMPUTED_VALUE"""),"")</f>
        <v/>
      </c>
      <c r="U4571" s="16" t="s">
        <v>87</v>
      </c>
      <c r="V4571" s="16" t="str">
        <f>IFERROR(__xludf.DUMMYFUNCTION("""COMPUTED_VALUE"""),"")</f>
        <v/>
      </c>
      <c r="W4571" s="16" t="str">
        <f>IFERROR(__xludf.DUMMYFUNCTION("""COMPUTED_VALUE"""),"")</f>
        <v/>
      </c>
      <c r="X4571" s="16" t="str">
        <f>IFERROR(__xludf.DUMMYFUNCTION("""COMPUTED_VALUE"""),"")</f>
        <v/>
      </c>
      <c r="AC4571" s="16" t="str">
        <f>IFERROR(__xludf.DUMMYFUNCTION("""COMPUTED_VALUE"""),"")</f>
        <v/>
      </c>
    </row>
    <row r="4572">
      <c r="A4572" s="16" t="s">
        <v>87</v>
      </c>
      <c r="E4572" s="16" t="str">
        <f>IFERROR(__xludf.DUMMYFUNCTION("""COMPUTED_VALUE"""),"")</f>
        <v/>
      </c>
      <c r="G4572" s="18"/>
      <c r="H4572" s="16" t="s">
        <v>87</v>
      </c>
      <c r="I4572" s="16" t="s">
        <v>87</v>
      </c>
      <c r="J4572" s="19"/>
      <c r="L4572" s="16" t="str">
        <f>IFERROR(__xludf.DUMMYFUNCTION("""COMPUTED_VALUE"""),"")</f>
        <v/>
      </c>
      <c r="M4572" s="16" t="str">
        <f>IFERROR(__xludf.DUMMYFUNCTION("""COMPUTED_VALUE"""),"")</f>
        <v/>
      </c>
      <c r="U4572" s="16" t="s">
        <v>87</v>
      </c>
      <c r="V4572" s="16" t="str">
        <f>IFERROR(__xludf.DUMMYFUNCTION("""COMPUTED_VALUE"""),"")</f>
        <v/>
      </c>
      <c r="W4572" s="16" t="str">
        <f>IFERROR(__xludf.DUMMYFUNCTION("""COMPUTED_VALUE"""),"")</f>
        <v/>
      </c>
      <c r="X4572" s="16" t="str">
        <f>IFERROR(__xludf.DUMMYFUNCTION("""COMPUTED_VALUE"""),"")</f>
        <v/>
      </c>
      <c r="AC4572" s="16" t="str">
        <f>IFERROR(__xludf.DUMMYFUNCTION("""COMPUTED_VALUE"""),"")</f>
        <v/>
      </c>
    </row>
    <row r="4573">
      <c r="A4573" s="16" t="s">
        <v>87</v>
      </c>
      <c r="E4573" s="16" t="str">
        <f>IFERROR(__xludf.DUMMYFUNCTION("""COMPUTED_VALUE"""),"")</f>
        <v/>
      </c>
      <c r="G4573" s="18"/>
      <c r="H4573" s="16" t="s">
        <v>87</v>
      </c>
      <c r="I4573" s="16" t="s">
        <v>87</v>
      </c>
      <c r="J4573" s="19"/>
      <c r="L4573" s="16" t="str">
        <f>IFERROR(__xludf.DUMMYFUNCTION("""COMPUTED_VALUE"""),"")</f>
        <v/>
      </c>
      <c r="M4573" s="16" t="str">
        <f>IFERROR(__xludf.DUMMYFUNCTION("""COMPUTED_VALUE"""),"")</f>
        <v/>
      </c>
      <c r="U4573" s="16" t="s">
        <v>87</v>
      </c>
      <c r="V4573" s="16" t="str">
        <f>IFERROR(__xludf.DUMMYFUNCTION("""COMPUTED_VALUE"""),"")</f>
        <v/>
      </c>
      <c r="W4573" s="16" t="str">
        <f>IFERROR(__xludf.DUMMYFUNCTION("""COMPUTED_VALUE"""),"")</f>
        <v/>
      </c>
      <c r="X4573" s="16" t="str">
        <f>IFERROR(__xludf.DUMMYFUNCTION("""COMPUTED_VALUE"""),"")</f>
        <v/>
      </c>
      <c r="AC4573" s="16" t="str">
        <f>IFERROR(__xludf.DUMMYFUNCTION("""COMPUTED_VALUE"""),"")</f>
        <v/>
      </c>
    </row>
    <row r="4574">
      <c r="A4574" s="16" t="s">
        <v>87</v>
      </c>
      <c r="E4574" s="16" t="str">
        <f>IFERROR(__xludf.DUMMYFUNCTION("""COMPUTED_VALUE"""),"")</f>
        <v/>
      </c>
      <c r="G4574" s="18"/>
      <c r="H4574" s="16" t="s">
        <v>87</v>
      </c>
      <c r="I4574" s="16" t="s">
        <v>87</v>
      </c>
      <c r="J4574" s="19"/>
      <c r="L4574" s="16" t="str">
        <f>IFERROR(__xludf.DUMMYFUNCTION("""COMPUTED_VALUE"""),"")</f>
        <v/>
      </c>
      <c r="M4574" s="16" t="str">
        <f>IFERROR(__xludf.DUMMYFUNCTION("""COMPUTED_VALUE"""),"")</f>
        <v/>
      </c>
      <c r="U4574" s="16" t="s">
        <v>87</v>
      </c>
      <c r="V4574" s="16" t="str">
        <f>IFERROR(__xludf.DUMMYFUNCTION("""COMPUTED_VALUE"""),"")</f>
        <v/>
      </c>
      <c r="W4574" s="16" t="str">
        <f>IFERROR(__xludf.DUMMYFUNCTION("""COMPUTED_VALUE"""),"")</f>
        <v/>
      </c>
      <c r="X4574" s="16" t="str">
        <f>IFERROR(__xludf.DUMMYFUNCTION("""COMPUTED_VALUE"""),"")</f>
        <v/>
      </c>
      <c r="AC4574" s="16" t="str">
        <f>IFERROR(__xludf.DUMMYFUNCTION("""COMPUTED_VALUE"""),"")</f>
        <v/>
      </c>
    </row>
    <row r="4575">
      <c r="A4575" s="16" t="s">
        <v>87</v>
      </c>
      <c r="E4575" s="16" t="str">
        <f>IFERROR(__xludf.DUMMYFUNCTION("""COMPUTED_VALUE"""),"")</f>
        <v/>
      </c>
      <c r="G4575" s="18"/>
      <c r="H4575" s="16" t="s">
        <v>87</v>
      </c>
      <c r="I4575" s="16" t="s">
        <v>87</v>
      </c>
      <c r="J4575" s="19"/>
      <c r="L4575" s="16" t="str">
        <f>IFERROR(__xludf.DUMMYFUNCTION("""COMPUTED_VALUE"""),"")</f>
        <v/>
      </c>
      <c r="M4575" s="16" t="str">
        <f>IFERROR(__xludf.DUMMYFUNCTION("""COMPUTED_VALUE"""),"")</f>
        <v/>
      </c>
      <c r="U4575" s="16" t="s">
        <v>87</v>
      </c>
      <c r="V4575" s="16" t="str">
        <f>IFERROR(__xludf.DUMMYFUNCTION("""COMPUTED_VALUE"""),"")</f>
        <v/>
      </c>
      <c r="W4575" s="16" t="str">
        <f>IFERROR(__xludf.DUMMYFUNCTION("""COMPUTED_VALUE"""),"")</f>
        <v/>
      </c>
      <c r="X4575" s="16" t="str">
        <f>IFERROR(__xludf.DUMMYFUNCTION("""COMPUTED_VALUE"""),"")</f>
        <v/>
      </c>
      <c r="AC4575" s="16" t="str">
        <f>IFERROR(__xludf.DUMMYFUNCTION("""COMPUTED_VALUE"""),"")</f>
        <v/>
      </c>
    </row>
    <row r="4576">
      <c r="A4576" s="16" t="s">
        <v>87</v>
      </c>
      <c r="E4576" s="16" t="str">
        <f>IFERROR(__xludf.DUMMYFUNCTION("""COMPUTED_VALUE"""),"")</f>
        <v/>
      </c>
      <c r="G4576" s="18"/>
      <c r="H4576" s="16" t="s">
        <v>87</v>
      </c>
      <c r="I4576" s="16" t="s">
        <v>87</v>
      </c>
      <c r="J4576" s="19"/>
      <c r="L4576" s="16" t="str">
        <f>IFERROR(__xludf.DUMMYFUNCTION("""COMPUTED_VALUE"""),"")</f>
        <v/>
      </c>
      <c r="M4576" s="16" t="str">
        <f>IFERROR(__xludf.DUMMYFUNCTION("""COMPUTED_VALUE"""),"")</f>
        <v/>
      </c>
      <c r="U4576" s="16" t="s">
        <v>87</v>
      </c>
      <c r="V4576" s="16" t="str">
        <f>IFERROR(__xludf.DUMMYFUNCTION("""COMPUTED_VALUE"""),"")</f>
        <v/>
      </c>
      <c r="W4576" s="16" t="str">
        <f>IFERROR(__xludf.DUMMYFUNCTION("""COMPUTED_VALUE"""),"")</f>
        <v/>
      </c>
      <c r="X4576" s="16" t="str">
        <f>IFERROR(__xludf.DUMMYFUNCTION("""COMPUTED_VALUE"""),"")</f>
        <v/>
      </c>
      <c r="AC4576" s="16" t="str">
        <f>IFERROR(__xludf.DUMMYFUNCTION("""COMPUTED_VALUE"""),"")</f>
        <v/>
      </c>
    </row>
    <row r="4577">
      <c r="A4577" s="16" t="s">
        <v>87</v>
      </c>
      <c r="E4577" s="16" t="str">
        <f>IFERROR(__xludf.DUMMYFUNCTION("""COMPUTED_VALUE"""),"")</f>
        <v/>
      </c>
      <c r="G4577" s="18"/>
      <c r="H4577" s="16" t="s">
        <v>87</v>
      </c>
      <c r="I4577" s="16" t="s">
        <v>87</v>
      </c>
      <c r="J4577" s="19"/>
      <c r="L4577" s="16" t="str">
        <f>IFERROR(__xludf.DUMMYFUNCTION("""COMPUTED_VALUE"""),"")</f>
        <v/>
      </c>
      <c r="M4577" s="16" t="str">
        <f>IFERROR(__xludf.DUMMYFUNCTION("""COMPUTED_VALUE"""),"")</f>
        <v/>
      </c>
      <c r="U4577" s="16" t="s">
        <v>87</v>
      </c>
      <c r="V4577" s="16" t="str">
        <f>IFERROR(__xludf.DUMMYFUNCTION("""COMPUTED_VALUE"""),"")</f>
        <v/>
      </c>
      <c r="W4577" s="16" t="str">
        <f>IFERROR(__xludf.DUMMYFUNCTION("""COMPUTED_VALUE"""),"")</f>
        <v/>
      </c>
      <c r="X4577" s="16" t="str">
        <f>IFERROR(__xludf.DUMMYFUNCTION("""COMPUTED_VALUE"""),"")</f>
        <v/>
      </c>
      <c r="AC4577" s="16" t="str">
        <f>IFERROR(__xludf.DUMMYFUNCTION("""COMPUTED_VALUE"""),"")</f>
        <v/>
      </c>
    </row>
    <row r="4578">
      <c r="A4578" s="16" t="s">
        <v>87</v>
      </c>
      <c r="E4578" s="16" t="str">
        <f>IFERROR(__xludf.DUMMYFUNCTION("""COMPUTED_VALUE"""),"")</f>
        <v/>
      </c>
      <c r="G4578" s="18"/>
      <c r="H4578" s="16" t="s">
        <v>87</v>
      </c>
      <c r="I4578" s="16" t="s">
        <v>87</v>
      </c>
      <c r="J4578" s="19"/>
      <c r="L4578" s="16" t="str">
        <f>IFERROR(__xludf.DUMMYFUNCTION("""COMPUTED_VALUE"""),"")</f>
        <v/>
      </c>
      <c r="M4578" s="16" t="str">
        <f>IFERROR(__xludf.DUMMYFUNCTION("""COMPUTED_VALUE"""),"")</f>
        <v/>
      </c>
      <c r="U4578" s="16" t="s">
        <v>87</v>
      </c>
      <c r="V4578" s="16" t="str">
        <f>IFERROR(__xludf.DUMMYFUNCTION("""COMPUTED_VALUE"""),"")</f>
        <v/>
      </c>
      <c r="W4578" s="16" t="str">
        <f>IFERROR(__xludf.DUMMYFUNCTION("""COMPUTED_VALUE"""),"")</f>
        <v/>
      </c>
      <c r="X4578" s="16" t="str">
        <f>IFERROR(__xludf.DUMMYFUNCTION("""COMPUTED_VALUE"""),"")</f>
        <v/>
      </c>
      <c r="AC4578" s="16" t="str">
        <f>IFERROR(__xludf.DUMMYFUNCTION("""COMPUTED_VALUE"""),"")</f>
        <v/>
      </c>
    </row>
    <row r="4579">
      <c r="A4579" s="16" t="s">
        <v>87</v>
      </c>
      <c r="E4579" s="16" t="str">
        <f>IFERROR(__xludf.DUMMYFUNCTION("""COMPUTED_VALUE"""),"")</f>
        <v/>
      </c>
      <c r="G4579" s="18"/>
      <c r="H4579" s="16" t="s">
        <v>87</v>
      </c>
      <c r="I4579" s="16" t="s">
        <v>87</v>
      </c>
      <c r="J4579" s="19"/>
      <c r="L4579" s="16" t="str">
        <f>IFERROR(__xludf.DUMMYFUNCTION("""COMPUTED_VALUE"""),"")</f>
        <v/>
      </c>
      <c r="M4579" s="16" t="str">
        <f>IFERROR(__xludf.DUMMYFUNCTION("""COMPUTED_VALUE"""),"")</f>
        <v/>
      </c>
      <c r="U4579" s="16" t="s">
        <v>87</v>
      </c>
      <c r="V4579" s="16" t="str">
        <f>IFERROR(__xludf.DUMMYFUNCTION("""COMPUTED_VALUE"""),"")</f>
        <v/>
      </c>
      <c r="W4579" s="16" t="str">
        <f>IFERROR(__xludf.DUMMYFUNCTION("""COMPUTED_VALUE"""),"")</f>
        <v/>
      </c>
      <c r="X4579" s="16" t="str">
        <f>IFERROR(__xludf.DUMMYFUNCTION("""COMPUTED_VALUE"""),"")</f>
        <v/>
      </c>
      <c r="AC4579" s="16" t="str">
        <f>IFERROR(__xludf.DUMMYFUNCTION("""COMPUTED_VALUE"""),"")</f>
        <v/>
      </c>
    </row>
    <row r="4580">
      <c r="A4580" s="16" t="s">
        <v>87</v>
      </c>
      <c r="E4580" s="16" t="str">
        <f>IFERROR(__xludf.DUMMYFUNCTION("""COMPUTED_VALUE"""),"")</f>
        <v/>
      </c>
      <c r="G4580" s="18"/>
      <c r="H4580" s="16" t="s">
        <v>87</v>
      </c>
      <c r="I4580" s="16" t="s">
        <v>87</v>
      </c>
      <c r="J4580" s="19"/>
      <c r="L4580" s="16" t="str">
        <f>IFERROR(__xludf.DUMMYFUNCTION("""COMPUTED_VALUE"""),"")</f>
        <v/>
      </c>
      <c r="M4580" s="16" t="str">
        <f>IFERROR(__xludf.DUMMYFUNCTION("""COMPUTED_VALUE"""),"")</f>
        <v/>
      </c>
      <c r="U4580" s="16" t="s">
        <v>87</v>
      </c>
      <c r="V4580" s="16" t="str">
        <f>IFERROR(__xludf.DUMMYFUNCTION("""COMPUTED_VALUE"""),"")</f>
        <v/>
      </c>
      <c r="W4580" s="16" t="str">
        <f>IFERROR(__xludf.DUMMYFUNCTION("""COMPUTED_VALUE"""),"")</f>
        <v/>
      </c>
      <c r="X4580" s="16" t="str">
        <f>IFERROR(__xludf.DUMMYFUNCTION("""COMPUTED_VALUE"""),"")</f>
        <v/>
      </c>
      <c r="AC4580" s="16" t="str">
        <f>IFERROR(__xludf.DUMMYFUNCTION("""COMPUTED_VALUE"""),"")</f>
        <v/>
      </c>
    </row>
    <row r="4581">
      <c r="A4581" s="16" t="s">
        <v>87</v>
      </c>
      <c r="E4581" s="16" t="str">
        <f>IFERROR(__xludf.DUMMYFUNCTION("""COMPUTED_VALUE"""),"")</f>
        <v/>
      </c>
      <c r="G4581" s="18"/>
      <c r="H4581" s="16" t="s">
        <v>87</v>
      </c>
      <c r="I4581" s="16" t="s">
        <v>87</v>
      </c>
      <c r="J4581" s="19"/>
      <c r="L4581" s="16" t="str">
        <f>IFERROR(__xludf.DUMMYFUNCTION("""COMPUTED_VALUE"""),"")</f>
        <v/>
      </c>
      <c r="M4581" s="16" t="str">
        <f>IFERROR(__xludf.DUMMYFUNCTION("""COMPUTED_VALUE"""),"")</f>
        <v/>
      </c>
      <c r="U4581" s="16" t="s">
        <v>87</v>
      </c>
      <c r="V4581" s="16" t="str">
        <f>IFERROR(__xludf.DUMMYFUNCTION("""COMPUTED_VALUE"""),"")</f>
        <v/>
      </c>
      <c r="W4581" s="16" t="str">
        <f>IFERROR(__xludf.DUMMYFUNCTION("""COMPUTED_VALUE"""),"")</f>
        <v/>
      </c>
      <c r="X4581" s="16" t="str">
        <f>IFERROR(__xludf.DUMMYFUNCTION("""COMPUTED_VALUE"""),"")</f>
        <v/>
      </c>
      <c r="AC4581" s="16" t="str">
        <f>IFERROR(__xludf.DUMMYFUNCTION("""COMPUTED_VALUE"""),"")</f>
        <v/>
      </c>
    </row>
    <row r="4582">
      <c r="A4582" s="16" t="s">
        <v>87</v>
      </c>
      <c r="E4582" s="16" t="str">
        <f>IFERROR(__xludf.DUMMYFUNCTION("""COMPUTED_VALUE"""),"")</f>
        <v/>
      </c>
      <c r="G4582" s="18"/>
      <c r="H4582" s="16" t="s">
        <v>87</v>
      </c>
      <c r="I4582" s="16" t="s">
        <v>87</v>
      </c>
      <c r="J4582" s="19"/>
      <c r="L4582" s="16" t="str">
        <f>IFERROR(__xludf.DUMMYFUNCTION("""COMPUTED_VALUE"""),"")</f>
        <v/>
      </c>
      <c r="M4582" s="16" t="str">
        <f>IFERROR(__xludf.DUMMYFUNCTION("""COMPUTED_VALUE"""),"")</f>
        <v/>
      </c>
      <c r="U4582" s="16" t="s">
        <v>87</v>
      </c>
      <c r="V4582" s="16" t="str">
        <f>IFERROR(__xludf.DUMMYFUNCTION("""COMPUTED_VALUE"""),"")</f>
        <v/>
      </c>
      <c r="W4582" s="16" t="str">
        <f>IFERROR(__xludf.DUMMYFUNCTION("""COMPUTED_VALUE"""),"")</f>
        <v/>
      </c>
      <c r="X4582" s="16" t="str">
        <f>IFERROR(__xludf.DUMMYFUNCTION("""COMPUTED_VALUE"""),"")</f>
        <v/>
      </c>
      <c r="AC4582" s="16" t="str">
        <f>IFERROR(__xludf.DUMMYFUNCTION("""COMPUTED_VALUE"""),"")</f>
        <v/>
      </c>
    </row>
    <row r="4583">
      <c r="A4583" s="16" t="s">
        <v>87</v>
      </c>
      <c r="E4583" s="16" t="str">
        <f>IFERROR(__xludf.DUMMYFUNCTION("""COMPUTED_VALUE"""),"")</f>
        <v/>
      </c>
      <c r="G4583" s="18"/>
      <c r="H4583" s="16" t="s">
        <v>87</v>
      </c>
      <c r="I4583" s="16" t="s">
        <v>87</v>
      </c>
      <c r="J4583" s="19"/>
      <c r="L4583" s="16" t="str">
        <f>IFERROR(__xludf.DUMMYFUNCTION("""COMPUTED_VALUE"""),"")</f>
        <v/>
      </c>
      <c r="M4583" s="16" t="str">
        <f>IFERROR(__xludf.DUMMYFUNCTION("""COMPUTED_VALUE"""),"")</f>
        <v/>
      </c>
      <c r="U4583" s="16" t="s">
        <v>87</v>
      </c>
      <c r="V4583" s="16" t="str">
        <f>IFERROR(__xludf.DUMMYFUNCTION("""COMPUTED_VALUE"""),"")</f>
        <v/>
      </c>
      <c r="W4583" s="16" t="str">
        <f>IFERROR(__xludf.DUMMYFUNCTION("""COMPUTED_VALUE"""),"")</f>
        <v/>
      </c>
      <c r="X4583" s="16" t="str">
        <f>IFERROR(__xludf.DUMMYFUNCTION("""COMPUTED_VALUE"""),"")</f>
        <v/>
      </c>
      <c r="AC4583" s="16" t="str">
        <f>IFERROR(__xludf.DUMMYFUNCTION("""COMPUTED_VALUE"""),"")</f>
        <v/>
      </c>
    </row>
    <row r="4584">
      <c r="A4584" s="16" t="s">
        <v>87</v>
      </c>
      <c r="E4584" s="16" t="str">
        <f>IFERROR(__xludf.DUMMYFUNCTION("""COMPUTED_VALUE"""),"")</f>
        <v/>
      </c>
      <c r="G4584" s="18"/>
      <c r="H4584" s="16" t="s">
        <v>87</v>
      </c>
      <c r="I4584" s="16" t="s">
        <v>87</v>
      </c>
      <c r="J4584" s="19"/>
      <c r="L4584" s="16" t="str">
        <f>IFERROR(__xludf.DUMMYFUNCTION("""COMPUTED_VALUE"""),"")</f>
        <v/>
      </c>
      <c r="M4584" s="16" t="str">
        <f>IFERROR(__xludf.DUMMYFUNCTION("""COMPUTED_VALUE"""),"")</f>
        <v/>
      </c>
      <c r="U4584" s="16" t="s">
        <v>87</v>
      </c>
      <c r="V4584" s="16" t="str">
        <f>IFERROR(__xludf.DUMMYFUNCTION("""COMPUTED_VALUE"""),"")</f>
        <v/>
      </c>
      <c r="W4584" s="16" t="str">
        <f>IFERROR(__xludf.DUMMYFUNCTION("""COMPUTED_VALUE"""),"")</f>
        <v/>
      </c>
      <c r="X4584" s="16" t="str">
        <f>IFERROR(__xludf.DUMMYFUNCTION("""COMPUTED_VALUE"""),"")</f>
        <v/>
      </c>
      <c r="AC4584" s="16" t="str">
        <f>IFERROR(__xludf.DUMMYFUNCTION("""COMPUTED_VALUE"""),"")</f>
        <v/>
      </c>
    </row>
    <row r="4585">
      <c r="A4585" s="16" t="s">
        <v>87</v>
      </c>
      <c r="E4585" s="16" t="str">
        <f>IFERROR(__xludf.DUMMYFUNCTION("""COMPUTED_VALUE"""),"")</f>
        <v/>
      </c>
      <c r="G4585" s="18"/>
      <c r="H4585" s="16" t="s">
        <v>87</v>
      </c>
      <c r="I4585" s="16" t="s">
        <v>87</v>
      </c>
      <c r="J4585" s="19"/>
      <c r="L4585" s="16" t="str">
        <f>IFERROR(__xludf.DUMMYFUNCTION("""COMPUTED_VALUE"""),"")</f>
        <v/>
      </c>
      <c r="M4585" s="16" t="str">
        <f>IFERROR(__xludf.DUMMYFUNCTION("""COMPUTED_VALUE"""),"")</f>
        <v/>
      </c>
      <c r="U4585" s="16" t="s">
        <v>87</v>
      </c>
      <c r="V4585" s="16" t="str">
        <f>IFERROR(__xludf.DUMMYFUNCTION("""COMPUTED_VALUE"""),"")</f>
        <v/>
      </c>
      <c r="W4585" s="16" t="str">
        <f>IFERROR(__xludf.DUMMYFUNCTION("""COMPUTED_VALUE"""),"")</f>
        <v/>
      </c>
      <c r="X4585" s="16" t="str">
        <f>IFERROR(__xludf.DUMMYFUNCTION("""COMPUTED_VALUE"""),"")</f>
        <v/>
      </c>
      <c r="AC4585" s="16" t="str">
        <f>IFERROR(__xludf.DUMMYFUNCTION("""COMPUTED_VALUE"""),"")</f>
        <v/>
      </c>
    </row>
    <row r="4586">
      <c r="A4586" s="16" t="s">
        <v>87</v>
      </c>
      <c r="E4586" s="16" t="str">
        <f>IFERROR(__xludf.DUMMYFUNCTION("""COMPUTED_VALUE"""),"")</f>
        <v/>
      </c>
      <c r="G4586" s="18"/>
      <c r="H4586" s="16" t="s">
        <v>87</v>
      </c>
      <c r="I4586" s="16" t="s">
        <v>87</v>
      </c>
      <c r="J4586" s="19"/>
      <c r="L4586" s="16" t="str">
        <f>IFERROR(__xludf.DUMMYFUNCTION("""COMPUTED_VALUE"""),"")</f>
        <v/>
      </c>
      <c r="M4586" s="16" t="str">
        <f>IFERROR(__xludf.DUMMYFUNCTION("""COMPUTED_VALUE"""),"")</f>
        <v/>
      </c>
      <c r="U4586" s="16" t="s">
        <v>87</v>
      </c>
      <c r="V4586" s="16" t="str">
        <f>IFERROR(__xludf.DUMMYFUNCTION("""COMPUTED_VALUE"""),"")</f>
        <v/>
      </c>
      <c r="W4586" s="16" t="str">
        <f>IFERROR(__xludf.DUMMYFUNCTION("""COMPUTED_VALUE"""),"")</f>
        <v/>
      </c>
      <c r="X4586" s="16" t="str">
        <f>IFERROR(__xludf.DUMMYFUNCTION("""COMPUTED_VALUE"""),"")</f>
        <v/>
      </c>
      <c r="AC4586" s="16" t="str">
        <f>IFERROR(__xludf.DUMMYFUNCTION("""COMPUTED_VALUE"""),"")</f>
        <v/>
      </c>
    </row>
    <row r="4587">
      <c r="A4587" s="16" t="s">
        <v>87</v>
      </c>
      <c r="E4587" s="16" t="str">
        <f>IFERROR(__xludf.DUMMYFUNCTION("""COMPUTED_VALUE"""),"")</f>
        <v/>
      </c>
      <c r="G4587" s="18"/>
      <c r="H4587" s="16" t="s">
        <v>87</v>
      </c>
      <c r="I4587" s="16" t="s">
        <v>87</v>
      </c>
      <c r="J4587" s="19"/>
      <c r="L4587" s="16" t="str">
        <f>IFERROR(__xludf.DUMMYFUNCTION("""COMPUTED_VALUE"""),"")</f>
        <v/>
      </c>
      <c r="M4587" s="16" t="str">
        <f>IFERROR(__xludf.DUMMYFUNCTION("""COMPUTED_VALUE"""),"")</f>
        <v/>
      </c>
      <c r="U4587" s="16" t="s">
        <v>87</v>
      </c>
      <c r="V4587" s="16" t="str">
        <f>IFERROR(__xludf.DUMMYFUNCTION("""COMPUTED_VALUE"""),"")</f>
        <v/>
      </c>
      <c r="W4587" s="16" t="str">
        <f>IFERROR(__xludf.DUMMYFUNCTION("""COMPUTED_VALUE"""),"")</f>
        <v/>
      </c>
      <c r="X4587" s="16" t="str">
        <f>IFERROR(__xludf.DUMMYFUNCTION("""COMPUTED_VALUE"""),"")</f>
        <v/>
      </c>
      <c r="AC4587" s="16" t="str">
        <f>IFERROR(__xludf.DUMMYFUNCTION("""COMPUTED_VALUE"""),"")</f>
        <v/>
      </c>
    </row>
    <row r="4588">
      <c r="A4588" s="16" t="s">
        <v>87</v>
      </c>
      <c r="E4588" s="16" t="str">
        <f>IFERROR(__xludf.DUMMYFUNCTION("""COMPUTED_VALUE"""),"")</f>
        <v/>
      </c>
      <c r="G4588" s="18"/>
      <c r="H4588" s="16" t="s">
        <v>87</v>
      </c>
      <c r="I4588" s="16" t="s">
        <v>87</v>
      </c>
      <c r="J4588" s="19"/>
      <c r="L4588" s="16" t="str">
        <f>IFERROR(__xludf.DUMMYFUNCTION("""COMPUTED_VALUE"""),"")</f>
        <v/>
      </c>
      <c r="M4588" s="16" t="str">
        <f>IFERROR(__xludf.DUMMYFUNCTION("""COMPUTED_VALUE"""),"")</f>
        <v/>
      </c>
      <c r="U4588" s="16" t="s">
        <v>87</v>
      </c>
      <c r="V4588" s="16" t="str">
        <f>IFERROR(__xludf.DUMMYFUNCTION("""COMPUTED_VALUE"""),"")</f>
        <v/>
      </c>
      <c r="W4588" s="16" t="str">
        <f>IFERROR(__xludf.DUMMYFUNCTION("""COMPUTED_VALUE"""),"")</f>
        <v/>
      </c>
      <c r="X4588" s="16" t="str">
        <f>IFERROR(__xludf.DUMMYFUNCTION("""COMPUTED_VALUE"""),"")</f>
        <v/>
      </c>
      <c r="AC4588" s="16" t="str">
        <f>IFERROR(__xludf.DUMMYFUNCTION("""COMPUTED_VALUE"""),"")</f>
        <v/>
      </c>
    </row>
    <row r="4589">
      <c r="A4589" s="16" t="s">
        <v>87</v>
      </c>
      <c r="E4589" s="16" t="str">
        <f>IFERROR(__xludf.DUMMYFUNCTION("""COMPUTED_VALUE"""),"")</f>
        <v/>
      </c>
      <c r="G4589" s="18"/>
      <c r="H4589" s="16" t="s">
        <v>87</v>
      </c>
      <c r="I4589" s="16" t="s">
        <v>87</v>
      </c>
      <c r="J4589" s="19"/>
      <c r="L4589" s="16" t="str">
        <f>IFERROR(__xludf.DUMMYFUNCTION("""COMPUTED_VALUE"""),"")</f>
        <v/>
      </c>
      <c r="M4589" s="16" t="str">
        <f>IFERROR(__xludf.DUMMYFUNCTION("""COMPUTED_VALUE"""),"")</f>
        <v/>
      </c>
      <c r="U4589" s="16" t="s">
        <v>87</v>
      </c>
      <c r="V4589" s="16" t="str">
        <f>IFERROR(__xludf.DUMMYFUNCTION("""COMPUTED_VALUE"""),"")</f>
        <v/>
      </c>
      <c r="W4589" s="16" t="str">
        <f>IFERROR(__xludf.DUMMYFUNCTION("""COMPUTED_VALUE"""),"")</f>
        <v/>
      </c>
      <c r="X4589" s="16" t="str">
        <f>IFERROR(__xludf.DUMMYFUNCTION("""COMPUTED_VALUE"""),"")</f>
        <v/>
      </c>
      <c r="AC4589" s="16" t="str">
        <f>IFERROR(__xludf.DUMMYFUNCTION("""COMPUTED_VALUE"""),"")</f>
        <v/>
      </c>
    </row>
    <row r="4590">
      <c r="A4590" s="16" t="s">
        <v>87</v>
      </c>
      <c r="E4590" s="16" t="str">
        <f>IFERROR(__xludf.DUMMYFUNCTION("""COMPUTED_VALUE"""),"")</f>
        <v/>
      </c>
      <c r="G4590" s="18"/>
      <c r="H4590" s="16" t="s">
        <v>87</v>
      </c>
      <c r="I4590" s="16" t="s">
        <v>87</v>
      </c>
      <c r="J4590" s="19"/>
      <c r="L4590" s="16" t="str">
        <f>IFERROR(__xludf.DUMMYFUNCTION("""COMPUTED_VALUE"""),"")</f>
        <v/>
      </c>
      <c r="M4590" s="16" t="str">
        <f>IFERROR(__xludf.DUMMYFUNCTION("""COMPUTED_VALUE"""),"")</f>
        <v/>
      </c>
      <c r="U4590" s="16" t="s">
        <v>87</v>
      </c>
      <c r="V4590" s="16" t="str">
        <f>IFERROR(__xludf.DUMMYFUNCTION("""COMPUTED_VALUE"""),"")</f>
        <v/>
      </c>
      <c r="W4590" s="16" t="str">
        <f>IFERROR(__xludf.DUMMYFUNCTION("""COMPUTED_VALUE"""),"")</f>
        <v/>
      </c>
      <c r="X4590" s="16" t="str">
        <f>IFERROR(__xludf.DUMMYFUNCTION("""COMPUTED_VALUE"""),"")</f>
        <v/>
      </c>
      <c r="AC4590" s="16" t="str">
        <f>IFERROR(__xludf.DUMMYFUNCTION("""COMPUTED_VALUE"""),"")</f>
        <v/>
      </c>
    </row>
    <row r="4591">
      <c r="A4591" s="16" t="s">
        <v>87</v>
      </c>
      <c r="E4591" s="16" t="str">
        <f>IFERROR(__xludf.DUMMYFUNCTION("""COMPUTED_VALUE"""),"")</f>
        <v/>
      </c>
      <c r="G4591" s="18"/>
      <c r="H4591" s="16" t="s">
        <v>87</v>
      </c>
      <c r="I4591" s="16" t="s">
        <v>87</v>
      </c>
      <c r="J4591" s="19"/>
      <c r="L4591" s="16" t="str">
        <f>IFERROR(__xludf.DUMMYFUNCTION("""COMPUTED_VALUE"""),"")</f>
        <v/>
      </c>
      <c r="M4591" s="16" t="str">
        <f>IFERROR(__xludf.DUMMYFUNCTION("""COMPUTED_VALUE"""),"")</f>
        <v/>
      </c>
      <c r="U4591" s="16" t="s">
        <v>87</v>
      </c>
      <c r="V4591" s="16" t="str">
        <f>IFERROR(__xludf.DUMMYFUNCTION("""COMPUTED_VALUE"""),"")</f>
        <v/>
      </c>
      <c r="W4591" s="16" t="str">
        <f>IFERROR(__xludf.DUMMYFUNCTION("""COMPUTED_VALUE"""),"")</f>
        <v/>
      </c>
      <c r="X4591" s="16" t="str">
        <f>IFERROR(__xludf.DUMMYFUNCTION("""COMPUTED_VALUE"""),"")</f>
        <v/>
      </c>
      <c r="AC4591" s="16" t="str">
        <f>IFERROR(__xludf.DUMMYFUNCTION("""COMPUTED_VALUE"""),"")</f>
        <v/>
      </c>
    </row>
    <row r="4592">
      <c r="A4592" s="16" t="s">
        <v>87</v>
      </c>
      <c r="E4592" s="16" t="str">
        <f>IFERROR(__xludf.DUMMYFUNCTION("""COMPUTED_VALUE"""),"")</f>
        <v/>
      </c>
      <c r="G4592" s="18"/>
      <c r="H4592" s="16" t="s">
        <v>87</v>
      </c>
      <c r="I4592" s="16" t="s">
        <v>87</v>
      </c>
      <c r="J4592" s="19"/>
      <c r="L4592" s="16" t="str">
        <f>IFERROR(__xludf.DUMMYFUNCTION("""COMPUTED_VALUE"""),"")</f>
        <v/>
      </c>
      <c r="M4592" s="16" t="str">
        <f>IFERROR(__xludf.DUMMYFUNCTION("""COMPUTED_VALUE"""),"")</f>
        <v/>
      </c>
      <c r="U4592" s="16" t="s">
        <v>87</v>
      </c>
      <c r="V4592" s="16" t="str">
        <f>IFERROR(__xludf.DUMMYFUNCTION("""COMPUTED_VALUE"""),"")</f>
        <v/>
      </c>
      <c r="W4592" s="16" t="str">
        <f>IFERROR(__xludf.DUMMYFUNCTION("""COMPUTED_VALUE"""),"")</f>
        <v/>
      </c>
      <c r="X4592" s="16" t="str">
        <f>IFERROR(__xludf.DUMMYFUNCTION("""COMPUTED_VALUE"""),"")</f>
        <v/>
      </c>
      <c r="AC4592" s="16" t="str">
        <f>IFERROR(__xludf.DUMMYFUNCTION("""COMPUTED_VALUE"""),"")</f>
        <v/>
      </c>
    </row>
    <row r="4593">
      <c r="A4593" s="16" t="s">
        <v>87</v>
      </c>
      <c r="E4593" s="16" t="str">
        <f>IFERROR(__xludf.DUMMYFUNCTION("""COMPUTED_VALUE"""),"")</f>
        <v/>
      </c>
      <c r="G4593" s="18"/>
      <c r="H4593" s="16" t="s">
        <v>87</v>
      </c>
      <c r="I4593" s="16" t="s">
        <v>87</v>
      </c>
      <c r="J4593" s="19"/>
      <c r="L4593" s="16" t="str">
        <f>IFERROR(__xludf.DUMMYFUNCTION("""COMPUTED_VALUE"""),"")</f>
        <v/>
      </c>
      <c r="M4593" s="16" t="str">
        <f>IFERROR(__xludf.DUMMYFUNCTION("""COMPUTED_VALUE"""),"")</f>
        <v/>
      </c>
      <c r="U4593" s="16" t="s">
        <v>87</v>
      </c>
      <c r="V4593" s="16" t="str">
        <f>IFERROR(__xludf.DUMMYFUNCTION("""COMPUTED_VALUE"""),"")</f>
        <v/>
      </c>
      <c r="W4593" s="16" t="str">
        <f>IFERROR(__xludf.DUMMYFUNCTION("""COMPUTED_VALUE"""),"")</f>
        <v/>
      </c>
      <c r="X4593" s="16" t="str">
        <f>IFERROR(__xludf.DUMMYFUNCTION("""COMPUTED_VALUE"""),"")</f>
        <v/>
      </c>
      <c r="AC4593" s="16" t="str">
        <f>IFERROR(__xludf.DUMMYFUNCTION("""COMPUTED_VALUE"""),"")</f>
        <v/>
      </c>
    </row>
    <row r="4594">
      <c r="A4594" s="16" t="s">
        <v>87</v>
      </c>
      <c r="E4594" s="16" t="str">
        <f>IFERROR(__xludf.DUMMYFUNCTION("""COMPUTED_VALUE"""),"")</f>
        <v/>
      </c>
      <c r="G4594" s="18"/>
      <c r="H4594" s="16" t="s">
        <v>87</v>
      </c>
      <c r="I4594" s="16" t="s">
        <v>87</v>
      </c>
      <c r="J4594" s="19"/>
      <c r="L4594" s="16" t="str">
        <f>IFERROR(__xludf.DUMMYFUNCTION("""COMPUTED_VALUE"""),"")</f>
        <v/>
      </c>
      <c r="M4594" s="16" t="str">
        <f>IFERROR(__xludf.DUMMYFUNCTION("""COMPUTED_VALUE"""),"")</f>
        <v/>
      </c>
      <c r="U4594" s="16" t="s">
        <v>87</v>
      </c>
      <c r="V4594" s="16" t="str">
        <f>IFERROR(__xludf.DUMMYFUNCTION("""COMPUTED_VALUE"""),"")</f>
        <v/>
      </c>
      <c r="W4594" s="16" t="str">
        <f>IFERROR(__xludf.DUMMYFUNCTION("""COMPUTED_VALUE"""),"")</f>
        <v/>
      </c>
      <c r="X4594" s="16" t="str">
        <f>IFERROR(__xludf.DUMMYFUNCTION("""COMPUTED_VALUE"""),"")</f>
        <v/>
      </c>
      <c r="AC4594" s="16" t="str">
        <f>IFERROR(__xludf.DUMMYFUNCTION("""COMPUTED_VALUE"""),"")</f>
        <v/>
      </c>
    </row>
    <row r="4595">
      <c r="A4595" s="16" t="s">
        <v>87</v>
      </c>
      <c r="E4595" s="16" t="str">
        <f>IFERROR(__xludf.DUMMYFUNCTION("""COMPUTED_VALUE"""),"")</f>
        <v/>
      </c>
      <c r="G4595" s="18"/>
      <c r="H4595" s="16" t="s">
        <v>87</v>
      </c>
      <c r="I4595" s="16" t="s">
        <v>87</v>
      </c>
      <c r="J4595" s="19"/>
      <c r="L4595" s="16" t="str">
        <f>IFERROR(__xludf.DUMMYFUNCTION("""COMPUTED_VALUE"""),"")</f>
        <v/>
      </c>
      <c r="M4595" s="16" t="str">
        <f>IFERROR(__xludf.DUMMYFUNCTION("""COMPUTED_VALUE"""),"")</f>
        <v/>
      </c>
      <c r="U4595" s="16" t="s">
        <v>87</v>
      </c>
      <c r="V4595" s="16" t="str">
        <f>IFERROR(__xludf.DUMMYFUNCTION("""COMPUTED_VALUE"""),"")</f>
        <v/>
      </c>
      <c r="W4595" s="16" t="str">
        <f>IFERROR(__xludf.DUMMYFUNCTION("""COMPUTED_VALUE"""),"")</f>
        <v/>
      </c>
      <c r="X4595" s="16" t="str">
        <f>IFERROR(__xludf.DUMMYFUNCTION("""COMPUTED_VALUE"""),"")</f>
        <v/>
      </c>
      <c r="AC4595" s="16" t="str">
        <f>IFERROR(__xludf.DUMMYFUNCTION("""COMPUTED_VALUE"""),"")</f>
        <v/>
      </c>
    </row>
    <row r="4596">
      <c r="A4596" s="16" t="s">
        <v>87</v>
      </c>
      <c r="E4596" s="16" t="str">
        <f>IFERROR(__xludf.DUMMYFUNCTION("""COMPUTED_VALUE"""),"")</f>
        <v/>
      </c>
      <c r="G4596" s="18"/>
      <c r="H4596" s="16" t="s">
        <v>87</v>
      </c>
      <c r="I4596" s="16" t="s">
        <v>87</v>
      </c>
      <c r="J4596" s="19"/>
      <c r="L4596" s="16" t="str">
        <f>IFERROR(__xludf.DUMMYFUNCTION("""COMPUTED_VALUE"""),"")</f>
        <v/>
      </c>
      <c r="M4596" s="16" t="str">
        <f>IFERROR(__xludf.DUMMYFUNCTION("""COMPUTED_VALUE"""),"")</f>
        <v/>
      </c>
      <c r="U4596" s="16" t="s">
        <v>87</v>
      </c>
      <c r="V4596" s="16" t="str">
        <f>IFERROR(__xludf.DUMMYFUNCTION("""COMPUTED_VALUE"""),"")</f>
        <v/>
      </c>
      <c r="W4596" s="16" t="str">
        <f>IFERROR(__xludf.DUMMYFUNCTION("""COMPUTED_VALUE"""),"")</f>
        <v/>
      </c>
      <c r="X4596" s="16" t="str">
        <f>IFERROR(__xludf.DUMMYFUNCTION("""COMPUTED_VALUE"""),"")</f>
        <v/>
      </c>
      <c r="AC4596" s="16" t="str">
        <f>IFERROR(__xludf.DUMMYFUNCTION("""COMPUTED_VALUE"""),"")</f>
        <v/>
      </c>
    </row>
    <row r="4597">
      <c r="A4597" s="16" t="s">
        <v>87</v>
      </c>
      <c r="E4597" s="16" t="str">
        <f>IFERROR(__xludf.DUMMYFUNCTION("""COMPUTED_VALUE"""),"")</f>
        <v/>
      </c>
      <c r="G4597" s="18"/>
      <c r="H4597" s="16" t="s">
        <v>87</v>
      </c>
      <c r="I4597" s="16" t="s">
        <v>87</v>
      </c>
      <c r="J4597" s="19"/>
      <c r="L4597" s="16" t="str">
        <f>IFERROR(__xludf.DUMMYFUNCTION("""COMPUTED_VALUE"""),"")</f>
        <v/>
      </c>
      <c r="M4597" s="16" t="str">
        <f>IFERROR(__xludf.DUMMYFUNCTION("""COMPUTED_VALUE"""),"")</f>
        <v/>
      </c>
      <c r="U4597" s="16" t="s">
        <v>87</v>
      </c>
      <c r="V4597" s="16" t="str">
        <f>IFERROR(__xludf.DUMMYFUNCTION("""COMPUTED_VALUE"""),"")</f>
        <v/>
      </c>
      <c r="W4597" s="16" t="str">
        <f>IFERROR(__xludf.DUMMYFUNCTION("""COMPUTED_VALUE"""),"")</f>
        <v/>
      </c>
      <c r="X4597" s="16" t="str">
        <f>IFERROR(__xludf.DUMMYFUNCTION("""COMPUTED_VALUE"""),"")</f>
        <v/>
      </c>
      <c r="AC4597" s="16" t="str">
        <f>IFERROR(__xludf.DUMMYFUNCTION("""COMPUTED_VALUE"""),"")</f>
        <v/>
      </c>
    </row>
    <row r="4598">
      <c r="A4598" s="16" t="s">
        <v>87</v>
      </c>
      <c r="E4598" s="16" t="str">
        <f>IFERROR(__xludf.DUMMYFUNCTION("""COMPUTED_VALUE"""),"")</f>
        <v/>
      </c>
      <c r="G4598" s="18"/>
      <c r="H4598" s="16" t="s">
        <v>87</v>
      </c>
      <c r="I4598" s="16" t="s">
        <v>87</v>
      </c>
      <c r="J4598" s="19"/>
      <c r="L4598" s="16" t="str">
        <f>IFERROR(__xludf.DUMMYFUNCTION("""COMPUTED_VALUE"""),"")</f>
        <v/>
      </c>
      <c r="M4598" s="16" t="str">
        <f>IFERROR(__xludf.DUMMYFUNCTION("""COMPUTED_VALUE"""),"")</f>
        <v/>
      </c>
      <c r="U4598" s="16" t="s">
        <v>87</v>
      </c>
      <c r="V4598" s="16" t="str">
        <f>IFERROR(__xludf.DUMMYFUNCTION("""COMPUTED_VALUE"""),"")</f>
        <v/>
      </c>
      <c r="W4598" s="16" t="str">
        <f>IFERROR(__xludf.DUMMYFUNCTION("""COMPUTED_VALUE"""),"")</f>
        <v/>
      </c>
      <c r="X4598" s="16" t="str">
        <f>IFERROR(__xludf.DUMMYFUNCTION("""COMPUTED_VALUE"""),"")</f>
        <v/>
      </c>
      <c r="AC4598" s="16" t="str">
        <f>IFERROR(__xludf.DUMMYFUNCTION("""COMPUTED_VALUE"""),"")</f>
        <v/>
      </c>
    </row>
    <row r="4599">
      <c r="A4599" s="16" t="s">
        <v>87</v>
      </c>
      <c r="E4599" s="16" t="str">
        <f>IFERROR(__xludf.DUMMYFUNCTION("""COMPUTED_VALUE"""),"")</f>
        <v/>
      </c>
      <c r="G4599" s="18"/>
      <c r="H4599" s="16" t="s">
        <v>87</v>
      </c>
      <c r="I4599" s="16" t="s">
        <v>87</v>
      </c>
      <c r="J4599" s="19"/>
      <c r="L4599" s="16" t="str">
        <f>IFERROR(__xludf.DUMMYFUNCTION("""COMPUTED_VALUE"""),"")</f>
        <v/>
      </c>
      <c r="M4599" s="16" t="str">
        <f>IFERROR(__xludf.DUMMYFUNCTION("""COMPUTED_VALUE"""),"")</f>
        <v/>
      </c>
      <c r="U4599" s="16" t="s">
        <v>87</v>
      </c>
      <c r="V4599" s="16" t="str">
        <f>IFERROR(__xludf.DUMMYFUNCTION("""COMPUTED_VALUE"""),"")</f>
        <v/>
      </c>
      <c r="W4599" s="16" t="str">
        <f>IFERROR(__xludf.DUMMYFUNCTION("""COMPUTED_VALUE"""),"")</f>
        <v/>
      </c>
      <c r="X4599" s="16" t="str">
        <f>IFERROR(__xludf.DUMMYFUNCTION("""COMPUTED_VALUE"""),"")</f>
        <v/>
      </c>
      <c r="AC4599" s="16" t="str">
        <f>IFERROR(__xludf.DUMMYFUNCTION("""COMPUTED_VALUE"""),"")</f>
        <v/>
      </c>
    </row>
    <row r="4600">
      <c r="A4600" s="16" t="s">
        <v>87</v>
      </c>
      <c r="E4600" s="16" t="str">
        <f>IFERROR(__xludf.DUMMYFUNCTION("""COMPUTED_VALUE"""),"")</f>
        <v/>
      </c>
      <c r="G4600" s="18"/>
      <c r="H4600" s="16" t="s">
        <v>87</v>
      </c>
      <c r="I4600" s="16" t="s">
        <v>87</v>
      </c>
      <c r="J4600" s="19"/>
      <c r="L4600" s="16" t="str">
        <f>IFERROR(__xludf.DUMMYFUNCTION("""COMPUTED_VALUE"""),"")</f>
        <v/>
      </c>
      <c r="M4600" s="16" t="str">
        <f>IFERROR(__xludf.DUMMYFUNCTION("""COMPUTED_VALUE"""),"")</f>
        <v/>
      </c>
      <c r="U4600" s="16" t="s">
        <v>87</v>
      </c>
      <c r="V4600" s="16" t="str">
        <f>IFERROR(__xludf.DUMMYFUNCTION("""COMPUTED_VALUE"""),"")</f>
        <v/>
      </c>
      <c r="W4600" s="16" t="str">
        <f>IFERROR(__xludf.DUMMYFUNCTION("""COMPUTED_VALUE"""),"")</f>
        <v/>
      </c>
      <c r="X4600" s="16" t="str">
        <f>IFERROR(__xludf.DUMMYFUNCTION("""COMPUTED_VALUE"""),"")</f>
        <v/>
      </c>
      <c r="AC4600" s="16" t="str">
        <f>IFERROR(__xludf.DUMMYFUNCTION("""COMPUTED_VALUE"""),"")</f>
        <v/>
      </c>
    </row>
    <row r="4601">
      <c r="A4601" s="16" t="s">
        <v>87</v>
      </c>
      <c r="E4601" s="16" t="str">
        <f>IFERROR(__xludf.DUMMYFUNCTION("""COMPUTED_VALUE"""),"")</f>
        <v/>
      </c>
      <c r="G4601" s="18"/>
      <c r="H4601" s="16" t="s">
        <v>87</v>
      </c>
      <c r="I4601" s="16" t="s">
        <v>87</v>
      </c>
      <c r="J4601" s="19"/>
      <c r="L4601" s="16" t="str">
        <f>IFERROR(__xludf.DUMMYFUNCTION("""COMPUTED_VALUE"""),"")</f>
        <v/>
      </c>
      <c r="M4601" s="16" t="str">
        <f>IFERROR(__xludf.DUMMYFUNCTION("""COMPUTED_VALUE"""),"")</f>
        <v/>
      </c>
      <c r="U4601" s="16" t="s">
        <v>87</v>
      </c>
      <c r="V4601" s="16" t="str">
        <f>IFERROR(__xludf.DUMMYFUNCTION("""COMPUTED_VALUE"""),"")</f>
        <v/>
      </c>
      <c r="W4601" s="16" t="str">
        <f>IFERROR(__xludf.DUMMYFUNCTION("""COMPUTED_VALUE"""),"")</f>
        <v/>
      </c>
      <c r="X4601" s="16" t="str">
        <f>IFERROR(__xludf.DUMMYFUNCTION("""COMPUTED_VALUE"""),"")</f>
        <v/>
      </c>
      <c r="AC4601" s="16" t="str">
        <f>IFERROR(__xludf.DUMMYFUNCTION("""COMPUTED_VALUE"""),"")</f>
        <v/>
      </c>
    </row>
    <row r="4602">
      <c r="A4602" s="16" t="s">
        <v>87</v>
      </c>
      <c r="E4602" s="16" t="str">
        <f>IFERROR(__xludf.DUMMYFUNCTION("""COMPUTED_VALUE"""),"")</f>
        <v/>
      </c>
      <c r="G4602" s="18"/>
      <c r="H4602" s="16" t="s">
        <v>87</v>
      </c>
      <c r="I4602" s="16" t="s">
        <v>87</v>
      </c>
      <c r="J4602" s="19"/>
      <c r="L4602" s="16" t="str">
        <f>IFERROR(__xludf.DUMMYFUNCTION("""COMPUTED_VALUE"""),"")</f>
        <v/>
      </c>
      <c r="M4602" s="16" t="str">
        <f>IFERROR(__xludf.DUMMYFUNCTION("""COMPUTED_VALUE"""),"")</f>
        <v/>
      </c>
      <c r="U4602" s="16" t="s">
        <v>87</v>
      </c>
      <c r="V4602" s="16" t="str">
        <f>IFERROR(__xludf.DUMMYFUNCTION("""COMPUTED_VALUE"""),"")</f>
        <v/>
      </c>
      <c r="W4602" s="16" t="str">
        <f>IFERROR(__xludf.DUMMYFUNCTION("""COMPUTED_VALUE"""),"")</f>
        <v/>
      </c>
      <c r="X4602" s="16" t="str">
        <f>IFERROR(__xludf.DUMMYFUNCTION("""COMPUTED_VALUE"""),"")</f>
        <v/>
      </c>
      <c r="AC4602" s="16" t="str">
        <f>IFERROR(__xludf.DUMMYFUNCTION("""COMPUTED_VALUE"""),"")</f>
        <v/>
      </c>
    </row>
    <row r="4603">
      <c r="A4603" s="16" t="s">
        <v>87</v>
      </c>
      <c r="E4603" s="16" t="str">
        <f>IFERROR(__xludf.DUMMYFUNCTION("""COMPUTED_VALUE"""),"")</f>
        <v/>
      </c>
      <c r="G4603" s="18"/>
      <c r="H4603" s="16" t="s">
        <v>87</v>
      </c>
      <c r="I4603" s="16" t="s">
        <v>87</v>
      </c>
      <c r="J4603" s="19"/>
      <c r="L4603" s="16" t="str">
        <f>IFERROR(__xludf.DUMMYFUNCTION("""COMPUTED_VALUE"""),"")</f>
        <v/>
      </c>
      <c r="M4603" s="16" t="str">
        <f>IFERROR(__xludf.DUMMYFUNCTION("""COMPUTED_VALUE"""),"")</f>
        <v/>
      </c>
      <c r="U4603" s="16" t="s">
        <v>87</v>
      </c>
      <c r="V4603" s="16" t="str">
        <f>IFERROR(__xludf.DUMMYFUNCTION("""COMPUTED_VALUE"""),"")</f>
        <v/>
      </c>
      <c r="W4603" s="16" t="str">
        <f>IFERROR(__xludf.DUMMYFUNCTION("""COMPUTED_VALUE"""),"")</f>
        <v/>
      </c>
      <c r="X4603" s="16" t="str">
        <f>IFERROR(__xludf.DUMMYFUNCTION("""COMPUTED_VALUE"""),"")</f>
        <v/>
      </c>
      <c r="AC4603" s="16" t="str">
        <f>IFERROR(__xludf.DUMMYFUNCTION("""COMPUTED_VALUE"""),"")</f>
        <v/>
      </c>
    </row>
    <row r="4604">
      <c r="A4604" s="16" t="s">
        <v>87</v>
      </c>
      <c r="E4604" s="16" t="str">
        <f>IFERROR(__xludf.DUMMYFUNCTION("""COMPUTED_VALUE"""),"")</f>
        <v/>
      </c>
      <c r="G4604" s="18"/>
      <c r="H4604" s="16" t="s">
        <v>87</v>
      </c>
      <c r="I4604" s="16" t="s">
        <v>87</v>
      </c>
      <c r="J4604" s="19"/>
      <c r="L4604" s="16" t="str">
        <f>IFERROR(__xludf.DUMMYFUNCTION("""COMPUTED_VALUE"""),"")</f>
        <v/>
      </c>
      <c r="M4604" s="16" t="str">
        <f>IFERROR(__xludf.DUMMYFUNCTION("""COMPUTED_VALUE"""),"")</f>
        <v/>
      </c>
      <c r="U4604" s="16" t="s">
        <v>87</v>
      </c>
      <c r="V4604" s="16" t="str">
        <f>IFERROR(__xludf.DUMMYFUNCTION("""COMPUTED_VALUE"""),"")</f>
        <v/>
      </c>
      <c r="W4604" s="16" t="str">
        <f>IFERROR(__xludf.DUMMYFUNCTION("""COMPUTED_VALUE"""),"")</f>
        <v/>
      </c>
      <c r="X4604" s="16" t="str">
        <f>IFERROR(__xludf.DUMMYFUNCTION("""COMPUTED_VALUE"""),"")</f>
        <v/>
      </c>
      <c r="AC4604" s="16" t="str">
        <f>IFERROR(__xludf.DUMMYFUNCTION("""COMPUTED_VALUE"""),"")</f>
        <v/>
      </c>
    </row>
    <row r="4605">
      <c r="A4605" s="16" t="s">
        <v>87</v>
      </c>
      <c r="E4605" s="16" t="str">
        <f>IFERROR(__xludf.DUMMYFUNCTION("""COMPUTED_VALUE"""),"")</f>
        <v/>
      </c>
      <c r="G4605" s="18"/>
      <c r="H4605" s="16" t="s">
        <v>87</v>
      </c>
      <c r="I4605" s="16" t="s">
        <v>87</v>
      </c>
      <c r="J4605" s="19"/>
      <c r="L4605" s="16" t="str">
        <f>IFERROR(__xludf.DUMMYFUNCTION("""COMPUTED_VALUE"""),"")</f>
        <v/>
      </c>
      <c r="M4605" s="16" t="str">
        <f>IFERROR(__xludf.DUMMYFUNCTION("""COMPUTED_VALUE"""),"")</f>
        <v/>
      </c>
      <c r="U4605" s="16" t="s">
        <v>87</v>
      </c>
      <c r="V4605" s="16" t="str">
        <f>IFERROR(__xludf.DUMMYFUNCTION("""COMPUTED_VALUE"""),"")</f>
        <v/>
      </c>
      <c r="W4605" s="16" t="str">
        <f>IFERROR(__xludf.DUMMYFUNCTION("""COMPUTED_VALUE"""),"")</f>
        <v/>
      </c>
      <c r="X4605" s="16" t="str">
        <f>IFERROR(__xludf.DUMMYFUNCTION("""COMPUTED_VALUE"""),"")</f>
        <v/>
      </c>
      <c r="AC4605" s="16" t="str">
        <f>IFERROR(__xludf.DUMMYFUNCTION("""COMPUTED_VALUE"""),"")</f>
        <v/>
      </c>
    </row>
    <row r="4606">
      <c r="A4606" s="16" t="s">
        <v>87</v>
      </c>
      <c r="E4606" s="16" t="str">
        <f>IFERROR(__xludf.DUMMYFUNCTION("""COMPUTED_VALUE"""),"")</f>
        <v/>
      </c>
      <c r="G4606" s="18"/>
      <c r="H4606" s="16" t="s">
        <v>87</v>
      </c>
      <c r="I4606" s="16" t="s">
        <v>87</v>
      </c>
      <c r="J4606" s="19"/>
      <c r="L4606" s="16" t="str">
        <f>IFERROR(__xludf.DUMMYFUNCTION("""COMPUTED_VALUE"""),"")</f>
        <v/>
      </c>
      <c r="M4606" s="16" t="str">
        <f>IFERROR(__xludf.DUMMYFUNCTION("""COMPUTED_VALUE"""),"")</f>
        <v/>
      </c>
      <c r="U4606" s="16" t="s">
        <v>87</v>
      </c>
      <c r="V4606" s="16" t="str">
        <f>IFERROR(__xludf.DUMMYFUNCTION("""COMPUTED_VALUE"""),"")</f>
        <v/>
      </c>
      <c r="W4606" s="16" t="str">
        <f>IFERROR(__xludf.DUMMYFUNCTION("""COMPUTED_VALUE"""),"")</f>
        <v/>
      </c>
      <c r="X4606" s="16" t="str">
        <f>IFERROR(__xludf.DUMMYFUNCTION("""COMPUTED_VALUE"""),"")</f>
        <v/>
      </c>
      <c r="AC4606" s="16" t="str">
        <f>IFERROR(__xludf.DUMMYFUNCTION("""COMPUTED_VALUE"""),"")</f>
        <v/>
      </c>
    </row>
    <row r="4607">
      <c r="A4607" s="16" t="s">
        <v>87</v>
      </c>
      <c r="E4607" s="16" t="str">
        <f>IFERROR(__xludf.DUMMYFUNCTION("""COMPUTED_VALUE"""),"")</f>
        <v/>
      </c>
      <c r="G4607" s="18"/>
      <c r="H4607" s="16" t="s">
        <v>87</v>
      </c>
      <c r="I4607" s="16" t="s">
        <v>87</v>
      </c>
      <c r="J4607" s="19"/>
      <c r="L4607" s="16" t="str">
        <f>IFERROR(__xludf.DUMMYFUNCTION("""COMPUTED_VALUE"""),"")</f>
        <v/>
      </c>
      <c r="M4607" s="16" t="str">
        <f>IFERROR(__xludf.DUMMYFUNCTION("""COMPUTED_VALUE"""),"")</f>
        <v/>
      </c>
      <c r="U4607" s="16" t="s">
        <v>87</v>
      </c>
      <c r="V4607" s="16" t="str">
        <f>IFERROR(__xludf.DUMMYFUNCTION("""COMPUTED_VALUE"""),"")</f>
        <v/>
      </c>
      <c r="W4607" s="16" t="str">
        <f>IFERROR(__xludf.DUMMYFUNCTION("""COMPUTED_VALUE"""),"")</f>
        <v/>
      </c>
      <c r="X4607" s="16" t="str">
        <f>IFERROR(__xludf.DUMMYFUNCTION("""COMPUTED_VALUE"""),"")</f>
        <v/>
      </c>
      <c r="AC4607" s="16" t="str">
        <f>IFERROR(__xludf.DUMMYFUNCTION("""COMPUTED_VALUE"""),"")</f>
        <v/>
      </c>
    </row>
    <row r="4608">
      <c r="A4608" s="16" t="s">
        <v>87</v>
      </c>
      <c r="E4608" s="16" t="str">
        <f>IFERROR(__xludf.DUMMYFUNCTION("""COMPUTED_VALUE"""),"")</f>
        <v/>
      </c>
      <c r="G4608" s="18"/>
      <c r="H4608" s="16" t="s">
        <v>87</v>
      </c>
      <c r="I4608" s="16" t="s">
        <v>87</v>
      </c>
      <c r="J4608" s="19"/>
      <c r="L4608" s="16" t="str">
        <f>IFERROR(__xludf.DUMMYFUNCTION("""COMPUTED_VALUE"""),"")</f>
        <v/>
      </c>
      <c r="M4608" s="16" t="str">
        <f>IFERROR(__xludf.DUMMYFUNCTION("""COMPUTED_VALUE"""),"")</f>
        <v/>
      </c>
      <c r="U4608" s="16" t="s">
        <v>87</v>
      </c>
      <c r="V4608" s="16" t="str">
        <f>IFERROR(__xludf.DUMMYFUNCTION("""COMPUTED_VALUE"""),"")</f>
        <v/>
      </c>
      <c r="W4608" s="16" t="str">
        <f>IFERROR(__xludf.DUMMYFUNCTION("""COMPUTED_VALUE"""),"")</f>
        <v/>
      </c>
      <c r="X4608" s="16" t="str">
        <f>IFERROR(__xludf.DUMMYFUNCTION("""COMPUTED_VALUE"""),"")</f>
        <v/>
      </c>
      <c r="AC4608" s="16" t="str">
        <f>IFERROR(__xludf.DUMMYFUNCTION("""COMPUTED_VALUE"""),"")</f>
        <v/>
      </c>
    </row>
    <row r="4609">
      <c r="A4609" s="16" t="s">
        <v>87</v>
      </c>
      <c r="E4609" s="16" t="str">
        <f>IFERROR(__xludf.DUMMYFUNCTION("""COMPUTED_VALUE"""),"")</f>
        <v/>
      </c>
      <c r="G4609" s="18"/>
      <c r="H4609" s="16" t="s">
        <v>87</v>
      </c>
      <c r="I4609" s="16" t="s">
        <v>87</v>
      </c>
      <c r="J4609" s="19"/>
      <c r="L4609" s="16" t="str">
        <f>IFERROR(__xludf.DUMMYFUNCTION("""COMPUTED_VALUE"""),"")</f>
        <v/>
      </c>
      <c r="M4609" s="16" t="str">
        <f>IFERROR(__xludf.DUMMYFUNCTION("""COMPUTED_VALUE"""),"")</f>
        <v/>
      </c>
      <c r="U4609" s="16" t="s">
        <v>87</v>
      </c>
      <c r="V4609" s="16" t="str">
        <f>IFERROR(__xludf.DUMMYFUNCTION("""COMPUTED_VALUE"""),"")</f>
        <v/>
      </c>
      <c r="W4609" s="16" t="str">
        <f>IFERROR(__xludf.DUMMYFUNCTION("""COMPUTED_VALUE"""),"")</f>
        <v/>
      </c>
      <c r="X4609" s="16" t="str">
        <f>IFERROR(__xludf.DUMMYFUNCTION("""COMPUTED_VALUE"""),"")</f>
        <v/>
      </c>
      <c r="AC4609" s="16" t="str">
        <f>IFERROR(__xludf.DUMMYFUNCTION("""COMPUTED_VALUE"""),"")</f>
        <v/>
      </c>
    </row>
    <row r="4610">
      <c r="A4610" s="16" t="s">
        <v>87</v>
      </c>
      <c r="E4610" s="16" t="str">
        <f>IFERROR(__xludf.DUMMYFUNCTION("""COMPUTED_VALUE"""),"")</f>
        <v/>
      </c>
      <c r="G4610" s="18"/>
      <c r="H4610" s="16" t="s">
        <v>87</v>
      </c>
      <c r="I4610" s="16" t="s">
        <v>87</v>
      </c>
      <c r="J4610" s="19"/>
      <c r="L4610" s="16" t="str">
        <f>IFERROR(__xludf.DUMMYFUNCTION("""COMPUTED_VALUE"""),"")</f>
        <v/>
      </c>
      <c r="M4610" s="16" t="str">
        <f>IFERROR(__xludf.DUMMYFUNCTION("""COMPUTED_VALUE"""),"")</f>
        <v/>
      </c>
      <c r="U4610" s="16" t="s">
        <v>87</v>
      </c>
      <c r="V4610" s="16" t="str">
        <f>IFERROR(__xludf.DUMMYFUNCTION("""COMPUTED_VALUE"""),"")</f>
        <v/>
      </c>
      <c r="W4610" s="16" t="str">
        <f>IFERROR(__xludf.DUMMYFUNCTION("""COMPUTED_VALUE"""),"")</f>
        <v/>
      </c>
      <c r="X4610" s="16" t="str">
        <f>IFERROR(__xludf.DUMMYFUNCTION("""COMPUTED_VALUE"""),"")</f>
        <v/>
      </c>
      <c r="AC4610" s="16" t="str">
        <f>IFERROR(__xludf.DUMMYFUNCTION("""COMPUTED_VALUE"""),"")</f>
        <v/>
      </c>
    </row>
    <row r="4611">
      <c r="A4611" s="16" t="s">
        <v>87</v>
      </c>
      <c r="E4611" s="16" t="str">
        <f>IFERROR(__xludf.DUMMYFUNCTION("""COMPUTED_VALUE"""),"")</f>
        <v/>
      </c>
      <c r="G4611" s="18"/>
      <c r="H4611" s="16" t="s">
        <v>87</v>
      </c>
      <c r="I4611" s="16" t="s">
        <v>87</v>
      </c>
      <c r="J4611" s="19"/>
      <c r="L4611" s="16" t="str">
        <f>IFERROR(__xludf.DUMMYFUNCTION("""COMPUTED_VALUE"""),"")</f>
        <v/>
      </c>
      <c r="M4611" s="16" t="str">
        <f>IFERROR(__xludf.DUMMYFUNCTION("""COMPUTED_VALUE"""),"")</f>
        <v/>
      </c>
      <c r="U4611" s="16" t="s">
        <v>87</v>
      </c>
      <c r="V4611" s="16" t="str">
        <f>IFERROR(__xludf.DUMMYFUNCTION("""COMPUTED_VALUE"""),"")</f>
        <v/>
      </c>
      <c r="W4611" s="16" t="str">
        <f>IFERROR(__xludf.DUMMYFUNCTION("""COMPUTED_VALUE"""),"")</f>
        <v/>
      </c>
      <c r="X4611" s="16" t="str">
        <f>IFERROR(__xludf.DUMMYFUNCTION("""COMPUTED_VALUE"""),"")</f>
        <v/>
      </c>
      <c r="AC4611" s="16" t="str">
        <f>IFERROR(__xludf.DUMMYFUNCTION("""COMPUTED_VALUE"""),"")</f>
        <v/>
      </c>
    </row>
    <row r="4612">
      <c r="A4612" s="16" t="s">
        <v>87</v>
      </c>
      <c r="E4612" s="16" t="str">
        <f>IFERROR(__xludf.DUMMYFUNCTION("""COMPUTED_VALUE"""),"")</f>
        <v/>
      </c>
      <c r="G4612" s="18"/>
      <c r="H4612" s="16" t="s">
        <v>87</v>
      </c>
      <c r="I4612" s="16" t="s">
        <v>87</v>
      </c>
      <c r="J4612" s="19"/>
      <c r="L4612" s="16" t="str">
        <f>IFERROR(__xludf.DUMMYFUNCTION("""COMPUTED_VALUE"""),"")</f>
        <v/>
      </c>
      <c r="M4612" s="16" t="str">
        <f>IFERROR(__xludf.DUMMYFUNCTION("""COMPUTED_VALUE"""),"")</f>
        <v/>
      </c>
      <c r="U4612" s="16" t="s">
        <v>87</v>
      </c>
      <c r="V4612" s="16" t="str">
        <f>IFERROR(__xludf.DUMMYFUNCTION("""COMPUTED_VALUE"""),"")</f>
        <v/>
      </c>
      <c r="W4612" s="16" t="str">
        <f>IFERROR(__xludf.DUMMYFUNCTION("""COMPUTED_VALUE"""),"")</f>
        <v/>
      </c>
      <c r="X4612" s="16" t="str">
        <f>IFERROR(__xludf.DUMMYFUNCTION("""COMPUTED_VALUE"""),"")</f>
        <v/>
      </c>
      <c r="AC4612" s="16" t="str">
        <f>IFERROR(__xludf.DUMMYFUNCTION("""COMPUTED_VALUE"""),"")</f>
        <v/>
      </c>
    </row>
    <row r="4613">
      <c r="A4613" s="16" t="s">
        <v>87</v>
      </c>
      <c r="E4613" s="16" t="str">
        <f>IFERROR(__xludf.DUMMYFUNCTION("""COMPUTED_VALUE"""),"")</f>
        <v/>
      </c>
      <c r="G4613" s="18"/>
      <c r="H4613" s="16" t="s">
        <v>87</v>
      </c>
      <c r="I4613" s="16" t="s">
        <v>87</v>
      </c>
      <c r="J4613" s="19"/>
      <c r="L4613" s="16" t="str">
        <f>IFERROR(__xludf.DUMMYFUNCTION("""COMPUTED_VALUE"""),"")</f>
        <v/>
      </c>
      <c r="M4613" s="16" t="str">
        <f>IFERROR(__xludf.DUMMYFUNCTION("""COMPUTED_VALUE"""),"")</f>
        <v/>
      </c>
      <c r="U4613" s="16" t="s">
        <v>87</v>
      </c>
      <c r="V4613" s="16" t="str">
        <f>IFERROR(__xludf.DUMMYFUNCTION("""COMPUTED_VALUE"""),"")</f>
        <v/>
      </c>
      <c r="W4613" s="16" t="str">
        <f>IFERROR(__xludf.DUMMYFUNCTION("""COMPUTED_VALUE"""),"")</f>
        <v/>
      </c>
      <c r="X4613" s="16" t="str">
        <f>IFERROR(__xludf.DUMMYFUNCTION("""COMPUTED_VALUE"""),"")</f>
        <v/>
      </c>
      <c r="AC4613" s="16" t="str">
        <f>IFERROR(__xludf.DUMMYFUNCTION("""COMPUTED_VALUE"""),"")</f>
        <v/>
      </c>
    </row>
    <row r="4614">
      <c r="A4614" s="16" t="s">
        <v>87</v>
      </c>
      <c r="E4614" s="16" t="str">
        <f>IFERROR(__xludf.DUMMYFUNCTION("""COMPUTED_VALUE"""),"")</f>
        <v/>
      </c>
      <c r="G4614" s="18"/>
      <c r="H4614" s="16" t="s">
        <v>87</v>
      </c>
      <c r="I4614" s="16" t="s">
        <v>87</v>
      </c>
      <c r="J4614" s="19"/>
      <c r="L4614" s="16" t="str">
        <f>IFERROR(__xludf.DUMMYFUNCTION("""COMPUTED_VALUE"""),"")</f>
        <v/>
      </c>
      <c r="M4614" s="16" t="str">
        <f>IFERROR(__xludf.DUMMYFUNCTION("""COMPUTED_VALUE"""),"")</f>
        <v/>
      </c>
      <c r="U4614" s="16" t="s">
        <v>87</v>
      </c>
      <c r="V4614" s="16" t="str">
        <f>IFERROR(__xludf.DUMMYFUNCTION("""COMPUTED_VALUE"""),"")</f>
        <v/>
      </c>
      <c r="W4614" s="16" t="str">
        <f>IFERROR(__xludf.DUMMYFUNCTION("""COMPUTED_VALUE"""),"")</f>
        <v/>
      </c>
      <c r="X4614" s="16" t="str">
        <f>IFERROR(__xludf.DUMMYFUNCTION("""COMPUTED_VALUE"""),"")</f>
        <v/>
      </c>
      <c r="AC4614" s="16" t="str">
        <f>IFERROR(__xludf.DUMMYFUNCTION("""COMPUTED_VALUE"""),"")</f>
        <v/>
      </c>
    </row>
    <row r="4615">
      <c r="A4615" s="16" t="s">
        <v>87</v>
      </c>
      <c r="E4615" s="16" t="str">
        <f>IFERROR(__xludf.DUMMYFUNCTION("""COMPUTED_VALUE"""),"")</f>
        <v/>
      </c>
      <c r="G4615" s="18"/>
      <c r="H4615" s="16" t="s">
        <v>87</v>
      </c>
      <c r="I4615" s="16" t="s">
        <v>87</v>
      </c>
      <c r="J4615" s="19"/>
      <c r="L4615" s="16" t="str">
        <f>IFERROR(__xludf.DUMMYFUNCTION("""COMPUTED_VALUE"""),"")</f>
        <v/>
      </c>
      <c r="M4615" s="16" t="str">
        <f>IFERROR(__xludf.DUMMYFUNCTION("""COMPUTED_VALUE"""),"")</f>
        <v/>
      </c>
      <c r="U4615" s="16" t="s">
        <v>87</v>
      </c>
      <c r="V4615" s="16" t="str">
        <f>IFERROR(__xludf.DUMMYFUNCTION("""COMPUTED_VALUE"""),"")</f>
        <v/>
      </c>
      <c r="W4615" s="16" t="str">
        <f>IFERROR(__xludf.DUMMYFUNCTION("""COMPUTED_VALUE"""),"")</f>
        <v/>
      </c>
      <c r="X4615" s="16" t="str">
        <f>IFERROR(__xludf.DUMMYFUNCTION("""COMPUTED_VALUE"""),"")</f>
        <v/>
      </c>
      <c r="AC4615" s="16" t="str">
        <f>IFERROR(__xludf.DUMMYFUNCTION("""COMPUTED_VALUE"""),"")</f>
        <v/>
      </c>
    </row>
    <row r="4616">
      <c r="A4616" s="16" t="s">
        <v>87</v>
      </c>
      <c r="E4616" s="16" t="str">
        <f>IFERROR(__xludf.DUMMYFUNCTION("""COMPUTED_VALUE"""),"")</f>
        <v/>
      </c>
      <c r="G4616" s="18"/>
      <c r="H4616" s="16" t="s">
        <v>87</v>
      </c>
      <c r="I4616" s="16" t="s">
        <v>87</v>
      </c>
      <c r="J4616" s="19"/>
      <c r="L4616" s="16" t="str">
        <f>IFERROR(__xludf.DUMMYFUNCTION("""COMPUTED_VALUE"""),"")</f>
        <v/>
      </c>
      <c r="M4616" s="16" t="str">
        <f>IFERROR(__xludf.DUMMYFUNCTION("""COMPUTED_VALUE"""),"")</f>
        <v/>
      </c>
      <c r="U4616" s="16" t="s">
        <v>87</v>
      </c>
      <c r="V4616" s="16" t="str">
        <f>IFERROR(__xludf.DUMMYFUNCTION("""COMPUTED_VALUE"""),"")</f>
        <v/>
      </c>
      <c r="W4616" s="16" t="str">
        <f>IFERROR(__xludf.DUMMYFUNCTION("""COMPUTED_VALUE"""),"")</f>
        <v/>
      </c>
      <c r="X4616" s="16" t="str">
        <f>IFERROR(__xludf.DUMMYFUNCTION("""COMPUTED_VALUE"""),"")</f>
        <v/>
      </c>
      <c r="AC4616" s="16" t="str">
        <f>IFERROR(__xludf.DUMMYFUNCTION("""COMPUTED_VALUE"""),"")</f>
        <v/>
      </c>
    </row>
    <row r="4617">
      <c r="A4617" s="16" t="s">
        <v>87</v>
      </c>
      <c r="E4617" s="16" t="str">
        <f>IFERROR(__xludf.DUMMYFUNCTION("""COMPUTED_VALUE"""),"")</f>
        <v/>
      </c>
      <c r="G4617" s="18"/>
      <c r="H4617" s="16" t="s">
        <v>87</v>
      </c>
      <c r="I4617" s="16" t="s">
        <v>87</v>
      </c>
      <c r="J4617" s="19"/>
      <c r="L4617" s="16" t="str">
        <f>IFERROR(__xludf.DUMMYFUNCTION("""COMPUTED_VALUE"""),"")</f>
        <v/>
      </c>
      <c r="M4617" s="16" t="str">
        <f>IFERROR(__xludf.DUMMYFUNCTION("""COMPUTED_VALUE"""),"")</f>
        <v/>
      </c>
      <c r="U4617" s="16" t="s">
        <v>87</v>
      </c>
      <c r="V4617" s="16" t="str">
        <f>IFERROR(__xludf.DUMMYFUNCTION("""COMPUTED_VALUE"""),"")</f>
        <v/>
      </c>
      <c r="W4617" s="16" t="str">
        <f>IFERROR(__xludf.DUMMYFUNCTION("""COMPUTED_VALUE"""),"")</f>
        <v/>
      </c>
      <c r="X4617" s="16" t="str">
        <f>IFERROR(__xludf.DUMMYFUNCTION("""COMPUTED_VALUE"""),"")</f>
        <v/>
      </c>
      <c r="AC4617" s="16" t="str">
        <f>IFERROR(__xludf.DUMMYFUNCTION("""COMPUTED_VALUE"""),"")</f>
        <v/>
      </c>
    </row>
    <row r="4618">
      <c r="A4618" s="16" t="s">
        <v>87</v>
      </c>
      <c r="E4618" s="16" t="str">
        <f>IFERROR(__xludf.DUMMYFUNCTION("""COMPUTED_VALUE"""),"")</f>
        <v/>
      </c>
      <c r="G4618" s="18"/>
      <c r="H4618" s="16" t="s">
        <v>87</v>
      </c>
      <c r="I4618" s="16" t="s">
        <v>87</v>
      </c>
      <c r="J4618" s="19"/>
      <c r="L4618" s="16" t="str">
        <f>IFERROR(__xludf.DUMMYFUNCTION("""COMPUTED_VALUE"""),"")</f>
        <v/>
      </c>
      <c r="M4618" s="16" t="str">
        <f>IFERROR(__xludf.DUMMYFUNCTION("""COMPUTED_VALUE"""),"")</f>
        <v/>
      </c>
      <c r="U4618" s="16" t="s">
        <v>87</v>
      </c>
      <c r="V4618" s="16" t="str">
        <f>IFERROR(__xludf.DUMMYFUNCTION("""COMPUTED_VALUE"""),"")</f>
        <v/>
      </c>
      <c r="W4618" s="16" t="str">
        <f>IFERROR(__xludf.DUMMYFUNCTION("""COMPUTED_VALUE"""),"")</f>
        <v/>
      </c>
      <c r="X4618" s="16" t="str">
        <f>IFERROR(__xludf.DUMMYFUNCTION("""COMPUTED_VALUE"""),"")</f>
        <v/>
      </c>
      <c r="AC4618" s="16" t="str">
        <f>IFERROR(__xludf.DUMMYFUNCTION("""COMPUTED_VALUE"""),"")</f>
        <v/>
      </c>
    </row>
    <row r="4619">
      <c r="A4619" s="16" t="s">
        <v>87</v>
      </c>
      <c r="E4619" s="16" t="str">
        <f>IFERROR(__xludf.DUMMYFUNCTION("""COMPUTED_VALUE"""),"")</f>
        <v/>
      </c>
      <c r="G4619" s="18"/>
      <c r="H4619" s="16" t="s">
        <v>87</v>
      </c>
      <c r="I4619" s="16" t="s">
        <v>87</v>
      </c>
      <c r="J4619" s="19"/>
      <c r="L4619" s="16" t="str">
        <f>IFERROR(__xludf.DUMMYFUNCTION("""COMPUTED_VALUE"""),"")</f>
        <v/>
      </c>
      <c r="M4619" s="16" t="str">
        <f>IFERROR(__xludf.DUMMYFUNCTION("""COMPUTED_VALUE"""),"")</f>
        <v/>
      </c>
      <c r="U4619" s="16" t="s">
        <v>87</v>
      </c>
      <c r="V4619" s="16" t="str">
        <f>IFERROR(__xludf.DUMMYFUNCTION("""COMPUTED_VALUE"""),"")</f>
        <v/>
      </c>
      <c r="W4619" s="16" t="str">
        <f>IFERROR(__xludf.DUMMYFUNCTION("""COMPUTED_VALUE"""),"")</f>
        <v/>
      </c>
      <c r="X4619" s="16" t="str">
        <f>IFERROR(__xludf.DUMMYFUNCTION("""COMPUTED_VALUE"""),"")</f>
        <v/>
      </c>
      <c r="AC4619" s="16" t="str">
        <f>IFERROR(__xludf.DUMMYFUNCTION("""COMPUTED_VALUE"""),"")</f>
        <v/>
      </c>
    </row>
    <row r="4620">
      <c r="A4620" s="16" t="s">
        <v>87</v>
      </c>
      <c r="E4620" s="16" t="str">
        <f>IFERROR(__xludf.DUMMYFUNCTION("""COMPUTED_VALUE"""),"")</f>
        <v/>
      </c>
      <c r="G4620" s="18"/>
      <c r="H4620" s="16" t="s">
        <v>87</v>
      </c>
      <c r="I4620" s="16" t="s">
        <v>87</v>
      </c>
      <c r="J4620" s="19"/>
      <c r="L4620" s="16" t="str">
        <f>IFERROR(__xludf.DUMMYFUNCTION("""COMPUTED_VALUE"""),"")</f>
        <v/>
      </c>
      <c r="M4620" s="16" t="str">
        <f>IFERROR(__xludf.DUMMYFUNCTION("""COMPUTED_VALUE"""),"")</f>
        <v/>
      </c>
      <c r="U4620" s="16" t="s">
        <v>87</v>
      </c>
      <c r="V4620" s="16" t="str">
        <f>IFERROR(__xludf.DUMMYFUNCTION("""COMPUTED_VALUE"""),"")</f>
        <v/>
      </c>
      <c r="W4620" s="16" t="str">
        <f>IFERROR(__xludf.DUMMYFUNCTION("""COMPUTED_VALUE"""),"")</f>
        <v/>
      </c>
      <c r="X4620" s="16" t="str">
        <f>IFERROR(__xludf.DUMMYFUNCTION("""COMPUTED_VALUE"""),"")</f>
        <v/>
      </c>
      <c r="AC4620" s="16" t="str">
        <f>IFERROR(__xludf.DUMMYFUNCTION("""COMPUTED_VALUE"""),"")</f>
        <v/>
      </c>
    </row>
    <row r="4621">
      <c r="A4621" s="16" t="s">
        <v>87</v>
      </c>
      <c r="E4621" s="16" t="str">
        <f>IFERROR(__xludf.DUMMYFUNCTION("""COMPUTED_VALUE"""),"")</f>
        <v/>
      </c>
      <c r="G4621" s="18"/>
      <c r="H4621" s="16" t="s">
        <v>87</v>
      </c>
      <c r="I4621" s="16" t="s">
        <v>87</v>
      </c>
      <c r="J4621" s="19"/>
      <c r="L4621" s="16" t="str">
        <f>IFERROR(__xludf.DUMMYFUNCTION("""COMPUTED_VALUE"""),"")</f>
        <v/>
      </c>
      <c r="M4621" s="16" t="str">
        <f>IFERROR(__xludf.DUMMYFUNCTION("""COMPUTED_VALUE"""),"")</f>
        <v/>
      </c>
      <c r="U4621" s="16" t="s">
        <v>87</v>
      </c>
      <c r="V4621" s="16" t="str">
        <f>IFERROR(__xludf.DUMMYFUNCTION("""COMPUTED_VALUE"""),"")</f>
        <v/>
      </c>
      <c r="W4621" s="16" t="str">
        <f>IFERROR(__xludf.DUMMYFUNCTION("""COMPUTED_VALUE"""),"")</f>
        <v/>
      </c>
      <c r="X4621" s="16" t="str">
        <f>IFERROR(__xludf.DUMMYFUNCTION("""COMPUTED_VALUE"""),"")</f>
        <v/>
      </c>
      <c r="AC4621" s="16" t="str">
        <f>IFERROR(__xludf.DUMMYFUNCTION("""COMPUTED_VALUE"""),"")</f>
        <v/>
      </c>
    </row>
    <row r="4622">
      <c r="A4622" s="16" t="s">
        <v>87</v>
      </c>
      <c r="E4622" s="16" t="str">
        <f>IFERROR(__xludf.DUMMYFUNCTION("""COMPUTED_VALUE"""),"")</f>
        <v/>
      </c>
      <c r="G4622" s="18"/>
      <c r="H4622" s="16" t="s">
        <v>87</v>
      </c>
      <c r="I4622" s="16" t="s">
        <v>87</v>
      </c>
      <c r="J4622" s="19"/>
      <c r="L4622" s="16" t="str">
        <f>IFERROR(__xludf.DUMMYFUNCTION("""COMPUTED_VALUE"""),"")</f>
        <v/>
      </c>
      <c r="M4622" s="16" t="str">
        <f>IFERROR(__xludf.DUMMYFUNCTION("""COMPUTED_VALUE"""),"")</f>
        <v/>
      </c>
      <c r="U4622" s="16" t="s">
        <v>87</v>
      </c>
      <c r="V4622" s="16" t="str">
        <f>IFERROR(__xludf.DUMMYFUNCTION("""COMPUTED_VALUE"""),"")</f>
        <v/>
      </c>
      <c r="W4622" s="16" t="str">
        <f>IFERROR(__xludf.DUMMYFUNCTION("""COMPUTED_VALUE"""),"")</f>
        <v/>
      </c>
      <c r="X4622" s="16" t="str">
        <f>IFERROR(__xludf.DUMMYFUNCTION("""COMPUTED_VALUE"""),"")</f>
        <v/>
      </c>
      <c r="AC4622" s="16" t="str">
        <f>IFERROR(__xludf.DUMMYFUNCTION("""COMPUTED_VALUE"""),"")</f>
        <v/>
      </c>
    </row>
    <row r="4623">
      <c r="A4623" s="16" t="s">
        <v>87</v>
      </c>
      <c r="E4623" s="16" t="str">
        <f>IFERROR(__xludf.DUMMYFUNCTION("""COMPUTED_VALUE"""),"")</f>
        <v/>
      </c>
      <c r="G4623" s="18"/>
      <c r="H4623" s="16" t="s">
        <v>87</v>
      </c>
      <c r="I4623" s="16" t="s">
        <v>87</v>
      </c>
      <c r="J4623" s="19"/>
      <c r="L4623" s="16" t="str">
        <f>IFERROR(__xludf.DUMMYFUNCTION("""COMPUTED_VALUE"""),"")</f>
        <v/>
      </c>
      <c r="M4623" s="16" t="str">
        <f>IFERROR(__xludf.DUMMYFUNCTION("""COMPUTED_VALUE"""),"")</f>
        <v/>
      </c>
      <c r="U4623" s="16" t="s">
        <v>87</v>
      </c>
      <c r="V4623" s="16" t="str">
        <f>IFERROR(__xludf.DUMMYFUNCTION("""COMPUTED_VALUE"""),"")</f>
        <v/>
      </c>
      <c r="W4623" s="16" t="str">
        <f>IFERROR(__xludf.DUMMYFUNCTION("""COMPUTED_VALUE"""),"")</f>
        <v/>
      </c>
      <c r="X4623" s="16" t="str">
        <f>IFERROR(__xludf.DUMMYFUNCTION("""COMPUTED_VALUE"""),"")</f>
        <v/>
      </c>
      <c r="AC4623" s="16" t="str">
        <f>IFERROR(__xludf.DUMMYFUNCTION("""COMPUTED_VALUE"""),"")</f>
        <v/>
      </c>
    </row>
    <row r="4624">
      <c r="A4624" s="16" t="s">
        <v>87</v>
      </c>
      <c r="E4624" s="16" t="str">
        <f>IFERROR(__xludf.DUMMYFUNCTION("""COMPUTED_VALUE"""),"")</f>
        <v/>
      </c>
      <c r="G4624" s="18"/>
      <c r="H4624" s="16" t="s">
        <v>87</v>
      </c>
      <c r="I4624" s="16" t="s">
        <v>87</v>
      </c>
      <c r="J4624" s="19"/>
      <c r="L4624" s="16" t="str">
        <f>IFERROR(__xludf.DUMMYFUNCTION("""COMPUTED_VALUE"""),"")</f>
        <v/>
      </c>
      <c r="M4624" s="16" t="str">
        <f>IFERROR(__xludf.DUMMYFUNCTION("""COMPUTED_VALUE"""),"")</f>
        <v/>
      </c>
      <c r="U4624" s="16" t="s">
        <v>87</v>
      </c>
      <c r="V4624" s="16" t="str">
        <f>IFERROR(__xludf.DUMMYFUNCTION("""COMPUTED_VALUE"""),"")</f>
        <v/>
      </c>
      <c r="W4624" s="16" t="str">
        <f>IFERROR(__xludf.DUMMYFUNCTION("""COMPUTED_VALUE"""),"")</f>
        <v/>
      </c>
      <c r="X4624" s="16" t="str">
        <f>IFERROR(__xludf.DUMMYFUNCTION("""COMPUTED_VALUE"""),"")</f>
        <v/>
      </c>
      <c r="AC4624" s="16" t="str">
        <f>IFERROR(__xludf.DUMMYFUNCTION("""COMPUTED_VALUE"""),"")</f>
        <v/>
      </c>
    </row>
    <row r="4625">
      <c r="A4625" s="16" t="s">
        <v>87</v>
      </c>
      <c r="E4625" s="16" t="str">
        <f>IFERROR(__xludf.DUMMYFUNCTION("""COMPUTED_VALUE"""),"")</f>
        <v/>
      </c>
      <c r="G4625" s="18"/>
      <c r="H4625" s="16" t="s">
        <v>87</v>
      </c>
      <c r="I4625" s="16" t="s">
        <v>87</v>
      </c>
      <c r="J4625" s="19"/>
      <c r="L4625" s="16" t="str">
        <f>IFERROR(__xludf.DUMMYFUNCTION("""COMPUTED_VALUE"""),"")</f>
        <v/>
      </c>
      <c r="M4625" s="16" t="str">
        <f>IFERROR(__xludf.DUMMYFUNCTION("""COMPUTED_VALUE"""),"")</f>
        <v/>
      </c>
      <c r="U4625" s="16" t="s">
        <v>87</v>
      </c>
      <c r="V4625" s="16" t="str">
        <f>IFERROR(__xludf.DUMMYFUNCTION("""COMPUTED_VALUE"""),"")</f>
        <v/>
      </c>
      <c r="W4625" s="16" t="str">
        <f>IFERROR(__xludf.DUMMYFUNCTION("""COMPUTED_VALUE"""),"")</f>
        <v/>
      </c>
      <c r="X4625" s="16" t="str">
        <f>IFERROR(__xludf.DUMMYFUNCTION("""COMPUTED_VALUE"""),"")</f>
        <v/>
      </c>
      <c r="AC4625" s="16" t="str">
        <f>IFERROR(__xludf.DUMMYFUNCTION("""COMPUTED_VALUE"""),"")</f>
        <v/>
      </c>
    </row>
    <row r="4626">
      <c r="A4626" s="16" t="s">
        <v>87</v>
      </c>
      <c r="E4626" s="16" t="str">
        <f>IFERROR(__xludf.DUMMYFUNCTION("""COMPUTED_VALUE"""),"")</f>
        <v/>
      </c>
      <c r="G4626" s="18"/>
      <c r="H4626" s="16" t="s">
        <v>87</v>
      </c>
      <c r="I4626" s="16" t="s">
        <v>87</v>
      </c>
      <c r="J4626" s="19"/>
      <c r="L4626" s="16" t="str">
        <f>IFERROR(__xludf.DUMMYFUNCTION("""COMPUTED_VALUE"""),"")</f>
        <v/>
      </c>
      <c r="M4626" s="16" t="str">
        <f>IFERROR(__xludf.DUMMYFUNCTION("""COMPUTED_VALUE"""),"")</f>
        <v/>
      </c>
      <c r="U4626" s="16" t="s">
        <v>87</v>
      </c>
      <c r="V4626" s="16" t="str">
        <f>IFERROR(__xludf.DUMMYFUNCTION("""COMPUTED_VALUE"""),"")</f>
        <v/>
      </c>
      <c r="W4626" s="16" t="str">
        <f>IFERROR(__xludf.DUMMYFUNCTION("""COMPUTED_VALUE"""),"")</f>
        <v/>
      </c>
      <c r="X4626" s="16" t="str">
        <f>IFERROR(__xludf.DUMMYFUNCTION("""COMPUTED_VALUE"""),"")</f>
        <v/>
      </c>
      <c r="AC4626" s="16" t="str">
        <f>IFERROR(__xludf.DUMMYFUNCTION("""COMPUTED_VALUE"""),"")</f>
        <v/>
      </c>
    </row>
    <row r="4627">
      <c r="A4627" s="16" t="s">
        <v>87</v>
      </c>
      <c r="E4627" s="16" t="str">
        <f>IFERROR(__xludf.DUMMYFUNCTION("""COMPUTED_VALUE"""),"")</f>
        <v/>
      </c>
      <c r="G4627" s="18"/>
      <c r="H4627" s="16" t="s">
        <v>87</v>
      </c>
      <c r="I4627" s="16" t="s">
        <v>87</v>
      </c>
      <c r="J4627" s="19"/>
      <c r="L4627" s="16" t="str">
        <f>IFERROR(__xludf.DUMMYFUNCTION("""COMPUTED_VALUE"""),"")</f>
        <v/>
      </c>
      <c r="M4627" s="16" t="str">
        <f>IFERROR(__xludf.DUMMYFUNCTION("""COMPUTED_VALUE"""),"")</f>
        <v/>
      </c>
      <c r="U4627" s="16" t="s">
        <v>87</v>
      </c>
      <c r="V4627" s="16" t="str">
        <f>IFERROR(__xludf.DUMMYFUNCTION("""COMPUTED_VALUE"""),"")</f>
        <v/>
      </c>
      <c r="W4627" s="16" t="str">
        <f>IFERROR(__xludf.DUMMYFUNCTION("""COMPUTED_VALUE"""),"")</f>
        <v/>
      </c>
      <c r="X4627" s="16" t="str">
        <f>IFERROR(__xludf.DUMMYFUNCTION("""COMPUTED_VALUE"""),"")</f>
        <v/>
      </c>
      <c r="AC4627" s="16" t="str">
        <f>IFERROR(__xludf.DUMMYFUNCTION("""COMPUTED_VALUE"""),"")</f>
        <v/>
      </c>
    </row>
    <row r="4628">
      <c r="A4628" s="16" t="s">
        <v>87</v>
      </c>
      <c r="E4628" s="16" t="str">
        <f>IFERROR(__xludf.DUMMYFUNCTION("""COMPUTED_VALUE"""),"")</f>
        <v/>
      </c>
      <c r="G4628" s="18"/>
      <c r="H4628" s="16" t="s">
        <v>87</v>
      </c>
      <c r="I4628" s="16" t="s">
        <v>87</v>
      </c>
      <c r="J4628" s="19"/>
      <c r="L4628" s="16" t="str">
        <f>IFERROR(__xludf.DUMMYFUNCTION("""COMPUTED_VALUE"""),"")</f>
        <v/>
      </c>
      <c r="M4628" s="16" t="str">
        <f>IFERROR(__xludf.DUMMYFUNCTION("""COMPUTED_VALUE"""),"")</f>
        <v/>
      </c>
      <c r="U4628" s="16" t="s">
        <v>87</v>
      </c>
      <c r="V4628" s="16" t="str">
        <f>IFERROR(__xludf.DUMMYFUNCTION("""COMPUTED_VALUE"""),"")</f>
        <v/>
      </c>
      <c r="W4628" s="16" t="str">
        <f>IFERROR(__xludf.DUMMYFUNCTION("""COMPUTED_VALUE"""),"")</f>
        <v/>
      </c>
      <c r="X4628" s="16" t="str">
        <f>IFERROR(__xludf.DUMMYFUNCTION("""COMPUTED_VALUE"""),"")</f>
        <v/>
      </c>
      <c r="AC4628" s="16" t="str">
        <f>IFERROR(__xludf.DUMMYFUNCTION("""COMPUTED_VALUE"""),"")</f>
        <v/>
      </c>
    </row>
    <row r="4629">
      <c r="A4629" s="16" t="s">
        <v>87</v>
      </c>
      <c r="E4629" s="16" t="str">
        <f>IFERROR(__xludf.DUMMYFUNCTION("""COMPUTED_VALUE"""),"")</f>
        <v/>
      </c>
      <c r="G4629" s="18"/>
      <c r="H4629" s="16" t="s">
        <v>87</v>
      </c>
      <c r="I4629" s="16" t="s">
        <v>87</v>
      </c>
      <c r="J4629" s="19"/>
      <c r="L4629" s="16" t="str">
        <f>IFERROR(__xludf.DUMMYFUNCTION("""COMPUTED_VALUE"""),"")</f>
        <v/>
      </c>
      <c r="M4629" s="16" t="str">
        <f>IFERROR(__xludf.DUMMYFUNCTION("""COMPUTED_VALUE"""),"")</f>
        <v/>
      </c>
      <c r="U4629" s="16" t="s">
        <v>87</v>
      </c>
      <c r="V4629" s="16" t="str">
        <f>IFERROR(__xludf.DUMMYFUNCTION("""COMPUTED_VALUE"""),"")</f>
        <v/>
      </c>
      <c r="W4629" s="16" t="str">
        <f>IFERROR(__xludf.DUMMYFUNCTION("""COMPUTED_VALUE"""),"")</f>
        <v/>
      </c>
      <c r="X4629" s="16" t="str">
        <f>IFERROR(__xludf.DUMMYFUNCTION("""COMPUTED_VALUE"""),"")</f>
        <v/>
      </c>
      <c r="AC4629" s="16" t="str">
        <f>IFERROR(__xludf.DUMMYFUNCTION("""COMPUTED_VALUE"""),"")</f>
        <v/>
      </c>
    </row>
    <row r="4630">
      <c r="A4630" s="16" t="s">
        <v>87</v>
      </c>
      <c r="E4630" s="16" t="str">
        <f>IFERROR(__xludf.DUMMYFUNCTION("""COMPUTED_VALUE"""),"")</f>
        <v/>
      </c>
      <c r="G4630" s="18"/>
      <c r="H4630" s="16" t="s">
        <v>87</v>
      </c>
      <c r="I4630" s="16" t="s">
        <v>87</v>
      </c>
      <c r="J4630" s="19"/>
      <c r="L4630" s="16" t="str">
        <f>IFERROR(__xludf.DUMMYFUNCTION("""COMPUTED_VALUE"""),"")</f>
        <v/>
      </c>
      <c r="M4630" s="16" t="str">
        <f>IFERROR(__xludf.DUMMYFUNCTION("""COMPUTED_VALUE"""),"")</f>
        <v/>
      </c>
      <c r="U4630" s="16" t="s">
        <v>87</v>
      </c>
      <c r="V4630" s="16" t="str">
        <f>IFERROR(__xludf.DUMMYFUNCTION("""COMPUTED_VALUE"""),"")</f>
        <v/>
      </c>
      <c r="W4630" s="16" t="str">
        <f>IFERROR(__xludf.DUMMYFUNCTION("""COMPUTED_VALUE"""),"")</f>
        <v/>
      </c>
      <c r="X4630" s="16" t="str">
        <f>IFERROR(__xludf.DUMMYFUNCTION("""COMPUTED_VALUE"""),"")</f>
        <v/>
      </c>
      <c r="AC4630" s="16" t="str">
        <f>IFERROR(__xludf.DUMMYFUNCTION("""COMPUTED_VALUE"""),"")</f>
        <v/>
      </c>
    </row>
    <row r="4631">
      <c r="A4631" s="16" t="s">
        <v>87</v>
      </c>
      <c r="E4631" s="16" t="str">
        <f>IFERROR(__xludf.DUMMYFUNCTION("""COMPUTED_VALUE"""),"")</f>
        <v/>
      </c>
      <c r="G4631" s="18"/>
      <c r="H4631" s="16" t="s">
        <v>87</v>
      </c>
      <c r="I4631" s="16" t="s">
        <v>87</v>
      </c>
      <c r="J4631" s="19"/>
      <c r="L4631" s="16" t="str">
        <f>IFERROR(__xludf.DUMMYFUNCTION("""COMPUTED_VALUE"""),"")</f>
        <v/>
      </c>
      <c r="M4631" s="16" t="str">
        <f>IFERROR(__xludf.DUMMYFUNCTION("""COMPUTED_VALUE"""),"")</f>
        <v/>
      </c>
      <c r="U4631" s="16" t="s">
        <v>87</v>
      </c>
      <c r="V4631" s="16" t="str">
        <f>IFERROR(__xludf.DUMMYFUNCTION("""COMPUTED_VALUE"""),"")</f>
        <v/>
      </c>
      <c r="W4631" s="16" t="str">
        <f>IFERROR(__xludf.DUMMYFUNCTION("""COMPUTED_VALUE"""),"")</f>
        <v/>
      </c>
      <c r="X4631" s="16" t="str">
        <f>IFERROR(__xludf.DUMMYFUNCTION("""COMPUTED_VALUE"""),"")</f>
        <v/>
      </c>
      <c r="AC4631" s="16" t="str">
        <f>IFERROR(__xludf.DUMMYFUNCTION("""COMPUTED_VALUE"""),"")</f>
        <v/>
      </c>
    </row>
    <row r="4632">
      <c r="A4632" s="16" t="s">
        <v>87</v>
      </c>
      <c r="E4632" s="16" t="str">
        <f>IFERROR(__xludf.DUMMYFUNCTION("""COMPUTED_VALUE"""),"")</f>
        <v/>
      </c>
      <c r="G4632" s="18"/>
      <c r="H4632" s="16" t="s">
        <v>87</v>
      </c>
      <c r="I4632" s="16" t="s">
        <v>87</v>
      </c>
      <c r="J4632" s="19"/>
      <c r="L4632" s="16" t="str">
        <f>IFERROR(__xludf.DUMMYFUNCTION("""COMPUTED_VALUE"""),"")</f>
        <v/>
      </c>
      <c r="M4632" s="16" t="str">
        <f>IFERROR(__xludf.DUMMYFUNCTION("""COMPUTED_VALUE"""),"")</f>
        <v/>
      </c>
      <c r="U4632" s="16" t="s">
        <v>87</v>
      </c>
      <c r="V4632" s="16" t="str">
        <f>IFERROR(__xludf.DUMMYFUNCTION("""COMPUTED_VALUE"""),"")</f>
        <v/>
      </c>
      <c r="W4632" s="16" t="str">
        <f>IFERROR(__xludf.DUMMYFUNCTION("""COMPUTED_VALUE"""),"")</f>
        <v/>
      </c>
      <c r="X4632" s="16" t="str">
        <f>IFERROR(__xludf.DUMMYFUNCTION("""COMPUTED_VALUE"""),"")</f>
        <v/>
      </c>
      <c r="AC4632" s="16" t="str">
        <f>IFERROR(__xludf.DUMMYFUNCTION("""COMPUTED_VALUE"""),"")</f>
        <v/>
      </c>
    </row>
    <row r="4633">
      <c r="A4633" s="16" t="s">
        <v>87</v>
      </c>
      <c r="E4633" s="16" t="str">
        <f>IFERROR(__xludf.DUMMYFUNCTION("""COMPUTED_VALUE"""),"")</f>
        <v/>
      </c>
      <c r="G4633" s="18"/>
      <c r="H4633" s="16" t="s">
        <v>87</v>
      </c>
      <c r="I4633" s="16" t="s">
        <v>87</v>
      </c>
      <c r="J4633" s="19"/>
      <c r="L4633" s="16" t="str">
        <f>IFERROR(__xludf.DUMMYFUNCTION("""COMPUTED_VALUE"""),"")</f>
        <v/>
      </c>
      <c r="M4633" s="16" t="str">
        <f>IFERROR(__xludf.DUMMYFUNCTION("""COMPUTED_VALUE"""),"")</f>
        <v/>
      </c>
      <c r="U4633" s="16" t="s">
        <v>87</v>
      </c>
      <c r="V4633" s="16" t="str">
        <f>IFERROR(__xludf.DUMMYFUNCTION("""COMPUTED_VALUE"""),"")</f>
        <v/>
      </c>
      <c r="W4633" s="16" t="str">
        <f>IFERROR(__xludf.DUMMYFUNCTION("""COMPUTED_VALUE"""),"")</f>
        <v/>
      </c>
      <c r="X4633" s="16" t="str">
        <f>IFERROR(__xludf.DUMMYFUNCTION("""COMPUTED_VALUE"""),"")</f>
        <v/>
      </c>
      <c r="AC4633" s="16" t="str">
        <f>IFERROR(__xludf.DUMMYFUNCTION("""COMPUTED_VALUE"""),"")</f>
        <v/>
      </c>
    </row>
    <row r="4634">
      <c r="A4634" s="16" t="s">
        <v>87</v>
      </c>
      <c r="E4634" s="16" t="str">
        <f>IFERROR(__xludf.DUMMYFUNCTION("""COMPUTED_VALUE"""),"")</f>
        <v/>
      </c>
      <c r="G4634" s="18"/>
      <c r="H4634" s="16" t="s">
        <v>87</v>
      </c>
      <c r="I4634" s="16" t="s">
        <v>87</v>
      </c>
      <c r="J4634" s="19"/>
      <c r="L4634" s="16" t="str">
        <f>IFERROR(__xludf.DUMMYFUNCTION("""COMPUTED_VALUE"""),"")</f>
        <v/>
      </c>
      <c r="M4634" s="16" t="str">
        <f>IFERROR(__xludf.DUMMYFUNCTION("""COMPUTED_VALUE"""),"")</f>
        <v/>
      </c>
      <c r="U4634" s="16" t="s">
        <v>87</v>
      </c>
      <c r="V4634" s="16" t="str">
        <f>IFERROR(__xludf.DUMMYFUNCTION("""COMPUTED_VALUE"""),"")</f>
        <v/>
      </c>
      <c r="W4634" s="16" t="str">
        <f>IFERROR(__xludf.DUMMYFUNCTION("""COMPUTED_VALUE"""),"")</f>
        <v/>
      </c>
      <c r="X4634" s="16" t="str">
        <f>IFERROR(__xludf.DUMMYFUNCTION("""COMPUTED_VALUE"""),"")</f>
        <v/>
      </c>
      <c r="AC4634" s="16" t="str">
        <f>IFERROR(__xludf.DUMMYFUNCTION("""COMPUTED_VALUE"""),"")</f>
        <v/>
      </c>
    </row>
    <row r="4635">
      <c r="A4635" s="16" t="s">
        <v>87</v>
      </c>
      <c r="E4635" s="16" t="str">
        <f>IFERROR(__xludf.DUMMYFUNCTION("""COMPUTED_VALUE"""),"")</f>
        <v/>
      </c>
      <c r="G4635" s="18"/>
      <c r="H4635" s="16" t="s">
        <v>87</v>
      </c>
      <c r="I4635" s="16" t="s">
        <v>87</v>
      </c>
      <c r="J4635" s="19"/>
      <c r="L4635" s="16" t="str">
        <f>IFERROR(__xludf.DUMMYFUNCTION("""COMPUTED_VALUE"""),"")</f>
        <v/>
      </c>
      <c r="M4635" s="16" t="str">
        <f>IFERROR(__xludf.DUMMYFUNCTION("""COMPUTED_VALUE"""),"")</f>
        <v/>
      </c>
      <c r="U4635" s="16" t="s">
        <v>87</v>
      </c>
      <c r="V4635" s="16" t="str">
        <f>IFERROR(__xludf.DUMMYFUNCTION("""COMPUTED_VALUE"""),"")</f>
        <v/>
      </c>
      <c r="W4635" s="16" t="str">
        <f>IFERROR(__xludf.DUMMYFUNCTION("""COMPUTED_VALUE"""),"")</f>
        <v/>
      </c>
      <c r="X4635" s="16" t="str">
        <f>IFERROR(__xludf.DUMMYFUNCTION("""COMPUTED_VALUE"""),"")</f>
        <v/>
      </c>
      <c r="AC4635" s="16" t="str">
        <f>IFERROR(__xludf.DUMMYFUNCTION("""COMPUTED_VALUE"""),"")</f>
        <v/>
      </c>
    </row>
    <row r="4636">
      <c r="A4636" s="16" t="s">
        <v>87</v>
      </c>
      <c r="E4636" s="16" t="str">
        <f>IFERROR(__xludf.DUMMYFUNCTION("""COMPUTED_VALUE"""),"")</f>
        <v/>
      </c>
      <c r="G4636" s="18"/>
      <c r="H4636" s="16" t="s">
        <v>87</v>
      </c>
      <c r="I4636" s="16" t="s">
        <v>87</v>
      </c>
      <c r="J4636" s="19"/>
      <c r="L4636" s="16" t="str">
        <f>IFERROR(__xludf.DUMMYFUNCTION("""COMPUTED_VALUE"""),"")</f>
        <v/>
      </c>
      <c r="M4636" s="16" t="str">
        <f>IFERROR(__xludf.DUMMYFUNCTION("""COMPUTED_VALUE"""),"")</f>
        <v/>
      </c>
      <c r="U4636" s="16" t="s">
        <v>87</v>
      </c>
      <c r="V4636" s="16" t="str">
        <f>IFERROR(__xludf.DUMMYFUNCTION("""COMPUTED_VALUE"""),"")</f>
        <v/>
      </c>
      <c r="W4636" s="16" t="str">
        <f>IFERROR(__xludf.DUMMYFUNCTION("""COMPUTED_VALUE"""),"")</f>
        <v/>
      </c>
      <c r="X4636" s="16" t="str">
        <f>IFERROR(__xludf.DUMMYFUNCTION("""COMPUTED_VALUE"""),"")</f>
        <v/>
      </c>
      <c r="AC4636" s="16" t="str">
        <f>IFERROR(__xludf.DUMMYFUNCTION("""COMPUTED_VALUE"""),"")</f>
        <v/>
      </c>
    </row>
    <row r="4637">
      <c r="A4637" s="16" t="s">
        <v>87</v>
      </c>
      <c r="E4637" s="16" t="str">
        <f>IFERROR(__xludf.DUMMYFUNCTION("""COMPUTED_VALUE"""),"")</f>
        <v/>
      </c>
      <c r="G4637" s="18"/>
      <c r="H4637" s="16" t="s">
        <v>87</v>
      </c>
      <c r="I4637" s="16" t="s">
        <v>87</v>
      </c>
      <c r="J4637" s="19"/>
      <c r="L4637" s="16" t="str">
        <f>IFERROR(__xludf.DUMMYFUNCTION("""COMPUTED_VALUE"""),"")</f>
        <v/>
      </c>
      <c r="M4637" s="16" t="str">
        <f>IFERROR(__xludf.DUMMYFUNCTION("""COMPUTED_VALUE"""),"")</f>
        <v/>
      </c>
      <c r="U4637" s="16" t="s">
        <v>87</v>
      </c>
      <c r="V4637" s="16" t="str">
        <f>IFERROR(__xludf.DUMMYFUNCTION("""COMPUTED_VALUE"""),"")</f>
        <v/>
      </c>
      <c r="W4637" s="16" t="str">
        <f>IFERROR(__xludf.DUMMYFUNCTION("""COMPUTED_VALUE"""),"")</f>
        <v/>
      </c>
      <c r="X4637" s="16" t="str">
        <f>IFERROR(__xludf.DUMMYFUNCTION("""COMPUTED_VALUE"""),"")</f>
        <v/>
      </c>
      <c r="AC4637" s="16" t="str">
        <f>IFERROR(__xludf.DUMMYFUNCTION("""COMPUTED_VALUE"""),"")</f>
        <v/>
      </c>
    </row>
    <row r="4638">
      <c r="A4638" s="16" t="s">
        <v>87</v>
      </c>
      <c r="E4638" s="16" t="str">
        <f>IFERROR(__xludf.DUMMYFUNCTION("""COMPUTED_VALUE"""),"")</f>
        <v/>
      </c>
      <c r="G4638" s="18"/>
      <c r="H4638" s="16" t="s">
        <v>87</v>
      </c>
      <c r="I4638" s="16" t="s">
        <v>87</v>
      </c>
      <c r="J4638" s="19"/>
      <c r="L4638" s="16" t="str">
        <f>IFERROR(__xludf.DUMMYFUNCTION("""COMPUTED_VALUE"""),"")</f>
        <v/>
      </c>
      <c r="M4638" s="16" t="str">
        <f>IFERROR(__xludf.DUMMYFUNCTION("""COMPUTED_VALUE"""),"")</f>
        <v/>
      </c>
      <c r="U4638" s="16" t="s">
        <v>87</v>
      </c>
      <c r="V4638" s="16" t="str">
        <f>IFERROR(__xludf.DUMMYFUNCTION("""COMPUTED_VALUE"""),"")</f>
        <v/>
      </c>
      <c r="W4638" s="16" t="str">
        <f>IFERROR(__xludf.DUMMYFUNCTION("""COMPUTED_VALUE"""),"")</f>
        <v/>
      </c>
      <c r="X4638" s="16" t="str">
        <f>IFERROR(__xludf.DUMMYFUNCTION("""COMPUTED_VALUE"""),"")</f>
        <v/>
      </c>
      <c r="AC4638" s="16" t="str">
        <f>IFERROR(__xludf.DUMMYFUNCTION("""COMPUTED_VALUE"""),"")</f>
        <v/>
      </c>
    </row>
    <row r="4639">
      <c r="A4639" s="16" t="s">
        <v>87</v>
      </c>
      <c r="E4639" s="16" t="str">
        <f>IFERROR(__xludf.DUMMYFUNCTION("""COMPUTED_VALUE"""),"")</f>
        <v/>
      </c>
      <c r="G4639" s="18"/>
      <c r="H4639" s="16" t="s">
        <v>87</v>
      </c>
      <c r="I4639" s="16" t="s">
        <v>87</v>
      </c>
      <c r="J4639" s="19"/>
      <c r="L4639" s="16" t="str">
        <f>IFERROR(__xludf.DUMMYFUNCTION("""COMPUTED_VALUE"""),"")</f>
        <v/>
      </c>
      <c r="M4639" s="16" t="str">
        <f>IFERROR(__xludf.DUMMYFUNCTION("""COMPUTED_VALUE"""),"")</f>
        <v/>
      </c>
      <c r="U4639" s="16" t="s">
        <v>87</v>
      </c>
      <c r="V4639" s="16" t="str">
        <f>IFERROR(__xludf.DUMMYFUNCTION("""COMPUTED_VALUE"""),"")</f>
        <v/>
      </c>
      <c r="W4639" s="16" t="str">
        <f>IFERROR(__xludf.DUMMYFUNCTION("""COMPUTED_VALUE"""),"")</f>
        <v/>
      </c>
      <c r="X4639" s="16" t="str">
        <f>IFERROR(__xludf.DUMMYFUNCTION("""COMPUTED_VALUE"""),"")</f>
        <v/>
      </c>
      <c r="AC4639" s="16" t="str">
        <f>IFERROR(__xludf.DUMMYFUNCTION("""COMPUTED_VALUE"""),"")</f>
        <v/>
      </c>
    </row>
    <row r="4640">
      <c r="A4640" s="16" t="s">
        <v>87</v>
      </c>
      <c r="E4640" s="16" t="str">
        <f>IFERROR(__xludf.DUMMYFUNCTION("""COMPUTED_VALUE"""),"")</f>
        <v/>
      </c>
      <c r="G4640" s="18"/>
      <c r="H4640" s="16" t="s">
        <v>87</v>
      </c>
      <c r="I4640" s="16" t="s">
        <v>87</v>
      </c>
      <c r="J4640" s="19"/>
      <c r="L4640" s="16" t="str">
        <f>IFERROR(__xludf.DUMMYFUNCTION("""COMPUTED_VALUE"""),"")</f>
        <v/>
      </c>
      <c r="M4640" s="16" t="str">
        <f>IFERROR(__xludf.DUMMYFUNCTION("""COMPUTED_VALUE"""),"")</f>
        <v/>
      </c>
      <c r="U4640" s="16" t="s">
        <v>87</v>
      </c>
      <c r="V4640" s="16" t="str">
        <f>IFERROR(__xludf.DUMMYFUNCTION("""COMPUTED_VALUE"""),"")</f>
        <v/>
      </c>
      <c r="W4640" s="16" t="str">
        <f>IFERROR(__xludf.DUMMYFUNCTION("""COMPUTED_VALUE"""),"")</f>
        <v/>
      </c>
      <c r="X4640" s="16" t="str">
        <f>IFERROR(__xludf.DUMMYFUNCTION("""COMPUTED_VALUE"""),"")</f>
        <v/>
      </c>
      <c r="AC4640" s="16" t="str">
        <f>IFERROR(__xludf.DUMMYFUNCTION("""COMPUTED_VALUE"""),"")</f>
        <v/>
      </c>
    </row>
    <row r="4641">
      <c r="A4641" s="16" t="s">
        <v>87</v>
      </c>
      <c r="E4641" s="16" t="str">
        <f>IFERROR(__xludf.DUMMYFUNCTION("""COMPUTED_VALUE"""),"")</f>
        <v/>
      </c>
      <c r="G4641" s="18"/>
      <c r="H4641" s="16" t="s">
        <v>87</v>
      </c>
      <c r="I4641" s="16" t="s">
        <v>87</v>
      </c>
      <c r="J4641" s="19"/>
      <c r="L4641" s="16" t="str">
        <f>IFERROR(__xludf.DUMMYFUNCTION("""COMPUTED_VALUE"""),"")</f>
        <v/>
      </c>
      <c r="M4641" s="16" t="str">
        <f>IFERROR(__xludf.DUMMYFUNCTION("""COMPUTED_VALUE"""),"")</f>
        <v/>
      </c>
      <c r="U4641" s="16" t="s">
        <v>87</v>
      </c>
      <c r="V4641" s="16" t="str">
        <f>IFERROR(__xludf.DUMMYFUNCTION("""COMPUTED_VALUE"""),"")</f>
        <v/>
      </c>
      <c r="W4641" s="16" t="str">
        <f>IFERROR(__xludf.DUMMYFUNCTION("""COMPUTED_VALUE"""),"")</f>
        <v/>
      </c>
      <c r="X4641" s="16" t="str">
        <f>IFERROR(__xludf.DUMMYFUNCTION("""COMPUTED_VALUE"""),"")</f>
        <v/>
      </c>
      <c r="AC4641" s="16" t="str">
        <f>IFERROR(__xludf.DUMMYFUNCTION("""COMPUTED_VALUE"""),"")</f>
        <v/>
      </c>
    </row>
    <row r="4642">
      <c r="A4642" s="16" t="s">
        <v>87</v>
      </c>
      <c r="E4642" s="16" t="str">
        <f>IFERROR(__xludf.DUMMYFUNCTION("""COMPUTED_VALUE"""),"")</f>
        <v/>
      </c>
      <c r="G4642" s="18"/>
      <c r="H4642" s="16" t="s">
        <v>87</v>
      </c>
      <c r="I4642" s="16" t="s">
        <v>87</v>
      </c>
      <c r="J4642" s="19"/>
      <c r="L4642" s="16" t="str">
        <f>IFERROR(__xludf.DUMMYFUNCTION("""COMPUTED_VALUE"""),"")</f>
        <v/>
      </c>
      <c r="M4642" s="16" t="str">
        <f>IFERROR(__xludf.DUMMYFUNCTION("""COMPUTED_VALUE"""),"")</f>
        <v/>
      </c>
      <c r="U4642" s="16" t="s">
        <v>87</v>
      </c>
      <c r="V4642" s="16" t="str">
        <f>IFERROR(__xludf.DUMMYFUNCTION("""COMPUTED_VALUE"""),"")</f>
        <v/>
      </c>
      <c r="W4642" s="16" t="str">
        <f>IFERROR(__xludf.DUMMYFUNCTION("""COMPUTED_VALUE"""),"")</f>
        <v/>
      </c>
      <c r="X4642" s="16" t="str">
        <f>IFERROR(__xludf.DUMMYFUNCTION("""COMPUTED_VALUE"""),"")</f>
        <v/>
      </c>
      <c r="AC4642" s="16" t="str">
        <f>IFERROR(__xludf.DUMMYFUNCTION("""COMPUTED_VALUE"""),"")</f>
        <v/>
      </c>
    </row>
    <row r="4643">
      <c r="A4643" s="16" t="s">
        <v>87</v>
      </c>
      <c r="E4643" s="16" t="str">
        <f>IFERROR(__xludf.DUMMYFUNCTION("""COMPUTED_VALUE"""),"")</f>
        <v/>
      </c>
      <c r="G4643" s="18"/>
      <c r="H4643" s="16" t="s">
        <v>87</v>
      </c>
      <c r="I4643" s="16" t="s">
        <v>87</v>
      </c>
      <c r="J4643" s="19"/>
      <c r="L4643" s="16" t="str">
        <f>IFERROR(__xludf.DUMMYFUNCTION("""COMPUTED_VALUE"""),"")</f>
        <v/>
      </c>
      <c r="M4643" s="16" t="str">
        <f>IFERROR(__xludf.DUMMYFUNCTION("""COMPUTED_VALUE"""),"")</f>
        <v/>
      </c>
      <c r="U4643" s="16" t="s">
        <v>87</v>
      </c>
      <c r="V4643" s="16" t="str">
        <f>IFERROR(__xludf.DUMMYFUNCTION("""COMPUTED_VALUE"""),"")</f>
        <v/>
      </c>
      <c r="W4643" s="16" t="str">
        <f>IFERROR(__xludf.DUMMYFUNCTION("""COMPUTED_VALUE"""),"")</f>
        <v/>
      </c>
      <c r="X4643" s="16" t="str">
        <f>IFERROR(__xludf.DUMMYFUNCTION("""COMPUTED_VALUE"""),"")</f>
        <v/>
      </c>
      <c r="AC4643" s="16" t="str">
        <f>IFERROR(__xludf.DUMMYFUNCTION("""COMPUTED_VALUE"""),"")</f>
        <v/>
      </c>
    </row>
    <row r="4644">
      <c r="A4644" s="16" t="s">
        <v>87</v>
      </c>
      <c r="E4644" s="16" t="str">
        <f>IFERROR(__xludf.DUMMYFUNCTION("""COMPUTED_VALUE"""),"")</f>
        <v/>
      </c>
      <c r="G4644" s="18"/>
      <c r="H4644" s="16" t="s">
        <v>87</v>
      </c>
      <c r="I4644" s="16" t="s">
        <v>87</v>
      </c>
      <c r="J4644" s="19"/>
      <c r="L4644" s="16" t="str">
        <f>IFERROR(__xludf.DUMMYFUNCTION("""COMPUTED_VALUE"""),"")</f>
        <v/>
      </c>
      <c r="M4644" s="16" t="str">
        <f>IFERROR(__xludf.DUMMYFUNCTION("""COMPUTED_VALUE"""),"")</f>
        <v/>
      </c>
      <c r="U4644" s="16" t="s">
        <v>87</v>
      </c>
      <c r="V4644" s="16" t="str">
        <f>IFERROR(__xludf.DUMMYFUNCTION("""COMPUTED_VALUE"""),"")</f>
        <v/>
      </c>
      <c r="W4644" s="16" t="str">
        <f>IFERROR(__xludf.DUMMYFUNCTION("""COMPUTED_VALUE"""),"")</f>
        <v/>
      </c>
      <c r="X4644" s="16" t="str">
        <f>IFERROR(__xludf.DUMMYFUNCTION("""COMPUTED_VALUE"""),"")</f>
        <v/>
      </c>
      <c r="AC4644" s="16" t="str">
        <f>IFERROR(__xludf.DUMMYFUNCTION("""COMPUTED_VALUE"""),"")</f>
        <v/>
      </c>
    </row>
    <row r="4645">
      <c r="A4645" s="16" t="s">
        <v>87</v>
      </c>
      <c r="E4645" s="16" t="str">
        <f>IFERROR(__xludf.DUMMYFUNCTION("""COMPUTED_VALUE"""),"")</f>
        <v/>
      </c>
      <c r="G4645" s="18"/>
      <c r="H4645" s="16" t="s">
        <v>87</v>
      </c>
      <c r="I4645" s="16" t="s">
        <v>87</v>
      </c>
      <c r="J4645" s="19"/>
      <c r="L4645" s="16" t="str">
        <f>IFERROR(__xludf.DUMMYFUNCTION("""COMPUTED_VALUE"""),"")</f>
        <v/>
      </c>
      <c r="M4645" s="16" t="str">
        <f>IFERROR(__xludf.DUMMYFUNCTION("""COMPUTED_VALUE"""),"")</f>
        <v/>
      </c>
      <c r="U4645" s="16" t="s">
        <v>87</v>
      </c>
      <c r="V4645" s="16" t="str">
        <f>IFERROR(__xludf.DUMMYFUNCTION("""COMPUTED_VALUE"""),"")</f>
        <v/>
      </c>
      <c r="W4645" s="16" t="str">
        <f>IFERROR(__xludf.DUMMYFUNCTION("""COMPUTED_VALUE"""),"")</f>
        <v/>
      </c>
      <c r="X4645" s="16" t="str">
        <f>IFERROR(__xludf.DUMMYFUNCTION("""COMPUTED_VALUE"""),"")</f>
        <v/>
      </c>
      <c r="AC4645" s="16" t="str">
        <f>IFERROR(__xludf.DUMMYFUNCTION("""COMPUTED_VALUE"""),"")</f>
        <v/>
      </c>
    </row>
    <row r="4646">
      <c r="A4646" s="16" t="s">
        <v>87</v>
      </c>
      <c r="E4646" s="16" t="str">
        <f>IFERROR(__xludf.DUMMYFUNCTION("""COMPUTED_VALUE"""),"")</f>
        <v/>
      </c>
      <c r="G4646" s="18"/>
      <c r="H4646" s="16" t="s">
        <v>87</v>
      </c>
      <c r="I4646" s="16" t="s">
        <v>87</v>
      </c>
      <c r="J4646" s="19"/>
      <c r="L4646" s="16" t="str">
        <f>IFERROR(__xludf.DUMMYFUNCTION("""COMPUTED_VALUE"""),"")</f>
        <v/>
      </c>
      <c r="M4646" s="16" t="str">
        <f>IFERROR(__xludf.DUMMYFUNCTION("""COMPUTED_VALUE"""),"")</f>
        <v/>
      </c>
      <c r="U4646" s="16" t="s">
        <v>87</v>
      </c>
      <c r="V4646" s="16" t="str">
        <f>IFERROR(__xludf.DUMMYFUNCTION("""COMPUTED_VALUE"""),"")</f>
        <v/>
      </c>
      <c r="W4646" s="16" t="str">
        <f>IFERROR(__xludf.DUMMYFUNCTION("""COMPUTED_VALUE"""),"")</f>
        <v/>
      </c>
      <c r="X4646" s="16" t="str">
        <f>IFERROR(__xludf.DUMMYFUNCTION("""COMPUTED_VALUE"""),"")</f>
        <v/>
      </c>
      <c r="AC4646" s="16" t="str">
        <f>IFERROR(__xludf.DUMMYFUNCTION("""COMPUTED_VALUE"""),"")</f>
        <v/>
      </c>
    </row>
    <row r="4647">
      <c r="A4647" s="16" t="s">
        <v>87</v>
      </c>
      <c r="E4647" s="16" t="str">
        <f>IFERROR(__xludf.DUMMYFUNCTION("""COMPUTED_VALUE"""),"")</f>
        <v/>
      </c>
      <c r="G4647" s="18"/>
      <c r="H4647" s="16" t="s">
        <v>87</v>
      </c>
      <c r="I4647" s="16" t="s">
        <v>87</v>
      </c>
      <c r="J4647" s="19"/>
      <c r="L4647" s="16" t="str">
        <f>IFERROR(__xludf.DUMMYFUNCTION("""COMPUTED_VALUE"""),"")</f>
        <v/>
      </c>
      <c r="M4647" s="16" t="str">
        <f>IFERROR(__xludf.DUMMYFUNCTION("""COMPUTED_VALUE"""),"")</f>
        <v/>
      </c>
      <c r="U4647" s="16" t="s">
        <v>87</v>
      </c>
      <c r="V4647" s="16" t="str">
        <f>IFERROR(__xludf.DUMMYFUNCTION("""COMPUTED_VALUE"""),"")</f>
        <v/>
      </c>
      <c r="W4647" s="16" t="str">
        <f>IFERROR(__xludf.DUMMYFUNCTION("""COMPUTED_VALUE"""),"")</f>
        <v/>
      </c>
      <c r="X4647" s="16" t="str">
        <f>IFERROR(__xludf.DUMMYFUNCTION("""COMPUTED_VALUE"""),"")</f>
        <v/>
      </c>
      <c r="AC4647" s="16" t="str">
        <f>IFERROR(__xludf.DUMMYFUNCTION("""COMPUTED_VALUE"""),"")</f>
        <v/>
      </c>
    </row>
    <row r="4648">
      <c r="A4648" s="16" t="s">
        <v>87</v>
      </c>
      <c r="E4648" s="16" t="str">
        <f>IFERROR(__xludf.DUMMYFUNCTION("""COMPUTED_VALUE"""),"")</f>
        <v/>
      </c>
      <c r="G4648" s="18"/>
      <c r="H4648" s="16" t="s">
        <v>87</v>
      </c>
      <c r="I4648" s="16" t="s">
        <v>87</v>
      </c>
      <c r="J4648" s="19"/>
      <c r="L4648" s="16" t="str">
        <f>IFERROR(__xludf.DUMMYFUNCTION("""COMPUTED_VALUE"""),"")</f>
        <v/>
      </c>
      <c r="M4648" s="16" t="str">
        <f>IFERROR(__xludf.DUMMYFUNCTION("""COMPUTED_VALUE"""),"")</f>
        <v/>
      </c>
      <c r="U4648" s="16" t="s">
        <v>87</v>
      </c>
      <c r="V4648" s="16" t="str">
        <f>IFERROR(__xludf.DUMMYFUNCTION("""COMPUTED_VALUE"""),"")</f>
        <v/>
      </c>
      <c r="W4648" s="16" t="str">
        <f>IFERROR(__xludf.DUMMYFUNCTION("""COMPUTED_VALUE"""),"")</f>
        <v/>
      </c>
      <c r="X4648" s="16" t="str">
        <f>IFERROR(__xludf.DUMMYFUNCTION("""COMPUTED_VALUE"""),"")</f>
        <v/>
      </c>
      <c r="AC4648" s="16" t="str">
        <f>IFERROR(__xludf.DUMMYFUNCTION("""COMPUTED_VALUE"""),"")</f>
        <v/>
      </c>
    </row>
    <row r="4649">
      <c r="A4649" s="16" t="s">
        <v>87</v>
      </c>
      <c r="E4649" s="16" t="str">
        <f>IFERROR(__xludf.DUMMYFUNCTION("""COMPUTED_VALUE"""),"")</f>
        <v/>
      </c>
      <c r="G4649" s="18"/>
      <c r="H4649" s="16" t="s">
        <v>87</v>
      </c>
      <c r="I4649" s="16" t="s">
        <v>87</v>
      </c>
      <c r="J4649" s="19"/>
      <c r="L4649" s="16" t="str">
        <f>IFERROR(__xludf.DUMMYFUNCTION("""COMPUTED_VALUE"""),"")</f>
        <v/>
      </c>
      <c r="M4649" s="16" t="str">
        <f>IFERROR(__xludf.DUMMYFUNCTION("""COMPUTED_VALUE"""),"")</f>
        <v/>
      </c>
      <c r="U4649" s="16" t="s">
        <v>87</v>
      </c>
      <c r="V4649" s="16" t="str">
        <f>IFERROR(__xludf.DUMMYFUNCTION("""COMPUTED_VALUE"""),"")</f>
        <v/>
      </c>
      <c r="W4649" s="16" t="str">
        <f>IFERROR(__xludf.DUMMYFUNCTION("""COMPUTED_VALUE"""),"")</f>
        <v/>
      </c>
      <c r="X4649" s="16" t="str">
        <f>IFERROR(__xludf.DUMMYFUNCTION("""COMPUTED_VALUE"""),"")</f>
        <v/>
      </c>
      <c r="AC4649" s="16" t="str">
        <f>IFERROR(__xludf.DUMMYFUNCTION("""COMPUTED_VALUE"""),"")</f>
        <v/>
      </c>
    </row>
    <row r="4650">
      <c r="A4650" s="16" t="s">
        <v>87</v>
      </c>
      <c r="E4650" s="16" t="str">
        <f>IFERROR(__xludf.DUMMYFUNCTION("""COMPUTED_VALUE"""),"")</f>
        <v/>
      </c>
      <c r="G4650" s="18"/>
      <c r="H4650" s="16" t="s">
        <v>87</v>
      </c>
      <c r="I4650" s="16" t="s">
        <v>87</v>
      </c>
      <c r="J4650" s="19"/>
      <c r="L4650" s="16" t="str">
        <f>IFERROR(__xludf.DUMMYFUNCTION("""COMPUTED_VALUE"""),"")</f>
        <v/>
      </c>
      <c r="M4650" s="16" t="str">
        <f>IFERROR(__xludf.DUMMYFUNCTION("""COMPUTED_VALUE"""),"")</f>
        <v/>
      </c>
      <c r="U4650" s="16" t="s">
        <v>87</v>
      </c>
      <c r="V4650" s="16" t="str">
        <f>IFERROR(__xludf.DUMMYFUNCTION("""COMPUTED_VALUE"""),"")</f>
        <v/>
      </c>
      <c r="W4650" s="16" t="str">
        <f>IFERROR(__xludf.DUMMYFUNCTION("""COMPUTED_VALUE"""),"")</f>
        <v/>
      </c>
      <c r="X4650" s="16" t="str">
        <f>IFERROR(__xludf.DUMMYFUNCTION("""COMPUTED_VALUE"""),"")</f>
        <v/>
      </c>
      <c r="AC4650" s="16" t="str">
        <f>IFERROR(__xludf.DUMMYFUNCTION("""COMPUTED_VALUE"""),"")</f>
        <v/>
      </c>
    </row>
    <row r="4651">
      <c r="A4651" s="16" t="s">
        <v>87</v>
      </c>
      <c r="E4651" s="16" t="str">
        <f>IFERROR(__xludf.DUMMYFUNCTION("""COMPUTED_VALUE"""),"")</f>
        <v/>
      </c>
      <c r="G4651" s="18"/>
      <c r="H4651" s="16" t="s">
        <v>87</v>
      </c>
      <c r="I4651" s="16" t="s">
        <v>87</v>
      </c>
      <c r="J4651" s="19"/>
      <c r="L4651" s="16" t="str">
        <f>IFERROR(__xludf.DUMMYFUNCTION("""COMPUTED_VALUE"""),"")</f>
        <v/>
      </c>
      <c r="M4651" s="16" t="str">
        <f>IFERROR(__xludf.DUMMYFUNCTION("""COMPUTED_VALUE"""),"")</f>
        <v/>
      </c>
      <c r="U4651" s="16" t="s">
        <v>87</v>
      </c>
      <c r="V4651" s="16" t="str">
        <f>IFERROR(__xludf.DUMMYFUNCTION("""COMPUTED_VALUE"""),"")</f>
        <v/>
      </c>
      <c r="W4651" s="16" t="str">
        <f>IFERROR(__xludf.DUMMYFUNCTION("""COMPUTED_VALUE"""),"")</f>
        <v/>
      </c>
      <c r="X4651" s="16" t="str">
        <f>IFERROR(__xludf.DUMMYFUNCTION("""COMPUTED_VALUE"""),"")</f>
        <v/>
      </c>
      <c r="AC4651" s="16" t="str">
        <f>IFERROR(__xludf.DUMMYFUNCTION("""COMPUTED_VALUE"""),"")</f>
        <v/>
      </c>
    </row>
    <row r="4652">
      <c r="A4652" s="16" t="s">
        <v>87</v>
      </c>
      <c r="E4652" s="16" t="str">
        <f>IFERROR(__xludf.DUMMYFUNCTION("""COMPUTED_VALUE"""),"")</f>
        <v/>
      </c>
      <c r="G4652" s="18"/>
      <c r="H4652" s="16" t="s">
        <v>87</v>
      </c>
      <c r="I4652" s="16" t="s">
        <v>87</v>
      </c>
      <c r="J4652" s="19"/>
      <c r="L4652" s="16" t="str">
        <f>IFERROR(__xludf.DUMMYFUNCTION("""COMPUTED_VALUE"""),"")</f>
        <v/>
      </c>
      <c r="M4652" s="16" t="str">
        <f>IFERROR(__xludf.DUMMYFUNCTION("""COMPUTED_VALUE"""),"")</f>
        <v/>
      </c>
      <c r="U4652" s="16" t="s">
        <v>87</v>
      </c>
      <c r="V4652" s="16" t="str">
        <f>IFERROR(__xludf.DUMMYFUNCTION("""COMPUTED_VALUE"""),"")</f>
        <v/>
      </c>
      <c r="W4652" s="16" t="str">
        <f>IFERROR(__xludf.DUMMYFUNCTION("""COMPUTED_VALUE"""),"")</f>
        <v/>
      </c>
      <c r="X4652" s="16" t="str">
        <f>IFERROR(__xludf.DUMMYFUNCTION("""COMPUTED_VALUE"""),"")</f>
        <v/>
      </c>
      <c r="AC4652" s="16" t="str">
        <f>IFERROR(__xludf.DUMMYFUNCTION("""COMPUTED_VALUE"""),"")</f>
        <v/>
      </c>
    </row>
    <row r="4653">
      <c r="A4653" s="16" t="s">
        <v>87</v>
      </c>
      <c r="E4653" s="16" t="str">
        <f>IFERROR(__xludf.DUMMYFUNCTION("""COMPUTED_VALUE"""),"")</f>
        <v/>
      </c>
      <c r="G4653" s="18"/>
      <c r="H4653" s="16" t="s">
        <v>87</v>
      </c>
      <c r="I4653" s="16" t="s">
        <v>87</v>
      </c>
      <c r="J4653" s="19"/>
      <c r="L4653" s="16" t="str">
        <f>IFERROR(__xludf.DUMMYFUNCTION("""COMPUTED_VALUE"""),"")</f>
        <v/>
      </c>
      <c r="M4653" s="16" t="str">
        <f>IFERROR(__xludf.DUMMYFUNCTION("""COMPUTED_VALUE"""),"")</f>
        <v/>
      </c>
      <c r="U4653" s="16" t="s">
        <v>87</v>
      </c>
      <c r="V4653" s="16" t="str">
        <f>IFERROR(__xludf.DUMMYFUNCTION("""COMPUTED_VALUE"""),"")</f>
        <v/>
      </c>
      <c r="W4653" s="16" t="str">
        <f>IFERROR(__xludf.DUMMYFUNCTION("""COMPUTED_VALUE"""),"")</f>
        <v/>
      </c>
      <c r="X4653" s="16" t="str">
        <f>IFERROR(__xludf.DUMMYFUNCTION("""COMPUTED_VALUE"""),"")</f>
        <v/>
      </c>
      <c r="AC4653" s="16" t="str">
        <f>IFERROR(__xludf.DUMMYFUNCTION("""COMPUTED_VALUE"""),"")</f>
        <v/>
      </c>
    </row>
    <row r="4654">
      <c r="A4654" s="16" t="s">
        <v>87</v>
      </c>
      <c r="E4654" s="16" t="str">
        <f>IFERROR(__xludf.DUMMYFUNCTION("""COMPUTED_VALUE"""),"")</f>
        <v/>
      </c>
      <c r="G4654" s="18"/>
      <c r="H4654" s="16" t="s">
        <v>87</v>
      </c>
      <c r="I4654" s="16" t="s">
        <v>87</v>
      </c>
      <c r="J4654" s="19"/>
      <c r="L4654" s="16" t="str">
        <f>IFERROR(__xludf.DUMMYFUNCTION("""COMPUTED_VALUE"""),"")</f>
        <v/>
      </c>
      <c r="M4654" s="16" t="str">
        <f>IFERROR(__xludf.DUMMYFUNCTION("""COMPUTED_VALUE"""),"")</f>
        <v/>
      </c>
      <c r="U4654" s="16" t="s">
        <v>87</v>
      </c>
      <c r="V4654" s="16" t="str">
        <f>IFERROR(__xludf.DUMMYFUNCTION("""COMPUTED_VALUE"""),"")</f>
        <v/>
      </c>
      <c r="W4654" s="16" t="str">
        <f>IFERROR(__xludf.DUMMYFUNCTION("""COMPUTED_VALUE"""),"")</f>
        <v/>
      </c>
      <c r="X4654" s="16" t="str">
        <f>IFERROR(__xludf.DUMMYFUNCTION("""COMPUTED_VALUE"""),"")</f>
        <v/>
      </c>
      <c r="AC4654" s="16" t="str">
        <f>IFERROR(__xludf.DUMMYFUNCTION("""COMPUTED_VALUE"""),"")</f>
        <v/>
      </c>
    </row>
    <row r="4655">
      <c r="A4655" s="16" t="s">
        <v>87</v>
      </c>
      <c r="E4655" s="16" t="str">
        <f>IFERROR(__xludf.DUMMYFUNCTION("""COMPUTED_VALUE"""),"")</f>
        <v/>
      </c>
      <c r="G4655" s="18"/>
      <c r="H4655" s="16" t="s">
        <v>87</v>
      </c>
      <c r="I4655" s="16" t="s">
        <v>87</v>
      </c>
      <c r="J4655" s="19"/>
      <c r="L4655" s="16" t="str">
        <f>IFERROR(__xludf.DUMMYFUNCTION("""COMPUTED_VALUE"""),"")</f>
        <v/>
      </c>
      <c r="M4655" s="16" t="str">
        <f>IFERROR(__xludf.DUMMYFUNCTION("""COMPUTED_VALUE"""),"")</f>
        <v/>
      </c>
      <c r="U4655" s="16" t="s">
        <v>87</v>
      </c>
      <c r="V4655" s="16" t="str">
        <f>IFERROR(__xludf.DUMMYFUNCTION("""COMPUTED_VALUE"""),"")</f>
        <v/>
      </c>
      <c r="W4655" s="16" t="str">
        <f>IFERROR(__xludf.DUMMYFUNCTION("""COMPUTED_VALUE"""),"")</f>
        <v/>
      </c>
      <c r="X4655" s="16" t="str">
        <f>IFERROR(__xludf.DUMMYFUNCTION("""COMPUTED_VALUE"""),"")</f>
        <v/>
      </c>
      <c r="AC4655" s="16" t="str">
        <f>IFERROR(__xludf.DUMMYFUNCTION("""COMPUTED_VALUE"""),"")</f>
        <v/>
      </c>
    </row>
    <row r="4656">
      <c r="A4656" s="16" t="s">
        <v>87</v>
      </c>
      <c r="E4656" s="16" t="str">
        <f>IFERROR(__xludf.DUMMYFUNCTION("""COMPUTED_VALUE"""),"")</f>
        <v/>
      </c>
      <c r="G4656" s="18"/>
      <c r="H4656" s="16" t="s">
        <v>87</v>
      </c>
      <c r="I4656" s="16" t="s">
        <v>87</v>
      </c>
      <c r="J4656" s="19"/>
      <c r="L4656" s="16" t="str">
        <f>IFERROR(__xludf.DUMMYFUNCTION("""COMPUTED_VALUE"""),"")</f>
        <v/>
      </c>
      <c r="M4656" s="16" t="str">
        <f>IFERROR(__xludf.DUMMYFUNCTION("""COMPUTED_VALUE"""),"")</f>
        <v/>
      </c>
      <c r="U4656" s="16" t="s">
        <v>87</v>
      </c>
      <c r="V4656" s="16" t="str">
        <f>IFERROR(__xludf.DUMMYFUNCTION("""COMPUTED_VALUE"""),"")</f>
        <v/>
      </c>
      <c r="W4656" s="16" t="str">
        <f>IFERROR(__xludf.DUMMYFUNCTION("""COMPUTED_VALUE"""),"")</f>
        <v/>
      </c>
      <c r="X4656" s="16" t="str">
        <f>IFERROR(__xludf.DUMMYFUNCTION("""COMPUTED_VALUE"""),"")</f>
        <v/>
      </c>
      <c r="AC4656" s="16" t="str">
        <f>IFERROR(__xludf.DUMMYFUNCTION("""COMPUTED_VALUE"""),"")</f>
        <v/>
      </c>
    </row>
    <row r="4657">
      <c r="A4657" s="16" t="s">
        <v>87</v>
      </c>
      <c r="E4657" s="16" t="str">
        <f>IFERROR(__xludf.DUMMYFUNCTION("""COMPUTED_VALUE"""),"")</f>
        <v/>
      </c>
      <c r="G4657" s="18"/>
      <c r="H4657" s="16" t="s">
        <v>87</v>
      </c>
      <c r="I4657" s="16" t="s">
        <v>87</v>
      </c>
      <c r="J4657" s="19"/>
      <c r="L4657" s="16" t="str">
        <f>IFERROR(__xludf.DUMMYFUNCTION("""COMPUTED_VALUE"""),"")</f>
        <v/>
      </c>
      <c r="M4657" s="16" t="str">
        <f>IFERROR(__xludf.DUMMYFUNCTION("""COMPUTED_VALUE"""),"")</f>
        <v/>
      </c>
      <c r="U4657" s="16" t="s">
        <v>87</v>
      </c>
      <c r="V4657" s="16" t="str">
        <f>IFERROR(__xludf.DUMMYFUNCTION("""COMPUTED_VALUE"""),"")</f>
        <v/>
      </c>
      <c r="W4657" s="16" t="str">
        <f>IFERROR(__xludf.DUMMYFUNCTION("""COMPUTED_VALUE"""),"")</f>
        <v/>
      </c>
      <c r="X4657" s="16" t="str">
        <f>IFERROR(__xludf.DUMMYFUNCTION("""COMPUTED_VALUE"""),"")</f>
        <v/>
      </c>
      <c r="AC4657" s="16" t="str">
        <f>IFERROR(__xludf.DUMMYFUNCTION("""COMPUTED_VALUE"""),"")</f>
        <v/>
      </c>
    </row>
    <row r="4658">
      <c r="A4658" s="16" t="s">
        <v>87</v>
      </c>
      <c r="E4658" s="16" t="str">
        <f>IFERROR(__xludf.DUMMYFUNCTION("""COMPUTED_VALUE"""),"")</f>
        <v/>
      </c>
      <c r="G4658" s="18"/>
      <c r="H4658" s="16" t="s">
        <v>87</v>
      </c>
      <c r="I4658" s="16" t="s">
        <v>87</v>
      </c>
      <c r="J4658" s="19"/>
      <c r="L4658" s="16" t="str">
        <f>IFERROR(__xludf.DUMMYFUNCTION("""COMPUTED_VALUE"""),"")</f>
        <v/>
      </c>
      <c r="M4658" s="16" t="str">
        <f>IFERROR(__xludf.DUMMYFUNCTION("""COMPUTED_VALUE"""),"")</f>
        <v/>
      </c>
      <c r="U4658" s="16" t="s">
        <v>87</v>
      </c>
      <c r="V4658" s="16" t="str">
        <f>IFERROR(__xludf.DUMMYFUNCTION("""COMPUTED_VALUE"""),"")</f>
        <v/>
      </c>
      <c r="W4658" s="16" t="str">
        <f>IFERROR(__xludf.DUMMYFUNCTION("""COMPUTED_VALUE"""),"")</f>
        <v/>
      </c>
      <c r="X4658" s="16" t="str">
        <f>IFERROR(__xludf.DUMMYFUNCTION("""COMPUTED_VALUE"""),"")</f>
        <v/>
      </c>
      <c r="AC4658" s="16" t="str">
        <f>IFERROR(__xludf.DUMMYFUNCTION("""COMPUTED_VALUE"""),"")</f>
        <v/>
      </c>
    </row>
    <row r="4659">
      <c r="A4659" s="16" t="s">
        <v>87</v>
      </c>
      <c r="E4659" s="16" t="str">
        <f>IFERROR(__xludf.DUMMYFUNCTION("""COMPUTED_VALUE"""),"")</f>
        <v/>
      </c>
      <c r="G4659" s="18"/>
      <c r="H4659" s="16" t="s">
        <v>87</v>
      </c>
      <c r="I4659" s="16" t="s">
        <v>87</v>
      </c>
      <c r="J4659" s="19"/>
      <c r="L4659" s="16" t="str">
        <f>IFERROR(__xludf.DUMMYFUNCTION("""COMPUTED_VALUE"""),"")</f>
        <v/>
      </c>
      <c r="M4659" s="16" t="str">
        <f>IFERROR(__xludf.DUMMYFUNCTION("""COMPUTED_VALUE"""),"")</f>
        <v/>
      </c>
      <c r="U4659" s="16" t="s">
        <v>87</v>
      </c>
      <c r="V4659" s="16" t="str">
        <f>IFERROR(__xludf.DUMMYFUNCTION("""COMPUTED_VALUE"""),"")</f>
        <v/>
      </c>
      <c r="W4659" s="16" t="str">
        <f>IFERROR(__xludf.DUMMYFUNCTION("""COMPUTED_VALUE"""),"")</f>
        <v/>
      </c>
      <c r="X4659" s="16" t="str">
        <f>IFERROR(__xludf.DUMMYFUNCTION("""COMPUTED_VALUE"""),"")</f>
        <v/>
      </c>
      <c r="AC4659" s="16" t="str">
        <f>IFERROR(__xludf.DUMMYFUNCTION("""COMPUTED_VALUE"""),"")</f>
        <v/>
      </c>
    </row>
    <row r="4660">
      <c r="A4660" s="16" t="s">
        <v>87</v>
      </c>
      <c r="E4660" s="16" t="str">
        <f>IFERROR(__xludf.DUMMYFUNCTION("""COMPUTED_VALUE"""),"")</f>
        <v/>
      </c>
      <c r="G4660" s="18"/>
      <c r="H4660" s="16" t="s">
        <v>87</v>
      </c>
      <c r="I4660" s="16" t="s">
        <v>87</v>
      </c>
      <c r="J4660" s="19"/>
      <c r="L4660" s="16" t="str">
        <f>IFERROR(__xludf.DUMMYFUNCTION("""COMPUTED_VALUE"""),"")</f>
        <v/>
      </c>
      <c r="M4660" s="16" t="str">
        <f>IFERROR(__xludf.DUMMYFUNCTION("""COMPUTED_VALUE"""),"")</f>
        <v/>
      </c>
      <c r="U4660" s="16" t="s">
        <v>87</v>
      </c>
      <c r="V4660" s="16" t="str">
        <f>IFERROR(__xludf.DUMMYFUNCTION("""COMPUTED_VALUE"""),"")</f>
        <v/>
      </c>
      <c r="W4660" s="16" t="str">
        <f>IFERROR(__xludf.DUMMYFUNCTION("""COMPUTED_VALUE"""),"")</f>
        <v/>
      </c>
      <c r="X4660" s="16" t="str">
        <f>IFERROR(__xludf.DUMMYFUNCTION("""COMPUTED_VALUE"""),"")</f>
        <v/>
      </c>
      <c r="AC4660" s="16" t="str">
        <f>IFERROR(__xludf.DUMMYFUNCTION("""COMPUTED_VALUE"""),"")</f>
        <v/>
      </c>
    </row>
    <row r="4661">
      <c r="A4661" s="16" t="s">
        <v>87</v>
      </c>
      <c r="E4661" s="16" t="str">
        <f>IFERROR(__xludf.DUMMYFUNCTION("""COMPUTED_VALUE"""),"")</f>
        <v/>
      </c>
      <c r="G4661" s="18"/>
      <c r="H4661" s="16" t="s">
        <v>87</v>
      </c>
      <c r="I4661" s="16" t="s">
        <v>87</v>
      </c>
      <c r="J4661" s="19"/>
      <c r="L4661" s="16" t="str">
        <f>IFERROR(__xludf.DUMMYFUNCTION("""COMPUTED_VALUE"""),"")</f>
        <v/>
      </c>
      <c r="M4661" s="16" t="str">
        <f>IFERROR(__xludf.DUMMYFUNCTION("""COMPUTED_VALUE"""),"")</f>
        <v/>
      </c>
      <c r="U4661" s="16" t="s">
        <v>87</v>
      </c>
      <c r="V4661" s="16" t="str">
        <f>IFERROR(__xludf.DUMMYFUNCTION("""COMPUTED_VALUE"""),"")</f>
        <v/>
      </c>
      <c r="W4661" s="16" t="str">
        <f>IFERROR(__xludf.DUMMYFUNCTION("""COMPUTED_VALUE"""),"")</f>
        <v/>
      </c>
      <c r="X4661" s="16" t="str">
        <f>IFERROR(__xludf.DUMMYFUNCTION("""COMPUTED_VALUE"""),"")</f>
        <v/>
      </c>
      <c r="AC4661" s="16" t="str">
        <f>IFERROR(__xludf.DUMMYFUNCTION("""COMPUTED_VALUE"""),"")</f>
        <v/>
      </c>
    </row>
    <row r="4662">
      <c r="A4662" s="16" t="s">
        <v>87</v>
      </c>
      <c r="E4662" s="16" t="str">
        <f>IFERROR(__xludf.DUMMYFUNCTION("""COMPUTED_VALUE"""),"")</f>
        <v/>
      </c>
      <c r="G4662" s="18"/>
      <c r="H4662" s="16" t="s">
        <v>87</v>
      </c>
      <c r="I4662" s="16" t="s">
        <v>87</v>
      </c>
      <c r="J4662" s="19"/>
      <c r="L4662" s="16" t="str">
        <f>IFERROR(__xludf.DUMMYFUNCTION("""COMPUTED_VALUE"""),"")</f>
        <v/>
      </c>
      <c r="M4662" s="16" t="str">
        <f>IFERROR(__xludf.DUMMYFUNCTION("""COMPUTED_VALUE"""),"")</f>
        <v/>
      </c>
      <c r="U4662" s="16" t="s">
        <v>87</v>
      </c>
      <c r="V4662" s="16" t="str">
        <f>IFERROR(__xludf.DUMMYFUNCTION("""COMPUTED_VALUE"""),"")</f>
        <v/>
      </c>
      <c r="W4662" s="16" t="str">
        <f>IFERROR(__xludf.DUMMYFUNCTION("""COMPUTED_VALUE"""),"")</f>
        <v/>
      </c>
      <c r="X4662" s="16" t="str">
        <f>IFERROR(__xludf.DUMMYFUNCTION("""COMPUTED_VALUE"""),"")</f>
        <v/>
      </c>
      <c r="AC4662" s="16" t="str">
        <f>IFERROR(__xludf.DUMMYFUNCTION("""COMPUTED_VALUE"""),"")</f>
        <v/>
      </c>
    </row>
    <row r="4663">
      <c r="A4663" s="16" t="s">
        <v>87</v>
      </c>
      <c r="E4663" s="16" t="str">
        <f>IFERROR(__xludf.DUMMYFUNCTION("""COMPUTED_VALUE"""),"")</f>
        <v/>
      </c>
      <c r="G4663" s="18"/>
      <c r="H4663" s="16" t="s">
        <v>87</v>
      </c>
      <c r="I4663" s="16" t="s">
        <v>87</v>
      </c>
      <c r="J4663" s="19"/>
      <c r="L4663" s="16" t="str">
        <f>IFERROR(__xludf.DUMMYFUNCTION("""COMPUTED_VALUE"""),"")</f>
        <v/>
      </c>
      <c r="M4663" s="16" t="str">
        <f>IFERROR(__xludf.DUMMYFUNCTION("""COMPUTED_VALUE"""),"")</f>
        <v/>
      </c>
      <c r="U4663" s="16" t="s">
        <v>87</v>
      </c>
      <c r="V4663" s="16" t="str">
        <f>IFERROR(__xludf.DUMMYFUNCTION("""COMPUTED_VALUE"""),"")</f>
        <v/>
      </c>
      <c r="W4663" s="16" t="str">
        <f>IFERROR(__xludf.DUMMYFUNCTION("""COMPUTED_VALUE"""),"")</f>
        <v/>
      </c>
      <c r="X4663" s="16" t="str">
        <f>IFERROR(__xludf.DUMMYFUNCTION("""COMPUTED_VALUE"""),"")</f>
        <v/>
      </c>
      <c r="AC4663" s="16" t="str">
        <f>IFERROR(__xludf.DUMMYFUNCTION("""COMPUTED_VALUE"""),"")</f>
        <v/>
      </c>
    </row>
    <row r="4664">
      <c r="A4664" s="16" t="s">
        <v>87</v>
      </c>
      <c r="E4664" s="16" t="str">
        <f>IFERROR(__xludf.DUMMYFUNCTION("""COMPUTED_VALUE"""),"")</f>
        <v/>
      </c>
      <c r="G4664" s="18"/>
      <c r="H4664" s="16" t="s">
        <v>87</v>
      </c>
      <c r="I4664" s="16" t="s">
        <v>87</v>
      </c>
      <c r="J4664" s="19"/>
      <c r="L4664" s="16" t="str">
        <f>IFERROR(__xludf.DUMMYFUNCTION("""COMPUTED_VALUE"""),"")</f>
        <v/>
      </c>
      <c r="M4664" s="16" t="str">
        <f>IFERROR(__xludf.DUMMYFUNCTION("""COMPUTED_VALUE"""),"")</f>
        <v/>
      </c>
      <c r="U4664" s="16" t="s">
        <v>87</v>
      </c>
      <c r="V4664" s="16" t="str">
        <f>IFERROR(__xludf.DUMMYFUNCTION("""COMPUTED_VALUE"""),"")</f>
        <v/>
      </c>
      <c r="W4664" s="16" t="str">
        <f>IFERROR(__xludf.DUMMYFUNCTION("""COMPUTED_VALUE"""),"")</f>
        <v/>
      </c>
      <c r="X4664" s="16" t="str">
        <f>IFERROR(__xludf.DUMMYFUNCTION("""COMPUTED_VALUE"""),"")</f>
        <v/>
      </c>
      <c r="AC4664" s="16" t="str">
        <f>IFERROR(__xludf.DUMMYFUNCTION("""COMPUTED_VALUE"""),"")</f>
        <v/>
      </c>
    </row>
    <row r="4665">
      <c r="A4665" s="16" t="s">
        <v>87</v>
      </c>
      <c r="E4665" s="16" t="str">
        <f>IFERROR(__xludf.DUMMYFUNCTION("""COMPUTED_VALUE"""),"")</f>
        <v/>
      </c>
      <c r="G4665" s="18"/>
      <c r="H4665" s="16" t="s">
        <v>87</v>
      </c>
      <c r="I4665" s="16" t="s">
        <v>87</v>
      </c>
      <c r="J4665" s="19"/>
      <c r="L4665" s="16" t="str">
        <f>IFERROR(__xludf.DUMMYFUNCTION("""COMPUTED_VALUE"""),"")</f>
        <v/>
      </c>
      <c r="M4665" s="16" t="str">
        <f>IFERROR(__xludf.DUMMYFUNCTION("""COMPUTED_VALUE"""),"")</f>
        <v/>
      </c>
      <c r="U4665" s="16" t="s">
        <v>87</v>
      </c>
      <c r="V4665" s="16" t="str">
        <f>IFERROR(__xludf.DUMMYFUNCTION("""COMPUTED_VALUE"""),"")</f>
        <v/>
      </c>
      <c r="W4665" s="16" t="str">
        <f>IFERROR(__xludf.DUMMYFUNCTION("""COMPUTED_VALUE"""),"")</f>
        <v/>
      </c>
      <c r="X4665" s="16" t="str">
        <f>IFERROR(__xludf.DUMMYFUNCTION("""COMPUTED_VALUE"""),"")</f>
        <v/>
      </c>
      <c r="AC4665" s="16" t="str">
        <f>IFERROR(__xludf.DUMMYFUNCTION("""COMPUTED_VALUE"""),"")</f>
        <v/>
      </c>
    </row>
    <row r="4666">
      <c r="A4666" s="16" t="s">
        <v>87</v>
      </c>
      <c r="E4666" s="16" t="str">
        <f>IFERROR(__xludf.DUMMYFUNCTION("""COMPUTED_VALUE"""),"")</f>
        <v/>
      </c>
      <c r="G4666" s="18"/>
      <c r="H4666" s="16" t="s">
        <v>87</v>
      </c>
      <c r="I4666" s="16" t="s">
        <v>87</v>
      </c>
      <c r="J4666" s="19"/>
      <c r="L4666" s="16" t="str">
        <f>IFERROR(__xludf.DUMMYFUNCTION("""COMPUTED_VALUE"""),"")</f>
        <v/>
      </c>
      <c r="M4666" s="16" t="str">
        <f>IFERROR(__xludf.DUMMYFUNCTION("""COMPUTED_VALUE"""),"")</f>
        <v/>
      </c>
      <c r="U4666" s="16" t="s">
        <v>87</v>
      </c>
      <c r="V4666" s="16" t="str">
        <f>IFERROR(__xludf.DUMMYFUNCTION("""COMPUTED_VALUE"""),"")</f>
        <v/>
      </c>
      <c r="W4666" s="16" t="str">
        <f>IFERROR(__xludf.DUMMYFUNCTION("""COMPUTED_VALUE"""),"")</f>
        <v/>
      </c>
      <c r="X4666" s="16" t="str">
        <f>IFERROR(__xludf.DUMMYFUNCTION("""COMPUTED_VALUE"""),"")</f>
        <v/>
      </c>
      <c r="AC4666" s="16" t="str">
        <f>IFERROR(__xludf.DUMMYFUNCTION("""COMPUTED_VALUE"""),"")</f>
        <v/>
      </c>
    </row>
    <row r="4667">
      <c r="A4667" s="16" t="s">
        <v>87</v>
      </c>
      <c r="E4667" s="16" t="str">
        <f>IFERROR(__xludf.DUMMYFUNCTION("""COMPUTED_VALUE"""),"")</f>
        <v/>
      </c>
      <c r="G4667" s="18"/>
      <c r="H4667" s="16" t="s">
        <v>87</v>
      </c>
      <c r="I4667" s="16" t="s">
        <v>87</v>
      </c>
      <c r="J4667" s="19"/>
      <c r="L4667" s="16" t="str">
        <f>IFERROR(__xludf.DUMMYFUNCTION("""COMPUTED_VALUE"""),"")</f>
        <v/>
      </c>
      <c r="M4667" s="16" t="str">
        <f>IFERROR(__xludf.DUMMYFUNCTION("""COMPUTED_VALUE"""),"")</f>
        <v/>
      </c>
      <c r="U4667" s="16" t="s">
        <v>87</v>
      </c>
      <c r="V4667" s="16" t="str">
        <f>IFERROR(__xludf.DUMMYFUNCTION("""COMPUTED_VALUE"""),"")</f>
        <v/>
      </c>
      <c r="W4667" s="16" t="str">
        <f>IFERROR(__xludf.DUMMYFUNCTION("""COMPUTED_VALUE"""),"")</f>
        <v/>
      </c>
      <c r="X4667" s="16" t="str">
        <f>IFERROR(__xludf.DUMMYFUNCTION("""COMPUTED_VALUE"""),"")</f>
        <v/>
      </c>
      <c r="AC4667" s="16" t="str">
        <f>IFERROR(__xludf.DUMMYFUNCTION("""COMPUTED_VALUE"""),"")</f>
        <v/>
      </c>
    </row>
    <row r="4668">
      <c r="A4668" s="16" t="s">
        <v>87</v>
      </c>
      <c r="E4668" s="16" t="str">
        <f>IFERROR(__xludf.DUMMYFUNCTION("""COMPUTED_VALUE"""),"")</f>
        <v/>
      </c>
      <c r="G4668" s="18"/>
      <c r="H4668" s="16" t="s">
        <v>87</v>
      </c>
      <c r="I4668" s="16" t="s">
        <v>87</v>
      </c>
      <c r="J4668" s="19"/>
      <c r="L4668" s="16" t="str">
        <f>IFERROR(__xludf.DUMMYFUNCTION("""COMPUTED_VALUE"""),"")</f>
        <v/>
      </c>
      <c r="M4668" s="16" t="str">
        <f>IFERROR(__xludf.DUMMYFUNCTION("""COMPUTED_VALUE"""),"")</f>
        <v/>
      </c>
      <c r="U4668" s="16" t="s">
        <v>87</v>
      </c>
      <c r="V4668" s="16" t="str">
        <f>IFERROR(__xludf.DUMMYFUNCTION("""COMPUTED_VALUE"""),"")</f>
        <v/>
      </c>
      <c r="W4668" s="16" t="str">
        <f>IFERROR(__xludf.DUMMYFUNCTION("""COMPUTED_VALUE"""),"")</f>
        <v/>
      </c>
      <c r="X4668" s="16" t="str">
        <f>IFERROR(__xludf.DUMMYFUNCTION("""COMPUTED_VALUE"""),"")</f>
        <v/>
      </c>
      <c r="AC4668" s="16" t="str">
        <f>IFERROR(__xludf.DUMMYFUNCTION("""COMPUTED_VALUE"""),"")</f>
        <v/>
      </c>
    </row>
    <row r="4669">
      <c r="A4669" s="16" t="s">
        <v>87</v>
      </c>
      <c r="E4669" s="16" t="str">
        <f>IFERROR(__xludf.DUMMYFUNCTION("""COMPUTED_VALUE"""),"")</f>
        <v/>
      </c>
      <c r="G4669" s="18"/>
      <c r="H4669" s="16" t="s">
        <v>87</v>
      </c>
      <c r="I4669" s="16" t="s">
        <v>87</v>
      </c>
      <c r="J4669" s="19"/>
      <c r="L4669" s="16" t="str">
        <f>IFERROR(__xludf.DUMMYFUNCTION("""COMPUTED_VALUE"""),"")</f>
        <v/>
      </c>
      <c r="M4669" s="16" t="str">
        <f>IFERROR(__xludf.DUMMYFUNCTION("""COMPUTED_VALUE"""),"")</f>
        <v/>
      </c>
      <c r="U4669" s="16" t="s">
        <v>87</v>
      </c>
      <c r="V4669" s="16" t="str">
        <f>IFERROR(__xludf.DUMMYFUNCTION("""COMPUTED_VALUE"""),"")</f>
        <v/>
      </c>
      <c r="W4669" s="16" t="str">
        <f>IFERROR(__xludf.DUMMYFUNCTION("""COMPUTED_VALUE"""),"")</f>
        <v/>
      </c>
      <c r="X4669" s="16" t="str">
        <f>IFERROR(__xludf.DUMMYFUNCTION("""COMPUTED_VALUE"""),"")</f>
        <v/>
      </c>
      <c r="AC4669" s="16" t="str">
        <f>IFERROR(__xludf.DUMMYFUNCTION("""COMPUTED_VALUE"""),"")</f>
        <v/>
      </c>
    </row>
    <row r="4670">
      <c r="A4670" s="16" t="s">
        <v>87</v>
      </c>
      <c r="E4670" s="16" t="str">
        <f>IFERROR(__xludf.DUMMYFUNCTION("""COMPUTED_VALUE"""),"")</f>
        <v/>
      </c>
      <c r="G4670" s="18"/>
      <c r="H4670" s="16" t="s">
        <v>87</v>
      </c>
      <c r="I4670" s="16" t="s">
        <v>87</v>
      </c>
      <c r="J4670" s="19"/>
      <c r="L4670" s="16" t="str">
        <f>IFERROR(__xludf.DUMMYFUNCTION("""COMPUTED_VALUE"""),"")</f>
        <v/>
      </c>
      <c r="M4670" s="16" t="str">
        <f>IFERROR(__xludf.DUMMYFUNCTION("""COMPUTED_VALUE"""),"")</f>
        <v/>
      </c>
      <c r="U4670" s="16" t="s">
        <v>87</v>
      </c>
      <c r="V4670" s="16" t="str">
        <f>IFERROR(__xludf.DUMMYFUNCTION("""COMPUTED_VALUE"""),"")</f>
        <v/>
      </c>
      <c r="W4670" s="16" t="str">
        <f>IFERROR(__xludf.DUMMYFUNCTION("""COMPUTED_VALUE"""),"")</f>
        <v/>
      </c>
      <c r="X4670" s="16" t="str">
        <f>IFERROR(__xludf.DUMMYFUNCTION("""COMPUTED_VALUE"""),"")</f>
        <v/>
      </c>
      <c r="AC4670" s="16" t="str">
        <f>IFERROR(__xludf.DUMMYFUNCTION("""COMPUTED_VALUE"""),"")</f>
        <v/>
      </c>
    </row>
    <row r="4671">
      <c r="A4671" s="16" t="s">
        <v>87</v>
      </c>
      <c r="E4671" s="16" t="str">
        <f>IFERROR(__xludf.DUMMYFUNCTION("""COMPUTED_VALUE"""),"")</f>
        <v/>
      </c>
      <c r="G4671" s="18"/>
      <c r="H4671" s="16" t="s">
        <v>87</v>
      </c>
      <c r="I4671" s="16" t="s">
        <v>87</v>
      </c>
      <c r="J4671" s="19"/>
      <c r="L4671" s="16" t="str">
        <f>IFERROR(__xludf.DUMMYFUNCTION("""COMPUTED_VALUE"""),"")</f>
        <v/>
      </c>
      <c r="M4671" s="16" t="str">
        <f>IFERROR(__xludf.DUMMYFUNCTION("""COMPUTED_VALUE"""),"")</f>
        <v/>
      </c>
      <c r="U4671" s="16" t="s">
        <v>87</v>
      </c>
      <c r="V4671" s="16" t="str">
        <f>IFERROR(__xludf.DUMMYFUNCTION("""COMPUTED_VALUE"""),"")</f>
        <v/>
      </c>
      <c r="W4671" s="16" t="str">
        <f>IFERROR(__xludf.DUMMYFUNCTION("""COMPUTED_VALUE"""),"")</f>
        <v/>
      </c>
      <c r="X4671" s="16" t="str">
        <f>IFERROR(__xludf.DUMMYFUNCTION("""COMPUTED_VALUE"""),"")</f>
        <v/>
      </c>
      <c r="AC4671" s="16" t="str">
        <f>IFERROR(__xludf.DUMMYFUNCTION("""COMPUTED_VALUE"""),"")</f>
        <v/>
      </c>
    </row>
    <row r="4672">
      <c r="A4672" s="16" t="s">
        <v>87</v>
      </c>
      <c r="E4672" s="16" t="str">
        <f>IFERROR(__xludf.DUMMYFUNCTION("""COMPUTED_VALUE"""),"")</f>
        <v/>
      </c>
      <c r="G4672" s="18"/>
      <c r="H4672" s="16" t="s">
        <v>87</v>
      </c>
      <c r="I4672" s="16" t="s">
        <v>87</v>
      </c>
      <c r="J4672" s="19"/>
      <c r="L4672" s="16" t="str">
        <f>IFERROR(__xludf.DUMMYFUNCTION("""COMPUTED_VALUE"""),"")</f>
        <v/>
      </c>
      <c r="M4672" s="16" t="str">
        <f>IFERROR(__xludf.DUMMYFUNCTION("""COMPUTED_VALUE"""),"")</f>
        <v/>
      </c>
      <c r="U4672" s="16" t="s">
        <v>87</v>
      </c>
      <c r="V4672" s="16" t="str">
        <f>IFERROR(__xludf.DUMMYFUNCTION("""COMPUTED_VALUE"""),"")</f>
        <v/>
      </c>
      <c r="W4672" s="16" t="str">
        <f>IFERROR(__xludf.DUMMYFUNCTION("""COMPUTED_VALUE"""),"")</f>
        <v/>
      </c>
      <c r="X4672" s="16" t="str">
        <f>IFERROR(__xludf.DUMMYFUNCTION("""COMPUTED_VALUE"""),"")</f>
        <v/>
      </c>
      <c r="AC4672" s="16" t="str">
        <f>IFERROR(__xludf.DUMMYFUNCTION("""COMPUTED_VALUE"""),"")</f>
        <v/>
      </c>
    </row>
    <row r="4673">
      <c r="A4673" s="16" t="s">
        <v>87</v>
      </c>
      <c r="E4673" s="16" t="str">
        <f>IFERROR(__xludf.DUMMYFUNCTION("""COMPUTED_VALUE"""),"")</f>
        <v/>
      </c>
      <c r="G4673" s="18"/>
      <c r="H4673" s="16" t="s">
        <v>87</v>
      </c>
      <c r="I4673" s="16" t="s">
        <v>87</v>
      </c>
      <c r="J4673" s="19"/>
      <c r="L4673" s="16" t="str">
        <f>IFERROR(__xludf.DUMMYFUNCTION("""COMPUTED_VALUE"""),"")</f>
        <v/>
      </c>
      <c r="M4673" s="16" t="str">
        <f>IFERROR(__xludf.DUMMYFUNCTION("""COMPUTED_VALUE"""),"")</f>
        <v/>
      </c>
      <c r="U4673" s="16" t="s">
        <v>87</v>
      </c>
      <c r="V4673" s="16" t="str">
        <f>IFERROR(__xludf.DUMMYFUNCTION("""COMPUTED_VALUE"""),"")</f>
        <v/>
      </c>
      <c r="W4673" s="16" t="str">
        <f>IFERROR(__xludf.DUMMYFUNCTION("""COMPUTED_VALUE"""),"")</f>
        <v/>
      </c>
      <c r="X4673" s="16" t="str">
        <f>IFERROR(__xludf.DUMMYFUNCTION("""COMPUTED_VALUE"""),"")</f>
        <v/>
      </c>
      <c r="AC4673" s="16" t="str">
        <f>IFERROR(__xludf.DUMMYFUNCTION("""COMPUTED_VALUE"""),"")</f>
        <v/>
      </c>
    </row>
    <row r="4674">
      <c r="A4674" s="16" t="s">
        <v>87</v>
      </c>
      <c r="E4674" s="16" t="str">
        <f>IFERROR(__xludf.DUMMYFUNCTION("""COMPUTED_VALUE"""),"")</f>
        <v/>
      </c>
      <c r="G4674" s="18"/>
      <c r="H4674" s="16" t="s">
        <v>87</v>
      </c>
      <c r="I4674" s="16" t="s">
        <v>87</v>
      </c>
      <c r="J4674" s="19"/>
      <c r="L4674" s="16" t="str">
        <f>IFERROR(__xludf.DUMMYFUNCTION("""COMPUTED_VALUE"""),"")</f>
        <v/>
      </c>
      <c r="M4674" s="16" t="str">
        <f>IFERROR(__xludf.DUMMYFUNCTION("""COMPUTED_VALUE"""),"")</f>
        <v/>
      </c>
      <c r="U4674" s="16" t="s">
        <v>87</v>
      </c>
      <c r="V4674" s="16" t="str">
        <f>IFERROR(__xludf.DUMMYFUNCTION("""COMPUTED_VALUE"""),"")</f>
        <v/>
      </c>
      <c r="W4674" s="16" t="str">
        <f>IFERROR(__xludf.DUMMYFUNCTION("""COMPUTED_VALUE"""),"")</f>
        <v/>
      </c>
      <c r="X4674" s="16" t="str">
        <f>IFERROR(__xludf.DUMMYFUNCTION("""COMPUTED_VALUE"""),"")</f>
        <v/>
      </c>
      <c r="AC4674" s="16" t="str">
        <f>IFERROR(__xludf.DUMMYFUNCTION("""COMPUTED_VALUE"""),"")</f>
        <v/>
      </c>
    </row>
    <row r="4675">
      <c r="A4675" s="16" t="s">
        <v>87</v>
      </c>
      <c r="E4675" s="16" t="str">
        <f>IFERROR(__xludf.DUMMYFUNCTION("""COMPUTED_VALUE"""),"")</f>
        <v/>
      </c>
      <c r="G4675" s="18"/>
      <c r="H4675" s="16" t="s">
        <v>87</v>
      </c>
      <c r="I4675" s="16" t="s">
        <v>87</v>
      </c>
      <c r="J4675" s="19"/>
      <c r="L4675" s="16" t="str">
        <f>IFERROR(__xludf.DUMMYFUNCTION("""COMPUTED_VALUE"""),"")</f>
        <v/>
      </c>
      <c r="M4675" s="16" t="str">
        <f>IFERROR(__xludf.DUMMYFUNCTION("""COMPUTED_VALUE"""),"")</f>
        <v/>
      </c>
      <c r="U4675" s="16" t="s">
        <v>87</v>
      </c>
      <c r="V4675" s="16" t="str">
        <f>IFERROR(__xludf.DUMMYFUNCTION("""COMPUTED_VALUE"""),"")</f>
        <v/>
      </c>
      <c r="W4675" s="16" t="str">
        <f>IFERROR(__xludf.DUMMYFUNCTION("""COMPUTED_VALUE"""),"")</f>
        <v/>
      </c>
      <c r="X4675" s="16" t="str">
        <f>IFERROR(__xludf.DUMMYFUNCTION("""COMPUTED_VALUE"""),"")</f>
        <v/>
      </c>
      <c r="AC4675" s="16" t="str">
        <f>IFERROR(__xludf.DUMMYFUNCTION("""COMPUTED_VALUE"""),"")</f>
        <v/>
      </c>
    </row>
    <row r="4676">
      <c r="A4676" s="16" t="s">
        <v>87</v>
      </c>
      <c r="E4676" s="16" t="str">
        <f>IFERROR(__xludf.DUMMYFUNCTION("""COMPUTED_VALUE"""),"")</f>
        <v/>
      </c>
      <c r="G4676" s="18"/>
      <c r="H4676" s="16" t="s">
        <v>87</v>
      </c>
      <c r="I4676" s="16" t="s">
        <v>87</v>
      </c>
      <c r="J4676" s="19"/>
      <c r="L4676" s="16" t="str">
        <f>IFERROR(__xludf.DUMMYFUNCTION("""COMPUTED_VALUE"""),"")</f>
        <v/>
      </c>
      <c r="M4676" s="16" t="str">
        <f>IFERROR(__xludf.DUMMYFUNCTION("""COMPUTED_VALUE"""),"")</f>
        <v/>
      </c>
      <c r="U4676" s="16" t="s">
        <v>87</v>
      </c>
      <c r="V4676" s="16" t="str">
        <f>IFERROR(__xludf.DUMMYFUNCTION("""COMPUTED_VALUE"""),"")</f>
        <v/>
      </c>
      <c r="W4676" s="16" t="str">
        <f>IFERROR(__xludf.DUMMYFUNCTION("""COMPUTED_VALUE"""),"")</f>
        <v/>
      </c>
      <c r="X4676" s="16" t="str">
        <f>IFERROR(__xludf.DUMMYFUNCTION("""COMPUTED_VALUE"""),"")</f>
        <v/>
      </c>
      <c r="AC4676" s="16" t="str">
        <f>IFERROR(__xludf.DUMMYFUNCTION("""COMPUTED_VALUE"""),"")</f>
        <v/>
      </c>
    </row>
    <row r="4677">
      <c r="A4677" s="16" t="s">
        <v>87</v>
      </c>
      <c r="E4677" s="16" t="str">
        <f>IFERROR(__xludf.DUMMYFUNCTION("""COMPUTED_VALUE"""),"")</f>
        <v/>
      </c>
      <c r="G4677" s="18"/>
      <c r="H4677" s="16" t="s">
        <v>87</v>
      </c>
      <c r="I4677" s="16" t="s">
        <v>87</v>
      </c>
      <c r="J4677" s="19"/>
      <c r="L4677" s="16" t="str">
        <f>IFERROR(__xludf.DUMMYFUNCTION("""COMPUTED_VALUE"""),"")</f>
        <v/>
      </c>
      <c r="M4677" s="16" t="str">
        <f>IFERROR(__xludf.DUMMYFUNCTION("""COMPUTED_VALUE"""),"")</f>
        <v/>
      </c>
      <c r="U4677" s="16" t="s">
        <v>87</v>
      </c>
      <c r="V4677" s="16" t="str">
        <f>IFERROR(__xludf.DUMMYFUNCTION("""COMPUTED_VALUE"""),"")</f>
        <v/>
      </c>
      <c r="W4677" s="16" t="str">
        <f>IFERROR(__xludf.DUMMYFUNCTION("""COMPUTED_VALUE"""),"")</f>
        <v/>
      </c>
      <c r="X4677" s="16" t="str">
        <f>IFERROR(__xludf.DUMMYFUNCTION("""COMPUTED_VALUE"""),"")</f>
        <v/>
      </c>
      <c r="AC4677" s="16" t="str">
        <f>IFERROR(__xludf.DUMMYFUNCTION("""COMPUTED_VALUE"""),"")</f>
        <v/>
      </c>
    </row>
    <row r="4678">
      <c r="A4678" s="16" t="s">
        <v>87</v>
      </c>
      <c r="E4678" s="16" t="str">
        <f>IFERROR(__xludf.DUMMYFUNCTION("""COMPUTED_VALUE"""),"")</f>
        <v/>
      </c>
      <c r="G4678" s="18"/>
      <c r="H4678" s="16" t="s">
        <v>87</v>
      </c>
      <c r="I4678" s="16" t="s">
        <v>87</v>
      </c>
      <c r="J4678" s="19"/>
      <c r="L4678" s="16" t="str">
        <f>IFERROR(__xludf.DUMMYFUNCTION("""COMPUTED_VALUE"""),"")</f>
        <v/>
      </c>
      <c r="M4678" s="16" t="str">
        <f>IFERROR(__xludf.DUMMYFUNCTION("""COMPUTED_VALUE"""),"")</f>
        <v/>
      </c>
      <c r="U4678" s="16" t="s">
        <v>87</v>
      </c>
      <c r="V4678" s="16" t="str">
        <f>IFERROR(__xludf.DUMMYFUNCTION("""COMPUTED_VALUE"""),"")</f>
        <v/>
      </c>
      <c r="W4678" s="16" t="str">
        <f>IFERROR(__xludf.DUMMYFUNCTION("""COMPUTED_VALUE"""),"")</f>
        <v/>
      </c>
      <c r="X4678" s="16" t="str">
        <f>IFERROR(__xludf.DUMMYFUNCTION("""COMPUTED_VALUE"""),"")</f>
        <v/>
      </c>
      <c r="AC4678" s="16" t="str">
        <f>IFERROR(__xludf.DUMMYFUNCTION("""COMPUTED_VALUE"""),"")</f>
        <v/>
      </c>
    </row>
    <row r="4679">
      <c r="A4679" s="16" t="s">
        <v>87</v>
      </c>
      <c r="E4679" s="16" t="str">
        <f>IFERROR(__xludf.DUMMYFUNCTION("""COMPUTED_VALUE"""),"")</f>
        <v/>
      </c>
      <c r="G4679" s="18"/>
      <c r="H4679" s="16" t="s">
        <v>87</v>
      </c>
      <c r="I4679" s="16" t="s">
        <v>87</v>
      </c>
      <c r="J4679" s="19"/>
      <c r="L4679" s="16" t="str">
        <f>IFERROR(__xludf.DUMMYFUNCTION("""COMPUTED_VALUE"""),"")</f>
        <v/>
      </c>
      <c r="M4679" s="16" t="str">
        <f>IFERROR(__xludf.DUMMYFUNCTION("""COMPUTED_VALUE"""),"")</f>
        <v/>
      </c>
      <c r="U4679" s="16" t="s">
        <v>87</v>
      </c>
      <c r="V4679" s="16" t="str">
        <f>IFERROR(__xludf.DUMMYFUNCTION("""COMPUTED_VALUE"""),"")</f>
        <v/>
      </c>
      <c r="W4679" s="16" t="str">
        <f>IFERROR(__xludf.DUMMYFUNCTION("""COMPUTED_VALUE"""),"")</f>
        <v/>
      </c>
      <c r="X4679" s="16" t="str">
        <f>IFERROR(__xludf.DUMMYFUNCTION("""COMPUTED_VALUE"""),"")</f>
        <v/>
      </c>
      <c r="AC4679" s="16" t="str">
        <f>IFERROR(__xludf.DUMMYFUNCTION("""COMPUTED_VALUE"""),"")</f>
        <v/>
      </c>
    </row>
    <row r="4680">
      <c r="A4680" s="16" t="s">
        <v>87</v>
      </c>
      <c r="E4680" s="16" t="str">
        <f>IFERROR(__xludf.DUMMYFUNCTION("""COMPUTED_VALUE"""),"")</f>
        <v/>
      </c>
      <c r="G4680" s="18"/>
      <c r="H4680" s="16" t="s">
        <v>87</v>
      </c>
      <c r="I4680" s="16" t="s">
        <v>87</v>
      </c>
      <c r="J4680" s="19"/>
      <c r="L4680" s="16" t="str">
        <f>IFERROR(__xludf.DUMMYFUNCTION("""COMPUTED_VALUE"""),"")</f>
        <v/>
      </c>
      <c r="M4680" s="16" t="str">
        <f>IFERROR(__xludf.DUMMYFUNCTION("""COMPUTED_VALUE"""),"")</f>
        <v/>
      </c>
      <c r="U4680" s="16" t="s">
        <v>87</v>
      </c>
      <c r="V4680" s="16" t="str">
        <f>IFERROR(__xludf.DUMMYFUNCTION("""COMPUTED_VALUE"""),"")</f>
        <v/>
      </c>
      <c r="W4680" s="16" t="str">
        <f>IFERROR(__xludf.DUMMYFUNCTION("""COMPUTED_VALUE"""),"")</f>
        <v/>
      </c>
      <c r="X4680" s="16" t="str">
        <f>IFERROR(__xludf.DUMMYFUNCTION("""COMPUTED_VALUE"""),"")</f>
        <v/>
      </c>
      <c r="AC4680" s="16" t="str">
        <f>IFERROR(__xludf.DUMMYFUNCTION("""COMPUTED_VALUE"""),"")</f>
        <v/>
      </c>
    </row>
    <row r="4681">
      <c r="A4681" s="16" t="s">
        <v>87</v>
      </c>
      <c r="E4681" s="16" t="str">
        <f>IFERROR(__xludf.DUMMYFUNCTION("""COMPUTED_VALUE"""),"")</f>
        <v/>
      </c>
      <c r="G4681" s="18"/>
      <c r="H4681" s="16" t="s">
        <v>87</v>
      </c>
      <c r="I4681" s="16" t="s">
        <v>87</v>
      </c>
      <c r="J4681" s="19"/>
      <c r="L4681" s="16" t="str">
        <f>IFERROR(__xludf.DUMMYFUNCTION("""COMPUTED_VALUE"""),"")</f>
        <v/>
      </c>
      <c r="M4681" s="16" t="str">
        <f>IFERROR(__xludf.DUMMYFUNCTION("""COMPUTED_VALUE"""),"")</f>
        <v/>
      </c>
      <c r="U4681" s="16" t="s">
        <v>87</v>
      </c>
      <c r="V4681" s="16" t="str">
        <f>IFERROR(__xludf.DUMMYFUNCTION("""COMPUTED_VALUE"""),"")</f>
        <v/>
      </c>
      <c r="W4681" s="16" t="str">
        <f>IFERROR(__xludf.DUMMYFUNCTION("""COMPUTED_VALUE"""),"")</f>
        <v/>
      </c>
      <c r="X4681" s="16" t="str">
        <f>IFERROR(__xludf.DUMMYFUNCTION("""COMPUTED_VALUE"""),"")</f>
        <v/>
      </c>
      <c r="AC4681" s="16" t="str">
        <f>IFERROR(__xludf.DUMMYFUNCTION("""COMPUTED_VALUE"""),"")</f>
        <v/>
      </c>
    </row>
    <row r="4682">
      <c r="A4682" s="16" t="s">
        <v>87</v>
      </c>
      <c r="E4682" s="16" t="str">
        <f>IFERROR(__xludf.DUMMYFUNCTION("""COMPUTED_VALUE"""),"")</f>
        <v/>
      </c>
      <c r="G4682" s="18"/>
      <c r="H4682" s="16" t="s">
        <v>87</v>
      </c>
      <c r="I4682" s="16" t="s">
        <v>87</v>
      </c>
      <c r="J4682" s="19"/>
      <c r="L4682" s="16" t="str">
        <f>IFERROR(__xludf.DUMMYFUNCTION("""COMPUTED_VALUE"""),"")</f>
        <v/>
      </c>
      <c r="M4682" s="16" t="str">
        <f>IFERROR(__xludf.DUMMYFUNCTION("""COMPUTED_VALUE"""),"")</f>
        <v/>
      </c>
      <c r="U4682" s="16" t="s">
        <v>87</v>
      </c>
      <c r="V4682" s="16" t="str">
        <f>IFERROR(__xludf.DUMMYFUNCTION("""COMPUTED_VALUE"""),"")</f>
        <v/>
      </c>
      <c r="W4682" s="16" t="str">
        <f>IFERROR(__xludf.DUMMYFUNCTION("""COMPUTED_VALUE"""),"")</f>
        <v/>
      </c>
      <c r="X4682" s="16" t="str">
        <f>IFERROR(__xludf.DUMMYFUNCTION("""COMPUTED_VALUE"""),"")</f>
        <v/>
      </c>
      <c r="AC4682" s="16" t="str">
        <f>IFERROR(__xludf.DUMMYFUNCTION("""COMPUTED_VALUE"""),"")</f>
        <v/>
      </c>
    </row>
    <row r="4683">
      <c r="A4683" s="16" t="s">
        <v>87</v>
      </c>
      <c r="E4683" s="16" t="str">
        <f>IFERROR(__xludf.DUMMYFUNCTION("""COMPUTED_VALUE"""),"")</f>
        <v/>
      </c>
      <c r="G4683" s="18"/>
      <c r="H4683" s="16" t="s">
        <v>87</v>
      </c>
      <c r="I4683" s="16" t="s">
        <v>87</v>
      </c>
      <c r="J4683" s="19"/>
      <c r="L4683" s="16" t="str">
        <f>IFERROR(__xludf.DUMMYFUNCTION("""COMPUTED_VALUE"""),"")</f>
        <v/>
      </c>
      <c r="M4683" s="16" t="str">
        <f>IFERROR(__xludf.DUMMYFUNCTION("""COMPUTED_VALUE"""),"")</f>
        <v/>
      </c>
      <c r="U4683" s="16" t="s">
        <v>87</v>
      </c>
      <c r="V4683" s="16" t="str">
        <f>IFERROR(__xludf.DUMMYFUNCTION("""COMPUTED_VALUE"""),"")</f>
        <v/>
      </c>
      <c r="W4683" s="16" t="str">
        <f>IFERROR(__xludf.DUMMYFUNCTION("""COMPUTED_VALUE"""),"")</f>
        <v/>
      </c>
      <c r="X4683" s="16" t="str">
        <f>IFERROR(__xludf.DUMMYFUNCTION("""COMPUTED_VALUE"""),"")</f>
        <v/>
      </c>
      <c r="AC4683" s="16" t="str">
        <f>IFERROR(__xludf.DUMMYFUNCTION("""COMPUTED_VALUE"""),"")</f>
        <v/>
      </c>
    </row>
    <row r="4684">
      <c r="A4684" s="16" t="s">
        <v>87</v>
      </c>
      <c r="E4684" s="16" t="str">
        <f>IFERROR(__xludf.DUMMYFUNCTION("""COMPUTED_VALUE"""),"")</f>
        <v/>
      </c>
      <c r="G4684" s="18"/>
      <c r="H4684" s="16" t="s">
        <v>87</v>
      </c>
      <c r="I4684" s="16" t="s">
        <v>87</v>
      </c>
      <c r="J4684" s="19"/>
      <c r="L4684" s="16" t="str">
        <f>IFERROR(__xludf.DUMMYFUNCTION("""COMPUTED_VALUE"""),"")</f>
        <v/>
      </c>
      <c r="M4684" s="16" t="str">
        <f>IFERROR(__xludf.DUMMYFUNCTION("""COMPUTED_VALUE"""),"")</f>
        <v/>
      </c>
      <c r="U4684" s="16" t="s">
        <v>87</v>
      </c>
      <c r="V4684" s="16" t="str">
        <f>IFERROR(__xludf.DUMMYFUNCTION("""COMPUTED_VALUE"""),"")</f>
        <v/>
      </c>
      <c r="W4684" s="16" t="str">
        <f>IFERROR(__xludf.DUMMYFUNCTION("""COMPUTED_VALUE"""),"")</f>
        <v/>
      </c>
      <c r="X4684" s="16" t="str">
        <f>IFERROR(__xludf.DUMMYFUNCTION("""COMPUTED_VALUE"""),"")</f>
        <v/>
      </c>
      <c r="AC4684" s="16" t="str">
        <f>IFERROR(__xludf.DUMMYFUNCTION("""COMPUTED_VALUE"""),"")</f>
        <v/>
      </c>
    </row>
    <row r="4685">
      <c r="A4685" s="16" t="s">
        <v>87</v>
      </c>
      <c r="E4685" s="16" t="str">
        <f>IFERROR(__xludf.DUMMYFUNCTION("""COMPUTED_VALUE"""),"")</f>
        <v/>
      </c>
      <c r="G4685" s="18"/>
      <c r="H4685" s="16" t="s">
        <v>87</v>
      </c>
      <c r="I4685" s="16" t="s">
        <v>87</v>
      </c>
      <c r="J4685" s="19"/>
      <c r="L4685" s="16" t="str">
        <f>IFERROR(__xludf.DUMMYFUNCTION("""COMPUTED_VALUE"""),"")</f>
        <v/>
      </c>
      <c r="M4685" s="16" t="str">
        <f>IFERROR(__xludf.DUMMYFUNCTION("""COMPUTED_VALUE"""),"")</f>
        <v/>
      </c>
      <c r="U4685" s="16" t="s">
        <v>87</v>
      </c>
      <c r="V4685" s="16" t="str">
        <f>IFERROR(__xludf.DUMMYFUNCTION("""COMPUTED_VALUE"""),"")</f>
        <v/>
      </c>
      <c r="W4685" s="16" t="str">
        <f>IFERROR(__xludf.DUMMYFUNCTION("""COMPUTED_VALUE"""),"")</f>
        <v/>
      </c>
      <c r="X4685" s="16" t="str">
        <f>IFERROR(__xludf.DUMMYFUNCTION("""COMPUTED_VALUE"""),"")</f>
        <v/>
      </c>
      <c r="AC4685" s="16" t="str">
        <f>IFERROR(__xludf.DUMMYFUNCTION("""COMPUTED_VALUE"""),"")</f>
        <v/>
      </c>
    </row>
    <row r="4686">
      <c r="A4686" s="16" t="s">
        <v>87</v>
      </c>
      <c r="E4686" s="16" t="str">
        <f>IFERROR(__xludf.DUMMYFUNCTION("""COMPUTED_VALUE"""),"")</f>
        <v/>
      </c>
      <c r="G4686" s="18"/>
      <c r="H4686" s="16" t="s">
        <v>87</v>
      </c>
      <c r="I4686" s="16" t="s">
        <v>87</v>
      </c>
      <c r="J4686" s="19"/>
      <c r="L4686" s="16" t="str">
        <f>IFERROR(__xludf.DUMMYFUNCTION("""COMPUTED_VALUE"""),"")</f>
        <v/>
      </c>
      <c r="M4686" s="16" t="str">
        <f>IFERROR(__xludf.DUMMYFUNCTION("""COMPUTED_VALUE"""),"")</f>
        <v/>
      </c>
      <c r="U4686" s="16" t="s">
        <v>87</v>
      </c>
      <c r="V4686" s="16" t="str">
        <f>IFERROR(__xludf.DUMMYFUNCTION("""COMPUTED_VALUE"""),"")</f>
        <v/>
      </c>
      <c r="W4686" s="16" t="str">
        <f>IFERROR(__xludf.DUMMYFUNCTION("""COMPUTED_VALUE"""),"")</f>
        <v/>
      </c>
      <c r="X4686" s="16" t="str">
        <f>IFERROR(__xludf.DUMMYFUNCTION("""COMPUTED_VALUE"""),"")</f>
        <v/>
      </c>
      <c r="AC4686" s="16" t="str">
        <f>IFERROR(__xludf.DUMMYFUNCTION("""COMPUTED_VALUE"""),"")</f>
        <v/>
      </c>
    </row>
    <row r="4687">
      <c r="A4687" s="16" t="s">
        <v>87</v>
      </c>
      <c r="E4687" s="16" t="str">
        <f>IFERROR(__xludf.DUMMYFUNCTION("""COMPUTED_VALUE"""),"")</f>
        <v/>
      </c>
      <c r="G4687" s="18"/>
      <c r="H4687" s="16" t="s">
        <v>87</v>
      </c>
      <c r="I4687" s="16" t="s">
        <v>87</v>
      </c>
      <c r="J4687" s="19"/>
      <c r="L4687" s="16" t="str">
        <f>IFERROR(__xludf.DUMMYFUNCTION("""COMPUTED_VALUE"""),"")</f>
        <v/>
      </c>
      <c r="M4687" s="16" t="str">
        <f>IFERROR(__xludf.DUMMYFUNCTION("""COMPUTED_VALUE"""),"")</f>
        <v/>
      </c>
      <c r="U4687" s="16" t="s">
        <v>87</v>
      </c>
      <c r="V4687" s="16" t="str">
        <f>IFERROR(__xludf.DUMMYFUNCTION("""COMPUTED_VALUE"""),"")</f>
        <v/>
      </c>
      <c r="W4687" s="16" t="str">
        <f>IFERROR(__xludf.DUMMYFUNCTION("""COMPUTED_VALUE"""),"")</f>
        <v/>
      </c>
      <c r="X4687" s="16" t="str">
        <f>IFERROR(__xludf.DUMMYFUNCTION("""COMPUTED_VALUE"""),"")</f>
        <v/>
      </c>
      <c r="AC4687" s="16" t="str">
        <f>IFERROR(__xludf.DUMMYFUNCTION("""COMPUTED_VALUE"""),"")</f>
        <v/>
      </c>
    </row>
    <row r="4688">
      <c r="A4688" s="16" t="s">
        <v>87</v>
      </c>
      <c r="E4688" s="16" t="str">
        <f>IFERROR(__xludf.DUMMYFUNCTION("""COMPUTED_VALUE"""),"")</f>
        <v/>
      </c>
      <c r="G4688" s="18"/>
      <c r="H4688" s="16" t="s">
        <v>87</v>
      </c>
      <c r="I4688" s="16" t="s">
        <v>87</v>
      </c>
      <c r="J4688" s="19"/>
      <c r="L4688" s="16" t="str">
        <f>IFERROR(__xludf.DUMMYFUNCTION("""COMPUTED_VALUE"""),"")</f>
        <v/>
      </c>
      <c r="M4688" s="16" t="str">
        <f>IFERROR(__xludf.DUMMYFUNCTION("""COMPUTED_VALUE"""),"")</f>
        <v/>
      </c>
      <c r="U4688" s="16" t="s">
        <v>87</v>
      </c>
      <c r="V4688" s="16" t="str">
        <f>IFERROR(__xludf.DUMMYFUNCTION("""COMPUTED_VALUE"""),"")</f>
        <v/>
      </c>
      <c r="W4688" s="16" t="str">
        <f>IFERROR(__xludf.DUMMYFUNCTION("""COMPUTED_VALUE"""),"")</f>
        <v/>
      </c>
      <c r="X4688" s="16" t="str">
        <f>IFERROR(__xludf.DUMMYFUNCTION("""COMPUTED_VALUE"""),"")</f>
        <v/>
      </c>
      <c r="AC4688" s="16" t="str">
        <f>IFERROR(__xludf.DUMMYFUNCTION("""COMPUTED_VALUE"""),"")</f>
        <v/>
      </c>
    </row>
    <row r="4689">
      <c r="A4689" s="16" t="s">
        <v>87</v>
      </c>
      <c r="E4689" s="16" t="str">
        <f>IFERROR(__xludf.DUMMYFUNCTION("""COMPUTED_VALUE"""),"")</f>
        <v/>
      </c>
      <c r="G4689" s="18"/>
      <c r="H4689" s="16" t="s">
        <v>87</v>
      </c>
      <c r="I4689" s="16" t="s">
        <v>87</v>
      </c>
      <c r="J4689" s="19"/>
      <c r="L4689" s="16" t="str">
        <f>IFERROR(__xludf.DUMMYFUNCTION("""COMPUTED_VALUE"""),"")</f>
        <v/>
      </c>
      <c r="M4689" s="16" t="str">
        <f>IFERROR(__xludf.DUMMYFUNCTION("""COMPUTED_VALUE"""),"")</f>
        <v/>
      </c>
      <c r="U4689" s="16" t="s">
        <v>87</v>
      </c>
      <c r="V4689" s="16" t="str">
        <f>IFERROR(__xludf.DUMMYFUNCTION("""COMPUTED_VALUE"""),"")</f>
        <v/>
      </c>
      <c r="W4689" s="16" t="str">
        <f>IFERROR(__xludf.DUMMYFUNCTION("""COMPUTED_VALUE"""),"")</f>
        <v/>
      </c>
      <c r="X4689" s="16" t="str">
        <f>IFERROR(__xludf.DUMMYFUNCTION("""COMPUTED_VALUE"""),"")</f>
        <v/>
      </c>
      <c r="AC4689" s="16" t="str">
        <f>IFERROR(__xludf.DUMMYFUNCTION("""COMPUTED_VALUE"""),"")</f>
        <v/>
      </c>
    </row>
    <row r="4690">
      <c r="A4690" s="16" t="s">
        <v>87</v>
      </c>
      <c r="E4690" s="16" t="str">
        <f>IFERROR(__xludf.DUMMYFUNCTION("""COMPUTED_VALUE"""),"")</f>
        <v/>
      </c>
      <c r="G4690" s="18"/>
      <c r="H4690" s="16" t="s">
        <v>87</v>
      </c>
      <c r="I4690" s="16" t="s">
        <v>87</v>
      </c>
      <c r="J4690" s="19"/>
      <c r="L4690" s="16" t="str">
        <f>IFERROR(__xludf.DUMMYFUNCTION("""COMPUTED_VALUE"""),"")</f>
        <v/>
      </c>
      <c r="M4690" s="16" t="str">
        <f>IFERROR(__xludf.DUMMYFUNCTION("""COMPUTED_VALUE"""),"")</f>
        <v/>
      </c>
      <c r="U4690" s="16" t="s">
        <v>87</v>
      </c>
      <c r="V4690" s="16" t="str">
        <f>IFERROR(__xludf.DUMMYFUNCTION("""COMPUTED_VALUE"""),"")</f>
        <v/>
      </c>
      <c r="W4690" s="16" t="str">
        <f>IFERROR(__xludf.DUMMYFUNCTION("""COMPUTED_VALUE"""),"")</f>
        <v/>
      </c>
      <c r="X4690" s="16" t="str">
        <f>IFERROR(__xludf.DUMMYFUNCTION("""COMPUTED_VALUE"""),"")</f>
        <v/>
      </c>
      <c r="AC4690" s="16" t="str">
        <f>IFERROR(__xludf.DUMMYFUNCTION("""COMPUTED_VALUE"""),"")</f>
        <v/>
      </c>
    </row>
    <row r="4691">
      <c r="A4691" s="16" t="s">
        <v>87</v>
      </c>
      <c r="E4691" s="16" t="str">
        <f>IFERROR(__xludf.DUMMYFUNCTION("""COMPUTED_VALUE"""),"")</f>
        <v/>
      </c>
      <c r="G4691" s="18"/>
      <c r="H4691" s="16" t="s">
        <v>87</v>
      </c>
      <c r="I4691" s="16" t="s">
        <v>87</v>
      </c>
      <c r="J4691" s="19"/>
      <c r="L4691" s="16" t="str">
        <f>IFERROR(__xludf.DUMMYFUNCTION("""COMPUTED_VALUE"""),"")</f>
        <v/>
      </c>
      <c r="M4691" s="16" t="str">
        <f>IFERROR(__xludf.DUMMYFUNCTION("""COMPUTED_VALUE"""),"")</f>
        <v/>
      </c>
      <c r="U4691" s="16" t="s">
        <v>87</v>
      </c>
      <c r="V4691" s="16" t="str">
        <f>IFERROR(__xludf.DUMMYFUNCTION("""COMPUTED_VALUE"""),"")</f>
        <v/>
      </c>
      <c r="W4691" s="16" t="str">
        <f>IFERROR(__xludf.DUMMYFUNCTION("""COMPUTED_VALUE"""),"")</f>
        <v/>
      </c>
      <c r="X4691" s="16" t="str">
        <f>IFERROR(__xludf.DUMMYFUNCTION("""COMPUTED_VALUE"""),"")</f>
        <v/>
      </c>
      <c r="AC4691" s="16" t="str">
        <f>IFERROR(__xludf.DUMMYFUNCTION("""COMPUTED_VALUE"""),"")</f>
        <v/>
      </c>
    </row>
    <row r="4692">
      <c r="A4692" s="16" t="s">
        <v>87</v>
      </c>
      <c r="E4692" s="16" t="str">
        <f>IFERROR(__xludf.DUMMYFUNCTION("""COMPUTED_VALUE"""),"")</f>
        <v/>
      </c>
      <c r="G4692" s="18"/>
      <c r="H4692" s="16" t="s">
        <v>87</v>
      </c>
      <c r="I4692" s="16" t="s">
        <v>87</v>
      </c>
      <c r="J4692" s="19"/>
      <c r="L4692" s="16" t="str">
        <f>IFERROR(__xludf.DUMMYFUNCTION("""COMPUTED_VALUE"""),"")</f>
        <v/>
      </c>
      <c r="M4692" s="16" t="str">
        <f>IFERROR(__xludf.DUMMYFUNCTION("""COMPUTED_VALUE"""),"")</f>
        <v/>
      </c>
      <c r="U4692" s="16" t="s">
        <v>87</v>
      </c>
      <c r="V4692" s="16" t="str">
        <f>IFERROR(__xludf.DUMMYFUNCTION("""COMPUTED_VALUE"""),"")</f>
        <v/>
      </c>
      <c r="W4692" s="16" t="str">
        <f>IFERROR(__xludf.DUMMYFUNCTION("""COMPUTED_VALUE"""),"")</f>
        <v/>
      </c>
      <c r="X4692" s="16" t="str">
        <f>IFERROR(__xludf.DUMMYFUNCTION("""COMPUTED_VALUE"""),"")</f>
        <v/>
      </c>
      <c r="AC4692" s="16" t="str">
        <f>IFERROR(__xludf.DUMMYFUNCTION("""COMPUTED_VALUE"""),"")</f>
        <v/>
      </c>
    </row>
    <row r="4693">
      <c r="A4693" s="16" t="s">
        <v>87</v>
      </c>
      <c r="E4693" s="16" t="str">
        <f>IFERROR(__xludf.DUMMYFUNCTION("""COMPUTED_VALUE"""),"")</f>
        <v/>
      </c>
      <c r="G4693" s="18"/>
      <c r="H4693" s="16" t="s">
        <v>87</v>
      </c>
      <c r="I4693" s="16" t="s">
        <v>87</v>
      </c>
      <c r="J4693" s="19"/>
      <c r="L4693" s="16" t="str">
        <f>IFERROR(__xludf.DUMMYFUNCTION("""COMPUTED_VALUE"""),"")</f>
        <v/>
      </c>
      <c r="M4693" s="16" t="str">
        <f>IFERROR(__xludf.DUMMYFUNCTION("""COMPUTED_VALUE"""),"")</f>
        <v/>
      </c>
      <c r="U4693" s="16" t="s">
        <v>87</v>
      </c>
      <c r="V4693" s="16" t="str">
        <f>IFERROR(__xludf.DUMMYFUNCTION("""COMPUTED_VALUE"""),"")</f>
        <v/>
      </c>
      <c r="W4693" s="16" t="str">
        <f>IFERROR(__xludf.DUMMYFUNCTION("""COMPUTED_VALUE"""),"")</f>
        <v/>
      </c>
      <c r="X4693" s="16" t="str">
        <f>IFERROR(__xludf.DUMMYFUNCTION("""COMPUTED_VALUE"""),"")</f>
        <v/>
      </c>
      <c r="AC4693" s="16" t="str">
        <f>IFERROR(__xludf.DUMMYFUNCTION("""COMPUTED_VALUE"""),"")</f>
        <v/>
      </c>
    </row>
    <row r="4694">
      <c r="A4694" s="16" t="s">
        <v>87</v>
      </c>
      <c r="E4694" s="16" t="str">
        <f>IFERROR(__xludf.DUMMYFUNCTION("""COMPUTED_VALUE"""),"")</f>
        <v/>
      </c>
      <c r="G4694" s="18"/>
      <c r="H4694" s="16" t="s">
        <v>87</v>
      </c>
      <c r="I4694" s="16" t="s">
        <v>87</v>
      </c>
      <c r="J4694" s="19"/>
      <c r="L4694" s="16" t="str">
        <f>IFERROR(__xludf.DUMMYFUNCTION("""COMPUTED_VALUE"""),"")</f>
        <v/>
      </c>
      <c r="M4694" s="16" t="str">
        <f>IFERROR(__xludf.DUMMYFUNCTION("""COMPUTED_VALUE"""),"")</f>
        <v/>
      </c>
      <c r="U4694" s="16" t="s">
        <v>87</v>
      </c>
      <c r="V4694" s="16" t="str">
        <f>IFERROR(__xludf.DUMMYFUNCTION("""COMPUTED_VALUE"""),"")</f>
        <v/>
      </c>
      <c r="W4694" s="16" t="str">
        <f>IFERROR(__xludf.DUMMYFUNCTION("""COMPUTED_VALUE"""),"")</f>
        <v/>
      </c>
      <c r="X4694" s="16" t="str">
        <f>IFERROR(__xludf.DUMMYFUNCTION("""COMPUTED_VALUE"""),"")</f>
        <v/>
      </c>
      <c r="AC4694" s="16" t="str">
        <f>IFERROR(__xludf.DUMMYFUNCTION("""COMPUTED_VALUE"""),"")</f>
        <v/>
      </c>
    </row>
    <row r="4695">
      <c r="A4695" s="16" t="s">
        <v>87</v>
      </c>
      <c r="E4695" s="16" t="str">
        <f>IFERROR(__xludf.DUMMYFUNCTION("""COMPUTED_VALUE"""),"")</f>
        <v/>
      </c>
      <c r="G4695" s="18"/>
      <c r="H4695" s="16" t="s">
        <v>87</v>
      </c>
      <c r="I4695" s="16" t="s">
        <v>87</v>
      </c>
      <c r="J4695" s="19"/>
      <c r="L4695" s="16" t="str">
        <f>IFERROR(__xludf.DUMMYFUNCTION("""COMPUTED_VALUE"""),"")</f>
        <v/>
      </c>
      <c r="M4695" s="16" t="str">
        <f>IFERROR(__xludf.DUMMYFUNCTION("""COMPUTED_VALUE"""),"")</f>
        <v/>
      </c>
      <c r="U4695" s="16" t="s">
        <v>87</v>
      </c>
      <c r="V4695" s="16" t="str">
        <f>IFERROR(__xludf.DUMMYFUNCTION("""COMPUTED_VALUE"""),"")</f>
        <v/>
      </c>
      <c r="W4695" s="16" t="str">
        <f>IFERROR(__xludf.DUMMYFUNCTION("""COMPUTED_VALUE"""),"")</f>
        <v/>
      </c>
      <c r="X4695" s="16" t="str">
        <f>IFERROR(__xludf.DUMMYFUNCTION("""COMPUTED_VALUE"""),"")</f>
        <v/>
      </c>
      <c r="AC4695" s="16" t="str">
        <f>IFERROR(__xludf.DUMMYFUNCTION("""COMPUTED_VALUE"""),"")</f>
        <v/>
      </c>
    </row>
    <row r="4696">
      <c r="A4696" s="16" t="s">
        <v>87</v>
      </c>
      <c r="E4696" s="16" t="str">
        <f>IFERROR(__xludf.DUMMYFUNCTION("""COMPUTED_VALUE"""),"")</f>
        <v/>
      </c>
      <c r="G4696" s="18"/>
      <c r="H4696" s="16" t="s">
        <v>87</v>
      </c>
      <c r="I4696" s="16" t="s">
        <v>87</v>
      </c>
      <c r="J4696" s="19"/>
      <c r="L4696" s="16" t="str">
        <f>IFERROR(__xludf.DUMMYFUNCTION("""COMPUTED_VALUE"""),"")</f>
        <v/>
      </c>
      <c r="M4696" s="16" t="str">
        <f>IFERROR(__xludf.DUMMYFUNCTION("""COMPUTED_VALUE"""),"")</f>
        <v/>
      </c>
      <c r="U4696" s="16" t="s">
        <v>87</v>
      </c>
      <c r="V4696" s="16" t="str">
        <f>IFERROR(__xludf.DUMMYFUNCTION("""COMPUTED_VALUE"""),"")</f>
        <v/>
      </c>
      <c r="W4696" s="16" t="str">
        <f>IFERROR(__xludf.DUMMYFUNCTION("""COMPUTED_VALUE"""),"")</f>
        <v/>
      </c>
      <c r="X4696" s="16" t="str">
        <f>IFERROR(__xludf.DUMMYFUNCTION("""COMPUTED_VALUE"""),"")</f>
        <v/>
      </c>
      <c r="AC4696" s="16" t="str">
        <f>IFERROR(__xludf.DUMMYFUNCTION("""COMPUTED_VALUE"""),"")</f>
        <v/>
      </c>
    </row>
    <row r="4697">
      <c r="A4697" s="16" t="s">
        <v>87</v>
      </c>
      <c r="E4697" s="16" t="str">
        <f>IFERROR(__xludf.DUMMYFUNCTION("""COMPUTED_VALUE"""),"")</f>
        <v/>
      </c>
      <c r="G4697" s="18"/>
      <c r="H4697" s="16" t="s">
        <v>87</v>
      </c>
      <c r="I4697" s="16" t="s">
        <v>87</v>
      </c>
      <c r="J4697" s="19"/>
      <c r="L4697" s="16" t="str">
        <f>IFERROR(__xludf.DUMMYFUNCTION("""COMPUTED_VALUE"""),"")</f>
        <v/>
      </c>
      <c r="M4697" s="16" t="str">
        <f>IFERROR(__xludf.DUMMYFUNCTION("""COMPUTED_VALUE"""),"")</f>
        <v/>
      </c>
      <c r="U4697" s="16" t="s">
        <v>87</v>
      </c>
      <c r="V4697" s="16" t="str">
        <f>IFERROR(__xludf.DUMMYFUNCTION("""COMPUTED_VALUE"""),"")</f>
        <v/>
      </c>
      <c r="W4697" s="16" t="str">
        <f>IFERROR(__xludf.DUMMYFUNCTION("""COMPUTED_VALUE"""),"")</f>
        <v/>
      </c>
      <c r="X4697" s="16" t="str">
        <f>IFERROR(__xludf.DUMMYFUNCTION("""COMPUTED_VALUE"""),"")</f>
        <v/>
      </c>
      <c r="AC4697" s="16" t="str">
        <f>IFERROR(__xludf.DUMMYFUNCTION("""COMPUTED_VALUE"""),"")</f>
        <v/>
      </c>
    </row>
    <row r="4698">
      <c r="A4698" s="16" t="s">
        <v>87</v>
      </c>
      <c r="E4698" s="16" t="str">
        <f>IFERROR(__xludf.DUMMYFUNCTION("""COMPUTED_VALUE"""),"")</f>
        <v/>
      </c>
      <c r="G4698" s="18"/>
      <c r="H4698" s="16" t="s">
        <v>87</v>
      </c>
      <c r="I4698" s="16" t="s">
        <v>87</v>
      </c>
      <c r="J4698" s="19"/>
      <c r="L4698" s="16" t="str">
        <f>IFERROR(__xludf.DUMMYFUNCTION("""COMPUTED_VALUE"""),"")</f>
        <v/>
      </c>
      <c r="M4698" s="16" t="str">
        <f>IFERROR(__xludf.DUMMYFUNCTION("""COMPUTED_VALUE"""),"")</f>
        <v/>
      </c>
      <c r="U4698" s="16" t="s">
        <v>87</v>
      </c>
      <c r="V4698" s="16" t="str">
        <f>IFERROR(__xludf.DUMMYFUNCTION("""COMPUTED_VALUE"""),"")</f>
        <v/>
      </c>
      <c r="W4698" s="16" t="str">
        <f>IFERROR(__xludf.DUMMYFUNCTION("""COMPUTED_VALUE"""),"")</f>
        <v/>
      </c>
      <c r="X4698" s="16" t="str">
        <f>IFERROR(__xludf.DUMMYFUNCTION("""COMPUTED_VALUE"""),"")</f>
        <v/>
      </c>
      <c r="AC4698" s="16" t="str">
        <f>IFERROR(__xludf.DUMMYFUNCTION("""COMPUTED_VALUE"""),"")</f>
        <v/>
      </c>
    </row>
    <row r="4699">
      <c r="A4699" s="16" t="s">
        <v>87</v>
      </c>
      <c r="E4699" s="16" t="str">
        <f>IFERROR(__xludf.DUMMYFUNCTION("""COMPUTED_VALUE"""),"")</f>
        <v/>
      </c>
      <c r="G4699" s="18"/>
      <c r="H4699" s="16" t="s">
        <v>87</v>
      </c>
      <c r="I4699" s="16" t="s">
        <v>87</v>
      </c>
      <c r="J4699" s="19"/>
      <c r="L4699" s="16" t="str">
        <f>IFERROR(__xludf.DUMMYFUNCTION("""COMPUTED_VALUE"""),"")</f>
        <v/>
      </c>
      <c r="M4699" s="16" t="str">
        <f>IFERROR(__xludf.DUMMYFUNCTION("""COMPUTED_VALUE"""),"")</f>
        <v/>
      </c>
      <c r="U4699" s="16" t="s">
        <v>87</v>
      </c>
      <c r="V4699" s="16" t="str">
        <f>IFERROR(__xludf.DUMMYFUNCTION("""COMPUTED_VALUE"""),"")</f>
        <v/>
      </c>
      <c r="W4699" s="16" t="str">
        <f>IFERROR(__xludf.DUMMYFUNCTION("""COMPUTED_VALUE"""),"")</f>
        <v/>
      </c>
      <c r="X4699" s="16" t="str">
        <f>IFERROR(__xludf.DUMMYFUNCTION("""COMPUTED_VALUE"""),"")</f>
        <v/>
      </c>
      <c r="AC4699" s="16" t="str">
        <f>IFERROR(__xludf.DUMMYFUNCTION("""COMPUTED_VALUE"""),"")</f>
        <v/>
      </c>
    </row>
    <row r="4700">
      <c r="A4700" s="16" t="s">
        <v>87</v>
      </c>
      <c r="E4700" s="16" t="str">
        <f>IFERROR(__xludf.DUMMYFUNCTION("""COMPUTED_VALUE"""),"")</f>
        <v/>
      </c>
      <c r="G4700" s="18"/>
      <c r="H4700" s="16" t="s">
        <v>87</v>
      </c>
      <c r="I4700" s="16" t="s">
        <v>87</v>
      </c>
      <c r="J4700" s="19"/>
      <c r="L4700" s="16" t="str">
        <f>IFERROR(__xludf.DUMMYFUNCTION("""COMPUTED_VALUE"""),"")</f>
        <v/>
      </c>
      <c r="M4700" s="16" t="str">
        <f>IFERROR(__xludf.DUMMYFUNCTION("""COMPUTED_VALUE"""),"")</f>
        <v/>
      </c>
      <c r="U4700" s="16" t="s">
        <v>87</v>
      </c>
      <c r="V4700" s="16" t="str">
        <f>IFERROR(__xludf.DUMMYFUNCTION("""COMPUTED_VALUE"""),"")</f>
        <v/>
      </c>
      <c r="W4700" s="16" t="str">
        <f>IFERROR(__xludf.DUMMYFUNCTION("""COMPUTED_VALUE"""),"")</f>
        <v/>
      </c>
      <c r="X4700" s="16" t="str">
        <f>IFERROR(__xludf.DUMMYFUNCTION("""COMPUTED_VALUE"""),"")</f>
        <v/>
      </c>
      <c r="AC4700" s="16" t="str">
        <f>IFERROR(__xludf.DUMMYFUNCTION("""COMPUTED_VALUE"""),"")</f>
        <v/>
      </c>
    </row>
    <row r="4701">
      <c r="A4701" s="16" t="s">
        <v>87</v>
      </c>
      <c r="E4701" s="16" t="str">
        <f>IFERROR(__xludf.DUMMYFUNCTION("""COMPUTED_VALUE"""),"")</f>
        <v/>
      </c>
      <c r="G4701" s="18"/>
      <c r="H4701" s="16" t="s">
        <v>87</v>
      </c>
      <c r="I4701" s="16" t="s">
        <v>87</v>
      </c>
      <c r="J4701" s="19"/>
      <c r="L4701" s="16" t="str">
        <f>IFERROR(__xludf.DUMMYFUNCTION("""COMPUTED_VALUE"""),"")</f>
        <v/>
      </c>
      <c r="M4701" s="16" t="str">
        <f>IFERROR(__xludf.DUMMYFUNCTION("""COMPUTED_VALUE"""),"")</f>
        <v/>
      </c>
      <c r="U4701" s="16" t="s">
        <v>87</v>
      </c>
      <c r="V4701" s="16" t="str">
        <f>IFERROR(__xludf.DUMMYFUNCTION("""COMPUTED_VALUE"""),"")</f>
        <v/>
      </c>
      <c r="W4701" s="16" t="str">
        <f>IFERROR(__xludf.DUMMYFUNCTION("""COMPUTED_VALUE"""),"")</f>
        <v/>
      </c>
      <c r="X4701" s="16" t="str">
        <f>IFERROR(__xludf.DUMMYFUNCTION("""COMPUTED_VALUE"""),"")</f>
        <v/>
      </c>
      <c r="AC4701" s="16" t="str">
        <f>IFERROR(__xludf.DUMMYFUNCTION("""COMPUTED_VALUE"""),"")</f>
        <v/>
      </c>
    </row>
    <row r="4702">
      <c r="A4702" s="16" t="s">
        <v>87</v>
      </c>
      <c r="E4702" s="16" t="str">
        <f>IFERROR(__xludf.DUMMYFUNCTION("""COMPUTED_VALUE"""),"")</f>
        <v/>
      </c>
      <c r="G4702" s="18"/>
      <c r="H4702" s="16" t="s">
        <v>87</v>
      </c>
      <c r="I4702" s="16" t="s">
        <v>87</v>
      </c>
      <c r="J4702" s="19"/>
      <c r="L4702" s="16" t="str">
        <f>IFERROR(__xludf.DUMMYFUNCTION("""COMPUTED_VALUE"""),"")</f>
        <v/>
      </c>
      <c r="M4702" s="16" t="str">
        <f>IFERROR(__xludf.DUMMYFUNCTION("""COMPUTED_VALUE"""),"")</f>
        <v/>
      </c>
      <c r="U4702" s="16" t="s">
        <v>87</v>
      </c>
      <c r="V4702" s="16" t="str">
        <f>IFERROR(__xludf.DUMMYFUNCTION("""COMPUTED_VALUE"""),"")</f>
        <v/>
      </c>
      <c r="W4702" s="16" t="str">
        <f>IFERROR(__xludf.DUMMYFUNCTION("""COMPUTED_VALUE"""),"")</f>
        <v/>
      </c>
      <c r="X4702" s="16" t="str">
        <f>IFERROR(__xludf.DUMMYFUNCTION("""COMPUTED_VALUE"""),"")</f>
        <v/>
      </c>
      <c r="AC4702" s="16" t="str">
        <f>IFERROR(__xludf.DUMMYFUNCTION("""COMPUTED_VALUE"""),"")</f>
        <v/>
      </c>
    </row>
    <row r="4703">
      <c r="A4703" s="16" t="s">
        <v>87</v>
      </c>
      <c r="E4703" s="16" t="str">
        <f>IFERROR(__xludf.DUMMYFUNCTION("""COMPUTED_VALUE"""),"")</f>
        <v/>
      </c>
      <c r="G4703" s="18"/>
      <c r="H4703" s="16" t="s">
        <v>87</v>
      </c>
      <c r="I4703" s="16" t="s">
        <v>87</v>
      </c>
      <c r="J4703" s="19"/>
      <c r="L4703" s="16" t="str">
        <f>IFERROR(__xludf.DUMMYFUNCTION("""COMPUTED_VALUE"""),"")</f>
        <v/>
      </c>
      <c r="M4703" s="16" t="str">
        <f>IFERROR(__xludf.DUMMYFUNCTION("""COMPUTED_VALUE"""),"")</f>
        <v/>
      </c>
      <c r="U4703" s="16" t="s">
        <v>87</v>
      </c>
      <c r="V4703" s="16" t="str">
        <f>IFERROR(__xludf.DUMMYFUNCTION("""COMPUTED_VALUE"""),"")</f>
        <v/>
      </c>
      <c r="W4703" s="16" t="str">
        <f>IFERROR(__xludf.DUMMYFUNCTION("""COMPUTED_VALUE"""),"")</f>
        <v/>
      </c>
      <c r="X4703" s="16" t="str">
        <f>IFERROR(__xludf.DUMMYFUNCTION("""COMPUTED_VALUE"""),"")</f>
        <v/>
      </c>
      <c r="AC4703" s="16" t="str">
        <f>IFERROR(__xludf.DUMMYFUNCTION("""COMPUTED_VALUE"""),"")</f>
        <v/>
      </c>
    </row>
    <row r="4704">
      <c r="A4704" s="16" t="s">
        <v>87</v>
      </c>
      <c r="E4704" s="16" t="str">
        <f>IFERROR(__xludf.DUMMYFUNCTION("""COMPUTED_VALUE"""),"")</f>
        <v/>
      </c>
      <c r="G4704" s="18"/>
      <c r="H4704" s="16" t="s">
        <v>87</v>
      </c>
      <c r="I4704" s="16" t="s">
        <v>87</v>
      </c>
      <c r="J4704" s="19"/>
      <c r="L4704" s="16" t="str">
        <f>IFERROR(__xludf.DUMMYFUNCTION("""COMPUTED_VALUE"""),"")</f>
        <v/>
      </c>
      <c r="M4704" s="16" t="str">
        <f>IFERROR(__xludf.DUMMYFUNCTION("""COMPUTED_VALUE"""),"")</f>
        <v/>
      </c>
      <c r="U4704" s="16" t="s">
        <v>87</v>
      </c>
      <c r="V4704" s="16" t="str">
        <f>IFERROR(__xludf.DUMMYFUNCTION("""COMPUTED_VALUE"""),"")</f>
        <v/>
      </c>
      <c r="W4704" s="16" t="str">
        <f>IFERROR(__xludf.DUMMYFUNCTION("""COMPUTED_VALUE"""),"")</f>
        <v/>
      </c>
      <c r="X4704" s="16" t="str">
        <f>IFERROR(__xludf.DUMMYFUNCTION("""COMPUTED_VALUE"""),"")</f>
        <v/>
      </c>
      <c r="AC4704" s="16" t="str">
        <f>IFERROR(__xludf.DUMMYFUNCTION("""COMPUTED_VALUE"""),"")</f>
        <v/>
      </c>
    </row>
    <row r="4705">
      <c r="A4705" s="16" t="s">
        <v>87</v>
      </c>
      <c r="E4705" s="16" t="str">
        <f>IFERROR(__xludf.DUMMYFUNCTION("""COMPUTED_VALUE"""),"")</f>
        <v/>
      </c>
      <c r="G4705" s="18"/>
      <c r="H4705" s="16" t="s">
        <v>87</v>
      </c>
      <c r="I4705" s="16" t="s">
        <v>87</v>
      </c>
      <c r="J4705" s="19"/>
      <c r="L4705" s="16" t="str">
        <f>IFERROR(__xludf.DUMMYFUNCTION("""COMPUTED_VALUE"""),"")</f>
        <v/>
      </c>
      <c r="M4705" s="16" t="str">
        <f>IFERROR(__xludf.DUMMYFUNCTION("""COMPUTED_VALUE"""),"")</f>
        <v/>
      </c>
      <c r="U4705" s="16" t="s">
        <v>87</v>
      </c>
      <c r="V4705" s="16" t="str">
        <f>IFERROR(__xludf.DUMMYFUNCTION("""COMPUTED_VALUE"""),"")</f>
        <v/>
      </c>
      <c r="W4705" s="16" t="str">
        <f>IFERROR(__xludf.DUMMYFUNCTION("""COMPUTED_VALUE"""),"")</f>
        <v/>
      </c>
      <c r="X4705" s="16" t="str">
        <f>IFERROR(__xludf.DUMMYFUNCTION("""COMPUTED_VALUE"""),"")</f>
        <v/>
      </c>
      <c r="AC4705" s="16" t="str">
        <f>IFERROR(__xludf.DUMMYFUNCTION("""COMPUTED_VALUE"""),"")</f>
        <v/>
      </c>
    </row>
    <row r="4706">
      <c r="A4706" s="16" t="s">
        <v>87</v>
      </c>
      <c r="E4706" s="16" t="str">
        <f>IFERROR(__xludf.DUMMYFUNCTION("""COMPUTED_VALUE"""),"")</f>
        <v/>
      </c>
      <c r="G4706" s="18"/>
      <c r="H4706" s="16" t="s">
        <v>87</v>
      </c>
      <c r="I4706" s="16" t="s">
        <v>87</v>
      </c>
      <c r="J4706" s="19"/>
      <c r="L4706" s="16" t="str">
        <f>IFERROR(__xludf.DUMMYFUNCTION("""COMPUTED_VALUE"""),"")</f>
        <v/>
      </c>
      <c r="M4706" s="16" t="str">
        <f>IFERROR(__xludf.DUMMYFUNCTION("""COMPUTED_VALUE"""),"")</f>
        <v/>
      </c>
      <c r="U4706" s="16" t="s">
        <v>87</v>
      </c>
      <c r="V4706" s="16" t="str">
        <f>IFERROR(__xludf.DUMMYFUNCTION("""COMPUTED_VALUE"""),"")</f>
        <v/>
      </c>
      <c r="W4706" s="16" t="str">
        <f>IFERROR(__xludf.DUMMYFUNCTION("""COMPUTED_VALUE"""),"")</f>
        <v/>
      </c>
      <c r="X4706" s="16" t="str">
        <f>IFERROR(__xludf.DUMMYFUNCTION("""COMPUTED_VALUE"""),"")</f>
        <v/>
      </c>
      <c r="AC4706" s="16" t="str">
        <f>IFERROR(__xludf.DUMMYFUNCTION("""COMPUTED_VALUE"""),"")</f>
        <v/>
      </c>
    </row>
    <row r="4707">
      <c r="A4707" s="16" t="s">
        <v>87</v>
      </c>
      <c r="E4707" s="16" t="str">
        <f>IFERROR(__xludf.DUMMYFUNCTION("""COMPUTED_VALUE"""),"")</f>
        <v/>
      </c>
      <c r="G4707" s="18"/>
      <c r="H4707" s="16" t="s">
        <v>87</v>
      </c>
      <c r="I4707" s="16" t="s">
        <v>87</v>
      </c>
      <c r="J4707" s="19"/>
      <c r="L4707" s="16" t="str">
        <f>IFERROR(__xludf.DUMMYFUNCTION("""COMPUTED_VALUE"""),"")</f>
        <v/>
      </c>
      <c r="M4707" s="16" t="str">
        <f>IFERROR(__xludf.DUMMYFUNCTION("""COMPUTED_VALUE"""),"")</f>
        <v/>
      </c>
      <c r="U4707" s="16" t="s">
        <v>87</v>
      </c>
      <c r="V4707" s="16" t="str">
        <f>IFERROR(__xludf.DUMMYFUNCTION("""COMPUTED_VALUE"""),"")</f>
        <v/>
      </c>
      <c r="W4707" s="16" t="str">
        <f>IFERROR(__xludf.DUMMYFUNCTION("""COMPUTED_VALUE"""),"")</f>
        <v/>
      </c>
      <c r="X4707" s="16" t="str">
        <f>IFERROR(__xludf.DUMMYFUNCTION("""COMPUTED_VALUE"""),"")</f>
        <v/>
      </c>
      <c r="AC4707" s="16" t="str">
        <f>IFERROR(__xludf.DUMMYFUNCTION("""COMPUTED_VALUE"""),"")</f>
        <v/>
      </c>
    </row>
    <row r="4708">
      <c r="A4708" s="16" t="s">
        <v>87</v>
      </c>
      <c r="E4708" s="16" t="str">
        <f>IFERROR(__xludf.DUMMYFUNCTION("""COMPUTED_VALUE"""),"")</f>
        <v/>
      </c>
      <c r="G4708" s="18"/>
      <c r="H4708" s="16" t="s">
        <v>87</v>
      </c>
      <c r="I4708" s="16" t="s">
        <v>87</v>
      </c>
      <c r="J4708" s="19"/>
      <c r="L4708" s="16" t="str">
        <f>IFERROR(__xludf.DUMMYFUNCTION("""COMPUTED_VALUE"""),"")</f>
        <v/>
      </c>
      <c r="M4708" s="16" t="str">
        <f>IFERROR(__xludf.DUMMYFUNCTION("""COMPUTED_VALUE"""),"")</f>
        <v/>
      </c>
      <c r="U4708" s="16" t="s">
        <v>87</v>
      </c>
      <c r="V4708" s="16" t="str">
        <f>IFERROR(__xludf.DUMMYFUNCTION("""COMPUTED_VALUE"""),"")</f>
        <v/>
      </c>
      <c r="W4708" s="16" t="str">
        <f>IFERROR(__xludf.DUMMYFUNCTION("""COMPUTED_VALUE"""),"")</f>
        <v/>
      </c>
      <c r="X4708" s="16" t="str">
        <f>IFERROR(__xludf.DUMMYFUNCTION("""COMPUTED_VALUE"""),"")</f>
        <v/>
      </c>
      <c r="AC4708" s="16" t="str">
        <f>IFERROR(__xludf.DUMMYFUNCTION("""COMPUTED_VALUE"""),"")</f>
        <v/>
      </c>
    </row>
    <row r="4709">
      <c r="A4709" s="16" t="s">
        <v>87</v>
      </c>
      <c r="E4709" s="16" t="str">
        <f>IFERROR(__xludf.DUMMYFUNCTION("""COMPUTED_VALUE"""),"")</f>
        <v/>
      </c>
      <c r="G4709" s="18"/>
      <c r="H4709" s="16" t="s">
        <v>87</v>
      </c>
      <c r="I4709" s="16" t="s">
        <v>87</v>
      </c>
      <c r="J4709" s="19"/>
      <c r="L4709" s="16" t="str">
        <f>IFERROR(__xludf.DUMMYFUNCTION("""COMPUTED_VALUE"""),"")</f>
        <v/>
      </c>
      <c r="M4709" s="16" t="str">
        <f>IFERROR(__xludf.DUMMYFUNCTION("""COMPUTED_VALUE"""),"")</f>
        <v/>
      </c>
      <c r="U4709" s="16" t="s">
        <v>87</v>
      </c>
      <c r="V4709" s="16" t="str">
        <f>IFERROR(__xludf.DUMMYFUNCTION("""COMPUTED_VALUE"""),"")</f>
        <v/>
      </c>
      <c r="W4709" s="16" t="str">
        <f>IFERROR(__xludf.DUMMYFUNCTION("""COMPUTED_VALUE"""),"")</f>
        <v/>
      </c>
      <c r="X4709" s="16" t="str">
        <f>IFERROR(__xludf.DUMMYFUNCTION("""COMPUTED_VALUE"""),"")</f>
        <v/>
      </c>
      <c r="AC4709" s="16" t="str">
        <f>IFERROR(__xludf.DUMMYFUNCTION("""COMPUTED_VALUE"""),"")</f>
        <v/>
      </c>
    </row>
    <row r="4710">
      <c r="A4710" s="16" t="s">
        <v>87</v>
      </c>
      <c r="E4710" s="16" t="str">
        <f>IFERROR(__xludf.DUMMYFUNCTION("""COMPUTED_VALUE"""),"")</f>
        <v/>
      </c>
      <c r="G4710" s="18"/>
      <c r="H4710" s="16" t="s">
        <v>87</v>
      </c>
      <c r="I4710" s="16" t="s">
        <v>87</v>
      </c>
      <c r="J4710" s="19"/>
      <c r="L4710" s="16" t="str">
        <f>IFERROR(__xludf.DUMMYFUNCTION("""COMPUTED_VALUE"""),"")</f>
        <v/>
      </c>
      <c r="M4710" s="16" t="str">
        <f>IFERROR(__xludf.DUMMYFUNCTION("""COMPUTED_VALUE"""),"")</f>
        <v/>
      </c>
      <c r="U4710" s="16" t="s">
        <v>87</v>
      </c>
      <c r="V4710" s="16" t="str">
        <f>IFERROR(__xludf.DUMMYFUNCTION("""COMPUTED_VALUE"""),"")</f>
        <v/>
      </c>
      <c r="W4710" s="16" t="str">
        <f>IFERROR(__xludf.DUMMYFUNCTION("""COMPUTED_VALUE"""),"")</f>
        <v/>
      </c>
      <c r="X4710" s="16" t="str">
        <f>IFERROR(__xludf.DUMMYFUNCTION("""COMPUTED_VALUE"""),"")</f>
        <v/>
      </c>
      <c r="AC4710" s="16" t="str">
        <f>IFERROR(__xludf.DUMMYFUNCTION("""COMPUTED_VALUE"""),"")</f>
        <v/>
      </c>
    </row>
    <row r="4711">
      <c r="A4711" s="16" t="s">
        <v>87</v>
      </c>
      <c r="E4711" s="16" t="str">
        <f>IFERROR(__xludf.DUMMYFUNCTION("""COMPUTED_VALUE"""),"")</f>
        <v/>
      </c>
      <c r="G4711" s="18"/>
      <c r="H4711" s="16" t="s">
        <v>87</v>
      </c>
      <c r="I4711" s="16" t="s">
        <v>87</v>
      </c>
      <c r="J4711" s="19"/>
      <c r="L4711" s="16" t="str">
        <f>IFERROR(__xludf.DUMMYFUNCTION("""COMPUTED_VALUE"""),"")</f>
        <v/>
      </c>
      <c r="M4711" s="16" t="str">
        <f>IFERROR(__xludf.DUMMYFUNCTION("""COMPUTED_VALUE"""),"")</f>
        <v/>
      </c>
      <c r="U4711" s="16" t="s">
        <v>87</v>
      </c>
      <c r="V4711" s="16" t="str">
        <f>IFERROR(__xludf.DUMMYFUNCTION("""COMPUTED_VALUE"""),"")</f>
        <v/>
      </c>
      <c r="W4711" s="16" t="str">
        <f>IFERROR(__xludf.DUMMYFUNCTION("""COMPUTED_VALUE"""),"")</f>
        <v/>
      </c>
      <c r="X4711" s="16" t="str">
        <f>IFERROR(__xludf.DUMMYFUNCTION("""COMPUTED_VALUE"""),"")</f>
        <v/>
      </c>
      <c r="AC4711" s="16" t="str">
        <f>IFERROR(__xludf.DUMMYFUNCTION("""COMPUTED_VALUE"""),"")</f>
        <v/>
      </c>
    </row>
    <row r="4712">
      <c r="A4712" s="16" t="s">
        <v>87</v>
      </c>
      <c r="E4712" s="16" t="str">
        <f>IFERROR(__xludf.DUMMYFUNCTION("""COMPUTED_VALUE"""),"")</f>
        <v/>
      </c>
      <c r="G4712" s="18"/>
      <c r="H4712" s="16" t="s">
        <v>87</v>
      </c>
      <c r="I4712" s="16" t="s">
        <v>87</v>
      </c>
      <c r="J4712" s="19"/>
      <c r="L4712" s="16" t="str">
        <f>IFERROR(__xludf.DUMMYFUNCTION("""COMPUTED_VALUE"""),"")</f>
        <v/>
      </c>
      <c r="M4712" s="16" t="str">
        <f>IFERROR(__xludf.DUMMYFUNCTION("""COMPUTED_VALUE"""),"")</f>
        <v/>
      </c>
      <c r="U4712" s="16" t="s">
        <v>87</v>
      </c>
      <c r="V4712" s="16" t="str">
        <f>IFERROR(__xludf.DUMMYFUNCTION("""COMPUTED_VALUE"""),"")</f>
        <v/>
      </c>
      <c r="W4712" s="16" t="str">
        <f>IFERROR(__xludf.DUMMYFUNCTION("""COMPUTED_VALUE"""),"")</f>
        <v/>
      </c>
      <c r="X4712" s="16" t="str">
        <f>IFERROR(__xludf.DUMMYFUNCTION("""COMPUTED_VALUE"""),"")</f>
        <v/>
      </c>
      <c r="AC4712" s="16" t="str">
        <f>IFERROR(__xludf.DUMMYFUNCTION("""COMPUTED_VALUE"""),"")</f>
        <v/>
      </c>
    </row>
    <row r="4713">
      <c r="A4713" s="16" t="s">
        <v>87</v>
      </c>
      <c r="E4713" s="16" t="str">
        <f>IFERROR(__xludf.DUMMYFUNCTION("""COMPUTED_VALUE"""),"")</f>
        <v/>
      </c>
      <c r="G4713" s="18"/>
      <c r="H4713" s="16" t="s">
        <v>87</v>
      </c>
      <c r="I4713" s="16" t="s">
        <v>87</v>
      </c>
      <c r="J4713" s="19"/>
      <c r="L4713" s="16" t="str">
        <f>IFERROR(__xludf.DUMMYFUNCTION("""COMPUTED_VALUE"""),"")</f>
        <v/>
      </c>
      <c r="M4713" s="16" t="str">
        <f>IFERROR(__xludf.DUMMYFUNCTION("""COMPUTED_VALUE"""),"")</f>
        <v/>
      </c>
      <c r="U4713" s="16" t="s">
        <v>87</v>
      </c>
      <c r="V4713" s="16" t="str">
        <f>IFERROR(__xludf.DUMMYFUNCTION("""COMPUTED_VALUE"""),"")</f>
        <v/>
      </c>
      <c r="W4713" s="16" t="str">
        <f>IFERROR(__xludf.DUMMYFUNCTION("""COMPUTED_VALUE"""),"")</f>
        <v/>
      </c>
      <c r="X4713" s="16" t="str">
        <f>IFERROR(__xludf.DUMMYFUNCTION("""COMPUTED_VALUE"""),"")</f>
        <v/>
      </c>
      <c r="AC4713" s="16" t="str">
        <f>IFERROR(__xludf.DUMMYFUNCTION("""COMPUTED_VALUE"""),"")</f>
        <v/>
      </c>
    </row>
    <row r="4714">
      <c r="A4714" s="16" t="s">
        <v>87</v>
      </c>
      <c r="E4714" s="16" t="str">
        <f>IFERROR(__xludf.DUMMYFUNCTION("""COMPUTED_VALUE"""),"")</f>
        <v/>
      </c>
      <c r="G4714" s="18"/>
      <c r="H4714" s="16" t="s">
        <v>87</v>
      </c>
      <c r="I4714" s="16" t="s">
        <v>87</v>
      </c>
      <c r="J4714" s="19"/>
      <c r="L4714" s="16" t="str">
        <f>IFERROR(__xludf.DUMMYFUNCTION("""COMPUTED_VALUE"""),"")</f>
        <v/>
      </c>
      <c r="M4714" s="16" t="str">
        <f>IFERROR(__xludf.DUMMYFUNCTION("""COMPUTED_VALUE"""),"")</f>
        <v/>
      </c>
      <c r="U4714" s="16" t="s">
        <v>87</v>
      </c>
      <c r="V4714" s="16" t="str">
        <f>IFERROR(__xludf.DUMMYFUNCTION("""COMPUTED_VALUE"""),"")</f>
        <v/>
      </c>
      <c r="W4714" s="16" t="str">
        <f>IFERROR(__xludf.DUMMYFUNCTION("""COMPUTED_VALUE"""),"")</f>
        <v/>
      </c>
      <c r="X4714" s="16" t="str">
        <f>IFERROR(__xludf.DUMMYFUNCTION("""COMPUTED_VALUE"""),"")</f>
        <v/>
      </c>
      <c r="AC4714" s="16" t="str">
        <f>IFERROR(__xludf.DUMMYFUNCTION("""COMPUTED_VALUE"""),"")</f>
        <v/>
      </c>
    </row>
    <row r="4715">
      <c r="A4715" s="16" t="s">
        <v>87</v>
      </c>
      <c r="E4715" s="16" t="str">
        <f>IFERROR(__xludf.DUMMYFUNCTION("""COMPUTED_VALUE"""),"")</f>
        <v/>
      </c>
      <c r="G4715" s="18"/>
      <c r="H4715" s="16" t="s">
        <v>87</v>
      </c>
      <c r="I4715" s="16" t="s">
        <v>87</v>
      </c>
      <c r="J4715" s="19"/>
      <c r="L4715" s="16" t="str">
        <f>IFERROR(__xludf.DUMMYFUNCTION("""COMPUTED_VALUE"""),"")</f>
        <v/>
      </c>
      <c r="M4715" s="16" t="str">
        <f>IFERROR(__xludf.DUMMYFUNCTION("""COMPUTED_VALUE"""),"")</f>
        <v/>
      </c>
      <c r="U4715" s="16" t="s">
        <v>87</v>
      </c>
      <c r="V4715" s="16" t="str">
        <f>IFERROR(__xludf.DUMMYFUNCTION("""COMPUTED_VALUE"""),"")</f>
        <v/>
      </c>
      <c r="W4715" s="16" t="str">
        <f>IFERROR(__xludf.DUMMYFUNCTION("""COMPUTED_VALUE"""),"")</f>
        <v/>
      </c>
      <c r="X4715" s="16" t="str">
        <f>IFERROR(__xludf.DUMMYFUNCTION("""COMPUTED_VALUE"""),"")</f>
        <v/>
      </c>
      <c r="AC4715" s="16" t="str">
        <f>IFERROR(__xludf.DUMMYFUNCTION("""COMPUTED_VALUE"""),"")</f>
        <v/>
      </c>
    </row>
    <row r="4716">
      <c r="A4716" s="16" t="s">
        <v>87</v>
      </c>
      <c r="E4716" s="16" t="str">
        <f>IFERROR(__xludf.DUMMYFUNCTION("""COMPUTED_VALUE"""),"")</f>
        <v/>
      </c>
      <c r="G4716" s="18"/>
      <c r="H4716" s="16" t="s">
        <v>87</v>
      </c>
      <c r="I4716" s="16" t="s">
        <v>87</v>
      </c>
      <c r="J4716" s="19"/>
      <c r="L4716" s="16" t="str">
        <f>IFERROR(__xludf.DUMMYFUNCTION("""COMPUTED_VALUE"""),"")</f>
        <v/>
      </c>
      <c r="M4716" s="16" t="str">
        <f>IFERROR(__xludf.DUMMYFUNCTION("""COMPUTED_VALUE"""),"")</f>
        <v/>
      </c>
      <c r="U4716" s="16" t="s">
        <v>87</v>
      </c>
      <c r="V4716" s="16" t="str">
        <f>IFERROR(__xludf.DUMMYFUNCTION("""COMPUTED_VALUE"""),"")</f>
        <v/>
      </c>
      <c r="W4716" s="16" t="str">
        <f>IFERROR(__xludf.DUMMYFUNCTION("""COMPUTED_VALUE"""),"")</f>
        <v/>
      </c>
      <c r="X4716" s="16" t="str">
        <f>IFERROR(__xludf.DUMMYFUNCTION("""COMPUTED_VALUE"""),"")</f>
        <v/>
      </c>
      <c r="AC4716" s="16" t="str">
        <f>IFERROR(__xludf.DUMMYFUNCTION("""COMPUTED_VALUE"""),"")</f>
        <v/>
      </c>
    </row>
    <row r="4717">
      <c r="A4717" s="16" t="s">
        <v>87</v>
      </c>
      <c r="E4717" s="16" t="str">
        <f>IFERROR(__xludf.DUMMYFUNCTION("""COMPUTED_VALUE"""),"")</f>
        <v/>
      </c>
      <c r="G4717" s="18"/>
      <c r="H4717" s="16" t="s">
        <v>87</v>
      </c>
      <c r="I4717" s="16" t="s">
        <v>87</v>
      </c>
      <c r="J4717" s="19"/>
      <c r="L4717" s="16" t="str">
        <f>IFERROR(__xludf.DUMMYFUNCTION("""COMPUTED_VALUE"""),"")</f>
        <v/>
      </c>
      <c r="M4717" s="16" t="str">
        <f>IFERROR(__xludf.DUMMYFUNCTION("""COMPUTED_VALUE"""),"")</f>
        <v/>
      </c>
      <c r="U4717" s="16" t="s">
        <v>87</v>
      </c>
      <c r="V4717" s="16" t="str">
        <f>IFERROR(__xludf.DUMMYFUNCTION("""COMPUTED_VALUE"""),"")</f>
        <v/>
      </c>
      <c r="W4717" s="16" t="str">
        <f>IFERROR(__xludf.DUMMYFUNCTION("""COMPUTED_VALUE"""),"")</f>
        <v/>
      </c>
      <c r="X4717" s="16" t="str">
        <f>IFERROR(__xludf.DUMMYFUNCTION("""COMPUTED_VALUE"""),"")</f>
        <v/>
      </c>
      <c r="AC4717" s="16" t="str">
        <f>IFERROR(__xludf.DUMMYFUNCTION("""COMPUTED_VALUE"""),"")</f>
        <v/>
      </c>
    </row>
    <row r="4718">
      <c r="A4718" s="16" t="s">
        <v>87</v>
      </c>
      <c r="E4718" s="16" t="str">
        <f>IFERROR(__xludf.DUMMYFUNCTION("""COMPUTED_VALUE"""),"")</f>
        <v/>
      </c>
      <c r="G4718" s="18"/>
      <c r="H4718" s="16" t="s">
        <v>87</v>
      </c>
      <c r="I4718" s="16" t="s">
        <v>87</v>
      </c>
      <c r="J4718" s="19"/>
      <c r="L4718" s="16" t="str">
        <f>IFERROR(__xludf.DUMMYFUNCTION("""COMPUTED_VALUE"""),"")</f>
        <v/>
      </c>
      <c r="M4718" s="16" t="str">
        <f>IFERROR(__xludf.DUMMYFUNCTION("""COMPUTED_VALUE"""),"")</f>
        <v/>
      </c>
      <c r="U4718" s="16" t="s">
        <v>87</v>
      </c>
      <c r="V4718" s="16" t="str">
        <f>IFERROR(__xludf.DUMMYFUNCTION("""COMPUTED_VALUE"""),"")</f>
        <v/>
      </c>
      <c r="W4718" s="16" t="str">
        <f>IFERROR(__xludf.DUMMYFUNCTION("""COMPUTED_VALUE"""),"")</f>
        <v/>
      </c>
      <c r="X4718" s="16" t="str">
        <f>IFERROR(__xludf.DUMMYFUNCTION("""COMPUTED_VALUE"""),"")</f>
        <v/>
      </c>
      <c r="AC4718" s="16" t="str">
        <f>IFERROR(__xludf.DUMMYFUNCTION("""COMPUTED_VALUE"""),"")</f>
        <v/>
      </c>
    </row>
    <row r="4719">
      <c r="A4719" s="16" t="s">
        <v>87</v>
      </c>
      <c r="E4719" s="16" t="str">
        <f>IFERROR(__xludf.DUMMYFUNCTION("""COMPUTED_VALUE"""),"")</f>
        <v/>
      </c>
      <c r="G4719" s="18"/>
      <c r="H4719" s="16" t="s">
        <v>87</v>
      </c>
      <c r="I4719" s="16" t="s">
        <v>87</v>
      </c>
      <c r="J4719" s="19"/>
      <c r="L4719" s="16" t="str">
        <f>IFERROR(__xludf.DUMMYFUNCTION("""COMPUTED_VALUE"""),"")</f>
        <v/>
      </c>
      <c r="M4719" s="16" t="str">
        <f>IFERROR(__xludf.DUMMYFUNCTION("""COMPUTED_VALUE"""),"")</f>
        <v/>
      </c>
      <c r="U4719" s="16" t="s">
        <v>87</v>
      </c>
      <c r="V4719" s="16" t="str">
        <f>IFERROR(__xludf.DUMMYFUNCTION("""COMPUTED_VALUE"""),"")</f>
        <v/>
      </c>
      <c r="W4719" s="16" t="str">
        <f>IFERROR(__xludf.DUMMYFUNCTION("""COMPUTED_VALUE"""),"")</f>
        <v/>
      </c>
      <c r="X4719" s="16" t="str">
        <f>IFERROR(__xludf.DUMMYFUNCTION("""COMPUTED_VALUE"""),"")</f>
        <v/>
      </c>
      <c r="AC4719" s="16" t="str">
        <f>IFERROR(__xludf.DUMMYFUNCTION("""COMPUTED_VALUE"""),"")</f>
        <v/>
      </c>
    </row>
    <row r="4720">
      <c r="A4720" s="16" t="s">
        <v>87</v>
      </c>
      <c r="E4720" s="16" t="str">
        <f>IFERROR(__xludf.DUMMYFUNCTION("""COMPUTED_VALUE"""),"")</f>
        <v/>
      </c>
      <c r="G4720" s="18"/>
      <c r="H4720" s="16" t="s">
        <v>87</v>
      </c>
      <c r="I4720" s="16" t="s">
        <v>87</v>
      </c>
      <c r="J4720" s="19"/>
      <c r="L4720" s="16" t="str">
        <f>IFERROR(__xludf.DUMMYFUNCTION("""COMPUTED_VALUE"""),"")</f>
        <v/>
      </c>
      <c r="M4720" s="16" t="str">
        <f>IFERROR(__xludf.DUMMYFUNCTION("""COMPUTED_VALUE"""),"")</f>
        <v/>
      </c>
      <c r="U4720" s="16" t="s">
        <v>87</v>
      </c>
      <c r="V4720" s="16" t="str">
        <f>IFERROR(__xludf.DUMMYFUNCTION("""COMPUTED_VALUE"""),"")</f>
        <v/>
      </c>
      <c r="W4720" s="16" t="str">
        <f>IFERROR(__xludf.DUMMYFUNCTION("""COMPUTED_VALUE"""),"")</f>
        <v/>
      </c>
      <c r="X4720" s="16" t="str">
        <f>IFERROR(__xludf.DUMMYFUNCTION("""COMPUTED_VALUE"""),"")</f>
        <v/>
      </c>
      <c r="AC4720" s="16" t="str">
        <f>IFERROR(__xludf.DUMMYFUNCTION("""COMPUTED_VALUE"""),"")</f>
        <v/>
      </c>
    </row>
    <row r="4721">
      <c r="A4721" s="16" t="s">
        <v>87</v>
      </c>
      <c r="E4721" s="16" t="str">
        <f>IFERROR(__xludf.DUMMYFUNCTION("""COMPUTED_VALUE"""),"")</f>
        <v/>
      </c>
      <c r="G4721" s="18"/>
      <c r="H4721" s="16" t="s">
        <v>87</v>
      </c>
      <c r="I4721" s="16" t="s">
        <v>87</v>
      </c>
      <c r="J4721" s="19"/>
      <c r="L4721" s="16" t="str">
        <f>IFERROR(__xludf.DUMMYFUNCTION("""COMPUTED_VALUE"""),"")</f>
        <v/>
      </c>
      <c r="M4721" s="16" t="str">
        <f>IFERROR(__xludf.DUMMYFUNCTION("""COMPUTED_VALUE"""),"")</f>
        <v/>
      </c>
      <c r="U4721" s="16" t="s">
        <v>87</v>
      </c>
      <c r="V4721" s="16" t="str">
        <f>IFERROR(__xludf.DUMMYFUNCTION("""COMPUTED_VALUE"""),"")</f>
        <v/>
      </c>
      <c r="W4721" s="16" t="str">
        <f>IFERROR(__xludf.DUMMYFUNCTION("""COMPUTED_VALUE"""),"")</f>
        <v/>
      </c>
      <c r="X4721" s="16" t="str">
        <f>IFERROR(__xludf.DUMMYFUNCTION("""COMPUTED_VALUE"""),"")</f>
        <v/>
      </c>
      <c r="AC4721" s="16" t="str">
        <f>IFERROR(__xludf.DUMMYFUNCTION("""COMPUTED_VALUE"""),"")</f>
        <v/>
      </c>
    </row>
    <row r="4722">
      <c r="A4722" s="16" t="s">
        <v>87</v>
      </c>
      <c r="E4722" s="16" t="str">
        <f>IFERROR(__xludf.DUMMYFUNCTION("""COMPUTED_VALUE"""),"")</f>
        <v/>
      </c>
      <c r="G4722" s="18"/>
      <c r="H4722" s="16" t="s">
        <v>87</v>
      </c>
      <c r="I4722" s="16" t="s">
        <v>87</v>
      </c>
      <c r="J4722" s="19"/>
      <c r="L4722" s="16" t="str">
        <f>IFERROR(__xludf.DUMMYFUNCTION("""COMPUTED_VALUE"""),"")</f>
        <v/>
      </c>
      <c r="M4722" s="16" t="str">
        <f>IFERROR(__xludf.DUMMYFUNCTION("""COMPUTED_VALUE"""),"")</f>
        <v/>
      </c>
      <c r="U4722" s="16" t="s">
        <v>87</v>
      </c>
      <c r="V4722" s="16" t="str">
        <f>IFERROR(__xludf.DUMMYFUNCTION("""COMPUTED_VALUE"""),"")</f>
        <v/>
      </c>
      <c r="W4722" s="16" t="str">
        <f>IFERROR(__xludf.DUMMYFUNCTION("""COMPUTED_VALUE"""),"")</f>
        <v/>
      </c>
      <c r="X4722" s="16" t="str">
        <f>IFERROR(__xludf.DUMMYFUNCTION("""COMPUTED_VALUE"""),"")</f>
        <v/>
      </c>
      <c r="AC4722" s="16" t="str">
        <f>IFERROR(__xludf.DUMMYFUNCTION("""COMPUTED_VALUE"""),"")</f>
        <v/>
      </c>
    </row>
    <row r="4723">
      <c r="A4723" s="16" t="s">
        <v>87</v>
      </c>
      <c r="E4723" s="16" t="str">
        <f>IFERROR(__xludf.DUMMYFUNCTION("""COMPUTED_VALUE"""),"")</f>
        <v/>
      </c>
      <c r="G4723" s="18"/>
      <c r="H4723" s="16" t="s">
        <v>87</v>
      </c>
      <c r="I4723" s="16" t="s">
        <v>87</v>
      </c>
      <c r="J4723" s="19"/>
      <c r="L4723" s="16" t="str">
        <f>IFERROR(__xludf.DUMMYFUNCTION("""COMPUTED_VALUE"""),"")</f>
        <v/>
      </c>
      <c r="M4723" s="16" t="str">
        <f>IFERROR(__xludf.DUMMYFUNCTION("""COMPUTED_VALUE"""),"")</f>
        <v/>
      </c>
      <c r="U4723" s="16" t="s">
        <v>87</v>
      </c>
      <c r="V4723" s="16" t="str">
        <f>IFERROR(__xludf.DUMMYFUNCTION("""COMPUTED_VALUE"""),"")</f>
        <v/>
      </c>
      <c r="W4723" s="16" t="str">
        <f>IFERROR(__xludf.DUMMYFUNCTION("""COMPUTED_VALUE"""),"")</f>
        <v/>
      </c>
      <c r="X4723" s="16" t="str">
        <f>IFERROR(__xludf.DUMMYFUNCTION("""COMPUTED_VALUE"""),"")</f>
        <v/>
      </c>
      <c r="AC4723" s="16" t="str">
        <f>IFERROR(__xludf.DUMMYFUNCTION("""COMPUTED_VALUE"""),"")</f>
        <v/>
      </c>
    </row>
    <row r="4724">
      <c r="A4724" s="16" t="s">
        <v>87</v>
      </c>
      <c r="E4724" s="16" t="str">
        <f>IFERROR(__xludf.DUMMYFUNCTION("""COMPUTED_VALUE"""),"")</f>
        <v/>
      </c>
      <c r="G4724" s="18"/>
      <c r="H4724" s="16" t="s">
        <v>87</v>
      </c>
      <c r="I4724" s="16" t="s">
        <v>87</v>
      </c>
      <c r="J4724" s="19"/>
      <c r="L4724" s="16" t="str">
        <f>IFERROR(__xludf.DUMMYFUNCTION("""COMPUTED_VALUE"""),"")</f>
        <v/>
      </c>
      <c r="M4724" s="16" t="str">
        <f>IFERROR(__xludf.DUMMYFUNCTION("""COMPUTED_VALUE"""),"")</f>
        <v/>
      </c>
      <c r="U4724" s="16" t="s">
        <v>87</v>
      </c>
      <c r="V4724" s="16" t="str">
        <f>IFERROR(__xludf.DUMMYFUNCTION("""COMPUTED_VALUE"""),"")</f>
        <v/>
      </c>
      <c r="W4724" s="16" t="str">
        <f>IFERROR(__xludf.DUMMYFUNCTION("""COMPUTED_VALUE"""),"")</f>
        <v/>
      </c>
      <c r="X4724" s="16" t="str">
        <f>IFERROR(__xludf.DUMMYFUNCTION("""COMPUTED_VALUE"""),"")</f>
        <v/>
      </c>
      <c r="AC4724" s="16" t="str">
        <f>IFERROR(__xludf.DUMMYFUNCTION("""COMPUTED_VALUE"""),"")</f>
        <v/>
      </c>
    </row>
    <row r="4725">
      <c r="A4725" s="16" t="s">
        <v>87</v>
      </c>
      <c r="E4725" s="16" t="str">
        <f>IFERROR(__xludf.DUMMYFUNCTION("""COMPUTED_VALUE"""),"")</f>
        <v/>
      </c>
      <c r="G4725" s="18"/>
      <c r="H4725" s="16" t="s">
        <v>87</v>
      </c>
      <c r="I4725" s="16" t="s">
        <v>87</v>
      </c>
      <c r="J4725" s="19"/>
      <c r="L4725" s="16" t="str">
        <f>IFERROR(__xludf.DUMMYFUNCTION("""COMPUTED_VALUE"""),"")</f>
        <v/>
      </c>
      <c r="M4725" s="16" t="str">
        <f>IFERROR(__xludf.DUMMYFUNCTION("""COMPUTED_VALUE"""),"")</f>
        <v/>
      </c>
      <c r="U4725" s="16" t="s">
        <v>87</v>
      </c>
      <c r="V4725" s="16" t="str">
        <f>IFERROR(__xludf.DUMMYFUNCTION("""COMPUTED_VALUE"""),"")</f>
        <v/>
      </c>
      <c r="W4725" s="16" t="str">
        <f>IFERROR(__xludf.DUMMYFUNCTION("""COMPUTED_VALUE"""),"")</f>
        <v/>
      </c>
      <c r="X4725" s="16" t="str">
        <f>IFERROR(__xludf.DUMMYFUNCTION("""COMPUTED_VALUE"""),"")</f>
        <v/>
      </c>
      <c r="AC4725" s="16" t="str">
        <f>IFERROR(__xludf.DUMMYFUNCTION("""COMPUTED_VALUE"""),"")</f>
        <v/>
      </c>
    </row>
    <row r="4726">
      <c r="A4726" s="16" t="s">
        <v>87</v>
      </c>
      <c r="E4726" s="16" t="str">
        <f>IFERROR(__xludf.DUMMYFUNCTION("""COMPUTED_VALUE"""),"")</f>
        <v/>
      </c>
      <c r="G4726" s="18"/>
      <c r="H4726" s="16" t="s">
        <v>87</v>
      </c>
      <c r="I4726" s="16" t="s">
        <v>87</v>
      </c>
      <c r="J4726" s="19"/>
      <c r="L4726" s="16" t="str">
        <f>IFERROR(__xludf.DUMMYFUNCTION("""COMPUTED_VALUE"""),"")</f>
        <v/>
      </c>
      <c r="M4726" s="16" t="str">
        <f>IFERROR(__xludf.DUMMYFUNCTION("""COMPUTED_VALUE"""),"")</f>
        <v/>
      </c>
      <c r="U4726" s="16" t="s">
        <v>87</v>
      </c>
      <c r="V4726" s="16" t="str">
        <f>IFERROR(__xludf.DUMMYFUNCTION("""COMPUTED_VALUE"""),"")</f>
        <v/>
      </c>
      <c r="W4726" s="16" t="str">
        <f>IFERROR(__xludf.DUMMYFUNCTION("""COMPUTED_VALUE"""),"")</f>
        <v/>
      </c>
      <c r="X4726" s="16" t="str">
        <f>IFERROR(__xludf.DUMMYFUNCTION("""COMPUTED_VALUE"""),"")</f>
        <v/>
      </c>
      <c r="AC4726" s="16" t="str">
        <f>IFERROR(__xludf.DUMMYFUNCTION("""COMPUTED_VALUE"""),"")</f>
        <v/>
      </c>
    </row>
    <row r="4727">
      <c r="A4727" s="16" t="s">
        <v>87</v>
      </c>
      <c r="E4727" s="16" t="str">
        <f>IFERROR(__xludf.DUMMYFUNCTION("""COMPUTED_VALUE"""),"")</f>
        <v/>
      </c>
      <c r="G4727" s="18"/>
      <c r="H4727" s="16" t="s">
        <v>87</v>
      </c>
      <c r="I4727" s="16" t="s">
        <v>87</v>
      </c>
      <c r="J4727" s="19"/>
      <c r="L4727" s="16" t="str">
        <f>IFERROR(__xludf.DUMMYFUNCTION("""COMPUTED_VALUE"""),"")</f>
        <v/>
      </c>
      <c r="M4727" s="16" t="str">
        <f>IFERROR(__xludf.DUMMYFUNCTION("""COMPUTED_VALUE"""),"")</f>
        <v/>
      </c>
      <c r="U4727" s="16" t="s">
        <v>87</v>
      </c>
      <c r="V4727" s="16" t="str">
        <f>IFERROR(__xludf.DUMMYFUNCTION("""COMPUTED_VALUE"""),"")</f>
        <v/>
      </c>
      <c r="W4727" s="16" t="str">
        <f>IFERROR(__xludf.DUMMYFUNCTION("""COMPUTED_VALUE"""),"")</f>
        <v/>
      </c>
      <c r="X4727" s="16" t="str">
        <f>IFERROR(__xludf.DUMMYFUNCTION("""COMPUTED_VALUE"""),"")</f>
        <v/>
      </c>
      <c r="AC4727" s="16" t="str">
        <f>IFERROR(__xludf.DUMMYFUNCTION("""COMPUTED_VALUE"""),"")</f>
        <v/>
      </c>
    </row>
    <row r="4728">
      <c r="A4728" s="16" t="s">
        <v>87</v>
      </c>
      <c r="E4728" s="16" t="str">
        <f>IFERROR(__xludf.DUMMYFUNCTION("""COMPUTED_VALUE"""),"")</f>
        <v/>
      </c>
      <c r="G4728" s="18"/>
      <c r="H4728" s="16" t="s">
        <v>87</v>
      </c>
      <c r="I4728" s="16" t="s">
        <v>87</v>
      </c>
      <c r="J4728" s="19"/>
      <c r="L4728" s="16" t="str">
        <f>IFERROR(__xludf.DUMMYFUNCTION("""COMPUTED_VALUE"""),"")</f>
        <v/>
      </c>
      <c r="M4728" s="16" t="str">
        <f>IFERROR(__xludf.DUMMYFUNCTION("""COMPUTED_VALUE"""),"")</f>
        <v/>
      </c>
      <c r="U4728" s="16" t="s">
        <v>87</v>
      </c>
      <c r="V4728" s="16" t="str">
        <f>IFERROR(__xludf.DUMMYFUNCTION("""COMPUTED_VALUE"""),"")</f>
        <v/>
      </c>
      <c r="W4728" s="16" t="str">
        <f>IFERROR(__xludf.DUMMYFUNCTION("""COMPUTED_VALUE"""),"")</f>
        <v/>
      </c>
      <c r="X4728" s="16" t="str">
        <f>IFERROR(__xludf.DUMMYFUNCTION("""COMPUTED_VALUE"""),"")</f>
        <v/>
      </c>
      <c r="AC4728" s="16" t="str">
        <f>IFERROR(__xludf.DUMMYFUNCTION("""COMPUTED_VALUE"""),"")</f>
        <v/>
      </c>
    </row>
    <row r="4729">
      <c r="A4729" s="16" t="s">
        <v>87</v>
      </c>
      <c r="E4729" s="16" t="str">
        <f>IFERROR(__xludf.DUMMYFUNCTION("""COMPUTED_VALUE"""),"")</f>
        <v/>
      </c>
      <c r="G4729" s="18"/>
      <c r="H4729" s="16" t="s">
        <v>87</v>
      </c>
      <c r="I4729" s="16" t="s">
        <v>87</v>
      </c>
      <c r="J4729" s="19"/>
      <c r="L4729" s="16" t="str">
        <f>IFERROR(__xludf.DUMMYFUNCTION("""COMPUTED_VALUE"""),"")</f>
        <v/>
      </c>
      <c r="M4729" s="16" t="str">
        <f>IFERROR(__xludf.DUMMYFUNCTION("""COMPUTED_VALUE"""),"")</f>
        <v/>
      </c>
      <c r="U4729" s="16" t="s">
        <v>87</v>
      </c>
      <c r="V4729" s="16" t="str">
        <f>IFERROR(__xludf.DUMMYFUNCTION("""COMPUTED_VALUE"""),"")</f>
        <v/>
      </c>
      <c r="W4729" s="16" t="str">
        <f>IFERROR(__xludf.DUMMYFUNCTION("""COMPUTED_VALUE"""),"")</f>
        <v/>
      </c>
      <c r="X4729" s="16" t="str">
        <f>IFERROR(__xludf.DUMMYFUNCTION("""COMPUTED_VALUE"""),"")</f>
        <v/>
      </c>
      <c r="AC4729" s="16" t="str">
        <f>IFERROR(__xludf.DUMMYFUNCTION("""COMPUTED_VALUE"""),"")</f>
        <v/>
      </c>
    </row>
    <row r="4730">
      <c r="A4730" s="16" t="s">
        <v>87</v>
      </c>
      <c r="E4730" s="16" t="str">
        <f>IFERROR(__xludf.DUMMYFUNCTION("""COMPUTED_VALUE"""),"")</f>
        <v/>
      </c>
      <c r="G4730" s="18"/>
      <c r="H4730" s="16" t="s">
        <v>87</v>
      </c>
      <c r="I4730" s="16" t="s">
        <v>87</v>
      </c>
      <c r="J4730" s="19"/>
      <c r="L4730" s="16" t="str">
        <f>IFERROR(__xludf.DUMMYFUNCTION("""COMPUTED_VALUE"""),"")</f>
        <v/>
      </c>
      <c r="M4730" s="16" t="str">
        <f>IFERROR(__xludf.DUMMYFUNCTION("""COMPUTED_VALUE"""),"")</f>
        <v/>
      </c>
      <c r="U4730" s="16" t="s">
        <v>87</v>
      </c>
      <c r="V4730" s="16" t="str">
        <f>IFERROR(__xludf.DUMMYFUNCTION("""COMPUTED_VALUE"""),"")</f>
        <v/>
      </c>
      <c r="W4730" s="16" t="str">
        <f>IFERROR(__xludf.DUMMYFUNCTION("""COMPUTED_VALUE"""),"")</f>
        <v/>
      </c>
      <c r="X4730" s="16" t="str">
        <f>IFERROR(__xludf.DUMMYFUNCTION("""COMPUTED_VALUE"""),"")</f>
        <v/>
      </c>
      <c r="AC4730" s="16" t="str">
        <f>IFERROR(__xludf.DUMMYFUNCTION("""COMPUTED_VALUE"""),"")</f>
        <v/>
      </c>
    </row>
    <row r="4731">
      <c r="A4731" s="16" t="s">
        <v>87</v>
      </c>
      <c r="E4731" s="16" t="str">
        <f>IFERROR(__xludf.DUMMYFUNCTION("""COMPUTED_VALUE"""),"")</f>
        <v/>
      </c>
      <c r="G4731" s="18"/>
      <c r="H4731" s="16" t="s">
        <v>87</v>
      </c>
      <c r="I4731" s="16" t="s">
        <v>87</v>
      </c>
      <c r="J4731" s="19"/>
      <c r="L4731" s="16" t="str">
        <f>IFERROR(__xludf.DUMMYFUNCTION("""COMPUTED_VALUE"""),"")</f>
        <v/>
      </c>
      <c r="M4731" s="16" t="str">
        <f>IFERROR(__xludf.DUMMYFUNCTION("""COMPUTED_VALUE"""),"")</f>
        <v/>
      </c>
      <c r="U4731" s="16" t="s">
        <v>87</v>
      </c>
      <c r="V4731" s="16" t="str">
        <f>IFERROR(__xludf.DUMMYFUNCTION("""COMPUTED_VALUE"""),"")</f>
        <v/>
      </c>
      <c r="W4731" s="16" t="str">
        <f>IFERROR(__xludf.DUMMYFUNCTION("""COMPUTED_VALUE"""),"")</f>
        <v/>
      </c>
      <c r="X4731" s="16" t="str">
        <f>IFERROR(__xludf.DUMMYFUNCTION("""COMPUTED_VALUE"""),"")</f>
        <v/>
      </c>
      <c r="AC4731" s="16" t="str">
        <f>IFERROR(__xludf.DUMMYFUNCTION("""COMPUTED_VALUE"""),"")</f>
        <v/>
      </c>
    </row>
    <row r="4732">
      <c r="A4732" s="16" t="s">
        <v>87</v>
      </c>
      <c r="E4732" s="16" t="str">
        <f>IFERROR(__xludf.DUMMYFUNCTION("""COMPUTED_VALUE"""),"")</f>
        <v/>
      </c>
      <c r="G4732" s="18"/>
      <c r="H4732" s="16" t="s">
        <v>87</v>
      </c>
      <c r="I4732" s="16" t="s">
        <v>87</v>
      </c>
      <c r="J4732" s="19"/>
      <c r="L4732" s="16" t="str">
        <f>IFERROR(__xludf.DUMMYFUNCTION("""COMPUTED_VALUE"""),"")</f>
        <v/>
      </c>
      <c r="M4732" s="16" t="str">
        <f>IFERROR(__xludf.DUMMYFUNCTION("""COMPUTED_VALUE"""),"")</f>
        <v/>
      </c>
      <c r="U4732" s="16" t="s">
        <v>87</v>
      </c>
      <c r="V4732" s="16" t="str">
        <f>IFERROR(__xludf.DUMMYFUNCTION("""COMPUTED_VALUE"""),"")</f>
        <v/>
      </c>
      <c r="W4732" s="16" t="str">
        <f>IFERROR(__xludf.DUMMYFUNCTION("""COMPUTED_VALUE"""),"")</f>
        <v/>
      </c>
      <c r="X4732" s="16" t="str">
        <f>IFERROR(__xludf.DUMMYFUNCTION("""COMPUTED_VALUE"""),"")</f>
        <v/>
      </c>
      <c r="AC4732" s="16" t="str">
        <f>IFERROR(__xludf.DUMMYFUNCTION("""COMPUTED_VALUE"""),"")</f>
        <v/>
      </c>
    </row>
    <row r="4733">
      <c r="A4733" s="16" t="s">
        <v>87</v>
      </c>
      <c r="E4733" s="16" t="str">
        <f>IFERROR(__xludf.DUMMYFUNCTION("""COMPUTED_VALUE"""),"")</f>
        <v/>
      </c>
      <c r="G4733" s="18"/>
      <c r="H4733" s="16" t="s">
        <v>87</v>
      </c>
      <c r="I4733" s="16" t="s">
        <v>87</v>
      </c>
      <c r="J4733" s="19"/>
      <c r="L4733" s="16" t="str">
        <f>IFERROR(__xludf.DUMMYFUNCTION("""COMPUTED_VALUE"""),"")</f>
        <v/>
      </c>
      <c r="M4733" s="16" t="str">
        <f>IFERROR(__xludf.DUMMYFUNCTION("""COMPUTED_VALUE"""),"")</f>
        <v/>
      </c>
      <c r="U4733" s="16" t="s">
        <v>87</v>
      </c>
      <c r="V4733" s="16" t="str">
        <f>IFERROR(__xludf.DUMMYFUNCTION("""COMPUTED_VALUE"""),"")</f>
        <v/>
      </c>
      <c r="W4733" s="16" t="str">
        <f>IFERROR(__xludf.DUMMYFUNCTION("""COMPUTED_VALUE"""),"")</f>
        <v/>
      </c>
      <c r="X4733" s="16" t="str">
        <f>IFERROR(__xludf.DUMMYFUNCTION("""COMPUTED_VALUE"""),"")</f>
        <v/>
      </c>
      <c r="AC4733" s="16" t="str">
        <f>IFERROR(__xludf.DUMMYFUNCTION("""COMPUTED_VALUE"""),"")</f>
        <v/>
      </c>
    </row>
    <row r="4734">
      <c r="A4734" s="16" t="s">
        <v>87</v>
      </c>
      <c r="E4734" s="16" t="str">
        <f>IFERROR(__xludf.DUMMYFUNCTION("""COMPUTED_VALUE"""),"")</f>
        <v/>
      </c>
      <c r="G4734" s="18"/>
      <c r="H4734" s="16" t="s">
        <v>87</v>
      </c>
      <c r="I4734" s="16" t="s">
        <v>87</v>
      </c>
      <c r="J4734" s="19"/>
      <c r="L4734" s="16" t="str">
        <f>IFERROR(__xludf.DUMMYFUNCTION("""COMPUTED_VALUE"""),"")</f>
        <v/>
      </c>
      <c r="M4734" s="16" t="str">
        <f>IFERROR(__xludf.DUMMYFUNCTION("""COMPUTED_VALUE"""),"")</f>
        <v/>
      </c>
      <c r="U4734" s="16" t="s">
        <v>87</v>
      </c>
      <c r="V4734" s="16" t="str">
        <f>IFERROR(__xludf.DUMMYFUNCTION("""COMPUTED_VALUE"""),"")</f>
        <v/>
      </c>
      <c r="W4734" s="16" t="str">
        <f>IFERROR(__xludf.DUMMYFUNCTION("""COMPUTED_VALUE"""),"")</f>
        <v/>
      </c>
      <c r="X4734" s="16" t="str">
        <f>IFERROR(__xludf.DUMMYFUNCTION("""COMPUTED_VALUE"""),"")</f>
        <v/>
      </c>
      <c r="AC4734" s="16" t="str">
        <f>IFERROR(__xludf.DUMMYFUNCTION("""COMPUTED_VALUE"""),"")</f>
        <v/>
      </c>
    </row>
    <row r="4735">
      <c r="A4735" s="16" t="s">
        <v>87</v>
      </c>
      <c r="E4735" s="16" t="str">
        <f>IFERROR(__xludf.DUMMYFUNCTION("""COMPUTED_VALUE"""),"")</f>
        <v/>
      </c>
      <c r="G4735" s="18"/>
      <c r="H4735" s="16" t="s">
        <v>87</v>
      </c>
      <c r="I4735" s="16" t="s">
        <v>87</v>
      </c>
      <c r="J4735" s="19"/>
      <c r="L4735" s="16" t="str">
        <f>IFERROR(__xludf.DUMMYFUNCTION("""COMPUTED_VALUE"""),"")</f>
        <v/>
      </c>
      <c r="M4735" s="16" t="str">
        <f>IFERROR(__xludf.DUMMYFUNCTION("""COMPUTED_VALUE"""),"")</f>
        <v/>
      </c>
      <c r="U4735" s="16" t="s">
        <v>87</v>
      </c>
      <c r="V4735" s="16" t="str">
        <f>IFERROR(__xludf.DUMMYFUNCTION("""COMPUTED_VALUE"""),"")</f>
        <v/>
      </c>
      <c r="W4735" s="16" t="str">
        <f>IFERROR(__xludf.DUMMYFUNCTION("""COMPUTED_VALUE"""),"")</f>
        <v/>
      </c>
      <c r="X4735" s="16" t="str">
        <f>IFERROR(__xludf.DUMMYFUNCTION("""COMPUTED_VALUE"""),"")</f>
        <v/>
      </c>
      <c r="AC4735" s="16" t="str">
        <f>IFERROR(__xludf.DUMMYFUNCTION("""COMPUTED_VALUE"""),"")</f>
        <v/>
      </c>
    </row>
    <row r="4736">
      <c r="A4736" s="16" t="s">
        <v>87</v>
      </c>
      <c r="E4736" s="16" t="str">
        <f>IFERROR(__xludf.DUMMYFUNCTION("""COMPUTED_VALUE"""),"")</f>
        <v/>
      </c>
      <c r="G4736" s="18"/>
      <c r="H4736" s="16" t="s">
        <v>87</v>
      </c>
      <c r="I4736" s="16" t="s">
        <v>87</v>
      </c>
      <c r="J4736" s="19"/>
      <c r="L4736" s="16" t="str">
        <f>IFERROR(__xludf.DUMMYFUNCTION("""COMPUTED_VALUE"""),"")</f>
        <v/>
      </c>
      <c r="M4736" s="16" t="str">
        <f>IFERROR(__xludf.DUMMYFUNCTION("""COMPUTED_VALUE"""),"")</f>
        <v/>
      </c>
      <c r="U4736" s="16" t="s">
        <v>87</v>
      </c>
      <c r="V4736" s="16" t="str">
        <f>IFERROR(__xludf.DUMMYFUNCTION("""COMPUTED_VALUE"""),"")</f>
        <v/>
      </c>
      <c r="W4736" s="16" t="str">
        <f>IFERROR(__xludf.DUMMYFUNCTION("""COMPUTED_VALUE"""),"")</f>
        <v/>
      </c>
      <c r="X4736" s="16" t="str">
        <f>IFERROR(__xludf.DUMMYFUNCTION("""COMPUTED_VALUE"""),"")</f>
        <v/>
      </c>
      <c r="AC4736" s="16" t="str">
        <f>IFERROR(__xludf.DUMMYFUNCTION("""COMPUTED_VALUE"""),"")</f>
        <v/>
      </c>
    </row>
    <row r="4737">
      <c r="A4737" s="16" t="s">
        <v>87</v>
      </c>
      <c r="E4737" s="16" t="str">
        <f>IFERROR(__xludf.DUMMYFUNCTION("""COMPUTED_VALUE"""),"")</f>
        <v/>
      </c>
      <c r="G4737" s="18"/>
      <c r="H4737" s="16" t="s">
        <v>87</v>
      </c>
      <c r="I4737" s="16" t="s">
        <v>87</v>
      </c>
      <c r="J4737" s="19"/>
      <c r="L4737" s="16" t="str">
        <f>IFERROR(__xludf.DUMMYFUNCTION("""COMPUTED_VALUE"""),"")</f>
        <v/>
      </c>
      <c r="M4737" s="16" t="str">
        <f>IFERROR(__xludf.DUMMYFUNCTION("""COMPUTED_VALUE"""),"")</f>
        <v/>
      </c>
      <c r="U4737" s="16" t="s">
        <v>87</v>
      </c>
      <c r="V4737" s="16" t="str">
        <f>IFERROR(__xludf.DUMMYFUNCTION("""COMPUTED_VALUE"""),"")</f>
        <v/>
      </c>
      <c r="W4737" s="16" t="str">
        <f>IFERROR(__xludf.DUMMYFUNCTION("""COMPUTED_VALUE"""),"")</f>
        <v/>
      </c>
      <c r="X4737" s="16" t="str">
        <f>IFERROR(__xludf.DUMMYFUNCTION("""COMPUTED_VALUE"""),"")</f>
        <v/>
      </c>
      <c r="AC4737" s="16" t="str">
        <f>IFERROR(__xludf.DUMMYFUNCTION("""COMPUTED_VALUE"""),"")</f>
        <v/>
      </c>
    </row>
    <row r="4738">
      <c r="A4738" s="16" t="s">
        <v>87</v>
      </c>
      <c r="E4738" s="16" t="str">
        <f>IFERROR(__xludf.DUMMYFUNCTION("""COMPUTED_VALUE"""),"")</f>
        <v/>
      </c>
      <c r="G4738" s="18"/>
      <c r="H4738" s="16" t="s">
        <v>87</v>
      </c>
      <c r="I4738" s="16" t="s">
        <v>87</v>
      </c>
      <c r="J4738" s="19"/>
      <c r="L4738" s="16" t="str">
        <f>IFERROR(__xludf.DUMMYFUNCTION("""COMPUTED_VALUE"""),"")</f>
        <v/>
      </c>
      <c r="M4738" s="16" t="str">
        <f>IFERROR(__xludf.DUMMYFUNCTION("""COMPUTED_VALUE"""),"")</f>
        <v/>
      </c>
      <c r="U4738" s="16" t="s">
        <v>87</v>
      </c>
      <c r="V4738" s="16" t="str">
        <f>IFERROR(__xludf.DUMMYFUNCTION("""COMPUTED_VALUE"""),"")</f>
        <v/>
      </c>
      <c r="W4738" s="16" t="str">
        <f>IFERROR(__xludf.DUMMYFUNCTION("""COMPUTED_VALUE"""),"")</f>
        <v/>
      </c>
      <c r="X4738" s="16" t="str">
        <f>IFERROR(__xludf.DUMMYFUNCTION("""COMPUTED_VALUE"""),"")</f>
        <v/>
      </c>
      <c r="AC4738" s="16" t="str">
        <f>IFERROR(__xludf.DUMMYFUNCTION("""COMPUTED_VALUE"""),"")</f>
        <v/>
      </c>
    </row>
    <row r="4739">
      <c r="A4739" s="16" t="s">
        <v>87</v>
      </c>
      <c r="E4739" s="16" t="str">
        <f>IFERROR(__xludf.DUMMYFUNCTION("""COMPUTED_VALUE"""),"")</f>
        <v/>
      </c>
      <c r="G4739" s="18"/>
      <c r="H4739" s="16" t="s">
        <v>87</v>
      </c>
      <c r="I4739" s="16" t="s">
        <v>87</v>
      </c>
      <c r="J4739" s="19"/>
      <c r="L4739" s="16" t="str">
        <f>IFERROR(__xludf.DUMMYFUNCTION("""COMPUTED_VALUE"""),"")</f>
        <v/>
      </c>
      <c r="M4739" s="16" t="str">
        <f>IFERROR(__xludf.DUMMYFUNCTION("""COMPUTED_VALUE"""),"")</f>
        <v/>
      </c>
      <c r="U4739" s="16" t="s">
        <v>87</v>
      </c>
      <c r="V4739" s="16" t="str">
        <f>IFERROR(__xludf.DUMMYFUNCTION("""COMPUTED_VALUE"""),"")</f>
        <v/>
      </c>
      <c r="W4739" s="16" t="str">
        <f>IFERROR(__xludf.DUMMYFUNCTION("""COMPUTED_VALUE"""),"")</f>
        <v/>
      </c>
      <c r="X4739" s="16" t="str">
        <f>IFERROR(__xludf.DUMMYFUNCTION("""COMPUTED_VALUE"""),"")</f>
        <v/>
      </c>
      <c r="AC4739" s="16" t="str">
        <f>IFERROR(__xludf.DUMMYFUNCTION("""COMPUTED_VALUE"""),"")</f>
        <v/>
      </c>
    </row>
    <row r="4740">
      <c r="A4740" s="16" t="s">
        <v>87</v>
      </c>
      <c r="E4740" s="16" t="str">
        <f>IFERROR(__xludf.DUMMYFUNCTION("""COMPUTED_VALUE"""),"")</f>
        <v/>
      </c>
      <c r="G4740" s="18"/>
      <c r="H4740" s="16" t="s">
        <v>87</v>
      </c>
      <c r="I4740" s="16" t="s">
        <v>87</v>
      </c>
      <c r="J4740" s="19"/>
      <c r="L4740" s="16" t="str">
        <f>IFERROR(__xludf.DUMMYFUNCTION("""COMPUTED_VALUE"""),"")</f>
        <v/>
      </c>
      <c r="M4740" s="16" t="str">
        <f>IFERROR(__xludf.DUMMYFUNCTION("""COMPUTED_VALUE"""),"")</f>
        <v/>
      </c>
      <c r="U4740" s="16" t="s">
        <v>87</v>
      </c>
      <c r="V4740" s="16" t="str">
        <f>IFERROR(__xludf.DUMMYFUNCTION("""COMPUTED_VALUE"""),"")</f>
        <v/>
      </c>
      <c r="W4740" s="16" t="str">
        <f>IFERROR(__xludf.DUMMYFUNCTION("""COMPUTED_VALUE"""),"")</f>
        <v/>
      </c>
      <c r="X4740" s="16" t="str">
        <f>IFERROR(__xludf.DUMMYFUNCTION("""COMPUTED_VALUE"""),"")</f>
        <v/>
      </c>
      <c r="AC4740" s="16" t="str">
        <f>IFERROR(__xludf.DUMMYFUNCTION("""COMPUTED_VALUE"""),"")</f>
        <v/>
      </c>
    </row>
    <row r="4741">
      <c r="A4741" s="16" t="s">
        <v>87</v>
      </c>
      <c r="E4741" s="16" t="str">
        <f>IFERROR(__xludf.DUMMYFUNCTION("""COMPUTED_VALUE"""),"")</f>
        <v/>
      </c>
      <c r="G4741" s="18"/>
      <c r="H4741" s="16" t="s">
        <v>87</v>
      </c>
      <c r="I4741" s="16" t="s">
        <v>87</v>
      </c>
      <c r="J4741" s="19"/>
      <c r="L4741" s="16" t="str">
        <f>IFERROR(__xludf.DUMMYFUNCTION("""COMPUTED_VALUE"""),"")</f>
        <v/>
      </c>
      <c r="M4741" s="16" t="str">
        <f>IFERROR(__xludf.DUMMYFUNCTION("""COMPUTED_VALUE"""),"")</f>
        <v/>
      </c>
      <c r="U4741" s="16" t="s">
        <v>87</v>
      </c>
      <c r="V4741" s="16" t="str">
        <f>IFERROR(__xludf.DUMMYFUNCTION("""COMPUTED_VALUE"""),"")</f>
        <v/>
      </c>
      <c r="W4741" s="16" t="str">
        <f>IFERROR(__xludf.DUMMYFUNCTION("""COMPUTED_VALUE"""),"")</f>
        <v/>
      </c>
      <c r="X4741" s="16" t="str">
        <f>IFERROR(__xludf.DUMMYFUNCTION("""COMPUTED_VALUE"""),"")</f>
        <v/>
      </c>
      <c r="AC4741" s="16" t="str">
        <f>IFERROR(__xludf.DUMMYFUNCTION("""COMPUTED_VALUE"""),"")</f>
        <v/>
      </c>
    </row>
    <row r="4742">
      <c r="A4742" s="16" t="s">
        <v>87</v>
      </c>
      <c r="E4742" s="16" t="str">
        <f>IFERROR(__xludf.DUMMYFUNCTION("""COMPUTED_VALUE"""),"")</f>
        <v/>
      </c>
      <c r="G4742" s="18"/>
      <c r="H4742" s="16" t="s">
        <v>87</v>
      </c>
      <c r="I4742" s="16" t="s">
        <v>87</v>
      </c>
      <c r="J4742" s="19"/>
      <c r="L4742" s="16" t="str">
        <f>IFERROR(__xludf.DUMMYFUNCTION("""COMPUTED_VALUE"""),"")</f>
        <v/>
      </c>
      <c r="M4742" s="16" t="str">
        <f>IFERROR(__xludf.DUMMYFUNCTION("""COMPUTED_VALUE"""),"")</f>
        <v/>
      </c>
      <c r="U4742" s="16" t="s">
        <v>87</v>
      </c>
      <c r="V4742" s="16" t="str">
        <f>IFERROR(__xludf.DUMMYFUNCTION("""COMPUTED_VALUE"""),"")</f>
        <v/>
      </c>
      <c r="W4742" s="16" t="str">
        <f>IFERROR(__xludf.DUMMYFUNCTION("""COMPUTED_VALUE"""),"")</f>
        <v/>
      </c>
      <c r="X4742" s="16" t="str">
        <f>IFERROR(__xludf.DUMMYFUNCTION("""COMPUTED_VALUE"""),"")</f>
        <v/>
      </c>
      <c r="AC4742" s="16" t="str">
        <f>IFERROR(__xludf.DUMMYFUNCTION("""COMPUTED_VALUE"""),"")</f>
        <v/>
      </c>
    </row>
    <row r="4743">
      <c r="A4743" s="16" t="s">
        <v>87</v>
      </c>
      <c r="E4743" s="16" t="str">
        <f>IFERROR(__xludf.DUMMYFUNCTION("""COMPUTED_VALUE"""),"")</f>
        <v/>
      </c>
      <c r="G4743" s="18"/>
      <c r="H4743" s="16" t="s">
        <v>87</v>
      </c>
      <c r="I4743" s="16" t="s">
        <v>87</v>
      </c>
      <c r="J4743" s="19"/>
      <c r="L4743" s="16" t="str">
        <f>IFERROR(__xludf.DUMMYFUNCTION("""COMPUTED_VALUE"""),"")</f>
        <v/>
      </c>
      <c r="M4743" s="16" t="str">
        <f>IFERROR(__xludf.DUMMYFUNCTION("""COMPUTED_VALUE"""),"")</f>
        <v/>
      </c>
      <c r="U4743" s="16" t="s">
        <v>87</v>
      </c>
      <c r="V4743" s="16" t="str">
        <f>IFERROR(__xludf.DUMMYFUNCTION("""COMPUTED_VALUE"""),"")</f>
        <v/>
      </c>
      <c r="W4743" s="16" t="str">
        <f>IFERROR(__xludf.DUMMYFUNCTION("""COMPUTED_VALUE"""),"")</f>
        <v/>
      </c>
      <c r="X4743" s="16" t="str">
        <f>IFERROR(__xludf.DUMMYFUNCTION("""COMPUTED_VALUE"""),"")</f>
        <v/>
      </c>
      <c r="AC4743" s="16" t="str">
        <f>IFERROR(__xludf.DUMMYFUNCTION("""COMPUTED_VALUE"""),"")</f>
        <v/>
      </c>
    </row>
    <row r="4744">
      <c r="A4744" s="16" t="s">
        <v>87</v>
      </c>
      <c r="E4744" s="16" t="str">
        <f>IFERROR(__xludf.DUMMYFUNCTION("""COMPUTED_VALUE"""),"")</f>
        <v/>
      </c>
      <c r="G4744" s="18"/>
      <c r="H4744" s="16" t="s">
        <v>87</v>
      </c>
      <c r="I4744" s="16" t="s">
        <v>87</v>
      </c>
      <c r="J4744" s="19"/>
      <c r="L4744" s="16" t="str">
        <f>IFERROR(__xludf.DUMMYFUNCTION("""COMPUTED_VALUE"""),"")</f>
        <v/>
      </c>
      <c r="M4744" s="16" t="str">
        <f>IFERROR(__xludf.DUMMYFUNCTION("""COMPUTED_VALUE"""),"")</f>
        <v/>
      </c>
      <c r="U4744" s="16" t="s">
        <v>87</v>
      </c>
      <c r="V4744" s="16" t="str">
        <f>IFERROR(__xludf.DUMMYFUNCTION("""COMPUTED_VALUE"""),"")</f>
        <v/>
      </c>
      <c r="W4744" s="16" t="str">
        <f>IFERROR(__xludf.DUMMYFUNCTION("""COMPUTED_VALUE"""),"")</f>
        <v/>
      </c>
      <c r="X4744" s="16" t="str">
        <f>IFERROR(__xludf.DUMMYFUNCTION("""COMPUTED_VALUE"""),"")</f>
        <v/>
      </c>
      <c r="AC4744" s="16" t="str">
        <f>IFERROR(__xludf.DUMMYFUNCTION("""COMPUTED_VALUE"""),"")</f>
        <v/>
      </c>
    </row>
    <row r="4745">
      <c r="A4745" s="16" t="s">
        <v>87</v>
      </c>
      <c r="E4745" s="16" t="str">
        <f>IFERROR(__xludf.DUMMYFUNCTION("""COMPUTED_VALUE"""),"")</f>
        <v/>
      </c>
      <c r="G4745" s="18"/>
      <c r="H4745" s="16" t="s">
        <v>87</v>
      </c>
      <c r="I4745" s="16" t="s">
        <v>87</v>
      </c>
      <c r="J4745" s="19"/>
      <c r="L4745" s="16" t="str">
        <f>IFERROR(__xludf.DUMMYFUNCTION("""COMPUTED_VALUE"""),"")</f>
        <v/>
      </c>
      <c r="M4745" s="16" t="str">
        <f>IFERROR(__xludf.DUMMYFUNCTION("""COMPUTED_VALUE"""),"")</f>
        <v/>
      </c>
      <c r="U4745" s="16" t="s">
        <v>87</v>
      </c>
      <c r="V4745" s="16" t="str">
        <f>IFERROR(__xludf.DUMMYFUNCTION("""COMPUTED_VALUE"""),"")</f>
        <v/>
      </c>
      <c r="W4745" s="16" t="str">
        <f>IFERROR(__xludf.DUMMYFUNCTION("""COMPUTED_VALUE"""),"")</f>
        <v/>
      </c>
      <c r="X4745" s="16" t="str">
        <f>IFERROR(__xludf.DUMMYFUNCTION("""COMPUTED_VALUE"""),"")</f>
        <v/>
      </c>
      <c r="AC4745" s="16" t="str">
        <f>IFERROR(__xludf.DUMMYFUNCTION("""COMPUTED_VALUE"""),"")</f>
        <v/>
      </c>
    </row>
    <row r="4746">
      <c r="A4746" s="16" t="s">
        <v>87</v>
      </c>
      <c r="E4746" s="16" t="str">
        <f>IFERROR(__xludf.DUMMYFUNCTION("""COMPUTED_VALUE"""),"")</f>
        <v/>
      </c>
      <c r="G4746" s="18"/>
      <c r="H4746" s="16" t="s">
        <v>87</v>
      </c>
      <c r="I4746" s="16" t="s">
        <v>87</v>
      </c>
      <c r="J4746" s="19"/>
      <c r="L4746" s="16" t="str">
        <f>IFERROR(__xludf.DUMMYFUNCTION("""COMPUTED_VALUE"""),"")</f>
        <v/>
      </c>
      <c r="M4746" s="16" t="str">
        <f>IFERROR(__xludf.DUMMYFUNCTION("""COMPUTED_VALUE"""),"")</f>
        <v/>
      </c>
      <c r="U4746" s="16" t="s">
        <v>87</v>
      </c>
      <c r="V4746" s="16" t="str">
        <f>IFERROR(__xludf.DUMMYFUNCTION("""COMPUTED_VALUE"""),"")</f>
        <v/>
      </c>
      <c r="W4746" s="16" t="str">
        <f>IFERROR(__xludf.DUMMYFUNCTION("""COMPUTED_VALUE"""),"")</f>
        <v/>
      </c>
      <c r="X4746" s="16" t="str">
        <f>IFERROR(__xludf.DUMMYFUNCTION("""COMPUTED_VALUE"""),"")</f>
        <v/>
      </c>
      <c r="AC4746" s="16" t="str">
        <f>IFERROR(__xludf.DUMMYFUNCTION("""COMPUTED_VALUE"""),"")</f>
        <v/>
      </c>
    </row>
    <row r="4747">
      <c r="A4747" s="16" t="s">
        <v>87</v>
      </c>
      <c r="E4747" s="16" t="str">
        <f>IFERROR(__xludf.DUMMYFUNCTION("""COMPUTED_VALUE"""),"")</f>
        <v/>
      </c>
      <c r="G4747" s="18"/>
      <c r="H4747" s="16" t="s">
        <v>87</v>
      </c>
      <c r="I4747" s="16" t="s">
        <v>87</v>
      </c>
      <c r="J4747" s="19"/>
      <c r="L4747" s="16" t="str">
        <f>IFERROR(__xludf.DUMMYFUNCTION("""COMPUTED_VALUE"""),"")</f>
        <v/>
      </c>
      <c r="M4747" s="16" t="str">
        <f>IFERROR(__xludf.DUMMYFUNCTION("""COMPUTED_VALUE"""),"")</f>
        <v/>
      </c>
      <c r="U4747" s="16" t="s">
        <v>87</v>
      </c>
      <c r="V4747" s="16" t="str">
        <f>IFERROR(__xludf.DUMMYFUNCTION("""COMPUTED_VALUE"""),"")</f>
        <v/>
      </c>
      <c r="W4747" s="16" t="str">
        <f>IFERROR(__xludf.DUMMYFUNCTION("""COMPUTED_VALUE"""),"")</f>
        <v/>
      </c>
      <c r="X4747" s="16" t="str">
        <f>IFERROR(__xludf.DUMMYFUNCTION("""COMPUTED_VALUE"""),"")</f>
        <v/>
      </c>
      <c r="AC4747" s="16" t="str">
        <f>IFERROR(__xludf.DUMMYFUNCTION("""COMPUTED_VALUE"""),"")</f>
        <v/>
      </c>
    </row>
    <row r="4748">
      <c r="A4748" s="16" t="s">
        <v>87</v>
      </c>
      <c r="E4748" s="16" t="str">
        <f>IFERROR(__xludf.DUMMYFUNCTION("""COMPUTED_VALUE"""),"")</f>
        <v/>
      </c>
      <c r="G4748" s="18"/>
      <c r="H4748" s="16" t="s">
        <v>87</v>
      </c>
      <c r="I4748" s="16" t="s">
        <v>87</v>
      </c>
      <c r="J4748" s="19"/>
      <c r="L4748" s="16" t="str">
        <f>IFERROR(__xludf.DUMMYFUNCTION("""COMPUTED_VALUE"""),"")</f>
        <v/>
      </c>
      <c r="M4748" s="16" t="str">
        <f>IFERROR(__xludf.DUMMYFUNCTION("""COMPUTED_VALUE"""),"")</f>
        <v/>
      </c>
      <c r="U4748" s="16" t="s">
        <v>87</v>
      </c>
      <c r="V4748" s="16" t="str">
        <f>IFERROR(__xludf.DUMMYFUNCTION("""COMPUTED_VALUE"""),"")</f>
        <v/>
      </c>
      <c r="W4748" s="16" t="str">
        <f>IFERROR(__xludf.DUMMYFUNCTION("""COMPUTED_VALUE"""),"")</f>
        <v/>
      </c>
      <c r="X4748" s="16" t="str">
        <f>IFERROR(__xludf.DUMMYFUNCTION("""COMPUTED_VALUE"""),"")</f>
        <v/>
      </c>
      <c r="AC4748" s="16" t="str">
        <f>IFERROR(__xludf.DUMMYFUNCTION("""COMPUTED_VALUE"""),"")</f>
        <v/>
      </c>
    </row>
    <row r="4749">
      <c r="A4749" s="16" t="s">
        <v>87</v>
      </c>
      <c r="E4749" s="16" t="str">
        <f>IFERROR(__xludf.DUMMYFUNCTION("""COMPUTED_VALUE"""),"")</f>
        <v/>
      </c>
      <c r="G4749" s="18"/>
      <c r="H4749" s="16" t="s">
        <v>87</v>
      </c>
      <c r="I4749" s="16" t="s">
        <v>87</v>
      </c>
      <c r="J4749" s="19"/>
      <c r="L4749" s="16" t="str">
        <f>IFERROR(__xludf.DUMMYFUNCTION("""COMPUTED_VALUE"""),"")</f>
        <v/>
      </c>
      <c r="M4749" s="16" t="str">
        <f>IFERROR(__xludf.DUMMYFUNCTION("""COMPUTED_VALUE"""),"")</f>
        <v/>
      </c>
      <c r="U4749" s="16" t="s">
        <v>87</v>
      </c>
      <c r="V4749" s="16" t="str">
        <f>IFERROR(__xludf.DUMMYFUNCTION("""COMPUTED_VALUE"""),"")</f>
        <v/>
      </c>
      <c r="W4749" s="16" t="str">
        <f>IFERROR(__xludf.DUMMYFUNCTION("""COMPUTED_VALUE"""),"")</f>
        <v/>
      </c>
      <c r="X4749" s="16" t="str">
        <f>IFERROR(__xludf.DUMMYFUNCTION("""COMPUTED_VALUE"""),"")</f>
        <v/>
      </c>
      <c r="AC4749" s="16" t="str">
        <f>IFERROR(__xludf.DUMMYFUNCTION("""COMPUTED_VALUE"""),"")</f>
        <v/>
      </c>
    </row>
    <row r="4750">
      <c r="A4750" s="16" t="s">
        <v>87</v>
      </c>
      <c r="E4750" s="16" t="str">
        <f>IFERROR(__xludf.DUMMYFUNCTION("""COMPUTED_VALUE"""),"")</f>
        <v/>
      </c>
      <c r="G4750" s="18"/>
      <c r="H4750" s="16" t="s">
        <v>87</v>
      </c>
      <c r="I4750" s="16" t="s">
        <v>87</v>
      </c>
      <c r="J4750" s="19"/>
      <c r="L4750" s="16" t="str">
        <f>IFERROR(__xludf.DUMMYFUNCTION("""COMPUTED_VALUE"""),"")</f>
        <v/>
      </c>
      <c r="M4750" s="16" t="str">
        <f>IFERROR(__xludf.DUMMYFUNCTION("""COMPUTED_VALUE"""),"")</f>
        <v/>
      </c>
      <c r="U4750" s="16" t="s">
        <v>87</v>
      </c>
      <c r="V4750" s="16" t="str">
        <f>IFERROR(__xludf.DUMMYFUNCTION("""COMPUTED_VALUE"""),"")</f>
        <v/>
      </c>
      <c r="W4750" s="16" t="str">
        <f>IFERROR(__xludf.DUMMYFUNCTION("""COMPUTED_VALUE"""),"")</f>
        <v/>
      </c>
      <c r="X4750" s="16" t="str">
        <f>IFERROR(__xludf.DUMMYFUNCTION("""COMPUTED_VALUE"""),"")</f>
        <v/>
      </c>
      <c r="AC4750" s="16" t="str">
        <f>IFERROR(__xludf.DUMMYFUNCTION("""COMPUTED_VALUE"""),"")</f>
        <v/>
      </c>
    </row>
    <row r="4751">
      <c r="A4751" s="16" t="s">
        <v>87</v>
      </c>
      <c r="E4751" s="16" t="str">
        <f>IFERROR(__xludf.DUMMYFUNCTION("""COMPUTED_VALUE"""),"")</f>
        <v/>
      </c>
      <c r="G4751" s="18"/>
      <c r="H4751" s="16" t="s">
        <v>87</v>
      </c>
      <c r="I4751" s="16" t="s">
        <v>87</v>
      </c>
      <c r="J4751" s="19"/>
      <c r="L4751" s="16" t="str">
        <f>IFERROR(__xludf.DUMMYFUNCTION("""COMPUTED_VALUE"""),"")</f>
        <v/>
      </c>
      <c r="M4751" s="16" t="str">
        <f>IFERROR(__xludf.DUMMYFUNCTION("""COMPUTED_VALUE"""),"")</f>
        <v/>
      </c>
      <c r="U4751" s="16" t="s">
        <v>87</v>
      </c>
      <c r="V4751" s="16" t="str">
        <f>IFERROR(__xludf.DUMMYFUNCTION("""COMPUTED_VALUE"""),"")</f>
        <v/>
      </c>
      <c r="W4751" s="16" t="str">
        <f>IFERROR(__xludf.DUMMYFUNCTION("""COMPUTED_VALUE"""),"")</f>
        <v/>
      </c>
      <c r="X4751" s="16" t="str">
        <f>IFERROR(__xludf.DUMMYFUNCTION("""COMPUTED_VALUE"""),"")</f>
        <v/>
      </c>
      <c r="AC4751" s="16" t="str">
        <f>IFERROR(__xludf.DUMMYFUNCTION("""COMPUTED_VALUE"""),"")</f>
        <v/>
      </c>
    </row>
    <row r="4752">
      <c r="A4752" s="16" t="s">
        <v>87</v>
      </c>
      <c r="E4752" s="16" t="str">
        <f>IFERROR(__xludf.DUMMYFUNCTION("""COMPUTED_VALUE"""),"")</f>
        <v/>
      </c>
      <c r="G4752" s="18"/>
      <c r="H4752" s="16" t="s">
        <v>87</v>
      </c>
      <c r="I4752" s="16" t="s">
        <v>87</v>
      </c>
      <c r="J4752" s="19"/>
      <c r="L4752" s="16" t="str">
        <f>IFERROR(__xludf.DUMMYFUNCTION("""COMPUTED_VALUE"""),"")</f>
        <v/>
      </c>
      <c r="M4752" s="16" t="str">
        <f>IFERROR(__xludf.DUMMYFUNCTION("""COMPUTED_VALUE"""),"")</f>
        <v/>
      </c>
      <c r="U4752" s="16" t="s">
        <v>87</v>
      </c>
      <c r="V4752" s="16" t="str">
        <f>IFERROR(__xludf.DUMMYFUNCTION("""COMPUTED_VALUE"""),"")</f>
        <v/>
      </c>
      <c r="W4752" s="16" t="str">
        <f>IFERROR(__xludf.DUMMYFUNCTION("""COMPUTED_VALUE"""),"")</f>
        <v/>
      </c>
      <c r="X4752" s="16" t="str">
        <f>IFERROR(__xludf.DUMMYFUNCTION("""COMPUTED_VALUE"""),"")</f>
        <v/>
      </c>
      <c r="AC4752" s="16" t="str">
        <f>IFERROR(__xludf.DUMMYFUNCTION("""COMPUTED_VALUE"""),"")</f>
        <v/>
      </c>
    </row>
    <row r="4753">
      <c r="A4753" s="16" t="s">
        <v>87</v>
      </c>
      <c r="E4753" s="16" t="str">
        <f>IFERROR(__xludf.DUMMYFUNCTION("""COMPUTED_VALUE"""),"")</f>
        <v/>
      </c>
      <c r="G4753" s="18"/>
      <c r="H4753" s="16" t="s">
        <v>87</v>
      </c>
      <c r="I4753" s="16" t="s">
        <v>87</v>
      </c>
      <c r="J4753" s="19"/>
      <c r="L4753" s="16" t="str">
        <f>IFERROR(__xludf.DUMMYFUNCTION("""COMPUTED_VALUE"""),"")</f>
        <v/>
      </c>
      <c r="M4753" s="16" t="str">
        <f>IFERROR(__xludf.DUMMYFUNCTION("""COMPUTED_VALUE"""),"")</f>
        <v/>
      </c>
      <c r="U4753" s="16" t="s">
        <v>87</v>
      </c>
      <c r="V4753" s="16" t="str">
        <f>IFERROR(__xludf.DUMMYFUNCTION("""COMPUTED_VALUE"""),"")</f>
        <v/>
      </c>
      <c r="W4753" s="16" t="str">
        <f>IFERROR(__xludf.DUMMYFUNCTION("""COMPUTED_VALUE"""),"")</f>
        <v/>
      </c>
      <c r="X4753" s="16" t="str">
        <f>IFERROR(__xludf.DUMMYFUNCTION("""COMPUTED_VALUE"""),"")</f>
        <v/>
      </c>
      <c r="AC4753" s="16" t="str">
        <f>IFERROR(__xludf.DUMMYFUNCTION("""COMPUTED_VALUE"""),"")</f>
        <v/>
      </c>
    </row>
    <row r="4754">
      <c r="A4754" s="16" t="s">
        <v>87</v>
      </c>
      <c r="E4754" s="16" t="str">
        <f>IFERROR(__xludf.DUMMYFUNCTION("""COMPUTED_VALUE"""),"")</f>
        <v/>
      </c>
      <c r="G4754" s="18"/>
      <c r="H4754" s="16" t="s">
        <v>87</v>
      </c>
      <c r="I4754" s="16" t="s">
        <v>87</v>
      </c>
      <c r="J4754" s="19"/>
      <c r="L4754" s="16" t="str">
        <f>IFERROR(__xludf.DUMMYFUNCTION("""COMPUTED_VALUE"""),"")</f>
        <v/>
      </c>
      <c r="M4754" s="16" t="str">
        <f>IFERROR(__xludf.DUMMYFUNCTION("""COMPUTED_VALUE"""),"")</f>
        <v/>
      </c>
      <c r="U4754" s="16" t="s">
        <v>87</v>
      </c>
      <c r="V4754" s="16" t="str">
        <f>IFERROR(__xludf.DUMMYFUNCTION("""COMPUTED_VALUE"""),"")</f>
        <v/>
      </c>
      <c r="W4754" s="16" t="str">
        <f>IFERROR(__xludf.DUMMYFUNCTION("""COMPUTED_VALUE"""),"")</f>
        <v/>
      </c>
      <c r="X4754" s="16" t="str">
        <f>IFERROR(__xludf.DUMMYFUNCTION("""COMPUTED_VALUE"""),"")</f>
        <v/>
      </c>
      <c r="AC4754" s="16" t="str">
        <f>IFERROR(__xludf.DUMMYFUNCTION("""COMPUTED_VALUE"""),"")</f>
        <v/>
      </c>
    </row>
    <row r="4755">
      <c r="A4755" s="16" t="s">
        <v>87</v>
      </c>
      <c r="E4755" s="16" t="str">
        <f>IFERROR(__xludf.DUMMYFUNCTION("""COMPUTED_VALUE"""),"")</f>
        <v/>
      </c>
      <c r="G4755" s="18"/>
      <c r="H4755" s="16" t="s">
        <v>87</v>
      </c>
      <c r="I4755" s="16" t="s">
        <v>87</v>
      </c>
      <c r="J4755" s="19"/>
      <c r="L4755" s="16" t="str">
        <f>IFERROR(__xludf.DUMMYFUNCTION("""COMPUTED_VALUE"""),"")</f>
        <v/>
      </c>
      <c r="M4755" s="16" t="str">
        <f>IFERROR(__xludf.DUMMYFUNCTION("""COMPUTED_VALUE"""),"")</f>
        <v/>
      </c>
      <c r="U4755" s="16" t="s">
        <v>87</v>
      </c>
      <c r="V4755" s="16" t="str">
        <f>IFERROR(__xludf.DUMMYFUNCTION("""COMPUTED_VALUE"""),"")</f>
        <v/>
      </c>
      <c r="W4755" s="16" t="str">
        <f>IFERROR(__xludf.DUMMYFUNCTION("""COMPUTED_VALUE"""),"")</f>
        <v/>
      </c>
      <c r="X4755" s="16" t="str">
        <f>IFERROR(__xludf.DUMMYFUNCTION("""COMPUTED_VALUE"""),"")</f>
        <v/>
      </c>
      <c r="AC4755" s="16" t="str">
        <f>IFERROR(__xludf.DUMMYFUNCTION("""COMPUTED_VALUE"""),"")</f>
        <v/>
      </c>
    </row>
    <row r="4756">
      <c r="A4756" s="16" t="s">
        <v>87</v>
      </c>
      <c r="E4756" s="16" t="str">
        <f>IFERROR(__xludf.DUMMYFUNCTION("""COMPUTED_VALUE"""),"")</f>
        <v/>
      </c>
      <c r="G4756" s="18"/>
      <c r="H4756" s="16" t="s">
        <v>87</v>
      </c>
      <c r="I4756" s="16" t="s">
        <v>87</v>
      </c>
      <c r="J4756" s="19"/>
      <c r="L4756" s="16" t="str">
        <f>IFERROR(__xludf.DUMMYFUNCTION("""COMPUTED_VALUE"""),"")</f>
        <v/>
      </c>
      <c r="M4756" s="16" t="str">
        <f>IFERROR(__xludf.DUMMYFUNCTION("""COMPUTED_VALUE"""),"")</f>
        <v/>
      </c>
      <c r="U4756" s="16" t="s">
        <v>87</v>
      </c>
      <c r="V4756" s="16" t="str">
        <f>IFERROR(__xludf.DUMMYFUNCTION("""COMPUTED_VALUE"""),"")</f>
        <v/>
      </c>
      <c r="W4756" s="16" t="str">
        <f>IFERROR(__xludf.DUMMYFUNCTION("""COMPUTED_VALUE"""),"")</f>
        <v/>
      </c>
      <c r="X4756" s="16" t="str">
        <f>IFERROR(__xludf.DUMMYFUNCTION("""COMPUTED_VALUE"""),"")</f>
        <v/>
      </c>
      <c r="AC4756" s="16" t="str">
        <f>IFERROR(__xludf.DUMMYFUNCTION("""COMPUTED_VALUE"""),"")</f>
        <v/>
      </c>
    </row>
    <row r="4757">
      <c r="A4757" s="16" t="s">
        <v>87</v>
      </c>
      <c r="E4757" s="16" t="str">
        <f>IFERROR(__xludf.DUMMYFUNCTION("""COMPUTED_VALUE"""),"")</f>
        <v/>
      </c>
      <c r="G4757" s="18"/>
      <c r="H4757" s="16" t="s">
        <v>87</v>
      </c>
      <c r="I4757" s="16" t="s">
        <v>87</v>
      </c>
      <c r="J4757" s="19"/>
      <c r="L4757" s="16" t="str">
        <f>IFERROR(__xludf.DUMMYFUNCTION("""COMPUTED_VALUE"""),"")</f>
        <v/>
      </c>
      <c r="M4757" s="16" t="str">
        <f>IFERROR(__xludf.DUMMYFUNCTION("""COMPUTED_VALUE"""),"")</f>
        <v/>
      </c>
      <c r="U4757" s="16" t="s">
        <v>87</v>
      </c>
      <c r="V4757" s="16" t="str">
        <f>IFERROR(__xludf.DUMMYFUNCTION("""COMPUTED_VALUE"""),"")</f>
        <v/>
      </c>
      <c r="W4757" s="16" t="str">
        <f>IFERROR(__xludf.DUMMYFUNCTION("""COMPUTED_VALUE"""),"")</f>
        <v/>
      </c>
      <c r="X4757" s="16" t="str">
        <f>IFERROR(__xludf.DUMMYFUNCTION("""COMPUTED_VALUE"""),"")</f>
        <v/>
      </c>
      <c r="AC4757" s="16" t="str">
        <f>IFERROR(__xludf.DUMMYFUNCTION("""COMPUTED_VALUE"""),"")</f>
        <v/>
      </c>
    </row>
    <row r="4758">
      <c r="A4758" s="16" t="s">
        <v>87</v>
      </c>
      <c r="E4758" s="16" t="str">
        <f>IFERROR(__xludf.DUMMYFUNCTION("""COMPUTED_VALUE"""),"")</f>
        <v/>
      </c>
      <c r="G4758" s="18"/>
      <c r="H4758" s="16" t="s">
        <v>87</v>
      </c>
      <c r="I4758" s="16" t="s">
        <v>87</v>
      </c>
      <c r="J4758" s="19"/>
      <c r="L4758" s="16" t="str">
        <f>IFERROR(__xludf.DUMMYFUNCTION("""COMPUTED_VALUE"""),"")</f>
        <v/>
      </c>
      <c r="M4758" s="16" t="str">
        <f>IFERROR(__xludf.DUMMYFUNCTION("""COMPUTED_VALUE"""),"")</f>
        <v/>
      </c>
      <c r="U4758" s="16" t="s">
        <v>87</v>
      </c>
      <c r="V4758" s="16" t="str">
        <f>IFERROR(__xludf.DUMMYFUNCTION("""COMPUTED_VALUE"""),"")</f>
        <v/>
      </c>
      <c r="W4758" s="16" t="str">
        <f>IFERROR(__xludf.DUMMYFUNCTION("""COMPUTED_VALUE"""),"")</f>
        <v/>
      </c>
      <c r="X4758" s="16" t="str">
        <f>IFERROR(__xludf.DUMMYFUNCTION("""COMPUTED_VALUE"""),"")</f>
        <v/>
      </c>
      <c r="AC4758" s="16" t="str">
        <f>IFERROR(__xludf.DUMMYFUNCTION("""COMPUTED_VALUE"""),"")</f>
        <v/>
      </c>
    </row>
    <row r="4759">
      <c r="A4759" s="16" t="s">
        <v>87</v>
      </c>
      <c r="E4759" s="16" t="str">
        <f>IFERROR(__xludf.DUMMYFUNCTION("""COMPUTED_VALUE"""),"")</f>
        <v/>
      </c>
      <c r="G4759" s="18"/>
      <c r="H4759" s="16" t="s">
        <v>87</v>
      </c>
      <c r="I4759" s="16" t="s">
        <v>87</v>
      </c>
      <c r="J4759" s="19"/>
      <c r="L4759" s="16" t="str">
        <f>IFERROR(__xludf.DUMMYFUNCTION("""COMPUTED_VALUE"""),"")</f>
        <v/>
      </c>
      <c r="M4759" s="16" t="str">
        <f>IFERROR(__xludf.DUMMYFUNCTION("""COMPUTED_VALUE"""),"")</f>
        <v/>
      </c>
      <c r="U4759" s="16" t="s">
        <v>87</v>
      </c>
      <c r="V4759" s="16" t="str">
        <f>IFERROR(__xludf.DUMMYFUNCTION("""COMPUTED_VALUE"""),"")</f>
        <v/>
      </c>
      <c r="W4759" s="16" t="str">
        <f>IFERROR(__xludf.DUMMYFUNCTION("""COMPUTED_VALUE"""),"")</f>
        <v/>
      </c>
      <c r="X4759" s="16" t="str">
        <f>IFERROR(__xludf.DUMMYFUNCTION("""COMPUTED_VALUE"""),"")</f>
        <v/>
      </c>
      <c r="AC4759" s="16" t="str">
        <f>IFERROR(__xludf.DUMMYFUNCTION("""COMPUTED_VALUE"""),"")</f>
        <v/>
      </c>
    </row>
    <row r="4760">
      <c r="A4760" s="16" t="s">
        <v>87</v>
      </c>
      <c r="E4760" s="16" t="str">
        <f>IFERROR(__xludf.DUMMYFUNCTION("""COMPUTED_VALUE"""),"")</f>
        <v/>
      </c>
      <c r="G4760" s="18"/>
      <c r="H4760" s="16" t="s">
        <v>87</v>
      </c>
      <c r="I4760" s="16" t="s">
        <v>87</v>
      </c>
      <c r="J4760" s="19"/>
      <c r="L4760" s="16" t="str">
        <f>IFERROR(__xludf.DUMMYFUNCTION("""COMPUTED_VALUE"""),"")</f>
        <v/>
      </c>
      <c r="M4760" s="16" t="str">
        <f>IFERROR(__xludf.DUMMYFUNCTION("""COMPUTED_VALUE"""),"")</f>
        <v/>
      </c>
      <c r="U4760" s="16" t="s">
        <v>87</v>
      </c>
      <c r="V4760" s="16" t="str">
        <f>IFERROR(__xludf.DUMMYFUNCTION("""COMPUTED_VALUE"""),"")</f>
        <v/>
      </c>
      <c r="W4760" s="16" t="str">
        <f>IFERROR(__xludf.DUMMYFUNCTION("""COMPUTED_VALUE"""),"")</f>
        <v/>
      </c>
      <c r="X4760" s="16" t="str">
        <f>IFERROR(__xludf.DUMMYFUNCTION("""COMPUTED_VALUE"""),"")</f>
        <v/>
      </c>
      <c r="AC4760" s="16" t="str">
        <f>IFERROR(__xludf.DUMMYFUNCTION("""COMPUTED_VALUE"""),"")</f>
        <v/>
      </c>
    </row>
    <row r="4761">
      <c r="A4761" s="16" t="s">
        <v>87</v>
      </c>
      <c r="E4761" s="16" t="str">
        <f>IFERROR(__xludf.DUMMYFUNCTION("""COMPUTED_VALUE"""),"")</f>
        <v/>
      </c>
      <c r="G4761" s="18"/>
      <c r="H4761" s="16" t="s">
        <v>87</v>
      </c>
      <c r="I4761" s="16" t="s">
        <v>87</v>
      </c>
      <c r="J4761" s="19"/>
      <c r="L4761" s="16" t="str">
        <f>IFERROR(__xludf.DUMMYFUNCTION("""COMPUTED_VALUE"""),"")</f>
        <v/>
      </c>
      <c r="M4761" s="16" t="str">
        <f>IFERROR(__xludf.DUMMYFUNCTION("""COMPUTED_VALUE"""),"")</f>
        <v/>
      </c>
      <c r="U4761" s="16" t="s">
        <v>87</v>
      </c>
      <c r="V4761" s="16" t="str">
        <f>IFERROR(__xludf.DUMMYFUNCTION("""COMPUTED_VALUE"""),"")</f>
        <v/>
      </c>
      <c r="W4761" s="16" t="str">
        <f>IFERROR(__xludf.DUMMYFUNCTION("""COMPUTED_VALUE"""),"")</f>
        <v/>
      </c>
      <c r="X4761" s="16" t="str">
        <f>IFERROR(__xludf.DUMMYFUNCTION("""COMPUTED_VALUE"""),"")</f>
        <v/>
      </c>
      <c r="AC4761" s="16" t="str">
        <f>IFERROR(__xludf.DUMMYFUNCTION("""COMPUTED_VALUE"""),"")</f>
        <v/>
      </c>
    </row>
    <row r="4762">
      <c r="A4762" s="16" t="s">
        <v>87</v>
      </c>
      <c r="E4762" s="16" t="str">
        <f>IFERROR(__xludf.DUMMYFUNCTION("""COMPUTED_VALUE"""),"")</f>
        <v/>
      </c>
      <c r="G4762" s="18"/>
      <c r="H4762" s="16" t="s">
        <v>87</v>
      </c>
      <c r="I4762" s="16" t="s">
        <v>87</v>
      </c>
      <c r="J4762" s="19"/>
      <c r="L4762" s="16" t="str">
        <f>IFERROR(__xludf.DUMMYFUNCTION("""COMPUTED_VALUE"""),"")</f>
        <v/>
      </c>
      <c r="M4762" s="16" t="str">
        <f>IFERROR(__xludf.DUMMYFUNCTION("""COMPUTED_VALUE"""),"")</f>
        <v/>
      </c>
      <c r="U4762" s="16" t="s">
        <v>87</v>
      </c>
      <c r="V4762" s="16" t="str">
        <f>IFERROR(__xludf.DUMMYFUNCTION("""COMPUTED_VALUE"""),"")</f>
        <v/>
      </c>
      <c r="W4762" s="16" t="str">
        <f>IFERROR(__xludf.DUMMYFUNCTION("""COMPUTED_VALUE"""),"")</f>
        <v/>
      </c>
      <c r="X4762" s="16" t="str">
        <f>IFERROR(__xludf.DUMMYFUNCTION("""COMPUTED_VALUE"""),"")</f>
        <v/>
      </c>
      <c r="AC4762" s="16" t="str">
        <f>IFERROR(__xludf.DUMMYFUNCTION("""COMPUTED_VALUE"""),"")</f>
        <v/>
      </c>
    </row>
    <row r="4763">
      <c r="A4763" s="16" t="s">
        <v>87</v>
      </c>
      <c r="E4763" s="16" t="str">
        <f>IFERROR(__xludf.DUMMYFUNCTION("""COMPUTED_VALUE"""),"")</f>
        <v/>
      </c>
      <c r="G4763" s="18"/>
      <c r="H4763" s="16" t="s">
        <v>87</v>
      </c>
      <c r="I4763" s="16" t="s">
        <v>87</v>
      </c>
      <c r="J4763" s="19"/>
      <c r="L4763" s="16" t="str">
        <f>IFERROR(__xludf.DUMMYFUNCTION("""COMPUTED_VALUE"""),"")</f>
        <v/>
      </c>
      <c r="M4763" s="16" t="str">
        <f>IFERROR(__xludf.DUMMYFUNCTION("""COMPUTED_VALUE"""),"")</f>
        <v/>
      </c>
      <c r="U4763" s="16" t="s">
        <v>87</v>
      </c>
      <c r="V4763" s="16" t="str">
        <f>IFERROR(__xludf.DUMMYFUNCTION("""COMPUTED_VALUE"""),"")</f>
        <v/>
      </c>
      <c r="W4763" s="16" t="str">
        <f>IFERROR(__xludf.DUMMYFUNCTION("""COMPUTED_VALUE"""),"")</f>
        <v/>
      </c>
      <c r="X4763" s="16" t="str">
        <f>IFERROR(__xludf.DUMMYFUNCTION("""COMPUTED_VALUE"""),"")</f>
        <v/>
      </c>
      <c r="AC4763" s="16" t="str">
        <f>IFERROR(__xludf.DUMMYFUNCTION("""COMPUTED_VALUE"""),"")</f>
        <v/>
      </c>
    </row>
    <row r="4764">
      <c r="A4764" s="16" t="s">
        <v>87</v>
      </c>
      <c r="E4764" s="16" t="str">
        <f>IFERROR(__xludf.DUMMYFUNCTION("""COMPUTED_VALUE"""),"")</f>
        <v/>
      </c>
      <c r="G4764" s="18"/>
      <c r="H4764" s="16" t="s">
        <v>87</v>
      </c>
      <c r="I4764" s="16" t="s">
        <v>87</v>
      </c>
      <c r="J4764" s="19"/>
      <c r="L4764" s="16" t="str">
        <f>IFERROR(__xludf.DUMMYFUNCTION("""COMPUTED_VALUE"""),"")</f>
        <v/>
      </c>
      <c r="M4764" s="16" t="str">
        <f>IFERROR(__xludf.DUMMYFUNCTION("""COMPUTED_VALUE"""),"")</f>
        <v/>
      </c>
      <c r="U4764" s="16" t="s">
        <v>87</v>
      </c>
      <c r="V4764" s="16" t="str">
        <f>IFERROR(__xludf.DUMMYFUNCTION("""COMPUTED_VALUE"""),"")</f>
        <v/>
      </c>
      <c r="W4764" s="16" t="str">
        <f>IFERROR(__xludf.DUMMYFUNCTION("""COMPUTED_VALUE"""),"")</f>
        <v/>
      </c>
      <c r="X4764" s="16" t="str">
        <f>IFERROR(__xludf.DUMMYFUNCTION("""COMPUTED_VALUE"""),"")</f>
        <v/>
      </c>
      <c r="AC4764" s="16" t="str">
        <f>IFERROR(__xludf.DUMMYFUNCTION("""COMPUTED_VALUE"""),"")</f>
        <v/>
      </c>
    </row>
    <row r="4765">
      <c r="A4765" s="16" t="s">
        <v>87</v>
      </c>
      <c r="E4765" s="16" t="str">
        <f>IFERROR(__xludf.DUMMYFUNCTION("""COMPUTED_VALUE"""),"")</f>
        <v/>
      </c>
      <c r="G4765" s="18"/>
      <c r="H4765" s="16" t="s">
        <v>87</v>
      </c>
      <c r="I4765" s="16" t="s">
        <v>87</v>
      </c>
      <c r="J4765" s="19"/>
      <c r="L4765" s="16" t="str">
        <f>IFERROR(__xludf.DUMMYFUNCTION("""COMPUTED_VALUE"""),"")</f>
        <v/>
      </c>
      <c r="M4765" s="16" t="str">
        <f>IFERROR(__xludf.DUMMYFUNCTION("""COMPUTED_VALUE"""),"")</f>
        <v/>
      </c>
      <c r="U4765" s="16" t="s">
        <v>87</v>
      </c>
      <c r="V4765" s="16" t="str">
        <f>IFERROR(__xludf.DUMMYFUNCTION("""COMPUTED_VALUE"""),"")</f>
        <v/>
      </c>
      <c r="W4765" s="16" t="str">
        <f>IFERROR(__xludf.DUMMYFUNCTION("""COMPUTED_VALUE"""),"")</f>
        <v/>
      </c>
      <c r="X4765" s="16" t="str">
        <f>IFERROR(__xludf.DUMMYFUNCTION("""COMPUTED_VALUE"""),"")</f>
        <v/>
      </c>
      <c r="AC4765" s="16" t="str">
        <f>IFERROR(__xludf.DUMMYFUNCTION("""COMPUTED_VALUE"""),"")</f>
        <v/>
      </c>
    </row>
    <row r="4766">
      <c r="A4766" s="16" t="s">
        <v>87</v>
      </c>
      <c r="E4766" s="16" t="str">
        <f>IFERROR(__xludf.DUMMYFUNCTION("""COMPUTED_VALUE"""),"")</f>
        <v/>
      </c>
      <c r="G4766" s="18"/>
      <c r="H4766" s="16" t="s">
        <v>87</v>
      </c>
      <c r="I4766" s="16" t="s">
        <v>87</v>
      </c>
      <c r="J4766" s="19"/>
      <c r="L4766" s="16" t="str">
        <f>IFERROR(__xludf.DUMMYFUNCTION("""COMPUTED_VALUE"""),"")</f>
        <v/>
      </c>
      <c r="M4766" s="16" t="str">
        <f>IFERROR(__xludf.DUMMYFUNCTION("""COMPUTED_VALUE"""),"")</f>
        <v/>
      </c>
      <c r="U4766" s="16" t="s">
        <v>87</v>
      </c>
      <c r="V4766" s="16" t="str">
        <f>IFERROR(__xludf.DUMMYFUNCTION("""COMPUTED_VALUE"""),"")</f>
        <v/>
      </c>
      <c r="W4766" s="16" t="str">
        <f>IFERROR(__xludf.DUMMYFUNCTION("""COMPUTED_VALUE"""),"")</f>
        <v/>
      </c>
      <c r="X4766" s="16" t="str">
        <f>IFERROR(__xludf.DUMMYFUNCTION("""COMPUTED_VALUE"""),"")</f>
        <v/>
      </c>
      <c r="AC4766" s="16" t="str">
        <f>IFERROR(__xludf.DUMMYFUNCTION("""COMPUTED_VALUE"""),"")</f>
        <v/>
      </c>
    </row>
    <row r="4767">
      <c r="A4767" s="16" t="s">
        <v>87</v>
      </c>
      <c r="E4767" s="16" t="str">
        <f>IFERROR(__xludf.DUMMYFUNCTION("""COMPUTED_VALUE"""),"")</f>
        <v/>
      </c>
      <c r="G4767" s="18"/>
      <c r="H4767" s="16" t="s">
        <v>87</v>
      </c>
      <c r="I4767" s="16" t="s">
        <v>87</v>
      </c>
      <c r="J4767" s="19"/>
      <c r="L4767" s="16" t="str">
        <f>IFERROR(__xludf.DUMMYFUNCTION("""COMPUTED_VALUE"""),"")</f>
        <v/>
      </c>
      <c r="M4767" s="16" t="str">
        <f>IFERROR(__xludf.DUMMYFUNCTION("""COMPUTED_VALUE"""),"")</f>
        <v/>
      </c>
      <c r="U4767" s="16" t="s">
        <v>87</v>
      </c>
      <c r="V4767" s="16" t="str">
        <f>IFERROR(__xludf.DUMMYFUNCTION("""COMPUTED_VALUE"""),"")</f>
        <v/>
      </c>
      <c r="W4767" s="16" t="str">
        <f>IFERROR(__xludf.DUMMYFUNCTION("""COMPUTED_VALUE"""),"")</f>
        <v/>
      </c>
      <c r="X4767" s="16" t="str">
        <f>IFERROR(__xludf.DUMMYFUNCTION("""COMPUTED_VALUE"""),"")</f>
        <v/>
      </c>
      <c r="AC4767" s="16" t="str">
        <f>IFERROR(__xludf.DUMMYFUNCTION("""COMPUTED_VALUE"""),"")</f>
        <v/>
      </c>
    </row>
    <row r="4768">
      <c r="A4768" s="16" t="s">
        <v>87</v>
      </c>
      <c r="E4768" s="16" t="str">
        <f>IFERROR(__xludf.DUMMYFUNCTION("""COMPUTED_VALUE"""),"")</f>
        <v/>
      </c>
      <c r="G4768" s="18"/>
      <c r="H4768" s="16" t="s">
        <v>87</v>
      </c>
      <c r="I4768" s="16" t="s">
        <v>87</v>
      </c>
      <c r="J4768" s="19"/>
      <c r="L4768" s="16" t="str">
        <f>IFERROR(__xludf.DUMMYFUNCTION("""COMPUTED_VALUE"""),"")</f>
        <v/>
      </c>
      <c r="M4768" s="16" t="str">
        <f>IFERROR(__xludf.DUMMYFUNCTION("""COMPUTED_VALUE"""),"")</f>
        <v/>
      </c>
      <c r="U4768" s="16" t="s">
        <v>87</v>
      </c>
      <c r="V4768" s="16" t="str">
        <f>IFERROR(__xludf.DUMMYFUNCTION("""COMPUTED_VALUE"""),"")</f>
        <v/>
      </c>
      <c r="W4768" s="16" t="str">
        <f>IFERROR(__xludf.DUMMYFUNCTION("""COMPUTED_VALUE"""),"")</f>
        <v/>
      </c>
      <c r="X4768" s="16" t="str">
        <f>IFERROR(__xludf.DUMMYFUNCTION("""COMPUTED_VALUE"""),"")</f>
        <v/>
      </c>
      <c r="AC4768" s="16" t="str">
        <f>IFERROR(__xludf.DUMMYFUNCTION("""COMPUTED_VALUE"""),"")</f>
        <v/>
      </c>
    </row>
    <row r="4769">
      <c r="A4769" s="16" t="s">
        <v>87</v>
      </c>
      <c r="E4769" s="16" t="str">
        <f>IFERROR(__xludf.DUMMYFUNCTION("""COMPUTED_VALUE"""),"")</f>
        <v/>
      </c>
      <c r="G4769" s="18"/>
      <c r="H4769" s="16" t="s">
        <v>87</v>
      </c>
      <c r="I4769" s="16" t="s">
        <v>87</v>
      </c>
      <c r="J4769" s="19"/>
      <c r="L4769" s="16" t="str">
        <f>IFERROR(__xludf.DUMMYFUNCTION("""COMPUTED_VALUE"""),"")</f>
        <v/>
      </c>
      <c r="M4769" s="16" t="str">
        <f>IFERROR(__xludf.DUMMYFUNCTION("""COMPUTED_VALUE"""),"")</f>
        <v/>
      </c>
      <c r="U4769" s="16" t="s">
        <v>87</v>
      </c>
      <c r="V4769" s="16" t="str">
        <f>IFERROR(__xludf.DUMMYFUNCTION("""COMPUTED_VALUE"""),"")</f>
        <v/>
      </c>
      <c r="W4769" s="16" t="str">
        <f>IFERROR(__xludf.DUMMYFUNCTION("""COMPUTED_VALUE"""),"")</f>
        <v/>
      </c>
      <c r="X4769" s="16" t="str">
        <f>IFERROR(__xludf.DUMMYFUNCTION("""COMPUTED_VALUE"""),"")</f>
        <v/>
      </c>
      <c r="AC4769" s="16" t="str">
        <f>IFERROR(__xludf.DUMMYFUNCTION("""COMPUTED_VALUE"""),"")</f>
        <v/>
      </c>
    </row>
    <row r="4770">
      <c r="A4770" s="16" t="s">
        <v>87</v>
      </c>
      <c r="E4770" s="16" t="str">
        <f>IFERROR(__xludf.DUMMYFUNCTION("""COMPUTED_VALUE"""),"")</f>
        <v/>
      </c>
      <c r="G4770" s="18"/>
      <c r="H4770" s="16" t="s">
        <v>87</v>
      </c>
      <c r="I4770" s="16" t="s">
        <v>87</v>
      </c>
      <c r="J4770" s="19"/>
      <c r="L4770" s="16" t="str">
        <f>IFERROR(__xludf.DUMMYFUNCTION("""COMPUTED_VALUE"""),"")</f>
        <v/>
      </c>
      <c r="M4770" s="16" t="str">
        <f>IFERROR(__xludf.DUMMYFUNCTION("""COMPUTED_VALUE"""),"")</f>
        <v/>
      </c>
      <c r="U4770" s="16" t="s">
        <v>87</v>
      </c>
      <c r="V4770" s="16" t="str">
        <f>IFERROR(__xludf.DUMMYFUNCTION("""COMPUTED_VALUE"""),"")</f>
        <v/>
      </c>
      <c r="W4770" s="16" t="str">
        <f>IFERROR(__xludf.DUMMYFUNCTION("""COMPUTED_VALUE"""),"")</f>
        <v/>
      </c>
      <c r="X4770" s="16" t="str">
        <f>IFERROR(__xludf.DUMMYFUNCTION("""COMPUTED_VALUE"""),"")</f>
        <v/>
      </c>
      <c r="AC4770" s="16" t="str">
        <f>IFERROR(__xludf.DUMMYFUNCTION("""COMPUTED_VALUE"""),"")</f>
        <v/>
      </c>
    </row>
    <row r="4771">
      <c r="A4771" s="16" t="s">
        <v>87</v>
      </c>
      <c r="E4771" s="16" t="str">
        <f>IFERROR(__xludf.DUMMYFUNCTION("""COMPUTED_VALUE"""),"")</f>
        <v/>
      </c>
      <c r="G4771" s="18"/>
      <c r="H4771" s="16" t="s">
        <v>87</v>
      </c>
      <c r="I4771" s="16" t="s">
        <v>87</v>
      </c>
      <c r="J4771" s="19"/>
      <c r="L4771" s="16" t="str">
        <f>IFERROR(__xludf.DUMMYFUNCTION("""COMPUTED_VALUE"""),"")</f>
        <v/>
      </c>
      <c r="M4771" s="16" t="str">
        <f>IFERROR(__xludf.DUMMYFUNCTION("""COMPUTED_VALUE"""),"")</f>
        <v/>
      </c>
      <c r="U4771" s="16" t="s">
        <v>87</v>
      </c>
      <c r="V4771" s="16" t="str">
        <f>IFERROR(__xludf.DUMMYFUNCTION("""COMPUTED_VALUE"""),"")</f>
        <v/>
      </c>
      <c r="W4771" s="16" t="str">
        <f>IFERROR(__xludf.DUMMYFUNCTION("""COMPUTED_VALUE"""),"")</f>
        <v/>
      </c>
      <c r="X4771" s="16" t="str">
        <f>IFERROR(__xludf.DUMMYFUNCTION("""COMPUTED_VALUE"""),"")</f>
        <v/>
      </c>
      <c r="AC4771" s="16" t="str">
        <f>IFERROR(__xludf.DUMMYFUNCTION("""COMPUTED_VALUE"""),"")</f>
        <v/>
      </c>
    </row>
    <row r="4772">
      <c r="A4772" s="16" t="s">
        <v>87</v>
      </c>
      <c r="E4772" s="16" t="str">
        <f>IFERROR(__xludf.DUMMYFUNCTION("""COMPUTED_VALUE"""),"")</f>
        <v/>
      </c>
      <c r="G4772" s="18"/>
      <c r="H4772" s="16" t="s">
        <v>87</v>
      </c>
      <c r="I4772" s="16" t="s">
        <v>87</v>
      </c>
      <c r="J4772" s="19"/>
      <c r="L4772" s="16" t="str">
        <f>IFERROR(__xludf.DUMMYFUNCTION("""COMPUTED_VALUE"""),"")</f>
        <v/>
      </c>
      <c r="M4772" s="16" t="str">
        <f>IFERROR(__xludf.DUMMYFUNCTION("""COMPUTED_VALUE"""),"")</f>
        <v/>
      </c>
      <c r="U4772" s="16" t="s">
        <v>87</v>
      </c>
      <c r="V4772" s="16" t="str">
        <f>IFERROR(__xludf.DUMMYFUNCTION("""COMPUTED_VALUE"""),"")</f>
        <v/>
      </c>
      <c r="W4772" s="16" t="str">
        <f>IFERROR(__xludf.DUMMYFUNCTION("""COMPUTED_VALUE"""),"")</f>
        <v/>
      </c>
      <c r="X4772" s="16" t="str">
        <f>IFERROR(__xludf.DUMMYFUNCTION("""COMPUTED_VALUE"""),"")</f>
        <v/>
      </c>
      <c r="AC4772" s="16" t="str">
        <f>IFERROR(__xludf.DUMMYFUNCTION("""COMPUTED_VALUE"""),"")</f>
        <v/>
      </c>
    </row>
    <row r="4773">
      <c r="A4773" s="16" t="s">
        <v>87</v>
      </c>
      <c r="E4773" s="16" t="str">
        <f>IFERROR(__xludf.DUMMYFUNCTION("""COMPUTED_VALUE"""),"")</f>
        <v/>
      </c>
      <c r="G4773" s="18"/>
      <c r="H4773" s="16" t="s">
        <v>87</v>
      </c>
      <c r="I4773" s="16" t="s">
        <v>87</v>
      </c>
      <c r="J4773" s="19"/>
      <c r="L4773" s="16" t="str">
        <f>IFERROR(__xludf.DUMMYFUNCTION("""COMPUTED_VALUE"""),"")</f>
        <v/>
      </c>
      <c r="M4773" s="16" t="str">
        <f>IFERROR(__xludf.DUMMYFUNCTION("""COMPUTED_VALUE"""),"")</f>
        <v/>
      </c>
      <c r="U4773" s="16" t="s">
        <v>87</v>
      </c>
      <c r="V4773" s="16" t="str">
        <f>IFERROR(__xludf.DUMMYFUNCTION("""COMPUTED_VALUE"""),"")</f>
        <v/>
      </c>
      <c r="W4773" s="16" t="str">
        <f>IFERROR(__xludf.DUMMYFUNCTION("""COMPUTED_VALUE"""),"")</f>
        <v/>
      </c>
      <c r="X4773" s="16" t="str">
        <f>IFERROR(__xludf.DUMMYFUNCTION("""COMPUTED_VALUE"""),"")</f>
        <v/>
      </c>
      <c r="AC4773" s="16" t="str">
        <f>IFERROR(__xludf.DUMMYFUNCTION("""COMPUTED_VALUE"""),"")</f>
        <v/>
      </c>
    </row>
    <row r="4774">
      <c r="A4774" s="16" t="s">
        <v>87</v>
      </c>
      <c r="E4774" s="16" t="str">
        <f>IFERROR(__xludf.DUMMYFUNCTION("""COMPUTED_VALUE"""),"")</f>
        <v/>
      </c>
      <c r="G4774" s="18"/>
      <c r="H4774" s="16" t="s">
        <v>87</v>
      </c>
      <c r="I4774" s="16" t="s">
        <v>87</v>
      </c>
      <c r="J4774" s="19"/>
      <c r="L4774" s="16" t="str">
        <f>IFERROR(__xludf.DUMMYFUNCTION("""COMPUTED_VALUE"""),"")</f>
        <v/>
      </c>
      <c r="M4774" s="16" t="str">
        <f>IFERROR(__xludf.DUMMYFUNCTION("""COMPUTED_VALUE"""),"")</f>
        <v/>
      </c>
      <c r="U4774" s="16" t="s">
        <v>87</v>
      </c>
      <c r="V4774" s="16" t="str">
        <f>IFERROR(__xludf.DUMMYFUNCTION("""COMPUTED_VALUE"""),"")</f>
        <v/>
      </c>
      <c r="W4774" s="16" t="str">
        <f>IFERROR(__xludf.DUMMYFUNCTION("""COMPUTED_VALUE"""),"")</f>
        <v/>
      </c>
      <c r="X4774" s="16" t="str">
        <f>IFERROR(__xludf.DUMMYFUNCTION("""COMPUTED_VALUE"""),"")</f>
        <v/>
      </c>
      <c r="AC4774" s="16" t="str">
        <f>IFERROR(__xludf.DUMMYFUNCTION("""COMPUTED_VALUE"""),"")</f>
        <v/>
      </c>
    </row>
    <row r="4775">
      <c r="A4775" s="16" t="s">
        <v>87</v>
      </c>
      <c r="E4775" s="16" t="str">
        <f>IFERROR(__xludf.DUMMYFUNCTION("""COMPUTED_VALUE"""),"")</f>
        <v/>
      </c>
      <c r="G4775" s="18"/>
      <c r="H4775" s="16" t="s">
        <v>87</v>
      </c>
      <c r="I4775" s="16" t="s">
        <v>87</v>
      </c>
      <c r="J4775" s="19"/>
      <c r="L4775" s="16" t="str">
        <f>IFERROR(__xludf.DUMMYFUNCTION("""COMPUTED_VALUE"""),"")</f>
        <v/>
      </c>
      <c r="M4775" s="16" t="str">
        <f>IFERROR(__xludf.DUMMYFUNCTION("""COMPUTED_VALUE"""),"")</f>
        <v/>
      </c>
      <c r="U4775" s="16" t="s">
        <v>87</v>
      </c>
      <c r="V4775" s="16" t="str">
        <f>IFERROR(__xludf.DUMMYFUNCTION("""COMPUTED_VALUE"""),"")</f>
        <v/>
      </c>
      <c r="W4775" s="16" t="str">
        <f>IFERROR(__xludf.DUMMYFUNCTION("""COMPUTED_VALUE"""),"")</f>
        <v/>
      </c>
      <c r="X4775" s="16" t="str">
        <f>IFERROR(__xludf.DUMMYFUNCTION("""COMPUTED_VALUE"""),"")</f>
        <v/>
      </c>
      <c r="AC4775" s="16" t="str">
        <f>IFERROR(__xludf.DUMMYFUNCTION("""COMPUTED_VALUE"""),"")</f>
        <v/>
      </c>
    </row>
    <row r="4776">
      <c r="A4776" s="16" t="s">
        <v>87</v>
      </c>
      <c r="E4776" s="16" t="str">
        <f>IFERROR(__xludf.DUMMYFUNCTION("""COMPUTED_VALUE"""),"")</f>
        <v/>
      </c>
      <c r="G4776" s="18"/>
      <c r="H4776" s="16" t="s">
        <v>87</v>
      </c>
      <c r="I4776" s="16" t="s">
        <v>87</v>
      </c>
      <c r="J4776" s="19"/>
      <c r="L4776" s="16" t="str">
        <f>IFERROR(__xludf.DUMMYFUNCTION("""COMPUTED_VALUE"""),"")</f>
        <v/>
      </c>
      <c r="M4776" s="16" t="str">
        <f>IFERROR(__xludf.DUMMYFUNCTION("""COMPUTED_VALUE"""),"")</f>
        <v/>
      </c>
      <c r="U4776" s="16" t="s">
        <v>87</v>
      </c>
      <c r="V4776" s="16" t="str">
        <f>IFERROR(__xludf.DUMMYFUNCTION("""COMPUTED_VALUE"""),"")</f>
        <v/>
      </c>
      <c r="W4776" s="16" t="str">
        <f>IFERROR(__xludf.DUMMYFUNCTION("""COMPUTED_VALUE"""),"")</f>
        <v/>
      </c>
      <c r="X4776" s="16" t="str">
        <f>IFERROR(__xludf.DUMMYFUNCTION("""COMPUTED_VALUE"""),"")</f>
        <v/>
      </c>
      <c r="AC4776" s="16" t="str">
        <f>IFERROR(__xludf.DUMMYFUNCTION("""COMPUTED_VALUE"""),"")</f>
        <v/>
      </c>
    </row>
    <row r="4777">
      <c r="A4777" s="16" t="s">
        <v>87</v>
      </c>
      <c r="E4777" s="16" t="str">
        <f>IFERROR(__xludf.DUMMYFUNCTION("""COMPUTED_VALUE"""),"")</f>
        <v/>
      </c>
      <c r="G4777" s="18"/>
      <c r="H4777" s="16" t="s">
        <v>87</v>
      </c>
      <c r="I4777" s="16" t="s">
        <v>87</v>
      </c>
      <c r="J4777" s="19"/>
      <c r="L4777" s="16" t="str">
        <f>IFERROR(__xludf.DUMMYFUNCTION("""COMPUTED_VALUE"""),"")</f>
        <v/>
      </c>
      <c r="M4777" s="16" t="str">
        <f>IFERROR(__xludf.DUMMYFUNCTION("""COMPUTED_VALUE"""),"")</f>
        <v/>
      </c>
      <c r="U4777" s="16" t="s">
        <v>87</v>
      </c>
      <c r="V4777" s="16" t="str">
        <f>IFERROR(__xludf.DUMMYFUNCTION("""COMPUTED_VALUE"""),"")</f>
        <v/>
      </c>
      <c r="W4777" s="16" t="str">
        <f>IFERROR(__xludf.DUMMYFUNCTION("""COMPUTED_VALUE"""),"")</f>
        <v/>
      </c>
      <c r="X4777" s="16" t="str">
        <f>IFERROR(__xludf.DUMMYFUNCTION("""COMPUTED_VALUE"""),"")</f>
        <v/>
      </c>
      <c r="AC4777" s="16" t="str">
        <f>IFERROR(__xludf.DUMMYFUNCTION("""COMPUTED_VALUE"""),"")</f>
        <v/>
      </c>
    </row>
    <row r="4778">
      <c r="A4778" s="16" t="s">
        <v>87</v>
      </c>
      <c r="E4778" s="16" t="str">
        <f>IFERROR(__xludf.DUMMYFUNCTION("""COMPUTED_VALUE"""),"")</f>
        <v/>
      </c>
      <c r="G4778" s="18"/>
      <c r="H4778" s="16" t="s">
        <v>87</v>
      </c>
      <c r="I4778" s="16" t="s">
        <v>87</v>
      </c>
      <c r="J4778" s="19"/>
      <c r="L4778" s="16" t="str">
        <f>IFERROR(__xludf.DUMMYFUNCTION("""COMPUTED_VALUE"""),"")</f>
        <v/>
      </c>
      <c r="M4778" s="16" t="str">
        <f>IFERROR(__xludf.DUMMYFUNCTION("""COMPUTED_VALUE"""),"")</f>
        <v/>
      </c>
      <c r="U4778" s="16" t="s">
        <v>87</v>
      </c>
      <c r="V4778" s="16" t="str">
        <f>IFERROR(__xludf.DUMMYFUNCTION("""COMPUTED_VALUE"""),"")</f>
        <v/>
      </c>
      <c r="W4778" s="16" t="str">
        <f>IFERROR(__xludf.DUMMYFUNCTION("""COMPUTED_VALUE"""),"")</f>
        <v/>
      </c>
      <c r="X4778" s="16" t="str">
        <f>IFERROR(__xludf.DUMMYFUNCTION("""COMPUTED_VALUE"""),"")</f>
        <v/>
      </c>
      <c r="AC4778" s="16" t="str">
        <f>IFERROR(__xludf.DUMMYFUNCTION("""COMPUTED_VALUE"""),"")</f>
        <v/>
      </c>
    </row>
    <row r="4779">
      <c r="A4779" s="16" t="s">
        <v>87</v>
      </c>
      <c r="E4779" s="16" t="str">
        <f>IFERROR(__xludf.DUMMYFUNCTION("""COMPUTED_VALUE"""),"")</f>
        <v/>
      </c>
      <c r="G4779" s="18"/>
      <c r="H4779" s="16" t="s">
        <v>87</v>
      </c>
      <c r="I4779" s="16" t="s">
        <v>87</v>
      </c>
      <c r="J4779" s="19"/>
      <c r="L4779" s="16" t="str">
        <f>IFERROR(__xludf.DUMMYFUNCTION("""COMPUTED_VALUE"""),"")</f>
        <v/>
      </c>
      <c r="M4779" s="16" t="str">
        <f>IFERROR(__xludf.DUMMYFUNCTION("""COMPUTED_VALUE"""),"")</f>
        <v/>
      </c>
      <c r="U4779" s="16" t="s">
        <v>87</v>
      </c>
      <c r="V4779" s="16" t="str">
        <f>IFERROR(__xludf.DUMMYFUNCTION("""COMPUTED_VALUE"""),"")</f>
        <v/>
      </c>
      <c r="W4779" s="16" t="str">
        <f>IFERROR(__xludf.DUMMYFUNCTION("""COMPUTED_VALUE"""),"")</f>
        <v/>
      </c>
      <c r="X4779" s="16" t="str">
        <f>IFERROR(__xludf.DUMMYFUNCTION("""COMPUTED_VALUE"""),"")</f>
        <v/>
      </c>
      <c r="AC4779" s="16" t="str">
        <f>IFERROR(__xludf.DUMMYFUNCTION("""COMPUTED_VALUE"""),"")</f>
        <v/>
      </c>
    </row>
    <row r="4780">
      <c r="A4780" s="16" t="s">
        <v>87</v>
      </c>
      <c r="E4780" s="16" t="str">
        <f>IFERROR(__xludf.DUMMYFUNCTION("""COMPUTED_VALUE"""),"")</f>
        <v/>
      </c>
      <c r="G4780" s="18"/>
      <c r="H4780" s="16" t="s">
        <v>87</v>
      </c>
      <c r="I4780" s="16" t="s">
        <v>87</v>
      </c>
      <c r="J4780" s="19"/>
      <c r="L4780" s="16" t="str">
        <f>IFERROR(__xludf.DUMMYFUNCTION("""COMPUTED_VALUE"""),"")</f>
        <v/>
      </c>
      <c r="M4780" s="16" t="str">
        <f>IFERROR(__xludf.DUMMYFUNCTION("""COMPUTED_VALUE"""),"")</f>
        <v/>
      </c>
      <c r="U4780" s="16" t="s">
        <v>87</v>
      </c>
      <c r="V4780" s="16" t="str">
        <f>IFERROR(__xludf.DUMMYFUNCTION("""COMPUTED_VALUE"""),"")</f>
        <v/>
      </c>
      <c r="W4780" s="16" t="str">
        <f>IFERROR(__xludf.DUMMYFUNCTION("""COMPUTED_VALUE"""),"")</f>
        <v/>
      </c>
      <c r="X4780" s="16" t="str">
        <f>IFERROR(__xludf.DUMMYFUNCTION("""COMPUTED_VALUE"""),"")</f>
        <v/>
      </c>
      <c r="AC4780" s="16" t="str">
        <f>IFERROR(__xludf.DUMMYFUNCTION("""COMPUTED_VALUE"""),"")</f>
        <v/>
      </c>
    </row>
    <row r="4781">
      <c r="A4781" s="16" t="s">
        <v>87</v>
      </c>
      <c r="E4781" s="16" t="str">
        <f>IFERROR(__xludf.DUMMYFUNCTION("""COMPUTED_VALUE"""),"")</f>
        <v/>
      </c>
      <c r="G4781" s="18"/>
      <c r="H4781" s="16" t="s">
        <v>87</v>
      </c>
      <c r="I4781" s="16" t="s">
        <v>87</v>
      </c>
      <c r="J4781" s="19"/>
      <c r="L4781" s="16" t="str">
        <f>IFERROR(__xludf.DUMMYFUNCTION("""COMPUTED_VALUE"""),"")</f>
        <v/>
      </c>
      <c r="M4781" s="16" t="str">
        <f>IFERROR(__xludf.DUMMYFUNCTION("""COMPUTED_VALUE"""),"")</f>
        <v/>
      </c>
      <c r="U4781" s="16" t="s">
        <v>87</v>
      </c>
      <c r="V4781" s="16" t="str">
        <f>IFERROR(__xludf.DUMMYFUNCTION("""COMPUTED_VALUE"""),"")</f>
        <v/>
      </c>
      <c r="W4781" s="16" t="str">
        <f>IFERROR(__xludf.DUMMYFUNCTION("""COMPUTED_VALUE"""),"")</f>
        <v/>
      </c>
      <c r="X4781" s="16" t="str">
        <f>IFERROR(__xludf.DUMMYFUNCTION("""COMPUTED_VALUE"""),"")</f>
        <v/>
      </c>
      <c r="AC4781" s="16" t="str">
        <f>IFERROR(__xludf.DUMMYFUNCTION("""COMPUTED_VALUE"""),"")</f>
        <v/>
      </c>
    </row>
    <row r="4782">
      <c r="A4782" s="16" t="s">
        <v>87</v>
      </c>
      <c r="E4782" s="16" t="str">
        <f>IFERROR(__xludf.DUMMYFUNCTION("""COMPUTED_VALUE"""),"")</f>
        <v/>
      </c>
      <c r="G4782" s="18"/>
      <c r="H4782" s="16" t="s">
        <v>87</v>
      </c>
      <c r="I4782" s="16" t="s">
        <v>87</v>
      </c>
      <c r="J4782" s="19"/>
      <c r="L4782" s="16" t="str">
        <f>IFERROR(__xludf.DUMMYFUNCTION("""COMPUTED_VALUE"""),"")</f>
        <v/>
      </c>
      <c r="M4782" s="16" t="str">
        <f>IFERROR(__xludf.DUMMYFUNCTION("""COMPUTED_VALUE"""),"")</f>
        <v/>
      </c>
      <c r="U4782" s="16" t="s">
        <v>87</v>
      </c>
      <c r="V4782" s="16" t="str">
        <f>IFERROR(__xludf.DUMMYFUNCTION("""COMPUTED_VALUE"""),"")</f>
        <v/>
      </c>
      <c r="W4782" s="16" t="str">
        <f>IFERROR(__xludf.DUMMYFUNCTION("""COMPUTED_VALUE"""),"")</f>
        <v/>
      </c>
      <c r="X4782" s="16" t="str">
        <f>IFERROR(__xludf.DUMMYFUNCTION("""COMPUTED_VALUE"""),"")</f>
        <v/>
      </c>
      <c r="AC4782" s="16" t="str">
        <f>IFERROR(__xludf.DUMMYFUNCTION("""COMPUTED_VALUE"""),"")</f>
        <v/>
      </c>
    </row>
    <row r="4783">
      <c r="A4783" s="16" t="s">
        <v>87</v>
      </c>
      <c r="E4783" s="16" t="str">
        <f>IFERROR(__xludf.DUMMYFUNCTION("""COMPUTED_VALUE"""),"")</f>
        <v/>
      </c>
      <c r="G4783" s="18"/>
      <c r="H4783" s="16" t="s">
        <v>87</v>
      </c>
      <c r="I4783" s="16" t="s">
        <v>87</v>
      </c>
      <c r="J4783" s="19"/>
      <c r="L4783" s="16" t="str">
        <f>IFERROR(__xludf.DUMMYFUNCTION("""COMPUTED_VALUE"""),"")</f>
        <v/>
      </c>
      <c r="M4783" s="16" t="str">
        <f>IFERROR(__xludf.DUMMYFUNCTION("""COMPUTED_VALUE"""),"")</f>
        <v/>
      </c>
      <c r="U4783" s="16" t="s">
        <v>87</v>
      </c>
      <c r="V4783" s="16" t="str">
        <f>IFERROR(__xludf.DUMMYFUNCTION("""COMPUTED_VALUE"""),"")</f>
        <v/>
      </c>
      <c r="W4783" s="16" t="str">
        <f>IFERROR(__xludf.DUMMYFUNCTION("""COMPUTED_VALUE"""),"")</f>
        <v/>
      </c>
      <c r="X4783" s="16" t="str">
        <f>IFERROR(__xludf.DUMMYFUNCTION("""COMPUTED_VALUE"""),"")</f>
        <v/>
      </c>
      <c r="AC4783" s="16" t="str">
        <f>IFERROR(__xludf.DUMMYFUNCTION("""COMPUTED_VALUE"""),"")</f>
        <v/>
      </c>
    </row>
    <row r="4784">
      <c r="A4784" s="16" t="s">
        <v>87</v>
      </c>
      <c r="E4784" s="16" t="str">
        <f>IFERROR(__xludf.DUMMYFUNCTION("""COMPUTED_VALUE"""),"")</f>
        <v/>
      </c>
      <c r="G4784" s="18"/>
      <c r="H4784" s="16" t="s">
        <v>87</v>
      </c>
      <c r="I4784" s="16" t="s">
        <v>87</v>
      </c>
      <c r="J4784" s="19"/>
      <c r="L4784" s="16" t="str">
        <f>IFERROR(__xludf.DUMMYFUNCTION("""COMPUTED_VALUE"""),"")</f>
        <v/>
      </c>
      <c r="M4784" s="16" t="str">
        <f>IFERROR(__xludf.DUMMYFUNCTION("""COMPUTED_VALUE"""),"")</f>
        <v/>
      </c>
      <c r="U4784" s="16" t="s">
        <v>87</v>
      </c>
      <c r="V4784" s="16" t="str">
        <f>IFERROR(__xludf.DUMMYFUNCTION("""COMPUTED_VALUE"""),"")</f>
        <v/>
      </c>
      <c r="W4784" s="16" t="str">
        <f>IFERROR(__xludf.DUMMYFUNCTION("""COMPUTED_VALUE"""),"")</f>
        <v/>
      </c>
      <c r="X4784" s="16" t="str">
        <f>IFERROR(__xludf.DUMMYFUNCTION("""COMPUTED_VALUE"""),"")</f>
        <v/>
      </c>
      <c r="AC4784" s="16" t="str">
        <f>IFERROR(__xludf.DUMMYFUNCTION("""COMPUTED_VALUE"""),"")</f>
        <v/>
      </c>
    </row>
    <row r="4785">
      <c r="A4785" s="16" t="s">
        <v>87</v>
      </c>
      <c r="E4785" s="16" t="str">
        <f>IFERROR(__xludf.DUMMYFUNCTION("""COMPUTED_VALUE"""),"")</f>
        <v/>
      </c>
      <c r="G4785" s="18"/>
      <c r="H4785" s="16" t="s">
        <v>87</v>
      </c>
      <c r="I4785" s="16" t="s">
        <v>87</v>
      </c>
      <c r="J4785" s="19"/>
      <c r="L4785" s="16" t="str">
        <f>IFERROR(__xludf.DUMMYFUNCTION("""COMPUTED_VALUE"""),"")</f>
        <v/>
      </c>
      <c r="M4785" s="16" t="str">
        <f>IFERROR(__xludf.DUMMYFUNCTION("""COMPUTED_VALUE"""),"")</f>
        <v/>
      </c>
      <c r="U4785" s="16" t="s">
        <v>87</v>
      </c>
      <c r="V4785" s="16" t="str">
        <f>IFERROR(__xludf.DUMMYFUNCTION("""COMPUTED_VALUE"""),"")</f>
        <v/>
      </c>
      <c r="W4785" s="16" t="str">
        <f>IFERROR(__xludf.DUMMYFUNCTION("""COMPUTED_VALUE"""),"")</f>
        <v/>
      </c>
      <c r="X4785" s="16" t="str">
        <f>IFERROR(__xludf.DUMMYFUNCTION("""COMPUTED_VALUE"""),"")</f>
        <v/>
      </c>
      <c r="AC4785" s="16" t="str">
        <f>IFERROR(__xludf.DUMMYFUNCTION("""COMPUTED_VALUE"""),"")</f>
        <v/>
      </c>
    </row>
    <row r="4786">
      <c r="A4786" s="16" t="s">
        <v>87</v>
      </c>
      <c r="E4786" s="16" t="str">
        <f>IFERROR(__xludf.DUMMYFUNCTION("""COMPUTED_VALUE"""),"")</f>
        <v/>
      </c>
      <c r="G4786" s="18"/>
      <c r="H4786" s="16" t="s">
        <v>87</v>
      </c>
      <c r="I4786" s="16" t="s">
        <v>87</v>
      </c>
      <c r="J4786" s="19"/>
      <c r="L4786" s="16" t="str">
        <f>IFERROR(__xludf.DUMMYFUNCTION("""COMPUTED_VALUE"""),"")</f>
        <v/>
      </c>
      <c r="M4786" s="16" t="str">
        <f>IFERROR(__xludf.DUMMYFUNCTION("""COMPUTED_VALUE"""),"")</f>
        <v/>
      </c>
      <c r="U4786" s="16" t="s">
        <v>87</v>
      </c>
      <c r="V4786" s="16" t="str">
        <f>IFERROR(__xludf.DUMMYFUNCTION("""COMPUTED_VALUE"""),"")</f>
        <v/>
      </c>
      <c r="W4786" s="16" t="str">
        <f>IFERROR(__xludf.DUMMYFUNCTION("""COMPUTED_VALUE"""),"")</f>
        <v/>
      </c>
      <c r="X4786" s="16" t="str">
        <f>IFERROR(__xludf.DUMMYFUNCTION("""COMPUTED_VALUE"""),"")</f>
        <v/>
      </c>
      <c r="AC4786" s="16" t="str">
        <f>IFERROR(__xludf.DUMMYFUNCTION("""COMPUTED_VALUE"""),"")</f>
        <v/>
      </c>
    </row>
    <row r="4787">
      <c r="A4787" s="16" t="s">
        <v>87</v>
      </c>
      <c r="E4787" s="16" t="str">
        <f>IFERROR(__xludf.DUMMYFUNCTION("""COMPUTED_VALUE"""),"")</f>
        <v/>
      </c>
      <c r="G4787" s="18"/>
      <c r="H4787" s="16" t="s">
        <v>87</v>
      </c>
      <c r="I4787" s="16" t="s">
        <v>87</v>
      </c>
      <c r="J4787" s="19"/>
      <c r="L4787" s="16" t="str">
        <f>IFERROR(__xludf.DUMMYFUNCTION("""COMPUTED_VALUE"""),"")</f>
        <v/>
      </c>
      <c r="M4787" s="16" t="str">
        <f>IFERROR(__xludf.DUMMYFUNCTION("""COMPUTED_VALUE"""),"")</f>
        <v/>
      </c>
      <c r="U4787" s="16" t="s">
        <v>87</v>
      </c>
      <c r="V4787" s="16" t="str">
        <f>IFERROR(__xludf.DUMMYFUNCTION("""COMPUTED_VALUE"""),"")</f>
        <v/>
      </c>
      <c r="W4787" s="16" t="str">
        <f>IFERROR(__xludf.DUMMYFUNCTION("""COMPUTED_VALUE"""),"")</f>
        <v/>
      </c>
      <c r="X4787" s="16" t="str">
        <f>IFERROR(__xludf.DUMMYFUNCTION("""COMPUTED_VALUE"""),"")</f>
        <v/>
      </c>
      <c r="AC4787" s="16" t="str">
        <f>IFERROR(__xludf.DUMMYFUNCTION("""COMPUTED_VALUE"""),"")</f>
        <v/>
      </c>
    </row>
    <row r="4788">
      <c r="A4788" s="16" t="s">
        <v>87</v>
      </c>
      <c r="E4788" s="16" t="str">
        <f>IFERROR(__xludf.DUMMYFUNCTION("""COMPUTED_VALUE"""),"")</f>
        <v/>
      </c>
      <c r="G4788" s="18"/>
      <c r="H4788" s="16" t="s">
        <v>87</v>
      </c>
      <c r="I4788" s="16" t="s">
        <v>87</v>
      </c>
      <c r="J4788" s="19"/>
      <c r="L4788" s="16" t="str">
        <f>IFERROR(__xludf.DUMMYFUNCTION("""COMPUTED_VALUE"""),"")</f>
        <v/>
      </c>
      <c r="M4788" s="16" t="str">
        <f>IFERROR(__xludf.DUMMYFUNCTION("""COMPUTED_VALUE"""),"")</f>
        <v/>
      </c>
      <c r="U4788" s="16" t="s">
        <v>87</v>
      </c>
      <c r="V4788" s="16" t="str">
        <f>IFERROR(__xludf.DUMMYFUNCTION("""COMPUTED_VALUE"""),"")</f>
        <v/>
      </c>
      <c r="W4788" s="16" t="str">
        <f>IFERROR(__xludf.DUMMYFUNCTION("""COMPUTED_VALUE"""),"")</f>
        <v/>
      </c>
      <c r="X4788" s="16" t="str">
        <f>IFERROR(__xludf.DUMMYFUNCTION("""COMPUTED_VALUE"""),"")</f>
        <v/>
      </c>
      <c r="AC4788" s="16" t="str">
        <f>IFERROR(__xludf.DUMMYFUNCTION("""COMPUTED_VALUE"""),"")</f>
        <v/>
      </c>
    </row>
    <row r="4789">
      <c r="A4789" s="16" t="s">
        <v>87</v>
      </c>
      <c r="E4789" s="16" t="str">
        <f>IFERROR(__xludf.DUMMYFUNCTION("""COMPUTED_VALUE"""),"")</f>
        <v/>
      </c>
      <c r="G4789" s="18"/>
      <c r="H4789" s="16" t="s">
        <v>87</v>
      </c>
      <c r="I4789" s="16" t="s">
        <v>87</v>
      </c>
      <c r="J4789" s="19"/>
      <c r="L4789" s="16" t="str">
        <f>IFERROR(__xludf.DUMMYFUNCTION("""COMPUTED_VALUE"""),"")</f>
        <v/>
      </c>
      <c r="M4789" s="16" t="str">
        <f>IFERROR(__xludf.DUMMYFUNCTION("""COMPUTED_VALUE"""),"")</f>
        <v/>
      </c>
      <c r="U4789" s="16" t="s">
        <v>87</v>
      </c>
      <c r="V4789" s="16" t="str">
        <f>IFERROR(__xludf.DUMMYFUNCTION("""COMPUTED_VALUE"""),"")</f>
        <v/>
      </c>
      <c r="W4789" s="16" t="str">
        <f>IFERROR(__xludf.DUMMYFUNCTION("""COMPUTED_VALUE"""),"")</f>
        <v/>
      </c>
      <c r="X4789" s="16" t="str">
        <f>IFERROR(__xludf.DUMMYFUNCTION("""COMPUTED_VALUE"""),"")</f>
        <v/>
      </c>
      <c r="AC4789" s="16" t="str">
        <f>IFERROR(__xludf.DUMMYFUNCTION("""COMPUTED_VALUE"""),"")</f>
        <v/>
      </c>
    </row>
    <row r="4790">
      <c r="A4790" s="16" t="s">
        <v>87</v>
      </c>
      <c r="E4790" s="16" t="str">
        <f>IFERROR(__xludf.DUMMYFUNCTION("""COMPUTED_VALUE"""),"")</f>
        <v/>
      </c>
      <c r="G4790" s="18"/>
      <c r="H4790" s="16" t="s">
        <v>87</v>
      </c>
      <c r="I4790" s="16" t="s">
        <v>87</v>
      </c>
      <c r="J4790" s="19"/>
      <c r="L4790" s="16" t="str">
        <f>IFERROR(__xludf.DUMMYFUNCTION("""COMPUTED_VALUE"""),"")</f>
        <v/>
      </c>
      <c r="M4790" s="16" t="str">
        <f>IFERROR(__xludf.DUMMYFUNCTION("""COMPUTED_VALUE"""),"")</f>
        <v/>
      </c>
      <c r="U4790" s="16" t="s">
        <v>87</v>
      </c>
      <c r="V4790" s="16" t="str">
        <f>IFERROR(__xludf.DUMMYFUNCTION("""COMPUTED_VALUE"""),"")</f>
        <v/>
      </c>
      <c r="W4790" s="16" t="str">
        <f>IFERROR(__xludf.DUMMYFUNCTION("""COMPUTED_VALUE"""),"")</f>
        <v/>
      </c>
      <c r="X4790" s="16" t="str">
        <f>IFERROR(__xludf.DUMMYFUNCTION("""COMPUTED_VALUE"""),"")</f>
        <v/>
      </c>
      <c r="AC4790" s="16" t="str">
        <f>IFERROR(__xludf.DUMMYFUNCTION("""COMPUTED_VALUE"""),"")</f>
        <v/>
      </c>
    </row>
    <row r="4791">
      <c r="A4791" s="16" t="s">
        <v>87</v>
      </c>
      <c r="E4791" s="16" t="str">
        <f>IFERROR(__xludf.DUMMYFUNCTION("""COMPUTED_VALUE"""),"")</f>
        <v/>
      </c>
      <c r="G4791" s="18"/>
      <c r="H4791" s="16" t="s">
        <v>87</v>
      </c>
      <c r="I4791" s="16" t="s">
        <v>87</v>
      </c>
      <c r="J4791" s="19"/>
      <c r="L4791" s="16" t="str">
        <f>IFERROR(__xludf.DUMMYFUNCTION("""COMPUTED_VALUE"""),"")</f>
        <v/>
      </c>
      <c r="M4791" s="16" t="str">
        <f>IFERROR(__xludf.DUMMYFUNCTION("""COMPUTED_VALUE"""),"")</f>
        <v/>
      </c>
      <c r="U4791" s="16" t="s">
        <v>87</v>
      </c>
      <c r="V4791" s="16" t="str">
        <f>IFERROR(__xludf.DUMMYFUNCTION("""COMPUTED_VALUE"""),"")</f>
        <v/>
      </c>
      <c r="W4791" s="16" t="str">
        <f>IFERROR(__xludf.DUMMYFUNCTION("""COMPUTED_VALUE"""),"")</f>
        <v/>
      </c>
      <c r="X4791" s="16" t="str">
        <f>IFERROR(__xludf.DUMMYFUNCTION("""COMPUTED_VALUE"""),"")</f>
        <v/>
      </c>
      <c r="AC4791" s="16" t="str">
        <f>IFERROR(__xludf.DUMMYFUNCTION("""COMPUTED_VALUE"""),"")</f>
        <v/>
      </c>
    </row>
    <row r="4792">
      <c r="A4792" s="16" t="s">
        <v>87</v>
      </c>
      <c r="E4792" s="16" t="str">
        <f>IFERROR(__xludf.DUMMYFUNCTION("""COMPUTED_VALUE"""),"")</f>
        <v/>
      </c>
      <c r="G4792" s="18"/>
      <c r="H4792" s="16" t="s">
        <v>87</v>
      </c>
      <c r="I4792" s="16" t="s">
        <v>87</v>
      </c>
      <c r="J4792" s="19"/>
      <c r="L4792" s="16" t="str">
        <f>IFERROR(__xludf.DUMMYFUNCTION("""COMPUTED_VALUE"""),"")</f>
        <v/>
      </c>
      <c r="M4792" s="16" t="str">
        <f>IFERROR(__xludf.DUMMYFUNCTION("""COMPUTED_VALUE"""),"")</f>
        <v/>
      </c>
      <c r="U4792" s="16" t="s">
        <v>87</v>
      </c>
      <c r="V4792" s="16" t="str">
        <f>IFERROR(__xludf.DUMMYFUNCTION("""COMPUTED_VALUE"""),"")</f>
        <v/>
      </c>
      <c r="W4792" s="16" t="str">
        <f>IFERROR(__xludf.DUMMYFUNCTION("""COMPUTED_VALUE"""),"")</f>
        <v/>
      </c>
      <c r="X4792" s="16" t="str">
        <f>IFERROR(__xludf.DUMMYFUNCTION("""COMPUTED_VALUE"""),"")</f>
        <v/>
      </c>
      <c r="AC4792" s="16" t="str">
        <f>IFERROR(__xludf.DUMMYFUNCTION("""COMPUTED_VALUE"""),"")</f>
        <v/>
      </c>
    </row>
    <row r="4793">
      <c r="A4793" s="16" t="s">
        <v>87</v>
      </c>
      <c r="E4793" s="16" t="str">
        <f>IFERROR(__xludf.DUMMYFUNCTION("""COMPUTED_VALUE"""),"")</f>
        <v/>
      </c>
      <c r="G4793" s="18"/>
      <c r="H4793" s="16" t="s">
        <v>87</v>
      </c>
      <c r="I4793" s="16" t="s">
        <v>87</v>
      </c>
      <c r="J4793" s="19"/>
      <c r="L4793" s="16" t="str">
        <f>IFERROR(__xludf.DUMMYFUNCTION("""COMPUTED_VALUE"""),"")</f>
        <v/>
      </c>
      <c r="M4793" s="16" t="str">
        <f>IFERROR(__xludf.DUMMYFUNCTION("""COMPUTED_VALUE"""),"")</f>
        <v/>
      </c>
      <c r="U4793" s="16" t="s">
        <v>87</v>
      </c>
      <c r="V4793" s="16" t="str">
        <f>IFERROR(__xludf.DUMMYFUNCTION("""COMPUTED_VALUE"""),"")</f>
        <v/>
      </c>
      <c r="W4793" s="16" t="str">
        <f>IFERROR(__xludf.DUMMYFUNCTION("""COMPUTED_VALUE"""),"")</f>
        <v/>
      </c>
      <c r="X4793" s="16" t="str">
        <f>IFERROR(__xludf.DUMMYFUNCTION("""COMPUTED_VALUE"""),"")</f>
        <v/>
      </c>
      <c r="AC4793" s="16" t="str">
        <f>IFERROR(__xludf.DUMMYFUNCTION("""COMPUTED_VALUE"""),"")</f>
        <v/>
      </c>
    </row>
    <row r="4794">
      <c r="A4794" s="16" t="s">
        <v>87</v>
      </c>
      <c r="E4794" s="16" t="str">
        <f>IFERROR(__xludf.DUMMYFUNCTION("""COMPUTED_VALUE"""),"")</f>
        <v/>
      </c>
      <c r="G4794" s="18"/>
      <c r="H4794" s="16" t="s">
        <v>87</v>
      </c>
      <c r="I4794" s="16" t="s">
        <v>87</v>
      </c>
      <c r="J4794" s="19"/>
      <c r="L4794" s="16" t="str">
        <f>IFERROR(__xludf.DUMMYFUNCTION("""COMPUTED_VALUE"""),"")</f>
        <v/>
      </c>
      <c r="M4794" s="16" t="str">
        <f>IFERROR(__xludf.DUMMYFUNCTION("""COMPUTED_VALUE"""),"")</f>
        <v/>
      </c>
      <c r="U4794" s="16" t="s">
        <v>87</v>
      </c>
      <c r="V4794" s="16" t="str">
        <f>IFERROR(__xludf.DUMMYFUNCTION("""COMPUTED_VALUE"""),"")</f>
        <v/>
      </c>
      <c r="W4794" s="16" t="str">
        <f>IFERROR(__xludf.DUMMYFUNCTION("""COMPUTED_VALUE"""),"")</f>
        <v/>
      </c>
      <c r="X4794" s="16" t="str">
        <f>IFERROR(__xludf.DUMMYFUNCTION("""COMPUTED_VALUE"""),"")</f>
        <v/>
      </c>
      <c r="AC4794" s="16" t="str">
        <f>IFERROR(__xludf.DUMMYFUNCTION("""COMPUTED_VALUE"""),"")</f>
        <v/>
      </c>
    </row>
    <row r="4795">
      <c r="A4795" s="16" t="s">
        <v>87</v>
      </c>
      <c r="E4795" s="16" t="str">
        <f>IFERROR(__xludf.DUMMYFUNCTION("""COMPUTED_VALUE"""),"")</f>
        <v/>
      </c>
      <c r="G4795" s="18"/>
      <c r="H4795" s="16" t="s">
        <v>87</v>
      </c>
      <c r="I4795" s="16" t="s">
        <v>87</v>
      </c>
      <c r="J4795" s="19"/>
      <c r="L4795" s="16" t="str">
        <f>IFERROR(__xludf.DUMMYFUNCTION("""COMPUTED_VALUE"""),"")</f>
        <v/>
      </c>
      <c r="M4795" s="16" t="str">
        <f>IFERROR(__xludf.DUMMYFUNCTION("""COMPUTED_VALUE"""),"")</f>
        <v/>
      </c>
      <c r="U4795" s="16" t="s">
        <v>87</v>
      </c>
      <c r="V4795" s="16" t="str">
        <f>IFERROR(__xludf.DUMMYFUNCTION("""COMPUTED_VALUE"""),"")</f>
        <v/>
      </c>
      <c r="W4795" s="16" t="str">
        <f>IFERROR(__xludf.DUMMYFUNCTION("""COMPUTED_VALUE"""),"")</f>
        <v/>
      </c>
      <c r="X4795" s="16" t="str">
        <f>IFERROR(__xludf.DUMMYFUNCTION("""COMPUTED_VALUE"""),"")</f>
        <v/>
      </c>
      <c r="AC4795" s="16" t="str">
        <f>IFERROR(__xludf.DUMMYFUNCTION("""COMPUTED_VALUE"""),"")</f>
        <v/>
      </c>
    </row>
    <row r="4796">
      <c r="A4796" s="16" t="s">
        <v>87</v>
      </c>
      <c r="E4796" s="16" t="str">
        <f>IFERROR(__xludf.DUMMYFUNCTION("""COMPUTED_VALUE"""),"")</f>
        <v/>
      </c>
      <c r="G4796" s="18"/>
      <c r="H4796" s="16" t="s">
        <v>87</v>
      </c>
      <c r="I4796" s="16" t="s">
        <v>87</v>
      </c>
      <c r="J4796" s="19"/>
      <c r="L4796" s="16" t="str">
        <f>IFERROR(__xludf.DUMMYFUNCTION("""COMPUTED_VALUE"""),"")</f>
        <v/>
      </c>
      <c r="M4796" s="16" t="str">
        <f>IFERROR(__xludf.DUMMYFUNCTION("""COMPUTED_VALUE"""),"")</f>
        <v/>
      </c>
      <c r="U4796" s="16" t="s">
        <v>87</v>
      </c>
      <c r="V4796" s="16" t="str">
        <f>IFERROR(__xludf.DUMMYFUNCTION("""COMPUTED_VALUE"""),"")</f>
        <v/>
      </c>
      <c r="W4796" s="16" t="str">
        <f>IFERROR(__xludf.DUMMYFUNCTION("""COMPUTED_VALUE"""),"")</f>
        <v/>
      </c>
      <c r="X4796" s="16" t="str">
        <f>IFERROR(__xludf.DUMMYFUNCTION("""COMPUTED_VALUE"""),"")</f>
        <v/>
      </c>
      <c r="AC4796" s="16" t="str">
        <f>IFERROR(__xludf.DUMMYFUNCTION("""COMPUTED_VALUE"""),"")</f>
        <v/>
      </c>
    </row>
    <row r="4797">
      <c r="A4797" s="16" t="s">
        <v>87</v>
      </c>
      <c r="E4797" s="16" t="str">
        <f>IFERROR(__xludf.DUMMYFUNCTION("""COMPUTED_VALUE"""),"")</f>
        <v/>
      </c>
      <c r="G4797" s="18"/>
      <c r="H4797" s="16" t="s">
        <v>87</v>
      </c>
      <c r="I4797" s="16" t="s">
        <v>87</v>
      </c>
      <c r="J4797" s="19"/>
      <c r="L4797" s="16" t="str">
        <f>IFERROR(__xludf.DUMMYFUNCTION("""COMPUTED_VALUE"""),"")</f>
        <v/>
      </c>
      <c r="M4797" s="16" t="str">
        <f>IFERROR(__xludf.DUMMYFUNCTION("""COMPUTED_VALUE"""),"")</f>
        <v/>
      </c>
      <c r="U4797" s="16" t="s">
        <v>87</v>
      </c>
      <c r="V4797" s="16" t="str">
        <f>IFERROR(__xludf.DUMMYFUNCTION("""COMPUTED_VALUE"""),"")</f>
        <v/>
      </c>
      <c r="W4797" s="16" t="str">
        <f>IFERROR(__xludf.DUMMYFUNCTION("""COMPUTED_VALUE"""),"")</f>
        <v/>
      </c>
      <c r="X4797" s="16" t="str">
        <f>IFERROR(__xludf.DUMMYFUNCTION("""COMPUTED_VALUE"""),"")</f>
        <v/>
      </c>
      <c r="AC4797" s="16" t="str">
        <f>IFERROR(__xludf.DUMMYFUNCTION("""COMPUTED_VALUE"""),"")</f>
        <v/>
      </c>
    </row>
    <row r="4798">
      <c r="A4798" s="16" t="s">
        <v>87</v>
      </c>
      <c r="E4798" s="16" t="str">
        <f>IFERROR(__xludf.DUMMYFUNCTION("""COMPUTED_VALUE"""),"")</f>
        <v/>
      </c>
      <c r="G4798" s="18"/>
      <c r="H4798" s="16" t="s">
        <v>87</v>
      </c>
      <c r="I4798" s="16" t="s">
        <v>87</v>
      </c>
      <c r="J4798" s="19"/>
      <c r="L4798" s="16" t="str">
        <f>IFERROR(__xludf.DUMMYFUNCTION("""COMPUTED_VALUE"""),"")</f>
        <v/>
      </c>
      <c r="M4798" s="16" t="str">
        <f>IFERROR(__xludf.DUMMYFUNCTION("""COMPUTED_VALUE"""),"")</f>
        <v/>
      </c>
      <c r="U4798" s="16" t="s">
        <v>87</v>
      </c>
      <c r="V4798" s="16" t="str">
        <f>IFERROR(__xludf.DUMMYFUNCTION("""COMPUTED_VALUE"""),"")</f>
        <v/>
      </c>
      <c r="W4798" s="16" t="str">
        <f>IFERROR(__xludf.DUMMYFUNCTION("""COMPUTED_VALUE"""),"")</f>
        <v/>
      </c>
      <c r="X4798" s="16" t="str">
        <f>IFERROR(__xludf.DUMMYFUNCTION("""COMPUTED_VALUE"""),"")</f>
        <v/>
      </c>
      <c r="AC4798" s="16" t="str">
        <f>IFERROR(__xludf.DUMMYFUNCTION("""COMPUTED_VALUE"""),"")</f>
        <v/>
      </c>
    </row>
    <row r="4799">
      <c r="A4799" s="16" t="s">
        <v>87</v>
      </c>
      <c r="E4799" s="16" t="str">
        <f>IFERROR(__xludf.DUMMYFUNCTION("""COMPUTED_VALUE"""),"")</f>
        <v/>
      </c>
      <c r="G4799" s="18"/>
      <c r="H4799" s="16" t="s">
        <v>87</v>
      </c>
      <c r="I4799" s="16" t="s">
        <v>87</v>
      </c>
      <c r="J4799" s="19"/>
      <c r="L4799" s="16" t="str">
        <f>IFERROR(__xludf.DUMMYFUNCTION("""COMPUTED_VALUE"""),"")</f>
        <v/>
      </c>
      <c r="M4799" s="16" t="str">
        <f>IFERROR(__xludf.DUMMYFUNCTION("""COMPUTED_VALUE"""),"")</f>
        <v/>
      </c>
      <c r="U4799" s="16" t="s">
        <v>87</v>
      </c>
      <c r="V4799" s="16" t="str">
        <f>IFERROR(__xludf.DUMMYFUNCTION("""COMPUTED_VALUE"""),"")</f>
        <v/>
      </c>
      <c r="W4799" s="16" t="str">
        <f>IFERROR(__xludf.DUMMYFUNCTION("""COMPUTED_VALUE"""),"")</f>
        <v/>
      </c>
      <c r="X4799" s="16" t="str">
        <f>IFERROR(__xludf.DUMMYFUNCTION("""COMPUTED_VALUE"""),"")</f>
        <v/>
      </c>
      <c r="AC4799" s="16" t="str">
        <f>IFERROR(__xludf.DUMMYFUNCTION("""COMPUTED_VALUE"""),"")</f>
        <v/>
      </c>
    </row>
    <row r="4800">
      <c r="A4800" s="16" t="s">
        <v>87</v>
      </c>
      <c r="E4800" s="16" t="str">
        <f>IFERROR(__xludf.DUMMYFUNCTION("""COMPUTED_VALUE"""),"")</f>
        <v/>
      </c>
      <c r="G4800" s="18"/>
      <c r="H4800" s="16" t="s">
        <v>87</v>
      </c>
      <c r="I4800" s="16" t="s">
        <v>87</v>
      </c>
      <c r="J4800" s="19"/>
      <c r="L4800" s="16" t="str">
        <f>IFERROR(__xludf.DUMMYFUNCTION("""COMPUTED_VALUE"""),"")</f>
        <v/>
      </c>
      <c r="M4800" s="16" t="str">
        <f>IFERROR(__xludf.DUMMYFUNCTION("""COMPUTED_VALUE"""),"")</f>
        <v/>
      </c>
      <c r="U4800" s="16" t="s">
        <v>87</v>
      </c>
      <c r="V4800" s="16" t="str">
        <f>IFERROR(__xludf.DUMMYFUNCTION("""COMPUTED_VALUE"""),"")</f>
        <v/>
      </c>
      <c r="W4800" s="16" t="str">
        <f>IFERROR(__xludf.DUMMYFUNCTION("""COMPUTED_VALUE"""),"")</f>
        <v/>
      </c>
      <c r="X4800" s="16" t="str">
        <f>IFERROR(__xludf.DUMMYFUNCTION("""COMPUTED_VALUE"""),"")</f>
        <v/>
      </c>
      <c r="AC4800" s="16" t="str">
        <f>IFERROR(__xludf.DUMMYFUNCTION("""COMPUTED_VALUE"""),"")</f>
        <v/>
      </c>
    </row>
    <row r="4801">
      <c r="A4801" s="16" t="s">
        <v>87</v>
      </c>
      <c r="E4801" s="16" t="str">
        <f>IFERROR(__xludf.DUMMYFUNCTION("""COMPUTED_VALUE"""),"")</f>
        <v/>
      </c>
      <c r="G4801" s="18"/>
      <c r="H4801" s="16" t="s">
        <v>87</v>
      </c>
      <c r="I4801" s="16" t="s">
        <v>87</v>
      </c>
      <c r="J4801" s="19"/>
      <c r="L4801" s="16" t="str">
        <f>IFERROR(__xludf.DUMMYFUNCTION("""COMPUTED_VALUE"""),"")</f>
        <v/>
      </c>
      <c r="M4801" s="16" t="str">
        <f>IFERROR(__xludf.DUMMYFUNCTION("""COMPUTED_VALUE"""),"")</f>
        <v/>
      </c>
      <c r="U4801" s="16" t="s">
        <v>87</v>
      </c>
      <c r="V4801" s="16" t="str">
        <f>IFERROR(__xludf.DUMMYFUNCTION("""COMPUTED_VALUE"""),"")</f>
        <v/>
      </c>
      <c r="W4801" s="16" t="str">
        <f>IFERROR(__xludf.DUMMYFUNCTION("""COMPUTED_VALUE"""),"")</f>
        <v/>
      </c>
      <c r="X4801" s="16" t="str">
        <f>IFERROR(__xludf.DUMMYFUNCTION("""COMPUTED_VALUE"""),"")</f>
        <v/>
      </c>
      <c r="AC4801" s="16" t="str">
        <f>IFERROR(__xludf.DUMMYFUNCTION("""COMPUTED_VALUE"""),"")</f>
        <v/>
      </c>
    </row>
    <row r="4802">
      <c r="A4802" s="16" t="s">
        <v>87</v>
      </c>
      <c r="E4802" s="16" t="str">
        <f>IFERROR(__xludf.DUMMYFUNCTION("""COMPUTED_VALUE"""),"")</f>
        <v/>
      </c>
      <c r="G4802" s="18"/>
      <c r="H4802" s="16" t="s">
        <v>87</v>
      </c>
      <c r="I4802" s="16" t="s">
        <v>87</v>
      </c>
      <c r="J4802" s="19"/>
      <c r="L4802" s="16" t="str">
        <f>IFERROR(__xludf.DUMMYFUNCTION("""COMPUTED_VALUE"""),"")</f>
        <v/>
      </c>
      <c r="M4802" s="16" t="str">
        <f>IFERROR(__xludf.DUMMYFUNCTION("""COMPUTED_VALUE"""),"")</f>
        <v/>
      </c>
      <c r="U4802" s="16" t="s">
        <v>87</v>
      </c>
      <c r="V4802" s="16" t="str">
        <f>IFERROR(__xludf.DUMMYFUNCTION("""COMPUTED_VALUE"""),"")</f>
        <v/>
      </c>
      <c r="W4802" s="16" t="str">
        <f>IFERROR(__xludf.DUMMYFUNCTION("""COMPUTED_VALUE"""),"")</f>
        <v/>
      </c>
      <c r="X4802" s="16" t="str">
        <f>IFERROR(__xludf.DUMMYFUNCTION("""COMPUTED_VALUE"""),"")</f>
        <v/>
      </c>
      <c r="AC4802" s="16" t="str">
        <f>IFERROR(__xludf.DUMMYFUNCTION("""COMPUTED_VALUE"""),"")</f>
        <v/>
      </c>
    </row>
    <row r="4803">
      <c r="A4803" s="16" t="s">
        <v>87</v>
      </c>
      <c r="E4803" s="16" t="str">
        <f>IFERROR(__xludf.DUMMYFUNCTION("""COMPUTED_VALUE"""),"")</f>
        <v/>
      </c>
      <c r="G4803" s="18"/>
      <c r="H4803" s="16" t="s">
        <v>87</v>
      </c>
      <c r="I4803" s="16" t="s">
        <v>87</v>
      </c>
      <c r="J4803" s="19"/>
      <c r="L4803" s="16" t="str">
        <f>IFERROR(__xludf.DUMMYFUNCTION("""COMPUTED_VALUE"""),"")</f>
        <v/>
      </c>
      <c r="M4803" s="16" t="str">
        <f>IFERROR(__xludf.DUMMYFUNCTION("""COMPUTED_VALUE"""),"")</f>
        <v/>
      </c>
      <c r="U4803" s="16" t="s">
        <v>87</v>
      </c>
      <c r="V4803" s="16" t="str">
        <f>IFERROR(__xludf.DUMMYFUNCTION("""COMPUTED_VALUE"""),"")</f>
        <v/>
      </c>
      <c r="W4803" s="16" t="str">
        <f>IFERROR(__xludf.DUMMYFUNCTION("""COMPUTED_VALUE"""),"")</f>
        <v/>
      </c>
      <c r="X4803" s="16" t="str">
        <f>IFERROR(__xludf.DUMMYFUNCTION("""COMPUTED_VALUE"""),"")</f>
        <v/>
      </c>
      <c r="AC4803" s="16" t="str">
        <f>IFERROR(__xludf.DUMMYFUNCTION("""COMPUTED_VALUE"""),"")</f>
        <v/>
      </c>
    </row>
    <row r="4804">
      <c r="A4804" s="16" t="s">
        <v>87</v>
      </c>
      <c r="E4804" s="16" t="str">
        <f>IFERROR(__xludf.DUMMYFUNCTION("""COMPUTED_VALUE"""),"")</f>
        <v/>
      </c>
      <c r="G4804" s="18"/>
      <c r="H4804" s="16" t="s">
        <v>87</v>
      </c>
      <c r="I4804" s="16" t="s">
        <v>87</v>
      </c>
      <c r="J4804" s="19"/>
      <c r="L4804" s="16" t="str">
        <f>IFERROR(__xludf.DUMMYFUNCTION("""COMPUTED_VALUE"""),"")</f>
        <v/>
      </c>
      <c r="M4804" s="16" t="str">
        <f>IFERROR(__xludf.DUMMYFUNCTION("""COMPUTED_VALUE"""),"")</f>
        <v/>
      </c>
      <c r="U4804" s="16" t="s">
        <v>87</v>
      </c>
      <c r="V4804" s="16" t="str">
        <f>IFERROR(__xludf.DUMMYFUNCTION("""COMPUTED_VALUE"""),"")</f>
        <v/>
      </c>
      <c r="W4804" s="16" t="str">
        <f>IFERROR(__xludf.DUMMYFUNCTION("""COMPUTED_VALUE"""),"")</f>
        <v/>
      </c>
      <c r="X4804" s="16" t="str">
        <f>IFERROR(__xludf.DUMMYFUNCTION("""COMPUTED_VALUE"""),"")</f>
        <v/>
      </c>
      <c r="AC4804" s="16" t="str">
        <f>IFERROR(__xludf.DUMMYFUNCTION("""COMPUTED_VALUE"""),"")</f>
        <v/>
      </c>
    </row>
    <row r="4805">
      <c r="A4805" s="16" t="s">
        <v>87</v>
      </c>
      <c r="E4805" s="16" t="str">
        <f>IFERROR(__xludf.DUMMYFUNCTION("""COMPUTED_VALUE"""),"")</f>
        <v/>
      </c>
      <c r="G4805" s="18"/>
      <c r="H4805" s="16" t="s">
        <v>87</v>
      </c>
      <c r="I4805" s="16" t="s">
        <v>87</v>
      </c>
      <c r="J4805" s="19"/>
      <c r="L4805" s="16" t="str">
        <f>IFERROR(__xludf.DUMMYFUNCTION("""COMPUTED_VALUE"""),"")</f>
        <v/>
      </c>
      <c r="M4805" s="16" t="str">
        <f>IFERROR(__xludf.DUMMYFUNCTION("""COMPUTED_VALUE"""),"")</f>
        <v/>
      </c>
      <c r="U4805" s="16" t="s">
        <v>87</v>
      </c>
      <c r="V4805" s="16" t="str">
        <f>IFERROR(__xludf.DUMMYFUNCTION("""COMPUTED_VALUE"""),"")</f>
        <v/>
      </c>
      <c r="W4805" s="16" t="str">
        <f>IFERROR(__xludf.DUMMYFUNCTION("""COMPUTED_VALUE"""),"")</f>
        <v/>
      </c>
      <c r="X4805" s="16" t="str">
        <f>IFERROR(__xludf.DUMMYFUNCTION("""COMPUTED_VALUE"""),"")</f>
        <v/>
      </c>
      <c r="AC4805" s="16" t="str">
        <f>IFERROR(__xludf.DUMMYFUNCTION("""COMPUTED_VALUE"""),"")</f>
        <v/>
      </c>
    </row>
    <row r="4806">
      <c r="A4806" s="16" t="s">
        <v>87</v>
      </c>
      <c r="E4806" s="16" t="str">
        <f>IFERROR(__xludf.DUMMYFUNCTION("""COMPUTED_VALUE"""),"")</f>
        <v/>
      </c>
      <c r="G4806" s="18"/>
      <c r="H4806" s="16" t="s">
        <v>87</v>
      </c>
      <c r="I4806" s="16" t="s">
        <v>87</v>
      </c>
      <c r="J4806" s="19"/>
      <c r="L4806" s="16" t="str">
        <f>IFERROR(__xludf.DUMMYFUNCTION("""COMPUTED_VALUE"""),"")</f>
        <v/>
      </c>
      <c r="M4806" s="16" t="str">
        <f>IFERROR(__xludf.DUMMYFUNCTION("""COMPUTED_VALUE"""),"")</f>
        <v/>
      </c>
      <c r="U4806" s="16" t="s">
        <v>87</v>
      </c>
      <c r="V4806" s="16" t="str">
        <f>IFERROR(__xludf.DUMMYFUNCTION("""COMPUTED_VALUE"""),"")</f>
        <v/>
      </c>
      <c r="W4806" s="16" t="str">
        <f>IFERROR(__xludf.DUMMYFUNCTION("""COMPUTED_VALUE"""),"")</f>
        <v/>
      </c>
      <c r="X4806" s="16" t="str">
        <f>IFERROR(__xludf.DUMMYFUNCTION("""COMPUTED_VALUE"""),"")</f>
        <v/>
      </c>
      <c r="AC4806" s="16" t="str">
        <f>IFERROR(__xludf.DUMMYFUNCTION("""COMPUTED_VALUE"""),"")</f>
        <v/>
      </c>
    </row>
    <row r="4807">
      <c r="A4807" s="16" t="s">
        <v>87</v>
      </c>
      <c r="E4807" s="16" t="str">
        <f>IFERROR(__xludf.DUMMYFUNCTION("""COMPUTED_VALUE"""),"")</f>
        <v/>
      </c>
      <c r="G4807" s="18"/>
      <c r="H4807" s="16" t="s">
        <v>87</v>
      </c>
      <c r="I4807" s="16" t="s">
        <v>87</v>
      </c>
      <c r="J4807" s="19"/>
      <c r="L4807" s="16" t="str">
        <f>IFERROR(__xludf.DUMMYFUNCTION("""COMPUTED_VALUE"""),"")</f>
        <v/>
      </c>
      <c r="M4807" s="16" t="str">
        <f>IFERROR(__xludf.DUMMYFUNCTION("""COMPUTED_VALUE"""),"")</f>
        <v/>
      </c>
      <c r="U4807" s="16" t="s">
        <v>87</v>
      </c>
      <c r="V4807" s="16" t="str">
        <f>IFERROR(__xludf.DUMMYFUNCTION("""COMPUTED_VALUE"""),"")</f>
        <v/>
      </c>
      <c r="W4807" s="16" t="str">
        <f>IFERROR(__xludf.DUMMYFUNCTION("""COMPUTED_VALUE"""),"")</f>
        <v/>
      </c>
      <c r="X4807" s="16" t="str">
        <f>IFERROR(__xludf.DUMMYFUNCTION("""COMPUTED_VALUE"""),"")</f>
        <v/>
      </c>
      <c r="AC4807" s="16" t="str">
        <f>IFERROR(__xludf.DUMMYFUNCTION("""COMPUTED_VALUE"""),"")</f>
        <v/>
      </c>
    </row>
    <row r="4808">
      <c r="A4808" s="16" t="s">
        <v>87</v>
      </c>
      <c r="E4808" s="16" t="str">
        <f>IFERROR(__xludf.DUMMYFUNCTION("""COMPUTED_VALUE"""),"")</f>
        <v/>
      </c>
      <c r="G4808" s="18"/>
      <c r="H4808" s="16" t="s">
        <v>87</v>
      </c>
      <c r="I4808" s="16" t="s">
        <v>87</v>
      </c>
      <c r="J4808" s="19"/>
      <c r="L4808" s="16" t="str">
        <f>IFERROR(__xludf.DUMMYFUNCTION("""COMPUTED_VALUE"""),"")</f>
        <v/>
      </c>
      <c r="M4808" s="16" t="str">
        <f>IFERROR(__xludf.DUMMYFUNCTION("""COMPUTED_VALUE"""),"")</f>
        <v/>
      </c>
      <c r="U4808" s="16" t="s">
        <v>87</v>
      </c>
      <c r="V4808" s="16" t="str">
        <f>IFERROR(__xludf.DUMMYFUNCTION("""COMPUTED_VALUE"""),"")</f>
        <v/>
      </c>
      <c r="W4808" s="16" t="str">
        <f>IFERROR(__xludf.DUMMYFUNCTION("""COMPUTED_VALUE"""),"")</f>
        <v/>
      </c>
      <c r="X4808" s="16" t="str">
        <f>IFERROR(__xludf.DUMMYFUNCTION("""COMPUTED_VALUE"""),"")</f>
        <v/>
      </c>
      <c r="AC4808" s="16" t="str">
        <f>IFERROR(__xludf.DUMMYFUNCTION("""COMPUTED_VALUE"""),"")</f>
        <v/>
      </c>
    </row>
    <row r="4809">
      <c r="A4809" s="16" t="s">
        <v>87</v>
      </c>
      <c r="E4809" s="16" t="str">
        <f>IFERROR(__xludf.DUMMYFUNCTION("""COMPUTED_VALUE"""),"")</f>
        <v/>
      </c>
      <c r="G4809" s="18"/>
      <c r="H4809" s="16" t="s">
        <v>87</v>
      </c>
      <c r="I4809" s="16" t="s">
        <v>87</v>
      </c>
      <c r="J4809" s="19"/>
      <c r="L4809" s="16" t="str">
        <f>IFERROR(__xludf.DUMMYFUNCTION("""COMPUTED_VALUE"""),"")</f>
        <v/>
      </c>
      <c r="M4809" s="16" t="str">
        <f>IFERROR(__xludf.DUMMYFUNCTION("""COMPUTED_VALUE"""),"")</f>
        <v/>
      </c>
      <c r="U4809" s="16" t="s">
        <v>87</v>
      </c>
      <c r="V4809" s="16" t="str">
        <f>IFERROR(__xludf.DUMMYFUNCTION("""COMPUTED_VALUE"""),"")</f>
        <v/>
      </c>
      <c r="W4809" s="16" t="str">
        <f>IFERROR(__xludf.DUMMYFUNCTION("""COMPUTED_VALUE"""),"")</f>
        <v/>
      </c>
      <c r="X4809" s="16" t="str">
        <f>IFERROR(__xludf.DUMMYFUNCTION("""COMPUTED_VALUE"""),"")</f>
        <v/>
      </c>
      <c r="AC4809" s="16" t="str">
        <f>IFERROR(__xludf.DUMMYFUNCTION("""COMPUTED_VALUE"""),"")</f>
        <v/>
      </c>
    </row>
    <row r="4810">
      <c r="A4810" s="16" t="s">
        <v>87</v>
      </c>
      <c r="E4810" s="16" t="str">
        <f>IFERROR(__xludf.DUMMYFUNCTION("""COMPUTED_VALUE"""),"")</f>
        <v/>
      </c>
      <c r="G4810" s="18"/>
      <c r="H4810" s="16" t="s">
        <v>87</v>
      </c>
      <c r="I4810" s="16" t="s">
        <v>87</v>
      </c>
      <c r="J4810" s="19"/>
      <c r="L4810" s="16" t="str">
        <f>IFERROR(__xludf.DUMMYFUNCTION("""COMPUTED_VALUE"""),"")</f>
        <v/>
      </c>
      <c r="M4810" s="16" t="str">
        <f>IFERROR(__xludf.DUMMYFUNCTION("""COMPUTED_VALUE"""),"")</f>
        <v/>
      </c>
      <c r="U4810" s="16" t="s">
        <v>87</v>
      </c>
      <c r="V4810" s="16" t="str">
        <f>IFERROR(__xludf.DUMMYFUNCTION("""COMPUTED_VALUE"""),"")</f>
        <v/>
      </c>
      <c r="W4810" s="16" t="str">
        <f>IFERROR(__xludf.DUMMYFUNCTION("""COMPUTED_VALUE"""),"")</f>
        <v/>
      </c>
      <c r="X4810" s="16" t="str">
        <f>IFERROR(__xludf.DUMMYFUNCTION("""COMPUTED_VALUE"""),"")</f>
        <v/>
      </c>
      <c r="AC4810" s="16" t="str">
        <f>IFERROR(__xludf.DUMMYFUNCTION("""COMPUTED_VALUE"""),"")</f>
        <v/>
      </c>
    </row>
    <row r="4811">
      <c r="A4811" s="16" t="s">
        <v>87</v>
      </c>
      <c r="E4811" s="16" t="str">
        <f>IFERROR(__xludf.DUMMYFUNCTION("""COMPUTED_VALUE"""),"")</f>
        <v/>
      </c>
      <c r="G4811" s="18"/>
      <c r="H4811" s="16" t="s">
        <v>87</v>
      </c>
      <c r="I4811" s="16" t="s">
        <v>87</v>
      </c>
      <c r="J4811" s="19"/>
      <c r="L4811" s="16" t="str">
        <f>IFERROR(__xludf.DUMMYFUNCTION("""COMPUTED_VALUE"""),"")</f>
        <v/>
      </c>
      <c r="M4811" s="16" t="str">
        <f>IFERROR(__xludf.DUMMYFUNCTION("""COMPUTED_VALUE"""),"")</f>
        <v/>
      </c>
      <c r="U4811" s="16" t="s">
        <v>87</v>
      </c>
      <c r="V4811" s="16" t="str">
        <f>IFERROR(__xludf.DUMMYFUNCTION("""COMPUTED_VALUE"""),"")</f>
        <v/>
      </c>
      <c r="W4811" s="16" t="str">
        <f>IFERROR(__xludf.DUMMYFUNCTION("""COMPUTED_VALUE"""),"")</f>
        <v/>
      </c>
      <c r="X4811" s="16" t="str">
        <f>IFERROR(__xludf.DUMMYFUNCTION("""COMPUTED_VALUE"""),"")</f>
        <v/>
      </c>
      <c r="AC4811" s="16" t="str">
        <f>IFERROR(__xludf.DUMMYFUNCTION("""COMPUTED_VALUE"""),"")</f>
        <v/>
      </c>
    </row>
    <row r="4812">
      <c r="A4812" s="16" t="s">
        <v>87</v>
      </c>
      <c r="E4812" s="16" t="str">
        <f>IFERROR(__xludf.DUMMYFUNCTION("""COMPUTED_VALUE"""),"")</f>
        <v/>
      </c>
      <c r="G4812" s="18"/>
      <c r="H4812" s="16" t="s">
        <v>87</v>
      </c>
      <c r="I4812" s="16" t="s">
        <v>87</v>
      </c>
      <c r="J4812" s="19"/>
      <c r="L4812" s="16" t="str">
        <f>IFERROR(__xludf.DUMMYFUNCTION("""COMPUTED_VALUE"""),"")</f>
        <v/>
      </c>
      <c r="M4812" s="16" t="str">
        <f>IFERROR(__xludf.DUMMYFUNCTION("""COMPUTED_VALUE"""),"")</f>
        <v/>
      </c>
      <c r="U4812" s="16" t="s">
        <v>87</v>
      </c>
      <c r="V4812" s="16" t="str">
        <f>IFERROR(__xludf.DUMMYFUNCTION("""COMPUTED_VALUE"""),"")</f>
        <v/>
      </c>
      <c r="W4812" s="16" t="str">
        <f>IFERROR(__xludf.DUMMYFUNCTION("""COMPUTED_VALUE"""),"")</f>
        <v/>
      </c>
      <c r="X4812" s="16" t="str">
        <f>IFERROR(__xludf.DUMMYFUNCTION("""COMPUTED_VALUE"""),"")</f>
        <v/>
      </c>
      <c r="AC4812" s="16" t="str">
        <f>IFERROR(__xludf.DUMMYFUNCTION("""COMPUTED_VALUE"""),"")</f>
        <v/>
      </c>
    </row>
    <row r="4813">
      <c r="A4813" s="16" t="s">
        <v>87</v>
      </c>
      <c r="E4813" s="16" t="str">
        <f>IFERROR(__xludf.DUMMYFUNCTION("""COMPUTED_VALUE"""),"")</f>
        <v/>
      </c>
      <c r="G4813" s="18"/>
      <c r="H4813" s="16" t="s">
        <v>87</v>
      </c>
      <c r="I4813" s="16" t="s">
        <v>87</v>
      </c>
      <c r="J4813" s="19"/>
      <c r="L4813" s="16" t="str">
        <f>IFERROR(__xludf.DUMMYFUNCTION("""COMPUTED_VALUE"""),"")</f>
        <v/>
      </c>
      <c r="M4813" s="16" t="str">
        <f>IFERROR(__xludf.DUMMYFUNCTION("""COMPUTED_VALUE"""),"")</f>
        <v/>
      </c>
      <c r="U4813" s="16" t="s">
        <v>87</v>
      </c>
      <c r="V4813" s="16" t="str">
        <f>IFERROR(__xludf.DUMMYFUNCTION("""COMPUTED_VALUE"""),"")</f>
        <v/>
      </c>
      <c r="W4813" s="16" t="str">
        <f>IFERROR(__xludf.DUMMYFUNCTION("""COMPUTED_VALUE"""),"")</f>
        <v/>
      </c>
      <c r="X4813" s="16" t="str">
        <f>IFERROR(__xludf.DUMMYFUNCTION("""COMPUTED_VALUE"""),"")</f>
        <v/>
      </c>
      <c r="AC4813" s="16" t="str">
        <f>IFERROR(__xludf.DUMMYFUNCTION("""COMPUTED_VALUE"""),"")</f>
        <v/>
      </c>
    </row>
    <row r="4814">
      <c r="A4814" s="16" t="s">
        <v>87</v>
      </c>
      <c r="E4814" s="16" t="str">
        <f>IFERROR(__xludf.DUMMYFUNCTION("""COMPUTED_VALUE"""),"")</f>
        <v/>
      </c>
      <c r="G4814" s="18"/>
      <c r="H4814" s="16" t="s">
        <v>87</v>
      </c>
      <c r="I4814" s="16" t="s">
        <v>87</v>
      </c>
      <c r="J4814" s="19"/>
      <c r="L4814" s="16" t="str">
        <f>IFERROR(__xludf.DUMMYFUNCTION("""COMPUTED_VALUE"""),"")</f>
        <v/>
      </c>
      <c r="M4814" s="16" t="str">
        <f>IFERROR(__xludf.DUMMYFUNCTION("""COMPUTED_VALUE"""),"")</f>
        <v/>
      </c>
      <c r="U4814" s="16" t="s">
        <v>87</v>
      </c>
      <c r="V4814" s="16" t="str">
        <f>IFERROR(__xludf.DUMMYFUNCTION("""COMPUTED_VALUE"""),"")</f>
        <v/>
      </c>
      <c r="W4814" s="16" t="str">
        <f>IFERROR(__xludf.DUMMYFUNCTION("""COMPUTED_VALUE"""),"")</f>
        <v/>
      </c>
      <c r="X4814" s="16" t="str">
        <f>IFERROR(__xludf.DUMMYFUNCTION("""COMPUTED_VALUE"""),"")</f>
        <v/>
      </c>
      <c r="AC4814" s="16" t="str">
        <f>IFERROR(__xludf.DUMMYFUNCTION("""COMPUTED_VALUE"""),"")</f>
        <v/>
      </c>
    </row>
    <row r="4815">
      <c r="A4815" s="16" t="s">
        <v>87</v>
      </c>
      <c r="E4815" s="16" t="str">
        <f>IFERROR(__xludf.DUMMYFUNCTION("""COMPUTED_VALUE"""),"")</f>
        <v/>
      </c>
      <c r="G4815" s="18"/>
      <c r="H4815" s="16" t="s">
        <v>87</v>
      </c>
      <c r="I4815" s="16" t="s">
        <v>87</v>
      </c>
      <c r="J4815" s="19"/>
      <c r="L4815" s="16" t="str">
        <f>IFERROR(__xludf.DUMMYFUNCTION("""COMPUTED_VALUE"""),"")</f>
        <v/>
      </c>
      <c r="M4815" s="16" t="str">
        <f>IFERROR(__xludf.DUMMYFUNCTION("""COMPUTED_VALUE"""),"")</f>
        <v/>
      </c>
      <c r="U4815" s="16" t="s">
        <v>87</v>
      </c>
      <c r="V4815" s="16" t="str">
        <f>IFERROR(__xludf.DUMMYFUNCTION("""COMPUTED_VALUE"""),"")</f>
        <v/>
      </c>
      <c r="W4815" s="16" t="str">
        <f>IFERROR(__xludf.DUMMYFUNCTION("""COMPUTED_VALUE"""),"")</f>
        <v/>
      </c>
      <c r="X4815" s="16" t="str">
        <f>IFERROR(__xludf.DUMMYFUNCTION("""COMPUTED_VALUE"""),"")</f>
        <v/>
      </c>
      <c r="AC4815" s="16" t="str">
        <f>IFERROR(__xludf.DUMMYFUNCTION("""COMPUTED_VALUE"""),"")</f>
        <v/>
      </c>
    </row>
    <row r="4816">
      <c r="A4816" s="16" t="s">
        <v>87</v>
      </c>
      <c r="E4816" s="16" t="str">
        <f>IFERROR(__xludf.DUMMYFUNCTION("""COMPUTED_VALUE"""),"")</f>
        <v/>
      </c>
      <c r="G4816" s="18"/>
      <c r="H4816" s="16" t="s">
        <v>87</v>
      </c>
      <c r="I4816" s="16" t="s">
        <v>87</v>
      </c>
      <c r="J4816" s="19"/>
      <c r="L4816" s="16" t="str">
        <f>IFERROR(__xludf.DUMMYFUNCTION("""COMPUTED_VALUE"""),"")</f>
        <v/>
      </c>
      <c r="M4816" s="16" t="str">
        <f>IFERROR(__xludf.DUMMYFUNCTION("""COMPUTED_VALUE"""),"")</f>
        <v/>
      </c>
      <c r="U4816" s="16" t="s">
        <v>87</v>
      </c>
      <c r="V4816" s="16" t="str">
        <f>IFERROR(__xludf.DUMMYFUNCTION("""COMPUTED_VALUE"""),"")</f>
        <v/>
      </c>
      <c r="W4816" s="16" t="str">
        <f>IFERROR(__xludf.DUMMYFUNCTION("""COMPUTED_VALUE"""),"")</f>
        <v/>
      </c>
      <c r="X4816" s="16" t="str">
        <f>IFERROR(__xludf.DUMMYFUNCTION("""COMPUTED_VALUE"""),"")</f>
        <v/>
      </c>
      <c r="AC4816" s="16" t="str">
        <f>IFERROR(__xludf.DUMMYFUNCTION("""COMPUTED_VALUE"""),"")</f>
        <v/>
      </c>
    </row>
    <row r="4817">
      <c r="A4817" s="16" t="s">
        <v>87</v>
      </c>
      <c r="E4817" s="16" t="str">
        <f>IFERROR(__xludf.DUMMYFUNCTION("""COMPUTED_VALUE"""),"")</f>
        <v/>
      </c>
      <c r="G4817" s="18"/>
      <c r="H4817" s="16" t="s">
        <v>87</v>
      </c>
      <c r="I4817" s="16" t="s">
        <v>87</v>
      </c>
      <c r="J4817" s="19"/>
      <c r="L4817" s="16" t="str">
        <f>IFERROR(__xludf.DUMMYFUNCTION("""COMPUTED_VALUE"""),"")</f>
        <v/>
      </c>
      <c r="M4817" s="16" t="str">
        <f>IFERROR(__xludf.DUMMYFUNCTION("""COMPUTED_VALUE"""),"")</f>
        <v/>
      </c>
      <c r="U4817" s="16" t="s">
        <v>87</v>
      </c>
      <c r="V4817" s="16" t="str">
        <f>IFERROR(__xludf.DUMMYFUNCTION("""COMPUTED_VALUE"""),"")</f>
        <v/>
      </c>
      <c r="W4817" s="16" t="str">
        <f>IFERROR(__xludf.DUMMYFUNCTION("""COMPUTED_VALUE"""),"")</f>
        <v/>
      </c>
      <c r="X4817" s="16" t="str">
        <f>IFERROR(__xludf.DUMMYFUNCTION("""COMPUTED_VALUE"""),"")</f>
        <v/>
      </c>
      <c r="AC4817" s="16" t="str">
        <f>IFERROR(__xludf.DUMMYFUNCTION("""COMPUTED_VALUE"""),"")</f>
        <v/>
      </c>
    </row>
    <row r="4818">
      <c r="A4818" s="16" t="s">
        <v>87</v>
      </c>
      <c r="E4818" s="16" t="str">
        <f>IFERROR(__xludf.DUMMYFUNCTION("""COMPUTED_VALUE"""),"")</f>
        <v/>
      </c>
      <c r="G4818" s="18"/>
      <c r="H4818" s="16" t="s">
        <v>87</v>
      </c>
      <c r="I4818" s="16" t="s">
        <v>87</v>
      </c>
      <c r="J4818" s="19"/>
      <c r="L4818" s="16" t="str">
        <f>IFERROR(__xludf.DUMMYFUNCTION("""COMPUTED_VALUE"""),"")</f>
        <v/>
      </c>
      <c r="M4818" s="16" t="str">
        <f>IFERROR(__xludf.DUMMYFUNCTION("""COMPUTED_VALUE"""),"")</f>
        <v/>
      </c>
      <c r="U4818" s="16" t="s">
        <v>87</v>
      </c>
      <c r="V4818" s="16" t="str">
        <f>IFERROR(__xludf.DUMMYFUNCTION("""COMPUTED_VALUE"""),"")</f>
        <v/>
      </c>
      <c r="W4818" s="16" t="str">
        <f>IFERROR(__xludf.DUMMYFUNCTION("""COMPUTED_VALUE"""),"")</f>
        <v/>
      </c>
      <c r="X4818" s="16" t="str">
        <f>IFERROR(__xludf.DUMMYFUNCTION("""COMPUTED_VALUE"""),"")</f>
        <v/>
      </c>
      <c r="AC4818" s="16" t="str">
        <f>IFERROR(__xludf.DUMMYFUNCTION("""COMPUTED_VALUE"""),"")</f>
        <v/>
      </c>
    </row>
    <row r="4819">
      <c r="A4819" s="16" t="s">
        <v>87</v>
      </c>
      <c r="E4819" s="16" t="str">
        <f>IFERROR(__xludf.DUMMYFUNCTION("""COMPUTED_VALUE"""),"")</f>
        <v/>
      </c>
      <c r="G4819" s="18"/>
      <c r="H4819" s="16" t="s">
        <v>87</v>
      </c>
      <c r="I4819" s="16" t="s">
        <v>87</v>
      </c>
      <c r="J4819" s="19"/>
      <c r="L4819" s="16" t="str">
        <f>IFERROR(__xludf.DUMMYFUNCTION("""COMPUTED_VALUE"""),"")</f>
        <v/>
      </c>
      <c r="M4819" s="16" t="str">
        <f>IFERROR(__xludf.DUMMYFUNCTION("""COMPUTED_VALUE"""),"")</f>
        <v/>
      </c>
      <c r="U4819" s="16" t="s">
        <v>87</v>
      </c>
      <c r="V4819" s="16" t="str">
        <f>IFERROR(__xludf.DUMMYFUNCTION("""COMPUTED_VALUE"""),"")</f>
        <v/>
      </c>
      <c r="W4819" s="16" t="str">
        <f>IFERROR(__xludf.DUMMYFUNCTION("""COMPUTED_VALUE"""),"")</f>
        <v/>
      </c>
      <c r="X4819" s="16" t="str">
        <f>IFERROR(__xludf.DUMMYFUNCTION("""COMPUTED_VALUE"""),"")</f>
        <v/>
      </c>
      <c r="AC4819" s="16" t="str">
        <f>IFERROR(__xludf.DUMMYFUNCTION("""COMPUTED_VALUE"""),"")</f>
        <v/>
      </c>
    </row>
    <row r="4820">
      <c r="A4820" s="16" t="s">
        <v>87</v>
      </c>
      <c r="E4820" s="16" t="str">
        <f>IFERROR(__xludf.DUMMYFUNCTION("""COMPUTED_VALUE"""),"")</f>
        <v/>
      </c>
      <c r="G4820" s="18"/>
      <c r="H4820" s="16" t="s">
        <v>87</v>
      </c>
      <c r="I4820" s="16" t="s">
        <v>87</v>
      </c>
      <c r="J4820" s="19"/>
      <c r="L4820" s="16" t="str">
        <f>IFERROR(__xludf.DUMMYFUNCTION("""COMPUTED_VALUE"""),"")</f>
        <v/>
      </c>
      <c r="M4820" s="16" t="str">
        <f>IFERROR(__xludf.DUMMYFUNCTION("""COMPUTED_VALUE"""),"")</f>
        <v/>
      </c>
      <c r="U4820" s="16" t="s">
        <v>87</v>
      </c>
      <c r="V4820" s="16" t="str">
        <f>IFERROR(__xludf.DUMMYFUNCTION("""COMPUTED_VALUE"""),"")</f>
        <v/>
      </c>
      <c r="W4820" s="16" t="str">
        <f>IFERROR(__xludf.DUMMYFUNCTION("""COMPUTED_VALUE"""),"")</f>
        <v/>
      </c>
      <c r="X4820" s="16" t="str">
        <f>IFERROR(__xludf.DUMMYFUNCTION("""COMPUTED_VALUE"""),"")</f>
        <v/>
      </c>
      <c r="AC4820" s="16" t="str">
        <f>IFERROR(__xludf.DUMMYFUNCTION("""COMPUTED_VALUE"""),"")</f>
        <v/>
      </c>
    </row>
    <row r="4821">
      <c r="A4821" s="16" t="s">
        <v>87</v>
      </c>
      <c r="E4821" s="16" t="str">
        <f>IFERROR(__xludf.DUMMYFUNCTION("""COMPUTED_VALUE"""),"")</f>
        <v/>
      </c>
      <c r="G4821" s="18"/>
      <c r="H4821" s="16" t="s">
        <v>87</v>
      </c>
      <c r="I4821" s="16" t="s">
        <v>87</v>
      </c>
      <c r="J4821" s="19"/>
      <c r="L4821" s="16" t="str">
        <f>IFERROR(__xludf.DUMMYFUNCTION("""COMPUTED_VALUE"""),"")</f>
        <v/>
      </c>
      <c r="M4821" s="16" t="str">
        <f>IFERROR(__xludf.DUMMYFUNCTION("""COMPUTED_VALUE"""),"")</f>
        <v/>
      </c>
      <c r="U4821" s="16" t="s">
        <v>87</v>
      </c>
      <c r="V4821" s="16" t="str">
        <f>IFERROR(__xludf.DUMMYFUNCTION("""COMPUTED_VALUE"""),"")</f>
        <v/>
      </c>
      <c r="W4821" s="16" t="str">
        <f>IFERROR(__xludf.DUMMYFUNCTION("""COMPUTED_VALUE"""),"")</f>
        <v/>
      </c>
      <c r="X4821" s="16" t="str">
        <f>IFERROR(__xludf.DUMMYFUNCTION("""COMPUTED_VALUE"""),"")</f>
        <v/>
      </c>
      <c r="AC4821" s="16" t="str">
        <f>IFERROR(__xludf.DUMMYFUNCTION("""COMPUTED_VALUE"""),"")</f>
        <v/>
      </c>
    </row>
    <row r="4822">
      <c r="A4822" s="16" t="s">
        <v>87</v>
      </c>
      <c r="E4822" s="16" t="str">
        <f>IFERROR(__xludf.DUMMYFUNCTION("""COMPUTED_VALUE"""),"")</f>
        <v/>
      </c>
      <c r="G4822" s="18"/>
      <c r="H4822" s="16" t="s">
        <v>87</v>
      </c>
      <c r="I4822" s="16" t="s">
        <v>87</v>
      </c>
      <c r="J4822" s="19"/>
      <c r="L4822" s="16" t="str">
        <f>IFERROR(__xludf.DUMMYFUNCTION("""COMPUTED_VALUE"""),"")</f>
        <v/>
      </c>
      <c r="M4822" s="16" t="str">
        <f>IFERROR(__xludf.DUMMYFUNCTION("""COMPUTED_VALUE"""),"")</f>
        <v/>
      </c>
      <c r="U4822" s="16" t="s">
        <v>87</v>
      </c>
      <c r="V4822" s="16" t="str">
        <f>IFERROR(__xludf.DUMMYFUNCTION("""COMPUTED_VALUE"""),"")</f>
        <v/>
      </c>
      <c r="W4822" s="16" t="str">
        <f>IFERROR(__xludf.DUMMYFUNCTION("""COMPUTED_VALUE"""),"")</f>
        <v/>
      </c>
      <c r="X4822" s="16" t="str">
        <f>IFERROR(__xludf.DUMMYFUNCTION("""COMPUTED_VALUE"""),"")</f>
        <v/>
      </c>
      <c r="AC4822" s="16" t="str">
        <f>IFERROR(__xludf.DUMMYFUNCTION("""COMPUTED_VALUE"""),"")</f>
        <v/>
      </c>
    </row>
    <row r="4823">
      <c r="A4823" s="16" t="s">
        <v>87</v>
      </c>
      <c r="E4823" s="16" t="str">
        <f>IFERROR(__xludf.DUMMYFUNCTION("""COMPUTED_VALUE"""),"")</f>
        <v/>
      </c>
      <c r="G4823" s="18"/>
      <c r="H4823" s="16" t="s">
        <v>87</v>
      </c>
      <c r="I4823" s="16" t="s">
        <v>87</v>
      </c>
      <c r="J4823" s="19"/>
      <c r="L4823" s="16" t="str">
        <f>IFERROR(__xludf.DUMMYFUNCTION("""COMPUTED_VALUE"""),"")</f>
        <v/>
      </c>
      <c r="M4823" s="16" t="str">
        <f>IFERROR(__xludf.DUMMYFUNCTION("""COMPUTED_VALUE"""),"")</f>
        <v/>
      </c>
      <c r="U4823" s="16" t="s">
        <v>87</v>
      </c>
      <c r="V4823" s="16" t="str">
        <f>IFERROR(__xludf.DUMMYFUNCTION("""COMPUTED_VALUE"""),"")</f>
        <v/>
      </c>
      <c r="W4823" s="16" t="str">
        <f>IFERROR(__xludf.DUMMYFUNCTION("""COMPUTED_VALUE"""),"")</f>
        <v/>
      </c>
      <c r="X4823" s="16" t="str">
        <f>IFERROR(__xludf.DUMMYFUNCTION("""COMPUTED_VALUE"""),"")</f>
        <v/>
      </c>
      <c r="AC4823" s="16" t="str">
        <f>IFERROR(__xludf.DUMMYFUNCTION("""COMPUTED_VALUE"""),"")</f>
        <v/>
      </c>
    </row>
    <row r="4824">
      <c r="A4824" s="16" t="s">
        <v>87</v>
      </c>
      <c r="E4824" s="16" t="str">
        <f>IFERROR(__xludf.DUMMYFUNCTION("""COMPUTED_VALUE"""),"")</f>
        <v/>
      </c>
      <c r="G4824" s="18"/>
      <c r="H4824" s="16" t="s">
        <v>87</v>
      </c>
      <c r="I4824" s="16" t="s">
        <v>87</v>
      </c>
      <c r="J4824" s="19"/>
      <c r="L4824" s="16" t="str">
        <f>IFERROR(__xludf.DUMMYFUNCTION("""COMPUTED_VALUE"""),"")</f>
        <v/>
      </c>
      <c r="M4824" s="16" t="str">
        <f>IFERROR(__xludf.DUMMYFUNCTION("""COMPUTED_VALUE"""),"")</f>
        <v/>
      </c>
      <c r="U4824" s="16" t="s">
        <v>87</v>
      </c>
      <c r="V4824" s="16" t="str">
        <f>IFERROR(__xludf.DUMMYFUNCTION("""COMPUTED_VALUE"""),"")</f>
        <v/>
      </c>
      <c r="W4824" s="16" t="str">
        <f>IFERROR(__xludf.DUMMYFUNCTION("""COMPUTED_VALUE"""),"")</f>
        <v/>
      </c>
      <c r="X4824" s="16" t="str">
        <f>IFERROR(__xludf.DUMMYFUNCTION("""COMPUTED_VALUE"""),"")</f>
        <v/>
      </c>
      <c r="AC4824" s="16" t="str">
        <f>IFERROR(__xludf.DUMMYFUNCTION("""COMPUTED_VALUE"""),"")</f>
        <v/>
      </c>
    </row>
    <row r="4825">
      <c r="A4825" s="16" t="s">
        <v>87</v>
      </c>
      <c r="E4825" s="16" t="str">
        <f>IFERROR(__xludf.DUMMYFUNCTION("""COMPUTED_VALUE"""),"")</f>
        <v/>
      </c>
      <c r="G4825" s="18"/>
      <c r="H4825" s="16" t="s">
        <v>87</v>
      </c>
      <c r="I4825" s="16" t="s">
        <v>87</v>
      </c>
      <c r="J4825" s="19"/>
      <c r="L4825" s="16" t="str">
        <f>IFERROR(__xludf.DUMMYFUNCTION("""COMPUTED_VALUE"""),"")</f>
        <v/>
      </c>
      <c r="M4825" s="16" t="str">
        <f>IFERROR(__xludf.DUMMYFUNCTION("""COMPUTED_VALUE"""),"")</f>
        <v/>
      </c>
      <c r="U4825" s="16" t="s">
        <v>87</v>
      </c>
      <c r="V4825" s="16" t="str">
        <f>IFERROR(__xludf.DUMMYFUNCTION("""COMPUTED_VALUE"""),"")</f>
        <v/>
      </c>
      <c r="W4825" s="16" t="str">
        <f>IFERROR(__xludf.DUMMYFUNCTION("""COMPUTED_VALUE"""),"")</f>
        <v/>
      </c>
      <c r="X4825" s="16" t="str">
        <f>IFERROR(__xludf.DUMMYFUNCTION("""COMPUTED_VALUE"""),"")</f>
        <v/>
      </c>
      <c r="AC4825" s="16" t="str">
        <f>IFERROR(__xludf.DUMMYFUNCTION("""COMPUTED_VALUE"""),"")</f>
        <v/>
      </c>
    </row>
    <row r="4826">
      <c r="A4826" s="16" t="s">
        <v>87</v>
      </c>
      <c r="E4826" s="16" t="str">
        <f>IFERROR(__xludf.DUMMYFUNCTION("""COMPUTED_VALUE"""),"")</f>
        <v/>
      </c>
      <c r="G4826" s="18"/>
      <c r="H4826" s="16" t="s">
        <v>87</v>
      </c>
      <c r="I4826" s="16" t="s">
        <v>87</v>
      </c>
      <c r="J4826" s="19"/>
      <c r="L4826" s="16" t="str">
        <f>IFERROR(__xludf.DUMMYFUNCTION("""COMPUTED_VALUE"""),"")</f>
        <v/>
      </c>
      <c r="M4826" s="16" t="str">
        <f>IFERROR(__xludf.DUMMYFUNCTION("""COMPUTED_VALUE"""),"")</f>
        <v/>
      </c>
      <c r="U4826" s="16" t="s">
        <v>87</v>
      </c>
      <c r="V4826" s="16" t="str">
        <f>IFERROR(__xludf.DUMMYFUNCTION("""COMPUTED_VALUE"""),"")</f>
        <v/>
      </c>
      <c r="W4826" s="16" t="str">
        <f>IFERROR(__xludf.DUMMYFUNCTION("""COMPUTED_VALUE"""),"")</f>
        <v/>
      </c>
      <c r="X4826" s="16" t="str">
        <f>IFERROR(__xludf.DUMMYFUNCTION("""COMPUTED_VALUE"""),"")</f>
        <v/>
      </c>
      <c r="AC4826" s="16" t="str">
        <f>IFERROR(__xludf.DUMMYFUNCTION("""COMPUTED_VALUE"""),"")</f>
        <v/>
      </c>
    </row>
    <row r="4827">
      <c r="A4827" s="16" t="s">
        <v>87</v>
      </c>
      <c r="E4827" s="16" t="str">
        <f>IFERROR(__xludf.DUMMYFUNCTION("""COMPUTED_VALUE"""),"")</f>
        <v/>
      </c>
      <c r="G4827" s="18"/>
      <c r="H4827" s="16" t="s">
        <v>87</v>
      </c>
      <c r="I4827" s="16" t="s">
        <v>87</v>
      </c>
      <c r="J4827" s="19"/>
      <c r="L4827" s="16" t="str">
        <f>IFERROR(__xludf.DUMMYFUNCTION("""COMPUTED_VALUE"""),"")</f>
        <v/>
      </c>
      <c r="M4827" s="16" t="str">
        <f>IFERROR(__xludf.DUMMYFUNCTION("""COMPUTED_VALUE"""),"")</f>
        <v/>
      </c>
      <c r="U4827" s="16" t="s">
        <v>87</v>
      </c>
      <c r="V4827" s="16" t="str">
        <f>IFERROR(__xludf.DUMMYFUNCTION("""COMPUTED_VALUE"""),"")</f>
        <v/>
      </c>
      <c r="W4827" s="16" t="str">
        <f>IFERROR(__xludf.DUMMYFUNCTION("""COMPUTED_VALUE"""),"")</f>
        <v/>
      </c>
      <c r="X4827" s="16" t="str">
        <f>IFERROR(__xludf.DUMMYFUNCTION("""COMPUTED_VALUE"""),"")</f>
        <v/>
      </c>
      <c r="AC4827" s="16" t="str">
        <f>IFERROR(__xludf.DUMMYFUNCTION("""COMPUTED_VALUE"""),"")</f>
        <v/>
      </c>
    </row>
    <row r="4828">
      <c r="A4828" s="16" t="s">
        <v>87</v>
      </c>
      <c r="E4828" s="16" t="str">
        <f>IFERROR(__xludf.DUMMYFUNCTION("""COMPUTED_VALUE"""),"")</f>
        <v/>
      </c>
      <c r="G4828" s="18"/>
      <c r="H4828" s="16" t="s">
        <v>87</v>
      </c>
      <c r="I4828" s="16" t="s">
        <v>87</v>
      </c>
      <c r="J4828" s="19"/>
      <c r="L4828" s="16" t="str">
        <f>IFERROR(__xludf.DUMMYFUNCTION("""COMPUTED_VALUE"""),"")</f>
        <v/>
      </c>
      <c r="M4828" s="16" t="str">
        <f>IFERROR(__xludf.DUMMYFUNCTION("""COMPUTED_VALUE"""),"")</f>
        <v/>
      </c>
      <c r="U4828" s="16" t="s">
        <v>87</v>
      </c>
      <c r="V4828" s="16" t="str">
        <f>IFERROR(__xludf.DUMMYFUNCTION("""COMPUTED_VALUE"""),"")</f>
        <v/>
      </c>
      <c r="W4828" s="16" t="str">
        <f>IFERROR(__xludf.DUMMYFUNCTION("""COMPUTED_VALUE"""),"")</f>
        <v/>
      </c>
      <c r="X4828" s="16" t="str">
        <f>IFERROR(__xludf.DUMMYFUNCTION("""COMPUTED_VALUE"""),"")</f>
        <v/>
      </c>
      <c r="AC4828" s="16" t="str">
        <f>IFERROR(__xludf.DUMMYFUNCTION("""COMPUTED_VALUE"""),"")</f>
        <v/>
      </c>
    </row>
    <row r="4829">
      <c r="A4829" s="16" t="s">
        <v>87</v>
      </c>
      <c r="E4829" s="16" t="str">
        <f>IFERROR(__xludf.DUMMYFUNCTION("""COMPUTED_VALUE"""),"")</f>
        <v/>
      </c>
      <c r="G4829" s="18"/>
      <c r="H4829" s="16" t="s">
        <v>87</v>
      </c>
      <c r="I4829" s="16" t="s">
        <v>87</v>
      </c>
      <c r="J4829" s="19"/>
      <c r="L4829" s="16" t="str">
        <f>IFERROR(__xludf.DUMMYFUNCTION("""COMPUTED_VALUE"""),"")</f>
        <v/>
      </c>
      <c r="M4829" s="16" t="str">
        <f>IFERROR(__xludf.DUMMYFUNCTION("""COMPUTED_VALUE"""),"")</f>
        <v/>
      </c>
      <c r="U4829" s="16" t="s">
        <v>87</v>
      </c>
      <c r="V4829" s="16" t="str">
        <f>IFERROR(__xludf.DUMMYFUNCTION("""COMPUTED_VALUE"""),"")</f>
        <v/>
      </c>
      <c r="W4829" s="16" t="str">
        <f>IFERROR(__xludf.DUMMYFUNCTION("""COMPUTED_VALUE"""),"")</f>
        <v/>
      </c>
      <c r="X4829" s="16" t="str">
        <f>IFERROR(__xludf.DUMMYFUNCTION("""COMPUTED_VALUE"""),"")</f>
        <v/>
      </c>
      <c r="AC4829" s="16" t="str">
        <f>IFERROR(__xludf.DUMMYFUNCTION("""COMPUTED_VALUE"""),"")</f>
        <v/>
      </c>
    </row>
    <row r="4830">
      <c r="A4830" s="16" t="s">
        <v>87</v>
      </c>
      <c r="E4830" s="16" t="str">
        <f>IFERROR(__xludf.DUMMYFUNCTION("""COMPUTED_VALUE"""),"")</f>
        <v/>
      </c>
      <c r="G4830" s="18"/>
      <c r="H4830" s="16" t="s">
        <v>87</v>
      </c>
      <c r="I4830" s="16" t="s">
        <v>87</v>
      </c>
      <c r="J4830" s="19"/>
      <c r="L4830" s="16" t="str">
        <f>IFERROR(__xludf.DUMMYFUNCTION("""COMPUTED_VALUE"""),"")</f>
        <v/>
      </c>
      <c r="M4830" s="16" t="str">
        <f>IFERROR(__xludf.DUMMYFUNCTION("""COMPUTED_VALUE"""),"")</f>
        <v/>
      </c>
      <c r="U4830" s="16" t="s">
        <v>87</v>
      </c>
      <c r="V4830" s="16" t="str">
        <f>IFERROR(__xludf.DUMMYFUNCTION("""COMPUTED_VALUE"""),"")</f>
        <v/>
      </c>
      <c r="W4830" s="16" t="str">
        <f>IFERROR(__xludf.DUMMYFUNCTION("""COMPUTED_VALUE"""),"")</f>
        <v/>
      </c>
      <c r="X4830" s="16" t="str">
        <f>IFERROR(__xludf.DUMMYFUNCTION("""COMPUTED_VALUE"""),"")</f>
        <v/>
      </c>
      <c r="AC4830" s="16" t="str">
        <f>IFERROR(__xludf.DUMMYFUNCTION("""COMPUTED_VALUE"""),"")</f>
        <v/>
      </c>
    </row>
    <row r="4831">
      <c r="A4831" s="16" t="s">
        <v>87</v>
      </c>
      <c r="E4831" s="16" t="str">
        <f>IFERROR(__xludf.DUMMYFUNCTION("""COMPUTED_VALUE"""),"")</f>
        <v/>
      </c>
      <c r="G4831" s="18"/>
      <c r="H4831" s="16" t="s">
        <v>87</v>
      </c>
      <c r="I4831" s="16" t="s">
        <v>87</v>
      </c>
      <c r="J4831" s="19"/>
      <c r="L4831" s="16" t="str">
        <f>IFERROR(__xludf.DUMMYFUNCTION("""COMPUTED_VALUE"""),"")</f>
        <v/>
      </c>
      <c r="M4831" s="16" t="str">
        <f>IFERROR(__xludf.DUMMYFUNCTION("""COMPUTED_VALUE"""),"")</f>
        <v/>
      </c>
      <c r="U4831" s="16" t="s">
        <v>87</v>
      </c>
      <c r="V4831" s="16" t="str">
        <f>IFERROR(__xludf.DUMMYFUNCTION("""COMPUTED_VALUE"""),"")</f>
        <v/>
      </c>
      <c r="W4831" s="16" t="str">
        <f>IFERROR(__xludf.DUMMYFUNCTION("""COMPUTED_VALUE"""),"")</f>
        <v/>
      </c>
      <c r="X4831" s="16" t="str">
        <f>IFERROR(__xludf.DUMMYFUNCTION("""COMPUTED_VALUE"""),"")</f>
        <v/>
      </c>
      <c r="AC4831" s="16" t="str">
        <f>IFERROR(__xludf.DUMMYFUNCTION("""COMPUTED_VALUE"""),"")</f>
        <v/>
      </c>
    </row>
    <row r="4832">
      <c r="A4832" s="16" t="s">
        <v>87</v>
      </c>
      <c r="E4832" s="16" t="str">
        <f>IFERROR(__xludf.DUMMYFUNCTION("""COMPUTED_VALUE"""),"")</f>
        <v/>
      </c>
      <c r="G4832" s="18"/>
      <c r="H4832" s="16" t="s">
        <v>87</v>
      </c>
      <c r="I4832" s="16" t="s">
        <v>87</v>
      </c>
      <c r="J4832" s="19"/>
      <c r="L4832" s="16" t="str">
        <f>IFERROR(__xludf.DUMMYFUNCTION("""COMPUTED_VALUE"""),"")</f>
        <v/>
      </c>
      <c r="M4832" s="16" t="str">
        <f>IFERROR(__xludf.DUMMYFUNCTION("""COMPUTED_VALUE"""),"")</f>
        <v/>
      </c>
      <c r="U4832" s="16" t="s">
        <v>87</v>
      </c>
      <c r="V4832" s="16" t="str">
        <f>IFERROR(__xludf.DUMMYFUNCTION("""COMPUTED_VALUE"""),"")</f>
        <v/>
      </c>
      <c r="W4832" s="16" t="str">
        <f>IFERROR(__xludf.DUMMYFUNCTION("""COMPUTED_VALUE"""),"")</f>
        <v/>
      </c>
      <c r="X4832" s="16" t="str">
        <f>IFERROR(__xludf.DUMMYFUNCTION("""COMPUTED_VALUE"""),"")</f>
        <v/>
      </c>
      <c r="AC4832" s="16" t="str">
        <f>IFERROR(__xludf.DUMMYFUNCTION("""COMPUTED_VALUE"""),"")</f>
        <v/>
      </c>
    </row>
    <row r="4833">
      <c r="A4833" s="16" t="s">
        <v>87</v>
      </c>
      <c r="E4833" s="16" t="str">
        <f>IFERROR(__xludf.DUMMYFUNCTION("""COMPUTED_VALUE"""),"")</f>
        <v/>
      </c>
      <c r="G4833" s="18"/>
      <c r="H4833" s="16" t="s">
        <v>87</v>
      </c>
      <c r="I4833" s="16" t="s">
        <v>87</v>
      </c>
      <c r="J4833" s="19"/>
      <c r="L4833" s="16" t="str">
        <f>IFERROR(__xludf.DUMMYFUNCTION("""COMPUTED_VALUE"""),"")</f>
        <v/>
      </c>
      <c r="M4833" s="16" t="str">
        <f>IFERROR(__xludf.DUMMYFUNCTION("""COMPUTED_VALUE"""),"")</f>
        <v/>
      </c>
      <c r="U4833" s="16" t="s">
        <v>87</v>
      </c>
      <c r="V4833" s="16" t="str">
        <f>IFERROR(__xludf.DUMMYFUNCTION("""COMPUTED_VALUE"""),"")</f>
        <v/>
      </c>
      <c r="W4833" s="16" t="str">
        <f>IFERROR(__xludf.DUMMYFUNCTION("""COMPUTED_VALUE"""),"")</f>
        <v/>
      </c>
      <c r="X4833" s="16" t="str">
        <f>IFERROR(__xludf.DUMMYFUNCTION("""COMPUTED_VALUE"""),"")</f>
        <v/>
      </c>
      <c r="AC4833" s="16" t="str">
        <f>IFERROR(__xludf.DUMMYFUNCTION("""COMPUTED_VALUE"""),"")</f>
        <v/>
      </c>
    </row>
    <row r="4834">
      <c r="A4834" s="16" t="s">
        <v>87</v>
      </c>
      <c r="E4834" s="16" t="str">
        <f>IFERROR(__xludf.DUMMYFUNCTION("""COMPUTED_VALUE"""),"")</f>
        <v/>
      </c>
      <c r="G4834" s="18"/>
      <c r="H4834" s="16" t="s">
        <v>87</v>
      </c>
      <c r="I4834" s="16" t="s">
        <v>87</v>
      </c>
      <c r="J4834" s="19"/>
      <c r="L4834" s="16" t="str">
        <f>IFERROR(__xludf.DUMMYFUNCTION("""COMPUTED_VALUE"""),"")</f>
        <v/>
      </c>
      <c r="M4834" s="16" t="str">
        <f>IFERROR(__xludf.DUMMYFUNCTION("""COMPUTED_VALUE"""),"")</f>
        <v/>
      </c>
      <c r="U4834" s="16" t="s">
        <v>87</v>
      </c>
      <c r="V4834" s="16" t="str">
        <f>IFERROR(__xludf.DUMMYFUNCTION("""COMPUTED_VALUE"""),"")</f>
        <v/>
      </c>
      <c r="W4834" s="16" t="str">
        <f>IFERROR(__xludf.DUMMYFUNCTION("""COMPUTED_VALUE"""),"")</f>
        <v/>
      </c>
      <c r="X4834" s="16" t="str">
        <f>IFERROR(__xludf.DUMMYFUNCTION("""COMPUTED_VALUE"""),"")</f>
        <v/>
      </c>
      <c r="AC4834" s="16" t="str">
        <f>IFERROR(__xludf.DUMMYFUNCTION("""COMPUTED_VALUE"""),"")</f>
        <v/>
      </c>
    </row>
    <row r="4835">
      <c r="A4835" s="16" t="s">
        <v>87</v>
      </c>
      <c r="E4835" s="16" t="str">
        <f>IFERROR(__xludf.DUMMYFUNCTION("""COMPUTED_VALUE"""),"")</f>
        <v/>
      </c>
      <c r="G4835" s="18"/>
      <c r="H4835" s="16" t="s">
        <v>87</v>
      </c>
      <c r="I4835" s="16" t="s">
        <v>87</v>
      </c>
      <c r="J4835" s="19"/>
      <c r="L4835" s="16" t="str">
        <f>IFERROR(__xludf.DUMMYFUNCTION("""COMPUTED_VALUE"""),"")</f>
        <v/>
      </c>
      <c r="M4835" s="16" t="str">
        <f>IFERROR(__xludf.DUMMYFUNCTION("""COMPUTED_VALUE"""),"")</f>
        <v/>
      </c>
      <c r="U4835" s="16" t="s">
        <v>87</v>
      </c>
      <c r="V4835" s="16" t="str">
        <f>IFERROR(__xludf.DUMMYFUNCTION("""COMPUTED_VALUE"""),"")</f>
        <v/>
      </c>
      <c r="W4835" s="16" t="str">
        <f>IFERROR(__xludf.DUMMYFUNCTION("""COMPUTED_VALUE"""),"")</f>
        <v/>
      </c>
      <c r="X4835" s="16" t="str">
        <f>IFERROR(__xludf.DUMMYFUNCTION("""COMPUTED_VALUE"""),"")</f>
        <v/>
      </c>
      <c r="AC4835" s="16" t="str">
        <f>IFERROR(__xludf.DUMMYFUNCTION("""COMPUTED_VALUE"""),"")</f>
        <v/>
      </c>
    </row>
    <row r="4836">
      <c r="A4836" s="16" t="s">
        <v>87</v>
      </c>
      <c r="E4836" s="16" t="str">
        <f>IFERROR(__xludf.DUMMYFUNCTION("""COMPUTED_VALUE"""),"")</f>
        <v/>
      </c>
      <c r="G4836" s="18"/>
      <c r="H4836" s="16" t="s">
        <v>87</v>
      </c>
      <c r="I4836" s="16" t="s">
        <v>87</v>
      </c>
      <c r="J4836" s="19"/>
      <c r="L4836" s="16" t="str">
        <f>IFERROR(__xludf.DUMMYFUNCTION("""COMPUTED_VALUE"""),"")</f>
        <v/>
      </c>
      <c r="M4836" s="16" t="str">
        <f>IFERROR(__xludf.DUMMYFUNCTION("""COMPUTED_VALUE"""),"")</f>
        <v/>
      </c>
      <c r="U4836" s="16" t="s">
        <v>87</v>
      </c>
      <c r="V4836" s="16" t="str">
        <f>IFERROR(__xludf.DUMMYFUNCTION("""COMPUTED_VALUE"""),"")</f>
        <v/>
      </c>
      <c r="W4836" s="16" t="str">
        <f>IFERROR(__xludf.DUMMYFUNCTION("""COMPUTED_VALUE"""),"")</f>
        <v/>
      </c>
      <c r="X4836" s="16" t="str">
        <f>IFERROR(__xludf.DUMMYFUNCTION("""COMPUTED_VALUE"""),"")</f>
        <v/>
      </c>
      <c r="AC4836" s="16" t="str">
        <f>IFERROR(__xludf.DUMMYFUNCTION("""COMPUTED_VALUE"""),"")</f>
        <v/>
      </c>
    </row>
    <row r="4837">
      <c r="A4837" s="16" t="s">
        <v>87</v>
      </c>
      <c r="E4837" s="16" t="str">
        <f>IFERROR(__xludf.DUMMYFUNCTION("""COMPUTED_VALUE"""),"")</f>
        <v/>
      </c>
      <c r="G4837" s="18"/>
      <c r="H4837" s="16" t="s">
        <v>87</v>
      </c>
      <c r="I4837" s="16" t="s">
        <v>87</v>
      </c>
      <c r="J4837" s="19"/>
      <c r="L4837" s="16" t="str">
        <f>IFERROR(__xludf.DUMMYFUNCTION("""COMPUTED_VALUE"""),"")</f>
        <v/>
      </c>
      <c r="M4837" s="16" t="str">
        <f>IFERROR(__xludf.DUMMYFUNCTION("""COMPUTED_VALUE"""),"")</f>
        <v/>
      </c>
      <c r="U4837" s="16" t="s">
        <v>87</v>
      </c>
      <c r="V4837" s="16" t="str">
        <f>IFERROR(__xludf.DUMMYFUNCTION("""COMPUTED_VALUE"""),"")</f>
        <v/>
      </c>
      <c r="W4837" s="16" t="str">
        <f>IFERROR(__xludf.DUMMYFUNCTION("""COMPUTED_VALUE"""),"")</f>
        <v/>
      </c>
      <c r="X4837" s="16" t="str">
        <f>IFERROR(__xludf.DUMMYFUNCTION("""COMPUTED_VALUE"""),"")</f>
        <v/>
      </c>
      <c r="AC4837" s="16" t="str">
        <f>IFERROR(__xludf.DUMMYFUNCTION("""COMPUTED_VALUE"""),"")</f>
        <v/>
      </c>
    </row>
    <row r="4838">
      <c r="A4838" s="16" t="s">
        <v>87</v>
      </c>
      <c r="E4838" s="16" t="str">
        <f>IFERROR(__xludf.DUMMYFUNCTION("""COMPUTED_VALUE"""),"")</f>
        <v/>
      </c>
      <c r="G4838" s="18"/>
      <c r="H4838" s="16" t="s">
        <v>87</v>
      </c>
      <c r="I4838" s="16" t="s">
        <v>87</v>
      </c>
      <c r="J4838" s="19"/>
      <c r="L4838" s="16" t="str">
        <f>IFERROR(__xludf.DUMMYFUNCTION("""COMPUTED_VALUE"""),"")</f>
        <v/>
      </c>
      <c r="M4838" s="16" t="str">
        <f>IFERROR(__xludf.DUMMYFUNCTION("""COMPUTED_VALUE"""),"")</f>
        <v/>
      </c>
      <c r="U4838" s="16" t="s">
        <v>87</v>
      </c>
      <c r="V4838" s="16" t="str">
        <f>IFERROR(__xludf.DUMMYFUNCTION("""COMPUTED_VALUE"""),"")</f>
        <v/>
      </c>
      <c r="W4838" s="16" t="str">
        <f>IFERROR(__xludf.DUMMYFUNCTION("""COMPUTED_VALUE"""),"")</f>
        <v/>
      </c>
      <c r="X4838" s="16" t="str">
        <f>IFERROR(__xludf.DUMMYFUNCTION("""COMPUTED_VALUE"""),"")</f>
        <v/>
      </c>
      <c r="AC4838" s="16" t="str">
        <f>IFERROR(__xludf.DUMMYFUNCTION("""COMPUTED_VALUE"""),"")</f>
        <v/>
      </c>
    </row>
    <row r="4839">
      <c r="A4839" s="16" t="s">
        <v>87</v>
      </c>
      <c r="E4839" s="16" t="str">
        <f>IFERROR(__xludf.DUMMYFUNCTION("""COMPUTED_VALUE"""),"")</f>
        <v/>
      </c>
      <c r="G4839" s="18"/>
      <c r="H4839" s="16" t="s">
        <v>87</v>
      </c>
      <c r="I4839" s="16" t="s">
        <v>87</v>
      </c>
      <c r="J4839" s="19"/>
      <c r="L4839" s="16" t="str">
        <f>IFERROR(__xludf.DUMMYFUNCTION("""COMPUTED_VALUE"""),"")</f>
        <v/>
      </c>
      <c r="M4839" s="16" t="str">
        <f>IFERROR(__xludf.DUMMYFUNCTION("""COMPUTED_VALUE"""),"")</f>
        <v/>
      </c>
      <c r="U4839" s="16" t="s">
        <v>87</v>
      </c>
      <c r="V4839" s="16" t="str">
        <f>IFERROR(__xludf.DUMMYFUNCTION("""COMPUTED_VALUE"""),"")</f>
        <v/>
      </c>
      <c r="W4839" s="16" t="str">
        <f>IFERROR(__xludf.DUMMYFUNCTION("""COMPUTED_VALUE"""),"")</f>
        <v/>
      </c>
      <c r="X4839" s="16" t="str">
        <f>IFERROR(__xludf.DUMMYFUNCTION("""COMPUTED_VALUE"""),"")</f>
        <v/>
      </c>
      <c r="AC4839" s="16" t="str">
        <f>IFERROR(__xludf.DUMMYFUNCTION("""COMPUTED_VALUE"""),"")</f>
        <v/>
      </c>
    </row>
    <row r="4840">
      <c r="A4840" s="16" t="s">
        <v>87</v>
      </c>
      <c r="E4840" s="16" t="str">
        <f>IFERROR(__xludf.DUMMYFUNCTION("""COMPUTED_VALUE"""),"")</f>
        <v/>
      </c>
      <c r="G4840" s="18"/>
      <c r="H4840" s="16" t="s">
        <v>87</v>
      </c>
      <c r="I4840" s="16" t="s">
        <v>87</v>
      </c>
      <c r="J4840" s="19"/>
      <c r="L4840" s="16" t="str">
        <f>IFERROR(__xludf.DUMMYFUNCTION("""COMPUTED_VALUE"""),"")</f>
        <v/>
      </c>
      <c r="M4840" s="16" t="str">
        <f>IFERROR(__xludf.DUMMYFUNCTION("""COMPUTED_VALUE"""),"")</f>
        <v/>
      </c>
      <c r="U4840" s="16" t="s">
        <v>87</v>
      </c>
      <c r="V4840" s="16" t="str">
        <f>IFERROR(__xludf.DUMMYFUNCTION("""COMPUTED_VALUE"""),"")</f>
        <v/>
      </c>
      <c r="W4840" s="16" t="str">
        <f>IFERROR(__xludf.DUMMYFUNCTION("""COMPUTED_VALUE"""),"")</f>
        <v/>
      </c>
      <c r="X4840" s="16" t="str">
        <f>IFERROR(__xludf.DUMMYFUNCTION("""COMPUTED_VALUE"""),"")</f>
        <v/>
      </c>
      <c r="AC4840" s="16" t="str">
        <f>IFERROR(__xludf.DUMMYFUNCTION("""COMPUTED_VALUE"""),"")</f>
        <v/>
      </c>
    </row>
    <row r="4841">
      <c r="A4841" s="16" t="s">
        <v>87</v>
      </c>
      <c r="E4841" s="16" t="str">
        <f>IFERROR(__xludf.DUMMYFUNCTION("""COMPUTED_VALUE"""),"")</f>
        <v/>
      </c>
      <c r="G4841" s="18"/>
      <c r="H4841" s="16" t="s">
        <v>87</v>
      </c>
      <c r="I4841" s="16" t="s">
        <v>87</v>
      </c>
      <c r="J4841" s="19"/>
      <c r="L4841" s="16" t="str">
        <f>IFERROR(__xludf.DUMMYFUNCTION("""COMPUTED_VALUE"""),"")</f>
        <v/>
      </c>
      <c r="M4841" s="16" t="str">
        <f>IFERROR(__xludf.DUMMYFUNCTION("""COMPUTED_VALUE"""),"")</f>
        <v/>
      </c>
      <c r="U4841" s="16" t="s">
        <v>87</v>
      </c>
      <c r="V4841" s="16" t="str">
        <f>IFERROR(__xludf.DUMMYFUNCTION("""COMPUTED_VALUE"""),"")</f>
        <v/>
      </c>
      <c r="W4841" s="16" t="str">
        <f>IFERROR(__xludf.DUMMYFUNCTION("""COMPUTED_VALUE"""),"")</f>
        <v/>
      </c>
      <c r="X4841" s="16" t="str">
        <f>IFERROR(__xludf.DUMMYFUNCTION("""COMPUTED_VALUE"""),"")</f>
        <v/>
      </c>
      <c r="AC4841" s="16" t="str">
        <f>IFERROR(__xludf.DUMMYFUNCTION("""COMPUTED_VALUE"""),"")</f>
        <v/>
      </c>
    </row>
    <row r="4842">
      <c r="A4842" s="16" t="s">
        <v>87</v>
      </c>
      <c r="E4842" s="16" t="str">
        <f>IFERROR(__xludf.DUMMYFUNCTION("""COMPUTED_VALUE"""),"")</f>
        <v/>
      </c>
      <c r="G4842" s="18"/>
      <c r="H4842" s="16" t="s">
        <v>87</v>
      </c>
      <c r="I4842" s="16" t="s">
        <v>87</v>
      </c>
      <c r="J4842" s="19"/>
      <c r="L4842" s="16" t="str">
        <f>IFERROR(__xludf.DUMMYFUNCTION("""COMPUTED_VALUE"""),"")</f>
        <v/>
      </c>
      <c r="M4842" s="16" t="str">
        <f>IFERROR(__xludf.DUMMYFUNCTION("""COMPUTED_VALUE"""),"")</f>
        <v/>
      </c>
      <c r="U4842" s="16" t="s">
        <v>87</v>
      </c>
      <c r="V4842" s="16" t="str">
        <f>IFERROR(__xludf.DUMMYFUNCTION("""COMPUTED_VALUE"""),"")</f>
        <v/>
      </c>
      <c r="W4842" s="16" t="str">
        <f>IFERROR(__xludf.DUMMYFUNCTION("""COMPUTED_VALUE"""),"")</f>
        <v/>
      </c>
      <c r="X4842" s="16" t="str">
        <f>IFERROR(__xludf.DUMMYFUNCTION("""COMPUTED_VALUE"""),"")</f>
        <v/>
      </c>
      <c r="AC4842" s="16" t="str">
        <f>IFERROR(__xludf.DUMMYFUNCTION("""COMPUTED_VALUE"""),"")</f>
        <v/>
      </c>
    </row>
    <row r="4843">
      <c r="A4843" s="16" t="s">
        <v>87</v>
      </c>
      <c r="E4843" s="16" t="str">
        <f>IFERROR(__xludf.DUMMYFUNCTION("""COMPUTED_VALUE"""),"")</f>
        <v/>
      </c>
      <c r="G4843" s="18"/>
      <c r="H4843" s="16" t="s">
        <v>87</v>
      </c>
      <c r="I4843" s="16" t="s">
        <v>87</v>
      </c>
      <c r="J4843" s="19"/>
      <c r="L4843" s="16" t="str">
        <f>IFERROR(__xludf.DUMMYFUNCTION("""COMPUTED_VALUE"""),"")</f>
        <v/>
      </c>
      <c r="M4843" s="16" t="str">
        <f>IFERROR(__xludf.DUMMYFUNCTION("""COMPUTED_VALUE"""),"")</f>
        <v/>
      </c>
      <c r="U4843" s="16" t="s">
        <v>87</v>
      </c>
      <c r="V4843" s="16" t="str">
        <f>IFERROR(__xludf.DUMMYFUNCTION("""COMPUTED_VALUE"""),"")</f>
        <v/>
      </c>
      <c r="W4843" s="16" t="str">
        <f>IFERROR(__xludf.DUMMYFUNCTION("""COMPUTED_VALUE"""),"")</f>
        <v/>
      </c>
      <c r="X4843" s="16" t="str">
        <f>IFERROR(__xludf.DUMMYFUNCTION("""COMPUTED_VALUE"""),"")</f>
        <v/>
      </c>
      <c r="AC4843" s="16" t="str">
        <f>IFERROR(__xludf.DUMMYFUNCTION("""COMPUTED_VALUE"""),"")</f>
        <v/>
      </c>
    </row>
    <row r="4844">
      <c r="A4844" s="16" t="s">
        <v>87</v>
      </c>
      <c r="E4844" s="16" t="str">
        <f>IFERROR(__xludf.DUMMYFUNCTION("""COMPUTED_VALUE"""),"")</f>
        <v/>
      </c>
      <c r="G4844" s="18"/>
      <c r="H4844" s="16" t="s">
        <v>87</v>
      </c>
      <c r="I4844" s="16" t="s">
        <v>87</v>
      </c>
      <c r="J4844" s="19"/>
      <c r="L4844" s="16" t="str">
        <f>IFERROR(__xludf.DUMMYFUNCTION("""COMPUTED_VALUE"""),"")</f>
        <v/>
      </c>
      <c r="M4844" s="16" t="str">
        <f>IFERROR(__xludf.DUMMYFUNCTION("""COMPUTED_VALUE"""),"")</f>
        <v/>
      </c>
      <c r="U4844" s="16" t="s">
        <v>87</v>
      </c>
      <c r="V4844" s="16" t="str">
        <f>IFERROR(__xludf.DUMMYFUNCTION("""COMPUTED_VALUE"""),"")</f>
        <v/>
      </c>
      <c r="W4844" s="16" t="str">
        <f>IFERROR(__xludf.DUMMYFUNCTION("""COMPUTED_VALUE"""),"")</f>
        <v/>
      </c>
      <c r="X4844" s="16" t="str">
        <f>IFERROR(__xludf.DUMMYFUNCTION("""COMPUTED_VALUE"""),"")</f>
        <v/>
      </c>
      <c r="AC4844" s="16" t="str">
        <f>IFERROR(__xludf.DUMMYFUNCTION("""COMPUTED_VALUE"""),"")</f>
        <v/>
      </c>
    </row>
    <row r="4845">
      <c r="A4845" s="16" t="s">
        <v>87</v>
      </c>
      <c r="E4845" s="16" t="str">
        <f>IFERROR(__xludf.DUMMYFUNCTION("""COMPUTED_VALUE"""),"")</f>
        <v/>
      </c>
      <c r="G4845" s="18"/>
      <c r="H4845" s="16" t="s">
        <v>87</v>
      </c>
      <c r="I4845" s="16" t="s">
        <v>87</v>
      </c>
      <c r="J4845" s="19"/>
      <c r="L4845" s="16" t="str">
        <f>IFERROR(__xludf.DUMMYFUNCTION("""COMPUTED_VALUE"""),"")</f>
        <v/>
      </c>
      <c r="M4845" s="16" t="str">
        <f>IFERROR(__xludf.DUMMYFUNCTION("""COMPUTED_VALUE"""),"")</f>
        <v/>
      </c>
      <c r="U4845" s="16" t="s">
        <v>87</v>
      </c>
      <c r="V4845" s="16" t="str">
        <f>IFERROR(__xludf.DUMMYFUNCTION("""COMPUTED_VALUE"""),"")</f>
        <v/>
      </c>
      <c r="W4845" s="16" t="str">
        <f>IFERROR(__xludf.DUMMYFUNCTION("""COMPUTED_VALUE"""),"")</f>
        <v/>
      </c>
      <c r="X4845" s="16" t="str">
        <f>IFERROR(__xludf.DUMMYFUNCTION("""COMPUTED_VALUE"""),"")</f>
        <v/>
      </c>
      <c r="AC4845" s="16" t="str">
        <f>IFERROR(__xludf.DUMMYFUNCTION("""COMPUTED_VALUE"""),"")</f>
        <v/>
      </c>
    </row>
    <row r="4846">
      <c r="A4846" s="16" t="s">
        <v>87</v>
      </c>
      <c r="E4846" s="16" t="str">
        <f>IFERROR(__xludf.DUMMYFUNCTION("""COMPUTED_VALUE"""),"")</f>
        <v/>
      </c>
      <c r="G4846" s="18"/>
      <c r="H4846" s="16" t="s">
        <v>87</v>
      </c>
      <c r="I4846" s="16" t="s">
        <v>87</v>
      </c>
      <c r="J4846" s="19"/>
      <c r="L4846" s="16" t="str">
        <f>IFERROR(__xludf.DUMMYFUNCTION("""COMPUTED_VALUE"""),"")</f>
        <v/>
      </c>
      <c r="M4846" s="16" t="str">
        <f>IFERROR(__xludf.DUMMYFUNCTION("""COMPUTED_VALUE"""),"")</f>
        <v/>
      </c>
      <c r="U4846" s="16" t="s">
        <v>87</v>
      </c>
      <c r="V4846" s="16" t="str">
        <f>IFERROR(__xludf.DUMMYFUNCTION("""COMPUTED_VALUE"""),"")</f>
        <v/>
      </c>
      <c r="W4846" s="16" t="str">
        <f>IFERROR(__xludf.DUMMYFUNCTION("""COMPUTED_VALUE"""),"")</f>
        <v/>
      </c>
      <c r="X4846" s="16" t="str">
        <f>IFERROR(__xludf.DUMMYFUNCTION("""COMPUTED_VALUE"""),"")</f>
        <v/>
      </c>
      <c r="AC4846" s="16" t="str">
        <f>IFERROR(__xludf.DUMMYFUNCTION("""COMPUTED_VALUE"""),"")</f>
        <v/>
      </c>
    </row>
    <row r="4847">
      <c r="A4847" s="16" t="s">
        <v>87</v>
      </c>
      <c r="E4847" s="16" t="str">
        <f>IFERROR(__xludf.DUMMYFUNCTION("""COMPUTED_VALUE"""),"")</f>
        <v/>
      </c>
      <c r="G4847" s="18"/>
      <c r="H4847" s="16" t="s">
        <v>87</v>
      </c>
      <c r="I4847" s="16" t="s">
        <v>87</v>
      </c>
      <c r="J4847" s="19"/>
      <c r="L4847" s="16" t="str">
        <f>IFERROR(__xludf.DUMMYFUNCTION("""COMPUTED_VALUE"""),"")</f>
        <v/>
      </c>
      <c r="M4847" s="16" t="str">
        <f>IFERROR(__xludf.DUMMYFUNCTION("""COMPUTED_VALUE"""),"")</f>
        <v/>
      </c>
      <c r="U4847" s="16" t="s">
        <v>87</v>
      </c>
      <c r="V4847" s="16" t="str">
        <f>IFERROR(__xludf.DUMMYFUNCTION("""COMPUTED_VALUE"""),"")</f>
        <v/>
      </c>
      <c r="W4847" s="16" t="str">
        <f>IFERROR(__xludf.DUMMYFUNCTION("""COMPUTED_VALUE"""),"")</f>
        <v/>
      </c>
      <c r="X4847" s="16" t="str">
        <f>IFERROR(__xludf.DUMMYFUNCTION("""COMPUTED_VALUE"""),"")</f>
        <v/>
      </c>
      <c r="AC4847" s="16" t="str">
        <f>IFERROR(__xludf.DUMMYFUNCTION("""COMPUTED_VALUE"""),"")</f>
        <v/>
      </c>
    </row>
    <row r="4848">
      <c r="A4848" s="16" t="s">
        <v>87</v>
      </c>
      <c r="E4848" s="16" t="str">
        <f>IFERROR(__xludf.DUMMYFUNCTION("""COMPUTED_VALUE"""),"")</f>
        <v/>
      </c>
      <c r="G4848" s="18"/>
      <c r="H4848" s="16" t="s">
        <v>87</v>
      </c>
      <c r="I4848" s="16" t="s">
        <v>87</v>
      </c>
      <c r="J4848" s="19"/>
      <c r="L4848" s="16" t="str">
        <f>IFERROR(__xludf.DUMMYFUNCTION("""COMPUTED_VALUE"""),"")</f>
        <v/>
      </c>
      <c r="M4848" s="16" t="str">
        <f>IFERROR(__xludf.DUMMYFUNCTION("""COMPUTED_VALUE"""),"")</f>
        <v/>
      </c>
      <c r="U4848" s="16" t="s">
        <v>87</v>
      </c>
      <c r="V4848" s="16" t="str">
        <f>IFERROR(__xludf.DUMMYFUNCTION("""COMPUTED_VALUE"""),"")</f>
        <v/>
      </c>
      <c r="W4848" s="16" t="str">
        <f>IFERROR(__xludf.DUMMYFUNCTION("""COMPUTED_VALUE"""),"")</f>
        <v/>
      </c>
      <c r="X4848" s="16" t="str">
        <f>IFERROR(__xludf.DUMMYFUNCTION("""COMPUTED_VALUE"""),"")</f>
        <v/>
      </c>
      <c r="AC4848" s="16" t="str">
        <f>IFERROR(__xludf.DUMMYFUNCTION("""COMPUTED_VALUE"""),"")</f>
        <v/>
      </c>
    </row>
    <row r="4849">
      <c r="A4849" s="16" t="s">
        <v>87</v>
      </c>
      <c r="E4849" s="16" t="str">
        <f>IFERROR(__xludf.DUMMYFUNCTION("""COMPUTED_VALUE"""),"")</f>
        <v/>
      </c>
      <c r="G4849" s="18"/>
      <c r="H4849" s="16" t="s">
        <v>87</v>
      </c>
      <c r="I4849" s="16" t="s">
        <v>87</v>
      </c>
      <c r="J4849" s="19"/>
      <c r="L4849" s="16" t="str">
        <f>IFERROR(__xludf.DUMMYFUNCTION("""COMPUTED_VALUE"""),"")</f>
        <v/>
      </c>
      <c r="M4849" s="16" t="str">
        <f>IFERROR(__xludf.DUMMYFUNCTION("""COMPUTED_VALUE"""),"")</f>
        <v/>
      </c>
      <c r="U4849" s="16" t="s">
        <v>87</v>
      </c>
      <c r="V4849" s="16" t="str">
        <f>IFERROR(__xludf.DUMMYFUNCTION("""COMPUTED_VALUE"""),"")</f>
        <v/>
      </c>
      <c r="W4849" s="16" t="str">
        <f>IFERROR(__xludf.DUMMYFUNCTION("""COMPUTED_VALUE"""),"")</f>
        <v/>
      </c>
      <c r="X4849" s="16" t="str">
        <f>IFERROR(__xludf.DUMMYFUNCTION("""COMPUTED_VALUE"""),"")</f>
        <v/>
      </c>
      <c r="AC4849" s="16" t="str">
        <f>IFERROR(__xludf.DUMMYFUNCTION("""COMPUTED_VALUE"""),"")</f>
        <v/>
      </c>
    </row>
    <row r="4850">
      <c r="A4850" s="16" t="s">
        <v>87</v>
      </c>
      <c r="E4850" s="16" t="str">
        <f>IFERROR(__xludf.DUMMYFUNCTION("""COMPUTED_VALUE"""),"")</f>
        <v/>
      </c>
      <c r="G4850" s="18"/>
      <c r="H4850" s="16" t="s">
        <v>87</v>
      </c>
      <c r="I4850" s="16" t="s">
        <v>87</v>
      </c>
      <c r="J4850" s="19"/>
      <c r="L4850" s="16" t="str">
        <f>IFERROR(__xludf.DUMMYFUNCTION("""COMPUTED_VALUE"""),"")</f>
        <v/>
      </c>
      <c r="M4850" s="16" t="str">
        <f>IFERROR(__xludf.DUMMYFUNCTION("""COMPUTED_VALUE"""),"")</f>
        <v/>
      </c>
      <c r="U4850" s="16" t="s">
        <v>87</v>
      </c>
      <c r="V4850" s="16" t="str">
        <f>IFERROR(__xludf.DUMMYFUNCTION("""COMPUTED_VALUE"""),"")</f>
        <v/>
      </c>
      <c r="W4850" s="16" t="str">
        <f>IFERROR(__xludf.DUMMYFUNCTION("""COMPUTED_VALUE"""),"")</f>
        <v/>
      </c>
      <c r="X4850" s="16" t="str">
        <f>IFERROR(__xludf.DUMMYFUNCTION("""COMPUTED_VALUE"""),"")</f>
        <v/>
      </c>
      <c r="AC4850" s="16" t="str">
        <f>IFERROR(__xludf.DUMMYFUNCTION("""COMPUTED_VALUE"""),"")</f>
        <v/>
      </c>
    </row>
    <row r="4851">
      <c r="A4851" s="16" t="s">
        <v>87</v>
      </c>
      <c r="E4851" s="16" t="str">
        <f>IFERROR(__xludf.DUMMYFUNCTION("""COMPUTED_VALUE"""),"")</f>
        <v/>
      </c>
      <c r="G4851" s="18"/>
      <c r="H4851" s="16" t="s">
        <v>87</v>
      </c>
      <c r="I4851" s="16" t="s">
        <v>87</v>
      </c>
      <c r="J4851" s="19"/>
      <c r="L4851" s="16" t="str">
        <f>IFERROR(__xludf.DUMMYFUNCTION("""COMPUTED_VALUE"""),"")</f>
        <v/>
      </c>
      <c r="M4851" s="16" t="str">
        <f>IFERROR(__xludf.DUMMYFUNCTION("""COMPUTED_VALUE"""),"")</f>
        <v/>
      </c>
      <c r="U4851" s="16" t="s">
        <v>87</v>
      </c>
      <c r="V4851" s="16" t="str">
        <f>IFERROR(__xludf.DUMMYFUNCTION("""COMPUTED_VALUE"""),"")</f>
        <v/>
      </c>
      <c r="W4851" s="16" t="str">
        <f>IFERROR(__xludf.DUMMYFUNCTION("""COMPUTED_VALUE"""),"")</f>
        <v/>
      </c>
      <c r="X4851" s="16" t="str">
        <f>IFERROR(__xludf.DUMMYFUNCTION("""COMPUTED_VALUE"""),"")</f>
        <v/>
      </c>
      <c r="AC4851" s="16" t="str">
        <f>IFERROR(__xludf.DUMMYFUNCTION("""COMPUTED_VALUE"""),"")</f>
        <v/>
      </c>
    </row>
    <row r="4852">
      <c r="A4852" s="16" t="s">
        <v>87</v>
      </c>
      <c r="E4852" s="16" t="str">
        <f>IFERROR(__xludf.DUMMYFUNCTION("""COMPUTED_VALUE"""),"")</f>
        <v/>
      </c>
      <c r="G4852" s="18"/>
      <c r="H4852" s="16" t="s">
        <v>87</v>
      </c>
      <c r="I4852" s="16" t="s">
        <v>87</v>
      </c>
      <c r="J4852" s="19"/>
      <c r="L4852" s="16" t="str">
        <f>IFERROR(__xludf.DUMMYFUNCTION("""COMPUTED_VALUE"""),"")</f>
        <v/>
      </c>
      <c r="M4852" s="16" t="str">
        <f>IFERROR(__xludf.DUMMYFUNCTION("""COMPUTED_VALUE"""),"")</f>
        <v/>
      </c>
      <c r="U4852" s="16" t="s">
        <v>87</v>
      </c>
      <c r="V4852" s="16" t="str">
        <f>IFERROR(__xludf.DUMMYFUNCTION("""COMPUTED_VALUE"""),"")</f>
        <v/>
      </c>
      <c r="W4852" s="16" t="str">
        <f>IFERROR(__xludf.DUMMYFUNCTION("""COMPUTED_VALUE"""),"")</f>
        <v/>
      </c>
      <c r="X4852" s="16" t="str">
        <f>IFERROR(__xludf.DUMMYFUNCTION("""COMPUTED_VALUE"""),"")</f>
        <v/>
      </c>
      <c r="AC4852" s="16" t="str">
        <f>IFERROR(__xludf.DUMMYFUNCTION("""COMPUTED_VALUE"""),"")</f>
        <v/>
      </c>
    </row>
    <row r="4853">
      <c r="A4853" s="16" t="s">
        <v>87</v>
      </c>
      <c r="E4853" s="16" t="str">
        <f>IFERROR(__xludf.DUMMYFUNCTION("""COMPUTED_VALUE"""),"")</f>
        <v/>
      </c>
      <c r="G4853" s="18"/>
      <c r="H4853" s="16" t="s">
        <v>87</v>
      </c>
      <c r="I4853" s="16" t="s">
        <v>87</v>
      </c>
      <c r="J4853" s="19"/>
      <c r="L4853" s="16" t="str">
        <f>IFERROR(__xludf.DUMMYFUNCTION("""COMPUTED_VALUE"""),"")</f>
        <v/>
      </c>
      <c r="M4853" s="16" t="str">
        <f>IFERROR(__xludf.DUMMYFUNCTION("""COMPUTED_VALUE"""),"")</f>
        <v/>
      </c>
      <c r="U4853" s="16" t="s">
        <v>87</v>
      </c>
      <c r="V4853" s="16" t="str">
        <f>IFERROR(__xludf.DUMMYFUNCTION("""COMPUTED_VALUE"""),"")</f>
        <v/>
      </c>
      <c r="W4853" s="16" t="str">
        <f>IFERROR(__xludf.DUMMYFUNCTION("""COMPUTED_VALUE"""),"")</f>
        <v/>
      </c>
      <c r="X4853" s="16" t="str">
        <f>IFERROR(__xludf.DUMMYFUNCTION("""COMPUTED_VALUE"""),"")</f>
        <v/>
      </c>
      <c r="AC4853" s="16" t="str">
        <f>IFERROR(__xludf.DUMMYFUNCTION("""COMPUTED_VALUE"""),"")</f>
        <v/>
      </c>
    </row>
    <row r="4854">
      <c r="A4854" s="16" t="s">
        <v>87</v>
      </c>
      <c r="E4854" s="16" t="str">
        <f>IFERROR(__xludf.DUMMYFUNCTION("""COMPUTED_VALUE"""),"")</f>
        <v/>
      </c>
      <c r="G4854" s="18"/>
      <c r="H4854" s="16" t="s">
        <v>87</v>
      </c>
      <c r="I4854" s="16" t="s">
        <v>87</v>
      </c>
      <c r="J4854" s="19"/>
      <c r="L4854" s="16" t="str">
        <f>IFERROR(__xludf.DUMMYFUNCTION("""COMPUTED_VALUE"""),"")</f>
        <v/>
      </c>
      <c r="M4854" s="16" t="str">
        <f>IFERROR(__xludf.DUMMYFUNCTION("""COMPUTED_VALUE"""),"")</f>
        <v/>
      </c>
      <c r="U4854" s="16" t="s">
        <v>87</v>
      </c>
      <c r="V4854" s="16" t="str">
        <f>IFERROR(__xludf.DUMMYFUNCTION("""COMPUTED_VALUE"""),"")</f>
        <v/>
      </c>
      <c r="W4854" s="16" t="str">
        <f>IFERROR(__xludf.DUMMYFUNCTION("""COMPUTED_VALUE"""),"")</f>
        <v/>
      </c>
      <c r="X4854" s="16" t="str">
        <f>IFERROR(__xludf.DUMMYFUNCTION("""COMPUTED_VALUE"""),"")</f>
        <v/>
      </c>
      <c r="AC4854" s="16" t="str">
        <f>IFERROR(__xludf.DUMMYFUNCTION("""COMPUTED_VALUE"""),"")</f>
        <v/>
      </c>
    </row>
    <row r="4855">
      <c r="A4855" s="16" t="s">
        <v>87</v>
      </c>
      <c r="E4855" s="16" t="str">
        <f>IFERROR(__xludf.DUMMYFUNCTION("""COMPUTED_VALUE"""),"")</f>
        <v/>
      </c>
      <c r="G4855" s="18"/>
      <c r="H4855" s="16" t="s">
        <v>87</v>
      </c>
      <c r="I4855" s="16" t="s">
        <v>87</v>
      </c>
      <c r="J4855" s="19"/>
      <c r="L4855" s="16" t="str">
        <f>IFERROR(__xludf.DUMMYFUNCTION("""COMPUTED_VALUE"""),"")</f>
        <v/>
      </c>
      <c r="M4855" s="16" t="str">
        <f>IFERROR(__xludf.DUMMYFUNCTION("""COMPUTED_VALUE"""),"")</f>
        <v/>
      </c>
      <c r="U4855" s="16" t="s">
        <v>87</v>
      </c>
      <c r="V4855" s="16" t="str">
        <f>IFERROR(__xludf.DUMMYFUNCTION("""COMPUTED_VALUE"""),"")</f>
        <v/>
      </c>
      <c r="W4855" s="16" t="str">
        <f>IFERROR(__xludf.DUMMYFUNCTION("""COMPUTED_VALUE"""),"")</f>
        <v/>
      </c>
      <c r="X4855" s="16" t="str">
        <f>IFERROR(__xludf.DUMMYFUNCTION("""COMPUTED_VALUE"""),"")</f>
        <v/>
      </c>
      <c r="AC4855" s="16" t="str">
        <f>IFERROR(__xludf.DUMMYFUNCTION("""COMPUTED_VALUE"""),"")</f>
        <v/>
      </c>
    </row>
    <row r="4856">
      <c r="A4856" s="16" t="s">
        <v>87</v>
      </c>
      <c r="E4856" s="16" t="str">
        <f>IFERROR(__xludf.DUMMYFUNCTION("""COMPUTED_VALUE"""),"")</f>
        <v/>
      </c>
      <c r="G4856" s="18"/>
      <c r="H4856" s="16" t="s">
        <v>87</v>
      </c>
      <c r="I4856" s="16" t="s">
        <v>87</v>
      </c>
      <c r="J4856" s="19"/>
      <c r="L4856" s="16" t="str">
        <f>IFERROR(__xludf.DUMMYFUNCTION("""COMPUTED_VALUE"""),"")</f>
        <v/>
      </c>
      <c r="M4856" s="16" t="str">
        <f>IFERROR(__xludf.DUMMYFUNCTION("""COMPUTED_VALUE"""),"")</f>
        <v/>
      </c>
      <c r="U4856" s="16" t="s">
        <v>87</v>
      </c>
      <c r="V4856" s="16" t="str">
        <f>IFERROR(__xludf.DUMMYFUNCTION("""COMPUTED_VALUE"""),"")</f>
        <v/>
      </c>
      <c r="W4856" s="16" t="str">
        <f>IFERROR(__xludf.DUMMYFUNCTION("""COMPUTED_VALUE"""),"")</f>
        <v/>
      </c>
      <c r="X4856" s="16" t="str">
        <f>IFERROR(__xludf.DUMMYFUNCTION("""COMPUTED_VALUE"""),"")</f>
        <v/>
      </c>
      <c r="AC4856" s="16" t="str">
        <f>IFERROR(__xludf.DUMMYFUNCTION("""COMPUTED_VALUE"""),"")</f>
        <v/>
      </c>
    </row>
    <row r="4857">
      <c r="A4857" s="16" t="s">
        <v>87</v>
      </c>
      <c r="E4857" s="16" t="str">
        <f>IFERROR(__xludf.DUMMYFUNCTION("""COMPUTED_VALUE"""),"")</f>
        <v/>
      </c>
      <c r="G4857" s="18"/>
      <c r="H4857" s="16" t="s">
        <v>87</v>
      </c>
      <c r="I4857" s="16" t="s">
        <v>87</v>
      </c>
      <c r="J4857" s="19"/>
      <c r="L4857" s="16" t="str">
        <f>IFERROR(__xludf.DUMMYFUNCTION("""COMPUTED_VALUE"""),"")</f>
        <v/>
      </c>
      <c r="M4857" s="16" t="str">
        <f>IFERROR(__xludf.DUMMYFUNCTION("""COMPUTED_VALUE"""),"")</f>
        <v/>
      </c>
      <c r="U4857" s="16" t="s">
        <v>87</v>
      </c>
      <c r="V4857" s="16" t="str">
        <f>IFERROR(__xludf.DUMMYFUNCTION("""COMPUTED_VALUE"""),"")</f>
        <v/>
      </c>
      <c r="W4857" s="16" t="str">
        <f>IFERROR(__xludf.DUMMYFUNCTION("""COMPUTED_VALUE"""),"")</f>
        <v/>
      </c>
      <c r="X4857" s="16" t="str">
        <f>IFERROR(__xludf.DUMMYFUNCTION("""COMPUTED_VALUE"""),"")</f>
        <v/>
      </c>
      <c r="AC4857" s="16" t="str">
        <f>IFERROR(__xludf.DUMMYFUNCTION("""COMPUTED_VALUE"""),"")</f>
        <v/>
      </c>
    </row>
    <row r="4858">
      <c r="A4858" s="16" t="s">
        <v>87</v>
      </c>
      <c r="E4858" s="16" t="str">
        <f>IFERROR(__xludf.DUMMYFUNCTION("""COMPUTED_VALUE"""),"")</f>
        <v/>
      </c>
      <c r="G4858" s="18"/>
      <c r="H4858" s="16" t="s">
        <v>87</v>
      </c>
      <c r="I4858" s="16" t="s">
        <v>87</v>
      </c>
      <c r="J4858" s="19"/>
      <c r="L4858" s="16" t="str">
        <f>IFERROR(__xludf.DUMMYFUNCTION("""COMPUTED_VALUE"""),"")</f>
        <v/>
      </c>
      <c r="M4858" s="16" t="str">
        <f>IFERROR(__xludf.DUMMYFUNCTION("""COMPUTED_VALUE"""),"")</f>
        <v/>
      </c>
      <c r="U4858" s="16" t="s">
        <v>87</v>
      </c>
      <c r="V4858" s="16" t="str">
        <f>IFERROR(__xludf.DUMMYFUNCTION("""COMPUTED_VALUE"""),"")</f>
        <v/>
      </c>
      <c r="W4858" s="16" t="str">
        <f>IFERROR(__xludf.DUMMYFUNCTION("""COMPUTED_VALUE"""),"")</f>
        <v/>
      </c>
      <c r="X4858" s="16" t="str">
        <f>IFERROR(__xludf.DUMMYFUNCTION("""COMPUTED_VALUE"""),"")</f>
        <v/>
      </c>
      <c r="AC4858" s="16" t="str">
        <f>IFERROR(__xludf.DUMMYFUNCTION("""COMPUTED_VALUE"""),"")</f>
        <v/>
      </c>
    </row>
    <row r="4859">
      <c r="A4859" s="16" t="s">
        <v>87</v>
      </c>
      <c r="E4859" s="16" t="str">
        <f>IFERROR(__xludf.DUMMYFUNCTION("""COMPUTED_VALUE"""),"")</f>
        <v/>
      </c>
      <c r="G4859" s="18"/>
      <c r="H4859" s="16" t="s">
        <v>87</v>
      </c>
      <c r="I4859" s="16" t="s">
        <v>87</v>
      </c>
      <c r="J4859" s="19"/>
      <c r="L4859" s="16" t="str">
        <f>IFERROR(__xludf.DUMMYFUNCTION("""COMPUTED_VALUE"""),"")</f>
        <v/>
      </c>
      <c r="M4859" s="16" t="str">
        <f>IFERROR(__xludf.DUMMYFUNCTION("""COMPUTED_VALUE"""),"")</f>
        <v/>
      </c>
      <c r="U4859" s="16" t="s">
        <v>87</v>
      </c>
      <c r="V4859" s="16" t="str">
        <f>IFERROR(__xludf.DUMMYFUNCTION("""COMPUTED_VALUE"""),"")</f>
        <v/>
      </c>
      <c r="W4859" s="16" t="str">
        <f>IFERROR(__xludf.DUMMYFUNCTION("""COMPUTED_VALUE"""),"")</f>
        <v/>
      </c>
      <c r="X4859" s="16" t="str">
        <f>IFERROR(__xludf.DUMMYFUNCTION("""COMPUTED_VALUE"""),"")</f>
        <v/>
      </c>
      <c r="AC4859" s="16" t="str">
        <f>IFERROR(__xludf.DUMMYFUNCTION("""COMPUTED_VALUE"""),"")</f>
        <v/>
      </c>
    </row>
    <row r="4860">
      <c r="A4860" s="16" t="s">
        <v>87</v>
      </c>
      <c r="E4860" s="16" t="str">
        <f>IFERROR(__xludf.DUMMYFUNCTION("""COMPUTED_VALUE"""),"")</f>
        <v/>
      </c>
      <c r="G4860" s="18"/>
      <c r="H4860" s="16" t="s">
        <v>87</v>
      </c>
      <c r="I4860" s="16" t="s">
        <v>87</v>
      </c>
      <c r="J4860" s="19"/>
      <c r="L4860" s="16" t="str">
        <f>IFERROR(__xludf.DUMMYFUNCTION("""COMPUTED_VALUE"""),"")</f>
        <v/>
      </c>
      <c r="M4860" s="16" t="str">
        <f>IFERROR(__xludf.DUMMYFUNCTION("""COMPUTED_VALUE"""),"")</f>
        <v/>
      </c>
      <c r="U4860" s="16" t="s">
        <v>87</v>
      </c>
      <c r="V4860" s="16" t="str">
        <f>IFERROR(__xludf.DUMMYFUNCTION("""COMPUTED_VALUE"""),"")</f>
        <v/>
      </c>
      <c r="W4860" s="16" t="str">
        <f>IFERROR(__xludf.DUMMYFUNCTION("""COMPUTED_VALUE"""),"")</f>
        <v/>
      </c>
      <c r="X4860" s="16" t="str">
        <f>IFERROR(__xludf.DUMMYFUNCTION("""COMPUTED_VALUE"""),"")</f>
        <v/>
      </c>
      <c r="AC4860" s="16" t="str">
        <f>IFERROR(__xludf.DUMMYFUNCTION("""COMPUTED_VALUE"""),"")</f>
        <v/>
      </c>
    </row>
    <row r="4861">
      <c r="A4861" s="16" t="s">
        <v>87</v>
      </c>
      <c r="E4861" s="16" t="str">
        <f>IFERROR(__xludf.DUMMYFUNCTION("""COMPUTED_VALUE"""),"")</f>
        <v/>
      </c>
      <c r="G4861" s="18"/>
      <c r="H4861" s="16" t="s">
        <v>87</v>
      </c>
      <c r="I4861" s="16" t="s">
        <v>87</v>
      </c>
      <c r="J4861" s="19"/>
      <c r="L4861" s="16" t="str">
        <f>IFERROR(__xludf.DUMMYFUNCTION("""COMPUTED_VALUE"""),"")</f>
        <v/>
      </c>
      <c r="M4861" s="16" t="str">
        <f>IFERROR(__xludf.DUMMYFUNCTION("""COMPUTED_VALUE"""),"")</f>
        <v/>
      </c>
      <c r="U4861" s="16" t="s">
        <v>87</v>
      </c>
      <c r="V4861" s="16" t="str">
        <f>IFERROR(__xludf.DUMMYFUNCTION("""COMPUTED_VALUE"""),"")</f>
        <v/>
      </c>
      <c r="W4861" s="16" t="str">
        <f>IFERROR(__xludf.DUMMYFUNCTION("""COMPUTED_VALUE"""),"")</f>
        <v/>
      </c>
      <c r="X4861" s="16" t="str">
        <f>IFERROR(__xludf.DUMMYFUNCTION("""COMPUTED_VALUE"""),"")</f>
        <v/>
      </c>
      <c r="AC4861" s="16" t="str">
        <f>IFERROR(__xludf.DUMMYFUNCTION("""COMPUTED_VALUE"""),"")</f>
        <v/>
      </c>
    </row>
    <row r="4862">
      <c r="A4862" s="16" t="s">
        <v>87</v>
      </c>
      <c r="E4862" s="16" t="str">
        <f>IFERROR(__xludf.DUMMYFUNCTION("""COMPUTED_VALUE"""),"")</f>
        <v/>
      </c>
      <c r="G4862" s="18"/>
      <c r="H4862" s="16" t="s">
        <v>87</v>
      </c>
      <c r="I4862" s="16" t="s">
        <v>87</v>
      </c>
      <c r="J4862" s="19"/>
      <c r="L4862" s="16" t="str">
        <f>IFERROR(__xludf.DUMMYFUNCTION("""COMPUTED_VALUE"""),"")</f>
        <v/>
      </c>
      <c r="M4862" s="16" t="str">
        <f>IFERROR(__xludf.DUMMYFUNCTION("""COMPUTED_VALUE"""),"")</f>
        <v/>
      </c>
      <c r="U4862" s="16" t="s">
        <v>87</v>
      </c>
      <c r="V4862" s="16" t="str">
        <f>IFERROR(__xludf.DUMMYFUNCTION("""COMPUTED_VALUE"""),"")</f>
        <v/>
      </c>
      <c r="W4862" s="16" t="str">
        <f>IFERROR(__xludf.DUMMYFUNCTION("""COMPUTED_VALUE"""),"")</f>
        <v/>
      </c>
      <c r="X4862" s="16" t="str">
        <f>IFERROR(__xludf.DUMMYFUNCTION("""COMPUTED_VALUE"""),"")</f>
        <v/>
      </c>
      <c r="AC4862" s="16" t="str">
        <f>IFERROR(__xludf.DUMMYFUNCTION("""COMPUTED_VALUE"""),"")</f>
        <v/>
      </c>
    </row>
    <row r="4863">
      <c r="A4863" s="16" t="s">
        <v>87</v>
      </c>
      <c r="E4863" s="16" t="str">
        <f>IFERROR(__xludf.DUMMYFUNCTION("""COMPUTED_VALUE"""),"")</f>
        <v/>
      </c>
      <c r="G4863" s="18"/>
      <c r="H4863" s="16" t="s">
        <v>87</v>
      </c>
      <c r="I4863" s="16" t="s">
        <v>87</v>
      </c>
      <c r="J4863" s="19"/>
      <c r="L4863" s="16" t="str">
        <f>IFERROR(__xludf.DUMMYFUNCTION("""COMPUTED_VALUE"""),"")</f>
        <v/>
      </c>
      <c r="M4863" s="16" t="str">
        <f>IFERROR(__xludf.DUMMYFUNCTION("""COMPUTED_VALUE"""),"")</f>
        <v/>
      </c>
      <c r="U4863" s="16" t="s">
        <v>87</v>
      </c>
      <c r="V4863" s="16" t="str">
        <f>IFERROR(__xludf.DUMMYFUNCTION("""COMPUTED_VALUE"""),"")</f>
        <v/>
      </c>
      <c r="W4863" s="16" t="str">
        <f>IFERROR(__xludf.DUMMYFUNCTION("""COMPUTED_VALUE"""),"")</f>
        <v/>
      </c>
      <c r="X4863" s="16" t="str">
        <f>IFERROR(__xludf.DUMMYFUNCTION("""COMPUTED_VALUE"""),"")</f>
        <v/>
      </c>
      <c r="AC4863" s="16" t="str">
        <f>IFERROR(__xludf.DUMMYFUNCTION("""COMPUTED_VALUE"""),"")</f>
        <v/>
      </c>
    </row>
    <row r="4864">
      <c r="A4864" s="16" t="s">
        <v>87</v>
      </c>
      <c r="E4864" s="16" t="str">
        <f>IFERROR(__xludf.DUMMYFUNCTION("""COMPUTED_VALUE"""),"")</f>
        <v/>
      </c>
      <c r="G4864" s="18"/>
      <c r="H4864" s="16" t="s">
        <v>87</v>
      </c>
      <c r="I4864" s="16" t="s">
        <v>87</v>
      </c>
      <c r="J4864" s="19"/>
      <c r="L4864" s="16" t="str">
        <f>IFERROR(__xludf.DUMMYFUNCTION("""COMPUTED_VALUE"""),"")</f>
        <v/>
      </c>
      <c r="M4864" s="16" t="str">
        <f>IFERROR(__xludf.DUMMYFUNCTION("""COMPUTED_VALUE"""),"")</f>
        <v/>
      </c>
      <c r="U4864" s="16" t="s">
        <v>87</v>
      </c>
      <c r="V4864" s="16" t="str">
        <f>IFERROR(__xludf.DUMMYFUNCTION("""COMPUTED_VALUE"""),"")</f>
        <v/>
      </c>
      <c r="W4864" s="16" t="str">
        <f>IFERROR(__xludf.DUMMYFUNCTION("""COMPUTED_VALUE"""),"")</f>
        <v/>
      </c>
      <c r="X4864" s="16" t="str">
        <f>IFERROR(__xludf.DUMMYFUNCTION("""COMPUTED_VALUE"""),"")</f>
        <v/>
      </c>
      <c r="AC4864" s="16" t="str">
        <f>IFERROR(__xludf.DUMMYFUNCTION("""COMPUTED_VALUE"""),"")</f>
        <v/>
      </c>
    </row>
    <row r="4865">
      <c r="A4865" s="16" t="s">
        <v>87</v>
      </c>
      <c r="E4865" s="16" t="str">
        <f>IFERROR(__xludf.DUMMYFUNCTION("""COMPUTED_VALUE"""),"")</f>
        <v/>
      </c>
      <c r="G4865" s="18"/>
      <c r="H4865" s="16" t="s">
        <v>87</v>
      </c>
      <c r="I4865" s="16" t="s">
        <v>87</v>
      </c>
      <c r="J4865" s="19"/>
      <c r="L4865" s="16" t="str">
        <f>IFERROR(__xludf.DUMMYFUNCTION("""COMPUTED_VALUE"""),"")</f>
        <v/>
      </c>
      <c r="M4865" s="16" t="str">
        <f>IFERROR(__xludf.DUMMYFUNCTION("""COMPUTED_VALUE"""),"")</f>
        <v/>
      </c>
      <c r="U4865" s="16" t="s">
        <v>87</v>
      </c>
      <c r="V4865" s="16" t="str">
        <f>IFERROR(__xludf.DUMMYFUNCTION("""COMPUTED_VALUE"""),"")</f>
        <v/>
      </c>
      <c r="W4865" s="16" t="str">
        <f>IFERROR(__xludf.DUMMYFUNCTION("""COMPUTED_VALUE"""),"")</f>
        <v/>
      </c>
      <c r="X4865" s="16" t="str">
        <f>IFERROR(__xludf.DUMMYFUNCTION("""COMPUTED_VALUE"""),"")</f>
        <v/>
      </c>
      <c r="AC4865" s="16" t="str">
        <f>IFERROR(__xludf.DUMMYFUNCTION("""COMPUTED_VALUE"""),"")</f>
        <v/>
      </c>
    </row>
    <row r="4866">
      <c r="A4866" s="16" t="s">
        <v>87</v>
      </c>
      <c r="E4866" s="16" t="str">
        <f>IFERROR(__xludf.DUMMYFUNCTION("""COMPUTED_VALUE"""),"")</f>
        <v/>
      </c>
      <c r="G4866" s="18"/>
      <c r="H4866" s="16" t="s">
        <v>87</v>
      </c>
      <c r="I4866" s="16" t="s">
        <v>87</v>
      </c>
      <c r="J4866" s="19"/>
      <c r="L4866" s="16" t="str">
        <f>IFERROR(__xludf.DUMMYFUNCTION("""COMPUTED_VALUE"""),"")</f>
        <v/>
      </c>
      <c r="M4866" s="16" t="str">
        <f>IFERROR(__xludf.DUMMYFUNCTION("""COMPUTED_VALUE"""),"")</f>
        <v/>
      </c>
      <c r="U4866" s="16" t="s">
        <v>87</v>
      </c>
      <c r="V4866" s="16" t="str">
        <f>IFERROR(__xludf.DUMMYFUNCTION("""COMPUTED_VALUE"""),"")</f>
        <v/>
      </c>
      <c r="W4866" s="16" t="str">
        <f>IFERROR(__xludf.DUMMYFUNCTION("""COMPUTED_VALUE"""),"")</f>
        <v/>
      </c>
      <c r="X4866" s="16" t="str">
        <f>IFERROR(__xludf.DUMMYFUNCTION("""COMPUTED_VALUE"""),"")</f>
        <v/>
      </c>
      <c r="AC4866" s="16" t="str">
        <f>IFERROR(__xludf.DUMMYFUNCTION("""COMPUTED_VALUE"""),"")</f>
        <v/>
      </c>
    </row>
    <row r="4867">
      <c r="A4867" s="16" t="s">
        <v>87</v>
      </c>
      <c r="E4867" s="16" t="str">
        <f>IFERROR(__xludf.DUMMYFUNCTION("""COMPUTED_VALUE"""),"")</f>
        <v/>
      </c>
      <c r="G4867" s="18"/>
      <c r="H4867" s="16" t="s">
        <v>87</v>
      </c>
      <c r="I4867" s="16" t="s">
        <v>87</v>
      </c>
      <c r="J4867" s="19"/>
      <c r="L4867" s="16" t="str">
        <f>IFERROR(__xludf.DUMMYFUNCTION("""COMPUTED_VALUE"""),"")</f>
        <v/>
      </c>
      <c r="M4867" s="16" t="str">
        <f>IFERROR(__xludf.DUMMYFUNCTION("""COMPUTED_VALUE"""),"")</f>
        <v/>
      </c>
      <c r="U4867" s="16" t="s">
        <v>87</v>
      </c>
      <c r="V4867" s="16" t="str">
        <f>IFERROR(__xludf.DUMMYFUNCTION("""COMPUTED_VALUE"""),"")</f>
        <v/>
      </c>
      <c r="W4867" s="16" t="str">
        <f>IFERROR(__xludf.DUMMYFUNCTION("""COMPUTED_VALUE"""),"")</f>
        <v/>
      </c>
      <c r="X4867" s="16" t="str">
        <f>IFERROR(__xludf.DUMMYFUNCTION("""COMPUTED_VALUE"""),"")</f>
        <v/>
      </c>
      <c r="AC4867" s="16" t="str">
        <f>IFERROR(__xludf.DUMMYFUNCTION("""COMPUTED_VALUE"""),"")</f>
        <v/>
      </c>
    </row>
    <row r="4868">
      <c r="A4868" s="16" t="s">
        <v>87</v>
      </c>
      <c r="E4868" s="16" t="str">
        <f>IFERROR(__xludf.DUMMYFUNCTION("""COMPUTED_VALUE"""),"")</f>
        <v/>
      </c>
      <c r="G4868" s="18"/>
      <c r="H4868" s="16" t="s">
        <v>87</v>
      </c>
      <c r="I4868" s="16" t="s">
        <v>87</v>
      </c>
      <c r="J4868" s="19"/>
      <c r="L4868" s="16" t="str">
        <f>IFERROR(__xludf.DUMMYFUNCTION("""COMPUTED_VALUE"""),"")</f>
        <v/>
      </c>
      <c r="M4868" s="16" t="str">
        <f>IFERROR(__xludf.DUMMYFUNCTION("""COMPUTED_VALUE"""),"")</f>
        <v/>
      </c>
      <c r="U4868" s="16" t="s">
        <v>87</v>
      </c>
      <c r="V4868" s="16" t="str">
        <f>IFERROR(__xludf.DUMMYFUNCTION("""COMPUTED_VALUE"""),"")</f>
        <v/>
      </c>
      <c r="W4868" s="16" t="str">
        <f>IFERROR(__xludf.DUMMYFUNCTION("""COMPUTED_VALUE"""),"")</f>
        <v/>
      </c>
      <c r="X4868" s="16" t="str">
        <f>IFERROR(__xludf.DUMMYFUNCTION("""COMPUTED_VALUE"""),"")</f>
        <v/>
      </c>
      <c r="AC4868" s="16" t="str">
        <f>IFERROR(__xludf.DUMMYFUNCTION("""COMPUTED_VALUE"""),"")</f>
        <v/>
      </c>
    </row>
    <row r="4869">
      <c r="A4869" s="16" t="s">
        <v>87</v>
      </c>
      <c r="E4869" s="16" t="str">
        <f>IFERROR(__xludf.DUMMYFUNCTION("""COMPUTED_VALUE"""),"")</f>
        <v/>
      </c>
      <c r="G4869" s="18"/>
      <c r="H4869" s="16" t="s">
        <v>87</v>
      </c>
      <c r="I4869" s="16" t="s">
        <v>87</v>
      </c>
      <c r="J4869" s="19"/>
      <c r="L4869" s="16" t="str">
        <f>IFERROR(__xludf.DUMMYFUNCTION("""COMPUTED_VALUE"""),"")</f>
        <v/>
      </c>
      <c r="M4869" s="16" t="str">
        <f>IFERROR(__xludf.DUMMYFUNCTION("""COMPUTED_VALUE"""),"")</f>
        <v/>
      </c>
      <c r="U4869" s="16" t="s">
        <v>87</v>
      </c>
      <c r="V4869" s="16" t="str">
        <f>IFERROR(__xludf.DUMMYFUNCTION("""COMPUTED_VALUE"""),"")</f>
        <v/>
      </c>
      <c r="W4869" s="16" t="str">
        <f>IFERROR(__xludf.DUMMYFUNCTION("""COMPUTED_VALUE"""),"")</f>
        <v/>
      </c>
      <c r="X4869" s="16" t="str">
        <f>IFERROR(__xludf.DUMMYFUNCTION("""COMPUTED_VALUE"""),"")</f>
        <v/>
      </c>
      <c r="AC4869" s="16" t="str">
        <f>IFERROR(__xludf.DUMMYFUNCTION("""COMPUTED_VALUE"""),"")</f>
        <v/>
      </c>
    </row>
    <row r="4870">
      <c r="A4870" s="16" t="s">
        <v>87</v>
      </c>
      <c r="E4870" s="16" t="str">
        <f>IFERROR(__xludf.DUMMYFUNCTION("""COMPUTED_VALUE"""),"")</f>
        <v/>
      </c>
      <c r="G4870" s="18"/>
      <c r="H4870" s="16" t="s">
        <v>87</v>
      </c>
      <c r="I4870" s="16" t="s">
        <v>87</v>
      </c>
      <c r="J4870" s="19"/>
      <c r="L4870" s="16" t="str">
        <f>IFERROR(__xludf.DUMMYFUNCTION("""COMPUTED_VALUE"""),"")</f>
        <v/>
      </c>
      <c r="M4870" s="16" t="str">
        <f>IFERROR(__xludf.DUMMYFUNCTION("""COMPUTED_VALUE"""),"")</f>
        <v/>
      </c>
      <c r="U4870" s="16" t="s">
        <v>87</v>
      </c>
      <c r="V4870" s="16" t="str">
        <f>IFERROR(__xludf.DUMMYFUNCTION("""COMPUTED_VALUE"""),"")</f>
        <v/>
      </c>
      <c r="W4870" s="16" t="str">
        <f>IFERROR(__xludf.DUMMYFUNCTION("""COMPUTED_VALUE"""),"")</f>
        <v/>
      </c>
      <c r="X4870" s="16" t="str">
        <f>IFERROR(__xludf.DUMMYFUNCTION("""COMPUTED_VALUE"""),"")</f>
        <v/>
      </c>
      <c r="AC4870" s="16" t="str">
        <f>IFERROR(__xludf.DUMMYFUNCTION("""COMPUTED_VALUE"""),"")</f>
        <v/>
      </c>
    </row>
    <row r="4871">
      <c r="A4871" s="16" t="s">
        <v>87</v>
      </c>
      <c r="E4871" s="16" t="str">
        <f>IFERROR(__xludf.DUMMYFUNCTION("""COMPUTED_VALUE"""),"")</f>
        <v/>
      </c>
      <c r="G4871" s="18"/>
      <c r="H4871" s="16" t="s">
        <v>87</v>
      </c>
      <c r="I4871" s="16" t="s">
        <v>87</v>
      </c>
      <c r="J4871" s="19"/>
      <c r="L4871" s="16" t="str">
        <f>IFERROR(__xludf.DUMMYFUNCTION("""COMPUTED_VALUE"""),"")</f>
        <v/>
      </c>
      <c r="M4871" s="16" t="str">
        <f>IFERROR(__xludf.DUMMYFUNCTION("""COMPUTED_VALUE"""),"")</f>
        <v/>
      </c>
      <c r="U4871" s="16" t="s">
        <v>87</v>
      </c>
      <c r="V4871" s="16" t="str">
        <f>IFERROR(__xludf.DUMMYFUNCTION("""COMPUTED_VALUE"""),"")</f>
        <v/>
      </c>
      <c r="W4871" s="16" t="str">
        <f>IFERROR(__xludf.DUMMYFUNCTION("""COMPUTED_VALUE"""),"")</f>
        <v/>
      </c>
      <c r="X4871" s="16" t="str">
        <f>IFERROR(__xludf.DUMMYFUNCTION("""COMPUTED_VALUE"""),"")</f>
        <v/>
      </c>
      <c r="AC4871" s="16" t="str">
        <f>IFERROR(__xludf.DUMMYFUNCTION("""COMPUTED_VALUE"""),"")</f>
        <v/>
      </c>
    </row>
    <row r="4872">
      <c r="A4872" s="16" t="s">
        <v>87</v>
      </c>
      <c r="E4872" s="16" t="str">
        <f>IFERROR(__xludf.DUMMYFUNCTION("""COMPUTED_VALUE"""),"")</f>
        <v/>
      </c>
      <c r="G4872" s="18"/>
      <c r="H4872" s="16" t="s">
        <v>87</v>
      </c>
      <c r="I4872" s="16" t="s">
        <v>87</v>
      </c>
      <c r="J4872" s="19"/>
      <c r="L4872" s="16" t="str">
        <f>IFERROR(__xludf.DUMMYFUNCTION("""COMPUTED_VALUE"""),"")</f>
        <v/>
      </c>
      <c r="M4872" s="16" t="str">
        <f>IFERROR(__xludf.DUMMYFUNCTION("""COMPUTED_VALUE"""),"")</f>
        <v/>
      </c>
      <c r="U4872" s="16" t="s">
        <v>87</v>
      </c>
      <c r="V4872" s="16" t="str">
        <f>IFERROR(__xludf.DUMMYFUNCTION("""COMPUTED_VALUE"""),"")</f>
        <v/>
      </c>
      <c r="W4872" s="16" t="str">
        <f>IFERROR(__xludf.DUMMYFUNCTION("""COMPUTED_VALUE"""),"")</f>
        <v/>
      </c>
      <c r="X4872" s="16" t="str">
        <f>IFERROR(__xludf.DUMMYFUNCTION("""COMPUTED_VALUE"""),"")</f>
        <v/>
      </c>
      <c r="AC4872" s="16" t="str">
        <f>IFERROR(__xludf.DUMMYFUNCTION("""COMPUTED_VALUE"""),"")</f>
        <v/>
      </c>
    </row>
    <row r="4873">
      <c r="A4873" s="16" t="s">
        <v>87</v>
      </c>
      <c r="E4873" s="16" t="str">
        <f>IFERROR(__xludf.DUMMYFUNCTION("""COMPUTED_VALUE"""),"")</f>
        <v/>
      </c>
      <c r="G4873" s="18"/>
      <c r="H4873" s="16" t="s">
        <v>87</v>
      </c>
      <c r="I4873" s="16" t="s">
        <v>87</v>
      </c>
      <c r="J4873" s="19"/>
      <c r="L4873" s="16" t="str">
        <f>IFERROR(__xludf.DUMMYFUNCTION("""COMPUTED_VALUE"""),"")</f>
        <v/>
      </c>
      <c r="M4873" s="16" t="str">
        <f>IFERROR(__xludf.DUMMYFUNCTION("""COMPUTED_VALUE"""),"")</f>
        <v/>
      </c>
      <c r="U4873" s="16" t="s">
        <v>87</v>
      </c>
      <c r="V4873" s="16" t="str">
        <f>IFERROR(__xludf.DUMMYFUNCTION("""COMPUTED_VALUE"""),"")</f>
        <v/>
      </c>
      <c r="W4873" s="16" t="str">
        <f>IFERROR(__xludf.DUMMYFUNCTION("""COMPUTED_VALUE"""),"")</f>
        <v/>
      </c>
      <c r="X4873" s="16" t="str">
        <f>IFERROR(__xludf.DUMMYFUNCTION("""COMPUTED_VALUE"""),"")</f>
        <v/>
      </c>
      <c r="AC4873" s="16" t="str">
        <f>IFERROR(__xludf.DUMMYFUNCTION("""COMPUTED_VALUE"""),"")</f>
        <v/>
      </c>
    </row>
    <row r="4874">
      <c r="A4874" s="16" t="s">
        <v>87</v>
      </c>
      <c r="E4874" s="16" t="str">
        <f>IFERROR(__xludf.DUMMYFUNCTION("""COMPUTED_VALUE"""),"")</f>
        <v/>
      </c>
      <c r="G4874" s="18"/>
      <c r="H4874" s="16" t="s">
        <v>87</v>
      </c>
      <c r="I4874" s="16" t="s">
        <v>87</v>
      </c>
      <c r="J4874" s="19"/>
      <c r="L4874" s="16" t="str">
        <f>IFERROR(__xludf.DUMMYFUNCTION("""COMPUTED_VALUE"""),"")</f>
        <v/>
      </c>
      <c r="M4874" s="16" t="str">
        <f>IFERROR(__xludf.DUMMYFUNCTION("""COMPUTED_VALUE"""),"")</f>
        <v/>
      </c>
      <c r="U4874" s="16" t="s">
        <v>87</v>
      </c>
      <c r="V4874" s="16" t="str">
        <f>IFERROR(__xludf.DUMMYFUNCTION("""COMPUTED_VALUE"""),"")</f>
        <v/>
      </c>
      <c r="W4874" s="16" t="str">
        <f>IFERROR(__xludf.DUMMYFUNCTION("""COMPUTED_VALUE"""),"")</f>
        <v/>
      </c>
      <c r="X4874" s="16" t="str">
        <f>IFERROR(__xludf.DUMMYFUNCTION("""COMPUTED_VALUE"""),"")</f>
        <v/>
      </c>
      <c r="AC4874" s="16" t="str">
        <f>IFERROR(__xludf.DUMMYFUNCTION("""COMPUTED_VALUE"""),"")</f>
        <v/>
      </c>
    </row>
    <row r="4875">
      <c r="A4875" s="16" t="s">
        <v>87</v>
      </c>
      <c r="E4875" s="16" t="str">
        <f>IFERROR(__xludf.DUMMYFUNCTION("""COMPUTED_VALUE"""),"")</f>
        <v/>
      </c>
      <c r="G4875" s="18"/>
      <c r="H4875" s="16" t="s">
        <v>87</v>
      </c>
      <c r="I4875" s="16" t="s">
        <v>87</v>
      </c>
      <c r="J4875" s="19"/>
      <c r="L4875" s="16" t="str">
        <f>IFERROR(__xludf.DUMMYFUNCTION("""COMPUTED_VALUE"""),"")</f>
        <v/>
      </c>
      <c r="M4875" s="16" t="str">
        <f>IFERROR(__xludf.DUMMYFUNCTION("""COMPUTED_VALUE"""),"")</f>
        <v/>
      </c>
      <c r="U4875" s="16" t="s">
        <v>87</v>
      </c>
      <c r="V4875" s="16" t="str">
        <f>IFERROR(__xludf.DUMMYFUNCTION("""COMPUTED_VALUE"""),"")</f>
        <v/>
      </c>
      <c r="W4875" s="16" t="str">
        <f>IFERROR(__xludf.DUMMYFUNCTION("""COMPUTED_VALUE"""),"")</f>
        <v/>
      </c>
      <c r="X4875" s="16" t="str">
        <f>IFERROR(__xludf.DUMMYFUNCTION("""COMPUTED_VALUE"""),"")</f>
        <v/>
      </c>
      <c r="AC4875" s="16" t="str">
        <f>IFERROR(__xludf.DUMMYFUNCTION("""COMPUTED_VALUE"""),"")</f>
        <v/>
      </c>
    </row>
    <row r="4876">
      <c r="A4876" s="16" t="s">
        <v>87</v>
      </c>
      <c r="E4876" s="16" t="str">
        <f>IFERROR(__xludf.DUMMYFUNCTION("""COMPUTED_VALUE"""),"")</f>
        <v/>
      </c>
      <c r="G4876" s="18"/>
      <c r="H4876" s="16" t="s">
        <v>87</v>
      </c>
      <c r="I4876" s="16" t="s">
        <v>87</v>
      </c>
      <c r="J4876" s="19"/>
      <c r="L4876" s="16" t="str">
        <f>IFERROR(__xludf.DUMMYFUNCTION("""COMPUTED_VALUE"""),"")</f>
        <v/>
      </c>
      <c r="M4876" s="16" t="str">
        <f>IFERROR(__xludf.DUMMYFUNCTION("""COMPUTED_VALUE"""),"")</f>
        <v/>
      </c>
      <c r="U4876" s="16" t="s">
        <v>87</v>
      </c>
      <c r="V4876" s="16" t="str">
        <f>IFERROR(__xludf.DUMMYFUNCTION("""COMPUTED_VALUE"""),"")</f>
        <v/>
      </c>
      <c r="W4876" s="16" t="str">
        <f>IFERROR(__xludf.DUMMYFUNCTION("""COMPUTED_VALUE"""),"")</f>
        <v/>
      </c>
      <c r="X4876" s="16" t="str">
        <f>IFERROR(__xludf.DUMMYFUNCTION("""COMPUTED_VALUE"""),"")</f>
        <v/>
      </c>
      <c r="AC4876" s="16" t="str">
        <f>IFERROR(__xludf.DUMMYFUNCTION("""COMPUTED_VALUE"""),"")</f>
        <v/>
      </c>
    </row>
    <row r="4877">
      <c r="A4877" s="16" t="s">
        <v>87</v>
      </c>
      <c r="E4877" s="16" t="str">
        <f>IFERROR(__xludf.DUMMYFUNCTION("""COMPUTED_VALUE"""),"")</f>
        <v/>
      </c>
      <c r="G4877" s="18"/>
      <c r="H4877" s="16" t="s">
        <v>87</v>
      </c>
      <c r="I4877" s="16" t="s">
        <v>87</v>
      </c>
      <c r="J4877" s="19"/>
      <c r="L4877" s="16" t="str">
        <f>IFERROR(__xludf.DUMMYFUNCTION("""COMPUTED_VALUE"""),"")</f>
        <v/>
      </c>
      <c r="M4877" s="16" t="str">
        <f>IFERROR(__xludf.DUMMYFUNCTION("""COMPUTED_VALUE"""),"")</f>
        <v/>
      </c>
      <c r="U4877" s="16" t="s">
        <v>87</v>
      </c>
      <c r="V4877" s="16" t="str">
        <f>IFERROR(__xludf.DUMMYFUNCTION("""COMPUTED_VALUE"""),"")</f>
        <v/>
      </c>
      <c r="W4877" s="16" t="str">
        <f>IFERROR(__xludf.DUMMYFUNCTION("""COMPUTED_VALUE"""),"")</f>
        <v/>
      </c>
      <c r="X4877" s="16" t="str">
        <f>IFERROR(__xludf.DUMMYFUNCTION("""COMPUTED_VALUE"""),"")</f>
        <v/>
      </c>
      <c r="AC4877" s="16" t="str">
        <f>IFERROR(__xludf.DUMMYFUNCTION("""COMPUTED_VALUE"""),"")</f>
        <v/>
      </c>
    </row>
    <row r="4878">
      <c r="A4878" s="16" t="s">
        <v>87</v>
      </c>
      <c r="E4878" s="16" t="str">
        <f>IFERROR(__xludf.DUMMYFUNCTION("""COMPUTED_VALUE"""),"")</f>
        <v/>
      </c>
      <c r="G4878" s="18"/>
      <c r="H4878" s="16" t="s">
        <v>87</v>
      </c>
      <c r="I4878" s="16" t="s">
        <v>87</v>
      </c>
      <c r="J4878" s="19"/>
      <c r="L4878" s="16" t="str">
        <f>IFERROR(__xludf.DUMMYFUNCTION("""COMPUTED_VALUE"""),"")</f>
        <v/>
      </c>
      <c r="M4878" s="16" t="str">
        <f>IFERROR(__xludf.DUMMYFUNCTION("""COMPUTED_VALUE"""),"")</f>
        <v/>
      </c>
      <c r="U4878" s="16" t="s">
        <v>87</v>
      </c>
      <c r="V4878" s="16" t="str">
        <f>IFERROR(__xludf.DUMMYFUNCTION("""COMPUTED_VALUE"""),"")</f>
        <v/>
      </c>
      <c r="W4878" s="16" t="str">
        <f>IFERROR(__xludf.DUMMYFUNCTION("""COMPUTED_VALUE"""),"")</f>
        <v/>
      </c>
      <c r="X4878" s="16" t="str">
        <f>IFERROR(__xludf.DUMMYFUNCTION("""COMPUTED_VALUE"""),"")</f>
        <v/>
      </c>
      <c r="AC4878" s="16" t="str">
        <f>IFERROR(__xludf.DUMMYFUNCTION("""COMPUTED_VALUE"""),"")</f>
        <v/>
      </c>
    </row>
    <row r="4879">
      <c r="A4879" s="16" t="s">
        <v>87</v>
      </c>
      <c r="E4879" s="16" t="str">
        <f>IFERROR(__xludf.DUMMYFUNCTION("""COMPUTED_VALUE"""),"")</f>
        <v/>
      </c>
      <c r="G4879" s="18"/>
      <c r="H4879" s="16" t="s">
        <v>87</v>
      </c>
      <c r="I4879" s="16" t="s">
        <v>87</v>
      </c>
      <c r="J4879" s="19"/>
      <c r="L4879" s="16" t="str">
        <f>IFERROR(__xludf.DUMMYFUNCTION("""COMPUTED_VALUE"""),"")</f>
        <v/>
      </c>
      <c r="M4879" s="16" t="str">
        <f>IFERROR(__xludf.DUMMYFUNCTION("""COMPUTED_VALUE"""),"")</f>
        <v/>
      </c>
      <c r="U4879" s="16" t="s">
        <v>87</v>
      </c>
      <c r="V4879" s="16" t="str">
        <f>IFERROR(__xludf.DUMMYFUNCTION("""COMPUTED_VALUE"""),"")</f>
        <v/>
      </c>
      <c r="W4879" s="16" t="str">
        <f>IFERROR(__xludf.DUMMYFUNCTION("""COMPUTED_VALUE"""),"")</f>
        <v/>
      </c>
      <c r="X4879" s="16" t="str">
        <f>IFERROR(__xludf.DUMMYFUNCTION("""COMPUTED_VALUE"""),"")</f>
        <v/>
      </c>
      <c r="AC4879" s="16" t="str">
        <f>IFERROR(__xludf.DUMMYFUNCTION("""COMPUTED_VALUE"""),"")</f>
        <v/>
      </c>
    </row>
    <row r="4880">
      <c r="A4880" s="16" t="s">
        <v>87</v>
      </c>
      <c r="E4880" s="16" t="str">
        <f>IFERROR(__xludf.DUMMYFUNCTION("""COMPUTED_VALUE"""),"")</f>
        <v/>
      </c>
      <c r="G4880" s="18"/>
      <c r="H4880" s="16" t="s">
        <v>87</v>
      </c>
      <c r="I4880" s="16" t="s">
        <v>87</v>
      </c>
      <c r="J4880" s="19"/>
      <c r="L4880" s="16" t="str">
        <f>IFERROR(__xludf.DUMMYFUNCTION("""COMPUTED_VALUE"""),"")</f>
        <v/>
      </c>
      <c r="M4880" s="16" t="str">
        <f>IFERROR(__xludf.DUMMYFUNCTION("""COMPUTED_VALUE"""),"")</f>
        <v/>
      </c>
      <c r="U4880" s="16" t="s">
        <v>87</v>
      </c>
      <c r="V4880" s="16" t="str">
        <f>IFERROR(__xludf.DUMMYFUNCTION("""COMPUTED_VALUE"""),"")</f>
        <v/>
      </c>
      <c r="W4880" s="16" t="str">
        <f>IFERROR(__xludf.DUMMYFUNCTION("""COMPUTED_VALUE"""),"")</f>
        <v/>
      </c>
      <c r="X4880" s="16" t="str">
        <f>IFERROR(__xludf.DUMMYFUNCTION("""COMPUTED_VALUE"""),"")</f>
        <v/>
      </c>
      <c r="AC4880" s="16" t="str">
        <f>IFERROR(__xludf.DUMMYFUNCTION("""COMPUTED_VALUE"""),"")</f>
        <v/>
      </c>
    </row>
    <row r="4881">
      <c r="A4881" s="16" t="s">
        <v>87</v>
      </c>
      <c r="E4881" s="16" t="str">
        <f>IFERROR(__xludf.DUMMYFUNCTION("""COMPUTED_VALUE"""),"")</f>
        <v/>
      </c>
      <c r="G4881" s="18"/>
      <c r="H4881" s="16" t="s">
        <v>87</v>
      </c>
      <c r="I4881" s="16" t="s">
        <v>87</v>
      </c>
      <c r="J4881" s="19"/>
      <c r="L4881" s="16" t="str">
        <f>IFERROR(__xludf.DUMMYFUNCTION("""COMPUTED_VALUE"""),"")</f>
        <v/>
      </c>
      <c r="M4881" s="16" t="str">
        <f>IFERROR(__xludf.DUMMYFUNCTION("""COMPUTED_VALUE"""),"")</f>
        <v/>
      </c>
      <c r="U4881" s="16" t="s">
        <v>87</v>
      </c>
      <c r="V4881" s="16" t="str">
        <f>IFERROR(__xludf.DUMMYFUNCTION("""COMPUTED_VALUE"""),"")</f>
        <v/>
      </c>
      <c r="W4881" s="16" t="str">
        <f>IFERROR(__xludf.DUMMYFUNCTION("""COMPUTED_VALUE"""),"")</f>
        <v/>
      </c>
      <c r="X4881" s="16" t="str">
        <f>IFERROR(__xludf.DUMMYFUNCTION("""COMPUTED_VALUE"""),"")</f>
        <v/>
      </c>
      <c r="AC4881" s="16" t="str">
        <f>IFERROR(__xludf.DUMMYFUNCTION("""COMPUTED_VALUE"""),"")</f>
        <v/>
      </c>
    </row>
    <row r="4882">
      <c r="A4882" s="16" t="s">
        <v>87</v>
      </c>
      <c r="E4882" s="16" t="str">
        <f>IFERROR(__xludf.DUMMYFUNCTION("""COMPUTED_VALUE"""),"")</f>
        <v/>
      </c>
      <c r="G4882" s="18"/>
      <c r="H4882" s="16" t="s">
        <v>87</v>
      </c>
      <c r="I4882" s="16" t="s">
        <v>87</v>
      </c>
      <c r="J4882" s="19"/>
      <c r="L4882" s="16" t="str">
        <f>IFERROR(__xludf.DUMMYFUNCTION("""COMPUTED_VALUE"""),"")</f>
        <v/>
      </c>
      <c r="M4882" s="16" t="str">
        <f>IFERROR(__xludf.DUMMYFUNCTION("""COMPUTED_VALUE"""),"")</f>
        <v/>
      </c>
      <c r="U4882" s="16" t="s">
        <v>87</v>
      </c>
      <c r="V4882" s="16" t="str">
        <f>IFERROR(__xludf.DUMMYFUNCTION("""COMPUTED_VALUE"""),"")</f>
        <v/>
      </c>
      <c r="W4882" s="16" t="str">
        <f>IFERROR(__xludf.DUMMYFUNCTION("""COMPUTED_VALUE"""),"")</f>
        <v/>
      </c>
      <c r="X4882" s="16" t="str">
        <f>IFERROR(__xludf.DUMMYFUNCTION("""COMPUTED_VALUE"""),"")</f>
        <v/>
      </c>
      <c r="AC4882" s="16" t="str">
        <f>IFERROR(__xludf.DUMMYFUNCTION("""COMPUTED_VALUE"""),"")</f>
        <v/>
      </c>
    </row>
    <row r="4883">
      <c r="A4883" s="16" t="s">
        <v>87</v>
      </c>
      <c r="E4883" s="16" t="str">
        <f>IFERROR(__xludf.DUMMYFUNCTION("""COMPUTED_VALUE"""),"")</f>
        <v/>
      </c>
      <c r="G4883" s="18"/>
      <c r="H4883" s="16" t="s">
        <v>87</v>
      </c>
      <c r="I4883" s="16" t="s">
        <v>87</v>
      </c>
      <c r="J4883" s="19"/>
      <c r="L4883" s="16" t="str">
        <f>IFERROR(__xludf.DUMMYFUNCTION("""COMPUTED_VALUE"""),"")</f>
        <v/>
      </c>
      <c r="M4883" s="16" t="str">
        <f>IFERROR(__xludf.DUMMYFUNCTION("""COMPUTED_VALUE"""),"")</f>
        <v/>
      </c>
      <c r="U4883" s="16" t="s">
        <v>87</v>
      </c>
      <c r="V4883" s="16" t="str">
        <f>IFERROR(__xludf.DUMMYFUNCTION("""COMPUTED_VALUE"""),"")</f>
        <v/>
      </c>
      <c r="W4883" s="16" t="str">
        <f>IFERROR(__xludf.DUMMYFUNCTION("""COMPUTED_VALUE"""),"")</f>
        <v/>
      </c>
      <c r="X4883" s="16" t="str">
        <f>IFERROR(__xludf.DUMMYFUNCTION("""COMPUTED_VALUE"""),"")</f>
        <v/>
      </c>
      <c r="AC4883" s="16" t="str">
        <f>IFERROR(__xludf.DUMMYFUNCTION("""COMPUTED_VALUE"""),"")</f>
        <v/>
      </c>
    </row>
    <row r="4884">
      <c r="A4884" s="16" t="s">
        <v>87</v>
      </c>
      <c r="E4884" s="16" t="str">
        <f>IFERROR(__xludf.DUMMYFUNCTION("""COMPUTED_VALUE"""),"")</f>
        <v/>
      </c>
      <c r="G4884" s="18"/>
      <c r="H4884" s="16" t="s">
        <v>87</v>
      </c>
      <c r="I4884" s="16" t="s">
        <v>87</v>
      </c>
      <c r="J4884" s="19"/>
      <c r="L4884" s="16" t="str">
        <f>IFERROR(__xludf.DUMMYFUNCTION("""COMPUTED_VALUE"""),"")</f>
        <v/>
      </c>
      <c r="M4884" s="16" t="str">
        <f>IFERROR(__xludf.DUMMYFUNCTION("""COMPUTED_VALUE"""),"")</f>
        <v/>
      </c>
      <c r="U4884" s="16" t="s">
        <v>87</v>
      </c>
      <c r="V4884" s="16" t="str">
        <f>IFERROR(__xludf.DUMMYFUNCTION("""COMPUTED_VALUE"""),"")</f>
        <v/>
      </c>
      <c r="W4884" s="16" t="str">
        <f>IFERROR(__xludf.DUMMYFUNCTION("""COMPUTED_VALUE"""),"")</f>
        <v/>
      </c>
      <c r="X4884" s="16" t="str">
        <f>IFERROR(__xludf.DUMMYFUNCTION("""COMPUTED_VALUE"""),"")</f>
        <v/>
      </c>
      <c r="AC4884" s="16" t="str">
        <f>IFERROR(__xludf.DUMMYFUNCTION("""COMPUTED_VALUE"""),"")</f>
        <v/>
      </c>
    </row>
    <row r="4885">
      <c r="A4885" s="16" t="s">
        <v>87</v>
      </c>
      <c r="E4885" s="16" t="str">
        <f>IFERROR(__xludf.DUMMYFUNCTION("""COMPUTED_VALUE"""),"")</f>
        <v/>
      </c>
      <c r="G4885" s="18"/>
      <c r="H4885" s="16" t="s">
        <v>87</v>
      </c>
      <c r="I4885" s="16" t="s">
        <v>87</v>
      </c>
      <c r="J4885" s="19"/>
      <c r="L4885" s="16" t="str">
        <f>IFERROR(__xludf.DUMMYFUNCTION("""COMPUTED_VALUE"""),"")</f>
        <v/>
      </c>
      <c r="M4885" s="16" t="str">
        <f>IFERROR(__xludf.DUMMYFUNCTION("""COMPUTED_VALUE"""),"")</f>
        <v/>
      </c>
      <c r="U4885" s="16" t="s">
        <v>87</v>
      </c>
      <c r="V4885" s="16" t="str">
        <f>IFERROR(__xludf.DUMMYFUNCTION("""COMPUTED_VALUE"""),"")</f>
        <v/>
      </c>
      <c r="W4885" s="16" t="str">
        <f>IFERROR(__xludf.DUMMYFUNCTION("""COMPUTED_VALUE"""),"")</f>
        <v/>
      </c>
      <c r="X4885" s="16" t="str">
        <f>IFERROR(__xludf.DUMMYFUNCTION("""COMPUTED_VALUE"""),"")</f>
        <v/>
      </c>
      <c r="AC4885" s="16" t="str">
        <f>IFERROR(__xludf.DUMMYFUNCTION("""COMPUTED_VALUE"""),"")</f>
        <v/>
      </c>
    </row>
    <row r="4886">
      <c r="A4886" s="16" t="s">
        <v>87</v>
      </c>
      <c r="E4886" s="16" t="str">
        <f>IFERROR(__xludf.DUMMYFUNCTION("""COMPUTED_VALUE"""),"")</f>
        <v/>
      </c>
      <c r="G4886" s="18"/>
      <c r="H4886" s="16" t="s">
        <v>87</v>
      </c>
      <c r="I4886" s="16" t="s">
        <v>87</v>
      </c>
      <c r="J4886" s="19"/>
      <c r="L4886" s="16" t="str">
        <f>IFERROR(__xludf.DUMMYFUNCTION("""COMPUTED_VALUE"""),"")</f>
        <v/>
      </c>
      <c r="M4886" s="16" t="str">
        <f>IFERROR(__xludf.DUMMYFUNCTION("""COMPUTED_VALUE"""),"")</f>
        <v/>
      </c>
      <c r="U4886" s="16" t="s">
        <v>87</v>
      </c>
      <c r="V4886" s="16" t="str">
        <f>IFERROR(__xludf.DUMMYFUNCTION("""COMPUTED_VALUE"""),"")</f>
        <v/>
      </c>
      <c r="W4886" s="16" t="str">
        <f>IFERROR(__xludf.DUMMYFUNCTION("""COMPUTED_VALUE"""),"")</f>
        <v/>
      </c>
      <c r="X4886" s="16" t="str">
        <f>IFERROR(__xludf.DUMMYFUNCTION("""COMPUTED_VALUE"""),"")</f>
        <v/>
      </c>
      <c r="AC4886" s="16" t="str">
        <f>IFERROR(__xludf.DUMMYFUNCTION("""COMPUTED_VALUE"""),"")</f>
        <v/>
      </c>
    </row>
    <row r="4887">
      <c r="A4887" s="16" t="s">
        <v>87</v>
      </c>
      <c r="E4887" s="16" t="str">
        <f>IFERROR(__xludf.DUMMYFUNCTION("""COMPUTED_VALUE"""),"")</f>
        <v/>
      </c>
      <c r="G4887" s="18"/>
      <c r="H4887" s="16" t="s">
        <v>87</v>
      </c>
      <c r="I4887" s="16" t="s">
        <v>87</v>
      </c>
      <c r="J4887" s="19"/>
      <c r="L4887" s="16" t="str">
        <f>IFERROR(__xludf.DUMMYFUNCTION("""COMPUTED_VALUE"""),"")</f>
        <v/>
      </c>
      <c r="M4887" s="16" t="str">
        <f>IFERROR(__xludf.DUMMYFUNCTION("""COMPUTED_VALUE"""),"")</f>
        <v/>
      </c>
      <c r="U4887" s="16" t="s">
        <v>87</v>
      </c>
      <c r="V4887" s="16" t="str">
        <f>IFERROR(__xludf.DUMMYFUNCTION("""COMPUTED_VALUE"""),"")</f>
        <v/>
      </c>
      <c r="W4887" s="16" t="str">
        <f>IFERROR(__xludf.DUMMYFUNCTION("""COMPUTED_VALUE"""),"")</f>
        <v/>
      </c>
      <c r="X4887" s="16" t="str">
        <f>IFERROR(__xludf.DUMMYFUNCTION("""COMPUTED_VALUE"""),"")</f>
        <v/>
      </c>
      <c r="AC4887" s="16" t="str">
        <f>IFERROR(__xludf.DUMMYFUNCTION("""COMPUTED_VALUE"""),"")</f>
        <v/>
      </c>
    </row>
    <row r="4888">
      <c r="A4888" s="16" t="s">
        <v>87</v>
      </c>
      <c r="E4888" s="16" t="str">
        <f>IFERROR(__xludf.DUMMYFUNCTION("""COMPUTED_VALUE"""),"")</f>
        <v/>
      </c>
      <c r="G4888" s="18"/>
      <c r="H4888" s="16" t="s">
        <v>87</v>
      </c>
      <c r="I4888" s="16" t="s">
        <v>87</v>
      </c>
      <c r="J4888" s="19"/>
      <c r="L4888" s="16" t="str">
        <f>IFERROR(__xludf.DUMMYFUNCTION("""COMPUTED_VALUE"""),"")</f>
        <v/>
      </c>
      <c r="M4888" s="16" t="str">
        <f>IFERROR(__xludf.DUMMYFUNCTION("""COMPUTED_VALUE"""),"")</f>
        <v/>
      </c>
      <c r="U4888" s="16" t="s">
        <v>87</v>
      </c>
      <c r="V4888" s="16" t="str">
        <f>IFERROR(__xludf.DUMMYFUNCTION("""COMPUTED_VALUE"""),"")</f>
        <v/>
      </c>
      <c r="W4888" s="16" t="str">
        <f>IFERROR(__xludf.DUMMYFUNCTION("""COMPUTED_VALUE"""),"")</f>
        <v/>
      </c>
      <c r="X4888" s="16" t="str">
        <f>IFERROR(__xludf.DUMMYFUNCTION("""COMPUTED_VALUE"""),"")</f>
        <v/>
      </c>
      <c r="AC4888" s="16" t="str">
        <f>IFERROR(__xludf.DUMMYFUNCTION("""COMPUTED_VALUE"""),"")</f>
        <v/>
      </c>
    </row>
    <row r="4889">
      <c r="A4889" s="16" t="s">
        <v>87</v>
      </c>
      <c r="E4889" s="16" t="str">
        <f>IFERROR(__xludf.DUMMYFUNCTION("""COMPUTED_VALUE"""),"")</f>
        <v/>
      </c>
      <c r="G4889" s="18"/>
      <c r="H4889" s="16" t="s">
        <v>87</v>
      </c>
      <c r="I4889" s="16" t="s">
        <v>87</v>
      </c>
      <c r="J4889" s="19"/>
      <c r="L4889" s="16" t="str">
        <f>IFERROR(__xludf.DUMMYFUNCTION("""COMPUTED_VALUE"""),"")</f>
        <v/>
      </c>
      <c r="M4889" s="16" t="str">
        <f>IFERROR(__xludf.DUMMYFUNCTION("""COMPUTED_VALUE"""),"")</f>
        <v/>
      </c>
      <c r="U4889" s="16" t="s">
        <v>87</v>
      </c>
      <c r="V4889" s="16" t="str">
        <f>IFERROR(__xludf.DUMMYFUNCTION("""COMPUTED_VALUE"""),"")</f>
        <v/>
      </c>
      <c r="W4889" s="16" t="str">
        <f>IFERROR(__xludf.DUMMYFUNCTION("""COMPUTED_VALUE"""),"")</f>
        <v/>
      </c>
      <c r="X4889" s="16" t="str">
        <f>IFERROR(__xludf.DUMMYFUNCTION("""COMPUTED_VALUE"""),"")</f>
        <v/>
      </c>
      <c r="AC4889" s="16" t="str">
        <f>IFERROR(__xludf.DUMMYFUNCTION("""COMPUTED_VALUE"""),"")</f>
        <v/>
      </c>
    </row>
    <row r="4890">
      <c r="A4890" s="16" t="s">
        <v>87</v>
      </c>
      <c r="E4890" s="16" t="str">
        <f>IFERROR(__xludf.DUMMYFUNCTION("""COMPUTED_VALUE"""),"")</f>
        <v/>
      </c>
      <c r="G4890" s="18"/>
      <c r="H4890" s="16" t="s">
        <v>87</v>
      </c>
      <c r="I4890" s="16" t="s">
        <v>87</v>
      </c>
      <c r="J4890" s="19"/>
      <c r="L4890" s="16" t="str">
        <f>IFERROR(__xludf.DUMMYFUNCTION("""COMPUTED_VALUE"""),"")</f>
        <v/>
      </c>
      <c r="M4890" s="16" t="str">
        <f>IFERROR(__xludf.DUMMYFUNCTION("""COMPUTED_VALUE"""),"")</f>
        <v/>
      </c>
      <c r="U4890" s="16" t="s">
        <v>87</v>
      </c>
      <c r="V4890" s="16" t="str">
        <f>IFERROR(__xludf.DUMMYFUNCTION("""COMPUTED_VALUE"""),"")</f>
        <v/>
      </c>
      <c r="W4890" s="16" t="str">
        <f>IFERROR(__xludf.DUMMYFUNCTION("""COMPUTED_VALUE"""),"")</f>
        <v/>
      </c>
      <c r="X4890" s="16" t="str">
        <f>IFERROR(__xludf.DUMMYFUNCTION("""COMPUTED_VALUE"""),"")</f>
        <v/>
      </c>
      <c r="AC4890" s="16" t="str">
        <f>IFERROR(__xludf.DUMMYFUNCTION("""COMPUTED_VALUE"""),"")</f>
        <v/>
      </c>
    </row>
    <row r="4891">
      <c r="A4891" s="16" t="s">
        <v>87</v>
      </c>
      <c r="E4891" s="16" t="str">
        <f>IFERROR(__xludf.DUMMYFUNCTION("""COMPUTED_VALUE"""),"")</f>
        <v/>
      </c>
      <c r="G4891" s="18"/>
      <c r="H4891" s="16" t="s">
        <v>87</v>
      </c>
      <c r="I4891" s="16" t="s">
        <v>87</v>
      </c>
      <c r="J4891" s="19"/>
      <c r="L4891" s="16" t="str">
        <f>IFERROR(__xludf.DUMMYFUNCTION("""COMPUTED_VALUE"""),"")</f>
        <v/>
      </c>
      <c r="M4891" s="16" t="str">
        <f>IFERROR(__xludf.DUMMYFUNCTION("""COMPUTED_VALUE"""),"")</f>
        <v/>
      </c>
      <c r="U4891" s="16" t="s">
        <v>87</v>
      </c>
      <c r="V4891" s="16" t="str">
        <f>IFERROR(__xludf.DUMMYFUNCTION("""COMPUTED_VALUE"""),"")</f>
        <v/>
      </c>
      <c r="W4891" s="16" t="str">
        <f>IFERROR(__xludf.DUMMYFUNCTION("""COMPUTED_VALUE"""),"")</f>
        <v/>
      </c>
      <c r="X4891" s="16" t="str">
        <f>IFERROR(__xludf.DUMMYFUNCTION("""COMPUTED_VALUE"""),"")</f>
        <v/>
      </c>
      <c r="AC4891" s="16" t="str">
        <f>IFERROR(__xludf.DUMMYFUNCTION("""COMPUTED_VALUE"""),"")</f>
        <v/>
      </c>
    </row>
    <row r="4892">
      <c r="A4892" s="16" t="s">
        <v>87</v>
      </c>
      <c r="E4892" s="16" t="str">
        <f>IFERROR(__xludf.DUMMYFUNCTION("""COMPUTED_VALUE"""),"")</f>
        <v/>
      </c>
      <c r="G4892" s="18"/>
      <c r="H4892" s="16" t="s">
        <v>87</v>
      </c>
      <c r="I4892" s="16" t="s">
        <v>87</v>
      </c>
      <c r="J4892" s="19"/>
      <c r="L4892" s="16" t="str">
        <f>IFERROR(__xludf.DUMMYFUNCTION("""COMPUTED_VALUE"""),"")</f>
        <v/>
      </c>
      <c r="M4892" s="16" t="str">
        <f>IFERROR(__xludf.DUMMYFUNCTION("""COMPUTED_VALUE"""),"")</f>
        <v/>
      </c>
      <c r="U4892" s="16" t="s">
        <v>87</v>
      </c>
      <c r="V4892" s="16" t="str">
        <f>IFERROR(__xludf.DUMMYFUNCTION("""COMPUTED_VALUE"""),"")</f>
        <v/>
      </c>
      <c r="W4892" s="16" t="str">
        <f>IFERROR(__xludf.DUMMYFUNCTION("""COMPUTED_VALUE"""),"")</f>
        <v/>
      </c>
      <c r="X4892" s="16" t="str">
        <f>IFERROR(__xludf.DUMMYFUNCTION("""COMPUTED_VALUE"""),"")</f>
        <v/>
      </c>
      <c r="AC4892" s="16" t="str">
        <f>IFERROR(__xludf.DUMMYFUNCTION("""COMPUTED_VALUE"""),"")</f>
        <v/>
      </c>
    </row>
    <row r="4893">
      <c r="A4893" s="16" t="s">
        <v>87</v>
      </c>
      <c r="E4893" s="16" t="str">
        <f>IFERROR(__xludf.DUMMYFUNCTION("""COMPUTED_VALUE"""),"")</f>
        <v/>
      </c>
      <c r="G4893" s="18"/>
      <c r="H4893" s="16" t="s">
        <v>87</v>
      </c>
      <c r="I4893" s="16" t="s">
        <v>87</v>
      </c>
      <c r="J4893" s="19"/>
      <c r="L4893" s="16" t="str">
        <f>IFERROR(__xludf.DUMMYFUNCTION("""COMPUTED_VALUE"""),"")</f>
        <v/>
      </c>
      <c r="M4893" s="16" t="str">
        <f>IFERROR(__xludf.DUMMYFUNCTION("""COMPUTED_VALUE"""),"")</f>
        <v/>
      </c>
      <c r="U4893" s="16" t="s">
        <v>87</v>
      </c>
      <c r="V4893" s="16" t="str">
        <f>IFERROR(__xludf.DUMMYFUNCTION("""COMPUTED_VALUE"""),"")</f>
        <v/>
      </c>
      <c r="W4893" s="16" t="str">
        <f>IFERROR(__xludf.DUMMYFUNCTION("""COMPUTED_VALUE"""),"")</f>
        <v/>
      </c>
      <c r="X4893" s="16" t="str">
        <f>IFERROR(__xludf.DUMMYFUNCTION("""COMPUTED_VALUE"""),"")</f>
        <v/>
      </c>
      <c r="AC4893" s="16" t="str">
        <f>IFERROR(__xludf.DUMMYFUNCTION("""COMPUTED_VALUE"""),"")</f>
        <v/>
      </c>
    </row>
    <row r="4894">
      <c r="A4894" s="16" t="s">
        <v>87</v>
      </c>
      <c r="E4894" s="16" t="str">
        <f>IFERROR(__xludf.DUMMYFUNCTION("""COMPUTED_VALUE"""),"")</f>
        <v/>
      </c>
      <c r="G4894" s="18"/>
      <c r="H4894" s="16" t="s">
        <v>87</v>
      </c>
      <c r="I4894" s="16" t="s">
        <v>87</v>
      </c>
      <c r="J4894" s="19"/>
      <c r="L4894" s="16" t="str">
        <f>IFERROR(__xludf.DUMMYFUNCTION("""COMPUTED_VALUE"""),"")</f>
        <v/>
      </c>
      <c r="M4894" s="16" t="str">
        <f>IFERROR(__xludf.DUMMYFUNCTION("""COMPUTED_VALUE"""),"")</f>
        <v/>
      </c>
      <c r="U4894" s="16" t="s">
        <v>87</v>
      </c>
      <c r="V4894" s="16" t="str">
        <f>IFERROR(__xludf.DUMMYFUNCTION("""COMPUTED_VALUE"""),"")</f>
        <v/>
      </c>
      <c r="W4894" s="16" t="str">
        <f>IFERROR(__xludf.DUMMYFUNCTION("""COMPUTED_VALUE"""),"")</f>
        <v/>
      </c>
      <c r="X4894" s="16" t="str">
        <f>IFERROR(__xludf.DUMMYFUNCTION("""COMPUTED_VALUE"""),"")</f>
        <v/>
      </c>
      <c r="AC4894" s="16" t="str">
        <f>IFERROR(__xludf.DUMMYFUNCTION("""COMPUTED_VALUE"""),"")</f>
        <v/>
      </c>
    </row>
    <row r="4895">
      <c r="A4895" s="16" t="s">
        <v>87</v>
      </c>
      <c r="E4895" s="16" t="str">
        <f>IFERROR(__xludf.DUMMYFUNCTION("""COMPUTED_VALUE"""),"")</f>
        <v/>
      </c>
      <c r="G4895" s="18"/>
      <c r="H4895" s="16" t="s">
        <v>87</v>
      </c>
      <c r="I4895" s="16" t="s">
        <v>87</v>
      </c>
      <c r="J4895" s="19"/>
      <c r="L4895" s="16" t="str">
        <f>IFERROR(__xludf.DUMMYFUNCTION("""COMPUTED_VALUE"""),"")</f>
        <v/>
      </c>
      <c r="M4895" s="16" t="str">
        <f>IFERROR(__xludf.DUMMYFUNCTION("""COMPUTED_VALUE"""),"")</f>
        <v/>
      </c>
      <c r="U4895" s="16" t="s">
        <v>87</v>
      </c>
      <c r="V4895" s="16" t="str">
        <f>IFERROR(__xludf.DUMMYFUNCTION("""COMPUTED_VALUE"""),"")</f>
        <v/>
      </c>
      <c r="W4895" s="16" t="str">
        <f>IFERROR(__xludf.DUMMYFUNCTION("""COMPUTED_VALUE"""),"")</f>
        <v/>
      </c>
      <c r="X4895" s="16" t="str">
        <f>IFERROR(__xludf.DUMMYFUNCTION("""COMPUTED_VALUE"""),"")</f>
        <v/>
      </c>
      <c r="AC4895" s="16" t="str">
        <f>IFERROR(__xludf.DUMMYFUNCTION("""COMPUTED_VALUE"""),"")</f>
        <v/>
      </c>
    </row>
    <row r="4896">
      <c r="A4896" s="16" t="s">
        <v>87</v>
      </c>
      <c r="E4896" s="16" t="str">
        <f>IFERROR(__xludf.DUMMYFUNCTION("""COMPUTED_VALUE"""),"")</f>
        <v/>
      </c>
      <c r="G4896" s="18"/>
      <c r="H4896" s="16" t="s">
        <v>87</v>
      </c>
      <c r="I4896" s="16" t="s">
        <v>87</v>
      </c>
      <c r="J4896" s="19"/>
      <c r="L4896" s="16" t="str">
        <f>IFERROR(__xludf.DUMMYFUNCTION("""COMPUTED_VALUE"""),"")</f>
        <v/>
      </c>
      <c r="M4896" s="16" t="str">
        <f>IFERROR(__xludf.DUMMYFUNCTION("""COMPUTED_VALUE"""),"")</f>
        <v/>
      </c>
      <c r="U4896" s="16" t="s">
        <v>87</v>
      </c>
      <c r="V4896" s="16" t="str">
        <f>IFERROR(__xludf.DUMMYFUNCTION("""COMPUTED_VALUE"""),"")</f>
        <v/>
      </c>
      <c r="W4896" s="16" t="str">
        <f>IFERROR(__xludf.DUMMYFUNCTION("""COMPUTED_VALUE"""),"")</f>
        <v/>
      </c>
      <c r="X4896" s="16" t="str">
        <f>IFERROR(__xludf.DUMMYFUNCTION("""COMPUTED_VALUE"""),"")</f>
        <v/>
      </c>
      <c r="AC4896" s="16" t="str">
        <f>IFERROR(__xludf.DUMMYFUNCTION("""COMPUTED_VALUE"""),"")</f>
        <v/>
      </c>
    </row>
    <row r="4897">
      <c r="A4897" s="16" t="s">
        <v>87</v>
      </c>
      <c r="E4897" s="16" t="str">
        <f>IFERROR(__xludf.DUMMYFUNCTION("""COMPUTED_VALUE"""),"")</f>
        <v/>
      </c>
      <c r="G4897" s="18"/>
      <c r="H4897" s="16" t="s">
        <v>87</v>
      </c>
      <c r="I4897" s="16" t="s">
        <v>87</v>
      </c>
      <c r="J4897" s="19"/>
      <c r="L4897" s="16" t="str">
        <f>IFERROR(__xludf.DUMMYFUNCTION("""COMPUTED_VALUE"""),"")</f>
        <v/>
      </c>
      <c r="M4897" s="16" t="str">
        <f>IFERROR(__xludf.DUMMYFUNCTION("""COMPUTED_VALUE"""),"")</f>
        <v/>
      </c>
      <c r="U4897" s="16" t="s">
        <v>87</v>
      </c>
      <c r="V4897" s="16" t="str">
        <f>IFERROR(__xludf.DUMMYFUNCTION("""COMPUTED_VALUE"""),"")</f>
        <v/>
      </c>
      <c r="W4897" s="16" t="str">
        <f>IFERROR(__xludf.DUMMYFUNCTION("""COMPUTED_VALUE"""),"")</f>
        <v/>
      </c>
      <c r="X4897" s="16" t="str">
        <f>IFERROR(__xludf.DUMMYFUNCTION("""COMPUTED_VALUE"""),"")</f>
        <v/>
      </c>
      <c r="AC4897" s="16" t="str">
        <f>IFERROR(__xludf.DUMMYFUNCTION("""COMPUTED_VALUE"""),"")</f>
        <v/>
      </c>
    </row>
    <row r="4898">
      <c r="A4898" s="16" t="s">
        <v>87</v>
      </c>
      <c r="E4898" s="16" t="str">
        <f>IFERROR(__xludf.DUMMYFUNCTION("""COMPUTED_VALUE"""),"")</f>
        <v/>
      </c>
      <c r="G4898" s="18"/>
      <c r="H4898" s="16" t="s">
        <v>87</v>
      </c>
      <c r="I4898" s="16" t="s">
        <v>87</v>
      </c>
      <c r="J4898" s="19"/>
      <c r="L4898" s="16" t="str">
        <f>IFERROR(__xludf.DUMMYFUNCTION("""COMPUTED_VALUE"""),"")</f>
        <v/>
      </c>
      <c r="M4898" s="16" t="str">
        <f>IFERROR(__xludf.DUMMYFUNCTION("""COMPUTED_VALUE"""),"")</f>
        <v/>
      </c>
      <c r="U4898" s="16" t="s">
        <v>87</v>
      </c>
      <c r="V4898" s="16" t="str">
        <f>IFERROR(__xludf.DUMMYFUNCTION("""COMPUTED_VALUE"""),"")</f>
        <v/>
      </c>
      <c r="W4898" s="16" t="str">
        <f>IFERROR(__xludf.DUMMYFUNCTION("""COMPUTED_VALUE"""),"")</f>
        <v/>
      </c>
      <c r="X4898" s="16" t="str">
        <f>IFERROR(__xludf.DUMMYFUNCTION("""COMPUTED_VALUE"""),"")</f>
        <v/>
      </c>
      <c r="AC4898" s="16" t="str">
        <f>IFERROR(__xludf.DUMMYFUNCTION("""COMPUTED_VALUE"""),"")</f>
        <v/>
      </c>
    </row>
    <row r="4899">
      <c r="A4899" s="16" t="s">
        <v>87</v>
      </c>
      <c r="E4899" s="16" t="str">
        <f>IFERROR(__xludf.DUMMYFUNCTION("""COMPUTED_VALUE"""),"")</f>
        <v/>
      </c>
      <c r="G4899" s="18"/>
      <c r="H4899" s="16" t="s">
        <v>87</v>
      </c>
      <c r="I4899" s="16" t="s">
        <v>87</v>
      </c>
      <c r="J4899" s="19"/>
      <c r="L4899" s="16" t="str">
        <f>IFERROR(__xludf.DUMMYFUNCTION("""COMPUTED_VALUE"""),"")</f>
        <v/>
      </c>
      <c r="M4899" s="16" t="str">
        <f>IFERROR(__xludf.DUMMYFUNCTION("""COMPUTED_VALUE"""),"")</f>
        <v/>
      </c>
      <c r="U4899" s="16" t="s">
        <v>87</v>
      </c>
      <c r="V4899" s="16" t="str">
        <f>IFERROR(__xludf.DUMMYFUNCTION("""COMPUTED_VALUE"""),"")</f>
        <v/>
      </c>
      <c r="W4899" s="16" t="str">
        <f>IFERROR(__xludf.DUMMYFUNCTION("""COMPUTED_VALUE"""),"")</f>
        <v/>
      </c>
      <c r="X4899" s="16" t="str">
        <f>IFERROR(__xludf.DUMMYFUNCTION("""COMPUTED_VALUE"""),"")</f>
        <v/>
      </c>
      <c r="AC4899" s="16" t="str">
        <f>IFERROR(__xludf.DUMMYFUNCTION("""COMPUTED_VALUE"""),"")</f>
        <v/>
      </c>
    </row>
    <row r="4900">
      <c r="A4900" s="16" t="s">
        <v>87</v>
      </c>
      <c r="E4900" s="16" t="str">
        <f>IFERROR(__xludf.DUMMYFUNCTION("""COMPUTED_VALUE"""),"")</f>
        <v/>
      </c>
      <c r="G4900" s="18"/>
      <c r="H4900" s="16" t="s">
        <v>87</v>
      </c>
      <c r="I4900" s="16" t="s">
        <v>87</v>
      </c>
      <c r="J4900" s="19"/>
      <c r="L4900" s="16" t="str">
        <f>IFERROR(__xludf.DUMMYFUNCTION("""COMPUTED_VALUE"""),"")</f>
        <v/>
      </c>
      <c r="M4900" s="16" t="str">
        <f>IFERROR(__xludf.DUMMYFUNCTION("""COMPUTED_VALUE"""),"")</f>
        <v/>
      </c>
      <c r="U4900" s="16" t="s">
        <v>87</v>
      </c>
      <c r="V4900" s="16" t="str">
        <f>IFERROR(__xludf.DUMMYFUNCTION("""COMPUTED_VALUE"""),"")</f>
        <v/>
      </c>
      <c r="W4900" s="16" t="str">
        <f>IFERROR(__xludf.DUMMYFUNCTION("""COMPUTED_VALUE"""),"")</f>
        <v/>
      </c>
      <c r="X4900" s="16" t="str">
        <f>IFERROR(__xludf.DUMMYFUNCTION("""COMPUTED_VALUE"""),"")</f>
        <v/>
      </c>
      <c r="AC4900" s="16" t="str">
        <f>IFERROR(__xludf.DUMMYFUNCTION("""COMPUTED_VALUE"""),"")</f>
        <v/>
      </c>
    </row>
    <row r="4901">
      <c r="A4901" s="16" t="s">
        <v>87</v>
      </c>
      <c r="E4901" s="16" t="str">
        <f>IFERROR(__xludf.DUMMYFUNCTION("""COMPUTED_VALUE"""),"")</f>
        <v/>
      </c>
      <c r="G4901" s="18"/>
      <c r="H4901" s="16" t="s">
        <v>87</v>
      </c>
      <c r="I4901" s="16" t="s">
        <v>87</v>
      </c>
      <c r="J4901" s="19"/>
      <c r="L4901" s="16" t="str">
        <f>IFERROR(__xludf.DUMMYFUNCTION("""COMPUTED_VALUE"""),"")</f>
        <v/>
      </c>
      <c r="M4901" s="16" t="str">
        <f>IFERROR(__xludf.DUMMYFUNCTION("""COMPUTED_VALUE"""),"")</f>
        <v/>
      </c>
      <c r="U4901" s="16" t="s">
        <v>87</v>
      </c>
      <c r="V4901" s="16" t="str">
        <f>IFERROR(__xludf.DUMMYFUNCTION("""COMPUTED_VALUE"""),"")</f>
        <v/>
      </c>
      <c r="W4901" s="16" t="str">
        <f>IFERROR(__xludf.DUMMYFUNCTION("""COMPUTED_VALUE"""),"")</f>
        <v/>
      </c>
      <c r="X4901" s="16" t="str">
        <f>IFERROR(__xludf.DUMMYFUNCTION("""COMPUTED_VALUE"""),"")</f>
        <v/>
      </c>
      <c r="AC4901" s="16" t="str">
        <f>IFERROR(__xludf.DUMMYFUNCTION("""COMPUTED_VALUE"""),"")</f>
        <v/>
      </c>
    </row>
    <row r="4902">
      <c r="A4902" s="16" t="s">
        <v>87</v>
      </c>
      <c r="E4902" s="16" t="str">
        <f>IFERROR(__xludf.DUMMYFUNCTION("""COMPUTED_VALUE"""),"")</f>
        <v/>
      </c>
      <c r="G4902" s="18"/>
      <c r="H4902" s="16" t="s">
        <v>87</v>
      </c>
      <c r="I4902" s="16" t="s">
        <v>87</v>
      </c>
      <c r="J4902" s="19"/>
      <c r="L4902" s="16" t="str">
        <f>IFERROR(__xludf.DUMMYFUNCTION("""COMPUTED_VALUE"""),"")</f>
        <v/>
      </c>
      <c r="M4902" s="16" t="str">
        <f>IFERROR(__xludf.DUMMYFUNCTION("""COMPUTED_VALUE"""),"")</f>
        <v/>
      </c>
      <c r="U4902" s="16" t="s">
        <v>87</v>
      </c>
      <c r="V4902" s="16" t="str">
        <f>IFERROR(__xludf.DUMMYFUNCTION("""COMPUTED_VALUE"""),"")</f>
        <v/>
      </c>
      <c r="W4902" s="16" t="str">
        <f>IFERROR(__xludf.DUMMYFUNCTION("""COMPUTED_VALUE"""),"")</f>
        <v/>
      </c>
      <c r="X4902" s="16" t="str">
        <f>IFERROR(__xludf.DUMMYFUNCTION("""COMPUTED_VALUE"""),"")</f>
        <v/>
      </c>
      <c r="AC4902" s="16" t="str">
        <f>IFERROR(__xludf.DUMMYFUNCTION("""COMPUTED_VALUE"""),"")</f>
        <v/>
      </c>
    </row>
    <row r="4903">
      <c r="A4903" s="16" t="s">
        <v>87</v>
      </c>
      <c r="E4903" s="16" t="str">
        <f>IFERROR(__xludf.DUMMYFUNCTION("""COMPUTED_VALUE"""),"")</f>
        <v/>
      </c>
      <c r="G4903" s="18"/>
      <c r="H4903" s="16" t="s">
        <v>87</v>
      </c>
      <c r="I4903" s="16" t="s">
        <v>87</v>
      </c>
      <c r="J4903" s="19"/>
      <c r="L4903" s="16" t="str">
        <f>IFERROR(__xludf.DUMMYFUNCTION("""COMPUTED_VALUE"""),"")</f>
        <v/>
      </c>
      <c r="M4903" s="16" t="str">
        <f>IFERROR(__xludf.DUMMYFUNCTION("""COMPUTED_VALUE"""),"")</f>
        <v/>
      </c>
      <c r="U4903" s="16" t="s">
        <v>87</v>
      </c>
      <c r="V4903" s="16" t="str">
        <f>IFERROR(__xludf.DUMMYFUNCTION("""COMPUTED_VALUE"""),"")</f>
        <v/>
      </c>
      <c r="W4903" s="16" t="str">
        <f>IFERROR(__xludf.DUMMYFUNCTION("""COMPUTED_VALUE"""),"")</f>
        <v/>
      </c>
      <c r="X4903" s="16" t="str">
        <f>IFERROR(__xludf.DUMMYFUNCTION("""COMPUTED_VALUE"""),"")</f>
        <v/>
      </c>
      <c r="AC4903" s="16" t="str">
        <f>IFERROR(__xludf.DUMMYFUNCTION("""COMPUTED_VALUE"""),"")</f>
        <v/>
      </c>
    </row>
    <row r="4904">
      <c r="A4904" s="16" t="s">
        <v>87</v>
      </c>
      <c r="E4904" s="16" t="str">
        <f>IFERROR(__xludf.DUMMYFUNCTION("""COMPUTED_VALUE"""),"")</f>
        <v/>
      </c>
      <c r="G4904" s="18"/>
      <c r="H4904" s="16" t="s">
        <v>87</v>
      </c>
      <c r="I4904" s="16" t="s">
        <v>87</v>
      </c>
      <c r="J4904" s="19"/>
      <c r="L4904" s="16" t="str">
        <f>IFERROR(__xludf.DUMMYFUNCTION("""COMPUTED_VALUE"""),"")</f>
        <v/>
      </c>
      <c r="M4904" s="16" t="str">
        <f>IFERROR(__xludf.DUMMYFUNCTION("""COMPUTED_VALUE"""),"")</f>
        <v/>
      </c>
      <c r="U4904" s="16" t="s">
        <v>87</v>
      </c>
      <c r="V4904" s="16" t="str">
        <f>IFERROR(__xludf.DUMMYFUNCTION("""COMPUTED_VALUE"""),"")</f>
        <v/>
      </c>
      <c r="W4904" s="16" t="str">
        <f>IFERROR(__xludf.DUMMYFUNCTION("""COMPUTED_VALUE"""),"")</f>
        <v/>
      </c>
      <c r="X4904" s="16" t="str">
        <f>IFERROR(__xludf.DUMMYFUNCTION("""COMPUTED_VALUE"""),"")</f>
        <v/>
      </c>
      <c r="AC4904" s="16" t="str">
        <f>IFERROR(__xludf.DUMMYFUNCTION("""COMPUTED_VALUE"""),"")</f>
        <v/>
      </c>
    </row>
    <row r="4905">
      <c r="A4905" s="16" t="s">
        <v>87</v>
      </c>
      <c r="E4905" s="16" t="str">
        <f>IFERROR(__xludf.DUMMYFUNCTION("""COMPUTED_VALUE"""),"")</f>
        <v/>
      </c>
      <c r="G4905" s="18"/>
      <c r="H4905" s="16" t="s">
        <v>87</v>
      </c>
      <c r="I4905" s="16" t="s">
        <v>87</v>
      </c>
      <c r="J4905" s="19"/>
      <c r="L4905" s="16" t="str">
        <f>IFERROR(__xludf.DUMMYFUNCTION("""COMPUTED_VALUE"""),"")</f>
        <v/>
      </c>
      <c r="M4905" s="16" t="str">
        <f>IFERROR(__xludf.DUMMYFUNCTION("""COMPUTED_VALUE"""),"")</f>
        <v/>
      </c>
      <c r="U4905" s="16" t="s">
        <v>87</v>
      </c>
      <c r="V4905" s="16" t="str">
        <f>IFERROR(__xludf.DUMMYFUNCTION("""COMPUTED_VALUE"""),"")</f>
        <v/>
      </c>
      <c r="W4905" s="16" t="str">
        <f>IFERROR(__xludf.DUMMYFUNCTION("""COMPUTED_VALUE"""),"")</f>
        <v/>
      </c>
      <c r="X4905" s="16" t="str">
        <f>IFERROR(__xludf.DUMMYFUNCTION("""COMPUTED_VALUE"""),"")</f>
        <v/>
      </c>
      <c r="AC4905" s="16" t="str">
        <f>IFERROR(__xludf.DUMMYFUNCTION("""COMPUTED_VALUE"""),"")</f>
        <v/>
      </c>
    </row>
    <row r="4906">
      <c r="A4906" s="16" t="s">
        <v>87</v>
      </c>
      <c r="E4906" s="16" t="str">
        <f>IFERROR(__xludf.DUMMYFUNCTION("""COMPUTED_VALUE"""),"")</f>
        <v/>
      </c>
      <c r="G4906" s="18"/>
      <c r="H4906" s="16" t="s">
        <v>87</v>
      </c>
      <c r="I4906" s="16" t="s">
        <v>87</v>
      </c>
      <c r="J4906" s="19"/>
      <c r="L4906" s="16" t="str">
        <f>IFERROR(__xludf.DUMMYFUNCTION("""COMPUTED_VALUE"""),"")</f>
        <v/>
      </c>
      <c r="M4906" s="16" t="str">
        <f>IFERROR(__xludf.DUMMYFUNCTION("""COMPUTED_VALUE"""),"")</f>
        <v/>
      </c>
      <c r="U4906" s="16" t="s">
        <v>87</v>
      </c>
      <c r="V4906" s="16" t="str">
        <f>IFERROR(__xludf.DUMMYFUNCTION("""COMPUTED_VALUE"""),"")</f>
        <v/>
      </c>
      <c r="W4906" s="16" t="str">
        <f>IFERROR(__xludf.DUMMYFUNCTION("""COMPUTED_VALUE"""),"")</f>
        <v/>
      </c>
      <c r="X4906" s="16" t="str">
        <f>IFERROR(__xludf.DUMMYFUNCTION("""COMPUTED_VALUE"""),"")</f>
        <v/>
      </c>
      <c r="AC4906" s="16" t="str">
        <f>IFERROR(__xludf.DUMMYFUNCTION("""COMPUTED_VALUE"""),"")</f>
        <v/>
      </c>
    </row>
    <row r="4907">
      <c r="A4907" s="16" t="s">
        <v>87</v>
      </c>
      <c r="E4907" s="16" t="str">
        <f>IFERROR(__xludf.DUMMYFUNCTION("""COMPUTED_VALUE"""),"")</f>
        <v/>
      </c>
      <c r="G4907" s="18"/>
      <c r="H4907" s="16" t="s">
        <v>87</v>
      </c>
      <c r="I4907" s="16" t="s">
        <v>87</v>
      </c>
      <c r="J4907" s="19"/>
      <c r="L4907" s="16" t="str">
        <f>IFERROR(__xludf.DUMMYFUNCTION("""COMPUTED_VALUE"""),"")</f>
        <v/>
      </c>
      <c r="M4907" s="16" t="str">
        <f>IFERROR(__xludf.DUMMYFUNCTION("""COMPUTED_VALUE"""),"")</f>
        <v/>
      </c>
      <c r="U4907" s="16" t="s">
        <v>87</v>
      </c>
      <c r="V4907" s="16" t="str">
        <f>IFERROR(__xludf.DUMMYFUNCTION("""COMPUTED_VALUE"""),"")</f>
        <v/>
      </c>
      <c r="W4907" s="16" t="str">
        <f>IFERROR(__xludf.DUMMYFUNCTION("""COMPUTED_VALUE"""),"")</f>
        <v/>
      </c>
      <c r="X4907" s="16" t="str">
        <f>IFERROR(__xludf.DUMMYFUNCTION("""COMPUTED_VALUE"""),"")</f>
        <v/>
      </c>
      <c r="AC4907" s="16" t="str">
        <f>IFERROR(__xludf.DUMMYFUNCTION("""COMPUTED_VALUE"""),"")</f>
        <v/>
      </c>
    </row>
    <row r="4908">
      <c r="A4908" s="16" t="s">
        <v>87</v>
      </c>
      <c r="E4908" s="16" t="str">
        <f>IFERROR(__xludf.DUMMYFUNCTION("""COMPUTED_VALUE"""),"")</f>
        <v/>
      </c>
      <c r="G4908" s="18"/>
      <c r="H4908" s="16" t="s">
        <v>87</v>
      </c>
      <c r="I4908" s="16" t="s">
        <v>87</v>
      </c>
      <c r="J4908" s="19"/>
      <c r="L4908" s="16" t="str">
        <f>IFERROR(__xludf.DUMMYFUNCTION("""COMPUTED_VALUE"""),"")</f>
        <v/>
      </c>
      <c r="M4908" s="16" t="str">
        <f>IFERROR(__xludf.DUMMYFUNCTION("""COMPUTED_VALUE"""),"")</f>
        <v/>
      </c>
      <c r="U4908" s="16" t="s">
        <v>87</v>
      </c>
      <c r="V4908" s="16" t="str">
        <f>IFERROR(__xludf.DUMMYFUNCTION("""COMPUTED_VALUE"""),"")</f>
        <v/>
      </c>
      <c r="W4908" s="16" t="str">
        <f>IFERROR(__xludf.DUMMYFUNCTION("""COMPUTED_VALUE"""),"")</f>
        <v/>
      </c>
      <c r="X4908" s="16" t="str">
        <f>IFERROR(__xludf.DUMMYFUNCTION("""COMPUTED_VALUE"""),"")</f>
        <v/>
      </c>
      <c r="AC4908" s="16" t="str">
        <f>IFERROR(__xludf.DUMMYFUNCTION("""COMPUTED_VALUE"""),"")</f>
        <v/>
      </c>
    </row>
    <row r="4909">
      <c r="A4909" s="16" t="s">
        <v>87</v>
      </c>
      <c r="E4909" s="16" t="str">
        <f>IFERROR(__xludf.DUMMYFUNCTION("""COMPUTED_VALUE"""),"")</f>
        <v/>
      </c>
      <c r="G4909" s="18"/>
      <c r="H4909" s="16" t="s">
        <v>87</v>
      </c>
      <c r="I4909" s="16" t="s">
        <v>87</v>
      </c>
      <c r="J4909" s="19"/>
      <c r="L4909" s="16" t="str">
        <f>IFERROR(__xludf.DUMMYFUNCTION("""COMPUTED_VALUE"""),"")</f>
        <v/>
      </c>
      <c r="M4909" s="16" t="str">
        <f>IFERROR(__xludf.DUMMYFUNCTION("""COMPUTED_VALUE"""),"")</f>
        <v/>
      </c>
      <c r="U4909" s="16" t="s">
        <v>87</v>
      </c>
      <c r="V4909" s="16" t="str">
        <f>IFERROR(__xludf.DUMMYFUNCTION("""COMPUTED_VALUE"""),"")</f>
        <v/>
      </c>
      <c r="W4909" s="16" t="str">
        <f>IFERROR(__xludf.DUMMYFUNCTION("""COMPUTED_VALUE"""),"")</f>
        <v/>
      </c>
      <c r="X4909" s="16" t="str">
        <f>IFERROR(__xludf.DUMMYFUNCTION("""COMPUTED_VALUE"""),"")</f>
        <v/>
      </c>
      <c r="AC4909" s="16" t="str">
        <f>IFERROR(__xludf.DUMMYFUNCTION("""COMPUTED_VALUE"""),"")</f>
        <v/>
      </c>
    </row>
    <row r="4910">
      <c r="A4910" s="16" t="s">
        <v>87</v>
      </c>
      <c r="E4910" s="16" t="str">
        <f>IFERROR(__xludf.DUMMYFUNCTION("""COMPUTED_VALUE"""),"")</f>
        <v/>
      </c>
      <c r="G4910" s="18"/>
      <c r="H4910" s="16" t="s">
        <v>87</v>
      </c>
      <c r="I4910" s="16" t="s">
        <v>87</v>
      </c>
      <c r="J4910" s="19"/>
      <c r="L4910" s="16" t="str">
        <f>IFERROR(__xludf.DUMMYFUNCTION("""COMPUTED_VALUE"""),"")</f>
        <v/>
      </c>
      <c r="M4910" s="16" t="str">
        <f>IFERROR(__xludf.DUMMYFUNCTION("""COMPUTED_VALUE"""),"")</f>
        <v/>
      </c>
      <c r="U4910" s="16" t="s">
        <v>87</v>
      </c>
      <c r="V4910" s="16" t="str">
        <f>IFERROR(__xludf.DUMMYFUNCTION("""COMPUTED_VALUE"""),"")</f>
        <v/>
      </c>
      <c r="W4910" s="16" t="str">
        <f>IFERROR(__xludf.DUMMYFUNCTION("""COMPUTED_VALUE"""),"")</f>
        <v/>
      </c>
      <c r="X4910" s="16" t="str">
        <f>IFERROR(__xludf.DUMMYFUNCTION("""COMPUTED_VALUE"""),"")</f>
        <v/>
      </c>
      <c r="AC4910" s="16" t="str">
        <f>IFERROR(__xludf.DUMMYFUNCTION("""COMPUTED_VALUE"""),"")</f>
        <v/>
      </c>
    </row>
    <row r="4911">
      <c r="A4911" s="16" t="s">
        <v>87</v>
      </c>
      <c r="E4911" s="16" t="str">
        <f>IFERROR(__xludf.DUMMYFUNCTION("""COMPUTED_VALUE"""),"")</f>
        <v/>
      </c>
      <c r="G4911" s="18"/>
      <c r="H4911" s="16" t="s">
        <v>87</v>
      </c>
      <c r="I4911" s="16" t="s">
        <v>87</v>
      </c>
      <c r="J4911" s="19"/>
      <c r="L4911" s="16" t="str">
        <f>IFERROR(__xludf.DUMMYFUNCTION("""COMPUTED_VALUE"""),"")</f>
        <v/>
      </c>
      <c r="M4911" s="16" t="str">
        <f>IFERROR(__xludf.DUMMYFUNCTION("""COMPUTED_VALUE"""),"")</f>
        <v/>
      </c>
      <c r="U4911" s="16" t="s">
        <v>87</v>
      </c>
      <c r="V4911" s="16" t="str">
        <f>IFERROR(__xludf.DUMMYFUNCTION("""COMPUTED_VALUE"""),"")</f>
        <v/>
      </c>
      <c r="W4911" s="16" t="str">
        <f>IFERROR(__xludf.DUMMYFUNCTION("""COMPUTED_VALUE"""),"")</f>
        <v/>
      </c>
      <c r="X4911" s="16" t="str">
        <f>IFERROR(__xludf.DUMMYFUNCTION("""COMPUTED_VALUE"""),"")</f>
        <v/>
      </c>
      <c r="AC4911" s="16" t="str">
        <f>IFERROR(__xludf.DUMMYFUNCTION("""COMPUTED_VALUE"""),"")</f>
        <v/>
      </c>
    </row>
    <row r="4912">
      <c r="A4912" s="16" t="s">
        <v>87</v>
      </c>
      <c r="E4912" s="16" t="str">
        <f>IFERROR(__xludf.DUMMYFUNCTION("""COMPUTED_VALUE"""),"")</f>
        <v/>
      </c>
      <c r="G4912" s="18"/>
      <c r="H4912" s="16" t="s">
        <v>87</v>
      </c>
      <c r="I4912" s="16" t="s">
        <v>87</v>
      </c>
      <c r="J4912" s="19"/>
      <c r="L4912" s="16" t="str">
        <f>IFERROR(__xludf.DUMMYFUNCTION("""COMPUTED_VALUE"""),"")</f>
        <v/>
      </c>
      <c r="M4912" s="16" t="str">
        <f>IFERROR(__xludf.DUMMYFUNCTION("""COMPUTED_VALUE"""),"")</f>
        <v/>
      </c>
      <c r="U4912" s="16" t="s">
        <v>87</v>
      </c>
      <c r="V4912" s="16" t="str">
        <f>IFERROR(__xludf.DUMMYFUNCTION("""COMPUTED_VALUE"""),"")</f>
        <v/>
      </c>
      <c r="W4912" s="16" t="str">
        <f>IFERROR(__xludf.DUMMYFUNCTION("""COMPUTED_VALUE"""),"")</f>
        <v/>
      </c>
      <c r="X4912" s="16" t="str">
        <f>IFERROR(__xludf.DUMMYFUNCTION("""COMPUTED_VALUE"""),"")</f>
        <v/>
      </c>
      <c r="AC4912" s="16" t="str">
        <f>IFERROR(__xludf.DUMMYFUNCTION("""COMPUTED_VALUE"""),"")</f>
        <v/>
      </c>
    </row>
    <row r="4913">
      <c r="A4913" s="16" t="s">
        <v>87</v>
      </c>
      <c r="E4913" s="16" t="str">
        <f>IFERROR(__xludf.DUMMYFUNCTION("""COMPUTED_VALUE"""),"")</f>
        <v/>
      </c>
      <c r="G4913" s="18"/>
      <c r="H4913" s="16" t="s">
        <v>87</v>
      </c>
      <c r="I4913" s="16" t="s">
        <v>87</v>
      </c>
      <c r="J4913" s="19"/>
      <c r="L4913" s="16" t="str">
        <f>IFERROR(__xludf.DUMMYFUNCTION("""COMPUTED_VALUE"""),"")</f>
        <v/>
      </c>
      <c r="M4913" s="16" t="str">
        <f>IFERROR(__xludf.DUMMYFUNCTION("""COMPUTED_VALUE"""),"")</f>
        <v/>
      </c>
      <c r="U4913" s="16" t="s">
        <v>87</v>
      </c>
      <c r="V4913" s="16" t="str">
        <f>IFERROR(__xludf.DUMMYFUNCTION("""COMPUTED_VALUE"""),"")</f>
        <v/>
      </c>
      <c r="W4913" s="16" t="str">
        <f>IFERROR(__xludf.DUMMYFUNCTION("""COMPUTED_VALUE"""),"")</f>
        <v/>
      </c>
      <c r="X4913" s="16" t="str">
        <f>IFERROR(__xludf.DUMMYFUNCTION("""COMPUTED_VALUE"""),"")</f>
        <v/>
      </c>
      <c r="AC4913" s="16" t="str">
        <f>IFERROR(__xludf.DUMMYFUNCTION("""COMPUTED_VALUE"""),"")</f>
        <v/>
      </c>
    </row>
    <row r="4914">
      <c r="A4914" s="16" t="s">
        <v>87</v>
      </c>
      <c r="E4914" s="16" t="str">
        <f>IFERROR(__xludf.DUMMYFUNCTION("""COMPUTED_VALUE"""),"")</f>
        <v/>
      </c>
      <c r="G4914" s="18"/>
      <c r="H4914" s="16" t="s">
        <v>87</v>
      </c>
      <c r="I4914" s="16" t="s">
        <v>87</v>
      </c>
      <c r="J4914" s="19"/>
      <c r="L4914" s="16" t="str">
        <f>IFERROR(__xludf.DUMMYFUNCTION("""COMPUTED_VALUE"""),"")</f>
        <v/>
      </c>
      <c r="M4914" s="16" t="str">
        <f>IFERROR(__xludf.DUMMYFUNCTION("""COMPUTED_VALUE"""),"")</f>
        <v/>
      </c>
      <c r="U4914" s="16" t="s">
        <v>87</v>
      </c>
      <c r="V4914" s="16" t="str">
        <f>IFERROR(__xludf.DUMMYFUNCTION("""COMPUTED_VALUE"""),"")</f>
        <v/>
      </c>
      <c r="W4914" s="16" t="str">
        <f>IFERROR(__xludf.DUMMYFUNCTION("""COMPUTED_VALUE"""),"")</f>
        <v/>
      </c>
      <c r="X4914" s="16" t="str">
        <f>IFERROR(__xludf.DUMMYFUNCTION("""COMPUTED_VALUE"""),"")</f>
        <v/>
      </c>
      <c r="AC4914" s="16" t="str">
        <f>IFERROR(__xludf.DUMMYFUNCTION("""COMPUTED_VALUE"""),"")</f>
        <v/>
      </c>
    </row>
    <row r="4915">
      <c r="A4915" s="16" t="s">
        <v>87</v>
      </c>
      <c r="E4915" s="16" t="str">
        <f>IFERROR(__xludf.DUMMYFUNCTION("""COMPUTED_VALUE"""),"")</f>
        <v/>
      </c>
      <c r="G4915" s="18"/>
      <c r="H4915" s="16" t="s">
        <v>87</v>
      </c>
      <c r="I4915" s="16" t="s">
        <v>87</v>
      </c>
      <c r="J4915" s="19"/>
      <c r="L4915" s="16" t="str">
        <f>IFERROR(__xludf.DUMMYFUNCTION("""COMPUTED_VALUE"""),"")</f>
        <v/>
      </c>
      <c r="M4915" s="16" t="str">
        <f>IFERROR(__xludf.DUMMYFUNCTION("""COMPUTED_VALUE"""),"")</f>
        <v/>
      </c>
      <c r="U4915" s="16" t="s">
        <v>87</v>
      </c>
      <c r="V4915" s="16" t="str">
        <f>IFERROR(__xludf.DUMMYFUNCTION("""COMPUTED_VALUE"""),"")</f>
        <v/>
      </c>
      <c r="W4915" s="16" t="str">
        <f>IFERROR(__xludf.DUMMYFUNCTION("""COMPUTED_VALUE"""),"")</f>
        <v/>
      </c>
      <c r="X4915" s="16" t="str">
        <f>IFERROR(__xludf.DUMMYFUNCTION("""COMPUTED_VALUE"""),"")</f>
        <v/>
      </c>
      <c r="AC4915" s="16" t="str">
        <f>IFERROR(__xludf.DUMMYFUNCTION("""COMPUTED_VALUE"""),"")</f>
        <v/>
      </c>
    </row>
    <row r="4916">
      <c r="A4916" s="16" t="s">
        <v>87</v>
      </c>
      <c r="E4916" s="16" t="str">
        <f>IFERROR(__xludf.DUMMYFUNCTION("""COMPUTED_VALUE"""),"")</f>
        <v/>
      </c>
      <c r="G4916" s="18"/>
      <c r="H4916" s="16" t="s">
        <v>87</v>
      </c>
      <c r="I4916" s="16" t="s">
        <v>87</v>
      </c>
      <c r="J4916" s="19"/>
      <c r="L4916" s="16" t="str">
        <f>IFERROR(__xludf.DUMMYFUNCTION("""COMPUTED_VALUE"""),"")</f>
        <v/>
      </c>
      <c r="M4916" s="16" t="str">
        <f>IFERROR(__xludf.DUMMYFUNCTION("""COMPUTED_VALUE"""),"")</f>
        <v/>
      </c>
      <c r="U4916" s="16" t="s">
        <v>87</v>
      </c>
      <c r="V4916" s="16" t="str">
        <f>IFERROR(__xludf.DUMMYFUNCTION("""COMPUTED_VALUE"""),"")</f>
        <v/>
      </c>
      <c r="W4916" s="16" t="str">
        <f>IFERROR(__xludf.DUMMYFUNCTION("""COMPUTED_VALUE"""),"")</f>
        <v/>
      </c>
      <c r="X4916" s="16" t="str">
        <f>IFERROR(__xludf.DUMMYFUNCTION("""COMPUTED_VALUE"""),"")</f>
        <v/>
      </c>
      <c r="AC4916" s="16" t="str">
        <f>IFERROR(__xludf.DUMMYFUNCTION("""COMPUTED_VALUE"""),"")</f>
        <v/>
      </c>
    </row>
    <row r="4917">
      <c r="A4917" s="16" t="s">
        <v>87</v>
      </c>
      <c r="E4917" s="16" t="str">
        <f>IFERROR(__xludf.DUMMYFUNCTION("""COMPUTED_VALUE"""),"")</f>
        <v/>
      </c>
      <c r="G4917" s="18"/>
      <c r="H4917" s="16" t="s">
        <v>87</v>
      </c>
      <c r="I4917" s="16" t="s">
        <v>87</v>
      </c>
      <c r="J4917" s="19"/>
      <c r="L4917" s="16" t="str">
        <f>IFERROR(__xludf.DUMMYFUNCTION("""COMPUTED_VALUE"""),"")</f>
        <v/>
      </c>
      <c r="M4917" s="16" t="str">
        <f>IFERROR(__xludf.DUMMYFUNCTION("""COMPUTED_VALUE"""),"")</f>
        <v/>
      </c>
      <c r="U4917" s="16" t="s">
        <v>87</v>
      </c>
      <c r="V4917" s="16" t="str">
        <f>IFERROR(__xludf.DUMMYFUNCTION("""COMPUTED_VALUE"""),"")</f>
        <v/>
      </c>
      <c r="W4917" s="16" t="str">
        <f>IFERROR(__xludf.DUMMYFUNCTION("""COMPUTED_VALUE"""),"")</f>
        <v/>
      </c>
      <c r="X4917" s="16" t="str">
        <f>IFERROR(__xludf.DUMMYFUNCTION("""COMPUTED_VALUE"""),"")</f>
        <v/>
      </c>
      <c r="AC4917" s="16" t="str">
        <f>IFERROR(__xludf.DUMMYFUNCTION("""COMPUTED_VALUE"""),"")</f>
        <v/>
      </c>
    </row>
    <row r="4918">
      <c r="A4918" s="16" t="s">
        <v>87</v>
      </c>
      <c r="E4918" s="16" t="str">
        <f>IFERROR(__xludf.DUMMYFUNCTION("""COMPUTED_VALUE"""),"")</f>
        <v/>
      </c>
      <c r="G4918" s="18"/>
      <c r="H4918" s="16" t="s">
        <v>87</v>
      </c>
      <c r="I4918" s="16" t="s">
        <v>87</v>
      </c>
      <c r="J4918" s="19"/>
      <c r="L4918" s="16" t="str">
        <f>IFERROR(__xludf.DUMMYFUNCTION("""COMPUTED_VALUE"""),"")</f>
        <v/>
      </c>
      <c r="M4918" s="16" t="str">
        <f>IFERROR(__xludf.DUMMYFUNCTION("""COMPUTED_VALUE"""),"")</f>
        <v/>
      </c>
      <c r="U4918" s="16" t="s">
        <v>87</v>
      </c>
      <c r="V4918" s="16" t="str">
        <f>IFERROR(__xludf.DUMMYFUNCTION("""COMPUTED_VALUE"""),"")</f>
        <v/>
      </c>
      <c r="W4918" s="16" t="str">
        <f>IFERROR(__xludf.DUMMYFUNCTION("""COMPUTED_VALUE"""),"")</f>
        <v/>
      </c>
      <c r="X4918" s="16" t="str">
        <f>IFERROR(__xludf.DUMMYFUNCTION("""COMPUTED_VALUE"""),"")</f>
        <v/>
      </c>
      <c r="AC4918" s="16" t="str">
        <f>IFERROR(__xludf.DUMMYFUNCTION("""COMPUTED_VALUE"""),"")</f>
        <v/>
      </c>
    </row>
    <row r="4919">
      <c r="A4919" s="16" t="s">
        <v>87</v>
      </c>
      <c r="E4919" s="16" t="str">
        <f>IFERROR(__xludf.DUMMYFUNCTION("""COMPUTED_VALUE"""),"")</f>
        <v/>
      </c>
      <c r="G4919" s="18"/>
      <c r="H4919" s="16" t="s">
        <v>87</v>
      </c>
      <c r="I4919" s="16" t="s">
        <v>87</v>
      </c>
      <c r="J4919" s="19"/>
      <c r="L4919" s="16" t="str">
        <f>IFERROR(__xludf.DUMMYFUNCTION("""COMPUTED_VALUE"""),"")</f>
        <v/>
      </c>
      <c r="M4919" s="16" t="str">
        <f>IFERROR(__xludf.DUMMYFUNCTION("""COMPUTED_VALUE"""),"")</f>
        <v/>
      </c>
      <c r="U4919" s="16" t="s">
        <v>87</v>
      </c>
      <c r="V4919" s="16" t="str">
        <f>IFERROR(__xludf.DUMMYFUNCTION("""COMPUTED_VALUE"""),"")</f>
        <v/>
      </c>
      <c r="W4919" s="16" t="str">
        <f>IFERROR(__xludf.DUMMYFUNCTION("""COMPUTED_VALUE"""),"")</f>
        <v/>
      </c>
      <c r="X4919" s="16" t="str">
        <f>IFERROR(__xludf.DUMMYFUNCTION("""COMPUTED_VALUE"""),"")</f>
        <v/>
      </c>
      <c r="AC4919" s="16" t="str">
        <f>IFERROR(__xludf.DUMMYFUNCTION("""COMPUTED_VALUE"""),"")</f>
        <v/>
      </c>
    </row>
    <row r="4920">
      <c r="A4920" s="16" t="s">
        <v>87</v>
      </c>
      <c r="E4920" s="16" t="str">
        <f>IFERROR(__xludf.DUMMYFUNCTION("""COMPUTED_VALUE"""),"")</f>
        <v/>
      </c>
      <c r="G4920" s="18"/>
      <c r="H4920" s="16" t="s">
        <v>87</v>
      </c>
      <c r="I4920" s="16" t="s">
        <v>87</v>
      </c>
      <c r="J4920" s="19"/>
      <c r="L4920" s="16" t="str">
        <f>IFERROR(__xludf.DUMMYFUNCTION("""COMPUTED_VALUE"""),"")</f>
        <v/>
      </c>
      <c r="M4920" s="16" t="str">
        <f>IFERROR(__xludf.DUMMYFUNCTION("""COMPUTED_VALUE"""),"")</f>
        <v/>
      </c>
      <c r="U4920" s="16" t="s">
        <v>87</v>
      </c>
      <c r="V4920" s="16" t="str">
        <f>IFERROR(__xludf.DUMMYFUNCTION("""COMPUTED_VALUE"""),"")</f>
        <v/>
      </c>
      <c r="W4920" s="16" t="str">
        <f>IFERROR(__xludf.DUMMYFUNCTION("""COMPUTED_VALUE"""),"")</f>
        <v/>
      </c>
      <c r="X4920" s="16" t="str">
        <f>IFERROR(__xludf.DUMMYFUNCTION("""COMPUTED_VALUE"""),"")</f>
        <v/>
      </c>
      <c r="AC4920" s="16" t="str">
        <f>IFERROR(__xludf.DUMMYFUNCTION("""COMPUTED_VALUE"""),"")</f>
        <v/>
      </c>
    </row>
    <row r="4921">
      <c r="A4921" s="16" t="s">
        <v>87</v>
      </c>
      <c r="E4921" s="16" t="str">
        <f>IFERROR(__xludf.DUMMYFUNCTION("""COMPUTED_VALUE"""),"")</f>
        <v/>
      </c>
      <c r="G4921" s="18"/>
      <c r="H4921" s="16" t="s">
        <v>87</v>
      </c>
      <c r="I4921" s="16" t="s">
        <v>87</v>
      </c>
      <c r="J4921" s="19"/>
      <c r="L4921" s="16" t="str">
        <f>IFERROR(__xludf.DUMMYFUNCTION("""COMPUTED_VALUE"""),"")</f>
        <v/>
      </c>
      <c r="M4921" s="16" t="str">
        <f>IFERROR(__xludf.DUMMYFUNCTION("""COMPUTED_VALUE"""),"")</f>
        <v/>
      </c>
      <c r="U4921" s="16" t="s">
        <v>87</v>
      </c>
      <c r="V4921" s="16" t="str">
        <f>IFERROR(__xludf.DUMMYFUNCTION("""COMPUTED_VALUE"""),"")</f>
        <v/>
      </c>
      <c r="W4921" s="16" t="str">
        <f>IFERROR(__xludf.DUMMYFUNCTION("""COMPUTED_VALUE"""),"")</f>
        <v/>
      </c>
      <c r="X4921" s="16" t="str">
        <f>IFERROR(__xludf.DUMMYFUNCTION("""COMPUTED_VALUE"""),"")</f>
        <v/>
      </c>
      <c r="AC4921" s="16" t="str">
        <f>IFERROR(__xludf.DUMMYFUNCTION("""COMPUTED_VALUE"""),"")</f>
        <v/>
      </c>
    </row>
    <row r="4922">
      <c r="A4922" s="16" t="s">
        <v>87</v>
      </c>
      <c r="E4922" s="16" t="str">
        <f>IFERROR(__xludf.DUMMYFUNCTION("""COMPUTED_VALUE"""),"")</f>
        <v/>
      </c>
      <c r="G4922" s="18"/>
      <c r="H4922" s="16" t="s">
        <v>87</v>
      </c>
      <c r="I4922" s="16" t="s">
        <v>87</v>
      </c>
      <c r="J4922" s="19"/>
      <c r="L4922" s="16" t="str">
        <f>IFERROR(__xludf.DUMMYFUNCTION("""COMPUTED_VALUE"""),"")</f>
        <v/>
      </c>
      <c r="M4922" s="16" t="str">
        <f>IFERROR(__xludf.DUMMYFUNCTION("""COMPUTED_VALUE"""),"")</f>
        <v/>
      </c>
      <c r="U4922" s="16" t="s">
        <v>87</v>
      </c>
      <c r="V4922" s="16" t="str">
        <f>IFERROR(__xludf.DUMMYFUNCTION("""COMPUTED_VALUE"""),"")</f>
        <v/>
      </c>
      <c r="W4922" s="16" t="str">
        <f>IFERROR(__xludf.DUMMYFUNCTION("""COMPUTED_VALUE"""),"")</f>
        <v/>
      </c>
      <c r="X4922" s="16" t="str">
        <f>IFERROR(__xludf.DUMMYFUNCTION("""COMPUTED_VALUE"""),"")</f>
        <v/>
      </c>
      <c r="AC4922" s="16" t="str">
        <f>IFERROR(__xludf.DUMMYFUNCTION("""COMPUTED_VALUE"""),"")</f>
        <v/>
      </c>
    </row>
    <row r="4923">
      <c r="A4923" s="16" t="s">
        <v>87</v>
      </c>
      <c r="E4923" s="16" t="str">
        <f>IFERROR(__xludf.DUMMYFUNCTION("""COMPUTED_VALUE"""),"")</f>
        <v/>
      </c>
      <c r="G4923" s="18"/>
      <c r="H4923" s="16" t="s">
        <v>87</v>
      </c>
      <c r="I4923" s="16" t="s">
        <v>87</v>
      </c>
      <c r="J4923" s="19"/>
      <c r="L4923" s="16" t="str">
        <f>IFERROR(__xludf.DUMMYFUNCTION("""COMPUTED_VALUE"""),"")</f>
        <v/>
      </c>
      <c r="M4923" s="16" t="str">
        <f>IFERROR(__xludf.DUMMYFUNCTION("""COMPUTED_VALUE"""),"")</f>
        <v/>
      </c>
      <c r="U4923" s="16" t="s">
        <v>87</v>
      </c>
      <c r="V4923" s="16" t="str">
        <f>IFERROR(__xludf.DUMMYFUNCTION("""COMPUTED_VALUE"""),"")</f>
        <v/>
      </c>
      <c r="W4923" s="16" t="str">
        <f>IFERROR(__xludf.DUMMYFUNCTION("""COMPUTED_VALUE"""),"")</f>
        <v/>
      </c>
      <c r="X4923" s="16" t="str">
        <f>IFERROR(__xludf.DUMMYFUNCTION("""COMPUTED_VALUE"""),"")</f>
        <v/>
      </c>
      <c r="AC4923" s="16" t="str">
        <f>IFERROR(__xludf.DUMMYFUNCTION("""COMPUTED_VALUE"""),"")</f>
        <v/>
      </c>
    </row>
    <row r="4924">
      <c r="A4924" s="16" t="s">
        <v>87</v>
      </c>
      <c r="E4924" s="16" t="str">
        <f>IFERROR(__xludf.DUMMYFUNCTION("""COMPUTED_VALUE"""),"")</f>
        <v/>
      </c>
      <c r="G4924" s="18"/>
      <c r="H4924" s="16" t="s">
        <v>87</v>
      </c>
      <c r="I4924" s="16" t="s">
        <v>87</v>
      </c>
      <c r="J4924" s="19"/>
      <c r="L4924" s="16" t="str">
        <f>IFERROR(__xludf.DUMMYFUNCTION("""COMPUTED_VALUE"""),"")</f>
        <v/>
      </c>
      <c r="M4924" s="16" t="str">
        <f>IFERROR(__xludf.DUMMYFUNCTION("""COMPUTED_VALUE"""),"")</f>
        <v/>
      </c>
      <c r="U4924" s="16" t="s">
        <v>87</v>
      </c>
      <c r="V4924" s="16" t="str">
        <f>IFERROR(__xludf.DUMMYFUNCTION("""COMPUTED_VALUE"""),"")</f>
        <v/>
      </c>
      <c r="W4924" s="16" t="str">
        <f>IFERROR(__xludf.DUMMYFUNCTION("""COMPUTED_VALUE"""),"")</f>
        <v/>
      </c>
      <c r="X4924" s="16" t="str">
        <f>IFERROR(__xludf.DUMMYFUNCTION("""COMPUTED_VALUE"""),"")</f>
        <v/>
      </c>
      <c r="AC4924" s="16" t="str">
        <f>IFERROR(__xludf.DUMMYFUNCTION("""COMPUTED_VALUE"""),"")</f>
        <v/>
      </c>
    </row>
    <row r="4925">
      <c r="A4925" s="16" t="s">
        <v>87</v>
      </c>
      <c r="E4925" s="16" t="str">
        <f>IFERROR(__xludf.DUMMYFUNCTION("""COMPUTED_VALUE"""),"")</f>
        <v/>
      </c>
      <c r="G4925" s="18"/>
      <c r="H4925" s="16" t="s">
        <v>87</v>
      </c>
      <c r="I4925" s="16" t="s">
        <v>87</v>
      </c>
      <c r="J4925" s="19"/>
      <c r="L4925" s="16" t="str">
        <f>IFERROR(__xludf.DUMMYFUNCTION("""COMPUTED_VALUE"""),"")</f>
        <v/>
      </c>
      <c r="M4925" s="16" t="str">
        <f>IFERROR(__xludf.DUMMYFUNCTION("""COMPUTED_VALUE"""),"")</f>
        <v/>
      </c>
      <c r="U4925" s="16" t="s">
        <v>87</v>
      </c>
      <c r="V4925" s="16" t="str">
        <f>IFERROR(__xludf.DUMMYFUNCTION("""COMPUTED_VALUE"""),"")</f>
        <v/>
      </c>
      <c r="W4925" s="16" t="str">
        <f>IFERROR(__xludf.DUMMYFUNCTION("""COMPUTED_VALUE"""),"")</f>
        <v/>
      </c>
      <c r="X4925" s="16" t="str">
        <f>IFERROR(__xludf.DUMMYFUNCTION("""COMPUTED_VALUE"""),"")</f>
        <v/>
      </c>
      <c r="AC4925" s="16" t="str">
        <f>IFERROR(__xludf.DUMMYFUNCTION("""COMPUTED_VALUE"""),"")</f>
        <v/>
      </c>
    </row>
    <row r="4926">
      <c r="A4926" s="16" t="s">
        <v>87</v>
      </c>
      <c r="E4926" s="16" t="str">
        <f>IFERROR(__xludf.DUMMYFUNCTION("""COMPUTED_VALUE"""),"")</f>
        <v/>
      </c>
      <c r="G4926" s="18"/>
      <c r="H4926" s="16" t="s">
        <v>87</v>
      </c>
      <c r="I4926" s="16" t="s">
        <v>87</v>
      </c>
      <c r="J4926" s="19"/>
      <c r="L4926" s="16" t="str">
        <f>IFERROR(__xludf.DUMMYFUNCTION("""COMPUTED_VALUE"""),"")</f>
        <v/>
      </c>
      <c r="M4926" s="16" t="str">
        <f>IFERROR(__xludf.DUMMYFUNCTION("""COMPUTED_VALUE"""),"")</f>
        <v/>
      </c>
      <c r="U4926" s="16" t="s">
        <v>87</v>
      </c>
      <c r="V4926" s="16" t="str">
        <f>IFERROR(__xludf.DUMMYFUNCTION("""COMPUTED_VALUE"""),"")</f>
        <v/>
      </c>
      <c r="W4926" s="16" t="str">
        <f>IFERROR(__xludf.DUMMYFUNCTION("""COMPUTED_VALUE"""),"")</f>
        <v/>
      </c>
      <c r="X4926" s="16" t="str">
        <f>IFERROR(__xludf.DUMMYFUNCTION("""COMPUTED_VALUE"""),"")</f>
        <v/>
      </c>
      <c r="AC4926" s="16" t="str">
        <f>IFERROR(__xludf.DUMMYFUNCTION("""COMPUTED_VALUE"""),"")</f>
        <v/>
      </c>
    </row>
    <row r="4927">
      <c r="A4927" s="16" t="s">
        <v>87</v>
      </c>
      <c r="E4927" s="16" t="str">
        <f>IFERROR(__xludf.DUMMYFUNCTION("""COMPUTED_VALUE"""),"")</f>
        <v/>
      </c>
      <c r="G4927" s="18"/>
      <c r="H4927" s="16" t="s">
        <v>87</v>
      </c>
      <c r="I4927" s="16" t="s">
        <v>87</v>
      </c>
      <c r="J4927" s="19"/>
      <c r="L4927" s="16" t="str">
        <f>IFERROR(__xludf.DUMMYFUNCTION("""COMPUTED_VALUE"""),"")</f>
        <v/>
      </c>
      <c r="M4927" s="16" t="str">
        <f>IFERROR(__xludf.DUMMYFUNCTION("""COMPUTED_VALUE"""),"")</f>
        <v/>
      </c>
      <c r="U4927" s="16" t="s">
        <v>87</v>
      </c>
      <c r="V4927" s="16" t="str">
        <f>IFERROR(__xludf.DUMMYFUNCTION("""COMPUTED_VALUE"""),"")</f>
        <v/>
      </c>
      <c r="W4927" s="16" t="str">
        <f>IFERROR(__xludf.DUMMYFUNCTION("""COMPUTED_VALUE"""),"")</f>
        <v/>
      </c>
      <c r="X4927" s="16" t="str">
        <f>IFERROR(__xludf.DUMMYFUNCTION("""COMPUTED_VALUE"""),"")</f>
        <v/>
      </c>
      <c r="AC4927" s="16" t="str">
        <f>IFERROR(__xludf.DUMMYFUNCTION("""COMPUTED_VALUE"""),"")</f>
        <v/>
      </c>
    </row>
    <row r="4928">
      <c r="A4928" s="16" t="s">
        <v>87</v>
      </c>
      <c r="E4928" s="16" t="str">
        <f>IFERROR(__xludf.DUMMYFUNCTION("""COMPUTED_VALUE"""),"")</f>
        <v/>
      </c>
      <c r="G4928" s="18"/>
      <c r="H4928" s="16" t="s">
        <v>87</v>
      </c>
      <c r="I4928" s="16" t="s">
        <v>87</v>
      </c>
      <c r="J4928" s="19"/>
      <c r="L4928" s="16" t="str">
        <f>IFERROR(__xludf.DUMMYFUNCTION("""COMPUTED_VALUE"""),"")</f>
        <v/>
      </c>
      <c r="M4928" s="16" t="str">
        <f>IFERROR(__xludf.DUMMYFUNCTION("""COMPUTED_VALUE"""),"")</f>
        <v/>
      </c>
      <c r="U4928" s="16" t="s">
        <v>87</v>
      </c>
      <c r="V4928" s="16" t="str">
        <f>IFERROR(__xludf.DUMMYFUNCTION("""COMPUTED_VALUE"""),"")</f>
        <v/>
      </c>
      <c r="W4928" s="16" t="str">
        <f>IFERROR(__xludf.DUMMYFUNCTION("""COMPUTED_VALUE"""),"")</f>
        <v/>
      </c>
      <c r="X4928" s="16" t="str">
        <f>IFERROR(__xludf.DUMMYFUNCTION("""COMPUTED_VALUE"""),"")</f>
        <v/>
      </c>
      <c r="AC4928" s="16" t="str">
        <f>IFERROR(__xludf.DUMMYFUNCTION("""COMPUTED_VALUE"""),"")</f>
        <v/>
      </c>
    </row>
    <row r="4929">
      <c r="A4929" s="16" t="s">
        <v>87</v>
      </c>
      <c r="E4929" s="16" t="str">
        <f>IFERROR(__xludf.DUMMYFUNCTION("""COMPUTED_VALUE"""),"")</f>
        <v/>
      </c>
      <c r="G4929" s="18"/>
      <c r="H4929" s="16" t="s">
        <v>87</v>
      </c>
      <c r="I4929" s="16" t="s">
        <v>87</v>
      </c>
      <c r="J4929" s="19"/>
      <c r="L4929" s="16" t="str">
        <f>IFERROR(__xludf.DUMMYFUNCTION("""COMPUTED_VALUE"""),"")</f>
        <v/>
      </c>
      <c r="M4929" s="16" t="str">
        <f>IFERROR(__xludf.DUMMYFUNCTION("""COMPUTED_VALUE"""),"")</f>
        <v/>
      </c>
      <c r="U4929" s="16" t="s">
        <v>87</v>
      </c>
      <c r="V4929" s="16" t="str">
        <f>IFERROR(__xludf.DUMMYFUNCTION("""COMPUTED_VALUE"""),"")</f>
        <v/>
      </c>
      <c r="W4929" s="16" t="str">
        <f>IFERROR(__xludf.DUMMYFUNCTION("""COMPUTED_VALUE"""),"")</f>
        <v/>
      </c>
      <c r="X4929" s="16" t="str">
        <f>IFERROR(__xludf.DUMMYFUNCTION("""COMPUTED_VALUE"""),"")</f>
        <v/>
      </c>
      <c r="AC4929" s="16" t="str">
        <f>IFERROR(__xludf.DUMMYFUNCTION("""COMPUTED_VALUE"""),"")</f>
        <v/>
      </c>
    </row>
    <row r="4930">
      <c r="A4930" s="16" t="s">
        <v>87</v>
      </c>
      <c r="E4930" s="16" t="str">
        <f>IFERROR(__xludf.DUMMYFUNCTION("""COMPUTED_VALUE"""),"")</f>
        <v/>
      </c>
      <c r="G4930" s="18"/>
      <c r="H4930" s="16" t="s">
        <v>87</v>
      </c>
      <c r="I4930" s="16" t="s">
        <v>87</v>
      </c>
      <c r="J4930" s="19"/>
      <c r="L4930" s="16" t="str">
        <f>IFERROR(__xludf.DUMMYFUNCTION("""COMPUTED_VALUE"""),"")</f>
        <v/>
      </c>
      <c r="M4930" s="16" t="str">
        <f>IFERROR(__xludf.DUMMYFUNCTION("""COMPUTED_VALUE"""),"")</f>
        <v/>
      </c>
      <c r="U4930" s="16" t="s">
        <v>87</v>
      </c>
      <c r="V4930" s="16" t="str">
        <f>IFERROR(__xludf.DUMMYFUNCTION("""COMPUTED_VALUE"""),"")</f>
        <v/>
      </c>
      <c r="W4930" s="16" t="str">
        <f>IFERROR(__xludf.DUMMYFUNCTION("""COMPUTED_VALUE"""),"")</f>
        <v/>
      </c>
      <c r="X4930" s="16" t="str">
        <f>IFERROR(__xludf.DUMMYFUNCTION("""COMPUTED_VALUE"""),"")</f>
        <v/>
      </c>
      <c r="AC4930" s="16" t="str">
        <f>IFERROR(__xludf.DUMMYFUNCTION("""COMPUTED_VALUE"""),"")</f>
        <v/>
      </c>
    </row>
    <row r="4931">
      <c r="A4931" s="16" t="s">
        <v>87</v>
      </c>
      <c r="E4931" s="16" t="str">
        <f>IFERROR(__xludf.DUMMYFUNCTION("""COMPUTED_VALUE"""),"")</f>
        <v/>
      </c>
      <c r="G4931" s="18"/>
      <c r="H4931" s="16" t="s">
        <v>87</v>
      </c>
      <c r="I4931" s="16" t="s">
        <v>87</v>
      </c>
      <c r="J4931" s="19"/>
      <c r="L4931" s="16" t="str">
        <f>IFERROR(__xludf.DUMMYFUNCTION("""COMPUTED_VALUE"""),"")</f>
        <v/>
      </c>
      <c r="M4931" s="16" t="str">
        <f>IFERROR(__xludf.DUMMYFUNCTION("""COMPUTED_VALUE"""),"")</f>
        <v/>
      </c>
      <c r="U4931" s="16" t="s">
        <v>87</v>
      </c>
      <c r="V4931" s="16" t="str">
        <f>IFERROR(__xludf.DUMMYFUNCTION("""COMPUTED_VALUE"""),"")</f>
        <v/>
      </c>
      <c r="W4931" s="16" t="str">
        <f>IFERROR(__xludf.DUMMYFUNCTION("""COMPUTED_VALUE"""),"")</f>
        <v/>
      </c>
      <c r="X4931" s="16" t="str">
        <f>IFERROR(__xludf.DUMMYFUNCTION("""COMPUTED_VALUE"""),"")</f>
        <v/>
      </c>
      <c r="AC4931" s="16" t="str">
        <f>IFERROR(__xludf.DUMMYFUNCTION("""COMPUTED_VALUE"""),"")</f>
        <v/>
      </c>
    </row>
    <row r="4932">
      <c r="A4932" s="16" t="s">
        <v>87</v>
      </c>
      <c r="E4932" s="16" t="str">
        <f>IFERROR(__xludf.DUMMYFUNCTION("""COMPUTED_VALUE"""),"")</f>
        <v/>
      </c>
      <c r="G4932" s="18"/>
      <c r="H4932" s="16" t="s">
        <v>87</v>
      </c>
      <c r="I4932" s="16" t="s">
        <v>87</v>
      </c>
      <c r="J4932" s="19"/>
      <c r="L4932" s="16" t="str">
        <f>IFERROR(__xludf.DUMMYFUNCTION("""COMPUTED_VALUE"""),"")</f>
        <v/>
      </c>
      <c r="M4932" s="16" t="str">
        <f>IFERROR(__xludf.DUMMYFUNCTION("""COMPUTED_VALUE"""),"")</f>
        <v/>
      </c>
      <c r="U4932" s="16" t="s">
        <v>87</v>
      </c>
      <c r="V4932" s="16" t="str">
        <f>IFERROR(__xludf.DUMMYFUNCTION("""COMPUTED_VALUE"""),"")</f>
        <v/>
      </c>
      <c r="W4932" s="16" t="str">
        <f>IFERROR(__xludf.DUMMYFUNCTION("""COMPUTED_VALUE"""),"")</f>
        <v/>
      </c>
      <c r="X4932" s="16" t="str">
        <f>IFERROR(__xludf.DUMMYFUNCTION("""COMPUTED_VALUE"""),"")</f>
        <v/>
      </c>
      <c r="AC4932" s="16" t="str">
        <f>IFERROR(__xludf.DUMMYFUNCTION("""COMPUTED_VALUE"""),"")</f>
        <v/>
      </c>
    </row>
    <row r="4933">
      <c r="A4933" s="16" t="s">
        <v>87</v>
      </c>
      <c r="E4933" s="16" t="str">
        <f>IFERROR(__xludf.DUMMYFUNCTION("""COMPUTED_VALUE"""),"")</f>
        <v/>
      </c>
      <c r="G4933" s="18"/>
      <c r="H4933" s="16" t="s">
        <v>87</v>
      </c>
      <c r="I4933" s="16" t="s">
        <v>87</v>
      </c>
      <c r="J4933" s="19"/>
      <c r="L4933" s="16" t="str">
        <f>IFERROR(__xludf.DUMMYFUNCTION("""COMPUTED_VALUE"""),"")</f>
        <v/>
      </c>
      <c r="M4933" s="16" t="str">
        <f>IFERROR(__xludf.DUMMYFUNCTION("""COMPUTED_VALUE"""),"")</f>
        <v/>
      </c>
      <c r="U4933" s="16" t="s">
        <v>87</v>
      </c>
      <c r="V4933" s="16" t="str">
        <f>IFERROR(__xludf.DUMMYFUNCTION("""COMPUTED_VALUE"""),"")</f>
        <v/>
      </c>
      <c r="W4933" s="16" t="str">
        <f>IFERROR(__xludf.DUMMYFUNCTION("""COMPUTED_VALUE"""),"")</f>
        <v/>
      </c>
      <c r="X4933" s="16" t="str">
        <f>IFERROR(__xludf.DUMMYFUNCTION("""COMPUTED_VALUE"""),"")</f>
        <v/>
      </c>
      <c r="AC4933" s="16" t="str">
        <f>IFERROR(__xludf.DUMMYFUNCTION("""COMPUTED_VALUE"""),"")</f>
        <v/>
      </c>
    </row>
    <row r="4934">
      <c r="A4934" s="16" t="s">
        <v>87</v>
      </c>
      <c r="E4934" s="16" t="str">
        <f>IFERROR(__xludf.DUMMYFUNCTION("""COMPUTED_VALUE"""),"")</f>
        <v/>
      </c>
      <c r="G4934" s="18"/>
      <c r="H4934" s="16" t="s">
        <v>87</v>
      </c>
      <c r="I4934" s="16" t="s">
        <v>87</v>
      </c>
      <c r="J4934" s="19"/>
      <c r="L4934" s="16" t="str">
        <f>IFERROR(__xludf.DUMMYFUNCTION("""COMPUTED_VALUE"""),"")</f>
        <v/>
      </c>
      <c r="M4934" s="16" t="str">
        <f>IFERROR(__xludf.DUMMYFUNCTION("""COMPUTED_VALUE"""),"")</f>
        <v/>
      </c>
      <c r="U4934" s="16" t="s">
        <v>87</v>
      </c>
      <c r="V4934" s="16" t="str">
        <f>IFERROR(__xludf.DUMMYFUNCTION("""COMPUTED_VALUE"""),"")</f>
        <v/>
      </c>
      <c r="W4934" s="16" t="str">
        <f>IFERROR(__xludf.DUMMYFUNCTION("""COMPUTED_VALUE"""),"")</f>
        <v/>
      </c>
      <c r="X4934" s="16" t="str">
        <f>IFERROR(__xludf.DUMMYFUNCTION("""COMPUTED_VALUE"""),"")</f>
        <v/>
      </c>
      <c r="AC4934" s="16" t="str">
        <f>IFERROR(__xludf.DUMMYFUNCTION("""COMPUTED_VALUE"""),"")</f>
        <v/>
      </c>
    </row>
    <row r="4935">
      <c r="A4935" s="16" t="s">
        <v>87</v>
      </c>
      <c r="E4935" s="16" t="str">
        <f>IFERROR(__xludf.DUMMYFUNCTION("""COMPUTED_VALUE"""),"")</f>
        <v/>
      </c>
      <c r="G4935" s="18"/>
      <c r="H4935" s="16" t="s">
        <v>87</v>
      </c>
      <c r="I4935" s="16" t="s">
        <v>87</v>
      </c>
      <c r="J4935" s="19"/>
      <c r="L4935" s="16" t="str">
        <f>IFERROR(__xludf.DUMMYFUNCTION("""COMPUTED_VALUE"""),"")</f>
        <v/>
      </c>
      <c r="M4935" s="16" t="str">
        <f>IFERROR(__xludf.DUMMYFUNCTION("""COMPUTED_VALUE"""),"")</f>
        <v/>
      </c>
      <c r="U4935" s="16" t="s">
        <v>87</v>
      </c>
      <c r="V4935" s="16" t="str">
        <f>IFERROR(__xludf.DUMMYFUNCTION("""COMPUTED_VALUE"""),"")</f>
        <v/>
      </c>
      <c r="W4935" s="16" t="str">
        <f>IFERROR(__xludf.DUMMYFUNCTION("""COMPUTED_VALUE"""),"")</f>
        <v/>
      </c>
      <c r="X4935" s="16" t="str">
        <f>IFERROR(__xludf.DUMMYFUNCTION("""COMPUTED_VALUE"""),"")</f>
        <v/>
      </c>
      <c r="AC4935" s="16" t="str">
        <f>IFERROR(__xludf.DUMMYFUNCTION("""COMPUTED_VALUE"""),"")</f>
        <v/>
      </c>
    </row>
    <row r="4936">
      <c r="A4936" s="16" t="s">
        <v>87</v>
      </c>
      <c r="E4936" s="16" t="str">
        <f>IFERROR(__xludf.DUMMYFUNCTION("""COMPUTED_VALUE"""),"")</f>
        <v/>
      </c>
      <c r="G4936" s="18"/>
      <c r="H4936" s="16" t="s">
        <v>87</v>
      </c>
      <c r="I4936" s="16" t="s">
        <v>87</v>
      </c>
      <c r="J4936" s="19"/>
      <c r="L4936" s="16" t="str">
        <f>IFERROR(__xludf.DUMMYFUNCTION("""COMPUTED_VALUE"""),"")</f>
        <v/>
      </c>
      <c r="M4936" s="16" t="str">
        <f>IFERROR(__xludf.DUMMYFUNCTION("""COMPUTED_VALUE"""),"")</f>
        <v/>
      </c>
      <c r="U4936" s="16" t="s">
        <v>87</v>
      </c>
      <c r="V4936" s="16" t="str">
        <f>IFERROR(__xludf.DUMMYFUNCTION("""COMPUTED_VALUE"""),"")</f>
        <v/>
      </c>
      <c r="W4936" s="16" t="str">
        <f>IFERROR(__xludf.DUMMYFUNCTION("""COMPUTED_VALUE"""),"")</f>
        <v/>
      </c>
      <c r="X4936" s="16" t="str">
        <f>IFERROR(__xludf.DUMMYFUNCTION("""COMPUTED_VALUE"""),"")</f>
        <v/>
      </c>
      <c r="AC4936" s="16" t="str">
        <f>IFERROR(__xludf.DUMMYFUNCTION("""COMPUTED_VALUE"""),"")</f>
        <v/>
      </c>
    </row>
    <row r="4937">
      <c r="A4937" s="16" t="s">
        <v>87</v>
      </c>
      <c r="E4937" s="16" t="str">
        <f>IFERROR(__xludf.DUMMYFUNCTION("""COMPUTED_VALUE"""),"")</f>
        <v/>
      </c>
      <c r="G4937" s="18"/>
      <c r="H4937" s="16" t="s">
        <v>87</v>
      </c>
      <c r="I4937" s="16" t="s">
        <v>87</v>
      </c>
      <c r="J4937" s="19"/>
      <c r="L4937" s="16" t="str">
        <f>IFERROR(__xludf.DUMMYFUNCTION("""COMPUTED_VALUE"""),"")</f>
        <v/>
      </c>
      <c r="M4937" s="16" t="str">
        <f>IFERROR(__xludf.DUMMYFUNCTION("""COMPUTED_VALUE"""),"")</f>
        <v/>
      </c>
      <c r="U4937" s="16" t="s">
        <v>87</v>
      </c>
      <c r="V4937" s="16" t="str">
        <f>IFERROR(__xludf.DUMMYFUNCTION("""COMPUTED_VALUE"""),"")</f>
        <v/>
      </c>
      <c r="W4937" s="16" t="str">
        <f>IFERROR(__xludf.DUMMYFUNCTION("""COMPUTED_VALUE"""),"")</f>
        <v/>
      </c>
      <c r="X4937" s="16" t="str">
        <f>IFERROR(__xludf.DUMMYFUNCTION("""COMPUTED_VALUE"""),"")</f>
        <v/>
      </c>
      <c r="AC4937" s="16" t="str">
        <f>IFERROR(__xludf.DUMMYFUNCTION("""COMPUTED_VALUE"""),"")</f>
        <v/>
      </c>
    </row>
    <row r="4938">
      <c r="A4938" s="16" t="s">
        <v>87</v>
      </c>
      <c r="E4938" s="16" t="str">
        <f>IFERROR(__xludf.DUMMYFUNCTION("""COMPUTED_VALUE"""),"")</f>
        <v/>
      </c>
      <c r="G4938" s="18"/>
      <c r="H4938" s="16" t="s">
        <v>87</v>
      </c>
      <c r="I4938" s="16" t="s">
        <v>87</v>
      </c>
      <c r="J4938" s="19"/>
      <c r="L4938" s="16" t="str">
        <f>IFERROR(__xludf.DUMMYFUNCTION("""COMPUTED_VALUE"""),"")</f>
        <v/>
      </c>
      <c r="M4938" s="16" t="str">
        <f>IFERROR(__xludf.DUMMYFUNCTION("""COMPUTED_VALUE"""),"")</f>
        <v/>
      </c>
      <c r="U4938" s="16" t="s">
        <v>87</v>
      </c>
      <c r="V4938" s="16" t="str">
        <f>IFERROR(__xludf.DUMMYFUNCTION("""COMPUTED_VALUE"""),"")</f>
        <v/>
      </c>
      <c r="W4938" s="16" t="str">
        <f>IFERROR(__xludf.DUMMYFUNCTION("""COMPUTED_VALUE"""),"")</f>
        <v/>
      </c>
      <c r="X4938" s="16" t="str">
        <f>IFERROR(__xludf.DUMMYFUNCTION("""COMPUTED_VALUE"""),"")</f>
        <v/>
      </c>
      <c r="AC4938" s="16" t="str">
        <f>IFERROR(__xludf.DUMMYFUNCTION("""COMPUTED_VALUE"""),"")</f>
        <v/>
      </c>
    </row>
    <row r="4939">
      <c r="A4939" s="16" t="s">
        <v>87</v>
      </c>
      <c r="E4939" s="16" t="str">
        <f>IFERROR(__xludf.DUMMYFUNCTION("""COMPUTED_VALUE"""),"")</f>
        <v/>
      </c>
      <c r="G4939" s="18"/>
      <c r="H4939" s="16" t="s">
        <v>87</v>
      </c>
      <c r="I4939" s="16" t="s">
        <v>87</v>
      </c>
      <c r="J4939" s="19"/>
      <c r="L4939" s="16" t="str">
        <f>IFERROR(__xludf.DUMMYFUNCTION("""COMPUTED_VALUE"""),"")</f>
        <v/>
      </c>
      <c r="M4939" s="16" t="str">
        <f>IFERROR(__xludf.DUMMYFUNCTION("""COMPUTED_VALUE"""),"")</f>
        <v/>
      </c>
      <c r="U4939" s="16" t="s">
        <v>87</v>
      </c>
      <c r="V4939" s="16" t="str">
        <f>IFERROR(__xludf.DUMMYFUNCTION("""COMPUTED_VALUE"""),"")</f>
        <v/>
      </c>
      <c r="W4939" s="16" t="str">
        <f>IFERROR(__xludf.DUMMYFUNCTION("""COMPUTED_VALUE"""),"")</f>
        <v/>
      </c>
      <c r="X4939" s="16" t="str">
        <f>IFERROR(__xludf.DUMMYFUNCTION("""COMPUTED_VALUE"""),"")</f>
        <v/>
      </c>
      <c r="AC4939" s="16" t="str">
        <f>IFERROR(__xludf.DUMMYFUNCTION("""COMPUTED_VALUE"""),"")</f>
        <v/>
      </c>
    </row>
    <row r="4940">
      <c r="A4940" s="16" t="s">
        <v>87</v>
      </c>
      <c r="E4940" s="16" t="str">
        <f>IFERROR(__xludf.DUMMYFUNCTION("""COMPUTED_VALUE"""),"")</f>
        <v/>
      </c>
      <c r="G4940" s="18"/>
      <c r="H4940" s="16" t="s">
        <v>87</v>
      </c>
      <c r="I4940" s="16" t="s">
        <v>87</v>
      </c>
      <c r="J4940" s="19"/>
      <c r="L4940" s="16" t="str">
        <f>IFERROR(__xludf.DUMMYFUNCTION("""COMPUTED_VALUE"""),"")</f>
        <v/>
      </c>
      <c r="M4940" s="16" t="str">
        <f>IFERROR(__xludf.DUMMYFUNCTION("""COMPUTED_VALUE"""),"")</f>
        <v/>
      </c>
      <c r="U4940" s="16" t="s">
        <v>87</v>
      </c>
      <c r="V4940" s="16" t="str">
        <f>IFERROR(__xludf.DUMMYFUNCTION("""COMPUTED_VALUE"""),"")</f>
        <v/>
      </c>
      <c r="W4940" s="16" t="str">
        <f>IFERROR(__xludf.DUMMYFUNCTION("""COMPUTED_VALUE"""),"")</f>
        <v/>
      </c>
      <c r="X4940" s="16" t="str">
        <f>IFERROR(__xludf.DUMMYFUNCTION("""COMPUTED_VALUE"""),"")</f>
        <v/>
      </c>
      <c r="AC4940" s="16" t="str">
        <f>IFERROR(__xludf.DUMMYFUNCTION("""COMPUTED_VALUE"""),"")</f>
        <v/>
      </c>
    </row>
    <row r="4941">
      <c r="A4941" s="16" t="s">
        <v>87</v>
      </c>
      <c r="E4941" s="16" t="str">
        <f>IFERROR(__xludf.DUMMYFUNCTION("""COMPUTED_VALUE"""),"")</f>
        <v/>
      </c>
      <c r="G4941" s="18"/>
      <c r="H4941" s="16" t="s">
        <v>87</v>
      </c>
      <c r="I4941" s="16" t="s">
        <v>87</v>
      </c>
      <c r="J4941" s="19"/>
      <c r="L4941" s="16" t="str">
        <f>IFERROR(__xludf.DUMMYFUNCTION("""COMPUTED_VALUE"""),"")</f>
        <v/>
      </c>
      <c r="M4941" s="16" t="str">
        <f>IFERROR(__xludf.DUMMYFUNCTION("""COMPUTED_VALUE"""),"")</f>
        <v/>
      </c>
      <c r="U4941" s="16" t="s">
        <v>87</v>
      </c>
      <c r="V4941" s="16" t="str">
        <f>IFERROR(__xludf.DUMMYFUNCTION("""COMPUTED_VALUE"""),"")</f>
        <v/>
      </c>
      <c r="W4941" s="16" t="str">
        <f>IFERROR(__xludf.DUMMYFUNCTION("""COMPUTED_VALUE"""),"")</f>
        <v/>
      </c>
      <c r="X4941" s="16" t="str">
        <f>IFERROR(__xludf.DUMMYFUNCTION("""COMPUTED_VALUE"""),"")</f>
        <v/>
      </c>
      <c r="AC4941" s="16" t="str">
        <f>IFERROR(__xludf.DUMMYFUNCTION("""COMPUTED_VALUE"""),"")</f>
        <v/>
      </c>
    </row>
    <row r="4942">
      <c r="A4942" s="16" t="s">
        <v>87</v>
      </c>
      <c r="E4942" s="16" t="str">
        <f>IFERROR(__xludf.DUMMYFUNCTION("""COMPUTED_VALUE"""),"")</f>
        <v/>
      </c>
      <c r="G4942" s="18"/>
      <c r="H4942" s="16" t="s">
        <v>87</v>
      </c>
      <c r="I4942" s="16" t="s">
        <v>87</v>
      </c>
      <c r="J4942" s="19"/>
      <c r="L4942" s="16" t="str">
        <f>IFERROR(__xludf.DUMMYFUNCTION("""COMPUTED_VALUE"""),"")</f>
        <v/>
      </c>
      <c r="M4942" s="16" t="str">
        <f>IFERROR(__xludf.DUMMYFUNCTION("""COMPUTED_VALUE"""),"")</f>
        <v/>
      </c>
      <c r="U4942" s="16" t="s">
        <v>87</v>
      </c>
      <c r="V4942" s="16" t="str">
        <f>IFERROR(__xludf.DUMMYFUNCTION("""COMPUTED_VALUE"""),"")</f>
        <v/>
      </c>
      <c r="W4942" s="16" t="str">
        <f>IFERROR(__xludf.DUMMYFUNCTION("""COMPUTED_VALUE"""),"")</f>
        <v/>
      </c>
      <c r="X4942" s="16" t="str">
        <f>IFERROR(__xludf.DUMMYFUNCTION("""COMPUTED_VALUE"""),"")</f>
        <v/>
      </c>
      <c r="AC4942" s="16" t="str">
        <f>IFERROR(__xludf.DUMMYFUNCTION("""COMPUTED_VALUE"""),"")</f>
        <v/>
      </c>
    </row>
    <row r="4943">
      <c r="A4943" s="16" t="s">
        <v>87</v>
      </c>
      <c r="E4943" s="16" t="str">
        <f>IFERROR(__xludf.DUMMYFUNCTION("""COMPUTED_VALUE"""),"")</f>
        <v/>
      </c>
      <c r="G4943" s="18"/>
      <c r="H4943" s="16" t="s">
        <v>87</v>
      </c>
      <c r="I4943" s="16" t="s">
        <v>87</v>
      </c>
      <c r="J4943" s="19"/>
      <c r="L4943" s="16" t="str">
        <f>IFERROR(__xludf.DUMMYFUNCTION("""COMPUTED_VALUE"""),"")</f>
        <v/>
      </c>
      <c r="M4943" s="16" t="str">
        <f>IFERROR(__xludf.DUMMYFUNCTION("""COMPUTED_VALUE"""),"")</f>
        <v/>
      </c>
      <c r="U4943" s="16" t="s">
        <v>87</v>
      </c>
      <c r="V4943" s="16" t="str">
        <f>IFERROR(__xludf.DUMMYFUNCTION("""COMPUTED_VALUE"""),"")</f>
        <v/>
      </c>
      <c r="W4943" s="16" t="str">
        <f>IFERROR(__xludf.DUMMYFUNCTION("""COMPUTED_VALUE"""),"")</f>
        <v/>
      </c>
      <c r="X4943" s="16" t="str">
        <f>IFERROR(__xludf.DUMMYFUNCTION("""COMPUTED_VALUE"""),"")</f>
        <v/>
      </c>
      <c r="AC4943" s="16" t="str">
        <f>IFERROR(__xludf.DUMMYFUNCTION("""COMPUTED_VALUE"""),"")</f>
        <v/>
      </c>
    </row>
    <row r="4944">
      <c r="A4944" s="16" t="s">
        <v>87</v>
      </c>
      <c r="E4944" s="16" t="str">
        <f>IFERROR(__xludf.DUMMYFUNCTION("""COMPUTED_VALUE"""),"")</f>
        <v/>
      </c>
      <c r="G4944" s="18"/>
      <c r="H4944" s="16" t="s">
        <v>87</v>
      </c>
      <c r="I4944" s="16" t="s">
        <v>87</v>
      </c>
      <c r="J4944" s="19"/>
      <c r="L4944" s="16" t="str">
        <f>IFERROR(__xludf.DUMMYFUNCTION("""COMPUTED_VALUE"""),"")</f>
        <v/>
      </c>
      <c r="M4944" s="16" t="str">
        <f>IFERROR(__xludf.DUMMYFUNCTION("""COMPUTED_VALUE"""),"")</f>
        <v/>
      </c>
      <c r="U4944" s="16" t="s">
        <v>87</v>
      </c>
      <c r="V4944" s="16" t="str">
        <f>IFERROR(__xludf.DUMMYFUNCTION("""COMPUTED_VALUE"""),"")</f>
        <v/>
      </c>
      <c r="W4944" s="16" t="str">
        <f>IFERROR(__xludf.DUMMYFUNCTION("""COMPUTED_VALUE"""),"")</f>
        <v/>
      </c>
      <c r="X4944" s="16" t="str">
        <f>IFERROR(__xludf.DUMMYFUNCTION("""COMPUTED_VALUE"""),"")</f>
        <v/>
      </c>
      <c r="AC4944" s="16" t="str">
        <f>IFERROR(__xludf.DUMMYFUNCTION("""COMPUTED_VALUE"""),"")</f>
        <v/>
      </c>
    </row>
    <row r="4945">
      <c r="A4945" s="16" t="s">
        <v>87</v>
      </c>
      <c r="E4945" s="16" t="str">
        <f>IFERROR(__xludf.DUMMYFUNCTION("""COMPUTED_VALUE"""),"")</f>
        <v/>
      </c>
      <c r="G4945" s="18"/>
      <c r="H4945" s="16" t="s">
        <v>87</v>
      </c>
      <c r="I4945" s="16" t="s">
        <v>87</v>
      </c>
      <c r="J4945" s="19"/>
      <c r="L4945" s="16" t="str">
        <f>IFERROR(__xludf.DUMMYFUNCTION("""COMPUTED_VALUE"""),"")</f>
        <v/>
      </c>
      <c r="M4945" s="16" t="str">
        <f>IFERROR(__xludf.DUMMYFUNCTION("""COMPUTED_VALUE"""),"")</f>
        <v/>
      </c>
      <c r="U4945" s="16" t="s">
        <v>87</v>
      </c>
      <c r="V4945" s="16" t="str">
        <f>IFERROR(__xludf.DUMMYFUNCTION("""COMPUTED_VALUE"""),"")</f>
        <v/>
      </c>
      <c r="W4945" s="16" t="str">
        <f>IFERROR(__xludf.DUMMYFUNCTION("""COMPUTED_VALUE"""),"")</f>
        <v/>
      </c>
      <c r="X4945" s="16" t="str">
        <f>IFERROR(__xludf.DUMMYFUNCTION("""COMPUTED_VALUE"""),"")</f>
        <v/>
      </c>
      <c r="AC4945" s="16" t="str">
        <f>IFERROR(__xludf.DUMMYFUNCTION("""COMPUTED_VALUE"""),"")</f>
        <v/>
      </c>
    </row>
    <row r="4946">
      <c r="A4946" s="16" t="s">
        <v>87</v>
      </c>
      <c r="E4946" s="16" t="str">
        <f>IFERROR(__xludf.DUMMYFUNCTION("""COMPUTED_VALUE"""),"")</f>
        <v/>
      </c>
      <c r="G4946" s="18"/>
      <c r="H4946" s="16" t="s">
        <v>87</v>
      </c>
      <c r="I4946" s="16" t="s">
        <v>87</v>
      </c>
      <c r="J4946" s="19"/>
      <c r="L4946" s="16" t="str">
        <f>IFERROR(__xludf.DUMMYFUNCTION("""COMPUTED_VALUE"""),"")</f>
        <v/>
      </c>
      <c r="M4946" s="16" t="str">
        <f>IFERROR(__xludf.DUMMYFUNCTION("""COMPUTED_VALUE"""),"")</f>
        <v/>
      </c>
      <c r="U4946" s="16" t="s">
        <v>87</v>
      </c>
      <c r="V4946" s="16" t="str">
        <f>IFERROR(__xludf.DUMMYFUNCTION("""COMPUTED_VALUE"""),"")</f>
        <v/>
      </c>
      <c r="W4946" s="16" t="str">
        <f>IFERROR(__xludf.DUMMYFUNCTION("""COMPUTED_VALUE"""),"")</f>
        <v/>
      </c>
      <c r="X4946" s="16" t="str">
        <f>IFERROR(__xludf.DUMMYFUNCTION("""COMPUTED_VALUE"""),"")</f>
        <v/>
      </c>
      <c r="AC4946" s="16" t="str">
        <f>IFERROR(__xludf.DUMMYFUNCTION("""COMPUTED_VALUE"""),"")</f>
        <v/>
      </c>
    </row>
    <row r="4947">
      <c r="A4947" s="16" t="s">
        <v>87</v>
      </c>
      <c r="E4947" s="16" t="str">
        <f>IFERROR(__xludf.DUMMYFUNCTION("""COMPUTED_VALUE"""),"")</f>
        <v/>
      </c>
      <c r="G4947" s="18"/>
      <c r="H4947" s="16" t="s">
        <v>87</v>
      </c>
      <c r="I4947" s="16" t="s">
        <v>87</v>
      </c>
      <c r="J4947" s="19"/>
      <c r="L4947" s="16" t="str">
        <f>IFERROR(__xludf.DUMMYFUNCTION("""COMPUTED_VALUE"""),"")</f>
        <v/>
      </c>
      <c r="M4947" s="16" t="str">
        <f>IFERROR(__xludf.DUMMYFUNCTION("""COMPUTED_VALUE"""),"")</f>
        <v/>
      </c>
      <c r="U4947" s="16" t="s">
        <v>87</v>
      </c>
      <c r="V4947" s="16" t="str">
        <f>IFERROR(__xludf.DUMMYFUNCTION("""COMPUTED_VALUE"""),"")</f>
        <v/>
      </c>
      <c r="W4947" s="16" t="str">
        <f>IFERROR(__xludf.DUMMYFUNCTION("""COMPUTED_VALUE"""),"")</f>
        <v/>
      </c>
      <c r="X4947" s="16" t="str">
        <f>IFERROR(__xludf.DUMMYFUNCTION("""COMPUTED_VALUE"""),"")</f>
        <v/>
      </c>
      <c r="AC4947" s="16" t="str">
        <f>IFERROR(__xludf.DUMMYFUNCTION("""COMPUTED_VALUE"""),"")</f>
        <v/>
      </c>
    </row>
    <row r="4948">
      <c r="A4948" s="16" t="s">
        <v>87</v>
      </c>
      <c r="E4948" s="16" t="str">
        <f>IFERROR(__xludf.DUMMYFUNCTION("""COMPUTED_VALUE"""),"")</f>
        <v/>
      </c>
      <c r="G4948" s="18"/>
      <c r="H4948" s="16" t="s">
        <v>87</v>
      </c>
      <c r="I4948" s="16" t="s">
        <v>87</v>
      </c>
      <c r="J4948" s="19"/>
      <c r="L4948" s="16" t="str">
        <f>IFERROR(__xludf.DUMMYFUNCTION("""COMPUTED_VALUE"""),"")</f>
        <v/>
      </c>
      <c r="M4948" s="16" t="str">
        <f>IFERROR(__xludf.DUMMYFUNCTION("""COMPUTED_VALUE"""),"")</f>
        <v/>
      </c>
      <c r="U4948" s="16" t="s">
        <v>87</v>
      </c>
      <c r="V4948" s="16" t="str">
        <f>IFERROR(__xludf.DUMMYFUNCTION("""COMPUTED_VALUE"""),"")</f>
        <v/>
      </c>
      <c r="W4948" s="16" t="str">
        <f>IFERROR(__xludf.DUMMYFUNCTION("""COMPUTED_VALUE"""),"")</f>
        <v/>
      </c>
      <c r="X4948" s="16" t="str">
        <f>IFERROR(__xludf.DUMMYFUNCTION("""COMPUTED_VALUE"""),"")</f>
        <v/>
      </c>
      <c r="AC4948" s="16" t="str">
        <f>IFERROR(__xludf.DUMMYFUNCTION("""COMPUTED_VALUE"""),"")</f>
        <v/>
      </c>
    </row>
    <row r="4949">
      <c r="A4949" s="16" t="s">
        <v>87</v>
      </c>
      <c r="E4949" s="16" t="str">
        <f>IFERROR(__xludf.DUMMYFUNCTION("""COMPUTED_VALUE"""),"")</f>
        <v/>
      </c>
      <c r="G4949" s="18"/>
      <c r="H4949" s="16" t="s">
        <v>87</v>
      </c>
      <c r="I4949" s="16" t="s">
        <v>87</v>
      </c>
      <c r="J4949" s="19"/>
      <c r="L4949" s="16" t="str">
        <f>IFERROR(__xludf.DUMMYFUNCTION("""COMPUTED_VALUE"""),"")</f>
        <v/>
      </c>
      <c r="M4949" s="16" t="str">
        <f>IFERROR(__xludf.DUMMYFUNCTION("""COMPUTED_VALUE"""),"")</f>
        <v/>
      </c>
      <c r="U4949" s="16" t="s">
        <v>87</v>
      </c>
      <c r="V4949" s="16" t="str">
        <f>IFERROR(__xludf.DUMMYFUNCTION("""COMPUTED_VALUE"""),"")</f>
        <v/>
      </c>
      <c r="W4949" s="16" t="str">
        <f>IFERROR(__xludf.DUMMYFUNCTION("""COMPUTED_VALUE"""),"")</f>
        <v/>
      </c>
      <c r="X4949" s="16" t="str">
        <f>IFERROR(__xludf.DUMMYFUNCTION("""COMPUTED_VALUE"""),"")</f>
        <v/>
      </c>
      <c r="AC4949" s="16" t="str">
        <f>IFERROR(__xludf.DUMMYFUNCTION("""COMPUTED_VALUE"""),"")</f>
        <v/>
      </c>
    </row>
    <row r="4950">
      <c r="A4950" s="16" t="s">
        <v>87</v>
      </c>
      <c r="E4950" s="16" t="str">
        <f>IFERROR(__xludf.DUMMYFUNCTION("""COMPUTED_VALUE"""),"")</f>
        <v/>
      </c>
      <c r="G4950" s="18"/>
      <c r="H4950" s="16" t="s">
        <v>87</v>
      </c>
      <c r="I4950" s="16" t="s">
        <v>87</v>
      </c>
      <c r="J4950" s="19"/>
      <c r="L4950" s="16" t="str">
        <f>IFERROR(__xludf.DUMMYFUNCTION("""COMPUTED_VALUE"""),"")</f>
        <v/>
      </c>
      <c r="M4950" s="16" t="str">
        <f>IFERROR(__xludf.DUMMYFUNCTION("""COMPUTED_VALUE"""),"")</f>
        <v/>
      </c>
      <c r="U4950" s="16" t="s">
        <v>87</v>
      </c>
      <c r="V4950" s="16" t="str">
        <f>IFERROR(__xludf.DUMMYFUNCTION("""COMPUTED_VALUE"""),"")</f>
        <v/>
      </c>
      <c r="W4950" s="16" t="str">
        <f>IFERROR(__xludf.DUMMYFUNCTION("""COMPUTED_VALUE"""),"")</f>
        <v/>
      </c>
      <c r="X4950" s="16" t="str">
        <f>IFERROR(__xludf.DUMMYFUNCTION("""COMPUTED_VALUE"""),"")</f>
        <v/>
      </c>
      <c r="AC4950" s="16" t="str">
        <f>IFERROR(__xludf.DUMMYFUNCTION("""COMPUTED_VALUE"""),"")</f>
        <v/>
      </c>
    </row>
    <row r="4951">
      <c r="A4951" s="16" t="s">
        <v>87</v>
      </c>
      <c r="E4951" s="16" t="str">
        <f>IFERROR(__xludf.DUMMYFUNCTION("""COMPUTED_VALUE"""),"")</f>
        <v/>
      </c>
      <c r="G4951" s="18"/>
      <c r="H4951" s="16" t="s">
        <v>87</v>
      </c>
      <c r="I4951" s="16" t="s">
        <v>87</v>
      </c>
      <c r="J4951" s="19"/>
      <c r="L4951" s="16" t="str">
        <f>IFERROR(__xludf.DUMMYFUNCTION("""COMPUTED_VALUE"""),"")</f>
        <v/>
      </c>
      <c r="M4951" s="16" t="str">
        <f>IFERROR(__xludf.DUMMYFUNCTION("""COMPUTED_VALUE"""),"")</f>
        <v/>
      </c>
      <c r="U4951" s="16" t="s">
        <v>87</v>
      </c>
      <c r="V4951" s="16" t="str">
        <f>IFERROR(__xludf.DUMMYFUNCTION("""COMPUTED_VALUE"""),"")</f>
        <v/>
      </c>
      <c r="W4951" s="16" t="str">
        <f>IFERROR(__xludf.DUMMYFUNCTION("""COMPUTED_VALUE"""),"")</f>
        <v/>
      </c>
      <c r="X4951" s="16" t="str">
        <f>IFERROR(__xludf.DUMMYFUNCTION("""COMPUTED_VALUE"""),"")</f>
        <v/>
      </c>
      <c r="AC4951" s="16" t="str">
        <f>IFERROR(__xludf.DUMMYFUNCTION("""COMPUTED_VALUE"""),"")</f>
        <v/>
      </c>
    </row>
    <row r="4952">
      <c r="A4952" s="16" t="s">
        <v>87</v>
      </c>
      <c r="E4952" s="16" t="str">
        <f>IFERROR(__xludf.DUMMYFUNCTION("""COMPUTED_VALUE"""),"")</f>
        <v/>
      </c>
      <c r="G4952" s="18"/>
      <c r="H4952" s="16" t="s">
        <v>87</v>
      </c>
      <c r="I4952" s="16" t="s">
        <v>87</v>
      </c>
      <c r="J4952" s="19"/>
      <c r="L4952" s="16" t="str">
        <f>IFERROR(__xludf.DUMMYFUNCTION("""COMPUTED_VALUE"""),"")</f>
        <v/>
      </c>
      <c r="M4952" s="16" t="str">
        <f>IFERROR(__xludf.DUMMYFUNCTION("""COMPUTED_VALUE"""),"")</f>
        <v/>
      </c>
      <c r="U4952" s="16" t="s">
        <v>87</v>
      </c>
      <c r="V4952" s="16" t="str">
        <f>IFERROR(__xludf.DUMMYFUNCTION("""COMPUTED_VALUE"""),"")</f>
        <v/>
      </c>
      <c r="W4952" s="16" t="str">
        <f>IFERROR(__xludf.DUMMYFUNCTION("""COMPUTED_VALUE"""),"")</f>
        <v/>
      </c>
      <c r="X4952" s="16" t="str">
        <f>IFERROR(__xludf.DUMMYFUNCTION("""COMPUTED_VALUE"""),"")</f>
        <v/>
      </c>
      <c r="AC4952" s="16" t="str">
        <f>IFERROR(__xludf.DUMMYFUNCTION("""COMPUTED_VALUE"""),"")</f>
        <v/>
      </c>
    </row>
    <row r="4953">
      <c r="A4953" s="16" t="s">
        <v>87</v>
      </c>
      <c r="E4953" s="16" t="str">
        <f>IFERROR(__xludf.DUMMYFUNCTION("""COMPUTED_VALUE"""),"")</f>
        <v/>
      </c>
      <c r="G4953" s="18"/>
      <c r="H4953" s="16" t="s">
        <v>87</v>
      </c>
      <c r="I4953" s="16" t="s">
        <v>87</v>
      </c>
      <c r="J4953" s="19"/>
      <c r="L4953" s="16" t="str">
        <f>IFERROR(__xludf.DUMMYFUNCTION("""COMPUTED_VALUE"""),"")</f>
        <v/>
      </c>
      <c r="M4953" s="16" t="str">
        <f>IFERROR(__xludf.DUMMYFUNCTION("""COMPUTED_VALUE"""),"")</f>
        <v/>
      </c>
      <c r="U4953" s="16" t="s">
        <v>87</v>
      </c>
      <c r="V4953" s="16" t="str">
        <f>IFERROR(__xludf.DUMMYFUNCTION("""COMPUTED_VALUE"""),"")</f>
        <v/>
      </c>
      <c r="W4953" s="16" t="str">
        <f>IFERROR(__xludf.DUMMYFUNCTION("""COMPUTED_VALUE"""),"")</f>
        <v/>
      </c>
      <c r="X4953" s="16" t="str">
        <f>IFERROR(__xludf.DUMMYFUNCTION("""COMPUTED_VALUE"""),"")</f>
        <v/>
      </c>
      <c r="AC4953" s="16" t="str">
        <f>IFERROR(__xludf.DUMMYFUNCTION("""COMPUTED_VALUE"""),"")</f>
        <v/>
      </c>
    </row>
    <row r="4954">
      <c r="A4954" s="16" t="s">
        <v>87</v>
      </c>
      <c r="E4954" s="16" t="str">
        <f>IFERROR(__xludf.DUMMYFUNCTION("""COMPUTED_VALUE"""),"")</f>
        <v/>
      </c>
      <c r="G4954" s="18"/>
      <c r="H4954" s="16" t="s">
        <v>87</v>
      </c>
      <c r="I4954" s="16" t="s">
        <v>87</v>
      </c>
      <c r="J4954" s="19"/>
      <c r="L4954" s="16" t="str">
        <f>IFERROR(__xludf.DUMMYFUNCTION("""COMPUTED_VALUE"""),"")</f>
        <v/>
      </c>
      <c r="M4954" s="16" t="str">
        <f>IFERROR(__xludf.DUMMYFUNCTION("""COMPUTED_VALUE"""),"")</f>
        <v/>
      </c>
      <c r="U4954" s="16" t="s">
        <v>87</v>
      </c>
      <c r="V4954" s="16" t="str">
        <f>IFERROR(__xludf.DUMMYFUNCTION("""COMPUTED_VALUE"""),"")</f>
        <v/>
      </c>
      <c r="W4954" s="16" t="str">
        <f>IFERROR(__xludf.DUMMYFUNCTION("""COMPUTED_VALUE"""),"")</f>
        <v/>
      </c>
      <c r="X4954" s="16" t="str">
        <f>IFERROR(__xludf.DUMMYFUNCTION("""COMPUTED_VALUE"""),"")</f>
        <v/>
      </c>
      <c r="AC4954" s="16" t="str">
        <f>IFERROR(__xludf.DUMMYFUNCTION("""COMPUTED_VALUE"""),"")</f>
        <v/>
      </c>
    </row>
    <row r="4955">
      <c r="A4955" s="16" t="s">
        <v>87</v>
      </c>
      <c r="E4955" s="16" t="str">
        <f>IFERROR(__xludf.DUMMYFUNCTION("""COMPUTED_VALUE"""),"")</f>
        <v/>
      </c>
      <c r="G4955" s="18"/>
      <c r="H4955" s="16" t="s">
        <v>87</v>
      </c>
      <c r="I4955" s="16" t="s">
        <v>87</v>
      </c>
      <c r="J4955" s="19"/>
      <c r="L4955" s="16" t="str">
        <f>IFERROR(__xludf.DUMMYFUNCTION("""COMPUTED_VALUE"""),"")</f>
        <v/>
      </c>
      <c r="M4955" s="16" t="str">
        <f>IFERROR(__xludf.DUMMYFUNCTION("""COMPUTED_VALUE"""),"")</f>
        <v/>
      </c>
      <c r="U4955" s="16" t="s">
        <v>87</v>
      </c>
      <c r="V4955" s="16" t="str">
        <f>IFERROR(__xludf.DUMMYFUNCTION("""COMPUTED_VALUE"""),"")</f>
        <v/>
      </c>
      <c r="W4955" s="16" t="str">
        <f>IFERROR(__xludf.DUMMYFUNCTION("""COMPUTED_VALUE"""),"")</f>
        <v/>
      </c>
      <c r="X4955" s="16" t="str">
        <f>IFERROR(__xludf.DUMMYFUNCTION("""COMPUTED_VALUE"""),"")</f>
        <v/>
      </c>
      <c r="AC4955" s="16" t="str">
        <f>IFERROR(__xludf.DUMMYFUNCTION("""COMPUTED_VALUE"""),"")</f>
        <v/>
      </c>
    </row>
    <row r="4956">
      <c r="A4956" s="16" t="s">
        <v>87</v>
      </c>
      <c r="E4956" s="16" t="str">
        <f>IFERROR(__xludf.DUMMYFUNCTION("""COMPUTED_VALUE"""),"")</f>
        <v/>
      </c>
      <c r="G4956" s="18"/>
      <c r="H4956" s="16" t="s">
        <v>87</v>
      </c>
      <c r="I4956" s="16" t="s">
        <v>87</v>
      </c>
      <c r="J4956" s="19"/>
      <c r="L4956" s="16" t="str">
        <f>IFERROR(__xludf.DUMMYFUNCTION("""COMPUTED_VALUE"""),"")</f>
        <v/>
      </c>
      <c r="M4956" s="16" t="str">
        <f>IFERROR(__xludf.DUMMYFUNCTION("""COMPUTED_VALUE"""),"")</f>
        <v/>
      </c>
      <c r="U4956" s="16" t="s">
        <v>87</v>
      </c>
      <c r="V4956" s="16" t="str">
        <f>IFERROR(__xludf.DUMMYFUNCTION("""COMPUTED_VALUE"""),"")</f>
        <v/>
      </c>
      <c r="W4956" s="16" t="str">
        <f>IFERROR(__xludf.DUMMYFUNCTION("""COMPUTED_VALUE"""),"")</f>
        <v/>
      </c>
      <c r="X4956" s="16" t="str">
        <f>IFERROR(__xludf.DUMMYFUNCTION("""COMPUTED_VALUE"""),"")</f>
        <v/>
      </c>
      <c r="AC4956" s="16" t="str">
        <f>IFERROR(__xludf.DUMMYFUNCTION("""COMPUTED_VALUE"""),"")</f>
        <v/>
      </c>
    </row>
    <row r="4957">
      <c r="A4957" s="16" t="s">
        <v>87</v>
      </c>
      <c r="E4957" s="16" t="str">
        <f>IFERROR(__xludf.DUMMYFUNCTION("""COMPUTED_VALUE"""),"")</f>
        <v/>
      </c>
      <c r="G4957" s="18"/>
      <c r="H4957" s="16" t="s">
        <v>87</v>
      </c>
      <c r="I4957" s="16" t="s">
        <v>87</v>
      </c>
      <c r="J4957" s="19"/>
      <c r="L4957" s="16" t="str">
        <f>IFERROR(__xludf.DUMMYFUNCTION("""COMPUTED_VALUE"""),"")</f>
        <v/>
      </c>
      <c r="M4957" s="16" t="str">
        <f>IFERROR(__xludf.DUMMYFUNCTION("""COMPUTED_VALUE"""),"")</f>
        <v/>
      </c>
      <c r="U4957" s="16" t="s">
        <v>87</v>
      </c>
      <c r="V4957" s="16" t="str">
        <f>IFERROR(__xludf.DUMMYFUNCTION("""COMPUTED_VALUE"""),"")</f>
        <v/>
      </c>
      <c r="W4957" s="16" t="str">
        <f>IFERROR(__xludf.DUMMYFUNCTION("""COMPUTED_VALUE"""),"")</f>
        <v/>
      </c>
      <c r="X4957" s="16" t="str">
        <f>IFERROR(__xludf.DUMMYFUNCTION("""COMPUTED_VALUE"""),"")</f>
        <v/>
      </c>
      <c r="AC4957" s="16" t="str">
        <f>IFERROR(__xludf.DUMMYFUNCTION("""COMPUTED_VALUE"""),"")</f>
        <v/>
      </c>
    </row>
    <row r="4958">
      <c r="A4958" s="16" t="s">
        <v>87</v>
      </c>
      <c r="E4958" s="16" t="str">
        <f>IFERROR(__xludf.DUMMYFUNCTION("""COMPUTED_VALUE"""),"")</f>
        <v/>
      </c>
      <c r="G4958" s="18"/>
      <c r="H4958" s="16" t="s">
        <v>87</v>
      </c>
      <c r="I4958" s="16" t="s">
        <v>87</v>
      </c>
      <c r="J4958" s="19"/>
      <c r="L4958" s="16" t="str">
        <f>IFERROR(__xludf.DUMMYFUNCTION("""COMPUTED_VALUE"""),"")</f>
        <v/>
      </c>
      <c r="M4958" s="16" t="str">
        <f>IFERROR(__xludf.DUMMYFUNCTION("""COMPUTED_VALUE"""),"")</f>
        <v/>
      </c>
      <c r="U4958" s="16" t="s">
        <v>87</v>
      </c>
      <c r="V4958" s="16" t="str">
        <f>IFERROR(__xludf.DUMMYFUNCTION("""COMPUTED_VALUE"""),"")</f>
        <v/>
      </c>
      <c r="W4958" s="16" t="str">
        <f>IFERROR(__xludf.DUMMYFUNCTION("""COMPUTED_VALUE"""),"")</f>
        <v/>
      </c>
      <c r="X4958" s="16" t="str">
        <f>IFERROR(__xludf.DUMMYFUNCTION("""COMPUTED_VALUE"""),"")</f>
        <v/>
      </c>
      <c r="AC4958" s="16" t="str">
        <f>IFERROR(__xludf.DUMMYFUNCTION("""COMPUTED_VALUE"""),"")</f>
        <v/>
      </c>
    </row>
    <row r="4959">
      <c r="A4959" s="16" t="s">
        <v>87</v>
      </c>
      <c r="E4959" s="16" t="str">
        <f>IFERROR(__xludf.DUMMYFUNCTION("""COMPUTED_VALUE"""),"")</f>
        <v/>
      </c>
      <c r="G4959" s="18"/>
      <c r="H4959" s="16" t="s">
        <v>87</v>
      </c>
      <c r="I4959" s="16" t="s">
        <v>87</v>
      </c>
      <c r="J4959" s="19"/>
      <c r="L4959" s="16" t="str">
        <f>IFERROR(__xludf.DUMMYFUNCTION("""COMPUTED_VALUE"""),"")</f>
        <v/>
      </c>
      <c r="M4959" s="16" t="str">
        <f>IFERROR(__xludf.DUMMYFUNCTION("""COMPUTED_VALUE"""),"")</f>
        <v/>
      </c>
      <c r="U4959" s="16" t="s">
        <v>87</v>
      </c>
      <c r="V4959" s="16" t="str">
        <f>IFERROR(__xludf.DUMMYFUNCTION("""COMPUTED_VALUE"""),"")</f>
        <v/>
      </c>
      <c r="W4959" s="16" t="str">
        <f>IFERROR(__xludf.DUMMYFUNCTION("""COMPUTED_VALUE"""),"")</f>
        <v/>
      </c>
      <c r="X4959" s="16" t="str">
        <f>IFERROR(__xludf.DUMMYFUNCTION("""COMPUTED_VALUE"""),"")</f>
        <v/>
      </c>
      <c r="AC4959" s="16" t="str">
        <f>IFERROR(__xludf.DUMMYFUNCTION("""COMPUTED_VALUE"""),"")</f>
        <v/>
      </c>
    </row>
    <row r="4960">
      <c r="A4960" s="16" t="s">
        <v>87</v>
      </c>
      <c r="E4960" s="16" t="str">
        <f>IFERROR(__xludf.DUMMYFUNCTION("""COMPUTED_VALUE"""),"")</f>
        <v/>
      </c>
      <c r="G4960" s="18"/>
      <c r="H4960" s="16" t="s">
        <v>87</v>
      </c>
      <c r="I4960" s="16" t="s">
        <v>87</v>
      </c>
      <c r="J4960" s="19"/>
      <c r="L4960" s="16" t="str">
        <f>IFERROR(__xludf.DUMMYFUNCTION("""COMPUTED_VALUE"""),"")</f>
        <v/>
      </c>
      <c r="M4960" s="16" t="str">
        <f>IFERROR(__xludf.DUMMYFUNCTION("""COMPUTED_VALUE"""),"")</f>
        <v/>
      </c>
      <c r="U4960" s="16" t="s">
        <v>87</v>
      </c>
      <c r="V4960" s="16" t="str">
        <f>IFERROR(__xludf.DUMMYFUNCTION("""COMPUTED_VALUE"""),"")</f>
        <v/>
      </c>
      <c r="W4960" s="16" t="str">
        <f>IFERROR(__xludf.DUMMYFUNCTION("""COMPUTED_VALUE"""),"")</f>
        <v/>
      </c>
      <c r="X4960" s="16" t="str">
        <f>IFERROR(__xludf.DUMMYFUNCTION("""COMPUTED_VALUE"""),"")</f>
        <v/>
      </c>
      <c r="AC4960" s="16" t="str">
        <f>IFERROR(__xludf.DUMMYFUNCTION("""COMPUTED_VALUE"""),"")</f>
        <v/>
      </c>
    </row>
    <row r="4961">
      <c r="A4961" s="16" t="s">
        <v>87</v>
      </c>
      <c r="E4961" s="16" t="str">
        <f>IFERROR(__xludf.DUMMYFUNCTION("""COMPUTED_VALUE"""),"")</f>
        <v/>
      </c>
      <c r="G4961" s="18"/>
      <c r="H4961" s="16" t="s">
        <v>87</v>
      </c>
      <c r="I4961" s="16" t="s">
        <v>87</v>
      </c>
      <c r="J4961" s="19"/>
      <c r="L4961" s="16" t="str">
        <f>IFERROR(__xludf.DUMMYFUNCTION("""COMPUTED_VALUE"""),"")</f>
        <v/>
      </c>
      <c r="M4961" s="16" t="str">
        <f>IFERROR(__xludf.DUMMYFUNCTION("""COMPUTED_VALUE"""),"")</f>
        <v/>
      </c>
      <c r="U4961" s="16" t="s">
        <v>87</v>
      </c>
      <c r="V4961" s="16" t="str">
        <f>IFERROR(__xludf.DUMMYFUNCTION("""COMPUTED_VALUE"""),"")</f>
        <v/>
      </c>
      <c r="W4961" s="16" t="str">
        <f>IFERROR(__xludf.DUMMYFUNCTION("""COMPUTED_VALUE"""),"")</f>
        <v/>
      </c>
      <c r="X4961" s="16" t="str">
        <f>IFERROR(__xludf.DUMMYFUNCTION("""COMPUTED_VALUE"""),"")</f>
        <v/>
      </c>
      <c r="AC4961" s="16" t="str">
        <f>IFERROR(__xludf.DUMMYFUNCTION("""COMPUTED_VALUE"""),"")</f>
        <v/>
      </c>
    </row>
    <row r="4962">
      <c r="A4962" s="16" t="s">
        <v>87</v>
      </c>
      <c r="E4962" s="16" t="str">
        <f>IFERROR(__xludf.DUMMYFUNCTION("""COMPUTED_VALUE"""),"")</f>
        <v/>
      </c>
      <c r="G4962" s="18"/>
      <c r="H4962" s="16" t="s">
        <v>87</v>
      </c>
      <c r="I4962" s="16" t="s">
        <v>87</v>
      </c>
      <c r="J4962" s="19"/>
      <c r="L4962" s="16" t="str">
        <f>IFERROR(__xludf.DUMMYFUNCTION("""COMPUTED_VALUE"""),"")</f>
        <v/>
      </c>
      <c r="M4962" s="16" t="str">
        <f>IFERROR(__xludf.DUMMYFUNCTION("""COMPUTED_VALUE"""),"")</f>
        <v/>
      </c>
      <c r="U4962" s="16" t="s">
        <v>87</v>
      </c>
      <c r="V4962" s="16" t="str">
        <f>IFERROR(__xludf.DUMMYFUNCTION("""COMPUTED_VALUE"""),"")</f>
        <v/>
      </c>
      <c r="W4962" s="16" t="str">
        <f>IFERROR(__xludf.DUMMYFUNCTION("""COMPUTED_VALUE"""),"")</f>
        <v/>
      </c>
      <c r="X4962" s="16" t="str">
        <f>IFERROR(__xludf.DUMMYFUNCTION("""COMPUTED_VALUE"""),"")</f>
        <v/>
      </c>
      <c r="AC4962" s="16" t="str">
        <f>IFERROR(__xludf.DUMMYFUNCTION("""COMPUTED_VALUE"""),"")</f>
        <v/>
      </c>
    </row>
    <row r="4963">
      <c r="A4963" s="16" t="s">
        <v>87</v>
      </c>
      <c r="E4963" s="16" t="str">
        <f>IFERROR(__xludf.DUMMYFUNCTION("""COMPUTED_VALUE"""),"")</f>
        <v/>
      </c>
      <c r="G4963" s="18"/>
      <c r="H4963" s="16" t="s">
        <v>87</v>
      </c>
      <c r="I4963" s="16" t="s">
        <v>87</v>
      </c>
      <c r="J4963" s="19"/>
      <c r="L4963" s="16" t="str">
        <f>IFERROR(__xludf.DUMMYFUNCTION("""COMPUTED_VALUE"""),"")</f>
        <v/>
      </c>
      <c r="M4963" s="16" t="str">
        <f>IFERROR(__xludf.DUMMYFUNCTION("""COMPUTED_VALUE"""),"")</f>
        <v/>
      </c>
      <c r="U4963" s="16" t="s">
        <v>87</v>
      </c>
      <c r="V4963" s="16" t="str">
        <f>IFERROR(__xludf.DUMMYFUNCTION("""COMPUTED_VALUE"""),"")</f>
        <v/>
      </c>
      <c r="W4963" s="16" t="str">
        <f>IFERROR(__xludf.DUMMYFUNCTION("""COMPUTED_VALUE"""),"")</f>
        <v/>
      </c>
      <c r="X4963" s="16" t="str">
        <f>IFERROR(__xludf.DUMMYFUNCTION("""COMPUTED_VALUE"""),"")</f>
        <v/>
      </c>
      <c r="AC4963" s="16" t="str">
        <f>IFERROR(__xludf.DUMMYFUNCTION("""COMPUTED_VALUE"""),"")</f>
        <v/>
      </c>
    </row>
    <row r="4964">
      <c r="A4964" s="16" t="s">
        <v>87</v>
      </c>
      <c r="E4964" s="16" t="str">
        <f>IFERROR(__xludf.DUMMYFUNCTION("""COMPUTED_VALUE"""),"")</f>
        <v/>
      </c>
      <c r="G4964" s="18"/>
      <c r="H4964" s="16" t="s">
        <v>87</v>
      </c>
      <c r="I4964" s="16" t="s">
        <v>87</v>
      </c>
      <c r="J4964" s="19"/>
      <c r="L4964" s="16" t="str">
        <f>IFERROR(__xludf.DUMMYFUNCTION("""COMPUTED_VALUE"""),"")</f>
        <v/>
      </c>
      <c r="M4964" s="16" t="str">
        <f>IFERROR(__xludf.DUMMYFUNCTION("""COMPUTED_VALUE"""),"")</f>
        <v/>
      </c>
      <c r="U4964" s="16" t="s">
        <v>87</v>
      </c>
      <c r="V4964" s="16" t="str">
        <f>IFERROR(__xludf.DUMMYFUNCTION("""COMPUTED_VALUE"""),"")</f>
        <v/>
      </c>
      <c r="W4964" s="16" t="str">
        <f>IFERROR(__xludf.DUMMYFUNCTION("""COMPUTED_VALUE"""),"")</f>
        <v/>
      </c>
      <c r="X4964" s="16" t="str">
        <f>IFERROR(__xludf.DUMMYFUNCTION("""COMPUTED_VALUE"""),"")</f>
        <v/>
      </c>
      <c r="AC4964" s="16" t="str">
        <f>IFERROR(__xludf.DUMMYFUNCTION("""COMPUTED_VALUE"""),"")</f>
        <v/>
      </c>
    </row>
    <row r="4965">
      <c r="A4965" s="16" t="s">
        <v>87</v>
      </c>
      <c r="E4965" s="16" t="str">
        <f>IFERROR(__xludf.DUMMYFUNCTION("""COMPUTED_VALUE"""),"")</f>
        <v/>
      </c>
      <c r="G4965" s="18"/>
      <c r="H4965" s="16" t="s">
        <v>87</v>
      </c>
      <c r="I4965" s="16" t="s">
        <v>87</v>
      </c>
      <c r="J4965" s="19"/>
      <c r="L4965" s="16" t="str">
        <f>IFERROR(__xludf.DUMMYFUNCTION("""COMPUTED_VALUE"""),"")</f>
        <v/>
      </c>
      <c r="M4965" s="16" t="str">
        <f>IFERROR(__xludf.DUMMYFUNCTION("""COMPUTED_VALUE"""),"")</f>
        <v/>
      </c>
      <c r="U4965" s="16" t="s">
        <v>87</v>
      </c>
      <c r="V4965" s="16" t="str">
        <f>IFERROR(__xludf.DUMMYFUNCTION("""COMPUTED_VALUE"""),"")</f>
        <v/>
      </c>
      <c r="W4965" s="16" t="str">
        <f>IFERROR(__xludf.DUMMYFUNCTION("""COMPUTED_VALUE"""),"")</f>
        <v/>
      </c>
      <c r="X4965" s="16" t="str">
        <f>IFERROR(__xludf.DUMMYFUNCTION("""COMPUTED_VALUE"""),"")</f>
        <v/>
      </c>
      <c r="AC4965" s="16" t="str">
        <f>IFERROR(__xludf.DUMMYFUNCTION("""COMPUTED_VALUE"""),"")</f>
        <v/>
      </c>
    </row>
    <row r="4966">
      <c r="A4966" s="16" t="s">
        <v>87</v>
      </c>
      <c r="E4966" s="16" t="str">
        <f>IFERROR(__xludf.DUMMYFUNCTION("""COMPUTED_VALUE"""),"")</f>
        <v/>
      </c>
      <c r="G4966" s="18"/>
      <c r="H4966" s="16" t="s">
        <v>87</v>
      </c>
      <c r="I4966" s="16" t="s">
        <v>87</v>
      </c>
      <c r="J4966" s="19"/>
      <c r="L4966" s="16" t="str">
        <f>IFERROR(__xludf.DUMMYFUNCTION("""COMPUTED_VALUE"""),"")</f>
        <v/>
      </c>
      <c r="M4966" s="16" t="str">
        <f>IFERROR(__xludf.DUMMYFUNCTION("""COMPUTED_VALUE"""),"")</f>
        <v/>
      </c>
      <c r="U4966" s="16" t="s">
        <v>87</v>
      </c>
      <c r="V4966" s="16" t="str">
        <f>IFERROR(__xludf.DUMMYFUNCTION("""COMPUTED_VALUE"""),"")</f>
        <v/>
      </c>
      <c r="W4966" s="16" t="str">
        <f>IFERROR(__xludf.DUMMYFUNCTION("""COMPUTED_VALUE"""),"")</f>
        <v/>
      </c>
      <c r="X4966" s="16" t="str">
        <f>IFERROR(__xludf.DUMMYFUNCTION("""COMPUTED_VALUE"""),"")</f>
        <v/>
      </c>
      <c r="AC4966" s="16" t="str">
        <f>IFERROR(__xludf.DUMMYFUNCTION("""COMPUTED_VALUE"""),"")</f>
        <v/>
      </c>
    </row>
    <row r="4967">
      <c r="A4967" s="16" t="s">
        <v>87</v>
      </c>
      <c r="E4967" s="16" t="str">
        <f>IFERROR(__xludf.DUMMYFUNCTION("""COMPUTED_VALUE"""),"")</f>
        <v/>
      </c>
      <c r="G4967" s="18"/>
      <c r="H4967" s="16" t="s">
        <v>87</v>
      </c>
      <c r="I4967" s="16" t="s">
        <v>87</v>
      </c>
      <c r="J4967" s="19"/>
      <c r="L4967" s="16" t="str">
        <f>IFERROR(__xludf.DUMMYFUNCTION("""COMPUTED_VALUE"""),"")</f>
        <v/>
      </c>
      <c r="M4967" s="16" t="str">
        <f>IFERROR(__xludf.DUMMYFUNCTION("""COMPUTED_VALUE"""),"")</f>
        <v/>
      </c>
      <c r="U4967" s="16" t="s">
        <v>87</v>
      </c>
      <c r="V4967" s="16" t="str">
        <f>IFERROR(__xludf.DUMMYFUNCTION("""COMPUTED_VALUE"""),"")</f>
        <v/>
      </c>
      <c r="W4967" s="16" t="str">
        <f>IFERROR(__xludf.DUMMYFUNCTION("""COMPUTED_VALUE"""),"")</f>
        <v/>
      </c>
      <c r="X4967" s="16" t="str">
        <f>IFERROR(__xludf.DUMMYFUNCTION("""COMPUTED_VALUE"""),"")</f>
        <v/>
      </c>
      <c r="AC4967" s="16" t="str">
        <f>IFERROR(__xludf.DUMMYFUNCTION("""COMPUTED_VALUE"""),"")</f>
        <v/>
      </c>
    </row>
    <row r="4968">
      <c r="A4968" s="16" t="s">
        <v>87</v>
      </c>
      <c r="E4968" s="16" t="str">
        <f>IFERROR(__xludf.DUMMYFUNCTION("""COMPUTED_VALUE"""),"")</f>
        <v/>
      </c>
      <c r="G4968" s="18"/>
      <c r="H4968" s="16" t="s">
        <v>87</v>
      </c>
      <c r="I4968" s="16" t="s">
        <v>87</v>
      </c>
      <c r="J4968" s="19"/>
      <c r="L4968" s="16" t="str">
        <f>IFERROR(__xludf.DUMMYFUNCTION("""COMPUTED_VALUE"""),"")</f>
        <v/>
      </c>
      <c r="M4968" s="16" t="str">
        <f>IFERROR(__xludf.DUMMYFUNCTION("""COMPUTED_VALUE"""),"")</f>
        <v/>
      </c>
      <c r="U4968" s="16" t="s">
        <v>87</v>
      </c>
      <c r="V4968" s="16" t="str">
        <f>IFERROR(__xludf.DUMMYFUNCTION("""COMPUTED_VALUE"""),"")</f>
        <v/>
      </c>
      <c r="W4968" s="16" t="str">
        <f>IFERROR(__xludf.DUMMYFUNCTION("""COMPUTED_VALUE"""),"")</f>
        <v/>
      </c>
      <c r="X4968" s="16" t="str">
        <f>IFERROR(__xludf.DUMMYFUNCTION("""COMPUTED_VALUE"""),"")</f>
        <v/>
      </c>
      <c r="AC4968" s="16" t="str">
        <f>IFERROR(__xludf.DUMMYFUNCTION("""COMPUTED_VALUE"""),"")</f>
        <v/>
      </c>
    </row>
    <row r="4969">
      <c r="A4969" s="16" t="s">
        <v>87</v>
      </c>
      <c r="E4969" s="16" t="str">
        <f>IFERROR(__xludf.DUMMYFUNCTION("""COMPUTED_VALUE"""),"")</f>
        <v/>
      </c>
      <c r="G4969" s="18"/>
      <c r="H4969" s="16" t="s">
        <v>87</v>
      </c>
      <c r="I4969" s="16" t="s">
        <v>87</v>
      </c>
      <c r="J4969" s="19"/>
      <c r="L4969" s="16" t="str">
        <f>IFERROR(__xludf.DUMMYFUNCTION("""COMPUTED_VALUE"""),"")</f>
        <v/>
      </c>
      <c r="M4969" s="16" t="str">
        <f>IFERROR(__xludf.DUMMYFUNCTION("""COMPUTED_VALUE"""),"")</f>
        <v/>
      </c>
      <c r="U4969" s="16" t="s">
        <v>87</v>
      </c>
      <c r="V4969" s="16" t="str">
        <f>IFERROR(__xludf.DUMMYFUNCTION("""COMPUTED_VALUE"""),"")</f>
        <v/>
      </c>
      <c r="W4969" s="16" t="str">
        <f>IFERROR(__xludf.DUMMYFUNCTION("""COMPUTED_VALUE"""),"")</f>
        <v/>
      </c>
      <c r="X4969" s="16" t="str">
        <f>IFERROR(__xludf.DUMMYFUNCTION("""COMPUTED_VALUE"""),"")</f>
        <v/>
      </c>
      <c r="AC4969" s="16" t="str">
        <f>IFERROR(__xludf.DUMMYFUNCTION("""COMPUTED_VALUE"""),"")</f>
        <v/>
      </c>
    </row>
    <row r="4970">
      <c r="A4970" s="16" t="s">
        <v>87</v>
      </c>
      <c r="E4970" s="16" t="str">
        <f>IFERROR(__xludf.DUMMYFUNCTION("""COMPUTED_VALUE"""),"")</f>
        <v/>
      </c>
      <c r="G4970" s="18"/>
      <c r="H4970" s="16" t="s">
        <v>87</v>
      </c>
      <c r="I4970" s="16" t="s">
        <v>87</v>
      </c>
      <c r="J4970" s="19"/>
      <c r="L4970" s="16" t="str">
        <f>IFERROR(__xludf.DUMMYFUNCTION("""COMPUTED_VALUE"""),"")</f>
        <v/>
      </c>
      <c r="M4970" s="16" t="str">
        <f>IFERROR(__xludf.DUMMYFUNCTION("""COMPUTED_VALUE"""),"")</f>
        <v/>
      </c>
      <c r="U4970" s="16" t="s">
        <v>87</v>
      </c>
      <c r="V4970" s="16" t="str">
        <f>IFERROR(__xludf.DUMMYFUNCTION("""COMPUTED_VALUE"""),"")</f>
        <v/>
      </c>
      <c r="W4970" s="16" t="str">
        <f>IFERROR(__xludf.DUMMYFUNCTION("""COMPUTED_VALUE"""),"")</f>
        <v/>
      </c>
      <c r="X4970" s="16" t="str">
        <f>IFERROR(__xludf.DUMMYFUNCTION("""COMPUTED_VALUE"""),"")</f>
        <v/>
      </c>
      <c r="AC4970" s="16" t="str">
        <f>IFERROR(__xludf.DUMMYFUNCTION("""COMPUTED_VALUE"""),"")</f>
        <v/>
      </c>
    </row>
    <row r="4971">
      <c r="A4971" s="16" t="s">
        <v>87</v>
      </c>
      <c r="E4971" s="16" t="str">
        <f>IFERROR(__xludf.DUMMYFUNCTION("""COMPUTED_VALUE"""),"")</f>
        <v/>
      </c>
      <c r="G4971" s="18"/>
      <c r="H4971" s="16" t="s">
        <v>87</v>
      </c>
      <c r="I4971" s="16" t="s">
        <v>87</v>
      </c>
      <c r="J4971" s="19"/>
      <c r="L4971" s="16" t="str">
        <f>IFERROR(__xludf.DUMMYFUNCTION("""COMPUTED_VALUE"""),"")</f>
        <v/>
      </c>
      <c r="M4971" s="16" t="str">
        <f>IFERROR(__xludf.DUMMYFUNCTION("""COMPUTED_VALUE"""),"")</f>
        <v/>
      </c>
      <c r="U4971" s="16" t="s">
        <v>87</v>
      </c>
      <c r="V4971" s="16" t="str">
        <f>IFERROR(__xludf.DUMMYFUNCTION("""COMPUTED_VALUE"""),"")</f>
        <v/>
      </c>
      <c r="W4971" s="16" t="str">
        <f>IFERROR(__xludf.DUMMYFUNCTION("""COMPUTED_VALUE"""),"")</f>
        <v/>
      </c>
      <c r="X4971" s="16" t="str">
        <f>IFERROR(__xludf.DUMMYFUNCTION("""COMPUTED_VALUE"""),"")</f>
        <v/>
      </c>
      <c r="AC4971" s="16" t="str">
        <f>IFERROR(__xludf.DUMMYFUNCTION("""COMPUTED_VALUE"""),"")</f>
        <v/>
      </c>
    </row>
    <row r="4972">
      <c r="A4972" s="16" t="s">
        <v>87</v>
      </c>
      <c r="E4972" s="16" t="str">
        <f>IFERROR(__xludf.DUMMYFUNCTION("""COMPUTED_VALUE"""),"")</f>
        <v/>
      </c>
      <c r="G4972" s="18"/>
      <c r="H4972" s="16" t="s">
        <v>87</v>
      </c>
      <c r="I4972" s="16" t="s">
        <v>87</v>
      </c>
      <c r="J4972" s="19"/>
      <c r="L4972" s="16" t="str">
        <f>IFERROR(__xludf.DUMMYFUNCTION("""COMPUTED_VALUE"""),"")</f>
        <v/>
      </c>
      <c r="M4972" s="16" t="str">
        <f>IFERROR(__xludf.DUMMYFUNCTION("""COMPUTED_VALUE"""),"")</f>
        <v/>
      </c>
      <c r="U4972" s="16" t="s">
        <v>87</v>
      </c>
      <c r="V4972" s="16" t="str">
        <f>IFERROR(__xludf.DUMMYFUNCTION("""COMPUTED_VALUE"""),"")</f>
        <v/>
      </c>
      <c r="W4972" s="16" t="str">
        <f>IFERROR(__xludf.DUMMYFUNCTION("""COMPUTED_VALUE"""),"")</f>
        <v/>
      </c>
      <c r="X4972" s="16" t="str">
        <f>IFERROR(__xludf.DUMMYFUNCTION("""COMPUTED_VALUE"""),"")</f>
        <v/>
      </c>
      <c r="AC4972" s="16" t="str">
        <f>IFERROR(__xludf.DUMMYFUNCTION("""COMPUTED_VALUE"""),"")</f>
        <v/>
      </c>
    </row>
    <row r="4973">
      <c r="A4973" s="16" t="s">
        <v>87</v>
      </c>
      <c r="E4973" s="16" t="str">
        <f>IFERROR(__xludf.DUMMYFUNCTION("""COMPUTED_VALUE"""),"")</f>
        <v/>
      </c>
      <c r="G4973" s="18"/>
      <c r="H4973" s="16" t="s">
        <v>87</v>
      </c>
      <c r="I4973" s="16" t="s">
        <v>87</v>
      </c>
      <c r="J4973" s="19"/>
      <c r="L4973" s="16" t="str">
        <f>IFERROR(__xludf.DUMMYFUNCTION("""COMPUTED_VALUE"""),"")</f>
        <v/>
      </c>
      <c r="M4973" s="16" t="str">
        <f>IFERROR(__xludf.DUMMYFUNCTION("""COMPUTED_VALUE"""),"")</f>
        <v/>
      </c>
      <c r="U4973" s="16" t="s">
        <v>87</v>
      </c>
      <c r="V4973" s="16" t="str">
        <f>IFERROR(__xludf.DUMMYFUNCTION("""COMPUTED_VALUE"""),"")</f>
        <v/>
      </c>
      <c r="W4973" s="16" t="str">
        <f>IFERROR(__xludf.DUMMYFUNCTION("""COMPUTED_VALUE"""),"")</f>
        <v/>
      </c>
      <c r="X4973" s="16" t="str">
        <f>IFERROR(__xludf.DUMMYFUNCTION("""COMPUTED_VALUE"""),"")</f>
        <v/>
      </c>
      <c r="AC4973" s="16" t="str">
        <f>IFERROR(__xludf.DUMMYFUNCTION("""COMPUTED_VALUE"""),"")</f>
        <v/>
      </c>
    </row>
    <row r="4974">
      <c r="A4974" s="16" t="s">
        <v>87</v>
      </c>
      <c r="E4974" s="16" t="str">
        <f>IFERROR(__xludf.DUMMYFUNCTION("""COMPUTED_VALUE"""),"")</f>
        <v/>
      </c>
      <c r="G4974" s="18"/>
      <c r="H4974" s="16" t="s">
        <v>87</v>
      </c>
      <c r="I4974" s="16" t="s">
        <v>87</v>
      </c>
      <c r="J4974" s="19"/>
      <c r="L4974" s="16" t="str">
        <f>IFERROR(__xludf.DUMMYFUNCTION("""COMPUTED_VALUE"""),"")</f>
        <v/>
      </c>
      <c r="M4974" s="16" t="str">
        <f>IFERROR(__xludf.DUMMYFUNCTION("""COMPUTED_VALUE"""),"")</f>
        <v/>
      </c>
      <c r="U4974" s="16" t="s">
        <v>87</v>
      </c>
      <c r="V4974" s="16" t="str">
        <f>IFERROR(__xludf.DUMMYFUNCTION("""COMPUTED_VALUE"""),"")</f>
        <v/>
      </c>
      <c r="W4974" s="16" t="str">
        <f>IFERROR(__xludf.DUMMYFUNCTION("""COMPUTED_VALUE"""),"")</f>
        <v/>
      </c>
      <c r="X4974" s="16" t="str">
        <f>IFERROR(__xludf.DUMMYFUNCTION("""COMPUTED_VALUE"""),"")</f>
        <v/>
      </c>
      <c r="AC4974" s="16" t="str">
        <f>IFERROR(__xludf.DUMMYFUNCTION("""COMPUTED_VALUE"""),"")</f>
        <v/>
      </c>
    </row>
    <row r="4975">
      <c r="A4975" s="16" t="s">
        <v>87</v>
      </c>
      <c r="E4975" s="16" t="str">
        <f>IFERROR(__xludf.DUMMYFUNCTION("""COMPUTED_VALUE"""),"")</f>
        <v/>
      </c>
      <c r="G4975" s="18"/>
      <c r="H4975" s="16" t="s">
        <v>87</v>
      </c>
      <c r="I4975" s="16" t="s">
        <v>87</v>
      </c>
      <c r="J4975" s="19"/>
      <c r="L4975" s="16" t="str">
        <f>IFERROR(__xludf.DUMMYFUNCTION("""COMPUTED_VALUE"""),"")</f>
        <v/>
      </c>
      <c r="M4975" s="16" t="str">
        <f>IFERROR(__xludf.DUMMYFUNCTION("""COMPUTED_VALUE"""),"")</f>
        <v/>
      </c>
      <c r="U4975" s="16" t="s">
        <v>87</v>
      </c>
      <c r="V4975" s="16" t="str">
        <f>IFERROR(__xludf.DUMMYFUNCTION("""COMPUTED_VALUE"""),"")</f>
        <v/>
      </c>
      <c r="W4975" s="16" t="str">
        <f>IFERROR(__xludf.DUMMYFUNCTION("""COMPUTED_VALUE"""),"")</f>
        <v/>
      </c>
      <c r="X4975" s="16" t="str">
        <f>IFERROR(__xludf.DUMMYFUNCTION("""COMPUTED_VALUE"""),"")</f>
        <v/>
      </c>
      <c r="AC4975" s="16" t="str">
        <f>IFERROR(__xludf.DUMMYFUNCTION("""COMPUTED_VALUE"""),"")</f>
        <v/>
      </c>
    </row>
    <row r="4976">
      <c r="A4976" s="16" t="s">
        <v>87</v>
      </c>
      <c r="E4976" s="16" t="str">
        <f>IFERROR(__xludf.DUMMYFUNCTION("""COMPUTED_VALUE"""),"")</f>
        <v/>
      </c>
      <c r="G4976" s="18"/>
      <c r="H4976" s="16" t="s">
        <v>87</v>
      </c>
      <c r="I4976" s="16" t="s">
        <v>87</v>
      </c>
      <c r="J4976" s="19"/>
      <c r="L4976" s="16" t="str">
        <f>IFERROR(__xludf.DUMMYFUNCTION("""COMPUTED_VALUE"""),"")</f>
        <v/>
      </c>
      <c r="M4976" s="16" t="str">
        <f>IFERROR(__xludf.DUMMYFUNCTION("""COMPUTED_VALUE"""),"")</f>
        <v/>
      </c>
      <c r="U4976" s="16" t="s">
        <v>87</v>
      </c>
      <c r="V4976" s="16" t="str">
        <f>IFERROR(__xludf.DUMMYFUNCTION("""COMPUTED_VALUE"""),"")</f>
        <v/>
      </c>
      <c r="W4976" s="16" t="str">
        <f>IFERROR(__xludf.DUMMYFUNCTION("""COMPUTED_VALUE"""),"")</f>
        <v/>
      </c>
      <c r="X4976" s="16" t="str">
        <f>IFERROR(__xludf.DUMMYFUNCTION("""COMPUTED_VALUE"""),"")</f>
        <v/>
      </c>
      <c r="AC4976" s="16" t="str">
        <f>IFERROR(__xludf.DUMMYFUNCTION("""COMPUTED_VALUE"""),"")</f>
        <v/>
      </c>
    </row>
    <row r="4977">
      <c r="A4977" s="16" t="s">
        <v>87</v>
      </c>
      <c r="E4977" s="16" t="str">
        <f>IFERROR(__xludf.DUMMYFUNCTION("""COMPUTED_VALUE"""),"")</f>
        <v/>
      </c>
      <c r="G4977" s="18"/>
      <c r="H4977" s="16" t="s">
        <v>87</v>
      </c>
      <c r="I4977" s="16" t="s">
        <v>87</v>
      </c>
      <c r="J4977" s="19"/>
      <c r="L4977" s="16" t="str">
        <f>IFERROR(__xludf.DUMMYFUNCTION("""COMPUTED_VALUE"""),"")</f>
        <v/>
      </c>
      <c r="M4977" s="16" t="str">
        <f>IFERROR(__xludf.DUMMYFUNCTION("""COMPUTED_VALUE"""),"")</f>
        <v/>
      </c>
      <c r="U4977" s="16" t="s">
        <v>87</v>
      </c>
      <c r="V4977" s="16" t="str">
        <f>IFERROR(__xludf.DUMMYFUNCTION("""COMPUTED_VALUE"""),"")</f>
        <v/>
      </c>
      <c r="W4977" s="16" t="str">
        <f>IFERROR(__xludf.DUMMYFUNCTION("""COMPUTED_VALUE"""),"")</f>
        <v/>
      </c>
      <c r="X4977" s="16" t="str">
        <f>IFERROR(__xludf.DUMMYFUNCTION("""COMPUTED_VALUE"""),"")</f>
        <v/>
      </c>
      <c r="AC4977" s="16" t="str">
        <f>IFERROR(__xludf.DUMMYFUNCTION("""COMPUTED_VALUE"""),"")</f>
        <v/>
      </c>
    </row>
    <row r="4978">
      <c r="A4978" s="16" t="s">
        <v>87</v>
      </c>
      <c r="E4978" s="16" t="str">
        <f>IFERROR(__xludf.DUMMYFUNCTION("""COMPUTED_VALUE"""),"")</f>
        <v/>
      </c>
      <c r="G4978" s="18"/>
      <c r="H4978" s="16" t="s">
        <v>87</v>
      </c>
      <c r="I4978" s="16" t="s">
        <v>87</v>
      </c>
      <c r="J4978" s="19"/>
      <c r="L4978" s="16" t="str">
        <f>IFERROR(__xludf.DUMMYFUNCTION("""COMPUTED_VALUE"""),"")</f>
        <v/>
      </c>
      <c r="M4978" s="16" t="str">
        <f>IFERROR(__xludf.DUMMYFUNCTION("""COMPUTED_VALUE"""),"")</f>
        <v/>
      </c>
      <c r="U4978" s="16" t="s">
        <v>87</v>
      </c>
      <c r="V4978" s="16" t="str">
        <f>IFERROR(__xludf.DUMMYFUNCTION("""COMPUTED_VALUE"""),"")</f>
        <v/>
      </c>
      <c r="W4978" s="16" t="str">
        <f>IFERROR(__xludf.DUMMYFUNCTION("""COMPUTED_VALUE"""),"")</f>
        <v/>
      </c>
      <c r="X4978" s="16" t="str">
        <f>IFERROR(__xludf.DUMMYFUNCTION("""COMPUTED_VALUE"""),"")</f>
        <v/>
      </c>
      <c r="AC4978" s="16" t="str">
        <f>IFERROR(__xludf.DUMMYFUNCTION("""COMPUTED_VALUE"""),"")</f>
        <v/>
      </c>
    </row>
    <row r="4979">
      <c r="A4979" s="16" t="s">
        <v>87</v>
      </c>
      <c r="E4979" s="16" t="str">
        <f>IFERROR(__xludf.DUMMYFUNCTION("""COMPUTED_VALUE"""),"")</f>
        <v/>
      </c>
      <c r="G4979" s="18"/>
      <c r="H4979" s="16" t="s">
        <v>87</v>
      </c>
      <c r="I4979" s="16" t="s">
        <v>87</v>
      </c>
      <c r="J4979" s="19"/>
      <c r="L4979" s="16" t="str">
        <f>IFERROR(__xludf.DUMMYFUNCTION("""COMPUTED_VALUE"""),"")</f>
        <v/>
      </c>
      <c r="M4979" s="16" t="str">
        <f>IFERROR(__xludf.DUMMYFUNCTION("""COMPUTED_VALUE"""),"")</f>
        <v/>
      </c>
      <c r="U4979" s="16" t="s">
        <v>87</v>
      </c>
      <c r="V4979" s="16" t="str">
        <f>IFERROR(__xludf.DUMMYFUNCTION("""COMPUTED_VALUE"""),"")</f>
        <v/>
      </c>
      <c r="W4979" s="16" t="str">
        <f>IFERROR(__xludf.DUMMYFUNCTION("""COMPUTED_VALUE"""),"")</f>
        <v/>
      </c>
      <c r="X4979" s="16" t="str">
        <f>IFERROR(__xludf.DUMMYFUNCTION("""COMPUTED_VALUE"""),"")</f>
        <v/>
      </c>
      <c r="AC4979" s="16" t="str">
        <f>IFERROR(__xludf.DUMMYFUNCTION("""COMPUTED_VALUE"""),"")</f>
        <v/>
      </c>
    </row>
    <row r="4980">
      <c r="A4980" s="16" t="s">
        <v>87</v>
      </c>
      <c r="E4980" s="16" t="str">
        <f>IFERROR(__xludf.DUMMYFUNCTION("""COMPUTED_VALUE"""),"")</f>
        <v/>
      </c>
      <c r="G4980" s="18"/>
      <c r="H4980" s="16" t="s">
        <v>87</v>
      </c>
      <c r="I4980" s="16" t="s">
        <v>87</v>
      </c>
      <c r="J4980" s="19"/>
      <c r="L4980" s="16" t="str">
        <f>IFERROR(__xludf.DUMMYFUNCTION("""COMPUTED_VALUE"""),"")</f>
        <v/>
      </c>
      <c r="M4980" s="16" t="str">
        <f>IFERROR(__xludf.DUMMYFUNCTION("""COMPUTED_VALUE"""),"")</f>
        <v/>
      </c>
      <c r="U4980" s="16" t="s">
        <v>87</v>
      </c>
      <c r="V4980" s="16" t="str">
        <f>IFERROR(__xludf.DUMMYFUNCTION("""COMPUTED_VALUE"""),"")</f>
        <v/>
      </c>
      <c r="W4980" s="16" t="str">
        <f>IFERROR(__xludf.DUMMYFUNCTION("""COMPUTED_VALUE"""),"")</f>
        <v/>
      </c>
      <c r="X4980" s="16" t="str">
        <f>IFERROR(__xludf.DUMMYFUNCTION("""COMPUTED_VALUE"""),"")</f>
        <v/>
      </c>
      <c r="AC4980" s="16" t="str">
        <f>IFERROR(__xludf.DUMMYFUNCTION("""COMPUTED_VALUE"""),"")</f>
        <v/>
      </c>
    </row>
    <row r="4981">
      <c r="A4981" s="16" t="s">
        <v>87</v>
      </c>
      <c r="E4981" s="16" t="str">
        <f>IFERROR(__xludf.DUMMYFUNCTION("""COMPUTED_VALUE"""),"")</f>
        <v/>
      </c>
      <c r="G4981" s="18"/>
      <c r="H4981" s="16" t="s">
        <v>87</v>
      </c>
      <c r="I4981" s="16" t="s">
        <v>87</v>
      </c>
      <c r="J4981" s="19"/>
      <c r="L4981" s="16" t="str">
        <f>IFERROR(__xludf.DUMMYFUNCTION("""COMPUTED_VALUE"""),"")</f>
        <v/>
      </c>
      <c r="M4981" s="16" t="str">
        <f>IFERROR(__xludf.DUMMYFUNCTION("""COMPUTED_VALUE"""),"")</f>
        <v/>
      </c>
      <c r="U4981" s="16" t="s">
        <v>87</v>
      </c>
      <c r="V4981" s="16" t="str">
        <f>IFERROR(__xludf.DUMMYFUNCTION("""COMPUTED_VALUE"""),"")</f>
        <v/>
      </c>
      <c r="W4981" s="16" t="str">
        <f>IFERROR(__xludf.DUMMYFUNCTION("""COMPUTED_VALUE"""),"")</f>
        <v/>
      </c>
      <c r="X4981" s="16" t="str">
        <f>IFERROR(__xludf.DUMMYFUNCTION("""COMPUTED_VALUE"""),"")</f>
        <v/>
      </c>
      <c r="AC4981" s="16" t="str">
        <f>IFERROR(__xludf.DUMMYFUNCTION("""COMPUTED_VALUE"""),"")</f>
        <v/>
      </c>
    </row>
    <row r="4982">
      <c r="A4982" s="16" t="s">
        <v>87</v>
      </c>
      <c r="E4982" s="16" t="str">
        <f>IFERROR(__xludf.DUMMYFUNCTION("""COMPUTED_VALUE"""),"")</f>
        <v/>
      </c>
      <c r="G4982" s="18"/>
      <c r="H4982" s="16" t="s">
        <v>87</v>
      </c>
      <c r="I4982" s="16" t="s">
        <v>87</v>
      </c>
      <c r="J4982" s="19"/>
      <c r="L4982" s="16" t="str">
        <f>IFERROR(__xludf.DUMMYFUNCTION("""COMPUTED_VALUE"""),"")</f>
        <v/>
      </c>
      <c r="M4982" s="16" t="str">
        <f>IFERROR(__xludf.DUMMYFUNCTION("""COMPUTED_VALUE"""),"")</f>
        <v/>
      </c>
      <c r="U4982" s="16" t="s">
        <v>87</v>
      </c>
      <c r="V4982" s="16" t="str">
        <f>IFERROR(__xludf.DUMMYFUNCTION("""COMPUTED_VALUE"""),"")</f>
        <v/>
      </c>
      <c r="W4982" s="16" t="str">
        <f>IFERROR(__xludf.DUMMYFUNCTION("""COMPUTED_VALUE"""),"")</f>
        <v/>
      </c>
      <c r="X4982" s="16" t="str">
        <f>IFERROR(__xludf.DUMMYFUNCTION("""COMPUTED_VALUE"""),"")</f>
        <v/>
      </c>
      <c r="AC4982" s="16" t="str">
        <f>IFERROR(__xludf.DUMMYFUNCTION("""COMPUTED_VALUE"""),"")</f>
        <v/>
      </c>
    </row>
    <row r="4983">
      <c r="A4983" s="16" t="s">
        <v>87</v>
      </c>
      <c r="E4983" s="16" t="str">
        <f>IFERROR(__xludf.DUMMYFUNCTION("""COMPUTED_VALUE"""),"")</f>
        <v/>
      </c>
      <c r="G4983" s="18"/>
      <c r="H4983" s="16" t="s">
        <v>87</v>
      </c>
      <c r="I4983" s="16" t="s">
        <v>87</v>
      </c>
      <c r="J4983" s="19"/>
      <c r="L4983" s="16" t="str">
        <f>IFERROR(__xludf.DUMMYFUNCTION("""COMPUTED_VALUE"""),"")</f>
        <v/>
      </c>
      <c r="M4983" s="16" t="str">
        <f>IFERROR(__xludf.DUMMYFUNCTION("""COMPUTED_VALUE"""),"")</f>
        <v/>
      </c>
      <c r="U4983" s="16" t="s">
        <v>87</v>
      </c>
      <c r="V4983" s="16" t="str">
        <f>IFERROR(__xludf.DUMMYFUNCTION("""COMPUTED_VALUE"""),"")</f>
        <v/>
      </c>
      <c r="W4983" s="16" t="str">
        <f>IFERROR(__xludf.DUMMYFUNCTION("""COMPUTED_VALUE"""),"")</f>
        <v/>
      </c>
      <c r="X4983" s="16" t="str">
        <f>IFERROR(__xludf.DUMMYFUNCTION("""COMPUTED_VALUE"""),"")</f>
        <v/>
      </c>
      <c r="AC4983" s="16" t="str">
        <f>IFERROR(__xludf.DUMMYFUNCTION("""COMPUTED_VALUE"""),"")</f>
        <v/>
      </c>
    </row>
    <row r="4984">
      <c r="A4984" s="16" t="s">
        <v>87</v>
      </c>
      <c r="E4984" s="16" t="str">
        <f>IFERROR(__xludf.DUMMYFUNCTION("""COMPUTED_VALUE"""),"")</f>
        <v/>
      </c>
      <c r="G4984" s="18"/>
      <c r="H4984" s="16" t="s">
        <v>87</v>
      </c>
      <c r="I4984" s="16" t="s">
        <v>87</v>
      </c>
      <c r="J4984" s="19"/>
      <c r="L4984" s="16" t="str">
        <f>IFERROR(__xludf.DUMMYFUNCTION("""COMPUTED_VALUE"""),"")</f>
        <v/>
      </c>
      <c r="M4984" s="16" t="str">
        <f>IFERROR(__xludf.DUMMYFUNCTION("""COMPUTED_VALUE"""),"")</f>
        <v/>
      </c>
      <c r="U4984" s="16" t="s">
        <v>87</v>
      </c>
      <c r="V4984" s="16" t="str">
        <f>IFERROR(__xludf.DUMMYFUNCTION("""COMPUTED_VALUE"""),"")</f>
        <v/>
      </c>
      <c r="W4984" s="16" t="str">
        <f>IFERROR(__xludf.DUMMYFUNCTION("""COMPUTED_VALUE"""),"")</f>
        <v/>
      </c>
      <c r="X4984" s="16" t="str">
        <f>IFERROR(__xludf.DUMMYFUNCTION("""COMPUTED_VALUE"""),"")</f>
        <v/>
      </c>
      <c r="AC4984" s="16" t="str">
        <f>IFERROR(__xludf.DUMMYFUNCTION("""COMPUTED_VALUE"""),"")</f>
        <v/>
      </c>
    </row>
    <row r="4985">
      <c r="A4985" s="16" t="s">
        <v>87</v>
      </c>
      <c r="E4985" s="16" t="str">
        <f>IFERROR(__xludf.DUMMYFUNCTION("""COMPUTED_VALUE"""),"")</f>
        <v/>
      </c>
      <c r="G4985" s="18"/>
      <c r="H4985" s="16" t="s">
        <v>87</v>
      </c>
      <c r="I4985" s="16" t="s">
        <v>87</v>
      </c>
      <c r="J4985" s="19"/>
      <c r="L4985" s="16" t="str">
        <f>IFERROR(__xludf.DUMMYFUNCTION("""COMPUTED_VALUE"""),"")</f>
        <v/>
      </c>
      <c r="M4985" s="16" t="str">
        <f>IFERROR(__xludf.DUMMYFUNCTION("""COMPUTED_VALUE"""),"")</f>
        <v/>
      </c>
      <c r="U4985" s="16" t="s">
        <v>87</v>
      </c>
      <c r="V4985" s="16" t="str">
        <f>IFERROR(__xludf.DUMMYFUNCTION("""COMPUTED_VALUE"""),"")</f>
        <v/>
      </c>
      <c r="W4985" s="16" t="str">
        <f>IFERROR(__xludf.DUMMYFUNCTION("""COMPUTED_VALUE"""),"")</f>
        <v/>
      </c>
      <c r="X4985" s="16" t="str">
        <f>IFERROR(__xludf.DUMMYFUNCTION("""COMPUTED_VALUE"""),"")</f>
        <v/>
      </c>
      <c r="AC4985" s="16" t="str">
        <f>IFERROR(__xludf.DUMMYFUNCTION("""COMPUTED_VALUE"""),"")</f>
        <v/>
      </c>
    </row>
    <row r="4986">
      <c r="A4986" s="16" t="s">
        <v>87</v>
      </c>
      <c r="E4986" s="16" t="str">
        <f>IFERROR(__xludf.DUMMYFUNCTION("""COMPUTED_VALUE"""),"")</f>
        <v/>
      </c>
      <c r="G4986" s="18"/>
      <c r="H4986" s="16" t="s">
        <v>87</v>
      </c>
      <c r="I4986" s="16" t="s">
        <v>87</v>
      </c>
      <c r="J4986" s="19"/>
      <c r="L4986" s="16" t="str">
        <f>IFERROR(__xludf.DUMMYFUNCTION("""COMPUTED_VALUE"""),"")</f>
        <v/>
      </c>
      <c r="M4986" s="16" t="str">
        <f>IFERROR(__xludf.DUMMYFUNCTION("""COMPUTED_VALUE"""),"")</f>
        <v/>
      </c>
      <c r="U4986" s="16" t="s">
        <v>87</v>
      </c>
      <c r="V4986" s="16" t="str">
        <f>IFERROR(__xludf.DUMMYFUNCTION("""COMPUTED_VALUE"""),"")</f>
        <v/>
      </c>
      <c r="W4986" s="16" t="str">
        <f>IFERROR(__xludf.DUMMYFUNCTION("""COMPUTED_VALUE"""),"")</f>
        <v/>
      </c>
      <c r="X4986" s="16" t="str">
        <f>IFERROR(__xludf.DUMMYFUNCTION("""COMPUTED_VALUE"""),"")</f>
        <v/>
      </c>
      <c r="AC4986" s="16" t="str">
        <f>IFERROR(__xludf.DUMMYFUNCTION("""COMPUTED_VALUE"""),"")</f>
        <v/>
      </c>
    </row>
    <row r="4987">
      <c r="A4987" s="16" t="s">
        <v>87</v>
      </c>
      <c r="E4987" s="16" t="str">
        <f>IFERROR(__xludf.DUMMYFUNCTION("""COMPUTED_VALUE"""),"")</f>
        <v/>
      </c>
      <c r="G4987" s="18"/>
      <c r="H4987" s="16" t="s">
        <v>87</v>
      </c>
      <c r="I4987" s="16" t="s">
        <v>87</v>
      </c>
      <c r="J4987" s="19"/>
      <c r="L4987" s="16" t="str">
        <f>IFERROR(__xludf.DUMMYFUNCTION("""COMPUTED_VALUE"""),"")</f>
        <v/>
      </c>
      <c r="M4987" s="16" t="str">
        <f>IFERROR(__xludf.DUMMYFUNCTION("""COMPUTED_VALUE"""),"")</f>
        <v/>
      </c>
      <c r="U4987" s="16" t="s">
        <v>87</v>
      </c>
      <c r="V4987" s="16" t="str">
        <f>IFERROR(__xludf.DUMMYFUNCTION("""COMPUTED_VALUE"""),"")</f>
        <v/>
      </c>
      <c r="W4987" s="16" t="str">
        <f>IFERROR(__xludf.DUMMYFUNCTION("""COMPUTED_VALUE"""),"")</f>
        <v/>
      </c>
      <c r="X4987" s="16" t="str">
        <f>IFERROR(__xludf.DUMMYFUNCTION("""COMPUTED_VALUE"""),"")</f>
        <v/>
      </c>
      <c r="AC4987" s="16" t="str">
        <f>IFERROR(__xludf.DUMMYFUNCTION("""COMPUTED_VALUE"""),"")</f>
        <v/>
      </c>
    </row>
    <row r="4988">
      <c r="A4988" s="16" t="s">
        <v>87</v>
      </c>
      <c r="E4988" s="16" t="str">
        <f>IFERROR(__xludf.DUMMYFUNCTION("""COMPUTED_VALUE"""),"")</f>
        <v/>
      </c>
      <c r="G4988" s="18"/>
      <c r="H4988" s="16" t="s">
        <v>87</v>
      </c>
      <c r="I4988" s="16" t="s">
        <v>87</v>
      </c>
      <c r="J4988" s="19"/>
      <c r="L4988" s="16" t="str">
        <f>IFERROR(__xludf.DUMMYFUNCTION("""COMPUTED_VALUE"""),"")</f>
        <v/>
      </c>
      <c r="M4988" s="16" t="str">
        <f>IFERROR(__xludf.DUMMYFUNCTION("""COMPUTED_VALUE"""),"")</f>
        <v/>
      </c>
      <c r="U4988" s="16" t="s">
        <v>87</v>
      </c>
      <c r="V4988" s="16" t="str">
        <f>IFERROR(__xludf.DUMMYFUNCTION("""COMPUTED_VALUE"""),"")</f>
        <v/>
      </c>
      <c r="W4988" s="16" t="str">
        <f>IFERROR(__xludf.DUMMYFUNCTION("""COMPUTED_VALUE"""),"")</f>
        <v/>
      </c>
      <c r="X4988" s="16" t="str">
        <f>IFERROR(__xludf.DUMMYFUNCTION("""COMPUTED_VALUE"""),"")</f>
        <v/>
      </c>
      <c r="AC4988" s="16" t="str">
        <f>IFERROR(__xludf.DUMMYFUNCTION("""COMPUTED_VALUE"""),"")</f>
        <v/>
      </c>
    </row>
    <row r="4989">
      <c r="A4989" s="16" t="s">
        <v>87</v>
      </c>
      <c r="E4989" s="16" t="str">
        <f>IFERROR(__xludf.DUMMYFUNCTION("""COMPUTED_VALUE"""),"")</f>
        <v/>
      </c>
      <c r="G4989" s="18"/>
      <c r="H4989" s="16" t="s">
        <v>87</v>
      </c>
      <c r="I4989" s="16" t="s">
        <v>87</v>
      </c>
      <c r="J4989" s="19"/>
      <c r="L4989" s="16" t="str">
        <f>IFERROR(__xludf.DUMMYFUNCTION("""COMPUTED_VALUE"""),"")</f>
        <v/>
      </c>
      <c r="M4989" s="16" t="str">
        <f>IFERROR(__xludf.DUMMYFUNCTION("""COMPUTED_VALUE"""),"")</f>
        <v/>
      </c>
      <c r="U4989" s="16" t="s">
        <v>87</v>
      </c>
      <c r="V4989" s="16" t="str">
        <f>IFERROR(__xludf.DUMMYFUNCTION("""COMPUTED_VALUE"""),"")</f>
        <v/>
      </c>
      <c r="W4989" s="16" t="str">
        <f>IFERROR(__xludf.DUMMYFUNCTION("""COMPUTED_VALUE"""),"")</f>
        <v/>
      </c>
      <c r="X4989" s="16" t="str">
        <f>IFERROR(__xludf.DUMMYFUNCTION("""COMPUTED_VALUE"""),"")</f>
        <v/>
      </c>
      <c r="AC4989" s="16" t="str">
        <f>IFERROR(__xludf.DUMMYFUNCTION("""COMPUTED_VALUE"""),"")</f>
        <v/>
      </c>
    </row>
    <row r="4990">
      <c r="A4990" s="16" t="s">
        <v>87</v>
      </c>
      <c r="E4990" s="16" t="str">
        <f>IFERROR(__xludf.DUMMYFUNCTION("""COMPUTED_VALUE"""),"")</f>
        <v/>
      </c>
      <c r="G4990" s="18"/>
      <c r="H4990" s="16" t="s">
        <v>87</v>
      </c>
      <c r="I4990" s="16" t="s">
        <v>87</v>
      </c>
      <c r="J4990" s="19"/>
      <c r="L4990" s="16" t="str">
        <f>IFERROR(__xludf.DUMMYFUNCTION("""COMPUTED_VALUE"""),"")</f>
        <v/>
      </c>
      <c r="M4990" s="16" t="str">
        <f>IFERROR(__xludf.DUMMYFUNCTION("""COMPUTED_VALUE"""),"")</f>
        <v/>
      </c>
      <c r="U4990" s="16" t="s">
        <v>87</v>
      </c>
      <c r="V4990" s="16" t="str">
        <f>IFERROR(__xludf.DUMMYFUNCTION("""COMPUTED_VALUE"""),"")</f>
        <v/>
      </c>
      <c r="W4990" s="16" t="str">
        <f>IFERROR(__xludf.DUMMYFUNCTION("""COMPUTED_VALUE"""),"")</f>
        <v/>
      </c>
      <c r="X4990" s="16" t="str">
        <f>IFERROR(__xludf.DUMMYFUNCTION("""COMPUTED_VALUE"""),"")</f>
        <v/>
      </c>
      <c r="AC4990" s="16" t="str">
        <f>IFERROR(__xludf.DUMMYFUNCTION("""COMPUTED_VALUE"""),"")</f>
        <v/>
      </c>
    </row>
    <row r="4991">
      <c r="A4991" s="16" t="s">
        <v>87</v>
      </c>
      <c r="E4991" s="16" t="str">
        <f>IFERROR(__xludf.DUMMYFUNCTION("""COMPUTED_VALUE"""),"")</f>
        <v/>
      </c>
      <c r="G4991" s="18"/>
      <c r="H4991" s="16" t="s">
        <v>87</v>
      </c>
      <c r="I4991" s="16" t="s">
        <v>87</v>
      </c>
      <c r="J4991" s="19"/>
      <c r="L4991" s="16" t="str">
        <f>IFERROR(__xludf.DUMMYFUNCTION("""COMPUTED_VALUE"""),"")</f>
        <v/>
      </c>
      <c r="M4991" s="16" t="str">
        <f>IFERROR(__xludf.DUMMYFUNCTION("""COMPUTED_VALUE"""),"")</f>
        <v/>
      </c>
      <c r="U4991" s="16" t="s">
        <v>87</v>
      </c>
      <c r="V4991" s="16" t="str">
        <f>IFERROR(__xludf.DUMMYFUNCTION("""COMPUTED_VALUE"""),"")</f>
        <v/>
      </c>
      <c r="W4991" s="16" t="str">
        <f>IFERROR(__xludf.DUMMYFUNCTION("""COMPUTED_VALUE"""),"")</f>
        <v/>
      </c>
      <c r="X4991" s="16" t="str">
        <f>IFERROR(__xludf.DUMMYFUNCTION("""COMPUTED_VALUE"""),"")</f>
        <v/>
      </c>
      <c r="AC4991" s="16" t="str">
        <f>IFERROR(__xludf.DUMMYFUNCTION("""COMPUTED_VALUE"""),"")</f>
        <v/>
      </c>
    </row>
    <row r="4992">
      <c r="A4992" s="16" t="s">
        <v>87</v>
      </c>
      <c r="E4992" s="16" t="str">
        <f>IFERROR(__xludf.DUMMYFUNCTION("""COMPUTED_VALUE"""),"")</f>
        <v/>
      </c>
      <c r="G4992" s="18"/>
      <c r="H4992" s="16" t="s">
        <v>87</v>
      </c>
      <c r="I4992" s="16" t="s">
        <v>87</v>
      </c>
      <c r="J4992" s="19"/>
      <c r="L4992" s="16" t="str">
        <f>IFERROR(__xludf.DUMMYFUNCTION("""COMPUTED_VALUE"""),"")</f>
        <v/>
      </c>
      <c r="M4992" s="16" t="str">
        <f>IFERROR(__xludf.DUMMYFUNCTION("""COMPUTED_VALUE"""),"")</f>
        <v/>
      </c>
      <c r="U4992" s="16" t="s">
        <v>87</v>
      </c>
      <c r="V4992" s="16" t="str">
        <f>IFERROR(__xludf.DUMMYFUNCTION("""COMPUTED_VALUE"""),"")</f>
        <v/>
      </c>
      <c r="W4992" s="16" t="str">
        <f>IFERROR(__xludf.DUMMYFUNCTION("""COMPUTED_VALUE"""),"")</f>
        <v/>
      </c>
      <c r="X4992" s="16" t="str">
        <f>IFERROR(__xludf.DUMMYFUNCTION("""COMPUTED_VALUE"""),"")</f>
        <v/>
      </c>
      <c r="AC4992" s="16" t="str">
        <f>IFERROR(__xludf.DUMMYFUNCTION("""COMPUTED_VALUE"""),"")</f>
        <v/>
      </c>
    </row>
    <row r="4993">
      <c r="A4993" s="16" t="s">
        <v>87</v>
      </c>
      <c r="E4993" s="16" t="str">
        <f>IFERROR(__xludf.DUMMYFUNCTION("""COMPUTED_VALUE"""),"")</f>
        <v/>
      </c>
      <c r="G4993" s="18"/>
      <c r="H4993" s="16" t="s">
        <v>87</v>
      </c>
      <c r="I4993" s="16" t="s">
        <v>87</v>
      </c>
      <c r="J4993" s="19"/>
      <c r="L4993" s="16" t="str">
        <f>IFERROR(__xludf.DUMMYFUNCTION("""COMPUTED_VALUE"""),"")</f>
        <v/>
      </c>
      <c r="M4993" s="16" t="str">
        <f>IFERROR(__xludf.DUMMYFUNCTION("""COMPUTED_VALUE"""),"")</f>
        <v/>
      </c>
      <c r="U4993" s="16" t="s">
        <v>87</v>
      </c>
      <c r="V4993" s="16" t="str">
        <f>IFERROR(__xludf.DUMMYFUNCTION("""COMPUTED_VALUE"""),"")</f>
        <v/>
      </c>
      <c r="W4993" s="16" t="str">
        <f>IFERROR(__xludf.DUMMYFUNCTION("""COMPUTED_VALUE"""),"")</f>
        <v/>
      </c>
      <c r="X4993" s="16" t="str">
        <f>IFERROR(__xludf.DUMMYFUNCTION("""COMPUTED_VALUE"""),"")</f>
        <v/>
      </c>
      <c r="AC4993" s="16" t="str">
        <f>IFERROR(__xludf.DUMMYFUNCTION("""COMPUTED_VALUE"""),"")</f>
        <v/>
      </c>
    </row>
    <row r="4994">
      <c r="A4994" s="16" t="s">
        <v>87</v>
      </c>
      <c r="E4994" s="16" t="str">
        <f>IFERROR(__xludf.DUMMYFUNCTION("""COMPUTED_VALUE"""),"")</f>
        <v/>
      </c>
      <c r="G4994" s="18"/>
      <c r="H4994" s="16" t="s">
        <v>87</v>
      </c>
      <c r="I4994" s="16" t="s">
        <v>87</v>
      </c>
      <c r="J4994" s="19"/>
      <c r="L4994" s="16" t="str">
        <f>IFERROR(__xludf.DUMMYFUNCTION("""COMPUTED_VALUE"""),"")</f>
        <v/>
      </c>
      <c r="M4994" s="16" t="str">
        <f>IFERROR(__xludf.DUMMYFUNCTION("""COMPUTED_VALUE"""),"")</f>
        <v/>
      </c>
      <c r="U4994" s="16" t="s">
        <v>87</v>
      </c>
      <c r="V4994" s="16" t="str">
        <f>IFERROR(__xludf.DUMMYFUNCTION("""COMPUTED_VALUE"""),"")</f>
        <v/>
      </c>
      <c r="W4994" s="16" t="str">
        <f>IFERROR(__xludf.DUMMYFUNCTION("""COMPUTED_VALUE"""),"")</f>
        <v/>
      </c>
      <c r="X4994" s="16" t="str">
        <f>IFERROR(__xludf.DUMMYFUNCTION("""COMPUTED_VALUE"""),"")</f>
        <v/>
      </c>
      <c r="AC4994" s="16" t="str">
        <f>IFERROR(__xludf.DUMMYFUNCTION("""COMPUTED_VALUE"""),"")</f>
        <v/>
      </c>
    </row>
    <row r="4995">
      <c r="A4995" s="16" t="s">
        <v>87</v>
      </c>
      <c r="E4995" s="16" t="str">
        <f>IFERROR(__xludf.DUMMYFUNCTION("""COMPUTED_VALUE"""),"")</f>
        <v/>
      </c>
      <c r="G4995" s="18"/>
      <c r="H4995" s="16" t="s">
        <v>87</v>
      </c>
      <c r="I4995" s="16" t="s">
        <v>87</v>
      </c>
      <c r="J4995" s="19"/>
      <c r="L4995" s="16" t="str">
        <f>IFERROR(__xludf.DUMMYFUNCTION("""COMPUTED_VALUE"""),"")</f>
        <v/>
      </c>
      <c r="M4995" s="16" t="str">
        <f>IFERROR(__xludf.DUMMYFUNCTION("""COMPUTED_VALUE"""),"")</f>
        <v/>
      </c>
      <c r="U4995" s="16" t="s">
        <v>87</v>
      </c>
      <c r="V4995" s="16" t="str">
        <f>IFERROR(__xludf.DUMMYFUNCTION("""COMPUTED_VALUE"""),"")</f>
        <v/>
      </c>
      <c r="W4995" s="16" t="str">
        <f>IFERROR(__xludf.DUMMYFUNCTION("""COMPUTED_VALUE"""),"")</f>
        <v/>
      </c>
      <c r="X4995" s="16" t="str">
        <f>IFERROR(__xludf.DUMMYFUNCTION("""COMPUTED_VALUE"""),"")</f>
        <v/>
      </c>
      <c r="AC4995" s="16" t="str">
        <f>IFERROR(__xludf.DUMMYFUNCTION("""COMPUTED_VALUE"""),"")</f>
        <v/>
      </c>
    </row>
    <row r="4996">
      <c r="A4996" s="16" t="s">
        <v>87</v>
      </c>
      <c r="E4996" s="16" t="str">
        <f>IFERROR(__xludf.DUMMYFUNCTION("""COMPUTED_VALUE"""),"")</f>
        <v/>
      </c>
      <c r="G4996" s="18"/>
      <c r="H4996" s="16" t="s">
        <v>87</v>
      </c>
      <c r="I4996" s="16" t="s">
        <v>87</v>
      </c>
      <c r="J4996" s="19"/>
      <c r="L4996" s="16" t="str">
        <f>IFERROR(__xludf.DUMMYFUNCTION("""COMPUTED_VALUE"""),"")</f>
        <v/>
      </c>
      <c r="M4996" s="16" t="str">
        <f>IFERROR(__xludf.DUMMYFUNCTION("""COMPUTED_VALUE"""),"")</f>
        <v/>
      </c>
      <c r="U4996" s="16" t="s">
        <v>87</v>
      </c>
      <c r="V4996" s="16" t="str">
        <f>IFERROR(__xludf.DUMMYFUNCTION("""COMPUTED_VALUE"""),"")</f>
        <v/>
      </c>
      <c r="W4996" s="16" t="str">
        <f>IFERROR(__xludf.DUMMYFUNCTION("""COMPUTED_VALUE"""),"")</f>
        <v/>
      </c>
      <c r="X4996" s="16" t="str">
        <f>IFERROR(__xludf.DUMMYFUNCTION("""COMPUTED_VALUE"""),"")</f>
        <v/>
      </c>
      <c r="AC4996" s="16" t="str">
        <f>IFERROR(__xludf.DUMMYFUNCTION("""COMPUTED_VALUE"""),"")</f>
        <v/>
      </c>
    </row>
    <row r="4997">
      <c r="A4997" s="16" t="s">
        <v>87</v>
      </c>
      <c r="E4997" s="16" t="str">
        <f>IFERROR(__xludf.DUMMYFUNCTION("""COMPUTED_VALUE"""),"")</f>
        <v/>
      </c>
      <c r="G4997" s="18"/>
      <c r="H4997" s="16" t="s">
        <v>87</v>
      </c>
      <c r="I4997" s="16" t="s">
        <v>87</v>
      </c>
      <c r="J4997" s="19"/>
      <c r="L4997" s="16" t="str">
        <f>IFERROR(__xludf.DUMMYFUNCTION("""COMPUTED_VALUE"""),"")</f>
        <v/>
      </c>
      <c r="M4997" s="16" t="str">
        <f>IFERROR(__xludf.DUMMYFUNCTION("""COMPUTED_VALUE"""),"")</f>
        <v/>
      </c>
      <c r="U4997" s="16" t="s">
        <v>87</v>
      </c>
      <c r="V4997" s="16" t="str">
        <f>IFERROR(__xludf.DUMMYFUNCTION("""COMPUTED_VALUE"""),"")</f>
        <v/>
      </c>
      <c r="W4997" s="16" t="str">
        <f>IFERROR(__xludf.DUMMYFUNCTION("""COMPUTED_VALUE"""),"")</f>
        <v/>
      </c>
      <c r="X4997" s="16" t="str">
        <f>IFERROR(__xludf.DUMMYFUNCTION("""COMPUTED_VALUE"""),"")</f>
        <v/>
      </c>
      <c r="AC4997" s="16" t="str">
        <f>IFERROR(__xludf.DUMMYFUNCTION("""COMPUTED_VALUE"""),"")</f>
        <v/>
      </c>
    </row>
    <row r="4998">
      <c r="A4998" s="16" t="s">
        <v>87</v>
      </c>
      <c r="E4998" s="16" t="str">
        <f>IFERROR(__xludf.DUMMYFUNCTION("""COMPUTED_VALUE"""),"")</f>
        <v/>
      </c>
      <c r="G4998" s="18"/>
      <c r="H4998" s="16" t="s">
        <v>87</v>
      </c>
      <c r="I4998" s="16" t="s">
        <v>87</v>
      </c>
      <c r="J4998" s="19"/>
      <c r="L4998" s="16" t="str">
        <f>IFERROR(__xludf.DUMMYFUNCTION("""COMPUTED_VALUE"""),"")</f>
        <v/>
      </c>
      <c r="M4998" s="16" t="str">
        <f>IFERROR(__xludf.DUMMYFUNCTION("""COMPUTED_VALUE"""),"")</f>
        <v/>
      </c>
      <c r="U4998" s="16" t="s">
        <v>87</v>
      </c>
      <c r="V4998" s="16" t="str">
        <f>IFERROR(__xludf.DUMMYFUNCTION("""COMPUTED_VALUE"""),"")</f>
        <v/>
      </c>
      <c r="W4998" s="16" t="str">
        <f>IFERROR(__xludf.DUMMYFUNCTION("""COMPUTED_VALUE"""),"")</f>
        <v/>
      </c>
      <c r="X4998" s="16" t="str">
        <f>IFERROR(__xludf.DUMMYFUNCTION("""COMPUTED_VALUE"""),"")</f>
        <v/>
      </c>
      <c r="AC4998" s="16" t="str">
        <f>IFERROR(__xludf.DUMMYFUNCTION("""COMPUTED_VALUE"""),"")</f>
        <v/>
      </c>
    </row>
    <row r="4999">
      <c r="A4999" s="16" t="s">
        <v>87</v>
      </c>
      <c r="E4999" s="16" t="str">
        <f>IFERROR(__xludf.DUMMYFUNCTION("""COMPUTED_VALUE"""),"")</f>
        <v/>
      </c>
      <c r="G4999" s="18"/>
      <c r="H4999" s="16" t="s">
        <v>87</v>
      </c>
      <c r="I4999" s="16" t="s">
        <v>87</v>
      </c>
      <c r="J4999" s="19"/>
      <c r="L4999" s="16" t="str">
        <f>IFERROR(__xludf.DUMMYFUNCTION("""COMPUTED_VALUE"""),"")</f>
        <v/>
      </c>
      <c r="M4999" s="16" t="str">
        <f>IFERROR(__xludf.DUMMYFUNCTION("""COMPUTED_VALUE"""),"")</f>
        <v/>
      </c>
      <c r="U4999" s="16" t="s">
        <v>87</v>
      </c>
      <c r="V4999" s="16" t="str">
        <f>IFERROR(__xludf.DUMMYFUNCTION("""COMPUTED_VALUE"""),"")</f>
        <v/>
      </c>
      <c r="W4999" s="16" t="str">
        <f>IFERROR(__xludf.DUMMYFUNCTION("""COMPUTED_VALUE"""),"")</f>
        <v/>
      </c>
      <c r="X4999" s="16" t="str">
        <f>IFERROR(__xludf.DUMMYFUNCTION("""COMPUTED_VALUE"""),"")</f>
        <v/>
      </c>
      <c r="AC4999" s="16" t="str">
        <f>IFERROR(__xludf.DUMMYFUNCTION("""COMPUTED_VALUE"""),"")</f>
        <v/>
      </c>
    </row>
    <row r="5000">
      <c r="A5000" s="16" t="s">
        <v>87</v>
      </c>
      <c r="E5000" s="16" t="str">
        <f>IFERROR(__xludf.DUMMYFUNCTION("""COMPUTED_VALUE"""),"")</f>
        <v/>
      </c>
      <c r="G5000" s="18"/>
      <c r="H5000" s="16" t="s">
        <v>87</v>
      </c>
      <c r="I5000" s="16" t="s">
        <v>87</v>
      </c>
      <c r="J5000" s="19"/>
      <c r="L5000" s="16" t="str">
        <f>IFERROR(__xludf.DUMMYFUNCTION("""COMPUTED_VALUE"""),"")</f>
        <v/>
      </c>
      <c r="M5000" s="16" t="str">
        <f>IFERROR(__xludf.DUMMYFUNCTION("""COMPUTED_VALUE"""),"")</f>
        <v/>
      </c>
      <c r="U5000" s="16" t="s">
        <v>87</v>
      </c>
      <c r="V5000" s="16" t="str">
        <f>IFERROR(__xludf.DUMMYFUNCTION("""COMPUTED_VALUE"""),"")</f>
        <v/>
      </c>
      <c r="W5000" s="16" t="str">
        <f>IFERROR(__xludf.DUMMYFUNCTION("""COMPUTED_VALUE"""),"")</f>
        <v/>
      </c>
      <c r="X5000" s="16" t="str">
        <f>IFERROR(__xludf.DUMMYFUNCTION("""COMPUTED_VALUE"""),"")</f>
        <v/>
      </c>
      <c r="AC5000" s="16" t="str">
        <f>IFERROR(__xludf.DUMMYFUNCTION("""COMPUTED_VALUE"""),"")</f>
        <v/>
      </c>
    </row>
    <row r="5001">
      <c r="A5001" s="16" t="s">
        <v>87</v>
      </c>
      <c r="E5001" s="16" t="str">
        <f>IFERROR(__xludf.DUMMYFUNCTION("""COMPUTED_VALUE"""),"")</f>
        <v/>
      </c>
      <c r="G5001" s="18"/>
      <c r="H5001" s="16" t="s">
        <v>87</v>
      </c>
      <c r="I5001" s="16" t="s">
        <v>87</v>
      </c>
      <c r="J5001" s="19"/>
      <c r="L5001" s="16" t="str">
        <f>IFERROR(__xludf.DUMMYFUNCTION("""COMPUTED_VALUE"""),"")</f>
        <v/>
      </c>
      <c r="M5001" s="16" t="str">
        <f>IFERROR(__xludf.DUMMYFUNCTION("""COMPUTED_VALUE"""),"")</f>
        <v/>
      </c>
      <c r="U5001" s="16" t="s">
        <v>87</v>
      </c>
      <c r="V5001" s="16" t="str">
        <f>IFERROR(__xludf.DUMMYFUNCTION("""COMPUTED_VALUE"""),"")</f>
        <v/>
      </c>
      <c r="W5001" s="16" t="str">
        <f>IFERROR(__xludf.DUMMYFUNCTION("""COMPUTED_VALUE"""),"")</f>
        <v/>
      </c>
      <c r="X5001" s="16" t="str">
        <f>IFERROR(__xludf.DUMMYFUNCTION("""COMPUTED_VALUE"""),"")</f>
        <v/>
      </c>
      <c r="AC5001" s="16" t="str">
        <f>IFERROR(__xludf.DUMMYFUNCTION("""COMPUTED_VALUE"""),"")</f>
        <v/>
      </c>
    </row>
    <row r="5002">
      <c r="A5002" s="16" t="s">
        <v>87</v>
      </c>
      <c r="E5002" s="16" t="str">
        <f>IFERROR(__xludf.DUMMYFUNCTION("""COMPUTED_VALUE"""),"")</f>
        <v/>
      </c>
      <c r="G5002" s="18"/>
      <c r="H5002" s="16" t="s">
        <v>87</v>
      </c>
      <c r="I5002" s="16" t="s">
        <v>87</v>
      </c>
      <c r="J5002" s="19"/>
      <c r="L5002" s="16" t="str">
        <f>IFERROR(__xludf.DUMMYFUNCTION("""COMPUTED_VALUE"""),"")</f>
        <v/>
      </c>
      <c r="M5002" s="16" t="str">
        <f>IFERROR(__xludf.DUMMYFUNCTION("""COMPUTED_VALUE"""),"")</f>
        <v/>
      </c>
      <c r="U5002" s="16" t="s">
        <v>87</v>
      </c>
      <c r="V5002" s="16" t="str">
        <f>IFERROR(__xludf.DUMMYFUNCTION("""COMPUTED_VALUE"""),"")</f>
        <v/>
      </c>
      <c r="W5002" s="16" t="str">
        <f>IFERROR(__xludf.DUMMYFUNCTION("""COMPUTED_VALUE"""),"")</f>
        <v/>
      </c>
      <c r="X5002" s="16" t="str">
        <f>IFERROR(__xludf.DUMMYFUNCTION("""COMPUTED_VALUE"""),"")</f>
        <v/>
      </c>
      <c r="AC5002" s="16" t="str">
        <f>IFERROR(__xludf.DUMMYFUNCTION("""COMPUTED_VALUE"""),"")</f>
        <v/>
      </c>
    </row>
    <row r="5003">
      <c r="A5003" s="16" t="s">
        <v>87</v>
      </c>
      <c r="E5003" s="16" t="str">
        <f>IFERROR(__xludf.DUMMYFUNCTION("""COMPUTED_VALUE"""),"")</f>
        <v/>
      </c>
      <c r="G5003" s="18"/>
      <c r="H5003" s="16" t="s">
        <v>87</v>
      </c>
      <c r="I5003" s="16" t="s">
        <v>87</v>
      </c>
      <c r="J5003" s="19"/>
      <c r="L5003" s="16" t="str">
        <f>IFERROR(__xludf.DUMMYFUNCTION("""COMPUTED_VALUE"""),"")</f>
        <v/>
      </c>
      <c r="M5003" s="16" t="str">
        <f>IFERROR(__xludf.DUMMYFUNCTION("""COMPUTED_VALUE"""),"")</f>
        <v/>
      </c>
      <c r="U5003" s="16" t="s">
        <v>87</v>
      </c>
      <c r="V5003" s="16" t="str">
        <f>IFERROR(__xludf.DUMMYFUNCTION("""COMPUTED_VALUE"""),"")</f>
        <v/>
      </c>
      <c r="W5003" s="16" t="str">
        <f>IFERROR(__xludf.DUMMYFUNCTION("""COMPUTED_VALUE"""),"")</f>
        <v/>
      </c>
      <c r="X5003" s="16" t="str">
        <f>IFERROR(__xludf.DUMMYFUNCTION("""COMPUTED_VALUE"""),"")</f>
        <v/>
      </c>
      <c r="AC5003" s="16" t="str">
        <f>IFERROR(__xludf.DUMMYFUNCTION("""COMPUTED_VALUE"""),"")</f>
        <v/>
      </c>
    </row>
    <row r="5004">
      <c r="A5004" s="16" t="s">
        <v>87</v>
      </c>
      <c r="E5004" s="16" t="str">
        <f>IFERROR(__xludf.DUMMYFUNCTION("""COMPUTED_VALUE"""),"")</f>
        <v/>
      </c>
      <c r="G5004" s="18"/>
      <c r="H5004" s="16" t="s">
        <v>87</v>
      </c>
      <c r="I5004" s="16" t="s">
        <v>87</v>
      </c>
      <c r="J5004" s="19"/>
      <c r="L5004" s="16" t="str">
        <f>IFERROR(__xludf.DUMMYFUNCTION("""COMPUTED_VALUE"""),"")</f>
        <v/>
      </c>
      <c r="M5004" s="16" t="str">
        <f>IFERROR(__xludf.DUMMYFUNCTION("""COMPUTED_VALUE"""),"")</f>
        <v/>
      </c>
      <c r="U5004" s="16" t="s">
        <v>87</v>
      </c>
      <c r="V5004" s="16" t="str">
        <f>IFERROR(__xludf.DUMMYFUNCTION("""COMPUTED_VALUE"""),"")</f>
        <v/>
      </c>
      <c r="W5004" s="16" t="str">
        <f>IFERROR(__xludf.DUMMYFUNCTION("""COMPUTED_VALUE"""),"")</f>
        <v/>
      </c>
      <c r="X5004" s="16" t="str">
        <f>IFERROR(__xludf.DUMMYFUNCTION("""COMPUTED_VALUE"""),"")</f>
        <v/>
      </c>
      <c r="AC5004" s="16" t="str">
        <f>IFERROR(__xludf.DUMMYFUNCTION("""COMPUTED_VALUE"""),"")</f>
        <v/>
      </c>
    </row>
    <row r="5005">
      <c r="A5005" s="16" t="s">
        <v>87</v>
      </c>
      <c r="E5005" s="16" t="str">
        <f>IFERROR(__xludf.DUMMYFUNCTION("""COMPUTED_VALUE"""),"")</f>
        <v/>
      </c>
      <c r="G5005" s="18"/>
      <c r="H5005" s="16" t="s">
        <v>87</v>
      </c>
      <c r="I5005" s="16" t="s">
        <v>87</v>
      </c>
      <c r="J5005" s="19"/>
      <c r="L5005" s="16" t="str">
        <f>IFERROR(__xludf.DUMMYFUNCTION("""COMPUTED_VALUE"""),"")</f>
        <v/>
      </c>
      <c r="M5005" s="16" t="str">
        <f>IFERROR(__xludf.DUMMYFUNCTION("""COMPUTED_VALUE"""),"")</f>
        <v/>
      </c>
      <c r="U5005" s="16" t="s">
        <v>87</v>
      </c>
      <c r="V5005" s="16" t="str">
        <f>IFERROR(__xludf.DUMMYFUNCTION("""COMPUTED_VALUE"""),"")</f>
        <v/>
      </c>
      <c r="W5005" s="16" t="str">
        <f>IFERROR(__xludf.DUMMYFUNCTION("""COMPUTED_VALUE"""),"")</f>
        <v/>
      </c>
      <c r="X5005" s="16" t="str">
        <f>IFERROR(__xludf.DUMMYFUNCTION("""COMPUTED_VALUE"""),"")</f>
        <v/>
      </c>
      <c r="AC5005" s="16" t="str">
        <f>IFERROR(__xludf.DUMMYFUNCTION("""COMPUTED_VALUE"""),"")</f>
        <v/>
      </c>
    </row>
    <row r="5006">
      <c r="A5006" s="16" t="s">
        <v>87</v>
      </c>
      <c r="E5006" s="16" t="str">
        <f>IFERROR(__xludf.DUMMYFUNCTION("""COMPUTED_VALUE"""),"")</f>
        <v/>
      </c>
      <c r="G5006" s="18"/>
      <c r="H5006" s="16" t="s">
        <v>87</v>
      </c>
      <c r="I5006" s="16" t="s">
        <v>87</v>
      </c>
      <c r="J5006" s="19"/>
      <c r="L5006" s="16" t="str">
        <f>IFERROR(__xludf.DUMMYFUNCTION("""COMPUTED_VALUE"""),"")</f>
        <v/>
      </c>
      <c r="M5006" s="16" t="str">
        <f>IFERROR(__xludf.DUMMYFUNCTION("""COMPUTED_VALUE"""),"")</f>
        <v/>
      </c>
      <c r="U5006" s="16" t="s">
        <v>87</v>
      </c>
      <c r="V5006" s="16" t="str">
        <f>IFERROR(__xludf.DUMMYFUNCTION("""COMPUTED_VALUE"""),"")</f>
        <v/>
      </c>
      <c r="W5006" s="16" t="str">
        <f>IFERROR(__xludf.DUMMYFUNCTION("""COMPUTED_VALUE"""),"")</f>
        <v/>
      </c>
      <c r="X5006" s="16" t="str">
        <f>IFERROR(__xludf.DUMMYFUNCTION("""COMPUTED_VALUE"""),"")</f>
        <v/>
      </c>
      <c r="AC5006" s="16" t="str">
        <f>IFERROR(__xludf.DUMMYFUNCTION("""COMPUTED_VALUE"""),"")</f>
        <v/>
      </c>
    </row>
    <row r="5007">
      <c r="A5007" s="16" t="s">
        <v>87</v>
      </c>
      <c r="E5007" s="16" t="str">
        <f>IFERROR(__xludf.DUMMYFUNCTION("""COMPUTED_VALUE"""),"")</f>
        <v/>
      </c>
      <c r="G5007" s="18"/>
      <c r="H5007" s="16" t="s">
        <v>87</v>
      </c>
      <c r="I5007" s="16" t="s">
        <v>87</v>
      </c>
      <c r="J5007" s="19"/>
      <c r="L5007" s="16" t="str">
        <f>IFERROR(__xludf.DUMMYFUNCTION("""COMPUTED_VALUE"""),"")</f>
        <v/>
      </c>
      <c r="M5007" s="16" t="str">
        <f>IFERROR(__xludf.DUMMYFUNCTION("""COMPUTED_VALUE"""),"")</f>
        <v/>
      </c>
      <c r="U5007" s="16" t="s">
        <v>87</v>
      </c>
      <c r="V5007" s="16" t="str">
        <f>IFERROR(__xludf.DUMMYFUNCTION("""COMPUTED_VALUE"""),"")</f>
        <v/>
      </c>
      <c r="W5007" s="16" t="str">
        <f>IFERROR(__xludf.DUMMYFUNCTION("""COMPUTED_VALUE"""),"")</f>
        <v/>
      </c>
      <c r="X5007" s="16" t="str">
        <f>IFERROR(__xludf.DUMMYFUNCTION("""COMPUTED_VALUE"""),"")</f>
        <v/>
      </c>
      <c r="AC5007" s="16" t="str">
        <f>IFERROR(__xludf.DUMMYFUNCTION("""COMPUTED_VALUE"""),"")</f>
        <v/>
      </c>
    </row>
    <row r="5008">
      <c r="A5008" s="16" t="s">
        <v>87</v>
      </c>
      <c r="E5008" s="16" t="str">
        <f>IFERROR(__xludf.DUMMYFUNCTION("""COMPUTED_VALUE"""),"")</f>
        <v/>
      </c>
      <c r="G5008" s="18"/>
      <c r="H5008" s="16" t="s">
        <v>87</v>
      </c>
      <c r="I5008" s="16" t="s">
        <v>87</v>
      </c>
      <c r="J5008" s="19"/>
      <c r="L5008" s="16" t="str">
        <f>IFERROR(__xludf.DUMMYFUNCTION("""COMPUTED_VALUE"""),"")</f>
        <v/>
      </c>
      <c r="M5008" s="16" t="str">
        <f>IFERROR(__xludf.DUMMYFUNCTION("""COMPUTED_VALUE"""),"")</f>
        <v/>
      </c>
      <c r="U5008" s="16" t="s">
        <v>87</v>
      </c>
      <c r="V5008" s="16" t="str">
        <f>IFERROR(__xludf.DUMMYFUNCTION("""COMPUTED_VALUE"""),"")</f>
        <v/>
      </c>
      <c r="W5008" s="16" t="str">
        <f>IFERROR(__xludf.DUMMYFUNCTION("""COMPUTED_VALUE"""),"")</f>
        <v/>
      </c>
      <c r="X5008" s="16" t="str">
        <f>IFERROR(__xludf.DUMMYFUNCTION("""COMPUTED_VALUE"""),"")</f>
        <v/>
      </c>
      <c r="AC5008" s="16" t="str">
        <f>IFERROR(__xludf.DUMMYFUNCTION("""COMPUTED_VALUE"""),"")</f>
        <v/>
      </c>
    </row>
    <row r="5009">
      <c r="A5009" s="16" t="s">
        <v>87</v>
      </c>
      <c r="E5009" s="16" t="str">
        <f>IFERROR(__xludf.DUMMYFUNCTION("""COMPUTED_VALUE"""),"")</f>
        <v/>
      </c>
      <c r="G5009" s="18"/>
      <c r="H5009" s="16" t="s">
        <v>87</v>
      </c>
      <c r="I5009" s="16" t="s">
        <v>87</v>
      </c>
      <c r="J5009" s="19"/>
      <c r="L5009" s="16" t="str">
        <f>IFERROR(__xludf.DUMMYFUNCTION("""COMPUTED_VALUE"""),"")</f>
        <v/>
      </c>
      <c r="M5009" s="16" t="str">
        <f>IFERROR(__xludf.DUMMYFUNCTION("""COMPUTED_VALUE"""),"")</f>
        <v/>
      </c>
      <c r="U5009" s="16" t="s">
        <v>87</v>
      </c>
      <c r="V5009" s="16" t="str">
        <f>IFERROR(__xludf.DUMMYFUNCTION("""COMPUTED_VALUE"""),"")</f>
        <v/>
      </c>
      <c r="W5009" s="16" t="str">
        <f>IFERROR(__xludf.DUMMYFUNCTION("""COMPUTED_VALUE"""),"")</f>
        <v/>
      </c>
      <c r="X5009" s="16" t="str">
        <f>IFERROR(__xludf.DUMMYFUNCTION("""COMPUTED_VALUE"""),"")</f>
        <v/>
      </c>
      <c r="AC5009" s="16" t="str">
        <f>IFERROR(__xludf.DUMMYFUNCTION("""COMPUTED_VALUE"""),"")</f>
        <v/>
      </c>
    </row>
    <row r="5010">
      <c r="A5010" s="16" t="s">
        <v>87</v>
      </c>
      <c r="E5010" s="16" t="str">
        <f>IFERROR(__xludf.DUMMYFUNCTION("""COMPUTED_VALUE"""),"")</f>
        <v/>
      </c>
      <c r="G5010" s="18"/>
      <c r="H5010" s="16" t="s">
        <v>87</v>
      </c>
      <c r="I5010" s="16" t="s">
        <v>87</v>
      </c>
      <c r="J5010" s="19"/>
      <c r="L5010" s="16" t="str">
        <f>IFERROR(__xludf.DUMMYFUNCTION("""COMPUTED_VALUE"""),"")</f>
        <v/>
      </c>
      <c r="M5010" s="16" t="str">
        <f>IFERROR(__xludf.DUMMYFUNCTION("""COMPUTED_VALUE"""),"")</f>
        <v/>
      </c>
      <c r="U5010" s="16" t="s">
        <v>87</v>
      </c>
      <c r="V5010" s="16" t="str">
        <f>IFERROR(__xludf.DUMMYFUNCTION("""COMPUTED_VALUE"""),"")</f>
        <v/>
      </c>
      <c r="W5010" s="16" t="str">
        <f>IFERROR(__xludf.DUMMYFUNCTION("""COMPUTED_VALUE"""),"")</f>
        <v/>
      </c>
      <c r="X5010" s="16" t="str">
        <f>IFERROR(__xludf.DUMMYFUNCTION("""COMPUTED_VALUE"""),"")</f>
        <v/>
      </c>
      <c r="AC5010" s="16" t="str">
        <f>IFERROR(__xludf.DUMMYFUNCTION("""COMPUTED_VALUE"""),"")</f>
        <v/>
      </c>
    </row>
    <row r="5011">
      <c r="A5011" s="16" t="s">
        <v>87</v>
      </c>
      <c r="E5011" s="16" t="str">
        <f>IFERROR(__xludf.DUMMYFUNCTION("""COMPUTED_VALUE"""),"")</f>
        <v/>
      </c>
      <c r="G5011" s="18"/>
      <c r="H5011" s="16" t="s">
        <v>87</v>
      </c>
      <c r="I5011" s="16" t="s">
        <v>87</v>
      </c>
      <c r="J5011" s="19"/>
      <c r="L5011" s="16" t="str">
        <f>IFERROR(__xludf.DUMMYFUNCTION("""COMPUTED_VALUE"""),"")</f>
        <v/>
      </c>
      <c r="M5011" s="16" t="str">
        <f>IFERROR(__xludf.DUMMYFUNCTION("""COMPUTED_VALUE"""),"")</f>
        <v/>
      </c>
      <c r="U5011" s="16" t="s">
        <v>87</v>
      </c>
      <c r="V5011" s="16" t="str">
        <f>IFERROR(__xludf.DUMMYFUNCTION("""COMPUTED_VALUE"""),"")</f>
        <v/>
      </c>
      <c r="W5011" s="16" t="str">
        <f>IFERROR(__xludf.DUMMYFUNCTION("""COMPUTED_VALUE"""),"")</f>
        <v/>
      </c>
      <c r="X5011" s="16" t="str">
        <f>IFERROR(__xludf.DUMMYFUNCTION("""COMPUTED_VALUE"""),"")</f>
        <v/>
      </c>
      <c r="AC5011" s="16" t="str">
        <f>IFERROR(__xludf.DUMMYFUNCTION("""COMPUTED_VALUE"""),"")</f>
        <v/>
      </c>
    </row>
    <row r="5012">
      <c r="A5012" s="16" t="s">
        <v>87</v>
      </c>
      <c r="E5012" s="16" t="str">
        <f>IFERROR(__xludf.DUMMYFUNCTION("""COMPUTED_VALUE"""),"")</f>
        <v/>
      </c>
      <c r="G5012" s="18"/>
      <c r="H5012" s="16" t="s">
        <v>87</v>
      </c>
      <c r="I5012" s="16" t="s">
        <v>87</v>
      </c>
      <c r="J5012" s="19"/>
      <c r="L5012" s="16" t="str">
        <f>IFERROR(__xludf.DUMMYFUNCTION("""COMPUTED_VALUE"""),"")</f>
        <v/>
      </c>
      <c r="M5012" s="16" t="str">
        <f>IFERROR(__xludf.DUMMYFUNCTION("""COMPUTED_VALUE"""),"")</f>
        <v/>
      </c>
      <c r="U5012" s="16" t="s">
        <v>87</v>
      </c>
      <c r="V5012" s="16" t="str">
        <f>IFERROR(__xludf.DUMMYFUNCTION("""COMPUTED_VALUE"""),"")</f>
        <v/>
      </c>
      <c r="W5012" s="16" t="str">
        <f>IFERROR(__xludf.DUMMYFUNCTION("""COMPUTED_VALUE"""),"")</f>
        <v/>
      </c>
      <c r="X5012" s="16" t="str">
        <f>IFERROR(__xludf.DUMMYFUNCTION("""COMPUTED_VALUE"""),"")</f>
        <v/>
      </c>
      <c r="AC5012" s="16" t="str">
        <f>IFERROR(__xludf.DUMMYFUNCTION("""COMPUTED_VALUE"""),"")</f>
        <v/>
      </c>
    </row>
    <row r="5013">
      <c r="A5013" s="16" t="s">
        <v>87</v>
      </c>
      <c r="E5013" s="16" t="str">
        <f>IFERROR(__xludf.DUMMYFUNCTION("""COMPUTED_VALUE"""),"")</f>
        <v/>
      </c>
      <c r="G5013" s="18"/>
      <c r="H5013" s="16" t="s">
        <v>87</v>
      </c>
      <c r="I5013" s="16" t="s">
        <v>87</v>
      </c>
      <c r="J5013" s="19"/>
      <c r="L5013" s="16" t="str">
        <f>IFERROR(__xludf.DUMMYFUNCTION("""COMPUTED_VALUE"""),"")</f>
        <v/>
      </c>
      <c r="M5013" s="16" t="str">
        <f>IFERROR(__xludf.DUMMYFUNCTION("""COMPUTED_VALUE"""),"")</f>
        <v/>
      </c>
      <c r="U5013" s="16" t="s">
        <v>87</v>
      </c>
      <c r="V5013" s="16" t="str">
        <f>IFERROR(__xludf.DUMMYFUNCTION("""COMPUTED_VALUE"""),"")</f>
        <v/>
      </c>
      <c r="W5013" s="16" t="str">
        <f>IFERROR(__xludf.DUMMYFUNCTION("""COMPUTED_VALUE"""),"")</f>
        <v/>
      </c>
      <c r="X5013" s="16" t="str">
        <f>IFERROR(__xludf.DUMMYFUNCTION("""COMPUTED_VALUE"""),"")</f>
        <v/>
      </c>
      <c r="AC5013" s="16" t="str">
        <f>IFERROR(__xludf.DUMMYFUNCTION("""COMPUTED_VALUE"""),"")</f>
        <v/>
      </c>
    </row>
    <row r="5014">
      <c r="A5014" s="16" t="s">
        <v>87</v>
      </c>
      <c r="E5014" s="16" t="str">
        <f>IFERROR(__xludf.DUMMYFUNCTION("""COMPUTED_VALUE"""),"")</f>
        <v/>
      </c>
      <c r="G5014" s="18"/>
      <c r="H5014" s="16" t="s">
        <v>87</v>
      </c>
      <c r="I5014" s="16" t="s">
        <v>87</v>
      </c>
      <c r="J5014" s="19"/>
      <c r="L5014" s="16" t="str">
        <f>IFERROR(__xludf.DUMMYFUNCTION("""COMPUTED_VALUE"""),"")</f>
        <v/>
      </c>
      <c r="M5014" s="16" t="str">
        <f>IFERROR(__xludf.DUMMYFUNCTION("""COMPUTED_VALUE"""),"")</f>
        <v/>
      </c>
      <c r="U5014" s="16" t="s">
        <v>87</v>
      </c>
      <c r="V5014" s="16" t="str">
        <f>IFERROR(__xludf.DUMMYFUNCTION("""COMPUTED_VALUE"""),"")</f>
        <v/>
      </c>
      <c r="W5014" s="16" t="str">
        <f>IFERROR(__xludf.DUMMYFUNCTION("""COMPUTED_VALUE"""),"")</f>
        <v/>
      </c>
      <c r="X5014" s="16" t="str">
        <f>IFERROR(__xludf.DUMMYFUNCTION("""COMPUTED_VALUE"""),"")</f>
        <v/>
      </c>
      <c r="AC5014" s="16" t="str">
        <f>IFERROR(__xludf.DUMMYFUNCTION("""COMPUTED_VALUE"""),"")</f>
        <v/>
      </c>
    </row>
    <row r="5015">
      <c r="A5015" s="16" t="s">
        <v>87</v>
      </c>
      <c r="E5015" s="16" t="str">
        <f>IFERROR(__xludf.DUMMYFUNCTION("""COMPUTED_VALUE"""),"")</f>
        <v/>
      </c>
      <c r="G5015" s="18"/>
      <c r="H5015" s="16" t="s">
        <v>87</v>
      </c>
      <c r="I5015" s="16" t="s">
        <v>87</v>
      </c>
      <c r="J5015" s="19"/>
      <c r="L5015" s="16" t="str">
        <f>IFERROR(__xludf.DUMMYFUNCTION("""COMPUTED_VALUE"""),"")</f>
        <v/>
      </c>
      <c r="M5015" s="16" t="str">
        <f>IFERROR(__xludf.DUMMYFUNCTION("""COMPUTED_VALUE"""),"")</f>
        <v/>
      </c>
      <c r="U5015" s="16" t="s">
        <v>87</v>
      </c>
      <c r="V5015" s="16" t="str">
        <f>IFERROR(__xludf.DUMMYFUNCTION("""COMPUTED_VALUE"""),"")</f>
        <v/>
      </c>
      <c r="W5015" s="16" t="str">
        <f>IFERROR(__xludf.DUMMYFUNCTION("""COMPUTED_VALUE"""),"")</f>
        <v/>
      </c>
      <c r="X5015" s="16" t="str">
        <f>IFERROR(__xludf.DUMMYFUNCTION("""COMPUTED_VALUE"""),"")</f>
        <v/>
      </c>
      <c r="AC5015" s="16" t="str">
        <f>IFERROR(__xludf.DUMMYFUNCTION("""COMPUTED_VALUE"""),"")</f>
        <v/>
      </c>
    </row>
    <row r="5016">
      <c r="A5016" s="16" t="s">
        <v>87</v>
      </c>
      <c r="E5016" s="16" t="str">
        <f>IFERROR(__xludf.DUMMYFUNCTION("""COMPUTED_VALUE"""),"")</f>
        <v/>
      </c>
      <c r="G5016" s="18"/>
      <c r="H5016" s="16" t="s">
        <v>87</v>
      </c>
      <c r="I5016" s="16" t="s">
        <v>87</v>
      </c>
      <c r="J5016" s="19"/>
      <c r="L5016" s="16" t="str">
        <f>IFERROR(__xludf.DUMMYFUNCTION("""COMPUTED_VALUE"""),"")</f>
        <v/>
      </c>
      <c r="M5016" s="16" t="str">
        <f>IFERROR(__xludf.DUMMYFUNCTION("""COMPUTED_VALUE"""),"")</f>
        <v/>
      </c>
      <c r="U5016" s="16" t="s">
        <v>87</v>
      </c>
      <c r="V5016" s="16" t="str">
        <f>IFERROR(__xludf.DUMMYFUNCTION("""COMPUTED_VALUE"""),"")</f>
        <v/>
      </c>
      <c r="W5016" s="16" t="str">
        <f>IFERROR(__xludf.DUMMYFUNCTION("""COMPUTED_VALUE"""),"")</f>
        <v/>
      </c>
      <c r="X5016" s="16" t="str">
        <f>IFERROR(__xludf.DUMMYFUNCTION("""COMPUTED_VALUE"""),"")</f>
        <v/>
      </c>
      <c r="AC5016" s="16" t="str">
        <f>IFERROR(__xludf.DUMMYFUNCTION("""COMPUTED_VALUE"""),"")</f>
        <v/>
      </c>
    </row>
    <row r="5017">
      <c r="A5017" s="16" t="s">
        <v>87</v>
      </c>
      <c r="E5017" s="16" t="str">
        <f>IFERROR(__xludf.DUMMYFUNCTION("""COMPUTED_VALUE"""),"")</f>
        <v/>
      </c>
      <c r="G5017" s="18"/>
      <c r="H5017" s="16" t="s">
        <v>87</v>
      </c>
      <c r="I5017" s="16" t="s">
        <v>87</v>
      </c>
      <c r="J5017" s="19"/>
      <c r="L5017" s="16" t="str">
        <f>IFERROR(__xludf.DUMMYFUNCTION("""COMPUTED_VALUE"""),"")</f>
        <v/>
      </c>
      <c r="M5017" s="16" t="str">
        <f>IFERROR(__xludf.DUMMYFUNCTION("""COMPUTED_VALUE"""),"")</f>
        <v/>
      </c>
      <c r="U5017" s="16" t="s">
        <v>87</v>
      </c>
      <c r="V5017" s="16" t="str">
        <f>IFERROR(__xludf.DUMMYFUNCTION("""COMPUTED_VALUE"""),"")</f>
        <v/>
      </c>
      <c r="W5017" s="16" t="str">
        <f>IFERROR(__xludf.DUMMYFUNCTION("""COMPUTED_VALUE"""),"")</f>
        <v/>
      </c>
      <c r="X5017" s="16" t="str">
        <f>IFERROR(__xludf.DUMMYFUNCTION("""COMPUTED_VALUE"""),"")</f>
        <v/>
      </c>
      <c r="AC5017" s="16" t="str">
        <f>IFERROR(__xludf.DUMMYFUNCTION("""COMPUTED_VALUE"""),"")</f>
        <v/>
      </c>
    </row>
    <row r="5018">
      <c r="A5018" s="16" t="s">
        <v>87</v>
      </c>
      <c r="E5018" s="16" t="str">
        <f>IFERROR(__xludf.DUMMYFUNCTION("""COMPUTED_VALUE"""),"")</f>
        <v/>
      </c>
      <c r="G5018" s="18"/>
      <c r="H5018" s="16" t="s">
        <v>87</v>
      </c>
      <c r="I5018" s="16" t="s">
        <v>87</v>
      </c>
      <c r="J5018" s="19"/>
      <c r="L5018" s="16" t="str">
        <f>IFERROR(__xludf.DUMMYFUNCTION("""COMPUTED_VALUE"""),"")</f>
        <v/>
      </c>
      <c r="M5018" s="16" t="str">
        <f>IFERROR(__xludf.DUMMYFUNCTION("""COMPUTED_VALUE"""),"")</f>
        <v/>
      </c>
      <c r="U5018" s="16" t="s">
        <v>87</v>
      </c>
      <c r="V5018" s="16" t="str">
        <f>IFERROR(__xludf.DUMMYFUNCTION("""COMPUTED_VALUE"""),"")</f>
        <v/>
      </c>
      <c r="W5018" s="16" t="str">
        <f>IFERROR(__xludf.DUMMYFUNCTION("""COMPUTED_VALUE"""),"")</f>
        <v/>
      </c>
      <c r="X5018" s="16" t="str">
        <f>IFERROR(__xludf.DUMMYFUNCTION("""COMPUTED_VALUE"""),"")</f>
        <v/>
      </c>
      <c r="AC5018" s="16" t="str">
        <f>IFERROR(__xludf.DUMMYFUNCTION("""COMPUTED_VALUE"""),"")</f>
        <v/>
      </c>
    </row>
    <row r="5019">
      <c r="A5019" s="16" t="s">
        <v>87</v>
      </c>
      <c r="E5019" s="16" t="str">
        <f>IFERROR(__xludf.DUMMYFUNCTION("""COMPUTED_VALUE"""),"")</f>
        <v/>
      </c>
      <c r="G5019" s="18"/>
      <c r="H5019" s="16" t="s">
        <v>87</v>
      </c>
      <c r="I5019" s="16" t="s">
        <v>87</v>
      </c>
      <c r="J5019" s="19"/>
      <c r="L5019" s="16" t="str">
        <f>IFERROR(__xludf.DUMMYFUNCTION("""COMPUTED_VALUE"""),"")</f>
        <v/>
      </c>
      <c r="M5019" s="16" t="str">
        <f>IFERROR(__xludf.DUMMYFUNCTION("""COMPUTED_VALUE"""),"")</f>
        <v/>
      </c>
      <c r="U5019" s="16" t="s">
        <v>87</v>
      </c>
      <c r="V5019" s="16" t="str">
        <f>IFERROR(__xludf.DUMMYFUNCTION("""COMPUTED_VALUE"""),"")</f>
        <v/>
      </c>
      <c r="W5019" s="16" t="str">
        <f>IFERROR(__xludf.DUMMYFUNCTION("""COMPUTED_VALUE"""),"")</f>
        <v/>
      </c>
      <c r="X5019" s="16" t="str">
        <f>IFERROR(__xludf.DUMMYFUNCTION("""COMPUTED_VALUE"""),"")</f>
        <v/>
      </c>
      <c r="AC5019" s="16" t="str">
        <f>IFERROR(__xludf.DUMMYFUNCTION("""COMPUTED_VALUE"""),"")</f>
        <v/>
      </c>
    </row>
    <row r="5020">
      <c r="A5020" s="16" t="s">
        <v>87</v>
      </c>
      <c r="E5020" s="16" t="str">
        <f>IFERROR(__xludf.DUMMYFUNCTION("""COMPUTED_VALUE"""),"")</f>
        <v/>
      </c>
      <c r="G5020" s="18"/>
      <c r="H5020" s="16" t="s">
        <v>87</v>
      </c>
      <c r="I5020" s="16" t="s">
        <v>87</v>
      </c>
      <c r="J5020" s="19"/>
      <c r="L5020" s="16" t="str">
        <f>IFERROR(__xludf.DUMMYFUNCTION("""COMPUTED_VALUE"""),"")</f>
        <v/>
      </c>
      <c r="M5020" s="16" t="str">
        <f>IFERROR(__xludf.DUMMYFUNCTION("""COMPUTED_VALUE"""),"")</f>
        <v/>
      </c>
      <c r="U5020" s="16" t="s">
        <v>87</v>
      </c>
      <c r="V5020" s="16" t="str">
        <f>IFERROR(__xludf.DUMMYFUNCTION("""COMPUTED_VALUE"""),"")</f>
        <v/>
      </c>
      <c r="W5020" s="16" t="str">
        <f>IFERROR(__xludf.DUMMYFUNCTION("""COMPUTED_VALUE"""),"")</f>
        <v/>
      </c>
      <c r="X5020" s="16" t="str">
        <f>IFERROR(__xludf.DUMMYFUNCTION("""COMPUTED_VALUE"""),"")</f>
        <v/>
      </c>
      <c r="AC5020" s="16" t="str">
        <f>IFERROR(__xludf.DUMMYFUNCTION("""COMPUTED_VALUE"""),"")</f>
        <v/>
      </c>
    </row>
    <row r="5021">
      <c r="A5021" s="16" t="s">
        <v>87</v>
      </c>
      <c r="E5021" s="16" t="str">
        <f>IFERROR(__xludf.DUMMYFUNCTION("""COMPUTED_VALUE"""),"")</f>
        <v/>
      </c>
      <c r="G5021" s="18"/>
      <c r="H5021" s="16" t="s">
        <v>87</v>
      </c>
      <c r="I5021" s="16" t="s">
        <v>87</v>
      </c>
      <c r="J5021" s="19"/>
      <c r="L5021" s="16" t="str">
        <f>IFERROR(__xludf.DUMMYFUNCTION("""COMPUTED_VALUE"""),"")</f>
        <v/>
      </c>
      <c r="M5021" s="16" t="str">
        <f>IFERROR(__xludf.DUMMYFUNCTION("""COMPUTED_VALUE"""),"")</f>
        <v/>
      </c>
      <c r="U5021" s="16" t="s">
        <v>87</v>
      </c>
      <c r="V5021" s="16" t="str">
        <f>IFERROR(__xludf.DUMMYFUNCTION("""COMPUTED_VALUE"""),"")</f>
        <v/>
      </c>
      <c r="W5021" s="16" t="str">
        <f>IFERROR(__xludf.DUMMYFUNCTION("""COMPUTED_VALUE"""),"")</f>
        <v/>
      </c>
      <c r="X5021" s="16" t="str">
        <f>IFERROR(__xludf.DUMMYFUNCTION("""COMPUTED_VALUE"""),"")</f>
        <v/>
      </c>
      <c r="AC5021" s="16" t="str">
        <f>IFERROR(__xludf.DUMMYFUNCTION("""COMPUTED_VALUE"""),"")</f>
        <v/>
      </c>
    </row>
    <row r="5022">
      <c r="A5022" s="16" t="s">
        <v>87</v>
      </c>
      <c r="E5022" s="16" t="str">
        <f>IFERROR(__xludf.DUMMYFUNCTION("""COMPUTED_VALUE"""),"")</f>
        <v/>
      </c>
      <c r="G5022" s="18"/>
      <c r="H5022" s="16" t="s">
        <v>87</v>
      </c>
      <c r="I5022" s="16" t="s">
        <v>87</v>
      </c>
      <c r="J5022" s="19"/>
      <c r="L5022" s="16" t="str">
        <f>IFERROR(__xludf.DUMMYFUNCTION("""COMPUTED_VALUE"""),"")</f>
        <v/>
      </c>
      <c r="M5022" s="16" t="str">
        <f>IFERROR(__xludf.DUMMYFUNCTION("""COMPUTED_VALUE"""),"")</f>
        <v/>
      </c>
      <c r="U5022" s="16" t="s">
        <v>87</v>
      </c>
      <c r="V5022" s="16" t="str">
        <f>IFERROR(__xludf.DUMMYFUNCTION("""COMPUTED_VALUE"""),"")</f>
        <v/>
      </c>
      <c r="W5022" s="16" t="str">
        <f>IFERROR(__xludf.DUMMYFUNCTION("""COMPUTED_VALUE"""),"")</f>
        <v/>
      </c>
      <c r="X5022" s="16" t="str">
        <f>IFERROR(__xludf.DUMMYFUNCTION("""COMPUTED_VALUE"""),"")</f>
        <v/>
      </c>
      <c r="AC5022" s="16" t="str">
        <f>IFERROR(__xludf.DUMMYFUNCTION("""COMPUTED_VALUE"""),"")</f>
        <v/>
      </c>
    </row>
    <row r="5023">
      <c r="A5023" s="16" t="s">
        <v>87</v>
      </c>
      <c r="E5023" s="16" t="str">
        <f>IFERROR(__xludf.DUMMYFUNCTION("""COMPUTED_VALUE"""),"")</f>
        <v/>
      </c>
      <c r="G5023" s="18"/>
      <c r="H5023" s="16" t="s">
        <v>87</v>
      </c>
      <c r="I5023" s="16" t="s">
        <v>87</v>
      </c>
      <c r="J5023" s="19"/>
      <c r="L5023" s="16" t="str">
        <f>IFERROR(__xludf.DUMMYFUNCTION("""COMPUTED_VALUE"""),"")</f>
        <v/>
      </c>
      <c r="M5023" s="16" t="str">
        <f>IFERROR(__xludf.DUMMYFUNCTION("""COMPUTED_VALUE"""),"")</f>
        <v/>
      </c>
      <c r="U5023" s="16" t="s">
        <v>87</v>
      </c>
      <c r="V5023" s="16" t="str">
        <f>IFERROR(__xludf.DUMMYFUNCTION("""COMPUTED_VALUE"""),"")</f>
        <v/>
      </c>
      <c r="W5023" s="16" t="str">
        <f>IFERROR(__xludf.DUMMYFUNCTION("""COMPUTED_VALUE"""),"")</f>
        <v/>
      </c>
      <c r="X5023" s="16" t="str">
        <f>IFERROR(__xludf.DUMMYFUNCTION("""COMPUTED_VALUE"""),"")</f>
        <v/>
      </c>
      <c r="AC5023" s="16" t="str">
        <f>IFERROR(__xludf.DUMMYFUNCTION("""COMPUTED_VALUE"""),"")</f>
        <v/>
      </c>
    </row>
    <row r="5024">
      <c r="A5024" s="16" t="s">
        <v>87</v>
      </c>
      <c r="E5024" s="16" t="str">
        <f>IFERROR(__xludf.DUMMYFUNCTION("""COMPUTED_VALUE"""),"")</f>
        <v/>
      </c>
      <c r="G5024" s="18"/>
      <c r="H5024" s="16" t="s">
        <v>87</v>
      </c>
      <c r="I5024" s="16" t="s">
        <v>87</v>
      </c>
      <c r="J5024" s="19"/>
      <c r="L5024" s="16" t="str">
        <f>IFERROR(__xludf.DUMMYFUNCTION("""COMPUTED_VALUE"""),"")</f>
        <v/>
      </c>
      <c r="M5024" s="16" t="str">
        <f>IFERROR(__xludf.DUMMYFUNCTION("""COMPUTED_VALUE"""),"")</f>
        <v/>
      </c>
      <c r="U5024" s="16" t="s">
        <v>87</v>
      </c>
      <c r="V5024" s="16" t="str">
        <f>IFERROR(__xludf.DUMMYFUNCTION("""COMPUTED_VALUE"""),"")</f>
        <v/>
      </c>
      <c r="W5024" s="16" t="str">
        <f>IFERROR(__xludf.DUMMYFUNCTION("""COMPUTED_VALUE"""),"")</f>
        <v/>
      </c>
      <c r="X5024" s="16" t="str">
        <f>IFERROR(__xludf.DUMMYFUNCTION("""COMPUTED_VALUE"""),"")</f>
        <v/>
      </c>
      <c r="AC5024" s="16" t="str">
        <f>IFERROR(__xludf.DUMMYFUNCTION("""COMPUTED_VALUE"""),"")</f>
        <v/>
      </c>
    </row>
    <row r="5025">
      <c r="A5025" s="16" t="s">
        <v>87</v>
      </c>
      <c r="E5025" s="16" t="str">
        <f>IFERROR(__xludf.DUMMYFUNCTION("""COMPUTED_VALUE"""),"")</f>
        <v/>
      </c>
      <c r="G5025" s="18"/>
      <c r="H5025" s="16" t="s">
        <v>87</v>
      </c>
      <c r="I5025" s="16" t="s">
        <v>87</v>
      </c>
      <c r="J5025" s="19"/>
      <c r="L5025" s="16" t="str">
        <f>IFERROR(__xludf.DUMMYFUNCTION("""COMPUTED_VALUE"""),"")</f>
        <v/>
      </c>
      <c r="M5025" s="16" t="str">
        <f>IFERROR(__xludf.DUMMYFUNCTION("""COMPUTED_VALUE"""),"")</f>
        <v/>
      </c>
      <c r="U5025" s="16" t="s">
        <v>87</v>
      </c>
      <c r="V5025" s="16" t="str">
        <f>IFERROR(__xludf.DUMMYFUNCTION("""COMPUTED_VALUE"""),"")</f>
        <v/>
      </c>
      <c r="W5025" s="16" t="str">
        <f>IFERROR(__xludf.DUMMYFUNCTION("""COMPUTED_VALUE"""),"")</f>
        <v/>
      </c>
      <c r="X5025" s="16" t="str">
        <f>IFERROR(__xludf.DUMMYFUNCTION("""COMPUTED_VALUE"""),"")</f>
        <v/>
      </c>
      <c r="AC5025" s="16" t="str">
        <f>IFERROR(__xludf.DUMMYFUNCTION("""COMPUTED_VALUE"""),"")</f>
        <v/>
      </c>
    </row>
    <row r="5026">
      <c r="A5026" s="16" t="s">
        <v>87</v>
      </c>
      <c r="E5026" s="16" t="str">
        <f>IFERROR(__xludf.DUMMYFUNCTION("""COMPUTED_VALUE"""),"")</f>
        <v/>
      </c>
      <c r="G5026" s="18"/>
      <c r="H5026" s="16" t="s">
        <v>87</v>
      </c>
      <c r="I5026" s="16" t="s">
        <v>87</v>
      </c>
      <c r="J5026" s="19"/>
      <c r="L5026" s="16" t="str">
        <f>IFERROR(__xludf.DUMMYFUNCTION("""COMPUTED_VALUE"""),"")</f>
        <v/>
      </c>
      <c r="M5026" s="16" t="str">
        <f>IFERROR(__xludf.DUMMYFUNCTION("""COMPUTED_VALUE"""),"")</f>
        <v/>
      </c>
      <c r="U5026" s="16" t="s">
        <v>87</v>
      </c>
      <c r="V5026" s="16" t="str">
        <f>IFERROR(__xludf.DUMMYFUNCTION("""COMPUTED_VALUE"""),"")</f>
        <v/>
      </c>
      <c r="W5026" s="16" t="str">
        <f>IFERROR(__xludf.DUMMYFUNCTION("""COMPUTED_VALUE"""),"")</f>
        <v/>
      </c>
      <c r="X5026" s="16" t="str">
        <f>IFERROR(__xludf.DUMMYFUNCTION("""COMPUTED_VALUE"""),"")</f>
        <v/>
      </c>
      <c r="AC5026" s="16" t="str">
        <f>IFERROR(__xludf.DUMMYFUNCTION("""COMPUTED_VALUE"""),"")</f>
        <v/>
      </c>
    </row>
    <row r="5027">
      <c r="A5027" s="16" t="s">
        <v>87</v>
      </c>
      <c r="E5027" s="16" t="str">
        <f>IFERROR(__xludf.DUMMYFUNCTION("""COMPUTED_VALUE"""),"")</f>
        <v/>
      </c>
      <c r="G5027" s="18"/>
      <c r="H5027" s="16" t="s">
        <v>87</v>
      </c>
      <c r="I5027" s="16" t="s">
        <v>87</v>
      </c>
      <c r="J5027" s="19"/>
      <c r="L5027" s="16" t="str">
        <f>IFERROR(__xludf.DUMMYFUNCTION("""COMPUTED_VALUE"""),"")</f>
        <v/>
      </c>
      <c r="M5027" s="16" t="str">
        <f>IFERROR(__xludf.DUMMYFUNCTION("""COMPUTED_VALUE"""),"")</f>
        <v/>
      </c>
      <c r="U5027" s="16" t="s">
        <v>87</v>
      </c>
      <c r="V5027" s="16" t="str">
        <f>IFERROR(__xludf.DUMMYFUNCTION("""COMPUTED_VALUE"""),"")</f>
        <v/>
      </c>
      <c r="W5027" s="16" t="str">
        <f>IFERROR(__xludf.DUMMYFUNCTION("""COMPUTED_VALUE"""),"")</f>
        <v/>
      </c>
      <c r="X5027" s="16" t="str">
        <f>IFERROR(__xludf.DUMMYFUNCTION("""COMPUTED_VALUE"""),"")</f>
        <v/>
      </c>
      <c r="AC5027" s="16" t="str">
        <f>IFERROR(__xludf.DUMMYFUNCTION("""COMPUTED_VALUE"""),"")</f>
        <v/>
      </c>
    </row>
    <row r="5028">
      <c r="A5028" s="16" t="s">
        <v>87</v>
      </c>
      <c r="E5028" s="16" t="str">
        <f>IFERROR(__xludf.DUMMYFUNCTION("""COMPUTED_VALUE"""),"")</f>
        <v/>
      </c>
      <c r="G5028" s="18"/>
      <c r="H5028" s="16" t="s">
        <v>87</v>
      </c>
      <c r="I5028" s="16" t="s">
        <v>87</v>
      </c>
      <c r="J5028" s="19"/>
      <c r="L5028" s="16" t="str">
        <f>IFERROR(__xludf.DUMMYFUNCTION("""COMPUTED_VALUE"""),"")</f>
        <v/>
      </c>
      <c r="M5028" s="16" t="str">
        <f>IFERROR(__xludf.DUMMYFUNCTION("""COMPUTED_VALUE"""),"")</f>
        <v/>
      </c>
      <c r="U5028" s="16" t="s">
        <v>87</v>
      </c>
      <c r="V5028" s="16" t="str">
        <f>IFERROR(__xludf.DUMMYFUNCTION("""COMPUTED_VALUE"""),"")</f>
        <v/>
      </c>
      <c r="W5028" s="16" t="str">
        <f>IFERROR(__xludf.DUMMYFUNCTION("""COMPUTED_VALUE"""),"")</f>
        <v/>
      </c>
      <c r="X5028" s="16" t="str">
        <f>IFERROR(__xludf.DUMMYFUNCTION("""COMPUTED_VALUE"""),"")</f>
        <v/>
      </c>
      <c r="AC5028" s="16" t="str">
        <f>IFERROR(__xludf.DUMMYFUNCTION("""COMPUTED_VALUE"""),"")</f>
        <v/>
      </c>
    </row>
    <row r="5029">
      <c r="A5029" s="16" t="s">
        <v>87</v>
      </c>
      <c r="E5029" s="16" t="str">
        <f>IFERROR(__xludf.DUMMYFUNCTION("""COMPUTED_VALUE"""),"")</f>
        <v/>
      </c>
      <c r="G5029" s="18"/>
      <c r="H5029" s="16" t="s">
        <v>87</v>
      </c>
      <c r="I5029" s="16" t="s">
        <v>87</v>
      </c>
      <c r="J5029" s="19"/>
      <c r="L5029" s="16" t="str">
        <f>IFERROR(__xludf.DUMMYFUNCTION("""COMPUTED_VALUE"""),"")</f>
        <v/>
      </c>
      <c r="M5029" s="16" t="str">
        <f>IFERROR(__xludf.DUMMYFUNCTION("""COMPUTED_VALUE"""),"")</f>
        <v/>
      </c>
      <c r="U5029" s="16" t="s">
        <v>87</v>
      </c>
      <c r="V5029" s="16" t="str">
        <f>IFERROR(__xludf.DUMMYFUNCTION("""COMPUTED_VALUE"""),"")</f>
        <v/>
      </c>
      <c r="W5029" s="16" t="str">
        <f>IFERROR(__xludf.DUMMYFUNCTION("""COMPUTED_VALUE"""),"")</f>
        <v/>
      </c>
      <c r="X5029" s="16" t="str">
        <f>IFERROR(__xludf.DUMMYFUNCTION("""COMPUTED_VALUE"""),"")</f>
        <v/>
      </c>
      <c r="AC5029" s="16" t="str">
        <f>IFERROR(__xludf.DUMMYFUNCTION("""COMPUTED_VALUE"""),"")</f>
        <v/>
      </c>
    </row>
    <row r="5030">
      <c r="A5030" s="16" t="s">
        <v>87</v>
      </c>
      <c r="E5030" s="16" t="str">
        <f>IFERROR(__xludf.DUMMYFUNCTION("""COMPUTED_VALUE"""),"")</f>
        <v/>
      </c>
      <c r="G5030" s="18"/>
      <c r="H5030" s="16" t="s">
        <v>87</v>
      </c>
      <c r="I5030" s="16" t="s">
        <v>87</v>
      </c>
      <c r="J5030" s="19"/>
      <c r="L5030" s="16" t="str">
        <f>IFERROR(__xludf.DUMMYFUNCTION("""COMPUTED_VALUE"""),"")</f>
        <v/>
      </c>
      <c r="M5030" s="16" t="str">
        <f>IFERROR(__xludf.DUMMYFUNCTION("""COMPUTED_VALUE"""),"")</f>
        <v/>
      </c>
      <c r="U5030" s="16" t="s">
        <v>87</v>
      </c>
      <c r="V5030" s="16" t="str">
        <f>IFERROR(__xludf.DUMMYFUNCTION("""COMPUTED_VALUE"""),"")</f>
        <v/>
      </c>
      <c r="W5030" s="16" t="str">
        <f>IFERROR(__xludf.DUMMYFUNCTION("""COMPUTED_VALUE"""),"")</f>
        <v/>
      </c>
      <c r="X5030" s="16" t="str">
        <f>IFERROR(__xludf.DUMMYFUNCTION("""COMPUTED_VALUE"""),"")</f>
        <v/>
      </c>
      <c r="AC5030" s="16" t="str">
        <f>IFERROR(__xludf.DUMMYFUNCTION("""COMPUTED_VALUE"""),"")</f>
        <v/>
      </c>
    </row>
    <row r="5031">
      <c r="A5031" s="16" t="s">
        <v>87</v>
      </c>
      <c r="E5031" s="16" t="str">
        <f>IFERROR(__xludf.DUMMYFUNCTION("""COMPUTED_VALUE"""),"")</f>
        <v/>
      </c>
      <c r="G5031" s="18"/>
      <c r="H5031" s="16" t="s">
        <v>87</v>
      </c>
      <c r="I5031" s="16" t="s">
        <v>87</v>
      </c>
      <c r="J5031" s="19"/>
      <c r="L5031" s="16" t="str">
        <f>IFERROR(__xludf.DUMMYFUNCTION("""COMPUTED_VALUE"""),"")</f>
        <v/>
      </c>
      <c r="M5031" s="16" t="str">
        <f>IFERROR(__xludf.DUMMYFUNCTION("""COMPUTED_VALUE"""),"")</f>
        <v/>
      </c>
      <c r="U5031" s="16" t="s">
        <v>87</v>
      </c>
      <c r="V5031" s="16" t="str">
        <f>IFERROR(__xludf.DUMMYFUNCTION("""COMPUTED_VALUE"""),"")</f>
        <v/>
      </c>
      <c r="W5031" s="16" t="str">
        <f>IFERROR(__xludf.DUMMYFUNCTION("""COMPUTED_VALUE"""),"")</f>
        <v/>
      </c>
      <c r="X5031" s="16" t="str">
        <f>IFERROR(__xludf.DUMMYFUNCTION("""COMPUTED_VALUE"""),"")</f>
        <v/>
      </c>
      <c r="AC5031" s="16" t="str">
        <f>IFERROR(__xludf.DUMMYFUNCTION("""COMPUTED_VALUE"""),"")</f>
        <v/>
      </c>
    </row>
    <row r="5032">
      <c r="A5032" s="16" t="s">
        <v>87</v>
      </c>
      <c r="E5032" s="16" t="str">
        <f>IFERROR(__xludf.DUMMYFUNCTION("""COMPUTED_VALUE"""),"")</f>
        <v/>
      </c>
      <c r="G5032" s="18"/>
      <c r="H5032" s="16" t="s">
        <v>87</v>
      </c>
      <c r="I5032" s="16" t="s">
        <v>87</v>
      </c>
      <c r="J5032" s="19"/>
      <c r="L5032" s="16" t="str">
        <f>IFERROR(__xludf.DUMMYFUNCTION("""COMPUTED_VALUE"""),"")</f>
        <v/>
      </c>
      <c r="M5032" s="16" t="str">
        <f>IFERROR(__xludf.DUMMYFUNCTION("""COMPUTED_VALUE"""),"")</f>
        <v/>
      </c>
      <c r="U5032" s="16" t="s">
        <v>87</v>
      </c>
      <c r="V5032" s="16" t="str">
        <f>IFERROR(__xludf.DUMMYFUNCTION("""COMPUTED_VALUE"""),"")</f>
        <v/>
      </c>
      <c r="W5032" s="16" t="str">
        <f>IFERROR(__xludf.DUMMYFUNCTION("""COMPUTED_VALUE"""),"")</f>
        <v/>
      </c>
      <c r="X5032" s="16" t="str">
        <f>IFERROR(__xludf.DUMMYFUNCTION("""COMPUTED_VALUE"""),"")</f>
        <v/>
      </c>
      <c r="AC5032" s="16" t="str">
        <f>IFERROR(__xludf.DUMMYFUNCTION("""COMPUTED_VALUE"""),"")</f>
        <v/>
      </c>
    </row>
    <row r="5033">
      <c r="A5033" s="16" t="s">
        <v>87</v>
      </c>
      <c r="E5033" s="16" t="str">
        <f>IFERROR(__xludf.DUMMYFUNCTION("""COMPUTED_VALUE"""),"")</f>
        <v/>
      </c>
      <c r="G5033" s="18"/>
      <c r="H5033" s="16" t="s">
        <v>87</v>
      </c>
      <c r="I5033" s="16" t="s">
        <v>87</v>
      </c>
      <c r="J5033" s="19"/>
      <c r="L5033" s="16" t="str">
        <f>IFERROR(__xludf.DUMMYFUNCTION("""COMPUTED_VALUE"""),"")</f>
        <v/>
      </c>
      <c r="M5033" s="16" t="str">
        <f>IFERROR(__xludf.DUMMYFUNCTION("""COMPUTED_VALUE"""),"")</f>
        <v/>
      </c>
      <c r="U5033" s="16" t="s">
        <v>87</v>
      </c>
      <c r="V5033" s="16" t="str">
        <f>IFERROR(__xludf.DUMMYFUNCTION("""COMPUTED_VALUE"""),"")</f>
        <v/>
      </c>
      <c r="W5033" s="16" t="str">
        <f>IFERROR(__xludf.DUMMYFUNCTION("""COMPUTED_VALUE"""),"")</f>
        <v/>
      </c>
      <c r="X5033" s="16" t="str">
        <f>IFERROR(__xludf.DUMMYFUNCTION("""COMPUTED_VALUE"""),"")</f>
        <v/>
      </c>
      <c r="AC5033" s="16" t="str">
        <f>IFERROR(__xludf.DUMMYFUNCTION("""COMPUTED_VALUE"""),"")</f>
        <v/>
      </c>
    </row>
    <row r="5034">
      <c r="A5034" s="16" t="s">
        <v>87</v>
      </c>
      <c r="E5034" s="16" t="str">
        <f>IFERROR(__xludf.DUMMYFUNCTION("""COMPUTED_VALUE"""),"")</f>
        <v/>
      </c>
      <c r="G5034" s="18"/>
      <c r="H5034" s="16" t="s">
        <v>87</v>
      </c>
      <c r="I5034" s="16" t="s">
        <v>87</v>
      </c>
      <c r="J5034" s="19"/>
      <c r="L5034" s="16" t="str">
        <f>IFERROR(__xludf.DUMMYFUNCTION("""COMPUTED_VALUE"""),"")</f>
        <v/>
      </c>
      <c r="M5034" s="16" t="str">
        <f>IFERROR(__xludf.DUMMYFUNCTION("""COMPUTED_VALUE"""),"")</f>
        <v/>
      </c>
      <c r="U5034" s="16" t="s">
        <v>87</v>
      </c>
      <c r="V5034" s="16" t="str">
        <f>IFERROR(__xludf.DUMMYFUNCTION("""COMPUTED_VALUE"""),"")</f>
        <v/>
      </c>
      <c r="W5034" s="16" t="str">
        <f>IFERROR(__xludf.DUMMYFUNCTION("""COMPUTED_VALUE"""),"")</f>
        <v/>
      </c>
      <c r="X5034" s="16" t="str">
        <f>IFERROR(__xludf.DUMMYFUNCTION("""COMPUTED_VALUE"""),"")</f>
        <v/>
      </c>
      <c r="AC5034" s="16" t="str">
        <f>IFERROR(__xludf.DUMMYFUNCTION("""COMPUTED_VALUE"""),"")</f>
        <v/>
      </c>
    </row>
    <row r="5035">
      <c r="A5035" s="16" t="s">
        <v>87</v>
      </c>
      <c r="E5035" s="16" t="str">
        <f>IFERROR(__xludf.DUMMYFUNCTION("""COMPUTED_VALUE"""),"")</f>
        <v/>
      </c>
      <c r="G5035" s="18"/>
      <c r="H5035" s="16" t="s">
        <v>87</v>
      </c>
      <c r="I5035" s="16" t="s">
        <v>87</v>
      </c>
      <c r="J5035" s="19"/>
      <c r="L5035" s="16" t="str">
        <f>IFERROR(__xludf.DUMMYFUNCTION("""COMPUTED_VALUE"""),"")</f>
        <v/>
      </c>
      <c r="M5035" s="16" t="str">
        <f>IFERROR(__xludf.DUMMYFUNCTION("""COMPUTED_VALUE"""),"")</f>
        <v/>
      </c>
      <c r="U5035" s="16" t="s">
        <v>87</v>
      </c>
      <c r="V5035" s="16" t="str">
        <f>IFERROR(__xludf.DUMMYFUNCTION("""COMPUTED_VALUE"""),"")</f>
        <v/>
      </c>
      <c r="W5035" s="16" t="str">
        <f>IFERROR(__xludf.DUMMYFUNCTION("""COMPUTED_VALUE"""),"")</f>
        <v/>
      </c>
      <c r="X5035" s="16" t="str">
        <f>IFERROR(__xludf.DUMMYFUNCTION("""COMPUTED_VALUE"""),"")</f>
        <v/>
      </c>
      <c r="AC5035" s="16" t="str">
        <f>IFERROR(__xludf.DUMMYFUNCTION("""COMPUTED_VALUE"""),"")</f>
        <v/>
      </c>
    </row>
    <row r="5036">
      <c r="A5036" s="16" t="s">
        <v>87</v>
      </c>
      <c r="E5036" s="16" t="str">
        <f>IFERROR(__xludf.DUMMYFUNCTION("""COMPUTED_VALUE"""),"")</f>
        <v/>
      </c>
      <c r="G5036" s="18"/>
      <c r="H5036" s="16" t="s">
        <v>87</v>
      </c>
      <c r="I5036" s="16" t="s">
        <v>87</v>
      </c>
      <c r="J5036" s="19"/>
      <c r="L5036" s="16" t="str">
        <f>IFERROR(__xludf.DUMMYFUNCTION("""COMPUTED_VALUE"""),"")</f>
        <v/>
      </c>
      <c r="M5036" s="16" t="str">
        <f>IFERROR(__xludf.DUMMYFUNCTION("""COMPUTED_VALUE"""),"")</f>
        <v/>
      </c>
      <c r="U5036" s="16" t="s">
        <v>87</v>
      </c>
      <c r="V5036" s="16" t="str">
        <f>IFERROR(__xludf.DUMMYFUNCTION("""COMPUTED_VALUE"""),"")</f>
        <v/>
      </c>
      <c r="W5036" s="16" t="str">
        <f>IFERROR(__xludf.DUMMYFUNCTION("""COMPUTED_VALUE"""),"")</f>
        <v/>
      </c>
      <c r="X5036" s="16" t="str">
        <f>IFERROR(__xludf.DUMMYFUNCTION("""COMPUTED_VALUE"""),"")</f>
        <v/>
      </c>
      <c r="AC5036" s="16" t="str">
        <f>IFERROR(__xludf.DUMMYFUNCTION("""COMPUTED_VALUE"""),"")</f>
        <v/>
      </c>
    </row>
    <row r="5037">
      <c r="A5037" s="16" t="s">
        <v>87</v>
      </c>
      <c r="E5037" s="16" t="str">
        <f>IFERROR(__xludf.DUMMYFUNCTION("""COMPUTED_VALUE"""),"")</f>
        <v/>
      </c>
      <c r="G5037" s="18"/>
      <c r="H5037" s="16" t="s">
        <v>87</v>
      </c>
      <c r="I5037" s="16" t="s">
        <v>87</v>
      </c>
      <c r="J5037" s="19"/>
      <c r="L5037" s="16" t="str">
        <f>IFERROR(__xludf.DUMMYFUNCTION("""COMPUTED_VALUE"""),"")</f>
        <v/>
      </c>
      <c r="M5037" s="16" t="str">
        <f>IFERROR(__xludf.DUMMYFUNCTION("""COMPUTED_VALUE"""),"")</f>
        <v/>
      </c>
      <c r="U5037" s="16" t="s">
        <v>87</v>
      </c>
      <c r="V5037" s="16" t="str">
        <f>IFERROR(__xludf.DUMMYFUNCTION("""COMPUTED_VALUE"""),"")</f>
        <v/>
      </c>
      <c r="W5037" s="16" t="str">
        <f>IFERROR(__xludf.DUMMYFUNCTION("""COMPUTED_VALUE"""),"")</f>
        <v/>
      </c>
      <c r="X5037" s="16" t="str">
        <f>IFERROR(__xludf.DUMMYFUNCTION("""COMPUTED_VALUE"""),"")</f>
        <v/>
      </c>
      <c r="AC5037" s="16" t="str">
        <f>IFERROR(__xludf.DUMMYFUNCTION("""COMPUTED_VALUE"""),"")</f>
        <v/>
      </c>
    </row>
    <row r="5038">
      <c r="A5038" s="16" t="s">
        <v>87</v>
      </c>
      <c r="E5038" s="16" t="str">
        <f>IFERROR(__xludf.DUMMYFUNCTION("""COMPUTED_VALUE"""),"")</f>
        <v/>
      </c>
      <c r="G5038" s="18"/>
      <c r="H5038" s="16" t="s">
        <v>87</v>
      </c>
      <c r="I5038" s="16" t="s">
        <v>87</v>
      </c>
      <c r="J5038" s="19"/>
      <c r="L5038" s="16" t="str">
        <f>IFERROR(__xludf.DUMMYFUNCTION("""COMPUTED_VALUE"""),"")</f>
        <v/>
      </c>
      <c r="M5038" s="16" t="str">
        <f>IFERROR(__xludf.DUMMYFUNCTION("""COMPUTED_VALUE"""),"")</f>
        <v/>
      </c>
      <c r="U5038" s="16" t="s">
        <v>87</v>
      </c>
      <c r="V5038" s="16" t="str">
        <f>IFERROR(__xludf.DUMMYFUNCTION("""COMPUTED_VALUE"""),"")</f>
        <v/>
      </c>
      <c r="W5038" s="16" t="str">
        <f>IFERROR(__xludf.DUMMYFUNCTION("""COMPUTED_VALUE"""),"")</f>
        <v/>
      </c>
      <c r="X5038" s="16" t="str">
        <f>IFERROR(__xludf.DUMMYFUNCTION("""COMPUTED_VALUE"""),"")</f>
        <v/>
      </c>
      <c r="AC5038" s="16" t="str">
        <f>IFERROR(__xludf.DUMMYFUNCTION("""COMPUTED_VALUE"""),"")</f>
        <v/>
      </c>
    </row>
    <row r="5039">
      <c r="A5039" s="16" t="s">
        <v>87</v>
      </c>
      <c r="E5039" s="16" t="str">
        <f>IFERROR(__xludf.DUMMYFUNCTION("""COMPUTED_VALUE"""),"")</f>
        <v/>
      </c>
      <c r="G5039" s="18"/>
      <c r="H5039" s="16" t="s">
        <v>87</v>
      </c>
      <c r="I5039" s="16" t="s">
        <v>87</v>
      </c>
      <c r="J5039" s="19"/>
      <c r="L5039" s="16" t="str">
        <f>IFERROR(__xludf.DUMMYFUNCTION("""COMPUTED_VALUE"""),"")</f>
        <v/>
      </c>
      <c r="M5039" s="16" t="str">
        <f>IFERROR(__xludf.DUMMYFUNCTION("""COMPUTED_VALUE"""),"")</f>
        <v/>
      </c>
      <c r="U5039" s="16" t="s">
        <v>87</v>
      </c>
      <c r="V5039" s="16" t="str">
        <f>IFERROR(__xludf.DUMMYFUNCTION("""COMPUTED_VALUE"""),"")</f>
        <v/>
      </c>
      <c r="W5039" s="16" t="str">
        <f>IFERROR(__xludf.DUMMYFUNCTION("""COMPUTED_VALUE"""),"")</f>
        <v/>
      </c>
      <c r="X5039" s="16" t="str">
        <f>IFERROR(__xludf.DUMMYFUNCTION("""COMPUTED_VALUE"""),"")</f>
        <v/>
      </c>
      <c r="AC5039" s="16" t="str">
        <f>IFERROR(__xludf.DUMMYFUNCTION("""COMPUTED_VALUE"""),"")</f>
        <v/>
      </c>
    </row>
    <row r="5040">
      <c r="A5040" s="16" t="s">
        <v>87</v>
      </c>
      <c r="E5040" s="16" t="str">
        <f>IFERROR(__xludf.DUMMYFUNCTION("""COMPUTED_VALUE"""),"")</f>
        <v/>
      </c>
      <c r="G5040" s="18"/>
      <c r="H5040" s="16" t="s">
        <v>87</v>
      </c>
      <c r="I5040" s="16" t="s">
        <v>87</v>
      </c>
      <c r="J5040" s="19"/>
      <c r="L5040" s="16" t="str">
        <f>IFERROR(__xludf.DUMMYFUNCTION("""COMPUTED_VALUE"""),"")</f>
        <v/>
      </c>
      <c r="M5040" s="16" t="str">
        <f>IFERROR(__xludf.DUMMYFUNCTION("""COMPUTED_VALUE"""),"")</f>
        <v/>
      </c>
      <c r="U5040" s="16" t="s">
        <v>87</v>
      </c>
      <c r="V5040" s="16" t="str">
        <f>IFERROR(__xludf.DUMMYFUNCTION("""COMPUTED_VALUE"""),"")</f>
        <v/>
      </c>
      <c r="W5040" s="16" t="str">
        <f>IFERROR(__xludf.DUMMYFUNCTION("""COMPUTED_VALUE"""),"")</f>
        <v/>
      </c>
      <c r="X5040" s="16" t="str">
        <f>IFERROR(__xludf.DUMMYFUNCTION("""COMPUTED_VALUE"""),"")</f>
        <v/>
      </c>
      <c r="AC5040" s="16" t="str">
        <f>IFERROR(__xludf.DUMMYFUNCTION("""COMPUTED_VALUE"""),"")</f>
        <v/>
      </c>
    </row>
    <row r="5041">
      <c r="A5041" s="16" t="s">
        <v>87</v>
      </c>
      <c r="E5041" s="16" t="str">
        <f>IFERROR(__xludf.DUMMYFUNCTION("""COMPUTED_VALUE"""),"")</f>
        <v/>
      </c>
      <c r="G5041" s="18"/>
      <c r="H5041" s="16" t="s">
        <v>87</v>
      </c>
      <c r="I5041" s="16" t="s">
        <v>87</v>
      </c>
      <c r="J5041" s="19"/>
      <c r="L5041" s="16" t="str">
        <f>IFERROR(__xludf.DUMMYFUNCTION("""COMPUTED_VALUE"""),"")</f>
        <v/>
      </c>
      <c r="M5041" s="16" t="str">
        <f>IFERROR(__xludf.DUMMYFUNCTION("""COMPUTED_VALUE"""),"")</f>
        <v/>
      </c>
      <c r="U5041" s="16" t="s">
        <v>87</v>
      </c>
      <c r="V5041" s="16" t="str">
        <f>IFERROR(__xludf.DUMMYFUNCTION("""COMPUTED_VALUE"""),"")</f>
        <v/>
      </c>
      <c r="W5041" s="16" t="str">
        <f>IFERROR(__xludf.DUMMYFUNCTION("""COMPUTED_VALUE"""),"")</f>
        <v/>
      </c>
      <c r="X5041" s="16" t="str">
        <f>IFERROR(__xludf.DUMMYFUNCTION("""COMPUTED_VALUE"""),"")</f>
        <v/>
      </c>
      <c r="AC5041" s="16" t="str">
        <f>IFERROR(__xludf.DUMMYFUNCTION("""COMPUTED_VALUE"""),"")</f>
        <v/>
      </c>
    </row>
    <row r="5042">
      <c r="A5042" s="16" t="s">
        <v>87</v>
      </c>
      <c r="E5042" s="16" t="str">
        <f>IFERROR(__xludf.DUMMYFUNCTION("""COMPUTED_VALUE"""),"")</f>
        <v/>
      </c>
      <c r="G5042" s="18"/>
      <c r="H5042" s="16" t="s">
        <v>87</v>
      </c>
      <c r="I5042" s="16" t="s">
        <v>87</v>
      </c>
      <c r="J5042" s="19"/>
      <c r="L5042" s="16" t="str">
        <f>IFERROR(__xludf.DUMMYFUNCTION("""COMPUTED_VALUE"""),"")</f>
        <v/>
      </c>
      <c r="M5042" s="16" t="str">
        <f>IFERROR(__xludf.DUMMYFUNCTION("""COMPUTED_VALUE"""),"")</f>
        <v/>
      </c>
      <c r="U5042" s="16" t="s">
        <v>87</v>
      </c>
      <c r="V5042" s="16" t="str">
        <f>IFERROR(__xludf.DUMMYFUNCTION("""COMPUTED_VALUE"""),"")</f>
        <v/>
      </c>
      <c r="W5042" s="16" t="str">
        <f>IFERROR(__xludf.DUMMYFUNCTION("""COMPUTED_VALUE"""),"")</f>
        <v/>
      </c>
      <c r="X5042" s="16" t="str">
        <f>IFERROR(__xludf.DUMMYFUNCTION("""COMPUTED_VALUE"""),"")</f>
        <v/>
      </c>
      <c r="AC5042" s="16" t="str">
        <f>IFERROR(__xludf.DUMMYFUNCTION("""COMPUTED_VALUE"""),"")</f>
        <v/>
      </c>
    </row>
    <row r="5043">
      <c r="A5043" s="16" t="s">
        <v>87</v>
      </c>
      <c r="E5043" s="16" t="str">
        <f>IFERROR(__xludf.DUMMYFUNCTION("""COMPUTED_VALUE"""),"")</f>
        <v/>
      </c>
      <c r="G5043" s="18"/>
      <c r="H5043" s="16" t="s">
        <v>87</v>
      </c>
      <c r="I5043" s="16" t="s">
        <v>87</v>
      </c>
      <c r="J5043" s="19"/>
      <c r="L5043" s="16" t="str">
        <f>IFERROR(__xludf.DUMMYFUNCTION("""COMPUTED_VALUE"""),"")</f>
        <v/>
      </c>
      <c r="M5043" s="16" t="str">
        <f>IFERROR(__xludf.DUMMYFUNCTION("""COMPUTED_VALUE"""),"")</f>
        <v/>
      </c>
      <c r="U5043" s="16" t="s">
        <v>87</v>
      </c>
      <c r="V5043" s="16" t="str">
        <f>IFERROR(__xludf.DUMMYFUNCTION("""COMPUTED_VALUE"""),"")</f>
        <v/>
      </c>
      <c r="W5043" s="16" t="str">
        <f>IFERROR(__xludf.DUMMYFUNCTION("""COMPUTED_VALUE"""),"")</f>
        <v/>
      </c>
      <c r="X5043" s="16" t="str">
        <f>IFERROR(__xludf.DUMMYFUNCTION("""COMPUTED_VALUE"""),"")</f>
        <v/>
      </c>
      <c r="AC5043" s="16" t="str">
        <f>IFERROR(__xludf.DUMMYFUNCTION("""COMPUTED_VALUE"""),"")</f>
        <v/>
      </c>
    </row>
    <row r="5044">
      <c r="A5044" s="16" t="s">
        <v>87</v>
      </c>
      <c r="E5044" s="16" t="str">
        <f>IFERROR(__xludf.DUMMYFUNCTION("""COMPUTED_VALUE"""),"")</f>
        <v/>
      </c>
      <c r="G5044" s="18"/>
      <c r="H5044" s="16" t="s">
        <v>87</v>
      </c>
      <c r="I5044" s="16" t="s">
        <v>87</v>
      </c>
      <c r="J5044" s="19"/>
      <c r="L5044" s="16" t="str">
        <f>IFERROR(__xludf.DUMMYFUNCTION("""COMPUTED_VALUE"""),"")</f>
        <v/>
      </c>
      <c r="M5044" s="16" t="str">
        <f>IFERROR(__xludf.DUMMYFUNCTION("""COMPUTED_VALUE"""),"")</f>
        <v/>
      </c>
      <c r="U5044" s="16" t="s">
        <v>87</v>
      </c>
      <c r="V5044" s="16" t="str">
        <f>IFERROR(__xludf.DUMMYFUNCTION("""COMPUTED_VALUE"""),"")</f>
        <v/>
      </c>
      <c r="W5044" s="16" t="str">
        <f>IFERROR(__xludf.DUMMYFUNCTION("""COMPUTED_VALUE"""),"")</f>
        <v/>
      </c>
      <c r="X5044" s="16" t="str">
        <f>IFERROR(__xludf.DUMMYFUNCTION("""COMPUTED_VALUE"""),"")</f>
        <v/>
      </c>
      <c r="AC5044" s="16" t="str">
        <f>IFERROR(__xludf.DUMMYFUNCTION("""COMPUTED_VALUE"""),"")</f>
        <v/>
      </c>
    </row>
    <row r="5045">
      <c r="A5045" s="16" t="s">
        <v>87</v>
      </c>
      <c r="E5045" s="16" t="str">
        <f>IFERROR(__xludf.DUMMYFUNCTION("""COMPUTED_VALUE"""),"")</f>
        <v/>
      </c>
      <c r="G5045" s="18"/>
      <c r="H5045" s="16" t="s">
        <v>87</v>
      </c>
      <c r="I5045" s="16" t="s">
        <v>87</v>
      </c>
      <c r="J5045" s="19"/>
      <c r="L5045" s="16" t="str">
        <f>IFERROR(__xludf.DUMMYFUNCTION("""COMPUTED_VALUE"""),"")</f>
        <v/>
      </c>
      <c r="M5045" s="16" t="str">
        <f>IFERROR(__xludf.DUMMYFUNCTION("""COMPUTED_VALUE"""),"")</f>
        <v/>
      </c>
      <c r="U5045" s="16" t="s">
        <v>87</v>
      </c>
      <c r="V5045" s="16" t="str">
        <f>IFERROR(__xludf.DUMMYFUNCTION("""COMPUTED_VALUE"""),"")</f>
        <v/>
      </c>
      <c r="W5045" s="16" t="str">
        <f>IFERROR(__xludf.DUMMYFUNCTION("""COMPUTED_VALUE"""),"")</f>
        <v/>
      </c>
      <c r="X5045" s="16" t="str">
        <f>IFERROR(__xludf.DUMMYFUNCTION("""COMPUTED_VALUE"""),"")</f>
        <v/>
      </c>
      <c r="AC5045" s="16" t="str">
        <f>IFERROR(__xludf.DUMMYFUNCTION("""COMPUTED_VALUE"""),"")</f>
        <v/>
      </c>
    </row>
    <row r="5046">
      <c r="A5046" s="16" t="s">
        <v>87</v>
      </c>
      <c r="E5046" s="16" t="str">
        <f>IFERROR(__xludf.DUMMYFUNCTION("""COMPUTED_VALUE"""),"")</f>
        <v/>
      </c>
      <c r="G5046" s="18"/>
      <c r="H5046" s="16" t="s">
        <v>87</v>
      </c>
      <c r="I5046" s="16" t="s">
        <v>87</v>
      </c>
      <c r="J5046" s="19"/>
      <c r="L5046" s="16" t="str">
        <f>IFERROR(__xludf.DUMMYFUNCTION("""COMPUTED_VALUE"""),"")</f>
        <v/>
      </c>
      <c r="M5046" s="16" t="str">
        <f>IFERROR(__xludf.DUMMYFUNCTION("""COMPUTED_VALUE"""),"")</f>
        <v/>
      </c>
      <c r="U5046" s="16" t="s">
        <v>87</v>
      </c>
      <c r="V5046" s="16" t="str">
        <f>IFERROR(__xludf.DUMMYFUNCTION("""COMPUTED_VALUE"""),"")</f>
        <v/>
      </c>
      <c r="W5046" s="16" t="str">
        <f>IFERROR(__xludf.DUMMYFUNCTION("""COMPUTED_VALUE"""),"")</f>
        <v/>
      </c>
      <c r="X5046" s="16" t="str">
        <f>IFERROR(__xludf.DUMMYFUNCTION("""COMPUTED_VALUE"""),"")</f>
        <v/>
      </c>
      <c r="AC5046" s="16" t="str">
        <f>IFERROR(__xludf.DUMMYFUNCTION("""COMPUTED_VALUE"""),"")</f>
        <v/>
      </c>
    </row>
    <row r="5047">
      <c r="A5047" s="16" t="s">
        <v>87</v>
      </c>
      <c r="E5047" s="16" t="str">
        <f>IFERROR(__xludf.DUMMYFUNCTION("""COMPUTED_VALUE"""),"")</f>
        <v/>
      </c>
      <c r="G5047" s="18"/>
      <c r="H5047" s="16" t="s">
        <v>87</v>
      </c>
      <c r="I5047" s="16" t="s">
        <v>87</v>
      </c>
      <c r="J5047" s="19"/>
      <c r="L5047" s="16" t="str">
        <f>IFERROR(__xludf.DUMMYFUNCTION("""COMPUTED_VALUE"""),"")</f>
        <v/>
      </c>
      <c r="M5047" s="16" t="str">
        <f>IFERROR(__xludf.DUMMYFUNCTION("""COMPUTED_VALUE"""),"")</f>
        <v/>
      </c>
      <c r="U5047" s="16" t="s">
        <v>87</v>
      </c>
      <c r="V5047" s="16" t="str">
        <f>IFERROR(__xludf.DUMMYFUNCTION("""COMPUTED_VALUE"""),"")</f>
        <v/>
      </c>
      <c r="W5047" s="16" t="str">
        <f>IFERROR(__xludf.DUMMYFUNCTION("""COMPUTED_VALUE"""),"")</f>
        <v/>
      </c>
      <c r="X5047" s="16" t="str">
        <f>IFERROR(__xludf.DUMMYFUNCTION("""COMPUTED_VALUE"""),"")</f>
        <v/>
      </c>
      <c r="AC5047" s="16" t="str">
        <f>IFERROR(__xludf.DUMMYFUNCTION("""COMPUTED_VALUE"""),"")</f>
        <v/>
      </c>
    </row>
    <row r="5048">
      <c r="A5048" s="16" t="s">
        <v>87</v>
      </c>
      <c r="E5048" s="16" t="str">
        <f>IFERROR(__xludf.DUMMYFUNCTION("""COMPUTED_VALUE"""),"")</f>
        <v/>
      </c>
      <c r="G5048" s="18"/>
      <c r="H5048" s="16" t="s">
        <v>87</v>
      </c>
      <c r="I5048" s="16" t="s">
        <v>87</v>
      </c>
      <c r="J5048" s="19"/>
      <c r="L5048" s="16" t="str">
        <f>IFERROR(__xludf.DUMMYFUNCTION("""COMPUTED_VALUE"""),"")</f>
        <v/>
      </c>
      <c r="M5048" s="16" t="str">
        <f>IFERROR(__xludf.DUMMYFUNCTION("""COMPUTED_VALUE"""),"")</f>
        <v/>
      </c>
      <c r="U5048" s="16" t="s">
        <v>87</v>
      </c>
      <c r="V5048" s="16" t="str">
        <f>IFERROR(__xludf.DUMMYFUNCTION("""COMPUTED_VALUE"""),"")</f>
        <v/>
      </c>
      <c r="W5048" s="16" t="str">
        <f>IFERROR(__xludf.DUMMYFUNCTION("""COMPUTED_VALUE"""),"")</f>
        <v/>
      </c>
      <c r="X5048" s="16" t="str">
        <f>IFERROR(__xludf.DUMMYFUNCTION("""COMPUTED_VALUE"""),"")</f>
        <v/>
      </c>
      <c r="AC5048" s="16" t="str">
        <f>IFERROR(__xludf.DUMMYFUNCTION("""COMPUTED_VALUE"""),"")</f>
        <v/>
      </c>
    </row>
    <row r="5049">
      <c r="A5049" s="16" t="s">
        <v>87</v>
      </c>
      <c r="E5049" s="16" t="str">
        <f>IFERROR(__xludf.DUMMYFUNCTION("""COMPUTED_VALUE"""),"")</f>
        <v/>
      </c>
      <c r="G5049" s="18"/>
      <c r="H5049" s="16" t="s">
        <v>87</v>
      </c>
      <c r="I5049" s="16" t="s">
        <v>87</v>
      </c>
      <c r="J5049" s="19"/>
      <c r="L5049" s="16" t="str">
        <f>IFERROR(__xludf.DUMMYFUNCTION("""COMPUTED_VALUE"""),"")</f>
        <v/>
      </c>
      <c r="M5049" s="16" t="str">
        <f>IFERROR(__xludf.DUMMYFUNCTION("""COMPUTED_VALUE"""),"")</f>
        <v/>
      </c>
      <c r="U5049" s="16" t="s">
        <v>87</v>
      </c>
      <c r="V5049" s="16" t="str">
        <f>IFERROR(__xludf.DUMMYFUNCTION("""COMPUTED_VALUE"""),"")</f>
        <v/>
      </c>
      <c r="W5049" s="16" t="str">
        <f>IFERROR(__xludf.DUMMYFUNCTION("""COMPUTED_VALUE"""),"")</f>
        <v/>
      </c>
      <c r="X5049" s="16" t="str">
        <f>IFERROR(__xludf.DUMMYFUNCTION("""COMPUTED_VALUE"""),"")</f>
        <v/>
      </c>
      <c r="AC5049" s="16" t="str">
        <f>IFERROR(__xludf.DUMMYFUNCTION("""COMPUTED_VALUE"""),"")</f>
        <v/>
      </c>
    </row>
    <row r="5050">
      <c r="A5050" s="16" t="s">
        <v>87</v>
      </c>
      <c r="E5050" s="16" t="str">
        <f>IFERROR(__xludf.DUMMYFUNCTION("""COMPUTED_VALUE"""),"")</f>
        <v/>
      </c>
      <c r="G5050" s="18"/>
      <c r="H5050" s="16" t="s">
        <v>87</v>
      </c>
      <c r="I5050" s="16" t="s">
        <v>87</v>
      </c>
      <c r="J5050" s="19"/>
      <c r="L5050" s="16" t="str">
        <f>IFERROR(__xludf.DUMMYFUNCTION("""COMPUTED_VALUE"""),"")</f>
        <v/>
      </c>
      <c r="M5050" s="16" t="str">
        <f>IFERROR(__xludf.DUMMYFUNCTION("""COMPUTED_VALUE"""),"")</f>
        <v/>
      </c>
      <c r="U5050" s="16" t="s">
        <v>87</v>
      </c>
      <c r="V5050" s="16" t="str">
        <f>IFERROR(__xludf.DUMMYFUNCTION("""COMPUTED_VALUE"""),"")</f>
        <v/>
      </c>
      <c r="W5050" s="16" t="str">
        <f>IFERROR(__xludf.DUMMYFUNCTION("""COMPUTED_VALUE"""),"")</f>
        <v/>
      </c>
      <c r="X5050" s="16" t="str">
        <f>IFERROR(__xludf.DUMMYFUNCTION("""COMPUTED_VALUE"""),"")</f>
        <v/>
      </c>
      <c r="AC5050" s="16" t="str">
        <f>IFERROR(__xludf.DUMMYFUNCTION("""COMPUTED_VALUE"""),"")</f>
        <v/>
      </c>
    </row>
    <row r="5051">
      <c r="A5051" s="16" t="s">
        <v>87</v>
      </c>
      <c r="E5051" s="16" t="str">
        <f>IFERROR(__xludf.DUMMYFUNCTION("""COMPUTED_VALUE"""),"")</f>
        <v/>
      </c>
      <c r="G5051" s="18"/>
      <c r="H5051" s="16" t="s">
        <v>87</v>
      </c>
      <c r="I5051" s="16" t="s">
        <v>87</v>
      </c>
      <c r="J5051" s="19"/>
      <c r="L5051" s="16" t="str">
        <f>IFERROR(__xludf.DUMMYFUNCTION("""COMPUTED_VALUE"""),"")</f>
        <v/>
      </c>
      <c r="M5051" s="16" t="str">
        <f>IFERROR(__xludf.DUMMYFUNCTION("""COMPUTED_VALUE"""),"")</f>
        <v/>
      </c>
      <c r="U5051" s="16" t="s">
        <v>87</v>
      </c>
      <c r="V5051" s="16" t="str">
        <f>IFERROR(__xludf.DUMMYFUNCTION("""COMPUTED_VALUE"""),"")</f>
        <v/>
      </c>
      <c r="W5051" s="16" t="str">
        <f>IFERROR(__xludf.DUMMYFUNCTION("""COMPUTED_VALUE"""),"")</f>
        <v/>
      </c>
      <c r="X5051" s="16" t="str">
        <f>IFERROR(__xludf.DUMMYFUNCTION("""COMPUTED_VALUE"""),"")</f>
        <v/>
      </c>
      <c r="AC5051" s="16" t="str">
        <f>IFERROR(__xludf.DUMMYFUNCTION("""COMPUTED_VALUE"""),"")</f>
        <v/>
      </c>
    </row>
    <row r="5052">
      <c r="A5052" s="16" t="s">
        <v>87</v>
      </c>
      <c r="E5052" s="16" t="str">
        <f>IFERROR(__xludf.DUMMYFUNCTION("""COMPUTED_VALUE"""),"")</f>
        <v/>
      </c>
      <c r="G5052" s="18"/>
      <c r="H5052" s="16" t="s">
        <v>87</v>
      </c>
      <c r="I5052" s="16" t="s">
        <v>87</v>
      </c>
      <c r="J5052" s="19"/>
      <c r="L5052" s="16" t="str">
        <f>IFERROR(__xludf.DUMMYFUNCTION("""COMPUTED_VALUE"""),"")</f>
        <v/>
      </c>
      <c r="M5052" s="16" t="str">
        <f>IFERROR(__xludf.DUMMYFUNCTION("""COMPUTED_VALUE"""),"")</f>
        <v/>
      </c>
      <c r="U5052" s="16" t="s">
        <v>87</v>
      </c>
      <c r="V5052" s="16" t="str">
        <f>IFERROR(__xludf.DUMMYFUNCTION("""COMPUTED_VALUE"""),"")</f>
        <v/>
      </c>
      <c r="W5052" s="16" t="str">
        <f>IFERROR(__xludf.DUMMYFUNCTION("""COMPUTED_VALUE"""),"")</f>
        <v/>
      </c>
      <c r="X5052" s="16" t="str">
        <f>IFERROR(__xludf.DUMMYFUNCTION("""COMPUTED_VALUE"""),"")</f>
        <v/>
      </c>
      <c r="AC5052" s="16" t="str">
        <f>IFERROR(__xludf.DUMMYFUNCTION("""COMPUTED_VALUE"""),"")</f>
        <v/>
      </c>
    </row>
    <row r="5053">
      <c r="A5053" s="16" t="s">
        <v>87</v>
      </c>
      <c r="E5053" s="16" t="str">
        <f>IFERROR(__xludf.DUMMYFUNCTION("""COMPUTED_VALUE"""),"")</f>
        <v/>
      </c>
      <c r="G5053" s="18"/>
      <c r="H5053" s="16" t="s">
        <v>87</v>
      </c>
      <c r="I5053" s="16" t="s">
        <v>87</v>
      </c>
      <c r="J5053" s="19"/>
      <c r="L5053" s="16" t="str">
        <f>IFERROR(__xludf.DUMMYFUNCTION("""COMPUTED_VALUE"""),"")</f>
        <v/>
      </c>
      <c r="M5053" s="16" t="str">
        <f>IFERROR(__xludf.DUMMYFUNCTION("""COMPUTED_VALUE"""),"")</f>
        <v/>
      </c>
      <c r="U5053" s="16" t="s">
        <v>87</v>
      </c>
      <c r="V5053" s="16" t="str">
        <f>IFERROR(__xludf.DUMMYFUNCTION("""COMPUTED_VALUE"""),"")</f>
        <v/>
      </c>
      <c r="W5053" s="16" t="str">
        <f>IFERROR(__xludf.DUMMYFUNCTION("""COMPUTED_VALUE"""),"")</f>
        <v/>
      </c>
      <c r="X5053" s="16" t="str">
        <f>IFERROR(__xludf.DUMMYFUNCTION("""COMPUTED_VALUE"""),"")</f>
        <v/>
      </c>
      <c r="AC5053" s="16" t="str">
        <f>IFERROR(__xludf.DUMMYFUNCTION("""COMPUTED_VALUE"""),"")</f>
        <v/>
      </c>
    </row>
    <row r="5054">
      <c r="A5054" s="16" t="s">
        <v>87</v>
      </c>
      <c r="E5054" s="16" t="str">
        <f>IFERROR(__xludf.DUMMYFUNCTION("""COMPUTED_VALUE"""),"")</f>
        <v/>
      </c>
      <c r="G5054" s="18"/>
      <c r="H5054" s="16" t="s">
        <v>87</v>
      </c>
      <c r="I5054" s="16" t="s">
        <v>87</v>
      </c>
      <c r="J5054" s="19"/>
      <c r="L5054" s="16" t="str">
        <f>IFERROR(__xludf.DUMMYFUNCTION("""COMPUTED_VALUE"""),"")</f>
        <v/>
      </c>
      <c r="M5054" s="16" t="str">
        <f>IFERROR(__xludf.DUMMYFUNCTION("""COMPUTED_VALUE"""),"")</f>
        <v/>
      </c>
      <c r="U5054" s="16" t="s">
        <v>87</v>
      </c>
      <c r="V5054" s="16" t="str">
        <f>IFERROR(__xludf.DUMMYFUNCTION("""COMPUTED_VALUE"""),"")</f>
        <v/>
      </c>
      <c r="W5054" s="16" t="str">
        <f>IFERROR(__xludf.DUMMYFUNCTION("""COMPUTED_VALUE"""),"")</f>
        <v/>
      </c>
      <c r="X5054" s="16" t="str">
        <f>IFERROR(__xludf.DUMMYFUNCTION("""COMPUTED_VALUE"""),"")</f>
        <v/>
      </c>
      <c r="AC5054" s="16" t="str">
        <f>IFERROR(__xludf.DUMMYFUNCTION("""COMPUTED_VALUE"""),"")</f>
        <v/>
      </c>
    </row>
    <row r="5055">
      <c r="A5055" s="16" t="s">
        <v>87</v>
      </c>
      <c r="E5055" s="16" t="str">
        <f>IFERROR(__xludf.DUMMYFUNCTION("""COMPUTED_VALUE"""),"")</f>
        <v/>
      </c>
      <c r="G5055" s="18"/>
      <c r="H5055" s="16" t="s">
        <v>87</v>
      </c>
      <c r="I5055" s="16" t="s">
        <v>87</v>
      </c>
      <c r="J5055" s="19"/>
      <c r="L5055" s="16" t="str">
        <f>IFERROR(__xludf.DUMMYFUNCTION("""COMPUTED_VALUE"""),"")</f>
        <v/>
      </c>
      <c r="M5055" s="16" t="str">
        <f>IFERROR(__xludf.DUMMYFUNCTION("""COMPUTED_VALUE"""),"")</f>
        <v/>
      </c>
      <c r="U5055" s="16" t="s">
        <v>87</v>
      </c>
      <c r="V5055" s="16" t="str">
        <f>IFERROR(__xludf.DUMMYFUNCTION("""COMPUTED_VALUE"""),"")</f>
        <v/>
      </c>
      <c r="W5055" s="16" t="str">
        <f>IFERROR(__xludf.DUMMYFUNCTION("""COMPUTED_VALUE"""),"")</f>
        <v/>
      </c>
      <c r="X5055" s="16" t="str">
        <f>IFERROR(__xludf.DUMMYFUNCTION("""COMPUTED_VALUE"""),"")</f>
        <v/>
      </c>
      <c r="AC5055" s="16" t="str">
        <f>IFERROR(__xludf.DUMMYFUNCTION("""COMPUTED_VALUE"""),"")</f>
        <v/>
      </c>
    </row>
    <row r="5056">
      <c r="A5056" s="16" t="s">
        <v>87</v>
      </c>
      <c r="E5056" s="16" t="str">
        <f>IFERROR(__xludf.DUMMYFUNCTION("""COMPUTED_VALUE"""),"")</f>
        <v/>
      </c>
      <c r="G5056" s="18"/>
      <c r="H5056" s="16" t="s">
        <v>87</v>
      </c>
      <c r="I5056" s="16" t="s">
        <v>87</v>
      </c>
      <c r="J5056" s="19"/>
      <c r="L5056" s="16" t="str">
        <f>IFERROR(__xludf.DUMMYFUNCTION("""COMPUTED_VALUE"""),"")</f>
        <v/>
      </c>
      <c r="M5056" s="16" t="str">
        <f>IFERROR(__xludf.DUMMYFUNCTION("""COMPUTED_VALUE"""),"")</f>
        <v/>
      </c>
      <c r="U5056" s="16" t="s">
        <v>87</v>
      </c>
      <c r="V5056" s="16" t="str">
        <f>IFERROR(__xludf.DUMMYFUNCTION("""COMPUTED_VALUE"""),"")</f>
        <v/>
      </c>
      <c r="W5056" s="16" t="str">
        <f>IFERROR(__xludf.DUMMYFUNCTION("""COMPUTED_VALUE"""),"")</f>
        <v/>
      </c>
      <c r="X5056" s="16" t="str">
        <f>IFERROR(__xludf.DUMMYFUNCTION("""COMPUTED_VALUE"""),"")</f>
        <v/>
      </c>
      <c r="AC5056" s="16" t="str">
        <f>IFERROR(__xludf.DUMMYFUNCTION("""COMPUTED_VALUE"""),"")</f>
        <v/>
      </c>
    </row>
    <row r="5057">
      <c r="A5057" s="16" t="s">
        <v>87</v>
      </c>
      <c r="E5057" s="16" t="str">
        <f>IFERROR(__xludf.DUMMYFUNCTION("""COMPUTED_VALUE"""),"")</f>
        <v/>
      </c>
      <c r="G5057" s="18"/>
      <c r="H5057" s="16" t="s">
        <v>87</v>
      </c>
      <c r="I5057" s="16" t="s">
        <v>87</v>
      </c>
      <c r="J5057" s="19"/>
      <c r="L5057" s="16" t="str">
        <f>IFERROR(__xludf.DUMMYFUNCTION("""COMPUTED_VALUE"""),"")</f>
        <v/>
      </c>
      <c r="M5057" s="16" t="str">
        <f>IFERROR(__xludf.DUMMYFUNCTION("""COMPUTED_VALUE"""),"")</f>
        <v/>
      </c>
      <c r="U5057" s="16" t="s">
        <v>87</v>
      </c>
      <c r="V5057" s="16" t="str">
        <f>IFERROR(__xludf.DUMMYFUNCTION("""COMPUTED_VALUE"""),"")</f>
        <v/>
      </c>
      <c r="W5057" s="16" t="str">
        <f>IFERROR(__xludf.DUMMYFUNCTION("""COMPUTED_VALUE"""),"")</f>
        <v/>
      </c>
      <c r="X5057" s="16" t="str">
        <f>IFERROR(__xludf.DUMMYFUNCTION("""COMPUTED_VALUE"""),"")</f>
        <v/>
      </c>
      <c r="AC5057" s="16" t="str">
        <f>IFERROR(__xludf.DUMMYFUNCTION("""COMPUTED_VALUE"""),"")</f>
        <v/>
      </c>
    </row>
    <row r="5058">
      <c r="A5058" s="16" t="s">
        <v>87</v>
      </c>
      <c r="E5058" s="16" t="str">
        <f>IFERROR(__xludf.DUMMYFUNCTION("""COMPUTED_VALUE"""),"")</f>
        <v/>
      </c>
      <c r="G5058" s="18"/>
      <c r="H5058" s="16" t="s">
        <v>87</v>
      </c>
      <c r="I5058" s="16" t="s">
        <v>87</v>
      </c>
      <c r="J5058" s="19"/>
      <c r="L5058" s="16" t="str">
        <f>IFERROR(__xludf.DUMMYFUNCTION("""COMPUTED_VALUE"""),"")</f>
        <v/>
      </c>
      <c r="M5058" s="16" t="str">
        <f>IFERROR(__xludf.DUMMYFUNCTION("""COMPUTED_VALUE"""),"")</f>
        <v/>
      </c>
      <c r="U5058" s="16" t="s">
        <v>87</v>
      </c>
      <c r="V5058" s="16" t="str">
        <f>IFERROR(__xludf.DUMMYFUNCTION("""COMPUTED_VALUE"""),"")</f>
        <v/>
      </c>
      <c r="W5058" s="16" t="str">
        <f>IFERROR(__xludf.DUMMYFUNCTION("""COMPUTED_VALUE"""),"")</f>
        <v/>
      </c>
      <c r="X5058" s="16" t="str">
        <f>IFERROR(__xludf.DUMMYFUNCTION("""COMPUTED_VALUE"""),"")</f>
        <v/>
      </c>
      <c r="AC5058" s="16" t="str">
        <f>IFERROR(__xludf.DUMMYFUNCTION("""COMPUTED_VALUE"""),"")</f>
        <v/>
      </c>
    </row>
    <row r="5059">
      <c r="A5059" s="16" t="s">
        <v>87</v>
      </c>
      <c r="E5059" s="16" t="str">
        <f>IFERROR(__xludf.DUMMYFUNCTION("""COMPUTED_VALUE"""),"")</f>
        <v/>
      </c>
      <c r="G5059" s="18"/>
      <c r="H5059" s="16" t="s">
        <v>87</v>
      </c>
      <c r="I5059" s="16" t="s">
        <v>87</v>
      </c>
      <c r="J5059" s="19"/>
      <c r="L5059" s="16" t="str">
        <f>IFERROR(__xludf.DUMMYFUNCTION("""COMPUTED_VALUE"""),"")</f>
        <v/>
      </c>
      <c r="M5059" s="16" t="str">
        <f>IFERROR(__xludf.DUMMYFUNCTION("""COMPUTED_VALUE"""),"")</f>
        <v/>
      </c>
      <c r="U5059" s="16" t="s">
        <v>87</v>
      </c>
      <c r="V5059" s="16" t="str">
        <f>IFERROR(__xludf.DUMMYFUNCTION("""COMPUTED_VALUE"""),"")</f>
        <v/>
      </c>
      <c r="W5059" s="16" t="str">
        <f>IFERROR(__xludf.DUMMYFUNCTION("""COMPUTED_VALUE"""),"")</f>
        <v/>
      </c>
      <c r="X5059" s="16" t="str">
        <f>IFERROR(__xludf.DUMMYFUNCTION("""COMPUTED_VALUE"""),"")</f>
        <v/>
      </c>
      <c r="AC5059" s="16" t="str">
        <f>IFERROR(__xludf.DUMMYFUNCTION("""COMPUTED_VALUE"""),"")</f>
        <v/>
      </c>
    </row>
    <row r="5060">
      <c r="A5060" s="16" t="s">
        <v>87</v>
      </c>
      <c r="E5060" s="16" t="str">
        <f>IFERROR(__xludf.DUMMYFUNCTION("""COMPUTED_VALUE"""),"")</f>
        <v/>
      </c>
      <c r="G5060" s="18"/>
      <c r="H5060" s="16" t="s">
        <v>87</v>
      </c>
      <c r="I5060" s="16" t="s">
        <v>87</v>
      </c>
      <c r="J5060" s="19"/>
      <c r="L5060" s="16" t="str">
        <f>IFERROR(__xludf.DUMMYFUNCTION("""COMPUTED_VALUE"""),"")</f>
        <v/>
      </c>
      <c r="M5060" s="16" t="str">
        <f>IFERROR(__xludf.DUMMYFUNCTION("""COMPUTED_VALUE"""),"")</f>
        <v/>
      </c>
      <c r="U5060" s="16" t="s">
        <v>87</v>
      </c>
      <c r="V5060" s="16" t="str">
        <f>IFERROR(__xludf.DUMMYFUNCTION("""COMPUTED_VALUE"""),"")</f>
        <v/>
      </c>
      <c r="W5060" s="16" t="str">
        <f>IFERROR(__xludf.DUMMYFUNCTION("""COMPUTED_VALUE"""),"")</f>
        <v/>
      </c>
      <c r="X5060" s="16" t="str">
        <f>IFERROR(__xludf.DUMMYFUNCTION("""COMPUTED_VALUE"""),"")</f>
        <v/>
      </c>
      <c r="AC5060" s="16" t="str">
        <f>IFERROR(__xludf.DUMMYFUNCTION("""COMPUTED_VALUE"""),"")</f>
        <v/>
      </c>
    </row>
    <row r="5061">
      <c r="A5061" s="16" t="s">
        <v>87</v>
      </c>
      <c r="E5061" s="16" t="str">
        <f>IFERROR(__xludf.DUMMYFUNCTION("""COMPUTED_VALUE"""),"")</f>
        <v/>
      </c>
      <c r="G5061" s="18"/>
      <c r="H5061" s="16" t="s">
        <v>87</v>
      </c>
      <c r="I5061" s="16" t="s">
        <v>87</v>
      </c>
      <c r="J5061" s="19"/>
      <c r="L5061" s="16" t="str">
        <f>IFERROR(__xludf.DUMMYFUNCTION("""COMPUTED_VALUE"""),"")</f>
        <v/>
      </c>
      <c r="M5061" s="16" t="str">
        <f>IFERROR(__xludf.DUMMYFUNCTION("""COMPUTED_VALUE"""),"")</f>
        <v/>
      </c>
      <c r="U5061" s="16" t="s">
        <v>87</v>
      </c>
      <c r="V5061" s="16" t="str">
        <f>IFERROR(__xludf.DUMMYFUNCTION("""COMPUTED_VALUE"""),"")</f>
        <v/>
      </c>
      <c r="W5061" s="16" t="str">
        <f>IFERROR(__xludf.DUMMYFUNCTION("""COMPUTED_VALUE"""),"")</f>
        <v/>
      </c>
      <c r="X5061" s="16" t="str">
        <f>IFERROR(__xludf.DUMMYFUNCTION("""COMPUTED_VALUE"""),"")</f>
        <v/>
      </c>
      <c r="AC5061" s="16" t="str">
        <f>IFERROR(__xludf.DUMMYFUNCTION("""COMPUTED_VALUE"""),"")</f>
        <v/>
      </c>
    </row>
    <row r="5062">
      <c r="A5062" s="16" t="s">
        <v>87</v>
      </c>
      <c r="E5062" s="16" t="str">
        <f>IFERROR(__xludf.DUMMYFUNCTION("""COMPUTED_VALUE"""),"")</f>
        <v/>
      </c>
      <c r="G5062" s="18"/>
      <c r="H5062" s="16" t="s">
        <v>87</v>
      </c>
      <c r="I5062" s="16" t="s">
        <v>87</v>
      </c>
      <c r="J5062" s="19"/>
      <c r="L5062" s="16" t="str">
        <f>IFERROR(__xludf.DUMMYFUNCTION("""COMPUTED_VALUE"""),"")</f>
        <v/>
      </c>
      <c r="M5062" s="16" t="str">
        <f>IFERROR(__xludf.DUMMYFUNCTION("""COMPUTED_VALUE"""),"")</f>
        <v/>
      </c>
      <c r="U5062" s="16" t="s">
        <v>87</v>
      </c>
      <c r="V5062" s="16" t="str">
        <f>IFERROR(__xludf.DUMMYFUNCTION("""COMPUTED_VALUE"""),"")</f>
        <v/>
      </c>
      <c r="W5062" s="16" t="str">
        <f>IFERROR(__xludf.DUMMYFUNCTION("""COMPUTED_VALUE"""),"")</f>
        <v/>
      </c>
      <c r="X5062" s="16" t="str">
        <f>IFERROR(__xludf.DUMMYFUNCTION("""COMPUTED_VALUE"""),"")</f>
        <v/>
      </c>
      <c r="AC5062" s="16" t="str">
        <f>IFERROR(__xludf.DUMMYFUNCTION("""COMPUTED_VALUE"""),"")</f>
        <v/>
      </c>
    </row>
    <row r="5063">
      <c r="A5063" s="16" t="s">
        <v>87</v>
      </c>
      <c r="E5063" s="16" t="str">
        <f>IFERROR(__xludf.DUMMYFUNCTION("""COMPUTED_VALUE"""),"")</f>
        <v/>
      </c>
      <c r="G5063" s="18"/>
      <c r="H5063" s="16" t="s">
        <v>87</v>
      </c>
      <c r="I5063" s="16" t="s">
        <v>87</v>
      </c>
      <c r="J5063" s="19"/>
      <c r="L5063" s="16" t="str">
        <f>IFERROR(__xludf.DUMMYFUNCTION("""COMPUTED_VALUE"""),"")</f>
        <v/>
      </c>
      <c r="M5063" s="16" t="str">
        <f>IFERROR(__xludf.DUMMYFUNCTION("""COMPUTED_VALUE"""),"")</f>
        <v/>
      </c>
      <c r="U5063" s="16" t="s">
        <v>87</v>
      </c>
      <c r="V5063" s="16" t="str">
        <f>IFERROR(__xludf.DUMMYFUNCTION("""COMPUTED_VALUE"""),"")</f>
        <v/>
      </c>
      <c r="W5063" s="16" t="str">
        <f>IFERROR(__xludf.DUMMYFUNCTION("""COMPUTED_VALUE"""),"")</f>
        <v/>
      </c>
      <c r="X5063" s="16" t="str">
        <f>IFERROR(__xludf.DUMMYFUNCTION("""COMPUTED_VALUE"""),"")</f>
        <v/>
      </c>
      <c r="AC5063" s="16" t="str">
        <f>IFERROR(__xludf.DUMMYFUNCTION("""COMPUTED_VALUE"""),"")</f>
        <v/>
      </c>
    </row>
    <row r="5064">
      <c r="A5064" s="16" t="s">
        <v>87</v>
      </c>
      <c r="E5064" s="16" t="str">
        <f>IFERROR(__xludf.DUMMYFUNCTION("""COMPUTED_VALUE"""),"")</f>
        <v/>
      </c>
      <c r="G5064" s="18"/>
      <c r="H5064" s="16" t="s">
        <v>87</v>
      </c>
      <c r="I5064" s="16" t="s">
        <v>87</v>
      </c>
      <c r="J5064" s="19"/>
      <c r="L5064" s="16" t="str">
        <f>IFERROR(__xludf.DUMMYFUNCTION("""COMPUTED_VALUE"""),"")</f>
        <v/>
      </c>
      <c r="M5064" s="16" t="str">
        <f>IFERROR(__xludf.DUMMYFUNCTION("""COMPUTED_VALUE"""),"")</f>
        <v/>
      </c>
      <c r="U5064" s="16" t="s">
        <v>87</v>
      </c>
      <c r="V5064" s="16" t="str">
        <f>IFERROR(__xludf.DUMMYFUNCTION("""COMPUTED_VALUE"""),"")</f>
        <v/>
      </c>
      <c r="W5064" s="16" t="str">
        <f>IFERROR(__xludf.DUMMYFUNCTION("""COMPUTED_VALUE"""),"")</f>
        <v/>
      </c>
      <c r="X5064" s="16" t="str">
        <f>IFERROR(__xludf.DUMMYFUNCTION("""COMPUTED_VALUE"""),"")</f>
        <v/>
      </c>
      <c r="AC5064" s="16" t="str">
        <f>IFERROR(__xludf.DUMMYFUNCTION("""COMPUTED_VALUE"""),"")</f>
        <v/>
      </c>
    </row>
    <row r="5065">
      <c r="A5065" s="16" t="s">
        <v>87</v>
      </c>
      <c r="E5065" s="16" t="str">
        <f>IFERROR(__xludf.DUMMYFUNCTION("""COMPUTED_VALUE"""),"")</f>
        <v/>
      </c>
      <c r="G5065" s="18"/>
      <c r="H5065" s="16" t="s">
        <v>87</v>
      </c>
      <c r="I5065" s="16" t="s">
        <v>87</v>
      </c>
      <c r="J5065" s="19"/>
      <c r="L5065" s="16" t="str">
        <f>IFERROR(__xludf.DUMMYFUNCTION("""COMPUTED_VALUE"""),"")</f>
        <v/>
      </c>
      <c r="M5065" s="16" t="str">
        <f>IFERROR(__xludf.DUMMYFUNCTION("""COMPUTED_VALUE"""),"")</f>
        <v/>
      </c>
      <c r="U5065" s="16" t="s">
        <v>87</v>
      </c>
      <c r="V5065" s="16" t="str">
        <f>IFERROR(__xludf.DUMMYFUNCTION("""COMPUTED_VALUE"""),"")</f>
        <v/>
      </c>
      <c r="W5065" s="16" t="str">
        <f>IFERROR(__xludf.DUMMYFUNCTION("""COMPUTED_VALUE"""),"")</f>
        <v/>
      </c>
      <c r="X5065" s="16" t="str">
        <f>IFERROR(__xludf.DUMMYFUNCTION("""COMPUTED_VALUE"""),"")</f>
        <v/>
      </c>
      <c r="AC5065" s="16" t="str">
        <f>IFERROR(__xludf.DUMMYFUNCTION("""COMPUTED_VALUE"""),"")</f>
        <v/>
      </c>
    </row>
    <row r="5066">
      <c r="A5066" s="16" t="s">
        <v>87</v>
      </c>
      <c r="E5066" s="16" t="str">
        <f>IFERROR(__xludf.DUMMYFUNCTION("""COMPUTED_VALUE"""),"")</f>
        <v/>
      </c>
      <c r="G5066" s="18"/>
      <c r="H5066" s="16" t="s">
        <v>87</v>
      </c>
      <c r="I5066" s="16" t="s">
        <v>87</v>
      </c>
      <c r="J5066" s="19"/>
      <c r="L5066" s="16" t="str">
        <f>IFERROR(__xludf.DUMMYFUNCTION("""COMPUTED_VALUE"""),"")</f>
        <v/>
      </c>
      <c r="M5066" s="16" t="str">
        <f>IFERROR(__xludf.DUMMYFUNCTION("""COMPUTED_VALUE"""),"")</f>
        <v/>
      </c>
      <c r="U5066" s="16" t="s">
        <v>87</v>
      </c>
      <c r="V5066" s="16" t="str">
        <f>IFERROR(__xludf.DUMMYFUNCTION("""COMPUTED_VALUE"""),"")</f>
        <v/>
      </c>
      <c r="W5066" s="16" t="str">
        <f>IFERROR(__xludf.DUMMYFUNCTION("""COMPUTED_VALUE"""),"")</f>
        <v/>
      </c>
      <c r="X5066" s="16" t="str">
        <f>IFERROR(__xludf.DUMMYFUNCTION("""COMPUTED_VALUE"""),"")</f>
        <v/>
      </c>
      <c r="AC5066" s="16" t="str">
        <f>IFERROR(__xludf.DUMMYFUNCTION("""COMPUTED_VALUE"""),"")</f>
        <v/>
      </c>
    </row>
    <row r="5067">
      <c r="A5067" s="16" t="s">
        <v>87</v>
      </c>
      <c r="E5067" s="16" t="str">
        <f>IFERROR(__xludf.DUMMYFUNCTION("""COMPUTED_VALUE"""),"")</f>
        <v/>
      </c>
      <c r="G5067" s="18"/>
      <c r="H5067" s="16" t="s">
        <v>87</v>
      </c>
      <c r="I5067" s="16" t="s">
        <v>87</v>
      </c>
      <c r="J5067" s="19"/>
      <c r="L5067" s="16" t="str">
        <f>IFERROR(__xludf.DUMMYFUNCTION("""COMPUTED_VALUE"""),"")</f>
        <v/>
      </c>
      <c r="M5067" s="16" t="str">
        <f>IFERROR(__xludf.DUMMYFUNCTION("""COMPUTED_VALUE"""),"")</f>
        <v/>
      </c>
      <c r="U5067" s="16" t="s">
        <v>87</v>
      </c>
      <c r="V5067" s="16" t="str">
        <f>IFERROR(__xludf.DUMMYFUNCTION("""COMPUTED_VALUE"""),"")</f>
        <v/>
      </c>
      <c r="W5067" s="16" t="str">
        <f>IFERROR(__xludf.DUMMYFUNCTION("""COMPUTED_VALUE"""),"")</f>
        <v/>
      </c>
      <c r="X5067" s="16" t="str">
        <f>IFERROR(__xludf.DUMMYFUNCTION("""COMPUTED_VALUE"""),"")</f>
        <v/>
      </c>
      <c r="AC5067" s="16" t="str">
        <f>IFERROR(__xludf.DUMMYFUNCTION("""COMPUTED_VALUE"""),"")</f>
        <v/>
      </c>
    </row>
    <row r="5068">
      <c r="A5068" s="16" t="s">
        <v>87</v>
      </c>
      <c r="E5068" s="16" t="str">
        <f>IFERROR(__xludf.DUMMYFUNCTION("""COMPUTED_VALUE"""),"")</f>
        <v/>
      </c>
      <c r="G5068" s="18"/>
      <c r="H5068" s="16" t="s">
        <v>87</v>
      </c>
      <c r="I5068" s="16" t="s">
        <v>87</v>
      </c>
      <c r="J5068" s="19"/>
      <c r="L5068" s="16" t="str">
        <f>IFERROR(__xludf.DUMMYFUNCTION("""COMPUTED_VALUE"""),"")</f>
        <v/>
      </c>
      <c r="M5068" s="16" t="str">
        <f>IFERROR(__xludf.DUMMYFUNCTION("""COMPUTED_VALUE"""),"")</f>
        <v/>
      </c>
      <c r="U5068" s="16" t="s">
        <v>87</v>
      </c>
      <c r="V5068" s="16" t="str">
        <f>IFERROR(__xludf.DUMMYFUNCTION("""COMPUTED_VALUE"""),"")</f>
        <v/>
      </c>
      <c r="W5068" s="16" t="str">
        <f>IFERROR(__xludf.DUMMYFUNCTION("""COMPUTED_VALUE"""),"")</f>
        <v/>
      </c>
      <c r="X5068" s="16" t="str">
        <f>IFERROR(__xludf.DUMMYFUNCTION("""COMPUTED_VALUE"""),"")</f>
        <v/>
      </c>
      <c r="AC5068" s="16" t="str">
        <f>IFERROR(__xludf.DUMMYFUNCTION("""COMPUTED_VALUE"""),"")</f>
        <v/>
      </c>
    </row>
    <row r="5069">
      <c r="A5069" s="16" t="s">
        <v>87</v>
      </c>
      <c r="E5069" s="16" t="str">
        <f>IFERROR(__xludf.DUMMYFUNCTION("""COMPUTED_VALUE"""),"")</f>
        <v/>
      </c>
      <c r="G5069" s="18"/>
      <c r="H5069" s="16" t="s">
        <v>87</v>
      </c>
      <c r="I5069" s="16" t="s">
        <v>87</v>
      </c>
      <c r="J5069" s="19"/>
      <c r="L5069" s="16" t="str">
        <f>IFERROR(__xludf.DUMMYFUNCTION("""COMPUTED_VALUE"""),"")</f>
        <v/>
      </c>
      <c r="M5069" s="16" t="str">
        <f>IFERROR(__xludf.DUMMYFUNCTION("""COMPUTED_VALUE"""),"")</f>
        <v/>
      </c>
      <c r="U5069" s="16" t="s">
        <v>87</v>
      </c>
      <c r="V5069" s="16" t="str">
        <f>IFERROR(__xludf.DUMMYFUNCTION("""COMPUTED_VALUE"""),"")</f>
        <v/>
      </c>
      <c r="W5069" s="16" t="str">
        <f>IFERROR(__xludf.DUMMYFUNCTION("""COMPUTED_VALUE"""),"")</f>
        <v/>
      </c>
      <c r="X5069" s="16" t="str">
        <f>IFERROR(__xludf.DUMMYFUNCTION("""COMPUTED_VALUE"""),"")</f>
        <v/>
      </c>
      <c r="AC5069" s="16" t="str">
        <f>IFERROR(__xludf.DUMMYFUNCTION("""COMPUTED_VALUE"""),"")</f>
        <v/>
      </c>
    </row>
    <row r="5070">
      <c r="A5070" s="16" t="s">
        <v>87</v>
      </c>
      <c r="E5070" s="16" t="str">
        <f>IFERROR(__xludf.DUMMYFUNCTION("""COMPUTED_VALUE"""),"")</f>
        <v/>
      </c>
      <c r="G5070" s="18"/>
      <c r="H5070" s="16" t="s">
        <v>87</v>
      </c>
      <c r="I5070" s="16" t="s">
        <v>87</v>
      </c>
      <c r="J5070" s="19"/>
      <c r="L5070" s="16" t="str">
        <f>IFERROR(__xludf.DUMMYFUNCTION("""COMPUTED_VALUE"""),"")</f>
        <v/>
      </c>
      <c r="M5070" s="16" t="str">
        <f>IFERROR(__xludf.DUMMYFUNCTION("""COMPUTED_VALUE"""),"")</f>
        <v/>
      </c>
      <c r="U5070" s="16" t="s">
        <v>87</v>
      </c>
      <c r="V5070" s="16" t="str">
        <f>IFERROR(__xludf.DUMMYFUNCTION("""COMPUTED_VALUE"""),"")</f>
        <v/>
      </c>
      <c r="W5070" s="16" t="str">
        <f>IFERROR(__xludf.DUMMYFUNCTION("""COMPUTED_VALUE"""),"")</f>
        <v/>
      </c>
      <c r="X5070" s="16" t="str">
        <f>IFERROR(__xludf.DUMMYFUNCTION("""COMPUTED_VALUE"""),"")</f>
        <v/>
      </c>
      <c r="AC5070" s="16" t="str">
        <f>IFERROR(__xludf.DUMMYFUNCTION("""COMPUTED_VALUE"""),"")</f>
        <v/>
      </c>
    </row>
    <row r="5071">
      <c r="A5071" s="16" t="s">
        <v>87</v>
      </c>
      <c r="E5071" s="16" t="str">
        <f>IFERROR(__xludf.DUMMYFUNCTION("""COMPUTED_VALUE"""),"")</f>
        <v/>
      </c>
      <c r="G5071" s="18"/>
      <c r="H5071" s="16" t="s">
        <v>87</v>
      </c>
      <c r="I5071" s="16" t="s">
        <v>87</v>
      </c>
      <c r="J5071" s="19"/>
      <c r="L5071" s="16" t="str">
        <f>IFERROR(__xludf.DUMMYFUNCTION("""COMPUTED_VALUE"""),"")</f>
        <v/>
      </c>
      <c r="M5071" s="16" t="str">
        <f>IFERROR(__xludf.DUMMYFUNCTION("""COMPUTED_VALUE"""),"")</f>
        <v/>
      </c>
      <c r="U5071" s="16" t="s">
        <v>87</v>
      </c>
      <c r="V5071" s="16" t="str">
        <f>IFERROR(__xludf.DUMMYFUNCTION("""COMPUTED_VALUE"""),"")</f>
        <v/>
      </c>
      <c r="W5071" s="16" t="str">
        <f>IFERROR(__xludf.DUMMYFUNCTION("""COMPUTED_VALUE"""),"")</f>
        <v/>
      </c>
      <c r="X5071" s="16" t="str">
        <f>IFERROR(__xludf.DUMMYFUNCTION("""COMPUTED_VALUE"""),"")</f>
        <v/>
      </c>
      <c r="AC5071" s="16" t="str">
        <f>IFERROR(__xludf.DUMMYFUNCTION("""COMPUTED_VALUE"""),"")</f>
        <v/>
      </c>
    </row>
    <row r="5072">
      <c r="A5072" s="16" t="s">
        <v>87</v>
      </c>
      <c r="E5072" s="16" t="str">
        <f>IFERROR(__xludf.DUMMYFUNCTION("""COMPUTED_VALUE"""),"")</f>
        <v/>
      </c>
      <c r="G5072" s="18"/>
      <c r="H5072" s="16" t="s">
        <v>87</v>
      </c>
      <c r="I5072" s="16" t="s">
        <v>87</v>
      </c>
      <c r="J5072" s="19"/>
      <c r="L5072" s="16" t="str">
        <f>IFERROR(__xludf.DUMMYFUNCTION("""COMPUTED_VALUE"""),"")</f>
        <v/>
      </c>
      <c r="M5072" s="16" t="str">
        <f>IFERROR(__xludf.DUMMYFUNCTION("""COMPUTED_VALUE"""),"")</f>
        <v/>
      </c>
      <c r="U5072" s="16" t="s">
        <v>87</v>
      </c>
      <c r="V5072" s="16" t="str">
        <f>IFERROR(__xludf.DUMMYFUNCTION("""COMPUTED_VALUE"""),"")</f>
        <v/>
      </c>
      <c r="W5072" s="16" t="str">
        <f>IFERROR(__xludf.DUMMYFUNCTION("""COMPUTED_VALUE"""),"")</f>
        <v/>
      </c>
      <c r="X5072" s="16" t="str">
        <f>IFERROR(__xludf.DUMMYFUNCTION("""COMPUTED_VALUE"""),"")</f>
        <v/>
      </c>
      <c r="AC5072" s="16" t="str">
        <f>IFERROR(__xludf.DUMMYFUNCTION("""COMPUTED_VALUE"""),"")</f>
        <v/>
      </c>
    </row>
    <row r="5073">
      <c r="A5073" s="16" t="s">
        <v>87</v>
      </c>
      <c r="E5073" s="16" t="str">
        <f>IFERROR(__xludf.DUMMYFUNCTION("""COMPUTED_VALUE"""),"")</f>
        <v/>
      </c>
      <c r="G5073" s="18"/>
      <c r="H5073" s="16" t="s">
        <v>87</v>
      </c>
      <c r="I5073" s="16" t="s">
        <v>87</v>
      </c>
      <c r="J5073" s="19"/>
      <c r="L5073" s="16" t="str">
        <f>IFERROR(__xludf.DUMMYFUNCTION("""COMPUTED_VALUE"""),"")</f>
        <v/>
      </c>
      <c r="M5073" s="16" t="str">
        <f>IFERROR(__xludf.DUMMYFUNCTION("""COMPUTED_VALUE"""),"")</f>
        <v/>
      </c>
      <c r="U5073" s="16" t="s">
        <v>87</v>
      </c>
      <c r="V5073" s="16" t="str">
        <f>IFERROR(__xludf.DUMMYFUNCTION("""COMPUTED_VALUE"""),"")</f>
        <v/>
      </c>
      <c r="W5073" s="16" t="str">
        <f>IFERROR(__xludf.DUMMYFUNCTION("""COMPUTED_VALUE"""),"")</f>
        <v/>
      </c>
      <c r="X5073" s="16" t="str">
        <f>IFERROR(__xludf.DUMMYFUNCTION("""COMPUTED_VALUE"""),"")</f>
        <v/>
      </c>
      <c r="AC5073" s="16" t="str">
        <f>IFERROR(__xludf.DUMMYFUNCTION("""COMPUTED_VALUE"""),"")</f>
        <v/>
      </c>
    </row>
    <row r="5074">
      <c r="A5074" s="16" t="s">
        <v>87</v>
      </c>
      <c r="E5074" s="16" t="str">
        <f>IFERROR(__xludf.DUMMYFUNCTION("""COMPUTED_VALUE"""),"")</f>
        <v/>
      </c>
      <c r="G5074" s="18"/>
      <c r="H5074" s="16" t="s">
        <v>87</v>
      </c>
      <c r="I5074" s="16" t="s">
        <v>87</v>
      </c>
      <c r="J5074" s="19"/>
      <c r="L5074" s="16" t="str">
        <f>IFERROR(__xludf.DUMMYFUNCTION("""COMPUTED_VALUE"""),"")</f>
        <v/>
      </c>
      <c r="M5074" s="16" t="str">
        <f>IFERROR(__xludf.DUMMYFUNCTION("""COMPUTED_VALUE"""),"")</f>
        <v/>
      </c>
      <c r="U5074" s="16" t="s">
        <v>87</v>
      </c>
      <c r="V5074" s="16" t="str">
        <f>IFERROR(__xludf.DUMMYFUNCTION("""COMPUTED_VALUE"""),"")</f>
        <v/>
      </c>
      <c r="W5074" s="16" t="str">
        <f>IFERROR(__xludf.DUMMYFUNCTION("""COMPUTED_VALUE"""),"")</f>
        <v/>
      </c>
      <c r="X5074" s="16" t="str">
        <f>IFERROR(__xludf.DUMMYFUNCTION("""COMPUTED_VALUE"""),"")</f>
        <v/>
      </c>
      <c r="AC5074" s="16" t="str">
        <f>IFERROR(__xludf.DUMMYFUNCTION("""COMPUTED_VALUE"""),"")</f>
        <v/>
      </c>
    </row>
    <row r="5075">
      <c r="A5075" s="16" t="s">
        <v>87</v>
      </c>
      <c r="E5075" s="16" t="str">
        <f>IFERROR(__xludf.DUMMYFUNCTION("""COMPUTED_VALUE"""),"")</f>
        <v/>
      </c>
      <c r="G5075" s="18"/>
      <c r="H5075" s="16" t="s">
        <v>87</v>
      </c>
      <c r="I5075" s="16" t="s">
        <v>87</v>
      </c>
      <c r="J5075" s="19"/>
      <c r="L5075" s="16" t="str">
        <f>IFERROR(__xludf.DUMMYFUNCTION("""COMPUTED_VALUE"""),"")</f>
        <v/>
      </c>
      <c r="M5075" s="16" t="str">
        <f>IFERROR(__xludf.DUMMYFUNCTION("""COMPUTED_VALUE"""),"")</f>
        <v/>
      </c>
      <c r="U5075" s="16" t="s">
        <v>87</v>
      </c>
      <c r="V5075" s="16" t="str">
        <f>IFERROR(__xludf.DUMMYFUNCTION("""COMPUTED_VALUE"""),"")</f>
        <v/>
      </c>
      <c r="W5075" s="16" t="str">
        <f>IFERROR(__xludf.DUMMYFUNCTION("""COMPUTED_VALUE"""),"")</f>
        <v/>
      </c>
      <c r="X5075" s="16" t="str">
        <f>IFERROR(__xludf.DUMMYFUNCTION("""COMPUTED_VALUE"""),"")</f>
        <v/>
      </c>
      <c r="AC5075" s="16" t="str">
        <f>IFERROR(__xludf.DUMMYFUNCTION("""COMPUTED_VALUE"""),"")</f>
        <v/>
      </c>
    </row>
    <row r="5076">
      <c r="A5076" s="16" t="s">
        <v>87</v>
      </c>
      <c r="E5076" s="16" t="str">
        <f>IFERROR(__xludf.DUMMYFUNCTION("""COMPUTED_VALUE"""),"")</f>
        <v/>
      </c>
      <c r="G5076" s="18"/>
      <c r="H5076" s="16" t="s">
        <v>87</v>
      </c>
      <c r="I5076" s="16" t="s">
        <v>87</v>
      </c>
      <c r="J5076" s="19"/>
      <c r="L5076" s="16" t="str">
        <f>IFERROR(__xludf.DUMMYFUNCTION("""COMPUTED_VALUE"""),"")</f>
        <v/>
      </c>
      <c r="M5076" s="16" t="str">
        <f>IFERROR(__xludf.DUMMYFUNCTION("""COMPUTED_VALUE"""),"")</f>
        <v/>
      </c>
      <c r="U5076" s="16" t="s">
        <v>87</v>
      </c>
      <c r="V5076" s="16" t="str">
        <f>IFERROR(__xludf.DUMMYFUNCTION("""COMPUTED_VALUE"""),"")</f>
        <v/>
      </c>
      <c r="W5076" s="16" t="str">
        <f>IFERROR(__xludf.DUMMYFUNCTION("""COMPUTED_VALUE"""),"")</f>
        <v/>
      </c>
      <c r="X5076" s="16" t="str">
        <f>IFERROR(__xludf.DUMMYFUNCTION("""COMPUTED_VALUE"""),"")</f>
        <v/>
      </c>
      <c r="AC5076" s="16" t="str">
        <f>IFERROR(__xludf.DUMMYFUNCTION("""COMPUTED_VALUE"""),"")</f>
        <v/>
      </c>
    </row>
    <row r="5077">
      <c r="A5077" s="16" t="s">
        <v>87</v>
      </c>
      <c r="E5077" s="16" t="str">
        <f>IFERROR(__xludf.DUMMYFUNCTION("""COMPUTED_VALUE"""),"")</f>
        <v/>
      </c>
      <c r="G5077" s="18"/>
      <c r="H5077" s="16" t="s">
        <v>87</v>
      </c>
      <c r="I5077" s="16" t="s">
        <v>87</v>
      </c>
      <c r="J5077" s="19"/>
      <c r="L5077" s="16" t="str">
        <f>IFERROR(__xludf.DUMMYFUNCTION("""COMPUTED_VALUE"""),"")</f>
        <v/>
      </c>
      <c r="M5077" s="16" t="str">
        <f>IFERROR(__xludf.DUMMYFUNCTION("""COMPUTED_VALUE"""),"")</f>
        <v/>
      </c>
      <c r="U5077" s="16" t="s">
        <v>87</v>
      </c>
      <c r="V5077" s="16" t="str">
        <f>IFERROR(__xludf.DUMMYFUNCTION("""COMPUTED_VALUE"""),"")</f>
        <v/>
      </c>
      <c r="W5077" s="16" t="str">
        <f>IFERROR(__xludf.DUMMYFUNCTION("""COMPUTED_VALUE"""),"")</f>
        <v/>
      </c>
      <c r="X5077" s="16" t="str">
        <f>IFERROR(__xludf.DUMMYFUNCTION("""COMPUTED_VALUE"""),"")</f>
        <v/>
      </c>
      <c r="AC5077" s="16" t="str">
        <f>IFERROR(__xludf.DUMMYFUNCTION("""COMPUTED_VALUE"""),"")</f>
        <v/>
      </c>
    </row>
    <row r="5078">
      <c r="A5078" s="16" t="s">
        <v>87</v>
      </c>
      <c r="E5078" s="16" t="str">
        <f>IFERROR(__xludf.DUMMYFUNCTION("""COMPUTED_VALUE"""),"")</f>
        <v/>
      </c>
      <c r="G5078" s="18"/>
      <c r="H5078" s="16" t="s">
        <v>87</v>
      </c>
      <c r="I5078" s="16" t="s">
        <v>87</v>
      </c>
      <c r="J5078" s="19"/>
      <c r="L5078" s="16" t="str">
        <f>IFERROR(__xludf.DUMMYFUNCTION("""COMPUTED_VALUE"""),"")</f>
        <v/>
      </c>
      <c r="M5078" s="16" t="str">
        <f>IFERROR(__xludf.DUMMYFUNCTION("""COMPUTED_VALUE"""),"")</f>
        <v/>
      </c>
      <c r="U5078" s="16" t="s">
        <v>87</v>
      </c>
      <c r="V5078" s="16" t="str">
        <f>IFERROR(__xludf.DUMMYFUNCTION("""COMPUTED_VALUE"""),"")</f>
        <v/>
      </c>
      <c r="W5078" s="16" t="str">
        <f>IFERROR(__xludf.DUMMYFUNCTION("""COMPUTED_VALUE"""),"")</f>
        <v/>
      </c>
      <c r="X5078" s="16" t="str">
        <f>IFERROR(__xludf.DUMMYFUNCTION("""COMPUTED_VALUE"""),"")</f>
        <v/>
      </c>
      <c r="AC5078" s="16" t="str">
        <f>IFERROR(__xludf.DUMMYFUNCTION("""COMPUTED_VALUE"""),"")</f>
        <v/>
      </c>
    </row>
    <row r="5079">
      <c r="A5079" s="16" t="s">
        <v>87</v>
      </c>
      <c r="E5079" s="16" t="str">
        <f>IFERROR(__xludf.DUMMYFUNCTION("""COMPUTED_VALUE"""),"")</f>
        <v/>
      </c>
      <c r="G5079" s="18"/>
      <c r="H5079" s="16" t="s">
        <v>87</v>
      </c>
      <c r="I5079" s="16" t="s">
        <v>87</v>
      </c>
      <c r="J5079" s="19"/>
      <c r="L5079" s="16" t="str">
        <f>IFERROR(__xludf.DUMMYFUNCTION("""COMPUTED_VALUE"""),"")</f>
        <v/>
      </c>
      <c r="M5079" s="16" t="str">
        <f>IFERROR(__xludf.DUMMYFUNCTION("""COMPUTED_VALUE"""),"")</f>
        <v/>
      </c>
      <c r="U5079" s="16" t="s">
        <v>87</v>
      </c>
      <c r="V5079" s="16" t="str">
        <f>IFERROR(__xludf.DUMMYFUNCTION("""COMPUTED_VALUE"""),"")</f>
        <v/>
      </c>
      <c r="W5079" s="16" t="str">
        <f>IFERROR(__xludf.DUMMYFUNCTION("""COMPUTED_VALUE"""),"")</f>
        <v/>
      </c>
      <c r="X5079" s="16" t="str">
        <f>IFERROR(__xludf.DUMMYFUNCTION("""COMPUTED_VALUE"""),"")</f>
        <v/>
      </c>
      <c r="AC5079" s="16" t="str">
        <f>IFERROR(__xludf.DUMMYFUNCTION("""COMPUTED_VALUE"""),"")</f>
        <v/>
      </c>
    </row>
    <row r="5080">
      <c r="A5080" s="16" t="s">
        <v>87</v>
      </c>
      <c r="E5080" s="16" t="str">
        <f>IFERROR(__xludf.DUMMYFUNCTION("""COMPUTED_VALUE"""),"")</f>
        <v/>
      </c>
      <c r="G5080" s="18"/>
      <c r="H5080" s="16" t="s">
        <v>87</v>
      </c>
      <c r="I5080" s="16" t="s">
        <v>87</v>
      </c>
      <c r="J5080" s="19"/>
      <c r="L5080" s="16" t="str">
        <f>IFERROR(__xludf.DUMMYFUNCTION("""COMPUTED_VALUE"""),"")</f>
        <v/>
      </c>
      <c r="M5080" s="16" t="str">
        <f>IFERROR(__xludf.DUMMYFUNCTION("""COMPUTED_VALUE"""),"")</f>
        <v/>
      </c>
      <c r="U5080" s="16" t="s">
        <v>87</v>
      </c>
      <c r="V5080" s="16" t="str">
        <f>IFERROR(__xludf.DUMMYFUNCTION("""COMPUTED_VALUE"""),"")</f>
        <v/>
      </c>
      <c r="W5080" s="16" t="str">
        <f>IFERROR(__xludf.DUMMYFUNCTION("""COMPUTED_VALUE"""),"")</f>
        <v/>
      </c>
      <c r="X5080" s="16" t="str">
        <f>IFERROR(__xludf.DUMMYFUNCTION("""COMPUTED_VALUE"""),"")</f>
        <v/>
      </c>
      <c r="AC5080" s="16" t="str">
        <f>IFERROR(__xludf.DUMMYFUNCTION("""COMPUTED_VALUE"""),"")</f>
        <v/>
      </c>
    </row>
    <row r="5081">
      <c r="A5081" s="16" t="s">
        <v>87</v>
      </c>
      <c r="E5081" s="16" t="str">
        <f>IFERROR(__xludf.DUMMYFUNCTION("""COMPUTED_VALUE"""),"")</f>
        <v/>
      </c>
      <c r="G5081" s="18"/>
      <c r="H5081" s="16" t="s">
        <v>87</v>
      </c>
      <c r="I5081" s="16" t="s">
        <v>87</v>
      </c>
      <c r="J5081" s="19"/>
      <c r="L5081" s="16" t="str">
        <f>IFERROR(__xludf.DUMMYFUNCTION("""COMPUTED_VALUE"""),"")</f>
        <v/>
      </c>
      <c r="M5081" s="16" t="str">
        <f>IFERROR(__xludf.DUMMYFUNCTION("""COMPUTED_VALUE"""),"")</f>
        <v/>
      </c>
      <c r="U5081" s="16" t="s">
        <v>87</v>
      </c>
      <c r="V5081" s="16" t="str">
        <f>IFERROR(__xludf.DUMMYFUNCTION("""COMPUTED_VALUE"""),"")</f>
        <v/>
      </c>
      <c r="W5081" s="16" t="str">
        <f>IFERROR(__xludf.DUMMYFUNCTION("""COMPUTED_VALUE"""),"")</f>
        <v/>
      </c>
      <c r="X5081" s="16" t="str">
        <f>IFERROR(__xludf.DUMMYFUNCTION("""COMPUTED_VALUE"""),"")</f>
        <v/>
      </c>
      <c r="AC5081" s="16" t="str">
        <f>IFERROR(__xludf.DUMMYFUNCTION("""COMPUTED_VALUE"""),"")</f>
        <v/>
      </c>
    </row>
    <row r="5082">
      <c r="A5082" s="16" t="s">
        <v>87</v>
      </c>
      <c r="E5082" s="16" t="str">
        <f>IFERROR(__xludf.DUMMYFUNCTION("""COMPUTED_VALUE"""),"")</f>
        <v/>
      </c>
      <c r="G5082" s="18"/>
      <c r="H5082" s="16" t="s">
        <v>87</v>
      </c>
      <c r="I5082" s="16" t="s">
        <v>87</v>
      </c>
      <c r="J5082" s="19"/>
      <c r="L5082" s="16" t="str">
        <f>IFERROR(__xludf.DUMMYFUNCTION("""COMPUTED_VALUE"""),"")</f>
        <v/>
      </c>
      <c r="M5082" s="16" t="str">
        <f>IFERROR(__xludf.DUMMYFUNCTION("""COMPUTED_VALUE"""),"")</f>
        <v/>
      </c>
      <c r="U5082" s="16" t="s">
        <v>87</v>
      </c>
      <c r="V5082" s="16" t="str">
        <f>IFERROR(__xludf.DUMMYFUNCTION("""COMPUTED_VALUE"""),"")</f>
        <v/>
      </c>
      <c r="W5082" s="16" t="str">
        <f>IFERROR(__xludf.DUMMYFUNCTION("""COMPUTED_VALUE"""),"")</f>
        <v/>
      </c>
      <c r="X5082" s="16" t="str">
        <f>IFERROR(__xludf.DUMMYFUNCTION("""COMPUTED_VALUE"""),"")</f>
        <v/>
      </c>
      <c r="AC5082" s="16" t="str">
        <f>IFERROR(__xludf.DUMMYFUNCTION("""COMPUTED_VALUE"""),"")</f>
        <v/>
      </c>
    </row>
    <row r="5083">
      <c r="A5083" s="16" t="s">
        <v>87</v>
      </c>
      <c r="E5083" s="16" t="str">
        <f>IFERROR(__xludf.DUMMYFUNCTION("""COMPUTED_VALUE"""),"")</f>
        <v/>
      </c>
      <c r="G5083" s="18"/>
      <c r="H5083" s="16" t="s">
        <v>87</v>
      </c>
      <c r="I5083" s="16" t="s">
        <v>87</v>
      </c>
      <c r="J5083" s="19"/>
      <c r="L5083" s="16" t="str">
        <f>IFERROR(__xludf.DUMMYFUNCTION("""COMPUTED_VALUE"""),"")</f>
        <v/>
      </c>
      <c r="M5083" s="16" t="str">
        <f>IFERROR(__xludf.DUMMYFUNCTION("""COMPUTED_VALUE"""),"")</f>
        <v/>
      </c>
      <c r="U5083" s="16" t="s">
        <v>87</v>
      </c>
      <c r="V5083" s="16" t="str">
        <f>IFERROR(__xludf.DUMMYFUNCTION("""COMPUTED_VALUE"""),"")</f>
        <v/>
      </c>
      <c r="W5083" s="16" t="str">
        <f>IFERROR(__xludf.DUMMYFUNCTION("""COMPUTED_VALUE"""),"")</f>
        <v/>
      </c>
      <c r="X5083" s="16" t="str">
        <f>IFERROR(__xludf.DUMMYFUNCTION("""COMPUTED_VALUE"""),"")</f>
        <v/>
      </c>
      <c r="AC5083" s="16" t="str">
        <f>IFERROR(__xludf.DUMMYFUNCTION("""COMPUTED_VALUE"""),"")</f>
        <v/>
      </c>
    </row>
    <row r="5084">
      <c r="A5084" s="16" t="s">
        <v>87</v>
      </c>
      <c r="E5084" s="16" t="str">
        <f>IFERROR(__xludf.DUMMYFUNCTION("""COMPUTED_VALUE"""),"")</f>
        <v/>
      </c>
      <c r="G5084" s="18"/>
      <c r="H5084" s="16" t="s">
        <v>87</v>
      </c>
      <c r="I5084" s="16" t="s">
        <v>87</v>
      </c>
      <c r="J5084" s="19"/>
      <c r="L5084" s="16" t="str">
        <f>IFERROR(__xludf.DUMMYFUNCTION("""COMPUTED_VALUE"""),"")</f>
        <v/>
      </c>
      <c r="M5084" s="16" t="str">
        <f>IFERROR(__xludf.DUMMYFUNCTION("""COMPUTED_VALUE"""),"")</f>
        <v/>
      </c>
      <c r="U5084" s="16" t="s">
        <v>87</v>
      </c>
      <c r="V5084" s="16" t="str">
        <f>IFERROR(__xludf.DUMMYFUNCTION("""COMPUTED_VALUE"""),"")</f>
        <v/>
      </c>
      <c r="W5084" s="16" t="str">
        <f>IFERROR(__xludf.DUMMYFUNCTION("""COMPUTED_VALUE"""),"")</f>
        <v/>
      </c>
      <c r="X5084" s="16" t="str">
        <f>IFERROR(__xludf.DUMMYFUNCTION("""COMPUTED_VALUE"""),"")</f>
        <v/>
      </c>
      <c r="AC5084" s="16" t="str">
        <f>IFERROR(__xludf.DUMMYFUNCTION("""COMPUTED_VALUE"""),"")</f>
        <v/>
      </c>
    </row>
    <row r="5085">
      <c r="A5085" s="16" t="s">
        <v>87</v>
      </c>
      <c r="E5085" s="16" t="str">
        <f>IFERROR(__xludf.DUMMYFUNCTION("""COMPUTED_VALUE"""),"")</f>
        <v/>
      </c>
      <c r="G5085" s="18"/>
      <c r="H5085" s="16" t="s">
        <v>87</v>
      </c>
      <c r="I5085" s="16" t="s">
        <v>87</v>
      </c>
      <c r="J5085" s="19"/>
      <c r="L5085" s="16" t="str">
        <f>IFERROR(__xludf.DUMMYFUNCTION("""COMPUTED_VALUE"""),"")</f>
        <v/>
      </c>
      <c r="M5085" s="16" t="str">
        <f>IFERROR(__xludf.DUMMYFUNCTION("""COMPUTED_VALUE"""),"")</f>
        <v/>
      </c>
      <c r="U5085" s="16" t="s">
        <v>87</v>
      </c>
      <c r="V5085" s="16" t="str">
        <f>IFERROR(__xludf.DUMMYFUNCTION("""COMPUTED_VALUE"""),"")</f>
        <v/>
      </c>
      <c r="W5085" s="16" t="str">
        <f>IFERROR(__xludf.DUMMYFUNCTION("""COMPUTED_VALUE"""),"")</f>
        <v/>
      </c>
      <c r="X5085" s="16" t="str">
        <f>IFERROR(__xludf.DUMMYFUNCTION("""COMPUTED_VALUE"""),"")</f>
        <v/>
      </c>
      <c r="AC5085" s="16" t="str">
        <f>IFERROR(__xludf.DUMMYFUNCTION("""COMPUTED_VALUE"""),"")</f>
        <v/>
      </c>
    </row>
    <row r="5086">
      <c r="A5086" s="16" t="s">
        <v>87</v>
      </c>
      <c r="E5086" s="16" t="str">
        <f>IFERROR(__xludf.DUMMYFUNCTION("""COMPUTED_VALUE"""),"")</f>
        <v/>
      </c>
      <c r="G5086" s="18"/>
      <c r="H5086" s="16" t="s">
        <v>87</v>
      </c>
      <c r="I5086" s="16" t="s">
        <v>87</v>
      </c>
      <c r="J5086" s="19"/>
      <c r="L5086" s="16" t="str">
        <f>IFERROR(__xludf.DUMMYFUNCTION("""COMPUTED_VALUE"""),"")</f>
        <v/>
      </c>
      <c r="M5086" s="16" t="str">
        <f>IFERROR(__xludf.DUMMYFUNCTION("""COMPUTED_VALUE"""),"")</f>
        <v/>
      </c>
      <c r="U5086" s="16" t="s">
        <v>87</v>
      </c>
      <c r="V5086" s="16" t="str">
        <f>IFERROR(__xludf.DUMMYFUNCTION("""COMPUTED_VALUE"""),"")</f>
        <v/>
      </c>
      <c r="W5086" s="16" t="str">
        <f>IFERROR(__xludf.DUMMYFUNCTION("""COMPUTED_VALUE"""),"")</f>
        <v/>
      </c>
      <c r="X5086" s="16" t="str">
        <f>IFERROR(__xludf.DUMMYFUNCTION("""COMPUTED_VALUE"""),"")</f>
        <v/>
      </c>
      <c r="AC5086" s="16" t="str">
        <f>IFERROR(__xludf.DUMMYFUNCTION("""COMPUTED_VALUE"""),"")</f>
        <v/>
      </c>
    </row>
    <row r="5087">
      <c r="A5087" s="16" t="s">
        <v>87</v>
      </c>
      <c r="E5087" s="16" t="str">
        <f>IFERROR(__xludf.DUMMYFUNCTION("""COMPUTED_VALUE"""),"")</f>
        <v/>
      </c>
      <c r="G5087" s="18"/>
      <c r="H5087" s="16" t="s">
        <v>87</v>
      </c>
      <c r="I5087" s="16" t="s">
        <v>87</v>
      </c>
      <c r="J5087" s="19"/>
      <c r="L5087" s="16" t="str">
        <f>IFERROR(__xludf.DUMMYFUNCTION("""COMPUTED_VALUE"""),"")</f>
        <v/>
      </c>
      <c r="M5087" s="16" t="str">
        <f>IFERROR(__xludf.DUMMYFUNCTION("""COMPUTED_VALUE"""),"")</f>
        <v/>
      </c>
      <c r="U5087" s="16" t="s">
        <v>87</v>
      </c>
      <c r="V5087" s="16" t="str">
        <f>IFERROR(__xludf.DUMMYFUNCTION("""COMPUTED_VALUE"""),"")</f>
        <v/>
      </c>
      <c r="W5087" s="16" t="str">
        <f>IFERROR(__xludf.DUMMYFUNCTION("""COMPUTED_VALUE"""),"")</f>
        <v/>
      </c>
      <c r="X5087" s="16" t="str">
        <f>IFERROR(__xludf.DUMMYFUNCTION("""COMPUTED_VALUE"""),"")</f>
        <v/>
      </c>
      <c r="AC5087" s="16" t="str">
        <f>IFERROR(__xludf.DUMMYFUNCTION("""COMPUTED_VALUE"""),"")</f>
        <v/>
      </c>
    </row>
    <row r="5088">
      <c r="A5088" s="16" t="s">
        <v>87</v>
      </c>
      <c r="E5088" s="16" t="str">
        <f>IFERROR(__xludf.DUMMYFUNCTION("""COMPUTED_VALUE"""),"")</f>
        <v/>
      </c>
      <c r="G5088" s="18"/>
      <c r="H5088" s="16" t="s">
        <v>87</v>
      </c>
      <c r="I5088" s="16" t="s">
        <v>87</v>
      </c>
      <c r="J5088" s="19"/>
      <c r="L5088" s="16" t="str">
        <f>IFERROR(__xludf.DUMMYFUNCTION("""COMPUTED_VALUE"""),"")</f>
        <v/>
      </c>
      <c r="M5088" s="16" t="str">
        <f>IFERROR(__xludf.DUMMYFUNCTION("""COMPUTED_VALUE"""),"")</f>
        <v/>
      </c>
      <c r="U5088" s="16" t="s">
        <v>87</v>
      </c>
      <c r="V5088" s="16" t="str">
        <f>IFERROR(__xludf.DUMMYFUNCTION("""COMPUTED_VALUE"""),"")</f>
        <v/>
      </c>
      <c r="W5088" s="16" t="str">
        <f>IFERROR(__xludf.DUMMYFUNCTION("""COMPUTED_VALUE"""),"")</f>
        <v/>
      </c>
      <c r="X5088" s="16" t="str">
        <f>IFERROR(__xludf.DUMMYFUNCTION("""COMPUTED_VALUE"""),"")</f>
        <v/>
      </c>
      <c r="AC5088" s="16" t="str">
        <f>IFERROR(__xludf.DUMMYFUNCTION("""COMPUTED_VALUE"""),"")</f>
        <v/>
      </c>
    </row>
    <row r="5089">
      <c r="A5089" s="16" t="s">
        <v>87</v>
      </c>
      <c r="E5089" s="16" t="str">
        <f>IFERROR(__xludf.DUMMYFUNCTION("""COMPUTED_VALUE"""),"")</f>
        <v/>
      </c>
      <c r="G5089" s="18"/>
      <c r="H5089" s="16" t="s">
        <v>87</v>
      </c>
      <c r="I5089" s="16" t="s">
        <v>87</v>
      </c>
      <c r="J5089" s="19"/>
      <c r="L5089" s="16" t="str">
        <f>IFERROR(__xludf.DUMMYFUNCTION("""COMPUTED_VALUE"""),"")</f>
        <v/>
      </c>
      <c r="M5089" s="16" t="str">
        <f>IFERROR(__xludf.DUMMYFUNCTION("""COMPUTED_VALUE"""),"")</f>
        <v/>
      </c>
      <c r="U5089" s="16" t="s">
        <v>87</v>
      </c>
      <c r="V5089" s="16" t="str">
        <f>IFERROR(__xludf.DUMMYFUNCTION("""COMPUTED_VALUE"""),"")</f>
        <v/>
      </c>
      <c r="W5089" s="16" t="str">
        <f>IFERROR(__xludf.DUMMYFUNCTION("""COMPUTED_VALUE"""),"")</f>
        <v/>
      </c>
      <c r="X5089" s="16" t="str">
        <f>IFERROR(__xludf.DUMMYFUNCTION("""COMPUTED_VALUE"""),"")</f>
        <v/>
      </c>
      <c r="AC5089" s="16" t="str">
        <f>IFERROR(__xludf.DUMMYFUNCTION("""COMPUTED_VALUE"""),"")</f>
        <v/>
      </c>
    </row>
    <row r="5090">
      <c r="A5090" s="16" t="s">
        <v>87</v>
      </c>
      <c r="E5090" s="16" t="str">
        <f>IFERROR(__xludf.DUMMYFUNCTION("""COMPUTED_VALUE"""),"")</f>
        <v/>
      </c>
      <c r="G5090" s="18"/>
      <c r="H5090" s="16" t="s">
        <v>87</v>
      </c>
      <c r="I5090" s="16" t="s">
        <v>87</v>
      </c>
      <c r="J5090" s="19"/>
      <c r="L5090" s="16" t="str">
        <f>IFERROR(__xludf.DUMMYFUNCTION("""COMPUTED_VALUE"""),"")</f>
        <v/>
      </c>
      <c r="M5090" s="16" t="str">
        <f>IFERROR(__xludf.DUMMYFUNCTION("""COMPUTED_VALUE"""),"")</f>
        <v/>
      </c>
      <c r="U5090" s="16" t="s">
        <v>87</v>
      </c>
      <c r="V5090" s="16" t="str">
        <f>IFERROR(__xludf.DUMMYFUNCTION("""COMPUTED_VALUE"""),"")</f>
        <v/>
      </c>
      <c r="W5090" s="16" t="str">
        <f>IFERROR(__xludf.DUMMYFUNCTION("""COMPUTED_VALUE"""),"")</f>
        <v/>
      </c>
      <c r="X5090" s="16" t="str">
        <f>IFERROR(__xludf.DUMMYFUNCTION("""COMPUTED_VALUE"""),"")</f>
        <v/>
      </c>
      <c r="AC5090" s="16" t="str">
        <f>IFERROR(__xludf.DUMMYFUNCTION("""COMPUTED_VALUE"""),"")</f>
        <v/>
      </c>
    </row>
    <row r="5091">
      <c r="A5091" s="16" t="s">
        <v>87</v>
      </c>
      <c r="E5091" s="16" t="str">
        <f>IFERROR(__xludf.DUMMYFUNCTION("""COMPUTED_VALUE"""),"")</f>
        <v/>
      </c>
      <c r="G5091" s="18"/>
      <c r="H5091" s="16" t="s">
        <v>87</v>
      </c>
      <c r="I5091" s="16" t="s">
        <v>87</v>
      </c>
      <c r="J5091" s="19"/>
      <c r="L5091" s="16" t="str">
        <f>IFERROR(__xludf.DUMMYFUNCTION("""COMPUTED_VALUE"""),"")</f>
        <v/>
      </c>
      <c r="M5091" s="16" t="str">
        <f>IFERROR(__xludf.DUMMYFUNCTION("""COMPUTED_VALUE"""),"")</f>
        <v/>
      </c>
      <c r="U5091" s="16" t="s">
        <v>87</v>
      </c>
      <c r="V5091" s="16" t="str">
        <f>IFERROR(__xludf.DUMMYFUNCTION("""COMPUTED_VALUE"""),"")</f>
        <v/>
      </c>
      <c r="W5091" s="16" t="str">
        <f>IFERROR(__xludf.DUMMYFUNCTION("""COMPUTED_VALUE"""),"")</f>
        <v/>
      </c>
      <c r="X5091" s="16" t="str">
        <f>IFERROR(__xludf.DUMMYFUNCTION("""COMPUTED_VALUE"""),"")</f>
        <v/>
      </c>
      <c r="AC5091" s="16" t="str">
        <f>IFERROR(__xludf.DUMMYFUNCTION("""COMPUTED_VALUE"""),"")</f>
        <v/>
      </c>
    </row>
    <row r="5092">
      <c r="A5092" s="16" t="s">
        <v>87</v>
      </c>
      <c r="E5092" s="16" t="str">
        <f>IFERROR(__xludf.DUMMYFUNCTION("""COMPUTED_VALUE"""),"")</f>
        <v/>
      </c>
      <c r="G5092" s="18"/>
      <c r="H5092" s="16" t="s">
        <v>87</v>
      </c>
      <c r="I5092" s="16" t="s">
        <v>87</v>
      </c>
      <c r="J5092" s="19"/>
      <c r="L5092" s="16" t="str">
        <f>IFERROR(__xludf.DUMMYFUNCTION("""COMPUTED_VALUE"""),"")</f>
        <v/>
      </c>
      <c r="M5092" s="16" t="str">
        <f>IFERROR(__xludf.DUMMYFUNCTION("""COMPUTED_VALUE"""),"")</f>
        <v/>
      </c>
      <c r="U5092" s="16" t="s">
        <v>87</v>
      </c>
      <c r="V5092" s="16" t="str">
        <f>IFERROR(__xludf.DUMMYFUNCTION("""COMPUTED_VALUE"""),"")</f>
        <v/>
      </c>
      <c r="W5092" s="16" t="str">
        <f>IFERROR(__xludf.DUMMYFUNCTION("""COMPUTED_VALUE"""),"")</f>
        <v/>
      </c>
      <c r="X5092" s="16" t="str">
        <f>IFERROR(__xludf.DUMMYFUNCTION("""COMPUTED_VALUE"""),"")</f>
        <v/>
      </c>
      <c r="AC5092" s="16" t="str">
        <f>IFERROR(__xludf.DUMMYFUNCTION("""COMPUTED_VALUE"""),"")</f>
        <v/>
      </c>
    </row>
    <row r="5093">
      <c r="A5093" s="16" t="s">
        <v>87</v>
      </c>
      <c r="E5093" s="16" t="str">
        <f>IFERROR(__xludf.DUMMYFUNCTION("""COMPUTED_VALUE"""),"")</f>
        <v/>
      </c>
      <c r="G5093" s="18"/>
      <c r="H5093" s="16" t="s">
        <v>87</v>
      </c>
      <c r="I5093" s="16" t="s">
        <v>87</v>
      </c>
      <c r="J5093" s="19"/>
      <c r="L5093" s="16" t="str">
        <f>IFERROR(__xludf.DUMMYFUNCTION("""COMPUTED_VALUE"""),"")</f>
        <v/>
      </c>
      <c r="M5093" s="16" t="str">
        <f>IFERROR(__xludf.DUMMYFUNCTION("""COMPUTED_VALUE"""),"")</f>
        <v/>
      </c>
      <c r="U5093" s="16" t="s">
        <v>87</v>
      </c>
      <c r="V5093" s="16" t="str">
        <f>IFERROR(__xludf.DUMMYFUNCTION("""COMPUTED_VALUE"""),"")</f>
        <v/>
      </c>
      <c r="W5093" s="16" t="str">
        <f>IFERROR(__xludf.DUMMYFUNCTION("""COMPUTED_VALUE"""),"")</f>
        <v/>
      </c>
      <c r="X5093" s="16" t="str">
        <f>IFERROR(__xludf.DUMMYFUNCTION("""COMPUTED_VALUE"""),"")</f>
        <v/>
      </c>
      <c r="AC5093" s="16" t="str">
        <f>IFERROR(__xludf.DUMMYFUNCTION("""COMPUTED_VALUE"""),"")</f>
        <v/>
      </c>
    </row>
    <row r="5094">
      <c r="A5094" s="16" t="s">
        <v>87</v>
      </c>
      <c r="E5094" s="16" t="str">
        <f>IFERROR(__xludf.DUMMYFUNCTION("""COMPUTED_VALUE"""),"")</f>
        <v/>
      </c>
      <c r="G5094" s="18"/>
      <c r="H5094" s="16" t="s">
        <v>87</v>
      </c>
      <c r="I5094" s="16" t="s">
        <v>87</v>
      </c>
      <c r="J5094" s="19"/>
      <c r="L5094" s="16" t="str">
        <f>IFERROR(__xludf.DUMMYFUNCTION("""COMPUTED_VALUE"""),"")</f>
        <v/>
      </c>
      <c r="M5094" s="16" t="str">
        <f>IFERROR(__xludf.DUMMYFUNCTION("""COMPUTED_VALUE"""),"")</f>
        <v/>
      </c>
      <c r="U5094" s="16" t="s">
        <v>87</v>
      </c>
      <c r="V5094" s="16" t="str">
        <f>IFERROR(__xludf.DUMMYFUNCTION("""COMPUTED_VALUE"""),"")</f>
        <v/>
      </c>
      <c r="W5094" s="16" t="str">
        <f>IFERROR(__xludf.DUMMYFUNCTION("""COMPUTED_VALUE"""),"")</f>
        <v/>
      </c>
      <c r="X5094" s="16" t="str">
        <f>IFERROR(__xludf.DUMMYFUNCTION("""COMPUTED_VALUE"""),"")</f>
        <v/>
      </c>
      <c r="AC5094" s="16" t="str">
        <f>IFERROR(__xludf.DUMMYFUNCTION("""COMPUTED_VALUE"""),"")</f>
        <v/>
      </c>
    </row>
    <row r="5095">
      <c r="A5095" s="16" t="s">
        <v>87</v>
      </c>
      <c r="E5095" s="16" t="str">
        <f>IFERROR(__xludf.DUMMYFUNCTION("""COMPUTED_VALUE"""),"")</f>
        <v/>
      </c>
      <c r="G5095" s="18"/>
      <c r="H5095" s="16" t="s">
        <v>87</v>
      </c>
      <c r="I5095" s="16" t="s">
        <v>87</v>
      </c>
      <c r="J5095" s="19"/>
      <c r="L5095" s="16" t="str">
        <f>IFERROR(__xludf.DUMMYFUNCTION("""COMPUTED_VALUE"""),"")</f>
        <v/>
      </c>
      <c r="M5095" s="16" t="str">
        <f>IFERROR(__xludf.DUMMYFUNCTION("""COMPUTED_VALUE"""),"")</f>
        <v/>
      </c>
      <c r="U5095" s="16" t="s">
        <v>87</v>
      </c>
      <c r="V5095" s="16" t="str">
        <f>IFERROR(__xludf.DUMMYFUNCTION("""COMPUTED_VALUE"""),"")</f>
        <v/>
      </c>
      <c r="W5095" s="16" t="str">
        <f>IFERROR(__xludf.DUMMYFUNCTION("""COMPUTED_VALUE"""),"")</f>
        <v/>
      </c>
      <c r="X5095" s="16" t="str">
        <f>IFERROR(__xludf.DUMMYFUNCTION("""COMPUTED_VALUE"""),"")</f>
        <v/>
      </c>
      <c r="AC5095" s="16" t="str">
        <f>IFERROR(__xludf.DUMMYFUNCTION("""COMPUTED_VALUE"""),"")</f>
        <v/>
      </c>
    </row>
    <row r="5096">
      <c r="A5096" s="16" t="s">
        <v>87</v>
      </c>
      <c r="E5096" s="16" t="str">
        <f>IFERROR(__xludf.DUMMYFUNCTION("""COMPUTED_VALUE"""),"")</f>
        <v/>
      </c>
      <c r="G5096" s="18"/>
      <c r="H5096" s="16" t="s">
        <v>87</v>
      </c>
      <c r="I5096" s="16" t="s">
        <v>87</v>
      </c>
      <c r="J5096" s="19"/>
      <c r="L5096" s="16" t="str">
        <f>IFERROR(__xludf.DUMMYFUNCTION("""COMPUTED_VALUE"""),"")</f>
        <v/>
      </c>
      <c r="M5096" s="16" t="str">
        <f>IFERROR(__xludf.DUMMYFUNCTION("""COMPUTED_VALUE"""),"")</f>
        <v/>
      </c>
      <c r="U5096" s="16" t="s">
        <v>87</v>
      </c>
      <c r="V5096" s="16" t="str">
        <f>IFERROR(__xludf.DUMMYFUNCTION("""COMPUTED_VALUE"""),"")</f>
        <v/>
      </c>
      <c r="W5096" s="16" t="str">
        <f>IFERROR(__xludf.DUMMYFUNCTION("""COMPUTED_VALUE"""),"")</f>
        <v/>
      </c>
      <c r="X5096" s="16" t="str">
        <f>IFERROR(__xludf.DUMMYFUNCTION("""COMPUTED_VALUE"""),"")</f>
        <v/>
      </c>
      <c r="AC5096" s="16" t="str">
        <f>IFERROR(__xludf.DUMMYFUNCTION("""COMPUTED_VALUE"""),"")</f>
        <v/>
      </c>
    </row>
    <row r="5097">
      <c r="A5097" s="16" t="s">
        <v>87</v>
      </c>
      <c r="E5097" s="16" t="str">
        <f>IFERROR(__xludf.DUMMYFUNCTION("""COMPUTED_VALUE"""),"")</f>
        <v/>
      </c>
      <c r="G5097" s="18"/>
      <c r="H5097" s="16" t="s">
        <v>87</v>
      </c>
      <c r="I5097" s="16" t="s">
        <v>87</v>
      </c>
      <c r="J5097" s="19"/>
      <c r="L5097" s="16" t="str">
        <f>IFERROR(__xludf.DUMMYFUNCTION("""COMPUTED_VALUE"""),"")</f>
        <v/>
      </c>
      <c r="M5097" s="16" t="str">
        <f>IFERROR(__xludf.DUMMYFUNCTION("""COMPUTED_VALUE"""),"")</f>
        <v/>
      </c>
      <c r="U5097" s="16" t="s">
        <v>87</v>
      </c>
      <c r="V5097" s="16" t="str">
        <f>IFERROR(__xludf.DUMMYFUNCTION("""COMPUTED_VALUE"""),"")</f>
        <v/>
      </c>
      <c r="W5097" s="16" t="str">
        <f>IFERROR(__xludf.DUMMYFUNCTION("""COMPUTED_VALUE"""),"")</f>
        <v/>
      </c>
      <c r="X5097" s="16" t="str">
        <f>IFERROR(__xludf.DUMMYFUNCTION("""COMPUTED_VALUE"""),"")</f>
        <v/>
      </c>
      <c r="AC5097" s="16" t="str">
        <f>IFERROR(__xludf.DUMMYFUNCTION("""COMPUTED_VALUE"""),"")</f>
        <v/>
      </c>
    </row>
    <row r="5098">
      <c r="A5098" s="16" t="s">
        <v>87</v>
      </c>
      <c r="E5098" s="16" t="str">
        <f>IFERROR(__xludf.DUMMYFUNCTION("""COMPUTED_VALUE"""),"")</f>
        <v/>
      </c>
      <c r="G5098" s="18"/>
      <c r="H5098" s="16" t="s">
        <v>87</v>
      </c>
      <c r="I5098" s="16" t="s">
        <v>87</v>
      </c>
      <c r="J5098" s="19"/>
      <c r="L5098" s="16" t="str">
        <f>IFERROR(__xludf.DUMMYFUNCTION("""COMPUTED_VALUE"""),"")</f>
        <v/>
      </c>
      <c r="M5098" s="16" t="str">
        <f>IFERROR(__xludf.DUMMYFUNCTION("""COMPUTED_VALUE"""),"")</f>
        <v/>
      </c>
      <c r="U5098" s="16" t="s">
        <v>87</v>
      </c>
      <c r="V5098" s="16" t="str">
        <f>IFERROR(__xludf.DUMMYFUNCTION("""COMPUTED_VALUE"""),"")</f>
        <v/>
      </c>
      <c r="W5098" s="16" t="str">
        <f>IFERROR(__xludf.DUMMYFUNCTION("""COMPUTED_VALUE"""),"")</f>
        <v/>
      </c>
      <c r="X5098" s="16" t="str">
        <f>IFERROR(__xludf.DUMMYFUNCTION("""COMPUTED_VALUE"""),"")</f>
        <v/>
      </c>
      <c r="AC5098" s="16" t="str">
        <f>IFERROR(__xludf.DUMMYFUNCTION("""COMPUTED_VALUE"""),"")</f>
        <v/>
      </c>
    </row>
    <row r="5099">
      <c r="A5099" s="16" t="s">
        <v>87</v>
      </c>
      <c r="E5099" s="16" t="str">
        <f>IFERROR(__xludf.DUMMYFUNCTION("""COMPUTED_VALUE"""),"")</f>
        <v/>
      </c>
      <c r="G5099" s="18"/>
      <c r="H5099" s="16" t="s">
        <v>87</v>
      </c>
      <c r="I5099" s="16" t="s">
        <v>87</v>
      </c>
      <c r="J5099" s="19"/>
      <c r="L5099" s="16" t="str">
        <f>IFERROR(__xludf.DUMMYFUNCTION("""COMPUTED_VALUE"""),"")</f>
        <v/>
      </c>
      <c r="M5099" s="16" t="str">
        <f>IFERROR(__xludf.DUMMYFUNCTION("""COMPUTED_VALUE"""),"")</f>
        <v/>
      </c>
      <c r="U5099" s="16" t="s">
        <v>87</v>
      </c>
      <c r="V5099" s="16" t="str">
        <f>IFERROR(__xludf.DUMMYFUNCTION("""COMPUTED_VALUE"""),"")</f>
        <v/>
      </c>
      <c r="W5099" s="16" t="str">
        <f>IFERROR(__xludf.DUMMYFUNCTION("""COMPUTED_VALUE"""),"")</f>
        <v/>
      </c>
      <c r="X5099" s="16" t="str">
        <f>IFERROR(__xludf.DUMMYFUNCTION("""COMPUTED_VALUE"""),"")</f>
        <v/>
      </c>
      <c r="AC5099" s="16" t="str">
        <f>IFERROR(__xludf.DUMMYFUNCTION("""COMPUTED_VALUE"""),"")</f>
        <v/>
      </c>
    </row>
    <row r="5100">
      <c r="A5100" s="16" t="s">
        <v>87</v>
      </c>
      <c r="E5100" s="16" t="str">
        <f>IFERROR(__xludf.DUMMYFUNCTION("""COMPUTED_VALUE"""),"")</f>
        <v/>
      </c>
      <c r="G5100" s="18"/>
      <c r="H5100" s="16" t="s">
        <v>87</v>
      </c>
      <c r="I5100" s="16" t="s">
        <v>87</v>
      </c>
      <c r="J5100" s="19"/>
      <c r="L5100" s="16" t="str">
        <f>IFERROR(__xludf.DUMMYFUNCTION("""COMPUTED_VALUE"""),"")</f>
        <v/>
      </c>
      <c r="M5100" s="16" t="str">
        <f>IFERROR(__xludf.DUMMYFUNCTION("""COMPUTED_VALUE"""),"")</f>
        <v/>
      </c>
      <c r="U5100" s="16" t="s">
        <v>87</v>
      </c>
      <c r="V5100" s="16" t="str">
        <f>IFERROR(__xludf.DUMMYFUNCTION("""COMPUTED_VALUE"""),"")</f>
        <v/>
      </c>
      <c r="W5100" s="16" t="str">
        <f>IFERROR(__xludf.DUMMYFUNCTION("""COMPUTED_VALUE"""),"")</f>
        <v/>
      </c>
      <c r="X5100" s="16" t="str">
        <f>IFERROR(__xludf.DUMMYFUNCTION("""COMPUTED_VALUE"""),"")</f>
        <v/>
      </c>
      <c r="AC5100" s="16" t="str">
        <f>IFERROR(__xludf.DUMMYFUNCTION("""COMPUTED_VALUE"""),"")</f>
        <v/>
      </c>
    </row>
    <row r="5101">
      <c r="A5101" s="16" t="s">
        <v>87</v>
      </c>
      <c r="E5101" s="16" t="str">
        <f>IFERROR(__xludf.DUMMYFUNCTION("""COMPUTED_VALUE"""),"")</f>
        <v/>
      </c>
      <c r="G5101" s="18"/>
      <c r="H5101" s="16" t="s">
        <v>87</v>
      </c>
      <c r="I5101" s="16" t="s">
        <v>87</v>
      </c>
      <c r="J5101" s="19"/>
      <c r="L5101" s="16" t="str">
        <f>IFERROR(__xludf.DUMMYFUNCTION("""COMPUTED_VALUE"""),"")</f>
        <v/>
      </c>
      <c r="M5101" s="16" t="str">
        <f>IFERROR(__xludf.DUMMYFUNCTION("""COMPUTED_VALUE"""),"")</f>
        <v/>
      </c>
      <c r="U5101" s="16" t="s">
        <v>87</v>
      </c>
      <c r="V5101" s="16" t="str">
        <f>IFERROR(__xludf.DUMMYFUNCTION("""COMPUTED_VALUE"""),"")</f>
        <v/>
      </c>
      <c r="W5101" s="16" t="str">
        <f>IFERROR(__xludf.DUMMYFUNCTION("""COMPUTED_VALUE"""),"")</f>
        <v/>
      </c>
      <c r="X5101" s="16" t="str">
        <f>IFERROR(__xludf.DUMMYFUNCTION("""COMPUTED_VALUE"""),"")</f>
        <v/>
      </c>
      <c r="AC5101" s="16" t="str">
        <f>IFERROR(__xludf.DUMMYFUNCTION("""COMPUTED_VALUE"""),"")</f>
        <v/>
      </c>
    </row>
    <row r="5102">
      <c r="A5102" s="16" t="s">
        <v>87</v>
      </c>
      <c r="E5102" s="16" t="str">
        <f>IFERROR(__xludf.DUMMYFUNCTION("""COMPUTED_VALUE"""),"")</f>
        <v/>
      </c>
      <c r="G5102" s="18"/>
      <c r="H5102" s="16" t="s">
        <v>87</v>
      </c>
      <c r="I5102" s="16" t="s">
        <v>87</v>
      </c>
      <c r="J5102" s="19"/>
      <c r="L5102" s="16" t="str">
        <f>IFERROR(__xludf.DUMMYFUNCTION("""COMPUTED_VALUE"""),"")</f>
        <v/>
      </c>
      <c r="M5102" s="16" t="str">
        <f>IFERROR(__xludf.DUMMYFUNCTION("""COMPUTED_VALUE"""),"")</f>
        <v/>
      </c>
      <c r="U5102" s="16" t="s">
        <v>87</v>
      </c>
      <c r="V5102" s="16" t="str">
        <f>IFERROR(__xludf.DUMMYFUNCTION("""COMPUTED_VALUE"""),"")</f>
        <v/>
      </c>
      <c r="W5102" s="16" t="str">
        <f>IFERROR(__xludf.DUMMYFUNCTION("""COMPUTED_VALUE"""),"")</f>
        <v/>
      </c>
      <c r="X5102" s="16" t="str">
        <f>IFERROR(__xludf.DUMMYFUNCTION("""COMPUTED_VALUE"""),"")</f>
        <v/>
      </c>
      <c r="AC5102" s="16" t="str">
        <f>IFERROR(__xludf.DUMMYFUNCTION("""COMPUTED_VALUE"""),"")</f>
        <v/>
      </c>
    </row>
    <row r="5103">
      <c r="A5103" s="16" t="s">
        <v>87</v>
      </c>
      <c r="E5103" s="16" t="str">
        <f>IFERROR(__xludf.DUMMYFUNCTION("""COMPUTED_VALUE"""),"")</f>
        <v/>
      </c>
      <c r="G5103" s="18"/>
      <c r="H5103" s="16" t="s">
        <v>87</v>
      </c>
      <c r="I5103" s="16" t="s">
        <v>87</v>
      </c>
      <c r="J5103" s="19"/>
      <c r="L5103" s="16" t="str">
        <f>IFERROR(__xludf.DUMMYFUNCTION("""COMPUTED_VALUE"""),"")</f>
        <v/>
      </c>
      <c r="M5103" s="16" t="str">
        <f>IFERROR(__xludf.DUMMYFUNCTION("""COMPUTED_VALUE"""),"")</f>
        <v/>
      </c>
      <c r="U5103" s="16" t="s">
        <v>87</v>
      </c>
      <c r="V5103" s="16" t="str">
        <f>IFERROR(__xludf.DUMMYFUNCTION("""COMPUTED_VALUE"""),"")</f>
        <v/>
      </c>
      <c r="W5103" s="16" t="str">
        <f>IFERROR(__xludf.DUMMYFUNCTION("""COMPUTED_VALUE"""),"")</f>
        <v/>
      </c>
      <c r="X5103" s="16" t="str">
        <f>IFERROR(__xludf.DUMMYFUNCTION("""COMPUTED_VALUE"""),"")</f>
        <v/>
      </c>
      <c r="AC5103" s="16" t="str">
        <f>IFERROR(__xludf.DUMMYFUNCTION("""COMPUTED_VALUE"""),"")</f>
        <v/>
      </c>
    </row>
    <row r="5104">
      <c r="A5104" s="16" t="s">
        <v>87</v>
      </c>
      <c r="E5104" s="16" t="str">
        <f>IFERROR(__xludf.DUMMYFUNCTION("""COMPUTED_VALUE"""),"")</f>
        <v/>
      </c>
      <c r="G5104" s="18"/>
      <c r="H5104" s="16" t="s">
        <v>87</v>
      </c>
      <c r="I5104" s="16" t="s">
        <v>87</v>
      </c>
      <c r="J5104" s="19"/>
      <c r="L5104" s="16" t="str">
        <f>IFERROR(__xludf.DUMMYFUNCTION("""COMPUTED_VALUE"""),"")</f>
        <v/>
      </c>
      <c r="M5104" s="16" t="str">
        <f>IFERROR(__xludf.DUMMYFUNCTION("""COMPUTED_VALUE"""),"")</f>
        <v/>
      </c>
      <c r="U5104" s="16" t="s">
        <v>87</v>
      </c>
      <c r="V5104" s="16" t="str">
        <f>IFERROR(__xludf.DUMMYFUNCTION("""COMPUTED_VALUE"""),"")</f>
        <v/>
      </c>
      <c r="W5104" s="16" t="str">
        <f>IFERROR(__xludf.DUMMYFUNCTION("""COMPUTED_VALUE"""),"")</f>
        <v/>
      </c>
      <c r="X5104" s="16" t="str">
        <f>IFERROR(__xludf.DUMMYFUNCTION("""COMPUTED_VALUE"""),"")</f>
        <v/>
      </c>
      <c r="AC5104" s="16" t="str">
        <f>IFERROR(__xludf.DUMMYFUNCTION("""COMPUTED_VALUE"""),"")</f>
        <v/>
      </c>
    </row>
    <row r="5105">
      <c r="A5105" s="16" t="s">
        <v>87</v>
      </c>
      <c r="E5105" s="16" t="str">
        <f>IFERROR(__xludf.DUMMYFUNCTION("""COMPUTED_VALUE"""),"")</f>
        <v/>
      </c>
      <c r="G5105" s="18"/>
      <c r="H5105" s="16" t="s">
        <v>87</v>
      </c>
      <c r="I5105" s="16" t="s">
        <v>87</v>
      </c>
      <c r="J5105" s="19"/>
      <c r="L5105" s="16" t="str">
        <f>IFERROR(__xludf.DUMMYFUNCTION("""COMPUTED_VALUE"""),"")</f>
        <v/>
      </c>
      <c r="M5105" s="16" t="str">
        <f>IFERROR(__xludf.DUMMYFUNCTION("""COMPUTED_VALUE"""),"")</f>
        <v/>
      </c>
      <c r="U5105" s="16" t="s">
        <v>87</v>
      </c>
      <c r="V5105" s="16" t="str">
        <f>IFERROR(__xludf.DUMMYFUNCTION("""COMPUTED_VALUE"""),"")</f>
        <v/>
      </c>
      <c r="W5105" s="16" t="str">
        <f>IFERROR(__xludf.DUMMYFUNCTION("""COMPUTED_VALUE"""),"")</f>
        <v/>
      </c>
      <c r="X5105" s="16" t="str">
        <f>IFERROR(__xludf.DUMMYFUNCTION("""COMPUTED_VALUE"""),"")</f>
        <v/>
      </c>
      <c r="AC5105" s="16" t="str">
        <f>IFERROR(__xludf.DUMMYFUNCTION("""COMPUTED_VALUE"""),"")</f>
        <v/>
      </c>
    </row>
    <row r="5106">
      <c r="A5106" s="16" t="s">
        <v>87</v>
      </c>
      <c r="E5106" s="16" t="str">
        <f>IFERROR(__xludf.DUMMYFUNCTION("""COMPUTED_VALUE"""),"")</f>
        <v/>
      </c>
      <c r="G5106" s="18"/>
      <c r="H5106" s="16" t="s">
        <v>87</v>
      </c>
      <c r="I5106" s="16" t="s">
        <v>87</v>
      </c>
      <c r="J5106" s="19"/>
      <c r="L5106" s="16" t="str">
        <f>IFERROR(__xludf.DUMMYFUNCTION("""COMPUTED_VALUE"""),"")</f>
        <v/>
      </c>
      <c r="M5106" s="16" t="str">
        <f>IFERROR(__xludf.DUMMYFUNCTION("""COMPUTED_VALUE"""),"")</f>
        <v/>
      </c>
      <c r="U5106" s="16" t="s">
        <v>87</v>
      </c>
      <c r="V5106" s="16" t="str">
        <f>IFERROR(__xludf.DUMMYFUNCTION("""COMPUTED_VALUE"""),"")</f>
        <v/>
      </c>
      <c r="W5106" s="16" t="str">
        <f>IFERROR(__xludf.DUMMYFUNCTION("""COMPUTED_VALUE"""),"")</f>
        <v/>
      </c>
      <c r="X5106" s="16" t="str">
        <f>IFERROR(__xludf.DUMMYFUNCTION("""COMPUTED_VALUE"""),"")</f>
        <v/>
      </c>
      <c r="AC5106" s="16" t="str">
        <f>IFERROR(__xludf.DUMMYFUNCTION("""COMPUTED_VALUE"""),"")</f>
        <v/>
      </c>
    </row>
    <row r="5107">
      <c r="A5107" s="16" t="s">
        <v>87</v>
      </c>
      <c r="E5107" s="16" t="str">
        <f>IFERROR(__xludf.DUMMYFUNCTION("""COMPUTED_VALUE"""),"")</f>
        <v/>
      </c>
      <c r="G5107" s="18"/>
      <c r="H5107" s="16" t="s">
        <v>87</v>
      </c>
      <c r="I5107" s="16" t="s">
        <v>87</v>
      </c>
      <c r="J5107" s="19"/>
      <c r="L5107" s="16" t="str">
        <f>IFERROR(__xludf.DUMMYFUNCTION("""COMPUTED_VALUE"""),"")</f>
        <v/>
      </c>
      <c r="M5107" s="16" t="str">
        <f>IFERROR(__xludf.DUMMYFUNCTION("""COMPUTED_VALUE"""),"")</f>
        <v/>
      </c>
      <c r="U5107" s="16" t="s">
        <v>87</v>
      </c>
      <c r="V5107" s="16" t="str">
        <f>IFERROR(__xludf.DUMMYFUNCTION("""COMPUTED_VALUE"""),"")</f>
        <v/>
      </c>
      <c r="W5107" s="16" t="str">
        <f>IFERROR(__xludf.DUMMYFUNCTION("""COMPUTED_VALUE"""),"")</f>
        <v/>
      </c>
      <c r="X5107" s="16" t="str">
        <f>IFERROR(__xludf.DUMMYFUNCTION("""COMPUTED_VALUE"""),"")</f>
        <v/>
      </c>
      <c r="AC5107" s="16" t="str">
        <f>IFERROR(__xludf.DUMMYFUNCTION("""COMPUTED_VALUE"""),"")</f>
        <v/>
      </c>
    </row>
    <row r="5108">
      <c r="A5108" s="16" t="s">
        <v>87</v>
      </c>
      <c r="E5108" s="16" t="str">
        <f>IFERROR(__xludf.DUMMYFUNCTION("""COMPUTED_VALUE"""),"")</f>
        <v/>
      </c>
      <c r="G5108" s="18"/>
      <c r="H5108" s="16" t="s">
        <v>87</v>
      </c>
      <c r="I5108" s="16" t="s">
        <v>87</v>
      </c>
      <c r="J5108" s="19"/>
      <c r="L5108" s="16" t="str">
        <f>IFERROR(__xludf.DUMMYFUNCTION("""COMPUTED_VALUE"""),"")</f>
        <v/>
      </c>
      <c r="M5108" s="16" t="str">
        <f>IFERROR(__xludf.DUMMYFUNCTION("""COMPUTED_VALUE"""),"")</f>
        <v/>
      </c>
      <c r="U5108" s="16" t="s">
        <v>87</v>
      </c>
      <c r="V5108" s="16" t="str">
        <f>IFERROR(__xludf.DUMMYFUNCTION("""COMPUTED_VALUE"""),"")</f>
        <v/>
      </c>
      <c r="W5108" s="16" t="str">
        <f>IFERROR(__xludf.DUMMYFUNCTION("""COMPUTED_VALUE"""),"")</f>
        <v/>
      </c>
      <c r="X5108" s="16" t="str">
        <f>IFERROR(__xludf.DUMMYFUNCTION("""COMPUTED_VALUE"""),"")</f>
        <v/>
      </c>
      <c r="AC5108" s="16" t="str">
        <f>IFERROR(__xludf.DUMMYFUNCTION("""COMPUTED_VALUE"""),"")</f>
        <v/>
      </c>
    </row>
    <row r="5109">
      <c r="A5109" s="16" t="s">
        <v>87</v>
      </c>
      <c r="E5109" s="16" t="str">
        <f>IFERROR(__xludf.DUMMYFUNCTION("""COMPUTED_VALUE"""),"")</f>
        <v/>
      </c>
      <c r="G5109" s="18"/>
      <c r="H5109" s="16" t="s">
        <v>87</v>
      </c>
      <c r="I5109" s="16" t="s">
        <v>87</v>
      </c>
      <c r="J5109" s="19"/>
      <c r="L5109" s="16" t="str">
        <f>IFERROR(__xludf.DUMMYFUNCTION("""COMPUTED_VALUE"""),"")</f>
        <v/>
      </c>
      <c r="M5109" s="16" t="str">
        <f>IFERROR(__xludf.DUMMYFUNCTION("""COMPUTED_VALUE"""),"")</f>
        <v/>
      </c>
      <c r="U5109" s="16" t="s">
        <v>87</v>
      </c>
      <c r="V5109" s="16" t="str">
        <f>IFERROR(__xludf.DUMMYFUNCTION("""COMPUTED_VALUE"""),"")</f>
        <v/>
      </c>
      <c r="W5109" s="16" t="str">
        <f>IFERROR(__xludf.DUMMYFUNCTION("""COMPUTED_VALUE"""),"")</f>
        <v/>
      </c>
      <c r="X5109" s="16" t="str">
        <f>IFERROR(__xludf.DUMMYFUNCTION("""COMPUTED_VALUE"""),"")</f>
        <v/>
      </c>
      <c r="AC5109" s="16" t="str">
        <f>IFERROR(__xludf.DUMMYFUNCTION("""COMPUTED_VALUE"""),"")</f>
        <v/>
      </c>
    </row>
    <row r="5110">
      <c r="A5110" s="16" t="s">
        <v>87</v>
      </c>
      <c r="E5110" s="16" t="str">
        <f>IFERROR(__xludf.DUMMYFUNCTION("""COMPUTED_VALUE"""),"")</f>
        <v/>
      </c>
      <c r="G5110" s="18"/>
      <c r="H5110" s="16" t="s">
        <v>87</v>
      </c>
      <c r="I5110" s="16" t="s">
        <v>87</v>
      </c>
      <c r="J5110" s="19"/>
      <c r="L5110" s="16" t="str">
        <f>IFERROR(__xludf.DUMMYFUNCTION("""COMPUTED_VALUE"""),"")</f>
        <v/>
      </c>
      <c r="M5110" s="16" t="str">
        <f>IFERROR(__xludf.DUMMYFUNCTION("""COMPUTED_VALUE"""),"")</f>
        <v/>
      </c>
      <c r="U5110" s="16" t="s">
        <v>87</v>
      </c>
      <c r="V5110" s="16" t="str">
        <f>IFERROR(__xludf.DUMMYFUNCTION("""COMPUTED_VALUE"""),"")</f>
        <v/>
      </c>
      <c r="W5110" s="16" t="str">
        <f>IFERROR(__xludf.DUMMYFUNCTION("""COMPUTED_VALUE"""),"")</f>
        <v/>
      </c>
      <c r="X5110" s="16" t="str">
        <f>IFERROR(__xludf.DUMMYFUNCTION("""COMPUTED_VALUE"""),"")</f>
        <v/>
      </c>
      <c r="AC5110" s="16" t="str">
        <f>IFERROR(__xludf.DUMMYFUNCTION("""COMPUTED_VALUE"""),"")</f>
        <v/>
      </c>
    </row>
    <row r="5111">
      <c r="A5111" s="16" t="s">
        <v>87</v>
      </c>
      <c r="E5111" s="16" t="str">
        <f>IFERROR(__xludf.DUMMYFUNCTION("""COMPUTED_VALUE"""),"")</f>
        <v/>
      </c>
      <c r="G5111" s="18"/>
      <c r="H5111" s="16" t="s">
        <v>87</v>
      </c>
      <c r="I5111" s="16" t="s">
        <v>87</v>
      </c>
      <c r="J5111" s="19"/>
      <c r="L5111" s="16" t="str">
        <f>IFERROR(__xludf.DUMMYFUNCTION("""COMPUTED_VALUE"""),"")</f>
        <v/>
      </c>
      <c r="M5111" s="16" t="str">
        <f>IFERROR(__xludf.DUMMYFUNCTION("""COMPUTED_VALUE"""),"")</f>
        <v/>
      </c>
      <c r="U5111" s="16" t="s">
        <v>87</v>
      </c>
      <c r="V5111" s="16" t="str">
        <f>IFERROR(__xludf.DUMMYFUNCTION("""COMPUTED_VALUE"""),"")</f>
        <v/>
      </c>
      <c r="W5111" s="16" t="str">
        <f>IFERROR(__xludf.DUMMYFUNCTION("""COMPUTED_VALUE"""),"")</f>
        <v/>
      </c>
      <c r="X5111" s="16" t="str">
        <f>IFERROR(__xludf.DUMMYFUNCTION("""COMPUTED_VALUE"""),"")</f>
        <v/>
      </c>
      <c r="AC5111" s="16" t="str">
        <f>IFERROR(__xludf.DUMMYFUNCTION("""COMPUTED_VALUE"""),"")</f>
        <v/>
      </c>
    </row>
    <row r="5112">
      <c r="A5112" s="16" t="s">
        <v>87</v>
      </c>
      <c r="E5112" s="16" t="str">
        <f>IFERROR(__xludf.DUMMYFUNCTION("""COMPUTED_VALUE"""),"")</f>
        <v/>
      </c>
      <c r="G5112" s="18"/>
      <c r="H5112" s="16" t="s">
        <v>87</v>
      </c>
      <c r="I5112" s="16" t="s">
        <v>87</v>
      </c>
      <c r="J5112" s="19"/>
      <c r="L5112" s="16" t="str">
        <f>IFERROR(__xludf.DUMMYFUNCTION("""COMPUTED_VALUE"""),"")</f>
        <v/>
      </c>
      <c r="M5112" s="16" t="str">
        <f>IFERROR(__xludf.DUMMYFUNCTION("""COMPUTED_VALUE"""),"")</f>
        <v/>
      </c>
      <c r="U5112" s="16" t="s">
        <v>87</v>
      </c>
      <c r="V5112" s="16" t="str">
        <f>IFERROR(__xludf.DUMMYFUNCTION("""COMPUTED_VALUE"""),"")</f>
        <v/>
      </c>
      <c r="W5112" s="16" t="str">
        <f>IFERROR(__xludf.DUMMYFUNCTION("""COMPUTED_VALUE"""),"")</f>
        <v/>
      </c>
      <c r="X5112" s="16" t="str">
        <f>IFERROR(__xludf.DUMMYFUNCTION("""COMPUTED_VALUE"""),"")</f>
        <v/>
      </c>
      <c r="AC5112" s="16" t="str">
        <f>IFERROR(__xludf.DUMMYFUNCTION("""COMPUTED_VALUE"""),"")</f>
        <v/>
      </c>
    </row>
    <row r="5113">
      <c r="A5113" s="16" t="s">
        <v>87</v>
      </c>
      <c r="E5113" s="16" t="str">
        <f>IFERROR(__xludf.DUMMYFUNCTION("""COMPUTED_VALUE"""),"")</f>
        <v/>
      </c>
      <c r="G5113" s="18"/>
      <c r="H5113" s="16" t="s">
        <v>87</v>
      </c>
      <c r="I5113" s="16" t="s">
        <v>87</v>
      </c>
      <c r="J5113" s="19"/>
      <c r="L5113" s="16" t="str">
        <f>IFERROR(__xludf.DUMMYFUNCTION("""COMPUTED_VALUE"""),"")</f>
        <v/>
      </c>
      <c r="M5113" s="16" t="str">
        <f>IFERROR(__xludf.DUMMYFUNCTION("""COMPUTED_VALUE"""),"")</f>
        <v/>
      </c>
      <c r="U5113" s="16" t="s">
        <v>87</v>
      </c>
      <c r="V5113" s="16" t="str">
        <f>IFERROR(__xludf.DUMMYFUNCTION("""COMPUTED_VALUE"""),"")</f>
        <v/>
      </c>
      <c r="W5113" s="16" t="str">
        <f>IFERROR(__xludf.DUMMYFUNCTION("""COMPUTED_VALUE"""),"")</f>
        <v/>
      </c>
      <c r="X5113" s="16" t="str">
        <f>IFERROR(__xludf.DUMMYFUNCTION("""COMPUTED_VALUE"""),"")</f>
        <v/>
      </c>
      <c r="AC5113" s="16" t="str">
        <f>IFERROR(__xludf.DUMMYFUNCTION("""COMPUTED_VALUE"""),"")</f>
        <v/>
      </c>
    </row>
    <row r="5114">
      <c r="A5114" s="16" t="s">
        <v>87</v>
      </c>
      <c r="E5114" s="16" t="str">
        <f>IFERROR(__xludf.DUMMYFUNCTION("""COMPUTED_VALUE"""),"")</f>
        <v/>
      </c>
      <c r="G5114" s="18"/>
      <c r="H5114" s="16" t="s">
        <v>87</v>
      </c>
      <c r="I5114" s="16" t="s">
        <v>87</v>
      </c>
      <c r="J5114" s="19"/>
      <c r="L5114" s="16" t="str">
        <f>IFERROR(__xludf.DUMMYFUNCTION("""COMPUTED_VALUE"""),"")</f>
        <v/>
      </c>
      <c r="M5114" s="16" t="str">
        <f>IFERROR(__xludf.DUMMYFUNCTION("""COMPUTED_VALUE"""),"")</f>
        <v/>
      </c>
      <c r="U5114" s="16" t="s">
        <v>87</v>
      </c>
      <c r="V5114" s="16" t="str">
        <f>IFERROR(__xludf.DUMMYFUNCTION("""COMPUTED_VALUE"""),"")</f>
        <v/>
      </c>
      <c r="W5114" s="16" t="str">
        <f>IFERROR(__xludf.DUMMYFUNCTION("""COMPUTED_VALUE"""),"")</f>
        <v/>
      </c>
      <c r="X5114" s="16" t="str">
        <f>IFERROR(__xludf.DUMMYFUNCTION("""COMPUTED_VALUE"""),"")</f>
        <v/>
      </c>
      <c r="AC5114" s="16" t="str">
        <f>IFERROR(__xludf.DUMMYFUNCTION("""COMPUTED_VALUE"""),"")</f>
        <v/>
      </c>
    </row>
    <row r="5115">
      <c r="A5115" s="16" t="s">
        <v>87</v>
      </c>
      <c r="E5115" s="16" t="str">
        <f>IFERROR(__xludf.DUMMYFUNCTION("""COMPUTED_VALUE"""),"")</f>
        <v/>
      </c>
      <c r="G5115" s="18"/>
      <c r="H5115" s="16" t="s">
        <v>87</v>
      </c>
      <c r="I5115" s="16" t="s">
        <v>87</v>
      </c>
      <c r="J5115" s="19"/>
      <c r="L5115" s="16" t="str">
        <f>IFERROR(__xludf.DUMMYFUNCTION("""COMPUTED_VALUE"""),"")</f>
        <v/>
      </c>
      <c r="M5115" s="16" t="str">
        <f>IFERROR(__xludf.DUMMYFUNCTION("""COMPUTED_VALUE"""),"")</f>
        <v/>
      </c>
      <c r="U5115" s="16" t="s">
        <v>87</v>
      </c>
      <c r="V5115" s="16" t="str">
        <f>IFERROR(__xludf.DUMMYFUNCTION("""COMPUTED_VALUE"""),"")</f>
        <v/>
      </c>
      <c r="W5115" s="16" t="str">
        <f>IFERROR(__xludf.DUMMYFUNCTION("""COMPUTED_VALUE"""),"")</f>
        <v/>
      </c>
      <c r="X5115" s="16" t="str">
        <f>IFERROR(__xludf.DUMMYFUNCTION("""COMPUTED_VALUE"""),"")</f>
        <v/>
      </c>
      <c r="AC5115" s="16" t="str">
        <f>IFERROR(__xludf.DUMMYFUNCTION("""COMPUTED_VALUE"""),"")</f>
        <v/>
      </c>
    </row>
    <row r="5116">
      <c r="A5116" s="16" t="s">
        <v>87</v>
      </c>
      <c r="E5116" s="16" t="str">
        <f>IFERROR(__xludf.DUMMYFUNCTION("""COMPUTED_VALUE"""),"")</f>
        <v/>
      </c>
      <c r="G5116" s="18"/>
      <c r="H5116" s="16" t="s">
        <v>87</v>
      </c>
      <c r="I5116" s="16" t="s">
        <v>87</v>
      </c>
      <c r="J5116" s="19"/>
      <c r="L5116" s="16" t="str">
        <f>IFERROR(__xludf.DUMMYFUNCTION("""COMPUTED_VALUE"""),"")</f>
        <v/>
      </c>
      <c r="M5116" s="16" t="str">
        <f>IFERROR(__xludf.DUMMYFUNCTION("""COMPUTED_VALUE"""),"")</f>
        <v/>
      </c>
      <c r="U5116" s="16" t="s">
        <v>87</v>
      </c>
      <c r="V5116" s="16" t="str">
        <f>IFERROR(__xludf.DUMMYFUNCTION("""COMPUTED_VALUE"""),"")</f>
        <v/>
      </c>
      <c r="W5116" s="16" t="str">
        <f>IFERROR(__xludf.DUMMYFUNCTION("""COMPUTED_VALUE"""),"")</f>
        <v/>
      </c>
      <c r="X5116" s="16" t="str">
        <f>IFERROR(__xludf.DUMMYFUNCTION("""COMPUTED_VALUE"""),"")</f>
        <v/>
      </c>
      <c r="AC5116" s="16" t="str">
        <f>IFERROR(__xludf.DUMMYFUNCTION("""COMPUTED_VALUE"""),"")</f>
        <v/>
      </c>
    </row>
    <row r="5117">
      <c r="A5117" s="16" t="s">
        <v>87</v>
      </c>
      <c r="E5117" s="16" t="str">
        <f>IFERROR(__xludf.DUMMYFUNCTION("""COMPUTED_VALUE"""),"")</f>
        <v/>
      </c>
      <c r="G5117" s="18"/>
      <c r="H5117" s="16" t="s">
        <v>87</v>
      </c>
      <c r="I5117" s="16" t="s">
        <v>87</v>
      </c>
      <c r="J5117" s="19"/>
      <c r="L5117" s="16" t="str">
        <f>IFERROR(__xludf.DUMMYFUNCTION("""COMPUTED_VALUE"""),"")</f>
        <v/>
      </c>
      <c r="M5117" s="16" t="str">
        <f>IFERROR(__xludf.DUMMYFUNCTION("""COMPUTED_VALUE"""),"")</f>
        <v/>
      </c>
      <c r="U5117" s="16" t="s">
        <v>87</v>
      </c>
      <c r="V5117" s="16" t="str">
        <f>IFERROR(__xludf.DUMMYFUNCTION("""COMPUTED_VALUE"""),"")</f>
        <v/>
      </c>
      <c r="W5117" s="16" t="str">
        <f>IFERROR(__xludf.DUMMYFUNCTION("""COMPUTED_VALUE"""),"")</f>
        <v/>
      </c>
      <c r="X5117" s="16" t="str">
        <f>IFERROR(__xludf.DUMMYFUNCTION("""COMPUTED_VALUE"""),"")</f>
        <v/>
      </c>
      <c r="AC5117" s="16" t="str">
        <f>IFERROR(__xludf.DUMMYFUNCTION("""COMPUTED_VALUE"""),"")</f>
        <v/>
      </c>
    </row>
    <row r="5118">
      <c r="A5118" s="16" t="s">
        <v>87</v>
      </c>
      <c r="E5118" s="16" t="str">
        <f>IFERROR(__xludf.DUMMYFUNCTION("""COMPUTED_VALUE"""),"")</f>
        <v/>
      </c>
      <c r="G5118" s="18"/>
      <c r="H5118" s="16" t="s">
        <v>87</v>
      </c>
      <c r="I5118" s="16" t="s">
        <v>87</v>
      </c>
      <c r="J5118" s="19"/>
      <c r="L5118" s="16" t="str">
        <f>IFERROR(__xludf.DUMMYFUNCTION("""COMPUTED_VALUE"""),"")</f>
        <v/>
      </c>
      <c r="M5118" s="16" t="str">
        <f>IFERROR(__xludf.DUMMYFUNCTION("""COMPUTED_VALUE"""),"")</f>
        <v/>
      </c>
      <c r="U5118" s="16" t="s">
        <v>87</v>
      </c>
      <c r="V5118" s="16" t="str">
        <f>IFERROR(__xludf.DUMMYFUNCTION("""COMPUTED_VALUE"""),"")</f>
        <v/>
      </c>
      <c r="W5118" s="16" t="str">
        <f>IFERROR(__xludf.DUMMYFUNCTION("""COMPUTED_VALUE"""),"")</f>
        <v/>
      </c>
      <c r="X5118" s="16" t="str">
        <f>IFERROR(__xludf.DUMMYFUNCTION("""COMPUTED_VALUE"""),"")</f>
        <v/>
      </c>
      <c r="AC5118" s="16" t="str">
        <f>IFERROR(__xludf.DUMMYFUNCTION("""COMPUTED_VALUE"""),"")</f>
        <v/>
      </c>
    </row>
    <row r="5119">
      <c r="A5119" s="16" t="s">
        <v>87</v>
      </c>
      <c r="E5119" s="16" t="str">
        <f>IFERROR(__xludf.DUMMYFUNCTION("""COMPUTED_VALUE"""),"")</f>
        <v/>
      </c>
      <c r="G5119" s="18"/>
      <c r="H5119" s="16" t="s">
        <v>87</v>
      </c>
      <c r="I5119" s="16" t="s">
        <v>87</v>
      </c>
      <c r="J5119" s="19"/>
      <c r="L5119" s="16" t="str">
        <f>IFERROR(__xludf.DUMMYFUNCTION("""COMPUTED_VALUE"""),"")</f>
        <v/>
      </c>
      <c r="M5119" s="16" t="str">
        <f>IFERROR(__xludf.DUMMYFUNCTION("""COMPUTED_VALUE"""),"")</f>
        <v/>
      </c>
      <c r="U5119" s="16" t="s">
        <v>87</v>
      </c>
      <c r="V5119" s="16" t="str">
        <f>IFERROR(__xludf.DUMMYFUNCTION("""COMPUTED_VALUE"""),"")</f>
        <v/>
      </c>
      <c r="W5119" s="16" t="str">
        <f>IFERROR(__xludf.DUMMYFUNCTION("""COMPUTED_VALUE"""),"")</f>
        <v/>
      </c>
      <c r="X5119" s="16" t="str">
        <f>IFERROR(__xludf.DUMMYFUNCTION("""COMPUTED_VALUE"""),"")</f>
        <v/>
      </c>
      <c r="AC5119" s="16" t="str">
        <f>IFERROR(__xludf.DUMMYFUNCTION("""COMPUTED_VALUE"""),"")</f>
        <v/>
      </c>
    </row>
    <row r="5120">
      <c r="A5120" s="16" t="s">
        <v>87</v>
      </c>
      <c r="E5120" s="16" t="str">
        <f>IFERROR(__xludf.DUMMYFUNCTION("""COMPUTED_VALUE"""),"")</f>
        <v/>
      </c>
      <c r="G5120" s="18"/>
      <c r="H5120" s="16" t="s">
        <v>87</v>
      </c>
      <c r="I5120" s="16" t="s">
        <v>87</v>
      </c>
      <c r="J5120" s="19"/>
      <c r="L5120" s="16" t="str">
        <f>IFERROR(__xludf.DUMMYFUNCTION("""COMPUTED_VALUE"""),"")</f>
        <v/>
      </c>
      <c r="M5120" s="16" t="str">
        <f>IFERROR(__xludf.DUMMYFUNCTION("""COMPUTED_VALUE"""),"")</f>
        <v/>
      </c>
      <c r="U5120" s="16" t="s">
        <v>87</v>
      </c>
      <c r="V5120" s="16" t="str">
        <f>IFERROR(__xludf.DUMMYFUNCTION("""COMPUTED_VALUE"""),"")</f>
        <v/>
      </c>
      <c r="W5120" s="16" t="str">
        <f>IFERROR(__xludf.DUMMYFUNCTION("""COMPUTED_VALUE"""),"")</f>
        <v/>
      </c>
      <c r="X5120" s="16" t="str">
        <f>IFERROR(__xludf.DUMMYFUNCTION("""COMPUTED_VALUE"""),"")</f>
        <v/>
      </c>
      <c r="AC5120" s="16" t="str">
        <f>IFERROR(__xludf.DUMMYFUNCTION("""COMPUTED_VALUE"""),"")</f>
        <v/>
      </c>
    </row>
    <row r="5121">
      <c r="A5121" s="16" t="s">
        <v>87</v>
      </c>
      <c r="E5121" s="16" t="str">
        <f>IFERROR(__xludf.DUMMYFUNCTION("""COMPUTED_VALUE"""),"")</f>
        <v/>
      </c>
      <c r="G5121" s="18"/>
      <c r="H5121" s="16" t="s">
        <v>87</v>
      </c>
      <c r="I5121" s="16" t="s">
        <v>87</v>
      </c>
      <c r="J5121" s="19"/>
      <c r="L5121" s="16" t="str">
        <f>IFERROR(__xludf.DUMMYFUNCTION("""COMPUTED_VALUE"""),"")</f>
        <v/>
      </c>
      <c r="M5121" s="16" t="str">
        <f>IFERROR(__xludf.DUMMYFUNCTION("""COMPUTED_VALUE"""),"")</f>
        <v/>
      </c>
      <c r="U5121" s="16" t="s">
        <v>87</v>
      </c>
      <c r="V5121" s="16" t="str">
        <f>IFERROR(__xludf.DUMMYFUNCTION("""COMPUTED_VALUE"""),"")</f>
        <v/>
      </c>
      <c r="W5121" s="16" t="str">
        <f>IFERROR(__xludf.DUMMYFUNCTION("""COMPUTED_VALUE"""),"")</f>
        <v/>
      </c>
      <c r="X5121" s="16" t="str">
        <f>IFERROR(__xludf.DUMMYFUNCTION("""COMPUTED_VALUE"""),"")</f>
        <v/>
      </c>
      <c r="AC5121" s="16" t="str">
        <f>IFERROR(__xludf.DUMMYFUNCTION("""COMPUTED_VALUE"""),"")</f>
        <v/>
      </c>
    </row>
    <row r="5122">
      <c r="A5122" s="16" t="s">
        <v>87</v>
      </c>
      <c r="E5122" s="16" t="str">
        <f>IFERROR(__xludf.DUMMYFUNCTION("""COMPUTED_VALUE"""),"")</f>
        <v/>
      </c>
      <c r="G5122" s="18"/>
      <c r="H5122" s="16" t="s">
        <v>87</v>
      </c>
      <c r="I5122" s="16" t="s">
        <v>87</v>
      </c>
      <c r="J5122" s="19"/>
      <c r="L5122" s="16" t="str">
        <f>IFERROR(__xludf.DUMMYFUNCTION("""COMPUTED_VALUE"""),"")</f>
        <v/>
      </c>
      <c r="M5122" s="16" t="str">
        <f>IFERROR(__xludf.DUMMYFUNCTION("""COMPUTED_VALUE"""),"")</f>
        <v/>
      </c>
      <c r="U5122" s="16" t="s">
        <v>87</v>
      </c>
      <c r="V5122" s="16" t="str">
        <f>IFERROR(__xludf.DUMMYFUNCTION("""COMPUTED_VALUE"""),"")</f>
        <v/>
      </c>
      <c r="W5122" s="16" t="str">
        <f>IFERROR(__xludf.DUMMYFUNCTION("""COMPUTED_VALUE"""),"")</f>
        <v/>
      </c>
      <c r="X5122" s="16" t="str">
        <f>IFERROR(__xludf.DUMMYFUNCTION("""COMPUTED_VALUE"""),"")</f>
        <v/>
      </c>
      <c r="AC5122" s="16" t="str">
        <f>IFERROR(__xludf.DUMMYFUNCTION("""COMPUTED_VALUE"""),"")</f>
        <v/>
      </c>
    </row>
    <row r="5123">
      <c r="A5123" s="16" t="s">
        <v>87</v>
      </c>
      <c r="E5123" s="16" t="str">
        <f>IFERROR(__xludf.DUMMYFUNCTION("""COMPUTED_VALUE"""),"")</f>
        <v/>
      </c>
      <c r="G5123" s="18"/>
      <c r="H5123" s="16" t="s">
        <v>87</v>
      </c>
      <c r="I5123" s="16" t="s">
        <v>87</v>
      </c>
      <c r="J5123" s="19"/>
      <c r="L5123" s="16" t="str">
        <f>IFERROR(__xludf.DUMMYFUNCTION("""COMPUTED_VALUE"""),"")</f>
        <v/>
      </c>
      <c r="M5123" s="16" t="str">
        <f>IFERROR(__xludf.DUMMYFUNCTION("""COMPUTED_VALUE"""),"")</f>
        <v/>
      </c>
      <c r="U5123" s="16" t="s">
        <v>87</v>
      </c>
      <c r="V5123" s="16" t="str">
        <f>IFERROR(__xludf.DUMMYFUNCTION("""COMPUTED_VALUE"""),"")</f>
        <v/>
      </c>
      <c r="W5123" s="16" t="str">
        <f>IFERROR(__xludf.DUMMYFUNCTION("""COMPUTED_VALUE"""),"")</f>
        <v/>
      </c>
      <c r="X5123" s="16" t="str">
        <f>IFERROR(__xludf.DUMMYFUNCTION("""COMPUTED_VALUE"""),"")</f>
        <v/>
      </c>
      <c r="AC5123" s="16" t="str">
        <f>IFERROR(__xludf.DUMMYFUNCTION("""COMPUTED_VALUE"""),"")</f>
        <v/>
      </c>
    </row>
    <row r="5124">
      <c r="A5124" s="16" t="s">
        <v>87</v>
      </c>
      <c r="E5124" s="16" t="str">
        <f>IFERROR(__xludf.DUMMYFUNCTION("""COMPUTED_VALUE"""),"")</f>
        <v/>
      </c>
      <c r="G5124" s="18"/>
      <c r="H5124" s="16" t="s">
        <v>87</v>
      </c>
      <c r="I5124" s="16" t="s">
        <v>87</v>
      </c>
      <c r="J5124" s="19"/>
      <c r="L5124" s="16" t="str">
        <f>IFERROR(__xludf.DUMMYFUNCTION("""COMPUTED_VALUE"""),"")</f>
        <v/>
      </c>
      <c r="M5124" s="16" t="str">
        <f>IFERROR(__xludf.DUMMYFUNCTION("""COMPUTED_VALUE"""),"")</f>
        <v/>
      </c>
      <c r="U5124" s="16" t="s">
        <v>87</v>
      </c>
      <c r="V5124" s="16" t="str">
        <f>IFERROR(__xludf.DUMMYFUNCTION("""COMPUTED_VALUE"""),"")</f>
        <v/>
      </c>
      <c r="W5124" s="16" t="str">
        <f>IFERROR(__xludf.DUMMYFUNCTION("""COMPUTED_VALUE"""),"")</f>
        <v/>
      </c>
      <c r="X5124" s="16" t="str">
        <f>IFERROR(__xludf.DUMMYFUNCTION("""COMPUTED_VALUE"""),"")</f>
        <v/>
      </c>
      <c r="AC5124" s="16" t="str">
        <f>IFERROR(__xludf.DUMMYFUNCTION("""COMPUTED_VALUE"""),"")</f>
        <v/>
      </c>
    </row>
    <row r="5125">
      <c r="A5125" s="16" t="s">
        <v>87</v>
      </c>
      <c r="E5125" s="16" t="str">
        <f>IFERROR(__xludf.DUMMYFUNCTION("""COMPUTED_VALUE"""),"")</f>
        <v/>
      </c>
      <c r="G5125" s="18"/>
      <c r="H5125" s="16" t="s">
        <v>87</v>
      </c>
      <c r="I5125" s="16" t="s">
        <v>87</v>
      </c>
      <c r="J5125" s="19"/>
      <c r="L5125" s="16" t="str">
        <f>IFERROR(__xludf.DUMMYFUNCTION("""COMPUTED_VALUE"""),"")</f>
        <v/>
      </c>
      <c r="M5125" s="16" t="str">
        <f>IFERROR(__xludf.DUMMYFUNCTION("""COMPUTED_VALUE"""),"")</f>
        <v/>
      </c>
      <c r="U5125" s="16" t="s">
        <v>87</v>
      </c>
      <c r="V5125" s="16" t="str">
        <f>IFERROR(__xludf.DUMMYFUNCTION("""COMPUTED_VALUE"""),"")</f>
        <v/>
      </c>
      <c r="W5125" s="16" t="str">
        <f>IFERROR(__xludf.DUMMYFUNCTION("""COMPUTED_VALUE"""),"")</f>
        <v/>
      </c>
      <c r="X5125" s="16" t="str">
        <f>IFERROR(__xludf.DUMMYFUNCTION("""COMPUTED_VALUE"""),"")</f>
        <v/>
      </c>
      <c r="AC5125" s="16" t="str">
        <f>IFERROR(__xludf.DUMMYFUNCTION("""COMPUTED_VALUE"""),"")</f>
        <v/>
      </c>
    </row>
    <row r="5126">
      <c r="A5126" s="16" t="s">
        <v>87</v>
      </c>
      <c r="E5126" s="16" t="str">
        <f>IFERROR(__xludf.DUMMYFUNCTION("""COMPUTED_VALUE"""),"")</f>
        <v/>
      </c>
      <c r="G5126" s="18"/>
      <c r="H5126" s="16" t="s">
        <v>87</v>
      </c>
      <c r="I5126" s="16" t="s">
        <v>87</v>
      </c>
      <c r="J5126" s="19"/>
      <c r="L5126" s="16" t="str">
        <f>IFERROR(__xludf.DUMMYFUNCTION("""COMPUTED_VALUE"""),"")</f>
        <v/>
      </c>
      <c r="M5126" s="16" t="str">
        <f>IFERROR(__xludf.DUMMYFUNCTION("""COMPUTED_VALUE"""),"")</f>
        <v/>
      </c>
      <c r="U5126" s="16" t="s">
        <v>87</v>
      </c>
      <c r="V5126" s="16" t="str">
        <f>IFERROR(__xludf.DUMMYFUNCTION("""COMPUTED_VALUE"""),"")</f>
        <v/>
      </c>
      <c r="W5126" s="16" t="str">
        <f>IFERROR(__xludf.DUMMYFUNCTION("""COMPUTED_VALUE"""),"")</f>
        <v/>
      </c>
      <c r="X5126" s="16" t="str">
        <f>IFERROR(__xludf.DUMMYFUNCTION("""COMPUTED_VALUE"""),"")</f>
        <v/>
      </c>
      <c r="AC5126" s="16" t="str">
        <f>IFERROR(__xludf.DUMMYFUNCTION("""COMPUTED_VALUE"""),"")</f>
        <v/>
      </c>
    </row>
    <row r="5127">
      <c r="A5127" s="16" t="s">
        <v>87</v>
      </c>
      <c r="E5127" s="16" t="str">
        <f>IFERROR(__xludf.DUMMYFUNCTION("""COMPUTED_VALUE"""),"")</f>
        <v/>
      </c>
      <c r="G5127" s="18"/>
      <c r="H5127" s="16" t="s">
        <v>87</v>
      </c>
      <c r="I5127" s="16" t="s">
        <v>87</v>
      </c>
      <c r="J5127" s="19"/>
      <c r="L5127" s="16" t="str">
        <f>IFERROR(__xludf.DUMMYFUNCTION("""COMPUTED_VALUE"""),"")</f>
        <v/>
      </c>
      <c r="M5127" s="16" t="str">
        <f>IFERROR(__xludf.DUMMYFUNCTION("""COMPUTED_VALUE"""),"")</f>
        <v/>
      </c>
      <c r="U5127" s="16" t="s">
        <v>87</v>
      </c>
      <c r="V5127" s="16" t="str">
        <f>IFERROR(__xludf.DUMMYFUNCTION("""COMPUTED_VALUE"""),"")</f>
        <v/>
      </c>
      <c r="W5127" s="16" t="str">
        <f>IFERROR(__xludf.DUMMYFUNCTION("""COMPUTED_VALUE"""),"")</f>
        <v/>
      </c>
      <c r="X5127" s="16" t="str">
        <f>IFERROR(__xludf.DUMMYFUNCTION("""COMPUTED_VALUE"""),"")</f>
        <v/>
      </c>
      <c r="AC5127" s="16" t="str">
        <f>IFERROR(__xludf.DUMMYFUNCTION("""COMPUTED_VALUE"""),"")</f>
        <v/>
      </c>
    </row>
    <row r="5128">
      <c r="A5128" s="16" t="s">
        <v>87</v>
      </c>
      <c r="E5128" s="16" t="str">
        <f>IFERROR(__xludf.DUMMYFUNCTION("""COMPUTED_VALUE"""),"")</f>
        <v/>
      </c>
      <c r="G5128" s="18"/>
      <c r="H5128" s="16" t="s">
        <v>87</v>
      </c>
      <c r="I5128" s="16" t="s">
        <v>87</v>
      </c>
      <c r="J5128" s="19"/>
      <c r="L5128" s="16" t="str">
        <f>IFERROR(__xludf.DUMMYFUNCTION("""COMPUTED_VALUE"""),"")</f>
        <v/>
      </c>
      <c r="M5128" s="16" t="str">
        <f>IFERROR(__xludf.DUMMYFUNCTION("""COMPUTED_VALUE"""),"")</f>
        <v/>
      </c>
      <c r="U5128" s="16" t="s">
        <v>87</v>
      </c>
      <c r="V5128" s="16" t="str">
        <f>IFERROR(__xludf.DUMMYFUNCTION("""COMPUTED_VALUE"""),"")</f>
        <v/>
      </c>
      <c r="W5128" s="16" t="str">
        <f>IFERROR(__xludf.DUMMYFUNCTION("""COMPUTED_VALUE"""),"")</f>
        <v/>
      </c>
      <c r="X5128" s="16" t="str">
        <f>IFERROR(__xludf.DUMMYFUNCTION("""COMPUTED_VALUE"""),"")</f>
        <v/>
      </c>
      <c r="AC5128" s="16" t="str">
        <f>IFERROR(__xludf.DUMMYFUNCTION("""COMPUTED_VALUE"""),"")</f>
        <v/>
      </c>
    </row>
    <row r="5129">
      <c r="A5129" s="16" t="s">
        <v>87</v>
      </c>
      <c r="E5129" s="16" t="str">
        <f>IFERROR(__xludf.DUMMYFUNCTION("""COMPUTED_VALUE"""),"")</f>
        <v/>
      </c>
      <c r="G5129" s="18"/>
      <c r="H5129" s="16" t="s">
        <v>87</v>
      </c>
      <c r="I5129" s="16" t="s">
        <v>87</v>
      </c>
      <c r="J5129" s="19"/>
      <c r="L5129" s="16" t="str">
        <f>IFERROR(__xludf.DUMMYFUNCTION("""COMPUTED_VALUE"""),"")</f>
        <v/>
      </c>
      <c r="M5129" s="16" t="str">
        <f>IFERROR(__xludf.DUMMYFUNCTION("""COMPUTED_VALUE"""),"")</f>
        <v/>
      </c>
      <c r="U5129" s="16" t="s">
        <v>87</v>
      </c>
      <c r="V5129" s="16" t="str">
        <f>IFERROR(__xludf.DUMMYFUNCTION("""COMPUTED_VALUE"""),"")</f>
        <v/>
      </c>
      <c r="W5129" s="16" t="str">
        <f>IFERROR(__xludf.DUMMYFUNCTION("""COMPUTED_VALUE"""),"")</f>
        <v/>
      </c>
      <c r="X5129" s="16" t="str">
        <f>IFERROR(__xludf.DUMMYFUNCTION("""COMPUTED_VALUE"""),"")</f>
        <v/>
      </c>
      <c r="AC5129" s="16" t="str">
        <f>IFERROR(__xludf.DUMMYFUNCTION("""COMPUTED_VALUE"""),"")</f>
        <v/>
      </c>
    </row>
    <row r="5130">
      <c r="A5130" s="16" t="s">
        <v>87</v>
      </c>
      <c r="E5130" s="16" t="str">
        <f>IFERROR(__xludf.DUMMYFUNCTION("""COMPUTED_VALUE"""),"")</f>
        <v/>
      </c>
      <c r="G5130" s="18"/>
      <c r="H5130" s="16" t="s">
        <v>87</v>
      </c>
      <c r="I5130" s="16" t="s">
        <v>87</v>
      </c>
      <c r="J5130" s="19"/>
      <c r="L5130" s="16" t="str">
        <f>IFERROR(__xludf.DUMMYFUNCTION("""COMPUTED_VALUE"""),"")</f>
        <v/>
      </c>
      <c r="M5130" s="16" t="str">
        <f>IFERROR(__xludf.DUMMYFUNCTION("""COMPUTED_VALUE"""),"")</f>
        <v/>
      </c>
      <c r="U5130" s="16" t="s">
        <v>87</v>
      </c>
      <c r="V5130" s="16" t="str">
        <f>IFERROR(__xludf.DUMMYFUNCTION("""COMPUTED_VALUE"""),"")</f>
        <v/>
      </c>
      <c r="W5130" s="16" t="str">
        <f>IFERROR(__xludf.DUMMYFUNCTION("""COMPUTED_VALUE"""),"")</f>
        <v/>
      </c>
      <c r="X5130" s="16" t="str">
        <f>IFERROR(__xludf.DUMMYFUNCTION("""COMPUTED_VALUE"""),"")</f>
        <v/>
      </c>
      <c r="AC5130" s="16" t="str">
        <f>IFERROR(__xludf.DUMMYFUNCTION("""COMPUTED_VALUE"""),"")</f>
        <v/>
      </c>
    </row>
    <row r="5131">
      <c r="A5131" s="16" t="s">
        <v>87</v>
      </c>
      <c r="E5131" s="16" t="str">
        <f>IFERROR(__xludf.DUMMYFUNCTION("""COMPUTED_VALUE"""),"")</f>
        <v/>
      </c>
      <c r="G5131" s="18"/>
      <c r="H5131" s="16" t="s">
        <v>87</v>
      </c>
      <c r="I5131" s="16" t="s">
        <v>87</v>
      </c>
      <c r="J5131" s="19"/>
      <c r="L5131" s="16" t="str">
        <f>IFERROR(__xludf.DUMMYFUNCTION("""COMPUTED_VALUE"""),"")</f>
        <v/>
      </c>
      <c r="M5131" s="16" t="str">
        <f>IFERROR(__xludf.DUMMYFUNCTION("""COMPUTED_VALUE"""),"")</f>
        <v/>
      </c>
      <c r="U5131" s="16" t="s">
        <v>87</v>
      </c>
      <c r="V5131" s="16" t="str">
        <f>IFERROR(__xludf.DUMMYFUNCTION("""COMPUTED_VALUE"""),"")</f>
        <v/>
      </c>
      <c r="W5131" s="16" t="str">
        <f>IFERROR(__xludf.DUMMYFUNCTION("""COMPUTED_VALUE"""),"")</f>
        <v/>
      </c>
      <c r="X5131" s="16" t="str">
        <f>IFERROR(__xludf.DUMMYFUNCTION("""COMPUTED_VALUE"""),"")</f>
        <v/>
      </c>
      <c r="AC5131" s="16" t="str">
        <f>IFERROR(__xludf.DUMMYFUNCTION("""COMPUTED_VALUE"""),"")</f>
        <v/>
      </c>
    </row>
    <row r="5132">
      <c r="A5132" s="16" t="s">
        <v>87</v>
      </c>
      <c r="E5132" s="16" t="str">
        <f>IFERROR(__xludf.DUMMYFUNCTION("""COMPUTED_VALUE"""),"")</f>
        <v/>
      </c>
      <c r="G5132" s="18"/>
      <c r="H5132" s="16" t="s">
        <v>87</v>
      </c>
      <c r="I5132" s="16" t="s">
        <v>87</v>
      </c>
      <c r="J5132" s="19"/>
      <c r="L5132" s="16" t="str">
        <f>IFERROR(__xludf.DUMMYFUNCTION("""COMPUTED_VALUE"""),"")</f>
        <v/>
      </c>
      <c r="M5132" s="16" t="str">
        <f>IFERROR(__xludf.DUMMYFUNCTION("""COMPUTED_VALUE"""),"")</f>
        <v/>
      </c>
      <c r="U5132" s="16" t="s">
        <v>87</v>
      </c>
      <c r="V5132" s="16" t="str">
        <f>IFERROR(__xludf.DUMMYFUNCTION("""COMPUTED_VALUE"""),"")</f>
        <v/>
      </c>
      <c r="W5132" s="16" t="str">
        <f>IFERROR(__xludf.DUMMYFUNCTION("""COMPUTED_VALUE"""),"")</f>
        <v/>
      </c>
      <c r="X5132" s="16" t="str">
        <f>IFERROR(__xludf.DUMMYFUNCTION("""COMPUTED_VALUE"""),"")</f>
        <v/>
      </c>
      <c r="AC5132" s="16" t="str">
        <f>IFERROR(__xludf.DUMMYFUNCTION("""COMPUTED_VALUE"""),"")</f>
        <v/>
      </c>
    </row>
    <row r="5133">
      <c r="A5133" s="16" t="s">
        <v>87</v>
      </c>
      <c r="E5133" s="16" t="str">
        <f>IFERROR(__xludf.DUMMYFUNCTION("""COMPUTED_VALUE"""),"")</f>
        <v/>
      </c>
      <c r="G5133" s="18"/>
      <c r="H5133" s="16" t="s">
        <v>87</v>
      </c>
      <c r="I5133" s="16" t="s">
        <v>87</v>
      </c>
      <c r="J5133" s="19"/>
      <c r="L5133" s="16" t="str">
        <f>IFERROR(__xludf.DUMMYFUNCTION("""COMPUTED_VALUE"""),"")</f>
        <v/>
      </c>
      <c r="M5133" s="16" t="str">
        <f>IFERROR(__xludf.DUMMYFUNCTION("""COMPUTED_VALUE"""),"")</f>
        <v/>
      </c>
      <c r="U5133" s="16" t="s">
        <v>87</v>
      </c>
      <c r="V5133" s="16" t="str">
        <f>IFERROR(__xludf.DUMMYFUNCTION("""COMPUTED_VALUE"""),"")</f>
        <v/>
      </c>
      <c r="W5133" s="16" t="str">
        <f>IFERROR(__xludf.DUMMYFUNCTION("""COMPUTED_VALUE"""),"")</f>
        <v/>
      </c>
      <c r="X5133" s="16" t="str">
        <f>IFERROR(__xludf.DUMMYFUNCTION("""COMPUTED_VALUE"""),"")</f>
        <v/>
      </c>
      <c r="AC5133" s="16" t="str">
        <f>IFERROR(__xludf.DUMMYFUNCTION("""COMPUTED_VALUE"""),"")</f>
        <v/>
      </c>
    </row>
    <row r="5134">
      <c r="A5134" s="16" t="s">
        <v>87</v>
      </c>
      <c r="E5134" s="16" t="str">
        <f>IFERROR(__xludf.DUMMYFUNCTION("""COMPUTED_VALUE"""),"")</f>
        <v/>
      </c>
      <c r="G5134" s="18"/>
      <c r="H5134" s="16" t="s">
        <v>87</v>
      </c>
      <c r="I5134" s="16" t="s">
        <v>87</v>
      </c>
      <c r="J5134" s="19"/>
      <c r="L5134" s="16" t="str">
        <f>IFERROR(__xludf.DUMMYFUNCTION("""COMPUTED_VALUE"""),"")</f>
        <v/>
      </c>
      <c r="M5134" s="16" t="str">
        <f>IFERROR(__xludf.DUMMYFUNCTION("""COMPUTED_VALUE"""),"")</f>
        <v/>
      </c>
      <c r="U5134" s="16" t="s">
        <v>87</v>
      </c>
      <c r="V5134" s="16" t="str">
        <f>IFERROR(__xludf.DUMMYFUNCTION("""COMPUTED_VALUE"""),"")</f>
        <v/>
      </c>
      <c r="W5134" s="16" t="str">
        <f>IFERROR(__xludf.DUMMYFUNCTION("""COMPUTED_VALUE"""),"")</f>
        <v/>
      </c>
      <c r="X5134" s="16" t="str">
        <f>IFERROR(__xludf.DUMMYFUNCTION("""COMPUTED_VALUE"""),"")</f>
        <v/>
      </c>
      <c r="AC5134" s="16" t="str">
        <f>IFERROR(__xludf.DUMMYFUNCTION("""COMPUTED_VALUE"""),"")</f>
        <v/>
      </c>
    </row>
    <row r="5135">
      <c r="A5135" s="16" t="s">
        <v>87</v>
      </c>
      <c r="E5135" s="16" t="str">
        <f>IFERROR(__xludf.DUMMYFUNCTION("""COMPUTED_VALUE"""),"")</f>
        <v/>
      </c>
      <c r="G5135" s="18"/>
      <c r="H5135" s="16" t="s">
        <v>87</v>
      </c>
      <c r="I5135" s="16" t="s">
        <v>87</v>
      </c>
      <c r="J5135" s="19"/>
      <c r="L5135" s="16" t="str">
        <f>IFERROR(__xludf.DUMMYFUNCTION("""COMPUTED_VALUE"""),"")</f>
        <v/>
      </c>
      <c r="M5135" s="16" t="str">
        <f>IFERROR(__xludf.DUMMYFUNCTION("""COMPUTED_VALUE"""),"")</f>
        <v/>
      </c>
      <c r="U5135" s="16" t="s">
        <v>87</v>
      </c>
      <c r="V5135" s="16" t="str">
        <f>IFERROR(__xludf.DUMMYFUNCTION("""COMPUTED_VALUE"""),"")</f>
        <v/>
      </c>
      <c r="W5135" s="16" t="str">
        <f>IFERROR(__xludf.DUMMYFUNCTION("""COMPUTED_VALUE"""),"")</f>
        <v/>
      </c>
      <c r="X5135" s="16" t="str">
        <f>IFERROR(__xludf.DUMMYFUNCTION("""COMPUTED_VALUE"""),"")</f>
        <v/>
      </c>
      <c r="AC5135" s="16" t="str">
        <f>IFERROR(__xludf.DUMMYFUNCTION("""COMPUTED_VALUE"""),"")</f>
        <v/>
      </c>
    </row>
    <row r="5136">
      <c r="A5136" s="16" t="s">
        <v>87</v>
      </c>
      <c r="E5136" s="16" t="str">
        <f>IFERROR(__xludf.DUMMYFUNCTION("""COMPUTED_VALUE"""),"")</f>
        <v/>
      </c>
      <c r="G5136" s="18"/>
      <c r="H5136" s="16" t="s">
        <v>87</v>
      </c>
      <c r="I5136" s="16" t="s">
        <v>87</v>
      </c>
      <c r="J5136" s="19"/>
      <c r="L5136" s="16" t="str">
        <f>IFERROR(__xludf.DUMMYFUNCTION("""COMPUTED_VALUE"""),"")</f>
        <v/>
      </c>
      <c r="M5136" s="16" t="str">
        <f>IFERROR(__xludf.DUMMYFUNCTION("""COMPUTED_VALUE"""),"")</f>
        <v/>
      </c>
      <c r="U5136" s="16" t="s">
        <v>87</v>
      </c>
      <c r="V5136" s="16" t="str">
        <f>IFERROR(__xludf.DUMMYFUNCTION("""COMPUTED_VALUE"""),"")</f>
        <v/>
      </c>
      <c r="W5136" s="16" t="str">
        <f>IFERROR(__xludf.DUMMYFUNCTION("""COMPUTED_VALUE"""),"")</f>
        <v/>
      </c>
      <c r="X5136" s="16" t="str">
        <f>IFERROR(__xludf.DUMMYFUNCTION("""COMPUTED_VALUE"""),"")</f>
        <v/>
      </c>
      <c r="AC5136" s="16" t="str">
        <f>IFERROR(__xludf.DUMMYFUNCTION("""COMPUTED_VALUE"""),"")</f>
        <v/>
      </c>
    </row>
    <row r="5137">
      <c r="A5137" s="16" t="s">
        <v>87</v>
      </c>
      <c r="E5137" s="16" t="str">
        <f>IFERROR(__xludf.DUMMYFUNCTION("""COMPUTED_VALUE"""),"")</f>
        <v/>
      </c>
      <c r="G5137" s="18"/>
      <c r="H5137" s="16" t="s">
        <v>87</v>
      </c>
      <c r="I5137" s="16" t="s">
        <v>87</v>
      </c>
      <c r="J5137" s="19"/>
      <c r="L5137" s="16" t="str">
        <f>IFERROR(__xludf.DUMMYFUNCTION("""COMPUTED_VALUE"""),"")</f>
        <v/>
      </c>
      <c r="M5137" s="16" t="str">
        <f>IFERROR(__xludf.DUMMYFUNCTION("""COMPUTED_VALUE"""),"")</f>
        <v/>
      </c>
      <c r="U5137" s="16" t="s">
        <v>87</v>
      </c>
      <c r="V5137" s="16" t="str">
        <f>IFERROR(__xludf.DUMMYFUNCTION("""COMPUTED_VALUE"""),"")</f>
        <v/>
      </c>
      <c r="W5137" s="16" t="str">
        <f>IFERROR(__xludf.DUMMYFUNCTION("""COMPUTED_VALUE"""),"")</f>
        <v/>
      </c>
      <c r="X5137" s="16" t="str">
        <f>IFERROR(__xludf.DUMMYFUNCTION("""COMPUTED_VALUE"""),"")</f>
        <v/>
      </c>
      <c r="AC5137" s="16" t="str">
        <f>IFERROR(__xludf.DUMMYFUNCTION("""COMPUTED_VALUE"""),"")</f>
        <v/>
      </c>
    </row>
    <row r="5138">
      <c r="A5138" s="16" t="s">
        <v>87</v>
      </c>
      <c r="E5138" s="16" t="str">
        <f>IFERROR(__xludf.DUMMYFUNCTION("""COMPUTED_VALUE"""),"")</f>
        <v/>
      </c>
      <c r="G5138" s="18"/>
      <c r="H5138" s="16" t="s">
        <v>87</v>
      </c>
      <c r="I5138" s="16" t="s">
        <v>87</v>
      </c>
      <c r="J5138" s="19"/>
      <c r="L5138" s="16" t="str">
        <f>IFERROR(__xludf.DUMMYFUNCTION("""COMPUTED_VALUE"""),"")</f>
        <v/>
      </c>
      <c r="M5138" s="16" t="str">
        <f>IFERROR(__xludf.DUMMYFUNCTION("""COMPUTED_VALUE"""),"")</f>
        <v/>
      </c>
      <c r="U5138" s="16" t="s">
        <v>87</v>
      </c>
      <c r="V5138" s="16" t="str">
        <f>IFERROR(__xludf.DUMMYFUNCTION("""COMPUTED_VALUE"""),"")</f>
        <v/>
      </c>
      <c r="W5138" s="16" t="str">
        <f>IFERROR(__xludf.DUMMYFUNCTION("""COMPUTED_VALUE"""),"")</f>
        <v/>
      </c>
      <c r="X5138" s="16" t="str">
        <f>IFERROR(__xludf.DUMMYFUNCTION("""COMPUTED_VALUE"""),"")</f>
        <v/>
      </c>
      <c r="AC5138" s="16" t="str">
        <f>IFERROR(__xludf.DUMMYFUNCTION("""COMPUTED_VALUE"""),"")</f>
        <v/>
      </c>
    </row>
    <row r="5139">
      <c r="A5139" s="16" t="s">
        <v>87</v>
      </c>
      <c r="E5139" s="16" t="str">
        <f>IFERROR(__xludf.DUMMYFUNCTION("""COMPUTED_VALUE"""),"")</f>
        <v/>
      </c>
      <c r="G5139" s="18"/>
      <c r="H5139" s="16" t="s">
        <v>87</v>
      </c>
      <c r="I5139" s="16" t="s">
        <v>87</v>
      </c>
      <c r="J5139" s="19"/>
      <c r="L5139" s="16" t="str">
        <f>IFERROR(__xludf.DUMMYFUNCTION("""COMPUTED_VALUE"""),"")</f>
        <v/>
      </c>
      <c r="M5139" s="16" t="str">
        <f>IFERROR(__xludf.DUMMYFUNCTION("""COMPUTED_VALUE"""),"")</f>
        <v/>
      </c>
      <c r="U5139" s="16" t="s">
        <v>87</v>
      </c>
      <c r="V5139" s="16" t="str">
        <f>IFERROR(__xludf.DUMMYFUNCTION("""COMPUTED_VALUE"""),"")</f>
        <v/>
      </c>
      <c r="W5139" s="16" t="str">
        <f>IFERROR(__xludf.DUMMYFUNCTION("""COMPUTED_VALUE"""),"")</f>
        <v/>
      </c>
      <c r="X5139" s="16" t="str">
        <f>IFERROR(__xludf.DUMMYFUNCTION("""COMPUTED_VALUE"""),"")</f>
        <v/>
      </c>
      <c r="AC5139" s="16" t="str">
        <f>IFERROR(__xludf.DUMMYFUNCTION("""COMPUTED_VALUE"""),"")</f>
        <v/>
      </c>
    </row>
    <row r="5140">
      <c r="A5140" s="16" t="s">
        <v>87</v>
      </c>
      <c r="E5140" s="16" t="str">
        <f>IFERROR(__xludf.DUMMYFUNCTION("""COMPUTED_VALUE"""),"")</f>
        <v/>
      </c>
      <c r="G5140" s="18"/>
      <c r="H5140" s="16" t="s">
        <v>87</v>
      </c>
      <c r="I5140" s="16" t="s">
        <v>87</v>
      </c>
      <c r="J5140" s="19"/>
      <c r="L5140" s="16" t="str">
        <f>IFERROR(__xludf.DUMMYFUNCTION("""COMPUTED_VALUE"""),"")</f>
        <v/>
      </c>
      <c r="M5140" s="16" t="str">
        <f>IFERROR(__xludf.DUMMYFUNCTION("""COMPUTED_VALUE"""),"")</f>
        <v/>
      </c>
      <c r="U5140" s="16" t="s">
        <v>87</v>
      </c>
      <c r="V5140" s="16" t="str">
        <f>IFERROR(__xludf.DUMMYFUNCTION("""COMPUTED_VALUE"""),"")</f>
        <v/>
      </c>
      <c r="W5140" s="16" t="str">
        <f>IFERROR(__xludf.DUMMYFUNCTION("""COMPUTED_VALUE"""),"")</f>
        <v/>
      </c>
      <c r="X5140" s="16" t="str">
        <f>IFERROR(__xludf.DUMMYFUNCTION("""COMPUTED_VALUE"""),"")</f>
        <v/>
      </c>
      <c r="AC5140" s="16" t="str">
        <f>IFERROR(__xludf.DUMMYFUNCTION("""COMPUTED_VALUE"""),"")</f>
        <v/>
      </c>
    </row>
    <row r="5141">
      <c r="A5141" s="16" t="s">
        <v>87</v>
      </c>
      <c r="E5141" s="16" t="str">
        <f>IFERROR(__xludf.DUMMYFUNCTION("""COMPUTED_VALUE"""),"")</f>
        <v/>
      </c>
      <c r="G5141" s="18"/>
      <c r="H5141" s="16" t="s">
        <v>87</v>
      </c>
      <c r="I5141" s="16" t="s">
        <v>87</v>
      </c>
      <c r="J5141" s="19"/>
      <c r="L5141" s="16" t="str">
        <f>IFERROR(__xludf.DUMMYFUNCTION("""COMPUTED_VALUE"""),"")</f>
        <v/>
      </c>
      <c r="M5141" s="16" t="str">
        <f>IFERROR(__xludf.DUMMYFUNCTION("""COMPUTED_VALUE"""),"")</f>
        <v/>
      </c>
      <c r="U5141" s="16" t="s">
        <v>87</v>
      </c>
      <c r="V5141" s="16" t="str">
        <f>IFERROR(__xludf.DUMMYFUNCTION("""COMPUTED_VALUE"""),"")</f>
        <v/>
      </c>
      <c r="W5141" s="16" t="str">
        <f>IFERROR(__xludf.DUMMYFUNCTION("""COMPUTED_VALUE"""),"")</f>
        <v/>
      </c>
      <c r="X5141" s="16" t="str">
        <f>IFERROR(__xludf.DUMMYFUNCTION("""COMPUTED_VALUE"""),"")</f>
        <v/>
      </c>
      <c r="AC5141" s="16" t="str">
        <f>IFERROR(__xludf.DUMMYFUNCTION("""COMPUTED_VALUE"""),"")</f>
        <v/>
      </c>
    </row>
    <row r="5142">
      <c r="A5142" s="16" t="s">
        <v>87</v>
      </c>
      <c r="E5142" s="16" t="str">
        <f>IFERROR(__xludf.DUMMYFUNCTION("""COMPUTED_VALUE"""),"")</f>
        <v/>
      </c>
      <c r="G5142" s="18"/>
      <c r="H5142" s="16" t="s">
        <v>87</v>
      </c>
      <c r="I5142" s="16" t="s">
        <v>87</v>
      </c>
      <c r="J5142" s="19"/>
      <c r="L5142" s="16" t="str">
        <f>IFERROR(__xludf.DUMMYFUNCTION("""COMPUTED_VALUE"""),"")</f>
        <v/>
      </c>
      <c r="M5142" s="16" t="str">
        <f>IFERROR(__xludf.DUMMYFUNCTION("""COMPUTED_VALUE"""),"")</f>
        <v/>
      </c>
      <c r="U5142" s="16" t="s">
        <v>87</v>
      </c>
      <c r="V5142" s="16" t="str">
        <f>IFERROR(__xludf.DUMMYFUNCTION("""COMPUTED_VALUE"""),"")</f>
        <v/>
      </c>
      <c r="W5142" s="16" t="str">
        <f>IFERROR(__xludf.DUMMYFUNCTION("""COMPUTED_VALUE"""),"")</f>
        <v/>
      </c>
      <c r="X5142" s="16" t="str">
        <f>IFERROR(__xludf.DUMMYFUNCTION("""COMPUTED_VALUE"""),"")</f>
        <v/>
      </c>
      <c r="AC5142" s="16" t="str">
        <f>IFERROR(__xludf.DUMMYFUNCTION("""COMPUTED_VALUE"""),"")</f>
        <v/>
      </c>
    </row>
    <row r="5143">
      <c r="A5143" s="16" t="s">
        <v>87</v>
      </c>
      <c r="E5143" s="16" t="str">
        <f>IFERROR(__xludf.DUMMYFUNCTION("""COMPUTED_VALUE"""),"")</f>
        <v/>
      </c>
      <c r="G5143" s="18"/>
      <c r="H5143" s="16" t="s">
        <v>87</v>
      </c>
      <c r="I5143" s="16" t="s">
        <v>87</v>
      </c>
      <c r="J5143" s="19"/>
      <c r="L5143" s="16" t="str">
        <f>IFERROR(__xludf.DUMMYFUNCTION("""COMPUTED_VALUE"""),"")</f>
        <v/>
      </c>
      <c r="M5143" s="16" t="str">
        <f>IFERROR(__xludf.DUMMYFUNCTION("""COMPUTED_VALUE"""),"")</f>
        <v/>
      </c>
      <c r="U5143" s="16" t="s">
        <v>87</v>
      </c>
      <c r="V5143" s="16" t="str">
        <f>IFERROR(__xludf.DUMMYFUNCTION("""COMPUTED_VALUE"""),"")</f>
        <v/>
      </c>
      <c r="W5143" s="16" t="str">
        <f>IFERROR(__xludf.DUMMYFUNCTION("""COMPUTED_VALUE"""),"")</f>
        <v/>
      </c>
      <c r="X5143" s="16" t="str">
        <f>IFERROR(__xludf.DUMMYFUNCTION("""COMPUTED_VALUE"""),"")</f>
        <v/>
      </c>
      <c r="AC5143" s="16" t="str">
        <f>IFERROR(__xludf.DUMMYFUNCTION("""COMPUTED_VALUE"""),"")</f>
        <v/>
      </c>
    </row>
    <row r="5144">
      <c r="A5144" s="16" t="s">
        <v>87</v>
      </c>
      <c r="E5144" s="16" t="str">
        <f>IFERROR(__xludf.DUMMYFUNCTION("""COMPUTED_VALUE"""),"")</f>
        <v/>
      </c>
      <c r="G5144" s="18"/>
      <c r="H5144" s="16" t="s">
        <v>87</v>
      </c>
      <c r="I5144" s="16" t="s">
        <v>87</v>
      </c>
      <c r="J5144" s="19"/>
      <c r="L5144" s="16" t="str">
        <f>IFERROR(__xludf.DUMMYFUNCTION("""COMPUTED_VALUE"""),"")</f>
        <v/>
      </c>
      <c r="M5144" s="16" t="str">
        <f>IFERROR(__xludf.DUMMYFUNCTION("""COMPUTED_VALUE"""),"")</f>
        <v/>
      </c>
      <c r="U5144" s="16" t="s">
        <v>87</v>
      </c>
      <c r="V5144" s="16" t="str">
        <f>IFERROR(__xludf.DUMMYFUNCTION("""COMPUTED_VALUE"""),"")</f>
        <v/>
      </c>
      <c r="W5144" s="16" t="str">
        <f>IFERROR(__xludf.DUMMYFUNCTION("""COMPUTED_VALUE"""),"")</f>
        <v/>
      </c>
      <c r="X5144" s="16" t="str">
        <f>IFERROR(__xludf.DUMMYFUNCTION("""COMPUTED_VALUE"""),"")</f>
        <v/>
      </c>
      <c r="AC5144" s="16" t="str">
        <f>IFERROR(__xludf.DUMMYFUNCTION("""COMPUTED_VALUE"""),"")</f>
        <v/>
      </c>
    </row>
    <row r="5145">
      <c r="A5145" s="16" t="s">
        <v>87</v>
      </c>
      <c r="E5145" s="16" t="str">
        <f>IFERROR(__xludf.DUMMYFUNCTION("""COMPUTED_VALUE"""),"")</f>
        <v/>
      </c>
      <c r="G5145" s="18"/>
      <c r="H5145" s="16" t="s">
        <v>87</v>
      </c>
      <c r="I5145" s="16" t="s">
        <v>87</v>
      </c>
      <c r="J5145" s="19"/>
      <c r="L5145" s="16" t="str">
        <f>IFERROR(__xludf.DUMMYFUNCTION("""COMPUTED_VALUE"""),"")</f>
        <v/>
      </c>
      <c r="M5145" s="16" t="str">
        <f>IFERROR(__xludf.DUMMYFUNCTION("""COMPUTED_VALUE"""),"")</f>
        <v/>
      </c>
      <c r="U5145" s="16" t="s">
        <v>87</v>
      </c>
      <c r="V5145" s="16" t="str">
        <f>IFERROR(__xludf.DUMMYFUNCTION("""COMPUTED_VALUE"""),"")</f>
        <v/>
      </c>
      <c r="W5145" s="16" t="str">
        <f>IFERROR(__xludf.DUMMYFUNCTION("""COMPUTED_VALUE"""),"")</f>
        <v/>
      </c>
      <c r="X5145" s="16" t="str">
        <f>IFERROR(__xludf.DUMMYFUNCTION("""COMPUTED_VALUE"""),"")</f>
        <v/>
      </c>
      <c r="AC5145" s="16" t="str">
        <f>IFERROR(__xludf.DUMMYFUNCTION("""COMPUTED_VALUE"""),"")</f>
        <v/>
      </c>
    </row>
    <row r="5146">
      <c r="A5146" s="16" t="s">
        <v>87</v>
      </c>
      <c r="E5146" s="16" t="str">
        <f>IFERROR(__xludf.DUMMYFUNCTION("""COMPUTED_VALUE"""),"")</f>
        <v/>
      </c>
      <c r="G5146" s="18"/>
      <c r="H5146" s="16" t="s">
        <v>87</v>
      </c>
      <c r="I5146" s="16" t="s">
        <v>87</v>
      </c>
      <c r="J5146" s="19"/>
      <c r="L5146" s="16" t="str">
        <f>IFERROR(__xludf.DUMMYFUNCTION("""COMPUTED_VALUE"""),"")</f>
        <v/>
      </c>
      <c r="M5146" s="16" t="str">
        <f>IFERROR(__xludf.DUMMYFUNCTION("""COMPUTED_VALUE"""),"")</f>
        <v/>
      </c>
      <c r="U5146" s="16" t="s">
        <v>87</v>
      </c>
      <c r="V5146" s="16" t="str">
        <f>IFERROR(__xludf.DUMMYFUNCTION("""COMPUTED_VALUE"""),"")</f>
        <v/>
      </c>
      <c r="W5146" s="16" t="str">
        <f>IFERROR(__xludf.DUMMYFUNCTION("""COMPUTED_VALUE"""),"")</f>
        <v/>
      </c>
      <c r="X5146" s="16" t="str">
        <f>IFERROR(__xludf.DUMMYFUNCTION("""COMPUTED_VALUE"""),"")</f>
        <v/>
      </c>
      <c r="AC5146" s="16" t="str">
        <f>IFERROR(__xludf.DUMMYFUNCTION("""COMPUTED_VALUE"""),"")</f>
        <v/>
      </c>
    </row>
    <row r="5147">
      <c r="A5147" s="16" t="s">
        <v>87</v>
      </c>
      <c r="E5147" s="16" t="str">
        <f>IFERROR(__xludf.DUMMYFUNCTION("""COMPUTED_VALUE"""),"")</f>
        <v/>
      </c>
      <c r="G5147" s="18"/>
      <c r="H5147" s="16" t="s">
        <v>87</v>
      </c>
      <c r="I5147" s="16" t="s">
        <v>87</v>
      </c>
      <c r="J5147" s="19"/>
      <c r="L5147" s="16" t="str">
        <f>IFERROR(__xludf.DUMMYFUNCTION("""COMPUTED_VALUE"""),"")</f>
        <v/>
      </c>
      <c r="M5147" s="16" t="str">
        <f>IFERROR(__xludf.DUMMYFUNCTION("""COMPUTED_VALUE"""),"")</f>
        <v/>
      </c>
      <c r="U5147" s="16" t="s">
        <v>87</v>
      </c>
      <c r="V5147" s="16" t="str">
        <f>IFERROR(__xludf.DUMMYFUNCTION("""COMPUTED_VALUE"""),"")</f>
        <v/>
      </c>
      <c r="W5147" s="16" t="str">
        <f>IFERROR(__xludf.DUMMYFUNCTION("""COMPUTED_VALUE"""),"")</f>
        <v/>
      </c>
      <c r="X5147" s="16" t="str">
        <f>IFERROR(__xludf.DUMMYFUNCTION("""COMPUTED_VALUE"""),"")</f>
        <v/>
      </c>
      <c r="AC5147" s="16" t="str">
        <f>IFERROR(__xludf.DUMMYFUNCTION("""COMPUTED_VALUE"""),"")</f>
        <v/>
      </c>
    </row>
    <row r="5148">
      <c r="A5148" s="16" t="s">
        <v>87</v>
      </c>
      <c r="E5148" s="16" t="str">
        <f>IFERROR(__xludf.DUMMYFUNCTION("""COMPUTED_VALUE"""),"")</f>
        <v/>
      </c>
      <c r="G5148" s="18"/>
      <c r="H5148" s="16" t="s">
        <v>87</v>
      </c>
      <c r="I5148" s="16" t="s">
        <v>87</v>
      </c>
      <c r="J5148" s="19"/>
      <c r="L5148" s="16" t="str">
        <f>IFERROR(__xludf.DUMMYFUNCTION("""COMPUTED_VALUE"""),"")</f>
        <v/>
      </c>
      <c r="M5148" s="16" t="str">
        <f>IFERROR(__xludf.DUMMYFUNCTION("""COMPUTED_VALUE"""),"")</f>
        <v/>
      </c>
      <c r="U5148" s="16" t="s">
        <v>87</v>
      </c>
      <c r="V5148" s="16" t="str">
        <f>IFERROR(__xludf.DUMMYFUNCTION("""COMPUTED_VALUE"""),"")</f>
        <v/>
      </c>
      <c r="W5148" s="16" t="str">
        <f>IFERROR(__xludf.DUMMYFUNCTION("""COMPUTED_VALUE"""),"")</f>
        <v/>
      </c>
      <c r="X5148" s="16" t="str">
        <f>IFERROR(__xludf.DUMMYFUNCTION("""COMPUTED_VALUE"""),"")</f>
        <v/>
      </c>
      <c r="AC5148" s="16" t="str">
        <f>IFERROR(__xludf.DUMMYFUNCTION("""COMPUTED_VALUE"""),"")</f>
        <v/>
      </c>
    </row>
    <row r="5149">
      <c r="A5149" s="16" t="s">
        <v>87</v>
      </c>
      <c r="E5149" s="16" t="str">
        <f>IFERROR(__xludf.DUMMYFUNCTION("""COMPUTED_VALUE"""),"")</f>
        <v/>
      </c>
      <c r="G5149" s="18"/>
      <c r="H5149" s="16" t="s">
        <v>87</v>
      </c>
      <c r="I5149" s="16" t="s">
        <v>87</v>
      </c>
      <c r="J5149" s="19"/>
      <c r="L5149" s="16" t="str">
        <f>IFERROR(__xludf.DUMMYFUNCTION("""COMPUTED_VALUE"""),"")</f>
        <v/>
      </c>
      <c r="M5149" s="16" t="str">
        <f>IFERROR(__xludf.DUMMYFUNCTION("""COMPUTED_VALUE"""),"")</f>
        <v/>
      </c>
      <c r="U5149" s="16" t="s">
        <v>87</v>
      </c>
      <c r="V5149" s="16" t="str">
        <f>IFERROR(__xludf.DUMMYFUNCTION("""COMPUTED_VALUE"""),"")</f>
        <v/>
      </c>
      <c r="W5149" s="16" t="str">
        <f>IFERROR(__xludf.DUMMYFUNCTION("""COMPUTED_VALUE"""),"")</f>
        <v/>
      </c>
      <c r="X5149" s="16" t="str">
        <f>IFERROR(__xludf.DUMMYFUNCTION("""COMPUTED_VALUE"""),"")</f>
        <v/>
      </c>
      <c r="AC5149" s="16" t="str">
        <f>IFERROR(__xludf.DUMMYFUNCTION("""COMPUTED_VALUE"""),"")</f>
        <v/>
      </c>
    </row>
    <row r="5150">
      <c r="A5150" s="16" t="s">
        <v>87</v>
      </c>
      <c r="E5150" s="16" t="str">
        <f>IFERROR(__xludf.DUMMYFUNCTION("""COMPUTED_VALUE"""),"")</f>
        <v/>
      </c>
      <c r="G5150" s="18"/>
      <c r="H5150" s="16" t="s">
        <v>87</v>
      </c>
      <c r="I5150" s="16" t="s">
        <v>87</v>
      </c>
      <c r="J5150" s="19"/>
      <c r="L5150" s="16" t="str">
        <f>IFERROR(__xludf.DUMMYFUNCTION("""COMPUTED_VALUE"""),"")</f>
        <v/>
      </c>
      <c r="M5150" s="16" t="str">
        <f>IFERROR(__xludf.DUMMYFUNCTION("""COMPUTED_VALUE"""),"")</f>
        <v/>
      </c>
      <c r="U5150" s="16" t="s">
        <v>87</v>
      </c>
      <c r="V5150" s="16" t="str">
        <f>IFERROR(__xludf.DUMMYFUNCTION("""COMPUTED_VALUE"""),"")</f>
        <v/>
      </c>
      <c r="W5150" s="16" t="str">
        <f>IFERROR(__xludf.DUMMYFUNCTION("""COMPUTED_VALUE"""),"")</f>
        <v/>
      </c>
      <c r="X5150" s="16" t="str">
        <f>IFERROR(__xludf.DUMMYFUNCTION("""COMPUTED_VALUE"""),"")</f>
        <v/>
      </c>
      <c r="AC5150" s="16" t="str">
        <f>IFERROR(__xludf.DUMMYFUNCTION("""COMPUTED_VALUE"""),"")</f>
        <v/>
      </c>
    </row>
    <row r="5151">
      <c r="A5151" s="16" t="s">
        <v>87</v>
      </c>
      <c r="E5151" s="16" t="str">
        <f>IFERROR(__xludf.DUMMYFUNCTION("""COMPUTED_VALUE"""),"")</f>
        <v/>
      </c>
      <c r="G5151" s="18"/>
      <c r="H5151" s="16" t="s">
        <v>87</v>
      </c>
      <c r="I5151" s="16" t="s">
        <v>87</v>
      </c>
      <c r="J5151" s="19"/>
      <c r="L5151" s="16" t="str">
        <f>IFERROR(__xludf.DUMMYFUNCTION("""COMPUTED_VALUE"""),"")</f>
        <v/>
      </c>
      <c r="M5151" s="16" t="str">
        <f>IFERROR(__xludf.DUMMYFUNCTION("""COMPUTED_VALUE"""),"")</f>
        <v/>
      </c>
      <c r="U5151" s="16" t="s">
        <v>87</v>
      </c>
      <c r="V5151" s="16" t="str">
        <f>IFERROR(__xludf.DUMMYFUNCTION("""COMPUTED_VALUE"""),"")</f>
        <v/>
      </c>
      <c r="W5151" s="16" t="str">
        <f>IFERROR(__xludf.DUMMYFUNCTION("""COMPUTED_VALUE"""),"")</f>
        <v/>
      </c>
      <c r="X5151" s="16" t="str">
        <f>IFERROR(__xludf.DUMMYFUNCTION("""COMPUTED_VALUE"""),"")</f>
        <v/>
      </c>
      <c r="AC5151" s="16" t="str">
        <f>IFERROR(__xludf.DUMMYFUNCTION("""COMPUTED_VALUE"""),"")</f>
        <v/>
      </c>
    </row>
    <row r="5152">
      <c r="A5152" s="16" t="s">
        <v>87</v>
      </c>
      <c r="E5152" s="16" t="str">
        <f>IFERROR(__xludf.DUMMYFUNCTION("""COMPUTED_VALUE"""),"")</f>
        <v/>
      </c>
      <c r="G5152" s="18"/>
      <c r="H5152" s="16" t="s">
        <v>87</v>
      </c>
      <c r="I5152" s="16" t="s">
        <v>87</v>
      </c>
      <c r="J5152" s="19"/>
      <c r="L5152" s="16" t="str">
        <f>IFERROR(__xludf.DUMMYFUNCTION("""COMPUTED_VALUE"""),"")</f>
        <v/>
      </c>
      <c r="M5152" s="16" t="str">
        <f>IFERROR(__xludf.DUMMYFUNCTION("""COMPUTED_VALUE"""),"")</f>
        <v/>
      </c>
      <c r="U5152" s="16" t="s">
        <v>87</v>
      </c>
      <c r="V5152" s="16" t="str">
        <f>IFERROR(__xludf.DUMMYFUNCTION("""COMPUTED_VALUE"""),"")</f>
        <v/>
      </c>
      <c r="W5152" s="16" t="str">
        <f>IFERROR(__xludf.DUMMYFUNCTION("""COMPUTED_VALUE"""),"")</f>
        <v/>
      </c>
      <c r="X5152" s="16" t="str">
        <f>IFERROR(__xludf.DUMMYFUNCTION("""COMPUTED_VALUE"""),"")</f>
        <v/>
      </c>
      <c r="AC5152" s="16" t="str">
        <f>IFERROR(__xludf.DUMMYFUNCTION("""COMPUTED_VALUE"""),"")</f>
        <v/>
      </c>
    </row>
    <row r="5153">
      <c r="A5153" s="16" t="s">
        <v>87</v>
      </c>
      <c r="E5153" s="16" t="str">
        <f>IFERROR(__xludf.DUMMYFUNCTION("""COMPUTED_VALUE"""),"")</f>
        <v/>
      </c>
      <c r="G5153" s="18"/>
      <c r="H5153" s="16" t="s">
        <v>87</v>
      </c>
      <c r="I5153" s="16" t="s">
        <v>87</v>
      </c>
      <c r="J5153" s="19"/>
      <c r="L5153" s="16" t="str">
        <f>IFERROR(__xludf.DUMMYFUNCTION("""COMPUTED_VALUE"""),"")</f>
        <v/>
      </c>
      <c r="M5153" s="16" t="str">
        <f>IFERROR(__xludf.DUMMYFUNCTION("""COMPUTED_VALUE"""),"")</f>
        <v/>
      </c>
      <c r="U5153" s="16" t="s">
        <v>87</v>
      </c>
      <c r="V5153" s="16" t="str">
        <f>IFERROR(__xludf.DUMMYFUNCTION("""COMPUTED_VALUE"""),"")</f>
        <v/>
      </c>
      <c r="W5153" s="16" t="str">
        <f>IFERROR(__xludf.DUMMYFUNCTION("""COMPUTED_VALUE"""),"")</f>
        <v/>
      </c>
      <c r="X5153" s="16" t="str">
        <f>IFERROR(__xludf.DUMMYFUNCTION("""COMPUTED_VALUE"""),"")</f>
        <v/>
      </c>
      <c r="AC5153" s="16" t="str">
        <f>IFERROR(__xludf.DUMMYFUNCTION("""COMPUTED_VALUE"""),"")</f>
        <v/>
      </c>
    </row>
    <row r="5154">
      <c r="A5154" s="16" t="s">
        <v>87</v>
      </c>
      <c r="E5154" s="16" t="str">
        <f>IFERROR(__xludf.DUMMYFUNCTION("""COMPUTED_VALUE"""),"")</f>
        <v/>
      </c>
      <c r="G5154" s="18"/>
      <c r="H5154" s="16" t="s">
        <v>87</v>
      </c>
      <c r="I5154" s="16" t="s">
        <v>87</v>
      </c>
      <c r="J5154" s="19"/>
      <c r="L5154" s="16" t="str">
        <f>IFERROR(__xludf.DUMMYFUNCTION("""COMPUTED_VALUE"""),"")</f>
        <v/>
      </c>
      <c r="M5154" s="16" t="str">
        <f>IFERROR(__xludf.DUMMYFUNCTION("""COMPUTED_VALUE"""),"")</f>
        <v/>
      </c>
      <c r="U5154" s="16" t="s">
        <v>87</v>
      </c>
      <c r="V5154" s="16" t="str">
        <f>IFERROR(__xludf.DUMMYFUNCTION("""COMPUTED_VALUE"""),"")</f>
        <v/>
      </c>
      <c r="W5154" s="16" t="str">
        <f>IFERROR(__xludf.DUMMYFUNCTION("""COMPUTED_VALUE"""),"")</f>
        <v/>
      </c>
      <c r="X5154" s="16" t="str">
        <f>IFERROR(__xludf.DUMMYFUNCTION("""COMPUTED_VALUE"""),"")</f>
        <v/>
      </c>
      <c r="AC5154" s="16" t="str">
        <f>IFERROR(__xludf.DUMMYFUNCTION("""COMPUTED_VALUE"""),"")</f>
        <v/>
      </c>
    </row>
    <row r="5155">
      <c r="A5155" s="16" t="s">
        <v>87</v>
      </c>
      <c r="E5155" s="16" t="str">
        <f>IFERROR(__xludf.DUMMYFUNCTION("""COMPUTED_VALUE"""),"")</f>
        <v/>
      </c>
      <c r="G5155" s="18"/>
      <c r="H5155" s="16" t="s">
        <v>87</v>
      </c>
      <c r="I5155" s="16" t="s">
        <v>87</v>
      </c>
      <c r="J5155" s="19"/>
      <c r="L5155" s="16" t="str">
        <f>IFERROR(__xludf.DUMMYFUNCTION("""COMPUTED_VALUE"""),"")</f>
        <v/>
      </c>
      <c r="M5155" s="16" t="str">
        <f>IFERROR(__xludf.DUMMYFUNCTION("""COMPUTED_VALUE"""),"")</f>
        <v/>
      </c>
      <c r="U5155" s="16" t="s">
        <v>87</v>
      </c>
      <c r="V5155" s="16" t="str">
        <f>IFERROR(__xludf.DUMMYFUNCTION("""COMPUTED_VALUE"""),"")</f>
        <v/>
      </c>
      <c r="W5155" s="16" t="str">
        <f>IFERROR(__xludf.DUMMYFUNCTION("""COMPUTED_VALUE"""),"")</f>
        <v/>
      </c>
      <c r="X5155" s="16" t="str">
        <f>IFERROR(__xludf.DUMMYFUNCTION("""COMPUTED_VALUE"""),"")</f>
        <v/>
      </c>
      <c r="AC5155" s="16" t="str">
        <f>IFERROR(__xludf.DUMMYFUNCTION("""COMPUTED_VALUE"""),"")</f>
        <v/>
      </c>
    </row>
    <row r="5156">
      <c r="A5156" s="16" t="s">
        <v>87</v>
      </c>
      <c r="E5156" s="16" t="str">
        <f>IFERROR(__xludf.DUMMYFUNCTION("""COMPUTED_VALUE"""),"")</f>
        <v/>
      </c>
      <c r="G5156" s="18"/>
      <c r="H5156" s="16" t="s">
        <v>87</v>
      </c>
      <c r="I5156" s="16" t="s">
        <v>87</v>
      </c>
      <c r="J5156" s="19"/>
      <c r="L5156" s="16" t="str">
        <f>IFERROR(__xludf.DUMMYFUNCTION("""COMPUTED_VALUE"""),"")</f>
        <v/>
      </c>
      <c r="M5156" s="16" t="str">
        <f>IFERROR(__xludf.DUMMYFUNCTION("""COMPUTED_VALUE"""),"")</f>
        <v/>
      </c>
      <c r="U5156" s="16" t="s">
        <v>87</v>
      </c>
      <c r="V5156" s="16" t="str">
        <f>IFERROR(__xludf.DUMMYFUNCTION("""COMPUTED_VALUE"""),"")</f>
        <v/>
      </c>
      <c r="W5156" s="16" t="str">
        <f>IFERROR(__xludf.DUMMYFUNCTION("""COMPUTED_VALUE"""),"")</f>
        <v/>
      </c>
      <c r="X5156" s="16" t="str">
        <f>IFERROR(__xludf.DUMMYFUNCTION("""COMPUTED_VALUE"""),"")</f>
        <v/>
      </c>
      <c r="AC5156" s="16" t="str">
        <f>IFERROR(__xludf.DUMMYFUNCTION("""COMPUTED_VALUE"""),"")</f>
        <v/>
      </c>
    </row>
    <row r="5157">
      <c r="A5157" s="16" t="s">
        <v>87</v>
      </c>
      <c r="E5157" s="16" t="str">
        <f>IFERROR(__xludf.DUMMYFUNCTION("""COMPUTED_VALUE"""),"")</f>
        <v/>
      </c>
      <c r="G5157" s="18"/>
      <c r="H5157" s="16" t="s">
        <v>87</v>
      </c>
      <c r="I5157" s="16" t="s">
        <v>87</v>
      </c>
      <c r="J5157" s="19"/>
      <c r="L5157" s="16" t="str">
        <f>IFERROR(__xludf.DUMMYFUNCTION("""COMPUTED_VALUE"""),"")</f>
        <v/>
      </c>
      <c r="M5157" s="16" t="str">
        <f>IFERROR(__xludf.DUMMYFUNCTION("""COMPUTED_VALUE"""),"")</f>
        <v/>
      </c>
      <c r="U5157" s="16" t="s">
        <v>87</v>
      </c>
      <c r="V5157" s="16" t="str">
        <f>IFERROR(__xludf.DUMMYFUNCTION("""COMPUTED_VALUE"""),"")</f>
        <v/>
      </c>
      <c r="W5157" s="16" t="str">
        <f>IFERROR(__xludf.DUMMYFUNCTION("""COMPUTED_VALUE"""),"")</f>
        <v/>
      </c>
      <c r="X5157" s="16" t="str">
        <f>IFERROR(__xludf.DUMMYFUNCTION("""COMPUTED_VALUE"""),"")</f>
        <v/>
      </c>
      <c r="AC5157" s="16" t="str">
        <f>IFERROR(__xludf.DUMMYFUNCTION("""COMPUTED_VALUE"""),"")</f>
        <v/>
      </c>
    </row>
    <row r="5158">
      <c r="A5158" s="16" t="s">
        <v>87</v>
      </c>
      <c r="E5158" s="16" t="str">
        <f>IFERROR(__xludf.DUMMYFUNCTION("""COMPUTED_VALUE"""),"")</f>
        <v/>
      </c>
      <c r="G5158" s="18"/>
      <c r="H5158" s="16" t="s">
        <v>87</v>
      </c>
      <c r="I5158" s="16" t="s">
        <v>87</v>
      </c>
      <c r="J5158" s="19"/>
      <c r="L5158" s="16" t="str">
        <f>IFERROR(__xludf.DUMMYFUNCTION("""COMPUTED_VALUE"""),"")</f>
        <v/>
      </c>
      <c r="M5158" s="16" t="str">
        <f>IFERROR(__xludf.DUMMYFUNCTION("""COMPUTED_VALUE"""),"")</f>
        <v/>
      </c>
      <c r="U5158" s="16" t="s">
        <v>87</v>
      </c>
      <c r="V5158" s="16" t="str">
        <f>IFERROR(__xludf.DUMMYFUNCTION("""COMPUTED_VALUE"""),"")</f>
        <v/>
      </c>
      <c r="W5158" s="16" t="str">
        <f>IFERROR(__xludf.DUMMYFUNCTION("""COMPUTED_VALUE"""),"")</f>
        <v/>
      </c>
      <c r="X5158" s="16" t="str">
        <f>IFERROR(__xludf.DUMMYFUNCTION("""COMPUTED_VALUE"""),"")</f>
        <v/>
      </c>
      <c r="AC5158" s="16" t="str">
        <f>IFERROR(__xludf.DUMMYFUNCTION("""COMPUTED_VALUE"""),"")</f>
        <v/>
      </c>
    </row>
    <row r="5159">
      <c r="A5159" s="16" t="s">
        <v>87</v>
      </c>
      <c r="E5159" s="16" t="str">
        <f>IFERROR(__xludf.DUMMYFUNCTION("""COMPUTED_VALUE"""),"")</f>
        <v/>
      </c>
      <c r="G5159" s="18"/>
      <c r="H5159" s="16" t="s">
        <v>87</v>
      </c>
      <c r="I5159" s="16" t="s">
        <v>87</v>
      </c>
      <c r="J5159" s="19"/>
      <c r="L5159" s="16" t="str">
        <f>IFERROR(__xludf.DUMMYFUNCTION("""COMPUTED_VALUE"""),"")</f>
        <v/>
      </c>
      <c r="M5159" s="16" t="str">
        <f>IFERROR(__xludf.DUMMYFUNCTION("""COMPUTED_VALUE"""),"")</f>
        <v/>
      </c>
      <c r="U5159" s="16" t="s">
        <v>87</v>
      </c>
      <c r="V5159" s="16" t="str">
        <f>IFERROR(__xludf.DUMMYFUNCTION("""COMPUTED_VALUE"""),"")</f>
        <v/>
      </c>
      <c r="W5159" s="16" t="str">
        <f>IFERROR(__xludf.DUMMYFUNCTION("""COMPUTED_VALUE"""),"")</f>
        <v/>
      </c>
      <c r="X5159" s="16" t="str">
        <f>IFERROR(__xludf.DUMMYFUNCTION("""COMPUTED_VALUE"""),"")</f>
        <v/>
      </c>
      <c r="AC5159" s="16" t="str">
        <f>IFERROR(__xludf.DUMMYFUNCTION("""COMPUTED_VALUE"""),"")</f>
        <v/>
      </c>
    </row>
    <row r="5160">
      <c r="A5160" s="16" t="s">
        <v>87</v>
      </c>
      <c r="E5160" s="16" t="str">
        <f>IFERROR(__xludf.DUMMYFUNCTION("""COMPUTED_VALUE"""),"")</f>
        <v/>
      </c>
      <c r="G5160" s="18"/>
      <c r="H5160" s="16" t="s">
        <v>87</v>
      </c>
      <c r="I5160" s="16" t="s">
        <v>87</v>
      </c>
      <c r="J5160" s="19"/>
      <c r="L5160" s="16" t="str">
        <f>IFERROR(__xludf.DUMMYFUNCTION("""COMPUTED_VALUE"""),"")</f>
        <v/>
      </c>
      <c r="M5160" s="16" t="str">
        <f>IFERROR(__xludf.DUMMYFUNCTION("""COMPUTED_VALUE"""),"")</f>
        <v/>
      </c>
      <c r="U5160" s="16" t="s">
        <v>87</v>
      </c>
      <c r="V5160" s="16" t="str">
        <f>IFERROR(__xludf.DUMMYFUNCTION("""COMPUTED_VALUE"""),"")</f>
        <v/>
      </c>
      <c r="W5160" s="16" t="str">
        <f>IFERROR(__xludf.DUMMYFUNCTION("""COMPUTED_VALUE"""),"")</f>
        <v/>
      </c>
      <c r="X5160" s="16" t="str">
        <f>IFERROR(__xludf.DUMMYFUNCTION("""COMPUTED_VALUE"""),"")</f>
        <v/>
      </c>
      <c r="AC5160" s="16" t="str">
        <f>IFERROR(__xludf.DUMMYFUNCTION("""COMPUTED_VALUE"""),"")</f>
        <v/>
      </c>
    </row>
    <row r="5161">
      <c r="A5161" s="16" t="s">
        <v>87</v>
      </c>
      <c r="E5161" s="16" t="str">
        <f>IFERROR(__xludf.DUMMYFUNCTION("""COMPUTED_VALUE"""),"")</f>
        <v/>
      </c>
      <c r="G5161" s="18"/>
      <c r="H5161" s="16" t="s">
        <v>87</v>
      </c>
      <c r="I5161" s="16" t="s">
        <v>87</v>
      </c>
      <c r="J5161" s="19"/>
      <c r="L5161" s="16" t="str">
        <f>IFERROR(__xludf.DUMMYFUNCTION("""COMPUTED_VALUE"""),"")</f>
        <v/>
      </c>
      <c r="M5161" s="16" t="str">
        <f>IFERROR(__xludf.DUMMYFUNCTION("""COMPUTED_VALUE"""),"")</f>
        <v/>
      </c>
      <c r="U5161" s="16" t="s">
        <v>87</v>
      </c>
      <c r="V5161" s="16" t="str">
        <f>IFERROR(__xludf.DUMMYFUNCTION("""COMPUTED_VALUE"""),"")</f>
        <v/>
      </c>
      <c r="W5161" s="16" t="str">
        <f>IFERROR(__xludf.DUMMYFUNCTION("""COMPUTED_VALUE"""),"")</f>
        <v/>
      </c>
      <c r="X5161" s="16" t="str">
        <f>IFERROR(__xludf.DUMMYFUNCTION("""COMPUTED_VALUE"""),"")</f>
        <v/>
      </c>
      <c r="AC5161" s="16" t="str">
        <f>IFERROR(__xludf.DUMMYFUNCTION("""COMPUTED_VALUE"""),"")</f>
        <v/>
      </c>
    </row>
    <row r="5162">
      <c r="A5162" s="16" t="s">
        <v>87</v>
      </c>
      <c r="E5162" s="16" t="str">
        <f>IFERROR(__xludf.DUMMYFUNCTION("""COMPUTED_VALUE"""),"")</f>
        <v/>
      </c>
      <c r="G5162" s="18"/>
      <c r="H5162" s="16" t="s">
        <v>87</v>
      </c>
      <c r="I5162" s="16" t="s">
        <v>87</v>
      </c>
      <c r="J5162" s="19"/>
      <c r="L5162" s="16" t="str">
        <f>IFERROR(__xludf.DUMMYFUNCTION("""COMPUTED_VALUE"""),"")</f>
        <v/>
      </c>
      <c r="M5162" s="16" t="str">
        <f>IFERROR(__xludf.DUMMYFUNCTION("""COMPUTED_VALUE"""),"")</f>
        <v/>
      </c>
      <c r="U5162" s="16" t="s">
        <v>87</v>
      </c>
      <c r="V5162" s="16" t="str">
        <f>IFERROR(__xludf.DUMMYFUNCTION("""COMPUTED_VALUE"""),"")</f>
        <v/>
      </c>
      <c r="W5162" s="16" t="str">
        <f>IFERROR(__xludf.DUMMYFUNCTION("""COMPUTED_VALUE"""),"")</f>
        <v/>
      </c>
      <c r="X5162" s="16" t="str">
        <f>IFERROR(__xludf.DUMMYFUNCTION("""COMPUTED_VALUE"""),"")</f>
        <v/>
      </c>
      <c r="AC5162" s="16" t="str">
        <f>IFERROR(__xludf.DUMMYFUNCTION("""COMPUTED_VALUE"""),"")</f>
        <v/>
      </c>
    </row>
    <row r="5163">
      <c r="A5163" s="16" t="s">
        <v>87</v>
      </c>
      <c r="E5163" s="16" t="str">
        <f>IFERROR(__xludf.DUMMYFUNCTION("""COMPUTED_VALUE"""),"")</f>
        <v/>
      </c>
      <c r="G5163" s="18"/>
      <c r="H5163" s="16" t="s">
        <v>87</v>
      </c>
      <c r="I5163" s="16" t="s">
        <v>87</v>
      </c>
      <c r="J5163" s="19"/>
      <c r="L5163" s="16" t="str">
        <f>IFERROR(__xludf.DUMMYFUNCTION("""COMPUTED_VALUE"""),"")</f>
        <v/>
      </c>
      <c r="M5163" s="16" t="str">
        <f>IFERROR(__xludf.DUMMYFUNCTION("""COMPUTED_VALUE"""),"")</f>
        <v/>
      </c>
      <c r="U5163" s="16" t="s">
        <v>87</v>
      </c>
      <c r="V5163" s="16" t="str">
        <f>IFERROR(__xludf.DUMMYFUNCTION("""COMPUTED_VALUE"""),"")</f>
        <v/>
      </c>
      <c r="W5163" s="16" t="str">
        <f>IFERROR(__xludf.DUMMYFUNCTION("""COMPUTED_VALUE"""),"")</f>
        <v/>
      </c>
      <c r="X5163" s="16" t="str">
        <f>IFERROR(__xludf.DUMMYFUNCTION("""COMPUTED_VALUE"""),"")</f>
        <v/>
      </c>
      <c r="AC5163" s="16" t="str">
        <f>IFERROR(__xludf.DUMMYFUNCTION("""COMPUTED_VALUE"""),"")</f>
        <v/>
      </c>
    </row>
    <row r="5164">
      <c r="A5164" s="16" t="s">
        <v>87</v>
      </c>
      <c r="E5164" s="16" t="str">
        <f>IFERROR(__xludf.DUMMYFUNCTION("""COMPUTED_VALUE"""),"")</f>
        <v/>
      </c>
      <c r="G5164" s="18"/>
      <c r="H5164" s="16" t="s">
        <v>87</v>
      </c>
      <c r="I5164" s="16" t="s">
        <v>87</v>
      </c>
      <c r="J5164" s="19"/>
      <c r="L5164" s="16" t="str">
        <f>IFERROR(__xludf.DUMMYFUNCTION("""COMPUTED_VALUE"""),"")</f>
        <v/>
      </c>
      <c r="M5164" s="16" t="str">
        <f>IFERROR(__xludf.DUMMYFUNCTION("""COMPUTED_VALUE"""),"")</f>
        <v/>
      </c>
      <c r="U5164" s="16" t="s">
        <v>87</v>
      </c>
      <c r="V5164" s="16" t="str">
        <f>IFERROR(__xludf.DUMMYFUNCTION("""COMPUTED_VALUE"""),"")</f>
        <v/>
      </c>
      <c r="W5164" s="16" t="str">
        <f>IFERROR(__xludf.DUMMYFUNCTION("""COMPUTED_VALUE"""),"")</f>
        <v/>
      </c>
      <c r="X5164" s="16" t="str">
        <f>IFERROR(__xludf.DUMMYFUNCTION("""COMPUTED_VALUE"""),"")</f>
        <v/>
      </c>
      <c r="AC5164" s="16" t="str">
        <f>IFERROR(__xludf.DUMMYFUNCTION("""COMPUTED_VALUE"""),"")</f>
        <v/>
      </c>
    </row>
    <row r="5165">
      <c r="A5165" s="16" t="s">
        <v>87</v>
      </c>
      <c r="E5165" s="16" t="str">
        <f>IFERROR(__xludf.DUMMYFUNCTION("""COMPUTED_VALUE"""),"")</f>
        <v/>
      </c>
      <c r="G5165" s="18"/>
      <c r="H5165" s="16" t="s">
        <v>87</v>
      </c>
      <c r="I5165" s="16" t="s">
        <v>87</v>
      </c>
      <c r="J5165" s="19"/>
      <c r="L5165" s="16" t="str">
        <f>IFERROR(__xludf.DUMMYFUNCTION("""COMPUTED_VALUE"""),"")</f>
        <v/>
      </c>
      <c r="M5165" s="16" t="str">
        <f>IFERROR(__xludf.DUMMYFUNCTION("""COMPUTED_VALUE"""),"")</f>
        <v/>
      </c>
      <c r="U5165" s="16" t="s">
        <v>87</v>
      </c>
      <c r="V5165" s="16" t="str">
        <f>IFERROR(__xludf.DUMMYFUNCTION("""COMPUTED_VALUE"""),"")</f>
        <v/>
      </c>
      <c r="W5165" s="16" t="str">
        <f>IFERROR(__xludf.DUMMYFUNCTION("""COMPUTED_VALUE"""),"")</f>
        <v/>
      </c>
      <c r="X5165" s="16" t="str">
        <f>IFERROR(__xludf.DUMMYFUNCTION("""COMPUTED_VALUE"""),"")</f>
        <v/>
      </c>
      <c r="AC5165" s="16" t="str">
        <f>IFERROR(__xludf.DUMMYFUNCTION("""COMPUTED_VALUE"""),"")</f>
        <v/>
      </c>
    </row>
    <row r="5166">
      <c r="A5166" s="16" t="s">
        <v>87</v>
      </c>
      <c r="E5166" s="16" t="str">
        <f>IFERROR(__xludf.DUMMYFUNCTION("""COMPUTED_VALUE"""),"")</f>
        <v/>
      </c>
      <c r="G5166" s="18"/>
      <c r="H5166" s="16" t="s">
        <v>87</v>
      </c>
      <c r="I5166" s="16" t="s">
        <v>87</v>
      </c>
      <c r="J5166" s="19"/>
      <c r="L5166" s="16" t="str">
        <f>IFERROR(__xludf.DUMMYFUNCTION("""COMPUTED_VALUE"""),"")</f>
        <v/>
      </c>
      <c r="M5166" s="16" t="str">
        <f>IFERROR(__xludf.DUMMYFUNCTION("""COMPUTED_VALUE"""),"")</f>
        <v/>
      </c>
      <c r="U5166" s="16" t="s">
        <v>87</v>
      </c>
      <c r="V5166" s="16" t="str">
        <f>IFERROR(__xludf.DUMMYFUNCTION("""COMPUTED_VALUE"""),"")</f>
        <v/>
      </c>
      <c r="W5166" s="16" t="str">
        <f>IFERROR(__xludf.DUMMYFUNCTION("""COMPUTED_VALUE"""),"")</f>
        <v/>
      </c>
      <c r="X5166" s="16" t="str">
        <f>IFERROR(__xludf.DUMMYFUNCTION("""COMPUTED_VALUE"""),"")</f>
        <v/>
      </c>
      <c r="AC5166" s="16" t="str">
        <f>IFERROR(__xludf.DUMMYFUNCTION("""COMPUTED_VALUE"""),"")</f>
        <v/>
      </c>
    </row>
    <row r="5167">
      <c r="A5167" s="16" t="s">
        <v>87</v>
      </c>
      <c r="E5167" s="16" t="str">
        <f>IFERROR(__xludf.DUMMYFUNCTION("""COMPUTED_VALUE"""),"")</f>
        <v/>
      </c>
      <c r="G5167" s="18"/>
      <c r="H5167" s="16" t="s">
        <v>87</v>
      </c>
      <c r="I5167" s="16" t="s">
        <v>87</v>
      </c>
      <c r="J5167" s="19"/>
      <c r="L5167" s="16" t="str">
        <f>IFERROR(__xludf.DUMMYFUNCTION("""COMPUTED_VALUE"""),"")</f>
        <v/>
      </c>
      <c r="M5167" s="16" t="str">
        <f>IFERROR(__xludf.DUMMYFUNCTION("""COMPUTED_VALUE"""),"")</f>
        <v/>
      </c>
      <c r="U5167" s="16" t="s">
        <v>87</v>
      </c>
      <c r="V5167" s="16" t="str">
        <f>IFERROR(__xludf.DUMMYFUNCTION("""COMPUTED_VALUE"""),"")</f>
        <v/>
      </c>
      <c r="W5167" s="16" t="str">
        <f>IFERROR(__xludf.DUMMYFUNCTION("""COMPUTED_VALUE"""),"")</f>
        <v/>
      </c>
      <c r="X5167" s="16" t="str">
        <f>IFERROR(__xludf.DUMMYFUNCTION("""COMPUTED_VALUE"""),"")</f>
        <v/>
      </c>
      <c r="AC5167" s="16" t="str">
        <f>IFERROR(__xludf.DUMMYFUNCTION("""COMPUTED_VALUE"""),"")</f>
        <v/>
      </c>
    </row>
    <row r="5168">
      <c r="A5168" s="16" t="s">
        <v>87</v>
      </c>
      <c r="E5168" s="16" t="str">
        <f>IFERROR(__xludf.DUMMYFUNCTION("""COMPUTED_VALUE"""),"")</f>
        <v/>
      </c>
      <c r="G5168" s="18"/>
      <c r="H5168" s="16" t="s">
        <v>87</v>
      </c>
      <c r="I5168" s="16" t="s">
        <v>87</v>
      </c>
      <c r="J5168" s="19"/>
      <c r="L5168" s="16" t="str">
        <f>IFERROR(__xludf.DUMMYFUNCTION("""COMPUTED_VALUE"""),"")</f>
        <v/>
      </c>
      <c r="M5168" s="16" t="str">
        <f>IFERROR(__xludf.DUMMYFUNCTION("""COMPUTED_VALUE"""),"")</f>
        <v/>
      </c>
      <c r="U5168" s="16" t="s">
        <v>87</v>
      </c>
      <c r="V5168" s="16" t="str">
        <f>IFERROR(__xludf.DUMMYFUNCTION("""COMPUTED_VALUE"""),"")</f>
        <v/>
      </c>
      <c r="W5168" s="16" t="str">
        <f>IFERROR(__xludf.DUMMYFUNCTION("""COMPUTED_VALUE"""),"")</f>
        <v/>
      </c>
      <c r="X5168" s="16" t="str">
        <f>IFERROR(__xludf.DUMMYFUNCTION("""COMPUTED_VALUE"""),"")</f>
        <v/>
      </c>
      <c r="AC5168" s="16" t="str">
        <f>IFERROR(__xludf.DUMMYFUNCTION("""COMPUTED_VALUE"""),"")</f>
        <v/>
      </c>
    </row>
    <row r="5169">
      <c r="A5169" s="16" t="s">
        <v>87</v>
      </c>
      <c r="E5169" s="16" t="str">
        <f>IFERROR(__xludf.DUMMYFUNCTION("""COMPUTED_VALUE"""),"")</f>
        <v/>
      </c>
      <c r="G5169" s="18"/>
      <c r="H5169" s="16" t="s">
        <v>87</v>
      </c>
      <c r="I5169" s="16" t="s">
        <v>87</v>
      </c>
      <c r="J5169" s="19"/>
      <c r="L5169" s="16" t="str">
        <f>IFERROR(__xludf.DUMMYFUNCTION("""COMPUTED_VALUE"""),"")</f>
        <v/>
      </c>
      <c r="M5169" s="16" t="str">
        <f>IFERROR(__xludf.DUMMYFUNCTION("""COMPUTED_VALUE"""),"")</f>
        <v/>
      </c>
      <c r="U5169" s="16" t="s">
        <v>87</v>
      </c>
      <c r="V5169" s="16" t="str">
        <f>IFERROR(__xludf.DUMMYFUNCTION("""COMPUTED_VALUE"""),"")</f>
        <v/>
      </c>
      <c r="W5169" s="16" t="str">
        <f>IFERROR(__xludf.DUMMYFUNCTION("""COMPUTED_VALUE"""),"")</f>
        <v/>
      </c>
      <c r="X5169" s="16" t="str">
        <f>IFERROR(__xludf.DUMMYFUNCTION("""COMPUTED_VALUE"""),"")</f>
        <v/>
      </c>
      <c r="AC5169" s="16" t="str">
        <f>IFERROR(__xludf.DUMMYFUNCTION("""COMPUTED_VALUE"""),"")</f>
        <v/>
      </c>
    </row>
    <row r="5170">
      <c r="A5170" s="16" t="s">
        <v>87</v>
      </c>
      <c r="E5170" s="16" t="str">
        <f>IFERROR(__xludf.DUMMYFUNCTION("""COMPUTED_VALUE"""),"")</f>
        <v/>
      </c>
      <c r="G5170" s="18"/>
      <c r="H5170" s="16" t="s">
        <v>87</v>
      </c>
      <c r="I5170" s="16" t="s">
        <v>87</v>
      </c>
      <c r="J5170" s="19"/>
      <c r="L5170" s="16" t="str">
        <f>IFERROR(__xludf.DUMMYFUNCTION("""COMPUTED_VALUE"""),"")</f>
        <v/>
      </c>
      <c r="M5170" s="16" t="str">
        <f>IFERROR(__xludf.DUMMYFUNCTION("""COMPUTED_VALUE"""),"")</f>
        <v/>
      </c>
      <c r="U5170" s="16" t="s">
        <v>87</v>
      </c>
      <c r="V5170" s="16" t="str">
        <f>IFERROR(__xludf.DUMMYFUNCTION("""COMPUTED_VALUE"""),"")</f>
        <v/>
      </c>
      <c r="W5170" s="16" t="str">
        <f>IFERROR(__xludf.DUMMYFUNCTION("""COMPUTED_VALUE"""),"")</f>
        <v/>
      </c>
      <c r="X5170" s="16" t="str">
        <f>IFERROR(__xludf.DUMMYFUNCTION("""COMPUTED_VALUE"""),"")</f>
        <v/>
      </c>
      <c r="AC5170" s="16" t="str">
        <f>IFERROR(__xludf.DUMMYFUNCTION("""COMPUTED_VALUE"""),"")</f>
        <v/>
      </c>
    </row>
    <row r="5171">
      <c r="A5171" s="16" t="s">
        <v>87</v>
      </c>
      <c r="E5171" s="16" t="str">
        <f>IFERROR(__xludf.DUMMYFUNCTION("""COMPUTED_VALUE"""),"")</f>
        <v/>
      </c>
      <c r="G5171" s="18"/>
      <c r="H5171" s="16" t="s">
        <v>87</v>
      </c>
      <c r="I5171" s="16" t="s">
        <v>87</v>
      </c>
      <c r="J5171" s="19"/>
      <c r="L5171" s="16" t="str">
        <f>IFERROR(__xludf.DUMMYFUNCTION("""COMPUTED_VALUE"""),"")</f>
        <v/>
      </c>
      <c r="M5171" s="16" t="str">
        <f>IFERROR(__xludf.DUMMYFUNCTION("""COMPUTED_VALUE"""),"")</f>
        <v/>
      </c>
      <c r="U5171" s="16" t="s">
        <v>87</v>
      </c>
      <c r="V5171" s="16" t="str">
        <f>IFERROR(__xludf.DUMMYFUNCTION("""COMPUTED_VALUE"""),"")</f>
        <v/>
      </c>
      <c r="W5171" s="16" t="str">
        <f>IFERROR(__xludf.DUMMYFUNCTION("""COMPUTED_VALUE"""),"")</f>
        <v/>
      </c>
      <c r="X5171" s="16" t="str">
        <f>IFERROR(__xludf.DUMMYFUNCTION("""COMPUTED_VALUE"""),"")</f>
        <v/>
      </c>
      <c r="AC5171" s="16" t="str">
        <f>IFERROR(__xludf.DUMMYFUNCTION("""COMPUTED_VALUE"""),"")</f>
        <v/>
      </c>
    </row>
    <row r="5172">
      <c r="A5172" s="16" t="s">
        <v>87</v>
      </c>
      <c r="E5172" s="16" t="str">
        <f>IFERROR(__xludf.DUMMYFUNCTION("""COMPUTED_VALUE"""),"")</f>
        <v/>
      </c>
      <c r="G5172" s="18"/>
      <c r="H5172" s="16" t="s">
        <v>87</v>
      </c>
      <c r="I5172" s="16" t="s">
        <v>87</v>
      </c>
      <c r="J5172" s="19"/>
      <c r="L5172" s="16" t="str">
        <f>IFERROR(__xludf.DUMMYFUNCTION("""COMPUTED_VALUE"""),"")</f>
        <v/>
      </c>
      <c r="M5172" s="16" t="str">
        <f>IFERROR(__xludf.DUMMYFUNCTION("""COMPUTED_VALUE"""),"")</f>
        <v/>
      </c>
      <c r="U5172" s="16" t="s">
        <v>87</v>
      </c>
      <c r="V5172" s="16" t="str">
        <f>IFERROR(__xludf.DUMMYFUNCTION("""COMPUTED_VALUE"""),"")</f>
        <v/>
      </c>
      <c r="W5172" s="16" t="str">
        <f>IFERROR(__xludf.DUMMYFUNCTION("""COMPUTED_VALUE"""),"")</f>
        <v/>
      </c>
      <c r="X5172" s="16" t="str">
        <f>IFERROR(__xludf.DUMMYFUNCTION("""COMPUTED_VALUE"""),"")</f>
        <v/>
      </c>
      <c r="AC5172" s="16" t="str">
        <f>IFERROR(__xludf.DUMMYFUNCTION("""COMPUTED_VALUE"""),"")</f>
        <v/>
      </c>
    </row>
    <row r="5173">
      <c r="A5173" s="16" t="s">
        <v>87</v>
      </c>
      <c r="E5173" s="16" t="str">
        <f>IFERROR(__xludf.DUMMYFUNCTION("""COMPUTED_VALUE"""),"")</f>
        <v/>
      </c>
      <c r="G5173" s="18"/>
      <c r="H5173" s="16" t="s">
        <v>87</v>
      </c>
      <c r="I5173" s="16" t="s">
        <v>87</v>
      </c>
      <c r="J5173" s="19"/>
      <c r="L5173" s="16" t="str">
        <f>IFERROR(__xludf.DUMMYFUNCTION("""COMPUTED_VALUE"""),"")</f>
        <v/>
      </c>
      <c r="M5173" s="16" t="str">
        <f>IFERROR(__xludf.DUMMYFUNCTION("""COMPUTED_VALUE"""),"")</f>
        <v/>
      </c>
      <c r="U5173" s="16" t="s">
        <v>87</v>
      </c>
      <c r="V5173" s="16" t="str">
        <f>IFERROR(__xludf.DUMMYFUNCTION("""COMPUTED_VALUE"""),"")</f>
        <v/>
      </c>
      <c r="W5173" s="16" t="str">
        <f>IFERROR(__xludf.DUMMYFUNCTION("""COMPUTED_VALUE"""),"")</f>
        <v/>
      </c>
      <c r="X5173" s="16" t="str">
        <f>IFERROR(__xludf.DUMMYFUNCTION("""COMPUTED_VALUE"""),"")</f>
        <v/>
      </c>
      <c r="AC5173" s="16" t="str">
        <f>IFERROR(__xludf.DUMMYFUNCTION("""COMPUTED_VALUE"""),"")</f>
        <v/>
      </c>
    </row>
    <row r="5174">
      <c r="A5174" s="16" t="s">
        <v>87</v>
      </c>
      <c r="E5174" s="16" t="str">
        <f>IFERROR(__xludf.DUMMYFUNCTION("""COMPUTED_VALUE"""),"")</f>
        <v/>
      </c>
      <c r="G5174" s="18"/>
      <c r="H5174" s="16" t="s">
        <v>87</v>
      </c>
      <c r="I5174" s="16" t="s">
        <v>87</v>
      </c>
      <c r="J5174" s="19"/>
      <c r="L5174" s="16" t="str">
        <f>IFERROR(__xludf.DUMMYFUNCTION("""COMPUTED_VALUE"""),"")</f>
        <v/>
      </c>
      <c r="M5174" s="16" t="str">
        <f>IFERROR(__xludf.DUMMYFUNCTION("""COMPUTED_VALUE"""),"")</f>
        <v/>
      </c>
      <c r="U5174" s="16" t="s">
        <v>87</v>
      </c>
      <c r="V5174" s="16" t="str">
        <f>IFERROR(__xludf.DUMMYFUNCTION("""COMPUTED_VALUE"""),"")</f>
        <v/>
      </c>
      <c r="W5174" s="16" t="str">
        <f>IFERROR(__xludf.DUMMYFUNCTION("""COMPUTED_VALUE"""),"")</f>
        <v/>
      </c>
      <c r="X5174" s="16" t="str">
        <f>IFERROR(__xludf.DUMMYFUNCTION("""COMPUTED_VALUE"""),"")</f>
        <v/>
      </c>
      <c r="AC5174" s="16" t="str">
        <f>IFERROR(__xludf.DUMMYFUNCTION("""COMPUTED_VALUE"""),"")</f>
        <v/>
      </c>
    </row>
    <row r="5175">
      <c r="A5175" s="16" t="s">
        <v>87</v>
      </c>
      <c r="E5175" s="16" t="str">
        <f>IFERROR(__xludf.DUMMYFUNCTION("""COMPUTED_VALUE"""),"")</f>
        <v/>
      </c>
      <c r="G5175" s="18"/>
      <c r="H5175" s="16" t="s">
        <v>87</v>
      </c>
      <c r="I5175" s="16" t="s">
        <v>87</v>
      </c>
      <c r="J5175" s="19"/>
      <c r="L5175" s="16" t="str">
        <f>IFERROR(__xludf.DUMMYFUNCTION("""COMPUTED_VALUE"""),"")</f>
        <v/>
      </c>
      <c r="M5175" s="16" t="str">
        <f>IFERROR(__xludf.DUMMYFUNCTION("""COMPUTED_VALUE"""),"")</f>
        <v/>
      </c>
      <c r="U5175" s="16" t="s">
        <v>87</v>
      </c>
      <c r="V5175" s="16" t="str">
        <f>IFERROR(__xludf.DUMMYFUNCTION("""COMPUTED_VALUE"""),"")</f>
        <v/>
      </c>
      <c r="W5175" s="16" t="str">
        <f>IFERROR(__xludf.DUMMYFUNCTION("""COMPUTED_VALUE"""),"")</f>
        <v/>
      </c>
      <c r="X5175" s="16" t="str">
        <f>IFERROR(__xludf.DUMMYFUNCTION("""COMPUTED_VALUE"""),"")</f>
        <v/>
      </c>
      <c r="AC5175" s="16" t="str">
        <f>IFERROR(__xludf.DUMMYFUNCTION("""COMPUTED_VALUE"""),"")</f>
        <v/>
      </c>
    </row>
    <row r="5176">
      <c r="A5176" s="16" t="s">
        <v>87</v>
      </c>
      <c r="E5176" s="16" t="str">
        <f>IFERROR(__xludf.DUMMYFUNCTION("""COMPUTED_VALUE"""),"")</f>
        <v/>
      </c>
      <c r="G5176" s="18"/>
      <c r="H5176" s="16" t="s">
        <v>87</v>
      </c>
      <c r="I5176" s="16" t="s">
        <v>87</v>
      </c>
      <c r="J5176" s="19"/>
      <c r="L5176" s="16" t="str">
        <f>IFERROR(__xludf.DUMMYFUNCTION("""COMPUTED_VALUE"""),"")</f>
        <v/>
      </c>
      <c r="M5176" s="16" t="str">
        <f>IFERROR(__xludf.DUMMYFUNCTION("""COMPUTED_VALUE"""),"")</f>
        <v/>
      </c>
      <c r="U5176" s="16" t="s">
        <v>87</v>
      </c>
      <c r="V5176" s="16" t="str">
        <f>IFERROR(__xludf.DUMMYFUNCTION("""COMPUTED_VALUE"""),"")</f>
        <v/>
      </c>
      <c r="W5176" s="16" t="str">
        <f>IFERROR(__xludf.DUMMYFUNCTION("""COMPUTED_VALUE"""),"")</f>
        <v/>
      </c>
      <c r="X5176" s="16" t="str">
        <f>IFERROR(__xludf.DUMMYFUNCTION("""COMPUTED_VALUE"""),"")</f>
        <v/>
      </c>
      <c r="AC5176" s="16" t="str">
        <f>IFERROR(__xludf.DUMMYFUNCTION("""COMPUTED_VALUE"""),"")</f>
        <v/>
      </c>
    </row>
    <row r="5177">
      <c r="A5177" s="16" t="s">
        <v>87</v>
      </c>
      <c r="E5177" s="16" t="str">
        <f>IFERROR(__xludf.DUMMYFUNCTION("""COMPUTED_VALUE"""),"")</f>
        <v/>
      </c>
      <c r="G5177" s="18"/>
      <c r="H5177" s="16" t="s">
        <v>87</v>
      </c>
      <c r="I5177" s="16" t="s">
        <v>87</v>
      </c>
      <c r="J5177" s="19"/>
      <c r="L5177" s="16" t="str">
        <f>IFERROR(__xludf.DUMMYFUNCTION("""COMPUTED_VALUE"""),"")</f>
        <v/>
      </c>
      <c r="M5177" s="16" t="str">
        <f>IFERROR(__xludf.DUMMYFUNCTION("""COMPUTED_VALUE"""),"")</f>
        <v/>
      </c>
      <c r="U5177" s="16" t="s">
        <v>87</v>
      </c>
      <c r="V5177" s="16" t="str">
        <f>IFERROR(__xludf.DUMMYFUNCTION("""COMPUTED_VALUE"""),"")</f>
        <v/>
      </c>
      <c r="W5177" s="16" t="str">
        <f>IFERROR(__xludf.DUMMYFUNCTION("""COMPUTED_VALUE"""),"")</f>
        <v/>
      </c>
      <c r="X5177" s="16" t="str">
        <f>IFERROR(__xludf.DUMMYFUNCTION("""COMPUTED_VALUE"""),"")</f>
        <v/>
      </c>
      <c r="AC5177" s="16" t="str">
        <f>IFERROR(__xludf.DUMMYFUNCTION("""COMPUTED_VALUE"""),"")</f>
        <v/>
      </c>
    </row>
    <row r="5178">
      <c r="A5178" s="16" t="s">
        <v>87</v>
      </c>
      <c r="E5178" s="16" t="str">
        <f>IFERROR(__xludf.DUMMYFUNCTION("""COMPUTED_VALUE"""),"")</f>
        <v/>
      </c>
      <c r="G5178" s="18"/>
      <c r="H5178" s="16" t="s">
        <v>87</v>
      </c>
      <c r="I5178" s="16" t="s">
        <v>87</v>
      </c>
      <c r="J5178" s="19"/>
      <c r="L5178" s="16" t="str">
        <f>IFERROR(__xludf.DUMMYFUNCTION("""COMPUTED_VALUE"""),"")</f>
        <v/>
      </c>
      <c r="M5178" s="16" t="str">
        <f>IFERROR(__xludf.DUMMYFUNCTION("""COMPUTED_VALUE"""),"")</f>
        <v/>
      </c>
      <c r="U5178" s="16" t="s">
        <v>87</v>
      </c>
      <c r="V5178" s="16" t="str">
        <f>IFERROR(__xludf.DUMMYFUNCTION("""COMPUTED_VALUE"""),"")</f>
        <v/>
      </c>
      <c r="W5178" s="16" t="str">
        <f>IFERROR(__xludf.DUMMYFUNCTION("""COMPUTED_VALUE"""),"")</f>
        <v/>
      </c>
      <c r="X5178" s="16" t="str">
        <f>IFERROR(__xludf.DUMMYFUNCTION("""COMPUTED_VALUE"""),"")</f>
        <v/>
      </c>
      <c r="AC5178" s="16" t="str">
        <f>IFERROR(__xludf.DUMMYFUNCTION("""COMPUTED_VALUE"""),"")</f>
        <v/>
      </c>
    </row>
    <row r="5179">
      <c r="A5179" s="16" t="s">
        <v>87</v>
      </c>
      <c r="E5179" s="16" t="str">
        <f>IFERROR(__xludf.DUMMYFUNCTION("""COMPUTED_VALUE"""),"")</f>
        <v/>
      </c>
      <c r="G5179" s="18"/>
      <c r="H5179" s="16" t="s">
        <v>87</v>
      </c>
      <c r="I5179" s="16" t="s">
        <v>87</v>
      </c>
      <c r="J5179" s="19"/>
      <c r="L5179" s="16" t="str">
        <f>IFERROR(__xludf.DUMMYFUNCTION("""COMPUTED_VALUE"""),"")</f>
        <v/>
      </c>
      <c r="M5179" s="16" t="str">
        <f>IFERROR(__xludf.DUMMYFUNCTION("""COMPUTED_VALUE"""),"")</f>
        <v/>
      </c>
      <c r="U5179" s="16" t="s">
        <v>87</v>
      </c>
      <c r="V5179" s="16" t="str">
        <f>IFERROR(__xludf.DUMMYFUNCTION("""COMPUTED_VALUE"""),"")</f>
        <v/>
      </c>
      <c r="W5179" s="16" t="str">
        <f>IFERROR(__xludf.DUMMYFUNCTION("""COMPUTED_VALUE"""),"")</f>
        <v/>
      </c>
      <c r="X5179" s="16" t="str">
        <f>IFERROR(__xludf.DUMMYFUNCTION("""COMPUTED_VALUE"""),"")</f>
        <v/>
      </c>
      <c r="AC5179" s="16" t="str">
        <f>IFERROR(__xludf.DUMMYFUNCTION("""COMPUTED_VALUE"""),"")</f>
        <v/>
      </c>
    </row>
    <row r="5180">
      <c r="A5180" s="16" t="s">
        <v>87</v>
      </c>
      <c r="E5180" s="16" t="str">
        <f>IFERROR(__xludf.DUMMYFUNCTION("""COMPUTED_VALUE"""),"")</f>
        <v/>
      </c>
      <c r="G5180" s="18"/>
      <c r="H5180" s="16" t="s">
        <v>87</v>
      </c>
      <c r="I5180" s="16" t="s">
        <v>87</v>
      </c>
      <c r="J5180" s="19"/>
      <c r="L5180" s="16" t="str">
        <f>IFERROR(__xludf.DUMMYFUNCTION("""COMPUTED_VALUE"""),"")</f>
        <v/>
      </c>
      <c r="M5180" s="16" t="str">
        <f>IFERROR(__xludf.DUMMYFUNCTION("""COMPUTED_VALUE"""),"")</f>
        <v/>
      </c>
      <c r="U5180" s="16" t="s">
        <v>87</v>
      </c>
      <c r="V5180" s="16" t="str">
        <f>IFERROR(__xludf.DUMMYFUNCTION("""COMPUTED_VALUE"""),"")</f>
        <v/>
      </c>
      <c r="W5180" s="16" t="str">
        <f>IFERROR(__xludf.DUMMYFUNCTION("""COMPUTED_VALUE"""),"")</f>
        <v/>
      </c>
      <c r="X5180" s="16" t="str">
        <f>IFERROR(__xludf.DUMMYFUNCTION("""COMPUTED_VALUE"""),"")</f>
        <v/>
      </c>
      <c r="AC5180" s="16" t="str">
        <f>IFERROR(__xludf.DUMMYFUNCTION("""COMPUTED_VALUE"""),"")</f>
        <v/>
      </c>
    </row>
    <row r="5181">
      <c r="A5181" s="16" t="s">
        <v>87</v>
      </c>
      <c r="E5181" s="16" t="str">
        <f>IFERROR(__xludf.DUMMYFUNCTION("""COMPUTED_VALUE"""),"")</f>
        <v/>
      </c>
      <c r="G5181" s="18"/>
      <c r="H5181" s="16" t="s">
        <v>87</v>
      </c>
      <c r="I5181" s="16" t="s">
        <v>87</v>
      </c>
      <c r="J5181" s="19"/>
      <c r="L5181" s="16" t="str">
        <f>IFERROR(__xludf.DUMMYFUNCTION("""COMPUTED_VALUE"""),"")</f>
        <v/>
      </c>
      <c r="M5181" s="16" t="str">
        <f>IFERROR(__xludf.DUMMYFUNCTION("""COMPUTED_VALUE"""),"")</f>
        <v/>
      </c>
      <c r="U5181" s="16" t="s">
        <v>87</v>
      </c>
      <c r="V5181" s="16" t="str">
        <f>IFERROR(__xludf.DUMMYFUNCTION("""COMPUTED_VALUE"""),"")</f>
        <v/>
      </c>
      <c r="W5181" s="16" t="str">
        <f>IFERROR(__xludf.DUMMYFUNCTION("""COMPUTED_VALUE"""),"")</f>
        <v/>
      </c>
      <c r="X5181" s="16" t="str">
        <f>IFERROR(__xludf.DUMMYFUNCTION("""COMPUTED_VALUE"""),"")</f>
        <v/>
      </c>
      <c r="AC5181" s="16" t="str">
        <f>IFERROR(__xludf.DUMMYFUNCTION("""COMPUTED_VALUE"""),"")</f>
        <v/>
      </c>
    </row>
    <row r="5182">
      <c r="A5182" s="16" t="s">
        <v>87</v>
      </c>
      <c r="E5182" s="16" t="str">
        <f>IFERROR(__xludf.DUMMYFUNCTION("""COMPUTED_VALUE"""),"")</f>
        <v/>
      </c>
      <c r="G5182" s="18"/>
      <c r="H5182" s="16" t="s">
        <v>87</v>
      </c>
      <c r="I5182" s="16" t="s">
        <v>87</v>
      </c>
      <c r="J5182" s="19"/>
      <c r="L5182" s="16" t="str">
        <f>IFERROR(__xludf.DUMMYFUNCTION("""COMPUTED_VALUE"""),"")</f>
        <v/>
      </c>
      <c r="M5182" s="16" t="str">
        <f>IFERROR(__xludf.DUMMYFUNCTION("""COMPUTED_VALUE"""),"")</f>
        <v/>
      </c>
      <c r="U5182" s="16" t="s">
        <v>87</v>
      </c>
      <c r="V5182" s="16" t="str">
        <f>IFERROR(__xludf.DUMMYFUNCTION("""COMPUTED_VALUE"""),"")</f>
        <v/>
      </c>
      <c r="W5182" s="16" t="str">
        <f>IFERROR(__xludf.DUMMYFUNCTION("""COMPUTED_VALUE"""),"")</f>
        <v/>
      </c>
      <c r="X5182" s="16" t="str">
        <f>IFERROR(__xludf.DUMMYFUNCTION("""COMPUTED_VALUE"""),"")</f>
        <v/>
      </c>
      <c r="AC5182" s="16" t="str">
        <f>IFERROR(__xludf.DUMMYFUNCTION("""COMPUTED_VALUE"""),"")</f>
        <v/>
      </c>
    </row>
    <row r="5183">
      <c r="A5183" s="16" t="s">
        <v>87</v>
      </c>
      <c r="E5183" s="16" t="str">
        <f>IFERROR(__xludf.DUMMYFUNCTION("""COMPUTED_VALUE"""),"")</f>
        <v/>
      </c>
      <c r="G5183" s="18"/>
      <c r="H5183" s="16" t="s">
        <v>87</v>
      </c>
      <c r="I5183" s="16" t="s">
        <v>87</v>
      </c>
      <c r="J5183" s="19"/>
      <c r="L5183" s="16" t="str">
        <f>IFERROR(__xludf.DUMMYFUNCTION("""COMPUTED_VALUE"""),"")</f>
        <v/>
      </c>
      <c r="M5183" s="16" t="str">
        <f>IFERROR(__xludf.DUMMYFUNCTION("""COMPUTED_VALUE"""),"")</f>
        <v/>
      </c>
      <c r="U5183" s="16" t="s">
        <v>87</v>
      </c>
      <c r="V5183" s="16" t="str">
        <f>IFERROR(__xludf.DUMMYFUNCTION("""COMPUTED_VALUE"""),"")</f>
        <v/>
      </c>
      <c r="W5183" s="16" t="str">
        <f>IFERROR(__xludf.DUMMYFUNCTION("""COMPUTED_VALUE"""),"")</f>
        <v/>
      </c>
      <c r="X5183" s="16" t="str">
        <f>IFERROR(__xludf.DUMMYFUNCTION("""COMPUTED_VALUE"""),"")</f>
        <v/>
      </c>
      <c r="AC5183" s="16" t="str">
        <f>IFERROR(__xludf.DUMMYFUNCTION("""COMPUTED_VALUE"""),"")</f>
        <v/>
      </c>
    </row>
    <row r="5184">
      <c r="A5184" s="16" t="s">
        <v>87</v>
      </c>
      <c r="E5184" s="16" t="str">
        <f>IFERROR(__xludf.DUMMYFUNCTION("""COMPUTED_VALUE"""),"")</f>
        <v/>
      </c>
      <c r="G5184" s="18"/>
      <c r="H5184" s="16" t="s">
        <v>87</v>
      </c>
      <c r="I5184" s="16" t="s">
        <v>87</v>
      </c>
      <c r="J5184" s="19"/>
      <c r="L5184" s="16" t="str">
        <f>IFERROR(__xludf.DUMMYFUNCTION("""COMPUTED_VALUE"""),"")</f>
        <v/>
      </c>
      <c r="M5184" s="16" t="str">
        <f>IFERROR(__xludf.DUMMYFUNCTION("""COMPUTED_VALUE"""),"")</f>
        <v/>
      </c>
      <c r="U5184" s="16" t="s">
        <v>87</v>
      </c>
      <c r="V5184" s="16" t="str">
        <f>IFERROR(__xludf.DUMMYFUNCTION("""COMPUTED_VALUE"""),"")</f>
        <v/>
      </c>
      <c r="W5184" s="16" t="str">
        <f>IFERROR(__xludf.DUMMYFUNCTION("""COMPUTED_VALUE"""),"")</f>
        <v/>
      </c>
      <c r="X5184" s="16" t="str">
        <f>IFERROR(__xludf.DUMMYFUNCTION("""COMPUTED_VALUE"""),"")</f>
        <v/>
      </c>
      <c r="AC5184" s="16" t="str">
        <f>IFERROR(__xludf.DUMMYFUNCTION("""COMPUTED_VALUE"""),"")</f>
        <v/>
      </c>
    </row>
    <row r="5185">
      <c r="A5185" s="16" t="s">
        <v>87</v>
      </c>
      <c r="E5185" s="16" t="str">
        <f>IFERROR(__xludf.DUMMYFUNCTION("""COMPUTED_VALUE"""),"")</f>
        <v/>
      </c>
      <c r="G5185" s="18"/>
      <c r="H5185" s="16" t="s">
        <v>87</v>
      </c>
      <c r="I5185" s="16" t="s">
        <v>87</v>
      </c>
      <c r="J5185" s="19"/>
      <c r="L5185" s="16" t="str">
        <f>IFERROR(__xludf.DUMMYFUNCTION("""COMPUTED_VALUE"""),"")</f>
        <v/>
      </c>
      <c r="M5185" s="16" t="str">
        <f>IFERROR(__xludf.DUMMYFUNCTION("""COMPUTED_VALUE"""),"")</f>
        <v/>
      </c>
      <c r="U5185" s="16" t="s">
        <v>87</v>
      </c>
      <c r="V5185" s="16" t="str">
        <f>IFERROR(__xludf.DUMMYFUNCTION("""COMPUTED_VALUE"""),"")</f>
        <v/>
      </c>
      <c r="W5185" s="16" t="str">
        <f>IFERROR(__xludf.DUMMYFUNCTION("""COMPUTED_VALUE"""),"")</f>
        <v/>
      </c>
      <c r="X5185" s="16" t="str">
        <f>IFERROR(__xludf.DUMMYFUNCTION("""COMPUTED_VALUE"""),"")</f>
        <v/>
      </c>
      <c r="AC5185" s="16" t="str">
        <f>IFERROR(__xludf.DUMMYFUNCTION("""COMPUTED_VALUE"""),"")</f>
        <v/>
      </c>
    </row>
    <row r="5186">
      <c r="A5186" s="16" t="s">
        <v>87</v>
      </c>
      <c r="E5186" s="16" t="str">
        <f>IFERROR(__xludf.DUMMYFUNCTION("""COMPUTED_VALUE"""),"")</f>
        <v/>
      </c>
      <c r="G5186" s="18"/>
      <c r="H5186" s="16" t="s">
        <v>87</v>
      </c>
      <c r="I5186" s="16" t="s">
        <v>87</v>
      </c>
      <c r="J5186" s="19"/>
      <c r="L5186" s="16" t="str">
        <f>IFERROR(__xludf.DUMMYFUNCTION("""COMPUTED_VALUE"""),"")</f>
        <v/>
      </c>
      <c r="M5186" s="16" t="str">
        <f>IFERROR(__xludf.DUMMYFUNCTION("""COMPUTED_VALUE"""),"")</f>
        <v/>
      </c>
      <c r="U5186" s="16" t="s">
        <v>87</v>
      </c>
      <c r="V5186" s="16" t="str">
        <f>IFERROR(__xludf.DUMMYFUNCTION("""COMPUTED_VALUE"""),"")</f>
        <v/>
      </c>
      <c r="W5186" s="16" t="str">
        <f>IFERROR(__xludf.DUMMYFUNCTION("""COMPUTED_VALUE"""),"")</f>
        <v/>
      </c>
      <c r="X5186" s="16" t="str">
        <f>IFERROR(__xludf.DUMMYFUNCTION("""COMPUTED_VALUE"""),"")</f>
        <v/>
      </c>
      <c r="AC5186" s="16" t="str">
        <f>IFERROR(__xludf.DUMMYFUNCTION("""COMPUTED_VALUE"""),"")</f>
        <v/>
      </c>
    </row>
    <row r="5187">
      <c r="A5187" s="16" t="s">
        <v>87</v>
      </c>
      <c r="E5187" s="16" t="str">
        <f>IFERROR(__xludf.DUMMYFUNCTION("""COMPUTED_VALUE"""),"")</f>
        <v/>
      </c>
      <c r="G5187" s="18"/>
      <c r="H5187" s="16" t="s">
        <v>87</v>
      </c>
      <c r="I5187" s="16" t="s">
        <v>87</v>
      </c>
      <c r="J5187" s="19"/>
      <c r="L5187" s="16" t="str">
        <f>IFERROR(__xludf.DUMMYFUNCTION("""COMPUTED_VALUE"""),"")</f>
        <v/>
      </c>
      <c r="M5187" s="16" t="str">
        <f>IFERROR(__xludf.DUMMYFUNCTION("""COMPUTED_VALUE"""),"")</f>
        <v/>
      </c>
      <c r="U5187" s="16" t="s">
        <v>87</v>
      </c>
      <c r="V5187" s="16" t="str">
        <f>IFERROR(__xludf.DUMMYFUNCTION("""COMPUTED_VALUE"""),"")</f>
        <v/>
      </c>
      <c r="W5187" s="16" t="str">
        <f>IFERROR(__xludf.DUMMYFUNCTION("""COMPUTED_VALUE"""),"")</f>
        <v/>
      </c>
      <c r="X5187" s="16" t="str">
        <f>IFERROR(__xludf.DUMMYFUNCTION("""COMPUTED_VALUE"""),"")</f>
        <v/>
      </c>
      <c r="AC5187" s="16" t="str">
        <f>IFERROR(__xludf.DUMMYFUNCTION("""COMPUTED_VALUE"""),"")</f>
        <v/>
      </c>
    </row>
    <row r="5188">
      <c r="A5188" s="16" t="s">
        <v>87</v>
      </c>
      <c r="E5188" s="16" t="str">
        <f>IFERROR(__xludf.DUMMYFUNCTION("""COMPUTED_VALUE"""),"")</f>
        <v/>
      </c>
      <c r="G5188" s="18"/>
      <c r="H5188" s="16" t="s">
        <v>87</v>
      </c>
      <c r="I5188" s="16" t="s">
        <v>87</v>
      </c>
      <c r="J5188" s="19"/>
      <c r="L5188" s="16" t="str">
        <f>IFERROR(__xludf.DUMMYFUNCTION("""COMPUTED_VALUE"""),"")</f>
        <v/>
      </c>
      <c r="M5188" s="16" t="str">
        <f>IFERROR(__xludf.DUMMYFUNCTION("""COMPUTED_VALUE"""),"")</f>
        <v/>
      </c>
      <c r="U5188" s="16" t="s">
        <v>87</v>
      </c>
      <c r="V5188" s="16" t="str">
        <f>IFERROR(__xludf.DUMMYFUNCTION("""COMPUTED_VALUE"""),"")</f>
        <v/>
      </c>
      <c r="W5188" s="16" t="str">
        <f>IFERROR(__xludf.DUMMYFUNCTION("""COMPUTED_VALUE"""),"")</f>
        <v/>
      </c>
      <c r="X5188" s="16" t="str">
        <f>IFERROR(__xludf.DUMMYFUNCTION("""COMPUTED_VALUE"""),"")</f>
        <v/>
      </c>
      <c r="AC5188" s="16" t="str">
        <f>IFERROR(__xludf.DUMMYFUNCTION("""COMPUTED_VALUE"""),"")</f>
        <v/>
      </c>
    </row>
    <row r="5189">
      <c r="A5189" s="16" t="s">
        <v>87</v>
      </c>
      <c r="E5189" s="16" t="str">
        <f>IFERROR(__xludf.DUMMYFUNCTION("""COMPUTED_VALUE"""),"")</f>
        <v/>
      </c>
      <c r="G5189" s="18"/>
      <c r="H5189" s="16" t="s">
        <v>87</v>
      </c>
      <c r="I5189" s="16" t="s">
        <v>87</v>
      </c>
      <c r="J5189" s="19"/>
      <c r="L5189" s="16" t="str">
        <f>IFERROR(__xludf.DUMMYFUNCTION("""COMPUTED_VALUE"""),"")</f>
        <v/>
      </c>
      <c r="M5189" s="16" t="str">
        <f>IFERROR(__xludf.DUMMYFUNCTION("""COMPUTED_VALUE"""),"")</f>
        <v/>
      </c>
      <c r="U5189" s="16" t="s">
        <v>87</v>
      </c>
      <c r="V5189" s="16" t="str">
        <f>IFERROR(__xludf.DUMMYFUNCTION("""COMPUTED_VALUE"""),"")</f>
        <v/>
      </c>
      <c r="W5189" s="16" t="str">
        <f>IFERROR(__xludf.DUMMYFUNCTION("""COMPUTED_VALUE"""),"")</f>
        <v/>
      </c>
      <c r="X5189" s="16" t="str">
        <f>IFERROR(__xludf.DUMMYFUNCTION("""COMPUTED_VALUE"""),"")</f>
        <v/>
      </c>
      <c r="AC5189" s="16" t="str">
        <f>IFERROR(__xludf.DUMMYFUNCTION("""COMPUTED_VALUE"""),"")</f>
        <v/>
      </c>
    </row>
    <row r="5190">
      <c r="A5190" s="16" t="s">
        <v>87</v>
      </c>
      <c r="E5190" s="16" t="str">
        <f>IFERROR(__xludf.DUMMYFUNCTION("""COMPUTED_VALUE"""),"")</f>
        <v/>
      </c>
      <c r="G5190" s="18"/>
      <c r="H5190" s="16" t="s">
        <v>87</v>
      </c>
      <c r="I5190" s="16" t="s">
        <v>87</v>
      </c>
      <c r="J5190" s="19"/>
      <c r="L5190" s="16" t="str">
        <f>IFERROR(__xludf.DUMMYFUNCTION("""COMPUTED_VALUE"""),"")</f>
        <v/>
      </c>
      <c r="M5190" s="16" t="str">
        <f>IFERROR(__xludf.DUMMYFUNCTION("""COMPUTED_VALUE"""),"")</f>
        <v/>
      </c>
      <c r="U5190" s="16" t="s">
        <v>87</v>
      </c>
      <c r="V5190" s="16" t="str">
        <f>IFERROR(__xludf.DUMMYFUNCTION("""COMPUTED_VALUE"""),"")</f>
        <v/>
      </c>
      <c r="W5190" s="16" t="str">
        <f>IFERROR(__xludf.DUMMYFUNCTION("""COMPUTED_VALUE"""),"")</f>
        <v/>
      </c>
      <c r="X5190" s="16" t="str">
        <f>IFERROR(__xludf.DUMMYFUNCTION("""COMPUTED_VALUE"""),"")</f>
        <v/>
      </c>
      <c r="AC5190" s="16" t="str">
        <f>IFERROR(__xludf.DUMMYFUNCTION("""COMPUTED_VALUE"""),"")</f>
        <v/>
      </c>
    </row>
    <row r="5191">
      <c r="A5191" s="16" t="s">
        <v>87</v>
      </c>
      <c r="E5191" s="16" t="str">
        <f>IFERROR(__xludf.DUMMYFUNCTION("""COMPUTED_VALUE"""),"")</f>
        <v/>
      </c>
      <c r="G5191" s="18"/>
      <c r="H5191" s="16" t="s">
        <v>87</v>
      </c>
      <c r="I5191" s="16" t="s">
        <v>87</v>
      </c>
      <c r="J5191" s="19"/>
      <c r="L5191" s="16" t="str">
        <f>IFERROR(__xludf.DUMMYFUNCTION("""COMPUTED_VALUE"""),"")</f>
        <v/>
      </c>
      <c r="M5191" s="16" t="str">
        <f>IFERROR(__xludf.DUMMYFUNCTION("""COMPUTED_VALUE"""),"")</f>
        <v/>
      </c>
      <c r="U5191" s="16" t="s">
        <v>87</v>
      </c>
      <c r="V5191" s="16" t="str">
        <f>IFERROR(__xludf.DUMMYFUNCTION("""COMPUTED_VALUE"""),"")</f>
        <v/>
      </c>
      <c r="W5191" s="16" t="str">
        <f>IFERROR(__xludf.DUMMYFUNCTION("""COMPUTED_VALUE"""),"")</f>
        <v/>
      </c>
      <c r="X5191" s="16" t="str">
        <f>IFERROR(__xludf.DUMMYFUNCTION("""COMPUTED_VALUE"""),"")</f>
        <v/>
      </c>
      <c r="AC5191" s="16" t="str">
        <f>IFERROR(__xludf.DUMMYFUNCTION("""COMPUTED_VALUE"""),"")</f>
        <v/>
      </c>
    </row>
    <row r="5192">
      <c r="A5192" s="16" t="s">
        <v>87</v>
      </c>
      <c r="E5192" s="16" t="str">
        <f>IFERROR(__xludf.DUMMYFUNCTION("""COMPUTED_VALUE"""),"")</f>
        <v/>
      </c>
      <c r="G5192" s="18"/>
      <c r="H5192" s="16" t="s">
        <v>87</v>
      </c>
      <c r="I5192" s="16" t="s">
        <v>87</v>
      </c>
      <c r="J5192" s="19"/>
      <c r="L5192" s="16" t="str">
        <f>IFERROR(__xludf.DUMMYFUNCTION("""COMPUTED_VALUE"""),"")</f>
        <v/>
      </c>
      <c r="M5192" s="16" t="str">
        <f>IFERROR(__xludf.DUMMYFUNCTION("""COMPUTED_VALUE"""),"")</f>
        <v/>
      </c>
      <c r="U5192" s="16" t="s">
        <v>87</v>
      </c>
      <c r="V5192" s="16" t="str">
        <f>IFERROR(__xludf.DUMMYFUNCTION("""COMPUTED_VALUE"""),"")</f>
        <v/>
      </c>
      <c r="W5192" s="16" t="str">
        <f>IFERROR(__xludf.DUMMYFUNCTION("""COMPUTED_VALUE"""),"")</f>
        <v/>
      </c>
      <c r="X5192" s="16" t="str">
        <f>IFERROR(__xludf.DUMMYFUNCTION("""COMPUTED_VALUE"""),"")</f>
        <v/>
      </c>
      <c r="AC5192" s="16" t="str">
        <f>IFERROR(__xludf.DUMMYFUNCTION("""COMPUTED_VALUE"""),"")</f>
        <v/>
      </c>
    </row>
    <row r="5193">
      <c r="A5193" s="16" t="s">
        <v>87</v>
      </c>
      <c r="E5193" s="16" t="str">
        <f>IFERROR(__xludf.DUMMYFUNCTION("""COMPUTED_VALUE"""),"")</f>
        <v/>
      </c>
      <c r="G5193" s="18"/>
      <c r="H5193" s="16" t="s">
        <v>87</v>
      </c>
      <c r="I5193" s="16" t="s">
        <v>87</v>
      </c>
      <c r="J5193" s="19"/>
      <c r="L5193" s="16" t="str">
        <f>IFERROR(__xludf.DUMMYFUNCTION("""COMPUTED_VALUE"""),"")</f>
        <v/>
      </c>
      <c r="M5193" s="16" t="str">
        <f>IFERROR(__xludf.DUMMYFUNCTION("""COMPUTED_VALUE"""),"")</f>
        <v/>
      </c>
      <c r="U5193" s="16" t="s">
        <v>87</v>
      </c>
      <c r="V5193" s="16" t="str">
        <f>IFERROR(__xludf.DUMMYFUNCTION("""COMPUTED_VALUE"""),"")</f>
        <v/>
      </c>
      <c r="W5193" s="16" t="str">
        <f>IFERROR(__xludf.DUMMYFUNCTION("""COMPUTED_VALUE"""),"")</f>
        <v/>
      </c>
      <c r="X5193" s="16" t="str">
        <f>IFERROR(__xludf.DUMMYFUNCTION("""COMPUTED_VALUE"""),"")</f>
        <v/>
      </c>
      <c r="AC5193" s="16" t="str">
        <f>IFERROR(__xludf.DUMMYFUNCTION("""COMPUTED_VALUE"""),"")</f>
        <v/>
      </c>
    </row>
    <row r="5194">
      <c r="A5194" s="16" t="s">
        <v>87</v>
      </c>
      <c r="E5194" s="16" t="str">
        <f>IFERROR(__xludf.DUMMYFUNCTION("""COMPUTED_VALUE"""),"")</f>
        <v/>
      </c>
      <c r="G5194" s="18"/>
      <c r="H5194" s="16" t="s">
        <v>87</v>
      </c>
      <c r="I5194" s="16" t="s">
        <v>87</v>
      </c>
      <c r="J5194" s="19"/>
      <c r="L5194" s="16" t="str">
        <f>IFERROR(__xludf.DUMMYFUNCTION("""COMPUTED_VALUE"""),"")</f>
        <v/>
      </c>
      <c r="M5194" s="16" t="str">
        <f>IFERROR(__xludf.DUMMYFUNCTION("""COMPUTED_VALUE"""),"")</f>
        <v/>
      </c>
      <c r="U5194" s="16" t="s">
        <v>87</v>
      </c>
      <c r="V5194" s="16" t="str">
        <f>IFERROR(__xludf.DUMMYFUNCTION("""COMPUTED_VALUE"""),"")</f>
        <v/>
      </c>
      <c r="W5194" s="16" t="str">
        <f>IFERROR(__xludf.DUMMYFUNCTION("""COMPUTED_VALUE"""),"")</f>
        <v/>
      </c>
      <c r="X5194" s="16" t="str">
        <f>IFERROR(__xludf.DUMMYFUNCTION("""COMPUTED_VALUE"""),"")</f>
        <v/>
      </c>
      <c r="AC5194" s="16" t="str">
        <f>IFERROR(__xludf.DUMMYFUNCTION("""COMPUTED_VALUE"""),"")</f>
        <v/>
      </c>
    </row>
    <row r="5195">
      <c r="A5195" s="16" t="s">
        <v>87</v>
      </c>
      <c r="E5195" s="16" t="str">
        <f>IFERROR(__xludf.DUMMYFUNCTION("""COMPUTED_VALUE"""),"")</f>
        <v/>
      </c>
      <c r="G5195" s="18"/>
      <c r="H5195" s="16" t="s">
        <v>87</v>
      </c>
      <c r="I5195" s="16" t="s">
        <v>87</v>
      </c>
      <c r="J5195" s="19"/>
      <c r="L5195" s="16" t="str">
        <f>IFERROR(__xludf.DUMMYFUNCTION("""COMPUTED_VALUE"""),"")</f>
        <v/>
      </c>
      <c r="M5195" s="16" t="str">
        <f>IFERROR(__xludf.DUMMYFUNCTION("""COMPUTED_VALUE"""),"")</f>
        <v/>
      </c>
      <c r="U5195" s="16" t="s">
        <v>87</v>
      </c>
      <c r="V5195" s="16" t="str">
        <f>IFERROR(__xludf.DUMMYFUNCTION("""COMPUTED_VALUE"""),"")</f>
        <v/>
      </c>
      <c r="W5195" s="16" t="str">
        <f>IFERROR(__xludf.DUMMYFUNCTION("""COMPUTED_VALUE"""),"")</f>
        <v/>
      </c>
      <c r="X5195" s="16" t="str">
        <f>IFERROR(__xludf.DUMMYFUNCTION("""COMPUTED_VALUE"""),"")</f>
        <v/>
      </c>
      <c r="AC5195" s="16" t="str">
        <f>IFERROR(__xludf.DUMMYFUNCTION("""COMPUTED_VALUE"""),"")</f>
        <v/>
      </c>
    </row>
    <row r="5196">
      <c r="A5196" s="16" t="s">
        <v>87</v>
      </c>
      <c r="E5196" s="16" t="str">
        <f>IFERROR(__xludf.DUMMYFUNCTION("""COMPUTED_VALUE"""),"")</f>
        <v/>
      </c>
      <c r="G5196" s="18"/>
      <c r="H5196" s="16" t="s">
        <v>87</v>
      </c>
      <c r="I5196" s="16" t="s">
        <v>87</v>
      </c>
      <c r="J5196" s="19"/>
      <c r="L5196" s="16" t="str">
        <f>IFERROR(__xludf.DUMMYFUNCTION("""COMPUTED_VALUE"""),"")</f>
        <v/>
      </c>
      <c r="M5196" s="16" t="str">
        <f>IFERROR(__xludf.DUMMYFUNCTION("""COMPUTED_VALUE"""),"")</f>
        <v/>
      </c>
      <c r="U5196" s="16" t="s">
        <v>87</v>
      </c>
      <c r="V5196" s="16" t="str">
        <f>IFERROR(__xludf.DUMMYFUNCTION("""COMPUTED_VALUE"""),"")</f>
        <v/>
      </c>
      <c r="W5196" s="16" t="str">
        <f>IFERROR(__xludf.DUMMYFUNCTION("""COMPUTED_VALUE"""),"")</f>
        <v/>
      </c>
      <c r="X5196" s="16" t="str">
        <f>IFERROR(__xludf.DUMMYFUNCTION("""COMPUTED_VALUE"""),"")</f>
        <v/>
      </c>
      <c r="AC5196" s="16" t="str">
        <f>IFERROR(__xludf.DUMMYFUNCTION("""COMPUTED_VALUE"""),"")</f>
        <v/>
      </c>
    </row>
    <row r="5197">
      <c r="A5197" s="16" t="s">
        <v>87</v>
      </c>
      <c r="E5197" s="16" t="str">
        <f>IFERROR(__xludf.DUMMYFUNCTION("""COMPUTED_VALUE"""),"")</f>
        <v/>
      </c>
      <c r="G5197" s="18"/>
      <c r="H5197" s="16" t="s">
        <v>87</v>
      </c>
      <c r="I5197" s="16" t="s">
        <v>87</v>
      </c>
      <c r="J5197" s="19"/>
      <c r="L5197" s="16" t="str">
        <f>IFERROR(__xludf.DUMMYFUNCTION("""COMPUTED_VALUE"""),"")</f>
        <v/>
      </c>
      <c r="M5197" s="16" t="str">
        <f>IFERROR(__xludf.DUMMYFUNCTION("""COMPUTED_VALUE"""),"")</f>
        <v/>
      </c>
      <c r="U5197" s="16" t="s">
        <v>87</v>
      </c>
      <c r="V5197" s="16" t="str">
        <f>IFERROR(__xludf.DUMMYFUNCTION("""COMPUTED_VALUE"""),"")</f>
        <v/>
      </c>
      <c r="W5197" s="16" t="str">
        <f>IFERROR(__xludf.DUMMYFUNCTION("""COMPUTED_VALUE"""),"")</f>
        <v/>
      </c>
      <c r="X5197" s="16" t="str">
        <f>IFERROR(__xludf.DUMMYFUNCTION("""COMPUTED_VALUE"""),"")</f>
        <v/>
      </c>
      <c r="AC5197" s="16" t="str">
        <f>IFERROR(__xludf.DUMMYFUNCTION("""COMPUTED_VALUE"""),"")</f>
        <v/>
      </c>
    </row>
    <row r="5198">
      <c r="A5198" s="16" t="s">
        <v>87</v>
      </c>
      <c r="E5198" s="16" t="str">
        <f>IFERROR(__xludf.DUMMYFUNCTION("""COMPUTED_VALUE"""),"")</f>
        <v/>
      </c>
      <c r="G5198" s="18"/>
      <c r="H5198" s="16" t="s">
        <v>87</v>
      </c>
      <c r="I5198" s="16" t="s">
        <v>87</v>
      </c>
      <c r="J5198" s="19"/>
      <c r="L5198" s="16" t="str">
        <f>IFERROR(__xludf.DUMMYFUNCTION("""COMPUTED_VALUE"""),"")</f>
        <v/>
      </c>
      <c r="M5198" s="16" t="str">
        <f>IFERROR(__xludf.DUMMYFUNCTION("""COMPUTED_VALUE"""),"")</f>
        <v/>
      </c>
      <c r="U5198" s="16" t="s">
        <v>87</v>
      </c>
      <c r="V5198" s="16" t="str">
        <f>IFERROR(__xludf.DUMMYFUNCTION("""COMPUTED_VALUE"""),"")</f>
        <v/>
      </c>
      <c r="W5198" s="16" t="str">
        <f>IFERROR(__xludf.DUMMYFUNCTION("""COMPUTED_VALUE"""),"")</f>
        <v/>
      </c>
      <c r="X5198" s="16" t="str">
        <f>IFERROR(__xludf.DUMMYFUNCTION("""COMPUTED_VALUE"""),"")</f>
        <v/>
      </c>
      <c r="AC5198" s="16" t="str">
        <f>IFERROR(__xludf.DUMMYFUNCTION("""COMPUTED_VALUE"""),"")</f>
        <v/>
      </c>
    </row>
    <row r="5199">
      <c r="A5199" s="16" t="s">
        <v>87</v>
      </c>
      <c r="E5199" s="16" t="str">
        <f>IFERROR(__xludf.DUMMYFUNCTION("""COMPUTED_VALUE"""),"")</f>
        <v/>
      </c>
      <c r="G5199" s="18"/>
      <c r="H5199" s="16" t="s">
        <v>87</v>
      </c>
      <c r="I5199" s="16" t="s">
        <v>87</v>
      </c>
      <c r="J5199" s="19"/>
      <c r="L5199" s="16" t="str">
        <f>IFERROR(__xludf.DUMMYFUNCTION("""COMPUTED_VALUE"""),"")</f>
        <v/>
      </c>
      <c r="M5199" s="16" t="str">
        <f>IFERROR(__xludf.DUMMYFUNCTION("""COMPUTED_VALUE"""),"")</f>
        <v/>
      </c>
      <c r="U5199" s="16" t="s">
        <v>87</v>
      </c>
      <c r="V5199" s="16" t="str">
        <f>IFERROR(__xludf.DUMMYFUNCTION("""COMPUTED_VALUE"""),"")</f>
        <v/>
      </c>
      <c r="W5199" s="16" t="str">
        <f>IFERROR(__xludf.DUMMYFUNCTION("""COMPUTED_VALUE"""),"")</f>
        <v/>
      </c>
      <c r="X5199" s="16" t="str">
        <f>IFERROR(__xludf.DUMMYFUNCTION("""COMPUTED_VALUE"""),"")</f>
        <v/>
      </c>
      <c r="AC5199" s="16" t="str">
        <f>IFERROR(__xludf.DUMMYFUNCTION("""COMPUTED_VALUE"""),"")</f>
        <v/>
      </c>
    </row>
    <row r="5200">
      <c r="A5200" s="16" t="s">
        <v>87</v>
      </c>
      <c r="E5200" s="16" t="str">
        <f>IFERROR(__xludf.DUMMYFUNCTION("""COMPUTED_VALUE"""),"")</f>
        <v/>
      </c>
      <c r="G5200" s="18"/>
      <c r="H5200" s="16" t="s">
        <v>87</v>
      </c>
      <c r="I5200" s="16" t="s">
        <v>87</v>
      </c>
      <c r="J5200" s="19"/>
      <c r="L5200" s="16" t="str">
        <f>IFERROR(__xludf.DUMMYFUNCTION("""COMPUTED_VALUE"""),"")</f>
        <v/>
      </c>
      <c r="M5200" s="16" t="str">
        <f>IFERROR(__xludf.DUMMYFUNCTION("""COMPUTED_VALUE"""),"")</f>
        <v/>
      </c>
      <c r="U5200" s="16" t="s">
        <v>87</v>
      </c>
      <c r="V5200" s="16" t="str">
        <f>IFERROR(__xludf.DUMMYFUNCTION("""COMPUTED_VALUE"""),"")</f>
        <v/>
      </c>
      <c r="W5200" s="16" t="str">
        <f>IFERROR(__xludf.DUMMYFUNCTION("""COMPUTED_VALUE"""),"")</f>
        <v/>
      </c>
      <c r="X5200" s="16" t="str">
        <f>IFERROR(__xludf.DUMMYFUNCTION("""COMPUTED_VALUE"""),"")</f>
        <v/>
      </c>
      <c r="AC5200" s="16" t="str">
        <f>IFERROR(__xludf.DUMMYFUNCTION("""COMPUTED_VALUE"""),"")</f>
        <v/>
      </c>
    </row>
    <row r="5201">
      <c r="A5201" s="16" t="s">
        <v>87</v>
      </c>
      <c r="E5201" s="16" t="str">
        <f>IFERROR(__xludf.DUMMYFUNCTION("""COMPUTED_VALUE"""),"")</f>
        <v/>
      </c>
      <c r="G5201" s="18"/>
      <c r="H5201" s="16" t="s">
        <v>87</v>
      </c>
      <c r="I5201" s="16" t="s">
        <v>87</v>
      </c>
      <c r="J5201" s="19"/>
      <c r="L5201" s="16" t="str">
        <f>IFERROR(__xludf.DUMMYFUNCTION("""COMPUTED_VALUE"""),"")</f>
        <v/>
      </c>
      <c r="M5201" s="16" t="str">
        <f>IFERROR(__xludf.DUMMYFUNCTION("""COMPUTED_VALUE"""),"")</f>
        <v/>
      </c>
      <c r="U5201" s="16" t="s">
        <v>87</v>
      </c>
      <c r="V5201" s="16" t="str">
        <f>IFERROR(__xludf.DUMMYFUNCTION("""COMPUTED_VALUE"""),"")</f>
        <v/>
      </c>
      <c r="W5201" s="16" t="str">
        <f>IFERROR(__xludf.DUMMYFUNCTION("""COMPUTED_VALUE"""),"")</f>
        <v/>
      </c>
      <c r="X5201" s="16" t="str">
        <f>IFERROR(__xludf.DUMMYFUNCTION("""COMPUTED_VALUE"""),"")</f>
        <v/>
      </c>
      <c r="AC5201" s="16" t="str">
        <f>IFERROR(__xludf.DUMMYFUNCTION("""COMPUTED_VALUE"""),"")</f>
        <v/>
      </c>
    </row>
    <row r="5202">
      <c r="A5202" s="16" t="s">
        <v>87</v>
      </c>
      <c r="E5202" s="16" t="str">
        <f>IFERROR(__xludf.DUMMYFUNCTION("""COMPUTED_VALUE"""),"")</f>
        <v/>
      </c>
      <c r="G5202" s="18"/>
      <c r="H5202" s="16" t="s">
        <v>87</v>
      </c>
      <c r="I5202" s="16" t="s">
        <v>87</v>
      </c>
      <c r="J5202" s="19"/>
      <c r="L5202" s="16" t="str">
        <f>IFERROR(__xludf.DUMMYFUNCTION("""COMPUTED_VALUE"""),"")</f>
        <v/>
      </c>
      <c r="M5202" s="16" t="str">
        <f>IFERROR(__xludf.DUMMYFUNCTION("""COMPUTED_VALUE"""),"")</f>
        <v/>
      </c>
      <c r="U5202" s="16" t="s">
        <v>87</v>
      </c>
      <c r="V5202" s="16" t="str">
        <f>IFERROR(__xludf.DUMMYFUNCTION("""COMPUTED_VALUE"""),"")</f>
        <v/>
      </c>
      <c r="W5202" s="16" t="str">
        <f>IFERROR(__xludf.DUMMYFUNCTION("""COMPUTED_VALUE"""),"")</f>
        <v/>
      </c>
      <c r="X5202" s="16" t="str">
        <f>IFERROR(__xludf.DUMMYFUNCTION("""COMPUTED_VALUE"""),"")</f>
        <v/>
      </c>
      <c r="AC5202" s="16" t="str">
        <f>IFERROR(__xludf.DUMMYFUNCTION("""COMPUTED_VALUE"""),"")</f>
        <v/>
      </c>
    </row>
    <row r="5203">
      <c r="A5203" s="16" t="s">
        <v>87</v>
      </c>
      <c r="E5203" s="16" t="str">
        <f>IFERROR(__xludf.DUMMYFUNCTION("""COMPUTED_VALUE"""),"")</f>
        <v/>
      </c>
      <c r="G5203" s="18"/>
      <c r="H5203" s="16" t="s">
        <v>87</v>
      </c>
      <c r="I5203" s="16" t="s">
        <v>87</v>
      </c>
      <c r="J5203" s="19"/>
      <c r="L5203" s="16" t="str">
        <f>IFERROR(__xludf.DUMMYFUNCTION("""COMPUTED_VALUE"""),"")</f>
        <v/>
      </c>
      <c r="M5203" s="16" t="str">
        <f>IFERROR(__xludf.DUMMYFUNCTION("""COMPUTED_VALUE"""),"")</f>
        <v/>
      </c>
      <c r="U5203" s="16" t="s">
        <v>87</v>
      </c>
      <c r="V5203" s="16" t="str">
        <f>IFERROR(__xludf.DUMMYFUNCTION("""COMPUTED_VALUE"""),"")</f>
        <v/>
      </c>
      <c r="W5203" s="16" t="str">
        <f>IFERROR(__xludf.DUMMYFUNCTION("""COMPUTED_VALUE"""),"")</f>
        <v/>
      </c>
      <c r="X5203" s="16" t="str">
        <f>IFERROR(__xludf.DUMMYFUNCTION("""COMPUTED_VALUE"""),"")</f>
        <v/>
      </c>
      <c r="AC5203" s="16" t="str">
        <f>IFERROR(__xludf.DUMMYFUNCTION("""COMPUTED_VALUE"""),"")</f>
        <v/>
      </c>
    </row>
    <row r="5204">
      <c r="A5204" s="16" t="s">
        <v>87</v>
      </c>
      <c r="E5204" s="16" t="str">
        <f>IFERROR(__xludf.DUMMYFUNCTION("""COMPUTED_VALUE"""),"")</f>
        <v/>
      </c>
      <c r="G5204" s="18"/>
      <c r="H5204" s="16" t="s">
        <v>87</v>
      </c>
      <c r="I5204" s="16" t="s">
        <v>87</v>
      </c>
      <c r="J5204" s="19"/>
      <c r="L5204" s="16" t="str">
        <f>IFERROR(__xludf.DUMMYFUNCTION("""COMPUTED_VALUE"""),"")</f>
        <v/>
      </c>
      <c r="M5204" s="16" t="str">
        <f>IFERROR(__xludf.DUMMYFUNCTION("""COMPUTED_VALUE"""),"")</f>
        <v/>
      </c>
      <c r="U5204" s="16" t="s">
        <v>87</v>
      </c>
      <c r="V5204" s="16" t="str">
        <f>IFERROR(__xludf.DUMMYFUNCTION("""COMPUTED_VALUE"""),"")</f>
        <v/>
      </c>
      <c r="W5204" s="16" t="str">
        <f>IFERROR(__xludf.DUMMYFUNCTION("""COMPUTED_VALUE"""),"")</f>
        <v/>
      </c>
      <c r="X5204" s="16" t="str">
        <f>IFERROR(__xludf.DUMMYFUNCTION("""COMPUTED_VALUE"""),"")</f>
        <v/>
      </c>
      <c r="AC5204" s="16" t="str">
        <f>IFERROR(__xludf.DUMMYFUNCTION("""COMPUTED_VALUE"""),"")</f>
        <v/>
      </c>
    </row>
    <row r="5205">
      <c r="A5205" s="16" t="s">
        <v>87</v>
      </c>
      <c r="E5205" s="16" t="str">
        <f>IFERROR(__xludf.DUMMYFUNCTION("""COMPUTED_VALUE"""),"")</f>
        <v/>
      </c>
      <c r="G5205" s="18"/>
      <c r="H5205" s="16" t="s">
        <v>87</v>
      </c>
      <c r="I5205" s="16" t="s">
        <v>87</v>
      </c>
      <c r="J5205" s="19"/>
      <c r="L5205" s="16" t="str">
        <f>IFERROR(__xludf.DUMMYFUNCTION("""COMPUTED_VALUE"""),"")</f>
        <v/>
      </c>
      <c r="M5205" s="16" t="str">
        <f>IFERROR(__xludf.DUMMYFUNCTION("""COMPUTED_VALUE"""),"")</f>
        <v/>
      </c>
      <c r="U5205" s="16" t="s">
        <v>87</v>
      </c>
      <c r="V5205" s="16" t="str">
        <f>IFERROR(__xludf.DUMMYFUNCTION("""COMPUTED_VALUE"""),"")</f>
        <v/>
      </c>
      <c r="W5205" s="16" t="str">
        <f>IFERROR(__xludf.DUMMYFUNCTION("""COMPUTED_VALUE"""),"")</f>
        <v/>
      </c>
      <c r="X5205" s="16" t="str">
        <f>IFERROR(__xludf.DUMMYFUNCTION("""COMPUTED_VALUE"""),"")</f>
        <v/>
      </c>
      <c r="AC5205" s="16" t="str">
        <f>IFERROR(__xludf.DUMMYFUNCTION("""COMPUTED_VALUE"""),"")</f>
        <v/>
      </c>
    </row>
    <row r="5206">
      <c r="A5206" s="16" t="s">
        <v>87</v>
      </c>
      <c r="E5206" s="16" t="str">
        <f>IFERROR(__xludf.DUMMYFUNCTION("""COMPUTED_VALUE"""),"")</f>
        <v/>
      </c>
      <c r="G5206" s="18"/>
      <c r="H5206" s="16" t="s">
        <v>87</v>
      </c>
      <c r="I5206" s="16" t="s">
        <v>87</v>
      </c>
      <c r="J5206" s="19"/>
      <c r="L5206" s="16" t="str">
        <f>IFERROR(__xludf.DUMMYFUNCTION("""COMPUTED_VALUE"""),"")</f>
        <v/>
      </c>
      <c r="M5206" s="16" t="str">
        <f>IFERROR(__xludf.DUMMYFUNCTION("""COMPUTED_VALUE"""),"")</f>
        <v/>
      </c>
      <c r="U5206" s="16" t="s">
        <v>87</v>
      </c>
      <c r="V5206" s="16" t="str">
        <f>IFERROR(__xludf.DUMMYFUNCTION("""COMPUTED_VALUE"""),"")</f>
        <v/>
      </c>
      <c r="W5206" s="16" t="str">
        <f>IFERROR(__xludf.DUMMYFUNCTION("""COMPUTED_VALUE"""),"")</f>
        <v/>
      </c>
      <c r="X5206" s="16" t="str">
        <f>IFERROR(__xludf.DUMMYFUNCTION("""COMPUTED_VALUE"""),"")</f>
        <v/>
      </c>
      <c r="AC5206" s="16" t="str">
        <f>IFERROR(__xludf.DUMMYFUNCTION("""COMPUTED_VALUE"""),"")</f>
        <v/>
      </c>
    </row>
    <row r="5207">
      <c r="A5207" s="16" t="s">
        <v>87</v>
      </c>
      <c r="E5207" s="16" t="str">
        <f>IFERROR(__xludf.DUMMYFUNCTION("""COMPUTED_VALUE"""),"")</f>
        <v/>
      </c>
      <c r="G5207" s="18"/>
      <c r="H5207" s="16" t="s">
        <v>87</v>
      </c>
      <c r="I5207" s="16" t="s">
        <v>87</v>
      </c>
      <c r="J5207" s="19"/>
      <c r="L5207" s="16" t="str">
        <f>IFERROR(__xludf.DUMMYFUNCTION("""COMPUTED_VALUE"""),"")</f>
        <v/>
      </c>
      <c r="M5207" s="16" t="str">
        <f>IFERROR(__xludf.DUMMYFUNCTION("""COMPUTED_VALUE"""),"")</f>
        <v/>
      </c>
      <c r="U5207" s="16" t="s">
        <v>87</v>
      </c>
      <c r="V5207" s="16" t="str">
        <f>IFERROR(__xludf.DUMMYFUNCTION("""COMPUTED_VALUE"""),"")</f>
        <v/>
      </c>
      <c r="W5207" s="16" t="str">
        <f>IFERROR(__xludf.DUMMYFUNCTION("""COMPUTED_VALUE"""),"")</f>
        <v/>
      </c>
      <c r="X5207" s="16" t="str">
        <f>IFERROR(__xludf.DUMMYFUNCTION("""COMPUTED_VALUE"""),"")</f>
        <v/>
      </c>
      <c r="AC5207" s="16" t="str">
        <f>IFERROR(__xludf.DUMMYFUNCTION("""COMPUTED_VALUE"""),"")</f>
        <v/>
      </c>
    </row>
    <row r="5208">
      <c r="A5208" s="16" t="s">
        <v>87</v>
      </c>
      <c r="E5208" s="16" t="str">
        <f>IFERROR(__xludf.DUMMYFUNCTION("""COMPUTED_VALUE"""),"")</f>
        <v/>
      </c>
      <c r="G5208" s="18"/>
      <c r="H5208" s="16" t="s">
        <v>87</v>
      </c>
      <c r="I5208" s="16" t="s">
        <v>87</v>
      </c>
      <c r="J5208" s="19"/>
      <c r="L5208" s="16" t="str">
        <f>IFERROR(__xludf.DUMMYFUNCTION("""COMPUTED_VALUE"""),"")</f>
        <v/>
      </c>
      <c r="M5208" s="16" t="str">
        <f>IFERROR(__xludf.DUMMYFUNCTION("""COMPUTED_VALUE"""),"")</f>
        <v/>
      </c>
      <c r="U5208" s="16" t="s">
        <v>87</v>
      </c>
      <c r="V5208" s="16" t="str">
        <f>IFERROR(__xludf.DUMMYFUNCTION("""COMPUTED_VALUE"""),"")</f>
        <v/>
      </c>
      <c r="W5208" s="16" t="str">
        <f>IFERROR(__xludf.DUMMYFUNCTION("""COMPUTED_VALUE"""),"")</f>
        <v/>
      </c>
      <c r="X5208" s="16" t="str">
        <f>IFERROR(__xludf.DUMMYFUNCTION("""COMPUTED_VALUE"""),"")</f>
        <v/>
      </c>
      <c r="AC5208" s="16" t="str">
        <f>IFERROR(__xludf.DUMMYFUNCTION("""COMPUTED_VALUE"""),"")</f>
        <v/>
      </c>
    </row>
    <row r="5209">
      <c r="A5209" s="16" t="s">
        <v>87</v>
      </c>
      <c r="E5209" s="16" t="str">
        <f>IFERROR(__xludf.DUMMYFUNCTION("""COMPUTED_VALUE"""),"")</f>
        <v/>
      </c>
      <c r="G5209" s="18"/>
      <c r="H5209" s="16" t="s">
        <v>87</v>
      </c>
      <c r="I5209" s="16" t="s">
        <v>87</v>
      </c>
      <c r="J5209" s="19"/>
      <c r="L5209" s="16" t="str">
        <f>IFERROR(__xludf.DUMMYFUNCTION("""COMPUTED_VALUE"""),"")</f>
        <v/>
      </c>
      <c r="M5209" s="16" t="str">
        <f>IFERROR(__xludf.DUMMYFUNCTION("""COMPUTED_VALUE"""),"")</f>
        <v/>
      </c>
      <c r="U5209" s="16" t="s">
        <v>87</v>
      </c>
      <c r="V5209" s="16" t="str">
        <f>IFERROR(__xludf.DUMMYFUNCTION("""COMPUTED_VALUE"""),"")</f>
        <v/>
      </c>
      <c r="W5209" s="16" t="str">
        <f>IFERROR(__xludf.DUMMYFUNCTION("""COMPUTED_VALUE"""),"")</f>
        <v/>
      </c>
      <c r="X5209" s="16" t="str">
        <f>IFERROR(__xludf.DUMMYFUNCTION("""COMPUTED_VALUE"""),"")</f>
        <v/>
      </c>
      <c r="AC5209" s="16" t="str">
        <f>IFERROR(__xludf.DUMMYFUNCTION("""COMPUTED_VALUE"""),"")</f>
        <v/>
      </c>
    </row>
    <row r="5210">
      <c r="A5210" s="16" t="s">
        <v>87</v>
      </c>
      <c r="E5210" s="16" t="str">
        <f>IFERROR(__xludf.DUMMYFUNCTION("""COMPUTED_VALUE"""),"")</f>
        <v/>
      </c>
      <c r="G5210" s="18"/>
      <c r="H5210" s="16" t="s">
        <v>87</v>
      </c>
      <c r="I5210" s="16" t="s">
        <v>87</v>
      </c>
      <c r="J5210" s="19"/>
      <c r="L5210" s="16" t="str">
        <f>IFERROR(__xludf.DUMMYFUNCTION("""COMPUTED_VALUE"""),"")</f>
        <v/>
      </c>
      <c r="M5210" s="16" t="str">
        <f>IFERROR(__xludf.DUMMYFUNCTION("""COMPUTED_VALUE"""),"")</f>
        <v/>
      </c>
      <c r="U5210" s="16" t="s">
        <v>87</v>
      </c>
      <c r="V5210" s="16" t="str">
        <f>IFERROR(__xludf.DUMMYFUNCTION("""COMPUTED_VALUE"""),"")</f>
        <v/>
      </c>
      <c r="W5210" s="16" t="str">
        <f>IFERROR(__xludf.DUMMYFUNCTION("""COMPUTED_VALUE"""),"")</f>
        <v/>
      </c>
      <c r="X5210" s="16" t="str">
        <f>IFERROR(__xludf.DUMMYFUNCTION("""COMPUTED_VALUE"""),"")</f>
        <v/>
      </c>
      <c r="AC5210" s="16" t="str">
        <f>IFERROR(__xludf.DUMMYFUNCTION("""COMPUTED_VALUE"""),"")</f>
        <v/>
      </c>
    </row>
    <row r="5211">
      <c r="A5211" s="16" t="s">
        <v>87</v>
      </c>
      <c r="E5211" s="16" t="str">
        <f>IFERROR(__xludf.DUMMYFUNCTION("""COMPUTED_VALUE"""),"")</f>
        <v/>
      </c>
      <c r="G5211" s="18"/>
      <c r="H5211" s="16" t="s">
        <v>87</v>
      </c>
      <c r="I5211" s="16" t="s">
        <v>87</v>
      </c>
      <c r="J5211" s="19"/>
      <c r="L5211" s="16" t="str">
        <f>IFERROR(__xludf.DUMMYFUNCTION("""COMPUTED_VALUE"""),"")</f>
        <v/>
      </c>
      <c r="M5211" s="16" t="str">
        <f>IFERROR(__xludf.DUMMYFUNCTION("""COMPUTED_VALUE"""),"")</f>
        <v/>
      </c>
      <c r="U5211" s="16" t="s">
        <v>87</v>
      </c>
      <c r="V5211" s="16" t="str">
        <f>IFERROR(__xludf.DUMMYFUNCTION("""COMPUTED_VALUE"""),"")</f>
        <v/>
      </c>
      <c r="W5211" s="16" t="str">
        <f>IFERROR(__xludf.DUMMYFUNCTION("""COMPUTED_VALUE"""),"")</f>
        <v/>
      </c>
      <c r="X5211" s="16" t="str">
        <f>IFERROR(__xludf.DUMMYFUNCTION("""COMPUTED_VALUE"""),"")</f>
        <v/>
      </c>
      <c r="AC5211" s="16" t="str">
        <f>IFERROR(__xludf.DUMMYFUNCTION("""COMPUTED_VALUE"""),"")</f>
        <v/>
      </c>
    </row>
    <row r="5212">
      <c r="A5212" s="16" t="s">
        <v>87</v>
      </c>
      <c r="E5212" s="16" t="str">
        <f>IFERROR(__xludf.DUMMYFUNCTION("""COMPUTED_VALUE"""),"")</f>
        <v/>
      </c>
      <c r="G5212" s="18"/>
      <c r="H5212" s="16" t="s">
        <v>87</v>
      </c>
      <c r="I5212" s="16" t="s">
        <v>87</v>
      </c>
      <c r="J5212" s="19"/>
      <c r="L5212" s="16" t="str">
        <f>IFERROR(__xludf.DUMMYFUNCTION("""COMPUTED_VALUE"""),"")</f>
        <v/>
      </c>
      <c r="M5212" s="16" t="str">
        <f>IFERROR(__xludf.DUMMYFUNCTION("""COMPUTED_VALUE"""),"")</f>
        <v/>
      </c>
      <c r="U5212" s="16" t="s">
        <v>87</v>
      </c>
      <c r="V5212" s="16" t="str">
        <f>IFERROR(__xludf.DUMMYFUNCTION("""COMPUTED_VALUE"""),"")</f>
        <v/>
      </c>
      <c r="W5212" s="16" t="str">
        <f>IFERROR(__xludf.DUMMYFUNCTION("""COMPUTED_VALUE"""),"")</f>
        <v/>
      </c>
      <c r="X5212" s="16" t="str">
        <f>IFERROR(__xludf.DUMMYFUNCTION("""COMPUTED_VALUE"""),"")</f>
        <v/>
      </c>
      <c r="AC5212" s="16" t="str">
        <f>IFERROR(__xludf.DUMMYFUNCTION("""COMPUTED_VALUE"""),"")</f>
        <v/>
      </c>
    </row>
    <row r="5213">
      <c r="A5213" s="16" t="s">
        <v>87</v>
      </c>
      <c r="E5213" s="16" t="str">
        <f>IFERROR(__xludf.DUMMYFUNCTION("""COMPUTED_VALUE"""),"")</f>
        <v/>
      </c>
      <c r="G5213" s="18"/>
      <c r="H5213" s="16" t="s">
        <v>87</v>
      </c>
      <c r="I5213" s="16" t="s">
        <v>87</v>
      </c>
      <c r="J5213" s="19"/>
      <c r="L5213" s="16" t="str">
        <f>IFERROR(__xludf.DUMMYFUNCTION("""COMPUTED_VALUE"""),"")</f>
        <v/>
      </c>
      <c r="M5213" s="16" t="str">
        <f>IFERROR(__xludf.DUMMYFUNCTION("""COMPUTED_VALUE"""),"")</f>
        <v/>
      </c>
      <c r="U5213" s="16" t="s">
        <v>87</v>
      </c>
      <c r="V5213" s="16" t="str">
        <f>IFERROR(__xludf.DUMMYFUNCTION("""COMPUTED_VALUE"""),"")</f>
        <v/>
      </c>
      <c r="W5213" s="16" t="str">
        <f>IFERROR(__xludf.DUMMYFUNCTION("""COMPUTED_VALUE"""),"")</f>
        <v/>
      </c>
      <c r="X5213" s="16" t="str">
        <f>IFERROR(__xludf.DUMMYFUNCTION("""COMPUTED_VALUE"""),"")</f>
        <v/>
      </c>
      <c r="AC5213" s="16" t="str">
        <f>IFERROR(__xludf.DUMMYFUNCTION("""COMPUTED_VALUE"""),"")</f>
        <v/>
      </c>
    </row>
    <row r="5214">
      <c r="A5214" s="16" t="s">
        <v>87</v>
      </c>
      <c r="E5214" s="16" t="str">
        <f>IFERROR(__xludf.DUMMYFUNCTION("""COMPUTED_VALUE"""),"")</f>
        <v/>
      </c>
      <c r="G5214" s="18"/>
      <c r="H5214" s="16" t="s">
        <v>87</v>
      </c>
      <c r="I5214" s="16" t="s">
        <v>87</v>
      </c>
      <c r="J5214" s="19"/>
      <c r="L5214" s="16" t="str">
        <f>IFERROR(__xludf.DUMMYFUNCTION("""COMPUTED_VALUE"""),"")</f>
        <v/>
      </c>
      <c r="M5214" s="16" t="str">
        <f>IFERROR(__xludf.DUMMYFUNCTION("""COMPUTED_VALUE"""),"")</f>
        <v/>
      </c>
      <c r="U5214" s="16" t="s">
        <v>87</v>
      </c>
      <c r="V5214" s="16" t="str">
        <f>IFERROR(__xludf.DUMMYFUNCTION("""COMPUTED_VALUE"""),"")</f>
        <v/>
      </c>
      <c r="W5214" s="16" t="str">
        <f>IFERROR(__xludf.DUMMYFUNCTION("""COMPUTED_VALUE"""),"")</f>
        <v/>
      </c>
      <c r="X5214" s="16" t="str">
        <f>IFERROR(__xludf.DUMMYFUNCTION("""COMPUTED_VALUE"""),"")</f>
        <v/>
      </c>
      <c r="AC5214" s="16" t="str">
        <f>IFERROR(__xludf.DUMMYFUNCTION("""COMPUTED_VALUE"""),"")</f>
        <v/>
      </c>
    </row>
    <row r="5215">
      <c r="A5215" s="16" t="s">
        <v>87</v>
      </c>
      <c r="E5215" s="16" t="str">
        <f>IFERROR(__xludf.DUMMYFUNCTION("""COMPUTED_VALUE"""),"")</f>
        <v/>
      </c>
      <c r="G5215" s="18"/>
      <c r="H5215" s="16" t="s">
        <v>87</v>
      </c>
      <c r="I5215" s="16" t="s">
        <v>87</v>
      </c>
      <c r="J5215" s="19"/>
      <c r="L5215" s="16" t="str">
        <f>IFERROR(__xludf.DUMMYFUNCTION("""COMPUTED_VALUE"""),"")</f>
        <v/>
      </c>
      <c r="M5215" s="16" t="str">
        <f>IFERROR(__xludf.DUMMYFUNCTION("""COMPUTED_VALUE"""),"")</f>
        <v/>
      </c>
      <c r="U5215" s="16" t="s">
        <v>87</v>
      </c>
      <c r="V5215" s="16" t="str">
        <f>IFERROR(__xludf.DUMMYFUNCTION("""COMPUTED_VALUE"""),"")</f>
        <v/>
      </c>
      <c r="W5215" s="16" t="str">
        <f>IFERROR(__xludf.DUMMYFUNCTION("""COMPUTED_VALUE"""),"")</f>
        <v/>
      </c>
      <c r="X5215" s="16" t="str">
        <f>IFERROR(__xludf.DUMMYFUNCTION("""COMPUTED_VALUE"""),"")</f>
        <v/>
      </c>
      <c r="AC5215" s="16" t="str">
        <f>IFERROR(__xludf.DUMMYFUNCTION("""COMPUTED_VALUE"""),"")</f>
        <v/>
      </c>
    </row>
    <row r="5216">
      <c r="A5216" s="16" t="s">
        <v>87</v>
      </c>
      <c r="E5216" s="16" t="str">
        <f>IFERROR(__xludf.DUMMYFUNCTION("""COMPUTED_VALUE"""),"")</f>
        <v/>
      </c>
      <c r="G5216" s="18"/>
      <c r="H5216" s="16" t="s">
        <v>87</v>
      </c>
      <c r="I5216" s="16" t="s">
        <v>87</v>
      </c>
      <c r="J5216" s="19"/>
      <c r="L5216" s="16" t="str">
        <f>IFERROR(__xludf.DUMMYFUNCTION("""COMPUTED_VALUE"""),"")</f>
        <v/>
      </c>
      <c r="M5216" s="16" t="str">
        <f>IFERROR(__xludf.DUMMYFUNCTION("""COMPUTED_VALUE"""),"")</f>
        <v/>
      </c>
      <c r="U5216" s="16" t="s">
        <v>87</v>
      </c>
      <c r="V5216" s="16" t="str">
        <f>IFERROR(__xludf.DUMMYFUNCTION("""COMPUTED_VALUE"""),"")</f>
        <v/>
      </c>
      <c r="W5216" s="16" t="str">
        <f>IFERROR(__xludf.DUMMYFUNCTION("""COMPUTED_VALUE"""),"")</f>
        <v/>
      </c>
      <c r="X5216" s="16" t="str">
        <f>IFERROR(__xludf.DUMMYFUNCTION("""COMPUTED_VALUE"""),"")</f>
        <v/>
      </c>
      <c r="AC5216" s="16" t="str">
        <f>IFERROR(__xludf.DUMMYFUNCTION("""COMPUTED_VALUE"""),"")</f>
        <v/>
      </c>
    </row>
    <row r="5217">
      <c r="A5217" s="16" t="s">
        <v>87</v>
      </c>
      <c r="E5217" s="16" t="str">
        <f>IFERROR(__xludf.DUMMYFUNCTION("""COMPUTED_VALUE"""),"")</f>
        <v/>
      </c>
      <c r="G5217" s="18"/>
      <c r="H5217" s="16" t="s">
        <v>87</v>
      </c>
      <c r="I5217" s="16" t="s">
        <v>87</v>
      </c>
      <c r="J5217" s="19"/>
      <c r="L5217" s="16" t="str">
        <f>IFERROR(__xludf.DUMMYFUNCTION("""COMPUTED_VALUE"""),"")</f>
        <v/>
      </c>
      <c r="M5217" s="16" t="str">
        <f>IFERROR(__xludf.DUMMYFUNCTION("""COMPUTED_VALUE"""),"")</f>
        <v/>
      </c>
      <c r="U5217" s="16" t="s">
        <v>87</v>
      </c>
      <c r="V5217" s="16" t="str">
        <f>IFERROR(__xludf.DUMMYFUNCTION("""COMPUTED_VALUE"""),"")</f>
        <v/>
      </c>
      <c r="W5217" s="16" t="str">
        <f>IFERROR(__xludf.DUMMYFUNCTION("""COMPUTED_VALUE"""),"")</f>
        <v/>
      </c>
      <c r="X5217" s="16" t="str">
        <f>IFERROR(__xludf.DUMMYFUNCTION("""COMPUTED_VALUE"""),"")</f>
        <v/>
      </c>
      <c r="AC5217" s="16" t="str">
        <f>IFERROR(__xludf.DUMMYFUNCTION("""COMPUTED_VALUE"""),"")</f>
        <v/>
      </c>
    </row>
    <row r="5218">
      <c r="A5218" s="16" t="s">
        <v>87</v>
      </c>
      <c r="E5218" s="16" t="str">
        <f>IFERROR(__xludf.DUMMYFUNCTION("""COMPUTED_VALUE"""),"")</f>
        <v/>
      </c>
      <c r="G5218" s="18"/>
      <c r="H5218" s="16" t="s">
        <v>87</v>
      </c>
      <c r="I5218" s="16" t="s">
        <v>87</v>
      </c>
      <c r="J5218" s="19"/>
      <c r="L5218" s="16" t="str">
        <f>IFERROR(__xludf.DUMMYFUNCTION("""COMPUTED_VALUE"""),"")</f>
        <v/>
      </c>
      <c r="M5218" s="16" t="str">
        <f>IFERROR(__xludf.DUMMYFUNCTION("""COMPUTED_VALUE"""),"")</f>
        <v/>
      </c>
      <c r="U5218" s="16" t="s">
        <v>87</v>
      </c>
      <c r="V5218" s="16" t="str">
        <f>IFERROR(__xludf.DUMMYFUNCTION("""COMPUTED_VALUE"""),"")</f>
        <v/>
      </c>
      <c r="W5218" s="16" t="str">
        <f>IFERROR(__xludf.DUMMYFUNCTION("""COMPUTED_VALUE"""),"")</f>
        <v/>
      </c>
      <c r="X5218" s="16" t="str">
        <f>IFERROR(__xludf.DUMMYFUNCTION("""COMPUTED_VALUE"""),"")</f>
        <v/>
      </c>
      <c r="AC5218" s="16" t="str">
        <f>IFERROR(__xludf.DUMMYFUNCTION("""COMPUTED_VALUE"""),"")</f>
        <v/>
      </c>
    </row>
    <row r="5219">
      <c r="A5219" s="16" t="s">
        <v>87</v>
      </c>
      <c r="E5219" s="16" t="str">
        <f>IFERROR(__xludf.DUMMYFUNCTION("""COMPUTED_VALUE"""),"")</f>
        <v/>
      </c>
      <c r="G5219" s="18"/>
      <c r="H5219" s="16" t="s">
        <v>87</v>
      </c>
      <c r="I5219" s="16" t="s">
        <v>87</v>
      </c>
      <c r="J5219" s="19"/>
      <c r="L5219" s="16" t="str">
        <f>IFERROR(__xludf.DUMMYFUNCTION("""COMPUTED_VALUE"""),"")</f>
        <v/>
      </c>
      <c r="M5219" s="16" t="str">
        <f>IFERROR(__xludf.DUMMYFUNCTION("""COMPUTED_VALUE"""),"")</f>
        <v/>
      </c>
      <c r="U5219" s="16" t="s">
        <v>87</v>
      </c>
      <c r="V5219" s="16" t="str">
        <f>IFERROR(__xludf.DUMMYFUNCTION("""COMPUTED_VALUE"""),"")</f>
        <v/>
      </c>
      <c r="W5219" s="16" t="str">
        <f>IFERROR(__xludf.DUMMYFUNCTION("""COMPUTED_VALUE"""),"")</f>
        <v/>
      </c>
      <c r="X5219" s="16" t="str">
        <f>IFERROR(__xludf.DUMMYFUNCTION("""COMPUTED_VALUE"""),"")</f>
        <v/>
      </c>
      <c r="AC5219" s="16" t="str">
        <f>IFERROR(__xludf.DUMMYFUNCTION("""COMPUTED_VALUE"""),"")</f>
        <v/>
      </c>
    </row>
    <row r="5220">
      <c r="A5220" s="16" t="s">
        <v>87</v>
      </c>
      <c r="E5220" s="16" t="str">
        <f>IFERROR(__xludf.DUMMYFUNCTION("""COMPUTED_VALUE"""),"")</f>
        <v/>
      </c>
      <c r="G5220" s="18"/>
      <c r="H5220" s="16" t="s">
        <v>87</v>
      </c>
      <c r="I5220" s="16" t="s">
        <v>87</v>
      </c>
      <c r="J5220" s="19"/>
      <c r="L5220" s="16" t="str">
        <f>IFERROR(__xludf.DUMMYFUNCTION("""COMPUTED_VALUE"""),"")</f>
        <v/>
      </c>
      <c r="M5220" s="16" t="str">
        <f>IFERROR(__xludf.DUMMYFUNCTION("""COMPUTED_VALUE"""),"")</f>
        <v/>
      </c>
      <c r="U5220" s="16" t="s">
        <v>87</v>
      </c>
      <c r="V5220" s="16" t="str">
        <f>IFERROR(__xludf.DUMMYFUNCTION("""COMPUTED_VALUE"""),"")</f>
        <v/>
      </c>
      <c r="W5220" s="16" t="str">
        <f>IFERROR(__xludf.DUMMYFUNCTION("""COMPUTED_VALUE"""),"")</f>
        <v/>
      </c>
      <c r="X5220" s="16" t="str">
        <f>IFERROR(__xludf.DUMMYFUNCTION("""COMPUTED_VALUE"""),"")</f>
        <v/>
      </c>
      <c r="AC5220" s="16" t="str">
        <f>IFERROR(__xludf.DUMMYFUNCTION("""COMPUTED_VALUE"""),"")</f>
        <v/>
      </c>
    </row>
    <row r="5221">
      <c r="A5221" s="16" t="s">
        <v>87</v>
      </c>
      <c r="E5221" s="16" t="str">
        <f>IFERROR(__xludf.DUMMYFUNCTION("""COMPUTED_VALUE"""),"")</f>
        <v/>
      </c>
      <c r="G5221" s="18"/>
      <c r="H5221" s="16" t="s">
        <v>87</v>
      </c>
      <c r="I5221" s="16" t="s">
        <v>87</v>
      </c>
      <c r="J5221" s="19"/>
      <c r="L5221" s="16" t="str">
        <f>IFERROR(__xludf.DUMMYFUNCTION("""COMPUTED_VALUE"""),"")</f>
        <v/>
      </c>
      <c r="M5221" s="16" t="str">
        <f>IFERROR(__xludf.DUMMYFUNCTION("""COMPUTED_VALUE"""),"")</f>
        <v/>
      </c>
      <c r="U5221" s="16" t="s">
        <v>87</v>
      </c>
      <c r="V5221" s="16" t="str">
        <f>IFERROR(__xludf.DUMMYFUNCTION("""COMPUTED_VALUE"""),"")</f>
        <v/>
      </c>
      <c r="W5221" s="16" t="str">
        <f>IFERROR(__xludf.DUMMYFUNCTION("""COMPUTED_VALUE"""),"")</f>
        <v/>
      </c>
      <c r="X5221" s="16" t="str">
        <f>IFERROR(__xludf.DUMMYFUNCTION("""COMPUTED_VALUE"""),"")</f>
        <v/>
      </c>
      <c r="AC5221" s="16" t="str">
        <f>IFERROR(__xludf.DUMMYFUNCTION("""COMPUTED_VALUE"""),"")</f>
        <v/>
      </c>
    </row>
    <row r="5222">
      <c r="A5222" s="16" t="s">
        <v>87</v>
      </c>
      <c r="E5222" s="16" t="str">
        <f>IFERROR(__xludf.DUMMYFUNCTION("""COMPUTED_VALUE"""),"")</f>
        <v/>
      </c>
      <c r="G5222" s="18"/>
      <c r="H5222" s="16" t="s">
        <v>87</v>
      </c>
      <c r="I5222" s="16" t="s">
        <v>87</v>
      </c>
      <c r="J5222" s="19"/>
      <c r="L5222" s="16" t="str">
        <f>IFERROR(__xludf.DUMMYFUNCTION("""COMPUTED_VALUE"""),"")</f>
        <v/>
      </c>
      <c r="M5222" s="16" t="str">
        <f>IFERROR(__xludf.DUMMYFUNCTION("""COMPUTED_VALUE"""),"")</f>
        <v/>
      </c>
      <c r="U5222" s="16" t="s">
        <v>87</v>
      </c>
      <c r="V5222" s="16" t="str">
        <f>IFERROR(__xludf.DUMMYFUNCTION("""COMPUTED_VALUE"""),"")</f>
        <v/>
      </c>
      <c r="W5222" s="16" t="str">
        <f>IFERROR(__xludf.DUMMYFUNCTION("""COMPUTED_VALUE"""),"")</f>
        <v/>
      </c>
      <c r="X5222" s="16" t="str">
        <f>IFERROR(__xludf.DUMMYFUNCTION("""COMPUTED_VALUE"""),"")</f>
        <v/>
      </c>
      <c r="AC5222" s="16" t="str">
        <f>IFERROR(__xludf.DUMMYFUNCTION("""COMPUTED_VALUE"""),"")</f>
        <v/>
      </c>
    </row>
    <row r="5223">
      <c r="A5223" s="16" t="s">
        <v>87</v>
      </c>
      <c r="E5223" s="16" t="str">
        <f>IFERROR(__xludf.DUMMYFUNCTION("""COMPUTED_VALUE"""),"")</f>
        <v/>
      </c>
      <c r="G5223" s="18"/>
      <c r="H5223" s="16" t="s">
        <v>87</v>
      </c>
      <c r="I5223" s="16" t="s">
        <v>87</v>
      </c>
      <c r="J5223" s="19"/>
      <c r="L5223" s="16" t="str">
        <f>IFERROR(__xludf.DUMMYFUNCTION("""COMPUTED_VALUE"""),"")</f>
        <v/>
      </c>
      <c r="M5223" s="16" t="str">
        <f>IFERROR(__xludf.DUMMYFUNCTION("""COMPUTED_VALUE"""),"")</f>
        <v/>
      </c>
      <c r="U5223" s="16" t="s">
        <v>87</v>
      </c>
      <c r="V5223" s="16" t="str">
        <f>IFERROR(__xludf.DUMMYFUNCTION("""COMPUTED_VALUE"""),"")</f>
        <v/>
      </c>
      <c r="W5223" s="16" t="str">
        <f>IFERROR(__xludf.DUMMYFUNCTION("""COMPUTED_VALUE"""),"")</f>
        <v/>
      </c>
      <c r="X5223" s="16" t="str">
        <f>IFERROR(__xludf.DUMMYFUNCTION("""COMPUTED_VALUE"""),"")</f>
        <v/>
      </c>
      <c r="AC5223" s="16" t="str">
        <f>IFERROR(__xludf.DUMMYFUNCTION("""COMPUTED_VALUE"""),"")</f>
        <v/>
      </c>
    </row>
    <row r="5224">
      <c r="A5224" s="16" t="s">
        <v>87</v>
      </c>
      <c r="E5224" s="16" t="str">
        <f>IFERROR(__xludf.DUMMYFUNCTION("""COMPUTED_VALUE"""),"")</f>
        <v/>
      </c>
      <c r="G5224" s="18"/>
      <c r="H5224" s="16" t="s">
        <v>87</v>
      </c>
      <c r="I5224" s="16" t="s">
        <v>87</v>
      </c>
      <c r="J5224" s="19"/>
      <c r="L5224" s="16" t="str">
        <f>IFERROR(__xludf.DUMMYFUNCTION("""COMPUTED_VALUE"""),"")</f>
        <v/>
      </c>
      <c r="M5224" s="16" t="str">
        <f>IFERROR(__xludf.DUMMYFUNCTION("""COMPUTED_VALUE"""),"")</f>
        <v/>
      </c>
      <c r="U5224" s="16" t="s">
        <v>87</v>
      </c>
      <c r="V5224" s="16" t="str">
        <f>IFERROR(__xludf.DUMMYFUNCTION("""COMPUTED_VALUE"""),"")</f>
        <v/>
      </c>
      <c r="W5224" s="16" t="str">
        <f>IFERROR(__xludf.DUMMYFUNCTION("""COMPUTED_VALUE"""),"")</f>
        <v/>
      </c>
      <c r="X5224" s="16" t="str">
        <f>IFERROR(__xludf.DUMMYFUNCTION("""COMPUTED_VALUE"""),"")</f>
        <v/>
      </c>
      <c r="AC5224" s="16" t="str">
        <f>IFERROR(__xludf.DUMMYFUNCTION("""COMPUTED_VALUE"""),"")</f>
        <v/>
      </c>
    </row>
    <row r="5225">
      <c r="A5225" s="16" t="s">
        <v>87</v>
      </c>
      <c r="E5225" s="16" t="str">
        <f>IFERROR(__xludf.DUMMYFUNCTION("""COMPUTED_VALUE"""),"")</f>
        <v/>
      </c>
      <c r="G5225" s="18"/>
      <c r="H5225" s="16" t="s">
        <v>87</v>
      </c>
      <c r="I5225" s="16" t="s">
        <v>87</v>
      </c>
      <c r="J5225" s="19"/>
      <c r="L5225" s="16" t="str">
        <f>IFERROR(__xludf.DUMMYFUNCTION("""COMPUTED_VALUE"""),"")</f>
        <v/>
      </c>
      <c r="M5225" s="16" t="str">
        <f>IFERROR(__xludf.DUMMYFUNCTION("""COMPUTED_VALUE"""),"")</f>
        <v/>
      </c>
      <c r="U5225" s="16" t="s">
        <v>87</v>
      </c>
      <c r="V5225" s="16" t="str">
        <f>IFERROR(__xludf.DUMMYFUNCTION("""COMPUTED_VALUE"""),"")</f>
        <v/>
      </c>
      <c r="W5225" s="16" t="str">
        <f>IFERROR(__xludf.DUMMYFUNCTION("""COMPUTED_VALUE"""),"")</f>
        <v/>
      </c>
      <c r="X5225" s="16" t="str">
        <f>IFERROR(__xludf.DUMMYFUNCTION("""COMPUTED_VALUE"""),"")</f>
        <v/>
      </c>
      <c r="AC5225" s="16" t="str">
        <f>IFERROR(__xludf.DUMMYFUNCTION("""COMPUTED_VALUE"""),"")</f>
        <v/>
      </c>
    </row>
    <row r="5226">
      <c r="A5226" s="16" t="s">
        <v>87</v>
      </c>
      <c r="E5226" s="16" t="str">
        <f>IFERROR(__xludf.DUMMYFUNCTION("""COMPUTED_VALUE"""),"")</f>
        <v/>
      </c>
      <c r="G5226" s="18"/>
      <c r="H5226" s="16" t="s">
        <v>87</v>
      </c>
      <c r="I5226" s="16" t="s">
        <v>87</v>
      </c>
      <c r="J5226" s="19"/>
      <c r="L5226" s="16" t="str">
        <f>IFERROR(__xludf.DUMMYFUNCTION("""COMPUTED_VALUE"""),"")</f>
        <v/>
      </c>
      <c r="M5226" s="16" t="str">
        <f>IFERROR(__xludf.DUMMYFUNCTION("""COMPUTED_VALUE"""),"")</f>
        <v/>
      </c>
      <c r="U5226" s="16" t="s">
        <v>87</v>
      </c>
      <c r="V5226" s="16" t="str">
        <f>IFERROR(__xludf.DUMMYFUNCTION("""COMPUTED_VALUE"""),"")</f>
        <v/>
      </c>
      <c r="W5226" s="16" t="str">
        <f>IFERROR(__xludf.DUMMYFUNCTION("""COMPUTED_VALUE"""),"")</f>
        <v/>
      </c>
      <c r="X5226" s="16" t="str">
        <f>IFERROR(__xludf.DUMMYFUNCTION("""COMPUTED_VALUE"""),"")</f>
        <v/>
      </c>
      <c r="AC5226" s="16" t="str">
        <f>IFERROR(__xludf.DUMMYFUNCTION("""COMPUTED_VALUE"""),"")</f>
        <v/>
      </c>
    </row>
    <row r="5227">
      <c r="A5227" s="16" t="s">
        <v>87</v>
      </c>
      <c r="E5227" s="16" t="str">
        <f>IFERROR(__xludf.DUMMYFUNCTION("""COMPUTED_VALUE"""),"")</f>
        <v/>
      </c>
      <c r="G5227" s="18"/>
      <c r="H5227" s="16" t="s">
        <v>87</v>
      </c>
      <c r="I5227" s="16" t="s">
        <v>87</v>
      </c>
      <c r="J5227" s="19"/>
      <c r="L5227" s="16" t="str">
        <f>IFERROR(__xludf.DUMMYFUNCTION("""COMPUTED_VALUE"""),"")</f>
        <v/>
      </c>
      <c r="M5227" s="16" t="str">
        <f>IFERROR(__xludf.DUMMYFUNCTION("""COMPUTED_VALUE"""),"")</f>
        <v/>
      </c>
      <c r="U5227" s="16" t="s">
        <v>87</v>
      </c>
      <c r="V5227" s="16" t="str">
        <f>IFERROR(__xludf.DUMMYFUNCTION("""COMPUTED_VALUE"""),"")</f>
        <v/>
      </c>
      <c r="W5227" s="16" t="str">
        <f>IFERROR(__xludf.DUMMYFUNCTION("""COMPUTED_VALUE"""),"")</f>
        <v/>
      </c>
      <c r="X5227" s="16" t="str">
        <f>IFERROR(__xludf.DUMMYFUNCTION("""COMPUTED_VALUE"""),"")</f>
        <v/>
      </c>
      <c r="AC5227" s="16" t="str">
        <f>IFERROR(__xludf.DUMMYFUNCTION("""COMPUTED_VALUE"""),"")</f>
        <v/>
      </c>
    </row>
    <row r="5228">
      <c r="A5228" s="16" t="s">
        <v>87</v>
      </c>
      <c r="E5228" s="16" t="str">
        <f>IFERROR(__xludf.DUMMYFUNCTION("""COMPUTED_VALUE"""),"")</f>
        <v/>
      </c>
      <c r="G5228" s="18"/>
      <c r="H5228" s="16" t="s">
        <v>87</v>
      </c>
      <c r="I5228" s="16" t="s">
        <v>87</v>
      </c>
      <c r="J5228" s="19"/>
      <c r="L5228" s="16" t="str">
        <f>IFERROR(__xludf.DUMMYFUNCTION("""COMPUTED_VALUE"""),"")</f>
        <v/>
      </c>
      <c r="M5228" s="16" t="str">
        <f>IFERROR(__xludf.DUMMYFUNCTION("""COMPUTED_VALUE"""),"")</f>
        <v/>
      </c>
      <c r="U5228" s="16" t="s">
        <v>87</v>
      </c>
      <c r="V5228" s="16" t="str">
        <f>IFERROR(__xludf.DUMMYFUNCTION("""COMPUTED_VALUE"""),"")</f>
        <v/>
      </c>
      <c r="W5228" s="16" t="str">
        <f>IFERROR(__xludf.DUMMYFUNCTION("""COMPUTED_VALUE"""),"")</f>
        <v/>
      </c>
      <c r="X5228" s="16" t="str">
        <f>IFERROR(__xludf.DUMMYFUNCTION("""COMPUTED_VALUE"""),"")</f>
        <v/>
      </c>
      <c r="AC5228" s="16" t="str">
        <f>IFERROR(__xludf.DUMMYFUNCTION("""COMPUTED_VALUE"""),"")</f>
        <v/>
      </c>
    </row>
    <row r="5229">
      <c r="A5229" s="16" t="s">
        <v>87</v>
      </c>
      <c r="E5229" s="16" t="str">
        <f>IFERROR(__xludf.DUMMYFUNCTION("""COMPUTED_VALUE"""),"")</f>
        <v/>
      </c>
      <c r="G5229" s="18"/>
      <c r="H5229" s="16" t="s">
        <v>87</v>
      </c>
      <c r="I5229" s="16" t="s">
        <v>87</v>
      </c>
      <c r="J5229" s="19"/>
      <c r="L5229" s="16" t="str">
        <f>IFERROR(__xludf.DUMMYFUNCTION("""COMPUTED_VALUE"""),"")</f>
        <v/>
      </c>
      <c r="M5229" s="16" t="str">
        <f>IFERROR(__xludf.DUMMYFUNCTION("""COMPUTED_VALUE"""),"")</f>
        <v/>
      </c>
      <c r="U5229" s="16" t="s">
        <v>87</v>
      </c>
      <c r="V5229" s="16" t="str">
        <f>IFERROR(__xludf.DUMMYFUNCTION("""COMPUTED_VALUE"""),"")</f>
        <v/>
      </c>
      <c r="W5229" s="16" t="str">
        <f>IFERROR(__xludf.DUMMYFUNCTION("""COMPUTED_VALUE"""),"")</f>
        <v/>
      </c>
      <c r="X5229" s="16" t="str">
        <f>IFERROR(__xludf.DUMMYFUNCTION("""COMPUTED_VALUE"""),"")</f>
        <v/>
      </c>
      <c r="AC5229" s="16" t="str">
        <f>IFERROR(__xludf.DUMMYFUNCTION("""COMPUTED_VALUE"""),"")</f>
        <v/>
      </c>
    </row>
    <row r="5230">
      <c r="A5230" s="16" t="s">
        <v>87</v>
      </c>
      <c r="E5230" s="16" t="str">
        <f>IFERROR(__xludf.DUMMYFUNCTION("""COMPUTED_VALUE"""),"")</f>
        <v/>
      </c>
      <c r="G5230" s="18"/>
      <c r="H5230" s="16" t="s">
        <v>87</v>
      </c>
      <c r="I5230" s="16" t="s">
        <v>87</v>
      </c>
      <c r="J5230" s="19"/>
      <c r="L5230" s="16" t="str">
        <f>IFERROR(__xludf.DUMMYFUNCTION("""COMPUTED_VALUE"""),"")</f>
        <v/>
      </c>
      <c r="M5230" s="16" t="str">
        <f>IFERROR(__xludf.DUMMYFUNCTION("""COMPUTED_VALUE"""),"")</f>
        <v/>
      </c>
      <c r="U5230" s="16" t="s">
        <v>87</v>
      </c>
      <c r="V5230" s="16" t="str">
        <f>IFERROR(__xludf.DUMMYFUNCTION("""COMPUTED_VALUE"""),"")</f>
        <v/>
      </c>
      <c r="W5230" s="16" t="str">
        <f>IFERROR(__xludf.DUMMYFUNCTION("""COMPUTED_VALUE"""),"")</f>
        <v/>
      </c>
      <c r="X5230" s="16" t="str">
        <f>IFERROR(__xludf.DUMMYFUNCTION("""COMPUTED_VALUE"""),"")</f>
        <v/>
      </c>
      <c r="AC5230" s="16" t="str">
        <f>IFERROR(__xludf.DUMMYFUNCTION("""COMPUTED_VALUE"""),"")</f>
        <v/>
      </c>
    </row>
    <row r="5231">
      <c r="A5231" s="16" t="s">
        <v>87</v>
      </c>
      <c r="E5231" s="16" t="str">
        <f>IFERROR(__xludf.DUMMYFUNCTION("""COMPUTED_VALUE"""),"")</f>
        <v/>
      </c>
      <c r="G5231" s="18"/>
      <c r="H5231" s="16" t="s">
        <v>87</v>
      </c>
      <c r="I5231" s="16" t="s">
        <v>87</v>
      </c>
      <c r="J5231" s="19"/>
      <c r="L5231" s="16" t="str">
        <f>IFERROR(__xludf.DUMMYFUNCTION("""COMPUTED_VALUE"""),"")</f>
        <v/>
      </c>
      <c r="M5231" s="16" t="str">
        <f>IFERROR(__xludf.DUMMYFUNCTION("""COMPUTED_VALUE"""),"")</f>
        <v/>
      </c>
      <c r="U5231" s="16" t="s">
        <v>87</v>
      </c>
      <c r="V5231" s="16" t="str">
        <f>IFERROR(__xludf.DUMMYFUNCTION("""COMPUTED_VALUE"""),"")</f>
        <v/>
      </c>
      <c r="W5231" s="16" t="str">
        <f>IFERROR(__xludf.DUMMYFUNCTION("""COMPUTED_VALUE"""),"")</f>
        <v/>
      </c>
      <c r="X5231" s="16" t="str">
        <f>IFERROR(__xludf.DUMMYFUNCTION("""COMPUTED_VALUE"""),"")</f>
        <v/>
      </c>
      <c r="AC5231" s="16" t="str">
        <f>IFERROR(__xludf.DUMMYFUNCTION("""COMPUTED_VALUE"""),"")</f>
        <v/>
      </c>
    </row>
    <row r="5232">
      <c r="A5232" s="16" t="s">
        <v>87</v>
      </c>
      <c r="E5232" s="16" t="str">
        <f>IFERROR(__xludf.DUMMYFUNCTION("""COMPUTED_VALUE"""),"")</f>
        <v/>
      </c>
      <c r="G5232" s="18"/>
      <c r="H5232" s="16" t="s">
        <v>87</v>
      </c>
      <c r="I5232" s="16" t="s">
        <v>87</v>
      </c>
      <c r="J5232" s="19"/>
      <c r="L5232" s="16" t="str">
        <f>IFERROR(__xludf.DUMMYFUNCTION("""COMPUTED_VALUE"""),"")</f>
        <v/>
      </c>
      <c r="M5232" s="16" t="str">
        <f>IFERROR(__xludf.DUMMYFUNCTION("""COMPUTED_VALUE"""),"")</f>
        <v/>
      </c>
      <c r="U5232" s="16" t="s">
        <v>87</v>
      </c>
      <c r="V5232" s="16" t="str">
        <f>IFERROR(__xludf.DUMMYFUNCTION("""COMPUTED_VALUE"""),"")</f>
        <v/>
      </c>
      <c r="W5232" s="16" t="str">
        <f>IFERROR(__xludf.DUMMYFUNCTION("""COMPUTED_VALUE"""),"")</f>
        <v/>
      </c>
      <c r="X5232" s="16" t="str">
        <f>IFERROR(__xludf.DUMMYFUNCTION("""COMPUTED_VALUE"""),"")</f>
        <v/>
      </c>
      <c r="AC5232" s="16" t="str">
        <f>IFERROR(__xludf.DUMMYFUNCTION("""COMPUTED_VALUE"""),"")</f>
        <v/>
      </c>
    </row>
    <row r="5233">
      <c r="A5233" s="16" t="s">
        <v>87</v>
      </c>
      <c r="E5233" s="16" t="str">
        <f>IFERROR(__xludf.DUMMYFUNCTION("""COMPUTED_VALUE"""),"")</f>
        <v/>
      </c>
      <c r="G5233" s="18"/>
      <c r="H5233" s="16" t="s">
        <v>87</v>
      </c>
      <c r="I5233" s="16" t="s">
        <v>87</v>
      </c>
      <c r="J5233" s="19"/>
      <c r="L5233" s="16" t="str">
        <f>IFERROR(__xludf.DUMMYFUNCTION("""COMPUTED_VALUE"""),"")</f>
        <v/>
      </c>
      <c r="M5233" s="16" t="str">
        <f>IFERROR(__xludf.DUMMYFUNCTION("""COMPUTED_VALUE"""),"")</f>
        <v/>
      </c>
      <c r="U5233" s="16" t="s">
        <v>87</v>
      </c>
      <c r="V5233" s="16" t="str">
        <f>IFERROR(__xludf.DUMMYFUNCTION("""COMPUTED_VALUE"""),"")</f>
        <v/>
      </c>
      <c r="W5233" s="16" t="str">
        <f>IFERROR(__xludf.DUMMYFUNCTION("""COMPUTED_VALUE"""),"")</f>
        <v/>
      </c>
      <c r="X5233" s="16" t="str">
        <f>IFERROR(__xludf.DUMMYFUNCTION("""COMPUTED_VALUE"""),"")</f>
        <v/>
      </c>
      <c r="AC5233" s="16" t="str">
        <f>IFERROR(__xludf.DUMMYFUNCTION("""COMPUTED_VALUE"""),"")</f>
        <v/>
      </c>
    </row>
    <row r="5234">
      <c r="A5234" s="16" t="s">
        <v>87</v>
      </c>
      <c r="E5234" s="16" t="str">
        <f>IFERROR(__xludf.DUMMYFUNCTION("""COMPUTED_VALUE"""),"")</f>
        <v/>
      </c>
      <c r="G5234" s="18"/>
      <c r="H5234" s="16" t="s">
        <v>87</v>
      </c>
      <c r="I5234" s="16" t="s">
        <v>87</v>
      </c>
      <c r="J5234" s="19"/>
      <c r="L5234" s="16" t="str">
        <f>IFERROR(__xludf.DUMMYFUNCTION("""COMPUTED_VALUE"""),"")</f>
        <v/>
      </c>
      <c r="M5234" s="16" t="str">
        <f>IFERROR(__xludf.DUMMYFUNCTION("""COMPUTED_VALUE"""),"")</f>
        <v/>
      </c>
      <c r="U5234" s="16" t="s">
        <v>87</v>
      </c>
      <c r="V5234" s="16" t="str">
        <f>IFERROR(__xludf.DUMMYFUNCTION("""COMPUTED_VALUE"""),"")</f>
        <v/>
      </c>
      <c r="W5234" s="16" t="str">
        <f>IFERROR(__xludf.DUMMYFUNCTION("""COMPUTED_VALUE"""),"")</f>
        <v/>
      </c>
      <c r="X5234" s="16" t="str">
        <f>IFERROR(__xludf.DUMMYFUNCTION("""COMPUTED_VALUE"""),"")</f>
        <v/>
      </c>
      <c r="AC5234" s="16" t="str">
        <f>IFERROR(__xludf.DUMMYFUNCTION("""COMPUTED_VALUE"""),"")</f>
        <v/>
      </c>
    </row>
    <row r="5235">
      <c r="A5235" s="16" t="s">
        <v>87</v>
      </c>
      <c r="E5235" s="16" t="str">
        <f>IFERROR(__xludf.DUMMYFUNCTION("""COMPUTED_VALUE"""),"")</f>
        <v/>
      </c>
      <c r="G5235" s="18"/>
      <c r="H5235" s="16" t="s">
        <v>87</v>
      </c>
      <c r="I5235" s="16" t="s">
        <v>87</v>
      </c>
      <c r="J5235" s="19"/>
      <c r="L5235" s="16" t="str">
        <f>IFERROR(__xludf.DUMMYFUNCTION("""COMPUTED_VALUE"""),"")</f>
        <v/>
      </c>
      <c r="M5235" s="16" t="str">
        <f>IFERROR(__xludf.DUMMYFUNCTION("""COMPUTED_VALUE"""),"")</f>
        <v/>
      </c>
      <c r="U5235" s="16" t="s">
        <v>87</v>
      </c>
      <c r="V5235" s="16" t="str">
        <f>IFERROR(__xludf.DUMMYFUNCTION("""COMPUTED_VALUE"""),"")</f>
        <v/>
      </c>
      <c r="W5235" s="16" t="str">
        <f>IFERROR(__xludf.DUMMYFUNCTION("""COMPUTED_VALUE"""),"")</f>
        <v/>
      </c>
      <c r="X5235" s="16" t="str">
        <f>IFERROR(__xludf.DUMMYFUNCTION("""COMPUTED_VALUE"""),"")</f>
        <v/>
      </c>
      <c r="AC5235" s="16" t="str">
        <f>IFERROR(__xludf.DUMMYFUNCTION("""COMPUTED_VALUE"""),"")</f>
        <v/>
      </c>
    </row>
    <row r="5236">
      <c r="A5236" s="16" t="s">
        <v>87</v>
      </c>
      <c r="E5236" s="16" t="str">
        <f>IFERROR(__xludf.DUMMYFUNCTION("""COMPUTED_VALUE"""),"")</f>
        <v/>
      </c>
      <c r="G5236" s="18"/>
      <c r="H5236" s="16" t="s">
        <v>87</v>
      </c>
      <c r="I5236" s="16" t="s">
        <v>87</v>
      </c>
      <c r="J5236" s="19"/>
      <c r="L5236" s="16" t="str">
        <f>IFERROR(__xludf.DUMMYFUNCTION("""COMPUTED_VALUE"""),"")</f>
        <v/>
      </c>
      <c r="M5236" s="16" t="str">
        <f>IFERROR(__xludf.DUMMYFUNCTION("""COMPUTED_VALUE"""),"")</f>
        <v/>
      </c>
      <c r="U5236" s="16" t="s">
        <v>87</v>
      </c>
      <c r="V5236" s="16" t="str">
        <f>IFERROR(__xludf.DUMMYFUNCTION("""COMPUTED_VALUE"""),"")</f>
        <v/>
      </c>
      <c r="W5236" s="16" t="str">
        <f>IFERROR(__xludf.DUMMYFUNCTION("""COMPUTED_VALUE"""),"")</f>
        <v/>
      </c>
      <c r="X5236" s="16" t="str">
        <f>IFERROR(__xludf.DUMMYFUNCTION("""COMPUTED_VALUE"""),"")</f>
        <v/>
      </c>
      <c r="AC5236" s="16" t="str">
        <f>IFERROR(__xludf.DUMMYFUNCTION("""COMPUTED_VALUE"""),"")</f>
        <v/>
      </c>
    </row>
    <row r="5237">
      <c r="A5237" s="16" t="s">
        <v>87</v>
      </c>
      <c r="E5237" s="16" t="str">
        <f>IFERROR(__xludf.DUMMYFUNCTION("""COMPUTED_VALUE"""),"")</f>
        <v/>
      </c>
      <c r="G5237" s="18"/>
      <c r="H5237" s="16" t="s">
        <v>87</v>
      </c>
      <c r="I5237" s="16" t="s">
        <v>87</v>
      </c>
      <c r="J5237" s="19"/>
      <c r="L5237" s="16" t="str">
        <f>IFERROR(__xludf.DUMMYFUNCTION("""COMPUTED_VALUE"""),"")</f>
        <v/>
      </c>
      <c r="M5237" s="16" t="str">
        <f>IFERROR(__xludf.DUMMYFUNCTION("""COMPUTED_VALUE"""),"")</f>
        <v/>
      </c>
      <c r="U5237" s="16" t="s">
        <v>87</v>
      </c>
      <c r="V5237" s="16" t="str">
        <f>IFERROR(__xludf.DUMMYFUNCTION("""COMPUTED_VALUE"""),"")</f>
        <v/>
      </c>
      <c r="W5237" s="16" t="str">
        <f>IFERROR(__xludf.DUMMYFUNCTION("""COMPUTED_VALUE"""),"")</f>
        <v/>
      </c>
      <c r="X5237" s="16" t="str">
        <f>IFERROR(__xludf.DUMMYFUNCTION("""COMPUTED_VALUE"""),"")</f>
        <v/>
      </c>
      <c r="AC5237" s="16" t="str">
        <f>IFERROR(__xludf.DUMMYFUNCTION("""COMPUTED_VALUE"""),"")</f>
        <v/>
      </c>
    </row>
    <row r="5238">
      <c r="A5238" s="16" t="s">
        <v>87</v>
      </c>
      <c r="E5238" s="16" t="str">
        <f>IFERROR(__xludf.DUMMYFUNCTION("""COMPUTED_VALUE"""),"")</f>
        <v/>
      </c>
      <c r="G5238" s="18"/>
      <c r="H5238" s="16" t="s">
        <v>87</v>
      </c>
      <c r="I5238" s="16" t="s">
        <v>87</v>
      </c>
      <c r="J5238" s="19"/>
      <c r="L5238" s="16" t="str">
        <f>IFERROR(__xludf.DUMMYFUNCTION("""COMPUTED_VALUE"""),"")</f>
        <v/>
      </c>
      <c r="M5238" s="16" t="str">
        <f>IFERROR(__xludf.DUMMYFUNCTION("""COMPUTED_VALUE"""),"")</f>
        <v/>
      </c>
      <c r="U5238" s="16" t="s">
        <v>87</v>
      </c>
      <c r="V5238" s="16" t="str">
        <f>IFERROR(__xludf.DUMMYFUNCTION("""COMPUTED_VALUE"""),"")</f>
        <v/>
      </c>
      <c r="W5238" s="16" t="str">
        <f>IFERROR(__xludf.DUMMYFUNCTION("""COMPUTED_VALUE"""),"")</f>
        <v/>
      </c>
      <c r="X5238" s="16" t="str">
        <f>IFERROR(__xludf.DUMMYFUNCTION("""COMPUTED_VALUE"""),"")</f>
        <v/>
      </c>
      <c r="AC5238" s="16" t="str">
        <f>IFERROR(__xludf.DUMMYFUNCTION("""COMPUTED_VALUE"""),"")</f>
        <v/>
      </c>
    </row>
    <row r="5239">
      <c r="A5239" s="16" t="s">
        <v>87</v>
      </c>
      <c r="E5239" s="16" t="str">
        <f>IFERROR(__xludf.DUMMYFUNCTION("""COMPUTED_VALUE"""),"")</f>
        <v/>
      </c>
      <c r="G5239" s="18"/>
      <c r="H5239" s="16" t="s">
        <v>87</v>
      </c>
      <c r="I5239" s="16" t="s">
        <v>87</v>
      </c>
      <c r="J5239" s="19"/>
      <c r="L5239" s="16" t="str">
        <f>IFERROR(__xludf.DUMMYFUNCTION("""COMPUTED_VALUE"""),"")</f>
        <v/>
      </c>
      <c r="M5239" s="16" t="str">
        <f>IFERROR(__xludf.DUMMYFUNCTION("""COMPUTED_VALUE"""),"")</f>
        <v/>
      </c>
      <c r="U5239" s="16" t="s">
        <v>87</v>
      </c>
      <c r="V5239" s="16" t="str">
        <f>IFERROR(__xludf.DUMMYFUNCTION("""COMPUTED_VALUE"""),"")</f>
        <v/>
      </c>
      <c r="W5239" s="16" t="str">
        <f>IFERROR(__xludf.DUMMYFUNCTION("""COMPUTED_VALUE"""),"")</f>
        <v/>
      </c>
      <c r="X5239" s="16" t="str">
        <f>IFERROR(__xludf.DUMMYFUNCTION("""COMPUTED_VALUE"""),"")</f>
        <v/>
      </c>
      <c r="AC5239" s="16" t="str">
        <f>IFERROR(__xludf.DUMMYFUNCTION("""COMPUTED_VALUE"""),"")</f>
        <v/>
      </c>
    </row>
    <row r="5240">
      <c r="A5240" s="16" t="s">
        <v>87</v>
      </c>
      <c r="E5240" s="16" t="str">
        <f>IFERROR(__xludf.DUMMYFUNCTION("""COMPUTED_VALUE"""),"")</f>
        <v/>
      </c>
      <c r="G5240" s="18"/>
      <c r="H5240" s="16" t="s">
        <v>87</v>
      </c>
      <c r="I5240" s="16" t="s">
        <v>87</v>
      </c>
      <c r="J5240" s="19"/>
      <c r="L5240" s="16" t="str">
        <f>IFERROR(__xludf.DUMMYFUNCTION("""COMPUTED_VALUE"""),"")</f>
        <v/>
      </c>
      <c r="M5240" s="16" t="str">
        <f>IFERROR(__xludf.DUMMYFUNCTION("""COMPUTED_VALUE"""),"")</f>
        <v/>
      </c>
      <c r="U5240" s="16" t="s">
        <v>87</v>
      </c>
      <c r="V5240" s="16" t="str">
        <f>IFERROR(__xludf.DUMMYFUNCTION("""COMPUTED_VALUE"""),"")</f>
        <v/>
      </c>
      <c r="W5240" s="16" t="str">
        <f>IFERROR(__xludf.DUMMYFUNCTION("""COMPUTED_VALUE"""),"")</f>
        <v/>
      </c>
      <c r="X5240" s="16" t="str">
        <f>IFERROR(__xludf.DUMMYFUNCTION("""COMPUTED_VALUE"""),"")</f>
        <v/>
      </c>
      <c r="AC5240" s="16" t="str">
        <f>IFERROR(__xludf.DUMMYFUNCTION("""COMPUTED_VALUE"""),"")</f>
        <v/>
      </c>
    </row>
    <row r="5241">
      <c r="A5241" s="16" t="s">
        <v>87</v>
      </c>
      <c r="E5241" s="16" t="str">
        <f>IFERROR(__xludf.DUMMYFUNCTION("""COMPUTED_VALUE"""),"")</f>
        <v/>
      </c>
      <c r="G5241" s="18"/>
      <c r="H5241" s="16" t="s">
        <v>87</v>
      </c>
      <c r="I5241" s="16" t="s">
        <v>87</v>
      </c>
      <c r="J5241" s="19"/>
      <c r="L5241" s="16" t="str">
        <f>IFERROR(__xludf.DUMMYFUNCTION("""COMPUTED_VALUE"""),"")</f>
        <v/>
      </c>
      <c r="M5241" s="16" t="str">
        <f>IFERROR(__xludf.DUMMYFUNCTION("""COMPUTED_VALUE"""),"")</f>
        <v/>
      </c>
      <c r="U5241" s="16" t="s">
        <v>87</v>
      </c>
      <c r="V5241" s="16" t="str">
        <f>IFERROR(__xludf.DUMMYFUNCTION("""COMPUTED_VALUE"""),"")</f>
        <v/>
      </c>
      <c r="W5241" s="16" t="str">
        <f>IFERROR(__xludf.DUMMYFUNCTION("""COMPUTED_VALUE"""),"")</f>
        <v/>
      </c>
      <c r="X5241" s="16" t="str">
        <f>IFERROR(__xludf.DUMMYFUNCTION("""COMPUTED_VALUE"""),"")</f>
        <v/>
      </c>
      <c r="AC5241" s="16" t="str">
        <f>IFERROR(__xludf.DUMMYFUNCTION("""COMPUTED_VALUE"""),"")</f>
        <v/>
      </c>
    </row>
    <row r="5242">
      <c r="A5242" s="16" t="s">
        <v>87</v>
      </c>
      <c r="E5242" s="16" t="str">
        <f>IFERROR(__xludf.DUMMYFUNCTION("""COMPUTED_VALUE"""),"")</f>
        <v/>
      </c>
      <c r="G5242" s="18"/>
      <c r="H5242" s="16" t="s">
        <v>87</v>
      </c>
      <c r="I5242" s="16" t="s">
        <v>87</v>
      </c>
      <c r="J5242" s="19"/>
      <c r="L5242" s="16" t="str">
        <f>IFERROR(__xludf.DUMMYFUNCTION("""COMPUTED_VALUE"""),"")</f>
        <v/>
      </c>
      <c r="M5242" s="16" t="str">
        <f>IFERROR(__xludf.DUMMYFUNCTION("""COMPUTED_VALUE"""),"")</f>
        <v/>
      </c>
      <c r="U5242" s="16" t="s">
        <v>87</v>
      </c>
      <c r="V5242" s="16" t="str">
        <f>IFERROR(__xludf.DUMMYFUNCTION("""COMPUTED_VALUE"""),"")</f>
        <v/>
      </c>
      <c r="W5242" s="16" t="str">
        <f>IFERROR(__xludf.DUMMYFUNCTION("""COMPUTED_VALUE"""),"")</f>
        <v/>
      </c>
      <c r="X5242" s="16" t="str">
        <f>IFERROR(__xludf.DUMMYFUNCTION("""COMPUTED_VALUE"""),"")</f>
        <v/>
      </c>
      <c r="AC5242" s="16" t="str">
        <f>IFERROR(__xludf.DUMMYFUNCTION("""COMPUTED_VALUE"""),"")</f>
        <v/>
      </c>
    </row>
    <row r="5243">
      <c r="A5243" s="16" t="s">
        <v>87</v>
      </c>
      <c r="E5243" s="16" t="str">
        <f>IFERROR(__xludf.DUMMYFUNCTION("""COMPUTED_VALUE"""),"")</f>
        <v/>
      </c>
      <c r="G5243" s="18"/>
      <c r="H5243" s="16" t="s">
        <v>87</v>
      </c>
      <c r="I5243" s="16" t="s">
        <v>87</v>
      </c>
      <c r="J5243" s="19"/>
      <c r="L5243" s="16" t="str">
        <f>IFERROR(__xludf.DUMMYFUNCTION("""COMPUTED_VALUE"""),"")</f>
        <v/>
      </c>
      <c r="M5243" s="16" t="str">
        <f>IFERROR(__xludf.DUMMYFUNCTION("""COMPUTED_VALUE"""),"")</f>
        <v/>
      </c>
      <c r="U5243" s="16" t="s">
        <v>87</v>
      </c>
      <c r="V5243" s="16" t="str">
        <f>IFERROR(__xludf.DUMMYFUNCTION("""COMPUTED_VALUE"""),"")</f>
        <v/>
      </c>
      <c r="W5243" s="16" t="str">
        <f>IFERROR(__xludf.DUMMYFUNCTION("""COMPUTED_VALUE"""),"")</f>
        <v/>
      </c>
      <c r="X5243" s="16" t="str">
        <f>IFERROR(__xludf.DUMMYFUNCTION("""COMPUTED_VALUE"""),"")</f>
        <v/>
      </c>
      <c r="AC5243" s="16" t="str">
        <f>IFERROR(__xludf.DUMMYFUNCTION("""COMPUTED_VALUE"""),"")</f>
        <v/>
      </c>
    </row>
    <row r="5244">
      <c r="A5244" s="16" t="s">
        <v>87</v>
      </c>
      <c r="E5244" s="16" t="str">
        <f>IFERROR(__xludf.DUMMYFUNCTION("""COMPUTED_VALUE"""),"")</f>
        <v/>
      </c>
      <c r="G5244" s="18"/>
      <c r="H5244" s="16" t="s">
        <v>87</v>
      </c>
      <c r="I5244" s="16" t="s">
        <v>87</v>
      </c>
      <c r="J5244" s="19"/>
      <c r="L5244" s="16" t="str">
        <f>IFERROR(__xludf.DUMMYFUNCTION("""COMPUTED_VALUE"""),"")</f>
        <v/>
      </c>
      <c r="M5244" s="16" t="str">
        <f>IFERROR(__xludf.DUMMYFUNCTION("""COMPUTED_VALUE"""),"")</f>
        <v/>
      </c>
      <c r="U5244" s="16" t="s">
        <v>87</v>
      </c>
      <c r="V5244" s="16" t="str">
        <f>IFERROR(__xludf.DUMMYFUNCTION("""COMPUTED_VALUE"""),"")</f>
        <v/>
      </c>
      <c r="W5244" s="16" t="str">
        <f>IFERROR(__xludf.DUMMYFUNCTION("""COMPUTED_VALUE"""),"")</f>
        <v/>
      </c>
      <c r="X5244" s="16" t="str">
        <f>IFERROR(__xludf.DUMMYFUNCTION("""COMPUTED_VALUE"""),"")</f>
        <v/>
      </c>
      <c r="AC5244" s="16" t="str">
        <f>IFERROR(__xludf.DUMMYFUNCTION("""COMPUTED_VALUE"""),"")</f>
        <v/>
      </c>
    </row>
    <row r="5245">
      <c r="A5245" s="16" t="s">
        <v>87</v>
      </c>
      <c r="E5245" s="16" t="str">
        <f>IFERROR(__xludf.DUMMYFUNCTION("""COMPUTED_VALUE"""),"")</f>
        <v/>
      </c>
      <c r="G5245" s="18"/>
      <c r="H5245" s="16" t="s">
        <v>87</v>
      </c>
      <c r="I5245" s="16" t="s">
        <v>87</v>
      </c>
      <c r="J5245" s="19"/>
      <c r="L5245" s="16" t="str">
        <f>IFERROR(__xludf.DUMMYFUNCTION("""COMPUTED_VALUE"""),"")</f>
        <v/>
      </c>
      <c r="M5245" s="16" t="str">
        <f>IFERROR(__xludf.DUMMYFUNCTION("""COMPUTED_VALUE"""),"")</f>
        <v/>
      </c>
      <c r="U5245" s="16" t="s">
        <v>87</v>
      </c>
      <c r="V5245" s="16" t="str">
        <f>IFERROR(__xludf.DUMMYFUNCTION("""COMPUTED_VALUE"""),"")</f>
        <v/>
      </c>
      <c r="W5245" s="16" t="str">
        <f>IFERROR(__xludf.DUMMYFUNCTION("""COMPUTED_VALUE"""),"")</f>
        <v/>
      </c>
      <c r="X5245" s="16" t="str">
        <f>IFERROR(__xludf.DUMMYFUNCTION("""COMPUTED_VALUE"""),"")</f>
        <v/>
      </c>
      <c r="AC5245" s="16" t="str">
        <f>IFERROR(__xludf.DUMMYFUNCTION("""COMPUTED_VALUE"""),"")</f>
        <v/>
      </c>
    </row>
    <row r="5246">
      <c r="A5246" s="16" t="s">
        <v>87</v>
      </c>
      <c r="E5246" s="16" t="str">
        <f>IFERROR(__xludf.DUMMYFUNCTION("""COMPUTED_VALUE"""),"")</f>
        <v/>
      </c>
      <c r="G5246" s="18"/>
      <c r="H5246" s="16" t="s">
        <v>87</v>
      </c>
      <c r="I5246" s="16" t="s">
        <v>87</v>
      </c>
      <c r="J5246" s="19"/>
      <c r="L5246" s="16" t="str">
        <f>IFERROR(__xludf.DUMMYFUNCTION("""COMPUTED_VALUE"""),"")</f>
        <v/>
      </c>
      <c r="M5246" s="16" t="str">
        <f>IFERROR(__xludf.DUMMYFUNCTION("""COMPUTED_VALUE"""),"")</f>
        <v/>
      </c>
      <c r="U5246" s="16" t="s">
        <v>87</v>
      </c>
      <c r="V5246" s="16" t="str">
        <f>IFERROR(__xludf.DUMMYFUNCTION("""COMPUTED_VALUE"""),"")</f>
        <v/>
      </c>
      <c r="W5246" s="16" t="str">
        <f>IFERROR(__xludf.DUMMYFUNCTION("""COMPUTED_VALUE"""),"")</f>
        <v/>
      </c>
      <c r="X5246" s="16" t="str">
        <f>IFERROR(__xludf.DUMMYFUNCTION("""COMPUTED_VALUE"""),"")</f>
        <v/>
      </c>
      <c r="AC5246" s="16" t="str">
        <f>IFERROR(__xludf.DUMMYFUNCTION("""COMPUTED_VALUE"""),"")</f>
        <v/>
      </c>
    </row>
    <row r="5247">
      <c r="A5247" s="16" t="s">
        <v>87</v>
      </c>
      <c r="E5247" s="16" t="str">
        <f>IFERROR(__xludf.DUMMYFUNCTION("""COMPUTED_VALUE"""),"")</f>
        <v/>
      </c>
      <c r="G5247" s="18"/>
      <c r="H5247" s="16" t="s">
        <v>87</v>
      </c>
      <c r="I5247" s="16" t="s">
        <v>87</v>
      </c>
      <c r="J5247" s="19"/>
      <c r="L5247" s="16" t="str">
        <f>IFERROR(__xludf.DUMMYFUNCTION("""COMPUTED_VALUE"""),"")</f>
        <v/>
      </c>
      <c r="M5247" s="16" t="str">
        <f>IFERROR(__xludf.DUMMYFUNCTION("""COMPUTED_VALUE"""),"")</f>
        <v/>
      </c>
      <c r="U5247" s="16" t="s">
        <v>87</v>
      </c>
      <c r="V5247" s="16" t="str">
        <f>IFERROR(__xludf.DUMMYFUNCTION("""COMPUTED_VALUE"""),"")</f>
        <v/>
      </c>
      <c r="W5247" s="16" t="str">
        <f>IFERROR(__xludf.DUMMYFUNCTION("""COMPUTED_VALUE"""),"")</f>
        <v/>
      </c>
      <c r="X5247" s="16" t="str">
        <f>IFERROR(__xludf.DUMMYFUNCTION("""COMPUTED_VALUE"""),"")</f>
        <v/>
      </c>
      <c r="AC5247" s="16" t="str">
        <f>IFERROR(__xludf.DUMMYFUNCTION("""COMPUTED_VALUE"""),"")</f>
        <v/>
      </c>
    </row>
    <row r="5248">
      <c r="A5248" s="16" t="s">
        <v>87</v>
      </c>
      <c r="E5248" s="16" t="str">
        <f>IFERROR(__xludf.DUMMYFUNCTION("""COMPUTED_VALUE"""),"")</f>
        <v/>
      </c>
      <c r="G5248" s="18"/>
      <c r="H5248" s="16" t="s">
        <v>87</v>
      </c>
      <c r="I5248" s="16" t="s">
        <v>87</v>
      </c>
      <c r="J5248" s="19"/>
      <c r="L5248" s="16" t="str">
        <f>IFERROR(__xludf.DUMMYFUNCTION("""COMPUTED_VALUE"""),"")</f>
        <v/>
      </c>
      <c r="M5248" s="16" t="str">
        <f>IFERROR(__xludf.DUMMYFUNCTION("""COMPUTED_VALUE"""),"")</f>
        <v/>
      </c>
      <c r="U5248" s="16" t="s">
        <v>87</v>
      </c>
      <c r="V5248" s="16" t="str">
        <f>IFERROR(__xludf.DUMMYFUNCTION("""COMPUTED_VALUE"""),"")</f>
        <v/>
      </c>
      <c r="W5248" s="16" t="str">
        <f>IFERROR(__xludf.DUMMYFUNCTION("""COMPUTED_VALUE"""),"")</f>
        <v/>
      </c>
      <c r="X5248" s="16" t="str">
        <f>IFERROR(__xludf.DUMMYFUNCTION("""COMPUTED_VALUE"""),"")</f>
        <v/>
      </c>
      <c r="AC5248" s="16" t="str">
        <f>IFERROR(__xludf.DUMMYFUNCTION("""COMPUTED_VALUE"""),"")</f>
        <v/>
      </c>
    </row>
    <row r="5249">
      <c r="A5249" s="16" t="s">
        <v>87</v>
      </c>
      <c r="E5249" s="16" t="str">
        <f>IFERROR(__xludf.DUMMYFUNCTION("""COMPUTED_VALUE"""),"")</f>
        <v/>
      </c>
      <c r="G5249" s="18"/>
      <c r="H5249" s="16" t="s">
        <v>87</v>
      </c>
      <c r="I5249" s="16" t="s">
        <v>87</v>
      </c>
      <c r="J5249" s="19"/>
      <c r="L5249" s="16" t="str">
        <f>IFERROR(__xludf.DUMMYFUNCTION("""COMPUTED_VALUE"""),"")</f>
        <v/>
      </c>
      <c r="M5249" s="16" t="str">
        <f>IFERROR(__xludf.DUMMYFUNCTION("""COMPUTED_VALUE"""),"")</f>
        <v/>
      </c>
      <c r="U5249" s="16" t="s">
        <v>87</v>
      </c>
      <c r="V5249" s="16" t="str">
        <f>IFERROR(__xludf.DUMMYFUNCTION("""COMPUTED_VALUE"""),"")</f>
        <v/>
      </c>
      <c r="W5249" s="16" t="str">
        <f>IFERROR(__xludf.DUMMYFUNCTION("""COMPUTED_VALUE"""),"")</f>
        <v/>
      </c>
      <c r="X5249" s="16" t="str">
        <f>IFERROR(__xludf.DUMMYFUNCTION("""COMPUTED_VALUE"""),"")</f>
        <v/>
      </c>
      <c r="AC5249" s="16" t="str">
        <f>IFERROR(__xludf.DUMMYFUNCTION("""COMPUTED_VALUE"""),"")</f>
        <v/>
      </c>
    </row>
    <row r="5250">
      <c r="A5250" s="16" t="s">
        <v>87</v>
      </c>
      <c r="E5250" s="16" t="str">
        <f>IFERROR(__xludf.DUMMYFUNCTION("""COMPUTED_VALUE"""),"")</f>
        <v/>
      </c>
      <c r="G5250" s="18"/>
      <c r="H5250" s="16" t="s">
        <v>87</v>
      </c>
      <c r="I5250" s="16" t="s">
        <v>87</v>
      </c>
      <c r="J5250" s="19"/>
      <c r="L5250" s="16" t="str">
        <f>IFERROR(__xludf.DUMMYFUNCTION("""COMPUTED_VALUE"""),"")</f>
        <v/>
      </c>
      <c r="M5250" s="16" t="str">
        <f>IFERROR(__xludf.DUMMYFUNCTION("""COMPUTED_VALUE"""),"")</f>
        <v/>
      </c>
      <c r="U5250" s="16" t="s">
        <v>87</v>
      </c>
      <c r="V5250" s="16" t="str">
        <f>IFERROR(__xludf.DUMMYFUNCTION("""COMPUTED_VALUE"""),"")</f>
        <v/>
      </c>
      <c r="W5250" s="16" t="str">
        <f>IFERROR(__xludf.DUMMYFUNCTION("""COMPUTED_VALUE"""),"")</f>
        <v/>
      </c>
      <c r="X5250" s="16" t="str">
        <f>IFERROR(__xludf.DUMMYFUNCTION("""COMPUTED_VALUE"""),"")</f>
        <v/>
      </c>
      <c r="AC5250" s="16" t="str">
        <f>IFERROR(__xludf.DUMMYFUNCTION("""COMPUTED_VALUE"""),"")</f>
        <v/>
      </c>
    </row>
    <row r="5251">
      <c r="A5251" s="16" t="s">
        <v>87</v>
      </c>
      <c r="E5251" s="16" t="str">
        <f>IFERROR(__xludf.DUMMYFUNCTION("""COMPUTED_VALUE"""),"")</f>
        <v/>
      </c>
      <c r="G5251" s="18"/>
      <c r="H5251" s="16" t="s">
        <v>87</v>
      </c>
      <c r="I5251" s="16" t="s">
        <v>87</v>
      </c>
      <c r="J5251" s="19"/>
      <c r="L5251" s="16" t="str">
        <f>IFERROR(__xludf.DUMMYFUNCTION("""COMPUTED_VALUE"""),"")</f>
        <v/>
      </c>
      <c r="M5251" s="16" t="str">
        <f>IFERROR(__xludf.DUMMYFUNCTION("""COMPUTED_VALUE"""),"")</f>
        <v/>
      </c>
      <c r="U5251" s="16" t="s">
        <v>87</v>
      </c>
      <c r="V5251" s="16" t="str">
        <f>IFERROR(__xludf.DUMMYFUNCTION("""COMPUTED_VALUE"""),"")</f>
        <v/>
      </c>
      <c r="W5251" s="16" t="str">
        <f>IFERROR(__xludf.DUMMYFUNCTION("""COMPUTED_VALUE"""),"")</f>
        <v/>
      </c>
      <c r="X5251" s="16" t="str">
        <f>IFERROR(__xludf.DUMMYFUNCTION("""COMPUTED_VALUE"""),"")</f>
        <v/>
      </c>
      <c r="AC5251" s="16" t="str">
        <f>IFERROR(__xludf.DUMMYFUNCTION("""COMPUTED_VALUE"""),"")</f>
        <v/>
      </c>
    </row>
    <row r="5252">
      <c r="A5252" s="16" t="s">
        <v>87</v>
      </c>
      <c r="E5252" s="16" t="str">
        <f>IFERROR(__xludf.DUMMYFUNCTION("""COMPUTED_VALUE"""),"")</f>
        <v/>
      </c>
      <c r="G5252" s="18"/>
      <c r="H5252" s="16" t="s">
        <v>87</v>
      </c>
      <c r="I5252" s="16" t="s">
        <v>87</v>
      </c>
      <c r="J5252" s="19"/>
      <c r="L5252" s="16" t="str">
        <f>IFERROR(__xludf.DUMMYFUNCTION("""COMPUTED_VALUE"""),"")</f>
        <v/>
      </c>
      <c r="M5252" s="16" t="str">
        <f>IFERROR(__xludf.DUMMYFUNCTION("""COMPUTED_VALUE"""),"")</f>
        <v/>
      </c>
      <c r="U5252" s="16" t="s">
        <v>87</v>
      </c>
      <c r="V5252" s="16" t="str">
        <f>IFERROR(__xludf.DUMMYFUNCTION("""COMPUTED_VALUE"""),"")</f>
        <v/>
      </c>
      <c r="W5252" s="16" t="str">
        <f>IFERROR(__xludf.DUMMYFUNCTION("""COMPUTED_VALUE"""),"")</f>
        <v/>
      </c>
      <c r="X5252" s="16" t="str">
        <f>IFERROR(__xludf.DUMMYFUNCTION("""COMPUTED_VALUE"""),"")</f>
        <v/>
      </c>
      <c r="AC5252" s="16" t="str">
        <f>IFERROR(__xludf.DUMMYFUNCTION("""COMPUTED_VALUE"""),"")</f>
        <v/>
      </c>
    </row>
    <row r="5253">
      <c r="A5253" s="16" t="s">
        <v>87</v>
      </c>
      <c r="E5253" s="16" t="str">
        <f>IFERROR(__xludf.DUMMYFUNCTION("""COMPUTED_VALUE"""),"")</f>
        <v/>
      </c>
      <c r="G5253" s="18"/>
      <c r="H5253" s="16" t="s">
        <v>87</v>
      </c>
      <c r="I5253" s="16" t="s">
        <v>87</v>
      </c>
      <c r="J5253" s="19"/>
      <c r="L5253" s="16" t="str">
        <f>IFERROR(__xludf.DUMMYFUNCTION("""COMPUTED_VALUE"""),"")</f>
        <v/>
      </c>
      <c r="M5253" s="16" t="str">
        <f>IFERROR(__xludf.DUMMYFUNCTION("""COMPUTED_VALUE"""),"")</f>
        <v/>
      </c>
      <c r="U5253" s="16" t="s">
        <v>87</v>
      </c>
      <c r="V5253" s="16" t="str">
        <f>IFERROR(__xludf.DUMMYFUNCTION("""COMPUTED_VALUE"""),"")</f>
        <v/>
      </c>
      <c r="W5253" s="16" t="str">
        <f>IFERROR(__xludf.DUMMYFUNCTION("""COMPUTED_VALUE"""),"")</f>
        <v/>
      </c>
      <c r="X5253" s="16" t="str">
        <f>IFERROR(__xludf.DUMMYFUNCTION("""COMPUTED_VALUE"""),"")</f>
        <v/>
      </c>
      <c r="AC5253" s="16" t="str">
        <f>IFERROR(__xludf.DUMMYFUNCTION("""COMPUTED_VALUE"""),"")</f>
        <v/>
      </c>
    </row>
    <row r="5254">
      <c r="A5254" s="16" t="s">
        <v>87</v>
      </c>
      <c r="E5254" s="16" t="str">
        <f>IFERROR(__xludf.DUMMYFUNCTION("""COMPUTED_VALUE"""),"")</f>
        <v/>
      </c>
      <c r="G5254" s="18"/>
      <c r="H5254" s="16" t="s">
        <v>87</v>
      </c>
      <c r="I5254" s="16" t="s">
        <v>87</v>
      </c>
      <c r="J5254" s="19"/>
      <c r="L5254" s="16" t="str">
        <f>IFERROR(__xludf.DUMMYFUNCTION("""COMPUTED_VALUE"""),"")</f>
        <v/>
      </c>
      <c r="M5254" s="16" t="str">
        <f>IFERROR(__xludf.DUMMYFUNCTION("""COMPUTED_VALUE"""),"")</f>
        <v/>
      </c>
      <c r="U5254" s="16" t="s">
        <v>87</v>
      </c>
      <c r="V5254" s="16" t="str">
        <f>IFERROR(__xludf.DUMMYFUNCTION("""COMPUTED_VALUE"""),"")</f>
        <v/>
      </c>
      <c r="W5254" s="16" t="str">
        <f>IFERROR(__xludf.DUMMYFUNCTION("""COMPUTED_VALUE"""),"")</f>
        <v/>
      </c>
      <c r="X5254" s="16" t="str">
        <f>IFERROR(__xludf.DUMMYFUNCTION("""COMPUTED_VALUE"""),"")</f>
        <v/>
      </c>
      <c r="AC5254" s="16" t="str">
        <f>IFERROR(__xludf.DUMMYFUNCTION("""COMPUTED_VALUE"""),"")</f>
        <v/>
      </c>
    </row>
    <row r="5255">
      <c r="A5255" s="16" t="s">
        <v>87</v>
      </c>
      <c r="E5255" s="16" t="str">
        <f>IFERROR(__xludf.DUMMYFUNCTION("""COMPUTED_VALUE"""),"")</f>
        <v/>
      </c>
      <c r="G5255" s="18"/>
      <c r="H5255" s="16" t="s">
        <v>87</v>
      </c>
      <c r="I5255" s="16" t="s">
        <v>87</v>
      </c>
      <c r="J5255" s="19"/>
      <c r="L5255" s="16" t="str">
        <f>IFERROR(__xludf.DUMMYFUNCTION("""COMPUTED_VALUE"""),"")</f>
        <v/>
      </c>
      <c r="M5255" s="16" t="str">
        <f>IFERROR(__xludf.DUMMYFUNCTION("""COMPUTED_VALUE"""),"")</f>
        <v/>
      </c>
      <c r="U5255" s="16" t="s">
        <v>87</v>
      </c>
      <c r="V5255" s="16" t="str">
        <f>IFERROR(__xludf.DUMMYFUNCTION("""COMPUTED_VALUE"""),"")</f>
        <v/>
      </c>
      <c r="W5255" s="16" t="str">
        <f>IFERROR(__xludf.DUMMYFUNCTION("""COMPUTED_VALUE"""),"")</f>
        <v/>
      </c>
      <c r="X5255" s="16" t="str">
        <f>IFERROR(__xludf.DUMMYFUNCTION("""COMPUTED_VALUE"""),"")</f>
        <v/>
      </c>
      <c r="AC5255" s="16" t="str">
        <f>IFERROR(__xludf.DUMMYFUNCTION("""COMPUTED_VALUE"""),"")</f>
        <v/>
      </c>
    </row>
    <row r="5256">
      <c r="A5256" s="16" t="s">
        <v>87</v>
      </c>
      <c r="E5256" s="16" t="str">
        <f>IFERROR(__xludf.DUMMYFUNCTION("""COMPUTED_VALUE"""),"")</f>
        <v/>
      </c>
      <c r="G5256" s="18"/>
      <c r="H5256" s="16" t="s">
        <v>87</v>
      </c>
      <c r="I5256" s="16" t="s">
        <v>87</v>
      </c>
      <c r="J5256" s="19"/>
      <c r="L5256" s="16" t="str">
        <f>IFERROR(__xludf.DUMMYFUNCTION("""COMPUTED_VALUE"""),"")</f>
        <v/>
      </c>
      <c r="M5256" s="16" t="str">
        <f>IFERROR(__xludf.DUMMYFUNCTION("""COMPUTED_VALUE"""),"")</f>
        <v/>
      </c>
      <c r="U5256" s="16" t="s">
        <v>87</v>
      </c>
      <c r="V5256" s="16" t="str">
        <f>IFERROR(__xludf.DUMMYFUNCTION("""COMPUTED_VALUE"""),"")</f>
        <v/>
      </c>
      <c r="W5256" s="16" t="str">
        <f>IFERROR(__xludf.DUMMYFUNCTION("""COMPUTED_VALUE"""),"")</f>
        <v/>
      </c>
      <c r="X5256" s="16" t="str">
        <f>IFERROR(__xludf.DUMMYFUNCTION("""COMPUTED_VALUE"""),"")</f>
        <v/>
      </c>
      <c r="AC5256" s="16" t="str">
        <f>IFERROR(__xludf.DUMMYFUNCTION("""COMPUTED_VALUE"""),"")</f>
        <v/>
      </c>
    </row>
    <row r="5257">
      <c r="A5257" s="16" t="s">
        <v>87</v>
      </c>
      <c r="E5257" s="16" t="str">
        <f>IFERROR(__xludf.DUMMYFUNCTION("""COMPUTED_VALUE"""),"")</f>
        <v/>
      </c>
      <c r="G5257" s="18"/>
      <c r="H5257" s="16" t="s">
        <v>87</v>
      </c>
      <c r="I5257" s="16" t="s">
        <v>87</v>
      </c>
      <c r="J5257" s="19"/>
      <c r="L5257" s="16" t="str">
        <f>IFERROR(__xludf.DUMMYFUNCTION("""COMPUTED_VALUE"""),"")</f>
        <v/>
      </c>
      <c r="M5257" s="16" t="str">
        <f>IFERROR(__xludf.DUMMYFUNCTION("""COMPUTED_VALUE"""),"")</f>
        <v/>
      </c>
      <c r="U5257" s="16" t="s">
        <v>87</v>
      </c>
      <c r="V5257" s="16" t="str">
        <f>IFERROR(__xludf.DUMMYFUNCTION("""COMPUTED_VALUE"""),"")</f>
        <v/>
      </c>
      <c r="W5257" s="16" t="str">
        <f>IFERROR(__xludf.DUMMYFUNCTION("""COMPUTED_VALUE"""),"")</f>
        <v/>
      </c>
      <c r="X5257" s="16" t="str">
        <f>IFERROR(__xludf.DUMMYFUNCTION("""COMPUTED_VALUE"""),"")</f>
        <v/>
      </c>
      <c r="AC5257" s="16" t="str">
        <f>IFERROR(__xludf.DUMMYFUNCTION("""COMPUTED_VALUE"""),"")</f>
        <v/>
      </c>
    </row>
    <row r="5258">
      <c r="A5258" s="16" t="s">
        <v>87</v>
      </c>
      <c r="E5258" s="16" t="str">
        <f>IFERROR(__xludf.DUMMYFUNCTION("""COMPUTED_VALUE"""),"")</f>
        <v/>
      </c>
      <c r="G5258" s="18"/>
      <c r="H5258" s="16" t="s">
        <v>87</v>
      </c>
      <c r="I5258" s="16" t="s">
        <v>87</v>
      </c>
      <c r="J5258" s="19"/>
      <c r="L5258" s="16" t="str">
        <f>IFERROR(__xludf.DUMMYFUNCTION("""COMPUTED_VALUE"""),"")</f>
        <v/>
      </c>
      <c r="M5258" s="16" t="str">
        <f>IFERROR(__xludf.DUMMYFUNCTION("""COMPUTED_VALUE"""),"")</f>
        <v/>
      </c>
      <c r="U5258" s="16" t="s">
        <v>87</v>
      </c>
      <c r="V5258" s="16" t="str">
        <f>IFERROR(__xludf.DUMMYFUNCTION("""COMPUTED_VALUE"""),"")</f>
        <v/>
      </c>
      <c r="W5258" s="16" t="str">
        <f>IFERROR(__xludf.DUMMYFUNCTION("""COMPUTED_VALUE"""),"")</f>
        <v/>
      </c>
      <c r="X5258" s="16" t="str">
        <f>IFERROR(__xludf.DUMMYFUNCTION("""COMPUTED_VALUE"""),"")</f>
        <v/>
      </c>
      <c r="AC5258" s="16" t="str">
        <f>IFERROR(__xludf.DUMMYFUNCTION("""COMPUTED_VALUE"""),"")</f>
        <v/>
      </c>
    </row>
    <row r="5259">
      <c r="A5259" s="16" t="s">
        <v>87</v>
      </c>
      <c r="E5259" s="16" t="str">
        <f>IFERROR(__xludf.DUMMYFUNCTION("""COMPUTED_VALUE"""),"")</f>
        <v/>
      </c>
      <c r="G5259" s="18"/>
      <c r="H5259" s="16" t="s">
        <v>87</v>
      </c>
      <c r="I5259" s="16" t="s">
        <v>87</v>
      </c>
      <c r="J5259" s="19"/>
      <c r="L5259" s="16" t="str">
        <f>IFERROR(__xludf.DUMMYFUNCTION("""COMPUTED_VALUE"""),"")</f>
        <v/>
      </c>
      <c r="M5259" s="16" t="str">
        <f>IFERROR(__xludf.DUMMYFUNCTION("""COMPUTED_VALUE"""),"")</f>
        <v/>
      </c>
      <c r="U5259" s="16" t="s">
        <v>87</v>
      </c>
      <c r="V5259" s="16" t="str">
        <f>IFERROR(__xludf.DUMMYFUNCTION("""COMPUTED_VALUE"""),"")</f>
        <v/>
      </c>
      <c r="W5259" s="16" t="str">
        <f>IFERROR(__xludf.DUMMYFUNCTION("""COMPUTED_VALUE"""),"")</f>
        <v/>
      </c>
      <c r="X5259" s="16" t="str">
        <f>IFERROR(__xludf.DUMMYFUNCTION("""COMPUTED_VALUE"""),"")</f>
        <v/>
      </c>
      <c r="AC5259" s="16" t="str">
        <f>IFERROR(__xludf.DUMMYFUNCTION("""COMPUTED_VALUE"""),"")</f>
        <v/>
      </c>
    </row>
    <row r="5260">
      <c r="A5260" s="16" t="s">
        <v>87</v>
      </c>
      <c r="E5260" s="16" t="str">
        <f>IFERROR(__xludf.DUMMYFUNCTION("""COMPUTED_VALUE"""),"")</f>
        <v/>
      </c>
      <c r="G5260" s="18"/>
      <c r="H5260" s="16" t="s">
        <v>87</v>
      </c>
      <c r="I5260" s="16" t="s">
        <v>87</v>
      </c>
      <c r="J5260" s="19"/>
      <c r="L5260" s="16" t="str">
        <f>IFERROR(__xludf.DUMMYFUNCTION("""COMPUTED_VALUE"""),"")</f>
        <v/>
      </c>
      <c r="M5260" s="16" t="str">
        <f>IFERROR(__xludf.DUMMYFUNCTION("""COMPUTED_VALUE"""),"")</f>
        <v/>
      </c>
      <c r="U5260" s="16" t="s">
        <v>87</v>
      </c>
      <c r="V5260" s="16" t="str">
        <f>IFERROR(__xludf.DUMMYFUNCTION("""COMPUTED_VALUE"""),"")</f>
        <v/>
      </c>
      <c r="W5260" s="16" t="str">
        <f>IFERROR(__xludf.DUMMYFUNCTION("""COMPUTED_VALUE"""),"")</f>
        <v/>
      </c>
      <c r="X5260" s="16" t="str">
        <f>IFERROR(__xludf.DUMMYFUNCTION("""COMPUTED_VALUE"""),"")</f>
        <v/>
      </c>
      <c r="AC5260" s="16" t="str">
        <f>IFERROR(__xludf.DUMMYFUNCTION("""COMPUTED_VALUE"""),"")</f>
        <v/>
      </c>
    </row>
    <row r="5261">
      <c r="A5261" s="16" t="s">
        <v>87</v>
      </c>
      <c r="E5261" s="16" t="str">
        <f>IFERROR(__xludf.DUMMYFUNCTION("""COMPUTED_VALUE"""),"")</f>
        <v/>
      </c>
      <c r="G5261" s="18"/>
      <c r="H5261" s="16" t="s">
        <v>87</v>
      </c>
      <c r="I5261" s="16" t="s">
        <v>87</v>
      </c>
      <c r="J5261" s="19"/>
      <c r="L5261" s="16" t="str">
        <f>IFERROR(__xludf.DUMMYFUNCTION("""COMPUTED_VALUE"""),"")</f>
        <v/>
      </c>
      <c r="M5261" s="16" t="str">
        <f>IFERROR(__xludf.DUMMYFUNCTION("""COMPUTED_VALUE"""),"")</f>
        <v/>
      </c>
      <c r="U5261" s="16" t="s">
        <v>87</v>
      </c>
      <c r="V5261" s="16" t="str">
        <f>IFERROR(__xludf.DUMMYFUNCTION("""COMPUTED_VALUE"""),"")</f>
        <v/>
      </c>
      <c r="W5261" s="16" t="str">
        <f>IFERROR(__xludf.DUMMYFUNCTION("""COMPUTED_VALUE"""),"")</f>
        <v/>
      </c>
      <c r="X5261" s="16" t="str">
        <f>IFERROR(__xludf.DUMMYFUNCTION("""COMPUTED_VALUE"""),"")</f>
        <v/>
      </c>
      <c r="AC5261" s="16" t="str">
        <f>IFERROR(__xludf.DUMMYFUNCTION("""COMPUTED_VALUE"""),"")</f>
        <v/>
      </c>
    </row>
    <row r="5262">
      <c r="A5262" s="16" t="s">
        <v>87</v>
      </c>
      <c r="E5262" s="16" t="str">
        <f>IFERROR(__xludf.DUMMYFUNCTION("""COMPUTED_VALUE"""),"")</f>
        <v/>
      </c>
      <c r="G5262" s="18"/>
      <c r="H5262" s="16" t="s">
        <v>87</v>
      </c>
      <c r="I5262" s="16" t="s">
        <v>87</v>
      </c>
      <c r="J5262" s="19"/>
      <c r="L5262" s="16" t="str">
        <f>IFERROR(__xludf.DUMMYFUNCTION("""COMPUTED_VALUE"""),"")</f>
        <v/>
      </c>
      <c r="M5262" s="16" t="str">
        <f>IFERROR(__xludf.DUMMYFUNCTION("""COMPUTED_VALUE"""),"")</f>
        <v/>
      </c>
      <c r="U5262" s="16" t="s">
        <v>87</v>
      </c>
      <c r="V5262" s="16" t="str">
        <f>IFERROR(__xludf.DUMMYFUNCTION("""COMPUTED_VALUE"""),"")</f>
        <v/>
      </c>
      <c r="W5262" s="16" t="str">
        <f>IFERROR(__xludf.DUMMYFUNCTION("""COMPUTED_VALUE"""),"")</f>
        <v/>
      </c>
      <c r="X5262" s="16" t="str">
        <f>IFERROR(__xludf.DUMMYFUNCTION("""COMPUTED_VALUE"""),"")</f>
        <v/>
      </c>
      <c r="AC5262" s="16" t="str">
        <f>IFERROR(__xludf.DUMMYFUNCTION("""COMPUTED_VALUE"""),"")</f>
        <v/>
      </c>
    </row>
    <row r="5263">
      <c r="A5263" s="16" t="s">
        <v>87</v>
      </c>
      <c r="E5263" s="16" t="str">
        <f>IFERROR(__xludf.DUMMYFUNCTION("""COMPUTED_VALUE"""),"")</f>
        <v/>
      </c>
      <c r="G5263" s="18"/>
      <c r="H5263" s="16" t="s">
        <v>87</v>
      </c>
      <c r="I5263" s="16" t="s">
        <v>87</v>
      </c>
      <c r="J5263" s="19"/>
      <c r="L5263" s="16" t="str">
        <f>IFERROR(__xludf.DUMMYFUNCTION("""COMPUTED_VALUE"""),"")</f>
        <v/>
      </c>
      <c r="M5263" s="16" t="str">
        <f>IFERROR(__xludf.DUMMYFUNCTION("""COMPUTED_VALUE"""),"")</f>
        <v/>
      </c>
      <c r="U5263" s="16" t="s">
        <v>87</v>
      </c>
      <c r="V5263" s="16" t="str">
        <f>IFERROR(__xludf.DUMMYFUNCTION("""COMPUTED_VALUE"""),"")</f>
        <v/>
      </c>
      <c r="W5263" s="16" t="str">
        <f>IFERROR(__xludf.DUMMYFUNCTION("""COMPUTED_VALUE"""),"")</f>
        <v/>
      </c>
      <c r="X5263" s="16" t="str">
        <f>IFERROR(__xludf.DUMMYFUNCTION("""COMPUTED_VALUE"""),"")</f>
        <v/>
      </c>
      <c r="AC5263" s="16" t="str">
        <f>IFERROR(__xludf.DUMMYFUNCTION("""COMPUTED_VALUE"""),"")</f>
        <v/>
      </c>
    </row>
    <row r="5264">
      <c r="A5264" s="16" t="s">
        <v>87</v>
      </c>
      <c r="E5264" s="16" t="str">
        <f>IFERROR(__xludf.DUMMYFUNCTION("""COMPUTED_VALUE"""),"")</f>
        <v/>
      </c>
      <c r="G5264" s="18"/>
      <c r="H5264" s="16" t="s">
        <v>87</v>
      </c>
      <c r="I5264" s="16" t="s">
        <v>87</v>
      </c>
      <c r="J5264" s="19"/>
      <c r="L5264" s="16" t="str">
        <f>IFERROR(__xludf.DUMMYFUNCTION("""COMPUTED_VALUE"""),"")</f>
        <v/>
      </c>
      <c r="M5264" s="16" t="str">
        <f>IFERROR(__xludf.DUMMYFUNCTION("""COMPUTED_VALUE"""),"")</f>
        <v/>
      </c>
      <c r="U5264" s="16" t="s">
        <v>87</v>
      </c>
      <c r="V5264" s="16" t="str">
        <f>IFERROR(__xludf.DUMMYFUNCTION("""COMPUTED_VALUE"""),"")</f>
        <v/>
      </c>
      <c r="W5264" s="16" t="str">
        <f>IFERROR(__xludf.DUMMYFUNCTION("""COMPUTED_VALUE"""),"")</f>
        <v/>
      </c>
      <c r="X5264" s="16" t="str">
        <f>IFERROR(__xludf.DUMMYFUNCTION("""COMPUTED_VALUE"""),"")</f>
        <v/>
      </c>
      <c r="AC5264" s="16" t="str">
        <f>IFERROR(__xludf.DUMMYFUNCTION("""COMPUTED_VALUE"""),"")</f>
        <v/>
      </c>
    </row>
    <row r="5265">
      <c r="A5265" s="16" t="s">
        <v>87</v>
      </c>
      <c r="E5265" s="16" t="str">
        <f>IFERROR(__xludf.DUMMYFUNCTION("""COMPUTED_VALUE"""),"")</f>
        <v/>
      </c>
      <c r="G5265" s="18"/>
      <c r="H5265" s="16" t="s">
        <v>87</v>
      </c>
      <c r="I5265" s="16" t="s">
        <v>87</v>
      </c>
      <c r="J5265" s="19"/>
      <c r="L5265" s="16" t="str">
        <f>IFERROR(__xludf.DUMMYFUNCTION("""COMPUTED_VALUE"""),"")</f>
        <v/>
      </c>
      <c r="M5265" s="16" t="str">
        <f>IFERROR(__xludf.DUMMYFUNCTION("""COMPUTED_VALUE"""),"")</f>
        <v/>
      </c>
      <c r="U5265" s="16" t="s">
        <v>87</v>
      </c>
      <c r="V5265" s="16" t="str">
        <f>IFERROR(__xludf.DUMMYFUNCTION("""COMPUTED_VALUE"""),"")</f>
        <v/>
      </c>
      <c r="W5265" s="16" t="str">
        <f>IFERROR(__xludf.DUMMYFUNCTION("""COMPUTED_VALUE"""),"")</f>
        <v/>
      </c>
      <c r="X5265" s="16" t="str">
        <f>IFERROR(__xludf.DUMMYFUNCTION("""COMPUTED_VALUE"""),"")</f>
        <v/>
      </c>
      <c r="AC5265" s="16" t="str">
        <f>IFERROR(__xludf.DUMMYFUNCTION("""COMPUTED_VALUE"""),"")</f>
        <v/>
      </c>
    </row>
    <row r="5266">
      <c r="A5266" s="16" t="s">
        <v>87</v>
      </c>
      <c r="E5266" s="16" t="str">
        <f>IFERROR(__xludf.DUMMYFUNCTION("""COMPUTED_VALUE"""),"")</f>
        <v/>
      </c>
      <c r="G5266" s="18"/>
      <c r="H5266" s="16" t="s">
        <v>87</v>
      </c>
      <c r="I5266" s="16" t="s">
        <v>87</v>
      </c>
      <c r="J5266" s="19"/>
      <c r="L5266" s="16" t="str">
        <f>IFERROR(__xludf.DUMMYFUNCTION("""COMPUTED_VALUE"""),"")</f>
        <v/>
      </c>
      <c r="M5266" s="16" t="str">
        <f>IFERROR(__xludf.DUMMYFUNCTION("""COMPUTED_VALUE"""),"")</f>
        <v/>
      </c>
      <c r="U5266" s="16" t="s">
        <v>87</v>
      </c>
      <c r="V5266" s="16" t="str">
        <f>IFERROR(__xludf.DUMMYFUNCTION("""COMPUTED_VALUE"""),"")</f>
        <v/>
      </c>
      <c r="W5266" s="16" t="str">
        <f>IFERROR(__xludf.DUMMYFUNCTION("""COMPUTED_VALUE"""),"")</f>
        <v/>
      </c>
      <c r="X5266" s="16" t="str">
        <f>IFERROR(__xludf.DUMMYFUNCTION("""COMPUTED_VALUE"""),"")</f>
        <v/>
      </c>
      <c r="AC5266" s="16" t="str">
        <f>IFERROR(__xludf.DUMMYFUNCTION("""COMPUTED_VALUE"""),"")</f>
        <v/>
      </c>
    </row>
    <row r="5267">
      <c r="A5267" s="16" t="s">
        <v>87</v>
      </c>
      <c r="E5267" s="16" t="str">
        <f>IFERROR(__xludf.DUMMYFUNCTION("""COMPUTED_VALUE"""),"")</f>
        <v/>
      </c>
      <c r="G5267" s="18"/>
      <c r="H5267" s="16" t="s">
        <v>87</v>
      </c>
      <c r="I5267" s="16" t="s">
        <v>87</v>
      </c>
      <c r="J5267" s="19"/>
      <c r="L5267" s="16" t="str">
        <f>IFERROR(__xludf.DUMMYFUNCTION("""COMPUTED_VALUE"""),"")</f>
        <v/>
      </c>
      <c r="M5267" s="16" t="str">
        <f>IFERROR(__xludf.DUMMYFUNCTION("""COMPUTED_VALUE"""),"")</f>
        <v/>
      </c>
      <c r="U5267" s="16" t="s">
        <v>87</v>
      </c>
      <c r="V5267" s="16" t="str">
        <f>IFERROR(__xludf.DUMMYFUNCTION("""COMPUTED_VALUE"""),"")</f>
        <v/>
      </c>
      <c r="W5267" s="16" t="str">
        <f>IFERROR(__xludf.DUMMYFUNCTION("""COMPUTED_VALUE"""),"")</f>
        <v/>
      </c>
      <c r="X5267" s="16" t="str">
        <f>IFERROR(__xludf.DUMMYFUNCTION("""COMPUTED_VALUE"""),"")</f>
        <v/>
      </c>
      <c r="AC5267" s="16" t="str">
        <f>IFERROR(__xludf.DUMMYFUNCTION("""COMPUTED_VALUE"""),"")</f>
        <v/>
      </c>
    </row>
    <row r="5268">
      <c r="A5268" s="16" t="s">
        <v>87</v>
      </c>
      <c r="E5268" s="16" t="str">
        <f>IFERROR(__xludf.DUMMYFUNCTION("""COMPUTED_VALUE"""),"")</f>
        <v/>
      </c>
      <c r="G5268" s="18"/>
      <c r="H5268" s="16" t="s">
        <v>87</v>
      </c>
      <c r="I5268" s="16" t="s">
        <v>87</v>
      </c>
      <c r="J5268" s="19"/>
      <c r="L5268" s="16" t="str">
        <f>IFERROR(__xludf.DUMMYFUNCTION("""COMPUTED_VALUE"""),"")</f>
        <v/>
      </c>
      <c r="M5268" s="16" t="str">
        <f>IFERROR(__xludf.DUMMYFUNCTION("""COMPUTED_VALUE"""),"")</f>
        <v/>
      </c>
      <c r="U5268" s="16" t="s">
        <v>87</v>
      </c>
      <c r="V5268" s="16" t="str">
        <f>IFERROR(__xludf.DUMMYFUNCTION("""COMPUTED_VALUE"""),"")</f>
        <v/>
      </c>
      <c r="W5268" s="16" t="str">
        <f>IFERROR(__xludf.DUMMYFUNCTION("""COMPUTED_VALUE"""),"")</f>
        <v/>
      </c>
      <c r="X5268" s="16" t="str">
        <f>IFERROR(__xludf.DUMMYFUNCTION("""COMPUTED_VALUE"""),"")</f>
        <v/>
      </c>
      <c r="AC5268" s="16" t="str">
        <f>IFERROR(__xludf.DUMMYFUNCTION("""COMPUTED_VALUE"""),"")</f>
        <v/>
      </c>
    </row>
    <row r="5269">
      <c r="A5269" s="16" t="s">
        <v>87</v>
      </c>
      <c r="E5269" s="16" t="str">
        <f>IFERROR(__xludf.DUMMYFUNCTION("""COMPUTED_VALUE"""),"")</f>
        <v/>
      </c>
      <c r="G5269" s="18"/>
      <c r="H5269" s="16" t="s">
        <v>87</v>
      </c>
      <c r="I5269" s="16" t="s">
        <v>87</v>
      </c>
      <c r="J5269" s="19"/>
      <c r="L5269" s="16" t="str">
        <f>IFERROR(__xludf.DUMMYFUNCTION("""COMPUTED_VALUE"""),"")</f>
        <v/>
      </c>
      <c r="M5269" s="16" t="str">
        <f>IFERROR(__xludf.DUMMYFUNCTION("""COMPUTED_VALUE"""),"")</f>
        <v/>
      </c>
      <c r="U5269" s="16" t="s">
        <v>87</v>
      </c>
      <c r="V5269" s="16" t="str">
        <f>IFERROR(__xludf.DUMMYFUNCTION("""COMPUTED_VALUE"""),"")</f>
        <v/>
      </c>
      <c r="W5269" s="16" t="str">
        <f>IFERROR(__xludf.DUMMYFUNCTION("""COMPUTED_VALUE"""),"")</f>
        <v/>
      </c>
      <c r="X5269" s="16" t="str">
        <f>IFERROR(__xludf.DUMMYFUNCTION("""COMPUTED_VALUE"""),"")</f>
        <v/>
      </c>
      <c r="AC5269" s="16" t="str">
        <f>IFERROR(__xludf.DUMMYFUNCTION("""COMPUTED_VALUE"""),"")</f>
        <v/>
      </c>
    </row>
    <row r="5270">
      <c r="A5270" s="16" t="s">
        <v>87</v>
      </c>
      <c r="E5270" s="16" t="str">
        <f>IFERROR(__xludf.DUMMYFUNCTION("""COMPUTED_VALUE"""),"")</f>
        <v/>
      </c>
      <c r="G5270" s="18"/>
      <c r="H5270" s="16" t="s">
        <v>87</v>
      </c>
      <c r="I5270" s="16" t="s">
        <v>87</v>
      </c>
      <c r="J5270" s="19"/>
      <c r="L5270" s="16" t="str">
        <f>IFERROR(__xludf.DUMMYFUNCTION("""COMPUTED_VALUE"""),"")</f>
        <v/>
      </c>
      <c r="M5270" s="16" t="str">
        <f>IFERROR(__xludf.DUMMYFUNCTION("""COMPUTED_VALUE"""),"")</f>
        <v/>
      </c>
      <c r="U5270" s="16" t="s">
        <v>87</v>
      </c>
      <c r="V5270" s="16" t="str">
        <f>IFERROR(__xludf.DUMMYFUNCTION("""COMPUTED_VALUE"""),"")</f>
        <v/>
      </c>
      <c r="W5270" s="16" t="str">
        <f>IFERROR(__xludf.DUMMYFUNCTION("""COMPUTED_VALUE"""),"")</f>
        <v/>
      </c>
      <c r="X5270" s="16" t="str">
        <f>IFERROR(__xludf.DUMMYFUNCTION("""COMPUTED_VALUE"""),"")</f>
        <v/>
      </c>
      <c r="AC5270" s="16" t="str">
        <f>IFERROR(__xludf.DUMMYFUNCTION("""COMPUTED_VALUE"""),"")</f>
        <v/>
      </c>
    </row>
    <row r="5271">
      <c r="A5271" s="16" t="s">
        <v>87</v>
      </c>
      <c r="E5271" s="16" t="str">
        <f>IFERROR(__xludf.DUMMYFUNCTION("""COMPUTED_VALUE"""),"")</f>
        <v/>
      </c>
      <c r="G5271" s="18"/>
      <c r="H5271" s="16" t="s">
        <v>87</v>
      </c>
      <c r="I5271" s="16" t="s">
        <v>87</v>
      </c>
      <c r="J5271" s="19"/>
      <c r="L5271" s="16" t="str">
        <f>IFERROR(__xludf.DUMMYFUNCTION("""COMPUTED_VALUE"""),"")</f>
        <v/>
      </c>
      <c r="M5271" s="16" t="str">
        <f>IFERROR(__xludf.DUMMYFUNCTION("""COMPUTED_VALUE"""),"")</f>
        <v/>
      </c>
      <c r="U5271" s="16" t="s">
        <v>87</v>
      </c>
      <c r="V5271" s="16" t="str">
        <f>IFERROR(__xludf.DUMMYFUNCTION("""COMPUTED_VALUE"""),"")</f>
        <v/>
      </c>
      <c r="W5271" s="16" t="str">
        <f>IFERROR(__xludf.DUMMYFUNCTION("""COMPUTED_VALUE"""),"")</f>
        <v/>
      </c>
      <c r="X5271" s="16" t="str">
        <f>IFERROR(__xludf.DUMMYFUNCTION("""COMPUTED_VALUE"""),"")</f>
        <v/>
      </c>
      <c r="AC5271" s="16" t="str">
        <f>IFERROR(__xludf.DUMMYFUNCTION("""COMPUTED_VALUE"""),"")</f>
        <v/>
      </c>
    </row>
    <row r="5272">
      <c r="A5272" s="16" t="s">
        <v>87</v>
      </c>
      <c r="E5272" s="16" t="str">
        <f>IFERROR(__xludf.DUMMYFUNCTION("""COMPUTED_VALUE"""),"")</f>
        <v/>
      </c>
      <c r="G5272" s="18"/>
      <c r="H5272" s="16" t="s">
        <v>87</v>
      </c>
      <c r="I5272" s="16" t="s">
        <v>87</v>
      </c>
      <c r="J5272" s="19"/>
      <c r="L5272" s="16" t="str">
        <f>IFERROR(__xludf.DUMMYFUNCTION("""COMPUTED_VALUE"""),"")</f>
        <v/>
      </c>
      <c r="M5272" s="16" t="str">
        <f>IFERROR(__xludf.DUMMYFUNCTION("""COMPUTED_VALUE"""),"")</f>
        <v/>
      </c>
      <c r="U5272" s="16" t="s">
        <v>87</v>
      </c>
      <c r="V5272" s="16" t="str">
        <f>IFERROR(__xludf.DUMMYFUNCTION("""COMPUTED_VALUE"""),"")</f>
        <v/>
      </c>
      <c r="W5272" s="16" t="str">
        <f>IFERROR(__xludf.DUMMYFUNCTION("""COMPUTED_VALUE"""),"")</f>
        <v/>
      </c>
      <c r="X5272" s="16" t="str">
        <f>IFERROR(__xludf.DUMMYFUNCTION("""COMPUTED_VALUE"""),"")</f>
        <v/>
      </c>
      <c r="AC5272" s="16" t="str">
        <f>IFERROR(__xludf.DUMMYFUNCTION("""COMPUTED_VALUE"""),"")</f>
        <v/>
      </c>
    </row>
    <row r="5273">
      <c r="A5273" s="16" t="s">
        <v>87</v>
      </c>
      <c r="E5273" s="16" t="str">
        <f>IFERROR(__xludf.DUMMYFUNCTION("""COMPUTED_VALUE"""),"")</f>
        <v/>
      </c>
      <c r="G5273" s="18"/>
      <c r="H5273" s="16" t="s">
        <v>87</v>
      </c>
      <c r="I5273" s="16" t="s">
        <v>87</v>
      </c>
      <c r="J5273" s="19"/>
      <c r="L5273" s="16" t="str">
        <f>IFERROR(__xludf.DUMMYFUNCTION("""COMPUTED_VALUE"""),"")</f>
        <v/>
      </c>
      <c r="M5273" s="16" t="str">
        <f>IFERROR(__xludf.DUMMYFUNCTION("""COMPUTED_VALUE"""),"")</f>
        <v/>
      </c>
      <c r="U5273" s="16" t="s">
        <v>87</v>
      </c>
      <c r="V5273" s="16" t="str">
        <f>IFERROR(__xludf.DUMMYFUNCTION("""COMPUTED_VALUE"""),"")</f>
        <v/>
      </c>
      <c r="W5273" s="16" t="str">
        <f>IFERROR(__xludf.DUMMYFUNCTION("""COMPUTED_VALUE"""),"")</f>
        <v/>
      </c>
      <c r="X5273" s="16" t="str">
        <f>IFERROR(__xludf.DUMMYFUNCTION("""COMPUTED_VALUE"""),"")</f>
        <v/>
      </c>
      <c r="AC5273" s="16" t="str">
        <f>IFERROR(__xludf.DUMMYFUNCTION("""COMPUTED_VALUE"""),"")</f>
        <v/>
      </c>
    </row>
    <row r="5274">
      <c r="A5274" s="16" t="s">
        <v>87</v>
      </c>
      <c r="E5274" s="16" t="str">
        <f>IFERROR(__xludf.DUMMYFUNCTION("""COMPUTED_VALUE"""),"")</f>
        <v/>
      </c>
      <c r="G5274" s="18"/>
      <c r="H5274" s="16" t="s">
        <v>87</v>
      </c>
      <c r="I5274" s="16" t="s">
        <v>87</v>
      </c>
      <c r="J5274" s="19"/>
      <c r="L5274" s="16" t="str">
        <f>IFERROR(__xludf.DUMMYFUNCTION("""COMPUTED_VALUE"""),"")</f>
        <v/>
      </c>
      <c r="M5274" s="16" t="str">
        <f>IFERROR(__xludf.DUMMYFUNCTION("""COMPUTED_VALUE"""),"")</f>
        <v/>
      </c>
      <c r="U5274" s="16" t="s">
        <v>87</v>
      </c>
      <c r="V5274" s="16" t="str">
        <f>IFERROR(__xludf.DUMMYFUNCTION("""COMPUTED_VALUE"""),"")</f>
        <v/>
      </c>
      <c r="W5274" s="16" t="str">
        <f>IFERROR(__xludf.DUMMYFUNCTION("""COMPUTED_VALUE"""),"")</f>
        <v/>
      </c>
      <c r="X5274" s="16" t="str">
        <f>IFERROR(__xludf.DUMMYFUNCTION("""COMPUTED_VALUE"""),"")</f>
        <v/>
      </c>
      <c r="AC5274" s="16" t="str">
        <f>IFERROR(__xludf.DUMMYFUNCTION("""COMPUTED_VALUE"""),"")</f>
        <v/>
      </c>
    </row>
    <row r="5275">
      <c r="A5275" s="16" t="s">
        <v>87</v>
      </c>
      <c r="E5275" s="16" t="str">
        <f>IFERROR(__xludf.DUMMYFUNCTION("""COMPUTED_VALUE"""),"")</f>
        <v/>
      </c>
      <c r="G5275" s="18"/>
      <c r="H5275" s="16" t="s">
        <v>87</v>
      </c>
      <c r="I5275" s="16" t="s">
        <v>87</v>
      </c>
      <c r="J5275" s="19"/>
      <c r="L5275" s="16" t="str">
        <f>IFERROR(__xludf.DUMMYFUNCTION("""COMPUTED_VALUE"""),"")</f>
        <v/>
      </c>
      <c r="M5275" s="16" t="str">
        <f>IFERROR(__xludf.DUMMYFUNCTION("""COMPUTED_VALUE"""),"")</f>
        <v/>
      </c>
      <c r="U5275" s="16" t="s">
        <v>87</v>
      </c>
      <c r="V5275" s="16" t="str">
        <f>IFERROR(__xludf.DUMMYFUNCTION("""COMPUTED_VALUE"""),"")</f>
        <v/>
      </c>
      <c r="W5275" s="16" t="str">
        <f>IFERROR(__xludf.DUMMYFUNCTION("""COMPUTED_VALUE"""),"")</f>
        <v/>
      </c>
      <c r="X5275" s="16" t="str">
        <f>IFERROR(__xludf.DUMMYFUNCTION("""COMPUTED_VALUE"""),"")</f>
        <v/>
      </c>
      <c r="AC5275" s="16" t="str">
        <f>IFERROR(__xludf.DUMMYFUNCTION("""COMPUTED_VALUE"""),"")</f>
        <v/>
      </c>
    </row>
    <row r="5276">
      <c r="A5276" s="16" t="s">
        <v>87</v>
      </c>
      <c r="E5276" s="16" t="str">
        <f>IFERROR(__xludf.DUMMYFUNCTION("""COMPUTED_VALUE"""),"")</f>
        <v/>
      </c>
      <c r="G5276" s="18"/>
      <c r="H5276" s="16" t="s">
        <v>87</v>
      </c>
      <c r="I5276" s="16" t="s">
        <v>87</v>
      </c>
      <c r="J5276" s="19"/>
      <c r="L5276" s="16" t="str">
        <f>IFERROR(__xludf.DUMMYFUNCTION("""COMPUTED_VALUE"""),"")</f>
        <v/>
      </c>
      <c r="M5276" s="16" t="str">
        <f>IFERROR(__xludf.DUMMYFUNCTION("""COMPUTED_VALUE"""),"")</f>
        <v/>
      </c>
      <c r="U5276" s="16" t="s">
        <v>87</v>
      </c>
      <c r="V5276" s="16" t="str">
        <f>IFERROR(__xludf.DUMMYFUNCTION("""COMPUTED_VALUE"""),"")</f>
        <v/>
      </c>
      <c r="W5276" s="16" t="str">
        <f>IFERROR(__xludf.DUMMYFUNCTION("""COMPUTED_VALUE"""),"")</f>
        <v/>
      </c>
      <c r="X5276" s="16" t="str">
        <f>IFERROR(__xludf.DUMMYFUNCTION("""COMPUTED_VALUE"""),"")</f>
        <v/>
      </c>
      <c r="AC5276" s="16" t="str">
        <f>IFERROR(__xludf.DUMMYFUNCTION("""COMPUTED_VALUE"""),"")</f>
        <v/>
      </c>
    </row>
    <row r="5277">
      <c r="A5277" s="16" t="s">
        <v>87</v>
      </c>
      <c r="E5277" s="16" t="str">
        <f>IFERROR(__xludf.DUMMYFUNCTION("""COMPUTED_VALUE"""),"")</f>
        <v/>
      </c>
      <c r="G5277" s="18"/>
      <c r="H5277" s="16" t="s">
        <v>87</v>
      </c>
      <c r="I5277" s="16" t="s">
        <v>87</v>
      </c>
      <c r="J5277" s="19"/>
      <c r="L5277" s="16" t="str">
        <f>IFERROR(__xludf.DUMMYFUNCTION("""COMPUTED_VALUE"""),"")</f>
        <v/>
      </c>
      <c r="M5277" s="16" t="str">
        <f>IFERROR(__xludf.DUMMYFUNCTION("""COMPUTED_VALUE"""),"")</f>
        <v/>
      </c>
      <c r="U5277" s="16" t="s">
        <v>87</v>
      </c>
      <c r="V5277" s="16" t="str">
        <f>IFERROR(__xludf.DUMMYFUNCTION("""COMPUTED_VALUE"""),"")</f>
        <v/>
      </c>
      <c r="W5277" s="16" t="str">
        <f>IFERROR(__xludf.DUMMYFUNCTION("""COMPUTED_VALUE"""),"")</f>
        <v/>
      </c>
      <c r="X5277" s="16" t="str">
        <f>IFERROR(__xludf.DUMMYFUNCTION("""COMPUTED_VALUE"""),"")</f>
        <v/>
      </c>
      <c r="AC5277" s="16" t="str">
        <f>IFERROR(__xludf.DUMMYFUNCTION("""COMPUTED_VALUE"""),"")</f>
        <v/>
      </c>
    </row>
    <row r="5278">
      <c r="A5278" s="16" t="s">
        <v>87</v>
      </c>
      <c r="E5278" s="16" t="str">
        <f>IFERROR(__xludf.DUMMYFUNCTION("""COMPUTED_VALUE"""),"")</f>
        <v/>
      </c>
      <c r="G5278" s="18"/>
      <c r="H5278" s="16" t="s">
        <v>87</v>
      </c>
      <c r="I5278" s="16" t="s">
        <v>87</v>
      </c>
      <c r="J5278" s="19"/>
      <c r="L5278" s="16" t="str">
        <f>IFERROR(__xludf.DUMMYFUNCTION("""COMPUTED_VALUE"""),"")</f>
        <v/>
      </c>
      <c r="M5278" s="16" t="str">
        <f>IFERROR(__xludf.DUMMYFUNCTION("""COMPUTED_VALUE"""),"")</f>
        <v/>
      </c>
      <c r="U5278" s="16" t="s">
        <v>87</v>
      </c>
      <c r="V5278" s="16" t="str">
        <f>IFERROR(__xludf.DUMMYFUNCTION("""COMPUTED_VALUE"""),"")</f>
        <v/>
      </c>
      <c r="W5278" s="16" t="str">
        <f>IFERROR(__xludf.DUMMYFUNCTION("""COMPUTED_VALUE"""),"")</f>
        <v/>
      </c>
      <c r="X5278" s="16" t="str">
        <f>IFERROR(__xludf.DUMMYFUNCTION("""COMPUTED_VALUE"""),"")</f>
        <v/>
      </c>
      <c r="AC5278" s="16" t="str">
        <f>IFERROR(__xludf.DUMMYFUNCTION("""COMPUTED_VALUE"""),"")</f>
        <v/>
      </c>
    </row>
    <row r="5279">
      <c r="A5279" s="16" t="s">
        <v>87</v>
      </c>
      <c r="E5279" s="16" t="str">
        <f>IFERROR(__xludf.DUMMYFUNCTION("""COMPUTED_VALUE"""),"")</f>
        <v/>
      </c>
      <c r="G5279" s="18"/>
      <c r="H5279" s="16" t="s">
        <v>87</v>
      </c>
      <c r="I5279" s="16" t="s">
        <v>87</v>
      </c>
      <c r="J5279" s="19"/>
      <c r="L5279" s="16" t="str">
        <f>IFERROR(__xludf.DUMMYFUNCTION("""COMPUTED_VALUE"""),"")</f>
        <v/>
      </c>
      <c r="M5279" s="16" t="str">
        <f>IFERROR(__xludf.DUMMYFUNCTION("""COMPUTED_VALUE"""),"")</f>
        <v/>
      </c>
      <c r="U5279" s="16" t="s">
        <v>87</v>
      </c>
      <c r="V5279" s="16" t="str">
        <f>IFERROR(__xludf.DUMMYFUNCTION("""COMPUTED_VALUE"""),"")</f>
        <v/>
      </c>
      <c r="W5279" s="16" t="str">
        <f>IFERROR(__xludf.DUMMYFUNCTION("""COMPUTED_VALUE"""),"")</f>
        <v/>
      </c>
      <c r="X5279" s="16" t="str">
        <f>IFERROR(__xludf.DUMMYFUNCTION("""COMPUTED_VALUE"""),"")</f>
        <v/>
      </c>
      <c r="AC5279" s="16" t="str">
        <f>IFERROR(__xludf.DUMMYFUNCTION("""COMPUTED_VALUE"""),"")</f>
        <v/>
      </c>
    </row>
    <row r="5280">
      <c r="A5280" s="16" t="s">
        <v>87</v>
      </c>
      <c r="E5280" s="16" t="str">
        <f>IFERROR(__xludf.DUMMYFUNCTION("""COMPUTED_VALUE"""),"")</f>
        <v/>
      </c>
      <c r="G5280" s="18"/>
      <c r="H5280" s="16" t="s">
        <v>87</v>
      </c>
      <c r="I5280" s="16" t="s">
        <v>87</v>
      </c>
      <c r="J5280" s="19"/>
      <c r="L5280" s="16" t="str">
        <f>IFERROR(__xludf.DUMMYFUNCTION("""COMPUTED_VALUE"""),"")</f>
        <v/>
      </c>
      <c r="M5280" s="16" t="str">
        <f>IFERROR(__xludf.DUMMYFUNCTION("""COMPUTED_VALUE"""),"")</f>
        <v/>
      </c>
      <c r="U5280" s="16" t="s">
        <v>87</v>
      </c>
      <c r="V5280" s="16" t="str">
        <f>IFERROR(__xludf.DUMMYFUNCTION("""COMPUTED_VALUE"""),"")</f>
        <v/>
      </c>
      <c r="W5280" s="16" t="str">
        <f>IFERROR(__xludf.DUMMYFUNCTION("""COMPUTED_VALUE"""),"")</f>
        <v/>
      </c>
      <c r="X5280" s="16" t="str">
        <f>IFERROR(__xludf.DUMMYFUNCTION("""COMPUTED_VALUE"""),"")</f>
        <v/>
      </c>
      <c r="AC5280" s="16" t="str">
        <f>IFERROR(__xludf.DUMMYFUNCTION("""COMPUTED_VALUE"""),"")</f>
        <v/>
      </c>
    </row>
    <row r="5281">
      <c r="A5281" s="16" t="s">
        <v>87</v>
      </c>
      <c r="E5281" s="16" t="str">
        <f>IFERROR(__xludf.DUMMYFUNCTION("""COMPUTED_VALUE"""),"")</f>
        <v/>
      </c>
      <c r="G5281" s="18"/>
      <c r="H5281" s="16" t="s">
        <v>87</v>
      </c>
      <c r="I5281" s="16" t="s">
        <v>87</v>
      </c>
      <c r="J5281" s="19"/>
      <c r="L5281" s="16" t="str">
        <f>IFERROR(__xludf.DUMMYFUNCTION("""COMPUTED_VALUE"""),"")</f>
        <v/>
      </c>
      <c r="M5281" s="16" t="str">
        <f>IFERROR(__xludf.DUMMYFUNCTION("""COMPUTED_VALUE"""),"")</f>
        <v/>
      </c>
      <c r="U5281" s="16" t="s">
        <v>87</v>
      </c>
      <c r="V5281" s="16" t="str">
        <f>IFERROR(__xludf.DUMMYFUNCTION("""COMPUTED_VALUE"""),"")</f>
        <v/>
      </c>
      <c r="W5281" s="16" t="str">
        <f>IFERROR(__xludf.DUMMYFUNCTION("""COMPUTED_VALUE"""),"")</f>
        <v/>
      </c>
      <c r="X5281" s="16" t="str">
        <f>IFERROR(__xludf.DUMMYFUNCTION("""COMPUTED_VALUE"""),"")</f>
        <v/>
      </c>
      <c r="AC5281" s="16" t="str">
        <f>IFERROR(__xludf.DUMMYFUNCTION("""COMPUTED_VALUE"""),"")</f>
        <v/>
      </c>
    </row>
    <row r="5282">
      <c r="A5282" s="16" t="s">
        <v>87</v>
      </c>
      <c r="E5282" s="16" t="str">
        <f>IFERROR(__xludf.DUMMYFUNCTION("""COMPUTED_VALUE"""),"")</f>
        <v/>
      </c>
      <c r="G5282" s="18"/>
      <c r="H5282" s="16" t="s">
        <v>87</v>
      </c>
      <c r="I5282" s="16" t="s">
        <v>87</v>
      </c>
      <c r="J5282" s="19"/>
      <c r="L5282" s="16" t="str">
        <f>IFERROR(__xludf.DUMMYFUNCTION("""COMPUTED_VALUE"""),"")</f>
        <v/>
      </c>
      <c r="M5282" s="16" t="str">
        <f>IFERROR(__xludf.DUMMYFUNCTION("""COMPUTED_VALUE"""),"")</f>
        <v/>
      </c>
      <c r="U5282" s="16" t="s">
        <v>87</v>
      </c>
      <c r="V5282" s="16" t="str">
        <f>IFERROR(__xludf.DUMMYFUNCTION("""COMPUTED_VALUE"""),"")</f>
        <v/>
      </c>
      <c r="W5282" s="16" t="str">
        <f>IFERROR(__xludf.DUMMYFUNCTION("""COMPUTED_VALUE"""),"")</f>
        <v/>
      </c>
      <c r="X5282" s="16" t="str">
        <f>IFERROR(__xludf.DUMMYFUNCTION("""COMPUTED_VALUE"""),"")</f>
        <v/>
      </c>
      <c r="AC5282" s="16" t="str">
        <f>IFERROR(__xludf.DUMMYFUNCTION("""COMPUTED_VALUE"""),"")</f>
        <v/>
      </c>
    </row>
    <row r="5283">
      <c r="A5283" s="16" t="s">
        <v>87</v>
      </c>
      <c r="E5283" s="16" t="str">
        <f>IFERROR(__xludf.DUMMYFUNCTION("""COMPUTED_VALUE"""),"")</f>
        <v/>
      </c>
      <c r="G5283" s="18"/>
      <c r="H5283" s="16" t="s">
        <v>87</v>
      </c>
      <c r="I5283" s="16" t="s">
        <v>87</v>
      </c>
      <c r="J5283" s="19"/>
      <c r="L5283" s="16" t="str">
        <f>IFERROR(__xludf.DUMMYFUNCTION("""COMPUTED_VALUE"""),"")</f>
        <v/>
      </c>
      <c r="M5283" s="16" t="str">
        <f>IFERROR(__xludf.DUMMYFUNCTION("""COMPUTED_VALUE"""),"")</f>
        <v/>
      </c>
      <c r="U5283" s="16" t="s">
        <v>87</v>
      </c>
      <c r="V5283" s="16" t="str">
        <f>IFERROR(__xludf.DUMMYFUNCTION("""COMPUTED_VALUE"""),"")</f>
        <v/>
      </c>
      <c r="W5283" s="16" t="str">
        <f>IFERROR(__xludf.DUMMYFUNCTION("""COMPUTED_VALUE"""),"")</f>
        <v/>
      </c>
      <c r="X5283" s="16" t="str">
        <f>IFERROR(__xludf.DUMMYFUNCTION("""COMPUTED_VALUE"""),"")</f>
        <v/>
      </c>
      <c r="AC5283" s="16" t="str">
        <f>IFERROR(__xludf.DUMMYFUNCTION("""COMPUTED_VALUE"""),"")</f>
        <v/>
      </c>
    </row>
    <row r="5284">
      <c r="A5284" s="16" t="s">
        <v>87</v>
      </c>
      <c r="E5284" s="16" t="str">
        <f>IFERROR(__xludf.DUMMYFUNCTION("""COMPUTED_VALUE"""),"")</f>
        <v/>
      </c>
      <c r="G5284" s="18"/>
      <c r="H5284" s="16" t="s">
        <v>87</v>
      </c>
      <c r="I5284" s="16" t="s">
        <v>87</v>
      </c>
      <c r="J5284" s="19"/>
      <c r="L5284" s="16" t="str">
        <f>IFERROR(__xludf.DUMMYFUNCTION("""COMPUTED_VALUE"""),"")</f>
        <v/>
      </c>
      <c r="M5284" s="16" t="str">
        <f>IFERROR(__xludf.DUMMYFUNCTION("""COMPUTED_VALUE"""),"")</f>
        <v/>
      </c>
      <c r="U5284" s="16" t="s">
        <v>87</v>
      </c>
      <c r="V5284" s="16" t="str">
        <f>IFERROR(__xludf.DUMMYFUNCTION("""COMPUTED_VALUE"""),"")</f>
        <v/>
      </c>
      <c r="W5284" s="16" t="str">
        <f>IFERROR(__xludf.DUMMYFUNCTION("""COMPUTED_VALUE"""),"")</f>
        <v/>
      </c>
      <c r="X5284" s="16" t="str">
        <f>IFERROR(__xludf.DUMMYFUNCTION("""COMPUTED_VALUE"""),"")</f>
        <v/>
      </c>
      <c r="AC5284" s="16" t="str">
        <f>IFERROR(__xludf.DUMMYFUNCTION("""COMPUTED_VALUE"""),"")</f>
        <v/>
      </c>
    </row>
    <row r="5285">
      <c r="A5285" s="16" t="s">
        <v>87</v>
      </c>
      <c r="E5285" s="16" t="str">
        <f>IFERROR(__xludf.DUMMYFUNCTION("""COMPUTED_VALUE"""),"")</f>
        <v/>
      </c>
      <c r="G5285" s="18"/>
      <c r="H5285" s="16" t="s">
        <v>87</v>
      </c>
      <c r="I5285" s="16" t="s">
        <v>87</v>
      </c>
      <c r="J5285" s="19"/>
      <c r="L5285" s="16" t="str">
        <f>IFERROR(__xludf.DUMMYFUNCTION("""COMPUTED_VALUE"""),"")</f>
        <v/>
      </c>
      <c r="M5285" s="16" t="str">
        <f>IFERROR(__xludf.DUMMYFUNCTION("""COMPUTED_VALUE"""),"")</f>
        <v/>
      </c>
      <c r="U5285" s="16" t="s">
        <v>87</v>
      </c>
      <c r="V5285" s="16" t="str">
        <f>IFERROR(__xludf.DUMMYFUNCTION("""COMPUTED_VALUE"""),"")</f>
        <v/>
      </c>
      <c r="W5285" s="16" t="str">
        <f>IFERROR(__xludf.DUMMYFUNCTION("""COMPUTED_VALUE"""),"")</f>
        <v/>
      </c>
      <c r="X5285" s="16" t="str">
        <f>IFERROR(__xludf.DUMMYFUNCTION("""COMPUTED_VALUE"""),"")</f>
        <v/>
      </c>
      <c r="AC5285" s="16" t="str">
        <f>IFERROR(__xludf.DUMMYFUNCTION("""COMPUTED_VALUE"""),"")</f>
        <v/>
      </c>
    </row>
    <row r="5286">
      <c r="A5286" s="16" t="s">
        <v>87</v>
      </c>
      <c r="E5286" s="16" t="str">
        <f>IFERROR(__xludf.DUMMYFUNCTION("""COMPUTED_VALUE"""),"")</f>
        <v/>
      </c>
      <c r="G5286" s="18"/>
      <c r="H5286" s="16" t="s">
        <v>87</v>
      </c>
      <c r="I5286" s="16" t="s">
        <v>87</v>
      </c>
      <c r="J5286" s="19"/>
      <c r="L5286" s="16" t="str">
        <f>IFERROR(__xludf.DUMMYFUNCTION("""COMPUTED_VALUE"""),"")</f>
        <v/>
      </c>
      <c r="M5286" s="16" t="str">
        <f>IFERROR(__xludf.DUMMYFUNCTION("""COMPUTED_VALUE"""),"")</f>
        <v/>
      </c>
      <c r="U5286" s="16" t="s">
        <v>87</v>
      </c>
      <c r="V5286" s="16" t="str">
        <f>IFERROR(__xludf.DUMMYFUNCTION("""COMPUTED_VALUE"""),"")</f>
        <v/>
      </c>
      <c r="W5286" s="16" t="str">
        <f>IFERROR(__xludf.DUMMYFUNCTION("""COMPUTED_VALUE"""),"")</f>
        <v/>
      </c>
      <c r="X5286" s="16" t="str">
        <f>IFERROR(__xludf.DUMMYFUNCTION("""COMPUTED_VALUE"""),"")</f>
        <v/>
      </c>
      <c r="AC5286" s="16" t="str">
        <f>IFERROR(__xludf.DUMMYFUNCTION("""COMPUTED_VALUE"""),"")</f>
        <v/>
      </c>
    </row>
    <row r="5287">
      <c r="A5287" s="16" t="s">
        <v>87</v>
      </c>
      <c r="E5287" s="16" t="str">
        <f>IFERROR(__xludf.DUMMYFUNCTION("""COMPUTED_VALUE"""),"")</f>
        <v/>
      </c>
      <c r="G5287" s="18"/>
      <c r="H5287" s="16" t="s">
        <v>87</v>
      </c>
      <c r="I5287" s="16" t="s">
        <v>87</v>
      </c>
      <c r="J5287" s="19"/>
      <c r="L5287" s="16" t="str">
        <f>IFERROR(__xludf.DUMMYFUNCTION("""COMPUTED_VALUE"""),"")</f>
        <v/>
      </c>
      <c r="M5287" s="16" t="str">
        <f>IFERROR(__xludf.DUMMYFUNCTION("""COMPUTED_VALUE"""),"")</f>
        <v/>
      </c>
      <c r="U5287" s="16" t="s">
        <v>87</v>
      </c>
      <c r="V5287" s="16" t="str">
        <f>IFERROR(__xludf.DUMMYFUNCTION("""COMPUTED_VALUE"""),"")</f>
        <v/>
      </c>
      <c r="W5287" s="16" t="str">
        <f>IFERROR(__xludf.DUMMYFUNCTION("""COMPUTED_VALUE"""),"")</f>
        <v/>
      </c>
      <c r="X5287" s="16" t="str">
        <f>IFERROR(__xludf.DUMMYFUNCTION("""COMPUTED_VALUE"""),"")</f>
        <v/>
      </c>
      <c r="AC5287" s="16" t="str">
        <f>IFERROR(__xludf.DUMMYFUNCTION("""COMPUTED_VALUE"""),"")</f>
        <v/>
      </c>
    </row>
    <row r="5288">
      <c r="A5288" s="16" t="s">
        <v>87</v>
      </c>
      <c r="E5288" s="16" t="str">
        <f>IFERROR(__xludf.DUMMYFUNCTION("""COMPUTED_VALUE"""),"")</f>
        <v/>
      </c>
      <c r="G5288" s="18"/>
      <c r="H5288" s="16" t="s">
        <v>87</v>
      </c>
      <c r="I5288" s="16" t="s">
        <v>87</v>
      </c>
      <c r="J5288" s="19"/>
      <c r="L5288" s="16" t="str">
        <f>IFERROR(__xludf.DUMMYFUNCTION("""COMPUTED_VALUE"""),"")</f>
        <v/>
      </c>
      <c r="M5288" s="16" t="str">
        <f>IFERROR(__xludf.DUMMYFUNCTION("""COMPUTED_VALUE"""),"")</f>
        <v/>
      </c>
      <c r="U5288" s="16" t="s">
        <v>87</v>
      </c>
      <c r="V5288" s="16" t="str">
        <f>IFERROR(__xludf.DUMMYFUNCTION("""COMPUTED_VALUE"""),"")</f>
        <v/>
      </c>
      <c r="W5288" s="16" t="str">
        <f>IFERROR(__xludf.DUMMYFUNCTION("""COMPUTED_VALUE"""),"")</f>
        <v/>
      </c>
      <c r="X5288" s="16" t="str">
        <f>IFERROR(__xludf.DUMMYFUNCTION("""COMPUTED_VALUE"""),"")</f>
        <v/>
      </c>
      <c r="AC5288" s="16" t="str">
        <f>IFERROR(__xludf.DUMMYFUNCTION("""COMPUTED_VALUE"""),"")</f>
        <v/>
      </c>
    </row>
    <row r="5289">
      <c r="A5289" s="16" t="s">
        <v>87</v>
      </c>
      <c r="E5289" s="16" t="str">
        <f>IFERROR(__xludf.DUMMYFUNCTION("""COMPUTED_VALUE"""),"")</f>
        <v/>
      </c>
      <c r="G5289" s="18"/>
      <c r="H5289" s="16" t="s">
        <v>87</v>
      </c>
      <c r="I5289" s="16" t="s">
        <v>87</v>
      </c>
      <c r="J5289" s="19"/>
      <c r="L5289" s="16" t="str">
        <f>IFERROR(__xludf.DUMMYFUNCTION("""COMPUTED_VALUE"""),"")</f>
        <v/>
      </c>
      <c r="M5289" s="16" t="str">
        <f>IFERROR(__xludf.DUMMYFUNCTION("""COMPUTED_VALUE"""),"")</f>
        <v/>
      </c>
      <c r="U5289" s="16" t="s">
        <v>87</v>
      </c>
      <c r="V5289" s="16" t="str">
        <f>IFERROR(__xludf.DUMMYFUNCTION("""COMPUTED_VALUE"""),"")</f>
        <v/>
      </c>
      <c r="W5289" s="16" t="str">
        <f>IFERROR(__xludf.DUMMYFUNCTION("""COMPUTED_VALUE"""),"")</f>
        <v/>
      </c>
      <c r="X5289" s="16" t="str">
        <f>IFERROR(__xludf.DUMMYFUNCTION("""COMPUTED_VALUE"""),"")</f>
        <v/>
      </c>
      <c r="AC5289" s="16" t="str">
        <f>IFERROR(__xludf.DUMMYFUNCTION("""COMPUTED_VALUE"""),"")</f>
        <v/>
      </c>
    </row>
    <row r="5290">
      <c r="A5290" s="16" t="s">
        <v>87</v>
      </c>
      <c r="E5290" s="16" t="str">
        <f>IFERROR(__xludf.DUMMYFUNCTION("""COMPUTED_VALUE"""),"")</f>
        <v/>
      </c>
      <c r="G5290" s="18"/>
      <c r="H5290" s="16" t="s">
        <v>87</v>
      </c>
      <c r="I5290" s="16" t="s">
        <v>87</v>
      </c>
      <c r="J5290" s="19"/>
      <c r="L5290" s="16" t="str">
        <f>IFERROR(__xludf.DUMMYFUNCTION("""COMPUTED_VALUE"""),"")</f>
        <v/>
      </c>
      <c r="M5290" s="16" t="str">
        <f>IFERROR(__xludf.DUMMYFUNCTION("""COMPUTED_VALUE"""),"")</f>
        <v/>
      </c>
      <c r="U5290" s="16" t="s">
        <v>87</v>
      </c>
      <c r="V5290" s="16" t="str">
        <f>IFERROR(__xludf.DUMMYFUNCTION("""COMPUTED_VALUE"""),"")</f>
        <v/>
      </c>
      <c r="W5290" s="16" t="str">
        <f>IFERROR(__xludf.DUMMYFUNCTION("""COMPUTED_VALUE"""),"")</f>
        <v/>
      </c>
      <c r="X5290" s="16" t="str">
        <f>IFERROR(__xludf.DUMMYFUNCTION("""COMPUTED_VALUE"""),"")</f>
        <v/>
      </c>
      <c r="AC5290" s="16" t="str">
        <f>IFERROR(__xludf.DUMMYFUNCTION("""COMPUTED_VALUE"""),"")</f>
        <v/>
      </c>
    </row>
    <row r="5291">
      <c r="A5291" s="16" t="s">
        <v>87</v>
      </c>
      <c r="E5291" s="16" t="str">
        <f>IFERROR(__xludf.DUMMYFUNCTION("""COMPUTED_VALUE"""),"")</f>
        <v/>
      </c>
      <c r="G5291" s="18"/>
      <c r="H5291" s="16" t="s">
        <v>87</v>
      </c>
      <c r="I5291" s="16" t="s">
        <v>87</v>
      </c>
      <c r="J5291" s="19"/>
      <c r="L5291" s="16" t="str">
        <f>IFERROR(__xludf.DUMMYFUNCTION("""COMPUTED_VALUE"""),"")</f>
        <v/>
      </c>
      <c r="M5291" s="16" t="str">
        <f>IFERROR(__xludf.DUMMYFUNCTION("""COMPUTED_VALUE"""),"")</f>
        <v/>
      </c>
      <c r="U5291" s="16" t="s">
        <v>87</v>
      </c>
      <c r="V5291" s="16" t="str">
        <f>IFERROR(__xludf.DUMMYFUNCTION("""COMPUTED_VALUE"""),"")</f>
        <v/>
      </c>
      <c r="W5291" s="16" t="str">
        <f>IFERROR(__xludf.DUMMYFUNCTION("""COMPUTED_VALUE"""),"")</f>
        <v/>
      </c>
      <c r="X5291" s="16" t="str">
        <f>IFERROR(__xludf.DUMMYFUNCTION("""COMPUTED_VALUE"""),"")</f>
        <v/>
      </c>
      <c r="AC5291" s="16" t="str">
        <f>IFERROR(__xludf.DUMMYFUNCTION("""COMPUTED_VALUE"""),"")</f>
        <v/>
      </c>
    </row>
    <row r="5292">
      <c r="A5292" s="16" t="s">
        <v>87</v>
      </c>
      <c r="E5292" s="16" t="str">
        <f>IFERROR(__xludf.DUMMYFUNCTION("""COMPUTED_VALUE"""),"")</f>
        <v/>
      </c>
      <c r="G5292" s="18"/>
      <c r="H5292" s="16" t="s">
        <v>87</v>
      </c>
      <c r="I5292" s="16" t="s">
        <v>87</v>
      </c>
      <c r="J5292" s="19"/>
      <c r="L5292" s="16" t="str">
        <f>IFERROR(__xludf.DUMMYFUNCTION("""COMPUTED_VALUE"""),"")</f>
        <v/>
      </c>
      <c r="M5292" s="16" t="str">
        <f>IFERROR(__xludf.DUMMYFUNCTION("""COMPUTED_VALUE"""),"")</f>
        <v/>
      </c>
      <c r="U5292" s="16" t="s">
        <v>87</v>
      </c>
      <c r="V5292" s="16" t="str">
        <f>IFERROR(__xludf.DUMMYFUNCTION("""COMPUTED_VALUE"""),"")</f>
        <v/>
      </c>
      <c r="W5292" s="16" t="str">
        <f>IFERROR(__xludf.DUMMYFUNCTION("""COMPUTED_VALUE"""),"")</f>
        <v/>
      </c>
      <c r="X5292" s="16" t="str">
        <f>IFERROR(__xludf.DUMMYFUNCTION("""COMPUTED_VALUE"""),"")</f>
        <v/>
      </c>
      <c r="AC5292" s="16" t="str">
        <f>IFERROR(__xludf.DUMMYFUNCTION("""COMPUTED_VALUE"""),"")</f>
        <v/>
      </c>
    </row>
    <row r="5293">
      <c r="A5293" s="16" t="s">
        <v>87</v>
      </c>
      <c r="E5293" s="16" t="str">
        <f>IFERROR(__xludf.DUMMYFUNCTION("""COMPUTED_VALUE"""),"")</f>
        <v/>
      </c>
      <c r="G5293" s="18"/>
      <c r="H5293" s="16" t="s">
        <v>87</v>
      </c>
      <c r="I5293" s="16" t="s">
        <v>87</v>
      </c>
      <c r="J5293" s="19"/>
      <c r="L5293" s="16" t="str">
        <f>IFERROR(__xludf.DUMMYFUNCTION("""COMPUTED_VALUE"""),"")</f>
        <v/>
      </c>
      <c r="M5293" s="16" t="str">
        <f>IFERROR(__xludf.DUMMYFUNCTION("""COMPUTED_VALUE"""),"")</f>
        <v/>
      </c>
      <c r="U5293" s="16" t="s">
        <v>87</v>
      </c>
      <c r="V5293" s="16" t="str">
        <f>IFERROR(__xludf.DUMMYFUNCTION("""COMPUTED_VALUE"""),"")</f>
        <v/>
      </c>
      <c r="W5293" s="16" t="str">
        <f>IFERROR(__xludf.DUMMYFUNCTION("""COMPUTED_VALUE"""),"")</f>
        <v/>
      </c>
      <c r="X5293" s="16" t="str">
        <f>IFERROR(__xludf.DUMMYFUNCTION("""COMPUTED_VALUE"""),"")</f>
        <v/>
      </c>
      <c r="AC5293" s="16" t="str">
        <f>IFERROR(__xludf.DUMMYFUNCTION("""COMPUTED_VALUE"""),"")</f>
        <v/>
      </c>
    </row>
    <row r="5294">
      <c r="A5294" s="16" t="s">
        <v>87</v>
      </c>
      <c r="E5294" s="16" t="str">
        <f>IFERROR(__xludf.DUMMYFUNCTION("""COMPUTED_VALUE"""),"")</f>
        <v/>
      </c>
      <c r="G5294" s="18"/>
      <c r="H5294" s="16" t="s">
        <v>87</v>
      </c>
      <c r="I5294" s="16" t="s">
        <v>87</v>
      </c>
      <c r="J5294" s="19"/>
      <c r="L5294" s="16" t="str">
        <f>IFERROR(__xludf.DUMMYFUNCTION("""COMPUTED_VALUE"""),"")</f>
        <v/>
      </c>
      <c r="M5294" s="16" t="str">
        <f>IFERROR(__xludf.DUMMYFUNCTION("""COMPUTED_VALUE"""),"")</f>
        <v/>
      </c>
      <c r="U5294" s="16" t="s">
        <v>87</v>
      </c>
      <c r="V5294" s="16" t="str">
        <f>IFERROR(__xludf.DUMMYFUNCTION("""COMPUTED_VALUE"""),"")</f>
        <v/>
      </c>
      <c r="W5294" s="16" t="str">
        <f>IFERROR(__xludf.DUMMYFUNCTION("""COMPUTED_VALUE"""),"")</f>
        <v/>
      </c>
      <c r="X5294" s="16" t="str">
        <f>IFERROR(__xludf.DUMMYFUNCTION("""COMPUTED_VALUE"""),"")</f>
        <v/>
      </c>
      <c r="AC5294" s="16" t="str">
        <f>IFERROR(__xludf.DUMMYFUNCTION("""COMPUTED_VALUE"""),"")</f>
        <v/>
      </c>
    </row>
    <row r="5295">
      <c r="A5295" s="16" t="s">
        <v>87</v>
      </c>
      <c r="E5295" s="16" t="str">
        <f>IFERROR(__xludf.DUMMYFUNCTION("""COMPUTED_VALUE"""),"")</f>
        <v/>
      </c>
      <c r="G5295" s="18"/>
      <c r="H5295" s="16" t="s">
        <v>87</v>
      </c>
      <c r="I5295" s="16" t="s">
        <v>87</v>
      </c>
      <c r="J5295" s="19"/>
      <c r="L5295" s="16" t="str">
        <f>IFERROR(__xludf.DUMMYFUNCTION("""COMPUTED_VALUE"""),"")</f>
        <v/>
      </c>
      <c r="M5295" s="16" t="str">
        <f>IFERROR(__xludf.DUMMYFUNCTION("""COMPUTED_VALUE"""),"")</f>
        <v/>
      </c>
      <c r="U5295" s="16" t="s">
        <v>87</v>
      </c>
      <c r="V5295" s="16" t="str">
        <f>IFERROR(__xludf.DUMMYFUNCTION("""COMPUTED_VALUE"""),"")</f>
        <v/>
      </c>
      <c r="W5295" s="16" t="str">
        <f>IFERROR(__xludf.DUMMYFUNCTION("""COMPUTED_VALUE"""),"")</f>
        <v/>
      </c>
      <c r="X5295" s="16" t="str">
        <f>IFERROR(__xludf.DUMMYFUNCTION("""COMPUTED_VALUE"""),"")</f>
        <v/>
      </c>
      <c r="AC5295" s="16" t="str">
        <f>IFERROR(__xludf.DUMMYFUNCTION("""COMPUTED_VALUE"""),"")</f>
        <v/>
      </c>
    </row>
    <row r="5296">
      <c r="A5296" s="16" t="s">
        <v>87</v>
      </c>
      <c r="E5296" s="16" t="str">
        <f>IFERROR(__xludf.DUMMYFUNCTION("""COMPUTED_VALUE"""),"")</f>
        <v/>
      </c>
      <c r="G5296" s="18"/>
      <c r="H5296" s="16" t="s">
        <v>87</v>
      </c>
      <c r="I5296" s="16" t="s">
        <v>87</v>
      </c>
      <c r="J5296" s="19"/>
      <c r="L5296" s="16" t="str">
        <f>IFERROR(__xludf.DUMMYFUNCTION("""COMPUTED_VALUE"""),"")</f>
        <v/>
      </c>
      <c r="M5296" s="16" t="str">
        <f>IFERROR(__xludf.DUMMYFUNCTION("""COMPUTED_VALUE"""),"")</f>
        <v/>
      </c>
      <c r="U5296" s="16" t="s">
        <v>87</v>
      </c>
      <c r="V5296" s="16" t="str">
        <f>IFERROR(__xludf.DUMMYFUNCTION("""COMPUTED_VALUE"""),"")</f>
        <v/>
      </c>
      <c r="W5296" s="16" t="str">
        <f>IFERROR(__xludf.DUMMYFUNCTION("""COMPUTED_VALUE"""),"")</f>
        <v/>
      </c>
      <c r="X5296" s="16" t="str">
        <f>IFERROR(__xludf.DUMMYFUNCTION("""COMPUTED_VALUE"""),"")</f>
        <v/>
      </c>
      <c r="AC5296" s="16" t="str">
        <f>IFERROR(__xludf.DUMMYFUNCTION("""COMPUTED_VALUE"""),"")</f>
        <v/>
      </c>
    </row>
    <row r="5297">
      <c r="A5297" s="16" t="s">
        <v>87</v>
      </c>
      <c r="E5297" s="16" t="str">
        <f>IFERROR(__xludf.DUMMYFUNCTION("""COMPUTED_VALUE"""),"")</f>
        <v/>
      </c>
      <c r="G5297" s="18"/>
      <c r="H5297" s="16" t="s">
        <v>87</v>
      </c>
      <c r="I5297" s="16" t="s">
        <v>87</v>
      </c>
      <c r="J5297" s="19"/>
      <c r="L5297" s="16" t="str">
        <f>IFERROR(__xludf.DUMMYFUNCTION("""COMPUTED_VALUE"""),"")</f>
        <v/>
      </c>
      <c r="M5297" s="16" t="str">
        <f>IFERROR(__xludf.DUMMYFUNCTION("""COMPUTED_VALUE"""),"")</f>
        <v/>
      </c>
      <c r="U5297" s="16" t="s">
        <v>87</v>
      </c>
      <c r="V5297" s="16" t="str">
        <f>IFERROR(__xludf.DUMMYFUNCTION("""COMPUTED_VALUE"""),"")</f>
        <v/>
      </c>
      <c r="W5297" s="16" t="str">
        <f>IFERROR(__xludf.DUMMYFUNCTION("""COMPUTED_VALUE"""),"")</f>
        <v/>
      </c>
      <c r="X5297" s="16" t="str">
        <f>IFERROR(__xludf.DUMMYFUNCTION("""COMPUTED_VALUE"""),"")</f>
        <v/>
      </c>
      <c r="AC5297" s="16" t="str">
        <f>IFERROR(__xludf.DUMMYFUNCTION("""COMPUTED_VALUE"""),"")</f>
        <v/>
      </c>
    </row>
    <row r="5298">
      <c r="A5298" s="16" t="s">
        <v>87</v>
      </c>
      <c r="E5298" s="16" t="str">
        <f>IFERROR(__xludf.DUMMYFUNCTION("""COMPUTED_VALUE"""),"")</f>
        <v/>
      </c>
      <c r="G5298" s="18"/>
      <c r="H5298" s="16" t="s">
        <v>87</v>
      </c>
      <c r="I5298" s="16" t="s">
        <v>87</v>
      </c>
      <c r="J5298" s="19"/>
      <c r="L5298" s="16" t="str">
        <f>IFERROR(__xludf.DUMMYFUNCTION("""COMPUTED_VALUE"""),"")</f>
        <v/>
      </c>
      <c r="M5298" s="16" t="str">
        <f>IFERROR(__xludf.DUMMYFUNCTION("""COMPUTED_VALUE"""),"")</f>
        <v/>
      </c>
      <c r="U5298" s="16" t="s">
        <v>87</v>
      </c>
      <c r="V5298" s="16" t="str">
        <f>IFERROR(__xludf.DUMMYFUNCTION("""COMPUTED_VALUE"""),"")</f>
        <v/>
      </c>
      <c r="W5298" s="16" t="str">
        <f>IFERROR(__xludf.DUMMYFUNCTION("""COMPUTED_VALUE"""),"")</f>
        <v/>
      </c>
      <c r="X5298" s="16" t="str">
        <f>IFERROR(__xludf.DUMMYFUNCTION("""COMPUTED_VALUE"""),"")</f>
        <v/>
      </c>
      <c r="AC5298" s="16" t="str">
        <f>IFERROR(__xludf.DUMMYFUNCTION("""COMPUTED_VALUE"""),"")</f>
        <v/>
      </c>
    </row>
    <row r="5299">
      <c r="A5299" s="16" t="s">
        <v>87</v>
      </c>
      <c r="E5299" s="16" t="str">
        <f>IFERROR(__xludf.DUMMYFUNCTION("""COMPUTED_VALUE"""),"")</f>
        <v/>
      </c>
      <c r="G5299" s="18"/>
      <c r="H5299" s="16" t="s">
        <v>87</v>
      </c>
      <c r="I5299" s="16" t="s">
        <v>87</v>
      </c>
      <c r="J5299" s="19"/>
      <c r="L5299" s="16" t="str">
        <f>IFERROR(__xludf.DUMMYFUNCTION("""COMPUTED_VALUE"""),"")</f>
        <v/>
      </c>
      <c r="M5299" s="16" t="str">
        <f>IFERROR(__xludf.DUMMYFUNCTION("""COMPUTED_VALUE"""),"")</f>
        <v/>
      </c>
      <c r="U5299" s="16" t="s">
        <v>87</v>
      </c>
      <c r="V5299" s="16" t="str">
        <f>IFERROR(__xludf.DUMMYFUNCTION("""COMPUTED_VALUE"""),"")</f>
        <v/>
      </c>
      <c r="W5299" s="16" t="str">
        <f>IFERROR(__xludf.DUMMYFUNCTION("""COMPUTED_VALUE"""),"")</f>
        <v/>
      </c>
      <c r="X5299" s="16" t="str">
        <f>IFERROR(__xludf.DUMMYFUNCTION("""COMPUTED_VALUE"""),"")</f>
        <v/>
      </c>
      <c r="AC5299" s="16" t="str">
        <f>IFERROR(__xludf.DUMMYFUNCTION("""COMPUTED_VALUE"""),"")</f>
        <v/>
      </c>
    </row>
    <row r="5300">
      <c r="A5300" s="16" t="s">
        <v>87</v>
      </c>
      <c r="E5300" s="16" t="str">
        <f>IFERROR(__xludf.DUMMYFUNCTION("""COMPUTED_VALUE"""),"")</f>
        <v/>
      </c>
      <c r="G5300" s="18"/>
      <c r="H5300" s="16" t="s">
        <v>87</v>
      </c>
      <c r="I5300" s="16" t="s">
        <v>87</v>
      </c>
      <c r="J5300" s="19"/>
      <c r="L5300" s="16" t="str">
        <f>IFERROR(__xludf.DUMMYFUNCTION("""COMPUTED_VALUE"""),"")</f>
        <v/>
      </c>
      <c r="M5300" s="16" t="str">
        <f>IFERROR(__xludf.DUMMYFUNCTION("""COMPUTED_VALUE"""),"")</f>
        <v/>
      </c>
      <c r="U5300" s="16" t="s">
        <v>87</v>
      </c>
      <c r="V5300" s="16" t="str">
        <f>IFERROR(__xludf.DUMMYFUNCTION("""COMPUTED_VALUE"""),"")</f>
        <v/>
      </c>
      <c r="W5300" s="16" t="str">
        <f>IFERROR(__xludf.DUMMYFUNCTION("""COMPUTED_VALUE"""),"")</f>
        <v/>
      </c>
      <c r="X5300" s="16" t="str">
        <f>IFERROR(__xludf.DUMMYFUNCTION("""COMPUTED_VALUE"""),"")</f>
        <v/>
      </c>
      <c r="AC5300" s="16" t="str">
        <f>IFERROR(__xludf.DUMMYFUNCTION("""COMPUTED_VALUE"""),"")</f>
        <v/>
      </c>
    </row>
    <row r="5301">
      <c r="A5301" s="16" t="s">
        <v>87</v>
      </c>
      <c r="E5301" s="16" t="str">
        <f>IFERROR(__xludf.DUMMYFUNCTION("""COMPUTED_VALUE"""),"")</f>
        <v/>
      </c>
      <c r="G5301" s="18"/>
      <c r="H5301" s="16" t="s">
        <v>87</v>
      </c>
      <c r="I5301" s="16" t="s">
        <v>87</v>
      </c>
      <c r="J5301" s="19"/>
      <c r="L5301" s="16" t="str">
        <f>IFERROR(__xludf.DUMMYFUNCTION("""COMPUTED_VALUE"""),"")</f>
        <v/>
      </c>
      <c r="M5301" s="16" t="str">
        <f>IFERROR(__xludf.DUMMYFUNCTION("""COMPUTED_VALUE"""),"")</f>
        <v/>
      </c>
      <c r="U5301" s="16" t="s">
        <v>87</v>
      </c>
      <c r="V5301" s="16" t="str">
        <f>IFERROR(__xludf.DUMMYFUNCTION("""COMPUTED_VALUE"""),"")</f>
        <v/>
      </c>
      <c r="W5301" s="16" t="str">
        <f>IFERROR(__xludf.DUMMYFUNCTION("""COMPUTED_VALUE"""),"")</f>
        <v/>
      </c>
      <c r="X5301" s="16" t="str">
        <f>IFERROR(__xludf.DUMMYFUNCTION("""COMPUTED_VALUE"""),"")</f>
        <v/>
      </c>
      <c r="AC5301" s="16" t="str">
        <f>IFERROR(__xludf.DUMMYFUNCTION("""COMPUTED_VALUE"""),"")</f>
        <v/>
      </c>
    </row>
    <row r="5302">
      <c r="A5302" s="16" t="s">
        <v>87</v>
      </c>
      <c r="E5302" s="16" t="str">
        <f>IFERROR(__xludf.DUMMYFUNCTION("""COMPUTED_VALUE"""),"")</f>
        <v/>
      </c>
      <c r="G5302" s="18"/>
      <c r="H5302" s="16" t="s">
        <v>87</v>
      </c>
      <c r="I5302" s="16" t="s">
        <v>87</v>
      </c>
      <c r="J5302" s="19"/>
      <c r="L5302" s="16" t="str">
        <f>IFERROR(__xludf.DUMMYFUNCTION("""COMPUTED_VALUE"""),"")</f>
        <v/>
      </c>
      <c r="M5302" s="16" t="str">
        <f>IFERROR(__xludf.DUMMYFUNCTION("""COMPUTED_VALUE"""),"")</f>
        <v/>
      </c>
      <c r="U5302" s="16" t="s">
        <v>87</v>
      </c>
      <c r="V5302" s="16" t="str">
        <f>IFERROR(__xludf.DUMMYFUNCTION("""COMPUTED_VALUE"""),"")</f>
        <v/>
      </c>
      <c r="W5302" s="16" t="str">
        <f>IFERROR(__xludf.DUMMYFUNCTION("""COMPUTED_VALUE"""),"")</f>
        <v/>
      </c>
      <c r="X5302" s="16" t="str">
        <f>IFERROR(__xludf.DUMMYFUNCTION("""COMPUTED_VALUE"""),"")</f>
        <v/>
      </c>
      <c r="AC5302" s="16" t="str">
        <f>IFERROR(__xludf.DUMMYFUNCTION("""COMPUTED_VALUE"""),"")</f>
        <v/>
      </c>
    </row>
    <row r="5303">
      <c r="A5303" s="16" t="s">
        <v>87</v>
      </c>
      <c r="E5303" s="16" t="str">
        <f>IFERROR(__xludf.DUMMYFUNCTION("""COMPUTED_VALUE"""),"")</f>
        <v/>
      </c>
      <c r="G5303" s="18"/>
      <c r="H5303" s="16" t="s">
        <v>87</v>
      </c>
      <c r="I5303" s="16" t="s">
        <v>87</v>
      </c>
      <c r="J5303" s="19"/>
      <c r="L5303" s="16" t="str">
        <f>IFERROR(__xludf.DUMMYFUNCTION("""COMPUTED_VALUE"""),"")</f>
        <v/>
      </c>
      <c r="M5303" s="16" t="str">
        <f>IFERROR(__xludf.DUMMYFUNCTION("""COMPUTED_VALUE"""),"")</f>
        <v/>
      </c>
      <c r="U5303" s="16" t="s">
        <v>87</v>
      </c>
      <c r="V5303" s="16" t="str">
        <f>IFERROR(__xludf.DUMMYFUNCTION("""COMPUTED_VALUE"""),"")</f>
        <v/>
      </c>
      <c r="W5303" s="16" t="str">
        <f>IFERROR(__xludf.DUMMYFUNCTION("""COMPUTED_VALUE"""),"")</f>
        <v/>
      </c>
      <c r="X5303" s="16" t="str">
        <f>IFERROR(__xludf.DUMMYFUNCTION("""COMPUTED_VALUE"""),"")</f>
        <v/>
      </c>
      <c r="AC5303" s="16" t="str">
        <f>IFERROR(__xludf.DUMMYFUNCTION("""COMPUTED_VALUE"""),"")</f>
        <v/>
      </c>
    </row>
    <row r="5304">
      <c r="A5304" s="16" t="s">
        <v>87</v>
      </c>
      <c r="E5304" s="16" t="str">
        <f>IFERROR(__xludf.DUMMYFUNCTION("""COMPUTED_VALUE"""),"")</f>
        <v/>
      </c>
      <c r="G5304" s="18"/>
      <c r="H5304" s="16" t="s">
        <v>87</v>
      </c>
      <c r="I5304" s="16" t="s">
        <v>87</v>
      </c>
      <c r="J5304" s="19"/>
      <c r="L5304" s="16" t="str">
        <f>IFERROR(__xludf.DUMMYFUNCTION("""COMPUTED_VALUE"""),"")</f>
        <v/>
      </c>
      <c r="M5304" s="16" t="str">
        <f>IFERROR(__xludf.DUMMYFUNCTION("""COMPUTED_VALUE"""),"")</f>
        <v/>
      </c>
      <c r="U5304" s="16" t="s">
        <v>87</v>
      </c>
      <c r="V5304" s="16" t="str">
        <f>IFERROR(__xludf.DUMMYFUNCTION("""COMPUTED_VALUE"""),"")</f>
        <v/>
      </c>
      <c r="W5304" s="16" t="str">
        <f>IFERROR(__xludf.DUMMYFUNCTION("""COMPUTED_VALUE"""),"")</f>
        <v/>
      </c>
      <c r="X5304" s="16" t="str">
        <f>IFERROR(__xludf.DUMMYFUNCTION("""COMPUTED_VALUE"""),"")</f>
        <v/>
      </c>
      <c r="AC5304" s="16" t="str">
        <f>IFERROR(__xludf.DUMMYFUNCTION("""COMPUTED_VALUE"""),"")</f>
        <v/>
      </c>
    </row>
    <row r="5305">
      <c r="A5305" s="16" t="s">
        <v>87</v>
      </c>
      <c r="E5305" s="16" t="str">
        <f>IFERROR(__xludf.DUMMYFUNCTION("""COMPUTED_VALUE"""),"")</f>
        <v/>
      </c>
      <c r="G5305" s="18"/>
      <c r="H5305" s="16" t="s">
        <v>87</v>
      </c>
      <c r="I5305" s="16" t="s">
        <v>87</v>
      </c>
      <c r="J5305" s="19"/>
      <c r="L5305" s="16" t="str">
        <f>IFERROR(__xludf.DUMMYFUNCTION("""COMPUTED_VALUE"""),"")</f>
        <v/>
      </c>
      <c r="M5305" s="16" t="str">
        <f>IFERROR(__xludf.DUMMYFUNCTION("""COMPUTED_VALUE"""),"")</f>
        <v/>
      </c>
      <c r="U5305" s="16" t="s">
        <v>87</v>
      </c>
      <c r="V5305" s="16" t="str">
        <f>IFERROR(__xludf.DUMMYFUNCTION("""COMPUTED_VALUE"""),"")</f>
        <v/>
      </c>
      <c r="W5305" s="16" t="str">
        <f>IFERROR(__xludf.DUMMYFUNCTION("""COMPUTED_VALUE"""),"")</f>
        <v/>
      </c>
      <c r="X5305" s="16" t="str">
        <f>IFERROR(__xludf.DUMMYFUNCTION("""COMPUTED_VALUE"""),"")</f>
        <v/>
      </c>
      <c r="AC5305" s="16" t="str">
        <f>IFERROR(__xludf.DUMMYFUNCTION("""COMPUTED_VALUE"""),"")</f>
        <v/>
      </c>
    </row>
    <row r="5306">
      <c r="A5306" s="16" t="s">
        <v>87</v>
      </c>
      <c r="E5306" s="16" t="str">
        <f>IFERROR(__xludf.DUMMYFUNCTION("""COMPUTED_VALUE"""),"")</f>
        <v/>
      </c>
      <c r="G5306" s="18"/>
      <c r="H5306" s="16" t="s">
        <v>87</v>
      </c>
      <c r="I5306" s="16" t="s">
        <v>87</v>
      </c>
      <c r="J5306" s="19"/>
      <c r="L5306" s="16" t="str">
        <f>IFERROR(__xludf.DUMMYFUNCTION("""COMPUTED_VALUE"""),"")</f>
        <v/>
      </c>
      <c r="M5306" s="16" t="str">
        <f>IFERROR(__xludf.DUMMYFUNCTION("""COMPUTED_VALUE"""),"")</f>
        <v/>
      </c>
      <c r="U5306" s="16" t="s">
        <v>87</v>
      </c>
      <c r="V5306" s="16" t="str">
        <f>IFERROR(__xludf.DUMMYFUNCTION("""COMPUTED_VALUE"""),"")</f>
        <v/>
      </c>
      <c r="W5306" s="16" t="str">
        <f>IFERROR(__xludf.DUMMYFUNCTION("""COMPUTED_VALUE"""),"")</f>
        <v/>
      </c>
      <c r="X5306" s="16" t="str">
        <f>IFERROR(__xludf.DUMMYFUNCTION("""COMPUTED_VALUE"""),"")</f>
        <v/>
      </c>
      <c r="AC5306" s="16" t="str">
        <f>IFERROR(__xludf.DUMMYFUNCTION("""COMPUTED_VALUE"""),"")</f>
        <v/>
      </c>
    </row>
    <row r="5307">
      <c r="A5307" s="16" t="s">
        <v>87</v>
      </c>
      <c r="E5307" s="16" t="str">
        <f>IFERROR(__xludf.DUMMYFUNCTION("""COMPUTED_VALUE"""),"")</f>
        <v/>
      </c>
      <c r="G5307" s="18"/>
      <c r="H5307" s="16" t="s">
        <v>87</v>
      </c>
      <c r="I5307" s="16" t="s">
        <v>87</v>
      </c>
      <c r="J5307" s="19"/>
      <c r="L5307" s="16" t="str">
        <f>IFERROR(__xludf.DUMMYFUNCTION("""COMPUTED_VALUE"""),"")</f>
        <v/>
      </c>
      <c r="M5307" s="16" t="str">
        <f>IFERROR(__xludf.DUMMYFUNCTION("""COMPUTED_VALUE"""),"")</f>
        <v/>
      </c>
      <c r="U5307" s="16" t="s">
        <v>87</v>
      </c>
      <c r="V5307" s="16" t="str">
        <f>IFERROR(__xludf.DUMMYFUNCTION("""COMPUTED_VALUE"""),"")</f>
        <v/>
      </c>
      <c r="W5307" s="16" t="str">
        <f>IFERROR(__xludf.DUMMYFUNCTION("""COMPUTED_VALUE"""),"")</f>
        <v/>
      </c>
      <c r="X5307" s="16" t="str">
        <f>IFERROR(__xludf.DUMMYFUNCTION("""COMPUTED_VALUE"""),"")</f>
        <v/>
      </c>
      <c r="AC5307" s="16" t="str">
        <f>IFERROR(__xludf.DUMMYFUNCTION("""COMPUTED_VALUE"""),"")</f>
        <v/>
      </c>
    </row>
    <row r="5308">
      <c r="A5308" s="16" t="s">
        <v>87</v>
      </c>
      <c r="E5308" s="16" t="str">
        <f>IFERROR(__xludf.DUMMYFUNCTION("""COMPUTED_VALUE"""),"")</f>
        <v/>
      </c>
      <c r="G5308" s="18"/>
      <c r="H5308" s="16" t="s">
        <v>87</v>
      </c>
      <c r="I5308" s="16" t="s">
        <v>87</v>
      </c>
      <c r="J5308" s="19"/>
      <c r="L5308" s="16" t="str">
        <f>IFERROR(__xludf.DUMMYFUNCTION("""COMPUTED_VALUE"""),"")</f>
        <v/>
      </c>
      <c r="M5308" s="16" t="str">
        <f>IFERROR(__xludf.DUMMYFUNCTION("""COMPUTED_VALUE"""),"")</f>
        <v/>
      </c>
      <c r="U5308" s="16" t="s">
        <v>87</v>
      </c>
      <c r="V5308" s="16" t="str">
        <f>IFERROR(__xludf.DUMMYFUNCTION("""COMPUTED_VALUE"""),"")</f>
        <v/>
      </c>
      <c r="W5308" s="16" t="str">
        <f>IFERROR(__xludf.DUMMYFUNCTION("""COMPUTED_VALUE"""),"")</f>
        <v/>
      </c>
      <c r="X5308" s="16" t="str">
        <f>IFERROR(__xludf.DUMMYFUNCTION("""COMPUTED_VALUE"""),"")</f>
        <v/>
      </c>
      <c r="AC5308" s="16" t="str">
        <f>IFERROR(__xludf.DUMMYFUNCTION("""COMPUTED_VALUE"""),"")</f>
        <v/>
      </c>
    </row>
    <row r="5309">
      <c r="A5309" s="16" t="s">
        <v>87</v>
      </c>
      <c r="E5309" s="16" t="str">
        <f>IFERROR(__xludf.DUMMYFUNCTION("""COMPUTED_VALUE"""),"")</f>
        <v/>
      </c>
      <c r="G5309" s="18"/>
      <c r="H5309" s="16" t="s">
        <v>87</v>
      </c>
      <c r="I5309" s="16" t="s">
        <v>87</v>
      </c>
      <c r="J5309" s="19"/>
      <c r="L5309" s="16" t="str">
        <f>IFERROR(__xludf.DUMMYFUNCTION("""COMPUTED_VALUE"""),"")</f>
        <v/>
      </c>
      <c r="M5309" s="16" t="str">
        <f>IFERROR(__xludf.DUMMYFUNCTION("""COMPUTED_VALUE"""),"")</f>
        <v/>
      </c>
      <c r="U5309" s="16" t="s">
        <v>87</v>
      </c>
      <c r="V5309" s="16" t="str">
        <f>IFERROR(__xludf.DUMMYFUNCTION("""COMPUTED_VALUE"""),"")</f>
        <v/>
      </c>
      <c r="W5309" s="16" t="str">
        <f>IFERROR(__xludf.DUMMYFUNCTION("""COMPUTED_VALUE"""),"")</f>
        <v/>
      </c>
      <c r="X5309" s="16" t="str">
        <f>IFERROR(__xludf.DUMMYFUNCTION("""COMPUTED_VALUE"""),"")</f>
        <v/>
      </c>
      <c r="AC5309" s="16" t="str">
        <f>IFERROR(__xludf.DUMMYFUNCTION("""COMPUTED_VALUE"""),"")</f>
        <v/>
      </c>
    </row>
    <row r="5310">
      <c r="A5310" s="16" t="s">
        <v>87</v>
      </c>
      <c r="E5310" s="16" t="str">
        <f>IFERROR(__xludf.DUMMYFUNCTION("""COMPUTED_VALUE"""),"")</f>
        <v/>
      </c>
      <c r="G5310" s="18"/>
      <c r="H5310" s="16" t="s">
        <v>87</v>
      </c>
      <c r="I5310" s="16" t="s">
        <v>87</v>
      </c>
      <c r="J5310" s="19"/>
      <c r="L5310" s="16" t="str">
        <f>IFERROR(__xludf.DUMMYFUNCTION("""COMPUTED_VALUE"""),"")</f>
        <v/>
      </c>
      <c r="M5310" s="16" t="str">
        <f>IFERROR(__xludf.DUMMYFUNCTION("""COMPUTED_VALUE"""),"")</f>
        <v/>
      </c>
      <c r="U5310" s="16" t="s">
        <v>87</v>
      </c>
      <c r="V5310" s="16" t="str">
        <f>IFERROR(__xludf.DUMMYFUNCTION("""COMPUTED_VALUE"""),"")</f>
        <v/>
      </c>
      <c r="W5310" s="16" t="str">
        <f>IFERROR(__xludf.DUMMYFUNCTION("""COMPUTED_VALUE"""),"")</f>
        <v/>
      </c>
      <c r="X5310" s="16" t="str">
        <f>IFERROR(__xludf.DUMMYFUNCTION("""COMPUTED_VALUE"""),"")</f>
        <v/>
      </c>
      <c r="AC5310" s="16" t="str">
        <f>IFERROR(__xludf.DUMMYFUNCTION("""COMPUTED_VALUE"""),"")</f>
        <v/>
      </c>
    </row>
    <row r="5311">
      <c r="A5311" s="16" t="s">
        <v>87</v>
      </c>
      <c r="E5311" s="16" t="str">
        <f>IFERROR(__xludf.DUMMYFUNCTION("""COMPUTED_VALUE"""),"")</f>
        <v/>
      </c>
      <c r="G5311" s="18"/>
      <c r="H5311" s="16" t="s">
        <v>87</v>
      </c>
      <c r="I5311" s="16" t="s">
        <v>87</v>
      </c>
      <c r="J5311" s="19"/>
      <c r="L5311" s="16" t="str">
        <f>IFERROR(__xludf.DUMMYFUNCTION("""COMPUTED_VALUE"""),"")</f>
        <v/>
      </c>
      <c r="M5311" s="16" t="str">
        <f>IFERROR(__xludf.DUMMYFUNCTION("""COMPUTED_VALUE"""),"")</f>
        <v/>
      </c>
      <c r="U5311" s="16" t="s">
        <v>87</v>
      </c>
      <c r="V5311" s="16" t="str">
        <f>IFERROR(__xludf.DUMMYFUNCTION("""COMPUTED_VALUE"""),"")</f>
        <v/>
      </c>
      <c r="W5311" s="16" t="str">
        <f>IFERROR(__xludf.DUMMYFUNCTION("""COMPUTED_VALUE"""),"")</f>
        <v/>
      </c>
      <c r="X5311" s="16" t="str">
        <f>IFERROR(__xludf.DUMMYFUNCTION("""COMPUTED_VALUE"""),"")</f>
        <v/>
      </c>
      <c r="AC5311" s="16" t="str">
        <f>IFERROR(__xludf.DUMMYFUNCTION("""COMPUTED_VALUE"""),"")</f>
        <v/>
      </c>
    </row>
    <row r="5312">
      <c r="A5312" s="16" t="s">
        <v>87</v>
      </c>
      <c r="E5312" s="16" t="str">
        <f>IFERROR(__xludf.DUMMYFUNCTION("""COMPUTED_VALUE"""),"")</f>
        <v/>
      </c>
      <c r="G5312" s="18"/>
      <c r="H5312" s="16" t="s">
        <v>87</v>
      </c>
      <c r="I5312" s="16" t="s">
        <v>87</v>
      </c>
      <c r="J5312" s="19"/>
      <c r="L5312" s="16" t="str">
        <f>IFERROR(__xludf.DUMMYFUNCTION("""COMPUTED_VALUE"""),"")</f>
        <v/>
      </c>
      <c r="M5312" s="16" t="str">
        <f>IFERROR(__xludf.DUMMYFUNCTION("""COMPUTED_VALUE"""),"")</f>
        <v/>
      </c>
      <c r="U5312" s="16" t="s">
        <v>87</v>
      </c>
      <c r="V5312" s="16" t="str">
        <f>IFERROR(__xludf.DUMMYFUNCTION("""COMPUTED_VALUE"""),"")</f>
        <v/>
      </c>
      <c r="W5312" s="16" t="str">
        <f>IFERROR(__xludf.DUMMYFUNCTION("""COMPUTED_VALUE"""),"")</f>
        <v/>
      </c>
      <c r="X5312" s="16" t="str">
        <f>IFERROR(__xludf.DUMMYFUNCTION("""COMPUTED_VALUE"""),"")</f>
        <v/>
      </c>
      <c r="AC5312" s="16" t="str">
        <f>IFERROR(__xludf.DUMMYFUNCTION("""COMPUTED_VALUE"""),"")</f>
        <v/>
      </c>
    </row>
    <row r="5313">
      <c r="A5313" s="16" t="s">
        <v>87</v>
      </c>
      <c r="E5313" s="16" t="str">
        <f>IFERROR(__xludf.DUMMYFUNCTION("""COMPUTED_VALUE"""),"")</f>
        <v/>
      </c>
      <c r="G5313" s="18"/>
      <c r="H5313" s="16" t="s">
        <v>87</v>
      </c>
      <c r="I5313" s="16" t="s">
        <v>87</v>
      </c>
      <c r="J5313" s="19"/>
      <c r="L5313" s="16" t="str">
        <f>IFERROR(__xludf.DUMMYFUNCTION("""COMPUTED_VALUE"""),"")</f>
        <v/>
      </c>
      <c r="M5313" s="16" t="str">
        <f>IFERROR(__xludf.DUMMYFUNCTION("""COMPUTED_VALUE"""),"")</f>
        <v/>
      </c>
      <c r="U5313" s="16" t="s">
        <v>87</v>
      </c>
      <c r="V5313" s="16" t="str">
        <f>IFERROR(__xludf.DUMMYFUNCTION("""COMPUTED_VALUE"""),"")</f>
        <v/>
      </c>
      <c r="W5313" s="16" t="str">
        <f>IFERROR(__xludf.DUMMYFUNCTION("""COMPUTED_VALUE"""),"")</f>
        <v/>
      </c>
      <c r="X5313" s="16" t="str">
        <f>IFERROR(__xludf.DUMMYFUNCTION("""COMPUTED_VALUE"""),"")</f>
        <v/>
      </c>
      <c r="AC5313" s="16" t="str">
        <f>IFERROR(__xludf.DUMMYFUNCTION("""COMPUTED_VALUE"""),"")</f>
        <v/>
      </c>
    </row>
    <row r="5314">
      <c r="A5314" s="16" t="s">
        <v>87</v>
      </c>
      <c r="E5314" s="16" t="str">
        <f>IFERROR(__xludf.DUMMYFUNCTION("""COMPUTED_VALUE"""),"")</f>
        <v/>
      </c>
      <c r="G5314" s="18"/>
      <c r="H5314" s="16" t="s">
        <v>87</v>
      </c>
      <c r="I5314" s="16" t="s">
        <v>87</v>
      </c>
      <c r="J5314" s="19"/>
      <c r="L5314" s="16" t="str">
        <f>IFERROR(__xludf.DUMMYFUNCTION("""COMPUTED_VALUE"""),"")</f>
        <v/>
      </c>
      <c r="M5314" s="16" t="str">
        <f>IFERROR(__xludf.DUMMYFUNCTION("""COMPUTED_VALUE"""),"")</f>
        <v/>
      </c>
      <c r="U5314" s="16" t="s">
        <v>87</v>
      </c>
      <c r="V5314" s="16" t="str">
        <f>IFERROR(__xludf.DUMMYFUNCTION("""COMPUTED_VALUE"""),"")</f>
        <v/>
      </c>
      <c r="W5314" s="16" t="str">
        <f>IFERROR(__xludf.DUMMYFUNCTION("""COMPUTED_VALUE"""),"")</f>
        <v/>
      </c>
      <c r="X5314" s="16" t="str">
        <f>IFERROR(__xludf.DUMMYFUNCTION("""COMPUTED_VALUE"""),"")</f>
        <v/>
      </c>
      <c r="AC5314" s="16" t="str">
        <f>IFERROR(__xludf.DUMMYFUNCTION("""COMPUTED_VALUE"""),"")</f>
        <v/>
      </c>
    </row>
    <row r="5315">
      <c r="A5315" s="16" t="s">
        <v>87</v>
      </c>
      <c r="E5315" s="16" t="str">
        <f>IFERROR(__xludf.DUMMYFUNCTION("""COMPUTED_VALUE"""),"")</f>
        <v/>
      </c>
      <c r="G5315" s="18"/>
      <c r="H5315" s="16" t="s">
        <v>87</v>
      </c>
      <c r="I5315" s="16" t="s">
        <v>87</v>
      </c>
      <c r="J5315" s="19"/>
      <c r="L5315" s="16" t="str">
        <f>IFERROR(__xludf.DUMMYFUNCTION("""COMPUTED_VALUE"""),"")</f>
        <v/>
      </c>
      <c r="M5315" s="16" t="str">
        <f>IFERROR(__xludf.DUMMYFUNCTION("""COMPUTED_VALUE"""),"")</f>
        <v/>
      </c>
      <c r="U5315" s="16" t="s">
        <v>87</v>
      </c>
      <c r="V5315" s="16" t="str">
        <f>IFERROR(__xludf.DUMMYFUNCTION("""COMPUTED_VALUE"""),"")</f>
        <v/>
      </c>
      <c r="W5315" s="16" t="str">
        <f>IFERROR(__xludf.DUMMYFUNCTION("""COMPUTED_VALUE"""),"")</f>
        <v/>
      </c>
      <c r="X5315" s="16" t="str">
        <f>IFERROR(__xludf.DUMMYFUNCTION("""COMPUTED_VALUE"""),"")</f>
        <v/>
      </c>
      <c r="AC5315" s="16" t="str">
        <f>IFERROR(__xludf.DUMMYFUNCTION("""COMPUTED_VALUE"""),"")</f>
        <v/>
      </c>
    </row>
    <row r="5316">
      <c r="A5316" s="16" t="s">
        <v>87</v>
      </c>
      <c r="E5316" s="16" t="str">
        <f>IFERROR(__xludf.DUMMYFUNCTION("""COMPUTED_VALUE"""),"")</f>
        <v/>
      </c>
      <c r="G5316" s="18"/>
      <c r="H5316" s="16" t="s">
        <v>87</v>
      </c>
      <c r="I5316" s="16" t="s">
        <v>87</v>
      </c>
      <c r="J5316" s="19"/>
      <c r="L5316" s="16" t="str">
        <f>IFERROR(__xludf.DUMMYFUNCTION("""COMPUTED_VALUE"""),"")</f>
        <v/>
      </c>
      <c r="M5316" s="16" t="str">
        <f>IFERROR(__xludf.DUMMYFUNCTION("""COMPUTED_VALUE"""),"")</f>
        <v/>
      </c>
      <c r="U5316" s="16" t="s">
        <v>87</v>
      </c>
      <c r="V5316" s="16" t="str">
        <f>IFERROR(__xludf.DUMMYFUNCTION("""COMPUTED_VALUE"""),"")</f>
        <v/>
      </c>
      <c r="W5316" s="16" t="str">
        <f>IFERROR(__xludf.DUMMYFUNCTION("""COMPUTED_VALUE"""),"")</f>
        <v/>
      </c>
      <c r="X5316" s="16" t="str">
        <f>IFERROR(__xludf.DUMMYFUNCTION("""COMPUTED_VALUE"""),"")</f>
        <v/>
      </c>
      <c r="AC5316" s="16" t="str">
        <f>IFERROR(__xludf.DUMMYFUNCTION("""COMPUTED_VALUE"""),"")</f>
        <v/>
      </c>
    </row>
    <row r="5317">
      <c r="A5317" s="16" t="s">
        <v>87</v>
      </c>
      <c r="E5317" s="16" t="str">
        <f>IFERROR(__xludf.DUMMYFUNCTION("""COMPUTED_VALUE"""),"")</f>
        <v/>
      </c>
      <c r="G5317" s="18"/>
      <c r="H5317" s="16" t="s">
        <v>87</v>
      </c>
      <c r="I5317" s="16" t="s">
        <v>87</v>
      </c>
      <c r="J5317" s="19"/>
      <c r="L5317" s="16" t="str">
        <f>IFERROR(__xludf.DUMMYFUNCTION("""COMPUTED_VALUE"""),"")</f>
        <v/>
      </c>
      <c r="M5317" s="16" t="str">
        <f>IFERROR(__xludf.DUMMYFUNCTION("""COMPUTED_VALUE"""),"")</f>
        <v/>
      </c>
      <c r="U5317" s="16" t="s">
        <v>87</v>
      </c>
      <c r="V5317" s="16" t="str">
        <f>IFERROR(__xludf.DUMMYFUNCTION("""COMPUTED_VALUE"""),"")</f>
        <v/>
      </c>
      <c r="W5317" s="16" t="str">
        <f>IFERROR(__xludf.DUMMYFUNCTION("""COMPUTED_VALUE"""),"")</f>
        <v/>
      </c>
      <c r="X5317" s="16" t="str">
        <f>IFERROR(__xludf.DUMMYFUNCTION("""COMPUTED_VALUE"""),"")</f>
        <v/>
      </c>
      <c r="AC5317" s="16" t="str">
        <f>IFERROR(__xludf.DUMMYFUNCTION("""COMPUTED_VALUE"""),"")</f>
        <v/>
      </c>
    </row>
    <row r="5318">
      <c r="A5318" s="16" t="s">
        <v>87</v>
      </c>
      <c r="E5318" s="16" t="str">
        <f>IFERROR(__xludf.DUMMYFUNCTION("""COMPUTED_VALUE"""),"")</f>
        <v/>
      </c>
      <c r="G5318" s="18"/>
      <c r="H5318" s="16" t="s">
        <v>87</v>
      </c>
      <c r="I5318" s="16" t="s">
        <v>87</v>
      </c>
      <c r="J5318" s="19"/>
      <c r="L5318" s="16" t="str">
        <f>IFERROR(__xludf.DUMMYFUNCTION("""COMPUTED_VALUE"""),"")</f>
        <v/>
      </c>
      <c r="M5318" s="16" t="str">
        <f>IFERROR(__xludf.DUMMYFUNCTION("""COMPUTED_VALUE"""),"")</f>
        <v/>
      </c>
      <c r="U5318" s="16" t="s">
        <v>87</v>
      </c>
      <c r="V5318" s="16" t="str">
        <f>IFERROR(__xludf.DUMMYFUNCTION("""COMPUTED_VALUE"""),"")</f>
        <v/>
      </c>
      <c r="W5318" s="16" t="str">
        <f>IFERROR(__xludf.DUMMYFUNCTION("""COMPUTED_VALUE"""),"")</f>
        <v/>
      </c>
      <c r="X5318" s="16" t="str">
        <f>IFERROR(__xludf.DUMMYFUNCTION("""COMPUTED_VALUE"""),"")</f>
        <v/>
      </c>
      <c r="AC5318" s="16" t="str">
        <f>IFERROR(__xludf.DUMMYFUNCTION("""COMPUTED_VALUE"""),"")</f>
        <v/>
      </c>
    </row>
    <row r="5319">
      <c r="A5319" s="16" t="s">
        <v>87</v>
      </c>
      <c r="E5319" s="16" t="str">
        <f>IFERROR(__xludf.DUMMYFUNCTION("""COMPUTED_VALUE"""),"")</f>
        <v/>
      </c>
      <c r="G5319" s="18"/>
      <c r="H5319" s="16" t="s">
        <v>87</v>
      </c>
      <c r="I5319" s="16" t="s">
        <v>87</v>
      </c>
      <c r="J5319" s="19"/>
      <c r="L5319" s="16" t="str">
        <f>IFERROR(__xludf.DUMMYFUNCTION("""COMPUTED_VALUE"""),"")</f>
        <v/>
      </c>
      <c r="M5319" s="16" t="str">
        <f>IFERROR(__xludf.DUMMYFUNCTION("""COMPUTED_VALUE"""),"")</f>
        <v/>
      </c>
      <c r="U5319" s="16" t="s">
        <v>87</v>
      </c>
      <c r="V5319" s="16" t="str">
        <f>IFERROR(__xludf.DUMMYFUNCTION("""COMPUTED_VALUE"""),"")</f>
        <v/>
      </c>
      <c r="W5319" s="16" t="str">
        <f>IFERROR(__xludf.DUMMYFUNCTION("""COMPUTED_VALUE"""),"")</f>
        <v/>
      </c>
      <c r="X5319" s="16" t="str">
        <f>IFERROR(__xludf.DUMMYFUNCTION("""COMPUTED_VALUE"""),"")</f>
        <v/>
      </c>
      <c r="AC5319" s="16" t="str">
        <f>IFERROR(__xludf.DUMMYFUNCTION("""COMPUTED_VALUE"""),"")</f>
        <v/>
      </c>
    </row>
    <row r="5320">
      <c r="A5320" s="16" t="s">
        <v>87</v>
      </c>
      <c r="E5320" s="16" t="str">
        <f>IFERROR(__xludf.DUMMYFUNCTION("""COMPUTED_VALUE"""),"")</f>
        <v/>
      </c>
      <c r="G5320" s="18"/>
      <c r="H5320" s="16" t="s">
        <v>87</v>
      </c>
      <c r="I5320" s="16" t="s">
        <v>87</v>
      </c>
      <c r="J5320" s="19"/>
      <c r="L5320" s="16" t="str">
        <f>IFERROR(__xludf.DUMMYFUNCTION("""COMPUTED_VALUE"""),"")</f>
        <v/>
      </c>
      <c r="M5320" s="16" t="str">
        <f>IFERROR(__xludf.DUMMYFUNCTION("""COMPUTED_VALUE"""),"")</f>
        <v/>
      </c>
      <c r="U5320" s="16" t="s">
        <v>87</v>
      </c>
      <c r="V5320" s="16" t="str">
        <f>IFERROR(__xludf.DUMMYFUNCTION("""COMPUTED_VALUE"""),"")</f>
        <v/>
      </c>
      <c r="W5320" s="16" t="str">
        <f>IFERROR(__xludf.DUMMYFUNCTION("""COMPUTED_VALUE"""),"")</f>
        <v/>
      </c>
      <c r="X5320" s="16" t="str">
        <f>IFERROR(__xludf.DUMMYFUNCTION("""COMPUTED_VALUE"""),"")</f>
        <v/>
      </c>
      <c r="AC5320" s="16" t="str">
        <f>IFERROR(__xludf.DUMMYFUNCTION("""COMPUTED_VALUE"""),"")</f>
        <v/>
      </c>
    </row>
    <row r="5321">
      <c r="A5321" s="16" t="s">
        <v>87</v>
      </c>
      <c r="E5321" s="16" t="str">
        <f>IFERROR(__xludf.DUMMYFUNCTION("""COMPUTED_VALUE"""),"")</f>
        <v/>
      </c>
      <c r="G5321" s="18"/>
      <c r="H5321" s="16" t="s">
        <v>87</v>
      </c>
      <c r="I5321" s="16" t="s">
        <v>87</v>
      </c>
      <c r="J5321" s="19"/>
      <c r="L5321" s="16" t="str">
        <f>IFERROR(__xludf.DUMMYFUNCTION("""COMPUTED_VALUE"""),"")</f>
        <v/>
      </c>
      <c r="M5321" s="16" t="str">
        <f>IFERROR(__xludf.DUMMYFUNCTION("""COMPUTED_VALUE"""),"")</f>
        <v/>
      </c>
      <c r="U5321" s="16" t="s">
        <v>87</v>
      </c>
      <c r="V5321" s="16" t="str">
        <f>IFERROR(__xludf.DUMMYFUNCTION("""COMPUTED_VALUE"""),"")</f>
        <v/>
      </c>
      <c r="W5321" s="16" t="str">
        <f>IFERROR(__xludf.DUMMYFUNCTION("""COMPUTED_VALUE"""),"")</f>
        <v/>
      </c>
      <c r="X5321" s="16" t="str">
        <f>IFERROR(__xludf.DUMMYFUNCTION("""COMPUTED_VALUE"""),"")</f>
        <v/>
      </c>
      <c r="AC5321" s="16" t="str">
        <f>IFERROR(__xludf.DUMMYFUNCTION("""COMPUTED_VALUE"""),"")</f>
        <v/>
      </c>
    </row>
    <row r="5322">
      <c r="A5322" s="16" t="s">
        <v>87</v>
      </c>
      <c r="E5322" s="16" t="str">
        <f>IFERROR(__xludf.DUMMYFUNCTION("""COMPUTED_VALUE"""),"")</f>
        <v/>
      </c>
      <c r="G5322" s="18"/>
      <c r="H5322" s="16" t="s">
        <v>87</v>
      </c>
      <c r="I5322" s="16" t="s">
        <v>87</v>
      </c>
      <c r="J5322" s="19"/>
      <c r="L5322" s="16" t="str">
        <f>IFERROR(__xludf.DUMMYFUNCTION("""COMPUTED_VALUE"""),"")</f>
        <v/>
      </c>
      <c r="M5322" s="16" t="str">
        <f>IFERROR(__xludf.DUMMYFUNCTION("""COMPUTED_VALUE"""),"")</f>
        <v/>
      </c>
      <c r="U5322" s="16" t="s">
        <v>87</v>
      </c>
      <c r="V5322" s="16" t="str">
        <f>IFERROR(__xludf.DUMMYFUNCTION("""COMPUTED_VALUE"""),"")</f>
        <v/>
      </c>
      <c r="W5322" s="16" t="str">
        <f>IFERROR(__xludf.DUMMYFUNCTION("""COMPUTED_VALUE"""),"")</f>
        <v/>
      </c>
      <c r="X5322" s="16" t="str">
        <f>IFERROR(__xludf.DUMMYFUNCTION("""COMPUTED_VALUE"""),"")</f>
        <v/>
      </c>
      <c r="AC5322" s="16" t="str">
        <f>IFERROR(__xludf.DUMMYFUNCTION("""COMPUTED_VALUE"""),"")</f>
        <v/>
      </c>
    </row>
    <row r="5323">
      <c r="A5323" s="16" t="s">
        <v>87</v>
      </c>
      <c r="E5323" s="16" t="str">
        <f>IFERROR(__xludf.DUMMYFUNCTION("""COMPUTED_VALUE"""),"")</f>
        <v/>
      </c>
      <c r="G5323" s="18"/>
      <c r="H5323" s="16" t="s">
        <v>87</v>
      </c>
      <c r="I5323" s="16" t="s">
        <v>87</v>
      </c>
      <c r="J5323" s="19"/>
      <c r="L5323" s="16" t="str">
        <f>IFERROR(__xludf.DUMMYFUNCTION("""COMPUTED_VALUE"""),"")</f>
        <v/>
      </c>
      <c r="M5323" s="16" t="str">
        <f>IFERROR(__xludf.DUMMYFUNCTION("""COMPUTED_VALUE"""),"")</f>
        <v/>
      </c>
      <c r="U5323" s="16" t="s">
        <v>87</v>
      </c>
      <c r="V5323" s="16" t="str">
        <f>IFERROR(__xludf.DUMMYFUNCTION("""COMPUTED_VALUE"""),"")</f>
        <v/>
      </c>
      <c r="W5323" s="16" t="str">
        <f>IFERROR(__xludf.DUMMYFUNCTION("""COMPUTED_VALUE"""),"")</f>
        <v/>
      </c>
      <c r="X5323" s="16" t="str">
        <f>IFERROR(__xludf.DUMMYFUNCTION("""COMPUTED_VALUE"""),"")</f>
        <v/>
      </c>
      <c r="AC5323" s="16" t="str">
        <f>IFERROR(__xludf.DUMMYFUNCTION("""COMPUTED_VALUE"""),"")</f>
        <v/>
      </c>
    </row>
    <row r="5324">
      <c r="A5324" s="16" t="s">
        <v>87</v>
      </c>
      <c r="E5324" s="16" t="str">
        <f>IFERROR(__xludf.DUMMYFUNCTION("""COMPUTED_VALUE"""),"")</f>
        <v/>
      </c>
      <c r="G5324" s="18"/>
      <c r="H5324" s="16" t="s">
        <v>87</v>
      </c>
      <c r="I5324" s="16" t="s">
        <v>87</v>
      </c>
      <c r="J5324" s="19"/>
      <c r="L5324" s="16" t="str">
        <f>IFERROR(__xludf.DUMMYFUNCTION("""COMPUTED_VALUE"""),"")</f>
        <v/>
      </c>
      <c r="M5324" s="16" t="str">
        <f>IFERROR(__xludf.DUMMYFUNCTION("""COMPUTED_VALUE"""),"")</f>
        <v/>
      </c>
      <c r="U5324" s="16" t="s">
        <v>87</v>
      </c>
      <c r="V5324" s="16" t="str">
        <f>IFERROR(__xludf.DUMMYFUNCTION("""COMPUTED_VALUE"""),"")</f>
        <v/>
      </c>
      <c r="W5324" s="16" t="str">
        <f>IFERROR(__xludf.DUMMYFUNCTION("""COMPUTED_VALUE"""),"")</f>
        <v/>
      </c>
      <c r="X5324" s="16" t="str">
        <f>IFERROR(__xludf.DUMMYFUNCTION("""COMPUTED_VALUE"""),"")</f>
        <v/>
      </c>
      <c r="AC5324" s="16" t="str">
        <f>IFERROR(__xludf.DUMMYFUNCTION("""COMPUTED_VALUE"""),"")</f>
        <v/>
      </c>
    </row>
    <row r="5325">
      <c r="A5325" s="16" t="s">
        <v>87</v>
      </c>
      <c r="E5325" s="16" t="str">
        <f>IFERROR(__xludf.DUMMYFUNCTION("""COMPUTED_VALUE"""),"")</f>
        <v/>
      </c>
      <c r="G5325" s="18"/>
      <c r="H5325" s="16" t="s">
        <v>87</v>
      </c>
      <c r="I5325" s="16" t="s">
        <v>87</v>
      </c>
      <c r="J5325" s="19"/>
      <c r="L5325" s="16" t="str">
        <f>IFERROR(__xludf.DUMMYFUNCTION("""COMPUTED_VALUE"""),"")</f>
        <v/>
      </c>
      <c r="M5325" s="16" t="str">
        <f>IFERROR(__xludf.DUMMYFUNCTION("""COMPUTED_VALUE"""),"")</f>
        <v/>
      </c>
      <c r="U5325" s="16" t="s">
        <v>87</v>
      </c>
      <c r="V5325" s="16" t="str">
        <f>IFERROR(__xludf.DUMMYFUNCTION("""COMPUTED_VALUE"""),"")</f>
        <v/>
      </c>
      <c r="W5325" s="16" t="str">
        <f>IFERROR(__xludf.DUMMYFUNCTION("""COMPUTED_VALUE"""),"")</f>
        <v/>
      </c>
      <c r="X5325" s="16" t="str">
        <f>IFERROR(__xludf.DUMMYFUNCTION("""COMPUTED_VALUE"""),"")</f>
        <v/>
      </c>
      <c r="AC5325" s="16" t="str">
        <f>IFERROR(__xludf.DUMMYFUNCTION("""COMPUTED_VALUE"""),"")</f>
        <v/>
      </c>
    </row>
    <row r="5326">
      <c r="A5326" s="16" t="s">
        <v>87</v>
      </c>
      <c r="E5326" s="16" t="str">
        <f>IFERROR(__xludf.DUMMYFUNCTION("""COMPUTED_VALUE"""),"")</f>
        <v/>
      </c>
      <c r="G5326" s="18"/>
      <c r="H5326" s="16" t="s">
        <v>87</v>
      </c>
      <c r="I5326" s="16" t="s">
        <v>87</v>
      </c>
      <c r="J5326" s="19"/>
      <c r="L5326" s="16" t="str">
        <f>IFERROR(__xludf.DUMMYFUNCTION("""COMPUTED_VALUE"""),"")</f>
        <v/>
      </c>
      <c r="M5326" s="16" t="str">
        <f>IFERROR(__xludf.DUMMYFUNCTION("""COMPUTED_VALUE"""),"")</f>
        <v/>
      </c>
      <c r="U5326" s="16" t="s">
        <v>87</v>
      </c>
      <c r="V5326" s="16" t="str">
        <f>IFERROR(__xludf.DUMMYFUNCTION("""COMPUTED_VALUE"""),"")</f>
        <v/>
      </c>
      <c r="W5326" s="16" t="str">
        <f>IFERROR(__xludf.DUMMYFUNCTION("""COMPUTED_VALUE"""),"")</f>
        <v/>
      </c>
      <c r="X5326" s="16" t="str">
        <f>IFERROR(__xludf.DUMMYFUNCTION("""COMPUTED_VALUE"""),"")</f>
        <v/>
      </c>
      <c r="AC5326" s="16" t="str">
        <f>IFERROR(__xludf.DUMMYFUNCTION("""COMPUTED_VALUE"""),"")</f>
        <v/>
      </c>
    </row>
    <row r="5327">
      <c r="A5327" s="16" t="s">
        <v>87</v>
      </c>
      <c r="E5327" s="16" t="str">
        <f>IFERROR(__xludf.DUMMYFUNCTION("""COMPUTED_VALUE"""),"")</f>
        <v/>
      </c>
      <c r="G5327" s="18"/>
      <c r="H5327" s="16" t="s">
        <v>87</v>
      </c>
      <c r="I5327" s="16" t="s">
        <v>87</v>
      </c>
      <c r="J5327" s="19"/>
      <c r="L5327" s="16" t="str">
        <f>IFERROR(__xludf.DUMMYFUNCTION("""COMPUTED_VALUE"""),"")</f>
        <v/>
      </c>
      <c r="M5327" s="16" t="str">
        <f>IFERROR(__xludf.DUMMYFUNCTION("""COMPUTED_VALUE"""),"")</f>
        <v/>
      </c>
      <c r="U5327" s="16" t="s">
        <v>87</v>
      </c>
      <c r="V5327" s="16" t="str">
        <f>IFERROR(__xludf.DUMMYFUNCTION("""COMPUTED_VALUE"""),"")</f>
        <v/>
      </c>
      <c r="W5327" s="16" t="str">
        <f>IFERROR(__xludf.DUMMYFUNCTION("""COMPUTED_VALUE"""),"")</f>
        <v/>
      </c>
      <c r="X5327" s="16" t="str">
        <f>IFERROR(__xludf.DUMMYFUNCTION("""COMPUTED_VALUE"""),"")</f>
        <v/>
      </c>
      <c r="AC5327" s="16" t="str">
        <f>IFERROR(__xludf.DUMMYFUNCTION("""COMPUTED_VALUE"""),"")</f>
        <v/>
      </c>
    </row>
    <row r="5328">
      <c r="A5328" s="16" t="s">
        <v>87</v>
      </c>
      <c r="E5328" s="16" t="str">
        <f>IFERROR(__xludf.DUMMYFUNCTION("""COMPUTED_VALUE"""),"")</f>
        <v/>
      </c>
      <c r="G5328" s="18"/>
      <c r="H5328" s="16" t="s">
        <v>87</v>
      </c>
      <c r="I5328" s="16" t="s">
        <v>87</v>
      </c>
      <c r="J5328" s="19"/>
      <c r="L5328" s="16" t="str">
        <f>IFERROR(__xludf.DUMMYFUNCTION("""COMPUTED_VALUE"""),"")</f>
        <v/>
      </c>
      <c r="M5328" s="16" t="str">
        <f>IFERROR(__xludf.DUMMYFUNCTION("""COMPUTED_VALUE"""),"")</f>
        <v/>
      </c>
      <c r="U5328" s="16" t="s">
        <v>87</v>
      </c>
      <c r="V5328" s="16" t="str">
        <f>IFERROR(__xludf.DUMMYFUNCTION("""COMPUTED_VALUE"""),"")</f>
        <v/>
      </c>
      <c r="W5328" s="16" t="str">
        <f>IFERROR(__xludf.DUMMYFUNCTION("""COMPUTED_VALUE"""),"")</f>
        <v/>
      </c>
      <c r="X5328" s="16" t="str">
        <f>IFERROR(__xludf.DUMMYFUNCTION("""COMPUTED_VALUE"""),"")</f>
        <v/>
      </c>
      <c r="AC5328" s="16" t="str">
        <f>IFERROR(__xludf.DUMMYFUNCTION("""COMPUTED_VALUE"""),"")</f>
        <v/>
      </c>
    </row>
    <row r="5329">
      <c r="A5329" s="16" t="s">
        <v>87</v>
      </c>
      <c r="E5329" s="16" t="str">
        <f>IFERROR(__xludf.DUMMYFUNCTION("""COMPUTED_VALUE"""),"")</f>
        <v/>
      </c>
      <c r="G5329" s="18"/>
      <c r="H5329" s="16" t="s">
        <v>87</v>
      </c>
      <c r="I5329" s="16" t="s">
        <v>87</v>
      </c>
      <c r="J5329" s="19"/>
      <c r="L5329" s="16" t="str">
        <f>IFERROR(__xludf.DUMMYFUNCTION("""COMPUTED_VALUE"""),"")</f>
        <v/>
      </c>
      <c r="M5329" s="16" t="str">
        <f>IFERROR(__xludf.DUMMYFUNCTION("""COMPUTED_VALUE"""),"")</f>
        <v/>
      </c>
      <c r="U5329" s="16" t="s">
        <v>87</v>
      </c>
      <c r="V5329" s="16" t="str">
        <f>IFERROR(__xludf.DUMMYFUNCTION("""COMPUTED_VALUE"""),"")</f>
        <v/>
      </c>
      <c r="W5329" s="16" t="str">
        <f>IFERROR(__xludf.DUMMYFUNCTION("""COMPUTED_VALUE"""),"")</f>
        <v/>
      </c>
      <c r="X5329" s="16" t="str">
        <f>IFERROR(__xludf.DUMMYFUNCTION("""COMPUTED_VALUE"""),"")</f>
        <v/>
      </c>
      <c r="AC5329" s="16" t="str">
        <f>IFERROR(__xludf.DUMMYFUNCTION("""COMPUTED_VALUE"""),"")</f>
        <v/>
      </c>
    </row>
    <row r="5330">
      <c r="A5330" s="16" t="s">
        <v>87</v>
      </c>
      <c r="E5330" s="16" t="str">
        <f>IFERROR(__xludf.DUMMYFUNCTION("""COMPUTED_VALUE"""),"")</f>
        <v/>
      </c>
      <c r="G5330" s="18"/>
      <c r="H5330" s="16" t="s">
        <v>87</v>
      </c>
      <c r="I5330" s="16" t="s">
        <v>87</v>
      </c>
      <c r="J5330" s="19"/>
      <c r="L5330" s="16" t="str">
        <f>IFERROR(__xludf.DUMMYFUNCTION("""COMPUTED_VALUE"""),"")</f>
        <v/>
      </c>
      <c r="M5330" s="16" t="str">
        <f>IFERROR(__xludf.DUMMYFUNCTION("""COMPUTED_VALUE"""),"")</f>
        <v/>
      </c>
      <c r="U5330" s="16" t="s">
        <v>87</v>
      </c>
      <c r="V5330" s="16" t="str">
        <f>IFERROR(__xludf.DUMMYFUNCTION("""COMPUTED_VALUE"""),"")</f>
        <v/>
      </c>
      <c r="W5330" s="16" t="str">
        <f>IFERROR(__xludf.DUMMYFUNCTION("""COMPUTED_VALUE"""),"")</f>
        <v/>
      </c>
      <c r="X5330" s="16" t="str">
        <f>IFERROR(__xludf.DUMMYFUNCTION("""COMPUTED_VALUE"""),"")</f>
        <v/>
      </c>
      <c r="AC5330" s="16" t="str">
        <f>IFERROR(__xludf.DUMMYFUNCTION("""COMPUTED_VALUE"""),"")</f>
        <v/>
      </c>
    </row>
    <row r="5331">
      <c r="A5331" s="16" t="s">
        <v>87</v>
      </c>
      <c r="E5331" s="16" t="str">
        <f>IFERROR(__xludf.DUMMYFUNCTION("""COMPUTED_VALUE"""),"")</f>
        <v/>
      </c>
      <c r="G5331" s="18"/>
      <c r="H5331" s="16" t="s">
        <v>87</v>
      </c>
      <c r="I5331" s="16" t="s">
        <v>87</v>
      </c>
      <c r="J5331" s="19"/>
      <c r="L5331" s="16" t="str">
        <f>IFERROR(__xludf.DUMMYFUNCTION("""COMPUTED_VALUE"""),"")</f>
        <v/>
      </c>
      <c r="M5331" s="16" t="str">
        <f>IFERROR(__xludf.DUMMYFUNCTION("""COMPUTED_VALUE"""),"")</f>
        <v/>
      </c>
      <c r="U5331" s="16" t="s">
        <v>87</v>
      </c>
      <c r="V5331" s="16" t="str">
        <f>IFERROR(__xludf.DUMMYFUNCTION("""COMPUTED_VALUE"""),"")</f>
        <v/>
      </c>
      <c r="W5331" s="16" t="str">
        <f>IFERROR(__xludf.DUMMYFUNCTION("""COMPUTED_VALUE"""),"")</f>
        <v/>
      </c>
      <c r="X5331" s="16" t="str">
        <f>IFERROR(__xludf.DUMMYFUNCTION("""COMPUTED_VALUE"""),"")</f>
        <v/>
      </c>
      <c r="AC5331" s="16" t="str">
        <f>IFERROR(__xludf.DUMMYFUNCTION("""COMPUTED_VALUE"""),"")</f>
        <v/>
      </c>
    </row>
    <row r="5332">
      <c r="A5332" s="16" t="s">
        <v>87</v>
      </c>
      <c r="E5332" s="16" t="str">
        <f>IFERROR(__xludf.DUMMYFUNCTION("""COMPUTED_VALUE"""),"")</f>
        <v/>
      </c>
      <c r="G5332" s="18"/>
      <c r="H5332" s="16" t="s">
        <v>87</v>
      </c>
      <c r="I5332" s="16" t="s">
        <v>87</v>
      </c>
      <c r="J5332" s="19"/>
      <c r="L5332" s="16" t="str">
        <f>IFERROR(__xludf.DUMMYFUNCTION("""COMPUTED_VALUE"""),"")</f>
        <v/>
      </c>
      <c r="M5332" s="16" t="str">
        <f>IFERROR(__xludf.DUMMYFUNCTION("""COMPUTED_VALUE"""),"")</f>
        <v/>
      </c>
      <c r="U5332" s="16" t="s">
        <v>87</v>
      </c>
      <c r="V5332" s="16" t="str">
        <f>IFERROR(__xludf.DUMMYFUNCTION("""COMPUTED_VALUE"""),"")</f>
        <v/>
      </c>
      <c r="W5332" s="16" t="str">
        <f>IFERROR(__xludf.DUMMYFUNCTION("""COMPUTED_VALUE"""),"")</f>
        <v/>
      </c>
      <c r="X5332" s="16" t="str">
        <f>IFERROR(__xludf.DUMMYFUNCTION("""COMPUTED_VALUE"""),"")</f>
        <v/>
      </c>
      <c r="AC5332" s="16" t="str">
        <f>IFERROR(__xludf.DUMMYFUNCTION("""COMPUTED_VALUE"""),"")</f>
        <v/>
      </c>
    </row>
    <row r="5333">
      <c r="A5333" s="16" t="s">
        <v>87</v>
      </c>
      <c r="E5333" s="16" t="str">
        <f>IFERROR(__xludf.DUMMYFUNCTION("""COMPUTED_VALUE"""),"")</f>
        <v/>
      </c>
      <c r="G5333" s="18"/>
      <c r="H5333" s="16" t="s">
        <v>87</v>
      </c>
      <c r="I5333" s="16" t="s">
        <v>87</v>
      </c>
      <c r="J5333" s="19"/>
      <c r="L5333" s="16" t="str">
        <f>IFERROR(__xludf.DUMMYFUNCTION("""COMPUTED_VALUE"""),"")</f>
        <v/>
      </c>
      <c r="M5333" s="16" t="str">
        <f>IFERROR(__xludf.DUMMYFUNCTION("""COMPUTED_VALUE"""),"")</f>
        <v/>
      </c>
      <c r="U5333" s="16" t="s">
        <v>87</v>
      </c>
      <c r="V5333" s="16" t="str">
        <f>IFERROR(__xludf.DUMMYFUNCTION("""COMPUTED_VALUE"""),"")</f>
        <v/>
      </c>
      <c r="W5333" s="16" t="str">
        <f>IFERROR(__xludf.DUMMYFUNCTION("""COMPUTED_VALUE"""),"")</f>
        <v/>
      </c>
      <c r="X5333" s="16" t="str">
        <f>IFERROR(__xludf.DUMMYFUNCTION("""COMPUTED_VALUE"""),"")</f>
        <v/>
      </c>
      <c r="AC5333" s="16" t="str">
        <f>IFERROR(__xludf.DUMMYFUNCTION("""COMPUTED_VALUE"""),"")</f>
        <v/>
      </c>
    </row>
    <row r="5334">
      <c r="A5334" s="16" t="s">
        <v>87</v>
      </c>
      <c r="E5334" s="16" t="str">
        <f>IFERROR(__xludf.DUMMYFUNCTION("""COMPUTED_VALUE"""),"")</f>
        <v/>
      </c>
      <c r="G5334" s="18"/>
      <c r="H5334" s="16" t="s">
        <v>87</v>
      </c>
      <c r="I5334" s="16" t="s">
        <v>87</v>
      </c>
      <c r="J5334" s="19"/>
      <c r="L5334" s="16" t="str">
        <f>IFERROR(__xludf.DUMMYFUNCTION("""COMPUTED_VALUE"""),"")</f>
        <v/>
      </c>
      <c r="M5334" s="16" t="str">
        <f>IFERROR(__xludf.DUMMYFUNCTION("""COMPUTED_VALUE"""),"")</f>
        <v/>
      </c>
      <c r="U5334" s="16" t="s">
        <v>87</v>
      </c>
      <c r="V5334" s="16" t="str">
        <f>IFERROR(__xludf.DUMMYFUNCTION("""COMPUTED_VALUE"""),"")</f>
        <v/>
      </c>
      <c r="W5334" s="16" t="str">
        <f>IFERROR(__xludf.DUMMYFUNCTION("""COMPUTED_VALUE"""),"")</f>
        <v/>
      </c>
      <c r="X5334" s="16" t="str">
        <f>IFERROR(__xludf.DUMMYFUNCTION("""COMPUTED_VALUE"""),"")</f>
        <v/>
      </c>
      <c r="AC5334" s="16" t="str">
        <f>IFERROR(__xludf.DUMMYFUNCTION("""COMPUTED_VALUE"""),"")</f>
        <v/>
      </c>
    </row>
    <row r="5335">
      <c r="A5335" s="16" t="s">
        <v>87</v>
      </c>
      <c r="E5335" s="16" t="str">
        <f>IFERROR(__xludf.DUMMYFUNCTION("""COMPUTED_VALUE"""),"")</f>
        <v/>
      </c>
      <c r="G5335" s="18"/>
      <c r="H5335" s="16" t="s">
        <v>87</v>
      </c>
      <c r="I5335" s="16" t="s">
        <v>87</v>
      </c>
      <c r="J5335" s="19"/>
      <c r="L5335" s="16" t="str">
        <f>IFERROR(__xludf.DUMMYFUNCTION("""COMPUTED_VALUE"""),"")</f>
        <v/>
      </c>
      <c r="M5335" s="16" t="str">
        <f>IFERROR(__xludf.DUMMYFUNCTION("""COMPUTED_VALUE"""),"")</f>
        <v/>
      </c>
      <c r="U5335" s="16" t="s">
        <v>87</v>
      </c>
      <c r="V5335" s="16" t="str">
        <f>IFERROR(__xludf.DUMMYFUNCTION("""COMPUTED_VALUE"""),"")</f>
        <v/>
      </c>
      <c r="W5335" s="16" t="str">
        <f>IFERROR(__xludf.DUMMYFUNCTION("""COMPUTED_VALUE"""),"")</f>
        <v/>
      </c>
      <c r="X5335" s="16" t="str">
        <f>IFERROR(__xludf.DUMMYFUNCTION("""COMPUTED_VALUE"""),"")</f>
        <v/>
      </c>
      <c r="AC5335" s="16" t="str">
        <f>IFERROR(__xludf.DUMMYFUNCTION("""COMPUTED_VALUE"""),"")</f>
        <v/>
      </c>
    </row>
    <row r="5336">
      <c r="A5336" s="16" t="s">
        <v>87</v>
      </c>
      <c r="E5336" s="16" t="str">
        <f>IFERROR(__xludf.DUMMYFUNCTION("""COMPUTED_VALUE"""),"")</f>
        <v/>
      </c>
      <c r="G5336" s="18"/>
      <c r="H5336" s="16" t="s">
        <v>87</v>
      </c>
      <c r="I5336" s="16" t="s">
        <v>87</v>
      </c>
      <c r="J5336" s="19"/>
      <c r="L5336" s="16" t="str">
        <f>IFERROR(__xludf.DUMMYFUNCTION("""COMPUTED_VALUE"""),"")</f>
        <v/>
      </c>
      <c r="M5336" s="16" t="str">
        <f>IFERROR(__xludf.DUMMYFUNCTION("""COMPUTED_VALUE"""),"")</f>
        <v/>
      </c>
      <c r="U5336" s="16" t="s">
        <v>87</v>
      </c>
      <c r="V5336" s="16" t="str">
        <f>IFERROR(__xludf.DUMMYFUNCTION("""COMPUTED_VALUE"""),"")</f>
        <v/>
      </c>
      <c r="W5336" s="16" t="str">
        <f>IFERROR(__xludf.DUMMYFUNCTION("""COMPUTED_VALUE"""),"")</f>
        <v/>
      </c>
      <c r="X5336" s="16" t="str">
        <f>IFERROR(__xludf.DUMMYFUNCTION("""COMPUTED_VALUE"""),"")</f>
        <v/>
      </c>
      <c r="AC5336" s="16" t="str">
        <f>IFERROR(__xludf.DUMMYFUNCTION("""COMPUTED_VALUE"""),"")</f>
        <v/>
      </c>
    </row>
    <row r="5337">
      <c r="A5337" s="16" t="s">
        <v>87</v>
      </c>
      <c r="E5337" s="16" t="str">
        <f>IFERROR(__xludf.DUMMYFUNCTION("""COMPUTED_VALUE"""),"")</f>
        <v/>
      </c>
      <c r="G5337" s="18"/>
      <c r="H5337" s="16" t="s">
        <v>87</v>
      </c>
      <c r="I5337" s="16" t="s">
        <v>87</v>
      </c>
      <c r="J5337" s="19"/>
      <c r="L5337" s="16" t="str">
        <f>IFERROR(__xludf.DUMMYFUNCTION("""COMPUTED_VALUE"""),"")</f>
        <v/>
      </c>
      <c r="M5337" s="16" t="str">
        <f>IFERROR(__xludf.DUMMYFUNCTION("""COMPUTED_VALUE"""),"")</f>
        <v/>
      </c>
      <c r="U5337" s="16" t="s">
        <v>87</v>
      </c>
      <c r="V5337" s="16" t="str">
        <f>IFERROR(__xludf.DUMMYFUNCTION("""COMPUTED_VALUE"""),"")</f>
        <v/>
      </c>
      <c r="W5337" s="16" t="str">
        <f>IFERROR(__xludf.DUMMYFUNCTION("""COMPUTED_VALUE"""),"")</f>
        <v/>
      </c>
      <c r="X5337" s="16" t="str">
        <f>IFERROR(__xludf.DUMMYFUNCTION("""COMPUTED_VALUE"""),"")</f>
        <v/>
      </c>
      <c r="AC5337" s="16" t="str">
        <f>IFERROR(__xludf.DUMMYFUNCTION("""COMPUTED_VALUE"""),"")</f>
        <v/>
      </c>
    </row>
    <row r="5338">
      <c r="A5338" s="16" t="s">
        <v>87</v>
      </c>
      <c r="E5338" s="16" t="str">
        <f>IFERROR(__xludf.DUMMYFUNCTION("""COMPUTED_VALUE"""),"")</f>
        <v/>
      </c>
      <c r="G5338" s="18"/>
      <c r="H5338" s="16" t="s">
        <v>87</v>
      </c>
      <c r="I5338" s="16" t="s">
        <v>87</v>
      </c>
      <c r="J5338" s="19"/>
      <c r="L5338" s="16" t="str">
        <f>IFERROR(__xludf.DUMMYFUNCTION("""COMPUTED_VALUE"""),"")</f>
        <v/>
      </c>
      <c r="M5338" s="16" t="str">
        <f>IFERROR(__xludf.DUMMYFUNCTION("""COMPUTED_VALUE"""),"")</f>
        <v/>
      </c>
      <c r="U5338" s="16" t="s">
        <v>87</v>
      </c>
      <c r="V5338" s="16" t="str">
        <f>IFERROR(__xludf.DUMMYFUNCTION("""COMPUTED_VALUE"""),"")</f>
        <v/>
      </c>
      <c r="W5338" s="16" t="str">
        <f>IFERROR(__xludf.DUMMYFUNCTION("""COMPUTED_VALUE"""),"")</f>
        <v/>
      </c>
      <c r="X5338" s="16" t="str">
        <f>IFERROR(__xludf.DUMMYFUNCTION("""COMPUTED_VALUE"""),"")</f>
        <v/>
      </c>
      <c r="AC5338" s="16" t="str">
        <f>IFERROR(__xludf.DUMMYFUNCTION("""COMPUTED_VALUE"""),"")</f>
        <v/>
      </c>
    </row>
    <row r="5339">
      <c r="A5339" s="16" t="s">
        <v>87</v>
      </c>
      <c r="E5339" s="16" t="str">
        <f>IFERROR(__xludf.DUMMYFUNCTION("""COMPUTED_VALUE"""),"")</f>
        <v/>
      </c>
      <c r="G5339" s="18"/>
      <c r="H5339" s="16" t="s">
        <v>87</v>
      </c>
      <c r="I5339" s="16" t="s">
        <v>87</v>
      </c>
      <c r="J5339" s="19"/>
      <c r="L5339" s="16" t="str">
        <f>IFERROR(__xludf.DUMMYFUNCTION("""COMPUTED_VALUE"""),"")</f>
        <v/>
      </c>
      <c r="M5339" s="16" t="str">
        <f>IFERROR(__xludf.DUMMYFUNCTION("""COMPUTED_VALUE"""),"")</f>
        <v/>
      </c>
      <c r="U5339" s="16" t="s">
        <v>87</v>
      </c>
      <c r="V5339" s="16" t="str">
        <f>IFERROR(__xludf.DUMMYFUNCTION("""COMPUTED_VALUE"""),"")</f>
        <v/>
      </c>
      <c r="W5339" s="16" t="str">
        <f>IFERROR(__xludf.DUMMYFUNCTION("""COMPUTED_VALUE"""),"")</f>
        <v/>
      </c>
      <c r="X5339" s="16" t="str">
        <f>IFERROR(__xludf.DUMMYFUNCTION("""COMPUTED_VALUE"""),"")</f>
        <v/>
      </c>
      <c r="AC5339" s="16" t="str">
        <f>IFERROR(__xludf.DUMMYFUNCTION("""COMPUTED_VALUE"""),"")</f>
        <v/>
      </c>
    </row>
    <row r="5340">
      <c r="A5340" s="16" t="s">
        <v>87</v>
      </c>
      <c r="E5340" s="16" t="str">
        <f>IFERROR(__xludf.DUMMYFUNCTION("""COMPUTED_VALUE"""),"")</f>
        <v/>
      </c>
      <c r="G5340" s="18"/>
      <c r="H5340" s="16" t="s">
        <v>87</v>
      </c>
      <c r="I5340" s="16" t="s">
        <v>87</v>
      </c>
      <c r="J5340" s="19"/>
      <c r="L5340" s="16" t="str">
        <f>IFERROR(__xludf.DUMMYFUNCTION("""COMPUTED_VALUE"""),"")</f>
        <v/>
      </c>
      <c r="M5340" s="16" t="str">
        <f>IFERROR(__xludf.DUMMYFUNCTION("""COMPUTED_VALUE"""),"")</f>
        <v/>
      </c>
      <c r="U5340" s="16" t="s">
        <v>87</v>
      </c>
      <c r="V5340" s="16" t="str">
        <f>IFERROR(__xludf.DUMMYFUNCTION("""COMPUTED_VALUE"""),"")</f>
        <v/>
      </c>
      <c r="W5340" s="16" t="str">
        <f>IFERROR(__xludf.DUMMYFUNCTION("""COMPUTED_VALUE"""),"")</f>
        <v/>
      </c>
      <c r="X5340" s="16" t="str">
        <f>IFERROR(__xludf.DUMMYFUNCTION("""COMPUTED_VALUE"""),"")</f>
        <v/>
      </c>
      <c r="AC5340" s="16" t="str">
        <f>IFERROR(__xludf.DUMMYFUNCTION("""COMPUTED_VALUE"""),"")</f>
        <v/>
      </c>
    </row>
    <row r="5341">
      <c r="A5341" s="16" t="s">
        <v>87</v>
      </c>
      <c r="E5341" s="16" t="str">
        <f>IFERROR(__xludf.DUMMYFUNCTION("""COMPUTED_VALUE"""),"")</f>
        <v/>
      </c>
      <c r="G5341" s="18"/>
      <c r="H5341" s="16" t="s">
        <v>87</v>
      </c>
      <c r="I5341" s="16" t="s">
        <v>87</v>
      </c>
      <c r="J5341" s="19"/>
      <c r="L5341" s="16" t="str">
        <f>IFERROR(__xludf.DUMMYFUNCTION("""COMPUTED_VALUE"""),"")</f>
        <v/>
      </c>
      <c r="M5341" s="16" t="str">
        <f>IFERROR(__xludf.DUMMYFUNCTION("""COMPUTED_VALUE"""),"")</f>
        <v/>
      </c>
      <c r="U5341" s="16" t="s">
        <v>87</v>
      </c>
      <c r="V5341" s="16" t="str">
        <f>IFERROR(__xludf.DUMMYFUNCTION("""COMPUTED_VALUE"""),"")</f>
        <v/>
      </c>
      <c r="W5341" s="16" t="str">
        <f>IFERROR(__xludf.DUMMYFUNCTION("""COMPUTED_VALUE"""),"")</f>
        <v/>
      </c>
      <c r="X5341" s="16" t="str">
        <f>IFERROR(__xludf.DUMMYFUNCTION("""COMPUTED_VALUE"""),"")</f>
        <v/>
      </c>
      <c r="AC5341" s="16" t="str">
        <f>IFERROR(__xludf.DUMMYFUNCTION("""COMPUTED_VALUE"""),"")</f>
        <v/>
      </c>
    </row>
    <row r="5342">
      <c r="A5342" s="16" t="s">
        <v>87</v>
      </c>
      <c r="E5342" s="16" t="str">
        <f>IFERROR(__xludf.DUMMYFUNCTION("""COMPUTED_VALUE"""),"")</f>
        <v/>
      </c>
      <c r="G5342" s="18"/>
      <c r="H5342" s="16" t="s">
        <v>87</v>
      </c>
      <c r="I5342" s="16" t="s">
        <v>87</v>
      </c>
      <c r="J5342" s="19"/>
      <c r="L5342" s="16" t="str">
        <f>IFERROR(__xludf.DUMMYFUNCTION("""COMPUTED_VALUE"""),"")</f>
        <v/>
      </c>
      <c r="M5342" s="16" t="str">
        <f>IFERROR(__xludf.DUMMYFUNCTION("""COMPUTED_VALUE"""),"")</f>
        <v/>
      </c>
      <c r="U5342" s="16" t="s">
        <v>87</v>
      </c>
      <c r="V5342" s="16" t="str">
        <f>IFERROR(__xludf.DUMMYFUNCTION("""COMPUTED_VALUE"""),"")</f>
        <v/>
      </c>
      <c r="W5342" s="16" t="str">
        <f>IFERROR(__xludf.DUMMYFUNCTION("""COMPUTED_VALUE"""),"")</f>
        <v/>
      </c>
      <c r="X5342" s="16" t="str">
        <f>IFERROR(__xludf.DUMMYFUNCTION("""COMPUTED_VALUE"""),"")</f>
        <v/>
      </c>
      <c r="AC5342" s="16" t="str">
        <f>IFERROR(__xludf.DUMMYFUNCTION("""COMPUTED_VALUE"""),"")</f>
        <v/>
      </c>
    </row>
    <row r="5343">
      <c r="A5343" s="16" t="s">
        <v>87</v>
      </c>
      <c r="E5343" s="16" t="str">
        <f>IFERROR(__xludf.DUMMYFUNCTION("""COMPUTED_VALUE"""),"")</f>
        <v/>
      </c>
      <c r="G5343" s="18"/>
      <c r="H5343" s="16" t="s">
        <v>87</v>
      </c>
      <c r="I5343" s="16" t="s">
        <v>87</v>
      </c>
      <c r="J5343" s="19"/>
      <c r="L5343" s="16" t="str">
        <f>IFERROR(__xludf.DUMMYFUNCTION("""COMPUTED_VALUE"""),"")</f>
        <v/>
      </c>
      <c r="M5343" s="16" t="str">
        <f>IFERROR(__xludf.DUMMYFUNCTION("""COMPUTED_VALUE"""),"")</f>
        <v/>
      </c>
      <c r="U5343" s="16" t="s">
        <v>87</v>
      </c>
      <c r="V5343" s="16" t="str">
        <f>IFERROR(__xludf.DUMMYFUNCTION("""COMPUTED_VALUE"""),"")</f>
        <v/>
      </c>
      <c r="W5343" s="16" t="str">
        <f>IFERROR(__xludf.DUMMYFUNCTION("""COMPUTED_VALUE"""),"")</f>
        <v/>
      </c>
      <c r="X5343" s="16" t="str">
        <f>IFERROR(__xludf.DUMMYFUNCTION("""COMPUTED_VALUE"""),"")</f>
        <v/>
      </c>
      <c r="AC5343" s="16" t="str">
        <f>IFERROR(__xludf.DUMMYFUNCTION("""COMPUTED_VALUE"""),"")</f>
        <v/>
      </c>
    </row>
    <row r="5344">
      <c r="A5344" s="16" t="s">
        <v>87</v>
      </c>
      <c r="E5344" s="16" t="str">
        <f>IFERROR(__xludf.DUMMYFUNCTION("""COMPUTED_VALUE"""),"")</f>
        <v/>
      </c>
      <c r="G5344" s="18"/>
      <c r="H5344" s="16" t="s">
        <v>87</v>
      </c>
      <c r="I5344" s="16" t="s">
        <v>87</v>
      </c>
      <c r="J5344" s="19"/>
      <c r="L5344" s="16" t="str">
        <f>IFERROR(__xludf.DUMMYFUNCTION("""COMPUTED_VALUE"""),"")</f>
        <v/>
      </c>
      <c r="M5344" s="16" t="str">
        <f>IFERROR(__xludf.DUMMYFUNCTION("""COMPUTED_VALUE"""),"")</f>
        <v/>
      </c>
      <c r="U5344" s="16" t="s">
        <v>87</v>
      </c>
      <c r="V5344" s="16" t="str">
        <f>IFERROR(__xludf.DUMMYFUNCTION("""COMPUTED_VALUE"""),"")</f>
        <v/>
      </c>
      <c r="W5344" s="16" t="str">
        <f>IFERROR(__xludf.DUMMYFUNCTION("""COMPUTED_VALUE"""),"")</f>
        <v/>
      </c>
      <c r="X5344" s="16" t="str">
        <f>IFERROR(__xludf.DUMMYFUNCTION("""COMPUTED_VALUE"""),"")</f>
        <v/>
      </c>
      <c r="AC5344" s="16" t="str">
        <f>IFERROR(__xludf.DUMMYFUNCTION("""COMPUTED_VALUE"""),"")</f>
        <v/>
      </c>
    </row>
    <row r="5345">
      <c r="A5345" s="16" t="s">
        <v>87</v>
      </c>
      <c r="E5345" s="16" t="str">
        <f>IFERROR(__xludf.DUMMYFUNCTION("""COMPUTED_VALUE"""),"")</f>
        <v/>
      </c>
      <c r="G5345" s="18"/>
      <c r="H5345" s="16" t="s">
        <v>87</v>
      </c>
      <c r="I5345" s="16" t="s">
        <v>87</v>
      </c>
      <c r="J5345" s="19"/>
      <c r="L5345" s="16" t="str">
        <f>IFERROR(__xludf.DUMMYFUNCTION("""COMPUTED_VALUE"""),"")</f>
        <v/>
      </c>
      <c r="M5345" s="16" t="str">
        <f>IFERROR(__xludf.DUMMYFUNCTION("""COMPUTED_VALUE"""),"")</f>
        <v/>
      </c>
      <c r="U5345" s="16" t="s">
        <v>87</v>
      </c>
      <c r="V5345" s="16" t="str">
        <f>IFERROR(__xludf.DUMMYFUNCTION("""COMPUTED_VALUE"""),"")</f>
        <v/>
      </c>
      <c r="W5345" s="16" t="str">
        <f>IFERROR(__xludf.DUMMYFUNCTION("""COMPUTED_VALUE"""),"")</f>
        <v/>
      </c>
      <c r="X5345" s="16" t="str">
        <f>IFERROR(__xludf.DUMMYFUNCTION("""COMPUTED_VALUE"""),"")</f>
        <v/>
      </c>
      <c r="AC5345" s="16" t="str">
        <f>IFERROR(__xludf.DUMMYFUNCTION("""COMPUTED_VALUE"""),"")</f>
        <v/>
      </c>
    </row>
    <row r="5346">
      <c r="A5346" s="16" t="s">
        <v>87</v>
      </c>
      <c r="E5346" s="16" t="str">
        <f>IFERROR(__xludf.DUMMYFUNCTION("""COMPUTED_VALUE"""),"")</f>
        <v/>
      </c>
      <c r="G5346" s="18"/>
      <c r="H5346" s="16" t="s">
        <v>87</v>
      </c>
      <c r="I5346" s="16" t="s">
        <v>87</v>
      </c>
      <c r="J5346" s="19"/>
      <c r="L5346" s="16" t="str">
        <f>IFERROR(__xludf.DUMMYFUNCTION("""COMPUTED_VALUE"""),"")</f>
        <v/>
      </c>
      <c r="M5346" s="16" t="str">
        <f>IFERROR(__xludf.DUMMYFUNCTION("""COMPUTED_VALUE"""),"")</f>
        <v/>
      </c>
      <c r="U5346" s="16" t="s">
        <v>87</v>
      </c>
      <c r="V5346" s="16" t="str">
        <f>IFERROR(__xludf.DUMMYFUNCTION("""COMPUTED_VALUE"""),"")</f>
        <v/>
      </c>
      <c r="W5346" s="16" t="str">
        <f>IFERROR(__xludf.DUMMYFUNCTION("""COMPUTED_VALUE"""),"")</f>
        <v/>
      </c>
      <c r="X5346" s="16" t="str">
        <f>IFERROR(__xludf.DUMMYFUNCTION("""COMPUTED_VALUE"""),"")</f>
        <v/>
      </c>
      <c r="AC5346" s="16" t="str">
        <f>IFERROR(__xludf.DUMMYFUNCTION("""COMPUTED_VALUE"""),"")</f>
        <v/>
      </c>
    </row>
    <row r="5347">
      <c r="A5347" s="16" t="s">
        <v>87</v>
      </c>
      <c r="E5347" s="16" t="str">
        <f>IFERROR(__xludf.DUMMYFUNCTION("""COMPUTED_VALUE"""),"")</f>
        <v/>
      </c>
      <c r="G5347" s="18"/>
      <c r="H5347" s="16" t="s">
        <v>87</v>
      </c>
      <c r="I5347" s="16" t="s">
        <v>87</v>
      </c>
      <c r="J5347" s="19"/>
      <c r="L5347" s="16" t="str">
        <f>IFERROR(__xludf.DUMMYFUNCTION("""COMPUTED_VALUE"""),"")</f>
        <v/>
      </c>
      <c r="M5347" s="16" t="str">
        <f>IFERROR(__xludf.DUMMYFUNCTION("""COMPUTED_VALUE"""),"")</f>
        <v/>
      </c>
      <c r="U5347" s="16" t="s">
        <v>87</v>
      </c>
      <c r="V5347" s="16" t="str">
        <f>IFERROR(__xludf.DUMMYFUNCTION("""COMPUTED_VALUE"""),"")</f>
        <v/>
      </c>
      <c r="W5347" s="16" t="str">
        <f>IFERROR(__xludf.DUMMYFUNCTION("""COMPUTED_VALUE"""),"")</f>
        <v/>
      </c>
      <c r="X5347" s="16" t="str">
        <f>IFERROR(__xludf.DUMMYFUNCTION("""COMPUTED_VALUE"""),"")</f>
        <v/>
      </c>
      <c r="AC5347" s="16" t="str">
        <f>IFERROR(__xludf.DUMMYFUNCTION("""COMPUTED_VALUE"""),"")</f>
        <v/>
      </c>
    </row>
    <row r="5348">
      <c r="A5348" s="16" t="s">
        <v>87</v>
      </c>
      <c r="E5348" s="16" t="str">
        <f>IFERROR(__xludf.DUMMYFUNCTION("""COMPUTED_VALUE"""),"")</f>
        <v/>
      </c>
      <c r="G5348" s="18"/>
      <c r="H5348" s="16" t="s">
        <v>87</v>
      </c>
      <c r="I5348" s="16" t="s">
        <v>87</v>
      </c>
      <c r="J5348" s="19"/>
      <c r="L5348" s="16" t="str">
        <f>IFERROR(__xludf.DUMMYFUNCTION("""COMPUTED_VALUE"""),"")</f>
        <v/>
      </c>
      <c r="M5348" s="16" t="str">
        <f>IFERROR(__xludf.DUMMYFUNCTION("""COMPUTED_VALUE"""),"")</f>
        <v/>
      </c>
      <c r="U5348" s="16" t="s">
        <v>87</v>
      </c>
      <c r="V5348" s="16" t="str">
        <f>IFERROR(__xludf.DUMMYFUNCTION("""COMPUTED_VALUE"""),"")</f>
        <v/>
      </c>
      <c r="W5348" s="16" t="str">
        <f>IFERROR(__xludf.DUMMYFUNCTION("""COMPUTED_VALUE"""),"")</f>
        <v/>
      </c>
      <c r="X5348" s="16" t="str">
        <f>IFERROR(__xludf.DUMMYFUNCTION("""COMPUTED_VALUE"""),"")</f>
        <v/>
      </c>
      <c r="AC5348" s="16" t="str">
        <f>IFERROR(__xludf.DUMMYFUNCTION("""COMPUTED_VALUE"""),"")</f>
        <v/>
      </c>
    </row>
    <row r="5349">
      <c r="A5349" s="16" t="s">
        <v>87</v>
      </c>
      <c r="E5349" s="16" t="str">
        <f>IFERROR(__xludf.DUMMYFUNCTION("""COMPUTED_VALUE"""),"")</f>
        <v/>
      </c>
      <c r="G5349" s="18"/>
      <c r="H5349" s="16" t="s">
        <v>87</v>
      </c>
      <c r="I5349" s="16" t="s">
        <v>87</v>
      </c>
      <c r="J5349" s="19"/>
      <c r="L5349" s="16" t="str">
        <f>IFERROR(__xludf.DUMMYFUNCTION("""COMPUTED_VALUE"""),"")</f>
        <v/>
      </c>
      <c r="M5349" s="16" t="str">
        <f>IFERROR(__xludf.DUMMYFUNCTION("""COMPUTED_VALUE"""),"")</f>
        <v/>
      </c>
      <c r="U5349" s="16" t="s">
        <v>87</v>
      </c>
      <c r="V5349" s="16" t="str">
        <f>IFERROR(__xludf.DUMMYFUNCTION("""COMPUTED_VALUE"""),"")</f>
        <v/>
      </c>
      <c r="W5349" s="16" t="str">
        <f>IFERROR(__xludf.DUMMYFUNCTION("""COMPUTED_VALUE"""),"")</f>
        <v/>
      </c>
      <c r="X5349" s="16" t="str">
        <f>IFERROR(__xludf.DUMMYFUNCTION("""COMPUTED_VALUE"""),"")</f>
        <v/>
      </c>
      <c r="AC5349" s="16" t="str">
        <f>IFERROR(__xludf.DUMMYFUNCTION("""COMPUTED_VALUE"""),"")</f>
        <v/>
      </c>
    </row>
    <row r="5350">
      <c r="A5350" s="16" t="s">
        <v>87</v>
      </c>
      <c r="E5350" s="16" t="str">
        <f>IFERROR(__xludf.DUMMYFUNCTION("""COMPUTED_VALUE"""),"")</f>
        <v/>
      </c>
      <c r="G5350" s="18"/>
      <c r="H5350" s="16" t="s">
        <v>87</v>
      </c>
      <c r="I5350" s="16" t="s">
        <v>87</v>
      </c>
      <c r="J5350" s="19"/>
      <c r="L5350" s="16" t="str">
        <f>IFERROR(__xludf.DUMMYFUNCTION("""COMPUTED_VALUE"""),"")</f>
        <v/>
      </c>
      <c r="M5350" s="16" t="str">
        <f>IFERROR(__xludf.DUMMYFUNCTION("""COMPUTED_VALUE"""),"")</f>
        <v/>
      </c>
      <c r="U5350" s="16" t="s">
        <v>87</v>
      </c>
      <c r="V5350" s="16" t="str">
        <f>IFERROR(__xludf.DUMMYFUNCTION("""COMPUTED_VALUE"""),"")</f>
        <v/>
      </c>
      <c r="W5350" s="16" t="str">
        <f>IFERROR(__xludf.DUMMYFUNCTION("""COMPUTED_VALUE"""),"")</f>
        <v/>
      </c>
      <c r="X5350" s="16" t="str">
        <f>IFERROR(__xludf.DUMMYFUNCTION("""COMPUTED_VALUE"""),"")</f>
        <v/>
      </c>
      <c r="AC5350" s="16" t="str">
        <f>IFERROR(__xludf.DUMMYFUNCTION("""COMPUTED_VALUE"""),"")</f>
        <v/>
      </c>
    </row>
    <row r="5351">
      <c r="A5351" s="16" t="s">
        <v>87</v>
      </c>
      <c r="E5351" s="16" t="str">
        <f>IFERROR(__xludf.DUMMYFUNCTION("""COMPUTED_VALUE"""),"")</f>
        <v/>
      </c>
      <c r="G5351" s="18"/>
      <c r="H5351" s="16" t="s">
        <v>87</v>
      </c>
      <c r="I5351" s="16" t="s">
        <v>87</v>
      </c>
      <c r="J5351" s="19"/>
      <c r="L5351" s="16" t="str">
        <f>IFERROR(__xludf.DUMMYFUNCTION("""COMPUTED_VALUE"""),"")</f>
        <v/>
      </c>
      <c r="M5351" s="16" t="str">
        <f>IFERROR(__xludf.DUMMYFUNCTION("""COMPUTED_VALUE"""),"")</f>
        <v/>
      </c>
      <c r="U5351" s="16" t="s">
        <v>87</v>
      </c>
      <c r="V5351" s="16" t="str">
        <f>IFERROR(__xludf.DUMMYFUNCTION("""COMPUTED_VALUE"""),"")</f>
        <v/>
      </c>
      <c r="W5351" s="16" t="str">
        <f>IFERROR(__xludf.DUMMYFUNCTION("""COMPUTED_VALUE"""),"")</f>
        <v/>
      </c>
      <c r="X5351" s="16" t="str">
        <f>IFERROR(__xludf.DUMMYFUNCTION("""COMPUTED_VALUE"""),"")</f>
        <v/>
      </c>
      <c r="AC5351" s="16" t="str">
        <f>IFERROR(__xludf.DUMMYFUNCTION("""COMPUTED_VALUE"""),"")</f>
        <v/>
      </c>
    </row>
    <row r="5352">
      <c r="A5352" s="16" t="s">
        <v>87</v>
      </c>
      <c r="E5352" s="16" t="str">
        <f>IFERROR(__xludf.DUMMYFUNCTION("""COMPUTED_VALUE"""),"")</f>
        <v/>
      </c>
      <c r="G5352" s="18"/>
      <c r="H5352" s="16" t="s">
        <v>87</v>
      </c>
      <c r="I5352" s="16" t="s">
        <v>87</v>
      </c>
      <c r="J5352" s="19"/>
      <c r="L5352" s="16" t="str">
        <f>IFERROR(__xludf.DUMMYFUNCTION("""COMPUTED_VALUE"""),"")</f>
        <v/>
      </c>
      <c r="M5352" s="16" t="str">
        <f>IFERROR(__xludf.DUMMYFUNCTION("""COMPUTED_VALUE"""),"")</f>
        <v/>
      </c>
      <c r="U5352" s="16" t="s">
        <v>87</v>
      </c>
      <c r="V5352" s="16" t="str">
        <f>IFERROR(__xludf.DUMMYFUNCTION("""COMPUTED_VALUE"""),"")</f>
        <v/>
      </c>
      <c r="W5352" s="16" t="str">
        <f>IFERROR(__xludf.DUMMYFUNCTION("""COMPUTED_VALUE"""),"")</f>
        <v/>
      </c>
      <c r="X5352" s="16" t="str">
        <f>IFERROR(__xludf.DUMMYFUNCTION("""COMPUTED_VALUE"""),"")</f>
        <v/>
      </c>
      <c r="AC5352" s="16" t="str">
        <f>IFERROR(__xludf.DUMMYFUNCTION("""COMPUTED_VALUE"""),"")</f>
        <v/>
      </c>
    </row>
    <row r="5353">
      <c r="A5353" s="16" t="s">
        <v>87</v>
      </c>
      <c r="E5353" s="16" t="str">
        <f>IFERROR(__xludf.DUMMYFUNCTION("""COMPUTED_VALUE"""),"")</f>
        <v/>
      </c>
      <c r="G5353" s="18"/>
      <c r="H5353" s="16" t="s">
        <v>87</v>
      </c>
      <c r="I5353" s="16" t="s">
        <v>87</v>
      </c>
      <c r="J5353" s="19"/>
      <c r="L5353" s="16" t="str">
        <f>IFERROR(__xludf.DUMMYFUNCTION("""COMPUTED_VALUE"""),"")</f>
        <v/>
      </c>
      <c r="M5353" s="16" t="str">
        <f>IFERROR(__xludf.DUMMYFUNCTION("""COMPUTED_VALUE"""),"")</f>
        <v/>
      </c>
      <c r="U5353" s="16" t="s">
        <v>87</v>
      </c>
      <c r="V5353" s="16" t="str">
        <f>IFERROR(__xludf.DUMMYFUNCTION("""COMPUTED_VALUE"""),"")</f>
        <v/>
      </c>
      <c r="W5353" s="16" t="str">
        <f>IFERROR(__xludf.DUMMYFUNCTION("""COMPUTED_VALUE"""),"")</f>
        <v/>
      </c>
      <c r="X5353" s="16" t="str">
        <f>IFERROR(__xludf.DUMMYFUNCTION("""COMPUTED_VALUE"""),"")</f>
        <v/>
      </c>
      <c r="AC5353" s="16" t="str">
        <f>IFERROR(__xludf.DUMMYFUNCTION("""COMPUTED_VALUE"""),"")</f>
        <v/>
      </c>
    </row>
    <row r="5354">
      <c r="A5354" s="16" t="s">
        <v>87</v>
      </c>
      <c r="E5354" s="16" t="str">
        <f>IFERROR(__xludf.DUMMYFUNCTION("""COMPUTED_VALUE"""),"")</f>
        <v/>
      </c>
      <c r="G5354" s="18"/>
      <c r="H5354" s="16" t="s">
        <v>87</v>
      </c>
      <c r="I5354" s="16" t="s">
        <v>87</v>
      </c>
      <c r="J5354" s="19"/>
      <c r="L5354" s="16" t="str">
        <f>IFERROR(__xludf.DUMMYFUNCTION("""COMPUTED_VALUE"""),"")</f>
        <v/>
      </c>
      <c r="M5354" s="16" t="str">
        <f>IFERROR(__xludf.DUMMYFUNCTION("""COMPUTED_VALUE"""),"")</f>
        <v/>
      </c>
      <c r="U5354" s="16" t="s">
        <v>87</v>
      </c>
      <c r="V5354" s="16" t="str">
        <f>IFERROR(__xludf.DUMMYFUNCTION("""COMPUTED_VALUE"""),"")</f>
        <v/>
      </c>
      <c r="W5354" s="16" t="str">
        <f>IFERROR(__xludf.DUMMYFUNCTION("""COMPUTED_VALUE"""),"")</f>
        <v/>
      </c>
      <c r="X5354" s="16" t="str">
        <f>IFERROR(__xludf.DUMMYFUNCTION("""COMPUTED_VALUE"""),"")</f>
        <v/>
      </c>
      <c r="AC5354" s="16" t="str">
        <f>IFERROR(__xludf.DUMMYFUNCTION("""COMPUTED_VALUE"""),"")</f>
        <v/>
      </c>
    </row>
    <row r="5355">
      <c r="A5355" s="16" t="s">
        <v>87</v>
      </c>
      <c r="E5355" s="16" t="str">
        <f>IFERROR(__xludf.DUMMYFUNCTION("""COMPUTED_VALUE"""),"")</f>
        <v/>
      </c>
      <c r="G5355" s="18"/>
      <c r="H5355" s="16" t="s">
        <v>87</v>
      </c>
      <c r="I5355" s="16" t="s">
        <v>87</v>
      </c>
      <c r="J5355" s="19"/>
      <c r="L5355" s="16" t="str">
        <f>IFERROR(__xludf.DUMMYFUNCTION("""COMPUTED_VALUE"""),"")</f>
        <v/>
      </c>
      <c r="M5355" s="16" t="str">
        <f>IFERROR(__xludf.DUMMYFUNCTION("""COMPUTED_VALUE"""),"")</f>
        <v/>
      </c>
      <c r="U5355" s="16" t="s">
        <v>87</v>
      </c>
      <c r="V5355" s="16" t="str">
        <f>IFERROR(__xludf.DUMMYFUNCTION("""COMPUTED_VALUE"""),"")</f>
        <v/>
      </c>
      <c r="W5355" s="16" t="str">
        <f>IFERROR(__xludf.DUMMYFUNCTION("""COMPUTED_VALUE"""),"")</f>
        <v/>
      </c>
      <c r="X5355" s="16" t="str">
        <f>IFERROR(__xludf.DUMMYFUNCTION("""COMPUTED_VALUE"""),"")</f>
        <v/>
      </c>
      <c r="AC5355" s="16" t="str">
        <f>IFERROR(__xludf.DUMMYFUNCTION("""COMPUTED_VALUE"""),"")</f>
        <v/>
      </c>
    </row>
    <row r="5356">
      <c r="A5356" s="16" t="s">
        <v>87</v>
      </c>
      <c r="E5356" s="16" t="str">
        <f>IFERROR(__xludf.DUMMYFUNCTION("""COMPUTED_VALUE"""),"")</f>
        <v/>
      </c>
      <c r="G5356" s="18"/>
      <c r="H5356" s="16" t="s">
        <v>87</v>
      </c>
      <c r="I5356" s="16" t="s">
        <v>87</v>
      </c>
      <c r="J5356" s="19"/>
      <c r="L5356" s="16" t="str">
        <f>IFERROR(__xludf.DUMMYFUNCTION("""COMPUTED_VALUE"""),"")</f>
        <v/>
      </c>
      <c r="M5356" s="16" t="str">
        <f>IFERROR(__xludf.DUMMYFUNCTION("""COMPUTED_VALUE"""),"")</f>
        <v/>
      </c>
      <c r="U5356" s="16" t="s">
        <v>87</v>
      </c>
      <c r="V5356" s="16" t="str">
        <f>IFERROR(__xludf.DUMMYFUNCTION("""COMPUTED_VALUE"""),"")</f>
        <v/>
      </c>
      <c r="W5356" s="16" t="str">
        <f>IFERROR(__xludf.DUMMYFUNCTION("""COMPUTED_VALUE"""),"")</f>
        <v/>
      </c>
      <c r="X5356" s="16" t="str">
        <f>IFERROR(__xludf.DUMMYFUNCTION("""COMPUTED_VALUE"""),"")</f>
        <v/>
      </c>
      <c r="AC5356" s="16" t="str">
        <f>IFERROR(__xludf.DUMMYFUNCTION("""COMPUTED_VALUE"""),"")</f>
        <v/>
      </c>
    </row>
    <row r="5357">
      <c r="A5357" s="16" t="s">
        <v>87</v>
      </c>
      <c r="E5357" s="16" t="str">
        <f>IFERROR(__xludf.DUMMYFUNCTION("""COMPUTED_VALUE"""),"")</f>
        <v/>
      </c>
      <c r="G5357" s="18"/>
      <c r="H5357" s="16" t="s">
        <v>87</v>
      </c>
      <c r="I5357" s="16" t="s">
        <v>87</v>
      </c>
      <c r="J5357" s="19"/>
      <c r="L5357" s="16" t="str">
        <f>IFERROR(__xludf.DUMMYFUNCTION("""COMPUTED_VALUE"""),"")</f>
        <v/>
      </c>
      <c r="M5357" s="16" t="str">
        <f>IFERROR(__xludf.DUMMYFUNCTION("""COMPUTED_VALUE"""),"")</f>
        <v/>
      </c>
      <c r="U5357" s="16" t="s">
        <v>87</v>
      </c>
      <c r="V5357" s="16" t="str">
        <f>IFERROR(__xludf.DUMMYFUNCTION("""COMPUTED_VALUE"""),"")</f>
        <v/>
      </c>
      <c r="W5357" s="16" t="str">
        <f>IFERROR(__xludf.DUMMYFUNCTION("""COMPUTED_VALUE"""),"")</f>
        <v/>
      </c>
      <c r="X5357" s="16" t="str">
        <f>IFERROR(__xludf.DUMMYFUNCTION("""COMPUTED_VALUE"""),"")</f>
        <v/>
      </c>
      <c r="AC5357" s="16" t="str">
        <f>IFERROR(__xludf.DUMMYFUNCTION("""COMPUTED_VALUE"""),"")</f>
        <v/>
      </c>
    </row>
    <row r="5358">
      <c r="A5358" s="16" t="s">
        <v>87</v>
      </c>
      <c r="E5358" s="16" t="str">
        <f>IFERROR(__xludf.DUMMYFUNCTION("""COMPUTED_VALUE"""),"")</f>
        <v/>
      </c>
      <c r="G5358" s="18"/>
      <c r="H5358" s="16" t="s">
        <v>87</v>
      </c>
      <c r="I5358" s="16" t="s">
        <v>87</v>
      </c>
      <c r="J5358" s="19"/>
      <c r="L5358" s="16" t="str">
        <f>IFERROR(__xludf.DUMMYFUNCTION("""COMPUTED_VALUE"""),"")</f>
        <v/>
      </c>
      <c r="M5358" s="16" t="str">
        <f>IFERROR(__xludf.DUMMYFUNCTION("""COMPUTED_VALUE"""),"")</f>
        <v/>
      </c>
      <c r="U5358" s="16" t="s">
        <v>87</v>
      </c>
      <c r="V5358" s="16" t="str">
        <f>IFERROR(__xludf.DUMMYFUNCTION("""COMPUTED_VALUE"""),"")</f>
        <v/>
      </c>
      <c r="W5358" s="16" t="str">
        <f>IFERROR(__xludf.DUMMYFUNCTION("""COMPUTED_VALUE"""),"")</f>
        <v/>
      </c>
      <c r="X5358" s="16" t="str">
        <f>IFERROR(__xludf.DUMMYFUNCTION("""COMPUTED_VALUE"""),"")</f>
        <v/>
      </c>
      <c r="AC5358" s="16" t="str">
        <f>IFERROR(__xludf.DUMMYFUNCTION("""COMPUTED_VALUE"""),"")</f>
        <v/>
      </c>
    </row>
    <row r="5359">
      <c r="A5359" s="16" t="s">
        <v>87</v>
      </c>
      <c r="E5359" s="16" t="str">
        <f>IFERROR(__xludf.DUMMYFUNCTION("""COMPUTED_VALUE"""),"")</f>
        <v/>
      </c>
      <c r="G5359" s="18"/>
      <c r="H5359" s="16" t="s">
        <v>87</v>
      </c>
      <c r="I5359" s="16" t="s">
        <v>87</v>
      </c>
      <c r="J5359" s="19"/>
      <c r="L5359" s="16" t="str">
        <f>IFERROR(__xludf.DUMMYFUNCTION("""COMPUTED_VALUE"""),"")</f>
        <v/>
      </c>
      <c r="M5359" s="16" t="str">
        <f>IFERROR(__xludf.DUMMYFUNCTION("""COMPUTED_VALUE"""),"")</f>
        <v/>
      </c>
      <c r="U5359" s="16" t="s">
        <v>87</v>
      </c>
      <c r="V5359" s="16" t="str">
        <f>IFERROR(__xludf.DUMMYFUNCTION("""COMPUTED_VALUE"""),"")</f>
        <v/>
      </c>
      <c r="W5359" s="16" t="str">
        <f>IFERROR(__xludf.DUMMYFUNCTION("""COMPUTED_VALUE"""),"")</f>
        <v/>
      </c>
      <c r="X5359" s="16" t="str">
        <f>IFERROR(__xludf.DUMMYFUNCTION("""COMPUTED_VALUE"""),"")</f>
        <v/>
      </c>
      <c r="AC5359" s="16" t="str">
        <f>IFERROR(__xludf.DUMMYFUNCTION("""COMPUTED_VALUE"""),"")</f>
        <v/>
      </c>
    </row>
    <row r="5360">
      <c r="A5360" s="16" t="s">
        <v>87</v>
      </c>
      <c r="E5360" s="16" t="str">
        <f>IFERROR(__xludf.DUMMYFUNCTION("""COMPUTED_VALUE"""),"")</f>
        <v/>
      </c>
      <c r="G5360" s="18"/>
      <c r="H5360" s="16" t="s">
        <v>87</v>
      </c>
      <c r="I5360" s="16" t="s">
        <v>87</v>
      </c>
      <c r="J5360" s="19"/>
      <c r="L5360" s="16" t="str">
        <f>IFERROR(__xludf.DUMMYFUNCTION("""COMPUTED_VALUE"""),"")</f>
        <v/>
      </c>
      <c r="M5360" s="16" t="str">
        <f>IFERROR(__xludf.DUMMYFUNCTION("""COMPUTED_VALUE"""),"")</f>
        <v/>
      </c>
      <c r="U5360" s="16" t="s">
        <v>87</v>
      </c>
      <c r="V5360" s="16" t="str">
        <f>IFERROR(__xludf.DUMMYFUNCTION("""COMPUTED_VALUE"""),"")</f>
        <v/>
      </c>
      <c r="W5360" s="16" t="str">
        <f>IFERROR(__xludf.DUMMYFUNCTION("""COMPUTED_VALUE"""),"")</f>
        <v/>
      </c>
      <c r="X5360" s="16" t="str">
        <f>IFERROR(__xludf.DUMMYFUNCTION("""COMPUTED_VALUE"""),"")</f>
        <v/>
      </c>
      <c r="AC5360" s="16" t="str">
        <f>IFERROR(__xludf.DUMMYFUNCTION("""COMPUTED_VALUE"""),"")</f>
        <v/>
      </c>
    </row>
    <row r="5361">
      <c r="A5361" s="16" t="s">
        <v>87</v>
      </c>
      <c r="E5361" s="16" t="str">
        <f>IFERROR(__xludf.DUMMYFUNCTION("""COMPUTED_VALUE"""),"")</f>
        <v/>
      </c>
      <c r="G5361" s="18"/>
      <c r="H5361" s="16" t="s">
        <v>87</v>
      </c>
      <c r="I5361" s="16" t="s">
        <v>87</v>
      </c>
      <c r="J5361" s="19"/>
      <c r="L5361" s="16" t="str">
        <f>IFERROR(__xludf.DUMMYFUNCTION("""COMPUTED_VALUE"""),"")</f>
        <v/>
      </c>
      <c r="M5361" s="16" t="str">
        <f>IFERROR(__xludf.DUMMYFUNCTION("""COMPUTED_VALUE"""),"")</f>
        <v/>
      </c>
      <c r="U5361" s="16" t="s">
        <v>87</v>
      </c>
      <c r="V5361" s="16" t="str">
        <f>IFERROR(__xludf.DUMMYFUNCTION("""COMPUTED_VALUE"""),"")</f>
        <v/>
      </c>
      <c r="W5361" s="16" t="str">
        <f>IFERROR(__xludf.DUMMYFUNCTION("""COMPUTED_VALUE"""),"")</f>
        <v/>
      </c>
      <c r="X5361" s="16" t="str">
        <f>IFERROR(__xludf.DUMMYFUNCTION("""COMPUTED_VALUE"""),"")</f>
        <v/>
      </c>
      <c r="AC5361" s="16" t="str">
        <f>IFERROR(__xludf.DUMMYFUNCTION("""COMPUTED_VALUE"""),"")</f>
        <v/>
      </c>
    </row>
    <row r="5362">
      <c r="A5362" s="16" t="s">
        <v>87</v>
      </c>
      <c r="E5362" s="16" t="str">
        <f>IFERROR(__xludf.DUMMYFUNCTION("""COMPUTED_VALUE"""),"")</f>
        <v/>
      </c>
      <c r="G5362" s="18"/>
      <c r="H5362" s="16" t="s">
        <v>87</v>
      </c>
      <c r="I5362" s="16" t="s">
        <v>87</v>
      </c>
      <c r="J5362" s="19"/>
      <c r="L5362" s="16" t="str">
        <f>IFERROR(__xludf.DUMMYFUNCTION("""COMPUTED_VALUE"""),"")</f>
        <v/>
      </c>
      <c r="M5362" s="16" t="str">
        <f>IFERROR(__xludf.DUMMYFUNCTION("""COMPUTED_VALUE"""),"")</f>
        <v/>
      </c>
      <c r="U5362" s="16" t="s">
        <v>87</v>
      </c>
      <c r="V5362" s="16" t="str">
        <f>IFERROR(__xludf.DUMMYFUNCTION("""COMPUTED_VALUE"""),"")</f>
        <v/>
      </c>
      <c r="W5362" s="16" t="str">
        <f>IFERROR(__xludf.DUMMYFUNCTION("""COMPUTED_VALUE"""),"")</f>
        <v/>
      </c>
      <c r="X5362" s="16" t="str">
        <f>IFERROR(__xludf.DUMMYFUNCTION("""COMPUTED_VALUE"""),"")</f>
        <v/>
      </c>
      <c r="AC5362" s="16" t="str">
        <f>IFERROR(__xludf.DUMMYFUNCTION("""COMPUTED_VALUE"""),"")</f>
        <v/>
      </c>
    </row>
    <row r="5363">
      <c r="A5363" s="16" t="s">
        <v>87</v>
      </c>
      <c r="E5363" s="16" t="str">
        <f>IFERROR(__xludf.DUMMYFUNCTION("""COMPUTED_VALUE"""),"")</f>
        <v/>
      </c>
      <c r="G5363" s="18"/>
      <c r="H5363" s="16" t="s">
        <v>87</v>
      </c>
      <c r="I5363" s="16" t="s">
        <v>87</v>
      </c>
      <c r="J5363" s="19"/>
      <c r="L5363" s="16" t="str">
        <f>IFERROR(__xludf.DUMMYFUNCTION("""COMPUTED_VALUE"""),"")</f>
        <v/>
      </c>
      <c r="M5363" s="16" t="str">
        <f>IFERROR(__xludf.DUMMYFUNCTION("""COMPUTED_VALUE"""),"")</f>
        <v/>
      </c>
      <c r="U5363" s="16" t="s">
        <v>87</v>
      </c>
      <c r="V5363" s="16" t="str">
        <f>IFERROR(__xludf.DUMMYFUNCTION("""COMPUTED_VALUE"""),"")</f>
        <v/>
      </c>
      <c r="W5363" s="16" t="str">
        <f>IFERROR(__xludf.DUMMYFUNCTION("""COMPUTED_VALUE"""),"")</f>
        <v/>
      </c>
      <c r="X5363" s="16" t="str">
        <f>IFERROR(__xludf.DUMMYFUNCTION("""COMPUTED_VALUE"""),"")</f>
        <v/>
      </c>
      <c r="AC5363" s="16" t="str">
        <f>IFERROR(__xludf.DUMMYFUNCTION("""COMPUTED_VALUE"""),"")</f>
        <v/>
      </c>
    </row>
    <row r="5364">
      <c r="A5364" s="16" t="s">
        <v>87</v>
      </c>
      <c r="E5364" s="16" t="str">
        <f>IFERROR(__xludf.DUMMYFUNCTION("""COMPUTED_VALUE"""),"")</f>
        <v/>
      </c>
      <c r="G5364" s="18"/>
      <c r="H5364" s="16" t="s">
        <v>87</v>
      </c>
      <c r="I5364" s="16" t="s">
        <v>87</v>
      </c>
      <c r="J5364" s="19"/>
      <c r="L5364" s="16" t="str">
        <f>IFERROR(__xludf.DUMMYFUNCTION("""COMPUTED_VALUE"""),"")</f>
        <v/>
      </c>
      <c r="M5364" s="16" t="str">
        <f>IFERROR(__xludf.DUMMYFUNCTION("""COMPUTED_VALUE"""),"")</f>
        <v/>
      </c>
      <c r="U5364" s="16" t="s">
        <v>87</v>
      </c>
      <c r="V5364" s="16" t="str">
        <f>IFERROR(__xludf.DUMMYFUNCTION("""COMPUTED_VALUE"""),"")</f>
        <v/>
      </c>
      <c r="W5364" s="16" t="str">
        <f>IFERROR(__xludf.DUMMYFUNCTION("""COMPUTED_VALUE"""),"")</f>
        <v/>
      </c>
      <c r="X5364" s="16" t="str">
        <f>IFERROR(__xludf.DUMMYFUNCTION("""COMPUTED_VALUE"""),"")</f>
        <v/>
      </c>
      <c r="AC5364" s="16" t="str">
        <f>IFERROR(__xludf.DUMMYFUNCTION("""COMPUTED_VALUE"""),"")</f>
        <v/>
      </c>
    </row>
    <row r="5365">
      <c r="A5365" s="16" t="s">
        <v>87</v>
      </c>
      <c r="E5365" s="16" t="str">
        <f>IFERROR(__xludf.DUMMYFUNCTION("""COMPUTED_VALUE"""),"")</f>
        <v/>
      </c>
      <c r="G5365" s="18"/>
      <c r="H5365" s="16" t="s">
        <v>87</v>
      </c>
      <c r="I5365" s="16" t="s">
        <v>87</v>
      </c>
      <c r="J5365" s="19"/>
      <c r="L5365" s="16" t="str">
        <f>IFERROR(__xludf.DUMMYFUNCTION("""COMPUTED_VALUE"""),"")</f>
        <v/>
      </c>
      <c r="M5365" s="16" t="str">
        <f>IFERROR(__xludf.DUMMYFUNCTION("""COMPUTED_VALUE"""),"")</f>
        <v/>
      </c>
      <c r="U5365" s="16" t="s">
        <v>87</v>
      </c>
      <c r="V5365" s="16" t="str">
        <f>IFERROR(__xludf.DUMMYFUNCTION("""COMPUTED_VALUE"""),"")</f>
        <v/>
      </c>
      <c r="W5365" s="16" t="str">
        <f>IFERROR(__xludf.DUMMYFUNCTION("""COMPUTED_VALUE"""),"")</f>
        <v/>
      </c>
      <c r="X5365" s="16" t="str">
        <f>IFERROR(__xludf.DUMMYFUNCTION("""COMPUTED_VALUE"""),"")</f>
        <v/>
      </c>
      <c r="AC5365" s="16" t="str">
        <f>IFERROR(__xludf.DUMMYFUNCTION("""COMPUTED_VALUE"""),"")</f>
        <v/>
      </c>
    </row>
    <row r="5366">
      <c r="A5366" s="16" t="s">
        <v>87</v>
      </c>
      <c r="E5366" s="16" t="str">
        <f>IFERROR(__xludf.DUMMYFUNCTION("""COMPUTED_VALUE"""),"")</f>
        <v/>
      </c>
      <c r="G5366" s="18"/>
      <c r="H5366" s="16" t="s">
        <v>87</v>
      </c>
      <c r="I5366" s="16" t="s">
        <v>87</v>
      </c>
      <c r="J5366" s="19"/>
      <c r="L5366" s="16" t="str">
        <f>IFERROR(__xludf.DUMMYFUNCTION("""COMPUTED_VALUE"""),"")</f>
        <v/>
      </c>
      <c r="M5366" s="16" t="str">
        <f>IFERROR(__xludf.DUMMYFUNCTION("""COMPUTED_VALUE"""),"")</f>
        <v/>
      </c>
      <c r="U5366" s="16" t="s">
        <v>87</v>
      </c>
      <c r="V5366" s="16" t="str">
        <f>IFERROR(__xludf.DUMMYFUNCTION("""COMPUTED_VALUE"""),"")</f>
        <v/>
      </c>
      <c r="W5366" s="16" t="str">
        <f>IFERROR(__xludf.DUMMYFUNCTION("""COMPUTED_VALUE"""),"")</f>
        <v/>
      </c>
      <c r="X5366" s="16" t="str">
        <f>IFERROR(__xludf.DUMMYFUNCTION("""COMPUTED_VALUE"""),"")</f>
        <v/>
      </c>
      <c r="AC5366" s="16" t="str">
        <f>IFERROR(__xludf.DUMMYFUNCTION("""COMPUTED_VALUE"""),"")</f>
        <v/>
      </c>
    </row>
    <row r="5367">
      <c r="A5367" s="16" t="s">
        <v>87</v>
      </c>
      <c r="E5367" s="16" t="str">
        <f>IFERROR(__xludf.DUMMYFUNCTION("""COMPUTED_VALUE"""),"")</f>
        <v/>
      </c>
      <c r="G5367" s="18"/>
      <c r="H5367" s="16" t="s">
        <v>87</v>
      </c>
      <c r="I5367" s="16" t="s">
        <v>87</v>
      </c>
      <c r="J5367" s="19"/>
      <c r="L5367" s="16" t="str">
        <f>IFERROR(__xludf.DUMMYFUNCTION("""COMPUTED_VALUE"""),"")</f>
        <v/>
      </c>
      <c r="M5367" s="16" t="str">
        <f>IFERROR(__xludf.DUMMYFUNCTION("""COMPUTED_VALUE"""),"")</f>
        <v/>
      </c>
      <c r="U5367" s="16" t="s">
        <v>87</v>
      </c>
      <c r="V5367" s="16" t="str">
        <f>IFERROR(__xludf.DUMMYFUNCTION("""COMPUTED_VALUE"""),"")</f>
        <v/>
      </c>
      <c r="W5367" s="16" t="str">
        <f>IFERROR(__xludf.DUMMYFUNCTION("""COMPUTED_VALUE"""),"")</f>
        <v/>
      </c>
      <c r="X5367" s="16" t="str">
        <f>IFERROR(__xludf.DUMMYFUNCTION("""COMPUTED_VALUE"""),"")</f>
        <v/>
      </c>
      <c r="AC5367" s="16" t="str">
        <f>IFERROR(__xludf.DUMMYFUNCTION("""COMPUTED_VALUE"""),"")</f>
        <v/>
      </c>
    </row>
    <row r="5368">
      <c r="A5368" s="16" t="s">
        <v>87</v>
      </c>
      <c r="E5368" s="16" t="str">
        <f>IFERROR(__xludf.DUMMYFUNCTION("""COMPUTED_VALUE"""),"")</f>
        <v/>
      </c>
      <c r="G5368" s="18"/>
      <c r="H5368" s="16" t="s">
        <v>87</v>
      </c>
      <c r="I5368" s="16" t="s">
        <v>87</v>
      </c>
      <c r="J5368" s="19"/>
      <c r="L5368" s="16" t="str">
        <f>IFERROR(__xludf.DUMMYFUNCTION("""COMPUTED_VALUE"""),"")</f>
        <v/>
      </c>
      <c r="M5368" s="16" t="str">
        <f>IFERROR(__xludf.DUMMYFUNCTION("""COMPUTED_VALUE"""),"")</f>
        <v/>
      </c>
      <c r="U5368" s="16" t="s">
        <v>87</v>
      </c>
      <c r="V5368" s="16" t="str">
        <f>IFERROR(__xludf.DUMMYFUNCTION("""COMPUTED_VALUE"""),"")</f>
        <v/>
      </c>
      <c r="W5368" s="16" t="str">
        <f>IFERROR(__xludf.DUMMYFUNCTION("""COMPUTED_VALUE"""),"")</f>
        <v/>
      </c>
      <c r="X5368" s="16" t="str">
        <f>IFERROR(__xludf.DUMMYFUNCTION("""COMPUTED_VALUE"""),"")</f>
        <v/>
      </c>
      <c r="AC5368" s="16" t="str">
        <f>IFERROR(__xludf.DUMMYFUNCTION("""COMPUTED_VALUE"""),"")</f>
        <v/>
      </c>
    </row>
    <row r="5369">
      <c r="A5369" s="16" t="s">
        <v>87</v>
      </c>
      <c r="E5369" s="16" t="str">
        <f>IFERROR(__xludf.DUMMYFUNCTION("""COMPUTED_VALUE"""),"")</f>
        <v/>
      </c>
      <c r="G5369" s="18"/>
      <c r="H5369" s="16" t="s">
        <v>87</v>
      </c>
      <c r="I5369" s="16" t="s">
        <v>87</v>
      </c>
      <c r="J5369" s="19"/>
      <c r="L5369" s="16" t="str">
        <f>IFERROR(__xludf.DUMMYFUNCTION("""COMPUTED_VALUE"""),"")</f>
        <v/>
      </c>
      <c r="M5369" s="16" t="str">
        <f>IFERROR(__xludf.DUMMYFUNCTION("""COMPUTED_VALUE"""),"")</f>
        <v/>
      </c>
      <c r="U5369" s="16" t="s">
        <v>87</v>
      </c>
      <c r="V5369" s="16" t="str">
        <f>IFERROR(__xludf.DUMMYFUNCTION("""COMPUTED_VALUE"""),"")</f>
        <v/>
      </c>
      <c r="W5369" s="16" t="str">
        <f>IFERROR(__xludf.DUMMYFUNCTION("""COMPUTED_VALUE"""),"")</f>
        <v/>
      </c>
      <c r="X5369" s="16" t="str">
        <f>IFERROR(__xludf.DUMMYFUNCTION("""COMPUTED_VALUE"""),"")</f>
        <v/>
      </c>
      <c r="AC5369" s="16" t="str">
        <f>IFERROR(__xludf.DUMMYFUNCTION("""COMPUTED_VALUE"""),"")</f>
        <v/>
      </c>
    </row>
    <row r="5370">
      <c r="A5370" s="16" t="s">
        <v>87</v>
      </c>
      <c r="E5370" s="16" t="str">
        <f>IFERROR(__xludf.DUMMYFUNCTION("""COMPUTED_VALUE"""),"")</f>
        <v/>
      </c>
      <c r="G5370" s="18"/>
      <c r="H5370" s="16" t="s">
        <v>87</v>
      </c>
      <c r="I5370" s="16" t="s">
        <v>87</v>
      </c>
      <c r="J5370" s="19"/>
      <c r="L5370" s="16" t="str">
        <f>IFERROR(__xludf.DUMMYFUNCTION("""COMPUTED_VALUE"""),"")</f>
        <v/>
      </c>
      <c r="M5370" s="16" t="str">
        <f>IFERROR(__xludf.DUMMYFUNCTION("""COMPUTED_VALUE"""),"")</f>
        <v/>
      </c>
      <c r="U5370" s="16" t="s">
        <v>87</v>
      </c>
      <c r="V5370" s="16" t="str">
        <f>IFERROR(__xludf.DUMMYFUNCTION("""COMPUTED_VALUE"""),"")</f>
        <v/>
      </c>
      <c r="W5370" s="16" t="str">
        <f>IFERROR(__xludf.DUMMYFUNCTION("""COMPUTED_VALUE"""),"")</f>
        <v/>
      </c>
      <c r="X5370" s="16" t="str">
        <f>IFERROR(__xludf.DUMMYFUNCTION("""COMPUTED_VALUE"""),"")</f>
        <v/>
      </c>
      <c r="AC5370" s="16" t="str">
        <f>IFERROR(__xludf.DUMMYFUNCTION("""COMPUTED_VALUE"""),"")</f>
        <v/>
      </c>
    </row>
    <row r="5371">
      <c r="A5371" s="16" t="s">
        <v>87</v>
      </c>
      <c r="E5371" s="16" t="str">
        <f>IFERROR(__xludf.DUMMYFUNCTION("""COMPUTED_VALUE"""),"")</f>
        <v/>
      </c>
      <c r="G5371" s="18"/>
      <c r="H5371" s="16" t="s">
        <v>87</v>
      </c>
      <c r="I5371" s="16" t="s">
        <v>87</v>
      </c>
      <c r="J5371" s="19"/>
      <c r="L5371" s="16" t="str">
        <f>IFERROR(__xludf.DUMMYFUNCTION("""COMPUTED_VALUE"""),"")</f>
        <v/>
      </c>
      <c r="M5371" s="16" t="str">
        <f>IFERROR(__xludf.DUMMYFUNCTION("""COMPUTED_VALUE"""),"")</f>
        <v/>
      </c>
      <c r="U5371" s="16" t="s">
        <v>87</v>
      </c>
      <c r="V5371" s="16" t="str">
        <f>IFERROR(__xludf.DUMMYFUNCTION("""COMPUTED_VALUE"""),"")</f>
        <v/>
      </c>
      <c r="W5371" s="16" t="str">
        <f>IFERROR(__xludf.DUMMYFUNCTION("""COMPUTED_VALUE"""),"")</f>
        <v/>
      </c>
      <c r="X5371" s="16" t="str">
        <f>IFERROR(__xludf.DUMMYFUNCTION("""COMPUTED_VALUE"""),"")</f>
        <v/>
      </c>
      <c r="AC5371" s="16" t="str">
        <f>IFERROR(__xludf.DUMMYFUNCTION("""COMPUTED_VALUE"""),"")</f>
        <v/>
      </c>
    </row>
    <row r="5372">
      <c r="A5372" s="16" t="s">
        <v>87</v>
      </c>
      <c r="E5372" s="16" t="str">
        <f>IFERROR(__xludf.DUMMYFUNCTION("""COMPUTED_VALUE"""),"")</f>
        <v/>
      </c>
      <c r="G5372" s="18"/>
      <c r="H5372" s="16" t="s">
        <v>87</v>
      </c>
      <c r="I5372" s="16" t="s">
        <v>87</v>
      </c>
      <c r="J5372" s="19"/>
      <c r="L5372" s="16" t="str">
        <f>IFERROR(__xludf.DUMMYFUNCTION("""COMPUTED_VALUE"""),"")</f>
        <v/>
      </c>
      <c r="M5372" s="16" t="str">
        <f>IFERROR(__xludf.DUMMYFUNCTION("""COMPUTED_VALUE"""),"")</f>
        <v/>
      </c>
      <c r="U5372" s="16" t="s">
        <v>87</v>
      </c>
      <c r="V5372" s="16" t="str">
        <f>IFERROR(__xludf.DUMMYFUNCTION("""COMPUTED_VALUE"""),"")</f>
        <v/>
      </c>
      <c r="W5372" s="16" t="str">
        <f>IFERROR(__xludf.DUMMYFUNCTION("""COMPUTED_VALUE"""),"")</f>
        <v/>
      </c>
      <c r="X5372" s="16" t="str">
        <f>IFERROR(__xludf.DUMMYFUNCTION("""COMPUTED_VALUE"""),"")</f>
        <v/>
      </c>
      <c r="AC5372" s="16" t="str">
        <f>IFERROR(__xludf.DUMMYFUNCTION("""COMPUTED_VALUE"""),"")</f>
        <v/>
      </c>
    </row>
    <row r="5373">
      <c r="A5373" s="16" t="s">
        <v>87</v>
      </c>
      <c r="E5373" s="16" t="str">
        <f>IFERROR(__xludf.DUMMYFUNCTION("""COMPUTED_VALUE"""),"")</f>
        <v/>
      </c>
      <c r="G5373" s="18"/>
      <c r="H5373" s="16" t="s">
        <v>87</v>
      </c>
      <c r="I5373" s="16" t="s">
        <v>87</v>
      </c>
      <c r="J5373" s="19"/>
      <c r="L5373" s="16" t="str">
        <f>IFERROR(__xludf.DUMMYFUNCTION("""COMPUTED_VALUE"""),"")</f>
        <v/>
      </c>
      <c r="M5373" s="16" t="str">
        <f>IFERROR(__xludf.DUMMYFUNCTION("""COMPUTED_VALUE"""),"")</f>
        <v/>
      </c>
      <c r="U5373" s="16" t="s">
        <v>87</v>
      </c>
      <c r="V5373" s="16" t="str">
        <f>IFERROR(__xludf.DUMMYFUNCTION("""COMPUTED_VALUE"""),"")</f>
        <v/>
      </c>
      <c r="W5373" s="16" t="str">
        <f>IFERROR(__xludf.DUMMYFUNCTION("""COMPUTED_VALUE"""),"")</f>
        <v/>
      </c>
      <c r="X5373" s="16" t="str">
        <f>IFERROR(__xludf.DUMMYFUNCTION("""COMPUTED_VALUE"""),"")</f>
        <v/>
      </c>
      <c r="AC5373" s="16" t="str">
        <f>IFERROR(__xludf.DUMMYFUNCTION("""COMPUTED_VALUE"""),"")</f>
        <v/>
      </c>
    </row>
    <row r="5374">
      <c r="A5374" s="16" t="s">
        <v>87</v>
      </c>
      <c r="E5374" s="16" t="str">
        <f>IFERROR(__xludf.DUMMYFUNCTION("""COMPUTED_VALUE"""),"")</f>
        <v/>
      </c>
      <c r="G5374" s="18"/>
      <c r="H5374" s="16" t="s">
        <v>87</v>
      </c>
      <c r="I5374" s="16" t="s">
        <v>87</v>
      </c>
      <c r="J5374" s="19"/>
      <c r="L5374" s="16" t="str">
        <f>IFERROR(__xludf.DUMMYFUNCTION("""COMPUTED_VALUE"""),"")</f>
        <v/>
      </c>
      <c r="M5374" s="16" t="str">
        <f>IFERROR(__xludf.DUMMYFUNCTION("""COMPUTED_VALUE"""),"")</f>
        <v/>
      </c>
      <c r="U5374" s="16" t="s">
        <v>87</v>
      </c>
      <c r="V5374" s="16" t="str">
        <f>IFERROR(__xludf.DUMMYFUNCTION("""COMPUTED_VALUE"""),"")</f>
        <v/>
      </c>
      <c r="W5374" s="16" t="str">
        <f>IFERROR(__xludf.DUMMYFUNCTION("""COMPUTED_VALUE"""),"")</f>
        <v/>
      </c>
      <c r="X5374" s="16" t="str">
        <f>IFERROR(__xludf.DUMMYFUNCTION("""COMPUTED_VALUE"""),"")</f>
        <v/>
      </c>
      <c r="AC5374" s="16" t="str">
        <f>IFERROR(__xludf.DUMMYFUNCTION("""COMPUTED_VALUE"""),"")</f>
        <v/>
      </c>
    </row>
    <row r="5375">
      <c r="A5375" s="16" t="s">
        <v>87</v>
      </c>
      <c r="E5375" s="16" t="str">
        <f>IFERROR(__xludf.DUMMYFUNCTION("""COMPUTED_VALUE"""),"")</f>
        <v/>
      </c>
      <c r="G5375" s="18"/>
      <c r="H5375" s="16" t="s">
        <v>87</v>
      </c>
      <c r="I5375" s="16" t="s">
        <v>87</v>
      </c>
      <c r="J5375" s="19"/>
      <c r="L5375" s="16" t="str">
        <f>IFERROR(__xludf.DUMMYFUNCTION("""COMPUTED_VALUE"""),"")</f>
        <v/>
      </c>
      <c r="M5375" s="16" t="str">
        <f>IFERROR(__xludf.DUMMYFUNCTION("""COMPUTED_VALUE"""),"")</f>
        <v/>
      </c>
      <c r="U5375" s="16" t="s">
        <v>87</v>
      </c>
      <c r="V5375" s="16" t="str">
        <f>IFERROR(__xludf.DUMMYFUNCTION("""COMPUTED_VALUE"""),"")</f>
        <v/>
      </c>
      <c r="W5375" s="16" t="str">
        <f>IFERROR(__xludf.DUMMYFUNCTION("""COMPUTED_VALUE"""),"")</f>
        <v/>
      </c>
      <c r="X5375" s="16" t="str">
        <f>IFERROR(__xludf.DUMMYFUNCTION("""COMPUTED_VALUE"""),"")</f>
        <v/>
      </c>
      <c r="AC5375" s="16" t="str">
        <f>IFERROR(__xludf.DUMMYFUNCTION("""COMPUTED_VALUE"""),"")</f>
        <v/>
      </c>
    </row>
    <row r="5376">
      <c r="A5376" s="16" t="s">
        <v>87</v>
      </c>
      <c r="E5376" s="16" t="str">
        <f>IFERROR(__xludf.DUMMYFUNCTION("""COMPUTED_VALUE"""),"")</f>
        <v/>
      </c>
      <c r="G5376" s="18"/>
      <c r="H5376" s="16" t="s">
        <v>87</v>
      </c>
      <c r="I5376" s="16" t="s">
        <v>87</v>
      </c>
      <c r="J5376" s="19"/>
      <c r="L5376" s="16" t="str">
        <f>IFERROR(__xludf.DUMMYFUNCTION("""COMPUTED_VALUE"""),"")</f>
        <v/>
      </c>
      <c r="M5376" s="16" t="str">
        <f>IFERROR(__xludf.DUMMYFUNCTION("""COMPUTED_VALUE"""),"")</f>
        <v/>
      </c>
      <c r="U5376" s="16" t="s">
        <v>87</v>
      </c>
      <c r="V5376" s="16" t="str">
        <f>IFERROR(__xludf.DUMMYFUNCTION("""COMPUTED_VALUE"""),"")</f>
        <v/>
      </c>
      <c r="W5376" s="16" t="str">
        <f>IFERROR(__xludf.DUMMYFUNCTION("""COMPUTED_VALUE"""),"")</f>
        <v/>
      </c>
      <c r="X5376" s="16" t="str">
        <f>IFERROR(__xludf.DUMMYFUNCTION("""COMPUTED_VALUE"""),"")</f>
        <v/>
      </c>
      <c r="AC5376" s="16" t="str">
        <f>IFERROR(__xludf.DUMMYFUNCTION("""COMPUTED_VALUE"""),"")</f>
        <v/>
      </c>
    </row>
    <row r="5377">
      <c r="A5377" s="16" t="s">
        <v>87</v>
      </c>
      <c r="E5377" s="16" t="str">
        <f>IFERROR(__xludf.DUMMYFUNCTION("""COMPUTED_VALUE"""),"")</f>
        <v/>
      </c>
      <c r="G5377" s="18"/>
      <c r="H5377" s="16" t="s">
        <v>87</v>
      </c>
      <c r="I5377" s="16" t="s">
        <v>87</v>
      </c>
      <c r="J5377" s="19"/>
      <c r="L5377" s="16" t="str">
        <f>IFERROR(__xludf.DUMMYFUNCTION("""COMPUTED_VALUE"""),"")</f>
        <v/>
      </c>
      <c r="M5377" s="16" t="str">
        <f>IFERROR(__xludf.DUMMYFUNCTION("""COMPUTED_VALUE"""),"")</f>
        <v/>
      </c>
      <c r="U5377" s="16" t="s">
        <v>87</v>
      </c>
      <c r="V5377" s="16" t="str">
        <f>IFERROR(__xludf.DUMMYFUNCTION("""COMPUTED_VALUE"""),"")</f>
        <v/>
      </c>
      <c r="W5377" s="16" t="str">
        <f>IFERROR(__xludf.DUMMYFUNCTION("""COMPUTED_VALUE"""),"")</f>
        <v/>
      </c>
      <c r="X5377" s="16" t="str">
        <f>IFERROR(__xludf.DUMMYFUNCTION("""COMPUTED_VALUE"""),"")</f>
        <v/>
      </c>
      <c r="AC5377" s="16" t="str">
        <f>IFERROR(__xludf.DUMMYFUNCTION("""COMPUTED_VALUE"""),"")</f>
        <v/>
      </c>
    </row>
    <row r="5378">
      <c r="A5378" s="16" t="s">
        <v>87</v>
      </c>
      <c r="E5378" s="16" t="str">
        <f>IFERROR(__xludf.DUMMYFUNCTION("""COMPUTED_VALUE"""),"")</f>
        <v/>
      </c>
      <c r="G5378" s="18"/>
      <c r="H5378" s="16" t="s">
        <v>87</v>
      </c>
      <c r="I5378" s="16" t="s">
        <v>87</v>
      </c>
      <c r="J5378" s="19"/>
      <c r="L5378" s="16" t="str">
        <f>IFERROR(__xludf.DUMMYFUNCTION("""COMPUTED_VALUE"""),"")</f>
        <v/>
      </c>
      <c r="M5378" s="16" t="str">
        <f>IFERROR(__xludf.DUMMYFUNCTION("""COMPUTED_VALUE"""),"")</f>
        <v/>
      </c>
      <c r="U5378" s="16" t="s">
        <v>87</v>
      </c>
      <c r="V5378" s="16" t="str">
        <f>IFERROR(__xludf.DUMMYFUNCTION("""COMPUTED_VALUE"""),"")</f>
        <v/>
      </c>
      <c r="W5378" s="16" t="str">
        <f>IFERROR(__xludf.DUMMYFUNCTION("""COMPUTED_VALUE"""),"")</f>
        <v/>
      </c>
      <c r="X5378" s="16" t="str">
        <f>IFERROR(__xludf.DUMMYFUNCTION("""COMPUTED_VALUE"""),"")</f>
        <v/>
      </c>
      <c r="AC5378" s="16" t="str">
        <f>IFERROR(__xludf.DUMMYFUNCTION("""COMPUTED_VALUE"""),"")</f>
        <v/>
      </c>
    </row>
    <row r="5379">
      <c r="A5379" s="16" t="s">
        <v>87</v>
      </c>
      <c r="E5379" s="16" t="str">
        <f>IFERROR(__xludf.DUMMYFUNCTION("""COMPUTED_VALUE"""),"")</f>
        <v/>
      </c>
      <c r="G5379" s="18"/>
      <c r="H5379" s="16" t="s">
        <v>87</v>
      </c>
      <c r="I5379" s="16" t="s">
        <v>87</v>
      </c>
      <c r="J5379" s="19"/>
      <c r="L5379" s="16" t="str">
        <f>IFERROR(__xludf.DUMMYFUNCTION("""COMPUTED_VALUE"""),"")</f>
        <v/>
      </c>
      <c r="M5379" s="16" t="str">
        <f>IFERROR(__xludf.DUMMYFUNCTION("""COMPUTED_VALUE"""),"")</f>
        <v/>
      </c>
      <c r="U5379" s="16" t="s">
        <v>87</v>
      </c>
      <c r="V5379" s="16" t="str">
        <f>IFERROR(__xludf.DUMMYFUNCTION("""COMPUTED_VALUE"""),"")</f>
        <v/>
      </c>
      <c r="W5379" s="16" t="str">
        <f>IFERROR(__xludf.DUMMYFUNCTION("""COMPUTED_VALUE"""),"")</f>
        <v/>
      </c>
      <c r="X5379" s="16" t="str">
        <f>IFERROR(__xludf.DUMMYFUNCTION("""COMPUTED_VALUE"""),"")</f>
        <v/>
      </c>
      <c r="AC5379" s="16" t="str">
        <f>IFERROR(__xludf.DUMMYFUNCTION("""COMPUTED_VALUE"""),"")</f>
        <v/>
      </c>
    </row>
    <row r="5380">
      <c r="A5380" s="16" t="s">
        <v>87</v>
      </c>
      <c r="E5380" s="16" t="str">
        <f>IFERROR(__xludf.DUMMYFUNCTION("""COMPUTED_VALUE"""),"")</f>
        <v/>
      </c>
      <c r="G5380" s="18"/>
      <c r="H5380" s="16" t="s">
        <v>87</v>
      </c>
      <c r="I5380" s="16" t="s">
        <v>87</v>
      </c>
      <c r="J5380" s="19"/>
      <c r="L5380" s="16" t="str">
        <f>IFERROR(__xludf.DUMMYFUNCTION("""COMPUTED_VALUE"""),"")</f>
        <v/>
      </c>
      <c r="M5380" s="16" t="str">
        <f>IFERROR(__xludf.DUMMYFUNCTION("""COMPUTED_VALUE"""),"")</f>
        <v/>
      </c>
      <c r="U5380" s="16" t="s">
        <v>87</v>
      </c>
      <c r="V5380" s="16" t="str">
        <f>IFERROR(__xludf.DUMMYFUNCTION("""COMPUTED_VALUE"""),"")</f>
        <v/>
      </c>
      <c r="W5380" s="16" t="str">
        <f>IFERROR(__xludf.DUMMYFUNCTION("""COMPUTED_VALUE"""),"")</f>
        <v/>
      </c>
      <c r="X5380" s="16" t="str">
        <f>IFERROR(__xludf.DUMMYFUNCTION("""COMPUTED_VALUE"""),"")</f>
        <v/>
      </c>
      <c r="AC5380" s="16" t="str">
        <f>IFERROR(__xludf.DUMMYFUNCTION("""COMPUTED_VALUE"""),"")</f>
        <v/>
      </c>
    </row>
    <row r="5381">
      <c r="A5381" s="16" t="s">
        <v>87</v>
      </c>
      <c r="E5381" s="16" t="str">
        <f>IFERROR(__xludf.DUMMYFUNCTION("""COMPUTED_VALUE"""),"")</f>
        <v/>
      </c>
      <c r="G5381" s="18"/>
      <c r="H5381" s="16" t="s">
        <v>87</v>
      </c>
      <c r="I5381" s="16" t="s">
        <v>87</v>
      </c>
      <c r="J5381" s="19"/>
      <c r="L5381" s="16" t="str">
        <f>IFERROR(__xludf.DUMMYFUNCTION("""COMPUTED_VALUE"""),"")</f>
        <v/>
      </c>
      <c r="M5381" s="16" t="str">
        <f>IFERROR(__xludf.DUMMYFUNCTION("""COMPUTED_VALUE"""),"")</f>
        <v/>
      </c>
      <c r="U5381" s="16" t="s">
        <v>87</v>
      </c>
      <c r="V5381" s="16" t="str">
        <f>IFERROR(__xludf.DUMMYFUNCTION("""COMPUTED_VALUE"""),"")</f>
        <v/>
      </c>
      <c r="W5381" s="16" t="str">
        <f>IFERROR(__xludf.DUMMYFUNCTION("""COMPUTED_VALUE"""),"")</f>
        <v/>
      </c>
      <c r="X5381" s="16" t="str">
        <f>IFERROR(__xludf.DUMMYFUNCTION("""COMPUTED_VALUE"""),"")</f>
        <v/>
      </c>
      <c r="AC5381" s="16" t="str">
        <f>IFERROR(__xludf.DUMMYFUNCTION("""COMPUTED_VALUE"""),"")</f>
        <v/>
      </c>
    </row>
    <row r="5382">
      <c r="A5382" s="16" t="s">
        <v>87</v>
      </c>
      <c r="E5382" s="16" t="str">
        <f>IFERROR(__xludf.DUMMYFUNCTION("""COMPUTED_VALUE"""),"")</f>
        <v/>
      </c>
      <c r="G5382" s="18"/>
      <c r="H5382" s="16" t="s">
        <v>87</v>
      </c>
      <c r="I5382" s="16" t="s">
        <v>87</v>
      </c>
      <c r="J5382" s="19"/>
      <c r="L5382" s="16" t="str">
        <f>IFERROR(__xludf.DUMMYFUNCTION("""COMPUTED_VALUE"""),"")</f>
        <v/>
      </c>
      <c r="M5382" s="16" t="str">
        <f>IFERROR(__xludf.DUMMYFUNCTION("""COMPUTED_VALUE"""),"")</f>
        <v/>
      </c>
      <c r="U5382" s="16" t="s">
        <v>87</v>
      </c>
      <c r="V5382" s="16" t="str">
        <f>IFERROR(__xludf.DUMMYFUNCTION("""COMPUTED_VALUE"""),"")</f>
        <v/>
      </c>
      <c r="W5382" s="16" t="str">
        <f>IFERROR(__xludf.DUMMYFUNCTION("""COMPUTED_VALUE"""),"")</f>
        <v/>
      </c>
      <c r="X5382" s="16" t="str">
        <f>IFERROR(__xludf.DUMMYFUNCTION("""COMPUTED_VALUE"""),"")</f>
        <v/>
      </c>
      <c r="AC5382" s="16" t="str">
        <f>IFERROR(__xludf.DUMMYFUNCTION("""COMPUTED_VALUE"""),"")</f>
        <v/>
      </c>
    </row>
    <row r="5383">
      <c r="A5383" s="16" t="s">
        <v>87</v>
      </c>
      <c r="E5383" s="16" t="str">
        <f>IFERROR(__xludf.DUMMYFUNCTION("""COMPUTED_VALUE"""),"")</f>
        <v/>
      </c>
      <c r="G5383" s="18"/>
      <c r="H5383" s="16" t="s">
        <v>87</v>
      </c>
      <c r="I5383" s="16" t="s">
        <v>87</v>
      </c>
      <c r="J5383" s="19"/>
      <c r="L5383" s="16" t="str">
        <f>IFERROR(__xludf.DUMMYFUNCTION("""COMPUTED_VALUE"""),"")</f>
        <v/>
      </c>
      <c r="M5383" s="16" t="str">
        <f>IFERROR(__xludf.DUMMYFUNCTION("""COMPUTED_VALUE"""),"")</f>
        <v/>
      </c>
      <c r="U5383" s="16" t="s">
        <v>87</v>
      </c>
      <c r="V5383" s="16" t="str">
        <f>IFERROR(__xludf.DUMMYFUNCTION("""COMPUTED_VALUE"""),"")</f>
        <v/>
      </c>
      <c r="W5383" s="16" t="str">
        <f>IFERROR(__xludf.DUMMYFUNCTION("""COMPUTED_VALUE"""),"")</f>
        <v/>
      </c>
      <c r="X5383" s="16" t="str">
        <f>IFERROR(__xludf.DUMMYFUNCTION("""COMPUTED_VALUE"""),"")</f>
        <v/>
      </c>
      <c r="AC5383" s="16" t="str">
        <f>IFERROR(__xludf.DUMMYFUNCTION("""COMPUTED_VALUE"""),"")</f>
        <v/>
      </c>
    </row>
    <row r="5384">
      <c r="A5384" s="16" t="s">
        <v>87</v>
      </c>
      <c r="E5384" s="16" t="str">
        <f>IFERROR(__xludf.DUMMYFUNCTION("""COMPUTED_VALUE"""),"")</f>
        <v/>
      </c>
      <c r="G5384" s="18"/>
      <c r="H5384" s="16" t="s">
        <v>87</v>
      </c>
      <c r="I5384" s="16" t="s">
        <v>87</v>
      </c>
      <c r="J5384" s="19"/>
      <c r="L5384" s="16" t="str">
        <f>IFERROR(__xludf.DUMMYFUNCTION("""COMPUTED_VALUE"""),"")</f>
        <v/>
      </c>
      <c r="M5384" s="16" t="str">
        <f>IFERROR(__xludf.DUMMYFUNCTION("""COMPUTED_VALUE"""),"")</f>
        <v/>
      </c>
      <c r="U5384" s="16" t="s">
        <v>87</v>
      </c>
      <c r="V5384" s="16" t="str">
        <f>IFERROR(__xludf.DUMMYFUNCTION("""COMPUTED_VALUE"""),"")</f>
        <v/>
      </c>
      <c r="W5384" s="16" t="str">
        <f>IFERROR(__xludf.DUMMYFUNCTION("""COMPUTED_VALUE"""),"")</f>
        <v/>
      </c>
      <c r="X5384" s="16" t="str">
        <f>IFERROR(__xludf.DUMMYFUNCTION("""COMPUTED_VALUE"""),"")</f>
        <v/>
      </c>
      <c r="AC5384" s="16" t="str">
        <f>IFERROR(__xludf.DUMMYFUNCTION("""COMPUTED_VALUE"""),"")</f>
        <v/>
      </c>
    </row>
    <row r="5385">
      <c r="A5385" s="16" t="s">
        <v>87</v>
      </c>
      <c r="E5385" s="16" t="str">
        <f>IFERROR(__xludf.DUMMYFUNCTION("""COMPUTED_VALUE"""),"")</f>
        <v/>
      </c>
      <c r="G5385" s="18"/>
      <c r="H5385" s="16" t="s">
        <v>87</v>
      </c>
      <c r="I5385" s="16" t="s">
        <v>87</v>
      </c>
      <c r="J5385" s="19"/>
      <c r="L5385" s="16" t="str">
        <f>IFERROR(__xludf.DUMMYFUNCTION("""COMPUTED_VALUE"""),"")</f>
        <v/>
      </c>
      <c r="M5385" s="16" t="str">
        <f>IFERROR(__xludf.DUMMYFUNCTION("""COMPUTED_VALUE"""),"")</f>
        <v/>
      </c>
      <c r="U5385" s="16" t="s">
        <v>87</v>
      </c>
      <c r="V5385" s="16" t="str">
        <f>IFERROR(__xludf.DUMMYFUNCTION("""COMPUTED_VALUE"""),"")</f>
        <v/>
      </c>
      <c r="W5385" s="16" t="str">
        <f>IFERROR(__xludf.DUMMYFUNCTION("""COMPUTED_VALUE"""),"")</f>
        <v/>
      </c>
      <c r="X5385" s="16" t="str">
        <f>IFERROR(__xludf.DUMMYFUNCTION("""COMPUTED_VALUE"""),"")</f>
        <v/>
      </c>
      <c r="AC5385" s="16" t="str">
        <f>IFERROR(__xludf.DUMMYFUNCTION("""COMPUTED_VALUE"""),"")</f>
        <v/>
      </c>
    </row>
    <row r="5386">
      <c r="A5386" s="16" t="s">
        <v>87</v>
      </c>
      <c r="E5386" s="16" t="str">
        <f>IFERROR(__xludf.DUMMYFUNCTION("""COMPUTED_VALUE"""),"")</f>
        <v/>
      </c>
      <c r="G5386" s="18"/>
      <c r="H5386" s="16" t="s">
        <v>87</v>
      </c>
      <c r="I5386" s="16" t="s">
        <v>87</v>
      </c>
      <c r="J5386" s="19"/>
      <c r="L5386" s="16" t="str">
        <f>IFERROR(__xludf.DUMMYFUNCTION("""COMPUTED_VALUE"""),"")</f>
        <v/>
      </c>
      <c r="M5386" s="16" t="str">
        <f>IFERROR(__xludf.DUMMYFUNCTION("""COMPUTED_VALUE"""),"")</f>
        <v/>
      </c>
      <c r="U5386" s="16" t="s">
        <v>87</v>
      </c>
      <c r="V5386" s="16" t="str">
        <f>IFERROR(__xludf.DUMMYFUNCTION("""COMPUTED_VALUE"""),"")</f>
        <v/>
      </c>
      <c r="W5386" s="16" t="str">
        <f>IFERROR(__xludf.DUMMYFUNCTION("""COMPUTED_VALUE"""),"")</f>
        <v/>
      </c>
      <c r="X5386" s="16" t="str">
        <f>IFERROR(__xludf.DUMMYFUNCTION("""COMPUTED_VALUE"""),"")</f>
        <v/>
      </c>
      <c r="AC5386" s="16" t="str">
        <f>IFERROR(__xludf.DUMMYFUNCTION("""COMPUTED_VALUE"""),"")</f>
        <v/>
      </c>
    </row>
    <row r="5387">
      <c r="A5387" s="16" t="s">
        <v>87</v>
      </c>
      <c r="E5387" s="16" t="str">
        <f>IFERROR(__xludf.DUMMYFUNCTION("""COMPUTED_VALUE"""),"")</f>
        <v/>
      </c>
      <c r="G5387" s="18"/>
      <c r="H5387" s="16" t="s">
        <v>87</v>
      </c>
      <c r="I5387" s="16" t="s">
        <v>87</v>
      </c>
      <c r="J5387" s="19"/>
      <c r="L5387" s="16" t="str">
        <f>IFERROR(__xludf.DUMMYFUNCTION("""COMPUTED_VALUE"""),"")</f>
        <v/>
      </c>
      <c r="M5387" s="16" t="str">
        <f>IFERROR(__xludf.DUMMYFUNCTION("""COMPUTED_VALUE"""),"")</f>
        <v/>
      </c>
      <c r="U5387" s="16" t="s">
        <v>87</v>
      </c>
      <c r="V5387" s="16" t="str">
        <f>IFERROR(__xludf.DUMMYFUNCTION("""COMPUTED_VALUE"""),"")</f>
        <v/>
      </c>
      <c r="W5387" s="16" t="str">
        <f>IFERROR(__xludf.DUMMYFUNCTION("""COMPUTED_VALUE"""),"")</f>
        <v/>
      </c>
      <c r="X5387" s="16" t="str">
        <f>IFERROR(__xludf.DUMMYFUNCTION("""COMPUTED_VALUE"""),"")</f>
        <v/>
      </c>
      <c r="AC5387" s="16" t="str">
        <f>IFERROR(__xludf.DUMMYFUNCTION("""COMPUTED_VALUE"""),"")</f>
        <v/>
      </c>
    </row>
    <row r="5388">
      <c r="A5388" s="16" t="s">
        <v>87</v>
      </c>
      <c r="E5388" s="16" t="str">
        <f>IFERROR(__xludf.DUMMYFUNCTION("""COMPUTED_VALUE"""),"")</f>
        <v/>
      </c>
      <c r="G5388" s="18"/>
      <c r="H5388" s="16" t="s">
        <v>87</v>
      </c>
      <c r="I5388" s="16" t="s">
        <v>87</v>
      </c>
      <c r="J5388" s="19"/>
      <c r="L5388" s="16" t="str">
        <f>IFERROR(__xludf.DUMMYFUNCTION("""COMPUTED_VALUE"""),"")</f>
        <v/>
      </c>
      <c r="M5388" s="16" t="str">
        <f>IFERROR(__xludf.DUMMYFUNCTION("""COMPUTED_VALUE"""),"")</f>
        <v/>
      </c>
      <c r="U5388" s="16" t="s">
        <v>87</v>
      </c>
      <c r="V5388" s="16" t="str">
        <f>IFERROR(__xludf.DUMMYFUNCTION("""COMPUTED_VALUE"""),"")</f>
        <v/>
      </c>
      <c r="W5388" s="16" t="str">
        <f>IFERROR(__xludf.DUMMYFUNCTION("""COMPUTED_VALUE"""),"")</f>
        <v/>
      </c>
      <c r="X5388" s="16" t="str">
        <f>IFERROR(__xludf.DUMMYFUNCTION("""COMPUTED_VALUE"""),"")</f>
        <v/>
      </c>
      <c r="AC5388" s="16" t="str">
        <f>IFERROR(__xludf.DUMMYFUNCTION("""COMPUTED_VALUE"""),"")</f>
        <v/>
      </c>
    </row>
    <row r="5389">
      <c r="A5389" s="16" t="s">
        <v>87</v>
      </c>
      <c r="E5389" s="16" t="str">
        <f>IFERROR(__xludf.DUMMYFUNCTION("""COMPUTED_VALUE"""),"")</f>
        <v/>
      </c>
      <c r="G5389" s="18"/>
      <c r="H5389" s="16" t="s">
        <v>87</v>
      </c>
      <c r="I5389" s="16" t="s">
        <v>87</v>
      </c>
      <c r="J5389" s="19"/>
      <c r="L5389" s="16" t="str">
        <f>IFERROR(__xludf.DUMMYFUNCTION("""COMPUTED_VALUE"""),"")</f>
        <v/>
      </c>
      <c r="M5389" s="16" t="str">
        <f>IFERROR(__xludf.DUMMYFUNCTION("""COMPUTED_VALUE"""),"")</f>
        <v/>
      </c>
      <c r="U5389" s="16" t="s">
        <v>87</v>
      </c>
      <c r="V5389" s="16" t="str">
        <f>IFERROR(__xludf.DUMMYFUNCTION("""COMPUTED_VALUE"""),"")</f>
        <v/>
      </c>
      <c r="W5389" s="16" t="str">
        <f>IFERROR(__xludf.DUMMYFUNCTION("""COMPUTED_VALUE"""),"")</f>
        <v/>
      </c>
      <c r="X5389" s="16" t="str">
        <f>IFERROR(__xludf.DUMMYFUNCTION("""COMPUTED_VALUE"""),"")</f>
        <v/>
      </c>
      <c r="AC5389" s="16" t="str">
        <f>IFERROR(__xludf.DUMMYFUNCTION("""COMPUTED_VALUE"""),"")</f>
        <v/>
      </c>
    </row>
    <row r="5390">
      <c r="A5390" s="16" t="s">
        <v>87</v>
      </c>
      <c r="E5390" s="16" t="str">
        <f>IFERROR(__xludf.DUMMYFUNCTION("""COMPUTED_VALUE"""),"")</f>
        <v/>
      </c>
      <c r="G5390" s="18"/>
      <c r="H5390" s="16" t="s">
        <v>87</v>
      </c>
      <c r="I5390" s="16" t="s">
        <v>87</v>
      </c>
      <c r="J5390" s="19"/>
      <c r="L5390" s="16" t="str">
        <f>IFERROR(__xludf.DUMMYFUNCTION("""COMPUTED_VALUE"""),"")</f>
        <v/>
      </c>
      <c r="M5390" s="16" t="str">
        <f>IFERROR(__xludf.DUMMYFUNCTION("""COMPUTED_VALUE"""),"")</f>
        <v/>
      </c>
      <c r="U5390" s="16" t="s">
        <v>87</v>
      </c>
      <c r="V5390" s="16" t="str">
        <f>IFERROR(__xludf.DUMMYFUNCTION("""COMPUTED_VALUE"""),"")</f>
        <v/>
      </c>
      <c r="W5390" s="16" t="str">
        <f>IFERROR(__xludf.DUMMYFUNCTION("""COMPUTED_VALUE"""),"")</f>
        <v/>
      </c>
      <c r="X5390" s="16" t="str">
        <f>IFERROR(__xludf.DUMMYFUNCTION("""COMPUTED_VALUE"""),"")</f>
        <v/>
      </c>
      <c r="AC5390" s="16" t="str">
        <f>IFERROR(__xludf.DUMMYFUNCTION("""COMPUTED_VALUE"""),"")</f>
        <v/>
      </c>
    </row>
    <row r="5391">
      <c r="A5391" s="16" t="s">
        <v>87</v>
      </c>
      <c r="E5391" s="16" t="str">
        <f>IFERROR(__xludf.DUMMYFUNCTION("""COMPUTED_VALUE"""),"")</f>
        <v/>
      </c>
      <c r="G5391" s="18"/>
      <c r="H5391" s="16" t="s">
        <v>87</v>
      </c>
      <c r="I5391" s="16" t="s">
        <v>87</v>
      </c>
      <c r="J5391" s="19"/>
      <c r="L5391" s="16" t="str">
        <f>IFERROR(__xludf.DUMMYFUNCTION("""COMPUTED_VALUE"""),"")</f>
        <v/>
      </c>
      <c r="M5391" s="16" t="str">
        <f>IFERROR(__xludf.DUMMYFUNCTION("""COMPUTED_VALUE"""),"")</f>
        <v/>
      </c>
      <c r="U5391" s="16" t="s">
        <v>87</v>
      </c>
      <c r="V5391" s="16" t="str">
        <f>IFERROR(__xludf.DUMMYFUNCTION("""COMPUTED_VALUE"""),"")</f>
        <v/>
      </c>
      <c r="W5391" s="16" t="str">
        <f>IFERROR(__xludf.DUMMYFUNCTION("""COMPUTED_VALUE"""),"")</f>
        <v/>
      </c>
      <c r="X5391" s="16" t="str">
        <f>IFERROR(__xludf.DUMMYFUNCTION("""COMPUTED_VALUE"""),"")</f>
        <v/>
      </c>
      <c r="AC5391" s="16" t="str">
        <f>IFERROR(__xludf.DUMMYFUNCTION("""COMPUTED_VALUE"""),"")</f>
        <v/>
      </c>
    </row>
    <row r="5392">
      <c r="A5392" s="16" t="s">
        <v>87</v>
      </c>
      <c r="E5392" s="16" t="str">
        <f>IFERROR(__xludf.DUMMYFUNCTION("""COMPUTED_VALUE"""),"")</f>
        <v/>
      </c>
      <c r="G5392" s="18"/>
      <c r="H5392" s="16" t="s">
        <v>87</v>
      </c>
      <c r="I5392" s="16" t="s">
        <v>87</v>
      </c>
      <c r="J5392" s="19"/>
      <c r="L5392" s="16" t="str">
        <f>IFERROR(__xludf.DUMMYFUNCTION("""COMPUTED_VALUE"""),"")</f>
        <v/>
      </c>
      <c r="M5392" s="16" t="str">
        <f>IFERROR(__xludf.DUMMYFUNCTION("""COMPUTED_VALUE"""),"")</f>
        <v/>
      </c>
      <c r="U5392" s="16" t="s">
        <v>87</v>
      </c>
      <c r="V5392" s="16" t="str">
        <f>IFERROR(__xludf.DUMMYFUNCTION("""COMPUTED_VALUE"""),"")</f>
        <v/>
      </c>
      <c r="W5392" s="16" t="str">
        <f>IFERROR(__xludf.DUMMYFUNCTION("""COMPUTED_VALUE"""),"")</f>
        <v/>
      </c>
      <c r="X5392" s="16" t="str">
        <f>IFERROR(__xludf.DUMMYFUNCTION("""COMPUTED_VALUE"""),"")</f>
        <v/>
      </c>
      <c r="AC5392" s="16" t="str">
        <f>IFERROR(__xludf.DUMMYFUNCTION("""COMPUTED_VALUE"""),"")</f>
        <v/>
      </c>
    </row>
    <row r="5393">
      <c r="A5393" s="16" t="s">
        <v>87</v>
      </c>
      <c r="E5393" s="16" t="str">
        <f>IFERROR(__xludf.DUMMYFUNCTION("""COMPUTED_VALUE"""),"")</f>
        <v/>
      </c>
      <c r="G5393" s="18"/>
      <c r="H5393" s="16" t="s">
        <v>87</v>
      </c>
      <c r="I5393" s="16" t="s">
        <v>87</v>
      </c>
      <c r="J5393" s="19"/>
      <c r="L5393" s="16" t="str">
        <f>IFERROR(__xludf.DUMMYFUNCTION("""COMPUTED_VALUE"""),"")</f>
        <v/>
      </c>
      <c r="M5393" s="16" t="str">
        <f>IFERROR(__xludf.DUMMYFUNCTION("""COMPUTED_VALUE"""),"")</f>
        <v/>
      </c>
      <c r="U5393" s="16" t="s">
        <v>87</v>
      </c>
      <c r="V5393" s="16" t="str">
        <f>IFERROR(__xludf.DUMMYFUNCTION("""COMPUTED_VALUE"""),"")</f>
        <v/>
      </c>
      <c r="W5393" s="16" t="str">
        <f>IFERROR(__xludf.DUMMYFUNCTION("""COMPUTED_VALUE"""),"")</f>
        <v/>
      </c>
      <c r="X5393" s="16" t="str">
        <f>IFERROR(__xludf.DUMMYFUNCTION("""COMPUTED_VALUE"""),"")</f>
        <v/>
      </c>
      <c r="AC5393" s="16" t="str">
        <f>IFERROR(__xludf.DUMMYFUNCTION("""COMPUTED_VALUE"""),"")</f>
        <v/>
      </c>
    </row>
    <row r="5394">
      <c r="A5394" s="16" t="s">
        <v>87</v>
      </c>
      <c r="E5394" s="16" t="str">
        <f>IFERROR(__xludf.DUMMYFUNCTION("""COMPUTED_VALUE"""),"")</f>
        <v/>
      </c>
      <c r="G5394" s="18"/>
      <c r="H5394" s="16" t="s">
        <v>87</v>
      </c>
      <c r="I5394" s="16" t="s">
        <v>87</v>
      </c>
      <c r="J5394" s="19"/>
      <c r="L5394" s="16" t="str">
        <f>IFERROR(__xludf.DUMMYFUNCTION("""COMPUTED_VALUE"""),"")</f>
        <v/>
      </c>
      <c r="M5394" s="16" t="str">
        <f>IFERROR(__xludf.DUMMYFUNCTION("""COMPUTED_VALUE"""),"")</f>
        <v/>
      </c>
      <c r="U5394" s="16" t="s">
        <v>87</v>
      </c>
      <c r="V5394" s="16" t="str">
        <f>IFERROR(__xludf.DUMMYFUNCTION("""COMPUTED_VALUE"""),"")</f>
        <v/>
      </c>
      <c r="W5394" s="16" t="str">
        <f>IFERROR(__xludf.DUMMYFUNCTION("""COMPUTED_VALUE"""),"")</f>
        <v/>
      </c>
      <c r="X5394" s="16" t="str">
        <f>IFERROR(__xludf.DUMMYFUNCTION("""COMPUTED_VALUE"""),"")</f>
        <v/>
      </c>
      <c r="AC5394" s="16" t="str">
        <f>IFERROR(__xludf.DUMMYFUNCTION("""COMPUTED_VALUE"""),"")</f>
        <v/>
      </c>
    </row>
    <row r="5395">
      <c r="A5395" s="16" t="s">
        <v>87</v>
      </c>
      <c r="E5395" s="16" t="str">
        <f>IFERROR(__xludf.DUMMYFUNCTION("""COMPUTED_VALUE"""),"")</f>
        <v/>
      </c>
      <c r="G5395" s="18"/>
      <c r="H5395" s="16" t="s">
        <v>87</v>
      </c>
      <c r="I5395" s="16" t="s">
        <v>87</v>
      </c>
      <c r="J5395" s="19"/>
      <c r="L5395" s="16" t="str">
        <f>IFERROR(__xludf.DUMMYFUNCTION("""COMPUTED_VALUE"""),"")</f>
        <v/>
      </c>
      <c r="M5395" s="16" t="str">
        <f>IFERROR(__xludf.DUMMYFUNCTION("""COMPUTED_VALUE"""),"")</f>
        <v/>
      </c>
      <c r="U5395" s="16" t="s">
        <v>87</v>
      </c>
      <c r="V5395" s="16" t="str">
        <f>IFERROR(__xludf.DUMMYFUNCTION("""COMPUTED_VALUE"""),"")</f>
        <v/>
      </c>
      <c r="W5395" s="16" t="str">
        <f>IFERROR(__xludf.DUMMYFUNCTION("""COMPUTED_VALUE"""),"")</f>
        <v/>
      </c>
      <c r="X5395" s="16" t="str">
        <f>IFERROR(__xludf.DUMMYFUNCTION("""COMPUTED_VALUE"""),"")</f>
        <v/>
      </c>
      <c r="AC5395" s="16" t="str">
        <f>IFERROR(__xludf.DUMMYFUNCTION("""COMPUTED_VALUE"""),"")</f>
        <v/>
      </c>
    </row>
    <row r="5396">
      <c r="A5396" s="16" t="s">
        <v>87</v>
      </c>
      <c r="E5396" s="16" t="str">
        <f>IFERROR(__xludf.DUMMYFUNCTION("""COMPUTED_VALUE"""),"")</f>
        <v/>
      </c>
      <c r="G5396" s="18"/>
      <c r="H5396" s="16" t="s">
        <v>87</v>
      </c>
      <c r="I5396" s="16" t="s">
        <v>87</v>
      </c>
      <c r="J5396" s="19"/>
      <c r="L5396" s="16" t="str">
        <f>IFERROR(__xludf.DUMMYFUNCTION("""COMPUTED_VALUE"""),"")</f>
        <v/>
      </c>
      <c r="M5396" s="16" t="str">
        <f>IFERROR(__xludf.DUMMYFUNCTION("""COMPUTED_VALUE"""),"")</f>
        <v/>
      </c>
      <c r="U5396" s="16" t="s">
        <v>87</v>
      </c>
      <c r="V5396" s="16" t="str">
        <f>IFERROR(__xludf.DUMMYFUNCTION("""COMPUTED_VALUE"""),"")</f>
        <v/>
      </c>
      <c r="W5396" s="16" t="str">
        <f>IFERROR(__xludf.DUMMYFUNCTION("""COMPUTED_VALUE"""),"")</f>
        <v/>
      </c>
      <c r="X5396" s="16" t="str">
        <f>IFERROR(__xludf.DUMMYFUNCTION("""COMPUTED_VALUE"""),"")</f>
        <v/>
      </c>
      <c r="AC5396" s="16" t="str">
        <f>IFERROR(__xludf.DUMMYFUNCTION("""COMPUTED_VALUE"""),"")</f>
        <v/>
      </c>
    </row>
    <row r="5397">
      <c r="A5397" s="16" t="s">
        <v>87</v>
      </c>
      <c r="E5397" s="16" t="str">
        <f>IFERROR(__xludf.DUMMYFUNCTION("""COMPUTED_VALUE"""),"")</f>
        <v/>
      </c>
      <c r="G5397" s="18"/>
      <c r="H5397" s="16" t="s">
        <v>87</v>
      </c>
      <c r="I5397" s="16" t="s">
        <v>87</v>
      </c>
      <c r="J5397" s="19"/>
      <c r="L5397" s="16" t="str">
        <f>IFERROR(__xludf.DUMMYFUNCTION("""COMPUTED_VALUE"""),"")</f>
        <v/>
      </c>
      <c r="M5397" s="16" t="str">
        <f>IFERROR(__xludf.DUMMYFUNCTION("""COMPUTED_VALUE"""),"")</f>
        <v/>
      </c>
      <c r="U5397" s="16" t="s">
        <v>87</v>
      </c>
      <c r="V5397" s="16" t="str">
        <f>IFERROR(__xludf.DUMMYFUNCTION("""COMPUTED_VALUE"""),"")</f>
        <v/>
      </c>
      <c r="W5397" s="16" t="str">
        <f>IFERROR(__xludf.DUMMYFUNCTION("""COMPUTED_VALUE"""),"")</f>
        <v/>
      </c>
      <c r="X5397" s="16" t="str">
        <f>IFERROR(__xludf.DUMMYFUNCTION("""COMPUTED_VALUE"""),"")</f>
        <v/>
      </c>
      <c r="AC5397" s="16" t="str">
        <f>IFERROR(__xludf.DUMMYFUNCTION("""COMPUTED_VALUE"""),"")</f>
        <v/>
      </c>
    </row>
    <row r="5398">
      <c r="A5398" s="16" t="s">
        <v>87</v>
      </c>
      <c r="E5398" s="16" t="str">
        <f>IFERROR(__xludf.DUMMYFUNCTION("""COMPUTED_VALUE"""),"")</f>
        <v/>
      </c>
      <c r="G5398" s="18"/>
      <c r="H5398" s="16" t="s">
        <v>87</v>
      </c>
      <c r="I5398" s="16" t="s">
        <v>87</v>
      </c>
      <c r="J5398" s="19"/>
      <c r="L5398" s="16" t="str">
        <f>IFERROR(__xludf.DUMMYFUNCTION("""COMPUTED_VALUE"""),"")</f>
        <v/>
      </c>
      <c r="M5398" s="16" t="str">
        <f>IFERROR(__xludf.DUMMYFUNCTION("""COMPUTED_VALUE"""),"")</f>
        <v/>
      </c>
      <c r="U5398" s="16" t="s">
        <v>87</v>
      </c>
      <c r="V5398" s="16" t="str">
        <f>IFERROR(__xludf.DUMMYFUNCTION("""COMPUTED_VALUE"""),"")</f>
        <v/>
      </c>
      <c r="W5398" s="16" t="str">
        <f>IFERROR(__xludf.DUMMYFUNCTION("""COMPUTED_VALUE"""),"")</f>
        <v/>
      </c>
      <c r="X5398" s="16" t="str">
        <f>IFERROR(__xludf.DUMMYFUNCTION("""COMPUTED_VALUE"""),"")</f>
        <v/>
      </c>
      <c r="AC5398" s="16" t="str">
        <f>IFERROR(__xludf.DUMMYFUNCTION("""COMPUTED_VALUE"""),"")</f>
        <v/>
      </c>
    </row>
    <row r="5399">
      <c r="A5399" s="16" t="s">
        <v>87</v>
      </c>
      <c r="E5399" s="16" t="str">
        <f>IFERROR(__xludf.DUMMYFUNCTION("""COMPUTED_VALUE"""),"")</f>
        <v/>
      </c>
      <c r="G5399" s="18"/>
      <c r="H5399" s="16" t="s">
        <v>87</v>
      </c>
      <c r="I5399" s="16" t="s">
        <v>87</v>
      </c>
      <c r="J5399" s="19"/>
      <c r="L5399" s="16" t="str">
        <f>IFERROR(__xludf.DUMMYFUNCTION("""COMPUTED_VALUE"""),"")</f>
        <v/>
      </c>
      <c r="M5399" s="16" t="str">
        <f>IFERROR(__xludf.DUMMYFUNCTION("""COMPUTED_VALUE"""),"")</f>
        <v/>
      </c>
      <c r="U5399" s="16" t="s">
        <v>87</v>
      </c>
      <c r="V5399" s="16" t="str">
        <f>IFERROR(__xludf.DUMMYFUNCTION("""COMPUTED_VALUE"""),"")</f>
        <v/>
      </c>
      <c r="W5399" s="16" t="str">
        <f>IFERROR(__xludf.DUMMYFUNCTION("""COMPUTED_VALUE"""),"")</f>
        <v/>
      </c>
      <c r="X5399" s="16" t="str">
        <f>IFERROR(__xludf.DUMMYFUNCTION("""COMPUTED_VALUE"""),"")</f>
        <v/>
      </c>
      <c r="AC5399" s="16" t="str">
        <f>IFERROR(__xludf.DUMMYFUNCTION("""COMPUTED_VALUE"""),"")</f>
        <v/>
      </c>
    </row>
    <row r="5400">
      <c r="A5400" s="16" t="s">
        <v>87</v>
      </c>
      <c r="E5400" s="16" t="str">
        <f>IFERROR(__xludf.DUMMYFUNCTION("""COMPUTED_VALUE"""),"")</f>
        <v/>
      </c>
      <c r="G5400" s="18"/>
      <c r="H5400" s="16" t="s">
        <v>87</v>
      </c>
      <c r="I5400" s="16" t="s">
        <v>87</v>
      </c>
      <c r="J5400" s="19"/>
      <c r="L5400" s="16" t="str">
        <f>IFERROR(__xludf.DUMMYFUNCTION("""COMPUTED_VALUE"""),"")</f>
        <v/>
      </c>
      <c r="M5400" s="16" t="str">
        <f>IFERROR(__xludf.DUMMYFUNCTION("""COMPUTED_VALUE"""),"")</f>
        <v/>
      </c>
      <c r="U5400" s="16" t="s">
        <v>87</v>
      </c>
      <c r="V5400" s="16" t="str">
        <f>IFERROR(__xludf.DUMMYFUNCTION("""COMPUTED_VALUE"""),"")</f>
        <v/>
      </c>
      <c r="W5400" s="16" t="str">
        <f>IFERROR(__xludf.DUMMYFUNCTION("""COMPUTED_VALUE"""),"")</f>
        <v/>
      </c>
      <c r="X5400" s="16" t="str">
        <f>IFERROR(__xludf.DUMMYFUNCTION("""COMPUTED_VALUE"""),"")</f>
        <v/>
      </c>
      <c r="AC5400" s="16" t="str">
        <f>IFERROR(__xludf.DUMMYFUNCTION("""COMPUTED_VALUE"""),"")</f>
        <v/>
      </c>
    </row>
    <row r="5401">
      <c r="A5401" s="16" t="s">
        <v>87</v>
      </c>
      <c r="E5401" s="16" t="str">
        <f>IFERROR(__xludf.DUMMYFUNCTION("""COMPUTED_VALUE"""),"")</f>
        <v/>
      </c>
      <c r="G5401" s="18"/>
      <c r="H5401" s="16" t="s">
        <v>87</v>
      </c>
      <c r="I5401" s="16" t="s">
        <v>87</v>
      </c>
      <c r="J5401" s="19"/>
      <c r="L5401" s="16" t="str">
        <f>IFERROR(__xludf.DUMMYFUNCTION("""COMPUTED_VALUE"""),"")</f>
        <v/>
      </c>
      <c r="M5401" s="16" t="str">
        <f>IFERROR(__xludf.DUMMYFUNCTION("""COMPUTED_VALUE"""),"")</f>
        <v/>
      </c>
      <c r="U5401" s="16" t="s">
        <v>87</v>
      </c>
      <c r="V5401" s="16" t="str">
        <f>IFERROR(__xludf.DUMMYFUNCTION("""COMPUTED_VALUE"""),"")</f>
        <v/>
      </c>
      <c r="W5401" s="16" t="str">
        <f>IFERROR(__xludf.DUMMYFUNCTION("""COMPUTED_VALUE"""),"")</f>
        <v/>
      </c>
      <c r="X5401" s="16" t="str">
        <f>IFERROR(__xludf.DUMMYFUNCTION("""COMPUTED_VALUE"""),"")</f>
        <v/>
      </c>
      <c r="AC5401" s="16" t="str">
        <f>IFERROR(__xludf.DUMMYFUNCTION("""COMPUTED_VALUE"""),"")</f>
        <v/>
      </c>
    </row>
    <row r="5402">
      <c r="A5402" s="16" t="s">
        <v>87</v>
      </c>
      <c r="E5402" s="16" t="str">
        <f>IFERROR(__xludf.DUMMYFUNCTION("""COMPUTED_VALUE"""),"")</f>
        <v/>
      </c>
      <c r="G5402" s="18"/>
      <c r="H5402" s="16" t="s">
        <v>87</v>
      </c>
      <c r="I5402" s="16" t="s">
        <v>87</v>
      </c>
      <c r="J5402" s="19"/>
      <c r="L5402" s="16" t="str">
        <f>IFERROR(__xludf.DUMMYFUNCTION("""COMPUTED_VALUE"""),"")</f>
        <v/>
      </c>
      <c r="M5402" s="16" t="str">
        <f>IFERROR(__xludf.DUMMYFUNCTION("""COMPUTED_VALUE"""),"")</f>
        <v/>
      </c>
      <c r="U5402" s="16" t="s">
        <v>87</v>
      </c>
      <c r="V5402" s="16" t="str">
        <f>IFERROR(__xludf.DUMMYFUNCTION("""COMPUTED_VALUE"""),"")</f>
        <v/>
      </c>
      <c r="W5402" s="16" t="str">
        <f>IFERROR(__xludf.DUMMYFUNCTION("""COMPUTED_VALUE"""),"")</f>
        <v/>
      </c>
      <c r="X5402" s="16" t="str">
        <f>IFERROR(__xludf.DUMMYFUNCTION("""COMPUTED_VALUE"""),"")</f>
        <v/>
      </c>
      <c r="AC5402" s="16" t="str">
        <f>IFERROR(__xludf.DUMMYFUNCTION("""COMPUTED_VALUE"""),"")</f>
        <v/>
      </c>
    </row>
    <row r="5403">
      <c r="A5403" s="16" t="s">
        <v>87</v>
      </c>
      <c r="E5403" s="16" t="str">
        <f>IFERROR(__xludf.DUMMYFUNCTION("""COMPUTED_VALUE"""),"")</f>
        <v/>
      </c>
      <c r="G5403" s="18"/>
      <c r="H5403" s="16" t="s">
        <v>87</v>
      </c>
      <c r="I5403" s="16" t="s">
        <v>87</v>
      </c>
      <c r="J5403" s="19"/>
      <c r="L5403" s="16" t="str">
        <f>IFERROR(__xludf.DUMMYFUNCTION("""COMPUTED_VALUE"""),"")</f>
        <v/>
      </c>
      <c r="M5403" s="16" t="str">
        <f>IFERROR(__xludf.DUMMYFUNCTION("""COMPUTED_VALUE"""),"")</f>
        <v/>
      </c>
      <c r="U5403" s="16" t="s">
        <v>87</v>
      </c>
      <c r="V5403" s="16" t="str">
        <f>IFERROR(__xludf.DUMMYFUNCTION("""COMPUTED_VALUE"""),"")</f>
        <v/>
      </c>
      <c r="W5403" s="16" t="str">
        <f>IFERROR(__xludf.DUMMYFUNCTION("""COMPUTED_VALUE"""),"")</f>
        <v/>
      </c>
      <c r="X5403" s="16" t="str">
        <f>IFERROR(__xludf.DUMMYFUNCTION("""COMPUTED_VALUE"""),"")</f>
        <v/>
      </c>
      <c r="AC5403" s="16" t="str">
        <f>IFERROR(__xludf.DUMMYFUNCTION("""COMPUTED_VALUE"""),"")</f>
        <v/>
      </c>
    </row>
    <row r="5404">
      <c r="A5404" s="16" t="s">
        <v>87</v>
      </c>
      <c r="E5404" s="16" t="str">
        <f>IFERROR(__xludf.DUMMYFUNCTION("""COMPUTED_VALUE"""),"")</f>
        <v/>
      </c>
      <c r="G5404" s="18"/>
      <c r="H5404" s="16" t="s">
        <v>87</v>
      </c>
      <c r="I5404" s="16" t="s">
        <v>87</v>
      </c>
      <c r="J5404" s="19"/>
      <c r="L5404" s="16" t="str">
        <f>IFERROR(__xludf.DUMMYFUNCTION("""COMPUTED_VALUE"""),"")</f>
        <v/>
      </c>
      <c r="M5404" s="16" t="str">
        <f>IFERROR(__xludf.DUMMYFUNCTION("""COMPUTED_VALUE"""),"")</f>
        <v/>
      </c>
      <c r="U5404" s="16" t="s">
        <v>87</v>
      </c>
      <c r="V5404" s="16" t="str">
        <f>IFERROR(__xludf.DUMMYFUNCTION("""COMPUTED_VALUE"""),"")</f>
        <v/>
      </c>
      <c r="W5404" s="16" t="str">
        <f>IFERROR(__xludf.DUMMYFUNCTION("""COMPUTED_VALUE"""),"")</f>
        <v/>
      </c>
      <c r="X5404" s="16" t="str">
        <f>IFERROR(__xludf.DUMMYFUNCTION("""COMPUTED_VALUE"""),"")</f>
        <v/>
      </c>
      <c r="AC5404" s="16" t="str">
        <f>IFERROR(__xludf.DUMMYFUNCTION("""COMPUTED_VALUE"""),"")</f>
        <v/>
      </c>
    </row>
    <row r="5405">
      <c r="A5405" s="16" t="s">
        <v>87</v>
      </c>
      <c r="E5405" s="16" t="str">
        <f>IFERROR(__xludf.DUMMYFUNCTION("""COMPUTED_VALUE"""),"")</f>
        <v/>
      </c>
      <c r="G5405" s="18"/>
      <c r="H5405" s="16" t="s">
        <v>87</v>
      </c>
      <c r="I5405" s="16" t="s">
        <v>87</v>
      </c>
      <c r="J5405" s="19"/>
      <c r="L5405" s="16" t="str">
        <f>IFERROR(__xludf.DUMMYFUNCTION("""COMPUTED_VALUE"""),"")</f>
        <v/>
      </c>
      <c r="M5405" s="16" t="str">
        <f>IFERROR(__xludf.DUMMYFUNCTION("""COMPUTED_VALUE"""),"")</f>
        <v/>
      </c>
      <c r="U5405" s="16" t="s">
        <v>87</v>
      </c>
      <c r="V5405" s="16" t="str">
        <f>IFERROR(__xludf.DUMMYFUNCTION("""COMPUTED_VALUE"""),"")</f>
        <v/>
      </c>
      <c r="W5405" s="16" t="str">
        <f>IFERROR(__xludf.DUMMYFUNCTION("""COMPUTED_VALUE"""),"")</f>
        <v/>
      </c>
      <c r="X5405" s="16" t="str">
        <f>IFERROR(__xludf.DUMMYFUNCTION("""COMPUTED_VALUE"""),"")</f>
        <v/>
      </c>
      <c r="AC5405" s="16" t="str">
        <f>IFERROR(__xludf.DUMMYFUNCTION("""COMPUTED_VALUE"""),"")</f>
        <v/>
      </c>
    </row>
    <row r="5406">
      <c r="A5406" s="16" t="s">
        <v>87</v>
      </c>
      <c r="E5406" s="16" t="str">
        <f>IFERROR(__xludf.DUMMYFUNCTION("""COMPUTED_VALUE"""),"")</f>
        <v/>
      </c>
      <c r="G5406" s="18"/>
      <c r="H5406" s="16" t="s">
        <v>87</v>
      </c>
      <c r="I5406" s="16" t="s">
        <v>87</v>
      </c>
      <c r="J5406" s="19"/>
      <c r="L5406" s="16" t="str">
        <f>IFERROR(__xludf.DUMMYFUNCTION("""COMPUTED_VALUE"""),"")</f>
        <v/>
      </c>
      <c r="M5406" s="16" t="str">
        <f>IFERROR(__xludf.DUMMYFUNCTION("""COMPUTED_VALUE"""),"")</f>
        <v/>
      </c>
      <c r="U5406" s="16" t="s">
        <v>87</v>
      </c>
      <c r="V5406" s="16" t="str">
        <f>IFERROR(__xludf.DUMMYFUNCTION("""COMPUTED_VALUE"""),"")</f>
        <v/>
      </c>
      <c r="W5406" s="16" t="str">
        <f>IFERROR(__xludf.DUMMYFUNCTION("""COMPUTED_VALUE"""),"")</f>
        <v/>
      </c>
      <c r="X5406" s="16" t="str">
        <f>IFERROR(__xludf.DUMMYFUNCTION("""COMPUTED_VALUE"""),"")</f>
        <v/>
      </c>
      <c r="AC5406" s="16" t="str">
        <f>IFERROR(__xludf.DUMMYFUNCTION("""COMPUTED_VALUE"""),"")</f>
        <v/>
      </c>
    </row>
    <row r="5407">
      <c r="A5407" s="16" t="s">
        <v>87</v>
      </c>
      <c r="E5407" s="16" t="str">
        <f>IFERROR(__xludf.DUMMYFUNCTION("""COMPUTED_VALUE"""),"")</f>
        <v/>
      </c>
      <c r="G5407" s="18"/>
      <c r="H5407" s="16" t="s">
        <v>87</v>
      </c>
      <c r="I5407" s="16" t="s">
        <v>87</v>
      </c>
      <c r="J5407" s="19"/>
      <c r="L5407" s="16" t="str">
        <f>IFERROR(__xludf.DUMMYFUNCTION("""COMPUTED_VALUE"""),"")</f>
        <v/>
      </c>
      <c r="M5407" s="16" t="str">
        <f>IFERROR(__xludf.DUMMYFUNCTION("""COMPUTED_VALUE"""),"")</f>
        <v/>
      </c>
      <c r="U5407" s="16" t="s">
        <v>87</v>
      </c>
      <c r="V5407" s="16" t="str">
        <f>IFERROR(__xludf.DUMMYFUNCTION("""COMPUTED_VALUE"""),"")</f>
        <v/>
      </c>
      <c r="W5407" s="16" t="str">
        <f>IFERROR(__xludf.DUMMYFUNCTION("""COMPUTED_VALUE"""),"")</f>
        <v/>
      </c>
      <c r="X5407" s="16" t="str">
        <f>IFERROR(__xludf.DUMMYFUNCTION("""COMPUTED_VALUE"""),"")</f>
        <v/>
      </c>
      <c r="AC5407" s="16" t="str">
        <f>IFERROR(__xludf.DUMMYFUNCTION("""COMPUTED_VALUE"""),"")</f>
        <v/>
      </c>
    </row>
    <row r="5408">
      <c r="A5408" s="16" t="s">
        <v>87</v>
      </c>
      <c r="E5408" s="16" t="str">
        <f>IFERROR(__xludf.DUMMYFUNCTION("""COMPUTED_VALUE"""),"")</f>
        <v/>
      </c>
      <c r="G5408" s="18"/>
      <c r="H5408" s="16" t="s">
        <v>87</v>
      </c>
      <c r="I5408" s="16" t="s">
        <v>87</v>
      </c>
      <c r="J5408" s="19"/>
      <c r="L5408" s="16" t="str">
        <f>IFERROR(__xludf.DUMMYFUNCTION("""COMPUTED_VALUE"""),"")</f>
        <v/>
      </c>
      <c r="M5408" s="16" t="str">
        <f>IFERROR(__xludf.DUMMYFUNCTION("""COMPUTED_VALUE"""),"")</f>
        <v/>
      </c>
      <c r="U5408" s="16" t="s">
        <v>87</v>
      </c>
      <c r="V5408" s="16" t="str">
        <f>IFERROR(__xludf.DUMMYFUNCTION("""COMPUTED_VALUE"""),"")</f>
        <v/>
      </c>
      <c r="W5408" s="16" t="str">
        <f>IFERROR(__xludf.DUMMYFUNCTION("""COMPUTED_VALUE"""),"")</f>
        <v/>
      </c>
      <c r="X5408" s="16" t="str">
        <f>IFERROR(__xludf.DUMMYFUNCTION("""COMPUTED_VALUE"""),"")</f>
        <v/>
      </c>
      <c r="AC5408" s="16" t="str">
        <f>IFERROR(__xludf.DUMMYFUNCTION("""COMPUTED_VALUE"""),"")</f>
        <v/>
      </c>
    </row>
    <row r="5409">
      <c r="A5409" s="16" t="s">
        <v>87</v>
      </c>
      <c r="E5409" s="16" t="str">
        <f>IFERROR(__xludf.DUMMYFUNCTION("""COMPUTED_VALUE"""),"")</f>
        <v/>
      </c>
      <c r="G5409" s="18"/>
      <c r="H5409" s="16" t="s">
        <v>87</v>
      </c>
      <c r="I5409" s="16" t="s">
        <v>87</v>
      </c>
      <c r="J5409" s="19"/>
      <c r="L5409" s="16" t="str">
        <f>IFERROR(__xludf.DUMMYFUNCTION("""COMPUTED_VALUE"""),"")</f>
        <v/>
      </c>
      <c r="M5409" s="16" t="str">
        <f>IFERROR(__xludf.DUMMYFUNCTION("""COMPUTED_VALUE"""),"")</f>
        <v/>
      </c>
      <c r="U5409" s="16" t="s">
        <v>87</v>
      </c>
      <c r="V5409" s="16" t="str">
        <f>IFERROR(__xludf.DUMMYFUNCTION("""COMPUTED_VALUE"""),"")</f>
        <v/>
      </c>
      <c r="W5409" s="16" t="str">
        <f>IFERROR(__xludf.DUMMYFUNCTION("""COMPUTED_VALUE"""),"")</f>
        <v/>
      </c>
      <c r="X5409" s="16" t="str">
        <f>IFERROR(__xludf.DUMMYFUNCTION("""COMPUTED_VALUE"""),"")</f>
        <v/>
      </c>
      <c r="AC5409" s="16" t="str">
        <f>IFERROR(__xludf.DUMMYFUNCTION("""COMPUTED_VALUE"""),"")</f>
        <v/>
      </c>
    </row>
    <row r="5410">
      <c r="A5410" s="16" t="s">
        <v>87</v>
      </c>
      <c r="E5410" s="16" t="str">
        <f>IFERROR(__xludf.DUMMYFUNCTION("""COMPUTED_VALUE"""),"")</f>
        <v/>
      </c>
      <c r="G5410" s="18"/>
      <c r="H5410" s="16" t="s">
        <v>87</v>
      </c>
      <c r="I5410" s="16" t="s">
        <v>87</v>
      </c>
      <c r="J5410" s="19"/>
      <c r="L5410" s="16" t="str">
        <f>IFERROR(__xludf.DUMMYFUNCTION("""COMPUTED_VALUE"""),"")</f>
        <v/>
      </c>
      <c r="M5410" s="16" t="str">
        <f>IFERROR(__xludf.DUMMYFUNCTION("""COMPUTED_VALUE"""),"")</f>
        <v/>
      </c>
      <c r="U5410" s="16" t="s">
        <v>87</v>
      </c>
      <c r="V5410" s="16" t="str">
        <f>IFERROR(__xludf.DUMMYFUNCTION("""COMPUTED_VALUE"""),"")</f>
        <v/>
      </c>
      <c r="W5410" s="16" t="str">
        <f>IFERROR(__xludf.DUMMYFUNCTION("""COMPUTED_VALUE"""),"")</f>
        <v/>
      </c>
      <c r="X5410" s="16" t="str">
        <f>IFERROR(__xludf.DUMMYFUNCTION("""COMPUTED_VALUE"""),"")</f>
        <v/>
      </c>
      <c r="AC5410" s="16" t="str">
        <f>IFERROR(__xludf.DUMMYFUNCTION("""COMPUTED_VALUE"""),"")</f>
        <v/>
      </c>
    </row>
    <row r="5411">
      <c r="A5411" s="16" t="s">
        <v>87</v>
      </c>
      <c r="E5411" s="16" t="str">
        <f>IFERROR(__xludf.DUMMYFUNCTION("""COMPUTED_VALUE"""),"")</f>
        <v/>
      </c>
      <c r="G5411" s="18"/>
      <c r="H5411" s="16" t="s">
        <v>87</v>
      </c>
      <c r="I5411" s="16" t="s">
        <v>87</v>
      </c>
      <c r="J5411" s="19"/>
      <c r="L5411" s="16" t="str">
        <f>IFERROR(__xludf.DUMMYFUNCTION("""COMPUTED_VALUE"""),"")</f>
        <v/>
      </c>
      <c r="M5411" s="16" t="str">
        <f>IFERROR(__xludf.DUMMYFUNCTION("""COMPUTED_VALUE"""),"")</f>
        <v/>
      </c>
      <c r="U5411" s="16" t="s">
        <v>87</v>
      </c>
      <c r="V5411" s="16" t="str">
        <f>IFERROR(__xludf.DUMMYFUNCTION("""COMPUTED_VALUE"""),"")</f>
        <v/>
      </c>
      <c r="W5411" s="16" t="str">
        <f>IFERROR(__xludf.DUMMYFUNCTION("""COMPUTED_VALUE"""),"")</f>
        <v/>
      </c>
      <c r="X5411" s="16" t="str">
        <f>IFERROR(__xludf.DUMMYFUNCTION("""COMPUTED_VALUE"""),"")</f>
        <v/>
      </c>
      <c r="AC5411" s="16" t="str">
        <f>IFERROR(__xludf.DUMMYFUNCTION("""COMPUTED_VALUE"""),"")</f>
        <v/>
      </c>
    </row>
    <row r="5412">
      <c r="A5412" s="16" t="s">
        <v>87</v>
      </c>
      <c r="E5412" s="16" t="str">
        <f>IFERROR(__xludf.DUMMYFUNCTION("""COMPUTED_VALUE"""),"")</f>
        <v/>
      </c>
      <c r="G5412" s="18"/>
      <c r="H5412" s="16" t="s">
        <v>87</v>
      </c>
      <c r="I5412" s="16" t="s">
        <v>87</v>
      </c>
      <c r="J5412" s="19"/>
      <c r="L5412" s="16" t="str">
        <f>IFERROR(__xludf.DUMMYFUNCTION("""COMPUTED_VALUE"""),"")</f>
        <v/>
      </c>
      <c r="M5412" s="16" t="str">
        <f>IFERROR(__xludf.DUMMYFUNCTION("""COMPUTED_VALUE"""),"")</f>
        <v/>
      </c>
      <c r="U5412" s="16" t="s">
        <v>87</v>
      </c>
      <c r="V5412" s="16" t="str">
        <f>IFERROR(__xludf.DUMMYFUNCTION("""COMPUTED_VALUE"""),"")</f>
        <v/>
      </c>
      <c r="W5412" s="16" t="str">
        <f>IFERROR(__xludf.DUMMYFUNCTION("""COMPUTED_VALUE"""),"")</f>
        <v/>
      </c>
      <c r="X5412" s="16" t="str">
        <f>IFERROR(__xludf.DUMMYFUNCTION("""COMPUTED_VALUE"""),"")</f>
        <v/>
      </c>
      <c r="AC5412" s="16" t="str">
        <f>IFERROR(__xludf.DUMMYFUNCTION("""COMPUTED_VALUE"""),"")</f>
        <v/>
      </c>
    </row>
    <row r="5413">
      <c r="A5413" s="16" t="s">
        <v>87</v>
      </c>
      <c r="E5413" s="16" t="str">
        <f>IFERROR(__xludf.DUMMYFUNCTION("""COMPUTED_VALUE"""),"")</f>
        <v/>
      </c>
      <c r="G5413" s="18"/>
      <c r="H5413" s="16" t="s">
        <v>87</v>
      </c>
      <c r="I5413" s="16" t="s">
        <v>87</v>
      </c>
      <c r="J5413" s="19"/>
      <c r="L5413" s="16" t="str">
        <f>IFERROR(__xludf.DUMMYFUNCTION("""COMPUTED_VALUE"""),"")</f>
        <v/>
      </c>
      <c r="M5413" s="16" t="str">
        <f>IFERROR(__xludf.DUMMYFUNCTION("""COMPUTED_VALUE"""),"")</f>
        <v/>
      </c>
      <c r="U5413" s="16" t="s">
        <v>87</v>
      </c>
      <c r="V5413" s="16" t="str">
        <f>IFERROR(__xludf.DUMMYFUNCTION("""COMPUTED_VALUE"""),"")</f>
        <v/>
      </c>
      <c r="W5413" s="16" t="str">
        <f>IFERROR(__xludf.DUMMYFUNCTION("""COMPUTED_VALUE"""),"")</f>
        <v/>
      </c>
      <c r="X5413" s="16" t="str">
        <f>IFERROR(__xludf.DUMMYFUNCTION("""COMPUTED_VALUE"""),"")</f>
        <v/>
      </c>
      <c r="AC5413" s="16" t="str">
        <f>IFERROR(__xludf.DUMMYFUNCTION("""COMPUTED_VALUE"""),"")</f>
        <v/>
      </c>
    </row>
    <row r="5414">
      <c r="A5414" s="16" t="s">
        <v>87</v>
      </c>
      <c r="E5414" s="16" t="str">
        <f>IFERROR(__xludf.DUMMYFUNCTION("""COMPUTED_VALUE"""),"")</f>
        <v/>
      </c>
      <c r="G5414" s="18"/>
      <c r="H5414" s="16" t="s">
        <v>87</v>
      </c>
      <c r="I5414" s="16" t="s">
        <v>87</v>
      </c>
      <c r="J5414" s="19"/>
      <c r="L5414" s="16" t="str">
        <f>IFERROR(__xludf.DUMMYFUNCTION("""COMPUTED_VALUE"""),"")</f>
        <v/>
      </c>
      <c r="M5414" s="16" t="str">
        <f>IFERROR(__xludf.DUMMYFUNCTION("""COMPUTED_VALUE"""),"")</f>
        <v/>
      </c>
      <c r="U5414" s="16" t="s">
        <v>87</v>
      </c>
      <c r="V5414" s="16" t="str">
        <f>IFERROR(__xludf.DUMMYFUNCTION("""COMPUTED_VALUE"""),"")</f>
        <v/>
      </c>
      <c r="W5414" s="16" t="str">
        <f>IFERROR(__xludf.DUMMYFUNCTION("""COMPUTED_VALUE"""),"")</f>
        <v/>
      </c>
      <c r="X5414" s="16" t="str">
        <f>IFERROR(__xludf.DUMMYFUNCTION("""COMPUTED_VALUE"""),"")</f>
        <v/>
      </c>
      <c r="AC5414" s="16" t="str">
        <f>IFERROR(__xludf.DUMMYFUNCTION("""COMPUTED_VALUE"""),"")</f>
        <v/>
      </c>
    </row>
    <row r="5415">
      <c r="A5415" s="16" t="s">
        <v>87</v>
      </c>
      <c r="E5415" s="16" t="str">
        <f>IFERROR(__xludf.DUMMYFUNCTION("""COMPUTED_VALUE"""),"")</f>
        <v/>
      </c>
      <c r="G5415" s="18"/>
      <c r="H5415" s="16" t="s">
        <v>87</v>
      </c>
      <c r="I5415" s="16" t="s">
        <v>87</v>
      </c>
      <c r="J5415" s="19"/>
      <c r="L5415" s="16" t="str">
        <f>IFERROR(__xludf.DUMMYFUNCTION("""COMPUTED_VALUE"""),"")</f>
        <v/>
      </c>
      <c r="M5415" s="16" t="str">
        <f>IFERROR(__xludf.DUMMYFUNCTION("""COMPUTED_VALUE"""),"")</f>
        <v/>
      </c>
      <c r="U5415" s="16" t="s">
        <v>87</v>
      </c>
      <c r="V5415" s="16" t="str">
        <f>IFERROR(__xludf.DUMMYFUNCTION("""COMPUTED_VALUE"""),"")</f>
        <v/>
      </c>
      <c r="W5415" s="16" t="str">
        <f>IFERROR(__xludf.DUMMYFUNCTION("""COMPUTED_VALUE"""),"")</f>
        <v/>
      </c>
      <c r="X5415" s="16" t="str">
        <f>IFERROR(__xludf.DUMMYFUNCTION("""COMPUTED_VALUE"""),"")</f>
        <v/>
      </c>
      <c r="AC5415" s="16" t="str">
        <f>IFERROR(__xludf.DUMMYFUNCTION("""COMPUTED_VALUE"""),"")</f>
        <v/>
      </c>
    </row>
    <row r="5416">
      <c r="A5416" s="16" t="s">
        <v>87</v>
      </c>
      <c r="E5416" s="16" t="str">
        <f>IFERROR(__xludf.DUMMYFUNCTION("""COMPUTED_VALUE"""),"")</f>
        <v/>
      </c>
      <c r="G5416" s="18"/>
      <c r="H5416" s="16" t="s">
        <v>87</v>
      </c>
      <c r="I5416" s="16" t="s">
        <v>87</v>
      </c>
      <c r="J5416" s="19"/>
      <c r="L5416" s="16" t="str">
        <f>IFERROR(__xludf.DUMMYFUNCTION("""COMPUTED_VALUE"""),"")</f>
        <v/>
      </c>
      <c r="M5416" s="16" t="str">
        <f>IFERROR(__xludf.DUMMYFUNCTION("""COMPUTED_VALUE"""),"")</f>
        <v/>
      </c>
      <c r="U5416" s="16" t="s">
        <v>87</v>
      </c>
      <c r="V5416" s="16" t="str">
        <f>IFERROR(__xludf.DUMMYFUNCTION("""COMPUTED_VALUE"""),"")</f>
        <v/>
      </c>
      <c r="W5416" s="16" t="str">
        <f>IFERROR(__xludf.DUMMYFUNCTION("""COMPUTED_VALUE"""),"")</f>
        <v/>
      </c>
      <c r="X5416" s="16" t="str">
        <f>IFERROR(__xludf.DUMMYFUNCTION("""COMPUTED_VALUE"""),"")</f>
        <v/>
      </c>
      <c r="AC5416" s="16" t="str">
        <f>IFERROR(__xludf.DUMMYFUNCTION("""COMPUTED_VALUE"""),"")</f>
        <v/>
      </c>
    </row>
    <row r="5417">
      <c r="A5417" s="16" t="s">
        <v>87</v>
      </c>
      <c r="E5417" s="16" t="str">
        <f>IFERROR(__xludf.DUMMYFUNCTION("""COMPUTED_VALUE"""),"")</f>
        <v/>
      </c>
      <c r="G5417" s="18"/>
      <c r="H5417" s="16" t="s">
        <v>87</v>
      </c>
      <c r="I5417" s="16" t="s">
        <v>87</v>
      </c>
      <c r="J5417" s="19"/>
      <c r="L5417" s="16" t="str">
        <f>IFERROR(__xludf.DUMMYFUNCTION("""COMPUTED_VALUE"""),"")</f>
        <v/>
      </c>
      <c r="M5417" s="16" t="str">
        <f>IFERROR(__xludf.DUMMYFUNCTION("""COMPUTED_VALUE"""),"")</f>
        <v/>
      </c>
      <c r="U5417" s="16" t="s">
        <v>87</v>
      </c>
      <c r="V5417" s="16" t="str">
        <f>IFERROR(__xludf.DUMMYFUNCTION("""COMPUTED_VALUE"""),"")</f>
        <v/>
      </c>
      <c r="W5417" s="16" t="str">
        <f>IFERROR(__xludf.DUMMYFUNCTION("""COMPUTED_VALUE"""),"")</f>
        <v/>
      </c>
      <c r="X5417" s="16" t="str">
        <f>IFERROR(__xludf.DUMMYFUNCTION("""COMPUTED_VALUE"""),"")</f>
        <v/>
      </c>
      <c r="AC5417" s="16" t="str">
        <f>IFERROR(__xludf.DUMMYFUNCTION("""COMPUTED_VALUE"""),"")</f>
        <v/>
      </c>
    </row>
    <row r="5418">
      <c r="A5418" s="16" t="s">
        <v>87</v>
      </c>
      <c r="E5418" s="16" t="str">
        <f>IFERROR(__xludf.DUMMYFUNCTION("""COMPUTED_VALUE"""),"")</f>
        <v/>
      </c>
      <c r="G5418" s="18"/>
      <c r="H5418" s="16" t="s">
        <v>87</v>
      </c>
      <c r="I5418" s="16" t="s">
        <v>87</v>
      </c>
      <c r="J5418" s="19"/>
      <c r="L5418" s="16" t="str">
        <f>IFERROR(__xludf.DUMMYFUNCTION("""COMPUTED_VALUE"""),"")</f>
        <v/>
      </c>
      <c r="M5418" s="16" t="str">
        <f>IFERROR(__xludf.DUMMYFUNCTION("""COMPUTED_VALUE"""),"")</f>
        <v/>
      </c>
      <c r="U5418" s="16" t="s">
        <v>87</v>
      </c>
      <c r="V5418" s="16" t="str">
        <f>IFERROR(__xludf.DUMMYFUNCTION("""COMPUTED_VALUE"""),"")</f>
        <v/>
      </c>
      <c r="W5418" s="16" t="str">
        <f>IFERROR(__xludf.DUMMYFUNCTION("""COMPUTED_VALUE"""),"")</f>
        <v/>
      </c>
      <c r="X5418" s="16" t="str">
        <f>IFERROR(__xludf.DUMMYFUNCTION("""COMPUTED_VALUE"""),"")</f>
        <v/>
      </c>
      <c r="AC5418" s="16" t="str">
        <f>IFERROR(__xludf.DUMMYFUNCTION("""COMPUTED_VALUE"""),"")</f>
        <v/>
      </c>
    </row>
    <row r="5419">
      <c r="A5419" s="16" t="s">
        <v>87</v>
      </c>
      <c r="E5419" s="16" t="str">
        <f>IFERROR(__xludf.DUMMYFUNCTION("""COMPUTED_VALUE"""),"")</f>
        <v/>
      </c>
      <c r="G5419" s="18"/>
      <c r="H5419" s="16" t="s">
        <v>87</v>
      </c>
      <c r="I5419" s="16" t="s">
        <v>87</v>
      </c>
      <c r="J5419" s="19"/>
      <c r="L5419" s="16" t="str">
        <f>IFERROR(__xludf.DUMMYFUNCTION("""COMPUTED_VALUE"""),"")</f>
        <v/>
      </c>
      <c r="M5419" s="16" t="str">
        <f>IFERROR(__xludf.DUMMYFUNCTION("""COMPUTED_VALUE"""),"")</f>
        <v/>
      </c>
      <c r="U5419" s="16" t="s">
        <v>87</v>
      </c>
      <c r="V5419" s="16" t="str">
        <f>IFERROR(__xludf.DUMMYFUNCTION("""COMPUTED_VALUE"""),"")</f>
        <v/>
      </c>
      <c r="W5419" s="16" t="str">
        <f>IFERROR(__xludf.DUMMYFUNCTION("""COMPUTED_VALUE"""),"")</f>
        <v/>
      </c>
      <c r="X5419" s="16" t="str">
        <f>IFERROR(__xludf.DUMMYFUNCTION("""COMPUTED_VALUE"""),"")</f>
        <v/>
      </c>
      <c r="AC5419" s="16" t="str">
        <f>IFERROR(__xludf.DUMMYFUNCTION("""COMPUTED_VALUE"""),"")</f>
        <v/>
      </c>
    </row>
    <row r="5420">
      <c r="A5420" s="16" t="s">
        <v>87</v>
      </c>
      <c r="E5420" s="16" t="str">
        <f>IFERROR(__xludf.DUMMYFUNCTION("""COMPUTED_VALUE"""),"")</f>
        <v/>
      </c>
      <c r="G5420" s="18"/>
      <c r="H5420" s="16" t="s">
        <v>87</v>
      </c>
      <c r="I5420" s="16" t="s">
        <v>87</v>
      </c>
      <c r="J5420" s="19"/>
      <c r="L5420" s="16" t="str">
        <f>IFERROR(__xludf.DUMMYFUNCTION("""COMPUTED_VALUE"""),"")</f>
        <v/>
      </c>
      <c r="M5420" s="16" t="str">
        <f>IFERROR(__xludf.DUMMYFUNCTION("""COMPUTED_VALUE"""),"")</f>
        <v/>
      </c>
      <c r="U5420" s="16" t="s">
        <v>87</v>
      </c>
      <c r="V5420" s="16" t="str">
        <f>IFERROR(__xludf.DUMMYFUNCTION("""COMPUTED_VALUE"""),"")</f>
        <v/>
      </c>
      <c r="W5420" s="16" t="str">
        <f>IFERROR(__xludf.DUMMYFUNCTION("""COMPUTED_VALUE"""),"")</f>
        <v/>
      </c>
      <c r="X5420" s="16" t="str">
        <f>IFERROR(__xludf.DUMMYFUNCTION("""COMPUTED_VALUE"""),"")</f>
        <v/>
      </c>
      <c r="AC5420" s="16" t="str">
        <f>IFERROR(__xludf.DUMMYFUNCTION("""COMPUTED_VALUE"""),"")</f>
        <v/>
      </c>
    </row>
    <row r="5421">
      <c r="A5421" s="16" t="s">
        <v>87</v>
      </c>
      <c r="E5421" s="16" t="str">
        <f>IFERROR(__xludf.DUMMYFUNCTION("""COMPUTED_VALUE"""),"")</f>
        <v/>
      </c>
      <c r="G5421" s="18"/>
      <c r="H5421" s="16" t="s">
        <v>87</v>
      </c>
      <c r="I5421" s="16" t="s">
        <v>87</v>
      </c>
      <c r="J5421" s="19"/>
      <c r="L5421" s="16" t="str">
        <f>IFERROR(__xludf.DUMMYFUNCTION("""COMPUTED_VALUE"""),"")</f>
        <v/>
      </c>
      <c r="M5421" s="16" t="str">
        <f>IFERROR(__xludf.DUMMYFUNCTION("""COMPUTED_VALUE"""),"")</f>
        <v/>
      </c>
      <c r="U5421" s="16" t="s">
        <v>87</v>
      </c>
      <c r="V5421" s="16" t="str">
        <f>IFERROR(__xludf.DUMMYFUNCTION("""COMPUTED_VALUE"""),"")</f>
        <v/>
      </c>
      <c r="W5421" s="16" t="str">
        <f>IFERROR(__xludf.DUMMYFUNCTION("""COMPUTED_VALUE"""),"")</f>
        <v/>
      </c>
      <c r="X5421" s="16" t="str">
        <f>IFERROR(__xludf.DUMMYFUNCTION("""COMPUTED_VALUE"""),"")</f>
        <v/>
      </c>
      <c r="AC5421" s="16" t="str">
        <f>IFERROR(__xludf.DUMMYFUNCTION("""COMPUTED_VALUE"""),"")</f>
        <v/>
      </c>
    </row>
    <row r="5422">
      <c r="A5422" s="16" t="s">
        <v>87</v>
      </c>
      <c r="E5422" s="16" t="str">
        <f>IFERROR(__xludf.DUMMYFUNCTION("""COMPUTED_VALUE"""),"")</f>
        <v/>
      </c>
      <c r="G5422" s="18"/>
      <c r="H5422" s="16" t="s">
        <v>87</v>
      </c>
      <c r="I5422" s="16" t="s">
        <v>87</v>
      </c>
      <c r="J5422" s="19"/>
      <c r="L5422" s="16" t="str">
        <f>IFERROR(__xludf.DUMMYFUNCTION("""COMPUTED_VALUE"""),"")</f>
        <v/>
      </c>
      <c r="M5422" s="16" t="str">
        <f>IFERROR(__xludf.DUMMYFUNCTION("""COMPUTED_VALUE"""),"")</f>
        <v/>
      </c>
      <c r="U5422" s="16" t="s">
        <v>87</v>
      </c>
      <c r="V5422" s="16" t="str">
        <f>IFERROR(__xludf.DUMMYFUNCTION("""COMPUTED_VALUE"""),"")</f>
        <v/>
      </c>
      <c r="W5422" s="16" t="str">
        <f>IFERROR(__xludf.DUMMYFUNCTION("""COMPUTED_VALUE"""),"")</f>
        <v/>
      </c>
      <c r="X5422" s="16" t="str">
        <f>IFERROR(__xludf.DUMMYFUNCTION("""COMPUTED_VALUE"""),"")</f>
        <v/>
      </c>
      <c r="AC5422" s="16" t="str">
        <f>IFERROR(__xludf.DUMMYFUNCTION("""COMPUTED_VALUE"""),"")</f>
        <v/>
      </c>
    </row>
    <row r="5423">
      <c r="A5423" s="16" t="s">
        <v>87</v>
      </c>
      <c r="E5423" s="16" t="str">
        <f>IFERROR(__xludf.DUMMYFUNCTION("""COMPUTED_VALUE"""),"")</f>
        <v/>
      </c>
      <c r="G5423" s="18"/>
      <c r="H5423" s="16" t="s">
        <v>87</v>
      </c>
      <c r="I5423" s="16" t="s">
        <v>87</v>
      </c>
      <c r="J5423" s="19"/>
      <c r="L5423" s="16" t="str">
        <f>IFERROR(__xludf.DUMMYFUNCTION("""COMPUTED_VALUE"""),"")</f>
        <v/>
      </c>
      <c r="M5423" s="16" t="str">
        <f>IFERROR(__xludf.DUMMYFUNCTION("""COMPUTED_VALUE"""),"")</f>
        <v/>
      </c>
      <c r="U5423" s="16" t="s">
        <v>87</v>
      </c>
      <c r="V5423" s="16" t="str">
        <f>IFERROR(__xludf.DUMMYFUNCTION("""COMPUTED_VALUE"""),"")</f>
        <v/>
      </c>
      <c r="W5423" s="16" t="str">
        <f>IFERROR(__xludf.DUMMYFUNCTION("""COMPUTED_VALUE"""),"")</f>
        <v/>
      </c>
      <c r="X5423" s="16" t="str">
        <f>IFERROR(__xludf.DUMMYFUNCTION("""COMPUTED_VALUE"""),"")</f>
        <v/>
      </c>
      <c r="AC5423" s="16" t="str">
        <f>IFERROR(__xludf.DUMMYFUNCTION("""COMPUTED_VALUE"""),"")</f>
        <v/>
      </c>
    </row>
    <row r="5424">
      <c r="A5424" s="16" t="s">
        <v>87</v>
      </c>
      <c r="E5424" s="16" t="str">
        <f>IFERROR(__xludf.DUMMYFUNCTION("""COMPUTED_VALUE"""),"")</f>
        <v/>
      </c>
      <c r="G5424" s="18"/>
      <c r="H5424" s="16" t="s">
        <v>87</v>
      </c>
      <c r="I5424" s="16" t="s">
        <v>87</v>
      </c>
      <c r="J5424" s="19"/>
      <c r="L5424" s="16" t="str">
        <f>IFERROR(__xludf.DUMMYFUNCTION("""COMPUTED_VALUE"""),"")</f>
        <v/>
      </c>
      <c r="M5424" s="16" t="str">
        <f>IFERROR(__xludf.DUMMYFUNCTION("""COMPUTED_VALUE"""),"")</f>
        <v/>
      </c>
      <c r="U5424" s="16" t="s">
        <v>87</v>
      </c>
      <c r="V5424" s="16" t="str">
        <f>IFERROR(__xludf.DUMMYFUNCTION("""COMPUTED_VALUE"""),"")</f>
        <v/>
      </c>
      <c r="W5424" s="16" t="str">
        <f>IFERROR(__xludf.DUMMYFUNCTION("""COMPUTED_VALUE"""),"")</f>
        <v/>
      </c>
      <c r="X5424" s="16" t="str">
        <f>IFERROR(__xludf.DUMMYFUNCTION("""COMPUTED_VALUE"""),"")</f>
        <v/>
      </c>
      <c r="AC5424" s="16" t="str">
        <f>IFERROR(__xludf.DUMMYFUNCTION("""COMPUTED_VALUE"""),"")</f>
        <v/>
      </c>
    </row>
    <row r="5425">
      <c r="A5425" s="16" t="s">
        <v>87</v>
      </c>
      <c r="E5425" s="16" t="str">
        <f>IFERROR(__xludf.DUMMYFUNCTION("""COMPUTED_VALUE"""),"")</f>
        <v/>
      </c>
      <c r="G5425" s="18"/>
      <c r="H5425" s="16" t="s">
        <v>87</v>
      </c>
      <c r="I5425" s="16" t="s">
        <v>87</v>
      </c>
      <c r="J5425" s="19"/>
      <c r="L5425" s="16" t="str">
        <f>IFERROR(__xludf.DUMMYFUNCTION("""COMPUTED_VALUE"""),"")</f>
        <v/>
      </c>
      <c r="M5425" s="16" t="str">
        <f>IFERROR(__xludf.DUMMYFUNCTION("""COMPUTED_VALUE"""),"")</f>
        <v/>
      </c>
      <c r="U5425" s="16" t="s">
        <v>87</v>
      </c>
      <c r="V5425" s="16" t="str">
        <f>IFERROR(__xludf.DUMMYFUNCTION("""COMPUTED_VALUE"""),"")</f>
        <v/>
      </c>
      <c r="W5425" s="16" t="str">
        <f>IFERROR(__xludf.DUMMYFUNCTION("""COMPUTED_VALUE"""),"")</f>
        <v/>
      </c>
      <c r="X5425" s="16" t="str">
        <f>IFERROR(__xludf.DUMMYFUNCTION("""COMPUTED_VALUE"""),"")</f>
        <v/>
      </c>
      <c r="AC5425" s="16" t="str">
        <f>IFERROR(__xludf.DUMMYFUNCTION("""COMPUTED_VALUE"""),"")</f>
        <v/>
      </c>
    </row>
    <row r="5426">
      <c r="A5426" s="16" t="s">
        <v>87</v>
      </c>
      <c r="E5426" s="16" t="str">
        <f>IFERROR(__xludf.DUMMYFUNCTION("""COMPUTED_VALUE"""),"")</f>
        <v/>
      </c>
      <c r="G5426" s="18"/>
      <c r="H5426" s="16" t="s">
        <v>87</v>
      </c>
      <c r="I5426" s="16" t="s">
        <v>87</v>
      </c>
      <c r="J5426" s="19"/>
      <c r="L5426" s="16" t="str">
        <f>IFERROR(__xludf.DUMMYFUNCTION("""COMPUTED_VALUE"""),"")</f>
        <v/>
      </c>
      <c r="M5426" s="16" t="str">
        <f>IFERROR(__xludf.DUMMYFUNCTION("""COMPUTED_VALUE"""),"")</f>
        <v/>
      </c>
      <c r="U5426" s="16" t="s">
        <v>87</v>
      </c>
      <c r="V5426" s="16" t="str">
        <f>IFERROR(__xludf.DUMMYFUNCTION("""COMPUTED_VALUE"""),"")</f>
        <v/>
      </c>
      <c r="W5426" s="16" t="str">
        <f>IFERROR(__xludf.DUMMYFUNCTION("""COMPUTED_VALUE"""),"")</f>
        <v/>
      </c>
      <c r="X5426" s="16" t="str">
        <f>IFERROR(__xludf.DUMMYFUNCTION("""COMPUTED_VALUE"""),"")</f>
        <v/>
      </c>
      <c r="AC5426" s="16" t="str">
        <f>IFERROR(__xludf.DUMMYFUNCTION("""COMPUTED_VALUE"""),"")</f>
        <v/>
      </c>
    </row>
    <row r="5427">
      <c r="A5427" s="16" t="s">
        <v>87</v>
      </c>
      <c r="E5427" s="16" t="str">
        <f>IFERROR(__xludf.DUMMYFUNCTION("""COMPUTED_VALUE"""),"")</f>
        <v/>
      </c>
      <c r="G5427" s="18"/>
      <c r="H5427" s="16" t="s">
        <v>87</v>
      </c>
      <c r="I5427" s="16" t="s">
        <v>87</v>
      </c>
      <c r="J5427" s="19"/>
      <c r="L5427" s="16" t="str">
        <f>IFERROR(__xludf.DUMMYFUNCTION("""COMPUTED_VALUE"""),"")</f>
        <v/>
      </c>
      <c r="M5427" s="16" t="str">
        <f>IFERROR(__xludf.DUMMYFUNCTION("""COMPUTED_VALUE"""),"")</f>
        <v/>
      </c>
      <c r="U5427" s="16" t="s">
        <v>87</v>
      </c>
      <c r="V5427" s="16" t="str">
        <f>IFERROR(__xludf.DUMMYFUNCTION("""COMPUTED_VALUE"""),"")</f>
        <v/>
      </c>
      <c r="W5427" s="16" t="str">
        <f>IFERROR(__xludf.DUMMYFUNCTION("""COMPUTED_VALUE"""),"")</f>
        <v/>
      </c>
      <c r="X5427" s="16" t="str">
        <f>IFERROR(__xludf.DUMMYFUNCTION("""COMPUTED_VALUE"""),"")</f>
        <v/>
      </c>
      <c r="AC5427" s="16" t="str">
        <f>IFERROR(__xludf.DUMMYFUNCTION("""COMPUTED_VALUE"""),"")</f>
        <v/>
      </c>
    </row>
    <row r="5428">
      <c r="A5428" s="16" t="s">
        <v>87</v>
      </c>
      <c r="E5428" s="16" t="str">
        <f>IFERROR(__xludf.DUMMYFUNCTION("""COMPUTED_VALUE"""),"")</f>
        <v/>
      </c>
      <c r="G5428" s="18"/>
      <c r="H5428" s="16" t="s">
        <v>87</v>
      </c>
      <c r="I5428" s="16" t="s">
        <v>87</v>
      </c>
      <c r="J5428" s="19"/>
      <c r="L5428" s="16" t="str">
        <f>IFERROR(__xludf.DUMMYFUNCTION("""COMPUTED_VALUE"""),"")</f>
        <v/>
      </c>
      <c r="M5428" s="16" t="str">
        <f>IFERROR(__xludf.DUMMYFUNCTION("""COMPUTED_VALUE"""),"")</f>
        <v/>
      </c>
      <c r="U5428" s="16" t="s">
        <v>87</v>
      </c>
      <c r="V5428" s="16" t="str">
        <f>IFERROR(__xludf.DUMMYFUNCTION("""COMPUTED_VALUE"""),"")</f>
        <v/>
      </c>
      <c r="W5428" s="16" t="str">
        <f>IFERROR(__xludf.DUMMYFUNCTION("""COMPUTED_VALUE"""),"")</f>
        <v/>
      </c>
      <c r="X5428" s="16" t="str">
        <f>IFERROR(__xludf.DUMMYFUNCTION("""COMPUTED_VALUE"""),"")</f>
        <v/>
      </c>
      <c r="AC5428" s="16" t="str">
        <f>IFERROR(__xludf.DUMMYFUNCTION("""COMPUTED_VALUE"""),"")</f>
        <v/>
      </c>
    </row>
    <row r="5429">
      <c r="A5429" s="16" t="s">
        <v>87</v>
      </c>
      <c r="E5429" s="16" t="str">
        <f>IFERROR(__xludf.DUMMYFUNCTION("""COMPUTED_VALUE"""),"")</f>
        <v/>
      </c>
      <c r="G5429" s="18"/>
      <c r="H5429" s="16" t="s">
        <v>87</v>
      </c>
      <c r="I5429" s="16" t="s">
        <v>87</v>
      </c>
      <c r="J5429" s="19"/>
      <c r="L5429" s="16" t="str">
        <f>IFERROR(__xludf.DUMMYFUNCTION("""COMPUTED_VALUE"""),"")</f>
        <v/>
      </c>
      <c r="M5429" s="16" t="str">
        <f>IFERROR(__xludf.DUMMYFUNCTION("""COMPUTED_VALUE"""),"")</f>
        <v/>
      </c>
      <c r="U5429" s="16" t="s">
        <v>87</v>
      </c>
      <c r="V5429" s="16" t="str">
        <f>IFERROR(__xludf.DUMMYFUNCTION("""COMPUTED_VALUE"""),"")</f>
        <v/>
      </c>
      <c r="W5429" s="16" t="str">
        <f>IFERROR(__xludf.DUMMYFUNCTION("""COMPUTED_VALUE"""),"")</f>
        <v/>
      </c>
      <c r="X5429" s="16" t="str">
        <f>IFERROR(__xludf.DUMMYFUNCTION("""COMPUTED_VALUE"""),"")</f>
        <v/>
      </c>
      <c r="AC5429" s="16" t="str">
        <f>IFERROR(__xludf.DUMMYFUNCTION("""COMPUTED_VALUE"""),"")</f>
        <v/>
      </c>
    </row>
    <row r="5430">
      <c r="A5430" s="16" t="s">
        <v>87</v>
      </c>
      <c r="E5430" s="16" t="str">
        <f>IFERROR(__xludf.DUMMYFUNCTION("""COMPUTED_VALUE"""),"")</f>
        <v/>
      </c>
      <c r="G5430" s="18"/>
      <c r="H5430" s="16" t="s">
        <v>87</v>
      </c>
      <c r="I5430" s="16" t="s">
        <v>87</v>
      </c>
      <c r="J5430" s="19"/>
      <c r="L5430" s="16" t="str">
        <f>IFERROR(__xludf.DUMMYFUNCTION("""COMPUTED_VALUE"""),"")</f>
        <v/>
      </c>
      <c r="M5430" s="16" t="str">
        <f>IFERROR(__xludf.DUMMYFUNCTION("""COMPUTED_VALUE"""),"")</f>
        <v/>
      </c>
      <c r="U5430" s="16" t="s">
        <v>87</v>
      </c>
      <c r="V5430" s="16" t="str">
        <f>IFERROR(__xludf.DUMMYFUNCTION("""COMPUTED_VALUE"""),"")</f>
        <v/>
      </c>
      <c r="W5430" s="16" t="str">
        <f>IFERROR(__xludf.DUMMYFUNCTION("""COMPUTED_VALUE"""),"")</f>
        <v/>
      </c>
      <c r="X5430" s="16" t="str">
        <f>IFERROR(__xludf.DUMMYFUNCTION("""COMPUTED_VALUE"""),"")</f>
        <v/>
      </c>
      <c r="AC5430" s="16" t="str">
        <f>IFERROR(__xludf.DUMMYFUNCTION("""COMPUTED_VALUE"""),"")</f>
        <v/>
      </c>
    </row>
    <row r="5431">
      <c r="A5431" s="16" t="s">
        <v>87</v>
      </c>
      <c r="E5431" s="16" t="str">
        <f>IFERROR(__xludf.DUMMYFUNCTION("""COMPUTED_VALUE"""),"")</f>
        <v/>
      </c>
      <c r="G5431" s="18"/>
      <c r="H5431" s="16" t="s">
        <v>87</v>
      </c>
      <c r="I5431" s="16" t="s">
        <v>87</v>
      </c>
      <c r="J5431" s="19"/>
      <c r="L5431" s="16" t="str">
        <f>IFERROR(__xludf.DUMMYFUNCTION("""COMPUTED_VALUE"""),"")</f>
        <v/>
      </c>
      <c r="M5431" s="16" t="str">
        <f>IFERROR(__xludf.DUMMYFUNCTION("""COMPUTED_VALUE"""),"")</f>
        <v/>
      </c>
      <c r="U5431" s="16" t="s">
        <v>87</v>
      </c>
      <c r="V5431" s="16" t="str">
        <f>IFERROR(__xludf.DUMMYFUNCTION("""COMPUTED_VALUE"""),"")</f>
        <v/>
      </c>
      <c r="W5431" s="16" t="str">
        <f>IFERROR(__xludf.DUMMYFUNCTION("""COMPUTED_VALUE"""),"")</f>
        <v/>
      </c>
      <c r="X5431" s="16" t="str">
        <f>IFERROR(__xludf.DUMMYFUNCTION("""COMPUTED_VALUE"""),"")</f>
        <v/>
      </c>
      <c r="AC5431" s="16" t="str">
        <f>IFERROR(__xludf.DUMMYFUNCTION("""COMPUTED_VALUE"""),"")</f>
        <v/>
      </c>
    </row>
    <row r="5432">
      <c r="A5432" s="16" t="s">
        <v>87</v>
      </c>
      <c r="E5432" s="16" t="str">
        <f>IFERROR(__xludf.DUMMYFUNCTION("""COMPUTED_VALUE"""),"")</f>
        <v/>
      </c>
      <c r="G5432" s="18"/>
      <c r="H5432" s="16" t="s">
        <v>87</v>
      </c>
      <c r="I5432" s="16" t="s">
        <v>87</v>
      </c>
      <c r="J5432" s="19"/>
      <c r="L5432" s="16" t="str">
        <f>IFERROR(__xludf.DUMMYFUNCTION("""COMPUTED_VALUE"""),"")</f>
        <v/>
      </c>
      <c r="M5432" s="16" t="str">
        <f>IFERROR(__xludf.DUMMYFUNCTION("""COMPUTED_VALUE"""),"")</f>
        <v/>
      </c>
      <c r="U5432" s="16" t="s">
        <v>87</v>
      </c>
      <c r="V5432" s="16" t="str">
        <f>IFERROR(__xludf.DUMMYFUNCTION("""COMPUTED_VALUE"""),"")</f>
        <v/>
      </c>
      <c r="W5432" s="16" t="str">
        <f>IFERROR(__xludf.DUMMYFUNCTION("""COMPUTED_VALUE"""),"")</f>
        <v/>
      </c>
      <c r="X5432" s="16" t="str">
        <f>IFERROR(__xludf.DUMMYFUNCTION("""COMPUTED_VALUE"""),"")</f>
        <v/>
      </c>
      <c r="AC5432" s="16" t="str">
        <f>IFERROR(__xludf.DUMMYFUNCTION("""COMPUTED_VALUE"""),"")</f>
        <v/>
      </c>
    </row>
    <row r="5433">
      <c r="A5433" s="16" t="s">
        <v>87</v>
      </c>
      <c r="E5433" s="16" t="str">
        <f>IFERROR(__xludf.DUMMYFUNCTION("""COMPUTED_VALUE"""),"")</f>
        <v/>
      </c>
      <c r="G5433" s="18"/>
      <c r="H5433" s="16" t="s">
        <v>87</v>
      </c>
      <c r="I5433" s="16" t="s">
        <v>87</v>
      </c>
      <c r="J5433" s="19"/>
      <c r="L5433" s="16" t="str">
        <f>IFERROR(__xludf.DUMMYFUNCTION("""COMPUTED_VALUE"""),"")</f>
        <v/>
      </c>
      <c r="M5433" s="16" t="str">
        <f>IFERROR(__xludf.DUMMYFUNCTION("""COMPUTED_VALUE"""),"")</f>
        <v/>
      </c>
      <c r="U5433" s="16" t="s">
        <v>87</v>
      </c>
      <c r="V5433" s="16" t="str">
        <f>IFERROR(__xludf.DUMMYFUNCTION("""COMPUTED_VALUE"""),"")</f>
        <v/>
      </c>
      <c r="W5433" s="16" t="str">
        <f>IFERROR(__xludf.DUMMYFUNCTION("""COMPUTED_VALUE"""),"")</f>
        <v/>
      </c>
      <c r="X5433" s="16" t="str">
        <f>IFERROR(__xludf.DUMMYFUNCTION("""COMPUTED_VALUE"""),"")</f>
        <v/>
      </c>
      <c r="AC5433" s="16" t="str">
        <f>IFERROR(__xludf.DUMMYFUNCTION("""COMPUTED_VALUE"""),"")</f>
        <v/>
      </c>
    </row>
    <row r="5434">
      <c r="A5434" s="16" t="s">
        <v>87</v>
      </c>
      <c r="E5434" s="16" t="str">
        <f>IFERROR(__xludf.DUMMYFUNCTION("""COMPUTED_VALUE"""),"")</f>
        <v/>
      </c>
      <c r="G5434" s="18"/>
      <c r="H5434" s="16" t="s">
        <v>87</v>
      </c>
      <c r="I5434" s="16" t="s">
        <v>87</v>
      </c>
      <c r="J5434" s="19"/>
      <c r="L5434" s="16" t="str">
        <f>IFERROR(__xludf.DUMMYFUNCTION("""COMPUTED_VALUE"""),"")</f>
        <v/>
      </c>
      <c r="M5434" s="16" t="str">
        <f>IFERROR(__xludf.DUMMYFUNCTION("""COMPUTED_VALUE"""),"")</f>
        <v/>
      </c>
      <c r="U5434" s="16" t="s">
        <v>87</v>
      </c>
      <c r="V5434" s="16" t="str">
        <f>IFERROR(__xludf.DUMMYFUNCTION("""COMPUTED_VALUE"""),"")</f>
        <v/>
      </c>
      <c r="W5434" s="16" t="str">
        <f>IFERROR(__xludf.DUMMYFUNCTION("""COMPUTED_VALUE"""),"")</f>
        <v/>
      </c>
      <c r="X5434" s="16" t="str">
        <f>IFERROR(__xludf.DUMMYFUNCTION("""COMPUTED_VALUE"""),"")</f>
        <v/>
      </c>
      <c r="AC5434" s="16" t="str">
        <f>IFERROR(__xludf.DUMMYFUNCTION("""COMPUTED_VALUE"""),"")</f>
        <v/>
      </c>
    </row>
    <row r="5435">
      <c r="A5435" s="16" t="s">
        <v>87</v>
      </c>
      <c r="E5435" s="16" t="str">
        <f>IFERROR(__xludf.DUMMYFUNCTION("""COMPUTED_VALUE"""),"")</f>
        <v/>
      </c>
      <c r="G5435" s="18"/>
      <c r="H5435" s="16" t="s">
        <v>87</v>
      </c>
      <c r="I5435" s="16" t="s">
        <v>87</v>
      </c>
      <c r="J5435" s="19"/>
      <c r="L5435" s="16" t="str">
        <f>IFERROR(__xludf.DUMMYFUNCTION("""COMPUTED_VALUE"""),"")</f>
        <v/>
      </c>
      <c r="M5435" s="16" t="str">
        <f>IFERROR(__xludf.DUMMYFUNCTION("""COMPUTED_VALUE"""),"")</f>
        <v/>
      </c>
      <c r="U5435" s="16" t="s">
        <v>87</v>
      </c>
      <c r="V5435" s="16" t="str">
        <f>IFERROR(__xludf.DUMMYFUNCTION("""COMPUTED_VALUE"""),"")</f>
        <v/>
      </c>
      <c r="W5435" s="16" t="str">
        <f>IFERROR(__xludf.DUMMYFUNCTION("""COMPUTED_VALUE"""),"")</f>
        <v/>
      </c>
      <c r="X5435" s="16" t="str">
        <f>IFERROR(__xludf.DUMMYFUNCTION("""COMPUTED_VALUE"""),"")</f>
        <v/>
      </c>
      <c r="AC5435" s="16" t="str">
        <f>IFERROR(__xludf.DUMMYFUNCTION("""COMPUTED_VALUE"""),"")</f>
        <v/>
      </c>
    </row>
    <row r="5436">
      <c r="A5436" s="16" t="s">
        <v>87</v>
      </c>
      <c r="E5436" s="16" t="str">
        <f>IFERROR(__xludf.DUMMYFUNCTION("""COMPUTED_VALUE"""),"")</f>
        <v/>
      </c>
      <c r="G5436" s="18"/>
      <c r="H5436" s="16" t="s">
        <v>87</v>
      </c>
      <c r="I5436" s="16" t="s">
        <v>87</v>
      </c>
      <c r="J5436" s="19"/>
      <c r="L5436" s="16" t="str">
        <f>IFERROR(__xludf.DUMMYFUNCTION("""COMPUTED_VALUE"""),"")</f>
        <v/>
      </c>
      <c r="M5436" s="16" t="str">
        <f>IFERROR(__xludf.DUMMYFUNCTION("""COMPUTED_VALUE"""),"")</f>
        <v/>
      </c>
      <c r="U5436" s="16" t="s">
        <v>87</v>
      </c>
      <c r="V5436" s="16" t="str">
        <f>IFERROR(__xludf.DUMMYFUNCTION("""COMPUTED_VALUE"""),"")</f>
        <v/>
      </c>
      <c r="W5436" s="16" t="str">
        <f>IFERROR(__xludf.DUMMYFUNCTION("""COMPUTED_VALUE"""),"")</f>
        <v/>
      </c>
      <c r="X5436" s="16" t="str">
        <f>IFERROR(__xludf.DUMMYFUNCTION("""COMPUTED_VALUE"""),"")</f>
        <v/>
      </c>
      <c r="AC5436" s="16" t="str">
        <f>IFERROR(__xludf.DUMMYFUNCTION("""COMPUTED_VALUE"""),"")</f>
        <v/>
      </c>
    </row>
    <row r="5437">
      <c r="A5437" s="16" t="s">
        <v>87</v>
      </c>
      <c r="E5437" s="16" t="str">
        <f>IFERROR(__xludf.DUMMYFUNCTION("""COMPUTED_VALUE"""),"")</f>
        <v/>
      </c>
      <c r="G5437" s="18"/>
      <c r="H5437" s="16" t="s">
        <v>87</v>
      </c>
      <c r="I5437" s="16" t="s">
        <v>87</v>
      </c>
      <c r="J5437" s="19"/>
      <c r="L5437" s="16" t="str">
        <f>IFERROR(__xludf.DUMMYFUNCTION("""COMPUTED_VALUE"""),"")</f>
        <v/>
      </c>
      <c r="M5437" s="16" t="str">
        <f>IFERROR(__xludf.DUMMYFUNCTION("""COMPUTED_VALUE"""),"")</f>
        <v/>
      </c>
      <c r="U5437" s="16" t="s">
        <v>87</v>
      </c>
      <c r="V5437" s="16" t="str">
        <f>IFERROR(__xludf.DUMMYFUNCTION("""COMPUTED_VALUE"""),"")</f>
        <v/>
      </c>
      <c r="W5437" s="16" t="str">
        <f>IFERROR(__xludf.DUMMYFUNCTION("""COMPUTED_VALUE"""),"")</f>
        <v/>
      </c>
      <c r="X5437" s="16" t="str">
        <f>IFERROR(__xludf.DUMMYFUNCTION("""COMPUTED_VALUE"""),"")</f>
        <v/>
      </c>
      <c r="AC5437" s="16" t="str">
        <f>IFERROR(__xludf.DUMMYFUNCTION("""COMPUTED_VALUE"""),"")</f>
        <v/>
      </c>
    </row>
    <row r="5438">
      <c r="A5438" s="16" t="s">
        <v>87</v>
      </c>
      <c r="E5438" s="16" t="str">
        <f>IFERROR(__xludf.DUMMYFUNCTION("""COMPUTED_VALUE"""),"")</f>
        <v/>
      </c>
      <c r="G5438" s="18"/>
      <c r="H5438" s="16" t="s">
        <v>87</v>
      </c>
      <c r="I5438" s="16" t="s">
        <v>87</v>
      </c>
      <c r="J5438" s="19"/>
      <c r="L5438" s="16" t="str">
        <f>IFERROR(__xludf.DUMMYFUNCTION("""COMPUTED_VALUE"""),"")</f>
        <v/>
      </c>
      <c r="M5438" s="16" t="str">
        <f>IFERROR(__xludf.DUMMYFUNCTION("""COMPUTED_VALUE"""),"")</f>
        <v/>
      </c>
      <c r="U5438" s="16" t="s">
        <v>87</v>
      </c>
      <c r="V5438" s="16" t="str">
        <f>IFERROR(__xludf.DUMMYFUNCTION("""COMPUTED_VALUE"""),"")</f>
        <v/>
      </c>
      <c r="W5438" s="16" t="str">
        <f>IFERROR(__xludf.DUMMYFUNCTION("""COMPUTED_VALUE"""),"")</f>
        <v/>
      </c>
      <c r="X5438" s="16" t="str">
        <f>IFERROR(__xludf.DUMMYFUNCTION("""COMPUTED_VALUE"""),"")</f>
        <v/>
      </c>
      <c r="AC5438" s="16" t="str">
        <f>IFERROR(__xludf.DUMMYFUNCTION("""COMPUTED_VALUE"""),"")</f>
        <v/>
      </c>
    </row>
    <row r="5439">
      <c r="A5439" s="16" t="s">
        <v>87</v>
      </c>
      <c r="E5439" s="16" t="str">
        <f>IFERROR(__xludf.DUMMYFUNCTION("""COMPUTED_VALUE"""),"")</f>
        <v/>
      </c>
      <c r="G5439" s="18"/>
      <c r="H5439" s="16" t="s">
        <v>87</v>
      </c>
      <c r="I5439" s="16" t="s">
        <v>87</v>
      </c>
      <c r="J5439" s="19"/>
      <c r="L5439" s="16" t="str">
        <f>IFERROR(__xludf.DUMMYFUNCTION("""COMPUTED_VALUE"""),"")</f>
        <v/>
      </c>
      <c r="M5439" s="16" t="str">
        <f>IFERROR(__xludf.DUMMYFUNCTION("""COMPUTED_VALUE"""),"")</f>
        <v/>
      </c>
      <c r="U5439" s="16" t="s">
        <v>87</v>
      </c>
      <c r="V5439" s="16" t="str">
        <f>IFERROR(__xludf.DUMMYFUNCTION("""COMPUTED_VALUE"""),"")</f>
        <v/>
      </c>
      <c r="W5439" s="16" t="str">
        <f>IFERROR(__xludf.DUMMYFUNCTION("""COMPUTED_VALUE"""),"")</f>
        <v/>
      </c>
      <c r="X5439" s="16" t="str">
        <f>IFERROR(__xludf.DUMMYFUNCTION("""COMPUTED_VALUE"""),"")</f>
        <v/>
      </c>
      <c r="AC5439" s="16" t="str">
        <f>IFERROR(__xludf.DUMMYFUNCTION("""COMPUTED_VALUE"""),"")</f>
        <v/>
      </c>
    </row>
    <row r="5440">
      <c r="A5440" s="16" t="s">
        <v>87</v>
      </c>
      <c r="E5440" s="16" t="str">
        <f>IFERROR(__xludf.DUMMYFUNCTION("""COMPUTED_VALUE"""),"")</f>
        <v/>
      </c>
      <c r="G5440" s="18"/>
      <c r="H5440" s="16" t="s">
        <v>87</v>
      </c>
      <c r="I5440" s="16" t="s">
        <v>87</v>
      </c>
      <c r="J5440" s="19"/>
      <c r="L5440" s="16" t="str">
        <f>IFERROR(__xludf.DUMMYFUNCTION("""COMPUTED_VALUE"""),"")</f>
        <v/>
      </c>
      <c r="M5440" s="16" t="str">
        <f>IFERROR(__xludf.DUMMYFUNCTION("""COMPUTED_VALUE"""),"")</f>
        <v/>
      </c>
      <c r="U5440" s="16" t="s">
        <v>87</v>
      </c>
      <c r="V5440" s="16" t="str">
        <f>IFERROR(__xludf.DUMMYFUNCTION("""COMPUTED_VALUE"""),"")</f>
        <v/>
      </c>
      <c r="W5440" s="16" t="str">
        <f>IFERROR(__xludf.DUMMYFUNCTION("""COMPUTED_VALUE"""),"")</f>
        <v/>
      </c>
      <c r="X5440" s="16" t="str">
        <f>IFERROR(__xludf.DUMMYFUNCTION("""COMPUTED_VALUE"""),"")</f>
        <v/>
      </c>
      <c r="AC5440" s="16" t="str">
        <f>IFERROR(__xludf.DUMMYFUNCTION("""COMPUTED_VALUE"""),"")</f>
        <v/>
      </c>
    </row>
    <row r="5441">
      <c r="A5441" s="16" t="s">
        <v>87</v>
      </c>
      <c r="E5441" s="16" t="str">
        <f>IFERROR(__xludf.DUMMYFUNCTION("""COMPUTED_VALUE"""),"")</f>
        <v/>
      </c>
      <c r="G5441" s="18"/>
      <c r="H5441" s="16" t="s">
        <v>87</v>
      </c>
      <c r="I5441" s="16" t="s">
        <v>87</v>
      </c>
      <c r="J5441" s="19"/>
      <c r="L5441" s="16" t="str">
        <f>IFERROR(__xludf.DUMMYFUNCTION("""COMPUTED_VALUE"""),"")</f>
        <v/>
      </c>
      <c r="M5441" s="16" t="str">
        <f>IFERROR(__xludf.DUMMYFUNCTION("""COMPUTED_VALUE"""),"")</f>
        <v/>
      </c>
      <c r="U5441" s="16" t="s">
        <v>87</v>
      </c>
      <c r="V5441" s="16" t="str">
        <f>IFERROR(__xludf.DUMMYFUNCTION("""COMPUTED_VALUE"""),"")</f>
        <v/>
      </c>
      <c r="W5441" s="16" t="str">
        <f>IFERROR(__xludf.DUMMYFUNCTION("""COMPUTED_VALUE"""),"")</f>
        <v/>
      </c>
      <c r="X5441" s="16" t="str">
        <f>IFERROR(__xludf.DUMMYFUNCTION("""COMPUTED_VALUE"""),"")</f>
        <v/>
      </c>
      <c r="AC5441" s="16" t="str">
        <f>IFERROR(__xludf.DUMMYFUNCTION("""COMPUTED_VALUE"""),"")</f>
        <v/>
      </c>
    </row>
    <row r="5442">
      <c r="A5442" s="16" t="s">
        <v>87</v>
      </c>
      <c r="E5442" s="16" t="str">
        <f>IFERROR(__xludf.DUMMYFUNCTION("""COMPUTED_VALUE"""),"")</f>
        <v/>
      </c>
      <c r="G5442" s="18"/>
      <c r="H5442" s="16" t="s">
        <v>87</v>
      </c>
      <c r="I5442" s="16" t="s">
        <v>87</v>
      </c>
      <c r="J5442" s="19"/>
      <c r="L5442" s="16" t="str">
        <f>IFERROR(__xludf.DUMMYFUNCTION("""COMPUTED_VALUE"""),"")</f>
        <v/>
      </c>
      <c r="M5442" s="16" t="str">
        <f>IFERROR(__xludf.DUMMYFUNCTION("""COMPUTED_VALUE"""),"")</f>
        <v/>
      </c>
      <c r="U5442" s="16" t="s">
        <v>87</v>
      </c>
      <c r="V5442" s="16" t="str">
        <f>IFERROR(__xludf.DUMMYFUNCTION("""COMPUTED_VALUE"""),"")</f>
        <v/>
      </c>
      <c r="W5442" s="16" t="str">
        <f>IFERROR(__xludf.DUMMYFUNCTION("""COMPUTED_VALUE"""),"")</f>
        <v/>
      </c>
      <c r="X5442" s="16" t="str">
        <f>IFERROR(__xludf.DUMMYFUNCTION("""COMPUTED_VALUE"""),"")</f>
        <v/>
      </c>
      <c r="AC5442" s="16" t="str">
        <f>IFERROR(__xludf.DUMMYFUNCTION("""COMPUTED_VALUE"""),"")</f>
        <v/>
      </c>
    </row>
    <row r="5443">
      <c r="A5443" s="16" t="s">
        <v>87</v>
      </c>
      <c r="E5443" s="16" t="str">
        <f>IFERROR(__xludf.DUMMYFUNCTION("""COMPUTED_VALUE"""),"")</f>
        <v/>
      </c>
      <c r="G5443" s="18"/>
      <c r="H5443" s="16" t="s">
        <v>87</v>
      </c>
      <c r="I5443" s="16" t="s">
        <v>87</v>
      </c>
      <c r="J5443" s="19"/>
      <c r="L5443" s="16" t="str">
        <f>IFERROR(__xludf.DUMMYFUNCTION("""COMPUTED_VALUE"""),"")</f>
        <v/>
      </c>
      <c r="M5443" s="16" t="str">
        <f>IFERROR(__xludf.DUMMYFUNCTION("""COMPUTED_VALUE"""),"")</f>
        <v/>
      </c>
      <c r="U5443" s="16" t="s">
        <v>87</v>
      </c>
      <c r="V5443" s="16" t="str">
        <f>IFERROR(__xludf.DUMMYFUNCTION("""COMPUTED_VALUE"""),"")</f>
        <v/>
      </c>
      <c r="W5443" s="16" t="str">
        <f>IFERROR(__xludf.DUMMYFUNCTION("""COMPUTED_VALUE"""),"")</f>
        <v/>
      </c>
      <c r="X5443" s="16" t="str">
        <f>IFERROR(__xludf.DUMMYFUNCTION("""COMPUTED_VALUE"""),"")</f>
        <v/>
      </c>
      <c r="AC5443" s="16" t="str">
        <f>IFERROR(__xludf.DUMMYFUNCTION("""COMPUTED_VALUE"""),"")</f>
        <v/>
      </c>
    </row>
    <row r="5444">
      <c r="A5444" s="16" t="s">
        <v>87</v>
      </c>
      <c r="E5444" s="16" t="str">
        <f>IFERROR(__xludf.DUMMYFUNCTION("""COMPUTED_VALUE"""),"")</f>
        <v/>
      </c>
      <c r="G5444" s="18"/>
      <c r="H5444" s="16" t="s">
        <v>87</v>
      </c>
      <c r="I5444" s="16" t="s">
        <v>87</v>
      </c>
      <c r="J5444" s="19"/>
      <c r="L5444" s="16" t="str">
        <f>IFERROR(__xludf.DUMMYFUNCTION("""COMPUTED_VALUE"""),"")</f>
        <v/>
      </c>
      <c r="M5444" s="16" t="str">
        <f>IFERROR(__xludf.DUMMYFUNCTION("""COMPUTED_VALUE"""),"")</f>
        <v/>
      </c>
      <c r="U5444" s="16" t="s">
        <v>87</v>
      </c>
      <c r="V5444" s="16" t="str">
        <f>IFERROR(__xludf.DUMMYFUNCTION("""COMPUTED_VALUE"""),"")</f>
        <v/>
      </c>
      <c r="W5444" s="16" t="str">
        <f>IFERROR(__xludf.DUMMYFUNCTION("""COMPUTED_VALUE"""),"")</f>
        <v/>
      </c>
      <c r="X5444" s="16" t="str">
        <f>IFERROR(__xludf.DUMMYFUNCTION("""COMPUTED_VALUE"""),"")</f>
        <v/>
      </c>
      <c r="AC5444" s="16" t="str">
        <f>IFERROR(__xludf.DUMMYFUNCTION("""COMPUTED_VALUE"""),"")</f>
        <v/>
      </c>
    </row>
    <row r="5445">
      <c r="A5445" s="16" t="s">
        <v>87</v>
      </c>
      <c r="E5445" s="16" t="str">
        <f>IFERROR(__xludf.DUMMYFUNCTION("""COMPUTED_VALUE"""),"")</f>
        <v/>
      </c>
      <c r="G5445" s="18"/>
      <c r="H5445" s="16" t="s">
        <v>87</v>
      </c>
      <c r="I5445" s="16" t="s">
        <v>87</v>
      </c>
      <c r="J5445" s="19"/>
      <c r="L5445" s="16" t="str">
        <f>IFERROR(__xludf.DUMMYFUNCTION("""COMPUTED_VALUE"""),"")</f>
        <v/>
      </c>
      <c r="M5445" s="16" t="str">
        <f>IFERROR(__xludf.DUMMYFUNCTION("""COMPUTED_VALUE"""),"")</f>
        <v/>
      </c>
      <c r="U5445" s="16" t="s">
        <v>87</v>
      </c>
      <c r="V5445" s="16" t="str">
        <f>IFERROR(__xludf.DUMMYFUNCTION("""COMPUTED_VALUE"""),"")</f>
        <v/>
      </c>
      <c r="W5445" s="16" t="str">
        <f>IFERROR(__xludf.DUMMYFUNCTION("""COMPUTED_VALUE"""),"")</f>
        <v/>
      </c>
      <c r="X5445" s="16" t="str">
        <f>IFERROR(__xludf.DUMMYFUNCTION("""COMPUTED_VALUE"""),"")</f>
        <v/>
      </c>
      <c r="AC5445" s="16" t="str">
        <f>IFERROR(__xludf.DUMMYFUNCTION("""COMPUTED_VALUE"""),"")</f>
        <v/>
      </c>
    </row>
    <row r="5446">
      <c r="A5446" s="16" t="s">
        <v>87</v>
      </c>
      <c r="E5446" s="16" t="str">
        <f>IFERROR(__xludf.DUMMYFUNCTION("""COMPUTED_VALUE"""),"")</f>
        <v/>
      </c>
      <c r="G5446" s="18"/>
      <c r="H5446" s="16" t="s">
        <v>87</v>
      </c>
      <c r="I5446" s="16" t="s">
        <v>87</v>
      </c>
      <c r="J5446" s="19"/>
      <c r="L5446" s="16" t="str">
        <f>IFERROR(__xludf.DUMMYFUNCTION("""COMPUTED_VALUE"""),"")</f>
        <v/>
      </c>
      <c r="M5446" s="16" t="str">
        <f>IFERROR(__xludf.DUMMYFUNCTION("""COMPUTED_VALUE"""),"")</f>
        <v/>
      </c>
      <c r="U5446" s="16" t="s">
        <v>87</v>
      </c>
      <c r="V5446" s="16" t="str">
        <f>IFERROR(__xludf.DUMMYFUNCTION("""COMPUTED_VALUE"""),"")</f>
        <v/>
      </c>
      <c r="W5446" s="16" t="str">
        <f>IFERROR(__xludf.DUMMYFUNCTION("""COMPUTED_VALUE"""),"")</f>
        <v/>
      </c>
      <c r="X5446" s="16" t="str">
        <f>IFERROR(__xludf.DUMMYFUNCTION("""COMPUTED_VALUE"""),"")</f>
        <v/>
      </c>
      <c r="AC5446" s="16" t="str">
        <f>IFERROR(__xludf.DUMMYFUNCTION("""COMPUTED_VALUE"""),"")</f>
        <v/>
      </c>
    </row>
    <row r="5447">
      <c r="A5447" s="16" t="s">
        <v>87</v>
      </c>
      <c r="E5447" s="16" t="str">
        <f>IFERROR(__xludf.DUMMYFUNCTION("""COMPUTED_VALUE"""),"")</f>
        <v/>
      </c>
      <c r="G5447" s="18"/>
      <c r="H5447" s="16" t="s">
        <v>87</v>
      </c>
      <c r="I5447" s="16" t="s">
        <v>87</v>
      </c>
      <c r="J5447" s="19"/>
      <c r="L5447" s="16" t="str">
        <f>IFERROR(__xludf.DUMMYFUNCTION("""COMPUTED_VALUE"""),"")</f>
        <v/>
      </c>
      <c r="M5447" s="16" t="str">
        <f>IFERROR(__xludf.DUMMYFUNCTION("""COMPUTED_VALUE"""),"")</f>
        <v/>
      </c>
      <c r="U5447" s="16" t="s">
        <v>87</v>
      </c>
      <c r="V5447" s="16" t="str">
        <f>IFERROR(__xludf.DUMMYFUNCTION("""COMPUTED_VALUE"""),"")</f>
        <v/>
      </c>
      <c r="W5447" s="16" t="str">
        <f>IFERROR(__xludf.DUMMYFUNCTION("""COMPUTED_VALUE"""),"")</f>
        <v/>
      </c>
      <c r="X5447" s="16" t="str">
        <f>IFERROR(__xludf.DUMMYFUNCTION("""COMPUTED_VALUE"""),"")</f>
        <v/>
      </c>
      <c r="AC5447" s="16" t="str">
        <f>IFERROR(__xludf.DUMMYFUNCTION("""COMPUTED_VALUE"""),"")</f>
        <v/>
      </c>
    </row>
    <row r="5448">
      <c r="A5448" s="16" t="s">
        <v>87</v>
      </c>
      <c r="E5448" s="16" t="str">
        <f>IFERROR(__xludf.DUMMYFUNCTION("""COMPUTED_VALUE"""),"")</f>
        <v/>
      </c>
      <c r="G5448" s="18"/>
      <c r="H5448" s="16" t="s">
        <v>87</v>
      </c>
      <c r="I5448" s="16" t="s">
        <v>87</v>
      </c>
      <c r="J5448" s="19"/>
      <c r="L5448" s="16" t="str">
        <f>IFERROR(__xludf.DUMMYFUNCTION("""COMPUTED_VALUE"""),"")</f>
        <v/>
      </c>
      <c r="M5448" s="16" t="str">
        <f>IFERROR(__xludf.DUMMYFUNCTION("""COMPUTED_VALUE"""),"")</f>
        <v/>
      </c>
      <c r="U5448" s="16" t="s">
        <v>87</v>
      </c>
      <c r="V5448" s="16" t="str">
        <f>IFERROR(__xludf.DUMMYFUNCTION("""COMPUTED_VALUE"""),"")</f>
        <v/>
      </c>
      <c r="W5448" s="16" t="str">
        <f>IFERROR(__xludf.DUMMYFUNCTION("""COMPUTED_VALUE"""),"")</f>
        <v/>
      </c>
      <c r="X5448" s="16" t="str">
        <f>IFERROR(__xludf.DUMMYFUNCTION("""COMPUTED_VALUE"""),"")</f>
        <v/>
      </c>
      <c r="AC5448" s="16" t="str">
        <f>IFERROR(__xludf.DUMMYFUNCTION("""COMPUTED_VALUE"""),"")</f>
        <v/>
      </c>
    </row>
    <row r="5449">
      <c r="A5449" s="16" t="s">
        <v>87</v>
      </c>
      <c r="E5449" s="16" t="str">
        <f>IFERROR(__xludf.DUMMYFUNCTION("""COMPUTED_VALUE"""),"")</f>
        <v/>
      </c>
      <c r="G5449" s="18"/>
      <c r="H5449" s="16" t="s">
        <v>87</v>
      </c>
      <c r="I5449" s="16" t="s">
        <v>87</v>
      </c>
      <c r="J5449" s="19"/>
      <c r="L5449" s="16" t="str">
        <f>IFERROR(__xludf.DUMMYFUNCTION("""COMPUTED_VALUE"""),"")</f>
        <v/>
      </c>
      <c r="M5449" s="16" t="str">
        <f>IFERROR(__xludf.DUMMYFUNCTION("""COMPUTED_VALUE"""),"")</f>
        <v/>
      </c>
      <c r="U5449" s="16" t="s">
        <v>87</v>
      </c>
      <c r="V5449" s="16" t="str">
        <f>IFERROR(__xludf.DUMMYFUNCTION("""COMPUTED_VALUE"""),"")</f>
        <v/>
      </c>
      <c r="W5449" s="16" t="str">
        <f>IFERROR(__xludf.DUMMYFUNCTION("""COMPUTED_VALUE"""),"")</f>
        <v/>
      </c>
      <c r="X5449" s="16" t="str">
        <f>IFERROR(__xludf.DUMMYFUNCTION("""COMPUTED_VALUE"""),"")</f>
        <v/>
      </c>
      <c r="AC5449" s="16" t="str">
        <f>IFERROR(__xludf.DUMMYFUNCTION("""COMPUTED_VALUE"""),"")</f>
        <v/>
      </c>
    </row>
    <row r="5450">
      <c r="A5450" s="16" t="s">
        <v>87</v>
      </c>
      <c r="E5450" s="16" t="str">
        <f>IFERROR(__xludf.DUMMYFUNCTION("""COMPUTED_VALUE"""),"")</f>
        <v/>
      </c>
      <c r="G5450" s="18"/>
      <c r="H5450" s="16" t="s">
        <v>87</v>
      </c>
      <c r="I5450" s="16" t="s">
        <v>87</v>
      </c>
      <c r="J5450" s="19"/>
      <c r="L5450" s="16" t="str">
        <f>IFERROR(__xludf.DUMMYFUNCTION("""COMPUTED_VALUE"""),"")</f>
        <v/>
      </c>
      <c r="M5450" s="16" t="str">
        <f>IFERROR(__xludf.DUMMYFUNCTION("""COMPUTED_VALUE"""),"")</f>
        <v/>
      </c>
      <c r="U5450" s="16" t="s">
        <v>87</v>
      </c>
      <c r="V5450" s="16" t="str">
        <f>IFERROR(__xludf.DUMMYFUNCTION("""COMPUTED_VALUE"""),"")</f>
        <v/>
      </c>
      <c r="W5450" s="16" t="str">
        <f>IFERROR(__xludf.DUMMYFUNCTION("""COMPUTED_VALUE"""),"")</f>
        <v/>
      </c>
      <c r="X5450" s="16" t="str">
        <f>IFERROR(__xludf.DUMMYFUNCTION("""COMPUTED_VALUE"""),"")</f>
        <v/>
      </c>
      <c r="AC5450" s="16" t="str">
        <f>IFERROR(__xludf.DUMMYFUNCTION("""COMPUTED_VALUE"""),"")</f>
        <v/>
      </c>
    </row>
    <row r="5451">
      <c r="A5451" s="16" t="s">
        <v>87</v>
      </c>
      <c r="E5451" s="16" t="str">
        <f>IFERROR(__xludf.DUMMYFUNCTION("""COMPUTED_VALUE"""),"")</f>
        <v/>
      </c>
      <c r="G5451" s="18"/>
      <c r="H5451" s="16" t="s">
        <v>87</v>
      </c>
      <c r="I5451" s="16" t="s">
        <v>87</v>
      </c>
      <c r="J5451" s="19"/>
      <c r="L5451" s="16" t="str">
        <f>IFERROR(__xludf.DUMMYFUNCTION("""COMPUTED_VALUE"""),"")</f>
        <v/>
      </c>
      <c r="M5451" s="16" t="str">
        <f>IFERROR(__xludf.DUMMYFUNCTION("""COMPUTED_VALUE"""),"")</f>
        <v/>
      </c>
      <c r="U5451" s="16" t="s">
        <v>87</v>
      </c>
      <c r="V5451" s="16" t="str">
        <f>IFERROR(__xludf.DUMMYFUNCTION("""COMPUTED_VALUE"""),"")</f>
        <v/>
      </c>
      <c r="W5451" s="16" t="str">
        <f>IFERROR(__xludf.DUMMYFUNCTION("""COMPUTED_VALUE"""),"")</f>
        <v/>
      </c>
      <c r="X5451" s="16" t="str">
        <f>IFERROR(__xludf.DUMMYFUNCTION("""COMPUTED_VALUE"""),"")</f>
        <v/>
      </c>
      <c r="AC5451" s="16" t="str">
        <f>IFERROR(__xludf.DUMMYFUNCTION("""COMPUTED_VALUE"""),"")</f>
        <v/>
      </c>
    </row>
    <row r="5452">
      <c r="A5452" s="16" t="s">
        <v>87</v>
      </c>
      <c r="E5452" s="16" t="str">
        <f>IFERROR(__xludf.DUMMYFUNCTION("""COMPUTED_VALUE"""),"")</f>
        <v/>
      </c>
      <c r="G5452" s="18"/>
      <c r="H5452" s="16" t="s">
        <v>87</v>
      </c>
      <c r="I5452" s="16" t="s">
        <v>87</v>
      </c>
      <c r="J5452" s="19"/>
      <c r="L5452" s="16" t="str">
        <f>IFERROR(__xludf.DUMMYFUNCTION("""COMPUTED_VALUE"""),"")</f>
        <v/>
      </c>
      <c r="M5452" s="16" t="str">
        <f>IFERROR(__xludf.DUMMYFUNCTION("""COMPUTED_VALUE"""),"")</f>
        <v/>
      </c>
      <c r="U5452" s="16" t="s">
        <v>87</v>
      </c>
      <c r="V5452" s="16" t="str">
        <f>IFERROR(__xludf.DUMMYFUNCTION("""COMPUTED_VALUE"""),"")</f>
        <v/>
      </c>
      <c r="W5452" s="16" t="str">
        <f>IFERROR(__xludf.DUMMYFUNCTION("""COMPUTED_VALUE"""),"")</f>
        <v/>
      </c>
      <c r="X5452" s="16" t="str">
        <f>IFERROR(__xludf.DUMMYFUNCTION("""COMPUTED_VALUE"""),"")</f>
        <v/>
      </c>
      <c r="AC5452" s="16" t="str">
        <f>IFERROR(__xludf.DUMMYFUNCTION("""COMPUTED_VALUE"""),"")</f>
        <v/>
      </c>
    </row>
    <row r="5453">
      <c r="A5453" s="16" t="s">
        <v>87</v>
      </c>
      <c r="E5453" s="16" t="str">
        <f>IFERROR(__xludf.DUMMYFUNCTION("""COMPUTED_VALUE"""),"")</f>
        <v/>
      </c>
      <c r="G5453" s="18"/>
      <c r="H5453" s="16" t="s">
        <v>87</v>
      </c>
      <c r="I5453" s="16" t="s">
        <v>87</v>
      </c>
      <c r="J5453" s="19"/>
      <c r="L5453" s="16" t="str">
        <f>IFERROR(__xludf.DUMMYFUNCTION("""COMPUTED_VALUE"""),"")</f>
        <v/>
      </c>
      <c r="M5453" s="16" t="str">
        <f>IFERROR(__xludf.DUMMYFUNCTION("""COMPUTED_VALUE"""),"")</f>
        <v/>
      </c>
      <c r="U5453" s="16" t="s">
        <v>87</v>
      </c>
      <c r="V5453" s="16" t="str">
        <f>IFERROR(__xludf.DUMMYFUNCTION("""COMPUTED_VALUE"""),"")</f>
        <v/>
      </c>
      <c r="W5453" s="16" t="str">
        <f>IFERROR(__xludf.DUMMYFUNCTION("""COMPUTED_VALUE"""),"")</f>
        <v/>
      </c>
      <c r="X5453" s="16" t="str">
        <f>IFERROR(__xludf.DUMMYFUNCTION("""COMPUTED_VALUE"""),"")</f>
        <v/>
      </c>
      <c r="AC5453" s="16" t="str">
        <f>IFERROR(__xludf.DUMMYFUNCTION("""COMPUTED_VALUE"""),"")</f>
        <v/>
      </c>
    </row>
    <row r="5454">
      <c r="A5454" s="16" t="s">
        <v>87</v>
      </c>
      <c r="E5454" s="16" t="str">
        <f>IFERROR(__xludf.DUMMYFUNCTION("""COMPUTED_VALUE"""),"")</f>
        <v/>
      </c>
      <c r="G5454" s="18"/>
      <c r="H5454" s="16" t="s">
        <v>87</v>
      </c>
      <c r="I5454" s="16" t="s">
        <v>87</v>
      </c>
      <c r="J5454" s="19"/>
      <c r="L5454" s="16" t="str">
        <f>IFERROR(__xludf.DUMMYFUNCTION("""COMPUTED_VALUE"""),"")</f>
        <v/>
      </c>
      <c r="M5454" s="16" t="str">
        <f>IFERROR(__xludf.DUMMYFUNCTION("""COMPUTED_VALUE"""),"")</f>
        <v/>
      </c>
      <c r="U5454" s="16" t="s">
        <v>87</v>
      </c>
      <c r="V5454" s="16" t="str">
        <f>IFERROR(__xludf.DUMMYFUNCTION("""COMPUTED_VALUE"""),"")</f>
        <v/>
      </c>
      <c r="W5454" s="16" t="str">
        <f>IFERROR(__xludf.DUMMYFUNCTION("""COMPUTED_VALUE"""),"")</f>
        <v/>
      </c>
      <c r="X5454" s="16" t="str">
        <f>IFERROR(__xludf.DUMMYFUNCTION("""COMPUTED_VALUE"""),"")</f>
        <v/>
      </c>
      <c r="AC5454" s="16" t="str">
        <f>IFERROR(__xludf.DUMMYFUNCTION("""COMPUTED_VALUE"""),"")</f>
        <v/>
      </c>
    </row>
    <row r="5455">
      <c r="A5455" s="16" t="s">
        <v>87</v>
      </c>
      <c r="E5455" s="16" t="str">
        <f>IFERROR(__xludf.DUMMYFUNCTION("""COMPUTED_VALUE"""),"")</f>
        <v/>
      </c>
      <c r="G5455" s="18"/>
      <c r="H5455" s="16" t="s">
        <v>87</v>
      </c>
      <c r="I5455" s="16" t="s">
        <v>87</v>
      </c>
      <c r="J5455" s="19"/>
      <c r="L5455" s="16" t="str">
        <f>IFERROR(__xludf.DUMMYFUNCTION("""COMPUTED_VALUE"""),"")</f>
        <v/>
      </c>
      <c r="M5455" s="16" t="str">
        <f>IFERROR(__xludf.DUMMYFUNCTION("""COMPUTED_VALUE"""),"")</f>
        <v/>
      </c>
      <c r="U5455" s="16" t="s">
        <v>87</v>
      </c>
      <c r="V5455" s="16" t="str">
        <f>IFERROR(__xludf.DUMMYFUNCTION("""COMPUTED_VALUE"""),"")</f>
        <v/>
      </c>
      <c r="W5455" s="16" t="str">
        <f>IFERROR(__xludf.DUMMYFUNCTION("""COMPUTED_VALUE"""),"")</f>
        <v/>
      </c>
      <c r="X5455" s="16" t="str">
        <f>IFERROR(__xludf.DUMMYFUNCTION("""COMPUTED_VALUE"""),"")</f>
        <v/>
      </c>
      <c r="AC5455" s="16" t="str">
        <f>IFERROR(__xludf.DUMMYFUNCTION("""COMPUTED_VALUE"""),"")</f>
        <v/>
      </c>
    </row>
    <row r="5456">
      <c r="A5456" s="16" t="s">
        <v>87</v>
      </c>
      <c r="E5456" s="16" t="str">
        <f>IFERROR(__xludf.DUMMYFUNCTION("""COMPUTED_VALUE"""),"")</f>
        <v/>
      </c>
      <c r="G5456" s="18"/>
      <c r="H5456" s="16" t="s">
        <v>87</v>
      </c>
      <c r="I5456" s="16" t="s">
        <v>87</v>
      </c>
      <c r="J5456" s="19"/>
      <c r="L5456" s="16" t="str">
        <f>IFERROR(__xludf.DUMMYFUNCTION("""COMPUTED_VALUE"""),"")</f>
        <v/>
      </c>
      <c r="M5456" s="16" t="str">
        <f>IFERROR(__xludf.DUMMYFUNCTION("""COMPUTED_VALUE"""),"")</f>
        <v/>
      </c>
      <c r="U5456" s="16" t="s">
        <v>87</v>
      </c>
      <c r="V5456" s="16" t="str">
        <f>IFERROR(__xludf.DUMMYFUNCTION("""COMPUTED_VALUE"""),"")</f>
        <v/>
      </c>
      <c r="W5456" s="16" t="str">
        <f>IFERROR(__xludf.DUMMYFUNCTION("""COMPUTED_VALUE"""),"")</f>
        <v/>
      </c>
      <c r="X5456" s="16" t="str">
        <f>IFERROR(__xludf.DUMMYFUNCTION("""COMPUTED_VALUE"""),"")</f>
        <v/>
      </c>
      <c r="AC5456" s="16" t="str">
        <f>IFERROR(__xludf.DUMMYFUNCTION("""COMPUTED_VALUE"""),"")</f>
        <v/>
      </c>
    </row>
    <row r="5457">
      <c r="A5457" s="16" t="s">
        <v>87</v>
      </c>
      <c r="E5457" s="16" t="str">
        <f>IFERROR(__xludf.DUMMYFUNCTION("""COMPUTED_VALUE"""),"")</f>
        <v/>
      </c>
      <c r="G5457" s="18"/>
      <c r="H5457" s="16" t="s">
        <v>87</v>
      </c>
      <c r="I5457" s="16" t="s">
        <v>87</v>
      </c>
      <c r="J5457" s="19"/>
      <c r="L5457" s="16" t="str">
        <f>IFERROR(__xludf.DUMMYFUNCTION("""COMPUTED_VALUE"""),"")</f>
        <v/>
      </c>
      <c r="M5457" s="16" t="str">
        <f>IFERROR(__xludf.DUMMYFUNCTION("""COMPUTED_VALUE"""),"")</f>
        <v/>
      </c>
      <c r="U5457" s="16" t="s">
        <v>87</v>
      </c>
      <c r="V5457" s="16" t="str">
        <f>IFERROR(__xludf.DUMMYFUNCTION("""COMPUTED_VALUE"""),"")</f>
        <v/>
      </c>
      <c r="W5457" s="16" t="str">
        <f>IFERROR(__xludf.DUMMYFUNCTION("""COMPUTED_VALUE"""),"")</f>
        <v/>
      </c>
      <c r="X5457" s="16" t="str">
        <f>IFERROR(__xludf.DUMMYFUNCTION("""COMPUTED_VALUE"""),"")</f>
        <v/>
      </c>
      <c r="AC5457" s="16" t="str">
        <f>IFERROR(__xludf.DUMMYFUNCTION("""COMPUTED_VALUE"""),"")</f>
        <v/>
      </c>
    </row>
    <row r="5458">
      <c r="A5458" s="16" t="s">
        <v>87</v>
      </c>
      <c r="E5458" s="16" t="str">
        <f>IFERROR(__xludf.DUMMYFUNCTION("""COMPUTED_VALUE"""),"")</f>
        <v/>
      </c>
      <c r="G5458" s="18"/>
      <c r="H5458" s="16" t="s">
        <v>87</v>
      </c>
      <c r="I5458" s="16" t="s">
        <v>87</v>
      </c>
      <c r="J5458" s="19"/>
      <c r="L5458" s="16" t="str">
        <f>IFERROR(__xludf.DUMMYFUNCTION("""COMPUTED_VALUE"""),"")</f>
        <v/>
      </c>
      <c r="M5458" s="16" t="str">
        <f>IFERROR(__xludf.DUMMYFUNCTION("""COMPUTED_VALUE"""),"")</f>
        <v/>
      </c>
      <c r="U5458" s="16" t="s">
        <v>87</v>
      </c>
      <c r="V5458" s="16" t="str">
        <f>IFERROR(__xludf.DUMMYFUNCTION("""COMPUTED_VALUE"""),"")</f>
        <v/>
      </c>
      <c r="W5458" s="16" t="str">
        <f>IFERROR(__xludf.DUMMYFUNCTION("""COMPUTED_VALUE"""),"")</f>
        <v/>
      </c>
      <c r="X5458" s="16" t="str">
        <f>IFERROR(__xludf.DUMMYFUNCTION("""COMPUTED_VALUE"""),"")</f>
        <v/>
      </c>
      <c r="AC5458" s="16" t="str">
        <f>IFERROR(__xludf.DUMMYFUNCTION("""COMPUTED_VALUE"""),"")</f>
        <v/>
      </c>
    </row>
    <row r="5459">
      <c r="A5459" s="16" t="s">
        <v>87</v>
      </c>
      <c r="E5459" s="16" t="str">
        <f>IFERROR(__xludf.DUMMYFUNCTION("""COMPUTED_VALUE"""),"")</f>
        <v/>
      </c>
      <c r="G5459" s="18"/>
      <c r="H5459" s="16" t="s">
        <v>87</v>
      </c>
      <c r="I5459" s="16" t="s">
        <v>87</v>
      </c>
      <c r="J5459" s="19"/>
      <c r="L5459" s="16" t="str">
        <f>IFERROR(__xludf.DUMMYFUNCTION("""COMPUTED_VALUE"""),"")</f>
        <v/>
      </c>
      <c r="M5459" s="16" t="str">
        <f>IFERROR(__xludf.DUMMYFUNCTION("""COMPUTED_VALUE"""),"")</f>
        <v/>
      </c>
      <c r="U5459" s="16" t="s">
        <v>87</v>
      </c>
      <c r="V5459" s="16" t="str">
        <f>IFERROR(__xludf.DUMMYFUNCTION("""COMPUTED_VALUE"""),"")</f>
        <v/>
      </c>
      <c r="W5459" s="16" t="str">
        <f>IFERROR(__xludf.DUMMYFUNCTION("""COMPUTED_VALUE"""),"")</f>
        <v/>
      </c>
      <c r="X5459" s="16" t="str">
        <f>IFERROR(__xludf.DUMMYFUNCTION("""COMPUTED_VALUE"""),"")</f>
        <v/>
      </c>
      <c r="AC5459" s="16" t="str">
        <f>IFERROR(__xludf.DUMMYFUNCTION("""COMPUTED_VALUE"""),"")</f>
        <v/>
      </c>
    </row>
    <row r="5460">
      <c r="A5460" s="16" t="s">
        <v>87</v>
      </c>
      <c r="E5460" s="16" t="str">
        <f>IFERROR(__xludf.DUMMYFUNCTION("""COMPUTED_VALUE"""),"")</f>
        <v/>
      </c>
      <c r="G5460" s="18"/>
      <c r="H5460" s="16" t="s">
        <v>87</v>
      </c>
      <c r="I5460" s="16" t="s">
        <v>87</v>
      </c>
      <c r="J5460" s="19"/>
      <c r="L5460" s="16" t="str">
        <f>IFERROR(__xludf.DUMMYFUNCTION("""COMPUTED_VALUE"""),"")</f>
        <v/>
      </c>
      <c r="M5460" s="16" t="str">
        <f>IFERROR(__xludf.DUMMYFUNCTION("""COMPUTED_VALUE"""),"")</f>
        <v/>
      </c>
      <c r="U5460" s="16" t="s">
        <v>87</v>
      </c>
      <c r="V5460" s="16" t="str">
        <f>IFERROR(__xludf.DUMMYFUNCTION("""COMPUTED_VALUE"""),"")</f>
        <v/>
      </c>
      <c r="W5460" s="16" t="str">
        <f>IFERROR(__xludf.DUMMYFUNCTION("""COMPUTED_VALUE"""),"")</f>
        <v/>
      </c>
      <c r="X5460" s="16" t="str">
        <f>IFERROR(__xludf.DUMMYFUNCTION("""COMPUTED_VALUE"""),"")</f>
        <v/>
      </c>
      <c r="AC5460" s="16" t="str">
        <f>IFERROR(__xludf.DUMMYFUNCTION("""COMPUTED_VALUE"""),"")</f>
        <v/>
      </c>
    </row>
    <row r="5461">
      <c r="A5461" s="16" t="s">
        <v>87</v>
      </c>
      <c r="E5461" s="16" t="str">
        <f>IFERROR(__xludf.DUMMYFUNCTION("""COMPUTED_VALUE"""),"")</f>
        <v/>
      </c>
      <c r="G5461" s="18"/>
      <c r="H5461" s="16" t="s">
        <v>87</v>
      </c>
      <c r="I5461" s="16" t="s">
        <v>87</v>
      </c>
      <c r="J5461" s="19"/>
      <c r="L5461" s="16" t="str">
        <f>IFERROR(__xludf.DUMMYFUNCTION("""COMPUTED_VALUE"""),"")</f>
        <v/>
      </c>
      <c r="M5461" s="16" t="str">
        <f>IFERROR(__xludf.DUMMYFUNCTION("""COMPUTED_VALUE"""),"")</f>
        <v/>
      </c>
      <c r="U5461" s="16" t="s">
        <v>87</v>
      </c>
      <c r="V5461" s="16" t="str">
        <f>IFERROR(__xludf.DUMMYFUNCTION("""COMPUTED_VALUE"""),"")</f>
        <v/>
      </c>
      <c r="W5461" s="16" t="str">
        <f>IFERROR(__xludf.DUMMYFUNCTION("""COMPUTED_VALUE"""),"")</f>
        <v/>
      </c>
      <c r="X5461" s="16" t="str">
        <f>IFERROR(__xludf.DUMMYFUNCTION("""COMPUTED_VALUE"""),"")</f>
        <v/>
      </c>
      <c r="AC5461" s="16" t="str">
        <f>IFERROR(__xludf.DUMMYFUNCTION("""COMPUTED_VALUE"""),"")</f>
        <v/>
      </c>
    </row>
    <row r="5462">
      <c r="A5462" s="16" t="s">
        <v>87</v>
      </c>
      <c r="E5462" s="16" t="str">
        <f>IFERROR(__xludf.DUMMYFUNCTION("""COMPUTED_VALUE"""),"")</f>
        <v/>
      </c>
      <c r="G5462" s="18"/>
      <c r="H5462" s="16" t="s">
        <v>87</v>
      </c>
      <c r="I5462" s="16" t="s">
        <v>87</v>
      </c>
      <c r="J5462" s="19"/>
      <c r="L5462" s="16" t="str">
        <f>IFERROR(__xludf.DUMMYFUNCTION("""COMPUTED_VALUE"""),"")</f>
        <v/>
      </c>
      <c r="M5462" s="16" t="str">
        <f>IFERROR(__xludf.DUMMYFUNCTION("""COMPUTED_VALUE"""),"")</f>
        <v/>
      </c>
      <c r="U5462" s="16" t="s">
        <v>87</v>
      </c>
      <c r="V5462" s="16" t="str">
        <f>IFERROR(__xludf.DUMMYFUNCTION("""COMPUTED_VALUE"""),"")</f>
        <v/>
      </c>
      <c r="W5462" s="16" t="str">
        <f>IFERROR(__xludf.DUMMYFUNCTION("""COMPUTED_VALUE"""),"")</f>
        <v/>
      </c>
      <c r="X5462" s="16" t="str">
        <f>IFERROR(__xludf.DUMMYFUNCTION("""COMPUTED_VALUE"""),"")</f>
        <v/>
      </c>
      <c r="AC5462" s="16" t="str">
        <f>IFERROR(__xludf.DUMMYFUNCTION("""COMPUTED_VALUE"""),"")</f>
        <v/>
      </c>
    </row>
    <row r="5463">
      <c r="A5463" s="16" t="s">
        <v>87</v>
      </c>
      <c r="E5463" s="16" t="str">
        <f>IFERROR(__xludf.DUMMYFUNCTION("""COMPUTED_VALUE"""),"")</f>
        <v/>
      </c>
      <c r="G5463" s="18"/>
      <c r="H5463" s="16" t="s">
        <v>87</v>
      </c>
      <c r="I5463" s="16" t="s">
        <v>87</v>
      </c>
      <c r="J5463" s="19"/>
      <c r="L5463" s="16" t="str">
        <f>IFERROR(__xludf.DUMMYFUNCTION("""COMPUTED_VALUE"""),"")</f>
        <v/>
      </c>
      <c r="M5463" s="16" t="str">
        <f>IFERROR(__xludf.DUMMYFUNCTION("""COMPUTED_VALUE"""),"")</f>
        <v/>
      </c>
      <c r="U5463" s="16" t="s">
        <v>87</v>
      </c>
      <c r="V5463" s="16" t="str">
        <f>IFERROR(__xludf.DUMMYFUNCTION("""COMPUTED_VALUE"""),"")</f>
        <v/>
      </c>
      <c r="W5463" s="16" t="str">
        <f>IFERROR(__xludf.DUMMYFUNCTION("""COMPUTED_VALUE"""),"")</f>
        <v/>
      </c>
      <c r="X5463" s="16" t="str">
        <f>IFERROR(__xludf.DUMMYFUNCTION("""COMPUTED_VALUE"""),"")</f>
        <v/>
      </c>
      <c r="AC5463" s="16" t="str">
        <f>IFERROR(__xludf.DUMMYFUNCTION("""COMPUTED_VALUE"""),"")</f>
        <v/>
      </c>
    </row>
    <row r="5464">
      <c r="A5464" s="16" t="s">
        <v>87</v>
      </c>
      <c r="E5464" s="16" t="str">
        <f>IFERROR(__xludf.DUMMYFUNCTION("""COMPUTED_VALUE"""),"")</f>
        <v/>
      </c>
      <c r="G5464" s="18"/>
      <c r="H5464" s="16" t="s">
        <v>87</v>
      </c>
      <c r="I5464" s="16" t="s">
        <v>87</v>
      </c>
      <c r="J5464" s="19"/>
      <c r="L5464" s="16" t="str">
        <f>IFERROR(__xludf.DUMMYFUNCTION("""COMPUTED_VALUE"""),"")</f>
        <v/>
      </c>
      <c r="M5464" s="16" t="str">
        <f>IFERROR(__xludf.DUMMYFUNCTION("""COMPUTED_VALUE"""),"")</f>
        <v/>
      </c>
      <c r="U5464" s="16" t="s">
        <v>87</v>
      </c>
      <c r="V5464" s="16" t="str">
        <f>IFERROR(__xludf.DUMMYFUNCTION("""COMPUTED_VALUE"""),"")</f>
        <v/>
      </c>
      <c r="W5464" s="16" t="str">
        <f>IFERROR(__xludf.DUMMYFUNCTION("""COMPUTED_VALUE"""),"")</f>
        <v/>
      </c>
      <c r="X5464" s="16" t="str">
        <f>IFERROR(__xludf.DUMMYFUNCTION("""COMPUTED_VALUE"""),"")</f>
        <v/>
      </c>
      <c r="AC5464" s="16" t="str">
        <f>IFERROR(__xludf.DUMMYFUNCTION("""COMPUTED_VALUE"""),"")</f>
        <v/>
      </c>
    </row>
    <row r="5465">
      <c r="A5465" s="16" t="s">
        <v>87</v>
      </c>
      <c r="E5465" s="16" t="str">
        <f>IFERROR(__xludf.DUMMYFUNCTION("""COMPUTED_VALUE"""),"")</f>
        <v/>
      </c>
      <c r="G5465" s="18"/>
      <c r="H5465" s="16" t="s">
        <v>87</v>
      </c>
      <c r="I5465" s="16" t="s">
        <v>87</v>
      </c>
      <c r="J5465" s="19"/>
      <c r="L5465" s="16" t="str">
        <f>IFERROR(__xludf.DUMMYFUNCTION("""COMPUTED_VALUE"""),"")</f>
        <v/>
      </c>
      <c r="M5465" s="16" t="str">
        <f>IFERROR(__xludf.DUMMYFUNCTION("""COMPUTED_VALUE"""),"")</f>
        <v/>
      </c>
      <c r="U5465" s="16" t="s">
        <v>87</v>
      </c>
      <c r="V5465" s="16" t="str">
        <f>IFERROR(__xludf.DUMMYFUNCTION("""COMPUTED_VALUE"""),"")</f>
        <v/>
      </c>
      <c r="W5465" s="16" t="str">
        <f>IFERROR(__xludf.DUMMYFUNCTION("""COMPUTED_VALUE"""),"")</f>
        <v/>
      </c>
      <c r="X5465" s="16" t="str">
        <f>IFERROR(__xludf.DUMMYFUNCTION("""COMPUTED_VALUE"""),"")</f>
        <v/>
      </c>
      <c r="AC5465" s="16" t="str">
        <f>IFERROR(__xludf.DUMMYFUNCTION("""COMPUTED_VALUE"""),"")</f>
        <v/>
      </c>
    </row>
    <row r="5466">
      <c r="A5466" s="16" t="s">
        <v>87</v>
      </c>
      <c r="E5466" s="16" t="str">
        <f>IFERROR(__xludf.DUMMYFUNCTION("""COMPUTED_VALUE"""),"")</f>
        <v/>
      </c>
      <c r="G5466" s="18"/>
      <c r="H5466" s="16" t="s">
        <v>87</v>
      </c>
      <c r="I5466" s="16" t="s">
        <v>87</v>
      </c>
      <c r="J5466" s="19"/>
      <c r="L5466" s="16" t="str">
        <f>IFERROR(__xludf.DUMMYFUNCTION("""COMPUTED_VALUE"""),"")</f>
        <v/>
      </c>
      <c r="M5466" s="16" t="str">
        <f>IFERROR(__xludf.DUMMYFUNCTION("""COMPUTED_VALUE"""),"")</f>
        <v/>
      </c>
      <c r="U5466" s="16" t="s">
        <v>87</v>
      </c>
      <c r="V5466" s="16" t="str">
        <f>IFERROR(__xludf.DUMMYFUNCTION("""COMPUTED_VALUE"""),"")</f>
        <v/>
      </c>
      <c r="W5466" s="16" t="str">
        <f>IFERROR(__xludf.DUMMYFUNCTION("""COMPUTED_VALUE"""),"")</f>
        <v/>
      </c>
      <c r="X5466" s="16" t="str">
        <f>IFERROR(__xludf.DUMMYFUNCTION("""COMPUTED_VALUE"""),"")</f>
        <v/>
      </c>
      <c r="AC5466" s="16" t="str">
        <f>IFERROR(__xludf.DUMMYFUNCTION("""COMPUTED_VALUE"""),"")</f>
        <v/>
      </c>
    </row>
    <row r="5467">
      <c r="A5467" s="16" t="s">
        <v>87</v>
      </c>
      <c r="E5467" s="16" t="str">
        <f>IFERROR(__xludf.DUMMYFUNCTION("""COMPUTED_VALUE"""),"")</f>
        <v/>
      </c>
      <c r="G5467" s="18"/>
      <c r="H5467" s="16" t="s">
        <v>87</v>
      </c>
      <c r="I5467" s="16" t="s">
        <v>87</v>
      </c>
      <c r="J5467" s="19"/>
      <c r="L5467" s="16" t="str">
        <f>IFERROR(__xludf.DUMMYFUNCTION("""COMPUTED_VALUE"""),"")</f>
        <v/>
      </c>
      <c r="M5467" s="16" t="str">
        <f>IFERROR(__xludf.DUMMYFUNCTION("""COMPUTED_VALUE"""),"")</f>
        <v/>
      </c>
      <c r="U5467" s="16" t="s">
        <v>87</v>
      </c>
      <c r="V5467" s="16" t="str">
        <f>IFERROR(__xludf.DUMMYFUNCTION("""COMPUTED_VALUE"""),"")</f>
        <v/>
      </c>
      <c r="W5467" s="16" t="str">
        <f>IFERROR(__xludf.DUMMYFUNCTION("""COMPUTED_VALUE"""),"")</f>
        <v/>
      </c>
      <c r="X5467" s="16" t="str">
        <f>IFERROR(__xludf.DUMMYFUNCTION("""COMPUTED_VALUE"""),"")</f>
        <v/>
      </c>
      <c r="AC5467" s="16" t="str">
        <f>IFERROR(__xludf.DUMMYFUNCTION("""COMPUTED_VALUE"""),"")</f>
        <v/>
      </c>
    </row>
    <row r="5468">
      <c r="A5468" s="16" t="s">
        <v>87</v>
      </c>
      <c r="E5468" s="16" t="str">
        <f>IFERROR(__xludf.DUMMYFUNCTION("""COMPUTED_VALUE"""),"")</f>
        <v/>
      </c>
      <c r="G5468" s="18"/>
      <c r="H5468" s="16" t="s">
        <v>87</v>
      </c>
      <c r="I5468" s="16" t="s">
        <v>87</v>
      </c>
      <c r="J5468" s="19"/>
      <c r="L5468" s="16" t="str">
        <f>IFERROR(__xludf.DUMMYFUNCTION("""COMPUTED_VALUE"""),"")</f>
        <v/>
      </c>
      <c r="M5468" s="16" t="str">
        <f>IFERROR(__xludf.DUMMYFUNCTION("""COMPUTED_VALUE"""),"")</f>
        <v/>
      </c>
      <c r="U5468" s="16" t="s">
        <v>87</v>
      </c>
      <c r="V5468" s="16" t="str">
        <f>IFERROR(__xludf.DUMMYFUNCTION("""COMPUTED_VALUE"""),"")</f>
        <v/>
      </c>
      <c r="W5468" s="16" t="str">
        <f>IFERROR(__xludf.DUMMYFUNCTION("""COMPUTED_VALUE"""),"")</f>
        <v/>
      </c>
      <c r="X5468" s="16" t="str">
        <f>IFERROR(__xludf.DUMMYFUNCTION("""COMPUTED_VALUE"""),"")</f>
        <v/>
      </c>
      <c r="AC5468" s="16" t="str">
        <f>IFERROR(__xludf.DUMMYFUNCTION("""COMPUTED_VALUE"""),"")</f>
        <v/>
      </c>
    </row>
    <row r="5469">
      <c r="A5469" s="16" t="s">
        <v>87</v>
      </c>
      <c r="E5469" s="16" t="str">
        <f>IFERROR(__xludf.DUMMYFUNCTION("""COMPUTED_VALUE"""),"")</f>
        <v/>
      </c>
      <c r="G5469" s="18"/>
      <c r="H5469" s="16" t="s">
        <v>87</v>
      </c>
      <c r="I5469" s="16" t="s">
        <v>87</v>
      </c>
      <c r="J5469" s="19"/>
      <c r="L5469" s="16" t="str">
        <f>IFERROR(__xludf.DUMMYFUNCTION("""COMPUTED_VALUE"""),"")</f>
        <v/>
      </c>
      <c r="M5469" s="16" t="str">
        <f>IFERROR(__xludf.DUMMYFUNCTION("""COMPUTED_VALUE"""),"")</f>
        <v/>
      </c>
      <c r="U5469" s="16" t="s">
        <v>87</v>
      </c>
      <c r="V5469" s="16" t="str">
        <f>IFERROR(__xludf.DUMMYFUNCTION("""COMPUTED_VALUE"""),"")</f>
        <v/>
      </c>
      <c r="W5469" s="16" t="str">
        <f>IFERROR(__xludf.DUMMYFUNCTION("""COMPUTED_VALUE"""),"")</f>
        <v/>
      </c>
      <c r="X5469" s="16" t="str">
        <f>IFERROR(__xludf.DUMMYFUNCTION("""COMPUTED_VALUE"""),"")</f>
        <v/>
      </c>
      <c r="AC5469" s="16" t="str">
        <f>IFERROR(__xludf.DUMMYFUNCTION("""COMPUTED_VALUE"""),"")</f>
        <v/>
      </c>
    </row>
    <row r="5470">
      <c r="A5470" s="16" t="s">
        <v>87</v>
      </c>
      <c r="E5470" s="16" t="str">
        <f>IFERROR(__xludf.DUMMYFUNCTION("""COMPUTED_VALUE"""),"")</f>
        <v/>
      </c>
      <c r="G5470" s="18"/>
      <c r="H5470" s="16" t="s">
        <v>87</v>
      </c>
      <c r="I5470" s="16" t="s">
        <v>87</v>
      </c>
      <c r="J5470" s="19"/>
      <c r="L5470" s="16" t="str">
        <f>IFERROR(__xludf.DUMMYFUNCTION("""COMPUTED_VALUE"""),"")</f>
        <v/>
      </c>
      <c r="M5470" s="16" t="str">
        <f>IFERROR(__xludf.DUMMYFUNCTION("""COMPUTED_VALUE"""),"")</f>
        <v/>
      </c>
      <c r="U5470" s="16" t="s">
        <v>87</v>
      </c>
      <c r="V5470" s="16" t="str">
        <f>IFERROR(__xludf.DUMMYFUNCTION("""COMPUTED_VALUE"""),"")</f>
        <v/>
      </c>
      <c r="W5470" s="16" t="str">
        <f>IFERROR(__xludf.DUMMYFUNCTION("""COMPUTED_VALUE"""),"")</f>
        <v/>
      </c>
      <c r="X5470" s="16" t="str">
        <f>IFERROR(__xludf.DUMMYFUNCTION("""COMPUTED_VALUE"""),"")</f>
        <v/>
      </c>
      <c r="AC5470" s="16" t="str">
        <f>IFERROR(__xludf.DUMMYFUNCTION("""COMPUTED_VALUE"""),"")</f>
        <v/>
      </c>
    </row>
    <row r="5471">
      <c r="A5471" s="16" t="s">
        <v>87</v>
      </c>
      <c r="E5471" s="16" t="str">
        <f>IFERROR(__xludf.DUMMYFUNCTION("""COMPUTED_VALUE"""),"")</f>
        <v/>
      </c>
      <c r="G5471" s="18"/>
      <c r="H5471" s="16" t="s">
        <v>87</v>
      </c>
      <c r="I5471" s="16" t="s">
        <v>87</v>
      </c>
      <c r="J5471" s="19"/>
      <c r="L5471" s="16" t="str">
        <f>IFERROR(__xludf.DUMMYFUNCTION("""COMPUTED_VALUE"""),"")</f>
        <v/>
      </c>
      <c r="M5471" s="16" t="str">
        <f>IFERROR(__xludf.DUMMYFUNCTION("""COMPUTED_VALUE"""),"")</f>
        <v/>
      </c>
      <c r="U5471" s="16" t="s">
        <v>87</v>
      </c>
      <c r="V5471" s="16" t="str">
        <f>IFERROR(__xludf.DUMMYFUNCTION("""COMPUTED_VALUE"""),"")</f>
        <v/>
      </c>
      <c r="W5471" s="16" t="str">
        <f>IFERROR(__xludf.DUMMYFUNCTION("""COMPUTED_VALUE"""),"")</f>
        <v/>
      </c>
      <c r="X5471" s="16" t="str">
        <f>IFERROR(__xludf.DUMMYFUNCTION("""COMPUTED_VALUE"""),"")</f>
        <v/>
      </c>
      <c r="AC5471" s="16" t="str">
        <f>IFERROR(__xludf.DUMMYFUNCTION("""COMPUTED_VALUE"""),"")</f>
        <v/>
      </c>
    </row>
    <row r="5472">
      <c r="A5472" s="16" t="s">
        <v>87</v>
      </c>
      <c r="E5472" s="16" t="str">
        <f>IFERROR(__xludf.DUMMYFUNCTION("""COMPUTED_VALUE"""),"")</f>
        <v/>
      </c>
      <c r="G5472" s="18"/>
      <c r="H5472" s="16" t="s">
        <v>87</v>
      </c>
      <c r="I5472" s="16" t="s">
        <v>87</v>
      </c>
      <c r="J5472" s="19"/>
      <c r="L5472" s="16" t="str">
        <f>IFERROR(__xludf.DUMMYFUNCTION("""COMPUTED_VALUE"""),"")</f>
        <v/>
      </c>
      <c r="M5472" s="16" t="str">
        <f>IFERROR(__xludf.DUMMYFUNCTION("""COMPUTED_VALUE"""),"")</f>
        <v/>
      </c>
      <c r="U5472" s="16" t="s">
        <v>87</v>
      </c>
      <c r="V5472" s="16" t="str">
        <f>IFERROR(__xludf.DUMMYFUNCTION("""COMPUTED_VALUE"""),"")</f>
        <v/>
      </c>
      <c r="W5472" s="16" t="str">
        <f>IFERROR(__xludf.DUMMYFUNCTION("""COMPUTED_VALUE"""),"")</f>
        <v/>
      </c>
      <c r="X5472" s="16" t="str">
        <f>IFERROR(__xludf.DUMMYFUNCTION("""COMPUTED_VALUE"""),"")</f>
        <v/>
      </c>
      <c r="AC5472" s="16" t="str">
        <f>IFERROR(__xludf.DUMMYFUNCTION("""COMPUTED_VALUE"""),"")</f>
        <v/>
      </c>
    </row>
    <row r="5473">
      <c r="A5473" s="16" t="s">
        <v>87</v>
      </c>
      <c r="E5473" s="16" t="str">
        <f>IFERROR(__xludf.DUMMYFUNCTION("""COMPUTED_VALUE"""),"")</f>
        <v/>
      </c>
      <c r="G5473" s="18"/>
      <c r="H5473" s="16" t="s">
        <v>87</v>
      </c>
      <c r="I5473" s="16" t="s">
        <v>87</v>
      </c>
      <c r="J5473" s="19"/>
      <c r="L5473" s="16" t="str">
        <f>IFERROR(__xludf.DUMMYFUNCTION("""COMPUTED_VALUE"""),"")</f>
        <v/>
      </c>
      <c r="M5473" s="16" t="str">
        <f>IFERROR(__xludf.DUMMYFUNCTION("""COMPUTED_VALUE"""),"")</f>
        <v/>
      </c>
      <c r="U5473" s="16" t="s">
        <v>87</v>
      </c>
      <c r="V5473" s="16" t="str">
        <f>IFERROR(__xludf.DUMMYFUNCTION("""COMPUTED_VALUE"""),"")</f>
        <v/>
      </c>
      <c r="W5473" s="16" t="str">
        <f>IFERROR(__xludf.DUMMYFUNCTION("""COMPUTED_VALUE"""),"")</f>
        <v/>
      </c>
      <c r="X5473" s="16" t="str">
        <f>IFERROR(__xludf.DUMMYFUNCTION("""COMPUTED_VALUE"""),"")</f>
        <v/>
      </c>
      <c r="AC5473" s="16" t="str">
        <f>IFERROR(__xludf.DUMMYFUNCTION("""COMPUTED_VALUE"""),"")</f>
        <v/>
      </c>
    </row>
    <row r="5474">
      <c r="A5474" s="16" t="s">
        <v>87</v>
      </c>
      <c r="E5474" s="16" t="str">
        <f>IFERROR(__xludf.DUMMYFUNCTION("""COMPUTED_VALUE"""),"")</f>
        <v/>
      </c>
      <c r="G5474" s="18"/>
      <c r="H5474" s="16" t="s">
        <v>87</v>
      </c>
      <c r="I5474" s="16" t="s">
        <v>87</v>
      </c>
      <c r="J5474" s="19"/>
      <c r="L5474" s="16" t="str">
        <f>IFERROR(__xludf.DUMMYFUNCTION("""COMPUTED_VALUE"""),"")</f>
        <v/>
      </c>
      <c r="M5474" s="16" t="str">
        <f>IFERROR(__xludf.DUMMYFUNCTION("""COMPUTED_VALUE"""),"")</f>
        <v/>
      </c>
      <c r="U5474" s="16" t="s">
        <v>87</v>
      </c>
      <c r="V5474" s="16" t="str">
        <f>IFERROR(__xludf.DUMMYFUNCTION("""COMPUTED_VALUE"""),"")</f>
        <v/>
      </c>
      <c r="W5474" s="16" t="str">
        <f>IFERROR(__xludf.DUMMYFUNCTION("""COMPUTED_VALUE"""),"")</f>
        <v/>
      </c>
      <c r="X5474" s="16" t="str">
        <f>IFERROR(__xludf.DUMMYFUNCTION("""COMPUTED_VALUE"""),"")</f>
        <v/>
      </c>
      <c r="AC5474" s="16" t="str">
        <f>IFERROR(__xludf.DUMMYFUNCTION("""COMPUTED_VALUE"""),"")</f>
        <v/>
      </c>
    </row>
    <row r="5475">
      <c r="A5475" s="16" t="s">
        <v>87</v>
      </c>
      <c r="E5475" s="16" t="str">
        <f>IFERROR(__xludf.DUMMYFUNCTION("""COMPUTED_VALUE"""),"")</f>
        <v/>
      </c>
      <c r="G5475" s="18"/>
      <c r="H5475" s="16" t="s">
        <v>87</v>
      </c>
      <c r="I5475" s="16" t="s">
        <v>87</v>
      </c>
      <c r="J5475" s="19"/>
      <c r="L5475" s="16" t="str">
        <f>IFERROR(__xludf.DUMMYFUNCTION("""COMPUTED_VALUE"""),"")</f>
        <v/>
      </c>
      <c r="M5475" s="16" t="str">
        <f>IFERROR(__xludf.DUMMYFUNCTION("""COMPUTED_VALUE"""),"")</f>
        <v/>
      </c>
      <c r="U5475" s="16" t="s">
        <v>87</v>
      </c>
      <c r="V5475" s="16" t="str">
        <f>IFERROR(__xludf.DUMMYFUNCTION("""COMPUTED_VALUE"""),"")</f>
        <v/>
      </c>
      <c r="W5475" s="16" t="str">
        <f>IFERROR(__xludf.DUMMYFUNCTION("""COMPUTED_VALUE"""),"")</f>
        <v/>
      </c>
      <c r="X5475" s="16" t="str">
        <f>IFERROR(__xludf.DUMMYFUNCTION("""COMPUTED_VALUE"""),"")</f>
        <v/>
      </c>
      <c r="AC5475" s="16" t="str">
        <f>IFERROR(__xludf.DUMMYFUNCTION("""COMPUTED_VALUE"""),"")</f>
        <v/>
      </c>
    </row>
    <row r="5476">
      <c r="A5476" s="16" t="s">
        <v>87</v>
      </c>
      <c r="E5476" s="16" t="str">
        <f>IFERROR(__xludf.DUMMYFUNCTION("""COMPUTED_VALUE"""),"")</f>
        <v/>
      </c>
      <c r="G5476" s="18"/>
      <c r="H5476" s="16" t="s">
        <v>87</v>
      </c>
      <c r="I5476" s="16" t="s">
        <v>87</v>
      </c>
      <c r="J5476" s="19"/>
      <c r="L5476" s="16" t="str">
        <f>IFERROR(__xludf.DUMMYFUNCTION("""COMPUTED_VALUE"""),"")</f>
        <v/>
      </c>
      <c r="M5476" s="16" t="str">
        <f>IFERROR(__xludf.DUMMYFUNCTION("""COMPUTED_VALUE"""),"")</f>
        <v/>
      </c>
      <c r="U5476" s="16" t="s">
        <v>87</v>
      </c>
      <c r="V5476" s="16" t="str">
        <f>IFERROR(__xludf.DUMMYFUNCTION("""COMPUTED_VALUE"""),"")</f>
        <v/>
      </c>
      <c r="W5476" s="16" t="str">
        <f>IFERROR(__xludf.DUMMYFUNCTION("""COMPUTED_VALUE"""),"")</f>
        <v/>
      </c>
      <c r="X5476" s="16" t="str">
        <f>IFERROR(__xludf.DUMMYFUNCTION("""COMPUTED_VALUE"""),"")</f>
        <v/>
      </c>
      <c r="AC5476" s="16" t="str">
        <f>IFERROR(__xludf.DUMMYFUNCTION("""COMPUTED_VALUE"""),"")</f>
        <v/>
      </c>
    </row>
    <row r="5477">
      <c r="A5477" s="16" t="s">
        <v>87</v>
      </c>
      <c r="E5477" s="16" t="str">
        <f>IFERROR(__xludf.DUMMYFUNCTION("""COMPUTED_VALUE"""),"")</f>
        <v/>
      </c>
      <c r="G5477" s="18"/>
      <c r="H5477" s="16" t="s">
        <v>87</v>
      </c>
      <c r="I5477" s="16" t="s">
        <v>87</v>
      </c>
      <c r="J5477" s="19"/>
      <c r="L5477" s="16" t="str">
        <f>IFERROR(__xludf.DUMMYFUNCTION("""COMPUTED_VALUE"""),"")</f>
        <v/>
      </c>
      <c r="M5477" s="16" t="str">
        <f>IFERROR(__xludf.DUMMYFUNCTION("""COMPUTED_VALUE"""),"")</f>
        <v/>
      </c>
      <c r="U5477" s="16" t="s">
        <v>87</v>
      </c>
      <c r="V5477" s="16" t="str">
        <f>IFERROR(__xludf.DUMMYFUNCTION("""COMPUTED_VALUE"""),"")</f>
        <v/>
      </c>
      <c r="W5477" s="16" t="str">
        <f>IFERROR(__xludf.DUMMYFUNCTION("""COMPUTED_VALUE"""),"")</f>
        <v/>
      </c>
      <c r="X5477" s="16" t="str">
        <f>IFERROR(__xludf.DUMMYFUNCTION("""COMPUTED_VALUE"""),"")</f>
        <v/>
      </c>
      <c r="AC5477" s="16" t="str">
        <f>IFERROR(__xludf.DUMMYFUNCTION("""COMPUTED_VALUE"""),"")</f>
        <v/>
      </c>
    </row>
    <row r="5478">
      <c r="A5478" s="16" t="s">
        <v>87</v>
      </c>
      <c r="E5478" s="16" t="str">
        <f>IFERROR(__xludf.DUMMYFUNCTION("""COMPUTED_VALUE"""),"")</f>
        <v/>
      </c>
      <c r="G5478" s="18"/>
      <c r="H5478" s="16" t="s">
        <v>87</v>
      </c>
      <c r="I5478" s="16" t="s">
        <v>87</v>
      </c>
      <c r="J5478" s="19"/>
      <c r="L5478" s="16" t="str">
        <f>IFERROR(__xludf.DUMMYFUNCTION("""COMPUTED_VALUE"""),"")</f>
        <v/>
      </c>
      <c r="M5478" s="16" t="str">
        <f>IFERROR(__xludf.DUMMYFUNCTION("""COMPUTED_VALUE"""),"")</f>
        <v/>
      </c>
      <c r="U5478" s="16" t="s">
        <v>87</v>
      </c>
      <c r="V5478" s="16" t="str">
        <f>IFERROR(__xludf.DUMMYFUNCTION("""COMPUTED_VALUE"""),"")</f>
        <v/>
      </c>
      <c r="W5478" s="16" t="str">
        <f>IFERROR(__xludf.DUMMYFUNCTION("""COMPUTED_VALUE"""),"")</f>
        <v/>
      </c>
      <c r="X5478" s="16" t="str">
        <f>IFERROR(__xludf.DUMMYFUNCTION("""COMPUTED_VALUE"""),"")</f>
        <v/>
      </c>
      <c r="AC5478" s="16" t="str">
        <f>IFERROR(__xludf.DUMMYFUNCTION("""COMPUTED_VALUE"""),"")</f>
        <v/>
      </c>
    </row>
    <row r="5479">
      <c r="A5479" s="16" t="s">
        <v>87</v>
      </c>
      <c r="E5479" s="16" t="str">
        <f>IFERROR(__xludf.DUMMYFUNCTION("""COMPUTED_VALUE"""),"")</f>
        <v/>
      </c>
      <c r="G5479" s="18"/>
      <c r="H5479" s="16" t="s">
        <v>87</v>
      </c>
      <c r="I5479" s="16" t="s">
        <v>87</v>
      </c>
      <c r="J5479" s="19"/>
      <c r="L5479" s="16" t="str">
        <f>IFERROR(__xludf.DUMMYFUNCTION("""COMPUTED_VALUE"""),"")</f>
        <v/>
      </c>
      <c r="M5479" s="16" t="str">
        <f>IFERROR(__xludf.DUMMYFUNCTION("""COMPUTED_VALUE"""),"")</f>
        <v/>
      </c>
      <c r="U5479" s="16" t="s">
        <v>87</v>
      </c>
      <c r="V5479" s="16" t="str">
        <f>IFERROR(__xludf.DUMMYFUNCTION("""COMPUTED_VALUE"""),"")</f>
        <v/>
      </c>
      <c r="W5479" s="16" t="str">
        <f>IFERROR(__xludf.DUMMYFUNCTION("""COMPUTED_VALUE"""),"")</f>
        <v/>
      </c>
      <c r="X5479" s="16" t="str">
        <f>IFERROR(__xludf.DUMMYFUNCTION("""COMPUTED_VALUE"""),"")</f>
        <v/>
      </c>
      <c r="AC5479" s="16" t="str">
        <f>IFERROR(__xludf.DUMMYFUNCTION("""COMPUTED_VALUE"""),"")</f>
        <v/>
      </c>
    </row>
    <row r="5480">
      <c r="A5480" s="16" t="s">
        <v>87</v>
      </c>
      <c r="E5480" s="16" t="str">
        <f>IFERROR(__xludf.DUMMYFUNCTION("""COMPUTED_VALUE"""),"")</f>
        <v/>
      </c>
      <c r="G5480" s="18"/>
      <c r="H5480" s="16" t="s">
        <v>87</v>
      </c>
      <c r="I5480" s="16" t="s">
        <v>87</v>
      </c>
      <c r="J5480" s="19"/>
      <c r="L5480" s="16" t="str">
        <f>IFERROR(__xludf.DUMMYFUNCTION("""COMPUTED_VALUE"""),"")</f>
        <v/>
      </c>
      <c r="M5480" s="16" t="str">
        <f>IFERROR(__xludf.DUMMYFUNCTION("""COMPUTED_VALUE"""),"")</f>
        <v/>
      </c>
      <c r="U5480" s="16" t="s">
        <v>87</v>
      </c>
      <c r="V5480" s="16" t="str">
        <f>IFERROR(__xludf.DUMMYFUNCTION("""COMPUTED_VALUE"""),"")</f>
        <v/>
      </c>
      <c r="W5480" s="16" t="str">
        <f>IFERROR(__xludf.DUMMYFUNCTION("""COMPUTED_VALUE"""),"")</f>
        <v/>
      </c>
      <c r="X5480" s="16" t="str">
        <f>IFERROR(__xludf.DUMMYFUNCTION("""COMPUTED_VALUE"""),"")</f>
        <v/>
      </c>
      <c r="AC5480" s="16" t="str">
        <f>IFERROR(__xludf.DUMMYFUNCTION("""COMPUTED_VALUE"""),"")</f>
        <v/>
      </c>
    </row>
    <row r="5481">
      <c r="A5481" s="16" t="s">
        <v>87</v>
      </c>
      <c r="E5481" s="16" t="str">
        <f>IFERROR(__xludf.DUMMYFUNCTION("""COMPUTED_VALUE"""),"")</f>
        <v/>
      </c>
      <c r="G5481" s="18"/>
      <c r="H5481" s="16" t="s">
        <v>87</v>
      </c>
      <c r="I5481" s="16" t="s">
        <v>87</v>
      </c>
      <c r="J5481" s="19"/>
      <c r="L5481" s="16" t="str">
        <f>IFERROR(__xludf.DUMMYFUNCTION("""COMPUTED_VALUE"""),"")</f>
        <v/>
      </c>
      <c r="M5481" s="16" t="str">
        <f>IFERROR(__xludf.DUMMYFUNCTION("""COMPUTED_VALUE"""),"")</f>
        <v/>
      </c>
      <c r="U5481" s="16" t="s">
        <v>87</v>
      </c>
      <c r="V5481" s="16" t="str">
        <f>IFERROR(__xludf.DUMMYFUNCTION("""COMPUTED_VALUE"""),"")</f>
        <v/>
      </c>
      <c r="W5481" s="16" t="str">
        <f>IFERROR(__xludf.DUMMYFUNCTION("""COMPUTED_VALUE"""),"")</f>
        <v/>
      </c>
      <c r="X5481" s="16" t="str">
        <f>IFERROR(__xludf.DUMMYFUNCTION("""COMPUTED_VALUE"""),"")</f>
        <v/>
      </c>
      <c r="AC5481" s="16" t="str">
        <f>IFERROR(__xludf.DUMMYFUNCTION("""COMPUTED_VALUE"""),"")</f>
        <v/>
      </c>
    </row>
    <row r="5482">
      <c r="A5482" s="16" t="s">
        <v>87</v>
      </c>
      <c r="E5482" s="16" t="str">
        <f>IFERROR(__xludf.DUMMYFUNCTION("""COMPUTED_VALUE"""),"")</f>
        <v/>
      </c>
      <c r="G5482" s="18"/>
      <c r="H5482" s="16" t="s">
        <v>87</v>
      </c>
      <c r="I5482" s="16" t="s">
        <v>87</v>
      </c>
      <c r="J5482" s="19"/>
      <c r="L5482" s="16" t="str">
        <f>IFERROR(__xludf.DUMMYFUNCTION("""COMPUTED_VALUE"""),"")</f>
        <v/>
      </c>
      <c r="M5482" s="16" t="str">
        <f>IFERROR(__xludf.DUMMYFUNCTION("""COMPUTED_VALUE"""),"")</f>
        <v/>
      </c>
      <c r="U5482" s="16" t="s">
        <v>87</v>
      </c>
      <c r="V5482" s="16" t="str">
        <f>IFERROR(__xludf.DUMMYFUNCTION("""COMPUTED_VALUE"""),"")</f>
        <v/>
      </c>
      <c r="W5482" s="16" t="str">
        <f>IFERROR(__xludf.DUMMYFUNCTION("""COMPUTED_VALUE"""),"")</f>
        <v/>
      </c>
      <c r="X5482" s="16" t="str">
        <f>IFERROR(__xludf.DUMMYFUNCTION("""COMPUTED_VALUE"""),"")</f>
        <v/>
      </c>
      <c r="AC5482" s="16" t="str">
        <f>IFERROR(__xludf.DUMMYFUNCTION("""COMPUTED_VALUE"""),"")</f>
        <v/>
      </c>
    </row>
    <row r="5483">
      <c r="A5483" s="16" t="s">
        <v>87</v>
      </c>
      <c r="E5483" s="16" t="str">
        <f>IFERROR(__xludf.DUMMYFUNCTION("""COMPUTED_VALUE"""),"")</f>
        <v/>
      </c>
      <c r="G5483" s="18"/>
      <c r="H5483" s="16" t="s">
        <v>87</v>
      </c>
      <c r="I5483" s="16" t="s">
        <v>87</v>
      </c>
      <c r="J5483" s="19"/>
      <c r="L5483" s="16" t="str">
        <f>IFERROR(__xludf.DUMMYFUNCTION("""COMPUTED_VALUE"""),"")</f>
        <v/>
      </c>
      <c r="M5483" s="16" t="str">
        <f>IFERROR(__xludf.DUMMYFUNCTION("""COMPUTED_VALUE"""),"")</f>
        <v/>
      </c>
      <c r="U5483" s="16" t="s">
        <v>87</v>
      </c>
      <c r="V5483" s="16" t="str">
        <f>IFERROR(__xludf.DUMMYFUNCTION("""COMPUTED_VALUE"""),"")</f>
        <v/>
      </c>
      <c r="W5483" s="16" t="str">
        <f>IFERROR(__xludf.DUMMYFUNCTION("""COMPUTED_VALUE"""),"")</f>
        <v/>
      </c>
      <c r="X5483" s="16" t="str">
        <f>IFERROR(__xludf.DUMMYFUNCTION("""COMPUTED_VALUE"""),"")</f>
        <v/>
      </c>
      <c r="AC5483" s="16" t="str">
        <f>IFERROR(__xludf.DUMMYFUNCTION("""COMPUTED_VALUE"""),"")</f>
        <v/>
      </c>
    </row>
    <row r="5484">
      <c r="A5484" s="16" t="s">
        <v>87</v>
      </c>
      <c r="E5484" s="16" t="str">
        <f>IFERROR(__xludf.DUMMYFUNCTION("""COMPUTED_VALUE"""),"")</f>
        <v/>
      </c>
      <c r="G5484" s="18"/>
      <c r="H5484" s="16" t="s">
        <v>87</v>
      </c>
      <c r="I5484" s="16" t="s">
        <v>87</v>
      </c>
      <c r="J5484" s="19"/>
      <c r="L5484" s="16" t="str">
        <f>IFERROR(__xludf.DUMMYFUNCTION("""COMPUTED_VALUE"""),"")</f>
        <v/>
      </c>
      <c r="M5484" s="16" t="str">
        <f>IFERROR(__xludf.DUMMYFUNCTION("""COMPUTED_VALUE"""),"")</f>
        <v/>
      </c>
      <c r="U5484" s="16" t="s">
        <v>87</v>
      </c>
      <c r="V5484" s="16" t="str">
        <f>IFERROR(__xludf.DUMMYFUNCTION("""COMPUTED_VALUE"""),"")</f>
        <v/>
      </c>
      <c r="W5484" s="16" t="str">
        <f>IFERROR(__xludf.DUMMYFUNCTION("""COMPUTED_VALUE"""),"")</f>
        <v/>
      </c>
      <c r="X5484" s="16" t="str">
        <f>IFERROR(__xludf.DUMMYFUNCTION("""COMPUTED_VALUE"""),"")</f>
        <v/>
      </c>
      <c r="AC5484" s="16" t="str">
        <f>IFERROR(__xludf.DUMMYFUNCTION("""COMPUTED_VALUE"""),"")</f>
        <v/>
      </c>
    </row>
    <row r="5485">
      <c r="A5485" s="16" t="s">
        <v>87</v>
      </c>
      <c r="E5485" s="16" t="str">
        <f>IFERROR(__xludf.DUMMYFUNCTION("""COMPUTED_VALUE"""),"")</f>
        <v/>
      </c>
      <c r="G5485" s="18"/>
      <c r="H5485" s="16" t="s">
        <v>87</v>
      </c>
      <c r="I5485" s="16" t="s">
        <v>87</v>
      </c>
      <c r="J5485" s="19"/>
      <c r="L5485" s="16" t="str">
        <f>IFERROR(__xludf.DUMMYFUNCTION("""COMPUTED_VALUE"""),"")</f>
        <v/>
      </c>
      <c r="M5485" s="16" t="str">
        <f>IFERROR(__xludf.DUMMYFUNCTION("""COMPUTED_VALUE"""),"")</f>
        <v/>
      </c>
      <c r="U5485" s="16" t="s">
        <v>87</v>
      </c>
      <c r="V5485" s="16" t="str">
        <f>IFERROR(__xludf.DUMMYFUNCTION("""COMPUTED_VALUE"""),"")</f>
        <v/>
      </c>
      <c r="W5485" s="16" t="str">
        <f>IFERROR(__xludf.DUMMYFUNCTION("""COMPUTED_VALUE"""),"")</f>
        <v/>
      </c>
      <c r="X5485" s="16" t="str">
        <f>IFERROR(__xludf.DUMMYFUNCTION("""COMPUTED_VALUE"""),"")</f>
        <v/>
      </c>
      <c r="AC5485" s="16" t="str">
        <f>IFERROR(__xludf.DUMMYFUNCTION("""COMPUTED_VALUE"""),"")</f>
        <v/>
      </c>
    </row>
    <row r="5486">
      <c r="A5486" s="16" t="s">
        <v>87</v>
      </c>
      <c r="E5486" s="16" t="str">
        <f>IFERROR(__xludf.DUMMYFUNCTION("""COMPUTED_VALUE"""),"")</f>
        <v/>
      </c>
      <c r="G5486" s="18"/>
      <c r="H5486" s="16" t="s">
        <v>87</v>
      </c>
      <c r="I5486" s="16" t="s">
        <v>87</v>
      </c>
      <c r="J5486" s="19"/>
      <c r="L5486" s="16" t="str">
        <f>IFERROR(__xludf.DUMMYFUNCTION("""COMPUTED_VALUE"""),"")</f>
        <v/>
      </c>
      <c r="M5486" s="16" t="str">
        <f>IFERROR(__xludf.DUMMYFUNCTION("""COMPUTED_VALUE"""),"")</f>
        <v/>
      </c>
      <c r="U5486" s="16" t="s">
        <v>87</v>
      </c>
      <c r="V5486" s="16" t="str">
        <f>IFERROR(__xludf.DUMMYFUNCTION("""COMPUTED_VALUE"""),"")</f>
        <v/>
      </c>
      <c r="W5486" s="16" t="str">
        <f>IFERROR(__xludf.DUMMYFUNCTION("""COMPUTED_VALUE"""),"")</f>
        <v/>
      </c>
      <c r="X5486" s="16" t="str">
        <f>IFERROR(__xludf.DUMMYFUNCTION("""COMPUTED_VALUE"""),"")</f>
        <v/>
      </c>
      <c r="AC5486" s="16" t="str">
        <f>IFERROR(__xludf.DUMMYFUNCTION("""COMPUTED_VALUE"""),"")</f>
        <v/>
      </c>
    </row>
    <row r="5487">
      <c r="A5487" s="16" t="s">
        <v>87</v>
      </c>
      <c r="E5487" s="16" t="str">
        <f>IFERROR(__xludf.DUMMYFUNCTION("""COMPUTED_VALUE"""),"")</f>
        <v/>
      </c>
      <c r="G5487" s="18"/>
      <c r="H5487" s="16" t="s">
        <v>87</v>
      </c>
      <c r="I5487" s="16" t="s">
        <v>87</v>
      </c>
      <c r="J5487" s="19"/>
      <c r="L5487" s="16" t="str">
        <f>IFERROR(__xludf.DUMMYFUNCTION("""COMPUTED_VALUE"""),"")</f>
        <v/>
      </c>
      <c r="M5487" s="16" t="str">
        <f>IFERROR(__xludf.DUMMYFUNCTION("""COMPUTED_VALUE"""),"")</f>
        <v/>
      </c>
      <c r="U5487" s="16" t="s">
        <v>87</v>
      </c>
      <c r="V5487" s="16" t="str">
        <f>IFERROR(__xludf.DUMMYFUNCTION("""COMPUTED_VALUE"""),"")</f>
        <v/>
      </c>
      <c r="W5487" s="16" t="str">
        <f>IFERROR(__xludf.DUMMYFUNCTION("""COMPUTED_VALUE"""),"")</f>
        <v/>
      </c>
      <c r="X5487" s="16" t="str">
        <f>IFERROR(__xludf.DUMMYFUNCTION("""COMPUTED_VALUE"""),"")</f>
        <v/>
      </c>
      <c r="AC5487" s="16" t="str">
        <f>IFERROR(__xludf.DUMMYFUNCTION("""COMPUTED_VALUE"""),"")</f>
        <v/>
      </c>
    </row>
    <row r="5488">
      <c r="A5488" s="16" t="s">
        <v>87</v>
      </c>
      <c r="E5488" s="16" t="str">
        <f>IFERROR(__xludf.DUMMYFUNCTION("""COMPUTED_VALUE"""),"")</f>
        <v/>
      </c>
      <c r="G5488" s="18"/>
      <c r="H5488" s="16" t="s">
        <v>87</v>
      </c>
      <c r="I5488" s="16" t="s">
        <v>87</v>
      </c>
      <c r="J5488" s="19"/>
      <c r="L5488" s="16" t="str">
        <f>IFERROR(__xludf.DUMMYFUNCTION("""COMPUTED_VALUE"""),"")</f>
        <v/>
      </c>
      <c r="M5488" s="16" t="str">
        <f>IFERROR(__xludf.DUMMYFUNCTION("""COMPUTED_VALUE"""),"")</f>
        <v/>
      </c>
      <c r="U5488" s="16" t="s">
        <v>87</v>
      </c>
      <c r="V5488" s="16" t="str">
        <f>IFERROR(__xludf.DUMMYFUNCTION("""COMPUTED_VALUE"""),"")</f>
        <v/>
      </c>
      <c r="W5488" s="16" t="str">
        <f>IFERROR(__xludf.DUMMYFUNCTION("""COMPUTED_VALUE"""),"")</f>
        <v/>
      </c>
      <c r="X5488" s="16" t="str">
        <f>IFERROR(__xludf.DUMMYFUNCTION("""COMPUTED_VALUE"""),"")</f>
        <v/>
      </c>
      <c r="AC5488" s="16" t="str">
        <f>IFERROR(__xludf.DUMMYFUNCTION("""COMPUTED_VALUE"""),"")</f>
        <v/>
      </c>
    </row>
    <row r="5489">
      <c r="A5489" s="16" t="s">
        <v>87</v>
      </c>
      <c r="E5489" s="16" t="str">
        <f>IFERROR(__xludf.DUMMYFUNCTION("""COMPUTED_VALUE"""),"")</f>
        <v/>
      </c>
      <c r="G5489" s="18"/>
      <c r="H5489" s="16" t="s">
        <v>87</v>
      </c>
      <c r="I5489" s="16" t="s">
        <v>87</v>
      </c>
      <c r="J5489" s="19"/>
      <c r="L5489" s="16" t="str">
        <f>IFERROR(__xludf.DUMMYFUNCTION("""COMPUTED_VALUE"""),"")</f>
        <v/>
      </c>
      <c r="M5489" s="16" t="str">
        <f>IFERROR(__xludf.DUMMYFUNCTION("""COMPUTED_VALUE"""),"")</f>
        <v/>
      </c>
      <c r="U5489" s="16" t="s">
        <v>87</v>
      </c>
      <c r="V5489" s="16" t="str">
        <f>IFERROR(__xludf.DUMMYFUNCTION("""COMPUTED_VALUE"""),"")</f>
        <v/>
      </c>
      <c r="W5489" s="16" t="str">
        <f>IFERROR(__xludf.DUMMYFUNCTION("""COMPUTED_VALUE"""),"")</f>
        <v/>
      </c>
      <c r="X5489" s="16" t="str">
        <f>IFERROR(__xludf.DUMMYFUNCTION("""COMPUTED_VALUE"""),"")</f>
        <v/>
      </c>
      <c r="AC5489" s="16" t="str">
        <f>IFERROR(__xludf.DUMMYFUNCTION("""COMPUTED_VALUE"""),"")</f>
        <v/>
      </c>
    </row>
    <row r="5490">
      <c r="A5490" s="16" t="s">
        <v>87</v>
      </c>
      <c r="E5490" s="16" t="str">
        <f>IFERROR(__xludf.DUMMYFUNCTION("""COMPUTED_VALUE"""),"")</f>
        <v/>
      </c>
      <c r="G5490" s="18"/>
      <c r="H5490" s="16" t="s">
        <v>87</v>
      </c>
      <c r="I5490" s="16" t="s">
        <v>87</v>
      </c>
      <c r="J5490" s="19"/>
      <c r="L5490" s="16" t="str">
        <f>IFERROR(__xludf.DUMMYFUNCTION("""COMPUTED_VALUE"""),"")</f>
        <v/>
      </c>
      <c r="M5490" s="16" t="str">
        <f>IFERROR(__xludf.DUMMYFUNCTION("""COMPUTED_VALUE"""),"")</f>
        <v/>
      </c>
      <c r="U5490" s="16" t="s">
        <v>87</v>
      </c>
      <c r="V5490" s="16" t="str">
        <f>IFERROR(__xludf.DUMMYFUNCTION("""COMPUTED_VALUE"""),"")</f>
        <v/>
      </c>
      <c r="W5490" s="16" t="str">
        <f>IFERROR(__xludf.DUMMYFUNCTION("""COMPUTED_VALUE"""),"")</f>
        <v/>
      </c>
      <c r="X5490" s="16" t="str">
        <f>IFERROR(__xludf.DUMMYFUNCTION("""COMPUTED_VALUE"""),"")</f>
        <v/>
      </c>
      <c r="AC5490" s="16" t="str">
        <f>IFERROR(__xludf.DUMMYFUNCTION("""COMPUTED_VALUE"""),"")</f>
        <v/>
      </c>
    </row>
    <row r="5491">
      <c r="A5491" s="16" t="s">
        <v>87</v>
      </c>
      <c r="E5491" s="16" t="str">
        <f>IFERROR(__xludf.DUMMYFUNCTION("""COMPUTED_VALUE"""),"")</f>
        <v/>
      </c>
      <c r="G5491" s="18"/>
      <c r="H5491" s="16" t="s">
        <v>87</v>
      </c>
      <c r="I5491" s="16" t="s">
        <v>87</v>
      </c>
      <c r="J5491" s="19"/>
      <c r="L5491" s="16" t="str">
        <f>IFERROR(__xludf.DUMMYFUNCTION("""COMPUTED_VALUE"""),"")</f>
        <v/>
      </c>
      <c r="M5491" s="16" t="str">
        <f>IFERROR(__xludf.DUMMYFUNCTION("""COMPUTED_VALUE"""),"")</f>
        <v/>
      </c>
      <c r="U5491" s="16" t="s">
        <v>87</v>
      </c>
      <c r="V5491" s="16" t="str">
        <f>IFERROR(__xludf.DUMMYFUNCTION("""COMPUTED_VALUE"""),"")</f>
        <v/>
      </c>
      <c r="W5491" s="16" t="str">
        <f>IFERROR(__xludf.DUMMYFUNCTION("""COMPUTED_VALUE"""),"")</f>
        <v/>
      </c>
      <c r="X5491" s="16" t="str">
        <f>IFERROR(__xludf.DUMMYFUNCTION("""COMPUTED_VALUE"""),"")</f>
        <v/>
      </c>
      <c r="AC5491" s="16" t="str">
        <f>IFERROR(__xludf.DUMMYFUNCTION("""COMPUTED_VALUE"""),"")</f>
        <v/>
      </c>
    </row>
    <row r="5492">
      <c r="A5492" s="16" t="s">
        <v>87</v>
      </c>
      <c r="E5492" s="16" t="str">
        <f>IFERROR(__xludf.DUMMYFUNCTION("""COMPUTED_VALUE"""),"")</f>
        <v/>
      </c>
      <c r="G5492" s="18"/>
      <c r="H5492" s="16" t="s">
        <v>87</v>
      </c>
      <c r="I5492" s="16" t="s">
        <v>87</v>
      </c>
      <c r="J5492" s="19"/>
      <c r="L5492" s="16" t="str">
        <f>IFERROR(__xludf.DUMMYFUNCTION("""COMPUTED_VALUE"""),"")</f>
        <v/>
      </c>
      <c r="M5492" s="16" t="str">
        <f>IFERROR(__xludf.DUMMYFUNCTION("""COMPUTED_VALUE"""),"")</f>
        <v/>
      </c>
      <c r="U5492" s="16" t="s">
        <v>87</v>
      </c>
      <c r="V5492" s="16" t="str">
        <f>IFERROR(__xludf.DUMMYFUNCTION("""COMPUTED_VALUE"""),"")</f>
        <v/>
      </c>
      <c r="W5492" s="16" t="str">
        <f>IFERROR(__xludf.DUMMYFUNCTION("""COMPUTED_VALUE"""),"")</f>
        <v/>
      </c>
      <c r="X5492" s="16" t="str">
        <f>IFERROR(__xludf.DUMMYFUNCTION("""COMPUTED_VALUE"""),"")</f>
        <v/>
      </c>
      <c r="AC5492" s="16" t="str">
        <f>IFERROR(__xludf.DUMMYFUNCTION("""COMPUTED_VALUE"""),"")</f>
        <v/>
      </c>
    </row>
    <row r="5493">
      <c r="A5493" s="16" t="s">
        <v>87</v>
      </c>
      <c r="E5493" s="16" t="str">
        <f>IFERROR(__xludf.DUMMYFUNCTION("""COMPUTED_VALUE"""),"")</f>
        <v/>
      </c>
      <c r="G5493" s="18"/>
      <c r="H5493" s="16" t="s">
        <v>87</v>
      </c>
      <c r="I5493" s="16" t="s">
        <v>87</v>
      </c>
      <c r="J5493" s="19"/>
      <c r="L5493" s="16" t="str">
        <f>IFERROR(__xludf.DUMMYFUNCTION("""COMPUTED_VALUE"""),"")</f>
        <v/>
      </c>
      <c r="M5493" s="16" t="str">
        <f>IFERROR(__xludf.DUMMYFUNCTION("""COMPUTED_VALUE"""),"")</f>
        <v/>
      </c>
      <c r="U5493" s="16" t="s">
        <v>87</v>
      </c>
      <c r="V5493" s="16" t="str">
        <f>IFERROR(__xludf.DUMMYFUNCTION("""COMPUTED_VALUE"""),"")</f>
        <v/>
      </c>
      <c r="W5493" s="16" t="str">
        <f>IFERROR(__xludf.DUMMYFUNCTION("""COMPUTED_VALUE"""),"")</f>
        <v/>
      </c>
      <c r="X5493" s="16" t="str">
        <f>IFERROR(__xludf.DUMMYFUNCTION("""COMPUTED_VALUE"""),"")</f>
        <v/>
      </c>
      <c r="AC5493" s="16" t="str">
        <f>IFERROR(__xludf.DUMMYFUNCTION("""COMPUTED_VALUE"""),"")</f>
        <v/>
      </c>
    </row>
    <row r="5494">
      <c r="A5494" s="16" t="s">
        <v>87</v>
      </c>
      <c r="E5494" s="16" t="str">
        <f>IFERROR(__xludf.DUMMYFUNCTION("""COMPUTED_VALUE"""),"")</f>
        <v/>
      </c>
      <c r="G5494" s="18"/>
      <c r="H5494" s="16" t="s">
        <v>87</v>
      </c>
      <c r="I5494" s="16" t="s">
        <v>87</v>
      </c>
      <c r="J5494" s="19"/>
      <c r="L5494" s="16" t="str">
        <f>IFERROR(__xludf.DUMMYFUNCTION("""COMPUTED_VALUE"""),"")</f>
        <v/>
      </c>
      <c r="M5494" s="16" t="str">
        <f>IFERROR(__xludf.DUMMYFUNCTION("""COMPUTED_VALUE"""),"")</f>
        <v/>
      </c>
      <c r="U5494" s="16" t="s">
        <v>87</v>
      </c>
      <c r="V5494" s="16" t="str">
        <f>IFERROR(__xludf.DUMMYFUNCTION("""COMPUTED_VALUE"""),"")</f>
        <v/>
      </c>
      <c r="W5494" s="16" t="str">
        <f>IFERROR(__xludf.DUMMYFUNCTION("""COMPUTED_VALUE"""),"")</f>
        <v/>
      </c>
      <c r="X5494" s="16" t="str">
        <f>IFERROR(__xludf.DUMMYFUNCTION("""COMPUTED_VALUE"""),"")</f>
        <v/>
      </c>
      <c r="AC5494" s="16" t="str">
        <f>IFERROR(__xludf.DUMMYFUNCTION("""COMPUTED_VALUE"""),"")</f>
        <v/>
      </c>
    </row>
    <row r="5495">
      <c r="A5495" s="16" t="s">
        <v>87</v>
      </c>
      <c r="E5495" s="16" t="str">
        <f>IFERROR(__xludf.DUMMYFUNCTION("""COMPUTED_VALUE"""),"")</f>
        <v/>
      </c>
      <c r="G5495" s="18"/>
      <c r="H5495" s="16" t="s">
        <v>87</v>
      </c>
      <c r="I5495" s="16" t="s">
        <v>87</v>
      </c>
      <c r="J5495" s="19"/>
      <c r="L5495" s="16" t="str">
        <f>IFERROR(__xludf.DUMMYFUNCTION("""COMPUTED_VALUE"""),"")</f>
        <v/>
      </c>
      <c r="M5495" s="16" t="str">
        <f>IFERROR(__xludf.DUMMYFUNCTION("""COMPUTED_VALUE"""),"")</f>
        <v/>
      </c>
      <c r="U5495" s="16" t="s">
        <v>87</v>
      </c>
      <c r="V5495" s="16" t="str">
        <f>IFERROR(__xludf.DUMMYFUNCTION("""COMPUTED_VALUE"""),"")</f>
        <v/>
      </c>
      <c r="W5495" s="16" t="str">
        <f>IFERROR(__xludf.DUMMYFUNCTION("""COMPUTED_VALUE"""),"")</f>
        <v/>
      </c>
      <c r="X5495" s="16" t="str">
        <f>IFERROR(__xludf.DUMMYFUNCTION("""COMPUTED_VALUE"""),"")</f>
        <v/>
      </c>
      <c r="AC5495" s="16" t="str">
        <f>IFERROR(__xludf.DUMMYFUNCTION("""COMPUTED_VALUE"""),"")</f>
        <v/>
      </c>
    </row>
    <row r="5496">
      <c r="A5496" s="16" t="s">
        <v>87</v>
      </c>
      <c r="E5496" s="16" t="str">
        <f>IFERROR(__xludf.DUMMYFUNCTION("""COMPUTED_VALUE"""),"")</f>
        <v/>
      </c>
      <c r="G5496" s="18"/>
      <c r="H5496" s="16" t="s">
        <v>87</v>
      </c>
      <c r="I5496" s="16" t="s">
        <v>87</v>
      </c>
      <c r="J5496" s="19"/>
      <c r="L5496" s="16" t="str">
        <f>IFERROR(__xludf.DUMMYFUNCTION("""COMPUTED_VALUE"""),"")</f>
        <v/>
      </c>
      <c r="M5496" s="16" t="str">
        <f>IFERROR(__xludf.DUMMYFUNCTION("""COMPUTED_VALUE"""),"")</f>
        <v/>
      </c>
      <c r="U5496" s="16" t="s">
        <v>87</v>
      </c>
      <c r="V5496" s="16" t="str">
        <f>IFERROR(__xludf.DUMMYFUNCTION("""COMPUTED_VALUE"""),"")</f>
        <v/>
      </c>
      <c r="W5496" s="16" t="str">
        <f>IFERROR(__xludf.DUMMYFUNCTION("""COMPUTED_VALUE"""),"")</f>
        <v/>
      </c>
      <c r="X5496" s="16" t="str">
        <f>IFERROR(__xludf.DUMMYFUNCTION("""COMPUTED_VALUE"""),"")</f>
        <v/>
      </c>
      <c r="AC5496" s="16" t="str">
        <f>IFERROR(__xludf.DUMMYFUNCTION("""COMPUTED_VALUE"""),"")</f>
        <v/>
      </c>
    </row>
    <row r="5497">
      <c r="A5497" s="16" t="s">
        <v>87</v>
      </c>
      <c r="E5497" s="16" t="str">
        <f>IFERROR(__xludf.DUMMYFUNCTION("""COMPUTED_VALUE"""),"")</f>
        <v/>
      </c>
      <c r="G5497" s="18"/>
      <c r="H5497" s="16" t="s">
        <v>87</v>
      </c>
      <c r="I5497" s="16" t="s">
        <v>87</v>
      </c>
      <c r="J5497" s="19"/>
      <c r="L5497" s="16" t="str">
        <f>IFERROR(__xludf.DUMMYFUNCTION("""COMPUTED_VALUE"""),"")</f>
        <v/>
      </c>
      <c r="M5497" s="16" t="str">
        <f>IFERROR(__xludf.DUMMYFUNCTION("""COMPUTED_VALUE"""),"")</f>
        <v/>
      </c>
      <c r="U5497" s="16" t="s">
        <v>87</v>
      </c>
      <c r="V5497" s="16" t="str">
        <f>IFERROR(__xludf.DUMMYFUNCTION("""COMPUTED_VALUE"""),"")</f>
        <v/>
      </c>
      <c r="W5497" s="16" t="str">
        <f>IFERROR(__xludf.DUMMYFUNCTION("""COMPUTED_VALUE"""),"")</f>
        <v/>
      </c>
      <c r="X5497" s="16" t="str">
        <f>IFERROR(__xludf.DUMMYFUNCTION("""COMPUTED_VALUE"""),"")</f>
        <v/>
      </c>
      <c r="AC5497" s="16" t="str">
        <f>IFERROR(__xludf.DUMMYFUNCTION("""COMPUTED_VALUE"""),"")</f>
        <v/>
      </c>
    </row>
    <row r="5498">
      <c r="A5498" s="16" t="s">
        <v>87</v>
      </c>
      <c r="E5498" s="16" t="str">
        <f>IFERROR(__xludf.DUMMYFUNCTION("""COMPUTED_VALUE"""),"")</f>
        <v/>
      </c>
      <c r="G5498" s="18"/>
      <c r="H5498" s="16" t="s">
        <v>87</v>
      </c>
      <c r="I5498" s="16" t="s">
        <v>87</v>
      </c>
      <c r="J5498" s="19"/>
      <c r="L5498" s="16" t="str">
        <f>IFERROR(__xludf.DUMMYFUNCTION("""COMPUTED_VALUE"""),"")</f>
        <v/>
      </c>
      <c r="M5498" s="16" t="str">
        <f>IFERROR(__xludf.DUMMYFUNCTION("""COMPUTED_VALUE"""),"")</f>
        <v/>
      </c>
      <c r="U5498" s="16" t="s">
        <v>87</v>
      </c>
      <c r="V5498" s="16" t="str">
        <f>IFERROR(__xludf.DUMMYFUNCTION("""COMPUTED_VALUE"""),"")</f>
        <v/>
      </c>
      <c r="W5498" s="16" t="str">
        <f>IFERROR(__xludf.DUMMYFUNCTION("""COMPUTED_VALUE"""),"")</f>
        <v/>
      </c>
      <c r="X5498" s="16" t="str">
        <f>IFERROR(__xludf.DUMMYFUNCTION("""COMPUTED_VALUE"""),"")</f>
        <v/>
      </c>
      <c r="AC5498" s="16" t="str">
        <f>IFERROR(__xludf.DUMMYFUNCTION("""COMPUTED_VALUE"""),"")</f>
        <v/>
      </c>
    </row>
    <row r="5499">
      <c r="A5499" s="16" t="s">
        <v>87</v>
      </c>
      <c r="E5499" s="16" t="str">
        <f>IFERROR(__xludf.DUMMYFUNCTION("""COMPUTED_VALUE"""),"")</f>
        <v/>
      </c>
      <c r="G5499" s="18"/>
      <c r="H5499" s="16" t="s">
        <v>87</v>
      </c>
      <c r="I5499" s="16" t="s">
        <v>87</v>
      </c>
      <c r="J5499" s="19"/>
      <c r="L5499" s="16" t="str">
        <f>IFERROR(__xludf.DUMMYFUNCTION("""COMPUTED_VALUE"""),"")</f>
        <v/>
      </c>
      <c r="M5499" s="16" t="str">
        <f>IFERROR(__xludf.DUMMYFUNCTION("""COMPUTED_VALUE"""),"")</f>
        <v/>
      </c>
      <c r="U5499" s="16" t="s">
        <v>87</v>
      </c>
      <c r="V5499" s="16" t="str">
        <f>IFERROR(__xludf.DUMMYFUNCTION("""COMPUTED_VALUE"""),"")</f>
        <v/>
      </c>
      <c r="W5499" s="16" t="str">
        <f>IFERROR(__xludf.DUMMYFUNCTION("""COMPUTED_VALUE"""),"")</f>
        <v/>
      </c>
      <c r="X5499" s="16" t="str">
        <f>IFERROR(__xludf.DUMMYFUNCTION("""COMPUTED_VALUE"""),"")</f>
        <v/>
      </c>
      <c r="AC5499" s="16" t="str">
        <f>IFERROR(__xludf.DUMMYFUNCTION("""COMPUTED_VALUE"""),"")</f>
        <v/>
      </c>
    </row>
    <row r="5500">
      <c r="A5500" s="16" t="s">
        <v>87</v>
      </c>
      <c r="E5500" s="16" t="str">
        <f>IFERROR(__xludf.DUMMYFUNCTION("""COMPUTED_VALUE"""),"")</f>
        <v/>
      </c>
      <c r="G5500" s="18"/>
      <c r="H5500" s="16" t="s">
        <v>87</v>
      </c>
      <c r="I5500" s="16" t="s">
        <v>87</v>
      </c>
      <c r="J5500" s="19"/>
      <c r="L5500" s="16" t="str">
        <f>IFERROR(__xludf.DUMMYFUNCTION("""COMPUTED_VALUE"""),"")</f>
        <v/>
      </c>
      <c r="M5500" s="16" t="str">
        <f>IFERROR(__xludf.DUMMYFUNCTION("""COMPUTED_VALUE"""),"")</f>
        <v/>
      </c>
      <c r="U5500" s="16" t="s">
        <v>87</v>
      </c>
      <c r="V5500" s="16" t="str">
        <f>IFERROR(__xludf.DUMMYFUNCTION("""COMPUTED_VALUE"""),"")</f>
        <v/>
      </c>
      <c r="W5500" s="16" t="str">
        <f>IFERROR(__xludf.DUMMYFUNCTION("""COMPUTED_VALUE"""),"")</f>
        <v/>
      </c>
      <c r="X5500" s="16" t="str">
        <f>IFERROR(__xludf.DUMMYFUNCTION("""COMPUTED_VALUE"""),"")</f>
        <v/>
      </c>
      <c r="AC5500" s="16" t="str">
        <f>IFERROR(__xludf.DUMMYFUNCTION("""COMPUTED_VALUE"""),"")</f>
        <v/>
      </c>
    </row>
    <row r="5501">
      <c r="A5501" s="16" t="s">
        <v>87</v>
      </c>
      <c r="E5501" s="16" t="str">
        <f>IFERROR(__xludf.DUMMYFUNCTION("""COMPUTED_VALUE"""),"")</f>
        <v/>
      </c>
      <c r="G5501" s="18"/>
      <c r="H5501" s="16" t="s">
        <v>87</v>
      </c>
      <c r="I5501" s="16" t="s">
        <v>87</v>
      </c>
      <c r="J5501" s="19"/>
      <c r="L5501" s="16" t="str">
        <f>IFERROR(__xludf.DUMMYFUNCTION("""COMPUTED_VALUE"""),"")</f>
        <v/>
      </c>
      <c r="M5501" s="16" t="str">
        <f>IFERROR(__xludf.DUMMYFUNCTION("""COMPUTED_VALUE"""),"")</f>
        <v/>
      </c>
      <c r="U5501" s="16" t="s">
        <v>87</v>
      </c>
      <c r="V5501" s="16" t="str">
        <f>IFERROR(__xludf.DUMMYFUNCTION("""COMPUTED_VALUE"""),"")</f>
        <v/>
      </c>
      <c r="W5501" s="16" t="str">
        <f>IFERROR(__xludf.DUMMYFUNCTION("""COMPUTED_VALUE"""),"")</f>
        <v/>
      </c>
      <c r="X5501" s="16" t="str">
        <f>IFERROR(__xludf.DUMMYFUNCTION("""COMPUTED_VALUE"""),"")</f>
        <v/>
      </c>
      <c r="AC5501" s="16" t="str">
        <f>IFERROR(__xludf.DUMMYFUNCTION("""COMPUTED_VALUE"""),"")</f>
        <v/>
      </c>
    </row>
    <row r="5502">
      <c r="A5502" s="16" t="s">
        <v>87</v>
      </c>
      <c r="E5502" s="16" t="str">
        <f>IFERROR(__xludf.DUMMYFUNCTION("""COMPUTED_VALUE"""),"")</f>
        <v/>
      </c>
      <c r="G5502" s="18"/>
      <c r="H5502" s="16" t="s">
        <v>87</v>
      </c>
      <c r="I5502" s="16" t="s">
        <v>87</v>
      </c>
      <c r="J5502" s="19"/>
      <c r="L5502" s="16" t="str">
        <f>IFERROR(__xludf.DUMMYFUNCTION("""COMPUTED_VALUE"""),"")</f>
        <v/>
      </c>
      <c r="M5502" s="16" t="str">
        <f>IFERROR(__xludf.DUMMYFUNCTION("""COMPUTED_VALUE"""),"")</f>
        <v/>
      </c>
      <c r="U5502" s="16" t="s">
        <v>87</v>
      </c>
      <c r="V5502" s="16" t="str">
        <f>IFERROR(__xludf.DUMMYFUNCTION("""COMPUTED_VALUE"""),"")</f>
        <v/>
      </c>
      <c r="W5502" s="16" t="str">
        <f>IFERROR(__xludf.DUMMYFUNCTION("""COMPUTED_VALUE"""),"")</f>
        <v/>
      </c>
      <c r="X5502" s="16" t="str">
        <f>IFERROR(__xludf.DUMMYFUNCTION("""COMPUTED_VALUE"""),"")</f>
        <v/>
      </c>
      <c r="AC5502" s="16" t="str">
        <f>IFERROR(__xludf.DUMMYFUNCTION("""COMPUTED_VALUE"""),"")</f>
        <v/>
      </c>
    </row>
    <row r="5503">
      <c r="A5503" s="16" t="s">
        <v>87</v>
      </c>
      <c r="E5503" s="16" t="str">
        <f>IFERROR(__xludf.DUMMYFUNCTION("""COMPUTED_VALUE"""),"")</f>
        <v/>
      </c>
      <c r="G5503" s="18"/>
      <c r="H5503" s="16" t="s">
        <v>87</v>
      </c>
      <c r="I5503" s="16" t="s">
        <v>87</v>
      </c>
      <c r="J5503" s="19"/>
      <c r="L5503" s="16" t="str">
        <f>IFERROR(__xludf.DUMMYFUNCTION("""COMPUTED_VALUE"""),"")</f>
        <v/>
      </c>
      <c r="M5503" s="16" t="str">
        <f>IFERROR(__xludf.DUMMYFUNCTION("""COMPUTED_VALUE"""),"")</f>
        <v/>
      </c>
      <c r="U5503" s="16" t="s">
        <v>87</v>
      </c>
      <c r="V5503" s="16" t="str">
        <f>IFERROR(__xludf.DUMMYFUNCTION("""COMPUTED_VALUE"""),"")</f>
        <v/>
      </c>
      <c r="W5503" s="16" t="str">
        <f>IFERROR(__xludf.DUMMYFUNCTION("""COMPUTED_VALUE"""),"")</f>
        <v/>
      </c>
      <c r="X5503" s="16" t="str">
        <f>IFERROR(__xludf.DUMMYFUNCTION("""COMPUTED_VALUE"""),"")</f>
        <v/>
      </c>
      <c r="AC5503" s="16" t="str">
        <f>IFERROR(__xludf.DUMMYFUNCTION("""COMPUTED_VALUE"""),"")</f>
        <v/>
      </c>
    </row>
    <row r="5504">
      <c r="A5504" s="16" t="s">
        <v>87</v>
      </c>
      <c r="E5504" s="16" t="str">
        <f>IFERROR(__xludf.DUMMYFUNCTION("""COMPUTED_VALUE"""),"")</f>
        <v/>
      </c>
      <c r="G5504" s="18"/>
      <c r="H5504" s="16" t="s">
        <v>87</v>
      </c>
      <c r="I5504" s="16" t="s">
        <v>87</v>
      </c>
      <c r="J5504" s="19"/>
      <c r="L5504" s="16" t="str">
        <f>IFERROR(__xludf.DUMMYFUNCTION("""COMPUTED_VALUE"""),"")</f>
        <v/>
      </c>
      <c r="M5504" s="16" t="str">
        <f>IFERROR(__xludf.DUMMYFUNCTION("""COMPUTED_VALUE"""),"")</f>
        <v/>
      </c>
      <c r="U5504" s="16" t="s">
        <v>87</v>
      </c>
      <c r="V5504" s="16" t="str">
        <f>IFERROR(__xludf.DUMMYFUNCTION("""COMPUTED_VALUE"""),"")</f>
        <v/>
      </c>
      <c r="W5504" s="16" t="str">
        <f>IFERROR(__xludf.DUMMYFUNCTION("""COMPUTED_VALUE"""),"")</f>
        <v/>
      </c>
      <c r="X5504" s="16" t="str">
        <f>IFERROR(__xludf.DUMMYFUNCTION("""COMPUTED_VALUE"""),"")</f>
        <v/>
      </c>
      <c r="AC5504" s="16" t="str">
        <f>IFERROR(__xludf.DUMMYFUNCTION("""COMPUTED_VALUE"""),"")</f>
        <v/>
      </c>
    </row>
    <row r="5505">
      <c r="A5505" s="16" t="s">
        <v>87</v>
      </c>
      <c r="E5505" s="16" t="str">
        <f>IFERROR(__xludf.DUMMYFUNCTION("""COMPUTED_VALUE"""),"")</f>
        <v/>
      </c>
      <c r="G5505" s="18"/>
      <c r="H5505" s="16" t="s">
        <v>87</v>
      </c>
      <c r="I5505" s="16" t="s">
        <v>87</v>
      </c>
      <c r="J5505" s="19"/>
      <c r="L5505" s="16" t="str">
        <f>IFERROR(__xludf.DUMMYFUNCTION("""COMPUTED_VALUE"""),"")</f>
        <v/>
      </c>
      <c r="M5505" s="16" t="str">
        <f>IFERROR(__xludf.DUMMYFUNCTION("""COMPUTED_VALUE"""),"")</f>
        <v/>
      </c>
      <c r="U5505" s="16" t="s">
        <v>87</v>
      </c>
      <c r="V5505" s="16" t="str">
        <f>IFERROR(__xludf.DUMMYFUNCTION("""COMPUTED_VALUE"""),"")</f>
        <v/>
      </c>
      <c r="W5505" s="16" t="str">
        <f>IFERROR(__xludf.DUMMYFUNCTION("""COMPUTED_VALUE"""),"")</f>
        <v/>
      </c>
      <c r="X5505" s="16" t="str">
        <f>IFERROR(__xludf.DUMMYFUNCTION("""COMPUTED_VALUE"""),"")</f>
        <v/>
      </c>
      <c r="AC5505" s="16" t="str">
        <f>IFERROR(__xludf.DUMMYFUNCTION("""COMPUTED_VALUE"""),"")</f>
        <v/>
      </c>
    </row>
    <row r="5506">
      <c r="A5506" s="16" t="s">
        <v>87</v>
      </c>
      <c r="E5506" s="16" t="str">
        <f>IFERROR(__xludf.DUMMYFUNCTION("""COMPUTED_VALUE"""),"")</f>
        <v/>
      </c>
      <c r="G5506" s="18"/>
      <c r="H5506" s="16" t="s">
        <v>87</v>
      </c>
      <c r="I5506" s="16" t="s">
        <v>87</v>
      </c>
      <c r="J5506" s="19"/>
      <c r="L5506" s="16" t="str">
        <f>IFERROR(__xludf.DUMMYFUNCTION("""COMPUTED_VALUE"""),"")</f>
        <v/>
      </c>
      <c r="M5506" s="16" t="str">
        <f>IFERROR(__xludf.DUMMYFUNCTION("""COMPUTED_VALUE"""),"")</f>
        <v/>
      </c>
      <c r="U5506" s="16" t="s">
        <v>87</v>
      </c>
      <c r="V5506" s="16" t="str">
        <f>IFERROR(__xludf.DUMMYFUNCTION("""COMPUTED_VALUE"""),"")</f>
        <v/>
      </c>
      <c r="W5506" s="16" t="str">
        <f>IFERROR(__xludf.DUMMYFUNCTION("""COMPUTED_VALUE"""),"")</f>
        <v/>
      </c>
      <c r="X5506" s="16" t="str">
        <f>IFERROR(__xludf.DUMMYFUNCTION("""COMPUTED_VALUE"""),"")</f>
        <v/>
      </c>
      <c r="AC5506" s="16" t="str">
        <f>IFERROR(__xludf.DUMMYFUNCTION("""COMPUTED_VALUE"""),"")</f>
        <v/>
      </c>
    </row>
    <row r="5507">
      <c r="A5507" s="16" t="s">
        <v>87</v>
      </c>
      <c r="E5507" s="16" t="str">
        <f>IFERROR(__xludf.DUMMYFUNCTION("""COMPUTED_VALUE"""),"")</f>
        <v/>
      </c>
      <c r="G5507" s="18"/>
      <c r="H5507" s="16" t="s">
        <v>87</v>
      </c>
      <c r="I5507" s="16" t="s">
        <v>87</v>
      </c>
      <c r="J5507" s="19"/>
      <c r="L5507" s="16" t="str">
        <f>IFERROR(__xludf.DUMMYFUNCTION("""COMPUTED_VALUE"""),"")</f>
        <v/>
      </c>
      <c r="M5507" s="16" t="str">
        <f>IFERROR(__xludf.DUMMYFUNCTION("""COMPUTED_VALUE"""),"")</f>
        <v/>
      </c>
      <c r="U5507" s="16" t="s">
        <v>87</v>
      </c>
      <c r="V5507" s="16" t="str">
        <f>IFERROR(__xludf.DUMMYFUNCTION("""COMPUTED_VALUE"""),"")</f>
        <v/>
      </c>
      <c r="W5507" s="16" t="str">
        <f>IFERROR(__xludf.DUMMYFUNCTION("""COMPUTED_VALUE"""),"")</f>
        <v/>
      </c>
      <c r="X5507" s="16" t="str">
        <f>IFERROR(__xludf.DUMMYFUNCTION("""COMPUTED_VALUE"""),"")</f>
        <v/>
      </c>
      <c r="AC5507" s="16" t="str">
        <f>IFERROR(__xludf.DUMMYFUNCTION("""COMPUTED_VALUE"""),"")</f>
        <v/>
      </c>
    </row>
    <row r="5508">
      <c r="A5508" s="16" t="s">
        <v>87</v>
      </c>
      <c r="E5508" s="16" t="str">
        <f>IFERROR(__xludf.DUMMYFUNCTION("""COMPUTED_VALUE"""),"")</f>
        <v/>
      </c>
      <c r="G5508" s="18"/>
      <c r="H5508" s="16" t="s">
        <v>87</v>
      </c>
      <c r="I5508" s="16" t="s">
        <v>87</v>
      </c>
      <c r="J5508" s="19"/>
      <c r="L5508" s="16" t="str">
        <f>IFERROR(__xludf.DUMMYFUNCTION("""COMPUTED_VALUE"""),"")</f>
        <v/>
      </c>
      <c r="M5508" s="16" t="str">
        <f>IFERROR(__xludf.DUMMYFUNCTION("""COMPUTED_VALUE"""),"")</f>
        <v/>
      </c>
      <c r="U5508" s="16" t="s">
        <v>87</v>
      </c>
      <c r="V5508" s="16" t="str">
        <f>IFERROR(__xludf.DUMMYFUNCTION("""COMPUTED_VALUE"""),"")</f>
        <v/>
      </c>
      <c r="W5508" s="16" t="str">
        <f>IFERROR(__xludf.DUMMYFUNCTION("""COMPUTED_VALUE"""),"")</f>
        <v/>
      </c>
      <c r="X5508" s="16" t="str">
        <f>IFERROR(__xludf.DUMMYFUNCTION("""COMPUTED_VALUE"""),"")</f>
        <v/>
      </c>
      <c r="AC5508" s="16" t="str">
        <f>IFERROR(__xludf.DUMMYFUNCTION("""COMPUTED_VALUE"""),"")</f>
        <v/>
      </c>
    </row>
    <row r="5509">
      <c r="A5509" s="16" t="s">
        <v>87</v>
      </c>
      <c r="E5509" s="16" t="str">
        <f>IFERROR(__xludf.DUMMYFUNCTION("""COMPUTED_VALUE"""),"")</f>
        <v/>
      </c>
      <c r="G5509" s="18"/>
      <c r="H5509" s="16" t="s">
        <v>87</v>
      </c>
      <c r="I5509" s="16" t="s">
        <v>87</v>
      </c>
      <c r="J5509" s="19"/>
      <c r="L5509" s="16" t="str">
        <f>IFERROR(__xludf.DUMMYFUNCTION("""COMPUTED_VALUE"""),"")</f>
        <v/>
      </c>
      <c r="M5509" s="16" t="str">
        <f>IFERROR(__xludf.DUMMYFUNCTION("""COMPUTED_VALUE"""),"")</f>
        <v/>
      </c>
      <c r="U5509" s="16" t="s">
        <v>87</v>
      </c>
      <c r="V5509" s="16" t="str">
        <f>IFERROR(__xludf.DUMMYFUNCTION("""COMPUTED_VALUE"""),"")</f>
        <v/>
      </c>
      <c r="W5509" s="16" t="str">
        <f>IFERROR(__xludf.DUMMYFUNCTION("""COMPUTED_VALUE"""),"")</f>
        <v/>
      </c>
      <c r="X5509" s="16" t="str">
        <f>IFERROR(__xludf.DUMMYFUNCTION("""COMPUTED_VALUE"""),"")</f>
        <v/>
      </c>
      <c r="AC5509" s="16" t="str">
        <f>IFERROR(__xludf.DUMMYFUNCTION("""COMPUTED_VALUE"""),"")</f>
        <v/>
      </c>
    </row>
    <row r="5510">
      <c r="A5510" s="16" t="s">
        <v>87</v>
      </c>
      <c r="E5510" s="16" t="str">
        <f>IFERROR(__xludf.DUMMYFUNCTION("""COMPUTED_VALUE"""),"")</f>
        <v/>
      </c>
      <c r="G5510" s="18"/>
      <c r="H5510" s="16" t="s">
        <v>87</v>
      </c>
      <c r="I5510" s="16" t="s">
        <v>87</v>
      </c>
      <c r="J5510" s="19"/>
      <c r="L5510" s="16" t="str">
        <f>IFERROR(__xludf.DUMMYFUNCTION("""COMPUTED_VALUE"""),"")</f>
        <v/>
      </c>
      <c r="M5510" s="16" t="str">
        <f>IFERROR(__xludf.DUMMYFUNCTION("""COMPUTED_VALUE"""),"")</f>
        <v/>
      </c>
      <c r="U5510" s="16" t="s">
        <v>87</v>
      </c>
      <c r="V5510" s="16" t="str">
        <f>IFERROR(__xludf.DUMMYFUNCTION("""COMPUTED_VALUE"""),"")</f>
        <v/>
      </c>
      <c r="W5510" s="16" t="str">
        <f>IFERROR(__xludf.DUMMYFUNCTION("""COMPUTED_VALUE"""),"")</f>
        <v/>
      </c>
      <c r="X5510" s="16" t="str">
        <f>IFERROR(__xludf.DUMMYFUNCTION("""COMPUTED_VALUE"""),"")</f>
        <v/>
      </c>
      <c r="AC5510" s="16" t="str">
        <f>IFERROR(__xludf.DUMMYFUNCTION("""COMPUTED_VALUE"""),"")</f>
        <v/>
      </c>
    </row>
    <row r="5511">
      <c r="A5511" s="16" t="s">
        <v>87</v>
      </c>
      <c r="E5511" s="16" t="str">
        <f>IFERROR(__xludf.DUMMYFUNCTION("""COMPUTED_VALUE"""),"")</f>
        <v/>
      </c>
      <c r="G5511" s="18"/>
      <c r="H5511" s="16" t="s">
        <v>87</v>
      </c>
      <c r="I5511" s="16" t="s">
        <v>87</v>
      </c>
      <c r="J5511" s="19"/>
      <c r="L5511" s="16" t="str">
        <f>IFERROR(__xludf.DUMMYFUNCTION("""COMPUTED_VALUE"""),"")</f>
        <v/>
      </c>
      <c r="M5511" s="16" t="str">
        <f>IFERROR(__xludf.DUMMYFUNCTION("""COMPUTED_VALUE"""),"")</f>
        <v/>
      </c>
      <c r="U5511" s="16" t="s">
        <v>87</v>
      </c>
      <c r="V5511" s="16" t="str">
        <f>IFERROR(__xludf.DUMMYFUNCTION("""COMPUTED_VALUE"""),"")</f>
        <v/>
      </c>
      <c r="W5511" s="16" t="str">
        <f>IFERROR(__xludf.DUMMYFUNCTION("""COMPUTED_VALUE"""),"")</f>
        <v/>
      </c>
      <c r="X5511" s="16" t="str">
        <f>IFERROR(__xludf.DUMMYFUNCTION("""COMPUTED_VALUE"""),"")</f>
        <v/>
      </c>
      <c r="AC5511" s="16" t="str">
        <f>IFERROR(__xludf.DUMMYFUNCTION("""COMPUTED_VALUE"""),"")</f>
        <v/>
      </c>
    </row>
    <row r="5512">
      <c r="A5512" s="16" t="s">
        <v>87</v>
      </c>
      <c r="E5512" s="16" t="str">
        <f>IFERROR(__xludf.DUMMYFUNCTION("""COMPUTED_VALUE"""),"")</f>
        <v/>
      </c>
      <c r="G5512" s="18"/>
      <c r="H5512" s="16" t="s">
        <v>87</v>
      </c>
      <c r="I5512" s="16" t="s">
        <v>87</v>
      </c>
      <c r="J5512" s="19"/>
      <c r="L5512" s="16" t="str">
        <f>IFERROR(__xludf.DUMMYFUNCTION("""COMPUTED_VALUE"""),"")</f>
        <v/>
      </c>
      <c r="M5512" s="16" t="str">
        <f>IFERROR(__xludf.DUMMYFUNCTION("""COMPUTED_VALUE"""),"")</f>
        <v/>
      </c>
      <c r="U5512" s="16" t="s">
        <v>87</v>
      </c>
      <c r="V5512" s="16" t="str">
        <f>IFERROR(__xludf.DUMMYFUNCTION("""COMPUTED_VALUE"""),"")</f>
        <v/>
      </c>
      <c r="W5512" s="16" t="str">
        <f>IFERROR(__xludf.DUMMYFUNCTION("""COMPUTED_VALUE"""),"")</f>
        <v/>
      </c>
      <c r="X5512" s="16" t="str">
        <f>IFERROR(__xludf.DUMMYFUNCTION("""COMPUTED_VALUE"""),"")</f>
        <v/>
      </c>
      <c r="AC5512" s="16" t="str">
        <f>IFERROR(__xludf.DUMMYFUNCTION("""COMPUTED_VALUE"""),"")</f>
        <v/>
      </c>
    </row>
    <row r="5513">
      <c r="A5513" s="16" t="s">
        <v>87</v>
      </c>
      <c r="E5513" s="16" t="str">
        <f>IFERROR(__xludf.DUMMYFUNCTION("""COMPUTED_VALUE"""),"")</f>
        <v/>
      </c>
      <c r="G5513" s="18"/>
      <c r="H5513" s="16" t="s">
        <v>87</v>
      </c>
      <c r="I5513" s="16" t="s">
        <v>87</v>
      </c>
      <c r="J5513" s="19"/>
      <c r="L5513" s="16" t="str">
        <f>IFERROR(__xludf.DUMMYFUNCTION("""COMPUTED_VALUE"""),"")</f>
        <v/>
      </c>
      <c r="M5513" s="16" t="str">
        <f>IFERROR(__xludf.DUMMYFUNCTION("""COMPUTED_VALUE"""),"")</f>
        <v/>
      </c>
      <c r="U5513" s="16" t="s">
        <v>87</v>
      </c>
      <c r="V5513" s="16" t="str">
        <f>IFERROR(__xludf.DUMMYFUNCTION("""COMPUTED_VALUE"""),"")</f>
        <v/>
      </c>
      <c r="W5513" s="16" t="str">
        <f>IFERROR(__xludf.DUMMYFUNCTION("""COMPUTED_VALUE"""),"")</f>
        <v/>
      </c>
      <c r="X5513" s="16" t="str">
        <f>IFERROR(__xludf.DUMMYFUNCTION("""COMPUTED_VALUE"""),"")</f>
        <v/>
      </c>
      <c r="AC5513" s="16" t="str">
        <f>IFERROR(__xludf.DUMMYFUNCTION("""COMPUTED_VALUE"""),"")</f>
        <v/>
      </c>
    </row>
    <row r="5514">
      <c r="A5514" s="16" t="s">
        <v>87</v>
      </c>
      <c r="E5514" s="16" t="str">
        <f>IFERROR(__xludf.DUMMYFUNCTION("""COMPUTED_VALUE"""),"")</f>
        <v/>
      </c>
      <c r="G5514" s="18"/>
      <c r="H5514" s="16" t="s">
        <v>87</v>
      </c>
      <c r="I5514" s="16" t="s">
        <v>87</v>
      </c>
      <c r="J5514" s="19"/>
      <c r="L5514" s="16" t="str">
        <f>IFERROR(__xludf.DUMMYFUNCTION("""COMPUTED_VALUE"""),"")</f>
        <v/>
      </c>
      <c r="M5514" s="16" t="str">
        <f>IFERROR(__xludf.DUMMYFUNCTION("""COMPUTED_VALUE"""),"")</f>
        <v/>
      </c>
      <c r="U5514" s="16" t="s">
        <v>87</v>
      </c>
      <c r="V5514" s="16" t="str">
        <f>IFERROR(__xludf.DUMMYFUNCTION("""COMPUTED_VALUE"""),"")</f>
        <v/>
      </c>
      <c r="W5514" s="16" t="str">
        <f>IFERROR(__xludf.DUMMYFUNCTION("""COMPUTED_VALUE"""),"")</f>
        <v/>
      </c>
      <c r="X5514" s="16" t="str">
        <f>IFERROR(__xludf.DUMMYFUNCTION("""COMPUTED_VALUE"""),"")</f>
        <v/>
      </c>
      <c r="AC5514" s="16" t="str">
        <f>IFERROR(__xludf.DUMMYFUNCTION("""COMPUTED_VALUE"""),"")</f>
        <v/>
      </c>
    </row>
    <row r="5515">
      <c r="A5515" s="16" t="s">
        <v>87</v>
      </c>
      <c r="E5515" s="16" t="str">
        <f>IFERROR(__xludf.DUMMYFUNCTION("""COMPUTED_VALUE"""),"")</f>
        <v/>
      </c>
      <c r="G5515" s="18"/>
      <c r="H5515" s="16" t="s">
        <v>87</v>
      </c>
      <c r="I5515" s="16" t="s">
        <v>87</v>
      </c>
      <c r="J5515" s="19"/>
      <c r="L5515" s="16" t="str">
        <f>IFERROR(__xludf.DUMMYFUNCTION("""COMPUTED_VALUE"""),"")</f>
        <v/>
      </c>
      <c r="M5515" s="16" t="str">
        <f>IFERROR(__xludf.DUMMYFUNCTION("""COMPUTED_VALUE"""),"")</f>
        <v/>
      </c>
      <c r="U5515" s="16" t="s">
        <v>87</v>
      </c>
      <c r="V5515" s="16" t="str">
        <f>IFERROR(__xludf.DUMMYFUNCTION("""COMPUTED_VALUE"""),"")</f>
        <v/>
      </c>
      <c r="W5515" s="16" t="str">
        <f>IFERROR(__xludf.DUMMYFUNCTION("""COMPUTED_VALUE"""),"")</f>
        <v/>
      </c>
      <c r="X5515" s="16" t="str">
        <f>IFERROR(__xludf.DUMMYFUNCTION("""COMPUTED_VALUE"""),"")</f>
        <v/>
      </c>
      <c r="AC5515" s="16" t="str">
        <f>IFERROR(__xludf.DUMMYFUNCTION("""COMPUTED_VALUE"""),"")</f>
        <v/>
      </c>
    </row>
    <row r="5516">
      <c r="A5516" s="16" t="s">
        <v>87</v>
      </c>
      <c r="E5516" s="16" t="str">
        <f>IFERROR(__xludf.DUMMYFUNCTION("""COMPUTED_VALUE"""),"")</f>
        <v/>
      </c>
      <c r="G5516" s="18"/>
      <c r="H5516" s="16" t="s">
        <v>87</v>
      </c>
      <c r="I5516" s="16" t="s">
        <v>87</v>
      </c>
      <c r="J5516" s="19"/>
      <c r="L5516" s="16" t="str">
        <f>IFERROR(__xludf.DUMMYFUNCTION("""COMPUTED_VALUE"""),"")</f>
        <v/>
      </c>
      <c r="M5516" s="16" t="str">
        <f>IFERROR(__xludf.DUMMYFUNCTION("""COMPUTED_VALUE"""),"")</f>
        <v/>
      </c>
      <c r="U5516" s="16" t="s">
        <v>87</v>
      </c>
      <c r="V5516" s="16" t="str">
        <f>IFERROR(__xludf.DUMMYFUNCTION("""COMPUTED_VALUE"""),"")</f>
        <v/>
      </c>
      <c r="W5516" s="16" t="str">
        <f>IFERROR(__xludf.DUMMYFUNCTION("""COMPUTED_VALUE"""),"")</f>
        <v/>
      </c>
      <c r="X5516" s="16" t="str">
        <f>IFERROR(__xludf.DUMMYFUNCTION("""COMPUTED_VALUE"""),"")</f>
        <v/>
      </c>
      <c r="AC5516" s="16" t="str">
        <f>IFERROR(__xludf.DUMMYFUNCTION("""COMPUTED_VALUE"""),"")</f>
        <v/>
      </c>
    </row>
    <row r="5517">
      <c r="A5517" s="16" t="s">
        <v>87</v>
      </c>
      <c r="E5517" s="16" t="str">
        <f>IFERROR(__xludf.DUMMYFUNCTION("""COMPUTED_VALUE"""),"")</f>
        <v/>
      </c>
      <c r="G5517" s="18"/>
      <c r="H5517" s="16" t="s">
        <v>87</v>
      </c>
      <c r="I5517" s="16" t="s">
        <v>87</v>
      </c>
      <c r="J5517" s="19"/>
      <c r="L5517" s="16" t="str">
        <f>IFERROR(__xludf.DUMMYFUNCTION("""COMPUTED_VALUE"""),"")</f>
        <v/>
      </c>
      <c r="M5517" s="16" t="str">
        <f>IFERROR(__xludf.DUMMYFUNCTION("""COMPUTED_VALUE"""),"")</f>
        <v/>
      </c>
      <c r="U5517" s="16" t="s">
        <v>87</v>
      </c>
      <c r="V5517" s="16" t="str">
        <f>IFERROR(__xludf.DUMMYFUNCTION("""COMPUTED_VALUE"""),"")</f>
        <v/>
      </c>
      <c r="W5517" s="16" t="str">
        <f>IFERROR(__xludf.DUMMYFUNCTION("""COMPUTED_VALUE"""),"")</f>
        <v/>
      </c>
      <c r="X5517" s="16" t="str">
        <f>IFERROR(__xludf.DUMMYFUNCTION("""COMPUTED_VALUE"""),"")</f>
        <v/>
      </c>
      <c r="AC5517" s="16" t="str">
        <f>IFERROR(__xludf.DUMMYFUNCTION("""COMPUTED_VALUE"""),"")</f>
        <v/>
      </c>
    </row>
    <row r="5518">
      <c r="A5518" s="16" t="s">
        <v>87</v>
      </c>
      <c r="E5518" s="16" t="str">
        <f>IFERROR(__xludf.DUMMYFUNCTION("""COMPUTED_VALUE"""),"")</f>
        <v/>
      </c>
      <c r="G5518" s="18"/>
      <c r="H5518" s="16" t="s">
        <v>87</v>
      </c>
      <c r="I5518" s="16" t="s">
        <v>87</v>
      </c>
      <c r="J5518" s="19"/>
      <c r="L5518" s="16" t="str">
        <f>IFERROR(__xludf.DUMMYFUNCTION("""COMPUTED_VALUE"""),"")</f>
        <v/>
      </c>
      <c r="M5518" s="16" t="str">
        <f>IFERROR(__xludf.DUMMYFUNCTION("""COMPUTED_VALUE"""),"")</f>
        <v/>
      </c>
      <c r="U5518" s="16" t="s">
        <v>87</v>
      </c>
      <c r="V5518" s="16" t="str">
        <f>IFERROR(__xludf.DUMMYFUNCTION("""COMPUTED_VALUE"""),"")</f>
        <v/>
      </c>
      <c r="W5518" s="16" t="str">
        <f>IFERROR(__xludf.DUMMYFUNCTION("""COMPUTED_VALUE"""),"")</f>
        <v/>
      </c>
      <c r="X5518" s="16" t="str">
        <f>IFERROR(__xludf.DUMMYFUNCTION("""COMPUTED_VALUE"""),"")</f>
        <v/>
      </c>
      <c r="AC5518" s="16" t="str">
        <f>IFERROR(__xludf.DUMMYFUNCTION("""COMPUTED_VALUE"""),"")</f>
        <v/>
      </c>
    </row>
    <row r="5519">
      <c r="A5519" s="16" t="s">
        <v>87</v>
      </c>
      <c r="E5519" s="16" t="str">
        <f>IFERROR(__xludf.DUMMYFUNCTION("""COMPUTED_VALUE"""),"")</f>
        <v/>
      </c>
      <c r="G5519" s="18"/>
      <c r="H5519" s="16" t="s">
        <v>87</v>
      </c>
      <c r="I5519" s="16" t="s">
        <v>87</v>
      </c>
      <c r="J5519" s="19"/>
      <c r="L5519" s="16" t="str">
        <f>IFERROR(__xludf.DUMMYFUNCTION("""COMPUTED_VALUE"""),"")</f>
        <v/>
      </c>
      <c r="M5519" s="16" t="str">
        <f>IFERROR(__xludf.DUMMYFUNCTION("""COMPUTED_VALUE"""),"")</f>
        <v/>
      </c>
      <c r="U5519" s="16" t="s">
        <v>87</v>
      </c>
      <c r="V5519" s="16" t="str">
        <f>IFERROR(__xludf.DUMMYFUNCTION("""COMPUTED_VALUE"""),"")</f>
        <v/>
      </c>
      <c r="W5519" s="16" t="str">
        <f>IFERROR(__xludf.DUMMYFUNCTION("""COMPUTED_VALUE"""),"")</f>
        <v/>
      </c>
      <c r="X5519" s="16" t="str">
        <f>IFERROR(__xludf.DUMMYFUNCTION("""COMPUTED_VALUE"""),"")</f>
        <v/>
      </c>
      <c r="AC5519" s="16" t="str">
        <f>IFERROR(__xludf.DUMMYFUNCTION("""COMPUTED_VALUE"""),"")</f>
        <v/>
      </c>
    </row>
    <row r="5520">
      <c r="A5520" s="16" t="s">
        <v>87</v>
      </c>
      <c r="E5520" s="16" t="str">
        <f>IFERROR(__xludf.DUMMYFUNCTION("""COMPUTED_VALUE"""),"")</f>
        <v/>
      </c>
      <c r="G5520" s="18"/>
      <c r="H5520" s="16" t="s">
        <v>87</v>
      </c>
      <c r="I5520" s="16" t="s">
        <v>87</v>
      </c>
      <c r="J5520" s="19"/>
      <c r="L5520" s="16" t="str">
        <f>IFERROR(__xludf.DUMMYFUNCTION("""COMPUTED_VALUE"""),"")</f>
        <v/>
      </c>
      <c r="M5520" s="16" t="str">
        <f>IFERROR(__xludf.DUMMYFUNCTION("""COMPUTED_VALUE"""),"")</f>
        <v/>
      </c>
      <c r="U5520" s="16" t="s">
        <v>87</v>
      </c>
      <c r="V5520" s="16" t="str">
        <f>IFERROR(__xludf.DUMMYFUNCTION("""COMPUTED_VALUE"""),"")</f>
        <v/>
      </c>
      <c r="W5520" s="16" t="str">
        <f>IFERROR(__xludf.DUMMYFUNCTION("""COMPUTED_VALUE"""),"")</f>
        <v/>
      </c>
      <c r="X5520" s="16" t="str">
        <f>IFERROR(__xludf.DUMMYFUNCTION("""COMPUTED_VALUE"""),"")</f>
        <v/>
      </c>
      <c r="AC5520" s="16" t="str">
        <f>IFERROR(__xludf.DUMMYFUNCTION("""COMPUTED_VALUE"""),"")</f>
        <v/>
      </c>
    </row>
    <row r="5521">
      <c r="A5521" s="16" t="s">
        <v>87</v>
      </c>
      <c r="E5521" s="16" t="str">
        <f>IFERROR(__xludf.DUMMYFUNCTION("""COMPUTED_VALUE"""),"")</f>
        <v/>
      </c>
      <c r="G5521" s="18"/>
      <c r="H5521" s="16" t="s">
        <v>87</v>
      </c>
      <c r="I5521" s="16" t="s">
        <v>87</v>
      </c>
      <c r="J5521" s="19"/>
      <c r="L5521" s="16" t="str">
        <f>IFERROR(__xludf.DUMMYFUNCTION("""COMPUTED_VALUE"""),"")</f>
        <v/>
      </c>
      <c r="M5521" s="16" t="str">
        <f>IFERROR(__xludf.DUMMYFUNCTION("""COMPUTED_VALUE"""),"")</f>
        <v/>
      </c>
      <c r="U5521" s="16" t="s">
        <v>87</v>
      </c>
      <c r="V5521" s="16" t="str">
        <f>IFERROR(__xludf.DUMMYFUNCTION("""COMPUTED_VALUE"""),"")</f>
        <v/>
      </c>
      <c r="W5521" s="16" t="str">
        <f>IFERROR(__xludf.DUMMYFUNCTION("""COMPUTED_VALUE"""),"")</f>
        <v/>
      </c>
      <c r="X5521" s="16" t="str">
        <f>IFERROR(__xludf.DUMMYFUNCTION("""COMPUTED_VALUE"""),"")</f>
        <v/>
      </c>
      <c r="AC5521" s="16" t="str">
        <f>IFERROR(__xludf.DUMMYFUNCTION("""COMPUTED_VALUE"""),"")</f>
        <v/>
      </c>
    </row>
    <row r="5522">
      <c r="A5522" s="16" t="s">
        <v>87</v>
      </c>
      <c r="E5522" s="16" t="str">
        <f>IFERROR(__xludf.DUMMYFUNCTION("""COMPUTED_VALUE"""),"")</f>
        <v/>
      </c>
      <c r="G5522" s="18"/>
      <c r="H5522" s="16" t="s">
        <v>87</v>
      </c>
      <c r="I5522" s="16" t="s">
        <v>87</v>
      </c>
      <c r="J5522" s="19"/>
      <c r="L5522" s="16" t="str">
        <f>IFERROR(__xludf.DUMMYFUNCTION("""COMPUTED_VALUE"""),"")</f>
        <v/>
      </c>
      <c r="M5522" s="16" t="str">
        <f>IFERROR(__xludf.DUMMYFUNCTION("""COMPUTED_VALUE"""),"")</f>
        <v/>
      </c>
      <c r="U5522" s="16" t="s">
        <v>87</v>
      </c>
      <c r="V5522" s="16" t="str">
        <f>IFERROR(__xludf.DUMMYFUNCTION("""COMPUTED_VALUE"""),"")</f>
        <v/>
      </c>
      <c r="W5522" s="16" t="str">
        <f>IFERROR(__xludf.DUMMYFUNCTION("""COMPUTED_VALUE"""),"")</f>
        <v/>
      </c>
      <c r="X5522" s="16" t="str">
        <f>IFERROR(__xludf.DUMMYFUNCTION("""COMPUTED_VALUE"""),"")</f>
        <v/>
      </c>
      <c r="AC5522" s="16" t="str">
        <f>IFERROR(__xludf.DUMMYFUNCTION("""COMPUTED_VALUE"""),"")</f>
        <v/>
      </c>
    </row>
    <row r="5523">
      <c r="A5523" s="16" t="s">
        <v>87</v>
      </c>
      <c r="E5523" s="16" t="str">
        <f>IFERROR(__xludf.DUMMYFUNCTION("""COMPUTED_VALUE"""),"")</f>
        <v/>
      </c>
      <c r="G5523" s="18"/>
      <c r="H5523" s="16" t="s">
        <v>87</v>
      </c>
      <c r="I5523" s="16" t="s">
        <v>87</v>
      </c>
      <c r="J5523" s="19"/>
      <c r="L5523" s="16" t="str">
        <f>IFERROR(__xludf.DUMMYFUNCTION("""COMPUTED_VALUE"""),"")</f>
        <v/>
      </c>
      <c r="M5523" s="16" t="str">
        <f>IFERROR(__xludf.DUMMYFUNCTION("""COMPUTED_VALUE"""),"")</f>
        <v/>
      </c>
      <c r="U5523" s="16" t="s">
        <v>87</v>
      </c>
      <c r="V5523" s="16" t="str">
        <f>IFERROR(__xludf.DUMMYFUNCTION("""COMPUTED_VALUE"""),"")</f>
        <v/>
      </c>
      <c r="W5523" s="16" t="str">
        <f>IFERROR(__xludf.DUMMYFUNCTION("""COMPUTED_VALUE"""),"")</f>
        <v/>
      </c>
      <c r="X5523" s="16" t="str">
        <f>IFERROR(__xludf.DUMMYFUNCTION("""COMPUTED_VALUE"""),"")</f>
        <v/>
      </c>
      <c r="AC5523" s="16" t="str">
        <f>IFERROR(__xludf.DUMMYFUNCTION("""COMPUTED_VALUE"""),"")</f>
        <v/>
      </c>
    </row>
    <row r="5524">
      <c r="A5524" s="16" t="s">
        <v>87</v>
      </c>
      <c r="E5524" s="16" t="str">
        <f>IFERROR(__xludf.DUMMYFUNCTION("""COMPUTED_VALUE"""),"")</f>
        <v/>
      </c>
      <c r="G5524" s="18"/>
      <c r="H5524" s="16" t="s">
        <v>87</v>
      </c>
      <c r="I5524" s="16" t="s">
        <v>87</v>
      </c>
      <c r="J5524" s="19"/>
      <c r="L5524" s="16" t="str">
        <f>IFERROR(__xludf.DUMMYFUNCTION("""COMPUTED_VALUE"""),"")</f>
        <v/>
      </c>
      <c r="M5524" s="16" t="str">
        <f>IFERROR(__xludf.DUMMYFUNCTION("""COMPUTED_VALUE"""),"")</f>
        <v/>
      </c>
      <c r="U5524" s="16" t="s">
        <v>87</v>
      </c>
      <c r="V5524" s="16" t="str">
        <f>IFERROR(__xludf.DUMMYFUNCTION("""COMPUTED_VALUE"""),"")</f>
        <v/>
      </c>
      <c r="W5524" s="16" t="str">
        <f>IFERROR(__xludf.DUMMYFUNCTION("""COMPUTED_VALUE"""),"")</f>
        <v/>
      </c>
      <c r="X5524" s="16" t="str">
        <f>IFERROR(__xludf.DUMMYFUNCTION("""COMPUTED_VALUE"""),"")</f>
        <v/>
      </c>
      <c r="AC5524" s="16" t="str">
        <f>IFERROR(__xludf.DUMMYFUNCTION("""COMPUTED_VALUE"""),"")</f>
        <v/>
      </c>
    </row>
    <row r="5525">
      <c r="A5525" s="16" t="s">
        <v>87</v>
      </c>
      <c r="E5525" s="16" t="str">
        <f>IFERROR(__xludf.DUMMYFUNCTION("""COMPUTED_VALUE"""),"")</f>
        <v/>
      </c>
      <c r="G5525" s="18"/>
      <c r="H5525" s="16" t="s">
        <v>87</v>
      </c>
      <c r="I5525" s="16" t="s">
        <v>87</v>
      </c>
      <c r="J5525" s="19"/>
      <c r="L5525" s="16" t="str">
        <f>IFERROR(__xludf.DUMMYFUNCTION("""COMPUTED_VALUE"""),"")</f>
        <v/>
      </c>
      <c r="M5525" s="16" t="str">
        <f>IFERROR(__xludf.DUMMYFUNCTION("""COMPUTED_VALUE"""),"")</f>
        <v/>
      </c>
      <c r="U5525" s="16" t="s">
        <v>87</v>
      </c>
      <c r="V5525" s="16" t="str">
        <f>IFERROR(__xludf.DUMMYFUNCTION("""COMPUTED_VALUE"""),"")</f>
        <v/>
      </c>
      <c r="W5525" s="16" t="str">
        <f>IFERROR(__xludf.DUMMYFUNCTION("""COMPUTED_VALUE"""),"")</f>
        <v/>
      </c>
      <c r="X5525" s="16" t="str">
        <f>IFERROR(__xludf.DUMMYFUNCTION("""COMPUTED_VALUE"""),"")</f>
        <v/>
      </c>
      <c r="AC5525" s="16" t="str">
        <f>IFERROR(__xludf.DUMMYFUNCTION("""COMPUTED_VALUE"""),"")</f>
        <v/>
      </c>
    </row>
    <row r="5526">
      <c r="A5526" s="16" t="s">
        <v>87</v>
      </c>
      <c r="E5526" s="16" t="str">
        <f>IFERROR(__xludf.DUMMYFUNCTION("""COMPUTED_VALUE"""),"")</f>
        <v/>
      </c>
      <c r="G5526" s="18"/>
      <c r="H5526" s="16" t="s">
        <v>87</v>
      </c>
      <c r="I5526" s="16" t="s">
        <v>87</v>
      </c>
      <c r="J5526" s="19"/>
      <c r="L5526" s="16" t="str">
        <f>IFERROR(__xludf.DUMMYFUNCTION("""COMPUTED_VALUE"""),"")</f>
        <v/>
      </c>
      <c r="M5526" s="16" t="str">
        <f>IFERROR(__xludf.DUMMYFUNCTION("""COMPUTED_VALUE"""),"")</f>
        <v/>
      </c>
      <c r="U5526" s="16" t="s">
        <v>87</v>
      </c>
      <c r="V5526" s="16" t="str">
        <f>IFERROR(__xludf.DUMMYFUNCTION("""COMPUTED_VALUE"""),"")</f>
        <v/>
      </c>
      <c r="W5526" s="16" t="str">
        <f>IFERROR(__xludf.DUMMYFUNCTION("""COMPUTED_VALUE"""),"")</f>
        <v/>
      </c>
      <c r="X5526" s="16" t="str">
        <f>IFERROR(__xludf.DUMMYFUNCTION("""COMPUTED_VALUE"""),"")</f>
        <v/>
      </c>
      <c r="AC5526" s="16" t="str">
        <f>IFERROR(__xludf.DUMMYFUNCTION("""COMPUTED_VALUE"""),"")</f>
        <v/>
      </c>
    </row>
    <row r="5527">
      <c r="A5527" s="16" t="s">
        <v>87</v>
      </c>
      <c r="E5527" s="16" t="str">
        <f>IFERROR(__xludf.DUMMYFUNCTION("""COMPUTED_VALUE"""),"")</f>
        <v/>
      </c>
      <c r="G5527" s="18"/>
      <c r="H5527" s="16" t="s">
        <v>87</v>
      </c>
      <c r="I5527" s="16" t="s">
        <v>87</v>
      </c>
      <c r="J5527" s="19"/>
      <c r="L5527" s="16" t="str">
        <f>IFERROR(__xludf.DUMMYFUNCTION("""COMPUTED_VALUE"""),"")</f>
        <v/>
      </c>
      <c r="M5527" s="16" t="str">
        <f>IFERROR(__xludf.DUMMYFUNCTION("""COMPUTED_VALUE"""),"")</f>
        <v/>
      </c>
      <c r="U5527" s="16" t="s">
        <v>87</v>
      </c>
      <c r="V5527" s="16" t="str">
        <f>IFERROR(__xludf.DUMMYFUNCTION("""COMPUTED_VALUE"""),"")</f>
        <v/>
      </c>
      <c r="W5527" s="16" t="str">
        <f>IFERROR(__xludf.DUMMYFUNCTION("""COMPUTED_VALUE"""),"")</f>
        <v/>
      </c>
      <c r="X5527" s="16" t="str">
        <f>IFERROR(__xludf.DUMMYFUNCTION("""COMPUTED_VALUE"""),"")</f>
        <v/>
      </c>
      <c r="AC5527" s="16" t="str">
        <f>IFERROR(__xludf.DUMMYFUNCTION("""COMPUTED_VALUE"""),"")</f>
        <v/>
      </c>
    </row>
    <row r="5528">
      <c r="A5528" s="16" t="s">
        <v>87</v>
      </c>
      <c r="E5528" s="16" t="str">
        <f>IFERROR(__xludf.DUMMYFUNCTION("""COMPUTED_VALUE"""),"")</f>
        <v/>
      </c>
      <c r="G5528" s="18"/>
      <c r="H5528" s="16" t="s">
        <v>87</v>
      </c>
      <c r="I5528" s="16" t="s">
        <v>87</v>
      </c>
      <c r="J5528" s="19"/>
      <c r="L5528" s="16" t="str">
        <f>IFERROR(__xludf.DUMMYFUNCTION("""COMPUTED_VALUE"""),"")</f>
        <v/>
      </c>
      <c r="M5528" s="16" t="str">
        <f>IFERROR(__xludf.DUMMYFUNCTION("""COMPUTED_VALUE"""),"")</f>
        <v/>
      </c>
      <c r="U5528" s="16" t="s">
        <v>87</v>
      </c>
      <c r="V5528" s="16" t="str">
        <f>IFERROR(__xludf.DUMMYFUNCTION("""COMPUTED_VALUE"""),"")</f>
        <v/>
      </c>
      <c r="W5528" s="16" t="str">
        <f>IFERROR(__xludf.DUMMYFUNCTION("""COMPUTED_VALUE"""),"")</f>
        <v/>
      </c>
      <c r="X5528" s="16" t="str">
        <f>IFERROR(__xludf.DUMMYFUNCTION("""COMPUTED_VALUE"""),"")</f>
        <v/>
      </c>
      <c r="AC5528" s="16" t="str">
        <f>IFERROR(__xludf.DUMMYFUNCTION("""COMPUTED_VALUE"""),"")</f>
        <v/>
      </c>
    </row>
    <row r="5529">
      <c r="A5529" s="16" t="s">
        <v>87</v>
      </c>
      <c r="E5529" s="16" t="str">
        <f>IFERROR(__xludf.DUMMYFUNCTION("""COMPUTED_VALUE"""),"")</f>
        <v/>
      </c>
      <c r="G5529" s="18"/>
      <c r="H5529" s="16" t="s">
        <v>87</v>
      </c>
      <c r="I5529" s="16" t="s">
        <v>87</v>
      </c>
      <c r="J5529" s="19"/>
      <c r="L5529" s="16" t="str">
        <f>IFERROR(__xludf.DUMMYFUNCTION("""COMPUTED_VALUE"""),"")</f>
        <v/>
      </c>
      <c r="M5529" s="16" t="str">
        <f>IFERROR(__xludf.DUMMYFUNCTION("""COMPUTED_VALUE"""),"")</f>
        <v/>
      </c>
      <c r="U5529" s="16" t="s">
        <v>87</v>
      </c>
      <c r="V5529" s="16" t="str">
        <f>IFERROR(__xludf.DUMMYFUNCTION("""COMPUTED_VALUE"""),"")</f>
        <v/>
      </c>
      <c r="W5529" s="16" t="str">
        <f>IFERROR(__xludf.DUMMYFUNCTION("""COMPUTED_VALUE"""),"")</f>
        <v/>
      </c>
      <c r="X5529" s="16" t="str">
        <f>IFERROR(__xludf.DUMMYFUNCTION("""COMPUTED_VALUE"""),"")</f>
        <v/>
      </c>
      <c r="AC5529" s="16" t="str">
        <f>IFERROR(__xludf.DUMMYFUNCTION("""COMPUTED_VALUE"""),"")</f>
        <v/>
      </c>
    </row>
    <row r="5530">
      <c r="A5530" s="16" t="s">
        <v>87</v>
      </c>
      <c r="E5530" s="16" t="str">
        <f>IFERROR(__xludf.DUMMYFUNCTION("""COMPUTED_VALUE"""),"")</f>
        <v/>
      </c>
      <c r="G5530" s="18"/>
      <c r="H5530" s="16" t="s">
        <v>87</v>
      </c>
      <c r="I5530" s="16" t="s">
        <v>87</v>
      </c>
      <c r="J5530" s="19"/>
      <c r="L5530" s="16" t="str">
        <f>IFERROR(__xludf.DUMMYFUNCTION("""COMPUTED_VALUE"""),"")</f>
        <v/>
      </c>
      <c r="M5530" s="16" t="str">
        <f>IFERROR(__xludf.DUMMYFUNCTION("""COMPUTED_VALUE"""),"")</f>
        <v/>
      </c>
      <c r="U5530" s="16" t="s">
        <v>87</v>
      </c>
      <c r="V5530" s="16" t="str">
        <f>IFERROR(__xludf.DUMMYFUNCTION("""COMPUTED_VALUE"""),"")</f>
        <v/>
      </c>
      <c r="W5530" s="16" t="str">
        <f>IFERROR(__xludf.DUMMYFUNCTION("""COMPUTED_VALUE"""),"")</f>
        <v/>
      </c>
      <c r="X5530" s="16" t="str">
        <f>IFERROR(__xludf.DUMMYFUNCTION("""COMPUTED_VALUE"""),"")</f>
        <v/>
      </c>
      <c r="AC5530" s="16" t="str">
        <f>IFERROR(__xludf.DUMMYFUNCTION("""COMPUTED_VALUE"""),"")</f>
        <v/>
      </c>
    </row>
    <row r="5531">
      <c r="A5531" s="16" t="s">
        <v>87</v>
      </c>
      <c r="E5531" s="16" t="str">
        <f>IFERROR(__xludf.DUMMYFUNCTION("""COMPUTED_VALUE"""),"")</f>
        <v/>
      </c>
      <c r="G5531" s="18"/>
      <c r="H5531" s="16" t="s">
        <v>87</v>
      </c>
      <c r="I5531" s="16" t="s">
        <v>87</v>
      </c>
      <c r="J5531" s="19"/>
      <c r="L5531" s="16" t="str">
        <f>IFERROR(__xludf.DUMMYFUNCTION("""COMPUTED_VALUE"""),"")</f>
        <v/>
      </c>
      <c r="M5531" s="16" t="str">
        <f>IFERROR(__xludf.DUMMYFUNCTION("""COMPUTED_VALUE"""),"")</f>
        <v/>
      </c>
      <c r="U5531" s="16" t="s">
        <v>87</v>
      </c>
      <c r="V5531" s="16" t="str">
        <f>IFERROR(__xludf.DUMMYFUNCTION("""COMPUTED_VALUE"""),"")</f>
        <v/>
      </c>
      <c r="W5531" s="16" t="str">
        <f>IFERROR(__xludf.DUMMYFUNCTION("""COMPUTED_VALUE"""),"")</f>
        <v/>
      </c>
      <c r="X5531" s="16" t="str">
        <f>IFERROR(__xludf.DUMMYFUNCTION("""COMPUTED_VALUE"""),"")</f>
        <v/>
      </c>
      <c r="AC5531" s="16" t="str">
        <f>IFERROR(__xludf.DUMMYFUNCTION("""COMPUTED_VALUE"""),"")</f>
        <v/>
      </c>
    </row>
    <row r="5532">
      <c r="A5532" s="16" t="s">
        <v>87</v>
      </c>
      <c r="E5532" s="16" t="str">
        <f>IFERROR(__xludf.DUMMYFUNCTION("""COMPUTED_VALUE"""),"")</f>
        <v/>
      </c>
      <c r="G5532" s="18"/>
      <c r="H5532" s="16" t="s">
        <v>87</v>
      </c>
      <c r="I5532" s="16" t="s">
        <v>87</v>
      </c>
      <c r="J5532" s="19"/>
      <c r="L5532" s="16" t="str">
        <f>IFERROR(__xludf.DUMMYFUNCTION("""COMPUTED_VALUE"""),"")</f>
        <v/>
      </c>
      <c r="M5532" s="16" t="str">
        <f>IFERROR(__xludf.DUMMYFUNCTION("""COMPUTED_VALUE"""),"")</f>
        <v/>
      </c>
      <c r="U5532" s="16" t="s">
        <v>87</v>
      </c>
      <c r="V5532" s="16" t="str">
        <f>IFERROR(__xludf.DUMMYFUNCTION("""COMPUTED_VALUE"""),"")</f>
        <v/>
      </c>
      <c r="W5532" s="16" t="str">
        <f>IFERROR(__xludf.DUMMYFUNCTION("""COMPUTED_VALUE"""),"")</f>
        <v/>
      </c>
      <c r="X5532" s="16" t="str">
        <f>IFERROR(__xludf.DUMMYFUNCTION("""COMPUTED_VALUE"""),"")</f>
        <v/>
      </c>
      <c r="AC5532" s="16" t="str">
        <f>IFERROR(__xludf.DUMMYFUNCTION("""COMPUTED_VALUE"""),"")</f>
        <v/>
      </c>
    </row>
    <row r="5533">
      <c r="A5533" s="16" t="s">
        <v>87</v>
      </c>
      <c r="E5533" s="16" t="str">
        <f>IFERROR(__xludf.DUMMYFUNCTION("""COMPUTED_VALUE"""),"")</f>
        <v/>
      </c>
      <c r="G5533" s="18"/>
      <c r="H5533" s="16" t="s">
        <v>87</v>
      </c>
      <c r="I5533" s="16" t="s">
        <v>87</v>
      </c>
      <c r="J5533" s="19"/>
      <c r="L5533" s="16" t="str">
        <f>IFERROR(__xludf.DUMMYFUNCTION("""COMPUTED_VALUE"""),"")</f>
        <v/>
      </c>
      <c r="M5533" s="16" t="str">
        <f>IFERROR(__xludf.DUMMYFUNCTION("""COMPUTED_VALUE"""),"")</f>
        <v/>
      </c>
      <c r="U5533" s="16" t="s">
        <v>87</v>
      </c>
      <c r="V5533" s="16" t="str">
        <f>IFERROR(__xludf.DUMMYFUNCTION("""COMPUTED_VALUE"""),"")</f>
        <v/>
      </c>
      <c r="W5533" s="16" t="str">
        <f>IFERROR(__xludf.DUMMYFUNCTION("""COMPUTED_VALUE"""),"")</f>
        <v/>
      </c>
      <c r="X5533" s="16" t="str">
        <f>IFERROR(__xludf.DUMMYFUNCTION("""COMPUTED_VALUE"""),"")</f>
        <v/>
      </c>
      <c r="AC5533" s="16" t="str">
        <f>IFERROR(__xludf.DUMMYFUNCTION("""COMPUTED_VALUE"""),"")</f>
        <v/>
      </c>
    </row>
    <row r="5534">
      <c r="A5534" s="16" t="s">
        <v>87</v>
      </c>
      <c r="E5534" s="16" t="str">
        <f>IFERROR(__xludf.DUMMYFUNCTION("""COMPUTED_VALUE"""),"")</f>
        <v/>
      </c>
      <c r="G5534" s="18"/>
      <c r="H5534" s="16" t="s">
        <v>87</v>
      </c>
      <c r="I5534" s="16" t="s">
        <v>87</v>
      </c>
      <c r="J5534" s="19"/>
      <c r="L5534" s="16" t="str">
        <f>IFERROR(__xludf.DUMMYFUNCTION("""COMPUTED_VALUE"""),"")</f>
        <v/>
      </c>
      <c r="M5534" s="16" t="str">
        <f>IFERROR(__xludf.DUMMYFUNCTION("""COMPUTED_VALUE"""),"")</f>
        <v/>
      </c>
      <c r="U5534" s="16" t="s">
        <v>87</v>
      </c>
      <c r="V5534" s="16" t="str">
        <f>IFERROR(__xludf.DUMMYFUNCTION("""COMPUTED_VALUE"""),"")</f>
        <v/>
      </c>
      <c r="W5534" s="16" t="str">
        <f>IFERROR(__xludf.DUMMYFUNCTION("""COMPUTED_VALUE"""),"")</f>
        <v/>
      </c>
      <c r="X5534" s="16" t="str">
        <f>IFERROR(__xludf.DUMMYFUNCTION("""COMPUTED_VALUE"""),"")</f>
        <v/>
      </c>
      <c r="AC5534" s="16" t="str">
        <f>IFERROR(__xludf.DUMMYFUNCTION("""COMPUTED_VALUE"""),"")</f>
        <v/>
      </c>
    </row>
    <row r="5535">
      <c r="A5535" s="16" t="s">
        <v>87</v>
      </c>
      <c r="E5535" s="16" t="str">
        <f>IFERROR(__xludf.DUMMYFUNCTION("""COMPUTED_VALUE"""),"")</f>
        <v/>
      </c>
      <c r="G5535" s="18"/>
      <c r="H5535" s="16" t="s">
        <v>87</v>
      </c>
      <c r="I5535" s="16" t="s">
        <v>87</v>
      </c>
      <c r="J5535" s="19"/>
      <c r="L5535" s="16" t="str">
        <f>IFERROR(__xludf.DUMMYFUNCTION("""COMPUTED_VALUE"""),"")</f>
        <v/>
      </c>
      <c r="M5535" s="16" t="str">
        <f>IFERROR(__xludf.DUMMYFUNCTION("""COMPUTED_VALUE"""),"")</f>
        <v/>
      </c>
      <c r="U5535" s="16" t="s">
        <v>87</v>
      </c>
      <c r="V5535" s="16" t="str">
        <f>IFERROR(__xludf.DUMMYFUNCTION("""COMPUTED_VALUE"""),"")</f>
        <v/>
      </c>
      <c r="W5535" s="16" t="str">
        <f>IFERROR(__xludf.DUMMYFUNCTION("""COMPUTED_VALUE"""),"")</f>
        <v/>
      </c>
      <c r="X5535" s="16" t="str">
        <f>IFERROR(__xludf.DUMMYFUNCTION("""COMPUTED_VALUE"""),"")</f>
        <v/>
      </c>
      <c r="AC5535" s="16" t="str">
        <f>IFERROR(__xludf.DUMMYFUNCTION("""COMPUTED_VALUE"""),"")</f>
        <v/>
      </c>
    </row>
    <row r="5536">
      <c r="A5536" s="16" t="s">
        <v>87</v>
      </c>
      <c r="E5536" s="16" t="str">
        <f>IFERROR(__xludf.DUMMYFUNCTION("""COMPUTED_VALUE"""),"")</f>
        <v/>
      </c>
      <c r="G5536" s="18"/>
      <c r="H5536" s="16" t="s">
        <v>87</v>
      </c>
      <c r="I5536" s="16" t="s">
        <v>87</v>
      </c>
      <c r="J5536" s="19"/>
      <c r="L5536" s="16" t="str">
        <f>IFERROR(__xludf.DUMMYFUNCTION("""COMPUTED_VALUE"""),"")</f>
        <v/>
      </c>
      <c r="M5536" s="16" t="str">
        <f>IFERROR(__xludf.DUMMYFUNCTION("""COMPUTED_VALUE"""),"")</f>
        <v/>
      </c>
      <c r="U5536" s="16" t="s">
        <v>87</v>
      </c>
      <c r="V5536" s="16" t="str">
        <f>IFERROR(__xludf.DUMMYFUNCTION("""COMPUTED_VALUE"""),"")</f>
        <v/>
      </c>
      <c r="W5536" s="16" t="str">
        <f>IFERROR(__xludf.DUMMYFUNCTION("""COMPUTED_VALUE"""),"")</f>
        <v/>
      </c>
      <c r="X5536" s="16" t="str">
        <f>IFERROR(__xludf.DUMMYFUNCTION("""COMPUTED_VALUE"""),"")</f>
        <v/>
      </c>
      <c r="AC5536" s="16" t="str">
        <f>IFERROR(__xludf.DUMMYFUNCTION("""COMPUTED_VALUE"""),"")</f>
        <v/>
      </c>
    </row>
    <row r="5537">
      <c r="A5537" s="16" t="s">
        <v>87</v>
      </c>
      <c r="E5537" s="16" t="str">
        <f>IFERROR(__xludf.DUMMYFUNCTION("""COMPUTED_VALUE"""),"")</f>
        <v/>
      </c>
      <c r="G5537" s="18"/>
      <c r="H5537" s="16" t="s">
        <v>87</v>
      </c>
      <c r="I5537" s="16" t="s">
        <v>87</v>
      </c>
      <c r="J5537" s="19"/>
      <c r="L5537" s="16" t="str">
        <f>IFERROR(__xludf.DUMMYFUNCTION("""COMPUTED_VALUE"""),"")</f>
        <v/>
      </c>
      <c r="M5537" s="16" t="str">
        <f>IFERROR(__xludf.DUMMYFUNCTION("""COMPUTED_VALUE"""),"")</f>
        <v/>
      </c>
      <c r="U5537" s="16" t="s">
        <v>87</v>
      </c>
      <c r="V5537" s="16" t="str">
        <f>IFERROR(__xludf.DUMMYFUNCTION("""COMPUTED_VALUE"""),"")</f>
        <v/>
      </c>
      <c r="W5537" s="16" t="str">
        <f>IFERROR(__xludf.DUMMYFUNCTION("""COMPUTED_VALUE"""),"")</f>
        <v/>
      </c>
      <c r="X5537" s="16" t="str">
        <f>IFERROR(__xludf.DUMMYFUNCTION("""COMPUTED_VALUE"""),"")</f>
        <v/>
      </c>
      <c r="AC5537" s="16" t="str">
        <f>IFERROR(__xludf.DUMMYFUNCTION("""COMPUTED_VALUE"""),"")</f>
        <v/>
      </c>
    </row>
    <row r="5538">
      <c r="A5538" s="16" t="s">
        <v>87</v>
      </c>
      <c r="E5538" s="16" t="str">
        <f>IFERROR(__xludf.DUMMYFUNCTION("""COMPUTED_VALUE"""),"")</f>
        <v/>
      </c>
      <c r="G5538" s="18"/>
      <c r="H5538" s="16" t="s">
        <v>87</v>
      </c>
      <c r="I5538" s="16" t="s">
        <v>87</v>
      </c>
      <c r="J5538" s="19"/>
      <c r="L5538" s="16" t="str">
        <f>IFERROR(__xludf.DUMMYFUNCTION("""COMPUTED_VALUE"""),"")</f>
        <v/>
      </c>
      <c r="M5538" s="16" t="str">
        <f>IFERROR(__xludf.DUMMYFUNCTION("""COMPUTED_VALUE"""),"")</f>
        <v/>
      </c>
      <c r="U5538" s="16" t="s">
        <v>87</v>
      </c>
      <c r="V5538" s="16" t="str">
        <f>IFERROR(__xludf.DUMMYFUNCTION("""COMPUTED_VALUE"""),"")</f>
        <v/>
      </c>
      <c r="W5538" s="16" t="str">
        <f>IFERROR(__xludf.DUMMYFUNCTION("""COMPUTED_VALUE"""),"")</f>
        <v/>
      </c>
      <c r="X5538" s="16" t="str">
        <f>IFERROR(__xludf.DUMMYFUNCTION("""COMPUTED_VALUE"""),"")</f>
        <v/>
      </c>
      <c r="AC5538" s="16" t="str">
        <f>IFERROR(__xludf.DUMMYFUNCTION("""COMPUTED_VALUE"""),"")</f>
        <v/>
      </c>
    </row>
    <row r="5539">
      <c r="A5539" s="16" t="s">
        <v>87</v>
      </c>
      <c r="E5539" s="16" t="str">
        <f>IFERROR(__xludf.DUMMYFUNCTION("""COMPUTED_VALUE"""),"")</f>
        <v/>
      </c>
      <c r="G5539" s="18"/>
      <c r="H5539" s="16" t="s">
        <v>87</v>
      </c>
      <c r="I5539" s="16" t="s">
        <v>87</v>
      </c>
      <c r="J5539" s="19"/>
      <c r="L5539" s="16" t="str">
        <f>IFERROR(__xludf.DUMMYFUNCTION("""COMPUTED_VALUE"""),"")</f>
        <v/>
      </c>
      <c r="M5539" s="16" t="str">
        <f>IFERROR(__xludf.DUMMYFUNCTION("""COMPUTED_VALUE"""),"")</f>
        <v/>
      </c>
      <c r="U5539" s="16" t="s">
        <v>87</v>
      </c>
      <c r="V5539" s="16" t="str">
        <f>IFERROR(__xludf.DUMMYFUNCTION("""COMPUTED_VALUE"""),"")</f>
        <v/>
      </c>
      <c r="W5539" s="16" t="str">
        <f>IFERROR(__xludf.DUMMYFUNCTION("""COMPUTED_VALUE"""),"")</f>
        <v/>
      </c>
      <c r="X5539" s="16" t="str">
        <f>IFERROR(__xludf.DUMMYFUNCTION("""COMPUTED_VALUE"""),"")</f>
        <v/>
      </c>
      <c r="AC5539" s="16" t="str">
        <f>IFERROR(__xludf.DUMMYFUNCTION("""COMPUTED_VALUE"""),"")</f>
        <v/>
      </c>
    </row>
    <row r="5540">
      <c r="A5540" s="16" t="s">
        <v>87</v>
      </c>
      <c r="E5540" s="16" t="str">
        <f>IFERROR(__xludf.DUMMYFUNCTION("""COMPUTED_VALUE"""),"")</f>
        <v/>
      </c>
      <c r="G5540" s="18"/>
      <c r="H5540" s="16" t="s">
        <v>87</v>
      </c>
      <c r="I5540" s="16" t="s">
        <v>87</v>
      </c>
      <c r="J5540" s="19"/>
      <c r="L5540" s="16" t="str">
        <f>IFERROR(__xludf.DUMMYFUNCTION("""COMPUTED_VALUE"""),"")</f>
        <v/>
      </c>
      <c r="M5540" s="16" t="str">
        <f>IFERROR(__xludf.DUMMYFUNCTION("""COMPUTED_VALUE"""),"")</f>
        <v/>
      </c>
      <c r="U5540" s="16" t="s">
        <v>87</v>
      </c>
      <c r="V5540" s="16" t="str">
        <f>IFERROR(__xludf.DUMMYFUNCTION("""COMPUTED_VALUE"""),"")</f>
        <v/>
      </c>
      <c r="W5540" s="16" t="str">
        <f>IFERROR(__xludf.DUMMYFUNCTION("""COMPUTED_VALUE"""),"")</f>
        <v/>
      </c>
      <c r="X5540" s="16" t="str">
        <f>IFERROR(__xludf.DUMMYFUNCTION("""COMPUTED_VALUE"""),"")</f>
        <v/>
      </c>
      <c r="AC5540" s="16" t="str">
        <f>IFERROR(__xludf.DUMMYFUNCTION("""COMPUTED_VALUE"""),"")</f>
        <v/>
      </c>
    </row>
    <row r="5541">
      <c r="A5541" s="16" t="s">
        <v>87</v>
      </c>
      <c r="E5541" s="16" t="str">
        <f>IFERROR(__xludf.DUMMYFUNCTION("""COMPUTED_VALUE"""),"")</f>
        <v/>
      </c>
      <c r="G5541" s="18"/>
      <c r="H5541" s="16" t="s">
        <v>87</v>
      </c>
      <c r="I5541" s="16" t="s">
        <v>87</v>
      </c>
      <c r="J5541" s="19"/>
      <c r="L5541" s="16" t="str">
        <f>IFERROR(__xludf.DUMMYFUNCTION("""COMPUTED_VALUE"""),"")</f>
        <v/>
      </c>
      <c r="M5541" s="16" t="str">
        <f>IFERROR(__xludf.DUMMYFUNCTION("""COMPUTED_VALUE"""),"")</f>
        <v/>
      </c>
      <c r="U5541" s="16" t="s">
        <v>87</v>
      </c>
      <c r="V5541" s="16" t="str">
        <f>IFERROR(__xludf.DUMMYFUNCTION("""COMPUTED_VALUE"""),"")</f>
        <v/>
      </c>
      <c r="W5541" s="16" t="str">
        <f>IFERROR(__xludf.DUMMYFUNCTION("""COMPUTED_VALUE"""),"")</f>
        <v/>
      </c>
      <c r="X5541" s="16" t="str">
        <f>IFERROR(__xludf.DUMMYFUNCTION("""COMPUTED_VALUE"""),"")</f>
        <v/>
      </c>
      <c r="AC5541" s="16" t="str">
        <f>IFERROR(__xludf.DUMMYFUNCTION("""COMPUTED_VALUE"""),"")</f>
        <v/>
      </c>
    </row>
    <row r="5542">
      <c r="A5542" s="16" t="s">
        <v>87</v>
      </c>
      <c r="E5542" s="16" t="str">
        <f>IFERROR(__xludf.DUMMYFUNCTION("""COMPUTED_VALUE"""),"")</f>
        <v/>
      </c>
      <c r="G5542" s="18"/>
      <c r="H5542" s="16" t="s">
        <v>87</v>
      </c>
      <c r="I5542" s="16" t="s">
        <v>87</v>
      </c>
      <c r="J5542" s="19"/>
      <c r="L5542" s="16" t="str">
        <f>IFERROR(__xludf.DUMMYFUNCTION("""COMPUTED_VALUE"""),"")</f>
        <v/>
      </c>
      <c r="M5542" s="16" t="str">
        <f>IFERROR(__xludf.DUMMYFUNCTION("""COMPUTED_VALUE"""),"")</f>
        <v/>
      </c>
      <c r="U5542" s="16" t="s">
        <v>87</v>
      </c>
      <c r="V5542" s="16" t="str">
        <f>IFERROR(__xludf.DUMMYFUNCTION("""COMPUTED_VALUE"""),"")</f>
        <v/>
      </c>
      <c r="W5542" s="16" t="str">
        <f>IFERROR(__xludf.DUMMYFUNCTION("""COMPUTED_VALUE"""),"")</f>
        <v/>
      </c>
      <c r="X5542" s="16" t="str">
        <f>IFERROR(__xludf.DUMMYFUNCTION("""COMPUTED_VALUE"""),"")</f>
        <v/>
      </c>
      <c r="AC5542" s="16" t="str">
        <f>IFERROR(__xludf.DUMMYFUNCTION("""COMPUTED_VALUE"""),"")</f>
        <v/>
      </c>
    </row>
    <row r="5543">
      <c r="A5543" s="16" t="s">
        <v>87</v>
      </c>
      <c r="E5543" s="16" t="str">
        <f>IFERROR(__xludf.DUMMYFUNCTION("""COMPUTED_VALUE"""),"")</f>
        <v/>
      </c>
      <c r="G5543" s="18"/>
      <c r="H5543" s="16" t="s">
        <v>87</v>
      </c>
      <c r="I5543" s="16" t="s">
        <v>87</v>
      </c>
      <c r="J5543" s="19"/>
      <c r="L5543" s="16" t="str">
        <f>IFERROR(__xludf.DUMMYFUNCTION("""COMPUTED_VALUE"""),"")</f>
        <v/>
      </c>
      <c r="M5543" s="16" t="str">
        <f>IFERROR(__xludf.DUMMYFUNCTION("""COMPUTED_VALUE"""),"")</f>
        <v/>
      </c>
      <c r="U5543" s="16" t="s">
        <v>87</v>
      </c>
      <c r="V5543" s="16" t="str">
        <f>IFERROR(__xludf.DUMMYFUNCTION("""COMPUTED_VALUE"""),"")</f>
        <v/>
      </c>
      <c r="W5543" s="16" t="str">
        <f>IFERROR(__xludf.DUMMYFUNCTION("""COMPUTED_VALUE"""),"")</f>
        <v/>
      </c>
      <c r="X5543" s="16" t="str">
        <f>IFERROR(__xludf.DUMMYFUNCTION("""COMPUTED_VALUE"""),"")</f>
        <v/>
      </c>
      <c r="AC5543" s="16" t="str">
        <f>IFERROR(__xludf.DUMMYFUNCTION("""COMPUTED_VALUE"""),"")</f>
        <v/>
      </c>
    </row>
    <row r="5544">
      <c r="A5544" s="16" t="s">
        <v>87</v>
      </c>
      <c r="E5544" s="16" t="str">
        <f>IFERROR(__xludf.DUMMYFUNCTION("""COMPUTED_VALUE"""),"")</f>
        <v/>
      </c>
      <c r="G5544" s="18"/>
      <c r="H5544" s="16" t="s">
        <v>87</v>
      </c>
      <c r="I5544" s="16" t="s">
        <v>87</v>
      </c>
      <c r="J5544" s="19"/>
      <c r="L5544" s="16" t="str">
        <f>IFERROR(__xludf.DUMMYFUNCTION("""COMPUTED_VALUE"""),"")</f>
        <v/>
      </c>
      <c r="M5544" s="16" t="str">
        <f>IFERROR(__xludf.DUMMYFUNCTION("""COMPUTED_VALUE"""),"")</f>
        <v/>
      </c>
      <c r="U5544" s="16" t="s">
        <v>87</v>
      </c>
      <c r="V5544" s="16" t="str">
        <f>IFERROR(__xludf.DUMMYFUNCTION("""COMPUTED_VALUE"""),"")</f>
        <v/>
      </c>
      <c r="W5544" s="16" t="str">
        <f>IFERROR(__xludf.DUMMYFUNCTION("""COMPUTED_VALUE"""),"")</f>
        <v/>
      </c>
      <c r="X5544" s="16" t="str">
        <f>IFERROR(__xludf.DUMMYFUNCTION("""COMPUTED_VALUE"""),"")</f>
        <v/>
      </c>
      <c r="AC5544" s="16" t="str">
        <f>IFERROR(__xludf.DUMMYFUNCTION("""COMPUTED_VALUE"""),"")</f>
        <v/>
      </c>
    </row>
    <row r="5545">
      <c r="A5545" s="16" t="s">
        <v>87</v>
      </c>
      <c r="E5545" s="16" t="str">
        <f>IFERROR(__xludf.DUMMYFUNCTION("""COMPUTED_VALUE"""),"")</f>
        <v/>
      </c>
      <c r="G5545" s="18"/>
      <c r="H5545" s="16" t="s">
        <v>87</v>
      </c>
      <c r="I5545" s="16" t="s">
        <v>87</v>
      </c>
      <c r="J5545" s="19"/>
      <c r="L5545" s="16" t="str">
        <f>IFERROR(__xludf.DUMMYFUNCTION("""COMPUTED_VALUE"""),"")</f>
        <v/>
      </c>
      <c r="M5545" s="16" t="str">
        <f>IFERROR(__xludf.DUMMYFUNCTION("""COMPUTED_VALUE"""),"")</f>
        <v/>
      </c>
      <c r="U5545" s="16" t="s">
        <v>87</v>
      </c>
      <c r="V5545" s="16" t="str">
        <f>IFERROR(__xludf.DUMMYFUNCTION("""COMPUTED_VALUE"""),"")</f>
        <v/>
      </c>
      <c r="W5545" s="16" t="str">
        <f>IFERROR(__xludf.DUMMYFUNCTION("""COMPUTED_VALUE"""),"")</f>
        <v/>
      </c>
      <c r="X5545" s="16" t="str">
        <f>IFERROR(__xludf.DUMMYFUNCTION("""COMPUTED_VALUE"""),"")</f>
        <v/>
      </c>
      <c r="AC5545" s="16" t="str">
        <f>IFERROR(__xludf.DUMMYFUNCTION("""COMPUTED_VALUE"""),"")</f>
        <v/>
      </c>
    </row>
    <row r="5546">
      <c r="A5546" s="16" t="s">
        <v>87</v>
      </c>
      <c r="E5546" s="16" t="str">
        <f>IFERROR(__xludf.DUMMYFUNCTION("""COMPUTED_VALUE"""),"")</f>
        <v/>
      </c>
      <c r="G5546" s="18"/>
      <c r="H5546" s="16" t="s">
        <v>87</v>
      </c>
      <c r="I5546" s="16" t="s">
        <v>87</v>
      </c>
      <c r="J5546" s="19"/>
      <c r="L5546" s="16" t="str">
        <f>IFERROR(__xludf.DUMMYFUNCTION("""COMPUTED_VALUE"""),"")</f>
        <v/>
      </c>
      <c r="M5546" s="16" t="str">
        <f>IFERROR(__xludf.DUMMYFUNCTION("""COMPUTED_VALUE"""),"")</f>
        <v/>
      </c>
      <c r="U5546" s="16" t="s">
        <v>87</v>
      </c>
      <c r="V5546" s="16" t="str">
        <f>IFERROR(__xludf.DUMMYFUNCTION("""COMPUTED_VALUE"""),"")</f>
        <v/>
      </c>
      <c r="W5546" s="16" t="str">
        <f>IFERROR(__xludf.DUMMYFUNCTION("""COMPUTED_VALUE"""),"")</f>
        <v/>
      </c>
      <c r="X5546" s="16" t="str">
        <f>IFERROR(__xludf.DUMMYFUNCTION("""COMPUTED_VALUE"""),"")</f>
        <v/>
      </c>
      <c r="AC5546" s="16" t="str">
        <f>IFERROR(__xludf.DUMMYFUNCTION("""COMPUTED_VALUE"""),"")</f>
        <v/>
      </c>
    </row>
    <row r="5547">
      <c r="A5547" s="16" t="s">
        <v>87</v>
      </c>
      <c r="E5547" s="16" t="str">
        <f>IFERROR(__xludf.DUMMYFUNCTION("""COMPUTED_VALUE"""),"")</f>
        <v/>
      </c>
      <c r="G5547" s="18"/>
      <c r="H5547" s="16" t="s">
        <v>87</v>
      </c>
      <c r="I5547" s="16" t="s">
        <v>87</v>
      </c>
      <c r="J5547" s="19"/>
      <c r="L5547" s="16" t="str">
        <f>IFERROR(__xludf.DUMMYFUNCTION("""COMPUTED_VALUE"""),"")</f>
        <v/>
      </c>
      <c r="M5547" s="16" t="str">
        <f>IFERROR(__xludf.DUMMYFUNCTION("""COMPUTED_VALUE"""),"")</f>
        <v/>
      </c>
      <c r="U5547" s="16" t="s">
        <v>87</v>
      </c>
      <c r="V5547" s="16" t="str">
        <f>IFERROR(__xludf.DUMMYFUNCTION("""COMPUTED_VALUE"""),"")</f>
        <v/>
      </c>
      <c r="W5547" s="16" t="str">
        <f>IFERROR(__xludf.DUMMYFUNCTION("""COMPUTED_VALUE"""),"")</f>
        <v/>
      </c>
      <c r="X5547" s="16" t="str">
        <f>IFERROR(__xludf.DUMMYFUNCTION("""COMPUTED_VALUE"""),"")</f>
        <v/>
      </c>
      <c r="AC5547" s="16" t="str">
        <f>IFERROR(__xludf.DUMMYFUNCTION("""COMPUTED_VALUE"""),"")</f>
        <v/>
      </c>
    </row>
    <row r="5548">
      <c r="A5548" s="16" t="s">
        <v>87</v>
      </c>
      <c r="E5548" s="16" t="str">
        <f>IFERROR(__xludf.DUMMYFUNCTION("""COMPUTED_VALUE"""),"")</f>
        <v/>
      </c>
      <c r="G5548" s="18"/>
      <c r="H5548" s="16" t="s">
        <v>87</v>
      </c>
      <c r="I5548" s="16" t="s">
        <v>87</v>
      </c>
      <c r="J5548" s="19"/>
      <c r="L5548" s="16" t="str">
        <f>IFERROR(__xludf.DUMMYFUNCTION("""COMPUTED_VALUE"""),"")</f>
        <v/>
      </c>
      <c r="M5548" s="16" t="str">
        <f>IFERROR(__xludf.DUMMYFUNCTION("""COMPUTED_VALUE"""),"")</f>
        <v/>
      </c>
      <c r="U5548" s="16" t="s">
        <v>87</v>
      </c>
      <c r="V5548" s="16" t="str">
        <f>IFERROR(__xludf.DUMMYFUNCTION("""COMPUTED_VALUE"""),"")</f>
        <v/>
      </c>
      <c r="W5548" s="16" t="str">
        <f>IFERROR(__xludf.DUMMYFUNCTION("""COMPUTED_VALUE"""),"")</f>
        <v/>
      </c>
      <c r="X5548" s="16" t="str">
        <f>IFERROR(__xludf.DUMMYFUNCTION("""COMPUTED_VALUE"""),"")</f>
        <v/>
      </c>
      <c r="AC5548" s="16" t="str">
        <f>IFERROR(__xludf.DUMMYFUNCTION("""COMPUTED_VALUE"""),"")</f>
        <v/>
      </c>
    </row>
    <row r="5549">
      <c r="A5549" s="16" t="s">
        <v>87</v>
      </c>
      <c r="E5549" s="16" t="str">
        <f>IFERROR(__xludf.DUMMYFUNCTION("""COMPUTED_VALUE"""),"")</f>
        <v/>
      </c>
      <c r="G5549" s="18"/>
      <c r="H5549" s="16" t="s">
        <v>87</v>
      </c>
      <c r="I5549" s="16" t="s">
        <v>87</v>
      </c>
      <c r="J5549" s="19"/>
      <c r="L5549" s="16" t="str">
        <f>IFERROR(__xludf.DUMMYFUNCTION("""COMPUTED_VALUE"""),"")</f>
        <v/>
      </c>
      <c r="M5549" s="16" t="str">
        <f>IFERROR(__xludf.DUMMYFUNCTION("""COMPUTED_VALUE"""),"")</f>
        <v/>
      </c>
      <c r="U5549" s="16" t="s">
        <v>87</v>
      </c>
      <c r="V5549" s="16" t="str">
        <f>IFERROR(__xludf.DUMMYFUNCTION("""COMPUTED_VALUE"""),"")</f>
        <v/>
      </c>
      <c r="W5549" s="16" t="str">
        <f>IFERROR(__xludf.DUMMYFUNCTION("""COMPUTED_VALUE"""),"")</f>
        <v/>
      </c>
      <c r="X5549" s="16" t="str">
        <f>IFERROR(__xludf.DUMMYFUNCTION("""COMPUTED_VALUE"""),"")</f>
        <v/>
      </c>
      <c r="AC5549" s="16" t="str">
        <f>IFERROR(__xludf.DUMMYFUNCTION("""COMPUTED_VALUE"""),"")</f>
        <v/>
      </c>
    </row>
    <row r="5550">
      <c r="A5550" s="16" t="s">
        <v>87</v>
      </c>
      <c r="E5550" s="16" t="str">
        <f>IFERROR(__xludf.DUMMYFUNCTION("""COMPUTED_VALUE"""),"")</f>
        <v/>
      </c>
      <c r="G5550" s="18"/>
      <c r="H5550" s="16" t="s">
        <v>87</v>
      </c>
      <c r="I5550" s="16" t="s">
        <v>87</v>
      </c>
      <c r="J5550" s="19"/>
      <c r="L5550" s="16" t="str">
        <f>IFERROR(__xludf.DUMMYFUNCTION("""COMPUTED_VALUE"""),"")</f>
        <v/>
      </c>
      <c r="M5550" s="16" t="str">
        <f>IFERROR(__xludf.DUMMYFUNCTION("""COMPUTED_VALUE"""),"")</f>
        <v/>
      </c>
      <c r="U5550" s="16" t="s">
        <v>87</v>
      </c>
      <c r="V5550" s="16" t="str">
        <f>IFERROR(__xludf.DUMMYFUNCTION("""COMPUTED_VALUE"""),"")</f>
        <v/>
      </c>
      <c r="W5550" s="16" t="str">
        <f>IFERROR(__xludf.DUMMYFUNCTION("""COMPUTED_VALUE"""),"")</f>
        <v/>
      </c>
      <c r="X5550" s="16" t="str">
        <f>IFERROR(__xludf.DUMMYFUNCTION("""COMPUTED_VALUE"""),"")</f>
        <v/>
      </c>
      <c r="AC5550" s="16" t="str">
        <f>IFERROR(__xludf.DUMMYFUNCTION("""COMPUTED_VALUE"""),"")</f>
        <v/>
      </c>
    </row>
    <row r="5551">
      <c r="A5551" s="16" t="s">
        <v>87</v>
      </c>
      <c r="E5551" s="16" t="str">
        <f>IFERROR(__xludf.DUMMYFUNCTION("""COMPUTED_VALUE"""),"")</f>
        <v/>
      </c>
      <c r="G5551" s="18"/>
      <c r="H5551" s="16" t="s">
        <v>87</v>
      </c>
      <c r="I5551" s="16" t="s">
        <v>87</v>
      </c>
      <c r="J5551" s="19"/>
      <c r="L5551" s="16" t="str">
        <f>IFERROR(__xludf.DUMMYFUNCTION("""COMPUTED_VALUE"""),"")</f>
        <v/>
      </c>
      <c r="M5551" s="16" t="str">
        <f>IFERROR(__xludf.DUMMYFUNCTION("""COMPUTED_VALUE"""),"")</f>
        <v/>
      </c>
      <c r="U5551" s="16" t="s">
        <v>87</v>
      </c>
      <c r="V5551" s="16" t="str">
        <f>IFERROR(__xludf.DUMMYFUNCTION("""COMPUTED_VALUE"""),"")</f>
        <v/>
      </c>
      <c r="W5551" s="16" t="str">
        <f>IFERROR(__xludf.DUMMYFUNCTION("""COMPUTED_VALUE"""),"")</f>
        <v/>
      </c>
      <c r="X5551" s="16" t="str">
        <f>IFERROR(__xludf.DUMMYFUNCTION("""COMPUTED_VALUE"""),"")</f>
        <v/>
      </c>
      <c r="AC5551" s="16" t="str">
        <f>IFERROR(__xludf.DUMMYFUNCTION("""COMPUTED_VALUE"""),"")</f>
        <v/>
      </c>
    </row>
    <row r="5552">
      <c r="A5552" s="16" t="s">
        <v>87</v>
      </c>
      <c r="E5552" s="16" t="str">
        <f>IFERROR(__xludf.DUMMYFUNCTION("""COMPUTED_VALUE"""),"")</f>
        <v/>
      </c>
      <c r="G5552" s="18"/>
      <c r="H5552" s="16" t="s">
        <v>87</v>
      </c>
      <c r="I5552" s="16" t="s">
        <v>87</v>
      </c>
      <c r="J5552" s="19"/>
      <c r="L5552" s="16" t="str">
        <f>IFERROR(__xludf.DUMMYFUNCTION("""COMPUTED_VALUE"""),"")</f>
        <v/>
      </c>
      <c r="M5552" s="16" t="str">
        <f>IFERROR(__xludf.DUMMYFUNCTION("""COMPUTED_VALUE"""),"")</f>
        <v/>
      </c>
      <c r="U5552" s="16" t="s">
        <v>87</v>
      </c>
      <c r="V5552" s="16" t="str">
        <f>IFERROR(__xludf.DUMMYFUNCTION("""COMPUTED_VALUE"""),"")</f>
        <v/>
      </c>
      <c r="W5552" s="16" t="str">
        <f>IFERROR(__xludf.DUMMYFUNCTION("""COMPUTED_VALUE"""),"")</f>
        <v/>
      </c>
      <c r="X5552" s="16" t="str">
        <f>IFERROR(__xludf.DUMMYFUNCTION("""COMPUTED_VALUE"""),"")</f>
        <v/>
      </c>
      <c r="AC5552" s="16" t="str">
        <f>IFERROR(__xludf.DUMMYFUNCTION("""COMPUTED_VALUE"""),"")</f>
        <v/>
      </c>
    </row>
    <row r="5553">
      <c r="A5553" s="16" t="s">
        <v>87</v>
      </c>
      <c r="E5553" s="16" t="str">
        <f>IFERROR(__xludf.DUMMYFUNCTION("""COMPUTED_VALUE"""),"")</f>
        <v/>
      </c>
      <c r="G5553" s="18"/>
      <c r="H5553" s="16" t="s">
        <v>87</v>
      </c>
      <c r="I5553" s="16" t="s">
        <v>87</v>
      </c>
      <c r="J5553" s="19"/>
      <c r="L5553" s="16" t="str">
        <f>IFERROR(__xludf.DUMMYFUNCTION("""COMPUTED_VALUE"""),"")</f>
        <v/>
      </c>
      <c r="M5553" s="16" t="str">
        <f>IFERROR(__xludf.DUMMYFUNCTION("""COMPUTED_VALUE"""),"")</f>
        <v/>
      </c>
      <c r="U5553" s="16" t="s">
        <v>87</v>
      </c>
      <c r="V5553" s="16" t="str">
        <f>IFERROR(__xludf.DUMMYFUNCTION("""COMPUTED_VALUE"""),"")</f>
        <v/>
      </c>
      <c r="W5553" s="16" t="str">
        <f>IFERROR(__xludf.DUMMYFUNCTION("""COMPUTED_VALUE"""),"")</f>
        <v/>
      </c>
      <c r="X5553" s="16" t="str">
        <f>IFERROR(__xludf.DUMMYFUNCTION("""COMPUTED_VALUE"""),"")</f>
        <v/>
      </c>
      <c r="AC5553" s="16" t="str">
        <f>IFERROR(__xludf.DUMMYFUNCTION("""COMPUTED_VALUE"""),"")</f>
        <v/>
      </c>
    </row>
    <row r="5554">
      <c r="A5554" s="16" t="s">
        <v>87</v>
      </c>
      <c r="E5554" s="16" t="str">
        <f>IFERROR(__xludf.DUMMYFUNCTION("""COMPUTED_VALUE"""),"")</f>
        <v/>
      </c>
      <c r="G5554" s="18"/>
      <c r="H5554" s="16" t="s">
        <v>87</v>
      </c>
      <c r="I5554" s="16" t="s">
        <v>87</v>
      </c>
      <c r="J5554" s="19"/>
      <c r="L5554" s="16" t="str">
        <f>IFERROR(__xludf.DUMMYFUNCTION("""COMPUTED_VALUE"""),"")</f>
        <v/>
      </c>
      <c r="M5554" s="16" t="str">
        <f>IFERROR(__xludf.DUMMYFUNCTION("""COMPUTED_VALUE"""),"")</f>
        <v/>
      </c>
      <c r="U5554" s="16" t="s">
        <v>87</v>
      </c>
      <c r="V5554" s="16" t="str">
        <f>IFERROR(__xludf.DUMMYFUNCTION("""COMPUTED_VALUE"""),"")</f>
        <v/>
      </c>
      <c r="W5554" s="16" t="str">
        <f>IFERROR(__xludf.DUMMYFUNCTION("""COMPUTED_VALUE"""),"")</f>
        <v/>
      </c>
      <c r="X5554" s="16" t="str">
        <f>IFERROR(__xludf.DUMMYFUNCTION("""COMPUTED_VALUE"""),"")</f>
        <v/>
      </c>
      <c r="AC5554" s="16" t="str">
        <f>IFERROR(__xludf.DUMMYFUNCTION("""COMPUTED_VALUE"""),"")</f>
        <v/>
      </c>
    </row>
    <row r="5555">
      <c r="A5555" s="16" t="s">
        <v>87</v>
      </c>
      <c r="E5555" s="16" t="str">
        <f>IFERROR(__xludf.DUMMYFUNCTION("""COMPUTED_VALUE"""),"")</f>
        <v/>
      </c>
      <c r="G5555" s="18"/>
      <c r="H5555" s="16" t="s">
        <v>87</v>
      </c>
      <c r="I5555" s="16" t="s">
        <v>87</v>
      </c>
      <c r="J5555" s="19"/>
      <c r="L5555" s="16" t="str">
        <f>IFERROR(__xludf.DUMMYFUNCTION("""COMPUTED_VALUE"""),"")</f>
        <v/>
      </c>
      <c r="M5555" s="16" t="str">
        <f>IFERROR(__xludf.DUMMYFUNCTION("""COMPUTED_VALUE"""),"")</f>
        <v/>
      </c>
      <c r="U5555" s="16" t="s">
        <v>87</v>
      </c>
      <c r="V5555" s="16" t="str">
        <f>IFERROR(__xludf.DUMMYFUNCTION("""COMPUTED_VALUE"""),"")</f>
        <v/>
      </c>
      <c r="W5555" s="16" t="str">
        <f>IFERROR(__xludf.DUMMYFUNCTION("""COMPUTED_VALUE"""),"")</f>
        <v/>
      </c>
      <c r="X5555" s="16" t="str">
        <f>IFERROR(__xludf.DUMMYFUNCTION("""COMPUTED_VALUE"""),"")</f>
        <v/>
      </c>
      <c r="AC5555" s="16" t="str">
        <f>IFERROR(__xludf.DUMMYFUNCTION("""COMPUTED_VALUE"""),"")</f>
        <v/>
      </c>
    </row>
    <row r="5556">
      <c r="A5556" s="16" t="s">
        <v>87</v>
      </c>
      <c r="E5556" s="16" t="str">
        <f>IFERROR(__xludf.DUMMYFUNCTION("""COMPUTED_VALUE"""),"")</f>
        <v/>
      </c>
      <c r="G5556" s="18"/>
      <c r="H5556" s="16" t="s">
        <v>87</v>
      </c>
      <c r="I5556" s="16" t="s">
        <v>87</v>
      </c>
      <c r="J5556" s="19"/>
      <c r="L5556" s="16" t="str">
        <f>IFERROR(__xludf.DUMMYFUNCTION("""COMPUTED_VALUE"""),"")</f>
        <v/>
      </c>
      <c r="M5556" s="16" t="str">
        <f>IFERROR(__xludf.DUMMYFUNCTION("""COMPUTED_VALUE"""),"")</f>
        <v/>
      </c>
      <c r="U5556" s="16" t="s">
        <v>87</v>
      </c>
      <c r="V5556" s="16" t="str">
        <f>IFERROR(__xludf.DUMMYFUNCTION("""COMPUTED_VALUE"""),"")</f>
        <v/>
      </c>
      <c r="W5556" s="16" t="str">
        <f>IFERROR(__xludf.DUMMYFUNCTION("""COMPUTED_VALUE"""),"")</f>
        <v/>
      </c>
      <c r="X5556" s="16" t="str">
        <f>IFERROR(__xludf.DUMMYFUNCTION("""COMPUTED_VALUE"""),"")</f>
        <v/>
      </c>
      <c r="AC5556" s="16" t="str">
        <f>IFERROR(__xludf.DUMMYFUNCTION("""COMPUTED_VALUE"""),"")</f>
        <v/>
      </c>
    </row>
    <row r="5557">
      <c r="A5557" s="16" t="s">
        <v>87</v>
      </c>
      <c r="E5557" s="16" t="str">
        <f>IFERROR(__xludf.DUMMYFUNCTION("""COMPUTED_VALUE"""),"")</f>
        <v/>
      </c>
      <c r="G5557" s="18"/>
      <c r="H5557" s="16" t="s">
        <v>87</v>
      </c>
      <c r="I5557" s="16" t="s">
        <v>87</v>
      </c>
      <c r="J5557" s="19"/>
      <c r="L5557" s="16" t="str">
        <f>IFERROR(__xludf.DUMMYFUNCTION("""COMPUTED_VALUE"""),"")</f>
        <v/>
      </c>
      <c r="M5557" s="16" t="str">
        <f>IFERROR(__xludf.DUMMYFUNCTION("""COMPUTED_VALUE"""),"")</f>
        <v/>
      </c>
      <c r="U5557" s="16" t="s">
        <v>87</v>
      </c>
      <c r="V5557" s="16" t="str">
        <f>IFERROR(__xludf.DUMMYFUNCTION("""COMPUTED_VALUE"""),"")</f>
        <v/>
      </c>
      <c r="W5557" s="16" t="str">
        <f>IFERROR(__xludf.DUMMYFUNCTION("""COMPUTED_VALUE"""),"")</f>
        <v/>
      </c>
      <c r="X5557" s="16" t="str">
        <f>IFERROR(__xludf.DUMMYFUNCTION("""COMPUTED_VALUE"""),"")</f>
        <v/>
      </c>
      <c r="AC5557" s="16" t="str">
        <f>IFERROR(__xludf.DUMMYFUNCTION("""COMPUTED_VALUE"""),"")</f>
        <v/>
      </c>
    </row>
    <row r="5558">
      <c r="A5558" s="16" t="s">
        <v>87</v>
      </c>
      <c r="E5558" s="16" t="str">
        <f>IFERROR(__xludf.DUMMYFUNCTION("""COMPUTED_VALUE"""),"")</f>
        <v/>
      </c>
      <c r="G5558" s="18"/>
      <c r="H5558" s="16" t="s">
        <v>87</v>
      </c>
      <c r="I5558" s="16" t="s">
        <v>87</v>
      </c>
      <c r="J5558" s="19"/>
      <c r="L5558" s="16" t="str">
        <f>IFERROR(__xludf.DUMMYFUNCTION("""COMPUTED_VALUE"""),"")</f>
        <v/>
      </c>
      <c r="M5558" s="16" t="str">
        <f>IFERROR(__xludf.DUMMYFUNCTION("""COMPUTED_VALUE"""),"")</f>
        <v/>
      </c>
      <c r="U5558" s="16" t="s">
        <v>87</v>
      </c>
      <c r="V5558" s="16" t="str">
        <f>IFERROR(__xludf.DUMMYFUNCTION("""COMPUTED_VALUE"""),"")</f>
        <v/>
      </c>
      <c r="W5558" s="16" t="str">
        <f>IFERROR(__xludf.DUMMYFUNCTION("""COMPUTED_VALUE"""),"")</f>
        <v/>
      </c>
      <c r="X5558" s="16" t="str">
        <f>IFERROR(__xludf.DUMMYFUNCTION("""COMPUTED_VALUE"""),"")</f>
        <v/>
      </c>
      <c r="AC5558" s="16" t="str">
        <f>IFERROR(__xludf.DUMMYFUNCTION("""COMPUTED_VALUE"""),"")</f>
        <v/>
      </c>
    </row>
    <row r="5559">
      <c r="A5559" s="16" t="s">
        <v>87</v>
      </c>
      <c r="E5559" s="16" t="str">
        <f>IFERROR(__xludf.DUMMYFUNCTION("""COMPUTED_VALUE"""),"")</f>
        <v/>
      </c>
      <c r="G5559" s="18"/>
      <c r="H5559" s="16" t="s">
        <v>87</v>
      </c>
      <c r="I5559" s="16" t="s">
        <v>87</v>
      </c>
      <c r="J5559" s="19"/>
      <c r="L5559" s="16" t="str">
        <f>IFERROR(__xludf.DUMMYFUNCTION("""COMPUTED_VALUE"""),"")</f>
        <v/>
      </c>
      <c r="M5559" s="16" t="str">
        <f>IFERROR(__xludf.DUMMYFUNCTION("""COMPUTED_VALUE"""),"")</f>
        <v/>
      </c>
      <c r="U5559" s="16" t="s">
        <v>87</v>
      </c>
      <c r="V5559" s="16" t="str">
        <f>IFERROR(__xludf.DUMMYFUNCTION("""COMPUTED_VALUE"""),"")</f>
        <v/>
      </c>
      <c r="W5559" s="16" t="str">
        <f>IFERROR(__xludf.DUMMYFUNCTION("""COMPUTED_VALUE"""),"")</f>
        <v/>
      </c>
      <c r="X5559" s="16" t="str">
        <f>IFERROR(__xludf.DUMMYFUNCTION("""COMPUTED_VALUE"""),"")</f>
        <v/>
      </c>
      <c r="AC5559" s="16" t="str">
        <f>IFERROR(__xludf.DUMMYFUNCTION("""COMPUTED_VALUE"""),"")</f>
        <v/>
      </c>
    </row>
    <row r="5560">
      <c r="A5560" s="16" t="s">
        <v>87</v>
      </c>
      <c r="E5560" s="16" t="str">
        <f>IFERROR(__xludf.DUMMYFUNCTION("""COMPUTED_VALUE"""),"")</f>
        <v/>
      </c>
      <c r="G5560" s="18"/>
      <c r="H5560" s="16" t="s">
        <v>87</v>
      </c>
      <c r="I5560" s="16" t="s">
        <v>87</v>
      </c>
      <c r="J5560" s="19"/>
      <c r="L5560" s="16" t="str">
        <f>IFERROR(__xludf.DUMMYFUNCTION("""COMPUTED_VALUE"""),"")</f>
        <v/>
      </c>
      <c r="M5560" s="16" t="str">
        <f>IFERROR(__xludf.DUMMYFUNCTION("""COMPUTED_VALUE"""),"")</f>
        <v/>
      </c>
      <c r="U5560" s="16" t="s">
        <v>87</v>
      </c>
      <c r="V5560" s="16" t="str">
        <f>IFERROR(__xludf.DUMMYFUNCTION("""COMPUTED_VALUE"""),"")</f>
        <v/>
      </c>
      <c r="W5560" s="16" t="str">
        <f>IFERROR(__xludf.DUMMYFUNCTION("""COMPUTED_VALUE"""),"")</f>
        <v/>
      </c>
      <c r="X5560" s="16" t="str">
        <f>IFERROR(__xludf.DUMMYFUNCTION("""COMPUTED_VALUE"""),"")</f>
        <v/>
      </c>
      <c r="AC5560" s="16" t="str">
        <f>IFERROR(__xludf.DUMMYFUNCTION("""COMPUTED_VALUE"""),"")</f>
        <v/>
      </c>
    </row>
    <row r="5561">
      <c r="A5561" s="16" t="s">
        <v>87</v>
      </c>
      <c r="E5561" s="16" t="str">
        <f>IFERROR(__xludf.DUMMYFUNCTION("""COMPUTED_VALUE"""),"")</f>
        <v/>
      </c>
      <c r="G5561" s="18"/>
      <c r="H5561" s="16" t="s">
        <v>87</v>
      </c>
      <c r="I5561" s="16" t="s">
        <v>87</v>
      </c>
      <c r="J5561" s="19"/>
      <c r="L5561" s="16" t="str">
        <f>IFERROR(__xludf.DUMMYFUNCTION("""COMPUTED_VALUE"""),"")</f>
        <v/>
      </c>
      <c r="M5561" s="16" t="str">
        <f>IFERROR(__xludf.DUMMYFUNCTION("""COMPUTED_VALUE"""),"")</f>
        <v/>
      </c>
      <c r="U5561" s="16" t="s">
        <v>87</v>
      </c>
      <c r="V5561" s="16" t="str">
        <f>IFERROR(__xludf.DUMMYFUNCTION("""COMPUTED_VALUE"""),"")</f>
        <v/>
      </c>
      <c r="W5561" s="16" t="str">
        <f>IFERROR(__xludf.DUMMYFUNCTION("""COMPUTED_VALUE"""),"")</f>
        <v/>
      </c>
      <c r="X5561" s="16" t="str">
        <f>IFERROR(__xludf.DUMMYFUNCTION("""COMPUTED_VALUE"""),"")</f>
        <v/>
      </c>
      <c r="AC5561" s="16" t="str">
        <f>IFERROR(__xludf.DUMMYFUNCTION("""COMPUTED_VALUE"""),"")</f>
        <v/>
      </c>
    </row>
    <row r="5562">
      <c r="A5562" s="16" t="s">
        <v>87</v>
      </c>
      <c r="E5562" s="16" t="str">
        <f>IFERROR(__xludf.DUMMYFUNCTION("""COMPUTED_VALUE"""),"")</f>
        <v/>
      </c>
      <c r="G5562" s="18"/>
      <c r="H5562" s="16" t="s">
        <v>87</v>
      </c>
      <c r="I5562" s="16" t="s">
        <v>87</v>
      </c>
      <c r="J5562" s="19"/>
      <c r="L5562" s="16" t="str">
        <f>IFERROR(__xludf.DUMMYFUNCTION("""COMPUTED_VALUE"""),"")</f>
        <v/>
      </c>
      <c r="M5562" s="16" t="str">
        <f>IFERROR(__xludf.DUMMYFUNCTION("""COMPUTED_VALUE"""),"")</f>
        <v/>
      </c>
      <c r="U5562" s="16" t="s">
        <v>87</v>
      </c>
      <c r="V5562" s="16" t="str">
        <f>IFERROR(__xludf.DUMMYFUNCTION("""COMPUTED_VALUE"""),"")</f>
        <v/>
      </c>
      <c r="W5562" s="16" t="str">
        <f>IFERROR(__xludf.DUMMYFUNCTION("""COMPUTED_VALUE"""),"")</f>
        <v/>
      </c>
      <c r="X5562" s="16" t="str">
        <f>IFERROR(__xludf.DUMMYFUNCTION("""COMPUTED_VALUE"""),"")</f>
        <v/>
      </c>
      <c r="AC5562" s="16" t="str">
        <f>IFERROR(__xludf.DUMMYFUNCTION("""COMPUTED_VALUE"""),"")</f>
        <v/>
      </c>
    </row>
    <row r="5563">
      <c r="A5563" s="16" t="s">
        <v>87</v>
      </c>
      <c r="E5563" s="16" t="str">
        <f>IFERROR(__xludf.DUMMYFUNCTION("""COMPUTED_VALUE"""),"")</f>
        <v/>
      </c>
      <c r="G5563" s="18"/>
      <c r="H5563" s="16" t="s">
        <v>87</v>
      </c>
      <c r="I5563" s="16" t="s">
        <v>87</v>
      </c>
      <c r="J5563" s="19"/>
      <c r="L5563" s="16" t="str">
        <f>IFERROR(__xludf.DUMMYFUNCTION("""COMPUTED_VALUE"""),"")</f>
        <v/>
      </c>
      <c r="M5563" s="16" t="str">
        <f>IFERROR(__xludf.DUMMYFUNCTION("""COMPUTED_VALUE"""),"")</f>
        <v/>
      </c>
      <c r="U5563" s="16" t="s">
        <v>87</v>
      </c>
      <c r="V5563" s="16" t="str">
        <f>IFERROR(__xludf.DUMMYFUNCTION("""COMPUTED_VALUE"""),"")</f>
        <v/>
      </c>
      <c r="W5563" s="16" t="str">
        <f>IFERROR(__xludf.DUMMYFUNCTION("""COMPUTED_VALUE"""),"")</f>
        <v/>
      </c>
      <c r="X5563" s="16" t="str">
        <f>IFERROR(__xludf.DUMMYFUNCTION("""COMPUTED_VALUE"""),"")</f>
        <v/>
      </c>
      <c r="AC5563" s="16" t="str">
        <f>IFERROR(__xludf.DUMMYFUNCTION("""COMPUTED_VALUE"""),"")</f>
        <v/>
      </c>
    </row>
    <row r="5564">
      <c r="A5564" s="16" t="s">
        <v>87</v>
      </c>
      <c r="E5564" s="16" t="str">
        <f>IFERROR(__xludf.DUMMYFUNCTION("""COMPUTED_VALUE"""),"")</f>
        <v/>
      </c>
      <c r="G5564" s="18"/>
      <c r="H5564" s="16" t="s">
        <v>87</v>
      </c>
      <c r="I5564" s="16" t="s">
        <v>87</v>
      </c>
      <c r="J5564" s="19"/>
      <c r="L5564" s="16" t="str">
        <f>IFERROR(__xludf.DUMMYFUNCTION("""COMPUTED_VALUE"""),"")</f>
        <v/>
      </c>
      <c r="M5564" s="16" t="str">
        <f>IFERROR(__xludf.DUMMYFUNCTION("""COMPUTED_VALUE"""),"")</f>
        <v/>
      </c>
      <c r="U5564" s="16" t="s">
        <v>87</v>
      </c>
      <c r="V5564" s="16" t="str">
        <f>IFERROR(__xludf.DUMMYFUNCTION("""COMPUTED_VALUE"""),"")</f>
        <v/>
      </c>
      <c r="W5564" s="16" t="str">
        <f>IFERROR(__xludf.DUMMYFUNCTION("""COMPUTED_VALUE"""),"")</f>
        <v/>
      </c>
      <c r="X5564" s="16" t="str">
        <f>IFERROR(__xludf.DUMMYFUNCTION("""COMPUTED_VALUE"""),"")</f>
        <v/>
      </c>
      <c r="AC5564" s="16" t="str">
        <f>IFERROR(__xludf.DUMMYFUNCTION("""COMPUTED_VALUE"""),"")</f>
        <v/>
      </c>
    </row>
    <row r="5565">
      <c r="A5565" s="16" t="s">
        <v>87</v>
      </c>
      <c r="E5565" s="16" t="str">
        <f>IFERROR(__xludf.DUMMYFUNCTION("""COMPUTED_VALUE"""),"")</f>
        <v/>
      </c>
      <c r="G5565" s="18"/>
      <c r="H5565" s="16" t="s">
        <v>87</v>
      </c>
      <c r="I5565" s="16" t="s">
        <v>87</v>
      </c>
      <c r="J5565" s="19"/>
      <c r="L5565" s="16" t="str">
        <f>IFERROR(__xludf.DUMMYFUNCTION("""COMPUTED_VALUE"""),"")</f>
        <v/>
      </c>
      <c r="M5565" s="16" t="str">
        <f>IFERROR(__xludf.DUMMYFUNCTION("""COMPUTED_VALUE"""),"")</f>
        <v/>
      </c>
      <c r="U5565" s="16" t="s">
        <v>87</v>
      </c>
      <c r="V5565" s="16" t="str">
        <f>IFERROR(__xludf.DUMMYFUNCTION("""COMPUTED_VALUE"""),"")</f>
        <v/>
      </c>
      <c r="W5565" s="16" t="str">
        <f>IFERROR(__xludf.DUMMYFUNCTION("""COMPUTED_VALUE"""),"")</f>
        <v/>
      </c>
      <c r="X5565" s="16" t="str">
        <f>IFERROR(__xludf.DUMMYFUNCTION("""COMPUTED_VALUE"""),"")</f>
        <v/>
      </c>
      <c r="AC5565" s="16" t="str">
        <f>IFERROR(__xludf.DUMMYFUNCTION("""COMPUTED_VALUE"""),"")</f>
        <v/>
      </c>
    </row>
    <row r="5566">
      <c r="A5566" s="16" t="s">
        <v>87</v>
      </c>
      <c r="E5566" s="16" t="str">
        <f>IFERROR(__xludf.DUMMYFUNCTION("""COMPUTED_VALUE"""),"")</f>
        <v/>
      </c>
      <c r="G5566" s="18"/>
      <c r="H5566" s="16" t="s">
        <v>87</v>
      </c>
      <c r="I5566" s="16" t="s">
        <v>87</v>
      </c>
      <c r="J5566" s="19"/>
      <c r="L5566" s="16" t="str">
        <f>IFERROR(__xludf.DUMMYFUNCTION("""COMPUTED_VALUE"""),"")</f>
        <v/>
      </c>
      <c r="M5566" s="16" t="str">
        <f>IFERROR(__xludf.DUMMYFUNCTION("""COMPUTED_VALUE"""),"")</f>
        <v/>
      </c>
      <c r="U5566" s="16" t="s">
        <v>87</v>
      </c>
      <c r="V5566" s="16" t="str">
        <f>IFERROR(__xludf.DUMMYFUNCTION("""COMPUTED_VALUE"""),"")</f>
        <v/>
      </c>
      <c r="W5566" s="16" t="str">
        <f>IFERROR(__xludf.DUMMYFUNCTION("""COMPUTED_VALUE"""),"")</f>
        <v/>
      </c>
      <c r="X5566" s="16" t="str">
        <f>IFERROR(__xludf.DUMMYFUNCTION("""COMPUTED_VALUE"""),"")</f>
        <v/>
      </c>
      <c r="AC5566" s="16" t="str">
        <f>IFERROR(__xludf.DUMMYFUNCTION("""COMPUTED_VALUE"""),"")</f>
        <v/>
      </c>
    </row>
    <row r="5567">
      <c r="A5567" s="16" t="s">
        <v>87</v>
      </c>
      <c r="E5567" s="16" t="str">
        <f>IFERROR(__xludf.DUMMYFUNCTION("""COMPUTED_VALUE"""),"")</f>
        <v/>
      </c>
      <c r="G5567" s="18"/>
      <c r="H5567" s="16" t="s">
        <v>87</v>
      </c>
      <c r="I5567" s="16" t="s">
        <v>87</v>
      </c>
      <c r="J5567" s="19"/>
      <c r="L5567" s="16" t="str">
        <f>IFERROR(__xludf.DUMMYFUNCTION("""COMPUTED_VALUE"""),"")</f>
        <v/>
      </c>
      <c r="M5567" s="16" t="str">
        <f>IFERROR(__xludf.DUMMYFUNCTION("""COMPUTED_VALUE"""),"")</f>
        <v/>
      </c>
      <c r="U5567" s="16" t="s">
        <v>87</v>
      </c>
      <c r="V5567" s="16" t="str">
        <f>IFERROR(__xludf.DUMMYFUNCTION("""COMPUTED_VALUE"""),"")</f>
        <v/>
      </c>
      <c r="W5567" s="16" t="str">
        <f>IFERROR(__xludf.DUMMYFUNCTION("""COMPUTED_VALUE"""),"")</f>
        <v/>
      </c>
      <c r="X5567" s="16" t="str">
        <f>IFERROR(__xludf.DUMMYFUNCTION("""COMPUTED_VALUE"""),"")</f>
        <v/>
      </c>
      <c r="AC5567" s="16" t="str">
        <f>IFERROR(__xludf.DUMMYFUNCTION("""COMPUTED_VALUE"""),"")</f>
        <v/>
      </c>
    </row>
    <row r="5568">
      <c r="A5568" s="16" t="s">
        <v>87</v>
      </c>
      <c r="E5568" s="16" t="str">
        <f>IFERROR(__xludf.DUMMYFUNCTION("""COMPUTED_VALUE"""),"")</f>
        <v/>
      </c>
      <c r="G5568" s="18"/>
      <c r="H5568" s="16" t="s">
        <v>87</v>
      </c>
      <c r="I5568" s="16" t="s">
        <v>87</v>
      </c>
      <c r="J5568" s="19"/>
      <c r="L5568" s="16" t="str">
        <f>IFERROR(__xludf.DUMMYFUNCTION("""COMPUTED_VALUE"""),"")</f>
        <v/>
      </c>
      <c r="M5568" s="16" t="str">
        <f>IFERROR(__xludf.DUMMYFUNCTION("""COMPUTED_VALUE"""),"")</f>
        <v/>
      </c>
      <c r="U5568" s="16" t="s">
        <v>87</v>
      </c>
      <c r="V5568" s="16" t="str">
        <f>IFERROR(__xludf.DUMMYFUNCTION("""COMPUTED_VALUE"""),"")</f>
        <v/>
      </c>
      <c r="W5568" s="16" t="str">
        <f>IFERROR(__xludf.DUMMYFUNCTION("""COMPUTED_VALUE"""),"")</f>
        <v/>
      </c>
      <c r="X5568" s="16" t="str">
        <f>IFERROR(__xludf.DUMMYFUNCTION("""COMPUTED_VALUE"""),"")</f>
        <v/>
      </c>
      <c r="AC5568" s="16" t="str">
        <f>IFERROR(__xludf.DUMMYFUNCTION("""COMPUTED_VALUE"""),"")</f>
        <v/>
      </c>
    </row>
    <row r="5569">
      <c r="A5569" s="16" t="s">
        <v>87</v>
      </c>
      <c r="E5569" s="16" t="str">
        <f>IFERROR(__xludf.DUMMYFUNCTION("""COMPUTED_VALUE"""),"")</f>
        <v/>
      </c>
      <c r="G5569" s="18"/>
      <c r="H5569" s="16" t="s">
        <v>87</v>
      </c>
      <c r="I5569" s="16" t="s">
        <v>87</v>
      </c>
      <c r="J5569" s="19"/>
      <c r="L5569" s="16" t="str">
        <f>IFERROR(__xludf.DUMMYFUNCTION("""COMPUTED_VALUE"""),"")</f>
        <v/>
      </c>
      <c r="M5569" s="16" t="str">
        <f>IFERROR(__xludf.DUMMYFUNCTION("""COMPUTED_VALUE"""),"")</f>
        <v/>
      </c>
      <c r="U5569" s="16" t="s">
        <v>87</v>
      </c>
      <c r="V5569" s="16" t="str">
        <f>IFERROR(__xludf.DUMMYFUNCTION("""COMPUTED_VALUE"""),"")</f>
        <v/>
      </c>
      <c r="W5569" s="16" t="str">
        <f>IFERROR(__xludf.DUMMYFUNCTION("""COMPUTED_VALUE"""),"")</f>
        <v/>
      </c>
      <c r="X5569" s="16" t="str">
        <f>IFERROR(__xludf.DUMMYFUNCTION("""COMPUTED_VALUE"""),"")</f>
        <v/>
      </c>
      <c r="AC5569" s="16" t="str">
        <f>IFERROR(__xludf.DUMMYFUNCTION("""COMPUTED_VALUE"""),"")</f>
        <v/>
      </c>
    </row>
    <row r="5570">
      <c r="A5570" s="16" t="s">
        <v>87</v>
      </c>
      <c r="E5570" s="16" t="str">
        <f>IFERROR(__xludf.DUMMYFUNCTION("""COMPUTED_VALUE"""),"")</f>
        <v/>
      </c>
      <c r="G5570" s="18"/>
      <c r="H5570" s="16" t="s">
        <v>87</v>
      </c>
      <c r="I5570" s="16" t="s">
        <v>87</v>
      </c>
      <c r="J5570" s="19"/>
      <c r="L5570" s="16" t="str">
        <f>IFERROR(__xludf.DUMMYFUNCTION("""COMPUTED_VALUE"""),"")</f>
        <v/>
      </c>
      <c r="M5570" s="16" t="str">
        <f>IFERROR(__xludf.DUMMYFUNCTION("""COMPUTED_VALUE"""),"")</f>
        <v/>
      </c>
      <c r="U5570" s="16" t="s">
        <v>87</v>
      </c>
      <c r="V5570" s="16" t="str">
        <f>IFERROR(__xludf.DUMMYFUNCTION("""COMPUTED_VALUE"""),"")</f>
        <v/>
      </c>
      <c r="W5570" s="16" t="str">
        <f>IFERROR(__xludf.DUMMYFUNCTION("""COMPUTED_VALUE"""),"")</f>
        <v/>
      </c>
      <c r="X5570" s="16" t="str">
        <f>IFERROR(__xludf.DUMMYFUNCTION("""COMPUTED_VALUE"""),"")</f>
        <v/>
      </c>
      <c r="AC5570" s="16" t="str">
        <f>IFERROR(__xludf.DUMMYFUNCTION("""COMPUTED_VALUE"""),"")</f>
        <v/>
      </c>
    </row>
    <row r="5571">
      <c r="A5571" s="16" t="s">
        <v>87</v>
      </c>
      <c r="E5571" s="16" t="str">
        <f>IFERROR(__xludf.DUMMYFUNCTION("""COMPUTED_VALUE"""),"")</f>
        <v/>
      </c>
      <c r="G5571" s="18"/>
      <c r="H5571" s="16" t="s">
        <v>87</v>
      </c>
      <c r="I5571" s="16" t="s">
        <v>87</v>
      </c>
      <c r="J5571" s="19"/>
      <c r="L5571" s="16" t="str">
        <f>IFERROR(__xludf.DUMMYFUNCTION("""COMPUTED_VALUE"""),"")</f>
        <v/>
      </c>
      <c r="M5571" s="16" t="str">
        <f>IFERROR(__xludf.DUMMYFUNCTION("""COMPUTED_VALUE"""),"")</f>
        <v/>
      </c>
      <c r="U5571" s="16" t="s">
        <v>87</v>
      </c>
      <c r="V5571" s="16" t="str">
        <f>IFERROR(__xludf.DUMMYFUNCTION("""COMPUTED_VALUE"""),"")</f>
        <v/>
      </c>
      <c r="W5571" s="16" t="str">
        <f>IFERROR(__xludf.DUMMYFUNCTION("""COMPUTED_VALUE"""),"")</f>
        <v/>
      </c>
      <c r="X5571" s="16" t="str">
        <f>IFERROR(__xludf.DUMMYFUNCTION("""COMPUTED_VALUE"""),"")</f>
        <v/>
      </c>
      <c r="AC5571" s="16" t="str">
        <f>IFERROR(__xludf.DUMMYFUNCTION("""COMPUTED_VALUE"""),"")</f>
        <v/>
      </c>
    </row>
    <row r="5572">
      <c r="A5572" s="16" t="s">
        <v>87</v>
      </c>
      <c r="E5572" s="16" t="str">
        <f>IFERROR(__xludf.DUMMYFUNCTION("""COMPUTED_VALUE"""),"")</f>
        <v/>
      </c>
      <c r="G5572" s="18"/>
      <c r="H5572" s="16" t="s">
        <v>87</v>
      </c>
      <c r="I5572" s="16" t="s">
        <v>87</v>
      </c>
      <c r="J5572" s="19"/>
      <c r="L5572" s="16" t="str">
        <f>IFERROR(__xludf.DUMMYFUNCTION("""COMPUTED_VALUE"""),"")</f>
        <v/>
      </c>
      <c r="M5572" s="16" t="str">
        <f>IFERROR(__xludf.DUMMYFUNCTION("""COMPUTED_VALUE"""),"")</f>
        <v/>
      </c>
      <c r="U5572" s="16" t="s">
        <v>87</v>
      </c>
      <c r="V5572" s="16" t="str">
        <f>IFERROR(__xludf.DUMMYFUNCTION("""COMPUTED_VALUE"""),"")</f>
        <v/>
      </c>
      <c r="W5572" s="16" t="str">
        <f>IFERROR(__xludf.DUMMYFUNCTION("""COMPUTED_VALUE"""),"")</f>
        <v/>
      </c>
      <c r="X5572" s="16" t="str">
        <f>IFERROR(__xludf.DUMMYFUNCTION("""COMPUTED_VALUE"""),"")</f>
        <v/>
      </c>
      <c r="AC5572" s="16" t="str">
        <f>IFERROR(__xludf.DUMMYFUNCTION("""COMPUTED_VALUE"""),"")</f>
        <v/>
      </c>
    </row>
    <row r="5573">
      <c r="A5573" s="16" t="s">
        <v>87</v>
      </c>
      <c r="E5573" s="16" t="str">
        <f>IFERROR(__xludf.DUMMYFUNCTION("""COMPUTED_VALUE"""),"")</f>
        <v/>
      </c>
      <c r="G5573" s="18"/>
      <c r="H5573" s="16" t="s">
        <v>87</v>
      </c>
      <c r="I5573" s="16" t="s">
        <v>87</v>
      </c>
      <c r="J5573" s="19"/>
      <c r="L5573" s="16" t="str">
        <f>IFERROR(__xludf.DUMMYFUNCTION("""COMPUTED_VALUE"""),"")</f>
        <v/>
      </c>
      <c r="M5573" s="16" t="str">
        <f>IFERROR(__xludf.DUMMYFUNCTION("""COMPUTED_VALUE"""),"")</f>
        <v/>
      </c>
      <c r="U5573" s="16" t="s">
        <v>87</v>
      </c>
      <c r="V5573" s="16" t="str">
        <f>IFERROR(__xludf.DUMMYFUNCTION("""COMPUTED_VALUE"""),"")</f>
        <v/>
      </c>
      <c r="W5573" s="16" t="str">
        <f>IFERROR(__xludf.DUMMYFUNCTION("""COMPUTED_VALUE"""),"")</f>
        <v/>
      </c>
      <c r="X5573" s="16" t="str">
        <f>IFERROR(__xludf.DUMMYFUNCTION("""COMPUTED_VALUE"""),"")</f>
        <v/>
      </c>
      <c r="AC5573" s="16" t="str">
        <f>IFERROR(__xludf.DUMMYFUNCTION("""COMPUTED_VALUE"""),"")</f>
        <v/>
      </c>
    </row>
    <row r="5574">
      <c r="A5574" s="16" t="s">
        <v>87</v>
      </c>
      <c r="E5574" s="16" t="str">
        <f>IFERROR(__xludf.DUMMYFUNCTION("""COMPUTED_VALUE"""),"")</f>
        <v/>
      </c>
      <c r="G5574" s="18"/>
      <c r="H5574" s="16" t="s">
        <v>87</v>
      </c>
      <c r="I5574" s="16" t="s">
        <v>87</v>
      </c>
      <c r="J5574" s="19"/>
      <c r="L5574" s="16" t="str">
        <f>IFERROR(__xludf.DUMMYFUNCTION("""COMPUTED_VALUE"""),"")</f>
        <v/>
      </c>
      <c r="M5574" s="16" t="str">
        <f>IFERROR(__xludf.DUMMYFUNCTION("""COMPUTED_VALUE"""),"")</f>
        <v/>
      </c>
      <c r="U5574" s="16" t="s">
        <v>87</v>
      </c>
      <c r="V5574" s="16" t="str">
        <f>IFERROR(__xludf.DUMMYFUNCTION("""COMPUTED_VALUE"""),"")</f>
        <v/>
      </c>
      <c r="W5574" s="16" t="str">
        <f>IFERROR(__xludf.DUMMYFUNCTION("""COMPUTED_VALUE"""),"")</f>
        <v/>
      </c>
      <c r="X5574" s="16" t="str">
        <f>IFERROR(__xludf.DUMMYFUNCTION("""COMPUTED_VALUE"""),"")</f>
        <v/>
      </c>
      <c r="AC5574" s="16" t="str">
        <f>IFERROR(__xludf.DUMMYFUNCTION("""COMPUTED_VALUE"""),"")</f>
        <v/>
      </c>
    </row>
    <row r="5575">
      <c r="A5575" s="16" t="s">
        <v>87</v>
      </c>
      <c r="E5575" s="16" t="str">
        <f>IFERROR(__xludf.DUMMYFUNCTION("""COMPUTED_VALUE"""),"")</f>
        <v/>
      </c>
      <c r="G5575" s="18"/>
      <c r="H5575" s="16" t="s">
        <v>87</v>
      </c>
      <c r="I5575" s="16" t="s">
        <v>87</v>
      </c>
      <c r="J5575" s="19"/>
      <c r="L5575" s="16" t="str">
        <f>IFERROR(__xludf.DUMMYFUNCTION("""COMPUTED_VALUE"""),"")</f>
        <v/>
      </c>
      <c r="M5575" s="16" t="str">
        <f>IFERROR(__xludf.DUMMYFUNCTION("""COMPUTED_VALUE"""),"")</f>
        <v/>
      </c>
      <c r="U5575" s="16" t="s">
        <v>87</v>
      </c>
      <c r="V5575" s="16" t="str">
        <f>IFERROR(__xludf.DUMMYFUNCTION("""COMPUTED_VALUE"""),"")</f>
        <v/>
      </c>
      <c r="W5575" s="16" t="str">
        <f>IFERROR(__xludf.DUMMYFUNCTION("""COMPUTED_VALUE"""),"")</f>
        <v/>
      </c>
      <c r="X5575" s="16" t="str">
        <f>IFERROR(__xludf.DUMMYFUNCTION("""COMPUTED_VALUE"""),"")</f>
        <v/>
      </c>
      <c r="AC5575" s="16" t="str">
        <f>IFERROR(__xludf.DUMMYFUNCTION("""COMPUTED_VALUE"""),"")</f>
        <v/>
      </c>
    </row>
    <row r="5576">
      <c r="A5576" s="16" t="s">
        <v>87</v>
      </c>
      <c r="E5576" s="16" t="str">
        <f>IFERROR(__xludf.DUMMYFUNCTION("""COMPUTED_VALUE"""),"")</f>
        <v/>
      </c>
      <c r="G5576" s="18"/>
      <c r="H5576" s="16" t="s">
        <v>87</v>
      </c>
      <c r="I5576" s="16" t="s">
        <v>87</v>
      </c>
      <c r="J5576" s="19"/>
      <c r="L5576" s="16" t="str">
        <f>IFERROR(__xludf.DUMMYFUNCTION("""COMPUTED_VALUE"""),"")</f>
        <v/>
      </c>
      <c r="M5576" s="16" t="str">
        <f>IFERROR(__xludf.DUMMYFUNCTION("""COMPUTED_VALUE"""),"")</f>
        <v/>
      </c>
      <c r="U5576" s="16" t="s">
        <v>87</v>
      </c>
      <c r="V5576" s="16" t="str">
        <f>IFERROR(__xludf.DUMMYFUNCTION("""COMPUTED_VALUE"""),"")</f>
        <v/>
      </c>
      <c r="W5576" s="16" t="str">
        <f>IFERROR(__xludf.DUMMYFUNCTION("""COMPUTED_VALUE"""),"")</f>
        <v/>
      </c>
      <c r="X5576" s="16" t="str">
        <f>IFERROR(__xludf.DUMMYFUNCTION("""COMPUTED_VALUE"""),"")</f>
        <v/>
      </c>
      <c r="AC5576" s="16" t="str">
        <f>IFERROR(__xludf.DUMMYFUNCTION("""COMPUTED_VALUE"""),"")</f>
        <v/>
      </c>
    </row>
    <row r="5577">
      <c r="A5577" s="16" t="s">
        <v>87</v>
      </c>
      <c r="E5577" s="16" t="str">
        <f>IFERROR(__xludf.DUMMYFUNCTION("""COMPUTED_VALUE"""),"")</f>
        <v/>
      </c>
      <c r="G5577" s="18"/>
      <c r="H5577" s="16" t="s">
        <v>87</v>
      </c>
      <c r="I5577" s="16" t="s">
        <v>87</v>
      </c>
      <c r="J5577" s="19"/>
      <c r="L5577" s="16" t="str">
        <f>IFERROR(__xludf.DUMMYFUNCTION("""COMPUTED_VALUE"""),"")</f>
        <v/>
      </c>
      <c r="M5577" s="16" t="str">
        <f>IFERROR(__xludf.DUMMYFUNCTION("""COMPUTED_VALUE"""),"")</f>
        <v/>
      </c>
      <c r="U5577" s="16" t="s">
        <v>87</v>
      </c>
      <c r="V5577" s="16" t="str">
        <f>IFERROR(__xludf.DUMMYFUNCTION("""COMPUTED_VALUE"""),"")</f>
        <v/>
      </c>
      <c r="W5577" s="16" t="str">
        <f>IFERROR(__xludf.DUMMYFUNCTION("""COMPUTED_VALUE"""),"")</f>
        <v/>
      </c>
      <c r="X5577" s="16" t="str">
        <f>IFERROR(__xludf.DUMMYFUNCTION("""COMPUTED_VALUE"""),"")</f>
        <v/>
      </c>
      <c r="AC5577" s="16" t="str">
        <f>IFERROR(__xludf.DUMMYFUNCTION("""COMPUTED_VALUE"""),"")</f>
        <v/>
      </c>
    </row>
    <row r="5578">
      <c r="A5578" s="16" t="s">
        <v>87</v>
      </c>
      <c r="E5578" s="16" t="str">
        <f>IFERROR(__xludf.DUMMYFUNCTION("""COMPUTED_VALUE"""),"")</f>
        <v/>
      </c>
      <c r="G5578" s="18"/>
      <c r="H5578" s="16" t="s">
        <v>87</v>
      </c>
      <c r="I5578" s="16" t="s">
        <v>87</v>
      </c>
      <c r="J5578" s="19"/>
      <c r="L5578" s="16" t="str">
        <f>IFERROR(__xludf.DUMMYFUNCTION("""COMPUTED_VALUE"""),"")</f>
        <v/>
      </c>
      <c r="M5578" s="16" t="str">
        <f>IFERROR(__xludf.DUMMYFUNCTION("""COMPUTED_VALUE"""),"")</f>
        <v/>
      </c>
      <c r="U5578" s="16" t="s">
        <v>87</v>
      </c>
      <c r="V5578" s="16" t="str">
        <f>IFERROR(__xludf.DUMMYFUNCTION("""COMPUTED_VALUE"""),"")</f>
        <v/>
      </c>
      <c r="W5578" s="16" t="str">
        <f>IFERROR(__xludf.DUMMYFUNCTION("""COMPUTED_VALUE"""),"")</f>
        <v/>
      </c>
      <c r="X5578" s="16" t="str">
        <f>IFERROR(__xludf.DUMMYFUNCTION("""COMPUTED_VALUE"""),"")</f>
        <v/>
      </c>
      <c r="AC5578" s="16" t="str">
        <f>IFERROR(__xludf.DUMMYFUNCTION("""COMPUTED_VALUE"""),"")</f>
        <v/>
      </c>
    </row>
    <row r="5579">
      <c r="A5579" s="16" t="s">
        <v>87</v>
      </c>
      <c r="E5579" s="16" t="str">
        <f>IFERROR(__xludf.DUMMYFUNCTION("""COMPUTED_VALUE"""),"")</f>
        <v/>
      </c>
      <c r="G5579" s="18"/>
      <c r="H5579" s="16" t="s">
        <v>87</v>
      </c>
      <c r="I5579" s="16" t="s">
        <v>87</v>
      </c>
      <c r="J5579" s="19"/>
      <c r="L5579" s="16" t="str">
        <f>IFERROR(__xludf.DUMMYFUNCTION("""COMPUTED_VALUE"""),"")</f>
        <v/>
      </c>
      <c r="M5579" s="16" t="str">
        <f>IFERROR(__xludf.DUMMYFUNCTION("""COMPUTED_VALUE"""),"")</f>
        <v/>
      </c>
      <c r="U5579" s="16" t="s">
        <v>87</v>
      </c>
      <c r="V5579" s="16" t="str">
        <f>IFERROR(__xludf.DUMMYFUNCTION("""COMPUTED_VALUE"""),"")</f>
        <v/>
      </c>
      <c r="W5579" s="16" t="str">
        <f>IFERROR(__xludf.DUMMYFUNCTION("""COMPUTED_VALUE"""),"")</f>
        <v/>
      </c>
      <c r="X5579" s="16" t="str">
        <f>IFERROR(__xludf.DUMMYFUNCTION("""COMPUTED_VALUE"""),"")</f>
        <v/>
      </c>
      <c r="AC5579" s="16" t="str">
        <f>IFERROR(__xludf.DUMMYFUNCTION("""COMPUTED_VALUE"""),"")</f>
        <v/>
      </c>
    </row>
    <row r="5580">
      <c r="A5580" s="16" t="s">
        <v>87</v>
      </c>
      <c r="E5580" s="16" t="str">
        <f>IFERROR(__xludf.DUMMYFUNCTION("""COMPUTED_VALUE"""),"")</f>
        <v/>
      </c>
      <c r="G5580" s="18"/>
      <c r="H5580" s="16" t="s">
        <v>87</v>
      </c>
      <c r="I5580" s="16" t="s">
        <v>87</v>
      </c>
      <c r="J5580" s="19"/>
      <c r="L5580" s="16" t="str">
        <f>IFERROR(__xludf.DUMMYFUNCTION("""COMPUTED_VALUE"""),"")</f>
        <v/>
      </c>
      <c r="M5580" s="16" t="str">
        <f>IFERROR(__xludf.DUMMYFUNCTION("""COMPUTED_VALUE"""),"")</f>
        <v/>
      </c>
      <c r="U5580" s="16" t="s">
        <v>87</v>
      </c>
      <c r="V5580" s="16" t="str">
        <f>IFERROR(__xludf.DUMMYFUNCTION("""COMPUTED_VALUE"""),"")</f>
        <v/>
      </c>
      <c r="W5580" s="16" t="str">
        <f>IFERROR(__xludf.DUMMYFUNCTION("""COMPUTED_VALUE"""),"")</f>
        <v/>
      </c>
      <c r="X5580" s="16" t="str">
        <f>IFERROR(__xludf.DUMMYFUNCTION("""COMPUTED_VALUE"""),"")</f>
        <v/>
      </c>
      <c r="AC5580" s="16" t="str">
        <f>IFERROR(__xludf.DUMMYFUNCTION("""COMPUTED_VALUE"""),"")</f>
        <v/>
      </c>
    </row>
    <row r="5581">
      <c r="A5581" s="16" t="s">
        <v>87</v>
      </c>
      <c r="E5581" s="16" t="str">
        <f>IFERROR(__xludf.DUMMYFUNCTION("""COMPUTED_VALUE"""),"")</f>
        <v/>
      </c>
      <c r="G5581" s="18"/>
      <c r="H5581" s="16" t="s">
        <v>87</v>
      </c>
      <c r="I5581" s="16" t="s">
        <v>87</v>
      </c>
      <c r="J5581" s="19"/>
      <c r="L5581" s="16" t="str">
        <f>IFERROR(__xludf.DUMMYFUNCTION("""COMPUTED_VALUE"""),"")</f>
        <v/>
      </c>
      <c r="M5581" s="16" t="str">
        <f>IFERROR(__xludf.DUMMYFUNCTION("""COMPUTED_VALUE"""),"")</f>
        <v/>
      </c>
      <c r="U5581" s="16" t="s">
        <v>87</v>
      </c>
      <c r="V5581" s="16" t="str">
        <f>IFERROR(__xludf.DUMMYFUNCTION("""COMPUTED_VALUE"""),"")</f>
        <v/>
      </c>
      <c r="W5581" s="16" t="str">
        <f>IFERROR(__xludf.DUMMYFUNCTION("""COMPUTED_VALUE"""),"")</f>
        <v/>
      </c>
      <c r="X5581" s="16" t="str">
        <f>IFERROR(__xludf.DUMMYFUNCTION("""COMPUTED_VALUE"""),"")</f>
        <v/>
      </c>
      <c r="AC5581" s="16" t="str">
        <f>IFERROR(__xludf.DUMMYFUNCTION("""COMPUTED_VALUE"""),"")</f>
        <v/>
      </c>
    </row>
    <row r="5582">
      <c r="A5582" s="16" t="s">
        <v>87</v>
      </c>
      <c r="E5582" s="16" t="str">
        <f>IFERROR(__xludf.DUMMYFUNCTION("""COMPUTED_VALUE"""),"")</f>
        <v/>
      </c>
      <c r="G5582" s="18"/>
      <c r="H5582" s="16" t="s">
        <v>87</v>
      </c>
      <c r="I5582" s="16" t="s">
        <v>87</v>
      </c>
      <c r="J5582" s="19"/>
      <c r="L5582" s="16" t="str">
        <f>IFERROR(__xludf.DUMMYFUNCTION("""COMPUTED_VALUE"""),"")</f>
        <v/>
      </c>
      <c r="M5582" s="16" t="str">
        <f>IFERROR(__xludf.DUMMYFUNCTION("""COMPUTED_VALUE"""),"")</f>
        <v/>
      </c>
      <c r="U5582" s="16" t="s">
        <v>87</v>
      </c>
      <c r="V5582" s="16" t="str">
        <f>IFERROR(__xludf.DUMMYFUNCTION("""COMPUTED_VALUE"""),"")</f>
        <v/>
      </c>
      <c r="W5582" s="16" t="str">
        <f>IFERROR(__xludf.DUMMYFUNCTION("""COMPUTED_VALUE"""),"")</f>
        <v/>
      </c>
      <c r="X5582" s="16" t="str">
        <f>IFERROR(__xludf.DUMMYFUNCTION("""COMPUTED_VALUE"""),"")</f>
        <v/>
      </c>
      <c r="AC5582" s="16" t="str">
        <f>IFERROR(__xludf.DUMMYFUNCTION("""COMPUTED_VALUE"""),"")</f>
        <v/>
      </c>
    </row>
    <row r="5583">
      <c r="A5583" s="16" t="s">
        <v>87</v>
      </c>
      <c r="E5583" s="16" t="str">
        <f>IFERROR(__xludf.DUMMYFUNCTION("""COMPUTED_VALUE"""),"")</f>
        <v/>
      </c>
      <c r="G5583" s="18"/>
      <c r="H5583" s="16" t="s">
        <v>87</v>
      </c>
      <c r="I5583" s="16" t="s">
        <v>87</v>
      </c>
      <c r="J5583" s="19"/>
      <c r="L5583" s="16" t="str">
        <f>IFERROR(__xludf.DUMMYFUNCTION("""COMPUTED_VALUE"""),"")</f>
        <v/>
      </c>
      <c r="M5583" s="16" t="str">
        <f>IFERROR(__xludf.DUMMYFUNCTION("""COMPUTED_VALUE"""),"")</f>
        <v/>
      </c>
      <c r="U5583" s="16" t="s">
        <v>87</v>
      </c>
      <c r="V5583" s="16" t="str">
        <f>IFERROR(__xludf.DUMMYFUNCTION("""COMPUTED_VALUE"""),"")</f>
        <v/>
      </c>
      <c r="W5583" s="16" t="str">
        <f>IFERROR(__xludf.DUMMYFUNCTION("""COMPUTED_VALUE"""),"")</f>
        <v/>
      </c>
      <c r="X5583" s="16" t="str">
        <f>IFERROR(__xludf.DUMMYFUNCTION("""COMPUTED_VALUE"""),"")</f>
        <v/>
      </c>
      <c r="AC5583" s="16" t="str">
        <f>IFERROR(__xludf.DUMMYFUNCTION("""COMPUTED_VALUE"""),"")</f>
        <v/>
      </c>
    </row>
    <row r="5584">
      <c r="A5584" s="16" t="s">
        <v>87</v>
      </c>
      <c r="E5584" s="16" t="str">
        <f>IFERROR(__xludf.DUMMYFUNCTION("""COMPUTED_VALUE"""),"")</f>
        <v/>
      </c>
      <c r="G5584" s="18"/>
      <c r="H5584" s="16" t="s">
        <v>87</v>
      </c>
      <c r="I5584" s="16" t="s">
        <v>87</v>
      </c>
      <c r="J5584" s="19"/>
      <c r="L5584" s="16" t="str">
        <f>IFERROR(__xludf.DUMMYFUNCTION("""COMPUTED_VALUE"""),"")</f>
        <v/>
      </c>
      <c r="M5584" s="16" t="str">
        <f>IFERROR(__xludf.DUMMYFUNCTION("""COMPUTED_VALUE"""),"")</f>
        <v/>
      </c>
      <c r="U5584" s="16" t="s">
        <v>87</v>
      </c>
      <c r="V5584" s="16" t="str">
        <f>IFERROR(__xludf.DUMMYFUNCTION("""COMPUTED_VALUE"""),"")</f>
        <v/>
      </c>
      <c r="W5584" s="16" t="str">
        <f>IFERROR(__xludf.DUMMYFUNCTION("""COMPUTED_VALUE"""),"")</f>
        <v/>
      </c>
      <c r="X5584" s="16" t="str">
        <f>IFERROR(__xludf.DUMMYFUNCTION("""COMPUTED_VALUE"""),"")</f>
        <v/>
      </c>
      <c r="AC5584" s="16" t="str">
        <f>IFERROR(__xludf.DUMMYFUNCTION("""COMPUTED_VALUE"""),"")</f>
        <v/>
      </c>
    </row>
    <row r="5585">
      <c r="A5585" s="16" t="s">
        <v>87</v>
      </c>
      <c r="E5585" s="16" t="str">
        <f>IFERROR(__xludf.DUMMYFUNCTION("""COMPUTED_VALUE"""),"")</f>
        <v/>
      </c>
      <c r="G5585" s="18"/>
      <c r="H5585" s="16" t="s">
        <v>87</v>
      </c>
      <c r="I5585" s="16" t="s">
        <v>87</v>
      </c>
      <c r="J5585" s="19"/>
      <c r="L5585" s="16" t="str">
        <f>IFERROR(__xludf.DUMMYFUNCTION("""COMPUTED_VALUE"""),"")</f>
        <v/>
      </c>
      <c r="M5585" s="16" t="str">
        <f>IFERROR(__xludf.DUMMYFUNCTION("""COMPUTED_VALUE"""),"")</f>
        <v/>
      </c>
      <c r="U5585" s="16" t="s">
        <v>87</v>
      </c>
      <c r="V5585" s="16" t="str">
        <f>IFERROR(__xludf.DUMMYFUNCTION("""COMPUTED_VALUE"""),"")</f>
        <v/>
      </c>
      <c r="W5585" s="16" t="str">
        <f>IFERROR(__xludf.DUMMYFUNCTION("""COMPUTED_VALUE"""),"")</f>
        <v/>
      </c>
      <c r="X5585" s="16" t="str">
        <f>IFERROR(__xludf.DUMMYFUNCTION("""COMPUTED_VALUE"""),"")</f>
        <v/>
      </c>
      <c r="AC5585" s="16" t="str">
        <f>IFERROR(__xludf.DUMMYFUNCTION("""COMPUTED_VALUE"""),"")</f>
        <v/>
      </c>
    </row>
    <row r="5586">
      <c r="A5586" s="16" t="s">
        <v>87</v>
      </c>
      <c r="E5586" s="16" t="str">
        <f>IFERROR(__xludf.DUMMYFUNCTION("""COMPUTED_VALUE"""),"")</f>
        <v/>
      </c>
      <c r="G5586" s="18"/>
      <c r="H5586" s="16" t="s">
        <v>87</v>
      </c>
      <c r="I5586" s="16" t="s">
        <v>87</v>
      </c>
      <c r="J5586" s="19"/>
      <c r="L5586" s="16" t="str">
        <f>IFERROR(__xludf.DUMMYFUNCTION("""COMPUTED_VALUE"""),"")</f>
        <v/>
      </c>
      <c r="M5586" s="16" t="str">
        <f>IFERROR(__xludf.DUMMYFUNCTION("""COMPUTED_VALUE"""),"")</f>
        <v/>
      </c>
      <c r="U5586" s="16" t="s">
        <v>87</v>
      </c>
      <c r="V5586" s="16" t="str">
        <f>IFERROR(__xludf.DUMMYFUNCTION("""COMPUTED_VALUE"""),"")</f>
        <v/>
      </c>
      <c r="W5586" s="16" t="str">
        <f>IFERROR(__xludf.DUMMYFUNCTION("""COMPUTED_VALUE"""),"")</f>
        <v/>
      </c>
      <c r="X5586" s="16" t="str">
        <f>IFERROR(__xludf.DUMMYFUNCTION("""COMPUTED_VALUE"""),"")</f>
        <v/>
      </c>
      <c r="AC5586" s="16" t="str">
        <f>IFERROR(__xludf.DUMMYFUNCTION("""COMPUTED_VALUE"""),"")</f>
        <v/>
      </c>
    </row>
    <row r="5587">
      <c r="A5587" s="16" t="s">
        <v>87</v>
      </c>
      <c r="E5587" s="16" t="str">
        <f>IFERROR(__xludf.DUMMYFUNCTION("""COMPUTED_VALUE"""),"")</f>
        <v/>
      </c>
      <c r="G5587" s="18"/>
      <c r="H5587" s="16" t="s">
        <v>87</v>
      </c>
      <c r="I5587" s="16" t="s">
        <v>87</v>
      </c>
      <c r="J5587" s="19"/>
      <c r="L5587" s="16" t="str">
        <f>IFERROR(__xludf.DUMMYFUNCTION("""COMPUTED_VALUE"""),"")</f>
        <v/>
      </c>
      <c r="M5587" s="16" t="str">
        <f>IFERROR(__xludf.DUMMYFUNCTION("""COMPUTED_VALUE"""),"")</f>
        <v/>
      </c>
      <c r="U5587" s="16" t="s">
        <v>87</v>
      </c>
      <c r="V5587" s="16" t="str">
        <f>IFERROR(__xludf.DUMMYFUNCTION("""COMPUTED_VALUE"""),"")</f>
        <v/>
      </c>
      <c r="W5587" s="16" t="str">
        <f>IFERROR(__xludf.DUMMYFUNCTION("""COMPUTED_VALUE"""),"")</f>
        <v/>
      </c>
      <c r="X5587" s="16" t="str">
        <f>IFERROR(__xludf.DUMMYFUNCTION("""COMPUTED_VALUE"""),"")</f>
        <v/>
      </c>
      <c r="AC5587" s="16" t="str">
        <f>IFERROR(__xludf.DUMMYFUNCTION("""COMPUTED_VALUE"""),"")</f>
        <v/>
      </c>
    </row>
    <row r="5588">
      <c r="A5588" s="16" t="s">
        <v>87</v>
      </c>
      <c r="E5588" s="16" t="str">
        <f>IFERROR(__xludf.DUMMYFUNCTION("""COMPUTED_VALUE"""),"")</f>
        <v/>
      </c>
      <c r="G5588" s="18"/>
      <c r="H5588" s="16" t="s">
        <v>87</v>
      </c>
      <c r="I5588" s="16" t="s">
        <v>87</v>
      </c>
      <c r="J5588" s="19"/>
      <c r="L5588" s="16" t="str">
        <f>IFERROR(__xludf.DUMMYFUNCTION("""COMPUTED_VALUE"""),"")</f>
        <v/>
      </c>
      <c r="M5588" s="16" t="str">
        <f>IFERROR(__xludf.DUMMYFUNCTION("""COMPUTED_VALUE"""),"")</f>
        <v/>
      </c>
      <c r="U5588" s="16" t="s">
        <v>87</v>
      </c>
      <c r="V5588" s="16" t="str">
        <f>IFERROR(__xludf.DUMMYFUNCTION("""COMPUTED_VALUE"""),"")</f>
        <v/>
      </c>
      <c r="W5588" s="16" t="str">
        <f>IFERROR(__xludf.DUMMYFUNCTION("""COMPUTED_VALUE"""),"")</f>
        <v/>
      </c>
      <c r="X5588" s="16" t="str">
        <f>IFERROR(__xludf.DUMMYFUNCTION("""COMPUTED_VALUE"""),"")</f>
        <v/>
      </c>
      <c r="AC5588" s="16" t="str">
        <f>IFERROR(__xludf.DUMMYFUNCTION("""COMPUTED_VALUE"""),"")</f>
        <v/>
      </c>
    </row>
    <row r="5589">
      <c r="A5589" s="16" t="s">
        <v>87</v>
      </c>
      <c r="E5589" s="16" t="str">
        <f>IFERROR(__xludf.DUMMYFUNCTION("""COMPUTED_VALUE"""),"")</f>
        <v/>
      </c>
      <c r="G5589" s="18"/>
      <c r="H5589" s="16" t="s">
        <v>87</v>
      </c>
      <c r="I5589" s="16" t="s">
        <v>87</v>
      </c>
      <c r="J5589" s="19"/>
      <c r="L5589" s="16" t="str">
        <f>IFERROR(__xludf.DUMMYFUNCTION("""COMPUTED_VALUE"""),"")</f>
        <v/>
      </c>
      <c r="M5589" s="16" t="str">
        <f>IFERROR(__xludf.DUMMYFUNCTION("""COMPUTED_VALUE"""),"")</f>
        <v/>
      </c>
      <c r="U5589" s="16" t="s">
        <v>87</v>
      </c>
      <c r="V5589" s="16" t="str">
        <f>IFERROR(__xludf.DUMMYFUNCTION("""COMPUTED_VALUE"""),"")</f>
        <v/>
      </c>
      <c r="W5589" s="16" t="str">
        <f>IFERROR(__xludf.DUMMYFUNCTION("""COMPUTED_VALUE"""),"")</f>
        <v/>
      </c>
      <c r="X5589" s="16" t="str">
        <f>IFERROR(__xludf.DUMMYFUNCTION("""COMPUTED_VALUE"""),"")</f>
        <v/>
      </c>
      <c r="AC5589" s="16" t="str">
        <f>IFERROR(__xludf.DUMMYFUNCTION("""COMPUTED_VALUE"""),"")</f>
        <v/>
      </c>
    </row>
    <row r="5590">
      <c r="A5590" s="16" t="s">
        <v>87</v>
      </c>
      <c r="E5590" s="16" t="str">
        <f>IFERROR(__xludf.DUMMYFUNCTION("""COMPUTED_VALUE"""),"")</f>
        <v/>
      </c>
      <c r="G5590" s="18"/>
      <c r="H5590" s="16" t="s">
        <v>87</v>
      </c>
      <c r="I5590" s="16" t="s">
        <v>87</v>
      </c>
      <c r="J5590" s="19"/>
      <c r="L5590" s="16" t="str">
        <f>IFERROR(__xludf.DUMMYFUNCTION("""COMPUTED_VALUE"""),"")</f>
        <v/>
      </c>
      <c r="M5590" s="16" t="str">
        <f>IFERROR(__xludf.DUMMYFUNCTION("""COMPUTED_VALUE"""),"")</f>
        <v/>
      </c>
      <c r="U5590" s="16" t="s">
        <v>87</v>
      </c>
      <c r="V5590" s="16" t="str">
        <f>IFERROR(__xludf.DUMMYFUNCTION("""COMPUTED_VALUE"""),"")</f>
        <v/>
      </c>
      <c r="W5590" s="16" t="str">
        <f>IFERROR(__xludf.DUMMYFUNCTION("""COMPUTED_VALUE"""),"")</f>
        <v/>
      </c>
      <c r="X5590" s="16" t="str">
        <f>IFERROR(__xludf.DUMMYFUNCTION("""COMPUTED_VALUE"""),"")</f>
        <v/>
      </c>
      <c r="AC5590" s="16" t="str">
        <f>IFERROR(__xludf.DUMMYFUNCTION("""COMPUTED_VALUE"""),"")</f>
        <v/>
      </c>
    </row>
    <row r="5591">
      <c r="A5591" s="16" t="s">
        <v>87</v>
      </c>
      <c r="E5591" s="16" t="str">
        <f>IFERROR(__xludf.DUMMYFUNCTION("""COMPUTED_VALUE"""),"")</f>
        <v/>
      </c>
      <c r="G5591" s="18"/>
      <c r="H5591" s="16" t="s">
        <v>87</v>
      </c>
      <c r="I5591" s="16" t="s">
        <v>87</v>
      </c>
      <c r="J5591" s="19"/>
      <c r="L5591" s="16" t="str">
        <f>IFERROR(__xludf.DUMMYFUNCTION("""COMPUTED_VALUE"""),"")</f>
        <v/>
      </c>
      <c r="M5591" s="16" t="str">
        <f>IFERROR(__xludf.DUMMYFUNCTION("""COMPUTED_VALUE"""),"")</f>
        <v/>
      </c>
      <c r="U5591" s="16" t="s">
        <v>87</v>
      </c>
      <c r="V5591" s="16" t="str">
        <f>IFERROR(__xludf.DUMMYFUNCTION("""COMPUTED_VALUE"""),"")</f>
        <v/>
      </c>
      <c r="W5591" s="16" t="str">
        <f>IFERROR(__xludf.DUMMYFUNCTION("""COMPUTED_VALUE"""),"")</f>
        <v/>
      </c>
      <c r="X5591" s="16" t="str">
        <f>IFERROR(__xludf.DUMMYFUNCTION("""COMPUTED_VALUE"""),"")</f>
        <v/>
      </c>
      <c r="AC5591" s="16" t="str">
        <f>IFERROR(__xludf.DUMMYFUNCTION("""COMPUTED_VALUE"""),"")</f>
        <v/>
      </c>
    </row>
    <row r="5592">
      <c r="A5592" s="16" t="s">
        <v>87</v>
      </c>
      <c r="E5592" s="16" t="str">
        <f>IFERROR(__xludf.DUMMYFUNCTION("""COMPUTED_VALUE"""),"")</f>
        <v/>
      </c>
      <c r="G5592" s="18"/>
      <c r="H5592" s="16" t="s">
        <v>87</v>
      </c>
      <c r="I5592" s="16" t="s">
        <v>87</v>
      </c>
      <c r="J5592" s="19"/>
      <c r="L5592" s="16" t="str">
        <f>IFERROR(__xludf.DUMMYFUNCTION("""COMPUTED_VALUE"""),"")</f>
        <v/>
      </c>
      <c r="M5592" s="16" t="str">
        <f>IFERROR(__xludf.DUMMYFUNCTION("""COMPUTED_VALUE"""),"")</f>
        <v/>
      </c>
      <c r="U5592" s="16" t="s">
        <v>87</v>
      </c>
      <c r="V5592" s="16" t="str">
        <f>IFERROR(__xludf.DUMMYFUNCTION("""COMPUTED_VALUE"""),"")</f>
        <v/>
      </c>
      <c r="W5592" s="16" t="str">
        <f>IFERROR(__xludf.DUMMYFUNCTION("""COMPUTED_VALUE"""),"")</f>
        <v/>
      </c>
      <c r="X5592" s="16" t="str">
        <f>IFERROR(__xludf.DUMMYFUNCTION("""COMPUTED_VALUE"""),"")</f>
        <v/>
      </c>
      <c r="AC5592" s="16" t="str">
        <f>IFERROR(__xludf.DUMMYFUNCTION("""COMPUTED_VALUE"""),"")</f>
        <v/>
      </c>
    </row>
    <row r="5593">
      <c r="A5593" s="16" t="s">
        <v>87</v>
      </c>
      <c r="E5593" s="16" t="str">
        <f>IFERROR(__xludf.DUMMYFUNCTION("""COMPUTED_VALUE"""),"")</f>
        <v/>
      </c>
      <c r="G5593" s="18"/>
      <c r="H5593" s="16" t="s">
        <v>87</v>
      </c>
      <c r="I5593" s="16" t="s">
        <v>87</v>
      </c>
      <c r="J5593" s="19"/>
      <c r="L5593" s="16" t="str">
        <f>IFERROR(__xludf.DUMMYFUNCTION("""COMPUTED_VALUE"""),"")</f>
        <v/>
      </c>
      <c r="M5593" s="16" t="str">
        <f>IFERROR(__xludf.DUMMYFUNCTION("""COMPUTED_VALUE"""),"")</f>
        <v/>
      </c>
      <c r="U5593" s="16" t="s">
        <v>87</v>
      </c>
      <c r="V5593" s="16" t="str">
        <f>IFERROR(__xludf.DUMMYFUNCTION("""COMPUTED_VALUE"""),"")</f>
        <v/>
      </c>
      <c r="W5593" s="16" t="str">
        <f>IFERROR(__xludf.DUMMYFUNCTION("""COMPUTED_VALUE"""),"")</f>
        <v/>
      </c>
      <c r="X5593" s="16" t="str">
        <f>IFERROR(__xludf.DUMMYFUNCTION("""COMPUTED_VALUE"""),"")</f>
        <v/>
      </c>
      <c r="AC5593" s="16" t="str">
        <f>IFERROR(__xludf.DUMMYFUNCTION("""COMPUTED_VALUE"""),"")</f>
        <v/>
      </c>
    </row>
    <row r="5594">
      <c r="A5594" s="16" t="s">
        <v>87</v>
      </c>
      <c r="E5594" s="16" t="str">
        <f>IFERROR(__xludf.DUMMYFUNCTION("""COMPUTED_VALUE"""),"")</f>
        <v/>
      </c>
      <c r="G5594" s="18"/>
      <c r="H5594" s="16" t="s">
        <v>87</v>
      </c>
      <c r="I5594" s="16" t="s">
        <v>87</v>
      </c>
      <c r="J5594" s="19"/>
      <c r="L5594" s="16" t="str">
        <f>IFERROR(__xludf.DUMMYFUNCTION("""COMPUTED_VALUE"""),"")</f>
        <v/>
      </c>
      <c r="M5594" s="16" t="str">
        <f>IFERROR(__xludf.DUMMYFUNCTION("""COMPUTED_VALUE"""),"")</f>
        <v/>
      </c>
      <c r="U5594" s="16" t="s">
        <v>87</v>
      </c>
      <c r="V5594" s="16" t="str">
        <f>IFERROR(__xludf.DUMMYFUNCTION("""COMPUTED_VALUE"""),"")</f>
        <v/>
      </c>
      <c r="W5594" s="16" t="str">
        <f>IFERROR(__xludf.DUMMYFUNCTION("""COMPUTED_VALUE"""),"")</f>
        <v/>
      </c>
      <c r="X5594" s="16" t="str">
        <f>IFERROR(__xludf.DUMMYFUNCTION("""COMPUTED_VALUE"""),"")</f>
        <v/>
      </c>
      <c r="AC5594" s="16" t="str">
        <f>IFERROR(__xludf.DUMMYFUNCTION("""COMPUTED_VALUE"""),"")</f>
        <v/>
      </c>
    </row>
    <row r="5595">
      <c r="A5595" s="16" t="s">
        <v>87</v>
      </c>
      <c r="E5595" s="16" t="str">
        <f>IFERROR(__xludf.DUMMYFUNCTION("""COMPUTED_VALUE"""),"")</f>
        <v/>
      </c>
      <c r="G5595" s="18"/>
      <c r="H5595" s="16" t="s">
        <v>87</v>
      </c>
      <c r="I5595" s="16" t="s">
        <v>87</v>
      </c>
      <c r="J5595" s="19"/>
      <c r="L5595" s="16" t="str">
        <f>IFERROR(__xludf.DUMMYFUNCTION("""COMPUTED_VALUE"""),"")</f>
        <v/>
      </c>
      <c r="M5595" s="16" t="str">
        <f>IFERROR(__xludf.DUMMYFUNCTION("""COMPUTED_VALUE"""),"")</f>
        <v/>
      </c>
      <c r="U5595" s="16" t="s">
        <v>87</v>
      </c>
      <c r="V5595" s="16" t="str">
        <f>IFERROR(__xludf.DUMMYFUNCTION("""COMPUTED_VALUE"""),"")</f>
        <v/>
      </c>
      <c r="W5595" s="16" t="str">
        <f>IFERROR(__xludf.DUMMYFUNCTION("""COMPUTED_VALUE"""),"")</f>
        <v/>
      </c>
      <c r="X5595" s="16" t="str">
        <f>IFERROR(__xludf.DUMMYFUNCTION("""COMPUTED_VALUE"""),"")</f>
        <v/>
      </c>
      <c r="AC5595" s="16" t="str">
        <f>IFERROR(__xludf.DUMMYFUNCTION("""COMPUTED_VALUE"""),"")</f>
        <v/>
      </c>
    </row>
    <row r="5596">
      <c r="A5596" s="16" t="s">
        <v>87</v>
      </c>
      <c r="E5596" s="16" t="str">
        <f>IFERROR(__xludf.DUMMYFUNCTION("""COMPUTED_VALUE"""),"")</f>
        <v/>
      </c>
      <c r="G5596" s="18"/>
      <c r="H5596" s="16" t="s">
        <v>87</v>
      </c>
      <c r="I5596" s="16" t="s">
        <v>87</v>
      </c>
      <c r="J5596" s="19"/>
      <c r="L5596" s="16" t="str">
        <f>IFERROR(__xludf.DUMMYFUNCTION("""COMPUTED_VALUE"""),"")</f>
        <v/>
      </c>
      <c r="M5596" s="16" t="str">
        <f>IFERROR(__xludf.DUMMYFUNCTION("""COMPUTED_VALUE"""),"")</f>
        <v/>
      </c>
      <c r="U5596" s="16" t="s">
        <v>87</v>
      </c>
      <c r="V5596" s="16" t="str">
        <f>IFERROR(__xludf.DUMMYFUNCTION("""COMPUTED_VALUE"""),"")</f>
        <v/>
      </c>
      <c r="W5596" s="16" t="str">
        <f>IFERROR(__xludf.DUMMYFUNCTION("""COMPUTED_VALUE"""),"")</f>
        <v/>
      </c>
      <c r="X5596" s="16" t="str">
        <f>IFERROR(__xludf.DUMMYFUNCTION("""COMPUTED_VALUE"""),"")</f>
        <v/>
      </c>
      <c r="AC5596" s="16" t="str">
        <f>IFERROR(__xludf.DUMMYFUNCTION("""COMPUTED_VALUE"""),"")</f>
        <v/>
      </c>
    </row>
    <row r="5597">
      <c r="A5597" s="16" t="s">
        <v>87</v>
      </c>
      <c r="E5597" s="16" t="str">
        <f>IFERROR(__xludf.DUMMYFUNCTION("""COMPUTED_VALUE"""),"")</f>
        <v/>
      </c>
      <c r="G5597" s="18"/>
      <c r="H5597" s="16" t="s">
        <v>87</v>
      </c>
      <c r="I5597" s="16" t="s">
        <v>87</v>
      </c>
      <c r="J5597" s="19"/>
      <c r="L5597" s="16" t="str">
        <f>IFERROR(__xludf.DUMMYFUNCTION("""COMPUTED_VALUE"""),"")</f>
        <v/>
      </c>
      <c r="M5597" s="16" t="str">
        <f>IFERROR(__xludf.DUMMYFUNCTION("""COMPUTED_VALUE"""),"")</f>
        <v/>
      </c>
      <c r="U5597" s="16" t="s">
        <v>87</v>
      </c>
      <c r="V5597" s="16" t="str">
        <f>IFERROR(__xludf.DUMMYFUNCTION("""COMPUTED_VALUE"""),"")</f>
        <v/>
      </c>
      <c r="W5597" s="16" t="str">
        <f>IFERROR(__xludf.DUMMYFUNCTION("""COMPUTED_VALUE"""),"")</f>
        <v/>
      </c>
      <c r="X5597" s="16" t="str">
        <f>IFERROR(__xludf.DUMMYFUNCTION("""COMPUTED_VALUE"""),"")</f>
        <v/>
      </c>
      <c r="AC5597" s="16" t="str">
        <f>IFERROR(__xludf.DUMMYFUNCTION("""COMPUTED_VALUE"""),"")</f>
        <v/>
      </c>
    </row>
    <row r="5598">
      <c r="A5598" s="16" t="s">
        <v>87</v>
      </c>
      <c r="E5598" s="16" t="str">
        <f>IFERROR(__xludf.DUMMYFUNCTION("""COMPUTED_VALUE"""),"")</f>
        <v/>
      </c>
      <c r="G5598" s="18"/>
      <c r="H5598" s="16" t="s">
        <v>87</v>
      </c>
      <c r="I5598" s="16" t="s">
        <v>87</v>
      </c>
      <c r="J5598" s="19"/>
      <c r="L5598" s="16" t="str">
        <f>IFERROR(__xludf.DUMMYFUNCTION("""COMPUTED_VALUE"""),"")</f>
        <v/>
      </c>
      <c r="M5598" s="16" t="str">
        <f>IFERROR(__xludf.DUMMYFUNCTION("""COMPUTED_VALUE"""),"")</f>
        <v/>
      </c>
      <c r="U5598" s="16" t="s">
        <v>87</v>
      </c>
      <c r="V5598" s="16" t="str">
        <f>IFERROR(__xludf.DUMMYFUNCTION("""COMPUTED_VALUE"""),"")</f>
        <v/>
      </c>
      <c r="W5598" s="16" t="str">
        <f>IFERROR(__xludf.DUMMYFUNCTION("""COMPUTED_VALUE"""),"")</f>
        <v/>
      </c>
      <c r="X5598" s="16" t="str">
        <f>IFERROR(__xludf.DUMMYFUNCTION("""COMPUTED_VALUE"""),"")</f>
        <v/>
      </c>
      <c r="AC5598" s="16" t="str">
        <f>IFERROR(__xludf.DUMMYFUNCTION("""COMPUTED_VALUE"""),"")</f>
        <v/>
      </c>
    </row>
    <row r="5599">
      <c r="A5599" s="16" t="s">
        <v>87</v>
      </c>
      <c r="E5599" s="16" t="str">
        <f>IFERROR(__xludf.DUMMYFUNCTION("""COMPUTED_VALUE"""),"")</f>
        <v/>
      </c>
      <c r="G5599" s="18"/>
      <c r="H5599" s="16" t="s">
        <v>87</v>
      </c>
      <c r="I5599" s="16" t="s">
        <v>87</v>
      </c>
      <c r="J5599" s="19"/>
      <c r="L5599" s="16" t="str">
        <f>IFERROR(__xludf.DUMMYFUNCTION("""COMPUTED_VALUE"""),"")</f>
        <v/>
      </c>
      <c r="M5599" s="16" t="str">
        <f>IFERROR(__xludf.DUMMYFUNCTION("""COMPUTED_VALUE"""),"")</f>
        <v/>
      </c>
      <c r="U5599" s="16" t="s">
        <v>87</v>
      </c>
      <c r="V5599" s="16" t="str">
        <f>IFERROR(__xludf.DUMMYFUNCTION("""COMPUTED_VALUE"""),"")</f>
        <v/>
      </c>
      <c r="W5599" s="16" t="str">
        <f>IFERROR(__xludf.DUMMYFUNCTION("""COMPUTED_VALUE"""),"")</f>
        <v/>
      </c>
      <c r="X5599" s="16" t="str">
        <f>IFERROR(__xludf.DUMMYFUNCTION("""COMPUTED_VALUE"""),"")</f>
        <v/>
      </c>
      <c r="AC5599" s="16" t="str">
        <f>IFERROR(__xludf.DUMMYFUNCTION("""COMPUTED_VALUE"""),"")</f>
        <v/>
      </c>
    </row>
    <row r="5600">
      <c r="A5600" s="16" t="s">
        <v>87</v>
      </c>
      <c r="E5600" s="16" t="str">
        <f>IFERROR(__xludf.DUMMYFUNCTION("""COMPUTED_VALUE"""),"")</f>
        <v/>
      </c>
      <c r="G5600" s="18"/>
      <c r="H5600" s="16" t="s">
        <v>87</v>
      </c>
      <c r="I5600" s="16" t="s">
        <v>87</v>
      </c>
      <c r="J5600" s="19"/>
      <c r="L5600" s="16" t="str">
        <f>IFERROR(__xludf.DUMMYFUNCTION("""COMPUTED_VALUE"""),"")</f>
        <v/>
      </c>
      <c r="M5600" s="16" t="str">
        <f>IFERROR(__xludf.DUMMYFUNCTION("""COMPUTED_VALUE"""),"")</f>
        <v/>
      </c>
      <c r="U5600" s="16" t="s">
        <v>87</v>
      </c>
      <c r="V5600" s="16" t="str">
        <f>IFERROR(__xludf.DUMMYFUNCTION("""COMPUTED_VALUE"""),"")</f>
        <v/>
      </c>
      <c r="W5600" s="16" t="str">
        <f>IFERROR(__xludf.DUMMYFUNCTION("""COMPUTED_VALUE"""),"")</f>
        <v/>
      </c>
      <c r="X5600" s="16" t="str">
        <f>IFERROR(__xludf.DUMMYFUNCTION("""COMPUTED_VALUE"""),"")</f>
        <v/>
      </c>
      <c r="AC5600" s="16" t="str">
        <f>IFERROR(__xludf.DUMMYFUNCTION("""COMPUTED_VALUE"""),"")</f>
        <v/>
      </c>
    </row>
    <row r="5601">
      <c r="A5601" s="16" t="s">
        <v>87</v>
      </c>
      <c r="E5601" s="16" t="str">
        <f>IFERROR(__xludf.DUMMYFUNCTION("""COMPUTED_VALUE"""),"")</f>
        <v/>
      </c>
      <c r="G5601" s="18"/>
      <c r="H5601" s="16" t="s">
        <v>87</v>
      </c>
      <c r="I5601" s="16" t="s">
        <v>87</v>
      </c>
      <c r="J5601" s="19"/>
      <c r="L5601" s="16" t="str">
        <f>IFERROR(__xludf.DUMMYFUNCTION("""COMPUTED_VALUE"""),"")</f>
        <v/>
      </c>
      <c r="M5601" s="16" t="str">
        <f>IFERROR(__xludf.DUMMYFUNCTION("""COMPUTED_VALUE"""),"")</f>
        <v/>
      </c>
      <c r="U5601" s="16" t="s">
        <v>87</v>
      </c>
      <c r="V5601" s="16" t="str">
        <f>IFERROR(__xludf.DUMMYFUNCTION("""COMPUTED_VALUE"""),"")</f>
        <v/>
      </c>
      <c r="W5601" s="16" t="str">
        <f>IFERROR(__xludf.DUMMYFUNCTION("""COMPUTED_VALUE"""),"")</f>
        <v/>
      </c>
      <c r="X5601" s="16" t="str">
        <f>IFERROR(__xludf.DUMMYFUNCTION("""COMPUTED_VALUE"""),"")</f>
        <v/>
      </c>
      <c r="AC5601" s="16" t="str">
        <f>IFERROR(__xludf.DUMMYFUNCTION("""COMPUTED_VALUE"""),"")</f>
        <v/>
      </c>
    </row>
    <row r="5602">
      <c r="A5602" s="16" t="s">
        <v>87</v>
      </c>
      <c r="E5602" s="16" t="str">
        <f>IFERROR(__xludf.DUMMYFUNCTION("""COMPUTED_VALUE"""),"")</f>
        <v/>
      </c>
      <c r="G5602" s="18"/>
      <c r="H5602" s="16" t="s">
        <v>87</v>
      </c>
      <c r="I5602" s="16" t="s">
        <v>87</v>
      </c>
      <c r="J5602" s="19"/>
      <c r="L5602" s="16" t="str">
        <f>IFERROR(__xludf.DUMMYFUNCTION("""COMPUTED_VALUE"""),"")</f>
        <v/>
      </c>
      <c r="M5602" s="16" t="str">
        <f>IFERROR(__xludf.DUMMYFUNCTION("""COMPUTED_VALUE"""),"")</f>
        <v/>
      </c>
      <c r="U5602" s="16" t="s">
        <v>87</v>
      </c>
      <c r="V5602" s="16" t="str">
        <f>IFERROR(__xludf.DUMMYFUNCTION("""COMPUTED_VALUE"""),"")</f>
        <v/>
      </c>
      <c r="W5602" s="16" t="str">
        <f>IFERROR(__xludf.DUMMYFUNCTION("""COMPUTED_VALUE"""),"")</f>
        <v/>
      </c>
      <c r="X5602" s="16" t="str">
        <f>IFERROR(__xludf.DUMMYFUNCTION("""COMPUTED_VALUE"""),"")</f>
        <v/>
      </c>
      <c r="AC5602" s="16" t="str">
        <f>IFERROR(__xludf.DUMMYFUNCTION("""COMPUTED_VALUE"""),"")</f>
        <v/>
      </c>
    </row>
    <row r="5603">
      <c r="A5603" s="16" t="s">
        <v>87</v>
      </c>
      <c r="E5603" s="16" t="str">
        <f>IFERROR(__xludf.DUMMYFUNCTION("""COMPUTED_VALUE"""),"")</f>
        <v/>
      </c>
      <c r="G5603" s="18"/>
      <c r="H5603" s="16" t="s">
        <v>87</v>
      </c>
      <c r="I5603" s="16" t="s">
        <v>87</v>
      </c>
      <c r="J5603" s="19"/>
      <c r="L5603" s="16" t="str">
        <f>IFERROR(__xludf.DUMMYFUNCTION("""COMPUTED_VALUE"""),"")</f>
        <v/>
      </c>
      <c r="M5603" s="16" t="str">
        <f>IFERROR(__xludf.DUMMYFUNCTION("""COMPUTED_VALUE"""),"")</f>
        <v/>
      </c>
      <c r="U5603" s="16" t="s">
        <v>87</v>
      </c>
      <c r="V5603" s="16" t="str">
        <f>IFERROR(__xludf.DUMMYFUNCTION("""COMPUTED_VALUE"""),"")</f>
        <v/>
      </c>
      <c r="W5603" s="16" t="str">
        <f>IFERROR(__xludf.DUMMYFUNCTION("""COMPUTED_VALUE"""),"")</f>
        <v/>
      </c>
      <c r="X5603" s="16" t="str">
        <f>IFERROR(__xludf.DUMMYFUNCTION("""COMPUTED_VALUE"""),"")</f>
        <v/>
      </c>
      <c r="AC5603" s="16" t="str">
        <f>IFERROR(__xludf.DUMMYFUNCTION("""COMPUTED_VALUE"""),"")</f>
        <v/>
      </c>
    </row>
    <row r="5604">
      <c r="A5604" s="16" t="s">
        <v>87</v>
      </c>
      <c r="E5604" s="16" t="str">
        <f>IFERROR(__xludf.DUMMYFUNCTION("""COMPUTED_VALUE"""),"")</f>
        <v/>
      </c>
      <c r="G5604" s="18"/>
      <c r="H5604" s="16" t="s">
        <v>87</v>
      </c>
      <c r="I5604" s="16" t="s">
        <v>87</v>
      </c>
      <c r="J5604" s="19"/>
      <c r="L5604" s="16" t="str">
        <f>IFERROR(__xludf.DUMMYFUNCTION("""COMPUTED_VALUE"""),"")</f>
        <v/>
      </c>
      <c r="M5604" s="16" t="str">
        <f>IFERROR(__xludf.DUMMYFUNCTION("""COMPUTED_VALUE"""),"")</f>
        <v/>
      </c>
      <c r="U5604" s="16" t="s">
        <v>87</v>
      </c>
      <c r="V5604" s="16" t="str">
        <f>IFERROR(__xludf.DUMMYFUNCTION("""COMPUTED_VALUE"""),"")</f>
        <v/>
      </c>
      <c r="W5604" s="16" t="str">
        <f>IFERROR(__xludf.DUMMYFUNCTION("""COMPUTED_VALUE"""),"")</f>
        <v/>
      </c>
      <c r="X5604" s="16" t="str">
        <f>IFERROR(__xludf.DUMMYFUNCTION("""COMPUTED_VALUE"""),"")</f>
        <v/>
      </c>
      <c r="AC5604" s="16" t="str">
        <f>IFERROR(__xludf.DUMMYFUNCTION("""COMPUTED_VALUE"""),"")</f>
        <v/>
      </c>
    </row>
    <row r="5605">
      <c r="A5605" s="16" t="s">
        <v>87</v>
      </c>
      <c r="E5605" s="16" t="str">
        <f>IFERROR(__xludf.DUMMYFUNCTION("""COMPUTED_VALUE"""),"")</f>
        <v/>
      </c>
      <c r="G5605" s="18"/>
      <c r="H5605" s="16" t="s">
        <v>87</v>
      </c>
      <c r="I5605" s="16" t="s">
        <v>87</v>
      </c>
      <c r="J5605" s="19"/>
      <c r="L5605" s="16" t="str">
        <f>IFERROR(__xludf.DUMMYFUNCTION("""COMPUTED_VALUE"""),"")</f>
        <v/>
      </c>
      <c r="M5605" s="16" t="str">
        <f>IFERROR(__xludf.DUMMYFUNCTION("""COMPUTED_VALUE"""),"")</f>
        <v/>
      </c>
      <c r="U5605" s="16" t="s">
        <v>87</v>
      </c>
      <c r="V5605" s="16" t="str">
        <f>IFERROR(__xludf.DUMMYFUNCTION("""COMPUTED_VALUE"""),"")</f>
        <v/>
      </c>
      <c r="W5605" s="16" t="str">
        <f>IFERROR(__xludf.DUMMYFUNCTION("""COMPUTED_VALUE"""),"")</f>
        <v/>
      </c>
      <c r="X5605" s="16" t="str">
        <f>IFERROR(__xludf.DUMMYFUNCTION("""COMPUTED_VALUE"""),"")</f>
        <v/>
      </c>
      <c r="AC5605" s="16" t="str">
        <f>IFERROR(__xludf.DUMMYFUNCTION("""COMPUTED_VALUE"""),"")</f>
        <v/>
      </c>
    </row>
    <row r="5606">
      <c r="A5606" s="16" t="s">
        <v>87</v>
      </c>
      <c r="E5606" s="16" t="str">
        <f>IFERROR(__xludf.DUMMYFUNCTION("""COMPUTED_VALUE"""),"")</f>
        <v/>
      </c>
      <c r="G5606" s="18"/>
      <c r="H5606" s="16" t="s">
        <v>87</v>
      </c>
      <c r="I5606" s="16" t="s">
        <v>87</v>
      </c>
      <c r="J5606" s="19"/>
      <c r="L5606" s="16" t="str">
        <f>IFERROR(__xludf.DUMMYFUNCTION("""COMPUTED_VALUE"""),"")</f>
        <v/>
      </c>
      <c r="M5606" s="16" t="str">
        <f>IFERROR(__xludf.DUMMYFUNCTION("""COMPUTED_VALUE"""),"")</f>
        <v/>
      </c>
      <c r="U5606" s="16" t="s">
        <v>87</v>
      </c>
      <c r="V5606" s="16" t="str">
        <f>IFERROR(__xludf.DUMMYFUNCTION("""COMPUTED_VALUE"""),"")</f>
        <v/>
      </c>
      <c r="W5606" s="16" t="str">
        <f>IFERROR(__xludf.DUMMYFUNCTION("""COMPUTED_VALUE"""),"")</f>
        <v/>
      </c>
      <c r="X5606" s="16" t="str">
        <f>IFERROR(__xludf.DUMMYFUNCTION("""COMPUTED_VALUE"""),"")</f>
        <v/>
      </c>
      <c r="AC5606" s="16" t="str">
        <f>IFERROR(__xludf.DUMMYFUNCTION("""COMPUTED_VALUE"""),"")</f>
        <v/>
      </c>
    </row>
    <row r="5607">
      <c r="A5607" s="16" t="s">
        <v>87</v>
      </c>
      <c r="E5607" s="16" t="str">
        <f>IFERROR(__xludf.DUMMYFUNCTION("""COMPUTED_VALUE"""),"")</f>
        <v/>
      </c>
      <c r="G5607" s="18"/>
      <c r="H5607" s="16" t="s">
        <v>87</v>
      </c>
      <c r="I5607" s="16" t="s">
        <v>87</v>
      </c>
      <c r="J5607" s="19"/>
      <c r="L5607" s="16" t="str">
        <f>IFERROR(__xludf.DUMMYFUNCTION("""COMPUTED_VALUE"""),"")</f>
        <v/>
      </c>
      <c r="M5607" s="16" t="str">
        <f>IFERROR(__xludf.DUMMYFUNCTION("""COMPUTED_VALUE"""),"")</f>
        <v/>
      </c>
      <c r="U5607" s="16" t="s">
        <v>87</v>
      </c>
      <c r="V5607" s="16" t="str">
        <f>IFERROR(__xludf.DUMMYFUNCTION("""COMPUTED_VALUE"""),"")</f>
        <v/>
      </c>
      <c r="W5607" s="16" t="str">
        <f>IFERROR(__xludf.DUMMYFUNCTION("""COMPUTED_VALUE"""),"")</f>
        <v/>
      </c>
      <c r="X5607" s="16" t="str">
        <f>IFERROR(__xludf.DUMMYFUNCTION("""COMPUTED_VALUE"""),"")</f>
        <v/>
      </c>
      <c r="AC5607" s="16" t="str">
        <f>IFERROR(__xludf.DUMMYFUNCTION("""COMPUTED_VALUE"""),"")</f>
        <v/>
      </c>
    </row>
    <row r="5608">
      <c r="A5608" s="16" t="s">
        <v>87</v>
      </c>
      <c r="E5608" s="16" t="str">
        <f>IFERROR(__xludf.DUMMYFUNCTION("""COMPUTED_VALUE"""),"")</f>
        <v/>
      </c>
      <c r="G5608" s="18"/>
      <c r="H5608" s="16" t="s">
        <v>87</v>
      </c>
      <c r="I5608" s="16" t="s">
        <v>87</v>
      </c>
      <c r="J5608" s="19"/>
      <c r="L5608" s="16" t="str">
        <f>IFERROR(__xludf.DUMMYFUNCTION("""COMPUTED_VALUE"""),"")</f>
        <v/>
      </c>
      <c r="M5608" s="16" t="str">
        <f>IFERROR(__xludf.DUMMYFUNCTION("""COMPUTED_VALUE"""),"")</f>
        <v/>
      </c>
      <c r="U5608" s="16" t="s">
        <v>87</v>
      </c>
      <c r="V5608" s="16" t="str">
        <f>IFERROR(__xludf.DUMMYFUNCTION("""COMPUTED_VALUE"""),"")</f>
        <v/>
      </c>
      <c r="W5608" s="16" t="str">
        <f>IFERROR(__xludf.DUMMYFUNCTION("""COMPUTED_VALUE"""),"")</f>
        <v/>
      </c>
      <c r="X5608" s="16" t="str">
        <f>IFERROR(__xludf.DUMMYFUNCTION("""COMPUTED_VALUE"""),"")</f>
        <v/>
      </c>
      <c r="AC5608" s="16" t="str">
        <f>IFERROR(__xludf.DUMMYFUNCTION("""COMPUTED_VALUE"""),"")</f>
        <v/>
      </c>
    </row>
    <row r="5609">
      <c r="A5609" s="16" t="s">
        <v>87</v>
      </c>
      <c r="E5609" s="16" t="str">
        <f>IFERROR(__xludf.DUMMYFUNCTION("""COMPUTED_VALUE"""),"")</f>
        <v/>
      </c>
      <c r="G5609" s="18"/>
      <c r="H5609" s="16" t="s">
        <v>87</v>
      </c>
      <c r="I5609" s="16" t="s">
        <v>87</v>
      </c>
      <c r="J5609" s="19"/>
      <c r="L5609" s="16" t="str">
        <f>IFERROR(__xludf.DUMMYFUNCTION("""COMPUTED_VALUE"""),"")</f>
        <v/>
      </c>
      <c r="M5609" s="16" t="str">
        <f>IFERROR(__xludf.DUMMYFUNCTION("""COMPUTED_VALUE"""),"")</f>
        <v/>
      </c>
      <c r="U5609" s="16" t="s">
        <v>87</v>
      </c>
      <c r="V5609" s="16" t="str">
        <f>IFERROR(__xludf.DUMMYFUNCTION("""COMPUTED_VALUE"""),"")</f>
        <v/>
      </c>
      <c r="W5609" s="16" t="str">
        <f>IFERROR(__xludf.DUMMYFUNCTION("""COMPUTED_VALUE"""),"")</f>
        <v/>
      </c>
      <c r="X5609" s="16" t="str">
        <f>IFERROR(__xludf.DUMMYFUNCTION("""COMPUTED_VALUE"""),"")</f>
        <v/>
      </c>
      <c r="AC5609" s="16" t="str">
        <f>IFERROR(__xludf.DUMMYFUNCTION("""COMPUTED_VALUE"""),"")</f>
        <v/>
      </c>
    </row>
    <row r="5610">
      <c r="A5610" s="16" t="s">
        <v>87</v>
      </c>
      <c r="E5610" s="16" t="str">
        <f>IFERROR(__xludf.DUMMYFUNCTION("""COMPUTED_VALUE"""),"")</f>
        <v/>
      </c>
      <c r="G5610" s="18"/>
      <c r="H5610" s="16" t="s">
        <v>87</v>
      </c>
      <c r="I5610" s="16" t="s">
        <v>87</v>
      </c>
      <c r="J5610" s="19"/>
      <c r="L5610" s="16" t="str">
        <f>IFERROR(__xludf.DUMMYFUNCTION("""COMPUTED_VALUE"""),"")</f>
        <v/>
      </c>
      <c r="M5610" s="16" t="str">
        <f>IFERROR(__xludf.DUMMYFUNCTION("""COMPUTED_VALUE"""),"")</f>
        <v/>
      </c>
      <c r="U5610" s="16" t="s">
        <v>87</v>
      </c>
      <c r="V5610" s="16" t="str">
        <f>IFERROR(__xludf.DUMMYFUNCTION("""COMPUTED_VALUE"""),"")</f>
        <v/>
      </c>
      <c r="W5610" s="16" t="str">
        <f>IFERROR(__xludf.DUMMYFUNCTION("""COMPUTED_VALUE"""),"")</f>
        <v/>
      </c>
      <c r="X5610" s="16" t="str">
        <f>IFERROR(__xludf.DUMMYFUNCTION("""COMPUTED_VALUE"""),"")</f>
        <v/>
      </c>
      <c r="AC5610" s="16" t="str">
        <f>IFERROR(__xludf.DUMMYFUNCTION("""COMPUTED_VALUE"""),"")</f>
        <v/>
      </c>
    </row>
    <row r="5611">
      <c r="A5611" s="16" t="s">
        <v>87</v>
      </c>
      <c r="E5611" s="16" t="str">
        <f>IFERROR(__xludf.DUMMYFUNCTION("""COMPUTED_VALUE"""),"")</f>
        <v/>
      </c>
      <c r="G5611" s="18"/>
      <c r="H5611" s="16" t="s">
        <v>87</v>
      </c>
      <c r="I5611" s="16" t="s">
        <v>87</v>
      </c>
      <c r="J5611" s="19"/>
      <c r="L5611" s="16" t="str">
        <f>IFERROR(__xludf.DUMMYFUNCTION("""COMPUTED_VALUE"""),"")</f>
        <v/>
      </c>
      <c r="M5611" s="16" t="str">
        <f>IFERROR(__xludf.DUMMYFUNCTION("""COMPUTED_VALUE"""),"")</f>
        <v/>
      </c>
      <c r="U5611" s="16" t="s">
        <v>87</v>
      </c>
      <c r="V5611" s="16" t="str">
        <f>IFERROR(__xludf.DUMMYFUNCTION("""COMPUTED_VALUE"""),"")</f>
        <v/>
      </c>
      <c r="W5611" s="16" t="str">
        <f>IFERROR(__xludf.DUMMYFUNCTION("""COMPUTED_VALUE"""),"")</f>
        <v/>
      </c>
      <c r="X5611" s="16" t="str">
        <f>IFERROR(__xludf.DUMMYFUNCTION("""COMPUTED_VALUE"""),"")</f>
        <v/>
      </c>
      <c r="AC5611" s="16" t="str">
        <f>IFERROR(__xludf.DUMMYFUNCTION("""COMPUTED_VALUE"""),"")</f>
        <v/>
      </c>
    </row>
    <row r="5612">
      <c r="A5612" s="16" t="s">
        <v>87</v>
      </c>
      <c r="E5612" s="16" t="str">
        <f>IFERROR(__xludf.DUMMYFUNCTION("""COMPUTED_VALUE"""),"")</f>
        <v/>
      </c>
      <c r="G5612" s="18"/>
      <c r="H5612" s="16" t="s">
        <v>87</v>
      </c>
      <c r="I5612" s="16" t="s">
        <v>87</v>
      </c>
      <c r="J5612" s="19"/>
      <c r="L5612" s="16" t="str">
        <f>IFERROR(__xludf.DUMMYFUNCTION("""COMPUTED_VALUE"""),"")</f>
        <v/>
      </c>
      <c r="M5612" s="16" t="str">
        <f>IFERROR(__xludf.DUMMYFUNCTION("""COMPUTED_VALUE"""),"")</f>
        <v/>
      </c>
      <c r="U5612" s="16" t="s">
        <v>87</v>
      </c>
      <c r="V5612" s="16" t="str">
        <f>IFERROR(__xludf.DUMMYFUNCTION("""COMPUTED_VALUE"""),"")</f>
        <v/>
      </c>
      <c r="W5612" s="16" t="str">
        <f>IFERROR(__xludf.DUMMYFUNCTION("""COMPUTED_VALUE"""),"")</f>
        <v/>
      </c>
      <c r="X5612" s="16" t="str">
        <f>IFERROR(__xludf.DUMMYFUNCTION("""COMPUTED_VALUE"""),"")</f>
        <v/>
      </c>
      <c r="AC5612" s="16" t="str">
        <f>IFERROR(__xludf.DUMMYFUNCTION("""COMPUTED_VALUE"""),"")</f>
        <v/>
      </c>
    </row>
    <row r="5613">
      <c r="A5613" s="16" t="s">
        <v>87</v>
      </c>
      <c r="E5613" s="16" t="str">
        <f>IFERROR(__xludf.DUMMYFUNCTION("""COMPUTED_VALUE"""),"")</f>
        <v/>
      </c>
      <c r="G5613" s="18"/>
      <c r="H5613" s="16" t="s">
        <v>87</v>
      </c>
      <c r="I5613" s="16" t="s">
        <v>87</v>
      </c>
      <c r="J5613" s="19"/>
      <c r="L5613" s="16" t="str">
        <f>IFERROR(__xludf.DUMMYFUNCTION("""COMPUTED_VALUE"""),"")</f>
        <v/>
      </c>
      <c r="M5613" s="16" t="str">
        <f>IFERROR(__xludf.DUMMYFUNCTION("""COMPUTED_VALUE"""),"")</f>
        <v/>
      </c>
      <c r="U5613" s="16" t="s">
        <v>87</v>
      </c>
      <c r="V5613" s="16" t="str">
        <f>IFERROR(__xludf.DUMMYFUNCTION("""COMPUTED_VALUE"""),"")</f>
        <v/>
      </c>
      <c r="W5613" s="16" t="str">
        <f>IFERROR(__xludf.DUMMYFUNCTION("""COMPUTED_VALUE"""),"")</f>
        <v/>
      </c>
      <c r="X5613" s="16" t="str">
        <f>IFERROR(__xludf.DUMMYFUNCTION("""COMPUTED_VALUE"""),"")</f>
        <v/>
      </c>
      <c r="AC5613" s="16" t="str">
        <f>IFERROR(__xludf.DUMMYFUNCTION("""COMPUTED_VALUE"""),"")</f>
        <v/>
      </c>
    </row>
    <row r="5614">
      <c r="A5614" s="16" t="s">
        <v>87</v>
      </c>
      <c r="E5614" s="16" t="str">
        <f>IFERROR(__xludf.DUMMYFUNCTION("""COMPUTED_VALUE"""),"")</f>
        <v/>
      </c>
      <c r="G5614" s="18"/>
      <c r="H5614" s="16" t="s">
        <v>87</v>
      </c>
      <c r="I5614" s="16" t="s">
        <v>87</v>
      </c>
      <c r="J5614" s="19"/>
      <c r="L5614" s="16" t="str">
        <f>IFERROR(__xludf.DUMMYFUNCTION("""COMPUTED_VALUE"""),"")</f>
        <v/>
      </c>
      <c r="M5614" s="16" t="str">
        <f>IFERROR(__xludf.DUMMYFUNCTION("""COMPUTED_VALUE"""),"")</f>
        <v/>
      </c>
      <c r="U5614" s="16" t="s">
        <v>87</v>
      </c>
      <c r="V5614" s="16" t="str">
        <f>IFERROR(__xludf.DUMMYFUNCTION("""COMPUTED_VALUE"""),"")</f>
        <v/>
      </c>
      <c r="W5614" s="16" t="str">
        <f>IFERROR(__xludf.DUMMYFUNCTION("""COMPUTED_VALUE"""),"")</f>
        <v/>
      </c>
      <c r="X5614" s="16" t="str">
        <f>IFERROR(__xludf.DUMMYFUNCTION("""COMPUTED_VALUE"""),"")</f>
        <v/>
      </c>
      <c r="AC5614" s="16" t="str">
        <f>IFERROR(__xludf.DUMMYFUNCTION("""COMPUTED_VALUE"""),"")</f>
        <v/>
      </c>
    </row>
    <row r="5615">
      <c r="A5615" s="16" t="s">
        <v>87</v>
      </c>
      <c r="E5615" s="16" t="str">
        <f>IFERROR(__xludf.DUMMYFUNCTION("""COMPUTED_VALUE"""),"")</f>
        <v/>
      </c>
      <c r="G5615" s="18"/>
      <c r="H5615" s="16" t="s">
        <v>87</v>
      </c>
      <c r="I5615" s="16" t="s">
        <v>87</v>
      </c>
      <c r="J5615" s="19"/>
      <c r="L5615" s="16" t="str">
        <f>IFERROR(__xludf.DUMMYFUNCTION("""COMPUTED_VALUE"""),"")</f>
        <v/>
      </c>
      <c r="M5615" s="16" t="str">
        <f>IFERROR(__xludf.DUMMYFUNCTION("""COMPUTED_VALUE"""),"")</f>
        <v/>
      </c>
      <c r="U5615" s="16" t="s">
        <v>87</v>
      </c>
      <c r="V5615" s="16" t="str">
        <f>IFERROR(__xludf.DUMMYFUNCTION("""COMPUTED_VALUE"""),"")</f>
        <v/>
      </c>
      <c r="W5615" s="16" t="str">
        <f>IFERROR(__xludf.DUMMYFUNCTION("""COMPUTED_VALUE"""),"")</f>
        <v/>
      </c>
      <c r="X5615" s="16" t="str">
        <f>IFERROR(__xludf.DUMMYFUNCTION("""COMPUTED_VALUE"""),"")</f>
        <v/>
      </c>
      <c r="AC5615" s="16" t="str">
        <f>IFERROR(__xludf.DUMMYFUNCTION("""COMPUTED_VALUE"""),"")</f>
        <v/>
      </c>
    </row>
    <row r="5616">
      <c r="A5616" s="16" t="s">
        <v>87</v>
      </c>
      <c r="E5616" s="16" t="str">
        <f>IFERROR(__xludf.DUMMYFUNCTION("""COMPUTED_VALUE"""),"")</f>
        <v/>
      </c>
      <c r="G5616" s="18"/>
      <c r="H5616" s="16" t="s">
        <v>87</v>
      </c>
      <c r="I5616" s="16" t="s">
        <v>87</v>
      </c>
      <c r="J5616" s="19"/>
      <c r="L5616" s="16" t="str">
        <f>IFERROR(__xludf.DUMMYFUNCTION("""COMPUTED_VALUE"""),"")</f>
        <v/>
      </c>
      <c r="M5616" s="16" t="str">
        <f>IFERROR(__xludf.DUMMYFUNCTION("""COMPUTED_VALUE"""),"")</f>
        <v/>
      </c>
      <c r="U5616" s="16" t="s">
        <v>87</v>
      </c>
      <c r="V5616" s="16" t="str">
        <f>IFERROR(__xludf.DUMMYFUNCTION("""COMPUTED_VALUE"""),"")</f>
        <v/>
      </c>
      <c r="W5616" s="16" t="str">
        <f>IFERROR(__xludf.DUMMYFUNCTION("""COMPUTED_VALUE"""),"")</f>
        <v/>
      </c>
      <c r="X5616" s="16" t="str">
        <f>IFERROR(__xludf.DUMMYFUNCTION("""COMPUTED_VALUE"""),"")</f>
        <v/>
      </c>
      <c r="AC5616" s="16" t="str">
        <f>IFERROR(__xludf.DUMMYFUNCTION("""COMPUTED_VALUE"""),"")</f>
        <v/>
      </c>
    </row>
    <row r="5617">
      <c r="A5617" s="16" t="s">
        <v>87</v>
      </c>
      <c r="E5617" s="16" t="str">
        <f>IFERROR(__xludf.DUMMYFUNCTION("""COMPUTED_VALUE"""),"")</f>
        <v/>
      </c>
      <c r="G5617" s="18"/>
      <c r="H5617" s="16" t="s">
        <v>87</v>
      </c>
      <c r="I5617" s="16" t="s">
        <v>87</v>
      </c>
      <c r="J5617" s="19"/>
      <c r="L5617" s="16" t="str">
        <f>IFERROR(__xludf.DUMMYFUNCTION("""COMPUTED_VALUE"""),"")</f>
        <v/>
      </c>
      <c r="M5617" s="16" t="str">
        <f>IFERROR(__xludf.DUMMYFUNCTION("""COMPUTED_VALUE"""),"")</f>
        <v/>
      </c>
      <c r="U5617" s="16" t="s">
        <v>87</v>
      </c>
      <c r="V5617" s="16" t="str">
        <f>IFERROR(__xludf.DUMMYFUNCTION("""COMPUTED_VALUE"""),"")</f>
        <v/>
      </c>
      <c r="W5617" s="16" t="str">
        <f>IFERROR(__xludf.DUMMYFUNCTION("""COMPUTED_VALUE"""),"")</f>
        <v/>
      </c>
      <c r="X5617" s="16" t="str">
        <f>IFERROR(__xludf.DUMMYFUNCTION("""COMPUTED_VALUE"""),"")</f>
        <v/>
      </c>
      <c r="AC5617" s="16" t="str">
        <f>IFERROR(__xludf.DUMMYFUNCTION("""COMPUTED_VALUE"""),"")</f>
        <v/>
      </c>
    </row>
    <row r="5618">
      <c r="A5618" s="16" t="s">
        <v>87</v>
      </c>
      <c r="E5618" s="16" t="str">
        <f>IFERROR(__xludf.DUMMYFUNCTION("""COMPUTED_VALUE"""),"")</f>
        <v/>
      </c>
      <c r="G5618" s="18"/>
      <c r="H5618" s="16" t="s">
        <v>87</v>
      </c>
      <c r="I5618" s="16" t="s">
        <v>87</v>
      </c>
      <c r="J5618" s="19"/>
      <c r="L5618" s="16" t="str">
        <f>IFERROR(__xludf.DUMMYFUNCTION("""COMPUTED_VALUE"""),"")</f>
        <v/>
      </c>
      <c r="M5618" s="16" t="str">
        <f>IFERROR(__xludf.DUMMYFUNCTION("""COMPUTED_VALUE"""),"")</f>
        <v/>
      </c>
      <c r="U5618" s="16" t="s">
        <v>87</v>
      </c>
      <c r="V5618" s="16" t="str">
        <f>IFERROR(__xludf.DUMMYFUNCTION("""COMPUTED_VALUE"""),"")</f>
        <v/>
      </c>
      <c r="W5618" s="16" t="str">
        <f>IFERROR(__xludf.DUMMYFUNCTION("""COMPUTED_VALUE"""),"")</f>
        <v/>
      </c>
      <c r="X5618" s="16" t="str">
        <f>IFERROR(__xludf.DUMMYFUNCTION("""COMPUTED_VALUE"""),"")</f>
        <v/>
      </c>
      <c r="AC5618" s="16" t="str">
        <f>IFERROR(__xludf.DUMMYFUNCTION("""COMPUTED_VALUE"""),"")</f>
        <v/>
      </c>
    </row>
    <row r="5619">
      <c r="A5619" s="16" t="s">
        <v>87</v>
      </c>
      <c r="E5619" s="16" t="str">
        <f>IFERROR(__xludf.DUMMYFUNCTION("""COMPUTED_VALUE"""),"")</f>
        <v/>
      </c>
      <c r="G5619" s="18"/>
      <c r="H5619" s="16" t="s">
        <v>87</v>
      </c>
      <c r="I5619" s="16" t="s">
        <v>87</v>
      </c>
      <c r="J5619" s="19"/>
      <c r="L5619" s="16" t="str">
        <f>IFERROR(__xludf.DUMMYFUNCTION("""COMPUTED_VALUE"""),"")</f>
        <v/>
      </c>
      <c r="M5619" s="16" t="str">
        <f>IFERROR(__xludf.DUMMYFUNCTION("""COMPUTED_VALUE"""),"")</f>
        <v/>
      </c>
      <c r="U5619" s="16" t="s">
        <v>87</v>
      </c>
      <c r="V5619" s="16" t="str">
        <f>IFERROR(__xludf.DUMMYFUNCTION("""COMPUTED_VALUE"""),"")</f>
        <v/>
      </c>
      <c r="W5619" s="16" t="str">
        <f>IFERROR(__xludf.DUMMYFUNCTION("""COMPUTED_VALUE"""),"")</f>
        <v/>
      </c>
      <c r="X5619" s="16" t="str">
        <f>IFERROR(__xludf.DUMMYFUNCTION("""COMPUTED_VALUE"""),"")</f>
        <v/>
      </c>
      <c r="AC5619" s="16" t="str">
        <f>IFERROR(__xludf.DUMMYFUNCTION("""COMPUTED_VALUE"""),"")</f>
        <v/>
      </c>
    </row>
    <row r="5620">
      <c r="A5620" s="16" t="s">
        <v>87</v>
      </c>
      <c r="E5620" s="16" t="str">
        <f>IFERROR(__xludf.DUMMYFUNCTION("""COMPUTED_VALUE"""),"")</f>
        <v/>
      </c>
      <c r="G5620" s="18"/>
      <c r="H5620" s="16" t="s">
        <v>87</v>
      </c>
      <c r="I5620" s="16" t="s">
        <v>87</v>
      </c>
      <c r="J5620" s="19"/>
      <c r="L5620" s="16" t="str">
        <f>IFERROR(__xludf.DUMMYFUNCTION("""COMPUTED_VALUE"""),"")</f>
        <v/>
      </c>
      <c r="M5620" s="16" t="str">
        <f>IFERROR(__xludf.DUMMYFUNCTION("""COMPUTED_VALUE"""),"")</f>
        <v/>
      </c>
      <c r="U5620" s="16" t="s">
        <v>87</v>
      </c>
      <c r="V5620" s="16" t="str">
        <f>IFERROR(__xludf.DUMMYFUNCTION("""COMPUTED_VALUE"""),"")</f>
        <v/>
      </c>
      <c r="W5620" s="16" t="str">
        <f>IFERROR(__xludf.DUMMYFUNCTION("""COMPUTED_VALUE"""),"")</f>
        <v/>
      </c>
      <c r="X5620" s="16" t="str">
        <f>IFERROR(__xludf.DUMMYFUNCTION("""COMPUTED_VALUE"""),"")</f>
        <v/>
      </c>
      <c r="AC5620" s="16" t="str">
        <f>IFERROR(__xludf.DUMMYFUNCTION("""COMPUTED_VALUE"""),"")</f>
        <v/>
      </c>
    </row>
    <row r="5621">
      <c r="A5621" s="16" t="s">
        <v>87</v>
      </c>
      <c r="E5621" s="16" t="str">
        <f>IFERROR(__xludf.DUMMYFUNCTION("""COMPUTED_VALUE"""),"")</f>
        <v/>
      </c>
      <c r="G5621" s="18"/>
      <c r="H5621" s="16" t="s">
        <v>87</v>
      </c>
      <c r="I5621" s="16" t="s">
        <v>87</v>
      </c>
      <c r="J5621" s="19"/>
      <c r="L5621" s="16" t="str">
        <f>IFERROR(__xludf.DUMMYFUNCTION("""COMPUTED_VALUE"""),"")</f>
        <v/>
      </c>
      <c r="M5621" s="16" t="str">
        <f>IFERROR(__xludf.DUMMYFUNCTION("""COMPUTED_VALUE"""),"")</f>
        <v/>
      </c>
      <c r="U5621" s="16" t="s">
        <v>87</v>
      </c>
      <c r="V5621" s="16" t="str">
        <f>IFERROR(__xludf.DUMMYFUNCTION("""COMPUTED_VALUE"""),"")</f>
        <v/>
      </c>
      <c r="W5621" s="16" t="str">
        <f>IFERROR(__xludf.DUMMYFUNCTION("""COMPUTED_VALUE"""),"")</f>
        <v/>
      </c>
      <c r="X5621" s="16" t="str">
        <f>IFERROR(__xludf.DUMMYFUNCTION("""COMPUTED_VALUE"""),"")</f>
        <v/>
      </c>
      <c r="AC5621" s="16" t="str">
        <f>IFERROR(__xludf.DUMMYFUNCTION("""COMPUTED_VALUE"""),"")</f>
        <v/>
      </c>
    </row>
    <row r="5622">
      <c r="A5622" s="16" t="s">
        <v>87</v>
      </c>
      <c r="E5622" s="16" t="str">
        <f>IFERROR(__xludf.DUMMYFUNCTION("""COMPUTED_VALUE"""),"")</f>
        <v/>
      </c>
      <c r="G5622" s="18"/>
      <c r="H5622" s="16" t="s">
        <v>87</v>
      </c>
      <c r="I5622" s="16" t="s">
        <v>87</v>
      </c>
      <c r="J5622" s="19"/>
      <c r="L5622" s="16" t="str">
        <f>IFERROR(__xludf.DUMMYFUNCTION("""COMPUTED_VALUE"""),"")</f>
        <v/>
      </c>
      <c r="M5622" s="16" t="str">
        <f>IFERROR(__xludf.DUMMYFUNCTION("""COMPUTED_VALUE"""),"")</f>
        <v/>
      </c>
      <c r="U5622" s="16" t="s">
        <v>87</v>
      </c>
      <c r="V5622" s="16" t="str">
        <f>IFERROR(__xludf.DUMMYFUNCTION("""COMPUTED_VALUE"""),"")</f>
        <v/>
      </c>
      <c r="W5622" s="16" t="str">
        <f>IFERROR(__xludf.DUMMYFUNCTION("""COMPUTED_VALUE"""),"")</f>
        <v/>
      </c>
      <c r="X5622" s="16" t="str">
        <f>IFERROR(__xludf.DUMMYFUNCTION("""COMPUTED_VALUE"""),"")</f>
        <v/>
      </c>
      <c r="AC5622" s="16" t="str">
        <f>IFERROR(__xludf.DUMMYFUNCTION("""COMPUTED_VALUE"""),"")</f>
        <v/>
      </c>
    </row>
    <row r="5623">
      <c r="A5623" s="16" t="s">
        <v>87</v>
      </c>
      <c r="E5623" s="16" t="str">
        <f>IFERROR(__xludf.DUMMYFUNCTION("""COMPUTED_VALUE"""),"")</f>
        <v/>
      </c>
      <c r="G5623" s="18"/>
      <c r="H5623" s="16" t="s">
        <v>87</v>
      </c>
      <c r="I5623" s="16" t="s">
        <v>87</v>
      </c>
      <c r="J5623" s="19"/>
      <c r="L5623" s="16" t="str">
        <f>IFERROR(__xludf.DUMMYFUNCTION("""COMPUTED_VALUE"""),"")</f>
        <v/>
      </c>
      <c r="M5623" s="16" t="str">
        <f>IFERROR(__xludf.DUMMYFUNCTION("""COMPUTED_VALUE"""),"")</f>
        <v/>
      </c>
      <c r="U5623" s="16" t="s">
        <v>87</v>
      </c>
      <c r="V5623" s="16" t="str">
        <f>IFERROR(__xludf.DUMMYFUNCTION("""COMPUTED_VALUE"""),"")</f>
        <v/>
      </c>
      <c r="W5623" s="16" t="str">
        <f>IFERROR(__xludf.DUMMYFUNCTION("""COMPUTED_VALUE"""),"")</f>
        <v/>
      </c>
      <c r="X5623" s="16" t="str">
        <f>IFERROR(__xludf.DUMMYFUNCTION("""COMPUTED_VALUE"""),"")</f>
        <v/>
      </c>
      <c r="AC5623" s="16" t="str">
        <f>IFERROR(__xludf.DUMMYFUNCTION("""COMPUTED_VALUE"""),"")</f>
        <v/>
      </c>
    </row>
    <row r="5624">
      <c r="A5624" s="16" t="s">
        <v>87</v>
      </c>
      <c r="E5624" s="16" t="str">
        <f>IFERROR(__xludf.DUMMYFUNCTION("""COMPUTED_VALUE"""),"")</f>
        <v/>
      </c>
      <c r="G5624" s="18"/>
      <c r="H5624" s="16" t="s">
        <v>87</v>
      </c>
      <c r="I5624" s="16" t="s">
        <v>87</v>
      </c>
      <c r="J5624" s="19"/>
      <c r="L5624" s="16" t="str">
        <f>IFERROR(__xludf.DUMMYFUNCTION("""COMPUTED_VALUE"""),"")</f>
        <v/>
      </c>
      <c r="M5624" s="16" t="str">
        <f>IFERROR(__xludf.DUMMYFUNCTION("""COMPUTED_VALUE"""),"")</f>
        <v/>
      </c>
      <c r="U5624" s="16" t="s">
        <v>87</v>
      </c>
      <c r="V5624" s="16" t="str">
        <f>IFERROR(__xludf.DUMMYFUNCTION("""COMPUTED_VALUE"""),"")</f>
        <v/>
      </c>
      <c r="W5624" s="16" t="str">
        <f>IFERROR(__xludf.DUMMYFUNCTION("""COMPUTED_VALUE"""),"")</f>
        <v/>
      </c>
      <c r="X5624" s="16" t="str">
        <f>IFERROR(__xludf.DUMMYFUNCTION("""COMPUTED_VALUE"""),"")</f>
        <v/>
      </c>
      <c r="AC5624" s="16" t="str">
        <f>IFERROR(__xludf.DUMMYFUNCTION("""COMPUTED_VALUE"""),"")</f>
        <v/>
      </c>
    </row>
    <row r="5625">
      <c r="A5625" s="16" t="s">
        <v>87</v>
      </c>
      <c r="E5625" s="16" t="str">
        <f>IFERROR(__xludf.DUMMYFUNCTION("""COMPUTED_VALUE"""),"")</f>
        <v/>
      </c>
      <c r="G5625" s="18"/>
      <c r="H5625" s="16" t="s">
        <v>87</v>
      </c>
      <c r="I5625" s="16" t="s">
        <v>87</v>
      </c>
      <c r="J5625" s="19"/>
      <c r="L5625" s="16" t="str">
        <f>IFERROR(__xludf.DUMMYFUNCTION("""COMPUTED_VALUE"""),"")</f>
        <v/>
      </c>
      <c r="M5625" s="16" t="str">
        <f>IFERROR(__xludf.DUMMYFUNCTION("""COMPUTED_VALUE"""),"")</f>
        <v/>
      </c>
      <c r="U5625" s="16" t="s">
        <v>87</v>
      </c>
      <c r="V5625" s="16" t="str">
        <f>IFERROR(__xludf.DUMMYFUNCTION("""COMPUTED_VALUE"""),"")</f>
        <v/>
      </c>
      <c r="W5625" s="16" t="str">
        <f>IFERROR(__xludf.DUMMYFUNCTION("""COMPUTED_VALUE"""),"")</f>
        <v/>
      </c>
      <c r="X5625" s="16" t="str">
        <f>IFERROR(__xludf.DUMMYFUNCTION("""COMPUTED_VALUE"""),"")</f>
        <v/>
      </c>
      <c r="AC5625" s="16" t="str">
        <f>IFERROR(__xludf.DUMMYFUNCTION("""COMPUTED_VALUE"""),"")</f>
        <v/>
      </c>
    </row>
    <row r="5626">
      <c r="A5626" s="16" t="s">
        <v>87</v>
      </c>
      <c r="E5626" s="16" t="str">
        <f>IFERROR(__xludf.DUMMYFUNCTION("""COMPUTED_VALUE"""),"")</f>
        <v/>
      </c>
      <c r="G5626" s="18"/>
      <c r="H5626" s="16" t="s">
        <v>87</v>
      </c>
      <c r="I5626" s="16" t="s">
        <v>87</v>
      </c>
      <c r="J5626" s="19"/>
      <c r="L5626" s="16" t="str">
        <f>IFERROR(__xludf.DUMMYFUNCTION("""COMPUTED_VALUE"""),"")</f>
        <v/>
      </c>
      <c r="M5626" s="16" t="str">
        <f>IFERROR(__xludf.DUMMYFUNCTION("""COMPUTED_VALUE"""),"")</f>
        <v/>
      </c>
      <c r="U5626" s="16" t="s">
        <v>87</v>
      </c>
      <c r="V5626" s="16" t="str">
        <f>IFERROR(__xludf.DUMMYFUNCTION("""COMPUTED_VALUE"""),"")</f>
        <v/>
      </c>
      <c r="W5626" s="16" t="str">
        <f>IFERROR(__xludf.DUMMYFUNCTION("""COMPUTED_VALUE"""),"")</f>
        <v/>
      </c>
      <c r="X5626" s="16" t="str">
        <f>IFERROR(__xludf.DUMMYFUNCTION("""COMPUTED_VALUE"""),"")</f>
        <v/>
      </c>
      <c r="AC5626" s="16" t="str">
        <f>IFERROR(__xludf.DUMMYFUNCTION("""COMPUTED_VALUE"""),"")</f>
        <v/>
      </c>
    </row>
    <row r="5627">
      <c r="A5627" s="16" t="s">
        <v>87</v>
      </c>
      <c r="E5627" s="16" t="str">
        <f>IFERROR(__xludf.DUMMYFUNCTION("""COMPUTED_VALUE"""),"")</f>
        <v/>
      </c>
      <c r="G5627" s="18"/>
      <c r="H5627" s="16" t="s">
        <v>87</v>
      </c>
      <c r="I5627" s="16" t="s">
        <v>87</v>
      </c>
      <c r="J5627" s="19"/>
      <c r="L5627" s="16" t="str">
        <f>IFERROR(__xludf.DUMMYFUNCTION("""COMPUTED_VALUE"""),"")</f>
        <v/>
      </c>
      <c r="M5627" s="16" t="str">
        <f>IFERROR(__xludf.DUMMYFUNCTION("""COMPUTED_VALUE"""),"")</f>
        <v/>
      </c>
      <c r="U5627" s="16" t="s">
        <v>87</v>
      </c>
      <c r="V5627" s="16" t="str">
        <f>IFERROR(__xludf.DUMMYFUNCTION("""COMPUTED_VALUE"""),"")</f>
        <v/>
      </c>
      <c r="W5627" s="16" t="str">
        <f>IFERROR(__xludf.DUMMYFUNCTION("""COMPUTED_VALUE"""),"")</f>
        <v/>
      </c>
      <c r="X5627" s="16" t="str">
        <f>IFERROR(__xludf.DUMMYFUNCTION("""COMPUTED_VALUE"""),"")</f>
        <v/>
      </c>
      <c r="AC5627" s="16" t="str">
        <f>IFERROR(__xludf.DUMMYFUNCTION("""COMPUTED_VALUE"""),"")</f>
        <v/>
      </c>
    </row>
    <row r="5628">
      <c r="A5628" s="16" t="s">
        <v>87</v>
      </c>
      <c r="E5628" s="16" t="str">
        <f>IFERROR(__xludf.DUMMYFUNCTION("""COMPUTED_VALUE"""),"")</f>
        <v/>
      </c>
      <c r="G5628" s="18"/>
      <c r="H5628" s="16" t="s">
        <v>87</v>
      </c>
      <c r="I5628" s="16" t="s">
        <v>87</v>
      </c>
      <c r="J5628" s="19"/>
      <c r="L5628" s="16" t="str">
        <f>IFERROR(__xludf.DUMMYFUNCTION("""COMPUTED_VALUE"""),"")</f>
        <v/>
      </c>
      <c r="M5628" s="16" t="str">
        <f>IFERROR(__xludf.DUMMYFUNCTION("""COMPUTED_VALUE"""),"")</f>
        <v/>
      </c>
      <c r="U5628" s="16" t="s">
        <v>87</v>
      </c>
      <c r="V5628" s="16" t="str">
        <f>IFERROR(__xludf.DUMMYFUNCTION("""COMPUTED_VALUE"""),"")</f>
        <v/>
      </c>
      <c r="W5628" s="16" t="str">
        <f>IFERROR(__xludf.DUMMYFUNCTION("""COMPUTED_VALUE"""),"")</f>
        <v/>
      </c>
      <c r="X5628" s="16" t="str">
        <f>IFERROR(__xludf.DUMMYFUNCTION("""COMPUTED_VALUE"""),"")</f>
        <v/>
      </c>
      <c r="AC5628" s="16" t="str">
        <f>IFERROR(__xludf.DUMMYFUNCTION("""COMPUTED_VALUE"""),"")</f>
        <v/>
      </c>
    </row>
    <row r="5629">
      <c r="A5629" s="16" t="s">
        <v>87</v>
      </c>
      <c r="E5629" s="16" t="str">
        <f>IFERROR(__xludf.DUMMYFUNCTION("""COMPUTED_VALUE"""),"")</f>
        <v/>
      </c>
      <c r="G5629" s="18"/>
      <c r="H5629" s="16" t="s">
        <v>87</v>
      </c>
      <c r="I5629" s="16" t="s">
        <v>87</v>
      </c>
      <c r="J5629" s="19"/>
      <c r="L5629" s="16" t="str">
        <f>IFERROR(__xludf.DUMMYFUNCTION("""COMPUTED_VALUE"""),"")</f>
        <v/>
      </c>
      <c r="M5629" s="16" t="str">
        <f>IFERROR(__xludf.DUMMYFUNCTION("""COMPUTED_VALUE"""),"")</f>
        <v/>
      </c>
      <c r="U5629" s="16" t="s">
        <v>87</v>
      </c>
      <c r="V5629" s="16" t="str">
        <f>IFERROR(__xludf.DUMMYFUNCTION("""COMPUTED_VALUE"""),"")</f>
        <v/>
      </c>
      <c r="W5629" s="16" t="str">
        <f>IFERROR(__xludf.DUMMYFUNCTION("""COMPUTED_VALUE"""),"")</f>
        <v/>
      </c>
      <c r="X5629" s="16" t="str">
        <f>IFERROR(__xludf.DUMMYFUNCTION("""COMPUTED_VALUE"""),"")</f>
        <v/>
      </c>
      <c r="AC5629" s="16" t="str">
        <f>IFERROR(__xludf.DUMMYFUNCTION("""COMPUTED_VALUE"""),"")</f>
        <v/>
      </c>
    </row>
    <row r="5630">
      <c r="A5630" s="16" t="s">
        <v>87</v>
      </c>
      <c r="E5630" s="16" t="str">
        <f>IFERROR(__xludf.DUMMYFUNCTION("""COMPUTED_VALUE"""),"")</f>
        <v/>
      </c>
      <c r="G5630" s="18"/>
      <c r="H5630" s="16" t="s">
        <v>87</v>
      </c>
      <c r="I5630" s="16" t="s">
        <v>87</v>
      </c>
      <c r="J5630" s="19"/>
      <c r="L5630" s="16" t="str">
        <f>IFERROR(__xludf.DUMMYFUNCTION("""COMPUTED_VALUE"""),"")</f>
        <v/>
      </c>
      <c r="M5630" s="16" t="str">
        <f>IFERROR(__xludf.DUMMYFUNCTION("""COMPUTED_VALUE"""),"")</f>
        <v/>
      </c>
      <c r="U5630" s="16" t="s">
        <v>87</v>
      </c>
      <c r="V5630" s="16" t="str">
        <f>IFERROR(__xludf.DUMMYFUNCTION("""COMPUTED_VALUE"""),"")</f>
        <v/>
      </c>
      <c r="W5630" s="16" t="str">
        <f>IFERROR(__xludf.DUMMYFUNCTION("""COMPUTED_VALUE"""),"")</f>
        <v/>
      </c>
      <c r="X5630" s="16" t="str">
        <f>IFERROR(__xludf.DUMMYFUNCTION("""COMPUTED_VALUE"""),"")</f>
        <v/>
      </c>
      <c r="AC5630" s="16" t="str">
        <f>IFERROR(__xludf.DUMMYFUNCTION("""COMPUTED_VALUE"""),"")</f>
        <v/>
      </c>
    </row>
    <row r="5631">
      <c r="A5631" s="16" t="s">
        <v>87</v>
      </c>
      <c r="E5631" s="16" t="str">
        <f>IFERROR(__xludf.DUMMYFUNCTION("""COMPUTED_VALUE"""),"")</f>
        <v/>
      </c>
      <c r="G5631" s="18"/>
      <c r="H5631" s="16" t="s">
        <v>87</v>
      </c>
      <c r="I5631" s="16" t="s">
        <v>87</v>
      </c>
      <c r="J5631" s="19"/>
      <c r="L5631" s="16" t="str">
        <f>IFERROR(__xludf.DUMMYFUNCTION("""COMPUTED_VALUE"""),"")</f>
        <v/>
      </c>
      <c r="M5631" s="16" t="str">
        <f>IFERROR(__xludf.DUMMYFUNCTION("""COMPUTED_VALUE"""),"")</f>
        <v/>
      </c>
      <c r="U5631" s="16" t="s">
        <v>87</v>
      </c>
      <c r="V5631" s="16" t="str">
        <f>IFERROR(__xludf.DUMMYFUNCTION("""COMPUTED_VALUE"""),"")</f>
        <v/>
      </c>
      <c r="W5631" s="16" t="str">
        <f>IFERROR(__xludf.DUMMYFUNCTION("""COMPUTED_VALUE"""),"")</f>
        <v/>
      </c>
      <c r="X5631" s="16" t="str">
        <f>IFERROR(__xludf.DUMMYFUNCTION("""COMPUTED_VALUE"""),"")</f>
        <v/>
      </c>
      <c r="AC5631" s="16" t="str">
        <f>IFERROR(__xludf.DUMMYFUNCTION("""COMPUTED_VALUE"""),"")</f>
        <v/>
      </c>
    </row>
    <row r="5632">
      <c r="A5632" s="16" t="s">
        <v>87</v>
      </c>
      <c r="E5632" s="16" t="str">
        <f>IFERROR(__xludf.DUMMYFUNCTION("""COMPUTED_VALUE"""),"")</f>
        <v/>
      </c>
      <c r="G5632" s="18"/>
      <c r="H5632" s="16" t="s">
        <v>87</v>
      </c>
      <c r="I5632" s="16" t="s">
        <v>87</v>
      </c>
      <c r="J5632" s="19"/>
      <c r="L5632" s="16" t="str">
        <f>IFERROR(__xludf.DUMMYFUNCTION("""COMPUTED_VALUE"""),"")</f>
        <v/>
      </c>
      <c r="M5632" s="16" t="str">
        <f>IFERROR(__xludf.DUMMYFUNCTION("""COMPUTED_VALUE"""),"")</f>
        <v/>
      </c>
      <c r="U5632" s="16" t="s">
        <v>87</v>
      </c>
      <c r="V5632" s="16" t="str">
        <f>IFERROR(__xludf.DUMMYFUNCTION("""COMPUTED_VALUE"""),"")</f>
        <v/>
      </c>
      <c r="W5632" s="16" t="str">
        <f>IFERROR(__xludf.DUMMYFUNCTION("""COMPUTED_VALUE"""),"")</f>
        <v/>
      </c>
      <c r="X5632" s="16" t="str">
        <f>IFERROR(__xludf.DUMMYFUNCTION("""COMPUTED_VALUE"""),"")</f>
        <v/>
      </c>
      <c r="AC5632" s="16" t="str">
        <f>IFERROR(__xludf.DUMMYFUNCTION("""COMPUTED_VALUE"""),"")</f>
        <v/>
      </c>
    </row>
    <row r="5633">
      <c r="A5633" s="16" t="s">
        <v>87</v>
      </c>
      <c r="E5633" s="16" t="str">
        <f>IFERROR(__xludf.DUMMYFUNCTION("""COMPUTED_VALUE"""),"")</f>
        <v/>
      </c>
      <c r="G5633" s="18"/>
      <c r="H5633" s="16" t="s">
        <v>87</v>
      </c>
      <c r="I5633" s="16" t="s">
        <v>87</v>
      </c>
      <c r="J5633" s="19"/>
      <c r="L5633" s="16" t="str">
        <f>IFERROR(__xludf.DUMMYFUNCTION("""COMPUTED_VALUE"""),"")</f>
        <v/>
      </c>
      <c r="M5633" s="16" t="str">
        <f>IFERROR(__xludf.DUMMYFUNCTION("""COMPUTED_VALUE"""),"")</f>
        <v/>
      </c>
      <c r="U5633" s="16" t="s">
        <v>87</v>
      </c>
      <c r="V5633" s="16" t="str">
        <f>IFERROR(__xludf.DUMMYFUNCTION("""COMPUTED_VALUE"""),"")</f>
        <v/>
      </c>
      <c r="W5633" s="16" t="str">
        <f>IFERROR(__xludf.DUMMYFUNCTION("""COMPUTED_VALUE"""),"")</f>
        <v/>
      </c>
      <c r="X5633" s="16" t="str">
        <f>IFERROR(__xludf.DUMMYFUNCTION("""COMPUTED_VALUE"""),"")</f>
        <v/>
      </c>
      <c r="AC5633" s="16" t="str">
        <f>IFERROR(__xludf.DUMMYFUNCTION("""COMPUTED_VALUE"""),"")</f>
        <v/>
      </c>
    </row>
    <row r="5634">
      <c r="A5634" s="16" t="s">
        <v>87</v>
      </c>
      <c r="E5634" s="16" t="str">
        <f>IFERROR(__xludf.DUMMYFUNCTION("""COMPUTED_VALUE"""),"")</f>
        <v/>
      </c>
      <c r="G5634" s="18"/>
      <c r="H5634" s="16" t="s">
        <v>87</v>
      </c>
      <c r="I5634" s="16" t="s">
        <v>87</v>
      </c>
      <c r="J5634" s="19"/>
      <c r="L5634" s="16" t="str">
        <f>IFERROR(__xludf.DUMMYFUNCTION("""COMPUTED_VALUE"""),"")</f>
        <v/>
      </c>
      <c r="M5634" s="16" t="str">
        <f>IFERROR(__xludf.DUMMYFUNCTION("""COMPUTED_VALUE"""),"")</f>
        <v/>
      </c>
      <c r="U5634" s="16" t="s">
        <v>87</v>
      </c>
      <c r="V5634" s="16" t="str">
        <f>IFERROR(__xludf.DUMMYFUNCTION("""COMPUTED_VALUE"""),"")</f>
        <v/>
      </c>
      <c r="W5634" s="16" t="str">
        <f>IFERROR(__xludf.DUMMYFUNCTION("""COMPUTED_VALUE"""),"")</f>
        <v/>
      </c>
      <c r="X5634" s="16" t="str">
        <f>IFERROR(__xludf.DUMMYFUNCTION("""COMPUTED_VALUE"""),"")</f>
        <v/>
      </c>
      <c r="AC5634" s="16" t="str">
        <f>IFERROR(__xludf.DUMMYFUNCTION("""COMPUTED_VALUE"""),"")</f>
        <v/>
      </c>
    </row>
    <row r="5635">
      <c r="A5635" s="16" t="s">
        <v>87</v>
      </c>
      <c r="E5635" s="16" t="str">
        <f>IFERROR(__xludf.DUMMYFUNCTION("""COMPUTED_VALUE"""),"")</f>
        <v/>
      </c>
      <c r="G5635" s="18"/>
      <c r="H5635" s="16" t="s">
        <v>87</v>
      </c>
      <c r="I5635" s="16" t="s">
        <v>87</v>
      </c>
      <c r="J5635" s="19"/>
      <c r="L5635" s="16" t="str">
        <f>IFERROR(__xludf.DUMMYFUNCTION("""COMPUTED_VALUE"""),"")</f>
        <v/>
      </c>
      <c r="M5635" s="16" t="str">
        <f>IFERROR(__xludf.DUMMYFUNCTION("""COMPUTED_VALUE"""),"")</f>
        <v/>
      </c>
      <c r="U5635" s="16" t="s">
        <v>87</v>
      </c>
      <c r="V5635" s="16" t="str">
        <f>IFERROR(__xludf.DUMMYFUNCTION("""COMPUTED_VALUE"""),"")</f>
        <v/>
      </c>
      <c r="W5635" s="16" t="str">
        <f>IFERROR(__xludf.DUMMYFUNCTION("""COMPUTED_VALUE"""),"")</f>
        <v/>
      </c>
      <c r="X5635" s="16" t="str">
        <f>IFERROR(__xludf.DUMMYFUNCTION("""COMPUTED_VALUE"""),"")</f>
        <v/>
      </c>
      <c r="AC5635" s="16" t="str">
        <f>IFERROR(__xludf.DUMMYFUNCTION("""COMPUTED_VALUE"""),"")</f>
        <v/>
      </c>
    </row>
    <row r="5636">
      <c r="A5636" s="16" t="s">
        <v>87</v>
      </c>
      <c r="E5636" s="16" t="str">
        <f>IFERROR(__xludf.DUMMYFUNCTION("""COMPUTED_VALUE"""),"")</f>
        <v/>
      </c>
      <c r="G5636" s="18"/>
      <c r="H5636" s="16" t="s">
        <v>87</v>
      </c>
      <c r="I5636" s="16" t="s">
        <v>87</v>
      </c>
      <c r="J5636" s="19"/>
      <c r="L5636" s="16" t="str">
        <f>IFERROR(__xludf.DUMMYFUNCTION("""COMPUTED_VALUE"""),"")</f>
        <v/>
      </c>
      <c r="M5636" s="16" t="str">
        <f>IFERROR(__xludf.DUMMYFUNCTION("""COMPUTED_VALUE"""),"")</f>
        <v/>
      </c>
      <c r="U5636" s="16" t="s">
        <v>87</v>
      </c>
      <c r="V5636" s="16" t="str">
        <f>IFERROR(__xludf.DUMMYFUNCTION("""COMPUTED_VALUE"""),"")</f>
        <v/>
      </c>
      <c r="W5636" s="16" t="str">
        <f>IFERROR(__xludf.DUMMYFUNCTION("""COMPUTED_VALUE"""),"")</f>
        <v/>
      </c>
      <c r="X5636" s="16" t="str">
        <f>IFERROR(__xludf.DUMMYFUNCTION("""COMPUTED_VALUE"""),"")</f>
        <v/>
      </c>
      <c r="AC5636" s="16" t="str">
        <f>IFERROR(__xludf.DUMMYFUNCTION("""COMPUTED_VALUE"""),"")</f>
        <v/>
      </c>
    </row>
    <row r="5637">
      <c r="A5637" s="16" t="s">
        <v>87</v>
      </c>
      <c r="E5637" s="16" t="str">
        <f>IFERROR(__xludf.DUMMYFUNCTION("""COMPUTED_VALUE"""),"")</f>
        <v/>
      </c>
      <c r="G5637" s="18"/>
      <c r="H5637" s="16" t="s">
        <v>87</v>
      </c>
      <c r="I5637" s="16" t="s">
        <v>87</v>
      </c>
      <c r="J5637" s="19"/>
      <c r="L5637" s="16" t="str">
        <f>IFERROR(__xludf.DUMMYFUNCTION("""COMPUTED_VALUE"""),"")</f>
        <v/>
      </c>
      <c r="M5637" s="16" t="str">
        <f>IFERROR(__xludf.DUMMYFUNCTION("""COMPUTED_VALUE"""),"")</f>
        <v/>
      </c>
      <c r="U5637" s="16" t="s">
        <v>87</v>
      </c>
      <c r="V5637" s="16" t="str">
        <f>IFERROR(__xludf.DUMMYFUNCTION("""COMPUTED_VALUE"""),"")</f>
        <v/>
      </c>
      <c r="W5637" s="16" t="str">
        <f>IFERROR(__xludf.DUMMYFUNCTION("""COMPUTED_VALUE"""),"")</f>
        <v/>
      </c>
      <c r="X5637" s="16" t="str">
        <f>IFERROR(__xludf.DUMMYFUNCTION("""COMPUTED_VALUE"""),"")</f>
        <v/>
      </c>
      <c r="AC5637" s="16" t="str">
        <f>IFERROR(__xludf.DUMMYFUNCTION("""COMPUTED_VALUE"""),"")</f>
        <v/>
      </c>
    </row>
    <row r="5638">
      <c r="A5638" s="16" t="s">
        <v>87</v>
      </c>
      <c r="E5638" s="16" t="str">
        <f>IFERROR(__xludf.DUMMYFUNCTION("""COMPUTED_VALUE"""),"")</f>
        <v/>
      </c>
      <c r="G5638" s="18"/>
      <c r="H5638" s="16" t="s">
        <v>87</v>
      </c>
      <c r="I5638" s="16" t="s">
        <v>87</v>
      </c>
      <c r="J5638" s="19"/>
      <c r="L5638" s="16" t="str">
        <f>IFERROR(__xludf.DUMMYFUNCTION("""COMPUTED_VALUE"""),"")</f>
        <v/>
      </c>
      <c r="M5638" s="16" t="str">
        <f>IFERROR(__xludf.DUMMYFUNCTION("""COMPUTED_VALUE"""),"")</f>
        <v/>
      </c>
      <c r="U5638" s="16" t="s">
        <v>87</v>
      </c>
      <c r="V5638" s="16" t="str">
        <f>IFERROR(__xludf.DUMMYFUNCTION("""COMPUTED_VALUE"""),"")</f>
        <v/>
      </c>
      <c r="W5638" s="16" t="str">
        <f>IFERROR(__xludf.DUMMYFUNCTION("""COMPUTED_VALUE"""),"")</f>
        <v/>
      </c>
      <c r="X5638" s="16" t="str">
        <f>IFERROR(__xludf.DUMMYFUNCTION("""COMPUTED_VALUE"""),"")</f>
        <v/>
      </c>
      <c r="AC5638" s="16" t="str">
        <f>IFERROR(__xludf.DUMMYFUNCTION("""COMPUTED_VALUE"""),"")</f>
        <v/>
      </c>
    </row>
    <row r="5639">
      <c r="A5639" s="16" t="s">
        <v>87</v>
      </c>
      <c r="E5639" s="16" t="str">
        <f>IFERROR(__xludf.DUMMYFUNCTION("""COMPUTED_VALUE"""),"")</f>
        <v/>
      </c>
      <c r="G5639" s="18"/>
      <c r="H5639" s="16" t="s">
        <v>87</v>
      </c>
      <c r="I5639" s="16" t="s">
        <v>87</v>
      </c>
      <c r="J5639" s="19"/>
      <c r="L5639" s="16" t="str">
        <f>IFERROR(__xludf.DUMMYFUNCTION("""COMPUTED_VALUE"""),"")</f>
        <v/>
      </c>
      <c r="M5639" s="16" t="str">
        <f>IFERROR(__xludf.DUMMYFUNCTION("""COMPUTED_VALUE"""),"")</f>
        <v/>
      </c>
      <c r="U5639" s="16" t="s">
        <v>87</v>
      </c>
      <c r="V5639" s="16" t="str">
        <f>IFERROR(__xludf.DUMMYFUNCTION("""COMPUTED_VALUE"""),"")</f>
        <v/>
      </c>
      <c r="W5639" s="16" t="str">
        <f>IFERROR(__xludf.DUMMYFUNCTION("""COMPUTED_VALUE"""),"")</f>
        <v/>
      </c>
      <c r="X5639" s="16" t="str">
        <f>IFERROR(__xludf.DUMMYFUNCTION("""COMPUTED_VALUE"""),"")</f>
        <v/>
      </c>
      <c r="AC5639" s="16" t="str">
        <f>IFERROR(__xludf.DUMMYFUNCTION("""COMPUTED_VALUE"""),"")</f>
        <v/>
      </c>
    </row>
    <row r="5640">
      <c r="A5640" s="16" t="s">
        <v>87</v>
      </c>
      <c r="E5640" s="16" t="str">
        <f>IFERROR(__xludf.DUMMYFUNCTION("""COMPUTED_VALUE"""),"")</f>
        <v/>
      </c>
      <c r="G5640" s="18"/>
      <c r="H5640" s="16" t="s">
        <v>87</v>
      </c>
      <c r="I5640" s="16" t="s">
        <v>87</v>
      </c>
      <c r="J5640" s="19"/>
      <c r="L5640" s="16" t="str">
        <f>IFERROR(__xludf.DUMMYFUNCTION("""COMPUTED_VALUE"""),"")</f>
        <v/>
      </c>
      <c r="M5640" s="16" t="str">
        <f>IFERROR(__xludf.DUMMYFUNCTION("""COMPUTED_VALUE"""),"")</f>
        <v/>
      </c>
      <c r="U5640" s="16" t="s">
        <v>87</v>
      </c>
      <c r="V5640" s="16" t="str">
        <f>IFERROR(__xludf.DUMMYFUNCTION("""COMPUTED_VALUE"""),"")</f>
        <v/>
      </c>
      <c r="W5640" s="16" t="str">
        <f>IFERROR(__xludf.DUMMYFUNCTION("""COMPUTED_VALUE"""),"")</f>
        <v/>
      </c>
      <c r="X5640" s="16" t="str">
        <f>IFERROR(__xludf.DUMMYFUNCTION("""COMPUTED_VALUE"""),"")</f>
        <v/>
      </c>
      <c r="AC5640" s="16" t="str">
        <f>IFERROR(__xludf.DUMMYFUNCTION("""COMPUTED_VALUE"""),"")</f>
        <v/>
      </c>
    </row>
    <row r="5641">
      <c r="A5641" s="16" t="s">
        <v>87</v>
      </c>
      <c r="E5641" s="16" t="str">
        <f>IFERROR(__xludf.DUMMYFUNCTION("""COMPUTED_VALUE"""),"")</f>
        <v/>
      </c>
      <c r="G5641" s="18"/>
      <c r="H5641" s="16" t="s">
        <v>87</v>
      </c>
      <c r="I5641" s="16" t="s">
        <v>87</v>
      </c>
      <c r="J5641" s="19"/>
      <c r="L5641" s="16" t="str">
        <f>IFERROR(__xludf.DUMMYFUNCTION("""COMPUTED_VALUE"""),"")</f>
        <v/>
      </c>
      <c r="M5641" s="16" t="str">
        <f>IFERROR(__xludf.DUMMYFUNCTION("""COMPUTED_VALUE"""),"")</f>
        <v/>
      </c>
      <c r="U5641" s="16" t="s">
        <v>87</v>
      </c>
      <c r="V5641" s="16" t="str">
        <f>IFERROR(__xludf.DUMMYFUNCTION("""COMPUTED_VALUE"""),"")</f>
        <v/>
      </c>
      <c r="W5641" s="16" t="str">
        <f>IFERROR(__xludf.DUMMYFUNCTION("""COMPUTED_VALUE"""),"")</f>
        <v/>
      </c>
      <c r="X5641" s="16" t="str">
        <f>IFERROR(__xludf.DUMMYFUNCTION("""COMPUTED_VALUE"""),"")</f>
        <v/>
      </c>
      <c r="AC5641" s="16" t="str">
        <f>IFERROR(__xludf.DUMMYFUNCTION("""COMPUTED_VALUE"""),"")</f>
        <v/>
      </c>
    </row>
    <row r="5642">
      <c r="A5642" s="16" t="s">
        <v>87</v>
      </c>
      <c r="E5642" s="16" t="str">
        <f>IFERROR(__xludf.DUMMYFUNCTION("""COMPUTED_VALUE"""),"")</f>
        <v/>
      </c>
      <c r="G5642" s="18"/>
      <c r="H5642" s="16" t="s">
        <v>87</v>
      </c>
      <c r="I5642" s="16" t="s">
        <v>87</v>
      </c>
      <c r="J5642" s="19"/>
      <c r="L5642" s="16" t="str">
        <f>IFERROR(__xludf.DUMMYFUNCTION("""COMPUTED_VALUE"""),"")</f>
        <v/>
      </c>
      <c r="M5642" s="16" t="str">
        <f>IFERROR(__xludf.DUMMYFUNCTION("""COMPUTED_VALUE"""),"")</f>
        <v/>
      </c>
      <c r="U5642" s="16" t="s">
        <v>87</v>
      </c>
      <c r="V5642" s="16" t="str">
        <f>IFERROR(__xludf.DUMMYFUNCTION("""COMPUTED_VALUE"""),"")</f>
        <v/>
      </c>
      <c r="W5642" s="16" t="str">
        <f>IFERROR(__xludf.DUMMYFUNCTION("""COMPUTED_VALUE"""),"")</f>
        <v/>
      </c>
      <c r="X5642" s="16" t="str">
        <f>IFERROR(__xludf.DUMMYFUNCTION("""COMPUTED_VALUE"""),"")</f>
        <v/>
      </c>
      <c r="AC5642" s="16" t="str">
        <f>IFERROR(__xludf.DUMMYFUNCTION("""COMPUTED_VALUE"""),"")</f>
        <v/>
      </c>
    </row>
    <row r="5643">
      <c r="A5643" s="16" t="s">
        <v>87</v>
      </c>
      <c r="E5643" s="16" t="str">
        <f>IFERROR(__xludf.DUMMYFUNCTION("""COMPUTED_VALUE"""),"")</f>
        <v/>
      </c>
      <c r="G5643" s="18"/>
      <c r="H5643" s="16" t="s">
        <v>87</v>
      </c>
      <c r="I5643" s="16" t="s">
        <v>87</v>
      </c>
      <c r="J5643" s="19"/>
      <c r="L5643" s="16" t="str">
        <f>IFERROR(__xludf.DUMMYFUNCTION("""COMPUTED_VALUE"""),"")</f>
        <v/>
      </c>
      <c r="M5643" s="16" t="str">
        <f>IFERROR(__xludf.DUMMYFUNCTION("""COMPUTED_VALUE"""),"")</f>
        <v/>
      </c>
      <c r="U5643" s="16" t="s">
        <v>87</v>
      </c>
      <c r="V5643" s="16" t="str">
        <f>IFERROR(__xludf.DUMMYFUNCTION("""COMPUTED_VALUE"""),"")</f>
        <v/>
      </c>
      <c r="W5643" s="16" t="str">
        <f>IFERROR(__xludf.DUMMYFUNCTION("""COMPUTED_VALUE"""),"")</f>
        <v/>
      </c>
      <c r="X5643" s="16" t="str">
        <f>IFERROR(__xludf.DUMMYFUNCTION("""COMPUTED_VALUE"""),"")</f>
        <v/>
      </c>
      <c r="AC5643" s="16" t="str">
        <f>IFERROR(__xludf.DUMMYFUNCTION("""COMPUTED_VALUE"""),"")</f>
        <v/>
      </c>
    </row>
    <row r="5644">
      <c r="A5644" s="16" t="s">
        <v>87</v>
      </c>
      <c r="E5644" s="16" t="str">
        <f>IFERROR(__xludf.DUMMYFUNCTION("""COMPUTED_VALUE"""),"")</f>
        <v/>
      </c>
      <c r="G5644" s="18"/>
      <c r="H5644" s="16" t="s">
        <v>87</v>
      </c>
      <c r="I5644" s="16" t="s">
        <v>87</v>
      </c>
      <c r="J5644" s="19"/>
      <c r="L5644" s="16" t="str">
        <f>IFERROR(__xludf.DUMMYFUNCTION("""COMPUTED_VALUE"""),"")</f>
        <v/>
      </c>
      <c r="M5644" s="16" t="str">
        <f>IFERROR(__xludf.DUMMYFUNCTION("""COMPUTED_VALUE"""),"")</f>
        <v/>
      </c>
      <c r="U5644" s="16" t="s">
        <v>87</v>
      </c>
      <c r="V5644" s="16" t="str">
        <f>IFERROR(__xludf.DUMMYFUNCTION("""COMPUTED_VALUE"""),"")</f>
        <v/>
      </c>
      <c r="W5644" s="16" t="str">
        <f>IFERROR(__xludf.DUMMYFUNCTION("""COMPUTED_VALUE"""),"")</f>
        <v/>
      </c>
      <c r="X5644" s="16" t="str">
        <f>IFERROR(__xludf.DUMMYFUNCTION("""COMPUTED_VALUE"""),"")</f>
        <v/>
      </c>
      <c r="AC5644" s="16" t="str">
        <f>IFERROR(__xludf.DUMMYFUNCTION("""COMPUTED_VALUE"""),"")</f>
        <v/>
      </c>
    </row>
    <row r="5645">
      <c r="A5645" s="16" t="s">
        <v>87</v>
      </c>
      <c r="E5645" s="16" t="str">
        <f>IFERROR(__xludf.DUMMYFUNCTION("""COMPUTED_VALUE"""),"")</f>
        <v/>
      </c>
      <c r="G5645" s="18"/>
      <c r="H5645" s="16" t="s">
        <v>87</v>
      </c>
      <c r="I5645" s="16" t="s">
        <v>87</v>
      </c>
      <c r="J5645" s="19"/>
      <c r="L5645" s="16" t="str">
        <f>IFERROR(__xludf.DUMMYFUNCTION("""COMPUTED_VALUE"""),"")</f>
        <v/>
      </c>
      <c r="M5645" s="16" t="str">
        <f>IFERROR(__xludf.DUMMYFUNCTION("""COMPUTED_VALUE"""),"")</f>
        <v/>
      </c>
      <c r="U5645" s="16" t="s">
        <v>87</v>
      </c>
      <c r="V5645" s="16" t="str">
        <f>IFERROR(__xludf.DUMMYFUNCTION("""COMPUTED_VALUE"""),"")</f>
        <v/>
      </c>
      <c r="W5645" s="16" t="str">
        <f>IFERROR(__xludf.DUMMYFUNCTION("""COMPUTED_VALUE"""),"")</f>
        <v/>
      </c>
      <c r="X5645" s="16" t="str">
        <f>IFERROR(__xludf.DUMMYFUNCTION("""COMPUTED_VALUE"""),"")</f>
        <v/>
      </c>
      <c r="AC5645" s="16" t="str">
        <f>IFERROR(__xludf.DUMMYFUNCTION("""COMPUTED_VALUE"""),"")</f>
        <v/>
      </c>
    </row>
    <row r="5646">
      <c r="A5646" s="16" t="s">
        <v>87</v>
      </c>
      <c r="E5646" s="16" t="str">
        <f>IFERROR(__xludf.DUMMYFUNCTION("""COMPUTED_VALUE"""),"")</f>
        <v/>
      </c>
      <c r="G5646" s="18"/>
      <c r="H5646" s="16" t="s">
        <v>87</v>
      </c>
      <c r="I5646" s="16" t="s">
        <v>87</v>
      </c>
      <c r="J5646" s="19"/>
      <c r="L5646" s="16" t="str">
        <f>IFERROR(__xludf.DUMMYFUNCTION("""COMPUTED_VALUE"""),"")</f>
        <v/>
      </c>
      <c r="M5646" s="16" t="str">
        <f>IFERROR(__xludf.DUMMYFUNCTION("""COMPUTED_VALUE"""),"")</f>
        <v/>
      </c>
      <c r="U5646" s="16" t="s">
        <v>87</v>
      </c>
      <c r="V5646" s="16" t="str">
        <f>IFERROR(__xludf.DUMMYFUNCTION("""COMPUTED_VALUE"""),"")</f>
        <v/>
      </c>
      <c r="W5646" s="16" t="str">
        <f>IFERROR(__xludf.DUMMYFUNCTION("""COMPUTED_VALUE"""),"")</f>
        <v/>
      </c>
      <c r="X5646" s="16" t="str">
        <f>IFERROR(__xludf.DUMMYFUNCTION("""COMPUTED_VALUE"""),"")</f>
        <v/>
      </c>
      <c r="AC5646" s="16" t="str">
        <f>IFERROR(__xludf.DUMMYFUNCTION("""COMPUTED_VALUE"""),"")</f>
        <v/>
      </c>
    </row>
    <row r="5647">
      <c r="A5647" s="16" t="s">
        <v>87</v>
      </c>
      <c r="E5647" s="16" t="str">
        <f>IFERROR(__xludf.DUMMYFUNCTION("""COMPUTED_VALUE"""),"")</f>
        <v/>
      </c>
      <c r="G5647" s="18"/>
      <c r="H5647" s="16" t="s">
        <v>87</v>
      </c>
      <c r="I5647" s="16" t="s">
        <v>87</v>
      </c>
      <c r="J5647" s="19"/>
      <c r="L5647" s="16" t="str">
        <f>IFERROR(__xludf.DUMMYFUNCTION("""COMPUTED_VALUE"""),"")</f>
        <v/>
      </c>
      <c r="M5647" s="16" t="str">
        <f>IFERROR(__xludf.DUMMYFUNCTION("""COMPUTED_VALUE"""),"")</f>
        <v/>
      </c>
      <c r="U5647" s="16" t="s">
        <v>87</v>
      </c>
      <c r="V5647" s="16" t="str">
        <f>IFERROR(__xludf.DUMMYFUNCTION("""COMPUTED_VALUE"""),"")</f>
        <v/>
      </c>
      <c r="W5647" s="16" t="str">
        <f>IFERROR(__xludf.DUMMYFUNCTION("""COMPUTED_VALUE"""),"")</f>
        <v/>
      </c>
      <c r="X5647" s="16" t="str">
        <f>IFERROR(__xludf.DUMMYFUNCTION("""COMPUTED_VALUE"""),"")</f>
        <v/>
      </c>
      <c r="AC5647" s="16" t="str">
        <f>IFERROR(__xludf.DUMMYFUNCTION("""COMPUTED_VALUE"""),"")</f>
        <v/>
      </c>
    </row>
    <row r="5648">
      <c r="A5648" s="16" t="s">
        <v>87</v>
      </c>
      <c r="E5648" s="16" t="str">
        <f>IFERROR(__xludf.DUMMYFUNCTION("""COMPUTED_VALUE"""),"")</f>
        <v/>
      </c>
      <c r="G5648" s="18"/>
      <c r="H5648" s="16" t="s">
        <v>87</v>
      </c>
      <c r="I5648" s="16" t="s">
        <v>87</v>
      </c>
      <c r="J5648" s="19"/>
      <c r="L5648" s="16" t="str">
        <f>IFERROR(__xludf.DUMMYFUNCTION("""COMPUTED_VALUE"""),"")</f>
        <v/>
      </c>
      <c r="M5648" s="16" t="str">
        <f>IFERROR(__xludf.DUMMYFUNCTION("""COMPUTED_VALUE"""),"")</f>
        <v/>
      </c>
      <c r="U5648" s="16" t="s">
        <v>87</v>
      </c>
      <c r="V5648" s="16" t="str">
        <f>IFERROR(__xludf.DUMMYFUNCTION("""COMPUTED_VALUE"""),"")</f>
        <v/>
      </c>
      <c r="W5648" s="16" t="str">
        <f>IFERROR(__xludf.DUMMYFUNCTION("""COMPUTED_VALUE"""),"")</f>
        <v/>
      </c>
      <c r="X5648" s="16" t="str">
        <f>IFERROR(__xludf.DUMMYFUNCTION("""COMPUTED_VALUE"""),"")</f>
        <v/>
      </c>
      <c r="AC5648" s="16" t="str">
        <f>IFERROR(__xludf.DUMMYFUNCTION("""COMPUTED_VALUE"""),"")</f>
        <v/>
      </c>
    </row>
    <row r="5649">
      <c r="A5649" s="16" t="s">
        <v>87</v>
      </c>
      <c r="E5649" s="16" t="str">
        <f>IFERROR(__xludf.DUMMYFUNCTION("""COMPUTED_VALUE"""),"")</f>
        <v/>
      </c>
      <c r="G5649" s="18"/>
      <c r="H5649" s="16" t="s">
        <v>87</v>
      </c>
      <c r="I5649" s="16" t="s">
        <v>87</v>
      </c>
      <c r="J5649" s="19"/>
      <c r="L5649" s="16" t="str">
        <f>IFERROR(__xludf.DUMMYFUNCTION("""COMPUTED_VALUE"""),"")</f>
        <v/>
      </c>
      <c r="M5649" s="16" t="str">
        <f>IFERROR(__xludf.DUMMYFUNCTION("""COMPUTED_VALUE"""),"")</f>
        <v/>
      </c>
      <c r="U5649" s="16" t="s">
        <v>87</v>
      </c>
      <c r="V5649" s="16" t="str">
        <f>IFERROR(__xludf.DUMMYFUNCTION("""COMPUTED_VALUE"""),"")</f>
        <v/>
      </c>
      <c r="W5649" s="16" t="str">
        <f>IFERROR(__xludf.DUMMYFUNCTION("""COMPUTED_VALUE"""),"")</f>
        <v/>
      </c>
      <c r="X5649" s="16" t="str">
        <f>IFERROR(__xludf.DUMMYFUNCTION("""COMPUTED_VALUE"""),"")</f>
        <v/>
      </c>
      <c r="AC5649" s="16" t="str">
        <f>IFERROR(__xludf.DUMMYFUNCTION("""COMPUTED_VALUE"""),"")</f>
        <v/>
      </c>
    </row>
    <row r="5650">
      <c r="A5650" s="16" t="s">
        <v>87</v>
      </c>
      <c r="E5650" s="16" t="str">
        <f>IFERROR(__xludf.DUMMYFUNCTION("""COMPUTED_VALUE"""),"")</f>
        <v/>
      </c>
      <c r="G5650" s="18"/>
      <c r="H5650" s="16" t="s">
        <v>87</v>
      </c>
      <c r="I5650" s="16" t="s">
        <v>87</v>
      </c>
      <c r="J5650" s="19"/>
      <c r="L5650" s="16" t="str">
        <f>IFERROR(__xludf.DUMMYFUNCTION("""COMPUTED_VALUE"""),"")</f>
        <v/>
      </c>
      <c r="M5650" s="16" t="str">
        <f>IFERROR(__xludf.DUMMYFUNCTION("""COMPUTED_VALUE"""),"")</f>
        <v/>
      </c>
      <c r="U5650" s="16" t="s">
        <v>87</v>
      </c>
      <c r="V5650" s="16" t="str">
        <f>IFERROR(__xludf.DUMMYFUNCTION("""COMPUTED_VALUE"""),"")</f>
        <v/>
      </c>
      <c r="W5650" s="16" t="str">
        <f>IFERROR(__xludf.DUMMYFUNCTION("""COMPUTED_VALUE"""),"")</f>
        <v/>
      </c>
      <c r="X5650" s="16" t="str">
        <f>IFERROR(__xludf.DUMMYFUNCTION("""COMPUTED_VALUE"""),"")</f>
        <v/>
      </c>
      <c r="AC5650" s="16" t="str">
        <f>IFERROR(__xludf.DUMMYFUNCTION("""COMPUTED_VALUE"""),"")</f>
        <v/>
      </c>
    </row>
    <row r="5651">
      <c r="A5651" s="16" t="s">
        <v>87</v>
      </c>
      <c r="E5651" s="16" t="str">
        <f>IFERROR(__xludf.DUMMYFUNCTION("""COMPUTED_VALUE"""),"")</f>
        <v/>
      </c>
      <c r="G5651" s="18"/>
      <c r="H5651" s="16" t="s">
        <v>87</v>
      </c>
      <c r="I5651" s="16" t="s">
        <v>87</v>
      </c>
      <c r="J5651" s="19"/>
      <c r="L5651" s="16" t="str">
        <f>IFERROR(__xludf.DUMMYFUNCTION("""COMPUTED_VALUE"""),"")</f>
        <v/>
      </c>
      <c r="M5651" s="16" t="str">
        <f>IFERROR(__xludf.DUMMYFUNCTION("""COMPUTED_VALUE"""),"")</f>
        <v/>
      </c>
      <c r="U5651" s="16" t="s">
        <v>87</v>
      </c>
      <c r="V5651" s="16" t="str">
        <f>IFERROR(__xludf.DUMMYFUNCTION("""COMPUTED_VALUE"""),"")</f>
        <v/>
      </c>
      <c r="W5651" s="16" t="str">
        <f>IFERROR(__xludf.DUMMYFUNCTION("""COMPUTED_VALUE"""),"")</f>
        <v/>
      </c>
      <c r="X5651" s="16" t="str">
        <f>IFERROR(__xludf.DUMMYFUNCTION("""COMPUTED_VALUE"""),"")</f>
        <v/>
      </c>
      <c r="AC5651" s="16" t="str">
        <f>IFERROR(__xludf.DUMMYFUNCTION("""COMPUTED_VALUE"""),"")</f>
        <v/>
      </c>
    </row>
    <row r="5652">
      <c r="A5652" s="16" t="s">
        <v>87</v>
      </c>
      <c r="E5652" s="16" t="str">
        <f>IFERROR(__xludf.DUMMYFUNCTION("""COMPUTED_VALUE"""),"")</f>
        <v/>
      </c>
      <c r="G5652" s="18"/>
      <c r="H5652" s="16" t="s">
        <v>87</v>
      </c>
      <c r="I5652" s="16" t="s">
        <v>87</v>
      </c>
      <c r="J5652" s="19"/>
      <c r="L5652" s="16" t="str">
        <f>IFERROR(__xludf.DUMMYFUNCTION("""COMPUTED_VALUE"""),"")</f>
        <v/>
      </c>
      <c r="M5652" s="16" t="str">
        <f>IFERROR(__xludf.DUMMYFUNCTION("""COMPUTED_VALUE"""),"")</f>
        <v/>
      </c>
      <c r="U5652" s="16" t="s">
        <v>87</v>
      </c>
      <c r="V5652" s="16" t="str">
        <f>IFERROR(__xludf.DUMMYFUNCTION("""COMPUTED_VALUE"""),"")</f>
        <v/>
      </c>
      <c r="W5652" s="16" t="str">
        <f>IFERROR(__xludf.DUMMYFUNCTION("""COMPUTED_VALUE"""),"")</f>
        <v/>
      </c>
      <c r="X5652" s="16" t="str">
        <f>IFERROR(__xludf.DUMMYFUNCTION("""COMPUTED_VALUE"""),"")</f>
        <v/>
      </c>
      <c r="AC5652" s="16" t="str">
        <f>IFERROR(__xludf.DUMMYFUNCTION("""COMPUTED_VALUE"""),"")</f>
        <v/>
      </c>
    </row>
    <row r="5653">
      <c r="A5653" s="16" t="s">
        <v>87</v>
      </c>
      <c r="E5653" s="16" t="str">
        <f>IFERROR(__xludf.DUMMYFUNCTION("""COMPUTED_VALUE"""),"")</f>
        <v/>
      </c>
      <c r="G5653" s="18"/>
      <c r="H5653" s="16" t="s">
        <v>87</v>
      </c>
      <c r="I5653" s="16" t="s">
        <v>87</v>
      </c>
      <c r="J5653" s="19"/>
      <c r="L5653" s="16" t="str">
        <f>IFERROR(__xludf.DUMMYFUNCTION("""COMPUTED_VALUE"""),"")</f>
        <v/>
      </c>
      <c r="M5653" s="16" t="str">
        <f>IFERROR(__xludf.DUMMYFUNCTION("""COMPUTED_VALUE"""),"")</f>
        <v/>
      </c>
      <c r="U5653" s="16" t="s">
        <v>87</v>
      </c>
      <c r="V5653" s="16" t="str">
        <f>IFERROR(__xludf.DUMMYFUNCTION("""COMPUTED_VALUE"""),"")</f>
        <v/>
      </c>
      <c r="W5653" s="16" t="str">
        <f>IFERROR(__xludf.DUMMYFUNCTION("""COMPUTED_VALUE"""),"")</f>
        <v/>
      </c>
      <c r="X5653" s="16" t="str">
        <f>IFERROR(__xludf.DUMMYFUNCTION("""COMPUTED_VALUE"""),"")</f>
        <v/>
      </c>
      <c r="AC5653" s="16" t="str">
        <f>IFERROR(__xludf.DUMMYFUNCTION("""COMPUTED_VALUE"""),"")</f>
        <v/>
      </c>
    </row>
    <row r="5654">
      <c r="A5654" s="16" t="s">
        <v>87</v>
      </c>
      <c r="E5654" s="16" t="str">
        <f>IFERROR(__xludf.DUMMYFUNCTION("""COMPUTED_VALUE"""),"")</f>
        <v/>
      </c>
      <c r="G5654" s="18"/>
      <c r="H5654" s="16" t="s">
        <v>87</v>
      </c>
      <c r="I5654" s="16" t="s">
        <v>87</v>
      </c>
      <c r="J5654" s="19"/>
      <c r="L5654" s="16" t="str">
        <f>IFERROR(__xludf.DUMMYFUNCTION("""COMPUTED_VALUE"""),"")</f>
        <v/>
      </c>
      <c r="M5654" s="16" t="str">
        <f>IFERROR(__xludf.DUMMYFUNCTION("""COMPUTED_VALUE"""),"")</f>
        <v/>
      </c>
      <c r="U5654" s="16" t="s">
        <v>87</v>
      </c>
      <c r="V5654" s="16" t="str">
        <f>IFERROR(__xludf.DUMMYFUNCTION("""COMPUTED_VALUE"""),"")</f>
        <v/>
      </c>
      <c r="W5654" s="16" t="str">
        <f>IFERROR(__xludf.DUMMYFUNCTION("""COMPUTED_VALUE"""),"")</f>
        <v/>
      </c>
      <c r="X5654" s="16" t="str">
        <f>IFERROR(__xludf.DUMMYFUNCTION("""COMPUTED_VALUE"""),"")</f>
        <v/>
      </c>
      <c r="AC5654" s="16" t="str">
        <f>IFERROR(__xludf.DUMMYFUNCTION("""COMPUTED_VALUE"""),"")</f>
        <v/>
      </c>
    </row>
    <row r="5655">
      <c r="A5655" s="16" t="s">
        <v>87</v>
      </c>
      <c r="E5655" s="16" t="str">
        <f>IFERROR(__xludf.DUMMYFUNCTION("""COMPUTED_VALUE"""),"")</f>
        <v/>
      </c>
      <c r="G5655" s="18"/>
      <c r="H5655" s="16" t="s">
        <v>87</v>
      </c>
      <c r="I5655" s="16" t="s">
        <v>87</v>
      </c>
      <c r="J5655" s="19"/>
      <c r="L5655" s="16" t="str">
        <f>IFERROR(__xludf.DUMMYFUNCTION("""COMPUTED_VALUE"""),"")</f>
        <v/>
      </c>
      <c r="M5655" s="16" t="str">
        <f>IFERROR(__xludf.DUMMYFUNCTION("""COMPUTED_VALUE"""),"")</f>
        <v/>
      </c>
      <c r="U5655" s="16" t="s">
        <v>87</v>
      </c>
      <c r="V5655" s="16" t="str">
        <f>IFERROR(__xludf.DUMMYFUNCTION("""COMPUTED_VALUE"""),"")</f>
        <v/>
      </c>
      <c r="W5655" s="16" t="str">
        <f>IFERROR(__xludf.DUMMYFUNCTION("""COMPUTED_VALUE"""),"")</f>
        <v/>
      </c>
      <c r="X5655" s="16" t="str">
        <f>IFERROR(__xludf.DUMMYFUNCTION("""COMPUTED_VALUE"""),"")</f>
        <v/>
      </c>
      <c r="AC5655" s="16" t="str">
        <f>IFERROR(__xludf.DUMMYFUNCTION("""COMPUTED_VALUE"""),"")</f>
        <v/>
      </c>
    </row>
    <row r="5656">
      <c r="A5656" s="16" t="s">
        <v>87</v>
      </c>
      <c r="E5656" s="16" t="str">
        <f>IFERROR(__xludf.DUMMYFUNCTION("""COMPUTED_VALUE"""),"")</f>
        <v/>
      </c>
      <c r="G5656" s="18"/>
      <c r="H5656" s="16" t="s">
        <v>87</v>
      </c>
      <c r="I5656" s="16" t="s">
        <v>87</v>
      </c>
      <c r="J5656" s="19"/>
      <c r="L5656" s="16" t="str">
        <f>IFERROR(__xludf.DUMMYFUNCTION("""COMPUTED_VALUE"""),"")</f>
        <v/>
      </c>
      <c r="M5656" s="16" t="str">
        <f>IFERROR(__xludf.DUMMYFUNCTION("""COMPUTED_VALUE"""),"")</f>
        <v/>
      </c>
      <c r="U5656" s="16" t="s">
        <v>87</v>
      </c>
      <c r="V5656" s="16" t="str">
        <f>IFERROR(__xludf.DUMMYFUNCTION("""COMPUTED_VALUE"""),"")</f>
        <v/>
      </c>
      <c r="W5656" s="16" t="str">
        <f>IFERROR(__xludf.DUMMYFUNCTION("""COMPUTED_VALUE"""),"")</f>
        <v/>
      </c>
      <c r="X5656" s="16" t="str">
        <f>IFERROR(__xludf.DUMMYFUNCTION("""COMPUTED_VALUE"""),"")</f>
        <v/>
      </c>
      <c r="AC5656" s="16" t="str">
        <f>IFERROR(__xludf.DUMMYFUNCTION("""COMPUTED_VALUE"""),"")</f>
        <v/>
      </c>
    </row>
    <row r="5657">
      <c r="A5657" s="16" t="s">
        <v>87</v>
      </c>
      <c r="E5657" s="16" t="str">
        <f>IFERROR(__xludf.DUMMYFUNCTION("""COMPUTED_VALUE"""),"")</f>
        <v/>
      </c>
      <c r="G5657" s="18"/>
      <c r="H5657" s="16" t="s">
        <v>87</v>
      </c>
      <c r="I5657" s="16" t="s">
        <v>87</v>
      </c>
      <c r="J5657" s="19"/>
      <c r="L5657" s="16" t="str">
        <f>IFERROR(__xludf.DUMMYFUNCTION("""COMPUTED_VALUE"""),"")</f>
        <v/>
      </c>
      <c r="M5657" s="16" t="str">
        <f>IFERROR(__xludf.DUMMYFUNCTION("""COMPUTED_VALUE"""),"")</f>
        <v/>
      </c>
      <c r="U5657" s="16" t="s">
        <v>87</v>
      </c>
      <c r="V5657" s="16" t="str">
        <f>IFERROR(__xludf.DUMMYFUNCTION("""COMPUTED_VALUE"""),"")</f>
        <v/>
      </c>
      <c r="W5657" s="16" t="str">
        <f>IFERROR(__xludf.DUMMYFUNCTION("""COMPUTED_VALUE"""),"")</f>
        <v/>
      </c>
      <c r="X5657" s="16" t="str">
        <f>IFERROR(__xludf.DUMMYFUNCTION("""COMPUTED_VALUE"""),"")</f>
        <v/>
      </c>
      <c r="AC5657" s="16" t="str">
        <f>IFERROR(__xludf.DUMMYFUNCTION("""COMPUTED_VALUE"""),"")</f>
        <v/>
      </c>
    </row>
    <row r="5658">
      <c r="A5658" s="16" t="s">
        <v>87</v>
      </c>
      <c r="E5658" s="16" t="str">
        <f>IFERROR(__xludf.DUMMYFUNCTION("""COMPUTED_VALUE"""),"")</f>
        <v/>
      </c>
      <c r="G5658" s="18"/>
      <c r="H5658" s="16" t="s">
        <v>87</v>
      </c>
      <c r="I5658" s="16" t="s">
        <v>87</v>
      </c>
      <c r="J5658" s="19"/>
      <c r="L5658" s="16" t="str">
        <f>IFERROR(__xludf.DUMMYFUNCTION("""COMPUTED_VALUE"""),"")</f>
        <v/>
      </c>
      <c r="M5658" s="16" t="str">
        <f>IFERROR(__xludf.DUMMYFUNCTION("""COMPUTED_VALUE"""),"")</f>
        <v/>
      </c>
      <c r="U5658" s="16" t="s">
        <v>87</v>
      </c>
      <c r="V5658" s="16" t="str">
        <f>IFERROR(__xludf.DUMMYFUNCTION("""COMPUTED_VALUE"""),"")</f>
        <v/>
      </c>
      <c r="W5658" s="16" t="str">
        <f>IFERROR(__xludf.DUMMYFUNCTION("""COMPUTED_VALUE"""),"")</f>
        <v/>
      </c>
      <c r="X5658" s="16" t="str">
        <f>IFERROR(__xludf.DUMMYFUNCTION("""COMPUTED_VALUE"""),"")</f>
        <v/>
      </c>
      <c r="AC5658" s="16" t="str">
        <f>IFERROR(__xludf.DUMMYFUNCTION("""COMPUTED_VALUE"""),"")</f>
        <v/>
      </c>
    </row>
    <row r="5659">
      <c r="A5659" s="16" t="s">
        <v>87</v>
      </c>
      <c r="E5659" s="16" t="str">
        <f>IFERROR(__xludf.DUMMYFUNCTION("""COMPUTED_VALUE"""),"")</f>
        <v/>
      </c>
      <c r="G5659" s="18"/>
      <c r="H5659" s="16" t="s">
        <v>87</v>
      </c>
      <c r="I5659" s="16" t="s">
        <v>87</v>
      </c>
      <c r="J5659" s="19"/>
      <c r="L5659" s="16" t="str">
        <f>IFERROR(__xludf.DUMMYFUNCTION("""COMPUTED_VALUE"""),"")</f>
        <v/>
      </c>
      <c r="M5659" s="16" t="str">
        <f>IFERROR(__xludf.DUMMYFUNCTION("""COMPUTED_VALUE"""),"")</f>
        <v/>
      </c>
      <c r="U5659" s="16" t="s">
        <v>87</v>
      </c>
      <c r="V5659" s="16" t="str">
        <f>IFERROR(__xludf.DUMMYFUNCTION("""COMPUTED_VALUE"""),"")</f>
        <v/>
      </c>
      <c r="W5659" s="16" t="str">
        <f>IFERROR(__xludf.DUMMYFUNCTION("""COMPUTED_VALUE"""),"")</f>
        <v/>
      </c>
      <c r="X5659" s="16" t="str">
        <f>IFERROR(__xludf.DUMMYFUNCTION("""COMPUTED_VALUE"""),"")</f>
        <v/>
      </c>
      <c r="AC5659" s="16" t="str">
        <f>IFERROR(__xludf.DUMMYFUNCTION("""COMPUTED_VALUE"""),"")</f>
        <v/>
      </c>
    </row>
    <row r="5660">
      <c r="A5660" s="16" t="s">
        <v>87</v>
      </c>
      <c r="E5660" s="16" t="str">
        <f>IFERROR(__xludf.DUMMYFUNCTION("""COMPUTED_VALUE"""),"")</f>
        <v/>
      </c>
      <c r="G5660" s="18"/>
      <c r="H5660" s="16" t="s">
        <v>87</v>
      </c>
      <c r="I5660" s="16" t="s">
        <v>87</v>
      </c>
      <c r="J5660" s="19"/>
      <c r="L5660" s="16" t="str">
        <f>IFERROR(__xludf.DUMMYFUNCTION("""COMPUTED_VALUE"""),"")</f>
        <v/>
      </c>
      <c r="M5660" s="16" t="str">
        <f>IFERROR(__xludf.DUMMYFUNCTION("""COMPUTED_VALUE"""),"")</f>
        <v/>
      </c>
      <c r="U5660" s="16" t="s">
        <v>87</v>
      </c>
      <c r="V5660" s="16" t="str">
        <f>IFERROR(__xludf.DUMMYFUNCTION("""COMPUTED_VALUE"""),"")</f>
        <v/>
      </c>
      <c r="W5660" s="16" t="str">
        <f>IFERROR(__xludf.DUMMYFUNCTION("""COMPUTED_VALUE"""),"")</f>
        <v/>
      </c>
      <c r="X5660" s="16" t="str">
        <f>IFERROR(__xludf.DUMMYFUNCTION("""COMPUTED_VALUE"""),"")</f>
        <v/>
      </c>
      <c r="AC5660" s="16" t="str">
        <f>IFERROR(__xludf.DUMMYFUNCTION("""COMPUTED_VALUE"""),"")</f>
        <v/>
      </c>
    </row>
    <row r="5661">
      <c r="A5661" s="16" t="s">
        <v>87</v>
      </c>
      <c r="E5661" s="16" t="str">
        <f>IFERROR(__xludf.DUMMYFUNCTION("""COMPUTED_VALUE"""),"")</f>
        <v/>
      </c>
      <c r="G5661" s="18"/>
      <c r="H5661" s="16" t="s">
        <v>87</v>
      </c>
      <c r="I5661" s="16" t="s">
        <v>87</v>
      </c>
      <c r="J5661" s="19"/>
      <c r="L5661" s="16" t="str">
        <f>IFERROR(__xludf.DUMMYFUNCTION("""COMPUTED_VALUE"""),"")</f>
        <v/>
      </c>
      <c r="M5661" s="16" t="str">
        <f>IFERROR(__xludf.DUMMYFUNCTION("""COMPUTED_VALUE"""),"")</f>
        <v/>
      </c>
      <c r="U5661" s="16" t="s">
        <v>87</v>
      </c>
      <c r="V5661" s="16" t="str">
        <f>IFERROR(__xludf.DUMMYFUNCTION("""COMPUTED_VALUE"""),"")</f>
        <v/>
      </c>
      <c r="W5661" s="16" t="str">
        <f>IFERROR(__xludf.DUMMYFUNCTION("""COMPUTED_VALUE"""),"")</f>
        <v/>
      </c>
      <c r="X5661" s="16" t="str">
        <f>IFERROR(__xludf.DUMMYFUNCTION("""COMPUTED_VALUE"""),"")</f>
        <v/>
      </c>
      <c r="AC5661" s="16" t="str">
        <f>IFERROR(__xludf.DUMMYFUNCTION("""COMPUTED_VALUE"""),"")</f>
        <v/>
      </c>
    </row>
    <row r="5662">
      <c r="A5662" s="16" t="s">
        <v>87</v>
      </c>
      <c r="E5662" s="16" t="str">
        <f>IFERROR(__xludf.DUMMYFUNCTION("""COMPUTED_VALUE"""),"")</f>
        <v/>
      </c>
      <c r="G5662" s="18"/>
      <c r="H5662" s="16" t="s">
        <v>87</v>
      </c>
      <c r="I5662" s="16" t="s">
        <v>87</v>
      </c>
      <c r="J5662" s="19"/>
      <c r="L5662" s="16" t="str">
        <f>IFERROR(__xludf.DUMMYFUNCTION("""COMPUTED_VALUE"""),"")</f>
        <v/>
      </c>
      <c r="M5662" s="16" t="str">
        <f>IFERROR(__xludf.DUMMYFUNCTION("""COMPUTED_VALUE"""),"")</f>
        <v/>
      </c>
      <c r="U5662" s="16" t="s">
        <v>87</v>
      </c>
      <c r="V5662" s="16" t="str">
        <f>IFERROR(__xludf.DUMMYFUNCTION("""COMPUTED_VALUE"""),"")</f>
        <v/>
      </c>
      <c r="W5662" s="16" t="str">
        <f>IFERROR(__xludf.DUMMYFUNCTION("""COMPUTED_VALUE"""),"")</f>
        <v/>
      </c>
      <c r="X5662" s="16" t="str">
        <f>IFERROR(__xludf.DUMMYFUNCTION("""COMPUTED_VALUE"""),"")</f>
        <v/>
      </c>
      <c r="AC5662" s="16" t="str">
        <f>IFERROR(__xludf.DUMMYFUNCTION("""COMPUTED_VALUE"""),"")</f>
        <v/>
      </c>
    </row>
    <row r="5663">
      <c r="A5663" s="16" t="s">
        <v>87</v>
      </c>
      <c r="E5663" s="16" t="str">
        <f>IFERROR(__xludf.DUMMYFUNCTION("""COMPUTED_VALUE"""),"")</f>
        <v/>
      </c>
      <c r="G5663" s="18"/>
      <c r="H5663" s="16" t="s">
        <v>87</v>
      </c>
      <c r="I5663" s="16" t="s">
        <v>87</v>
      </c>
      <c r="J5663" s="19"/>
      <c r="L5663" s="16" t="str">
        <f>IFERROR(__xludf.DUMMYFUNCTION("""COMPUTED_VALUE"""),"")</f>
        <v/>
      </c>
      <c r="M5663" s="16" t="str">
        <f>IFERROR(__xludf.DUMMYFUNCTION("""COMPUTED_VALUE"""),"")</f>
        <v/>
      </c>
      <c r="U5663" s="16" t="s">
        <v>87</v>
      </c>
      <c r="V5663" s="16" t="str">
        <f>IFERROR(__xludf.DUMMYFUNCTION("""COMPUTED_VALUE"""),"")</f>
        <v/>
      </c>
      <c r="W5663" s="16" t="str">
        <f>IFERROR(__xludf.DUMMYFUNCTION("""COMPUTED_VALUE"""),"")</f>
        <v/>
      </c>
      <c r="X5663" s="16" t="str">
        <f>IFERROR(__xludf.DUMMYFUNCTION("""COMPUTED_VALUE"""),"")</f>
        <v/>
      </c>
      <c r="AC5663" s="16" t="str">
        <f>IFERROR(__xludf.DUMMYFUNCTION("""COMPUTED_VALUE"""),"")</f>
        <v/>
      </c>
    </row>
    <row r="5664">
      <c r="A5664" s="16" t="s">
        <v>87</v>
      </c>
      <c r="E5664" s="16" t="str">
        <f>IFERROR(__xludf.DUMMYFUNCTION("""COMPUTED_VALUE"""),"")</f>
        <v/>
      </c>
      <c r="G5664" s="18"/>
      <c r="H5664" s="16" t="s">
        <v>87</v>
      </c>
      <c r="I5664" s="16" t="s">
        <v>87</v>
      </c>
      <c r="J5664" s="19"/>
      <c r="L5664" s="16" t="str">
        <f>IFERROR(__xludf.DUMMYFUNCTION("""COMPUTED_VALUE"""),"")</f>
        <v/>
      </c>
      <c r="M5664" s="16" t="str">
        <f>IFERROR(__xludf.DUMMYFUNCTION("""COMPUTED_VALUE"""),"")</f>
        <v/>
      </c>
      <c r="U5664" s="16" t="s">
        <v>87</v>
      </c>
      <c r="V5664" s="16" t="str">
        <f>IFERROR(__xludf.DUMMYFUNCTION("""COMPUTED_VALUE"""),"")</f>
        <v/>
      </c>
      <c r="W5664" s="16" t="str">
        <f>IFERROR(__xludf.DUMMYFUNCTION("""COMPUTED_VALUE"""),"")</f>
        <v/>
      </c>
      <c r="X5664" s="16" t="str">
        <f>IFERROR(__xludf.DUMMYFUNCTION("""COMPUTED_VALUE"""),"")</f>
        <v/>
      </c>
      <c r="AC5664" s="16" t="str">
        <f>IFERROR(__xludf.DUMMYFUNCTION("""COMPUTED_VALUE"""),"")</f>
        <v/>
      </c>
    </row>
    <row r="5665">
      <c r="A5665" s="16" t="s">
        <v>87</v>
      </c>
      <c r="E5665" s="16" t="str">
        <f>IFERROR(__xludf.DUMMYFUNCTION("""COMPUTED_VALUE"""),"")</f>
        <v/>
      </c>
      <c r="G5665" s="18"/>
      <c r="H5665" s="16" t="s">
        <v>87</v>
      </c>
      <c r="I5665" s="16" t="s">
        <v>87</v>
      </c>
      <c r="J5665" s="19"/>
      <c r="L5665" s="16" t="str">
        <f>IFERROR(__xludf.DUMMYFUNCTION("""COMPUTED_VALUE"""),"")</f>
        <v/>
      </c>
      <c r="M5665" s="16" t="str">
        <f>IFERROR(__xludf.DUMMYFUNCTION("""COMPUTED_VALUE"""),"")</f>
        <v/>
      </c>
      <c r="U5665" s="16" t="s">
        <v>87</v>
      </c>
      <c r="V5665" s="16" t="str">
        <f>IFERROR(__xludf.DUMMYFUNCTION("""COMPUTED_VALUE"""),"")</f>
        <v/>
      </c>
      <c r="W5665" s="16" t="str">
        <f>IFERROR(__xludf.DUMMYFUNCTION("""COMPUTED_VALUE"""),"")</f>
        <v/>
      </c>
      <c r="X5665" s="16" t="str">
        <f>IFERROR(__xludf.DUMMYFUNCTION("""COMPUTED_VALUE"""),"")</f>
        <v/>
      </c>
      <c r="AC5665" s="16" t="str">
        <f>IFERROR(__xludf.DUMMYFUNCTION("""COMPUTED_VALUE"""),"")</f>
        <v/>
      </c>
    </row>
    <row r="5666">
      <c r="A5666" s="16" t="s">
        <v>87</v>
      </c>
      <c r="E5666" s="16" t="str">
        <f>IFERROR(__xludf.DUMMYFUNCTION("""COMPUTED_VALUE"""),"")</f>
        <v/>
      </c>
      <c r="G5666" s="18"/>
      <c r="H5666" s="16" t="s">
        <v>87</v>
      </c>
      <c r="I5666" s="16" t="s">
        <v>87</v>
      </c>
      <c r="J5666" s="19"/>
      <c r="L5666" s="16" t="str">
        <f>IFERROR(__xludf.DUMMYFUNCTION("""COMPUTED_VALUE"""),"")</f>
        <v/>
      </c>
      <c r="M5666" s="16" t="str">
        <f>IFERROR(__xludf.DUMMYFUNCTION("""COMPUTED_VALUE"""),"")</f>
        <v/>
      </c>
      <c r="U5666" s="16" t="s">
        <v>87</v>
      </c>
      <c r="V5666" s="16" t="str">
        <f>IFERROR(__xludf.DUMMYFUNCTION("""COMPUTED_VALUE"""),"")</f>
        <v/>
      </c>
      <c r="W5666" s="16" t="str">
        <f>IFERROR(__xludf.DUMMYFUNCTION("""COMPUTED_VALUE"""),"")</f>
        <v/>
      </c>
      <c r="X5666" s="16" t="str">
        <f>IFERROR(__xludf.DUMMYFUNCTION("""COMPUTED_VALUE"""),"")</f>
        <v/>
      </c>
      <c r="AC5666" s="16" t="str">
        <f>IFERROR(__xludf.DUMMYFUNCTION("""COMPUTED_VALUE"""),"")</f>
        <v/>
      </c>
    </row>
    <row r="5667">
      <c r="A5667" s="16" t="s">
        <v>87</v>
      </c>
      <c r="E5667" s="16" t="str">
        <f>IFERROR(__xludf.DUMMYFUNCTION("""COMPUTED_VALUE"""),"")</f>
        <v/>
      </c>
      <c r="G5667" s="18"/>
      <c r="H5667" s="16" t="s">
        <v>87</v>
      </c>
      <c r="I5667" s="16" t="s">
        <v>87</v>
      </c>
      <c r="J5667" s="19"/>
      <c r="L5667" s="16" t="str">
        <f>IFERROR(__xludf.DUMMYFUNCTION("""COMPUTED_VALUE"""),"")</f>
        <v/>
      </c>
      <c r="M5667" s="16" t="str">
        <f>IFERROR(__xludf.DUMMYFUNCTION("""COMPUTED_VALUE"""),"")</f>
        <v/>
      </c>
      <c r="U5667" s="16" t="s">
        <v>87</v>
      </c>
      <c r="V5667" s="16" t="str">
        <f>IFERROR(__xludf.DUMMYFUNCTION("""COMPUTED_VALUE"""),"")</f>
        <v/>
      </c>
      <c r="W5667" s="16" t="str">
        <f>IFERROR(__xludf.DUMMYFUNCTION("""COMPUTED_VALUE"""),"")</f>
        <v/>
      </c>
      <c r="X5667" s="16" t="str">
        <f>IFERROR(__xludf.DUMMYFUNCTION("""COMPUTED_VALUE"""),"")</f>
        <v/>
      </c>
      <c r="AC5667" s="16" t="str">
        <f>IFERROR(__xludf.DUMMYFUNCTION("""COMPUTED_VALUE"""),"")</f>
        <v/>
      </c>
    </row>
    <row r="5668">
      <c r="A5668" s="16" t="s">
        <v>87</v>
      </c>
      <c r="E5668" s="16" t="str">
        <f>IFERROR(__xludf.DUMMYFUNCTION("""COMPUTED_VALUE"""),"")</f>
        <v/>
      </c>
      <c r="G5668" s="18"/>
      <c r="H5668" s="16" t="s">
        <v>87</v>
      </c>
      <c r="I5668" s="16" t="s">
        <v>87</v>
      </c>
      <c r="J5668" s="19"/>
      <c r="L5668" s="16" t="str">
        <f>IFERROR(__xludf.DUMMYFUNCTION("""COMPUTED_VALUE"""),"")</f>
        <v/>
      </c>
      <c r="M5668" s="16" t="str">
        <f>IFERROR(__xludf.DUMMYFUNCTION("""COMPUTED_VALUE"""),"")</f>
        <v/>
      </c>
      <c r="U5668" s="16" t="s">
        <v>87</v>
      </c>
      <c r="V5668" s="16" t="str">
        <f>IFERROR(__xludf.DUMMYFUNCTION("""COMPUTED_VALUE"""),"")</f>
        <v/>
      </c>
      <c r="W5668" s="16" t="str">
        <f>IFERROR(__xludf.DUMMYFUNCTION("""COMPUTED_VALUE"""),"")</f>
        <v/>
      </c>
      <c r="X5668" s="16" t="str">
        <f>IFERROR(__xludf.DUMMYFUNCTION("""COMPUTED_VALUE"""),"")</f>
        <v/>
      </c>
      <c r="AC5668" s="16" t="str">
        <f>IFERROR(__xludf.DUMMYFUNCTION("""COMPUTED_VALUE"""),"")</f>
        <v/>
      </c>
    </row>
    <row r="5669">
      <c r="A5669" s="16" t="s">
        <v>87</v>
      </c>
      <c r="E5669" s="16" t="str">
        <f>IFERROR(__xludf.DUMMYFUNCTION("""COMPUTED_VALUE"""),"")</f>
        <v/>
      </c>
      <c r="G5669" s="18"/>
      <c r="H5669" s="16" t="s">
        <v>87</v>
      </c>
      <c r="I5669" s="16" t="s">
        <v>87</v>
      </c>
      <c r="J5669" s="19"/>
      <c r="L5669" s="16" t="str">
        <f>IFERROR(__xludf.DUMMYFUNCTION("""COMPUTED_VALUE"""),"")</f>
        <v/>
      </c>
      <c r="M5669" s="16" t="str">
        <f>IFERROR(__xludf.DUMMYFUNCTION("""COMPUTED_VALUE"""),"")</f>
        <v/>
      </c>
      <c r="U5669" s="16" t="s">
        <v>87</v>
      </c>
      <c r="V5669" s="16" t="str">
        <f>IFERROR(__xludf.DUMMYFUNCTION("""COMPUTED_VALUE"""),"")</f>
        <v/>
      </c>
      <c r="W5669" s="16" t="str">
        <f>IFERROR(__xludf.DUMMYFUNCTION("""COMPUTED_VALUE"""),"")</f>
        <v/>
      </c>
      <c r="X5669" s="16" t="str">
        <f>IFERROR(__xludf.DUMMYFUNCTION("""COMPUTED_VALUE"""),"")</f>
        <v/>
      </c>
      <c r="AC5669" s="16" t="str">
        <f>IFERROR(__xludf.DUMMYFUNCTION("""COMPUTED_VALUE"""),"")</f>
        <v/>
      </c>
    </row>
    <row r="5670">
      <c r="A5670" s="16" t="s">
        <v>87</v>
      </c>
      <c r="E5670" s="16" t="str">
        <f>IFERROR(__xludf.DUMMYFUNCTION("""COMPUTED_VALUE"""),"")</f>
        <v/>
      </c>
      <c r="G5670" s="18"/>
      <c r="H5670" s="16" t="s">
        <v>87</v>
      </c>
      <c r="I5670" s="16" t="s">
        <v>87</v>
      </c>
      <c r="J5670" s="19"/>
      <c r="L5670" s="16" t="str">
        <f>IFERROR(__xludf.DUMMYFUNCTION("""COMPUTED_VALUE"""),"")</f>
        <v/>
      </c>
      <c r="M5670" s="16" t="str">
        <f>IFERROR(__xludf.DUMMYFUNCTION("""COMPUTED_VALUE"""),"")</f>
        <v/>
      </c>
      <c r="U5670" s="16" t="s">
        <v>87</v>
      </c>
      <c r="V5670" s="16" t="str">
        <f>IFERROR(__xludf.DUMMYFUNCTION("""COMPUTED_VALUE"""),"")</f>
        <v/>
      </c>
      <c r="W5670" s="16" t="str">
        <f>IFERROR(__xludf.DUMMYFUNCTION("""COMPUTED_VALUE"""),"")</f>
        <v/>
      </c>
      <c r="X5670" s="16" t="str">
        <f>IFERROR(__xludf.DUMMYFUNCTION("""COMPUTED_VALUE"""),"")</f>
        <v/>
      </c>
      <c r="AC5670" s="16" t="str">
        <f>IFERROR(__xludf.DUMMYFUNCTION("""COMPUTED_VALUE"""),"")</f>
        <v/>
      </c>
    </row>
    <row r="5671">
      <c r="A5671" s="16" t="s">
        <v>87</v>
      </c>
      <c r="E5671" s="16" t="str">
        <f>IFERROR(__xludf.DUMMYFUNCTION("""COMPUTED_VALUE"""),"")</f>
        <v/>
      </c>
      <c r="G5671" s="18"/>
      <c r="H5671" s="16" t="s">
        <v>87</v>
      </c>
      <c r="I5671" s="16" t="s">
        <v>87</v>
      </c>
      <c r="J5671" s="19"/>
      <c r="L5671" s="16" t="str">
        <f>IFERROR(__xludf.DUMMYFUNCTION("""COMPUTED_VALUE"""),"")</f>
        <v/>
      </c>
      <c r="M5671" s="16" t="str">
        <f>IFERROR(__xludf.DUMMYFUNCTION("""COMPUTED_VALUE"""),"")</f>
        <v/>
      </c>
      <c r="U5671" s="16" t="s">
        <v>87</v>
      </c>
      <c r="V5671" s="16" t="str">
        <f>IFERROR(__xludf.DUMMYFUNCTION("""COMPUTED_VALUE"""),"")</f>
        <v/>
      </c>
      <c r="W5671" s="16" t="str">
        <f>IFERROR(__xludf.DUMMYFUNCTION("""COMPUTED_VALUE"""),"")</f>
        <v/>
      </c>
      <c r="X5671" s="16" t="str">
        <f>IFERROR(__xludf.DUMMYFUNCTION("""COMPUTED_VALUE"""),"")</f>
        <v/>
      </c>
      <c r="AC5671" s="16" t="str">
        <f>IFERROR(__xludf.DUMMYFUNCTION("""COMPUTED_VALUE"""),"")</f>
        <v/>
      </c>
    </row>
    <row r="5672">
      <c r="A5672" s="16" t="s">
        <v>87</v>
      </c>
      <c r="E5672" s="16" t="str">
        <f>IFERROR(__xludf.DUMMYFUNCTION("""COMPUTED_VALUE"""),"")</f>
        <v/>
      </c>
      <c r="G5672" s="18"/>
      <c r="H5672" s="16" t="s">
        <v>87</v>
      </c>
      <c r="I5672" s="16" t="s">
        <v>87</v>
      </c>
      <c r="J5672" s="19"/>
      <c r="L5672" s="16" t="str">
        <f>IFERROR(__xludf.DUMMYFUNCTION("""COMPUTED_VALUE"""),"")</f>
        <v/>
      </c>
      <c r="M5672" s="16" t="str">
        <f>IFERROR(__xludf.DUMMYFUNCTION("""COMPUTED_VALUE"""),"")</f>
        <v/>
      </c>
      <c r="U5672" s="16" t="s">
        <v>87</v>
      </c>
      <c r="V5672" s="16" t="str">
        <f>IFERROR(__xludf.DUMMYFUNCTION("""COMPUTED_VALUE"""),"")</f>
        <v/>
      </c>
      <c r="W5672" s="16" t="str">
        <f>IFERROR(__xludf.DUMMYFUNCTION("""COMPUTED_VALUE"""),"")</f>
        <v/>
      </c>
      <c r="X5672" s="16" t="str">
        <f>IFERROR(__xludf.DUMMYFUNCTION("""COMPUTED_VALUE"""),"")</f>
        <v/>
      </c>
      <c r="AC5672" s="16" t="str">
        <f>IFERROR(__xludf.DUMMYFUNCTION("""COMPUTED_VALUE"""),"")</f>
        <v/>
      </c>
    </row>
    <row r="5673">
      <c r="A5673" s="16" t="s">
        <v>87</v>
      </c>
      <c r="E5673" s="16" t="str">
        <f>IFERROR(__xludf.DUMMYFUNCTION("""COMPUTED_VALUE"""),"")</f>
        <v/>
      </c>
      <c r="G5673" s="18"/>
      <c r="H5673" s="16" t="s">
        <v>87</v>
      </c>
      <c r="I5673" s="16" t="s">
        <v>87</v>
      </c>
      <c r="J5673" s="19"/>
      <c r="L5673" s="16" t="str">
        <f>IFERROR(__xludf.DUMMYFUNCTION("""COMPUTED_VALUE"""),"")</f>
        <v/>
      </c>
      <c r="M5673" s="16" t="str">
        <f>IFERROR(__xludf.DUMMYFUNCTION("""COMPUTED_VALUE"""),"")</f>
        <v/>
      </c>
      <c r="U5673" s="16" t="s">
        <v>87</v>
      </c>
      <c r="V5673" s="16" t="str">
        <f>IFERROR(__xludf.DUMMYFUNCTION("""COMPUTED_VALUE"""),"")</f>
        <v/>
      </c>
      <c r="W5673" s="16" t="str">
        <f>IFERROR(__xludf.DUMMYFUNCTION("""COMPUTED_VALUE"""),"")</f>
        <v/>
      </c>
      <c r="X5673" s="16" t="str">
        <f>IFERROR(__xludf.DUMMYFUNCTION("""COMPUTED_VALUE"""),"")</f>
        <v/>
      </c>
      <c r="AC5673" s="16" t="str">
        <f>IFERROR(__xludf.DUMMYFUNCTION("""COMPUTED_VALUE"""),"")</f>
        <v/>
      </c>
    </row>
    <row r="5674">
      <c r="A5674" s="16" t="s">
        <v>87</v>
      </c>
      <c r="E5674" s="16" t="str">
        <f>IFERROR(__xludf.DUMMYFUNCTION("""COMPUTED_VALUE"""),"")</f>
        <v/>
      </c>
      <c r="G5674" s="18"/>
      <c r="H5674" s="16" t="s">
        <v>87</v>
      </c>
      <c r="I5674" s="16" t="s">
        <v>87</v>
      </c>
      <c r="J5674" s="19"/>
      <c r="L5674" s="16" t="str">
        <f>IFERROR(__xludf.DUMMYFUNCTION("""COMPUTED_VALUE"""),"")</f>
        <v/>
      </c>
      <c r="M5674" s="16" t="str">
        <f>IFERROR(__xludf.DUMMYFUNCTION("""COMPUTED_VALUE"""),"")</f>
        <v/>
      </c>
      <c r="U5674" s="16" t="s">
        <v>87</v>
      </c>
      <c r="V5674" s="16" t="str">
        <f>IFERROR(__xludf.DUMMYFUNCTION("""COMPUTED_VALUE"""),"")</f>
        <v/>
      </c>
      <c r="W5674" s="16" t="str">
        <f>IFERROR(__xludf.DUMMYFUNCTION("""COMPUTED_VALUE"""),"")</f>
        <v/>
      </c>
      <c r="X5674" s="16" t="str">
        <f>IFERROR(__xludf.DUMMYFUNCTION("""COMPUTED_VALUE"""),"")</f>
        <v/>
      </c>
      <c r="AC5674" s="16" t="str">
        <f>IFERROR(__xludf.DUMMYFUNCTION("""COMPUTED_VALUE"""),"")</f>
        <v/>
      </c>
    </row>
    <row r="5675">
      <c r="A5675" s="16" t="s">
        <v>87</v>
      </c>
      <c r="E5675" s="16" t="str">
        <f>IFERROR(__xludf.DUMMYFUNCTION("""COMPUTED_VALUE"""),"")</f>
        <v/>
      </c>
      <c r="G5675" s="18"/>
      <c r="H5675" s="16" t="s">
        <v>87</v>
      </c>
      <c r="I5675" s="16" t="s">
        <v>87</v>
      </c>
      <c r="J5675" s="19"/>
      <c r="L5675" s="16" t="str">
        <f>IFERROR(__xludf.DUMMYFUNCTION("""COMPUTED_VALUE"""),"")</f>
        <v/>
      </c>
      <c r="M5675" s="16" t="str">
        <f>IFERROR(__xludf.DUMMYFUNCTION("""COMPUTED_VALUE"""),"")</f>
        <v/>
      </c>
      <c r="U5675" s="16" t="s">
        <v>87</v>
      </c>
      <c r="V5675" s="16" t="str">
        <f>IFERROR(__xludf.DUMMYFUNCTION("""COMPUTED_VALUE"""),"")</f>
        <v/>
      </c>
      <c r="W5675" s="16" t="str">
        <f>IFERROR(__xludf.DUMMYFUNCTION("""COMPUTED_VALUE"""),"")</f>
        <v/>
      </c>
      <c r="X5675" s="16" t="str">
        <f>IFERROR(__xludf.DUMMYFUNCTION("""COMPUTED_VALUE"""),"")</f>
        <v/>
      </c>
      <c r="AC5675" s="16" t="str">
        <f>IFERROR(__xludf.DUMMYFUNCTION("""COMPUTED_VALUE"""),"")</f>
        <v/>
      </c>
    </row>
    <row r="5676">
      <c r="A5676" s="16" t="s">
        <v>87</v>
      </c>
      <c r="E5676" s="16" t="str">
        <f>IFERROR(__xludf.DUMMYFUNCTION("""COMPUTED_VALUE"""),"")</f>
        <v/>
      </c>
      <c r="G5676" s="18"/>
      <c r="H5676" s="16" t="s">
        <v>87</v>
      </c>
      <c r="I5676" s="16" t="s">
        <v>87</v>
      </c>
      <c r="J5676" s="19"/>
      <c r="L5676" s="16" t="str">
        <f>IFERROR(__xludf.DUMMYFUNCTION("""COMPUTED_VALUE"""),"")</f>
        <v/>
      </c>
      <c r="M5676" s="16" t="str">
        <f>IFERROR(__xludf.DUMMYFUNCTION("""COMPUTED_VALUE"""),"")</f>
        <v/>
      </c>
      <c r="U5676" s="16" t="s">
        <v>87</v>
      </c>
      <c r="V5676" s="16" t="str">
        <f>IFERROR(__xludf.DUMMYFUNCTION("""COMPUTED_VALUE"""),"")</f>
        <v/>
      </c>
      <c r="W5676" s="16" t="str">
        <f>IFERROR(__xludf.DUMMYFUNCTION("""COMPUTED_VALUE"""),"")</f>
        <v/>
      </c>
      <c r="X5676" s="16" t="str">
        <f>IFERROR(__xludf.DUMMYFUNCTION("""COMPUTED_VALUE"""),"")</f>
        <v/>
      </c>
      <c r="AC5676" s="16" t="str">
        <f>IFERROR(__xludf.DUMMYFUNCTION("""COMPUTED_VALUE"""),"")</f>
        <v/>
      </c>
    </row>
    <row r="5677">
      <c r="A5677" s="16" t="s">
        <v>87</v>
      </c>
      <c r="E5677" s="16" t="str">
        <f>IFERROR(__xludf.DUMMYFUNCTION("""COMPUTED_VALUE"""),"")</f>
        <v/>
      </c>
      <c r="G5677" s="18"/>
      <c r="H5677" s="16" t="s">
        <v>87</v>
      </c>
      <c r="I5677" s="16" t="s">
        <v>87</v>
      </c>
      <c r="J5677" s="19"/>
      <c r="L5677" s="16" t="str">
        <f>IFERROR(__xludf.DUMMYFUNCTION("""COMPUTED_VALUE"""),"")</f>
        <v/>
      </c>
      <c r="M5677" s="16" t="str">
        <f>IFERROR(__xludf.DUMMYFUNCTION("""COMPUTED_VALUE"""),"")</f>
        <v/>
      </c>
      <c r="U5677" s="16" t="s">
        <v>87</v>
      </c>
      <c r="V5677" s="16" t="str">
        <f>IFERROR(__xludf.DUMMYFUNCTION("""COMPUTED_VALUE"""),"")</f>
        <v/>
      </c>
      <c r="W5677" s="16" t="str">
        <f>IFERROR(__xludf.DUMMYFUNCTION("""COMPUTED_VALUE"""),"")</f>
        <v/>
      </c>
      <c r="X5677" s="16" t="str">
        <f>IFERROR(__xludf.DUMMYFUNCTION("""COMPUTED_VALUE"""),"")</f>
        <v/>
      </c>
      <c r="AC5677" s="16" t="str">
        <f>IFERROR(__xludf.DUMMYFUNCTION("""COMPUTED_VALUE"""),"")</f>
        <v/>
      </c>
    </row>
    <row r="5678">
      <c r="A5678" s="16" t="s">
        <v>87</v>
      </c>
      <c r="E5678" s="16" t="str">
        <f>IFERROR(__xludf.DUMMYFUNCTION("""COMPUTED_VALUE"""),"")</f>
        <v/>
      </c>
      <c r="G5678" s="18"/>
      <c r="H5678" s="16" t="s">
        <v>87</v>
      </c>
      <c r="I5678" s="16" t="s">
        <v>87</v>
      </c>
      <c r="J5678" s="19"/>
      <c r="L5678" s="16" t="str">
        <f>IFERROR(__xludf.DUMMYFUNCTION("""COMPUTED_VALUE"""),"")</f>
        <v/>
      </c>
      <c r="M5678" s="16" t="str">
        <f>IFERROR(__xludf.DUMMYFUNCTION("""COMPUTED_VALUE"""),"")</f>
        <v/>
      </c>
      <c r="U5678" s="16" t="s">
        <v>87</v>
      </c>
      <c r="V5678" s="16" t="str">
        <f>IFERROR(__xludf.DUMMYFUNCTION("""COMPUTED_VALUE"""),"")</f>
        <v/>
      </c>
      <c r="W5678" s="16" t="str">
        <f>IFERROR(__xludf.DUMMYFUNCTION("""COMPUTED_VALUE"""),"")</f>
        <v/>
      </c>
      <c r="X5678" s="16" t="str">
        <f>IFERROR(__xludf.DUMMYFUNCTION("""COMPUTED_VALUE"""),"")</f>
        <v/>
      </c>
      <c r="AC5678" s="16" t="str">
        <f>IFERROR(__xludf.DUMMYFUNCTION("""COMPUTED_VALUE"""),"")</f>
        <v/>
      </c>
    </row>
    <row r="5679">
      <c r="A5679" s="16" t="s">
        <v>87</v>
      </c>
      <c r="E5679" s="16" t="str">
        <f>IFERROR(__xludf.DUMMYFUNCTION("""COMPUTED_VALUE"""),"")</f>
        <v/>
      </c>
      <c r="G5679" s="18"/>
      <c r="H5679" s="16" t="s">
        <v>87</v>
      </c>
      <c r="I5679" s="16" t="s">
        <v>87</v>
      </c>
      <c r="J5679" s="19"/>
      <c r="L5679" s="16" t="str">
        <f>IFERROR(__xludf.DUMMYFUNCTION("""COMPUTED_VALUE"""),"")</f>
        <v/>
      </c>
      <c r="M5679" s="16" t="str">
        <f>IFERROR(__xludf.DUMMYFUNCTION("""COMPUTED_VALUE"""),"")</f>
        <v/>
      </c>
      <c r="U5679" s="16" t="s">
        <v>87</v>
      </c>
      <c r="V5679" s="16" t="str">
        <f>IFERROR(__xludf.DUMMYFUNCTION("""COMPUTED_VALUE"""),"")</f>
        <v/>
      </c>
      <c r="W5679" s="16" t="str">
        <f>IFERROR(__xludf.DUMMYFUNCTION("""COMPUTED_VALUE"""),"")</f>
        <v/>
      </c>
      <c r="X5679" s="16" t="str">
        <f>IFERROR(__xludf.DUMMYFUNCTION("""COMPUTED_VALUE"""),"")</f>
        <v/>
      </c>
      <c r="AC5679" s="16" t="str">
        <f>IFERROR(__xludf.DUMMYFUNCTION("""COMPUTED_VALUE"""),"")</f>
        <v/>
      </c>
    </row>
    <row r="5680">
      <c r="A5680" s="16" t="s">
        <v>87</v>
      </c>
      <c r="E5680" s="16" t="str">
        <f>IFERROR(__xludf.DUMMYFUNCTION("""COMPUTED_VALUE"""),"")</f>
        <v/>
      </c>
      <c r="G5680" s="18"/>
      <c r="H5680" s="16" t="s">
        <v>87</v>
      </c>
      <c r="I5680" s="16" t="s">
        <v>87</v>
      </c>
      <c r="J5680" s="19"/>
      <c r="L5680" s="16" t="str">
        <f>IFERROR(__xludf.DUMMYFUNCTION("""COMPUTED_VALUE"""),"")</f>
        <v/>
      </c>
      <c r="M5680" s="16" t="str">
        <f>IFERROR(__xludf.DUMMYFUNCTION("""COMPUTED_VALUE"""),"")</f>
        <v/>
      </c>
      <c r="U5680" s="16" t="s">
        <v>87</v>
      </c>
      <c r="V5680" s="16" t="str">
        <f>IFERROR(__xludf.DUMMYFUNCTION("""COMPUTED_VALUE"""),"")</f>
        <v/>
      </c>
      <c r="W5680" s="16" t="str">
        <f>IFERROR(__xludf.DUMMYFUNCTION("""COMPUTED_VALUE"""),"")</f>
        <v/>
      </c>
      <c r="X5680" s="16" t="str">
        <f>IFERROR(__xludf.DUMMYFUNCTION("""COMPUTED_VALUE"""),"")</f>
        <v/>
      </c>
      <c r="AC5680" s="16" t="str">
        <f>IFERROR(__xludf.DUMMYFUNCTION("""COMPUTED_VALUE"""),"")</f>
        <v/>
      </c>
    </row>
    <row r="5681">
      <c r="A5681" s="16" t="s">
        <v>87</v>
      </c>
      <c r="E5681" s="16" t="str">
        <f>IFERROR(__xludf.DUMMYFUNCTION("""COMPUTED_VALUE"""),"")</f>
        <v/>
      </c>
      <c r="G5681" s="18"/>
      <c r="H5681" s="16" t="s">
        <v>87</v>
      </c>
      <c r="I5681" s="16" t="s">
        <v>87</v>
      </c>
      <c r="J5681" s="19"/>
      <c r="L5681" s="16" t="str">
        <f>IFERROR(__xludf.DUMMYFUNCTION("""COMPUTED_VALUE"""),"")</f>
        <v/>
      </c>
      <c r="M5681" s="16" t="str">
        <f>IFERROR(__xludf.DUMMYFUNCTION("""COMPUTED_VALUE"""),"")</f>
        <v/>
      </c>
      <c r="U5681" s="16" t="s">
        <v>87</v>
      </c>
      <c r="V5681" s="16" t="str">
        <f>IFERROR(__xludf.DUMMYFUNCTION("""COMPUTED_VALUE"""),"")</f>
        <v/>
      </c>
      <c r="W5681" s="16" t="str">
        <f>IFERROR(__xludf.DUMMYFUNCTION("""COMPUTED_VALUE"""),"")</f>
        <v/>
      </c>
      <c r="X5681" s="16" t="str">
        <f>IFERROR(__xludf.DUMMYFUNCTION("""COMPUTED_VALUE"""),"")</f>
        <v/>
      </c>
      <c r="AC5681" s="16" t="str">
        <f>IFERROR(__xludf.DUMMYFUNCTION("""COMPUTED_VALUE"""),"")</f>
        <v/>
      </c>
    </row>
    <row r="5682">
      <c r="A5682" s="16" t="s">
        <v>87</v>
      </c>
      <c r="E5682" s="16" t="str">
        <f>IFERROR(__xludf.DUMMYFUNCTION("""COMPUTED_VALUE"""),"")</f>
        <v/>
      </c>
      <c r="G5682" s="18"/>
      <c r="H5682" s="16" t="s">
        <v>87</v>
      </c>
      <c r="I5682" s="16" t="s">
        <v>87</v>
      </c>
      <c r="J5682" s="19"/>
      <c r="L5682" s="16" t="str">
        <f>IFERROR(__xludf.DUMMYFUNCTION("""COMPUTED_VALUE"""),"")</f>
        <v/>
      </c>
      <c r="M5682" s="16" t="str">
        <f>IFERROR(__xludf.DUMMYFUNCTION("""COMPUTED_VALUE"""),"")</f>
        <v/>
      </c>
      <c r="U5682" s="16" t="s">
        <v>87</v>
      </c>
      <c r="V5682" s="16" t="str">
        <f>IFERROR(__xludf.DUMMYFUNCTION("""COMPUTED_VALUE"""),"")</f>
        <v/>
      </c>
      <c r="W5682" s="16" t="str">
        <f>IFERROR(__xludf.DUMMYFUNCTION("""COMPUTED_VALUE"""),"")</f>
        <v/>
      </c>
      <c r="X5682" s="16" t="str">
        <f>IFERROR(__xludf.DUMMYFUNCTION("""COMPUTED_VALUE"""),"")</f>
        <v/>
      </c>
      <c r="AC5682" s="16" t="str">
        <f>IFERROR(__xludf.DUMMYFUNCTION("""COMPUTED_VALUE"""),"")</f>
        <v/>
      </c>
    </row>
    <row r="5683">
      <c r="A5683" s="16" t="s">
        <v>87</v>
      </c>
      <c r="E5683" s="16" t="str">
        <f>IFERROR(__xludf.DUMMYFUNCTION("""COMPUTED_VALUE"""),"")</f>
        <v/>
      </c>
      <c r="G5683" s="18"/>
      <c r="H5683" s="16" t="s">
        <v>87</v>
      </c>
      <c r="I5683" s="16" t="s">
        <v>87</v>
      </c>
      <c r="J5683" s="19"/>
      <c r="L5683" s="16" t="str">
        <f>IFERROR(__xludf.DUMMYFUNCTION("""COMPUTED_VALUE"""),"")</f>
        <v/>
      </c>
      <c r="M5683" s="16" t="str">
        <f>IFERROR(__xludf.DUMMYFUNCTION("""COMPUTED_VALUE"""),"")</f>
        <v/>
      </c>
      <c r="U5683" s="16" t="s">
        <v>87</v>
      </c>
      <c r="V5683" s="16" t="str">
        <f>IFERROR(__xludf.DUMMYFUNCTION("""COMPUTED_VALUE"""),"")</f>
        <v/>
      </c>
      <c r="W5683" s="16" t="str">
        <f>IFERROR(__xludf.DUMMYFUNCTION("""COMPUTED_VALUE"""),"")</f>
        <v/>
      </c>
      <c r="X5683" s="16" t="str">
        <f>IFERROR(__xludf.DUMMYFUNCTION("""COMPUTED_VALUE"""),"")</f>
        <v/>
      </c>
      <c r="AC5683" s="16" t="str">
        <f>IFERROR(__xludf.DUMMYFUNCTION("""COMPUTED_VALUE"""),"")</f>
        <v/>
      </c>
    </row>
    <row r="5684">
      <c r="A5684" s="16" t="s">
        <v>87</v>
      </c>
      <c r="E5684" s="16" t="str">
        <f>IFERROR(__xludf.DUMMYFUNCTION("""COMPUTED_VALUE"""),"")</f>
        <v/>
      </c>
      <c r="G5684" s="18"/>
      <c r="H5684" s="16" t="s">
        <v>87</v>
      </c>
      <c r="I5684" s="16" t="s">
        <v>87</v>
      </c>
      <c r="J5684" s="19"/>
      <c r="L5684" s="16" t="str">
        <f>IFERROR(__xludf.DUMMYFUNCTION("""COMPUTED_VALUE"""),"")</f>
        <v/>
      </c>
      <c r="M5684" s="16" t="str">
        <f>IFERROR(__xludf.DUMMYFUNCTION("""COMPUTED_VALUE"""),"")</f>
        <v/>
      </c>
      <c r="U5684" s="16" t="s">
        <v>87</v>
      </c>
      <c r="V5684" s="16" t="str">
        <f>IFERROR(__xludf.DUMMYFUNCTION("""COMPUTED_VALUE"""),"")</f>
        <v/>
      </c>
      <c r="W5684" s="16" t="str">
        <f>IFERROR(__xludf.DUMMYFUNCTION("""COMPUTED_VALUE"""),"")</f>
        <v/>
      </c>
      <c r="X5684" s="16" t="str">
        <f>IFERROR(__xludf.DUMMYFUNCTION("""COMPUTED_VALUE"""),"")</f>
        <v/>
      </c>
      <c r="AC5684" s="16" t="str">
        <f>IFERROR(__xludf.DUMMYFUNCTION("""COMPUTED_VALUE"""),"")</f>
        <v/>
      </c>
    </row>
    <row r="5685">
      <c r="A5685" s="16" t="s">
        <v>87</v>
      </c>
      <c r="E5685" s="16" t="str">
        <f>IFERROR(__xludf.DUMMYFUNCTION("""COMPUTED_VALUE"""),"")</f>
        <v/>
      </c>
      <c r="G5685" s="18"/>
      <c r="H5685" s="16" t="s">
        <v>87</v>
      </c>
      <c r="I5685" s="16" t="s">
        <v>87</v>
      </c>
      <c r="J5685" s="19"/>
      <c r="L5685" s="16" t="str">
        <f>IFERROR(__xludf.DUMMYFUNCTION("""COMPUTED_VALUE"""),"")</f>
        <v/>
      </c>
      <c r="M5685" s="16" t="str">
        <f>IFERROR(__xludf.DUMMYFUNCTION("""COMPUTED_VALUE"""),"")</f>
        <v/>
      </c>
      <c r="U5685" s="16" t="s">
        <v>87</v>
      </c>
      <c r="V5685" s="16" t="str">
        <f>IFERROR(__xludf.DUMMYFUNCTION("""COMPUTED_VALUE"""),"")</f>
        <v/>
      </c>
      <c r="W5685" s="16" t="str">
        <f>IFERROR(__xludf.DUMMYFUNCTION("""COMPUTED_VALUE"""),"")</f>
        <v/>
      </c>
      <c r="X5685" s="16" t="str">
        <f>IFERROR(__xludf.DUMMYFUNCTION("""COMPUTED_VALUE"""),"")</f>
        <v/>
      </c>
      <c r="AC5685" s="16" t="str">
        <f>IFERROR(__xludf.DUMMYFUNCTION("""COMPUTED_VALUE"""),"")</f>
        <v/>
      </c>
    </row>
    <row r="5686">
      <c r="A5686" s="16" t="s">
        <v>87</v>
      </c>
      <c r="E5686" s="16" t="str">
        <f>IFERROR(__xludf.DUMMYFUNCTION("""COMPUTED_VALUE"""),"")</f>
        <v/>
      </c>
      <c r="G5686" s="18"/>
      <c r="H5686" s="16" t="s">
        <v>87</v>
      </c>
      <c r="I5686" s="16" t="s">
        <v>87</v>
      </c>
      <c r="J5686" s="19"/>
      <c r="L5686" s="16" t="str">
        <f>IFERROR(__xludf.DUMMYFUNCTION("""COMPUTED_VALUE"""),"")</f>
        <v/>
      </c>
      <c r="M5686" s="16" t="str">
        <f>IFERROR(__xludf.DUMMYFUNCTION("""COMPUTED_VALUE"""),"")</f>
        <v/>
      </c>
      <c r="U5686" s="16" t="s">
        <v>87</v>
      </c>
      <c r="V5686" s="16" t="str">
        <f>IFERROR(__xludf.DUMMYFUNCTION("""COMPUTED_VALUE"""),"")</f>
        <v/>
      </c>
      <c r="W5686" s="16" t="str">
        <f>IFERROR(__xludf.DUMMYFUNCTION("""COMPUTED_VALUE"""),"")</f>
        <v/>
      </c>
      <c r="X5686" s="16" t="str">
        <f>IFERROR(__xludf.DUMMYFUNCTION("""COMPUTED_VALUE"""),"")</f>
        <v/>
      </c>
      <c r="AC5686" s="16" t="str">
        <f>IFERROR(__xludf.DUMMYFUNCTION("""COMPUTED_VALUE"""),"")</f>
        <v/>
      </c>
    </row>
    <row r="5687">
      <c r="A5687" s="16" t="s">
        <v>87</v>
      </c>
      <c r="E5687" s="16" t="str">
        <f>IFERROR(__xludf.DUMMYFUNCTION("""COMPUTED_VALUE"""),"")</f>
        <v/>
      </c>
      <c r="G5687" s="18"/>
      <c r="H5687" s="16" t="s">
        <v>87</v>
      </c>
      <c r="I5687" s="16" t="s">
        <v>87</v>
      </c>
      <c r="J5687" s="19"/>
      <c r="L5687" s="16" t="str">
        <f>IFERROR(__xludf.DUMMYFUNCTION("""COMPUTED_VALUE"""),"")</f>
        <v/>
      </c>
      <c r="M5687" s="16" t="str">
        <f>IFERROR(__xludf.DUMMYFUNCTION("""COMPUTED_VALUE"""),"")</f>
        <v/>
      </c>
      <c r="U5687" s="16" t="s">
        <v>87</v>
      </c>
      <c r="V5687" s="16" t="str">
        <f>IFERROR(__xludf.DUMMYFUNCTION("""COMPUTED_VALUE"""),"")</f>
        <v/>
      </c>
      <c r="W5687" s="16" t="str">
        <f>IFERROR(__xludf.DUMMYFUNCTION("""COMPUTED_VALUE"""),"")</f>
        <v/>
      </c>
      <c r="X5687" s="16" t="str">
        <f>IFERROR(__xludf.DUMMYFUNCTION("""COMPUTED_VALUE"""),"")</f>
        <v/>
      </c>
      <c r="AC5687" s="16" t="str">
        <f>IFERROR(__xludf.DUMMYFUNCTION("""COMPUTED_VALUE"""),"")</f>
        <v/>
      </c>
    </row>
    <row r="5688">
      <c r="A5688" s="16" t="s">
        <v>87</v>
      </c>
      <c r="E5688" s="16" t="str">
        <f>IFERROR(__xludf.DUMMYFUNCTION("""COMPUTED_VALUE"""),"")</f>
        <v/>
      </c>
      <c r="G5688" s="18"/>
      <c r="H5688" s="16" t="s">
        <v>87</v>
      </c>
      <c r="I5688" s="16" t="s">
        <v>87</v>
      </c>
      <c r="J5688" s="19"/>
      <c r="L5688" s="16" t="str">
        <f>IFERROR(__xludf.DUMMYFUNCTION("""COMPUTED_VALUE"""),"")</f>
        <v/>
      </c>
      <c r="M5688" s="16" t="str">
        <f>IFERROR(__xludf.DUMMYFUNCTION("""COMPUTED_VALUE"""),"")</f>
        <v/>
      </c>
      <c r="U5688" s="16" t="s">
        <v>87</v>
      </c>
      <c r="V5688" s="16" t="str">
        <f>IFERROR(__xludf.DUMMYFUNCTION("""COMPUTED_VALUE"""),"")</f>
        <v/>
      </c>
      <c r="W5688" s="16" t="str">
        <f>IFERROR(__xludf.DUMMYFUNCTION("""COMPUTED_VALUE"""),"")</f>
        <v/>
      </c>
      <c r="X5688" s="16" t="str">
        <f>IFERROR(__xludf.DUMMYFUNCTION("""COMPUTED_VALUE"""),"")</f>
        <v/>
      </c>
      <c r="AC5688" s="16" t="str">
        <f>IFERROR(__xludf.DUMMYFUNCTION("""COMPUTED_VALUE"""),"")</f>
        <v/>
      </c>
    </row>
    <row r="5689">
      <c r="A5689" s="16" t="s">
        <v>87</v>
      </c>
      <c r="E5689" s="16" t="str">
        <f>IFERROR(__xludf.DUMMYFUNCTION("""COMPUTED_VALUE"""),"")</f>
        <v/>
      </c>
      <c r="G5689" s="18"/>
      <c r="H5689" s="16" t="s">
        <v>87</v>
      </c>
      <c r="I5689" s="16" t="s">
        <v>87</v>
      </c>
      <c r="J5689" s="19"/>
      <c r="L5689" s="16" t="str">
        <f>IFERROR(__xludf.DUMMYFUNCTION("""COMPUTED_VALUE"""),"")</f>
        <v/>
      </c>
      <c r="M5689" s="16" t="str">
        <f>IFERROR(__xludf.DUMMYFUNCTION("""COMPUTED_VALUE"""),"")</f>
        <v/>
      </c>
      <c r="U5689" s="16" t="s">
        <v>87</v>
      </c>
      <c r="V5689" s="16" t="str">
        <f>IFERROR(__xludf.DUMMYFUNCTION("""COMPUTED_VALUE"""),"")</f>
        <v/>
      </c>
      <c r="W5689" s="16" t="str">
        <f>IFERROR(__xludf.DUMMYFUNCTION("""COMPUTED_VALUE"""),"")</f>
        <v/>
      </c>
      <c r="X5689" s="16" t="str">
        <f>IFERROR(__xludf.DUMMYFUNCTION("""COMPUTED_VALUE"""),"")</f>
        <v/>
      </c>
      <c r="AC5689" s="16" t="str">
        <f>IFERROR(__xludf.DUMMYFUNCTION("""COMPUTED_VALUE"""),"")</f>
        <v/>
      </c>
    </row>
    <row r="5690">
      <c r="A5690" s="16" t="s">
        <v>87</v>
      </c>
      <c r="E5690" s="16" t="str">
        <f>IFERROR(__xludf.DUMMYFUNCTION("""COMPUTED_VALUE"""),"")</f>
        <v/>
      </c>
      <c r="G5690" s="18"/>
      <c r="H5690" s="16" t="s">
        <v>87</v>
      </c>
      <c r="I5690" s="16" t="s">
        <v>87</v>
      </c>
      <c r="J5690" s="19"/>
      <c r="L5690" s="16" t="str">
        <f>IFERROR(__xludf.DUMMYFUNCTION("""COMPUTED_VALUE"""),"")</f>
        <v/>
      </c>
      <c r="M5690" s="16" t="str">
        <f>IFERROR(__xludf.DUMMYFUNCTION("""COMPUTED_VALUE"""),"")</f>
        <v/>
      </c>
      <c r="U5690" s="16" t="s">
        <v>87</v>
      </c>
      <c r="V5690" s="16" t="str">
        <f>IFERROR(__xludf.DUMMYFUNCTION("""COMPUTED_VALUE"""),"")</f>
        <v/>
      </c>
      <c r="W5690" s="16" t="str">
        <f>IFERROR(__xludf.DUMMYFUNCTION("""COMPUTED_VALUE"""),"")</f>
        <v/>
      </c>
      <c r="X5690" s="16" t="str">
        <f>IFERROR(__xludf.DUMMYFUNCTION("""COMPUTED_VALUE"""),"")</f>
        <v/>
      </c>
      <c r="AC5690" s="16" t="str">
        <f>IFERROR(__xludf.DUMMYFUNCTION("""COMPUTED_VALUE"""),"")</f>
        <v/>
      </c>
    </row>
    <row r="5691">
      <c r="A5691" s="16" t="s">
        <v>87</v>
      </c>
      <c r="E5691" s="16" t="str">
        <f>IFERROR(__xludf.DUMMYFUNCTION("""COMPUTED_VALUE"""),"")</f>
        <v/>
      </c>
      <c r="G5691" s="18"/>
      <c r="H5691" s="16" t="s">
        <v>87</v>
      </c>
      <c r="I5691" s="16" t="s">
        <v>87</v>
      </c>
      <c r="J5691" s="19"/>
      <c r="L5691" s="16" t="str">
        <f>IFERROR(__xludf.DUMMYFUNCTION("""COMPUTED_VALUE"""),"")</f>
        <v/>
      </c>
      <c r="M5691" s="16" t="str">
        <f>IFERROR(__xludf.DUMMYFUNCTION("""COMPUTED_VALUE"""),"")</f>
        <v/>
      </c>
      <c r="U5691" s="16" t="s">
        <v>87</v>
      </c>
      <c r="V5691" s="16" t="str">
        <f>IFERROR(__xludf.DUMMYFUNCTION("""COMPUTED_VALUE"""),"")</f>
        <v/>
      </c>
      <c r="W5691" s="16" t="str">
        <f>IFERROR(__xludf.DUMMYFUNCTION("""COMPUTED_VALUE"""),"")</f>
        <v/>
      </c>
      <c r="X5691" s="16" t="str">
        <f>IFERROR(__xludf.DUMMYFUNCTION("""COMPUTED_VALUE"""),"")</f>
        <v/>
      </c>
      <c r="AC5691" s="16" t="str">
        <f>IFERROR(__xludf.DUMMYFUNCTION("""COMPUTED_VALUE"""),"")</f>
        <v/>
      </c>
    </row>
    <row r="5692">
      <c r="A5692" s="16" t="s">
        <v>87</v>
      </c>
      <c r="E5692" s="16" t="str">
        <f>IFERROR(__xludf.DUMMYFUNCTION("""COMPUTED_VALUE"""),"")</f>
        <v/>
      </c>
      <c r="G5692" s="18"/>
      <c r="H5692" s="16" t="s">
        <v>87</v>
      </c>
      <c r="I5692" s="16" t="s">
        <v>87</v>
      </c>
      <c r="J5692" s="19"/>
      <c r="L5692" s="16" t="str">
        <f>IFERROR(__xludf.DUMMYFUNCTION("""COMPUTED_VALUE"""),"")</f>
        <v/>
      </c>
      <c r="M5692" s="16" t="str">
        <f>IFERROR(__xludf.DUMMYFUNCTION("""COMPUTED_VALUE"""),"")</f>
        <v/>
      </c>
      <c r="U5692" s="16" t="s">
        <v>87</v>
      </c>
      <c r="V5692" s="16" t="str">
        <f>IFERROR(__xludf.DUMMYFUNCTION("""COMPUTED_VALUE"""),"")</f>
        <v/>
      </c>
      <c r="W5692" s="16" t="str">
        <f>IFERROR(__xludf.DUMMYFUNCTION("""COMPUTED_VALUE"""),"")</f>
        <v/>
      </c>
      <c r="X5692" s="16" t="str">
        <f>IFERROR(__xludf.DUMMYFUNCTION("""COMPUTED_VALUE"""),"")</f>
        <v/>
      </c>
      <c r="AC5692" s="16" t="str">
        <f>IFERROR(__xludf.DUMMYFUNCTION("""COMPUTED_VALUE"""),"")</f>
        <v/>
      </c>
    </row>
    <row r="5693">
      <c r="A5693" s="16" t="s">
        <v>87</v>
      </c>
      <c r="E5693" s="16" t="str">
        <f>IFERROR(__xludf.DUMMYFUNCTION("""COMPUTED_VALUE"""),"")</f>
        <v/>
      </c>
      <c r="G5693" s="18"/>
      <c r="H5693" s="16" t="s">
        <v>87</v>
      </c>
      <c r="I5693" s="16" t="s">
        <v>87</v>
      </c>
      <c r="J5693" s="19"/>
      <c r="L5693" s="16" t="str">
        <f>IFERROR(__xludf.DUMMYFUNCTION("""COMPUTED_VALUE"""),"")</f>
        <v/>
      </c>
      <c r="M5693" s="16" t="str">
        <f>IFERROR(__xludf.DUMMYFUNCTION("""COMPUTED_VALUE"""),"")</f>
        <v/>
      </c>
      <c r="U5693" s="16" t="s">
        <v>87</v>
      </c>
      <c r="V5693" s="16" t="str">
        <f>IFERROR(__xludf.DUMMYFUNCTION("""COMPUTED_VALUE"""),"")</f>
        <v/>
      </c>
      <c r="W5693" s="16" t="str">
        <f>IFERROR(__xludf.DUMMYFUNCTION("""COMPUTED_VALUE"""),"")</f>
        <v/>
      </c>
      <c r="X5693" s="16" t="str">
        <f>IFERROR(__xludf.DUMMYFUNCTION("""COMPUTED_VALUE"""),"")</f>
        <v/>
      </c>
      <c r="AC5693" s="16" t="str">
        <f>IFERROR(__xludf.DUMMYFUNCTION("""COMPUTED_VALUE"""),"")</f>
        <v/>
      </c>
    </row>
    <row r="5694">
      <c r="A5694" s="16" t="s">
        <v>87</v>
      </c>
      <c r="E5694" s="16" t="str">
        <f>IFERROR(__xludf.DUMMYFUNCTION("""COMPUTED_VALUE"""),"")</f>
        <v/>
      </c>
      <c r="G5694" s="18"/>
      <c r="H5694" s="16" t="s">
        <v>87</v>
      </c>
      <c r="I5694" s="16" t="s">
        <v>87</v>
      </c>
      <c r="J5694" s="19"/>
      <c r="L5694" s="16" t="str">
        <f>IFERROR(__xludf.DUMMYFUNCTION("""COMPUTED_VALUE"""),"")</f>
        <v/>
      </c>
      <c r="M5694" s="16" t="str">
        <f>IFERROR(__xludf.DUMMYFUNCTION("""COMPUTED_VALUE"""),"")</f>
        <v/>
      </c>
      <c r="U5694" s="16" t="s">
        <v>87</v>
      </c>
      <c r="V5694" s="16" t="str">
        <f>IFERROR(__xludf.DUMMYFUNCTION("""COMPUTED_VALUE"""),"")</f>
        <v/>
      </c>
      <c r="W5694" s="16" t="str">
        <f>IFERROR(__xludf.DUMMYFUNCTION("""COMPUTED_VALUE"""),"")</f>
        <v/>
      </c>
      <c r="X5694" s="16" t="str">
        <f>IFERROR(__xludf.DUMMYFUNCTION("""COMPUTED_VALUE"""),"")</f>
        <v/>
      </c>
      <c r="AC5694" s="16" t="str">
        <f>IFERROR(__xludf.DUMMYFUNCTION("""COMPUTED_VALUE"""),"")</f>
        <v/>
      </c>
    </row>
    <row r="5695">
      <c r="A5695" s="16" t="s">
        <v>87</v>
      </c>
      <c r="E5695" s="16" t="str">
        <f>IFERROR(__xludf.DUMMYFUNCTION("""COMPUTED_VALUE"""),"")</f>
        <v/>
      </c>
      <c r="G5695" s="18"/>
      <c r="H5695" s="16" t="s">
        <v>87</v>
      </c>
      <c r="I5695" s="16" t="s">
        <v>87</v>
      </c>
      <c r="J5695" s="19"/>
      <c r="L5695" s="16" t="str">
        <f>IFERROR(__xludf.DUMMYFUNCTION("""COMPUTED_VALUE"""),"")</f>
        <v/>
      </c>
      <c r="M5695" s="16" t="str">
        <f>IFERROR(__xludf.DUMMYFUNCTION("""COMPUTED_VALUE"""),"")</f>
        <v/>
      </c>
      <c r="U5695" s="16" t="s">
        <v>87</v>
      </c>
      <c r="V5695" s="16" t="str">
        <f>IFERROR(__xludf.DUMMYFUNCTION("""COMPUTED_VALUE"""),"")</f>
        <v/>
      </c>
      <c r="W5695" s="16" t="str">
        <f>IFERROR(__xludf.DUMMYFUNCTION("""COMPUTED_VALUE"""),"")</f>
        <v/>
      </c>
      <c r="X5695" s="16" t="str">
        <f>IFERROR(__xludf.DUMMYFUNCTION("""COMPUTED_VALUE"""),"")</f>
        <v/>
      </c>
      <c r="AC5695" s="16" t="str">
        <f>IFERROR(__xludf.DUMMYFUNCTION("""COMPUTED_VALUE"""),"")</f>
        <v/>
      </c>
    </row>
    <row r="5696">
      <c r="A5696" s="16" t="s">
        <v>87</v>
      </c>
      <c r="E5696" s="16" t="str">
        <f>IFERROR(__xludf.DUMMYFUNCTION("""COMPUTED_VALUE"""),"")</f>
        <v/>
      </c>
      <c r="G5696" s="18"/>
      <c r="H5696" s="16" t="s">
        <v>87</v>
      </c>
      <c r="I5696" s="16" t="s">
        <v>87</v>
      </c>
      <c r="J5696" s="19"/>
      <c r="L5696" s="16" t="str">
        <f>IFERROR(__xludf.DUMMYFUNCTION("""COMPUTED_VALUE"""),"")</f>
        <v/>
      </c>
      <c r="M5696" s="16" t="str">
        <f>IFERROR(__xludf.DUMMYFUNCTION("""COMPUTED_VALUE"""),"")</f>
        <v/>
      </c>
      <c r="U5696" s="16" t="s">
        <v>87</v>
      </c>
      <c r="V5696" s="16" t="str">
        <f>IFERROR(__xludf.DUMMYFUNCTION("""COMPUTED_VALUE"""),"")</f>
        <v/>
      </c>
      <c r="W5696" s="16" t="str">
        <f>IFERROR(__xludf.DUMMYFUNCTION("""COMPUTED_VALUE"""),"")</f>
        <v/>
      </c>
      <c r="X5696" s="16" t="str">
        <f>IFERROR(__xludf.DUMMYFUNCTION("""COMPUTED_VALUE"""),"")</f>
        <v/>
      </c>
      <c r="AC5696" s="16" t="str">
        <f>IFERROR(__xludf.DUMMYFUNCTION("""COMPUTED_VALUE"""),"")</f>
        <v/>
      </c>
    </row>
    <row r="5697">
      <c r="A5697" s="16" t="s">
        <v>87</v>
      </c>
      <c r="E5697" s="16" t="str">
        <f>IFERROR(__xludf.DUMMYFUNCTION("""COMPUTED_VALUE"""),"")</f>
        <v/>
      </c>
      <c r="G5697" s="18"/>
      <c r="H5697" s="16" t="s">
        <v>87</v>
      </c>
      <c r="I5697" s="16" t="s">
        <v>87</v>
      </c>
      <c r="J5697" s="19"/>
      <c r="L5697" s="16" t="str">
        <f>IFERROR(__xludf.DUMMYFUNCTION("""COMPUTED_VALUE"""),"")</f>
        <v/>
      </c>
      <c r="M5697" s="16" t="str">
        <f>IFERROR(__xludf.DUMMYFUNCTION("""COMPUTED_VALUE"""),"")</f>
        <v/>
      </c>
      <c r="U5697" s="16" t="s">
        <v>87</v>
      </c>
      <c r="V5697" s="16" t="str">
        <f>IFERROR(__xludf.DUMMYFUNCTION("""COMPUTED_VALUE"""),"")</f>
        <v/>
      </c>
      <c r="W5697" s="16" t="str">
        <f>IFERROR(__xludf.DUMMYFUNCTION("""COMPUTED_VALUE"""),"")</f>
        <v/>
      </c>
      <c r="X5697" s="16" t="str">
        <f>IFERROR(__xludf.DUMMYFUNCTION("""COMPUTED_VALUE"""),"")</f>
        <v/>
      </c>
      <c r="AC5697" s="16" t="str">
        <f>IFERROR(__xludf.DUMMYFUNCTION("""COMPUTED_VALUE"""),"")</f>
        <v/>
      </c>
    </row>
    <row r="5698">
      <c r="A5698" s="16" t="s">
        <v>87</v>
      </c>
      <c r="E5698" s="16" t="str">
        <f>IFERROR(__xludf.DUMMYFUNCTION("""COMPUTED_VALUE"""),"")</f>
        <v/>
      </c>
      <c r="G5698" s="18"/>
      <c r="H5698" s="16" t="s">
        <v>87</v>
      </c>
      <c r="I5698" s="16" t="s">
        <v>87</v>
      </c>
      <c r="J5698" s="19"/>
      <c r="L5698" s="16" t="str">
        <f>IFERROR(__xludf.DUMMYFUNCTION("""COMPUTED_VALUE"""),"")</f>
        <v/>
      </c>
      <c r="M5698" s="16" t="str">
        <f>IFERROR(__xludf.DUMMYFUNCTION("""COMPUTED_VALUE"""),"")</f>
        <v/>
      </c>
      <c r="U5698" s="16" t="s">
        <v>87</v>
      </c>
      <c r="V5698" s="16" t="str">
        <f>IFERROR(__xludf.DUMMYFUNCTION("""COMPUTED_VALUE"""),"")</f>
        <v/>
      </c>
      <c r="W5698" s="16" t="str">
        <f>IFERROR(__xludf.DUMMYFUNCTION("""COMPUTED_VALUE"""),"")</f>
        <v/>
      </c>
      <c r="X5698" s="16" t="str">
        <f>IFERROR(__xludf.DUMMYFUNCTION("""COMPUTED_VALUE"""),"")</f>
        <v/>
      </c>
      <c r="AC5698" s="16" t="str">
        <f>IFERROR(__xludf.DUMMYFUNCTION("""COMPUTED_VALUE"""),"")</f>
        <v/>
      </c>
    </row>
    <row r="5699">
      <c r="A5699" s="16" t="s">
        <v>87</v>
      </c>
      <c r="E5699" s="16" t="str">
        <f>IFERROR(__xludf.DUMMYFUNCTION("""COMPUTED_VALUE"""),"")</f>
        <v/>
      </c>
      <c r="G5699" s="18"/>
      <c r="H5699" s="16" t="s">
        <v>87</v>
      </c>
      <c r="I5699" s="16" t="s">
        <v>87</v>
      </c>
      <c r="J5699" s="19"/>
      <c r="L5699" s="16" t="str">
        <f>IFERROR(__xludf.DUMMYFUNCTION("""COMPUTED_VALUE"""),"")</f>
        <v/>
      </c>
      <c r="M5699" s="16" t="str">
        <f>IFERROR(__xludf.DUMMYFUNCTION("""COMPUTED_VALUE"""),"")</f>
        <v/>
      </c>
      <c r="U5699" s="16" t="s">
        <v>87</v>
      </c>
      <c r="V5699" s="16" t="str">
        <f>IFERROR(__xludf.DUMMYFUNCTION("""COMPUTED_VALUE"""),"")</f>
        <v/>
      </c>
      <c r="W5699" s="16" t="str">
        <f>IFERROR(__xludf.DUMMYFUNCTION("""COMPUTED_VALUE"""),"")</f>
        <v/>
      </c>
      <c r="X5699" s="16" t="str">
        <f>IFERROR(__xludf.DUMMYFUNCTION("""COMPUTED_VALUE"""),"")</f>
        <v/>
      </c>
      <c r="AC5699" s="16" t="str">
        <f>IFERROR(__xludf.DUMMYFUNCTION("""COMPUTED_VALUE"""),"")</f>
        <v/>
      </c>
    </row>
    <row r="5700">
      <c r="A5700" s="16" t="s">
        <v>87</v>
      </c>
      <c r="E5700" s="16" t="str">
        <f>IFERROR(__xludf.DUMMYFUNCTION("""COMPUTED_VALUE"""),"")</f>
        <v/>
      </c>
      <c r="G5700" s="18"/>
      <c r="H5700" s="16" t="s">
        <v>87</v>
      </c>
      <c r="I5700" s="16" t="s">
        <v>87</v>
      </c>
      <c r="J5700" s="19"/>
      <c r="L5700" s="16" t="str">
        <f>IFERROR(__xludf.DUMMYFUNCTION("""COMPUTED_VALUE"""),"")</f>
        <v/>
      </c>
      <c r="M5700" s="16" t="str">
        <f>IFERROR(__xludf.DUMMYFUNCTION("""COMPUTED_VALUE"""),"")</f>
        <v/>
      </c>
      <c r="U5700" s="16" t="s">
        <v>87</v>
      </c>
      <c r="V5700" s="16" t="str">
        <f>IFERROR(__xludf.DUMMYFUNCTION("""COMPUTED_VALUE"""),"")</f>
        <v/>
      </c>
      <c r="W5700" s="16" t="str">
        <f>IFERROR(__xludf.DUMMYFUNCTION("""COMPUTED_VALUE"""),"")</f>
        <v/>
      </c>
      <c r="X5700" s="16" t="str">
        <f>IFERROR(__xludf.DUMMYFUNCTION("""COMPUTED_VALUE"""),"")</f>
        <v/>
      </c>
      <c r="AC5700" s="16" t="str">
        <f>IFERROR(__xludf.DUMMYFUNCTION("""COMPUTED_VALUE"""),"")</f>
        <v/>
      </c>
    </row>
    <row r="5701">
      <c r="A5701" s="16" t="s">
        <v>87</v>
      </c>
      <c r="E5701" s="16" t="str">
        <f>IFERROR(__xludf.DUMMYFUNCTION("""COMPUTED_VALUE"""),"")</f>
        <v/>
      </c>
      <c r="G5701" s="18"/>
      <c r="H5701" s="16" t="s">
        <v>87</v>
      </c>
      <c r="I5701" s="16" t="s">
        <v>87</v>
      </c>
      <c r="J5701" s="19"/>
      <c r="L5701" s="16" t="str">
        <f>IFERROR(__xludf.DUMMYFUNCTION("""COMPUTED_VALUE"""),"")</f>
        <v/>
      </c>
      <c r="M5701" s="16" t="str">
        <f>IFERROR(__xludf.DUMMYFUNCTION("""COMPUTED_VALUE"""),"")</f>
        <v/>
      </c>
      <c r="U5701" s="16" t="s">
        <v>87</v>
      </c>
      <c r="V5701" s="16" t="str">
        <f>IFERROR(__xludf.DUMMYFUNCTION("""COMPUTED_VALUE"""),"")</f>
        <v/>
      </c>
      <c r="W5701" s="16" t="str">
        <f>IFERROR(__xludf.DUMMYFUNCTION("""COMPUTED_VALUE"""),"")</f>
        <v/>
      </c>
      <c r="X5701" s="16" t="str">
        <f>IFERROR(__xludf.DUMMYFUNCTION("""COMPUTED_VALUE"""),"")</f>
        <v/>
      </c>
      <c r="AC5701" s="16" t="str">
        <f>IFERROR(__xludf.DUMMYFUNCTION("""COMPUTED_VALUE"""),"")</f>
        <v/>
      </c>
    </row>
    <row r="5702">
      <c r="A5702" s="16" t="s">
        <v>87</v>
      </c>
      <c r="E5702" s="16" t="str">
        <f>IFERROR(__xludf.DUMMYFUNCTION("""COMPUTED_VALUE"""),"")</f>
        <v/>
      </c>
      <c r="G5702" s="18"/>
      <c r="H5702" s="16" t="s">
        <v>87</v>
      </c>
      <c r="I5702" s="16" t="s">
        <v>87</v>
      </c>
      <c r="J5702" s="19"/>
      <c r="L5702" s="16" t="str">
        <f>IFERROR(__xludf.DUMMYFUNCTION("""COMPUTED_VALUE"""),"")</f>
        <v/>
      </c>
      <c r="M5702" s="16" t="str">
        <f>IFERROR(__xludf.DUMMYFUNCTION("""COMPUTED_VALUE"""),"")</f>
        <v/>
      </c>
      <c r="U5702" s="16" t="s">
        <v>87</v>
      </c>
      <c r="V5702" s="16" t="str">
        <f>IFERROR(__xludf.DUMMYFUNCTION("""COMPUTED_VALUE"""),"")</f>
        <v/>
      </c>
      <c r="W5702" s="16" t="str">
        <f>IFERROR(__xludf.DUMMYFUNCTION("""COMPUTED_VALUE"""),"")</f>
        <v/>
      </c>
      <c r="X5702" s="16" t="str">
        <f>IFERROR(__xludf.DUMMYFUNCTION("""COMPUTED_VALUE"""),"")</f>
        <v/>
      </c>
      <c r="AC5702" s="16" t="str">
        <f>IFERROR(__xludf.DUMMYFUNCTION("""COMPUTED_VALUE"""),"")</f>
        <v/>
      </c>
    </row>
    <row r="5703">
      <c r="A5703" s="16" t="s">
        <v>87</v>
      </c>
      <c r="E5703" s="16" t="str">
        <f>IFERROR(__xludf.DUMMYFUNCTION("""COMPUTED_VALUE"""),"")</f>
        <v/>
      </c>
      <c r="G5703" s="18"/>
      <c r="H5703" s="16" t="s">
        <v>87</v>
      </c>
      <c r="I5703" s="16" t="s">
        <v>87</v>
      </c>
      <c r="J5703" s="19"/>
      <c r="L5703" s="16" t="str">
        <f>IFERROR(__xludf.DUMMYFUNCTION("""COMPUTED_VALUE"""),"")</f>
        <v/>
      </c>
      <c r="M5703" s="16" t="str">
        <f>IFERROR(__xludf.DUMMYFUNCTION("""COMPUTED_VALUE"""),"")</f>
        <v/>
      </c>
      <c r="U5703" s="16" t="s">
        <v>87</v>
      </c>
      <c r="V5703" s="16" t="str">
        <f>IFERROR(__xludf.DUMMYFUNCTION("""COMPUTED_VALUE"""),"")</f>
        <v/>
      </c>
      <c r="W5703" s="16" t="str">
        <f>IFERROR(__xludf.DUMMYFUNCTION("""COMPUTED_VALUE"""),"")</f>
        <v/>
      </c>
      <c r="X5703" s="16" t="str">
        <f>IFERROR(__xludf.DUMMYFUNCTION("""COMPUTED_VALUE"""),"")</f>
        <v/>
      </c>
      <c r="AC5703" s="16" t="str">
        <f>IFERROR(__xludf.DUMMYFUNCTION("""COMPUTED_VALUE"""),"")</f>
        <v/>
      </c>
    </row>
    <row r="5704">
      <c r="A5704" s="16" t="s">
        <v>87</v>
      </c>
      <c r="E5704" s="16" t="str">
        <f>IFERROR(__xludf.DUMMYFUNCTION("""COMPUTED_VALUE"""),"")</f>
        <v/>
      </c>
      <c r="G5704" s="18"/>
      <c r="H5704" s="16" t="s">
        <v>87</v>
      </c>
      <c r="I5704" s="16" t="s">
        <v>87</v>
      </c>
      <c r="J5704" s="19"/>
      <c r="L5704" s="16" t="str">
        <f>IFERROR(__xludf.DUMMYFUNCTION("""COMPUTED_VALUE"""),"")</f>
        <v/>
      </c>
      <c r="M5704" s="16" t="str">
        <f>IFERROR(__xludf.DUMMYFUNCTION("""COMPUTED_VALUE"""),"")</f>
        <v/>
      </c>
      <c r="U5704" s="16" t="s">
        <v>87</v>
      </c>
      <c r="V5704" s="16" t="str">
        <f>IFERROR(__xludf.DUMMYFUNCTION("""COMPUTED_VALUE"""),"")</f>
        <v/>
      </c>
      <c r="W5704" s="16" t="str">
        <f>IFERROR(__xludf.DUMMYFUNCTION("""COMPUTED_VALUE"""),"")</f>
        <v/>
      </c>
      <c r="X5704" s="16" t="str">
        <f>IFERROR(__xludf.DUMMYFUNCTION("""COMPUTED_VALUE"""),"")</f>
        <v/>
      </c>
      <c r="AC5704" s="16" t="str">
        <f>IFERROR(__xludf.DUMMYFUNCTION("""COMPUTED_VALUE"""),"")</f>
        <v/>
      </c>
    </row>
    <row r="5705">
      <c r="A5705" s="16" t="s">
        <v>87</v>
      </c>
      <c r="E5705" s="16" t="str">
        <f>IFERROR(__xludf.DUMMYFUNCTION("""COMPUTED_VALUE"""),"")</f>
        <v/>
      </c>
      <c r="G5705" s="18"/>
      <c r="H5705" s="16" t="s">
        <v>87</v>
      </c>
      <c r="I5705" s="16" t="s">
        <v>87</v>
      </c>
      <c r="J5705" s="19"/>
      <c r="L5705" s="16" t="str">
        <f>IFERROR(__xludf.DUMMYFUNCTION("""COMPUTED_VALUE"""),"")</f>
        <v/>
      </c>
      <c r="M5705" s="16" t="str">
        <f>IFERROR(__xludf.DUMMYFUNCTION("""COMPUTED_VALUE"""),"")</f>
        <v/>
      </c>
      <c r="U5705" s="16" t="s">
        <v>87</v>
      </c>
      <c r="V5705" s="16" t="str">
        <f>IFERROR(__xludf.DUMMYFUNCTION("""COMPUTED_VALUE"""),"")</f>
        <v/>
      </c>
      <c r="W5705" s="16" t="str">
        <f>IFERROR(__xludf.DUMMYFUNCTION("""COMPUTED_VALUE"""),"")</f>
        <v/>
      </c>
      <c r="X5705" s="16" t="str">
        <f>IFERROR(__xludf.DUMMYFUNCTION("""COMPUTED_VALUE"""),"")</f>
        <v/>
      </c>
      <c r="AC5705" s="16" t="str">
        <f>IFERROR(__xludf.DUMMYFUNCTION("""COMPUTED_VALUE"""),"")</f>
        <v/>
      </c>
    </row>
    <row r="5706">
      <c r="A5706" s="16" t="s">
        <v>87</v>
      </c>
      <c r="E5706" s="16" t="str">
        <f>IFERROR(__xludf.DUMMYFUNCTION("""COMPUTED_VALUE"""),"")</f>
        <v/>
      </c>
      <c r="G5706" s="18"/>
      <c r="H5706" s="16" t="s">
        <v>87</v>
      </c>
      <c r="I5706" s="16" t="s">
        <v>87</v>
      </c>
      <c r="J5706" s="19"/>
      <c r="L5706" s="16" t="str">
        <f>IFERROR(__xludf.DUMMYFUNCTION("""COMPUTED_VALUE"""),"")</f>
        <v/>
      </c>
      <c r="M5706" s="16" t="str">
        <f>IFERROR(__xludf.DUMMYFUNCTION("""COMPUTED_VALUE"""),"")</f>
        <v/>
      </c>
      <c r="U5706" s="16" t="s">
        <v>87</v>
      </c>
      <c r="V5706" s="16" t="str">
        <f>IFERROR(__xludf.DUMMYFUNCTION("""COMPUTED_VALUE"""),"")</f>
        <v/>
      </c>
      <c r="W5706" s="16" t="str">
        <f>IFERROR(__xludf.DUMMYFUNCTION("""COMPUTED_VALUE"""),"")</f>
        <v/>
      </c>
      <c r="X5706" s="16" t="str">
        <f>IFERROR(__xludf.DUMMYFUNCTION("""COMPUTED_VALUE"""),"")</f>
        <v/>
      </c>
      <c r="AC5706" s="16" t="str">
        <f>IFERROR(__xludf.DUMMYFUNCTION("""COMPUTED_VALUE"""),"")</f>
        <v/>
      </c>
    </row>
    <row r="5707">
      <c r="A5707" s="16" t="s">
        <v>87</v>
      </c>
      <c r="E5707" s="16" t="str">
        <f>IFERROR(__xludf.DUMMYFUNCTION("""COMPUTED_VALUE"""),"")</f>
        <v/>
      </c>
      <c r="G5707" s="18"/>
      <c r="H5707" s="16" t="s">
        <v>87</v>
      </c>
      <c r="I5707" s="16" t="s">
        <v>87</v>
      </c>
      <c r="J5707" s="19"/>
      <c r="L5707" s="16" t="str">
        <f>IFERROR(__xludf.DUMMYFUNCTION("""COMPUTED_VALUE"""),"")</f>
        <v/>
      </c>
      <c r="M5707" s="16" t="str">
        <f>IFERROR(__xludf.DUMMYFUNCTION("""COMPUTED_VALUE"""),"")</f>
        <v/>
      </c>
      <c r="U5707" s="16" t="s">
        <v>87</v>
      </c>
      <c r="V5707" s="16" t="str">
        <f>IFERROR(__xludf.DUMMYFUNCTION("""COMPUTED_VALUE"""),"")</f>
        <v/>
      </c>
      <c r="W5707" s="16" t="str">
        <f>IFERROR(__xludf.DUMMYFUNCTION("""COMPUTED_VALUE"""),"")</f>
        <v/>
      </c>
      <c r="X5707" s="16" t="str">
        <f>IFERROR(__xludf.DUMMYFUNCTION("""COMPUTED_VALUE"""),"")</f>
        <v/>
      </c>
      <c r="AC5707" s="16" t="str">
        <f>IFERROR(__xludf.DUMMYFUNCTION("""COMPUTED_VALUE"""),"")</f>
        <v/>
      </c>
    </row>
    <row r="5708">
      <c r="A5708" s="16" t="s">
        <v>87</v>
      </c>
      <c r="E5708" s="16" t="str">
        <f>IFERROR(__xludf.DUMMYFUNCTION("""COMPUTED_VALUE"""),"")</f>
        <v/>
      </c>
      <c r="G5708" s="18"/>
      <c r="H5708" s="16" t="s">
        <v>87</v>
      </c>
      <c r="I5708" s="16" t="s">
        <v>87</v>
      </c>
      <c r="J5708" s="19"/>
      <c r="L5708" s="16" t="str">
        <f>IFERROR(__xludf.DUMMYFUNCTION("""COMPUTED_VALUE"""),"")</f>
        <v/>
      </c>
      <c r="M5708" s="16" t="str">
        <f>IFERROR(__xludf.DUMMYFUNCTION("""COMPUTED_VALUE"""),"")</f>
        <v/>
      </c>
      <c r="U5708" s="16" t="s">
        <v>87</v>
      </c>
      <c r="V5708" s="16" t="str">
        <f>IFERROR(__xludf.DUMMYFUNCTION("""COMPUTED_VALUE"""),"")</f>
        <v/>
      </c>
      <c r="W5708" s="16" t="str">
        <f>IFERROR(__xludf.DUMMYFUNCTION("""COMPUTED_VALUE"""),"")</f>
        <v/>
      </c>
      <c r="X5708" s="16" t="str">
        <f>IFERROR(__xludf.DUMMYFUNCTION("""COMPUTED_VALUE"""),"")</f>
        <v/>
      </c>
      <c r="AC5708" s="16" t="str">
        <f>IFERROR(__xludf.DUMMYFUNCTION("""COMPUTED_VALUE"""),"")</f>
        <v/>
      </c>
    </row>
    <row r="5709">
      <c r="A5709" s="16" t="s">
        <v>87</v>
      </c>
      <c r="E5709" s="16" t="str">
        <f>IFERROR(__xludf.DUMMYFUNCTION("""COMPUTED_VALUE"""),"")</f>
        <v/>
      </c>
      <c r="G5709" s="18"/>
      <c r="H5709" s="16" t="s">
        <v>87</v>
      </c>
      <c r="I5709" s="16" t="s">
        <v>87</v>
      </c>
      <c r="J5709" s="19"/>
      <c r="L5709" s="16" t="str">
        <f>IFERROR(__xludf.DUMMYFUNCTION("""COMPUTED_VALUE"""),"")</f>
        <v/>
      </c>
      <c r="M5709" s="16" t="str">
        <f>IFERROR(__xludf.DUMMYFUNCTION("""COMPUTED_VALUE"""),"")</f>
        <v/>
      </c>
      <c r="U5709" s="16" t="s">
        <v>87</v>
      </c>
      <c r="V5709" s="16" t="str">
        <f>IFERROR(__xludf.DUMMYFUNCTION("""COMPUTED_VALUE"""),"")</f>
        <v/>
      </c>
      <c r="W5709" s="16" t="str">
        <f>IFERROR(__xludf.DUMMYFUNCTION("""COMPUTED_VALUE"""),"")</f>
        <v/>
      </c>
      <c r="X5709" s="16" t="str">
        <f>IFERROR(__xludf.DUMMYFUNCTION("""COMPUTED_VALUE"""),"")</f>
        <v/>
      </c>
      <c r="AC5709" s="16" t="str">
        <f>IFERROR(__xludf.DUMMYFUNCTION("""COMPUTED_VALUE"""),"")</f>
        <v/>
      </c>
    </row>
    <row r="5710">
      <c r="A5710" s="16" t="s">
        <v>87</v>
      </c>
      <c r="E5710" s="16" t="str">
        <f>IFERROR(__xludf.DUMMYFUNCTION("""COMPUTED_VALUE"""),"")</f>
        <v/>
      </c>
      <c r="G5710" s="18"/>
      <c r="H5710" s="16" t="s">
        <v>87</v>
      </c>
      <c r="I5710" s="16" t="s">
        <v>87</v>
      </c>
      <c r="J5710" s="19"/>
      <c r="L5710" s="16" t="str">
        <f>IFERROR(__xludf.DUMMYFUNCTION("""COMPUTED_VALUE"""),"")</f>
        <v/>
      </c>
      <c r="M5710" s="16" t="str">
        <f>IFERROR(__xludf.DUMMYFUNCTION("""COMPUTED_VALUE"""),"")</f>
        <v/>
      </c>
      <c r="U5710" s="16" t="s">
        <v>87</v>
      </c>
      <c r="V5710" s="16" t="str">
        <f>IFERROR(__xludf.DUMMYFUNCTION("""COMPUTED_VALUE"""),"")</f>
        <v/>
      </c>
      <c r="W5710" s="16" t="str">
        <f>IFERROR(__xludf.DUMMYFUNCTION("""COMPUTED_VALUE"""),"")</f>
        <v/>
      </c>
      <c r="X5710" s="16" t="str">
        <f>IFERROR(__xludf.DUMMYFUNCTION("""COMPUTED_VALUE"""),"")</f>
        <v/>
      </c>
      <c r="AC5710" s="16" t="str">
        <f>IFERROR(__xludf.DUMMYFUNCTION("""COMPUTED_VALUE"""),"")</f>
        <v/>
      </c>
    </row>
    <row r="5711">
      <c r="A5711" s="16" t="s">
        <v>87</v>
      </c>
      <c r="E5711" s="16" t="str">
        <f>IFERROR(__xludf.DUMMYFUNCTION("""COMPUTED_VALUE"""),"")</f>
        <v/>
      </c>
      <c r="G5711" s="18"/>
      <c r="H5711" s="16" t="s">
        <v>87</v>
      </c>
      <c r="I5711" s="16" t="s">
        <v>87</v>
      </c>
      <c r="J5711" s="19"/>
      <c r="L5711" s="16" t="str">
        <f>IFERROR(__xludf.DUMMYFUNCTION("""COMPUTED_VALUE"""),"")</f>
        <v/>
      </c>
      <c r="M5711" s="16" t="str">
        <f>IFERROR(__xludf.DUMMYFUNCTION("""COMPUTED_VALUE"""),"")</f>
        <v/>
      </c>
      <c r="U5711" s="16" t="s">
        <v>87</v>
      </c>
      <c r="V5711" s="16" t="str">
        <f>IFERROR(__xludf.DUMMYFUNCTION("""COMPUTED_VALUE"""),"")</f>
        <v/>
      </c>
      <c r="W5711" s="16" t="str">
        <f>IFERROR(__xludf.DUMMYFUNCTION("""COMPUTED_VALUE"""),"")</f>
        <v/>
      </c>
      <c r="X5711" s="16" t="str">
        <f>IFERROR(__xludf.DUMMYFUNCTION("""COMPUTED_VALUE"""),"")</f>
        <v/>
      </c>
      <c r="AC5711" s="16" t="str">
        <f>IFERROR(__xludf.DUMMYFUNCTION("""COMPUTED_VALUE"""),"")</f>
        <v/>
      </c>
    </row>
    <row r="5712">
      <c r="A5712" s="16" t="s">
        <v>87</v>
      </c>
      <c r="E5712" s="16" t="str">
        <f>IFERROR(__xludf.DUMMYFUNCTION("""COMPUTED_VALUE"""),"")</f>
        <v/>
      </c>
      <c r="G5712" s="18"/>
      <c r="H5712" s="16" t="s">
        <v>87</v>
      </c>
      <c r="I5712" s="16" t="s">
        <v>87</v>
      </c>
      <c r="J5712" s="19"/>
      <c r="L5712" s="16" t="str">
        <f>IFERROR(__xludf.DUMMYFUNCTION("""COMPUTED_VALUE"""),"")</f>
        <v/>
      </c>
      <c r="M5712" s="16" t="str">
        <f>IFERROR(__xludf.DUMMYFUNCTION("""COMPUTED_VALUE"""),"")</f>
        <v/>
      </c>
      <c r="U5712" s="16" t="s">
        <v>87</v>
      </c>
      <c r="V5712" s="16" t="str">
        <f>IFERROR(__xludf.DUMMYFUNCTION("""COMPUTED_VALUE"""),"")</f>
        <v/>
      </c>
      <c r="W5712" s="16" t="str">
        <f>IFERROR(__xludf.DUMMYFUNCTION("""COMPUTED_VALUE"""),"")</f>
        <v/>
      </c>
      <c r="X5712" s="16" t="str">
        <f>IFERROR(__xludf.DUMMYFUNCTION("""COMPUTED_VALUE"""),"")</f>
        <v/>
      </c>
      <c r="AC5712" s="16" t="str">
        <f>IFERROR(__xludf.DUMMYFUNCTION("""COMPUTED_VALUE"""),"")</f>
        <v/>
      </c>
    </row>
    <row r="5713">
      <c r="A5713" s="16" t="s">
        <v>87</v>
      </c>
      <c r="E5713" s="16" t="str">
        <f>IFERROR(__xludf.DUMMYFUNCTION("""COMPUTED_VALUE"""),"")</f>
        <v/>
      </c>
      <c r="G5713" s="18"/>
      <c r="H5713" s="16" t="s">
        <v>87</v>
      </c>
      <c r="I5713" s="16" t="s">
        <v>87</v>
      </c>
      <c r="J5713" s="19"/>
      <c r="L5713" s="16" t="str">
        <f>IFERROR(__xludf.DUMMYFUNCTION("""COMPUTED_VALUE"""),"")</f>
        <v/>
      </c>
      <c r="M5713" s="16" t="str">
        <f>IFERROR(__xludf.DUMMYFUNCTION("""COMPUTED_VALUE"""),"")</f>
        <v/>
      </c>
      <c r="U5713" s="16" t="s">
        <v>87</v>
      </c>
      <c r="V5713" s="16" t="str">
        <f>IFERROR(__xludf.DUMMYFUNCTION("""COMPUTED_VALUE"""),"")</f>
        <v/>
      </c>
      <c r="W5713" s="16" t="str">
        <f>IFERROR(__xludf.DUMMYFUNCTION("""COMPUTED_VALUE"""),"")</f>
        <v/>
      </c>
      <c r="X5713" s="16" t="str">
        <f>IFERROR(__xludf.DUMMYFUNCTION("""COMPUTED_VALUE"""),"")</f>
        <v/>
      </c>
      <c r="AC5713" s="16" t="str">
        <f>IFERROR(__xludf.DUMMYFUNCTION("""COMPUTED_VALUE"""),"")</f>
        <v/>
      </c>
    </row>
    <row r="5714">
      <c r="A5714" s="16" t="s">
        <v>87</v>
      </c>
      <c r="E5714" s="16" t="str">
        <f>IFERROR(__xludf.DUMMYFUNCTION("""COMPUTED_VALUE"""),"")</f>
        <v/>
      </c>
      <c r="G5714" s="18"/>
      <c r="H5714" s="16" t="s">
        <v>87</v>
      </c>
      <c r="I5714" s="16" t="s">
        <v>87</v>
      </c>
      <c r="J5714" s="19"/>
      <c r="L5714" s="16" t="str">
        <f>IFERROR(__xludf.DUMMYFUNCTION("""COMPUTED_VALUE"""),"")</f>
        <v/>
      </c>
      <c r="M5714" s="16" t="str">
        <f>IFERROR(__xludf.DUMMYFUNCTION("""COMPUTED_VALUE"""),"")</f>
        <v/>
      </c>
      <c r="U5714" s="16" t="s">
        <v>87</v>
      </c>
      <c r="V5714" s="16" t="str">
        <f>IFERROR(__xludf.DUMMYFUNCTION("""COMPUTED_VALUE"""),"")</f>
        <v/>
      </c>
      <c r="W5714" s="16" t="str">
        <f>IFERROR(__xludf.DUMMYFUNCTION("""COMPUTED_VALUE"""),"")</f>
        <v/>
      </c>
      <c r="X5714" s="16" t="str">
        <f>IFERROR(__xludf.DUMMYFUNCTION("""COMPUTED_VALUE"""),"")</f>
        <v/>
      </c>
      <c r="AC5714" s="16" t="str">
        <f>IFERROR(__xludf.DUMMYFUNCTION("""COMPUTED_VALUE"""),"")</f>
        <v/>
      </c>
    </row>
    <row r="5715">
      <c r="A5715" s="16" t="s">
        <v>87</v>
      </c>
      <c r="E5715" s="16" t="str">
        <f>IFERROR(__xludf.DUMMYFUNCTION("""COMPUTED_VALUE"""),"")</f>
        <v/>
      </c>
      <c r="G5715" s="18"/>
      <c r="H5715" s="16" t="s">
        <v>87</v>
      </c>
      <c r="I5715" s="16" t="s">
        <v>87</v>
      </c>
      <c r="J5715" s="19"/>
      <c r="L5715" s="16" t="str">
        <f>IFERROR(__xludf.DUMMYFUNCTION("""COMPUTED_VALUE"""),"")</f>
        <v/>
      </c>
      <c r="M5715" s="16" t="str">
        <f>IFERROR(__xludf.DUMMYFUNCTION("""COMPUTED_VALUE"""),"")</f>
        <v/>
      </c>
      <c r="U5715" s="16" t="s">
        <v>87</v>
      </c>
      <c r="V5715" s="16" t="str">
        <f>IFERROR(__xludf.DUMMYFUNCTION("""COMPUTED_VALUE"""),"")</f>
        <v/>
      </c>
      <c r="W5715" s="16" t="str">
        <f>IFERROR(__xludf.DUMMYFUNCTION("""COMPUTED_VALUE"""),"")</f>
        <v/>
      </c>
      <c r="X5715" s="16" t="str">
        <f>IFERROR(__xludf.DUMMYFUNCTION("""COMPUTED_VALUE"""),"")</f>
        <v/>
      </c>
      <c r="AC5715" s="16" t="str">
        <f>IFERROR(__xludf.DUMMYFUNCTION("""COMPUTED_VALUE"""),"")</f>
        <v/>
      </c>
    </row>
    <row r="5716">
      <c r="A5716" s="16" t="s">
        <v>87</v>
      </c>
      <c r="E5716" s="16" t="str">
        <f>IFERROR(__xludf.DUMMYFUNCTION("""COMPUTED_VALUE"""),"")</f>
        <v/>
      </c>
      <c r="G5716" s="18"/>
      <c r="H5716" s="16" t="s">
        <v>87</v>
      </c>
      <c r="I5716" s="16" t="s">
        <v>87</v>
      </c>
      <c r="J5716" s="19"/>
      <c r="L5716" s="16" t="str">
        <f>IFERROR(__xludf.DUMMYFUNCTION("""COMPUTED_VALUE"""),"")</f>
        <v/>
      </c>
      <c r="M5716" s="16" t="str">
        <f>IFERROR(__xludf.DUMMYFUNCTION("""COMPUTED_VALUE"""),"")</f>
        <v/>
      </c>
      <c r="U5716" s="16" t="s">
        <v>87</v>
      </c>
      <c r="V5716" s="16" t="str">
        <f>IFERROR(__xludf.DUMMYFUNCTION("""COMPUTED_VALUE"""),"")</f>
        <v/>
      </c>
      <c r="W5716" s="16" t="str">
        <f>IFERROR(__xludf.DUMMYFUNCTION("""COMPUTED_VALUE"""),"")</f>
        <v/>
      </c>
      <c r="X5716" s="16" t="str">
        <f>IFERROR(__xludf.DUMMYFUNCTION("""COMPUTED_VALUE"""),"")</f>
        <v/>
      </c>
      <c r="AC5716" s="16" t="str">
        <f>IFERROR(__xludf.DUMMYFUNCTION("""COMPUTED_VALUE"""),"")</f>
        <v/>
      </c>
    </row>
    <row r="5717">
      <c r="A5717" s="16" t="s">
        <v>87</v>
      </c>
      <c r="E5717" s="16" t="str">
        <f>IFERROR(__xludf.DUMMYFUNCTION("""COMPUTED_VALUE"""),"")</f>
        <v/>
      </c>
      <c r="G5717" s="18"/>
      <c r="H5717" s="16" t="s">
        <v>87</v>
      </c>
      <c r="I5717" s="16" t="s">
        <v>87</v>
      </c>
      <c r="J5717" s="19"/>
      <c r="L5717" s="16" t="str">
        <f>IFERROR(__xludf.DUMMYFUNCTION("""COMPUTED_VALUE"""),"")</f>
        <v/>
      </c>
      <c r="M5717" s="16" t="str">
        <f>IFERROR(__xludf.DUMMYFUNCTION("""COMPUTED_VALUE"""),"")</f>
        <v/>
      </c>
      <c r="U5717" s="16" t="s">
        <v>87</v>
      </c>
      <c r="V5717" s="16" t="str">
        <f>IFERROR(__xludf.DUMMYFUNCTION("""COMPUTED_VALUE"""),"")</f>
        <v/>
      </c>
      <c r="W5717" s="16" t="str">
        <f>IFERROR(__xludf.DUMMYFUNCTION("""COMPUTED_VALUE"""),"")</f>
        <v/>
      </c>
      <c r="X5717" s="16" t="str">
        <f>IFERROR(__xludf.DUMMYFUNCTION("""COMPUTED_VALUE"""),"")</f>
        <v/>
      </c>
      <c r="AC5717" s="16" t="str">
        <f>IFERROR(__xludf.DUMMYFUNCTION("""COMPUTED_VALUE"""),"")</f>
        <v/>
      </c>
    </row>
    <row r="5718">
      <c r="A5718" s="16" t="s">
        <v>87</v>
      </c>
      <c r="E5718" s="16" t="str">
        <f>IFERROR(__xludf.DUMMYFUNCTION("""COMPUTED_VALUE"""),"")</f>
        <v/>
      </c>
      <c r="G5718" s="18"/>
      <c r="H5718" s="16" t="s">
        <v>87</v>
      </c>
      <c r="I5718" s="16" t="s">
        <v>87</v>
      </c>
      <c r="J5718" s="19"/>
      <c r="L5718" s="16" t="str">
        <f>IFERROR(__xludf.DUMMYFUNCTION("""COMPUTED_VALUE"""),"")</f>
        <v/>
      </c>
      <c r="M5718" s="16" t="str">
        <f>IFERROR(__xludf.DUMMYFUNCTION("""COMPUTED_VALUE"""),"")</f>
        <v/>
      </c>
      <c r="U5718" s="16" t="s">
        <v>87</v>
      </c>
      <c r="V5718" s="16" t="str">
        <f>IFERROR(__xludf.DUMMYFUNCTION("""COMPUTED_VALUE"""),"")</f>
        <v/>
      </c>
      <c r="W5718" s="16" t="str">
        <f>IFERROR(__xludf.DUMMYFUNCTION("""COMPUTED_VALUE"""),"")</f>
        <v/>
      </c>
      <c r="X5718" s="16" t="str">
        <f>IFERROR(__xludf.DUMMYFUNCTION("""COMPUTED_VALUE"""),"")</f>
        <v/>
      </c>
      <c r="AC5718" s="16" t="str">
        <f>IFERROR(__xludf.DUMMYFUNCTION("""COMPUTED_VALUE"""),"")</f>
        <v/>
      </c>
    </row>
    <row r="5719">
      <c r="A5719" s="16" t="s">
        <v>87</v>
      </c>
      <c r="E5719" s="16" t="str">
        <f>IFERROR(__xludf.DUMMYFUNCTION("""COMPUTED_VALUE"""),"")</f>
        <v/>
      </c>
      <c r="G5719" s="18"/>
      <c r="H5719" s="16" t="s">
        <v>87</v>
      </c>
      <c r="I5719" s="16" t="s">
        <v>87</v>
      </c>
      <c r="J5719" s="19"/>
      <c r="L5719" s="16" t="str">
        <f>IFERROR(__xludf.DUMMYFUNCTION("""COMPUTED_VALUE"""),"")</f>
        <v/>
      </c>
      <c r="M5719" s="16" t="str">
        <f>IFERROR(__xludf.DUMMYFUNCTION("""COMPUTED_VALUE"""),"")</f>
        <v/>
      </c>
      <c r="U5719" s="16" t="s">
        <v>87</v>
      </c>
      <c r="V5719" s="16" t="str">
        <f>IFERROR(__xludf.DUMMYFUNCTION("""COMPUTED_VALUE"""),"")</f>
        <v/>
      </c>
      <c r="W5719" s="16" t="str">
        <f>IFERROR(__xludf.DUMMYFUNCTION("""COMPUTED_VALUE"""),"")</f>
        <v/>
      </c>
      <c r="X5719" s="16" t="str">
        <f>IFERROR(__xludf.DUMMYFUNCTION("""COMPUTED_VALUE"""),"")</f>
        <v/>
      </c>
      <c r="AC5719" s="16" t="str">
        <f>IFERROR(__xludf.DUMMYFUNCTION("""COMPUTED_VALUE"""),"")</f>
        <v/>
      </c>
    </row>
    <row r="5720">
      <c r="A5720" s="16" t="s">
        <v>87</v>
      </c>
      <c r="E5720" s="16" t="str">
        <f>IFERROR(__xludf.DUMMYFUNCTION("""COMPUTED_VALUE"""),"")</f>
        <v/>
      </c>
      <c r="G5720" s="18"/>
      <c r="H5720" s="16" t="s">
        <v>87</v>
      </c>
      <c r="I5720" s="16" t="s">
        <v>87</v>
      </c>
      <c r="J5720" s="19"/>
      <c r="L5720" s="16" t="str">
        <f>IFERROR(__xludf.DUMMYFUNCTION("""COMPUTED_VALUE"""),"")</f>
        <v/>
      </c>
      <c r="M5720" s="16" t="str">
        <f>IFERROR(__xludf.DUMMYFUNCTION("""COMPUTED_VALUE"""),"")</f>
        <v/>
      </c>
      <c r="U5720" s="16" t="s">
        <v>87</v>
      </c>
      <c r="V5720" s="16" t="str">
        <f>IFERROR(__xludf.DUMMYFUNCTION("""COMPUTED_VALUE"""),"")</f>
        <v/>
      </c>
      <c r="W5720" s="16" t="str">
        <f>IFERROR(__xludf.DUMMYFUNCTION("""COMPUTED_VALUE"""),"")</f>
        <v/>
      </c>
      <c r="X5720" s="16" t="str">
        <f>IFERROR(__xludf.DUMMYFUNCTION("""COMPUTED_VALUE"""),"")</f>
        <v/>
      </c>
      <c r="AC5720" s="16" t="str">
        <f>IFERROR(__xludf.DUMMYFUNCTION("""COMPUTED_VALUE"""),"")</f>
        <v/>
      </c>
    </row>
    <row r="5721">
      <c r="A5721" s="16" t="s">
        <v>87</v>
      </c>
      <c r="E5721" s="16" t="str">
        <f>IFERROR(__xludf.DUMMYFUNCTION("""COMPUTED_VALUE"""),"")</f>
        <v/>
      </c>
      <c r="G5721" s="18"/>
      <c r="H5721" s="16" t="s">
        <v>87</v>
      </c>
      <c r="I5721" s="16" t="s">
        <v>87</v>
      </c>
      <c r="J5721" s="19"/>
      <c r="L5721" s="16" t="str">
        <f>IFERROR(__xludf.DUMMYFUNCTION("""COMPUTED_VALUE"""),"")</f>
        <v/>
      </c>
      <c r="M5721" s="16" t="str">
        <f>IFERROR(__xludf.DUMMYFUNCTION("""COMPUTED_VALUE"""),"")</f>
        <v/>
      </c>
      <c r="U5721" s="16" t="s">
        <v>87</v>
      </c>
      <c r="V5721" s="16" t="str">
        <f>IFERROR(__xludf.DUMMYFUNCTION("""COMPUTED_VALUE"""),"")</f>
        <v/>
      </c>
      <c r="W5721" s="16" t="str">
        <f>IFERROR(__xludf.DUMMYFUNCTION("""COMPUTED_VALUE"""),"")</f>
        <v/>
      </c>
      <c r="X5721" s="16" t="str">
        <f>IFERROR(__xludf.DUMMYFUNCTION("""COMPUTED_VALUE"""),"")</f>
        <v/>
      </c>
      <c r="AC5721" s="16" t="str">
        <f>IFERROR(__xludf.DUMMYFUNCTION("""COMPUTED_VALUE"""),"")</f>
        <v/>
      </c>
    </row>
    <row r="5722">
      <c r="A5722" s="16" t="s">
        <v>87</v>
      </c>
      <c r="E5722" s="16" t="str">
        <f>IFERROR(__xludf.DUMMYFUNCTION("""COMPUTED_VALUE"""),"")</f>
        <v/>
      </c>
      <c r="G5722" s="18"/>
      <c r="H5722" s="16" t="s">
        <v>87</v>
      </c>
      <c r="I5722" s="16" t="s">
        <v>87</v>
      </c>
      <c r="J5722" s="19"/>
      <c r="L5722" s="16" t="str">
        <f>IFERROR(__xludf.DUMMYFUNCTION("""COMPUTED_VALUE"""),"")</f>
        <v/>
      </c>
      <c r="M5722" s="16" t="str">
        <f>IFERROR(__xludf.DUMMYFUNCTION("""COMPUTED_VALUE"""),"")</f>
        <v/>
      </c>
      <c r="U5722" s="16" t="s">
        <v>87</v>
      </c>
      <c r="V5722" s="16" t="str">
        <f>IFERROR(__xludf.DUMMYFUNCTION("""COMPUTED_VALUE"""),"")</f>
        <v/>
      </c>
      <c r="W5722" s="16" t="str">
        <f>IFERROR(__xludf.DUMMYFUNCTION("""COMPUTED_VALUE"""),"")</f>
        <v/>
      </c>
      <c r="X5722" s="16" t="str">
        <f>IFERROR(__xludf.DUMMYFUNCTION("""COMPUTED_VALUE"""),"")</f>
        <v/>
      </c>
      <c r="AC5722" s="16" t="str">
        <f>IFERROR(__xludf.DUMMYFUNCTION("""COMPUTED_VALUE"""),"")</f>
        <v/>
      </c>
    </row>
    <row r="5723">
      <c r="A5723" s="16" t="s">
        <v>87</v>
      </c>
      <c r="E5723" s="16" t="str">
        <f>IFERROR(__xludf.DUMMYFUNCTION("""COMPUTED_VALUE"""),"")</f>
        <v/>
      </c>
      <c r="G5723" s="18"/>
      <c r="H5723" s="16" t="s">
        <v>87</v>
      </c>
      <c r="I5723" s="16" t="s">
        <v>87</v>
      </c>
      <c r="J5723" s="19"/>
      <c r="L5723" s="16" t="str">
        <f>IFERROR(__xludf.DUMMYFUNCTION("""COMPUTED_VALUE"""),"")</f>
        <v/>
      </c>
      <c r="M5723" s="16" t="str">
        <f>IFERROR(__xludf.DUMMYFUNCTION("""COMPUTED_VALUE"""),"")</f>
        <v/>
      </c>
      <c r="U5723" s="16" t="s">
        <v>87</v>
      </c>
      <c r="V5723" s="16" t="str">
        <f>IFERROR(__xludf.DUMMYFUNCTION("""COMPUTED_VALUE"""),"")</f>
        <v/>
      </c>
      <c r="W5723" s="16" t="str">
        <f>IFERROR(__xludf.DUMMYFUNCTION("""COMPUTED_VALUE"""),"")</f>
        <v/>
      </c>
      <c r="X5723" s="16" t="str">
        <f>IFERROR(__xludf.DUMMYFUNCTION("""COMPUTED_VALUE"""),"")</f>
        <v/>
      </c>
      <c r="AC5723" s="16" t="str">
        <f>IFERROR(__xludf.DUMMYFUNCTION("""COMPUTED_VALUE"""),"")</f>
        <v/>
      </c>
    </row>
    <row r="5724">
      <c r="A5724" s="16" t="s">
        <v>87</v>
      </c>
      <c r="E5724" s="16" t="str">
        <f>IFERROR(__xludf.DUMMYFUNCTION("""COMPUTED_VALUE"""),"")</f>
        <v/>
      </c>
      <c r="G5724" s="18"/>
      <c r="H5724" s="16" t="s">
        <v>87</v>
      </c>
      <c r="I5724" s="16" t="s">
        <v>87</v>
      </c>
      <c r="J5724" s="19"/>
      <c r="L5724" s="16" t="str">
        <f>IFERROR(__xludf.DUMMYFUNCTION("""COMPUTED_VALUE"""),"")</f>
        <v/>
      </c>
      <c r="M5724" s="16" t="str">
        <f>IFERROR(__xludf.DUMMYFUNCTION("""COMPUTED_VALUE"""),"")</f>
        <v/>
      </c>
      <c r="U5724" s="16" t="s">
        <v>87</v>
      </c>
      <c r="V5724" s="16" t="str">
        <f>IFERROR(__xludf.DUMMYFUNCTION("""COMPUTED_VALUE"""),"")</f>
        <v/>
      </c>
      <c r="W5724" s="16" t="str">
        <f>IFERROR(__xludf.DUMMYFUNCTION("""COMPUTED_VALUE"""),"")</f>
        <v/>
      </c>
      <c r="X5724" s="16" t="str">
        <f>IFERROR(__xludf.DUMMYFUNCTION("""COMPUTED_VALUE"""),"")</f>
        <v/>
      </c>
      <c r="AC5724" s="16" t="str">
        <f>IFERROR(__xludf.DUMMYFUNCTION("""COMPUTED_VALUE"""),"")</f>
        <v/>
      </c>
    </row>
    <row r="5725">
      <c r="A5725" s="16" t="s">
        <v>87</v>
      </c>
      <c r="E5725" s="16" t="str">
        <f>IFERROR(__xludf.DUMMYFUNCTION("""COMPUTED_VALUE"""),"")</f>
        <v/>
      </c>
      <c r="G5725" s="18"/>
      <c r="H5725" s="16" t="s">
        <v>87</v>
      </c>
      <c r="I5725" s="16" t="s">
        <v>87</v>
      </c>
      <c r="J5725" s="19"/>
      <c r="L5725" s="16" t="str">
        <f>IFERROR(__xludf.DUMMYFUNCTION("""COMPUTED_VALUE"""),"")</f>
        <v/>
      </c>
      <c r="M5725" s="16" t="str">
        <f>IFERROR(__xludf.DUMMYFUNCTION("""COMPUTED_VALUE"""),"")</f>
        <v/>
      </c>
      <c r="U5725" s="16" t="s">
        <v>87</v>
      </c>
      <c r="V5725" s="16" t="str">
        <f>IFERROR(__xludf.DUMMYFUNCTION("""COMPUTED_VALUE"""),"")</f>
        <v/>
      </c>
      <c r="W5725" s="16" t="str">
        <f>IFERROR(__xludf.DUMMYFUNCTION("""COMPUTED_VALUE"""),"")</f>
        <v/>
      </c>
      <c r="X5725" s="16" t="str">
        <f>IFERROR(__xludf.DUMMYFUNCTION("""COMPUTED_VALUE"""),"")</f>
        <v/>
      </c>
      <c r="AC5725" s="16" t="str">
        <f>IFERROR(__xludf.DUMMYFUNCTION("""COMPUTED_VALUE"""),"")</f>
        <v/>
      </c>
    </row>
    <row r="5726">
      <c r="A5726" s="16" t="s">
        <v>87</v>
      </c>
      <c r="E5726" s="16" t="str">
        <f>IFERROR(__xludf.DUMMYFUNCTION("""COMPUTED_VALUE"""),"")</f>
        <v/>
      </c>
      <c r="G5726" s="18"/>
      <c r="H5726" s="16" t="s">
        <v>87</v>
      </c>
      <c r="I5726" s="16" t="s">
        <v>87</v>
      </c>
      <c r="J5726" s="19"/>
      <c r="L5726" s="16" t="str">
        <f>IFERROR(__xludf.DUMMYFUNCTION("""COMPUTED_VALUE"""),"")</f>
        <v/>
      </c>
      <c r="M5726" s="16" t="str">
        <f>IFERROR(__xludf.DUMMYFUNCTION("""COMPUTED_VALUE"""),"")</f>
        <v/>
      </c>
      <c r="U5726" s="16" t="s">
        <v>87</v>
      </c>
      <c r="V5726" s="16" t="str">
        <f>IFERROR(__xludf.DUMMYFUNCTION("""COMPUTED_VALUE"""),"")</f>
        <v/>
      </c>
      <c r="W5726" s="16" t="str">
        <f>IFERROR(__xludf.DUMMYFUNCTION("""COMPUTED_VALUE"""),"")</f>
        <v/>
      </c>
      <c r="X5726" s="16" t="str">
        <f>IFERROR(__xludf.DUMMYFUNCTION("""COMPUTED_VALUE"""),"")</f>
        <v/>
      </c>
      <c r="AC5726" s="16" t="str">
        <f>IFERROR(__xludf.DUMMYFUNCTION("""COMPUTED_VALUE"""),"")</f>
        <v/>
      </c>
    </row>
    <row r="5727">
      <c r="A5727" s="16" t="s">
        <v>87</v>
      </c>
      <c r="E5727" s="16" t="str">
        <f>IFERROR(__xludf.DUMMYFUNCTION("""COMPUTED_VALUE"""),"")</f>
        <v/>
      </c>
      <c r="G5727" s="18"/>
      <c r="H5727" s="16" t="s">
        <v>87</v>
      </c>
      <c r="I5727" s="16" t="s">
        <v>87</v>
      </c>
      <c r="J5727" s="19"/>
      <c r="L5727" s="16" t="str">
        <f>IFERROR(__xludf.DUMMYFUNCTION("""COMPUTED_VALUE"""),"")</f>
        <v/>
      </c>
      <c r="M5727" s="16" t="str">
        <f>IFERROR(__xludf.DUMMYFUNCTION("""COMPUTED_VALUE"""),"")</f>
        <v/>
      </c>
      <c r="U5727" s="16" t="s">
        <v>87</v>
      </c>
      <c r="V5727" s="16" t="str">
        <f>IFERROR(__xludf.DUMMYFUNCTION("""COMPUTED_VALUE"""),"")</f>
        <v/>
      </c>
      <c r="W5727" s="16" t="str">
        <f>IFERROR(__xludf.DUMMYFUNCTION("""COMPUTED_VALUE"""),"")</f>
        <v/>
      </c>
      <c r="X5727" s="16" t="str">
        <f>IFERROR(__xludf.DUMMYFUNCTION("""COMPUTED_VALUE"""),"")</f>
        <v/>
      </c>
      <c r="AC5727" s="16" t="str">
        <f>IFERROR(__xludf.DUMMYFUNCTION("""COMPUTED_VALUE"""),"")</f>
        <v/>
      </c>
    </row>
    <row r="5728">
      <c r="A5728" s="16" t="s">
        <v>87</v>
      </c>
      <c r="E5728" s="16" t="str">
        <f>IFERROR(__xludf.DUMMYFUNCTION("""COMPUTED_VALUE"""),"")</f>
        <v/>
      </c>
      <c r="G5728" s="18"/>
      <c r="H5728" s="16" t="s">
        <v>87</v>
      </c>
      <c r="I5728" s="16" t="s">
        <v>87</v>
      </c>
      <c r="J5728" s="19"/>
      <c r="L5728" s="16" t="str">
        <f>IFERROR(__xludf.DUMMYFUNCTION("""COMPUTED_VALUE"""),"")</f>
        <v/>
      </c>
      <c r="M5728" s="16" t="str">
        <f>IFERROR(__xludf.DUMMYFUNCTION("""COMPUTED_VALUE"""),"")</f>
        <v/>
      </c>
      <c r="U5728" s="16" t="s">
        <v>87</v>
      </c>
      <c r="V5728" s="16" t="str">
        <f>IFERROR(__xludf.DUMMYFUNCTION("""COMPUTED_VALUE"""),"")</f>
        <v/>
      </c>
      <c r="W5728" s="16" t="str">
        <f>IFERROR(__xludf.DUMMYFUNCTION("""COMPUTED_VALUE"""),"")</f>
        <v/>
      </c>
      <c r="X5728" s="16" t="str">
        <f>IFERROR(__xludf.DUMMYFUNCTION("""COMPUTED_VALUE"""),"")</f>
        <v/>
      </c>
      <c r="AC5728" s="16" t="str">
        <f>IFERROR(__xludf.DUMMYFUNCTION("""COMPUTED_VALUE"""),"")</f>
        <v/>
      </c>
    </row>
    <row r="5729">
      <c r="A5729" s="16" t="s">
        <v>87</v>
      </c>
      <c r="E5729" s="16" t="str">
        <f>IFERROR(__xludf.DUMMYFUNCTION("""COMPUTED_VALUE"""),"")</f>
        <v/>
      </c>
      <c r="G5729" s="18"/>
      <c r="H5729" s="16" t="s">
        <v>87</v>
      </c>
      <c r="I5729" s="16" t="s">
        <v>87</v>
      </c>
      <c r="J5729" s="19"/>
      <c r="L5729" s="16" t="str">
        <f>IFERROR(__xludf.DUMMYFUNCTION("""COMPUTED_VALUE"""),"")</f>
        <v/>
      </c>
      <c r="M5729" s="16" t="str">
        <f>IFERROR(__xludf.DUMMYFUNCTION("""COMPUTED_VALUE"""),"")</f>
        <v/>
      </c>
      <c r="U5729" s="16" t="s">
        <v>87</v>
      </c>
      <c r="V5729" s="16" t="str">
        <f>IFERROR(__xludf.DUMMYFUNCTION("""COMPUTED_VALUE"""),"")</f>
        <v/>
      </c>
      <c r="W5729" s="16" t="str">
        <f>IFERROR(__xludf.DUMMYFUNCTION("""COMPUTED_VALUE"""),"")</f>
        <v/>
      </c>
      <c r="X5729" s="16" t="str">
        <f>IFERROR(__xludf.DUMMYFUNCTION("""COMPUTED_VALUE"""),"")</f>
        <v/>
      </c>
      <c r="AC5729" s="16" t="str">
        <f>IFERROR(__xludf.DUMMYFUNCTION("""COMPUTED_VALUE"""),"")</f>
        <v/>
      </c>
    </row>
    <row r="5730">
      <c r="A5730" s="16" t="s">
        <v>87</v>
      </c>
      <c r="E5730" s="16" t="str">
        <f>IFERROR(__xludf.DUMMYFUNCTION("""COMPUTED_VALUE"""),"")</f>
        <v/>
      </c>
      <c r="G5730" s="18"/>
      <c r="H5730" s="16" t="s">
        <v>87</v>
      </c>
      <c r="I5730" s="16" t="s">
        <v>87</v>
      </c>
      <c r="J5730" s="19"/>
      <c r="L5730" s="16" t="str">
        <f>IFERROR(__xludf.DUMMYFUNCTION("""COMPUTED_VALUE"""),"")</f>
        <v/>
      </c>
      <c r="M5730" s="16" t="str">
        <f>IFERROR(__xludf.DUMMYFUNCTION("""COMPUTED_VALUE"""),"")</f>
        <v/>
      </c>
      <c r="U5730" s="16" t="s">
        <v>87</v>
      </c>
      <c r="V5730" s="16" t="str">
        <f>IFERROR(__xludf.DUMMYFUNCTION("""COMPUTED_VALUE"""),"")</f>
        <v/>
      </c>
      <c r="W5730" s="16" t="str">
        <f>IFERROR(__xludf.DUMMYFUNCTION("""COMPUTED_VALUE"""),"")</f>
        <v/>
      </c>
      <c r="X5730" s="16" t="str">
        <f>IFERROR(__xludf.DUMMYFUNCTION("""COMPUTED_VALUE"""),"")</f>
        <v/>
      </c>
      <c r="AC5730" s="16" t="str">
        <f>IFERROR(__xludf.DUMMYFUNCTION("""COMPUTED_VALUE"""),"")</f>
        <v/>
      </c>
    </row>
    <row r="5731">
      <c r="A5731" s="16" t="s">
        <v>87</v>
      </c>
      <c r="E5731" s="16" t="str">
        <f>IFERROR(__xludf.DUMMYFUNCTION("""COMPUTED_VALUE"""),"")</f>
        <v/>
      </c>
      <c r="G5731" s="18"/>
      <c r="H5731" s="16" t="s">
        <v>87</v>
      </c>
      <c r="I5731" s="16" t="s">
        <v>87</v>
      </c>
      <c r="J5731" s="19"/>
      <c r="L5731" s="16" t="str">
        <f>IFERROR(__xludf.DUMMYFUNCTION("""COMPUTED_VALUE"""),"")</f>
        <v/>
      </c>
      <c r="M5731" s="16" t="str">
        <f>IFERROR(__xludf.DUMMYFUNCTION("""COMPUTED_VALUE"""),"")</f>
        <v/>
      </c>
      <c r="U5731" s="16" t="s">
        <v>87</v>
      </c>
      <c r="V5731" s="16" t="str">
        <f>IFERROR(__xludf.DUMMYFUNCTION("""COMPUTED_VALUE"""),"")</f>
        <v/>
      </c>
      <c r="W5731" s="16" t="str">
        <f>IFERROR(__xludf.DUMMYFUNCTION("""COMPUTED_VALUE"""),"")</f>
        <v/>
      </c>
      <c r="X5731" s="16" t="str">
        <f>IFERROR(__xludf.DUMMYFUNCTION("""COMPUTED_VALUE"""),"")</f>
        <v/>
      </c>
      <c r="AC5731" s="16" t="str">
        <f>IFERROR(__xludf.DUMMYFUNCTION("""COMPUTED_VALUE"""),"")</f>
        <v/>
      </c>
    </row>
    <row r="5732">
      <c r="A5732" s="16" t="s">
        <v>87</v>
      </c>
      <c r="E5732" s="16" t="str">
        <f>IFERROR(__xludf.DUMMYFUNCTION("""COMPUTED_VALUE"""),"")</f>
        <v/>
      </c>
      <c r="G5732" s="18"/>
      <c r="H5732" s="16" t="s">
        <v>87</v>
      </c>
      <c r="I5732" s="16" t="s">
        <v>87</v>
      </c>
      <c r="J5732" s="19"/>
      <c r="L5732" s="16" t="str">
        <f>IFERROR(__xludf.DUMMYFUNCTION("""COMPUTED_VALUE"""),"")</f>
        <v/>
      </c>
      <c r="M5732" s="16" t="str">
        <f>IFERROR(__xludf.DUMMYFUNCTION("""COMPUTED_VALUE"""),"")</f>
        <v/>
      </c>
      <c r="U5732" s="16" t="s">
        <v>87</v>
      </c>
      <c r="V5732" s="16" t="str">
        <f>IFERROR(__xludf.DUMMYFUNCTION("""COMPUTED_VALUE"""),"")</f>
        <v/>
      </c>
      <c r="W5732" s="16" t="str">
        <f>IFERROR(__xludf.DUMMYFUNCTION("""COMPUTED_VALUE"""),"")</f>
        <v/>
      </c>
      <c r="X5732" s="16" t="str">
        <f>IFERROR(__xludf.DUMMYFUNCTION("""COMPUTED_VALUE"""),"")</f>
        <v/>
      </c>
      <c r="AC5732" s="16" t="str">
        <f>IFERROR(__xludf.DUMMYFUNCTION("""COMPUTED_VALUE"""),"")</f>
        <v/>
      </c>
    </row>
    <row r="5733">
      <c r="A5733" s="16" t="s">
        <v>87</v>
      </c>
      <c r="E5733" s="16" t="str">
        <f>IFERROR(__xludf.DUMMYFUNCTION("""COMPUTED_VALUE"""),"")</f>
        <v/>
      </c>
      <c r="G5733" s="18"/>
      <c r="H5733" s="16" t="s">
        <v>87</v>
      </c>
      <c r="I5733" s="16" t="s">
        <v>87</v>
      </c>
      <c r="J5733" s="19"/>
      <c r="L5733" s="16" t="str">
        <f>IFERROR(__xludf.DUMMYFUNCTION("""COMPUTED_VALUE"""),"")</f>
        <v/>
      </c>
      <c r="M5733" s="16" t="str">
        <f>IFERROR(__xludf.DUMMYFUNCTION("""COMPUTED_VALUE"""),"")</f>
        <v/>
      </c>
      <c r="U5733" s="16" t="s">
        <v>87</v>
      </c>
      <c r="V5733" s="16" t="str">
        <f>IFERROR(__xludf.DUMMYFUNCTION("""COMPUTED_VALUE"""),"")</f>
        <v/>
      </c>
      <c r="W5733" s="16" t="str">
        <f>IFERROR(__xludf.DUMMYFUNCTION("""COMPUTED_VALUE"""),"")</f>
        <v/>
      </c>
      <c r="X5733" s="16" t="str">
        <f>IFERROR(__xludf.DUMMYFUNCTION("""COMPUTED_VALUE"""),"")</f>
        <v/>
      </c>
      <c r="AC5733" s="16" t="str">
        <f>IFERROR(__xludf.DUMMYFUNCTION("""COMPUTED_VALUE"""),"")</f>
        <v/>
      </c>
    </row>
    <row r="5734">
      <c r="A5734" s="16" t="s">
        <v>87</v>
      </c>
      <c r="E5734" s="16" t="str">
        <f>IFERROR(__xludf.DUMMYFUNCTION("""COMPUTED_VALUE"""),"")</f>
        <v/>
      </c>
      <c r="G5734" s="18"/>
      <c r="H5734" s="16" t="s">
        <v>87</v>
      </c>
      <c r="I5734" s="16" t="s">
        <v>87</v>
      </c>
      <c r="J5734" s="19"/>
      <c r="L5734" s="16" t="str">
        <f>IFERROR(__xludf.DUMMYFUNCTION("""COMPUTED_VALUE"""),"")</f>
        <v/>
      </c>
      <c r="M5734" s="16" t="str">
        <f>IFERROR(__xludf.DUMMYFUNCTION("""COMPUTED_VALUE"""),"")</f>
        <v/>
      </c>
      <c r="U5734" s="16" t="s">
        <v>87</v>
      </c>
      <c r="V5734" s="16" t="str">
        <f>IFERROR(__xludf.DUMMYFUNCTION("""COMPUTED_VALUE"""),"")</f>
        <v/>
      </c>
      <c r="W5734" s="16" t="str">
        <f>IFERROR(__xludf.DUMMYFUNCTION("""COMPUTED_VALUE"""),"")</f>
        <v/>
      </c>
      <c r="X5734" s="16" t="str">
        <f>IFERROR(__xludf.DUMMYFUNCTION("""COMPUTED_VALUE"""),"")</f>
        <v/>
      </c>
      <c r="AC5734" s="16" t="str">
        <f>IFERROR(__xludf.DUMMYFUNCTION("""COMPUTED_VALUE"""),"")</f>
        <v/>
      </c>
    </row>
    <row r="5735">
      <c r="A5735" s="16" t="s">
        <v>87</v>
      </c>
      <c r="E5735" s="16" t="str">
        <f>IFERROR(__xludf.DUMMYFUNCTION("""COMPUTED_VALUE"""),"")</f>
        <v/>
      </c>
      <c r="G5735" s="18"/>
      <c r="H5735" s="16" t="s">
        <v>87</v>
      </c>
      <c r="I5735" s="16" t="s">
        <v>87</v>
      </c>
      <c r="J5735" s="19"/>
      <c r="L5735" s="16" t="str">
        <f>IFERROR(__xludf.DUMMYFUNCTION("""COMPUTED_VALUE"""),"")</f>
        <v/>
      </c>
      <c r="M5735" s="16" t="str">
        <f>IFERROR(__xludf.DUMMYFUNCTION("""COMPUTED_VALUE"""),"")</f>
        <v/>
      </c>
      <c r="U5735" s="16" t="s">
        <v>87</v>
      </c>
      <c r="V5735" s="16" t="str">
        <f>IFERROR(__xludf.DUMMYFUNCTION("""COMPUTED_VALUE"""),"")</f>
        <v/>
      </c>
      <c r="W5735" s="16" t="str">
        <f>IFERROR(__xludf.DUMMYFUNCTION("""COMPUTED_VALUE"""),"")</f>
        <v/>
      </c>
      <c r="X5735" s="16" t="str">
        <f>IFERROR(__xludf.DUMMYFUNCTION("""COMPUTED_VALUE"""),"")</f>
        <v/>
      </c>
      <c r="AC5735" s="16" t="str">
        <f>IFERROR(__xludf.DUMMYFUNCTION("""COMPUTED_VALUE"""),"")</f>
        <v/>
      </c>
    </row>
    <row r="5736">
      <c r="A5736" s="16" t="s">
        <v>87</v>
      </c>
      <c r="E5736" s="16" t="str">
        <f>IFERROR(__xludf.DUMMYFUNCTION("""COMPUTED_VALUE"""),"")</f>
        <v/>
      </c>
      <c r="G5736" s="18"/>
      <c r="H5736" s="16" t="s">
        <v>87</v>
      </c>
      <c r="I5736" s="16" t="s">
        <v>87</v>
      </c>
      <c r="J5736" s="19"/>
      <c r="L5736" s="16" t="str">
        <f>IFERROR(__xludf.DUMMYFUNCTION("""COMPUTED_VALUE"""),"")</f>
        <v/>
      </c>
      <c r="M5736" s="16" t="str">
        <f>IFERROR(__xludf.DUMMYFUNCTION("""COMPUTED_VALUE"""),"")</f>
        <v/>
      </c>
      <c r="U5736" s="16" t="s">
        <v>87</v>
      </c>
      <c r="V5736" s="16" t="str">
        <f>IFERROR(__xludf.DUMMYFUNCTION("""COMPUTED_VALUE"""),"")</f>
        <v/>
      </c>
      <c r="W5736" s="16" t="str">
        <f>IFERROR(__xludf.DUMMYFUNCTION("""COMPUTED_VALUE"""),"")</f>
        <v/>
      </c>
      <c r="X5736" s="16" t="str">
        <f>IFERROR(__xludf.DUMMYFUNCTION("""COMPUTED_VALUE"""),"")</f>
        <v/>
      </c>
      <c r="AC5736" s="16" t="str">
        <f>IFERROR(__xludf.DUMMYFUNCTION("""COMPUTED_VALUE"""),"")</f>
        <v/>
      </c>
    </row>
    <row r="5737">
      <c r="A5737" s="16" t="s">
        <v>87</v>
      </c>
      <c r="E5737" s="16" t="str">
        <f>IFERROR(__xludf.DUMMYFUNCTION("""COMPUTED_VALUE"""),"")</f>
        <v/>
      </c>
      <c r="G5737" s="18"/>
      <c r="H5737" s="16" t="s">
        <v>87</v>
      </c>
      <c r="I5737" s="16" t="s">
        <v>87</v>
      </c>
      <c r="J5737" s="19"/>
      <c r="L5737" s="16" t="str">
        <f>IFERROR(__xludf.DUMMYFUNCTION("""COMPUTED_VALUE"""),"")</f>
        <v/>
      </c>
      <c r="M5737" s="16" t="str">
        <f>IFERROR(__xludf.DUMMYFUNCTION("""COMPUTED_VALUE"""),"")</f>
        <v/>
      </c>
      <c r="U5737" s="16" t="s">
        <v>87</v>
      </c>
      <c r="V5737" s="16" t="str">
        <f>IFERROR(__xludf.DUMMYFUNCTION("""COMPUTED_VALUE"""),"")</f>
        <v/>
      </c>
      <c r="W5737" s="16" t="str">
        <f>IFERROR(__xludf.DUMMYFUNCTION("""COMPUTED_VALUE"""),"")</f>
        <v/>
      </c>
      <c r="X5737" s="16" t="str">
        <f>IFERROR(__xludf.DUMMYFUNCTION("""COMPUTED_VALUE"""),"")</f>
        <v/>
      </c>
      <c r="AC5737" s="16" t="str">
        <f>IFERROR(__xludf.DUMMYFUNCTION("""COMPUTED_VALUE"""),"")</f>
        <v/>
      </c>
    </row>
    <row r="5738">
      <c r="A5738" s="16" t="s">
        <v>87</v>
      </c>
      <c r="E5738" s="16" t="str">
        <f>IFERROR(__xludf.DUMMYFUNCTION("""COMPUTED_VALUE"""),"")</f>
        <v/>
      </c>
      <c r="G5738" s="18"/>
      <c r="H5738" s="16" t="s">
        <v>87</v>
      </c>
      <c r="I5738" s="16" t="s">
        <v>87</v>
      </c>
      <c r="J5738" s="19"/>
      <c r="L5738" s="16" t="str">
        <f>IFERROR(__xludf.DUMMYFUNCTION("""COMPUTED_VALUE"""),"")</f>
        <v/>
      </c>
      <c r="M5738" s="16" t="str">
        <f>IFERROR(__xludf.DUMMYFUNCTION("""COMPUTED_VALUE"""),"")</f>
        <v/>
      </c>
      <c r="U5738" s="16" t="s">
        <v>87</v>
      </c>
      <c r="V5738" s="16" t="str">
        <f>IFERROR(__xludf.DUMMYFUNCTION("""COMPUTED_VALUE"""),"")</f>
        <v/>
      </c>
      <c r="W5738" s="16" t="str">
        <f>IFERROR(__xludf.DUMMYFUNCTION("""COMPUTED_VALUE"""),"")</f>
        <v/>
      </c>
      <c r="X5738" s="16" t="str">
        <f>IFERROR(__xludf.DUMMYFUNCTION("""COMPUTED_VALUE"""),"")</f>
        <v/>
      </c>
      <c r="AC5738" s="16" t="str">
        <f>IFERROR(__xludf.DUMMYFUNCTION("""COMPUTED_VALUE"""),"")</f>
        <v/>
      </c>
    </row>
    <row r="5739">
      <c r="A5739" s="16" t="s">
        <v>87</v>
      </c>
      <c r="E5739" s="16" t="str">
        <f>IFERROR(__xludf.DUMMYFUNCTION("""COMPUTED_VALUE"""),"")</f>
        <v/>
      </c>
      <c r="G5739" s="18"/>
      <c r="H5739" s="16" t="s">
        <v>87</v>
      </c>
      <c r="I5739" s="16" t="s">
        <v>87</v>
      </c>
      <c r="J5739" s="19"/>
      <c r="L5739" s="16" t="str">
        <f>IFERROR(__xludf.DUMMYFUNCTION("""COMPUTED_VALUE"""),"")</f>
        <v/>
      </c>
      <c r="M5739" s="16" t="str">
        <f>IFERROR(__xludf.DUMMYFUNCTION("""COMPUTED_VALUE"""),"")</f>
        <v/>
      </c>
      <c r="U5739" s="16" t="s">
        <v>87</v>
      </c>
      <c r="V5739" s="16" t="str">
        <f>IFERROR(__xludf.DUMMYFUNCTION("""COMPUTED_VALUE"""),"")</f>
        <v/>
      </c>
      <c r="W5739" s="16" t="str">
        <f>IFERROR(__xludf.DUMMYFUNCTION("""COMPUTED_VALUE"""),"")</f>
        <v/>
      </c>
      <c r="X5739" s="16" t="str">
        <f>IFERROR(__xludf.DUMMYFUNCTION("""COMPUTED_VALUE"""),"")</f>
        <v/>
      </c>
      <c r="AC5739" s="16" t="str">
        <f>IFERROR(__xludf.DUMMYFUNCTION("""COMPUTED_VALUE"""),"")</f>
        <v/>
      </c>
    </row>
    <row r="5740">
      <c r="A5740" s="16" t="s">
        <v>87</v>
      </c>
      <c r="E5740" s="16" t="str">
        <f>IFERROR(__xludf.DUMMYFUNCTION("""COMPUTED_VALUE"""),"")</f>
        <v/>
      </c>
      <c r="G5740" s="18"/>
      <c r="H5740" s="16" t="s">
        <v>87</v>
      </c>
      <c r="I5740" s="16" t="s">
        <v>87</v>
      </c>
      <c r="J5740" s="19"/>
      <c r="L5740" s="16" t="str">
        <f>IFERROR(__xludf.DUMMYFUNCTION("""COMPUTED_VALUE"""),"")</f>
        <v/>
      </c>
      <c r="M5740" s="16" t="str">
        <f>IFERROR(__xludf.DUMMYFUNCTION("""COMPUTED_VALUE"""),"")</f>
        <v/>
      </c>
      <c r="U5740" s="16" t="s">
        <v>87</v>
      </c>
      <c r="V5740" s="16" t="str">
        <f>IFERROR(__xludf.DUMMYFUNCTION("""COMPUTED_VALUE"""),"")</f>
        <v/>
      </c>
      <c r="W5740" s="16" t="str">
        <f>IFERROR(__xludf.DUMMYFUNCTION("""COMPUTED_VALUE"""),"")</f>
        <v/>
      </c>
      <c r="X5740" s="16" t="str">
        <f>IFERROR(__xludf.DUMMYFUNCTION("""COMPUTED_VALUE"""),"")</f>
        <v/>
      </c>
      <c r="AC5740" s="16" t="str">
        <f>IFERROR(__xludf.DUMMYFUNCTION("""COMPUTED_VALUE"""),"")</f>
        <v/>
      </c>
    </row>
    <row r="5741">
      <c r="A5741" s="16" t="s">
        <v>87</v>
      </c>
      <c r="E5741" s="16" t="str">
        <f>IFERROR(__xludf.DUMMYFUNCTION("""COMPUTED_VALUE"""),"")</f>
        <v/>
      </c>
      <c r="G5741" s="18"/>
      <c r="H5741" s="16" t="s">
        <v>87</v>
      </c>
      <c r="I5741" s="16" t="s">
        <v>87</v>
      </c>
      <c r="J5741" s="19"/>
      <c r="L5741" s="16" t="str">
        <f>IFERROR(__xludf.DUMMYFUNCTION("""COMPUTED_VALUE"""),"")</f>
        <v/>
      </c>
      <c r="M5741" s="16" t="str">
        <f>IFERROR(__xludf.DUMMYFUNCTION("""COMPUTED_VALUE"""),"")</f>
        <v/>
      </c>
      <c r="U5741" s="16" t="s">
        <v>87</v>
      </c>
      <c r="V5741" s="16" t="str">
        <f>IFERROR(__xludf.DUMMYFUNCTION("""COMPUTED_VALUE"""),"")</f>
        <v/>
      </c>
      <c r="W5741" s="16" t="str">
        <f>IFERROR(__xludf.DUMMYFUNCTION("""COMPUTED_VALUE"""),"")</f>
        <v/>
      </c>
      <c r="X5741" s="16" t="str">
        <f>IFERROR(__xludf.DUMMYFUNCTION("""COMPUTED_VALUE"""),"")</f>
        <v/>
      </c>
      <c r="AC5741" s="16" t="str">
        <f>IFERROR(__xludf.DUMMYFUNCTION("""COMPUTED_VALUE"""),"")</f>
        <v/>
      </c>
    </row>
    <row r="5742">
      <c r="A5742" s="16" t="s">
        <v>87</v>
      </c>
      <c r="E5742" s="16" t="str">
        <f>IFERROR(__xludf.DUMMYFUNCTION("""COMPUTED_VALUE"""),"")</f>
        <v/>
      </c>
      <c r="G5742" s="18"/>
      <c r="H5742" s="16" t="s">
        <v>87</v>
      </c>
      <c r="I5742" s="16" t="s">
        <v>87</v>
      </c>
      <c r="J5742" s="19"/>
      <c r="L5742" s="16" t="str">
        <f>IFERROR(__xludf.DUMMYFUNCTION("""COMPUTED_VALUE"""),"")</f>
        <v/>
      </c>
      <c r="M5742" s="16" t="str">
        <f>IFERROR(__xludf.DUMMYFUNCTION("""COMPUTED_VALUE"""),"")</f>
        <v/>
      </c>
      <c r="U5742" s="16" t="s">
        <v>87</v>
      </c>
      <c r="V5742" s="16" t="str">
        <f>IFERROR(__xludf.DUMMYFUNCTION("""COMPUTED_VALUE"""),"")</f>
        <v/>
      </c>
      <c r="W5742" s="16" t="str">
        <f>IFERROR(__xludf.DUMMYFUNCTION("""COMPUTED_VALUE"""),"")</f>
        <v/>
      </c>
      <c r="X5742" s="16" t="str">
        <f>IFERROR(__xludf.DUMMYFUNCTION("""COMPUTED_VALUE"""),"")</f>
        <v/>
      </c>
      <c r="AC5742" s="16" t="str">
        <f>IFERROR(__xludf.DUMMYFUNCTION("""COMPUTED_VALUE"""),"")</f>
        <v/>
      </c>
    </row>
    <row r="5743">
      <c r="A5743" s="16" t="s">
        <v>87</v>
      </c>
      <c r="E5743" s="16" t="str">
        <f>IFERROR(__xludf.DUMMYFUNCTION("""COMPUTED_VALUE"""),"")</f>
        <v/>
      </c>
      <c r="G5743" s="18"/>
      <c r="H5743" s="16" t="s">
        <v>87</v>
      </c>
      <c r="I5743" s="16" t="s">
        <v>87</v>
      </c>
      <c r="J5743" s="19"/>
      <c r="L5743" s="16" t="str">
        <f>IFERROR(__xludf.DUMMYFUNCTION("""COMPUTED_VALUE"""),"")</f>
        <v/>
      </c>
      <c r="M5743" s="16" t="str">
        <f>IFERROR(__xludf.DUMMYFUNCTION("""COMPUTED_VALUE"""),"")</f>
        <v/>
      </c>
      <c r="U5743" s="16" t="s">
        <v>87</v>
      </c>
      <c r="V5743" s="16" t="str">
        <f>IFERROR(__xludf.DUMMYFUNCTION("""COMPUTED_VALUE"""),"")</f>
        <v/>
      </c>
      <c r="W5743" s="16" t="str">
        <f>IFERROR(__xludf.DUMMYFUNCTION("""COMPUTED_VALUE"""),"")</f>
        <v/>
      </c>
      <c r="X5743" s="16" t="str">
        <f>IFERROR(__xludf.DUMMYFUNCTION("""COMPUTED_VALUE"""),"")</f>
        <v/>
      </c>
      <c r="AC5743" s="16" t="str">
        <f>IFERROR(__xludf.DUMMYFUNCTION("""COMPUTED_VALUE"""),"")</f>
        <v/>
      </c>
    </row>
    <row r="5744">
      <c r="A5744" s="16" t="s">
        <v>87</v>
      </c>
      <c r="E5744" s="16" t="str">
        <f>IFERROR(__xludf.DUMMYFUNCTION("""COMPUTED_VALUE"""),"")</f>
        <v/>
      </c>
      <c r="G5744" s="18"/>
      <c r="H5744" s="16" t="s">
        <v>87</v>
      </c>
      <c r="I5744" s="16" t="s">
        <v>87</v>
      </c>
      <c r="J5744" s="19"/>
      <c r="L5744" s="16" t="str">
        <f>IFERROR(__xludf.DUMMYFUNCTION("""COMPUTED_VALUE"""),"")</f>
        <v/>
      </c>
      <c r="M5744" s="16" t="str">
        <f>IFERROR(__xludf.DUMMYFUNCTION("""COMPUTED_VALUE"""),"")</f>
        <v/>
      </c>
      <c r="U5744" s="16" t="s">
        <v>87</v>
      </c>
      <c r="V5744" s="16" t="str">
        <f>IFERROR(__xludf.DUMMYFUNCTION("""COMPUTED_VALUE"""),"")</f>
        <v/>
      </c>
      <c r="W5744" s="16" t="str">
        <f>IFERROR(__xludf.DUMMYFUNCTION("""COMPUTED_VALUE"""),"")</f>
        <v/>
      </c>
      <c r="X5744" s="16" t="str">
        <f>IFERROR(__xludf.DUMMYFUNCTION("""COMPUTED_VALUE"""),"")</f>
        <v/>
      </c>
      <c r="AC5744" s="16" t="str">
        <f>IFERROR(__xludf.DUMMYFUNCTION("""COMPUTED_VALUE"""),"")</f>
        <v/>
      </c>
    </row>
    <row r="5745">
      <c r="A5745" s="16" t="s">
        <v>87</v>
      </c>
      <c r="E5745" s="16" t="str">
        <f>IFERROR(__xludf.DUMMYFUNCTION("""COMPUTED_VALUE"""),"")</f>
        <v/>
      </c>
      <c r="G5745" s="18"/>
      <c r="H5745" s="16" t="s">
        <v>87</v>
      </c>
      <c r="I5745" s="16" t="s">
        <v>87</v>
      </c>
      <c r="J5745" s="19"/>
      <c r="L5745" s="16" t="str">
        <f>IFERROR(__xludf.DUMMYFUNCTION("""COMPUTED_VALUE"""),"")</f>
        <v/>
      </c>
      <c r="M5745" s="16" t="str">
        <f>IFERROR(__xludf.DUMMYFUNCTION("""COMPUTED_VALUE"""),"")</f>
        <v/>
      </c>
      <c r="U5745" s="16" t="s">
        <v>87</v>
      </c>
      <c r="V5745" s="16" t="str">
        <f>IFERROR(__xludf.DUMMYFUNCTION("""COMPUTED_VALUE"""),"")</f>
        <v/>
      </c>
      <c r="W5745" s="16" t="str">
        <f>IFERROR(__xludf.DUMMYFUNCTION("""COMPUTED_VALUE"""),"")</f>
        <v/>
      </c>
      <c r="X5745" s="16" t="str">
        <f>IFERROR(__xludf.DUMMYFUNCTION("""COMPUTED_VALUE"""),"")</f>
        <v/>
      </c>
      <c r="AC5745" s="16" t="str">
        <f>IFERROR(__xludf.DUMMYFUNCTION("""COMPUTED_VALUE"""),"")</f>
        <v/>
      </c>
    </row>
    <row r="5746">
      <c r="A5746" s="16" t="s">
        <v>87</v>
      </c>
      <c r="E5746" s="16" t="str">
        <f>IFERROR(__xludf.DUMMYFUNCTION("""COMPUTED_VALUE"""),"")</f>
        <v/>
      </c>
      <c r="G5746" s="18"/>
      <c r="H5746" s="16" t="s">
        <v>87</v>
      </c>
      <c r="I5746" s="16" t="s">
        <v>87</v>
      </c>
      <c r="J5746" s="19"/>
      <c r="L5746" s="16" t="str">
        <f>IFERROR(__xludf.DUMMYFUNCTION("""COMPUTED_VALUE"""),"")</f>
        <v/>
      </c>
      <c r="M5746" s="16" t="str">
        <f>IFERROR(__xludf.DUMMYFUNCTION("""COMPUTED_VALUE"""),"")</f>
        <v/>
      </c>
      <c r="U5746" s="16" t="s">
        <v>87</v>
      </c>
      <c r="V5746" s="16" t="str">
        <f>IFERROR(__xludf.DUMMYFUNCTION("""COMPUTED_VALUE"""),"")</f>
        <v/>
      </c>
      <c r="W5746" s="16" t="str">
        <f>IFERROR(__xludf.DUMMYFUNCTION("""COMPUTED_VALUE"""),"")</f>
        <v/>
      </c>
      <c r="X5746" s="16" t="str">
        <f>IFERROR(__xludf.DUMMYFUNCTION("""COMPUTED_VALUE"""),"")</f>
        <v/>
      </c>
      <c r="AC5746" s="16" t="str">
        <f>IFERROR(__xludf.DUMMYFUNCTION("""COMPUTED_VALUE"""),"")</f>
        <v/>
      </c>
    </row>
    <row r="5747">
      <c r="A5747" s="16" t="s">
        <v>87</v>
      </c>
      <c r="E5747" s="16" t="str">
        <f>IFERROR(__xludf.DUMMYFUNCTION("""COMPUTED_VALUE"""),"")</f>
        <v/>
      </c>
      <c r="G5747" s="18"/>
      <c r="H5747" s="16" t="s">
        <v>87</v>
      </c>
      <c r="I5747" s="16" t="s">
        <v>87</v>
      </c>
      <c r="J5747" s="19"/>
      <c r="L5747" s="16" t="str">
        <f>IFERROR(__xludf.DUMMYFUNCTION("""COMPUTED_VALUE"""),"")</f>
        <v/>
      </c>
      <c r="M5747" s="16" t="str">
        <f>IFERROR(__xludf.DUMMYFUNCTION("""COMPUTED_VALUE"""),"")</f>
        <v/>
      </c>
      <c r="U5747" s="16" t="s">
        <v>87</v>
      </c>
      <c r="V5747" s="16" t="str">
        <f>IFERROR(__xludf.DUMMYFUNCTION("""COMPUTED_VALUE"""),"")</f>
        <v/>
      </c>
      <c r="W5747" s="16" t="str">
        <f>IFERROR(__xludf.DUMMYFUNCTION("""COMPUTED_VALUE"""),"")</f>
        <v/>
      </c>
      <c r="X5747" s="16" t="str">
        <f>IFERROR(__xludf.DUMMYFUNCTION("""COMPUTED_VALUE"""),"")</f>
        <v/>
      </c>
      <c r="AC5747" s="16" t="str">
        <f>IFERROR(__xludf.DUMMYFUNCTION("""COMPUTED_VALUE"""),"")</f>
        <v/>
      </c>
    </row>
    <row r="5748">
      <c r="A5748" s="16" t="s">
        <v>87</v>
      </c>
      <c r="E5748" s="16" t="str">
        <f>IFERROR(__xludf.DUMMYFUNCTION("""COMPUTED_VALUE"""),"")</f>
        <v/>
      </c>
      <c r="G5748" s="18"/>
      <c r="H5748" s="16" t="s">
        <v>87</v>
      </c>
      <c r="I5748" s="16" t="s">
        <v>87</v>
      </c>
      <c r="J5748" s="19"/>
      <c r="L5748" s="16" t="str">
        <f>IFERROR(__xludf.DUMMYFUNCTION("""COMPUTED_VALUE"""),"")</f>
        <v/>
      </c>
      <c r="M5748" s="16" t="str">
        <f>IFERROR(__xludf.DUMMYFUNCTION("""COMPUTED_VALUE"""),"")</f>
        <v/>
      </c>
      <c r="U5748" s="16" t="s">
        <v>87</v>
      </c>
      <c r="V5748" s="16" t="str">
        <f>IFERROR(__xludf.DUMMYFUNCTION("""COMPUTED_VALUE"""),"")</f>
        <v/>
      </c>
      <c r="W5748" s="16" t="str">
        <f>IFERROR(__xludf.DUMMYFUNCTION("""COMPUTED_VALUE"""),"")</f>
        <v/>
      </c>
      <c r="X5748" s="16" t="str">
        <f>IFERROR(__xludf.DUMMYFUNCTION("""COMPUTED_VALUE"""),"")</f>
        <v/>
      </c>
      <c r="AC5748" s="16" t="str">
        <f>IFERROR(__xludf.DUMMYFUNCTION("""COMPUTED_VALUE"""),"")</f>
        <v/>
      </c>
    </row>
    <row r="5749">
      <c r="A5749" s="16" t="s">
        <v>87</v>
      </c>
      <c r="E5749" s="16" t="str">
        <f>IFERROR(__xludf.DUMMYFUNCTION("""COMPUTED_VALUE"""),"")</f>
        <v/>
      </c>
      <c r="G5749" s="18"/>
      <c r="H5749" s="16" t="s">
        <v>87</v>
      </c>
      <c r="I5749" s="16" t="s">
        <v>87</v>
      </c>
      <c r="J5749" s="19"/>
      <c r="L5749" s="16" t="str">
        <f>IFERROR(__xludf.DUMMYFUNCTION("""COMPUTED_VALUE"""),"")</f>
        <v/>
      </c>
      <c r="M5749" s="16" t="str">
        <f>IFERROR(__xludf.DUMMYFUNCTION("""COMPUTED_VALUE"""),"")</f>
        <v/>
      </c>
      <c r="U5749" s="16" t="s">
        <v>87</v>
      </c>
      <c r="V5749" s="16" t="str">
        <f>IFERROR(__xludf.DUMMYFUNCTION("""COMPUTED_VALUE"""),"")</f>
        <v/>
      </c>
      <c r="W5749" s="16" t="str">
        <f>IFERROR(__xludf.DUMMYFUNCTION("""COMPUTED_VALUE"""),"")</f>
        <v/>
      </c>
      <c r="X5749" s="16" t="str">
        <f>IFERROR(__xludf.DUMMYFUNCTION("""COMPUTED_VALUE"""),"")</f>
        <v/>
      </c>
      <c r="AC5749" s="16" t="str">
        <f>IFERROR(__xludf.DUMMYFUNCTION("""COMPUTED_VALUE"""),"")</f>
        <v/>
      </c>
    </row>
    <row r="5750">
      <c r="A5750" s="16" t="s">
        <v>87</v>
      </c>
      <c r="E5750" s="16" t="str">
        <f>IFERROR(__xludf.DUMMYFUNCTION("""COMPUTED_VALUE"""),"")</f>
        <v/>
      </c>
      <c r="G5750" s="18"/>
      <c r="H5750" s="16" t="s">
        <v>87</v>
      </c>
      <c r="I5750" s="16" t="s">
        <v>87</v>
      </c>
      <c r="J5750" s="19"/>
      <c r="L5750" s="16" t="str">
        <f>IFERROR(__xludf.DUMMYFUNCTION("""COMPUTED_VALUE"""),"")</f>
        <v/>
      </c>
      <c r="M5750" s="16" t="str">
        <f>IFERROR(__xludf.DUMMYFUNCTION("""COMPUTED_VALUE"""),"")</f>
        <v/>
      </c>
      <c r="U5750" s="16" t="s">
        <v>87</v>
      </c>
      <c r="V5750" s="16" t="str">
        <f>IFERROR(__xludf.DUMMYFUNCTION("""COMPUTED_VALUE"""),"")</f>
        <v/>
      </c>
      <c r="W5750" s="16" t="str">
        <f>IFERROR(__xludf.DUMMYFUNCTION("""COMPUTED_VALUE"""),"")</f>
        <v/>
      </c>
      <c r="X5750" s="16" t="str">
        <f>IFERROR(__xludf.DUMMYFUNCTION("""COMPUTED_VALUE"""),"")</f>
        <v/>
      </c>
      <c r="AC5750" s="16" t="str">
        <f>IFERROR(__xludf.DUMMYFUNCTION("""COMPUTED_VALUE"""),"")</f>
        <v/>
      </c>
    </row>
    <row r="5751">
      <c r="A5751" s="16" t="s">
        <v>87</v>
      </c>
      <c r="E5751" s="16" t="str">
        <f>IFERROR(__xludf.DUMMYFUNCTION("""COMPUTED_VALUE"""),"")</f>
        <v/>
      </c>
      <c r="G5751" s="18"/>
      <c r="H5751" s="16" t="s">
        <v>87</v>
      </c>
      <c r="I5751" s="16" t="s">
        <v>87</v>
      </c>
      <c r="J5751" s="19"/>
      <c r="L5751" s="16" t="str">
        <f>IFERROR(__xludf.DUMMYFUNCTION("""COMPUTED_VALUE"""),"")</f>
        <v/>
      </c>
      <c r="M5751" s="16" t="str">
        <f>IFERROR(__xludf.DUMMYFUNCTION("""COMPUTED_VALUE"""),"")</f>
        <v/>
      </c>
      <c r="U5751" s="16" t="s">
        <v>87</v>
      </c>
      <c r="V5751" s="16" t="str">
        <f>IFERROR(__xludf.DUMMYFUNCTION("""COMPUTED_VALUE"""),"")</f>
        <v/>
      </c>
      <c r="W5751" s="16" t="str">
        <f>IFERROR(__xludf.DUMMYFUNCTION("""COMPUTED_VALUE"""),"")</f>
        <v/>
      </c>
      <c r="X5751" s="16" t="str">
        <f>IFERROR(__xludf.DUMMYFUNCTION("""COMPUTED_VALUE"""),"")</f>
        <v/>
      </c>
      <c r="AC5751" s="16" t="str">
        <f>IFERROR(__xludf.DUMMYFUNCTION("""COMPUTED_VALUE"""),"")</f>
        <v/>
      </c>
    </row>
    <row r="5752">
      <c r="A5752" s="16" t="s">
        <v>87</v>
      </c>
      <c r="E5752" s="16" t="str">
        <f>IFERROR(__xludf.DUMMYFUNCTION("""COMPUTED_VALUE"""),"")</f>
        <v/>
      </c>
      <c r="G5752" s="18"/>
      <c r="H5752" s="16" t="s">
        <v>87</v>
      </c>
      <c r="I5752" s="16" t="s">
        <v>87</v>
      </c>
      <c r="J5752" s="19"/>
      <c r="L5752" s="16" t="str">
        <f>IFERROR(__xludf.DUMMYFUNCTION("""COMPUTED_VALUE"""),"")</f>
        <v/>
      </c>
      <c r="M5752" s="16" t="str">
        <f>IFERROR(__xludf.DUMMYFUNCTION("""COMPUTED_VALUE"""),"")</f>
        <v/>
      </c>
      <c r="U5752" s="16" t="s">
        <v>87</v>
      </c>
      <c r="V5752" s="16" t="str">
        <f>IFERROR(__xludf.DUMMYFUNCTION("""COMPUTED_VALUE"""),"")</f>
        <v/>
      </c>
      <c r="W5752" s="16" t="str">
        <f>IFERROR(__xludf.DUMMYFUNCTION("""COMPUTED_VALUE"""),"")</f>
        <v/>
      </c>
      <c r="X5752" s="16" t="str">
        <f>IFERROR(__xludf.DUMMYFUNCTION("""COMPUTED_VALUE"""),"")</f>
        <v/>
      </c>
      <c r="AC5752" s="16" t="str">
        <f>IFERROR(__xludf.DUMMYFUNCTION("""COMPUTED_VALUE"""),"")</f>
        <v/>
      </c>
    </row>
    <row r="5753">
      <c r="A5753" s="16" t="s">
        <v>87</v>
      </c>
      <c r="E5753" s="16" t="str">
        <f>IFERROR(__xludf.DUMMYFUNCTION("""COMPUTED_VALUE"""),"")</f>
        <v/>
      </c>
      <c r="G5753" s="18"/>
      <c r="H5753" s="16" t="s">
        <v>87</v>
      </c>
      <c r="I5753" s="16" t="s">
        <v>87</v>
      </c>
      <c r="J5753" s="19"/>
      <c r="L5753" s="16" t="str">
        <f>IFERROR(__xludf.DUMMYFUNCTION("""COMPUTED_VALUE"""),"")</f>
        <v/>
      </c>
      <c r="M5753" s="16" t="str">
        <f>IFERROR(__xludf.DUMMYFUNCTION("""COMPUTED_VALUE"""),"")</f>
        <v/>
      </c>
      <c r="U5753" s="16" t="s">
        <v>87</v>
      </c>
      <c r="V5753" s="16" t="str">
        <f>IFERROR(__xludf.DUMMYFUNCTION("""COMPUTED_VALUE"""),"")</f>
        <v/>
      </c>
      <c r="W5753" s="16" t="str">
        <f>IFERROR(__xludf.DUMMYFUNCTION("""COMPUTED_VALUE"""),"")</f>
        <v/>
      </c>
      <c r="X5753" s="16" t="str">
        <f>IFERROR(__xludf.DUMMYFUNCTION("""COMPUTED_VALUE"""),"")</f>
        <v/>
      </c>
      <c r="AC5753" s="16" t="str">
        <f>IFERROR(__xludf.DUMMYFUNCTION("""COMPUTED_VALUE"""),"")</f>
        <v/>
      </c>
    </row>
    <row r="5754">
      <c r="A5754" s="16" t="s">
        <v>87</v>
      </c>
      <c r="E5754" s="16" t="str">
        <f>IFERROR(__xludf.DUMMYFUNCTION("""COMPUTED_VALUE"""),"")</f>
        <v/>
      </c>
      <c r="G5754" s="18"/>
      <c r="H5754" s="16" t="s">
        <v>87</v>
      </c>
      <c r="I5754" s="16" t="s">
        <v>87</v>
      </c>
      <c r="J5754" s="19"/>
      <c r="L5754" s="16" t="str">
        <f>IFERROR(__xludf.DUMMYFUNCTION("""COMPUTED_VALUE"""),"")</f>
        <v/>
      </c>
      <c r="M5754" s="16" t="str">
        <f>IFERROR(__xludf.DUMMYFUNCTION("""COMPUTED_VALUE"""),"")</f>
        <v/>
      </c>
      <c r="U5754" s="16" t="s">
        <v>87</v>
      </c>
      <c r="V5754" s="16" t="str">
        <f>IFERROR(__xludf.DUMMYFUNCTION("""COMPUTED_VALUE"""),"")</f>
        <v/>
      </c>
      <c r="W5754" s="16" t="str">
        <f>IFERROR(__xludf.DUMMYFUNCTION("""COMPUTED_VALUE"""),"")</f>
        <v/>
      </c>
      <c r="X5754" s="16" t="str">
        <f>IFERROR(__xludf.DUMMYFUNCTION("""COMPUTED_VALUE"""),"")</f>
        <v/>
      </c>
      <c r="AC5754" s="16" t="str">
        <f>IFERROR(__xludf.DUMMYFUNCTION("""COMPUTED_VALUE"""),"")</f>
        <v/>
      </c>
    </row>
    <row r="5755">
      <c r="A5755" s="16" t="s">
        <v>87</v>
      </c>
      <c r="E5755" s="16" t="str">
        <f>IFERROR(__xludf.DUMMYFUNCTION("""COMPUTED_VALUE"""),"")</f>
        <v/>
      </c>
      <c r="G5755" s="18"/>
      <c r="H5755" s="16" t="s">
        <v>87</v>
      </c>
      <c r="I5755" s="16" t="s">
        <v>87</v>
      </c>
      <c r="J5755" s="19"/>
      <c r="L5755" s="16" t="str">
        <f>IFERROR(__xludf.DUMMYFUNCTION("""COMPUTED_VALUE"""),"")</f>
        <v/>
      </c>
      <c r="M5755" s="16" t="str">
        <f>IFERROR(__xludf.DUMMYFUNCTION("""COMPUTED_VALUE"""),"")</f>
        <v/>
      </c>
      <c r="U5755" s="16" t="s">
        <v>87</v>
      </c>
      <c r="V5755" s="16" t="str">
        <f>IFERROR(__xludf.DUMMYFUNCTION("""COMPUTED_VALUE"""),"")</f>
        <v/>
      </c>
      <c r="W5755" s="16" t="str">
        <f>IFERROR(__xludf.DUMMYFUNCTION("""COMPUTED_VALUE"""),"")</f>
        <v/>
      </c>
      <c r="X5755" s="16" t="str">
        <f>IFERROR(__xludf.DUMMYFUNCTION("""COMPUTED_VALUE"""),"")</f>
        <v/>
      </c>
      <c r="AC5755" s="16" t="str">
        <f>IFERROR(__xludf.DUMMYFUNCTION("""COMPUTED_VALUE"""),"")</f>
        <v/>
      </c>
    </row>
    <row r="5756">
      <c r="A5756" s="16" t="s">
        <v>87</v>
      </c>
      <c r="E5756" s="16" t="str">
        <f>IFERROR(__xludf.DUMMYFUNCTION("""COMPUTED_VALUE"""),"")</f>
        <v/>
      </c>
      <c r="G5756" s="18"/>
      <c r="H5756" s="16" t="s">
        <v>87</v>
      </c>
      <c r="I5756" s="16" t="s">
        <v>87</v>
      </c>
      <c r="J5756" s="19"/>
      <c r="L5756" s="16" t="str">
        <f>IFERROR(__xludf.DUMMYFUNCTION("""COMPUTED_VALUE"""),"")</f>
        <v/>
      </c>
      <c r="M5756" s="16" t="str">
        <f>IFERROR(__xludf.DUMMYFUNCTION("""COMPUTED_VALUE"""),"")</f>
        <v/>
      </c>
      <c r="U5756" s="16" t="s">
        <v>87</v>
      </c>
      <c r="V5756" s="16" t="str">
        <f>IFERROR(__xludf.DUMMYFUNCTION("""COMPUTED_VALUE"""),"")</f>
        <v/>
      </c>
      <c r="W5756" s="16" t="str">
        <f>IFERROR(__xludf.DUMMYFUNCTION("""COMPUTED_VALUE"""),"")</f>
        <v/>
      </c>
      <c r="X5756" s="16" t="str">
        <f>IFERROR(__xludf.DUMMYFUNCTION("""COMPUTED_VALUE"""),"")</f>
        <v/>
      </c>
      <c r="AC5756" s="16" t="str">
        <f>IFERROR(__xludf.DUMMYFUNCTION("""COMPUTED_VALUE"""),"")</f>
        <v/>
      </c>
    </row>
    <row r="5757">
      <c r="A5757" s="16" t="s">
        <v>87</v>
      </c>
      <c r="E5757" s="16" t="str">
        <f>IFERROR(__xludf.DUMMYFUNCTION("""COMPUTED_VALUE"""),"")</f>
        <v/>
      </c>
      <c r="G5757" s="18"/>
      <c r="H5757" s="16" t="s">
        <v>87</v>
      </c>
      <c r="I5757" s="16" t="s">
        <v>87</v>
      </c>
      <c r="J5757" s="19"/>
      <c r="L5757" s="16" t="str">
        <f>IFERROR(__xludf.DUMMYFUNCTION("""COMPUTED_VALUE"""),"")</f>
        <v/>
      </c>
      <c r="M5757" s="16" t="str">
        <f>IFERROR(__xludf.DUMMYFUNCTION("""COMPUTED_VALUE"""),"")</f>
        <v/>
      </c>
      <c r="U5757" s="16" t="s">
        <v>87</v>
      </c>
      <c r="V5757" s="16" t="str">
        <f>IFERROR(__xludf.DUMMYFUNCTION("""COMPUTED_VALUE"""),"")</f>
        <v/>
      </c>
      <c r="W5757" s="16" t="str">
        <f>IFERROR(__xludf.DUMMYFUNCTION("""COMPUTED_VALUE"""),"")</f>
        <v/>
      </c>
      <c r="X5757" s="16" t="str">
        <f>IFERROR(__xludf.DUMMYFUNCTION("""COMPUTED_VALUE"""),"")</f>
        <v/>
      </c>
      <c r="AC5757" s="16" t="str">
        <f>IFERROR(__xludf.DUMMYFUNCTION("""COMPUTED_VALUE"""),"")</f>
        <v/>
      </c>
    </row>
    <row r="5758">
      <c r="A5758" s="16" t="s">
        <v>87</v>
      </c>
      <c r="E5758" s="16" t="str">
        <f>IFERROR(__xludf.DUMMYFUNCTION("""COMPUTED_VALUE"""),"")</f>
        <v/>
      </c>
      <c r="G5758" s="18"/>
      <c r="H5758" s="16" t="s">
        <v>87</v>
      </c>
      <c r="I5758" s="16" t="s">
        <v>87</v>
      </c>
      <c r="J5758" s="19"/>
      <c r="L5758" s="16" t="str">
        <f>IFERROR(__xludf.DUMMYFUNCTION("""COMPUTED_VALUE"""),"")</f>
        <v/>
      </c>
      <c r="M5758" s="16" t="str">
        <f>IFERROR(__xludf.DUMMYFUNCTION("""COMPUTED_VALUE"""),"")</f>
        <v/>
      </c>
      <c r="U5758" s="16" t="s">
        <v>87</v>
      </c>
      <c r="V5758" s="16" t="str">
        <f>IFERROR(__xludf.DUMMYFUNCTION("""COMPUTED_VALUE"""),"")</f>
        <v/>
      </c>
      <c r="W5758" s="16" t="str">
        <f>IFERROR(__xludf.DUMMYFUNCTION("""COMPUTED_VALUE"""),"")</f>
        <v/>
      </c>
      <c r="X5758" s="16" t="str">
        <f>IFERROR(__xludf.DUMMYFUNCTION("""COMPUTED_VALUE"""),"")</f>
        <v/>
      </c>
      <c r="AC5758" s="16" t="str">
        <f>IFERROR(__xludf.DUMMYFUNCTION("""COMPUTED_VALUE"""),"")</f>
        <v/>
      </c>
    </row>
    <row r="5759">
      <c r="A5759" s="16" t="s">
        <v>87</v>
      </c>
      <c r="E5759" s="16" t="str">
        <f>IFERROR(__xludf.DUMMYFUNCTION("""COMPUTED_VALUE"""),"")</f>
        <v/>
      </c>
      <c r="G5759" s="18"/>
      <c r="H5759" s="16" t="s">
        <v>87</v>
      </c>
      <c r="I5759" s="16" t="s">
        <v>87</v>
      </c>
      <c r="J5759" s="19"/>
      <c r="L5759" s="16" t="str">
        <f>IFERROR(__xludf.DUMMYFUNCTION("""COMPUTED_VALUE"""),"")</f>
        <v/>
      </c>
      <c r="M5759" s="16" t="str">
        <f>IFERROR(__xludf.DUMMYFUNCTION("""COMPUTED_VALUE"""),"")</f>
        <v/>
      </c>
      <c r="U5759" s="16" t="s">
        <v>87</v>
      </c>
      <c r="V5759" s="16" t="str">
        <f>IFERROR(__xludf.DUMMYFUNCTION("""COMPUTED_VALUE"""),"")</f>
        <v/>
      </c>
      <c r="W5759" s="16" t="str">
        <f>IFERROR(__xludf.DUMMYFUNCTION("""COMPUTED_VALUE"""),"")</f>
        <v/>
      </c>
      <c r="X5759" s="16" t="str">
        <f>IFERROR(__xludf.DUMMYFUNCTION("""COMPUTED_VALUE"""),"")</f>
        <v/>
      </c>
      <c r="AC5759" s="16" t="str">
        <f>IFERROR(__xludf.DUMMYFUNCTION("""COMPUTED_VALUE"""),"")</f>
        <v/>
      </c>
    </row>
    <row r="5760">
      <c r="A5760" s="16" t="s">
        <v>87</v>
      </c>
      <c r="E5760" s="16" t="str">
        <f>IFERROR(__xludf.DUMMYFUNCTION("""COMPUTED_VALUE"""),"")</f>
        <v/>
      </c>
      <c r="G5760" s="18"/>
      <c r="H5760" s="16" t="s">
        <v>87</v>
      </c>
      <c r="I5760" s="16" t="s">
        <v>87</v>
      </c>
      <c r="J5760" s="19"/>
      <c r="L5760" s="16" t="str">
        <f>IFERROR(__xludf.DUMMYFUNCTION("""COMPUTED_VALUE"""),"")</f>
        <v/>
      </c>
      <c r="M5760" s="16" t="str">
        <f>IFERROR(__xludf.DUMMYFUNCTION("""COMPUTED_VALUE"""),"")</f>
        <v/>
      </c>
      <c r="U5760" s="16" t="s">
        <v>87</v>
      </c>
      <c r="V5760" s="16" t="str">
        <f>IFERROR(__xludf.DUMMYFUNCTION("""COMPUTED_VALUE"""),"")</f>
        <v/>
      </c>
      <c r="W5760" s="16" t="str">
        <f>IFERROR(__xludf.DUMMYFUNCTION("""COMPUTED_VALUE"""),"")</f>
        <v/>
      </c>
      <c r="X5760" s="16" t="str">
        <f>IFERROR(__xludf.DUMMYFUNCTION("""COMPUTED_VALUE"""),"")</f>
        <v/>
      </c>
      <c r="AC5760" s="16" t="str">
        <f>IFERROR(__xludf.DUMMYFUNCTION("""COMPUTED_VALUE"""),"")</f>
        <v/>
      </c>
    </row>
    <row r="5761">
      <c r="A5761" s="16" t="s">
        <v>87</v>
      </c>
      <c r="E5761" s="16" t="str">
        <f>IFERROR(__xludf.DUMMYFUNCTION("""COMPUTED_VALUE"""),"")</f>
        <v/>
      </c>
      <c r="G5761" s="18"/>
      <c r="H5761" s="16" t="s">
        <v>87</v>
      </c>
      <c r="I5761" s="16" t="s">
        <v>87</v>
      </c>
      <c r="J5761" s="19"/>
      <c r="L5761" s="16" t="str">
        <f>IFERROR(__xludf.DUMMYFUNCTION("""COMPUTED_VALUE"""),"")</f>
        <v/>
      </c>
      <c r="M5761" s="16" t="str">
        <f>IFERROR(__xludf.DUMMYFUNCTION("""COMPUTED_VALUE"""),"")</f>
        <v/>
      </c>
      <c r="U5761" s="16" t="s">
        <v>87</v>
      </c>
      <c r="V5761" s="16" t="str">
        <f>IFERROR(__xludf.DUMMYFUNCTION("""COMPUTED_VALUE"""),"")</f>
        <v/>
      </c>
      <c r="W5761" s="16" t="str">
        <f>IFERROR(__xludf.DUMMYFUNCTION("""COMPUTED_VALUE"""),"")</f>
        <v/>
      </c>
      <c r="X5761" s="16" t="str">
        <f>IFERROR(__xludf.DUMMYFUNCTION("""COMPUTED_VALUE"""),"")</f>
        <v/>
      </c>
      <c r="AC5761" s="16" t="str">
        <f>IFERROR(__xludf.DUMMYFUNCTION("""COMPUTED_VALUE"""),"")</f>
        <v/>
      </c>
    </row>
    <row r="5762">
      <c r="A5762" s="16" t="s">
        <v>87</v>
      </c>
      <c r="E5762" s="16" t="str">
        <f>IFERROR(__xludf.DUMMYFUNCTION("""COMPUTED_VALUE"""),"")</f>
        <v/>
      </c>
      <c r="G5762" s="18"/>
      <c r="H5762" s="16" t="s">
        <v>87</v>
      </c>
      <c r="I5762" s="16" t="s">
        <v>87</v>
      </c>
      <c r="J5762" s="19"/>
      <c r="L5762" s="16" t="str">
        <f>IFERROR(__xludf.DUMMYFUNCTION("""COMPUTED_VALUE"""),"")</f>
        <v/>
      </c>
      <c r="M5762" s="16" t="str">
        <f>IFERROR(__xludf.DUMMYFUNCTION("""COMPUTED_VALUE"""),"")</f>
        <v/>
      </c>
      <c r="U5762" s="16" t="s">
        <v>87</v>
      </c>
      <c r="V5762" s="16" t="str">
        <f>IFERROR(__xludf.DUMMYFUNCTION("""COMPUTED_VALUE"""),"")</f>
        <v/>
      </c>
      <c r="W5762" s="16" t="str">
        <f>IFERROR(__xludf.DUMMYFUNCTION("""COMPUTED_VALUE"""),"")</f>
        <v/>
      </c>
      <c r="X5762" s="16" t="str">
        <f>IFERROR(__xludf.DUMMYFUNCTION("""COMPUTED_VALUE"""),"")</f>
        <v/>
      </c>
      <c r="AC5762" s="16" t="str">
        <f>IFERROR(__xludf.DUMMYFUNCTION("""COMPUTED_VALUE"""),"")</f>
        <v/>
      </c>
    </row>
    <row r="5763">
      <c r="A5763" s="16" t="s">
        <v>87</v>
      </c>
      <c r="E5763" s="16" t="str">
        <f>IFERROR(__xludf.DUMMYFUNCTION("""COMPUTED_VALUE"""),"")</f>
        <v/>
      </c>
      <c r="G5763" s="18"/>
      <c r="H5763" s="16" t="s">
        <v>87</v>
      </c>
      <c r="I5763" s="16" t="s">
        <v>87</v>
      </c>
      <c r="J5763" s="19"/>
      <c r="L5763" s="16" t="str">
        <f>IFERROR(__xludf.DUMMYFUNCTION("""COMPUTED_VALUE"""),"")</f>
        <v/>
      </c>
      <c r="M5763" s="16" t="str">
        <f>IFERROR(__xludf.DUMMYFUNCTION("""COMPUTED_VALUE"""),"")</f>
        <v/>
      </c>
      <c r="U5763" s="16" t="s">
        <v>87</v>
      </c>
      <c r="V5763" s="16" t="str">
        <f>IFERROR(__xludf.DUMMYFUNCTION("""COMPUTED_VALUE"""),"")</f>
        <v/>
      </c>
      <c r="W5763" s="16" t="str">
        <f>IFERROR(__xludf.DUMMYFUNCTION("""COMPUTED_VALUE"""),"")</f>
        <v/>
      </c>
      <c r="X5763" s="16" t="str">
        <f>IFERROR(__xludf.DUMMYFUNCTION("""COMPUTED_VALUE"""),"")</f>
        <v/>
      </c>
      <c r="AC5763" s="16" t="str">
        <f>IFERROR(__xludf.DUMMYFUNCTION("""COMPUTED_VALUE"""),"")</f>
        <v/>
      </c>
    </row>
    <row r="5764">
      <c r="A5764" s="16" t="s">
        <v>87</v>
      </c>
      <c r="E5764" s="16" t="str">
        <f>IFERROR(__xludf.DUMMYFUNCTION("""COMPUTED_VALUE"""),"")</f>
        <v/>
      </c>
      <c r="G5764" s="18"/>
      <c r="H5764" s="16" t="s">
        <v>87</v>
      </c>
      <c r="I5764" s="16" t="s">
        <v>87</v>
      </c>
      <c r="J5764" s="19"/>
      <c r="L5764" s="16" t="str">
        <f>IFERROR(__xludf.DUMMYFUNCTION("""COMPUTED_VALUE"""),"")</f>
        <v/>
      </c>
      <c r="M5764" s="16" t="str">
        <f>IFERROR(__xludf.DUMMYFUNCTION("""COMPUTED_VALUE"""),"")</f>
        <v/>
      </c>
      <c r="U5764" s="16" t="s">
        <v>87</v>
      </c>
      <c r="V5764" s="16" t="str">
        <f>IFERROR(__xludf.DUMMYFUNCTION("""COMPUTED_VALUE"""),"")</f>
        <v/>
      </c>
      <c r="W5764" s="16" t="str">
        <f>IFERROR(__xludf.DUMMYFUNCTION("""COMPUTED_VALUE"""),"")</f>
        <v/>
      </c>
      <c r="X5764" s="16" t="str">
        <f>IFERROR(__xludf.DUMMYFUNCTION("""COMPUTED_VALUE"""),"")</f>
        <v/>
      </c>
      <c r="AC5764" s="16" t="str">
        <f>IFERROR(__xludf.DUMMYFUNCTION("""COMPUTED_VALUE"""),"")</f>
        <v/>
      </c>
    </row>
    <row r="5765">
      <c r="A5765" s="16" t="s">
        <v>87</v>
      </c>
      <c r="E5765" s="16" t="str">
        <f>IFERROR(__xludf.DUMMYFUNCTION("""COMPUTED_VALUE"""),"")</f>
        <v/>
      </c>
      <c r="G5765" s="18"/>
      <c r="H5765" s="16" t="s">
        <v>87</v>
      </c>
      <c r="I5765" s="16" t="s">
        <v>87</v>
      </c>
      <c r="J5765" s="19"/>
      <c r="L5765" s="16" t="str">
        <f>IFERROR(__xludf.DUMMYFUNCTION("""COMPUTED_VALUE"""),"")</f>
        <v/>
      </c>
      <c r="M5765" s="16" t="str">
        <f>IFERROR(__xludf.DUMMYFUNCTION("""COMPUTED_VALUE"""),"")</f>
        <v/>
      </c>
      <c r="U5765" s="16" t="s">
        <v>87</v>
      </c>
      <c r="V5765" s="16" t="str">
        <f>IFERROR(__xludf.DUMMYFUNCTION("""COMPUTED_VALUE"""),"")</f>
        <v/>
      </c>
      <c r="W5765" s="16" t="str">
        <f>IFERROR(__xludf.DUMMYFUNCTION("""COMPUTED_VALUE"""),"")</f>
        <v/>
      </c>
      <c r="X5765" s="16" t="str">
        <f>IFERROR(__xludf.DUMMYFUNCTION("""COMPUTED_VALUE"""),"")</f>
        <v/>
      </c>
      <c r="AC5765" s="16" t="str">
        <f>IFERROR(__xludf.DUMMYFUNCTION("""COMPUTED_VALUE"""),"")</f>
        <v/>
      </c>
    </row>
    <row r="5766">
      <c r="A5766" s="16" t="s">
        <v>87</v>
      </c>
      <c r="E5766" s="16" t="str">
        <f>IFERROR(__xludf.DUMMYFUNCTION("""COMPUTED_VALUE"""),"")</f>
        <v/>
      </c>
      <c r="G5766" s="18"/>
      <c r="H5766" s="16" t="s">
        <v>87</v>
      </c>
      <c r="I5766" s="16" t="s">
        <v>87</v>
      </c>
      <c r="J5766" s="19"/>
      <c r="L5766" s="16" t="str">
        <f>IFERROR(__xludf.DUMMYFUNCTION("""COMPUTED_VALUE"""),"")</f>
        <v/>
      </c>
      <c r="M5766" s="16" t="str">
        <f>IFERROR(__xludf.DUMMYFUNCTION("""COMPUTED_VALUE"""),"")</f>
        <v/>
      </c>
      <c r="U5766" s="16" t="s">
        <v>87</v>
      </c>
      <c r="V5766" s="16" t="str">
        <f>IFERROR(__xludf.DUMMYFUNCTION("""COMPUTED_VALUE"""),"")</f>
        <v/>
      </c>
      <c r="W5766" s="16" t="str">
        <f>IFERROR(__xludf.DUMMYFUNCTION("""COMPUTED_VALUE"""),"")</f>
        <v/>
      </c>
      <c r="X5766" s="16" t="str">
        <f>IFERROR(__xludf.DUMMYFUNCTION("""COMPUTED_VALUE"""),"")</f>
        <v/>
      </c>
      <c r="AC5766" s="16" t="str">
        <f>IFERROR(__xludf.DUMMYFUNCTION("""COMPUTED_VALUE"""),"")</f>
        <v/>
      </c>
    </row>
    <row r="5767">
      <c r="A5767" s="16" t="s">
        <v>87</v>
      </c>
      <c r="E5767" s="16" t="str">
        <f>IFERROR(__xludf.DUMMYFUNCTION("""COMPUTED_VALUE"""),"")</f>
        <v/>
      </c>
      <c r="G5767" s="18"/>
      <c r="H5767" s="16" t="s">
        <v>87</v>
      </c>
      <c r="I5767" s="16" t="s">
        <v>87</v>
      </c>
      <c r="J5767" s="19"/>
      <c r="L5767" s="16" t="str">
        <f>IFERROR(__xludf.DUMMYFUNCTION("""COMPUTED_VALUE"""),"")</f>
        <v/>
      </c>
      <c r="M5767" s="16" t="str">
        <f>IFERROR(__xludf.DUMMYFUNCTION("""COMPUTED_VALUE"""),"")</f>
        <v/>
      </c>
      <c r="U5767" s="16" t="s">
        <v>87</v>
      </c>
      <c r="V5767" s="16" t="str">
        <f>IFERROR(__xludf.DUMMYFUNCTION("""COMPUTED_VALUE"""),"")</f>
        <v/>
      </c>
      <c r="W5767" s="16" t="str">
        <f>IFERROR(__xludf.DUMMYFUNCTION("""COMPUTED_VALUE"""),"")</f>
        <v/>
      </c>
      <c r="X5767" s="16" t="str">
        <f>IFERROR(__xludf.DUMMYFUNCTION("""COMPUTED_VALUE"""),"")</f>
        <v/>
      </c>
      <c r="AC5767" s="16" t="str">
        <f>IFERROR(__xludf.DUMMYFUNCTION("""COMPUTED_VALUE"""),"")</f>
        <v/>
      </c>
    </row>
    <row r="5768">
      <c r="A5768" s="16" t="s">
        <v>87</v>
      </c>
      <c r="E5768" s="16" t="str">
        <f>IFERROR(__xludf.DUMMYFUNCTION("""COMPUTED_VALUE"""),"")</f>
        <v/>
      </c>
      <c r="G5768" s="18"/>
      <c r="H5768" s="16" t="s">
        <v>87</v>
      </c>
      <c r="I5768" s="16" t="s">
        <v>87</v>
      </c>
      <c r="J5768" s="19"/>
      <c r="L5768" s="16" t="str">
        <f>IFERROR(__xludf.DUMMYFUNCTION("""COMPUTED_VALUE"""),"")</f>
        <v/>
      </c>
      <c r="M5768" s="16" t="str">
        <f>IFERROR(__xludf.DUMMYFUNCTION("""COMPUTED_VALUE"""),"")</f>
        <v/>
      </c>
      <c r="U5768" s="16" t="s">
        <v>87</v>
      </c>
      <c r="V5768" s="16" t="str">
        <f>IFERROR(__xludf.DUMMYFUNCTION("""COMPUTED_VALUE"""),"")</f>
        <v/>
      </c>
      <c r="W5768" s="16" t="str">
        <f>IFERROR(__xludf.DUMMYFUNCTION("""COMPUTED_VALUE"""),"")</f>
        <v/>
      </c>
      <c r="X5768" s="16" t="str">
        <f>IFERROR(__xludf.DUMMYFUNCTION("""COMPUTED_VALUE"""),"")</f>
        <v/>
      </c>
      <c r="AC5768" s="16" t="str">
        <f>IFERROR(__xludf.DUMMYFUNCTION("""COMPUTED_VALUE"""),"")</f>
        <v/>
      </c>
    </row>
    <row r="5769">
      <c r="A5769" s="16" t="s">
        <v>87</v>
      </c>
      <c r="E5769" s="16" t="str">
        <f>IFERROR(__xludf.DUMMYFUNCTION("""COMPUTED_VALUE"""),"")</f>
        <v/>
      </c>
      <c r="G5769" s="18"/>
      <c r="H5769" s="16" t="s">
        <v>87</v>
      </c>
      <c r="I5769" s="16" t="s">
        <v>87</v>
      </c>
      <c r="J5769" s="19"/>
      <c r="L5769" s="16" t="str">
        <f>IFERROR(__xludf.DUMMYFUNCTION("""COMPUTED_VALUE"""),"")</f>
        <v/>
      </c>
      <c r="M5769" s="16" t="str">
        <f>IFERROR(__xludf.DUMMYFUNCTION("""COMPUTED_VALUE"""),"")</f>
        <v/>
      </c>
      <c r="U5769" s="16" t="s">
        <v>87</v>
      </c>
      <c r="V5769" s="16" t="str">
        <f>IFERROR(__xludf.DUMMYFUNCTION("""COMPUTED_VALUE"""),"")</f>
        <v/>
      </c>
      <c r="W5769" s="16" t="str">
        <f>IFERROR(__xludf.DUMMYFUNCTION("""COMPUTED_VALUE"""),"")</f>
        <v/>
      </c>
      <c r="X5769" s="16" t="str">
        <f>IFERROR(__xludf.DUMMYFUNCTION("""COMPUTED_VALUE"""),"")</f>
        <v/>
      </c>
      <c r="AC5769" s="16" t="str">
        <f>IFERROR(__xludf.DUMMYFUNCTION("""COMPUTED_VALUE"""),"")</f>
        <v/>
      </c>
    </row>
    <row r="5770">
      <c r="A5770" s="16" t="s">
        <v>87</v>
      </c>
      <c r="E5770" s="16" t="str">
        <f>IFERROR(__xludf.DUMMYFUNCTION("""COMPUTED_VALUE"""),"")</f>
        <v/>
      </c>
      <c r="G5770" s="18"/>
      <c r="H5770" s="16" t="s">
        <v>87</v>
      </c>
      <c r="I5770" s="16" t="s">
        <v>87</v>
      </c>
      <c r="J5770" s="19"/>
      <c r="L5770" s="16" t="str">
        <f>IFERROR(__xludf.DUMMYFUNCTION("""COMPUTED_VALUE"""),"")</f>
        <v/>
      </c>
      <c r="M5770" s="16" t="str">
        <f>IFERROR(__xludf.DUMMYFUNCTION("""COMPUTED_VALUE"""),"")</f>
        <v/>
      </c>
      <c r="U5770" s="16" t="s">
        <v>87</v>
      </c>
      <c r="V5770" s="16" t="str">
        <f>IFERROR(__xludf.DUMMYFUNCTION("""COMPUTED_VALUE"""),"")</f>
        <v/>
      </c>
      <c r="W5770" s="16" t="str">
        <f>IFERROR(__xludf.DUMMYFUNCTION("""COMPUTED_VALUE"""),"")</f>
        <v/>
      </c>
      <c r="X5770" s="16" t="str">
        <f>IFERROR(__xludf.DUMMYFUNCTION("""COMPUTED_VALUE"""),"")</f>
        <v/>
      </c>
      <c r="AC5770" s="16" t="str">
        <f>IFERROR(__xludf.DUMMYFUNCTION("""COMPUTED_VALUE"""),"")</f>
        <v/>
      </c>
    </row>
    <row r="5771">
      <c r="A5771" s="16" t="s">
        <v>87</v>
      </c>
      <c r="E5771" s="16" t="str">
        <f>IFERROR(__xludf.DUMMYFUNCTION("""COMPUTED_VALUE"""),"")</f>
        <v/>
      </c>
      <c r="G5771" s="18"/>
      <c r="H5771" s="16" t="s">
        <v>87</v>
      </c>
      <c r="I5771" s="16" t="s">
        <v>87</v>
      </c>
      <c r="J5771" s="19"/>
      <c r="L5771" s="16" t="str">
        <f>IFERROR(__xludf.DUMMYFUNCTION("""COMPUTED_VALUE"""),"")</f>
        <v/>
      </c>
      <c r="M5771" s="16" t="str">
        <f>IFERROR(__xludf.DUMMYFUNCTION("""COMPUTED_VALUE"""),"")</f>
        <v/>
      </c>
      <c r="U5771" s="16" t="s">
        <v>87</v>
      </c>
      <c r="V5771" s="16" t="str">
        <f>IFERROR(__xludf.DUMMYFUNCTION("""COMPUTED_VALUE"""),"")</f>
        <v/>
      </c>
      <c r="W5771" s="16" t="str">
        <f>IFERROR(__xludf.DUMMYFUNCTION("""COMPUTED_VALUE"""),"")</f>
        <v/>
      </c>
      <c r="X5771" s="16" t="str">
        <f>IFERROR(__xludf.DUMMYFUNCTION("""COMPUTED_VALUE"""),"")</f>
        <v/>
      </c>
      <c r="AC5771" s="16" t="str">
        <f>IFERROR(__xludf.DUMMYFUNCTION("""COMPUTED_VALUE"""),"")</f>
        <v/>
      </c>
    </row>
    <row r="5772">
      <c r="A5772" s="16" t="s">
        <v>87</v>
      </c>
      <c r="E5772" s="16" t="str">
        <f>IFERROR(__xludf.DUMMYFUNCTION("""COMPUTED_VALUE"""),"")</f>
        <v/>
      </c>
      <c r="G5772" s="18"/>
      <c r="H5772" s="16" t="s">
        <v>87</v>
      </c>
      <c r="I5772" s="16" t="s">
        <v>87</v>
      </c>
      <c r="J5772" s="19"/>
      <c r="L5772" s="16" t="str">
        <f>IFERROR(__xludf.DUMMYFUNCTION("""COMPUTED_VALUE"""),"")</f>
        <v/>
      </c>
      <c r="M5772" s="16" t="str">
        <f>IFERROR(__xludf.DUMMYFUNCTION("""COMPUTED_VALUE"""),"")</f>
        <v/>
      </c>
      <c r="U5772" s="16" t="s">
        <v>87</v>
      </c>
      <c r="V5772" s="16" t="str">
        <f>IFERROR(__xludf.DUMMYFUNCTION("""COMPUTED_VALUE"""),"")</f>
        <v/>
      </c>
      <c r="W5772" s="16" t="str">
        <f>IFERROR(__xludf.DUMMYFUNCTION("""COMPUTED_VALUE"""),"")</f>
        <v/>
      </c>
      <c r="X5772" s="16" t="str">
        <f>IFERROR(__xludf.DUMMYFUNCTION("""COMPUTED_VALUE"""),"")</f>
        <v/>
      </c>
      <c r="AC5772" s="16" t="str">
        <f>IFERROR(__xludf.DUMMYFUNCTION("""COMPUTED_VALUE"""),"")</f>
        <v/>
      </c>
    </row>
    <row r="5773">
      <c r="A5773" s="16" t="s">
        <v>87</v>
      </c>
      <c r="E5773" s="16" t="str">
        <f>IFERROR(__xludf.DUMMYFUNCTION("""COMPUTED_VALUE"""),"")</f>
        <v/>
      </c>
      <c r="G5773" s="18"/>
      <c r="H5773" s="16" t="s">
        <v>87</v>
      </c>
      <c r="I5773" s="16" t="s">
        <v>87</v>
      </c>
      <c r="J5773" s="19"/>
      <c r="L5773" s="16" t="str">
        <f>IFERROR(__xludf.DUMMYFUNCTION("""COMPUTED_VALUE"""),"")</f>
        <v/>
      </c>
      <c r="M5773" s="16" t="str">
        <f>IFERROR(__xludf.DUMMYFUNCTION("""COMPUTED_VALUE"""),"")</f>
        <v/>
      </c>
      <c r="U5773" s="16" t="s">
        <v>87</v>
      </c>
      <c r="V5773" s="16" t="str">
        <f>IFERROR(__xludf.DUMMYFUNCTION("""COMPUTED_VALUE"""),"")</f>
        <v/>
      </c>
      <c r="W5773" s="16" t="str">
        <f>IFERROR(__xludf.DUMMYFUNCTION("""COMPUTED_VALUE"""),"")</f>
        <v/>
      </c>
      <c r="X5773" s="16" t="str">
        <f>IFERROR(__xludf.DUMMYFUNCTION("""COMPUTED_VALUE"""),"")</f>
        <v/>
      </c>
      <c r="AC5773" s="16" t="str">
        <f>IFERROR(__xludf.DUMMYFUNCTION("""COMPUTED_VALUE"""),"")</f>
        <v/>
      </c>
    </row>
    <row r="5774">
      <c r="A5774" s="16" t="s">
        <v>87</v>
      </c>
      <c r="E5774" s="16" t="str">
        <f>IFERROR(__xludf.DUMMYFUNCTION("""COMPUTED_VALUE"""),"")</f>
        <v/>
      </c>
      <c r="G5774" s="18"/>
      <c r="H5774" s="16" t="s">
        <v>87</v>
      </c>
      <c r="I5774" s="16" t="s">
        <v>87</v>
      </c>
      <c r="J5774" s="19"/>
      <c r="L5774" s="16" t="str">
        <f>IFERROR(__xludf.DUMMYFUNCTION("""COMPUTED_VALUE"""),"")</f>
        <v/>
      </c>
      <c r="M5774" s="16" t="str">
        <f>IFERROR(__xludf.DUMMYFUNCTION("""COMPUTED_VALUE"""),"")</f>
        <v/>
      </c>
      <c r="U5774" s="16" t="s">
        <v>87</v>
      </c>
      <c r="V5774" s="16" t="str">
        <f>IFERROR(__xludf.DUMMYFUNCTION("""COMPUTED_VALUE"""),"")</f>
        <v/>
      </c>
      <c r="W5774" s="16" t="str">
        <f>IFERROR(__xludf.DUMMYFUNCTION("""COMPUTED_VALUE"""),"")</f>
        <v/>
      </c>
      <c r="X5774" s="16" t="str">
        <f>IFERROR(__xludf.DUMMYFUNCTION("""COMPUTED_VALUE"""),"")</f>
        <v/>
      </c>
      <c r="AC5774" s="16" t="str">
        <f>IFERROR(__xludf.DUMMYFUNCTION("""COMPUTED_VALUE"""),"")</f>
        <v/>
      </c>
    </row>
    <row r="5775">
      <c r="A5775" s="16" t="s">
        <v>87</v>
      </c>
      <c r="E5775" s="16" t="str">
        <f>IFERROR(__xludf.DUMMYFUNCTION("""COMPUTED_VALUE"""),"")</f>
        <v/>
      </c>
      <c r="G5775" s="18"/>
      <c r="H5775" s="16" t="s">
        <v>87</v>
      </c>
      <c r="I5775" s="16" t="s">
        <v>87</v>
      </c>
      <c r="J5775" s="19"/>
      <c r="L5775" s="16" t="str">
        <f>IFERROR(__xludf.DUMMYFUNCTION("""COMPUTED_VALUE"""),"")</f>
        <v/>
      </c>
      <c r="M5775" s="16" t="str">
        <f>IFERROR(__xludf.DUMMYFUNCTION("""COMPUTED_VALUE"""),"")</f>
        <v/>
      </c>
      <c r="U5775" s="16" t="s">
        <v>87</v>
      </c>
      <c r="V5775" s="16" t="str">
        <f>IFERROR(__xludf.DUMMYFUNCTION("""COMPUTED_VALUE"""),"")</f>
        <v/>
      </c>
      <c r="W5775" s="16" t="str">
        <f>IFERROR(__xludf.DUMMYFUNCTION("""COMPUTED_VALUE"""),"")</f>
        <v/>
      </c>
      <c r="X5775" s="16" t="str">
        <f>IFERROR(__xludf.DUMMYFUNCTION("""COMPUTED_VALUE"""),"")</f>
        <v/>
      </c>
      <c r="AC5775" s="16" t="str">
        <f>IFERROR(__xludf.DUMMYFUNCTION("""COMPUTED_VALUE"""),"")</f>
        <v/>
      </c>
    </row>
    <row r="5776">
      <c r="A5776" s="16" t="s">
        <v>87</v>
      </c>
      <c r="E5776" s="16" t="str">
        <f>IFERROR(__xludf.DUMMYFUNCTION("""COMPUTED_VALUE"""),"")</f>
        <v/>
      </c>
      <c r="G5776" s="18"/>
      <c r="H5776" s="16" t="s">
        <v>87</v>
      </c>
      <c r="I5776" s="16" t="s">
        <v>87</v>
      </c>
      <c r="J5776" s="19"/>
      <c r="L5776" s="16" t="str">
        <f>IFERROR(__xludf.DUMMYFUNCTION("""COMPUTED_VALUE"""),"")</f>
        <v/>
      </c>
      <c r="M5776" s="16" t="str">
        <f>IFERROR(__xludf.DUMMYFUNCTION("""COMPUTED_VALUE"""),"")</f>
        <v/>
      </c>
      <c r="U5776" s="16" t="s">
        <v>87</v>
      </c>
      <c r="V5776" s="16" t="str">
        <f>IFERROR(__xludf.DUMMYFUNCTION("""COMPUTED_VALUE"""),"")</f>
        <v/>
      </c>
      <c r="W5776" s="16" t="str">
        <f>IFERROR(__xludf.DUMMYFUNCTION("""COMPUTED_VALUE"""),"")</f>
        <v/>
      </c>
      <c r="X5776" s="16" t="str">
        <f>IFERROR(__xludf.DUMMYFUNCTION("""COMPUTED_VALUE"""),"")</f>
        <v/>
      </c>
      <c r="AC5776" s="16" t="str">
        <f>IFERROR(__xludf.DUMMYFUNCTION("""COMPUTED_VALUE"""),"")</f>
        <v/>
      </c>
    </row>
    <row r="5777">
      <c r="A5777" s="16" t="s">
        <v>87</v>
      </c>
      <c r="E5777" s="16" t="str">
        <f>IFERROR(__xludf.DUMMYFUNCTION("""COMPUTED_VALUE"""),"")</f>
        <v/>
      </c>
      <c r="G5777" s="18"/>
      <c r="H5777" s="16" t="s">
        <v>87</v>
      </c>
      <c r="I5777" s="16" t="s">
        <v>87</v>
      </c>
      <c r="J5777" s="19"/>
      <c r="L5777" s="16" t="str">
        <f>IFERROR(__xludf.DUMMYFUNCTION("""COMPUTED_VALUE"""),"")</f>
        <v/>
      </c>
      <c r="M5777" s="16" t="str">
        <f>IFERROR(__xludf.DUMMYFUNCTION("""COMPUTED_VALUE"""),"")</f>
        <v/>
      </c>
      <c r="U5777" s="16" t="s">
        <v>87</v>
      </c>
      <c r="V5777" s="16" t="str">
        <f>IFERROR(__xludf.DUMMYFUNCTION("""COMPUTED_VALUE"""),"")</f>
        <v/>
      </c>
      <c r="W5777" s="16" t="str">
        <f>IFERROR(__xludf.DUMMYFUNCTION("""COMPUTED_VALUE"""),"")</f>
        <v/>
      </c>
      <c r="X5777" s="16" t="str">
        <f>IFERROR(__xludf.DUMMYFUNCTION("""COMPUTED_VALUE"""),"")</f>
        <v/>
      </c>
      <c r="AC5777" s="16" t="str">
        <f>IFERROR(__xludf.DUMMYFUNCTION("""COMPUTED_VALUE"""),"")</f>
        <v/>
      </c>
    </row>
    <row r="5778">
      <c r="A5778" s="16" t="s">
        <v>87</v>
      </c>
      <c r="E5778" s="16" t="str">
        <f>IFERROR(__xludf.DUMMYFUNCTION("""COMPUTED_VALUE"""),"")</f>
        <v/>
      </c>
      <c r="G5778" s="18"/>
      <c r="H5778" s="16" t="s">
        <v>87</v>
      </c>
      <c r="I5778" s="16" t="s">
        <v>87</v>
      </c>
      <c r="J5778" s="19"/>
      <c r="L5778" s="16" t="str">
        <f>IFERROR(__xludf.DUMMYFUNCTION("""COMPUTED_VALUE"""),"")</f>
        <v/>
      </c>
      <c r="M5778" s="16" t="str">
        <f>IFERROR(__xludf.DUMMYFUNCTION("""COMPUTED_VALUE"""),"")</f>
        <v/>
      </c>
      <c r="U5778" s="16" t="s">
        <v>87</v>
      </c>
      <c r="V5778" s="16" t="str">
        <f>IFERROR(__xludf.DUMMYFUNCTION("""COMPUTED_VALUE"""),"")</f>
        <v/>
      </c>
      <c r="W5778" s="16" t="str">
        <f>IFERROR(__xludf.DUMMYFUNCTION("""COMPUTED_VALUE"""),"")</f>
        <v/>
      </c>
      <c r="X5778" s="16" t="str">
        <f>IFERROR(__xludf.DUMMYFUNCTION("""COMPUTED_VALUE"""),"")</f>
        <v/>
      </c>
      <c r="AC5778" s="16" t="str">
        <f>IFERROR(__xludf.DUMMYFUNCTION("""COMPUTED_VALUE"""),"")</f>
        <v/>
      </c>
    </row>
    <row r="5779">
      <c r="A5779" s="16" t="s">
        <v>87</v>
      </c>
      <c r="E5779" s="16" t="str">
        <f>IFERROR(__xludf.DUMMYFUNCTION("""COMPUTED_VALUE"""),"")</f>
        <v/>
      </c>
      <c r="G5779" s="18"/>
      <c r="H5779" s="16" t="s">
        <v>87</v>
      </c>
      <c r="I5779" s="16" t="s">
        <v>87</v>
      </c>
      <c r="J5779" s="19"/>
      <c r="L5779" s="16" t="str">
        <f>IFERROR(__xludf.DUMMYFUNCTION("""COMPUTED_VALUE"""),"")</f>
        <v/>
      </c>
      <c r="M5779" s="16" t="str">
        <f>IFERROR(__xludf.DUMMYFUNCTION("""COMPUTED_VALUE"""),"")</f>
        <v/>
      </c>
      <c r="U5779" s="16" t="s">
        <v>87</v>
      </c>
      <c r="V5779" s="16" t="str">
        <f>IFERROR(__xludf.DUMMYFUNCTION("""COMPUTED_VALUE"""),"")</f>
        <v/>
      </c>
      <c r="W5779" s="16" t="str">
        <f>IFERROR(__xludf.DUMMYFUNCTION("""COMPUTED_VALUE"""),"")</f>
        <v/>
      </c>
      <c r="X5779" s="16" t="str">
        <f>IFERROR(__xludf.DUMMYFUNCTION("""COMPUTED_VALUE"""),"")</f>
        <v/>
      </c>
      <c r="AC5779" s="16" t="str">
        <f>IFERROR(__xludf.DUMMYFUNCTION("""COMPUTED_VALUE"""),"")</f>
        <v/>
      </c>
    </row>
    <row r="5780">
      <c r="A5780" s="16" t="s">
        <v>87</v>
      </c>
      <c r="E5780" s="16" t="str">
        <f>IFERROR(__xludf.DUMMYFUNCTION("""COMPUTED_VALUE"""),"")</f>
        <v/>
      </c>
      <c r="G5780" s="18"/>
      <c r="H5780" s="16" t="s">
        <v>87</v>
      </c>
      <c r="I5780" s="16" t="s">
        <v>87</v>
      </c>
      <c r="J5780" s="19"/>
      <c r="L5780" s="16" t="str">
        <f>IFERROR(__xludf.DUMMYFUNCTION("""COMPUTED_VALUE"""),"")</f>
        <v/>
      </c>
      <c r="M5780" s="16" t="str">
        <f>IFERROR(__xludf.DUMMYFUNCTION("""COMPUTED_VALUE"""),"")</f>
        <v/>
      </c>
      <c r="U5780" s="16" t="s">
        <v>87</v>
      </c>
      <c r="V5780" s="16" t="str">
        <f>IFERROR(__xludf.DUMMYFUNCTION("""COMPUTED_VALUE"""),"")</f>
        <v/>
      </c>
      <c r="W5780" s="16" t="str">
        <f>IFERROR(__xludf.DUMMYFUNCTION("""COMPUTED_VALUE"""),"")</f>
        <v/>
      </c>
      <c r="X5780" s="16" t="str">
        <f>IFERROR(__xludf.DUMMYFUNCTION("""COMPUTED_VALUE"""),"")</f>
        <v/>
      </c>
      <c r="AC5780" s="16" t="str">
        <f>IFERROR(__xludf.DUMMYFUNCTION("""COMPUTED_VALUE"""),"")</f>
        <v/>
      </c>
    </row>
    <row r="5781">
      <c r="A5781" s="16" t="s">
        <v>87</v>
      </c>
      <c r="E5781" s="16" t="str">
        <f>IFERROR(__xludf.DUMMYFUNCTION("""COMPUTED_VALUE"""),"")</f>
        <v/>
      </c>
      <c r="G5781" s="18"/>
      <c r="H5781" s="16" t="s">
        <v>87</v>
      </c>
      <c r="I5781" s="16" t="s">
        <v>87</v>
      </c>
      <c r="J5781" s="19"/>
      <c r="L5781" s="16" t="str">
        <f>IFERROR(__xludf.DUMMYFUNCTION("""COMPUTED_VALUE"""),"")</f>
        <v/>
      </c>
      <c r="M5781" s="16" t="str">
        <f>IFERROR(__xludf.DUMMYFUNCTION("""COMPUTED_VALUE"""),"")</f>
        <v/>
      </c>
      <c r="U5781" s="16" t="s">
        <v>87</v>
      </c>
      <c r="V5781" s="16" t="str">
        <f>IFERROR(__xludf.DUMMYFUNCTION("""COMPUTED_VALUE"""),"")</f>
        <v/>
      </c>
      <c r="W5781" s="16" t="str">
        <f>IFERROR(__xludf.DUMMYFUNCTION("""COMPUTED_VALUE"""),"")</f>
        <v/>
      </c>
      <c r="X5781" s="16" t="str">
        <f>IFERROR(__xludf.DUMMYFUNCTION("""COMPUTED_VALUE"""),"")</f>
        <v/>
      </c>
      <c r="AC5781" s="16" t="str">
        <f>IFERROR(__xludf.DUMMYFUNCTION("""COMPUTED_VALUE"""),"")</f>
        <v/>
      </c>
    </row>
    <row r="5782">
      <c r="A5782" s="16" t="s">
        <v>87</v>
      </c>
      <c r="E5782" s="16" t="str">
        <f>IFERROR(__xludf.DUMMYFUNCTION("""COMPUTED_VALUE"""),"")</f>
        <v/>
      </c>
      <c r="G5782" s="18"/>
      <c r="H5782" s="16" t="s">
        <v>87</v>
      </c>
      <c r="I5782" s="16" t="s">
        <v>87</v>
      </c>
      <c r="J5782" s="19"/>
      <c r="L5782" s="16" t="str">
        <f>IFERROR(__xludf.DUMMYFUNCTION("""COMPUTED_VALUE"""),"")</f>
        <v/>
      </c>
      <c r="M5782" s="16" t="str">
        <f>IFERROR(__xludf.DUMMYFUNCTION("""COMPUTED_VALUE"""),"")</f>
        <v/>
      </c>
      <c r="U5782" s="16" t="s">
        <v>87</v>
      </c>
      <c r="V5782" s="16" t="str">
        <f>IFERROR(__xludf.DUMMYFUNCTION("""COMPUTED_VALUE"""),"")</f>
        <v/>
      </c>
      <c r="W5782" s="16" t="str">
        <f>IFERROR(__xludf.DUMMYFUNCTION("""COMPUTED_VALUE"""),"")</f>
        <v/>
      </c>
      <c r="X5782" s="16" t="str">
        <f>IFERROR(__xludf.DUMMYFUNCTION("""COMPUTED_VALUE"""),"")</f>
        <v/>
      </c>
      <c r="AC5782" s="16" t="str">
        <f>IFERROR(__xludf.DUMMYFUNCTION("""COMPUTED_VALUE"""),"")</f>
        <v/>
      </c>
    </row>
    <row r="5783">
      <c r="A5783" s="16" t="s">
        <v>87</v>
      </c>
      <c r="E5783" s="16" t="str">
        <f>IFERROR(__xludf.DUMMYFUNCTION("""COMPUTED_VALUE"""),"")</f>
        <v/>
      </c>
      <c r="G5783" s="18"/>
      <c r="H5783" s="16" t="s">
        <v>87</v>
      </c>
      <c r="I5783" s="16" t="s">
        <v>87</v>
      </c>
      <c r="J5783" s="19"/>
      <c r="L5783" s="16" t="str">
        <f>IFERROR(__xludf.DUMMYFUNCTION("""COMPUTED_VALUE"""),"")</f>
        <v/>
      </c>
      <c r="M5783" s="16" t="str">
        <f>IFERROR(__xludf.DUMMYFUNCTION("""COMPUTED_VALUE"""),"")</f>
        <v/>
      </c>
      <c r="U5783" s="16" t="s">
        <v>87</v>
      </c>
      <c r="V5783" s="16" t="str">
        <f>IFERROR(__xludf.DUMMYFUNCTION("""COMPUTED_VALUE"""),"")</f>
        <v/>
      </c>
      <c r="W5783" s="16" t="str">
        <f>IFERROR(__xludf.DUMMYFUNCTION("""COMPUTED_VALUE"""),"")</f>
        <v/>
      </c>
      <c r="X5783" s="16" t="str">
        <f>IFERROR(__xludf.DUMMYFUNCTION("""COMPUTED_VALUE"""),"")</f>
        <v/>
      </c>
      <c r="AC5783" s="16" t="str">
        <f>IFERROR(__xludf.DUMMYFUNCTION("""COMPUTED_VALUE"""),"")</f>
        <v/>
      </c>
    </row>
    <row r="5784">
      <c r="A5784" s="16" t="s">
        <v>87</v>
      </c>
      <c r="E5784" s="16" t="str">
        <f>IFERROR(__xludf.DUMMYFUNCTION("""COMPUTED_VALUE"""),"")</f>
        <v/>
      </c>
      <c r="G5784" s="18"/>
      <c r="H5784" s="16" t="s">
        <v>87</v>
      </c>
      <c r="I5784" s="16" t="s">
        <v>87</v>
      </c>
      <c r="J5784" s="19"/>
      <c r="L5784" s="16" t="str">
        <f>IFERROR(__xludf.DUMMYFUNCTION("""COMPUTED_VALUE"""),"")</f>
        <v/>
      </c>
      <c r="M5784" s="16" t="str">
        <f>IFERROR(__xludf.DUMMYFUNCTION("""COMPUTED_VALUE"""),"")</f>
        <v/>
      </c>
      <c r="U5784" s="16" t="s">
        <v>87</v>
      </c>
      <c r="V5784" s="16" t="str">
        <f>IFERROR(__xludf.DUMMYFUNCTION("""COMPUTED_VALUE"""),"")</f>
        <v/>
      </c>
      <c r="W5784" s="16" t="str">
        <f>IFERROR(__xludf.DUMMYFUNCTION("""COMPUTED_VALUE"""),"")</f>
        <v/>
      </c>
      <c r="X5784" s="16" t="str">
        <f>IFERROR(__xludf.DUMMYFUNCTION("""COMPUTED_VALUE"""),"")</f>
        <v/>
      </c>
      <c r="AC5784" s="16" t="str">
        <f>IFERROR(__xludf.DUMMYFUNCTION("""COMPUTED_VALUE"""),"")</f>
        <v/>
      </c>
    </row>
    <row r="5785">
      <c r="A5785" s="16" t="s">
        <v>87</v>
      </c>
      <c r="E5785" s="16" t="str">
        <f>IFERROR(__xludf.DUMMYFUNCTION("""COMPUTED_VALUE"""),"")</f>
        <v/>
      </c>
      <c r="G5785" s="18"/>
      <c r="H5785" s="16" t="s">
        <v>87</v>
      </c>
      <c r="I5785" s="16" t="s">
        <v>87</v>
      </c>
      <c r="J5785" s="19"/>
      <c r="L5785" s="16" t="str">
        <f>IFERROR(__xludf.DUMMYFUNCTION("""COMPUTED_VALUE"""),"")</f>
        <v/>
      </c>
      <c r="M5785" s="16" t="str">
        <f>IFERROR(__xludf.DUMMYFUNCTION("""COMPUTED_VALUE"""),"")</f>
        <v/>
      </c>
      <c r="U5785" s="16" t="s">
        <v>87</v>
      </c>
      <c r="V5785" s="16" t="str">
        <f>IFERROR(__xludf.DUMMYFUNCTION("""COMPUTED_VALUE"""),"")</f>
        <v/>
      </c>
      <c r="W5785" s="16" t="str">
        <f>IFERROR(__xludf.DUMMYFUNCTION("""COMPUTED_VALUE"""),"")</f>
        <v/>
      </c>
      <c r="X5785" s="16" t="str">
        <f>IFERROR(__xludf.DUMMYFUNCTION("""COMPUTED_VALUE"""),"")</f>
        <v/>
      </c>
      <c r="AC5785" s="16" t="str">
        <f>IFERROR(__xludf.DUMMYFUNCTION("""COMPUTED_VALUE"""),"")</f>
        <v/>
      </c>
    </row>
    <row r="5786">
      <c r="A5786" s="16" t="s">
        <v>87</v>
      </c>
      <c r="E5786" s="16" t="str">
        <f>IFERROR(__xludf.DUMMYFUNCTION("""COMPUTED_VALUE"""),"")</f>
        <v/>
      </c>
      <c r="G5786" s="18"/>
      <c r="H5786" s="16" t="s">
        <v>87</v>
      </c>
      <c r="I5786" s="16" t="s">
        <v>87</v>
      </c>
      <c r="J5786" s="19"/>
      <c r="L5786" s="16" t="str">
        <f>IFERROR(__xludf.DUMMYFUNCTION("""COMPUTED_VALUE"""),"")</f>
        <v/>
      </c>
      <c r="M5786" s="16" t="str">
        <f>IFERROR(__xludf.DUMMYFUNCTION("""COMPUTED_VALUE"""),"")</f>
        <v/>
      </c>
      <c r="U5786" s="16" t="s">
        <v>87</v>
      </c>
      <c r="V5786" s="16" t="str">
        <f>IFERROR(__xludf.DUMMYFUNCTION("""COMPUTED_VALUE"""),"")</f>
        <v/>
      </c>
      <c r="W5786" s="16" t="str">
        <f>IFERROR(__xludf.DUMMYFUNCTION("""COMPUTED_VALUE"""),"")</f>
        <v/>
      </c>
      <c r="X5786" s="16" t="str">
        <f>IFERROR(__xludf.DUMMYFUNCTION("""COMPUTED_VALUE"""),"")</f>
        <v/>
      </c>
      <c r="AC5786" s="16" t="str">
        <f>IFERROR(__xludf.DUMMYFUNCTION("""COMPUTED_VALUE"""),"")</f>
        <v/>
      </c>
    </row>
    <row r="5787">
      <c r="A5787" s="16" t="s">
        <v>87</v>
      </c>
      <c r="E5787" s="16" t="str">
        <f>IFERROR(__xludf.DUMMYFUNCTION("""COMPUTED_VALUE"""),"")</f>
        <v/>
      </c>
      <c r="G5787" s="18"/>
      <c r="H5787" s="16" t="s">
        <v>87</v>
      </c>
      <c r="I5787" s="16" t="s">
        <v>87</v>
      </c>
      <c r="J5787" s="19"/>
      <c r="L5787" s="16" t="str">
        <f>IFERROR(__xludf.DUMMYFUNCTION("""COMPUTED_VALUE"""),"")</f>
        <v/>
      </c>
      <c r="M5787" s="16" t="str">
        <f>IFERROR(__xludf.DUMMYFUNCTION("""COMPUTED_VALUE"""),"")</f>
        <v/>
      </c>
      <c r="U5787" s="16" t="s">
        <v>87</v>
      </c>
      <c r="V5787" s="16" t="str">
        <f>IFERROR(__xludf.DUMMYFUNCTION("""COMPUTED_VALUE"""),"")</f>
        <v/>
      </c>
      <c r="W5787" s="16" t="str">
        <f>IFERROR(__xludf.DUMMYFUNCTION("""COMPUTED_VALUE"""),"")</f>
        <v/>
      </c>
      <c r="X5787" s="16" t="str">
        <f>IFERROR(__xludf.DUMMYFUNCTION("""COMPUTED_VALUE"""),"")</f>
        <v/>
      </c>
      <c r="AC5787" s="16" t="str">
        <f>IFERROR(__xludf.DUMMYFUNCTION("""COMPUTED_VALUE"""),"")</f>
        <v/>
      </c>
    </row>
    <row r="5788">
      <c r="A5788" s="16" t="s">
        <v>87</v>
      </c>
      <c r="E5788" s="16" t="str">
        <f>IFERROR(__xludf.DUMMYFUNCTION("""COMPUTED_VALUE"""),"")</f>
        <v/>
      </c>
      <c r="G5788" s="18"/>
      <c r="H5788" s="16" t="s">
        <v>87</v>
      </c>
      <c r="I5788" s="16" t="s">
        <v>87</v>
      </c>
      <c r="J5788" s="19"/>
      <c r="L5788" s="16" t="str">
        <f>IFERROR(__xludf.DUMMYFUNCTION("""COMPUTED_VALUE"""),"")</f>
        <v/>
      </c>
      <c r="M5788" s="16" t="str">
        <f>IFERROR(__xludf.DUMMYFUNCTION("""COMPUTED_VALUE"""),"")</f>
        <v/>
      </c>
      <c r="U5788" s="16" t="s">
        <v>87</v>
      </c>
      <c r="V5788" s="16" t="str">
        <f>IFERROR(__xludf.DUMMYFUNCTION("""COMPUTED_VALUE"""),"")</f>
        <v/>
      </c>
      <c r="W5788" s="16" t="str">
        <f>IFERROR(__xludf.DUMMYFUNCTION("""COMPUTED_VALUE"""),"")</f>
        <v/>
      </c>
      <c r="X5788" s="16" t="str">
        <f>IFERROR(__xludf.DUMMYFUNCTION("""COMPUTED_VALUE"""),"")</f>
        <v/>
      </c>
      <c r="AC5788" s="16" t="str">
        <f>IFERROR(__xludf.DUMMYFUNCTION("""COMPUTED_VALUE"""),"")</f>
        <v/>
      </c>
    </row>
    <row r="5789">
      <c r="A5789" s="16" t="s">
        <v>87</v>
      </c>
      <c r="E5789" s="16" t="str">
        <f>IFERROR(__xludf.DUMMYFUNCTION("""COMPUTED_VALUE"""),"")</f>
        <v/>
      </c>
      <c r="G5789" s="18"/>
      <c r="H5789" s="16" t="s">
        <v>87</v>
      </c>
      <c r="I5789" s="16" t="s">
        <v>87</v>
      </c>
      <c r="J5789" s="19"/>
      <c r="L5789" s="16" t="str">
        <f>IFERROR(__xludf.DUMMYFUNCTION("""COMPUTED_VALUE"""),"")</f>
        <v/>
      </c>
      <c r="M5789" s="16" t="str">
        <f>IFERROR(__xludf.DUMMYFUNCTION("""COMPUTED_VALUE"""),"")</f>
        <v/>
      </c>
      <c r="U5789" s="16" t="s">
        <v>87</v>
      </c>
      <c r="V5789" s="16" t="str">
        <f>IFERROR(__xludf.DUMMYFUNCTION("""COMPUTED_VALUE"""),"")</f>
        <v/>
      </c>
      <c r="W5789" s="16" t="str">
        <f>IFERROR(__xludf.DUMMYFUNCTION("""COMPUTED_VALUE"""),"")</f>
        <v/>
      </c>
      <c r="X5789" s="16" t="str">
        <f>IFERROR(__xludf.DUMMYFUNCTION("""COMPUTED_VALUE"""),"")</f>
        <v/>
      </c>
      <c r="AC5789" s="16" t="str">
        <f>IFERROR(__xludf.DUMMYFUNCTION("""COMPUTED_VALUE"""),"")</f>
        <v/>
      </c>
    </row>
    <row r="5790">
      <c r="A5790" s="16" t="s">
        <v>87</v>
      </c>
      <c r="E5790" s="16" t="str">
        <f>IFERROR(__xludf.DUMMYFUNCTION("""COMPUTED_VALUE"""),"")</f>
        <v/>
      </c>
      <c r="G5790" s="18"/>
      <c r="H5790" s="16" t="s">
        <v>87</v>
      </c>
      <c r="I5790" s="16" t="s">
        <v>87</v>
      </c>
      <c r="J5790" s="19"/>
      <c r="L5790" s="16" t="str">
        <f>IFERROR(__xludf.DUMMYFUNCTION("""COMPUTED_VALUE"""),"")</f>
        <v/>
      </c>
      <c r="M5790" s="16" t="str">
        <f>IFERROR(__xludf.DUMMYFUNCTION("""COMPUTED_VALUE"""),"")</f>
        <v/>
      </c>
      <c r="U5790" s="16" t="s">
        <v>87</v>
      </c>
      <c r="V5790" s="16" t="str">
        <f>IFERROR(__xludf.DUMMYFUNCTION("""COMPUTED_VALUE"""),"")</f>
        <v/>
      </c>
      <c r="W5790" s="16" t="str">
        <f>IFERROR(__xludf.DUMMYFUNCTION("""COMPUTED_VALUE"""),"")</f>
        <v/>
      </c>
      <c r="X5790" s="16" t="str">
        <f>IFERROR(__xludf.DUMMYFUNCTION("""COMPUTED_VALUE"""),"")</f>
        <v/>
      </c>
      <c r="AC5790" s="16" t="str">
        <f>IFERROR(__xludf.DUMMYFUNCTION("""COMPUTED_VALUE"""),"")</f>
        <v/>
      </c>
    </row>
    <row r="5791">
      <c r="A5791" s="16" t="s">
        <v>87</v>
      </c>
      <c r="E5791" s="16" t="str">
        <f>IFERROR(__xludf.DUMMYFUNCTION("""COMPUTED_VALUE"""),"")</f>
        <v/>
      </c>
      <c r="G5791" s="18"/>
      <c r="H5791" s="16" t="s">
        <v>87</v>
      </c>
      <c r="I5791" s="16" t="s">
        <v>87</v>
      </c>
      <c r="J5791" s="19"/>
      <c r="L5791" s="16" t="str">
        <f>IFERROR(__xludf.DUMMYFUNCTION("""COMPUTED_VALUE"""),"")</f>
        <v/>
      </c>
      <c r="M5791" s="16" t="str">
        <f>IFERROR(__xludf.DUMMYFUNCTION("""COMPUTED_VALUE"""),"")</f>
        <v/>
      </c>
      <c r="U5791" s="16" t="s">
        <v>87</v>
      </c>
      <c r="V5791" s="16" t="str">
        <f>IFERROR(__xludf.DUMMYFUNCTION("""COMPUTED_VALUE"""),"")</f>
        <v/>
      </c>
      <c r="W5791" s="16" t="str">
        <f>IFERROR(__xludf.DUMMYFUNCTION("""COMPUTED_VALUE"""),"")</f>
        <v/>
      </c>
      <c r="X5791" s="16" t="str">
        <f>IFERROR(__xludf.DUMMYFUNCTION("""COMPUTED_VALUE"""),"")</f>
        <v/>
      </c>
      <c r="AC5791" s="16" t="str">
        <f>IFERROR(__xludf.DUMMYFUNCTION("""COMPUTED_VALUE"""),"")</f>
        <v/>
      </c>
    </row>
    <row r="5792">
      <c r="A5792" s="16" t="s">
        <v>87</v>
      </c>
      <c r="E5792" s="16" t="str">
        <f>IFERROR(__xludf.DUMMYFUNCTION("""COMPUTED_VALUE"""),"")</f>
        <v/>
      </c>
      <c r="G5792" s="18"/>
      <c r="H5792" s="16" t="s">
        <v>87</v>
      </c>
      <c r="I5792" s="16" t="s">
        <v>87</v>
      </c>
      <c r="J5792" s="19"/>
      <c r="L5792" s="16" t="str">
        <f>IFERROR(__xludf.DUMMYFUNCTION("""COMPUTED_VALUE"""),"")</f>
        <v/>
      </c>
      <c r="M5792" s="16" t="str">
        <f>IFERROR(__xludf.DUMMYFUNCTION("""COMPUTED_VALUE"""),"")</f>
        <v/>
      </c>
      <c r="U5792" s="16" t="s">
        <v>87</v>
      </c>
      <c r="V5792" s="16" t="str">
        <f>IFERROR(__xludf.DUMMYFUNCTION("""COMPUTED_VALUE"""),"")</f>
        <v/>
      </c>
      <c r="W5792" s="16" t="str">
        <f>IFERROR(__xludf.DUMMYFUNCTION("""COMPUTED_VALUE"""),"")</f>
        <v/>
      </c>
      <c r="X5792" s="16" t="str">
        <f>IFERROR(__xludf.DUMMYFUNCTION("""COMPUTED_VALUE"""),"")</f>
        <v/>
      </c>
      <c r="AC5792" s="16" t="str">
        <f>IFERROR(__xludf.DUMMYFUNCTION("""COMPUTED_VALUE"""),"")</f>
        <v/>
      </c>
    </row>
    <row r="5793">
      <c r="A5793" s="16" t="s">
        <v>87</v>
      </c>
      <c r="E5793" s="16" t="str">
        <f>IFERROR(__xludf.DUMMYFUNCTION("""COMPUTED_VALUE"""),"")</f>
        <v/>
      </c>
      <c r="G5793" s="18"/>
      <c r="H5793" s="16" t="s">
        <v>87</v>
      </c>
      <c r="I5793" s="16" t="s">
        <v>87</v>
      </c>
      <c r="J5793" s="19"/>
      <c r="L5793" s="16" t="str">
        <f>IFERROR(__xludf.DUMMYFUNCTION("""COMPUTED_VALUE"""),"")</f>
        <v/>
      </c>
      <c r="M5793" s="16" t="str">
        <f>IFERROR(__xludf.DUMMYFUNCTION("""COMPUTED_VALUE"""),"")</f>
        <v/>
      </c>
      <c r="U5793" s="16" t="s">
        <v>87</v>
      </c>
      <c r="V5793" s="16" t="str">
        <f>IFERROR(__xludf.DUMMYFUNCTION("""COMPUTED_VALUE"""),"")</f>
        <v/>
      </c>
      <c r="W5793" s="16" t="str">
        <f>IFERROR(__xludf.DUMMYFUNCTION("""COMPUTED_VALUE"""),"")</f>
        <v/>
      </c>
      <c r="X5793" s="16" t="str">
        <f>IFERROR(__xludf.DUMMYFUNCTION("""COMPUTED_VALUE"""),"")</f>
        <v/>
      </c>
      <c r="AC5793" s="16" t="str">
        <f>IFERROR(__xludf.DUMMYFUNCTION("""COMPUTED_VALUE"""),"")</f>
        <v/>
      </c>
    </row>
    <row r="5794">
      <c r="A5794" s="16" t="s">
        <v>87</v>
      </c>
      <c r="E5794" s="16" t="str">
        <f>IFERROR(__xludf.DUMMYFUNCTION("""COMPUTED_VALUE"""),"")</f>
        <v/>
      </c>
      <c r="G5794" s="18"/>
      <c r="H5794" s="16" t="s">
        <v>87</v>
      </c>
      <c r="I5794" s="16" t="s">
        <v>87</v>
      </c>
      <c r="J5794" s="19"/>
      <c r="L5794" s="16" t="str">
        <f>IFERROR(__xludf.DUMMYFUNCTION("""COMPUTED_VALUE"""),"")</f>
        <v/>
      </c>
      <c r="M5794" s="16" t="str">
        <f>IFERROR(__xludf.DUMMYFUNCTION("""COMPUTED_VALUE"""),"")</f>
        <v/>
      </c>
      <c r="U5794" s="16" t="s">
        <v>87</v>
      </c>
      <c r="V5794" s="16" t="str">
        <f>IFERROR(__xludf.DUMMYFUNCTION("""COMPUTED_VALUE"""),"")</f>
        <v/>
      </c>
      <c r="W5794" s="16" t="str">
        <f>IFERROR(__xludf.DUMMYFUNCTION("""COMPUTED_VALUE"""),"")</f>
        <v/>
      </c>
      <c r="X5794" s="16" t="str">
        <f>IFERROR(__xludf.DUMMYFUNCTION("""COMPUTED_VALUE"""),"")</f>
        <v/>
      </c>
      <c r="AC5794" s="16" t="str">
        <f>IFERROR(__xludf.DUMMYFUNCTION("""COMPUTED_VALUE"""),"")</f>
        <v/>
      </c>
    </row>
    <row r="5795">
      <c r="A5795" s="16" t="s">
        <v>87</v>
      </c>
      <c r="E5795" s="16" t="str">
        <f>IFERROR(__xludf.DUMMYFUNCTION("""COMPUTED_VALUE"""),"")</f>
        <v/>
      </c>
      <c r="G5795" s="18"/>
      <c r="H5795" s="16" t="s">
        <v>87</v>
      </c>
      <c r="I5795" s="16" t="s">
        <v>87</v>
      </c>
      <c r="J5795" s="19"/>
      <c r="L5795" s="16" t="str">
        <f>IFERROR(__xludf.DUMMYFUNCTION("""COMPUTED_VALUE"""),"")</f>
        <v/>
      </c>
      <c r="M5795" s="16" t="str">
        <f>IFERROR(__xludf.DUMMYFUNCTION("""COMPUTED_VALUE"""),"")</f>
        <v/>
      </c>
      <c r="U5795" s="16" t="s">
        <v>87</v>
      </c>
      <c r="V5795" s="16" t="str">
        <f>IFERROR(__xludf.DUMMYFUNCTION("""COMPUTED_VALUE"""),"")</f>
        <v/>
      </c>
      <c r="W5795" s="16" t="str">
        <f>IFERROR(__xludf.DUMMYFUNCTION("""COMPUTED_VALUE"""),"")</f>
        <v/>
      </c>
      <c r="X5795" s="16" t="str">
        <f>IFERROR(__xludf.DUMMYFUNCTION("""COMPUTED_VALUE"""),"")</f>
        <v/>
      </c>
      <c r="AC5795" s="16" t="str">
        <f>IFERROR(__xludf.DUMMYFUNCTION("""COMPUTED_VALUE"""),"")</f>
        <v/>
      </c>
    </row>
    <row r="5796">
      <c r="A5796" s="16" t="s">
        <v>87</v>
      </c>
      <c r="E5796" s="16" t="str">
        <f>IFERROR(__xludf.DUMMYFUNCTION("""COMPUTED_VALUE"""),"")</f>
        <v/>
      </c>
      <c r="G5796" s="18"/>
      <c r="H5796" s="16" t="s">
        <v>87</v>
      </c>
      <c r="I5796" s="16" t="s">
        <v>87</v>
      </c>
      <c r="J5796" s="19"/>
      <c r="L5796" s="16" t="str">
        <f>IFERROR(__xludf.DUMMYFUNCTION("""COMPUTED_VALUE"""),"")</f>
        <v/>
      </c>
      <c r="M5796" s="16" t="str">
        <f>IFERROR(__xludf.DUMMYFUNCTION("""COMPUTED_VALUE"""),"")</f>
        <v/>
      </c>
      <c r="U5796" s="16" t="s">
        <v>87</v>
      </c>
      <c r="V5796" s="16" t="str">
        <f>IFERROR(__xludf.DUMMYFUNCTION("""COMPUTED_VALUE"""),"")</f>
        <v/>
      </c>
      <c r="W5796" s="16" t="str">
        <f>IFERROR(__xludf.DUMMYFUNCTION("""COMPUTED_VALUE"""),"")</f>
        <v/>
      </c>
      <c r="X5796" s="16" t="str">
        <f>IFERROR(__xludf.DUMMYFUNCTION("""COMPUTED_VALUE"""),"")</f>
        <v/>
      </c>
      <c r="AC5796" s="16" t="str">
        <f>IFERROR(__xludf.DUMMYFUNCTION("""COMPUTED_VALUE"""),"")</f>
        <v/>
      </c>
    </row>
    <row r="5797">
      <c r="A5797" s="16" t="s">
        <v>87</v>
      </c>
      <c r="E5797" s="16" t="str">
        <f>IFERROR(__xludf.DUMMYFUNCTION("""COMPUTED_VALUE"""),"")</f>
        <v/>
      </c>
      <c r="G5797" s="18"/>
      <c r="H5797" s="16" t="s">
        <v>87</v>
      </c>
      <c r="I5797" s="16" t="s">
        <v>87</v>
      </c>
      <c r="J5797" s="19"/>
      <c r="L5797" s="16" t="str">
        <f>IFERROR(__xludf.DUMMYFUNCTION("""COMPUTED_VALUE"""),"")</f>
        <v/>
      </c>
      <c r="M5797" s="16" t="str">
        <f>IFERROR(__xludf.DUMMYFUNCTION("""COMPUTED_VALUE"""),"")</f>
        <v/>
      </c>
      <c r="U5797" s="16" t="s">
        <v>87</v>
      </c>
      <c r="V5797" s="16" t="str">
        <f>IFERROR(__xludf.DUMMYFUNCTION("""COMPUTED_VALUE"""),"")</f>
        <v/>
      </c>
      <c r="W5797" s="16" t="str">
        <f>IFERROR(__xludf.DUMMYFUNCTION("""COMPUTED_VALUE"""),"")</f>
        <v/>
      </c>
      <c r="X5797" s="16" t="str">
        <f>IFERROR(__xludf.DUMMYFUNCTION("""COMPUTED_VALUE"""),"")</f>
        <v/>
      </c>
      <c r="AC5797" s="16" t="str">
        <f>IFERROR(__xludf.DUMMYFUNCTION("""COMPUTED_VALUE"""),"")</f>
        <v/>
      </c>
    </row>
    <row r="5798">
      <c r="A5798" s="16" t="s">
        <v>87</v>
      </c>
      <c r="E5798" s="16" t="str">
        <f>IFERROR(__xludf.DUMMYFUNCTION("""COMPUTED_VALUE"""),"")</f>
        <v/>
      </c>
      <c r="G5798" s="18"/>
      <c r="H5798" s="16" t="s">
        <v>87</v>
      </c>
      <c r="I5798" s="16" t="s">
        <v>87</v>
      </c>
      <c r="J5798" s="19"/>
      <c r="L5798" s="16" t="str">
        <f>IFERROR(__xludf.DUMMYFUNCTION("""COMPUTED_VALUE"""),"")</f>
        <v/>
      </c>
      <c r="M5798" s="16" t="str">
        <f>IFERROR(__xludf.DUMMYFUNCTION("""COMPUTED_VALUE"""),"")</f>
        <v/>
      </c>
      <c r="U5798" s="16" t="s">
        <v>87</v>
      </c>
      <c r="V5798" s="16" t="str">
        <f>IFERROR(__xludf.DUMMYFUNCTION("""COMPUTED_VALUE"""),"")</f>
        <v/>
      </c>
      <c r="W5798" s="16" t="str">
        <f>IFERROR(__xludf.DUMMYFUNCTION("""COMPUTED_VALUE"""),"")</f>
        <v/>
      </c>
      <c r="X5798" s="16" t="str">
        <f>IFERROR(__xludf.DUMMYFUNCTION("""COMPUTED_VALUE"""),"")</f>
        <v/>
      </c>
      <c r="AC5798" s="16" t="str">
        <f>IFERROR(__xludf.DUMMYFUNCTION("""COMPUTED_VALUE"""),"")</f>
        <v/>
      </c>
    </row>
    <row r="5799">
      <c r="A5799" s="16" t="s">
        <v>87</v>
      </c>
      <c r="E5799" s="16" t="str">
        <f>IFERROR(__xludf.DUMMYFUNCTION("""COMPUTED_VALUE"""),"")</f>
        <v/>
      </c>
      <c r="G5799" s="18"/>
      <c r="H5799" s="16" t="s">
        <v>87</v>
      </c>
      <c r="I5799" s="16" t="s">
        <v>87</v>
      </c>
      <c r="J5799" s="19"/>
      <c r="L5799" s="16" t="str">
        <f>IFERROR(__xludf.DUMMYFUNCTION("""COMPUTED_VALUE"""),"")</f>
        <v/>
      </c>
      <c r="M5799" s="16" t="str">
        <f>IFERROR(__xludf.DUMMYFUNCTION("""COMPUTED_VALUE"""),"")</f>
        <v/>
      </c>
      <c r="U5799" s="16" t="s">
        <v>87</v>
      </c>
      <c r="V5799" s="16" t="str">
        <f>IFERROR(__xludf.DUMMYFUNCTION("""COMPUTED_VALUE"""),"")</f>
        <v/>
      </c>
      <c r="W5799" s="16" t="str">
        <f>IFERROR(__xludf.DUMMYFUNCTION("""COMPUTED_VALUE"""),"")</f>
        <v/>
      </c>
      <c r="X5799" s="16" t="str">
        <f>IFERROR(__xludf.DUMMYFUNCTION("""COMPUTED_VALUE"""),"")</f>
        <v/>
      </c>
      <c r="AC5799" s="16" t="str">
        <f>IFERROR(__xludf.DUMMYFUNCTION("""COMPUTED_VALUE"""),"")</f>
        <v/>
      </c>
    </row>
    <row r="5800">
      <c r="A5800" s="16" t="s">
        <v>87</v>
      </c>
      <c r="E5800" s="16" t="str">
        <f>IFERROR(__xludf.DUMMYFUNCTION("""COMPUTED_VALUE"""),"")</f>
        <v/>
      </c>
      <c r="G5800" s="18"/>
      <c r="H5800" s="16" t="s">
        <v>87</v>
      </c>
      <c r="I5800" s="16" t="s">
        <v>87</v>
      </c>
      <c r="J5800" s="19"/>
      <c r="L5800" s="16" t="str">
        <f>IFERROR(__xludf.DUMMYFUNCTION("""COMPUTED_VALUE"""),"")</f>
        <v/>
      </c>
      <c r="M5800" s="16" t="str">
        <f>IFERROR(__xludf.DUMMYFUNCTION("""COMPUTED_VALUE"""),"")</f>
        <v/>
      </c>
      <c r="U5800" s="16" t="s">
        <v>87</v>
      </c>
      <c r="V5800" s="16" t="str">
        <f>IFERROR(__xludf.DUMMYFUNCTION("""COMPUTED_VALUE"""),"")</f>
        <v/>
      </c>
      <c r="W5800" s="16" t="str">
        <f>IFERROR(__xludf.DUMMYFUNCTION("""COMPUTED_VALUE"""),"")</f>
        <v/>
      </c>
      <c r="X5800" s="16" t="str">
        <f>IFERROR(__xludf.DUMMYFUNCTION("""COMPUTED_VALUE"""),"")</f>
        <v/>
      </c>
      <c r="AC5800" s="16" t="str">
        <f>IFERROR(__xludf.DUMMYFUNCTION("""COMPUTED_VALUE"""),"")</f>
        <v/>
      </c>
    </row>
    <row r="5801">
      <c r="A5801" s="16" t="s">
        <v>87</v>
      </c>
      <c r="E5801" s="16" t="str">
        <f>IFERROR(__xludf.DUMMYFUNCTION("""COMPUTED_VALUE"""),"")</f>
        <v/>
      </c>
      <c r="G5801" s="18"/>
      <c r="H5801" s="16" t="s">
        <v>87</v>
      </c>
      <c r="I5801" s="16" t="s">
        <v>87</v>
      </c>
      <c r="J5801" s="19"/>
      <c r="L5801" s="16" t="str">
        <f>IFERROR(__xludf.DUMMYFUNCTION("""COMPUTED_VALUE"""),"")</f>
        <v/>
      </c>
      <c r="M5801" s="16" t="str">
        <f>IFERROR(__xludf.DUMMYFUNCTION("""COMPUTED_VALUE"""),"")</f>
        <v/>
      </c>
      <c r="U5801" s="16" t="s">
        <v>87</v>
      </c>
      <c r="V5801" s="16" t="str">
        <f>IFERROR(__xludf.DUMMYFUNCTION("""COMPUTED_VALUE"""),"")</f>
        <v/>
      </c>
      <c r="W5801" s="16" t="str">
        <f>IFERROR(__xludf.DUMMYFUNCTION("""COMPUTED_VALUE"""),"")</f>
        <v/>
      </c>
      <c r="X5801" s="16" t="str">
        <f>IFERROR(__xludf.DUMMYFUNCTION("""COMPUTED_VALUE"""),"")</f>
        <v/>
      </c>
      <c r="AC5801" s="16" t="str">
        <f>IFERROR(__xludf.DUMMYFUNCTION("""COMPUTED_VALUE"""),"")</f>
        <v/>
      </c>
    </row>
    <row r="5802">
      <c r="A5802" s="16" t="s">
        <v>87</v>
      </c>
      <c r="E5802" s="16" t="str">
        <f>IFERROR(__xludf.DUMMYFUNCTION("""COMPUTED_VALUE"""),"")</f>
        <v/>
      </c>
      <c r="G5802" s="18"/>
      <c r="H5802" s="16" t="s">
        <v>87</v>
      </c>
      <c r="I5802" s="16" t="s">
        <v>87</v>
      </c>
      <c r="J5802" s="19"/>
      <c r="L5802" s="16" t="str">
        <f>IFERROR(__xludf.DUMMYFUNCTION("""COMPUTED_VALUE"""),"")</f>
        <v/>
      </c>
      <c r="M5802" s="16" t="str">
        <f>IFERROR(__xludf.DUMMYFUNCTION("""COMPUTED_VALUE"""),"")</f>
        <v/>
      </c>
      <c r="U5802" s="16" t="s">
        <v>87</v>
      </c>
      <c r="V5802" s="16" t="str">
        <f>IFERROR(__xludf.DUMMYFUNCTION("""COMPUTED_VALUE"""),"")</f>
        <v/>
      </c>
      <c r="W5802" s="16" t="str">
        <f>IFERROR(__xludf.DUMMYFUNCTION("""COMPUTED_VALUE"""),"")</f>
        <v/>
      </c>
      <c r="X5802" s="16" t="str">
        <f>IFERROR(__xludf.DUMMYFUNCTION("""COMPUTED_VALUE"""),"")</f>
        <v/>
      </c>
      <c r="AC5802" s="16" t="str">
        <f>IFERROR(__xludf.DUMMYFUNCTION("""COMPUTED_VALUE"""),"")</f>
        <v/>
      </c>
    </row>
    <row r="5803">
      <c r="A5803" s="16" t="s">
        <v>87</v>
      </c>
      <c r="E5803" s="16" t="str">
        <f>IFERROR(__xludf.DUMMYFUNCTION("""COMPUTED_VALUE"""),"")</f>
        <v/>
      </c>
      <c r="G5803" s="18"/>
      <c r="H5803" s="16" t="s">
        <v>87</v>
      </c>
      <c r="I5803" s="16" t="s">
        <v>87</v>
      </c>
      <c r="J5803" s="19"/>
      <c r="L5803" s="16" t="str">
        <f>IFERROR(__xludf.DUMMYFUNCTION("""COMPUTED_VALUE"""),"")</f>
        <v/>
      </c>
      <c r="M5803" s="16" t="str">
        <f>IFERROR(__xludf.DUMMYFUNCTION("""COMPUTED_VALUE"""),"")</f>
        <v/>
      </c>
      <c r="U5803" s="16" t="s">
        <v>87</v>
      </c>
      <c r="V5803" s="16" t="str">
        <f>IFERROR(__xludf.DUMMYFUNCTION("""COMPUTED_VALUE"""),"")</f>
        <v/>
      </c>
      <c r="W5803" s="16" t="str">
        <f>IFERROR(__xludf.DUMMYFUNCTION("""COMPUTED_VALUE"""),"")</f>
        <v/>
      </c>
      <c r="X5803" s="16" t="str">
        <f>IFERROR(__xludf.DUMMYFUNCTION("""COMPUTED_VALUE"""),"")</f>
        <v/>
      </c>
      <c r="AC5803" s="16" t="str">
        <f>IFERROR(__xludf.DUMMYFUNCTION("""COMPUTED_VALUE"""),"")</f>
        <v/>
      </c>
    </row>
    <row r="5804">
      <c r="A5804" s="16" t="s">
        <v>87</v>
      </c>
      <c r="E5804" s="16" t="str">
        <f>IFERROR(__xludf.DUMMYFUNCTION("""COMPUTED_VALUE"""),"")</f>
        <v/>
      </c>
      <c r="G5804" s="18"/>
      <c r="H5804" s="16" t="s">
        <v>87</v>
      </c>
      <c r="I5804" s="16" t="s">
        <v>87</v>
      </c>
      <c r="J5804" s="19"/>
      <c r="L5804" s="16" t="str">
        <f>IFERROR(__xludf.DUMMYFUNCTION("""COMPUTED_VALUE"""),"")</f>
        <v/>
      </c>
      <c r="M5804" s="16" t="str">
        <f>IFERROR(__xludf.DUMMYFUNCTION("""COMPUTED_VALUE"""),"")</f>
        <v/>
      </c>
      <c r="U5804" s="16" t="s">
        <v>87</v>
      </c>
      <c r="V5804" s="16" t="str">
        <f>IFERROR(__xludf.DUMMYFUNCTION("""COMPUTED_VALUE"""),"")</f>
        <v/>
      </c>
      <c r="W5804" s="16" t="str">
        <f>IFERROR(__xludf.DUMMYFUNCTION("""COMPUTED_VALUE"""),"")</f>
        <v/>
      </c>
      <c r="X5804" s="16" t="str">
        <f>IFERROR(__xludf.DUMMYFUNCTION("""COMPUTED_VALUE"""),"")</f>
        <v/>
      </c>
      <c r="AC5804" s="16" t="str">
        <f>IFERROR(__xludf.DUMMYFUNCTION("""COMPUTED_VALUE"""),"")</f>
        <v/>
      </c>
    </row>
    <row r="5805">
      <c r="A5805" s="16" t="s">
        <v>87</v>
      </c>
      <c r="E5805" s="16" t="str">
        <f>IFERROR(__xludf.DUMMYFUNCTION("""COMPUTED_VALUE"""),"")</f>
        <v/>
      </c>
      <c r="G5805" s="18"/>
      <c r="H5805" s="16" t="s">
        <v>87</v>
      </c>
      <c r="I5805" s="16" t="s">
        <v>87</v>
      </c>
      <c r="J5805" s="19"/>
      <c r="L5805" s="16" t="str">
        <f>IFERROR(__xludf.DUMMYFUNCTION("""COMPUTED_VALUE"""),"")</f>
        <v/>
      </c>
      <c r="M5805" s="16" t="str">
        <f>IFERROR(__xludf.DUMMYFUNCTION("""COMPUTED_VALUE"""),"")</f>
        <v/>
      </c>
      <c r="U5805" s="16" t="s">
        <v>87</v>
      </c>
      <c r="V5805" s="16" t="str">
        <f>IFERROR(__xludf.DUMMYFUNCTION("""COMPUTED_VALUE"""),"")</f>
        <v/>
      </c>
      <c r="W5805" s="16" t="str">
        <f>IFERROR(__xludf.DUMMYFUNCTION("""COMPUTED_VALUE"""),"")</f>
        <v/>
      </c>
      <c r="X5805" s="16" t="str">
        <f>IFERROR(__xludf.DUMMYFUNCTION("""COMPUTED_VALUE"""),"")</f>
        <v/>
      </c>
      <c r="AC5805" s="16" t="str">
        <f>IFERROR(__xludf.DUMMYFUNCTION("""COMPUTED_VALUE"""),"")</f>
        <v/>
      </c>
    </row>
    <row r="5806">
      <c r="A5806" s="16" t="s">
        <v>87</v>
      </c>
      <c r="E5806" s="16" t="str">
        <f>IFERROR(__xludf.DUMMYFUNCTION("""COMPUTED_VALUE"""),"")</f>
        <v/>
      </c>
      <c r="G5806" s="18"/>
      <c r="H5806" s="16" t="s">
        <v>87</v>
      </c>
      <c r="I5806" s="16" t="s">
        <v>87</v>
      </c>
      <c r="J5806" s="19"/>
      <c r="L5806" s="16" t="str">
        <f>IFERROR(__xludf.DUMMYFUNCTION("""COMPUTED_VALUE"""),"")</f>
        <v/>
      </c>
      <c r="M5806" s="16" t="str">
        <f>IFERROR(__xludf.DUMMYFUNCTION("""COMPUTED_VALUE"""),"")</f>
        <v/>
      </c>
      <c r="U5806" s="16" t="s">
        <v>87</v>
      </c>
      <c r="V5806" s="16" t="str">
        <f>IFERROR(__xludf.DUMMYFUNCTION("""COMPUTED_VALUE"""),"")</f>
        <v/>
      </c>
      <c r="W5806" s="16" t="str">
        <f>IFERROR(__xludf.DUMMYFUNCTION("""COMPUTED_VALUE"""),"")</f>
        <v/>
      </c>
      <c r="X5806" s="16" t="str">
        <f>IFERROR(__xludf.DUMMYFUNCTION("""COMPUTED_VALUE"""),"")</f>
        <v/>
      </c>
      <c r="AC5806" s="16" t="str">
        <f>IFERROR(__xludf.DUMMYFUNCTION("""COMPUTED_VALUE"""),"")</f>
        <v/>
      </c>
    </row>
    <row r="5807">
      <c r="A5807" s="16" t="s">
        <v>87</v>
      </c>
      <c r="E5807" s="16" t="str">
        <f>IFERROR(__xludf.DUMMYFUNCTION("""COMPUTED_VALUE"""),"")</f>
        <v/>
      </c>
      <c r="G5807" s="18"/>
      <c r="H5807" s="16" t="s">
        <v>87</v>
      </c>
      <c r="I5807" s="16" t="s">
        <v>87</v>
      </c>
      <c r="J5807" s="19"/>
      <c r="L5807" s="16" t="str">
        <f>IFERROR(__xludf.DUMMYFUNCTION("""COMPUTED_VALUE"""),"")</f>
        <v/>
      </c>
      <c r="M5807" s="16" t="str">
        <f>IFERROR(__xludf.DUMMYFUNCTION("""COMPUTED_VALUE"""),"")</f>
        <v/>
      </c>
      <c r="U5807" s="16" t="s">
        <v>87</v>
      </c>
      <c r="V5807" s="16" t="str">
        <f>IFERROR(__xludf.DUMMYFUNCTION("""COMPUTED_VALUE"""),"")</f>
        <v/>
      </c>
      <c r="W5807" s="16" t="str">
        <f>IFERROR(__xludf.DUMMYFUNCTION("""COMPUTED_VALUE"""),"")</f>
        <v/>
      </c>
      <c r="X5807" s="16" t="str">
        <f>IFERROR(__xludf.DUMMYFUNCTION("""COMPUTED_VALUE"""),"")</f>
        <v/>
      </c>
      <c r="AC5807" s="16" t="str">
        <f>IFERROR(__xludf.DUMMYFUNCTION("""COMPUTED_VALUE"""),"")</f>
        <v/>
      </c>
    </row>
    <row r="5808">
      <c r="A5808" s="16" t="s">
        <v>87</v>
      </c>
      <c r="E5808" s="16" t="str">
        <f>IFERROR(__xludf.DUMMYFUNCTION("""COMPUTED_VALUE"""),"")</f>
        <v/>
      </c>
      <c r="G5808" s="18"/>
      <c r="H5808" s="16" t="s">
        <v>87</v>
      </c>
      <c r="I5808" s="16" t="s">
        <v>87</v>
      </c>
      <c r="J5808" s="19"/>
      <c r="L5808" s="16" t="str">
        <f>IFERROR(__xludf.DUMMYFUNCTION("""COMPUTED_VALUE"""),"")</f>
        <v/>
      </c>
      <c r="M5808" s="16" t="str">
        <f>IFERROR(__xludf.DUMMYFUNCTION("""COMPUTED_VALUE"""),"")</f>
        <v/>
      </c>
      <c r="U5808" s="16" t="s">
        <v>87</v>
      </c>
      <c r="V5808" s="16" t="str">
        <f>IFERROR(__xludf.DUMMYFUNCTION("""COMPUTED_VALUE"""),"")</f>
        <v/>
      </c>
      <c r="W5808" s="16" t="str">
        <f>IFERROR(__xludf.DUMMYFUNCTION("""COMPUTED_VALUE"""),"")</f>
        <v/>
      </c>
      <c r="X5808" s="16" t="str">
        <f>IFERROR(__xludf.DUMMYFUNCTION("""COMPUTED_VALUE"""),"")</f>
        <v/>
      </c>
      <c r="AC5808" s="16" t="str">
        <f>IFERROR(__xludf.DUMMYFUNCTION("""COMPUTED_VALUE"""),"")</f>
        <v/>
      </c>
    </row>
    <row r="5809">
      <c r="A5809" s="16" t="s">
        <v>87</v>
      </c>
      <c r="E5809" s="16" t="str">
        <f>IFERROR(__xludf.DUMMYFUNCTION("""COMPUTED_VALUE"""),"")</f>
        <v/>
      </c>
      <c r="G5809" s="18"/>
      <c r="H5809" s="16" t="s">
        <v>87</v>
      </c>
      <c r="I5809" s="16" t="s">
        <v>87</v>
      </c>
      <c r="J5809" s="19"/>
      <c r="L5809" s="16" t="str">
        <f>IFERROR(__xludf.DUMMYFUNCTION("""COMPUTED_VALUE"""),"")</f>
        <v/>
      </c>
      <c r="M5809" s="16" t="str">
        <f>IFERROR(__xludf.DUMMYFUNCTION("""COMPUTED_VALUE"""),"")</f>
        <v/>
      </c>
      <c r="U5809" s="16" t="s">
        <v>87</v>
      </c>
      <c r="V5809" s="16" t="str">
        <f>IFERROR(__xludf.DUMMYFUNCTION("""COMPUTED_VALUE"""),"")</f>
        <v/>
      </c>
      <c r="W5809" s="16" t="str">
        <f>IFERROR(__xludf.DUMMYFUNCTION("""COMPUTED_VALUE"""),"")</f>
        <v/>
      </c>
      <c r="X5809" s="16" t="str">
        <f>IFERROR(__xludf.DUMMYFUNCTION("""COMPUTED_VALUE"""),"")</f>
        <v/>
      </c>
      <c r="AC5809" s="16" t="str">
        <f>IFERROR(__xludf.DUMMYFUNCTION("""COMPUTED_VALUE"""),"")</f>
        <v/>
      </c>
    </row>
    <row r="5810">
      <c r="A5810" s="16" t="s">
        <v>87</v>
      </c>
      <c r="E5810" s="16" t="str">
        <f>IFERROR(__xludf.DUMMYFUNCTION("""COMPUTED_VALUE"""),"")</f>
        <v/>
      </c>
      <c r="G5810" s="18"/>
      <c r="H5810" s="16" t="s">
        <v>87</v>
      </c>
      <c r="I5810" s="16" t="s">
        <v>87</v>
      </c>
      <c r="J5810" s="19"/>
      <c r="L5810" s="16" t="str">
        <f>IFERROR(__xludf.DUMMYFUNCTION("""COMPUTED_VALUE"""),"")</f>
        <v/>
      </c>
      <c r="M5810" s="16" t="str">
        <f>IFERROR(__xludf.DUMMYFUNCTION("""COMPUTED_VALUE"""),"")</f>
        <v/>
      </c>
      <c r="U5810" s="16" t="s">
        <v>87</v>
      </c>
      <c r="V5810" s="16" t="str">
        <f>IFERROR(__xludf.DUMMYFUNCTION("""COMPUTED_VALUE"""),"")</f>
        <v/>
      </c>
      <c r="W5810" s="16" t="str">
        <f>IFERROR(__xludf.DUMMYFUNCTION("""COMPUTED_VALUE"""),"")</f>
        <v/>
      </c>
      <c r="X5810" s="16" t="str">
        <f>IFERROR(__xludf.DUMMYFUNCTION("""COMPUTED_VALUE"""),"")</f>
        <v/>
      </c>
      <c r="AC5810" s="16" t="str">
        <f>IFERROR(__xludf.DUMMYFUNCTION("""COMPUTED_VALUE"""),"")</f>
        <v/>
      </c>
    </row>
    <row r="5811">
      <c r="A5811" s="16" t="s">
        <v>87</v>
      </c>
      <c r="E5811" s="16" t="str">
        <f>IFERROR(__xludf.DUMMYFUNCTION("""COMPUTED_VALUE"""),"")</f>
        <v/>
      </c>
      <c r="G5811" s="18"/>
      <c r="H5811" s="16" t="s">
        <v>87</v>
      </c>
      <c r="I5811" s="16" t="s">
        <v>87</v>
      </c>
      <c r="J5811" s="19"/>
      <c r="L5811" s="16" t="str">
        <f>IFERROR(__xludf.DUMMYFUNCTION("""COMPUTED_VALUE"""),"")</f>
        <v/>
      </c>
      <c r="M5811" s="16" t="str">
        <f>IFERROR(__xludf.DUMMYFUNCTION("""COMPUTED_VALUE"""),"")</f>
        <v/>
      </c>
      <c r="U5811" s="16" t="s">
        <v>87</v>
      </c>
      <c r="V5811" s="16" t="str">
        <f>IFERROR(__xludf.DUMMYFUNCTION("""COMPUTED_VALUE"""),"")</f>
        <v/>
      </c>
      <c r="W5811" s="16" t="str">
        <f>IFERROR(__xludf.DUMMYFUNCTION("""COMPUTED_VALUE"""),"")</f>
        <v/>
      </c>
      <c r="X5811" s="16" t="str">
        <f>IFERROR(__xludf.DUMMYFUNCTION("""COMPUTED_VALUE"""),"")</f>
        <v/>
      </c>
      <c r="AC5811" s="16" t="str">
        <f>IFERROR(__xludf.DUMMYFUNCTION("""COMPUTED_VALUE"""),"")</f>
        <v/>
      </c>
    </row>
    <row r="5812">
      <c r="A5812" s="16" t="s">
        <v>87</v>
      </c>
      <c r="E5812" s="16" t="str">
        <f>IFERROR(__xludf.DUMMYFUNCTION("""COMPUTED_VALUE"""),"")</f>
        <v/>
      </c>
      <c r="G5812" s="18"/>
      <c r="H5812" s="16" t="s">
        <v>87</v>
      </c>
      <c r="I5812" s="16" t="s">
        <v>87</v>
      </c>
      <c r="J5812" s="19"/>
      <c r="L5812" s="16" t="str">
        <f>IFERROR(__xludf.DUMMYFUNCTION("""COMPUTED_VALUE"""),"")</f>
        <v/>
      </c>
      <c r="M5812" s="16" t="str">
        <f>IFERROR(__xludf.DUMMYFUNCTION("""COMPUTED_VALUE"""),"")</f>
        <v/>
      </c>
      <c r="U5812" s="16" t="s">
        <v>87</v>
      </c>
      <c r="V5812" s="16" t="str">
        <f>IFERROR(__xludf.DUMMYFUNCTION("""COMPUTED_VALUE"""),"")</f>
        <v/>
      </c>
      <c r="W5812" s="16" t="str">
        <f>IFERROR(__xludf.DUMMYFUNCTION("""COMPUTED_VALUE"""),"")</f>
        <v/>
      </c>
      <c r="X5812" s="16" t="str">
        <f>IFERROR(__xludf.DUMMYFUNCTION("""COMPUTED_VALUE"""),"")</f>
        <v/>
      </c>
      <c r="AC5812" s="16" t="str">
        <f>IFERROR(__xludf.DUMMYFUNCTION("""COMPUTED_VALUE"""),"")</f>
        <v/>
      </c>
    </row>
    <row r="5813">
      <c r="A5813" s="16" t="s">
        <v>87</v>
      </c>
      <c r="E5813" s="16" t="str">
        <f>IFERROR(__xludf.DUMMYFUNCTION("""COMPUTED_VALUE"""),"")</f>
        <v/>
      </c>
      <c r="G5813" s="18"/>
      <c r="H5813" s="16" t="s">
        <v>87</v>
      </c>
      <c r="I5813" s="16" t="s">
        <v>87</v>
      </c>
      <c r="J5813" s="19"/>
      <c r="L5813" s="16" t="str">
        <f>IFERROR(__xludf.DUMMYFUNCTION("""COMPUTED_VALUE"""),"")</f>
        <v/>
      </c>
      <c r="M5813" s="16" t="str">
        <f>IFERROR(__xludf.DUMMYFUNCTION("""COMPUTED_VALUE"""),"")</f>
        <v/>
      </c>
      <c r="U5813" s="16" t="s">
        <v>87</v>
      </c>
      <c r="V5813" s="16" t="str">
        <f>IFERROR(__xludf.DUMMYFUNCTION("""COMPUTED_VALUE"""),"")</f>
        <v/>
      </c>
      <c r="W5813" s="16" t="str">
        <f>IFERROR(__xludf.DUMMYFUNCTION("""COMPUTED_VALUE"""),"")</f>
        <v/>
      </c>
      <c r="X5813" s="16" t="str">
        <f>IFERROR(__xludf.DUMMYFUNCTION("""COMPUTED_VALUE"""),"")</f>
        <v/>
      </c>
      <c r="AC5813" s="16" t="str">
        <f>IFERROR(__xludf.DUMMYFUNCTION("""COMPUTED_VALUE"""),"")</f>
        <v/>
      </c>
    </row>
    <row r="5814">
      <c r="A5814" s="16" t="s">
        <v>87</v>
      </c>
      <c r="E5814" s="16" t="str">
        <f>IFERROR(__xludf.DUMMYFUNCTION("""COMPUTED_VALUE"""),"")</f>
        <v/>
      </c>
      <c r="G5814" s="18"/>
      <c r="H5814" s="16" t="s">
        <v>87</v>
      </c>
      <c r="I5814" s="16" t="s">
        <v>87</v>
      </c>
      <c r="J5814" s="19"/>
      <c r="L5814" s="16" t="str">
        <f>IFERROR(__xludf.DUMMYFUNCTION("""COMPUTED_VALUE"""),"")</f>
        <v/>
      </c>
      <c r="M5814" s="16" t="str">
        <f>IFERROR(__xludf.DUMMYFUNCTION("""COMPUTED_VALUE"""),"")</f>
        <v/>
      </c>
      <c r="U5814" s="16" t="s">
        <v>87</v>
      </c>
      <c r="V5814" s="16" t="str">
        <f>IFERROR(__xludf.DUMMYFUNCTION("""COMPUTED_VALUE"""),"")</f>
        <v/>
      </c>
      <c r="W5814" s="16" t="str">
        <f>IFERROR(__xludf.DUMMYFUNCTION("""COMPUTED_VALUE"""),"")</f>
        <v/>
      </c>
      <c r="X5814" s="16" t="str">
        <f>IFERROR(__xludf.DUMMYFUNCTION("""COMPUTED_VALUE"""),"")</f>
        <v/>
      </c>
      <c r="AC5814" s="16" t="str">
        <f>IFERROR(__xludf.DUMMYFUNCTION("""COMPUTED_VALUE"""),"")</f>
        <v/>
      </c>
    </row>
    <row r="5815">
      <c r="A5815" s="16" t="s">
        <v>87</v>
      </c>
      <c r="E5815" s="16" t="str">
        <f>IFERROR(__xludf.DUMMYFUNCTION("""COMPUTED_VALUE"""),"")</f>
        <v/>
      </c>
      <c r="G5815" s="18"/>
      <c r="H5815" s="16" t="s">
        <v>87</v>
      </c>
      <c r="I5815" s="16" t="s">
        <v>87</v>
      </c>
      <c r="J5815" s="19"/>
      <c r="L5815" s="16" t="str">
        <f>IFERROR(__xludf.DUMMYFUNCTION("""COMPUTED_VALUE"""),"")</f>
        <v/>
      </c>
      <c r="M5815" s="16" t="str">
        <f>IFERROR(__xludf.DUMMYFUNCTION("""COMPUTED_VALUE"""),"")</f>
        <v/>
      </c>
      <c r="U5815" s="16" t="s">
        <v>87</v>
      </c>
      <c r="V5815" s="16" t="str">
        <f>IFERROR(__xludf.DUMMYFUNCTION("""COMPUTED_VALUE"""),"")</f>
        <v/>
      </c>
      <c r="W5815" s="16" t="str">
        <f>IFERROR(__xludf.DUMMYFUNCTION("""COMPUTED_VALUE"""),"")</f>
        <v/>
      </c>
      <c r="X5815" s="16" t="str">
        <f>IFERROR(__xludf.DUMMYFUNCTION("""COMPUTED_VALUE"""),"")</f>
        <v/>
      </c>
      <c r="AC5815" s="16" t="str">
        <f>IFERROR(__xludf.DUMMYFUNCTION("""COMPUTED_VALUE"""),"")</f>
        <v/>
      </c>
    </row>
    <row r="5816">
      <c r="A5816" s="16" t="s">
        <v>87</v>
      </c>
      <c r="E5816" s="16" t="str">
        <f>IFERROR(__xludf.DUMMYFUNCTION("""COMPUTED_VALUE"""),"")</f>
        <v/>
      </c>
      <c r="G5816" s="18"/>
      <c r="H5816" s="16" t="s">
        <v>87</v>
      </c>
      <c r="I5816" s="16" t="s">
        <v>87</v>
      </c>
      <c r="J5816" s="19"/>
      <c r="L5816" s="16" t="str">
        <f>IFERROR(__xludf.DUMMYFUNCTION("""COMPUTED_VALUE"""),"")</f>
        <v/>
      </c>
      <c r="M5816" s="16" t="str">
        <f>IFERROR(__xludf.DUMMYFUNCTION("""COMPUTED_VALUE"""),"")</f>
        <v/>
      </c>
      <c r="U5816" s="16" t="s">
        <v>87</v>
      </c>
      <c r="V5816" s="16" t="str">
        <f>IFERROR(__xludf.DUMMYFUNCTION("""COMPUTED_VALUE"""),"")</f>
        <v/>
      </c>
      <c r="W5816" s="16" t="str">
        <f>IFERROR(__xludf.DUMMYFUNCTION("""COMPUTED_VALUE"""),"")</f>
        <v/>
      </c>
      <c r="X5816" s="16" t="str">
        <f>IFERROR(__xludf.DUMMYFUNCTION("""COMPUTED_VALUE"""),"")</f>
        <v/>
      </c>
      <c r="AC5816" s="16" t="str">
        <f>IFERROR(__xludf.DUMMYFUNCTION("""COMPUTED_VALUE"""),"")</f>
        <v/>
      </c>
    </row>
    <row r="5817">
      <c r="A5817" s="16" t="s">
        <v>87</v>
      </c>
      <c r="E5817" s="16" t="str">
        <f>IFERROR(__xludf.DUMMYFUNCTION("""COMPUTED_VALUE"""),"")</f>
        <v/>
      </c>
      <c r="G5817" s="18"/>
      <c r="H5817" s="16" t="s">
        <v>87</v>
      </c>
      <c r="I5817" s="16" t="s">
        <v>87</v>
      </c>
      <c r="J5817" s="19"/>
      <c r="L5817" s="16" t="str">
        <f>IFERROR(__xludf.DUMMYFUNCTION("""COMPUTED_VALUE"""),"")</f>
        <v/>
      </c>
      <c r="M5817" s="16" t="str">
        <f>IFERROR(__xludf.DUMMYFUNCTION("""COMPUTED_VALUE"""),"")</f>
        <v/>
      </c>
      <c r="U5817" s="16" t="s">
        <v>87</v>
      </c>
      <c r="V5817" s="16" t="str">
        <f>IFERROR(__xludf.DUMMYFUNCTION("""COMPUTED_VALUE"""),"")</f>
        <v/>
      </c>
      <c r="W5817" s="16" t="str">
        <f>IFERROR(__xludf.DUMMYFUNCTION("""COMPUTED_VALUE"""),"")</f>
        <v/>
      </c>
      <c r="X5817" s="16" t="str">
        <f>IFERROR(__xludf.DUMMYFUNCTION("""COMPUTED_VALUE"""),"")</f>
        <v/>
      </c>
      <c r="AC5817" s="16" t="str">
        <f>IFERROR(__xludf.DUMMYFUNCTION("""COMPUTED_VALUE"""),"")</f>
        <v/>
      </c>
    </row>
    <row r="5818">
      <c r="A5818" s="16" t="s">
        <v>87</v>
      </c>
      <c r="E5818" s="16" t="str">
        <f>IFERROR(__xludf.DUMMYFUNCTION("""COMPUTED_VALUE"""),"")</f>
        <v/>
      </c>
      <c r="G5818" s="18"/>
      <c r="H5818" s="16" t="s">
        <v>87</v>
      </c>
      <c r="I5818" s="16" t="s">
        <v>87</v>
      </c>
      <c r="J5818" s="19"/>
      <c r="L5818" s="16" t="str">
        <f>IFERROR(__xludf.DUMMYFUNCTION("""COMPUTED_VALUE"""),"")</f>
        <v/>
      </c>
      <c r="M5818" s="16" t="str">
        <f>IFERROR(__xludf.DUMMYFUNCTION("""COMPUTED_VALUE"""),"")</f>
        <v/>
      </c>
      <c r="U5818" s="16" t="s">
        <v>87</v>
      </c>
      <c r="V5818" s="16" t="str">
        <f>IFERROR(__xludf.DUMMYFUNCTION("""COMPUTED_VALUE"""),"")</f>
        <v/>
      </c>
      <c r="W5818" s="16" t="str">
        <f>IFERROR(__xludf.DUMMYFUNCTION("""COMPUTED_VALUE"""),"")</f>
        <v/>
      </c>
      <c r="X5818" s="16" t="str">
        <f>IFERROR(__xludf.DUMMYFUNCTION("""COMPUTED_VALUE"""),"")</f>
        <v/>
      </c>
      <c r="AC5818" s="16" t="str">
        <f>IFERROR(__xludf.DUMMYFUNCTION("""COMPUTED_VALUE"""),"")</f>
        <v/>
      </c>
    </row>
    <row r="5819">
      <c r="A5819" s="16" t="s">
        <v>87</v>
      </c>
      <c r="E5819" s="16" t="str">
        <f>IFERROR(__xludf.DUMMYFUNCTION("""COMPUTED_VALUE"""),"")</f>
        <v/>
      </c>
      <c r="G5819" s="18"/>
      <c r="H5819" s="16" t="s">
        <v>87</v>
      </c>
      <c r="I5819" s="16" t="s">
        <v>87</v>
      </c>
      <c r="J5819" s="19"/>
      <c r="L5819" s="16" t="str">
        <f>IFERROR(__xludf.DUMMYFUNCTION("""COMPUTED_VALUE"""),"")</f>
        <v/>
      </c>
      <c r="M5819" s="16" t="str">
        <f>IFERROR(__xludf.DUMMYFUNCTION("""COMPUTED_VALUE"""),"")</f>
        <v/>
      </c>
      <c r="U5819" s="16" t="s">
        <v>87</v>
      </c>
      <c r="V5819" s="16" t="str">
        <f>IFERROR(__xludf.DUMMYFUNCTION("""COMPUTED_VALUE"""),"")</f>
        <v/>
      </c>
      <c r="W5819" s="16" t="str">
        <f>IFERROR(__xludf.DUMMYFUNCTION("""COMPUTED_VALUE"""),"")</f>
        <v/>
      </c>
      <c r="X5819" s="16" t="str">
        <f>IFERROR(__xludf.DUMMYFUNCTION("""COMPUTED_VALUE"""),"")</f>
        <v/>
      </c>
      <c r="AC5819" s="16" t="str">
        <f>IFERROR(__xludf.DUMMYFUNCTION("""COMPUTED_VALUE"""),"")</f>
        <v/>
      </c>
    </row>
    <row r="5820">
      <c r="A5820" s="16" t="s">
        <v>87</v>
      </c>
      <c r="E5820" s="16" t="str">
        <f>IFERROR(__xludf.DUMMYFUNCTION("""COMPUTED_VALUE"""),"")</f>
        <v/>
      </c>
      <c r="G5820" s="18"/>
      <c r="H5820" s="16" t="s">
        <v>87</v>
      </c>
      <c r="I5820" s="16" t="s">
        <v>87</v>
      </c>
      <c r="J5820" s="19"/>
      <c r="L5820" s="16" t="str">
        <f>IFERROR(__xludf.DUMMYFUNCTION("""COMPUTED_VALUE"""),"")</f>
        <v/>
      </c>
      <c r="M5820" s="16" t="str">
        <f>IFERROR(__xludf.DUMMYFUNCTION("""COMPUTED_VALUE"""),"")</f>
        <v/>
      </c>
      <c r="U5820" s="16" t="s">
        <v>87</v>
      </c>
      <c r="V5820" s="16" t="str">
        <f>IFERROR(__xludf.DUMMYFUNCTION("""COMPUTED_VALUE"""),"")</f>
        <v/>
      </c>
      <c r="W5820" s="16" t="str">
        <f>IFERROR(__xludf.DUMMYFUNCTION("""COMPUTED_VALUE"""),"")</f>
        <v/>
      </c>
      <c r="X5820" s="16" t="str">
        <f>IFERROR(__xludf.DUMMYFUNCTION("""COMPUTED_VALUE"""),"")</f>
        <v/>
      </c>
      <c r="AC5820" s="16" t="str">
        <f>IFERROR(__xludf.DUMMYFUNCTION("""COMPUTED_VALUE"""),"")</f>
        <v/>
      </c>
    </row>
    <row r="5821">
      <c r="A5821" s="16" t="s">
        <v>87</v>
      </c>
      <c r="E5821" s="16" t="str">
        <f>IFERROR(__xludf.DUMMYFUNCTION("""COMPUTED_VALUE"""),"")</f>
        <v/>
      </c>
      <c r="G5821" s="18"/>
      <c r="H5821" s="16" t="s">
        <v>87</v>
      </c>
      <c r="I5821" s="16" t="s">
        <v>87</v>
      </c>
      <c r="J5821" s="19"/>
      <c r="L5821" s="16" t="str">
        <f>IFERROR(__xludf.DUMMYFUNCTION("""COMPUTED_VALUE"""),"")</f>
        <v/>
      </c>
      <c r="M5821" s="16" t="str">
        <f>IFERROR(__xludf.DUMMYFUNCTION("""COMPUTED_VALUE"""),"")</f>
        <v/>
      </c>
      <c r="U5821" s="16" t="s">
        <v>87</v>
      </c>
      <c r="V5821" s="16" t="str">
        <f>IFERROR(__xludf.DUMMYFUNCTION("""COMPUTED_VALUE"""),"")</f>
        <v/>
      </c>
      <c r="W5821" s="16" t="str">
        <f>IFERROR(__xludf.DUMMYFUNCTION("""COMPUTED_VALUE"""),"")</f>
        <v/>
      </c>
      <c r="X5821" s="16" t="str">
        <f>IFERROR(__xludf.DUMMYFUNCTION("""COMPUTED_VALUE"""),"")</f>
        <v/>
      </c>
      <c r="AC5821" s="16" t="str">
        <f>IFERROR(__xludf.DUMMYFUNCTION("""COMPUTED_VALUE"""),"")</f>
        <v/>
      </c>
    </row>
    <row r="5822">
      <c r="A5822" s="16" t="s">
        <v>87</v>
      </c>
      <c r="E5822" s="16" t="str">
        <f>IFERROR(__xludf.DUMMYFUNCTION("""COMPUTED_VALUE"""),"")</f>
        <v/>
      </c>
      <c r="G5822" s="18"/>
      <c r="H5822" s="16" t="s">
        <v>87</v>
      </c>
      <c r="I5822" s="16" t="s">
        <v>87</v>
      </c>
      <c r="J5822" s="19"/>
      <c r="L5822" s="16" t="str">
        <f>IFERROR(__xludf.DUMMYFUNCTION("""COMPUTED_VALUE"""),"")</f>
        <v/>
      </c>
      <c r="M5822" s="16" t="str">
        <f>IFERROR(__xludf.DUMMYFUNCTION("""COMPUTED_VALUE"""),"")</f>
        <v/>
      </c>
      <c r="U5822" s="16" t="s">
        <v>87</v>
      </c>
      <c r="V5822" s="16" t="str">
        <f>IFERROR(__xludf.DUMMYFUNCTION("""COMPUTED_VALUE"""),"")</f>
        <v/>
      </c>
      <c r="W5822" s="16" t="str">
        <f>IFERROR(__xludf.DUMMYFUNCTION("""COMPUTED_VALUE"""),"")</f>
        <v/>
      </c>
      <c r="X5822" s="16" t="str">
        <f>IFERROR(__xludf.DUMMYFUNCTION("""COMPUTED_VALUE"""),"")</f>
        <v/>
      </c>
      <c r="AC5822" s="16" t="str">
        <f>IFERROR(__xludf.DUMMYFUNCTION("""COMPUTED_VALUE"""),"")</f>
        <v/>
      </c>
    </row>
    <row r="5823">
      <c r="A5823" s="16" t="s">
        <v>87</v>
      </c>
      <c r="E5823" s="16" t="str">
        <f>IFERROR(__xludf.DUMMYFUNCTION("""COMPUTED_VALUE"""),"")</f>
        <v/>
      </c>
      <c r="G5823" s="18"/>
      <c r="H5823" s="16" t="s">
        <v>87</v>
      </c>
      <c r="I5823" s="16" t="s">
        <v>87</v>
      </c>
      <c r="J5823" s="19"/>
      <c r="L5823" s="16" t="str">
        <f>IFERROR(__xludf.DUMMYFUNCTION("""COMPUTED_VALUE"""),"")</f>
        <v/>
      </c>
      <c r="M5823" s="16" t="str">
        <f>IFERROR(__xludf.DUMMYFUNCTION("""COMPUTED_VALUE"""),"")</f>
        <v/>
      </c>
      <c r="U5823" s="16" t="s">
        <v>87</v>
      </c>
      <c r="V5823" s="16" t="str">
        <f>IFERROR(__xludf.DUMMYFUNCTION("""COMPUTED_VALUE"""),"")</f>
        <v/>
      </c>
      <c r="W5823" s="16" t="str">
        <f>IFERROR(__xludf.DUMMYFUNCTION("""COMPUTED_VALUE"""),"")</f>
        <v/>
      </c>
      <c r="X5823" s="16" t="str">
        <f>IFERROR(__xludf.DUMMYFUNCTION("""COMPUTED_VALUE"""),"")</f>
        <v/>
      </c>
      <c r="AC5823" s="16" t="str">
        <f>IFERROR(__xludf.DUMMYFUNCTION("""COMPUTED_VALUE"""),"")</f>
        <v/>
      </c>
    </row>
    <row r="5824">
      <c r="A5824" s="16" t="s">
        <v>87</v>
      </c>
      <c r="E5824" s="16" t="str">
        <f>IFERROR(__xludf.DUMMYFUNCTION("""COMPUTED_VALUE"""),"")</f>
        <v/>
      </c>
      <c r="G5824" s="18"/>
      <c r="H5824" s="16" t="s">
        <v>87</v>
      </c>
      <c r="I5824" s="16" t="s">
        <v>87</v>
      </c>
      <c r="J5824" s="19"/>
      <c r="L5824" s="16" t="str">
        <f>IFERROR(__xludf.DUMMYFUNCTION("""COMPUTED_VALUE"""),"")</f>
        <v/>
      </c>
      <c r="M5824" s="16" t="str">
        <f>IFERROR(__xludf.DUMMYFUNCTION("""COMPUTED_VALUE"""),"")</f>
        <v/>
      </c>
      <c r="U5824" s="16" t="s">
        <v>87</v>
      </c>
      <c r="V5824" s="16" t="str">
        <f>IFERROR(__xludf.DUMMYFUNCTION("""COMPUTED_VALUE"""),"")</f>
        <v/>
      </c>
      <c r="W5824" s="16" t="str">
        <f>IFERROR(__xludf.DUMMYFUNCTION("""COMPUTED_VALUE"""),"")</f>
        <v/>
      </c>
      <c r="X5824" s="16" t="str">
        <f>IFERROR(__xludf.DUMMYFUNCTION("""COMPUTED_VALUE"""),"")</f>
        <v/>
      </c>
      <c r="AC5824" s="16" t="str">
        <f>IFERROR(__xludf.DUMMYFUNCTION("""COMPUTED_VALUE"""),"")</f>
        <v/>
      </c>
    </row>
    <row r="5825">
      <c r="A5825" s="16" t="s">
        <v>87</v>
      </c>
      <c r="E5825" s="16" t="str">
        <f>IFERROR(__xludf.DUMMYFUNCTION("""COMPUTED_VALUE"""),"")</f>
        <v/>
      </c>
      <c r="G5825" s="18"/>
      <c r="H5825" s="16" t="s">
        <v>87</v>
      </c>
      <c r="I5825" s="16" t="s">
        <v>87</v>
      </c>
      <c r="J5825" s="19"/>
      <c r="L5825" s="16" t="str">
        <f>IFERROR(__xludf.DUMMYFUNCTION("""COMPUTED_VALUE"""),"")</f>
        <v/>
      </c>
      <c r="M5825" s="16" t="str">
        <f>IFERROR(__xludf.DUMMYFUNCTION("""COMPUTED_VALUE"""),"")</f>
        <v/>
      </c>
      <c r="U5825" s="16" t="s">
        <v>87</v>
      </c>
      <c r="V5825" s="16" t="str">
        <f>IFERROR(__xludf.DUMMYFUNCTION("""COMPUTED_VALUE"""),"")</f>
        <v/>
      </c>
      <c r="W5825" s="16" t="str">
        <f>IFERROR(__xludf.DUMMYFUNCTION("""COMPUTED_VALUE"""),"")</f>
        <v/>
      </c>
      <c r="X5825" s="16" t="str">
        <f>IFERROR(__xludf.DUMMYFUNCTION("""COMPUTED_VALUE"""),"")</f>
        <v/>
      </c>
      <c r="AC5825" s="16" t="str">
        <f>IFERROR(__xludf.DUMMYFUNCTION("""COMPUTED_VALUE"""),"")</f>
        <v/>
      </c>
    </row>
    <row r="5826">
      <c r="A5826" s="16" t="s">
        <v>87</v>
      </c>
      <c r="E5826" s="16" t="str">
        <f>IFERROR(__xludf.DUMMYFUNCTION("""COMPUTED_VALUE"""),"")</f>
        <v/>
      </c>
      <c r="G5826" s="18"/>
      <c r="H5826" s="16" t="s">
        <v>87</v>
      </c>
      <c r="I5826" s="16" t="s">
        <v>87</v>
      </c>
      <c r="J5826" s="19"/>
      <c r="L5826" s="16" t="str">
        <f>IFERROR(__xludf.DUMMYFUNCTION("""COMPUTED_VALUE"""),"")</f>
        <v/>
      </c>
      <c r="M5826" s="16" t="str">
        <f>IFERROR(__xludf.DUMMYFUNCTION("""COMPUTED_VALUE"""),"")</f>
        <v/>
      </c>
      <c r="U5826" s="16" t="s">
        <v>87</v>
      </c>
      <c r="V5826" s="16" t="str">
        <f>IFERROR(__xludf.DUMMYFUNCTION("""COMPUTED_VALUE"""),"")</f>
        <v/>
      </c>
      <c r="W5826" s="16" t="str">
        <f>IFERROR(__xludf.DUMMYFUNCTION("""COMPUTED_VALUE"""),"")</f>
        <v/>
      </c>
      <c r="X5826" s="16" t="str">
        <f>IFERROR(__xludf.DUMMYFUNCTION("""COMPUTED_VALUE"""),"")</f>
        <v/>
      </c>
      <c r="AC5826" s="16" t="str">
        <f>IFERROR(__xludf.DUMMYFUNCTION("""COMPUTED_VALUE"""),"")</f>
        <v/>
      </c>
    </row>
    <row r="5827">
      <c r="A5827" s="16" t="s">
        <v>87</v>
      </c>
      <c r="E5827" s="16" t="str">
        <f>IFERROR(__xludf.DUMMYFUNCTION("""COMPUTED_VALUE"""),"")</f>
        <v/>
      </c>
      <c r="G5827" s="18"/>
      <c r="H5827" s="16" t="s">
        <v>87</v>
      </c>
      <c r="I5827" s="16" t="s">
        <v>87</v>
      </c>
      <c r="J5827" s="19"/>
      <c r="L5827" s="16" t="str">
        <f>IFERROR(__xludf.DUMMYFUNCTION("""COMPUTED_VALUE"""),"")</f>
        <v/>
      </c>
      <c r="M5827" s="16" t="str">
        <f>IFERROR(__xludf.DUMMYFUNCTION("""COMPUTED_VALUE"""),"")</f>
        <v/>
      </c>
      <c r="U5827" s="16" t="s">
        <v>87</v>
      </c>
      <c r="V5827" s="16" t="str">
        <f>IFERROR(__xludf.DUMMYFUNCTION("""COMPUTED_VALUE"""),"")</f>
        <v/>
      </c>
      <c r="W5827" s="16" t="str">
        <f>IFERROR(__xludf.DUMMYFUNCTION("""COMPUTED_VALUE"""),"")</f>
        <v/>
      </c>
      <c r="X5827" s="16" t="str">
        <f>IFERROR(__xludf.DUMMYFUNCTION("""COMPUTED_VALUE"""),"")</f>
        <v/>
      </c>
      <c r="AC5827" s="16" t="str">
        <f>IFERROR(__xludf.DUMMYFUNCTION("""COMPUTED_VALUE"""),"")</f>
        <v/>
      </c>
    </row>
    <row r="5828">
      <c r="A5828" s="16" t="s">
        <v>87</v>
      </c>
      <c r="E5828" s="16" t="str">
        <f>IFERROR(__xludf.DUMMYFUNCTION("""COMPUTED_VALUE"""),"")</f>
        <v/>
      </c>
      <c r="G5828" s="18"/>
      <c r="H5828" s="16" t="s">
        <v>87</v>
      </c>
      <c r="I5828" s="16" t="s">
        <v>87</v>
      </c>
      <c r="J5828" s="19"/>
      <c r="L5828" s="16" t="str">
        <f>IFERROR(__xludf.DUMMYFUNCTION("""COMPUTED_VALUE"""),"")</f>
        <v/>
      </c>
      <c r="M5828" s="16" t="str">
        <f>IFERROR(__xludf.DUMMYFUNCTION("""COMPUTED_VALUE"""),"")</f>
        <v/>
      </c>
      <c r="U5828" s="16" t="s">
        <v>87</v>
      </c>
      <c r="V5828" s="16" t="str">
        <f>IFERROR(__xludf.DUMMYFUNCTION("""COMPUTED_VALUE"""),"")</f>
        <v/>
      </c>
      <c r="W5828" s="16" t="str">
        <f>IFERROR(__xludf.DUMMYFUNCTION("""COMPUTED_VALUE"""),"")</f>
        <v/>
      </c>
      <c r="X5828" s="16" t="str">
        <f>IFERROR(__xludf.DUMMYFUNCTION("""COMPUTED_VALUE"""),"")</f>
        <v/>
      </c>
      <c r="AC5828" s="16" t="str">
        <f>IFERROR(__xludf.DUMMYFUNCTION("""COMPUTED_VALUE"""),"")</f>
        <v/>
      </c>
    </row>
    <row r="5829">
      <c r="A5829" s="16" t="s">
        <v>87</v>
      </c>
      <c r="E5829" s="16" t="str">
        <f>IFERROR(__xludf.DUMMYFUNCTION("""COMPUTED_VALUE"""),"")</f>
        <v/>
      </c>
      <c r="G5829" s="18"/>
      <c r="H5829" s="16" t="s">
        <v>87</v>
      </c>
      <c r="I5829" s="16" t="s">
        <v>87</v>
      </c>
      <c r="J5829" s="19"/>
      <c r="L5829" s="16" t="str">
        <f>IFERROR(__xludf.DUMMYFUNCTION("""COMPUTED_VALUE"""),"")</f>
        <v/>
      </c>
      <c r="M5829" s="16" t="str">
        <f>IFERROR(__xludf.DUMMYFUNCTION("""COMPUTED_VALUE"""),"")</f>
        <v/>
      </c>
      <c r="U5829" s="16" t="s">
        <v>87</v>
      </c>
      <c r="V5829" s="16" t="str">
        <f>IFERROR(__xludf.DUMMYFUNCTION("""COMPUTED_VALUE"""),"")</f>
        <v/>
      </c>
      <c r="W5829" s="16" t="str">
        <f>IFERROR(__xludf.DUMMYFUNCTION("""COMPUTED_VALUE"""),"")</f>
        <v/>
      </c>
      <c r="X5829" s="16" t="str">
        <f>IFERROR(__xludf.DUMMYFUNCTION("""COMPUTED_VALUE"""),"")</f>
        <v/>
      </c>
      <c r="AC5829" s="16" t="str">
        <f>IFERROR(__xludf.DUMMYFUNCTION("""COMPUTED_VALUE"""),"")</f>
        <v/>
      </c>
    </row>
    <row r="5830">
      <c r="A5830" s="16" t="s">
        <v>87</v>
      </c>
      <c r="E5830" s="16" t="str">
        <f>IFERROR(__xludf.DUMMYFUNCTION("""COMPUTED_VALUE"""),"")</f>
        <v/>
      </c>
      <c r="G5830" s="18"/>
      <c r="H5830" s="16" t="s">
        <v>87</v>
      </c>
      <c r="I5830" s="16" t="s">
        <v>87</v>
      </c>
      <c r="J5830" s="19"/>
      <c r="L5830" s="16" t="str">
        <f>IFERROR(__xludf.DUMMYFUNCTION("""COMPUTED_VALUE"""),"")</f>
        <v/>
      </c>
      <c r="M5830" s="16" t="str">
        <f>IFERROR(__xludf.DUMMYFUNCTION("""COMPUTED_VALUE"""),"")</f>
        <v/>
      </c>
      <c r="U5830" s="16" t="s">
        <v>87</v>
      </c>
      <c r="V5830" s="16" t="str">
        <f>IFERROR(__xludf.DUMMYFUNCTION("""COMPUTED_VALUE"""),"")</f>
        <v/>
      </c>
      <c r="W5830" s="16" t="str">
        <f>IFERROR(__xludf.DUMMYFUNCTION("""COMPUTED_VALUE"""),"")</f>
        <v/>
      </c>
      <c r="X5830" s="16" t="str">
        <f>IFERROR(__xludf.DUMMYFUNCTION("""COMPUTED_VALUE"""),"")</f>
        <v/>
      </c>
      <c r="AC5830" s="16" t="str">
        <f>IFERROR(__xludf.DUMMYFUNCTION("""COMPUTED_VALUE"""),"")</f>
        <v/>
      </c>
    </row>
    <row r="5831">
      <c r="A5831" s="16" t="s">
        <v>87</v>
      </c>
      <c r="E5831" s="16" t="str">
        <f>IFERROR(__xludf.DUMMYFUNCTION("""COMPUTED_VALUE"""),"")</f>
        <v/>
      </c>
      <c r="G5831" s="18"/>
      <c r="H5831" s="16" t="s">
        <v>87</v>
      </c>
      <c r="I5831" s="16" t="s">
        <v>87</v>
      </c>
      <c r="J5831" s="19"/>
      <c r="L5831" s="16" t="str">
        <f>IFERROR(__xludf.DUMMYFUNCTION("""COMPUTED_VALUE"""),"")</f>
        <v/>
      </c>
      <c r="M5831" s="16" t="str">
        <f>IFERROR(__xludf.DUMMYFUNCTION("""COMPUTED_VALUE"""),"")</f>
        <v/>
      </c>
      <c r="U5831" s="16" t="s">
        <v>87</v>
      </c>
      <c r="V5831" s="16" t="str">
        <f>IFERROR(__xludf.DUMMYFUNCTION("""COMPUTED_VALUE"""),"")</f>
        <v/>
      </c>
      <c r="W5831" s="16" t="str">
        <f>IFERROR(__xludf.DUMMYFUNCTION("""COMPUTED_VALUE"""),"")</f>
        <v/>
      </c>
      <c r="X5831" s="16" t="str">
        <f>IFERROR(__xludf.DUMMYFUNCTION("""COMPUTED_VALUE"""),"")</f>
        <v/>
      </c>
      <c r="AC5831" s="16" t="str">
        <f>IFERROR(__xludf.DUMMYFUNCTION("""COMPUTED_VALUE"""),"")</f>
        <v/>
      </c>
    </row>
    <row r="5832">
      <c r="A5832" s="16" t="s">
        <v>87</v>
      </c>
      <c r="E5832" s="16" t="str">
        <f>IFERROR(__xludf.DUMMYFUNCTION("""COMPUTED_VALUE"""),"")</f>
        <v/>
      </c>
      <c r="G5832" s="18"/>
      <c r="H5832" s="16" t="s">
        <v>87</v>
      </c>
      <c r="I5832" s="16" t="s">
        <v>87</v>
      </c>
      <c r="J5832" s="19"/>
      <c r="L5832" s="16" t="str">
        <f>IFERROR(__xludf.DUMMYFUNCTION("""COMPUTED_VALUE"""),"")</f>
        <v/>
      </c>
      <c r="M5832" s="16" t="str">
        <f>IFERROR(__xludf.DUMMYFUNCTION("""COMPUTED_VALUE"""),"")</f>
        <v/>
      </c>
      <c r="U5832" s="16" t="s">
        <v>87</v>
      </c>
      <c r="V5832" s="16" t="str">
        <f>IFERROR(__xludf.DUMMYFUNCTION("""COMPUTED_VALUE"""),"")</f>
        <v/>
      </c>
      <c r="W5832" s="16" t="str">
        <f>IFERROR(__xludf.DUMMYFUNCTION("""COMPUTED_VALUE"""),"")</f>
        <v/>
      </c>
      <c r="X5832" s="16" t="str">
        <f>IFERROR(__xludf.DUMMYFUNCTION("""COMPUTED_VALUE"""),"")</f>
        <v/>
      </c>
      <c r="AC5832" s="16" t="str">
        <f>IFERROR(__xludf.DUMMYFUNCTION("""COMPUTED_VALUE"""),"")</f>
        <v/>
      </c>
    </row>
    <row r="5833">
      <c r="A5833" s="16" t="s">
        <v>87</v>
      </c>
      <c r="E5833" s="16" t="str">
        <f>IFERROR(__xludf.DUMMYFUNCTION("""COMPUTED_VALUE"""),"")</f>
        <v/>
      </c>
      <c r="G5833" s="18"/>
      <c r="H5833" s="16" t="s">
        <v>87</v>
      </c>
      <c r="I5833" s="16" t="s">
        <v>87</v>
      </c>
      <c r="J5833" s="19"/>
      <c r="L5833" s="16" t="str">
        <f>IFERROR(__xludf.DUMMYFUNCTION("""COMPUTED_VALUE"""),"")</f>
        <v/>
      </c>
      <c r="M5833" s="16" t="str">
        <f>IFERROR(__xludf.DUMMYFUNCTION("""COMPUTED_VALUE"""),"")</f>
        <v/>
      </c>
      <c r="U5833" s="16" t="s">
        <v>87</v>
      </c>
      <c r="V5833" s="16" t="str">
        <f>IFERROR(__xludf.DUMMYFUNCTION("""COMPUTED_VALUE"""),"")</f>
        <v/>
      </c>
      <c r="W5833" s="16" t="str">
        <f>IFERROR(__xludf.DUMMYFUNCTION("""COMPUTED_VALUE"""),"")</f>
        <v/>
      </c>
      <c r="X5833" s="16" t="str">
        <f>IFERROR(__xludf.DUMMYFUNCTION("""COMPUTED_VALUE"""),"")</f>
        <v/>
      </c>
      <c r="AC5833" s="16" t="str">
        <f>IFERROR(__xludf.DUMMYFUNCTION("""COMPUTED_VALUE"""),"")</f>
        <v/>
      </c>
    </row>
    <row r="5834">
      <c r="A5834" s="16" t="s">
        <v>87</v>
      </c>
      <c r="E5834" s="16" t="str">
        <f>IFERROR(__xludf.DUMMYFUNCTION("""COMPUTED_VALUE"""),"")</f>
        <v/>
      </c>
      <c r="G5834" s="18"/>
      <c r="H5834" s="16" t="s">
        <v>87</v>
      </c>
      <c r="I5834" s="16" t="s">
        <v>87</v>
      </c>
      <c r="J5834" s="19"/>
      <c r="L5834" s="16" t="str">
        <f>IFERROR(__xludf.DUMMYFUNCTION("""COMPUTED_VALUE"""),"")</f>
        <v/>
      </c>
      <c r="M5834" s="16" t="str">
        <f>IFERROR(__xludf.DUMMYFUNCTION("""COMPUTED_VALUE"""),"")</f>
        <v/>
      </c>
      <c r="U5834" s="16" t="s">
        <v>87</v>
      </c>
      <c r="V5834" s="16" t="str">
        <f>IFERROR(__xludf.DUMMYFUNCTION("""COMPUTED_VALUE"""),"")</f>
        <v/>
      </c>
      <c r="W5834" s="16" t="str">
        <f>IFERROR(__xludf.DUMMYFUNCTION("""COMPUTED_VALUE"""),"")</f>
        <v/>
      </c>
      <c r="X5834" s="16" t="str">
        <f>IFERROR(__xludf.DUMMYFUNCTION("""COMPUTED_VALUE"""),"")</f>
        <v/>
      </c>
      <c r="AC5834" s="16" t="str">
        <f>IFERROR(__xludf.DUMMYFUNCTION("""COMPUTED_VALUE"""),"")</f>
        <v/>
      </c>
    </row>
    <row r="5835">
      <c r="A5835" s="16" t="s">
        <v>87</v>
      </c>
      <c r="E5835" s="16" t="str">
        <f>IFERROR(__xludf.DUMMYFUNCTION("""COMPUTED_VALUE"""),"")</f>
        <v/>
      </c>
      <c r="G5835" s="18"/>
      <c r="H5835" s="16" t="s">
        <v>87</v>
      </c>
      <c r="I5835" s="16" t="s">
        <v>87</v>
      </c>
      <c r="J5835" s="19"/>
      <c r="L5835" s="16" t="str">
        <f>IFERROR(__xludf.DUMMYFUNCTION("""COMPUTED_VALUE"""),"")</f>
        <v/>
      </c>
      <c r="M5835" s="16" t="str">
        <f>IFERROR(__xludf.DUMMYFUNCTION("""COMPUTED_VALUE"""),"")</f>
        <v/>
      </c>
      <c r="U5835" s="16" t="s">
        <v>87</v>
      </c>
      <c r="V5835" s="16" t="str">
        <f>IFERROR(__xludf.DUMMYFUNCTION("""COMPUTED_VALUE"""),"")</f>
        <v/>
      </c>
      <c r="W5835" s="16" t="str">
        <f>IFERROR(__xludf.DUMMYFUNCTION("""COMPUTED_VALUE"""),"")</f>
        <v/>
      </c>
      <c r="X5835" s="16" t="str">
        <f>IFERROR(__xludf.DUMMYFUNCTION("""COMPUTED_VALUE"""),"")</f>
        <v/>
      </c>
      <c r="AC5835" s="16" t="str">
        <f>IFERROR(__xludf.DUMMYFUNCTION("""COMPUTED_VALUE"""),"")</f>
        <v/>
      </c>
    </row>
    <row r="5836">
      <c r="A5836" s="16" t="s">
        <v>87</v>
      </c>
      <c r="E5836" s="16" t="str">
        <f>IFERROR(__xludf.DUMMYFUNCTION("""COMPUTED_VALUE"""),"")</f>
        <v/>
      </c>
      <c r="G5836" s="18"/>
      <c r="H5836" s="16" t="s">
        <v>87</v>
      </c>
      <c r="I5836" s="16" t="s">
        <v>87</v>
      </c>
      <c r="J5836" s="19"/>
      <c r="L5836" s="16" t="str">
        <f>IFERROR(__xludf.DUMMYFUNCTION("""COMPUTED_VALUE"""),"")</f>
        <v/>
      </c>
      <c r="M5836" s="16" t="str">
        <f>IFERROR(__xludf.DUMMYFUNCTION("""COMPUTED_VALUE"""),"")</f>
        <v/>
      </c>
      <c r="U5836" s="16" t="s">
        <v>87</v>
      </c>
      <c r="V5836" s="16" t="str">
        <f>IFERROR(__xludf.DUMMYFUNCTION("""COMPUTED_VALUE"""),"")</f>
        <v/>
      </c>
      <c r="W5836" s="16" t="str">
        <f>IFERROR(__xludf.DUMMYFUNCTION("""COMPUTED_VALUE"""),"")</f>
        <v/>
      </c>
      <c r="X5836" s="16" t="str">
        <f>IFERROR(__xludf.DUMMYFUNCTION("""COMPUTED_VALUE"""),"")</f>
        <v/>
      </c>
      <c r="AC5836" s="16" t="str">
        <f>IFERROR(__xludf.DUMMYFUNCTION("""COMPUTED_VALUE"""),"")</f>
        <v/>
      </c>
    </row>
    <row r="5837">
      <c r="A5837" s="16" t="s">
        <v>87</v>
      </c>
      <c r="E5837" s="16" t="str">
        <f>IFERROR(__xludf.DUMMYFUNCTION("""COMPUTED_VALUE"""),"")</f>
        <v/>
      </c>
      <c r="G5837" s="18"/>
      <c r="H5837" s="16" t="s">
        <v>87</v>
      </c>
      <c r="I5837" s="16" t="s">
        <v>87</v>
      </c>
      <c r="J5837" s="19"/>
      <c r="L5837" s="16" t="str">
        <f>IFERROR(__xludf.DUMMYFUNCTION("""COMPUTED_VALUE"""),"")</f>
        <v/>
      </c>
      <c r="M5837" s="16" t="str">
        <f>IFERROR(__xludf.DUMMYFUNCTION("""COMPUTED_VALUE"""),"")</f>
        <v/>
      </c>
      <c r="U5837" s="16" t="s">
        <v>87</v>
      </c>
      <c r="V5837" s="16" t="str">
        <f>IFERROR(__xludf.DUMMYFUNCTION("""COMPUTED_VALUE"""),"")</f>
        <v/>
      </c>
      <c r="W5837" s="16" t="str">
        <f>IFERROR(__xludf.DUMMYFUNCTION("""COMPUTED_VALUE"""),"")</f>
        <v/>
      </c>
      <c r="X5837" s="16" t="str">
        <f>IFERROR(__xludf.DUMMYFUNCTION("""COMPUTED_VALUE"""),"")</f>
        <v/>
      </c>
      <c r="AC5837" s="16" t="str">
        <f>IFERROR(__xludf.DUMMYFUNCTION("""COMPUTED_VALUE"""),"")</f>
        <v/>
      </c>
    </row>
    <row r="5838">
      <c r="A5838" s="16" t="s">
        <v>87</v>
      </c>
      <c r="E5838" s="16" t="str">
        <f>IFERROR(__xludf.DUMMYFUNCTION("""COMPUTED_VALUE"""),"")</f>
        <v/>
      </c>
      <c r="G5838" s="18"/>
      <c r="H5838" s="16" t="s">
        <v>87</v>
      </c>
      <c r="I5838" s="16" t="s">
        <v>87</v>
      </c>
      <c r="J5838" s="19"/>
      <c r="L5838" s="16" t="str">
        <f>IFERROR(__xludf.DUMMYFUNCTION("""COMPUTED_VALUE"""),"")</f>
        <v/>
      </c>
      <c r="M5838" s="16" t="str">
        <f>IFERROR(__xludf.DUMMYFUNCTION("""COMPUTED_VALUE"""),"")</f>
        <v/>
      </c>
      <c r="U5838" s="16" t="s">
        <v>87</v>
      </c>
      <c r="V5838" s="16" t="str">
        <f>IFERROR(__xludf.DUMMYFUNCTION("""COMPUTED_VALUE"""),"")</f>
        <v/>
      </c>
      <c r="W5838" s="16" t="str">
        <f>IFERROR(__xludf.DUMMYFUNCTION("""COMPUTED_VALUE"""),"")</f>
        <v/>
      </c>
      <c r="X5838" s="16" t="str">
        <f>IFERROR(__xludf.DUMMYFUNCTION("""COMPUTED_VALUE"""),"")</f>
        <v/>
      </c>
      <c r="AC5838" s="16" t="str">
        <f>IFERROR(__xludf.DUMMYFUNCTION("""COMPUTED_VALUE"""),"")</f>
        <v/>
      </c>
    </row>
    <row r="5839">
      <c r="A5839" s="16" t="s">
        <v>87</v>
      </c>
      <c r="E5839" s="16" t="str">
        <f>IFERROR(__xludf.DUMMYFUNCTION("""COMPUTED_VALUE"""),"")</f>
        <v/>
      </c>
      <c r="G5839" s="18"/>
      <c r="H5839" s="16" t="s">
        <v>87</v>
      </c>
      <c r="I5839" s="16" t="s">
        <v>87</v>
      </c>
      <c r="J5839" s="19"/>
      <c r="L5839" s="16" t="str">
        <f>IFERROR(__xludf.DUMMYFUNCTION("""COMPUTED_VALUE"""),"")</f>
        <v/>
      </c>
      <c r="M5839" s="16" t="str">
        <f>IFERROR(__xludf.DUMMYFUNCTION("""COMPUTED_VALUE"""),"")</f>
        <v/>
      </c>
      <c r="U5839" s="16" t="s">
        <v>87</v>
      </c>
      <c r="V5839" s="16" t="str">
        <f>IFERROR(__xludf.DUMMYFUNCTION("""COMPUTED_VALUE"""),"")</f>
        <v/>
      </c>
      <c r="W5839" s="16" t="str">
        <f>IFERROR(__xludf.DUMMYFUNCTION("""COMPUTED_VALUE"""),"")</f>
        <v/>
      </c>
      <c r="X5839" s="16" t="str">
        <f>IFERROR(__xludf.DUMMYFUNCTION("""COMPUTED_VALUE"""),"")</f>
        <v/>
      </c>
      <c r="AC5839" s="16" t="str">
        <f>IFERROR(__xludf.DUMMYFUNCTION("""COMPUTED_VALUE"""),"")</f>
        <v/>
      </c>
    </row>
    <row r="5840">
      <c r="A5840" s="16" t="s">
        <v>87</v>
      </c>
      <c r="E5840" s="16" t="str">
        <f>IFERROR(__xludf.DUMMYFUNCTION("""COMPUTED_VALUE"""),"")</f>
        <v/>
      </c>
      <c r="G5840" s="18"/>
      <c r="H5840" s="16" t="s">
        <v>87</v>
      </c>
      <c r="I5840" s="16" t="s">
        <v>87</v>
      </c>
      <c r="J5840" s="19"/>
      <c r="L5840" s="16" t="str">
        <f>IFERROR(__xludf.DUMMYFUNCTION("""COMPUTED_VALUE"""),"")</f>
        <v/>
      </c>
      <c r="M5840" s="16" t="str">
        <f>IFERROR(__xludf.DUMMYFUNCTION("""COMPUTED_VALUE"""),"")</f>
        <v/>
      </c>
      <c r="U5840" s="16" t="s">
        <v>87</v>
      </c>
      <c r="V5840" s="16" t="str">
        <f>IFERROR(__xludf.DUMMYFUNCTION("""COMPUTED_VALUE"""),"")</f>
        <v/>
      </c>
      <c r="W5840" s="16" t="str">
        <f>IFERROR(__xludf.DUMMYFUNCTION("""COMPUTED_VALUE"""),"")</f>
        <v/>
      </c>
      <c r="X5840" s="16" t="str">
        <f>IFERROR(__xludf.DUMMYFUNCTION("""COMPUTED_VALUE"""),"")</f>
        <v/>
      </c>
      <c r="AC5840" s="16" t="str">
        <f>IFERROR(__xludf.DUMMYFUNCTION("""COMPUTED_VALUE"""),"")</f>
        <v/>
      </c>
    </row>
    <row r="5841">
      <c r="A5841" s="16" t="s">
        <v>87</v>
      </c>
      <c r="E5841" s="16" t="str">
        <f>IFERROR(__xludf.DUMMYFUNCTION("""COMPUTED_VALUE"""),"")</f>
        <v/>
      </c>
      <c r="G5841" s="18"/>
      <c r="H5841" s="16" t="s">
        <v>87</v>
      </c>
      <c r="I5841" s="16" t="s">
        <v>87</v>
      </c>
      <c r="J5841" s="19"/>
      <c r="L5841" s="16" t="str">
        <f>IFERROR(__xludf.DUMMYFUNCTION("""COMPUTED_VALUE"""),"")</f>
        <v/>
      </c>
      <c r="M5841" s="16" t="str">
        <f>IFERROR(__xludf.DUMMYFUNCTION("""COMPUTED_VALUE"""),"")</f>
        <v/>
      </c>
      <c r="U5841" s="16" t="s">
        <v>87</v>
      </c>
      <c r="V5841" s="16" t="str">
        <f>IFERROR(__xludf.DUMMYFUNCTION("""COMPUTED_VALUE"""),"")</f>
        <v/>
      </c>
      <c r="W5841" s="16" t="str">
        <f>IFERROR(__xludf.DUMMYFUNCTION("""COMPUTED_VALUE"""),"")</f>
        <v/>
      </c>
      <c r="X5841" s="16" t="str">
        <f>IFERROR(__xludf.DUMMYFUNCTION("""COMPUTED_VALUE"""),"")</f>
        <v/>
      </c>
      <c r="AC5841" s="16" t="str">
        <f>IFERROR(__xludf.DUMMYFUNCTION("""COMPUTED_VALUE"""),"")</f>
        <v/>
      </c>
    </row>
    <row r="5842">
      <c r="A5842" s="16" t="s">
        <v>87</v>
      </c>
      <c r="E5842" s="16" t="str">
        <f>IFERROR(__xludf.DUMMYFUNCTION("""COMPUTED_VALUE"""),"")</f>
        <v/>
      </c>
      <c r="G5842" s="18"/>
      <c r="H5842" s="16" t="s">
        <v>87</v>
      </c>
      <c r="I5842" s="16" t="s">
        <v>87</v>
      </c>
      <c r="J5842" s="19"/>
      <c r="L5842" s="16" t="str">
        <f>IFERROR(__xludf.DUMMYFUNCTION("""COMPUTED_VALUE"""),"")</f>
        <v/>
      </c>
      <c r="M5842" s="16" t="str">
        <f>IFERROR(__xludf.DUMMYFUNCTION("""COMPUTED_VALUE"""),"")</f>
        <v/>
      </c>
      <c r="U5842" s="16" t="s">
        <v>87</v>
      </c>
      <c r="V5842" s="16" t="str">
        <f>IFERROR(__xludf.DUMMYFUNCTION("""COMPUTED_VALUE"""),"")</f>
        <v/>
      </c>
      <c r="W5842" s="16" t="str">
        <f>IFERROR(__xludf.DUMMYFUNCTION("""COMPUTED_VALUE"""),"")</f>
        <v/>
      </c>
      <c r="X5842" s="16" t="str">
        <f>IFERROR(__xludf.DUMMYFUNCTION("""COMPUTED_VALUE"""),"")</f>
        <v/>
      </c>
      <c r="AC5842" s="16" t="str">
        <f>IFERROR(__xludf.DUMMYFUNCTION("""COMPUTED_VALUE"""),"")</f>
        <v/>
      </c>
    </row>
    <row r="5843">
      <c r="A5843" s="16" t="s">
        <v>87</v>
      </c>
      <c r="E5843" s="16" t="str">
        <f>IFERROR(__xludf.DUMMYFUNCTION("""COMPUTED_VALUE"""),"")</f>
        <v/>
      </c>
      <c r="G5843" s="18"/>
      <c r="H5843" s="16" t="s">
        <v>87</v>
      </c>
      <c r="I5843" s="16" t="s">
        <v>87</v>
      </c>
      <c r="J5843" s="19"/>
      <c r="L5843" s="16" t="str">
        <f>IFERROR(__xludf.DUMMYFUNCTION("""COMPUTED_VALUE"""),"")</f>
        <v/>
      </c>
      <c r="M5843" s="16" t="str">
        <f>IFERROR(__xludf.DUMMYFUNCTION("""COMPUTED_VALUE"""),"")</f>
        <v/>
      </c>
      <c r="U5843" s="16" t="s">
        <v>87</v>
      </c>
      <c r="V5843" s="16" t="str">
        <f>IFERROR(__xludf.DUMMYFUNCTION("""COMPUTED_VALUE"""),"")</f>
        <v/>
      </c>
      <c r="W5843" s="16" t="str">
        <f>IFERROR(__xludf.DUMMYFUNCTION("""COMPUTED_VALUE"""),"")</f>
        <v/>
      </c>
      <c r="X5843" s="16" t="str">
        <f>IFERROR(__xludf.DUMMYFUNCTION("""COMPUTED_VALUE"""),"")</f>
        <v/>
      </c>
      <c r="AC5843" s="16" t="str">
        <f>IFERROR(__xludf.DUMMYFUNCTION("""COMPUTED_VALUE"""),"")</f>
        <v/>
      </c>
    </row>
    <row r="5844">
      <c r="A5844" s="16" t="s">
        <v>87</v>
      </c>
      <c r="E5844" s="16" t="str">
        <f>IFERROR(__xludf.DUMMYFUNCTION("""COMPUTED_VALUE"""),"")</f>
        <v/>
      </c>
      <c r="G5844" s="18"/>
      <c r="H5844" s="16" t="s">
        <v>87</v>
      </c>
      <c r="I5844" s="16" t="s">
        <v>87</v>
      </c>
      <c r="J5844" s="19"/>
      <c r="L5844" s="16" t="str">
        <f>IFERROR(__xludf.DUMMYFUNCTION("""COMPUTED_VALUE"""),"")</f>
        <v/>
      </c>
      <c r="M5844" s="16" t="str">
        <f>IFERROR(__xludf.DUMMYFUNCTION("""COMPUTED_VALUE"""),"")</f>
        <v/>
      </c>
      <c r="U5844" s="16" t="s">
        <v>87</v>
      </c>
      <c r="V5844" s="16" t="str">
        <f>IFERROR(__xludf.DUMMYFUNCTION("""COMPUTED_VALUE"""),"")</f>
        <v/>
      </c>
      <c r="W5844" s="16" t="str">
        <f>IFERROR(__xludf.DUMMYFUNCTION("""COMPUTED_VALUE"""),"")</f>
        <v/>
      </c>
      <c r="X5844" s="16" t="str">
        <f>IFERROR(__xludf.DUMMYFUNCTION("""COMPUTED_VALUE"""),"")</f>
        <v/>
      </c>
      <c r="AC5844" s="16" t="str">
        <f>IFERROR(__xludf.DUMMYFUNCTION("""COMPUTED_VALUE"""),"")</f>
        <v/>
      </c>
    </row>
    <row r="5845">
      <c r="A5845" s="16" t="s">
        <v>87</v>
      </c>
      <c r="E5845" s="16" t="str">
        <f>IFERROR(__xludf.DUMMYFUNCTION("""COMPUTED_VALUE"""),"")</f>
        <v/>
      </c>
      <c r="G5845" s="18"/>
      <c r="H5845" s="16" t="s">
        <v>87</v>
      </c>
      <c r="I5845" s="16" t="s">
        <v>87</v>
      </c>
      <c r="J5845" s="19"/>
      <c r="L5845" s="16" t="str">
        <f>IFERROR(__xludf.DUMMYFUNCTION("""COMPUTED_VALUE"""),"")</f>
        <v/>
      </c>
      <c r="M5845" s="16" t="str">
        <f>IFERROR(__xludf.DUMMYFUNCTION("""COMPUTED_VALUE"""),"")</f>
        <v/>
      </c>
      <c r="U5845" s="16" t="s">
        <v>87</v>
      </c>
      <c r="V5845" s="16" t="str">
        <f>IFERROR(__xludf.DUMMYFUNCTION("""COMPUTED_VALUE"""),"")</f>
        <v/>
      </c>
      <c r="W5845" s="16" t="str">
        <f>IFERROR(__xludf.DUMMYFUNCTION("""COMPUTED_VALUE"""),"")</f>
        <v/>
      </c>
      <c r="X5845" s="16" t="str">
        <f>IFERROR(__xludf.DUMMYFUNCTION("""COMPUTED_VALUE"""),"")</f>
        <v/>
      </c>
      <c r="AC5845" s="16" t="str">
        <f>IFERROR(__xludf.DUMMYFUNCTION("""COMPUTED_VALUE"""),"")</f>
        <v/>
      </c>
    </row>
    <row r="5846">
      <c r="A5846" s="16" t="s">
        <v>87</v>
      </c>
      <c r="E5846" s="16" t="str">
        <f>IFERROR(__xludf.DUMMYFUNCTION("""COMPUTED_VALUE"""),"")</f>
        <v/>
      </c>
      <c r="G5846" s="18"/>
      <c r="H5846" s="16" t="s">
        <v>87</v>
      </c>
      <c r="I5846" s="16" t="s">
        <v>87</v>
      </c>
      <c r="J5846" s="19"/>
      <c r="L5846" s="16" t="str">
        <f>IFERROR(__xludf.DUMMYFUNCTION("""COMPUTED_VALUE"""),"")</f>
        <v/>
      </c>
      <c r="M5846" s="16" t="str">
        <f>IFERROR(__xludf.DUMMYFUNCTION("""COMPUTED_VALUE"""),"")</f>
        <v/>
      </c>
      <c r="U5846" s="16" t="s">
        <v>87</v>
      </c>
      <c r="V5846" s="16" t="str">
        <f>IFERROR(__xludf.DUMMYFUNCTION("""COMPUTED_VALUE"""),"")</f>
        <v/>
      </c>
      <c r="W5846" s="16" t="str">
        <f>IFERROR(__xludf.DUMMYFUNCTION("""COMPUTED_VALUE"""),"")</f>
        <v/>
      </c>
      <c r="X5846" s="16" t="str">
        <f>IFERROR(__xludf.DUMMYFUNCTION("""COMPUTED_VALUE"""),"")</f>
        <v/>
      </c>
      <c r="AC5846" s="16" t="str">
        <f>IFERROR(__xludf.DUMMYFUNCTION("""COMPUTED_VALUE"""),"")</f>
        <v/>
      </c>
    </row>
    <row r="5847">
      <c r="A5847" s="16" t="s">
        <v>87</v>
      </c>
      <c r="E5847" s="16" t="str">
        <f>IFERROR(__xludf.DUMMYFUNCTION("""COMPUTED_VALUE"""),"")</f>
        <v/>
      </c>
      <c r="G5847" s="18"/>
      <c r="H5847" s="16" t="s">
        <v>87</v>
      </c>
      <c r="I5847" s="16" t="s">
        <v>87</v>
      </c>
      <c r="J5847" s="19"/>
      <c r="L5847" s="16" t="str">
        <f>IFERROR(__xludf.DUMMYFUNCTION("""COMPUTED_VALUE"""),"")</f>
        <v/>
      </c>
      <c r="M5847" s="16" t="str">
        <f>IFERROR(__xludf.DUMMYFUNCTION("""COMPUTED_VALUE"""),"")</f>
        <v/>
      </c>
      <c r="U5847" s="16" t="s">
        <v>87</v>
      </c>
      <c r="V5847" s="16" t="str">
        <f>IFERROR(__xludf.DUMMYFUNCTION("""COMPUTED_VALUE"""),"")</f>
        <v/>
      </c>
      <c r="W5847" s="16" t="str">
        <f>IFERROR(__xludf.DUMMYFUNCTION("""COMPUTED_VALUE"""),"")</f>
        <v/>
      </c>
      <c r="X5847" s="16" t="str">
        <f>IFERROR(__xludf.DUMMYFUNCTION("""COMPUTED_VALUE"""),"")</f>
        <v/>
      </c>
      <c r="AC5847" s="16" t="str">
        <f>IFERROR(__xludf.DUMMYFUNCTION("""COMPUTED_VALUE"""),"")</f>
        <v/>
      </c>
    </row>
    <row r="5848">
      <c r="A5848" s="16" t="s">
        <v>87</v>
      </c>
      <c r="E5848" s="16" t="str">
        <f>IFERROR(__xludf.DUMMYFUNCTION("""COMPUTED_VALUE"""),"")</f>
        <v/>
      </c>
      <c r="G5848" s="18"/>
      <c r="H5848" s="16" t="s">
        <v>87</v>
      </c>
      <c r="I5848" s="16" t="s">
        <v>87</v>
      </c>
      <c r="J5848" s="19"/>
      <c r="L5848" s="16" t="str">
        <f>IFERROR(__xludf.DUMMYFUNCTION("""COMPUTED_VALUE"""),"")</f>
        <v/>
      </c>
      <c r="M5848" s="16" t="str">
        <f>IFERROR(__xludf.DUMMYFUNCTION("""COMPUTED_VALUE"""),"")</f>
        <v/>
      </c>
      <c r="U5848" s="16" t="s">
        <v>87</v>
      </c>
      <c r="V5848" s="16" t="str">
        <f>IFERROR(__xludf.DUMMYFUNCTION("""COMPUTED_VALUE"""),"")</f>
        <v/>
      </c>
      <c r="W5848" s="16" t="str">
        <f>IFERROR(__xludf.DUMMYFUNCTION("""COMPUTED_VALUE"""),"")</f>
        <v/>
      </c>
      <c r="X5848" s="16" t="str">
        <f>IFERROR(__xludf.DUMMYFUNCTION("""COMPUTED_VALUE"""),"")</f>
        <v/>
      </c>
      <c r="AC5848" s="16" t="str">
        <f>IFERROR(__xludf.DUMMYFUNCTION("""COMPUTED_VALUE"""),"")</f>
        <v/>
      </c>
    </row>
    <row r="5849">
      <c r="A5849" s="16" t="s">
        <v>87</v>
      </c>
      <c r="E5849" s="16" t="str">
        <f>IFERROR(__xludf.DUMMYFUNCTION("""COMPUTED_VALUE"""),"")</f>
        <v/>
      </c>
      <c r="G5849" s="18"/>
      <c r="H5849" s="16" t="s">
        <v>87</v>
      </c>
      <c r="I5849" s="16" t="s">
        <v>87</v>
      </c>
      <c r="J5849" s="19"/>
      <c r="L5849" s="16" t="str">
        <f>IFERROR(__xludf.DUMMYFUNCTION("""COMPUTED_VALUE"""),"")</f>
        <v/>
      </c>
      <c r="M5849" s="16" t="str">
        <f>IFERROR(__xludf.DUMMYFUNCTION("""COMPUTED_VALUE"""),"")</f>
        <v/>
      </c>
      <c r="U5849" s="16" t="s">
        <v>87</v>
      </c>
      <c r="V5849" s="16" t="str">
        <f>IFERROR(__xludf.DUMMYFUNCTION("""COMPUTED_VALUE"""),"")</f>
        <v/>
      </c>
      <c r="W5849" s="16" t="str">
        <f>IFERROR(__xludf.DUMMYFUNCTION("""COMPUTED_VALUE"""),"")</f>
        <v/>
      </c>
      <c r="X5849" s="16" t="str">
        <f>IFERROR(__xludf.DUMMYFUNCTION("""COMPUTED_VALUE"""),"")</f>
        <v/>
      </c>
      <c r="AC5849" s="16" t="str">
        <f>IFERROR(__xludf.DUMMYFUNCTION("""COMPUTED_VALUE"""),"")</f>
        <v/>
      </c>
    </row>
    <row r="5850">
      <c r="A5850" s="16" t="s">
        <v>87</v>
      </c>
      <c r="E5850" s="16" t="str">
        <f>IFERROR(__xludf.DUMMYFUNCTION("""COMPUTED_VALUE"""),"")</f>
        <v/>
      </c>
      <c r="G5850" s="18"/>
      <c r="H5850" s="16" t="s">
        <v>87</v>
      </c>
      <c r="I5850" s="16" t="s">
        <v>87</v>
      </c>
      <c r="J5850" s="19"/>
      <c r="L5850" s="16" t="str">
        <f>IFERROR(__xludf.DUMMYFUNCTION("""COMPUTED_VALUE"""),"")</f>
        <v/>
      </c>
      <c r="M5850" s="16" t="str">
        <f>IFERROR(__xludf.DUMMYFUNCTION("""COMPUTED_VALUE"""),"")</f>
        <v/>
      </c>
      <c r="U5850" s="16" t="s">
        <v>87</v>
      </c>
      <c r="V5850" s="16" t="str">
        <f>IFERROR(__xludf.DUMMYFUNCTION("""COMPUTED_VALUE"""),"")</f>
        <v/>
      </c>
      <c r="W5850" s="16" t="str">
        <f>IFERROR(__xludf.DUMMYFUNCTION("""COMPUTED_VALUE"""),"")</f>
        <v/>
      </c>
      <c r="X5850" s="16" t="str">
        <f>IFERROR(__xludf.DUMMYFUNCTION("""COMPUTED_VALUE"""),"")</f>
        <v/>
      </c>
      <c r="AC5850" s="16" t="str">
        <f>IFERROR(__xludf.DUMMYFUNCTION("""COMPUTED_VALUE"""),"")</f>
        <v/>
      </c>
    </row>
    <row r="5851">
      <c r="A5851" s="16" t="s">
        <v>87</v>
      </c>
      <c r="E5851" s="16" t="str">
        <f>IFERROR(__xludf.DUMMYFUNCTION("""COMPUTED_VALUE"""),"")</f>
        <v/>
      </c>
      <c r="G5851" s="18"/>
      <c r="H5851" s="16" t="s">
        <v>87</v>
      </c>
      <c r="I5851" s="16" t="s">
        <v>87</v>
      </c>
      <c r="J5851" s="19"/>
      <c r="L5851" s="16" t="str">
        <f>IFERROR(__xludf.DUMMYFUNCTION("""COMPUTED_VALUE"""),"")</f>
        <v/>
      </c>
      <c r="M5851" s="16" t="str">
        <f>IFERROR(__xludf.DUMMYFUNCTION("""COMPUTED_VALUE"""),"")</f>
        <v/>
      </c>
      <c r="U5851" s="16" t="s">
        <v>87</v>
      </c>
      <c r="V5851" s="16" t="str">
        <f>IFERROR(__xludf.DUMMYFUNCTION("""COMPUTED_VALUE"""),"")</f>
        <v/>
      </c>
      <c r="W5851" s="16" t="str">
        <f>IFERROR(__xludf.DUMMYFUNCTION("""COMPUTED_VALUE"""),"")</f>
        <v/>
      </c>
      <c r="X5851" s="16" t="str">
        <f>IFERROR(__xludf.DUMMYFUNCTION("""COMPUTED_VALUE"""),"")</f>
        <v/>
      </c>
      <c r="AC5851" s="16" t="str">
        <f>IFERROR(__xludf.DUMMYFUNCTION("""COMPUTED_VALUE"""),"")</f>
        <v/>
      </c>
    </row>
    <row r="5852">
      <c r="A5852" s="16" t="s">
        <v>87</v>
      </c>
      <c r="E5852" s="16" t="str">
        <f>IFERROR(__xludf.DUMMYFUNCTION("""COMPUTED_VALUE"""),"")</f>
        <v/>
      </c>
      <c r="G5852" s="18"/>
      <c r="H5852" s="16" t="s">
        <v>87</v>
      </c>
      <c r="I5852" s="16" t="s">
        <v>87</v>
      </c>
      <c r="J5852" s="19"/>
      <c r="L5852" s="16" t="str">
        <f>IFERROR(__xludf.DUMMYFUNCTION("""COMPUTED_VALUE"""),"")</f>
        <v/>
      </c>
      <c r="M5852" s="16" t="str">
        <f>IFERROR(__xludf.DUMMYFUNCTION("""COMPUTED_VALUE"""),"")</f>
        <v/>
      </c>
      <c r="U5852" s="16" t="s">
        <v>87</v>
      </c>
      <c r="V5852" s="16" t="str">
        <f>IFERROR(__xludf.DUMMYFUNCTION("""COMPUTED_VALUE"""),"")</f>
        <v/>
      </c>
      <c r="W5852" s="16" t="str">
        <f>IFERROR(__xludf.DUMMYFUNCTION("""COMPUTED_VALUE"""),"")</f>
        <v/>
      </c>
      <c r="X5852" s="16" t="str">
        <f>IFERROR(__xludf.DUMMYFUNCTION("""COMPUTED_VALUE"""),"")</f>
        <v/>
      </c>
      <c r="AC5852" s="16" t="str">
        <f>IFERROR(__xludf.DUMMYFUNCTION("""COMPUTED_VALUE"""),"")</f>
        <v/>
      </c>
    </row>
    <row r="5853">
      <c r="A5853" s="16" t="s">
        <v>87</v>
      </c>
      <c r="E5853" s="16" t="str">
        <f>IFERROR(__xludf.DUMMYFUNCTION("""COMPUTED_VALUE"""),"")</f>
        <v/>
      </c>
      <c r="G5853" s="18"/>
      <c r="H5853" s="16" t="s">
        <v>87</v>
      </c>
      <c r="I5853" s="16" t="s">
        <v>87</v>
      </c>
      <c r="J5853" s="19"/>
      <c r="L5853" s="16" t="str">
        <f>IFERROR(__xludf.DUMMYFUNCTION("""COMPUTED_VALUE"""),"")</f>
        <v/>
      </c>
      <c r="M5853" s="16" t="str">
        <f>IFERROR(__xludf.DUMMYFUNCTION("""COMPUTED_VALUE"""),"")</f>
        <v/>
      </c>
      <c r="U5853" s="16" t="s">
        <v>87</v>
      </c>
      <c r="V5853" s="16" t="str">
        <f>IFERROR(__xludf.DUMMYFUNCTION("""COMPUTED_VALUE"""),"")</f>
        <v/>
      </c>
      <c r="W5853" s="16" t="str">
        <f>IFERROR(__xludf.DUMMYFUNCTION("""COMPUTED_VALUE"""),"")</f>
        <v/>
      </c>
      <c r="X5853" s="16" t="str">
        <f>IFERROR(__xludf.DUMMYFUNCTION("""COMPUTED_VALUE"""),"")</f>
        <v/>
      </c>
      <c r="AC5853" s="16" t="str">
        <f>IFERROR(__xludf.DUMMYFUNCTION("""COMPUTED_VALUE"""),"")</f>
        <v/>
      </c>
    </row>
    <row r="5854">
      <c r="A5854" s="16" t="s">
        <v>87</v>
      </c>
      <c r="E5854" s="16" t="str">
        <f>IFERROR(__xludf.DUMMYFUNCTION("""COMPUTED_VALUE"""),"")</f>
        <v/>
      </c>
      <c r="G5854" s="18"/>
      <c r="H5854" s="16" t="s">
        <v>87</v>
      </c>
      <c r="I5854" s="16" t="s">
        <v>87</v>
      </c>
      <c r="J5854" s="19"/>
      <c r="L5854" s="16" t="str">
        <f>IFERROR(__xludf.DUMMYFUNCTION("""COMPUTED_VALUE"""),"")</f>
        <v/>
      </c>
      <c r="M5854" s="16" t="str">
        <f>IFERROR(__xludf.DUMMYFUNCTION("""COMPUTED_VALUE"""),"")</f>
        <v/>
      </c>
      <c r="U5854" s="16" t="s">
        <v>87</v>
      </c>
      <c r="V5854" s="16" t="str">
        <f>IFERROR(__xludf.DUMMYFUNCTION("""COMPUTED_VALUE"""),"")</f>
        <v/>
      </c>
      <c r="W5854" s="16" t="str">
        <f>IFERROR(__xludf.DUMMYFUNCTION("""COMPUTED_VALUE"""),"")</f>
        <v/>
      </c>
      <c r="X5854" s="16" t="str">
        <f>IFERROR(__xludf.DUMMYFUNCTION("""COMPUTED_VALUE"""),"")</f>
        <v/>
      </c>
      <c r="AC5854" s="16" t="str">
        <f>IFERROR(__xludf.DUMMYFUNCTION("""COMPUTED_VALUE"""),"")</f>
        <v/>
      </c>
    </row>
    <row r="5855">
      <c r="A5855" s="16" t="s">
        <v>87</v>
      </c>
      <c r="E5855" s="16" t="str">
        <f>IFERROR(__xludf.DUMMYFUNCTION("""COMPUTED_VALUE"""),"")</f>
        <v/>
      </c>
      <c r="G5855" s="18"/>
      <c r="H5855" s="16" t="s">
        <v>87</v>
      </c>
      <c r="I5855" s="16" t="s">
        <v>87</v>
      </c>
      <c r="J5855" s="19"/>
      <c r="L5855" s="16" t="str">
        <f>IFERROR(__xludf.DUMMYFUNCTION("""COMPUTED_VALUE"""),"")</f>
        <v/>
      </c>
      <c r="M5855" s="16" t="str">
        <f>IFERROR(__xludf.DUMMYFUNCTION("""COMPUTED_VALUE"""),"")</f>
        <v/>
      </c>
      <c r="U5855" s="16" t="s">
        <v>87</v>
      </c>
      <c r="V5855" s="16" t="str">
        <f>IFERROR(__xludf.DUMMYFUNCTION("""COMPUTED_VALUE"""),"")</f>
        <v/>
      </c>
      <c r="W5855" s="16" t="str">
        <f>IFERROR(__xludf.DUMMYFUNCTION("""COMPUTED_VALUE"""),"")</f>
        <v/>
      </c>
      <c r="X5855" s="16" t="str">
        <f>IFERROR(__xludf.DUMMYFUNCTION("""COMPUTED_VALUE"""),"")</f>
        <v/>
      </c>
      <c r="AC5855" s="16" t="str">
        <f>IFERROR(__xludf.DUMMYFUNCTION("""COMPUTED_VALUE"""),"")</f>
        <v/>
      </c>
    </row>
    <row r="5856">
      <c r="A5856" s="16" t="s">
        <v>87</v>
      </c>
      <c r="E5856" s="16" t="str">
        <f>IFERROR(__xludf.DUMMYFUNCTION("""COMPUTED_VALUE"""),"")</f>
        <v/>
      </c>
      <c r="G5856" s="18"/>
      <c r="H5856" s="16" t="s">
        <v>87</v>
      </c>
      <c r="I5856" s="16" t="s">
        <v>87</v>
      </c>
      <c r="J5856" s="19"/>
      <c r="L5856" s="16" t="str">
        <f>IFERROR(__xludf.DUMMYFUNCTION("""COMPUTED_VALUE"""),"")</f>
        <v/>
      </c>
      <c r="M5856" s="16" t="str">
        <f>IFERROR(__xludf.DUMMYFUNCTION("""COMPUTED_VALUE"""),"")</f>
        <v/>
      </c>
      <c r="U5856" s="16" t="s">
        <v>87</v>
      </c>
      <c r="V5856" s="16" t="str">
        <f>IFERROR(__xludf.DUMMYFUNCTION("""COMPUTED_VALUE"""),"")</f>
        <v/>
      </c>
      <c r="W5856" s="16" t="str">
        <f>IFERROR(__xludf.DUMMYFUNCTION("""COMPUTED_VALUE"""),"")</f>
        <v/>
      </c>
      <c r="X5856" s="16" t="str">
        <f>IFERROR(__xludf.DUMMYFUNCTION("""COMPUTED_VALUE"""),"")</f>
        <v/>
      </c>
      <c r="AC5856" s="16" t="str">
        <f>IFERROR(__xludf.DUMMYFUNCTION("""COMPUTED_VALUE"""),"")</f>
        <v/>
      </c>
    </row>
    <row r="5857">
      <c r="A5857" s="16" t="s">
        <v>87</v>
      </c>
      <c r="E5857" s="16" t="str">
        <f>IFERROR(__xludf.DUMMYFUNCTION("""COMPUTED_VALUE"""),"")</f>
        <v/>
      </c>
      <c r="G5857" s="18"/>
      <c r="H5857" s="16" t="s">
        <v>87</v>
      </c>
      <c r="I5857" s="16" t="s">
        <v>87</v>
      </c>
      <c r="J5857" s="19"/>
      <c r="L5857" s="16" t="str">
        <f>IFERROR(__xludf.DUMMYFUNCTION("""COMPUTED_VALUE"""),"")</f>
        <v/>
      </c>
      <c r="M5857" s="16" t="str">
        <f>IFERROR(__xludf.DUMMYFUNCTION("""COMPUTED_VALUE"""),"")</f>
        <v/>
      </c>
      <c r="U5857" s="16" t="s">
        <v>87</v>
      </c>
      <c r="V5857" s="16" t="str">
        <f>IFERROR(__xludf.DUMMYFUNCTION("""COMPUTED_VALUE"""),"")</f>
        <v/>
      </c>
      <c r="W5857" s="16" t="str">
        <f>IFERROR(__xludf.DUMMYFUNCTION("""COMPUTED_VALUE"""),"")</f>
        <v/>
      </c>
      <c r="X5857" s="16" t="str">
        <f>IFERROR(__xludf.DUMMYFUNCTION("""COMPUTED_VALUE"""),"")</f>
        <v/>
      </c>
      <c r="AC5857" s="16" t="str">
        <f>IFERROR(__xludf.DUMMYFUNCTION("""COMPUTED_VALUE"""),"")</f>
        <v/>
      </c>
    </row>
    <row r="5858">
      <c r="A5858" s="16" t="s">
        <v>87</v>
      </c>
      <c r="E5858" s="16" t="str">
        <f>IFERROR(__xludf.DUMMYFUNCTION("""COMPUTED_VALUE"""),"")</f>
        <v/>
      </c>
      <c r="G5858" s="18"/>
      <c r="H5858" s="16" t="s">
        <v>87</v>
      </c>
      <c r="I5858" s="16" t="s">
        <v>87</v>
      </c>
      <c r="J5858" s="19"/>
      <c r="L5858" s="16" t="str">
        <f>IFERROR(__xludf.DUMMYFUNCTION("""COMPUTED_VALUE"""),"")</f>
        <v/>
      </c>
      <c r="M5858" s="16" t="str">
        <f>IFERROR(__xludf.DUMMYFUNCTION("""COMPUTED_VALUE"""),"")</f>
        <v/>
      </c>
      <c r="U5858" s="16" t="s">
        <v>87</v>
      </c>
      <c r="V5858" s="16" t="str">
        <f>IFERROR(__xludf.DUMMYFUNCTION("""COMPUTED_VALUE"""),"")</f>
        <v/>
      </c>
      <c r="W5858" s="16" t="str">
        <f>IFERROR(__xludf.DUMMYFUNCTION("""COMPUTED_VALUE"""),"")</f>
        <v/>
      </c>
      <c r="X5858" s="16" t="str">
        <f>IFERROR(__xludf.DUMMYFUNCTION("""COMPUTED_VALUE"""),"")</f>
        <v/>
      </c>
      <c r="AC5858" s="16" t="str">
        <f>IFERROR(__xludf.DUMMYFUNCTION("""COMPUTED_VALUE"""),"")</f>
        <v/>
      </c>
    </row>
    <row r="5859">
      <c r="A5859" s="16" t="s">
        <v>87</v>
      </c>
      <c r="E5859" s="16" t="str">
        <f>IFERROR(__xludf.DUMMYFUNCTION("""COMPUTED_VALUE"""),"")</f>
        <v/>
      </c>
      <c r="G5859" s="18"/>
      <c r="H5859" s="16" t="s">
        <v>87</v>
      </c>
      <c r="I5859" s="16" t="s">
        <v>87</v>
      </c>
      <c r="J5859" s="19"/>
      <c r="L5859" s="16" t="str">
        <f>IFERROR(__xludf.DUMMYFUNCTION("""COMPUTED_VALUE"""),"")</f>
        <v/>
      </c>
      <c r="M5859" s="16" t="str">
        <f>IFERROR(__xludf.DUMMYFUNCTION("""COMPUTED_VALUE"""),"")</f>
        <v/>
      </c>
      <c r="U5859" s="16" t="s">
        <v>87</v>
      </c>
      <c r="V5859" s="16" t="str">
        <f>IFERROR(__xludf.DUMMYFUNCTION("""COMPUTED_VALUE"""),"")</f>
        <v/>
      </c>
      <c r="W5859" s="16" t="str">
        <f>IFERROR(__xludf.DUMMYFUNCTION("""COMPUTED_VALUE"""),"")</f>
        <v/>
      </c>
      <c r="X5859" s="16" t="str">
        <f>IFERROR(__xludf.DUMMYFUNCTION("""COMPUTED_VALUE"""),"")</f>
        <v/>
      </c>
      <c r="AC5859" s="16" t="str">
        <f>IFERROR(__xludf.DUMMYFUNCTION("""COMPUTED_VALUE"""),"")</f>
        <v/>
      </c>
    </row>
    <row r="5860">
      <c r="A5860" s="16" t="s">
        <v>87</v>
      </c>
      <c r="E5860" s="16" t="str">
        <f>IFERROR(__xludf.DUMMYFUNCTION("""COMPUTED_VALUE"""),"")</f>
        <v/>
      </c>
      <c r="G5860" s="18"/>
      <c r="H5860" s="16" t="s">
        <v>87</v>
      </c>
      <c r="I5860" s="16" t="s">
        <v>87</v>
      </c>
      <c r="J5860" s="19"/>
      <c r="L5860" s="16" t="str">
        <f>IFERROR(__xludf.DUMMYFUNCTION("""COMPUTED_VALUE"""),"")</f>
        <v/>
      </c>
      <c r="M5860" s="16" t="str">
        <f>IFERROR(__xludf.DUMMYFUNCTION("""COMPUTED_VALUE"""),"")</f>
        <v/>
      </c>
      <c r="U5860" s="16" t="s">
        <v>87</v>
      </c>
      <c r="V5860" s="16" t="str">
        <f>IFERROR(__xludf.DUMMYFUNCTION("""COMPUTED_VALUE"""),"")</f>
        <v/>
      </c>
      <c r="W5860" s="16" t="str">
        <f>IFERROR(__xludf.DUMMYFUNCTION("""COMPUTED_VALUE"""),"")</f>
        <v/>
      </c>
      <c r="X5860" s="16" t="str">
        <f>IFERROR(__xludf.DUMMYFUNCTION("""COMPUTED_VALUE"""),"")</f>
        <v/>
      </c>
      <c r="AC5860" s="16" t="str">
        <f>IFERROR(__xludf.DUMMYFUNCTION("""COMPUTED_VALUE"""),"")</f>
        <v/>
      </c>
    </row>
    <row r="5861">
      <c r="A5861" s="16" t="s">
        <v>87</v>
      </c>
      <c r="E5861" s="16" t="str">
        <f>IFERROR(__xludf.DUMMYFUNCTION("""COMPUTED_VALUE"""),"")</f>
        <v/>
      </c>
      <c r="G5861" s="18"/>
      <c r="H5861" s="16" t="s">
        <v>87</v>
      </c>
      <c r="I5861" s="16" t="s">
        <v>87</v>
      </c>
      <c r="J5861" s="19"/>
      <c r="L5861" s="16" t="str">
        <f>IFERROR(__xludf.DUMMYFUNCTION("""COMPUTED_VALUE"""),"")</f>
        <v/>
      </c>
      <c r="M5861" s="16" t="str">
        <f>IFERROR(__xludf.DUMMYFUNCTION("""COMPUTED_VALUE"""),"")</f>
        <v/>
      </c>
      <c r="U5861" s="16" t="s">
        <v>87</v>
      </c>
      <c r="V5861" s="16" t="str">
        <f>IFERROR(__xludf.DUMMYFUNCTION("""COMPUTED_VALUE"""),"")</f>
        <v/>
      </c>
      <c r="W5861" s="16" t="str">
        <f>IFERROR(__xludf.DUMMYFUNCTION("""COMPUTED_VALUE"""),"")</f>
        <v/>
      </c>
      <c r="X5861" s="16" t="str">
        <f>IFERROR(__xludf.DUMMYFUNCTION("""COMPUTED_VALUE"""),"")</f>
        <v/>
      </c>
      <c r="AC5861" s="16" t="str">
        <f>IFERROR(__xludf.DUMMYFUNCTION("""COMPUTED_VALUE"""),"")</f>
        <v/>
      </c>
    </row>
    <row r="5862">
      <c r="A5862" s="16" t="s">
        <v>87</v>
      </c>
      <c r="E5862" s="16" t="str">
        <f>IFERROR(__xludf.DUMMYFUNCTION("""COMPUTED_VALUE"""),"")</f>
        <v/>
      </c>
      <c r="G5862" s="18"/>
      <c r="H5862" s="16" t="s">
        <v>87</v>
      </c>
      <c r="I5862" s="16" t="s">
        <v>87</v>
      </c>
      <c r="J5862" s="19"/>
      <c r="L5862" s="16" t="str">
        <f>IFERROR(__xludf.DUMMYFUNCTION("""COMPUTED_VALUE"""),"")</f>
        <v/>
      </c>
      <c r="M5862" s="16" t="str">
        <f>IFERROR(__xludf.DUMMYFUNCTION("""COMPUTED_VALUE"""),"")</f>
        <v/>
      </c>
      <c r="U5862" s="16" t="s">
        <v>87</v>
      </c>
      <c r="V5862" s="16" t="str">
        <f>IFERROR(__xludf.DUMMYFUNCTION("""COMPUTED_VALUE"""),"")</f>
        <v/>
      </c>
      <c r="W5862" s="16" t="str">
        <f>IFERROR(__xludf.DUMMYFUNCTION("""COMPUTED_VALUE"""),"")</f>
        <v/>
      </c>
      <c r="X5862" s="16" t="str">
        <f>IFERROR(__xludf.DUMMYFUNCTION("""COMPUTED_VALUE"""),"")</f>
        <v/>
      </c>
      <c r="AC5862" s="16" t="str">
        <f>IFERROR(__xludf.DUMMYFUNCTION("""COMPUTED_VALUE"""),"")</f>
        <v/>
      </c>
    </row>
    <row r="5863">
      <c r="A5863" s="16" t="s">
        <v>87</v>
      </c>
      <c r="E5863" s="16" t="str">
        <f>IFERROR(__xludf.DUMMYFUNCTION("""COMPUTED_VALUE"""),"")</f>
        <v/>
      </c>
      <c r="G5863" s="18"/>
      <c r="H5863" s="16" t="s">
        <v>87</v>
      </c>
      <c r="I5863" s="16" t="s">
        <v>87</v>
      </c>
      <c r="J5863" s="19"/>
      <c r="L5863" s="16" t="str">
        <f>IFERROR(__xludf.DUMMYFUNCTION("""COMPUTED_VALUE"""),"")</f>
        <v/>
      </c>
      <c r="M5863" s="16" t="str">
        <f>IFERROR(__xludf.DUMMYFUNCTION("""COMPUTED_VALUE"""),"")</f>
        <v/>
      </c>
      <c r="U5863" s="16" t="s">
        <v>87</v>
      </c>
      <c r="V5863" s="16" t="str">
        <f>IFERROR(__xludf.DUMMYFUNCTION("""COMPUTED_VALUE"""),"")</f>
        <v/>
      </c>
      <c r="W5863" s="16" t="str">
        <f>IFERROR(__xludf.DUMMYFUNCTION("""COMPUTED_VALUE"""),"")</f>
        <v/>
      </c>
      <c r="X5863" s="16" t="str">
        <f>IFERROR(__xludf.DUMMYFUNCTION("""COMPUTED_VALUE"""),"")</f>
        <v/>
      </c>
      <c r="AC5863" s="16" t="str">
        <f>IFERROR(__xludf.DUMMYFUNCTION("""COMPUTED_VALUE"""),"")</f>
        <v/>
      </c>
    </row>
    <row r="5864">
      <c r="A5864" s="16" t="s">
        <v>87</v>
      </c>
      <c r="E5864" s="16" t="str">
        <f>IFERROR(__xludf.DUMMYFUNCTION("""COMPUTED_VALUE"""),"")</f>
        <v/>
      </c>
      <c r="G5864" s="18"/>
      <c r="H5864" s="16" t="s">
        <v>87</v>
      </c>
      <c r="I5864" s="16" t="s">
        <v>87</v>
      </c>
      <c r="J5864" s="19"/>
      <c r="L5864" s="16" t="str">
        <f>IFERROR(__xludf.DUMMYFUNCTION("""COMPUTED_VALUE"""),"")</f>
        <v/>
      </c>
      <c r="M5864" s="16" t="str">
        <f>IFERROR(__xludf.DUMMYFUNCTION("""COMPUTED_VALUE"""),"")</f>
        <v/>
      </c>
      <c r="U5864" s="16" t="s">
        <v>87</v>
      </c>
      <c r="V5864" s="16" t="str">
        <f>IFERROR(__xludf.DUMMYFUNCTION("""COMPUTED_VALUE"""),"")</f>
        <v/>
      </c>
      <c r="W5864" s="16" t="str">
        <f>IFERROR(__xludf.DUMMYFUNCTION("""COMPUTED_VALUE"""),"")</f>
        <v/>
      </c>
      <c r="X5864" s="16" t="str">
        <f>IFERROR(__xludf.DUMMYFUNCTION("""COMPUTED_VALUE"""),"")</f>
        <v/>
      </c>
      <c r="AC5864" s="16" t="str">
        <f>IFERROR(__xludf.DUMMYFUNCTION("""COMPUTED_VALUE"""),"")</f>
        <v/>
      </c>
    </row>
    <row r="5865">
      <c r="A5865" s="16" t="s">
        <v>87</v>
      </c>
      <c r="E5865" s="16" t="str">
        <f>IFERROR(__xludf.DUMMYFUNCTION("""COMPUTED_VALUE"""),"")</f>
        <v/>
      </c>
      <c r="G5865" s="18"/>
      <c r="H5865" s="16" t="s">
        <v>87</v>
      </c>
      <c r="I5865" s="16" t="s">
        <v>87</v>
      </c>
      <c r="J5865" s="19"/>
      <c r="L5865" s="16" t="str">
        <f>IFERROR(__xludf.DUMMYFUNCTION("""COMPUTED_VALUE"""),"")</f>
        <v/>
      </c>
      <c r="M5865" s="16" t="str">
        <f>IFERROR(__xludf.DUMMYFUNCTION("""COMPUTED_VALUE"""),"")</f>
        <v/>
      </c>
      <c r="U5865" s="16" t="s">
        <v>87</v>
      </c>
      <c r="V5865" s="16" t="str">
        <f>IFERROR(__xludf.DUMMYFUNCTION("""COMPUTED_VALUE"""),"")</f>
        <v/>
      </c>
      <c r="W5865" s="16" t="str">
        <f>IFERROR(__xludf.DUMMYFUNCTION("""COMPUTED_VALUE"""),"")</f>
        <v/>
      </c>
      <c r="X5865" s="16" t="str">
        <f>IFERROR(__xludf.DUMMYFUNCTION("""COMPUTED_VALUE"""),"")</f>
        <v/>
      </c>
      <c r="AC5865" s="16" t="str">
        <f>IFERROR(__xludf.DUMMYFUNCTION("""COMPUTED_VALUE"""),"")</f>
        <v/>
      </c>
    </row>
    <row r="5866">
      <c r="A5866" s="16" t="s">
        <v>87</v>
      </c>
      <c r="E5866" s="16" t="str">
        <f>IFERROR(__xludf.DUMMYFUNCTION("""COMPUTED_VALUE"""),"")</f>
        <v/>
      </c>
      <c r="G5866" s="18"/>
      <c r="H5866" s="16" t="s">
        <v>87</v>
      </c>
      <c r="I5866" s="16" t="s">
        <v>87</v>
      </c>
      <c r="J5866" s="19"/>
      <c r="L5866" s="16" t="str">
        <f>IFERROR(__xludf.DUMMYFUNCTION("""COMPUTED_VALUE"""),"")</f>
        <v/>
      </c>
      <c r="M5866" s="16" t="str">
        <f>IFERROR(__xludf.DUMMYFUNCTION("""COMPUTED_VALUE"""),"")</f>
        <v/>
      </c>
      <c r="U5866" s="16" t="s">
        <v>87</v>
      </c>
      <c r="V5866" s="16" t="str">
        <f>IFERROR(__xludf.DUMMYFUNCTION("""COMPUTED_VALUE"""),"")</f>
        <v/>
      </c>
      <c r="W5866" s="16" t="str">
        <f>IFERROR(__xludf.DUMMYFUNCTION("""COMPUTED_VALUE"""),"")</f>
        <v/>
      </c>
      <c r="X5866" s="16" t="str">
        <f>IFERROR(__xludf.DUMMYFUNCTION("""COMPUTED_VALUE"""),"")</f>
        <v/>
      </c>
      <c r="AC5866" s="16" t="str">
        <f>IFERROR(__xludf.DUMMYFUNCTION("""COMPUTED_VALUE"""),"")</f>
        <v/>
      </c>
    </row>
    <row r="5867">
      <c r="A5867" s="16" t="s">
        <v>87</v>
      </c>
      <c r="E5867" s="16" t="str">
        <f>IFERROR(__xludf.DUMMYFUNCTION("""COMPUTED_VALUE"""),"")</f>
        <v/>
      </c>
      <c r="G5867" s="18"/>
      <c r="H5867" s="16" t="s">
        <v>87</v>
      </c>
      <c r="I5867" s="16" t="s">
        <v>87</v>
      </c>
      <c r="J5867" s="19"/>
      <c r="L5867" s="16" t="str">
        <f>IFERROR(__xludf.DUMMYFUNCTION("""COMPUTED_VALUE"""),"")</f>
        <v/>
      </c>
      <c r="M5867" s="16" t="str">
        <f>IFERROR(__xludf.DUMMYFUNCTION("""COMPUTED_VALUE"""),"")</f>
        <v/>
      </c>
      <c r="U5867" s="16" t="s">
        <v>87</v>
      </c>
      <c r="V5867" s="16" t="str">
        <f>IFERROR(__xludf.DUMMYFUNCTION("""COMPUTED_VALUE"""),"")</f>
        <v/>
      </c>
      <c r="W5867" s="16" t="str">
        <f>IFERROR(__xludf.DUMMYFUNCTION("""COMPUTED_VALUE"""),"")</f>
        <v/>
      </c>
      <c r="X5867" s="16" t="str">
        <f>IFERROR(__xludf.DUMMYFUNCTION("""COMPUTED_VALUE"""),"")</f>
        <v/>
      </c>
      <c r="AC5867" s="16" t="str">
        <f>IFERROR(__xludf.DUMMYFUNCTION("""COMPUTED_VALUE"""),"")</f>
        <v/>
      </c>
    </row>
    <row r="5868">
      <c r="A5868" s="16" t="s">
        <v>87</v>
      </c>
      <c r="E5868" s="16" t="str">
        <f>IFERROR(__xludf.DUMMYFUNCTION("""COMPUTED_VALUE"""),"")</f>
        <v/>
      </c>
      <c r="G5868" s="18"/>
      <c r="H5868" s="16" t="s">
        <v>87</v>
      </c>
      <c r="I5868" s="16" t="s">
        <v>87</v>
      </c>
      <c r="J5868" s="19"/>
      <c r="L5868" s="16" t="str">
        <f>IFERROR(__xludf.DUMMYFUNCTION("""COMPUTED_VALUE"""),"")</f>
        <v/>
      </c>
      <c r="M5868" s="16" t="str">
        <f>IFERROR(__xludf.DUMMYFUNCTION("""COMPUTED_VALUE"""),"")</f>
        <v/>
      </c>
      <c r="U5868" s="16" t="s">
        <v>87</v>
      </c>
      <c r="V5868" s="16" t="str">
        <f>IFERROR(__xludf.DUMMYFUNCTION("""COMPUTED_VALUE"""),"")</f>
        <v/>
      </c>
      <c r="W5868" s="16" t="str">
        <f>IFERROR(__xludf.DUMMYFUNCTION("""COMPUTED_VALUE"""),"")</f>
        <v/>
      </c>
      <c r="X5868" s="16" t="str">
        <f>IFERROR(__xludf.DUMMYFUNCTION("""COMPUTED_VALUE"""),"")</f>
        <v/>
      </c>
      <c r="AC5868" s="16" t="str">
        <f>IFERROR(__xludf.DUMMYFUNCTION("""COMPUTED_VALUE"""),"")</f>
        <v/>
      </c>
    </row>
    <row r="5869">
      <c r="A5869" s="16" t="s">
        <v>87</v>
      </c>
      <c r="E5869" s="16" t="str">
        <f>IFERROR(__xludf.DUMMYFUNCTION("""COMPUTED_VALUE"""),"")</f>
        <v/>
      </c>
      <c r="G5869" s="18"/>
      <c r="H5869" s="16" t="s">
        <v>87</v>
      </c>
      <c r="I5869" s="16" t="s">
        <v>87</v>
      </c>
      <c r="J5869" s="19"/>
      <c r="L5869" s="16" t="str">
        <f>IFERROR(__xludf.DUMMYFUNCTION("""COMPUTED_VALUE"""),"")</f>
        <v/>
      </c>
      <c r="M5869" s="16" t="str">
        <f>IFERROR(__xludf.DUMMYFUNCTION("""COMPUTED_VALUE"""),"")</f>
        <v/>
      </c>
      <c r="U5869" s="16" t="s">
        <v>87</v>
      </c>
      <c r="V5869" s="16" t="str">
        <f>IFERROR(__xludf.DUMMYFUNCTION("""COMPUTED_VALUE"""),"")</f>
        <v/>
      </c>
      <c r="W5869" s="16" t="str">
        <f>IFERROR(__xludf.DUMMYFUNCTION("""COMPUTED_VALUE"""),"")</f>
        <v/>
      </c>
      <c r="X5869" s="16" t="str">
        <f>IFERROR(__xludf.DUMMYFUNCTION("""COMPUTED_VALUE"""),"")</f>
        <v/>
      </c>
      <c r="AC5869" s="16" t="str">
        <f>IFERROR(__xludf.DUMMYFUNCTION("""COMPUTED_VALUE"""),"")</f>
        <v/>
      </c>
    </row>
    <row r="5870">
      <c r="A5870" s="16" t="s">
        <v>87</v>
      </c>
      <c r="E5870" s="16" t="str">
        <f>IFERROR(__xludf.DUMMYFUNCTION("""COMPUTED_VALUE"""),"")</f>
        <v/>
      </c>
      <c r="G5870" s="18"/>
      <c r="H5870" s="16" t="s">
        <v>87</v>
      </c>
      <c r="I5870" s="16" t="s">
        <v>87</v>
      </c>
      <c r="J5870" s="19"/>
      <c r="L5870" s="16" t="str">
        <f>IFERROR(__xludf.DUMMYFUNCTION("""COMPUTED_VALUE"""),"")</f>
        <v/>
      </c>
      <c r="M5870" s="16" t="str">
        <f>IFERROR(__xludf.DUMMYFUNCTION("""COMPUTED_VALUE"""),"")</f>
        <v/>
      </c>
      <c r="U5870" s="16" t="s">
        <v>87</v>
      </c>
      <c r="V5870" s="16" t="str">
        <f>IFERROR(__xludf.DUMMYFUNCTION("""COMPUTED_VALUE"""),"")</f>
        <v/>
      </c>
      <c r="W5870" s="16" t="str">
        <f>IFERROR(__xludf.DUMMYFUNCTION("""COMPUTED_VALUE"""),"")</f>
        <v/>
      </c>
      <c r="X5870" s="16" t="str">
        <f>IFERROR(__xludf.DUMMYFUNCTION("""COMPUTED_VALUE"""),"")</f>
        <v/>
      </c>
      <c r="AC5870" s="16" t="str">
        <f>IFERROR(__xludf.DUMMYFUNCTION("""COMPUTED_VALUE"""),"")</f>
        <v/>
      </c>
    </row>
    <row r="5871">
      <c r="A5871" s="16" t="s">
        <v>87</v>
      </c>
      <c r="E5871" s="16" t="str">
        <f>IFERROR(__xludf.DUMMYFUNCTION("""COMPUTED_VALUE"""),"")</f>
        <v/>
      </c>
      <c r="G5871" s="18"/>
      <c r="H5871" s="16" t="s">
        <v>87</v>
      </c>
      <c r="I5871" s="16" t="s">
        <v>87</v>
      </c>
      <c r="J5871" s="19"/>
      <c r="L5871" s="16" t="str">
        <f>IFERROR(__xludf.DUMMYFUNCTION("""COMPUTED_VALUE"""),"")</f>
        <v/>
      </c>
      <c r="M5871" s="16" t="str">
        <f>IFERROR(__xludf.DUMMYFUNCTION("""COMPUTED_VALUE"""),"")</f>
        <v/>
      </c>
      <c r="U5871" s="16" t="s">
        <v>87</v>
      </c>
      <c r="V5871" s="16" t="str">
        <f>IFERROR(__xludf.DUMMYFUNCTION("""COMPUTED_VALUE"""),"")</f>
        <v/>
      </c>
      <c r="W5871" s="16" t="str">
        <f>IFERROR(__xludf.DUMMYFUNCTION("""COMPUTED_VALUE"""),"")</f>
        <v/>
      </c>
      <c r="X5871" s="16" t="str">
        <f>IFERROR(__xludf.DUMMYFUNCTION("""COMPUTED_VALUE"""),"")</f>
        <v/>
      </c>
      <c r="AC5871" s="16" t="str">
        <f>IFERROR(__xludf.DUMMYFUNCTION("""COMPUTED_VALUE"""),"")</f>
        <v/>
      </c>
    </row>
    <row r="5872">
      <c r="A5872" s="16" t="s">
        <v>87</v>
      </c>
      <c r="E5872" s="16" t="str">
        <f>IFERROR(__xludf.DUMMYFUNCTION("""COMPUTED_VALUE"""),"")</f>
        <v/>
      </c>
      <c r="G5872" s="18"/>
      <c r="H5872" s="16" t="s">
        <v>87</v>
      </c>
      <c r="I5872" s="16" t="s">
        <v>87</v>
      </c>
      <c r="J5872" s="19"/>
      <c r="L5872" s="16" t="str">
        <f>IFERROR(__xludf.DUMMYFUNCTION("""COMPUTED_VALUE"""),"")</f>
        <v/>
      </c>
      <c r="M5872" s="16" t="str">
        <f>IFERROR(__xludf.DUMMYFUNCTION("""COMPUTED_VALUE"""),"")</f>
        <v/>
      </c>
      <c r="U5872" s="16" t="s">
        <v>87</v>
      </c>
      <c r="V5872" s="16" t="str">
        <f>IFERROR(__xludf.DUMMYFUNCTION("""COMPUTED_VALUE"""),"")</f>
        <v/>
      </c>
      <c r="W5872" s="16" t="str">
        <f>IFERROR(__xludf.DUMMYFUNCTION("""COMPUTED_VALUE"""),"")</f>
        <v/>
      </c>
      <c r="X5872" s="16" t="str">
        <f>IFERROR(__xludf.DUMMYFUNCTION("""COMPUTED_VALUE"""),"")</f>
        <v/>
      </c>
      <c r="AC5872" s="16" t="str">
        <f>IFERROR(__xludf.DUMMYFUNCTION("""COMPUTED_VALUE"""),"")</f>
        <v/>
      </c>
    </row>
    <row r="5873">
      <c r="A5873" s="16" t="s">
        <v>87</v>
      </c>
      <c r="E5873" s="16" t="str">
        <f>IFERROR(__xludf.DUMMYFUNCTION("""COMPUTED_VALUE"""),"")</f>
        <v/>
      </c>
      <c r="G5873" s="18"/>
      <c r="H5873" s="16" t="s">
        <v>87</v>
      </c>
      <c r="I5873" s="16" t="s">
        <v>87</v>
      </c>
      <c r="J5873" s="19"/>
      <c r="L5873" s="16" t="str">
        <f>IFERROR(__xludf.DUMMYFUNCTION("""COMPUTED_VALUE"""),"")</f>
        <v/>
      </c>
      <c r="M5873" s="16" t="str">
        <f>IFERROR(__xludf.DUMMYFUNCTION("""COMPUTED_VALUE"""),"")</f>
        <v/>
      </c>
      <c r="U5873" s="16" t="s">
        <v>87</v>
      </c>
      <c r="V5873" s="16" t="str">
        <f>IFERROR(__xludf.DUMMYFUNCTION("""COMPUTED_VALUE"""),"")</f>
        <v/>
      </c>
      <c r="W5873" s="16" t="str">
        <f>IFERROR(__xludf.DUMMYFUNCTION("""COMPUTED_VALUE"""),"")</f>
        <v/>
      </c>
      <c r="X5873" s="16" t="str">
        <f>IFERROR(__xludf.DUMMYFUNCTION("""COMPUTED_VALUE"""),"")</f>
        <v/>
      </c>
      <c r="AC5873" s="16" t="str">
        <f>IFERROR(__xludf.DUMMYFUNCTION("""COMPUTED_VALUE"""),"")</f>
        <v/>
      </c>
    </row>
    <row r="5874">
      <c r="A5874" s="16" t="s">
        <v>87</v>
      </c>
      <c r="E5874" s="16" t="str">
        <f>IFERROR(__xludf.DUMMYFUNCTION("""COMPUTED_VALUE"""),"")</f>
        <v/>
      </c>
      <c r="G5874" s="18"/>
      <c r="H5874" s="16" t="s">
        <v>87</v>
      </c>
      <c r="I5874" s="16" t="s">
        <v>87</v>
      </c>
      <c r="J5874" s="19"/>
      <c r="L5874" s="16" t="str">
        <f>IFERROR(__xludf.DUMMYFUNCTION("""COMPUTED_VALUE"""),"")</f>
        <v/>
      </c>
      <c r="M5874" s="16" t="str">
        <f>IFERROR(__xludf.DUMMYFUNCTION("""COMPUTED_VALUE"""),"")</f>
        <v/>
      </c>
      <c r="U5874" s="16" t="s">
        <v>87</v>
      </c>
      <c r="V5874" s="16" t="str">
        <f>IFERROR(__xludf.DUMMYFUNCTION("""COMPUTED_VALUE"""),"")</f>
        <v/>
      </c>
      <c r="W5874" s="16" t="str">
        <f>IFERROR(__xludf.DUMMYFUNCTION("""COMPUTED_VALUE"""),"")</f>
        <v/>
      </c>
      <c r="X5874" s="16" t="str">
        <f>IFERROR(__xludf.DUMMYFUNCTION("""COMPUTED_VALUE"""),"")</f>
        <v/>
      </c>
      <c r="AC5874" s="16" t="str">
        <f>IFERROR(__xludf.DUMMYFUNCTION("""COMPUTED_VALUE"""),"")</f>
        <v/>
      </c>
    </row>
    <row r="5875">
      <c r="A5875" s="16" t="s">
        <v>87</v>
      </c>
      <c r="E5875" s="16" t="str">
        <f>IFERROR(__xludf.DUMMYFUNCTION("""COMPUTED_VALUE"""),"")</f>
        <v/>
      </c>
      <c r="G5875" s="18"/>
      <c r="H5875" s="16" t="s">
        <v>87</v>
      </c>
      <c r="I5875" s="16" t="s">
        <v>87</v>
      </c>
      <c r="J5875" s="19"/>
      <c r="L5875" s="16" t="str">
        <f>IFERROR(__xludf.DUMMYFUNCTION("""COMPUTED_VALUE"""),"")</f>
        <v/>
      </c>
      <c r="M5875" s="16" t="str">
        <f>IFERROR(__xludf.DUMMYFUNCTION("""COMPUTED_VALUE"""),"")</f>
        <v/>
      </c>
      <c r="U5875" s="16" t="s">
        <v>87</v>
      </c>
      <c r="V5875" s="16" t="str">
        <f>IFERROR(__xludf.DUMMYFUNCTION("""COMPUTED_VALUE"""),"")</f>
        <v/>
      </c>
      <c r="W5875" s="16" t="str">
        <f>IFERROR(__xludf.DUMMYFUNCTION("""COMPUTED_VALUE"""),"")</f>
        <v/>
      </c>
      <c r="X5875" s="16" t="str">
        <f>IFERROR(__xludf.DUMMYFUNCTION("""COMPUTED_VALUE"""),"")</f>
        <v/>
      </c>
      <c r="AC5875" s="16" t="str">
        <f>IFERROR(__xludf.DUMMYFUNCTION("""COMPUTED_VALUE"""),"")</f>
        <v/>
      </c>
    </row>
    <row r="5876">
      <c r="A5876" s="16" t="s">
        <v>87</v>
      </c>
      <c r="E5876" s="16" t="str">
        <f>IFERROR(__xludf.DUMMYFUNCTION("""COMPUTED_VALUE"""),"")</f>
        <v/>
      </c>
      <c r="G5876" s="18"/>
      <c r="H5876" s="16" t="s">
        <v>87</v>
      </c>
      <c r="I5876" s="16" t="s">
        <v>87</v>
      </c>
      <c r="J5876" s="19"/>
      <c r="L5876" s="16" t="str">
        <f>IFERROR(__xludf.DUMMYFUNCTION("""COMPUTED_VALUE"""),"")</f>
        <v/>
      </c>
      <c r="M5876" s="16" t="str">
        <f>IFERROR(__xludf.DUMMYFUNCTION("""COMPUTED_VALUE"""),"")</f>
        <v/>
      </c>
      <c r="U5876" s="16" t="s">
        <v>87</v>
      </c>
      <c r="V5876" s="16" t="str">
        <f>IFERROR(__xludf.DUMMYFUNCTION("""COMPUTED_VALUE"""),"")</f>
        <v/>
      </c>
      <c r="W5876" s="16" t="str">
        <f>IFERROR(__xludf.DUMMYFUNCTION("""COMPUTED_VALUE"""),"")</f>
        <v/>
      </c>
      <c r="X5876" s="16" t="str">
        <f>IFERROR(__xludf.DUMMYFUNCTION("""COMPUTED_VALUE"""),"")</f>
        <v/>
      </c>
      <c r="AC5876" s="16" t="str">
        <f>IFERROR(__xludf.DUMMYFUNCTION("""COMPUTED_VALUE"""),"")</f>
        <v/>
      </c>
    </row>
    <row r="5877">
      <c r="A5877" s="16" t="s">
        <v>87</v>
      </c>
      <c r="E5877" s="16" t="str">
        <f>IFERROR(__xludf.DUMMYFUNCTION("""COMPUTED_VALUE"""),"")</f>
        <v/>
      </c>
      <c r="G5877" s="18"/>
      <c r="H5877" s="16" t="s">
        <v>87</v>
      </c>
      <c r="I5877" s="16" t="s">
        <v>87</v>
      </c>
      <c r="J5877" s="19"/>
      <c r="L5877" s="16" t="str">
        <f>IFERROR(__xludf.DUMMYFUNCTION("""COMPUTED_VALUE"""),"")</f>
        <v/>
      </c>
      <c r="M5877" s="16" t="str">
        <f>IFERROR(__xludf.DUMMYFUNCTION("""COMPUTED_VALUE"""),"")</f>
        <v/>
      </c>
      <c r="U5877" s="16" t="s">
        <v>87</v>
      </c>
      <c r="V5877" s="16" t="str">
        <f>IFERROR(__xludf.DUMMYFUNCTION("""COMPUTED_VALUE"""),"")</f>
        <v/>
      </c>
      <c r="W5877" s="16" t="str">
        <f>IFERROR(__xludf.DUMMYFUNCTION("""COMPUTED_VALUE"""),"")</f>
        <v/>
      </c>
      <c r="X5877" s="16" t="str">
        <f>IFERROR(__xludf.DUMMYFUNCTION("""COMPUTED_VALUE"""),"")</f>
        <v/>
      </c>
      <c r="AC5877" s="16" t="str">
        <f>IFERROR(__xludf.DUMMYFUNCTION("""COMPUTED_VALUE"""),"")</f>
        <v/>
      </c>
    </row>
    <row r="5878">
      <c r="A5878" s="16" t="s">
        <v>87</v>
      </c>
      <c r="E5878" s="16" t="str">
        <f>IFERROR(__xludf.DUMMYFUNCTION("""COMPUTED_VALUE"""),"")</f>
        <v/>
      </c>
      <c r="G5878" s="18"/>
      <c r="H5878" s="16" t="s">
        <v>87</v>
      </c>
      <c r="I5878" s="16" t="s">
        <v>87</v>
      </c>
      <c r="J5878" s="19"/>
      <c r="L5878" s="16" t="str">
        <f>IFERROR(__xludf.DUMMYFUNCTION("""COMPUTED_VALUE"""),"")</f>
        <v/>
      </c>
      <c r="M5878" s="16" t="str">
        <f>IFERROR(__xludf.DUMMYFUNCTION("""COMPUTED_VALUE"""),"")</f>
        <v/>
      </c>
      <c r="U5878" s="16" t="s">
        <v>87</v>
      </c>
      <c r="V5878" s="16" t="str">
        <f>IFERROR(__xludf.DUMMYFUNCTION("""COMPUTED_VALUE"""),"")</f>
        <v/>
      </c>
      <c r="W5878" s="16" t="str">
        <f>IFERROR(__xludf.DUMMYFUNCTION("""COMPUTED_VALUE"""),"")</f>
        <v/>
      </c>
      <c r="X5878" s="16" t="str">
        <f>IFERROR(__xludf.DUMMYFUNCTION("""COMPUTED_VALUE"""),"")</f>
        <v/>
      </c>
      <c r="AC5878" s="16" t="str">
        <f>IFERROR(__xludf.DUMMYFUNCTION("""COMPUTED_VALUE"""),"")</f>
        <v/>
      </c>
    </row>
    <row r="5879">
      <c r="A5879" s="16" t="s">
        <v>87</v>
      </c>
      <c r="E5879" s="16" t="str">
        <f>IFERROR(__xludf.DUMMYFUNCTION("""COMPUTED_VALUE"""),"")</f>
        <v/>
      </c>
      <c r="G5879" s="18"/>
      <c r="H5879" s="16" t="s">
        <v>87</v>
      </c>
      <c r="I5879" s="16" t="s">
        <v>87</v>
      </c>
      <c r="J5879" s="19"/>
      <c r="L5879" s="16" t="str">
        <f>IFERROR(__xludf.DUMMYFUNCTION("""COMPUTED_VALUE"""),"")</f>
        <v/>
      </c>
      <c r="M5879" s="16" t="str">
        <f>IFERROR(__xludf.DUMMYFUNCTION("""COMPUTED_VALUE"""),"")</f>
        <v/>
      </c>
      <c r="U5879" s="16" t="s">
        <v>87</v>
      </c>
      <c r="V5879" s="16" t="str">
        <f>IFERROR(__xludf.DUMMYFUNCTION("""COMPUTED_VALUE"""),"")</f>
        <v/>
      </c>
      <c r="W5879" s="16" t="str">
        <f>IFERROR(__xludf.DUMMYFUNCTION("""COMPUTED_VALUE"""),"")</f>
        <v/>
      </c>
      <c r="X5879" s="16" t="str">
        <f>IFERROR(__xludf.DUMMYFUNCTION("""COMPUTED_VALUE"""),"")</f>
        <v/>
      </c>
      <c r="AC5879" s="16" t="str">
        <f>IFERROR(__xludf.DUMMYFUNCTION("""COMPUTED_VALUE"""),"")</f>
        <v/>
      </c>
    </row>
    <row r="5880">
      <c r="A5880" s="16" t="s">
        <v>87</v>
      </c>
      <c r="E5880" s="16" t="str">
        <f>IFERROR(__xludf.DUMMYFUNCTION("""COMPUTED_VALUE"""),"")</f>
        <v/>
      </c>
      <c r="G5880" s="18"/>
      <c r="H5880" s="16" t="s">
        <v>87</v>
      </c>
      <c r="I5880" s="16" t="s">
        <v>87</v>
      </c>
      <c r="J5880" s="19"/>
      <c r="L5880" s="16" t="str">
        <f>IFERROR(__xludf.DUMMYFUNCTION("""COMPUTED_VALUE"""),"")</f>
        <v/>
      </c>
      <c r="M5880" s="16" t="str">
        <f>IFERROR(__xludf.DUMMYFUNCTION("""COMPUTED_VALUE"""),"")</f>
        <v/>
      </c>
      <c r="U5880" s="16" t="s">
        <v>87</v>
      </c>
      <c r="V5880" s="16" t="str">
        <f>IFERROR(__xludf.DUMMYFUNCTION("""COMPUTED_VALUE"""),"")</f>
        <v/>
      </c>
      <c r="W5880" s="16" t="str">
        <f>IFERROR(__xludf.DUMMYFUNCTION("""COMPUTED_VALUE"""),"")</f>
        <v/>
      </c>
      <c r="X5880" s="16" t="str">
        <f>IFERROR(__xludf.DUMMYFUNCTION("""COMPUTED_VALUE"""),"")</f>
        <v/>
      </c>
      <c r="AC5880" s="16" t="str">
        <f>IFERROR(__xludf.DUMMYFUNCTION("""COMPUTED_VALUE"""),"")</f>
        <v/>
      </c>
    </row>
    <row r="5881">
      <c r="A5881" s="16" t="s">
        <v>87</v>
      </c>
      <c r="E5881" s="16" t="str">
        <f>IFERROR(__xludf.DUMMYFUNCTION("""COMPUTED_VALUE"""),"")</f>
        <v/>
      </c>
      <c r="G5881" s="18"/>
      <c r="H5881" s="16" t="s">
        <v>87</v>
      </c>
      <c r="I5881" s="16" t="s">
        <v>87</v>
      </c>
      <c r="J5881" s="19"/>
      <c r="L5881" s="16" t="str">
        <f>IFERROR(__xludf.DUMMYFUNCTION("""COMPUTED_VALUE"""),"")</f>
        <v/>
      </c>
      <c r="M5881" s="16" t="str">
        <f>IFERROR(__xludf.DUMMYFUNCTION("""COMPUTED_VALUE"""),"")</f>
        <v/>
      </c>
      <c r="U5881" s="16" t="s">
        <v>87</v>
      </c>
      <c r="V5881" s="16" t="str">
        <f>IFERROR(__xludf.DUMMYFUNCTION("""COMPUTED_VALUE"""),"")</f>
        <v/>
      </c>
      <c r="W5881" s="16" t="str">
        <f>IFERROR(__xludf.DUMMYFUNCTION("""COMPUTED_VALUE"""),"")</f>
        <v/>
      </c>
      <c r="X5881" s="16" t="str">
        <f>IFERROR(__xludf.DUMMYFUNCTION("""COMPUTED_VALUE"""),"")</f>
        <v/>
      </c>
      <c r="AC5881" s="16" t="str">
        <f>IFERROR(__xludf.DUMMYFUNCTION("""COMPUTED_VALUE"""),"")</f>
        <v/>
      </c>
    </row>
    <row r="5882">
      <c r="A5882" s="16" t="s">
        <v>87</v>
      </c>
      <c r="E5882" s="16" t="str">
        <f>IFERROR(__xludf.DUMMYFUNCTION("""COMPUTED_VALUE"""),"")</f>
        <v/>
      </c>
      <c r="G5882" s="18"/>
      <c r="H5882" s="16" t="s">
        <v>87</v>
      </c>
      <c r="I5882" s="16" t="s">
        <v>87</v>
      </c>
      <c r="J5882" s="19"/>
      <c r="L5882" s="16" t="str">
        <f>IFERROR(__xludf.DUMMYFUNCTION("""COMPUTED_VALUE"""),"")</f>
        <v/>
      </c>
      <c r="M5882" s="16" t="str">
        <f>IFERROR(__xludf.DUMMYFUNCTION("""COMPUTED_VALUE"""),"")</f>
        <v/>
      </c>
      <c r="U5882" s="16" t="s">
        <v>87</v>
      </c>
      <c r="V5882" s="16" t="str">
        <f>IFERROR(__xludf.DUMMYFUNCTION("""COMPUTED_VALUE"""),"")</f>
        <v/>
      </c>
      <c r="W5882" s="16" t="str">
        <f>IFERROR(__xludf.DUMMYFUNCTION("""COMPUTED_VALUE"""),"")</f>
        <v/>
      </c>
      <c r="X5882" s="16" t="str">
        <f>IFERROR(__xludf.DUMMYFUNCTION("""COMPUTED_VALUE"""),"")</f>
        <v/>
      </c>
      <c r="AC5882" s="16" t="str">
        <f>IFERROR(__xludf.DUMMYFUNCTION("""COMPUTED_VALUE"""),"")</f>
        <v/>
      </c>
    </row>
    <row r="5883">
      <c r="A5883" s="16" t="s">
        <v>87</v>
      </c>
      <c r="E5883" s="16" t="str">
        <f>IFERROR(__xludf.DUMMYFUNCTION("""COMPUTED_VALUE"""),"")</f>
        <v/>
      </c>
      <c r="G5883" s="18"/>
      <c r="H5883" s="16" t="s">
        <v>87</v>
      </c>
      <c r="I5883" s="16" t="s">
        <v>87</v>
      </c>
      <c r="J5883" s="19"/>
      <c r="L5883" s="16" t="str">
        <f>IFERROR(__xludf.DUMMYFUNCTION("""COMPUTED_VALUE"""),"")</f>
        <v/>
      </c>
      <c r="M5883" s="16" t="str">
        <f>IFERROR(__xludf.DUMMYFUNCTION("""COMPUTED_VALUE"""),"")</f>
        <v/>
      </c>
      <c r="U5883" s="16" t="s">
        <v>87</v>
      </c>
      <c r="V5883" s="16" t="str">
        <f>IFERROR(__xludf.DUMMYFUNCTION("""COMPUTED_VALUE"""),"")</f>
        <v/>
      </c>
      <c r="W5883" s="16" t="str">
        <f>IFERROR(__xludf.DUMMYFUNCTION("""COMPUTED_VALUE"""),"")</f>
        <v/>
      </c>
      <c r="X5883" s="16" t="str">
        <f>IFERROR(__xludf.DUMMYFUNCTION("""COMPUTED_VALUE"""),"")</f>
        <v/>
      </c>
      <c r="AC5883" s="16" t="str">
        <f>IFERROR(__xludf.DUMMYFUNCTION("""COMPUTED_VALUE"""),"")</f>
        <v/>
      </c>
    </row>
    <row r="5884">
      <c r="A5884" s="16" t="s">
        <v>87</v>
      </c>
      <c r="E5884" s="16" t="str">
        <f>IFERROR(__xludf.DUMMYFUNCTION("""COMPUTED_VALUE"""),"")</f>
        <v/>
      </c>
      <c r="G5884" s="18"/>
      <c r="H5884" s="16" t="s">
        <v>87</v>
      </c>
      <c r="I5884" s="16" t="s">
        <v>87</v>
      </c>
      <c r="J5884" s="19"/>
      <c r="L5884" s="16" t="str">
        <f>IFERROR(__xludf.DUMMYFUNCTION("""COMPUTED_VALUE"""),"")</f>
        <v/>
      </c>
      <c r="M5884" s="16" t="str">
        <f>IFERROR(__xludf.DUMMYFUNCTION("""COMPUTED_VALUE"""),"")</f>
        <v/>
      </c>
      <c r="U5884" s="16" t="s">
        <v>87</v>
      </c>
      <c r="V5884" s="16" t="str">
        <f>IFERROR(__xludf.DUMMYFUNCTION("""COMPUTED_VALUE"""),"")</f>
        <v/>
      </c>
      <c r="W5884" s="16" t="str">
        <f>IFERROR(__xludf.DUMMYFUNCTION("""COMPUTED_VALUE"""),"")</f>
        <v/>
      </c>
      <c r="X5884" s="16" t="str">
        <f>IFERROR(__xludf.DUMMYFUNCTION("""COMPUTED_VALUE"""),"")</f>
        <v/>
      </c>
      <c r="AC5884" s="16" t="str">
        <f>IFERROR(__xludf.DUMMYFUNCTION("""COMPUTED_VALUE"""),"")</f>
        <v/>
      </c>
    </row>
    <row r="5885">
      <c r="A5885" s="16" t="s">
        <v>87</v>
      </c>
      <c r="E5885" s="16" t="str">
        <f>IFERROR(__xludf.DUMMYFUNCTION("""COMPUTED_VALUE"""),"")</f>
        <v/>
      </c>
      <c r="G5885" s="18"/>
      <c r="H5885" s="16" t="s">
        <v>87</v>
      </c>
      <c r="I5885" s="16" t="s">
        <v>87</v>
      </c>
      <c r="J5885" s="19"/>
      <c r="L5885" s="16" t="str">
        <f>IFERROR(__xludf.DUMMYFUNCTION("""COMPUTED_VALUE"""),"")</f>
        <v/>
      </c>
      <c r="M5885" s="16" t="str">
        <f>IFERROR(__xludf.DUMMYFUNCTION("""COMPUTED_VALUE"""),"")</f>
        <v/>
      </c>
      <c r="U5885" s="16" t="s">
        <v>87</v>
      </c>
      <c r="V5885" s="16" t="str">
        <f>IFERROR(__xludf.DUMMYFUNCTION("""COMPUTED_VALUE"""),"")</f>
        <v/>
      </c>
      <c r="W5885" s="16" t="str">
        <f>IFERROR(__xludf.DUMMYFUNCTION("""COMPUTED_VALUE"""),"")</f>
        <v/>
      </c>
      <c r="X5885" s="16" t="str">
        <f>IFERROR(__xludf.DUMMYFUNCTION("""COMPUTED_VALUE"""),"")</f>
        <v/>
      </c>
      <c r="AC5885" s="16" t="str">
        <f>IFERROR(__xludf.DUMMYFUNCTION("""COMPUTED_VALUE"""),"")</f>
        <v/>
      </c>
    </row>
    <row r="5886">
      <c r="A5886" s="16" t="s">
        <v>87</v>
      </c>
      <c r="E5886" s="16" t="str">
        <f>IFERROR(__xludf.DUMMYFUNCTION("""COMPUTED_VALUE"""),"")</f>
        <v/>
      </c>
      <c r="G5886" s="18"/>
      <c r="H5886" s="16" t="s">
        <v>87</v>
      </c>
      <c r="I5886" s="16" t="s">
        <v>87</v>
      </c>
      <c r="J5886" s="19"/>
      <c r="L5886" s="16" t="str">
        <f>IFERROR(__xludf.DUMMYFUNCTION("""COMPUTED_VALUE"""),"")</f>
        <v/>
      </c>
      <c r="M5886" s="16" t="str">
        <f>IFERROR(__xludf.DUMMYFUNCTION("""COMPUTED_VALUE"""),"")</f>
        <v/>
      </c>
      <c r="U5886" s="16" t="s">
        <v>87</v>
      </c>
      <c r="V5886" s="16" t="str">
        <f>IFERROR(__xludf.DUMMYFUNCTION("""COMPUTED_VALUE"""),"")</f>
        <v/>
      </c>
      <c r="W5886" s="16" t="str">
        <f>IFERROR(__xludf.DUMMYFUNCTION("""COMPUTED_VALUE"""),"")</f>
        <v/>
      </c>
      <c r="X5886" s="16" t="str">
        <f>IFERROR(__xludf.DUMMYFUNCTION("""COMPUTED_VALUE"""),"")</f>
        <v/>
      </c>
      <c r="AC5886" s="16" t="str">
        <f>IFERROR(__xludf.DUMMYFUNCTION("""COMPUTED_VALUE"""),"")</f>
        <v/>
      </c>
    </row>
    <row r="5887">
      <c r="A5887" s="16" t="s">
        <v>87</v>
      </c>
      <c r="E5887" s="16" t="str">
        <f>IFERROR(__xludf.DUMMYFUNCTION("""COMPUTED_VALUE"""),"")</f>
        <v/>
      </c>
      <c r="G5887" s="18"/>
      <c r="H5887" s="16" t="s">
        <v>87</v>
      </c>
      <c r="I5887" s="16" t="s">
        <v>87</v>
      </c>
      <c r="J5887" s="19"/>
      <c r="L5887" s="16" t="str">
        <f>IFERROR(__xludf.DUMMYFUNCTION("""COMPUTED_VALUE"""),"")</f>
        <v/>
      </c>
      <c r="M5887" s="16" t="str">
        <f>IFERROR(__xludf.DUMMYFUNCTION("""COMPUTED_VALUE"""),"")</f>
        <v/>
      </c>
      <c r="U5887" s="16" t="s">
        <v>87</v>
      </c>
      <c r="V5887" s="16" t="str">
        <f>IFERROR(__xludf.DUMMYFUNCTION("""COMPUTED_VALUE"""),"")</f>
        <v/>
      </c>
      <c r="W5887" s="16" t="str">
        <f>IFERROR(__xludf.DUMMYFUNCTION("""COMPUTED_VALUE"""),"")</f>
        <v/>
      </c>
      <c r="X5887" s="16" t="str">
        <f>IFERROR(__xludf.DUMMYFUNCTION("""COMPUTED_VALUE"""),"")</f>
        <v/>
      </c>
      <c r="AC5887" s="16" t="str">
        <f>IFERROR(__xludf.DUMMYFUNCTION("""COMPUTED_VALUE"""),"")</f>
        <v/>
      </c>
    </row>
    <row r="5888">
      <c r="A5888" s="16" t="s">
        <v>87</v>
      </c>
      <c r="E5888" s="16" t="str">
        <f>IFERROR(__xludf.DUMMYFUNCTION("""COMPUTED_VALUE"""),"")</f>
        <v/>
      </c>
      <c r="G5888" s="18"/>
      <c r="H5888" s="16" t="s">
        <v>87</v>
      </c>
      <c r="I5888" s="16" t="s">
        <v>87</v>
      </c>
      <c r="J5888" s="19"/>
      <c r="L5888" s="16" t="str">
        <f>IFERROR(__xludf.DUMMYFUNCTION("""COMPUTED_VALUE"""),"")</f>
        <v/>
      </c>
      <c r="M5888" s="16" t="str">
        <f>IFERROR(__xludf.DUMMYFUNCTION("""COMPUTED_VALUE"""),"")</f>
        <v/>
      </c>
      <c r="U5888" s="16" t="s">
        <v>87</v>
      </c>
      <c r="V5888" s="16" t="str">
        <f>IFERROR(__xludf.DUMMYFUNCTION("""COMPUTED_VALUE"""),"")</f>
        <v/>
      </c>
      <c r="W5888" s="16" t="str">
        <f>IFERROR(__xludf.DUMMYFUNCTION("""COMPUTED_VALUE"""),"")</f>
        <v/>
      </c>
      <c r="X5888" s="16" t="str">
        <f>IFERROR(__xludf.DUMMYFUNCTION("""COMPUTED_VALUE"""),"")</f>
        <v/>
      </c>
      <c r="AC5888" s="16" t="str">
        <f>IFERROR(__xludf.DUMMYFUNCTION("""COMPUTED_VALUE"""),"")</f>
        <v/>
      </c>
    </row>
    <row r="5889">
      <c r="A5889" s="16" t="s">
        <v>87</v>
      </c>
      <c r="E5889" s="16" t="str">
        <f>IFERROR(__xludf.DUMMYFUNCTION("""COMPUTED_VALUE"""),"")</f>
        <v/>
      </c>
      <c r="G5889" s="18"/>
      <c r="H5889" s="16" t="s">
        <v>87</v>
      </c>
      <c r="I5889" s="16" t="s">
        <v>87</v>
      </c>
      <c r="J5889" s="19"/>
      <c r="L5889" s="16" t="str">
        <f>IFERROR(__xludf.DUMMYFUNCTION("""COMPUTED_VALUE"""),"")</f>
        <v/>
      </c>
      <c r="M5889" s="16" t="str">
        <f>IFERROR(__xludf.DUMMYFUNCTION("""COMPUTED_VALUE"""),"")</f>
        <v/>
      </c>
      <c r="U5889" s="16" t="s">
        <v>87</v>
      </c>
      <c r="V5889" s="16" t="str">
        <f>IFERROR(__xludf.DUMMYFUNCTION("""COMPUTED_VALUE"""),"")</f>
        <v/>
      </c>
      <c r="W5889" s="16" t="str">
        <f>IFERROR(__xludf.DUMMYFUNCTION("""COMPUTED_VALUE"""),"")</f>
        <v/>
      </c>
      <c r="X5889" s="16" t="str">
        <f>IFERROR(__xludf.DUMMYFUNCTION("""COMPUTED_VALUE"""),"")</f>
        <v/>
      </c>
      <c r="AC5889" s="16" t="str">
        <f>IFERROR(__xludf.DUMMYFUNCTION("""COMPUTED_VALUE"""),"")</f>
        <v/>
      </c>
    </row>
    <row r="5890">
      <c r="A5890" s="16" t="s">
        <v>87</v>
      </c>
      <c r="E5890" s="16" t="str">
        <f>IFERROR(__xludf.DUMMYFUNCTION("""COMPUTED_VALUE"""),"")</f>
        <v/>
      </c>
      <c r="G5890" s="18"/>
      <c r="H5890" s="16" t="s">
        <v>87</v>
      </c>
      <c r="I5890" s="16" t="s">
        <v>87</v>
      </c>
      <c r="J5890" s="19"/>
      <c r="L5890" s="16" t="str">
        <f>IFERROR(__xludf.DUMMYFUNCTION("""COMPUTED_VALUE"""),"")</f>
        <v/>
      </c>
      <c r="M5890" s="16" t="str">
        <f>IFERROR(__xludf.DUMMYFUNCTION("""COMPUTED_VALUE"""),"")</f>
        <v/>
      </c>
      <c r="U5890" s="16" t="s">
        <v>87</v>
      </c>
      <c r="V5890" s="16" t="str">
        <f>IFERROR(__xludf.DUMMYFUNCTION("""COMPUTED_VALUE"""),"")</f>
        <v/>
      </c>
      <c r="W5890" s="16" t="str">
        <f>IFERROR(__xludf.DUMMYFUNCTION("""COMPUTED_VALUE"""),"")</f>
        <v/>
      </c>
      <c r="X5890" s="16" t="str">
        <f>IFERROR(__xludf.DUMMYFUNCTION("""COMPUTED_VALUE"""),"")</f>
        <v/>
      </c>
      <c r="AC5890" s="16" t="str">
        <f>IFERROR(__xludf.DUMMYFUNCTION("""COMPUTED_VALUE"""),"")</f>
        <v/>
      </c>
    </row>
    <row r="5891">
      <c r="A5891" s="16" t="s">
        <v>87</v>
      </c>
      <c r="E5891" s="16" t="str">
        <f>IFERROR(__xludf.DUMMYFUNCTION("""COMPUTED_VALUE"""),"")</f>
        <v/>
      </c>
      <c r="G5891" s="18"/>
      <c r="H5891" s="16" t="s">
        <v>87</v>
      </c>
      <c r="I5891" s="16" t="s">
        <v>87</v>
      </c>
      <c r="J5891" s="19"/>
      <c r="L5891" s="16" t="str">
        <f>IFERROR(__xludf.DUMMYFUNCTION("""COMPUTED_VALUE"""),"")</f>
        <v/>
      </c>
      <c r="M5891" s="16" t="str">
        <f>IFERROR(__xludf.DUMMYFUNCTION("""COMPUTED_VALUE"""),"")</f>
        <v/>
      </c>
      <c r="U5891" s="16" t="s">
        <v>87</v>
      </c>
      <c r="V5891" s="16" t="str">
        <f>IFERROR(__xludf.DUMMYFUNCTION("""COMPUTED_VALUE"""),"")</f>
        <v/>
      </c>
      <c r="W5891" s="16" t="str">
        <f>IFERROR(__xludf.DUMMYFUNCTION("""COMPUTED_VALUE"""),"")</f>
        <v/>
      </c>
      <c r="X5891" s="16" t="str">
        <f>IFERROR(__xludf.DUMMYFUNCTION("""COMPUTED_VALUE"""),"")</f>
        <v/>
      </c>
      <c r="AC5891" s="16" t="str">
        <f>IFERROR(__xludf.DUMMYFUNCTION("""COMPUTED_VALUE"""),"")</f>
        <v/>
      </c>
    </row>
    <row r="5892">
      <c r="A5892" s="16" t="s">
        <v>87</v>
      </c>
      <c r="E5892" s="16" t="str">
        <f>IFERROR(__xludf.DUMMYFUNCTION("""COMPUTED_VALUE"""),"")</f>
        <v/>
      </c>
      <c r="G5892" s="18"/>
      <c r="H5892" s="16" t="s">
        <v>87</v>
      </c>
      <c r="I5892" s="16" t="s">
        <v>87</v>
      </c>
      <c r="J5892" s="19"/>
      <c r="L5892" s="16" t="str">
        <f>IFERROR(__xludf.DUMMYFUNCTION("""COMPUTED_VALUE"""),"")</f>
        <v/>
      </c>
      <c r="M5892" s="16" t="str">
        <f>IFERROR(__xludf.DUMMYFUNCTION("""COMPUTED_VALUE"""),"")</f>
        <v/>
      </c>
      <c r="U5892" s="16" t="s">
        <v>87</v>
      </c>
      <c r="V5892" s="16" t="str">
        <f>IFERROR(__xludf.DUMMYFUNCTION("""COMPUTED_VALUE"""),"")</f>
        <v/>
      </c>
      <c r="W5892" s="16" t="str">
        <f>IFERROR(__xludf.DUMMYFUNCTION("""COMPUTED_VALUE"""),"")</f>
        <v/>
      </c>
      <c r="X5892" s="16" t="str">
        <f>IFERROR(__xludf.DUMMYFUNCTION("""COMPUTED_VALUE"""),"")</f>
        <v/>
      </c>
      <c r="AC5892" s="16" t="str">
        <f>IFERROR(__xludf.DUMMYFUNCTION("""COMPUTED_VALUE"""),"")</f>
        <v/>
      </c>
    </row>
    <row r="5893">
      <c r="A5893" s="16" t="s">
        <v>87</v>
      </c>
      <c r="E5893" s="16" t="str">
        <f>IFERROR(__xludf.DUMMYFUNCTION("""COMPUTED_VALUE"""),"")</f>
        <v/>
      </c>
      <c r="G5893" s="18"/>
      <c r="H5893" s="16" t="s">
        <v>87</v>
      </c>
      <c r="I5893" s="16" t="s">
        <v>87</v>
      </c>
      <c r="J5893" s="19"/>
      <c r="L5893" s="16" t="str">
        <f>IFERROR(__xludf.DUMMYFUNCTION("""COMPUTED_VALUE"""),"")</f>
        <v/>
      </c>
      <c r="M5893" s="16" t="str">
        <f>IFERROR(__xludf.DUMMYFUNCTION("""COMPUTED_VALUE"""),"")</f>
        <v/>
      </c>
      <c r="U5893" s="16" t="s">
        <v>87</v>
      </c>
      <c r="V5893" s="16" t="str">
        <f>IFERROR(__xludf.DUMMYFUNCTION("""COMPUTED_VALUE"""),"")</f>
        <v/>
      </c>
      <c r="W5893" s="16" t="str">
        <f>IFERROR(__xludf.DUMMYFUNCTION("""COMPUTED_VALUE"""),"")</f>
        <v/>
      </c>
      <c r="X5893" s="16" t="str">
        <f>IFERROR(__xludf.DUMMYFUNCTION("""COMPUTED_VALUE"""),"")</f>
        <v/>
      </c>
      <c r="AC5893" s="16" t="str">
        <f>IFERROR(__xludf.DUMMYFUNCTION("""COMPUTED_VALUE"""),"")</f>
        <v/>
      </c>
    </row>
    <row r="5894">
      <c r="A5894" s="16" t="s">
        <v>87</v>
      </c>
      <c r="E5894" s="16" t="str">
        <f>IFERROR(__xludf.DUMMYFUNCTION("""COMPUTED_VALUE"""),"")</f>
        <v/>
      </c>
      <c r="G5894" s="18"/>
      <c r="H5894" s="16" t="s">
        <v>87</v>
      </c>
      <c r="I5894" s="16" t="s">
        <v>87</v>
      </c>
      <c r="J5894" s="19"/>
      <c r="L5894" s="16" t="str">
        <f>IFERROR(__xludf.DUMMYFUNCTION("""COMPUTED_VALUE"""),"")</f>
        <v/>
      </c>
      <c r="M5894" s="16" t="str">
        <f>IFERROR(__xludf.DUMMYFUNCTION("""COMPUTED_VALUE"""),"")</f>
        <v/>
      </c>
      <c r="U5894" s="16" t="s">
        <v>87</v>
      </c>
      <c r="V5894" s="16" t="str">
        <f>IFERROR(__xludf.DUMMYFUNCTION("""COMPUTED_VALUE"""),"")</f>
        <v/>
      </c>
      <c r="W5894" s="16" t="str">
        <f>IFERROR(__xludf.DUMMYFUNCTION("""COMPUTED_VALUE"""),"")</f>
        <v/>
      </c>
      <c r="X5894" s="16" t="str">
        <f>IFERROR(__xludf.DUMMYFUNCTION("""COMPUTED_VALUE"""),"")</f>
        <v/>
      </c>
      <c r="AC5894" s="16" t="str">
        <f>IFERROR(__xludf.DUMMYFUNCTION("""COMPUTED_VALUE"""),"")</f>
        <v/>
      </c>
    </row>
    <row r="5895">
      <c r="A5895" s="16" t="s">
        <v>87</v>
      </c>
      <c r="E5895" s="16" t="str">
        <f>IFERROR(__xludf.DUMMYFUNCTION("""COMPUTED_VALUE"""),"")</f>
        <v/>
      </c>
      <c r="G5895" s="18"/>
      <c r="H5895" s="16" t="s">
        <v>87</v>
      </c>
      <c r="I5895" s="16" t="s">
        <v>87</v>
      </c>
      <c r="J5895" s="19"/>
      <c r="L5895" s="16" t="str">
        <f>IFERROR(__xludf.DUMMYFUNCTION("""COMPUTED_VALUE"""),"")</f>
        <v/>
      </c>
      <c r="M5895" s="16" t="str">
        <f>IFERROR(__xludf.DUMMYFUNCTION("""COMPUTED_VALUE"""),"")</f>
        <v/>
      </c>
      <c r="U5895" s="16" t="s">
        <v>87</v>
      </c>
      <c r="V5895" s="16" t="str">
        <f>IFERROR(__xludf.DUMMYFUNCTION("""COMPUTED_VALUE"""),"")</f>
        <v/>
      </c>
      <c r="W5895" s="16" t="str">
        <f>IFERROR(__xludf.DUMMYFUNCTION("""COMPUTED_VALUE"""),"")</f>
        <v/>
      </c>
      <c r="X5895" s="16" t="str">
        <f>IFERROR(__xludf.DUMMYFUNCTION("""COMPUTED_VALUE"""),"")</f>
        <v/>
      </c>
      <c r="AC5895" s="16" t="str">
        <f>IFERROR(__xludf.DUMMYFUNCTION("""COMPUTED_VALUE"""),"")</f>
        <v/>
      </c>
    </row>
    <row r="5896">
      <c r="A5896" s="16" t="s">
        <v>87</v>
      </c>
      <c r="E5896" s="16" t="str">
        <f>IFERROR(__xludf.DUMMYFUNCTION("""COMPUTED_VALUE"""),"")</f>
        <v/>
      </c>
      <c r="G5896" s="18"/>
      <c r="H5896" s="16" t="s">
        <v>87</v>
      </c>
      <c r="I5896" s="16" t="s">
        <v>87</v>
      </c>
      <c r="J5896" s="19"/>
      <c r="L5896" s="16" t="str">
        <f>IFERROR(__xludf.DUMMYFUNCTION("""COMPUTED_VALUE"""),"")</f>
        <v/>
      </c>
      <c r="M5896" s="16" t="str">
        <f>IFERROR(__xludf.DUMMYFUNCTION("""COMPUTED_VALUE"""),"")</f>
        <v/>
      </c>
      <c r="U5896" s="16" t="s">
        <v>87</v>
      </c>
      <c r="V5896" s="16" t="str">
        <f>IFERROR(__xludf.DUMMYFUNCTION("""COMPUTED_VALUE"""),"")</f>
        <v/>
      </c>
      <c r="W5896" s="16" t="str">
        <f>IFERROR(__xludf.DUMMYFUNCTION("""COMPUTED_VALUE"""),"")</f>
        <v/>
      </c>
      <c r="X5896" s="16" t="str">
        <f>IFERROR(__xludf.DUMMYFUNCTION("""COMPUTED_VALUE"""),"")</f>
        <v/>
      </c>
      <c r="AC5896" s="16" t="str">
        <f>IFERROR(__xludf.DUMMYFUNCTION("""COMPUTED_VALUE"""),"")</f>
        <v/>
      </c>
    </row>
    <row r="5897">
      <c r="A5897" s="16" t="s">
        <v>87</v>
      </c>
      <c r="E5897" s="16" t="str">
        <f>IFERROR(__xludf.DUMMYFUNCTION("""COMPUTED_VALUE"""),"")</f>
        <v/>
      </c>
      <c r="G5897" s="18"/>
      <c r="H5897" s="16" t="s">
        <v>87</v>
      </c>
      <c r="I5897" s="16" t="s">
        <v>87</v>
      </c>
      <c r="J5897" s="19"/>
      <c r="L5897" s="16" t="str">
        <f>IFERROR(__xludf.DUMMYFUNCTION("""COMPUTED_VALUE"""),"")</f>
        <v/>
      </c>
      <c r="M5897" s="16" t="str">
        <f>IFERROR(__xludf.DUMMYFUNCTION("""COMPUTED_VALUE"""),"")</f>
        <v/>
      </c>
      <c r="U5897" s="16" t="s">
        <v>87</v>
      </c>
      <c r="V5897" s="16" t="str">
        <f>IFERROR(__xludf.DUMMYFUNCTION("""COMPUTED_VALUE"""),"")</f>
        <v/>
      </c>
      <c r="W5897" s="16" t="str">
        <f>IFERROR(__xludf.DUMMYFUNCTION("""COMPUTED_VALUE"""),"")</f>
        <v/>
      </c>
      <c r="X5897" s="16" t="str">
        <f>IFERROR(__xludf.DUMMYFUNCTION("""COMPUTED_VALUE"""),"")</f>
        <v/>
      </c>
      <c r="AC5897" s="16" t="str">
        <f>IFERROR(__xludf.DUMMYFUNCTION("""COMPUTED_VALUE"""),"")</f>
        <v/>
      </c>
    </row>
    <row r="5898">
      <c r="A5898" s="16" t="s">
        <v>87</v>
      </c>
      <c r="E5898" s="16" t="str">
        <f>IFERROR(__xludf.DUMMYFUNCTION("""COMPUTED_VALUE"""),"")</f>
        <v/>
      </c>
      <c r="G5898" s="18"/>
      <c r="H5898" s="16" t="s">
        <v>87</v>
      </c>
      <c r="I5898" s="16" t="s">
        <v>87</v>
      </c>
      <c r="J5898" s="19"/>
      <c r="L5898" s="16" t="str">
        <f>IFERROR(__xludf.DUMMYFUNCTION("""COMPUTED_VALUE"""),"")</f>
        <v/>
      </c>
      <c r="M5898" s="16" t="str">
        <f>IFERROR(__xludf.DUMMYFUNCTION("""COMPUTED_VALUE"""),"")</f>
        <v/>
      </c>
      <c r="U5898" s="16" t="s">
        <v>87</v>
      </c>
      <c r="V5898" s="16" t="str">
        <f>IFERROR(__xludf.DUMMYFUNCTION("""COMPUTED_VALUE"""),"")</f>
        <v/>
      </c>
      <c r="W5898" s="16" t="str">
        <f>IFERROR(__xludf.DUMMYFUNCTION("""COMPUTED_VALUE"""),"")</f>
        <v/>
      </c>
      <c r="X5898" s="16" t="str">
        <f>IFERROR(__xludf.DUMMYFUNCTION("""COMPUTED_VALUE"""),"")</f>
        <v/>
      </c>
      <c r="AC5898" s="16" t="str">
        <f>IFERROR(__xludf.DUMMYFUNCTION("""COMPUTED_VALUE"""),"")</f>
        <v/>
      </c>
    </row>
    <row r="5899">
      <c r="A5899" s="16" t="s">
        <v>87</v>
      </c>
      <c r="E5899" s="16" t="str">
        <f>IFERROR(__xludf.DUMMYFUNCTION("""COMPUTED_VALUE"""),"")</f>
        <v/>
      </c>
      <c r="G5899" s="18"/>
      <c r="H5899" s="16" t="s">
        <v>87</v>
      </c>
      <c r="I5899" s="16" t="s">
        <v>87</v>
      </c>
      <c r="J5899" s="19"/>
      <c r="L5899" s="16" t="str">
        <f>IFERROR(__xludf.DUMMYFUNCTION("""COMPUTED_VALUE"""),"")</f>
        <v/>
      </c>
      <c r="M5899" s="16" t="str">
        <f>IFERROR(__xludf.DUMMYFUNCTION("""COMPUTED_VALUE"""),"")</f>
        <v/>
      </c>
      <c r="U5899" s="16" t="s">
        <v>87</v>
      </c>
      <c r="V5899" s="16" t="str">
        <f>IFERROR(__xludf.DUMMYFUNCTION("""COMPUTED_VALUE"""),"")</f>
        <v/>
      </c>
      <c r="W5899" s="16" t="str">
        <f>IFERROR(__xludf.DUMMYFUNCTION("""COMPUTED_VALUE"""),"")</f>
        <v/>
      </c>
      <c r="X5899" s="16" t="str">
        <f>IFERROR(__xludf.DUMMYFUNCTION("""COMPUTED_VALUE"""),"")</f>
        <v/>
      </c>
      <c r="AC5899" s="16" t="str">
        <f>IFERROR(__xludf.DUMMYFUNCTION("""COMPUTED_VALUE"""),"")</f>
        <v/>
      </c>
    </row>
    <row r="5900">
      <c r="A5900" s="16" t="s">
        <v>87</v>
      </c>
      <c r="E5900" s="16" t="str">
        <f>IFERROR(__xludf.DUMMYFUNCTION("""COMPUTED_VALUE"""),"")</f>
        <v/>
      </c>
      <c r="G5900" s="18"/>
      <c r="H5900" s="16" t="s">
        <v>87</v>
      </c>
      <c r="I5900" s="16" t="s">
        <v>87</v>
      </c>
      <c r="J5900" s="19"/>
      <c r="L5900" s="16" t="str">
        <f>IFERROR(__xludf.DUMMYFUNCTION("""COMPUTED_VALUE"""),"")</f>
        <v/>
      </c>
      <c r="M5900" s="16" t="str">
        <f>IFERROR(__xludf.DUMMYFUNCTION("""COMPUTED_VALUE"""),"")</f>
        <v/>
      </c>
      <c r="U5900" s="16" t="s">
        <v>87</v>
      </c>
      <c r="V5900" s="16" t="str">
        <f>IFERROR(__xludf.DUMMYFUNCTION("""COMPUTED_VALUE"""),"")</f>
        <v/>
      </c>
      <c r="W5900" s="16" t="str">
        <f>IFERROR(__xludf.DUMMYFUNCTION("""COMPUTED_VALUE"""),"")</f>
        <v/>
      </c>
      <c r="X5900" s="16" t="str">
        <f>IFERROR(__xludf.DUMMYFUNCTION("""COMPUTED_VALUE"""),"")</f>
        <v/>
      </c>
      <c r="AC5900" s="16" t="str">
        <f>IFERROR(__xludf.DUMMYFUNCTION("""COMPUTED_VALUE"""),"")</f>
        <v/>
      </c>
    </row>
    <row r="5901">
      <c r="A5901" s="16" t="s">
        <v>87</v>
      </c>
      <c r="E5901" s="16" t="str">
        <f>IFERROR(__xludf.DUMMYFUNCTION("""COMPUTED_VALUE"""),"")</f>
        <v/>
      </c>
      <c r="G5901" s="18"/>
      <c r="H5901" s="16" t="s">
        <v>87</v>
      </c>
      <c r="I5901" s="16" t="s">
        <v>87</v>
      </c>
      <c r="J5901" s="19"/>
      <c r="L5901" s="16" t="str">
        <f>IFERROR(__xludf.DUMMYFUNCTION("""COMPUTED_VALUE"""),"")</f>
        <v/>
      </c>
      <c r="M5901" s="16" t="str">
        <f>IFERROR(__xludf.DUMMYFUNCTION("""COMPUTED_VALUE"""),"")</f>
        <v/>
      </c>
      <c r="U5901" s="16" t="s">
        <v>87</v>
      </c>
      <c r="V5901" s="16" t="str">
        <f>IFERROR(__xludf.DUMMYFUNCTION("""COMPUTED_VALUE"""),"")</f>
        <v/>
      </c>
      <c r="W5901" s="16" t="str">
        <f>IFERROR(__xludf.DUMMYFUNCTION("""COMPUTED_VALUE"""),"")</f>
        <v/>
      </c>
      <c r="X5901" s="16" t="str">
        <f>IFERROR(__xludf.DUMMYFUNCTION("""COMPUTED_VALUE"""),"")</f>
        <v/>
      </c>
      <c r="AC5901" s="16" t="str">
        <f>IFERROR(__xludf.DUMMYFUNCTION("""COMPUTED_VALUE"""),"")</f>
        <v/>
      </c>
    </row>
    <row r="5902">
      <c r="A5902" s="16" t="s">
        <v>87</v>
      </c>
      <c r="E5902" s="16" t="str">
        <f>IFERROR(__xludf.DUMMYFUNCTION("""COMPUTED_VALUE"""),"")</f>
        <v/>
      </c>
      <c r="G5902" s="18"/>
      <c r="H5902" s="16" t="s">
        <v>87</v>
      </c>
      <c r="I5902" s="16" t="s">
        <v>87</v>
      </c>
      <c r="J5902" s="19"/>
      <c r="L5902" s="16" t="str">
        <f>IFERROR(__xludf.DUMMYFUNCTION("""COMPUTED_VALUE"""),"")</f>
        <v/>
      </c>
      <c r="M5902" s="16" t="str">
        <f>IFERROR(__xludf.DUMMYFUNCTION("""COMPUTED_VALUE"""),"")</f>
        <v/>
      </c>
      <c r="U5902" s="16" t="s">
        <v>87</v>
      </c>
      <c r="V5902" s="16" t="str">
        <f>IFERROR(__xludf.DUMMYFUNCTION("""COMPUTED_VALUE"""),"")</f>
        <v/>
      </c>
      <c r="W5902" s="16" t="str">
        <f>IFERROR(__xludf.DUMMYFUNCTION("""COMPUTED_VALUE"""),"")</f>
        <v/>
      </c>
      <c r="X5902" s="16" t="str">
        <f>IFERROR(__xludf.DUMMYFUNCTION("""COMPUTED_VALUE"""),"")</f>
        <v/>
      </c>
      <c r="AC5902" s="16" t="str">
        <f>IFERROR(__xludf.DUMMYFUNCTION("""COMPUTED_VALUE"""),"")</f>
        <v/>
      </c>
    </row>
    <row r="5903">
      <c r="A5903" s="16" t="s">
        <v>87</v>
      </c>
      <c r="E5903" s="16" t="str">
        <f>IFERROR(__xludf.DUMMYFUNCTION("""COMPUTED_VALUE"""),"")</f>
        <v/>
      </c>
      <c r="G5903" s="18"/>
      <c r="H5903" s="16" t="s">
        <v>87</v>
      </c>
      <c r="I5903" s="16" t="s">
        <v>87</v>
      </c>
      <c r="J5903" s="19"/>
      <c r="L5903" s="16" t="str">
        <f>IFERROR(__xludf.DUMMYFUNCTION("""COMPUTED_VALUE"""),"")</f>
        <v/>
      </c>
      <c r="M5903" s="16" t="str">
        <f>IFERROR(__xludf.DUMMYFUNCTION("""COMPUTED_VALUE"""),"")</f>
        <v/>
      </c>
      <c r="U5903" s="16" t="s">
        <v>87</v>
      </c>
      <c r="V5903" s="16" t="str">
        <f>IFERROR(__xludf.DUMMYFUNCTION("""COMPUTED_VALUE"""),"")</f>
        <v/>
      </c>
      <c r="W5903" s="16" t="str">
        <f>IFERROR(__xludf.DUMMYFUNCTION("""COMPUTED_VALUE"""),"")</f>
        <v/>
      </c>
      <c r="X5903" s="16" t="str">
        <f>IFERROR(__xludf.DUMMYFUNCTION("""COMPUTED_VALUE"""),"")</f>
        <v/>
      </c>
      <c r="AC5903" s="16" t="str">
        <f>IFERROR(__xludf.DUMMYFUNCTION("""COMPUTED_VALUE"""),"")</f>
        <v/>
      </c>
    </row>
    <row r="5904">
      <c r="A5904" s="16" t="s">
        <v>87</v>
      </c>
      <c r="E5904" s="16" t="str">
        <f>IFERROR(__xludf.DUMMYFUNCTION("""COMPUTED_VALUE"""),"")</f>
        <v/>
      </c>
      <c r="G5904" s="18"/>
      <c r="H5904" s="16" t="s">
        <v>87</v>
      </c>
      <c r="I5904" s="16" t="s">
        <v>87</v>
      </c>
      <c r="J5904" s="19"/>
      <c r="L5904" s="16" t="str">
        <f>IFERROR(__xludf.DUMMYFUNCTION("""COMPUTED_VALUE"""),"")</f>
        <v/>
      </c>
      <c r="M5904" s="16" t="str">
        <f>IFERROR(__xludf.DUMMYFUNCTION("""COMPUTED_VALUE"""),"")</f>
        <v/>
      </c>
      <c r="U5904" s="16" t="s">
        <v>87</v>
      </c>
      <c r="V5904" s="16" t="str">
        <f>IFERROR(__xludf.DUMMYFUNCTION("""COMPUTED_VALUE"""),"")</f>
        <v/>
      </c>
      <c r="W5904" s="16" t="str">
        <f>IFERROR(__xludf.DUMMYFUNCTION("""COMPUTED_VALUE"""),"")</f>
        <v/>
      </c>
      <c r="X5904" s="16" t="str">
        <f>IFERROR(__xludf.DUMMYFUNCTION("""COMPUTED_VALUE"""),"")</f>
        <v/>
      </c>
      <c r="AC5904" s="16" t="str">
        <f>IFERROR(__xludf.DUMMYFUNCTION("""COMPUTED_VALUE"""),"")</f>
        <v/>
      </c>
    </row>
    <row r="5905">
      <c r="A5905" s="16" t="s">
        <v>87</v>
      </c>
      <c r="E5905" s="16" t="str">
        <f>IFERROR(__xludf.DUMMYFUNCTION("""COMPUTED_VALUE"""),"")</f>
        <v/>
      </c>
      <c r="G5905" s="18"/>
      <c r="H5905" s="16" t="s">
        <v>87</v>
      </c>
      <c r="I5905" s="16" t="s">
        <v>87</v>
      </c>
      <c r="J5905" s="19"/>
      <c r="L5905" s="16" t="str">
        <f>IFERROR(__xludf.DUMMYFUNCTION("""COMPUTED_VALUE"""),"")</f>
        <v/>
      </c>
      <c r="M5905" s="16" t="str">
        <f>IFERROR(__xludf.DUMMYFUNCTION("""COMPUTED_VALUE"""),"")</f>
        <v/>
      </c>
      <c r="U5905" s="16" t="s">
        <v>87</v>
      </c>
      <c r="V5905" s="16" t="str">
        <f>IFERROR(__xludf.DUMMYFUNCTION("""COMPUTED_VALUE"""),"")</f>
        <v/>
      </c>
      <c r="W5905" s="16" t="str">
        <f>IFERROR(__xludf.DUMMYFUNCTION("""COMPUTED_VALUE"""),"")</f>
        <v/>
      </c>
      <c r="X5905" s="16" t="str">
        <f>IFERROR(__xludf.DUMMYFUNCTION("""COMPUTED_VALUE"""),"")</f>
        <v/>
      </c>
      <c r="AC5905" s="16" t="str">
        <f>IFERROR(__xludf.DUMMYFUNCTION("""COMPUTED_VALUE"""),"")</f>
        <v/>
      </c>
    </row>
    <row r="5906">
      <c r="A5906" s="16" t="s">
        <v>87</v>
      </c>
      <c r="E5906" s="16" t="str">
        <f>IFERROR(__xludf.DUMMYFUNCTION("""COMPUTED_VALUE"""),"")</f>
        <v/>
      </c>
      <c r="G5906" s="18"/>
      <c r="H5906" s="16" t="s">
        <v>87</v>
      </c>
      <c r="I5906" s="16" t="s">
        <v>87</v>
      </c>
      <c r="J5906" s="19"/>
      <c r="L5906" s="16" t="str">
        <f>IFERROR(__xludf.DUMMYFUNCTION("""COMPUTED_VALUE"""),"")</f>
        <v/>
      </c>
      <c r="M5906" s="16" t="str">
        <f>IFERROR(__xludf.DUMMYFUNCTION("""COMPUTED_VALUE"""),"")</f>
        <v/>
      </c>
      <c r="U5906" s="16" t="s">
        <v>87</v>
      </c>
      <c r="V5906" s="16" t="str">
        <f>IFERROR(__xludf.DUMMYFUNCTION("""COMPUTED_VALUE"""),"")</f>
        <v/>
      </c>
      <c r="W5906" s="16" t="str">
        <f>IFERROR(__xludf.DUMMYFUNCTION("""COMPUTED_VALUE"""),"")</f>
        <v/>
      </c>
      <c r="X5906" s="16" t="str">
        <f>IFERROR(__xludf.DUMMYFUNCTION("""COMPUTED_VALUE"""),"")</f>
        <v/>
      </c>
      <c r="AC5906" s="16" t="str">
        <f>IFERROR(__xludf.DUMMYFUNCTION("""COMPUTED_VALUE"""),"")</f>
        <v/>
      </c>
    </row>
    <row r="5907">
      <c r="A5907" s="16" t="s">
        <v>87</v>
      </c>
      <c r="E5907" s="16" t="str">
        <f>IFERROR(__xludf.DUMMYFUNCTION("""COMPUTED_VALUE"""),"")</f>
        <v/>
      </c>
      <c r="G5907" s="18"/>
      <c r="H5907" s="16" t="s">
        <v>87</v>
      </c>
      <c r="I5907" s="16" t="s">
        <v>87</v>
      </c>
      <c r="J5907" s="19"/>
      <c r="L5907" s="16" t="str">
        <f>IFERROR(__xludf.DUMMYFUNCTION("""COMPUTED_VALUE"""),"")</f>
        <v/>
      </c>
      <c r="M5907" s="16" t="str">
        <f>IFERROR(__xludf.DUMMYFUNCTION("""COMPUTED_VALUE"""),"")</f>
        <v/>
      </c>
      <c r="U5907" s="16" t="s">
        <v>87</v>
      </c>
      <c r="V5907" s="16" t="str">
        <f>IFERROR(__xludf.DUMMYFUNCTION("""COMPUTED_VALUE"""),"")</f>
        <v/>
      </c>
      <c r="W5907" s="16" t="str">
        <f>IFERROR(__xludf.DUMMYFUNCTION("""COMPUTED_VALUE"""),"")</f>
        <v/>
      </c>
      <c r="X5907" s="16" t="str">
        <f>IFERROR(__xludf.DUMMYFUNCTION("""COMPUTED_VALUE"""),"")</f>
        <v/>
      </c>
      <c r="AC5907" s="16" t="str">
        <f>IFERROR(__xludf.DUMMYFUNCTION("""COMPUTED_VALUE"""),"")</f>
        <v/>
      </c>
    </row>
    <row r="5908">
      <c r="A5908" s="16" t="s">
        <v>87</v>
      </c>
      <c r="E5908" s="16" t="str">
        <f>IFERROR(__xludf.DUMMYFUNCTION("""COMPUTED_VALUE"""),"")</f>
        <v/>
      </c>
      <c r="G5908" s="18"/>
      <c r="H5908" s="16" t="s">
        <v>87</v>
      </c>
      <c r="I5908" s="16" t="s">
        <v>87</v>
      </c>
      <c r="J5908" s="19"/>
      <c r="L5908" s="16" t="str">
        <f>IFERROR(__xludf.DUMMYFUNCTION("""COMPUTED_VALUE"""),"")</f>
        <v/>
      </c>
      <c r="M5908" s="16" t="str">
        <f>IFERROR(__xludf.DUMMYFUNCTION("""COMPUTED_VALUE"""),"")</f>
        <v/>
      </c>
      <c r="U5908" s="16" t="s">
        <v>87</v>
      </c>
      <c r="V5908" s="16" t="str">
        <f>IFERROR(__xludf.DUMMYFUNCTION("""COMPUTED_VALUE"""),"")</f>
        <v/>
      </c>
      <c r="W5908" s="16" t="str">
        <f>IFERROR(__xludf.DUMMYFUNCTION("""COMPUTED_VALUE"""),"")</f>
        <v/>
      </c>
      <c r="X5908" s="16" t="str">
        <f>IFERROR(__xludf.DUMMYFUNCTION("""COMPUTED_VALUE"""),"")</f>
        <v/>
      </c>
      <c r="AC5908" s="16" t="str">
        <f>IFERROR(__xludf.DUMMYFUNCTION("""COMPUTED_VALUE"""),"")</f>
        <v/>
      </c>
    </row>
    <row r="5909">
      <c r="A5909" s="16" t="s">
        <v>87</v>
      </c>
      <c r="E5909" s="16" t="str">
        <f>IFERROR(__xludf.DUMMYFUNCTION("""COMPUTED_VALUE"""),"")</f>
        <v/>
      </c>
      <c r="G5909" s="18"/>
      <c r="H5909" s="16" t="s">
        <v>87</v>
      </c>
      <c r="I5909" s="16" t="s">
        <v>87</v>
      </c>
      <c r="J5909" s="19"/>
      <c r="L5909" s="16" t="str">
        <f>IFERROR(__xludf.DUMMYFUNCTION("""COMPUTED_VALUE"""),"")</f>
        <v/>
      </c>
      <c r="M5909" s="16" t="str">
        <f>IFERROR(__xludf.DUMMYFUNCTION("""COMPUTED_VALUE"""),"")</f>
        <v/>
      </c>
      <c r="U5909" s="16" t="s">
        <v>87</v>
      </c>
      <c r="V5909" s="16" t="str">
        <f>IFERROR(__xludf.DUMMYFUNCTION("""COMPUTED_VALUE"""),"")</f>
        <v/>
      </c>
      <c r="W5909" s="16" t="str">
        <f>IFERROR(__xludf.DUMMYFUNCTION("""COMPUTED_VALUE"""),"")</f>
        <v/>
      </c>
      <c r="X5909" s="16" t="str">
        <f>IFERROR(__xludf.DUMMYFUNCTION("""COMPUTED_VALUE"""),"")</f>
        <v/>
      </c>
      <c r="AC5909" s="16" t="str">
        <f>IFERROR(__xludf.DUMMYFUNCTION("""COMPUTED_VALUE"""),"")</f>
        <v/>
      </c>
    </row>
    <row r="5910">
      <c r="A5910" s="16" t="s">
        <v>87</v>
      </c>
      <c r="E5910" s="16" t="str">
        <f>IFERROR(__xludf.DUMMYFUNCTION("""COMPUTED_VALUE"""),"")</f>
        <v/>
      </c>
      <c r="G5910" s="18"/>
      <c r="H5910" s="16" t="s">
        <v>87</v>
      </c>
      <c r="I5910" s="16" t="s">
        <v>87</v>
      </c>
      <c r="J5910" s="19"/>
      <c r="L5910" s="16" t="str">
        <f>IFERROR(__xludf.DUMMYFUNCTION("""COMPUTED_VALUE"""),"")</f>
        <v/>
      </c>
      <c r="M5910" s="16" t="str">
        <f>IFERROR(__xludf.DUMMYFUNCTION("""COMPUTED_VALUE"""),"")</f>
        <v/>
      </c>
      <c r="U5910" s="16" t="s">
        <v>87</v>
      </c>
      <c r="V5910" s="16" t="str">
        <f>IFERROR(__xludf.DUMMYFUNCTION("""COMPUTED_VALUE"""),"")</f>
        <v/>
      </c>
      <c r="W5910" s="16" t="str">
        <f>IFERROR(__xludf.DUMMYFUNCTION("""COMPUTED_VALUE"""),"")</f>
        <v/>
      </c>
      <c r="X5910" s="16" t="str">
        <f>IFERROR(__xludf.DUMMYFUNCTION("""COMPUTED_VALUE"""),"")</f>
        <v/>
      </c>
      <c r="AC5910" s="16" t="str">
        <f>IFERROR(__xludf.DUMMYFUNCTION("""COMPUTED_VALUE"""),"")</f>
        <v/>
      </c>
    </row>
    <row r="5911">
      <c r="A5911" s="16" t="s">
        <v>87</v>
      </c>
      <c r="E5911" s="16" t="str">
        <f>IFERROR(__xludf.DUMMYFUNCTION("""COMPUTED_VALUE"""),"")</f>
        <v/>
      </c>
      <c r="G5911" s="18"/>
      <c r="H5911" s="16" t="s">
        <v>87</v>
      </c>
      <c r="I5911" s="16" t="s">
        <v>87</v>
      </c>
      <c r="J5911" s="19"/>
      <c r="L5911" s="16" t="str">
        <f>IFERROR(__xludf.DUMMYFUNCTION("""COMPUTED_VALUE"""),"")</f>
        <v/>
      </c>
      <c r="M5911" s="16" t="str">
        <f>IFERROR(__xludf.DUMMYFUNCTION("""COMPUTED_VALUE"""),"")</f>
        <v/>
      </c>
      <c r="U5911" s="16" t="s">
        <v>87</v>
      </c>
      <c r="V5911" s="16" t="str">
        <f>IFERROR(__xludf.DUMMYFUNCTION("""COMPUTED_VALUE"""),"")</f>
        <v/>
      </c>
      <c r="W5911" s="16" t="str">
        <f>IFERROR(__xludf.DUMMYFUNCTION("""COMPUTED_VALUE"""),"")</f>
        <v/>
      </c>
      <c r="X5911" s="16" t="str">
        <f>IFERROR(__xludf.DUMMYFUNCTION("""COMPUTED_VALUE"""),"")</f>
        <v/>
      </c>
      <c r="AC5911" s="16" t="str">
        <f>IFERROR(__xludf.DUMMYFUNCTION("""COMPUTED_VALUE"""),"")</f>
        <v/>
      </c>
    </row>
    <row r="5912">
      <c r="A5912" s="16" t="s">
        <v>87</v>
      </c>
      <c r="E5912" s="16" t="str">
        <f>IFERROR(__xludf.DUMMYFUNCTION("""COMPUTED_VALUE"""),"")</f>
        <v/>
      </c>
      <c r="G5912" s="18"/>
      <c r="H5912" s="16" t="s">
        <v>87</v>
      </c>
      <c r="I5912" s="16" t="s">
        <v>87</v>
      </c>
      <c r="J5912" s="19"/>
      <c r="L5912" s="16" t="str">
        <f>IFERROR(__xludf.DUMMYFUNCTION("""COMPUTED_VALUE"""),"")</f>
        <v/>
      </c>
      <c r="M5912" s="16" t="str">
        <f>IFERROR(__xludf.DUMMYFUNCTION("""COMPUTED_VALUE"""),"")</f>
        <v/>
      </c>
      <c r="U5912" s="16" t="s">
        <v>87</v>
      </c>
      <c r="V5912" s="16" t="str">
        <f>IFERROR(__xludf.DUMMYFUNCTION("""COMPUTED_VALUE"""),"")</f>
        <v/>
      </c>
      <c r="W5912" s="16" t="str">
        <f>IFERROR(__xludf.DUMMYFUNCTION("""COMPUTED_VALUE"""),"")</f>
        <v/>
      </c>
      <c r="X5912" s="16" t="str">
        <f>IFERROR(__xludf.DUMMYFUNCTION("""COMPUTED_VALUE"""),"")</f>
        <v/>
      </c>
      <c r="AC5912" s="16" t="str">
        <f>IFERROR(__xludf.DUMMYFUNCTION("""COMPUTED_VALUE"""),"")</f>
        <v/>
      </c>
    </row>
    <row r="5913">
      <c r="A5913" s="16" t="s">
        <v>87</v>
      </c>
      <c r="E5913" s="16" t="str">
        <f>IFERROR(__xludf.DUMMYFUNCTION("""COMPUTED_VALUE"""),"")</f>
        <v/>
      </c>
      <c r="G5913" s="18"/>
      <c r="H5913" s="16" t="s">
        <v>87</v>
      </c>
      <c r="I5913" s="16" t="s">
        <v>87</v>
      </c>
      <c r="J5913" s="19"/>
      <c r="L5913" s="16" t="str">
        <f>IFERROR(__xludf.DUMMYFUNCTION("""COMPUTED_VALUE"""),"")</f>
        <v/>
      </c>
      <c r="M5913" s="16" t="str">
        <f>IFERROR(__xludf.DUMMYFUNCTION("""COMPUTED_VALUE"""),"")</f>
        <v/>
      </c>
      <c r="U5913" s="16" t="s">
        <v>87</v>
      </c>
      <c r="V5913" s="16" t="str">
        <f>IFERROR(__xludf.DUMMYFUNCTION("""COMPUTED_VALUE"""),"")</f>
        <v/>
      </c>
      <c r="W5913" s="16" t="str">
        <f>IFERROR(__xludf.DUMMYFUNCTION("""COMPUTED_VALUE"""),"")</f>
        <v/>
      </c>
      <c r="X5913" s="16" t="str">
        <f>IFERROR(__xludf.DUMMYFUNCTION("""COMPUTED_VALUE"""),"")</f>
        <v/>
      </c>
      <c r="AC5913" s="16" t="str">
        <f>IFERROR(__xludf.DUMMYFUNCTION("""COMPUTED_VALUE"""),"")</f>
        <v/>
      </c>
    </row>
    <row r="5914">
      <c r="A5914" s="16" t="s">
        <v>87</v>
      </c>
      <c r="E5914" s="16" t="str">
        <f>IFERROR(__xludf.DUMMYFUNCTION("""COMPUTED_VALUE"""),"")</f>
        <v/>
      </c>
      <c r="G5914" s="18"/>
      <c r="H5914" s="16" t="s">
        <v>87</v>
      </c>
      <c r="I5914" s="16" t="s">
        <v>87</v>
      </c>
      <c r="J5914" s="19"/>
      <c r="L5914" s="16" t="str">
        <f>IFERROR(__xludf.DUMMYFUNCTION("""COMPUTED_VALUE"""),"")</f>
        <v/>
      </c>
      <c r="M5914" s="16" t="str">
        <f>IFERROR(__xludf.DUMMYFUNCTION("""COMPUTED_VALUE"""),"")</f>
        <v/>
      </c>
      <c r="U5914" s="16" t="s">
        <v>87</v>
      </c>
      <c r="V5914" s="16" t="str">
        <f>IFERROR(__xludf.DUMMYFUNCTION("""COMPUTED_VALUE"""),"")</f>
        <v/>
      </c>
      <c r="W5914" s="16" t="str">
        <f>IFERROR(__xludf.DUMMYFUNCTION("""COMPUTED_VALUE"""),"")</f>
        <v/>
      </c>
      <c r="X5914" s="16" t="str">
        <f>IFERROR(__xludf.DUMMYFUNCTION("""COMPUTED_VALUE"""),"")</f>
        <v/>
      </c>
      <c r="AC5914" s="16" t="str">
        <f>IFERROR(__xludf.DUMMYFUNCTION("""COMPUTED_VALUE"""),"")</f>
        <v/>
      </c>
    </row>
    <row r="5915">
      <c r="A5915" s="16" t="s">
        <v>87</v>
      </c>
      <c r="E5915" s="16" t="str">
        <f>IFERROR(__xludf.DUMMYFUNCTION("""COMPUTED_VALUE"""),"")</f>
        <v/>
      </c>
      <c r="G5915" s="18"/>
      <c r="H5915" s="16" t="s">
        <v>87</v>
      </c>
      <c r="I5915" s="16" t="s">
        <v>87</v>
      </c>
      <c r="J5915" s="19"/>
      <c r="L5915" s="16" t="str">
        <f>IFERROR(__xludf.DUMMYFUNCTION("""COMPUTED_VALUE"""),"")</f>
        <v/>
      </c>
      <c r="M5915" s="16" t="str">
        <f>IFERROR(__xludf.DUMMYFUNCTION("""COMPUTED_VALUE"""),"")</f>
        <v/>
      </c>
      <c r="U5915" s="16" t="s">
        <v>87</v>
      </c>
      <c r="V5915" s="16" t="str">
        <f>IFERROR(__xludf.DUMMYFUNCTION("""COMPUTED_VALUE"""),"")</f>
        <v/>
      </c>
      <c r="W5915" s="16" t="str">
        <f>IFERROR(__xludf.DUMMYFUNCTION("""COMPUTED_VALUE"""),"")</f>
        <v/>
      </c>
      <c r="X5915" s="16" t="str">
        <f>IFERROR(__xludf.DUMMYFUNCTION("""COMPUTED_VALUE"""),"")</f>
        <v/>
      </c>
      <c r="AC5915" s="16" t="str">
        <f>IFERROR(__xludf.DUMMYFUNCTION("""COMPUTED_VALUE"""),"")</f>
        <v/>
      </c>
    </row>
    <row r="5916">
      <c r="A5916" s="16" t="s">
        <v>87</v>
      </c>
      <c r="E5916" s="16" t="str">
        <f>IFERROR(__xludf.DUMMYFUNCTION("""COMPUTED_VALUE"""),"")</f>
        <v/>
      </c>
      <c r="G5916" s="18"/>
      <c r="H5916" s="16" t="s">
        <v>87</v>
      </c>
      <c r="I5916" s="16" t="s">
        <v>87</v>
      </c>
      <c r="J5916" s="19"/>
      <c r="L5916" s="16" t="str">
        <f>IFERROR(__xludf.DUMMYFUNCTION("""COMPUTED_VALUE"""),"")</f>
        <v/>
      </c>
      <c r="M5916" s="16" t="str">
        <f>IFERROR(__xludf.DUMMYFUNCTION("""COMPUTED_VALUE"""),"")</f>
        <v/>
      </c>
      <c r="U5916" s="16" t="s">
        <v>87</v>
      </c>
      <c r="V5916" s="16" t="str">
        <f>IFERROR(__xludf.DUMMYFUNCTION("""COMPUTED_VALUE"""),"")</f>
        <v/>
      </c>
      <c r="W5916" s="16" t="str">
        <f>IFERROR(__xludf.DUMMYFUNCTION("""COMPUTED_VALUE"""),"")</f>
        <v/>
      </c>
      <c r="X5916" s="16" t="str">
        <f>IFERROR(__xludf.DUMMYFUNCTION("""COMPUTED_VALUE"""),"")</f>
        <v/>
      </c>
      <c r="AC5916" s="16" t="str">
        <f>IFERROR(__xludf.DUMMYFUNCTION("""COMPUTED_VALUE"""),"")</f>
        <v/>
      </c>
    </row>
    <row r="5917">
      <c r="A5917" s="16" t="s">
        <v>87</v>
      </c>
      <c r="E5917" s="16" t="str">
        <f>IFERROR(__xludf.DUMMYFUNCTION("""COMPUTED_VALUE"""),"")</f>
        <v/>
      </c>
      <c r="G5917" s="18"/>
      <c r="H5917" s="16" t="s">
        <v>87</v>
      </c>
      <c r="I5917" s="16" t="s">
        <v>87</v>
      </c>
      <c r="J5917" s="19"/>
      <c r="L5917" s="16" t="str">
        <f>IFERROR(__xludf.DUMMYFUNCTION("""COMPUTED_VALUE"""),"")</f>
        <v/>
      </c>
      <c r="M5917" s="16" t="str">
        <f>IFERROR(__xludf.DUMMYFUNCTION("""COMPUTED_VALUE"""),"")</f>
        <v/>
      </c>
      <c r="U5917" s="16" t="s">
        <v>87</v>
      </c>
      <c r="V5917" s="16" t="str">
        <f>IFERROR(__xludf.DUMMYFUNCTION("""COMPUTED_VALUE"""),"")</f>
        <v/>
      </c>
      <c r="W5917" s="16" t="str">
        <f>IFERROR(__xludf.DUMMYFUNCTION("""COMPUTED_VALUE"""),"")</f>
        <v/>
      </c>
      <c r="X5917" s="16" t="str">
        <f>IFERROR(__xludf.DUMMYFUNCTION("""COMPUTED_VALUE"""),"")</f>
        <v/>
      </c>
      <c r="AC5917" s="16" t="str">
        <f>IFERROR(__xludf.DUMMYFUNCTION("""COMPUTED_VALUE"""),"")</f>
        <v/>
      </c>
    </row>
    <row r="5918">
      <c r="A5918" s="16" t="s">
        <v>87</v>
      </c>
      <c r="E5918" s="16" t="str">
        <f>IFERROR(__xludf.DUMMYFUNCTION("""COMPUTED_VALUE"""),"")</f>
        <v/>
      </c>
      <c r="G5918" s="18"/>
      <c r="H5918" s="16" t="s">
        <v>87</v>
      </c>
      <c r="I5918" s="16" t="s">
        <v>87</v>
      </c>
      <c r="J5918" s="19"/>
      <c r="L5918" s="16" t="str">
        <f>IFERROR(__xludf.DUMMYFUNCTION("""COMPUTED_VALUE"""),"")</f>
        <v/>
      </c>
      <c r="M5918" s="16" t="str">
        <f>IFERROR(__xludf.DUMMYFUNCTION("""COMPUTED_VALUE"""),"")</f>
        <v/>
      </c>
      <c r="U5918" s="16" t="s">
        <v>87</v>
      </c>
      <c r="V5918" s="16" t="str">
        <f>IFERROR(__xludf.DUMMYFUNCTION("""COMPUTED_VALUE"""),"")</f>
        <v/>
      </c>
      <c r="W5918" s="16" t="str">
        <f>IFERROR(__xludf.DUMMYFUNCTION("""COMPUTED_VALUE"""),"")</f>
        <v/>
      </c>
      <c r="X5918" s="16" t="str">
        <f>IFERROR(__xludf.DUMMYFUNCTION("""COMPUTED_VALUE"""),"")</f>
        <v/>
      </c>
      <c r="AC5918" s="16" t="str">
        <f>IFERROR(__xludf.DUMMYFUNCTION("""COMPUTED_VALUE"""),"")</f>
        <v/>
      </c>
    </row>
    <row r="5919">
      <c r="A5919" s="16" t="s">
        <v>87</v>
      </c>
      <c r="E5919" s="16" t="str">
        <f>IFERROR(__xludf.DUMMYFUNCTION("""COMPUTED_VALUE"""),"")</f>
        <v/>
      </c>
      <c r="G5919" s="18"/>
      <c r="H5919" s="16" t="s">
        <v>87</v>
      </c>
      <c r="I5919" s="16" t="s">
        <v>87</v>
      </c>
      <c r="J5919" s="19"/>
      <c r="L5919" s="16" t="str">
        <f>IFERROR(__xludf.DUMMYFUNCTION("""COMPUTED_VALUE"""),"")</f>
        <v/>
      </c>
      <c r="M5919" s="16" t="str">
        <f>IFERROR(__xludf.DUMMYFUNCTION("""COMPUTED_VALUE"""),"")</f>
        <v/>
      </c>
      <c r="U5919" s="16" t="s">
        <v>87</v>
      </c>
      <c r="V5919" s="16" t="str">
        <f>IFERROR(__xludf.DUMMYFUNCTION("""COMPUTED_VALUE"""),"")</f>
        <v/>
      </c>
      <c r="W5919" s="16" t="str">
        <f>IFERROR(__xludf.DUMMYFUNCTION("""COMPUTED_VALUE"""),"")</f>
        <v/>
      </c>
      <c r="X5919" s="16" t="str">
        <f>IFERROR(__xludf.DUMMYFUNCTION("""COMPUTED_VALUE"""),"")</f>
        <v/>
      </c>
      <c r="AC5919" s="16" t="str">
        <f>IFERROR(__xludf.DUMMYFUNCTION("""COMPUTED_VALUE"""),"")</f>
        <v/>
      </c>
    </row>
    <row r="5920">
      <c r="A5920" s="16" t="s">
        <v>87</v>
      </c>
      <c r="E5920" s="16" t="str">
        <f>IFERROR(__xludf.DUMMYFUNCTION("""COMPUTED_VALUE"""),"")</f>
        <v/>
      </c>
      <c r="G5920" s="18"/>
      <c r="H5920" s="16" t="s">
        <v>87</v>
      </c>
      <c r="I5920" s="16" t="s">
        <v>87</v>
      </c>
      <c r="J5920" s="19"/>
      <c r="L5920" s="16" t="str">
        <f>IFERROR(__xludf.DUMMYFUNCTION("""COMPUTED_VALUE"""),"")</f>
        <v/>
      </c>
      <c r="M5920" s="16" t="str">
        <f>IFERROR(__xludf.DUMMYFUNCTION("""COMPUTED_VALUE"""),"")</f>
        <v/>
      </c>
      <c r="U5920" s="16" t="s">
        <v>87</v>
      </c>
      <c r="V5920" s="16" t="str">
        <f>IFERROR(__xludf.DUMMYFUNCTION("""COMPUTED_VALUE"""),"")</f>
        <v/>
      </c>
      <c r="W5920" s="16" t="str">
        <f>IFERROR(__xludf.DUMMYFUNCTION("""COMPUTED_VALUE"""),"")</f>
        <v/>
      </c>
      <c r="X5920" s="16" t="str">
        <f>IFERROR(__xludf.DUMMYFUNCTION("""COMPUTED_VALUE"""),"")</f>
        <v/>
      </c>
      <c r="AC5920" s="16" t="str">
        <f>IFERROR(__xludf.DUMMYFUNCTION("""COMPUTED_VALUE"""),"")</f>
        <v/>
      </c>
    </row>
    <row r="5921">
      <c r="A5921" s="16" t="s">
        <v>87</v>
      </c>
      <c r="E5921" s="16" t="str">
        <f>IFERROR(__xludf.DUMMYFUNCTION("""COMPUTED_VALUE"""),"")</f>
        <v/>
      </c>
      <c r="G5921" s="18"/>
      <c r="H5921" s="16" t="s">
        <v>87</v>
      </c>
      <c r="I5921" s="16" t="s">
        <v>87</v>
      </c>
      <c r="J5921" s="19"/>
      <c r="L5921" s="16" t="str">
        <f>IFERROR(__xludf.DUMMYFUNCTION("""COMPUTED_VALUE"""),"")</f>
        <v/>
      </c>
      <c r="M5921" s="16" t="str">
        <f>IFERROR(__xludf.DUMMYFUNCTION("""COMPUTED_VALUE"""),"")</f>
        <v/>
      </c>
      <c r="U5921" s="16" t="s">
        <v>87</v>
      </c>
      <c r="V5921" s="16" t="str">
        <f>IFERROR(__xludf.DUMMYFUNCTION("""COMPUTED_VALUE"""),"")</f>
        <v/>
      </c>
      <c r="W5921" s="16" t="str">
        <f>IFERROR(__xludf.DUMMYFUNCTION("""COMPUTED_VALUE"""),"")</f>
        <v/>
      </c>
      <c r="X5921" s="16" t="str">
        <f>IFERROR(__xludf.DUMMYFUNCTION("""COMPUTED_VALUE"""),"")</f>
        <v/>
      </c>
      <c r="AC5921" s="16" t="str">
        <f>IFERROR(__xludf.DUMMYFUNCTION("""COMPUTED_VALUE"""),"")</f>
        <v/>
      </c>
    </row>
    <row r="5922">
      <c r="A5922" s="16" t="s">
        <v>87</v>
      </c>
      <c r="E5922" s="16" t="str">
        <f>IFERROR(__xludf.DUMMYFUNCTION("""COMPUTED_VALUE"""),"")</f>
        <v/>
      </c>
      <c r="G5922" s="18"/>
      <c r="H5922" s="16" t="s">
        <v>87</v>
      </c>
      <c r="I5922" s="16" t="s">
        <v>87</v>
      </c>
      <c r="J5922" s="19"/>
      <c r="L5922" s="16" t="str">
        <f>IFERROR(__xludf.DUMMYFUNCTION("""COMPUTED_VALUE"""),"")</f>
        <v/>
      </c>
      <c r="M5922" s="16" t="str">
        <f>IFERROR(__xludf.DUMMYFUNCTION("""COMPUTED_VALUE"""),"")</f>
        <v/>
      </c>
      <c r="U5922" s="16" t="s">
        <v>87</v>
      </c>
      <c r="V5922" s="16" t="str">
        <f>IFERROR(__xludf.DUMMYFUNCTION("""COMPUTED_VALUE"""),"")</f>
        <v/>
      </c>
      <c r="W5922" s="16" t="str">
        <f>IFERROR(__xludf.DUMMYFUNCTION("""COMPUTED_VALUE"""),"")</f>
        <v/>
      </c>
      <c r="X5922" s="16" t="str">
        <f>IFERROR(__xludf.DUMMYFUNCTION("""COMPUTED_VALUE"""),"")</f>
        <v/>
      </c>
      <c r="AC5922" s="16" t="str">
        <f>IFERROR(__xludf.DUMMYFUNCTION("""COMPUTED_VALUE"""),"")</f>
        <v/>
      </c>
    </row>
    <row r="5923">
      <c r="A5923" s="16" t="s">
        <v>87</v>
      </c>
      <c r="E5923" s="16" t="str">
        <f>IFERROR(__xludf.DUMMYFUNCTION("""COMPUTED_VALUE"""),"")</f>
        <v/>
      </c>
      <c r="G5923" s="18"/>
      <c r="H5923" s="16" t="s">
        <v>87</v>
      </c>
      <c r="I5923" s="16" t="s">
        <v>87</v>
      </c>
      <c r="J5923" s="19"/>
      <c r="L5923" s="16" t="str">
        <f>IFERROR(__xludf.DUMMYFUNCTION("""COMPUTED_VALUE"""),"")</f>
        <v/>
      </c>
      <c r="M5923" s="16" t="str">
        <f>IFERROR(__xludf.DUMMYFUNCTION("""COMPUTED_VALUE"""),"")</f>
        <v/>
      </c>
      <c r="U5923" s="16" t="s">
        <v>87</v>
      </c>
      <c r="V5923" s="16" t="str">
        <f>IFERROR(__xludf.DUMMYFUNCTION("""COMPUTED_VALUE"""),"")</f>
        <v/>
      </c>
      <c r="W5923" s="16" t="str">
        <f>IFERROR(__xludf.DUMMYFUNCTION("""COMPUTED_VALUE"""),"")</f>
        <v/>
      </c>
      <c r="X5923" s="16" t="str">
        <f>IFERROR(__xludf.DUMMYFUNCTION("""COMPUTED_VALUE"""),"")</f>
        <v/>
      </c>
      <c r="AC5923" s="16" t="str">
        <f>IFERROR(__xludf.DUMMYFUNCTION("""COMPUTED_VALUE"""),"")</f>
        <v/>
      </c>
    </row>
    <row r="5924">
      <c r="A5924" s="16" t="s">
        <v>87</v>
      </c>
      <c r="E5924" s="16" t="str">
        <f>IFERROR(__xludf.DUMMYFUNCTION("""COMPUTED_VALUE"""),"")</f>
        <v/>
      </c>
      <c r="G5924" s="18"/>
      <c r="H5924" s="16" t="s">
        <v>87</v>
      </c>
      <c r="I5924" s="16" t="s">
        <v>87</v>
      </c>
      <c r="J5924" s="19"/>
      <c r="L5924" s="16" t="str">
        <f>IFERROR(__xludf.DUMMYFUNCTION("""COMPUTED_VALUE"""),"")</f>
        <v/>
      </c>
      <c r="M5924" s="16" t="str">
        <f>IFERROR(__xludf.DUMMYFUNCTION("""COMPUTED_VALUE"""),"")</f>
        <v/>
      </c>
      <c r="U5924" s="16" t="s">
        <v>87</v>
      </c>
      <c r="V5924" s="16" t="str">
        <f>IFERROR(__xludf.DUMMYFUNCTION("""COMPUTED_VALUE"""),"")</f>
        <v/>
      </c>
      <c r="W5924" s="16" t="str">
        <f>IFERROR(__xludf.DUMMYFUNCTION("""COMPUTED_VALUE"""),"")</f>
        <v/>
      </c>
      <c r="X5924" s="16" t="str">
        <f>IFERROR(__xludf.DUMMYFUNCTION("""COMPUTED_VALUE"""),"")</f>
        <v/>
      </c>
      <c r="AC5924" s="16" t="str">
        <f>IFERROR(__xludf.DUMMYFUNCTION("""COMPUTED_VALUE"""),"")</f>
        <v/>
      </c>
    </row>
    <row r="5925">
      <c r="A5925" s="16" t="s">
        <v>87</v>
      </c>
      <c r="E5925" s="16" t="str">
        <f>IFERROR(__xludf.DUMMYFUNCTION("""COMPUTED_VALUE"""),"")</f>
        <v/>
      </c>
      <c r="G5925" s="18"/>
      <c r="H5925" s="16" t="s">
        <v>87</v>
      </c>
      <c r="I5925" s="16" t="s">
        <v>87</v>
      </c>
      <c r="J5925" s="19"/>
      <c r="L5925" s="16" t="str">
        <f>IFERROR(__xludf.DUMMYFUNCTION("""COMPUTED_VALUE"""),"")</f>
        <v/>
      </c>
      <c r="M5925" s="16" t="str">
        <f>IFERROR(__xludf.DUMMYFUNCTION("""COMPUTED_VALUE"""),"")</f>
        <v/>
      </c>
      <c r="U5925" s="16" t="s">
        <v>87</v>
      </c>
      <c r="V5925" s="16" t="str">
        <f>IFERROR(__xludf.DUMMYFUNCTION("""COMPUTED_VALUE"""),"")</f>
        <v/>
      </c>
      <c r="W5925" s="16" t="str">
        <f>IFERROR(__xludf.DUMMYFUNCTION("""COMPUTED_VALUE"""),"")</f>
        <v/>
      </c>
      <c r="X5925" s="16" t="str">
        <f>IFERROR(__xludf.DUMMYFUNCTION("""COMPUTED_VALUE"""),"")</f>
        <v/>
      </c>
      <c r="AC5925" s="16" t="str">
        <f>IFERROR(__xludf.DUMMYFUNCTION("""COMPUTED_VALUE"""),"")</f>
        <v/>
      </c>
    </row>
    <row r="5926">
      <c r="A5926" s="16" t="s">
        <v>87</v>
      </c>
      <c r="E5926" s="16" t="str">
        <f>IFERROR(__xludf.DUMMYFUNCTION("""COMPUTED_VALUE"""),"")</f>
        <v/>
      </c>
      <c r="G5926" s="18"/>
      <c r="H5926" s="16" t="s">
        <v>87</v>
      </c>
      <c r="I5926" s="16" t="s">
        <v>87</v>
      </c>
      <c r="J5926" s="19"/>
      <c r="L5926" s="16" t="str">
        <f>IFERROR(__xludf.DUMMYFUNCTION("""COMPUTED_VALUE"""),"")</f>
        <v/>
      </c>
      <c r="M5926" s="16" t="str">
        <f>IFERROR(__xludf.DUMMYFUNCTION("""COMPUTED_VALUE"""),"")</f>
        <v/>
      </c>
      <c r="U5926" s="16" t="s">
        <v>87</v>
      </c>
      <c r="V5926" s="16" t="str">
        <f>IFERROR(__xludf.DUMMYFUNCTION("""COMPUTED_VALUE"""),"")</f>
        <v/>
      </c>
      <c r="W5926" s="16" t="str">
        <f>IFERROR(__xludf.DUMMYFUNCTION("""COMPUTED_VALUE"""),"")</f>
        <v/>
      </c>
      <c r="X5926" s="16" t="str">
        <f>IFERROR(__xludf.DUMMYFUNCTION("""COMPUTED_VALUE"""),"")</f>
        <v/>
      </c>
      <c r="AC5926" s="16" t="str">
        <f>IFERROR(__xludf.DUMMYFUNCTION("""COMPUTED_VALUE"""),"")</f>
        <v/>
      </c>
    </row>
    <row r="5927">
      <c r="A5927" s="16" t="s">
        <v>87</v>
      </c>
      <c r="E5927" s="16" t="str">
        <f>IFERROR(__xludf.DUMMYFUNCTION("""COMPUTED_VALUE"""),"")</f>
        <v/>
      </c>
      <c r="G5927" s="18"/>
      <c r="H5927" s="16" t="s">
        <v>87</v>
      </c>
      <c r="I5927" s="16" t="s">
        <v>87</v>
      </c>
      <c r="J5927" s="19"/>
      <c r="L5927" s="16" t="str">
        <f>IFERROR(__xludf.DUMMYFUNCTION("""COMPUTED_VALUE"""),"")</f>
        <v/>
      </c>
      <c r="M5927" s="16" t="str">
        <f>IFERROR(__xludf.DUMMYFUNCTION("""COMPUTED_VALUE"""),"")</f>
        <v/>
      </c>
      <c r="U5927" s="16" t="s">
        <v>87</v>
      </c>
      <c r="V5927" s="16" t="str">
        <f>IFERROR(__xludf.DUMMYFUNCTION("""COMPUTED_VALUE"""),"")</f>
        <v/>
      </c>
      <c r="W5927" s="16" t="str">
        <f>IFERROR(__xludf.DUMMYFUNCTION("""COMPUTED_VALUE"""),"")</f>
        <v/>
      </c>
      <c r="X5927" s="16" t="str">
        <f>IFERROR(__xludf.DUMMYFUNCTION("""COMPUTED_VALUE"""),"")</f>
        <v/>
      </c>
      <c r="AC5927" s="16" t="str">
        <f>IFERROR(__xludf.DUMMYFUNCTION("""COMPUTED_VALUE"""),"")</f>
        <v/>
      </c>
    </row>
    <row r="5928">
      <c r="A5928" s="16" t="s">
        <v>87</v>
      </c>
      <c r="E5928" s="16" t="str">
        <f>IFERROR(__xludf.DUMMYFUNCTION("""COMPUTED_VALUE"""),"")</f>
        <v/>
      </c>
      <c r="G5928" s="18"/>
      <c r="H5928" s="16" t="s">
        <v>87</v>
      </c>
      <c r="I5928" s="16" t="s">
        <v>87</v>
      </c>
      <c r="J5928" s="19"/>
      <c r="L5928" s="16" t="str">
        <f>IFERROR(__xludf.DUMMYFUNCTION("""COMPUTED_VALUE"""),"")</f>
        <v/>
      </c>
      <c r="M5928" s="16" t="str">
        <f>IFERROR(__xludf.DUMMYFUNCTION("""COMPUTED_VALUE"""),"")</f>
        <v/>
      </c>
      <c r="U5928" s="16" t="s">
        <v>87</v>
      </c>
      <c r="V5928" s="16" t="str">
        <f>IFERROR(__xludf.DUMMYFUNCTION("""COMPUTED_VALUE"""),"")</f>
        <v/>
      </c>
      <c r="W5928" s="16" t="str">
        <f>IFERROR(__xludf.DUMMYFUNCTION("""COMPUTED_VALUE"""),"")</f>
        <v/>
      </c>
      <c r="X5928" s="16" t="str">
        <f>IFERROR(__xludf.DUMMYFUNCTION("""COMPUTED_VALUE"""),"")</f>
        <v/>
      </c>
      <c r="AC5928" s="16" t="str">
        <f>IFERROR(__xludf.DUMMYFUNCTION("""COMPUTED_VALUE"""),"")</f>
        <v/>
      </c>
    </row>
    <row r="5929">
      <c r="A5929" s="16" t="s">
        <v>87</v>
      </c>
      <c r="E5929" s="16" t="str">
        <f>IFERROR(__xludf.DUMMYFUNCTION("""COMPUTED_VALUE"""),"")</f>
        <v/>
      </c>
      <c r="G5929" s="18"/>
      <c r="H5929" s="16" t="s">
        <v>87</v>
      </c>
      <c r="I5929" s="16" t="s">
        <v>87</v>
      </c>
      <c r="J5929" s="19"/>
      <c r="L5929" s="16" t="str">
        <f>IFERROR(__xludf.DUMMYFUNCTION("""COMPUTED_VALUE"""),"")</f>
        <v/>
      </c>
      <c r="M5929" s="16" t="str">
        <f>IFERROR(__xludf.DUMMYFUNCTION("""COMPUTED_VALUE"""),"")</f>
        <v/>
      </c>
      <c r="U5929" s="16" t="s">
        <v>87</v>
      </c>
      <c r="V5929" s="16" t="str">
        <f>IFERROR(__xludf.DUMMYFUNCTION("""COMPUTED_VALUE"""),"")</f>
        <v/>
      </c>
      <c r="W5929" s="16" t="str">
        <f>IFERROR(__xludf.DUMMYFUNCTION("""COMPUTED_VALUE"""),"")</f>
        <v/>
      </c>
      <c r="X5929" s="16" t="str">
        <f>IFERROR(__xludf.DUMMYFUNCTION("""COMPUTED_VALUE"""),"")</f>
        <v/>
      </c>
      <c r="AC5929" s="16" t="str">
        <f>IFERROR(__xludf.DUMMYFUNCTION("""COMPUTED_VALUE"""),"")</f>
        <v/>
      </c>
    </row>
    <row r="5930">
      <c r="A5930" s="16" t="s">
        <v>87</v>
      </c>
      <c r="E5930" s="16" t="str">
        <f>IFERROR(__xludf.DUMMYFUNCTION("""COMPUTED_VALUE"""),"")</f>
        <v/>
      </c>
      <c r="G5930" s="18"/>
      <c r="H5930" s="16" t="s">
        <v>87</v>
      </c>
      <c r="I5930" s="16" t="s">
        <v>87</v>
      </c>
      <c r="J5930" s="19"/>
      <c r="L5930" s="16" t="str">
        <f>IFERROR(__xludf.DUMMYFUNCTION("""COMPUTED_VALUE"""),"")</f>
        <v/>
      </c>
      <c r="M5930" s="16" t="str">
        <f>IFERROR(__xludf.DUMMYFUNCTION("""COMPUTED_VALUE"""),"")</f>
        <v/>
      </c>
      <c r="U5930" s="16" t="s">
        <v>87</v>
      </c>
      <c r="V5930" s="16" t="str">
        <f>IFERROR(__xludf.DUMMYFUNCTION("""COMPUTED_VALUE"""),"")</f>
        <v/>
      </c>
      <c r="W5930" s="16" t="str">
        <f>IFERROR(__xludf.DUMMYFUNCTION("""COMPUTED_VALUE"""),"")</f>
        <v/>
      </c>
      <c r="X5930" s="16" t="str">
        <f>IFERROR(__xludf.DUMMYFUNCTION("""COMPUTED_VALUE"""),"")</f>
        <v/>
      </c>
      <c r="AC5930" s="16" t="str">
        <f>IFERROR(__xludf.DUMMYFUNCTION("""COMPUTED_VALUE"""),"")</f>
        <v/>
      </c>
    </row>
    <row r="5931">
      <c r="A5931" s="16" t="s">
        <v>87</v>
      </c>
      <c r="E5931" s="16" t="str">
        <f>IFERROR(__xludf.DUMMYFUNCTION("""COMPUTED_VALUE"""),"")</f>
        <v/>
      </c>
      <c r="G5931" s="18"/>
      <c r="H5931" s="16" t="s">
        <v>87</v>
      </c>
      <c r="I5931" s="16" t="s">
        <v>87</v>
      </c>
      <c r="J5931" s="19"/>
      <c r="L5931" s="16" t="str">
        <f>IFERROR(__xludf.DUMMYFUNCTION("""COMPUTED_VALUE"""),"")</f>
        <v/>
      </c>
      <c r="M5931" s="16" t="str">
        <f>IFERROR(__xludf.DUMMYFUNCTION("""COMPUTED_VALUE"""),"")</f>
        <v/>
      </c>
      <c r="U5931" s="16" t="s">
        <v>87</v>
      </c>
      <c r="V5931" s="16" t="str">
        <f>IFERROR(__xludf.DUMMYFUNCTION("""COMPUTED_VALUE"""),"")</f>
        <v/>
      </c>
      <c r="W5931" s="16" t="str">
        <f>IFERROR(__xludf.DUMMYFUNCTION("""COMPUTED_VALUE"""),"")</f>
        <v/>
      </c>
      <c r="X5931" s="16" t="str">
        <f>IFERROR(__xludf.DUMMYFUNCTION("""COMPUTED_VALUE"""),"")</f>
        <v/>
      </c>
      <c r="AC5931" s="16" t="str">
        <f>IFERROR(__xludf.DUMMYFUNCTION("""COMPUTED_VALUE"""),"")</f>
        <v/>
      </c>
    </row>
    <row r="5932">
      <c r="A5932" s="16" t="s">
        <v>87</v>
      </c>
      <c r="E5932" s="16" t="str">
        <f>IFERROR(__xludf.DUMMYFUNCTION("""COMPUTED_VALUE"""),"")</f>
        <v/>
      </c>
      <c r="G5932" s="18"/>
      <c r="H5932" s="16" t="s">
        <v>87</v>
      </c>
      <c r="I5932" s="16" t="s">
        <v>87</v>
      </c>
      <c r="J5932" s="19"/>
      <c r="L5932" s="16" t="str">
        <f>IFERROR(__xludf.DUMMYFUNCTION("""COMPUTED_VALUE"""),"")</f>
        <v/>
      </c>
      <c r="M5932" s="16" t="str">
        <f>IFERROR(__xludf.DUMMYFUNCTION("""COMPUTED_VALUE"""),"")</f>
        <v/>
      </c>
      <c r="U5932" s="16" t="s">
        <v>87</v>
      </c>
      <c r="V5932" s="16" t="str">
        <f>IFERROR(__xludf.DUMMYFUNCTION("""COMPUTED_VALUE"""),"")</f>
        <v/>
      </c>
      <c r="W5932" s="16" t="str">
        <f>IFERROR(__xludf.DUMMYFUNCTION("""COMPUTED_VALUE"""),"")</f>
        <v/>
      </c>
      <c r="X5932" s="16" t="str">
        <f>IFERROR(__xludf.DUMMYFUNCTION("""COMPUTED_VALUE"""),"")</f>
        <v/>
      </c>
      <c r="AC5932" s="16" t="str">
        <f>IFERROR(__xludf.DUMMYFUNCTION("""COMPUTED_VALUE"""),"")</f>
        <v/>
      </c>
    </row>
    <row r="5933">
      <c r="A5933" s="16" t="s">
        <v>87</v>
      </c>
      <c r="E5933" s="16" t="str">
        <f>IFERROR(__xludf.DUMMYFUNCTION("""COMPUTED_VALUE"""),"")</f>
        <v/>
      </c>
      <c r="G5933" s="18"/>
      <c r="H5933" s="16" t="s">
        <v>87</v>
      </c>
      <c r="I5933" s="16" t="s">
        <v>87</v>
      </c>
      <c r="J5933" s="19"/>
      <c r="L5933" s="16" t="str">
        <f>IFERROR(__xludf.DUMMYFUNCTION("""COMPUTED_VALUE"""),"")</f>
        <v/>
      </c>
      <c r="M5933" s="16" t="str">
        <f>IFERROR(__xludf.DUMMYFUNCTION("""COMPUTED_VALUE"""),"")</f>
        <v/>
      </c>
      <c r="U5933" s="16" t="s">
        <v>87</v>
      </c>
      <c r="V5933" s="16" t="str">
        <f>IFERROR(__xludf.DUMMYFUNCTION("""COMPUTED_VALUE"""),"")</f>
        <v/>
      </c>
      <c r="W5933" s="16" t="str">
        <f>IFERROR(__xludf.DUMMYFUNCTION("""COMPUTED_VALUE"""),"")</f>
        <v/>
      </c>
      <c r="X5933" s="16" t="str">
        <f>IFERROR(__xludf.DUMMYFUNCTION("""COMPUTED_VALUE"""),"")</f>
        <v/>
      </c>
      <c r="AC5933" s="16" t="str">
        <f>IFERROR(__xludf.DUMMYFUNCTION("""COMPUTED_VALUE"""),"")</f>
        <v/>
      </c>
    </row>
    <row r="5934">
      <c r="A5934" s="16" t="s">
        <v>87</v>
      </c>
      <c r="E5934" s="16" t="str">
        <f>IFERROR(__xludf.DUMMYFUNCTION("""COMPUTED_VALUE"""),"")</f>
        <v/>
      </c>
      <c r="G5934" s="18"/>
      <c r="H5934" s="16" t="s">
        <v>87</v>
      </c>
      <c r="I5934" s="16" t="s">
        <v>87</v>
      </c>
      <c r="J5934" s="19"/>
      <c r="L5934" s="16" t="str">
        <f>IFERROR(__xludf.DUMMYFUNCTION("""COMPUTED_VALUE"""),"")</f>
        <v/>
      </c>
      <c r="M5934" s="16" t="str">
        <f>IFERROR(__xludf.DUMMYFUNCTION("""COMPUTED_VALUE"""),"")</f>
        <v/>
      </c>
      <c r="U5934" s="16" t="s">
        <v>87</v>
      </c>
      <c r="V5934" s="16" t="str">
        <f>IFERROR(__xludf.DUMMYFUNCTION("""COMPUTED_VALUE"""),"")</f>
        <v/>
      </c>
      <c r="W5934" s="16" t="str">
        <f>IFERROR(__xludf.DUMMYFUNCTION("""COMPUTED_VALUE"""),"")</f>
        <v/>
      </c>
      <c r="X5934" s="16" t="str">
        <f>IFERROR(__xludf.DUMMYFUNCTION("""COMPUTED_VALUE"""),"")</f>
        <v/>
      </c>
      <c r="AC5934" s="16" t="str">
        <f>IFERROR(__xludf.DUMMYFUNCTION("""COMPUTED_VALUE"""),"")</f>
        <v/>
      </c>
    </row>
    <row r="5935">
      <c r="A5935" s="16" t="s">
        <v>87</v>
      </c>
      <c r="E5935" s="16" t="str">
        <f>IFERROR(__xludf.DUMMYFUNCTION("""COMPUTED_VALUE"""),"")</f>
        <v/>
      </c>
      <c r="G5935" s="18"/>
      <c r="H5935" s="16" t="s">
        <v>87</v>
      </c>
      <c r="I5935" s="16" t="s">
        <v>87</v>
      </c>
      <c r="J5935" s="19"/>
      <c r="L5935" s="16" t="str">
        <f>IFERROR(__xludf.DUMMYFUNCTION("""COMPUTED_VALUE"""),"")</f>
        <v/>
      </c>
      <c r="M5935" s="16" t="str">
        <f>IFERROR(__xludf.DUMMYFUNCTION("""COMPUTED_VALUE"""),"")</f>
        <v/>
      </c>
      <c r="U5935" s="16" t="s">
        <v>87</v>
      </c>
      <c r="V5935" s="16" t="str">
        <f>IFERROR(__xludf.DUMMYFUNCTION("""COMPUTED_VALUE"""),"")</f>
        <v/>
      </c>
      <c r="W5935" s="16" t="str">
        <f>IFERROR(__xludf.DUMMYFUNCTION("""COMPUTED_VALUE"""),"")</f>
        <v/>
      </c>
      <c r="X5935" s="16" t="str">
        <f>IFERROR(__xludf.DUMMYFUNCTION("""COMPUTED_VALUE"""),"")</f>
        <v/>
      </c>
      <c r="AC5935" s="16" t="str">
        <f>IFERROR(__xludf.DUMMYFUNCTION("""COMPUTED_VALUE"""),"")</f>
        <v/>
      </c>
    </row>
    <row r="5936">
      <c r="A5936" s="16" t="s">
        <v>87</v>
      </c>
      <c r="E5936" s="16" t="str">
        <f>IFERROR(__xludf.DUMMYFUNCTION("""COMPUTED_VALUE"""),"")</f>
        <v/>
      </c>
      <c r="G5936" s="18"/>
      <c r="H5936" s="16" t="s">
        <v>87</v>
      </c>
      <c r="I5936" s="16" t="s">
        <v>87</v>
      </c>
      <c r="J5936" s="19"/>
      <c r="L5936" s="16" t="str">
        <f>IFERROR(__xludf.DUMMYFUNCTION("""COMPUTED_VALUE"""),"")</f>
        <v/>
      </c>
      <c r="M5936" s="16" t="str">
        <f>IFERROR(__xludf.DUMMYFUNCTION("""COMPUTED_VALUE"""),"")</f>
        <v/>
      </c>
      <c r="U5936" s="16" t="s">
        <v>87</v>
      </c>
      <c r="V5936" s="16" t="str">
        <f>IFERROR(__xludf.DUMMYFUNCTION("""COMPUTED_VALUE"""),"")</f>
        <v/>
      </c>
      <c r="W5936" s="16" t="str">
        <f>IFERROR(__xludf.DUMMYFUNCTION("""COMPUTED_VALUE"""),"")</f>
        <v/>
      </c>
      <c r="X5936" s="16" t="str">
        <f>IFERROR(__xludf.DUMMYFUNCTION("""COMPUTED_VALUE"""),"")</f>
        <v/>
      </c>
      <c r="AC5936" s="16" t="str">
        <f>IFERROR(__xludf.DUMMYFUNCTION("""COMPUTED_VALUE"""),"")</f>
        <v/>
      </c>
    </row>
    <row r="5937">
      <c r="A5937" s="16" t="s">
        <v>87</v>
      </c>
      <c r="E5937" s="16" t="str">
        <f>IFERROR(__xludf.DUMMYFUNCTION("""COMPUTED_VALUE"""),"")</f>
        <v/>
      </c>
      <c r="G5937" s="18"/>
      <c r="H5937" s="16" t="s">
        <v>87</v>
      </c>
      <c r="I5937" s="16" t="s">
        <v>87</v>
      </c>
      <c r="J5937" s="19"/>
      <c r="L5937" s="16" t="str">
        <f>IFERROR(__xludf.DUMMYFUNCTION("""COMPUTED_VALUE"""),"")</f>
        <v/>
      </c>
      <c r="M5937" s="16" t="str">
        <f>IFERROR(__xludf.DUMMYFUNCTION("""COMPUTED_VALUE"""),"")</f>
        <v/>
      </c>
      <c r="U5937" s="16" t="s">
        <v>87</v>
      </c>
      <c r="V5937" s="16" t="str">
        <f>IFERROR(__xludf.DUMMYFUNCTION("""COMPUTED_VALUE"""),"")</f>
        <v/>
      </c>
      <c r="W5937" s="16" t="str">
        <f>IFERROR(__xludf.DUMMYFUNCTION("""COMPUTED_VALUE"""),"")</f>
        <v/>
      </c>
      <c r="X5937" s="16" t="str">
        <f>IFERROR(__xludf.DUMMYFUNCTION("""COMPUTED_VALUE"""),"")</f>
        <v/>
      </c>
      <c r="AC5937" s="16" t="str">
        <f>IFERROR(__xludf.DUMMYFUNCTION("""COMPUTED_VALUE"""),"")</f>
        <v/>
      </c>
    </row>
    <row r="5938">
      <c r="A5938" s="16" t="s">
        <v>87</v>
      </c>
      <c r="E5938" s="16" t="str">
        <f>IFERROR(__xludf.DUMMYFUNCTION("""COMPUTED_VALUE"""),"")</f>
        <v/>
      </c>
      <c r="G5938" s="18"/>
      <c r="H5938" s="16" t="s">
        <v>87</v>
      </c>
      <c r="I5938" s="16" t="s">
        <v>87</v>
      </c>
      <c r="J5938" s="19"/>
      <c r="L5938" s="16" t="str">
        <f>IFERROR(__xludf.DUMMYFUNCTION("""COMPUTED_VALUE"""),"")</f>
        <v/>
      </c>
      <c r="M5938" s="16" t="str">
        <f>IFERROR(__xludf.DUMMYFUNCTION("""COMPUTED_VALUE"""),"")</f>
        <v/>
      </c>
      <c r="U5938" s="16" t="s">
        <v>87</v>
      </c>
      <c r="V5938" s="16" t="str">
        <f>IFERROR(__xludf.DUMMYFUNCTION("""COMPUTED_VALUE"""),"")</f>
        <v/>
      </c>
      <c r="W5938" s="16" t="str">
        <f>IFERROR(__xludf.DUMMYFUNCTION("""COMPUTED_VALUE"""),"")</f>
        <v/>
      </c>
      <c r="X5938" s="16" t="str">
        <f>IFERROR(__xludf.DUMMYFUNCTION("""COMPUTED_VALUE"""),"")</f>
        <v/>
      </c>
      <c r="AC5938" s="16" t="str">
        <f>IFERROR(__xludf.DUMMYFUNCTION("""COMPUTED_VALUE"""),"")</f>
        <v/>
      </c>
    </row>
    <row r="5939">
      <c r="A5939" s="16" t="s">
        <v>87</v>
      </c>
      <c r="E5939" s="16" t="str">
        <f>IFERROR(__xludf.DUMMYFUNCTION("""COMPUTED_VALUE"""),"")</f>
        <v/>
      </c>
      <c r="G5939" s="18"/>
      <c r="H5939" s="16" t="s">
        <v>87</v>
      </c>
      <c r="I5939" s="16" t="s">
        <v>87</v>
      </c>
      <c r="J5939" s="19"/>
      <c r="L5939" s="16" t="str">
        <f>IFERROR(__xludf.DUMMYFUNCTION("""COMPUTED_VALUE"""),"")</f>
        <v/>
      </c>
      <c r="M5939" s="16" t="str">
        <f>IFERROR(__xludf.DUMMYFUNCTION("""COMPUTED_VALUE"""),"")</f>
        <v/>
      </c>
      <c r="U5939" s="16" t="s">
        <v>87</v>
      </c>
      <c r="V5939" s="16" t="str">
        <f>IFERROR(__xludf.DUMMYFUNCTION("""COMPUTED_VALUE"""),"")</f>
        <v/>
      </c>
      <c r="W5939" s="16" t="str">
        <f>IFERROR(__xludf.DUMMYFUNCTION("""COMPUTED_VALUE"""),"")</f>
        <v/>
      </c>
      <c r="X5939" s="16" t="str">
        <f>IFERROR(__xludf.DUMMYFUNCTION("""COMPUTED_VALUE"""),"")</f>
        <v/>
      </c>
      <c r="AC5939" s="16" t="str">
        <f>IFERROR(__xludf.DUMMYFUNCTION("""COMPUTED_VALUE"""),"")</f>
        <v/>
      </c>
    </row>
    <row r="5940">
      <c r="A5940" s="16" t="s">
        <v>87</v>
      </c>
      <c r="E5940" s="16" t="str">
        <f>IFERROR(__xludf.DUMMYFUNCTION("""COMPUTED_VALUE"""),"")</f>
        <v/>
      </c>
      <c r="G5940" s="18"/>
      <c r="H5940" s="16" t="s">
        <v>87</v>
      </c>
      <c r="I5940" s="16" t="s">
        <v>87</v>
      </c>
      <c r="J5940" s="19"/>
      <c r="L5940" s="16" t="str">
        <f>IFERROR(__xludf.DUMMYFUNCTION("""COMPUTED_VALUE"""),"")</f>
        <v/>
      </c>
      <c r="M5940" s="16" t="str">
        <f>IFERROR(__xludf.DUMMYFUNCTION("""COMPUTED_VALUE"""),"")</f>
        <v/>
      </c>
      <c r="U5940" s="16" t="s">
        <v>87</v>
      </c>
      <c r="V5940" s="16" t="str">
        <f>IFERROR(__xludf.DUMMYFUNCTION("""COMPUTED_VALUE"""),"")</f>
        <v/>
      </c>
      <c r="W5940" s="16" t="str">
        <f>IFERROR(__xludf.DUMMYFUNCTION("""COMPUTED_VALUE"""),"")</f>
        <v/>
      </c>
      <c r="X5940" s="16" t="str">
        <f>IFERROR(__xludf.DUMMYFUNCTION("""COMPUTED_VALUE"""),"")</f>
        <v/>
      </c>
      <c r="AC5940" s="16" t="str">
        <f>IFERROR(__xludf.DUMMYFUNCTION("""COMPUTED_VALUE"""),"")</f>
        <v/>
      </c>
    </row>
    <row r="5941">
      <c r="A5941" s="16" t="s">
        <v>87</v>
      </c>
      <c r="E5941" s="16" t="str">
        <f>IFERROR(__xludf.DUMMYFUNCTION("""COMPUTED_VALUE"""),"")</f>
        <v/>
      </c>
      <c r="G5941" s="18"/>
      <c r="H5941" s="16" t="s">
        <v>87</v>
      </c>
      <c r="I5941" s="16" t="s">
        <v>87</v>
      </c>
      <c r="J5941" s="19"/>
      <c r="L5941" s="16" t="str">
        <f>IFERROR(__xludf.DUMMYFUNCTION("""COMPUTED_VALUE"""),"")</f>
        <v/>
      </c>
      <c r="M5941" s="16" t="str">
        <f>IFERROR(__xludf.DUMMYFUNCTION("""COMPUTED_VALUE"""),"")</f>
        <v/>
      </c>
      <c r="U5941" s="16" t="s">
        <v>87</v>
      </c>
      <c r="V5941" s="16" t="str">
        <f>IFERROR(__xludf.DUMMYFUNCTION("""COMPUTED_VALUE"""),"")</f>
        <v/>
      </c>
      <c r="W5941" s="16" t="str">
        <f>IFERROR(__xludf.DUMMYFUNCTION("""COMPUTED_VALUE"""),"")</f>
        <v/>
      </c>
      <c r="X5941" s="16" t="str">
        <f>IFERROR(__xludf.DUMMYFUNCTION("""COMPUTED_VALUE"""),"")</f>
        <v/>
      </c>
      <c r="AC5941" s="16" t="str">
        <f>IFERROR(__xludf.DUMMYFUNCTION("""COMPUTED_VALUE"""),"")</f>
        <v/>
      </c>
    </row>
    <row r="5942">
      <c r="A5942" s="16" t="s">
        <v>87</v>
      </c>
      <c r="E5942" s="16" t="str">
        <f>IFERROR(__xludf.DUMMYFUNCTION("""COMPUTED_VALUE"""),"")</f>
        <v/>
      </c>
      <c r="G5942" s="18"/>
      <c r="H5942" s="16" t="s">
        <v>87</v>
      </c>
      <c r="I5942" s="16" t="s">
        <v>87</v>
      </c>
      <c r="J5942" s="19"/>
      <c r="L5942" s="16" t="str">
        <f>IFERROR(__xludf.DUMMYFUNCTION("""COMPUTED_VALUE"""),"")</f>
        <v/>
      </c>
      <c r="M5942" s="16" t="str">
        <f>IFERROR(__xludf.DUMMYFUNCTION("""COMPUTED_VALUE"""),"")</f>
        <v/>
      </c>
      <c r="U5942" s="16" t="s">
        <v>87</v>
      </c>
      <c r="V5942" s="16" t="str">
        <f>IFERROR(__xludf.DUMMYFUNCTION("""COMPUTED_VALUE"""),"")</f>
        <v/>
      </c>
      <c r="W5942" s="16" t="str">
        <f>IFERROR(__xludf.DUMMYFUNCTION("""COMPUTED_VALUE"""),"")</f>
        <v/>
      </c>
      <c r="X5942" s="16" t="str">
        <f>IFERROR(__xludf.DUMMYFUNCTION("""COMPUTED_VALUE"""),"")</f>
        <v/>
      </c>
      <c r="AC5942" s="16" t="str">
        <f>IFERROR(__xludf.DUMMYFUNCTION("""COMPUTED_VALUE"""),"")</f>
        <v/>
      </c>
    </row>
    <row r="5943">
      <c r="A5943" s="16" t="s">
        <v>87</v>
      </c>
      <c r="E5943" s="16" t="str">
        <f>IFERROR(__xludf.DUMMYFUNCTION("""COMPUTED_VALUE"""),"")</f>
        <v/>
      </c>
      <c r="G5943" s="18"/>
      <c r="H5943" s="16" t="s">
        <v>87</v>
      </c>
      <c r="I5943" s="16" t="s">
        <v>87</v>
      </c>
      <c r="J5943" s="19"/>
      <c r="L5943" s="16" t="str">
        <f>IFERROR(__xludf.DUMMYFUNCTION("""COMPUTED_VALUE"""),"")</f>
        <v/>
      </c>
      <c r="M5943" s="16" t="str">
        <f>IFERROR(__xludf.DUMMYFUNCTION("""COMPUTED_VALUE"""),"")</f>
        <v/>
      </c>
      <c r="U5943" s="16" t="s">
        <v>87</v>
      </c>
      <c r="V5943" s="16" t="str">
        <f>IFERROR(__xludf.DUMMYFUNCTION("""COMPUTED_VALUE"""),"")</f>
        <v/>
      </c>
      <c r="W5943" s="16" t="str">
        <f>IFERROR(__xludf.DUMMYFUNCTION("""COMPUTED_VALUE"""),"")</f>
        <v/>
      </c>
      <c r="X5943" s="16" t="str">
        <f>IFERROR(__xludf.DUMMYFUNCTION("""COMPUTED_VALUE"""),"")</f>
        <v/>
      </c>
      <c r="AC5943" s="16" t="str">
        <f>IFERROR(__xludf.DUMMYFUNCTION("""COMPUTED_VALUE"""),"")</f>
        <v/>
      </c>
    </row>
    <row r="5944">
      <c r="A5944" s="16" t="s">
        <v>87</v>
      </c>
      <c r="E5944" s="16" t="str">
        <f>IFERROR(__xludf.DUMMYFUNCTION("""COMPUTED_VALUE"""),"")</f>
        <v/>
      </c>
      <c r="G5944" s="18"/>
      <c r="H5944" s="16" t="s">
        <v>87</v>
      </c>
      <c r="I5944" s="16" t="s">
        <v>87</v>
      </c>
      <c r="J5944" s="19"/>
      <c r="L5944" s="16" t="str">
        <f>IFERROR(__xludf.DUMMYFUNCTION("""COMPUTED_VALUE"""),"")</f>
        <v/>
      </c>
      <c r="M5944" s="16" t="str">
        <f>IFERROR(__xludf.DUMMYFUNCTION("""COMPUTED_VALUE"""),"")</f>
        <v/>
      </c>
      <c r="U5944" s="16" t="s">
        <v>87</v>
      </c>
      <c r="V5944" s="16" t="str">
        <f>IFERROR(__xludf.DUMMYFUNCTION("""COMPUTED_VALUE"""),"")</f>
        <v/>
      </c>
      <c r="W5944" s="16" t="str">
        <f>IFERROR(__xludf.DUMMYFUNCTION("""COMPUTED_VALUE"""),"")</f>
        <v/>
      </c>
      <c r="X5944" s="16" t="str">
        <f>IFERROR(__xludf.DUMMYFUNCTION("""COMPUTED_VALUE"""),"")</f>
        <v/>
      </c>
      <c r="AC5944" s="16" t="str">
        <f>IFERROR(__xludf.DUMMYFUNCTION("""COMPUTED_VALUE"""),"")</f>
        <v/>
      </c>
    </row>
    <row r="5945">
      <c r="A5945" s="16" t="s">
        <v>87</v>
      </c>
      <c r="E5945" s="16" t="str">
        <f>IFERROR(__xludf.DUMMYFUNCTION("""COMPUTED_VALUE"""),"")</f>
        <v/>
      </c>
      <c r="G5945" s="18"/>
      <c r="H5945" s="16" t="s">
        <v>87</v>
      </c>
      <c r="I5945" s="16" t="s">
        <v>87</v>
      </c>
      <c r="J5945" s="19"/>
      <c r="L5945" s="16" t="str">
        <f>IFERROR(__xludf.DUMMYFUNCTION("""COMPUTED_VALUE"""),"")</f>
        <v/>
      </c>
      <c r="M5945" s="16" t="str">
        <f>IFERROR(__xludf.DUMMYFUNCTION("""COMPUTED_VALUE"""),"")</f>
        <v/>
      </c>
      <c r="U5945" s="16" t="s">
        <v>87</v>
      </c>
      <c r="V5945" s="16" t="str">
        <f>IFERROR(__xludf.DUMMYFUNCTION("""COMPUTED_VALUE"""),"")</f>
        <v/>
      </c>
      <c r="W5945" s="16" t="str">
        <f>IFERROR(__xludf.DUMMYFUNCTION("""COMPUTED_VALUE"""),"")</f>
        <v/>
      </c>
      <c r="X5945" s="16" t="str">
        <f>IFERROR(__xludf.DUMMYFUNCTION("""COMPUTED_VALUE"""),"")</f>
        <v/>
      </c>
      <c r="AC5945" s="16" t="str">
        <f>IFERROR(__xludf.DUMMYFUNCTION("""COMPUTED_VALUE"""),"")</f>
        <v/>
      </c>
    </row>
    <row r="5946">
      <c r="A5946" s="16" t="s">
        <v>87</v>
      </c>
      <c r="E5946" s="16" t="str">
        <f>IFERROR(__xludf.DUMMYFUNCTION("""COMPUTED_VALUE"""),"")</f>
        <v/>
      </c>
      <c r="G5946" s="18"/>
      <c r="H5946" s="16" t="s">
        <v>87</v>
      </c>
      <c r="I5946" s="16" t="s">
        <v>87</v>
      </c>
      <c r="J5946" s="19"/>
      <c r="L5946" s="16" t="str">
        <f>IFERROR(__xludf.DUMMYFUNCTION("""COMPUTED_VALUE"""),"")</f>
        <v/>
      </c>
      <c r="M5946" s="16" t="str">
        <f>IFERROR(__xludf.DUMMYFUNCTION("""COMPUTED_VALUE"""),"")</f>
        <v/>
      </c>
      <c r="U5946" s="16" t="s">
        <v>87</v>
      </c>
      <c r="V5946" s="16" t="str">
        <f>IFERROR(__xludf.DUMMYFUNCTION("""COMPUTED_VALUE"""),"")</f>
        <v/>
      </c>
      <c r="W5946" s="16" t="str">
        <f>IFERROR(__xludf.DUMMYFUNCTION("""COMPUTED_VALUE"""),"")</f>
        <v/>
      </c>
      <c r="X5946" s="16" t="str">
        <f>IFERROR(__xludf.DUMMYFUNCTION("""COMPUTED_VALUE"""),"")</f>
        <v/>
      </c>
      <c r="AC5946" s="16" t="str">
        <f>IFERROR(__xludf.DUMMYFUNCTION("""COMPUTED_VALUE"""),"")</f>
        <v/>
      </c>
    </row>
    <row r="5947">
      <c r="A5947" s="16" t="s">
        <v>87</v>
      </c>
      <c r="E5947" s="16" t="str">
        <f>IFERROR(__xludf.DUMMYFUNCTION("""COMPUTED_VALUE"""),"")</f>
        <v/>
      </c>
      <c r="G5947" s="18"/>
      <c r="H5947" s="16" t="s">
        <v>87</v>
      </c>
      <c r="I5947" s="16" t="s">
        <v>87</v>
      </c>
      <c r="J5947" s="19"/>
      <c r="L5947" s="16" t="str">
        <f>IFERROR(__xludf.DUMMYFUNCTION("""COMPUTED_VALUE"""),"")</f>
        <v/>
      </c>
      <c r="M5947" s="16" t="str">
        <f>IFERROR(__xludf.DUMMYFUNCTION("""COMPUTED_VALUE"""),"")</f>
        <v/>
      </c>
      <c r="U5947" s="16" t="s">
        <v>87</v>
      </c>
      <c r="V5947" s="16" t="str">
        <f>IFERROR(__xludf.DUMMYFUNCTION("""COMPUTED_VALUE"""),"")</f>
        <v/>
      </c>
      <c r="W5947" s="16" t="str">
        <f>IFERROR(__xludf.DUMMYFUNCTION("""COMPUTED_VALUE"""),"")</f>
        <v/>
      </c>
      <c r="X5947" s="16" t="str">
        <f>IFERROR(__xludf.DUMMYFUNCTION("""COMPUTED_VALUE"""),"")</f>
        <v/>
      </c>
      <c r="AC5947" s="16" t="str">
        <f>IFERROR(__xludf.DUMMYFUNCTION("""COMPUTED_VALUE"""),"")</f>
        <v/>
      </c>
    </row>
    <row r="5948">
      <c r="A5948" s="16" t="s">
        <v>87</v>
      </c>
      <c r="E5948" s="16" t="str">
        <f>IFERROR(__xludf.DUMMYFUNCTION("""COMPUTED_VALUE"""),"")</f>
        <v/>
      </c>
      <c r="G5948" s="18"/>
      <c r="H5948" s="16" t="s">
        <v>87</v>
      </c>
      <c r="I5948" s="16" t="s">
        <v>87</v>
      </c>
      <c r="J5948" s="19"/>
      <c r="L5948" s="16" t="str">
        <f>IFERROR(__xludf.DUMMYFUNCTION("""COMPUTED_VALUE"""),"")</f>
        <v/>
      </c>
      <c r="M5948" s="16" t="str">
        <f>IFERROR(__xludf.DUMMYFUNCTION("""COMPUTED_VALUE"""),"")</f>
        <v/>
      </c>
      <c r="U5948" s="16" t="s">
        <v>87</v>
      </c>
      <c r="V5948" s="16" t="str">
        <f>IFERROR(__xludf.DUMMYFUNCTION("""COMPUTED_VALUE"""),"")</f>
        <v/>
      </c>
      <c r="W5948" s="16" t="str">
        <f>IFERROR(__xludf.DUMMYFUNCTION("""COMPUTED_VALUE"""),"")</f>
        <v/>
      </c>
      <c r="X5948" s="16" t="str">
        <f>IFERROR(__xludf.DUMMYFUNCTION("""COMPUTED_VALUE"""),"")</f>
        <v/>
      </c>
      <c r="AC5948" s="16" t="str">
        <f>IFERROR(__xludf.DUMMYFUNCTION("""COMPUTED_VALUE"""),"")</f>
        <v/>
      </c>
    </row>
    <row r="5949">
      <c r="A5949" s="16" t="s">
        <v>87</v>
      </c>
      <c r="E5949" s="16" t="str">
        <f>IFERROR(__xludf.DUMMYFUNCTION("""COMPUTED_VALUE"""),"")</f>
        <v/>
      </c>
      <c r="G5949" s="18"/>
      <c r="H5949" s="16" t="s">
        <v>87</v>
      </c>
      <c r="I5949" s="16" t="s">
        <v>87</v>
      </c>
      <c r="J5949" s="19"/>
      <c r="L5949" s="16" t="str">
        <f>IFERROR(__xludf.DUMMYFUNCTION("""COMPUTED_VALUE"""),"")</f>
        <v/>
      </c>
      <c r="M5949" s="16" t="str">
        <f>IFERROR(__xludf.DUMMYFUNCTION("""COMPUTED_VALUE"""),"")</f>
        <v/>
      </c>
      <c r="U5949" s="16" t="s">
        <v>87</v>
      </c>
      <c r="V5949" s="16" t="str">
        <f>IFERROR(__xludf.DUMMYFUNCTION("""COMPUTED_VALUE"""),"")</f>
        <v/>
      </c>
      <c r="W5949" s="16" t="str">
        <f>IFERROR(__xludf.DUMMYFUNCTION("""COMPUTED_VALUE"""),"")</f>
        <v/>
      </c>
      <c r="X5949" s="16" t="str">
        <f>IFERROR(__xludf.DUMMYFUNCTION("""COMPUTED_VALUE"""),"")</f>
        <v/>
      </c>
      <c r="AC5949" s="16" t="str">
        <f>IFERROR(__xludf.DUMMYFUNCTION("""COMPUTED_VALUE"""),"")</f>
        <v/>
      </c>
    </row>
    <row r="5950">
      <c r="A5950" s="16" t="s">
        <v>87</v>
      </c>
      <c r="E5950" s="16" t="str">
        <f>IFERROR(__xludf.DUMMYFUNCTION("""COMPUTED_VALUE"""),"")</f>
        <v/>
      </c>
      <c r="G5950" s="18"/>
      <c r="H5950" s="16" t="s">
        <v>87</v>
      </c>
      <c r="I5950" s="16" t="s">
        <v>87</v>
      </c>
      <c r="J5950" s="19"/>
      <c r="L5950" s="16" t="str">
        <f>IFERROR(__xludf.DUMMYFUNCTION("""COMPUTED_VALUE"""),"")</f>
        <v/>
      </c>
      <c r="M5950" s="16" t="str">
        <f>IFERROR(__xludf.DUMMYFUNCTION("""COMPUTED_VALUE"""),"")</f>
        <v/>
      </c>
      <c r="U5950" s="16" t="s">
        <v>87</v>
      </c>
      <c r="V5950" s="16" t="str">
        <f>IFERROR(__xludf.DUMMYFUNCTION("""COMPUTED_VALUE"""),"")</f>
        <v/>
      </c>
      <c r="W5950" s="16" t="str">
        <f>IFERROR(__xludf.DUMMYFUNCTION("""COMPUTED_VALUE"""),"")</f>
        <v/>
      </c>
      <c r="X5950" s="16" t="str">
        <f>IFERROR(__xludf.DUMMYFUNCTION("""COMPUTED_VALUE"""),"")</f>
        <v/>
      </c>
      <c r="AC5950" s="16" t="str">
        <f>IFERROR(__xludf.DUMMYFUNCTION("""COMPUTED_VALUE"""),"")</f>
        <v/>
      </c>
    </row>
    <row r="5951">
      <c r="A5951" s="16" t="s">
        <v>87</v>
      </c>
      <c r="E5951" s="16" t="str">
        <f>IFERROR(__xludf.DUMMYFUNCTION("""COMPUTED_VALUE"""),"")</f>
        <v/>
      </c>
      <c r="G5951" s="18"/>
      <c r="H5951" s="16" t="s">
        <v>87</v>
      </c>
      <c r="I5951" s="16" t="s">
        <v>87</v>
      </c>
      <c r="J5951" s="19"/>
      <c r="L5951" s="16" t="str">
        <f>IFERROR(__xludf.DUMMYFUNCTION("""COMPUTED_VALUE"""),"")</f>
        <v/>
      </c>
      <c r="M5951" s="16" t="str">
        <f>IFERROR(__xludf.DUMMYFUNCTION("""COMPUTED_VALUE"""),"")</f>
        <v/>
      </c>
      <c r="U5951" s="16" t="s">
        <v>87</v>
      </c>
      <c r="V5951" s="16" t="str">
        <f>IFERROR(__xludf.DUMMYFUNCTION("""COMPUTED_VALUE"""),"")</f>
        <v/>
      </c>
      <c r="W5951" s="16" t="str">
        <f>IFERROR(__xludf.DUMMYFUNCTION("""COMPUTED_VALUE"""),"")</f>
        <v/>
      </c>
      <c r="X5951" s="16" t="str">
        <f>IFERROR(__xludf.DUMMYFUNCTION("""COMPUTED_VALUE"""),"")</f>
        <v/>
      </c>
      <c r="AC5951" s="16" t="str">
        <f>IFERROR(__xludf.DUMMYFUNCTION("""COMPUTED_VALUE"""),"")</f>
        <v/>
      </c>
    </row>
    <row r="5952">
      <c r="A5952" s="16" t="s">
        <v>87</v>
      </c>
      <c r="E5952" s="16" t="str">
        <f>IFERROR(__xludf.DUMMYFUNCTION("""COMPUTED_VALUE"""),"")</f>
        <v/>
      </c>
      <c r="G5952" s="18"/>
      <c r="H5952" s="16" t="s">
        <v>87</v>
      </c>
      <c r="I5952" s="16" t="s">
        <v>87</v>
      </c>
      <c r="J5952" s="19"/>
      <c r="L5952" s="16" t="str">
        <f>IFERROR(__xludf.DUMMYFUNCTION("""COMPUTED_VALUE"""),"")</f>
        <v/>
      </c>
      <c r="M5952" s="16" t="str">
        <f>IFERROR(__xludf.DUMMYFUNCTION("""COMPUTED_VALUE"""),"")</f>
        <v/>
      </c>
      <c r="U5952" s="16" t="s">
        <v>87</v>
      </c>
      <c r="V5952" s="16" t="str">
        <f>IFERROR(__xludf.DUMMYFUNCTION("""COMPUTED_VALUE"""),"")</f>
        <v/>
      </c>
      <c r="W5952" s="16" t="str">
        <f>IFERROR(__xludf.DUMMYFUNCTION("""COMPUTED_VALUE"""),"")</f>
        <v/>
      </c>
      <c r="X5952" s="16" t="str">
        <f>IFERROR(__xludf.DUMMYFUNCTION("""COMPUTED_VALUE"""),"")</f>
        <v/>
      </c>
      <c r="AC5952" s="16" t="str">
        <f>IFERROR(__xludf.DUMMYFUNCTION("""COMPUTED_VALUE"""),"")</f>
        <v/>
      </c>
    </row>
    <row r="5953">
      <c r="A5953" s="16" t="s">
        <v>87</v>
      </c>
      <c r="E5953" s="16" t="str">
        <f>IFERROR(__xludf.DUMMYFUNCTION("""COMPUTED_VALUE"""),"")</f>
        <v/>
      </c>
      <c r="G5953" s="18"/>
      <c r="H5953" s="16" t="s">
        <v>87</v>
      </c>
      <c r="I5953" s="16" t="s">
        <v>87</v>
      </c>
      <c r="J5953" s="19"/>
      <c r="L5953" s="16" t="str">
        <f>IFERROR(__xludf.DUMMYFUNCTION("""COMPUTED_VALUE"""),"")</f>
        <v/>
      </c>
      <c r="M5953" s="16" t="str">
        <f>IFERROR(__xludf.DUMMYFUNCTION("""COMPUTED_VALUE"""),"")</f>
        <v/>
      </c>
      <c r="U5953" s="16" t="s">
        <v>87</v>
      </c>
      <c r="V5953" s="16" t="str">
        <f>IFERROR(__xludf.DUMMYFUNCTION("""COMPUTED_VALUE"""),"")</f>
        <v/>
      </c>
      <c r="W5953" s="16" t="str">
        <f>IFERROR(__xludf.DUMMYFUNCTION("""COMPUTED_VALUE"""),"")</f>
        <v/>
      </c>
      <c r="X5953" s="16" t="str">
        <f>IFERROR(__xludf.DUMMYFUNCTION("""COMPUTED_VALUE"""),"")</f>
        <v/>
      </c>
      <c r="AC5953" s="16" t="str">
        <f>IFERROR(__xludf.DUMMYFUNCTION("""COMPUTED_VALUE"""),"")</f>
        <v/>
      </c>
    </row>
    <row r="5954">
      <c r="A5954" s="16" t="s">
        <v>87</v>
      </c>
      <c r="E5954" s="16" t="str">
        <f>IFERROR(__xludf.DUMMYFUNCTION("""COMPUTED_VALUE"""),"")</f>
        <v/>
      </c>
      <c r="G5954" s="18"/>
      <c r="H5954" s="16" t="s">
        <v>87</v>
      </c>
      <c r="I5954" s="16" t="s">
        <v>87</v>
      </c>
      <c r="J5954" s="19"/>
      <c r="L5954" s="16" t="str">
        <f>IFERROR(__xludf.DUMMYFUNCTION("""COMPUTED_VALUE"""),"")</f>
        <v/>
      </c>
      <c r="M5954" s="16" t="str">
        <f>IFERROR(__xludf.DUMMYFUNCTION("""COMPUTED_VALUE"""),"")</f>
        <v/>
      </c>
      <c r="U5954" s="16" t="s">
        <v>87</v>
      </c>
      <c r="V5954" s="16" t="str">
        <f>IFERROR(__xludf.DUMMYFUNCTION("""COMPUTED_VALUE"""),"")</f>
        <v/>
      </c>
      <c r="W5954" s="16" t="str">
        <f>IFERROR(__xludf.DUMMYFUNCTION("""COMPUTED_VALUE"""),"")</f>
        <v/>
      </c>
      <c r="X5954" s="16" t="str">
        <f>IFERROR(__xludf.DUMMYFUNCTION("""COMPUTED_VALUE"""),"")</f>
        <v/>
      </c>
      <c r="AC5954" s="16" t="str">
        <f>IFERROR(__xludf.DUMMYFUNCTION("""COMPUTED_VALUE"""),"")</f>
        <v/>
      </c>
    </row>
    <row r="5955">
      <c r="A5955" s="16" t="s">
        <v>87</v>
      </c>
      <c r="E5955" s="16" t="str">
        <f>IFERROR(__xludf.DUMMYFUNCTION("""COMPUTED_VALUE"""),"")</f>
        <v/>
      </c>
      <c r="G5955" s="18"/>
      <c r="H5955" s="16" t="s">
        <v>87</v>
      </c>
      <c r="I5955" s="16" t="s">
        <v>87</v>
      </c>
      <c r="J5955" s="19"/>
      <c r="L5955" s="16" t="str">
        <f>IFERROR(__xludf.DUMMYFUNCTION("""COMPUTED_VALUE"""),"")</f>
        <v/>
      </c>
      <c r="M5955" s="16" t="str">
        <f>IFERROR(__xludf.DUMMYFUNCTION("""COMPUTED_VALUE"""),"")</f>
        <v/>
      </c>
      <c r="U5955" s="16" t="s">
        <v>87</v>
      </c>
      <c r="V5955" s="16" t="str">
        <f>IFERROR(__xludf.DUMMYFUNCTION("""COMPUTED_VALUE"""),"")</f>
        <v/>
      </c>
      <c r="W5955" s="16" t="str">
        <f>IFERROR(__xludf.DUMMYFUNCTION("""COMPUTED_VALUE"""),"")</f>
        <v/>
      </c>
      <c r="X5955" s="16" t="str">
        <f>IFERROR(__xludf.DUMMYFUNCTION("""COMPUTED_VALUE"""),"")</f>
        <v/>
      </c>
      <c r="AC5955" s="16" t="str">
        <f>IFERROR(__xludf.DUMMYFUNCTION("""COMPUTED_VALUE"""),"")</f>
        <v/>
      </c>
    </row>
    <row r="5956">
      <c r="A5956" s="16" t="s">
        <v>87</v>
      </c>
      <c r="E5956" s="16" t="str">
        <f>IFERROR(__xludf.DUMMYFUNCTION("""COMPUTED_VALUE"""),"")</f>
        <v/>
      </c>
      <c r="G5956" s="18"/>
      <c r="H5956" s="16" t="s">
        <v>87</v>
      </c>
      <c r="I5956" s="16" t="s">
        <v>87</v>
      </c>
      <c r="J5956" s="19"/>
      <c r="L5956" s="16" t="str">
        <f>IFERROR(__xludf.DUMMYFUNCTION("""COMPUTED_VALUE"""),"")</f>
        <v/>
      </c>
      <c r="M5956" s="16" t="str">
        <f>IFERROR(__xludf.DUMMYFUNCTION("""COMPUTED_VALUE"""),"")</f>
        <v/>
      </c>
      <c r="U5956" s="16" t="s">
        <v>87</v>
      </c>
      <c r="V5956" s="16" t="str">
        <f>IFERROR(__xludf.DUMMYFUNCTION("""COMPUTED_VALUE"""),"")</f>
        <v/>
      </c>
      <c r="W5956" s="16" t="str">
        <f>IFERROR(__xludf.DUMMYFUNCTION("""COMPUTED_VALUE"""),"")</f>
        <v/>
      </c>
      <c r="X5956" s="16" t="str">
        <f>IFERROR(__xludf.DUMMYFUNCTION("""COMPUTED_VALUE"""),"")</f>
        <v/>
      </c>
      <c r="AC5956" s="16" t="str">
        <f>IFERROR(__xludf.DUMMYFUNCTION("""COMPUTED_VALUE"""),"")</f>
        <v/>
      </c>
    </row>
    <row r="5957">
      <c r="A5957" s="16" t="s">
        <v>87</v>
      </c>
      <c r="E5957" s="16" t="str">
        <f>IFERROR(__xludf.DUMMYFUNCTION("""COMPUTED_VALUE"""),"")</f>
        <v/>
      </c>
      <c r="G5957" s="18"/>
      <c r="H5957" s="16" t="s">
        <v>87</v>
      </c>
      <c r="I5957" s="16" t="s">
        <v>87</v>
      </c>
      <c r="J5957" s="19"/>
      <c r="L5957" s="16" t="str">
        <f>IFERROR(__xludf.DUMMYFUNCTION("""COMPUTED_VALUE"""),"")</f>
        <v/>
      </c>
      <c r="M5957" s="16" t="str">
        <f>IFERROR(__xludf.DUMMYFUNCTION("""COMPUTED_VALUE"""),"")</f>
        <v/>
      </c>
      <c r="U5957" s="16" t="s">
        <v>87</v>
      </c>
      <c r="V5957" s="16" t="str">
        <f>IFERROR(__xludf.DUMMYFUNCTION("""COMPUTED_VALUE"""),"")</f>
        <v/>
      </c>
      <c r="W5957" s="16" t="str">
        <f>IFERROR(__xludf.DUMMYFUNCTION("""COMPUTED_VALUE"""),"")</f>
        <v/>
      </c>
      <c r="X5957" s="16" t="str">
        <f>IFERROR(__xludf.DUMMYFUNCTION("""COMPUTED_VALUE"""),"")</f>
        <v/>
      </c>
      <c r="AC5957" s="16" t="str">
        <f>IFERROR(__xludf.DUMMYFUNCTION("""COMPUTED_VALUE"""),"")</f>
        <v/>
      </c>
    </row>
    <row r="5958">
      <c r="A5958" s="16" t="s">
        <v>87</v>
      </c>
      <c r="E5958" s="16" t="str">
        <f>IFERROR(__xludf.DUMMYFUNCTION("""COMPUTED_VALUE"""),"")</f>
        <v/>
      </c>
      <c r="G5958" s="18"/>
      <c r="H5958" s="16" t="s">
        <v>87</v>
      </c>
      <c r="I5958" s="16" t="s">
        <v>87</v>
      </c>
      <c r="J5958" s="19"/>
      <c r="L5958" s="16" t="str">
        <f>IFERROR(__xludf.DUMMYFUNCTION("""COMPUTED_VALUE"""),"")</f>
        <v/>
      </c>
      <c r="M5958" s="16" t="str">
        <f>IFERROR(__xludf.DUMMYFUNCTION("""COMPUTED_VALUE"""),"")</f>
        <v/>
      </c>
      <c r="U5958" s="16" t="s">
        <v>87</v>
      </c>
      <c r="V5958" s="16" t="str">
        <f>IFERROR(__xludf.DUMMYFUNCTION("""COMPUTED_VALUE"""),"")</f>
        <v/>
      </c>
      <c r="W5958" s="16" t="str">
        <f>IFERROR(__xludf.DUMMYFUNCTION("""COMPUTED_VALUE"""),"")</f>
        <v/>
      </c>
      <c r="X5958" s="16" t="str">
        <f>IFERROR(__xludf.DUMMYFUNCTION("""COMPUTED_VALUE"""),"")</f>
        <v/>
      </c>
      <c r="AC5958" s="16" t="str">
        <f>IFERROR(__xludf.DUMMYFUNCTION("""COMPUTED_VALUE"""),"")</f>
        <v/>
      </c>
    </row>
    <row r="5959">
      <c r="A5959" s="16" t="s">
        <v>87</v>
      </c>
      <c r="E5959" s="16" t="str">
        <f>IFERROR(__xludf.DUMMYFUNCTION("""COMPUTED_VALUE"""),"")</f>
        <v/>
      </c>
      <c r="G5959" s="18"/>
      <c r="H5959" s="16" t="s">
        <v>87</v>
      </c>
      <c r="I5959" s="16" t="s">
        <v>87</v>
      </c>
      <c r="J5959" s="19"/>
      <c r="L5959" s="16" t="str">
        <f>IFERROR(__xludf.DUMMYFUNCTION("""COMPUTED_VALUE"""),"")</f>
        <v/>
      </c>
      <c r="M5959" s="16" t="str">
        <f>IFERROR(__xludf.DUMMYFUNCTION("""COMPUTED_VALUE"""),"")</f>
        <v/>
      </c>
      <c r="U5959" s="16" t="s">
        <v>87</v>
      </c>
      <c r="V5959" s="16" t="str">
        <f>IFERROR(__xludf.DUMMYFUNCTION("""COMPUTED_VALUE"""),"")</f>
        <v/>
      </c>
      <c r="W5959" s="16" t="str">
        <f>IFERROR(__xludf.DUMMYFUNCTION("""COMPUTED_VALUE"""),"")</f>
        <v/>
      </c>
      <c r="X5959" s="16" t="str">
        <f>IFERROR(__xludf.DUMMYFUNCTION("""COMPUTED_VALUE"""),"")</f>
        <v/>
      </c>
      <c r="AC5959" s="16" t="str">
        <f>IFERROR(__xludf.DUMMYFUNCTION("""COMPUTED_VALUE"""),"")</f>
        <v/>
      </c>
    </row>
    <row r="5960">
      <c r="A5960" s="16" t="s">
        <v>87</v>
      </c>
      <c r="E5960" s="16" t="str">
        <f>IFERROR(__xludf.DUMMYFUNCTION("""COMPUTED_VALUE"""),"")</f>
        <v/>
      </c>
      <c r="G5960" s="18"/>
      <c r="H5960" s="16" t="s">
        <v>87</v>
      </c>
      <c r="I5960" s="16" t="s">
        <v>87</v>
      </c>
      <c r="J5960" s="19"/>
      <c r="L5960" s="16" t="str">
        <f>IFERROR(__xludf.DUMMYFUNCTION("""COMPUTED_VALUE"""),"")</f>
        <v/>
      </c>
      <c r="M5960" s="16" t="str">
        <f>IFERROR(__xludf.DUMMYFUNCTION("""COMPUTED_VALUE"""),"")</f>
        <v/>
      </c>
      <c r="U5960" s="16" t="s">
        <v>87</v>
      </c>
      <c r="V5960" s="16" t="str">
        <f>IFERROR(__xludf.DUMMYFUNCTION("""COMPUTED_VALUE"""),"")</f>
        <v/>
      </c>
      <c r="W5960" s="16" t="str">
        <f>IFERROR(__xludf.DUMMYFUNCTION("""COMPUTED_VALUE"""),"")</f>
        <v/>
      </c>
      <c r="X5960" s="16" t="str">
        <f>IFERROR(__xludf.DUMMYFUNCTION("""COMPUTED_VALUE"""),"")</f>
        <v/>
      </c>
      <c r="AC5960" s="16" t="str">
        <f>IFERROR(__xludf.DUMMYFUNCTION("""COMPUTED_VALUE"""),"")</f>
        <v/>
      </c>
    </row>
    <row r="5961">
      <c r="A5961" s="16" t="s">
        <v>87</v>
      </c>
      <c r="E5961" s="16" t="str">
        <f>IFERROR(__xludf.DUMMYFUNCTION("""COMPUTED_VALUE"""),"")</f>
        <v/>
      </c>
      <c r="G5961" s="18"/>
      <c r="H5961" s="16" t="s">
        <v>87</v>
      </c>
      <c r="I5961" s="16" t="s">
        <v>87</v>
      </c>
      <c r="J5961" s="19"/>
      <c r="L5961" s="16" t="str">
        <f>IFERROR(__xludf.DUMMYFUNCTION("""COMPUTED_VALUE"""),"")</f>
        <v/>
      </c>
      <c r="M5961" s="16" t="str">
        <f>IFERROR(__xludf.DUMMYFUNCTION("""COMPUTED_VALUE"""),"")</f>
        <v/>
      </c>
      <c r="U5961" s="16" t="s">
        <v>87</v>
      </c>
      <c r="V5961" s="16" t="str">
        <f>IFERROR(__xludf.DUMMYFUNCTION("""COMPUTED_VALUE"""),"")</f>
        <v/>
      </c>
      <c r="W5961" s="16" t="str">
        <f>IFERROR(__xludf.DUMMYFUNCTION("""COMPUTED_VALUE"""),"")</f>
        <v/>
      </c>
      <c r="X5961" s="16" t="str">
        <f>IFERROR(__xludf.DUMMYFUNCTION("""COMPUTED_VALUE"""),"")</f>
        <v/>
      </c>
      <c r="AC5961" s="16" t="str">
        <f>IFERROR(__xludf.DUMMYFUNCTION("""COMPUTED_VALUE"""),"")</f>
        <v/>
      </c>
    </row>
    <row r="5962">
      <c r="A5962" s="16" t="s">
        <v>87</v>
      </c>
      <c r="E5962" s="16" t="str">
        <f>IFERROR(__xludf.DUMMYFUNCTION("""COMPUTED_VALUE"""),"")</f>
        <v/>
      </c>
      <c r="G5962" s="18"/>
      <c r="H5962" s="16" t="s">
        <v>87</v>
      </c>
      <c r="I5962" s="16" t="s">
        <v>87</v>
      </c>
      <c r="J5962" s="19"/>
      <c r="L5962" s="16" t="str">
        <f>IFERROR(__xludf.DUMMYFUNCTION("""COMPUTED_VALUE"""),"")</f>
        <v/>
      </c>
      <c r="M5962" s="16" t="str">
        <f>IFERROR(__xludf.DUMMYFUNCTION("""COMPUTED_VALUE"""),"")</f>
        <v/>
      </c>
      <c r="U5962" s="16" t="s">
        <v>87</v>
      </c>
      <c r="V5962" s="16" t="str">
        <f>IFERROR(__xludf.DUMMYFUNCTION("""COMPUTED_VALUE"""),"")</f>
        <v/>
      </c>
      <c r="W5962" s="16" t="str">
        <f>IFERROR(__xludf.DUMMYFUNCTION("""COMPUTED_VALUE"""),"")</f>
        <v/>
      </c>
      <c r="X5962" s="16" t="str">
        <f>IFERROR(__xludf.DUMMYFUNCTION("""COMPUTED_VALUE"""),"")</f>
        <v/>
      </c>
      <c r="AC5962" s="16" t="str">
        <f>IFERROR(__xludf.DUMMYFUNCTION("""COMPUTED_VALUE"""),"")</f>
        <v/>
      </c>
    </row>
    <row r="5963">
      <c r="A5963" s="16" t="s">
        <v>87</v>
      </c>
      <c r="E5963" s="16" t="str">
        <f>IFERROR(__xludf.DUMMYFUNCTION("""COMPUTED_VALUE"""),"")</f>
        <v/>
      </c>
      <c r="G5963" s="18"/>
      <c r="H5963" s="16" t="s">
        <v>87</v>
      </c>
      <c r="I5963" s="16" t="s">
        <v>87</v>
      </c>
      <c r="J5963" s="19"/>
      <c r="L5963" s="16" t="str">
        <f>IFERROR(__xludf.DUMMYFUNCTION("""COMPUTED_VALUE"""),"")</f>
        <v/>
      </c>
      <c r="M5963" s="16" t="str">
        <f>IFERROR(__xludf.DUMMYFUNCTION("""COMPUTED_VALUE"""),"")</f>
        <v/>
      </c>
      <c r="U5963" s="16" t="s">
        <v>87</v>
      </c>
      <c r="V5963" s="16" t="str">
        <f>IFERROR(__xludf.DUMMYFUNCTION("""COMPUTED_VALUE"""),"")</f>
        <v/>
      </c>
      <c r="W5963" s="16" t="str">
        <f>IFERROR(__xludf.DUMMYFUNCTION("""COMPUTED_VALUE"""),"")</f>
        <v/>
      </c>
      <c r="X5963" s="16" t="str">
        <f>IFERROR(__xludf.DUMMYFUNCTION("""COMPUTED_VALUE"""),"")</f>
        <v/>
      </c>
      <c r="AC5963" s="16" t="str">
        <f>IFERROR(__xludf.DUMMYFUNCTION("""COMPUTED_VALUE"""),"")</f>
        <v/>
      </c>
    </row>
    <row r="5964">
      <c r="A5964" s="16" t="s">
        <v>87</v>
      </c>
      <c r="E5964" s="16" t="str">
        <f>IFERROR(__xludf.DUMMYFUNCTION("""COMPUTED_VALUE"""),"")</f>
        <v/>
      </c>
      <c r="G5964" s="18"/>
      <c r="H5964" s="16" t="s">
        <v>87</v>
      </c>
      <c r="I5964" s="16" t="s">
        <v>87</v>
      </c>
      <c r="J5964" s="19"/>
      <c r="L5964" s="16" t="str">
        <f>IFERROR(__xludf.DUMMYFUNCTION("""COMPUTED_VALUE"""),"")</f>
        <v/>
      </c>
      <c r="M5964" s="16" t="str">
        <f>IFERROR(__xludf.DUMMYFUNCTION("""COMPUTED_VALUE"""),"")</f>
        <v/>
      </c>
      <c r="U5964" s="16" t="s">
        <v>87</v>
      </c>
      <c r="V5964" s="16" t="str">
        <f>IFERROR(__xludf.DUMMYFUNCTION("""COMPUTED_VALUE"""),"")</f>
        <v/>
      </c>
      <c r="W5964" s="16" t="str">
        <f>IFERROR(__xludf.DUMMYFUNCTION("""COMPUTED_VALUE"""),"")</f>
        <v/>
      </c>
      <c r="X5964" s="16" t="str">
        <f>IFERROR(__xludf.DUMMYFUNCTION("""COMPUTED_VALUE"""),"")</f>
        <v/>
      </c>
      <c r="AC5964" s="16" t="str">
        <f>IFERROR(__xludf.DUMMYFUNCTION("""COMPUTED_VALUE"""),"")</f>
        <v/>
      </c>
    </row>
    <row r="5965">
      <c r="A5965" s="16" t="s">
        <v>87</v>
      </c>
      <c r="E5965" s="16" t="str">
        <f>IFERROR(__xludf.DUMMYFUNCTION("""COMPUTED_VALUE"""),"")</f>
        <v/>
      </c>
      <c r="G5965" s="18"/>
      <c r="H5965" s="16" t="s">
        <v>87</v>
      </c>
      <c r="I5965" s="16" t="s">
        <v>87</v>
      </c>
      <c r="J5965" s="19"/>
      <c r="L5965" s="16" t="str">
        <f>IFERROR(__xludf.DUMMYFUNCTION("""COMPUTED_VALUE"""),"")</f>
        <v/>
      </c>
      <c r="M5965" s="16" t="str">
        <f>IFERROR(__xludf.DUMMYFUNCTION("""COMPUTED_VALUE"""),"")</f>
        <v/>
      </c>
      <c r="U5965" s="16" t="s">
        <v>87</v>
      </c>
      <c r="V5965" s="16" t="str">
        <f>IFERROR(__xludf.DUMMYFUNCTION("""COMPUTED_VALUE"""),"")</f>
        <v/>
      </c>
      <c r="W5965" s="16" t="str">
        <f>IFERROR(__xludf.DUMMYFUNCTION("""COMPUTED_VALUE"""),"")</f>
        <v/>
      </c>
      <c r="X5965" s="16" t="str">
        <f>IFERROR(__xludf.DUMMYFUNCTION("""COMPUTED_VALUE"""),"")</f>
        <v/>
      </c>
      <c r="AC5965" s="16" t="str">
        <f>IFERROR(__xludf.DUMMYFUNCTION("""COMPUTED_VALUE"""),"")</f>
        <v/>
      </c>
    </row>
    <row r="5966">
      <c r="A5966" s="16" t="s">
        <v>87</v>
      </c>
      <c r="E5966" s="16" t="str">
        <f>IFERROR(__xludf.DUMMYFUNCTION("""COMPUTED_VALUE"""),"")</f>
        <v/>
      </c>
      <c r="G5966" s="18"/>
      <c r="H5966" s="16" t="s">
        <v>87</v>
      </c>
      <c r="I5966" s="16" t="s">
        <v>87</v>
      </c>
      <c r="J5966" s="19"/>
      <c r="L5966" s="16" t="str">
        <f>IFERROR(__xludf.DUMMYFUNCTION("""COMPUTED_VALUE"""),"")</f>
        <v/>
      </c>
      <c r="M5966" s="16" t="str">
        <f>IFERROR(__xludf.DUMMYFUNCTION("""COMPUTED_VALUE"""),"")</f>
        <v/>
      </c>
      <c r="U5966" s="16" t="s">
        <v>87</v>
      </c>
      <c r="V5966" s="16" t="str">
        <f>IFERROR(__xludf.DUMMYFUNCTION("""COMPUTED_VALUE"""),"")</f>
        <v/>
      </c>
      <c r="W5966" s="16" t="str">
        <f>IFERROR(__xludf.DUMMYFUNCTION("""COMPUTED_VALUE"""),"")</f>
        <v/>
      </c>
      <c r="X5966" s="16" t="str">
        <f>IFERROR(__xludf.DUMMYFUNCTION("""COMPUTED_VALUE"""),"")</f>
        <v/>
      </c>
      <c r="AC5966" s="16" t="str">
        <f>IFERROR(__xludf.DUMMYFUNCTION("""COMPUTED_VALUE"""),"")</f>
        <v/>
      </c>
    </row>
    <row r="5967">
      <c r="A5967" s="16" t="s">
        <v>87</v>
      </c>
      <c r="E5967" s="16" t="str">
        <f>IFERROR(__xludf.DUMMYFUNCTION("""COMPUTED_VALUE"""),"")</f>
        <v/>
      </c>
      <c r="G5967" s="18"/>
      <c r="H5967" s="16" t="s">
        <v>87</v>
      </c>
      <c r="I5967" s="16" t="s">
        <v>87</v>
      </c>
      <c r="J5967" s="19"/>
      <c r="L5967" s="16" t="str">
        <f>IFERROR(__xludf.DUMMYFUNCTION("""COMPUTED_VALUE"""),"")</f>
        <v/>
      </c>
      <c r="M5967" s="16" t="str">
        <f>IFERROR(__xludf.DUMMYFUNCTION("""COMPUTED_VALUE"""),"")</f>
        <v/>
      </c>
      <c r="U5967" s="16" t="s">
        <v>87</v>
      </c>
      <c r="V5967" s="16" t="str">
        <f>IFERROR(__xludf.DUMMYFUNCTION("""COMPUTED_VALUE"""),"")</f>
        <v/>
      </c>
      <c r="W5967" s="16" t="str">
        <f>IFERROR(__xludf.DUMMYFUNCTION("""COMPUTED_VALUE"""),"")</f>
        <v/>
      </c>
      <c r="X5967" s="16" t="str">
        <f>IFERROR(__xludf.DUMMYFUNCTION("""COMPUTED_VALUE"""),"")</f>
        <v/>
      </c>
      <c r="AC5967" s="16" t="str">
        <f>IFERROR(__xludf.DUMMYFUNCTION("""COMPUTED_VALUE"""),"")</f>
        <v/>
      </c>
    </row>
    <row r="5968">
      <c r="A5968" s="16" t="s">
        <v>87</v>
      </c>
      <c r="E5968" s="16" t="str">
        <f>IFERROR(__xludf.DUMMYFUNCTION("""COMPUTED_VALUE"""),"")</f>
        <v/>
      </c>
      <c r="G5968" s="18"/>
      <c r="H5968" s="16" t="s">
        <v>87</v>
      </c>
      <c r="I5968" s="16" t="s">
        <v>87</v>
      </c>
      <c r="J5968" s="19"/>
      <c r="L5968" s="16" t="str">
        <f>IFERROR(__xludf.DUMMYFUNCTION("""COMPUTED_VALUE"""),"")</f>
        <v/>
      </c>
      <c r="M5968" s="16" t="str">
        <f>IFERROR(__xludf.DUMMYFUNCTION("""COMPUTED_VALUE"""),"")</f>
        <v/>
      </c>
      <c r="U5968" s="16" t="s">
        <v>87</v>
      </c>
      <c r="V5968" s="16" t="str">
        <f>IFERROR(__xludf.DUMMYFUNCTION("""COMPUTED_VALUE"""),"")</f>
        <v/>
      </c>
      <c r="W5968" s="16" t="str">
        <f>IFERROR(__xludf.DUMMYFUNCTION("""COMPUTED_VALUE"""),"")</f>
        <v/>
      </c>
      <c r="X5968" s="16" t="str">
        <f>IFERROR(__xludf.DUMMYFUNCTION("""COMPUTED_VALUE"""),"")</f>
        <v/>
      </c>
      <c r="AC5968" s="16" t="str">
        <f>IFERROR(__xludf.DUMMYFUNCTION("""COMPUTED_VALUE"""),"")</f>
        <v/>
      </c>
    </row>
    <row r="5969">
      <c r="A5969" s="16" t="s">
        <v>87</v>
      </c>
      <c r="E5969" s="16" t="str">
        <f>IFERROR(__xludf.DUMMYFUNCTION("""COMPUTED_VALUE"""),"")</f>
        <v/>
      </c>
      <c r="G5969" s="18"/>
      <c r="H5969" s="16" t="s">
        <v>87</v>
      </c>
      <c r="I5969" s="16" t="s">
        <v>87</v>
      </c>
      <c r="J5969" s="19"/>
      <c r="L5969" s="16" t="str">
        <f>IFERROR(__xludf.DUMMYFUNCTION("""COMPUTED_VALUE"""),"")</f>
        <v/>
      </c>
      <c r="M5969" s="16" t="str">
        <f>IFERROR(__xludf.DUMMYFUNCTION("""COMPUTED_VALUE"""),"")</f>
        <v/>
      </c>
      <c r="U5969" s="16" t="s">
        <v>87</v>
      </c>
      <c r="V5969" s="16" t="str">
        <f>IFERROR(__xludf.DUMMYFUNCTION("""COMPUTED_VALUE"""),"")</f>
        <v/>
      </c>
      <c r="W5969" s="16" t="str">
        <f>IFERROR(__xludf.DUMMYFUNCTION("""COMPUTED_VALUE"""),"")</f>
        <v/>
      </c>
      <c r="X5969" s="16" t="str">
        <f>IFERROR(__xludf.DUMMYFUNCTION("""COMPUTED_VALUE"""),"")</f>
        <v/>
      </c>
      <c r="AC5969" s="16" t="str">
        <f>IFERROR(__xludf.DUMMYFUNCTION("""COMPUTED_VALUE"""),"")</f>
        <v/>
      </c>
    </row>
    <row r="5970">
      <c r="A5970" s="16" t="s">
        <v>87</v>
      </c>
      <c r="E5970" s="16" t="str">
        <f>IFERROR(__xludf.DUMMYFUNCTION("""COMPUTED_VALUE"""),"")</f>
        <v/>
      </c>
      <c r="G5970" s="18"/>
      <c r="H5970" s="16" t="s">
        <v>87</v>
      </c>
      <c r="I5970" s="16" t="s">
        <v>87</v>
      </c>
      <c r="J5970" s="19"/>
      <c r="L5970" s="16" t="str">
        <f>IFERROR(__xludf.DUMMYFUNCTION("""COMPUTED_VALUE"""),"")</f>
        <v/>
      </c>
      <c r="M5970" s="16" t="str">
        <f>IFERROR(__xludf.DUMMYFUNCTION("""COMPUTED_VALUE"""),"")</f>
        <v/>
      </c>
      <c r="U5970" s="16" t="s">
        <v>87</v>
      </c>
      <c r="V5970" s="16" t="str">
        <f>IFERROR(__xludf.DUMMYFUNCTION("""COMPUTED_VALUE"""),"")</f>
        <v/>
      </c>
      <c r="W5970" s="16" t="str">
        <f>IFERROR(__xludf.DUMMYFUNCTION("""COMPUTED_VALUE"""),"")</f>
        <v/>
      </c>
      <c r="X5970" s="16" t="str">
        <f>IFERROR(__xludf.DUMMYFUNCTION("""COMPUTED_VALUE"""),"")</f>
        <v/>
      </c>
      <c r="AC5970" s="16" t="str">
        <f>IFERROR(__xludf.DUMMYFUNCTION("""COMPUTED_VALUE"""),"")</f>
        <v/>
      </c>
    </row>
    <row r="5971">
      <c r="A5971" s="16" t="s">
        <v>87</v>
      </c>
      <c r="E5971" s="16" t="str">
        <f>IFERROR(__xludf.DUMMYFUNCTION("""COMPUTED_VALUE"""),"")</f>
        <v/>
      </c>
      <c r="G5971" s="18"/>
      <c r="H5971" s="16" t="s">
        <v>87</v>
      </c>
      <c r="I5971" s="16" t="s">
        <v>87</v>
      </c>
      <c r="J5971" s="19"/>
      <c r="L5971" s="16" t="str">
        <f>IFERROR(__xludf.DUMMYFUNCTION("""COMPUTED_VALUE"""),"")</f>
        <v/>
      </c>
      <c r="M5971" s="16" t="str">
        <f>IFERROR(__xludf.DUMMYFUNCTION("""COMPUTED_VALUE"""),"")</f>
        <v/>
      </c>
      <c r="U5971" s="16" t="s">
        <v>87</v>
      </c>
      <c r="V5971" s="16" t="str">
        <f>IFERROR(__xludf.DUMMYFUNCTION("""COMPUTED_VALUE"""),"")</f>
        <v/>
      </c>
      <c r="W5971" s="16" t="str">
        <f>IFERROR(__xludf.DUMMYFUNCTION("""COMPUTED_VALUE"""),"")</f>
        <v/>
      </c>
      <c r="X5971" s="16" t="str">
        <f>IFERROR(__xludf.DUMMYFUNCTION("""COMPUTED_VALUE"""),"")</f>
        <v/>
      </c>
      <c r="AC5971" s="16" t="str">
        <f>IFERROR(__xludf.DUMMYFUNCTION("""COMPUTED_VALUE"""),"")</f>
        <v/>
      </c>
    </row>
    <row r="5972">
      <c r="A5972" s="16" t="s">
        <v>87</v>
      </c>
      <c r="E5972" s="16" t="str">
        <f>IFERROR(__xludf.DUMMYFUNCTION("""COMPUTED_VALUE"""),"")</f>
        <v/>
      </c>
      <c r="G5972" s="18"/>
      <c r="H5972" s="16" t="s">
        <v>87</v>
      </c>
      <c r="I5972" s="16" t="s">
        <v>87</v>
      </c>
      <c r="J5972" s="19"/>
      <c r="L5972" s="16" t="str">
        <f>IFERROR(__xludf.DUMMYFUNCTION("""COMPUTED_VALUE"""),"")</f>
        <v/>
      </c>
      <c r="M5972" s="16" t="str">
        <f>IFERROR(__xludf.DUMMYFUNCTION("""COMPUTED_VALUE"""),"")</f>
        <v/>
      </c>
      <c r="U5972" s="16" t="s">
        <v>87</v>
      </c>
      <c r="V5972" s="16" t="str">
        <f>IFERROR(__xludf.DUMMYFUNCTION("""COMPUTED_VALUE"""),"")</f>
        <v/>
      </c>
      <c r="W5972" s="16" t="str">
        <f>IFERROR(__xludf.DUMMYFUNCTION("""COMPUTED_VALUE"""),"")</f>
        <v/>
      </c>
      <c r="X5972" s="16" t="str">
        <f>IFERROR(__xludf.DUMMYFUNCTION("""COMPUTED_VALUE"""),"")</f>
        <v/>
      </c>
      <c r="AC5972" s="16" t="str">
        <f>IFERROR(__xludf.DUMMYFUNCTION("""COMPUTED_VALUE"""),"")</f>
        <v/>
      </c>
    </row>
    <row r="5973">
      <c r="A5973" s="16" t="s">
        <v>87</v>
      </c>
      <c r="E5973" s="16" t="str">
        <f>IFERROR(__xludf.DUMMYFUNCTION("""COMPUTED_VALUE"""),"")</f>
        <v/>
      </c>
      <c r="G5973" s="18"/>
      <c r="H5973" s="16" t="s">
        <v>87</v>
      </c>
      <c r="I5973" s="16" t="s">
        <v>87</v>
      </c>
      <c r="J5973" s="19"/>
      <c r="L5973" s="16" t="str">
        <f>IFERROR(__xludf.DUMMYFUNCTION("""COMPUTED_VALUE"""),"")</f>
        <v/>
      </c>
      <c r="M5973" s="16" t="str">
        <f>IFERROR(__xludf.DUMMYFUNCTION("""COMPUTED_VALUE"""),"")</f>
        <v/>
      </c>
      <c r="U5973" s="16" t="s">
        <v>87</v>
      </c>
      <c r="V5973" s="16" t="str">
        <f>IFERROR(__xludf.DUMMYFUNCTION("""COMPUTED_VALUE"""),"")</f>
        <v/>
      </c>
      <c r="W5973" s="16" t="str">
        <f>IFERROR(__xludf.DUMMYFUNCTION("""COMPUTED_VALUE"""),"")</f>
        <v/>
      </c>
      <c r="X5973" s="16" t="str">
        <f>IFERROR(__xludf.DUMMYFUNCTION("""COMPUTED_VALUE"""),"")</f>
        <v/>
      </c>
      <c r="AC5973" s="16" t="str">
        <f>IFERROR(__xludf.DUMMYFUNCTION("""COMPUTED_VALUE"""),"")</f>
        <v/>
      </c>
    </row>
    <row r="5974">
      <c r="A5974" s="16" t="s">
        <v>87</v>
      </c>
      <c r="E5974" s="16" t="str">
        <f>IFERROR(__xludf.DUMMYFUNCTION("""COMPUTED_VALUE"""),"")</f>
        <v/>
      </c>
      <c r="G5974" s="18"/>
      <c r="H5974" s="16" t="s">
        <v>87</v>
      </c>
      <c r="I5974" s="16" t="s">
        <v>87</v>
      </c>
      <c r="J5974" s="19"/>
      <c r="L5974" s="16" t="str">
        <f>IFERROR(__xludf.DUMMYFUNCTION("""COMPUTED_VALUE"""),"")</f>
        <v/>
      </c>
      <c r="M5974" s="16" t="str">
        <f>IFERROR(__xludf.DUMMYFUNCTION("""COMPUTED_VALUE"""),"")</f>
        <v/>
      </c>
      <c r="U5974" s="16" t="s">
        <v>87</v>
      </c>
      <c r="V5974" s="16" t="str">
        <f>IFERROR(__xludf.DUMMYFUNCTION("""COMPUTED_VALUE"""),"")</f>
        <v/>
      </c>
      <c r="W5974" s="16" t="str">
        <f>IFERROR(__xludf.DUMMYFUNCTION("""COMPUTED_VALUE"""),"")</f>
        <v/>
      </c>
      <c r="X5974" s="16" t="str">
        <f>IFERROR(__xludf.DUMMYFUNCTION("""COMPUTED_VALUE"""),"")</f>
        <v/>
      </c>
      <c r="AC5974" s="16" t="str">
        <f>IFERROR(__xludf.DUMMYFUNCTION("""COMPUTED_VALUE"""),"")</f>
        <v/>
      </c>
    </row>
    <row r="5975">
      <c r="A5975" s="16" t="s">
        <v>87</v>
      </c>
      <c r="E5975" s="16" t="str">
        <f>IFERROR(__xludf.DUMMYFUNCTION("""COMPUTED_VALUE"""),"")</f>
        <v/>
      </c>
      <c r="G5975" s="18"/>
      <c r="H5975" s="16" t="s">
        <v>87</v>
      </c>
      <c r="I5975" s="16" t="s">
        <v>87</v>
      </c>
      <c r="J5975" s="19"/>
      <c r="L5975" s="16" t="str">
        <f>IFERROR(__xludf.DUMMYFUNCTION("""COMPUTED_VALUE"""),"")</f>
        <v/>
      </c>
      <c r="M5975" s="16" t="str">
        <f>IFERROR(__xludf.DUMMYFUNCTION("""COMPUTED_VALUE"""),"")</f>
        <v/>
      </c>
      <c r="U5975" s="16" t="s">
        <v>87</v>
      </c>
      <c r="V5975" s="16" t="str">
        <f>IFERROR(__xludf.DUMMYFUNCTION("""COMPUTED_VALUE"""),"")</f>
        <v/>
      </c>
      <c r="W5975" s="16" t="str">
        <f>IFERROR(__xludf.DUMMYFUNCTION("""COMPUTED_VALUE"""),"")</f>
        <v/>
      </c>
      <c r="X5975" s="16" t="str">
        <f>IFERROR(__xludf.DUMMYFUNCTION("""COMPUTED_VALUE"""),"")</f>
        <v/>
      </c>
      <c r="AC5975" s="16" t="str">
        <f>IFERROR(__xludf.DUMMYFUNCTION("""COMPUTED_VALUE"""),"")</f>
        <v/>
      </c>
    </row>
    <row r="5976">
      <c r="A5976" s="16" t="s">
        <v>87</v>
      </c>
      <c r="E5976" s="16" t="str">
        <f>IFERROR(__xludf.DUMMYFUNCTION("""COMPUTED_VALUE"""),"")</f>
        <v/>
      </c>
      <c r="G5976" s="18"/>
      <c r="H5976" s="16" t="s">
        <v>87</v>
      </c>
      <c r="I5976" s="16" t="s">
        <v>87</v>
      </c>
      <c r="J5976" s="19"/>
      <c r="L5976" s="16" t="str">
        <f>IFERROR(__xludf.DUMMYFUNCTION("""COMPUTED_VALUE"""),"")</f>
        <v/>
      </c>
      <c r="M5976" s="16" t="str">
        <f>IFERROR(__xludf.DUMMYFUNCTION("""COMPUTED_VALUE"""),"")</f>
        <v/>
      </c>
      <c r="U5976" s="16" t="s">
        <v>87</v>
      </c>
      <c r="V5976" s="16" t="str">
        <f>IFERROR(__xludf.DUMMYFUNCTION("""COMPUTED_VALUE"""),"")</f>
        <v/>
      </c>
      <c r="W5976" s="16" t="str">
        <f>IFERROR(__xludf.DUMMYFUNCTION("""COMPUTED_VALUE"""),"")</f>
        <v/>
      </c>
      <c r="X5976" s="16" t="str">
        <f>IFERROR(__xludf.DUMMYFUNCTION("""COMPUTED_VALUE"""),"")</f>
        <v/>
      </c>
      <c r="AC5976" s="16" t="str">
        <f>IFERROR(__xludf.DUMMYFUNCTION("""COMPUTED_VALUE"""),"")</f>
        <v/>
      </c>
    </row>
    <row r="5977">
      <c r="A5977" s="16" t="s">
        <v>87</v>
      </c>
      <c r="E5977" s="16" t="str">
        <f>IFERROR(__xludf.DUMMYFUNCTION("""COMPUTED_VALUE"""),"")</f>
        <v/>
      </c>
      <c r="G5977" s="18"/>
      <c r="H5977" s="16" t="s">
        <v>87</v>
      </c>
      <c r="I5977" s="16" t="s">
        <v>87</v>
      </c>
      <c r="J5977" s="19"/>
      <c r="L5977" s="16" t="str">
        <f>IFERROR(__xludf.DUMMYFUNCTION("""COMPUTED_VALUE"""),"")</f>
        <v/>
      </c>
      <c r="M5977" s="16" t="str">
        <f>IFERROR(__xludf.DUMMYFUNCTION("""COMPUTED_VALUE"""),"")</f>
        <v/>
      </c>
      <c r="U5977" s="16" t="s">
        <v>87</v>
      </c>
      <c r="V5977" s="16" t="str">
        <f>IFERROR(__xludf.DUMMYFUNCTION("""COMPUTED_VALUE"""),"")</f>
        <v/>
      </c>
      <c r="W5977" s="16" t="str">
        <f>IFERROR(__xludf.DUMMYFUNCTION("""COMPUTED_VALUE"""),"")</f>
        <v/>
      </c>
      <c r="X5977" s="16" t="str">
        <f>IFERROR(__xludf.DUMMYFUNCTION("""COMPUTED_VALUE"""),"")</f>
        <v/>
      </c>
      <c r="AC5977" s="16" t="str">
        <f>IFERROR(__xludf.DUMMYFUNCTION("""COMPUTED_VALUE"""),"")</f>
        <v/>
      </c>
    </row>
    <row r="5978">
      <c r="A5978" s="16" t="s">
        <v>87</v>
      </c>
      <c r="E5978" s="16" t="str">
        <f>IFERROR(__xludf.DUMMYFUNCTION("""COMPUTED_VALUE"""),"")</f>
        <v/>
      </c>
      <c r="G5978" s="18"/>
      <c r="H5978" s="16" t="s">
        <v>87</v>
      </c>
      <c r="I5978" s="16" t="s">
        <v>87</v>
      </c>
      <c r="J5978" s="19"/>
      <c r="L5978" s="16" t="str">
        <f>IFERROR(__xludf.DUMMYFUNCTION("""COMPUTED_VALUE"""),"")</f>
        <v/>
      </c>
      <c r="M5978" s="16" t="str">
        <f>IFERROR(__xludf.DUMMYFUNCTION("""COMPUTED_VALUE"""),"")</f>
        <v/>
      </c>
      <c r="U5978" s="16" t="s">
        <v>87</v>
      </c>
      <c r="V5978" s="16" t="str">
        <f>IFERROR(__xludf.DUMMYFUNCTION("""COMPUTED_VALUE"""),"")</f>
        <v/>
      </c>
      <c r="W5978" s="16" t="str">
        <f>IFERROR(__xludf.DUMMYFUNCTION("""COMPUTED_VALUE"""),"")</f>
        <v/>
      </c>
      <c r="X5978" s="16" t="str">
        <f>IFERROR(__xludf.DUMMYFUNCTION("""COMPUTED_VALUE"""),"")</f>
        <v/>
      </c>
      <c r="AC5978" s="16" t="str">
        <f>IFERROR(__xludf.DUMMYFUNCTION("""COMPUTED_VALUE"""),"")</f>
        <v/>
      </c>
    </row>
    <row r="5979">
      <c r="A5979" s="16" t="s">
        <v>87</v>
      </c>
      <c r="E5979" s="16" t="str">
        <f>IFERROR(__xludf.DUMMYFUNCTION("""COMPUTED_VALUE"""),"")</f>
        <v/>
      </c>
      <c r="G5979" s="18"/>
      <c r="H5979" s="16" t="s">
        <v>87</v>
      </c>
      <c r="I5979" s="16" t="s">
        <v>87</v>
      </c>
      <c r="J5979" s="19"/>
      <c r="L5979" s="16" t="str">
        <f>IFERROR(__xludf.DUMMYFUNCTION("""COMPUTED_VALUE"""),"")</f>
        <v/>
      </c>
      <c r="M5979" s="16" t="str">
        <f>IFERROR(__xludf.DUMMYFUNCTION("""COMPUTED_VALUE"""),"")</f>
        <v/>
      </c>
      <c r="U5979" s="16" t="s">
        <v>87</v>
      </c>
      <c r="V5979" s="16" t="str">
        <f>IFERROR(__xludf.DUMMYFUNCTION("""COMPUTED_VALUE"""),"")</f>
        <v/>
      </c>
      <c r="W5979" s="16" t="str">
        <f>IFERROR(__xludf.DUMMYFUNCTION("""COMPUTED_VALUE"""),"")</f>
        <v/>
      </c>
      <c r="X5979" s="16" t="str">
        <f>IFERROR(__xludf.DUMMYFUNCTION("""COMPUTED_VALUE"""),"")</f>
        <v/>
      </c>
      <c r="AC5979" s="16" t="str">
        <f>IFERROR(__xludf.DUMMYFUNCTION("""COMPUTED_VALUE"""),"")</f>
        <v/>
      </c>
    </row>
    <row r="5980">
      <c r="A5980" s="16" t="s">
        <v>87</v>
      </c>
      <c r="E5980" s="16" t="str">
        <f>IFERROR(__xludf.DUMMYFUNCTION("""COMPUTED_VALUE"""),"")</f>
        <v/>
      </c>
      <c r="G5980" s="18"/>
      <c r="H5980" s="16" t="s">
        <v>87</v>
      </c>
      <c r="I5980" s="16" t="s">
        <v>87</v>
      </c>
      <c r="J5980" s="19"/>
      <c r="L5980" s="16" t="str">
        <f>IFERROR(__xludf.DUMMYFUNCTION("""COMPUTED_VALUE"""),"")</f>
        <v/>
      </c>
      <c r="M5980" s="16" t="str">
        <f>IFERROR(__xludf.DUMMYFUNCTION("""COMPUTED_VALUE"""),"")</f>
        <v/>
      </c>
      <c r="U5980" s="16" t="s">
        <v>87</v>
      </c>
      <c r="V5980" s="16" t="str">
        <f>IFERROR(__xludf.DUMMYFUNCTION("""COMPUTED_VALUE"""),"")</f>
        <v/>
      </c>
      <c r="W5980" s="16" t="str">
        <f>IFERROR(__xludf.DUMMYFUNCTION("""COMPUTED_VALUE"""),"")</f>
        <v/>
      </c>
      <c r="X5980" s="16" t="str">
        <f>IFERROR(__xludf.DUMMYFUNCTION("""COMPUTED_VALUE"""),"")</f>
        <v/>
      </c>
      <c r="AC5980" s="16" t="str">
        <f>IFERROR(__xludf.DUMMYFUNCTION("""COMPUTED_VALUE"""),"")</f>
        <v/>
      </c>
    </row>
    <row r="5981">
      <c r="A5981" s="16" t="s">
        <v>87</v>
      </c>
      <c r="E5981" s="16" t="str">
        <f>IFERROR(__xludf.DUMMYFUNCTION("""COMPUTED_VALUE"""),"")</f>
        <v/>
      </c>
      <c r="G5981" s="18"/>
      <c r="H5981" s="16" t="s">
        <v>87</v>
      </c>
      <c r="I5981" s="16" t="s">
        <v>87</v>
      </c>
      <c r="J5981" s="19"/>
      <c r="L5981" s="16" t="str">
        <f>IFERROR(__xludf.DUMMYFUNCTION("""COMPUTED_VALUE"""),"")</f>
        <v/>
      </c>
      <c r="M5981" s="16" t="str">
        <f>IFERROR(__xludf.DUMMYFUNCTION("""COMPUTED_VALUE"""),"")</f>
        <v/>
      </c>
      <c r="U5981" s="16" t="s">
        <v>87</v>
      </c>
      <c r="V5981" s="16" t="str">
        <f>IFERROR(__xludf.DUMMYFUNCTION("""COMPUTED_VALUE"""),"")</f>
        <v/>
      </c>
      <c r="W5981" s="16" t="str">
        <f>IFERROR(__xludf.DUMMYFUNCTION("""COMPUTED_VALUE"""),"")</f>
        <v/>
      </c>
      <c r="X5981" s="16" t="str">
        <f>IFERROR(__xludf.DUMMYFUNCTION("""COMPUTED_VALUE"""),"")</f>
        <v/>
      </c>
      <c r="AC5981" s="16" t="str">
        <f>IFERROR(__xludf.DUMMYFUNCTION("""COMPUTED_VALUE"""),"")</f>
        <v/>
      </c>
    </row>
    <row r="5982">
      <c r="A5982" s="16" t="s">
        <v>87</v>
      </c>
      <c r="E5982" s="16" t="str">
        <f>IFERROR(__xludf.DUMMYFUNCTION("""COMPUTED_VALUE"""),"")</f>
        <v/>
      </c>
      <c r="G5982" s="18"/>
      <c r="H5982" s="16" t="s">
        <v>87</v>
      </c>
      <c r="I5982" s="16" t="s">
        <v>87</v>
      </c>
      <c r="J5982" s="19"/>
      <c r="L5982" s="16" t="str">
        <f>IFERROR(__xludf.DUMMYFUNCTION("""COMPUTED_VALUE"""),"")</f>
        <v/>
      </c>
      <c r="M5982" s="16" t="str">
        <f>IFERROR(__xludf.DUMMYFUNCTION("""COMPUTED_VALUE"""),"")</f>
        <v/>
      </c>
      <c r="U5982" s="16" t="s">
        <v>87</v>
      </c>
      <c r="V5982" s="16" t="str">
        <f>IFERROR(__xludf.DUMMYFUNCTION("""COMPUTED_VALUE"""),"")</f>
        <v/>
      </c>
      <c r="W5982" s="16" t="str">
        <f>IFERROR(__xludf.DUMMYFUNCTION("""COMPUTED_VALUE"""),"")</f>
        <v/>
      </c>
      <c r="X5982" s="16" t="str">
        <f>IFERROR(__xludf.DUMMYFUNCTION("""COMPUTED_VALUE"""),"")</f>
        <v/>
      </c>
      <c r="AC5982" s="16" t="str">
        <f>IFERROR(__xludf.DUMMYFUNCTION("""COMPUTED_VALUE"""),"")</f>
        <v/>
      </c>
    </row>
    <row r="5983">
      <c r="A5983" s="16" t="s">
        <v>87</v>
      </c>
      <c r="E5983" s="16" t="str">
        <f>IFERROR(__xludf.DUMMYFUNCTION("""COMPUTED_VALUE"""),"")</f>
        <v/>
      </c>
      <c r="G5983" s="18"/>
      <c r="H5983" s="16" t="s">
        <v>87</v>
      </c>
      <c r="I5983" s="16" t="s">
        <v>87</v>
      </c>
      <c r="J5983" s="19"/>
      <c r="L5983" s="16" t="str">
        <f>IFERROR(__xludf.DUMMYFUNCTION("""COMPUTED_VALUE"""),"")</f>
        <v/>
      </c>
      <c r="M5983" s="16" t="str">
        <f>IFERROR(__xludf.DUMMYFUNCTION("""COMPUTED_VALUE"""),"")</f>
        <v/>
      </c>
      <c r="U5983" s="16" t="s">
        <v>87</v>
      </c>
      <c r="V5983" s="16" t="str">
        <f>IFERROR(__xludf.DUMMYFUNCTION("""COMPUTED_VALUE"""),"")</f>
        <v/>
      </c>
      <c r="W5983" s="16" t="str">
        <f>IFERROR(__xludf.DUMMYFUNCTION("""COMPUTED_VALUE"""),"")</f>
        <v/>
      </c>
      <c r="X5983" s="16" t="str">
        <f>IFERROR(__xludf.DUMMYFUNCTION("""COMPUTED_VALUE"""),"")</f>
        <v/>
      </c>
      <c r="AC5983" s="16" t="str">
        <f>IFERROR(__xludf.DUMMYFUNCTION("""COMPUTED_VALUE"""),"")</f>
        <v/>
      </c>
    </row>
    <row r="5984">
      <c r="A5984" s="16" t="s">
        <v>87</v>
      </c>
      <c r="E5984" s="16" t="str">
        <f>IFERROR(__xludf.DUMMYFUNCTION("""COMPUTED_VALUE"""),"")</f>
        <v/>
      </c>
      <c r="G5984" s="18"/>
      <c r="H5984" s="16" t="s">
        <v>87</v>
      </c>
      <c r="I5984" s="16" t="s">
        <v>87</v>
      </c>
      <c r="J5984" s="19"/>
      <c r="L5984" s="16" t="str">
        <f>IFERROR(__xludf.DUMMYFUNCTION("""COMPUTED_VALUE"""),"")</f>
        <v/>
      </c>
      <c r="M5984" s="16" t="str">
        <f>IFERROR(__xludf.DUMMYFUNCTION("""COMPUTED_VALUE"""),"")</f>
        <v/>
      </c>
      <c r="U5984" s="16" t="s">
        <v>87</v>
      </c>
      <c r="V5984" s="16" t="str">
        <f>IFERROR(__xludf.DUMMYFUNCTION("""COMPUTED_VALUE"""),"")</f>
        <v/>
      </c>
      <c r="W5984" s="16" t="str">
        <f>IFERROR(__xludf.DUMMYFUNCTION("""COMPUTED_VALUE"""),"")</f>
        <v/>
      </c>
      <c r="X5984" s="16" t="str">
        <f>IFERROR(__xludf.DUMMYFUNCTION("""COMPUTED_VALUE"""),"")</f>
        <v/>
      </c>
      <c r="AC5984" s="16" t="str">
        <f>IFERROR(__xludf.DUMMYFUNCTION("""COMPUTED_VALUE"""),"")</f>
        <v/>
      </c>
    </row>
    <row r="5985">
      <c r="A5985" s="16" t="s">
        <v>87</v>
      </c>
      <c r="E5985" s="16" t="str">
        <f>IFERROR(__xludf.DUMMYFUNCTION("""COMPUTED_VALUE"""),"")</f>
        <v/>
      </c>
      <c r="G5985" s="18"/>
      <c r="H5985" s="16" t="s">
        <v>87</v>
      </c>
      <c r="I5985" s="16" t="s">
        <v>87</v>
      </c>
      <c r="J5985" s="19"/>
      <c r="L5985" s="16" t="str">
        <f>IFERROR(__xludf.DUMMYFUNCTION("""COMPUTED_VALUE"""),"")</f>
        <v/>
      </c>
      <c r="M5985" s="16" t="str">
        <f>IFERROR(__xludf.DUMMYFUNCTION("""COMPUTED_VALUE"""),"")</f>
        <v/>
      </c>
      <c r="U5985" s="16" t="s">
        <v>87</v>
      </c>
      <c r="V5985" s="16" t="str">
        <f>IFERROR(__xludf.DUMMYFUNCTION("""COMPUTED_VALUE"""),"")</f>
        <v/>
      </c>
      <c r="W5985" s="16" t="str">
        <f>IFERROR(__xludf.DUMMYFUNCTION("""COMPUTED_VALUE"""),"")</f>
        <v/>
      </c>
      <c r="X5985" s="16" t="str">
        <f>IFERROR(__xludf.DUMMYFUNCTION("""COMPUTED_VALUE"""),"")</f>
        <v/>
      </c>
      <c r="AC5985" s="16" t="str">
        <f>IFERROR(__xludf.DUMMYFUNCTION("""COMPUTED_VALUE"""),"")</f>
        <v/>
      </c>
    </row>
    <row r="5986">
      <c r="A5986" s="16" t="s">
        <v>87</v>
      </c>
      <c r="E5986" s="16" t="str">
        <f>IFERROR(__xludf.DUMMYFUNCTION("""COMPUTED_VALUE"""),"")</f>
        <v/>
      </c>
      <c r="G5986" s="18"/>
      <c r="H5986" s="16" t="s">
        <v>87</v>
      </c>
      <c r="I5986" s="16" t="s">
        <v>87</v>
      </c>
      <c r="J5986" s="19"/>
      <c r="L5986" s="16" t="str">
        <f>IFERROR(__xludf.DUMMYFUNCTION("""COMPUTED_VALUE"""),"")</f>
        <v/>
      </c>
      <c r="M5986" s="16" t="str">
        <f>IFERROR(__xludf.DUMMYFUNCTION("""COMPUTED_VALUE"""),"")</f>
        <v/>
      </c>
      <c r="U5986" s="16" t="s">
        <v>87</v>
      </c>
      <c r="V5986" s="16" t="str">
        <f>IFERROR(__xludf.DUMMYFUNCTION("""COMPUTED_VALUE"""),"")</f>
        <v/>
      </c>
      <c r="W5986" s="16" t="str">
        <f>IFERROR(__xludf.DUMMYFUNCTION("""COMPUTED_VALUE"""),"")</f>
        <v/>
      </c>
      <c r="X5986" s="16" t="str">
        <f>IFERROR(__xludf.DUMMYFUNCTION("""COMPUTED_VALUE"""),"")</f>
        <v/>
      </c>
      <c r="AC5986" s="16" t="str">
        <f>IFERROR(__xludf.DUMMYFUNCTION("""COMPUTED_VALUE"""),"")</f>
        <v/>
      </c>
    </row>
    <row r="5987">
      <c r="A5987" s="16" t="s">
        <v>87</v>
      </c>
      <c r="E5987" s="16" t="str">
        <f>IFERROR(__xludf.DUMMYFUNCTION("""COMPUTED_VALUE"""),"")</f>
        <v/>
      </c>
      <c r="G5987" s="18"/>
      <c r="H5987" s="16" t="s">
        <v>87</v>
      </c>
      <c r="I5987" s="16" t="s">
        <v>87</v>
      </c>
      <c r="J5987" s="19"/>
      <c r="L5987" s="16" t="str">
        <f>IFERROR(__xludf.DUMMYFUNCTION("""COMPUTED_VALUE"""),"")</f>
        <v/>
      </c>
      <c r="M5987" s="16" t="str">
        <f>IFERROR(__xludf.DUMMYFUNCTION("""COMPUTED_VALUE"""),"")</f>
        <v/>
      </c>
      <c r="U5987" s="16" t="s">
        <v>87</v>
      </c>
      <c r="V5987" s="16" t="str">
        <f>IFERROR(__xludf.DUMMYFUNCTION("""COMPUTED_VALUE"""),"")</f>
        <v/>
      </c>
      <c r="W5987" s="16" t="str">
        <f>IFERROR(__xludf.DUMMYFUNCTION("""COMPUTED_VALUE"""),"")</f>
        <v/>
      </c>
      <c r="X5987" s="16" t="str">
        <f>IFERROR(__xludf.DUMMYFUNCTION("""COMPUTED_VALUE"""),"")</f>
        <v/>
      </c>
      <c r="AC5987" s="16" t="str">
        <f>IFERROR(__xludf.DUMMYFUNCTION("""COMPUTED_VALUE"""),"")</f>
        <v/>
      </c>
    </row>
    <row r="5988">
      <c r="A5988" s="16" t="s">
        <v>87</v>
      </c>
      <c r="E5988" s="16" t="str">
        <f>IFERROR(__xludf.DUMMYFUNCTION("""COMPUTED_VALUE"""),"")</f>
        <v/>
      </c>
      <c r="G5988" s="18"/>
      <c r="H5988" s="16" t="s">
        <v>87</v>
      </c>
      <c r="I5988" s="16" t="s">
        <v>87</v>
      </c>
      <c r="J5988" s="19"/>
      <c r="L5988" s="16" t="str">
        <f>IFERROR(__xludf.DUMMYFUNCTION("""COMPUTED_VALUE"""),"")</f>
        <v/>
      </c>
      <c r="M5988" s="16" t="str">
        <f>IFERROR(__xludf.DUMMYFUNCTION("""COMPUTED_VALUE"""),"")</f>
        <v/>
      </c>
      <c r="U5988" s="16" t="s">
        <v>87</v>
      </c>
      <c r="V5988" s="16" t="str">
        <f>IFERROR(__xludf.DUMMYFUNCTION("""COMPUTED_VALUE"""),"")</f>
        <v/>
      </c>
      <c r="W5988" s="16" t="str">
        <f>IFERROR(__xludf.DUMMYFUNCTION("""COMPUTED_VALUE"""),"")</f>
        <v/>
      </c>
      <c r="X5988" s="16" t="str">
        <f>IFERROR(__xludf.DUMMYFUNCTION("""COMPUTED_VALUE"""),"")</f>
        <v/>
      </c>
      <c r="AC5988" s="16" t="str">
        <f>IFERROR(__xludf.DUMMYFUNCTION("""COMPUTED_VALUE"""),"")</f>
        <v/>
      </c>
    </row>
    <row r="5989">
      <c r="A5989" s="16" t="s">
        <v>87</v>
      </c>
      <c r="E5989" s="16" t="str">
        <f>IFERROR(__xludf.DUMMYFUNCTION("""COMPUTED_VALUE"""),"")</f>
        <v/>
      </c>
      <c r="G5989" s="18"/>
      <c r="H5989" s="16" t="s">
        <v>87</v>
      </c>
      <c r="I5989" s="16" t="s">
        <v>87</v>
      </c>
      <c r="J5989" s="19"/>
      <c r="L5989" s="16" t="str">
        <f>IFERROR(__xludf.DUMMYFUNCTION("""COMPUTED_VALUE"""),"")</f>
        <v/>
      </c>
      <c r="M5989" s="16" t="str">
        <f>IFERROR(__xludf.DUMMYFUNCTION("""COMPUTED_VALUE"""),"")</f>
        <v/>
      </c>
      <c r="U5989" s="16" t="s">
        <v>87</v>
      </c>
      <c r="V5989" s="16" t="str">
        <f>IFERROR(__xludf.DUMMYFUNCTION("""COMPUTED_VALUE"""),"")</f>
        <v/>
      </c>
      <c r="W5989" s="16" t="str">
        <f>IFERROR(__xludf.DUMMYFUNCTION("""COMPUTED_VALUE"""),"")</f>
        <v/>
      </c>
      <c r="X5989" s="16" t="str">
        <f>IFERROR(__xludf.DUMMYFUNCTION("""COMPUTED_VALUE"""),"")</f>
        <v/>
      </c>
      <c r="AC5989" s="16" t="str">
        <f>IFERROR(__xludf.DUMMYFUNCTION("""COMPUTED_VALUE"""),"")</f>
        <v/>
      </c>
    </row>
    <row r="5990">
      <c r="A5990" s="16" t="s">
        <v>87</v>
      </c>
      <c r="E5990" s="16" t="str">
        <f>IFERROR(__xludf.DUMMYFUNCTION("""COMPUTED_VALUE"""),"")</f>
        <v/>
      </c>
      <c r="G5990" s="18"/>
      <c r="H5990" s="16" t="s">
        <v>87</v>
      </c>
      <c r="I5990" s="16" t="s">
        <v>87</v>
      </c>
      <c r="J5990" s="19"/>
      <c r="L5990" s="16" t="str">
        <f>IFERROR(__xludf.DUMMYFUNCTION("""COMPUTED_VALUE"""),"")</f>
        <v/>
      </c>
      <c r="M5990" s="16" t="str">
        <f>IFERROR(__xludf.DUMMYFUNCTION("""COMPUTED_VALUE"""),"")</f>
        <v/>
      </c>
      <c r="U5990" s="16" t="s">
        <v>87</v>
      </c>
      <c r="V5990" s="16" t="str">
        <f>IFERROR(__xludf.DUMMYFUNCTION("""COMPUTED_VALUE"""),"")</f>
        <v/>
      </c>
      <c r="W5990" s="16" t="str">
        <f>IFERROR(__xludf.DUMMYFUNCTION("""COMPUTED_VALUE"""),"")</f>
        <v/>
      </c>
      <c r="X5990" s="16" t="str">
        <f>IFERROR(__xludf.DUMMYFUNCTION("""COMPUTED_VALUE"""),"")</f>
        <v/>
      </c>
      <c r="AC5990" s="16" t="str">
        <f>IFERROR(__xludf.DUMMYFUNCTION("""COMPUTED_VALUE"""),"")</f>
        <v/>
      </c>
    </row>
    <row r="5991">
      <c r="A5991" s="16" t="s">
        <v>87</v>
      </c>
      <c r="E5991" s="16" t="str">
        <f>IFERROR(__xludf.DUMMYFUNCTION("""COMPUTED_VALUE"""),"")</f>
        <v/>
      </c>
      <c r="G5991" s="18"/>
      <c r="H5991" s="16" t="s">
        <v>87</v>
      </c>
      <c r="I5991" s="16" t="s">
        <v>87</v>
      </c>
      <c r="J5991" s="19"/>
      <c r="L5991" s="16" t="str">
        <f>IFERROR(__xludf.DUMMYFUNCTION("""COMPUTED_VALUE"""),"")</f>
        <v/>
      </c>
      <c r="M5991" s="16" t="str">
        <f>IFERROR(__xludf.DUMMYFUNCTION("""COMPUTED_VALUE"""),"")</f>
        <v/>
      </c>
      <c r="U5991" s="16" t="s">
        <v>87</v>
      </c>
      <c r="V5991" s="16" t="str">
        <f>IFERROR(__xludf.DUMMYFUNCTION("""COMPUTED_VALUE"""),"")</f>
        <v/>
      </c>
      <c r="W5991" s="16" t="str">
        <f>IFERROR(__xludf.DUMMYFUNCTION("""COMPUTED_VALUE"""),"")</f>
        <v/>
      </c>
      <c r="X5991" s="16" t="str">
        <f>IFERROR(__xludf.DUMMYFUNCTION("""COMPUTED_VALUE"""),"")</f>
        <v/>
      </c>
      <c r="AC5991" s="16" t="str">
        <f>IFERROR(__xludf.DUMMYFUNCTION("""COMPUTED_VALUE"""),"")</f>
        <v/>
      </c>
    </row>
    <row r="5992">
      <c r="A5992" s="16" t="s">
        <v>87</v>
      </c>
      <c r="E5992" s="16" t="str">
        <f>IFERROR(__xludf.DUMMYFUNCTION("""COMPUTED_VALUE"""),"")</f>
        <v/>
      </c>
      <c r="G5992" s="18"/>
      <c r="H5992" s="16" t="s">
        <v>87</v>
      </c>
      <c r="I5992" s="16" t="s">
        <v>87</v>
      </c>
      <c r="J5992" s="19"/>
      <c r="L5992" s="16" t="str">
        <f>IFERROR(__xludf.DUMMYFUNCTION("""COMPUTED_VALUE"""),"")</f>
        <v/>
      </c>
      <c r="M5992" s="16" t="str">
        <f>IFERROR(__xludf.DUMMYFUNCTION("""COMPUTED_VALUE"""),"")</f>
        <v/>
      </c>
      <c r="U5992" s="16" t="s">
        <v>87</v>
      </c>
      <c r="V5992" s="16" t="str">
        <f>IFERROR(__xludf.DUMMYFUNCTION("""COMPUTED_VALUE"""),"")</f>
        <v/>
      </c>
      <c r="W5992" s="16" t="str">
        <f>IFERROR(__xludf.DUMMYFUNCTION("""COMPUTED_VALUE"""),"")</f>
        <v/>
      </c>
      <c r="X5992" s="16" t="str">
        <f>IFERROR(__xludf.DUMMYFUNCTION("""COMPUTED_VALUE"""),"")</f>
        <v/>
      </c>
      <c r="AC5992" s="16" t="str">
        <f>IFERROR(__xludf.DUMMYFUNCTION("""COMPUTED_VALUE"""),"")</f>
        <v/>
      </c>
    </row>
    <row r="5993">
      <c r="A5993" s="16" t="s">
        <v>87</v>
      </c>
      <c r="E5993" s="16" t="str">
        <f>IFERROR(__xludf.DUMMYFUNCTION("""COMPUTED_VALUE"""),"")</f>
        <v/>
      </c>
      <c r="G5993" s="18"/>
      <c r="H5993" s="16" t="s">
        <v>87</v>
      </c>
      <c r="I5993" s="16" t="s">
        <v>87</v>
      </c>
      <c r="J5993" s="19"/>
      <c r="L5993" s="16" t="str">
        <f>IFERROR(__xludf.DUMMYFUNCTION("""COMPUTED_VALUE"""),"")</f>
        <v/>
      </c>
      <c r="M5993" s="16" t="str">
        <f>IFERROR(__xludf.DUMMYFUNCTION("""COMPUTED_VALUE"""),"")</f>
        <v/>
      </c>
      <c r="U5993" s="16" t="s">
        <v>87</v>
      </c>
      <c r="V5993" s="16" t="str">
        <f>IFERROR(__xludf.DUMMYFUNCTION("""COMPUTED_VALUE"""),"")</f>
        <v/>
      </c>
      <c r="W5993" s="16" t="str">
        <f>IFERROR(__xludf.DUMMYFUNCTION("""COMPUTED_VALUE"""),"")</f>
        <v/>
      </c>
      <c r="X5993" s="16" t="str">
        <f>IFERROR(__xludf.DUMMYFUNCTION("""COMPUTED_VALUE"""),"")</f>
        <v/>
      </c>
      <c r="AC5993" s="16" t="str">
        <f>IFERROR(__xludf.DUMMYFUNCTION("""COMPUTED_VALUE"""),"")</f>
        <v/>
      </c>
    </row>
    <row r="5994">
      <c r="A5994" s="16" t="s">
        <v>87</v>
      </c>
      <c r="E5994" s="16" t="str">
        <f>IFERROR(__xludf.DUMMYFUNCTION("""COMPUTED_VALUE"""),"")</f>
        <v/>
      </c>
      <c r="G5994" s="18"/>
      <c r="H5994" s="16" t="s">
        <v>87</v>
      </c>
      <c r="I5994" s="16" t="s">
        <v>87</v>
      </c>
      <c r="J5994" s="19"/>
      <c r="L5994" s="16" t="str">
        <f>IFERROR(__xludf.DUMMYFUNCTION("""COMPUTED_VALUE"""),"")</f>
        <v/>
      </c>
      <c r="M5994" s="16" t="str">
        <f>IFERROR(__xludf.DUMMYFUNCTION("""COMPUTED_VALUE"""),"")</f>
        <v/>
      </c>
      <c r="U5994" s="16" t="s">
        <v>87</v>
      </c>
      <c r="V5994" s="16" t="str">
        <f>IFERROR(__xludf.DUMMYFUNCTION("""COMPUTED_VALUE"""),"")</f>
        <v/>
      </c>
      <c r="W5994" s="16" t="str">
        <f>IFERROR(__xludf.DUMMYFUNCTION("""COMPUTED_VALUE"""),"")</f>
        <v/>
      </c>
      <c r="X5994" s="16" t="str">
        <f>IFERROR(__xludf.DUMMYFUNCTION("""COMPUTED_VALUE"""),"")</f>
        <v/>
      </c>
      <c r="AC5994" s="16" t="str">
        <f>IFERROR(__xludf.DUMMYFUNCTION("""COMPUTED_VALUE"""),"")</f>
        <v/>
      </c>
    </row>
    <row r="5995">
      <c r="A5995" s="16" t="s">
        <v>87</v>
      </c>
      <c r="E5995" s="16" t="str">
        <f>IFERROR(__xludf.DUMMYFUNCTION("""COMPUTED_VALUE"""),"")</f>
        <v/>
      </c>
      <c r="G5995" s="18"/>
      <c r="H5995" s="16" t="s">
        <v>87</v>
      </c>
      <c r="I5995" s="16" t="s">
        <v>87</v>
      </c>
      <c r="J5995" s="19"/>
      <c r="L5995" s="16" t="str">
        <f>IFERROR(__xludf.DUMMYFUNCTION("""COMPUTED_VALUE"""),"")</f>
        <v/>
      </c>
      <c r="M5995" s="16" t="str">
        <f>IFERROR(__xludf.DUMMYFUNCTION("""COMPUTED_VALUE"""),"")</f>
        <v/>
      </c>
      <c r="U5995" s="16" t="s">
        <v>87</v>
      </c>
      <c r="V5995" s="16" t="str">
        <f>IFERROR(__xludf.DUMMYFUNCTION("""COMPUTED_VALUE"""),"")</f>
        <v/>
      </c>
      <c r="W5995" s="16" t="str">
        <f>IFERROR(__xludf.DUMMYFUNCTION("""COMPUTED_VALUE"""),"")</f>
        <v/>
      </c>
      <c r="X5995" s="16" t="str">
        <f>IFERROR(__xludf.DUMMYFUNCTION("""COMPUTED_VALUE"""),"")</f>
        <v/>
      </c>
      <c r="AC5995" s="16" t="str">
        <f>IFERROR(__xludf.DUMMYFUNCTION("""COMPUTED_VALUE"""),"")</f>
        <v/>
      </c>
    </row>
    <row r="5996">
      <c r="A5996" s="16" t="s">
        <v>87</v>
      </c>
      <c r="E5996" s="16" t="str">
        <f>IFERROR(__xludf.DUMMYFUNCTION("""COMPUTED_VALUE"""),"")</f>
        <v/>
      </c>
      <c r="G5996" s="18"/>
      <c r="H5996" s="16" t="s">
        <v>87</v>
      </c>
      <c r="I5996" s="16" t="s">
        <v>87</v>
      </c>
      <c r="J5996" s="19"/>
      <c r="L5996" s="16" t="str">
        <f>IFERROR(__xludf.DUMMYFUNCTION("""COMPUTED_VALUE"""),"")</f>
        <v/>
      </c>
      <c r="M5996" s="16" t="str">
        <f>IFERROR(__xludf.DUMMYFUNCTION("""COMPUTED_VALUE"""),"")</f>
        <v/>
      </c>
      <c r="U5996" s="16" t="s">
        <v>87</v>
      </c>
      <c r="V5996" s="16" t="str">
        <f>IFERROR(__xludf.DUMMYFUNCTION("""COMPUTED_VALUE"""),"")</f>
        <v/>
      </c>
      <c r="W5996" s="16" t="str">
        <f>IFERROR(__xludf.DUMMYFUNCTION("""COMPUTED_VALUE"""),"")</f>
        <v/>
      </c>
      <c r="X5996" s="16" t="str">
        <f>IFERROR(__xludf.DUMMYFUNCTION("""COMPUTED_VALUE"""),"")</f>
        <v/>
      </c>
      <c r="AC5996" s="16" t="str">
        <f>IFERROR(__xludf.DUMMYFUNCTION("""COMPUTED_VALUE"""),"")</f>
        <v/>
      </c>
    </row>
    <row r="5997">
      <c r="A5997" s="16" t="s">
        <v>87</v>
      </c>
      <c r="E5997" s="16" t="str">
        <f>IFERROR(__xludf.DUMMYFUNCTION("""COMPUTED_VALUE"""),"")</f>
        <v/>
      </c>
      <c r="G5997" s="18"/>
      <c r="H5997" s="16" t="s">
        <v>87</v>
      </c>
      <c r="I5997" s="16" t="s">
        <v>87</v>
      </c>
      <c r="J5997" s="19"/>
      <c r="L5997" s="16" t="str">
        <f>IFERROR(__xludf.DUMMYFUNCTION("""COMPUTED_VALUE"""),"")</f>
        <v/>
      </c>
      <c r="M5997" s="16" t="str">
        <f>IFERROR(__xludf.DUMMYFUNCTION("""COMPUTED_VALUE"""),"")</f>
        <v/>
      </c>
      <c r="U5997" s="16" t="s">
        <v>87</v>
      </c>
      <c r="V5997" s="16" t="str">
        <f>IFERROR(__xludf.DUMMYFUNCTION("""COMPUTED_VALUE"""),"")</f>
        <v/>
      </c>
      <c r="W5997" s="16" t="str">
        <f>IFERROR(__xludf.DUMMYFUNCTION("""COMPUTED_VALUE"""),"")</f>
        <v/>
      </c>
      <c r="X5997" s="16" t="str">
        <f>IFERROR(__xludf.DUMMYFUNCTION("""COMPUTED_VALUE"""),"")</f>
        <v/>
      </c>
      <c r="AC5997" s="16" t="str">
        <f>IFERROR(__xludf.DUMMYFUNCTION("""COMPUTED_VALUE"""),"")</f>
        <v/>
      </c>
    </row>
    <row r="5998">
      <c r="A5998" s="16" t="s">
        <v>87</v>
      </c>
      <c r="E5998" s="16" t="str">
        <f>IFERROR(__xludf.DUMMYFUNCTION("""COMPUTED_VALUE"""),"")</f>
        <v/>
      </c>
      <c r="G5998" s="18"/>
      <c r="H5998" s="16" t="s">
        <v>87</v>
      </c>
      <c r="I5998" s="16" t="s">
        <v>87</v>
      </c>
      <c r="J5998" s="19"/>
      <c r="L5998" s="16" t="str">
        <f>IFERROR(__xludf.DUMMYFUNCTION("""COMPUTED_VALUE"""),"")</f>
        <v/>
      </c>
      <c r="M5998" s="16" t="str">
        <f>IFERROR(__xludf.DUMMYFUNCTION("""COMPUTED_VALUE"""),"")</f>
        <v/>
      </c>
      <c r="U5998" s="16" t="s">
        <v>87</v>
      </c>
      <c r="V5998" s="16" t="str">
        <f>IFERROR(__xludf.DUMMYFUNCTION("""COMPUTED_VALUE"""),"")</f>
        <v/>
      </c>
      <c r="W5998" s="16" t="str">
        <f>IFERROR(__xludf.DUMMYFUNCTION("""COMPUTED_VALUE"""),"")</f>
        <v/>
      </c>
      <c r="X5998" s="16" t="str">
        <f>IFERROR(__xludf.DUMMYFUNCTION("""COMPUTED_VALUE"""),"")</f>
        <v/>
      </c>
      <c r="AC5998" s="16" t="str">
        <f>IFERROR(__xludf.DUMMYFUNCTION("""COMPUTED_VALUE"""),"")</f>
        <v/>
      </c>
    </row>
    <row r="5999">
      <c r="A5999" s="16" t="s">
        <v>87</v>
      </c>
      <c r="E5999" s="16" t="str">
        <f>IFERROR(__xludf.DUMMYFUNCTION("""COMPUTED_VALUE"""),"")</f>
        <v/>
      </c>
      <c r="G5999" s="18"/>
      <c r="H5999" s="16" t="s">
        <v>87</v>
      </c>
      <c r="I5999" s="16" t="s">
        <v>87</v>
      </c>
      <c r="J5999" s="19"/>
      <c r="L5999" s="16" t="str">
        <f>IFERROR(__xludf.DUMMYFUNCTION("""COMPUTED_VALUE"""),"")</f>
        <v/>
      </c>
      <c r="M5999" s="16" t="str">
        <f>IFERROR(__xludf.DUMMYFUNCTION("""COMPUTED_VALUE"""),"")</f>
        <v/>
      </c>
      <c r="U5999" s="16" t="s">
        <v>87</v>
      </c>
      <c r="V5999" s="16" t="str">
        <f>IFERROR(__xludf.DUMMYFUNCTION("""COMPUTED_VALUE"""),"")</f>
        <v/>
      </c>
      <c r="W5999" s="16" t="str">
        <f>IFERROR(__xludf.DUMMYFUNCTION("""COMPUTED_VALUE"""),"")</f>
        <v/>
      </c>
      <c r="X5999" s="16" t="str">
        <f>IFERROR(__xludf.DUMMYFUNCTION("""COMPUTED_VALUE"""),"")</f>
        <v/>
      </c>
      <c r="AC5999" s="16" t="str">
        <f>IFERROR(__xludf.DUMMYFUNCTION("""COMPUTED_VALUE"""),"")</f>
        <v/>
      </c>
    </row>
    <row r="6000">
      <c r="A6000" s="16" t="s">
        <v>87</v>
      </c>
      <c r="E6000" s="16" t="str">
        <f>IFERROR(__xludf.DUMMYFUNCTION("""COMPUTED_VALUE"""),"")</f>
        <v/>
      </c>
      <c r="G6000" s="18"/>
      <c r="H6000" s="16" t="s">
        <v>87</v>
      </c>
      <c r="I6000" s="16" t="s">
        <v>87</v>
      </c>
      <c r="J6000" s="19"/>
      <c r="L6000" s="16" t="str">
        <f>IFERROR(__xludf.DUMMYFUNCTION("""COMPUTED_VALUE"""),"")</f>
        <v/>
      </c>
      <c r="M6000" s="16" t="str">
        <f>IFERROR(__xludf.DUMMYFUNCTION("""COMPUTED_VALUE"""),"")</f>
        <v/>
      </c>
      <c r="U6000" s="16" t="s">
        <v>87</v>
      </c>
      <c r="V6000" s="16" t="str">
        <f>IFERROR(__xludf.DUMMYFUNCTION("""COMPUTED_VALUE"""),"")</f>
        <v/>
      </c>
      <c r="W6000" s="16" t="str">
        <f>IFERROR(__xludf.DUMMYFUNCTION("""COMPUTED_VALUE"""),"")</f>
        <v/>
      </c>
      <c r="X6000" s="16" t="str">
        <f>IFERROR(__xludf.DUMMYFUNCTION("""COMPUTED_VALUE"""),"")</f>
        <v/>
      </c>
      <c r="AC6000" s="16" t="str">
        <f>IFERROR(__xludf.DUMMYFUNCTION("""COMPUTED_VALUE"""),"")</f>
        <v/>
      </c>
    </row>
    <row r="6001">
      <c r="A6001" s="16" t="s">
        <v>87</v>
      </c>
      <c r="E6001" s="16" t="str">
        <f>IFERROR(__xludf.DUMMYFUNCTION("""COMPUTED_VALUE"""),"")</f>
        <v/>
      </c>
      <c r="G6001" s="18"/>
      <c r="H6001" s="16" t="s">
        <v>87</v>
      </c>
      <c r="I6001" s="16" t="s">
        <v>87</v>
      </c>
      <c r="J6001" s="19"/>
      <c r="L6001" s="16" t="str">
        <f>IFERROR(__xludf.DUMMYFUNCTION("""COMPUTED_VALUE"""),"")</f>
        <v/>
      </c>
      <c r="M6001" s="16" t="str">
        <f>IFERROR(__xludf.DUMMYFUNCTION("""COMPUTED_VALUE"""),"")</f>
        <v/>
      </c>
      <c r="U6001" s="16" t="s">
        <v>87</v>
      </c>
      <c r="V6001" s="16" t="str">
        <f>IFERROR(__xludf.DUMMYFUNCTION("""COMPUTED_VALUE"""),"")</f>
        <v/>
      </c>
      <c r="W6001" s="16" t="str">
        <f>IFERROR(__xludf.DUMMYFUNCTION("""COMPUTED_VALUE"""),"")</f>
        <v/>
      </c>
      <c r="X6001" s="16" t="str">
        <f>IFERROR(__xludf.DUMMYFUNCTION("""COMPUTED_VALUE"""),"")</f>
        <v/>
      </c>
      <c r="AC6001" s="16" t="str">
        <f>IFERROR(__xludf.DUMMYFUNCTION("""COMPUTED_VALUE"""),"")</f>
        <v/>
      </c>
    </row>
    <row r="6002">
      <c r="A6002" s="16" t="s">
        <v>87</v>
      </c>
      <c r="E6002" s="16" t="str">
        <f>IFERROR(__xludf.DUMMYFUNCTION("""COMPUTED_VALUE"""),"")</f>
        <v/>
      </c>
      <c r="G6002" s="18"/>
      <c r="H6002" s="16" t="s">
        <v>87</v>
      </c>
      <c r="I6002" s="16" t="s">
        <v>87</v>
      </c>
      <c r="J6002" s="19"/>
      <c r="L6002" s="16" t="str">
        <f>IFERROR(__xludf.DUMMYFUNCTION("""COMPUTED_VALUE"""),"")</f>
        <v/>
      </c>
      <c r="M6002" s="16" t="str">
        <f>IFERROR(__xludf.DUMMYFUNCTION("""COMPUTED_VALUE"""),"")</f>
        <v/>
      </c>
      <c r="U6002" s="16" t="s">
        <v>87</v>
      </c>
      <c r="V6002" s="16" t="str">
        <f>IFERROR(__xludf.DUMMYFUNCTION("""COMPUTED_VALUE"""),"")</f>
        <v/>
      </c>
      <c r="W6002" s="16" t="str">
        <f>IFERROR(__xludf.DUMMYFUNCTION("""COMPUTED_VALUE"""),"")</f>
        <v/>
      </c>
      <c r="X6002" s="16" t="str">
        <f>IFERROR(__xludf.DUMMYFUNCTION("""COMPUTED_VALUE"""),"")</f>
        <v/>
      </c>
      <c r="AC6002" s="16" t="str">
        <f>IFERROR(__xludf.DUMMYFUNCTION("""COMPUTED_VALUE"""),"")</f>
        <v/>
      </c>
    </row>
    <row r="6003">
      <c r="A6003" s="16" t="s">
        <v>87</v>
      </c>
      <c r="E6003" s="16" t="str">
        <f>IFERROR(__xludf.DUMMYFUNCTION("""COMPUTED_VALUE"""),"")</f>
        <v/>
      </c>
      <c r="G6003" s="18"/>
      <c r="H6003" s="16" t="s">
        <v>87</v>
      </c>
      <c r="I6003" s="16" t="s">
        <v>87</v>
      </c>
      <c r="J6003" s="19"/>
      <c r="L6003" s="16" t="str">
        <f>IFERROR(__xludf.DUMMYFUNCTION("""COMPUTED_VALUE"""),"")</f>
        <v/>
      </c>
      <c r="M6003" s="16" t="str">
        <f>IFERROR(__xludf.DUMMYFUNCTION("""COMPUTED_VALUE"""),"")</f>
        <v/>
      </c>
      <c r="U6003" s="16" t="s">
        <v>87</v>
      </c>
      <c r="V6003" s="16" t="str">
        <f>IFERROR(__xludf.DUMMYFUNCTION("""COMPUTED_VALUE"""),"")</f>
        <v/>
      </c>
      <c r="W6003" s="16" t="str">
        <f>IFERROR(__xludf.DUMMYFUNCTION("""COMPUTED_VALUE"""),"")</f>
        <v/>
      </c>
      <c r="X6003" s="16" t="str">
        <f>IFERROR(__xludf.DUMMYFUNCTION("""COMPUTED_VALUE"""),"")</f>
        <v/>
      </c>
      <c r="AC6003" s="16" t="str">
        <f>IFERROR(__xludf.DUMMYFUNCTION("""COMPUTED_VALUE"""),"")</f>
        <v/>
      </c>
    </row>
    <row r="6004">
      <c r="A6004" s="16" t="s">
        <v>87</v>
      </c>
      <c r="E6004" s="16" t="str">
        <f>IFERROR(__xludf.DUMMYFUNCTION("""COMPUTED_VALUE"""),"")</f>
        <v/>
      </c>
      <c r="G6004" s="18"/>
      <c r="H6004" s="16" t="s">
        <v>87</v>
      </c>
      <c r="I6004" s="16" t="s">
        <v>87</v>
      </c>
      <c r="J6004" s="19"/>
      <c r="L6004" s="16" t="str">
        <f>IFERROR(__xludf.DUMMYFUNCTION("""COMPUTED_VALUE"""),"")</f>
        <v/>
      </c>
      <c r="M6004" s="16" t="str">
        <f>IFERROR(__xludf.DUMMYFUNCTION("""COMPUTED_VALUE"""),"")</f>
        <v/>
      </c>
      <c r="U6004" s="16" t="s">
        <v>87</v>
      </c>
      <c r="V6004" s="16" t="str">
        <f>IFERROR(__xludf.DUMMYFUNCTION("""COMPUTED_VALUE"""),"")</f>
        <v/>
      </c>
      <c r="W6004" s="16" t="str">
        <f>IFERROR(__xludf.DUMMYFUNCTION("""COMPUTED_VALUE"""),"")</f>
        <v/>
      </c>
      <c r="X6004" s="16" t="str">
        <f>IFERROR(__xludf.DUMMYFUNCTION("""COMPUTED_VALUE"""),"")</f>
        <v/>
      </c>
      <c r="AC6004" s="16" t="str">
        <f>IFERROR(__xludf.DUMMYFUNCTION("""COMPUTED_VALUE"""),"")</f>
        <v/>
      </c>
    </row>
    <row r="6005">
      <c r="A6005" s="16" t="s">
        <v>87</v>
      </c>
      <c r="E6005" s="16" t="str">
        <f>IFERROR(__xludf.DUMMYFUNCTION("""COMPUTED_VALUE"""),"")</f>
        <v/>
      </c>
      <c r="G6005" s="18"/>
      <c r="H6005" s="16" t="s">
        <v>87</v>
      </c>
      <c r="I6005" s="16" t="s">
        <v>87</v>
      </c>
      <c r="J6005" s="19"/>
      <c r="L6005" s="16" t="str">
        <f>IFERROR(__xludf.DUMMYFUNCTION("""COMPUTED_VALUE"""),"")</f>
        <v/>
      </c>
      <c r="M6005" s="16" t="str">
        <f>IFERROR(__xludf.DUMMYFUNCTION("""COMPUTED_VALUE"""),"")</f>
        <v/>
      </c>
      <c r="U6005" s="16" t="s">
        <v>87</v>
      </c>
      <c r="V6005" s="16" t="str">
        <f>IFERROR(__xludf.DUMMYFUNCTION("""COMPUTED_VALUE"""),"")</f>
        <v/>
      </c>
      <c r="W6005" s="16" t="str">
        <f>IFERROR(__xludf.DUMMYFUNCTION("""COMPUTED_VALUE"""),"")</f>
        <v/>
      </c>
      <c r="X6005" s="16" t="str">
        <f>IFERROR(__xludf.DUMMYFUNCTION("""COMPUTED_VALUE"""),"")</f>
        <v/>
      </c>
      <c r="AC6005" s="16" t="str">
        <f>IFERROR(__xludf.DUMMYFUNCTION("""COMPUTED_VALUE"""),"")</f>
        <v/>
      </c>
    </row>
    <row r="6006">
      <c r="A6006" s="16" t="s">
        <v>87</v>
      </c>
      <c r="E6006" s="16" t="str">
        <f>IFERROR(__xludf.DUMMYFUNCTION("""COMPUTED_VALUE"""),"")</f>
        <v/>
      </c>
      <c r="G6006" s="18"/>
      <c r="H6006" s="16" t="s">
        <v>87</v>
      </c>
      <c r="I6006" s="16" t="s">
        <v>87</v>
      </c>
      <c r="J6006" s="19"/>
      <c r="L6006" s="16" t="str">
        <f>IFERROR(__xludf.DUMMYFUNCTION("""COMPUTED_VALUE"""),"")</f>
        <v/>
      </c>
      <c r="M6006" s="16" t="str">
        <f>IFERROR(__xludf.DUMMYFUNCTION("""COMPUTED_VALUE"""),"")</f>
        <v/>
      </c>
      <c r="U6006" s="16" t="s">
        <v>87</v>
      </c>
      <c r="V6006" s="16" t="str">
        <f>IFERROR(__xludf.DUMMYFUNCTION("""COMPUTED_VALUE"""),"")</f>
        <v/>
      </c>
      <c r="W6006" s="16" t="str">
        <f>IFERROR(__xludf.DUMMYFUNCTION("""COMPUTED_VALUE"""),"")</f>
        <v/>
      </c>
      <c r="X6006" s="16" t="str">
        <f>IFERROR(__xludf.DUMMYFUNCTION("""COMPUTED_VALUE"""),"")</f>
        <v/>
      </c>
      <c r="AC6006" s="16" t="str">
        <f>IFERROR(__xludf.DUMMYFUNCTION("""COMPUTED_VALUE"""),"")</f>
        <v/>
      </c>
    </row>
    <row r="6007">
      <c r="A6007" s="16" t="s">
        <v>87</v>
      </c>
      <c r="E6007" s="16" t="str">
        <f>IFERROR(__xludf.DUMMYFUNCTION("""COMPUTED_VALUE"""),"")</f>
        <v/>
      </c>
      <c r="G6007" s="18"/>
      <c r="H6007" s="16" t="s">
        <v>87</v>
      </c>
      <c r="I6007" s="16" t="s">
        <v>87</v>
      </c>
      <c r="J6007" s="19"/>
      <c r="L6007" s="16" t="str">
        <f>IFERROR(__xludf.DUMMYFUNCTION("""COMPUTED_VALUE"""),"")</f>
        <v/>
      </c>
      <c r="M6007" s="16" t="str">
        <f>IFERROR(__xludf.DUMMYFUNCTION("""COMPUTED_VALUE"""),"")</f>
        <v/>
      </c>
      <c r="U6007" s="16" t="s">
        <v>87</v>
      </c>
      <c r="V6007" s="16" t="str">
        <f>IFERROR(__xludf.DUMMYFUNCTION("""COMPUTED_VALUE"""),"")</f>
        <v/>
      </c>
      <c r="W6007" s="16" t="str">
        <f>IFERROR(__xludf.DUMMYFUNCTION("""COMPUTED_VALUE"""),"")</f>
        <v/>
      </c>
      <c r="X6007" s="16" t="str">
        <f>IFERROR(__xludf.DUMMYFUNCTION("""COMPUTED_VALUE"""),"")</f>
        <v/>
      </c>
      <c r="AC6007" s="16" t="str">
        <f>IFERROR(__xludf.DUMMYFUNCTION("""COMPUTED_VALUE"""),"")</f>
        <v/>
      </c>
    </row>
    <row r="6008">
      <c r="A6008" s="16" t="s">
        <v>87</v>
      </c>
      <c r="E6008" s="16" t="str">
        <f>IFERROR(__xludf.DUMMYFUNCTION("""COMPUTED_VALUE"""),"")</f>
        <v/>
      </c>
      <c r="G6008" s="18"/>
      <c r="H6008" s="16" t="s">
        <v>87</v>
      </c>
      <c r="I6008" s="16" t="s">
        <v>87</v>
      </c>
      <c r="J6008" s="19"/>
      <c r="L6008" s="16" t="str">
        <f>IFERROR(__xludf.DUMMYFUNCTION("""COMPUTED_VALUE"""),"")</f>
        <v/>
      </c>
      <c r="M6008" s="16" t="str">
        <f>IFERROR(__xludf.DUMMYFUNCTION("""COMPUTED_VALUE"""),"")</f>
        <v/>
      </c>
      <c r="U6008" s="16" t="s">
        <v>87</v>
      </c>
      <c r="V6008" s="16" t="str">
        <f>IFERROR(__xludf.DUMMYFUNCTION("""COMPUTED_VALUE"""),"")</f>
        <v/>
      </c>
      <c r="W6008" s="16" t="str">
        <f>IFERROR(__xludf.DUMMYFUNCTION("""COMPUTED_VALUE"""),"")</f>
        <v/>
      </c>
      <c r="X6008" s="16" t="str">
        <f>IFERROR(__xludf.DUMMYFUNCTION("""COMPUTED_VALUE"""),"")</f>
        <v/>
      </c>
      <c r="AC6008" s="16" t="str">
        <f>IFERROR(__xludf.DUMMYFUNCTION("""COMPUTED_VALUE"""),"")</f>
        <v/>
      </c>
    </row>
    <row r="6009">
      <c r="A6009" s="16" t="s">
        <v>87</v>
      </c>
      <c r="E6009" s="16" t="str">
        <f>IFERROR(__xludf.DUMMYFUNCTION("""COMPUTED_VALUE"""),"")</f>
        <v/>
      </c>
      <c r="G6009" s="18"/>
      <c r="H6009" s="16" t="s">
        <v>87</v>
      </c>
      <c r="I6009" s="16" t="s">
        <v>87</v>
      </c>
      <c r="J6009" s="19"/>
      <c r="L6009" s="16" t="str">
        <f>IFERROR(__xludf.DUMMYFUNCTION("""COMPUTED_VALUE"""),"")</f>
        <v/>
      </c>
      <c r="M6009" s="16" t="str">
        <f>IFERROR(__xludf.DUMMYFUNCTION("""COMPUTED_VALUE"""),"")</f>
        <v/>
      </c>
      <c r="U6009" s="16" t="s">
        <v>87</v>
      </c>
      <c r="V6009" s="16" t="str">
        <f>IFERROR(__xludf.DUMMYFUNCTION("""COMPUTED_VALUE"""),"")</f>
        <v/>
      </c>
      <c r="W6009" s="16" t="str">
        <f>IFERROR(__xludf.DUMMYFUNCTION("""COMPUTED_VALUE"""),"")</f>
        <v/>
      </c>
      <c r="X6009" s="16" t="str">
        <f>IFERROR(__xludf.DUMMYFUNCTION("""COMPUTED_VALUE"""),"")</f>
        <v/>
      </c>
      <c r="AC6009" s="16" t="str">
        <f>IFERROR(__xludf.DUMMYFUNCTION("""COMPUTED_VALUE"""),"")</f>
        <v/>
      </c>
    </row>
    <row r="6010">
      <c r="A6010" s="16" t="s">
        <v>87</v>
      </c>
      <c r="E6010" s="16" t="str">
        <f>IFERROR(__xludf.DUMMYFUNCTION("""COMPUTED_VALUE"""),"")</f>
        <v/>
      </c>
      <c r="G6010" s="18"/>
      <c r="H6010" s="16" t="s">
        <v>87</v>
      </c>
      <c r="I6010" s="16" t="s">
        <v>87</v>
      </c>
      <c r="J6010" s="19"/>
      <c r="L6010" s="16" t="str">
        <f>IFERROR(__xludf.DUMMYFUNCTION("""COMPUTED_VALUE"""),"")</f>
        <v/>
      </c>
      <c r="M6010" s="16" t="str">
        <f>IFERROR(__xludf.DUMMYFUNCTION("""COMPUTED_VALUE"""),"")</f>
        <v/>
      </c>
      <c r="U6010" s="16" t="s">
        <v>87</v>
      </c>
      <c r="V6010" s="16" t="str">
        <f>IFERROR(__xludf.DUMMYFUNCTION("""COMPUTED_VALUE"""),"")</f>
        <v/>
      </c>
      <c r="W6010" s="16" t="str">
        <f>IFERROR(__xludf.DUMMYFUNCTION("""COMPUTED_VALUE"""),"")</f>
        <v/>
      </c>
      <c r="X6010" s="16" t="str">
        <f>IFERROR(__xludf.DUMMYFUNCTION("""COMPUTED_VALUE"""),"")</f>
        <v/>
      </c>
      <c r="AC6010" s="16" t="str">
        <f>IFERROR(__xludf.DUMMYFUNCTION("""COMPUTED_VALUE"""),"")</f>
        <v/>
      </c>
    </row>
    <row r="6011">
      <c r="A6011" s="16" t="s">
        <v>87</v>
      </c>
      <c r="E6011" s="16" t="str">
        <f>IFERROR(__xludf.DUMMYFUNCTION("""COMPUTED_VALUE"""),"")</f>
        <v/>
      </c>
      <c r="G6011" s="18"/>
      <c r="H6011" s="16" t="s">
        <v>87</v>
      </c>
      <c r="I6011" s="16" t="s">
        <v>87</v>
      </c>
      <c r="J6011" s="19"/>
      <c r="L6011" s="16" t="str">
        <f>IFERROR(__xludf.DUMMYFUNCTION("""COMPUTED_VALUE"""),"")</f>
        <v/>
      </c>
      <c r="M6011" s="16" t="str">
        <f>IFERROR(__xludf.DUMMYFUNCTION("""COMPUTED_VALUE"""),"")</f>
        <v/>
      </c>
      <c r="U6011" s="16" t="s">
        <v>87</v>
      </c>
      <c r="V6011" s="16" t="str">
        <f>IFERROR(__xludf.DUMMYFUNCTION("""COMPUTED_VALUE"""),"")</f>
        <v/>
      </c>
      <c r="W6011" s="16" t="str">
        <f>IFERROR(__xludf.DUMMYFUNCTION("""COMPUTED_VALUE"""),"")</f>
        <v/>
      </c>
      <c r="X6011" s="16" t="str">
        <f>IFERROR(__xludf.DUMMYFUNCTION("""COMPUTED_VALUE"""),"")</f>
        <v/>
      </c>
      <c r="AC6011" s="16" t="str">
        <f>IFERROR(__xludf.DUMMYFUNCTION("""COMPUTED_VALUE"""),"")</f>
        <v/>
      </c>
    </row>
    <row r="6012">
      <c r="A6012" s="16" t="s">
        <v>87</v>
      </c>
      <c r="E6012" s="16" t="str">
        <f>IFERROR(__xludf.DUMMYFUNCTION("""COMPUTED_VALUE"""),"")</f>
        <v/>
      </c>
      <c r="G6012" s="18"/>
      <c r="H6012" s="16" t="s">
        <v>87</v>
      </c>
      <c r="I6012" s="16" t="s">
        <v>87</v>
      </c>
      <c r="J6012" s="19"/>
      <c r="L6012" s="16" t="str">
        <f>IFERROR(__xludf.DUMMYFUNCTION("""COMPUTED_VALUE"""),"")</f>
        <v/>
      </c>
      <c r="M6012" s="16" t="str">
        <f>IFERROR(__xludf.DUMMYFUNCTION("""COMPUTED_VALUE"""),"")</f>
        <v/>
      </c>
      <c r="U6012" s="16" t="s">
        <v>87</v>
      </c>
      <c r="V6012" s="16" t="str">
        <f>IFERROR(__xludf.DUMMYFUNCTION("""COMPUTED_VALUE"""),"")</f>
        <v/>
      </c>
      <c r="W6012" s="16" t="str">
        <f>IFERROR(__xludf.DUMMYFUNCTION("""COMPUTED_VALUE"""),"")</f>
        <v/>
      </c>
      <c r="X6012" s="16" t="str">
        <f>IFERROR(__xludf.DUMMYFUNCTION("""COMPUTED_VALUE"""),"")</f>
        <v/>
      </c>
      <c r="AC6012" s="16" t="str">
        <f>IFERROR(__xludf.DUMMYFUNCTION("""COMPUTED_VALUE"""),"")</f>
        <v/>
      </c>
    </row>
    <row r="6013">
      <c r="A6013" s="16" t="s">
        <v>87</v>
      </c>
      <c r="E6013" s="16" t="str">
        <f>IFERROR(__xludf.DUMMYFUNCTION("""COMPUTED_VALUE"""),"")</f>
        <v/>
      </c>
      <c r="G6013" s="18"/>
      <c r="H6013" s="16" t="s">
        <v>87</v>
      </c>
      <c r="I6013" s="16" t="s">
        <v>87</v>
      </c>
      <c r="J6013" s="19"/>
      <c r="L6013" s="16" t="str">
        <f>IFERROR(__xludf.DUMMYFUNCTION("""COMPUTED_VALUE"""),"")</f>
        <v/>
      </c>
      <c r="M6013" s="16" t="str">
        <f>IFERROR(__xludf.DUMMYFUNCTION("""COMPUTED_VALUE"""),"")</f>
        <v/>
      </c>
      <c r="U6013" s="16" t="s">
        <v>87</v>
      </c>
      <c r="V6013" s="16" t="str">
        <f>IFERROR(__xludf.DUMMYFUNCTION("""COMPUTED_VALUE"""),"")</f>
        <v/>
      </c>
      <c r="W6013" s="16" t="str">
        <f>IFERROR(__xludf.DUMMYFUNCTION("""COMPUTED_VALUE"""),"")</f>
        <v/>
      </c>
      <c r="X6013" s="16" t="str">
        <f>IFERROR(__xludf.DUMMYFUNCTION("""COMPUTED_VALUE"""),"")</f>
        <v/>
      </c>
      <c r="AC6013" s="16" t="str">
        <f>IFERROR(__xludf.DUMMYFUNCTION("""COMPUTED_VALUE"""),"")</f>
        <v/>
      </c>
    </row>
    <row r="6014">
      <c r="A6014" s="16" t="s">
        <v>87</v>
      </c>
      <c r="E6014" s="16" t="str">
        <f>IFERROR(__xludf.DUMMYFUNCTION("""COMPUTED_VALUE"""),"")</f>
        <v/>
      </c>
      <c r="G6014" s="18"/>
      <c r="H6014" s="16" t="s">
        <v>87</v>
      </c>
      <c r="I6014" s="16" t="s">
        <v>87</v>
      </c>
      <c r="J6014" s="19"/>
      <c r="L6014" s="16" t="str">
        <f>IFERROR(__xludf.DUMMYFUNCTION("""COMPUTED_VALUE"""),"")</f>
        <v/>
      </c>
      <c r="M6014" s="16" t="str">
        <f>IFERROR(__xludf.DUMMYFUNCTION("""COMPUTED_VALUE"""),"")</f>
        <v/>
      </c>
      <c r="U6014" s="16" t="s">
        <v>87</v>
      </c>
      <c r="V6014" s="16" t="str">
        <f>IFERROR(__xludf.DUMMYFUNCTION("""COMPUTED_VALUE"""),"")</f>
        <v/>
      </c>
      <c r="W6014" s="16" t="str">
        <f>IFERROR(__xludf.DUMMYFUNCTION("""COMPUTED_VALUE"""),"")</f>
        <v/>
      </c>
      <c r="X6014" s="16" t="str">
        <f>IFERROR(__xludf.DUMMYFUNCTION("""COMPUTED_VALUE"""),"")</f>
        <v/>
      </c>
      <c r="AC6014" s="16" t="str">
        <f>IFERROR(__xludf.DUMMYFUNCTION("""COMPUTED_VALUE"""),"")</f>
        <v/>
      </c>
    </row>
    <row r="6015">
      <c r="A6015" s="16" t="s">
        <v>87</v>
      </c>
      <c r="E6015" s="16" t="str">
        <f>IFERROR(__xludf.DUMMYFUNCTION("""COMPUTED_VALUE"""),"")</f>
        <v/>
      </c>
      <c r="G6015" s="18"/>
      <c r="H6015" s="16" t="s">
        <v>87</v>
      </c>
      <c r="I6015" s="16" t="s">
        <v>87</v>
      </c>
      <c r="J6015" s="19"/>
      <c r="L6015" s="16" t="str">
        <f>IFERROR(__xludf.DUMMYFUNCTION("""COMPUTED_VALUE"""),"")</f>
        <v/>
      </c>
      <c r="M6015" s="16" t="str">
        <f>IFERROR(__xludf.DUMMYFUNCTION("""COMPUTED_VALUE"""),"")</f>
        <v/>
      </c>
      <c r="U6015" s="16" t="s">
        <v>87</v>
      </c>
      <c r="V6015" s="16" t="str">
        <f>IFERROR(__xludf.DUMMYFUNCTION("""COMPUTED_VALUE"""),"")</f>
        <v/>
      </c>
      <c r="W6015" s="16" t="str">
        <f>IFERROR(__xludf.DUMMYFUNCTION("""COMPUTED_VALUE"""),"")</f>
        <v/>
      </c>
      <c r="X6015" s="16" t="str">
        <f>IFERROR(__xludf.DUMMYFUNCTION("""COMPUTED_VALUE"""),"")</f>
        <v/>
      </c>
      <c r="AC6015" s="16" t="str">
        <f>IFERROR(__xludf.DUMMYFUNCTION("""COMPUTED_VALUE"""),"")</f>
        <v/>
      </c>
    </row>
    <row r="6016">
      <c r="A6016" s="16" t="s">
        <v>87</v>
      </c>
      <c r="E6016" s="16" t="str">
        <f>IFERROR(__xludf.DUMMYFUNCTION("""COMPUTED_VALUE"""),"")</f>
        <v/>
      </c>
      <c r="G6016" s="18"/>
      <c r="H6016" s="16" t="s">
        <v>87</v>
      </c>
      <c r="I6016" s="16" t="s">
        <v>87</v>
      </c>
      <c r="J6016" s="19"/>
      <c r="L6016" s="16" t="str">
        <f>IFERROR(__xludf.DUMMYFUNCTION("""COMPUTED_VALUE"""),"")</f>
        <v/>
      </c>
      <c r="M6016" s="16" t="str">
        <f>IFERROR(__xludf.DUMMYFUNCTION("""COMPUTED_VALUE"""),"")</f>
        <v/>
      </c>
      <c r="U6016" s="16" t="s">
        <v>87</v>
      </c>
      <c r="V6016" s="16" t="str">
        <f>IFERROR(__xludf.DUMMYFUNCTION("""COMPUTED_VALUE"""),"")</f>
        <v/>
      </c>
      <c r="W6016" s="16" t="str">
        <f>IFERROR(__xludf.DUMMYFUNCTION("""COMPUTED_VALUE"""),"")</f>
        <v/>
      </c>
      <c r="X6016" s="16" t="str">
        <f>IFERROR(__xludf.DUMMYFUNCTION("""COMPUTED_VALUE"""),"")</f>
        <v/>
      </c>
      <c r="AC6016" s="16" t="str">
        <f>IFERROR(__xludf.DUMMYFUNCTION("""COMPUTED_VALUE"""),"")</f>
        <v/>
      </c>
    </row>
    <row r="6017">
      <c r="A6017" s="16" t="s">
        <v>87</v>
      </c>
      <c r="E6017" s="16" t="str">
        <f>IFERROR(__xludf.DUMMYFUNCTION("""COMPUTED_VALUE"""),"")</f>
        <v/>
      </c>
      <c r="G6017" s="18"/>
      <c r="H6017" s="16" t="s">
        <v>87</v>
      </c>
      <c r="I6017" s="16" t="s">
        <v>87</v>
      </c>
      <c r="J6017" s="19"/>
      <c r="L6017" s="16" t="str">
        <f>IFERROR(__xludf.DUMMYFUNCTION("""COMPUTED_VALUE"""),"")</f>
        <v/>
      </c>
      <c r="M6017" s="16" t="str">
        <f>IFERROR(__xludf.DUMMYFUNCTION("""COMPUTED_VALUE"""),"")</f>
        <v/>
      </c>
      <c r="U6017" s="16" t="s">
        <v>87</v>
      </c>
      <c r="V6017" s="16" t="str">
        <f>IFERROR(__xludf.DUMMYFUNCTION("""COMPUTED_VALUE"""),"")</f>
        <v/>
      </c>
      <c r="W6017" s="16" t="str">
        <f>IFERROR(__xludf.DUMMYFUNCTION("""COMPUTED_VALUE"""),"")</f>
        <v/>
      </c>
      <c r="X6017" s="16" t="str">
        <f>IFERROR(__xludf.DUMMYFUNCTION("""COMPUTED_VALUE"""),"")</f>
        <v/>
      </c>
      <c r="AC6017" s="16" t="str">
        <f>IFERROR(__xludf.DUMMYFUNCTION("""COMPUTED_VALUE"""),"")</f>
        <v/>
      </c>
    </row>
    <row r="6018">
      <c r="A6018" s="16" t="s">
        <v>87</v>
      </c>
      <c r="E6018" s="16" t="str">
        <f>IFERROR(__xludf.DUMMYFUNCTION("""COMPUTED_VALUE"""),"")</f>
        <v/>
      </c>
      <c r="G6018" s="18"/>
      <c r="H6018" s="16" t="s">
        <v>87</v>
      </c>
      <c r="I6018" s="16" t="s">
        <v>87</v>
      </c>
      <c r="J6018" s="19"/>
      <c r="L6018" s="16" t="str">
        <f>IFERROR(__xludf.DUMMYFUNCTION("""COMPUTED_VALUE"""),"")</f>
        <v/>
      </c>
      <c r="M6018" s="16" t="str">
        <f>IFERROR(__xludf.DUMMYFUNCTION("""COMPUTED_VALUE"""),"")</f>
        <v/>
      </c>
      <c r="U6018" s="16" t="s">
        <v>87</v>
      </c>
      <c r="V6018" s="16" t="str">
        <f>IFERROR(__xludf.DUMMYFUNCTION("""COMPUTED_VALUE"""),"")</f>
        <v/>
      </c>
      <c r="W6018" s="16" t="str">
        <f>IFERROR(__xludf.DUMMYFUNCTION("""COMPUTED_VALUE"""),"")</f>
        <v/>
      </c>
      <c r="X6018" s="16" t="str">
        <f>IFERROR(__xludf.DUMMYFUNCTION("""COMPUTED_VALUE"""),"")</f>
        <v/>
      </c>
      <c r="AC6018" s="16" t="str">
        <f>IFERROR(__xludf.DUMMYFUNCTION("""COMPUTED_VALUE"""),"")</f>
        <v/>
      </c>
    </row>
    <row r="6019">
      <c r="A6019" s="16" t="s">
        <v>87</v>
      </c>
      <c r="E6019" s="16" t="str">
        <f>IFERROR(__xludf.DUMMYFUNCTION("""COMPUTED_VALUE"""),"")</f>
        <v/>
      </c>
      <c r="G6019" s="18"/>
      <c r="H6019" s="16" t="s">
        <v>87</v>
      </c>
      <c r="I6019" s="16" t="s">
        <v>87</v>
      </c>
      <c r="J6019" s="19"/>
      <c r="L6019" s="16" t="str">
        <f>IFERROR(__xludf.DUMMYFUNCTION("""COMPUTED_VALUE"""),"")</f>
        <v/>
      </c>
      <c r="M6019" s="16" t="str">
        <f>IFERROR(__xludf.DUMMYFUNCTION("""COMPUTED_VALUE"""),"")</f>
        <v/>
      </c>
      <c r="U6019" s="16" t="s">
        <v>87</v>
      </c>
      <c r="V6019" s="16" t="str">
        <f>IFERROR(__xludf.DUMMYFUNCTION("""COMPUTED_VALUE"""),"")</f>
        <v/>
      </c>
      <c r="W6019" s="16" t="str">
        <f>IFERROR(__xludf.DUMMYFUNCTION("""COMPUTED_VALUE"""),"")</f>
        <v/>
      </c>
      <c r="X6019" s="16" t="str">
        <f>IFERROR(__xludf.DUMMYFUNCTION("""COMPUTED_VALUE"""),"")</f>
        <v/>
      </c>
      <c r="AC6019" s="16" t="str">
        <f>IFERROR(__xludf.DUMMYFUNCTION("""COMPUTED_VALUE"""),"")</f>
        <v/>
      </c>
    </row>
    <row r="6020">
      <c r="A6020" s="16" t="s">
        <v>87</v>
      </c>
      <c r="E6020" s="16" t="str">
        <f>IFERROR(__xludf.DUMMYFUNCTION("""COMPUTED_VALUE"""),"")</f>
        <v/>
      </c>
      <c r="G6020" s="18"/>
      <c r="H6020" s="16" t="s">
        <v>87</v>
      </c>
      <c r="I6020" s="16" t="s">
        <v>87</v>
      </c>
      <c r="J6020" s="19"/>
      <c r="L6020" s="16" t="str">
        <f>IFERROR(__xludf.DUMMYFUNCTION("""COMPUTED_VALUE"""),"")</f>
        <v/>
      </c>
      <c r="M6020" s="16" t="str">
        <f>IFERROR(__xludf.DUMMYFUNCTION("""COMPUTED_VALUE"""),"")</f>
        <v/>
      </c>
      <c r="U6020" s="16" t="s">
        <v>87</v>
      </c>
      <c r="V6020" s="16" t="str">
        <f>IFERROR(__xludf.DUMMYFUNCTION("""COMPUTED_VALUE"""),"")</f>
        <v/>
      </c>
      <c r="W6020" s="16" t="str">
        <f>IFERROR(__xludf.DUMMYFUNCTION("""COMPUTED_VALUE"""),"")</f>
        <v/>
      </c>
      <c r="X6020" s="16" t="str">
        <f>IFERROR(__xludf.DUMMYFUNCTION("""COMPUTED_VALUE"""),"")</f>
        <v/>
      </c>
      <c r="AC6020" s="16" t="str">
        <f>IFERROR(__xludf.DUMMYFUNCTION("""COMPUTED_VALUE"""),"")</f>
        <v/>
      </c>
    </row>
    <row r="6021">
      <c r="A6021" s="16" t="s">
        <v>87</v>
      </c>
      <c r="E6021" s="16" t="str">
        <f>IFERROR(__xludf.DUMMYFUNCTION("""COMPUTED_VALUE"""),"")</f>
        <v/>
      </c>
      <c r="G6021" s="18"/>
      <c r="H6021" s="16" t="s">
        <v>87</v>
      </c>
      <c r="I6021" s="16" t="s">
        <v>87</v>
      </c>
      <c r="J6021" s="19"/>
      <c r="L6021" s="16" t="str">
        <f>IFERROR(__xludf.DUMMYFUNCTION("""COMPUTED_VALUE"""),"")</f>
        <v/>
      </c>
      <c r="M6021" s="16" t="str">
        <f>IFERROR(__xludf.DUMMYFUNCTION("""COMPUTED_VALUE"""),"")</f>
        <v/>
      </c>
      <c r="U6021" s="16" t="s">
        <v>87</v>
      </c>
      <c r="V6021" s="16" t="str">
        <f>IFERROR(__xludf.DUMMYFUNCTION("""COMPUTED_VALUE"""),"")</f>
        <v/>
      </c>
      <c r="W6021" s="16" t="str">
        <f>IFERROR(__xludf.DUMMYFUNCTION("""COMPUTED_VALUE"""),"")</f>
        <v/>
      </c>
      <c r="X6021" s="16" t="str">
        <f>IFERROR(__xludf.DUMMYFUNCTION("""COMPUTED_VALUE"""),"")</f>
        <v/>
      </c>
      <c r="AC6021" s="16" t="str">
        <f>IFERROR(__xludf.DUMMYFUNCTION("""COMPUTED_VALUE"""),"")</f>
        <v/>
      </c>
    </row>
    <row r="6022">
      <c r="A6022" s="16" t="s">
        <v>87</v>
      </c>
      <c r="E6022" s="16" t="str">
        <f>IFERROR(__xludf.DUMMYFUNCTION("""COMPUTED_VALUE"""),"")</f>
        <v/>
      </c>
      <c r="G6022" s="18"/>
      <c r="H6022" s="16" t="s">
        <v>87</v>
      </c>
      <c r="I6022" s="16" t="s">
        <v>87</v>
      </c>
      <c r="J6022" s="19"/>
      <c r="L6022" s="16" t="str">
        <f>IFERROR(__xludf.DUMMYFUNCTION("""COMPUTED_VALUE"""),"")</f>
        <v/>
      </c>
      <c r="M6022" s="16" t="str">
        <f>IFERROR(__xludf.DUMMYFUNCTION("""COMPUTED_VALUE"""),"")</f>
        <v/>
      </c>
      <c r="U6022" s="16" t="s">
        <v>87</v>
      </c>
      <c r="V6022" s="16" t="str">
        <f>IFERROR(__xludf.DUMMYFUNCTION("""COMPUTED_VALUE"""),"")</f>
        <v/>
      </c>
      <c r="W6022" s="16" t="str">
        <f>IFERROR(__xludf.DUMMYFUNCTION("""COMPUTED_VALUE"""),"")</f>
        <v/>
      </c>
      <c r="X6022" s="16" t="str">
        <f>IFERROR(__xludf.DUMMYFUNCTION("""COMPUTED_VALUE"""),"")</f>
        <v/>
      </c>
      <c r="AC6022" s="16" t="str">
        <f>IFERROR(__xludf.DUMMYFUNCTION("""COMPUTED_VALUE"""),"")</f>
        <v/>
      </c>
    </row>
    <row r="6023">
      <c r="A6023" s="16" t="s">
        <v>87</v>
      </c>
      <c r="E6023" s="16" t="str">
        <f>IFERROR(__xludf.DUMMYFUNCTION("""COMPUTED_VALUE"""),"")</f>
        <v/>
      </c>
      <c r="G6023" s="18"/>
      <c r="H6023" s="16" t="s">
        <v>87</v>
      </c>
      <c r="I6023" s="16" t="s">
        <v>87</v>
      </c>
      <c r="J6023" s="19"/>
      <c r="L6023" s="16" t="str">
        <f>IFERROR(__xludf.DUMMYFUNCTION("""COMPUTED_VALUE"""),"")</f>
        <v/>
      </c>
      <c r="M6023" s="16" t="str">
        <f>IFERROR(__xludf.DUMMYFUNCTION("""COMPUTED_VALUE"""),"")</f>
        <v/>
      </c>
      <c r="U6023" s="16" t="s">
        <v>87</v>
      </c>
      <c r="V6023" s="16" t="str">
        <f>IFERROR(__xludf.DUMMYFUNCTION("""COMPUTED_VALUE"""),"")</f>
        <v/>
      </c>
      <c r="W6023" s="16" t="str">
        <f>IFERROR(__xludf.DUMMYFUNCTION("""COMPUTED_VALUE"""),"")</f>
        <v/>
      </c>
      <c r="X6023" s="16" t="str">
        <f>IFERROR(__xludf.DUMMYFUNCTION("""COMPUTED_VALUE"""),"")</f>
        <v/>
      </c>
      <c r="AC6023" s="16" t="str">
        <f>IFERROR(__xludf.DUMMYFUNCTION("""COMPUTED_VALUE"""),"")</f>
        <v/>
      </c>
    </row>
    <row r="6024">
      <c r="A6024" s="16" t="s">
        <v>87</v>
      </c>
      <c r="E6024" s="16" t="str">
        <f>IFERROR(__xludf.DUMMYFUNCTION("""COMPUTED_VALUE"""),"")</f>
        <v/>
      </c>
      <c r="G6024" s="18"/>
      <c r="H6024" s="16" t="s">
        <v>87</v>
      </c>
      <c r="I6024" s="16" t="s">
        <v>87</v>
      </c>
      <c r="J6024" s="19"/>
      <c r="L6024" s="16" t="str">
        <f>IFERROR(__xludf.DUMMYFUNCTION("""COMPUTED_VALUE"""),"")</f>
        <v/>
      </c>
      <c r="M6024" s="16" t="str">
        <f>IFERROR(__xludf.DUMMYFUNCTION("""COMPUTED_VALUE"""),"")</f>
        <v/>
      </c>
      <c r="U6024" s="16" t="s">
        <v>87</v>
      </c>
      <c r="V6024" s="16" t="str">
        <f>IFERROR(__xludf.DUMMYFUNCTION("""COMPUTED_VALUE"""),"")</f>
        <v/>
      </c>
      <c r="W6024" s="16" t="str">
        <f>IFERROR(__xludf.DUMMYFUNCTION("""COMPUTED_VALUE"""),"")</f>
        <v/>
      </c>
      <c r="X6024" s="16" t="str">
        <f>IFERROR(__xludf.DUMMYFUNCTION("""COMPUTED_VALUE"""),"")</f>
        <v/>
      </c>
      <c r="AC6024" s="16" t="str">
        <f>IFERROR(__xludf.DUMMYFUNCTION("""COMPUTED_VALUE"""),"")</f>
        <v/>
      </c>
    </row>
    <row r="6025">
      <c r="A6025" s="16" t="s">
        <v>87</v>
      </c>
      <c r="E6025" s="16" t="str">
        <f>IFERROR(__xludf.DUMMYFUNCTION("""COMPUTED_VALUE"""),"")</f>
        <v/>
      </c>
      <c r="G6025" s="18"/>
      <c r="H6025" s="16" t="s">
        <v>87</v>
      </c>
      <c r="I6025" s="16" t="s">
        <v>87</v>
      </c>
      <c r="J6025" s="19"/>
      <c r="L6025" s="16" t="str">
        <f>IFERROR(__xludf.DUMMYFUNCTION("""COMPUTED_VALUE"""),"")</f>
        <v/>
      </c>
      <c r="M6025" s="16" t="str">
        <f>IFERROR(__xludf.DUMMYFUNCTION("""COMPUTED_VALUE"""),"")</f>
        <v/>
      </c>
      <c r="U6025" s="16" t="s">
        <v>87</v>
      </c>
      <c r="V6025" s="16" t="str">
        <f>IFERROR(__xludf.DUMMYFUNCTION("""COMPUTED_VALUE"""),"")</f>
        <v/>
      </c>
      <c r="W6025" s="16" t="str">
        <f>IFERROR(__xludf.DUMMYFUNCTION("""COMPUTED_VALUE"""),"")</f>
        <v/>
      </c>
      <c r="X6025" s="16" t="str">
        <f>IFERROR(__xludf.DUMMYFUNCTION("""COMPUTED_VALUE"""),"")</f>
        <v/>
      </c>
      <c r="AC6025" s="16" t="str">
        <f>IFERROR(__xludf.DUMMYFUNCTION("""COMPUTED_VALUE"""),"")</f>
        <v/>
      </c>
    </row>
    <row r="6026">
      <c r="A6026" s="16" t="s">
        <v>87</v>
      </c>
      <c r="E6026" s="16" t="str">
        <f>IFERROR(__xludf.DUMMYFUNCTION("""COMPUTED_VALUE"""),"")</f>
        <v/>
      </c>
      <c r="G6026" s="18"/>
      <c r="H6026" s="16" t="s">
        <v>87</v>
      </c>
      <c r="I6026" s="16" t="s">
        <v>87</v>
      </c>
      <c r="J6026" s="19"/>
      <c r="L6026" s="16" t="str">
        <f>IFERROR(__xludf.DUMMYFUNCTION("""COMPUTED_VALUE"""),"")</f>
        <v/>
      </c>
      <c r="M6026" s="16" t="str">
        <f>IFERROR(__xludf.DUMMYFUNCTION("""COMPUTED_VALUE"""),"")</f>
        <v/>
      </c>
      <c r="U6026" s="16" t="s">
        <v>87</v>
      </c>
      <c r="V6026" s="16" t="str">
        <f>IFERROR(__xludf.DUMMYFUNCTION("""COMPUTED_VALUE"""),"")</f>
        <v/>
      </c>
      <c r="W6026" s="16" t="str">
        <f>IFERROR(__xludf.DUMMYFUNCTION("""COMPUTED_VALUE"""),"")</f>
        <v/>
      </c>
      <c r="X6026" s="16" t="str">
        <f>IFERROR(__xludf.DUMMYFUNCTION("""COMPUTED_VALUE"""),"")</f>
        <v/>
      </c>
      <c r="AC6026" s="16" t="str">
        <f>IFERROR(__xludf.DUMMYFUNCTION("""COMPUTED_VALUE"""),"")</f>
        <v/>
      </c>
    </row>
    <row r="6027">
      <c r="A6027" s="16" t="s">
        <v>87</v>
      </c>
      <c r="E6027" s="16" t="str">
        <f>IFERROR(__xludf.DUMMYFUNCTION("""COMPUTED_VALUE"""),"")</f>
        <v/>
      </c>
      <c r="G6027" s="18"/>
      <c r="H6027" s="16" t="s">
        <v>87</v>
      </c>
      <c r="I6027" s="16" t="s">
        <v>87</v>
      </c>
      <c r="J6027" s="19"/>
      <c r="L6027" s="16" t="str">
        <f>IFERROR(__xludf.DUMMYFUNCTION("""COMPUTED_VALUE"""),"")</f>
        <v/>
      </c>
      <c r="M6027" s="16" t="str">
        <f>IFERROR(__xludf.DUMMYFUNCTION("""COMPUTED_VALUE"""),"")</f>
        <v/>
      </c>
      <c r="U6027" s="16" t="s">
        <v>87</v>
      </c>
      <c r="V6027" s="16" t="str">
        <f>IFERROR(__xludf.DUMMYFUNCTION("""COMPUTED_VALUE"""),"")</f>
        <v/>
      </c>
      <c r="W6027" s="16" t="str">
        <f>IFERROR(__xludf.DUMMYFUNCTION("""COMPUTED_VALUE"""),"")</f>
        <v/>
      </c>
      <c r="X6027" s="16" t="str">
        <f>IFERROR(__xludf.DUMMYFUNCTION("""COMPUTED_VALUE"""),"")</f>
        <v/>
      </c>
      <c r="AC6027" s="16" t="str">
        <f>IFERROR(__xludf.DUMMYFUNCTION("""COMPUTED_VALUE"""),"")</f>
        <v/>
      </c>
    </row>
    <row r="6028">
      <c r="A6028" s="16" t="s">
        <v>87</v>
      </c>
      <c r="E6028" s="16" t="str">
        <f>IFERROR(__xludf.DUMMYFUNCTION("""COMPUTED_VALUE"""),"")</f>
        <v/>
      </c>
      <c r="G6028" s="18"/>
      <c r="H6028" s="16" t="s">
        <v>87</v>
      </c>
      <c r="I6028" s="16" t="s">
        <v>87</v>
      </c>
      <c r="J6028" s="19"/>
      <c r="L6028" s="16" t="str">
        <f>IFERROR(__xludf.DUMMYFUNCTION("""COMPUTED_VALUE"""),"")</f>
        <v/>
      </c>
      <c r="M6028" s="16" t="str">
        <f>IFERROR(__xludf.DUMMYFUNCTION("""COMPUTED_VALUE"""),"")</f>
        <v/>
      </c>
      <c r="U6028" s="16" t="s">
        <v>87</v>
      </c>
      <c r="V6028" s="16" t="str">
        <f>IFERROR(__xludf.DUMMYFUNCTION("""COMPUTED_VALUE"""),"")</f>
        <v/>
      </c>
      <c r="W6028" s="16" t="str">
        <f>IFERROR(__xludf.DUMMYFUNCTION("""COMPUTED_VALUE"""),"")</f>
        <v/>
      </c>
      <c r="X6028" s="16" t="str">
        <f>IFERROR(__xludf.DUMMYFUNCTION("""COMPUTED_VALUE"""),"")</f>
        <v/>
      </c>
      <c r="AC6028" s="16" t="str">
        <f>IFERROR(__xludf.DUMMYFUNCTION("""COMPUTED_VALUE"""),"")</f>
        <v/>
      </c>
    </row>
    <row r="6029">
      <c r="A6029" s="16" t="s">
        <v>87</v>
      </c>
      <c r="E6029" s="16" t="str">
        <f>IFERROR(__xludf.DUMMYFUNCTION("""COMPUTED_VALUE"""),"")</f>
        <v/>
      </c>
      <c r="G6029" s="18"/>
      <c r="H6029" s="16" t="s">
        <v>87</v>
      </c>
      <c r="I6029" s="16" t="s">
        <v>87</v>
      </c>
      <c r="J6029" s="19"/>
      <c r="L6029" s="16" t="str">
        <f>IFERROR(__xludf.DUMMYFUNCTION("""COMPUTED_VALUE"""),"")</f>
        <v/>
      </c>
      <c r="M6029" s="16" t="str">
        <f>IFERROR(__xludf.DUMMYFUNCTION("""COMPUTED_VALUE"""),"")</f>
        <v/>
      </c>
      <c r="U6029" s="16" t="s">
        <v>87</v>
      </c>
      <c r="V6029" s="16" t="str">
        <f>IFERROR(__xludf.DUMMYFUNCTION("""COMPUTED_VALUE"""),"")</f>
        <v/>
      </c>
      <c r="W6029" s="16" t="str">
        <f>IFERROR(__xludf.DUMMYFUNCTION("""COMPUTED_VALUE"""),"")</f>
        <v/>
      </c>
      <c r="X6029" s="16" t="str">
        <f>IFERROR(__xludf.DUMMYFUNCTION("""COMPUTED_VALUE"""),"")</f>
        <v/>
      </c>
      <c r="AC6029" s="16" t="str">
        <f>IFERROR(__xludf.DUMMYFUNCTION("""COMPUTED_VALUE"""),"")</f>
        <v/>
      </c>
    </row>
    <row r="6030">
      <c r="A6030" s="16" t="s">
        <v>87</v>
      </c>
      <c r="E6030" s="16" t="str">
        <f>IFERROR(__xludf.DUMMYFUNCTION("""COMPUTED_VALUE"""),"")</f>
        <v/>
      </c>
      <c r="G6030" s="18"/>
      <c r="H6030" s="16" t="s">
        <v>87</v>
      </c>
      <c r="I6030" s="16" t="s">
        <v>87</v>
      </c>
      <c r="J6030" s="19"/>
      <c r="L6030" s="16" t="str">
        <f>IFERROR(__xludf.DUMMYFUNCTION("""COMPUTED_VALUE"""),"")</f>
        <v/>
      </c>
      <c r="M6030" s="16" t="str">
        <f>IFERROR(__xludf.DUMMYFUNCTION("""COMPUTED_VALUE"""),"")</f>
        <v/>
      </c>
      <c r="U6030" s="16" t="s">
        <v>87</v>
      </c>
      <c r="V6030" s="16" t="str">
        <f>IFERROR(__xludf.DUMMYFUNCTION("""COMPUTED_VALUE"""),"")</f>
        <v/>
      </c>
      <c r="W6030" s="16" t="str">
        <f>IFERROR(__xludf.DUMMYFUNCTION("""COMPUTED_VALUE"""),"")</f>
        <v/>
      </c>
      <c r="X6030" s="16" t="str">
        <f>IFERROR(__xludf.DUMMYFUNCTION("""COMPUTED_VALUE"""),"")</f>
        <v/>
      </c>
      <c r="AC6030" s="16" t="str">
        <f>IFERROR(__xludf.DUMMYFUNCTION("""COMPUTED_VALUE"""),"")</f>
        <v/>
      </c>
    </row>
    <row r="6031">
      <c r="A6031" s="16" t="s">
        <v>87</v>
      </c>
      <c r="E6031" s="16" t="str">
        <f>IFERROR(__xludf.DUMMYFUNCTION("""COMPUTED_VALUE"""),"")</f>
        <v/>
      </c>
      <c r="G6031" s="18"/>
      <c r="H6031" s="16" t="s">
        <v>87</v>
      </c>
      <c r="I6031" s="16" t="s">
        <v>87</v>
      </c>
      <c r="J6031" s="19"/>
      <c r="L6031" s="16" t="str">
        <f>IFERROR(__xludf.DUMMYFUNCTION("""COMPUTED_VALUE"""),"")</f>
        <v/>
      </c>
      <c r="M6031" s="16" t="str">
        <f>IFERROR(__xludf.DUMMYFUNCTION("""COMPUTED_VALUE"""),"")</f>
        <v/>
      </c>
      <c r="U6031" s="16" t="s">
        <v>87</v>
      </c>
      <c r="V6031" s="16" t="str">
        <f>IFERROR(__xludf.DUMMYFUNCTION("""COMPUTED_VALUE"""),"")</f>
        <v/>
      </c>
      <c r="W6031" s="16" t="str">
        <f>IFERROR(__xludf.DUMMYFUNCTION("""COMPUTED_VALUE"""),"")</f>
        <v/>
      </c>
      <c r="X6031" s="16" t="str">
        <f>IFERROR(__xludf.DUMMYFUNCTION("""COMPUTED_VALUE"""),"")</f>
        <v/>
      </c>
      <c r="AC6031" s="16" t="str">
        <f>IFERROR(__xludf.DUMMYFUNCTION("""COMPUTED_VALUE"""),"")</f>
        <v/>
      </c>
    </row>
    <row r="6032">
      <c r="A6032" s="16" t="s">
        <v>87</v>
      </c>
      <c r="E6032" s="16" t="str">
        <f>IFERROR(__xludf.DUMMYFUNCTION("""COMPUTED_VALUE"""),"")</f>
        <v/>
      </c>
      <c r="G6032" s="18"/>
      <c r="H6032" s="16" t="s">
        <v>87</v>
      </c>
      <c r="I6032" s="16" t="s">
        <v>87</v>
      </c>
      <c r="J6032" s="19"/>
      <c r="L6032" s="16" t="str">
        <f>IFERROR(__xludf.DUMMYFUNCTION("""COMPUTED_VALUE"""),"")</f>
        <v/>
      </c>
      <c r="M6032" s="16" t="str">
        <f>IFERROR(__xludf.DUMMYFUNCTION("""COMPUTED_VALUE"""),"")</f>
        <v/>
      </c>
      <c r="U6032" s="16" t="s">
        <v>87</v>
      </c>
      <c r="V6032" s="16" t="str">
        <f>IFERROR(__xludf.DUMMYFUNCTION("""COMPUTED_VALUE"""),"")</f>
        <v/>
      </c>
      <c r="W6032" s="16" t="str">
        <f>IFERROR(__xludf.DUMMYFUNCTION("""COMPUTED_VALUE"""),"")</f>
        <v/>
      </c>
      <c r="X6032" s="16" t="str">
        <f>IFERROR(__xludf.DUMMYFUNCTION("""COMPUTED_VALUE"""),"")</f>
        <v/>
      </c>
      <c r="AC6032" s="16" t="str">
        <f>IFERROR(__xludf.DUMMYFUNCTION("""COMPUTED_VALUE"""),"")</f>
        <v/>
      </c>
    </row>
    <row r="6033">
      <c r="A6033" s="16" t="s">
        <v>87</v>
      </c>
      <c r="E6033" s="16" t="str">
        <f>IFERROR(__xludf.DUMMYFUNCTION("""COMPUTED_VALUE"""),"")</f>
        <v/>
      </c>
      <c r="G6033" s="18"/>
      <c r="H6033" s="16" t="s">
        <v>87</v>
      </c>
      <c r="I6033" s="16" t="s">
        <v>87</v>
      </c>
      <c r="J6033" s="19"/>
      <c r="L6033" s="16" t="str">
        <f>IFERROR(__xludf.DUMMYFUNCTION("""COMPUTED_VALUE"""),"")</f>
        <v/>
      </c>
      <c r="M6033" s="16" t="str">
        <f>IFERROR(__xludf.DUMMYFUNCTION("""COMPUTED_VALUE"""),"")</f>
        <v/>
      </c>
      <c r="U6033" s="16" t="s">
        <v>87</v>
      </c>
      <c r="V6033" s="16" t="str">
        <f>IFERROR(__xludf.DUMMYFUNCTION("""COMPUTED_VALUE"""),"")</f>
        <v/>
      </c>
      <c r="W6033" s="16" t="str">
        <f>IFERROR(__xludf.DUMMYFUNCTION("""COMPUTED_VALUE"""),"")</f>
        <v/>
      </c>
      <c r="X6033" s="16" t="str">
        <f>IFERROR(__xludf.DUMMYFUNCTION("""COMPUTED_VALUE"""),"")</f>
        <v/>
      </c>
      <c r="AC6033" s="16" t="str">
        <f>IFERROR(__xludf.DUMMYFUNCTION("""COMPUTED_VALUE"""),"")</f>
        <v/>
      </c>
    </row>
    <row r="6034">
      <c r="A6034" s="16" t="s">
        <v>87</v>
      </c>
      <c r="E6034" s="16" t="str">
        <f>IFERROR(__xludf.DUMMYFUNCTION("""COMPUTED_VALUE"""),"")</f>
        <v/>
      </c>
      <c r="G6034" s="18"/>
      <c r="H6034" s="16" t="s">
        <v>87</v>
      </c>
      <c r="I6034" s="16" t="s">
        <v>87</v>
      </c>
      <c r="J6034" s="19"/>
      <c r="L6034" s="16" t="str">
        <f>IFERROR(__xludf.DUMMYFUNCTION("""COMPUTED_VALUE"""),"")</f>
        <v/>
      </c>
      <c r="M6034" s="16" t="str">
        <f>IFERROR(__xludf.DUMMYFUNCTION("""COMPUTED_VALUE"""),"")</f>
        <v/>
      </c>
      <c r="U6034" s="16" t="s">
        <v>87</v>
      </c>
      <c r="V6034" s="16" t="str">
        <f>IFERROR(__xludf.DUMMYFUNCTION("""COMPUTED_VALUE"""),"")</f>
        <v/>
      </c>
      <c r="W6034" s="16" t="str">
        <f>IFERROR(__xludf.DUMMYFUNCTION("""COMPUTED_VALUE"""),"")</f>
        <v/>
      </c>
      <c r="X6034" s="16" t="str">
        <f>IFERROR(__xludf.DUMMYFUNCTION("""COMPUTED_VALUE"""),"")</f>
        <v/>
      </c>
      <c r="AC6034" s="16" t="str">
        <f>IFERROR(__xludf.DUMMYFUNCTION("""COMPUTED_VALUE"""),"")</f>
        <v/>
      </c>
    </row>
    <row r="6035">
      <c r="A6035" s="16" t="s">
        <v>87</v>
      </c>
      <c r="E6035" s="16" t="str">
        <f>IFERROR(__xludf.DUMMYFUNCTION("""COMPUTED_VALUE"""),"")</f>
        <v/>
      </c>
      <c r="G6035" s="18"/>
      <c r="H6035" s="16" t="s">
        <v>87</v>
      </c>
      <c r="I6035" s="16" t="s">
        <v>87</v>
      </c>
      <c r="J6035" s="19"/>
      <c r="L6035" s="16" t="str">
        <f>IFERROR(__xludf.DUMMYFUNCTION("""COMPUTED_VALUE"""),"")</f>
        <v/>
      </c>
      <c r="M6035" s="16" t="str">
        <f>IFERROR(__xludf.DUMMYFUNCTION("""COMPUTED_VALUE"""),"")</f>
        <v/>
      </c>
      <c r="U6035" s="16" t="s">
        <v>87</v>
      </c>
      <c r="V6035" s="16" t="str">
        <f>IFERROR(__xludf.DUMMYFUNCTION("""COMPUTED_VALUE"""),"")</f>
        <v/>
      </c>
      <c r="W6035" s="16" t="str">
        <f>IFERROR(__xludf.DUMMYFUNCTION("""COMPUTED_VALUE"""),"")</f>
        <v/>
      </c>
      <c r="X6035" s="16" t="str">
        <f>IFERROR(__xludf.DUMMYFUNCTION("""COMPUTED_VALUE"""),"")</f>
        <v/>
      </c>
      <c r="AC6035" s="16" t="str">
        <f>IFERROR(__xludf.DUMMYFUNCTION("""COMPUTED_VALUE"""),"")</f>
        <v/>
      </c>
    </row>
    <row r="6036">
      <c r="A6036" s="16" t="s">
        <v>87</v>
      </c>
      <c r="E6036" s="16" t="str">
        <f>IFERROR(__xludf.DUMMYFUNCTION("""COMPUTED_VALUE"""),"")</f>
        <v/>
      </c>
      <c r="G6036" s="18"/>
      <c r="H6036" s="16" t="s">
        <v>87</v>
      </c>
      <c r="I6036" s="16" t="s">
        <v>87</v>
      </c>
      <c r="J6036" s="19"/>
      <c r="L6036" s="16" t="str">
        <f>IFERROR(__xludf.DUMMYFUNCTION("""COMPUTED_VALUE"""),"")</f>
        <v/>
      </c>
      <c r="M6036" s="16" t="str">
        <f>IFERROR(__xludf.DUMMYFUNCTION("""COMPUTED_VALUE"""),"")</f>
        <v/>
      </c>
      <c r="U6036" s="16" t="s">
        <v>87</v>
      </c>
      <c r="V6036" s="16" t="str">
        <f>IFERROR(__xludf.DUMMYFUNCTION("""COMPUTED_VALUE"""),"")</f>
        <v/>
      </c>
      <c r="W6036" s="16" t="str">
        <f>IFERROR(__xludf.DUMMYFUNCTION("""COMPUTED_VALUE"""),"")</f>
        <v/>
      </c>
      <c r="X6036" s="16" t="str">
        <f>IFERROR(__xludf.DUMMYFUNCTION("""COMPUTED_VALUE"""),"")</f>
        <v/>
      </c>
      <c r="AC6036" s="16" t="str">
        <f>IFERROR(__xludf.DUMMYFUNCTION("""COMPUTED_VALUE"""),"")</f>
        <v/>
      </c>
    </row>
    <row r="6037">
      <c r="A6037" s="16" t="s">
        <v>87</v>
      </c>
      <c r="E6037" s="16" t="str">
        <f>IFERROR(__xludf.DUMMYFUNCTION("""COMPUTED_VALUE"""),"")</f>
        <v/>
      </c>
      <c r="G6037" s="18"/>
      <c r="H6037" s="16" t="s">
        <v>87</v>
      </c>
      <c r="I6037" s="16" t="s">
        <v>87</v>
      </c>
      <c r="J6037" s="19"/>
      <c r="L6037" s="16" t="str">
        <f>IFERROR(__xludf.DUMMYFUNCTION("""COMPUTED_VALUE"""),"")</f>
        <v/>
      </c>
      <c r="M6037" s="16" t="str">
        <f>IFERROR(__xludf.DUMMYFUNCTION("""COMPUTED_VALUE"""),"")</f>
        <v/>
      </c>
      <c r="U6037" s="16" t="s">
        <v>87</v>
      </c>
      <c r="V6037" s="16" t="str">
        <f>IFERROR(__xludf.DUMMYFUNCTION("""COMPUTED_VALUE"""),"")</f>
        <v/>
      </c>
      <c r="W6037" s="16" t="str">
        <f>IFERROR(__xludf.DUMMYFUNCTION("""COMPUTED_VALUE"""),"")</f>
        <v/>
      </c>
      <c r="X6037" s="16" t="str">
        <f>IFERROR(__xludf.DUMMYFUNCTION("""COMPUTED_VALUE"""),"")</f>
        <v/>
      </c>
      <c r="AC6037" s="16" t="str">
        <f>IFERROR(__xludf.DUMMYFUNCTION("""COMPUTED_VALUE"""),"")</f>
        <v/>
      </c>
    </row>
    <row r="6038">
      <c r="A6038" s="16" t="s">
        <v>87</v>
      </c>
      <c r="E6038" s="16" t="str">
        <f>IFERROR(__xludf.DUMMYFUNCTION("""COMPUTED_VALUE"""),"")</f>
        <v/>
      </c>
      <c r="G6038" s="18"/>
      <c r="H6038" s="16" t="s">
        <v>87</v>
      </c>
      <c r="I6038" s="16" t="s">
        <v>87</v>
      </c>
      <c r="J6038" s="19"/>
      <c r="L6038" s="16" t="str">
        <f>IFERROR(__xludf.DUMMYFUNCTION("""COMPUTED_VALUE"""),"")</f>
        <v/>
      </c>
      <c r="M6038" s="16" t="str">
        <f>IFERROR(__xludf.DUMMYFUNCTION("""COMPUTED_VALUE"""),"")</f>
        <v/>
      </c>
      <c r="U6038" s="16" t="s">
        <v>87</v>
      </c>
      <c r="V6038" s="16" t="str">
        <f>IFERROR(__xludf.DUMMYFUNCTION("""COMPUTED_VALUE"""),"")</f>
        <v/>
      </c>
      <c r="W6038" s="16" t="str">
        <f>IFERROR(__xludf.DUMMYFUNCTION("""COMPUTED_VALUE"""),"")</f>
        <v/>
      </c>
      <c r="X6038" s="16" t="str">
        <f>IFERROR(__xludf.DUMMYFUNCTION("""COMPUTED_VALUE"""),"")</f>
        <v/>
      </c>
      <c r="AC6038" s="16" t="str">
        <f>IFERROR(__xludf.DUMMYFUNCTION("""COMPUTED_VALUE"""),"")</f>
        <v/>
      </c>
    </row>
    <row r="6039">
      <c r="A6039" s="16" t="s">
        <v>87</v>
      </c>
      <c r="E6039" s="16" t="str">
        <f>IFERROR(__xludf.DUMMYFUNCTION("""COMPUTED_VALUE"""),"")</f>
        <v/>
      </c>
      <c r="G6039" s="18"/>
      <c r="H6039" s="16" t="s">
        <v>87</v>
      </c>
      <c r="I6039" s="16" t="s">
        <v>87</v>
      </c>
      <c r="J6039" s="19"/>
      <c r="L6039" s="16" t="str">
        <f>IFERROR(__xludf.DUMMYFUNCTION("""COMPUTED_VALUE"""),"")</f>
        <v/>
      </c>
      <c r="M6039" s="16" t="str">
        <f>IFERROR(__xludf.DUMMYFUNCTION("""COMPUTED_VALUE"""),"")</f>
        <v/>
      </c>
      <c r="U6039" s="16" t="s">
        <v>87</v>
      </c>
      <c r="V6039" s="16" t="str">
        <f>IFERROR(__xludf.DUMMYFUNCTION("""COMPUTED_VALUE"""),"")</f>
        <v/>
      </c>
      <c r="W6039" s="16" t="str">
        <f>IFERROR(__xludf.DUMMYFUNCTION("""COMPUTED_VALUE"""),"")</f>
        <v/>
      </c>
      <c r="X6039" s="16" t="str">
        <f>IFERROR(__xludf.DUMMYFUNCTION("""COMPUTED_VALUE"""),"")</f>
        <v/>
      </c>
      <c r="AC6039" s="16" t="str">
        <f>IFERROR(__xludf.DUMMYFUNCTION("""COMPUTED_VALUE"""),"")</f>
        <v/>
      </c>
    </row>
    <row r="6040">
      <c r="A6040" s="16" t="s">
        <v>87</v>
      </c>
      <c r="E6040" s="16" t="str">
        <f>IFERROR(__xludf.DUMMYFUNCTION("""COMPUTED_VALUE"""),"")</f>
        <v/>
      </c>
      <c r="G6040" s="18"/>
      <c r="H6040" s="16" t="s">
        <v>87</v>
      </c>
      <c r="I6040" s="16" t="s">
        <v>87</v>
      </c>
      <c r="J6040" s="19"/>
      <c r="L6040" s="16" t="str">
        <f>IFERROR(__xludf.DUMMYFUNCTION("""COMPUTED_VALUE"""),"")</f>
        <v/>
      </c>
      <c r="M6040" s="16" t="str">
        <f>IFERROR(__xludf.DUMMYFUNCTION("""COMPUTED_VALUE"""),"")</f>
        <v/>
      </c>
      <c r="U6040" s="16" t="s">
        <v>87</v>
      </c>
      <c r="V6040" s="16" t="str">
        <f>IFERROR(__xludf.DUMMYFUNCTION("""COMPUTED_VALUE"""),"")</f>
        <v/>
      </c>
      <c r="W6040" s="16" t="str">
        <f>IFERROR(__xludf.DUMMYFUNCTION("""COMPUTED_VALUE"""),"")</f>
        <v/>
      </c>
      <c r="X6040" s="16" t="str">
        <f>IFERROR(__xludf.DUMMYFUNCTION("""COMPUTED_VALUE"""),"")</f>
        <v/>
      </c>
      <c r="AC6040" s="16" t="str">
        <f>IFERROR(__xludf.DUMMYFUNCTION("""COMPUTED_VALUE"""),"")</f>
        <v/>
      </c>
    </row>
    <row r="6041">
      <c r="A6041" s="16" t="s">
        <v>87</v>
      </c>
      <c r="E6041" s="16" t="str">
        <f>IFERROR(__xludf.DUMMYFUNCTION("""COMPUTED_VALUE"""),"")</f>
        <v/>
      </c>
      <c r="G6041" s="18"/>
      <c r="H6041" s="16" t="s">
        <v>87</v>
      </c>
      <c r="I6041" s="16" t="s">
        <v>87</v>
      </c>
      <c r="J6041" s="19"/>
      <c r="L6041" s="16" t="str">
        <f>IFERROR(__xludf.DUMMYFUNCTION("""COMPUTED_VALUE"""),"")</f>
        <v/>
      </c>
      <c r="M6041" s="16" t="str">
        <f>IFERROR(__xludf.DUMMYFUNCTION("""COMPUTED_VALUE"""),"")</f>
        <v/>
      </c>
      <c r="U6041" s="16" t="s">
        <v>87</v>
      </c>
      <c r="V6041" s="16" t="str">
        <f>IFERROR(__xludf.DUMMYFUNCTION("""COMPUTED_VALUE"""),"")</f>
        <v/>
      </c>
      <c r="W6041" s="16" t="str">
        <f>IFERROR(__xludf.DUMMYFUNCTION("""COMPUTED_VALUE"""),"")</f>
        <v/>
      </c>
      <c r="X6041" s="16" t="str">
        <f>IFERROR(__xludf.DUMMYFUNCTION("""COMPUTED_VALUE"""),"")</f>
        <v/>
      </c>
      <c r="AC6041" s="16" t="str">
        <f>IFERROR(__xludf.DUMMYFUNCTION("""COMPUTED_VALUE"""),"")</f>
        <v/>
      </c>
    </row>
    <row r="6042">
      <c r="A6042" s="16" t="s">
        <v>87</v>
      </c>
      <c r="E6042" s="16" t="str">
        <f>IFERROR(__xludf.DUMMYFUNCTION("""COMPUTED_VALUE"""),"")</f>
        <v/>
      </c>
      <c r="G6042" s="18"/>
      <c r="H6042" s="16" t="s">
        <v>87</v>
      </c>
      <c r="I6042" s="16" t="s">
        <v>87</v>
      </c>
      <c r="J6042" s="19"/>
      <c r="L6042" s="16" t="str">
        <f>IFERROR(__xludf.DUMMYFUNCTION("""COMPUTED_VALUE"""),"")</f>
        <v/>
      </c>
      <c r="M6042" s="16" t="str">
        <f>IFERROR(__xludf.DUMMYFUNCTION("""COMPUTED_VALUE"""),"")</f>
        <v/>
      </c>
      <c r="U6042" s="16" t="s">
        <v>87</v>
      </c>
      <c r="V6042" s="16" t="str">
        <f>IFERROR(__xludf.DUMMYFUNCTION("""COMPUTED_VALUE"""),"")</f>
        <v/>
      </c>
      <c r="W6042" s="16" t="str">
        <f>IFERROR(__xludf.DUMMYFUNCTION("""COMPUTED_VALUE"""),"")</f>
        <v/>
      </c>
      <c r="X6042" s="16" t="str">
        <f>IFERROR(__xludf.DUMMYFUNCTION("""COMPUTED_VALUE"""),"")</f>
        <v/>
      </c>
      <c r="AC6042" s="16" t="str">
        <f>IFERROR(__xludf.DUMMYFUNCTION("""COMPUTED_VALUE"""),"")</f>
        <v/>
      </c>
    </row>
    <row r="6043">
      <c r="A6043" s="16" t="s">
        <v>87</v>
      </c>
      <c r="E6043" s="16" t="str">
        <f>IFERROR(__xludf.DUMMYFUNCTION("""COMPUTED_VALUE"""),"")</f>
        <v/>
      </c>
      <c r="G6043" s="18"/>
      <c r="H6043" s="16" t="s">
        <v>87</v>
      </c>
      <c r="I6043" s="16" t="s">
        <v>87</v>
      </c>
      <c r="J6043" s="19"/>
      <c r="L6043" s="16" t="str">
        <f>IFERROR(__xludf.DUMMYFUNCTION("""COMPUTED_VALUE"""),"")</f>
        <v/>
      </c>
      <c r="M6043" s="16" t="str">
        <f>IFERROR(__xludf.DUMMYFUNCTION("""COMPUTED_VALUE"""),"")</f>
        <v/>
      </c>
      <c r="U6043" s="16" t="s">
        <v>87</v>
      </c>
      <c r="V6043" s="16" t="str">
        <f>IFERROR(__xludf.DUMMYFUNCTION("""COMPUTED_VALUE"""),"")</f>
        <v/>
      </c>
      <c r="W6043" s="16" t="str">
        <f>IFERROR(__xludf.DUMMYFUNCTION("""COMPUTED_VALUE"""),"")</f>
        <v/>
      </c>
      <c r="X6043" s="16" t="str">
        <f>IFERROR(__xludf.DUMMYFUNCTION("""COMPUTED_VALUE"""),"")</f>
        <v/>
      </c>
      <c r="AC6043" s="16" t="str">
        <f>IFERROR(__xludf.DUMMYFUNCTION("""COMPUTED_VALUE"""),"")</f>
        <v/>
      </c>
    </row>
    <row r="6044">
      <c r="A6044" s="16" t="s">
        <v>87</v>
      </c>
      <c r="E6044" s="16" t="str">
        <f>IFERROR(__xludf.DUMMYFUNCTION("""COMPUTED_VALUE"""),"")</f>
        <v/>
      </c>
      <c r="G6044" s="18"/>
      <c r="H6044" s="16" t="s">
        <v>87</v>
      </c>
      <c r="I6044" s="16" t="s">
        <v>87</v>
      </c>
      <c r="J6044" s="19"/>
      <c r="L6044" s="16" t="str">
        <f>IFERROR(__xludf.DUMMYFUNCTION("""COMPUTED_VALUE"""),"")</f>
        <v/>
      </c>
      <c r="M6044" s="16" t="str">
        <f>IFERROR(__xludf.DUMMYFUNCTION("""COMPUTED_VALUE"""),"")</f>
        <v/>
      </c>
      <c r="U6044" s="16" t="s">
        <v>87</v>
      </c>
      <c r="V6044" s="16" t="str">
        <f>IFERROR(__xludf.DUMMYFUNCTION("""COMPUTED_VALUE"""),"")</f>
        <v/>
      </c>
      <c r="W6044" s="16" t="str">
        <f>IFERROR(__xludf.DUMMYFUNCTION("""COMPUTED_VALUE"""),"")</f>
        <v/>
      </c>
      <c r="X6044" s="16" t="str">
        <f>IFERROR(__xludf.DUMMYFUNCTION("""COMPUTED_VALUE"""),"")</f>
        <v/>
      </c>
      <c r="AC6044" s="16" t="str">
        <f>IFERROR(__xludf.DUMMYFUNCTION("""COMPUTED_VALUE"""),"")</f>
        <v/>
      </c>
    </row>
    <row r="6045">
      <c r="A6045" s="16" t="s">
        <v>87</v>
      </c>
      <c r="E6045" s="16" t="str">
        <f>IFERROR(__xludf.DUMMYFUNCTION("""COMPUTED_VALUE"""),"")</f>
        <v/>
      </c>
      <c r="G6045" s="18"/>
      <c r="H6045" s="16" t="s">
        <v>87</v>
      </c>
      <c r="I6045" s="16" t="s">
        <v>87</v>
      </c>
      <c r="J6045" s="19"/>
      <c r="L6045" s="16" t="str">
        <f>IFERROR(__xludf.DUMMYFUNCTION("""COMPUTED_VALUE"""),"")</f>
        <v/>
      </c>
      <c r="M6045" s="16" t="str">
        <f>IFERROR(__xludf.DUMMYFUNCTION("""COMPUTED_VALUE"""),"")</f>
        <v/>
      </c>
      <c r="U6045" s="16" t="s">
        <v>87</v>
      </c>
      <c r="V6045" s="16" t="str">
        <f>IFERROR(__xludf.DUMMYFUNCTION("""COMPUTED_VALUE"""),"")</f>
        <v/>
      </c>
      <c r="W6045" s="16" t="str">
        <f>IFERROR(__xludf.DUMMYFUNCTION("""COMPUTED_VALUE"""),"")</f>
        <v/>
      </c>
      <c r="X6045" s="16" t="str">
        <f>IFERROR(__xludf.DUMMYFUNCTION("""COMPUTED_VALUE"""),"")</f>
        <v/>
      </c>
      <c r="AC6045" s="16" t="str">
        <f>IFERROR(__xludf.DUMMYFUNCTION("""COMPUTED_VALUE"""),"")</f>
        <v/>
      </c>
    </row>
    <row r="6046">
      <c r="A6046" s="16" t="s">
        <v>87</v>
      </c>
      <c r="E6046" s="16" t="str">
        <f>IFERROR(__xludf.DUMMYFUNCTION("""COMPUTED_VALUE"""),"")</f>
        <v/>
      </c>
      <c r="G6046" s="18"/>
      <c r="H6046" s="16" t="s">
        <v>87</v>
      </c>
      <c r="I6046" s="16" t="s">
        <v>87</v>
      </c>
      <c r="J6046" s="19"/>
      <c r="L6046" s="16" t="str">
        <f>IFERROR(__xludf.DUMMYFUNCTION("""COMPUTED_VALUE"""),"")</f>
        <v/>
      </c>
      <c r="M6046" s="16" t="str">
        <f>IFERROR(__xludf.DUMMYFUNCTION("""COMPUTED_VALUE"""),"")</f>
        <v/>
      </c>
      <c r="U6046" s="16" t="s">
        <v>87</v>
      </c>
      <c r="V6046" s="16" t="str">
        <f>IFERROR(__xludf.DUMMYFUNCTION("""COMPUTED_VALUE"""),"")</f>
        <v/>
      </c>
      <c r="W6046" s="16" t="str">
        <f>IFERROR(__xludf.DUMMYFUNCTION("""COMPUTED_VALUE"""),"")</f>
        <v/>
      </c>
      <c r="X6046" s="16" t="str">
        <f>IFERROR(__xludf.DUMMYFUNCTION("""COMPUTED_VALUE"""),"")</f>
        <v/>
      </c>
      <c r="AC6046" s="16" t="str">
        <f>IFERROR(__xludf.DUMMYFUNCTION("""COMPUTED_VALUE"""),"")</f>
        <v/>
      </c>
    </row>
    <row r="6047">
      <c r="A6047" s="16" t="s">
        <v>87</v>
      </c>
      <c r="E6047" s="16" t="str">
        <f>IFERROR(__xludf.DUMMYFUNCTION("""COMPUTED_VALUE"""),"")</f>
        <v/>
      </c>
      <c r="G6047" s="18"/>
      <c r="H6047" s="16" t="s">
        <v>87</v>
      </c>
      <c r="I6047" s="16" t="s">
        <v>87</v>
      </c>
      <c r="J6047" s="19"/>
      <c r="L6047" s="16" t="str">
        <f>IFERROR(__xludf.DUMMYFUNCTION("""COMPUTED_VALUE"""),"")</f>
        <v/>
      </c>
      <c r="M6047" s="16" t="str">
        <f>IFERROR(__xludf.DUMMYFUNCTION("""COMPUTED_VALUE"""),"")</f>
        <v/>
      </c>
      <c r="U6047" s="16" t="s">
        <v>87</v>
      </c>
      <c r="V6047" s="16" t="str">
        <f>IFERROR(__xludf.DUMMYFUNCTION("""COMPUTED_VALUE"""),"")</f>
        <v/>
      </c>
      <c r="W6047" s="16" t="str">
        <f>IFERROR(__xludf.DUMMYFUNCTION("""COMPUTED_VALUE"""),"")</f>
        <v/>
      </c>
      <c r="X6047" s="16" t="str">
        <f>IFERROR(__xludf.DUMMYFUNCTION("""COMPUTED_VALUE"""),"")</f>
        <v/>
      </c>
      <c r="AC6047" s="16" t="str">
        <f>IFERROR(__xludf.DUMMYFUNCTION("""COMPUTED_VALUE"""),"")</f>
        <v/>
      </c>
    </row>
    <row r="6048">
      <c r="A6048" s="16" t="s">
        <v>87</v>
      </c>
      <c r="E6048" s="16" t="str">
        <f>IFERROR(__xludf.DUMMYFUNCTION("""COMPUTED_VALUE"""),"")</f>
        <v/>
      </c>
      <c r="G6048" s="18"/>
      <c r="H6048" s="16" t="s">
        <v>87</v>
      </c>
      <c r="I6048" s="16" t="s">
        <v>87</v>
      </c>
      <c r="J6048" s="19"/>
      <c r="L6048" s="16" t="str">
        <f>IFERROR(__xludf.DUMMYFUNCTION("""COMPUTED_VALUE"""),"")</f>
        <v/>
      </c>
      <c r="M6048" s="16" t="str">
        <f>IFERROR(__xludf.DUMMYFUNCTION("""COMPUTED_VALUE"""),"")</f>
        <v/>
      </c>
      <c r="U6048" s="16" t="s">
        <v>87</v>
      </c>
      <c r="V6048" s="16" t="str">
        <f>IFERROR(__xludf.DUMMYFUNCTION("""COMPUTED_VALUE"""),"")</f>
        <v/>
      </c>
      <c r="W6048" s="16" t="str">
        <f>IFERROR(__xludf.DUMMYFUNCTION("""COMPUTED_VALUE"""),"")</f>
        <v/>
      </c>
      <c r="X6048" s="16" t="str">
        <f>IFERROR(__xludf.DUMMYFUNCTION("""COMPUTED_VALUE"""),"")</f>
        <v/>
      </c>
      <c r="AC6048" s="16" t="str">
        <f>IFERROR(__xludf.DUMMYFUNCTION("""COMPUTED_VALUE"""),"")</f>
        <v/>
      </c>
    </row>
    <row r="6049">
      <c r="A6049" s="16" t="s">
        <v>87</v>
      </c>
      <c r="E6049" s="16" t="str">
        <f>IFERROR(__xludf.DUMMYFUNCTION("""COMPUTED_VALUE"""),"")</f>
        <v/>
      </c>
      <c r="G6049" s="18"/>
      <c r="H6049" s="16" t="s">
        <v>87</v>
      </c>
      <c r="I6049" s="16" t="s">
        <v>87</v>
      </c>
      <c r="J6049" s="19"/>
      <c r="L6049" s="16" t="str">
        <f>IFERROR(__xludf.DUMMYFUNCTION("""COMPUTED_VALUE"""),"")</f>
        <v/>
      </c>
      <c r="M6049" s="16" t="str">
        <f>IFERROR(__xludf.DUMMYFUNCTION("""COMPUTED_VALUE"""),"")</f>
        <v/>
      </c>
      <c r="U6049" s="16" t="s">
        <v>87</v>
      </c>
      <c r="V6049" s="16" t="str">
        <f>IFERROR(__xludf.DUMMYFUNCTION("""COMPUTED_VALUE"""),"")</f>
        <v/>
      </c>
      <c r="W6049" s="16" t="str">
        <f>IFERROR(__xludf.DUMMYFUNCTION("""COMPUTED_VALUE"""),"")</f>
        <v/>
      </c>
      <c r="X6049" s="16" t="str">
        <f>IFERROR(__xludf.DUMMYFUNCTION("""COMPUTED_VALUE"""),"")</f>
        <v/>
      </c>
      <c r="AC6049" s="16" t="str">
        <f>IFERROR(__xludf.DUMMYFUNCTION("""COMPUTED_VALUE"""),"")</f>
        <v/>
      </c>
    </row>
    <row r="6050">
      <c r="A6050" s="16" t="s">
        <v>87</v>
      </c>
      <c r="E6050" s="16" t="str">
        <f>IFERROR(__xludf.DUMMYFUNCTION("""COMPUTED_VALUE"""),"")</f>
        <v/>
      </c>
      <c r="G6050" s="18"/>
      <c r="H6050" s="16" t="s">
        <v>87</v>
      </c>
      <c r="I6050" s="16" t="s">
        <v>87</v>
      </c>
      <c r="J6050" s="19"/>
      <c r="L6050" s="16" t="str">
        <f>IFERROR(__xludf.DUMMYFUNCTION("""COMPUTED_VALUE"""),"")</f>
        <v/>
      </c>
      <c r="M6050" s="16" t="str">
        <f>IFERROR(__xludf.DUMMYFUNCTION("""COMPUTED_VALUE"""),"")</f>
        <v/>
      </c>
      <c r="U6050" s="16" t="s">
        <v>87</v>
      </c>
      <c r="V6050" s="16" t="str">
        <f>IFERROR(__xludf.DUMMYFUNCTION("""COMPUTED_VALUE"""),"")</f>
        <v/>
      </c>
      <c r="W6050" s="16" t="str">
        <f>IFERROR(__xludf.DUMMYFUNCTION("""COMPUTED_VALUE"""),"")</f>
        <v/>
      </c>
      <c r="X6050" s="16" t="str">
        <f>IFERROR(__xludf.DUMMYFUNCTION("""COMPUTED_VALUE"""),"")</f>
        <v/>
      </c>
      <c r="AC6050" s="16" t="str">
        <f>IFERROR(__xludf.DUMMYFUNCTION("""COMPUTED_VALUE"""),"")</f>
        <v/>
      </c>
    </row>
    <row r="6051">
      <c r="A6051" s="16" t="s">
        <v>87</v>
      </c>
      <c r="E6051" s="16" t="str">
        <f>IFERROR(__xludf.DUMMYFUNCTION("""COMPUTED_VALUE"""),"")</f>
        <v/>
      </c>
      <c r="G6051" s="18"/>
      <c r="H6051" s="16" t="s">
        <v>87</v>
      </c>
      <c r="I6051" s="16" t="s">
        <v>87</v>
      </c>
      <c r="J6051" s="19"/>
      <c r="L6051" s="16" t="str">
        <f>IFERROR(__xludf.DUMMYFUNCTION("""COMPUTED_VALUE"""),"")</f>
        <v/>
      </c>
      <c r="M6051" s="16" t="str">
        <f>IFERROR(__xludf.DUMMYFUNCTION("""COMPUTED_VALUE"""),"")</f>
        <v/>
      </c>
      <c r="U6051" s="16" t="s">
        <v>87</v>
      </c>
      <c r="V6051" s="16" t="str">
        <f>IFERROR(__xludf.DUMMYFUNCTION("""COMPUTED_VALUE"""),"")</f>
        <v/>
      </c>
      <c r="W6051" s="16" t="str">
        <f>IFERROR(__xludf.DUMMYFUNCTION("""COMPUTED_VALUE"""),"")</f>
        <v/>
      </c>
      <c r="X6051" s="16" t="str">
        <f>IFERROR(__xludf.DUMMYFUNCTION("""COMPUTED_VALUE"""),"")</f>
        <v/>
      </c>
      <c r="AC6051" s="16" t="str">
        <f>IFERROR(__xludf.DUMMYFUNCTION("""COMPUTED_VALUE"""),"")</f>
        <v/>
      </c>
    </row>
    <row r="6052">
      <c r="A6052" s="16" t="s">
        <v>87</v>
      </c>
      <c r="E6052" s="16" t="str">
        <f>IFERROR(__xludf.DUMMYFUNCTION("""COMPUTED_VALUE"""),"")</f>
        <v/>
      </c>
      <c r="G6052" s="18"/>
      <c r="H6052" s="16" t="s">
        <v>87</v>
      </c>
      <c r="I6052" s="16" t="s">
        <v>87</v>
      </c>
      <c r="J6052" s="19"/>
      <c r="L6052" s="16" t="str">
        <f>IFERROR(__xludf.DUMMYFUNCTION("""COMPUTED_VALUE"""),"")</f>
        <v/>
      </c>
      <c r="M6052" s="16" t="str">
        <f>IFERROR(__xludf.DUMMYFUNCTION("""COMPUTED_VALUE"""),"")</f>
        <v/>
      </c>
      <c r="U6052" s="16" t="s">
        <v>87</v>
      </c>
      <c r="V6052" s="16" t="str">
        <f>IFERROR(__xludf.DUMMYFUNCTION("""COMPUTED_VALUE"""),"")</f>
        <v/>
      </c>
      <c r="W6052" s="16" t="str">
        <f>IFERROR(__xludf.DUMMYFUNCTION("""COMPUTED_VALUE"""),"")</f>
        <v/>
      </c>
      <c r="X6052" s="16" t="str">
        <f>IFERROR(__xludf.DUMMYFUNCTION("""COMPUTED_VALUE"""),"")</f>
        <v/>
      </c>
      <c r="AC6052" s="16" t="str">
        <f>IFERROR(__xludf.DUMMYFUNCTION("""COMPUTED_VALUE"""),"")</f>
        <v/>
      </c>
    </row>
    <row r="6053">
      <c r="A6053" s="16" t="s">
        <v>87</v>
      </c>
      <c r="E6053" s="16" t="str">
        <f>IFERROR(__xludf.DUMMYFUNCTION("""COMPUTED_VALUE"""),"")</f>
        <v/>
      </c>
      <c r="G6053" s="18"/>
      <c r="H6053" s="16" t="s">
        <v>87</v>
      </c>
      <c r="I6053" s="16" t="s">
        <v>87</v>
      </c>
      <c r="J6053" s="19"/>
      <c r="L6053" s="16" t="str">
        <f>IFERROR(__xludf.DUMMYFUNCTION("""COMPUTED_VALUE"""),"")</f>
        <v/>
      </c>
      <c r="M6053" s="16" t="str">
        <f>IFERROR(__xludf.DUMMYFUNCTION("""COMPUTED_VALUE"""),"")</f>
        <v/>
      </c>
      <c r="U6053" s="16" t="s">
        <v>87</v>
      </c>
      <c r="V6053" s="16" t="str">
        <f>IFERROR(__xludf.DUMMYFUNCTION("""COMPUTED_VALUE"""),"")</f>
        <v/>
      </c>
      <c r="W6053" s="16" t="str">
        <f>IFERROR(__xludf.DUMMYFUNCTION("""COMPUTED_VALUE"""),"")</f>
        <v/>
      </c>
      <c r="X6053" s="16" t="str">
        <f>IFERROR(__xludf.DUMMYFUNCTION("""COMPUTED_VALUE"""),"")</f>
        <v/>
      </c>
      <c r="AC6053" s="16" t="str">
        <f>IFERROR(__xludf.DUMMYFUNCTION("""COMPUTED_VALUE"""),"")</f>
        <v/>
      </c>
    </row>
    <row r="6054">
      <c r="A6054" s="16" t="s">
        <v>87</v>
      </c>
      <c r="E6054" s="16" t="str">
        <f>IFERROR(__xludf.DUMMYFUNCTION("""COMPUTED_VALUE"""),"")</f>
        <v/>
      </c>
      <c r="G6054" s="18"/>
      <c r="H6054" s="16" t="s">
        <v>87</v>
      </c>
      <c r="I6054" s="16" t="s">
        <v>87</v>
      </c>
      <c r="J6054" s="19"/>
      <c r="L6054" s="16" t="str">
        <f>IFERROR(__xludf.DUMMYFUNCTION("""COMPUTED_VALUE"""),"")</f>
        <v/>
      </c>
      <c r="M6054" s="16" t="str">
        <f>IFERROR(__xludf.DUMMYFUNCTION("""COMPUTED_VALUE"""),"")</f>
        <v/>
      </c>
      <c r="U6054" s="16" t="s">
        <v>87</v>
      </c>
      <c r="V6054" s="16" t="str">
        <f>IFERROR(__xludf.DUMMYFUNCTION("""COMPUTED_VALUE"""),"")</f>
        <v/>
      </c>
      <c r="W6054" s="16" t="str">
        <f>IFERROR(__xludf.DUMMYFUNCTION("""COMPUTED_VALUE"""),"")</f>
        <v/>
      </c>
      <c r="X6054" s="16" t="str">
        <f>IFERROR(__xludf.DUMMYFUNCTION("""COMPUTED_VALUE"""),"")</f>
        <v/>
      </c>
      <c r="AC6054" s="16" t="str">
        <f>IFERROR(__xludf.DUMMYFUNCTION("""COMPUTED_VALUE"""),"")</f>
        <v/>
      </c>
    </row>
    <row r="6055">
      <c r="A6055" s="16" t="s">
        <v>87</v>
      </c>
      <c r="E6055" s="16" t="str">
        <f>IFERROR(__xludf.DUMMYFUNCTION("""COMPUTED_VALUE"""),"")</f>
        <v/>
      </c>
      <c r="G6055" s="18"/>
      <c r="H6055" s="16" t="s">
        <v>87</v>
      </c>
      <c r="I6055" s="16" t="s">
        <v>87</v>
      </c>
      <c r="J6055" s="19"/>
      <c r="L6055" s="16" t="str">
        <f>IFERROR(__xludf.DUMMYFUNCTION("""COMPUTED_VALUE"""),"")</f>
        <v/>
      </c>
      <c r="M6055" s="16" t="str">
        <f>IFERROR(__xludf.DUMMYFUNCTION("""COMPUTED_VALUE"""),"")</f>
        <v/>
      </c>
      <c r="U6055" s="16" t="s">
        <v>87</v>
      </c>
      <c r="V6055" s="16" t="str">
        <f>IFERROR(__xludf.DUMMYFUNCTION("""COMPUTED_VALUE"""),"")</f>
        <v/>
      </c>
      <c r="W6055" s="16" t="str">
        <f>IFERROR(__xludf.DUMMYFUNCTION("""COMPUTED_VALUE"""),"")</f>
        <v/>
      </c>
      <c r="X6055" s="16" t="str">
        <f>IFERROR(__xludf.DUMMYFUNCTION("""COMPUTED_VALUE"""),"")</f>
        <v/>
      </c>
      <c r="AC6055" s="16" t="str">
        <f>IFERROR(__xludf.DUMMYFUNCTION("""COMPUTED_VALUE"""),"")</f>
        <v/>
      </c>
    </row>
    <row r="6056">
      <c r="A6056" s="16" t="s">
        <v>87</v>
      </c>
      <c r="E6056" s="16" t="str">
        <f>IFERROR(__xludf.DUMMYFUNCTION("""COMPUTED_VALUE"""),"")</f>
        <v/>
      </c>
      <c r="G6056" s="18"/>
      <c r="H6056" s="16" t="s">
        <v>87</v>
      </c>
      <c r="I6056" s="16" t="s">
        <v>87</v>
      </c>
      <c r="J6056" s="19"/>
      <c r="L6056" s="16" t="str">
        <f>IFERROR(__xludf.DUMMYFUNCTION("""COMPUTED_VALUE"""),"")</f>
        <v/>
      </c>
      <c r="M6056" s="16" t="str">
        <f>IFERROR(__xludf.DUMMYFUNCTION("""COMPUTED_VALUE"""),"")</f>
        <v/>
      </c>
      <c r="U6056" s="16" t="s">
        <v>87</v>
      </c>
      <c r="V6056" s="16" t="str">
        <f>IFERROR(__xludf.DUMMYFUNCTION("""COMPUTED_VALUE"""),"")</f>
        <v/>
      </c>
      <c r="W6056" s="16" t="str">
        <f>IFERROR(__xludf.DUMMYFUNCTION("""COMPUTED_VALUE"""),"")</f>
        <v/>
      </c>
      <c r="X6056" s="16" t="str">
        <f>IFERROR(__xludf.DUMMYFUNCTION("""COMPUTED_VALUE"""),"")</f>
        <v/>
      </c>
      <c r="AC6056" s="16" t="str">
        <f>IFERROR(__xludf.DUMMYFUNCTION("""COMPUTED_VALUE"""),"")</f>
        <v/>
      </c>
    </row>
    <row r="6057">
      <c r="A6057" s="16" t="s">
        <v>87</v>
      </c>
      <c r="E6057" s="16" t="str">
        <f>IFERROR(__xludf.DUMMYFUNCTION("""COMPUTED_VALUE"""),"")</f>
        <v/>
      </c>
      <c r="G6057" s="18"/>
      <c r="H6057" s="16" t="s">
        <v>87</v>
      </c>
      <c r="I6057" s="16" t="s">
        <v>87</v>
      </c>
      <c r="J6057" s="19"/>
      <c r="L6057" s="16" t="str">
        <f>IFERROR(__xludf.DUMMYFUNCTION("""COMPUTED_VALUE"""),"")</f>
        <v/>
      </c>
      <c r="M6057" s="16" t="str">
        <f>IFERROR(__xludf.DUMMYFUNCTION("""COMPUTED_VALUE"""),"")</f>
        <v/>
      </c>
      <c r="U6057" s="16" t="s">
        <v>87</v>
      </c>
      <c r="V6057" s="16" t="str">
        <f>IFERROR(__xludf.DUMMYFUNCTION("""COMPUTED_VALUE"""),"")</f>
        <v/>
      </c>
      <c r="W6057" s="16" t="str">
        <f>IFERROR(__xludf.DUMMYFUNCTION("""COMPUTED_VALUE"""),"")</f>
        <v/>
      </c>
      <c r="X6057" s="16" t="str">
        <f>IFERROR(__xludf.DUMMYFUNCTION("""COMPUTED_VALUE"""),"")</f>
        <v/>
      </c>
      <c r="AC6057" s="16" t="str">
        <f>IFERROR(__xludf.DUMMYFUNCTION("""COMPUTED_VALUE"""),"")</f>
        <v/>
      </c>
    </row>
    <row r="6058">
      <c r="A6058" s="16" t="s">
        <v>87</v>
      </c>
      <c r="E6058" s="16" t="str">
        <f>IFERROR(__xludf.DUMMYFUNCTION("""COMPUTED_VALUE"""),"")</f>
        <v/>
      </c>
      <c r="G6058" s="18"/>
      <c r="H6058" s="16" t="s">
        <v>87</v>
      </c>
      <c r="I6058" s="16" t="s">
        <v>87</v>
      </c>
      <c r="J6058" s="19"/>
      <c r="L6058" s="16" t="str">
        <f>IFERROR(__xludf.DUMMYFUNCTION("""COMPUTED_VALUE"""),"")</f>
        <v/>
      </c>
      <c r="M6058" s="16" t="str">
        <f>IFERROR(__xludf.DUMMYFUNCTION("""COMPUTED_VALUE"""),"")</f>
        <v/>
      </c>
      <c r="U6058" s="16" t="s">
        <v>87</v>
      </c>
      <c r="V6058" s="16" t="str">
        <f>IFERROR(__xludf.DUMMYFUNCTION("""COMPUTED_VALUE"""),"")</f>
        <v/>
      </c>
      <c r="W6058" s="16" t="str">
        <f>IFERROR(__xludf.DUMMYFUNCTION("""COMPUTED_VALUE"""),"")</f>
        <v/>
      </c>
      <c r="X6058" s="16" t="str">
        <f>IFERROR(__xludf.DUMMYFUNCTION("""COMPUTED_VALUE"""),"")</f>
        <v/>
      </c>
      <c r="AC6058" s="16" t="str">
        <f>IFERROR(__xludf.DUMMYFUNCTION("""COMPUTED_VALUE"""),"")</f>
        <v/>
      </c>
    </row>
    <row r="6059">
      <c r="A6059" s="16" t="s">
        <v>87</v>
      </c>
      <c r="E6059" s="16" t="str">
        <f>IFERROR(__xludf.DUMMYFUNCTION("""COMPUTED_VALUE"""),"")</f>
        <v/>
      </c>
      <c r="G6059" s="18"/>
      <c r="H6059" s="16" t="s">
        <v>87</v>
      </c>
      <c r="I6059" s="16" t="s">
        <v>87</v>
      </c>
      <c r="J6059" s="19"/>
      <c r="L6059" s="16" t="str">
        <f>IFERROR(__xludf.DUMMYFUNCTION("""COMPUTED_VALUE"""),"")</f>
        <v/>
      </c>
      <c r="M6059" s="16" t="str">
        <f>IFERROR(__xludf.DUMMYFUNCTION("""COMPUTED_VALUE"""),"")</f>
        <v/>
      </c>
      <c r="U6059" s="16" t="s">
        <v>87</v>
      </c>
      <c r="V6059" s="16" t="str">
        <f>IFERROR(__xludf.DUMMYFUNCTION("""COMPUTED_VALUE"""),"")</f>
        <v/>
      </c>
      <c r="W6059" s="16" t="str">
        <f>IFERROR(__xludf.DUMMYFUNCTION("""COMPUTED_VALUE"""),"")</f>
        <v/>
      </c>
      <c r="X6059" s="16" t="str">
        <f>IFERROR(__xludf.DUMMYFUNCTION("""COMPUTED_VALUE"""),"")</f>
        <v/>
      </c>
      <c r="AC6059" s="16" t="str">
        <f>IFERROR(__xludf.DUMMYFUNCTION("""COMPUTED_VALUE"""),"")</f>
        <v/>
      </c>
    </row>
    <row r="6060">
      <c r="A6060" s="16" t="s">
        <v>87</v>
      </c>
      <c r="E6060" s="16" t="str">
        <f>IFERROR(__xludf.DUMMYFUNCTION("""COMPUTED_VALUE"""),"")</f>
        <v/>
      </c>
      <c r="G6060" s="18"/>
      <c r="H6060" s="16" t="s">
        <v>87</v>
      </c>
      <c r="I6060" s="16" t="s">
        <v>87</v>
      </c>
      <c r="J6060" s="19"/>
      <c r="L6060" s="16" t="str">
        <f>IFERROR(__xludf.DUMMYFUNCTION("""COMPUTED_VALUE"""),"")</f>
        <v/>
      </c>
      <c r="M6060" s="16" t="str">
        <f>IFERROR(__xludf.DUMMYFUNCTION("""COMPUTED_VALUE"""),"")</f>
        <v/>
      </c>
      <c r="U6060" s="16" t="s">
        <v>87</v>
      </c>
      <c r="V6060" s="16" t="str">
        <f>IFERROR(__xludf.DUMMYFUNCTION("""COMPUTED_VALUE"""),"")</f>
        <v/>
      </c>
      <c r="W6060" s="16" t="str">
        <f>IFERROR(__xludf.DUMMYFUNCTION("""COMPUTED_VALUE"""),"")</f>
        <v/>
      </c>
      <c r="X6060" s="16" t="str">
        <f>IFERROR(__xludf.DUMMYFUNCTION("""COMPUTED_VALUE"""),"")</f>
        <v/>
      </c>
      <c r="AC6060" s="16" t="str">
        <f>IFERROR(__xludf.DUMMYFUNCTION("""COMPUTED_VALUE"""),"")</f>
        <v/>
      </c>
    </row>
    <row r="6061">
      <c r="A6061" s="16" t="s">
        <v>87</v>
      </c>
      <c r="E6061" s="16" t="str">
        <f>IFERROR(__xludf.DUMMYFUNCTION("""COMPUTED_VALUE"""),"")</f>
        <v/>
      </c>
      <c r="G6061" s="18"/>
      <c r="H6061" s="16" t="s">
        <v>87</v>
      </c>
      <c r="I6061" s="16" t="s">
        <v>87</v>
      </c>
      <c r="J6061" s="19"/>
      <c r="L6061" s="16" t="str">
        <f>IFERROR(__xludf.DUMMYFUNCTION("""COMPUTED_VALUE"""),"")</f>
        <v/>
      </c>
      <c r="M6061" s="16" t="str">
        <f>IFERROR(__xludf.DUMMYFUNCTION("""COMPUTED_VALUE"""),"")</f>
        <v/>
      </c>
      <c r="U6061" s="16" t="s">
        <v>87</v>
      </c>
      <c r="V6061" s="16" t="str">
        <f>IFERROR(__xludf.DUMMYFUNCTION("""COMPUTED_VALUE"""),"")</f>
        <v/>
      </c>
      <c r="W6061" s="16" t="str">
        <f>IFERROR(__xludf.DUMMYFUNCTION("""COMPUTED_VALUE"""),"")</f>
        <v/>
      </c>
      <c r="X6061" s="16" t="str">
        <f>IFERROR(__xludf.DUMMYFUNCTION("""COMPUTED_VALUE"""),"")</f>
        <v/>
      </c>
      <c r="AC6061" s="16" t="str">
        <f>IFERROR(__xludf.DUMMYFUNCTION("""COMPUTED_VALUE"""),"")</f>
        <v/>
      </c>
    </row>
    <row r="6062">
      <c r="A6062" s="16" t="s">
        <v>87</v>
      </c>
      <c r="E6062" s="16" t="str">
        <f>IFERROR(__xludf.DUMMYFUNCTION("""COMPUTED_VALUE"""),"")</f>
        <v/>
      </c>
      <c r="G6062" s="18"/>
      <c r="H6062" s="16" t="s">
        <v>87</v>
      </c>
      <c r="I6062" s="16" t="s">
        <v>87</v>
      </c>
      <c r="J6062" s="19"/>
      <c r="L6062" s="16" t="str">
        <f>IFERROR(__xludf.DUMMYFUNCTION("""COMPUTED_VALUE"""),"")</f>
        <v/>
      </c>
      <c r="M6062" s="16" t="str">
        <f>IFERROR(__xludf.DUMMYFUNCTION("""COMPUTED_VALUE"""),"")</f>
        <v/>
      </c>
      <c r="U6062" s="16" t="s">
        <v>87</v>
      </c>
      <c r="V6062" s="16" t="str">
        <f>IFERROR(__xludf.DUMMYFUNCTION("""COMPUTED_VALUE"""),"")</f>
        <v/>
      </c>
      <c r="W6062" s="16" t="str">
        <f>IFERROR(__xludf.DUMMYFUNCTION("""COMPUTED_VALUE"""),"")</f>
        <v/>
      </c>
      <c r="X6062" s="16" t="str">
        <f>IFERROR(__xludf.DUMMYFUNCTION("""COMPUTED_VALUE"""),"")</f>
        <v/>
      </c>
      <c r="AC6062" s="16" t="str">
        <f>IFERROR(__xludf.DUMMYFUNCTION("""COMPUTED_VALUE"""),"")</f>
        <v/>
      </c>
    </row>
    <row r="6063">
      <c r="A6063" s="16" t="s">
        <v>87</v>
      </c>
      <c r="E6063" s="16" t="str">
        <f>IFERROR(__xludf.DUMMYFUNCTION("""COMPUTED_VALUE"""),"")</f>
        <v/>
      </c>
      <c r="G6063" s="18"/>
      <c r="H6063" s="16" t="s">
        <v>87</v>
      </c>
      <c r="I6063" s="16" t="s">
        <v>87</v>
      </c>
      <c r="J6063" s="19"/>
      <c r="L6063" s="16" t="str">
        <f>IFERROR(__xludf.DUMMYFUNCTION("""COMPUTED_VALUE"""),"")</f>
        <v/>
      </c>
      <c r="M6063" s="16" t="str">
        <f>IFERROR(__xludf.DUMMYFUNCTION("""COMPUTED_VALUE"""),"")</f>
        <v/>
      </c>
      <c r="U6063" s="16" t="s">
        <v>87</v>
      </c>
      <c r="V6063" s="16" t="str">
        <f>IFERROR(__xludf.DUMMYFUNCTION("""COMPUTED_VALUE"""),"")</f>
        <v/>
      </c>
      <c r="W6063" s="16" t="str">
        <f>IFERROR(__xludf.DUMMYFUNCTION("""COMPUTED_VALUE"""),"")</f>
        <v/>
      </c>
      <c r="X6063" s="16" t="str">
        <f>IFERROR(__xludf.DUMMYFUNCTION("""COMPUTED_VALUE"""),"")</f>
        <v/>
      </c>
      <c r="AC6063" s="16" t="str">
        <f>IFERROR(__xludf.DUMMYFUNCTION("""COMPUTED_VALUE"""),"")</f>
        <v/>
      </c>
    </row>
    <row r="6064">
      <c r="A6064" s="16" t="s">
        <v>87</v>
      </c>
      <c r="E6064" s="16" t="str">
        <f>IFERROR(__xludf.DUMMYFUNCTION("""COMPUTED_VALUE"""),"")</f>
        <v/>
      </c>
      <c r="G6064" s="18"/>
      <c r="H6064" s="16" t="s">
        <v>87</v>
      </c>
      <c r="I6064" s="16" t="s">
        <v>87</v>
      </c>
      <c r="J6064" s="19"/>
      <c r="L6064" s="16" t="str">
        <f>IFERROR(__xludf.DUMMYFUNCTION("""COMPUTED_VALUE"""),"")</f>
        <v/>
      </c>
      <c r="M6064" s="16" t="str">
        <f>IFERROR(__xludf.DUMMYFUNCTION("""COMPUTED_VALUE"""),"")</f>
        <v/>
      </c>
      <c r="U6064" s="16" t="s">
        <v>87</v>
      </c>
      <c r="V6064" s="16" t="str">
        <f>IFERROR(__xludf.DUMMYFUNCTION("""COMPUTED_VALUE"""),"")</f>
        <v/>
      </c>
      <c r="W6064" s="16" t="str">
        <f>IFERROR(__xludf.DUMMYFUNCTION("""COMPUTED_VALUE"""),"")</f>
        <v/>
      </c>
      <c r="X6064" s="16" t="str">
        <f>IFERROR(__xludf.DUMMYFUNCTION("""COMPUTED_VALUE"""),"")</f>
        <v/>
      </c>
      <c r="AC6064" s="16" t="str">
        <f>IFERROR(__xludf.DUMMYFUNCTION("""COMPUTED_VALUE"""),"")</f>
        <v/>
      </c>
    </row>
    <row r="6065">
      <c r="A6065" s="16" t="s">
        <v>87</v>
      </c>
      <c r="E6065" s="16" t="str">
        <f>IFERROR(__xludf.DUMMYFUNCTION("""COMPUTED_VALUE"""),"")</f>
        <v/>
      </c>
      <c r="G6065" s="18"/>
      <c r="H6065" s="16" t="s">
        <v>87</v>
      </c>
      <c r="I6065" s="16" t="s">
        <v>87</v>
      </c>
      <c r="J6065" s="19"/>
      <c r="L6065" s="16" t="str">
        <f>IFERROR(__xludf.DUMMYFUNCTION("""COMPUTED_VALUE"""),"")</f>
        <v/>
      </c>
      <c r="M6065" s="16" t="str">
        <f>IFERROR(__xludf.DUMMYFUNCTION("""COMPUTED_VALUE"""),"")</f>
        <v/>
      </c>
      <c r="U6065" s="16" t="s">
        <v>87</v>
      </c>
      <c r="V6065" s="16" t="str">
        <f>IFERROR(__xludf.DUMMYFUNCTION("""COMPUTED_VALUE"""),"")</f>
        <v/>
      </c>
      <c r="W6065" s="16" t="str">
        <f>IFERROR(__xludf.DUMMYFUNCTION("""COMPUTED_VALUE"""),"")</f>
        <v/>
      </c>
      <c r="X6065" s="16" t="str">
        <f>IFERROR(__xludf.DUMMYFUNCTION("""COMPUTED_VALUE"""),"")</f>
        <v/>
      </c>
      <c r="AC6065" s="16" t="str">
        <f>IFERROR(__xludf.DUMMYFUNCTION("""COMPUTED_VALUE"""),"")</f>
        <v/>
      </c>
    </row>
    <row r="6066">
      <c r="A6066" s="16" t="s">
        <v>87</v>
      </c>
      <c r="E6066" s="16" t="str">
        <f>IFERROR(__xludf.DUMMYFUNCTION("""COMPUTED_VALUE"""),"")</f>
        <v/>
      </c>
      <c r="G6066" s="18"/>
      <c r="H6066" s="16" t="s">
        <v>87</v>
      </c>
      <c r="I6066" s="16" t="s">
        <v>87</v>
      </c>
      <c r="J6066" s="19"/>
      <c r="L6066" s="16" t="str">
        <f>IFERROR(__xludf.DUMMYFUNCTION("""COMPUTED_VALUE"""),"")</f>
        <v/>
      </c>
      <c r="M6066" s="16" t="str">
        <f>IFERROR(__xludf.DUMMYFUNCTION("""COMPUTED_VALUE"""),"")</f>
        <v/>
      </c>
      <c r="U6066" s="16" t="s">
        <v>87</v>
      </c>
      <c r="V6066" s="16" t="str">
        <f>IFERROR(__xludf.DUMMYFUNCTION("""COMPUTED_VALUE"""),"")</f>
        <v/>
      </c>
      <c r="W6066" s="16" t="str">
        <f>IFERROR(__xludf.DUMMYFUNCTION("""COMPUTED_VALUE"""),"")</f>
        <v/>
      </c>
      <c r="X6066" s="16" t="str">
        <f>IFERROR(__xludf.DUMMYFUNCTION("""COMPUTED_VALUE"""),"")</f>
        <v/>
      </c>
      <c r="AC6066" s="16" t="str">
        <f>IFERROR(__xludf.DUMMYFUNCTION("""COMPUTED_VALUE"""),"")</f>
        <v/>
      </c>
    </row>
    <row r="6067">
      <c r="A6067" s="16" t="s">
        <v>87</v>
      </c>
      <c r="E6067" s="16" t="str">
        <f>IFERROR(__xludf.DUMMYFUNCTION("""COMPUTED_VALUE"""),"")</f>
        <v/>
      </c>
      <c r="G6067" s="18"/>
      <c r="H6067" s="16" t="s">
        <v>87</v>
      </c>
      <c r="I6067" s="16" t="s">
        <v>87</v>
      </c>
      <c r="J6067" s="19"/>
      <c r="L6067" s="16" t="str">
        <f>IFERROR(__xludf.DUMMYFUNCTION("""COMPUTED_VALUE"""),"")</f>
        <v/>
      </c>
      <c r="M6067" s="16" t="str">
        <f>IFERROR(__xludf.DUMMYFUNCTION("""COMPUTED_VALUE"""),"")</f>
        <v/>
      </c>
      <c r="U6067" s="16" t="s">
        <v>87</v>
      </c>
      <c r="V6067" s="16" t="str">
        <f>IFERROR(__xludf.DUMMYFUNCTION("""COMPUTED_VALUE"""),"")</f>
        <v/>
      </c>
      <c r="W6067" s="16" t="str">
        <f>IFERROR(__xludf.DUMMYFUNCTION("""COMPUTED_VALUE"""),"")</f>
        <v/>
      </c>
      <c r="X6067" s="16" t="str">
        <f>IFERROR(__xludf.DUMMYFUNCTION("""COMPUTED_VALUE"""),"")</f>
        <v/>
      </c>
      <c r="AC6067" s="16" t="str">
        <f>IFERROR(__xludf.DUMMYFUNCTION("""COMPUTED_VALUE"""),"")</f>
        <v/>
      </c>
    </row>
    <row r="6068">
      <c r="A6068" s="16" t="s">
        <v>87</v>
      </c>
      <c r="E6068" s="16" t="str">
        <f>IFERROR(__xludf.DUMMYFUNCTION("""COMPUTED_VALUE"""),"")</f>
        <v/>
      </c>
      <c r="G6068" s="18"/>
      <c r="H6068" s="16" t="s">
        <v>87</v>
      </c>
      <c r="I6068" s="16" t="s">
        <v>87</v>
      </c>
      <c r="J6068" s="19"/>
      <c r="L6068" s="16" t="str">
        <f>IFERROR(__xludf.DUMMYFUNCTION("""COMPUTED_VALUE"""),"")</f>
        <v/>
      </c>
      <c r="M6068" s="16" t="str">
        <f>IFERROR(__xludf.DUMMYFUNCTION("""COMPUTED_VALUE"""),"")</f>
        <v/>
      </c>
      <c r="U6068" s="16" t="s">
        <v>87</v>
      </c>
      <c r="V6068" s="16" t="str">
        <f>IFERROR(__xludf.DUMMYFUNCTION("""COMPUTED_VALUE"""),"")</f>
        <v/>
      </c>
      <c r="W6068" s="16" t="str">
        <f>IFERROR(__xludf.DUMMYFUNCTION("""COMPUTED_VALUE"""),"")</f>
        <v/>
      </c>
      <c r="X6068" s="16" t="str">
        <f>IFERROR(__xludf.DUMMYFUNCTION("""COMPUTED_VALUE"""),"")</f>
        <v/>
      </c>
      <c r="AC6068" s="16" t="str">
        <f>IFERROR(__xludf.DUMMYFUNCTION("""COMPUTED_VALUE"""),"")</f>
        <v/>
      </c>
    </row>
    <row r="6069">
      <c r="A6069" s="16" t="s">
        <v>87</v>
      </c>
      <c r="E6069" s="16" t="str">
        <f>IFERROR(__xludf.DUMMYFUNCTION("""COMPUTED_VALUE"""),"")</f>
        <v/>
      </c>
      <c r="G6069" s="18"/>
      <c r="H6069" s="16" t="s">
        <v>87</v>
      </c>
      <c r="I6069" s="16" t="s">
        <v>87</v>
      </c>
      <c r="J6069" s="19"/>
      <c r="L6069" s="16" t="str">
        <f>IFERROR(__xludf.DUMMYFUNCTION("""COMPUTED_VALUE"""),"")</f>
        <v/>
      </c>
      <c r="M6069" s="16" t="str">
        <f>IFERROR(__xludf.DUMMYFUNCTION("""COMPUTED_VALUE"""),"")</f>
        <v/>
      </c>
      <c r="U6069" s="16" t="s">
        <v>87</v>
      </c>
      <c r="V6069" s="16" t="str">
        <f>IFERROR(__xludf.DUMMYFUNCTION("""COMPUTED_VALUE"""),"")</f>
        <v/>
      </c>
      <c r="W6069" s="16" t="str">
        <f>IFERROR(__xludf.DUMMYFUNCTION("""COMPUTED_VALUE"""),"")</f>
        <v/>
      </c>
      <c r="X6069" s="16" t="str">
        <f>IFERROR(__xludf.DUMMYFUNCTION("""COMPUTED_VALUE"""),"")</f>
        <v/>
      </c>
      <c r="AC6069" s="16" t="str">
        <f>IFERROR(__xludf.DUMMYFUNCTION("""COMPUTED_VALUE"""),"")</f>
        <v/>
      </c>
    </row>
    <row r="6070">
      <c r="A6070" s="16" t="s">
        <v>87</v>
      </c>
      <c r="E6070" s="16" t="str">
        <f>IFERROR(__xludf.DUMMYFUNCTION("""COMPUTED_VALUE"""),"")</f>
        <v/>
      </c>
      <c r="G6070" s="18"/>
      <c r="H6070" s="16" t="s">
        <v>87</v>
      </c>
      <c r="I6070" s="16" t="s">
        <v>87</v>
      </c>
      <c r="J6070" s="19"/>
      <c r="L6070" s="16" t="str">
        <f>IFERROR(__xludf.DUMMYFUNCTION("""COMPUTED_VALUE"""),"")</f>
        <v/>
      </c>
      <c r="M6070" s="16" t="str">
        <f>IFERROR(__xludf.DUMMYFUNCTION("""COMPUTED_VALUE"""),"")</f>
        <v/>
      </c>
      <c r="U6070" s="16" t="s">
        <v>87</v>
      </c>
      <c r="V6070" s="16" t="str">
        <f>IFERROR(__xludf.DUMMYFUNCTION("""COMPUTED_VALUE"""),"")</f>
        <v/>
      </c>
      <c r="W6070" s="16" t="str">
        <f>IFERROR(__xludf.DUMMYFUNCTION("""COMPUTED_VALUE"""),"")</f>
        <v/>
      </c>
      <c r="X6070" s="16" t="str">
        <f>IFERROR(__xludf.DUMMYFUNCTION("""COMPUTED_VALUE"""),"")</f>
        <v/>
      </c>
      <c r="AC6070" s="16" t="str">
        <f>IFERROR(__xludf.DUMMYFUNCTION("""COMPUTED_VALUE"""),"")</f>
        <v/>
      </c>
    </row>
    <row r="6071">
      <c r="A6071" s="16" t="s">
        <v>87</v>
      </c>
      <c r="E6071" s="16" t="str">
        <f>IFERROR(__xludf.DUMMYFUNCTION("""COMPUTED_VALUE"""),"")</f>
        <v/>
      </c>
      <c r="G6071" s="18"/>
      <c r="H6071" s="16" t="s">
        <v>87</v>
      </c>
      <c r="I6071" s="16" t="s">
        <v>87</v>
      </c>
      <c r="J6071" s="19"/>
      <c r="L6071" s="16" t="str">
        <f>IFERROR(__xludf.DUMMYFUNCTION("""COMPUTED_VALUE"""),"")</f>
        <v/>
      </c>
      <c r="M6071" s="16" t="str">
        <f>IFERROR(__xludf.DUMMYFUNCTION("""COMPUTED_VALUE"""),"")</f>
        <v/>
      </c>
      <c r="U6071" s="16" t="s">
        <v>87</v>
      </c>
      <c r="V6071" s="16" t="str">
        <f>IFERROR(__xludf.DUMMYFUNCTION("""COMPUTED_VALUE"""),"")</f>
        <v/>
      </c>
      <c r="W6071" s="16" t="str">
        <f>IFERROR(__xludf.DUMMYFUNCTION("""COMPUTED_VALUE"""),"")</f>
        <v/>
      </c>
      <c r="X6071" s="16" t="str">
        <f>IFERROR(__xludf.DUMMYFUNCTION("""COMPUTED_VALUE"""),"")</f>
        <v/>
      </c>
      <c r="AC6071" s="16" t="str">
        <f>IFERROR(__xludf.DUMMYFUNCTION("""COMPUTED_VALUE"""),"")</f>
        <v/>
      </c>
    </row>
    <row r="6072">
      <c r="A6072" s="16" t="s">
        <v>87</v>
      </c>
      <c r="E6072" s="16" t="str">
        <f>IFERROR(__xludf.DUMMYFUNCTION("""COMPUTED_VALUE"""),"")</f>
        <v/>
      </c>
      <c r="G6072" s="18"/>
      <c r="H6072" s="16" t="s">
        <v>87</v>
      </c>
      <c r="I6072" s="16" t="s">
        <v>87</v>
      </c>
      <c r="J6072" s="19"/>
      <c r="L6072" s="16" t="str">
        <f>IFERROR(__xludf.DUMMYFUNCTION("""COMPUTED_VALUE"""),"")</f>
        <v/>
      </c>
      <c r="M6072" s="16" t="str">
        <f>IFERROR(__xludf.DUMMYFUNCTION("""COMPUTED_VALUE"""),"")</f>
        <v/>
      </c>
      <c r="U6072" s="16" t="s">
        <v>87</v>
      </c>
      <c r="V6072" s="16" t="str">
        <f>IFERROR(__xludf.DUMMYFUNCTION("""COMPUTED_VALUE"""),"")</f>
        <v/>
      </c>
      <c r="W6072" s="16" t="str">
        <f>IFERROR(__xludf.DUMMYFUNCTION("""COMPUTED_VALUE"""),"")</f>
        <v/>
      </c>
      <c r="X6072" s="16" t="str">
        <f>IFERROR(__xludf.DUMMYFUNCTION("""COMPUTED_VALUE"""),"")</f>
        <v/>
      </c>
      <c r="AC6072" s="16" t="str">
        <f>IFERROR(__xludf.DUMMYFUNCTION("""COMPUTED_VALUE"""),"")</f>
        <v/>
      </c>
    </row>
    <row r="6073">
      <c r="A6073" s="16" t="s">
        <v>87</v>
      </c>
      <c r="E6073" s="16" t="str">
        <f>IFERROR(__xludf.DUMMYFUNCTION("""COMPUTED_VALUE"""),"")</f>
        <v/>
      </c>
      <c r="G6073" s="18"/>
      <c r="H6073" s="16" t="s">
        <v>87</v>
      </c>
      <c r="I6073" s="16" t="s">
        <v>87</v>
      </c>
      <c r="J6073" s="19"/>
      <c r="L6073" s="16" t="str">
        <f>IFERROR(__xludf.DUMMYFUNCTION("""COMPUTED_VALUE"""),"")</f>
        <v/>
      </c>
      <c r="M6073" s="16" t="str">
        <f>IFERROR(__xludf.DUMMYFUNCTION("""COMPUTED_VALUE"""),"")</f>
        <v/>
      </c>
      <c r="U6073" s="16" t="s">
        <v>87</v>
      </c>
      <c r="V6073" s="16" t="str">
        <f>IFERROR(__xludf.DUMMYFUNCTION("""COMPUTED_VALUE"""),"")</f>
        <v/>
      </c>
      <c r="W6073" s="16" t="str">
        <f>IFERROR(__xludf.DUMMYFUNCTION("""COMPUTED_VALUE"""),"")</f>
        <v/>
      </c>
      <c r="X6073" s="16" t="str">
        <f>IFERROR(__xludf.DUMMYFUNCTION("""COMPUTED_VALUE"""),"")</f>
        <v/>
      </c>
      <c r="AC6073" s="16" t="str">
        <f>IFERROR(__xludf.DUMMYFUNCTION("""COMPUTED_VALUE"""),"")</f>
        <v/>
      </c>
    </row>
    <row r="6074">
      <c r="A6074" s="16" t="s">
        <v>87</v>
      </c>
      <c r="E6074" s="16" t="str">
        <f>IFERROR(__xludf.DUMMYFUNCTION("""COMPUTED_VALUE"""),"")</f>
        <v/>
      </c>
      <c r="G6074" s="18"/>
      <c r="H6074" s="16" t="s">
        <v>87</v>
      </c>
      <c r="I6074" s="16" t="s">
        <v>87</v>
      </c>
      <c r="J6074" s="19"/>
      <c r="L6074" s="16" t="str">
        <f>IFERROR(__xludf.DUMMYFUNCTION("""COMPUTED_VALUE"""),"")</f>
        <v/>
      </c>
      <c r="M6074" s="16" t="str">
        <f>IFERROR(__xludf.DUMMYFUNCTION("""COMPUTED_VALUE"""),"")</f>
        <v/>
      </c>
      <c r="U6074" s="16" t="s">
        <v>87</v>
      </c>
      <c r="V6074" s="16" t="str">
        <f>IFERROR(__xludf.DUMMYFUNCTION("""COMPUTED_VALUE"""),"")</f>
        <v/>
      </c>
      <c r="W6074" s="16" t="str">
        <f>IFERROR(__xludf.DUMMYFUNCTION("""COMPUTED_VALUE"""),"")</f>
        <v/>
      </c>
      <c r="X6074" s="16" t="str">
        <f>IFERROR(__xludf.DUMMYFUNCTION("""COMPUTED_VALUE"""),"")</f>
        <v/>
      </c>
      <c r="AC6074" s="16" t="str">
        <f>IFERROR(__xludf.DUMMYFUNCTION("""COMPUTED_VALUE"""),"")</f>
        <v/>
      </c>
    </row>
    <row r="6075">
      <c r="A6075" s="16" t="s">
        <v>87</v>
      </c>
      <c r="E6075" s="16" t="str">
        <f>IFERROR(__xludf.DUMMYFUNCTION("""COMPUTED_VALUE"""),"")</f>
        <v/>
      </c>
      <c r="G6075" s="18"/>
      <c r="H6075" s="16" t="s">
        <v>87</v>
      </c>
      <c r="I6075" s="16" t="s">
        <v>87</v>
      </c>
      <c r="J6075" s="19"/>
      <c r="L6075" s="16" t="str">
        <f>IFERROR(__xludf.DUMMYFUNCTION("""COMPUTED_VALUE"""),"")</f>
        <v/>
      </c>
      <c r="M6075" s="16" t="str">
        <f>IFERROR(__xludf.DUMMYFUNCTION("""COMPUTED_VALUE"""),"")</f>
        <v/>
      </c>
      <c r="U6075" s="16" t="s">
        <v>87</v>
      </c>
      <c r="V6075" s="16" t="str">
        <f>IFERROR(__xludf.DUMMYFUNCTION("""COMPUTED_VALUE"""),"")</f>
        <v/>
      </c>
      <c r="W6075" s="16" t="str">
        <f>IFERROR(__xludf.DUMMYFUNCTION("""COMPUTED_VALUE"""),"")</f>
        <v/>
      </c>
      <c r="X6075" s="16" t="str">
        <f>IFERROR(__xludf.DUMMYFUNCTION("""COMPUTED_VALUE"""),"")</f>
        <v/>
      </c>
      <c r="AC6075" s="16" t="str">
        <f>IFERROR(__xludf.DUMMYFUNCTION("""COMPUTED_VALUE"""),"")</f>
        <v/>
      </c>
    </row>
    <row r="6076">
      <c r="A6076" s="16" t="s">
        <v>87</v>
      </c>
      <c r="E6076" s="16" t="str">
        <f>IFERROR(__xludf.DUMMYFUNCTION("""COMPUTED_VALUE"""),"")</f>
        <v/>
      </c>
      <c r="G6076" s="18"/>
      <c r="H6076" s="16" t="s">
        <v>87</v>
      </c>
      <c r="I6076" s="16" t="s">
        <v>87</v>
      </c>
      <c r="J6076" s="19"/>
      <c r="L6076" s="16" t="str">
        <f>IFERROR(__xludf.DUMMYFUNCTION("""COMPUTED_VALUE"""),"")</f>
        <v/>
      </c>
      <c r="M6076" s="16" t="str">
        <f>IFERROR(__xludf.DUMMYFUNCTION("""COMPUTED_VALUE"""),"")</f>
        <v/>
      </c>
      <c r="U6076" s="16" t="s">
        <v>87</v>
      </c>
      <c r="V6076" s="16" t="str">
        <f>IFERROR(__xludf.DUMMYFUNCTION("""COMPUTED_VALUE"""),"")</f>
        <v/>
      </c>
      <c r="W6076" s="16" t="str">
        <f>IFERROR(__xludf.DUMMYFUNCTION("""COMPUTED_VALUE"""),"")</f>
        <v/>
      </c>
      <c r="X6076" s="16" t="str">
        <f>IFERROR(__xludf.DUMMYFUNCTION("""COMPUTED_VALUE"""),"")</f>
        <v/>
      </c>
      <c r="AC6076" s="16" t="str">
        <f>IFERROR(__xludf.DUMMYFUNCTION("""COMPUTED_VALUE"""),"")</f>
        <v/>
      </c>
    </row>
    <row r="6077">
      <c r="A6077" s="16" t="s">
        <v>87</v>
      </c>
      <c r="E6077" s="16" t="str">
        <f>IFERROR(__xludf.DUMMYFUNCTION("""COMPUTED_VALUE"""),"")</f>
        <v/>
      </c>
      <c r="G6077" s="18"/>
      <c r="H6077" s="16" t="s">
        <v>87</v>
      </c>
      <c r="I6077" s="16" t="s">
        <v>87</v>
      </c>
      <c r="J6077" s="19"/>
      <c r="L6077" s="16" t="str">
        <f>IFERROR(__xludf.DUMMYFUNCTION("""COMPUTED_VALUE"""),"")</f>
        <v/>
      </c>
      <c r="M6077" s="16" t="str">
        <f>IFERROR(__xludf.DUMMYFUNCTION("""COMPUTED_VALUE"""),"")</f>
        <v/>
      </c>
      <c r="U6077" s="16" t="s">
        <v>87</v>
      </c>
      <c r="V6077" s="16" t="str">
        <f>IFERROR(__xludf.DUMMYFUNCTION("""COMPUTED_VALUE"""),"")</f>
        <v/>
      </c>
      <c r="W6077" s="16" t="str">
        <f>IFERROR(__xludf.DUMMYFUNCTION("""COMPUTED_VALUE"""),"")</f>
        <v/>
      </c>
      <c r="X6077" s="16" t="str">
        <f>IFERROR(__xludf.DUMMYFUNCTION("""COMPUTED_VALUE"""),"")</f>
        <v/>
      </c>
      <c r="AC6077" s="16" t="str">
        <f>IFERROR(__xludf.DUMMYFUNCTION("""COMPUTED_VALUE"""),"")</f>
        <v/>
      </c>
    </row>
    <row r="6078">
      <c r="A6078" s="16" t="s">
        <v>87</v>
      </c>
      <c r="E6078" s="16" t="str">
        <f>IFERROR(__xludf.DUMMYFUNCTION("""COMPUTED_VALUE"""),"")</f>
        <v/>
      </c>
      <c r="G6078" s="18"/>
      <c r="H6078" s="16" t="s">
        <v>87</v>
      </c>
      <c r="I6078" s="16" t="s">
        <v>87</v>
      </c>
      <c r="J6078" s="19"/>
      <c r="L6078" s="16" t="str">
        <f>IFERROR(__xludf.DUMMYFUNCTION("""COMPUTED_VALUE"""),"")</f>
        <v/>
      </c>
      <c r="M6078" s="16" t="str">
        <f>IFERROR(__xludf.DUMMYFUNCTION("""COMPUTED_VALUE"""),"")</f>
        <v/>
      </c>
      <c r="U6078" s="16" t="s">
        <v>87</v>
      </c>
      <c r="V6078" s="16" t="str">
        <f>IFERROR(__xludf.DUMMYFUNCTION("""COMPUTED_VALUE"""),"")</f>
        <v/>
      </c>
      <c r="W6078" s="16" t="str">
        <f>IFERROR(__xludf.DUMMYFUNCTION("""COMPUTED_VALUE"""),"")</f>
        <v/>
      </c>
      <c r="X6078" s="16" t="str">
        <f>IFERROR(__xludf.DUMMYFUNCTION("""COMPUTED_VALUE"""),"")</f>
        <v/>
      </c>
      <c r="AC6078" s="16" t="str">
        <f>IFERROR(__xludf.DUMMYFUNCTION("""COMPUTED_VALUE"""),"")</f>
        <v/>
      </c>
    </row>
    <row r="6079">
      <c r="A6079" s="16" t="s">
        <v>87</v>
      </c>
      <c r="E6079" s="16" t="str">
        <f>IFERROR(__xludf.DUMMYFUNCTION("""COMPUTED_VALUE"""),"")</f>
        <v/>
      </c>
      <c r="G6079" s="18"/>
      <c r="H6079" s="16" t="s">
        <v>87</v>
      </c>
      <c r="I6079" s="16" t="s">
        <v>87</v>
      </c>
      <c r="J6079" s="19"/>
      <c r="L6079" s="16" t="str">
        <f>IFERROR(__xludf.DUMMYFUNCTION("""COMPUTED_VALUE"""),"")</f>
        <v/>
      </c>
      <c r="M6079" s="16" t="str">
        <f>IFERROR(__xludf.DUMMYFUNCTION("""COMPUTED_VALUE"""),"")</f>
        <v/>
      </c>
      <c r="U6079" s="16" t="s">
        <v>87</v>
      </c>
      <c r="V6079" s="16" t="str">
        <f>IFERROR(__xludf.DUMMYFUNCTION("""COMPUTED_VALUE"""),"")</f>
        <v/>
      </c>
      <c r="W6079" s="16" t="str">
        <f>IFERROR(__xludf.DUMMYFUNCTION("""COMPUTED_VALUE"""),"")</f>
        <v/>
      </c>
      <c r="X6079" s="16" t="str">
        <f>IFERROR(__xludf.DUMMYFUNCTION("""COMPUTED_VALUE"""),"")</f>
        <v/>
      </c>
      <c r="AC6079" s="16" t="str">
        <f>IFERROR(__xludf.DUMMYFUNCTION("""COMPUTED_VALUE"""),"")</f>
        <v/>
      </c>
    </row>
    <row r="6080">
      <c r="A6080" s="16" t="s">
        <v>87</v>
      </c>
      <c r="E6080" s="16" t="str">
        <f>IFERROR(__xludf.DUMMYFUNCTION("""COMPUTED_VALUE"""),"")</f>
        <v/>
      </c>
      <c r="G6080" s="18"/>
      <c r="H6080" s="16" t="s">
        <v>87</v>
      </c>
      <c r="I6080" s="16" t="s">
        <v>87</v>
      </c>
      <c r="J6080" s="19"/>
      <c r="L6080" s="16" t="str">
        <f>IFERROR(__xludf.DUMMYFUNCTION("""COMPUTED_VALUE"""),"")</f>
        <v/>
      </c>
      <c r="M6080" s="16" t="str">
        <f>IFERROR(__xludf.DUMMYFUNCTION("""COMPUTED_VALUE"""),"")</f>
        <v/>
      </c>
      <c r="U6080" s="16" t="s">
        <v>87</v>
      </c>
      <c r="V6080" s="16" t="str">
        <f>IFERROR(__xludf.DUMMYFUNCTION("""COMPUTED_VALUE"""),"")</f>
        <v/>
      </c>
      <c r="W6080" s="16" t="str">
        <f>IFERROR(__xludf.DUMMYFUNCTION("""COMPUTED_VALUE"""),"")</f>
        <v/>
      </c>
      <c r="X6080" s="16" t="str">
        <f>IFERROR(__xludf.DUMMYFUNCTION("""COMPUTED_VALUE"""),"")</f>
        <v/>
      </c>
      <c r="AC6080" s="16" t="str">
        <f>IFERROR(__xludf.DUMMYFUNCTION("""COMPUTED_VALUE"""),"")</f>
        <v/>
      </c>
    </row>
    <row r="6081">
      <c r="A6081" s="16" t="s">
        <v>87</v>
      </c>
      <c r="E6081" s="16" t="str">
        <f>IFERROR(__xludf.DUMMYFUNCTION("""COMPUTED_VALUE"""),"")</f>
        <v/>
      </c>
      <c r="G6081" s="18"/>
      <c r="H6081" s="16" t="s">
        <v>87</v>
      </c>
      <c r="I6081" s="16" t="s">
        <v>87</v>
      </c>
      <c r="J6081" s="19"/>
      <c r="L6081" s="16" t="str">
        <f>IFERROR(__xludf.DUMMYFUNCTION("""COMPUTED_VALUE"""),"")</f>
        <v/>
      </c>
      <c r="M6081" s="16" t="str">
        <f>IFERROR(__xludf.DUMMYFUNCTION("""COMPUTED_VALUE"""),"")</f>
        <v/>
      </c>
      <c r="U6081" s="16" t="s">
        <v>87</v>
      </c>
      <c r="V6081" s="16" t="str">
        <f>IFERROR(__xludf.DUMMYFUNCTION("""COMPUTED_VALUE"""),"")</f>
        <v/>
      </c>
      <c r="W6081" s="16" t="str">
        <f>IFERROR(__xludf.DUMMYFUNCTION("""COMPUTED_VALUE"""),"")</f>
        <v/>
      </c>
      <c r="X6081" s="16" t="str">
        <f>IFERROR(__xludf.DUMMYFUNCTION("""COMPUTED_VALUE"""),"")</f>
        <v/>
      </c>
      <c r="AC6081" s="16" t="str">
        <f>IFERROR(__xludf.DUMMYFUNCTION("""COMPUTED_VALUE"""),"")</f>
        <v/>
      </c>
    </row>
    <row r="6082">
      <c r="A6082" s="16" t="s">
        <v>87</v>
      </c>
      <c r="E6082" s="16" t="str">
        <f>IFERROR(__xludf.DUMMYFUNCTION("""COMPUTED_VALUE"""),"")</f>
        <v/>
      </c>
      <c r="G6082" s="18"/>
      <c r="H6082" s="16" t="s">
        <v>87</v>
      </c>
      <c r="I6082" s="16" t="s">
        <v>87</v>
      </c>
      <c r="J6082" s="19"/>
      <c r="L6082" s="16" t="str">
        <f>IFERROR(__xludf.DUMMYFUNCTION("""COMPUTED_VALUE"""),"")</f>
        <v/>
      </c>
      <c r="M6082" s="16" t="str">
        <f>IFERROR(__xludf.DUMMYFUNCTION("""COMPUTED_VALUE"""),"")</f>
        <v/>
      </c>
      <c r="U6082" s="16" t="s">
        <v>87</v>
      </c>
      <c r="V6082" s="16" t="str">
        <f>IFERROR(__xludf.DUMMYFUNCTION("""COMPUTED_VALUE"""),"")</f>
        <v/>
      </c>
      <c r="W6082" s="16" t="str">
        <f>IFERROR(__xludf.DUMMYFUNCTION("""COMPUTED_VALUE"""),"")</f>
        <v/>
      </c>
      <c r="X6082" s="16" t="str">
        <f>IFERROR(__xludf.DUMMYFUNCTION("""COMPUTED_VALUE"""),"")</f>
        <v/>
      </c>
      <c r="AC6082" s="16" t="str">
        <f>IFERROR(__xludf.DUMMYFUNCTION("""COMPUTED_VALUE"""),"")</f>
        <v/>
      </c>
    </row>
    <row r="6083">
      <c r="A6083" s="16" t="s">
        <v>87</v>
      </c>
      <c r="E6083" s="16" t="str">
        <f>IFERROR(__xludf.DUMMYFUNCTION("""COMPUTED_VALUE"""),"")</f>
        <v/>
      </c>
      <c r="G6083" s="18"/>
      <c r="H6083" s="16" t="s">
        <v>87</v>
      </c>
      <c r="I6083" s="16" t="s">
        <v>87</v>
      </c>
      <c r="J6083" s="19"/>
      <c r="L6083" s="16" t="str">
        <f>IFERROR(__xludf.DUMMYFUNCTION("""COMPUTED_VALUE"""),"")</f>
        <v/>
      </c>
      <c r="M6083" s="16" t="str">
        <f>IFERROR(__xludf.DUMMYFUNCTION("""COMPUTED_VALUE"""),"")</f>
        <v/>
      </c>
      <c r="U6083" s="16" t="s">
        <v>87</v>
      </c>
      <c r="V6083" s="16" t="str">
        <f>IFERROR(__xludf.DUMMYFUNCTION("""COMPUTED_VALUE"""),"")</f>
        <v/>
      </c>
      <c r="W6083" s="16" t="str">
        <f>IFERROR(__xludf.DUMMYFUNCTION("""COMPUTED_VALUE"""),"")</f>
        <v/>
      </c>
      <c r="X6083" s="16" t="str">
        <f>IFERROR(__xludf.DUMMYFUNCTION("""COMPUTED_VALUE"""),"")</f>
        <v/>
      </c>
      <c r="AC6083" s="16" t="str">
        <f>IFERROR(__xludf.DUMMYFUNCTION("""COMPUTED_VALUE"""),"")</f>
        <v/>
      </c>
    </row>
    <row r="6084">
      <c r="A6084" s="16" t="s">
        <v>87</v>
      </c>
      <c r="E6084" s="16" t="str">
        <f>IFERROR(__xludf.DUMMYFUNCTION("""COMPUTED_VALUE"""),"")</f>
        <v/>
      </c>
      <c r="G6084" s="18"/>
      <c r="H6084" s="16" t="s">
        <v>87</v>
      </c>
      <c r="I6084" s="16" t="s">
        <v>87</v>
      </c>
      <c r="J6084" s="19"/>
      <c r="L6084" s="16" t="str">
        <f>IFERROR(__xludf.DUMMYFUNCTION("""COMPUTED_VALUE"""),"")</f>
        <v/>
      </c>
      <c r="M6084" s="16" t="str">
        <f>IFERROR(__xludf.DUMMYFUNCTION("""COMPUTED_VALUE"""),"")</f>
        <v/>
      </c>
      <c r="U6084" s="16" t="s">
        <v>87</v>
      </c>
      <c r="V6084" s="16" t="str">
        <f>IFERROR(__xludf.DUMMYFUNCTION("""COMPUTED_VALUE"""),"")</f>
        <v/>
      </c>
      <c r="W6084" s="16" t="str">
        <f>IFERROR(__xludf.DUMMYFUNCTION("""COMPUTED_VALUE"""),"")</f>
        <v/>
      </c>
      <c r="X6084" s="16" t="str">
        <f>IFERROR(__xludf.DUMMYFUNCTION("""COMPUTED_VALUE"""),"")</f>
        <v/>
      </c>
      <c r="AC6084" s="16" t="str">
        <f>IFERROR(__xludf.DUMMYFUNCTION("""COMPUTED_VALUE"""),"")</f>
        <v/>
      </c>
    </row>
    <row r="6085">
      <c r="A6085" s="16" t="s">
        <v>87</v>
      </c>
      <c r="E6085" s="16" t="str">
        <f>IFERROR(__xludf.DUMMYFUNCTION("""COMPUTED_VALUE"""),"")</f>
        <v/>
      </c>
      <c r="G6085" s="18"/>
      <c r="H6085" s="16" t="s">
        <v>87</v>
      </c>
      <c r="I6085" s="16" t="s">
        <v>87</v>
      </c>
      <c r="J6085" s="19"/>
      <c r="L6085" s="16" t="str">
        <f>IFERROR(__xludf.DUMMYFUNCTION("""COMPUTED_VALUE"""),"")</f>
        <v/>
      </c>
      <c r="M6085" s="16" t="str">
        <f>IFERROR(__xludf.DUMMYFUNCTION("""COMPUTED_VALUE"""),"")</f>
        <v/>
      </c>
      <c r="U6085" s="16" t="s">
        <v>87</v>
      </c>
      <c r="V6085" s="16" t="str">
        <f>IFERROR(__xludf.DUMMYFUNCTION("""COMPUTED_VALUE"""),"")</f>
        <v/>
      </c>
      <c r="W6085" s="16" t="str">
        <f>IFERROR(__xludf.DUMMYFUNCTION("""COMPUTED_VALUE"""),"")</f>
        <v/>
      </c>
      <c r="X6085" s="16" t="str">
        <f>IFERROR(__xludf.DUMMYFUNCTION("""COMPUTED_VALUE"""),"")</f>
        <v/>
      </c>
      <c r="AC6085" s="16" t="str">
        <f>IFERROR(__xludf.DUMMYFUNCTION("""COMPUTED_VALUE"""),"")</f>
        <v/>
      </c>
    </row>
    <row r="6086">
      <c r="A6086" s="16" t="s">
        <v>87</v>
      </c>
      <c r="E6086" s="16" t="str">
        <f>IFERROR(__xludf.DUMMYFUNCTION("""COMPUTED_VALUE"""),"")</f>
        <v/>
      </c>
      <c r="G6086" s="18"/>
      <c r="H6086" s="16" t="s">
        <v>87</v>
      </c>
      <c r="I6086" s="16" t="s">
        <v>87</v>
      </c>
      <c r="J6086" s="19"/>
      <c r="L6086" s="16" t="str">
        <f>IFERROR(__xludf.DUMMYFUNCTION("""COMPUTED_VALUE"""),"")</f>
        <v/>
      </c>
      <c r="M6086" s="16" t="str">
        <f>IFERROR(__xludf.DUMMYFUNCTION("""COMPUTED_VALUE"""),"")</f>
        <v/>
      </c>
      <c r="U6086" s="16" t="s">
        <v>87</v>
      </c>
      <c r="V6086" s="16" t="str">
        <f>IFERROR(__xludf.DUMMYFUNCTION("""COMPUTED_VALUE"""),"")</f>
        <v/>
      </c>
      <c r="W6086" s="16" t="str">
        <f>IFERROR(__xludf.DUMMYFUNCTION("""COMPUTED_VALUE"""),"")</f>
        <v/>
      </c>
      <c r="X6086" s="16" t="str">
        <f>IFERROR(__xludf.DUMMYFUNCTION("""COMPUTED_VALUE"""),"")</f>
        <v/>
      </c>
      <c r="AC6086" s="16" t="str">
        <f>IFERROR(__xludf.DUMMYFUNCTION("""COMPUTED_VALUE"""),"")</f>
        <v/>
      </c>
    </row>
    <row r="6087">
      <c r="A6087" s="16" t="s">
        <v>87</v>
      </c>
      <c r="E6087" s="16" t="str">
        <f>IFERROR(__xludf.DUMMYFUNCTION("""COMPUTED_VALUE"""),"")</f>
        <v/>
      </c>
      <c r="G6087" s="18"/>
      <c r="H6087" s="16" t="s">
        <v>87</v>
      </c>
      <c r="I6087" s="16" t="s">
        <v>87</v>
      </c>
      <c r="J6087" s="19"/>
      <c r="L6087" s="16" t="str">
        <f>IFERROR(__xludf.DUMMYFUNCTION("""COMPUTED_VALUE"""),"")</f>
        <v/>
      </c>
      <c r="M6087" s="16" t="str">
        <f>IFERROR(__xludf.DUMMYFUNCTION("""COMPUTED_VALUE"""),"")</f>
        <v/>
      </c>
      <c r="U6087" s="16" t="s">
        <v>87</v>
      </c>
      <c r="V6087" s="16" t="str">
        <f>IFERROR(__xludf.DUMMYFUNCTION("""COMPUTED_VALUE"""),"")</f>
        <v/>
      </c>
      <c r="W6087" s="16" t="str">
        <f>IFERROR(__xludf.DUMMYFUNCTION("""COMPUTED_VALUE"""),"")</f>
        <v/>
      </c>
      <c r="X6087" s="16" t="str">
        <f>IFERROR(__xludf.DUMMYFUNCTION("""COMPUTED_VALUE"""),"")</f>
        <v/>
      </c>
      <c r="AC6087" s="16" t="str">
        <f>IFERROR(__xludf.DUMMYFUNCTION("""COMPUTED_VALUE"""),"")</f>
        <v/>
      </c>
    </row>
    <row r="6088">
      <c r="A6088" s="16" t="s">
        <v>87</v>
      </c>
      <c r="E6088" s="16" t="str">
        <f>IFERROR(__xludf.DUMMYFUNCTION("""COMPUTED_VALUE"""),"")</f>
        <v/>
      </c>
      <c r="G6088" s="18"/>
      <c r="H6088" s="16" t="s">
        <v>87</v>
      </c>
      <c r="I6088" s="16" t="s">
        <v>87</v>
      </c>
      <c r="J6088" s="19"/>
      <c r="L6088" s="16" t="str">
        <f>IFERROR(__xludf.DUMMYFUNCTION("""COMPUTED_VALUE"""),"")</f>
        <v/>
      </c>
      <c r="M6088" s="16" t="str">
        <f>IFERROR(__xludf.DUMMYFUNCTION("""COMPUTED_VALUE"""),"")</f>
        <v/>
      </c>
      <c r="U6088" s="16" t="s">
        <v>87</v>
      </c>
      <c r="V6088" s="16" t="str">
        <f>IFERROR(__xludf.DUMMYFUNCTION("""COMPUTED_VALUE"""),"")</f>
        <v/>
      </c>
      <c r="W6088" s="16" t="str">
        <f>IFERROR(__xludf.DUMMYFUNCTION("""COMPUTED_VALUE"""),"")</f>
        <v/>
      </c>
      <c r="X6088" s="16" t="str">
        <f>IFERROR(__xludf.DUMMYFUNCTION("""COMPUTED_VALUE"""),"")</f>
        <v/>
      </c>
      <c r="AC6088" s="16" t="str">
        <f>IFERROR(__xludf.DUMMYFUNCTION("""COMPUTED_VALUE"""),"")</f>
        <v/>
      </c>
    </row>
    <row r="6089">
      <c r="A6089" s="16" t="s">
        <v>87</v>
      </c>
      <c r="E6089" s="16" t="str">
        <f>IFERROR(__xludf.DUMMYFUNCTION("""COMPUTED_VALUE"""),"")</f>
        <v/>
      </c>
      <c r="G6089" s="18"/>
      <c r="H6089" s="16" t="s">
        <v>87</v>
      </c>
      <c r="I6089" s="16" t="s">
        <v>87</v>
      </c>
      <c r="J6089" s="19"/>
      <c r="L6089" s="16" t="str">
        <f>IFERROR(__xludf.DUMMYFUNCTION("""COMPUTED_VALUE"""),"")</f>
        <v/>
      </c>
      <c r="M6089" s="16" t="str">
        <f>IFERROR(__xludf.DUMMYFUNCTION("""COMPUTED_VALUE"""),"")</f>
        <v/>
      </c>
      <c r="U6089" s="16" t="s">
        <v>87</v>
      </c>
      <c r="V6089" s="16" t="str">
        <f>IFERROR(__xludf.DUMMYFUNCTION("""COMPUTED_VALUE"""),"")</f>
        <v/>
      </c>
      <c r="W6089" s="16" t="str">
        <f>IFERROR(__xludf.DUMMYFUNCTION("""COMPUTED_VALUE"""),"")</f>
        <v/>
      </c>
      <c r="X6089" s="16" t="str">
        <f>IFERROR(__xludf.DUMMYFUNCTION("""COMPUTED_VALUE"""),"")</f>
        <v/>
      </c>
      <c r="AC6089" s="16" t="str">
        <f>IFERROR(__xludf.DUMMYFUNCTION("""COMPUTED_VALUE"""),"")</f>
        <v/>
      </c>
    </row>
    <row r="6090">
      <c r="A6090" s="16" t="s">
        <v>87</v>
      </c>
      <c r="E6090" s="16" t="str">
        <f>IFERROR(__xludf.DUMMYFUNCTION("""COMPUTED_VALUE"""),"")</f>
        <v/>
      </c>
      <c r="G6090" s="18"/>
      <c r="H6090" s="16" t="s">
        <v>87</v>
      </c>
      <c r="I6090" s="16" t="s">
        <v>87</v>
      </c>
      <c r="J6090" s="19"/>
      <c r="L6090" s="16" t="str">
        <f>IFERROR(__xludf.DUMMYFUNCTION("""COMPUTED_VALUE"""),"")</f>
        <v/>
      </c>
      <c r="M6090" s="16" t="str">
        <f>IFERROR(__xludf.DUMMYFUNCTION("""COMPUTED_VALUE"""),"")</f>
        <v/>
      </c>
      <c r="U6090" s="16" t="s">
        <v>87</v>
      </c>
      <c r="V6090" s="16" t="str">
        <f>IFERROR(__xludf.DUMMYFUNCTION("""COMPUTED_VALUE"""),"")</f>
        <v/>
      </c>
      <c r="W6090" s="16" t="str">
        <f>IFERROR(__xludf.DUMMYFUNCTION("""COMPUTED_VALUE"""),"")</f>
        <v/>
      </c>
      <c r="X6090" s="16" t="str">
        <f>IFERROR(__xludf.DUMMYFUNCTION("""COMPUTED_VALUE"""),"")</f>
        <v/>
      </c>
      <c r="AC6090" s="16" t="str">
        <f>IFERROR(__xludf.DUMMYFUNCTION("""COMPUTED_VALUE"""),"")</f>
        <v/>
      </c>
    </row>
    <row r="6091">
      <c r="A6091" s="16" t="s">
        <v>87</v>
      </c>
      <c r="E6091" s="16" t="str">
        <f>IFERROR(__xludf.DUMMYFUNCTION("""COMPUTED_VALUE"""),"")</f>
        <v/>
      </c>
      <c r="G6091" s="18"/>
      <c r="H6091" s="16" t="s">
        <v>87</v>
      </c>
      <c r="I6091" s="16" t="s">
        <v>87</v>
      </c>
      <c r="J6091" s="19"/>
      <c r="L6091" s="16" t="str">
        <f>IFERROR(__xludf.DUMMYFUNCTION("""COMPUTED_VALUE"""),"")</f>
        <v/>
      </c>
      <c r="M6091" s="16" t="str">
        <f>IFERROR(__xludf.DUMMYFUNCTION("""COMPUTED_VALUE"""),"")</f>
        <v/>
      </c>
      <c r="U6091" s="16" t="s">
        <v>87</v>
      </c>
      <c r="V6091" s="16" t="str">
        <f>IFERROR(__xludf.DUMMYFUNCTION("""COMPUTED_VALUE"""),"")</f>
        <v/>
      </c>
      <c r="W6091" s="16" t="str">
        <f>IFERROR(__xludf.DUMMYFUNCTION("""COMPUTED_VALUE"""),"")</f>
        <v/>
      </c>
      <c r="X6091" s="16" t="str">
        <f>IFERROR(__xludf.DUMMYFUNCTION("""COMPUTED_VALUE"""),"")</f>
        <v/>
      </c>
      <c r="AC6091" s="16" t="str">
        <f>IFERROR(__xludf.DUMMYFUNCTION("""COMPUTED_VALUE"""),"")</f>
        <v/>
      </c>
    </row>
    <row r="6092">
      <c r="A6092" s="16" t="s">
        <v>87</v>
      </c>
      <c r="E6092" s="16" t="str">
        <f>IFERROR(__xludf.DUMMYFUNCTION("""COMPUTED_VALUE"""),"")</f>
        <v/>
      </c>
      <c r="G6092" s="18"/>
      <c r="H6092" s="16" t="s">
        <v>87</v>
      </c>
      <c r="I6092" s="16" t="s">
        <v>87</v>
      </c>
      <c r="J6092" s="19"/>
      <c r="L6092" s="16" t="str">
        <f>IFERROR(__xludf.DUMMYFUNCTION("""COMPUTED_VALUE"""),"")</f>
        <v/>
      </c>
      <c r="M6092" s="16" t="str">
        <f>IFERROR(__xludf.DUMMYFUNCTION("""COMPUTED_VALUE"""),"")</f>
        <v/>
      </c>
      <c r="U6092" s="16" t="s">
        <v>87</v>
      </c>
      <c r="V6092" s="16" t="str">
        <f>IFERROR(__xludf.DUMMYFUNCTION("""COMPUTED_VALUE"""),"")</f>
        <v/>
      </c>
      <c r="W6092" s="16" t="str">
        <f>IFERROR(__xludf.DUMMYFUNCTION("""COMPUTED_VALUE"""),"")</f>
        <v/>
      </c>
      <c r="X6092" s="16" t="str">
        <f>IFERROR(__xludf.DUMMYFUNCTION("""COMPUTED_VALUE"""),"")</f>
        <v/>
      </c>
      <c r="AC6092" s="16" t="str">
        <f>IFERROR(__xludf.DUMMYFUNCTION("""COMPUTED_VALUE"""),"")</f>
        <v/>
      </c>
    </row>
    <row r="6093">
      <c r="A6093" s="16" t="s">
        <v>87</v>
      </c>
      <c r="E6093" s="16" t="str">
        <f>IFERROR(__xludf.DUMMYFUNCTION("""COMPUTED_VALUE"""),"")</f>
        <v/>
      </c>
      <c r="G6093" s="18"/>
      <c r="H6093" s="16" t="s">
        <v>87</v>
      </c>
      <c r="I6093" s="16" t="s">
        <v>87</v>
      </c>
      <c r="J6093" s="19"/>
      <c r="L6093" s="16" t="str">
        <f>IFERROR(__xludf.DUMMYFUNCTION("""COMPUTED_VALUE"""),"")</f>
        <v/>
      </c>
      <c r="M6093" s="16" t="str">
        <f>IFERROR(__xludf.DUMMYFUNCTION("""COMPUTED_VALUE"""),"")</f>
        <v/>
      </c>
      <c r="U6093" s="16" t="s">
        <v>87</v>
      </c>
      <c r="V6093" s="16" t="str">
        <f>IFERROR(__xludf.DUMMYFUNCTION("""COMPUTED_VALUE"""),"")</f>
        <v/>
      </c>
      <c r="W6093" s="16" t="str">
        <f>IFERROR(__xludf.DUMMYFUNCTION("""COMPUTED_VALUE"""),"")</f>
        <v/>
      </c>
      <c r="X6093" s="16" t="str">
        <f>IFERROR(__xludf.DUMMYFUNCTION("""COMPUTED_VALUE"""),"")</f>
        <v/>
      </c>
      <c r="AC6093" s="16" t="str">
        <f>IFERROR(__xludf.DUMMYFUNCTION("""COMPUTED_VALUE"""),"")</f>
        <v/>
      </c>
    </row>
    <row r="6094">
      <c r="A6094" s="16" t="s">
        <v>87</v>
      </c>
      <c r="E6094" s="16" t="str">
        <f>IFERROR(__xludf.DUMMYFUNCTION("""COMPUTED_VALUE"""),"")</f>
        <v/>
      </c>
      <c r="G6094" s="18"/>
      <c r="H6094" s="16" t="s">
        <v>87</v>
      </c>
      <c r="I6094" s="16" t="s">
        <v>87</v>
      </c>
      <c r="J6094" s="19"/>
      <c r="L6094" s="16" t="str">
        <f>IFERROR(__xludf.DUMMYFUNCTION("""COMPUTED_VALUE"""),"")</f>
        <v/>
      </c>
      <c r="M6094" s="16" t="str">
        <f>IFERROR(__xludf.DUMMYFUNCTION("""COMPUTED_VALUE"""),"")</f>
        <v/>
      </c>
      <c r="U6094" s="16" t="s">
        <v>87</v>
      </c>
      <c r="V6094" s="16" t="str">
        <f>IFERROR(__xludf.DUMMYFUNCTION("""COMPUTED_VALUE"""),"")</f>
        <v/>
      </c>
      <c r="W6094" s="16" t="str">
        <f>IFERROR(__xludf.DUMMYFUNCTION("""COMPUTED_VALUE"""),"")</f>
        <v/>
      </c>
      <c r="X6094" s="16" t="str">
        <f>IFERROR(__xludf.DUMMYFUNCTION("""COMPUTED_VALUE"""),"")</f>
        <v/>
      </c>
      <c r="AC6094" s="16" t="str">
        <f>IFERROR(__xludf.DUMMYFUNCTION("""COMPUTED_VALUE"""),"")</f>
        <v/>
      </c>
    </row>
    <row r="6095">
      <c r="A6095" s="16" t="s">
        <v>87</v>
      </c>
      <c r="E6095" s="16" t="str">
        <f>IFERROR(__xludf.DUMMYFUNCTION("""COMPUTED_VALUE"""),"")</f>
        <v/>
      </c>
      <c r="G6095" s="18"/>
      <c r="H6095" s="16" t="s">
        <v>87</v>
      </c>
      <c r="I6095" s="16" t="s">
        <v>87</v>
      </c>
      <c r="J6095" s="19"/>
      <c r="L6095" s="16" t="str">
        <f>IFERROR(__xludf.DUMMYFUNCTION("""COMPUTED_VALUE"""),"")</f>
        <v/>
      </c>
      <c r="M6095" s="16" t="str">
        <f>IFERROR(__xludf.DUMMYFUNCTION("""COMPUTED_VALUE"""),"")</f>
        <v/>
      </c>
      <c r="U6095" s="16" t="s">
        <v>87</v>
      </c>
      <c r="V6095" s="16" t="str">
        <f>IFERROR(__xludf.DUMMYFUNCTION("""COMPUTED_VALUE"""),"")</f>
        <v/>
      </c>
      <c r="W6095" s="16" t="str">
        <f>IFERROR(__xludf.DUMMYFUNCTION("""COMPUTED_VALUE"""),"")</f>
        <v/>
      </c>
      <c r="X6095" s="16" t="str">
        <f>IFERROR(__xludf.DUMMYFUNCTION("""COMPUTED_VALUE"""),"")</f>
        <v/>
      </c>
      <c r="AC6095" s="16" t="str">
        <f>IFERROR(__xludf.DUMMYFUNCTION("""COMPUTED_VALUE"""),"")</f>
        <v/>
      </c>
    </row>
    <row r="6096">
      <c r="A6096" s="16" t="s">
        <v>87</v>
      </c>
      <c r="E6096" s="16" t="str">
        <f>IFERROR(__xludf.DUMMYFUNCTION("""COMPUTED_VALUE"""),"")</f>
        <v/>
      </c>
      <c r="G6096" s="18"/>
      <c r="H6096" s="16" t="s">
        <v>87</v>
      </c>
      <c r="I6096" s="16" t="s">
        <v>87</v>
      </c>
      <c r="J6096" s="19"/>
      <c r="L6096" s="16" t="str">
        <f>IFERROR(__xludf.DUMMYFUNCTION("""COMPUTED_VALUE"""),"")</f>
        <v/>
      </c>
      <c r="M6096" s="16" t="str">
        <f>IFERROR(__xludf.DUMMYFUNCTION("""COMPUTED_VALUE"""),"")</f>
        <v/>
      </c>
      <c r="U6096" s="16" t="s">
        <v>87</v>
      </c>
      <c r="V6096" s="16" t="str">
        <f>IFERROR(__xludf.DUMMYFUNCTION("""COMPUTED_VALUE"""),"")</f>
        <v/>
      </c>
      <c r="W6096" s="16" t="str">
        <f>IFERROR(__xludf.DUMMYFUNCTION("""COMPUTED_VALUE"""),"")</f>
        <v/>
      </c>
      <c r="X6096" s="16" t="str">
        <f>IFERROR(__xludf.DUMMYFUNCTION("""COMPUTED_VALUE"""),"")</f>
        <v/>
      </c>
      <c r="AC6096" s="16" t="str">
        <f>IFERROR(__xludf.DUMMYFUNCTION("""COMPUTED_VALUE"""),"")</f>
        <v/>
      </c>
    </row>
    <row r="6097">
      <c r="A6097" s="16" t="s">
        <v>87</v>
      </c>
      <c r="E6097" s="16" t="str">
        <f>IFERROR(__xludf.DUMMYFUNCTION("""COMPUTED_VALUE"""),"")</f>
        <v/>
      </c>
      <c r="G6097" s="18"/>
      <c r="H6097" s="16" t="s">
        <v>87</v>
      </c>
      <c r="I6097" s="16" t="s">
        <v>87</v>
      </c>
      <c r="J6097" s="19"/>
      <c r="L6097" s="16" t="str">
        <f>IFERROR(__xludf.DUMMYFUNCTION("""COMPUTED_VALUE"""),"")</f>
        <v/>
      </c>
      <c r="M6097" s="16" t="str">
        <f>IFERROR(__xludf.DUMMYFUNCTION("""COMPUTED_VALUE"""),"")</f>
        <v/>
      </c>
      <c r="U6097" s="16" t="s">
        <v>87</v>
      </c>
      <c r="V6097" s="16" t="str">
        <f>IFERROR(__xludf.DUMMYFUNCTION("""COMPUTED_VALUE"""),"")</f>
        <v/>
      </c>
      <c r="W6097" s="16" t="str">
        <f>IFERROR(__xludf.DUMMYFUNCTION("""COMPUTED_VALUE"""),"")</f>
        <v/>
      </c>
      <c r="X6097" s="16" t="str">
        <f>IFERROR(__xludf.DUMMYFUNCTION("""COMPUTED_VALUE"""),"")</f>
        <v/>
      </c>
      <c r="AC6097" s="16" t="str">
        <f>IFERROR(__xludf.DUMMYFUNCTION("""COMPUTED_VALUE"""),"")</f>
        <v/>
      </c>
    </row>
    <row r="6098">
      <c r="A6098" s="16" t="s">
        <v>87</v>
      </c>
      <c r="E6098" s="16" t="str">
        <f>IFERROR(__xludf.DUMMYFUNCTION("""COMPUTED_VALUE"""),"")</f>
        <v/>
      </c>
      <c r="G6098" s="18"/>
      <c r="H6098" s="16" t="s">
        <v>87</v>
      </c>
      <c r="I6098" s="16" t="s">
        <v>87</v>
      </c>
      <c r="J6098" s="19"/>
      <c r="L6098" s="16" t="str">
        <f>IFERROR(__xludf.DUMMYFUNCTION("""COMPUTED_VALUE"""),"")</f>
        <v/>
      </c>
      <c r="M6098" s="16" t="str">
        <f>IFERROR(__xludf.DUMMYFUNCTION("""COMPUTED_VALUE"""),"")</f>
        <v/>
      </c>
      <c r="U6098" s="16" t="s">
        <v>87</v>
      </c>
      <c r="V6098" s="16" t="str">
        <f>IFERROR(__xludf.DUMMYFUNCTION("""COMPUTED_VALUE"""),"")</f>
        <v/>
      </c>
      <c r="W6098" s="16" t="str">
        <f>IFERROR(__xludf.DUMMYFUNCTION("""COMPUTED_VALUE"""),"")</f>
        <v/>
      </c>
      <c r="X6098" s="16" t="str">
        <f>IFERROR(__xludf.DUMMYFUNCTION("""COMPUTED_VALUE"""),"")</f>
        <v/>
      </c>
      <c r="AC6098" s="16" t="str">
        <f>IFERROR(__xludf.DUMMYFUNCTION("""COMPUTED_VALUE"""),"")</f>
        <v/>
      </c>
    </row>
    <row r="6099">
      <c r="A6099" s="16" t="s">
        <v>87</v>
      </c>
      <c r="E6099" s="16" t="str">
        <f>IFERROR(__xludf.DUMMYFUNCTION("""COMPUTED_VALUE"""),"")</f>
        <v/>
      </c>
      <c r="G6099" s="18"/>
      <c r="H6099" s="16" t="s">
        <v>87</v>
      </c>
      <c r="I6099" s="16" t="s">
        <v>87</v>
      </c>
      <c r="J6099" s="19"/>
      <c r="L6099" s="16" t="str">
        <f>IFERROR(__xludf.DUMMYFUNCTION("""COMPUTED_VALUE"""),"")</f>
        <v/>
      </c>
      <c r="M6099" s="16" t="str">
        <f>IFERROR(__xludf.DUMMYFUNCTION("""COMPUTED_VALUE"""),"")</f>
        <v/>
      </c>
      <c r="U6099" s="16" t="s">
        <v>87</v>
      </c>
      <c r="V6099" s="16" t="str">
        <f>IFERROR(__xludf.DUMMYFUNCTION("""COMPUTED_VALUE"""),"")</f>
        <v/>
      </c>
      <c r="W6099" s="16" t="str">
        <f>IFERROR(__xludf.DUMMYFUNCTION("""COMPUTED_VALUE"""),"")</f>
        <v/>
      </c>
      <c r="X6099" s="16" t="str">
        <f>IFERROR(__xludf.DUMMYFUNCTION("""COMPUTED_VALUE"""),"")</f>
        <v/>
      </c>
      <c r="AC6099" s="16" t="str">
        <f>IFERROR(__xludf.DUMMYFUNCTION("""COMPUTED_VALUE"""),"")</f>
        <v/>
      </c>
    </row>
    <row r="6100">
      <c r="A6100" s="16" t="s">
        <v>87</v>
      </c>
      <c r="E6100" s="16" t="str">
        <f>IFERROR(__xludf.DUMMYFUNCTION("""COMPUTED_VALUE"""),"")</f>
        <v/>
      </c>
      <c r="G6100" s="18"/>
      <c r="H6100" s="16" t="s">
        <v>87</v>
      </c>
      <c r="I6100" s="16" t="s">
        <v>87</v>
      </c>
      <c r="J6100" s="19"/>
      <c r="L6100" s="16" t="str">
        <f>IFERROR(__xludf.DUMMYFUNCTION("""COMPUTED_VALUE"""),"")</f>
        <v/>
      </c>
      <c r="M6100" s="16" t="str">
        <f>IFERROR(__xludf.DUMMYFUNCTION("""COMPUTED_VALUE"""),"")</f>
        <v/>
      </c>
      <c r="U6100" s="16" t="s">
        <v>87</v>
      </c>
      <c r="V6100" s="16" t="str">
        <f>IFERROR(__xludf.DUMMYFUNCTION("""COMPUTED_VALUE"""),"")</f>
        <v/>
      </c>
      <c r="W6100" s="16" t="str">
        <f>IFERROR(__xludf.DUMMYFUNCTION("""COMPUTED_VALUE"""),"")</f>
        <v/>
      </c>
      <c r="X6100" s="16" t="str">
        <f>IFERROR(__xludf.DUMMYFUNCTION("""COMPUTED_VALUE"""),"")</f>
        <v/>
      </c>
      <c r="AC6100" s="16" t="str">
        <f>IFERROR(__xludf.DUMMYFUNCTION("""COMPUTED_VALUE"""),"")</f>
        <v/>
      </c>
    </row>
    <row r="6101">
      <c r="A6101" s="16" t="s">
        <v>87</v>
      </c>
      <c r="E6101" s="16" t="str">
        <f>IFERROR(__xludf.DUMMYFUNCTION("""COMPUTED_VALUE"""),"")</f>
        <v/>
      </c>
      <c r="G6101" s="18"/>
      <c r="H6101" s="16" t="s">
        <v>87</v>
      </c>
      <c r="I6101" s="16" t="s">
        <v>87</v>
      </c>
      <c r="J6101" s="19"/>
      <c r="L6101" s="16" t="str">
        <f>IFERROR(__xludf.DUMMYFUNCTION("""COMPUTED_VALUE"""),"")</f>
        <v/>
      </c>
      <c r="M6101" s="16" t="str">
        <f>IFERROR(__xludf.DUMMYFUNCTION("""COMPUTED_VALUE"""),"")</f>
        <v/>
      </c>
      <c r="U6101" s="16" t="s">
        <v>87</v>
      </c>
      <c r="V6101" s="16" t="str">
        <f>IFERROR(__xludf.DUMMYFUNCTION("""COMPUTED_VALUE"""),"")</f>
        <v/>
      </c>
      <c r="W6101" s="16" t="str">
        <f>IFERROR(__xludf.DUMMYFUNCTION("""COMPUTED_VALUE"""),"")</f>
        <v/>
      </c>
      <c r="X6101" s="16" t="str">
        <f>IFERROR(__xludf.DUMMYFUNCTION("""COMPUTED_VALUE"""),"")</f>
        <v/>
      </c>
      <c r="AC6101" s="16" t="str">
        <f>IFERROR(__xludf.DUMMYFUNCTION("""COMPUTED_VALUE"""),"")</f>
        <v/>
      </c>
    </row>
    <row r="6102">
      <c r="A6102" s="16" t="s">
        <v>87</v>
      </c>
      <c r="E6102" s="16" t="str">
        <f>IFERROR(__xludf.DUMMYFUNCTION("""COMPUTED_VALUE"""),"")</f>
        <v/>
      </c>
      <c r="G6102" s="18"/>
      <c r="H6102" s="16" t="s">
        <v>87</v>
      </c>
      <c r="I6102" s="16" t="s">
        <v>87</v>
      </c>
      <c r="J6102" s="19"/>
      <c r="L6102" s="16" t="str">
        <f>IFERROR(__xludf.DUMMYFUNCTION("""COMPUTED_VALUE"""),"")</f>
        <v/>
      </c>
      <c r="M6102" s="16" t="str">
        <f>IFERROR(__xludf.DUMMYFUNCTION("""COMPUTED_VALUE"""),"")</f>
        <v/>
      </c>
      <c r="U6102" s="16" t="s">
        <v>87</v>
      </c>
      <c r="V6102" s="16" t="str">
        <f>IFERROR(__xludf.DUMMYFUNCTION("""COMPUTED_VALUE"""),"")</f>
        <v/>
      </c>
      <c r="W6102" s="16" t="str">
        <f>IFERROR(__xludf.DUMMYFUNCTION("""COMPUTED_VALUE"""),"")</f>
        <v/>
      </c>
      <c r="X6102" s="16" t="str">
        <f>IFERROR(__xludf.DUMMYFUNCTION("""COMPUTED_VALUE"""),"")</f>
        <v/>
      </c>
      <c r="AC6102" s="16" t="str">
        <f>IFERROR(__xludf.DUMMYFUNCTION("""COMPUTED_VALUE"""),"")</f>
        <v/>
      </c>
    </row>
    <row r="6103">
      <c r="A6103" s="16" t="s">
        <v>87</v>
      </c>
      <c r="E6103" s="16" t="str">
        <f>IFERROR(__xludf.DUMMYFUNCTION("""COMPUTED_VALUE"""),"")</f>
        <v/>
      </c>
      <c r="G6103" s="18"/>
      <c r="H6103" s="16" t="s">
        <v>87</v>
      </c>
      <c r="I6103" s="16" t="s">
        <v>87</v>
      </c>
      <c r="J6103" s="19"/>
      <c r="L6103" s="16" t="str">
        <f>IFERROR(__xludf.DUMMYFUNCTION("""COMPUTED_VALUE"""),"")</f>
        <v/>
      </c>
      <c r="M6103" s="16" t="str">
        <f>IFERROR(__xludf.DUMMYFUNCTION("""COMPUTED_VALUE"""),"")</f>
        <v/>
      </c>
      <c r="U6103" s="16" t="s">
        <v>87</v>
      </c>
      <c r="V6103" s="16" t="str">
        <f>IFERROR(__xludf.DUMMYFUNCTION("""COMPUTED_VALUE"""),"")</f>
        <v/>
      </c>
      <c r="W6103" s="16" t="str">
        <f>IFERROR(__xludf.DUMMYFUNCTION("""COMPUTED_VALUE"""),"")</f>
        <v/>
      </c>
      <c r="X6103" s="16" t="str">
        <f>IFERROR(__xludf.DUMMYFUNCTION("""COMPUTED_VALUE"""),"")</f>
        <v/>
      </c>
      <c r="AC6103" s="16" t="str">
        <f>IFERROR(__xludf.DUMMYFUNCTION("""COMPUTED_VALUE"""),"")</f>
        <v/>
      </c>
    </row>
    <row r="6104">
      <c r="A6104" s="16" t="s">
        <v>87</v>
      </c>
      <c r="E6104" s="16" t="str">
        <f>IFERROR(__xludf.DUMMYFUNCTION("""COMPUTED_VALUE"""),"")</f>
        <v/>
      </c>
      <c r="G6104" s="18"/>
      <c r="H6104" s="16" t="s">
        <v>87</v>
      </c>
      <c r="I6104" s="16" t="s">
        <v>87</v>
      </c>
      <c r="J6104" s="19"/>
      <c r="L6104" s="16" t="str">
        <f>IFERROR(__xludf.DUMMYFUNCTION("""COMPUTED_VALUE"""),"")</f>
        <v/>
      </c>
      <c r="M6104" s="16" t="str">
        <f>IFERROR(__xludf.DUMMYFUNCTION("""COMPUTED_VALUE"""),"")</f>
        <v/>
      </c>
      <c r="U6104" s="16" t="s">
        <v>87</v>
      </c>
      <c r="V6104" s="16" t="str">
        <f>IFERROR(__xludf.DUMMYFUNCTION("""COMPUTED_VALUE"""),"")</f>
        <v/>
      </c>
      <c r="W6104" s="16" t="str">
        <f>IFERROR(__xludf.DUMMYFUNCTION("""COMPUTED_VALUE"""),"")</f>
        <v/>
      </c>
      <c r="X6104" s="16" t="str">
        <f>IFERROR(__xludf.DUMMYFUNCTION("""COMPUTED_VALUE"""),"")</f>
        <v/>
      </c>
      <c r="AC6104" s="16" t="str">
        <f>IFERROR(__xludf.DUMMYFUNCTION("""COMPUTED_VALUE"""),"")</f>
        <v/>
      </c>
    </row>
    <row r="6105">
      <c r="A6105" s="16" t="s">
        <v>87</v>
      </c>
      <c r="E6105" s="16" t="str">
        <f>IFERROR(__xludf.DUMMYFUNCTION("""COMPUTED_VALUE"""),"")</f>
        <v/>
      </c>
      <c r="G6105" s="18"/>
      <c r="H6105" s="16" t="s">
        <v>87</v>
      </c>
      <c r="I6105" s="16" t="s">
        <v>87</v>
      </c>
      <c r="J6105" s="19"/>
      <c r="L6105" s="16" t="str">
        <f>IFERROR(__xludf.DUMMYFUNCTION("""COMPUTED_VALUE"""),"")</f>
        <v/>
      </c>
      <c r="M6105" s="16" t="str">
        <f>IFERROR(__xludf.DUMMYFUNCTION("""COMPUTED_VALUE"""),"")</f>
        <v/>
      </c>
      <c r="U6105" s="16" t="s">
        <v>87</v>
      </c>
      <c r="V6105" s="16" t="str">
        <f>IFERROR(__xludf.DUMMYFUNCTION("""COMPUTED_VALUE"""),"")</f>
        <v/>
      </c>
      <c r="W6105" s="16" t="str">
        <f>IFERROR(__xludf.DUMMYFUNCTION("""COMPUTED_VALUE"""),"")</f>
        <v/>
      </c>
      <c r="X6105" s="16" t="str">
        <f>IFERROR(__xludf.DUMMYFUNCTION("""COMPUTED_VALUE"""),"")</f>
        <v/>
      </c>
      <c r="AC6105" s="16" t="str">
        <f>IFERROR(__xludf.DUMMYFUNCTION("""COMPUTED_VALUE"""),"")</f>
        <v/>
      </c>
    </row>
    <row r="6106">
      <c r="A6106" s="16" t="s">
        <v>87</v>
      </c>
      <c r="E6106" s="16" t="str">
        <f>IFERROR(__xludf.DUMMYFUNCTION("""COMPUTED_VALUE"""),"")</f>
        <v/>
      </c>
      <c r="G6106" s="18"/>
      <c r="H6106" s="16" t="s">
        <v>87</v>
      </c>
      <c r="I6106" s="16" t="s">
        <v>87</v>
      </c>
      <c r="J6106" s="19"/>
      <c r="L6106" s="16" t="str">
        <f>IFERROR(__xludf.DUMMYFUNCTION("""COMPUTED_VALUE"""),"")</f>
        <v/>
      </c>
      <c r="M6106" s="16" t="str">
        <f>IFERROR(__xludf.DUMMYFUNCTION("""COMPUTED_VALUE"""),"")</f>
        <v/>
      </c>
      <c r="U6106" s="16" t="s">
        <v>87</v>
      </c>
      <c r="V6106" s="16" t="str">
        <f>IFERROR(__xludf.DUMMYFUNCTION("""COMPUTED_VALUE"""),"")</f>
        <v/>
      </c>
      <c r="W6106" s="16" t="str">
        <f>IFERROR(__xludf.DUMMYFUNCTION("""COMPUTED_VALUE"""),"")</f>
        <v/>
      </c>
      <c r="X6106" s="16" t="str">
        <f>IFERROR(__xludf.DUMMYFUNCTION("""COMPUTED_VALUE"""),"")</f>
        <v/>
      </c>
      <c r="AC6106" s="16" t="str">
        <f>IFERROR(__xludf.DUMMYFUNCTION("""COMPUTED_VALUE"""),"")</f>
        <v/>
      </c>
    </row>
    <row r="6107">
      <c r="A6107" s="16" t="s">
        <v>87</v>
      </c>
      <c r="E6107" s="16" t="str">
        <f>IFERROR(__xludf.DUMMYFUNCTION("""COMPUTED_VALUE"""),"")</f>
        <v/>
      </c>
      <c r="G6107" s="18"/>
      <c r="H6107" s="16" t="s">
        <v>87</v>
      </c>
      <c r="I6107" s="16" t="s">
        <v>87</v>
      </c>
      <c r="J6107" s="19"/>
      <c r="L6107" s="16" t="str">
        <f>IFERROR(__xludf.DUMMYFUNCTION("""COMPUTED_VALUE"""),"")</f>
        <v/>
      </c>
      <c r="M6107" s="16" t="str">
        <f>IFERROR(__xludf.DUMMYFUNCTION("""COMPUTED_VALUE"""),"")</f>
        <v/>
      </c>
      <c r="U6107" s="16" t="s">
        <v>87</v>
      </c>
      <c r="V6107" s="16" t="str">
        <f>IFERROR(__xludf.DUMMYFUNCTION("""COMPUTED_VALUE"""),"")</f>
        <v/>
      </c>
      <c r="W6107" s="16" t="str">
        <f>IFERROR(__xludf.DUMMYFUNCTION("""COMPUTED_VALUE"""),"")</f>
        <v/>
      </c>
      <c r="X6107" s="16" t="str">
        <f>IFERROR(__xludf.DUMMYFUNCTION("""COMPUTED_VALUE"""),"")</f>
        <v/>
      </c>
      <c r="AC6107" s="16" t="str">
        <f>IFERROR(__xludf.DUMMYFUNCTION("""COMPUTED_VALUE"""),"")</f>
        <v/>
      </c>
    </row>
    <row r="6108">
      <c r="A6108" s="16" t="s">
        <v>87</v>
      </c>
      <c r="E6108" s="16" t="str">
        <f>IFERROR(__xludf.DUMMYFUNCTION("""COMPUTED_VALUE"""),"")</f>
        <v/>
      </c>
      <c r="G6108" s="18"/>
      <c r="H6108" s="16" t="s">
        <v>87</v>
      </c>
      <c r="I6108" s="16" t="s">
        <v>87</v>
      </c>
      <c r="J6108" s="19"/>
      <c r="L6108" s="16" t="str">
        <f>IFERROR(__xludf.DUMMYFUNCTION("""COMPUTED_VALUE"""),"")</f>
        <v/>
      </c>
      <c r="M6108" s="16" t="str">
        <f>IFERROR(__xludf.DUMMYFUNCTION("""COMPUTED_VALUE"""),"")</f>
        <v/>
      </c>
      <c r="U6108" s="16" t="s">
        <v>87</v>
      </c>
      <c r="V6108" s="16" t="str">
        <f>IFERROR(__xludf.DUMMYFUNCTION("""COMPUTED_VALUE"""),"")</f>
        <v/>
      </c>
      <c r="W6108" s="16" t="str">
        <f>IFERROR(__xludf.DUMMYFUNCTION("""COMPUTED_VALUE"""),"")</f>
        <v/>
      </c>
      <c r="X6108" s="16" t="str">
        <f>IFERROR(__xludf.DUMMYFUNCTION("""COMPUTED_VALUE"""),"")</f>
        <v/>
      </c>
      <c r="AC6108" s="16" t="str">
        <f>IFERROR(__xludf.DUMMYFUNCTION("""COMPUTED_VALUE"""),"")</f>
        <v/>
      </c>
    </row>
    <row r="6109">
      <c r="A6109" s="16" t="s">
        <v>87</v>
      </c>
      <c r="E6109" s="16" t="str">
        <f>IFERROR(__xludf.DUMMYFUNCTION("""COMPUTED_VALUE"""),"")</f>
        <v/>
      </c>
      <c r="G6109" s="18"/>
      <c r="H6109" s="16" t="s">
        <v>87</v>
      </c>
      <c r="I6109" s="16" t="s">
        <v>87</v>
      </c>
      <c r="J6109" s="19"/>
      <c r="L6109" s="16" t="str">
        <f>IFERROR(__xludf.DUMMYFUNCTION("""COMPUTED_VALUE"""),"")</f>
        <v/>
      </c>
      <c r="M6109" s="16" t="str">
        <f>IFERROR(__xludf.DUMMYFUNCTION("""COMPUTED_VALUE"""),"")</f>
        <v/>
      </c>
      <c r="U6109" s="16" t="s">
        <v>87</v>
      </c>
      <c r="V6109" s="16" t="str">
        <f>IFERROR(__xludf.DUMMYFUNCTION("""COMPUTED_VALUE"""),"")</f>
        <v/>
      </c>
      <c r="W6109" s="16" t="str">
        <f>IFERROR(__xludf.DUMMYFUNCTION("""COMPUTED_VALUE"""),"")</f>
        <v/>
      </c>
      <c r="X6109" s="16" t="str">
        <f>IFERROR(__xludf.DUMMYFUNCTION("""COMPUTED_VALUE"""),"")</f>
        <v/>
      </c>
      <c r="AC6109" s="16" t="str">
        <f>IFERROR(__xludf.DUMMYFUNCTION("""COMPUTED_VALUE"""),"")</f>
        <v/>
      </c>
    </row>
    <row r="6110">
      <c r="A6110" s="16" t="s">
        <v>87</v>
      </c>
      <c r="E6110" s="16" t="str">
        <f>IFERROR(__xludf.DUMMYFUNCTION("""COMPUTED_VALUE"""),"")</f>
        <v/>
      </c>
      <c r="G6110" s="18"/>
      <c r="H6110" s="16" t="s">
        <v>87</v>
      </c>
      <c r="I6110" s="16" t="s">
        <v>87</v>
      </c>
      <c r="J6110" s="19"/>
      <c r="L6110" s="16" t="str">
        <f>IFERROR(__xludf.DUMMYFUNCTION("""COMPUTED_VALUE"""),"")</f>
        <v/>
      </c>
      <c r="M6110" s="16" t="str">
        <f>IFERROR(__xludf.DUMMYFUNCTION("""COMPUTED_VALUE"""),"")</f>
        <v/>
      </c>
      <c r="U6110" s="16" t="s">
        <v>87</v>
      </c>
      <c r="V6110" s="16" t="str">
        <f>IFERROR(__xludf.DUMMYFUNCTION("""COMPUTED_VALUE"""),"")</f>
        <v/>
      </c>
      <c r="W6110" s="16" t="str">
        <f>IFERROR(__xludf.DUMMYFUNCTION("""COMPUTED_VALUE"""),"")</f>
        <v/>
      </c>
      <c r="X6110" s="16" t="str">
        <f>IFERROR(__xludf.DUMMYFUNCTION("""COMPUTED_VALUE"""),"")</f>
        <v/>
      </c>
      <c r="AC6110" s="16" t="str">
        <f>IFERROR(__xludf.DUMMYFUNCTION("""COMPUTED_VALUE"""),"")</f>
        <v/>
      </c>
    </row>
    <row r="6111">
      <c r="A6111" s="16" t="s">
        <v>87</v>
      </c>
      <c r="E6111" s="16" t="str">
        <f>IFERROR(__xludf.DUMMYFUNCTION("""COMPUTED_VALUE"""),"")</f>
        <v/>
      </c>
      <c r="G6111" s="18"/>
      <c r="H6111" s="16" t="s">
        <v>87</v>
      </c>
      <c r="I6111" s="16" t="s">
        <v>87</v>
      </c>
      <c r="J6111" s="19"/>
      <c r="L6111" s="16" t="str">
        <f>IFERROR(__xludf.DUMMYFUNCTION("""COMPUTED_VALUE"""),"")</f>
        <v/>
      </c>
      <c r="M6111" s="16" t="str">
        <f>IFERROR(__xludf.DUMMYFUNCTION("""COMPUTED_VALUE"""),"")</f>
        <v/>
      </c>
      <c r="U6111" s="16" t="s">
        <v>87</v>
      </c>
      <c r="V6111" s="16" t="str">
        <f>IFERROR(__xludf.DUMMYFUNCTION("""COMPUTED_VALUE"""),"")</f>
        <v/>
      </c>
      <c r="W6111" s="16" t="str">
        <f>IFERROR(__xludf.DUMMYFUNCTION("""COMPUTED_VALUE"""),"")</f>
        <v/>
      </c>
      <c r="X6111" s="16" t="str">
        <f>IFERROR(__xludf.DUMMYFUNCTION("""COMPUTED_VALUE"""),"")</f>
        <v/>
      </c>
      <c r="AC6111" s="16" t="str">
        <f>IFERROR(__xludf.DUMMYFUNCTION("""COMPUTED_VALUE"""),"")</f>
        <v/>
      </c>
    </row>
    <row r="6112">
      <c r="A6112" s="16" t="s">
        <v>87</v>
      </c>
      <c r="E6112" s="16" t="str">
        <f>IFERROR(__xludf.DUMMYFUNCTION("""COMPUTED_VALUE"""),"")</f>
        <v/>
      </c>
      <c r="G6112" s="18"/>
      <c r="H6112" s="16" t="s">
        <v>87</v>
      </c>
      <c r="I6112" s="16" t="s">
        <v>87</v>
      </c>
      <c r="J6112" s="19"/>
      <c r="L6112" s="16" t="str">
        <f>IFERROR(__xludf.DUMMYFUNCTION("""COMPUTED_VALUE"""),"")</f>
        <v/>
      </c>
      <c r="M6112" s="16" t="str">
        <f>IFERROR(__xludf.DUMMYFUNCTION("""COMPUTED_VALUE"""),"")</f>
        <v/>
      </c>
      <c r="U6112" s="16" t="s">
        <v>87</v>
      </c>
      <c r="V6112" s="16" t="str">
        <f>IFERROR(__xludf.DUMMYFUNCTION("""COMPUTED_VALUE"""),"")</f>
        <v/>
      </c>
      <c r="W6112" s="16" t="str">
        <f>IFERROR(__xludf.DUMMYFUNCTION("""COMPUTED_VALUE"""),"")</f>
        <v/>
      </c>
      <c r="X6112" s="16" t="str">
        <f>IFERROR(__xludf.DUMMYFUNCTION("""COMPUTED_VALUE"""),"")</f>
        <v/>
      </c>
      <c r="AC6112" s="16" t="str">
        <f>IFERROR(__xludf.DUMMYFUNCTION("""COMPUTED_VALUE"""),"")</f>
        <v/>
      </c>
    </row>
    <row r="6113">
      <c r="A6113" s="16" t="s">
        <v>87</v>
      </c>
      <c r="E6113" s="16" t="str">
        <f>IFERROR(__xludf.DUMMYFUNCTION("""COMPUTED_VALUE"""),"")</f>
        <v/>
      </c>
      <c r="G6113" s="18"/>
      <c r="H6113" s="16" t="s">
        <v>87</v>
      </c>
      <c r="I6113" s="16" t="s">
        <v>87</v>
      </c>
      <c r="J6113" s="19"/>
      <c r="L6113" s="16" t="str">
        <f>IFERROR(__xludf.DUMMYFUNCTION("""COMPUTED_VALUE"""),"")</f>
        <v/>
      </c>
      <c r="M6113" s="16" t="str">
        <f>IFERROR(__xludf.DUMMYFUNCTION("""COMPUTED_VALUE"""),"")</f>
        <v/>
      </c>
      <c r="U6113" s="16" t="s">
        <v>87</v>
      </c>
      <c r="V6113" s="16" t="str">
        <f>IFERROR(__xludf.DUMMYFUNCTION("""COMPUTED_VALUE"""),"")</f>
        <v/>
      </c>
      <c r="W6113" s="16" t="str">
        <f>IFERROR(__xludf.DUMMYFUNCTION("""COMPUTED_VALUE"""),"")</f>
        <v/>
      </c>
      <c r="X6113" s="16" t="str">
        <f>IFERROR(__xludf.DUMMYFUNCTION("""COMPUTED_VALUE"""),"")</f>
        <v/>
      </c>
      <c r="AC6113" s="16" t="str">
        <f>IFERROR(__xludf.DUMMYFUNCTION("""COMPUTED_VALUE"""),"")</f>
        <v/>
      </c>
    </row>
    <row r="6114">
      <c r="A6114" s="16" t="s">
        <v>87</v>
      </c>
      <c r="E6114" s="16" t="str">
        <f>IFERROR(__xludf.DUMMYFUNCTION("""COMPUTED_VALUE"""),"")</f>
        <v/>
      </c>
      <c r="G6114" s="18"/>
      <c r="H6114" s="16" t="s">
        <v>87</v>
      </c>
      <c r="I6114" s="16" t="s">
        <v>87</v>
      </c>
      <c r="J6114" s="19"/>
      <c r="L6114" s="16" t="str">
        <f>IFERROR(__xludf.DUMMYFUNCTION("""COMPUTED_VALUE"""),"")</f>
        <v/>
      </c>
      <c r="M6114" s="16" t="str">
        <f>IFERROR(__xludf.DUMMYFUNCTION("""COMPUTED_VALUE"""),"")</f>
        <v/>
      </c>
      <c r="U6114" s="16" t="s">
        <v>87</v>
      </c>
      <c r="V6114" s="16" t="str">
        <f>IFERROR(__xludf.DUMMYFUNCTION("""COMPUTED_VALUE"""),"")</f>
        <v/>
      </c>
      <c r="W6114" s="16" t="str">
        <f>IFERROR(__xludf.DUMMYFUNCTION("""COMPUTED_VALUE"""),"")</f>
        <v/>
      </c>
      <c r="X6114" s="16" t="str">
        <f>IFERROR(__xludf.DUMMYFUNCTION("""COMPUTED_VALUE"""),"")</f>
        <v/>
      </c>
      <c r="AC6114" s="16" t="str">
        <f>IFERROR(__xludf.DUMMYFUNCTION("""COMPUTED_VALUE"""),"")</f>
        <v/>
      </c>
    </row>
    <row r="6115">
      <c r="A6115" s="16" t="s">
        <v>87</v>
      </c>
      <c r="E6115" s="16" t="str">
        <f>IFERROR(__xludf.DUMMYFUNCTION("""COMPUTED_VALUE"""),"")</f>
        <v/>
      </c>
      <c r="G6115" s="18"/>
      <c r="H6115" s="16" t="s">
        <v>87</v>
      </c>
      <c r="I6115" s="16" t="s">
        <v>87</v>
      </c>
      <c r="J6115" s="19"/>
      <c r="L6115" s="16" t="str">
        <f>IFERROR(__xludf.DUMMYFUNCTION("""COMPUTED_VALUE"""),"")</f>
        <v/>
      </c>
      <c r="M6115" s="16" t="str">
        <f>IFERROR(__xludf.DUMMYFUNCTION("""COMPUTED_VALUE"""),"")</f>
        <v/>
      </c>
      <c r="U6115" s="16" t="s">
        <v>87</v>
      </c>
      <c r="V6115" s="16" t="str">
        <f>IFERROR(__xludf.DUMMYFUNCTION("""COMPUTED_VALUE"""),"")</f>
        <v/>
      </c>
      <c r="W6115" s="16" t="str">
        <f>IFERROR(__xludf.DUMMYFUNCTION("""COMPUTED_VALUE"""),"")</f>
        <v/>
      </c>
      <c r="X6115" s="16" t="str">
        <f>IFERROR(__xludf.DUMMYFUNCTION("""COMPUTED_VALUE"""),"")</f>
        <v/>
      </c>
      <c r="AC6115" s="16" t="str">
        <f>IFERROR(__xludf.DUMMYFUNCTION("""COMPUTED_VALUE"""),"")</f>
        <v/>
      </c>
    </row>
    <row r="6116">
      <c r="A6116" s="16" t="s">
        <v>87</v>
      </c>
      <c r="E6116" s="16" t="str">
        <f>IFERROR(__xludf.DUMMYFUNCTION("""COMPUTED_VALUE"""),"")</f>
        <v/>
      </c>
      <c r="G6116" s="18"/>
      <c r="H6116" s="16" t="s">
        <v>87</v>
      </c>
      <c r="I6116" s="16" t="s">
        <v>87</v>
      </c>
      <c r="J6116" s="19"/>
      <c r="L6116" s="16" t="str">
        <f>IFERROR(__xludf.DUMMYFUNCTION("""COMPUTED_VALUE"""),"")</f>
        <v/>
      </c>
      <c r="M6116" s="16" t="str">
        <f>IFERROR(__xludf.DUMMYFUNCTION("""COMPUTED_VALUE"""),"")</f>
        <v/>
      </c>
      <c r="U6116" s="16" t="s">
        <v>87</v>
      </c>
      <c r="V6116" s="16" t="str">
        <f>IFERROR(__xludf.DUMMYFUNCTION("""COMPUTED_VALUE"""),"")</f>
        <v/>
      </c>
      <c r="W6116" s="16" t="str">
        <f>IFERROR(__xludf.DUMMYFUNCTION("""COMPUTED_VALUE"""),"")</f>
        <v/>
      </c>
      <c r="X6116" s="16" t="str">
        <f>IFERROR(__xludf.DUMMYFUNCTION("""COMPUTED_VALUE"""),"")</f>
        <v/>
      </c>
      <c r="AC6116" s="16" t="str">
        <f>IFERROR(__xludf.DUMMYFUNCTION("""COMPUTED_VALUE"""),"")</f>
        <v/>
      </c>
    </row>
    <row r="6117">
      <c r="A6117" s="16" t="s">
        <v>87</v>
      </c>
      <c r="E6117" s="16" t="str">
        <f>IFERROR(__xludf.DUMMYFUNCTION("""COMPUTED_VALUE"""),"")</f>
        <v/>
      </c>
      <c r="G6117" s="18"/>
      <c r="H6117" s="16" t="s">
        <v>87</v>
      </c>
      <c r="I6117" s="16" t="s">
        <v>87</v>
      </c>
      <c r="J6117" s="19"/>
      <c r="L6117" s="16" t="str">
        <f>IFERROR(__xludf.DUMMYFUNCTION("""COMPUTED_VALUE"""),"")</f>
        <v/>
      </c>
      <c r="M6117" s="16" t="str">
        <f>IFERROR(__xludf.DUMMYFUNCTION("""COMPUTED_VALUE"""),"")</f>
        <v/>
      </c>
      <c r="U6117" s="16" t="s">
        <v>87</v>
      </c>
      <c r="V6117" s="16" t="str">
        <f>IFERROR(__xludf.DUMMYFUNCTION("""COMPUTED_VALUE"""),"")</f>
        <v/>
      </c>
      <c r="W6117" s="16" t="str">
        <f>IFERROR(__xludf.DUMMYFUNCTION("""COMPUTED_VALUE"""),"")</f>
        <v/>
      </c>
      <c r="X6117" s="16" t="str">
        <f>IFERROR(__xludf.DUMMYFUNCTION("""COMPUTED_VALUE"""),"")</f>
        <v/>
      </c>
      <c r="AC6117" s="16" t="str">
        <f>IFERROR(__xludf.DUMMYFUNCTION("""COMPUTED_VALUE"""),"")</f>
        <v/>
      </c>
    </row>
    <row r="6118">
      <c r="A6118" s="16" t="s">
        <v>87</v>
      </c>
      <c r="E6118" s="16" t="str">
        <f>IFERROR(__xludf.DUMMYFUNCTION("""COMPUTED_VALUE"""),"")</f>
        <v/>
      </c>
      <c r="G6118" s="18"/>
      <c r="H6118" s="16" t="s">
        <v>87</v>
      </c>
      <c r="I6118" s="16" t="s">
        <v>87</v>
      </c>
      <c r="J6118" s="19"/>
      <c r="L6118" s="16" t="str">
        <f>IFERROR(__xludf.DUMMYFUNCTION("""COMPUTED_VALUE"""),"")</f>
        <v/>
      </c>
      <c r="M6118" s="16" t="str">
        <f>IFERROR(__xludf.DUMMYFUNCTION("""COMPUTED_VALUE"""),"")</f>
        <v/>
      </c>
      <c r="U6118" s="16" t="s">
        <v>87</v>
      </c>
      <c r="V6118" s="16" t="str">
        <f>IFERROR(__xludf.DUMMYFUNCTION("""COMPUTED_VALUE"""),"")</f>
        <v/>
      </c>
      <c r="W6118" s="16" t="str">
        <f>IFERROR(__xludf.DUMMYFUNCTION("""COMPUTED_VALUE"""),"")</f>
        <v/>
      </c>
      <c r="X6118" s="16" t="str">
        <f>IFERROR(__xludf.DUMMYFUNCTION("""COMPUTED_VALUE"""),"")</f>
        <v/>
      </c>
      <c r="AC6118" s="16" t="str">
        <f>IFERROR(__xludf.DUMMYFUNCTION("""COMPUTED_VALUE"""),"")</f>
        <v/>
      </c>
    </row>
    <row r="6119">
      <c r="A6119" s="16" t="s">
        <v>87</v>
      </c>
      <c r="E6119" s="16" t="str">
        <f>IFERROR(__xludf.DUMMYFUNCTION("""COMPUTED_VALUE"""),"")</f>
        <v/>
      </c>
      <c r="G6119" s="18"/>
      <c r="H6119" s="16" t="s">
        <v>87</v>
      </c>
      <c r="I6119" s="16" t="s">
        <v>87</v>
      </c>
      <c r="J6119" s="19"/>
      <c r="L6119" s="16" t="str">
        <f>IFERROR(__xludf.DUMMYFUNCTION("""COMPUTED_VALUE"""),"")</f>
        <v/>
      </c>
      <c r="M6119" s="16" t="str">
        <f>IFERROR(__xludf.DUMMYFUNCTION("""COMPUTED_VALUE"""),"")</f>
        <v/>
      </c>
      <c r="U6119" s="16" t="s">
        <v>87</v>
      </c>
      <c r="V6119" s="16" t="str">
        <f>IFERROR(__xludf.DUMMYFUNCTION("""COMPUTED_VALUE"""),"")</f>
        <v/>
      </c>
      <c r="W6119" s="16" t="str">
        <f>IFERROR(__xludf.DUMMYFUNCTION("""COMPUTED_VALUE"""),"")</f>
        <v/>
      </c>
      <c r="X6119" s="16" t="str">
        <f>IFERROR(__xludf.DUMMYFUNCTION("""COMPUTED_VALUE"""),"")</f>
        <v/>
      </c>
      <c r="AC6119" s="16" t="str">
        <f>IFERROR(__xludf.DUMMYFUNCTION("""COMPUTED_VALUE"""),"")</f>
        <v/>
      </c>
    </row>
    <row r="6120">
      <c r="A6120" s="16" t="s">
        <v>87</v>
      </c>
      <c r="E6120" s="16" t="str">
        <f>IFERROR(__xludf.DUMMYFUNCTION("""COMPUTED_VALUE"""),"")</f>
        <v/>
      </c>
      <c r="G6120" s="18"/>
      <c r="H6120" s="16" t="s">
        <v>87</v>
      </c>
      <c r="I6120" s="16" t="s">
        <v>87</v>
      </c>
      <c r="J6120" s="19"/>
      <c r="L6120" s="16" t="str">
        <f>IFERROR(__xludf.DUMMYFUNCTION("""COMPUTED_VALUE"""),"")</f>
        <v/>
      </c>
      <c r="M6120" s="16" t="str">
        <f>IFERROR(__xludf.DUMMYFUNCTION("""COMPUTED_VALUE"""),"")</f>
        <v/>
      </c>
      <c r="U6120" s="16" t="s">
        <v>87</v>
      </c>
      <c r="V6120" s="16" t="str">
        <f>IFERROR(__xludf.DUMMYFUNCTION("""COMPUTED_VALUE"""),"")</f>
        <v/>
      </c>
      <c r="W6120" s="16" t="str">
        <f>IFERROR(__xludf.DUMMYFUNCTION("""COMPUTED_VALUE"""),"")</f>
        <v/>
      </c>
      <c r="X6120" s="16" t="str">
        <f>IFERROR(__xludf.DUMMYFUNCTION("""COMPUTED_VALUE"""),"")</f>
        <v/>
      </c>
      <c r="AC6120" s="16" t="str">
        <f>IFERROR(__xludf.DUMMYFUNCTION("""COMPUTED_VALUE"""),"")</f>
        <v/>
      </c>
    </row>
    <row r="6121">
      <c r="A6121" s="16" t="s">
        <v>87</v>
      </c>
      <c r="E6121" s="16" t="str">
        <f>IFERROR(__xludf.DUMMYFUNCTION("""COMPUTED_VALUE"""),"")</f>
        <v/>
      </c>
      <c r="G6121" s="18"/>
      <c r="H6121" s="16" t="s">
        <v>87</v>
      </c>
      <c r="I6121" s="16" t="s">
        <v>87</v>
      </c>
      <c r="J6121" s="19"/>
      <c r="L6121" s="16" t="str">
        <f>IFERROR(__xludf.DUMMYFUNCTION("""COMPUTED_VALUE"""),"")</f>
        <v/>
      </c>
      <c r="M6121" s="16" t="str">
        <f>IFERROR(__xludf.DUMMYFUNCTION("""COMPUTED_VALUE"""),"")</f>
        <v/>
      </c>
      <c r="U6121" s="16" t="s">
        <v>87</v>
      </c>
      <c r="V6121" s="16" t="str">
        <f>IFERROR(__xludf.DUMMYFUNCTION("""COMPUTED_VALUE"""),"")</f>
        <v/>
      </c>
      <c r="W6121" s="16" t="str">
        <f>IFERROR(__xludf.DUMMYFUNCTION("""COMPUTED_VALUE"""),"")</f>
        <v/>
      </c>
      <c r="X6121" s="16" t="str">
        <f>IFERROR(__xludf.DUMMYFUNCTION("""COMPUTED_VALUE"""),"")</f>
        <v/>
      </c>
      <c r="AC6121" s="16" t="str">
        <f>IFERROR(__xludf.DUMMYFUNCTION("""COMPUTED_VALUE"""),"")</f>
        <v/>
      </c>
    </row>
    <row r="6122">
      <c r="A6122" s="16" t="s">
        <v>87</v>
      </c>
      <c r="E6122" s="16" t="str">
        <f>IFERROR(__xludf.DUMMYFUNCTION("""COMPUTED_VALUE"""),"")</f>
        <v/>
      </c>
      <c r="G6122" s="18"/>
      <c r="H6122" s="16" t="s">
        <v>87</v>
      </c>
      <c r="I6122" s="16" t="s">
        <v>87</v>
      </c>
      <c r="J6122" s="19"/>
      <c r="L6122" s="16" t="str">
        <f>IFERROR(__xludf.DUMMYFUNCTION("""COMPUTED_VALUE"""),"")</f>
        <v/>
      </c>
      <c r="M6122" s="16" t="str">
        <f>IFERROR(__xludf.DUMMYFUNCTION("""COMPUTED_VALUE"""),"")</f>
        <v/>
      </c>
      <c r="U6122" s="16" t="s">
        <v>87</v>
      </c>
      <c r="V6122" s="16" t="str">
        <f>IFERROR(__xludf.DUMMYFUNCTION("""COMPUTED_VALUE"""),"")</f>
        <v/>
      </c>
      <c r="W6122" s="16" t="str">
        <f>IFERROR(__xludf.DUMMYFUNCTION("""COMPUTED_VALUE"""),"")</f>
        <v/>
      </c>
      <c r="X6122" s="16" t="str">
        <f>IFERROR(__xludf.DUMMYFUNCTION("""COMPUTED_VALUE"""),"")</f>
        <v/>
      </c>
      <c r="AC6122" s="16" t="str">
        <f>IFERROR(__xludf.DUMMYFUNCTION("""COMPUTED_VALUE"""),"")</f>
        <v/>
      </c>
    </row>
    <row r="6123">
      <c r="A6123" s="16" t="s">
        <v>87</v>
      </c>
      <c r="E6123" s="16" t="str">
        <f>IFERROR(__xludf.DUMMYFUNCTION("""COMPUTED_VALUE"""),"")</f>
        <v/>
      </c>
      <c r="G6123" s="18"/>
      <c r="H6123" s="16" t="s">
        <v>87</v>
      </c>
      <c r="I6123" s="16" t="s">
        <v>87</v>
      </c>
      <c r="J6123" s="19"/>
      <c r="L6123" s="16" t="str">
        <f>IFERROR(__xludf.DUMMYFUNCTION("""COMPUTED_VALUE"""),"")</f>
        <v/>
      </c>
      <c r="M6123" s="16" t="str">
        <f>IFERROR(__xludf.DUMMYFUNCTION("""COMPUTED_VALUE"""),"")</f>
        <v/>
      </c>
      <c r="U6123" s="16" t="s">
        <v>87</v>
      </c>
      <c r="V6123" s="16" t="str">
        <f>IFERROR(__xludf.DUMMYFUNCTION("""COMPUTED_VALUE"""),"")</f>
        <v/>
      </c>
      <c r="W6123" s="16" t="str">
        <f>IFERROR(__xludf.DUMMYFUNCTION("""COMPUTED_VALUE"""),"")</f>
        <v/>
      </c>
      <c r="X6123" s="16" t="str">
        <f>IFERROR(__xludf.DUMMYFUNCTION("""COMPUTED_VALUE"""),"")</f>
        <v/>
      </c>
      <c r="AC6123" s="16" t="str">
        <f>IFERROR(__xludf.DUMMYFUNCTION("""COMPUTED_VALUE"""),"")</f>
        <v/>
      </c>
    </row>
    <row r="6124">
      <c r="A6124" s="16" t="s">
        <v>87</v>
      </c>
      <c r="E6124" s="16" t="str">
        <f>IFERROR(__xludf.DUMMYFUNCTION("""COMPUTED_VALUE"""),"")</f>
        <v/>
      </c>
      <c r="G6124" s="18"/>
      <c r="H6124" s="16" t="s">
        <v>87</v>
      </c>
      <c r="I6124" s="16" t="s">
        <v>87</v>
      </c>
      <c r="J6124" s="19"/>
      <c r="L6124" s="16" t="str">
        <f>IFERROR(__xludf.DUMMYFUNCTION("""COMPUTED_VALUE"""),"")</f>
        <v/>
      </c>
      <c r="M6124" s="16" t="str">
        <f>IFERROR(__xludf.DUMMYFUNCTION("""COMPUTED_VALUE"""),"")</f>
        <v/>
      </c>
      <c r="U6124" s="16" t="s">
        <v>87</v>
      </c>
      <c r="V6124" s="16" t="str">
        <f>IFERROR(__xludf.DUMMYFUNCTION("""COMPUTED_VALUE"""),"")</f>
        <v/>
      </c>
      <c r="W6124" s="16" t="str">
        <f>IFERROR(__xludf.DUMMYFUNCTION("""COMPUTED_VALUE"""),"")</f>
        <v/>
      </c>
      <c r="X6124" s="16" t="str">
        <f>IFERROR(__xludf.DUMMYFUNCTION("""COMPUTED_VALUE"""),"")</f>
        <v/>
      </c>
      <c r="AC6124" s="16" t="str">
        <f>IFERROR(__xludf.DUMMYFUNCTION("""COMPUTED_VALUE"""),"")</f>
        <v/>
      </c>
    </row>
    <row r="6125">
      <c r="A6125" s="16" t="s">
        <v>87</v>
      </c>
      <c r="E6125" s="16" t="str">
        <f>IFERROR(__xludf.DUMMYFUNCTION("""COMPUTED_VALUE"""),"")</f>
        <v/>
      </c>
      <c r="G6125" s="18"/>
      <c r="H6125" s="16" t="s">
        <v>87</v>
      </c>
      <c r="I6125" s="16" t="s">
        <v>87</v>
      </c>
      <c r="J6125" s="19"/>
      <c r="L6125" s="16" t="str">
        <f>IFERROR(__xludf.DUMMYFUNCTION("""COMPUTED_VALUE"""),"")</f>
        <v/>
      </c>
      <c r="M6125" s="16" t="str">
        <f>IFERROR(__xludf.DUMMYFUNCTION("""COMPUTED_VALUE"""),"")</f>
        <v/>
      </c>
      <c r="U6125" s="16" t="s">
        <v>87</v>
      </c>
      <c r="V6125" s="16" t="str">
        <f>IFERROR(__xludf.DUMMYFUNCTION("""COMPUTED_VALUE"""),"")</f>
        <v/>
      </c>
      <c r="W6125" s="16" t="str">
        <f>IFERROR(__xludf.DUMMYFUNCTION("""COMPUTED_VALUE"""),"")</f>
        <v/>
      </c>
      <c r="X6125" s="16" t="str">
        <f>IFERROR(__xludf.DUMMYFUNCTION("""COMPUTED_VALUE"""),"")</f>
        <v/>
      </c>
      <c r="AC6125" s="16" t="str">
        <f>IFERROR(__xludf.DUMMYFUNCTION("""COMPUTED_VALUE"""),"")</f>
        <v/>
      </c>
    </row>
    <row r="6126">
      <c r="A6126" s="16" t="s">
        <v>87</v>
      </c>
      <c r="E6126" s="16" t="str">
        <f>IFERROR(__xludf.DUMMYFUNCTION("""COMPUTED_VALUE"""),"")</f>
        <v/>
      </c>
      <c r="G6126" s="18"/>
      <c r="H6126" s="16" t="s">
        <v>87</v>
      </c>
      <c r="I6126" s="16" t="s">
        <v>87</v>
      </c>
      <c r="J6126" s="19"/>
      <c r="L6126" s="16" t="str">
        <f>IFERROR(__xludf.DUMMYFUNCTION("""COMPUTED_VALUE"""),"")</f>
        <v/>
      </c>
      <c r="M6126" s="16" t="str">
        <f>IFERROR(__xludf.DUMMYFUNCTION("""COMPUTED_VALUE"""),"")</f>
        <v/>
      </c>
      <c r="U6126" s="16" t="s">
        <v>87</v>
      </c>
      <c r="V6126" s="16" t="str">
        <f>IFERROR(__xludf.DUMMYFUNCTION("""COMPUTED_VALUE"""),"")</f>
        <v/>
      </c>
      <c r="W6126" s="16" t="str">
        <f>IFERROR(__xludf.DUMMYFUNCTION("""COMPUTED_VALUE"""),"")</f>
        <v/>
      </c>
      <c r="X6126" s="16" t="str">
        <f>IFERROR(__xludf.DUMMYFUNCTION("""COMPUTED_VALUE"""),"")</f>
        <v/>
      </c>
      <c r="AC6126" s="16" t="str">
        <f>IFERROR(__xludf.DUMMYFUNCTION("""COMPUTED_VALUE"""),"")</f>
        <v/>
      </c>
    </row>
    <row r="6127">
      <c r="A6127" s="16" t="s">
        <v>87</v>
      </c>
      <c r="E6127" s="16" t="str">
        <f>IFERROR(__xludf.DUMMYFUNCTION("""COMPUTED_VALUE"""),"")</f>
        <v/>
      </c>
      <c r="G6127" s="18"/>
      <c r="H6127" s="16" t="s">
        <v>87</v>
      </c>
      <c r="I6127" s="16" t="s">
        <v>87</v>
      </c>
      <c r="J6127" s="19"/>
      <c r="L6127" s="16" t="str">
        <f>IFERROR(__xludf.DUMMYFUNCTION("""COMPUTED_VALUE"""),"")</f>
        <v/>
      </c>
      <c r="M6127" s="16" t="str">
        <f>IFERROR(__xludf.DUMMYFUNCTION("""COMPUTED_VALUE"""),"")</f>
        <v/>
      </c>
      <c r="U6127" s="16" t="s">
        <v>87</v>
      </c>
      <c r="V6127" s="16" t="str">
        <f>IFERROR(__xludf.DUMMYFUNCTION("""COMPUTED_VALUE"""),"")</f>
        <v/>
      </c>
      <c r="W6127" s="16" t="str">
        <f>IFERROR(__xludf.DUMMYFUNCTION("""COMPUTED_VALUE"""),"")</f>
        <v/>
      </c>
      <c r="X6127" s="16" t="str">
        <f>IFERROR(__xludf.DUMMYFUNCTION("""COMPUTED_VALUE"""),"")</f>
        <v/>
      </c>
      <c r="AC6127" s="16" t="str">
        <f>IFERROR(__xludf.DUMMYFUNCTION("""COMPUTED_VALUE"""),"")</f>
        <v/>
      </c>
    </row>
    <row r="6128">
      <c r="A6128" s="16" t="s">
        <v>87</v>
      </c>
      <c r="E6128" s="16" t="str">
        <f>IFERROR(__xludf.DUMMYFUNCTION("""COMPUTED_VALUE"""),"")</f>
        <v/>
      </c>
      <c r="G6128" s="18"/>
      <c r="H6128" s="16" t="s">
        <v>87</v>
      </c>
      <c r="I6128" s="16" t="s">
        <v>87</v>
      </c>
      <c r="J6128" s="19"/>
      <c r="L6128" s="16" t="str">
        <f>IFERROR(__xludf.DUMMYFUNCTION("""COMPUTED_VALUE"""),"")</f>
        <v/>
      </c>
      <c r="M6128" s="16" t="str">
        <f>IFERROR(__xludf.DUMMYFUNCTION("""COMPUTED_VALUE"""),"")</f>
        <v/>
      </c>
      <c r="U6128" s="16" t="s">
        <v>87</v>
      </c>
      <c r="V6128" s="16" t="str">
        <f>IFERROR(__xludf.DUMMYFUNCTION("""COMPUTED_VALUE"""),"")</f>
        <v/>
      </c>
      <c r="W6128" s="16" t="str">
        <f>IFERROR(__xludf.DUMMYFUNCTION("""COMPUTED_VALUE"""),"")</f>
        <v/>
      </c>
      <c r="X6128" s="16" t="str">
        <f>IFERROR(__xludf.DUMMYFUNCTION("""COMPUTED_VALUE"""),"")</f>
        <v/>
      </c>
      <c r="AC6128" s="16" t="str">
        <f>IFERROR(__xludf.DUMMYFUNCTION("""COMPUTED_VALUE"""),"")</f>
        <v/>
      </c>
    </row>
    <row r="6129">
      <c r="A6129" s="16" t="s">
        <v>87</v>
      </c>
      <c r="E6129" s="16" t="str">
        <f>IFERROR(__xludf.DUMMYFUNCTION("""COMPUTED_VALUE"""),"")</f>
        <v/>
      </c>
      <c r="G6129" s="18"/>
      <c r="H6129" s="16" t="s">
        <v>87</v>
      </c>
      <c r="I6129" s="16" t="s">
        <v>87</v>
      </c>
      <c r="J6129" s="19"/>
      <c r="L6129" s="16" t="str">
        <f>IFERROR(__xludf.DUMMYFUNCTION("""COMPUTED_VALUE"""),"")</f>
        <v/>
      </c>
      <c r="M6129" s="16" t="str">
        <f>IFERROR(__xludf.DUMMYFUNCTION("""COMPUTED_VALUE"""),"")</f>
        <v/>
      </c>
      <c r="U6129" s="16" t="s">
        <v>87</v>
      </c>
      <c r="V6129" s="16" t="str">
        <f>IFERROR(__xludf.DUMMYFUNCTION("""COMPUTED_VALUE"""),"")</f>
        <v/>
      </c>
      <c r="W6129" s="16" t="str">
        <f>IFERROR(__xludf.DUMMYFUNCTION("""COMPUTED_VALUE"""),"")</f>
        <v/>
      </c>
      <c r="X6129" s="16" t="str">
        <f>IFERROR(__xludf.DUMMYFUNCTION("""COMPUTED_VALUE"""),"")</f>
        <v/>
      </c>
      <c r="AC6129" s="16" t="str">
        <f>IFERROR(__xludf.DUMMYFUNCTION("""COMPUTED_VALUE"""),"")</f>
        <v/>
      </c>
    </row>
    <row r="6130">
      <c r="A6130" s="16" t="s">
        <v>87</v>
      </c>
      <c r="E6130" s="16" t="str">
        <f>IFERROR(__xludf.DUMMYFUNCTION("""COMPUTED_VALUE"""),"")</f>
        <v/>
      </c>
      <c r="G6130" s="18"/>
      <c r="H6130" s="16" t="s">
        <v>87</v>
      </c>
      <c r="I6130" s="16" t="s">
        <v>87</v>
      </c>
      <c r="J6130" s="19"/>
      <c r="L6130" s="16" t="str">
        <f>IFERROR(__xludf.DUMMYFUNCTION("""COMPUTED_VALUE"""),"")</f>
        <v/>
      </c>
      <c r="M6130" s="16" t="str">
        <f>IFERROR(__xludf.DUMMYFUNCTION("""COMPUTED_VALUE"""),"")</f>
        <v/>
      </c>
      <c r="U6130" s="16" t="s">
        <v>87</v>
      </c>
      <c r="V6130" s="16" t="str">
        <f>IFERROR(__xludf.DUMMYFUNCTION("""COMPUTED_VALUE"""),"")</f>
        <v/>
      </c>
      <c r="W6130" s="16" t="str">
        <f>IFERROR(__xludf.DUMMYFUNCTION("""COMPUTED_VALUE"""),"")</f>
        <v/>
      </c>
      <c r="X6130" s="16" t="str">
        <f>IFERROR(__xludf.DUMMYFUNCTION("""COMPUTED_VALUE"""),"")</f>
        <v/>
      </c>
      <c r="AC6130" s="16" t="str">
        <f>IFERROR(__xludf.DUMMYFUNCTION("""COMPUTED_VALUE"""),"")</f>
        <v/>
      </c>
    </row>
    <row r="6131">
      <c r="A6131" s="16" t="s">
        <v>87</v>
      </c>
      <c r="E6131" s="16" t="str">
        <f>IFERROR(__xludf.DUMMYFUNCTION("""COMPUTED_VALUE"""),"")</f>
        <v/>
      </c>
      <c r="G6131" s="18"/>
      <c r="H6131" s="16" t="s">
        <v>87</v>
      </c>
      <c r="I6131" s="16" t="s">
        <v>87</v>
      </c>
      <c r="J6131" s="19"/>
      <c r="L6131" s="16" t="str">
        <f>IFERROR(__xludf.DUMMYFUNCTION("""COMPUTED_VALUE"""),"")</f>
        <v/>
      </c>
      <c r="M6131" s="16" t="str">
        <f>IFERROR(__xludf.DUMMYFUNCTION("""COMPUTED_VALUE"""),"")</f>
        <v/>
      </c>
      <c r="U6131" s="16" t="s">
        <v>87</v>
      </c>
      <c r="V6131" s="16" t="str">
        <f>IFERROR(__xludf.DUMMYFUNCTION("""COMPUTED_VALUE"""),"")</f>
        <v/>
      </c>
      <c r="W6131" s="16" t="str">
        <f>IFERROR(__xludf.DUMMYFUNCTION("""COMPUTED_VALUE"""),"")</f>
        <v/>
      </c>
      <c r="X6131" s="16" t="str">
        <f>IFERROR(__xludf.DUMMYFUNCTION("""COMPUTED_VALUE"""),"")</f>
        <v/>
      </c>
      <c r="AC6131" s="16" t="str">
        <f>IFERROR(__xludf.DUMMYFUNCTION("""COMPUTED_VALUE"""),"")</f>
        <v/>
      </c>
    </row>
    <row r="6132">
      <c r="A6132" s="16" t="s">
        <v>87</v>
      </c>
      <c r="E6132" s="16" t="str">
        <f>IFERROR(__xludf.DUMMYFUNCTION("""COMPUTED_VALUE"""),"")</f>
        <v/>
      </c>
      <c r="G6132" s="18"/>
      <c r="H6132" s="16" t="s">
        <v>87</v>
      </c>
      <c r="I6132" s="16" t="s">
        <v>87</v>
      </c>
      <c r="J6132" s="19"/>
      <c r="L6132" s="16" t="str">
        <f>IFERROR(__xludf.DUMMYFUNCTION("""COMPUTED_VALUE"""),"")</f>
        <v/>
      </c>
      <c r="M6132" s="16" t="str">
        <f>IFERROR(__xludf.DUMMYFUNCTION("""COMPUTED_VALUE"""),"")</f>
        <v/>
      </c>
      <c r="U6132" s="16" t="s">
        <v>87</v>
      </c>
      <c r="V6132" s="16" t="str">
        <f>IFERROR(__xludf.DUMMYFUNCTION("""COMPUTED_VALUE"""),"")</f>
        <v/>
      </c>
      <c r="W6132" s="16" t="str">
        <f>IFERROR(__xludf.DUMMYFUNCTION("""COMPUTED_VALUE"""),"")</f>
        <v/>
      </c>
      <c r="X6132" s="16" t="str">
        <f>IFERROR(__xludf.DUMMYFUNCTION("""COMPUTED_VALUE"""),"")</f>
        <v/>
      </c>
      <c r="AC6132" s="16" t="str">
        <f>IFERROR(__xludf.DUMMYFUNCTION("""COMPUTED_VALUE"""),"")</f>
        <v/>
      </c>
    </row>
    <row r="6133">
      <c r="A6133" s="16" t="s">
        <v>87</v>
      </c>
      <c r="E6133" s="16" t="str">
        <f>IFERROR(__xludf.DUMMYFUNCTION("""COMPUTED_VALUE"""),"")</f>
        <v/>
      </c>
      <c r="G6133" s="18"/>
      <c r="H6133" s="16" t="s">
        <v>87</v>
      </c>
      <c r="I6133" s="16" t="s">
        <v>87</v>
      </c>
      <c r="J6133" s="19"/>
      <c r="L6133" s="16" t="str">
        <f>IFERROR(__xludf.DUMMYFUNCTION("""COMPUTED_VALUE"""),"")</f>
        <v/>
      </c>
      <c r="M6133" s="16" t="str">
        <f>IFERROR(__xludf.DUMMYFUNCTION("""COMPUTED_VALUE"""),"")</f>
        <v/>
      </c>
      <c r="U6133" s="16" t="s">
        <v>87</v>
      </c>
      <c r="V6133" s="16" t="str">
        <f>IFERROR(__xludf.DUMMYFUNCTION("""COMPUTED_VALUE"""),"")</f>
        <v/>
      </c>
      <c r="W6133" s="16" t="str">
        <f>IFERROR(__xludf.DUMMYFUNCTION("""COMPUTED_VALUE"""),"")</f>
        <v/>
      </c>
      <c r="X6133" s="16" t="str">
        <f>IFERROR(__xludf.DUMMYFUNCTION("""COMPUTED_VALUE"""),"")</f>
        <v/>
      </c>
      <c r="AC6133" s="16" t="str">
        <f>IFERROR(__xludf.DUMMYFUNCTION("""COMPUTED_VALUE"""),"")</f>
        <v/>
      </c>
    </row>
    <row r="6134">
      <c r="A6134" s="16" t="s">
        <v>87</v>
      </c>
      <c r="E6134" s="16" t="str">
        <f>IFERROR(__xludf.DUMMYFUNCTION("""COMPUTED_VALUE"""),"")</f>
        <v/>
      </c>
      <c r="G6134" s="18"/>
      <c r="H6134" s="16" t="s">
        <v>87</v>
      </c>
      <c r="I6134" s="16" t="s">
        <v>87</v>
      </c>
      <c r="J6134" s="19"/>
      <c r="L6134" s="16" t="str">
        <f>IFERROR(__xludf.DUMMYFUNCTION("""COMPUTED_VALUE"""),"")</f>
        <v/>
      </c>
      <c r="M6134" s="16" t="str">
        <f>IFERROR(__xludf.DUMMYFUNCTION("""COMPUTED_VALUE"""),"")</f>
        <v/>
      </c>
      <c r="U6134" s="16" t="s">
        <v>87</v>
      </c>
      <c r="V6134" s="16" t="str">
        <f>IFERROR(__xludf.DUMMYFUNCTION("""COMPUTED_VALUE"""),"")</f>
        <v/>
      </c>
      <c r="W6134" s="16" t="str">
        <f>IFERROR(__xludf.DUMMYFUNCTION("""COMPUTED_VALUE"""),"")</f>
        <v/>
      </c>
      <c r="X6134" s="16" t="str">
        <f>IFERROR(__xludf.DUMMYFUNCTION("""COMPUTED_VALUE"""),"")</f>
        <v/>
      </c>
      <c r="AC6134" s="16" t="str">
        <f>IFERROR(__xludf.DUMMYFUNCTION("""COMPUTED_VALUE"""),"")</f>
        <v/>
      </c>
    </row>
    <row r="6135">
      <c r="A6135" s="16" t="s">
        <v>87</v>
      </c>
      <c r="E6135" s="16" t="str">
        <f>IFERROR(__xludf.DUMMYFUNCTION("""COMPUTED_VALUE"""),"")</f>
        <v/>
      </c>
      <c r="G6135" s="18"/>
      <c r="H6135" s="16" t="s">
        <v>87</v>
      </c>
      <c r="I6135" s="16" t="s">
        <v>87</v>
      </c>
      <c r="J6135" s="19"/>
      <c r="L6135" s="16" t="str">
        <f>IFERROR(__xludf.DUMMYFUNCTION("""COMPUTED_VALUE"""),"")</f>
        <v/>
      </c>
      <c r="M6135" s="16" t="str">
        <f>IFERROR(__xludf.DUMMYFUNCTION("""COMPUTED_VALUE"""),"")</f>
        <v/>
      </c>
      <c r="U6135" s="16" t="s">
        <v>87</v>
      </c>
      <c r="V6135" s="16" t="str">
        <f>IFERROR(__xludf.DUMMYFUNCTION("""COMPUTED_VALUE"""),"")</f>
        <v/>
      </c>
      <c r="W6135" s="16" t="str">
        <f>IFERROR(__xludf.DUMMYFUNCTION("""COMPUTED_VALUE"""),"")</f>
        <v/>
      </c>
      <c r="X6135" s="16" t="str">
        <f>IFERROR(__xludf.DUMMYFUNCTION("""COMPUTED_VALUE"""),"")</f>
        <v/>
      </c>
      <c r="AC6135" s="16" t="str">
        <f>IFERROR(__xludf.DUMMYFUNCTION("""COMPUTED_VALUE"""),"")</f>
        <v/>
      </c>
    </row>
    <row r="6136">
      <c r="A6136" s="16" t="s">
        <v>87</v>
      </c>
      <c r="E6136" s="16" t="str">
        <f>IFERROR(__xludf.DUMMYFUNCTION("""COMPUTED_VALUE"""),"")</f>
        <v/>
      </c>
      <c r="G6136" s="18"/>
      <c r="H6136" s="16" t="s">
        <v>87</v>
      </c>
      <c r="I6136" s="16" t="s">
        <v>87</v>
      </c>
      <c r="J6136" s="19"/>
      <c r="L6136" s="16" t="str">
        <f>IFERROR(__xludf.DUMMYFUNCTION("""COMPUTED_VALUE"""),"")</f>
        <v/>
      </c>
      <c r="M6136" s="16" t="str">
        <f>IFERROR(__xludf.DUMMYFUNCTION("""COMPUTED_VALUE"""),"")</f>
        <v/>
      </c>
      <c r="U6136" s="16" t="s">
        <v>87</v>
      </c>
      <c r="V6136" s="16" t="str">
        <f>IFERROR(__xludf.DUMMYFUNCTION("""COMPUTED_VALUE"""),"")</f>
        <v/>
      </c>
      <c r="W6136" s="16" t="str">
        <f>IFERROR(__xludf.DUMMYFUNCTION("""COMPUTED_VALUE"""),"")</f>
        <v/>
      </c>
      <c r="X6136" s="16" t="str">
        <f>IFERROR(__xludf.DUMMYFUNCTION("""COMPUTED_VALUE"""),"")</f>
        <v/>
      </c>
      <c r="AC6136" s="16" t="str">
        <f>IFERROR(__xludf.DUMMYFUNCTION("""COMPUTED_VALUE"""),"")</f>
        <v/>
      </c>
    </row>
    <row r="6137">
      <c r="A6137" s="16" t="s">
        <v>87</v>
      </c>
      <c r="E6137" s="16" t="str">
        <f>IFERROR(__xludf.DUMMYFUNCTION("""COMPUTED_VALUE"""),"")</f>
        <v/>
      </c>
      <c r="G6137" s="18"/>
      <c r="H6137" s="16" t="s">
        <v>87</v>
      </c>
      <c r="I6137" s="16" t="s">
        <v>87</v>
      </c>
      <c r="J6137" s="19"/>
      <c r="L6137" s="16" t="str">
        <f>IFERROR(__xludf.DUMMYFUNCTION("""COMPUTED_VALUE"""),"")</f>
        <v/>
      </c>
      <c r="M6137" s="16" t="str">
        <f>IFERROR(__xludf.DUMMYFUNCTION("""COMPUTED_VALUE"""),"")</f>
        <v/>
      </c>
      <c r="U6137" s="16" t="s">
        <v>87</v>
      </c>
      <c r="V6137" s="16" t="str">
        <f>IFERROR(__xludf.DUMMYFUNCTION("""COMPUTED_VALUE"""),"")</f>
        <v/>
      </c>
      <c r="W6137" s="16" t="str">
        <f>IFERROR(__xludf.DUMMYFUNCTION("""COMPUTED_VALUE"""),"")</f>
        <v/>
      </c>
      <c r="X6137" s="16" t="str">
        <f>IFERROR(__xludf.DUMMYFUNCTION("""COMPUTED_VALUE"""),"")</f>
        <v/>
      </c>
      <c r="AC6137" s="16" t="str">
        <f>IFERROR(__xludf.DUMMYFUNCTION("""COMPUTED_VALUE"""),"")</f>
        <v/>
      </c>
    </row>
    <row r="6138">
      <c r="A6138" s="16" t="s">
        <v>87</v>
      </c>
      <c r="E6138" s="16" t="str">
        <f>IFERROR(__xludf.DUMMYFUNCTION("""COMPUTED_VALUE"""),"")</f>
        <v/>
      </c>
      <c r="G6138" s="18"/>
      <c r="H6138" s="16" t="s">
        <v>87</v>
      </c>
      <c r="I6138" s="16" t="s">
        <v>87</v>
      </c>
      <c r="J6138" s="19"/>
      <c r="L6138" s="16" t="str">
        <f>IFERROR(__xludf.DUMMYFUNCTION("""COMPUTED_VALUE"""),"")</f>
        <v/>
      </c>
      <c r="M6138" s="16" t="str">
        <f>IFERROR(__xludf.DUMMYFUNCTION("""COMPUTED_VALUE"""),"")</f>
        <v/>
      </c>
      <c r="U6138" s="16" t="s">
        <v>87</v>
      </c>
      <c r="V6138" s="16" t="str">
        <f>IFERROR(__xludf.DUMMYFUNCTION("""COMPUTED_VALUE"""),"")</f>
        <v/>
      </c>
      <c r="W6138" s="16" t="str">
        <f>IFERROR(__xludf.DUMMYFUNCTION("""COMPUTED_VALUE"""),"")</f>
        <v/>
      </c>
      <c r="X6138" s="16" t="str">
        <f>IFERROR(__xludf.DUMMYFUNCTION("""COMPUTED_VALUE"""),"")</f>
        <v/>
      </c>
      <c r="AC6138" s="16" t="str">
        <f>IFERROR(__xludf.DUMMYFUNCTION("""COMPUTED_VALUE"""),"")</f>
        <v/>
      </c>
    </row>
    <row r="6139">
      <c r="A6139" s="16" t="s">
        <v>87</v>
      </c>
      <c r="E6139" s="16" t="str">
        <f>IFERROR(__xludf.DUMMYFUNCTION("""COMPUTED_VALUE"""),"")</f>
        <v/>
      </c>
      <c r="G6139" s="18"/>
      <c r="H6139" s="16" t="s">
        <v>87</v>
      </c>
      <c r="I6139" s="16" t="s">
        <v>87</v>
      </c>
      <c r="J6139" s="19"/>
      <c r="L6139" s="16" t="str">
        <f>IFERROR(__xludf.DUMMYFUNCTION("""COMPUTED_VALUE"""),"")</f>
        <v/>
      </c>
      <c r="M6139" s="16" t="str">
        <f>IFERROR(__xludf.DUMMYFUNCTION("""COMPUTED_VALUE"""),"")</f>
        <v/>
      </c>
      <c r="U6139" s="16" t="s">
        <v>87</v>
      </c>
      <c r="V6139" s="16" t="str">
        <f>IFERROR(__xludf.DUMMYFUNCTION("""COMPUTED_VALUE"""),"")</f>
        <v/>
      </c>
      <c r="W6139" s="16" t="str">
        <f>IFERROR(__xludf.DUMMYFUNCTION("""COMPUTED_VALUE"""),"")</f>
        <v/>
      </c>
      <c r="X6139" s="16" t="str">
        <f>IFERROR(__xludf.DUMMYFUNCTION("""COMPUTED_VALUE"""),"")</f>
        <v/>
      </c>
      <c r="AC6139" s="16" t="str">
        <f>IFERROR(__xludf.DUMMYFUNCTION("""COMPUTED_VALUE"""),"")</f>
        <v/>
      </c>
    </row>
    <row r="6140">
      <c r="A6140" s="16" t="s">
        <v>87</v>
      </c>
      <c r="E6140" s="16" t="str">
        <f>IFERROR(__xludf.DUMMYFUNCTION("""COMPUTED_VALUE"""),"")</f>
        <v/>
      </c>
      <c r="G6140" s="18"/>
      <c r="H6140" s="16" t="s">
        <v>87</v>
      </c>
      <c r="I6140" s="16" t="s">
        <v>87</v>
      </c>
      <c r="J6140" s="19"/>
      <c r="L6140" s="16" t="str">
        <f>IFERROR(__xludf.DUMMYFUNCTION("""COMPUTED_VALUE"""),"")</f>
        <v/>
      </c>
      <c r="M6140" s="16" t="str">
        <f>IFERROR(__xludf.DUMMYFUNCTION("""COMPUTED_VALUE"""),"")</f>
        <v/>
      </c>
      <c r="U6140" s="16" t="s">
        <v>87</v>
      </c>
      <c r="V6140" s="16" t="str">
        <f>IFERROR(__xludf.DUMMYFUNCTION("""COMPUTED_VALUE"""),"")</f>
        <v/>
      </c>
      <c r="W6140" s="16" t="str">
        <f>IFERROR(__xludf.DUMMYFUNCTION("""COMPUTED_VALUE"""),"")</f>
        <v/>
      </c>
      <c r="X6140" s="16" t="str">
        <f>IFERROR(__xludf.DUMMYFUNCTION("""COMPUTED_VALUE"""),"")</f>
        <v/>
      </c>
      <c r="AC6140" s="16" t="str">
        <f>IFERROR(__xludf.DUMMYFUNCTION("""COMPUTED_VALUE"""),"")</f>
        <v/>
      </c>
    </row>
    <row r="6141">
      <c r="A6141" s="16" t="s">
        <v>87</v>
      </c>
      <c r="E6141" s="16" t="str">
        <f>IFERROR(__xludf.DUMMYFUNCTION("""COMPUTED_VALUE"""),"")</f>
        <v/>
      </c>
      <c r="G6141" s="18"/>
      <c r="H6141" s="16" t="s">
        <v>87</v>
      </c>
      <c r="I6141" s="16" t="s">
        <v>87</v>
      </c>
      <c r="J6141" s="19"/>
      <c r="L6141" s="16" t="str">
        <f>IFERROR(__xludf.DUMMYFUNCTION("""COMPUTED_VALUE"""),"")</f>
        <v/>
      </c>
      <c r="M6141" s="16" t="str">
        <f>IFERROR(__xludf.DUMMYFUNCTION("""COMPUTED_VALUE"""),"")</f>
        <v/>
      </c>
      <c r="U6141" s="16" t="s">
        <v>87</v>
      </c>
      <c r="V6141" s="16" t="str">
        <f>IFERROR(__xludf.DUMMYFUNCTION("""COMPUTED_VALUE"""),"")</f>
        <v/>
      </c>
      <c r="W6141" s="16" t="str">
        <f>IFERROR(__xludf.DUMMYFUNCTION("""COMPUTED_VALUE"""),"")</f>
        <v/>
      </c>
      <c r="X6141" s="16" t="str">
        <f>IFERROR(__xludf.DUMMYFUNCTION("""COMPUTED_VALUE"""),"")</f>
        <v/>
      </c>
      <c r="AC6141" s="16" t="str">
        <f>IFERROR(__xludf.DUMMYFUNCTION("""COMPUTED_VALUE"""),"")</f>
        <v/>
      </c>
    </row>
    <row r="6142">
      <c r="A6142" s="16" t="s">
        <v>87</v>
      </c>
      <c r="E6142" s="16" t="str">
        <f>IFERROR(__xludf.DUMMYFUNCTION("""COMPUTED_VALUE"""),"")</f>
        <v/>
      </c>
      <c r="G6142" s="18"/>
      <c r="H6142" s="16" t="s">
        <v>87</v>
      </c>
      <c r="I6142" s="16" t="s">
        <v>87</v>
      </c>
      <c r="J6142" s="19"/>
      <c r="L6142" s="16" t="str">
        <f>IFERROR(__xludf.DUMMYFUNCTION("""COMPUTED_VALUE"""),"")</f>
        <v/>
      </c>
      <c r="M6142" s="16" t="str">
        <f>IFERROR(__xludf.DUMMYFUNCTION("""COMPUTED_VALUE"""),"")</f>
        <v/>
      </c>
      <c r="U6142" s="16" t="s">
        <v>87</v>
      </c>
      <c r="V6142" s="16" t="str">
        <f>IFERROR(__xludf.DUMMYFUNCTION("""COMPUTED_VALUE"""),"")</f>
        <v/>
      </c>
      <c r="W6142" s="16" t="str">
        <f>IFERROR(__xludf.DUMMYFUNCTION("""COMPUTED_VALUE"""),"")</f>
        <v/>
      </c>
      <c r="X6142" s="16" t="str">
        <f>IFERROR(__xludf.DUMMYFUNCTION("""COMPUTED_VALUE"""),"")</f>
        <v/>
      </c>
      <c r="AC6142" s="16" t="str">
        <f>IFERROR(__xludf.DUMMYFUNCTION("""COMPUTED_VALUE"""),"")</f>
        <v/>
      </c>
    </row>
    <row r="6143">
      <c r="A6143" s="16" t="s">
        <v>87</v>
      </c>
      <c r="E6143" s="16" t="str">
        <f>IFERROR(__xludf.DUMMYFUNCTION("""COMPUTED_VALUE"""),"")</f>
        <v/>
      </c>
      <c r="G6143" s="18"/>
      <c r="H6143" s="16" t="s">
        <v>87</v>
      </c>
      <c r="I6143" s="16" t="s">
        <v>87</v>
      </c>
      <c r="J6143" s="19"/>
      <c r="L6143" s="16" t="str">
        <f>IFERROR(__xludf.DUMMYFUNCTION("""COMPUTED_VALUE"""),"")</f>
        <v/>
      </c>
      <c r="M6143" s="16" t="str">
        <f>IFERROR(__xludf.DUMMYFUNCTION("""COMPUTED_VALUE"""),"")</f>
        <v/>
      </c>
      <c r="U6143" s="16" t="s">
        <v>87</v>
      </c>
      <c r="V6143" s="16" t="str">
        <f>IFERROR(__xludf.DUMMYFUNCTION("""COMPUTED_VALUE"""),"")</f>
        <v/>
      </c>
      <c r="W6143" s="16" t="str">
        <f>IFERROR(__xludf.DUMMYFUNCTION("""COMPUTED_VALUE"""),"")</f>
        <v/>
      </c>
      <c r="X6143" s="16" t="str">
        <f>IFERROR(__xludf.DUMMYFUNCTION("""COMPUTED_VALUE"""),"")</f>
        <v/>
      </c>
      <c r="AC6143" s="16" t="str">
        <f>IFERROR(__xludf.DUMMYFUNCTION("""COMPUTED_VALUE"""),"")</f>
        <v/>
      </c>
    </row>
    <row r="6144">
      <c r="A6144" s="16" t="s">
        <v>87</v>
      </c>
      <c r="E6144" s="16" t="str">
        <f>IFERROR(__xludf.DUMMYFUNCTION("""COMPUTED_VALUE"""),"")</f>
        <v/>
      </c>
      <c r="G6144" s="18"/>
      <c r="H6144" s="16" t="s">
        <v>87</v>
      </c>
      <c r="I6144" s="16" t="s">
        <v>87</v>
      </c>
      <c r="J6144" s="19"/>
      <c r="L6144" s="16" t="str">
        <f>IFERROR(__xludf.DUMMYFUNCTION("""COMPUTED_VALUE"""),"")</f>
        <v/>
      </c>
      <c r="M6144" s="16" t="str">
        <f>IFERROR(__xludf.DUMMYFUNCTION("""COMPUTED_VALUE"""),"")</f>
        <v/>
      </c>
      <c r="U6144" s="16" t="s">
        <v>87</v>
      </c>
      <c r="V6144" s="16" t="str">
        <f>IFERROR(__xludf.DUMMYFUNCTION("""COMPUTED_VALUE"""),"")</f>
        <v/>
      </c>
      <c r="W6144" s="16" t="str">
        <f>IFERROR(__xludf.DUMMYFUNCTION("""COMPUTED_VALUE"""),"")</f>
        <v/>
      </c>
      <c r="X6144" s="16" t="str">
        <f>IFERROR(__xludf.DUMMYFUNCTION("""COMPUTED_VALUE"""),"")</f>
        <v/>
      </c>
      <c r="AC6144" s="16" t="str">
        <f>IFERROR(__xludf.DUMMYFUNCTION("""COMPUTED_VALUE"""),"")</f>
        <v/>
      </c>
    </row>
    <row r="6145">
      <c r="A6145" s="16" t="s">
        <v>87</v>
      </c>
      <c r="E6145" s="16" t="str">
        <f>IFERROR(__xludf.DUMMYFUNCTION("""COMPUTED_VALUE"""),"")</f>
        <v/>
      </c>
      <c r="G6145" s="18"/>
      <c r="H6145" s="16" t="s">
        <v>87</v>
      </c>
      <c r="I6145" s="16" t="s">
        <v>87</v>
      </c>
      <c r="J6145" s="19"/>
      <c r="L6145" s="16" t="str">
        <f>IFERROR(__xludf.DUMMYFUNCTION("""COMPUTED_VALUE"""),"")</f>
        <v/>
      </c>
      <c r="M6145" s="16" t="str">
        <f>IFERROR(__xludf.DUMMYFUNCTION("""COMPUTED_VALUE"""),"")</f>
        <v/>
      </c>
      <c r="U6145" s="16" t="s">
        <v>87</v>
      </c>
      <c r="V6145" s="16" t="str">
        <f>IFERROR(__xludf.DUMMYFUNCTION("""COMPUTED_VALUE"""),"")</f>
        <v/>
      </c>
      <c r="W6145" s="16" t="str">
        <f>IFERROR(__xludf.DUMMYFUNCTION("""COMPUTED_VALUE"""),"")</f>
        <v/>
      </c>
      <c r="X6145" s="16" t="str">
        <f>IFERROR(__xludf.DUMMYFUNCTION("""COMPUTED_VALUE"""),"")</f>
        <v/>
      </c>
      <c r="AC6145" s="16" t="str">
        <f>IFERROR(__xludf.DUMMYFUNCTION("""COMPUTED_VALUE"""),"")</f>
        <v/>
      </c>
    </row>
    <row r="6146">
      <c r="A6146" s="16" t="s">
        <v>87</v>
      </c>
      <c r="E6146" s="16" t="str">
        <f>IFERROR(__xludf.DUMMYFUNCTION("""COMPUTED_VALUE"""),"")</f>
        <v/>
      </c>
      <c r="G6146" s="18"/>
      <c r="H6146" s="16" t="s">
        <v>87</v>
      </c>
      <c r="I6146" s="16" t="s">
        <v>87</v>
      </c>
      <c r="J6146" s="19"/>
      <c r="L6146" s="16" t="str">
        <f>IFERROR(__xludf.DUMMYFUNCTION("""COMPUTED_VALUE"""),"")</f>
        <v/>
      </c>
      <c r="M6146" s="16" t="str">
        <f>IFERROR(__xludf.DUMMYFUNCTION("""COMPUTED_VALUE"""),"")</f>
        <v/>
      </c>
      <c r="U6146" s="16" t="s">
        <v>87</v>
      </c>
      <c r="V6146" s="16" t="str">
        <f>IFERROR(__xludf.DUMMYFUNCTION("""COMPUTED_VALUE"""),"")</f>
        <v/>
      </c>
      <c r="W6146" s="16" t="str">
        <f>IFERROR(__xludf.DUMMYFUNCTION("""COMPUTED_VALUE"""),"")</f>
        <v/>
      </c>
      <c r="X6146" s="16" t="str">
        <f>IFERROR(__xludf.DUMMYFUNCTION("""COMPUTED_VALUE"""),"")</f>
        <v/>
      </c>
      <c r="AC6146" s="16" t="str">
        <f>IFERROR(__xludf.DUMMYFUNCTION("""COMPUTED_VALUE"""),"")</f>
        <v/>
      </c>
    </row>
    <row r="6147">
      <c r="A6147" s="16" t="s">
        <v>87</v>
      </c>
      <c r="E6147" s="16" t="str">
        <f>IFERROR(__xludf.DUMMYFUNCTION("""COMPUTED_VALUE"""),"")</f>
        <v/>
      </c>
      <c r="G6147" s="18"/>
      <c r="H6147" s="16" t="s">
        <v>87</v>
      </c>
      <c r="I6147" s="16" t="s">
        <v>87</v>
      </c>
      <c r="J6147" s="19"/>
      <c r="L6147" s="16" t="str">
        <f>IFERROR(__xludf.DUMMYFUNCTION("""COMPUTED_VALUE"""),"")</f>
        <v/>
      </c>
      <c r="M6147" s="16" t="str">
        <f>IFERROR(__xludf.DUMMYFUNCTION("""COMPUTED_VALUE"""),"")</f>
        <v/>
      </c>
      <c r="U6147" s="16" t="s">
        <v>87</v>
      </c>
      <c r="V6147" s="16" t="str">
        <f>IFERROR(__xludf.DUMMYFUNCTION("""COMPUTED_VALUE"""),"")</f>
        <v/>
      </c>
      <c r="W6147" s="16" t="str">
        <f>IFERROR(__xludf.DUMMYFUNCTION("""COMPUTED_VALUE"""),"")</f>
        <v/>
      </c>
      <c r="X6147" s="16" t="str">
        <f>IFERROR(__xludf.DUMMYFUNCTION("""COMPUTED_VALUE"""),"")</f>
        <v/>
      </c>
      <c r="AC6147" s="16" t="str">
        <f>IFERROR(__xludf.DUMMYFUNCTION("""COMPUTED_VALUE"""),"")</f>
        <v/>
      </c>
    </row>
    <row r="6148">
      <c r="A6148" s="16" t="s">
        <v>87</v>
      </c>
      <c r="E6148" s="16" t="str">
        <f>IFERROR(__xludf.DUMMYFUNCTION("""COMPUTED_VALUE"""),"")</f>
        <v/>
      </c>
      <c r="G6148" s="18"/>
      <c r="H6148" s="16" t="s">
        <v>87</v>
      </c>
      <c r="I6148" s="16" t="s">
        <v>87</v>
      </c>
      <c r="J6148" s="19"/>
      <c r="L6148" s="16" t="str">
        <f>IFERROR(__xludf.DUMMYFUNCTION("""COMPUTED_VALUE"""),"")</f>
        <v/>
      </c>
      <c r="M6148" s="16" t="str">
        <f>IFERROR(__xludf.DUMMYFUNCTION("""COMPUTED_VALUE"""),"")</f>
        <v/>
      </c>
      <c r="U6148" s="16" t="s">
        <v>87</v>
      </c>
      <c r="V6148" s="16" t="str">
        <f>IFERROR(__xludf.DUMMYFUNCTION("""COMPUTED_VALUE"""),"")</f>
        <v/>
      </c>
      <c r="W6148" s="16" t="str">
        <f>IFERROR(__xludf.DUMMYFUNCTION("""COMPUTED_VALUE"""),"")</f>
        <v/>
      </c>
      <c r="X6148" s="16" t="str">
        <f>IFERROR(__xludf.DUMMYFUNCTION("""COMPUTED_VALUE"""),"")</f>
        <v/>
      </c>
      <c r="AC6148" s="16" t="str">
        <f>IFERROR(__xludf.DUMMYFUNCTION("""COMPUTED_VALUE"""),"")</f>
        <v/>
      </c>
    </row>
    <row r="6149">
      <c r="A6149" s="16" t="s">
        <v>87</v>
      </c>
      <c r="E6149" s="16" t="str">
        <f>IFERROR(__xludf.DUMMYFUNCTION("""COMPUTED_VALUE"""),"")</f>
        <v/>
      </c>
      <c r="G6149" s="18"/>
      <c r="H6149" s="16" t="s">
        <v>87</v>
      </c>
      <c r="I6149" s="16" t="s">
        <v>87</v>
      </c>
      <c r="J6149" s="19"/>
      <c r="L6149" s="16" t="str">
        <f>IFERROR(__xludf.DUMMYFUNCTION("""COMPUTED_VALUE"""),"")</f>
        <v/>
      </c>
      <c r="M6149" s="16" t="str">
        <f>IFERROR(__xludf.DUMMYFUNCTION("""COMPUTED_VALUE"""),"")</f>
        <v/>
      </c>
      <c r="U6149" s="16" t="s">
        <v>87</v>
      </c>
      <c r="V6149" s="16" t="str">
        <f>IFERROR(__xludf.DUMMYFUNCTION("""COMPUTED_VALUE"""),"")</f>
        <v/>
      </c>
      <c r="W6149" s="16" t="str">
        <f>IFERROR(__xludf.DUMMYFUNCTION("""COMPUTED_VALUE"""),"")</f>
        <v/>
      </c>
      <c r="X6149" s="16" t="str">
        <f>IFERROR(__xludf.DUMMYFUNCTION("""COMPUTED_VALUE"""),"")</f>
        <v/>
      </c>
      <c r="AC6149" s="16" t="str">
        <f>IFERROR(__xludf.DUMMYFUNCTION("""COMPUTED_VALUE"""),"")</f>
        <v/>
      </c>
    </row>
    <row r="6150">
      <c r="A6150" s="16" t="s">
        <v>87</v>
      </c>
      <c r="E6150" s="16" t="str">
        <f>IFERROR(__xludf.DUMMYFUNCTION("""COMPUTED_VALUE"""),"")</f>
        <v/>
      </c>
      <c r="G6150" s="18"/>
      <c r="H6150" s="16" t="s">
        <v>87</v>
      </c>
      <c r="I6150" s="16" t="s">
        <v>87</v>
      </c>
      <c r="J6150" s="19"/>
      <c r="L6150" s="16" t="str">
        <f>IFERROR(__xludf.DUMMYFUNCTION("""COMPUTED_VALUE"""),"")</f>
        <v/>
      </c>
      <c r="M6150" s="16" t="str">
        <f>IFERROR(__xludf.DUMMYFUNCTION("""COMPUTED_VALUE"""),"")</f>
        <v/>
      </c>
      <c r="U6150" s="16" t="s">
        <v>87</v>
      </c>
      <c r="V6150" s="16" t="str">
        <f>IFERROR(__xludf.DUMMYFUNCTION("""COMPUTED_VALUE"""),"")</f>
        <v/>
      </c>
      <c r="W6150" s="16" t="str">
        <f>IFERROR(__xludf.DUMMYFUNCTION("""COMPUTED_VALUE"""),"")</f>
        <v/>
      </c>
      <c r="X6150" s="16" t="str">
        <f>IFERROR(__xludf.DUMMYFUNCTION("""COMPUTED_VALUE"""),"")</f>
        <v/>
      </c>
      <c r="AC6150" s="16" t="str">
        <f>IFERROR(__xludf.DUMMYFUNCTION("""COMPUTED_VALUE"""),"")</f>
        <v/>
      </c>
    </row>
    <row r="6151">
      <c r="A6151" s="16" t="s">
        <v>87</v>
      </c>
      <c r="E6151" s="16" t="str">
        <f>IFERROR(__xludf.DUMMYFUNCTION("""COMPUTED_VALUE"""),"")</f>
        <v/>
      </c>
      <c r="G6151" s="18"/>
      <c r="H6151" s="16" t="s">
        <v>87</v>
      </c>
      <c r="I6151" s="16" t="s">
        <v>87</v>
      </c>
      <c r="J6151" s="19"/>
      <c r="L6151" s="16" t="str">
        <f>IFERROR(__xludf.DUMMYFUNCTION("""COMPUTED_VALUE"""),"")</f>
        <v/>
      </c>
      <c r="M6151" s="16" t="str">
        <f>IFERROR(__xludf.DUMMYFUNCTION("""COMPUTED_VALUE"""),"")</f>
        <v/>
      </c>
      <c r="U6151" s="16" t="s">
        <v>87</v>
      </c>
      <c r="V6151" s="16" t="str">
        <f>IFERROR(__xludf.DUMMYFUNCTION("""COMPUTED_VALUE"""),"")</f>
        <v/>
      </c>
      <c r="W6151" s="16" t="str">
        <f>IFERROR(__xludf.DUMMYFUNCTION("""COMPUTED_VALUE"""),"")</f>
        <v/>
      </c>
      <c r="X6151" s="16" t="str">
        <f>IFERROR(__xludf.DUMMYFUNCTION("""COMPUTED_VALUE"""),"")</f>
        <v/>
      </c>
      <c r="AC6151" s="16" t="str">
        <f>IFERROR(__xludf.DUMMYFUNCTION("""COMPUTED_VALUE"""),"")</f>
        <v/>
      </c>
    </row>
    <row r="6152">
      <c r="A6152" s="16" t="s">
        <v>87</v>
      </c>
      <c r="E6152" s="16" t="str">
        <f>IFERROR(__xludf.DUMMYFUNCTION("""COMPUTED_VALUE"""),"")</f>
        <v/>
      </c>
      <c r="G6152" s="18"/>
      <c r="H6152" s="16" t="s">
        <v>87</v>
      </c>
      <c r="I6152" s="16" t="s">
        <v>87</v>
      </c>
      <c r="J6152" s="19"/>
      <c r="L6152" s="16" t="str">
        <f>IFERROR(__xludf.DUMMYFUNCTION("""COMPUTED_VALUE"""),"")</f>
        <v/>
      </c>
      <c r="M6152" s="16" t="str">
        <f>IFERROR(__xludf.DUMMYFUNCTION("""COMPUTED_VALUE"""),"")</f>
        <v/>
      </c>
      <c r="U6152" s="16" t="s">
        <v>87</v>
      </c>
      <c r="V6152" s="16" t="str">
        <f>IFERROR(__xludf.DUMMYFUNCTION("""COMPUTED_VALUE"""),"")</f>
        <v/>
      </c>
      <c r="W6152" s="16" t="str">
        <f>IFERROR(__xludf.DUMMYFUNCTION("""COMPUTED_VALUE"""),"")</f>
        <v/>
      </c>
      <c r="X6152" s="16" t="str">
        <f>IFERROR(__xludf.DUMMYFUNCTION("""COMPUTED_VALUE"""),"")</f>
        <v/>
      </c>
      <c r="AC6152" s="16" t="str">
        <f>IFERROR(__xludf.DUMMYFUNCTION("""COMPUTED_VALUE"""),"")</f>
        <v/>
      </c>
    </row>
    <row r="6153">
      <c r="A6153" s="16" t="s">
        <v>87</v>
      </c>
      <c r="E6153" s="16" t="str">
        <f>IFERROR(__xludf.DUMMYFUNCTION("""COMPUTED_VALUE"""),"")</f>
        <v/>
      </c>
      <c r="G6153" s="18"/>
      <c r="H6153" s="16" t="s">
        <v>87</v>
      </c>
      <c r="I6153" s="16" t="s">
        <v>87</v>
      </c>
      <c r="J6153" s="19"/>
      <c r="L6153" s="16" t="str">
        <f>IFERROR(__xludf.DUMMYFUNCTION("""COMPUTED_VALUE"""),"")</f>
        <v/>
      </c>
      <c r="M6153" s="16" t="str">
        <f>IFERROR(__xludf.DUMMYFUNCTION("""COMPUTED_VALUE"""),"")</f>
        <v/>
      </c>
      <c r="U6153" s="16" t="s">
        <v>87</v>
      </c>
      <c r="V6153" s="16" t="str">
        <f>IFERROR(__xludf.DUMMYFUNCTION("""COMPUTED_VALUE"""),"")</f>
        <v/>
      </c>
      <c r="W6153" s="16" t="str">
        <f>IFERROR(__xludf.DUMMYFUNCTION("""COMPUTED_VALUE"""),"")</f>
        <v/>
      </c>
      <c r="X6153" s="16" t="str">
        <f>IFERROR(__xludf.DUMMYFUNCTION("""COMPUTED_VALUE"""),"")</f>
        <v/>
      </c>
      <c r="AC6153" s="16" t="str">
        <f>IFERROR(__xludf.DUMMYFUNCTION("""COMPUTED_VALUE"""),"")</f>
        <v/>
      </c>
    </row>
    <row r="6154">
      <c r="A6154" s="16" t="s">
        <v>87</v>
      </c>
      <c r="E6154" s="16" t="str">
        <f>IFERROR(__xludf.DUMMYFUNCTION("""COMPUTED_VALUE"""),"")</f>
        <v/>
      </c>
      <c r="G6154" s="18"/>
      <c r="H6154" s="16" t="s">
        <v>87</v>
      </c>
      <c r="I6154" s="16" t="s">
        <v>87</v>
      </c>
      <c r="J6154" s="19"/>
      <c r="L6154" s="16" t="str">
        <f>IFERROR(__xludf.DUMMYFUNCTION("""COMPUTED_VALUE"""),"")</f>
        <v/>
      </c>
      <c r="M6154" s="16" t="str">
        <f>IFERROR(__xludf.DUMMYFUNCTION("""COMPUTED_VALUE"""),"")</f>
        <v/>
      </c>
      <c r="U6154" s="16" t="s">
        <v>87</v>
      </c>
      <c r="V6154" s="16" t="str">
        <f>IFERROR(__xludf.DUMMYFUNCTION("""COMPUTED_VALUE"""),"")</f>
        <v/>
      </c>
      <c r="W6154" s="16" t="str">
        <f>IFERROR(__xludf.DUMMYFUNCTION("""COMPUTED_VALUE"""),"")</f>
        <v/>
      </c>
      <c r="X6154" s="16" t="str">
        <f>IFERROR(__xludf.DUMMYFUNCTION("""COMPUTED_VALUE"""),"")</f>
        <v/>
      </c>
      <c r="AC6154" s="16" t="str">
        <f>IFERROR(__xludf.DUMMYFUNCTION("""COMPUTED_VALUE"""),"")</f>
        <v/>
      </c>
    </row>
    <row r="6155">
      <c r="A6155" s="16" t="s">
        <v>87</v>
      </c>
      <c r="E6155" s="16" t="str">
        <f>IFERROR(__xludf.DUMMYFUNCTION("""COMPUTED_VALUE"""),"")</f>
        <v/>
      </c>
      <c r="G6155" s="18"/>
      <c r="H6155" s="16" t="s">
        <v>87</v>
      </c>
      <c r="I6155" s="16" t="s">
        <v>87</v>
      </c>
      <c r="J6155" s="19"/>
      <c r="L6155" s="16" t="str">
        <f>IFERROR(__xludf.DUMMYFUNCTION("""COMPUTED_VALUE"""),"")</f>
        <v/>
      </c>
      <c r="M6155" s="16" t="str">
        <f>IFERROR(__xludf.DUMMYFUNCTION("""COMPUTED_VALUE"""),"")</f>
        <v/>
      </c>
      <c r="U6155" s="16" t="s">
        <v>87</v>
      </c>
      <c r="V6155" s="16" t="str">
        <f>IFERROR(__xludf.DUMMYFUNCTION("""COMPUTED_VALUE"""),"")</f>
        <v/>
      </c>
      <c r="W6155" s="16" t="str">
        <f>IFERROR(__xludf.DUMMYFUNCTION("""COMPUTED_VALUE"""),"")</f>
        <v/>
      </c>
      <c r="X6155" s="16" t="str">
        <f>IFERROR(__xludf.DUMMYFUNCTION("""COMPUTED_VALUE"""),"")</f>
        <v/>
      </c>
      <c r="AC6155" s="16" t="str">
        <f>IFERROR(__xludf.DUMMYFUNCTION("""COMPUTED_VALUE"""),"")</f>
        <v/>
      </c>
    </row>
    <row r="6156">
      <c r="A6156" s="16" t="s">
        <v>87</v>
      </c>
      <c r="E6156" s="16" t="str">
        <f>IFERROR(__xludf.DUMMYFUNCTION("""COMPUTED_VALUE"""),"")</f>
        <v/>
      </c>
      <c r="G6156" s="18"/>
      <c r="H6156" s="16" t="s">
        <v>87</v>
      </c>
      <c r="I6156" s="16" t="s">
        <v>87</v>
      </c>
      <c r="J6156" s="19"/>
      <c r="L6156" s="16" t="str">
        <f>IFERROR(__xludf.DUMMYFUNCTION("""COMPUTED_VALUE"""),"")</f>
        <v/>
      </c>
      <c r="M6156" s="16" t="str">
        <f>IFERROR(__xludf.DUMMYFUNCTION("""COMPUTED_VALUE"""),"")</f>
        <v/>
      </c>
      <c r="U6156" s="16" t="s">
        <v>87</v>
      </c>
      <c r="V6156" s="16" t="str">
        <f>IFERROR(__xludf.DUMMYFUNCTION("""COMPUTED_VALUE"""),"")</f>
        <v/>
      </c>
      <c r="W6156" s="16" t="str">
        <f>IFERROR(__xludf.DUMMYFUNCTION("""COMPUTED_VALUE"""),"")</f>
        <v/>
      </c>
      <c r="X6156" s="16" t="str">
        <f>IFERROR(__xludf.DUMMYFUNCTION("""COMPUTED_VALUE"""),"")</f>
        <v/>
      </c>
      <c r="AC6156" s="16" t="str">
        <f>IFERROR(__xludf.DUMMYFUNCTION("""COMPUTED_VALUE"""),"")</f>
        <v/>
      </c>
    </row>
    <row r="6157">
      <c r="A6157" s="16" t="s">
        <v>87</v>
      </c>
      <c r="E6157" s="16" t="str">
        <f>IFERROR(__xludf.DUMMYFUNCTION("""COMPUTED_VALUE"""),"")</f>
        <v/>
      </c>
      <c r="G6157" s="18"/>
      <c r="H6157" s="16" t="s">
        <v>87</v>
      </c>
      <c r="I6157" s="16" t="s">
        <v>87</v>
      </c>
      <c r="J6157" s="19"/>
      <c r="L6157" s="16" t="str">
        <f>IFERROR(__xludf.DUMMYFUNCTION("""COMPUTED_VALUE"""),"")</f>
        <v/>
      </c>
      <c r="M6157" s="16" t="str">
        <f>IFERROR(__xludf.DUMMYFUNCTION("""COMPUTED_VALUE"""),"")</f>
        <v/>
      </c>
      <c r="U6157" s="16" t="s">
        <v>87</v>
      </c>
      <c r="V6157" s="16" t="str">
        <f>IFERROR(__xludf.DUMMYFUNCTION("""COMPUTED_VALUE"""),"")</f>
        <v/>
      </c>
      <c r="W6157" s="16" t="str">
        <f>IFERROR(__xludf.DUMMYFUNCTION("""COMPUTED_VALUE"""),"")</f>
        <v/>
      </c>
      <c r="X6157" s="16" t="str">
        <f>IFERROR(__xludf.DUMMYFUNCTION("""COMPUTED_VALUE"""),"")</f>
        <v/>
      </c>
      <c r="AC6157" s="16" t="str">
        <f>IFERROR(__xludf.DUMMYFUNCTION("""COMPUTED_VALUE"""),"")</f>
        <v/>
      </c>
    </row>
    <row r="6158">
      <c r="A6158" s="16" t="s">
        <v>87</v>
      </c>
      <c r="E6158" s="16" t="str">
        <f>IFERROR(__xludf.DUMMYFUNCTION("""COMPUTED_VALUE"""),"")</f>
        <v/>
      </c>
      <c r="G6158" s="18"/>
      <c r="H6158" s="16" t="s">
        <v>87</v>
      </c>
      <c r="I6158" s="16" t="s">
        <v>87</v>
      </c>
      <c r="J6158" s="19"/>
      <c r="L6158" s="16" t="str">
        <f>IFERROR(__xludf.DUMMYFUNCTION("""COMPUTED_VALUE"""),"")</f>
        <v/>
      </c>
      <c r="M6158" s="16" t="str">
        <f>IFERROR(__xludf.DUMMYFUNCTION("""COMPUTED_VALUE"""),"")</f>
        <v/>
      </c>
      <c r="U6158" s="16" t="s">
        <v>87</v>
      </c>
      <c r="V6158" s="16" t="str">
        <f>IFERROR(__xludf.DUMMYFUNCTION("""COMPUTED_VALUE"""),"")</f>
        <v/>
      </c>
      <c r="W6158" s="16" t="str">
        <f>IFERROR(__xludf.DUMMYFUNCTION("""COMPUTED_VALUE"""),"")</f>
        <v/>
      </c>
      <c r="X6158" s="16" t="str">
        <f>IFERROR(__xludf.DUMMYFUNCTION("""COMPUTED_VALUE"""),"")</f>
        <v/>
      </c>
      <c r="AC6158" s="16" t="str">
        <f>IFERROR(__xludf.DUMMYFUNCTION("""COMPUTED_VALUE"""),"")</f>
        <v/>
      </c>
    </row>
    <row r="6159">
      <c r="A6159" s="16" t="s">
        <v>87</v>
      </c>
      <c r="E6159" s="16" t="str">
        <f>IFERROR(__xludf.DUMMYFUNCTION("""COMPUTED_VALUE"""),"")</f>
        <v/>
      </c>
      <c r="G6159" s="18"/>
      <c r="H6159" s="16" t="s">
        <v>87</v>
      </c>
      <c r="I6159" s="16" t="s">
        <v>87</v>
      </c>
      <c r="J6159" s="19"/>
      <c r="L6159" s="16" t="str">
        <f>IFERROR(__xludf.DUMMYFUNCTION("""COMPUTED_VALUE"""),"")</f>
        <v/>
      </c>
      <c r="M6159" s="16" t="str">
        <f>IFERROR(__xludf.DUMMYFUNCTION("""COMPUTED_VALUE"""),"")</f>
        <v/>
      </c>
      <c r="U6159" s="16" t="s">
        <v>87</v>
      </c>
      <c r="V6159" s="16" t="str">
        <f>IFERROR(__xludf.DUMMYFUNCTION("""COMPUTED_VALUE"""),"")</f>
        <v/>
      </c>
      <c r="W6159" s="16" t="str">
        <f>IFERROR(__xludf.DUMMYFUNCTION("""COMPUTED_VALUE"""),"")</f>
        <v/>
      </c>
      <c r="X6159" s="16" t="str">
        <f>IFERROR(__xludf.DUMMYFUNCTION("""COMPUTED_VALUE"""),"")</f>
        <v/>
      </c>
      <c r="AC6159" s="16" t="str">
        <f>IFERROR(__xludf.DUMMYFUNCTION("""COMPUTED_VALUE"""),"")</f>
        <v/>
      </c>
    </row>
    <row r="6160">
      <c r="A6160" s="16" t="s">
        <v>87</v>
      </c>
      <c r="E6160" s="16" t="str">
        <f>IFERROR(__xludf.DUMMYFUNCTION("""COMPUTED_VALUE"""),"")</f>
        <v/>
      </c>
      <c r="G6160" s="18"/>
      <c r="H6160" s="16" t="s">
        <v>87</v>
      </c>
      <c r="I6160" s="16" t="s">
        <v>87</v>
      </c>
      <c r="J6160" s="19"/>
      <c r="L6160" s="16" t="str">
        <f>IFERROR(__xludf.DUMMYFUNCTION("""COMPUTED_VALUE"""),"")</f>
        <v/>
      </c>
      <c r="M6160" s="16" t="str">
        <f>IFERROR(__xludf.DUMMYFUNCTION("""COMPUTED_VALUE"""),"")</f>
        <v/>
      </c>
      <c r="U6160" s="16" t="s">
        <v>87</v>
      </c>
      <c r="V6160" s="16" t="str">
        <f>IFERROR(__xludf.DUMMYFUNCTION("""COMPUTED_VALUE"""),"")</f>
        <v/>
      </c>
      <c r="W6160" s="16" t="str">
        <f>IFERROR(__xludf.DUMMYFUNCTION("""COMPUTED_VALUE"""),"")</f>
        <v/>
      </c>
      <c r="X6160" s="16" t="str">
        <f>IFERROR(__xludf.DUMMYFUNCTION("""COMPUTED_VALUE"""),"")</f>
        <v/>
      </c>
      <c r="AC6160" s="16" t="str">
        <f>IFERROR(__xludf.DUMMYFUNCTION("""COMPUTED_VALUE"""),"")</f>
        <v/>
      </c>
    </row>
    <row r="6161">
      <c r="A6161" s="16" t="s">
        <v>87</v>
      </c>
      <c r="E6161" s="16" t="str">
        <f>IFERROR(__xludf.DUMMYFUNCTION("""COMPUTED_VALUE"""),"")</f>
        <v/>
      </c>
      <c r="G6161" s="18"/>
      <c r="H6161" s="16" t="s">
        <v>87</v>
      </c>
      <c r="I6161" s="16" t="s">
        <v>87</v>
      </c>
      <c r="J6161" s="19"/>
      <c r="L6161" s="16" t="str">
        <f>IFERROR(__xludf.DUMMYFUNCTION("""COMPUTED_VALUE"""),"")</f>
        <v/>
      </c>
      <c r="M6161" s="16" t="str">
        <f>IFERROR(__xludf.DUMMYFUNCTION("""COMPUTED_VALUE"""),"")</f>
        <v/>
      </c>
      <c r="U6161" s="16" t="s">
        <v>87</v>
      </c>
      <c r="V6161" s="16" t="str">
        <f>IFERROR(__xludf.DUMMYFUNCTION("""COMPUTED_VALUE"""),"")</f>
        <v/>
      </c>
      <c r="W6161" s="16" t="str">
        <f>IFERROR(__xludf.DUMMYFUNCTION("""COMPUTED_VALUE"""),"")</f>
        <v/>
      </c>
      <c r="X6161" s="16" t="str">
        <f>IFERROR(__xludf.DUMMYFUNCTION("""COMPUTED_VALUE"""),"")</f>
        <v/>
      </c>
      <c r="AC6161" s="16" t="str">
        <f>IFERROR(__xludf.DUMMYFUNCTION("""COMPUTED_VALUE"""),"")</f>
        <v/>
      </c>
    </row>
    <row r="6162">
      <c r="A6162" s="16" t="s">
        <v>87</v>
      </c>
      <c r="E6162" s="16" t="str">
        <f>IFERROR(__xludf.DUMMYFUNCTION("""COMPUTED_VALUE"""),"")</f>
        <v/>
      </c>
      <c r="G6162" s="18"/>
      <c r="H6162" s="16" t="s">
        <v>87</v>
      </c>
      <c r="I6162" s="16" t="s">
        <v>87</v>
      </c>
      <c r="J6162" s="19"/>
      <c r="L6162" s="16" t="str">
        <f>IFERROR(__xludf.DUMMYFUNCTION("""COMPUTED_VALUE"""),"")</f>
        <v/>
      </c>
      <c r="M6162" s="16" t="str">
        <f>IFERROR(__xludf.DUMMYFUNCTION("""COMPUTED_VALUE"""),"")</f>
        <v/>
      </c>
      <c r="U6162" s="16" t="s">
        <v>87</v>
      </c>
      <c r="V6162" s="16" t="str">
        <f>IFERROR(__xludf.DUMMYFUNCTION("""COMPUTED_VALUE"""),"")</f>
        <v/>
      </c>
      <c r="W6162" s="16" t="str">
        <f>IFERROR(__xludf.DUMMYFUNCTION("""COMPUTED_VALUE"""),"")</f>
        <v/>
      </c>
      <c r="X6162" s="16" t="str">
        <f>IFERROR(__xludf.DUMMYFUNCTION("""COMPUTED_VALUE"""),"")</f>
        <v/>
      </c>
      <c r="AC6162" s="16" t="str">
        <f>IFERROR(__xludf.DUMMYFUNCTION("""COMPUTED_VALUE"""),"")</f>
        <v/>
      </c>
    </row>
    <row r="6163">
      <c r="A6163" s="16" t="s">
        <v>87</v>
      </c>
      <c r="E6163" s="16" t="str">
        <f>IFERROR(__xludf.DUMMYFUNCTION("""COMPUTED_VALUE"""),"")</f>
        <v/>
      </c>
      <c r="G6163" s="18"/>
      <c r="H6163" s="16" t="s">
        <v>87</v>
      </c>
      <c r="I6163" s="16" t="s">
        <v>87</v>
      </c>
      <c r="J6163" s="19"/>
      <c r="L6163" s="16" t="str">
        <f>IFERROR(__xludf.DUMMYFUNCTION("""COMPUTED_VALUE"""),"")</f>
        <v/>
      </c>
      <c r="M6163" s="16" t="str">
        <f>IFERROR(__xludf.DUMMYFUNCTION("""COMPUTED_VALUE"""),"")</f>
        <v/>
      </c>
      <c r="U6163" s="16" t="s">
        <v>87</v>
      </c>
      <c r="V6163" s="16" t="str">
        <f>IFERROR(__xludf.DUMMYFUNCTION("""COMPUTED_VALUE"""),"")</f>
        <v/>
      </c>
      <c r="W6163" s="16" t="str">
        <f>IFERROR(__xludf.DUMMYFUNCTION("""COMPUTED_VALUE"""),"")</f>
        <v/>
      </c>
      <c r="X6163" s="16" t="str">
        <f>IFERROR(__xludf.DUMMYFUNCTION("""COMPUTED_VALUE"""),"")</f>
        <v/>
      </c>
      <c r="AC6163" s="16" t="str">
        <f>IFERROR(__xludf.DUMMYFUNCTION("""COMPUTED_VALUE"""),"")</f>
        <v/>
      </c>
    </row>
    <row r="6164">
      <c r="A6164" s="16" t="s">
        <v>87</v>
      </c>
      <c r="E6164" s="16" t="str">
        <f>IFERROR(__xludf.DUMMYFUNCTION("""COMPUTED_VALUE"""),"")</f>
        <v/>
      </c>
      <c r="G6164" s="18"/>
      <c r="H6164" s="16" t="s">
        <v>87</v>
      </c>
      <c r="I6164" s="16" t="s">
        <v>87</v>
      </c>
      <c r="J6164" s="19"/>
      <c r="L6164" s="16" t="str">
        <f>IFERROR(__xludf.DUMMYFUNCTION("""COMPUTED_VALUE"""),"")</f>
        <v/>
      </c>
      <c r="M6164" s="16" t="str">
        <f>IFERROR(__xludf.DUMMYFUNCTION("""COMPUTED_VALUE"""),"")</f>
        <v/>
      </c>
      <c r="U6164" s="16" t="s">
        <v>87</v>
      </c>
      <c r="V6164" s="16" t="str">
        <f>IFERROR(__xludf.DUMMYFUNCTION("""COMPUTED_VALUE"""),"")</f>
        <v/>
      </c>
      <c r="W6164" s="16" t="str">
        <f>IFERROR(__xludf.DUMMYFUNCTION("""COMPUTED_VALUE"""),"")</f>
        <v/>
      </c>
      <c r="X6164" s="16" t="str">
        <f>IFERROR(__xludf.DUMMYFUNCTION("""COMPUTED_VALUE"""),"")</f>
        <v/>
      </c>
      <c r="AC6164" s="16" t="str">
        <f>IFERROR(__xludf.DUMMYFUNCTION("""COMPUTED_VALUE"""),"")</f>
        <v/>
      </c>
    </row>
    <row r="6165">
      <c r="A6165" s="16" t="s">
        <v>87</v>
      </c>
      <c r="E6165" s="16" t="str">
        <f>IFERROR(__xludf.DUMMYFUNCTION("""COMPUTED_VALUE"""),"")</f>
        <v/>
      </c>
      <c r="G6165" s="18"/>
      <c r="H6165" s="16" t="s">
        <v>87</v>
      </c>
      <c r="I6165" s="16" t="s">
        <v>87</v>
      </c>
      <c r="J6165" s="19"/>
      <c r="L6165" s="16" t="str">
        <f>IFERROR(__xludf.DUMMYFUNCTION("""COMPUTED_VALUE"""),"")</f>
        <v/>
      </c>
      <c r="M6165" s="16" t="str">
        <f>IFERROR(__xludf.DUMMYFUNCTION("""COMPUTED_VALUE"""),"")</f>
        <v/>
      </c>
      <c r="U6165" s="16" t="s">
        <v>87</v>
      </c>
      <c r="V6165" s="16" t="str">
        <f>IFERROR(__xludf.DUMMYFUNCTION("""COMPUTED_VALUE"""),"")</f>
        <v/>
      </c>
      <c r="W6165" s="16" t="str">
        <f>IFERROR(__xludf.DUMMYFUNCTION("""COMPUTED_VALUE"""),"")</f>
        <v/>
      </c>
      <c r="X6165" s="16" t="str">
        <f>IFERROR(__xludf.DUMMYFUNCTION("""COMPUTED_VALUE"""),"")</f>
        <v/>
      </c>
      <c r="AC6165" s="16" t="str">
        <f>IFERROR(__xludf.DUMMYFUNCTION("""COMPUTED_VALUE"""),"")</f>
        <v/>
      </c>
    </row>
    <row r="6166">
      <c r="A6166" s="16" t="s">
        <v>87</v>
      </c>
      <c r="E6166" s="16" t="str">
        <f>IFERROR(__xludf.DUMMYFUNCTION("""COMPUTED_VALUE"""),"")</f>
        <v/>
      </c>
      <c r="G6166" s="18"/>
      <c r="H6166" s="16" t="s">
        <v>87</v>
      </c>
      <c r="I6166" s="16" t="s">
        <v>87</v>
      </c>
      <c r="J6166" s="19"/>
      <c r="L6166" s="16" t="str">
        <f>IFERROR(__xludf.DUMMYFUNCTION("""COMPUTED_VALUE"""),"")</f>
        <v/>
      </c>
      <c r="M6166" s="16" t="str">
        <f>IFERROR(__xludf.DUMMYFUNCTION("""COMPUTED_VALUE"""),"")</f>
        <v/>
      </c>
      <c r="U6166" s="16" t="s">
        <v>87</v>
      </c>
      <c r="V6166" s="16" t="str">
        <f>IFERROR(__xludf.DUMMYFUNCTION("""COMPUTED_VALUE"""),"")</f>
        <v/>
      </c>
      <c r="W6166" s="16" t="str">
        <f>IFERROR(__xludf.DUMMYFUNCTION("""COMPUTED_VALUE"""),"")</f>
        <v/>
      </c>
      <c r="X6166" s="16" t="str">
        <f>IFERROR(__xludf.DUMMYFUNCTION("""COMPUTED_VALUE"""),"")</f>
        <v/>
      </c>
      <c r="AC6166" s="16" t="str">
        <f>IFERROR(__xludf.DUMMYFUNCTION("""COMPUTED_VALUE"""),"")</f>
        <v/>
      </c>
    </row>
    <row r="6167">
      <c r="A6167" s="16" t="s">
        <v>87</v>
      </c>
      <c r="E6167" s="16" t="str">
        <f>IFERROR(__xludf.DUMMYFUNCTION("""COMPUTED_VALUE"""),"")</f>
        <v/>
      </c>
      <c r="G6167" s="18"/>
      <c r="H6167" s="16" t="s">
        <v>87</v>
      </c>
      <c r="I6167" s="16" t="s">
        <v>87</v>
      </c>
      <c r="J6167" s="19"/>
      <c r="L6167" s="16" t="str">
        <f>IFERROR(__xludf.DUMMYFUNCTION("""COMPUTED_VALUE"""),"")</f>
        <v/>
      </c>
      <c r="M6167" s="16" t="str">
        <f>IFERROR(__xludf.DUMMYFUNCTION("""COMPUTED_VALUE"""),"")</f>
        <v/>
      </c>
      <c r="U6167" s="16" t="s">
        <v>87</v>
      </c>
      <c r="V6167" s="16" t="str">
        <f>IFERROR(__xludf.DUMMYFUNCTION("""COMPUTED_VALUE"""),"")</f>
        <v/>
      </c>
      <c r="W6167" s="16" t="str">
        <f>IFERROR(__xludf.DUMMYFUNCTION("""COMPUTED_VALUE"""),"")</f>
        <v/>
      </c>
      <c r="X6167" s="16" t="str">
        <f>IFERROR(__xludf.DUMMYFUNCTION("""COMPUTED_VALUE"""),"")</f>
        <v/>
      </c>
      <c r="AC6167" s="16" t="str">
        <f>IFERROR(__xludf.DUMMYFUNCTION("""COMPUTED_VALUE"""),"")</f>
        <v/>
      </c>
    </row>
    <row r="6168">
      <c r="A6168" s="16" t="s">
        <v>87</v>
      </c>
      <c r="E6168" s="16" t="str">
        <f>IFERROR(__xludf.DUMMYFUNCTION("""COMPUTED_VALUE"""),"")</f>
        <v/>
      </c>
      <c r="G6168" s="18"/>
      <c r="H6168" s="16" t="s">
        <v>87</v>
      </c>
      <c r="I6168" s="16" t="s">
        <v>87</v>
      </c>
      <c r="J6168" s="19"/>
      <c r="L6168" s="16" t="str">
        <f>IFERROR(__xludf.DUMMYFUNCTION("""COMPUTED_VALUE"""),"")</f>
        <v/>
      </c>
      <c r="M6168" s="16" t="str">
        <f>IFERROR(__xludf.DUMMYFUNCTION("""COMPUTED_VALUE"""),"")</f>
        <v/>
      </c>
      <c r="U6168" s="16" t="s">
        <v>87</v>
      </c>
      <c r="V6168" s="16" t="str">
        <f>IFERROR(__xludf.DUMMYFUNCTION("""COMPUTED_VALUE"""),"")</f>
        <v/>
      </c>
      <c r="W6168" s="16" t="str">
        <f>IFERROR(__xludf.DUMMYFUNCTION("""COMPUTED_VALUE"""),"")</f>
        <v/>
      </c>
      <c r="X6168" s="16" t="str">
        <f>IFERROR(__xludf.DUMMYFUNCTION("""COMPUTED_VALUE"""),"")</f>
        <v/>
      </c>
      <c r="AC6168" s="16" t="str">
        <f>IFERROR(__xludf.DUMMYFUNCTION("""COMPUTED_VALUE"""),"")</f>
        <v/>
      </c>
    </row>
    <row r="6169">
      <c r="A6169" s="16" t="s">
        <v>87</v>
      </c>
      <c r="E6169" s="16" t="str">
        <f>IFERROR(__xludf.DUMMYFUNCTION("""COMPUTED_VALUE"""),"")</f>
        <v/>
      </c>
      <c r="G6169" s="18"/>
      <c r="H6169" s="16" t="s">
        <v>87</v>
      </c>
      <c r="I6169" s="16" t="s">
        <v>87</v>
      </c>
      <c r="J6169" s="19"/>
      <c r="L6169" s="16" t="str">
        <f>IFERROR(__xludf.DUMMYFUNCTION("""COMPUTED_VALUE"""),"")</f>
        <v/>
      </c>
      <c r="M6169" s="16" t="str">
        <f>IFERROR(__xludf.DUMMYFUNCTION("""COMPUTED_VALUE"""),"")</f>
        <v/>
      </c>
      <c r="U6169" s="16" t="s">
        <v>87</v>
      </c>
      <c r="V6169" s="16" t="str">
        <f>IFERROR(__xludf.DUMMYFUNCTION("""COMPUTED_VALUE"""),"")</f>
        <v/>
      </c>
      <c r="W6169" s="16" t="str">
        <f>IFERROR(__xludf.DUMMYFUNCTION("""COMPUTED_VALUE"""),"")</f>
        <v/>
      </c>
      <c r="X6169" s="16" t="str">
        <f>IFERROR(__xludf.DUMMYFUNCTION("""COMPUTED_VALUE"""),"")</f>
        <v/>
      </c>
      <c r="AC6169" s="16" t="str">
        <f>IFERROR(__xludf.DUMMYFUNCTION("""COMPUTED_VALUE"""),"")</f>
        <v/>
      </c>
    </row>
    <row r="6170">
      <c r="A6170" s="16" t="s">
        <v>87</v>
      </c>
      <c r="E6170" s="16" t="str">
        <f>IFERROR(__xludf.DUMMYFUNCTION("""COMPUTED_VALUE"""),"")</f>
        <v/>
      </c>
      <c r="G6170" s="18"/>
      <c r="H6170" s="16" t="s">
        <v>87</v>
      </c>
      <c r="I6170" s="16" t="s">
        <v>87</v>
      </c>
      <c r="J6170" s="19"/>
      <c r="L6170" s="16" t="str">
        <f>IFERROR(__xludf.DUMMYFUNCTION("""COMPUTED_VALUE"""),"")</f>
        <v/>
      </c>
      <c r="M6170" s="16" t="str">
        <f>IFERROR(__xludf.DUMMYFUNCTION("""COMPUTED_VALUE"""),"")</f>
        <v/>
      </c>
      <c r="U6170" s="16" t="s">
        <v>87</v>
      </c>
      <c r="V6170" s="16" t="str">
        <f>IFERROR(__xludf.DUMMYFUNCTION("""COMPUTED_VALUE"""),"")</f>
        <v/>
      </c>
      <c r="W6170" s="16" t="str">
        <f>IFERROR(__xludf.DUMMYFUNCTION("""COMPUTED_VALUE"""),"")</f>
        <v/>
      </c>
      <c r="X6170" s="16" t="str">
        <f>IFERROR(__xludf.DUMMYFUNCTION("""COMPUTED_VALUE"""),"")</f>
        <v/>
      </c>
      <c r="AC6170" s="16" t="str">
        <f>IFERROR(__xludf.DUMMYFUNCTION("""COMPUTED_VALUE"""),"")</f>
        <v/>
      </c>
    </row>
    <row r="6171">
      <c r="A6171" s="16" t="s">
        <v>87</v>
      </c>
      <c r="E6171" s="16" t="str">
        <f>IFERROR(__xludf.DUMMYFUNCTION("""COMPUTED_VALUE"""),"")</f>
        <v/>
      </c>
      <c r="G6171" s="18"/>
      <c r="H6171" s="16" t="s">
        <v>87</v>
      </c>
      <c r="I6171" s="16" t="s">
        <v>87</v>
      </c>
      <c r="J6171" s="19"/>
      <c r="L6171" s="16" t="str">
        <f>IFERROR(__xludf.DUMMYFUNCTION("""COMPUTED_VALUE"""),"")</f>
        <v/>
      </c>
      <c r="M6171" s="16" t="str">
        <f>IFERROR(__xludf.DUMMYFUNCTION("""COMPUTED_VALUE"""),"")</f>
        <v/>
      </c>
      <c r="U6171" s="16" t="s">
        <v>87</v>
      </c>
      <c r="V6171" s="16" t="str">
        <f>IFERROR(__xludf.DUMMYFUNCTION("""COMPUTED_VALUE"""),"")</f>
        <v/>
      </c>
      <c r="W6171" s="16" t="str">
        <f>IFERROR(__xludf.DUMMYFUNCTION("""COMPUTED_VALUE"""),"")</f>
        <v/>
      </c>
      <c r="X6171" s="16" t="str">
        <f>IFERROR(__xludf.DUMMYFUNCTION("""COMPUTED_VALUE"""),"")</f>
        <v/>
      </c>
      <c r="AC6171" s="16" t="str">
        <f>IFERROR(__xludf.DUMMYFUNCTION("""COMPUTED_VALUE"""),"")</f>
        <v/>
      </c>
    </row>
    <row r="6172">
      <c r="A6172" s="16" t="s">
        <v>87</v>
      </c>
      <c r="E6172" s="16" t="str">
        <f>IFERROR(__xludf.DUMMYFUNCTION("""COMPUTED_VALUE"""),"")</f>
        <v/>
      </c>
      <c r="G6172" s="18"/>
      <c r="H6172" s="16" t="s">
        <v>87</v>
      </c>
      <c r="I6172" s="16" t="s">
        <v>87</v>
      </c>
      <c r="J6172" s="19"/>
      <c r="L6172" s="16" t="str">
        <f>IFERROR(__xludf.DUMMYFUNCTION("""COMPUTED_VALUE"""),"")</f>
        <v/>
      </c>
      <c r="M6172" s="16" t="str">
        <f>IFERROR(__xludf.DUMMYFUNCTION("""COMPUTED_VALUE"""),"")</f>
        <v/>
      </c>
      <c r="U6172" s="16" t="s">
        <v>87</v>
      </c>
      <c r="V6172" s="16" t="str">
        <f>IFERROR(__xludf.DUMMYFUNCTION("""COMPUTED_VALUE"""),"")</f>
        <v/>
      </c>
      <c r="W6172" s="16" t="str">
        <f>IFERROR(__xludf.DUMMYFUNCTION("""COMPUTED_VALUE"""),"")</f>
        <v/>
      </c>
      <c r="X6172" s="16" t="str">
        <f>IFERROR(__xludf.DUMMYFUNCTION("""COMPUTED_VALUE"""),"")</f>
        <v/>
      </c>
      <c r="AC6172" s="16" t="str">
        <f>IFERROR(__xludf.DUMMYFUNCTION("""COMPUTED_VALUE"""),"")</f>
        <v/>
      </c>
    </row>
    <row r="6173">
      <c r="A6173" s="16" t="s">
        <v>87</v>
      </c>
      <c r="E6173" s="16" t="str">
        <f>IFERROR(__xludf.DUMMYFUNCTION("""COMPUTED_VALUE"""),"")</f>
        <v/>
      </c>
      <c r="G6173" s="18"/>
      <c r="H6173" s="16" t="s">
        <v>87</v>
      </c>
      <c r="I6173" s="16" t="s">
        <v>87</v>
      </c>
      <c r="J6173" s="19"/>
      <c r="L6173" s="16" t="str">
        <f>IFERROR(__xludf.DUMMYFUNCTION("""COMPUTED_VALUE"""),"")</f>
        <v/>
      </c>
      <c r="M6173" s="16" t="str">
        <f>IFERROR(__xludf.DUMMYFUNCTION("""COMPUTED_VALUE"""),"")</f>
        <v/>
      </c>
      <c r="U6173" s="16" t="s">
        <v>87</v>
      </c>
      <c r="V6173" s="16" t="str">
        <f>IFERROR(__xludf.DUMMYFUNCTION("""COMPUTED_VALUE"""),"")</f>
        <v/>
      </c>
      <c r="W6173" s="16" t="str">
        <f>IFERROR(__xludf.DUMMYFUNCTION("""COMPUTED_VALUE"""),"")</f>
        <v/>
      </c>
      <c r="X6173" s="16" t="str">
        <f>IFERROR(__xludf.DUMMYFUNCTION("""COMPUTED_VALUE"""),"")</f>
        <v/>
      </c>
      <c r="AC6173" s="16" t="str">
        <f>IFERROR(__xludf.DUMMYFUNCTION("""COMPUTED_VALUE"""),"")</f>
        <v/>
      </c>
    </row>
    <row r="6174">
      <c r="A6174" s="16" t="s">
        <v>87</v>
      </c>
      <c r="E6174" s="16" t="str">
        <f>IFERROR(__xludf.DUMMYFUNCTION("""COMPUTED_VALUE"""),"")</f>
        <v/>
      </c>
      <c r="G6174" s="18"/>
      <c r="H6174" s="16" t="s">
        <v>87</v>
      </c>
      <c r="I6174" s="16" t="s">
        <v>87</v>
      </c>
      <c r="J6174" s="19"/>
      <c r="L6174" s="16" t="str">
        <f>IFERROR(__xludf.DUMMYFUNCTION("""COMPUTED_VALUE"""),"")</f>
        <v/>
      </c>
      <c r="M6174" s="16" t="str">
        <f>IFERROR(__xludf.DUMMYFUNCTION("""COMPUTED_VALUE"""),"")</f>
        <v/>
      </c>
      <c r="U6174" s="16" t="s">
        <v>87</v>
      </c>
      <c r="V6174" s="16" t="str">
        <f>IFERROR(__xludf.DUMMYFUNCTION("""COMPUTED_VALUE"""),"")</f>
        <v/>
      </c>
      <c r="W6174" s="16" t="str">
        <f>IFERROR(__xludf.DUMMYFUNCTION("""COMPUTED_VALUE"""),"")</f>
        <v/>
      </c>
      <c r="X6174" s="16" t="str">
        <f>IFERROR(__xludf.DUMMYFUNCTION("""COMPUTED_VALUE"""),"")</f>
        <v/>
      </c>
      <c r="AC6174" s="16" t="str">
        <f>IFERROR(__xludf.DUMMYFUNCTION("""COMPUTED_VALUE"""),"")</f>
        <v/>
      </c>
    </row>
    <row r="6175">
      <c r="A6175" s="16" t="s">
        <v>87</v>
      </c>
      <c r="E6175" s="16" t="str">
        <f>IFERROR(__xludf.DUMMYFUNCTION("""COMPUTED_VALUE"""),"")</f>
        <v/>
      </c>
      <c r="G6175" s="18"/>
      <c r="H6175" s="16" t="s">
        <v>87</v>
      </c>
      <c r="I6175" s="16" t="s">
        <v>87</v>
      </c>
      <c r="J6175" s="19"/>
      <c r="L6175" s="16" t="str">
        <f>IFERROR(__xludf.DUMMYFUNCTION("""COMPUTED_VALUE"""),"")</f>
        <v/>
      </c>
      <c r="M6175" s="16" t="str">
        <f>IFERROR(__xludf.DUMMYFUNCTION("""COMPUTED_VALUE"""),"")</f>
        <v/>
      </c>
      <c r="U6175" s="16" t="s">
        <v>87</v>
      </c>
      <c r="V6175" s="16" t="str">
        <f>IFERROR(__xludf.DUMMYFUNCTION("""COMPUTED_VALUE"""),"")</f>
        <v/>
      </c>
      <c r="W6175" s="16" t="str">
        <f>IFERROR(__xludf.DUMMYFUNCTION("""COMPUTED_VALUE"""),"")</f>
        <v/>
      </c>
      <c r="X6175" s="16" t="str">
        <f>IFERROR(__xludf.DUMMYFUNCTION("""COMPUTED_VALUE"""),"")</f>
        <v/>
      </c>
      <c r="AC6175" s="16" t="str">
        <f>IFERROR(__xludf.DUMMYFUNCTION("""COMPUTED_VALUE"""),"")</f>
        <v/>
      </c>
    </row>
    <row r="6176">
      <c r="A6176" s="16" t="s">
        <v>87</v>
      </c>
      <c r="E6176" s="16" t="str">
        <f>IFERROR(__xludf.DUMMYFUNCTION("""COMPUTED_VALUE"""),"")</f>
        <v/>
      </c>
      <c r="G6176" s="18"/>
      <c r="H6176" s="16" t="s">
        <v>87</v>
      </c>
      <c r="I6176" s="16" t="s">
        <v>87</v>
      </c>
      <c r="J6176" s="19"/>
      <c r="L6176" s="16" t="str">
        <f>IFERROR(__xludf.DUMMYFUNCTION("""COMPUTED_VALUE"""),"")</f>
        <v/>
      </c>
      <c r="M6176" s="16" t="str">
        <f>IFERROR(__xludf.DUMMYFUNCTION("""COMPUTED_VALUE"""),"")</f>
        <v/>
      </c>
      <c r="U6176" s="16" t="s">
        <v>87</v>
      </c>
      <c r="V6176" s="16" t="str">
        <f>IFERROR(__xludf.DUMMYFUNCTION("""COMPUTED_VALUE"""),"")</f>
        <v/>
      </c>
      <c r="W6176" s="16" t="str">
        <f>IFERROR(__xludf.DUMMYFUNCTION("""COMPUTED_VALUE"""),"")</f>
        <v/>
      </c>
      <c r="X6176" s="16" t="str">
        <f>IFERROR(__xludf.DUMMYFUNCTION("""COMPUTED_VALUE"""),"")</f>
        <v/>
      </c>
      <c r="AC6176" s="16" t="str">
        <f>IFERROR(__xludf.DUMMYFUNCTION("""COMPUTED_VALUE"""),"")</f>
        <v/>
      </c>
    </row>
    <row r="6177">
      <c r="A6177" s="16" t="s">
        <v>87</v>
      </c>
      <c r="E6177" s="16" t="str">
        <f>IFERROR(__xludf.DUMMYFUNCTION("""COMPUTED_VALUE"""),"")</f>
        <v/>
      </c>
      <c r="G6177" s="18"/>
      <c r="H6177" s="16" t="s">
        <v>87</v>
      </c>
      <c r="I6177" s="16" t="s">
        <v>87</v>
      </c>
      <c r="J6177" s="19"/>
      <c r="L6177" s="16" t="str">
        <f>IFERROR(__xludf.DUMMYFUNCTION("""COMPUTED_VALUE"""),"")</f>
        <v/>
      </c>
      <c r="M6177" s="16" t="str">
        <f>IFERROR(__xludf.DUMMYFUNCTION("""COMPUTED_VALUE"""),"")</f>
        <v/>
      </c>
      <c r="U6177" s="16" t="s">
        <v>87</v>
      </c>
      <c r="V6177" s="16" t="str">
        <f>IFERROR(__xludf.DUMMYFUNCTION("""COMPUTED_VALUE"""),"")</f>
        <v/>
      </c>
      <c r="W6177" s="16" t="str">
        <f>IFERROR(__xludf.DUMMYFUNCTION("""COMPUTED_VALUE"""),"")</f>
        <v/>
      </c>
      <c r="X6177" s="16" t="str">
        <f>IFERROR(__xludf.DUMMYFUNCTION("""COMPUTED_VALUE"""),"")</f>
        <v/>
      </c>
      <c r="AC6177" s="16" t="str">
        <f>IFERROR(__xludf.DUMMYFUNCTION("""COMPUTED_VALUE"""),"")</f>
        <v/>
      </c>
    </row>
    <row r="6178">
      <c r="A6178" s="16" t="s">
        <v>87</v>
      </c>
      <c r="E6178" s="16" t="str">
        <f>IFERROR(__xludf.DUMMYFUNCTION("""COMPUTED_VALUE"""),"")</f>
        <v/>
      </c>
      <c r="G6178" s="18"/>
      <c r="H6178" s="16" t="s">
        <v>87</v>
      </c>
      <c r="I6178" s="16" t="s">
        <v>87</v>
      </c>
      <c r="J6178" s="19"/>
      <c r="L6178" s="16" t="str">
        <f>IFERROR(__xludf.DUMMYFUNCTION("""COMPUTED_VALUE"""),"")</f>
        <v/>
      </c>
      <c r="M6178" s="16" t="str">
        <f>IFERROR(__xludf.DUMMYFUNCTION("""COMPUTED_VALUE"""),"")</f>
        <v/>
      </c>
      <c r="U6178" s="16" t="s">
        <v>87</v>
      </c>
      <c r="V6178" s="16" t="str">
        <f>IFERROR(__xludf.DUMMYFUNCTION("""COMPUTED_VALUE"""),"")</f>
        <v/>
      </c>
      <c r="W6178" s="16" t="str">
        <f>IFERROR(__xludf.DUMMYFUNCTION("""COMPUTED_VALUE"""),"")</f>
        <v/>
      </c>
      <c r="X6178" s="16" t="str">
        <f>IFERROR(__xludf.DUMMYFUNCTION("""COMPUTED_VALUE"""),"")</f>
        <v/>
      </c>
      <c r="AC6178" s="16" t="str">
        <f>IFERROR(__xludf.DUMMYFUNCTION("""COMPUTED_VALUE"""),"")</f>
        <v/>
      </c>
    </row>
    <row r="6179">
      <c r="A6179" s="16" t="s">
        <v>87</v>
      </c>
      <c r="E6179" s="16" t="str">
        <f>IFERROR(__xludf.DUMMYFUNCTION("""COMPUTED_VALUE"""),"")</f>
        <v/>
      </c>
      <c r="G6179" s="18"/>
      <c r="H6179" s="16" t="s">
        <v>87</v>
      </c>
      <c r="I6179" s="16" t="s">
        <v>87</v>
      </c>
      <c r="J6179" s="19"/>
      <c r="L6179" s="16" t="str">
        <f>IFERROR(__xludf.DUMMYFUNCTION("""COMPUTED_VALUE"""),"")</f>
        <v/>
      </c>
      <c r="M6179" s="16" t="str">
        <f>IFERROR(__xludf.DUMMYFUNCTION("""COMPUTED_VALUE"""),"")</f>
        <v/>
      </c>
      <c r="U6179" s="16" t="s">
        <v>87</v>
      </c>
      <c r="V6179" s="16" t="str">
        <f>IFERROR(__xludf.DUMMYFUNCTION("""COMPUTED_VALUE"""),"")</f>
        <v/>
      </c>
      <c r="W6179" s="16" t="str">
        <f>IFERROR(__xludf.DUMMYFUNCTION("""COMPUTED_VALUE"""),"")</f>
        <v/>
      </c>
      <c r="X6179" s="16" t="str">
        <f>IFERROR(__xludf.DUMMYFUNCTION("""COMPUTED_VALUE"""),"")</f>
        <v/>
      </c>
      <c r="AC6179" s="16" t="str">
        <f>IFERROR(__xludf.DUMMYFUNCTION("""COMPUTED_VALUE"""),"")</f>
        <v/>
      </c>
    </row>
    <row r="6180">
      <c r="A6180" s="16" t="s">
        <v>87</v>
      </c>
      <c r="E6180" s="16" t="str">
        <f>IFERROR(__xludf.DUMMYFUNCTION("""COMPUTED_VALUE"""),"")</f>
        <v/>
      </c>
      <c r="G6180" s="18"/>
      <c r="H6180" s="16" t="s">
        <v>87</v>
      </c>
      <c r="I6180" s="16" t="s">
        <v>87</v>
      </c>
      <c r="J6180" s="19"/>
      <c r="L6180" s="16" t="str">
        <f>IFERROR(__xludf.DUMMYFUNCTION("""COMPUTED_VALUE"""),"")</f>
        <v/>
      </c>
      <c r="M6180" s="16" t="str">
        <f>IFERROR(__xludf.DUMMYFUNCTION("""COMPUTED_VALUE"""),"")</f>
        <v/>
      </c>
      <c r="U6180" s="16" t="s">
        <v>87</v>
      </c>
      <c r="V6180" s="16" t="str">
        <f>IFERROR(__xludf.DUMMYFUNCTION("""COMPUTED_VALUE"""),"")</f>
        <v/>
      </c>
      <c r="W6180" s="16" t="str">
        <f>IFERROR(__xludf.DUMMYFUNCTION("""COMPUTED_VALUE"""),"")</f>
        <v/>
      </c>
      <c r="X6180" s="16" t="str">
        <f>IFERROR(__xludf.DUMMYFUNCTION("""COMPUTED_VALUE"""),"")</f>
        <v/>
      </c>
      <c r="AC6180" s="16" t="str">
        <f>IFERROR(__xludf.DUMMYFUNCTION("""COMPUTED_VALUE"""),"")</f>
        <v/>
      </c>
    </row>
    <row r="6181">
      <c r="A6181" s="16" t="s">
        <v>87</v>
      </c>
      <c r="E6181" s="16" t="str">
        <f>IFERROR(__xludf.DUMMYFUNCTION("""COMPUTED_VALUE"""),"")</f>
        <v/>
      </c>
      <c r="G6181" s="18"/>
      <c r="H6181" s="16" t="s">
        <v>87</v>
      </c>
      <c r="I6181" s="16" t="s">
        <v>87</v>
      </c>
      <c r="J6181" s="19"/>
      <c r="L6181" s="16" t="str">
        <f>IFERROR(__xludf.DUMMYFUNCTION("""COMPUTED_VALUE"""),"")</f>
        <v/>
      </c>
      <c r="M6181" s="16" t="str">
        <f>IFERROR(__xludf.DUMMYFUNCTION("""COMPUTED_VALUE"""),"")</f>
        <v/>
      </c>
      <c r="U6181" s="16" t="s">
        <v>87</v>
      </c>
      <c r="V6181" s="16" t="str">
        <f>IFERROR(__xludf.DUMMYFUNCTION("""COMPUTED_VALUE"""),"")</f>
        <v/>
      </c>
      <c r="W6181" s="16" t="str">
        <f>IFERROR(__xludf.DUMMYFUNCTION("""COMPUTED_VALUE"""),"")</f>
        <v/>
      </c>
      <c r="X6181" s="16" t="str">
        <f>IFERROR(__xludf.DUMMYFUNCTION("""COMPUTED_VALUE"""),"")</f>
        <v/>
      </c>
      <c r="AC6181" s="16" t="str">
        <f>IFERROR(__xludf.DUMMYFUNCTION("""COMPUTED_VALUE"""),"")</f>
        <v/>
      </c>
    </row>
    <row r="6182">
      <c r="A6182" s="16" t="s">
        <v>87</v>
      </c>
      <c r="E6182" s="16" t="str">
        <f>IFERROR(__xludf.DUMMYFUNCTION("""COMPUTED_VALUE"""),"")</f>
        <v/>
      </c>
      <c r="G6182" s="18"/>
      <c r="H6182" s="16" t="s">
        <v>87</v>
      </c>
      <c r="I6182" s="16" t="s">
        <v>87</v>
      </c>
      <c r="J6182" s="19"/>
      <c r="L6182" s="16" t="str">
        <f>IFERROR(__xludf.DUMMYFUNCTION("""COMPUTED_VALUE"""),"")</f>
        <v/>
      </c>
      <c r="M6182" s="16" t="str">
        <f>IFERROR(__xludf.DUMMYFUNCTION("""COMPUTED_VALUE"""),"")</f>
        <v/>
      </c>
      <c r="U6182" s="16" t="s">
        <v>87</v>
      </c>
      <c r="V6182" s="16" t="str">
        <f>IFERROR(__xludf.DUMMYFUNCTION("""COMPUTED_VALUE"""),"")</f>
        <v/>
      </c>
      <c r="W6182" s="16" t="str">
        <f>IFERROR(__xludf.DUMMYFUNCTION("""COMPUTED_VALUE"""),"")</f>
        <v/>
      </c>
      <c r="X6182" s="16" t="str">
        <f>IFERROR(__xludf.DUMMYFUNCTION("""COMPUTED_VALUE"""),"")</f>
        <v/>
      </c>
      <c r="AC6182" s="16" t="str">
        <f>IFERROR(__xludf.DUMMYFUNCTION("""COMPUTED_VALUE"""),"")</f>
        <v/>
      </c>
    </row>
    <row r="6183">
      <c r="A6183" s="16" t="s">
        <v>87</v>
      </c>
      <c r="E6183" s="16" t="str">
        <f>IFERROR(__xludf.DUMMYFUNCTION("""COMPUTED_VALUE"""),"")</f>
        <v/>
      </c>
      <c r="G6183" s="18"/>
      <c r="H6183" s="16" t="s">
        <v>87</v>
      </c>
      <c r="I6183" s="16" t="s">
        <v>87</v>
      </c>
      <c r="J6183" s="19"/>
      <c r="L6183" s="16" t="str">
        <f>IFERROR(__xludf.DUMMYFUNCTION("""COMPUTED_VALUE"""),"")</f>
        <v/>
      </c>
      <c r="M6183" s="16" t="str">
        <f>IFERROR(__xludf.DUMMYFUNCTION("""COMPUTED_VALUE"""),"")</f>
        <v/>
      </c>
      <c r="U6183" s="16" t="s">
        <v>87</v>
      </c>
      <c r="V6183" s="16" t="str">
        <f>IFERROR(__xludf.DUMMYFUNCTION("""COMPUTED_VALUE"""),"")</f>
        <v/>
      </c>
      <c r="W6183" s="16" t="str">
        <f>IFERROR(__xludf.DUMMYFUNCTION("""COMPUTED_VALUE"""),"")</f>
        <v/>
      </c>
      <c r="X6183" s="16" t="str">
        <f>IFERROR(__xludf.DUMMYFUNCTION("""COMPUTED_VALUE"""),"")</f>
        <v/>
      </c>
      <c r="AC6183" s="16" t="str">
        <f>IFERROR(__xludf.DUMMYFUNCTION("""COMPUTED_VALUE"""),"")</f>
        <v/>
      </c>
    </row>
    <row r="6184">
      <c r="A6184" s="16" t="s">
        <v>87</v>
      </c>
      <c r="E6184" s="16" t="str">
        <f>IFERROR(__xludf.DUMMYFUNCTION("""COMPUTED_VALUE"""),"")</f>
        <v/>
      </c>
      <c r="G6184" s="18"/>
      <c r="H6184" s="16" t="s">
        <v>87</v>
      </c>
      <c r="I6184" s="16" t="s">
        <v>87</v>
      </c>
      <c r="J6184" s="19"/>
      <c r="L6184" s="16" t="str">
        <f>IFERROR(__xludf.DUMMYFUNCTION("""COMPUTED_VALUE"""),"")</f>
        <v/>
      </c>
      <c r="M6184" s="16" t="str">
        <f>IFERROR(__xludf.DUMMYFUNCTION("""COMPUTED_VALUE"""),"")</f>
        <v/>
      </c>
      <c r="U6184" s="16" t="s">
        <v>87</v>
      </c>
      <c r="V6184" s="16" t="str">
        <f>IFERROR(__xludf.DUMMYFUNCTION("""COMPUTED_VALUE"""),"")</f>
        <v/>
      </c>
      <c r="W6184" s="16" t="str">
        <f>IFERROR(__xludf.DUMMYFUNCTION("""COMPUTED_VALUE"""),"")</f>
        <v/>
      </c>
      <c r="X6184" s="16" t="str">
        <f>IFERROR(__xludf.DUMMYFUNCTION("""COMPUTED_VALUE"""),"")</f>
        <v/>
      </c>
      <c r="AC6184" s="16" t="str">
        <f>IFERROR(__xludf.DUMMYFUNCTION("""COMPUTED_VALUE"""),"")</f>
        <v/>
      </c>
    </row>
    <row r="6185">
      <c r="A6185" s="16" t="s">
        <v>87</v>
      </c>
      <c r="E6185" s="16" t="str">
        <f>IFERROR(__xludf.DUMMYFUNCTION("""COMPUTED_VALUE"""),"")</f>
        <v/>
      </c>
      <c r="G6185" s="18"/>
      <c r="H6185" s="16" t="s">
        <v>87</v>
      </c>
      <c r="I6185" s="16" t="s">
        <v>87</v>
      </c>
      <c r="J6185" s="19"/>
      <c r="L6185" s="16" t="str">
        <f>IFERROR(__xludf.DUMMYFUNCTION("""COMPUTED_VALUE"""),"")</f>
        <v/>
      </c>
      <c r="M6185" s="16" t="str">
        <f>IFERROR(__xludf.DUMMYFUNCTION("""COMPUTED_VALUE"""),"")</f>
        <v/>
      </c>
      <c r="U6185" s="16" t="s">
        <v>87</v>
      </c>
      <c r="V6185" s="16" t="str">
        <f>IFERROR(__xludf.DUMMYFUNCTION("""COMPUTED_VALUE"""),"")</f>
        <v/>
      </c>
      <c r="W6185" s="16" t="str">
        <f>IFERROR(__xludf.DUMMYFUNCTION("""COMPUTED_VALUE"""),"")</f>
        <v/>
      </c>
      <c r="X6185" s="16" t="str">
        <f>IFERROR(__xludf.DUMMYFUNCTION("""COMPUTED_VALUE"""),"")</f>
        <v/>
      </c>
      <c r="AC6185" s="16" t="str">
        <f>IFERROR(__xludf.DUMMYFUNCTION("""COMPUTED_VALUE"""),"")</f>
        <v/>
      </c>
    </row>
    <row r="6186">
      <c r="A6186" s="16" t="s">
        <v>87</v>
      </c>
      <c r="E6186" s="16" t="str">
        <f>IFERROR(__xludf.DUMMYFUNCTION("""COMPUTED_VALUE"""),"")</f>
        <v/>
      </c>
      <c r="G6186" s="18"/>
      <c r="H6186" s="16" t="s">
        <v>87</v>
      </c>
      <c r="I6186" s="16" t="s">
        <v>87</v>
      </c>
      <c r="J6186" s="19"/>
      <c r="L6186" s="16" t="str">
        <f>IFERROR(__xludf.DUMMYFUNCTION("""COMPUTED_VALUE"""),"")</f>
        <v/>
      </c>
      <c r="M6186" s="16" t="str">
        <f>IFERROR(__xludf.DUMMYFUNCTION("""COMPUTED_VALUE"""),"")</f>
        <v/>
      </c>
      <c r="U6186" s="16" t="s">
        <v>87</v>
      </c>
      <c r="V6186" s="16" t="str">
        <f>IFERROR(__xludf.DUMMYFUNCTION("""COMPUTED_VALUE"""),"")</f>
        <v/>
      </c>
      <c r="W6186" s="16" t="str">
        <f>IFERROR(__xludf.DUMMYFUNCTION("""COMPUTED_VALUE"""),"")</f>
        <v/>
      </c>
      <c r="X6186" s="16" t="str">
        <f>IFERROR(__xludf.DUMMYFUNCTION("""COMPUTED_VALUE"""),"")</f>
        <v/>
      </c>
      <c r="AC6186" s="16" t="str">
        <f>IFERROR(__xludf.DUMMYFUNCTION("""COMPUTED_VALUE"""),"")</f>
        <v/>
      </c>
    </row>
    <row r="6187">
      <c r="A6187" s="16" t="s">
        <v>87</v>
      </c>
      <c r="E6187" s="16" t="str">
        <f>IFERROR(__xludf.DUMMYFUNCTION("""COMPUTED_VALUE"""),"")</f>
        <v/>
      </c>
      <c r="G6187" s="18"/>
      <c r="H6187" s="16" t="s">
        <v>87</v>
      </c>
      <c r="I6187" s="16" t="s">
        <v>87</v>
      </c>
      <c r="J6187" s="19"/>
      <c r="L6187" s="16" t="str">
        <f>IFERROR(__xludf.DUMMYFUNCTION("""COMPUTED_VALUE"""),"")</f>
        <v/>
      </c>
      <c r="M6187" s="16" t="str">
        <f>IFERROR(__xludf.DUMMYFUNCTION("""COMPUTED_VALUE"""),"")</f>
        <v/>
      </c>
      <c r="U6187" s="16" t="s">
        <v>87</v>
      </c>
      <c r="V6187" s="16" t="str">
        <f>IFERROR(__xludf.DUMMYFUNCTION("""COMPUTED_VALUE"""),"")</f>
        <v/>
      </c>
      <c r="W6187" s="16" t="str">
        <f>IFERROR(__xludf.DUMMYFUNCTION("""COMPUTED_VALUE"""),"")</f>
        <v/>
      </c>
      <c r="X6187" s="16" t="str">
        <f>IFERROR(__xludf.DUMMYFUNCTION("""COMPUTED_VALUE"""),"")</f>
        <v/>
      </c>
      <c r="AC6187" s="16" t="str">
        <f>IFERROR(__xludf.DUMMYFUNCTION("""COMPUTED_VALUE"""),"")</f>
        <v/>
      </c>
    </row>
    <row r="6188">
      <c r="A6188" s="16" t="s">
        <v>87</v>
      </c>
      <c r="E6188" s="16" t="str">
        <f>IFERROR(__xludf.DUMMYFUNCTION("""COMPUTED_VALUE"""),"")</f>
        <v/>
      </c>
      <c r="G6188" s="18"/>
      <c r="H6188" s="16" t="s">
        <v>87</v>
      </c>
      <c r="I6188" s="16" t="s">
        <v>87</v>
      </c>
      <c r="J6188" s="19"/>
      <c r="L6188" s="16" t="str">
        <f>IFERROR(__xludf.DUMMYFUNCTION("""COMPUTED_VALUE"""),"")</f>
        <v/>
      </c>
      <c r="M6188" s="16" t="str">
        <f>IFERROR(__xludf.DUMMYFUNCTION("""COMPUTED_VALUE"""),"")</f>
        <v/>
      </c>
      <c r="U6188" s="16" t="s">
        <v>87</v>
      </c>
      <c r="V6188" s="16" t="str">
        <f>IFERROR(__xludf.DUMMYFUNCTION("""COMPUTED_VALUE"""),"")</f>
        <v/>
      </c>
      <c r="W6188" s="16" t="str">
        <f>IFERROR(__xludf.DUMMYFUNCTION("""COMPUTED_VALUE"""),"")</f>
        <v/>
      </c>
      <c r="X6188" s="16" t="str">
        <f>IFERROR(__xludf.DUMMYFUNCTION("""COMPUTED_VALUE"""),"")</f>
        <v/>
      </c>
      <c r="AC6188" s="16" t="str">
        <f>IFERROR(__xludf.DUMMYFUNCTION("""COMPUTED_VALUE"""),"")</f>
        <v/>
      </c>
    </row>
    <row r="6189">
      <c r="A6189" s="16" t="s">
        <v>87</v>
      </c>
      <c r="E6189" s="16" t="str">
        <f>IFERROR(__xludf.DUMMYFUNCTION("""COMPUTED_VALUE"""),"")</f>
        <v/>
      </c>
      <c r="G6189" s="18"/>
      <c r="H6189" s="16" t="s">
        <v>87</v>
      </c>
      <c r="I6189" s="16" t="s">
        <v>87</v>
      </c>
      <c r="J6189" s="19"/>
      <c r="L6189" s="16" t="str">
        <f>IFERROR(__xludf.DUMMYFUNCTION("""COMPUTED_VALUE"""),"")</f>
        <v/>
      </c>
      <c r="M6189" s="16" t="str">
        <f>IFERROR(__xludf.DUMMYFUNCTION("""COMPUTED_VALUE"""),"")</f>
        <v/>
      </c>
      <c r="U6189" s="16" t="s">
        <v>87</v>
      </c>
      <c r="V6189" s="16" t="str">
        <f>IFERROR(__xludf.DUMMYFUNCTION("""COMPUTED_VALUE"""),"")</f>
        <v/>
      </c>
      <c r="W6189" s="16" t="str">
        <f>IFERROR(__xludf.DUMMYFUNCTION("""COMPUTED_VALUE"""),"")</f>
        <v/>
      </c>
      <c r="X6189" s="16" t="str">
        <f>IFERROR(__xludf.DUMMYFUNCTION("""COMPUTED_VALUE"""),"")</f>
        <v/>
      </c>
      <c r="AC6189" s="16" t="str">
        <f>IFERROR(__xludf.DUMMYFUNCTION("""COMPUTED_VALUE"""),"")</f>
        <v/>
      </c>
    </row>
    <row r="6190">
      <c r="A6190" s="16" t="s">
        <v>87</v>
      </c>
      <c r="E6190" s="16" t="str">
        <f>IFERROR(__xludf.DUMMYFUNCTION("""COMPUTED_VALUE"""),"")</f>
        <v/>
      </c>
      <c r="G6190" s="18"/>
      <c r="H6190" s="16" t="s">
        <v>87</v>
      </c>
      <c r="I6190" s="16" t="s">
        <v>87</v>
      </c>
      <c r="J6190" s="19"/>
      <c r="L6190" s="16" t="str">
        <f>IFERROR(__xludf.DUMMYFUNCTION("""COMPUTED_VALUE"""),"")</f>
        <v/>
      </c>
      <c r="M6190" s="16" t="str">
        <f>IFERROR(__xludf.DUMMYFUNCTION("""COMPUTED_VALUE"""),"")</f>
        <v/>
      </c>
      <c r="U6190" s="16" t="s">
        <v>87</v>
      </c>
      <c r="V6190" s="16" t="str">
        <f>IFERROR(__xludf.DUMMYFUNCTION("""COMPUTED_VALUE"""),"")</f>
        <v/>
      </c>
      <c r="W6190" s="16" t="str">
        <f>IFERROR(__xludf.DUMMYFUNCTION("""COMPUTED_VALUE"""),"")</f>
        <v/>
      </c>
      <c r="X6190" s="16" t="str">
        <f>IFERROR(__xludf.DUMMYFUNCTION("""COMPUTED_VALUE"""),"")</f>
        <v/>
      </c>
      <c r="AC6190" s="16" t="str">
        <f>IFERROR(__xludf.DUMMYFUNCTION("""COMPUTED_VALUE"""),"")</f>
        <v/>
      </c>
    </row>
    <row r="6191">
      <c r="A6191" s="16" t="s">
        <v>87</v>
      </c>
      <c r="E6191" s="16" t="str">
        <f>IFERROR(__xludf.DUMMYFUNCTION("""COMPUTED_VALUE"""),"")</f>
        <v/>
      </c>
      <c r="G6191" s="18"/>
      <c r="H6191" s="16" t="s">
        <v>87</v>
      </c>
      <c r="I6191" s="16" t="s">
        <v>87</v>
      </c>
      <c r="J6191" s="19"/>
      <c r="L6191" s="16" t="str">
        <f>IFERROR(__xludf.DUMMYFUNCTION("""COMPUTED_VALUE"""),"")</f>
        <v/>
      </c>
      <c r="M6191" s="16" t="str">
        <f>IFERROR(__xludf.DUMMYFUNCTION("""COMPUTED_VALUE"""),"")</f>
        <v/>
      </c>
      <c r="U6191" s="16" t="s">
        <v>87</v>
      </c>
      <c r="V6191" s="16" t="str">
        <f>IFERROR(__xludf.DUMMYFUNCTION("""COMPUTED_VALUE"""),"")</f>
        <v/>
      </c>
      <c r="W6191" s="16" t="str">
        <f>IFERROR(__xludf.DUMMYFUNCTION("""COMPUTED_VALUE"""),"")</f>
        <v/>
      </c>
      <c r="X6191" s="16" t="str">
        <f>IFERROR(__xludf.DUMMYFUNCTION("""COMPUTED_VALUE"""),"")</f>
        <v/>
      </c>
      <c r="AC6191" s="16" t="str">
        <f>IFERROR(__xludf.DUMMYFUNCTION("""COMPUTED_VALUE"""),"")</f>
        <v/>
      </c>
    </row>
    <row r="6192">
      <c r="A6192" s="16" t="s">
        <v>87</v>
      </c>
      <c r="E6192" s="16" t="str">
        <f>IFERROR(__xludf.DUMMYFUNCTION("""COMPUTED_VALUE"""),"")</f>
        <v/>
      </c>
      <c r="G6192" s="18"/>
      <c r="H6192" s="16" t="s">
        <v>87</v>
      </c>
      <c r="I6192" s="16" t="s">
        <v>87</v>
      </c>
      <c r="J6192" s="19"/>
      <c r="L6192" s="16" t="str">
        <f>IFERROR(__xludf.DUMMYFUNCTION("""COMPUTED_VALUE"""),"")</f>
        <v/>
      </c>
      <c r="M6192" s="16" t="str">
        <f>IFERROR(__xludf.DUMMYFUNCTION("""COMPUTED_VALUE"""),"")</f>
        <v/>
      </c>
      <c r="U6192" s="16" t="s">
        <v>87</v>
      </c>
      <c r="V6192" s="16" t="str">
        <f>IFERROR(__xludf.DUMMYFUNCTION("""COMPUTED_VALUE"""),"")</f>
        <v/>
      </c>
      <c r="W6192" s="16" t="str">
        <f>IFERROR(__xludf.DUMMYFUNCTION("""COMPUTED_VALUE"""),"")</f>
        <v/>
      </c>
      <c r="X6192" s="16" t="str">
        <f>IFERROR(__xludf.DUMMYFUNCTION("""COMPUTED_VALUE"""),"")</f>
        <v/>
      </c>
      <c r="AC6192" s="16" t="str">
        <f>IFERROR(__xludf.DUMMYFUNCTION("""COMPUTED_VALUE"""),"")</f>
        <v/>
      </c>
    </row>
    <row r="6193">
      <c r="A6193" s="16" t="s">
        <v>87</v>
      </c>
      <c r="E6193" s="16" t="str">
        <f>IFERROR(__xludf.DUMMYFUNCTION("""COMPUTED_VALUE"""),"")</f>
        <v/>
      </c>
      <c r="G6193" s="18"/>
      <c r="H6193" s="16" t="s">
        <v>87</v>
      </c>
      <c r="I6193" s="16" t="s">
        <v>87</v>
      </c>
      <c r="J6193" s="19"/>
      <c r="L6193" s="16" t="str">
        <f>IFERROR(__xludf.DUMMYFUNCTION("""COMPUTED_VALUE"""),"")</f>
        <v/>
      </c>
      <c r="M6193" s="16" t="str">
        <f>IFERROR(__xludf.DUMMYFUNCTION("""COMPUTED_VALUE"""),"")</f>
        <v/>
      </c>
      <c r="U6193" s="16" t="s">
        <v>87</v>
      </c>
      <c r="V6193" s="16" t="str">
        <f>IFERROR(__xludf.DUMMYFUNCTION("""COMPUTED_VALUE"""),"")</f>
        <v/>
      </c>
      <c r="W6193" s="16" t="str">
        <f>IFERROR(__xludf.DUMMYFUNCTION("""COMPUTED_VALUE"""),"")</f>
        <v/>
      </c>
      <c r="X6193" s="16" t="str">
        <f>IFERROR(__xludf.DUMMYFUNCTION("""COMPUTED_VALUE"""),"")</f>
        <v/>
      </c>
      <c r="AC6193" s="16" t="str">
        <f>IFERROR(__xludf.DUMMYFUNCTION("""COMPUTED_VALUE"""),"")</f>
        <v/>
      </c>
    </row>
    <row r="6194">
      <c r="A6194" s="16" t="s">
        <v>87</v>
      </c>
      <c r="E6194" s="16" t="str">
        <f>IFERROR(__xludf.DUMMYFUNCTION("""COMPUTED_VALUE"""),"")</f>
        <v/>
      </c>
      <c r="G6194" s="18"/>
      <c r="H6194" s="16" t="s">
        <v>87</v>
      </c>
      <c r="I6194" s="16" t="s">
        <v>87</v>
      </c>
      <c r="J6194" s="19"/>
      <c r="L6194" s="16" t="str">
        <f>IFERROR(__xludf.DUMMYFUNCTION("""COMPUTED_VALUE"""),"")</f>
        <v/>
      </c>
      <c r="M6194" s="16" t="str">
        <f>IFERROR(__xludf.DUMMYFUNCTION("""COMPUTED_VALUE"""),"")</f>
        <v/>
      </c>
      <c r="U6194" s="16" t="s">
        <v>87</v>
      </c>
      <c r="V6194" s="16" t="str">
        <f>IFERROR(__xludf.DUMMYFUNCTION("""COMPUTED_VALUE"""),"")</f>
        <v/>
      </c>
      <c r="W6194" s="16" t="str">
        <f>IFERROR(__xludf.DUMMYFUNCTION("""COMPUTED_VALUE"""),"")</f>
        <v/>
      </c>
      <c r="X6194" s="16" t="str">
        <f>IFERROR(__xludf.DUMMYFUNCTION("""COMPUTED_VALUE"""),"")</f>
        <v/>
      </c>
      <c r="AC6194" s="16" t="str">
        <f>IFERROR(__xludf.DUMMYFUNCTION("""COMPUTED_VALUE"""),"")</f>
        <v/>
      </c>
    </row>
    <row r="6195">
      <c r="A6195" s="16" t="s">
        <v>87</v>
      </c>
      <c r="E6195" s="16" t="str">
        <f>IFERROR(__xludf.DUMMYFUNCTION("""COMPUTED_VALUE"""),"")</f>
        <v/>
      </c>
      <c r="G6195" s="18"/>
      <c r="H6195" s="16" t="s">
        <v>87</v>
      </c>
      <c r="I6195" s="16" t="s">
        <v>87</v>
      </c>
      <c r="J6195" s="19"/>
      <c r="L6195" s="16" t="str">
        <f>IFERROR(__xludf.DUMMYFUNCTION("""COMPUTED_VALUE"""),"")</f>
        <v/>
      </c>
      <c r="M6195" s="16" t="str">
        <f>IFERROR(__xludf.DUMMYFUNCTION("""COMPUTED_VALUE"""),"")</f>
        <v/>
      </c>
      <c r="U6195" s="16" t="s">
        <v>87</v>
      </c>
      <c r="V6195" s="16" t="str">
        <f>IFERROR(__xludf.DUMMYFUNCTION("""COMPUTED_VALUE"""),"")</f>
        <v/>
      </c>
      <c r="W6195" s="16" t="str">
        <f>IFERROR(__xludf.DUMMYFUNCTION("""COMPUTED_VALUE"""),"")</f>
        <v/>
      </c>
      <c r="X6195" s="16" t="str">
        <f>IFERROR(__xludf.DUMMYFUNCTION("""COMPUTED_VALUE"""),"")</f>
        <v/>
      </c>
      <c r="AC6195" s="16" t="str">
        <f>IFERROR(__xludf.DUMMYFUNCTION("""COMPUTED_VALUE"""),"")</f>
        <v/>
      </c>
    </row>
    <row r="6196">
      <c r="A6196" s="16" t="s">
        <v>87</v>
      </c>
      <c r="E6196" s="16" t="str">
        <f>IFERROR(__xludf.DUMMYFUNCTION("""COMPUTED_VALUE"""),"")</f>
        <v/>
      </c>
      <c r="G6196" s="18"/>
      <c r="H6196" s="16" t="s">
        <v>87</v>
      </c>
      <c r="I6196" s="16" t="s">
        <v>87</v>
      </c>
      <c r="J6196" s="19"/>
      <c r="L6196" s="16" t="str">
        <f>IFERROR(__xludf.DUMMYFUNCTION("""COMPUTED_VALUE"""),"")</f>
        <v/>
      </c>
      <c r="M6196" s="16" t="str">
        <f>IFERROR(__xludf.DUMMYFUNCTION("""COMPUTED_VALUE"""),"")</f>
        <v/>
      </c>
      <c r="U6196" s="16" t="s">
        <v>87</v>
      </c>
      <c r="V6196" s="16" t="str">
        <f>IFERROR(__xludf.DUMMYFUNCTION("""COMPUTED_VALUE"""),"")</f>
        <v/>
      </c>
      <c r="W6196" s="16" t="str">
        <f>IFERROR(__xludf.DUMMYFUNCTION("""COMPUTED_VALUE"""),"")</f>
        <v/>
      </c>
      <c r="X6196" s="16" t="str">
        <f>IFERROR(__xludf.DUMMYFUNCTION("""COMPUTED_VALUE"""),"")</f>
        <v/>
      </c>
      <c r="AC6196" s="16" t="str">
        <f>IFERROR(__xludf.DUMMYFUNCTION("""COMPUTED_VALUE"""),"")</f>
        <v/>
      </c>
    </row>
    <row r="6197">
      <c r="A6197" s="16" t="s">
        <v>87</v>
      </c>
      <c r="E6197" s="16" t="str">
        <f>IFERROR(__xludf.DUMMYFUNCTION("""COMPUTED_VALUE"""),"")</f>
        <v/>
      </c>
      <c r="G6197" s="18"/>
      <c r="H6197" s="16" t="s">
        <v>87</v>
      </c>
      <c r="I6197" s="16" t="s">
        <v>87</v>
      </c>
      <c r="J6197" s="19"/>
      <c r="L6197" s="16" t="str">
        <f>IFERROR(__xludf.DUMMYFUNCTION("""COMPUTED_VALUE"""),"")</f>
        <v/>
      </c>
      <c r="M6197" s="16" t="str">
        <f>IFERROR(__xludf.DUMMYFUNCTION("""COMPUTED_VALUE"""),"")</f>
        <v/>
      </c>
      <c r="U6197" s="16" t="s">
        <v>87</v>
      </c>
      <c r="V6197" s="16" t="str">
        <f>IFERROR(__xludf.DUMMYFUNCTION("""COMPUTED_VALUE"""),"")</f>
        <v/>
      </c>
      <c r="W6197" s="16" t="str">
        <f>IFERROR(__xludf.DUMMYFUNCTION("""COMPUTED_VALUE"""),"")</f>
        <v/>
      </c>
      <c r="X6197" s="16" t="str">
        <f>IFERROR(__xludf.DUMMYFUNCTION("""COMPUTED_VALUE"""),"")</f>
        <v/>
      </c>
      <c r="AC6197" s="16" t="str">
        <f>IFERROR(__xludf.DUMMYFUNCTION("""COMPUTED_VALUE"""),"")</f>
        <v/>
      </c>
    </row>
    <row r="6198">
      <c r="A6198" s="16" t="s">
        <v>87</v>
      </c>
      <c r="E6198" s="16" t="str">
        <f>IFERROR(__xludf.DUMMYFUNCTION("""COMPUTED_VALUE"""),"")</f>
        <v/>
      </c>
      <c r="G6198" s="18"/>
      <c r="H6198" s="16" t="s">
        <v>87</v>
      </c>
      <c r="I6198" s="16" t="s">
        <v>87</v>
      </c>
      <c r="J6198" s="19"/>
      <c r="L6198" s="16" t="str">
        <f>IFERROR(__xludf.DUMMYFUNCTION("""COMPUTED_VALUE"""),"")</f>
        <v/>
      </c>
      <c r="M6198" s="16" t="str">
        <f>IFERROR(__xludf.DUMMYFUNCTION("""COMPUTED_VALUE"""),"")</f>
        <v/>
      </c>
      <c r="U6198" s="16" t="s">
        <v>87</v>
      </c>
      <c r="V6198" s="16" t="str">
        <f>IFERROR(__xludf.DUMMYFUNCTION("""COMPUTED_VALUE"""),"")</f>
        <v/>
      </c>
      <c r="W6198" s="16" t="str">
        <f>IFERROR(__xludf.DUMMYFUNCTION("""COMPUTED_VALUE"""),"")</f>
        <v/>
      </c>
      <c r="X6198" s="16" t="str">
        <f>IFERROR(__xludf.DUMMYFUNCTION("""COMPUTED_VALUE"""),"")</f>
        <v/>
      </c>
      <c r="AC6198" s="16" t="str">
        <f>IFERROR(__xludf.DUMMYFUNCTION("""COMPUTED_VALUE"""),"")</f>
        <v/>
      </c>
    </row>
    <row r="6199">
      <c r="A6199" s="16" t="s">
        <v>87</v>
      </c>
      <c r="E6199" s="16" t="str">
        <f>IFERROR(__xludf.DUMMYFUNCTION("""COMPUTED_VALUE"""),"")</f>
        <v/>
      </c>
      <c r="G6199" s="18"/>
      <c r="H6199" s="16" t="s">
        <v>87</v>
      </c>
      <c r="I6199" s="16" t="s">
        <v>87</v>
      </c>
      <c r="J6199" s="19"/>
      <c r="L6199" s="16" t="str">
        <f>IFERROR(__xludf.DUMMYFUNCTION("""COMPUTED_VALUE"""),"")</f>
        <v/>
      </c>
      <c r="M6199" s="16" t="str">
        <f>IFERROR(__xludf.DUMMYFUNCTION("""COMPUTED_VALUE"""),"")</f>
        <v/>
      </c>
      <c r="U6199" s="16" t="s">
        <v>87</v>
      </c>
      <c r="V6199" s="16" t="str">
        <f>IFERROR(__xludf.DUMMYFUNCTION("""COMPUTED_VALUE"""),"")</f>
        <v/>
      </c>
      <c r="W6199" s="16" t="str">
        <f>IFERROR(__xludf.DUMMYFUNCTION("""COMPUTED_VALUE"""),"")</f>
        <v/>
      </c>
      <c r="X6199" s="16" t="str">
        <f>IFERROR(__xludf.DUMMYFUNCTION("""COMPUTED_VALUE"""),"")</f>
        <v/>
      </c>
      <c r="AC6199" s="16" t="str">
        <f>IFERROR(__xludf.DUMMYFUNCTION("""COMPUTED_VALUE"""),"")</f>
        <v/>
      </c>
    </row>
    <row r="6200">
      <c r="A6200" s="16" t="s">
        <v>87</v>
      </c>
      <c r="E6200" s="16" t="str">
        <f>IFERROR(__xludf.DUMMYFUNCTION("""COMPUTED_VALUE"""),"")</f>
        <v/>
      </c>
      <c r="G6200" s="18"/>
      <c r="H6200" s="16" t="s">
        <v>87</v>
      </c>
      <c r="I6200" s="16" t="s">
        <v>87</v>
      </c>
      <c r="J6200" s="19"/>
      <c r="L6200" s="16" t="str">
        <f>IFERROR(__xludf.DUMMYFUNCTION("""COMPUTED_VALUE"""),"")</f>
        <v/>
      </c>
      <c r="M6200" s="16" t="str">
        <f>IFERROR(__xludf.DUMMYFUNCTION("""COMPUTED_VALUE"""),"")</f>
        <v/>
      </c>
      <c r="U6200" s="16" t="s">
        <v>87</v>
      </c>
      <c r="V6200" s="16" t="str">
        <f>IFERROR(__xludf.DUMMYFUNCTION("""COMPUTED_VALUE"""),"")</f>
        <v/>
      </c>
      <c r="W6200" s="16" t="str">
        <f>IFERROR(__xludf.DUMMYFUNCTION("""COMPUTED_VALUE"""),"")</f>
        <v/>
      </c>
      <c r="X6200" s="16" t="str">
        <f>IFERROR(__xludf.DUMMYFUNCTION("""COMPUTED_VALUE"""),"")</f>
        <v/>
      </c>
      <c r="AC6200" s="16" t="str">
        <f>IFERROR(__xludf.DUMMYFUNCTION("""COMPUTED_VALUE"""),"")</f>
        <v/>
      </c>
    </row>
    <row r="6201">
      <c r="A6201" s="16" t="s">
        <v>87</v>
      </c>
      <c r="E6201" s="16" t="str">
        <f>IFERROR(__xludf.DUMMYFUNCTION("""COMPUTED_VALUE"""),"")</f>
        <v/>
      </c>
      <c r="G6201" s="18"/>
      <c r="H6201" s="16" t="s">
        <v>87</v>
      </c>
      <c r="I6201" s="16" t="s">
        <v>87</v>
      </c>
      <c r="J6201" s="19"/>
      <c r="L6201" s="16" t="str">
        <f>IFERROR(__xludf.DUMMYFUNCTION("""COMPUTED_VALUE"""),"")</f>
        <v/>
      </c>
      <c r="M6201" s="16" t="str">
        <f>IFERROR(__xludf.DUMMYFUNCTION("""COMPUTED_VALUE"""),"")</f>
        <v/>
      </c>
      <c r="U6201" s="16" t="s">
        <v>87</v>
      </c>
      <c r="V6201" s="16" t="str">
        <f>IFERROR(__xludf.DUMMYFUNCTION("""COMPUTED_VALUE"""),"")</f>
        <v/>
      </c>
      <c r="W6201" s="16" t="str">
        <f>IFERROR(__xludf.DUMMYFUNCTION("""COMPUTED_VALUE"""),"")</f>
        <v/>
      </c>
      <c r="X6201" s="16" t="str">
        <f>IFERROR(__xludf.DUMMYFUNCTION("""COMPUTED_VALUE"""),"")</f>
        <v/>
      </c>
      <c r="AC6201" s="16" t="str">
        <f>IFERROR(__xludf.DUMMYFUNCTION("""COMPUTED_VALUE"""),"")</f>
        <v/>
      </c>
    </row>
    <row r="6202">
      <c r="A6202" s="16" t="s">
        <v>87</v>
      </c>
      <c r="E6202" s="16" t="str">
        <f>IFERROR(__xludf.DUMMYFUNCTION("""COMPUTED_VALUE"""),"")</f>
        <v/>
      </c>
      <c r="G6202" s="18"/>
      <c r="H6202" s="16" t="s">
        <v>87</v>
      </c>
      <c r="I6202" s="16" t="s">
        <v>87</v>
      </c>
      <c r="J6202" s="19"/>
      <c r="L6202" s="16" t="str">
        <f>IFERROR(__xludf.DUMMYFUNCTION("""COMPUTED_VALUE"""),"")</f>
        <v/>
      </c>
      <c r="M6202" s="16" t="str">
        <f>IFERROR(__xludf.DUMMYFUNCTION("""COMPUTED_VALUE"""),"")</f>
        <v/>
      </c>
      <c r="U6202" s="16" t="s">
        <v>87</v>
      </c>
      <c r="V6202" s="16" t="str">
        <f>IFERROR(__xludf.DUMMYFUNCTION("""COMPUTED_VALUE"""),"")</f>
        <v/>
      </c>
      <c r="W6202" s="16" t="str">
        <f>IFERROR(__xludf.DUMMYFUNCTION("""COMPUTED_VALUE"""),"")</f>
        <v/>
      </c>
      <c r="X6202" s="16" t="str">
        <f>IFERROR(__xludf.DUMMYFUNCTION("""COMPUTED_VALUE"""),"")</f>
        <v/>
      </c>
      <c r="AC6202" s="16" t="str">
        <f>IFERROR(__xludf.DUMMYFUNCTION("""COMPUTED_VALUE"""),"")</f>
        <v/>
      </c>
    </row>
    <row r="6203">
      <c r="A6203" s="16" t="s">
        <v>87</v>
      </c>
      <c r="E6203" s="16" t="str">
        <f>IFERROR(__xludf.DUMMYFUNCTION("""COMPUTED_VALUE"""),"")</f>
        <v/>
      </c>
      <c r="G6203" s="18"/>
      <c r="H6203" s="16" t="s">
        <v>87</v>
      </c>
      <c r="I6203" s="16" t="s">
        <v>87</v>
      </c>
      <c r="J6203" s="19"/>
      <c r="L6203" s="16" t="str">
        <f>IFERROR(__xludf.DUMMYFUNCTION("""COMPUTED_VALUE"""),"")</f>
        <v/>
      </c>
      <c r="M6203" s="16" t="str">
        <f>IFERROR(__xludf.DUMMYFUNCTION("""COMPUTED_VALUE"""),"")</f>
        <v/>
      </c>
      <c r="U6203" s="16" t="s">
        <v>87</v>
      </c>
      <c r="V6203" s="16" t="str">
        <f>IFERROR(__xludf.DUMMYFUNCTION("""COMPUTED_VALUE"""),"")</f>
        <v/>
      </c>
      <c r="W6203" s="16" t="str">
        <f>IFERROR(__xludf.DUMMYFUNCTION("""COMPUTED_VALUE"""),"")</f>
        <v/>
      </c>
      <c r="X6203" s="16" t="str">
        <f>IFERROR(__xludf.DUMMYFUNCTION("""COMPUTED_VALUE"""),"")</f>
        <v/>
      </c>
      <c r="AC6203" s="16" t="str">
        <f>IFERROR(__xludf.DUMMYFUNCTION("""COMPUTED_VALUE"""),"")</f>
        <v/>
      </c>
    </row>
    <row r="6204">
      <c r="A6204" s="16" t="s">
        <v>87</v>
      </c>
      <c r="E6204" s="16" t="str">
        <f>IFERROR(__xludf.DUMMYFUNCTION("""COMPUTED_VALUE"""),"")</f>
        <v/>
      </c>
      <c r="G6204" s="18"/>
      <c r="H6204" s="16" t="s">
        <v>87</v>
      </c>
      <c r="I6204" s="16" t="s">
        <v>87</v>
      </c>
      <c r="J6204" s="19"/>
      <c r="L6204" s="16" t="str">
        <f>IFERROR(__xludf.DUMMYFUNCTION("""COMPUTED_VALUE"""),"")</f>
        <v/>
      </c>
      <c r="M6204" s="16" t="str">
        <f>IFERROR(__xludf.DUMMYFUNCTION("""COMPUTED_VALUE"""),"")</f>
        <v/>
      </c>
      <c r="U6204" s="16" t="s">
        <v>87</v>
      </c>
      <c r="V6204" s="16" t="str">
        <f>IFERROR(__xludf.DUMMYFUNCTION("""COMPUTED_VALUE"""),"")</f>
        <v/>
      </c>
      <c r="W6204" s="16" t="str">
        <f>IFERROR(__xludf.DUMMYFUNCTION("""COMPUTED_VALUE"""),"")</f>
        <v/>
      </c>
      <c r="X6204" s="16" t="str">
        <f>IFERROR(__xludf.DUMMYFUNCTION("""COMPUTED_VALUE"""),"")</f>
        <v/>
      </c>
      <c r="AC6204" s="16" t="str">
        <f>IFERROR(__xludf.DUMMYFUNCTION("""COMPUTED_VALUE"""),"")</f>
        <v/>
      </c>
    </row>
    <row r="6205">
      <c r="A6205" s="16" t="s">
        <v>87</v>
      </c>
      <c r="E6205" s="16" t="str">
        <f>IFERROR(__xludf.DUMMYFUNCTION("""COMPUTED_VALUE"""),"")</f>
        <v/>
      </c>
      <c r="G6205" s="18"/>
      <c r="H6205" s="16" t="s">
        <v>87</v>
      </c>
      <c r="I6205" s="16" t="s">
        <v>87</v>
      </c>
      <c r="J6205" s="19"/>
      <c r="L6205" s="16" t="str">
        <f>IFERROR(__xludf.DUMMYFUNCTION("""COMPUTED_VALUE"""),"")</f>
        <v/>
      </c>
      <c r="M6205" s="16" t="str">
        <f>IFERROR(__xludf.DUMMYFUNCTION("""COMPUTED_VALUE"""),"")</f>
        <v/>
      </c>
      <c r="U6205" s="16" t="s">
        <v>87</v>
      </c>
      <c r="V6205" s="16" t="str">
        <f>IFERROR(__xludf.DUMMYFUNCTION("""COMPUTED_VALUE"""),"")</f>
        <v/>
      </c>
      <c r="W6205" s="16" t="str">
        <f>IFERROR(__xludf.DUMMYFUNCTION("""COMPUTED_VALUE"""),"")</f>
        <v/>
      </c>
      <c r="X6205" s="16" t="str">
        <f>IFERROR(__xludf.DUMMYFUNCTION("""COMPUTED_VALUE"""),"")</f>
        <v/>
      </c>
      <c r="AC6205" s="16" t="str">
        <f>IFERROR(__xludf.DUMMYFUNCTION("""COMPUTED_VALUE"""),"")</f>
        <v/>
      </c>
    </row>
    <row r="6206">
      <c r="A6206" s="16" t="s">
        <v>87</v>
      </c>
      <c r="E6206" s="16" t="str">
        <f>IFERROR(__xludf.DUMMYFUNCTION("""COMPUTED_VALUE"""),"")</f>
        <v/>
      </c>
      <c r="G6206" s="18"/>
      <c r="H6206" s="16" t="s">
        <v>87</v>
      </c>
      <c r="I6206" s="16" t="s">
        <v>87</v>
      </c>
      <c r="J6206" s="19"/>
      <c r="L6206" s="16" t="str">
        <f>IFERROR(__xludf.DUMMYFUNCTION("""COMPUTED_VALUE"""),"")</f>
        <v/>
      </c>
      <c r="M6206" s="16" t="str">
        <f>IFERROR(__xludf.DUMMYFUNCTION("""COMPUTED_VALUE"""),"")</f>
        <v/>
      </c>
      <c r="U6206" s="16" t="s">
        <v>87</v>
      </c>
      <c r="V6206" s="16" t="str">
        <f>IFERROR(__xludf.DUMMYFUNCTION("""COMPUTED_VALUE"""),"")</f>
        <v/>
      </c>
      <c r="W6206" s="16" t="str">
        <f>IFERROR(__xludf.DUMMYFUNCTION("""COMPUTED_VALUE"""),"")</f>
        <v/>
      </c>
      <c r="X6206" s="16" t="str">
        <f>IFERROR(__xludf.DUMMYFUNCTION("""COMPUTED_VALUE"""),"")</f>
        <v/>
      </c>
      <c r="AC6206" s="16" t="str">
        <f>IFERROR(__xludf.DUMMYFUNCTION("""COMPUTED_VALUE"""),"")</f>
        <v/>
      </c>
    </row>
    <row r="6207">
      <c r="A6207" s="16" t="s">
        <v>87</v>
      </c>
      <c r="E6207" s="16" t="str">
        <f>IFERROR(__xludf.DUMMYFUNCTION("""COMPUTED_VALUE"""),"")</f>
        <v/>
      </c>
      <c r="G6207" s="18"/>
      <c r="H6207" s="16" t="s">
        <v>87</v>
      </c>
      <c r="I6207" s="16" t="s">
        <v>87</v>
      </c>
      <c r="J6207" s="19"/>
      <c r="L6207" s="16" t="str">
        <f>IFERROR(__xludf.DUMMYFUNCTION("""COMPUTED_VALUE"""),"")</f>
        <v/>
      </c>
      <c r="M6207" s="16" t="str">
        <f>IFERROR(__xludf.DUMMYFUNCTION("""COMPUTED_VALUE"""),"")</f>
        <v/>
      </c>
      <c r="U6207" s="16" t="s">
        <v>87</v>
      </c>
      <c r="V6207" s="16" t="str">
        <f>IFERROR(__xludf.DUMMYFUNCTION("""COMPUTED_VALUE"""),"")</f>
        <v/>
      </c>
      <c r="W6207" s="16" t="str">
        <f>IFERROR(__xludf.DUMMYFUNCTION("""COMPUTED_VALUE"""),"")</f>
        <v/>
      </c>
      <c r="X6207" s="16" t="str">
        <f>IFERROR(__xludf.DUMMYFUNCTION("""COMPUTED_VALUE"""),"")</f>
        <v/>
      </c>
      <c r="AC6207" s="16" t="str">
        <f>IFERROR(__xludf.DUMMYFUNCTION("""COMPUTED_VALUE"""),"")</f>
        <v/>
      </c>
    </row>
    <row r="6208">
      <c r="A6208" s="16" t="s">
        <v>87</v>
      </c>
      <c r="E6208" s="16" t="str">
        <f>IFERROR(__xludf.DUMMYFUNCTION("""COMPUTED_VALUE"""),"")</f>
        <v/>
      </c>
      <c r="G6208" s="18"/>
      <c r="H6208" s="16" t="s">
        <v>87</v>
      </c>
      <c r="I6208" s="16" t="s">
        <v>87</v>
      </c>
      <c r="J6208" s="19"/>
      <c r="L6208" s="16" t="str">
        <f>IFERROR(__xludf.DUMMYFUNCTION("""COMPUTED_VALUE"""),"")</f>
        <v/>
      </c>
      <c r="M6208" s="16" t="str">
        <f>IFERROR(__xludf.DUMMYFUNCTION("""COMPUTED_VALUE"""),"")</f>
        <v/>
      </c>
      <c r="U6208" s="16" t="s">
        <v>87</v>
      </c>
      <c r="V6208" s="16" t="str">
        <f>IFERROR(__xludf.DUMMYFUNCTION("""COMPUTED_VALUE"""),"")</f>
        <v/>
      </c>
      <c r="W6208" s="16" t="str">
        <f>IFERROR(__xludf.DUMMYFUNCTION("""COMPUTED_VALUE"""),"")</f>
        <v/>
      </c>
      <c r="X6208" s="16" t="str">
        <f>IFERROR(__xludf.DUMMYFUNCTION("""COMPUTED_VALUE"""),"")</f>
        <v/>
      </c>
      <c r="AC6208" s="16" t="str">
        <f>IFERROR(__xludf.DUMMYFUNCTION("""COMPUTED_VALUE"""),"")</f>
        <v/>
      </c>
    </row>
    <row r="6209">
      <c r="A6209" s="16" t="s">
        <v>87</v>
      </c>
      <c r="E6209" s="16" t="str">
        <f>IFERROR(__xludf.DUMMYFUNCTION("""COMPUTED_VALUE"""),"")</f>
        <v/>
      </c>
      <c r="G6209" s="18"/>
      <c r="H6209" s="16" t="s">
        <v>87</v>
      </c>
      <c r="I6209" s="16" t="s">
        <v>87</v>
      </c>
      <c r="J6209" s="19"/>
      <c r="L6209" s="16" t="str">
        <f>IFERROR(__xludf.DUMMYFUNCTION("""COMPUTED_VALUE"""),"")</f>
        <v/>
      </c>
      <c r="M6209" s="16" t="str">
        <f>IFERROR(__xludf.DUMMYFUNCTION("""COMPUTED_VALUE"""),"")</f>
        <v/>
      </c>
      <c r="U6209" s="16" t="s">
        <v>87</v>
      </c>
      <c r="V6209" s="16" t="str">
        <f>IFERROR(__xludf.DUMMYFUNCTION("""COMPUTED_VALUE"""),"")</f>
        <v/>
      </c>
      <c r="W6209" s="16" t="str">
        <f>IFERROR(__xludf.DUMMYFUNCTION("""COMPUTED_VALUE"""),"")</f>
        <v/>
      </c>
      <c r="X6209" s="16" t="str">
        <f>IFERROR(__xludf.DUMMYFUNCTION("""COMPUTED_VALUE"""),"")</f>
        <v/>
      </c>
      <c r="AC6209" s="16" t="str">
        <f>IFERROR(__xludf.DUMMYFUNCTION("""COMPUTED_VALUE"""),"")</f>
        <v/>
      </c>
    </row>
    <row r="6210">
      <c r="A6210" s="16" t="s">
        <v>87</v>
      </c>
      <c r="E6210" s="16" t="str">
        <f>IFERROR(__xludf.DUMMYFUNCTION("""COMPUTED_VALUE"""),"")</f>
        <v/>
      </c>
      <c r="G6210" s="18"/>
      <c r="H6210" s="16" t="s">
        <v>87</v>
      </c>
      <c r="I6210" s="16" t="s">
        <v>87</v>
      </c>
      <c r="J6210" s="19"/>
      <c r="L6210" s="16" t="str">
        <f>IFERROR(__xludf.DUMMYFUNCTION("""COMPUTED_VALUE"""),"")</f>
        <v/>
      </c>
      <c r="M6210" s="16" t="str">
        <f>IFERROR(__xludf.DUMMYFUNCTION("""COMPUTED_VALUE"""),"")</f>
        <v/>
      </c>
      <c r="U6210" s="16" t="s">
        <v>87</v>
      </c>
      <c r="V6210" s="16" t="str">
        <f>IFERROR(__xludf.DUMMYFUNCTION("""COMPUTED_VALUE"""),"")</f>
        <v/>
      </c>
      <c r="W6210" s="16" t="str">
        <f>IFERROR(__xludf.DUMMYFUNCTION("""COMPUTED_VALUE"""),"")</f>
        <v/>
      </c>
      <c r="X6210" s="16" t="str">
        <f>IFERROR(__xludf.DUMMYFUNCTION("""COMPUTED_VALUE"""),"")</f>
        <v/>
      </c>
      <c r="AC6210" s="16" t="str">
        <f>IFERROR(__xludf.DUMMYFUNCTION("""COMPUTED_VALUE"""),"")</f>
        <v/>
      </c>
    </row>
    <row r="6211">
      <c r="A6211" s="16" t="s">
        <v>87</v>
      </c>
      <c r="E6211" s="16" t="str">
        <f>IFERROR(__xludf.DUMMYFUNCTION("""COMPUTED_VALUE"""),"")</f>
        <v/>
      </c>
      <c r="G6211" s="18"/>
      <c r="H6211" s="16" t="s">
        <v>87</v>
      </c>
      <c r="I6211" s="16" t="s">
        <v>87</v>
      </c>
      <c r="J6211" s="19"/>
      <c r="L6211" s="16" t="str">
        <f>IFERROR(__xludf.DUMMYFUNCTION("""COMPUTED_VALUE"""),"")</f>
        <v/>
      </c>
      <c r="M6211" s="16" t="str">
        <f>IFERROR(__xludf.DUMMYFUNCTION("""COMPUTED_VALUE"""),"")</f>
        <v/>
      </c>
      <c r="U6211" s="16" t="s">
        <v>87</v>
      </c>
      <c r="V6211" s="16" t="str">
        <f>IFERROR(__xludf.DUMMYFUNCTION("""COMPUTED_VALUE"""),"")</f>
        <v/>
      </c>
      <c r="W6211" s="16" t="str">
        <f>IFERROR(__xludf.DUMMYFUNCTION("""COMPUTED_VALUE"""),"")</f>
        <v/>
      </c>
      <c r="X6211" s="16" t="str">
        <f>IFERROR(__xludf.DUMMYFUNCTION("""COMPUTED_VALUE"""),"")</f>
        <v/>
      </c>
      <c r="AC6211" s="16" t="str">
        <f>IFERROR(__xludf.DUMMYFUNCTION("""COMPUTED_VALUE"""),"")</f>
        <v/>
      </c>
    </row>
    <row r="6212">
      <c r="A6212" s="16" t="s">
        <v>87</v>
      </c>
      <c r="E6212" s="16" t="str">
        <f>IFERROR(__xludf.DUMMYFUNCTION("""COMPUTED_VALUE"""),"")</f>
        <v/>
      </c>
      <c r="G6212" s="18"/>
      <c r="H6212" s="16" t="s">
        <v>87</v>
      </c>
      <c r="I6212" s="16" t="s">
        <v>87</v>
      </c>
      <c r="J6212" s="19"/>
      <c r="L6212" s="16" t="str">
        <f>IFERROR(__xludf.DUMMYFUNCTION("""COMPUTED_VALUE"""),"")</f>
        <v/>
      </c>
      <c r="M6212" s="16" t="str">
        <f>IFERROR(__xludf.DUMMYFUNCTION("""COMPUTED_VALUE"""),"")</f>
        <v/>
      </c>
      <c r="U6212" s="16" t="s">
        <v>87</v>
      </c>
      <c r="V6212" s="16" t="str">
        <f>IFERROR(__xludf.DUMMYFUNCTION("""COMPUTED_VALUE"""),"")</f>
        <v/>
      </c>
      <c r="W6212" s="16" t="str">
        <f>IFERROR(__xludf.DUMMYFUNCTION("""COMPUTED_VALUE"""),"")</f>
        <v/>
      </c>
      <c r="X6212" s="16" t="str">
        <f>IFERROR(__xludf.DUMMYFUNCTION("""COMPUTED_VALUE"""),"")</f>
        <v/>
      </c>
      <c r="AC6212" s="16" t="str">
        <f>IFERROR(__xludf.DUMMYFUNCTION("""COMPUTED_VALUE"""),"")</f>
        <v/>
      </c>
    </row>
    <row r="6213">
      <c r="A6213" s="16" t="s">
        <v>87</v>
      </c>
      <c r="E6213" s="16" t="str">
        <f>IFERROR(__xludf.DUMMYFUNCTION("""COMPUTED_VALUE"""),"")</f>
        <v/>
      </c>
      <c r="G6213" s="18"/>
      <c r="H6213" s="16" t="s">
        <v>87</v>
      </c>
      <c r="I6213" s="16" t="s">
        <v>87</v>
      </c>
      <c r="J6213" s="19"/>
      <c r="L6213" s="16" t="str">
        <f>IFERROR(__xludf.DUMMYFUNCTION("""COMPUTED_VALUE"""),"")</f>
        <v/>
      </c>
      <c r="M6213" s="16" t="str">
        <f>IFERROR(__xludf.DUMMYFUNCTION("""COMPUTED_VALUE"""),"")</f>
        <v/>
      </c>
      <c r="U6213" s="16" t="s">
        <v>87</v>
      </c>
      <c r="V6213" s="16" t="str">
        <f>IFERROR(__xludf.DUMMYFUNCTION("""COMPUTED_VALUE"""),"")</f>
        <v/>
      </c>
      <c r="W6213" s="16" t="str">
        <f>IFERROR(__xludf.DUMMYFUNCTION("""COMPUTED_VALUE"""),"")</f>
        <v/>
      </c>
      <c r="X6213" s="16" t="str">
        <f>IFERROR(__xludf.DUMMYFUNCTION("""COMPUTED_VALUE"""),"")</f>
        <v/>
      </c>
      <c r="AC6213" s="16" t="str">
        <f>IFERROR(__xludf.DUMMYFUNCTION("""COMPUTED_VALUE"""),"")</f>
        <v/>
      </c>
    </row>
    <row r="6214">
      <c r="A6214" s="16" t="s">
        <v>87</v>
      </c>
      <c r="E6214" s="16" t="str">
        <f>IFERROR(__xludf.DUMMYFUNCTION("""COMPUTED_VALUE"""),"")</f>
        <v/>
      </c>
      <c r="G6214" s="18"/>
      <c r="H6214" s="16" t="s">
        <v>87</v>
      </c>
      <c r="I6214" s="16" t="s">
        <v>87</v>
      </c>
      <c r="J6214" s="19"/>
      <c r="L6214" s="16" t="str">
        <f>IFERROR(__xludf.DUMMYFUNCTION("""COMPUTED_VALUE"""),"")</f>
        <v/>
      </c>
      <c r="M6214" s="16" t="str">
        <f>IFERROR(__xludf.DUMMYFUNCTION("""COMPUTED_VALUE"""),"")</f>
        <v/>
      </c>
      <c r="U6214" s="16" t="s">
        <v>87</v>
      </c>
      <c r="V6214" s="16" t="str">
        <f>IFERROR(__xludf.DUMMYFUNCTION("""COMPUTED_VALUE"""),"")</f>
        <v/>
      </c>
      <c r="W6214" s="16" t="str">
        <f>IFERROR(__xludf.DUMMYFUNCTION("""COMPUTED_VALUE"""),"")</f>
        <v/>
      </c>
      <c r="X6214" s="16" t="str">
        <f>IFERROR(__xludf.DUMMYFUNCTION("""COMPUTED_VALUE"""),"")</f>
        <v/>
      </c>
      <c r="AC6214" s="16" t="str">
        <f>IFERROR(__xludf.DUMMYFUNCTION("""COMPUTED_VALUE"""),"")</f>
        <v/>
      </c>
    </row>
    <row r="6215">
      <c r="A6215" s="16" t="s">
        <v>87</v>
      </c>
      <c r="E6215" s="16" t="str">
        <f>IFERROR(__xludf.DUMMYFUNCTION("""COMPUTED_VALUE"""),"")</f>
        <v/>
      </c>
      <c r="G6215" s="18"/>
      <c r="H6215" s="16" t="s">
        <v>87</v>
      </c>
      <c r="I6215" s="16" t="s">
        <v>87</v>
      </c>
      <c r="J6215" s="19"/>
      <c r="L6215" s="16" t="str">
        <f>IFERROR(__xludf.DUMMYFUNCTION("""COMPUTED_VALUE"""),"")</f>
        <v/>
      </c>
      <c r="M6215" s="16" t="str">
        <f>IFERROR(__xludf.DUMMYFUNCTION("""COMPUTED_VALUE"""),"")</f>
        <v/>
      </c>
      <c r="U6215" s="16" t="s">
        <v>87</v>
      </c>
      <c r="V6215" s="16" t="str">
        <f>IFERROR(__xludf.DUMMYFUNCTION("""COMPUTED_VALUE"""),"")</f>
        <v/>
      </c>
      <c r="W6215" s="16" t="str">
        <f>IFERROR(__xludf.DUMMYFUNCTION("""COMPUTED_VALUE"""),"")</f>
        <v/>
      </c>
      <c r="X6215" s="16" t="str">
        <f>IFERROR(__xludf.DUMMYFUNCTION("""COMPUTED_VALUE"""),"")</f>
        <v/>
      </c>
      <c r="AC6215" s="16" t="str">
        <f>IFERROR(__xludf.DUMMYFUNCTION("""COMPUTED_VALUE"""),"")</f>
        <v/>
      </c>
    </row>
    <row r="6216">
      <c r="A6216" s="16" t="s">
        <v>87</v>
      </c>
      <c r="E6216" s="16" t="str">
        <f>IFERROR(__xludf.DUMMYFUNCTION("""COMPUTED_VALUE"""),"")</f>
        <v/>
      </c>
      <c r="G6216" s="18"/>
      <c r="H6216" s="16" t="s">
        <v>87</v>
      </c>
      <c r="I6216" s="16" t="s">
        <v>87</v>
      </c>
      <c r="J6216" s="19"/>
      <c r="L6216" s="16" t="str">
        <f>IFERROR(__xludf.DUMMYFUNCTION("""COMPUTED_VALUE"""),"")</f>
        <v/>
      </c>
      <c r="M6216" s="16" t="str">
        <f>IFERROR(__xludf.DUMMYFUNCTION("""COMPUTED_VALUE"""),"")</f>
        <v/>
      </c>
      <c r="U6216" s="16" t="s">
        <v>87</v>
      </c>
      <c r="V6216" s="16" t="str">
        <f>IFERROR(__xludf.DUMMYFUNCTION("""COMPUTED_VALUE"""),"")</f>
        <v/>
      </c>
      <c r="W6216" s="16" t="str">
        <f>IFERROR(__xludf.DUMMYFUNCTION("""COMPUTED_VALUE"""),"")</f>
        <v/>
      </c>
      <c r="X6216" s="16" t="str">
        <f>IFERROR(__xludf.DUMMYFUNCTION("""COMPUTED_VALUE"""),"")</f>
        <v/>
      </c>
      <c r="AC6216" s="16" t="str">
        <f>IFERROR(__xludf.DUMMYFUNCTION("""COMPUTED_VALUE"""),"")</f>
        <v/>
      </c>
    </row>
    <row r="6217">
      <c r="A6217" s="16" t="s">
        <v>87</v>
      </c>
      <c r="E6217" s="16" t="str">
        <f>IFERROR(__xludf.DUMMYFUNCTION("""COMPUTED_VALUE"""),"")</f>
        <v/>
      </c>
      <c r="G6217" s="18"/>
      <c r="H6217" s="16" t="s">
        <v>87</v>
      </c>
      <c r="I6217" s="16" t="s">
        <v>87</v>
      </c>
      <c r="J6217" s="19"/>
      <c r="L6217" s="16" t="str">
        <f>IFERROR(__xludf.DUMMYFUNCTION("""COMPUTED_VALUE"""),"")</f>
        <v/>
      </c>
      <c r="M6217" s="16" t="str">
        <f>IFERROR(__xludf.DUMMYFUNCTION("""COMPUTED_VALUE"""),"")</f>
        <v/>
      </c>
      <c r="U6217" s="16" t="s">
        <v>87</v>
      </c>
      <c r="V6217" s="16" t="str">
        <f>IFERROR(__xludf.DUMMYFUNCTION("""COMPUTED_VALUE"""),"")</f>
        <v/>
      </c>
      <c r="W6217" s="16" t="str">
        <f>IFERROR(__xludf.DUMMYFUNCTION("""COMPUTED_VALUE"""),"")</f>
        <v/>
      </c>
      <c r="X6217" s="16" t="str">
        <f>IFERROR(__xludf.DUMMYFUNCTION("""COMPUTED_VALUE"""),"")</f>
        <v/>
      </c>
      <c r="AC6217" s="16" t="str">
        <f>IFERROR(__xludf.DUMMYFUNCTION("""COMPUTED_VALUE"""),"")</f>
        <v/>
      </c>
    </row>
    <row r="6218">
      <c r="A6218" s="16" t="s">
        <v>87</v>
      </c>
      <c r="E6218" s="16" t="str">
        <f>IFERROR(__xludf.DUMMYFUNCTION("""COMPUTED_VALUE"""),"")</f>
        <v/>
      </c>
      <c r="G6218" s="18"/>
      <c r="H6218" s="16" t="s">
        <v>87</v>
      </c>
      <c r="I6218" s="16" t="s">
        <v>87</v>
      </c>
      <c r="J6218" s="19"/>
      <c r="L6218" s="16" t="str">
        <f>IFERROR(__xludf.DUMMYFUNCTION("""COMPUTED_VALUE"""),"")</f>
        <v/>
      </c>
      <c r="M6218" s="16" t="str">
        <f>IFERROR(__xludf.DUMMYFUNCTION("""COMPUTED_VALUE"""),"")</f>
        <v/>
      </c>
      <c r="U6218" s="16" t="s">
        <v>87</v>
      </c>
      <c r="V6218" s="16" t="str">
        <f>IFERROR(__xludf.DUMMYFUNCTION("""COMPUTED_VALUE"""),"")</f>
        <v/>
      </c>
      <c r="W6218" s="16" t="str">
        <f>IFERROR(__xludf.DUMMYFUNCTION("""COMPUTED_VALUE"""),"")</f>
        <v/>
      </c>
      <c r="X6218" s="16" t="str">
        <f>IFERROR(__xludf.DUMMYFUNCTION("""COMPUTED_VALUE"""),"")</f>
        <v/>
      </c>
      <c r="AC6218" s="16" t="str">
        <f>IFERROR(__xludf.DUMMYFUNCTION("""COMPUTED_VALUE"""),"")</f>
        <v/>
      </c>
    </row>
    <row r="6219">
      <c r="A6219" s="16" t="s">
        <v>87</v>
      </c>
      <c r="E6219" s="16" t="str">
        <f>IFERROR(__xludf.DUMMYFUNCTION("""COMPUTED_VALUE"""),"")</f>
        <v/>
      </c>
      <c r="G6219" s="18"/>
      <c r="H6219" s="16" t="s">
        <v>87</v>
      </c>
      <c r="I6219" s="16" t="s">
        <v>87</v>
      </c>
      <c r="J6219" s="19"/>
      <c r="L6219" s="16" t="str">
        <f>IFERROR(__xludf.DUMMYFUNCTION("""COMPUTED_VALUE"""),"")</f>
        <v/>
      </c>
      <c r="M6219" s="16" t="str">
        <f>IFERROR(__xludf.DUMMYFUNCTION("""COMPUTED_VALUE"""),"")</f>
        <v/>
      </c>
      <c r="U6219" s="16" t="s">
        <v>87</v>
      </c>
      <c r="V6219" s="16" t="str">
        <f>IFERROR(__xludf.DUMMYFUNCTION("""COMPUTED_VALUE"""),"")</f>
        <v/>
      </c>
      <c r="W6219" s="16" t="str">
        <f>IFERROR(__xludf.DUMMYFUNCTION("""COMPUTED_VALUE"""),"")</f>
        <v/>
      </c>
      <c r="X6219" s="16" t="str">
        <f>IFERROR(__xludf.DUMMYFUNCTION("""COMPUTED_VALUE"""),"")</f>
        <v/>
      </c>
      <c r="AC6219" s="16" t="str">
        <f>IFERROR(__xludf.DUMMYFUNCTION("""COMPUTED_VALUE"""),"")</f>
        <v/>
      </c>
    </row>
    <row r="6220">
      <c r="A6220" s="16" t="s">
        <v>87</v>
      </c>
      <c r="E6220" s="16" t="str">
        <f>IFERROR(__xludf.DUMMYFUNCTION("""COMPUTED_VALUE"""),"")</f>
        <v/>
      </c>
      <c r="G6220" s="18"/>
      <c r="H6220" s="16" t="s">
        <v>87</v>
      </c>
      <c r="I6220" s="16" t="s">
        <v>87</v>
      </c>
      <c r="J6220" s="19"/>
      <c r="L6220" s="16" t="str">
        <f>IFERROR(__xludf.DUMMYFUNCTION("""COMPUTED_VALUE"""),"")</f>
        <v/>
      </c>
      <c r="M6220" s="16" t="str">
        <f>IFERROR(__xludf.DUMMYFUNCTION("""COMPUTED_VALUE"""),"")</f>
        <v/>
      </c>
      <c r="U6220" s="16" t="s">
        <v>87</v>
      </c>
      <c r="V6220" s="16" t="str">
        <f>IFERROR(__xludf.DUMMYFUNCTION("""COMPUTED_VALUE"""),"")</f>
        <v/>
      </c>
      <c r="W6220" s="16" t="str">
        <f>IFERROR(__xludf.DUMMYFUNCTION("""COMPUTED_VALUE"""),"")</f>
        <v/>
      </c>
      <c r="X6220" s="16" t="str">
        <f>IFERROR(__xludf.DUMMYFUNCTION("""COMPUTED_VALUE"""),"")</f>
        <v/>
      </c>
      <c r="AC6220" s="16" t="str">
        <f>IFERROR(__xludf.DUMMYFUNCTION("""COMPUTED_VALUE"""),"")</f>
        <v/>
      </c>
    </row>
    <row r="6221">
      <c r="A6221" s="16" t="s">
        <v>87</v>
      </c>
      <c r="E6221" s="16" t="str">
        <f>IFERROR(__xludf.DUMMYFUNCTION("""COMPUTED_VALUE"""),"")</f>
        <v/>
      </c>
      <c r="G6221" s="18"/>
      <c r="H6221" s="16" t="s">
        <v>87</v>
      </c>
      <c r="I6221" s="16" t="s">
        <v>87</v>
      </c>
      <c r="J6221" s="19"/>
      <c r="L6221" s="16" t="str">
        <f>IFERROR(__xludf.DUMMYFUNCTION("""COMPUTED_VALUE"""),"")</f>
        <v/>
      </c>
      <c r="M6221" s="16" t="str">
        <f>IFERROR(__xludf.DUMMYFUNCTION("""COMPUTED_VALUE"""),"")</f>
        <v/>
      </c>
      <c r="U6221" s="16" t="s">
        <v>87</v>
      </c>
      <c r="V6221" s="16" t="str">
        <f>IFERROR(__xludf.DUMMYFUNCTION("""COMPUTED_VALUE"""),"")</f>
        <v/>
      </c>
      <c r="W6221" s="16" t="str">
        <f>IFERROR(__xludf.DUMMYFUNCTION("""COMPUTED_VALUE"""),"")</f>
        <v/>
      </c>
      <c r="X6221" s="16" t="str">
        <f>IFERROR(__xludf.DUMMYFUNCTION("""COMPUTED_VALUE"""),"")</f>
        <v/>
      </c>
      <c r="AC6221" s="16" t="str">
        <f>IFERROR(__xludf.DUMMYFUNCTION("""COMPUTED_VALUE"""),"")</f>
        <v/>
      </c>
    </row>
    <row r="6222">
      <c r="A6222" s="16" t="s">
        <v>87</v>
      </c>
      <c r="E6222" s="16" t="str">
        <f>IFERROR(__xludf.DUMMYFUNCTION("""COMPUTED_VALUE"""),"")</f>
        <v/>
      </c>
      <c r="G6222" s="18"/>
      <c r="H6222" s="16" t="s">
        <v>87</v>
      </c>
      <c r="I6222" s="16" t="s">
        <v>87</v>
      </c>
      <c r="J6222" s="19"/>
      <c r="L6222" s="16" t="str">
        <f>IFERROR(__xludf.DUMMYFUNCTION("""COMPUTED_VALUE"""),"")</f>
        <v/>
      </c>
      <c r="M6222" s="16" t="str">
        <f>IFERROR(__xludf.DUMMYFUNCTION("""COMPUTED_VALUE"""),"")</f>
        <v/>
      </c>
      <c r="U6222" s="16" t="s">
        <v>87</v>
      </c>
      <c r="V6222" s="16" t="str">
        <f>IFERROR(__xludf.DUMMYFUNCTION("""COMPUTED_VALUE"""),"")</f>
        <v/>
      </c>
      <c r="W6222" s="16" t="str">
        <f>IFERROR(__xludf.DUMMYFUNCTION("""COMPUTED_VALUE"""),"")</f>
        <v/>
      </c>
      <c r="X6222" s="16" t="str">
        <f>IFERROR(__xludf.DUMMYFUNCTION("""COMPUTED_VALUE"""),"")</f>
        <v/>
      </c>
      <c r="AC6222" s="16" t="str">
        <f>IFERROR(__xludf.DUMMYFUNCTION("""COMPUTED_VALUE"""),"")</f>
        <v/>
      </c>
    </row>
    <row r="6223">
      <c r="A6223" s="16" t="s">
        <v>87</v>
      </c>
      <c r="E6223" s="16" t="str">
        <f>IFERROR(__xludf.DUMMYFUNCTION("""COMPUTED_VALUE"""),"")</f>
        <v/>
      </c>
      <c r="G6223" s="18"/>
      <c r="H6223" s="16" t="s">
        <v>87</v>
      </c>
      <c r="I6223" s="16" t="s">
        <v>87</v>
      </c>
      <c r="J6223" s="19"/>
      <c r="L6223" s="16" t="str">
        <f>IFERROR(__xludf.DUMMYFUNCTION("""COMPUTED_VALUE"""),"")</f>
        <v/>
      </c>
      <c r="M6223" s="16" t="str">
        <f>IFERROR(__xludf.DUMMYFUNCTION("""COMPUTED_VALUE"""),"")</f>
        <v/>
      </c>
      <c r="U6223" s="16" t="s">
        <v>87</v>
      </c>
      <c r="V6223" s="16" t="str">
        <f>IFERROR(__xludf.DUMMYFUNCTION("""COMPUTED_VALUE"""),"")</f>
        <v/>
      </c>
      <c r="W6223" s="16" t="str">
        <f>IFERROR(__xludf.DUMMYFUNCTION("""COMPUTED_VALUE"""),"")</f>
        <v/>
      </c>
      <c r="X6223" s="16" t="str">
        <f>IFERROR(__xludf.DUMMYFUNCTION("""COMPUTED_VALUE"""),"")</f>
        <v/>
      </c>
      <c r="AC6223" s="16" t="str">
        <f>IFERROR(__xludf.DUMMYFUNCTION("""COMPUTED_VALUE"""),"")</f>
        <v/>
      </c>
    </row>
    <row r="6224">
      <c r="A6224" s="16" t="s">
        <v>87</v>
      </c>
      <c r="E6224" s="16" t="str">
        <f>IFERROR(__xludf.DUMMYFUNCTION("""COMPUTED_VALUE"""),"")</f>
        <v/>
      </c>
      <c r="G6224" s="18"/>
      <c r="H6224" s="16" t="s">
        <v>87</v>
      </c>
      <c r="I6224" s="16" t="s">
        <v>87</v>
      </c>
      <c r="J6224" s="19"/>
      <c r="L6224" s="16" t="str">
        <f>IFERROR(__xludf.DUMMYFUNCTION("""COMPUTED_VALUE"""),"")</f>
        <v/>
      </c>
      <c r="M6224" s="16" t="str">
        <f>IFERROR(__xludf.DUMMYFUNCTION("""COMPUTED_VALUE"""),"")</f>
        <v/>
      </c>
      <c r="U6224" s="16" t="s">
        <v>87</v>
      </c>
      <c r="V6224" s="16" t="str">
        <f>IFERROR(__xludf.DUMMYFUNCTION("""COMPUTED_VALUE"""),"")</f>
        <v/>
      </c>
      <c r="W6224" s="16" t="str">
        <f>IFERROR(__xludf.DUMMYFUNCTION("""COMPUTED_VALUE"""),"")</f>
        <v/>
      </c>
      <c r="X6224" s="16" t="str">
        <f>IFERROR(__xludf.DUMMYFUNCTION("""COMPUTED_VALUE"""),"")</f>
        <v/>
      </c>
      <c r="AC6224" s="16" t="str">
        <f>IFERROR(__xludf.DUMMYFUNCTION("""COMPUTED_VALUE"""),"")</f>
        <v/>
      </c>
    </row>
    <row r="6225">
      <c r="A6225" s="16" t="s">
        <v>87</v>
      </c>
      <c r="E6225" s="16" t="str">
        <f>IFERROR(__xludf.DUMMYFUNCTION("""COMPUTED_VALUE"""),"")</f>
        <v/>
      </c>
      <c r="G6225" s="18"/>
      <c r="H6225" s="16" t="s">
        <v>87</v>
      </c>
      <c r="I6225" s="16" t="s">
        <v>87</v>
      </c>
      <c r="J6225" s="19"/>
      <c r="L6225" s="16" t="str">
        <f>IFERROR(__xludf.DUMMYFUNCTION("""COMPUTED_VALUE"""),"")</f>
        <v/>
      </c>
      <c r="M6225" s="16" t="str">
        <f>IFERROR(__xludf.DUMMYFUNCTION("""COMPUTED_VALUE"""),"")</f>
        <v/>
      </c>
      <c r="U6225" s="16" t="s">
        <v>87</v>
      </c>
      <c r="V6225" s="16" t="str">
        <f>IFERROR(__xludf.DUMMYFUNCTION("""COMPUTED_VALUE"""),"")</f>
        <v/>
      </c>
      <c r="W6225" s="16" t="str">
        <f>IFERROR(__xludf.DUMMYFUNCTION("""COMPUTED_VALUE"""),"")</f>
        <v/>
      </c>
      <c r="X6225" s="16" t="str">
        <f>IFERROR(__xludf.DUMMYFUNCTION("""COMPUTED_VALUE"""),"")</f>
        <v/>
      </c>
      <c r="AC6225" s="16" t="str">
        <f>IFERROR(__xludf.DUMMYFUNCTION("""COMPUTED_VALUE"""),"")</f>
        <v/>
      </c>
    </row>
    <row r="6226">
      <c r="A6226" s="16" t="s">
        <v>87</v>
      </c>
      <c r="E6226" s="16" t="str">
        <f>IFERROR(__xludf.DUMMYFUNCTION("""COMPUTED_VALUE"""),"")</f>
        <v/>
      </c>
      <c r="G6226" s="18"/>
      <c r="H6226" s="16" t="s">
        <v>87</v>
      </c>
      <c r="I6226" s="16" t="s">
        <v>87</v>
      </c>
      <c r="J6226" s="19"/>
      <c r="L6226" s="16" t="str">
        <f>IFERROR(__xludf.DUMMYFUNCTION("""COMPUTED_VALUE"""),"")</f>
        <v/>
      </c>
      <c r="M6226" s="16" t="str">
        <f>IFERROR(__xludf.DUMMYFUNCTION("""COMPUTED_VALUE"""),"")</f>
        <v/>
      </c>
      <c r="U6226" s="16" t="s">
        <v>87</v>
      </c>
      <c r="V6226" s="16" t="str">
        <f>IFERROR(__xludf.DUMMYFUNCTION("""COMPUTED_VALUE"""),"")</f>
        <v/>
      </c>
      <c r="W6226" s="16" t="str">
        <f>IFERROR(__xludf.DUMMYFUNCTION("""COMPUTED_VALUE"""),"")</f>
        <v/>
      </c>
      <c r="X6226" s="16" t="str">
        <f>IFERROR(__xludf.DUMMYFUNCTION("""COMPUTED_VALUE"""),"")</f>
        <v/>
      </c>
      <c r="AC6226" s="16" t="str">
        <f>IFERROR(__xludf.DUMMYFUNCTION("""COMPUTED_VALUE"""),"")</f>
        <v/>
      </c>
    </row>
    <row r="6227">
      <c r="A6227" s="16" t="s">
        <v>87</v>
      </c>
      <c r="E6227" s="16" t="str">
        <f>IFERROR(__xludf.DUMMYFUNCTION("""COMPUTED_VALUE"""),"")</f>
        <v/>
      </c>
      <c r="G6227" s="18"/>
      <c r="H6227" s="16" t="s">
        <v>87</v>
      </c>
      <c r="I6227" s="16" t="s">
        <v>87</v>
      </c>
      <c r="J6227" s="19"/>
      <c r="L6227" s="16" t="str">
        <f>IFERROR(__xludf.DUMMYFUNCTION("""COMPUTED_VALUE"""),"")</f>
        <v/>
      </c>
      <c r="M6227" s="16" t="str">
        <f>IFERROR(__xludf.DUMMYFUNCTION("""COMPUTED_VALUE"""),"")</f>
        <v/>
      </c>
      <c r="U6227" s="16" t="s">
        <v>87</v>
      </c>
      <c r="V6227" s="16" t="str">
        <f>IFERROR(__xludf.DUMMYFUNCTION("""COMPUTED_VALUE"""),"")</f>
        <v/>
      </c>
      <c r="W6227" s="16" t="str">
        <f>IFERROR(__xludf.DUMMYFUNCTION("""COMPUTED_VALUE"""),"")</f>
        <v/>
      </c>
      <c r="X6227" s="16" t="str">
        <f>IFERROR(__xludf.DUMMYFUNCTION("""COMPUTED_VALUE"""),"")</f>
        <v/>
      </c>
      <c r="AC6227" s="16" t="str">
        <f>IFERROR(__xludf.DUMMYFUNCTION("""COMPUTED_VALUE"""),"")</f>
        <v/>
      </c>
    </row>
    <row r="6228">
      <c r="A6228" s="16" t="s">
        <v>87</v>
      </c>
      <c r="E6228" s="16" t="str">
        <f>IFERROR(__xludf.DUMMYFUNCTION("""COMPUTED_VALUE"""),"")</f>
        <v/>
      </c>
      <c r="G6228" s="18"/>
      <c r="H6228" s="16" t="s">
        <v>87</v>
      </c>
      <c r="I6228" s="16" t="s">
        <v>87</v>
      </c>
      <c r="J6228" s="19"/>
      <c r="L6228" s="16" t="str">
        <f>IFERROR(__xludf.DUMMYFUNCTION("""COMPUTED_VALUE"""),"")</f>
        <v/>
      </c>
      <c r="M6228" s="16" t="str">
        <f>IFERROR(__xludf.DUMMYFUNCTION("""COMPUTED_VALUE"""),"")</f>
        <v/>
      </c>
      <c r="U6228" s="16" t="s">
        <v>87</v>
      </c>
      <c r="V6228" s="16" t="str">
        <f>IFERROR(__xludf.DUMMYFUNCTION("""COMPUTED_VALUE"""),"")</f>
        <v/>
      </c>
      <c r="W6228" s="16" t="str">
        <f>IFERROR(__xludf.DUMMYFUNCTION("""COMPUTED_VALUE"""),"")</f>
        <v/>
      </c>
      <c r="X6228" s="16" t="str">
        <f>IFERROR(__xludf.DUMMYFUNCTION("""COMPUTED_VALUE"""),"")</f>
        <v/>
      </c>
      <c r="AC6228" s="16" t="str">
        <f>IFERROR(__xludf.DUMMYFUNCTION("""COMPUTED_VALUE"""),"")</f>
        <v/>
      </c>
    </row>
    <row r="6229">
      <c r="A6229" s="16" t="s">
        <v>87</v>
      </c>
      <c r="E6229" s="16" t="str">
        <f>IFERROR(__xludf.DUMMYFUNCTION("""COMPUTED_VALUE"""),"")</f>
        <v/>
      </c>
      <c r="G6229" s="18"/>
      <c r="H6229" s="16" t="s">
        <v>87</v>
      </c>
      <c r="I6229" s="16" t="s">
        <v>87</v>
      </c>
      <c r="J6229" s="19"/>
      <c r="L6229" s="16" t="str">
        <f>IFERROR(__xludf.DUMMYFUNCTION("""COMPUTED_VALUE"""),"")</f>
        <v/>
      </c>
      <c r="M6229" s="16" t="str">
        <f>IFERROR(__xludf.DUMMYFUNCTION("""COMPUTED_VALUE"""),"")</f>
        <v/>
      </c>
      <c r="U6229" s="16" t="s">
        <v>87</v>
      </c>
      <c r="V6229" s="16" t="str">
        <f>IFERROR(__xludf.DUMMYFUNCTION("""COMPUTED_VALUE"""),"")</f>
        <v/>
      </c>
      <c r="W6229" s="16" t="str">
        <f>IFERROR(__xludf.DUMMYFUNCTION("""COMPUTED_VALUE"""),"")</f>
        <v/>
      </c>
      <c r="X6229" s="16" t="str">
        <f>IFERROR(__xludf.DUMMYFUNCTION("""COMPUTED_VALUE"""),"")</f>
        <v/>
      </c>
      <c r="AC6229" s="16" t="str">
        <f>IFERROR(__xludf.DUMMYFUNCTION("""COMPUTED_VALUE"""),"")</f>
        <v/>
      </c>
    </row>
    <row r="6230">
      <c r="A6230" s="16" t="s">
        <v>87</v>
      </c>
      <c r="E6230" s="16" t="str">
        <f>IFERROR(__xludf.DUMMYFUNCTION("""COMPUTED_VALUE"""),"")</f>
        <v/>
      </c>
      <c r="G6230" s="18"/>
      <c r="H6230" s="16" t="s">
        <v>87</v>
      </c>
      <c r="I6230" s="16" t="s">
        <v>87</v>
      </c>
      <c r="J6230" s="19"/>
      <c r="L6230" s="16" t="str">
        <f>IFERROR(__xludf.DUMMYFUNCTION("""COMPUTED_VALUE"""),"")</f>
        <v/>
      </c>
      <c r="M6230" s="16" t="str">
        <f>IFERROR(__xludf.DUMMYFUNCTION("""COMPUTED_VALUE"""),"")</f>
        <v/>
      </c>
      <c r="U6230" s="16" t="s">
        <v>87</v>
      </c>
      <c r="V6230" s="16" t="str">
        <f>IFERROR(__xludf.DUMMYFUNCTION("""COMPUTED_VALUE"""),"")</f>
        <v/>
      </c>
      <c r="W6230" s="16" t="str">
        <f>IFERROR(__xludf.DUMMYFUNCTION("""COMPUTED_VALUE"""),"")</f>
        <v/>
      </c>
      <c r="X6230" s="16" t="str">
        <f>IFERROR(__xludf.DUMMYFUNCTION("""COMPUTED_VALUE"""),"")</f>
        <v/>
      </c>
      <c r="AC6230" s="16" t="str">
        <f>IFERROR(__xludf.DUMMYFUNCTION("""COMPUTED_VALUE"""),"")</f>
        <v/>
      </c>
    </row>
    <row r="6231">
      <c r="A6231" s="16" t="s">
        <v>87</v>
      </c>
      <c r="E6231" s="16" t="str">
        <f>IFERROR(__xludf.DUMMYFUNCTION("""COMPUTED_VALUE"""),"")</f>
        <v/>
      </c>
      <c r="G6231" s="18"/>
      <c r="H6231" s="16" t="s">
        <v>87</v>
      </c>
      <c r="I6231" s="16" t="s">
        <v>87</v>
      </c>
      <c r="J6231" s="19"/>
      <c r="L6231" s="16" t="str">
        <f>IFERROR(__xludf.DUMMYFUNCTION("""COMPUTED_VALUE"""),"")</f>
        <v/>
      </c>
      <c r="M6231" s="16" t="str">
        <f>IFERROR(__xludf.DUMMYFUNCTION("""COMPUTED_VALUE"""),"")</f>
        <v/>
      </c>
      <c r="U6231" s="16" t="s">
        <v>87</v>
      </c>
      <c r="V6231" s="16" t="str">
        <f>IFERROR(__xludf.DUMMYFUNCTION("""COMPUTED_VALUE"""),"")</f>
        <v/>
      </c>
      <c r="W6231" s="16" t="str">
        <f>IFERROR(__xludf.DUMMYFUNCTION("""COMPUTED_VALUE"""),"")</f>
        <v/>
      </c>
      <c r="X6231" s="16" t="str">
        <f>IFERROR(__xludf.DUMMYFUNCTION("""COMPUTED_VALUE"""),"")</f>
        <v/>
      </c>
      <c r="AC6231" s="16" t="str">
        <f>IFERROR(__xludf.DUMMYFUNCTION("""COMPUTED_VALUE"""),"")</f>
        <v/>
      </c>
    </row>
    <row r="6232">
      <c r="A6232" s="16" t="s">
        <v>87</v>
      </c>
      <c r="E6232" s="16" t="str">
        <f>IFERROR(__xludf.DUMMYFUNCTION("""COMPUTED_VALUE"""),"")</f>
        <v/>
      </c>
      <c r="G6232" s="18"/>
      <c r="H6232" s="16" t="s">
        <v>87</v>
      </c>
      <c r="I6232" s="16" t="s">
        <v>87</v>
      </c>
      <c r="J6232" s="19"/>
      <c r="L6232" s="16" t="str">
        <f>IFERROR(__xludf.DUMMYFUNCTION("""COMPUTED_VALUE"""),"")</f>
        <v/>
      </c>
      <c r="M6232" s="16" t="str">
        <f>IFERROR(__xludf.DUMMYFUNCTION("""COMPUTED_VALUE"""),"")</f>
        <v/>
      </c>
      <c r="U6232" s="16" t="s">
        <v>87</v>
      </c>
      <c r="V6232" s="16" t="str">
        <f>IFERROR(__xludf.DUMMYFUNCTION("""COMPUTED_VALUE"""),"")</f>
        <v/>
      </c>
      <c r="W6232" s="16" t="str">
        <f>IFERROR(__xludf.DUMMYFUNCTION("""COMPUTED_VALUE"""),"")</f>
        <v/>
      </c>
      <c r="X6232" s="16" t="str">
        <f>IFERROR(__xludf.DUMMYFUNCTION("""COMPUTED_VALUE"""),"")</f>
        <v/>
      </c>
      <c r="AC6232" s="16" t="str">
        <f>IFERROR(__xludf.DUMMYFUNCTION("""COMPUTED_VALUE"""),"")</f>
        <v/>
      </c>
    </row>
    <row r="6233">
      <c r="A6233" s="16" t="s">
        <v>87</v>
      </c>
      <c r="E6233" s="16" t="str">
        <f>IFERROR(__xludf.DUMMYFUNCTION("""COMPUTED_VALUE"""),"")</f>
        <v/>
      </c>
      <c r="G6233" s="18"/>
      <c r="H6233" s="16" t="s">
        <v>87</v>
      </c>
      <c r="I6233" s="16" t="s">
        <v>87</v>
      </c>
      <c r="J6233" s="19"/>
      <c r="L6233" s="16" t="str">
        <f>IFERROR(__xludf.DUMMYFUNCTION("""COMPUTED_VALUE"""),"")</f>
        <v/>
      </c>
      <c r="M6233" s="16" t="str">
        <f>IFERROR(__xludf.DUMMYFUNCTION("""COMPUTED_VALUE"""),"")</f>
        <v/>
      </c>
      <c r="U6233" s="16" t="s">
        <v>87</v>
      </c>
      <c r="V6233" s="16" t="str">
        <f>IFERROR(__xludf.DUMMYFUNCTION("""COMPUTED_VALUE"""),"")</f>
        <v/>
      </c>
      <c r="W6233" s="16" t="str">
        <f>IFERROR(__xludf.DUMMYFUNCTION("""COMPUTED_VALUE"""),"")</f>
        <v/>
      </c>
      <c r="X6233" s="16" t="str">
        <f>IFERROR(__xludf.DUMMYFUNCTION("""COMPUTED_VALUE"""),"")</f>
        <v/>
      </c>
      <c r="AC6233" s="16" t="str">
        <f>IFERROR(__xludf.DUMMYFUNCTION("""COMPUTED_VALUE"""),"")</f>
        <v/>
      </c>
    </row>
    <row r="6234">
      <c r="A6234" s="16" t="s">
        <v>87</v>
      </c>
      <c r="E6234" s="16" t="str">
        <f>IFERROR(__xludf.DUMMYFUNCTION("""COMPUTED_VALUE"""),"")</f>
        <v/>
      </c>
      <c r="G6234" s="18"/>
      <c r="H6234" s="16" t="s">
        <v>87</v>
      </c>
      <c r="I6234" s="16" t="s">
        <v>87</v>
      </c>
      <c r="J6234" s="19"/>
      <c r="L6234" s="16" t="str">
        <f>IFERROR(__xludf.DUMMYFUNCTION("""COMPUTED_VALUE"""),"")</f>
        <v/>
      </c>
      <c r="M6234" s="16" t="str">
        <f>IFERROR(__xludf.DUMMYFUNCTION("""COMPUTED_VALUE"""),"")</f>
        <v/>
      </c>
      <c r="U6234" s="16" t="s">
        <v>87</v>
      </c>
      <c r="V6234" s="16" t="str">
        <f>IFERROR(__xludf.DUMMYFUNCTION("""COMPUTED_VALUE"""),"")</f>
        <v/>
      </c>
      <c r="W6234" s="16" t="str">
        <f>IFERROR(__xludf.DUMMYFUNCTION("""COMPUTED_VALUE"""),"")</f>
        <v/>
      </c>
      <c r="X6234" s="16" t="str">
        <f>IFERROR(__xludf.DUMMYFUNCTION("""COMPUTED_VALUE"""),"")</f>
        <v/>
      </c>
      <c r="AC6234" s="16" t="str">
        <f>IFERROR(__xludf.DUMMYFUNCTION("""COMPUTED_VALUE"""),"")</f>
        <v/>
      </c>
    </row>
    <row r="6235">
      <c r="A6235" s="16" t="s">
        <v>87</v>
      </c>
      <c r="E6235" s="16" t="str">
        <f>IFERROR(__xludf.DUMMYFUNCTION("""COMPUTED_VALUE"""),"")</f>
        <v/>
      </c>
      <c r="G6235" s="18"/>
      <c r="H6235" s="16" t="s">
        <v>87</v>
      </c>
      <c r="I6235" s="16" t="s">
        <v>87</v>
      </c>
      <c r="J6235" s="19"/>
      <c r="L6235" s="16" t="str">
        <f>IFERROR(__xludf.DUMMYFUNCTION("""COMPUTED_VALUE"""),"")</f>
        <v/>
      </c>
      <c r="M6235" s="16" t="str">
        <f>IFERROR(__xludf.DUMMYFUNCTION("""COMPUTED_VALUE"""),"")</f>
        <v/>
      </c>
      <c r="U6235" s="16" t="s">
        <v>87</v>
      </c>
      <c r="V6235" s="16" t="str">
        <f>IFERROR(__xludf.DUMMYFUNCTION("""COMPUTED_VALUE"""),"")</f>
        <v/>
      </c>
      <c r="W6235" s="16" t="str">
        <f>IFERROR(__xludf.DUMMYFUNCTION("""COMPUTED_VALUE"""),"")</f>
        <v/>
      </c>
      <c r="X6235" s="16" t="str">
        <f>IFERROR(__xludf.DUMMYFUNCTION("""COMPUTED_VALUE"""),"")</f>
        <v/>
      </c>
      <c r="AC6235" s="16" t="str">
        <f>IFERROR(__xludf.DUMMYFUNCTION("""COMPUTED_VALUE"""),"")</f>
        <v/>
      </c>
    </row>
    <row r="6236">
      <c r="A6236" s="16" t="s">
        <v>87</v>
      </c>
      <c r="E6236" s="16" t="str">
        <f>IFERROR(__xludf.DUMMYFUNCTION("""COMPUTED_VALUE"""),"")</f>
        <v/>
      </c>
      <c r="G6236" s="18"/>
      <c r="H6236" s="16" t="s">
        <v>87</v>
      </c>
      <c r="I6236" s="16" t="s">
        <v>87</v>
      </c>
      <c r="J6236" s="19"/>
      <c r="L6236" s="16" t="str">
        <f>IFERROR(__xludf.DUMMYFUNCTION("""COMPUTED_VALUE"""),"")</f>
        <v/>
      </c>
      <c r="M6236" s="16" t="str">
        <f>IFERROR(__xludf.DUMMYFUNCTION("""COMPUTED_VALUE"""),"")</f>
        <v/>
      </c>
      <c r="U6236" s="16" t="s">
        <v>87</v>
      </c>
      <c r="V6236" s="16" t="str">
        <f>IFERROR(__xludf.DUMMYFUNCTION("""COMPUTED_VALUE"""),"")</f>
        <v/>
      </c>
      <c r="W6236" s="16" t="str">
        <f>IFERROR(__xludf.DUMMYFUNCTION("""COMPUTED_VALUE"""),"")</f>
        <v/>
      </c>
      <c r="X6236" s="16" t="str">
        <f>IFERROR(__xludf.DUMMYFUNCTION("""COMPUTED_VALUE"""),"")</f>
        <v/>
      </c>
      <c r="AC6236" s="16" t="str">
        <f>IFERROR(__xludf.DUMMYFUNCTION("""COMPUTED_VALUE"""),"")</f>
        <v/>
      </c>
    </row>
    <row r="6237">
      <c r="A6237" s="16" t="s">
        <v>87</v>
      </c>
      <c r="E6237" s="16" t="str">
        <f>IFERROR(__xludf.DUMMYFUNCTION("""COMPUTED_VALUE"""),"")</f>
        <v/>
      </c>
      <c r="G6237" s="18"/>
      <c r="H6237" s="16" t="s">
        <v>87</v>
      </c>
      <c r="I6237" s="16" t="s">
        <v>87</v>
      </c>
      <c r="J6237" s="19"/>
      <c r="L6237" s="16" t="str">
        <f>IFERROR(__xludf.DUMMYFUNCTION("""COMPUTED_VALUE"""),"")</f>
        <v/>
      </c>
      <c r="M6237" s="16" t="str">
        <f>IFERROR(__xludf.DUMMYFUNCTION("""COMPUTED_VALUE"""),"")</f>
        <v/>
      </c>
      <c r="U6237" s="16" t="s">
        <v>87</v>
      </c>
      <c r="V6237" s="16" t="str">
        <f>IFERROR(__xludf.DUMMYFUNCTION("""COMPUTED_VALUE"""),"")</f>
        <v/>
      </c>
      <c r="W6237" s="16" t="str">
        <f>IFERROR(__xludf.DUMMYFUNCTION("""COMPUTED_VALUE"""),"")</f>
        <v/>
      </c>
      <c r="X6237" s="16" t="str">
        <f>IFERROR(__xludf.DUMMYFUNCTION("""COMPUTED_VALUE"""),"")</f>
        <v/>
      </c>
      <c r="AC6237" s="16" t="str">
        <f>IFERROR(__xludf.DUMMYFUNCTION("""COMPUTED_VALUE"""),"")</f>
        <v/>
      </c>
    </row>
    <row r="6238">
      <c r="A6238" s="16" t="s">
        <v>87</v>
      </c>
      <c r="E6238" s="16" t="str">
        <f>IFERROR(__xludf.DUMMYFUNCTION("""COMPUTED_VALUE"""),"")</f>
        <v/>
      </c>
      <c r="G6238" s="18"/>
      <c r="H6238" s="16" t="s">
        <v>87</v>
      </c>
      <c r="I6238" s="16" t="s">
        <v>87</v>
      </c>
      <c r="J6238" s="19"/>
      <c r="L6238" s="16" t="str">
        <f>IFERROR(__xludf.DUMMYFUNCTION("""COMPUTED_VALUE"""),"")</f>
        <v/>
      </c>
      <c r="M6238" s="16" t="str">
        <f>IFERROR(__xludf.DUMMYFUNCTION("""COMPUTED_VALUE"""),"")</f>
        <v/>
      </c>
      <c r="U6238" s="16" t="s">
        <v>87</v>
      </c>
      <c r="V6238" s="16" t="str">
        <f>IFERROR(__xludf.DUMMYFUNCTION("""COMPUTED_VALUE"""),"")</f>
        <v/>
      </c>
      <c r="W6238" s="16" t="str">
        <f>IFERROR(__xludf.DUMMYFUNCTION("""COMPUTED_VALUE"""),"")</f>
        <v/>
      </c>
      <c r="X6238" s="16" t="str">
        <f>IFERROR(__xludf.DUMMYFUNCTION("""COMPUTED_VALUE"""),"")</f>
        <v/>
      </c>
      <c r="AC6238" s="16" t="str">
        <f>IFERROR(__xludf.DUMMYFUNCTION("""COMPUTED_VALUE"""),"")</f>
        <v/>
      </c>
    </row>
    <row r="6239">
      <c r="A6239" s="16" t="s">
        <v>87</v>
      </c>
      <c r="E6239" s="16" t="str">
        <f>IFERROR(__xludf.DUMMYFUNCTION("""COMPUTED_VALUE"""),"")</f>
        <v/>
      </c>
      <c r="G6239" s="18"/>
      <c r="H6239" s="16" t="s">
        <v>87</v>
      </c>
      <c r="I6239" s="16" t="s">
        <v>87</v>
      </c>
      <c r="J6239" s="19"/>
      <c r="L6239" s="16" t="str">
        <f>IFERROR(__xludf.DUMMYFUNCTION("""COMPUTED_VALUE"""),"")</f>
        <v/>
      </c>
      <c r="M6239" s="16" t="str">
        <f>IFERROR(__xludf.DUMMYFUNCTION("""COMPUTED_VALUE"""),"")</f>
        <v/>
      </c>
      <c r="U6239" s="16" t="s">
        <v>87</v>
      </c>
      <c r="V6239" s="16" t="str">
        <f>IFERROR(__xludf.DUMMYFUNCTION("""COMPUTED_VALUE"""),"")</f>
        <v/>
      </c>
      <c r="W6239" s="16" t="str">
        <f>IFERROR(__xludf.DUMMYFUNCTION("""COMPUTED_VALUE"""),"")</f>
        <v/>
      </c>
      <c r="X6239" s="16" t="str">
        <f>IFERROR(__xludf.DUMMYFUNCTION("""COMPUTED_VALUE"""),"")</f>
        <v/>
      </c>
      <c r="AC6239" s="16" t="str">
        <f>IFERROR(__xludf.DUMMYFUNCTION("""COMPUTED_VALUE"""),"")</f>
        <v/>
      </c>
    </row>
    <row r="6240">
      <c r="A6240" s="16" t="s">
        <v>87</v>
      </c>
      <c r="E6240" s="16" t="str">
        <f>IFERROR(__xludf.DUMMYFUNCTION("""COMPUTED_VALUE"""),"")</f>
        <v/>
      </c>
      <c r="G6240" s="18"/>
      <c r="H6240" s="16" t="s">
        <v>87</v>
      </c>
      <c r="I6240" s="16" t="s">
        <v>87</v>
      </c>
      <c r="J6240" s="19"/>
      <c r="L6240" s="16" t="str">
        <f>IFERROR(__xludf.DUMMYFUNCTION("""COMPUTED_VALUE"""),"")</f>
        <v/>
      </c>
      <c r="M6240" s="16" t="str">
        <f>IFERROR(__xludf.DUMMYFUNCTION("""COMPUTED_VALUE"""),"")</f>
        <v/>
      </c>
      <c r="U6240" s="16" t="s">
        <v>87</v>
      </c>
      <c r="V6240" s="16" t="str">
        <f>IFERROR(__xludf.DUMMYFUNCTION("""COMPUTED_VALUE"""),"")</f>
        <v/>
      </c>
      <c r="W6240" s="16" t="str">
        <f>IFERROR(__xludf.DUMMYFUNCTION("""COMPUTED_VALUE"""),"")</f>
        <v/>
      </c>
      <c r="X6240" s="16" t="str">
        <f>IFERROR(__xludf.DUMMYFUNCTION("""COMPUTED_VALUE"""),"")</f>
        <v/>
      </c>
      <c r="AC6240" s="16" t="str">
        <f>IFERROR(__xludf.DUMMYFUNCTION("""COMPUTED_VALUE"""),"")</f>
        <v/>
      </c>
    </row>
    <row r="6241">
      <c r="A6241" s="16" t="s">
        <v>87</v>
      </c>
      <c r="E6241" s="16" t="str">
        <f>IFERROR(__xludf.DUMMYFUNCTION("""COMPUTED_VALUE"""),"")</f>
        <v/>
      </c>
      <c r="G6241" s="18"/>
      <c r="H6241" s="16" t="s">
        <v>87</v>
      </c>
      <c r="I6241" s="16" t="s">
        <v>87</v>
      </c>
      <c r="J6241" s="19"/>
      <c r="L6241" s="16" t="str">
        <f>IFERROR(__xludf.DUMMYFUNCTION("""COMPUTED_VALUE"""),"")</f>
        <v/>
      </c>
      <c r="M6241" s="16" t="str">
        <f>IFERROR(__xludf.DUMMYFUNCTION("""COMPUTED_VALUE"""),"")</f>
        <v/>
      </c>
      <c r="U6241" s="16" t="s">
        <v>87</v>
      </c>
      <c r="V6241" s="16" t="str">
        <f>IFERROR(__xludf.DUMMYFUNCTION("""COMPUTED_VALUE"""),"")</f>
        <v/>
      </c>
      <c r="W6241" s="16" t="str">
        <f>IFERROR(__xludf.DUMMYFUNCTION("""COMPUTED_VALUE"""),"")</f>
        <v/>
      </c>
      <c r="X6241" s="16" t="str">
        <f>IFERROR(__xludf.DUMMYFUNCTION("""COMPUTED_VALUE"""),"")</f>
        <v/>
      </c>
      <c r="AC6241" s="16" t="str">
        <f>IFERROR(__xludf.DUMMYFUNCTION("""COMPUTED_VALUE"""),"")</f>
        <v/>
      </c>
    </row>
    <row r="6242">
      <c r="A6242" s="16" t="s">
        <v>87</v>
      </c>
      <c r="E6242" s="16" t="str">
        <f>IFERROR(__xludf.DUMMYFUNCTION("""COMPUTED_VALUE"""),"")</f>
        <v/>
      </c>
      <c r="G6242" s="18"/>
      <c r="H6242" s="16" t="s">
        <v>87</v>
      </c>
      <c r="I6242" s="16" t="s">
        <v>87</v>
      </c>
      <c r="J6242" s="19"/>
      <c r="L6242" s="16" t="str">
        <f>IFERROR(__xludf.DUMMYFUNCTION("""COMPUTED_VALUE"""),"")</f>
        <v/>
      </c>
      <c r="M6242" s="16" t="str">
        <f>IFERROR(__xludf.DUMMYFUNCTION("""COMPUTED_VALUE"""),"")</f>
        <v/>
      </c>
      <c r="U6242" s="16" t="s">
        <v>87</v>
      </c>
      <c r="V6242" s="16" t="str">
        <f>IFERROR(__xludf.DUMMYFUNCTION("""COMPUTED_VALUE"""),"")</f>
        <v/>
      </c>
      <c r="W6242" s="16" t="str">
        <f>IFERROR(__xludf.DUMMYFUNCTION("""COMPUTED_VALUE"""),"")</f>
        <v/>
      </c>
      <c r="X6242" s="16" t="str">
        <f>IFERROR(__xludf.DUMMYFUNCTION("""COMPUTED_VALUE"""),"")</f>
        <v/>
      </c>
      <c r="AC6242" s="16" t="str">
        <f>IFERROR(__xludf.DUMMYFUNCTION("""COMPUTED_VALUE"""),"")</f>
        <v/>
      </c>
    </row>
    <row r="6243">
      <c r="A6243" s="16" t="s">
        <v>87</v>
      </c>
      <c r="E6243" s="16" t="str">
        <f>IFERROR(__xludf.DUMMYFUNCTION("""COMPUTED_VALUE"""),"")</f>
        <v/>
      </c>
      <c r="G6243" s="18"/>
      <c r="H6243" s="16" t="s">
        <v>87</v>
      </c>
      <c r="I6243" s="16" t="s">
        <v>87</v>
      </c>
      <c r="J6243" s="19"/>
      <c r="L6243" s="16" t="str">
        <f>IFERROR(__xludf.DUMMYFUNCTION("""COMPUTED_VALUE"""),"")</f>
        <v/>
      </c>
      <c r="M6243" s="16" t="str">
        <f>IFERROR(__xludf.DUMMYFUNCTION("""COMPUTED_VALUE"""),"")</f>
        <v/>
      </c>
      <c r="U6243" s="16" t="s">
        <v>87</v>
      </c>
      <c r="V6243" s="16" t="str">
        <f>IFERROR(__xludf.DUMMYFUNCTION("""COMPUTED_VALUE"""),"")</f>
        <v/>
      </c>
      <c r="W6243" s="16" t="str">
        <f>IFERROR(__xludf.DUMMYFUNCTION("""COMPUTED_VALUE"""),"")</f>
        <v/>
      </c>
      <c r="X6243" s="16" t="str">
        <f>IFERROR(__xludf.DUMMYFUNCTION("""COMPUTED_VALUE"""),"")</f>
        <v/>
      </c>
      <c r="AC6243" s="16" t="str">
        <f>IFERROR(__xludf.DUMMYFUNCTION("""COMPUTED_VALUE"""),"")</f>
        <v/>
      </c>
    </row>
    <row r="6244">
      <c r="A6244" s="16" t="s">
        <v>87</v>
      </c>
      <c r="E6244" s="16" t="str">
        <f>IFERROR(__xludf.DUMMYFUNCTION("""COMPUTED_VALUE"""),"")</f>
        <v/>
      </c>
      <c r="G6244" s="18"/>
      <c r="H6244" s="16" t="s">
        <v>87</v>
      </c>
      <c r="I6244" s="16" t="s">
        <v>87</v>
      </c>
      <c r="J6244" s="19"/>
      <c r="L6244" s="16" t="str">
        <f>IFERROR(__xludf.DUMMYFUNCTION("""COMPUTED_VALUE"""),"")</f>
        <v/>
      </c>
      <c r="M6244" s="16" t="str">
        <f>IFERROR(__xludf.DUMMYFUNCTION("""COMPUTED_VALUE"""),"")</f>
        <v/>
      </c>
      <c r="U6244" s="16" t="s">
        <v>87</v>
      </c>
      <c r="V6244" s="16" t="str">
        <f>IFERROR(__xludf.DUMMYFUNCTION("""COMPUTED_VALUE"""),"")</f>
        <v/>
      </c>
      <c r="W6244" s="16" t="str">
        <f>IFERROR(__xludf.DUMMYFUNCTION("""COMPUTED_VALUE"""),"")</f>
        <v/>
      </c>
      <c r="X6244" s="16" t="str">
        <f>IFERROR(__xludf.DUMMYFUNCTION("""COMPUTED_VALUE"""),"")</f>
        <v/>
      </c>
      <c r="AC6244" s="16" t="str">
        <f>IFERROR(__xludf.DUMMYFUNCTION("""COMPUTED_VALUE"""),"")</f>
        <v/>
      </c>
    </row>
    <row r="6245">
      <c r="A6245" s="16" t="s">
        <v>87</v>
      </c>
      <c r="E6245" s="16" t="str">
        <f>IFERROR(__xludf.DUMMYFUNCTION("""COMPUTED_VALUE"""),"")</f>
        <v/>
      </c>
      <c r="G6245" s="18"/>
      <c r="H6245" s="16" t="s">
        <v>87</v>
      </c>
      <c r="I6245" s="16" t="s">
        <v>87</v>
      </c>
      <c r="J6245" s="19"/>
      <c r="L6245" s="16" t="str">
        <f>IFERROR(__xludf.DUMMYFUNCTION("""COMPUTED_VALUE"""),"")</f>
        <v/>
      </c>
      <c r="M6245" s="16" t="str">
        <f>IFERROR(__xludf.DUMMYFUNCTION("""COMPUTED_VALUE"""),"")</f>
        <v/>
      </c>
      <c r="U6245" s="16" t="s">
        <v>87</v>
      </c>
      <c r="V6245" s="16" t="str">
        <f>IFERROR(__xludf.DUMMYFUNCTION("""COMPUTED_VALUE"""),"")</f>
        <v/>
      </c>
      <c r="W6245" s="16" t="str">
        <f>IFERROR(__xludf.DUMMYFUNCTION("""COMPUTED_VALUE"""),"")</f>
        <v/>
      </c>
      <c r="X6245" s="16" t="str">
        <f>IFERROR(__xludf.DUMMYFUNCTION("""COMPUTED_VALUE"""),"")</f>
        <v/>
      </c>
      <c r="AC6245" s="16" t="str">
        <f>IFERROR(__xludf.DUMMYFUNCTION("""COMPUTED_VALUE"""),"")</f>
        <v/>
      </c>
    </row>
    <row r="6246">
      <c r="A6246" s="16" t="s">
        <v>87</v>
      </c>
      <c r="E6246" s="16" t="str">
        <f>IFERROR(__xludf.DUMMYFUNCTION("""COMPUTED_VALUE"""),"")</f>
        <v/>
      </c>
      <c r="G6246" s="18"/>
      <c r="H6246" s="16" t="s">
        <v>87</v>
      </c>
      <c r="I6246" s="16" t="s">
        <v>87</v>
      </c>
      <c r="J6246" s="19"/>
      <c r="L6246" s="16" t="str">
        <f>IFERROR(__xludf.DUMMYFUNCTION("""COMPUTED_VALUE"""),"")</f>
        <v/>
      </c>
      <c r="M6246" s="16" t="str">
        <f>IFERROR(__xludf.DUMMYFUNCTION("""COMPUTED_VALUE"""),"")</f>
        <v/>
      </c>
      <c r="U6246" s="16" t="s">
        <v>87</v>
      </c>
      <c r="V6246" s="16" t="str">
        <f>IFERROR(__xludf.DUMMYFUNCTION("""COMPUTED_VALUE"""),"")</f>
        <v/>
      </c>
      <c r="W6246" s="16" t="str">
        <f>IFERROR(__xludf.DUMMYFUNCTION("""COMPUTED_VALUE"""),"")</f>
        <v/>
      </c>
      <c r="X6246" s="16" t="str">
        <f>IFERROR(__xludf.DUMMYFUNCTION("""COMPUTED_VALUE"""),"")</f>
        <v/>
      </c>
      <c r="AC6246" s="16" t="str">
        <f>IFERROR(__xludf.DUMMYFUNCTION("""COMPUTED_VALUE"""),"")</f>
        <v/>
      </c>
    </row>
    <row r="6247">
      <c r="A6247" s="16" t="s">
        <v>87</v>
      </c>
      <c r="E6247" s="16" t="str">
        <f>IFERROR(__xludf.DUMMYFUNCTION("""COMPUTED_VALUE"""),"")</f>
        <v/>
      </c>
      <c r="G6247" s="18"/>
      <c r="H6247" s="16" t="s">
        <v>87</v>
      </c>
      <c r="I6247" s="16" t="s">
        <v>87</v>
      </c>
      <c r="J6247" s="19"/>
      <c r="L6247" s="16" t="str">
        <f>IFERROR(__xludf.DUMMYFUNCTION("""COMPUTED_VALUE"""),"")</f>
        <v/>
      </c>
      <c r="M6247" s="16" t="str">
        <f>IFERROR(__xludf.DUMMYFUNCTION("""COMPUTED_VALUE"""),"")</f>
        <v/>
      </c>
      <c r="U6247" s="16" t="s">
        <v>87</v>
      </c>
      <c r="V6247" s="16" t="str">
        <f>IFERROR(__xludf.DUMMYFUNCTION("""COMPUTED_VALUE"""),"")</f>
        <v/>
      </c>
      <c r="W6247" s="16" t="str">
        <f>IFERROR(__xludf.DUMMYFUNCTION("""COMPUTED_VALUE"""),"")</f>
        <v/>
      </c>
      <c r="X6247" s="16" t="str">
        <f>IFERROR(__xludf.DUMMYFUNCTION("""COMPUTED_VALUE"""),"")</f>
        <v/>
      </c>
      <c r="AC6247" s="16" t="str">
        <f>IFERROR(__xludf.DUMMYFUNCTION("""COMPUTED_VALUE"""),"")</f>
        <v/>
      </c>
    </row>
    <row r="6248">
      <c r="A6248" s="16" t="s">
        <v>87</v>
      </c>
      <c r="E6248" s="16" t="str">
        <f>IFERROR(__xludf.DUMMYFUNCTION("""COMPUTED_VALUE"""),"")</f>
        <v/>
      </c>
      <c r="G6248" s="18"/>
      <c r="H6248" s="16" t="s">
        <v>87</v>
      </c>
      <c r="I6248" s="16" t="s">
        <v>87</v>
      </c>
      <c r="J6248" s="19"/>
      <c r="L6248" s="16" t="str">
        <f>IFERROR(__xludf.DUMMYFUNCTION("""COMPUTED_VALUE"""),"")</f>
        <v/>
      </c>
      <c r="M6248" s="16" t="str">
        <f>IFERROR(__xludf.DUMMYFUNCTION("""COMPUTED_VALUE"""),"")</f>
        <v/>
      </c>
      <c r="U6248" s="16" t="s">
        <v>87</v>
      </c>
      <c r="V6248" s="16" t="str">
        <f>IFERROR(__xludf.DUMMYFUNCTION("""COMPUTED_VALUE"""),"")</f>
        <v/>
      </c>
      <c r="W6248" s="16" t="str">
        <f>IFERROR(__xludf.DUMMYFUNCTION("""COMPUTED_VALUE"""),"")</f>
        <v/>
      </c>
      <c r="X6248" s="16" t="str">
        <f>IFERROR(__xludf.DUMMYFUNCTION("""COMPUTED_VALUE"""),"")</f>
        <v/>
      </c>
      <c r="AC6248" s="16" t="str">
        <f>IFERROR(__xludf.DUMMYFUNCTION("""COMPUTED_VALUE"""),"")</f>
        <v/>
      </c>
    </row>
    <row r="6249">
      <c r="A6249" s="16" t="s">
        <v>87</v>
      </c>
      <c r="E6249" s="16" t="str">
        <f>IFERROR(__xludf.DUMMYFUNCTION("""COMPUTED_VALUE"""),"")</f>
        <v/>
      </c>
      <c r="G6249" s="18"/>
      <c r="H6249" s="16" t="s">
        <v>87</v>
      </c>
      <c r="I6249" s="16" t="s">
        <v>87</v>
      </c>
      <c r="J6249" s="19"/>
      <c r="L6249" s="16" t="str">
        <f>IFERROR(__xludf.DUMMYFUNCTION("""COMPUTED_VALUE"""),"")</f>
        <v/>
      </c>
      <c r="M6249" s="16" t="str">
        <f>IFERROR(__xludf.DUMMYFUNCTION("""COMPUTED_VALUE"""),"")</f>
        <v/>
      </c>
      <c r="U6249" s="16" t="s">
        <v>87</v>
      </c>
      <c r="V6249" s="16" t="str">
        <f>IFERROR(__xludf.DUMMYFUNCTION("""COMPUTED_VALUE"""),"")</f>
        <v/>
      </c>
      <c r="W6249" s="16" t="str">
        <f>IFERROR(__xludf.DUMMYFUNCTION("""COMPUTED_VALUE"""),"")</f>
        <v/>
      </c>
      <c r="X6249" s="16" t="str">
        <f>IFERROR(__xludf.DUMMYFUNCTION("""COMPUTED_VALUE"""),"")</f>
        <v/>
      </c>
      <c r="AC6249" s="16" t="str">
        <f>IFERROR(__xludf.DUMMYFUNCTION("""COMPUTED_VALUE"""),"")</f>
        <v/>
      </c>
    </row>
    <row r="6250">
      <c r="A6250" s="16" t="s">
        <v>87</v>
      </c>
      <c r="E6250" s="16" t="str">
        <f>IFERROR(__xludf.DUMMYFUNCTION("""COMPUTED_VALUE"""),"")</f>
        <v/>
      </c>
      <c r="G6250" s="18"/>
      <c r="H6250" s="16" t="s">
        <v>87</v>
      </c>
      <c r="I6250" s="16" t="s">
        <v>87</v>
      </c>
      <c r="J6250" s="19"/>
      <c r="L6250" s="16" t="str">
        <f>IFERROR(__xludf.DUMMYFUNCTION("""COMPUTED_VALUE"""),"")</f>
        <v/>
      </c>
      <c r="M6250" s="16" t="str">
        <f>IFERROR(__xludf.DUMMYFUNCTION("""COMPUTED_VALUE"""),"")</f>
        <v/>
      </c>
      <c r="U6250" s="16" t="s">
        <v>87</v>
      </c>
      <c r="V6250" s="16" t="str">
        <f>IFERROR(__xludf.DUMMYFUNCTION("""COMPUTED_VALUE"""),"")</f>
        <v/>
      </c>
      <c r="W6250" s="16" t="str">
        <f>IFERROR(__xludf.DUMMYFUNCTION("""COMPUTED_VALUE"""),"")</f>
        <v/>
      </c>
      <c r="X6250" s="16" t="str">
        <f>IFERROR(__xludf.DUMMYFUNCTION("""COMPUTED_VALUE"""),"")</f>
        <v/>
      </c>
      <c r="AC6250" s="16" t="str">
        <f>IFERROR(__xludf.DUMMYFUNCTION("""COMPUTED_VALUE"""),"")</f>
        <v/>
      </c>
    </row>
    <row r="6251">
      <c r="A6251" s="16" t="s">
        <v>87</v>
      </c>
      <c r="E6251" s="16" t="str">
        <f>IFERROR(__xludf.DUMMYFUNCTION("""COMPUTED_VALUE"""),"")</f>
        <v/>
      </c>
      <c r="G6251" s="18"/>
      <c r="H6251" s="16" t="s">
        <v>87</v>
      </c>
      <c r="I6251" s="16" t="s">
        <v>87</v>
      </c>
      <c r="J6251" s="19"/>
      <c r="L6251" s="16" t="str">
        <f>IFERROR(__xludf.DUMMYFUNCTION("""COMPUTED_VALUE"""),"")</f>
        <v/>
      </c>
      <c r="M6251" s="16" t="str">
        <f>IFERROR(__xludf.DUMMYFUNCTION("""COMPUTED_VALUE"""),"")</f>
        <v/>
      </c>
      <c r="U6251" s="16" t="s">
        <v>87</v>
      </c>
      <c r="V6251" s="16" t="str">
        <f>IFERROR(__xludf.DUMMYFUNCTION("""COMPUTED_VALUE"""),"")</f>
        <v/>
      </c>
      <c r="W6251" s="16" t="str">
        <f>IFERROR(__xludf.DUMMYFUNCTION("""COMPUTED_VALUE"""),"")</f>
        <v/>
      </c>
      <c r="X6251" s="16" t="str">
        <f>IFERROR(__xludf.DUMMYFUNCTION("""COMPUTED_VALUE"""),"")</f>
        <v/>
      </c>
      <c r="AC6251" s="16" t="str">
        <f>IFERROR(__xludf.DUMMYFUNCTION("""COMPUTED_VALUE"""),"")</f>
        <v/>
      </c>
    </row>
    <row r="6252">
      <c r="A6252" s="16" t="s">
        <v>87</v>
      </c>
      <c r="E6252" s="16" t="str">
        <f>IFERROR(__xludf.DUMMYFUNCTION("""COMPUTED_VALUE"""),"")</f>
        <v/>
      </c>
      <c r="G6252" s="18"/>
      <c r="H6252" s="16" t="s">
        <v>87</v>
      </c>
      <c r="I6252" s="16" t="s">
        <v>87</v>
      </c>
      <c r="J6252" s="19"/>
      <c r="L6252" s="16" t="str">
        <f>IFERROR(__xludf.DUMMYFUNCTION("""COMPUTED_VALUE"""),"")</f>
        <v/>
      </c>
      <c r="M6252" s="16" t="str">
        <f>IFERROR(__xludf.DUMMYFUNCTION("""COMPUTED_VALUE"""),"")</f>
        <v/>
      </c>
      <c r="U6252" s="16" t="s">
        <v>87</v>
      </c>
      <c r="V6252" s="16" t="str">
        <f>IFERROR(__xludf.DUMMYFUNCTION("""COMPUTED_VALUE"""),"")</f>
        <v/>
      </c>
      <c r="W6252" s="16" t="str">
        <f>IFERROR(__xludf.DUMMYFUNCTION("""COMPUTED_VALUE"""),"")</f>
        <v/>
      </c>
      <c r="X6252" s="16" t="str">
        <f>IFERROR(__xludf.DUMMYFUNCTION("""COMPUTED_VALUE"""),"")</f>
        <v/>
      </c>
      <c r="AC6252" s="16" t="str">
        <f>IFERROR(__xludf.DUMMYFUNCTION("""COMPUTED_VALUE"""),"")</f>
        <v/>
      </c>
    </row>
    <row r="6253">
      <c r="A6253" s="16" t="s">
        <v>87</v>
      </c>
      <c r="E6253" s="16" t="str">
        <f>IFERROR(__xludf.DUMMYFUNCTION("""COMPUTED_VALUE"""),"")</f>
        <v/>
      </c>
      <c r="G6253" s="18"/>
      <c r="H6253" s="16" t="s">
        <v>87</v>
      </c>
      <c r="I6253" s="16" t="s">
        <v>87</v>
      </c>
      <c r="J6253" s="19"/>
      <c r="L6253" s="16" t="str">
        <f>IFERROR(__xludf.DUMMYFUNCTION("""COMPUTED_VALUE"""),"")</f>
        <v/>
      </c>
      <c r="M6253" s="16" t="str">
        <f>IFERROR(__xludf.DUMMYFUNCTION("""COMPUTED_VALUE"""),"")</f>
        <v/>
      </c>
      <c r="U6253" s="16" t="s">
        <v>87</v>
      </c>
      <c r="V6253" s="16" t="str">
        <f>IFERROR(__xludf.DUMMYFUNCTION("""COMPUTED_VALUE"""),"")</f>
        <v/>
      </c>
      <c r="W6253" s="16" t="str">
        <f>IFERROR(__xludf.DUMMYFUNCTION("""COMPUTED_VALUE"""),"")</f>
        <v/>
      </c>
      <c r="X6253" s="16" t="str">
        <f>IFERROR(__xludf.DUMMYFUNCTION("""COMPUTED_VALUE"""),"")</f>
        <v/>
      </c>
      <c r="AC6253" s="16" t="str">
        <f>IFERROR(__xludf.DUMMYFUNCTION("""COMPUTED_VALUE"""),"")</f>
        <v/>
      </c>
    </row>
    <row r="6254">
      <c r="A6254" s="16" t="s">
        <v>87</v>
      </c>
      <c r="E6254" s="16" t="str">
        <f>IFERROR(__xludf.DUMMYFUNCTION("""COMPUTED_VALUE"""),"")</f>
        <v/>
      </c>
      <c r="G6254" s="18"/>
      <c r="H6254" s="16" t="s">
        <v>87</v>
      </c>
      <c r="I6254" s="16" t="s">
        <v>87</v>
      </c>
      <c r="J6254" s="19"/>
      <c r="L6254" s="16" t="str">
        <f>IFERROR(__xludf.DUMMYFUNCTION("""COMPUTED_VALUE"""),"")</f>
        <v/>
      </c>
      <c r="M6254" s="16" t="str">
        <f>IFERROR(__xludf.DUMMYFUNCTION("""COMPUTED_VALUE"""),"")</f>
        <v/>
      </c>
      <c r="U6254" s="16" t="s">
        <v>87</v>
      </c>
      <c r="V6254" s="16" t="str">
        <f>IFERROR(__xludf.DUMMYFUNCTION("""COMPUTED_VALUE"""),"")</f>
        <v/>
      </c>
      <c r="W6254" s="16" t="str">
        <f>IFERROR(__xludf.DUMMYFUNCTION("""COMPUTED_VALUE"""),"")</f>
        <v/>
      </c>
      <c r="X6254" s="16" t="str">
        <f>IFERROR(__xludf.DUMMYFUNCTION("""COMPUTED_VALUE"""),"")</f>
        <v/>
      </c>
      <c r="AC6254" s="16" t="str">
        <f>IFERROR(__xludf.DUMMYFUNCTION("""COMPUTED_VALUE"""),"")</f>
        <v/>
      </c>
    </row>
    <row r="6255">
      <c r="A6255" s="16" t="s">
        <v>87</v>
      </c>
      <c r="E6255" s="16" t="str">
        <f>IFERROR(__xludf.DUMMYFUNCTION("""COMPUTED_VALUE"""),"")</f>
        <v/>
      </c>
      <c r="G6255" s="18"/>
      <c r="H6255" s="16" t="s">
        <v>87</v>
      </c>
      <c r="I6255" s="16" t="s">
        <v>87</v>
      </c>
      <c r="J6255" s="19"/>
      <c r="L6255" s="16" t="str">
        <f>IFERROR(__xludf.DUMMYFUNCTION("""COMPUTED_VALUE"""),"")</f>
        <v/>
      </c>
      <c r="M6255" s="16" t="str">
        <f>IFERROR(__xludf.DUMMYFUNCTION("""COMPUTED_VALUE"""),"")</f>
        <v/>
      </c>
      <c r="U6255" s="16" t="s">
        <v>87</v>
      </c>
      <c r="V6255" s="16" t="str">
        <f>IFERROR(__xludf.DUMMYFUNCTION("""COMPUTED_VALUE"""),"")</f>
        <v/>
      </c>
      <c r="W6255" s="16" t="str">
        <f>IFERROR(__xludf.DUMMYFUNCTION("""COMPUTED_VALUE"""),"")</f>
        <v/>
      </c>
      <c r="X6255" s="16" t="str">
        <f>IFERROR(__xludf.DUMMYFUNCTION("""COMPUTED_VALUE"""),"")</f>
        <v/>
      </c>
      <c r="AC6255" s="16" t="str">
        <f>IFERROR(__xludf.DUMMYFUNCTION("""COMPUTED_VALUE"""),"")</f>
        <v/>
      </c>
    </row>
    <row r="6256">
      <c r="A6256" s="16" t="s">
        <v>87</v>
      </c>
      <c r="E6256" s="16" t="str">
        <f>IFERROR(__xludf.DUMMYFUNCTION("""COMPUTED_VALUE"""),"")</f>
        <v/>
      </c>
      <c r="G6256" s="18"/>
      <c r="H6256" s="16" t="s">
        <v>87</v>
      </c>
      <c r="I6256" s="16" t="s">
        <v>87</v>
      </c>
      <c r="J6256" s="19"/>
      <c r="L6256" s="16" t="str">
        <f>IFERROR(__xludf.DUMMYFUNCTION("""COMPUTED_VALUE"""),"")</f>
        <v/>
      </c>
      <c r="M6256" s="16" t="str">
        <f>IFERROR(__xludf.DUMMYFUNCTION("""COMPUTED_VALUE"""),"")</f>
        <v/>
      </c>
      <c r="U6256" s="16" t="s">
        <v>87</v>
      </c>
      <c r="V6256" s="16" t="str">
        <f>IFERROR(__xludf.DUMMYFUNCTION("""COMPUTED_VALUE"""),"")</f>
        <v/>
      </c>
      <c r="W6256" s="16" t="str">
        <f>IFERROR(__xludf.DUMMYFUNCTION("""COMPUTED_VALUE"""),"")</f>
        <v/>
      </c>
      <c r="X6256" s="16" t="str">
        <f>IFERROR(__xludf.DUMMYFUNCTION("""COMPUTED_VALUE"""),"")</f>
        <v/>
      </c>
      <c r="AC6256" s="16" t="str">
        <f>IFERROR(__xludf.DUMMYFUNCTION("""COMPUTED_VALUE"""),"")</f>
        <v/>
      </c>
    </row>
    <row r="6257">
      <c r="A6257" s="16" t="s">
        <v>87</v>
      </c>
      <c r="E6257" s="16" t="str">
        <f>IFERROR(__xludf.DUMMYFUNCTION("""COMPUTED_VALUE"""),"")</f>
        <v/>
      </c>
      <c r="G6257" s="18"/>
      <c r="H6257" s="16" t="s">
        <v>87</v>
      </c>
      <c r="I6257" s="16" t="s">
        <v>87</v>
      </c>
      <c r="J6257" s="19"/>
      <c r="L6257" s="16" t="str">
        <f>IFERROR(__xludf.DUMMYFUNCTION("""COMPUTED_VALUE"""),"")</f>
        <v/>
      </c>
      <c r="M6257" s="16" t="str">
        <f>IFERROR(__xludf.DUMMYFUNCTION("""COMPUTED_VALUE"""),"")</f>
        <v/>
      </c>
      <c r="U6257" s="16" t="s">
        <v>87</v>
      </c>
      <c r="V6257" s="16" t="str">
        <f>IFERROR(__xludf.DUMMYFUNCTION("""COMPUTED_VALUE"""),"")</f>
        <v/>
      </c>
      <c r="W6257" s="16" t="str">
        <f>IFERROR(__xludf.DUMMYFUNCTION("""COMPUTED_VALUE"""),"")</f>
        <v/>
      </c>
      <c r="X6257" s="16" t="str">
        <f>IFERROR(__xludf.DUMMYFUNCTION("""COMPUTED_VALUE"""),"")</f>
        <v/>
      </c>
      <c r="AC6257" s="16" t="str">
        <f>IFERROR(__xludf.DUMMYFUNCTION("""COMPUTED_VALUE"""),"")</f>
        <v/>
      </c>
    </row>
    <row r="6258">
      <c r="A6258" s="16" t="s">
        <v>87</v>
      </c>
      <c r="E6258" s="16" t="str">
        <f>IFERROR(__xludf.DUMMYFUNCTION("""COMPUTED_VALUE"""),"")</f>
        <v/>
      </c>
      <c r="G6258" s="18"/>
      <c r="H6258" s="16" t="s">
        <v>87</v>
      </c>
      <c r="I6258" s="16" t="s">
        <v>87</v>
      </c>
      <c r="J6258" s="19"/>
      <c r="L6258" s="16" t="str">
        <f>IFERROR(__xludf.DUMMYFUNCTION("""COMPUTED_VALUE"""),"")</f>
        <v/>
      </c>
      <c r="M6258" s="16" t="str">
        <f>IFERROR(__xludf.DUMMYFUNCTION("""COMPUTED_VALUE"""),"")</f>
        <v/>
      </c>
      <c r="U6258" s="16" t="s">
        <v>87</v>
      </c>
      <c r="V6258" s="16" t="str">
        <f>IFERROR(__xludf.DUMMYFUNCTION("""COMPUTED_VALUE"""),"")</f>
        <v/>
      </c>
      <c r="W6258" s="16" t="str">
        <f>IFERROR(__xludf.DUMMYFUNCTION("""COMPUTED_VALUE"""),"")</f>
        <v/>
      </c>
      <c r="X6258" s="16" t="str">
        <f>IFERROR(__xludf.DUMMYFUNCTION("""COMPUTED_VALUE"""),"")</f>
        <v/>
      </c>
      <c r="AC6258" s="16" t="str">
        <f>IFERROR(__xludf.DUMMYFUNCTION("""COMPUTED_VALUE"""),"")</f>
        <v/>
      </c>
    </row>
    <row r="6259">
      <c r="A6259" s="16" t="s">
        <v>87</v>
      </c>
      <c r="E6259" s="16" t="str">
        <f>IFERROR(__xludf.DUMMYFUNCTION("""COMPUTED_VALUE"""),"")</f>
        <v/>
      </c>
      <c r="G6259" s="18"/>
      <c r="H6259" s="16" t="s">
        <v>87</v>
      </c>
      <c r="I6259" s="16" t="s">
        <v>87</v>
      </c>
      <c r="J6259" s="19"/>
      <c r="L6259" s="16" t="str">
        <f>IFERROR(__xludf.DUMMYFUNCTION("""COMPUTED_VALUE"""),"")</f>
        <v/>
      </c>
      <c r="M6259" s="16" t="str">
        <f>IFERROR(__xludf.DUMMYFUNCTION("""COMPUTED_VALUE"""),"")</f>
        <v/>
      </c>
      <c r="U6259" s="16" t="s">
        <v>87</v>
      </c>
      <c r="V6259" s="16" t="str">
        <f>IFERROR(__xludf.DUMMYFUNCTION("""COMPUTED_VALUE"""),"")</f>
        <v/>
      </c>
      <c r="W6259" s="16" t="str">
        <f>IFERROR(__xludf.DUMMYFUNCTION("""COMPUTED_VALUE"""),"")</f>
        <v/>
      </c>
      <c r="X6259" s="16" t="str">
        <f>IFERROR(__xludf.DUMMYFUNCTION("""COMPUTED_VALUE"""),"")</f>
        <v/>
      </c>
      <c r="AC6259" s="16" t="str">
        <f>IFERROR(__xludf.DUMMYFUNCTION("""COMPUTED_VALUE"""),"")</f>
        <v/>
      </c>
    </row>
    <row r="6260">
      <c r="A6260" s="16" t="s">
        <v>87</v>
      </c>
      <c r="E6260" s="16" t="str">
        <f>IFERROR(__xludf.DUMMYFUNCTION("""COMPUTED_VALUE"""),"")</f>
        <v/>
      </c>
      <c r="G6260" s="18"/>
      <c r="H6260" s="16" t="s">
        <v>87</v>
      </c>
      <c r="I6260" s="16" t="s">
        <v>87</v>
      </c>
      <c r="J6260" s="19"/>
      <c r="L6260" s="16" t="str">
        <f>IFERROR(__xludf.DUMMYFUNCTION("""COMPUTED_VALUE"""),"")</f>
        <v/>
      </c>
      <c r="M6260" s="16" t="str">
        <f>IFERROR(__xludf.DUMMYFUNCTION("""COMPUTED_VALUE"""),"")</f>
        <v/>
      </c>
      <c r="U6260" s="16" t="s">
        <v>87</v>
      </c>
      <c r="V6260" s="16" t="str">
        <f>IFERROR(__xludf.DUMMYFUNCTION("""COMPUTED_VALUE"""),"")</f>
        <v/>
      </c>
      <c r="W6260" s="16" t="str">
        <f>IFERROR(__xludf.DUMMYFUNCTION("""COMPUTED_VALUE"""),"")</f>
        <v/>
      </c>
      <c r="X6260" s="16" t="str">
        <f>IFERROR(__xludf.DUMMYFUNCTION("""COMPUTED_VALUE"""),"")</f>
        <v/>
      </c>
      <c r="AC6260" s="16" t="str">
        <f>IFERROR(__xludf.DUMMYFUNCTION("""COMPUTED_VALUE"""),"")</f>
        <v/>
      </c>
    </row>
    <row r="6261">
      <c r="A6261" s="16" t="s">
        <v>87</v>
      </c>
      <c r="E6261" s="16" t="str">
        <f>IFERROR(__xludf.DUMMYFUNCTION("""COMPUTED_VALUE"""),"")</f>
        <v/>
      </c>
      <c r="G6261" s="18"/>
      <c r="H6261" s="16" t="s">
        <v>87</v>
      </c>
      <c r="I6261" s="16" t="s">
        <v>87</v>
      </c>
      <c r="J6261" s="19"/>
      <c r="L6261" s="16" t="str">
        <f>IFERROR(__xludf.DUMMYFUNCTION("""COMPUTED_VALUE"""),"")</f>
        <v/>
      </c>
      <c r="M6261" s="16" t="str">
        <f>IFERROR(__xludf.DUMMYFUNCTION("""COMPUTED_VALUE"""),"")</f>
        <v/>
      </c>
      <c r="U6261" s="16" t="s">
        <v>87</v>
      </c>
      <c r="V6261" s="16" t="str">
        <f>IFERROR(__xludf.DUMMYFUNCTION("""COMPUTED_VALUE"""),"")</f>
        <v/>
      </c>
      <c r="W6261" s="16" t="str">
        <f>IFERROR(__xludf.DUMMYFUNCTION("""COMPUTED_VALUE"""),"")</f>
        <v/>
      </c>
      <c r="X6261" s="16" t="str">
        <f>IFERROR(__xludf.DUMMYFUNCTION("""COMPUTED_VALUE"""),"")</f>
        <v/>
      </c>
      <c r="AC6261" s="16" t="str">
        <f>IFERROR(__xludf.DUMMYFUNCTION("""COMPUTED_VALUE"""),"")</f>
        <v/>
      </c>
    </row>
    <row r="6262">
      <c r="A6262" s="16" t="s">
        <v>87</v>
      </c>
      <c r="E6262" s="16" t="str">
        <f>IFERROR(__xludf.DUMMYFUNCTION("""COMPUTED_VALUE"""),"")</f>
        <v/>
      </c>
      <c r="G6262" s="18"/>
      <c r="H6262" s="16" t="s">
        <v>87</v>
      </c>
      <c r="I6262" s="16" t="s">
        <v>87</v>
      </c>
      <c r="J6262" s="19"/>
      <c r="L6262" s="16" t="str">
        <f>IFERROR(__xludf.DUMMYFUNCTION("""COMPUTED_VALUE"""),"")</f>
        <v/>
      </c>
      <c r="M6262" s="16" t="str">
        <f>IFERROR(__xludf.DUMMYFUNCTION("""COMPUTED_VALUE"""),"")</f>
        <v/>
      </c>
      <c r="U6262" s="16" t="s">
        <v>87</v>
      </c>
      <c r="V6262" s="16" t="str">
        <f>IFERROR(__xludf.DUMMYFUNCTION("""COMPUTED_VALUE"""),"")</f>
        <v/>
      </c>
      <c r="W6262" s="16" t="str">
        <f>IFERROR(__xludf.DUMMYFUNCTION("""COMPUTED_VALUE"""),"")</f>
        <v/>
      </c>
      <c r="X6262" s="16" t="str">
        <f>IFERROR(__xludf.DUMMYFUNCTION("""COMPUTED_VALUE"""),"")</f>
        <v/>
      </c>
      <c r="AC6262" s="16" t="str">
        <f>IFERROR(__xludf.DUMMYFUNCTION("""COMPUTED_VALUE"""),"")</f>
        <v/>
      </c>
    </row>
    <row r="6263">
      <c r="A6263" s="16" t="s">
        <v>87</v>
      </c>
      <c r="E6263" s="16" t="str">
        <f>IFERROR(__xludf.DUMMYFUNCTION("""COMPUTED_VALUE"""),"")</f>
        <v/>
      </c>
      <c r="G6263" s="18"/>
      <c r="H6263" s="16" t="s">
        <v>87</v>
      </c>
      <c r="I6263" s="16" t="s">
        <v>87</v>
      </c>
      <c r="J6263" s="19"/>
      <c r="L6263" s="16" t="str">
        <f>IFERROR(__xludf.DUMMYFUNCTION("""COMPUTED_VALUE"""),"")</f>
        <v/>
      </c>
      <c r="M6263" s="16" t="str">
        <f>IFERROR(__xludf.DUMMYFUNCTION("""COMPUTED_VALUE"""),"")</f>
        <v/>
      </c>
      <c r="U6263" s="16" t="s">
        <v>87</v>
      </c>
      <c r="V6263" s="16" t="str">
        <f>IFERROR(__xludf.DUMMYFUNCTION("""COMPUTED_VALUE"""),"")</f>
        <v/>
      </c>
      <c r="W6263" s="16" t="str">
        <f>IFERROR(__xludf.DUMMYFUNCTION("""COMPUTED_VALUE"""),"")</f>
        <v/>
      </c>
      <c r="X6263" s="16" t="str">
        <f>IFERROR(__xludf.DUMMYFUNCTION("""COMPUTED_VALUE"""),"")</f>
        <v/>
      </c>
      <c r="AC6263" s="16" t="str">
        <f>IFERROR(__xludf.DUMMYFUNCTION("""COMPUTED_VALUE"""),"")</f>
        <v/>
      </c>
    </row>
    <row r="6264">
      <c r="A6264" s="16" t="s">
        <v>87</v>
      </c>
      <c r="E6264" s="16" t="str">
        <f>IFERROR(__xludf.DUMMYFUNCTION("""COMPUTED_VALUE"""),"")</f>
        <v/>
      </c>
      <c r="G6264" s="18"/>
      <c r="H6264" s="16" t="s">
        <v>87</v>
      </c>
      <c r="I6264" s="16" t="s">
        <v>87</v>
      </c>
      <c r="J6264" s="19"/>
      <c r="L6264" s="16" t="str">
        <f>IFERROR(__xludf.DUMMYFUNCTION("""COMPUTED_VALUE"""),"")</f>
        <v/>
      </c>
      <c r="M6264" s="16" t="str">
        <f>IFERROR(__xludf.DUMMYFUNCTION("""COMPUTED_VALUE"""),"")</f>
        <v/>
      </c>
      <c r="U6264" s="16" t="s">
        <v>87</v>
      </c>
      <c r="V6264" s="16" t="str">
        <f>IFERROR(__xludf.DUMMYFUNCTION("""COMPUTED_VALUE"""),"")</f>
        <v/>
      </c>
      <c r="W6264" s="16" t="str">
        <f>IFERROR(__xludf.DUMMYFUNCTION("""COMPUTED_VALUE"""),"")</f>
        <v/>
      </c>
      <c r="X6264" s="16" t="str">
        <f>IFERROR(__xludf.DUMMYFUNCTION("""COMPUTED_VALUE"""),"")</f>
        <v/>
      </c>
      <c r="AC6264" s="16" t="str">
        <f>IFERROR(__xludf.DUMMYFUNCTION("""COMPUTED_VALUE"""),"")</f>
        <v/>
      </c>
    </row>
    <row r="6265">
      <c r="A6265" s="16" t="s">
        <v>87</v>
      </c>
      <c r="E6265" s="16" t="str">
        <f>IFERROR(__xludf.DUMMYFUNCTION("""COMPUTED_VALUE"""),"")</f>
        <v/>
      </c>
      <c r="G6265" s="18"/>
      <c r="H6265" s="16" t="s">
        <v>87</v>
      </c>
      <c r="I6265" s="16" t="s">
        <v>87</v>
      </c>
      <c r="J6265" s="19"/>
      <c r="L6265" s="16" t="str">
        <f>IFERROR(__xludf.DUMMYFUNCTION("""COMPUTED_VALUE"""),"")</f>
        <v/>
      </c>
      <c r="M6265" s="16" t="str">
        <f>IFERROR(__xludf.DUMMYFUNCTION("""COMPUTED_VALUE"""),"")</f>
        <v/>
      </c>
      <c r="U6265" s="16" t="s">
        <v>87</v>
      </c>
      <c r="V6265" s="16" t="str">
        <f>IFERROR(__xludf.DUMMYFUNCTION("""COMPUTED_VALUE"""),"")</f>
        <v/>
      </c>
      <c r="W6265" s="16" t="str">
        <f>IFERROR(__xludf.DUMMYFUNCTION("""COMPUTED_VALUE"""),"")</f>
        <v/>
      </c>
      <c r="X6265" s="16" t="str">
        <f>IFERROR(__xludf.DUMMYFUNCTION("""COMPUTED_VALUE"""),"")</f>
        <v/>
      </c>
      <c r="AC6265" s="16" t="str">
        <f>IFERROR(__xludf.DUMMYFUNCTION("""COMPUTED_VALUE"""),"")</f>
        <v/>
      </c>
    </row>
    <row r="6266">
      <c r="A6266" s="16" t="s">
        <v>87</v>
      </c>
      <c r="E6266" s="16" t="str">
        <f>IFERROR(__xludf.DUMMYFUNCTION("""COMPUTED_VALUE"""),"")</f>
        <v/>
      </c>
      <c r="G6266" s="18"/>
      <c r="H6266" s="16" t="s">
        <v>87</v>
      </c>
      <c r="I6266" s="16" t="s">
        <v>87</v>
      </c>
      <c r="J6266" s="19"/>
      <c r="L6266" s="16" t="str">
        <f>IFERROR(__xludf.DUMMYFUNCTION("""COMPUTED_VALUE"""),"")</f>
        <v/>
      </c>
      <c r="M6266" s="16" t="str">
        <f>IFERROR(__xludf.DUMMYFUNCTION("""COMPUTED_VALUE"""),"")</f>
        <v/>
      </c>
      <c r="U6266" s="16" t="s">
        <v>87</v>
      </c>
      <c r="V6266" s="16" t="str">
        <f>IFERROR(__xludf.DUMMYFUNCTION("""COMPUTED_VALUE"""),"")</f>
        <v/>
      </c>
      <c r="W6266" s="16" t="str">
        <f>IFERROR(__xludf.DUMMYFUNCTION("""COMPUTED_VALUE"""),"")</f>
        <v/>
      </c>
      <c r="X6266" s="16" t="str">
        <f>IFERROR(__xludf.DUMMYFUNCTION("""COMPUTED_VALUE"""),"")</f>
        <v/>
      </c>
      <c r="AC6266" s="16" t="str">
        <f>IFERROR(__xludf.DUMMYFUNCTION("""COMPUTED_VALUE"""),"")</f>
        <v/>
      </c>
    </row>
    <row r="6267">
      <c r="A6267" s="16" t="s">
        <v>87</v>
      </c>
      <c r="E6267" s="16" t="str">
        <f>IFERROR(__xludf.DUMMYFUNCTION("""COMPUTED_VALUE"""),"")</f>
        <v/>
      </c>
      <c r="G6267" s="18"/>
      <c r="H6267" s="16" t="s">
        <v>87</v>
      </c>
      <c r="I6267" s="16" t="s">
        <v>87</v>
      </c>
      <c r="J6267" s="19"/>
      <c r="L6267" s="16" t="str">
        <f>IFERROR(__xludf.DUMMYFUNCTION("""COMPUTED_VALUE"""),"")</f>
        <v/>
      </c>
      <c r="M6267" s="16" t="str">
        <f>IFERROR(__xludf.DUMMYFUNCTION("""COMPUTED_VALUE"""),"")</f>
        <v/>
      </c>
      <c r="U6267" s="16" t="s">
        <v>87</v>
      </c>
      <c r="V6267" s="16" t="str">
        <f>IFERROR(__xludf.DUMMYFUNCTION("""COMPUTED_VALUE"""),"")</f>
        <v/>
      </c>
      <c r="W6267" s="16" t="str">
        <f>IFERROR(__xludf.DUMMYFUNCTION("""COMPUTED_VALUE"""),"")</f>
        <v/>
      </c>
      <c r="X6267" s="16" t="str">
        <f>IFERROR(__xludf.DUMMYFUNCTION("""COMPUTED_VALUE"""),"")</f>
        <v/>
      </c>
      <c r="AC6267" s="16" t="str">
        <f>IFERROR(__xludf.DUMMYFUNCTION("""COMPUTED_VALUE"""),"")</f>
        <v/>
      </c>
    </row>
    <row r="6268">
      <c r="A6268" s="16" t="s">
        <v>87</v>
      </c>
      <c r="E6268" s="16" t="str">
        <f>IFERROR(__xludf.DUMMYFUNCTION("""COMPUTED_VALUE"""),"")</f>
        <v/>
      </c>
      <c r="G6268" s="18"/>
      <c r="H6268" s="16" t="s">
        <v>87</v>
      </c>
      <c r="I6268" s="16" t="s">
        <v>87</v>
      </c>
      <c r="J6268" s="19"/>
      <c r="L6268" s="16" t="str">
        <f>IFERROR(__xludf.DUMMYFUNCTION("""COMPUTED_VALUE"""),"")</f>
        <v/>
      </c>
      <c r="M6268" s="16" t="str">
        <f>IFERROR(__xludf.DUMMYFUNCTION("""COMPUTED_VALUE"""),"")</f>
        <v/>
      </c>
      <c r="U6268" s="16" t="s">
        <v>87</v>
      </c>
      <c r="V6268" s="16" t="str">
        <f>IFERROR(__xludf.DUMMYFUNCTION("""COMPUTED_VALUE"""),"")</f>
        <v/>
      </c>
      <c r="W6268" s="16" t="str">
        <f>IFERROR(__xludf.DUMMYFUNCTION("""COMPUTED_VALUE"""),"")</f>
        <v/>
      </c>
      <c r="X6268" s="16" t="str">
        <f>IFERROR(__xludf.DUMMYFUNCTION("""COMPUTED_VALUE"""),"")</f>
        <v/>
      </c>
      <c r="AC6268" s="16" t="str">
        <f>IFERROR(__xludf.DUMMYFUNCTION("""COMPUTED_VALUE"""),"")</f>
        <v/>
      </c>
    </row>
    <row r="6269">
      <c r="A6269" s="16" t="s">
        <v>87</v>
      </c>
      <c r="E6269" s="16" t="str">
        <f>IFERROR(__xludf.DUMMYFUNCTION("""COMPUTED_VALUE"""),"")</f>
        <v/>
      </c>
      <c r="G6269" s="18"/>
      <c r="H6269" s="16" t="s">
        <v>87</v>
      </c>
      <c r="I6269" s="16" t="s">
        <v>87</v>
      </c>
      <c r="J6269" s="19"/>
      <c r="L6269" s="16" t="str">
        <f>IFERROR(__xludf.DUMMYFUNCTION("""COMPUTED_VALUE"""),"")</f>
        <v/>
      </c>
      <c r="M6269" s="16" t="str">
        <f>IFERROR(__xludf.DUMMYFUNCTION("""COMPUTED_VALUE"""),"")</f>
        <v/>
      </c>
      <c r="U6269" s="16" t="s">
        <v>87</v>
      </c>
      <c r="V6269" s="16" t="str">
        <f>IFERROR(__xludf.DUMMYFUNCTION("""COMPUTED_VALUE"""),"")</f>
        <v/>
      </c>
      <c r="W6269" s="16" t="str">
        <f>IFERROR(__xludf.DUMMYFUNCTION("""COMPUTED_VALUE"""),"")</f>
        <v/>
      </c>
      <c r="X6269" s="16" t="str">
        <f>IFERROR(__xludf.DUMMYFUNCTION("""COMPUTED_VALUE"""),"")</f>
        <v/>
      </c>
      <c r="AC6269" s="16" t="str">
        <f>IFERROR(__xludf.DUMMYFUNCTION("""COMPUTED_VALUE"""),"")</f>
        <v/>
      </c>
    </row>
    <row r="6270">
      <c r="A6270" s="16" t="s">
        <v>87</v>
      </c>
      <c r="E6270" s="16" t="str">
        <f>IFERROR(__xludf.DUMMYFUNCTION("""COMPUTED_VALUE"""),"")</f>
        <v/>
      </c>
      <c r="G6270" s="18"/>
      <c r="H6270" s="16" t="s">
        <v>87</v>
      </c>
      <c r="I6270" s="16" t="s">
        <v>87</v>
      </c>
      <c r="J6270" s="19"/>
      <c r="L6270" s="16" t="str">
        <f>IFERROR(__xludf.DUMMYFUNCTION("""COMPUTED_VALUE"""),"")</f>
        <v/>
      </c>
      <c r="M6270" s="16" t="str">
        <f>IFERROR(__xludf.DUMMYFUNCTION("""COMPUTED_VALUE"""),"")</f>
        <v/>
      </c>
      <c r="U6270" s="16" t="s">
        <v>87</v>
      </c>
      <c r="V6270" s="16" t="str">
        <f>IFERROR(__xludf.DUMMYFUNCTION("""COMPUTED_VALUE"""),"")</f>
        <v/>
      </c>
      <c r="W6270" s="16" t="str">
        <f>IFERROR(__xludf.DUMMYFUNCTION("""COMPUTED_VALUE"""),"")</f>
        <v/>
      </c>
      <c r="X6270" s="16" t="str">
        <f>IFERROR(__xludf.DUMMYFUNCTION("""COMPUTED_VALUE"""),"")</f>
        <v/>
      </c>
      <c r="AC6270" s="16" t="str">
        <f>IFERROR(__xludf.DUMMYFUNCTION("""COMPUTED_VALUE"""),"")</f>
        <v/>
      </c>
    </row>
    <row r="6271">
      <c r="A6271" s="16" t="s">
        <v>87</v>
      </c>
      <c r="E6271" s="16" t="str">
        <f>IFERROR(__xludf.DUMMYFUNCTION("""COMPUTED_VALUE"""),"")</f>
        <v/>
      </c>
      <c r="G6271" s="18"/>
      <c r="H6271" s="16" t="s">
        <v>87</v>
      </c>
      <c r="I6271" s="16" t="s">
        <v>87</v>
      </c>
      <c r="J6271" s="19"/>
      <c r="L6271" s="16" t="str">
        <f>IFERROR(__xludf.DUMMYFUNCTION("""COMPUTED_VALUE"""),"")</f>
        <v/>
      </c>
      <c r="M6271" s="16" t="str">
        <f>IFERROR(__xludf.DUMMYFUNCTION("""COMPUTED_VALUE"""),"")</f>
        <v/>
      </c>
      <c r="U6271" s="16" t="s">
        <v>87</v>
      </c>
      <c r="V6271" s="16" t="str">
        <f>IFERROR(__xludf.DUMMYFUNCTION("""COMPUTED_VALUE"""),"")</f>
        <v/>
      </c>
      <c r="W6271" s="16" t="str">
        <f>IFERROR(__xludf.DUMMYFUNCTION("""COMPUTED_VALUE"""),"")</f>
        <v/>
      </c>
      <c r="X6271" s="16" t="str">
        <f>IFERROR(__xludf.DUMMYFUNCTION("""COMPUTED_VALUE"""),"")</f>
        <v/>
      </c>
      <c r="AC6271" s="16" t="str">
        <f>IFERROR(__xludf.DUMMYFUNCTION("""COMPUTED_VALUE"""),"")</f>
        <v/>
      </c>
    </row>
    <row r="6272">
      <c r="A6272" s="16" t="s">
        <v>87</v>
      </c>
      <c r="E6272" s="16" t="str">
        <f>IFERROR(__xludf.DUMMYFUNCTION("""COMPUTED_VALUE"""),"")</f>
        <v/>
      </c>
      <c r="G6272" s="18"/>
      <c r="H6272" s="16" t="s">
        <v>87</v>
      </c>
      <c r="I6272" s="16" t="s">
        <v>87</v>
      </c>
      <c r="J6272" s="19"/>
      <c r="L6272" s="16" t="str">
        <f>IFERROR(__xludf.DUMMYFUNCTION("""COMPUTED_VALUE"""),"")</f>
        <v/>
      </c>
      <c r="M6272" s="16" t="str">
        <f>IFERROR(__xludf.DUMMYFUNCTION("""COMPUTED_VALUE"""),"")</f>
        <v/>
      </c>
      <c r="U6272" s="16" t="s">
        <v>87</v>
      </c>
      <c r="V6272" s="16" t="str">
        <f>IFERROR(__xludf.DUMMYFUNCTION("""COMPUTED_VALUE"""),"")</f>
        <v/>
      </c>
      <c r="W6272" s="16" t="str">
        <f>IFERROR(__xludf.DUMMYFUNCTION("""COMPUTED_VALUE"""),"")</f>
        <v/>
      </c>
      <c r="X6272" s="16" t="str">
        <f>IFERROR(__xludf.DUMMYFUNCTION("""COMPUTED_VALUE"""),"")</f>
        <v/>
      </c>
      <c r="AC6272" s="16" t="str">
        <f>IFERROR(__xludf.DUMMYFUNCTION("""COMPUTED_VALUE"""),"")</f>
        <v/>
      </c>
    </row>
    <row r="6273">
      <c r="A6273" s="16" t="s">
        <v>87</v>
      </c>
      <c r="E6273" s="16" t="str">
        <f>IFERROR(__xludf.DUMMYFUNCTION("""COMPUTED_VALUE"""),"")</f>
        <v/>
      </c>
      <c r="G6273" s="18"/>
      <c r="H6273" s="16" t="s">
        <v>87</v>
      </c>
      <c r="I6273" s="16" t="s">
        <v>87</v>
      </c>
      <c r="J6273" s="19"/>
      <c r="L6273" s="16" t="str">
        <f>IFERROR(__xludf.DUMMYFUNCTION("""COMPUTED_VALUE"""),"")</f>
        <v/>
      </c>
      <c r="M6273" s="16" t="str">
        <f>IFERROR(__xludf.DUMMYFUNCTION("""COMPUTED_VALUE"""),"")</f>
        <v/>
      </c>
      <c r="U6273" s="16" t="s">
        <v>87</v>
      </c>
      <c r="V6273" s="16" t="str">
        <f>IFERROR(__xludf.DUMMYFUNCTION("""COMPUTED_VALUE"""),"")</f>
        <v/>
      </c>
      <c r="W6273" s="16" t="str">
        <f>IFERROR(__xludf.DUMMYFUNCTION("""COMPUTED_VALUE"""),"")</f>
        <v/>
      </c>
      <c r="X6273" s="16" t="str">
        <f>IFERROR(__xludf.DUMMYFUNCTION("""COMPUTED_VALUE"""),"")</f>
        <v/>
      </c>
      <c r="AC6273" s="16" t="str">
        <f>IFERROR(__xludf.DUMMYFUNCTION("""COMPUTED_VALUE"""),"")</f>
        <v/>
      </c>
    </row>
    <row r="6274">
      <c r="A6274" s="16" t="s">
        <v>87</v>
      </c>
      <c r="E6274" s="16" t="str">
        <f>IFERROR(__xludf.DUMMYFUNCTION("""COMPUTED_VALUE"""),"")</f>
        <v/>
      </c>
      <c r="G6274" s="18"/>
      <c r="H6274" s="16" t="s">
        <v>87</v>
      </c>
      <c r="I6274" s="16" t="s">
        <v>87</v>
      </c>
      <c r="J6274" s="19"/>
      <c r="L6274" s="16" t="str">
        <f>IFERROR(__xludf.DUMMYFUNCTION("""COMPUTED_VALUE"""),"")</f>
        <v/>
      </c>
      <c r="M6274" s="16" t="str">
        <f>IFERROR(__xludf.DUMMYFUNCTION("""COMPUTED_VALUE"""),"")</f>
        <v/>
      </c>
      <c r="U6274" s="16" t="s">
        <v>87</v>
      </c>
      <c r="V6274" s="16" t="str">
        <f>IFERROR(__xludf.DUMMYFUNCTION("""COMPUTED_VALUE"""),"")</f>
        <v/>
      </c>
      <c r="W6274" s="16" t="str">
        <f>IFERROR(__xludf.DUMMYFUNCTION("""COMPUTED_VALUE"""),"")</f>
        <v/>
      </c>
      <c r="X6274" s="16" t="str">
        <f>IFERROR(__xludf.DUMMYFUNCTION("""COMPUTED_VALUE"""),"")</f>
        <v/>
      </c>
      <c r="AC6274" s="16" t="str">
        <f>IFERROR(__xludf.DUMMYFUNCTION("""COMPUTED_VALUE"""),"")</f>
        <v/>
      </c>
    </row>
    <row r="6275">
      <c r="A6275" s="16" t="s">
        <v>87</v>
      </c>
      <c r="E6275" s="16" t="str">
        <f>IFERROR(__xludf.DUMMYFUNCTION("""COMPUTED_VALUE"""),"")</f>
        <v/>
      </c>
      <c r="G6275" s="18"/>
      <c r="H6275" s="16" t="s">
        <v>87</v>
      </c>
      <c r="I6275" s="16" t="s">
        <v>87</v>
      </c>
      <c r="J6275" s="19"/>
      <c r="L6275" s="16" t="str">
        <f>IFERROR(__xludf.DUMMYFUNCTION("""COMPUTED_VALUE"""),"")</f>
        <v/>
      </c>
      <c r="M6275" s="16" t="str">
        <f>IFERROR(__xludf.DUMMYFUNCTION("""COMPUTED_VALUE"""),"")</f>
        <v/>
      </c>
      <c r="U6275" s="16" t="s">
        <v>87</v>
      </c>
      <c r="V6275" s="16" t="str">
        <f>IFERROR(__xludf.DUMMYFUNCTION("""COMPUTED_VALUE"""),"")</f>
        <v/>
      </c>
      <c r="W6275" s="16" t="str">
        <f>IFERROR(__xludf.DUMMYFUNCTION("""COMPUTED_VALUE"""),"")</f>
        <v/>
      </c>
      <c r="X6275" s="16" t="str">
        <f>IFERROR(__xludf.DUMMYFUNCTION("""COMPUTED_VALUE"""),"")</f>
        <v/>
      </c>
      <c r="AC6275" s="16" t="str">
        <f>IFERROR(__xludf.DUMMYFUNCTION("""COMPUTED_VALUE"""),"")</f>
        <v/>
      </c>
    </row>
    <row r="6276">
      <c r="A6276" s="16" t="s">
        <v>87</v>
      </c>
      <c r="E6276" s="16" t="str">
        <f>IFERROR(__xludf.DUMMYFUNCTION("""COMPUTED_VALUE"""),"")</f>
        <v/>
      </c>
      <c r="G6276" s="18"/>
      <c r="H6276" s="16" t="s">
        <v>87</v>
      </c>
      <c r="I6276" s="16" t="s">
        <v>87</v>
      </c>
      <c r="J6276" s="19"/>
      <c r="L6276" s="16" t="str">
        <f>IFERROR(__xludf.DUMMYFUNCTION("""COMPUTED_VALUE"""),"")</f>
        <v/>
      </c>
      <c r="M6276" s="16" t="str">
        <f>IFERROR(__xludf.DUMMYFUNCTION("""COMPUTED_VALUE"""),"")</f>
        <v/>
      </c>
      <c r="U6276" s="16" t="s">
        <v>87</v>
      </c>
      <c r="V6276" s="16" t="str">
        <f>IFERROR(__xludf.DUMMYFUNCTION("""COMPUTED_VALUE"""),"")</f>
        <v/>
      </c>
      <c r="W6276" s="16" t="str">
        <f>IFERROR(__xludf.DUMMYFUNCTION("""COMPUTED_VALUE"""),"")</f>
        <v/>
      </c>
      <c r="X6276" s="16" t="str">
        <f>IFERROR(__xludf.DUMMYFUNCTION("""COMPUTED_VALUE"""),"")</f>
        <v/>
      </c>
      <c r="AC6276" s="16" t="str">
        <f>IFERROR(__xludf.DUMMYFUNCTION("""COMPUTED_VALUE"""),"")</f>
        <v/>
      </c>
    </row>
    <row r="6277">
      <c r="A6277" s="16" t="s">
        <v>87</v>
      </c>
      <c r="E6277" s="16" t="str">
        <f>IFERROR(__xludf.DUMMYFUNCTION("""COMPUTED_VALUE"""),"")</f>
        <v/>
      </c>
      <c r="G6277" s="18"/>
      <c r="H6277" s="16" t="s">
        <v>87</v>
      </c>
      <c r="I6277" s="16" t="s">
        <v>87</v>
      </c>
      <c r="J6277" s="19"/>
      <c r="L6277" s="16" t="str">
        <f>IFERROR(__xludf.DUMMYFUNCTION("""COMPUTED_VALUE"""),"")</f>
        <v/>
      </c>
      <c r="M6277" s="16" t="str">
        <f>IFERROR(__xludf.DUMMYFUNCTION("""COMPUTED_VALUE"""),"")</f>
        <v/>
      </c>
      <c r="U6277" s="16" t="s">
        <v>87</v>
      </c>
      <c r="V6277" s="16" t="str">
        <f>IFERROR(__xludf.DUMMYFUNCTION("""COMPUTED_VALUE"""),"")</f>
        <v/>
      </c>
      <c r="W6277" s="16" t="str">
        <f>IFERROR(__xludf.DUMMYFUNCTION("""COMPUTED_VALUE"""),"")</f>
        <v/>
      </c>
      <c r="X6277" s="16" t="str">
        <f>IFERROR(__xludf.DUMMYFUNCTION("""COMPUTED_VALUE"""),"")</f>
        <v/>
      </c>
      <c r="AC6277" s="16" t="str">
        <f>IFERROR(__xludf.DUMMYFUNCTION("""COMPUTED_VALUE"""),"")</f>
        <v/>
      </c>
    </row>
    <row r="6278">
      <c r="A6278" s="16" t="s">
        <v>87</v>
      </c>
      <c r="E6278" s="16" t="str">
        <f>IFERROR(__xludf.DUMMYFUNCTION("""COMPUTED_VALUE"""),"")</f>
        <v/>
      </c>
      <c r="G6278" s="18"/>
      <c r="H6278" s="16" t="s">
        <v>87</v>
      </c>
      <c r="I6278" s="16" t="s">
        <v>87</v>
      </c>
      <c r="J6278" s="19"/>
      <c r="L6278" s="16" t="str">
        <f>IFERROR(__xludf.DUMMYFUNCTION("""COMPUTED_VALUE"""),"")</f>
        <v/>
      </c>
      <c r="M6278" s="16" t="str">
        <f>IFERROR(__xludf.DUMMYFUNCTION("""COMPUTED_VALUE"""),"")</f>
        <v/>
      </c>
      <c r="U6278" s="16" t="s">
        <v>87</v>
      </c>
      <c r="V6278" s="16" t="str">
        <f>IFERROR(__xludf.DUMMYFUNCTION("""COMPUTED_VALUE"""),"")</f>
        <v/>
      </c>
      <c r="W6278" s="16" t="str">
        <f>IFERROR(__xludf.DUMMYFUNCTION("""COMPUTED_VALUE"""),"")</f>
        <v/>
      </c>
      <c r="X6278" s="16" t="str">
        <f>IFERROR(__xludf.DUMMYFUNCTION("""COMPUTED_VALUE"""),"")</f>
        <v/>
      </c>
      <c r="AC6278" s="16" t="str">
        <f>IFERROR(__xludf.DUMMYFUNCTION("""COMPUTED_VALUE"""),"")</f>
        <v/>
      </c>
    </row>
    <row r="6279">
      <c r="A6279" s="16" t="s">
        <v>87</v>
      </c>
      <c r="E6279" s="16" t="str">
        <f>IFERROR(__xludf.DUMMYFUNCTION("""COMPUTED_VALUE"""),"")</f>
        <v/>
      </c>
      <c r="G6279" s="18"/>
      <c r="H6279" s="16" t="s">
        <v>87</v>
      </c>
      <c r="I6279" s="16" t="s">
        <v>87</v>
      </c>
      <c r="J6279" s="19"/>
      <c r="L6279" s="16" t="str">
        <f>IFERROR(__xludf.DUMMYFUNCTION("""COMPUTED_VALUE"""),"")</f>
        <v/>
      </c>
      <c r="M6279" s="16" t="str">
        <f>IFERROR(__xludf.DUMMYFUNCTION("""COMPUTED_VALUE"""),"")</f>
        <v/>
      </c>
      <c r="U6279" s="16" t="s">
        <v>87</v>
      </c>
      <c r="V6279" s="16" t="str">
        <f>IFERROR(__xludf.DUMMYFUNCTION("""COMPUTED_VALUE"""),"")</f>
        <v/>
      </c>
      <c r="W6279" s="16" t="str">
        <f>IFERROR(__xludf.DUMMYFUNCTION("""COMPUTED_VALUE"""),"")</f>
        <v/>
      </c>
      <c r="X6279" s="16" t="str">
        <f>IFERROR(__xludf.DUMMYFUNCTION("""COMPUTED_VALUE"""),"")</f>
        <v/>
      </c>
      <c r="AC6279" s="16" t="str">
        <f>IFERROR(__xludf.DUMMYFUNCTION("""COMPUTED_VALUE"""),"")</f>
        <v/>
      </c>
    </row>
    <row r="6280">
      <c r="A6280" s="16" t="s">
        <v>87</v>
      </c>
      <c r="E6280" s="16" t="str">
        <f>IFERROR(__xludf.DUMMYFUNCTION("""COMPUTED_VALUE"""),"")</f>
        <v/>
      </c>
      <c r="G6280" s="18"/>
      <c r="H6280" s="16" t="s">
        <v>87</v>
      </c>
      <c r="I6280" s="16" t="s">
        <v>87</v>
      </c>
      <c r="J6280" s="19"/>
      <c r="L6280" s="16" t="str">
        <f>IFERROR(__xludf.DUMMYFUNCTION("""COMPUTED_VALUE"""),"")</f>
        <v/>
      </c>
      <c r="M6280" s="16" t="str">
        <f>IFERROR(__xludf.DUMMYFUNCTION("""COMPUTED_VALUE"""),"")</f>
        <v/>
      </c>
      <c r="U6280" s="16" t="s">
        <v>87</v>
      </c>
      <c r="V6280" s="16" t="str">
        <f>IFERROR(__xludf.DUMMYFUNCTION("""COMPUTED_VALUE"""),"")</f>
        <v/>
      </c>
      <c r="W6280" s="16" t="str">
        <f>IFERROR(__xludf.DUMMYFUNCTION("""COMPUTED_VALUE"""),"")</f>
        <v/>
      </c>
      <c r="X6280" s="16" t="str">
        <f>IFERROR(__xludf.DUMMYFUNCTION("""COMPUTED_VALUE"""),"")</f>
        <v/>
      </c>
      <c r="AC6280" s="16" t="str">
        <f>IFERROR(__xludf.DUMMYFUNCTION("""COMPUTED_VALUE"""),"")</f>
        <v/>
      </c>
    </row>
    <row r="6281">
      <c r="A6281" s="16" t="s">
        <v>87</v>
      </c>
      <c r="E6281" s="16" t="str">
        <f>IFERROR(__xludf.DUMMYFUNCTION("""COMPUTED_VALUE"""),"")</f>
        <v/>
      </c>
      <c r="G6281" s="18"/>
      <c r="H6281" s="16" t="s">
        <v>87</v>
      </c>
      <c r="I6281" s="16" t="s">
        <v>87</v>
      </c>
      <c r="J6281" s="19"/>
      <c r="L6281" s="16" t="str">
        <f>IFERROR(__xludf.DUMMYFUNCTION("""COMPUTED_VALUE"""),"")</f>
        <v/>
      </c>
      <c r="M6281" s="16" t="str">
        <f>IFERROR(__xludf.DUMMYFUNCTION("""COMPUTED_VALUE"""),"")</f>
        <v/>
      </c>
      <c r="U6281" s="16" t="s">
        <v>87</v>
      </c>
      <c r="V6281" s="16" t="str">
        <f>IFERROR(__xludf.DUMMYFUNCTION("""COMPUTED_VALUE"""),"")</f>
        <v/>
      </c>
      <c r="W6281" s="16" t="str">
        <f>IFERROR(__xludf.DUMMYFUNCTION("""COMPUTED_VALUE"""),"")</f>
        <v/>
      </c>
      <c r="X6281" s="16" t="str">
        <f>IFERROR(__xludf.DUMMYFUNCTION("""COMPUTED_VALUE"""),"")</f>
        <v/>
      </c>
      <c r="AC6281" s="16" t="str">
        <f>IFERROR(__xludf.DUMMYFUNCTION("""COMPUTED_VALUE"""),"")</f>
        <v/>
      </c>
    </row>
    <row r="6282">
      <c r="A6282" s="16" t="s">
        <v>87</v>
      </c>
      <c r="E6282" s="16" t="str">
        <f>IFERROR(__xludf.DUMMYFUNCTION("""COMPUTED_VALUE"""),"")</f>
        <v/>
      </c>
      <c r="G6282" s="18"/>
      <c r="H6282" s="16" t="s">
        <v>87</v>
      </c>
      <c r="I6282" s="16" t="s">
        <v>87</v>
      </c>
      <c r="J6282" s="19"/>
      <c r="L6282" s="16" t="str">
        <f>IFERROR(__xludf.DUMMYFUNCTION("""COMPUTED_VALUE"""),"")</f>
        <v/>
      </c>
      <c r="M6282" s="16" t="str">
        <f>IFERROR(__xludf.DUMMYFUNCTION("""COMPUTED_VALUE"""),"")</f>
        <v/>
      </c>
      <c r="U6282" s="16" t="s">
        <v>87</v>
      </c>
      <c r="V6282" s="16" t="str">
        <f>IFERROR(__xludf.DUMMYFUNCTION("""COMPUTED_VALUE"""),"")</f>
        <v/>
      </c>
      <c r="W6282" s="16" t="str">
        <f>IFERROR(__xludf.DUMMYFUNCTION("""COMPUTED_VALUE"""),"")</f>
        <v/>
      </c>
      <c r="X6282" s="16" t="str">
        <f>IFERROR(__xludf.DUMMYFUNCTION("""COMPUTED_VALUE"""),"")</f>
        <v/>
      </c>
      <c r="AC6282" s="16" t="str">
        <f>IFERROR(__xludf.DUMMYFUNCTION("""COMPUTED_VALUE"""),"")</f>
        <v/>
      </c>
    </row>
    <row r="6283">
      <c r="A6283" s="16" t="s">
        <v>87</v>
      </c>
      <c r="E6283" s="16" t="str">
        <f>IFERROR(__xludf.DUMMYFUNCTION("""COMPUTED_VALUE"""),"")</f>
        <v/>
      </c>
      <c r="G6283" s="18"/>
      <c r="H6283" s="16" t="s">
        <v>87</v>
      </c>
      <c r="I6283" s="16" t="s">
        <v>87</v>
      </c>
      <c r="J6283" s="19"/>
      <c r="L6283" s="16" t="str">
        <f>IFERROR(__xludf.DUMMYFUNCTION("""COMPUTED_VALUE"""),"")</f>
        <v/>
      </c>
      <c r="M6283" s="16" t="str">
        <f>IFERROR(__xludf.DUMMYFUNCTION("""COMPUTED_VALUE"""),"")</f>
        <v/>
      </c>
      <c r="U6283" s="16" t="s">
        <v>87</v>
      </c>
      <c r="V6283" s="16" t="str">
        <f>IFERROR(__xludf.DUMMYFUNCTION("""COMPUTED_VALUE"""),"")</f>
        <v/>
      </c>
      <c r="W6283" s="16" t="str">
        <f>IFERROR(__xludf.DUMMYFUNCTION("""COMPUTED_VALUE"""),"")</f>
        <v/>
      </c>
      <c r="X6283" s="16" t="str">
        <f>IFERROR(__xludf.DUMMYFUNCTION("""COMPUTED_VALUE"""),"")</f>
        <v/>
      </c>
      <c r="AC6283" s="16" t="str">
        <f>IFERROR(__xludf.DUMMYFUNCTION("""COMPUTED_VALUE"""),"")</f>
        <v/>
      </c>
    </row>
    <row r="6284">
      <c r="A6284" s="16" t="s">
        <v>87</v>
      </c>
      <c r="E6284" s="16" t="str">
        <f>IFERROR(__xludf.DUMMYFUNCTION("""COMPUTED_VALUE"""),"")</f>
        <v/>
      </c>
      <c r="G6284" s="18"/>
      <c r="H6284" s="16" t="s">
        <v>87</v>
      </c>
      <c r="I6284" s="16" t="s">
        <v>87</v>
      </c>
      <c r="J6284" s="19"/>
      <c r="L6284" s="16" t="str">
        <f>IFERROR(__xludf.DUMMYFUNCTION("""COMPUTED_VALUE"""),"")</f>
        <v/>
      </c>
      <c r="M6284" s="16" t="str">
        <f>IFERROR(__xludf.DUMMYFUNCTION("""COMPUTED_VALUE"""),"")</f>
        <v/>
      </c>
      <c r="U6284" s="16" t="s">
        <v>87</v>
      </c>
      <c r="V6284" s="16" t="str">
        <f>IFERROR(__xludf.DUMMYFUNCTION("""COMPUTED_VALUE"""),"")</f>
        <v/>
      </c>
      <c r="W6284" s="16" t="str">
        <f>IFERROR(__xludf.DUMMYFUNCTION("""COMPUTED_VALUE"""),"")</f>
        <v/>
      </c>
      <c r="X6284" s="16" t="str">
        <f>IFERROR(__xludf.DUMMYFUNCTION("""COMPUTED_VALUE"""),"")</f>
        <v/>
      </c>
      <c r="AC6284" s="16" t="str">
        <f>IFERROR(__xludf.DUMMYFUNCTION("""COMPUTED_VALUE"""),"")</f>
        <v/>
      </c>
    </row>
    <row r="6285">
      <c r="A6285" s="16" t="s">
        <v>87</v>
      </c>
      <c r="E6285" s="16" t="str">
        <f>IFERROR(__xludf.DUMMYFUNCTION("""COMPUTED_VALUE"""),"")</f>
        <v/>
      </c>
      <c r="G6285" s="18"/>
      <c r="H6285" s="16" t="s">
        <v>87</v>
      </c>
      <c r="I6285" s="16" t="s">
        <v>87</v>
      </c>
      <c r="J6285" s="19"/>
      <c r="L6285" s="16" t="str">
        <f>IFERROR(__xludf.DUMMYFUNCTION("""COMPUTED_VALUE"""),"")</f>
        <v/>
      </c>
      <c r="M6285" s="16" t="str">
        <f>IFERROR(__xludf.DUMMYFUNCTION("""COMPUTED_VALUE"""),"")</f>
        <v/>
      </c>
      <c r="U6285" s="16" t="s">
        <v>87</v>
      </c>
      <c r="V6285" s="16" t="str">
        <f>IFERROR(__xludf.DUMMYFUNCTION("""COMPUTED_VALUE"""),"")</f>
        <v/>
      </c>
      <c r="W6285" s="16" t="str">
        <f>IFERROR(__xludf.DUMMYFUNCTION("""COMPUTED_VALUE"""),"")</f>
        <v/>
      </c>
      <c r="X6285" s="16" t="str">
        <f>IFERROR(__xludf.DUMMYFUNCTION("""COMPUTED_VALUE"""),"")</f>
        <v/>
      </c>
      <c r="AC6285" s="16" t="str">
        <f>IFERROR(__xludf.DUMMYFUNCTION("""COMPUTED_VALUE"""),"")</f>
        <v/>
      </c>
    </row>
    <row r="6286">
      <c r="A6286" s="16" t="s">
        <v>87</v>
      </c>
      <c r="E6286" s="16" t="str">
        <f>IFERROR(__xludf.DUMMYFUNCTION("""COMPUTED_VALUE"""),"")</f>
        <v/>
      </c>
      <c r="G6286" s="18"/>
      <c r="H6286" s="16" t="s">
        <v>87</v>
      </c>
      <c r="I6286" s="16" t="s">
        <v>87</v>
      </c>
      <c r="J6286" s="19"/>
      <c r="L6286" s="16" t="str">
        <f>IFERROR(__xludf.DUMMYFUNCTION("""COMPUTED_VALUE"""),"")</f>
        <v/>
      </c>
      <c r="M6286" s="16" t="str">
        <f>IFERROR(__xludf.DUMMYFUNCTION("""COMPUTED_VALUE"""),"")</f>
        <v/>
      </c>
      <c r="U6286" s="16" t="s">
        <v>87</v>
      </c>
      <c r="V6286" s="16" t="str">
        <f>IFERROR(__xludf.DUMMYFUNCTION("""COMPUTED_VALUE"""),"")</f>
        <v/>
      </c>
      <c r="W6286" s="16" t="str">
        <f>IFERROR(__xludf.DUMMYFUNCTION("""COMPUTED_VALUE"""),"")</f>
        <v/>
      </c>
      <c r="X6286" s="16" t="str">
        <f>IFERROR(__xludf.DUMMYFUNCTION("""COMPUTED_VALUE"""),"")</f>
        <v/>
      </c>
      <c r="AC6286" s="16" t="str">
        <f>IFERROR(__xludf.DUMMYFUNCTION("""COMPUTED_VALUE"""),"")</f>
        <v/>
      </c>
    </row>
    <row r="6287">
      <c r="A6287" s="16" t="s">
        <v>87</v>
      </c>
      <c r="E6287" s="16" t="str">
        <f>IFERROR(__xludf.DUMMYFUNCTION("""COMPUTED_VALUE"""),"")</f>
        <v/>
      </c>
      <c r="G6287" s="18"/>
      <c r="H6287" s="16" t="s">
        <v>87</v>
      </c>
      <c r="I6287" s="16" t="s">
        <v>87</v>
      </c>
      <c r="J6287" s="19"/>
      <c r="L6287" s="16" t="str">
        <f>IFERROR(__xludf.DUMMYFUNCTION("""COMPUTED_VALUE"""),"")</f>
        <v/>
      </c>
      <c r="M6287" s="16" t="str">
        <f>IFERROR(__xludf.DUMMYFUNCTION("""COMPUTED_VALUE"""),"")</f>
        <v/>
      </c>
      <c r="U6287" s="16" t="s">
        <v>87</v>
      </c>
      <c r="V6287" s="16" t="str">
        <f>IFERROR(__xludf.DUMMYFUNCTION("""COMPUTED_VALUE"""),"")</f>
        <v/>
      </c>
      <c r="W6287" s="16" t="str">
        <f>IFERROR(__xludf.DUMMYFUNCTION("""COMPUTED_VALUE"""),"")</f>
        <v/>
      </c>
      <c r="X6287" s="16" t="str">
        <f>IFERROR(__xludf.DUMMYFUNCTION("""COMPUTED_VALUE"""),"")</f>
        <v/>
      </c>
      <c r="AC6287" s="16" t="str">
        <f>IFERROR(__xludf.DUMMYFUNCTION("""COMPUTED_VALUE"""),"")</f>
        <v/>
      </c>
    </row>
    <row r="6288">
      <c r="A6288" s="16" t="s">
        <v>87</v>
      </c>
      <c r="E6288" s="16" t="str">
        <f>IFERROR(__xludf.DUMMYFUNCTION("""COMPUTED_VALUE"""),"")</f>
        <v/>
      </c>
      <c r="G6288" s="18"/>
      <c r="H6288" s="16" t="s">
        <v>87</v>
      </c>
      <c r="I6288" s="16" t="s">
        <v>87</v>
      </c>
      <c r="J6288" s="19"/>
      <c r="L6288" s="16" t="str">
        <f>IFERROR(__xludf.DUMMYFUNCTION("""COMPUTED_VALUE"""),"")</f>
        <v/>
      </c>
      <c r="M6288" s="16" t="str">
        <f>IFERROR(__xludf.DUMMYFUNCTION("""COMPUTED_VALUE"""),"")</f>
        <v/>
      </c>
      <c r="U6288" s="16" t="s">
        <v>87</v>
      </c>
      <c r="V6288" s="16" t="str">
        <f>IFERROR(__xludf.DUMMYFUNCTION("""COMPUTED_VALUE"""),"")</f>
        <v/>
      </c>
      <c r="W6288" s="16" t="str">
        <f>IFERROR(__xludf.DUMMYFUNCTION("""COMPUTED_VALUE"""),"")</f>
        <v/>
      </c>
      <c r="X6288" s="16" t="str">
        <f>IFERROR(__xludf.DUMMYFUNCTION("""COMPUTED_VALUE"""),"")</f>
        <v/>
      </c>
      <c r="AC6288" s="16" t="str">
        <f>IFERROR(__xludf.DUMMYFUNCTION("""COMPUTED_VALUE"""),"")</f>
        <v/>
      </c>
    </row>
    <row r="6289">
      <c r="A6289" s="16" t="s">
        <v>87</v>
      </c>
      <c r="E6289" s="16" t="str">
        <f>IFERROR(__xludf.DUMMYFUNCTION("""COMPUTED_VALUE"""),"")</f>
        <v/>
      </c>
      <c r="G6289" s="18"/>
      <c r="H6289" s="16" t="s">
        <v>87</v>
      </c>
      <c r="I6289" s="16" t="s">
        <v>87</v>
      </c>
      <c r="J6289" s="19"/>
      <c r="L6289" s="16" t="str">
        <f>IFERROR(__xludf.DUMMYFUNCTION("""COMPUTED_VALUE"""),"")</f>
        <v/>
      </c>
      <c r="M6289" s="16" t="str">
        <f>IFERROR(__xludf.DUMMYFUNCTION("""COMPUTED_VALUE"""),"")</f>
        <v/>
      </c>
      <c r="U6289" s="16" t="s">
        <v>87</v>
      </c>
      <c r="V6289" s="16" t="str">
        <f>IFERROR(__xludf.DUMMYFUNCTION("""COMPUTED_VALUE"""),"")</f>
        <v/>
      </c>
      <c r="W6289" s="16" t="str">
        <f>IFERROR(__xludf.DUMMYFUNCTION("""COMPUTED_VALUE"""),"")</f>
        <v/>
      </c>
      <c r="X6289" s="16" t="str">
        <f>IFERROR(__xludf.DUMMYFUNCTION("""COMPUTED_VALUE"""),"")</f>
        <v/>
      </c>
      <c r="AC6289" s="16" t="str">
        <f>IFERROR(__xludf.DUMMYFUNCTION("""COMPUTED_VALUE"""),"")</f>
        <v/>
      </c>
    </row>
    <row r="6290">
      <c r="A6290" s="16" t="s">
        <v>87</v>
      </c>
      <c r="E6290" s="16" t="str">
        <f>IFERROR(__xludf.DUMMYFUNCTION("""COMPUTED_VALUE"""),"")</f>
        <v/>
      </c>
      <c r="G6290" s="18"/>
      <c r="H6290" s="16" t="s">
        <v>87</v>
      </c>
      <c r="I6290" s="16" t="s">
        <v>87</v>
      </c>
      <c r="J6290" s="19"/>
      <c r="L6290" s="16" t="str">
        <f>IFERROR(__xludf.DUMMYFUNCTION("""COMPUTED_VALUE"""),"")</f>
        <v/>
      </c>
      <c r="M6290" s="16" t="str">
        <f>IFERROR(__xludf.DUMMYFUNCTION("""COMPUTED_VALUE"""),"")</f>
        <v/>
      </c>
      <c r="U6290" s="16" t="s">
        <v>87</v>
      </c>
      <c r="V6290" s="16" t="str">
        <f>IFERROR(__xludf.DUMMYFUNCTION("""COMPUTED_VALUE"""),"")</f>
        <v/>
      </c>
      <c r="W6290" s="16" t="str">
        <f>IFERROR(__xludf.DUMMYFUNCTION("""COMPUTED_VALUE"""),"")</f>
        <v/>
      </c>
      <c r="X6290" s="16" t="str">
        <f>IFERROR(__xludf.DUMMYFUNCTION("""COMPUTED_VALUE"""),"")</f>
        <v/>
      </c>
      <c r="AC6290" s="16" t="str">
        <f>IFERROR(__xludf.DUMMYFUNCTION("""COMPUTED_VALUE"""),"")</f>
        <v/>
      </c>
    </row>
    <row r="6291">
      <c r="A6291" s="16" t="s">
        <v>87</v>
      </c>
      <c r="E6291" s="16" t="str">
        <f>IFERROR(__xludf.DUMMYFUNCTION("""COMPUTED_VALUE"""),"")</f>
        <v/>
      </c>
      <c r="G6291" s="18"/>
      <c r="H6291" s="16" t="s">
        <v>87</v>
      </c>
      <c r="I6291" s="16" t="s">
        <v>87</v>
      </c>
      <c r="J6291" s="19"/>
      <c r="L6291" s="16" t="str">
        <f>IFERROR(__xludf.DUMMYFUNCTION("""COMPUTED_VALUE"""),"")</f>
        <v/>
      </c>
      <c r="M6291" s="16" t="str">
        <f>IFERROR(__xludf.DUMMYFUNCTION("""COMPUTED_VALUE"""),"")</f>
        <v/>
      </c>
      <c r="U6291" s="16" t="s">
        <v>87</v>
      </c>
      <c r="V6291" s="16" t="str">
        <f>IFERROR(__xludf.DUMMYFUNCTION("""COMPUTED_VALUE"""),"")</f>
        <v/>
      </c>
      <c r="W6291" s="16" t="str">
        <f>IFERROR(__xludf.DUMMYFUNCTION("""COMPUTED_VALUE"""),"")</f>
        <v/>
      </c>
      <c r="X6291" s="16" t="str">
        <f>IFERROR(__xludf.DUMMYFUNCTION("""COMPUTED_VALUE"""),"")</f>
        <v/>
      </c>
      <c r="AC6291" s="16" t="str">
        <f>IFERROR(__xludf.DUMMYFUNCTION("""COMPUTED_VALUE"""),"")</f>
        <v/>
      </c>
    </row>
    <row r="6292">
      <c r="A6292" s="16" t="s">
        <v>87</v>
      </c>
      <c r="E6292" s="16" t="str">
        <f>IFERROR(__xludf.DUMMYFUNCTION("""COMPUTED_VALUE"""),"")</f>
        <v/>
      </c>
      <c r="G6292" s="18"/>
      <c r="H6292" s="16" t="s">
        <v>87</v>
      </c>
      <c r="I6292" s="16" t="s">
        <v>87</v>
      </c>
      <c r="J6292" s="19"/>
      <c r="L6292" s="16" t="str">
        <f>IFERROR(__xludf.DUMMYFUNCTION("""COMPUTED_VALUE"""),"")</f>
        <v/>
      </c>
      <c r="M6292" s="16" t="str">
        <f>IFERROR(__xludf.DUMMYFUNCTION("""COMPUTED_VALUE"""),"")</f>
        <v/>
      </c>
      <c r="U6292" s="16" t="s">
        <v>87</v>
      </c>
      <c r="V6292" s="16" t="str">
        <f>IFERROR(__xludf.DUMMYFUNCTION("""COMPUTED_VALUE"""),"")</f>
        <v/>
      </c>
      <c r="W6292" s="16" t="str">
        <f>IFERROR(__xludf.DUMMYFUNCTION("""COMPUTED_VALUE"""),"")</f>
        <v/>
      </c>
      <c r="X6292" s="16" t="str">
        <f>IFERROR(__xludf.DUMMYFUNCTION("""COMPUTED_VALUE"""),"")</f>
        <v/>
      </c>
      <c r="AC6292" s="16" t="str">
        <f>IFERROR(__xludf.DUMMYFUNCTION("""COMPUTED_VALUE"""),"")</f>
        <v/>
      </c>
    </row>
    <row r="6293">
      <c r="A6293" s="16" t="s">
        <v>87</v>
      </c>
      <c r="E6293" s="16" t="str">
        <f>IFERROR(__xludf.DUMMYFUNCTION("""COMPUTED_VALUE"""),"")</f>
        <v/>
      </c>
      <c r="G6293" s="18"/>
      <c r="H6293" s="16" t="s">
        <v>87</v>
      </c>
      <c r="I6293" s="16" t="s">
        <v>87</v>
      </c>
      <c r="J6293" s="19"/>
      <c r="L6293" s="16" t="str">
        <f>IFERROR(__xludf.DUMMYFUNCTION("""COMPUTED_VALUE"""),"")</f>
        <v/>
      </c>
      <c r="M6293" s="16" t="str">
        <f>IFERROR(__xludf.DUMMYFUNCTION("""COMPUTED_VALUE"""),"")</f>
        <v/>
      </c>
      <c r="U6293" s="16" t="s">
        <v>87</v>
      </c>
      <c r="V6293" s="16" t="str">
        <f>IFERROR(__xludf.DUMMYFUNCTION("""COMPUTED_VALUE"""),"")</f>
        <v/>
      </c>
      <c r="W6293" s="16" t="str">
        <f>IFERROR(__xludf.DUMMYFUNCTION("""COMPUTED_VALUE"""),"")</f>
        <v/>
      </c>
      <c r="X6293" s="16" t="str">
        <f>IFERROR(__xludf.DUMMYFUNCTION("""COMPUTED_VALUE"""),"")</f>
        <v/>
      </c>
      <c r="AC6293" s="16" t="str">
        <f>IFERROR(__xludf.DUMMYFUNCTION("""COMPUTED_VALUE"""),"")</f>
        <v/>
      </c>
    </row>
    <row r="6294">
      <c r="A6294" s="16" t="s">
        <v>87</v>
      </c>
      <c r="E6294" s="16" t="str">
        <f>IFERROR(__xludf.DUMMYFUNCTION("""COMPUTED_VALUE"""),"")</f>
        <v/>
      </c>
      <c r="G6294" s="18"/>
      <c r="H6294" s="16" t="s">
        <v>87</v>
      </c>
      <c r="I6294" s="16" t="s">
        <v>87</v>
      </c>
      <c r="J6294" s="19"/>
      <c r="L6294" s="16" t="str">
        <f>IFERROR(__xludf.DUMMYFUNCTION("""COMPUTED_VALUE"""),"")</f>
        <v/>
      </c>
      <c r="M6294" s="16" t="str">
        <f>IFERROR(__xludf.DUMMYFUNCTION("""COMPUTED_VALUE"""),"")</f>
        <v/>
      </c>
      <c r="U6294" s="16" t="s">
        <v>87</v>
      </c>
      <c r="V6294" s="16" t="str">
        <f>IFERROR(__xludf.DUMMYFUNCTION("""COMPUTED_VALUE"""),"")</f>
        <v/>
      </c>
      <c r="W6294" s="16" t="str">
        <f>IFERROR(__xludf.DUMMYFUNCTION("""COMPUTED_VALUE"""),"")</f>
        <v/>
      </c>
      <c r="X6294" s="16" t="str">
        <f>IFERROR(__xludf.DUMMYFUNCTION("""COMPUTED_VALUE"""),"")</f>
        <v/>
      </c>
      <c r="AC6294" s="16" t="str">
        <f>IFERROR(__xludf.DUMMYFUNCTION("""COMPUTED_VALUE"""),"")</f>
        <v/>
      </c>
    </row>
    <row r="6295">
      <c r="A6295" s="16" t="s">
        <v>87</v>
      </c>
      <c r="E6295" s="16" t="str">
        <f>IFERROR(__xludf.DUMMYFUNCTION("""COMPUTED_VALUE"""),"")</f>
        <v/>
      </c>
      <c r="G6295" s="18"/>
      <c r="H6295" s="16" t="s">
        <v>87</v>
      </c>
      <c r="I6295" s="16" t="s">
        <v>87</v>
      </c>
      <c r="J6295" s="19"/>
      <c r="L6295" s="16" t="str">
        <f>IFERROR(__xludf.DUMMYFUNCTION("""COMPUTED_VALUE"""),"")</f>
        <v/>
      </c>
      <c r="M6295" s="16" t="str">
        <f>IFERROR(__xludf.DUMMYFUNCTION("""COMPUTED_VALUE"""),"")</f>
        <v/>
      </c>
      <c r="U6295" s="16" t="s">
        <v>87</v>
      </c>
      <c r="V6295" s="16" t="str">
        <f>IFERROR(__xludf.DUMMYFUNCTION("""COMPUTED_VALUE"""),"")</f>
        <v/>
      </c>
      <c r="W6295" s="16" t="str">
        <f>IFERROR(__xludf.DUMMYFUNCTION("""COMPUTED_VALUE"""),"")</f>
        <v/>
      </c>
      <c r="X6295" s="16" t="str">
        <f>IFERROR(__xludf.DUMMYFUNCTION("""COMPUTED_VALUE"""),"")</f>
        <v/>
      </c>
      <c r="AC6295" s="16" t="str">
        <f>IFERROR(__xludf.DUMMYFUNCTION("""COMPUTED_VALUE"""),"")</f>
        <v/>
      </c>
    </row>
    <row r="6296">
      <c r="A6296" s="16" t="s">
        <v>87</v>
      </c>
      <c r="E6296" s="16" t="str">
        <f>IFERROR(__xludf.DUMMYFUNCTION("""COMPUTED_VALUE"""),"")</f>
        <v/>
      </c>
      <c r="G6296" s="18"/>
      <c r="H6296" s="16" t="s">
        <v>87</v>
      </c>
      <c r="I6296" s="16" t="s">
        <v>87</v>
      </c>
      <c r="J6296" s="19"/>
      <c r="L6296" s="16" t="str">
        <f>IFERROR(__xludf.DUMMYFUNCTION("""COMPUTED_VALUE"""),"")</f>
        <v/>
      </c>
      <c r="M6296" s="16" t="str">
        <f>IFERROR(__xludf.DUMMYFUNCTION("""COMPUTED_VALUE"""),"")</f>
        <v/>
      </c>
      <c r="U6296" s="16" t="s">
        <v>87</v>
      </c>
      <c r="V6296" s="16" t="str">
        <f>IFERROR(__xludf.DUMMYFUNCTION("""COMPUTED_VALUE"""),"")</f>
        <v/>
      </c>
      <c r="W6296" s="16" t="str">
        <f>IFERROR(__xludf.DUMMYFUNCTION("""COMPUTED_VALUE"""),"")</f>
        <v/>
      </c>
      <c r="X6296" s="16" t="str">
        <f>IFERROR(__xludf.DUMMYFUNCTION("""COMPUTED_VALUE"""),"")</f>
        <v/>
      </c>
      <c r="AC6296" s="16" t="str">
        <f>IFERROR(__xludf.DUMMYFUNCTION("""COMPUTED_VALUE"""),"")</f>
        <v/>
      </c>
    </row>
    <row r="6297">
      <c r="A6297" s="16" t="s">
        <v>87</v>
      </c>
      <c r="E6297" s="16" t="str">
        <f>IFERROR(__xludf.DUMMYFUNCTION("""COMPUTED_VALUE"""),"")</f>
        <v/>
      </c>
      <c r="G6297" s="18"/>
      <c r="H6297" s="16" t="s">
        <v>87</v>
      </c>
      <c r="I6297" s="16" t="s">
        <v>87</v>
      </c>
      <c r="J6297" s="19"/>
      <c r="L6297" s="16" t="str">
        <f>IFERROR(__xludf.DUMMYFUNCTION("""COMPUTED_VALUE"""),"")</f>
        <v/>
      </c>
      <c r="M6297" s="16" t="str">
        <f>IFERROR(__xludf.DUMMYFUNCTION("""COMPUTED_VALUE"""),"")</f>
        <v/>
      </c>
      <c r="U6297" s="16" t="s">
        <v>87</v>
      </c>
      <c r="V6297" s="16" t="str">
        <f>IFERROR(__xludf.DUMMYFUNCTION("""COMPUTED_VALUE"""),"")</f>
        <v/>
      </c>
      <c r="W6297" s="16" t="str">
        <f>IFERROR(__xludf.DUMMYFUNCTION("""COMPUTED_VALUE"""),"")</f>
        <v/>
      </c>
      <c r="X6297" s="16" t="str">
        <f>IFERROR(__xludf.DUMMYFUNCTION("""COMPUTED_VALUE"""),"")</f>
        <v/>
      </c>
      <c r="AC6297" s="16" t="str">
        <f>IFERROR(__xludf.DUMMYFUNCTION("""COMPUTED_VALUE"""),"")</f>
        <v/>
      </c>
    </row>
    <row r="6298">
      <c r="A6298" s="16" t="s">
        <v>87</v>
      </c>
      <c r="E6298" s="16" t="str">
        <f>IFERROR(__xludf.DUMMYFUNCTION("""COMPUTED_VALUE"""),"")</f>
        <v/>
      </c>
      <c r="G6298" s="18"/>
      <c r="H6298" s="16" t="s">
        <v>87</v>
      </c>
      <c r="I6298" s="16" t="s">
        <v>87</v>
      </c>
      <c r="J6298" s="19"/>
      <c r="L6298" s="16" t="str">
        <f>IFERROR(__xludf.DUMMYFUNCTION("""COMPUTED_VALUE"""),"")</f>
        <v/>
      </c>
      <c r="M6298" s="16" t="str">
        <f>IFERROR(__xludf.DUMMYFUNCTION("""COMPUTED_VALUE"""),"")</f>
        <v/>
      </c>
      <c r="U6298" s="16" t="s">
        <v>87</v>
      </c>
      <c r="V6298" s="16" t="str">
        <f>IFERROR(__xludf.DUMMYFUNCTION("""COMPUTED_VALUE"""),"")</f>
        <v/>
      </c>
      <c r="W6298" s="16" t="str">
        <f>IFERROR(__xludf.DUMMYFUNCTION("""COMPUTED_VALUE"""),"")</f>
        <v/>
      </c>
      <c r="X6298" s="16" t="str">
        <f>IFERROR(__xludf.DUMMYFUNCTION("""COMPUTED_VALUE"""),"")</f>
        <v/>
      </c>
      <c r="AC6298" s="16" t="str">
        <f>IFERROR(__xludf.DUMMYFUNCTION("""COMPUTED_VALUE"""),"")</f>
        <v/>
      </c>
    </row>
    <row r="6299">
      <c r="A6299" s="16" t="s">
        <v>87</v>
      </c>
      <c r="E6299" s="16" t="str">
        <f>IFERROR(__xludf.DUMMYFUNCTION("""COMPUTED_VALUE"""),"")</f>
        <v/>
      </c>
      <c r="G6299" s="18"/>
      <c r="H6299" s="16" t="s">
        <v>87</v>
      </c>
      <c r="I6299" s="16" t="s">
        <v>87</v>
      </c>
      <c r="J6299" s="19"/>
      <c r="L6299" s="16" t="str">
        <f>IFERROR(__xludf.DUMMYFUNCTION("""COMPUTED_VALUE"""),"")</f>
        <v/>
      </c>
      <c r="M6299" s="16" t="str">
        <f>IFERROR(__xludf.DUMMYFUNCTION("""COMPUTED_VALUE"""),"")</f>
        <v/>
      </c>
      <c r="U6299" s="16" t="s">
        <v>87</v>
      </c>
      <c r="V6299" s="16" t="str">
        <f>IFERROR(__xludf.DUMMYFUNCTION("""COMPUTED_VALUE"""),"")</f>
        <v/>
      </c>
      <c r="W6299" s="16" t="str">
        <f>IFERROR(__xludf.DUMMYFUNCTION("""COMPUTED_VALUE"""),"")</f>
        <v/>
      </c>
      <c r="X6299" s="16" t="str">
        <f>IFERROR(__xludf.DUMMYFUNCTION("""COMPUTED_VALUE"""),"")</f>
        <v/>
      </c>
      <c r="AC6299" s="16" t="str">
        <f>IFERROR(__xludf.DUMMYFUNCTION("""COMPUTED_VALUE"""),"")</f>
        <v/>
      </c>
    </row>
    <row r="6300">
      <c r="A6300" s="16" t="s">
        <v>87</v>
      </c>
      <c r="E6300" s="16" t="str">
        <f>IFERROR(__xludf.DUMMYFUNCTION("""COMPUTED_VALUE"""),"")</f>
        <v/>
      </c>
      <c r="G6300" s="18"/>
      <c r="H6300" s="16" t="s">
        <v>87</v>
      </c>
      <c r="I6300" s="16" t="s">
        <v>87</v>
      </c>
      <c r="J6300" s="19"/>
      <c r="L6300" s="16" t="str">
        <f>IFERROR(__xludf.DUMMYFUNCTION("""COMPUTED_VALUE"""),"")</f>
        <v/>
      </c>
      <c r="M6300" s="16" t="str">
        <f>IFERROR(__xludf.DUMMYFUNCTION("""COMPUTED_VALUE"""),"")</f>
        <v/>
      </c>
      <c r="U6300" s="16" t="s">
        <v>87</v>
      </c>
      <c r="V6300" s="16" t="str">
        <f>IFERROR(__xludf.DUMMYFUNCTION("""COMPUTED_VALUE"""),"")</f>
        <v/>
      </c>
      <c r="W6300" s="16" t="str">
        <f>IFERROR(__xludf.DUMMYFUNCTION("""COMPUTED_VALUE"""),"")</f>
        <v/>
      </c>
      <c r="X6300" s="16" t="str">
        <f>IFERROR(__xludf.DUMMYFUNCTION("""COMPUTED_VALUE"""),"")</f>
        <v/>
      </c>
      <c r="AC6300" s="16" t="str">
        <f>IFERROR(__xludf.DUMMYFUNCTION("""COMPUTED_VALUE"""),"")</f>
        <v/>
      </c>
    </row>
    <row r="6301">
      <c r="A6301" s="16" t="s">
        <v>87</v>
      </c>
      <c r="E6301" s="16" t="str">
        <f>IFERROR(__xludf.DUMMYFUNCTION("""COMPUTED_VALUE"""),"")</f>
        <v/>
      </c>
      <c r="G6301" s="18"/>
      <c r="H6301" s="16" t="s">
        <v>87</v>
      </c>
      <c r="I6301" s="16" t="s">
        <v>87</v>
      </c>
      <c r="J6301" s="19"/>
      <c r="L6301" s="16" t="str">
        <f>IFERROR(__xludf.DUMMYFUNCTION("""COMPUTED_VALUE"""),"")</f>
        <v/>
      </c>
      <c r="M6301" s="16" t="str">
        <f>IFERROR(__xludf.DUMMYFUNCTION("""COMPUTED_VALUE"""),"")</f>
        <v/>
      </c>
      <c r="U6301" s="16" t="s">
        <v>87</v>
      </c>
      <c r="V6301" s="16" t="str">
        <f>IFERROR(__xludf.DUMMYFUNCTION("""COMPUTED_VALUE"""),"")</f>
        <v/>
      </c>
      <c r="W6301" s="16" t="str">
        <f>IFERROR(__xludf.DUMMYFUNCTION("""COMPUTED_VALUE"""),"")</f>
        <v/>
      </c>
      <c r="X6301" s="16" t="str">
        <f>IFERROR(__xludf.DUMMYFUNCTION("""COMPUTED_VALUE"""),"")</f>
        <v/>
      </c>
      <c r="AC6301" s="16" t="str">
        <f>IFERROR(__xludf.DUMMYFUNCTION("""COMPUTED_VALUE"""),"")</f>
        <v/>
      </c>
    </row>
    <row r="6302">
      <c r="A6302" s="16" t="s">
        <v>87</v>
      </c>
      <c r="E6302" s="16" t="str">
        <f>IFERROR(__xludf.DUMMYFUNCTION("""COMPUTED_VALUE"""),"")</f>
        <v/>
      </c>
      <c r="G6302" s="18"/>
      <c r="H6302" s="16" t="s">
        <v>87</v>
      </c>
      <c r="I6302" s="16" t="s">
        <v>87</v>
      </c>
      <c r="J6302" s="19"/>
      <c r="L6302" s="16" t="str">
        <f>IFERROR(__xludf.DUMMYFUNCTION("""COMPUTED_VALUE"""),"")</f>
        <v/>
      </c>
      <c r="M6302" s="16" t="str">
        <f>IFERROR(__xludf.DUMMYFUNCTION("""COMPUTED_VALUE"""),"")</f>
        <v/>
      </c>
      <c r="U6302" s="16" t="s">
        <v>87</v>
      </c>
      <c r="V6302" s="16" t="str">
        <f>IFERROR(__xludf.DUMMYFUNCTION("""COMPUTED_VALUE"""),"")</f>
        <v/>
      </c>
      <c r="W6302" s="16" t="str">
        <f>IFERROR(__xludf.DUMMYFUNCTION("""COMPUTED_VALUE"""),"")</f>
        <v/>
      </c>
      <c r="X6302" s="16" t="str">
        <f>IFERROR(__xludf.DUMMYFUNCTION("""COMPUTED_VALUE"""),"")</f>
        <v/>
      </c>
      <c r="AC6302" s="16" t="str">
        <f>IFERROR(__xludf.DUMMYFUNCTION("""COMPUTED_VALUE"""),"")</f>
        <v/>
      </c>
    </row>
    <row r="6303">
      <c r="A6303" s="16" t="s">
        <v>87</v>
      </c>
      <c r="E6303" s="16" t="str">
        <f>IFERROR(__xludf.DUMMYFUNCTION("""COMPUTED_VALUE"""),"")</f>
        <v/>
      </c>
      <c r="G6303" s="18"/>
      <c r="H6303" s="16" t="s">
        <v>87</v>
      </c>
      <c r="I6303" s="16" t="s">
        <v>87</v>
      </c>
      <c r="J6303" s="19"/>
      <c r="L6303" s="16" t="str">
        <f>IFERROR(__xludf.DUMMYFUNCTION("""COMPUTED_VALUE"""),"")</f>
        <v/>
      </c>
      <c r="M6303" s="16" t="str">
        <f>IFERROR(__xludf.DUMMYFUNCTION("""COMPUTED_VALUE"""),"")</f>
        <v/>
      </c>
      <c r="U6303" s="16" t="s">
        <v>87</v>
      </c>
      <c r="V6303" s="16" t="str">
        <f>IFERROR(__xludf.DUMMYFUNCTION("""COMPUTED_VALUE"""),"")</f>
        <v/>
      </c>
      <c r="W6303" s="16" t="str">
        <f>IFERROR(__xludf.DUMMYFUNCTION("""COMPUTED_VALUE"""),"")</f>
        <v/>
      </c>
      <c r="X6303" s="16" t="str">
        <f>IFERROR(__xludf.DUMMYFUNCTION("""COMPUTED_VALUE"""),"")</f>
        <v/>
      </c>
      <c r="AC6303" s="16" t="str">
        <f>IFERROR(__xludf.DUMMYFUNCTION("""COMPUTED_VALUE"""),"")</f>
        <v/>
      </c>
    </row>
    <row r="6304">
      <c r="A6304" s="16" t="s">
        <v>87</v>
      </c>
      <c r="E6304" s="16" t="str">
        <f>IFERROR(__xludf.DUMMYFUNCTION("""COMPUTED_VALUE"""),"")</f>
        <v/>
      </c>
      <c r="G6304" s="18"/>
      <c r="H6304" s="16" t="s">
        <v>87</v>
      </c>
      <c r="I6304" s="16" t="s">
        <v>87</v>
      </c>
      <c r="J6304" s="19"/>
      <c r="L6304" s="16" t="str">
        <f>IFERROR(__xludf.DUMMYFUNCTION("""COMPUTED_VALUE"""),"")</f>
        <v/>
      </c>
      <c r="M6304" s="16" t="str">
        <f>IFERROR(__xludf.DUMMYFUNCTION("""COMPUTED_VALUE"""),"")</f>
        <v/>
      </c>
      <c r="U6304" s="16" t="s">
        <v>87</v>
      </c>
      <c r="V6304" s="16" t="str">
        <f>IFERROR(__xludf.DUMMYFUNCTION("""COMPUTED_VALUE"""),"")</f>
        <v/>
      </c>
      <c r="W6304" s="16" t="str">
        <f>IFERROR(__xludf.DUMMYFUNCTION("""COMPUTED_VALUE"""),"")</f>
        <v/>
      </c>
      <c r="X6304" s="16" t="str">
        <f>IFERROR(__xludf.DUMMYFUNCTION("""COMPUTED_VALUE"""),"")</f>
        <v/>
      </c>
      <c r="AC6304" s="16" t="str">
        <f>IFERROR(__xludf.DUMMYFUNCTION("""COMPUTED_VALUE"""),"")</f>
        <v/>
      </c>
    </row>
    <row r="6305">
      <c r="A6305" s="16" t="s">
        <v>87</v>
      </c>
      <c r="E6305" s="16" t="str">
        <f>IFERROR(__xludf.DUMMYFUNCTION("""COMPUTED_VALUE"""),"")</f>
        <v/>
      </c>
      <c r="G6305" s="18"/>
      <c r="H6305" s="16" t="s">
        <v>87</v>
      </c>
      <c r="I6305" s="16" t="s">
        <v>87</v>
      </c>
      <c r="J6305" s="19"/>
      <c r="L6305" s="16" t="str">
        <f>IFERROR(__xludf.DUMMYFUNCTION("""COMPUTED_VALUE"""),"")</f>
        <v/>
      </c>
      <c r="M6305" s="16" t="str">
        <f>IFERROR(__xludf.DUMMYFUNCTION("""COMPUTED_VALUE"""),"")</f>
        <v/>
      </c>
      <c r="U6305" s="16" t="s">
        <v>87</v>
      </c>
      <c r="V6305" s="16" t="str">
        <f>IFERROR(__xludf.DUMMYFUNCTION("""COMPUTED_VALUE"""),"")</f>
        <v/>
      </c>
      <c r="W6305" s="16" t="str">
        <f>IFERROR(__xludf.DUMMYFUNCTION("""COMPUTED_VALUE"""),"")</f>
        <v/>
      </c>
      <c r="X6305" s="16" t="str">
        <f>IFERROR(__xludf.DUMMYFUNCTION("""COMPUTED_VALUE"""),"")</f>
        <v/>
      </c>
      <c r="AC6305" s="16" t="str">
        <f>IFERROR(__xludf.DUMMYFUNCTION("""COMPUTED_VALUE"""),"")</f>
        <v/>
      </c>
    </row>
    <row r="6306">
      <c r="A6306" s="16" t="s">
        <v>87</v>
      </c>
      <c r="E6306" s="16" t="str">
        <f>IFERROR(__xludf.DUMMYFUNCTION("""COMPUTED_VALUE"""),"")</f>
        <v/>
      </c>
      <c r="G6306" s="18"/>
      <c r="H6306" s="16" t="s">
        <v>87</v>
      </c>
      <c r="I6306" s="16" t="s">
        <v>87</v>
      </c>
      <c r="J6306" s="19"/>
      <c r="L6306" s="16" t="str">
        <f>IFERROR(__xludf.DUMMYFUNCTION("""COMPUTED_VALUE"""),"")</f>
        <v/>
      </c>
      <c r="M6306" s="16" t="str">
        <f>IFERROR(__xludf.DUMMYFUNCTION("""COMPUTED_VALUE"""),"")</f>
        <v/>
      </c>
      <c r="U6306" s="16" t="s">
        <v>87</v>
      </c>
      <c r="V6306" s="16" t="str">
        <f>IFERROR(__xludf.DUMMYFUNCTION("""COMPUTED_VALUE"""),"")</f>
        <v/>
      </c>
      <c r="W6306" s="16" t="str">
        <f>IFERROR(__xludf.DUMMYFUNCTION("""COMPUTED_VALUE"""),"")</f>
        <v/>
      </c>
      <c r="X6306" s="16" t="str">
        <f>IFERROR(__xludf.DUMMYFUNCTION("""COMPUTED_VALUE"""),"")</f>
        <v/>
      </c>
      <c r="AC6306" s="16" t="str">
        <f>IFERROR(__xludf.DUMMYFUNCTION("""COMPUTED_VALUE"""),"")</f>
        <v/>
      </c>
    </row>
    <row r="6307">
      <c r="A6307" s="16" t="s">
        <v>87</v>
      </c>
      <c r="E6307" s="16" t="str">
        <f>IFERROR(__xludf.DUMMYFUNCTION("""COMPUTED_VALUE"""),"")</f>
        <v/>
      </c>
      <c r="G6307" s="18"/>
      <c r="H6307" s="16" t="s">
        <v>87</v>
      </c>
      <c r="I6307" s="16" t="s">
        <v>87</v>
      </c>
      <c r="J6307" s="19"/>
      <c r="L6307" s="16" t="str">
        <f>IFERROR(__xludf.DUMMYFUNCTION("""COMPUTED_VALUE"""),"")</f>
        <v/>
      </c>
      <c r="M6307" s="16" t="str">
        <f>IFERROR(__xludf.DUMMYFUNCTION("""COMPUTED_VALUE"""),"")</f>
        <v/>
      </c>
      <c r="U6307" s="16" t="s">
        <v>87</v>
      </c>
      <c r="V6307" s="16" t="str">
        <f>IFERROR(__xludf.DUMMYFUNCTION("""COMPUTED_VALUE"""),"")</f>
        <v/>
      </c>
      <c r="W6307" s="16" t="str">
        <f>IFERROR(__xludf.DUMMYFUNCTION("""COMPUTED_VALUE"""),"")</f>
        <v/>
      </c>
      <c r="X6307" s="16" t="str">
        <f>IFERROR(__xludf.DUMMYFUNCTION("""COMPUTED_VALUE"""),"")</f>
        <v/>
      </c>
      <c r="AC6307" s="16" t="str">
        <f>IFERROR(__xludf.DUMMYFUNCTION("""COMPUTED_VALUE"""),"")</f>
        <v/>
      </c>
    </row>
    <row r="6308">
      <c r="A6308" s="16" t="s">
        <v>87</v>
      </c>
      <c r="E6308" s="16" t="str">
        <f>IFERROR(__xludf.DUMMYFUNCTION("""COMPUTED_VALUE"""),"")</f>
        <v/>
      </c>
      <c r="G6308" s="18"/>
      <c r="H6308" s="16" t="s">
        <v>87</v>
      </c>
      <c r="I6308" s="16" t="s">
        <v>87</v>
      </c>
      <c r="J6308" s="19"/>
      <c r="L6308" s="16" t="str">
        <f>IFERROR(__xludf.DUMMYFUNCTION("""COMPUTED_VALUE"""),"")</f>
        <v/>
      </c>
      <c r="M6308" s="16" t="str">
        <f>IFERROR(__xludf.DUMMYFUNCTION("""COMPUTED_VALUE"""),"")</f>
        <v/>
      </c>
      <c r="U6308" s="16" t="s">
        <v>87</v>
      </c>
      <c r="V6308" s="16" t="str">
        <f>IFERROR(__xludf.DUMMYFUNCTION("""COMPUTED_VALUE"""),"")</f>
        <v/>
      </c>
      <c r="W6308" s="16" t="str">
        <f>IFERROR(__xludf.DUMMYFUNCTION("""COMPUTED_VALUE"""),"")</f>
        <v/>
      </c>
      <c r="X6308" s="16" t="str">
        <f>IFERROR(__xludf.DUMMYFUNCTION("""COMPUTED_VALUE"""),"")</f>
        <v/>
      </c>
      <c r="AC6308" s="16" t="str">
        <f>IFERROR(__xludf.DUMMYFUNCTION("""COMPUTED_VALUE"""),"")</f>
        <v/>
      </c>
    </row>
    <row r="6309">
      <c r="A6309" s="16" t="s">
        <v>87</v>
      </c>
      <c r="E6309" s="16" t="str">
        <f>IFERROR(__xludf.DUMMYFUNCTION("""COMPUTED_VALUE"""),"")</f>
        <v/>
      </c>
      <c r="G6309" s="18"/>
      <c r="H6309" s="16" t="s">
        <v>87</v>
      </c>
      <c r="I6309" s="16" t="s">
        <v>87</v>
      </c>
      <c r="J6309" s="19"/>
      <c r="L6309" s="16" t="str">
        <f>IFERROR(__xludf.DUMMYFUNCTION("""COMPUTED_VALUE"""),"")</f>
        <v/>
      </c>
      <c r="M6309" s="16" t="str">
        <f>IFERROR(__xludf.DUMMYFUNCTION("""COMPUTED_VALUE"""),"")</f>
        <v/>
      </c>
      <c r="U6309" s="16" t="s">
        <v>87</v>
      </c>
      <c r="V6309" s="16" t="str">
        <f>IFERROR(__xludf.DUMMYFUNCTION("""COMPUTED_VALUE"""),"")</f>
        <v/>
      </c>
      <c r="W6309" s="16" t="str">
        <f>IFERROR(__xludf.DUMMYFUNCTION("""COMPUTED_VALUE"""),"")</f>
        <v/>
      </c>
      <c r="X6309" s="16" t="str">
        <f>IFERROR(__xludf.DUMMYFUNCTION("""COMPUTED_VALUE"""),"")</f>
        <v/>
      </c>
      <c r="AC6309" s="16" t="str">
        <f>IFERROR(__xludf.DUMMYFUNCTION("""COMPUTED_VALUE"""),"")</f>
        <v/>
      </c>
    </row>
    <row r="6310">
      <c r="A6310" s="16" t="s">
        <v>87</v>
      </c>
      <c r="E6310" s="16" t="str">
        <f>IFERROR(__xludf.DUMMYFUNCTION("""COMPUTED_VALUE"""),"")</f>
        <v/>
      </c>
      <c r="G6310" s="18"/>
      <c r="H6310" s="16" t="s">
        <v>87</v>
      </c>
      <c r="I6310" s="16" t="s">
        <v>87</v>
      </c>
      <c r="J6310" s="19"/>
      <c r="L6310" s="16" t="str">
        <f>IFERROR(__xludf.DUMMYFUNCTION("""COMPUTED_VALUE"""),"")</f>
        <v/>
      </c>
      <c r="M6310" s="16" t="str">
        <f>IFERROR(__xludf.DUMMYFUNCTION("""COMPUTED_VALUE"""),"")</f>
        <v/>
      </c>
      <c r="U6310" s="16" t="s">
        <v>87</v>
      </c>
      <c r="V6310" s="16" t="str">
        <f>IFERROR(__xludf.DUMMYFUNCTION("""COMPUTED_VALUE"""),"")</f>
        <v/>
      </c>
      <c r="W6310" s="16" t="str">
        <f>IFERROR(__xludf.DUMMYFUNCTION("""COMPUTED_VALUE"""),"")</f>
        <v/>
      </c>
      <c r="X6310" s="16" t="str">
        <f>IFERROR(__xludf.DUMMYFUNCTION("""COMPUTED_VALUE"""),"")</f>
        <v/>
      </c>
      <c r="AC6310" s="16" t="str">
        <f>IFERROR(__xludf.DUMMYFUNCTION("""COMPUTED_VALUE"""),"")</f>
        <v/>
      </c>
    </row>
    <row r="6311">
      <c r="A6311" s="16" t="s">
        <v>87</v>
      </c>
      <c r="E6311" s="16" t="str">
        <f>IFERROR(__xludf.DUMMYFUNCTION("""COMPUTED_VALUE"""),"")</f>
        <v/>
      </c>
      <c r="G6311" s="18"/>
      <c r="H6311" s="16" t="s">
        <v>87</v>
      </c>
      <c r="I6311" s="16" t="s">
        <v>87</v>
      </c>
      <c r="J6311" s="19"/>
      <c r="L6311" s="16" t="str">
        <f>IFERROR(__xludf.DUMMYFUNCTION("""COMPUTED_VALUE"""),"")</f>
        <v/>
      </c>
      <c r="M6311" s="16" t="str">
        <f>IFERROR(__xludf.DUMMYFUNCTION("""COMPUTED_VALUE"""),"")</f>
        <v/>
      </c>
      <c r="U6311" s="16" t="s">
        <v>87</v>
      </c>
      <c r="V6311" s="16" t="str">
        <f>IFERROR(__xludf.DUMMYFUNCTION("""COMPUTED_VALUE"""),"")</f>
        <v/>
      </c>
      <c r="W6311" s="16" t="str">
        <f>IFERROR(__xludf.DUMMYFUNCTION("""COMPUTED_VALUE"""),"")</f>
        <v/>
      </c>
      <c r="X6311" s="16" t="str">
        <f>IFERROR(__xludf.DUMMYFUNCTION("""COMPUTED_VALUE"""),"")</f>
        <v/>
      </c>
      <c r="AC6311" s="16" t="str">
        <f>IFERROR(__xludf.DUMMYFUNCTION("""COMPUTED_VALUE"""),"")</f>
        <v/>
      </c>
    </row>
    <row r="6312">
      <c r="A6312" s="16" t="s">
        <v>87</v>
      </c>
      <c r="E6312" s="16" t="str">
        <f>IFERROR(__xludf.DUMMYFUNCTION("""COMPUTED_VALUE"""),"")</f>
        <v/>
      </c>
      <c r="G6312" s="18"/>
      <c r="H6312" s="16" t="s">
        <v>87</v>
      </c>
      <c r="I6312" s="16" t="s">
        <v>87</v>
      </c>
      <c r="J6312" s="19"/>
      <c r="L6312" s="16" t="str">
        <f>IFERROR(__xludf.DUMMYFUNCTION("""COMPUTED_VALUE"""),"")</f>
        <v/>
      </c>
      <c r="M6312" s="16" t="str">
        <f>IFERROR(__xludf.DUMMYFUNCTION("""COMPUTED_VALUE"""),"")</f>
        <v/>
      </c>
      <c r="U6312" s="16" t="s">
        <v>87</v>
      </c>
      <c r="V6312" s="16" t="str">
        <f>IFERROR(__xludf.DUMMYFUNCTION("""COMPUTED_VALUE"""),"")</f>
        <v/>
      </c>
      <c r="W6312" s="16" t="str">
        <f>IFERROR(__xludf.DUMMYFUNCTION("""COMPUTED_VALUE"""),"")</f>
        <v/>
      </c>
      <c r="X6312" s="16" t="str">
        <f>IFERROR(__xludf.DUMMYFUNCTION("""COMPUTED_VALUE"""),"")</f>
        <v/>
      </c>
      <c r="AC6312" s="16" t="str">
        <f>IFERROR(__xludf.DUMMYFUNCTION("""COMPUTED_VALUE"""),"")</f>
        <v/>
      </c>
    </row>
    <row r="6313">
      <c r="A6313" s="16" t="s">
        <v>87</v>
      </c>
      <c r="E6313" s="16" t="str">
        <f>IFERROR(__xludf.DUMMYFUNCTION("""COMPUTED_VALUE"""),"")</f>
        <v/>
      </c>
      <c r="G6313" s="18"/>
      <c r="H6313" s="16" t="s">
        <v>87</v>
      </c>
      <c r="I6313" s="16" t="s">
        <v>87</v>
      </c>
      <c r="J6313" s="19"/>
      <c r="L6313" s="16" t="str">
        <f>IFERROR(__xludf.DUMMYFUNCTION("""COMPUTED_VALUE"""),"")</f>
        <v/>
      </c>
      <c r="M6313" s="16" t="str">
        <f>IFERROR(__xludf.DUMMYFUNCTION("""COMPUTED_VALUE"""),"")</f>
        <v/>
      </c>
      <c r="U6313" s="16" t="s">
        <v>87</v>
      </c>
      <c r="V6313" s="16" t="str">
        <f>IFERROR(__xludf.DUMMYFUNCTION("""COMPUTED_VALUE"""),"")</f>
        <v/>
      </c>
      <c r="W6313" s="16" t="str">
        <f>IFERROR(__xludf.DUMMYFUNCTION("""COMPUTED_VALUE"""),"")</f>
        <v/>
      </c>
      <c r="X6313" s="16" t="str">
        <f>IFERROR(__xludf.DUMMYFUNCTION("""COMPUTED_VALUE"""),"")</f>
        <v/>
      </c>
      <c r="AC6313" s="16" t="str">
        <f>IFERROR(__xludf.DUMMYFUNCTION("""COMPUTED_VALUE"""),"")</f>
        <v/>
      </c>
    </row>
    <row r="6314">
      <c r="A6314" s="16" t="s">
        <v>87</v>
      </c>
      <c r="E6314" s="16" t="str">
        <f>IFERROR(__xludf.DUMMYFUNCTION("""COMPUTED_VALUE"""),"")</f>
        <v/>
      </c>
      <c r="G6314" s="18"/>
      <c r="H6314" s="16" t="s">
        <v>87</v>
      </c>
      <c r="I6314" s="16" t="s">
        <v>87</v>
      </c>
      <c r="J6314" s="19"/>
      <c r="L6314" s="16" t="str">
        <f>IFERROR(__xludf.DUMMYFUNCTION("""COMPUTED_VALUE"""),"")</f>
        <v/>
      </c>
      <c r="M6314" s="16" t="str">
        <f>IFERROR(__xludf.DUMMYFUNCTION("""COMPUTED_VALUE"""),"")</f>
        <v/>
      </c>
      <c r="U6314" s="16" t="s">
        <v>87</v>
      </c>
      <c r="V6314" s="16" t="str">
        <f>IFERROR(__xludf.DUMMYFUNCTION("""COMPUTED_VALUE"""),"")</f>
        <v/>
      </c>
      <c r="W6314" s="16" t="str">
        <f>IFERROR(__xludf.DUMMYFUNCTION("""COMPUTED_VALUE"""),"")</f>
        <v/>
      </c>
      <c r="X6314" s="16" t="str">
        <f>IFERROR(__xludf.DUMMYFUNCTION("""COMPUTED_VALUE"""),"")</f>
        <v/>
      </c>
      <c r="AC6314" s="16" t="str">
        <f>IFERROR(__xludf.DUMMYFUNCTION("""COMPUTED_VALUE"""),"")</f>
        <v/>
      </c>
    </row>
    <row r="6315">
      <c r="A6315" s="16" t="s">
        <v>87</v>
      </c>
      <c r="E6315" s="16" t="str">
        <f>IFERROR(__xludf.DUMMYFUNCTION("""COMPUTED_VALUE"""),"")</f>
        <v/>
      </c>
      <c r="G6315" s="18"/>
      <c r="H6315" s="16" t="s">
        <v>87</v>
      </c>
      <c r="I6315" s="16" t="s">
        <v>87</v>
      </c>
      <c r="J6315" s="19"/>
      <c r="L6315" s="16" t="str">
        <f>IFERROR(__xludf.DUMMYFUNCTION("""COMPUTED_VALUE"""),"")</f>
        <v/>
      </c>
      <c r="M6315" s="16" t="str">
        <f>IFERROR(__xludf.DUMMYFUNCTION("""COMPUTED_VALUE"""),"")</f>
        <v/>
      </c>
      <c r="U6315" s="16" t="s">
        <v>87</v>
      </c>
      <c r="V6315" s="16" t="str">
        <f>IFERROR(__xludf.DUMMYFUNCTION("""COMPUTED_VALUE"""),"")</f>
        <v/>
      </c>
      <c r="W6315" s="16" t="str">
        <f>IFERROR(__xludf.DUMMYFUNCTION("""COMPUTED_VALUE"""),"")</f>
        <v/>
      </c>
      <c r="X6315" s="16" t="str">
        <f>IFERROR(__xludf.DUMMYFUNCTION("""COMPUTED_VALUE"""),"")</f>
        <v/>
      </c>
      <c r="AC6315" s="16" t="str">
        <f>IFERROR(__xludf.DUMMYFUNCTION("""COMPUTED_VALUE"""),"")</f>
        <v/>
      </c>
    </row>
    <row r="6316">
      <c r="A6316" s="16" t="s">
        <v>87</v>
      </c>
      <c r="E6316" s="16" t="str">
        <f>IFERROR(__xludf.DUMMYFUNCTION("""COMPUTED_VALUE"""),"")</f>
        <v/>
      </c>
      <c r="G6316" s="18"/>
      <c r="H6316" s="16" t="s">
        <v>87</v>
      </c>
      <c r="I6316" s="16" t="s">
        <v>87</v>
      </c>
      <c r="J6316" s="19"/>
      <c r="L6316" s="16" t="str">
        <f>IFERROR(__xludf.DUMMYFUNCTION("""COMPUTED_VALUE"""),"")</f>
        <v/>
      </c>
      <c r="M6316" s="16" t="str">
        <f>IFERROR(__xludf.DUMMYFUNCTION("""COMPUTED_VALUE"""),"")</f>
        <v/>
      </c>
      <c r="U6316" s="16" t="s">
        <v>87</v>
      </c>
      <c r="V6316" s="16" t="str">
        <f>IFERROR(__xludf.DUMMYFUNCTION("""COMPUTED_VALUE"""),"")</f>
        <v/>
      </c>
      <c r="W6316" s="16" t="str">
        <f>IFERROR(__xludf.DUMMYFUNCTION("""COMPUTED_VALUE"""),"")</f>
        <v/>
      </c>
      <c r="X6316" s="16" t="str">
        <f>IFERROR(__xludf.DUMMYFUNCTION("""COMPUTED_VALUE"""),"")</f>
        <v/>
      </c>
      <c r="AC6316" s="16" t="str">
        <f>IFERROR(__xludf.DUMMYFUNCTION("""COMPUTED_VALUE"""),"")</f>
        <v/>
      </c>
    </row>
    <row r="6317">
      <c r="A6317" s="16" t="s">
        <v>87</v>
      </c>
      <c r="E6317" s="16" t="str">
        <f>IFERROR(__xludf.DUMMYFUNCTION("""COMPUTED_VALUE"""),"")</f>
        <v/>
      </c>
      <c r="G6317" s="18"/>
      <c r="H6317" s="16" t="s">
        <v>87</v>
      </c>
      <c r="I6317" s="16" t="s">
        <v>87</v>
      </c>
      <c r="J6317" s="19"/>
      <c r="L6317" s="16" t="str">
        <f>IFERROR(__xludf.DUMMYFUNCTION("""COMPUTED_VALUE"""),"")</f>
        <v/>
      </c>
      <c r="M6317" s="16" t="str">
        <f>IFERROR(__xludf.DUMMYFUNCTION("""COMPUTED_VALUE"""),"")</f>
        <v/>
      </c>
      <c r="U6317" s="16" t="s">
        <v>87</v>
      </c>
      <c r="V6317" s="16" t="str">
        <f>IFERROR(__xludf.DUMMYFUNCTION("""COMPUTED_VALUE"""),"")</f>
        <v/>
      </c>
      <c r="W6317" s="16" t="str">
        <f>IFERROR(__xludf.DUMMYFUNCTION("""COMPUTED_VALUE"""),"")</f>
        <v/>
      </c>
      <c r="X6317" s="16" t="str">
        <f>IFERROR(__xludf.DUMMYFUNCTION("""COMPUTED_VALUE"""),"")</f>
        <v/>
      </c>
      <c r="AC6317" s="16" t="str">
        <f>IFERROR(__xludf.DUMMYFUNCTION("""COMPUTED_VALUE"""),"")</f>
        <v/>
      </c>
    </row>
    <row r="6318">
      <c r="A6318" s="16" t="s">
        <v>87</v>
      </c>
      <c r="E6318" s="16" t="str">
        <f>IFERROR(__xludf.DUMMYFUNCTION("""COMPUTED_VALUE"""),"")</f>
        <v/>
      </c>
      <c r="G6318" s="18"/>
      <c r="H6318" s="16" t="s">
        <v>87</v>
      </c>
      <c r="I6318" s="16" t="s">
        <v>87</v>
      </c>
      <c r="J6318" s="19"/>
      <c r="L6318" s="16" t="str">
        <f>IFERROR(__xludf.DUMMYFUNCTION("""COMPUTED_VALUE"""),"")</f>
        <v/>
      </c>
      <c r="M6318" s="16" t="str">
        <f>IFERROR(__xludf.DUMMYFUNCTION("""COMPUTED_VALUE"""),"")</f>
        <v/>
      </c>
      <c r="U6318" s="16" t="s">
        <v>87</v>
      </c>
      <c r="V6318" s="16" t="str">
        <f>IFERROR(__xludf.DUMMYFUNCTION("""COMPUTED_VALUE"""),"")</f>
        <v/>
      </c>
      <c r="W6318" s="16" t="str">
        <f>IFERROR(__xludf.DUMMYFUNCTION("""COMPUTED_VALUE"""),"")</f>
        <v/>
      </c>
      <c r="X6318" s="16" t="str">
        <f>IFERROR(__xludf.DUMMYFUNCTION("""COMPUTED_VALUE"""),"")</f>
        <v/>
      </c>
      <c r="AC6318" s="16" t="str">
        <f>IFERROR(__xludf.DUMMYFUNCTION("""COMPUTED_VALUE"""),"")</f>
        <v/>
      </c>
    </row>
    <row r="6319">
      <c r="A6319" s="16" t="s">
        <v>87</v>
      </c>
      <c r="E6319" s="16" t="str">
        <f>IFERROR(__xludf.DUMMYFUNCTION("""COMPUTED_VALUE"""),"")</f>
        <v/>
      </c>
      <c r="G6319" s="18"/>
      <c r="H6319" s="16" t="s">
        <v>87</v>
      </c>
      <c r="I6319" s="16" t="s">
        <v>87</v>
      </c>
      <c r="J6319" s="19"/>
      <c r="L6319" s="16" t="str">
        <f>IFERROR(__xludf.DUMMYFUNCTION("""COMPUTED_VALUE"""),"")</f>
        <v/>
      </c>
      <c r="M6319" s="16" t="str">
        <f>IFERROR(__xludf.DUMMYFUNCTION("""COMPUTED_VALUE"""),"")</f>
        <v/>
      </c>
      <c r="U6319" s="16" t="s">
        <v>87</v>
      </c>
      <c r="V6319" s="16" t="str">
        <f>IFERROR(__xludf.DUMMYFUNCTION("""COMPUTED_VALUE"""),"")</f>
        <v/>
      </c>
      <c r="W6319" s="16" t="str">
        <f>IFERROR(__xludf.DUMMYFUNCTION("""COMPUTED_VALUE"""),"")</f>
        <v/>
      </c>
      <c r="X6319" s="16" t="str">
        <f>IFERROR(__xludf.DUMMYFUNCTION("""COMPUTED_VALUE"""),"")</f>
        <v/>
      </c>
      <c r="AC6319" s="16" t="str">
        <f>IFERROR(__xludf.DUMMYFUNCTION("""COMPUTED_VALUE"""),"")</f>
        <v/>
      </c>
    </row>
    <row r="6320">
      <c r="A6320" s="16" t="s">
        <v>87</v>
      </c>
      <c r="E6320" s="16" t="str">
        <f>IFERROR(__xludf.DUMMYFUNCTION("""COMPUTED_VALUE"""),"")</f>
        <v/>
      </c>
      <c r="G6320" s="18"/>
      <c r="H6320" s="16" t="s">
        <v>87</v>
      </c>
      <c r="I6320" s="16" t="s">
        <v>87</v>
      </c>
      <c r="J6320" s="19"/>
      <c r="L6320" s="16" t="str">
        <f>IFERROR(__xludf.DUMMYFUNCTION("""COMPUTED_VALUE"""),"")</f>
        <v/>
      </c>
      <c r="M6320" s="16" t="str">
        <f>IFERROR(__xludf.DUMMYFUNCTION("""COMPUTED_VALUE"""),"")</f>
        <v/>
      </c>
      <c r="U6320" s="16" t="s">
        <v>87</v>
      </c>
      <c r="V6320" s="16" t="str">
        <f>IFERROR(__xludf.DUMMYFUNCTION("""COMPUTED_VALUE"""),"")</f>
        <v/>
      </c>
      <c r="W6320" s="16" t="str">
        <f>IFERROR(__xludf.DUMMYFUNCTION("""COMPUTED_VALUE"""),"")</f>
        <v/>
      </c>
      <c r="X6320" s="16" t="str">
        <f>IFERROR(__xludf.DUMMYFUNCTION("""COMPUTED_VALUE"""),"")</f>
        <v/>
      </c>
      <c r="AC6320" s="16" t="str">
        <f>IFERROR(__xludf.DUMMYFUNCTION("""COMPUTED_VALUE"""),"")</f>
        <v/>
      </c>
    </row>
    <row r="6321">
      <c r="A6321" s="16" t="s">
        <v>87</v>
      </c>
      <c r="E6321" s="16" t="str">
        <f>IFERROR(__xludf.DUMMYFUNCTION("""COMPUTED_VALUE"""),"")</f>
        <v/>
      </c>
      <c r="G6321" s="18"/>
      <c r="H6321" s="16" t="s">
        <v>87</v>
      </c>
      <c r="I6321" s="16" t="s">
        <v>87</v>
      </c>
      <c r="J6321" s="19"/>
      <c r="L6321" s="16" t="str">
        <f>IFERROR(__xludf.DUMMYFUNCTION("""COMPUTED_VALUE"""),"")</f>
        <v/>
      </c>
      <c r="M6321" s="16" t="str">
        <f>IFERROR(__xludf.DUMMYFUNCTION("""COMPUTED_VALUE"""),"")</f>
        <v/>
      </c>
      <c r="U6321" s="16" t="s">
        <v>87</v>
      </c>
      <c r="V6321" s="16" t="str">
        <f>IFERROR(__xludf.DUMMYFUNCTION("""COMPUTED_VALUE"""),"")</f>
        <v/>
      </c>
      <c r="W6321" s="16" t="str">
        <f>IFERROR(__xludf.DUMMYFUNCTION("""COMPUTED_VALUE"""),"")</f>
        <v/>
      </c>
      <c r="X6321" s="16" t="str">
        <f>IFERROR(__xludf.DUMMYFUNCTION("""COMPUTED_VALUE"""),"")</f>
        <v/>
      </c>
      <c r="AC6321" s="16" t="str">
        <f>IFERROR(__xludf.DUMMYFUNCTION("""COMPUTED_VALUE"""),"")</f>
        <v/>
      </c>
    </row>
    <row r="6322">
      <c r="A6322" s="16" t="s">
        <v>87</v>
      </c>
      <c r="E6322" s="16" t="str">
        <f>IFERROR(__xludf.DUMMYFUNCTION("""COMPUTED_VALUE"""),"")</f>
        <v/>
      </c>
      <c r="G6322" s="18"/>
      <c r="H6322" s="16" t="s">
        <v>87</v>
      </c>
      <c r="I6322" s="16" t="s">
        <v>87</v>
      </c>
      <c r="J6322" s="19"/>
      <c r="L6322" s="16" t="str">
        <f>IFERROR(__xludf.DUMMYFUNCTION("""COMPUTED_VALUE"""),"")</f>
        <v/>
      </c>
      <c r="M6322" s="16" t="str">
        <f>IFERROR(__xludf.DUMMYFUNCTION("""COMPUTED_VALUE"""),"")</f>
        <v/>
      </c>
      <c r="U6322" s="16" t="s">
        <v>87</v>
      </c>
      <c r="V6322" s="16" t="str">
        <f>IFERROR(__xludf.DUMMYFUNCTION("""COMPUTED_VALUE"""),"")</f>
        <v/>
      </c>
      <c r="W6322" s="16" t="str">
        <f>IFERROR(__xludf.DUMMYFUNCTION("""COMPUTED_VALUE"""),"")</f>
        <v/>
      </c>
      <c r="X6322" s="16" t="str">
        <f>IFERROR(__xludf.DUMMYFUNCTION("""COMPUTED_VALUE"""),"")</f>
        <v/>
      </c>
      <c r="AC6322" s="16" t="str">
        <f>IFERROR(__xludf.DUMMYFUNCTION("""COMPUTED_VALUE"""),"")</f>
        <v/>
      </c>
    </row>
    <row r="6323">
      <c r="A6323" s="16" t="s">
        <v>87</v>
      </c>
      <c r="E6323" s="16" t="str">
        <f>IFERROR(__xludf.DUMMYFUNCTION("""COMPUTED_VALUE"""),"")</f>
        <v/>
      </c>
      <c r="G6323" s="18"/>
      <c r="H6323" s="16" t="s">
        <v>87</v>
      </c>
      <c r="I6323" s="16" t="s">
        <v>87</v>
      </c>
      <c r="J6323" s="19"/>
      <c r="L6323" s="16" t="str">
        <f>IFERROR(__xludf.DUMMYFUNCTION("""COMPUTED_VALUE"""),"")</f>
        <v/>
      </c>
      <c r="M6323" s="16" t="str">
        <f>IFERROR(__xludf.DUMMYFUNCTION("""COMPUTED_VALUE"""),"")</f>
        <v/>
      </c>
      <c r="U6323" s="16" t="s">
        <v>87</v>
      </c>
      <c r="V6323" s="16" t="str">
        <f>IFERROR(__xludf.DUMMYFUNCTION("""COMPUTED_VALUE"""),"")</f>
        <v/>
      </c>
      <c r="W6323" s="16" t="str">
        <f>IFERROR(__xludf.DUMMYFUNCTION("""COMPUTED_VALUE"""),"")</f>
        <v/>
      </c>
      <c r="X6323" s="16" t="str">
        <f>IFERROR(__xludf.DUMMYFUNCTION("""COMPUTED_VALUE"""),"")</f>
        <v/>
      </c>
      <c r="AC6323" s="16" t="str">
        <f>IFERROR(__xludf.DUMMYFUNCTION("""COMPUTED_VALUE"""),"")</f>
        <v/>
      </c>
    </row>
    <row r="6324">
      <c r="A6324" s="16" t="s">
        <v>87</v>
      </c>
      <c r="E6324" s="16" t="str">
        <f>IFERROR(__xludf.DUMMYFUNCTION("""COMPUTED_VALUE"""),"")</f>
        <v/>
      </c>
      <c r="G6324" s="18"/>
      <c r="H6324" s="16" t="s">
        <v>87</v>
      </c>
      <c r="I6324" s="16" t="s">
        <v>87</v>
      </c>
      <c r="J6324" s="19"/>
      <c r="L6324" s="16" t="str">
        <f>IFERROR(__xludf.DUMMYFUNCTION("""COMPUTED_VALUE"""),"")</f>
        <v/>
      </c>
      <c r="M6324" s="16" t="str">
        <f>IFERROR(__xludf.DUMMYFUNCTION("""COMPUTED_VALUE"""),"")</f>
        <v/>
      </c>
      <c r="U6324" s="16" t="s">
        <v>87</v>
      </c>
      <c r="V6324" s="16" t="str">
        <f>IFERROR(__xludf.DUMMYFUNCTION("""COMPUTED_VALUE"""),"")</f>
        <v/>
      </c>
      <c r="W6324" s="16" t="str">
        <f>IFERROR(__xludf.DUMMYFUNCTION("""COMPUTED_VALUE"""),"")</f>
        <v/>
      </c>
      <c r="X6324" s="16" t="str">
        <f>IFERROR(__xludf.DUMMYFUNCTION("""COMPUTED_VALUE"""),"")</f>
        <v/>
      </c>
      <c r="AC6324" s="16" t="str">
        <f>IFERROR(__xludf.DUMMYFUNCTION("""COMPUTED_VALUE"""),"")</f>
        <v/>
      </c>
    </row>
    <row r="6325">
      <c r="A6325" s="16" t="s">
        <v>87</v>
      </c>
      <c r="E6325" s="16" t="str">
        <f>IFERROR(__xludf.DUMMYFUNCTION("""COMPUTED_VALUE"""),"")</f>
        <v/>
      </c>
      <c r="G6325" s="18"/>
      <c r="H6325" s="16" t="s">
        <v>87</v>
      </c>
      <c r="I6325" s="16" t="s">
        <v>87</v>
      </c>
      <c r="J6325" s="19"/>
      <c r="L6325" s="16" t="str">
        <f>IFERROR(__xludf.DUMMYFUNCTION("""COMPUTED_VALUE"""),"")</f>
        <v/>
      </c>
      <c r="M6325" s="16" t="str">
        <f>IFERROR(__xludf.DUMMYFUNCTION("""COMPUTED_VALUE"""),"")</f>
        <v/>
      </c>
      <c r="U6325" s="16" t="s">
        <v>87</v>
      </c>
      <c r="V6325" s="16" t="str">
        <f>IFERROR(__xludf.DUMMYFUNCTION("""COMPUTED_VALUE"""),"")</f>
        <v/>
      </c>
      <c r="W6325" s="16" t="str">
        <f>IFERROR(__xludf.DUMMYFUNCTION("""COMPUTED_VALUE"""),"")</f>
        <v/>
      </c>
      <c r="X6325" s="16" t="str">
        <f>IFERROR(__xludf.DUMMYFUNCTION("""COMPUTED_VALUE"""),"")</f>
        <v/>
      </c>
      <c r="AC6325" s="16" t="str">
        <f>IFERROR(__xludf.DUMMYFUNCTION("""COMPUTED_VALUE"""),"")</f>
        <v/>
      </c>
    </row>
    <row r="6326">
      <c r="A6326" s="16" t="s">
        <v>87</v>
      </c>
      <c r="E6326" s="16" t="str">
        <f>IFERROR(__xludf.DUMMYFUNCTION("""COMPUTED_VALUE"""),"")</f>
        <v/>
      </c>
      <c r="G6326" s="18"/>
      <c r="H6326" s="16" t="s">
        <v>87</v>
      </c>
      <c r="I6326" s="16" t="s">
        <v>87</v>
      </c>
      <c r="J6326" s="19"/>
      <c r="L6326" s="16" t="str">
        <f>IFERROR(__xludf.DUMMYFUNCTION("""COMPUTED_VALUE"""),"")</f>
        <v/>
      </c>
      <c r="M6326" s="16" t="str">
        <f>IFERROR(__xludf.DUMMYFUNCTION("""COMPUTED_VALUE"""),"")</f>
        <v/>
      </c>
      <c r="U6326" s="16" t="s">
        <v>87</v>
      </c>
      <c r="V6326" s="16" t="str">
        <f>IFERROR(__xludf.DUMMYFUNCTION("""COMPUTED_VALUE"""),"")</f>
        <v/>
      </c>
      <c r="W6326" s="16" t="str">
        <f>IFERROR(__xludf.DUMMYFUNCTION("""COMPUTED_VALUE"""),"")</f>
        <v/>
      </c>
      <c r="X6326" s="16" t="str">
        <f>IFERROR(__xludf.DUMMYFUNCTION("""COMPUTED_VALUE"""),"")</f>
        <v/>
      </c>
      <c r="AC6326" s="16" t="str">
        <f>IFERROR(__xludf.DUMMYFUNCTION("""COMPUTED_VALUE"""),"")</f>
        <v/>
      </c>
    </row>
    <row r="6327">
      <c r="A6327" s="16" t="s">
        <v>87</v>
      </c>
      <c r="E6327" s="16" t="str">
        <f>IFERROR(__xludf.DUMMYFUNCTION("""COMPUTED_VALUE"""),"")</f>
        <v/>
      </c>
      <c r="G6327" s="18"/>
      <c r="H6327" s="16" t="s">
        <v>87</v>
      </c>
      <c r="I6327" s="16" t="s">
        <v>87</v>
      </c>
      <c r="J6327" s="19"/>
      <c r="L6327" s="16" t="str">
        <f>IFERROR(__xludf.DUMMYFUNCTION("""COMPUTED_VALUE"""),"")</f>
        <v/>
      </c>
      <c r="M6327" s="16" t="str">
        <f>IFERROR(__xludf.DUMMYFUNCTION("""COMPUTED_VALUE"""),"")</f>
        <v/>
      </c>
      <c r="U6327" s="16" t="s">
        <v>87</v>
      </c>
      <c r="V6327" s="16" t="str">
        <f>IFERROR(__xludf.DUMMYFUNCTION("""COMPUTED_VALUE"""),"")</f>
        <v/>
      </c>
      <c r="W6327" s="16" t="str">
        <f>IFERROR(__xludf.DUMMYFUNCTION("""COMPUTED_VALUE"""),"")</f>
        <v/>
      </c>
      <c r="X6327" s="16" t="str">
        <f>IFERROR(__xludf.DUMMYFUNCTION("""COMPUTED_VALUE"""),"")</f>
        <v/>
      </c>
      <c r="AC6327" s="16" t="str">
        <f>IFERROR(__xludf.DUMMYFUNCTION("""COMPUTED_VALUE"""),"")</f>
        <v/>
      </c>
    </row>
    <row r="6328">
      <c r="A6328" s="16" t="s">
        <v>87</v>
      </c>
      <c r="E6328" s="16" t="str">
        <f>IFERROR(__xludf.DUMMYFUNCTION("""COMPUTED_VALUE"""),"")</f>
        <v/>
      </c>
      <c r="G6328" s="18"/>
      <c r="H6328" s="16" t="s">
        <v>87</v>
      </c>
      <c r="I6328" s="16" t="s">
        <v>87</v>
      </c>
      <c r="J6328" s="19"/>
      <c r="L6328" s="16" t="str">
        <f>IFERROR(__xludf.DUMMYFUNCTION("""COMPUTED_VALUE"""),"")</f>
        <v/>
      </c>
      <c r="M6328" s="16" t="str">
        <f>IFERROR(__xludf.DUMMYFUNCTION("""COMPUTED_VALUE"""),"")</f>
        <v/>
      </c>
      <c r="U6328" s="16" t="s">
        <v>87</v>
      </c>
      <c r="V6328" s="16" t="str">
        <f>IFERROR(__xludf.DUMMYFUNCTION("""COMPUTED_VALUE"""),"")</f>
        <v/>
      </c>
      <c r="W6328" s="16" t="str">
        <f>IFERROR(__xludf.DUMMYFUNCTION("""COMPUTED_VALUE"""),"")</f>
        <v/>
      </c>
      <c r="X6328" s="16" t="str">
        <f>IFERROR(__xludf.DUMMYFUNCTION("""COMPUTED_VALUE"""),"")</f>
        <v/>
      </c>
      <c r="AC6328" s="16" t="str">
        <f>IFERROR(__xludf.DUMMYFUNCTION("""COMPUTED_VALUE"""),"")</f>
        <v/>
      </c>
    </row>
    <row r="6329">
      <c r="A6329" s="16" t="s">
        <v>87</v>
      </c>
      <c r="E6329" s="16" t="str">
        <f>IFERROR(__xludf.DUMMYFUNCTION("""COMPUTED_VALUE"""),"")</f>
        <v/>
      </c>
      <c r="G6329" s="18"/>
      <c r="H6329" s="16" t="s">
        <v>87</v>
      </c>
      <c r="I6329" s="16" t="s">
        <v>87</v>
      </c>
      <c r="J6329" s="19"/>
      <c r="L6329" s="16" t="str">
        <f>IFERROR(__xludf.DUMMYFUNCTION("""COMPUTED_VALUE"""),"")</f>
        <v/>
      </c>
      <c r="M6329" s="16" t="str">
        <f>IFERROR(__xludf.DUMMYFUNCTION("""COMPUTED_VALUE"""),"")</f>
        <v/>
      </c>
      <c r="U6329" s="16" t="s">
        <v>87</v>
      </c>
      <c r="V6329" s="16" t="str">
        <f>IFERROR(__xludf.DUMMYFUNCTION("""COMPUTED_VALUE"""),"")</f>
        <v/>
      </c>
      <c r="W6329" s="16" t="str">
        <f>IFERROR(__xludf.DUMMYFUNCTION("""COMPUTED_VALUE"""),"")</f>
        <v/>
      </c>
      <c r="X6329" s="16" t="str">
        <f>IFERROR(__xludf.DUMMYFUNCTION("""COMPUTED_VALUE"""),"")</f>
        <v/>
      </c>
      <c r="AC6329" s="16" t="str">
        <f>IFERROR(__xludf.DUMMYFUNCTION("""COMPUTED_VALUE"""),"")</f>
        <v/>
      </c>
    </row>
    <row r="6330">
      <c r="A6330" s="16" t="s">
        <v>87</v>
      </c>
      <c r="E6330" s="16" t="str">
        <f>IFERROR(__xludf.DUMMYFUNCTION("""COMPUTED_VALUE"""),"")</f>
        <v/>
      </c>
      <c r="G6330" s="18"/>
      <c r="H6330" s="16" t="s">
        <v>87</v>
      </c>
      <c r="I6330" s="16" t="s">
        <v>87</v>
      </c>
      <c r="J6330" s="19"/>
      <c r="L6330" s="16" t="str">
        <f>IFERROR(__xludf.DUMMYFUNCTION("""COMPUTED_VALUE"""),"")</f>
        <v/>
      </c>
      <c r="M6330" s="16" t="str">
        <f>IFERROR(__xludf.DUMMYFUNCTION("""COMPUTED_VALUE"""),"")</f>
        <v/>
      </c>
      <c r="U6330" s="16" t="s">
        <v>87</v>
      </c>
      <c r="V6330" s="16" t="str">
        <f>IFERROR(__xludf.DUMMYFUNCTION("""COMPUTED_VALUE"""),"")</f>
        <v/>
      </c>
      <c r="W6330" s="16" t="str">
        <f>IFERROR(__xludf.DUMMYFUNCTION("""COMPUTED_VALUE"""),"")</f>
        <v/>
      </c>
      <c r="X6330" s="16" t="str">
        <f>IFERROR(__xludf.DUMMYFUNCTION("""COMPUTED_VALUE"""),"")</f>
        <v/>
      </c>
      <c r="AC6330" s="16" t="str">
        <f>IFERROR(__xludf.DUMMYFUNCTION("""COMPUTED_VALUE"""),"")</f>
        <v/>
      </c>
    </row>
    <row r="6331">
      <c r="A6331" s="16" t="s">
        <v>87</v>
      </c>
      <c r="E6331" s="16" t="str">
        <f>IFERROR(__xludf.DUMMYFUNCTION("""COMPUTED_VALUE"""),"")</f>
        <v/>
      </c>
      <c r="G6331" s="18"/>
      <c r="H6331" s="16" t="s">
        <v>87</v>
      </c>
      <c r="I6331" s="16" t="s">
        <v>87</v>
      </c>
      <c r="J6331" s="19"/>
      <c r="L6331" s="16" t="str">
        <f>IFERROR(__xludf.DUMMYFUNCTION("""COMPUTED_VALUE"""),"")</f>
        <v/>
      </c>
      <c r="M6331" s="16" t="str">
        <f>IFERROR(__xludf.DUMMYFUNCTION("""COMPUTED_VALUE"""),"")</f>
        <v/>
      </c>
      <c r="U6331" s="16" t="s">
        <v>87</v>
      </c>
      <c r="V6331" s="16" t="str">
        <f>IFERROR(__xludf.DUMMYFUNCTION("""COMPUTED_VALUE"""),"")</f>
        <v/>
      </c>
      <c r="W6331" s="16" t="str">
        <f>IFERROR(__xludf.DUMMYFUNCTION("""COMPUTED_VALUE"""),"")</f>
        <v/>
      </c>
      <c r="X6331" s="16" t="str">
        <f>IFERROR(__xludf.DUMMYFUNCTION("""COMPUTED_VALUE"""),"")</f>
        <v/>
      </c>
      <c r="AC6331" s="16" t="str">
        <f>IFERROR(__xludf.DUMMYFUNCTION("""COMPUTED_VALUE"""),"")</f>
        <v/>
      </c>
    </row>
    <row r="6332">
      <c r="A6332" s="16" t="s">
        <v>87</v>
      </c>
      <c r="E6332" s="16" t="str">
        <f>IFERROR(__xludf.DUMMYFUNCTION("""COMPUTED_VALUE"""),"")</f>
        <v/>
      </c>
      <c r="G6332" s="18"/>
      <c r="H6332" s="16" t="s">
        <v>87</v>
      </c>
      <c r="I6332" s="16" t="s">
        <v>87</v>
      </c>
      <c r="J6332" s="19"/>
      <c r="L6332" s="16" t="str">
        <f>IFERROR(__xludf.DUMMYFUNCTION("""COMPUTED_VALUE"""),"")</f>
        <v/>
      </c>
      <c r="M6332" s="16" t="str">
        <f>IFERROR(__xludf.DUMMYFUNCTION("""COMPUTED_VALUE"""),"")</f>
        <v/>
      </c>
      <c r="U6332" s="16" t="s">
        <v>87</v>
      </c>
      <c r="V6332" s="16" t="str">
        <f>IFERROR(__xludf.DUMMYFUNCTION("""COMPUTED_VALUE"""),"")</f>
        <v/>
      </c>
      <c r="W6332" s="16" t="str">
        <f>IFERROR(__xludf.DUMMYFUNCTION("""COMPUTED_VALUE"""),"")</f>
        <v/>
      </c>
      <c r="X6332" s="16" t="str">
        <f>IFERROR(__xludf.DUMMYFUNCTION("""COMPUTED_VALUE"""),"")</f>
        <v/>
      </c>
      <c r="AC6332" s="16" t="str">
        <f>IFERROR(__xludf.DUMMYFUNCTION("""COMPUTED_VALUE"""),"")</f>
        <v/>
      </c>
    </row>
    <row r="6333">
      <c r="A6333" s="16" t="s">
        <v>87</v>
      </c>
      <c r="E6333" s="16" t="str">
        <f>IFERROR(__xludf.DUMMYFUNCTION("""COMPUTED_VALUE"""),"")</f>
        <v/>
      </c>
      <c r="G6333" s="18"/>
      <c r="H6333" s="16" t="s">
        <v>87</v>
      </c>
      <c r="I6333" s="16" t="s">
        <v>87</v>
      </c>
      <c r="J6333" s="19"/>
      <c r="L6333" s="16" t="str">
        <f>IFERROR(__xludf.DUMMYFUNCTION("""COMPUTED_VALUE"""),"")</f>
        <v/>
      </c>
      <c r="M6333" s="16" t="str">
        <f>IFERROR(__xludf.DUMMYFUNCTION("""COMPUTED_VALUE"""),"")</f>
        <v/>
      </c>
      <c r="U6333" s="16" t="s">
        <v>87</v>
      </c>
      <c r="V6333" s="16" t="str">
        <f>IFERROR(__xludf.DUMMYFUNCTION("""COMPUTED_VALUE"""),"")</f>
        <v/>
      </c>
      <c r="W6333" s="16" t="str">
        <f>IFERROR(__xludf.DUMMYFUNCTION("""COMPUTED_VALUE"""),"")</f>
        <v/>
      </c>
      <c r="X6333" s="16" t="str">
        <f>IFERROR(__xludf.DUMMYFUNCTION("""COMPUTED_VALUE"""),"")</f>
        <v/>
      </c>
      <c r="AC6333" s="16" t="str">
        <f>IFERROR(__xludf.DUMMYFUNCTION("""COMPUTED_VALUE"""),"")</f>
        <v/>
      </c>
    </row>
    <row r="6334">
      <c r="A6334" s="16" t="s">
        <v>87</v>
      </c>
      <c r="E6334" s="16" t="str">
        <f>IFERROR(__xludf.DUMMYFUNCTION("""COMPUTED_VALUE"""),"")</f>
        <v/>
      </c>
      <c r="G6334" s="18"/>
      <c r="H6334" s="16" t="s">
        <v>87</v>
      </c>
      <c r="I6334" s="16" t="s">
        <v>87</v>
      </c>
      <c r="J6334" s="19"/>
      <c r="L6334" s="16" t="str">
        <f>IFERROR(__xludf.DUMMYFUNCTION("""COMPUTED_VALUE"""),"")</f>
        <v/>
      </c>
      <c r="M6334" s="16" t="str">
        <f>IFERROR(__xludf.DUMMYFUNCTION("""COMPUTED_VALUE"""),"")</f>
        <v/>
      </c>
      <c r="U6334" s="16" t="s">
        <v>87</v>
      </c>
      <c r="V6334" s="16" t="str">
        <f>IFERROR(__xludf.DUMMYFUNCTION("""COMPUTED_VALUE"""),"")</f>
        <v/>
      </c>
      <c r="W6334" s="16" t="str">
        <f>IFERROR(__xludf.DUMMYFUNCTION("""COMPUTED_VALUE"""),"")</f>
        <v/>
      </c>
      <c r="X6334" s="16" t="str">
        <f>IFERROR(__xludf.DUMMYFUNCTION("""COMPUTED_VALUE"""),"")</f>
        <v/>
      </c>
      <c r="AC6334" s="16" t="str">
        <f>IFERROR(__xludf.DUMMYFUNCTION("""COMPUTED_VALUE"""),"")</f>
        <v/>
      </c>
    </row>
    <row r="6335">
      <c r="A6335" s="16" t="s">
        <v>87</v>
      </c>
      <c r="E6335" s="16" t="str">
        <f>IFERROR(__xludf.DUMMYFUNCTION("""COMPUTED_VALUE"""),"")</f>
        <v/>
      </c>
      <c r="G6335" s="18"/>
      <c r="H6335" s="16" t="s">
        <v>87</v>
      </c>
      <c r="I6335" s="16" t="s">
        <v>87</v>
      </c>
      <c r="J6335" s="19"/>
      <c r="L6335" s="16" t="str">
        <f>IFERROR(__xludf.DUMMYFUNCTION("""COMPUTED_VALUE"""),"")</f>
        <v/>
      </c>
      <c r="M6335" s="16" t="str">
        <f>IFERROR(__xludf.DUMMYFUNCTION("""COMPUTED_VALUE"""),"")</f>
        <v/>
      </c>
      <c r="U6335" s="16" t="s">
        <v>87</v>
      </c>
      <c r="V6335" s="16" t="str">
        <f>IFERROR(__xludf.DUMMYFUNCTION("""COMPUTED_VALUE"""),"")</f>
        <v/>
      </c>
      <c r="W6335" s="16" t="str">
        <f>IFERROR(__xludf.DUMMYFUNCTION("""COMPUTED_VALUE"""),"")</f>
        <v/>
      </c>
      <c r="X6335" s="16" t="str">
        <f>IFERROR(__xludf.DUMMYFUNCTION("""COMPUTED_VALUE"""),"")</f>
        <v/>
      </c>
      <c r="AC6335" s="16" t="str">
        <f>IFERROR(__xludf.DUMMYFUNCTION("""COMPUTED_VALUE"""),"")</f>
        <v/>
      </c>
    </row>
    <row r="6336">
      <c r="A6336" s="16" t="s">
        <v>87</v>
      </c>
      <c r="E6336" s="16" t="str">
        <f>IFERROR(__xludf.DUMMYFUNCTION("""COMPUTED_VALUE"""),"")</f>
        <v/>
      </c>
      <c r="G6336" s="18"/>
      <c r="H6336" s="16" t="s">
        <v>87</v>
      </c>
      <c r="I6336" s="16" t="s">
        <v>87</v>
      </c>
      <c r="J6336" s="19"/>
      <c r="L6336" s="16" t="str">
        <f>IFERROR(__xludf.DUMMYFUNCTION("""COMPUTED_VALUE"""),"")</f>
        <v/>
      </c>
      <c r="M6336" s="16" t="str">
        <f>IFERROR(__xludf.DUMMYFUNCTION("""COMPUTED_VALUE"""),"")</f>
        <v/>
      </c>
      <c r="U6336" s="16" t="s">
        <v>87</v>
      </c>
      <c r="V6336" s="16" t="str">
        <f>IFERROR(__xludf.DUMMYFUNCTION("""COMPUTED_VALUE"""),"")</f>
        <v/>
      </c>
      <c r="W6336" s="16" t="str">
        <f>IFERROR(__xludf.DUMMYFUNCTION("""COMPUTED_VALUE"""),"")</f>
        <v/>
      </c>
      <c r="X6336" s="16" t="str">
        <f>IFERROR(__xludf.DUMMYFUNCTION("""COMPUTED_VALUE"""),"")</f>
        <v/>
      </c>
      <c r="AC6336" s="16" t="str">
        <f>IFERROR(__xludf.DUMMYFUNCTION("""COMPUTED_VALUE"""),"")</f>
        <v/>
      </c>
    </row>
    <row r="6337">
      <c r="A6337" s="16" t="s">
        <v>87</v>
      </c>
      <c r="E6337" s="16" t="str">
        <f>IFERROR(__xludf.DUMMYFUNCTION("""COMPUTED_VALUE"""),"")</f>
        <v/>
      </c>
      <c r="G6337" s="18"/>
      <c r="H6337" s="16" t="s">
        <v>87</v>
      </c>
      <c r="I6337" s="16" t="s">
        <v>87</v>
      </c>
      <c r="J6337" s="19"/>
      <c r="L6337" s="16" t="str">
        <f>IFERROR(__xludf.DUMMYFUNCTION("""COMPUTED_VALUE"""),"")</f>
        <v/>
      </c>
      <c r="M6337" s="16" t="str">
        <f>IFERROR(__xludf.DUMMYFUNCTION("""COMPUTED_VALUE"""),"")</f>
        <v/>
      </c>
      <c r="U6337" s="16" t="s">
        <v>87</v>
      </c>
      <c r="V6337" s="16" t="str">
        <f>IFERROR(__xludf.DUMMYFUNCTION("""COMPUTED_VALUE"""),"")</f>
        <v/>
      </c>
      <c r="W6337" s="16" t="str">
        <f>IFERROR(__xludf.DUMMYFUNCTION("""COMPUTED_VALUE"""),"")</f>
        <v/>
      </c>
      <c r="X6337" s="16" t="str">
        <f>IFERROR(__xludf.DUMMYFUNCTION("""COMPUTED_VALUE"""),"")</f>
        <v/>
      </c>
      <c r="AC6337" s="16" t="str">
        <f>IFERROR(__xludf.DUMMYFUNCTION("""COMPUTED_VALUE"""),"")</f>
        <v/>
      </c>
    </row>
    <row r="6338">
      <c r="A6338" s="16" t="s">
        <v>87</v>
      </c>
      <c r="E6338" s="16" t="str">
        <f>IFERROR(__xludf.DUMMYFUNCTION("""COMPUTED_VALUE"""),"")</f>
        <v/>
      </c>
      <c r="G6338" s="18"/>
      <c r="H6338" s="16" t="s">
        <v>87</v>
      </c>
      <c r="I6338" s="16" t="s">
        <v>87</v>
      </c>
      <c r="J6338" s="19"/>
      <c r="L6338" s="16" t="str">
        <f>IFERROR(__xludf.DUMMYFUNCTION("""COMPUTED_VALUE"""),"")</f>
        <v/>
      </c>
      <c r="M6338" s="16" t="str">
        <f>IFERROR(__xludf.DUMMYFUNCTION("""COMPUTED_VALUE"""),"")</f>
        <v/>
      </c>
      <c r="U6338" s="16" t="s">
        <v>87</v>
      </c>
      <c r="V6338" s="16" t="str">
        <f>IFERROR(__xludf.DUMMYFUNCTION("""COMPUTED_VALUE"""),"")</f>
        <v/>
      </c>
      <c r="W6338" s="16" t="str">
        <f>IFERROR(__xludf.DUMMYFUNCTION("""COMPUTED_VALUE"""),"")</f>
        <v/>
      </c>
      <c r="X6338" s="16" t="str">
        <f>IFERROR(__xludf.DUMMYFUNCTION("""COMPUTED_VALUE"""),"")</f>
        <v/>
      </c>
      <c r="AC6338" s="16" t="str">
        <f>IFERROR(__xludf.DUMMYFUNCTION("""COMPUTED_VALUE"""),"")</f>
        <v/>
      </c>
    </row>
    <row r="6339">
      <c r="A6339" s="16" t="s">
        <v>87</v>
      </c>
      <c r="E6339" s="16" t="str">
        <f>IFERROR(__xludf.DUMMYFUNCTION("""COMPUTED_VALUE"""),"")</f>
        <v/>
      </c>
      <c r="G6339" s="18"/>
      <c r="H6339" s="16" t="s">
        <v>87</v>
      </c>
      <c r="I6339" s="16" t="s">
        <v>87</v>
      </c>
      <c r="J6339" s="19"/>
      <c r="L6339" s="16" t="str">
        <f>IFERROR(__xludf.DUMMYFUNCTION("""COMPUTED_VALUE"""),"")</f>
        <v/>
      </c>
      <c r="M6339" s="16" t="str">
        <f>IFERROR(__xludf.DUMMYFUNCTION("""COMPUTED_VALUE"""),"")</f>
        <v/>
      </c>
      <c r="U6339" s="16" t="s">
        <v>87</v>
      </c>
      <c r="V6339" s="16" t="str">
        <f>IFERROR(__xludf.DUMMYFUNCTION("""COMPUTED_VALUE"""),"")</f>
        <v/>
      </c>
      <c r="W6339" s="16" t="str">
        <f>IFERROR(__xludf.DUMMYFUNCTION("""COMPUTED_VALUE"""),"")</f>
        <v/>
      </c>
      <c r="X6339" s="16" t="str">
        <f>IFERROR(__xludf.DUMMYFUNCTION("""COMPUTED_VALUE"""),"")</f>
        <v/>
      </c>
      <c r="AC6339" s="16" t="str">
        <f>IFERROR(__xludf.DUMMYFUNCTION("""COMPUTED_VALUE"""),"")</f>
        <v/>
      </c>
    </row>
    <row r="6340">
      <c r="A6340" s="16" t="s">
        <v>87</v>
      </c>
      <c r="E6340" s="16" t="str">
        <f>IFERROR(__xludf.DUMMYFUNCTION("""COMPUTED_VALUE"""),"")</f>
        <v/>
      </c>
      <c r="G6340" s="18"/>
      <c r="H6340" s="16" t="s">
        <v>87</v>
      </c>
      <c r="I6340" s="16" t="s">
        <v>87</v>
      </c>
      <c r="J6340" s="19"/>
      <c r="L6340" s="16" t="str">
        <f>IFERROR(__xludf.DUMMYFUNCTION("""COMPUTED_VALUE"""),"")</f>
        <v/>
      </c>
      <c r="M6340" s="16" t="str">
        <f>IFERROR(__xludf.DUMMYFUNCTION("""COMPUTED_VALUE"""),"")</f>
        <v/>
      </c>
      <c r="U6340" s="16" t="s">
        <v>87</v>
      </c>
      <c r="V6340" s="16" t="str">
        <f>IFERROR(__xludf.DUMMYFUNCTION("""COMPUTED_VALUE"""),"")</f>
        <v/>
      </c>
      <c r="W6340" s="16" t="str">
        <f>IFERROR(__xludf.DUMMYFUNCTION("""COMPUTED_VALUE"""),"")</f>
        <v/>
      </c>
      <c r="X6340" s="16" t="str">
        <f>IFERROR(__xludf.DUMMYFUNCTION("""COMPUTED_VALUE"""),"")</f>
        <v/>
      </c>
      <c r="AC6340" s="16" t="str">
        <f>IFERROR(__xludf.DUMMYFUNCTION("""COMPUTED_VALUE"""),"")</f>
        <v/>
      </c>
    </row>
    <row r="6341">
      <c r="A6341" s="16" t="s">
        <v>87</v>
      </c>
      <c r="E6341" s="16" t="str">
        <f>IFERROR(__xludf.DUMMYFUNCTION("""COMPUTED_VALUE"""),"")</f>
        <v/>
      </c>
      <c r="G6341" s="18"/>
      <c r="H6341" s="16" t="s">
        <v>87</v>
      </c>
      <c r="I6341" s="16" t="s">
        <v>87</v>
      </c>
      <c r="J6341" s="19"/>
      <c r="L6341" s="16" t="str">
        <f>IFERROR(__xludf.DUMMYFUNCTION("""COMPUTED_VALUE"""),"")</f>
        <v/>
      </c>
      <c r="M6341" s="16" t="str">
        <f>IFERROR(__xludf.DUMMYFUNCTION("""COMPUTED_VALUE"""),"")</f>
        <v/>
      </c>
      <c r="U6341" s="16" t="s">
        <v>87</v>
      </c>
      <c r="V6341" s="16" t="str">
        <f>IFERROR(__xludf.DUMMYFUNCTION("""COMPUTED_VALUE"""),"")</f>
        <v/>
      </c>
      <c r="W6341" s="16" t="str">
        <f>IFERROR(__xludf.DUMMYFUNCTION("""COMPUTED_VALUE"""),"")</f>
        <v/>
      </c>
      <c r="X6341" s="16" t="str">
        <f>IFERROR(__xludf.DUMMYFUNCTION("""COMPUTED_VALUE"""),"")</f>
        <v/>
      </c>
      <c r="AC6341" s="16" t="str">
        <f>IFERROR(__xludf.DUMMYFUNCTION("""COMPUTED_VALUE"""),"")</f>
        <v/>
      </c>
    </row>
    <row r="6342">
      <c r="A6342" s="16" t="s">
        <v>87</v>
      </c>
      <c r="E6342" s="16" t="str">
        <f>IFERROR(__xludf.DUMMYFUNCTION("""COMPUTED_VALUE"""),"")</f>
        <v/>
      </c>
      <c r="G6342" s="18"/>
      <c r="H6342" s="16" t="s">
        <v>87</v>
      </c>
      <c r="I6342" s="16" t="s">
        <v>87</v>
      </c>
      <c r="J6342" s="19"/>
      <c r="L6342" s="16" t="str">
        <f>IFERROR(__xludf.DUMMYFUNCTION("""COMPUTED_VALUE"""),"")</f>
        <v/>
      </c>
      <c r="M6342" s="16" t="str">
        <f>IFERROR(__xludf.DUMMYFUNCTION("""COMPUTED_VALUE"""),"")</f>
        <v/>
      </c>
      <c r="U6342" s="16" t="s">
        <v>87</v>
      </c>
      <c r="V6342" s="16" t="str">
        <f>IFERROR(__xludf.DUMMYFUNCTION("""COMPUTED_VALUE"""),"")</f>
        <v/>
      </c>
      <c r="W6342" s="16" t="str">
        <f>IFERROR(__xludf.DUMMYFUNCTION("""COMPUTED_VALUE"""),"")</f>
        <v/>
      </c>
      <c r="X6342" s="16" t="str">
        <f>IFERROR(__xludf.DUMMYFUNCTION("""COMPUTED_VALUE"""),"")</f>
        <v/>
      </c>
      <c r="AC6342" s="16" t="str">
        <f>IFERROR(__xludf.DUMMYFUNCTION("""COMPUTED_VALUE"""),"")</f>
        <v/>
      </c>
    </row>
    <row r="6343">
      <c r="A6343" s="16" t="s">
        <v>87</v>
      </c>
      <c r="E6343" s="16" t="str">
        <f>IFERROR(__xludf.DUMMYFUNCTION("""COMPUTED_VALUE"""),"")</f>
        <v/>
      </c>
      <c r="G6343" s="18"/>
      <c r="H6343" s="16" t="s">
        <v>87</v>
      </c>
      <c r="I6343" s="16" t="s">
        <v>87</v>
      </c>
      <c r="J6343" s="19"/>
      <c r="L6343" s="16" t="str">
        <f>IFERROR(__xludf.DUMMYFUNCTION("""COMPUTED_VALUE"""),"")</f>
        <v/>
      </c>
      <c r="M6343" s="16" t="str">
        <f>IFERROR(__xludf.DUMMYFUNCTION("""COMPUTED_VALUE"""),"")</f>
        <v/>
      </c>
      <c r="U6343" s="16" t="s">
        <v>87</v>
      </c>
      <c r="V6343" s="16" t="str">
        <f>IFERROR(__xludf.DUMMYFUNCTION("""COMPUTED_VALUE"""),"")</f>
        <v/>
      </c>
      <c r="W6343" s="16" t="str">
        <f>IFERROR(__xludf.DUMMYFUNCTION("""COMPUTED_VALUE"""),"")</f>
        <v/>
      </c>
      <c r="X6343" s="16" t="str">
        <f>IFERROR(__xludf.DUMMYFUNCTION("""COMPUTED_VALUE"""),"")</f>
        <v/>
      </c>
      <c r="AC6343" s="16" t="str">
        <f>IFERROR(__xludf.DUMMYFUNCTION("""COMPUTED_VALUE"""),"")</f>
        <v/>
      </c>
    </row>
    <row r="6344">
      <c r="A6344" s="16" t="s">
        <v>87</v>
      </c>
      <c r="E6344" s="16" t="str">
        <f>IFERROR(__xludf.DUMMYFUNCTION("""COMPUTED_VALUE"""),"")</f>
        <v/>
      </c>
      <c r="G6344" s="18"/>
      <c r="H6344" s="16" t="s">
        <v>87</v>
      </c>
      <c r="I6344" s="16" t="s">
        <v>87</v>
      </c>
      <c r="J6344" s="19"/>
      <c r="L6344" s="16" t="str">
        <f>IFERROR(__xludf.DUMMYFUNCTION("""COMPUTED_VALUE"""),"")</f>
        <v/>
      </c>
      <c r="M6344" s="16" t="str">
        <f>IFERROR(__xludf.DUMMYFUNCTION("""COMPUTED_VALUE"""),"")</f>
        <v/>
      </c>
      <c r="U6344" s="16" t="s">
        <v>87</v>
      </c>
      <c r="V6344" s="16" t="str">
        <f>IFERROR(__xludf.DUMMYFUNCTION("""COMPUTED_VALUE"""),"")</f>
        <v/>
      </c>
      <c r="W6344" s="16" t="str">
        <f>IFERROR(__xludf.DUMMYFUNCTION("""COMPUTED_VALUE"""),"")</f>
        <v/>
      </c>
      <c r="X6344" s="16" t="str">
        <f>IFERROR(__xludf.DUMMYFUNCTION("""COMPUTED_VALUE"""),"")</f>
        <v/>
      </c>
      <c r="AC6344" s="16" t="str">
        <f>IFERROR(__xludf.DUMMYFUNCTION("""COMPUTED_VALUE"""),"")</f>
        <v/>
      </c>
    </row>
    <row r="6345">
      <c r="A6345" s="16" t="s">
        <v>87</v>
      </c>
      <c r="E6345" s="16" t="str">
        <f>IFERROR(__xludf.DUMMYFUNCTION("""COMPUTED_VALUE"""),"")</f>
        <v/>
      </c>
      <c r="G6345" s="18"/>
      <c r="H6345" s="16" t="s">
        <v>87</v>
      </c>
      <c r="I6345" s="16" t="s">
        <v>87</v>
      </c>
      <c r="J6345" s="19"/>
      <c r="L6345" s="16" t="str">
        <f>IFERROR(__xludf.DUMMYFUNCTION("""COMPUTED_VALUE"""),"")</f>
        <v/>
      </c>
      <c r="M6345" s="16" t="str">
        <f>IFERROR(__xludf.DUMMYFUNCTION("""COMPUTED_VALUE"""),"")</f>
        <v/>
      </c>
      <c r="U6345" s="16" t="s">
        <v>87</v>
      </c>
      <c r="V6345" s="16" t="str">
        <f>IFERROR(__xludf.DUMMYFUNCTION("""COMPUTED_VALUE"""),"")</f>
        <v/>
      </c>
      <c r="W6345" s="16" t="str">
        <f>IFERROR(__xludf.DUMMYFUNCTION("""COMPUTED_VALUE"""),"")</f>
        <v/>
      </c>
      <c r="X6345" s="16" t="str">
        <f>IFERROR(__xludf.DUMMYFUNCTION("""COMPUTED_VALUE"""),"")</f>
        <v/>
      </c>
      <c r="AC6345" s="16" t="str">
        <f>IFERROR(__xludf.DUMMYFUNCTION("""COMPUTED_VALUE"""),"")</f>
        <v/>
      </c>
    </row>
    <row r="6346">
      <c r="A6346" s="16" t="s">
        <v>87</v>
      </c>
      <c r="E6346" s="16" t="str">
        <f>IFERROR(__xludf.DUMMYFUNCTION("""COMPUTED_VALUE"""),"")</f>
        <v/>
      </c>
      <c r="G6346" s="18"/>
      <c r="H6346" s="16" t="s">
        <v>87</v>
      </c>
      <c r="I6346" s="16" t="s">
        <v>87</v>
      </c>
      <c r="J6346" s="19"/>
      <c r="L6346" s="16" t="str">
        <f>IFERROR(__xludf.DUMMYFUNCTION("""COMPUTED_VALUE"""),"")</f>
        <v/>
      </c>
      <c r="M6346" s="16" t="str">
        <f>IFERROR(__xludf.DUMMYFUNCTION("""COMPUTED_VALUE"""),"")</f>
        <v/>
      </c>
      <c r="U6346" s="16" t="s">
        <v>87</v>
      </c>
      <c r="V6346" s="16" t="str">
        <f>IFERROR(__xludf.DUMMYFUNCTION("""COMPUTED_VALUE"""),"")</f>
        <v/>
      </c>
      <c r="W6346" s="16" t="str">
        <f>IFERROR(__xludf.DUMMYFUNCTION("""COMPUTED_VALUE"""),"")</f>
        <v/>
      </c>
      <c r="X6346" s="16" t="str">
        <f>IFERROR(__xludf.DUMMYFUNCTION("""COMPUTED_VALUE"""),"")</f>
        <v/>
      </c>
      <c r="AC6346" s="16" t="str">
        <f>IFERROR(__xludf.DUMMYFUNCTION("""COMPUTED_VALUE"""),"")</f>
        <v/>
      </c>
    </row>
    <row r="6347">
      <c r="A6347" s="16" t="s">
        <v>87</v>
      </c>
      <c r="E6347" s="16" t="str">
        <f>IFERROR(__xludf.DUMMYFUNCTION("""COMPUTED_VALUE"""),"")</f>
        <v/>
      </c>
      <c r="G6347" s="18"/>
      <c r="H6347" s="16" t="s">
        <v>87</v>
      </c>
      <c r="I6347" s="16" t="s">
        <v>87</v>
      </c>
      <c r="J6347" s="19"/>
      <c r="L6347" s="16" t="str">
        <f>IFERROR(__xludf.DUMMYFUNCTION("""COMPUTED_VALUE"""),"")</f>
        <v/>
      </c>
      <c r="M6347" s="16" t="str">
        <f>IFERROR(__xludf.DUMMYFUNCTION("""COMPUTED_VALUE"""),"")</f>
        <v/>
      </c>
      <c r="U6347" s="16" t="s">
        <v>87</v>
      </c>
      <c r="V6347" s="16" t="str">
        <f>IFERROR(__xludf.DUMMYFUNCTION("""COMPUTED_VALUE"""),"")</f>
        <v/>
      </c>
      <c r="W6347" s="16" t="str">
        <f>IFERROR(__xludf.DUMMYFUNCTION("""COMPUTED_VALUE"""),"")</f>
        <v/>
      </c>
      <c r="X6347" s="16" t="str">
        <f>IFERROR(__xludf.DUMMYFUNCTION("""COMPUTED_VALUE"""),"")</f>
        <v/>
      </c>
      <c r="AC6347" s="16" t="str">
        <f>IFERROR(__xludf.DUMMYFUNCTION("""COMPUTED_VALUE"""),"")</f>
        <v/>
      </c>
    </row>
    <row r="6348">
      <c r="A6348" s="16" t="s">
        <v>87</v>
      </c>
      <c r="E6348" s="16" t="str">
        <f>IFERROR(__xludf.DUMMYFUNCTION("""COMPUTED_VALUE"""),"")</f>
        <v/>
      </c>
      <c r="G6348" s="18"/>
      <c r="H6348" s="16" t="s">
        <v>87</v>
      </c>
      <c r="I6348" s="16" t="s">
        <v>87</v>
      </c>
      <c r="J6348" s="19"/>
      <c r="L6348" s="16" t="str">
        <f>IFERROR(__xludf.DUMMYFUNCTION("""COMPUTED_VALUE"""),"")</f>
        <v/>
      </c>
      <c r="M6348" s="16" t="str">
        <f>IFERROR(__xludf.DUMMYFUNCTION("""COMPUTED_VALUE"""),"")</f>
        <v/>
      </c>
      <c r="U6348" s="16" t="s">
        <v>87</v>
      </c>
      <c r="V6348" s="16" t="str">
        <f>IFERROR(__xludf.DUMMYFUNCTION("""COMPUTED_VALUE"""),"")</f>
        <v/>
      </c>
      <c r="W6348" s="16" t="str">
        <f>IFERROR(__xludf.DUMMYFUNCTION("""COMPUTED_VALUE"""),"")</f>
        <v/>
      </c>
      <c r="X6348" s="16" t="str">
        <f>IFERROR(__xludf.DUMMYFUNCTION("""COMPUTED_VALUE"""),"")</f>
        <v/>
      </c>
      <c r="AC6348" s="16" t="str">
        <f>IFERROR(__xludf.DUMMYFUNCTION("""COMPUTED_VALUE"""),"")</f>
        <v/>
      </c>
    </row>
    <row r="6349">
      <c r="A6349" s="16" t="s">
        <v>87</v>
      </c>
      <c r="E6349" s="16" t="str">
        <f>IFERROR(__xludf.DUMMYFUNCTION("""COMPUTED_VALUE"""),"")</f>
        <v/>
      </c>
      <c r="G6349" s="18"/>
      <c r="H6349" s="16" t="s">
        <v>87</v>
      </c>
      <c r="I6349" s="16" t="s">
        <v>87</v>
      </c>
      <c r="J6349" s="19"/>
      <c r="L6349" s="16" t="str">
        <f>IFERROR(__xludf.DUMMYFUNCTION("""COMPUTED_VALUE"""),"")</f>
        <v/>
      </c>
      <c r="M6349" s="16" t="str">
        <f>IFERROR(__xludf.DUMMYFUNCTION("""COMPUTED_VALUE"""),"")</f>
        <v/>
      </c>
      <c r="U6349" s="16" t="s">
        <v>87</v>
      </c>
      <c r="V6349" s="16" t="str">
        <f>IFERROR(__xludf.DUMMYFUNCTION("""COMPUTED_VALUE"""),"")</f>
        <v/>
      </c>
      <c r="W6349" s="16" t="str">
        <f>IFERROR(__xludf.DUMMYFUNCTION("""COMPUTED_VALUE"""),"")</f>
        <v/>
      </c>
      <c r="X6349" s="16" t="str">
        <f>IFERROR(__xludf.DUMMYFUNCTION("""COMPUTED_VALUE"""),"")</f>
        <v/>
      </c>
      <c r="AC6349" s="16" t="str">
        <f>IFERROR(__xludf.DUMMYFUNCTION("""COMPUTED_VALUE"""),"")</f>
        <v/>
      </c>
    </row>
    <row r="6350">
      <c r="A6350" s="16" t="s">
        <v>87</v>
      </c>
      <c r="E6350" s="16" t="str">
        <f>IFERROR(__xludf.DUMMYFUNCTION("""COMPUTED_VALUE"""),"")</f>
        <v/>
      </c>
      <c r="G6350" s="18"/>
      <c r="H6350" s="16" t="s">
        <v>87</v>
      </c>
      <c r="I6350" s="16" t="s">
        <v>87</v>
      </c>
      <c r="J6350" s="19"/>
      <c r="L6350" s="16" t="str">
        <f>IFERROR(__xludf.DUMMYFUNCTION("""COMPUTED_VALUE"""),"")</f>
        <v/>
      </c>
      <c r="M6350" s="16" t="str">
        <f>IFERROR(__xludf.DUMMYFUNCTION("""COMPUTED_VALUE"""),"")</f>
        <v/>
      </c>
      <c r="U6350" s="16" t="s">
        <v>87</v>
      </c>
      <c r="V6350" s="16" t="str">
        <f>IFERROR(__xludf.DUMMYFUNCTION("""COMPUTED_VALUE"""),"")</f>
        <v/>
      </c>
      <c r="W6350" s="16" t="str">
        <f>IFERROR(__xludf.DUMMYFUNCTION("""COMPUTED_VALUE"""),"")</f>
        <v/>
      </c>
      <c r="X6350" s="16" t="str">
        <f>IFERROR(__xludf.DUMMYFUNCTION("""COMPUTED_VALUE"""),"")</f>
        <v/>
      </c>
      <c r="AC6350" s="16" t="str">
        <f>IFERROR(__xludf.DUMMYFUNCTION("""COMPUTED_VALUE"""),"")</f>
        <v/>
      </c>
    </row>
    <row r="6351">
      <c r="A6351" s="16" t="s">
        <v>87</v>
      </c>
      <c r="E6351" s="16" t="str">
        <f>IFERROR(__xludf.DUMMYFUNCTION("""COMPUTED_VALUE"""),"")</f>
        <v/>
      </c>
      <c r="G6351" s="18"/>
      <c r="H6351" s="16" t="s">
        <v>87</v>
      </c>
      <c r="I6351" s="16" t="s">
        <v>87</v>
      </c>
      <c r="J6351" s="19"/>
      <c r="L6351" s="16" t="str">
        <f>IFERROR(__xludf.DUMMYFUNCTION("""COMPUTED_VALUE"""),"")</f>
        <v/>
      </c>
      <c r="M6351" s="16" t="str">
        <f>IFERROR(__xludf.DUMMYFUNCTION("""COMPUTED_VALUE"""),"")</f>
        <v/>
      </c>
      <c r="U6351" s="16" t="s">
        <v>87</v>
      </c>
      <c r="V6351" s="16" t="str">
        <f>IFERROR(__xludf.DUMMYFUNCTION("""COMPUTED_VALUE"""),"")</f>
        <v/>
      </c>
      <c r="W6351" s="16" t="str">
        <f>IFERROR(__xludf.DUMMYFUNCTION("""COMPUTED_VALUE"""),"")</f>
        <v/>
      </c>
      <c r="X6351" s="16" t="str">
        <f>IFERROR(__xludf.DUMMYFUNCTION("""COMPUTED_VALUE"""),"")</f>
        <v/>
      </c>
      <c r="AC6351" s="16" t="str">
        <f>IFERROR(__xludf.DUMMYFUNCTION("""COMPUTED_VALUE"""),"")</f>
        <v/>
      </c>
    </row>
    <row r="6352">
      <c r="A6352" s="16" t="s">
        <v>87</v>
      </c>
      <c r="E6352" s="16" t="str">
        <f>IFERROR(__xludf.DUMMYFUNCTION("""COMPUTED_VALUE"""),"")</f>
        <v/>
      </c>
      <c r="G6352" s="18"/>
      <c r="H6352" s="16" t="s">
        <v>87</v>
      </c>
      <c r="I6352" s="16" t="s">
        <v>87</v>
      </c>
      <c r="J6352" s="19"/>
      <c r="L6352" s="16" t="str">
        <f>IFERROR(__xludf.DUMMYFUNCTION("""COMPUTED_VALUE"""),"")</f>
        <v/>
      </c>
      <c r="M6352" s="16" t="str">
        <f>IFERROR(__xludf.DUMMYFUNCTION("""COMPUTED_VALUE"""),"")</f>
        <v/>
      </c>
      <c r="U6352" s="16" t="s">
        <v>87</v>
      </c>
      <c r="V6352" s="16" t="str">
        <f>IFERROR(__xludf.DUMMYFUNCTION("""COMPUTED_VALUE"""),"")</f>
        <v/>
      </c>
      <c r="W6352" s="16" t="str">
        <f>IFERROR(__xludf.DUMMYFUNCTION("""COMPUTED_VALUE"""),"")</f>
        <v/>
      </c>
      <c r="X6352" s="16" t="str">
        <f>IFERROR(__xludf.DUMMYFUNCTION("""COMPUTED_VALUE"""),"")</f>
        <v/>
      </c>
      <c r="AC6352" s="16" t="str">
        <f>IFERROR(__xludf.DUMMYFUNCTION("""COMPUTED_VALUE"""),"")</f>
        <v/>
      </c>
    </row>
    <row r="6353">
      <c r="A6353" s="16" t="s">
        <v>87</v>
      </c>
      <c r="E6353" s="16" t="str">
        <f>IFERROR(__xludf.DUMMYFUNCTION("""COMPUTED_VALUE"""),"")</f>
        <v/>
      </c>
      <c r="G6353" s="18"/>
      <c r="H6353" s="16" t="s">
        <v>87</v>
      </c>
      <c r="I6353" s="16" t="s">
        <v>87</v>
      </c>
      <c r="J6353" s="19"/>
      <c r="L6353" s="16" t="str">
        <f>IFERROR(__xludf.DUMMYFUNCTION("""COMPUTED_VALUE"""),"")</f>
        <v/>
      </c>
      <c r="M6353" s="16" t="str">
        <f>IFERROR(__xludf.DUMMYFUNCTION("""COMPUTED_VALUE"""),"")</f>
        <v/>
      </c>
      <c r="U6353" s="16" t="s">
        <v>87</v>
      </c>
      <c r="V6353" s="16" t="str">
        <f>IFERROR(__xludf.DUMMYFUNCTION("""COMPUTED_VALUE"""),"")</f>
        <v/>
      </c>
      <c r="W6353" s="16" t="str">
        <f>IFERROR(__xludf.DUMMYFUNCTION("""COMPUTED_VALUE"""),"")</f>
        <v/>
      </c>
      <c r="X6353" s="16" t="str">
        <f>IFERROR(__xludf.DUMMYFUNCTION("""COMPUTED_VALUE"""),"")</f>
        <v/>
      </c>
      <c r="AC6353" s="16" t="str">
        <f>IFERROR(__xludf.DUMMYFUNCTION("""COMPUTED_VALUE"""),"")</f>
        <v/>
      </c>
    </row>
    <row r="6354">
      <c r="A6354" s="16" t="s">
        <v>87</v>
      </c>
      <c r="E6354" s="16" t="str">
        <f>IFERROR(__xludf.DUMMYFUNCTION("""COMPUTED_VALUE"""),"")</f>
        <v/>
      </c>
      <c r="G6354" s="18"/>
      <c r="H6354" s="16" t="s">
        <v>87</v>
      </c>
      <c r="I6354" s="16" t="s">
        <v>87</v>
      </c>
      <c r="J6354" s="19"/>
      <c r="L6354" s="16" t="str">
        <f>IFERROR(__xludf.DUMMYFUNCTION("""COMPUTED_VALUE"""),"")</f>
        <v/>
      </c>
      <c r="M6354" s="16" t="str">
        <f>IFERROR(__xludf.DUMMYFUNCTION("""COMPUTED_VALUE"""),"")</f>
        <v/>
      </c>
      <c r="U6354" s="16" t="s">
        <v>87</v>
      </c>
      <c r="V6354" s="16" t="str">
        <f>IFERROR(__xludf.DUMMYFUNCTION("""COMPUTED_VALUE"""),"")</f>
        <v/>
      </c>
      <c r="W6354" s="16" t="str">
        <f>IFERROR(__xludf.DUMMYFUNCTION("""COMPUTED_VALUE"""),"")</f>
        <v/>
      </c>
      <c r="X6354" s="16" t="str">
        <f>IFERROR(__xludf.DUMMYFUNCTION("""COMPUTED_VALUE"""),"")</f>
        <v/>
      </c>
      <c r="AC6354" s="16" t="str">
        <f>IFERROR(__xludf.DUMMYFUNCTION("""COMPUTED_VALUE"""),"")</f>
        <v/>
      </c>
    </row>
    <row r="6355">
      <c r="A6355" s="16" t="s">
        <v>87</v>
      </c>
      <c r="E6355" s="16" t="str">
        <f>IFERROR(__xludf.DUMMYFUNCTION("""COMPUTED_VALUE"""),"")</f>
        <v/>
      </c>
      <c r="G6355" s="18"/>
      <c r="H6355" s="16" t="s">
        <v>87</v>
      </c>
      <c r="I6355" s="16" t="s">
        <v>87</v>
      </c>
      <c r="J6355" s="19"/>
      <c r="L6355" s="16" t="str">
        <f>IFERROR(__xludf.DUMMYFUNCTION("""COMPUTED_VALUE"""),"")</f>
        <v/>
      </c>
      <c r="M6355" s="16" t="str">
        <f>IFERROR(__xludf.DUMMYFUNCTION("""COMPUTED_VALUE"""),"")</f>
        <v/>
      </c>
      <c r="U6355" s="16" t="s">
        <v>87</v>
      </c>
      <c r="V6355" s="16" t="str">
        <f>IFERROR(__xludf.DUMMYFUNCTION("""COMPUTED_VALUE"""),"")</f>
        <v/>
      </c>
      <c r="W6355" s="16" t="str">
        <f>IFERROR(__xludf.DUMMYFUNCTION("""COMPUTED_VALUE"""),"")</f>
        <v/>
      </c>
      <c r="X6355" s="16" t="str">
        <f>IFERROR(__xludf.DUMMYFUNCTION("""COMPUTED_VALUE"""),"")</f>
        <v/>
      </c>
      <c r="AC6355" s="16" t="str">
        <f>IFERROR(__xludf.DUMMYFUNCTION("""COMPUTED_VALUE"""),"")</f>
        <v/>
      </c>
    </row>
    <row r="6356">
      <c r="A6356" s="16" t="s">
        <v>87</v>
      </c>
      <c r="E6356" s="16" t="str">
        <f>IFERROR(__xludf.DUMMYFUNCTION("""COMPUTED_VALUE"""),"")</f>
        <v/>
      </c>
      <c r="G6356" s="18"/>
      <c r="H6356" s="16" t="s">
        <v>87</v>
      </c>
      <c r="I6356" s="16" t="s">
        <v>87</v>
      </c>
      <c r="J6356" s="19"/>
      <c r="L6356" s="16" t="str">
        <f>IFERROR(__xludf.DUMMYFUNCTION("""COMPUTED_VALUE"""),"")</f>
        <v/>
      </c>
      <c r="M6356" s="16" t="str">
        <f>IFERROR(__xludf.DUMMYFUNCTION("""COMPUTED_VALUE"""),"")</f>
        <v/>
      </c>
      <c r="U6356" s="16" t="s">
        <v>87</v>
      </c>
      <c r="V6356" s="16" t="str">
        <f>IFERROR(__xludf.DUMMYFUNCTION("""COMPUTED_VALUE"""),"")</f>
        <v/>
      </c>
      <c r="W6356" s="16" t="str">
        <f>IFERROR(__xludf.DUMMYFUNCTION("""COMPUTED_VALUE"""),"")</f>
        <v/>
      </c>
      <c r="X6356" s="16" t="str">
        <f>IFERROR(__xludf.DUMMYFUNCTION("""COMPUTED_VALUE"""),"")</f>
        <v/>
      </c>
      <c r="AC6356" s="16" t="str">
        <f>IFERROR(__xludf.DUMMYFUNCTION("""COMPUTED_VALUE"""),"")</f>
        <v/>
      </c>
    </row>
    <row r="6357">
      <c r="A6357" s="16" t="s">
        <v>87</v>
      </c>
      <c r="E6357" s="16" t="str">
        <f>IFERROR(__xludf.DUMMYFUNCTION("""COMPUTED_VALUE"""),"")</f>
        <v/>
      </c>
      <c r="G6357" s="18"/>
      <c r="H6357" s="16" t="s">
        <v>87</v>
      </c>
      <c r="I6357" s="16" t="s">
        <v>87</v>
      </c>
      <c r="J6357" s="19"/>
      <c r="L6357" s="16" t="str">
        <f>IFERROR(__xludf.DUMMYFUNCTION("""COMPUTED_VALUE"""),"")</f>
        <v/>
      </c>
      <c r="M6357" s="16" t="str">
        <f>IFERROR(__xludf.DUMMYFUNCTION("""COMPUTED_VALUE"""),"")</f>
        <v/>
      </c>
      <c r="U6357" s="16" t="s">
        <v>87</v>
      </c>
      <c r="V6357" s="16" t="str">
        <f>IFERROR(__xludf.DUMMYFUNCTION("""COMPUTED_VALUE"""),"")</f>
        <v/>
      </c>
      <c r="W6357" s="16" t="str">
        <f>IFERROR(__xludf.DUMMYFUNCTION("""COMPUTED_VALUE"""),"")</f>
        <v/>
      </c>
      <c r="X6357" s="16" t="str">
        <f>IFERROR(__xludf.DUMMYFUNCTION("""COMPUTED_VALUE"""),"")</f>
        <v/>
      </c>
      <c r="AC6357" s="16" t="str">
        <f>IFERROR(__xludf.DUMMYFUNCTION("""COMPUTED_VALUE"""),"")</f>
        <v/>
      </c>
    </row>
    <row r="6358">
      <c r="A6358" s="16" t="s">
        <v>87</v>
      </c>
      <c r="E6358" s="16" t="str">
        <f>IFERROR(__xludf.DUMMYFUNCTION("""COMPUTED_VALUE"""),"")</f>
        <v/>
      </c>
      <c r="G6358" s="18"/>
      <c r="H6358" s="16" t="s">
        <v>87</v>
      </c>
      <c r="I6358" s="16" t="s">
        <v>87</v>
      </c>
      <c r="J6358" s="19"/>
      <c r="L6358" s="16" t="str">
        <f>IFERROR(__xludf.DUMMYFUNCTION("""COMPUTED_VALUE"""),"")</f>
        <v/>
      </c>
      <c r="M6358" s="16" t="str">
        <f>IFERROR(__xludf.DUMMYFUNCTION("""COMPUTED_VALUE"""),"")</f>
        <v/>
      </c>
      <c r="U6358" s="16" t="s">
        <v>87</v>
      </c>
      <c r="V6358" s="16" t="str">
        <f>IFERROR(__xludf.DUMMYFUNCTION("""COMPUTED_VALUE"""),"")</f>
        <v/>
      </c>
      <c r="W6358" s="16" t="str">
        <f>IFERROR(__xludf.DUMMYFUNCTION("""COMPUTED_VALUE"""),"")</f>
        <v/>
      </c>
      <c r="X6358" s="16" t="str">
        <f>IFERROR(__xludf.DUMMYFUNCTION("""COMPUTED_VALUE"""),"")</f>
        <v/>
      </c>
      <c r="AC6358" s="16" t="str">
        <f>IFERROR(__xludf.DUMMYFUNCTION("""COMPUTED_VALUE"""),"")</f>
        <v/>
      </c>
    </row>
    <row r="6359">
      <c r="A6359" s="16" t="s">
        <v>87</v>
      </c>
      <c r="E6359" s="16" t="str">
        <f>IFERROR(__xludf.DUMMYFUNCTION("""COMPUTED_VALUE"""),"")</f>
        <v/>
      </c>
      <c r="G6359" s="18"/>
      <c r="H6359" s="16" t="s">
        <v>87</v>
      </c>
      <c r="I6359" s="16" t="s">
        <v>87</v>
      </c>
      <c r="J6359" s="19"/>
      <c r="L6359" s="16" t="str">
        <f>IFERROR(__xludf.DUMMYFUNCTION("""COMPUTED_VALUE"""),"")</f>
        <v/>
      </c>
      <c r="M6359" s="16" t="str">
        <f>IFERROR(__xludf.DUMMYFUNCTION("""COMPUTED_VALUE"""),"")</f>
        <v/>
      </c>
      <c r="U6359" s="16" t="s">
        <v>87</v>
      </c>
      <c r="V6359" s="16" t="str">
        <f>IFERROR(__xludf.DUMMYFUNCTION("""COMPUTED_VALUE"""),"")</f>
        <v/>
      </c>
      <c r="W6359" s="16" t="str">
        <f>IFERROR(__xludf.DUMMYFUNCTION("""COMPUTED_VALUE"""),"")</f>
        <v/>
      </c>
      <c r="X6359" s="16" t="str">
        <f>IFERROR(__xludf.DUMMYFUNCTION("""COMPUTED_VALUE"""),"")</f>
        <v/>
      </c>
      <c r="AC6359" s="16" t="str">
        <f>IFERROR(__xludf.DUMMYFUNCTION("""COMPUTED_VALUE"""),"")</f>
        <v/>
      </c>
    </row>
    <row r="6360">
      <c r="A6360" s="16" t="s">
        <v>87</v>
      </c>
      <c r="E6360" s="16" t="str">
        <f>IFERROR(__xludf.DUMMYFUNCTION("""COMPUTED_VALUE"""),"")</f>
        <v/>
      </c>
      <c r="G6360" s="18"/>
      <c r="H6360" s="16" t="s">
        <v>87</v>
      </c>
      <c r="I6360" s="16" t="s">
        <v>87</v>
      </c>
      <c r="J6360" s="19"/>
      <c r="L6360" s="16" t="str">
        <f>IFERROR(__xludf.DUMMYFUNCTION("""COMPUTED_VALUE"""),"")</f>
        <v/>
      </c>
      <c r="M6360" s="16" t="str">
        <f>IFERROR(__xludf.DUMMYFUNCTION("""COMPUTED_VALUE"""),"")</f>
        <v/>
      </c>
      <c r="U6360" s="16" t="s">
        <v>87</v>
      </c>
      <c r="V6360" s="16" t="str">
        <f>IFERROR(__xludf.DUMMYFUNCTION("""COMPUTED_VALUE"""),"")</f>
        <v/>
      </c>
      <c r="W6360" s="16" t="str">
        <f>IFERROR(__xludf.DUMMYFUNCTION("""COMPUTED_VALUE"""),"")</f>
        <v/>
      </c>
      <c r="X6360" s="16" t="str">
        <f>IFERROR(__xludf.DUMMYFUNCTION("""COMPUTED_VALUE"""),"")</f>
        <v/>
      </c>
      <c r="AC6360" s="16" t="str">
        <f>IFERROR(__xludf.DUMMYFUNCTION("""COMPUTED_VALUE"""),"")</f>
        <v/>
      </c>
    </row>
    <row r="6361">
      <c r="A6361" s="16" t="s">
        <v>87</v>
      </c>
      <c r="E6361" s="16" t="str">
        <f>IFERROR(__xludf.DUMMYFUNCTION("""COMPUTED_VALUE"""),"")</f>
        <v/>
      </c>
      <c r="G6361" s="18"/>
      <c r="H6361" s="16" t="s">
        <v>87</v>
      </c>
      <c r="I6361" s="16" t="s">
        <v>87</v>
      </c>
      <c r="J6361" s="19"/>
      <c r="L6361" s="16" t="str">
        <f>IFERROR(__xludf.DUMMYFUNCTION("""COMPUTED_VALUE"""),"")</f>
        <v/>
      </c>
      <c r="M6361" s="16" t="str">
        <f>IFERROR(__xludf.DUMMYFUNCTION("""COMPUTED_VALUE"""),"")</f>
        <v/>
      </c>
      <c r="U6361" s="16" t="s">
        <v>87</v>
      </c>
      <c r="V6361" s="16" t="str">
        <f>IFERROR(__xludf.DUMMYFUNCTION("""COMPUTED_VALUE"""),"")</f>
        <v/>
      </c>
      <c r="W6361" s="16" t="str">
        <f>IFERROR(__xludf.DUMMYFUNCTION("""COMPUTED_VALUE"""),"")</f>
        <v/>
      </c>
      <c r="X6361" s="16" t="str">
        <f>IFERROR(__xludf.DUMMYFUNCTION("""COMPUTED_VALUE"""),"")</f>
        <v/>
      </c>
      <c r="AC6361" s="16" t="str">
        <f>IFERROR(__xludf.DUMMYFUNCTION("""COMPUTED_VALUE"""),"")</f>
        <v/>
      </c>
    </row>
    <row r="6362">
      <c r="A6362" s="16" t="s">
        <v>87</v>
      </c>
      <c r="E6362" s="16" t="str">
        <f>IFERROR(__xludf.DUMMYFUNCTION("""COMPUTED_VALUE"""),"")</f>
        <v/>
      </c>
      <c r="G6362" s="18"/>
      <c r="H6362" s="16" t="s">
        <v>87</v>
      </c>
      <c r="I6362" s="16" t="s">
        <v>87</v>
      </c>
      <c r="J6362" s="19"/>
      <c r="L6362" s="16" t="str">
        <f>IFERROR(__xludf.DUMMYFUNCTION("""COMPUTED_VALUE"""),"")</f>
        <v/>
      </c>
      <c r="M6362" s="16" t="str">
        <f>IFERROR(__xludf.DUMMYFUNCTION("""COMPUTED_VALUE"""),"")</f>
        <v/>
      </c>
      <c r="U6362" s="16" t="s">
        <v>87</v>
      </c>
      <c r="V6362" s="16" t="str">
        <f>IFERROR(__xludf.DUMMYFUNCTION("""COMPUTED_VALUE"""),"")</f>
        <v/>
      </c>
      <c r="W6362" s="16" t="str">
        <f>IFERROR(__xludf.DUMMYFUNCTION("""COMPUTED_VALUE"""),"")</f>
        <v/>
      </c>
      <c r="X6362" s="16" t="str">
        <f>IFERROR(__xludf.DUMMYFUNCTION("""COMPUTED_VALUE"""),"")</f>
        <v/>
      </c>
      <c r="AC6362" s="16" t="str">
        <f>IFERROR(__xludf.DUMMYFUNCTION("""COMPUTED_VALUE"""),"")</f>
        <v/>
      </c>
    </row>
    <row r="6363">
      <c r="A6363" s="16" t="s">
        <v>87</v>
      </c>
      <c r="E6363" s="16" t="str">
        <f>IFERROR(__xludf.DUMMYFUNCTION("""COMPUTED_VALUE"""),"")</f>
        <v/>
      </c>
      <c r="G6363" s="18"/>
      <c r="H6363" s="16" t="s">
        <v>87</v>
      </c>
      <c r="I6363" s="16" t="s">
        <v>87</v>
      </c>
      <c r="J6363" s="19"/>
      <c r="L6363" s="16" t="str">
        <f>IFERROR(__xludf.DUMMYFUNCTION("""COMPUTED_VALUE"""),"")</f>
        <v/>
      </c>
      <c r="M6363" s="16" t="str">
        <f>IFERROR(__xludf.DUMMYFUNCTION("""COMPUTED_VALUE"""),"")</f>
        <v/>
      </c>
      <c r="U6363" s="16" t="s">
        <v>87</v>
      </c>
      <c r="V6363" s="16" t="str">
        <f>IFERROR(__xludf.DUMMYFUNCTION("""COMPUTED_VALUE"""),"")</f>
        <v/>
      </c>
      <c r="W6363" s="16" t="str">
        <f>IFERROR(__xludf.DUMMYFUNCTION("""COMPUTED_VALUE"""),"")</f>
        <v/>
      </c>
      <c r="X6363" s="16" t="str">
        <f>IFERROR(__xludf.DUMMYFUNCTION("""COMPUTED_VALUE"""),"")</f>
        <v/>
      </c>
      <c r="AC6363" s="16" t="str">
        <f>IFERROR(__xludf.DUMMYFUNCTION("""COMPUTED_VALUE"""),"")</f>
        <v/>
      </c>
    </row>
    <row r="6364">
      <c r="A6364" s="16" t="s">
        <v>87</v>
      </c>
      <c r="E6364" s="16" t="str">
        <f>IFERROR(__xludf.DUMMYFUNCTION("""COMPUTED_VALUE"""),"")</f>
        <v/>
      </c>
      <c r="G6364" s="18"/>
      <c r="H6364" s="16" t="s">
        <v>87</v>
      </c>
      <c r="I6364" s="16" t="s">
        <v>87</v>
      </c>
      <c r="J6364" s="19"/>
      <c r="L6364" s="16" t="str">
        <f>IFERROR(__xludf.DUMMYFUNCTION("""COMPUTED_VALUE"""),"")</f>
        <v/>
      </c>
      <c r="M6364" s="16" t="str">
        <f>IFERROR(__xludf.DUMMYFUNCTION("""COMPUTED_VALUE"""),"")</f>
        <v/>
      </c>
      <c r="U6364" s="16" t="s">
        <v>87</v>
      </c>
      <c r="V6364" s="16" t="str">
        <f>IFERROR(__xludf.DUMMYFUNCTION("""COMPUTED_VALUE"""),"")</f>
        <v/>
      </c>
      <c r="W6364" s="16" t="str">
        <f>IFERROR(__xludf.DUMMYFUNCTION("""COMPUTED_VALUE"""),"")</f>
        <v/>
      </c>
      <c r="X6364" s="16" t="str">
        <f>IFERROR(__xludf.DUMMYFUNCTION("""COMPUTED_VALUE"""),"")</f>
        <v/>
      </c>
      <c r="AC6364" s="16" t="str">
        <f>IFERROR(__xludf.DUMMYFUNCTION("""COMPUTED_VALUE"""),"")</f>
        <v/>
      </c>
    </row>
    <row r="6365">
      <c r="A6365" s="16" t="s">
        <v>87</v>
      </c>
      <c r="E6365" s="16" t="str">
        <f>IFERROR(__xludf.DUMMYFUNCTION("""COMPUTED_VALUE"""),"")</f>
        <v/>
      </c>
      <c r="G6365" s="18"/>
      <c r="H6365" s="16" t="s">
        <v>87</v>
      </c>
      <c r="I6365" s="16" t="s">
        <v>87</v>
      </c>
      <c r="J6365" s="19"/>
      <c r="L6365" s="16" t="str">
        <f>IFERROR(__xludf.DUMMYFUNCTION("""COMPUTED_VALUE"""),"")</f>
        <v/>
      </c>
      <c r="M6365" s="16" t="str">
        <f>IFERROR(__xludf.DUMMYFUNCTION("""COMPUTED_VALUE"""),"")</f>
        <v/>
      </c>
      <c r="U6365" s="16" t="s">
        <v>87</v>
      </c>
      <c r="V6365" s="16" t="str">
        <f>IFERROR(__xludf.DUMMYFUNCTION("""COMPUTED_VALUE"""),"")</f>
        <v/>
      </c>
      <c r="W6365" s="16" t="str">
        <f>IFERROR(__xludf.DUMMYFUNCTION("""COMPUTED_VALUE"""),"")</f>
        <v/>
      </c>
      <c r="X6365" s="16" t="str">
        <f>IFERROR(__xludf.DUMMYFUNCTION("""COMPUTED_VALUE"""),"")</f>
        <v/>
      </c>
      <c r="AC6365" s="16" t="str">
        <f>IFERROR(__xludf.DUMMYFUNCTION("""COMPUTED_VALUE"""),"")</f>
        <v/>
      </c>
    </row>
    <row r="6366">
      <c r="A6366" s="16" t="s">
        <v>87</v>
      </c>
      <c r="E6366" s="16" t="str">
        <f>IFERROR(__xludf.DUMMYFUNCTION("""COMPUTED_VALUE"""),"")</f>
        <v/>
      </c>
      <c r="G6366" s="18"/>
      <c r="H6366" s="16" t="s">
        <v>87</v>
      </c>
      <c r="I6366" s="16" t="s">
        <v>87</v>
      </c>
      <c r="J6366" s="19"/>
      <c r="L6366" s="16" t="str">
        <f>IFERROR(__xludf.DUMMYFUNCTION("""COMPUTED_VALUE"""),"")</f>
        <v/>
      </c>
      <c r="M6366" s="16" t="str">
        <f>IFERROR(__xludf.DUMMYFUNCTION("""COMPUTED_VALUE"""),"")</f>
        <v/>
      </c>
      <c r="U6366" s="16" t="s">
        <v>87</v>
      </c>
      <c r="V6366" s="16" t="str">
        <f>IFERROR(__xludf.DUMMYFUNCTION("""COMPUTED_VALUE"""),"")</f>
        <v/>
      </c>
      <c r="W6366" s="16" t="str">
        <f>IFERROR(__xludf.DUMMYFUNCTION("""COMPUTED_VALUE"""),"")</f>
        <v/>
      </c>
      <c r="X6366" s="16" t="str">
        <f>IFERROR(__xludf.DUMMYFUNCTION("""COMPUTED_VALUE"""),"")</f>
        <v/>
      </c>
      <c r="AC6366" s="16" t="str">
        <f>IFERROR(__xludf.DUMMYFUNCTION("""COMPUTED_VALUE"""),"")</f>
        <v/>
      </c>
    </row>
    <row r="6367">
      <c r="A6367" s="16" t="s">
        <v>87</v>
      </c>
      <c r="E6367" s="16" t="str">
        <f>IFERROR(__xludf.DUMMYFUNCTION("""COMPUTED_VALUE"""),"")</f>
        <v/>
      </c>
      <c r="G6367" s="18"/>
      <c r="H6367" s="16" t="s">
        <v>87</v>
      </c>
      <c r="I6367" s="16" t="s">
        <v>87</v>
      </c>
      <c r="J6367" s="19"/>
      <c r="L6367" s="16" t="str">
        <f>IFERROR(__xludf.DUMMYFUNCTION("""COMPUTED_VALUE"""),"")</f>
        <v/>
      </c>
      <c r="M6367" s="16" t="str">
        <f>IFERROR(__xludf.DUMMYFUNCTION("""COMPUTED_VALUE"""),"")</f>
        <v/>
      </c>
      <c r="U6367" s="16" t="s">
        <v>87</v>
      </c>
      <c r="V6367" s="16" t="str">
        <f>IFERROR(__xludf.DUMMYFUNCTION("""COMPUTED_VALUE"""),"")</f>
        <v/>
      </c>
      <c r="W6367" s="16" t="str">
        <f>IFERROR(__xludf.DUMMYFUNCTION("""COMPUTED_VALUE"""),"")</f>
        <v/>
      </c>
      <c r="X6367" s="16" t="str">
        <f>IFERROR(__xludf.DUMMYFUNCTION("""COMPUTED_VALUE"""),"")</f>
        <v/>
      </c>
      <c r="AC6367" s="16" t="str">
        <f>IFERROR(__xludf.DUMMYFUNCTION("""COMPUTED_VALUE"""),"")</f>
        <v/>
      </c>
    </row>
    <row r="6368">
      <c r="A6368" s="16" t="s">
        <v>87</v>
      </c>
      <c r="E6368" s="16" t="str">
        <f>IFERROR(__xludf.DUMMYFUNCTION("""COMPUTED_VALUE"""),"")</f>
        <v/>
      </c>
      <c r="G6368" s="18"/>
      <c r="H6368" s="16" t="s">
        <v>87</v>
      </c>
      <c r="I6368" s="16" t="s">
        <v>87</v>
      </c>
      <c r="J6368" s="19"/>
      <c r="L6368" s="16" t="str">
        <f>IFERROR(__xludf.DUMMYFUNCTION("""COMPUTED_VALUE"""),"")</f>
        <v/>
      </c>
      <c r="M6368" s="16" t="str">
        <f>IFERROR(__xludf.DUMMYFUNCTION("""COMPUTED_VALUE"""),"")</f>
        <v/>
      </c>
      <c r="U6368" s="16" t="s">
        <v>87</v>
      </c>
      <c r="V6368" s="16" t="str">
        <f>IFERROR(__xludf.DUMMYFUNCTION("""COMPUTED_VALUE"""),"")</f>
        <v/>
      </c>
      <c r="W6368" s="16" t="str">
        <f>IFERROR(__xludf.DUMMYFUNCTION("""COMPUTED_VALUE"""),"")</f>
        <v/>
      </c>
      <c r="X6368" s="16" t="str">
        <f>IFERROR(__xludf.DUMMYFUNCTION("""COMPUTED_VALUE"""),"")</f>
        <v/>
      </c>
      <c r="AC6368" s="16" t="str">
        <f>IFERROR(__xludf.DUMMYFUNCTION("""COMPUTED_VALUE"""),"")</f>
        <v/>
      </c>
    </row>
    <row r="6369">
      <c r="A6369" s="16" t="s">
        <v>87</v>
      </c>
      <c r="E6369" s="16" t="str">
        <f>IFERROR(__xludf.DUMMYFUNCTION("""COMPUTED_VALUE"""),"")</f>
        <v/>
      </c>
      <c r="G6369" s="18"/>
      <c r="H6369" s="16" t="s">
        <v>87</v>
      </c>
      <c r="I6369" s="16" t="s">
        <v>87</v>
      </c>
      <c r="J6369" s="19"/>
      <c r="L6369" s="16" t="str">
        <f>IFERROR(__xludf.DUMMYFUNCTION("""COMPUTED_VALUE"""),"")</f>
        <v/>
      </c>
      <c r="M6369" s="16" t="str">
        <f>IFERROR(__xludf.DUMMYFUNCTION("""COMPUTED_VALUE"""),"")</f>
        <v/>
      </c>
      <c r="U6369" s="16" t="s">
        <v>87</v>
      </c>
      <c r="V6369" s="16" t="str">
        <f>IFERROR(__xludf.DUMMYFUNCTION("""COMPUTED_VALUE"""),"")</f>
        <v/>
      </c>
      <c r="W6369" s="16" t="str">
        <f>IFERROR(__xludf.DUMMYFUNCTION("""COMPUTED_VALUE"""),"")</f>
        <v/>
      </c>
      <c r="X6369" s="16" t="str">
        <f>IFERROR(__xludf.DUMMYFUNCTION("""COMPUTED_VALUE"""),"")</f>
        <v/>
      </c>
      <c r="AC6369" s="16" t="str">
        <f>IFERROR(__xludf.DUMMYFUNCTION("""COMPUTED_VALUE"""),"")</f>
        <v/>
      </c>
    </row>
    <row r="6370">
      <c r="A6370" s="16" t="s">
        <v>87</v>
      </c>
      <c r="E6370" s="16" t="str">
        <f>IFERROR(__xludf.DUMMYFUNCTION("""COMPUTED_VALUE"""),"")</f>
        <v/>
      </c>
      <c r="G6370" s="18"/>
      <c r="H6370" s="16" t="s">
        <v>87</v>
      </c>
      <c r="I6370" s="16" t="s">
        <v>87</v>
      </c>
      <c r="J6370" s="19"/>
      <c r="L6370" s="16" t="str">
        <f>IFERROR(__xludf.DUMMYFUNCTION("""COMPUTED_VALUE"""),"")</f>
        <v/>
      </c>
      <c r="M6370" s="16" t="str">
        <f>IFERROR(__xludf.DUMMYFUNCTION("""COMPUTED_VALUE"""),"")</f>
        <v/>
      </c>
      <c r="U6370" s="16" t="s">
        <v>87</v>
      </c>
      <c r="V6370" s="16" t="str">
        <f>IFERROR(__xludf.DUMMYFUNCTION("""COMPUTED_VALUE"""),"")</f>
        <v/>
      </c>
      <c r="W6370" s="16" t="str">
        <f>IFERROR(__xludf.DUMMYFUNCTION("""COMPUTED_VALUE"""),"")</f>
        <v/>
      </c>
      <c r="X6370" s="16" t="str">
        <f>IFERROR(__xludf.DUMMYFUNCTION("""COMPUTED_VALUE"""),"")</f>
        <v/>
      </c>
      <c r="AC6370" s="16" t="str">
        <f>IFERROR(__xludf.DUMMYFUNCTION("""COMPUTED_VALUE"""),"")</f>
        <v/>
      </c>
    </row>
    <row r="6371">
      <c r="A6371" s="16" t="s">
        <v>87</v>
      </c>
      <c r="E6371" s="16" t="str">
        <f>IFERROR(__xludf.DUMMYFUNCTION("""COMPUTED_VALUE"""),"")</f>
        <v/>
      </c>
      <c r="G6371" s="18"/>
      <c r="H6371" s="16" t="s">
        <v>87</v>
      </c>
      <c r="I6371" s="16" t="s">
        <v>87</v>
      </c>
      <c r="J6371" s="19"/>
      <c r="L6371" s="16" t="str">
        <f>IFERROR(__xludf.DUMMYFUNCTION("""COMPUTED_VALUE"""),"")</f>
        <v/>
      </c>
      <c r="M6371" s="16" t="str">
        <f>IFERROR(__xludf.DUMMYFUNCTION("""COMPUTED_VALUE"""),"")</f>
        <v/>
      </c>
      <c r="U6371" s="16" t="s">
        <v>87</v>
      </c>
      <c r="V6371" s="16" t="str">
        <f>IFERROR(__xludf.DUMMYFUNCTION("""COMPUTED_VALUE"""),"")</f>
        <v/>
      </c>
      <c r="W6371" s="16" t="str">
        <f>IFERROR(__xludf.DUMMYFUNCTION("""COMPUTED_VALUE"""),"")</f>
        <v/>
      </c>
      <c r="X6371" s="16" t="str">
        <f>IFERROR(__xludf.DUMMYFUNCTION("""COMPUTED_VALUE"""),"")</f>
        <v/>
      </c>
      <c r="AC6371" s="16" t="str">
        <f>IFERROR(__xludf.DUMMYFUNCTION("""COMPUTED_VALUE"""),"")</f>
        <v/>
      </c>
    </row>
    <row r="6372">
      <c r="A6372" s="16" t="s">
        <v>87</v>
      </c>
      <c r="E6372" s="16" t="str">
        <f>IFERROR(__xludf.DUMMYFUNCTION("""COMPUTED_VALUE"""),"")</f>
        <v/>
      </c>
      <c r="G6372" s="18"/>
      <c r="H6372" s="16" t="s">
        <v>87</v>
      </c>
      <c r="I6372" s="16" t="s">
        <v>87</v>
      </c>
      <c r="J6372" s="19"/>
      <c r="L6372" s="16" t="str">
        <f>IFERROR(__xludf.DUMMYFUNCTION("""COMPUTED_VALUE"""),"")</f>
        <v/>
      </c>
      <c r="M6372" s="16" t="str">
        <f>IFERROR(__xludf.DUMMYFUNCTION("""COMPUTED_VALUE"""),"")</f>
        <v/>
      </c>
      <c r="U6372" s="16" t="s">
        <v>87</v>
      </c>
      <c r="V6372" s="16" t="str">
        <f>IFERROR(__xludf.DUMMYFUNCTION("""COMPUTED_VALUE"""),"")</f>
        <v/>
      </c>
      <c r="W6372" s="16" t="str">
        <f>IFERROR(__xludf.DUMMYFUNCTION("""COMPUTED_VALUE"""),"")</f>
        <v/>
      </c>
      <c r="X6372" s="16" t="str">
        <f>IFERROR(__xludf.DUMMYFUNCTION("""COMPUTED_VALUE"""),"")</f>
        <v/>
      </c>
      <c r="AC6372" s="16" t="str">
        <f>IFERROR(__xludf.DUMMYFUNCTION("""COMPUTED_VALUE"""),"")</f>
        <v/>
      </c>
    </row>
    <row r="6373">
      <c r="A6373" s="16" t="s">
        <v>87</v>
      </c>
      <c r="E6373" s="16" t="str">
        <f>IFERROR(__xludf.DUMMYFUNCTION("""COMPUTED_VALUE"""),"")</f>
        <v/>
      </c>
      <c r="G6373" s="18"/>
      <c r="H6373" s="16" t="s">
        <v>87</v>
      </c>
      <c r="I6373" s="16" t="s">
        <v>87</v>
      </c>
      <c r="J6373" s="19"/>
      <c r="L6373" s="16" t="str">
        <f>IFERROR(__xludf.DUMMYFUNCTION("""COMPUTED_VALUE"""),"")</f>
        <v/>
      </c>
      <c r="M6373" s="16" t="str">
        <f>IFERROR(__xludf.DUMMYFUNCTION("""COMPUTED_VALUE"""),"")</f>
        <v/>
      </c>
      <c r="U6373" s="16" t="s">
        <v>87</v>
      </c>
      <c r="V6373" s="16" t="str">
        <f>IFERROR(__xludf.DUMMYFUNCTION("""COMPUTED_VALUE"""),"")</f>
        <v/>
      </c>
      <c r="W6373" s="16" t="str">
        <f>IFERROR(__xludf.DUMMYFUNCTION("""COMPUTED_VALUE"""),"")</f>
        <v/>
      </c>
      <c r="X6373" s="16" t="str">
        <f>IFERROR(__xludf.DUMMYFUNCTION("""COMPUTED_VALUE"""),"")</f>
        <v/>
      </c>
      <c r="AC6373" s="16" t="str">
        <f>IFERROR(__xludf.DUMMYFUNCTION("""COMPUTED_VALUE"""),"")</f>
        <v/>
      </c>
    </row>
    <row r="6374">
      <c r="A6374" s="16" t="s">
        <v>87</v>
      </c>
      <c r="E6374" s="16" t="str">
        <f>IFERROR(__xludf.DUMMYFUNCTION("""COMPUTED_VALUE"""),"")</f>
        <v/>
      </c>
      <c r="G6374" s="18"/>
      <c r="H6374" s="16" t="s">
        <v>87</v>
      </c>
      <c r="I6374" s="16" t="s">
        <v>87</v>
      </c>
      <c r="J6374" s="19"/>
      <c r="L6374" s="16" t="str">
        <f>IFERROR(__xludf.DUMMYFUNCTION("""COMPUTED_VALUE"""),"")</f>
        <v/>
      </c>
      <c r="M6374" s="16" t="str">
        <f>IFERROR(__xludf.DUMMYFUNCTION("""COMPUTED_VALUE"""),"")</f>
        <v/>
      </c>
      <c r="U6374" s="16" t="s">
        <v>87</v>
      </c>
      <c r="V6374" s="16" t="str">
        <f>IFERROR(__xludf.DUMMYFUNCTION("""COMPUTED_VALUE"""),"")</f>
        <v/>
      </c>
      <c r="W6374" s="16" t="str">
        <f>IFERROR(__xludf.DUMMYFUNCTION("""COMPUTED_VALUE"""),"")</f>
        <v/>
      </c>
      <c r="X6374" s="16" t="str">
        <f>IFERROR(__xludf.DUMMYFUNCTION("""COMPUTED_VALUE"""),"")</f>
        <v/>
      </c>
      <c r="AC6374" s="16" t="str">
        <f>IFERROR(__xludf.DUMMYFUNCTION("""COMPUTED_VALUE"""),"")</f>
        <v/>
      </c>
    </row>
    <row r="6375">
      <c r="A6375" s="16" t="s">
        <v>87</v>
      </c>
      <c r="E6375" s="16" t="str">
        <f>IFERROR(__xludf.DUMMYFUNCTION("""COMPUTED_VALUE"""),"")</f>
        <v/>
      </c>
      <c r="G6375" s="18"/>
      <c r="H6375" s="16" t="s">
        <v>87</v>
      </c>
      <c r="I6375" s="16" t="s">
        <v>87</v>
      </c>
      <c r="J6375" s="19"/>
      <c r="L6375" s="16" t="str">
        <f>IFERROR(__xludf.DUMMYFUNCTION("""COMPUTED_VALUE"""),"")</f>
        <v/>
      </c>
      <c r="M6375" s="16" t="str">
        <f>IFERROR(__xludf.DUMMYFUNCTION("""COMPUTED_VALUE"""),"")</f>
        <v/>
      </c>
      <c r="U6375" s="16" t="s">
        <v>87</v>
      </c>
      <c r="V6375" s="16" t="str">
        <f>IFERROR(__xludf.DUMMYFUNCTION("""COMPUTED_VALUE"""),"")</f>
        <v/>
      </c>
      <c r="W6375" s="16" t="str">
        <f>IFERROR(__xludf.DUMMYFUNCTION("""COMPUTED_VALUE"""),"")</f>
        <v/>
      </c>
      <c r="X6375" s="16" t="str">
        <f>IFERROR(__xludf.DUMMYFUNCTION("""COMPUTED_VALUE"""),"")</f>
        <v/>
      </c>
      <c r="AC6375" s="16" t="str">
        <f>IFERROR(__xludf.DUMMYFUNCTION("""COMPUTED_VALUE"""),"")</f>
        <v/>
      </c>
    </row>
    <row r="6376">
      <c r="A6376" s="16" t="s">
        <v>87</v>
      </c>
      <c r="E6376" s="16" t="str">
        <f>IFERROR(__xludf.DUMMYFUNCTION("""COMPUTED_VALUE"""),"")</f>
        <v/>
      </c>
      <c r="G6376" s="18"/>
      <c r="H6376" s="16" t="s">
        <v>87</v>
      </c>
      <c r="I6376" s="16" t="s">
        <v>87</v>
      </c>
      <c r="J6376" s="19"/>
      <c r="L6376" s="16" t="str">
        <f>IFERROR(__xludf.DUMMYFUNCTION("""COMPUTED_VALUE"""),"")</f>
        <v/>
      </c>
      <c r="M6376" s="16" t="str">
        <f>IFERROR(__xludf.DUMMYFUNCTION("""COMPUTED_VALUE"""),"")</f>
        <v/>
      </c>
      <c r="U6376" s="16" t="s">
        <v>87</v>
      </c>
      <c r="V6376" s="16" t="str">
        <f>IFERROR(__xludf.DUMMYFUNCTION("""COMPUTED_VALUE"""),"")</f>
        <v/>
      </c>
      <c r="W6376" s="16" t="str">
        <f>IFERROR(__xludf.DUMMYFUNCTION("""COMPUTED_VALUE"""),"")</f>
        <v/>
      </c>
      <c r="X6376" s="16" t="str">
        <f>IFERROR(__xludf.DUMMYFUNCTION("""COMPUTED_VALUE"""),"")</f>
        <v/>
      </c>
      <c r="AC6376" s="16" t="str">
        <f>IFERROR(__xludf.DUMMYFUNCTION("""COMPUTED_VALUE"""),"")</f>
        <v/>
      </c>
    </row>
    <row r="6377">
      <c r="A6377" s="16" t="s">
        <v>87</v>
      </c>
      <c r="E6377" s="16" t="str">
        <f>IFERROR(__xludf.DUMMYFUNCTION("""COMPUTED_VALUE"""),"")</f>
        <v/>
      </c>
      <c r="G6377" s="18"/>
      <c r="H6377" s="16" t="s">
        <v>87</v>
      </c>
      <c r="I6377" s="16" t="s">
        <v>87</v>
      </c>
      <c r="J6377" s="19"/>
      <c r="L6377" s="16" t="str">
        <f>IFERROR(__xludf.DUMMYFUNCTION("""COMPUTED_VALUE"""),"")</f>
        <v/>
      </c>
      <c r="M6377" s="16" t="str">
        <f>IFERROR(__xludf.DUMMYFUNCTION("""COMPUTED_VALUE"""),"")</f>
        <v/>
      </c>
      <c r="U6377" s="16" t="s">
        <v>87</v>
      </c>
      <c r="V6377" s="16" t="str">
        <f>IFERROR(__xludf.DUMMYFUNCTION("""COMPUTED_VALUE"""),"")</f>
        <v/>
      </c>
      <c r="W6377" s="16" t="str">
        <f>IFERROR(__xludf.DUMMYFUNCTION("""COMPUTED_VALUE"""),"")</f>
        <v/>
      </c>
      <c r="X6377" s="16" t="str">
        <f>IFERROR(__xludf.DUMMYFUNCTION("""COMPUTED_VALUE"""),"")</f>
        <v/>
      </c>
      <c r="AC6377" s="16" t="str">
        <f>IFERROR(__xludf.DUMMYFUNCTION("""COMPUTED_VALUE"""),"")</f>
        <v/>
      </c>
    </row>
    <row r="6378">
      <c r="A6378" s="16" t="s">
        <v>87</v>
      </c>
      <c r="E6378" s="16" t="str">
        <f>IFERROR(__xludf.DUMMYFUNCTION("""COMPUTED_VALUE"""),"")</f>
        <v/>
      </c>
      <c r="G6378" s="18"/>
      <c r="H6378" s="16" t="s">
        <v>87</v>
      </c>
      <c r="I6378" s="16" t="s">
        <v>87</v>
      </c>
      <c r="J6378" s="19"/>
      <c r="L6378" s="16" t="str">
        <f>IFERROR(__xludf.DUMMYFUNCTION("""COMPUTED_VALUE"""),"")</f>
        <v/>
      </c>
      <c r="M6378" s="16" t="str">
        <f>IFERROR(__xludf.DUMMYFUNCTION("""COMPUTED_VALUE"""),"")</f>
        <v/>
      </c>
      <c r="U6378" s="16" t="s">
        <v>87</v>
      </c>
      <c r="V6378" s="16" t="str">
        <f>IFERROR(__xludf.DUMMYFUNCTION("""COMPUTED_VALUE"""),"")</f>
        <v/>
      </c>
      <c r="W6378" s="16" t="str">
        <f>IFERROR(__xludf.DUMMYFUNCTION("""COMPUTED_VALUE"""),"")</f>
        <v/>
      </c>
      <c r="X6378" s="16" t="str">
        <f>IFERROR(__xludf.DUMMYFUNCTION("""COMPUTED_VALUE"""),"")</f>
        <v/>
      </c>
      <c r="AC6378" s="16" t="str">
        <f>IFERROR(__xludf.DUMMYFUNCTION("""COMPUTED_VALUE"""),"")</f>
        <v/>
      </c>
    </row>
    <row r="6379">
      <c r="A6379" s="16" t="s">
        <v>87</v>
      </c>
      <c r="E6379" s="16" t="str">
        <f>IFERROR(__xludf.DUMMYFUNCTION("""COMPUTED_VALUE"""),"")</f>
        <v/>
      </c>
      <c r="G6379" s="18"/>
      <c r="H6379" s="16" t="s">
        <v>87</v>
      </c>
      <c r="I6379" s="16" t="s">
        <v>87</v>
      </c>
      <c r="J6379" s="19"/>
      <c r="L6379" s="16" t="str">
        <f>IFERROR(__xludf.DUMMYFUNCTION("""COMPUTED_VALUE"""),"")</f>
        <v/>
      </c>
      <c r="M6379" s="16" t="str">
        <f>IFERROR(__xludf.DUMMYFUNCTION("""COMPUTED_VALUE"""),"")</f>
        <v/>
      </c>
      <c r="U6379" s="16" t="s">
        <v>87</v>
      </c>
      <c r="V6379" s="16" t="str">
        <f>IFERROR(__xludf.DUMMYFUNCTION("""COMPUTED_VALUE"""),"")</f>
        <v/>
      </c>
      <c r="W6379" s="16" t="str">
        <f>IFERROR(__xludf.DUMMYFUNCTION("""COMPUTED_VALUE"""),"")</f>
        <v/>
      </c>
      <c r="X6379" s="16" t="str">
        <f>IFERROR(__xludf.DUMMYFUNCTION("""COMPUTED_VALUE"""),"")</f>
        <v/>
      </c>
      <c r="AC6379" s="16" t="str">
        <f>IFERROR(__xludf.DUMMYFUNCTION("""COMPUTED_VALUE"""),"")</f>
        <v/>
      </c>
    </row>
    <row r="6380">
      <c r="A6380" s="16" t="s">
        <v>87</v>
      </c>
      <c r="E6380" s="16" t="str">
        <f>IFERROR(__xludf.DUMMYFUNCTION("""COMPUTED_VALUE"""),"")</f>
        <v/>
      </c>
      <c r="G6380" s="18"/>
      <c r="H6380" s="16" t="s">
        <v>87</v>
      </c>
      <c r="I6380" s="16" t="s">
        <v>87</v>
      </c>
      <c r="J6380" s="19"/>
      <c r="L6380" s="16" t="str">
        <f>IFERROR(__xludf.DUMMYFUNCTION("""COMPUTED_VALUE"""),"")</f>
        <v/>
      </c>
      <c r="M6380" s="16" t="str">
        <f>IFERROR(__xludf.DUMMYFUNCTION("""COMPUTED_VALUE"""),"")</f>
        <v/>
      </c>
      <c r="U6380" s="16" t="s">
        <v>87</v>
      </c>
      <c r="V6380" s="16" t="str">
        <f>IFERROR(__xludf.DUMMYFUNCTION("""COMPUTED_VALUE"""),"")</f>
        <v/>
      </c>
      <c r="W6380" s="16" t="str">
        <f>IFERROR(__xludf.DUMMYFUNCTION("""COMPUTED_VALUE"""),"")</f>
        <v/>
      </c>
      <c r="X6380" s="16" t="str">
        <f>IFERROR(__xludf.DUMMYFUNCTION("""COMPUTED_VALUE"""),"")</f>
        <v/>
      </c>
      <c r="AC6380" s="16" t="str">
        <f>IFERROR(__xludf.DUMMYFUNCTION("""COMPUTED_VALUE"""),"")</f>
        <v/>
      </c>
    </row>
    <row r="6381">
      <c r="A6381" s="16" t="s">
        <v>87</v>
      </c>
      <c r="E6381" s="16" t="str">
        <f>IFERROR(__xludf.DUMMYFUNCTION("""COMPUTED_VALUE"""),"")</f>
        <v/>
      </c>
      <c r="G6381" s="18"/>
      <c r="H6381" s="16" t="s">
        <v>87</v>
      </c>
      <c r="I6381" s="16" t="s">
        <v>87</v>
      </c>
      <c r="J6381" s="19"/>
      <c r="L6381" s="16" t="str">
        <f>IFERROR(__xludf.DUMMYFUNCTION("""COMPUTED_VALUE"""),"")</f>
        <v/>
      </c>
      <c r="M6381" s="16" t="str">
        <f>IFERROR(__xludf.DUMMYFUNCTION("""COMPUTED_VALUE"""),"")</f>
        <v/>
      </c>
      <c r="U6381" s="16" t="s">
        <v>87</v>
      </c>
      <c r="V6381" s="16" t="str">
        <f>IFERROR(__xludf.DUMMYFUNCTION("""COMPUTED_VALUE"""),"")</f>
        <v/>
      </c>
      <c r="W6381" s="16" t="str">
        <f>IFERROR(__xludf.DUMMYFUNCTION("""COMPUTED_VALUE"""),"")</f>
        <v/>
      </c>
      <c r="X6381" s="16" t="str">
        <f>IFERROR(__xludf.DUMMYFUNCTION("""COMPUTED_VALUE"""),"")</f>
        <v/>
      </c>
      <c r="AC6381" s="16" t="str">
        <f>IFERROR(__xludf.DUMMYFUNCTION("""COMPUTED_VALUE"""),"")</f>
        <v/>
      </c>
    </row>
    <row r="6382">
      <c r="A6382" s="16" t="s">
        <v>87</v>
      </c>
      <c r="E6382" s="16" t="str">
        <f>IFERROR(__xludf.DUMMYFUNCTION("""COMPUTED_VALUE"""),"")</f>
        <v/>
      </c>
      <c r="G6382" s="18"/>
      <c r="H6382" s="16" t="s">
        <v>87</v>
      </c>
      <c r="I6382" s="16" t="s">
        <v>87</v>
      </c>
      <c r="J6382" s="19"/>
      <c r="L6382" s="16" t="str">
        <f>IFERROR(__xludf.DUMMYFUNCTION("""COMPUTED_VALUE"""),"")</f>
        <v/>
      </c>
      <c r="M6382" s="16" t="str">
        <f>IFERROR(__xludf.DUMMYFUNCTION("""COMPUTED_VALUE"""),"")</f>
        <v/>
      </c>
      <c r="U6382" s="16" t="s">
        <v>87</v>
      </c>
      <c r="V6382" s="16" t="str">
        <f>IFERROR(__xludf.DUMMYFUNCTION("""COMPUTED_VALUE"""),"")</f>
        <v/>
      </c>
      <c r="W6382" s="16" t="str">
        <f>IFERROR(__xludf.DUMMYFUNCTION("""COMPUTED_VALUE"""),"")</f>
        <v/>
      </c>
      <c r="X6382" s="16" t="str">
        <f>IFERROR(__xludf.DUMMYFUNCTION("""COMPUTED_VALUE"""),"")</f>
        <v/>
      </c>
      <c r="AC6382" s="16" t="str">
        <f>IFERROR(__xludf.DUMMYFUNCTION("""COMPUTED_VALUE"""),"")</f>
        <v/>
      </c>
    </row>
    <row r="6383">
      <c r="A6383" s="16" t="s">
        <v>87</v>
      </c>
      <c r="E6383" s="16" t="str">
        <f>IFERROR(__xludf.DUMMYFUNCTION("""COMPUTED_VALUE"""),"")</f>
        <v/>
      </c>
      <c r="G6383" s="18"/>
      <c r="H6383" s="16" t="s">
        <v>87</v>
      </c>
      <c r="I6383" s="16" t="s">
        <v>87</v>
      </c>
      <c r="J6383" s="19"/>
      <c r="L6383" s="16" t="str">
        <f>IFERROR(__xludf.DUMMYFUNCTION("""COMPUTED_VALUE"""),"")</f>
        <v/>
      </c>
      <c r="M6383" s="16" t="str">
        <f>IFERROR(__xludf.DUMMYFUNCTION("""COMPUTED_VALUE"""),"")</f>
        <v/>
      </c>
      <c r="U6383" s="16" t="s">
        <v>87</v>
      </c>
      <c r="V6383" s="16" t="str">
        <f>IFERROR(__xludf.DUMMYFUNCTION("""COMPUTED_VALUE"""),"")</f>
        <v/>
      </c>
      <c r="W6383" s="16" t="str">
        <f>IFERROR(__xludf.DUMMYFUNCTION("""COMPUTED_VALUE"""),"")</f>
        <v/>
      </c>
      <c r="X6383" s="16" t="str">
        <f>IFERROR(__xludf.DUMMYFUNCTION("""COMPUTED_VALUE"""),"")</f>
        <v/>
      </c>
      <c r="AC6383" s="16" t="str">
        <f>IFERROR(__xludf.DUMMYFUNCTION("""COMPUTED_VALUE"""),"")</f>
        <v/>
      </c>
    </row>
    <row r="6384">
      <c r="A6384" s="16" t="s">
        <v>87</v>
      </c>
      <c r="E6384" s="16" t="str">
        <f>IFERROR(__xludf.DUMMYFUNCTION("""COMPUTED_VALUE"""),"")</f>
        <v/>
      </c>
      <c r="G6384" s="18"/>
      <c r="H6384" s="16" t="s">
        <v>87</v>
      </c>
      <c r="I6384" s="16" t="s">
        <v>87</v>
      </c>
      <c r="J6384" s="19"/>
      <c r="L6384" s="16" t="str">
        <f>IFERROR(__xludf.DUMMYFUNCTION("""COMPUTED_VALUE"""),"")</f>
        <v/>
      </c>
      <c r="M6384" s="16" t="str">
        <f>IFERROR(__xludf.DUMMYFUNCTION("""COMPUTED_VALUE"""),"")</f>
        <v/>
      </c>
      <c r="U6384" s="16" t="s">
        <v>87</v>
      </c>
      <c r="V6384" s="16" t="str">
        <f>IFERROR(__xludf.DUMMYFUNCTION("""COMPUTED_VALUE"""),"")</f>
        <v/>
      </c>
      <c r="W6384" s="16" t="str">
        <f>IFERROR(__xludf.DUMMYFUNCTION("""COMPUTED_VALUE"""),"")</f>
        <v/>
      </c>
      <c r="X6384" s="16" t="str">
        <f>IFERROR(__xludf.DUMMYFUNCTION("""COMPUTED_VALUE"""),"")</f>
        <v/>
      </c>
      <c r="AC6384" s="16" t="str">
        <f>IFERROR(__xludf.DUMMYFUNCTION("""COMPUTED_VALUE"""),"")</f>
        <v/>
      </c>
    </row>
    <row r="6385">
      <c r="A6385" s="16" t="s">
        <v>87</v>
      </c>
      <c r="E6385" s="16" t="str">
        <f>IFERROR(__xludf.DUMMYFUNCTION("""COMPUTED_VALUE"""),"")</f>
        <v/>
      </c>
      <c r="G6385" s="18"/>
      <c r="H6385" s="16" t="s">
        <v>87</v>
      </c>
      <c r="I6385" s="16" t="s">
        <v>87</v>
      </c>
      <c r="J6385" s="19"/>
      <c r="L6385" s="16" t="str">
        <f>IFERROR(__xludf.DUMMYFUNCTION("""COMPUTED_VALUE"""),"")</f>
        <v/>
      </c>
      <c r="M6385" s="16" t="str">
        <f>IFERROR(__xludf.DUMMYFUNCTION("""COMPUTED_VALUE"""),"")</f>
        <v/>
      </c>
      <c r="U6385" s="16" t="s">
        <v>87</v>
      </c>
      <c r="V6385" s="16" t="str">
        <f>IFERROR(__xludf.DUMMYFUNCTION("""COMPUTED_VALUE"""),"")</f>
        <v/>
      </c>
      <c r="W6385" s="16" t="str">
        <f>IFERROR(__xludf.DUMMYFUNCTION("""COMPUTED_VALUE"""),"")</f>
        <v/>
      </c>
      <c r="X6385" s="16" t="str">
        <f>IFERROR(__xludf.DUMMYFUNCTION("""COMPUTED_VALUE"""),"")</f>
        <v/>
      </c>
      <c r="AC6385" s="16" t="str">
        <f>IFERROR(__xludf.DUMMYFUNCTION("""COMPUTED_VALUE"""),"")</f>
        <v/>
      </c>
    </row>
    <row r="6386">
      <c r="A6386" s="16" t="s">
        <v>87</v>
      </c>
      <c r="E6386" s="16" t="str">
        <f>IFERROR(__xludf.DUMMYFUNCTION("""COMPUTED_VALUE"""),"")</f>
        <v/>
      </c>
      <c r="G6386" s="18"/>
      <c r="H6386" s="16" t="s">
        <v>87</v>
      </c>
      <c r="I6386" s="16" t="s">
        <v>87</v>
      </c>
      <c r="J6386" s="19"/>
      <c r="L6386" s="16" t="str">
        <f>IFERROR(__xludf.DUMMYFUNCTION("""COMPUTED_VALUE"""),"")</f>
        <v/>
      </c>
      <c r="M6386" s="16" t="str">
        <f>IFERROR(__xludf.DUMMYFUNCTION("""COMPUTED_VALUE"""),"")</f>
        <v/>
      </c>
      <c r="U6386" s="16" t="s">
        <v>87</v>
      </c>
      <c r="V6386" s="16" t="str">
        <f>IFERROR(__xludf.DUMMYFUNCTION("""COMPUTED_VALUE"""),"")</f>
        <v/>
      </c>
      <c r="W6386" s="16" t="str">
        <f>IFERROR(__xludf.DUMMYFUNCTION("""COMPUTED_VALUE"""),"")</f>
        <v/>
      </c>
      <c r="X6386" s="16" t="str">
        <f>IFERROR(__xludf.DUMMYFUNCTION("""COMPUTED_VALUE"""),"")</f>
        <v/>
      </c>
      <c r="AC6386" s="16" t="str">
        <f>IFERROR(__xludf.DUMMYFUNCTION("""COMPUTED_VALUE"""),"")</f>
        <v/>
      </c>
    </row>
    <row r="6387">
      <c r="A6387" s="16" t="s">
        <v>87</v>
      </c>
      <c r="E6387" s="16" t="str">
        <f>IFERROR(__xludf.DUMMYFUNCTION("""COMPUTED_VALUE"""),"")</f>
        <v/>
      </c>
      <c r="G6387" s="18"/>
      <c r="H6387" s="16" t="s">
        <v>87</v>
      </c>
      <c r="I6387" s="16" t="s">
        <v>87</v>
      </c>
      <c r="J6387" s="19"/>
      <c r="L6387" s="16" t="str">
        <f>IFERROR(__xludf.DUMMYFUNCTION("""COMPUTED_VALUE"""),"")</f>
        <v/>
      </c>
      <c r="M6387" s="16" t="str">
        <f>IFERROR(__xludf.DUMMYFUNCTION("""COMPUTED_VALUE"""),"")</f>
        <v/>
      </c>
      <c r="U6387" s="16" t="s">
        <v>87</v>
      </c>
      <c r="V6387" s="16" t="str">
        <f>IFERROR(__xludf.DUMMYFUNCTION("""COMPUTED_VALUE"""),"")</f>
        <v/>
      </c>
      <c r="W6387" s="16" t="str">
        <f>IFERROR(__xludf.DUMMYFUNCTION("""COMPUTED_VALUE"""),"")</f>
        <v/>
      </c>
      <c r="X6387" s="16" t="str">
        <f>IFERROR(__xludf.DUMMYFUNCTION("""COMPUTED_VALUE"""),"")</f>
        <v/>
      </c>
      <c r="AC6387" s="16" t="str">
        <f>IFERROR(__xludf.DUMMYFUNCTION("""COMPUTED_VALUE"""),"")</f>
        <v/>
      </c>
    </row>
    <row r="6388">
      <c r="A6388" s="16" t="s">
        <v>87</v>
      </c>
      <c r="E6388" s="16" t="str">
        <f>IFERROR(__xludf.DUMMYFUNCTION("""COMPUTED_VALUE"""),"")</f>
        <v/>
      </c>
      <c r="G6388" s="18"/>
      <c r="H6388" s="16" t="s">
        <v>87</v>
      </c>
      <c r="I6388" s="16" t="s">
        <v>87</v>
      </c>
      <c r="J6388" s="19"/>
      <c r="L6388" s="16" t="str">
        <f>IFERROR(__xludf.DUMMYFUNCTION("""COMPUTED_VALUE"""),"")</f>
        <v/>
      </c>
      <c r="M6388" s="16" t="str">
        <f>IFERROR(__xludf.DUMMYFUNCTION("""COMPUTED_VALUE"""),"")</f>
        <v/>
      </c>
      <c r="U6388" s="16" t="s">
        <v>87</v>
      </c>
      <c r="V6388" s="16" t="str">
        <f>IFERROR(__xludf.DUMMYFUNCTION("""COMPUTED_VALUE"""),"")</f>
        <v/>
      </c>
      <c r="W6388" s="16" t="str">
        <f>IFERROR(__xludf.DUMMYFUNCTION("""COMPUTED_VALUE"""),"")</f>
        <v/>
      </c>
      <c r="X6388" s="16" t="str">
        <f>IFERROR(__xludf.DUMMYFUNCTION("""COMPUTED_VALUE"""),"")</f>
        <v/>
      </c>
      <c r="AC6388" s="16" t="str">
        <f>IFERROR(__xludf.DUMMYFUNCTION("""COMPUTED_VALUE"""),"")</f>
        <v/>
      </c>
    </row>
    <row r="6389">
      <c r="A6389" s="16" t="s">
        <v>87</v>
      </c>
      <c r="E6389" s="16" t="str">
        <f>IFERROR(__xludf.DUMMYFUNCTION("""COMPUTED_VALUE"""),"")</f>
        <v/>
      </c>
      <c r="G6389" s="18"/>
      <c r="H6389" s="16" t="s">
        <v>87</v>
      </c>
      <c r="I6389" s="16" t="s">
        <v>87</v>
      </c>
      <c r="J6389" s="19"/>
      <c r="L6389" s="16" t="str">
        <f>IFERROR(__xludf.DUMMYFUNCTION("""COMPUTED_VALUE"""),"")</f>
        <v/>
      </c>
      <c r="M6389" s="16" t="str">
        <f>IFERROR(__xludf.DUMMYFUNCTION("""COMPUTED_VALUE"""),"")</f>
        <v/>
      </c>
      <c r="U6389" s="16" t="s">
        <v>87</v>
      </c>
      <c r="V6389" s="16" t="str">
        <f>IFERROR(__xludf.DUMMYFUNCTION("""COMPUTED_VALUE"""),"")</f>
        <v/>
      </c>
      <c r="W6389" s="16" t="str">
        <f>IFERROR(__xludf.DUMMYFUNCTION("""COMPUTED_VALUE"""),"")</f>
        <v/>
      </c>
      <c r="X6389" s="16" t="str">
        <f>IFERROR(__xludf.DUMMYFUNCTION("""COMPUTED_VALUE"""),"")</f>
        <v/>
      </c>
      <c r="AC6389" s="16" t="str">
        <f>IFERROR(__xludf.DUMMYFUNCTION("""COMPUTED_VALUE"""),"")</f>
        <v/>
      </c>
    </row>
    <row r="6390">
      <c r="A6390" s="16" t="s">
        <v>87</v>
      </c>
      <c r="E6390" s="16" t="str">
        <f>IFERROR(__xludf.DUMMYFUNCTION("""COMPUTED_VALUE"""),"")</f>
        <v/>
      </c>
      <c r="G6390" s="18"/>
      <c r="H6390" s="16" t="s">
        <v>87</v>
      </c>
      <c r="I6390" s="16" t="s">
        <v>87</v>
      </c>
      <c r="J6390" s="19"/>
      <c r="L6390" s="16" t="str">
        <f>IFERROR(__xludf.DUMMYFUNCTION("""COMPUTED_VALUE"""),"")</f>
        <v/>
      </c>
      <c r="M6390" s="16" t="str">
        <f>IFERROR(__xludf.DUMMYFUNCTION("""COMPUTED_VALUE"""),"")</f>
        <v/>
      </c>
      <c r="U6390" s="16" t="s">
        <v>87</v>
      </c>
      <c r="V6390" s="16" t="str">
        <f>IFERROR(__xludf.DUMMYFUNCTION("""COMPUTED_VALUE"""),"")</f>
        <v/>
      </c>
      <c r="W6390" s="16" t="str">
        <f>IFERROR(__xludf.DUMMYFUNCTION("""COMPUTED_VALUE"""),"")</f>
        <v/>
      </c>
      <c r="X6390" s="16" t="str">
        <f>IFERROR(__xludf.DUMMYFUNCTION("""COMPUTED_VALUE"""),"")</f>
        <v/>
      </c>
      <c r="AC6390" s="16" t="str">
        <f>IFERROR(__xludf.DUMMYFUNCTION("""COMPUTED_VALUE"""),"")</f>
        <v/>
      </c>
    </row>
    <row r="6391">
      <c r="A6391" s="16" t="s">
        <v>87</v>
      </c>
      <c r="E6391" s="16" t="str">
        <f>IFERROR(__xludf.DUMMYFUNCTION("""COMPUTED_VALUE"""),"")</f>
        <v/>
      </c>
      <c r="G6391" s="18"/>
      <c r="H6391" s="16" t="s">
        <v>87</v>
      </c>
      <c r="I6391" s="16" t="s">
        <v>87</v>
      </c>
      <c r="J6391" s="19"/>
      <c r="L6391" s="16" t="str">
        <f>IFERROR(__xludf.DUMMYFUNCTION("""COMPUTED_VALUE"""),"")</f>
        <v/>
      </c>
      <c r="M6391" s="16" t="str">
        <f>IFERROR(__xludf.DUMMYFUNCTION("""COMPUTED_VALUE"""),"")</f>
        <v/>
      </c>
      <c r="U6391" s="16" t="s">
        <v>87</v>
      </c>
      <c r="V6391" s="16" t="str">
        <f>IFERROR(__xludf.DUMMYFUNCTION("""COMPUTED_VALUE"""),"")</f>
        <v/>
      </c>
      <c r="W6391" s="16" t="str">
        <f>IFERROR(__xludf.DUMMYFUNCTION("""COMPUTED_VALUE"""),"")</f>
        <v/>
      </c>
      <c r="X6391" s="16" t="str">
        <f>IFERROR(__xludf.DUMMYFUNCTION("""COMPUTED_VALUE"""),"")</f>
        <v/>
      </c>
      <c r="AC6391" s="16" t="str">
        <f>IFERROR(__xludf.DUMMYFUNCTION("""COMPUTED_VALUE"""),"")</f>
        <v/>
      </c>
    </row>
    <row r="6392">
      <c r="A6392" s="16" t="s">
        <v>87</v>
      </c>
      <c r="E6392" s="16" t="str">
        <f>IFERROR(__xludf.DUMMYFUNCTION("""COMPUTED_VALUE"""),"")</f>
        <v/>
      </c>
      <c r="G6392" s="18"/>
      <c r="H6392" s="16" t="s">
        <v>87</v>
      </c>
      <c r="I6392" s="16" t="s">
        <v>87</v>
      </c>
      <c r="J6392" s="19"/>
      <c r="L6392" s="16" t="str">
        <f>IFERROR(__xludf.DUMMYFUNCTION("""COMPUTED_VALUE"""),"")</f>
        <v/>
      </c>
      <c r="M6392" s="16" t="str">
        <f>IFERROR(__xludf.DUMMYFUNCTION("""COMPUTED_VALUE"""),"")</f>
        <v/>
      </c>
      <c r="U6392" s="16" t="s">
        <v>87</v>
      </c>
      <c r="V6392" s="16" t="str">
        <f>IFERROR(__xludf.DUMMYFUNCTION("""COMPUTED_VALUE"""),"")</f>
        <v/>
      </c>
      <c r="W6392" s="16" t="str">
        <f>IFERROR(__xludf.DUMMYFUNCTION("""COMPUTED_VALUE"""),"")</f>
        <v/>
      </c>
      <c r="X6392" s="16" t="str">
        <f>IFERROR(__xludf.DUMMYFUNCTION("""COMPUTED_VALUE"""),"")</f>
        <v/>
      </c>
      <c r="AC6392" s="16" t="str">
        <f>IFERROR(__xludf.DUMMYFUNCTION("""COMPUTED_VALUE"""),"")</f>
        <v/>
      </c>
    </row>
    <row r="6393">
      <c r="A6393" s="16" t="s">
        <v>87</v>
      </c>
      <c r="E6393" s="16" t="str">
        <f>IFERROR(__xludf.DUMMYFUNCTION("""COMPUTED_VALUE"""),"")</f>
        <v/>
      </c>
      <c r="G6393" s="18"/>
      <c r="H6393" s="16" t="s">
        <v>87</v>
      </c>
      <c r="I6393" s="16" t="s">
        <v>87</v>
      </c>
      <c r="J6393" s="19"/>
      <c r="L6393" s="16" t="str">
        <f>IFERROR(__xludf.DUMMYFUNCTION("""COMPUTED_VALUE"""),"")</f>
        <v/>
      </c>
      <c r="M6393" s="16" t="str">
        <f>IFERROR(__xludf.DUMMYFUNCTION("""COMPUTED_VALUE"""),"")</f>
        <v/>
      </c>
      <c r="U6393" s="16" t="s">
        <v>87</v>
      </c>
      <c r="V6393" s="16" t="str">
        <f>IFERROR(__xludf.DUMMYFUNCTION("""COMPUTED_VALUE"""),"")</f>
        <v/>
      </c>
      <c r="W6393" s="16" t="str">
        <f>IFERROR(__xludf.DUMMYFUNCTION("""COMPUTED_VALUE"""),"")</f>
        <v/>
      </c>
      <c r="X6393" s="16" t="str">
        <f>IFERROR(__xludf.DUMMYFUNCTION("""COMPUTED_VALUE"""),"")</f>
        <v/>
      </c>
      <c r="AC6393" s="16" t="str">
        <f>IFERROR(__xludf.DUMMYFUNCTION("""COMPUTED_VALUE"""),"")</f>
        <v/>
      </c>
    </row>
    <row r="6394">
      <c r="A6394" s="16" t="s">
        <v>87</v>
      </c>
      <c r="E6394" s="16" t="str">
        <f>IFERROR(__xludf.DUMMYFUNCTION("""COMPUTED_VALUE"""),"")</f>
        <v/>
      </c>
      <c r="G6394" s="18"/>
      <c r="H6394" s="16" t="s">
        <v>87</v>
      </c>
      <c r="I6394" s="16" t="s">
        <v>87</v>
      </c>
      <c r="J6394" s="19"/>
      <c r="L6394" s="16" t="str">
        <f>IFERROR(__xludf.DUMMYFUNCTION("""COMPUTED_VALUE"""),"")</f>
        <v/>
      </c>
      <c r="M6394" s="16" t="str">
        <f>IFERROR(__xludf.DUMMYFUNCTION("""COMPUTED_VALUE"""),"")</f>
        <v/>
      </c>
      <c r="U6394" s="16" t="s">
        <v>87</v>
      </c>
      <c r="V6394" s="16" t="str">
        <f>IFERROR(__xludf.DUMMYFUNCTION("""COMPUTED_VALUE"""),"")</f>
        <v/>
      </c>
      <c r="W6394" s="16" t="str">
        <f>IFERROR(__xludf.DUMMYFUNCTION("""COMPUTED_VALUE"""),"")</f>
        <v/>
      </c>
      <c r="X6394" s="16" t="str">
        <f>IFERROR(__xludf.DUMMYFUNCTION("""COMPUTED_VALUE"""),"")</f>
        <v/>
      </c>
      <c r="AC6394" s="16" t="str">
        <f>IFERROR(__xludf.DUMMYFUNCTION("""COMPUTED_VALUE"""),"")</f>
        <v/>
      </c>
    </row>
    <row r="6395">
      <c r="A6395" s="16" t="s">
        <v>87</v>
      </c>
      <c r="E6395" s="16" t="str">
        <f>IFERROR(__xludf.DUMMYFUNCTION("""COMPUTED_VALUE"""),"")</f>
        <v/>
      </c>
      <c r="G6395" s="18"/>
      <c r="H6395" s="16" t="s">
        <v>87</v>
      </c>
      <c r="I6395" s="16" t="s">
        <v>87</v>
      </c>
      <c r="J6395" s="19"/>
      <c r="L6395" s="16" t="str">
        <f>IFERROR(__xludf.DUMMYFUNCTION("""COMPUTED_VALUE"""),"")</f>
        <v/>
      </c>
      <c r="M6395" s="16" t="str">
        <f>IFERROR(__xludf.DUMMYFUNCTION("""COMPUTED_VALUE"""),"")</f>
        <v/>
      </c>
      <c r="U6395" s="16" t="s">
        <v>87</v>
      </c>
      <c r="V6395" s="16" t="str">
        <f>IFERROR(__xludf.DUMMYFUNCTION("""COMPUTED_VALUE"""),"")</f>
        <v/>
      </c>
      <c r="W6395" s="16" t="str">
        <f>IFERROR(__xludf.DUMMYFUNCTION("""COMPUTED_VALUE"""),"")</f>
        <v/>
      </c>
      <c r="X6395" s="16" t="str">
        <f>IFERROR(__xludf.DUMMYFUNCTION("""COMPUTED_VALUE"""),"")</f>
        <v/>
      </c>
      <c r="AC6395" s="16" t="str">
        <f>IFERROR(__xludf.DUMMYFUNCTION("""COMPUTED_VALUE"""),"")</f>
        <v/>
      </c>
    </row>
    <row r="6396">
      <c r="A6396" s="16" t="s">
        <v>87</v>
      </c>
      <c r="E6396" s="16" t="str">
        <f>IFERROR(__xludf.DUMMYFUNCTION("""COMPUTED_VALUE"""),"")</f>
        <v/>
      </c>
      <c r="G6396" s="18"/>
      <c r="H6396" s="16" t="s">
        <v>87</v>
      </c>
      <c r="I6396" s="16" t="s">
        <v>87</v>
      </c>
      <c r="J6396" s="19"/>
      <c r="L6396" s="16" t="str">
        <f>IFERROR(__xludf.DUMMYFUNCTION("""COMPUTED_VALUE"""),"")</f>
        <v/>
      </c>
      <c r="M6396" s="16" t="str">
        <f>IFERROR(__xludf.DUMMYFUNCTION("""COMPUTED_VALUE"""),"")</f>
        <v/>
      </c>
      <c r="U6396" s="16" t="s">
        <v>87</v>
      </c>
      <c r="V6396" s="16" t="str">
        <f>IFERROR(__xludf.DUMMYFUNCTION("""COMPUTED_VALUE"""),"")</f>
        <v/>
      </c>
      <c r="W6396" s="16" t="str">
        <f>IFERROR(__xludf.DUMMYFUNCTION("""COMPUTED_VALUE"""),"")</f>
        <v/>
      </c>
      <c r="X6396" s="16" t="str">
        <f>IFERROR(__xludf.DUMMYFUNCTION("""COMPUTED_VALUE"""),"")</f>
        <v/>
      </c>
      <c r="AC6396" s="16" t="str">
        <f>IFERROR(__xludf.DUMMYFUNCTION("""COMPUTED_VALUE"""),"")</f>
        <v/>
      </c>
    </row>
    <row r="6397">
      <c r="A6397" s="16" t="s">
        <v>87</v>
      </c>
      <c r="E6397" s="16" t="str">
        <f>IFERROR(__xludf.DUMMYFUNCTION("""COMPUTED_VALUE"""),"")</f>
        <v/>
      </c>
      <c r="G6397" s="18"/>
      <c r="H6397" s="16" t="s">
        <v>87</v>
      </c>
      <c r="I6397" s="16" t="s">
        <v>87</v>
      </c>
      <c r="J6397" s="19"/>
      <c r="L6397" s="16" t="str">
        <f>IFERROR(__xludf.DUMMYFUNCTION("""COMPUTED_VALUE"""),"")</f>
        <v/>
      </c>
      <c r="M6397" s="16" t="str">
        <f>IFERROR(__xludf.DUMMYFUNCTION("""COMPUTED_VALUE"""),"")</f>
        <v/>
      </c>
      <c r="U6397" s="16" t="s">
        <v>87</v>
      </c>
      <c r="V6397" s="16" t="str">
        <f>IFERROR(__xludf.DUMMYFUNCTION("""COMPUTED_VALUE"""),"")</f>
        <v/>
      </c>
      <c r="W6397" s="16" t="str">
        <f>IFERROR(__xludf.DUMMYFUNCTION("""COMPUTED_VALUE"""),"")</f>
        <v/>
      </c>
      <c r="X6397" s="16" t="str">
        <f>IFERROR(__xludf.DUMMYFUNCTION("""COMPUTED_VALUE"""),"")</f>
        <v/>
      </c>
      <c r="AC6397" s="16" t="str">
        <f>IFERROR(__xludf.DUMMYFUNCTION("""COMPUTED_VALUE"""),"")</f>
        <v/>
      </c>
    </row>
    <row r="6398">
      <c r="A6398" s="16" t="s">
        <v>87</v>
      </c>
      <c r="E6398" s="16" t="str">
        <f>IFERROR(__xludf.DUMMYFUNCTION("""COMPUTED_VALUE"""),"")</f>
        <v/>
      </c>
      <c r="G6398" s="18"/>
      <c r="H6398" s="16" t="s">
        <v>87</v>
      </c>
      <c r="I6398" s="16" t="s">
        <v>87</v>
      </c>
      <c r="J6398" s="19"/>
      <c r="L6398" s="16" t="str">
        <f>IFERROR(__xludf.DUMMYFUNCTION("""COMPUTED_VALUE"""),"")</f>
        <v/>
      </c>
      <c r="M6398" s="16" t="str">
        <f>IFERROR(__xludf.DUMMYFUNCTION("""COMPUTED_VALUE"""),"")</f>
        <v/>
      </c>
      <c r="U6398" s="16" t="s">
        <v>87</v>
      </c>
      <c r="V6398" s="16" t="str">
        <f>IFERROR(__xludf.DUMMYFUNCTION("""COMPUTED_VALUE"""),"")</f>
        <v/>
      </c>
      <c r="W6398" s="16" t="str">
        <f>IFERROR(__xludf.DUMMYFUNCTION("""COMPUTED_VALUE"""),"")</f>
        <v/>
      </c>
      <c r="X6398" s="16" t="str">
        <f>IFERROR(__xludf.DUMMYFUNCTION("""COMPUTED_VALUE"""),"")</f>
        <v/>
      </c>
      <c r="AC6398" s="16" t="str">
        <f>IFERROR(__xludf.DUMMYFUNCTION("""COMPUTED_VALUE"""),"")</f>
        <v/>
      </c>
    </row>
    <row r="6399">
      <c r="A6399" s="16" t="s">
        <v>87</v>
      </c>
      <c r="E6399" s="16" t="str">
        <f>IFERROR(__xludf.DUMMYFUNCTION("""COMPUTED_VALUE"""),"")</f>
        <v/>
      </c>
      <c r="G6399" s="18"/>
      <c r="H6399" s="16" t="s">
        <v>87</v>
      </c>
      <c r="I6399" s="16" t="s">
        <v>87</v>
      </c>
      <c r="J6399" s="19"/>
      <c r="L6399" s="16" t="str">
        <f>IFERROR(__xludf.DUMMYFUNCTION("""COMPUTED_VALUE"""),"")</f>
        <v/>
      </c>
      <c r="M6399" s="16" t="str">
        <f>IFERROR(__xludf.DUMMYFUNCTION("""COMPUTED_VALUE"""),"")</f>
        <v/>
      </c>
      <c r="U6399" s="16" t="s">
        <v>87</v>
      </c>
      <c r="V6399" s="16" t="str">
        <f>IFERROR(__xludf.DUMMYFUNCTION("""COMPUTED_VALUE"""),"")</f>
        <v/>
      </c>
      <c r="W6399" s="16" t="str">
        <f>IFERROR(__xludf.DUMMYFUNCTION("""COMPUTED_VALUE"""),"")</f>
        <v/>
      </c>
      <c r="X6399" s="16" t="str">
        <f>IFERROR(__xludf.DUMMYFUNCTION("""COMPUTED_VALUE"""),"")</f>
        <v/>
      </c>
      <c r="AC6399" s="16" t="str">
        <f>IFERROR(__xludf.DUMMYFUNCTION("""COMPUTED_VALUE"""),"")</f>
        <v/>
      </c>
    </row>
    <row r="6400">
      <c r="A6400" s="16" t="s">
        <v>87</v>
      </c>
      <c r="E6400" s="16" t="str">
        <f>IFERROR(__xludf.DUMMYFUNCTION("""COMPUTED_VALUE"""),"")</f>
        <v/>
      </c>
      <c r="G6400" s="18"/>
      <c r="H6400" s="16" t="s">
        <v>87</v>
      </c>
      <c r="I6400" s="16" t="s">
        <v>87</v>
      </c>
      <c r="J6400" s="19"/>
      <c r="L6400" s="16" t="str">
        <f>IFERROR(__xludf.DUMMYFUNCTION("""COMPUTED_VALUE"""),"")</f>
        <v/>
      </c>
      <c r="M6400" s="16" t="str">
        <f>IFERROR(__xludf.DUMMYFUNCTION("""COMPUTED_VALUE"""),"")</f>
        <v/>
      </c>
      <c r="U6400" s="16" t="s">
        <v>87</v>
      </c>
      <c r="V6400" s="16" t="str">
        <f>IFERROR(__xludf.DUMMYFUNCTION("""COMPUTED_VALUE"""),"")</f>
        <v/>
      </c>
      <c r="W6400" s="16" t="str">
        <f>IFERROR(__xludf.DUMMYFUNCTION("""COMPUTED_VALUE"""),"")</f>
        <v/>
      </c>
      <c r="X6400" s="16" t="str">
        <f>IFERROR(__xludf.DUMMYFUNCTION("""COMPUTED_VALUE"""),"")</f>
        <v/>
      </c>
      <c r="AC6400" s="16" t="str">
        <f>IFERROR(__xludf.DUMMYFUNCTION("""COMPUTED_VALUE"""),"")</f>
        <v/>
      </c>
    </row>
    <row r="6401">
      <c r="A6401" s="16" t="s">
        <v>87</v>
      </c>
      <c r="E6401" s="16" t="str">
        <f>IFERROR(__xludf.DUMMYFUNCTION("""COMPUTED_VALUE"""),"")</f>
        <v/>
      </c>
      <c r="G6401" s="18"/>
      <c r="H6401" s="16" t="s">
        <v>87</v>
      </c>
      <c r="I6401" s="16" t="s">
        <v>87</v>
      </c>
      <c r="J6401" s="19"/>
      <c r="L6401" s="16" t="str">
        <f>IFERROR(__xludf.DUMMYFUNCTION("""COMPUTED_VALUE"""),"")</f>
        <v/>
      </c>
      <c r="M6401" s="16" t="str">
        <f>IFERROR(__xludf.DUMMYFUNCTION("""COMPUTED_VALUE"""),"")</f>
        <v/>
      </c>
      <c r="U6401" s="16" t="s">
        <v>87</v>
      </c>
      <c r="V6401" s="16" t="str">
        <f>IFERROR(__xludf.DUMMYFUNCTION("""COMPUTED_VALUE"""),"")</f>
        <v/>
      </c>
      <c r="W6401" s="16" t="str">
        <f>IFERROR(__xludf.DUMMYFUNCTION("""COMPUTED_VALUE"""),"")</f>
        <v/>
      </c>
      <c r="X6401" s="16" t="str">
        <f>IFERROR(__xludf.DUMMYFUNCTION("""COMPUTED_VALUE"""),"")</f>
        <v/>
      </c>
      <c r="AC6401" s="16" t="str">
        <f>IFERROR(__xludf.DUMMYFUNCTION("""COMPUTED_VALUE"""),"")</f>
        <v/>
      </c>
    </row>
    <row r="6402">
      <c r="A6402" s="16" t="s">
        <v>87</v>
      </c>
      <c r="E6402" s="16" t="str">
        <f>IFERROR(__xludf.DUMMYFUNCTION("""COMPUTED_VALUE"""),"")</f>
        <v/>
      </c>
      <c r="G6402" s="18"/>
      <c r="H6402" s="16" t="s">
        <v>87</v>
      </c>
      <c r="I6402" s="16" t="s">
        <v>87</v>
      </c>
      <c r="J6402" s="19"/>
      <c r="L6402" s="16" t="str">
        <f>IFERROR(__xludf.DUMMYFUNCTION("""COMPUTED_VALUE"""),"")</f>
        <v/>
      </c>
      <c r="M6402" s="16" t="str">
        <f>IFERROR(__xludf.DUMMYFUNCTION("""COMPUTED_VALUE"""),"")</f>
        <v/>
      </c>
      <c r="U6402" s="16" t="s">
        <v>87</v>
      </c>
      <c r="V6402" s="16" t="str">
        <f>IFERROR(__xludf.DUMMYFUNCTION("""COMPUTED_VALUE"""),"")</f>
        <v/>
      </c>
      <c r="W6402" s="16" t="str">
        <f>IFERROR(__xludf.DUMMYFUNCTION("""COMPUTED_VALUE"""),"")</f>
        <v/>
      </c>
      <c r="X6402" s="16" t="str">
        <f>IFERROR(__xludf.DUMMYFUNCTION("""COMPUTED_VALUE"""),"")</f>
        <v/>
      </c>
      <c r="AC6402" s="16" t="str">
        <f>IFERROR(__xludf.DUMMYFUNCTION("""COMPUTED_VALUE"""),"")</f>
        <v/>
      </c>
    </row>
    <row r="6403">
      <c r="A6403" s="16" t="s">
        <v>87</v>
      </c>
      <c r="E6403" s="16" t="str">
        <f>IFERROR(__xludf.DUMMYFUNCTION("""COMPUTED_VALUE"""),"")</f>
        <v/>
      </c>
      <c r="G6403" s="18"/>
      <c r="H6403" s="16" t="s">
        <v>87</v>
      </c>
      <c r="I6403" s="16" t="s">
        <v>87</v>
      </c>
      <c r="J6403" s="19"/>
      <c r="L6403" s="16" t="str">
        <f>IFERROR(__xludf.DUMMYFUNCTION("""COMPUTED_VALUE"""),"")</f>
        <v/>
      </c>
      <c r="M6403" s="16" t="str">
        <f>IFERROR(__xludf.DUMMYFUNCTION("""COMPUTED_VALUE"""),"")</f>
        <v/>
      </c>
      <c r="U6403" s="16" t="s">
        <v>87</v>
      </c>
      <c r="V6403" s="16" t="str">
        <f>IFERROR(__xludf.DUMMYFUNCTION("""COMPUTED_VALUE"""),"")</f>
        <v/>
      </c>
      <c r="W6403" s="16" t="str">
        <f>IFERROR(__xludf.DUMMYFUNCTION("""COMPUTED_VALUE"""),"")</f>
        <v/>
      </c>
      <c r="X6403" s="16" t="str">
        <f>IFERROR(__xludf.DUMMYFUNCTION("""COMPUTED_VALUE"""),"")</f>
        <v/>
      </c>
      <c r="AC6403" s="16" t="str">
        <f>IFERROR(__xludf.DUMMYFUNCTION("""COMPUTED_VALUE"""),"")</f>
        <v/>
      </c>
    </row>
    <row r="6404">
      <c r="A6404" s="16" t="s">
        <v>87</v>
      </c>
      <c r="E6404" s="16" t="str">
        <f>IFERROR(__xludf.DUMMYFUNCTION("""COMPUTED_VALUE"""),"")</f>
        <v/>
      </c>
      <c r="G6404" s="18"/>
      <c r="H6404" s="16" t="s">
        <v>87</v>
      </c>
      <c r="I6404" s="16" t="s">
        <v>87</v>
      </c>
      <c r="J6404" s="19"/>
      <c r="L6404" s="16" t="str">
        <f>IFERROR(__xludf.DUMMYFUNCTION("""COMPUTED_VALUE"""),"")</f>
        <v/>
      </c>
      <c r="M6404" s="16" t="str">
        <f>IFERROR(__xludf.DUMMYFUNCTION("""COMPUTED_VALUE"""),"")</f>
        <v/>
      </c>
      <c r="U6404" s="16" t="s">
        <v>87</v>
      </c>
      <c r="V6404" s="16" t="str">
        <f>IFERROR(__xludf.DUMMYFUNCTION("""COMPUTED_VALUE"""),"")</f>
        <v/>
      </c>
      <c r="W6404" s="16" t="str">
        <f>IFERROR(__xludf.DUMMYFUNCTION("""COMPUTED_VALUE"""),"")</f>
        <v/>
      </c>
      <c r="X6404" s="16" t="str">
        <f>IFERROR(__xludf.DUMMYFUNCTION("""COMPUTED_VALUE"""),"")</f>
        <v/>
      </c>
      <c r="AC6404" s="16" t="str">
        <f>IFERROR(__xludf.DUMMYFUNCTION("""COMPUTED_VALUE"""),"")</f>
        <v/>
      </c>
    </row>
    <row r="6405">
      <c r="A6405" s="16" t="s">
        <v>87</v>
      </c>
      <c r="E6405" s="16" t="str">
        <f>IFERROR(__xludf.DUMMYFUNCTION("""COMPUTED_VALUE"""),"")</f>
        <v/>
      </c>
      <c r="G6405" s="18"/>
      <c r="H6405" s="16" t="s">
        <v>87</v>
      </c>
      <c r="I6405" s="16" t="s">
        <v>87</v>
      </c>
      <c r="J6405" s="19"/>
      <c r="L6405" s="16" t="str">
        <f>IFERROR(__xludf.DUMMYFUNCTION("""COMPUTED_VALUE"""),"")</f>
        <v/>
      </c>
      <c r="M6405" s="16" t="str">
        <f>IFERROR(__xludf.DUMMYFUNCTION("""COMPUTED_VALUE"""),"")</f>
        <v/>
      </c>
      <c r="U6405" s="16" t="s">
        <v>87</v>
      </c>
      <c r="V6405" s="16" t="str">
        <f>IFERROR(__xludf.DUMMYFUNCTION("""COMPUTED_VALUE"""),"")</f>
        <v/>
      </c>
      <c r="W6405" s="16" t="str">
        <f>IFERROR(__xludf.DUMMYFUNCTION("""COMPUTED_VALUE"""),"")</f>
        <v/>
      </c>
      <c r="X6405" s="16" t="str">
        <f>IFERROR(__xludf.DUMMYFUNCTION("""COMPUTED_VALUE"""),"")</f>
        <v/>
      </c>
      <c r="AC6405" s="16" t="str">
        <f>IFERROR(__xludf.DUMMYFUNCTION("""COMPUTED_VALUE"""),"")</f>
        <v/>
      </c>
    </row>
    <row r="6406">
      <c r="A6406" s="16" t="s">
        <v>87</v>
      </c>
      <c r="E6406" s="16" t="str">
        <f>IFERROR(__xludf.DUMMYFUNCTION("""COMPUTED_VALUE"""),"")</f>
        <v/>
      </c>
      <c r="G6406" s="18"/>
      <c r="H6406" s="16" t="s">
        <v>87</v>
      </c>
      <c r="I6406" s="16" t="s">
        <v>87</v>
      </c>
      <c r="J6406" s="19"/>
      <c r="L6406" s="16" t="str">
        <f>IFERROR(__xludf.DUMMYFUNCTION("""COMPUTED_VALUE"""),"")</f>
        <v/>
      </c>
      <c r="M6406" s="16" t="str">
        <f>IFERROR(__xludf.DUMMYFUNCTION("""COMPUTED_VALUE"""),"")</f>
        <v/>
      </c>
      <c r="U6406" s="16" t="s">
        <v>87</v>
      </c>
      <c r="V6406" s="16" t="str">
        <f>IFERROR(__xludf.DUMMYFUNCTION("""COMPUTED_VALUE"""),"")</f>
        <v/>
      </c>
      <c r="W6406" s="16" t="str">
        <f>IFERROR(__xludf.DUMMYFUNCTION("""COMPUTED_VALUE"""),"")</f>
        <v/>
      </c>
      <c r="X6406" s="16" t="str">
        <f>IFERROR(__xludf.DUMMYFUNCTION("""COMPUTED_VALUE"""),"")</f>
        <v/>
      </c>
      <c r="AC6406" s="16" t="str">
        <f>IFERROR(__xludf.DUMMYFUNCTION("""COMPUTED_VALUE"""),"")</f>
        <v/>
      </c>
    </row>
    <row r="6407">
      <c r="A6407" s="16" t="s">
        <v>87</v>
      </c>
      <c r="E6407" s="16" t="str">
        <f>IFERROR(__xludf.DUMMYFUNCTION("""COMPUTED_VALUE"""),"")</f>
        <v/>
      </c>
      <c r="G6407" s="18"/>
      <c r="H6407" s="16" t="s">
        <v>87</v>
      </c>
      <c r="I6407" s="16" t="s">
        <v>87</v>
      </c>
      <c r="J6407" s="19"/>
      <c r="L6407" s="16" t="str">
        <f>IFERROR(__xludf.DUMMYFUNCTION("""COMPUTED_VALUE"""),"")</f>
        <v/>
      </c>
      <c r="M6407" s="16" t="str">
        <f>IFERROR(__xludf.DUMMYFUNCTION("""COMPUTED_VALUE"""),"")</f>
        <v/>
      </c>
      <c r="U6407" s="16" t="s">
        <v>87</v>
      </c>
      <c r="V6407" s="16" t="str">
        <f>IFERROR(__xludf.DUMMYFUNCTION("""COMPUTED_VALUE"""),"")</f>
        <v/>
      </c>
      <c r="W6407" s="16" t="str">
        <f>IFERROR(__xludf.DUMMYFUNCTION("""COMPUTED_VALUE"""),"")</f>
        <v/>
      </c>
      <c r="X6407" s="16" t="str">
        <f>IFERROR(__xludf.DUMMYFUNCTION("""COMPUTED_VALUE"""),"")</f>
        <v/>
      </c>
      <c r="AC6407" s="16" t="str">
        <f>IFERROR(__xludf.DUMMYFUNCTION("""COMPUTED_VALUE"""),"")</f>
        <v/>
      </c>
    </row>
    <row r="6408">
      <c r="A6408" s="16" t="s">
        <v>87</v>
      </c>
      <c r="E6408" s="16" t="str">
        <f>IFERROR(__xludf.DUMMYFUNCTION("""COMPUTED_VALUE"""),"")</f>
        <v/>
      </c>
      <c r="G6408" s="18"/>
      <c r="H6408" s="16" t="s">
        <v>87</v>
      </c>
      <c r="I6408" s="16" t="s">
        <v>87</v>
      </c>
      <c r="J6408" s="19"/>
      <c r="L6408" s="16" t="str">
        <f>IFERROR(__xludf.DUMMYFUNCTION("""COMPUTED_VALUE"""),"")</f>
        <v/>
      </c>
      <c r="M6408" s="16" t="str">
        <f>IFERROR(__xludf.DUMMYFUNCTION("""COMPUTED_VALUE"""),"")</f>
        <v/>
      </c>
      <c r="U6408" s="16" t="s">
        <v>87</v>
      </c>
      <c r="V6408" s="16" t="str">
        <f>IFERROR(__xludf.DUMMYFUNCTION("""COMPUTED_VALUE"""),"")</f>
        <v/>
      </c>
      <c r="W6408" s="16" t="str">
        <f>IFERROR(__xludf.DUMMYFUNCTION("""COMPUTED_VALUE"""),"")</f>
        <v/>
      </c>
      <c r="X6408" s="16" t="str">
        <f>IFERROR(__xludf.DUMMYFUNCTION("""COMPUTED_VALUE"""),"")</f>
        <v/>
      </c>
      <c r="AC6408" s="16" t="str">
        <f>IFERROR(__xludf.DUMMYFUNCTION("""COMPUTED_VALUE"""),"")</f>
        <v/>
      </c>
    </row>
    <row r="6409">
      <c r="A6409" s="16" t="s">
        <v>87</v>
      </c>
      <c r="E6409" s="16" t="str">
        <f>IFERROR(__xludf.DUMMYFUNCTION("""COMPUTED_VALUE"""),"")</f>
        <v/>
      </c>
      <c r="G6409" s="18"/>
      <c r="H6409" s="16" t="s">
        <v>87</v>
      </c>
      <c r="I6409" s="16" t="s">
        <v>87</v>
      </c>
      <c r="J6409" s="19"/>
      <c r="L6409" s="16" t="str">
        <f>IFERROR(__xludf.DUMMYFUNCTION("""COMPUTED_VALUE"""),"")</f>
        <v/>
      </c>
      <c r="M6409" s="16" t="str">
        <f>IFERROR(__xludf.DUMMYFUNCTION("""COMPUTED_VALUE"""),"")</f>
        <v/>
      </c>
      <c r="U6409" s="16" t="s">
        <v>87</v>
      </c>
      <c r="V6409" s="16" t="str">
        <f>IFERROR(__xludf.DUMMYFUNCTION("""COMPUTED_VALUE"""),"")</f>
        <v/>
      </c>
      <c r="W6409" s="16" t="str">
        <f>IFERROR(__xludf.DUMMYFUNCTION("""COMPUTED_VALUE"""),"")</f>
        <v/>
      </c>
      <c r="X6409" s="16" t="str">
        <f>IFERROR(__xludf.DUMMYFUNCTION("""COMPUTED_VALUE"""),"")</f>
        <v/>
      </c>
      <c r="AC6409" s="16" t="str">
        <f>IFERROR(__xludf.DUMMYFUNCTION("""COMPUTED_VALUE"""),"")</f>
        <v/>
      </c>
    </row>
    <row r="6410">
      <c r="A6410" s="16" t="s">
        <v>87</v>
      </c>
      <c r="E6410" s="16" t="str">
        <f>IFERROR(__xludf.DUMMYFUNCTION("""COMPUTED_VALUE"""),"")</f>
        <v/>
      </c>
      <c r="G6410" s="18"/>
      <c r="H6410" s="16" t="s">
        <v>87</v>
      </c>
      <c r="I6410" s="16" t="s">
        <v>87</v>
      </c>
      <c r="J6410" s="19"/>
      <c r="L6410" s="16" t="str">
        <f>IFERROR(__xludf.DUMMYFUNCTION("""COMPUTED_VALUE"""),"")</f>
        <v/>
      </c>
      <c r="M6410" s="16" t="str">
        <f>IFERROR(__xludf.DUMMYFUNCTION("""COMPUTED_VALUE"""),"")</f>
        <v/>
      </c>
      <c r="U6410" s="16" t="s">
        <v>87</v>
      </c>
      <c r="V6410" s="16" t="str">
        <f>IFERROR(__xludf.DUMMYFUNCTION("""COMPUTED_VALUE"""),"")</f>
        <v/>
      </c>
      <c r="W6410" s="16" t="str">
        <f>IFERROR(__xludf.DUMMYFUNCTION("""COMPUTED_VALUE"""),"")</f>
        <v/>
      </c>
      <c r="X6410" s="16" t="str">
        <f>IFERROR(__xludf.DUMMYFUNCTION("""COMPUTED_VALUE"""),"")</f>
        <v/>
      </c>
      <c r="AC6410" s="16" t="str">
        <f>IFERROR(__xludf.DUMMYFUNCTION("""COMPUTED_VALUE"""),"")</f>
        <v/>
      </c>
    </row>
    <row r="6411">
      <c r="A6411" s="16" t="s">
        <v>87</v>
      </c>
      <c r="E6411" s="16" t="str">
        <f>IFERROR(__xludf.DUMMYFUNCTION("""COMPUTED_VALUE"""),"")</f>
        <v/>
      </c>
      <c r="G6411" s="18"/>
      <c r="H6411" s="16" t="s">
        <v>87</v>
      </c>
      <c r="I6411" s="16" t="s">
        <v>87</v>
      </c>
      <c r="J6411" s="19"/>
      <c r="L6411" s="16" t="str">
        <f>IFERROR(__xludf.DUMMYFUNCTION("""COMPUTED_VALUE"""),"")</f>
        <v/>
      </c>
      <c r="M6411" s="16" t="str">
        <f>IFERROR(__xludf.DUMMYFUNCTION("""COMPUTED_VALUE"""),"")</f>
        <v/>
      </c>
      <c r="U6411" s="16" t="s">
        <v>87</v>
      </c>
      <c r="V6411" s="16" t="str">
        <f>IFERROR(__xludf.DUMMYFUNCTION("""COMPUTED_VALUE"""),"")</f>
        <v/>
      </c>
      <c r="W6411" s="16" t="str">
        <f>IFERROR(__xludf.DUMMYFUNCTION("""COMPUTED_VALUE"""),"")</f>
        <v/>
      </c>
      <c r="X6411" s="16" t="str">
        <f>IFERROR(__xludf.DUMMYFUNCTION("""COMPUTED_VALUE"""),"")</f>
        <v/>
      </c>
      <c r="AC6411" s="16" t="str">
        <f>IFERROR(__xludf.DUMMYFUNCTION("""COMPUTED_VALUE"""),"")</f>
        <v/>
      </c>
    </row>
    <row r="6412">
      <c r="A6412" s="16" t="s">
        <v>87</v>
      </c>
      <c r="E6412" s="16" t="str">
        <f>IFERROR(__xludf.DUMMYFUNCTION("""COMPUTED_VALUE"""),"")</f>
        <v/>
      </c>
      <c r="G6412" s="18"/>
      <c r="H6412" s="16" t="s">
        <v>87</v>
      </c>
      <c r="I6412" s="16" t="s">
        <v>87</v>
      </c>
      <c r="J6412" s="19"/>
      <c r="L6412" s="16" t="str">
        <f>IFERROR(__xludf.DUMMYFUNCTION("""COMPUTED_VALUE"""),"")</f>
        <v/>
      </c>
      <c r="M6412" s="16" t="str">
        <f>IFERROR(__xludf.DUMMYFUNCTION("""COMPUTED_VALUE"""),"")</f>
        <v/>
      </c>
      <c r="U6412" s="16" t="s">
        <v>87</v>
      </c>
      <c r="V6412" s="16" t="str">
        <f>IFERROR(__xludf.DUMMYFUNCTION("""COMPUTED_VALUE"""),"")</f>
        <v/>
      </c>
      <c r="W6412" s="16" t="str">
        <f>IFERROR(__xludf.DUMMYFUNCTION("""COMPUTED_VALUE"""),"")</f>
        <v/>
      </c>
      <c r="X6412" s="16" t="str">
        <f>IFERROR(__xludf.DUMMYFUNCTION("""COMPUTED_VALUE"""),"")</f>
        <v/>
      </c>
      <c r="AC6412" s="16" t="str">
        <f>IFERROR(__xludf.DUMMYFUNCTION("""COMPUTED_VALUE"""),"")</f>
        <v/>
      </c>
    </row>
    <row r="6413">
      <c r="A6413" s="16" t="s">
        <v>87</v>
      </c>
      <c r="E6413" s="16" t="str">
        <f>IFERROR(__xludf.DUMMYFUNCTION("""COMPUTED_VALUE"""),"")</f>
        <v/>
      </c>
      <c r="G6413" s="18"/>
      <c r="H6413" s="16" t="s">
        <v>87</v>
      </c>
      <c r="I6413" s="16" t="s">
        <v>87</v>
      </c>
      <c r="J6413" s="19"/>
      <c r="L6413" s="16" t="str">
        <f>IFERROR(__xludf.DUMMYFUNCTION("""COMPUTED_VALUE"""),"")</f>
        <v/>
      </c>
      <c r="M6413" s="16" t="str">
        <f>IFERROR(__xludf.DUMMYFUNCTION("""COMPUTED_VALUE"""),"")</f>
        <v/>
      </c>
      <c r="U6413" s="16" t="s">
        <v>87</v>
      </c>
      <c r="V6413" s="16" t="str">
        <f>IFERROR(__xludf.DUMMYFUNCTION("""COMPUTED_VALUE"""),"")</f>
        <v/>
      </c>
      <c r="W6413" s="16" t="str">
        <f>IFERROR(__xludf.DUMMYFUNCTION("""COMPUTED_VALUE"""),"")</f>
        <v/>
      </c>
      <c r="X6413" s="16" t="str">
        <f>IFERROR(__xludf.DUMMYFUNCTION("""COMPUTED_VALUE"""),"")</f>
        <v/>
      </c>
      <c r="AC6413" s="16" t="str">
        <f>IFERROR(__xludf.DUMMYFUNCTION("""COMPUTED_VALUE"""),"")</f>
        <v/>
      </c>
    </row>
    <row r="6414">
      <c r="A6414" s="16" t="s">
        <v>87</v>
      </c>
      <c r="E6414" s="16" t="str">
        <f>IFERROR(__xludf.DUMMYFUNCTION("""COMPUTED_VALUE"""),"")</f>
        <v/>
      </c>
      <c r="G6414" s="18"/>
      <c r="H6414" s="16" t="s">
        <v>87</v>
      </c>
      <c r="I6414" s="16" t="s">
        <v>87</v>
      </c>
      <c r="J6414" s="19"/>
      <c r="L6414" s="16" t="str">
        <f>IFERROR(__xludf.DUMMYFUNCTION("""COMPUTED_VALUE"""),"")</f>
        <v/>
      </c>
      <c r="M6414" s="16" t="str">
        <f>IFERROR(__xludf.DUMMYFUNCTION("""COMPUTED_VALUE"""),"")</f>
        <v/>
      </c>
      <c r="U6414" s="16" t="s">
        <v>87</v>
      </c>
      <c r="V6414" s="16" t="str">
        <f>IFERROR(__xludf.DUMMYFUNCTION("""COMPUTED_VALUE"""),"")</f>
        <v/>
      </c>
      <c r="W6414" s="16" t="str">
        <f>IFERROR(__xludf.DUMMYFUNCTION("""COMPUTED_VALUE"""),"")</f>
        <v/>
      </c>
      <c r="X6414" s="16" t="str">
        <f>IFERROR(__xludf.DUMMYFUNCTION("""COMPUTED_VALUE"""),"")</f>
        <v/>
      </c>
      <c r="AC6414" s="16" t="str">
        <f>IFERROR(__xludf.DUMMYFUNCTION("""COMPUTED_VALUE"""),"")</f>
        <v/>
      </c>
    </row>
    <row r="6415">
      <c r="A6415" s="16" t="s">
        <v>87</v>
      </c>
      <c r="E6415" s="16" t="str">
        <f>IFERROR(__xludf.DUMMYFUNCTION("""COMPUTED_VALUE"""),"")</f>
        <v/>
      </c>
      <c r="G6415" s="18"/>
      <c r="H6415" s="16" t="s">
        <v>87</v>
      </c>
      <c r="I6415" s="16" t="s">
        <v>87</v>
      </c>
      <c r="J6415" s="19"/>
      <c r="L6415" s="16" t="str">
        <f>IFERROR(__xludf.DUMMYFUNCTION("""COMPUTED_VALUE"""),"")</f>
        <v/>
      </c>
      <c r="M6415" s="16" t="str">
        <f>IFERROR(__xludf.DUMMYFUNCTION("""COMPUTED_VALUE"""),"")</f>
        <v/>
      </c>
      <c r="U6415" s="16" t="s">
        <v>87</v>
      </c>
      <c r="V6415" s="16" t="str">
        <f>IFERROR(__xludf.DUMMYFUNCTION("""COMPUTED_VALUE"""),"")</f>
        <v/>
      </c>
      <c r="W6415" s="16" t="str">
        <f>IFERROR(__xludf.DUMMYFUNCTION("""COMPUTED_VALUE"""),"")</f>
        <v/>
      </c>
      <c r="X6415" s="16" t="str">
        <f>IFERROR(__xludf.DUMMYFUNCTION("""COMPUTED_VALUE"""),"")</f>
        <v/>
      </c>
      <c r="AC6415" s="16" t="str">
        <f>IFERROR(__xludf.DUMMYFUNCTION("""COMPUTED_VALUE"""),"")</f>
        <v/>
      </c>
    </row>
    <row r="6416">
      <c r="A6416" s="16" t="s">
        <v>87</v>
      </c>
      <c r="E6416" s="16" t="str">
        <f>IFERROR(__xludf.DUMMYFUNCTION("""COMPUTED_VALUE"""),"")</f>
        <v/>
      </c>
      <c r="G6416" s="18"/>
      <c r="H6416" s="16" t="s">
        <v>87</v>
      </c>
      <c r="I6416" s="16" t="s">
        <v>87</v>
      </c>
      <c r="J6416" s="19"/>
      <c r="L6416" s="16" t="str">
        <f>IFERROR(__xludf.DUMMYFUNCTION("""COMPUTED_VALUE"""),"")</f>
        <v/>
      </c>
      <c r="M6416" s="16" t="str">
        <f>IFERROR(__xludf.DUMMYFUNCTION("""COMPUTED_VALUE"""),"")</f>
        <v/>
      </c>
      <c r="U6416" s="16" t="s">
        <v>87</v>
      </c>
      <c r="V6416" s="16" t="str">
        <f>IFERROR(__xludf.DUMMYFUNCTION("""COMPUTED_VALUE"""),"")</f>
        <v/>
      </c>
      <c r="W6416" s="16" t="str">
        <f>IFERROR(__xludf.DUMMYFUNCTION("""COMPUTED_VALUE"""),"")</f>
        <v/>
      </c>
      <c r="X6416" s="16" t="str">
        <f>IFERROR(__xludf.DUMMYFUNCTION("""COMPUTED_VALUE"""),"")</f>
        <v/>
      </c>
      <c r="AC6416" s="16" t="str">
        <f>IFERROR(__xludf.DUMMYFUNCTION("""COMPUTED_VALUE"""),"")</f>
        <v/>
      </c>
    </row>
    <row r="6417">
      <c r="A6417" s="16" t="s">
        <v>87</v>
      </c>
      <c r="E6417" s="16" t="str">
        <f>IFERROR(__xludf.DUMMYFUNCTION("""COMPUTED_VALUE"""),"")</f>
        <v/>
      </c>
      <c r="G6417" s="18"/>
      <c r="H6417" s="16" t="s">
        <v>87</v>
      </c>
      <c r="I6417" s="16" t="s">
        <v>87</v>
      </c>
      <c r="J6417" s="19"/>
      <c r="L6417" s="16" t="str">
        <f>IFERROR(__xludf.DUMMYFUNCTION("""COMPUTED_VALUE"""),"")</f>
        <v/>
      </c>
      <c r="M6417" s="16" t="str">
        <f>IFERROR(__xludf.DUMMYFUNCTION("""COMPUTED_VALUE"""),"")</f>
        <v/>
      </c>
      <c r="U6417" s="16" t="s">
        <v>87</v>
      </c>
      <c r="V6417" s="16" t="str">
        <f>IFERROR(__xludf.DUMMYFUNCTION("""COMPUTED_VALUE"""),"")</f>
        <v/>
      </c>
      <c r="W6417" s="16" t="str">
        <f>IFERROR(__xludf.DUMMYFUNCTION("""COMPUTED_VALUE"""),"")</f>
        <v/>
      </c>
      <c r="X6417" s="16" t="str">
        <f>IFERROR(__xludf.DUMMYFUNCTION("""COMPUTED_VALUE"""),"")</f>
        <v/>
      </c>
      <c r="AC6417" s="16" t="str">
        <f>IFERROR(__xludf.DUMMYFUNCTION("""COMPUTED_VALUE"""),"")</f>
        <v/>
      </c>
    </row>
    <row r="6418">
      <c r="A6418" s="16" t="s">
        <v>87</v>
      </c>
      <c r="E6418" s="16" t="str">
        <f>IFERROR(__xludf.DUMMYFUNCTION("""COMPUTED_VALUE"""),"")</f>
        <v/>
      </c>
      <c r="G6418" s="18"/>
      <c r="H6418" s="16" t="s">
        <v>87</v>
      </c>
      <c r="I6418" s="16" t="s">
        <v>87</v>
      </c>
      <c r="J6418" s="19"/>
      <c r="L6418" s="16" t="str">
        <f>IFERROR(__xludf.DUMMYFUNCTION("""COMPUTED_VALUE"""),"")</f>
        <v/>
      </c>
      <c r="M6418" s="16" t="str">
        <f>IFERROR(__xludf.DUMMYFUNCTION("""COMPUTED_VALUE"""),"")</f>
        <v/>
      </c>
      <c r="U6418" s="16" t="s">
        <v>87</v>
      </c>
      <c r="V6418" s="16" t="str">
        <f>IFERROR(__xludf.DUMMYFUNCTION("""COMPUTED_VALUE"""),"")</f>
        <v/>
      </c>
      <c r="W6418" s="16" t="str">
        <f>IFERROR(__xludf.DUMMYFUNCTION("""COMPUTED_VALUE"""),"")</f>
        <v/>
      </c>
      <c r="X6418" s="16" t="str">
        <f>IFERROR(__xludf.DUMMYFUNCTION("""COMPUTED_VALUE"""),"")</f>
        <v/>
      </c>
      <c r="AC6418" s="16" t="str">
        <f>IFERROR(__xludf.DUMMYFUNCTION("""COMPUTED_VALUE"""),"")</f>
        <v/>
      </c>
    </row>
    <row r="6419">
      <c r="A6419" s="16" t="s">
        <v>87</v>
      </c>
      <c r="E6419" s="16" t="str">
        <f>IFERROR(__xludf.DUMMYFUNCTION("""COMPUTED_VALUE"""),"")</f>
        <v/>
      </c>
      <c r="G6419" s="18"/>
      <c r="H6419" s="16" t="s">
        <v>87</v>
      </c>
      <c r="I6419" s="16" t="s">
        <v>87</v>
      </c>
      <c r="J6419" s="19"/>
      <c r="L6419" s="16" t="str">
        <f>IFERROR(__xludf.DUMMYFUNCTION("""COMPUTED_VALUE"""),"")</f>
        <v/>
      </c>
      <c r="M6419" s="16" t="str">
        <f>IFERROR(__xludf.DUMMYFUNCTION("""COMPUTED_VALUE"""),"")</f>
        <v/>
      </c>
      <c r="U6419" s="16" t="s">
        <v>87</v>
      </c>
      <c r="V6419" s="16" t="str">
        <f>IFERROR(__xludf.DUMMYFUNCTION("""COMPUTED_VALUE"""),"")</f>
        <v/>
      </c>
      <c r="W6419" s="16" t="str">
        <f>IFERROR(__xludf.DUMMYFUNCTION("""COMPUTED_VALUE"""),"")</f>
        <v/>
      </c>
      <c r="X6419" s="16" t="str">
        <f>IFERROR(__xludf.DUMMYFUNCTION("""COMPUTED_VALUE"""),"")</f>
        <v/>
      </c>
      <c r="AC6419" s="16" t="str">
        <f>IFERROR(__xludf.DUMMYFUNCTION("""COMPUTED_VALUE"""),"")</f>
        <v/>
      </c>
    </row>
    <row r="6420">
      <c r="A6420" s="16" t="s">
        <v>87</v>
      </c>
      <c r="E6420" s="16" t="str">
        <f>IFERROR(__xludf.DUMMYFUNCTION("""COMPUTED_VALUE"""),"")</f>
        <v/>
      </c>
      <c r="G6420" s="18"/>
      <c r="H6420" s="16" t="s">
        <v>87</v>
      </c>
      <c r="I6420" s="16" t="s">
        <v>87</v>
      </c>
      <c r="J6420" s="19"/>
      <c r="L6420" s="16" t="str">
        <f>IFERROR(__xludf.DUMMYFUNCTION("""COMPUTED_VALUE"""),"")</f>
        <v/>
      </c>
      <c r="M6420" s="16" t="str">
        <f>IFERROR(__xludf.DUMMYFUNCTION("""COMPUTED_VALUE"""),"")</f>
        <v/>
      </c>
      <c r="U6420" s="16" t="s">
        <v>87</v>
      </c>
      <c r="V6420" s="16" t="str">
        <f>IFERROR(__xludf.DUMMYFUNCTION("""COMPUTED_VALUE"""),"")</f>
        <v/>
      </c>
      <c r="W6420" s="16" t="str">
        <f>IFERROR(__xludf.DUMMYFUNCTION("""COMPUTED_VALUE"""),"")</f>
        <v/>
      </c>
      <c r="X6420" s="16" t="str">
        <f>IFERROR(__xludf.DUMMYFUNCTION("""COMPUTED_VALUE"""),"")</f>
        <v/>
      </c>
      <c r="AC6420" s="16" t="str">
        <f>IFERROR(__xludf.DUMMYFUNCTION("""COMPUTED_VALUE"""),"")</f>
        <v/>
      </c>
    </row>
    <row r="6421">
      <c r="A6421" s="16" t="s">
        <v>87</v>
      </c>
      <c r="E6421" s="16" t="str">
        <f>IFERROR(__xludf.DUMMYFUNCTION("""COMPUTED_VALUE"""),"")</f>
        <v/>
      </c>
      <c r="G6421" s="18"/>
      <c r="H6421" s="16" t="s">
        <v>87</v>
      </c>
      <c r="I6421" s="16" t="s">
        <v>87</v>
      </c>
      <c r="J6421" s="19"/>
      <c r="L6421" s="16" t="str">
        <f>IFERROR(__xludf.DUMMYFUNCTION("""COMPUTED_VALUE"""),"")</f>
        <v/>
      </c>
      <c r="M6421" s="16" t="str">
        <f>IFERROR(__xludf.DUMMYFUNCTION("""COMPUTED_VALUE"""),"")</f>
        <v/>
      </c>
      <c r="U6421" s="16" t="s">
        <v>87</v>
      </c>
      <c r="V6421" s="16" t="str">
        <f>IFERROR(__xludf.DUMMYFUNCTION("""COMPUTED_VALUE"""),"")</f>
        <v/>
      </c>
      <c r="W6421" s="16" t="str">
        <f>IFERROR(__xludf.DUMMYFUNCTION("""COMPUTED_VALUE"""),"")</f>
        <v/>
      </c>
      <c r="X6421" s="16" t="str">
        <f>IFERROR(__xludf.DUMMYFUNCTION("""COMPUTED_VALUE"""),"")</f>
        <v/>
      </c>
      <c r="AC6421" s="16" t="str">
        <f>IFERROR(__xludf.DUMMYFUNCTION("""COMPUTED_VALUE"""),"")</f>
        <v/>
      </c>
    </row>
    <row r="6422">
      <c r="A6422" s="16" t="s">
        <v>87</v>
      </c>
      <c r="E6422" s="16" t="str">
        <f>IFERROR(__xludf.DUMMYFUNCTION("""COMPUTED_VALUE"""),"")</f>
        <v/>
      </c>
      <c r="G6422" s="18"/>
      <c r="H6422" s="16" t="s">
        <v>87</v>
      </c>
      <c r="I6422" s="16" t="s">
        <v>87</v>
      </c>
      <c r="J6422" s="19"/>
      <c r="L6422" s="16" t="str">
        <f>IFERROR(__xludf.DUMMYFUNCTION("""COMPUTED_VALUE"""),"")</f>
        <v/>
      </c>
      <c r="M6422" s="16" t="str">
        <f>IFERROR(__xludf.DUMMYFUNCTION("""COMPUTED_VALUE"""),"")</f>
        <v/>
      </c>
      <c r="U6422" s="16" t="s">
        <v>87</v>
      </c>
      <c r="V6422" s="16" t="str">
        <f>IFERROR(__xludf.DUMMYFUNCTION("""COMPUTED_VALUE"""),"")</f>
        <v/>
      </c>
      <c r="W6422" s="16" t="str">
        <f>IFERROR(__xludf.DUMMYFUNCTION("""COMPUTED_VALUE"""),"")</f>
        <v/>
      </c>
      <c r="X6422" s="16" t="str">
        <f>IFERROR(__xludf.DUMMYFUNCTION("""COMPUTED_VALUE"""),"")</f>
        <v/>
      </c>
      <c r="AC6422" s="16" t="str">
        <f>IFERROR(__xludf.DUMMYFUNCTION("""COMPUTED_VALUE"""),"")</f>
        <v/>
      </c>
    </row>
    <row r="6423">
      <c r="A6423" s="16" t="s">
        <v>87</v>
      </c>
      <c r="E6423" s="16" t="str">
        <f>IFERROR(__xludf.DUMMYFUNCTION("""COMPUTED_VALUE"""),"")</f>
        <v/>
      </c>
      <c r="G6423" s="18"/>
      <c r="H6423" s="16" t="s">
        <v>87</v>
      </c>
      <c r="I6423" s="16" t="s">
        <v>87</v>
      </c>
      <c r="J6423" s="19"/>
      <c r="L6423" s="16" t="str">
        <f>IFERROR(__xludf.DUMMYFUNCTION("""COMPUTED_VALUE"""),"")</f>
        <v/>
      </c>
      <c r="M6423" s="16" t="str">
        <f>IFERROR(__xludf.DUMMYFUNCTION("""COMPUTED_VALUE"""),"")</f>
        <v/>
      </c>
      <c r="U6423" s="16" t="s">
        <v>87</v>
      </c>
      <c r="V6423" s="16" t="str">
        <f>IFERROR(__xludf.DUMMYFUNCTION("""COMPUTED_VALUE"""),"")</f>
        <v/>
      </c>
      <c r="W6423" s="16" t="str">
        <f>IFERROR(__xludf.DUMMYFUNCTION("""COMPUTED_VALUE"""),"")</f>
        <v/>
      </c>
      <c r="X6423" s="16" t="str">
        <f>IFERROR(__xludf.DUMMYFUNCTION("""COMPUTED_VALUE"""),"")</f>
        <v/>
      </c>
      <c r="AC6423" s="16" t="str">
        <f>IFERROR(__xludf.DUMMYFUNCTION("""COMPUTED_VALUE"""),"")</f>
        <v/>
      </c>
    </row>
    <row r="6424">
      <c r="A6424" s="16" t="s">
        <v>87</v>
      </c>
      <c r="E6424" s="16" t="str">
        <f>IFERROR(__xludf.DUMMYFUNCTION("""COMPUTED_VALUE"""),"")</f>
        <v/>
      </c>
      <c r="G6424" s="18"/>
      <c r="H6424" s="16" t="s">
        <v>87</v>
      </c>
      <c r="I6424" s="16" t="s">
        <v>87</v>
      </c>
      <c r="J6424" s="19"/>
      <c r="L6424" s="16" t="str">
        <f>IFERROR(__xludf.DUMMYFUNCTION("""COMPUTED_VALUE"""),"")</f>
        <v/>
      </c>
      <c r="M6424" s="16" t="str">
        <f>IFERROR(__xludf.DUMMYFUNCTION("""COMPUTED_VALUE"""),"")</f>
        <v/>
      </c>
      <c r="U6424" s="16" t="s">
        <v>87</v>
      </c>
      <c r="V6424" s="16" t="str">
        <f>IFERROR(__xludf.DUMMYFUNCTION("""COMPUTED_VALUE"""),"")</f>
        <v/>
      </c>
      <c r="W6424" s="16" t="str">
        <f>IFERROR(__xludf.DUMMYFUNCTION("""COMPUTED_VALUE"""),"")</f>
        <v/>
      </c>
      <c r="X6424" s="16" t="str">
        <f>IFERROR(__xludf.DUMMYFUNCTION("""COMPUTED_VALUE"""),"")</f>
        <v/>
      </c>
      <c r="AC6424" s="16" t="str">
        <f>IFERROR(__xludf.DUMMYFUNCTION("""COMPUTED_VALUE"""),"")</f>
        <v/>
      </c>
    </row>
    <row r="6425">
      <c r="A6425" s="16" t="s">
        <v>87</v>
      </c>
      <c r="E6425" s="16" t="str">
        <f>IFERROR(__xludf.DUMMYFUNCTION("""COMPUTED_VALUE"""),"")</f>
        <v/>
      </c>
      <c r="G6425" s="18"/>
      <c r="H6425" s="16" t="s">
        <v>87</v>
      </c>
      <c r="I6425" s="16" t="s">
        <v>87</v>
      </c>
      <c r="J6425" s="19"/>
      <c r="L6425" s="16" t="str">
        <f>IFERROR(__xludf.DUMMYFUNCTION("""COMPUTED_VALUE"""),"")</f>
        <v/>
      </c>
      <c r="M6425" s="16" t="str">
        <f>IFERROR(__xludf.DUMMYFUNCTION("""COMPUTED_VALUE"""),"")</f>
        <v/>
      </c>
      <c r="U6425" s="16" t="s">
        <v>87</v>
      </c>
      <c r="V6425" s="16" t="str">
        <f>IFERROR(__xludf.DUMMYFUNCTION("""COMPUTED_VALUE"""),"")</f>
        <v/>
      </c>
      <c r="W6425" s="16" t="str">
        <f>IFERROR(__xludf.DUMMYFUNCTION("""COMPUTED_VALUE"""),"")</f>
        <v/>
      </c>
      <c r="X6425" s="16" t="str">
        <f>IFERROR(__xludf.DUMMYFUNCTION("""COMPUTED_VALUE"""),"")</f>
        <v/>
      </c>
      <c r="AC6425" s="16" t="str">
        <f>IFERROR(__xludf.DUMMYFUNCTION("""COMPUTED_VALUE"""),"")</f>
        <v/>
      </c>
    </row>
    <row r="6426">
      <c r="A6426" s="16" t="s">
        <v>87</v>
      </c>
      <c r="E6426" s="16" t="str">
        <f>IFERROR(__xludf.DUMMYFUNCTION("""COMPUTED_VALUE"""),"")</f>
        <v/>
      </c>
      <c r="G6426" s="18"/>
      <c r="H6426" s="16" t="s">
        <v>87</v>
      </c>
      <c r="I6426" s="16" t="s">
        <v>87</v>
      </c>
      <c r="J6426" s="19"/>
      <c r="L6426" s="16" t="str">
        <f>IFERROR(__xludf.DUMMYFUNCTION("""COMPUTED_VALUE"""),"")</f>
        <v/>
      </c>
      <c r="M6426" s="16" t="str">
        <f>IFERROR(__xludf.DUMMYFUNCTION("""COMPUTED_VALUE"""),"")</f>
        <v/>
      </c>
      <c r="U6426" s="16" t="s">
        <v>87</v>
      </c>
      <c r="V6426" s="16" t="str">
        <f>IFERROR(__xludf.DUMMYFUNCTION("""COMPUTED_VALUE"""),"")</f>
        <v/>
      </c>
      <c r="W6426" s="16" t="str">
        <f>IFERROR(__xludf.DUMMYFUNCTION("""COMPUTED_VALUE"""),"")</f>
        <v/>
      </c>
      <c r="X6426" s="16" t="str">
        <f>IFERROR(__xludf.DUMMYFUNCTION("""COMPUTED_VALUE"""),"")</f>
        <v/>
      </c>
      <c r="AC6426" s="16" t="str">
        <f>IFERROR(__xludf.DUMMYFUNCTION("""COMPUTED_VALUE"""),"")</f>
        <v/>
      </c>
    </row>
    <row r="6427">
      <c r="A6427" s="16" t="s">
        <v>87</v>
      </c>
      <c r="E6427" s="16" t="str">
        <f>IFERROR(__xludf.DUMMYFUNCTION("""COMPUTED_VALUE"""),"")</f>
        <v/>
      </c>
      <c r="G6427" s="18"/>
      <c r="H6427" s="16" t="s">
        <v>87</v>
      </c>
      <c r="I6427" s="16" t="s">
        <v>87</v>
      </c>
      <c r="J6427" s="19"/>
      <c r="L6427" s="16" t="str">
        <f>IFERROR(__xludf.DUMMYFUNCTION("""COMPUTED_VALUE"""),"")</f>
        <v/>
      </c>
      <c r="M6427" s="16" t="str">
        <f>IFERROR(__xludf.DUMMYFUNCTION("""COMPUTED_VALUE"""),"")</f>
        <v/>
      </c>
      <c r="U6427" s="16" t="s">
        <v>87</v>
      </c>
      <c r="V6427" s="16" t="str">
        <f>IFERROR(__xludf.DUMMYFUNCTION("""COMPUTED_VALUE"""),"")</f>
        <v/>
      </c>
      <c r="W6427" s="16" t="str">
        <f>IFERROR(__xludf.DUMMYFUNCTION("""COMPUTED_VALUE"""),"")</f>
        <v/>
      </c>
      <c r="X6427" s="16" t="str">
        <f>IFERROR(__xludf.DUMMYFUNCTION("""COMPUTED_VALUE"""),"")</f>
        <v/>
      </c>
      <c r="AC6427" s="16" t="str">
        <f>IFERROR(__xludf.DUMMYFUNCTION("""COMPUTED_VALUE"""),"")</f>
        <v/>
      </c>
    </row>
    <row r="6428">
      <c r="A6428" s="16" t="s">
        <v>87</v>
      </c>
      <c r="E6428" s="16" t="str">
        <f>IFERROR(__xludf.DUMMYFUNCTION("""COMPUTED_VALUE"""),"")</f>
        <v/>
      </c>
      <c r="G6428" s="18"/>
      <c r="H6428" s="16" t="s">
        <v>87</v>
      </c>
      <c r="I6428" s="16" t="s">
        <v>87</v>
      </c>
      <c r="J6428" s="19"/>
      <c r="L6428" s="16" t="str">
        <f>IFERROR(__xludf.DUMMYFUNCTION("""COMPUTED_VALUE"""),"")</f>
        <v/>
      </c>
      <c r="M6428" s="16" t="str">
        <f>IFERROR(__xludf.DUMMYFUNCTION("""COMPUTED_VALUE"""),"")</f>
        <v/>
      </c>
      <c r="U6428" s="16" t="s">
        <v>87</v>
      </c>
      <c r="V6428" s="16" t="str">
        <f>IFERROR(__xludf.DUMMYFUNCTION("""COMPUTED_VALUE"""),"")</f>
        <v/>
      </c>
      <c r="W6428" s="16" t="str">
        <f>IFERROR(__xludf.DUMMYFUNCTION("""COMPUTED_VALUE"""),"")</f>
        <v/>
      </c>
      <c r="X6428" s="16" t="str">
        <f>IFERROR(__xludf.DUMMYFUNCTION("""COMPUTED_VALUE"""),"")</f>
        <v/>
      </c>
      <c r="AC6428" s="16" t="str">
        <f>IFERROR(__xludf.DUMMYFUNCTION("""COMPUTED_VALUE"""),"")</f>
        <v/>
      </c>
    </row>
    <row r="6429">
      <c r="A6429" s="16" t="s">
        <v>87</v>
      </c>
      <c r="E6429" s="16" t="str">
        <f>IFERROR(__xludf.DUMMYFUNCTION("""COMPUTED_VALUE"""),"")</f>
        <v/>
      </c>
      <c r="G6429" s="18"/>
      <c r="H6429" s="16" t="s">
        <v>87</v>
      </c>
      <c r="I6429" s="16" t="s">
        <v>87</v>
      </c>
      <c r="J6429" s="19"/>
      <c r="L6429" s="16" t="str">
        <f>IFERROR(__xludf.DUMMYFUNCTION("""COMPUTED_VALUE"""),"")</f>
        <v/>
      </c>
      <c r="M6429" s="16" t="str">
        <f>IFERROR(__xludf.DUMMYFUNCTION("""COMPUTED_VALUE"""),"")</f>
        <v/>
      </c>
      <c r="U6429" s="16" t="s">
        <v>87</v>
      </c>
      <c r="V6429" s="16" t="str">
        <f>IFERROR(__xludf.DUMMYFUNCTION("""COMPUTED_VALUE"""),"")</f>
        <v/>
      </c>
      <c r="W6429" s="16" t="str">
        <f>IFERROR(__xludf.DUMMYFUNCTION("""COMPUTED_VALUE"""),"")</f>
        <v/>
      </c>
      <c r="X6429" s="16" t="str">
        <f>IFERROR(__xludf.DUMMYFUNCTION("""COMPUTED_VALUE"""),"")</f>
        <v/>
      </c>
      <c r="AC6429" s="16" t="str">
        <f>IFERROR(__xludf.DUMMYFUNCTION("""COMPUTED_VALUE"""),"")</f>
        <v/>
      </c>
    </row>
    <row r="6430">
      <c r="A6430" s="16" t="s">
        <v>87</v>
      </c>
      <c r="E6430" s="16" t="str">
        <f>IFERROR(__xludf.DUMMYFUNCTION("""COMPUTED_VALUE"""),"")</f>
        <v/>
      </c>
      <c r="G6430" s="18"/>
      <c r="H6430" s="16" t="s">
        <v>87</v>
      </c>
      <c r="I6430" s="16" t="s">
        <v>87</v>
      </c>
      <c r="J6430" s="19"/>
      <c r="L6430" s="16" t="str">
        <f>IFERROR(__xludf.DUMMYFUNCTION("""COMPUTED_VALUE"""),"")</f>
        <v/>
      </c>
      <c r="M6430" s="16" t="str">
        <f>IFERROR(__xludf.DUMMYFUNCTION("""COMPUTED_VALUE"""),"")</f>
        <v/>
      </c>
      <c r="U6430" s="16" t="s">
        <v>87</v>
      </c>
      <c r="V6430" s="16" t="str">
        <f>IFERROR(__xludf.DUMMYFUNCTION("""COMPUTED_VALUE"""),"")</f>
        <v/>
      </c>
      <c r="W6430" s="16" t="str">
        <f>IFERROR(__xludf.DUMMYFUNCTION("""COMPUTED_VALUE"""),"")</f>
        <v/>
      </c>
      <c r="X6430" s="16" t="str">
        <f>IFERROR(__xludf.DUMMYFUNCTION("""COMPUTED_VALUE"""),"")</f>
        <v/>
      </c>
      <c r="AC6430" s="16" t="str">
        <f>IFERROR(__xludf.DUMMYFUNCTION("""COMPUTED_VALUE"""),"")</f>
        <v/>
      </c>
    </row>
    <row r="6431">
      <c r="A6431" s="16" t="s">
        <v>87</v>
      </c>
      <c r="E6431" s="16" t="str">
        <f>IFERROR(__xludf.DUMMYFUNCTION("""COMPUTED_VALUE"""),"")</f>
        <v/>
      </c>
      <c r="G6431" s="18"/>
      <c r="H6431" s="16" t="s">
        <v>87</v>
      </c>
      <c r="I6431" s="16" t="s">
        <v>87</v>
      </c>
      <c r="J6431" s="19"/>
      <c r="L6431" s="16" t="str">
        <f>IFERROR(__xludf.DUMMYFUNCTION("""COMPUTED_VALUE"""),"")</f>
        <v/>
      </c>
      <c r="M6431" s="16" t="str">
        <f>IFERROR(__xludf.DUMMYFUNCTION("""COMPUTED_VALUE"""),"")</f>
        <v/>
      </c>
      <c r="U6431" s="16" t="s">
        <v>87</v>
      </c>
      <c r="V6431" s="16" t="str">
        <f>IFERROR(__xludf.DUMMYFUNCTION("""COMPUTED_VALUE"""),"")</f>
        <v/>
      </c>
      <c r="W6431" s="16" t="str">
        <f>IFERROR(__xludf.DUMMYFUNCTION("""COMPUTED_VALUE"""),"")</f>
        <v/>
      </c>
      <c r="X6431" s="16" t="str">
        <f>IFERROR(__xludf.DUMMYFUNCTION("""COMPUTED_VALUE"""),"")</f>
        <v/>
      </c>
      <c r="AC6431" s="16" t="str">
        <f>IFERROR(__xludf.DUMMYFUNCTION("""COMPUTED_VALUE"""),"")</f>
        <v/>
      </c>
    </row>
    <row r="6432">
      <c r="A6432" s="16" t="s">
        <v>87</v>
      </c>
      <c r="E6432" s="16" t="str">
        <f>IFERROR(__xludf.DUMMYFUNCTION("""COMPUTED_VALUE"""),"")</f>
        <v/>
      </c>
      <c r="G6432" s="18"/>
      <c r="H6432" s="16" t="s">
        <v>87</v>
      </c>
      <c r="I6432" s="16" t="s">
        <v>87</v>
      </c>
      <c r="J6432" s="19"/>
      <c r="L6432" s="16" t="str">
        <f>IFERROR(__xludf.DUMMYFUNCTION("""COMPUTED_VALUE"""),"")</f>
        <v/>
      </c>
      <c r="M6432" s="16" t="str">
        <f>IFERROR(__xludf.DUMMYFUNCTION("""COMPUTED_VALUE"""),"")</f>
        <v/>
      </c>
      <c r="U6432" s="16" t="s">
        <v>87</v>
      </c>
      <c r="V6432" s="16" t="str">
        <f>IFERROR(__xludf.DUMMYFUNCTION("""COMPUTED_VALUE"""),"")</f>
        <v/>
      </c>
      <c r="W6432" s="16" t="str">
        <f>IFERROR(__xludf.DUMMYFUNCTION("""COMPUTED_VALUE"""),"")</f>
        <v/>
      </c>
      <c r="X6432" s="16" t="str">
        <f>IFERROR(__xludf.DUMMYFUNCTION("""COMPUTED_VALUE"""),"")</f>
        <v/>
      </c>
      <c r="AC6432" s="16" t="str">
        <f>IFERROR(__xludf.DUMMYFUNCTION("""COMPUTED_VALUE"""),"")</f>
        <v/>
      </c>
    </row>
    <row r="6433">
      <c r="A6433" s="16" t="s">
        <v>87</v>
      </c>
      <c r="E6433" s="16" t="str">
        <f>IFERROR(__xludf.DUMMYFUNCTION("""COMPUTED_VALUE"""),"")</f>
        <v/>
      </c>
      <c r="G6433" s="18"/>
      <c r="H6433" s="16" t="s">
        <v>87</v>
      </c>
      <c r="I6433" s="16" t="s">
        <v>87</v>
      </c>
      <c r="J6433" s="19"/>
      <c r="L6433" s="16" t="str">
        <f>IFERROR(__xludf.DUMMYFUNCTION("""COMPUTED_VALUE"""),"")</f>
        <v/>
      </c>
      <c r="M6433" s="16" t="str">
        <f>IFERROR(__xludf.DUMMYFUNCTION("""COMPUTED_VALUE"""),"")</f>
        <v/>
      </c>
      <c r="U6433" s="16" t="s">
        <v>87</v>
      </c>
      <c r="V6433" s="16" t="str">
        <f>IFERROR(__xludf.DUMMYFUNCTION("""COMPUTED_VALUE"""),"")</f>
        <v/>
      </c>
      <c r="W6433" s="16" t="str">
        <f>IFERROR(__xludf.DUMMYFUNCTION("""COMPUTED_VALUE"""),"")</f>
        <v/>
      </c>
      <c r="X6433" s="16" t="str">
        <f>IFERROR(__xludf.DUMMYFUNCTION("""COMPUTED_VALUE"""),"")</f>
        <v/>
      </c>
      <c r="AC6433" s="16" t="str">
        <f>IFERROR(__xludf.DUMMYFUNCTION("""COMPUTED_VALUE"""),"")</f>
        <v/>
      </c>
    </row>
    <row r="6434">
      <c r="A6434" s="16" t="s">
        <v>87</v>
      </c>
      <c r="E6434" s="16" t="str">
        <f>IFERROR(__xludf.DUMMYFUNCTION("""COMPUTED_VALUE"""),"")</f>
        <v/>
      </c>
      <c r="G6434" s="18"/>
      <c r="H6434" s="16" t="s">
        <v>87</v>
      </c>
      <c r="I6434" s="16" t="s">
        <v>87</v>
      </c>
      <c r="J6434" s="19"/>
      <c r="L6434" s="16" t="str">
        <f>IFERROR(__xludf.DUMMYFUNCTION("""COMPUTED_VALUE"""),"")</f>
        <v/>
      </c>
      <c r="M6434" s="16" t="str">
        <f>IFERROR(__xludf.DUMMYFUNCTION("""COMPUTED_VALUE"""),"")</f>
        <v/>
      </c>
      <c r="U6434" s="16" t="s">
        <v>87</v>
      </c>
      <c r="V6434" s="16" t="str">
        <f>IFERROR(__xludf.DUMMYFUNCTION("""COMPUTED_VALUE"""),"")</f>
        <v/>
      </c>
      <c r="W6434" s="16" t="str">
        <f>IFERROR(__xludf.DUMMYFUNCTION("""COMPUTED_VALUE"""),"")</f>
        <v/>
      </c>
      <c r="X6434" s="16" t="str">
        <f>IFERROR(__xludf.DUMMYFUNCTION("""COMPUTED_VALUE"""),"")</f>
        <v/>
      </c>
      <c r="AC6434" s="16" t="str">
        <f>IFERROR(__xludf.DUMMYFUNCTION("""COMPUTED_VALUE"""),"")</f>
        <v/>
      </c>
    </row>
    <row r="6435">
      <c r="A6435" s="16" t="s">
        <v>87</v>
      </c>
      <c r="E6435" s="16" t="str">
        <f>IFERROR(__xludf.DUMMYFUNCTION("""COMPUTED_VALUE"""),"")</f>
        <v/>
      </c>
      <c r="G6435" s="18"/>
      <c r="H6435" s="16" t="s">
        <v>87</v>
      </c>
      <c r="I6435" s="16" t="s">
        <v>87</v>
      </c>
      <c r="J6435" s="19"/>
      <c r="L6435" s="16" t="str">
        <f>IFERROR(__xludf.DUMMYFUNCTION("""COMPUTED_VALUE"""),"")</f>
        <v/>
      </c>
      <c r="M6435" s="16" t="str">
        <f>IFERROR(__xludf.DUMMYFUNCTION("""COMPUTED_VALUE"""),"")</f>
        <v/>
      </c>
      <c r="U6435" s="16" t="s">
        <v>87</v>
      </c>
      <c r="V6435" s="16" t="str">
        <f>IFERROR(__xludf.DUMMYFUNCTION("""COMPUTED_VALUE"""),"")</f>
        <v/>
      </c>
      <c r="W6435" s="16" t="str">
        <f>IFERROR(__xludf.DUMMYFUNCTION("""COMPUTED_VALUE"""),"")</f>
        <v/>
      </c>
      <c r="X6435" s="16" t="str">
        <f>IFERROR(__xludf.DUMMYFUNCTION("""COMPUTED_VALUE"""),"")</f>
        <v/>
      </c>
      <c r="AC6435" s="16" t="str">
        <f>IFERROR(__xludf.DUMMYFUNCTION("""COMPUTED_VALUE"""),"")</f>
        <v/>
      </c>
    </row>
    <row r="6436">
      <c r="A6436" s="16" t="s">
        <v>87</v>
      </c>
      <c r="E6436" s="16" t="str">
        <f>IFERROR(__xludf.DUMMYFUNCTION("""COMPUTED_VALUE"""),"")</f>
        <v/>
      </c>
      <c r="G6436" s="18"/>
      <c r="H6436" s="16" t="s">
        <v>87</v>
      </c>
      <c r="I6436" s="16" t="s">
        <v>87</v>
      </c>
      <c r="J6436" s="19"/>
      <c r="L6436" s="16" t="str">
        <f>IFERROR(__xludf.DUMMYFUNCTION("""COMPUTED_VALUE"""),"")</f>
        <v/>
      </c>
      <c r="M6436" s="16" t="str">
        <f>IFERROR(__xludf.DUMMYFUNCTION("""COMPUTED_VALUE"""),"")</f>
        <v/>
      </c>
      <c r="U6436" s="16" t="s">
        <v>87</v>
      </c>
      <c r="V6436" s="16" t="str">
        <f>IFERROR(__xludf.DUMMYFUNCTION("""COMPUTED_VALUE"""),"")</f>
        <v/>
      </c>
      <c r="W6436" s="16" t="str">
        <f>IFERROR(__xludf.DUMMYFUNCTION("""COMPUTED_VALUE"""),"")</f>
        <v/>
      </c>
      <c r="X6436" s="16" t="str">
        <f>IFERROR(__xludf.DUMMYFUNCTION("""COMPUTED_VALUE"""),"")</f>
        <v/>
      </c>
      <c r="AC6436" s="16" t="str">
        <f>IFERROR(__xludf.DUMMYFUNCTION("""COMPUTED_VALUE"""),"")</f>
        <v/>
      </c>
    </row>
    <row r="6437">
      <c r="A6437" s="16" t="s">
        <v>87</v>
      </c>
      <c r="E6437" s="16" t="str">
        <f>IFERROR(__xludf.DUMMYFUNCTION("""COMPUTED_VALUE"""),"")</f>
        <v/>
      </c>
      <c r="G6437" s="18"/>
      <c r="H6437" s="16" t="s">
        <v>87</v>
      </c>
      <c r="I6437" s="16" t="s">
        <v>87</v>
      </c>
      <c r="J6437" s="19"/>
      <c r="L6437" s="16" t="str">
        <f>IFERROR(__xludf.DUMMYFUNCTION("""COMPUTED_VALUE"""),"")</f>
        <v/>
      </c>
      <c r="M6437" s="16" t="str">
        <f>IFERROR(__xludf.DUMMYFUNCTION("""COMPUTED_VALUE"""),"")</f>
        <v/>
      </c>
      <c r="U6437" s="16" t="s">
        <v>87</v>
      </c>
      <c r="V6437" s="16" t="str">
        <f>IFERROR(__xludf.DUMMYFUNCTION("""COMPUTED_VALUE"""),"")</f>
        <v/>
      </c>
      <c r="W6437" s="16" t="str">
        <f>IFERROR(__xludf.DUMMYFUNCTION("""COMPUTED_VALUE"""),"")</f>
        <v/>
      </c>
      <c r="X6437" s="16" t="str">
        <f>IFERROR(__xludf.DUMMYFUNCTION("""COMPUTED_VALUE"""),"")</f>
        <v/>
      </c>
      <c r="AC6437" s="16" t="str">
        <f>IFERROR(__xludf.DUMMYFUNCTION("""COMPUTED_VALUE"""),"")</f>
        <v/>
      </c>
    </row>
    <row r="6438">
      <c r="A6438" s="16" t="s">
        <v>87</v>
      </c>
      <c r="E6438" s="16" t="str">
        <f>IFERROR(__xludf.DUMMYFUNCTION("""COMPUTED_VALUE"""),"")</f>
        <v/>
      </c>
      <c r="G6438" s="18"/>
      <c r="H6438" s="16" t="s">
        <v>87</v>
      </c>
      <c r="I6438" s="16" t="s">
        <v>87</v>
      </c>
      <c r="J6438" s="19"/>
      <c r="L6438" s="16" t="str">
        <f>IFERROR(__xludf.DUMMYFUNCTION("""COMPUTED_VALUE"""),"")</f>
        <v/>
      </c>
      <c r="M6438" s="16" t="str">
        <f>IFERROR(__xludf.DUMMYFUNCTION("""COMPUTED_VALUE"""),"")</f>
        <v/>
      </c>
      <c r="U6438" s="16" t="s">
        <v>87</v>
      </c>
      <c r="V6438" s="16" t="str">
        <f>IFERROR(__xludf.DUMMYFUNCTION("""COMPUTED_VALUE"""),"")</f>
        <v/>
      </c>
      <c r="W6438" s="16" t="str">
        <f>IFERROR(__xludf.DUMMYFUNCTION("""COMPUTED_VALUE"""),"")</f>
        <v/>
      </c>
      <c r="X6438" s="16" t="str">
        <f>IFERROR(__xludf.DUMMYFUNCTION("""COMPUTED_VALUE"""),"")</f>
        <v/>
      </c>
      <c r="AC6438" s="16" t="str">
        <f>IFERROR(__xludf.DUMMYFUNCTION("""COMPUTED_VALUE"""),"")</f>
        <v/>
      </c>
    </row>
    <row r="6439">
      <c r="A6439" s="16" t="s">
        <v>87</v>
      </c>
      <c r="E6439" s="16" t="str">
        <f>IFERROR(__xludf.DUMMYFUNCTION("""COMPUTED_VALUE"""),"")</f>
        <v/>
      </c>
      <c r="G6439" s="18"/>
      <c r="H6439" s="16" t="s">
        <v>87</v>
      </c>
      <c r="I6439" s="16" t="s">
        <v>87</v>
      </c>
      <c r="J6439" s="19"/>
      <c r="L6439" s="16" t="str">
        <f>IFERROR(__xludf.DUMMYFUNCTION("""COMPUTED_VALUE"""),"")</f>
        <v/>
      </c>
      <c r="M6439" s="16" t="str">
        <f>IFERROR(__xludf.DUMMYFUNCTION("""COMPUTED_VALUE"""),"")</f>
        <v/>
      </c>
      <c r="U6439" s="16" t="s">
        <v>87</v>
      </c>
      <c r="V6439" s="16" t="str">
        <f>IFERROR(__xludf.DUMMYFUNCTION("""COMPUTED_VALUE"""),"")</f>
        <v/>
      </c>
      <c r="W6439" s="16" t="str">
        <f>IFERROR(__xludf.DUMMYFUNCTION("""COMPUTED_VALUE"""),"")</f>
        <v/>
      </c>
      <c r="X6439" s="16" t="str">
        <f>IFERROR(__xludf.DUMMYFUNCTION("""COMPUTED_VALUE"""),"")</f>
        <v/>
      </c>
      <c r="AC6439" s="16" t="str">
        <f>IFERROR(__xludf.DUMMYFUNCTION("""COMPUTED_VALUE"""),"")</f>
        <v/>
      </c>
    </row>
    <row r="6440">
      <c r="A6440" s="16" t="s">
        <v>87</v>
      </c>
      <c r="E6440" s="16" t="str">
        <f>IFERROR(__xludf.DUMMYFUNCTION("""COMPUTED_VALUE"""),"")</f>
        <v/>
      </c>
      <c r="G6440" s="18"/>
      <c r="H6440" s="16" t="s">
        <v>87</v>
      </c>
      <c r="I6440" s="16" t="s">
        <v>87</v>
      </c>
      <c r="J6440" s="19"/>
      <c r="L6440" s="16" t="str">
        <f>IFERROR(__xludf.DUMMYFUNCTION("""COMPUTED_VALUE"""),"")</f>
        <v/>
      </c>
      <c r="M6440" s="16" t="str">
        <f>IFERROR(__xludf.DUMMYFUNCTION("""COMPUTED_VALUE"""),"")</f>
        <v/>
      </c>
      <c r="U6440" s="16" t="s">
        <v>87</v>
      </c>
      <c r="V6440" s="16" t="str">
        <f>IFERROR(__xludf.DUMMYFUNCTION("""COMPUTED_VALUE"""),"")</f>
        <v/>
      </c>
      <c r="W6440" s="16" t="str">
        <f>IFERROR(__xludf.DUMMYFUNCTION("""COMPUTED_VALUE"""),"")</f>
        <v/>
      </c>
      <c r="X6440" s="16" t="str">
        <f>IFERROR(__xludf.DUMMYFUNCTION("""COMPUTED_VALUE"""),"")</f>
        <v/>
      </c>
      <c r="AC6440" s="16" t="str">
        <f>IFERROR(__xludf.DUMMYFUNCTION("""COMPUTED_VALUE"""),"")</f>
        <v/>
      </c>
    </row>
    <row r="6441">
      <c r="A6441" s="16" t="s">
        <v>87</v>
      </c>
      <c r="E6441" s="16" t="str">
        <f>IFERROR(__xludf.DUMMYFUNCTION("""COMPUTED_VALUE"""),"")</f>
        <v/>
      </c>
      <c r="G6441" s="18"/>
      <c r="H6441" s="16" t="s">
        <v>87</v>
      </c>
      <c r="I6441" s="16" t="s">
        <v>87</v>
      </c>
      <c r="J6441" s="19"/>
      <c r="L6441" s="16" t="str">
        <f>IFERROR(__xludf.DUMMYFUNCTION("""COMPUTED_VALUE"""),"")</f>
        <v/>
      </c>
      <c r="M6441" s="16" t="str">
        <f>IFERROR(__xludf.DUMMYFUNCTION("""COMPUTED_VALUE"""),"")</f>
        <v/>
      </c>
      <c r="U6441" s="16" t="s">
        <v>87</v>
      </c>
      <c r="V6441" s="16" t="str">
        <f>IFERROR(__xludf.DUMMYFUNCTION("""COMPUTED_VALUE"""),"")</f>
        <v/>
      </c>
      <c r="W6441" s="16" t="str">
        <f>IFERROR(__xludf.DUMMYFUNCTION("""COMPUTED_VALUE"""),"")</f>
        <v/>
      </c>
      <c r="X6441" s="16" t="str">
        <f>IFERROR(__xludf.DUMMYFUNCTION("""COMPUTED_VALUE"""),"")</f>
        <v/>
      </c>
      <c r="AC6441" s="16" t="str">
        <f>IFERROR(__xludf.DUMMYFUNCTION("""COMPUTED_VALUE"""),"")</f>
        <v/>
      </c>
    </row>
    <row r="6442">
      <c r="A6442" s="16" t="s">
        <v>87</v>
      </c>
      <c r="E6442" s="16" t="str">
        <f>IFERROR(__xludf.DUMMYFUNCTION("""COMPUTED_VALUE"""),"")</f>
        <v/>
      </c>
      <c r="G6442" s="18"/>
      <c r="H6442" s="16" t="s">
        <v>87</v>
      </c>
      <c r="I6442" s="16" t="s">
        <v>87</v>
      </c>
      <c r="J6442" s="19"/>
      <c r="L6442" s="16" t="str">
        <f>IFERROR(__xludf.DUMMYFUNCTION("""COMPUTED_VALUE"""),"")</f>
        <v/>
      </c>
      <c r="M6442" s="16" t="str">
        <f>IFERROR(__xludf.DUMMYFUNCTION("""COMPUTED_VALUE"""),"")</f>
        <v/>
      </c>
      <c r="U6442" s="16" t="s">
        <v>87</v>
      </c>
      <c r="V6442" s="16" t="str">
        <f>IFERROR(__xludf.DUMMYFUNCTION("""COMPUTED_VALUE"""),"")</f>
        <v/>
      </c>
      <c r="W6442" s="16" t="str">
        <f>IFERROR(__xludf.DUMMYFUNCTION("""COMPUTED_VALUE"""),"")</f>
        <v/>
      </c>
      <c r="X6442" s="16" t="str">
        <f>IFERROR(__xludf.DUMMYFUNCTION("""COMPUTED_VALUE"""),"")</f>
        <v/>
      </c>
      <c r="AC6442" s="16" t="str">
        <f>IFERROR(__xludf.DUMMYFUNCTION("""COMPUTED_VALUE"""),"")</f>
        <v/>
      </c>
    </row>
    <row r="6443">
      <c r="A6443" s="16" t="s">
        <v>87</v>
      </c>
      <c r="E6443" s="16" t="str">
        <f>IFERROR(__xludf.DUMMYFUNCTION("""COMPUTED_VALUE"""),"")</f>
        <v/>
      </c>
      <c r="G6443" s="18"/>
      <c r="H6443" s="16" t="s">
        <v>87</v>
      </c>
      <c r="I6443" s="16" t="s">
        <v>87</v>
      </c>
      <c r="J6443" s="19"/>
      <c r="L6443" s="16" t="str">
        <f>IFERROR(__xludf.DUMMYFUNCTION("""COMPUTED_VALUE"""),"")</f>
        <v/>
      </c>
      <c r="M6443" s="16" t="str">
        <f>IFERROR(__xludf.DUMMYFUNCTION("""COMPUTED_VALUE"""),"")</f>
        <v/>
      </c>
      <c r="U6443" s="16" t="s">
        <v>87</v>
      </c>
      <c r="V6443" s="16" t="str">
        <f>IFERROR(__xludf.DUMMYFUNCTION("""COMPUTED_VALUE"""),"")</f>
        <v/>
      </c>
      <c r="W6443" s="16" t="str">
        <f>IFERROR(__xludf.DUMMYFUNCTION("""COMPUTED_VALUE"""),"")</f>
        <v/>
      </c>
      <c r="X6443" s="16" t="str">
        <f>IFERROR(__xludf.DUMMYFUNCTION("""COMPUTED_VALUE"""),"")</f>
        <v/>
      </c>
      <c r="AC6443" s="16" t="str">
        <f>IFERROR(__xludf.DUMMYFUNCTION("""COMPUTED_VALUE"""),"")</f>
        <v/>
      </c>
    </row>
    <row r="6444">
      <c r="A6444" s="16" t="s">
        <v>87</v>
      </c>
      <c r="E6444" s="16" t="str">
        <f>IFERROR(__xludf.DUMMYFUNCTION("""COMPUTED_VALUE"""),"")</f>
        <v/>
      </c>
      <c r="G6444" s="18"/>
      <c r="H6444" s="16" t="s">
        <v>87</v>
      </c>
      <c r="I6444" s="16" t="s">
        <v>87</v>
      </c>
      <c r="J6444" s="19"/>
      <c r="L6444" s="16" t="str">
        <f>IFERROR(__xludf.DUMMYFUNCTION("""COMPUTED_VALUE"""),"")</f>
        <v/>
      </c>
      <c r="M6444" s="16" t="str">
        <f>IFERROR(__xludf.DUMMYFUNCTION("""COMPUTED_VALUE"""),"")</f>
        <v/>
      </c>
      <c r="U6444" s="16" t="s">
        <v>87</v>
      </c>
      <c r="V6444" s="16" t="str">
        <f>IFERROR(__xludf.DUMMYFUNCTION("""COMPUTED_VALUE"""),"")</f>
        <v/>
      </c>
      <c r="W6444" s="16" t="str">
        <f>IFERROR(__xludf.DUMMYFUNCTION("""COMPUTED_VALUE"""),"")</f>
        <v/>
      </c>
      <c r="X6444" s="16" t="str">
        <f>IFERROR(__xludf.DUMMYFUNCTION("""COMPUTED_VALUE"""),"")</f>
        <v/>
      </c>
      <c r="AC6444" s="16" t="str">
        <f>IFERROR(__xludf.DUMMYFUNCTION("""COMPUTED_VALUE"""),"")</f>
        <v/>
      </c>
    </row>
    <row r="6445">
      <c r="A6445" s="16" t="s">
        <v>87</v>
      </c>
      <c r="E6445" s="16" t="str">
        <f>IFERROR(__xludf.DUMMYFUNCTION("""COMPUTED_VALUE"""),"")</f>
        <v/>
      </c>
      <c r="G6445" s="18"/>
      <c r="H6445" s="16" t="s">
        <v>87</v>
      </c>
      <c r="I6445" s="16" t="s">
        <v>87</v>
      </c>
      <c r="J6445" s="19"/>
      <c r="L6445" s="16" t="str">
        <f>IFERROR(__xludf.DUMMYFUNCTION("""COMPUTED_VALUE"""),"")</f>
        <v/>
      </c>
      <c r="M6445" s="16" t="str">
        <f>IFERROR(__xludf.DUMMYFUNCTION("""COMPUTED_VALUE"""),"")</f>
        <v/>
      </c>
      <c r="U6445" s="16" t="s">
        <v>87</v>
      </c>
      <c r="V6445" s="16" t="str">
        <f>IFERROR(__xludf.DUMMYFUNCTION("""COMPUTED_VALUE"""),"")</f>
        <v/>
      </c>
      <c r="W6445" s="16" t="str">
        <f>IFERROR(__xludf.DUMMYFUNCTION("""COMPUTED_VALUE"""),"")</f>
        <v/>
      </c>
      <c r="X6445" s="16" t="str">
        <f>IFERROR(__xludf.DUMMYFUNCTION("""COMPUTED_VALUE"""),"")</f>
        <v/>
      </c>
      <c r="AC6445" s="16" t="str">
        <f>IFERROR(__xludf.DUMMYFUNCTION("""COMPUTED_VALUE"""),"")</f>
        <v/>
      </c>
    </row>
    <row r="6446">
      <c r="A6446" s="16" t="s">
        <v>87</v>
      </c>
      <c r="E6446" s="16" t="str">
        <f>IFERROR(__xludf.DUMMYFUNCTION("""COMPUTED_VALUE"""),"")</f>
        <v/>
      </c>
      <c r="G6446" s="18"/>
      <c r="H6446" s="16" t="s">
        <v>87</v>
      </c>
      <c r="I6446" s="16" t="s">
        <v>87</v>
      </c>
      <c r="J6446" s="19"/>
      <c r="L6446" s="16" t="str">
        <f>IFERROR(__xludf.DUMMYFUNCTION("""COMPUTED_VALUE"""),"")</f>
        <v/>
      </c>
      <c r="M6446" s="16" t="str">
        <f>IFERROR(__xludf.DUMMYFUNCTION("""COMPUTED_VALUE"""),"")</f>
        <v/>
      </c>
      <c r="U6446" s="16" t="s">
        <v>87</v>
      </c>
      <c r="V6446" s="16" t="str">
        <f>IFERROR(__xludf.DUMMYFUNCTION("""COMPUTED_VALUE"""),"")</f>
        <v/>
      </c>
      <c r="W6446" s="16" t="str">
        <f>IFERROR(__xludf.DUMMYFUNCTION("""COMPUTED_VALUE"""),"")</f>
        <v/>
      </c>
      <c r="X6446" s="16" t="str">
        <f>IFERROR(__xludf.DUMMYFUNCTION("""COMPUTED_VALUE"""),"")</f>
        <v/>
      </c>
      <c r="AC6446" s="16" t="str">
        <f>IFERROR(__xludf.DUMMYFUNCTION("""COMPUTED_VALUE"""),"")</f>
        <v/>
      </c>
    </row>
    <row r="6447">
      <c r="A6447" s="16" t="s">
        <v>87</v>
      </c>
      <c r="E6447" s="16" t="str">
        <f>IFERROR(__xludf.DUMMYFUNCTION("""COMPUTED_VALUE"""),"")</f>
        <v/>
      </c>
      <c r="G6447" s="18"/>
      <c r="H6447" s="16" t="s">
        <v>87</v>
      </c>
      <c r="I6447" s="16" t="s">
        <v>87</v>
      </c>
      <c r="J6447" s="19"/>
      <c r="L6447" s="16" t="str">
        <f>IFERROR(__xludf.DUMMYFUNCTION("""COMPUTED_VALUE"""),"")</f>
        <v/>
      </c>
      <c r="M6447" s="16" t="str">
        <f>IFERROR(__xludf.DUMMYFUNCTION("""COMPUTED_VALUE"""),"")</f>
        <v/>
      </c>
      <c r="U6447" s="16" t="s">
        <v>87</v>
      </c>
      <c r="V6447" s="16" t="str">
        <f>IFERROR(__xludf.DUMMYFUNCTION("""COMPUTED_VALUE"""),"")</f>
        <v/>
      </c>
      <c r="W6447" s="16" t="str">
        <f>IFERROR(__xludf.DUMMYFUNCTION("""COMPUTED_VALUE"""),"")</f>
        <v/>
      </c>
      <c r="X6447" s="16" t="str">
        <f>IFERROR(__xludf.DUMMYFUNCTION("""COMPUTED_VALUE"""),"")</f>
        <v/>
      </c>
      <c r="AC6447" s="16" t="str">
        <f>IFERROR(__xludf.DUMMYFUNCTION("""COMPUTED_VALUE"""),"")</f>
        <v/>
      </c>
    </row>
    <row r="6448">
      <c r="A6448" s="16" t="s">
        <v>87</v>
      </c>
      <c r="E6448" s="16" t="str">
        <f>IFERROR(__xludf.DUMMYFUNCTION("""COMPUTED_VALUE"""),"")</f>
        <v/>
      </c>
      <c r="G6448" s="18"/>
      <c r="H6448" s="16" t="s">
        <v>87</v>
      </c>
      <c r="I6448" s="16" t="s">
        <v>87</v>
      </c>
      <c r="J6448" s="19"/>
      <c r="L6448" s="16" t="str">
        <f>IFERROR(__xludf.DUMMYFUNCTION("""COMPUTED_VALUE"""),"")</f>
        <v/>
      </c>
      <c r="M6448" s="16" t="str">
        <f>IFERROR(__xludf.DUMMYFUNCTION("""COMPUTED_VALUE"""),"")</f>
        <v/>
      </c>
      <c r="U6448" s="16" t="s">
        <v>87</v>
      </c>
      <c r="V6448" s="16" t="str">
        <f>IFERROR(__xludf.DUMMYFUNCTION("""COMPUTED_VALUE"""),"")</f>
        <v/>
      </c>
      <c r="W6448" s="16" t="str">
        <f>IFERROR(__xludf.DUMMYFUNCTION("""COMPUTED_VALUE"""),"")</f>
        <v/>
      </c>
      <c r="X6448" s="16" t="str">
        <f>IFERROR(__xludf.DUMMYFUNCTION("""COMPUTED_VALUE"""),"")</f>
        <v/>
      </c>
      <c r="AC6448" s="16" t="str">
        <f>IFERROR(__xludf.DUMMYFUNCTION("""COMPUTED_VALUE"""),"")</f>
        <v/>
      </c>
    </row>
    <row r="6449">
      <c r="A6449" s="16" t="s">
        <v>87</v>
      </c>
      <c r="E6449" s="16" t="str">
        <f>IFERROR(__xludf.DUMMYFUNCTION("""COMPUTED_VALUE"""),"")</f>
        <v/>
      </c>
      <c r="G6449" s="18"/>
      <c r="H6449" s="16" t="s">
        <v>87</v>
      </c>
      <c r="I6449" s="16" t="s">
        <v>87</v>
      </c>
      <c r="J6449" s="19"/>
      <c r="L6449" s="16" t="str">
        <f>IFERROR(__xludf.DUMMYFUNCTION("""COMPUTED_VALUE"""),"")</f>
        <v/>
      </c>
      <c r="M6449" s="16" t="str">
        <f>IFERROR(__xludf.DUMMYFUNCTION("""COMPUTED_VALUE"""),"")</f>
        <v/>
      </c>
      <c r="U6449" s="16" t="s">
        <v>87</v>
      </c>
      <c r="V6449" s="16" t="str">
        <f>IFERROR(__xludf.DUMMYFUNCTION("""COMPUTED_VALUE"""),"")</f>
        <v/>
      </c>
      <c r="W6449" s="16" t="str">
        <f>IFERROR(__xludf.DUMMYFUNCTION("""COMPUTED_VALUE"""),"")</f>
        <v/>
      </c>
      <c r="X6449" s="16" t="str">
        <f>IFERROR(__xludf.DUMMYFUNCTION("""COMPUTED_VALUE"""),"")</f>
        <v/>
      </c>
      <c r="AC6449" s="16" t="str">
        <f>IFERROR(__xludf.DUMMYFUNCTION("""COMPUTED_VALUE"""),"")</f>
        <v/>
      </c>
    </row>
    <row r="6450">
      <c r="A6450" s="16" t="s">
        <v>87</v>
      </c>
      <c r="E6450" s="16" t="str">
        <f>IFERROR(__xludf.DUMMYFUNCTION("""COMPUTED_VALUE"""),"")</f>
        <v/>
      </c>
      <c r="G6450" s="18"/>
      <c r="H6450" s="16" t="s">
        <v>87</v>
      </c>
      <c r="I6450" s="16" t="s">
        <v>87</v>
      </c>
      <c r="J6450" s="19"/>
      <c r="L6450" s="16" t="str">
        <f>IFERROR(__xludf.DUMMYFUNCTION("""COMPUTED_VALUE"""),"")</f>
        <v/>
      </c>
      <c r="M6450" s="16" t="str">
        <f>IFERROR(__xludf.DUMMYFUNCTION("""COMPUTED_VALUE"""),"")</f>
        <v/>
      </c>
      <c r="U6450" s="16" t="s">
        <v>87</v>
      </c>
      <c r="V6450" s="16" t="str">
        <f>IFERROR(__xludf.DUMMYFUNCTION("""COMPUTED_VALUE"""),"")</f>
        <v/>
      </c>
      <c r="W6450" s="16" t="str">
        <f>IFERROR(__xludf.DUMMYFUNCTION("""COMPUTED_VALUE"""),"")</f>
        <v/>
      </c>
      <c r="X6450" s="16" t="str">
        <f>IFERROR(__xludf.DUMMYFUNCTION("""COMPUTED_VALUE"""),"")</f>
        <v/>
      </c>
      <c r="AC6450" s="16" t="str">
        <f>IFERROR(__xludf.DUMMYFUNCTION("""COMPUTED_VALUE"""),"")</f>
        <v/>
      </c>
    </row>
    <row r="6451">
      <c r="A6451" s="16" t="s">
        <v>87</v>
      </c>
      <c r="E6451" s="16" t="str">
        <f>IFERROR(__xludf.DUMMYFUNCTION("""COMPUTED_VALUE"""),"")</f>
        <v/>
      </c>
      <c r="G6451" s="18"/>
      <c r="H6451" s="16" t="s">
        <v>87</v>
      </c>
      <c r="I6451" s="16" t="s">
        <v>87</v>
      </c>
      <c r="J6451" s="19"/>
      <c r="L6451" s="16" t="str">
        <f>IFERROR(__xludf.DUMMYFUNCTION("""COMPUTED_VALUE"""),"")</f>
        <v/>
      </c>
      <c r="M6451" s="16" t="str">
        <f>IFERROR(__xludf.DUMMYFUNCTION("""COMPUTED_VALUE"""),"")</f>
        <v/>
      </c>
      <c r="U6451" s="16" t="s">
        <v>87</v>
      </c>
      <c r="V6451" s="16" t="str">
        <f>IFERROR(__xludf.DUMMYFUNCTION("""COMPUTED_VALUE"""),"")</f>
        <v/>
      </c>
      <c r="W6451" s="16" t="str">
        <f>IFERROR(__xludf.DUMMYFUNCTION("""COMPUTED_VALUE"""),"")</f>
        <v/>
      </c>
      <c r="X6451" s="16" t="str">
        <f>IFERROR(__xludf.DUMMYFUNCTION("""COMPUTED_VALUE"""),"")</f>
        <v/>
      </c>
      <c r="AC6451" s="16" t="str">
        <f>IFERROR(__xludf.DUMMYFUNCTION("""COMPUTED_VALUE"""),"")</f>
        <v/>
      </c>
    </row>
    <row r="6452">
      <c r="A6452" s="16" t="s">
        <v>87</v>
      </c>
      <c r="E6452" s="16" t="str">
        <f>IFERROR(__xludf.DUMMYFUNCTION("""COMPUTED_VALUE"""),"")</f>
        <v/>
      </c>
      <c r="G6452" s="18"/>
      <c r="H6452" s="16" t="s">
        <v>87</v>
      </c>
      <c r="I6452" s="16" t="s">
        <v>87</v>
      </c>
      <c r="J6452" s="19"/>
      <c r="L6452" s="16" t="str">
        <f>IFERROR(__xludf.DUMMYFUNCTION("""COMPUTED_VALUE"""),"")</f>
        <v/>
      </c>
      <c r="M6452" s="16" t="str">
        <f>IFERROR(__xludf.DUMMYFUNCTION("""COMPUTED_VALUE"""),"")</f>
        <v/>
      </c>
      <c r="U6452" s="16" t="s">
        <v>87</v>
      </c>
      <c r="V6452" s="16" t="str">
        <f>IFERROR(__xludf.DUMMYFUNCTION("""COMPUTED_VALUE"""),"")</f>
        <v/>
      </c>
      <c r="W6452" s="16" t="str">
        <f>IFERROR(__xludf.DUMMYFUNCTION("""COMPUTED_VALUE"""),"")</f>
        <v/>
      </c>
      <c r="X6452" s="16" t="str">
        <f>IFERROR(__xludf.DUMMYFUNCTION("""COMPUTED_VALUE"""),"")</f>
        <v/>
      </c>
      <c r="AC6452" s="16" t="str">
        <f>IFERROR(__xludf.DUMMYFUNCTION("""COMPUTED_VALUE"""),"")</f>
        <v/>
      </c>
    </row>
    <row r="6453">
      <c r="A6453" s="16" t="s">
        <v>87</v>
      </c>
      <c r="E6453" s="16" t="str">
        <f>IFERROR(__xludf.DUMMYFUNCTION("""COMPUTED_VALUE"""),"")</f>
        <v/>
      </c>
      <c r="G6453" s="18"/>
      <c r="H6453" s="16" t="s">
        <v>87</v>
      </c>
      <c r="I6453" s="16" t="s">
        <v>87</v>
      </c>
      <c r="J6453" s="19"/>
      <c r="L6453" s="16" t="str">
        <f>IFERROR(__xludf.DUMMYFUNCTION("""COMPUTED_VALUE"""),"")</f>
        <v/>
      </c>
      <c r="M6453" s="16" t="str">
        <f>IFERROR(__xludf.DUMMYFUNCTION("""COMPUTED_VALUE"""),"")</f>
        <v/>
      </c>
      <c r="U6453" s="16" t="s">
        <v>87</v>
      </c>
      <c r="V6453" s="16" t="str">
        <f>IFERROR(__xludf.DUMMYFUNCTION("""COMPUTED_VALUE"""),"")</f>
        <v/>
      </c>
      <c r="W6453" s="16" t="str">
        <f>IFERROR(__xludf.DUMMYFUNCTION("""COMPUTED_VALUE"""),"")</f>
        <v/>
      </c>
      <c r="X6453" s="16" t="str">
        <f>IFERROR(__xludf.DUMMYFUNCTION("""COMPUTED_VALUE"""),"")</f>
        <v/>
      </c>
      <c r="AC6453" s="16" t="str">
        <f>IFERROR(__xludf.DUMMYFUNCTION("""COMPUTED_VALUE"""),"")</f>
        <v/>
      </c>
    </row>
    <row r="6454">
      <c r="A6454" s="16" t="s">
        <v>87</v>
      </c>
      <c r="E6454" s="16" t="str">
        <f>IFERROR(__xludf.DUMMYFUNCTION("""COMPUTED_VALUE"""),"")</f>
        <v/>
      </c>
      <c r="G6454" s="18"/>
      <c r="H6454" s="16" t="s">
        <v>87</v>
      </c>
      <c r="I6454" s="16" t="s">
        <v>87</v>
      </c>
      <c r="J6454" s="19"/>
      <c r="L6454" s="16" t="str">
        <f>IFERROR(__xludf.DUMMYFUNCTION("""COMPUTED_VALUE"""),"")</f>
        <v/>
      </c>
      <c r="M6454" s="16" t="str">
        <f>IFERROR(__xludf.DUMMYFUNCTION("""COMPUTED_VALUE"""),"")</f>
        <v/>
      </c>
      <c r="U6454" s="16" t="s">
        <v>87</v>
      </c>
      <c r="V6454" s="16" t="str">
        <f>IFERROR(__xludf.DUMMYFUNCTION("""COMPUTED_VALUE"""),"")</f>
        <v/>
      </c>
      <c r="W6454" s="16" t="str">
        <f>IFERROR(__xludf.DUMMYFUNCTION("""COMPUTED_VALUE"""),"")</f>
        <v/>
      </c>
      <c r="X6454" s="16" t="str">
        <f>IFERROR(__xludf.DUMMYFUNCTION("""COMPUTED_VALUE"""),"")</f>
        <v/>
      </c>
      <c r="AC6454" s="16" t="str">
        <f>IFERROR(__xludf.DUMMYFUNCTION("""COMPUTED_VALUE"""),"")</f>
        <v/>
      </c>
    </row>
    <row r="6455">
      <c r="A6455" s="16" t="s">
        <v>87</v>
      </c>
      <c r="E6455" s="16" t="str">
        <f>IFERROR(__xludf.DUMMYFUNCTION("""COMPUTED_VALUE"""),"")</f>
        <v/>
      </c>
      <c r="G6455" s="18"/>
      <c r="H6455" s="16" t="s">
        <v>87</v>
      </c>
      <c r="I6455" s="16" t="s">
        <v>87</v>
      </c>
      <c r="J6455" s="19"/>
      <c r="L6455" s="16" t="str">
        <f>IFERROR(__xludf.DUMMYFUNCTION("""COMPUTED_VALUE"""),"")</f>
        <v/>
      </c>
      <c r="M6455" s="16" t="str">
        <f>IFERROR(__xludf.DUMMYFUNCTION("""COMPUTED_VALUE"""),"")</f>
        <v/>
      </c>
      <c r="U6455" s="16" t="s">
        <v>87</v>
      </c>
      <c r="V6455" s="16" t="str">
        <f>IFERROR(__xludf.DUMMYFUNCTION("""COMPUTED_VALUE"""),"")</f>
        <v/>
      </c>
      <c r="W6455" s="16" t="str">
        <f>IFERROR(__xludf.DUMMYFUNCTION("""COMPUTED_VALUE"""),"")</f>
        <v/>
      </c>
      <c r="X6455" s="16" t="str">
        <f>IFERROR(__xludf.DUMMYFUNCTION("""COMPUTED_VALUE"""),"")</f>
        <v/>
      </c>
      <c r="AC6455" s="16" t="str">
        <f>IFERROR(__xludf.DUMMYFUNCTION("""COMPUTED_VALUE"""),"")</f>
        <v/>
      </c>
    </row>
    <row r="6456">
      <c r="A6456" s="16" t="s">
        <v>87</v>
      </c>
      <c r="E6456" s="16" t="str">
        <f>IFERROR(__xludf.DUMMYFUNCTION("""COMPUTED_VALUE"""),"")</f>
        <v/>
      </c>
      <c r="G6456" s="18"/>
      <c r="H6456" s="16" t="s">
        <v>87</v>
      </c>
      <c r="I6456" s="16" t="s">
        <v>87</v>
      </c>
      <c r="J6456" s="19"/>
      <c r="L6456" s="16" t="str">
        <f>IFERROR(__xludf.DUMMYFUNCTION("""COMPUTED_VALUE"""),"")</f>
        <v/>
      </c>
      <c r="M6456" s="16" t="str">
        <f>IFERROR(__xludf.DUMMYFUNCTION("""COMPUTED_VALUE"""),"")</f>
        <v/>
      </c>
      <c r="U6456" s="16" t="s">
        <v>87</v>
      </c>
      <c r="V6456" s="16" t="str">
        <f>IFERROR(__xludf.DUMMYFUNCTION("""COMPUTED_VALUE"""),"")</f>
        <v/>
      </c>
      <c r="W6456" s="16" t="str">
        <f>IFERROR(__xludf.DUMMYFUNCTION("""COMPUTED_VALUE"""),"")</f>
        <v/>
      </c>
      <c r="X6456" s="16" t="str">
        <f>IFERROR(__xludf.DUMMYFUNCTION("""COMPUTED_VALUE"""),"")</f>
        <v/>
      </c>
      <c r="AC6456" s="16" t="str">
        <f>IFERROR(__xludf.DUMMYFUNCTION("""COMPUTED_VALUE"""),"")</f>
        <v/>
      </c>
    </row>
    <row r="6457">
      <c r="A6457" s="16" t="s">
        <v>87</v>
      </c>
      <c r="E6457" s="16" t="str">
        <f>IFERROR(__xludf.DUMMYFUNCTION("""COMPUTED_VALUE"""),"")</f>
        <v/>
      </c>
      <c r="G6457" s="18"/>
      <c r="H6457" s="16" t="s">
        <v>87</v>
      </c>
      <c r="I6457" s="16" t="s">
        <v>87</v>
      </c>
      <c r="J6457" s="19"/>
      <c r="L6457" s="16" t="str">
        <f>IFERROR(__xludf.DUMMYFUNCTION("""COMPUTED_VALUE"""),"")</f>
        <v/>
      </c>
      <c r="M6457" s="16" t="str">
        <f>IFERROR(__xludf.DUMMYFUNCTION("""COMPUTED_VALUE"""),"")</f>
        <v/>
      </c>
      <c r="U6457" s="16" t="s">
        <v>87</v>
      </c>
      <c r="V6457" s="16" t="str">
        <f>IFERROR(__xludf.DUMMYFUNCTION("""COMPUTED_VALUE"""),"")</f>
        <v/>
      </c>
      <c r="W6457" s="16" t="str">
        <f>IFERROR(__xludf.DUMMYFUNCTION("""COMPUTED_VALUE"""),"")</f>
        <v/>
      </c>
      <c r="X6457" s="16" t="str">
        <f>IFERROR(__xludf.DUMMYFUNCTION("""COMPUTED_VALUE"""),"")</f>
        <v/>
      </c>
      <c r="AC6457" s="16" t="str">
        <f>IFERROR(__xludf.DUMMYFUNCTION("""COMPUTED_VALUE"""),"")</f>
        <v/>
      </c>
    </row>
    <row r="6458">
      <c r="A6458" s="16" t="s">
        <v>87</v>
      </c>
      <c r="E6458" s="16" t="str">
        <f>IFERROR(__xludf.DUMMYFUNCTION("""COMPUTED_VALUE"""),"")</f>
        <v/>
      </c>
      <c r="G6458" s="18"/>
      <c r="H6458" s="16" t="s">
        <v>87</v>
      </c>
      <c r="I6458" s="16" t="s">
        <v>87</v>
      </c>
      <c r="J6458" s="19"/>
      <c r="L6458" s="16" t="str">
        <f>IFERROR(__xludf.DUMMYFUNCTION("""COMPUTED_VALUE"""),"")</f>
        <v/>
      </c>
      <c r="M6458" s="16" t="str">
        <f>IFERROR(__xludf.DUMMYFUNCTION("""COMPUTED_VALUE"""),"")</f>
        <v/>
      </c>
      <c r="U6458" s="16" t="s">
        <v>87</v>
      </c>
      <c r="V6458" s="16" t="str">
        <f>IFERROR(__xludf.DUMMYFUNCTION("""COMPUTED_VALUE"""),"")</f>
        <v/>
      </c>
      <c r="W6458" s="16" t="str">
        <f>IFERROR(__xludf.DUMMYFUNCTION("""COMPUTED_VALUE"""),"")</f>
        <v/>
      </c>
      <c r="X6458" s="16" t="str">
        <f>IFERROR(__xludf.DUMMYFUNCTION("""COMPUTED_VALUE"""),"")</f>
        <v/>
      </c>
      <c r="AC6458" s="16" t="str">
        <f>IFERROR(__xludf.DUMMYFUNCTION("""COMPUTED_VALUE"""),"")</f>
        <v/>
      </c>
    </row>
    <row r="6459">
      <c r="A6459" s="16" t="s">
        <v>87</v>
      </c>
      <c r="E6459" s="16" t="str">
        <f>IFERROR(__xludf.DUMMYFUNCTION("""COMPUTED_VALUE"""),"")</f>
        <v/>
      </c>
      <c r="G6459" s="18"/>
      <c r="H6459" s="16" t="s">
        <v>87</v>
      </c>
      <c r="I6459" s="16" t="s">
        <v>87</v>
      </c>
      <c r="J6459" s="19"/>
      <c r="L6459" s="16" t="str">
        <f>IFERROR(__xludf.DUMMYFUNCTION("""COMPUTED_VALUE"""),"")</f>
        <v/>
      </c>
      <c r="M6459" s="16" t="str">
        <f>IFERROR(__xludf.DUMMYFUNCTION("""COMPUTED_VALUE"""),"")</f>
        <v/>
      </c>
      <c r="U6459" s="16" t="s">
        <v>87</v>
      </c>
      <c r="V6459" s="16" t="str">
        <f>IFERROR(__xludf.DUMMYFUNCTION("""COMPUTED_VALUE"""),"")</f>
        <v/>
      </c>
      <c r="W6459" s="16" t="str">
        <f>IFERROR(__xludf.DUMMYFUNCTION("""COMPUTED_VALUE"""),"")</f>
        <v/>
      </c>
      <c r="X6459" s="16" t="str">
        <f>IFERROR(__xludf.DUMMYFUNCTION("""COMPUTED_VALUE"""),"")</f>
        <v/>
      </c>
      <c r="AC6459" s="16" t="str">
        <f>IFERROR(__xludf.DUMMYFUNCTION("""COMPUTED_VALUE"""),"")</f>
        <v/>
      </c>
    </row>
    <row r="6460">
      <c r="A6460" s="16" t="s">
        <v>87</v>
      </c>
      <c r="E6460" s="16" t="str">
        <f>IFERROR(__xludf.DUMMYFUNCTION("""COMPUTED_VALUE"""),"")</f>
        <v/>
      </c>
      <c r="G6460" s="18"/>
      <c r="H6460" s="16" t="s">
        <v>87</v>
      </c>
      <c r="I6460" s="16" t="s">
        <v>87</v>
      </c>
      <c r="J6460" s="19"/>
      <c r="L6460" s="16" t="str">
        <f>IFERROR(__xludf.DUMMYFUNCTION("""COMPUTED_VALUE"""),"")</f>
        <v/>
      </c>
      <c r="M6460" s="16" t="str">
        <f>IFERROR(__xludf.DUMMYFUNCTION("""COMPUTED_VALUE"""),"")</f>
        <v/>
      </c>
      <c r="U6460" s="16" t="s">
        <v>87</v>
      </c>
      <c r="V6460" s="16" t="str">
        <f>IFERROR(__xludf.DUMMYFUNCTION("""COMPUTED_VALUE"""),"")</f>
        <v/>
      </c>
      <c r="W6460" s="16" t="str">
        <f>IFERROR(__xludf.DUMMYFUNCTION("""COMPUTED_VALUE"""),"")</f>
        <v/>
      </c>
      <c r="X6460" s="16" t="str">
        <f>IFERROR(__xludf.DUMMYFUNCTION("""COMPUTED_VALUE"""),"")</f>
        <v/>
      </c>
      <c r="AC6460" s="16" t="str">
        <f>IFERROR(__xludf.DUMMYFUNCTION("""COMPUTED_VALUE"""),"")</f>
        <v/>
      </c>
    </row>
    <row r="6461">
      <c r="A6461" s="16" t="s">
        <v>87</v>
      </c>
      <c r="E6461" s="16" t="str">
        <f>IFERROR(__xludf.DUMMYFUNCTION("""COMPUTED_VALUE"""),"")</f>
        <v/>
      </c>
      <c r="G6461" s="18"/>
      <c r="H6461" s="16" t="s">
        <v>87</v>
      </c>
      <c r="I6461" s="16" t="s">
        <v>87</v>
      </c>
      <c r="J6461" s="19"/>
      <c r="L6461" s="16" t="str">
        <f>IFERROR(__xludf.DUMMYFUNCTION("""COMPUTED_VALUE"""),"")</f>
        <v/>
      </c>
      <c r="M6461" s="16" t="str">
        <f>IFERROR(__xludf.DUMMYFUNCTION("""COMPUTED_VALUE"""),"")</f>
        <v/>
      </c>
      <c r="U6461" s="16" t="s">
        <v>87</v>
      </c>
      <c r="V6461" s="16" t="str">
        <f>IFERROR(__xludf.DUMMYFUNCTION("""COMPUTED_VALUE"""),"")</f>
        <v/>
      </c>
      <c r="W6461" s="16" t="str">
        <f>IFERROR(__xludf.DUMMYFUNCTION("""COMPUTED_VALUE"""),"")</f>
        <v/>
      </c>
      <c r="X6461" s="16" t="str">
        <f>IFERROR(__xludf.DUMMYFUNCTION("""COMPUTED_VALUE"""),"")</f>
        <v/>
      </c>
      <c r="AC6461" s="16" t="str">
        <f>IFERROR(__xludf.DUMMYFUNCTION("""COMPUTED_VALUE"""),"")</f>
        <v/>
      </c>
    </row>
    <row r="6462">
      <c r="A6462" s="16" t="s">
        <v>87</v>
      </c>
      <c r="E6462" s="16" t="str">
        <f>IFERROR(__xludf.DUMMYFUNCTION("""COMPUTED_VALUE"""),"")</f>
        <v/>
      </c>
      <c r="G6462" s="18"/>
      <c r="H6462" s="16" t="s">
        <v>87</v>
      </c>
      <c r="I6462" s="16" t="s">
        <v>87</v>
      </c>
      <c r="J6462" s="19"/>
      <c r="L6462" s="16" t="str">
        <f>IFERROR(__xludf.DUMMYFUNCTION("""COMPUTED_VALUE"""),"")</f>
        <v/>
      </c>
      <c r="M6462" s="16" t="str">
        <f>IFERROR(__xludf.DUMMYFUNCTION("""COMPUTED_VALUE"""),"")</f>
        <v/>
      </c>
      <c r="U6462" s="16" t="s">
        <v>87</v>
      </c>
      <c r="V6462" s="16" t="str">
        <f>IFERROR(__xludf.DUMMYFUNCTION("""COMPUTED_VALUE"""),"")</f>
        <v/>
      </c>
      <c r="W6462" s="16" t="str">
        <f>IFERROR(__xludf.DUMMYFUNCTION("""COMPUTED_VALUE"""),"")</f>
        <v/>
      </c>
      <c r="X6462" s="16" t="str">
        <f>IFERROR(__xludf.DUMMYFUNCTION("""COMPUTED_VALUE"""),"")</f>
        <v/>
      </c>
      <c r="AC6462" s="16" t="str">
        <f>IFERROR(__xludf.DUMMYFUNCTION("""COMPUTED_VALUE"""),"")</f>
        <v/>
      </c>
    </row>
    <row r="6463">
      <c r="A6463" s="16" t="s">
        <v>87</v>
      </c>
      <c r="E6463" s="16" t="str">
        <f>IFERROR(__xludf.DUMMYFUNCTION("""COMPUTED_VALUE"""),"")</f>
        <v/>
      </c>
      <c r="G6463" s="18"/>
      <c r="H6463" s="16" t="s">
        <v>87</v>
      </c>
      <c r="I6463" s="16" t="s">
        <v>87</v>
      </c>
      <c r="J6463" s="19"/>
      <c r="L6463" s="16" t="str">
        <f>IFERROR(__xludf.DUMMYFUNCTION("""COMPUTED_VALUE"""),"")</f>
        <v/>
      </c>
      <c r="M6463" s="16" t="str">
        <f>IFERROR(__xludf.DUMMYFUNCTION("""COMPUTED_VALUE"""),"")</f>
        <v/>
      </c>
      <c r="U6463" s="16" t="s">
        <v>87</v>
      </c>
      <c r="V6463" s="16" t="str">
        <f>IFERROR(__xludf.DUMMYFUNCTION("""COMPUTED_VALUE"""),"")</f>
        <v/>
      </c>
      <c r="W6463" s="16" t="str">
        <f>IFERROR(__xludf.DUMMYFUNCTION("""COMPUTED_VALUE"""),"")</f>
        <v/>
      </c>
      <c r="X6463" s="16" t="str">
        <f>IFERROR(__xludf.DUMMYFUNCTION("""COMPUTED_VALUE"""),"")</f>
        <v/>
      </c>
      <c r="AC6463" s="16" t="str">
        <f>IFERROR(__xludf.DUMMYFUNCTION("""COMPUTED_VALUE"""),"")</f>
        <v/>
      </c>
    </row>
    <row r="6464">
      <c r="A6464" s="16" t="s">
        <v>87</v>
      </c>
      <c r="E6464" s="16" t="str">
        <f>IFERROR(__xludf.DUMMYFUNCTION("""COMPUTED_VALUE"""),"")</f>
        <v/>
      </c>
      <c r="G6464" s="18"/>
      <c r="H6464" s="16" t="s">
        <v>87</v>
      </c>
      <c r="I6464" s="16" t="s">
        <v>87</v>
      </c>
      <c r="J6464" s="19"/>
      <c r="L6464" s="16" t="str">
        <f>IFERROR(__xludf.DUMMYFUNCTION("""COMPUTED_VALUE"""),"")</f>
        <v/>
      </c>
      <c r="M6464" s="16" t="str">
        <f>IFERROR(__xludf.DUMMYFUNCTION("""COMPUTED_VALUE"""),"")</f>
        <v/>
      </c>
      <c r="U6464" s="16" t="s">
        <v>87</v>
      </c>
      <c r="V6464" s="16" t="str">
        <f>IFERROR(__xludf.DUMMYFUNCTION("""COMPUTED_VALUE"""),"")</f>
        <v/>
      </c>
      <c r="W6464" s="16" t="str">
        <f>IFERROR(__xludf.DUMMYFUNCTION("""COMPUTED_VALUE"""),"")</f>
        <v/>
      </c>
      <c r="X6464" s="16" t="str">
        <f>IFERROR(__xludf.DUMMYFUNCTION("""COMPUTED_VALUE"""),"")</f>
        <v/>
      </c>
      <c r="AC6464" s="16" t="str">
        <f>IFERROR(__xludf.DUMMYFUNCTION("""COMPUTED_VALUE"""),"")</f>
        <v/>
      </c>
    </row>
    <row r="6465">
      <c r="A6465" s="16" t="s">
        <v>87</v>
      </c>
      <c r="E6465" s="16" t="str">
        <f>IFERROR(__xludf.DUMMYFUNCTION("""COMPUTED_VALUE"""),"")</f>
        <v/>
      </c>
      <c r="G6465" s="18"/>
      <c r="H6465" s="16" t="s">
        <v>87</v>
      </c>
      <c r="I6465" s="16" t="s">
        <v>87</v>
      </c>
      <c r="J6465" s="19"/>
      <c r="L6465" s="16" t="str">
        <f>IFERROR(__xludf.DUMMYFUNCTION("""COMPUTED_VALUE"""),"")</f>
        <v/>
      </c>
      <c r="M6465" s="16" t="str">
        <f>IFERROR(__xludf.DUMMYFUNCTION("""COMPUTED_VALUE"""),"")</f>
        <v/>
      </c>
      <c r="U6465" s="16" t="s">
        <v>87</v>
      </c>
      <c r="V6465" s="16" t="str">
        <f>IFERROR(__xludf.DUMMYFUNCTION("""COMPUTED_VALUE"""),"")</f>
        <v/>
      </c>
      <c r="W6465" s="16" t="str">
        <f>IFERROR(__xludf.DUMMYFUNCTION("""COMPUTED_VALUE"""),"")</f>
        <v/>
      </c>
      <c r="X6465" s="16" t="str">
        <f>IFERROR(__xludf.DUMMYFUNCTION("""COMPUTED_VALUE"""),"")</f>
        <v/>
      </c>
      <c r="AC6465" s="16" t="str">
        <f>IFERROR(__xludf.DUMMYFUNCTION("""COMPUTED_VALUE"""),"")</f>
        <v/>
      </c>
    </row>
    <row r="6466">
      <c r="A6466" s="16" t="s">
        <v>87</v>
      </c>
      <c r="E6466" s="16" t="str">
        <f>IFERROR(__xludf.DUMMYFUNCTION("""COMPUTED_VALUE"""),"")</f>
        <v/>
      </c>
      <c r="G6466" s="18"/>
      <c r="H6466" s="16" t="s">
        <v>87</v>
      </c>
      <c r="I6466" s="16" t="s">
        <v>87</v>
      </c>
      <c r="J6466" s="19"/>
      <c r="L6466" s="16" t="str">
        <f>IFERROR(__xludf.DUMMYFUNCTION("""COMPUTED_VALUE"""),"")</f>
        <v/>
      </c>
      <c r="M6466" s="16" t="str">
        <f>IFERROR(__xludf.DUMMYFUNCTION("""COMPUTED_VALUE"""),"")</f>
        <v/>
      </c>
      <c r="U6466" s="16" t="s">
        <v>87</v>
      </c>
      <c r="V6466" s="16" t="str">
        <f>IFERROR(__xludf.DUMMYFUNCTION("""COMPUTED_VALUE"""),"")</f>
        <v/>
      </c>
      <c r="W6466" s="16" t="str">
        <f>IFERROR(__xludf.DUMMYFUNCTION("""COMPUTED_VALUE"""),"")</f>
        <v/>
      </c>
      <c r="X6466" s="16" t="str">
        <f>IFERROR(__xludf.DUMMYFUNCTION("""COMPUTED_VALUE"""),"")</f>
        <v/>
      </c>
      <c r="AC6466" s="16" t="str">
        <f>IFERROR(__xludf.DUMMYFUNCTION("""COMPUTED_VALUE"""),"")</f>
        <v/>
      </c>
    </row>
    <row r="6467">
      <c r="A6467" s="16" t="s">
        <v>87</v>
      </c>
      <c r="E6467" s="16" t="str">
        <f>IFERROR(__xludf.DUMMYFUNCTION("""COMPUTED_VALUE"""),"")</f>
        <v/>
      </c>
      <c r="G6467" s="18"/>
      <c r="H6467" s="16" t="s">
        <v>87</v>
      </c>
      <c r="I6467" s="16" t="s">
        <v>87</v>
      </c>
      <c r="J6467" s="19"/>
      <c r="L6467" s="16" t="str">
        <f>IFERROR(__xludf.DUMMYFUNCTION("""COMPUTED_VALUE"""),"")</f>
        <v/>
      </c>
      <c r="M6467" s="16" t="str">
        <f>IFERROR(__xludf.DUMMYFUNCTION("""COMPUTED_VALUE"""),"")</f>
        <v/>
      </c>
      <c r="U6467" s="16" t="s">
        <v>87</v>
      </c>
      <c r="V6467" s="16" t="str">
        <f>IFERROR(__xludf.DUMMYFUNCTION("""COMPUTED_VALUE"""),"")</f>
        <v/>
      </c>
      <c r="W6467" s="16" t="str">
        <f>IFERROR(__xludf.DUMMYFUNCTION("""COMPUTED_VALUE"""),"")</f>
        <v/>
      </c>
      <c r="X6467" s="16" t="str">
        <f>IFERROR(__xludf.DUMMYFUNCTION("""COMPUTED_VALUE"""),"")</f>
        <v/>
      </c>
      <c r="AC6467" s="16" t="str">
        <f>IFERROR(__xludf.DUMMYFUNCTION("""COMPUTED_VALUE"""),"")</f>
        <v/>
      </c>
    </row>
    <row r="6468">
      <c r="A6468" s="16" t="s">
        <v>87</v>
      </c>
      <c r="E6468" s="16" t="str">
        <f>IFERROR(__xludf.DUMMYFUNCTION("""COMPUTED_VALUE"""),"")</f>
        <v/>
      </c>
      <c r="G6468" s="18"/>
      <c r="H6468" s="16" t="s">
        <v>87</v>
      </c>
      <c r="I6468" s="16" t="s">
        <v>87</v>
      </c>
      <c r="J6468" s="19"/>
      <c r="L6468" s="16" t="str">
        <f>IFERROR(__xludf.DUMMYFUNCTION("""COMPUTED_VALUE"""),"")</f>
        <v/>
      </c>
      <c r="M6468" s="16" t="str">
        <f>IFERROR(__xludf.DUMMYFUNCTION("""COMPUTED_VALUE"""),"")</f>
        <v/>
      </c>
      <c r="U6468" s="16" t="s">
        <v>87</v>
      </c>
      <c r="V6468" s="16" t="str">
        <f>IFERROR(__xludf.DUMMYFUNCTION("""COMPUTED_VALUE"""),"")</f>
        <v/>
      </c>
      <c r="W6468" s="16" t="str">
        <f>IFERROR(__xludf.DUMMYFUNCTION("""COMPUTED_VALUE"""),"")</f>
        <v/>
      </c>
      <c r="X6468" s="16" t="str">
        <f>IFERROR(__xludf.DUMMYFUNCTION("""COMPUTED_VALUE"""),"")</f>
        <v/>
      </c>
      <c r="AC6468" s="16" t="str">
        <f>IFERROR(__xludf.DUMMYFUNCTION("""COMPUTED_VALUE"""),"")</f>
        <v/>
      </c>
    </row>
    <row r="6469">
      <c r="A6469" s="16" t="s">
        <v>87</v>
      </c>
      <c r="E6469" s="16" t="str">
        <f>IFERROR(__xludf.DUMMYFUNCTION("""COMPUTED_VALUE"""),"")</f>
        <v/>
      </c>
      <c r="G6469" s="18"/>
      <c r="H6469" s="16" t="s">
        <v>87</v>
      </c>
      <c r="I6469" s="16" t="s">
        <v>87</v>
      </c>
      <c r="J6469" s="19"/>
      <c r="L6469" s="16" t="str">
        <f>IFERROR(__xludf.DUMMYFUNCTION("""COMPUTED_VALUE"""),"")</f>
        <v/>
      </c>
      <c r="M6469" s="16" t="str">
        <f>IFERROR(__xludf.DUMMYFUNCTION("""COMPUTED_VALUE"""),"")</f>
        <v/>
      </c>
      <c r="U6469" s="16" t="s">
        <v>87</v>
      </c>
      <c r="V6469" s="16" t="str">
        <f>IFERROR(__xludf.DUMMYFUNCTION("""COMPUTED_VALUE"""),"")</f>
        <v/>
      </c>
      <c r="W6469" s="16" t="str">
        <f>IFERROR(__xludf.DUMMYFUNCTION("""COMPUTED_VALUE"""),"")</f>
        <v/>
      </c>
      <c r="X6469" s="16" t="str">
        <f>IFERROR(__xludf.DUMMYFUNCTION("""COMPUTED_VALUE"""),"")</f>
        <v/>
      </c>
      <c r="AC6469" s="16" t="str">
        <f>IFERROR(__xludf.DUMMYFUNCTION("""COMPUTED_VALUE"""),"")</f>
        <v/>
      </c>
    </row>
    <row r="6470">
      <c r="A6470" s="16" t="s">
        <v>87</v>
      </c>
      <c r="E6470" s="16" t="str">
        <f>IFERROR(__xludf.DUMMYFUNCTION("""COMPUTED_VALUE"""),"")</f>
        <v/>
      </c>
      <c r="G6470" s="18"/>
      <c r="H6470" s="16" t="s">
        <v>87</v>
      </c>
      <c r="I6470" s="16" t="s">
        <v>87</v>
      </c>
      <c r="J6470" s="19"/>
      <c r="L6470" s="16" t="str">
        <f>IFERROR(__xludf.DUMMYFUNCTION("""COMPUTED_VALUE"""),"")</f>
        <v/>
      </c>
      <c r="M6470" s="16" t="str">
        <f>IFERROR(__xludf.DUMMYFUNCTION("""COMPUTED_VALUE"""),"")</f>
        <v/>
      </c>
      <c r="U6470" s="16" t="s">
        <v>87</v>
      </c>
      <c r="V6470" s="16" t="str">
        <f>IFERROR(__xludf.DUMMYFUNCTION("""COMPUTED_VALUE"""),"")</f>
        <v/>
      </c>
      <c r="W6470" s="16" t="str">
        <f>IFERROR(__xludf.DUMMYFUNCTION("""COMPUTED_VALUE"""),"")</f>
        <v/>
      </c>
      <c r="X6470" s="16" t="str">
        <f>IFERROR(__xludf.DUMMYFUNCTION("""COMPUTED_VALUE"""),"")</f>
        <v/>
      </c>
      <c r="AC6470" s="16" t="str">
        <f>IFERROR(__xludf.DUMMYFUNCTION("""COMPUTED_VALUE"""),"")</f>
        <v/>
      </c>
    </row>
    <row r="6471">
      <c r="A6471" s="16" t="s">
        <v>87</v>
      </c>
      <c r="E6471" s="16" t="str">
        <f>IFERROR(__xludf.DUMMYFUNCTION("""COMPUTED_VALUE"""),"")</f>
        <v/>
      </c>
      <c r="G6471" s="18"/>
      <c r="H6471" s="16" t="s">
        <v>87</v>
      </c>
      <c r="I6471" s="16" t="s">
        <v>87</v>
      </c>
      <c r="J6471" s="19"/>
      <c r="L6471" s="16" t="str">
        <f>IFERROR(__xludf.DUMMYFUNCTION("""COMPUTED_VALUE"""),"")</f>
        <v/>
      </c>
      <c r="M6471" s="16" t="str">
        <f>IFERROR(__xludf.DUMMYFUNCTION("""COMPUTED_VALUE"""),"")</f>
        <v/>
      </c>
      <c r="U6471" s="16" t="s">
        <v>87</v>
      </c>
      <c r="V6471" s="16" t="str">
        <f>IFERROR(__xludf.DUMMYFUNCTION("""COMPUTED_VALUE"""),"")</f>
        <v/>
      </c>
      <c r="W6471" s="16" t="str">
        <f>IFERROR(__xludf.DUMMYFUNCTION("""COMPUTED_VALUE"""),"")</f>
        <v/>
      </c>
      <c r="X6471" s="16" t="str">
        <f>IFERROR(__xludf.DUMMYFUNCTION("""COMPUTED_VALUE"""),"")</f>
        <v/>
      </c>
      <c r="AC6471" s="16" t="str">
        <f>IFERROR(__xludf.DUMMYFUNCTION("""COMPUTED_VALUE"""),"")</f>
        <v/>
      </c>
    </row>
    <row r="6472">
      <c r="A6472" s="16" t="s">
        <v>87</v>
      </c>
      <c r="E6472" s="16" t="str">
        <f>IFERROR(__xludf.DUMMYFUNCTION("""COMPUTED_VALUE"""),"")</f>
        <v/>
      </c>
      <c r="G6472" s="18"/>
      <c r="H6472" s="16" t="s">
        <v>87</v>
      </c>
      <c r="I6472" s="16" t="s">
        <v>87</v>
      </c>
      <c r="J6472" s="19"/>
      <c r="L6472" s="16" t="str">
        <f>IFERROR(__xludf.DUMMYFUNCTION("""COMPUTED_VALUE"""),"")</f>
        <v/>
      </c>
      <c r="M6472" s="16" t="str">
        <f>IFERROR(__xludf.DUMMYFUNCTION("""COMPUTED_VALUE"""),"")</f>
        <v/>
      </c>
      <c r="U6472" s="16" t="s">
        <v>87</v>
      </c>
      <c r="V6472" s="16" t="str">
        <f>IFERROR(__xludf.DUMMYFUNCTION("""COMPUTED_VALUE"""),"")</f>
        <v/>
      </c>
      <c r="W6472" s="16" t="str">
        <f>IFERROR(__xludf.DUMMYFUNCTION("""COMPUTED_VALUE"""),"")</f>
        <v/>
      </c>
      <c r="X6472" s="16" t="str">
        <f>IFERROR(__xludf.DUMMYFUNCTION("""COMPUTED_VALUE"""),"")</f>
        <v/>
      </c>
      <c r="AC6472" s="16" t="str">
        <f>IFERROR(__xludf.DUMMYFUNCTION("""COMPUTED_VALUE"""),"")</f>
        <v/>
      </c>
    </row>
    <row r="6473">
      <c r="A6473" s="16" t="s">
        <v>87</v>
      </c>
      <c r="E6473" s="16" t="str">
        <f>IFERROR(__xludf.DUMMYFUNCTION("""COMPUTED_VALUE"""),"")</f>
        <v/>
      </c>
      <c r="G6473" s="18"/>
      <c r="H6473" s="16" t="s">
        <v>87</v>
      </c>
      <c r="I6473" s="16" t="s">
        <v>87</v>
      </c>
      <c r="J6473" s="19"/>
      <c r="L6473" s="16" t="str">
        <f>IFERROR(__xludf.DUMMYFUNCTION("""COMPUTED_VALUE"""),"")</f>
        <v/>
      </c>
      <c r="M6473" s="16" t="str">
        <f>IFERROR(__xludf.DUMMYFUNCTION("""COMPUTED_VALUE"""),"")</f>
        <v/>
      </c>
      <c r="U6473" s="16" t="s">
        <v>87</v>
      </c>
      <c r="V6473" s="16" t="str">
        <f>IFERROR(__xludf.DUMMYFUNCTION("""COMPUTED_VALUE"""),"")</f>
        <v/>
      </c>
      <c r="W6473" s="16" t="str">
        <f>IFERROR(__xludf.DUMMYFUNCTION("""COMPUTED_VALUE"""),"")</f>
        <v/>
      </c>
      <c r="X6473" s="16" t="str">
        <f>IFERROR(__xludf.DUMMYFUNCTION("""COMPUTED_VALUE"""),"")</f>
        <v/>
      </c>
      <c r="AC6473" s="16" t="str">
        <f>IFERROR(__xludf.DUMMYFUNCTION("""COMPUTED_VALUE"""),"")</f>
        <v/>
      </c>
    </row>
    <row r="6474">
      <c r="A6474" s="16" t="s">
        <v>87</v>
      </c>
      <c r="E6474" s="16" t="str">
        <f>IFERROR(__xludf.DUMMYFUNCTION("""COMPUTED_VALUE"""),"")</f>
        <v/>
      </c>
      <c r="G6474" s="18"/>
      <c r="H6474" s="16" t="s">
        <v>87</v>
      </c>
      <c r="I6474" s="16" t="s">
        <v>87</v>
      </c>
      <c r="J6474" s="19"/>
      <c r="L6474" s="16" t="str">
        <f>IFERROR(__xludf.DUMMYFUNCTION("""COMPUTED_VALUE"""),"")</f>
        <v/>
      </c>
      <c r="M6474" s="16" t="str">
        <f>IFERROR(__xludf.DUMMYFUNCTION("""COMPUTED_VALUE"""),"")</f>
        <v/>
      </c>
      <c r="U6474" s="16" t="s">
        <v>87</v>
      </c>
      <c r="V6474" s="16" t="str">
        <f>IFERROR(__xludf.DUMMYFUNCTION("""COMPUTED_VALUE"""),"")</f>
        <v/>
      </c>
      <c r="W6474" s="16" t="str">
        <f>IFERROR(__xludf.DUMMYFUNCTION("""COMPUTED_VALUE"""),"")</f>
        <v/>
      </c>
      <c r="X6474" s="16" t="str">
        <f>IFERROR(__xludf.DUMMYFUNCTION("""COMPUTED_VALUE"""),"")</f>
        <v/>
      </c>
      <c r="AC6474" s="16" t="str">
        <f>IFERROR(__xludf.DUMMYFUNCTION("""COMPUTED_VALUE"""),"")</f>
        <v/>
      </c>
    </row>
    <row r="6475">
      <c r="A6475" s="16" t="s">
        <v>87</v>
      </c>
      <c r="E6475" s="16" t="str">
        <f>IFERROR(__xludf.DUMMYFUNCTION("""COMPUTED_VALUE"""),"")</f>
        <v/>
      </c>
      <c r="G6475" s="18"/>
      <c r="H6475" s="16" t="s">
        <v>87</v>
      </c>
      <c r="I6475" s="16" t="s">
        <v>87</v>
      </c>
      <c r="J6475" s="19"/>
      <c r="L6475" s="16" t="str">
        <f>IFERROR(__xludf.DUMMYFUNCTION("""COMPUTED_VALUE"""),"")</f>
        <v/>
      </c>
      <c r="M6475" s="16" t="str">
        <f>IFERROR(__xludf.DUMMYFUNCTION("""COMPUTED_VALUE"""),"")</f>
        <v/>
      </c>
      <c r="U6475" s="16" t="s">
        <v>87</v>
      </c>
      <c r="V6475" s="16" t="str">
        <f>IFERROR(__xludf.DUMMYFUNCTION("""COMPUTED_VALUE"""),"")</f>
        <v/>
      </c>
      <c r="W6475" s="16" t="str">
        <f>IFERROR(__xludf.DUMMYFUNCTION("""COMPUTED_VALUE"""),"")</f>
        <v/>
      </c>
      <c r="X6475" s="16" t="str">
        <f>IFERROR(__xludf.DUMMYFUNCTION("""COMPUTED_VALUE"""),"")</f>
        <v/>
      </c>
      <c r="AC6475" s="16" t="str">
        <f>IFERROR(__xludf.DUMMYFUNCTION("""COMPUTED_VALUE"""),"")</f>
        <v/>
      </c>
    </row>
    <row r="6476">
      <c r="A6476" s="16" t="s">
        <v>87</v>
      </c>
      <c r="E6476" s="16" t="str">
        <f>IFERROR(__xludf.DUMMYFUNCTION("""COMPUTED_VALUE"""),"")</f>
        <v/>
      </c>
      <c r="G6476" s="18"/>
      <c r="H6476" s="16" t="s">
        <v>87</v>
      </c>
      <c r="I6476" s="16" t="s">
        <v>87</v>
      </c>
      <c r="J6476" s="19"/>
      <c r="L6476" s="16" t="str">
        <f>IFERROR(__xludf.DUMMYFUNCTION("""COMPUTED_VALUE"""),"")</f>
        <v/>
      </c>
      <c r="M6476" s="16" t="str">
        <f>IFERROR(__xludf.DUMMYFUNCTION("""COMPUTED_VALUE"""),"")</f>
        <v/>
      </c>
      <c r="U6476" s="16" t="s">
        <v>87</v>
      </c>
      <c r="V6476" s="16" t="str">
        <f>IFERROR(__xludf.DUMMYFUNCTION("""COMPUTED_VALUE"""),"")</f>
        <v/>
      </c>
      <c r="W6476" s="16" t="str">
        <f>IFERROR(__xludf.DUMMYFUNCTION("""COMPUTED_VALUE"""),"")</f>
        <v/>
      </c>
      <c r="X6476" s="16" t="str">
        <f>IFERROR(__xludf.DUMMYFUNCTION("""COMPUTED_VALUE"""),"")</f>
        <v/>
      </c>
      <c r="AC6476" s="16" t="str">
        <f>IFERROR(__xludf.DUMMYFUNCTION("""COMPUTED_VALUE"""),"")</f>
        <v/>
      </c>
    </row>
    <row r="6477">
      <c r="A6477" s="16" t="s">
        <v>87</v>
      </c>
      <c r="E6477" s="16" t="str">
        <f>IFERROR(__xludf.DUMMYFUNCTION("""COMPUTED_VALUE"""),"")</f>
        <v/>
      </c>
      <c r="G6477" s="18"/>
      <c r="H6477" s="16" t="s">
        <v>87</v>
      </c>
      <c r="I6477" s="16" t="s">
        <v>87</v>
      </c>
      <c r="J6477" s="19"/>
      <c r="L6477" s="16" t="str">
        <f>IFERROR(__xludf.DUMMYFUNCTION("""COMPUTED_VALUE"""),"")</f>
        <v/>
      </c>
      <c r="M6477" s="16" t="str">
        <f>IFERROR(__xludf.DUMMYFUNCTION("""COMPUTED_VALUE"""),"")</f>
        <v/>
      </c>
      <c r="U6477" s="16" t="s">
        <v>87</v>
      </c>
      <c r="V6477" s="16" t="str">
        <f>IFERROR(__xludf.DUMMYFUNCTION("""COMPUTED_VALUE"""),"")</f>
        <v/>
      </c>
      <c r="W6477" s="16" t="str">
        <f>IFERROR(__xludf.DUMMYFUNCTION("""COMPUTED_VALUE"""),"")</f>
        <v/>
      </c>
      <c r="X6477" s="16" t="str">
        <f>IFERROR(__xludf.DUMMYFUNCTION("""COMPUTED_VALUE"""),"")</f>
        <v/>
      </c>
      <c r="AC6477" s="16" t="str">
        <f>IFERROR(__xludf.DUMMYFUNCTION("""COMPUTED_VALUE"""),"")</f>
        <v/>
      </c>
    </row>
    <row r="6478">
      <c r="A6478" s="16" t="s">
        <v>87</v>
      </c>
      <c r="E6478" s="16" t="str">
        <f>IFERROR(__xludf.DUMMYFUNCTION("""COMPUTED_VALUE"""),"")</f>
        <v/>
      </c>
      <c r="G6478" s="18"/>
      <c r="H6478" s="16" t="s">
        <v>87</v>
      </c>
      <c r="I6478" s="16" t="s">
        <v>87</v>
      </c>
      <c r="J6478" s="19"/>
      <c r="L6478" s="16" t="str">
        <f>IFERROR(__xludf.DUMMYFUNCTION("""COMPUTED_VALUE"""),"")</f>
        <v/>
      </c>
      <c r="M6478" s="16" t="str">
        <f>IFERROR(__xludf.DUMMYFUNCTION("""COMPUTED_VALUE"""),"")</f>
        <v/>
      </c>
      <c r="U6478" s="16" t="s">
        <v>87</v>
      </c>
      <c r="V6478" s="16" t="str">
        <f>IFERROR(__xludf.DUMMYFUNCTION("""COMPUTED_VALUE"""),"")</f>
        <v/>
      </c>
      <c r="W6478" s="16" t="str">
        <f>IFERROR(__xludf.DUMMYFUNCTION("""COMPUTED_VALUE"""),"")</f>
        <v/>
      </c>
      <c r="X6478" s="16" t="str">
        <f>IFERROR(__xludf.DUMMYFUNCTION("""COMPUTED_VALUE"""),"")</f>
        <v/>
      </c>
      <c r="AC6478" s="16" t="str">
        <f>IFERROR(__xludf.DUMMYFUNCTION("""COMPUTED_VALUE"""),"")</f>
        <v/>
      </c>
    </row>
    <row r="6479">
      <c r="A6479" s="16" t="s">
        <v>87</v>
      </c>
      <c r="E6479" s="16" t="str">
        <f>IFERROR(__xludf.DUMMYFUNCTION("""COMPUTED_VALUE"""),"")</f>
        <v/>
      </c>
      <c r="G6479" s="18"/>
      <c r="H6479" s="16" t="s">
        <v>87</v>
      </c>
      <c r="I6479" s="16" t="s">
        <v>87</v>
      </c>
      <c r="J6479" s="19"/>
      <c r="L6479" s="16" t="str">
        <f>IFERROR(__xludf.DUMMYFUNCTION("""COMPUTED_VALUE"""),"")</f>
        <v/>
      </c>
      <c r="M6479" s="16" t="str">
        <f>IFERROR(__xludf.DUMMYFUNCTION("""COMPUTED_VALUE"""),"")</f>
        <v/>
      </c>
      <c r="U6479" s="16" t="s">
        <v>87</v>
      </c>
      <c r="V6479" s="16" t="str">
        <f>IFERROR(__xludf.DUMMYFUNCTION("""COMPUTED_VALUE"""),"")</f>
        <v/>
      </c>
      <c r="W6479" s="16" t="str">
        <f>IFERROR(__xludf.DUMMYFUNCTION("""COMPUTED_VALUE"""),"")</f>
        <v/>
      </c>
      <c r="X6479" s="16" t="str">
        <f>IFERROR(__xludf.DUMMYFUNCTION("""COMPUTED_VALUE"""),"")</f>
        <v/>
      </c>
      <c r="AC6479" s="16" t="str">
        <f>IFERROR(__xludf.DUMMYFUNCTION("""COMPUTED_VALUE"""),"")</f>
        <v/>
      </c>
    </row>
    <row r="6480">
      <c r="A6480" s="16" t="s">
        <v>87</v>
      </c>
      <c r="E6480" s="16" t="str">
        <f>IFERROR(__xludf.DUMMYFUNCTION("""COMPUTED_VALUE"""),"")</f>
        <v/>
      </c>
      <c r="G6480" s="18"/>
      <c r="H6480" s="16" t="s">
        <v>87</v>
      </c>
      <c r="I6480" s="16" t="s">
        <v>87</v>
      </c>
      <c r="J6480" s="19"/>
      <c r="L6480" s="16" t="str">
        <f>IFERROR(__xludf.DUMMYFUNCTION("""COMPUTED_VALUE"""),"")</f>
        <v/>
      </c>
      <c r="M6480" s="16" t="str">
        <f>IFERROR(__xludf.DUMMYFUNCTION("""COMPUTED_VALUE"""),"")</f>
        <v/>
      </c>
      <c r="U6480" s="16" t="s">
        <v>87</v>
      </c>
      <c r="V6480" s="16" t="str">
        <f>IFERROR(__xludf.DUMMYFUNCTION("""COMPUTED_VALUE"""),"")</f>
        <v/>
      </c>
      <c r="W6480" s="16" t="str">
        <f>IFERROR(__xludf.DUMMYFUNCTION("""COMPUTED_VALUE"""),"")</f>
        <v/>
      </c>
      <c r="X6480" s="16" t="str">
        <f>IFERROR(__xludf.DUMMYFUNCTION("""COMPUTED_VALUE"""),"")</f>
        <v/>
      </c>
      <c r="AC6480" s="16" t="str">
        <f>IFERROR(__xludf.DUMMYFUNCTION("""COMPUTED_VALUE"""),"")</f>
        <v/>
      </c>
    </row>
    <row r="6481">
      <c r="A6481" s="16" t="s">
        <v>87</v>
      </c>
      <c r="E6481" s="16" t="str">
        <f>IFERROR(__xludf.DUMMYFUNCTION("""COMPUTED_VALUE"""),"")</f>
        <v/>
      </c>
      <c r="G6481" s="18"/>
      <c r="H6481" s="16" t="s">
        <v>87</v>
      </c>
      <c r="I6481" s="16" t="s">
        <v>87</v>
      </c>
      <c r="J6481" s="19"/>
      <c r="L6481" s="16" t="str">
        <f>IFERROR(__xludf.DUMMYFUNCTION("""COMPUTED_VALUE"""),"")</f>
        <v/>
      </c>
      <c r="M6481" s="16" t="str">
        <f>IFERROR(__xludf.DUMMYFUNCTION("""COMPUTED_VALUE"""),"")</f>
        <v/>
      </c>
      <c r="U6481" s="16" t="s">
        <v>87</v>
      </c>
      <c r="V6481" s="16" t="str">
        <f>IFERROR(__xludf.DUMMYFUNCTION("""COMPUTED_VALUE"""),"")</f>
        <v/>
      </c>
      <c r="W6481" s="16" t="str">
        <f>IFERROR(__xludf.DUMMYFUNCTION("""COMPUTED_VALUE"""),"")</f>
        <v/>
      </c>
      <c r="X6481" s="16" t="str">
        <f>IFERROR(__xludf.DUMMYFUNCTION("""COMPUTED_VALUE"""),"")</f>
        <v/>
      </c>
      <c r="AC6481" s="16" t="str">
        <f>IFERROR(__xludf.DUMMYFUNCTION("""COMPUTED_VALUE"""),"")</f>
        <v/>
      </c>
    </row>
    <row r="6482">
      <c r="A6482" s="16" t="s">
        <v>87</v>
      </c>
      <c r="E6482" s="16" t="str">
        <f>IFERROR(__xludf.DUMMYFUNCTION("""COMPUTED_VALUE"""),"")</f>
        <v/>
      </c>
      <c r="G6482" s="18"/>
      <c r="H6482" s="16" t="s">
        <v>87</v>
      </c>
      <c r="I6482" s="16" t="s">
        <v>87</v>
      </c>
      <c r="J6482" s="19"/>
      <c r="L6482" s="16" t="str">
        <f>IFERROR(__xludf.DUMMYFUNCTION("""COMPUTED_VALUE"""),"")</f>
        <v/>
      </c>
      <c r="M6482" s="16" t="str">
        <f>IFERROR(__xludf.DUMMYFUNCTION("""COMPUTED_VALUE"""),"")</f>
        <v/>
      </c>
      <c r="U6482" s="16" t="s">
        <v>87</v>
      </c>
      <c r="V6482" s="16" t="str">
        <f>IFERROR(__xludf.DUMMYFUNCTION("""COMPUTED_VALUE"""),"")</f>
        <v/>
      </c>
      <c r="W6482" s="16" t="str">
        <f>IFERROR(__xludf.DUMMYFUNCTION("""COMPUTED_VALUE"""),"")</f>
        <v/>
      </c>
      <c r="X6482" s="16" t="str">
        <f>IFERROR(__xludf.DUMMYFUNCTION("""COMPUTED_VALUE"""),"")</f>
        <v/>
      </c>
      <c r="AC6482" s="16" t="str">
        <f>IFERROR(__xludf.DUMMYFUNCTION("""COMPUTED_VALUE"""),"")</f>
        <v/>
      </c>
    </row>
    <row r="6483">
      <c r="A6483" s="16" t="s">
        <v>87</v>
      </c>
      <c r="E6483" s="16" t="str">
        <f>IFERROR(__xludf.DUMMYFUNCTION("""COMPUTED_VALUE"""),"")</f>
        <v/>
      </c>
      <c r="G6483" s="18"/>
      <c r="H6483" s="16" t="s">
        <v>87</v>
      </c>
      <c r="I6483" s="16" t="s">
        <v>87</v>
      </c>
      <c r="J6483" s="19"/>
      <c r="L6483" s="16" t="str">
        <f>IFERROR(__xludf.DUMMYFUNCTION("""COMPUTED_VALUE"""),"")</f>
        <v/>
      </c>
      <c r="M6483" s="16" t="str">
        <f>IFERROR(__xludf.DUMMYFUNCTION("""COMPUTED_VALUE"""),"")</f>
        <v/>
      </c>
      <c r="U6483" s="16" t="s">
        <v>87</v>
      </c>
      <c r="V6483" s="16" t="str">
        <f>IFERROR(__xludf.DUMMYFUNCTION("""COMPUTED_VALUE"""),"")</f>
        <v/>
      </c>
      <c r="W6483" s="16" t="str">
        <f>IFERROR(__xludf.DUMMYFUNCTION("""COMPUTED_VALUE"""),"")</f>
        <v/>
      </c>
      <c r="X6483" s="16" t="str">
        <f>IFERROR(__xludf.DUMMYFUNCTION("""COMPUTED_VALUE"""),"")</f>
        <v/>
      </c>
      <c r="AC6483" s="16" t="str">
        <f>IFERROR(__xludf.DUMMYFUNCTION("""COMPUTED_VALUE"""),"")</f>
        <v/>
      </c>
    </row>
    <row r="6484">
      <c r="A6484" s="16" t="s">
        <v>87</v>
      </c>
      <c r="E6484" s="16" t="str">
        <f>IFERROR(__xludf.DUMMYFUNCTION("""COMPUTED_VALUE"""),"")</f>
        <v/>
      </c>
      <c r="G6484" s="18"/>
      <c r="H6484" s="16" t="s">
        <v>87</v>
      </c>
      <c r="I6484" s="16" t="s">
        <v>87</v>
      </c>
      <c r="J6484" s="19"/>
      <c r="L6484" s="16" t="str">
        <f>IFERROR(__xludf.DUMMYFUNCTION("""COMPUTED_VALUE"""),"")</f>
        <v/>
      </c>
      <c r="M6484" s="16" t="str">
        <f>IFERROR(__xludf.DUMMYFUNCTION("""COMPUTED_VALUE"""),"")</f>
        <v/>
      </c>
      <c r="U6484" s="16" t="s">
        <v>87</v>
      </c>
      <c r="V6484" s="16" t="str">
        <f>IFERROR(__xludf.DUMMYFUNCTION("""COMPUTED_VALUE"""),"")</f>
        <v/>
      </c>
      <c r="W6484" s="16" t="str">
        <f>IFERROR(__xludf.DUMMYFUNCTION("""COMPUTED_VALUE"""),"")</f>
        <v/>
      </c>
      <c r="X6484" s="16" t="str">
        <f>IFERROR(__xludf.DUMMYFUNCTION("""COMPUTED_VALUE"""),"")</f>
        <v/>
      </c>
      <c r="AC6484" s="16" t="str">
        <f>IFERROR(__xludf.DUMMYFUNCTION("""COMPUTED_VALUE"""),"")</f>
        <v/>
      </c>
    </row>
    <row r="6485">
      <c r="A6485" s="16" t="s">
        <v>87</v>
      </c>
      <c r="E6485" s="16" t="str">
        <f>IFERROR(__xludf.DUMMYFUNCTION("""COMPUTED_VALUE"""),"")</f>
        <v/>
      </c>
      <c r="G6485" s="18"/>
      <c r="H6485" s="16" t="s">
        <v>87</v>
      </c>
      <c r="I6485" s="16" t="s">
        <v>87</v>
      </c>
      <c r="J6485" s="19"/>
      <c r="L6485" s="16" t="str">
        <f>IFERROR(__xludf.DUMMYFUNCTION("""COMPUTED_VALUE"""),"")</f>
        <v/>
      </c>
      <c r="M6485" s="16" t="str">
        <f>IFERROR(__xludf.DUMMYFUNCTION("""COMPUTED_VALUE"""),"")</f>
        <v/>
      </c>
      <c r="U6485" s="16" t="s">
        <v>87</v>
      </c>
      <c r="V6485" s="16" t="str">
        <f>IFERROR(__xludf.DUMMYFUNCTION("""COMPUTED_VALUE"""),"")</f>
        <v/>
      </c>
      <c r="W6485" s="16" t="str">
        <f>IFERROR(__xludf.DUMMYFUNCTION("""COMPUTED_VALUE"""),"")</f>
        <v/>
      </c>
      <c r="X6485" s="16" t="str">
        <f>IFERROR(__xludf.DUMMYFUNCTION("""COMPUTED_VALUE"""),"")</f>
        <v/>
      </c>
      <c r="AC6485" s="16" t="str">
        <f>IFERROR(__xludf.DUMMYFUNCTION("""COMPUTED_VALUE"""),"")</f>
        <v/>
      </c>
    </row>
    <row r="6486">
      <c r="A6486" s="16" t="s">
        <v>87</v>
      </c>
      <c r="E6486" s="16" t="str">
        <f>IFERROR(__xludf.DUMMYFUNCTION("""COMPUTED_VALUE"""),"")</f>
        <v/>
      </c>
      <c r="G6486" s="18"/>
      <c r="H6486" s="16" t="s">
        <v>87</v>
      </c>
      <c r="I6486" s="16" t="s">
        <v>87</v>
      </c>
      <c r="J6486" s="19"/>
      <c r="L6486" s="16" t="str">
        <f>IFERROR(__xludf.DUMMYFUNCTION("""COMPUTED_VALUE"""),"")</f>
        <v/>
      </c>
      <c r="M6486" s="16" t="str">
        <f>IFERROR(__xludf.DUMMYFUNCTION("""COMPUTED_VALUE"""),"")</f>
        <v/>
      </c>
      <c r="U6486" s="16" t="s">
        <v>87</v>
      </c>
      <c r="V6486" s="16" t="str">
        <f>IFERROR(__xludf.DUMMYFUNCTION("""COMPUTED_VALUE"""),"")</f>
        <v/>
      </c>
      <c r="W6486" s="16" t="str">
        <f>IFERROR(__xludf.DUMMYFUNCTION("""COMPUTED_VALUE"""),"")</f>
        <v/>
      </c>
      <c r="X6486" s="16" t="str">
        <f>IFERROR(__xludf.DUMMYFUNCTION("""COMPUTED_VALUE"""),"")</f>
        <v/>
      </c>
      <c r="AC6486" s="16" t="str">
        <f>IFERROR(__xludf.DUMMYFUNCTION("""COMPUTED_VALUE"""),"")</f>
        <v/>
      </c>
    </row>
    <row r="6487">
      <c r="A6487" s="16" t="s">
        <v>87</v>
      </c>
      <c r="E6487" s="16" t="str">
        <f>IFERROR(__xludf.DUMMYFUNCTION("""COMPUTED_VALUE"""),"")</f>
        <v/>
      </c>
      <c r="G6487" s="18"/>
      <c r="H6487" s="16" t="s">
        <v>87</v>
      </c>
      <c r="I6487" s="16" t="s">
        <v>87</v>
      </c>
      <c r="J6487" s="19"/>
      <c r="L6487" s="16" t="str">
        <f>IFERROR(__xludf.DUMMYFUNCTION("""COMPUTED_VALUE"""),"")</f>
        <v/>
      </c>
      <c r="M6487" s="16" t="str">
        <f>IFERROR(__xludf.DUMMYFUNCTION("""COMPUTED_VALUE"""),"")</f>
        <v/>
      </c>
      <c r="U6487" s="16" t="s">
        <v>87</v>
      </c>
      <c r="V6487" s="16" t="str">
        <f>IFERROR(__xludf.DUMMYFUNCTION("""COMPUTED_VALUE"""),"")</f>
        <v/>
      </c>
      <c r="W6487" s="16" t="str">
        <f>IFERROR(__xludf.DUMMYFUNCTION("""COMPUTED_VALUE"""),"")</f>
        <v/>
      </c>
      <c r="X6487" s="16" t="str">
        <f>IFERROR(__xludf.DUMMYFUNCTION("""COMPUTED_VALUE"""),"")</f>
        <v/>
      </c>
      <c r="AC6487" s="16" t="str">
        <f>IFERROR(__xludf.DUMMYFUNCTION("""COMPUTED_VALUE"""),"")</f>
        <v/>
      </c>
    </row>
    <row r="6488">
      <c r="A6488" s="16" t="s">
        <v>87</v>
      </c>
      <c r="E6488" s="16" t="str">
        <f>IFERROR(__xludf.DUMMYFUNCTION("""COMPUTED_VALUE"""),"")</f>
        <v/>
      </c>
      <c r="G6488" s="18"/>
      <c r="H6488" s="16" t="s">
        <v>87</v>
      </c>
      <c r="I6488" s="16" t="s">
        <v>87</v>
      </c>
      <c r="J6488" s="19"/>
      <c r="L6488" s="16" t="str">
        <f>IFERROR(__xludf.DUMMYFUNCTION("""COMPUTED_VALUE"""),"")</f>
        <v/>
      </c>
      <c r="M6488" s="16" t="str">
        <f>IFERROR(__xludf.DUMMYFUNCTION("""COMPUTED_VALUE"""),"")</f>
        <v/>
      </c>
      <c r="U6488" s="16" t="s">
        <v>87</v>
      </c>
      <c r="V6488" s="16" t="str">
        <f>IFERROR(__xludf.DUMMYFUNCTION("""COMPUTED_VALUE"""),"")</f>
        <v/>
      </c>
      <c r="W6488" s="16" t="str">
        <f>IFERROR(__xludf.DUMMYFUNCTION("""COMPUTED_VALUE"""),"")</f>
        <v/>
      </c>
      <c r="X6488" s="16" t="str">
        <f>IFERROR(__xludf.DUMMYFUNCTION("""COMPUTED_VALUE"""),"")</f>
        <v/>
      </c>
      <c r="AC6488" s="16" t="str">
        <f>IFERROR(__xludf.DUMMYFUNCTION("""COMPUTED_VALUE"""),"")</f>
        <v/>
      </c>
    </row>
    <row r="6489">
      <c r="A6489" s="16" t="s">
        <v>87</v>
      </c>
      <c r="E6489" s="16" t="str">
        <f>IFERROR(__xludf.DUMMYFUNCTION("""COMPUTED_VALUE"""),"")</f>
        <v/>
      </c>
      <c r="G6489" s="18"/>
      <c r="H6489" s="16" t="s">
        <v>87</v>
      </c>
      <c r="I6489" s="16" t="s">
        <v>87</v>
      </c>
      <c r="J6489" s="19"/>
      <c r="L6489" s="16" t="str">
        <f>IFERROR(__xludf.DUMMYFUNCTION("""COMPUTED_VALUE"""),"")</f>
        <v/>
      </c>
      <c r="M6489" s="16" t="str">
        <f>IFERROR(__xludf.DUMMYFUNCTION("""COMPUTED_VALUE"""),"")</f>
        <v/>
      </c>
      <c r="U6489" s="16" t="s">
        <v>87</v>
      </c>
      <c r="V6489" s="16" t="str">
        <f>IFERROR(__xludf.DUMMYFUNCTION("""COMPUTED_VALUE"""),"")</f>
        <v/>
      </c>
      <c r="W6489" s="16" t="str">
        <f>IFERROR(__xludf.DUMMYFUNCTION("""COMPUTED_VALUE"""),"")</f>
        <v/>
      </c>
      <c r="X6489" s="16" t="str">
        <f>IFERROR(__xludf.DUMMYFUNCTION("""COMPUTED_VALUE"""),"")</f>
        <v/>
      </c>
      <c r="AC6489" s="16" t="str">
        <f>IFERROR(__xludf.DUMMYFUNCTION("""COMPUTED_VALUE"""),"")</f>
        <v/>
      </c>
    </row>
    <row r="6490">
      <c r="A6490" s="16" t="s">
        <v>87</v>
      </c>
      <c r="E6490" s="16" t="str">
        <f>IFERROR(__xludf.DUMMYFUNCTION("""COMPUTED_VALUE"""),"")</f>
        <v/>
      </c>
      <c r="G6490" s="18"/>
      <c r="H6490" s="16" t="s">
        <v>87</v>
      </c>
      <c r="I6490" s="16" t="s">
        <v>87</v>
      </c>
      <c r="J6490" s="19"/>
      <c r="L6490" s="16" t="str">
        <f>IFERROR(__xludf.DUMMYFUNCTION("""COMPUTED_VALUE"""),"")</f>
        <v/>
      </c>
      <c r="M6490" s="16" t="str">
        <f>IFERROR(__xludf.DUMMYFUNCTION("""COMPUTED_VALUE"""),"")</f>
        <v/>
      </c>
      <c r="U6490" s="16" t="s">
        <v>87</v>
      </c>
      <c r="V6490" s="16" t="str">
        <f>IFERROR(__xludf.DUMMYFUNCTION("""COMPUTED_VALUE"""),"")</f>
        <v/>
      </c>
      <c r="W6490" s="16" t="str">
        <f>IFERROR(__xludf.DUMMYFUNCTION("""COMPUTED_VALUE"""),"")</f>
        <v/>
      </c>
      <c r="X6490" s="16" t="str">
        <f>IFERROR(__xludf.DUMMYFUNCTION("""COMPUTED_VALUE"""),"")</f>
        <v/>
      </c>
      <c r="AC6490" s="16" t="str">
        <f>IFERROR(__xludf.DUMMYFUNCTION("""COMPUTED_VALUE"""),"")</f>
        <v/>
      </c>
    </row>
    <row r="6491">
      <c r="A6491" s="16" t="s">
        <v>87</v>
      </c>
      <c r="E6491" s="16" t="str">
        <f>IFERROR(__xludf.DUMMYFUNCTION("""COMPUTED_VALUE"""),"")</f>
        <v/>
      </c>
      <c r="G6491" s="18"/>
      <c r="H6491" s="16" t="s">
        <v>87</v>
      </c>
      <c r="I6491" s="16" t="s">
        <v>87</v>
      </c>
      <c r="J6491" s="19"/>
      <c r="L6491" s="16" t="str">
        <f>IFERROR(__xludf.DUMMYFUNCTION("""COMPUTED_VALUE"""),"")</f>
        <v/>
      </c>
      <c r="M6491" s="16" t="str">
        <f>IFERROR(__xludf.DUMMYFUNCTION("""COMPUTED_VALUE"""),"")</f>
        <v/>
      </c>
      <c r="U6491" s="16" t="s">
        <v>87</v>
      </c>
      <c r="V6491" s="16" t="str">
        <f>IFERROR(__xludf.DUMMYFUNCTION("""COMPUTED_VALUE"""),"")</f>
        <v/>
      </c>
      <c r="W6491" s="16" t="str">
        <f>IFERROR(__xludf.DUMMYFUNCTION("""COMPUTED_VALUE"""),"")</f>
        <v/>
      </c>
      <c r="X6491" s="16" t="str">
        <f>IFERROR(__xludf.DUMMYFUNCTION("""COMPUTED_VALUE"""),"")</f>
        <v/>
      </c>
      <c r="AC6491" s="16" t="str">
        <f>IFERROR(__xludf.DUMMYFUNCTION("""COMPUTED_VALUE"""),"")</f>
        <v/>
      </c>
    </row>
    <row r="6492">
      <c r="A6492" s="16" t="s">
        <v>87</v>
      </c>
      <c r="E6492" s="16" t="str">
        <f>IFERROR(__xludf.DUMMYFUNCTION("""COMPUTED_VALUE"""),"")</f>
        <v/>
      </c>
      <c r="G6492" s="18"/>
      <c r="H6492" s="16" t="s">
        <v>87</v>
      </c>
      <c r="I6492" s="16" t="s">
        <v>87</v>
      </c>
      <c r="J6492" s="19"/>
      <c r="L6492" s="16" t="str">
        <f>IFERROR(__xludf.DUMMYFUNCTION("""COMPUTED_VALUE"""),"")</f>
        <v/>
      </c>
      <c r="M6492" s="16" t="str">
        <f>IFERROR(__xludf.DUMMYFUNCTION("""COMPUTED_VALUE"""),"")</f>
        <v/>
      </c>
      <c r="U6492" s="16" t="s">
        <v>87</v>
      </c>
      <c r="V6492" s="16" t="str">
        <f>IFERROR(__xludf.DUMMYFUNCTION("""COMPUTED_VALUE"""),"")</f>
        <v/>
      </c>
      <c r="W6492" s="16" t="str">
        <f>IFERROR(__xludf.DUMMYFUNCTION("""COMPUTED_VALUE"""),"")</f>
        <v/>
      </c>
      <c r="X6492" s="16" t="str">
        <f>IFERROR(__xludf.DUMMYFUNCTION("""COMPUTED_VALUE"""),"")</f>
        <v/>
      </c>
      <c r="AC6492" s="16" t="str">
        <f>IFERROR(__xludf.DUMMYFUNCTION("""COMPUTED_VALUE"""),"")</f>
        <v/>
      </c>
    </row>
    <row r="6493">
      <c r="A6493" s="16" t="s">
        <v>87</v>
      </c>
      <c r="E6493" s="16" t="str">
        <f>IFERROR(__xludf.DUMMYFUNCTION("""COMPUTED_VALUE"""),"")</f>
        <v/>
      </c>
      <c r="G6493" s="18"/>
      <c r="H6493" s="16" t="s">
        <v>87</v>
      </c>
      <c r="I6493" s="16" t="s">
        <v>87</v>
      </c>
      <c r="J6493" s="19"/>
      <c r="L6493" s="16" t="str">
        <f>IFERROR(__xludf.DUMMYFUNCTION("""COMPUTED_VALUE"""),"")</f>
        <v/>
      </c>
      <c r="M6493" s="16" t="str">
        <f>IFERROR(__xludf.DUMMYFUNCTION("""COMPUTED_VALUE"""),"")</f>
        <v/>
      </c>
      <c r="U6493" s="16" t="s">
        <v>87</v>
      </c>
      <c r="V6493" s="16" t="str">
        <f>IFERROR(__xludf.DUMMYFUNCTION("""COMPUTED_VALUE"""),"")</f>
        <v/>
      </c>
      <c r="W6493" s="16" t="str">
        <f>IFERROR(__xludf.DUMMYFUNCTION("""COMPUTED_VALUE"""),"")</f>
        <v/>
      </c>
      <c r="X6493" s="16" t="str">
        <f>IFERROR(__xludf.DUMMYFUNCTION("""COMPUTED_VALUE"""),"")</f>
        <v/>
      </c>
      <c r="AC6493" s="16" t="str">
        <f>IFERROR(__xludf.DUMMYFUNCTION("""COMPUTED_VALUE"""),"")</f>
        <v/>
      </c>
    </row>
    <row r="6494">
      <c r="A6494" s="16" t="s">
        <v>87</v>
      </c>
      <c r="E6494" s="16" t="str">
        <f>IFERROR(__xludf.DUMMYFUNCTION("""COMPUTED_VALUE"""),"")</f>
        <v/>
      </c>
      <c r="G6494" s="18"/>
      <c r="H6494" s="16" t="s">
        <v>87</v>
      </c>
      <c r="I6494" s="16" t="s">
        <v>87</v>
      </c>
      <c r="J6494" s="19"/>
      <c r="L6494" s="16" t="str">
        <f>IFERROR(__xludf.DUMMYFUNCTION("""COMPUTED_VALUE"""),"")</f>
        <v/>
      </c>
      <c r="M6494" s="16" t="str">
        <f>IFERROR(__xludf.DUMMYFUNCTION("""COMPUTED_VALUE"""),"")</f>
        <v/>
      </c>
      <c r="U6494" s="16" t="s">
        <v>87</v>
      </c>
      <c r="V6494" s="16" t="str">
        <f>IFERROR(__xludf.DUMMYFUNCTION("""COMPUTED_VALUE"""),"")</f>
        <v/>
      </c>
      <c r="W6494" s="16" t="str">
        <f>IFERROR(__xludf.DUMMYFUNCTION("""COMPUTED_VALUE"""),"")</f>
        <v/>
      </c>
      <c r="X6494" s="16" t="str">
        <f>IFERROR(__xludf.DUMMYFUNCTION("""COMPUTED_VALUE"""),"")</f>
        <v/>
      </c>
      <c r="AC6494" s="16" t="str">
        <f>IFERROR(__xludf.DUMMYFUNCTION("""COMPUTED_VALUE"""),"")</f>
        <v/>
      </c>
    </row>
    <row r="6495">
      <c r="A6495" s="16" t="s">
        <v>87</v>
      </c>
      <c r="E6495" s="16" t="str">
        <f>IFERROR(__xludf.DUMMYFUNCTION("""COMPUTED_VALUE"""),"")</f>
        <v/>
      </c>
      <c r="G6495" s="18"/>
      <c r="H6495" s="16" t="s">
        <v>87</v>
      </c>
      <c r="I6495" s="16" t="s">
        <v>87</v>
      </c>
      <c r="J6495" s="19"/>
      <c r="L6495" s="16" t="str">
        <f>IFERROR(__xludf.DUMMYFUNCTION("""COMPUTED_VALUE"""),"")</f>
        <v/>
      </c>
      <c r="M6495" s="16" t="str">
        <f>IFERROR(__xludf.DUMMYFUNCTION("""COMPUTED_VALUE"""),"")</f>
        <v/>
      </c>
      <c r="U6495" s="16" t="s">
        <v>87</v>
      </c>
      <c r="V6495" s="16" t="str">
        <f>IFERROR(__xludf.DUMMYFUNCTION("""COMPUTED_VALUE"""),"")</f>
        <v/>
      </c>
      <c r="W6495" s="16" t="str">
        <f>IFERROR(__xludf.DUMMYFUNCTION("""COMPUTED_VALUE"""),"")</f>
        <v/>
      </c>
      <c r="X6495" s="16" t="str">
        <f>IFERROR(__xludf.DUMMYFUNCTION("""COMPUTED_VALUE"""),"")</f>
        <v/>
      </c>
      <c r="AC6495" s="16" t="str">
        <f>IFERROR(__xludf.DUMMYFUNCTION("""COMPUTED_VALUE"""),"")</f>
        <v/>
      </c>
    </row>
    <row r="6496">
      <c r="A6496" s="16" t="s">
        <v>87</v>
      </c>
      <c r="E6496" s="16" t="str">
        <f>IFERROR(__xludf.DUMMYFUNCTION("""COMPUTED_VALUE"""),"")</f>
        <v/>
      </c>
      <c r="G6496" s="18"/>
      <c r="H6496" s="16" t="s">
        <v>87</v>
      </c>
      <c r="I6496" s="16" t="s">
        <v>87</v>
      </c>
      <c r="J6496" s="19"/>
      <c r="L6496" s="16" t="str">
        <f>IFERROR(__xludf.DUMMYFUNCTION("""COMPUTED_VALUE"""),"")</f>
        <v/>
      </c>
      <c r="M6496" s="16" t="str">
        <f>IFERROR(__xludf.DUMMYFUNCTION("""COMPUTED_VALUE"""),"")</f>
        <v/>
      </c>
      <c r="U6496" s="16" t="s">
        <v>87</v>
      </c>
      <c r="V6496" s="16" t="str">
        <f>IFERROR(__xludf.DUMMYFUNCTION("""COMPUTED_VALUE"""),"")</f>
        <v/>
      </c>
      <c r="W6496" s="16" t="str">
        <f>IFERROR(__xludf.DUMMYFUNCTION("""COMPUTED_VALUE"""),"")</f>
        <v/>
      </c>
      <c r="X6496" s="16" t="str">
        <f>IFERROR(__xludf.DUMMYFUNCTION("""COMPUTED_VALUE"""),"")</f>
        <v/>
      </c>
      <c r="AC6496" s="16" t="str">
        <f>IFERROR(__xludf.DUMMYFUNCTION("""COMPUTED_VALUE"""),"")</f>
        <v/>
      </c>
    </row>
    <row r="6497">
      <c r="A6497" s="16" t="s">
        <v>87</v>
      </c>
      <c r="E6497" s="16" t="str">
        <f>IFERROR(__xludf.DUMMYFUNCTION("""COMPUTED_VALUE"""),"")</f>
        <v/>
      </c>
      <c r="G6497" s="18"/>
      <c r="H6497" s="16" t="s">
        <v>87</v>
      </c>
      <c r="I6497" s="16" t="s">
        <v>87</v>
      </c>
      <c r="J6497" s="19"/>
      <c r="L6497" s="16" t="str">
        <f>IFERROR(__xludf.DUMMYFUNCTION("""COMPUTED_VALUE"""),"")</f>
        <v/>
      </c>
      <c r="M6497" s="16" t="str">
        <f>IFERROR(__xludf.DUMMYFUNCTION("""COMPUTED_VALUE"""),"")</f>
        <v/>
      </c>
      <c r="U6497" s="16" t="s">
        <v>87</v>
      </c>
      <c r="V6497" s="16" t="str">
        <f>IFERROR(__xludf.DUMMYFUNCTION("""COMPUTED_VALUE"""),"")</f>
        <v/>
      </c>
      <c r="W6497" s="16" t="str">
        <f>IFERROR(__xludf.DUMMYFUNCTION("""COMPUTED_VALUE"""),"")</f>
        <v/>
      </c>
      <c r="X6497" s="16" t="str">
        <f>IFERROR(__xludf.DUMMYFUNCTION("""COMPUTED_VALUE"""),"")</f>
        <v/>
      </c>
      <c r="AC6497" s="16" t="str">
        <f>IFERROR(__xludf.DUMMYFUNCTION("""COMPUTED_VALUE"""),"")</f>
        <v/>
      </c>
    </row>
    <row r="6498">
      <c r="A6498" s="16" t="s">
        <v>87</v>
      </c>
      <c r="E6498" s="16" t="str">
        <f>IFERROR(__xludf.DUMMYFUNCTION("""COMPUTED_VALUE"""),"")</f>
        <v/>
      </c>
      <c r="G6498" s="18"/>
      <c r="H6498" s="16" t="s">
        <v>87</v>
      </c>
      <c r="I6498" s="16" t="s">
        <v>87</v>
      </c>
      <c r="J6498" s="19"/>
      <c r="L6498" s="16" t="str">
        <f>IFERROR(__xludf.DUMMYFUNCTION("""COMPUTED_VALUE"""),"")</f>
        <v/>
      </c>
      <c r="M6498" s="16" t="str">
        <f>IFERROR(__xludf.DUMMYFUNCTION("""COMPUTED_VALUE"""),"")</f>
        <v/>
      </c>
      <c r="U6498" s="16" t="s">
        <v>87</v>
      </c>
      <c r="V6498" s="16" t="str">
        <f>IFERROR(__xludf.DUMMYFUNCTION("""COMPUTED_VALUE"""),"")</f>
        <v/>
      </c>
      <c r="W6498" s="16" t="str">
        <f>IFERROR(__xludf.DUMMYFUNCTION("""COMPUTED_VALUE"""),"")</f>
        <v/>
      </c>
      <c r="X6498" s="16" t="str">
        <f>IFERROR(__xludf.DUMMYFUNCTION("""COMPUTED_VALUE"""),"")</f>
        <v/>
      </c>
      <c r="AC6498" s="16" t="str">
        <f>IFERROR(__xludf.DUMMYFUNCTION("""COMPUTED_VALUE"""),"")</f>
        <v/>
      </c>
    </row>
    <row r="6499">
      <c r="A6499" s="16" t="s">
        <v>87</v>
      </c>
      <c r="E6499" s="16" t="str">
        <f>IFERROR(__xludf.DUMMYFUNCTION("""COMPUTED_VALUE"""),"")</f>
        <v/>
      </c>
      <c r="G6499" s="18"/>
      <c r="H6499" s="16" t="s">
        <v>87</v>
      </c>
      <c r="I6499" s="16" t="s">
        <v>87</v>
      </c>
      <c r="J6499" s="19"/>
      <c r="L6499" s="16" t="str">
        <f>IFERROR(__xludf.DUMMYFUNCTION("""COMPUTED_VALUE"""),"")</f>
        <v/>
      </c>
      <c r="M6499" s="16" t="str">
        <f>IFERROR(__xludf.DUMMYFUNCTION("""COMPUTED_VALUE"""),"")</f>
        <v/>
      </c>
      <c r="U6499" s="16" t="s">
        <v>87</v>
      </c>
      <c r="V6499" s="16" t="str">
        <f>IFERROR(__xludf.DUMMYFUNCTION("""COMPUTED_VALUE"""),"")</f>
        <v/>
      </c>
      <c r="W6499" s="16" t="str">
        <f>IFERROR(__xludf.DUMMYFUNCTION("""COMPUTED_VALUE"""),"")</f>
        <v/>
      </c>
      <c r="X6499" s="16" t="str">
        <f>IFERROR(__xludf.DUMMYFUNCTION("""COMPUTED_VALUE"""),"")</f>
        <v/>
      </c>
      <c r="AC6499" s="16" t="str">
        <f>IFERROR(__xludf.DUMMYFUNCTION("""COMPUTED_VALUE"""),"")</f>
        <v/>
      </c>
    </row>
    <row r="6500">
      <c r="A6500" s="16" t="s">
        <v>87</v>
      </c>
      <c r="E6500" s="16" t="str">
        <f>IFERROR(__xludf.DUMMYFUNCTION("""COMPUTED_VALUE"""),"")</f>
        <v/>
      </c>
      <c r="G6500" s="18"/>
      <c r="H6500" s="16" t="s">
        <v>87</v>
      </c>
      <c r="I6500" s="16" t="s">
        <v>87</v>
      </c>
      <c r="J6500" s="19"/>
      <c r="L6500" s="16" t="str">
        <f>IFERROR(__xludf.DUMMYFUNCTION("""COMPUTED_VALUE"""),"")</f>
        <v/>
      </c>
      <c r="M6500" s="16" t="str">
        <f>IFERROR(__xludf.DUMMYFUNCTION("""COMPUTED_VALUE"""),"")</f>
        <v/>
      </c>
      <c r="U6500" s="16" t="s">
        <v>87</v>
      </c>
      <c r="V6500" s="16" t="str">
        <f>IFERROR(__xludf.DUMMYFUNCTION("""COMPUTED_VALUE"""),"")</f>
        <v/>
      </c>
      <c r="W6500" s="16" t="str">
        <f>IFERROR(__xludf.DUMMYFUNCTION("""COMPUTED_VALUE"""),"")</f>
        <v/>
      </c>
      <c r="X6500" s="16" t="str">
        <f>IFERROR(__xludf.DUMMYFUNCTION("""COMPUTED_VALUE"""),"")</f>
        <v/>
      </c>
      <c r="AC6500" s="16" t="str">
        <f>IFERROR(__xludf.DUMMYFUNCTION("""COMPUTED_VALUE"""),"")</f>
        <v/>
      </c>
    </row>
    <row r="6501">
      <c r="A6501" s="16" t="s">
        <v>87</v>
      </c>
      <c r="E6501" s="16" t="str">
        <f>IFERROR(__xludf.DUMMYFUNCTION("""COMPUTED_VALUE"""),"")</f>
        <v/>
      </c>
      <c r="G6501" s="18"/>
      <c r="H6501" s="16" t="s">
        <v>87</v>
      </c>
      <c r="I6501" s="16" t="s">
        <v>87</v>
      </c>
      <c r="J6501" s="19"/>
      <c r="L6501" s="16" t="str">
        <f>IFERROR(__xludf.DUMMYFUNCTION("""COMPUTED_VALUE"""),"")</f>
        <v/>
      </c>
      <c r="M6501" s="16" t="str">
        <f>IFERROR(__xludf.DUMMYFUNCTION("""COMPUTED_VALUE"""),"")</f>
        <v/>
      </c>
      <c r="U6501" s="16" t="s">
        <v>87</v>
      </c>
      <c r="V6501" s="16" t="str">
        <f>IFERROR(__xludf.DUMMYFUNCTION("""COMPUTED_VALUE"""),"")</f>
        <v/>
      </c>
      <c r="W6501" s="16" t="str">
        <f>IFERROR(__xludf.DUMMYFUNCTION("""COMPUTED_VALUE"""),"")</f>
        <v/>
      </c>
      <c r="X6501" s="16" t="str">
        <f>IFERROR(__xludf.DUMMYFUNCTION("""COMPUTED_VALUE"""),"")</f>
        <v/>
      </c>
      <c r="AC6501" s="16" t="str">
        <f>IFERROR(__xludf.DUMMYFUNCTION("""COMPUTED_VALUE"""),"")</f>
        <v/>
      </c>
    </row>
    <row r="6502">
      <c r="A6502" s="16" t="s">
        <v>87</v>
      </c>
      <c r="E6502" s="16" t="str">
        <f>IFERROR(__xludf.DUMMYFUNCTION("""COMPUTED_VALUE"""),"")</f>
        <v/>
      </c>
      <c r="G6502" s="18"/>
      <c r="H6502" s="16" t="s">
        <v>87</v>
      </c>
      <c r="I6502" s="16" t="s">
        <v>87</v>
      </c>
      <c r="J6502" s="19"/>
      <c r="L6502" s="16" t="str">
        <f>IFERROR(__xludf.DUMMYFUNCTION("""COMPUTED_VALUE"""),"")</f>
        <v/>
      </c>
      <c r="M6502" s="16" t="str">
        <f>IFERROR(__xludf.DUMMYFUNCTION("""COMPUTED_VALUE"""),"")</f>
        <v/>
      </c>
      <c r="U6502" s="16" t="s">
        <v>87</v>
      </c>
      <c r="V6502" s="16" t="str">
        <f>IFERROR(__xludf.DUMMYFUNCTION("""COMPUTED_VALUE"""),"")</f>
        <v/>
      </c>
      <c r="W6502" s="16" t="str">
        <f>IFERROR(__xludf.DUMMYFUNCTION("""COMPUTED_VALUE"""),"")</f>
        <v/>
      </c>
      <c r="X6502" s="16" t="str">
        <f>IFERROR(__xludf.DUMMYFUNCTION("""COMPUTED_VALUE"""),"")</f>
        <v/>
      </c>
      <c r="AC6502" s="16" t="str">
        <f>IFERROR(__xludf.DUMMYFUNCTION("""COMPUTED_VALUE"""),"")</f>
        <v/>
      </c>
    </row>
    <row r="6503">
      <c r="A6503" s="16" t="s">
        <v>87</v>
      </c>
      <c r="E6503" s="16" t="str">
        <f>IFERROR(__xludf.DUMMYFUNCTION("""COMPUTED_VALUE"""),"")</f>
        <v/>
      </c>
      <c r="G6503" s="18"/>
      <c r="H6503" s="16" t="s">
        <v>87</v>
      </c>
      <c r="I6503" s="16" t="s">
        <v>87</v>
      </c>
      <c r="J6503" s="19"/>
      <c r="L6503" s="16" t="str">
        <f>IFERROR(__xludf.DUMMYFUNCTION("""COMPUTED_VALUE"""),"")</f>
        <v/>
      </c>
      <c r="M6503" s="16" t="str">
        <f>IFERROR(__xludf.DUMMYFUNCTION("""COMPUTED_VALUE"""),"")</f>
        <v/>
      </c>
      <c r="U6503" s="16" t="s">
        <v>87</v>
      </c>
      <c r="V6503" s="16" t="str">
        <f>IFERROR(__xludf.DUMMYFUNCTION("""COMPUTED_VALUE"""),"")</f>
        <v/>
      </c>
      <c r="W6503" s="16" t="str">
        <f>IFERROR(__xludf.DUMMYFUNCTION("""COMPUTED_VALUE"""),"")</f>
        <v/>
      </c>
      <c r="X6503" s="16" t="str">
        <f>IFERROR(__xludf.DUMMYFUNCTION("""COMPUTED_VALUE"""),"")</f>
        <v/>
      </c>
      <c r="AC6503" s="16" t="str">
        <f>IFERROR(__xludf.DUMMYFUNCTION("""COMPUTED_VALUE"""),"")</f>
        <v/>
      </c>
    </row>
    <row r="6504">
      <c r="A6504" s="16" t="s">
        <v>87</v>
      </c>
      <c r="E6504" s="16" t="str">
        <f>IFERROR(__xludf.DUMMYFUNCTION("""COMPUTED_VALUE"""),"")</f>
        <v/>
      </c>
      <c r="G6504" s="18"/>
      <c r="H6504" s="16" t="s">
        <v>87</v>
      </c>
      <c r="I6504" s="16" t="s">
        <v>87</v>
      </c>
      <c r="J6504" s="19"/>
      <c r="L6504" s="16" t="str">
        <f>IFERROR(__xludf.DUMMYFUNCTION("""COMPUTED_VALUE"""),"")</f>
        <v/>
      </c>
      <c r="M6504" s="16" t="str">
        <f>IFERROR(__xludf.DUMMYFUNCTION("""COMPUTED_VALUE"""),"")</f>
        <v/>
      </c>
      <c r="U6504" s="16" t="s">
        <v>87</v>
      </c>
      <c r="V6504" s="16" t="str">
        <f>IFERROR(__xludf.DUMMYFUNCTION("""COMPUTED_VALUE"""),"")</f>
        <v/>
      </c>
      <c r="W6504" s="16" t="str">
        <f>IFERROR(__xludf.DUMMYFUNCTION("""COMPUTED_VALUE"""),"")</f>
        <v/>
      </c>
      <c r="X6504" s="16" t="str">
        <f>IFERROR(__xludf.DUMMYFUNCTION("""COMPUTED_VALUE"""),"")</f>
        <v/>
      </c>
      <c r="AC6504" s="16" t="str">
        <f>IFERROR(__xludf.DUMMYFUNCTION("""COMPUTED_VALUE"""),"")</f>
        <v/>
      </c>
    </row>
    <row r="6505">
      <c r="A6505" s="16" t="s">
        <v>87</v>
      </c>
      <c r="E6505" s="16" t="str">
        <f>IFERROR(__xludf.DUMMYFUNCTION("""COMPUTED_VALUE"""),"")</f>
        <v/>
      </c>
      <c r="G6505" s="18"/>
      <c r="H6505" s="16" t="s">
        <v>87</v>
      </c>
      <c r="I6505" s="16" t="s">
        <v>87</v>
      </c>
      <c r="J6505" s="19"/>
      <c r="L6505" s="16" t="str">
        <f>IFERROR(__xludf.DUMMYFUNCTION("""COMPUTED_VALUE"""),"")</f>
        <v/>
      </c>
      <c r="M6505" s="16" t="str">
        <f>IFERROR(__xludf.DUMMYFUNCTION("""COMPUTED_VALUE"""),"")</f>
        <v/>
      </c>
      <c r="U6505" s="16" t="s">
        <v>87</v>
      </c>
      <c r="V6505" s="16" t="str">
        <f>IFERROR(__xludf.DUMMYFUNCTION("""COMPUTED_VALUE"""),"")</f>
        <v/>
      </c>
      <c r="W6505" s="16" t="str">
        <f>IFERROR(__xludf.DUMMYFUNCTION("""COMPUTED_VALUE"""),"")</f>
        <v/>
      </c>
      <c r="X6505" s="16" t="str">
        <f>IFERROR(__xludf.DUMMYFUNCTION("""COMPUTED_VALUE"""),"")</f>
        <v/>
      </c>
      <c r="AC6505" s="16" t="str">
        <f>IFERROR(__xludf.DUMMYFUNCTION("""COMPUTED_VALUE"""),"")</f>
        <v/>
      </c>
    </row>
    <row r="6506">
      <c r="A6506" s="16" t="s">
        <v>87</v>
      </c>
      <c r="E6506" s="16" t="str">
        <f>IFERROR(__xludf.DUMMYFUNCTION("""COMPUTED_VALUE"""),"")</f>
        <v/>
      </c>
      <c r="G6506" s="18"/>
      <c r="H6506" s="16" t="s">
        <v>87</v>
      </c>
      <c r="I6506" s="16" t="s">
        <v>87</v>
      </c>
      <c r="J6506" s="19"/>
      <c r="L6506" s="16" t="str">
        <f>IFERROR(__xludf.DUMMYFUNCTION("""COMPUTED_VALUE"""),"")</f>
        <v/>
      </c>
      <c r="M6506" s="16" t="str">
        <f>IFERROR(__xludf.DUMMYFUNCTION("""COMPUTED_VALUE"""),"")</f>
        <v/>
      </c>
      <c r="U6506" s="16" t="s">
        <v>87</v>
      </c>
      <c r="V6506" s="16" t="str">
        <f>IFERROR(__xludf.DUMMYFUNCTION("""COMPUTED_VALUE"""),"")</f>
        <v/>
      </c>
      <c r="W6506" s="16" t="str">
        <f>IFERROR(__xludf.DUMMYFUNCTION("""COMPUTED_VALUE"""),"")</f>
        <v/>
      </c>
      <c r="X6506" s="16" t="str">
        <f>IFERROR(__xludf.DUMMYFUNCTION("""COMPUTED_VALUE"""),"")</f>
        <v/>
      </c>
      <c r="AC6506" s="16" t="str">
        <f>IFERROR(__xludf.DUMMYFUNCTION("""COMPUTED_VALUE"""),"")</f>
        <v/>
      </c>
    </row>
    <row r="6507">
      <c r="A6507" s="16" t="s">
        <v>87</v>
      </c>
      <c r="E6507" s="16" t="str">
        <f>IFERROR(__xludf.DUMMYFUNCTION("""COMPUTED_VALUE"""),"")</f>
        <v/>
      </c>
      <c r="G6507" s="18"/>
      <c r="H6507" s="16" t="s">
        <v>87</v>
      </c>
      <c r="I6507" s="16" t="s">
        <v>87</v>
      </c>
      <c r="J6507" s="19"/>
      <c r="L6507" s="16" t="str">
        <f>IFERROR(__xludf.DUMMYFUNCTION("""COMPUTED_VALUE"""),"")</f>
        <v/>
      </c>
      <c r="M6507" s="16" t="str">
        <f>IFERROR(__xludf.DUMMYFUNCTION("""COMPUTED_VALUE"""),"")</f>
        <v/>
      </c>
      <c r="U6507" s="16" t="s">
        <v>87</v>
      </c>
      <c r="V6507" s="16" t="str">
        <f>IFERROR(__xludf.DUMMYFUNCTION("""COMPUTED_VALUE"""),"")</f>
        <v/>
      </c>
      <c r="W6507" s="16" t="str">
        <f>IFERROR(__xludf.DUMMYFUNCTION("""COMPUTED_VALUE"""),"")</f>
        <v/>
      </c>
      <c r="X6507" s="16" t="str">
        <f>IFERROR(__xludf.DUMMYFUNCTION("""COMPUTED_VALUE"""),"")</f>
        <v/>
      </c>
      <c r="AC6507" s="16" t="str">
        <f>IFERROR(__xludf.DUMMYFUNCTION("""COMPUTED_VALUE"""),"")</f>
        <v/>
      </c>
    </row>
    <row r="6508">
      <c r="A6508" s="16" t="s">
        <v>87</v>
      </c>
      <c r="E6508" s="16" t="str">
        <f>IFERROR(__xludf.DUMMYFUNCTION("""COMPUTED_VALUE"""),"")</f>
        <v/>
      </c>
      <c r="G6508" s="18"/>
      <c r="H6508" s="16" t="s">
        <v>87</v>
      </c>
      <c r="I6508" s="16" t="s">
        <v>87</v>
      </c>
      <c r="J6508" s="19"/>
      <c r="L6508" s="16" t="str">
        <f>IFERROR(__xludf.DUMMYFUNCTION("""COMPUTED_VALUE"""),"")</f>
        <v/>
      </c>
      <c r="M6508" s="16" t="str">
        <f>IFERROR(__xludf.DUMMYFUNCTION("""COMPUTED_VALUE"""),"")</f>
        <v/>
      </c>
      <c r="U6508" s="16" t="s">
        <v>87</v>
      </c>
      <c r="V6508" s="16" t="str">
        <f>IFERROR(__xludf.DUMMYFUNCTION("""COMPUTED_VALUE"""),"")</f>
        <v/>
      </c>
      <c r="W6508" s="16" t="str">
        <f>IFERROR(__xludf.DUMMYFUNCTION("""COMPUTED_VALUE"""),"")</f>
        <v/>
      </c>
      <c r="X6508" s="16" t="str">
        <f>IFERROR(__xludf.DUMMYFUNCTION("""COMPUTED_VALUE"""),"")</f>
        <v/>
      </c>
      <c r="AC6508" s="16" t="str">
        <f>IFERROR(__xludf.DUMMYFUNCTION("""COMPUTED_VALUE"""),"")</f>
        <v/>
      </c>
    </row>
    <row r="6509">
      <c r="A6509" s="16" t="s">
        <v>87</v>
      </c>
      <c r="E6509" s="16" t="str">
        <f>IFERROR(__xludf.DUMMYFUNCTION("""COMPUTED_VALUE"""),"")</f>
        <v/>
      </c>
      <c r="G6509" s="18"/>
      <c r="H6509" s="16" t="s">
        <v>87</v>
      </c>
      <c r="I6509" s="16" t="s">
        <v>87</v>
      </c>
      <c r="J6509" s="19"/>
      <c r="L6509" s="16" t="str">
        <f>IFERROR(__xludf.DUMMYFUNCTION("""COMPUTED_VALUE"""),"")</f>
        <v/>
      </c>
      <c r="M6509" s="16" t="str">
        <f>IFERROR(__xludf.DUMMYFUNCTION("""COMPUTED_VALUE"""),"")</f>
        <v/>
      </c>
      <c r="U6509" s="16" t="s">
        <v>87</v>
      </c>
      <c r="V6509" s="16" t="str">
        <f>IFERROR(__xludf.DUMMYFUNCTION("""COMPUTED_VALUE"""),"")</f>
        <v/>
      </c>
      <c r="W6509" s="16" t="str">
        <f>IFERROR(__xludf.DUMMYFUNCTION("""COMPUTED_VALUE"""),"")</f>
        <v/>
      </c>
      <c r="X6509" s="16" t="str">
        <f>IFERROR(__xludf.DUMMYFUNCTION("""COMPUTED_VALUE"""),"")</f>
        <v/>
      </c>
      <c r="AC6509" s="16" t="str">
        <f>IFERROR(__xludf.DUMMYFUNCTION("""COMPUTED_VALUE"""),"")</f>
        <v/>
      </c>
    </row>
    <row r="6510">
      <c r="A6510" s="16" t="s">
        <v>87</v>
      </c>
      <c r="E6510" s="16" t="str">
        <f>IFERROR(__xludf.DUMMYFUNCTION("""COMPUTED_VALUE"""),"")</f>
        <v/>
      </c>
      <c r="G6510" s="18"/>
      <c r="H6510" s="16" t="s">
        <v>87</v>
      </c>
      <c r="I6510" s="16" t="s">
        <v>87</v>
      </c>
      <c r="J6510" s="19"/>
      <c r="L6510" s="16" t="str">
        <f>IFERROR(__xludf.DUMMYFUNCTION("""COMPUTED_VALUE"""),"")</f>
        <v/>
      </c>
      <c r="M6510" s="16" t="str">
        <f>IFERROR(__xludf.DUMMYFUNCTION("""COMPUTED_VALUE"""),"")</f>
        <v/>
      </c>
      <c r="U6510" s="16" t="s">
        <v>87</v>
      </c>
      <c r="V6510" s="16" t="str">
        <f>IFERROR(__xludf.DUMMYFUNCTION("""COMPUTED_VALUE"""),"")</f>
        <v/>
      </c>
      <c r="W6510" s="16" t="str">
        <f>IFERROR(__xludf.DUMMYFUNCTION("""COMPUTED_VALUE"""),"")</f>
        <v/>
      </c>
      <c r="X6510" s="16" t="str">
        <f>IFERROR(__xludf.DUMMYFUNCTION("""COMPUTED_VALUE"""),"")</f>
        <v/>
      </c>
      <c r="AC6510" s="16" t="str">
        <f>IFERROR(__xludf.DUMMYFUNCTION("""COMPUTED_VALUE"""),"")</f>
        <v/>
      </c>
    </row>
    <row r="6511">
      <c r="A6511" s="16" t="s">
        <v>87</v>
      </c>
      <c r="E6511" s="16" t="str">
        <f>IFERROR(__xludf.DUMMYFUNCTION("""COMPUTED_VALUE"""),"")</f>
        <v/>
      </c>
      <c r="G6511" s="18"/>
      <c r="H6511" s="16" t="s">
        <v>87</v>
      </c>
      <c r="I6511" s="16" t="s">
        <v>87</v>
      </c>
      <c r="J6511" s="19"/>
      <c r="L6511" s="16" t="str">
        <f>IFERROR(__xludf.DUMMYFUNCTION("""COMPUTED_VALUE"""),"")</f>
        <v/>
      </c>
      <c r="M6511" s="16" t="str">
        <f>IFERROR(__xludf.DUMMYFUNCTION("""COMPUTED_VALUE"""),"")</f>
        <v/>
      </c>
      <c r="U6511" s="16" t="s">
        <v>87</v>
      </c>
      <c r="V6511" s="16" t="str">
        <f>IFERROR(__xludf.DUMMYFUNCTION("""COMPUTED_VALUE"""),"")</f>
        <v/>
      </c>
      <c r="W6511" s="16" t="str">
        <f>IFERROR(__xludf.DUMMYFUNCTION("""COMPUTED_VALUE"""),"")</f>
        <v/>
      </c>
      <c r="X6511" s="16" t="str">
        <f>IFERROR(__xludf.DUMMYFUNCTION("""COMPUTED_VALUE"""),"")</f>
        <v/>
      </c>
      <c r="AC6511" s="16" t="str">
        <f>IFERROR(__xludf.DUMMYFUNCTION("""COMPUTED_VALUE"""),"")</f>
        <v/>
      </c>
    </row>
    <row r="6512">
      <c r="A6512" s="16" t="s">
        <v>87</v>
      </c>
      <c r="E6512" s="16" t="str">
        <f>IFERROR(__xludf.DUMMYFUNCTION("""COMPUTED_VALUE"""),"")</f>
        <v/>
      </c>
      <c r="G6512" s="18"/>
      <c r="H6512" s="16" t="s">
        <v>87</v>
      </c>
      <c r="I6512" s="16" t="s">
        <v>87</v>
      </c>
      <c r="J6512" s="19"/>
      <c r="L6512" s="16" t="str">
        <f>IFERROR(__xludf.DUMMYFUNCTION("""COMPUTED_VALUE"""),"")</f>
        <v/>
      </c>
      <c r="M6512" s="16" t="str">
        <f>IFERROR(__xludf.DUMMYFUNCTION("""COMPUTED_VALUE"""),"")</f>
        <v/>
      </c>
      <c r="U6512" s="16" t="s">
        <v>87</v>
      </c>
      <c r="V6512" s="16" t="str">
        <f>IFERROR(__xludf.DUMMYFUNCTION("""COMPUTED_VALUE"""),"")</f>
        <v/>
      </c>
      <c r="W6512" s="16" t="str">
        <f>IFERROR(__xludf.DUMMYFUNCTION("""COMPUTED_VALUE"""),"")</f>
        <v/>
      </c>
      <c r="X6512" s="16" t="str">
        <f>IFERROR(__xludf.DUMMYFUNCTION("""COMPUTED_VALUE"""),"")</f>
        <v/>
      </c>
      <c r="AC6512" s="16" t="str">
        <f>IFERROR(__xludf.DUMMYFUNCTION("""COMPUTED_VALUE"""),"")</f>
        <v/>
      </c>
    </row>
    <row r="6513">
      <c r="A6513" s="16" t="s">
        <v>87</v>
      </c>
      <c r="E6513" s="16" t="str">
        <f>IFERROR(__xludf.DUMMYFUNCTION("""COMPUTED_VALUE"""),"")</f>
        <v/>
      </c>
      <c r="G6513" s="18"/>
      <c r="H6513" s="16" t="s">
        <v>87</v>
      </c>
      <c r="I6513" s="16" t="s">
        <v>87</v>
      </c>
      <c r="J6513" s="19"/>
      <c r="L6513" s="16" t="str">
        <f>IFERROR(__xludf.DUMMYFUNCTION("""COMPUTED_VALUE"""),"")</f>
        <v/>
      </c>
      <c r="M6513" s="16" t="str">
        <f>IFERROR(__xludf.DUMMYFUNCTION("""COMPUTED_VALUE"""),"")</f>
        <v/>
      </c>
      <c r="U6513" s="16" t="s">
        <v>87</v>
      </c>
      <c r="V6513" s="16" t="str">
        <f>IFERROR(__xludf.DUMMYFUNCTION("""COMPUTED_VALUE"""),"")</f>
        <v/>
      </c>
      <c r="W6513" s="16" t="str">
        <f>IFERROR(__xludf.DUMMYFUNCTION("""COMPUTED_VALUE"""),"")</f>
        <v/>
      </c>
      <c r="X6513" s="16" t="str">
        <f>IFERROR(__xludf.DUMMYFUNCTION("""COMPUTED_VALUE"""),"")</f>
        <v/>
      </c>
      <c r="AC6513" s="16" t="str">
        <f>IFERROR(__xludf.DUMMYFUNCTION("""COMPUTED_VALUE"""),"")</f>
        <v/>
      </c>
    </row>
    <row r="6514">
      <c r="A6514" s="16" t="s">
        <v>87</v>
      </c>
      <c r="E6514" s="16" t="str">
        <f>IFERROR(__xludf.DUMMYFUNCTION("""COMPUTED_VALUE"""),"")</f>
        <v/>
      </c>
      <c r="G6514" s="18"/>
      <c r="H6514" s="16" t="s">
        <v>87</v>
      </c>
      <c r="I6514" s="16" t="s">
        <v>87</v>
      </c>
      <c r="J6514" s="19"/>
      <c r="L6514" s="16" t="str">
        <f>IFERROR(__xludf.DUMMYFUNCTION("""COMPUTED_VALUE"""),"")</f>
        <v/>
      </c>
      <c r="M6514" s="16" t="str">
        <f>IFERROR(__xludf.DUMMYFUNCTION("""COMPUTED_VALUE"""),"")</f>
        <v/>
      </c>
      <c r="U6514" s="16" t="s">
        <v>87</v>
      </c>
      <c r="V6514" s="16" t="str">
        <f>IFERROR(__xludf.DUMMYFUNCTION("""COMPUTED_VALUE"""),"")</f>
        <v/>
      </c>
      <c r="W6514" s="16" t="str">
        <f>IFERROR(__xludf.DUMMYFUNCTION("""COMPUTED_VALUE"""),"")</f>
        <v/>
      </c>
      <c r="X6514" s="16" t="str">
        <f>IFERROR(__xludf.DUMMYFUNCTION("""COMPUTED_VALUE"""),"")</f>
        <v/>
      </c>
      <c r="AC6514" s="16" t="str">
        <f>IFERROR(__xludf.DUMMYFUNCTION("""COMPUTED_VALUE"""),"")</f>
        <v/>
      </c>
    </row>
    <row r="6515">
      <c r="A6515" s="16" t="s">
        <v>87</v>
      </c>
      <c r="E6515" s="16" t="str">
        <f>IFERROR(__xludf.DUMMYFUNCTION("""COMPUTED_VALUE"""),"")</f>
        <v/>
      </c>
      <c r="G6515" s="18"/>
      <c r="H6515" s="16" t="s">
        <v>87</v>
      </c>
      <c r="I6515" s="16" t="s">
        <v>87</v>
      </c>
      <c r="J6515" s="19"/>
      <c r="L6515" s="16" t="str">
        <f>IFERROR(__xludf.DUMMYFUNCTION("""COMPUTED_VALUE"""),"")</f>
        <v/>
      </c>
      <c r="M6515" s="16" t="str">
        <f>IFERROR(__xludf.DUMMYFUNCTION("""COMPUTED_VALUE"""),"")</f>
        <v/>
      </c>
      <c r="U6515" s="16" t="s">
        <v>87</v>
      </c>
      <c r="V6515" s="16" t="str">
        <f>IFERROR(__xludf.DUMMYFUNCTION("""COMPUTED_VALUE"""),"")</f>
        <v/>
      </c>
      <c r="W6515" s="16" t="str">
        <f>IFERROR(__xludf.DUMMYFUNCTION("""COMPUTED_VALUE"""),"")</f>
        <v/>
      </c>
      <c r="X6515" s="16" t="str">
        <f>IFERROR(__xludf.DUMMYFUNCTION("""COMPUTED_VALUE"""),"")</f>
        <v/>
      </c>
      <c r="AC6515" s="16" t="str">
        <f>IFERROR(__xludf.DUMMYFUNCTION("""COMPUTED_VALUE"""),"")</f>
        <v/>
      </c>
    </row>
    <row r="6516">
      <c r="A6516" s="16" t="s">
        <v>87</v>
      </c>
      <c r="E6516" s="16" t="str">
        <f>IFERROR(__xludf.DUMMYFUNCTION("""COMPUTED_VALUE"""),"")</f>
        <v/>
      </c>
      <c r="G6516" s="18"/>
      <c r="H6516" s="16" t="s">
        <v>87</v>
      </c>
      <c r="I6516" s="16" t="s">
        <v>87</v>
      </c>
      <c r="J6516" s="19"/>
      <c r="L6516" s="16" t="str">
        <f>IFERROR(__xludf.DUMMYFUNCTION("""COMPUTED_VALUE"""),"")</f>
        <v/>
      </c>
      <c r="M6516" s="16" t="str">
        <f>IFERROR(__xludf.DUMMYFUNCTION("""COMPUTED_VALUE"""),"")</f>
        <v/>
      </c>
      <c r="U6516" s="16" t="s">
        <v>87</v>
      </c>
      <c r="V6516" s="16" t="str">
        <f>IFERROR(__xludf.DUMMYFUNCTION("""COMPUTED_VALUE"""),"")</f>
        <v/>
      </c>
      <c r="W6516" s="16" t="str">
        <f>IFERROR(__xludf.DUMMYFUNCTION("""COMPUTED_VALUE"""),"")</f>
        <v/>
      </c>
      <c r="X6516" s="16" t="str">
        <f>IFERROR(__xludf.DUMMYFUNCTION("""COMPUTED_VALUE"""),"")</f>
        <v/>
      </c>
      <c r="AC6516" s="16" t="str">
        <f>IFERROR(__xludf.DUMMYFUNCTION("""COMPUTED_VALUE"""),"")</f>
        <v/>
      </c>
    </row>
    <row r="6517">
      <c r="A6517" s="16" t="s">
        <v>87</v>
      </c>
      <c r="E6517" s="16" t="str">
        <f>IFERROR(__xludf.DUMMYFUNCTION("""COMPUTED_VALUE"""),"")</f>
        <v/>
      </c>
      <c r="G6517" s="18"/>
      <c r="H6517" s="16" t="s">
        <v>87</v>
      </c>
      <c r="I6517" s="16" t="s">
        <v>87</v>
      </c>
      <c r="J6517" s="19"/>
      <c r="L6517" s="16" t="str">
        <f>IFERROR(__xludf.DUMMYFUNCTION("""COMPUTED_VALUE"""),"")</f>
        <v/>
      </c>
      <c r="M6517" s="16" t="str">
        <f>IFERROR(__xludf.DUMMYFUNCTION("""COMPUTED_VALUE"""),"")</f>
        <v/>
      </c>
      <c r="U6517" s="16" t="s">
        <v>87</v>
      </c>
      <c r="V6517" s="16" t="str">
        <f>IFERROR(__xludf.DUMMYFUNCTION("""COMPUTED_VALUE"""),"")</f>
        <v/>
      </c>
      <c r="W6517" s="16" t="str">
        <f>IFERROR(__xludf.DUMMYFUNCTION("""COMPUTED_VALUE"""),"")</f>
        <v/>
      </c>
      <c r="X6517" s="16" t="str">
        <f>IFERROR(__xludf.DUMMYFUNCTION("""COMPUTED_VALUE"""),"")</f>
        <v/>
      </c>
      <c r="AC6517" s="16" t="str">
        <f>IFERROR(__xludf.DUMMYFUNCTION("""COMPUTED_VALUE"""),"")</f>
        <v/>
      </c>
    </row>
    <row r="6518">
      <c r="A6518" s="16" t="s">
        <v>87</v>
      </c>
      <c r="E6518" s="16" t="str">
        <f>IFERROR(__xludf.DUMMYFUNCTION("""COMPUTED_VALUE"""),"")</f>
        <v/>
      </c>
      <c r="G6518" s="18"/>
      <c r="H6518" s="16" t="s">
        <v>87</v>
      </c>
      <c r="I6518" s="16" t="s">
        <v>87</v>
      </c>
      <c r="J6518" s="19"/>
      <c r="L6518" s="16" t="str">
        <f>IFERROR(__xludf.DUMMYFUNCTION("""COMPUTED_VALUE"""),"")</f>
        <v/>
      </c>
      <c r="M6518" s="16" t="str">
        <f>IFERROR(__xludf.DUMMYFUNCTION("""COMPUTED_VALUE"""),"")</f>
        <v/>
      </c>
      <c r="U6518" s="16" t="s">
        <v>87</v>
      </c>
      <c r="V6518" s="16" t="str">
        <f>IFERROR(__xludf.DUMMYFUNCTION("""COMPUTED_VALUE"""),"")</f>
        <v/>
      </c>
      <c r="W6518" s="16" t="str">
        <f>IFERROR(__xludf.DUMMYFUNCTION("""COMPUTED_VALUE"""),"")</f>
        <v/>
      </c>
      <c r="X6518" s="16" t="str">
        <f>IFERROR(__xludf.DUMMYFUNCTION("""COMPUTED_VALUE"""),"")</f>
        <v/>
      </c>
      <c r="AC6518" s="16" t="str">
        <f>IFERROR(__xludf.DUMMYFUNCTION("""COMPUTED_VALUE"""),"")</f>
        <v/>
      </c>
    </row>
    <row r="6519">
      <c r="A6519" s="16" t="s">
        <v>87</v>
      </c>
      <c r="E6519" s="16" t="str">
        <f>IFERROR(__xludf.DUMMYFUNCTION("""COMPUTED_VALUE"""),"")</f>
        <v/>
      </c>
      <c r="G6519" s="18"/>
      <c r="H6519" s="16" t="s">
        <v>87</v>
      </c>
      <c r="I6519" s="16" t="s">
        <v>87</v>
      </c>
      <c r="J6519" s="19"/>
      <c r="L6519" s="16" t="str">
        <f>IFERROR(__xludf.DUMMYFUNCTION("""COMPUTED_VALUE"""),"")</f>
        <v/>
      </c>
      <c r="M6519" s="16" t="str">
        <f>IFERROR(__xludf.DUMMYFUNCTION("""COMPUTED_VALUE"""),"")</f>
        <v/>
      </c>
      <c r="U6519" s="16" t="s">
        <v>87</v>
      </c>
      <c r="V6519" s="16" t="str">
        <f>IFERROR(__xludf.DUMMYFUNCTION("""COMPUTED_VALUE"""),"")</f>
        <v/>
      </c>
      <c r="W6519" s="16" t="str">
        <f>IFERROR(__xludf.DUMMYFUNCTION("""COMPUTED_VALUE"""),"")</f>
        <v/>
      </c>
      <c r="X6519" s="16" t="str">
        <f>IFERROR(__xludf.DUMMYFUNCTION("""COMPUTED_VALUE"""),"")</f>
        <v/>
      </c>
      <c r="AC6519" s="16" t="str">
        <f>IFERROR(__xludf.DUMMYFUNCTION("""COMPUTED_VALUE"""),"")</f>
        <v/>
      </c>
    </row>
    <row r="6520">
      <c r="A6520" s="16" t="s">
        <v>87</v>
      </c>
      <c r="E6520" s="16" t="str">
        <f>IFERROR(__xludf.DUMMYFUNCTION("""COMPUTED_VALUE"""),"")</f>
        <v/>
      </c>
      <c r="G6520" s="18"/>
      <c r="H6520" s="16" t="s">
        <v>87</v>
      </c>
      <c r="I6520" s="16" t="s">
        <v>87</v>
      </c>
      <c r="J6520" s="19"/>
      <c r="L6520" s="16" t="str">
        <f>IFERROR(__xludf.DUMMYFUNCTION("""COMPUTED_VALUE"""),"")</f>
        <v/>
      </c>
      <c r="M6520" s="16" t="str">
        <f>IFERROR(__xludf.DUMMYFUNCTION("""COMPUTED_VALUE"""),"")</f>
        <v/>
      </c>
      <c r="U6520" s="16" t="s">
        <v>87</v>
      </c>
      <c r="V6520" s="16" t="str">
        <f>IFERROR(__xludf.DUMMYFUNCTION("""COMPUTED_VALUE"""),"")</f>
        <v/>
      </c>
      <c r="W6520" s="16" t="str">
        <f>IFERROR(__xludf.DUMMYFUNCTION("""COMPUTED_VALUE"""),"")</f>
        <v/>
      </c>
      <c r="X6520" s="16" t="str">
        <f>IFERROR(__xludf.DUMMYFUNCTION("""COMPUTED_VALUE"""),"")</f>
        <v/>
      </c>
      <c r="AC6520" s="16" t="str">
        <f>IFERROR(__xludf.DUMMYFUNCTION("""COMPUTED_VALUE"""),"")</f>
        <v/>
      </c>
    </row>
    <row r="6521">
      <c r="A6521" s="16" t="s">
        <v>87</v>
      </c>
      <c r="E6521" s="16" t="str">
        <f>IFERROR(__xludf.DUMMYFUNCTION("""COMPUTED_VALUE"""),"")</f>
        <v/>
      </c>
      <c r="G6521" s="18"/>
      <c r="H6521" s="16" t="s">
        <v>87</v>
      </c>
      <c r="I6521" s="16" t="s">
        <v>87</v>
      </c>
      <c r="J6521" s="19"/>
      <c r="L6521" s="16" t="str">
        <f>IFERROR(__xludf.DUMMYFUNCTION("""COMPUTED_VALUE"""),"")</f>
        <v/>
      </c>
      <c r="M6521" s="16" t="str">
        <f>IFERROR(__xludf.DUMMYFUNCTION("""COMPUTED_VALUE"""),"")</f>
        <v/>
      </c>
      <c r="U6521" s="16" t="s">
        <v>87</v>
      </c>
      <c r="V6521" s="16" t="str">
        <f>IFERROR(__xludf.DUMMYFUNCTION("""COMPUTED_VALUE"""),"")</f>
        <v/>
      </c>
      <c r="W6521" s="16" t="str">
        <f>IFERROR(__xludf.DUMMYFUNCTION("""COMPUTED_VALUE"""),"")</f>
        <v/>
      </c>
      <c r="X6521" s="16" t="str">
        <f>IFERROR(__xludf.DUMMYFUNCTION("""COMPUTED_VALUE"""),"")</f>
        <v/>
      </c>
      <c r="AC6521" s="16" t="str">
        <f>IFERROR(__xludf.DUMMYFUNCTION("""COMPUTED_VALUE"""),"")</f>
        <v/>
      </c>
    </row>
    <row r="6522">
      <c r="A6522" s="16" t="s">
        <v>87</v>
      </c>
      <c r="E6522" s="16" t="str">
        <f>IFERROR(__xludf.DUMMYFUNCTION("""COMPUTED_VALUE"""),"")</f>
        <v/>
      </c>
      <c r="G6522" s="18"/>
      <c r="H6522" s="16" t="s">
        <v>87</v>
      </c>
      <c r="I6522" s="16" t="s">
        <v>87</v>
      </c>
      <c r="J6522" s="19"/>
      <c r="L6522" s="16" t="str">
        <f>IFERROR(__xludf.DUMMYFUNCTION("""COMPUTED_VALUE"""),"")</f>
        <v/>
      </c>
      <c r="M6522" s="16" t="str">
        <f>IFERROR(__xludf.DUMMYFUNCTION("""COMPUTED_VALUE"""),"")</f>
        <v/>
      </c>
      <c r="U6522" s="16" t="s">
        <v>87</v>
      </c>
      <c r="V6522" s="16" t="str">
        <f>IFERROR(__xludf.DUMMYFUNCTION("""COMPUTED_VALUE"""),"")</f>
        <v/>
      </c>
      <c r="W6522" s="16" t="str">
        <f>IFERROR(__xludf.DUMMYFUNCTION("""COMPUTED_VALUE"""),"")</f>
        <v/>
      </c>
      <c r="X6522" s="16" t="str">
        <f>IFERROR(__xludf.DUMMYFUNCTION("""COMPUTED_VALUE"""),"")</f>
        <v/>
      </c>
      <c r="AC6522" s="16" t="str">
        <f>IFERROR(__xludf.DUMMYFUNCTION("""COMPUTED_VALUE"""),"")</f>
        <v/>
      </c>
    </row>
    <row r="6523">
      <c r="A6523" s="16" t="s">
        <v>87</v>
      </c>
      <c r="E6523" s="16" t="str">
        <f>IFERROR(__xludf.DUMMYFUNCTION("""COMPUTED_VALUE"""),"")</f>
        <v/>
      </c>
      <c r="G6523" s="18"/>
      <c r="H6523" s="16" t="s">
        <v>87</v>
      </c>
      <c r="I6523" s="16" t="s">
        <v>87</v>
      </c>
      <c r="J6523" s="19"/>
      <c r="L6523" s="16" t="str">
        <f>IFERROR(__xludf.DUMMYFUNCTION("""COMPUTED_VALUE"""),"")</f>
        <v/>
      </c>
      <c r="M6523" s="16" t="str">
        <f>IFERROR(__xludf.DUMMYFUNCTION("""COMPUTED_VALUE"""),"")</f>
        <v/>
      </c>
      <c r="U6523" s="16" t="s">
        <v>87</v>
      </c>
      <c r="V6523" s="16" t="str">
        <f>IFERROR(__xludf.DUMMYFUNCTION("""COMPUTED_VALUE"""),"")</f>
        <v/>
      </c>
      <c r="W6523" s="16" t="str">
        <f>IFERROR(__xludf.DUMMYFUNCTION("""COMPUTED_VALUE"""),"")</f>
        <v/>
      </c>
      <c r="X6523" s="16" t="str">
        <f>IFERROR(__xludf.DUMMYFUNCTION("""COMPUTED_VALUE"""),"")</f>
        <v/>
      </c>
      <c r="AC6523" s="16" t="str">
        <f>IFERROR(__xludf.DUMMYFUNCTION("""COMPUTED_VALUE"""),"")</f>
        <v/>
      </c>
    </row>
    <row r="6524">
      <c r="A6524" s="16" t="s">
        <v>87</v>
      </c>
      <c r="E6524" s="16" t="str">
        <f>IFERROR(__xludf.DUMMYFUNCTION("""COMPUTED_VALUE"""),"")</f>
        <v/>
      </c>
      <c r="G6524" s="18"/>
      <c r="H6524" s="16" t="s">
        <v>87</v>
      </c>
      <c r="I6524" s="16" t="s">
        <v>87</v>
      </c>
      <c r="J6524" s="19"/>
      <c r="L6524" s="16" t="str">
        <f>IFERROR(__xludf.DUMMYFUNCTION("""COMPUTED_VALUE"""),"")</f>
        <v/>
      </c>
      <c r="M6524" s="16" t="str">
        <f>IFERROR(__xludf.DUMMYFUNCTION("""COMPUTED_VALUE"""),"")</f>
        <v/>
      </c>
      <c r="U6524" s="16" t="s">
        <v>87</v>
      </c>
      <c r="V6524" s="16" t="str">
        <f>IFERROR(__xludf.DUMMYFUNCTION("""COMPUTED_VALUE"""),"")</f>
        <v/>
      </c>
      <c r="W6524" s="16" t="str">
        <f>IFERROR(__xludf.DUMMYFUNCTION("""COMPUTED_VALUE"""),"")</f>
        <v/>
      </c>
      <c r="X6524" s="16" t="str">
        <f>IFERROR(__xludf.DUMMYFUNCTION("""COMPUTED_VALUE"""),"")</f>
        <v/>
      </c>
      <c r="AC6524" s="16" t="str">
        <f>IFERROR(__xludf.DUMMYFUNCTION("""COMPUTED_VALUE"""),"")</f>
        <v/>
      </c>
    </row>
    <row r="6525">
      <c r="A6525" s="16" t="s">
        <v>87</v>
      </c>
      <c r="E6525" s="16" t="str">
        <f>IFERROR(__xludf.DUMMYFUNCTION("""COMPUTED_VALUE"""),"")</f>
        <v/>
      </c>
      <c r="G6525" s="18"/>
      <c r="H6525" s="16" t="s">
        <v>87</v>
      </c>
      <c r="I6525" s="16" t="s">
        <v>87</v>
      </c>
      <c r="J6525" s="19"/>
      <c r="L6525" s="16" t="str">
        <f>IFERROR(__xludf.DUMMYFUNCTION("""COMPUTED_VALUE"""),"")</f>
        <v/>
      </c>
      <c r="M6525" s="16" t="str">
        <f>IFERROR(__xludf.DUMMYFUNCTION("""COMPUTED_VALUE"""),"")</f>
        <v/>
      </c>
      <c r="U6525" s="16" t="s">
        <v>87</v>
      </c>
      <c r="V6525" s="16" t="str">
        <f>IFERROR(__xludf.DUMMYFUNCTION("""COMPUTED_VALUE"""),"")</f>
        <v/>
      </c>
      <c r="W6525" s="16" t="str">
        <f>IFERROR(__xludf.DUMMYFUNCTION("""COMPUTED_VALUE"""),"")</f>
        <v/>
      </c>
      <c r="X6525" s="16" t="str">
        <f>IFERROR(__xludf.DUMMYFUNCTION("""COMPUTED_VALUE"""),"")</f>
        <v/>
      </c>
      <c r="AC6525" s="16" t="str">
        <f>IFERROR(__xludf.DUMMYFUNCTION("""COMPUTED_VALUE"""),"")</f>
        <v/>
      </c>
    </row>
    <row r="6526">
      <c r="A6526" s="16" t="s">
        <v>87</v>
      </c>
      <c r="E6526" s="16" t="str">
        <f>IFERROR(__xludf.DUMMYFUNCTION("""COMPUTED_VALUE"""),"")</f>
        <v/>
      </c>
      <c r="G6526" s="18"/>
      <c r="H6526" s="16" t="s">
        <v>87</v>
      </c>
      <c r="I6526" s="16" t="s">
        <v>87</v>
      </c>
      <c r="J6526" s="19"/>
      <c r="L6526" s="16" t="str">
        <f>IFERROR(__xludf.DUMMYFUNCTION("""COMPUTED_VALUE"""),"")</f>
        <v/>
      </c>
      <c r="M6526" s="16" t="str">
        <f>IFERROR(__xludf.DUMMYFUNCTION("""COMPUTED_VALUE"""),"")</f>
        <v/>
      </c>
      <c r="U6526" s="16" t="s">
        <v>87</v>
      </c>
      <c r="V6526" s="16" t="str">
        <f>IFERROR(__xludf.DUMMYFUNCTION("""COMPUTED_VALUE"""),"")</f>
        <v/>
      </c>
      <c r="W6526" s="16" t="str">
        <f>IFERROR(__xludf.DUMMYFUNCTION("""COMPUTED_VALUE"""),"")</f>
        <v/>
      </c>
      <c r="X6526" s="16" t="str">
        <f>IFERROR(__xludf.DUMMYFUNCTION("""COMPUTED_VALUE"""),"")</f>
        <v/>
      </c>
      <c r="AC6526" s="16" t="str">
        <f>IFERROR(__xludf.DUMMYFUNCTION("""COMPUTED_VALUE"""),"")</f>
        <v/>
      </c>
    </row>
    <row r="6527">
      <c r="A6527" s="16" t="s">
        <v>87</v>
      </c>
      <c r="E6527" s="16" t="str">
        <f>IFERROR(__xludf.DUMMYFUNCTION("""COMPUTED_VALUE"""),"")</f>
        <v/>
      </c>
      <c r="G6527" s="18"/>
      <c r="H6527" s="16" t="s">
        <v>87</v>
      </c>
      <c r="I6527" s="16" t="s">
        <v>87</v>
      </c>
      <c r="J6527" s="19"/>
      <c r="L6527" s="16" t="str">
        <f>IFERROR(__xludf.DUMMYFUNCTION("""COMPUTED_VALUE"""),"")</f>
        <v/>
      </c>
      <c r="M6527" s="16" t="str">
        <f>IFERROR(__xludf.DUMMYFUNCTION("""COMPUTED_VALUE"""),"")</f>
        <v/>
      </c>
      <c r="U6527" s="16" t="s">
        <v>87</v>
      </c>
      <c r="V6527" s="16" t="str">
        <f>IFERROR(__xludf.DUMMYFUNCTION("""COMPUTED_VALUE"""),"")</f>
        <v/>
      </c>
      <c r="W6527" s="16" t="str">
        <f>IFERROR(__xludf.DUMMYFUNCTION("""COMPUTED_VALUE"""),"")</f>
        <v/>
      </c>
      <c r="X6527" s="16" t="str">
        <f>IFERROR(__xludf.DUMMYFUNCTION("""COMPUTED_VALUE"""),"")</f>
        <v/>
      </c>
      <c r="AC6527" s="16" t="str">
        <f>IFERROR(__xludf.DUMMYFUNCTION("""COMPUTED_VALUE"""),"")</f>
        <v/>
      </c>
    </row>
    <row r="6528">
      <c r="A6528" s="16" t="s">
        <v>87</v>
      </c>
      <c r="E6528" s="16" t="str">
        <f>IFERROR(__xludf.DUMMYFUNCTION("""COMPUTED_VALUE"""),"")</f>
        <v/>
      </c>
      <c r="G6528" s="18"/>
      <c r="H6528" s="16" t="s">
        <v>87</v>
      </c>
      <c r="I6528" s="16" t="s">
        <v>87</v>
      </c>
      <c r="J6528" s="19"/>
      <c r="L6528" s="16" t="str">
        <f>IFERROR(__xludf.DUMMYFUNCTION("""COMPUTED_VALUE"""),"")</f>
        <v/>
      </c>
      <c r="M6528" s="16" t="str">
        <f>IFERROR(__xludf.DUMMYFUNCTION("""COMPUTED_VALUE"""),"")</f>
        <v/>
      </c>
      <c r="U6528" s="16" t="s">
        <v>87</v>
      </c>
      <c r="V6528" s="16" t="str">
        <f>IFERROR(__xludf.DUMMYFUNCTION("""COMPUTED_VALUE"""),"")</f>
        <v/>
      </c>
      <c r="W6528" s="16" t="str">
        <f>IFERROR(__xludf.DUMMYFUNCTION("""COMPUTED_VALUE"""),"")</f>
        <v/>
      </c>
      <c r="X6528" s="16" t="str">
        <f>IFERROR(__xludf.DUMMYFUNCTION("""COMPUTED_VALUE"""),"")</f>
        <v/>
      </c>
      <c r="AC6528" s="16" t="str">
        <f>IFERROR(__xludf.DUMMYFUNCTION("""COMPUTED_VALUE"""),"")</f>
        <v/>
      </c>
    </row>
    <row r="6529">
      <c r="A6529" s="16" t="s">
        <v>87</v>
      </c>
      <c r="E6529" s="16" t="str">
        <f>IFERROR(__xludf.DUMMYFUNCTION("""COMPUTED_VALUE"""),"")</f>
        <v/>
      </c>
      <c r="G6529" s="18"/>
      <c r="H6529" s="16" t="s">
        <v>87</v>
      </c>
      <c r="I6529" s="16" t="s">
        <v>87</v>
      </c>
      <c r="J6529" s="19"/>
      <c r="L6529" s="16" t="str">
        <f>IFERROR(__xludf.DUMMYFUNCTION("""COMPUTED_VALUE"""),"")</f>
        <v/>
      </c>
      <c r="M6529" s="16" t="str">
        <f>IFERROR(__xludf.DUMMYFUNCTION("""COMPUTED_VALUE"""),"")</f>
        <v/>
      </c>
      <c r="U6529" s="16" t="s">
        <v>87</v>
      </c>
      <c r="V6529" s="16" t="str">
        <f>IFERROR(__xludf.DUMMYFUNCTION("""COMPUTED_VALUE"""),"")</f>
        <v/>
      </c>
      <c r="W6529" s="16" t="str">
        <f>IFERROR(__xludf.DUMMYFUNCTION("""COMPUTED_VALUE"""),"")</f>
        <v/>
      </c>
      <c r="X6529" s="16" t="str">
        <f>IFERROR(__xludf.DUMMYFUNCTION("""COMPUTED_VALUE"""),"")</f>
        <v/>
      </c>
      <c r="AC6529" s="16" t="str">
        <f>IFERROR(__xludf.DUMMYFUNCTION("""COMPUTED_VALUE"""),"")</f>
        <v/>
      </c>
    </row>
    <row r="6530">
      <c r="A6530" s="16" t="s">
        <v>87</v>
      </c>
      <c r="E6530" s="16" t="str">
        <f>IFERROR(__xludf.DUMMYFUNCTION("""COMPUTED_VALUE"""),"")</f>
        <v/>
      </c>
      <c r="G6530" s="18"/>
      <c r="H6530" s="16" t="s">
        <v>87</v>
      </c>
      <c r="I6530" s="16" t="s">
        <v>87</v>
      </c>
      <c r="J6530" s="19"/>
      <c r="L6530" s="16" t="str">
        <f>IFERROR(__xludf.DUMMYFUNCTION("""COMPUTED_VALUE"""),"")</f>
        <v/>
      </c>
      <c r="M6530" s="16" t="str">
        <f>IFERROR(__xludf.DUMMYFUNCTION("""COMPUTED_VALUE"""),"")</f>
        <v/>
      </c>
      <c r="U6530" s="16" t="s">
        <v>87</v>
      </c>
      <c r="V6530" s="16" t="str">
        <f>IFERROR(__xludf.DUMMYFUNCTION("""COMPUTED_VALUE"""),"")</f>
        <v/>
      </c>
      <c r="W6530" s="16" t="str">
        <f>IFERROR(__xludf.DUMMYFUNCTION("""COMPUTED_VALUE"""),"")</f>
        <v/>
      </c>
      <c r="X6530" s="16" t="str">
        <f>IFERROR(__xludf.DUMMYFUNCTION("""COMPUTED_VALUE"""),"")</f>
        <v/>
      </c>
      <c r="AC6530" s="16" t="str">
        <f>IFERROR(__xludf.DUMMYFUNCTION("""COMPUTED_VALUE"""),"")</f>
        <v/>
      </c>
    </row>
    <row r="6531">
      <c r="A6531" s="16" t="s">
        <v>87</v>
      </c>
      <c r="E6531" s="16" t="str">
        <f>IFERROR(__xludf.DUMMYFUNCTION("""COMPUTED_VALUE"""),"")</f>
        <v/>
      </c>
      <c r="G6531" s="18"/>
      <c r="H6531" s="16" t="s">
        <v>87</v>
      </c>
      <c r="I6531" s="16" t="s">
        <v>87</v>
      </c>
      <c r="J6531" s="19"/>
      <c r="L6531" s="16" t="str">
        <f>IFERROR(__xludf.DUMMYFUNCTION("""COMPUTED_VALUE"""),"")</f>
        <v/>
      </c>
      <c r="M6531" s="16" t="str">
        <f>IFERROR(__xludf.DUMMYFUNCTION("""COMPUTED_VALUE"""),"")</f>
        <v/>
      </c>
      <c r="U6531" s="16" t="s">
        <v>87</v>
      </c>
      <c r="V6531" s="16" t="str">
        <f>IFERROR(__xludf.DUMMYFUNCTION("""COMPUTED_VALUE"""),"")</f>
        <v/>
      </c>
      <c r="W6531" s="16" t="str">
        <f>IFERROR(__xludf.DUMMYFUNCTION("""COMPUTED_VALUE"""),"")</f>
        <v/>
      </c>
      <c r="X6531" s="16" t="str">
        <f>IFERROR(__xludf.DUMMYFUNCTION("""COMPUTED_VALUE"""),"")</f>
        <v/>
      </c>
      <c r="AC6531" s="16" t="str">
        <f>IFERROR(__xludf.DUMMYFUNCTION("""COMPUTED_VALUE"""),"")</f>
        <v/>
      </c>
    </row>
    <row r="6532">
      <c r="A6532" s="16" t="s">
        <v>87</v>
      </c>
      <c r="E6532" s="16" t="str">
        <f>IFERROR(__xludf.DUMMYFUNCTION("""COMPUTED_VALUE"""),"")</f>
        <v/>
      </c>
      <c r="G6532" s="18"/>
      <c r="H6532" s="16" t="s">
        <v>87</v>
      </c>
      <c r="I6532" s="16" t="s">
        <v>87</v>
      </c>
      <c r="J6532" s="19"/>
      <c r="L6532" s="16" t="str">
        <f>IFERROR(__xludf.DUMMYFUNCTION("""COMPUTED_VALUE"""),"")</f>
        <v/>
      </c>
      <c r="M6532" s="16" t="str">
        <f>IFERROR(__xludf.DUMMYFUNCTION("""COMPUTED_VALUE"""),"")</f>
        <v/>
      </c>
      <c r="U6532" s="16" t="s">
        <v>87</v>
      </c>
      <c r="V6532" s="16" t="str">
        <f>IFERROR(__xludf.DUMMYFUNCTION("""COMPUTED_VALUE"""),"")</f>
        <v/>
      </c>
      <c r="W6532" s="16" t="str">
        <f>IFERROR(__xludf.DUMMYFUNCTION("""COMPUTED_VALUE"""),"")</f>
        <v/>
      </c>
      <c r="X6532" s="16" t="str">
        <f>IFERROR(__xludf.DUMMYFUNCTION("""COMPUTED_VALUE"""),"")</f>
        <v/>
      </c>
      <c r="AC6532" s="16" t="str">
        <f>IFERROR(__xludf.DUMMYFUNCTION("""COMPUTED_VALUE"""),"")</f>
        <v/>
      </c>
    </row>
    <row r="6533">
      <c r="A6533" s="16" t="s">
        <v>87</v>
      </c>
      <c r="E6533" s="16" t="str">
        <f>IFERROR(__xludf.DUMMYFUNCTION("""COMPUTED_VALUE"""),"")</f>
        <v/>
      </c>
      <c r="G6533" s="18"/>
      <c r="H6533" s="16" t="s">
        <v>87</v>
      </c>
      <c r="I6533" s="16" t="s">
        <v>87</v>
      </c>
      <c r="J6533" s="19"/>
      <c r="L6533" s="16" t="str">
        <f>IFERROR(__xludf.DUMMYFUNCTION("""COMPUTED_VALUE"""),"")</f>
        <v/>
      </c>
      <c r="M6533" s="16" t="str">
        <f>IFERROR(__xludf.DUMMYFUNCTION("""COMPUTED_VALUE"""),"")</f>
        <v/>
      </c>
      <c r="U6533" s="16" t="s">
        <v>87</v>
      </c>
      <c r="V6533" s="16" t="str">
        <f>IFERROR(__xludf.DUMMYFUNCTION("""COMPUTED_VALUE"""),"")</f>
        <v/>
      </c>
      <c r="W6533" s="16" t="str">
        <f>IFERROR(__xludf.DUMMYFUNCTION("""COMPUTED_VALUE"""),"")</f>
        <v/>
      </c>
      <c r="X6533" s="16" t="str">
        <f>IFERROR(__xludf.DUMMYFUNCTION("""COMPUTED_VALUE"""),"")</f>
        <v/>
      </c>
      <c r="AC6533" s="16" t="str">
        <f>IFERROR(__xludf.DUMMYFUNCTION("""COMPUTED_VALUE"""),"")</f>
        <v/>
      </c>
    </row>
    <row r="6534">
      <c r="A6534" s="16" t="s">
        <v>87</v>
      </c>
      <c r="E6534" s="16" t="str">
        <f>IFERROR(__xludf.DUMMYFUNCTION("""COMPUTED_VALUE"""),"")</f>
        <v/>
      </c>
      <c r="G6534" s="18"/>
      <c r="H6534" s="16" t="s">
        <v>87</v>
      </c>
      <c r="I6534" s="16" t="s">
        <v>87</v>
      </c>
      <c r="J6534" s="19"/>
      <c r="L6534" s="16" t="str">
        <f>IFERROR(__xludf.DUMMYFUNCTION("""COMPUTED_VALUE"""),"")</f>
        <v/>
      </c>
      <c r="M6534" s="16" t="str">
        <f>IFERROR(__xludf.DUMMYFUNCTION("""COMPUTED_VALUE"""),"")</f>
        <v/>
      </c>
      <c r="U6534" s="16" t="s">
        <v>87</v>
      </c>
      <c r="V6534" s="16" t="str">
        <f>IFERROR(__xludf.DUMMYFUNCTION("""COMPUTED_VALUE"""),"")</f>
        <v/>
      </c>
      <c r="W6534" s="16" t="str">
        <f>IFERROR(__xludf.DUMMYFUNCTION("""COMPUTED_VALUE"""),"")</f>
        <v/>
      </c>
      <c r="X6534" s="16" t="str">
        <f>IFERROR(__xludf.DUMMYFUNCTION("""COMPUTED_VALUE"""),"")</f>
        <v/>
      </c>
      <c r="AC6534" s="16" t="str">
        <f>IFERROR(__xludf.DUMMYFUNCTION("""COMPUTED_VALUE"""),"")</f>
        <v/>
      </c>
    </row>
    <row r="6535">
      <c r="A6535" s="16" t="s">
        <v>87</v>
      </c>
      <c r="E6535" s="16" t="str">
        <f>IFERROR(__xludf.DUMMYFUNCTION("""COMPUTED_VALUE"""),"")</f>
        <v/>
      </c>
      <c r="G6535" s="18"/>
      <c r="H6535" s="16" t="s">
        <v>87</v>
      </c>
      <c r="I6535" s="16" t="s">
        <v>87</v>
      </c>
      <c r="J6535" s="19"/>
      <c r="L6535" s="16" t="str">
        <f>IFERROR(__xludf.DUMMYFUNCTION("""COMPUTED_VALUE"""),"")</f>
        <v/>
      </c>
      <c r="M6535" s="16" t="str">
        <f>IFERROR(__xludf.DUMMYFUNCTION("""COMPUTED_VALUE"""),"")</f>
        <v/>
      </c>
      <c r="U6535" s="16" t="s">
        <v>87</v>
      </c>
      <c r="V6535" s="16" t="str">
        <f>IFERROR(__xludf.DUMMYFUNCTION("""COMPUTED_VALUE"""),"")</f>
        <v/>
      </c>
      <c r="W6535" s="16" t="str">
        <f>IFERROR(__xludf.DUMMYFUNCTION("""COMPUTED_VALUE"""),"")</f>
        <v/>
      </c>
      <c r="X6535" s="16" t="str">
        <f>IFERROR(__xludf.DUMMYFUNCTION("""COMPUTED_VALUE"""),"")</f>
        <v/>
      </c>
      <c r="AC6535" s="16" t="str">
        <f>IFERROR(__xludf.DUMMYFUNCTION("""COMPUTED_VALUE"""),"")</f>
        <v/>
      </c>
    </row>
    <row r="6536">
      <c r="A6536" s="16" t="s">
        <v>87</v>
      </c>
      <c r="E6536" s="16" t="str">
        <f>IFERROR(__xludf.DUMMYFUNCTION("""COMPUTED_VALUE"""),"")</f>
        <v/>
      </c>
      <c r="G6536" s="18"/>
      <c r="H6536" s="16" t="s">
        <v>87</v>
      </c>
      <c r="I6536" s="16" t="s">
        <v>87</v>
      </c>
      <c r="J6536" s="19"/>
      <c r="L6536" s="16" t="str">
        <f>IFERROR(__xludf.DUMMYFUNCTION("""COMPUTED_VALUE"""),"")</f>
        <v/>
      </c>
      <c r="M6536" s="16" t="str">
        <f>IFERROR(__xludf.DUMMYFUNCTION("""COMPUTED_VALUE"""),"")</f>
        <v/>
      </c>
      <c r="U6536" s="16" t="s">
        <v>87</v>
      </c>
      <c r="V6536" s="16" t="str">
        <f>IFERROR(__xludf.DUMMYFUNCTION("""COMPUTED_VALUE"""),"")</f>
        <v/>
      </c>
      <c r="W6536" s="16" t="str">
        <f>IFERROR(__xludf.DUMMYFUNCTION("""COMPUTED_VALUE"""),"")</f>
        <v/>
      </c>
      <c r="X6536" s="16" t="str">
        <f>IFERROR(__xludf.DUMMYFUNCTION("""COMPUTED_VALUE"""),"")</f>
        <v/>
      </c>
      <c r="AC6536" s="16" t="str">
        <f>IFERROR(__xludf.DUMMYFUNCTION("""COMPUTED_VALUE"""),"")</f>
        <v/>
      </c>
    </row>
    <row r="6537">
      <c r="A6537" s="16" t="s">
        <v>87</v>
      </c>
      <c r="E6537" s="16" t="str">
        <f>IFERROR(__xludf.DUMMYFUNCTION("""COMPUTED_VALUE"""),"")</f>
        <v/>
      </c>
      <c r="G6537" s="18"/>
      <c r="H6537" s="16" t="s">
        <v>87</v>
      </c>
      <c r="I6537" s="16" t="s">
        <v>87</v>
      </c>
      <c r="J6537" s="19"/>
      <c r="L6537" s="16" t="str">
        <f>IFERROR(__xludf.DUMMYFUNCTION("""COMPUTED_VALUE"""),"")</f>
        <v/>
      </c>
      <c r="M6537" s="16" t="str">
        <f>IFERROR(__xludf.DUMMYFUNCTION("""COMPUTED_VALUE"""),"")</f>
        <v/>
      </c>
      <c r="U6537" s="16" t="s">
        <v>87</v>
      </c>
      <c r="V6537" s="16" t="str">
        <f>IFERROR(__xludf.DUMMYFUNCTION("""COMPUTED_VALUE"""),"")</f>
        <v/>
      </c>
      <c r="W6537" s="16" t="str">
        <f>IFERROR(__xludf.DUMMYFUNCTION("""COMPUTED_VALUE"""),"")</f>
        <v/>
      </c>
      <c r="X6537" s="16" t="str">
        <f>IFERROR(__xludf.DUMMYFUNCTION("""COMPUTED_VALUE"""),"")</f>
        <v/>
      </c>
      <c r="AC6537" s="16" t="str">
        <f>IFERROR(__xludf.DUMMYFUNCTION("""COMPUTED_VALUE"""),"")</f>
        <v/>
      </c>
    </row>
    <row r="6538">
      <c r="A6538" s="16" t="s">
        <v>87</v>
      </c>
      <c r="E6538" s="16" t="str">
        <f>IFERROR(__xludf.DUMMYFUNCTION("""COMPUTED_VALUE"""),"")</f>
        <v/>
      </c>
      <c r="G6538" s="18"/>
      <c r="H6538" s="16" t="s">
        <v>87</v>
      </c>
      <c r="I6538" s="16" t="s">
        <v>87</v>
      </c>
      <c r="J6538" s="19"/>
      <c r="L6538" s="16" t="str">
        <f>IFERROR(__xludf.DUMMYFUNCTION("""COMPUTED_VALUE"""),"")</f>
        <v/>
      </c>
      <c r="M6538" s="16" t="str">
        <f>IFERROR(__xludf.DUMMYFUNCTION("""COMPUTED_VALUE"""),"")</f>
        <v/>
      </c>
      <c r="U6538" s="16" t="s">
        <v>87</v>
      </c>
      <c r="V6538" s="16" t="str">
        <f>IFERROR(__xludf.DUMMYFUNCTION("""COMPUTED_VALUE"""),"")</f>
        <v/>
      </c>
      <c r="W6538" s="16" t="str">
        <f>IFERROR(__xludf.DUMMYFUNCTION("""COMPUTED_VALUE"""),"")</f>
        <v/>
      </c>
      <c r="X6538" s="16" t="str">
        <f>IFERROR(__xludf.DUMMYFUNCTION("""COMPUTED_VALUE"""),"")</f>
        <v/>
      </c>
      <c r="AC6538" s="16" t="str">
        <f>IFERROR(__xludf.DUMMYFUNCTION("""COMPUTED_VALUE"""),"")</f>
        <v/>
      </c>
    </row>
    <row r="6539">
      <c r="A6539" s="16" t="s">
        <v>87</v>
      </c>
      <c r="E6539" s="16" t="str">
        <f>IFERROR(__xludf.DUMMYFUNCTION("""COMPUTED_VALUE"""),"")</f>
        <v/>
      </c>
      <c r="G6539" s="18"/>
      <c r="H6539" s="16" t="s">
        <v>87</v>
      </c>
      <c r="I6539" s="16" t="s">
        <v>87</v>
      </c>
      <c r="J6539" s="19"/>
      <c r="L6539" s="16" t="str">
        <f>IFERROR(__xludf.DUMMYFUNCTION("""COMPUTED_VALUE"""),"")</f>
        <v/>
      </c>
      <c r="M6539" s="16" t="str">
        <f>IFERROR(__xludf.DUMMYFUNCTION("""COMPUTED_VALUE"""),"")</f>
        <v/>
      </c>
      <c r="U6539" s="16" t="s">
        <v>87</v>
      </c>
      <c r="V6539" s="16" t="str">
        <f>IFERROR(__xludf.DUMMYFUNCTION("""COMPUTED_VALUE"""),"")</f>
        <v/>
      </c>
      <c r="W6539" s="16" t="str">
        <f>IFERROR(__xludf.DUMMYFUNCTION("""COMPUTED_VALUE"""),"")</f>
        <v/>
      </c>
      <c r="X6539" s="16" t="str">
        <f>IFERROR(__xludf.DUMMYFUNCTION("""COMPUTED_VALUE"""),"")</f>
        <v/>
      </c>
      <c r="AC6539" s="16" t="str">
        <f>IFERROR(__xludf.DUMMYFUNCTION("""COMPUTED_VALUE"""),"")</f>
        <v/>
      </c>
    </row>
    <row r="6540">
      <c r="A6540" s="16" t="s">
        <v>87</v>
      </c>
      <c r="E6540" s="16" t="str">
        <f>IFERROR(__xludf.DUMMYFUNCTION("""COMPUTED_VALUE"""),"")</f>
        <v/>
      </c>
      <c r="G6540" s="18"/>
      <c r="H6540" s="16" t="s">
        <v>87</v>
      </c>
      <c r="I6540" s="16" t="s">
        <v>87</v>
      </c>
      <c r="J6540" s="19"/>
      <c r="L6540" s="16" t="str">
        <f>IFERROR(__xludf.DUMMYFUNCTION("""COMPUTED_VALUE"""),"")</f>
        <v/>
      </c>
      <c r="M6540" s="16" t="str">
        <f>IFERROR(__xludf.DUMMYFUNCTION("""COMPUTED_VALUE"""),"")</f>
        <v/>
      </c>
      <c r="U6540" s="16" t="s">
        <v>87</v>
      </c>
      <c r="V6540" s="16" t="str">
        <f>IFERROR(__xludf.DUMMYFUNCTION("""COMPUTED_VALUE"""),"")</f>
        <v/>
      </c>
      <c r="W6540" s="16" t="str">
        <f>IFERROR(__xludf.DUMMYFUNCTION("""COMPUTED_VALUE"""),"")</f>
        <v/>
      </c>
      <c r="X6540" s="16" t="str">
        <f>IFERROR(__xludf.DUMMYFUNCTION("""COMPUTED_VALUE"""),"")</f>
        <v/>
      </c>
      <c r="AC6540" s="16" t="str">
        <f>IFERROR(__xludf.DUMMYFUNCTION("""COMPUTED_VALUE"""),"")</f>
        <v/>
      </c>
    </row>
    <row r="6541">
      <c r="A6541" s="16" t="s">
        <v>87</v>
      </c>
      <c r="E6541" s="16" t="str">
        <f>IFERROR(__xludf.DUMMYFUNCTION("""COMPUTED_VALUE"""),"")</f>
        <v/>
      </c>
      <c r="G6541" s="18"/>
      <c r="H6541" s="16" t="s">
        <v>87</v>
      </c>
      <c r="I6541" s="16" t="s">
        <v>87</v>
      </c>
      <c r="J6541" s="19"/>
      <c r="L6541" s="16" t="str">
        <f>IFERROR(__xludf.DUMMYFUNCTION("""COMPUTED_VALUE"""),"")</f>
        <v/>
      </c>
      <c r="M6541" s="16" t="str">
        <f>IFERROR(__xludf.DUMMYFUNCTION("""COMPUTED_VALUE"""),"")</f>
        <v/>
      </c>
      <c r="U6541" s="16" t="s">
        <v>87</v>
      </c>
      <c r="V6541" s="16" t="str">
        <f>IFERROR(__xludf.DUMMYFUNCTION("""COMPUTED_VALUE"""),"")</f>
        <v/>
      </c>
      <c r="W6541" s="16" t="str">
        <f>IFERROR(__xludf.DUMMYFUNCTION("""COMPUTED_VALUE"""),"")</f>
        <v/>
      </c>
      <c r="X6541" s="16" t="str">
        <f>IFERROR(__xludf.DUMMYFUNCTION("""COMPUTED_VALUE"""),"")</f>
        <v/>
      </c>
      <c r="AC6541" s="16" t="str">
        <f>IFERROR(__xludf.DUMMYFUNCTION("""COMPUTED_VALUE"""),"")</f>
        <v/>
      </c>
    </row>
    <row r="6542">
      <c r="A6542" s="16" t="s">
        <v>87</v>
      </c>
      <c r="E6542" s="16" t="str">
        <f>IFERROR(__xludf.DUMMYFUNCTION("""COMPUTED_VALUE"""),"")</f>
        <v/>
      </c>
      <c r="G6542" s="18"/>
      <c r="H6542" s="16" t="s">
        <v>87</v>
      </c>
      <c r="I6542" s="16" t="s">
        <v>87</v>
      </c>
      <c r="J6542" s="19"/>
      <c r="L6542" s="16" t="str">
        <f>IFERROR(__xludf.DUMMYFUNCTION("""COMPUTED_VALUE"""),"")</f>
        <v/>
      </c>
      <c r="M6542" s="16" t="str">
        <f>IFERROR(__xludf.DUMMYFUNCTION("""COMPUTED_VALUE"""),"")</f>
        <v/>
      </c>
      <c r="U6542" s="16" t="s">
        <v>87</v>
      </c>
      <c r="V6542" s="16" t="str">
        <f>IFERROR(__xludf.DUMMYFUNCTION("""COMPUTED_VALUE"""),"")</f>
        <v/>
      </c>
      <c r="W6542" s="16" t="str">
        <f>IFERROR(__xludf.DUMMYFUNCTION("""COMPUTED_VALUE"""),"")</f>
        <v/>
      </c>
      <c r="X6542" s="16" t="str">
        <f>IFERROR(__xludf.DUMMYFUNCTION("""COMPUTED_VALUE"""),"")</f>
        <v/>
      </c>
      <c r="AC6542" s="16" t="str">
        <f>IFERROR(__xludf.DUMMYFUNCTION("""COMPUTED_VALUE"""),"")</f>
        <v/>
      </c>
    </row>
    <row r="6543">
      <c r="A6543" s="16" t="s">
        <v>87</v>
      </c>
      <c r="E6543" s="16" t="str">
        <f>IFERROR(__xludf.DUMMYFUNCTION("""COMPUTED_VALUE"""),"")</f>
        <v/>
      </c>
      <c r="G6543" s="18"/>
      <c r="H6543" s="16" t="s">
        <v>87</v>
      </c>
      <c r="I6543" s="16" t="s">
        <v>87</v>
      </c>
      <c r="J6543" s="19"/>
      <c r="L6543" s="16" t="str">
        <f>IFERROR(__xludf.DUMMYFUNCTION("""COMPUTED_VALUE"""),"")</f>
        <v/>
      </c>
      <c r="M6543" s="16" t="str">
        <f>IFERROR(__xludf.DUMMYFUNCTION("""COMPUTED_VALUE"""),"")</f>
        <v/>
      </c>
      <c r="U6543" s="16" t="s">
        <v>87</v>
      </c>
      <c r="V6543" s="16" t="str">
        <f>IFERROR(__xludf.DUMMYFUNCTION("""COMPUTED_VALUE"""),"")</f>
        <v/>
      </c>
      <c r="W6543" s="16" t="str">
        <f>IFERROR(__xludf.DUMMYFUNCTION("""COMPUTED_VALUE"""),"")</f>
        <v/>
      </c>
      <c r="X6543" s="16" t="str">
        <f>IFERROR(__xludf.DUMMYFUNCTION("""COMPUTED_VALUE"""),"")</f>
        <v/>
      </c>
      <c r="AC6543" s="16" t="str">
        <f>IFERROR(__xludf.DUMMYFUNCTION("""COMPUTED_VALUE"""),"")</f>
        <v/>
      </c>
    </row>
    <row r="6544">
      <c r="A6544" s="16" t="s">
        <v>87</v>
      </c>
      <c r="E6544" s="16" t="str">
        <f>IFERROR(__xludf.DUMMYFUNCTION("""COMPUTED_VALUE"""),"")</f>
        <v/>
      </c>
      <c r="G6544" s="18"/>
      <c r="H6544" s="16" t="s">
        <v>87</v>
      </c>
      <c r="I6544" s="16" t="s">
        <v>87</v>
      </c>
      <c r="J6544" s="19"/>
      <c r="L6544" s="16" t="str">
        <f>IFERROR(__xludf.DUMMYFUNCTION("""COMPUTED_VALUE"""),"")</f>
        <v/>
      </c>
      <c r="M6544" s="16" t="str">
        <f>IFERROR(__xludf.DUMMYFUNCTION("""COMPUTED_VALUE"""),"")</f>
        <v/>
      </c>
      <c r="U6544" s="16" t="s">
        <v>87</v>
      </c>
      <c r="V6544" s="16" t="str">
        <f>IFERROR(__xludf.DUMMYFUNCTION("""COMPUTED_VALUE"""),"")</f>
        <v/>
      </c>
      <c r="W6544" s="16" t="str">
        <f>IFERROR(__xludf.DUMMYFUNCTION("""COMPUTED_VALUE"""),"")</f>
        <v/>
      </c>
      <c r="X6544" s="16" t="str">
        <f>IFERROR(__xludf.DUMMYFUNCTION("""COMPUTED_VALUE"""),"")</f>
        <v/>
      </c>
      <c r="AC6544" s="16" t="str">
        <f>IFERROR(__xludf.DUMMYFUNCTION("""COMPUTED_VALUE"""),"")</f>
        <v/>
      </c>
    </row>
    <row r="6545">
      <c r="A6545" s="16" t="s">
        <v>87</v>
      </c>
      <c r="E6545" s="16" t="str">
        <f>IFERROR(__xludf.DUMMYFUNCTION("""COMPUTED_VALUE"""),"")</f>
        <v/>
      </c>
      <c r="G6545" s="18"/>
      <c r="H6545" s="16" t="s">
        <v>87</v>
      </c>
      <c r="I6545" s="16" t="s">
        <v>87</v>
      </c>
      <c r="J6545" s="19"/>
      <c r="L6545" s="16" t="str">
        <f>IFERROR(__xludf.DUMMYFUNCTION("""COMPUTED_VALUE"""),"")</f>
        <v/>
      </c>
      <c r="M6545" s="16" t="str">
        <f>IFERROR(__xludf.DUMMYFUNCTION("""COMPUTED_VALUE"""),"")</f>
        <v/>
      </c>
      <c r="U6545" s="16" t="s">
        <v>87</v>
      </c>
      <c r="V6545" s="16" t="str">
        <f>IFERROR(__xludf.DUMMYFUNCTION("""COMPUTED_VALUE"""),"")</f>
        <v/>
      </c>
      <c r="W6545" s="16" t="str">
        <f>IFERROR(__xludf.DUMMYFUNCTION("""COMPUTED_VALUE"""),"")</f>
        <v/>
      </c>
      <c r="X6545" s="16" t="str">
        <f>IFERROR(__xludf.DUMMYFUNCTION("""COMPUTED_VALUE"""),"")</f>
        <v/>
      </c>
      <c r="AC6545" s="16" t="str">
        <f>IFERROR(__xludf.DUMMYFUNCTION("""COMPUTED_VALUE"""),"")</f>
        <v/>
      </c>
    </row>
    <row r="6546">
      <c r="A6546" s="16" t="s">
        <v>87</v>
      </c>
      <c r="E6546" s="16" t="str">
        <f>IFERROR(__xludf.DUMMYFUNCTION("""COMPUTED_VALUE"""),"")</f>
        <v/>
      </c>
      <c r="G6546" s="18"/>
      <c r="H6546" s="16" t="s">
        <v>87</v>
      </c>
      <c r="I6546" s="16" t="s">
        <v>87</v>
      </c>
      <c r="J6546" s="19"/>
      <c r="L6546" s="16" t="str">
        <f>IFERROR(__xludf.DUMMYFUNCTION("""COMPUTED_VALUE"""),"")</f>
        <v/>
      </c>
      <c r="M6546" s="16" t="str">
        <f>IFERROR(__xludf.DUMMYFUNCTION("""COMPUTED_VALUE"""),"")</f>
        <v/>
      </c>
      <c r="U6546" s="16" t="s">
        <v>87</v>
      </c>
      <c r="V6546" s="16" t="str">
        <f>IFERROR(__xludf.DUMMYFUNCTION("""COMPUTED_VALUE"""),"")</f>
        <v/>
      </c>
      <c r="W6546" s="16" t="str">
        <f>IFERROR(__xludf.DUMMYFUNCTION("""COMPUTED_VALUE"""),"")</f>
        <v/>
      </c>
      <c r="X6546" s="16" t="str">
        <f>IFERROR(__xludf.DUMMYFUNCTION("""COMPUTED_VALUE"""),"")</f>
        <v/>
      </c>
      <c r="AC6546" s="16" t="str">
        <f>IFERROR(__xludf.DUMMYFUNCTION("""COMPUTED_VALUE"""),"")</f>
        <v/>
      </c>
    </row>
    <row r="6547">
      <c r="A6547" s="16" t="s">
        <v>87</v>
      </c>
      <c r="E6547" s="16" t="str">
        <f>IFERROR(__xludf.DUMMYFUNCTION("""COMPUTED_VALUE"""),"")</f>
        <v/>
      </c>
      <c r="G6547" s="18"/>
      <c r="H6547" s="16" t="s">
        <v>87</v>
      </c>
      <c r="I6547" s="16" t="s">
        <v>87</v>
      </c>
      <c r="J6547" s="19"/>
      <c r="L6547" s="16" t="str">
        <f>IFERROR(__xludf.DUMMYFUNCTION("""COMPUTED_VALUE"""),"")</f>
        <v/>
      </c>
      <c r="M6547" s="16" t="str">
        <f>IFERROR(__xludf.DUMMYFUNCTION("""COMPUTED_VALUE"""),"")</f>
        <v/>
      </c>
      <c r="U6547" s="16" t="s">
        <v>87</v>
      </c>
      <c r="V6547" s="16" t="str">
        <f>IFERROR(__xludf.DUMMYFUNCTION("""COMPUTED_VALUE"""),"")</f>
        <v/>
      </c>
      <c r="W6547" s="16" t="str">
        <f>IFERROR(__xludf.DUMMYFUNCTION("""COMPUTED_VALUE"""),"")</f>
        <v/>
      </c>
      <c r="X6547" s="16" t="str">
        <f>IFERROR(__xludf.DUMMYFUNCTION("""COMPUTED_VALUE"""),"")</f>
        <v/>
      </c>
      <c r="AC6547" s="16" t="str">
        <f>IFERROR(__xludf.DUMMYFUNCTION("""COMPUTED_VALUE"""),"")</f>
        <v/>
      </c>
    </row>
    <row r="6548">
      <c r="A6548" s="16" t="s">
        <v>87</v>
      </c>
      <c r="E6548" s="16" t="str">
        <f>IFERROR(__xludf.DUMMYFUNCTION("""COMPUTED_VALUE"""),"")</f>
        <v/>
      </c>
      <c r="G6548" s="18"/>
      <c r="H6548" s="16" t="s">
        <v>87</v>
      </c>
      <c r="I6548" s="16" t="s">
        <v>87</v>
      </c>
      <c r="J6548" s="19"/>
      <c r="L6548" s="16" t="str">
        <f>IFERROR(__xludf.DUMMYFUNCTION("""COMPUTED_VALUE"""),"")</f>
        <v/>
      </c>
      <c r="M6548" s="16" t="str">
        <f>IFERROR(__xludf.DUMMYFUNCTION("""COMPUTED_VALUE"""),"")</f>
        <v/>
      </c>
      <c r="U6548" s="16" t="s">
        <v>87</v>
      </c>
      <c r="V6548" s="16" t="str">
        <f>IFERROR(__xludf.DUMMYFUNCTION("""COMPUTED_VALUE"""),"")</f>
        <v/>
      </c>
      <c r="W6548" s="16" t="str">
        <f>IFERROR(__xludf.DUMMYFUNCTION("""COMPUTED_VALUE"""),"")</f>
        <v/>
      </c>
      <c r="X6548" s="16" t="str">
        <f>IFERROR(__xludf.DUMMYFUNCTION("""COMPUTED_VALUE"""),"")</f>
        <v/>
      </c>
      <c r="AC6548" s="16" t="str">
        <f>IFERROR(__xludf.DUMMYFUNCTION("""COMPUTED_VALUE"""),"")</f>
        <v/>
      </c>
    </row>
    <row r="6549">
      <c r="A6549" s="16" t="s">
        <v>87</v>
      </c>
      <c r="E6549" s="16" t="str">
        <f>IFERROR(__xludf.DUMMYFUNCTION("""COMPUTED_VALUE"""),"")</f>
        <v/>
      </c>
      <c r="G6549" s="18"/>
      <c r="H6549" s="16" t="s">
        <v>87</v>
      </c>
      <c r="I6549" s="16" t="s">
        <v>87</v>
      </c>
      <c r="J6549" s="19"/>
      <c r="L6549" s="16" t="str">
        <f>IFERROR(__xludf.DUMMYFUNCTION("""COMPUTED_VALUE"""),"")</f>
        <v/>
      </c>
      <c r="M6549" s="16" t="str">
        <f>IFERROR(__xludf.DUMMYFUNCTION("""COMPUTED_VALUE"""),"")</f>
        <v/>
      </c>
      <c r="U6549" s="16" t="s">
        <v>87</v>
      </c>
      <c r="V6549" s="16" t="str">
        <f>IFERROR(__xludf.DUMMYFUNCTION("""COMPUTED_VALUE"""),"")</f>
        <v/>
      </c>
      <c r="W6549" s="16" t="str">
        <f>IFERROR(__xludf.DUMMYFUNCTION("""COMPUTED_VALUE"""),"")</f>
        <v/>
      </c>
      <c r="X6549" s="16" t="str">
        <f>IFERROR(__xludf.DUMMYFUNCTION("""COMPUTED_VALUE"""),"")</f>
        <v/>
      </c>
      <c r="AC6549" s="16" t="str">
        <f>IFERROR(__xludf.DUMMYFUNCTION("""COMPUTED_VALUE"""),"")</f>
        <v/>
      </c>
    </row>
    <row r="6550">
      <c r="A6550" s="16" t="s">
        <v>87</v>
      </c>
      <c r="E6550" s="16" t="str">
        <f>IFERROR(__xludf.DUMMYFUNCTION("""COMPUTED_VALUE"""),"")</f>
        <v/>
      </c>
      <c r="G6550" s="18"/>
      <c r="H6550" s="16" t="s">
        <v>87</v>
      </c>
      <c r="I6550" s="16" t="s">
        <v>87</v>
      </c>
      <c r="J6550" s="19"/>
      <c r="L6550" s="16" t="str">
        <f>IFERROR(__xludf.DUMMYFUNCTION("""COMPUTED_VALUE"""),"")</f>
        <v/>
      </c>
      <c r="M6550" s="16" t="str">
        <f>IFERROR(__xludf.DUMMYFUNCTION("""COMPUTED_VALUE"""),"")</f>
        <v/>
      </c>
      <c r="U6550" s="16" t="s">
        <v>87</v>
      </c>
      <c r="V6550" s="16" t="str">
        <f>IFERROR(__xludf.DUMMYFUNCTION("""COMPUTED_VALUE"""),"")</f>
        <v/>
      </c>
      <c r="W6550" s="16" t="str">
        <f>IFERROR(__xludf.DUMMYFUNCTION("""COMPUTED_VALUE"""),"")</f>
        <v/>
      </c>
      <c r="X6550" s="16" t="str">
        <f>IFERROR(__xludf.DUMMYFUNCTION("""COMPUTED_VALUE"""),"")</f>
        <v/>
      </c>
      <c r="AC6550" s="16" t="str">
        <f>IFERROR(__xludf.DUMMYFUNCTION("""COMPUTED_VALUE"""),"")</f>
        <v/>
      </c>
    </row>
    <row r="6551">
      <c r="A6551" s="16" t="s">
        <v>87</v>
      </c>
      <c r="E6551" s="16" t="str">
        <f>IFERROR(__xludf.DUMMYFUNCTION("""COMPUTED_VALUE"""),"")</f>
        <v/>
      </c>
      <c r="G6551" s="18"/>
      <c r="H6551" s="16" t="s">
        <v>87</v>
      </c>
      <c r="I6551" s="16" t="s">
        <v>87</v>
      </c>
      <c r="J6551" s="19"/>
      <c r="L6551" s="16" t="str">
        <f>IFERROR(__xludf.DUMMYFUNCTION("""COMPUTED_VALUE"""),"")</f>
        <v/>
      </c>
      <c r="M6551" s="16" t="str">
        <f>IFERROR(__xludf.DUMMYFUNCTION("""COMPUTED_VALUE"""),"")</f>
        <v/>
      </c>
      <c r="U6551" s="16" t="s">
        <v>87</v>
      </c>
      <c r="V6551" s="16" t="str">
        <f>IFERROR(__xludf.DUMMYFUNCTION("""COMPUTED_VALUE"""),"")</f>
        <v/>
      </c>
      <c r="W6551" s="16" t="str">
        <f>IFERROR(__xludf.DUMMYFUNCTION("""COMPUTED_VALUE"""),"")</f>
        <v/>
      </c>
      <c r="X6551" s="16" t="str">
        <f>IFERROR(__xludf.DUMMYFUNCTION("""COMPUTED_VALUE"""),"")</f>
        <v/>
      </c>
      <c r="AC6551" s="16" t="str">
        <f>IFERROR(__xludf.DUMMYFUNCTION("""COMPUTED_VALUE"""),"")</f>
        <v/>
      </c>
    </row>
    <row r="6552">
      <c r="A6552" s="16" t="s">
        <v>87</v>
      </c>
      <c r="E6552" s="16" t="str">
        <f>IFERROR(__xludf.DUMMYFUNCTION("""COMPUTED_VALUE"""),"")</f>
        <v/>
      </c>
      <c r="G6552" s="18"/>
      <c r="H6552" s="16" t="s">
        <v>87</v>
      </c>
      <c r="I6552" s="16" t="s">
        <v>87</v>
      </c>
      <c r="J6552" s="19"/>
      <c r="L6552" s="16" t="str">
        <f>IFERROR(__xludf.DUMMYFUNCTION("""COMPUTED_VALUE"""),"")</f>
        <v/>
      </c>
      <c r="M6552" s="16" t="str">
        <f>IFERROR(__xludf.DUMMYFUNCTION("""COMPUTED_VALUE"""),"")</f>
        <v/>
      </c>
      <c r="U6552" s="16" t="s">
        <v>87</v>
      </c>
      <c r="V6552" s="16" t="str">
        <f>IFERROR(__xludf.DUMMYFUNCTION("""COMPUTED_VALUE"""),"")</f>
        <v/>
      </c>
      <c r="W6552" s="16" t="str">
        <f>IFERROR(__xludf.DUMMYFUNCTION("""COMPUTED_VALUE"""),"")</f>
        <v/>
      </c>
      <c r="X6552" s="16" t="str">
        <f>IFERROR(__xludf.DUMMYFUNCTION("""COMPUTED_VALUE"""),"")</f>
        <v/>
      </c>
      <c r="AC6552" s="16" t="str">
        <f>IFERROR(__xludf.DUMMYFUNCTION("""COMPUTED_VALUE"""),"")</f>
        <v/>
      </c>
    </row>
    <row r="6553">
      <c r="A6553" s="16" t="s">
        <v>87</v>
      </c>
      <c r="E6553" s="16" t="str">
        <f>IFERROR(__xludf.DUMMYFUNCTION("""COMPUTED_VALUE"""),"")</f>
        <v/>
      </c>
      <c r="G6553" s="18"/>
      <c r="H6553" s="16" t="s">
        <v>87</v>
      </c>
      <c r="I6553" s="16" t="s">
        <v>87</v>
      </c>
      <c r="J6553" s="19"/>
      <c r="L6553" s="16" t="str">
        <f>IFERROR(__xludf.DUMMYFUNCTION("""COMPUTED_VALUE"""),"")</f>
        <v/>
      </c>
      <c r="M6553" s="16" t="str">
        <f>IFERROR(__xludf.DUMMYFUNCTION("""COMPUTED_VALUE"""),"")</f>
        <v/>
      </c>
      <c r="U6553" s="16" t="s">
        <v>87</v>
      </c>
      <c r="V6553" s="16" t="str">
        <f>IFERROR(__xludf.DUMMYFUNCTION("""COMPUTED_VALUE"""),"")</f>
        <v/>
      </c>
      <c r="W6553" s="16" t="str">
        <f>IFERROR(__xludf.DUMMYFUNCTION("""COMPUTED_VALUE"""),"")</f>
        <v/>
      </c>
      <c r="X6553" s="16" t="str">
        <f>IFERROR(__xludf.DUMMYFUNCTION("""COMPUTED_VALUE"""),"")</f>
        <v/>
      </c>
      <c r="AC6553" s="16" t="str">
        <f>IFERROR(__xludf.DUMMYFUNCTION("""COMPUTED_VALUE"""),"")</f>
        <v/>
      </c>
    </row>
    <row r="6554">
      <c r="A6554" s="16" t="s">
        <v>87</v>
      </c>
      <c r="E6554" s="16" t="str">
        <f>IFERROR(__xludf.DUMMYFUNCTION("""COMPUTED_VALUE"""),"")</f>
        <v/>
      </c>
      <c r="G6554" s="18"/>
      <c r="H6554" s="16" t="s">
        <v>87</v>
      </c>
      <c r="I6554" s="16" t="s">
        <v>87</v>
      </c>
      <c r="J6554" s="19"/>
      <c r="L6554" s="16" t="str">
        <f>IFERROR(__xludf.DUMMYFUNCTION("""COMPUTED_VALUE"""),"")</f>
        <v/>
      </c>
      <c r="M6554" s="16" t="str">
        <f>IFERROR(__xludf.DUMMYFUNCTION("""COMPUTED_VALUE"""),"")</f>
        <v/>
      </c>
      <c r="U6554" s="16" t="s">
        <v>87</v>
      </c>
      <c r="V6554" s="16" t="str">
        <f>IFERROR(__xludf.DUMMYFUNCTION("""COMPUTED_VALUE"""),"")</f>
        <v/>
      </c>
      <c r="W6554" s="16" t="str">
        <f>IFERROR(__xludf.DUMMYFUNCTION("""COMPUTED_VALUE"""),"")</f>
        <v/>
      </c>
      <c r="X6554" s="16" t="str">
        <f>IFERROR(__xludf.DUMMYFUNCTION("""COMPUTED_VALUE"""),"")</f>
        <v/>
      </c>
      <c r="AC6554" s="16" t="str">
        <f>IFERROR(__xludf.DUMMYFUNCTION("""COMPUTED_VALUE"""),"")</f>
        <v/>
      </c>
    </row>
    <row r="6555">
      <c r="A6555" s="16" t="s">
        <v>87</v>
      </c>
      <c r="E6555" s="16" t="str">
        <f>IFERROR(__xludf.DUMMYFUNCTION("""COMPUTED_VALUE"""),"")</f>
        <v/>
      </c>
      <c r="G6555" s="18"/>
      <c r="H6555" s="16" t="s">
        <v>87</v>
      </c>
      <c r="I6555" s="16" t="s">
        <v>87</v>
      </c>
      <c r="J6555" s="19"/>
      <c r="L6555" s="16" t="str">
        <f>IFERROR(__xludf.DUMMYFUNCTION("""COMPUTED_VALUE"""),"")</f>
        <v/>
      </c>
      <c r="M6555" s="16" t="str">
        <f>IFERROR(__xludf.DUMMYFUNCTION("""COMPUTED_VALUE"""),"")</f>
        <v/>
      </c>
      <c r="U6555" s="16" t="s">
        <v>87</v>
      </c>
      <c r="V6555" s="16" t="str">
        <f>IFERROR(__xludf.DUMMYFUNCTION("""COMPUTED_VALUE"""),"")</f>
        <v/>
      </c>
      <c r="W6555" s="16" t="str">
        <f>IFERROR(__xludf.DUMMYFUNCTION("""COMPUTED_VALUE"""),"")</f>
        <v/>
      </c>
      <c r="X6555" s="16" t="str">
        <f>IFERROR(__xludf.DUMMYFUNCTION("""COMPUTED_VALUE"""),"")</f>
        <v/>
      </c>
      <c r="AC6555" s="16" t="str">
        <f>IFERROR(__xludf.DUMMYFUNCTION("""COMPUTED_VALUE"""),"")</f>
        <v/>
      </c>
    </row>
    <row r="6556">
      <c r="A6556" s="16" t="s">
        <v>87</v>
      </c>
      <c r="E6556" s="16" t="str">
        <f>IFERROR(__xludf.DUMMYFUNCTION("""COMPUTED_VALUE"""),"")</f>
        <v/>
      </c>
      <c r="G6556" s="18"/>
      <c r="H6556" s="16" t="s">
        <v>87</v>
      </c>
      <c r="I6556" s="16" t="s">
        <v>87</v>
      </c>
      <c r="J6556" s="19"/>
      <c r="L6556" s="16" t="str">
        <f>IFERROR(__xludf.DUMMYFUNCTION("""COMPUTED_VALUE"""),"")</f>
        <v/>
      </c>
      <c r="M6556" s="16" t="str">
        <f>IFERROR(__xludf.DUMMYFUNCTION("""COMPUTED_VALUE"""),"")</f>
        <v/>
      </c>
      <c r="U6556" s="16" t="s">
        <v>87</v>
      </c>
      <c r="V6556" s="16" t="str">
        <f>IFERROR(__xludf.DUMMYFUNCTION("""COMPUTED_VALUE"""),"")</f>
        <v/>
      </c>
      <c r="W6556" s="16" t="str">
        <f>IFERROR(__xludf.DUMMYFUNCTION("""COMPUTED_VALUE"""),"")</f>
        <v/>
      </c>
      <c r="X6556" s="16" t="str">
        <f>IFERROR(__xludf.DUMMYFUNCTION("""COMPUTED_VALUE"""),"")</f>
        <v/>
      </c>
      <c r="AC6556" s="16" t="str">
        <f>IFERROR(__xludf.DUMMYFUNCTION("""COMPUTED_VALUE"""),"")</f>
        <v/>
      </c>
    </row>
    <row r="6557">
      <c r="A6557" s="16" t="s">
        <v>87</v>
      </c>
      <c r="E6557" s="16" t="str">
        <f>IFERROR(__xludf.DUMMYFUNCTION("""COMPUTED_VALUE"""),"")</f>
        <v/>
      </c>
      <c r="G6557" s="18"/>
      <c r="H6557" s="16" t="s">
        <v>87</v>
      </c>
      <c r="I6557" s="16" t="s">
        <v>87</v>
      </c>
      <c r="J6557" s="19"/>
      <c r="L6557" s="16" t="str">
        <f>IFERROR(__xludf.DUMMYFUNCTION("""COMPUTED_VALUE"""),"")</f>
        <v/>
      </c>
      <c r="M6557" s="16" t="str">
        <f>IFERROR(__xludf.DUMMYFUNCTION("""COMPUTED_VALUE"""),"")</f>
        <v/>
      </c>
      <c r="U6557" s="16" t="s">
        <v>87</v>
      </c>
      <c r="V6557" s="16" t="str">
        <f>IFERROR(__xludf.DUMMYFUNCTION("""COMPUTED_VALUE"""),"")</f>
        <v/>
      </c>
      <c r="W6557" s="16" t="str">
        <f>IFERROR(__xludf.DUMMYFUNCTION("""COMPUTED_VALUE"""),"")</f>
        <v/>
      </c>
      <c r="X6557" s="16" t="str">
        <f>IFERROR(__xludf.DUMMYFUNCTION("""COMPUTED_VALUE"""),"")</f>
        <v/>
      </c>
      <c r="AC6557" s="16" t="str">
        <f>IFERROR(__xludf.DUMMYFUNCTION("""COMPUTED_VALUE"""),"")</f>
        <v/>
      </c>
    </row>
    <row r="6558">
      <c r="A6558" s="16" t="s">
        <v>87</v>
      </c>
      <c r="E6558" s="16" t="str">
        <f>IFERROR(__xludf.DUMMYFUNCTION("""COMPUTED_VALUE"""),"")</f>
        <v/>
      </c>
      <c r="G6558" s="18"/>
      <c r="H6558" s="16" t="s">
        <v>87</v>
      </c>
      <c r="I6558" s="16" t="s">
        <v>87</v>
      </c>
      <c r="J6558" s="19"/>
      <c r="L6558" s="16" t="str">
        <f>IFERROR(__xludf.DUMMYFUNCTION("""COMPUTED_VALUE"""),"")</f>
        <v/>
      </c>
      <c r="M6558" s="16" t="str">
        <f>IFERROR(__xludf.DUMMYFUNCTION("""COMPUTED_VALUE"""),"")</f>
        <v/>
      </c>
      <c r="U6558" s="16" t="s">
        <v>87</v>
      </c>
      <c r="V6558" s="16" t="str">
        <f>IFERROR(__xludf.DUMMYFUNCTION("""COMPUTED_VALUE"""),"")</f>
        <v/>
      </c>
      <c r="W6558" s="16" t="str">
        <f>IFERROR(__xludf.DUMMYFUNCTION("""COMPUTED_VALUE"""),"")</f>
        <v/>
      </c>
      <c r="X6558" s="16" t="str">
        <f>IFERROR(__xludf.DUMMYFUNCTION("""COMPUTED_VALUE"""),"")</f>
        <v/>
      </c>
      <c r="AC6558" s="16" t="str">
        <f>IFERROR(__xludf.DUMMYFUNCTION("""COMPUTED_VALUE"""),"")</f>
        <v/>
      </c>
    </row>
    <row r="6559">
      <c r="A6559" s="16" t="s">
        <v>87</v>
      </c>
      <c r="E6559" s="16" t="str">
        <f>IFERROR(__xludf.DUMMYFUNCTION("""COMPUTED_VALUE"""),"")</f>
        <v/>
      </c>
      <c r="G6559" s="18"/>
      <c r="H6559" s="16" t="s">
        <v>87</v>
      </c>
      <c r="I6559" s="16" t="s">
        <v>87</v>
      </c>
      <c r="J6559" s="19"/>
      <c r="L6559" s="16" t="str">
        <f>IFERROR(__xludf.DUMMYFUNCTION("""COMPUTED_VALUE"""),"")</f>
        <v/>
      </c>
      <c r="M6559" s="16" t="str">
        <f>IFERROR(__xludf.DUMMYFUNCTION("""COMPUTED_VALUE"""),"")</f>
        <v/>
      </c>
      <c r="U6559" s="16" t="s">
        <v>87</v>
      </c>
      <c r="V6559" s="16" t="str">
        <f>IFERROR(__xludf.DUMMYFUNCTION("""COMPUTED_VALUE"""),"")</f>
        <v/>
      </c>
      <c r="W6559" s="16" t="str">
        <f>IFERROR(__xludf.DUMMYFUNCTION("""COMPUTED_VALUE"""),"")</f>
        <v/>
      </c>
      <c r="X6559" s="16" t="str">
        <f>IFERROR(__xludf.DUMMYFUNCTION("""COMPUTED_VALUE"""),"")</f>
        <v/>
      </c>
      <c r="AC6559" s="16" t="str">
        <f>IFERROR(__xludf.DUMMYFUNCTION("""COMPUTED_VALUE"""),"")</f>
        <v/>
      </c>
    </row>
    <row r="6560">
      <c r="A6560" s="16" t="s">
        <v>87</v>
      </c>
      <c r="E6560" s="16" t="str">
        <f>IFERROR(__xludf.DUMMYFUNCTION("""COMPUTED_VALUE"""),"")</f>
        <v/>
      </c>
      <c r="G6560" s="18"/>
      <c r="H6560" s="16" t="s">
        <v>87</v>
      </c>
      <c r="I6560" s="16" t="s">
        <v>87</v>
      </c>
      <c r="J6560" s="19"/>
      <c r="L6560" s="16" t="str">
        <f>IFERROR(__xludf.DUMMYFUNCTION("""COMPUTED_VALUE"""),"")</f>
        <v/>
      </c>
      <c r="M6560" s="16" t="str">
        <f>IFERROR(__xludf.DUMMYFUNCTION("""COMPUTED_VALUE"""),"")</f>
        <v/>
      </c>
      <c r="U6560" s="16" t="s">
        <v>87</v>
      </c>
      <c r="V6560" s="16" t="str">
        <f>IFERROR(__xludf.DUMMYFUNCTION("""COMPUTED_VALUE"""),"")</f>
        <v/>
      </c>
      <c r="W6560" s="16" t="str">
        <f>IFERROR(__xludf.DUMMYFUNCTION("""COMPUTED_VALUE"""),"")</f>
        <v/>
      </c>
      <c r="X6560" s="16" t="str">
        <f>IFERROR(__xludf.DUMMYFUNCTION("""COMPUTED_VALUE"""),"")</f>
        <v/>
      </c>
      <c r="AC6560" s="16" t="str">
        <f>IFERROR(__xludf.DUMMYFUNCTION("""COMPUTED_VALUE"""),"")</f>
        <v/>
      </c>
    </row>
    <row r="6561">
      <c r="A6561" s="16" t="s">
        <v>87</v>
      </c>
      <c r="E6561" s="16" t="str">
        <f>IFERROR(__xludf.DUMMYFUNCTION("""COMPUTED_VALUE"""),"")</f>
        <v/>
      </c>
      <c r="G6561" s="18"/>
      <c r="H6561" s="16" t="s">
        <v>87</v>
      </c>
      <c r="I6561" s="16" t="s">
        <v>87</v>
      </c>
      <c r="J6561" s="19"/>
      <c r="L6561" s="16" t="str">
        <f>IFERROR(__xludf.DUMMYFUNCTION("""COMPUTED_VALUE"""),"")</f>
        <v/>
      </c>
      <c r="M6561" s="16" t="str">
        <f>IFERROR(__xludf.DUMMYFUNCTION("""COMPUTED_VALUE"""),"")</f>
        <v/>
      </c>
      <c r="U6561" s="16" t="s">
        <v>87</v>
      </c>
      <c r="V6561" s="16" t="str">
        <f>IFERROR(__xludf.DUMMYFUNCTION("""COMPUTED_VALUE"""),"")</f>
        <v/>
      </c>
      <c r="W6561" s="16" t="str">
        <f>IFERROR(__xludf.DUMMYFUNCTION("""COMPUTED_VALUE"""),"")</f>
        <v/>
      </c>
      <c r="X6561" s="16" t="str">
        <f>IFERROR(__xludf.DUMMYFUNCTION("""COMPUTED_VALUE"""),"")</f>
        <v/>
      </c>
      <c r="AC6561" s="16" t="str">
        <f>IFERROR(__xludf.DUMMYFUNCTION("""COMPUTED_VALUE"""),"")</f>
        <v/>
      </c>
    </row>
    <row r="6562">
      <c r="A6562" s="16" t="s">
        <v>87</v>
      </c>
      <c r="E6562" s="16" t="str">
        <f>IFERROR(__xludf.DUMMYFUNCTION("""COMPUTED_VALUE"""),"")</f>
        <v/>
      </c>
      <c r="G6562" s="18"/>
      <c r="H6562" s="16" t="s">
        <v>87</v>
      </c>
      <c r="I6562" s="16" t="s">
        <v>87</v>
      </c>
      <c r="J6562" s="19"/>
      <c r="L6562" s="16" t="str">
        <f>IFERROR(__xludf.DUMMYFUNCTION("""COMPUTED_VALUE"""),"")</f>
        <v/>
      </c>
      <c r="M6562" s="16" t="str">
        <f>IFERROR(__xludf.DUMMYFUNCTION("""COMPUTED_VALUE"""),"")</f>
        <v/>
      </c>
      <c r="U6562" s="16" t="s">
        <v>87</v>
      </c>
      <c r="V6562" s="16" t="str">
        <f>IFERROR(__xludf.DUMMYFUNCTION("""COMPUTED_VALUE"""),"")</f>
        <v/>
      </c>
      <c r="W6562" s="16" t="str">
        <f>IFERROR(__xludf.DUMMYFUNCTION("""COMPUTED_VALUE"""),"")</f>
        <v/>
      </c>
      <c r="X6562" s="16" t="str">
        <f>IFERROR(__xludf.DUMMYFUNCTION("""COMPUTED_VALUE"""),"")</f>
        <v/>
      </c>
      <c r="AC6562" s="16" t="str">
        <f>IFERROR(__xludf.DUMMYFUNCTION("""COMPUTED_VALUE"""),"")</f>
        <v/>
      </c>
    </row>
    <row r="6563">
      <c r="A6563" s="16" t="s">
        <v>87</v>
      </c>
      <c r="E6563" s="16" t="str">
        <f>IFERROR(__xludf.DUMMYFUNCTION("""COMPUTED_VALUE"""),"")</f>
        <v/>
      </c>
      <c r="G6563" s="18"/>
      <c r="H6563" s="16" t="s">
        <v>87</v>
      </c>
      <c r="I6563" s="16" t="s">
        <v>87</v>
      </c>
      <c r="J6563" s="19"/>
      <c r="L6563" s="16" t="str">
        <f>IFERROR(__xludf.DUMMYFUNCTION("""COMPUTED_VALUE"""),"")</f>
        <v/>
      </c>
      <c r="M6563" s="16" t="str">
        <f>IFERROR(__xludf.DUMMYFUNCTION("""COMPUTED_VALUE"""),"")</f>
        <v/>
      </c>
      <c r="U6563" s="16" t="s">
        <v>87</v>
      </c>
      <c r="V6563" s="16" t="str">
        <f>IFERROR(__xludf.DUMMYFUNCTION("""COMPUTED_VALUE"""),"")</f>
        <v/>
      </c>
      <c r="W6563" s="16" t="str">
        <f>IFERROR(__xludf.DUMMYFUNCTION("""COMPUTED_VALUE"""),"")</f>
        <v/>
      </c>
      <c r="X6563" s="16" t="str">
        <f>IFERROR(__xludf.DUMMYFUNCTION("""COMPUTED_VALUE"""),"")</f>
        <v/>
      </c>
      <c r="AC6563" s="16" t="str">
        <f>IFERROR(__xludf.DUMMYFUNCTION("""COMPUTED_VALUE"""),"")</f>
        <v/>
      </c>
    </row>
    <row r="6564">
      <c r="A6564" s="16" t="s">
        <v>87</v>
      </c>
      <c r="E6564" s="16" t="str">
        <f>IFERROR(__xludf.DUMMYFUNCTION("""COMPUTED_VALUE"""),"")</f>
        <v/>
      </c>
      <c r="G6564" s="18"/>
      <c r="H6564" s="16" t="s">
        <v>87</v>
      </c>
      <c r="I6564" s="16" t="s">
        <v>87</v>
      </c>
      <c r="J6564" s="19"/>
      <c r="L6564" s="16" t="str">
        <f>IFERROR(__xludf.DUMMYFUNCTION("""COMPUTED_VALUE"""),"")</f>
        <v/>
      </c>
      <c r="M6564" s="16" t="str">
        <f>IFERROR(__xludf.DUMMYFUNCTION("""COMPUTED_VALUE"""),"")</f>
        <v/>
      </c>
      <c r="U6564" s="16" t="s">
        <v>87</v>
      </c>
      <c r="V6564" s="16" t="str">
        <f>IFERROR(__xludf.DUMMYFUNCTION("""COMPUTED_VALUE"""),"")</f>
        <v/>
      </c>
      <c r="W6564" s="16" t="str">
        <f>IFERROR(__xludf.DUMMYFUNCTION("""COMPUTED_VALUE"""),"")</f>
        <v/>
      </c>
      <c r="X6564" s="16" t="str">
        <f>IFERROR(__xludf.DUMMYFUNCTION("""COMPUTED_VALUE"""),"")</f>
        <v/>
      </c>
      <c r="AC6564" s="16" t="str">
        <f>IFERROR(__xludf.DUMMYFUNCTION("""COMPUTED_VALUE"""),"")</f>
        <v/>
      </c>
    </row>
    <row r="6565">
      <c r="A6565" s="16" t="s">
        <v>87</v>
      </c>
      <c r="E6565" s="16" t="str">
        <f>IFERROR(__xludf.DUMMYFUNCTION("""COMPUTED_VALUE"""),"")</f>
        <v/>
      </c>
      <c r="G6565" s="18"/>
      <c r="H6565" s="16" t="s">
        <v>87</v>
      </c>
      <c r="I6565" s="16" t="s">
        <v>87</v>
      </c>
      <c r="J6565" s="19"/>
      <c r="L6565" s="16" t="str">
        <f>IFERROR(__xludf.DUMMYFUNCTION("""COMPUTED_VALUE"""),"")</f>
        <v/>
      </c>
      <c r="M6565" s="16" t="str">
        <f>IFERROR(__xludf.DUMMYFUNCTION("""COMPUTED_VALUE"""),"")</f>
        <v/>
      </c>
      <c r="U6565" s="16" t="s">
        <v>87</v>
      </c>
      <c r="V6565" s="16" t="str">
        <f>IFERROR(__xludf.DUMMYFUNCTION("""COMPUTED_VALUE"""),"")</f>
        <v/>
      </c>
      <c r="W6565" s="16" t="str">
        <f>IFERROR(__xludf.DUMMYFUNCTION("""COMPUTED_VALUE"""),"")</f>
        <v/>
      </c>
      <c r="X6565" s="16" t="str">
        <f>IFERROR(__xludf.DUMMYFUNCTION("""COMPUTED_VALUE"""),"")</f>
        <v/>
      </c>
      <c r="AC6565" s="16" t="str">
        <f>IFERROR(__xludf.DUMMYFUNCTION("""COMPUTED_VALUE"""),"")</f>
        <v/>
      </c>
    </row>
    <row r="6566">
      <c r="A6566" s="16" t="s">
        <v>87</v>
      </c>
      <c r="E6566" s="16" t="str">
        <f>IFERROR(__xludf.DUMMYFUNCTION("""COMPUTED_VALUE"""),"")</f>
        <v/>
      </c>
      <c r="G6566" s="18"/>
      <c r="H6566" s="16" t="s">
        <v>87</v>
      </c>
      <c r="I6566" s="16" t="s">
        <v>87</v>
      </c>
      <c r="J6566" s="19"/>
      <c r="L6566" s="16" t="str">
        <f>IFERROR(__xludf.DUMMYFUNCTION("""COMPUTED_VALUE"""),"")</f>
        <v/>
      </c>
      <c r="M6566" s="16" t="str">
        <f>IFERROR(__xludf.DUMMYFUNCTION("""COMPUTED_VALUE"""),"")</f>
        <v/>
      </c>
      <c r="U6566" s="16" t="s">
        <v>87</v>
      </c>
      <c r="V6566" s="16" t="str">
        <f>IFERROR(__xludf.DUMMYFUNCTION("""COMPUTED_VALUE"""),"")</f>
        <v/>
      </c>
      <c r="W6566" s="16" t="str">
        <f>IFERROR(__xludf.DUMMYFUNCTION("""COMPUTED_VALUE"""),"")</f>
        <v/>
      </c>
      <c r="X6566" s="16" t="str">
        <f>IFERROR(__xludf.DUMMYFUNCTION("""COMPUTED_VALUE"""),"")</f>
        <v/>
      </c>
      <c r="AC6566" s="16" t="str">
        <f>IFERROR(__xludf.DUMMYFUNCTION("""COMPUTED_VALUE"""),"")</f>
        <v/>
      </c>
    </row>
    <row r="6567">
      <c r="A6567" s="16" t="s">
        <v>87</v>
      </c>
      <c r="E6567" s="16" t="str">
        <f>IFERROR(__xludf.DUMMYFUNCTION("""COMPUTED_VALUE"""),"")</f>
        <v/>
      </c>
      <c r="G6567" s="18"/>
      <c r="H6567" s="16" t="s">
        <v>87</v>
      </c>
      <c r="I6567" s="16" t="s">
        <v>87</v>
      </c>
      <c r="J6567" s="19"/>
      <c r="L6567" s="16" t="str">
        <f>IFERROR(__xludf.DUMMYFUNCTION("""COMPUTED_VALUE"""),"")</f>
        <v/>
      </c>
      <c r="M6567" s="16" t="str">
        <f>IFERROR(__xludf.DUMMYFUNCTION("""COMPUTED_VALUE"""),"")</f>
        <v/>
      </c>
      <c r="U6567" s="16" t="s">
        <v>87</v>
      </c>
      <c r="V6567" s="16" t="str">
        <f>IFERROR(__xludf.DUMMYFUNCTION("""COMPUTED_VALUE"""),"")</f>
        <v/>
      </c>
      <c r="W6567" s="16" t="str">
        <f>IFERROR(__xludf.DUMMYFUNCTION("""COMPUTED_VALUE"""),"")</f>
        <v/>
      </c>
      <c r="X6567" s="16" t="str">
        <f>IFERROR(__xludf.DUMMYFUNCTION("""COMPUTED_VALUE"""),"")</f>
        <v/>
      </c>
      <c r="AC6567" s="16" t="str">
        <f>IFERROR(__xludf.DUMMYFUNCTION("""COMPUTED_VALUE"""),"")</f>
        <v/>
      </c>
    </row>
    <row r="6568">
      <c r="A6568" s="16" t="s">
        <v>87</v>
      </c>
      <c r="E6568" s="16" t="str">
        <f>IFERROR(__xludf.DUMMYFUNCTION("""COMPUTED_VALUE"""),"")</f>
        <v/>
      </c>
      <c r="G6568" s="18"/>
      <c r="H6568" s="16" t="s">
        <v>87</v>
      </c>
      <c r="I6568" s="16" t="s">
        <v>87</v>
      </c>
      <c r="J6568" s="19"/>
      <c r="L6568" s="16" t="str">
        <f>IFERROR(__xludf.DUMMYFUNCTION("""COMPUTED_VALUE"""),"")</f>
        <v/>
      </c>
      <c r="M6568" s="16" t="str">
        <f>IFERROR(__xludf.DUMMYFUNCTION("""COMPUTED_VALUE"""),"")</f>
        <v/>
      </c>
      <c r="U6568" s="16" t="s">
        <v>87</v>
      </c>
      <c r="V6568" s="16" t="str">
        <f>IFERROR(__xludf.DUMMYFUNCTION("""COMPUTED_VALUE"""),"")</f>
        <v/>
      </c>
      <c r="W6568" s="16" t="str">
        <f>IFERROR(__xludf.DUMMYFUNCTION("""COMPUTED_VALUE"""),"")</f>
        <v/>
      </c>
      <c r="X6568" s="16" t="str">
        <f>IFERROR(__xludf.DUMMYFUNCTION("""COMPUTED_VALUE"""),"")</f>
        <v/>
      </c>
      <c r="AC6568" s="16" t="str">
        <f>IFERROR(__xludf.DUMMYFUNCTION("""COMPUTED_VALUE"""),"")</f>
        <v/>
      </c>
    </row>
    <row r="6569">
      <c r="A6569" s="16" t="s">
        <v>87</v>
      </c>
      <c r="E6569" s="16" t="str">
        <f>IFERROR(__xludf.DUMMYFUNCTION("""COMPUTED_VALUE"""),"")</f>
        <v/>
      </c>
      <c r="G6569" s="18"/>
      <c r="H6569" s="16" t="s">
        <v>87</v>
      </c>
      <c r="I6569" s="16" t="s">
        <v>87</v>
      </c>
      <c r="J6569" s="19"/>
      <c r="L6569" s="16" t="str">
        <f>IFERROR(__xludf.DUMMYFUNCTION("""COMPUTED_VALUE"""),"")</f>
        <v/>
      </c>
      <c r="M6569" s="16" t="str">
        <f>IFERROR(__xludf.DUMMYFUNCTION("""COMPUTED_VALUE"""),"")</f>
        <v/>
      </c>
      <c r="U6569" s="16" t="s">
        <v>87</v>
      </c>
      <c r="V6569" s="16" t="str">
        <f>IFERROR(__xludf.DUMMYFUNCTION("""COMPUTED_VALUE"""),"")</f>
        <v/>
      </c>
      <c r="W6569" s="16" t="str">
        <f>IFERROR(__xludf.DUMMYFUNCTION("""COMPUTED_VALUE"""),"")</f>
        <v/>
      </c>
      <c r="X6569" s="16" t="str">
        <f>IFERROR(__xludf.DUMMYFUNCTION("""COMPUTED_VALUE"""),"")</f>
        <v/>
      </c>
      <c r="AC6569" s="16" t="str">
        <f>IFERROR(__xludf.DUMMYFUNCTION("""COMPUTED_VALUE"""),"")</f>
        <v/>
      </c>
    </row>
    <row r="6570">
      <c r="A6570" s="16" t="s">
        <v>87</v>
      </c>
      <c r="E6570" s="16" t="str">
        <f>IFERROR(__xludf.DUMMYFUNCTION("""COMPUTED_VALUE"""),"")</f>
        <v/>
      </c>
      <c r="G6570" s="18"/>
      <c r="H6570" s="16" t="s">
        <v>87</v>
      </c>
      <c r="I6570" s="16" t="s">
        <v>87</v>
      </c>
      <c r="J6570" s="19"/>
      <c r="L6570" s="16" t="str">
        <f>IFERROR(__xludf.DUMMYFUNCTION("""COMPUTED_VALUE"""),"")</f>
        <v/>
      </c>
      <c r="M6570" s="16" t="str">
        <f>IFERROR(__xludf.DUMMYFUNCTION("""COMPUTED_VALUE"""),"")</f>
        <v/>
      </c>
      <c r="U6570" s="16" t="s">
        <v>87</v>
      </c>
      <c r="V6570" s="16" t="str">
        <f>IFERROR(__xludf.DUMMYFUNCTION("""COMPUTED_VALUE"""),"")</f>
        <v/>
      </c>
      <c r="W6570" s="16" t="str">
        <f>IFERROR(__xludf.DUMMYFUNCTION("""COMPUTED_VALUE"""),"")</f>
        <v/>
      </c>
      <c r="X6570" s="16" t="str">
        <f>IFERROR(__xludf.DUMMYFUNCTION("""COMPUTED_VALUE"""),"")</f>
        <v/>
      </c>
      <c r="AC6570" s="16" t="str">
        <f>IFERROR(__xludf.DUMMYFUNCTION("""COMPUTED_VALUE"""),"")</f>
        <v/>
      </c>
    </row>
    <row r="6571">
      <c r="A6571" s="16" t="s">
        <v>87</v>
      </c>
      <c r="E6571" s="16" t="str">
        <f>IFERROR(__xludf.DUMMYFUNCTION("""COMPUTED_VALUE"""),"")</f>
        <v/>
      </c>
      <c r="G6571" s="18"/>
      <c r="H6571" s="16" t="s">
        <v>87</v>
      </c>
      <c r="I6571" s="16" t="s">
        <v>87</v>
      </c>
      <c r="J6571" s="19"/>
      <c r="L6571" s="16" t="str">
        <f>IFERROR(__xludf.DUMMYFUNCTION("""COMPUTED_VALUE"""),"")</f>
        <v/>
      </c>
      <c r="M6571" s="16" t="str">
        <f>IFERROR(__xludf.DUMMYFUNCTION("""COMPUTED_VALUE"""),"")</f>
        <v/>
      </c>
      <c r="U6571" s="16" t="s">
        <v>87</v>
      </c>
      <c r="V6571" s="16" t="str">
        <f>IFERROR(__xludf.DUMMYFUNCTION("""COMPUTED_VALUE"""),"")</f>
        <v/>
      </c>
      <c r="W6571" s="16" t="str">
        <f>IFERROR(__xludf.DUMMYFUNCTION("""COMPUTED_VALUE"""),"")</f>
        <v/>
      </c>
      <c r="X6571" s="16" t="str">
        <f>IFERROR(__xludf.DUMMYFUNCTION("""COMPUTED_VALUE"""),"")</f>
        <v/>
      </c>
      <c r="AC6571" s="16" t="str">
        <f>IFERROR(__xludf.DUMMYFUNCTION("""COMPUTED_VALUE"""),"")</f>
        <v/>
      </c>
    </row>
    <row r="6572">
      <c r="A6572" s="16" t="s">
        <v>87</v>
      </c>
      <c r="E6572" s="16" t="str">
        <f>IFERROR(__xludf.DUMMYFUNCTION("""COMPUTED_VALUE"""),"")</f>
        <v/>
      </c>
      <c r="G6572" s="18"/>
      <c r="H6572" s="16" t="s">
        <v>87</v>
      </c>
      <c r="I6572" s="16" t="s">
        <v>87</v>
      </c>
      <c r="J6572" s="19"/>
      <c r="L6572" s="16" t="str">
        <f>IFERROR(__xludf.DUMMYFUNCTION("""COMPUTED_VALUE"""),"")</f>
        <v/>
      </c>
      <c r="M6572" s="16" t="str">
        <f>IFERROR(__xludf.DUMMYFUNCTION("""COMPUTED_VALUE"""),"")</f>
        <v/>
      </c>
      <c r="U6572" s="16" t="s">
        <v>87</v>
      </c>
      <c r="V6572" s="16" t="str">
        <f>IFERROR(__xludf.DUMMYFUNCTION("""COMPUTED_VALUE"""),"")</f>
        <v/>
      </c>
      <c r="W6572" s="16" t="str">
        <f>IFERROR(__xludf.DUMMYFUNCTION("""COMPUTED_VALUE"""),"")</f>
        <v/>
      </c>
      <c r="X6572" s="16" t="str">
        <f>IFERROR(__xludf.DUMMYFUNCTION("""COMPUTED_VALUE"""),"")</f>
        <v/>
      </c>
      <c r="AC6572" s="16" t="str">
        <f>IFERROR(__xludf.DUMMYFUNCTION("""COMPUTED_VALUE"""),"")</f>
        <v/>
      </c>
    </row>
    <row r="6573">
      <c r="A6573" s="16" t="s">
        <v>87</v>
      </c>
      <c r="E6573" s="16" t="str">
        <f>IFERROR(__xludf.DUMMYFUNCTION("""COMPUTED_VALUE"""),"")</f>
        <v/>
      </c>
      <c r="G6573" s="18"/>
      <c r="H6573" s="16" t="s">
        <v>87</v>
      </c>
      <c r="I6573" s="16" t="s">
        <v>87</v>
      </c>
      <c r="J6573" s="19"/>
      <c r="L6573" s="16" t="str">
        <f>IFERROR(__xludf.DUMMYFUNCTION("""COMPUTED_VALUE"""),"")</f>
        <v/>
      </c>
      <c r="M6573" s="16" t="str">
        <f>IFERROR(__xludf.DUMMYFUNCTION("""COMPUTED_VALUE"""),"")</f>
        <v/>
      </c>
      <c r="U6573" s="16" t="s">
        <v>87</v>
      </c>
      <c r="V6573" s="16" t="str">
        <f>IFERROR(__xludf.DUMMYFUNCTION("""COMPUTED_VALUE"""),"")</f>
        <v/>
      </c>
      <c r="W6573" s="16" t="str">
        <f>IFERROR(__xludf.DUMMYFUNCTION("""COMPUTED_VALUE"""),"")</f>
        <v/>
      </c>
      <c r="X6573" s="16" t="str">
        <f>IFERROR(__xludf.DUMMYFUNCTION("""COMPUTED_VALUE"""),"")</f>
        <v/>
      </c>
      <c r="AC6573" s="16" t="str">
        <f>IFERROR(__xludf.DUMMYFUNCTION("""COMPUTED_VALUE"""),"")</f>
        <v/>
      </c>
    </row>
    <row r="6574">
      <c r="A6574" s="16" t="s">
        <v>87</v>
      </c>
      <c r="E6574" s="16" t="str">
        <f>IFERROR(__xludf.DUMMYFUNCTION("""COMPUTED_VALUE"""),"")</f>
        <v/>
      </c>
      <c r="G6574" s="18"/>
      <c r="H6574" s="16" t="s">
        <v>87</v>
      </c>
      <c r="I6574" s="16" t="s">
        <v>87</v>
      </c>
      <c r="J6574" s="19"/>
      <c r="L6574" s="16" t="str">
        <f>IFERROR(__xludf.DUMMYFUNCTION("""COMPUTED_VALUE"""),"")</f>
        <v/>
      </c>
      <c r="M6574" s="16" t="str">
        <f>IFERROR(__xludf.DUMMYFUNCTION("""COMPUTED_VALUE"""),"")</f>
        <v/>
      </c>
      <c r="U6574" s="16" t="s">
        <v>87</v>
      </c>
      <c r="V6574" s="16" t="str">
        <f>IFERROR(__xludf.DUMMYFUNCTION("""COMPUTED_VALUE"""),"")</f>
        <v/>
      </c>
      <c r="W6574" s="16" t="str">
        <f>IFERROR(__xludf.DUMMYFUNCTION("""COMPUTED_VALUE"""),"")</f>
        <v/>
      </c>
      <c r="X6574" s="16" t="str">
        <f>IFERROR(__xludf.DUMMYFUNCTION("""COMPUTED_VALUE"""),"")</f>
        <v/>
      </c>
      <c r="AC6574" s="16" t="str">
        <f>IFERROR(__xludf.DUMMYFUNCTION("""COMPUTED_VALUE"""),"")</f>
        <v/>
      </c>
    </row>
    <row r="6575">
      <c r="A6575" s="16" t="s">
        <v>87</v>
      </c>
      <c r="E6575" s="16" t="str">
        <f>IFERROR(__xludf.DUMMYFUNCTION("""COMPUTED_VALUE"""),"")</f>
        <v/>
      </c>
      <c r="G6575" s="18"/>
      <c r="H6575" s="16" t="s">
        <v>87</v>
      </c>
      <c r="I6575" s="16" t="s">
        <v>87</v>
      </c>
      <c r="J6575" s="19"/>
      <c r="L6575" s="16" t="str">
        <f>IFERROR(__xludf.DUMMYFUNCTION("""COMPUTED_VALUE"""),"")</f>
        <v/>
      </c>
      <c r="M6575" s="16" t="str">
        <f>IFERROR(__xludf.DUMMYFUNCTION("""COMPUTED_VALUE"""),"")</f>
        <v/>
      </c>
      <c r="U6575" s="16" t="s">
        <v>87</v>
      </c>
      <c r="V6575" s="16" t="str">
        <f>IFERROR(__xludf.DUMMYFUNCTION("""COMPUTED_VALUE"""),"")</f>
        <v/>
      </c>
      <c r="W6575" s="16" t="str">
        <f>IFERROR(__xludf.DUMMYFUNCTION("""COMPUTED_VALUE"""),"")</f>
        <v/>
      </c>
      <c r="X6575" s="16" t="str">
        <f>IFERROR(__xludf.DUMMYFUNCTION("""COMPUTED_VALUE"""),"")</f>
        <v/>
      </c>
      <c r="AC6575" s="16" t="str">
        <f>IFERROR(__xludf.DUMMYFUNCTION("""COMPUTED_VALUE"""),"")</f>
        <v/>
      </c>
    </row>
    <row r="6576">
      <c r="A6576" s="16" t="s">
        <v>87</v>
      </c>
      <c r="E6576" s="16" t="str">
        <f>IFERROR(__xludf.DUMMYFUNCTION("""COMPUTED_VALUE"""),"")</f>
        <v/>
      </c>
      <c r="G6576" s="18"/>
      <c r="H6576" s="16" t="s">
        <v>87</v>
      </c>
      <c r="I6576" s="16" t="s">
        <v>87</v>
      </c>
      <c r="J6576" s="19"/>
      <c r="L6576" s="16" t="str">
        <f>IFERROR(__xludf.DUMMYFUNCTION("""COMPUTED_VALUE"""),"")</f>
        <v/>
      </c>
      <c r="M6576" s="16" t="str">
        <f>IFERROR(__xludf.DUMMYFUNCTION("""COMPUTED_VALUE"""),"")</f>
        <v/>
      </c>
      <c r="U6576" s="16" t="s">
        <v>87</v>
      </c>
      <c r="V6576" s="16" t="str">
        <f>IFERROR(__xludf.DUMMYFUNCTION("""COMPUTED_VALUE"""),"")</f>
        <v/>
      </c>
      <c r="W6576" s="16" t="str">
        <f>IFERROR(__xludf.DUMMYFUNCTION("""COMPUTED_VALUE"""),"")</f>
        <v/>
      </c>
      <c r="X6576" s="16" t="str">
        <f>IFERROR(__xludf.DUMMYFUNCTION("""COMPUTED_VALUE"""),"")</f>
        <v/>
      </c>
      <c r="AC6576" s="16" t="str">
        <f>IFERROR(__xludf.DUMMYFUNCTION("""COMPUTED_VALUE"""),"")</f>
        <v/>
      </c>
    </row>
    <row r="6577">
      <c r="A6577" s="16" t="s">
        <v>87</v>
      </c>
      <c r="E6577" s="16" t="str">
        <f>IFERROR(__xludf.DUMMYFUNCTION("""COMPUTED_VALUE"""),"")</f>
        <v/>
      </c>
      <c r="G6577" s="18"/>
      <c r="H6577" s="16" t="s">
        <v>87</v>
      </c>
      <c r="I6577" s="16" t="s">
        <v>87</v>
      </c>
      <c r="J6577" s="19"/>
      <c r="L6577" s="16" t="str">
        <f>IFERROR(__xludf.DUMMYFUNCTION("""COMPUTED_VALUE"""),"")</f>
        <v/>
      </c>
      <c r="M6577" s="16" t="str">
        <f>IFERROR(__xludf.DUMMYFUNCTION("""COMPUTED_VALUE"""),"")</f>
        <v/>
      </c>
      <c r="U6577" s="16" t="s">
        <v>87</v>
      </c>
      <c r="V6577" s="16" t="str">
        <f>IFERROR(__xludf.DUMMYFUNCTION("""COMPUTED_VALUE"""),"")</f>
        <v/>
      </c>
      <c r="W6577" s="16" t="str">
        <f>IFERROR(__xludf.DUMMYFUNCTION("""COMPUTED_VALUE"""),"")</f>
        <v/>
      </c>
      <c r="X6577" s="16" t="str">
        <f>IFERROR(__xludf.DUMMYFUNCTION("""COMPUTED_VALUE"""),"")</f>
        <v/>
      </c>
      <c r="AC6577" s="16" t="str">
        <f>IFERROR(__xludf.DUMMYFUNCTION("""COMPUTED_VALUE"""),"")</f>
        <v/>
      </c>
    </row>
    <row r="6578">
      <c r="A6578" s="16" t="s">
        <v>87</v>
      </c>
      <c r="E6578" s="16" t="str">
        <f>IFERROR(__xludf.DUMMYFUNCTION("""COMPUTED_VALUE"""),"")</f>
        <v/>
      </c>
      <c r="G6578" s="18"/>
      <c r="H6578" s="16" t="s">
        <v>87</v>
      </c>
      <c r="I6578" s="16" t="s">
        <v>87</v>
      </c>
      <c r="J6578" s="19"/>
      <c r="L6578" s="16" t="str">
        <f>IFERROR(__xludf.DUMMYFUNCTION("""COMPUTED_VALUE"""),"")</f>
        <v/>
      </c>
      <c r="M6578" s="16" t="str">
        <f>IFERROR(__xludf.DUMMYFUNCTION("""COMPUTED_VALUE"""),"")</f>
        <v/>
      </c>
      <c r="U6578" s="16" t="s">
        <v>87</v>
      </c>
      <c r="V6578" s="16" t="str">
        <f>IFERROR(__xludf.DUMMYFUNCTION("""COMPUTED_VALUE"""),"")</f>
        <v/>
      </c>
      <c r="W6578" s="16" t="str">
        <f>IFERROR(__xludf.DUMMYFUNCTION("""COMPUTED_VALUE"""),"")</f>
        <v/>
      </c>
      <c r="X6578" s="16" t="str">
        <f>IFERROR(__xludf.DUMMYFUNCTION("""COMPUTED_VALUE"""),"")</f>
        <v/>
      </c>
      <c r="AC6578" s="16" t="str">
        <f>IFERROR(__xludf.DUMMYFUNCTION("""COMPUTED_VALUE"""),"")</f>
        <v/>
      </c>
    </row>
    <row r="6579">
      <c r="A6579" s="16" t="s">
        <v>87</v>
      </c>
      <c r="E6579" s="16" t="str">
        <f>IFERROR(__xludf.DUMMYFUNCTION("""COMPUTED_VALUE"""),"")</f>
        <v/>
      </c>
      <c r="G6579" s="18"/>
      <c r="H6579" s="16" t="s">
        <v>87</v>
      </c>
      <c r="I6579" s="16" t="s">
        <v>87</v>
      </c>
      <c r="J6579" s="19"/>
      <c r="L6579" s="16" t="str">
        <f>IFERROR(__xludf.DUMMYFUNCTION("""COMPUTED_VALUE"""),"")</f>
        <v/>
      </c>
      <c r="M6579" s="16" t="str">
        <f>IFERROR(__xludf.DUMMYFUNCTION("""COMPUTED_VALUE"""),"")</f>
        <v/>
      </c>
      <c r="U6579" s="16" t="s">
        <v>87</v>
      </c>
      <c r="V6579" s="16" t="str">
        <f>IFERROR(__xludf.DUMMYFUNCTION("""COMPUTED_VALUE"""),"")</f>
        <v/>
      </c>
      <c r="W6579" s="16" t="str">
        <f>IFERROR(__xludf.DUMMYFUNCTION("""COMPUTED_VALUE"""),"")</f>
        <v/>
      </c>
      <c r="X6579" s="16" t="str">
        <f>IFERROR(__xludf.DUMMYFUNCTION("""COMPUTED_VALUE"""),"")</f>
        <v/>
      </c>
      <c r="AC6579" s="16" t="str">
        <f>IFERROR(__xludf.DUMMYFUNCTION("""COMPUTED_VALUE"""),"")</f>
        <v/>
      </c>
    </row>
    <row r="6580">
      <c r="A6580" s="16" t="s">
        <v>87</v>
      </c>
      <c r="E6580" s="16" t="str">
        <f>IFERROR(__xludf.DUMMYFUNCTION("""COMPUTED_VALUE"""),"")</f>
        <v/>
      </c>
      <c r="G6580" s="18"/>
      <c r="H6580" s="16" t="s">
        <v>87</v>
      </c>
      <c r="I6580" s="16" t="s">
        <v>87</v>
      </c>
      <c r="J6580" s="19"/>
      <c r="L6580" s="16" t="str">
        <f>IFERROR(__xludf.DUMMYFUNCTION("""COMPUTED_VALUE"""),"")</f>
        <v/>
      </c>
      <c r="M6580" s="16" t="str">
        <f>IFERROR(__xludf.DUMMYFUNCTION("""COMPUTED_VALUE"""),"")</f>
        <v/>
      </c>
      <c r="U6580" s="16" t="s">
        <v>87</v>
      </c>
      <c r="V6580" s="16" t="str">
        <f>IFERROR(__xludf.DUMMYFUNCTION("""COMPUTED_VALUE"""),"")</f>
        <v/>
      </c>
      <c r="W6580" s="16" t="str">
        <f>IFERROR(__xludf.DUMMYFUNCTION("""COMPUTED_VALUE"""),"")</f>
        <v/>
      </c>
      <c r="X6580" s="16" t="str">
        <f>IFERROR(__xludf.DUMMYFUNCTION("""COMPUTED_VALUE"""),"")</f>
        <v/>
      </c>
      <c r="AC6580" s="16" t="str">
        <f>IFERROR(__xludf.DUMMYFUNCTION("""COMPUTED_VALUE"""),"")</f>
        <v/>
      </c>
    </row>
    <row r="6581">
      <c r="A6581" s="16" t="s">
        <v>87</v>
      </c>
      <c r="E6581" s="16" t="str">
        <f>IFERROR(__xludf.DUMMYFUNCTION("""COMPUTED_VALUE"""),"")</f>
        <v/>
      </c>
      <c r="G6581" s="18"/>
      <c r="H6581" s="16" t="s">
        <v>87</v>
      </c>
      <c r="I6581" s="16" t="s">
        <v>87</v>
      </c>
      <c r="J6581" s="19"/>
      <c r="L6581" s="16" t="str">
        <f>IFERROR(__xludf.DUMMYFUNCTION("""COMPUTED_VALUE"""),"")</f>
        <v/>
      </c>
      <c r="M6581" s="16" t="str">
        <f>IFERROR(__xludf.DUMMYFUNCTION("""COMPUTED_VALUE"""),"")</f>
        <v/>
      </c>
      <c r="U6581" s="16" t="s">
        <v>87</v>
      </c>
      <c r="V6581" s="16" t="str">
        <f>IFERROR(__xludf.DUMMYFUNCTION("""COMPUTED_VALUE"""),"")</f>
        <v/>
      </c>
      <c r="W6581" s="16" t="str">
        <f>IFERROR(__xludf.DUMMYFUNCTION("""COMPUTED_VALUE"""),"")</f>
        <v/>
      </c>
      <c r="X6581" s="16" t="str">
        <f>IFERROR(__xludf.DUMMYFUNCTION("""COMPUTED_VALUE"""),"")</f>
        <v/>
      </c>
      <c r="AC6581" s="16" t="str">
        <f>IFERROR(__xludf.DUMMYFUNCTION("""COMPUTED_VALUE"""),"")</f>
        <v/>
      </c>
    </row>
    <row r="6582">
      <c r="A6582" s="16" t="s">
        <v>87</v>
      </c>
      <c r="E6582" s="16" t="str">
        <f>IFERROR(__xludf.DUMMYFUNCTION("""COMPUTED_VALUE"""),"")</f>
        <v/>
      </c>
      <c r="G6582" s="18"/>
      <c r="H6582" s="16" t="s">
        <v>87</v>
      </c>
      <c r="I6582" s="16" t="s">
        <v>87</v>
      </c>
      <c r="J6582" s="19"/>
      <c r="L6582" s="16" t="str">
        <f>IFERROR(__xludf.DUMMYFUNCTION("""COMPUTED_VALUE"""),"")</f>
        <v/>
      </c>
      <c r="M6582" s="16" t="str">
        <f>IFERROR(__xludf.DUMMYFUNCTION("""COMPUTED_VALUE"""),"")</f>
        <v/>
      </c>
      <c r="U6582" s="16" t="s">
        <v>87</v>
      </c>
      <c r="V6582" s="16" t="str">
        <f>IFERROR(__xludf.DUMMYFUNCTION("""COMPUTED_VALUE"""),"")</f>
        <v/>
      </c>
      <c r="W6582" s="16" t="str">
        <f>IFERROR(__xludf.DUMMYFUNCTION("""COMPUTED_VALUE"""),"")</f>
        <v/>
      </c>
      <c r="X6582" s="16" t="str">
        <f>IFERROR(__xludf.DUMMYFUNCTION("""COMPUTED_VALUE"""),"")</f>
        <v/>
      </c>
      <c r="AC6582" s="16" t="str">
        <f>IFERROR(__xludf.DUMMYFUNCTION("""COMPUTED_VALUE"""),"")</f>
        <v/>
      </c>
    </row>
    <row r="6583">
      <c r="A6583" s="16" t="s">
        <v>87</v>
      </c>
      <c r="E6583" s="16" t="str">
        <f>IFERROR(__xludf.DUMMYFUNCTION("""COMPUTED_VALUE"""),"")</f>
        <v/>
      </c>
      <c r="G6583" s="18"/>
      <c r="H6583" s="16" t="s">
        <v>87</v>
      </c>
      <c r="I6583" s="16" t="s">
        <v>87</v>
      </c>
      <c r="J6583" s="19"/>
      <c r="L6583" s="16" t="str">
        <f>IFERROR(__xludf.DUMMYFUNCTION("""COMPUTED_VALUE"""),"")</f>
        <v/>
      </c>
      <c r="M6583" s="16" t="str">
        <f>IFERROR(__xludf.DUMMYFUNCTION("""COMPUTED_VALUE"""),"")</f>
        <v/>
      </c>
      <c r="U6583" s="16" t="s">
        <v>87</v>
      </c>
      <c r="V6583" s="16" t="str">
        <f>IFERROR(__xludf.DUMMYFUNCTION("""COMPUTED_VALUE"""),"")</f>
        <v/>
      </c>
      <c r="W6583" s="16" t="str">
        <f>IFERROR(__xludf.DUMMYFUNCTION("""COMPUTED_VALUE"""),"")</f>
        <v/>
      </c>
      <c r="X6583" s="16" t="str">
        <f>IFERROR(__xludf.DUMMYFUNCTION("""COMPUTED_VALUE"""),"")</f>
        <v/>
      </c>
      <c r="AC6583" s="16" t="str">
        <f>IFERROR(__xludf.DUMMYFUNCTION("""COMPUTED_VALUE"""),"")</f>
        <v/>
      </c>
    </row>
    <row r="6584">
      <c r="A6584" s="16" t="s">
        <v>87</v>
      </c>
      <c r="E6584" s="16" t="str">
        <f>IFERROR(__xludf.DUMMYFUNCTION("""COMPUTED_VALUE"""),"")</f>
        <v/>
      </c>
      <c r="G6584" s="18"/>
      <c r="H6584" s="16" t="s">
        <v>87</v>
      </c>
      <c r="I6584" s="16" t="s">
        <v>87</v>
      </c>
      <c r="J6584" s="19"/>
      <c r="L6584" s="16" t="str">
        <f>IFERROR(__xludf.DUMMYFUNCTION("""COMPUTED_VALUE"""),"")</f>
        <v/>
      </c>
      <c r="M6584" s="16" t="str">
        <f>IFERROR(__xludf.DUMMYFUNCTION("""COMPUTED_VALUE"""),"")</f>
        <v/>
      </c>
      <c r="U6584" s="16" t="s">
        <v>87</v>
      </c>
      <c r="V6584" s="16" t="str">
        <f>IFERROR(__xludf.DUMMYFUNCTION("""COMPUTED_VALUE"""),"")</f>
        <v/>
      </c>
      <c r="W6584" s="16" t="str">
        <f>IFERROR(__xludf.DUMMYFUNCTION("""COMPUTED_VALUE"""),"")</f>
        <v/>
      </c>
      <c r="X6584" s="16" t="str">
        <f>IFERROR(__xludf.DUMMYFUNCTION("""COMPUTED_VALUE"""),"")</f>
        <v/>
      </c>
      <c r="AC6584" s="16" t="str">
        <f>IFERROR(__xludf.DUMMYFUNCTION("""COMPUTED_VALUE"""),"")</f>
        <v/>
      </c>
    </row>
    <row r="6585">
      <c r="A6585" s="16" t="s">
        <v>87</v>
      </c>
      <c r="E6585" s="16" t="str">
        <f>IFERROR(__xludf.DUMMYFUNCTION("""COMPUTED_VALUE"""),"")</f>
        <v/>
      </c>
      <c r="G6585" s="18"/>
      <c r="H6585" s="16" t="s">
        <v>87</v>
      </c>
      <c r="I6585" s="16" t="s">
        <v>87</v>
      </c>
      <c r="J6585" s="19"/>
      <c r="L6585" s="16" t="str">
        <f>IFERROR(__xludf.DUMMYFUNCTION("""COMPUTED_VALUE"""),"")</f>
        <v/>
      </c>
      <c r="M6585" s="16" t="str">
        <f>IFERROR(__xludf.DUMMYFUNCTION("""COMPUTED_VALUE"""),"")</f>
        <v/>
      </c>
      <c r="U6585" s="16" t="s">
        <v>87</v>
      </c>
      <c r="V6585" s="16" t="str">
        <f>IFERROR(__xludf.DUMMYFUNCTION("""COMPUTED_VALUE"""),"")</f>
        <v/>
      </c>
      <c r="W6585" s="16" t="str">
        <f>IFERROR(__xludf.DUMMYFUNCTION("""COMPUTED_VALUE"""),"")</f>
        <v/>
      </c>
      <c r="X6585" s="16" t="str">
        <f>IFERROR(__xludf.DUMMYFUNCTION("""COMPUTED_VALUE"""),"")</f>
        <v/>
      </c>
      <c r="AC6585" s="16" t="str">
        <f>IFERROR(__xludf.DUMMYFUNCTION("""COMPUTED_VALUE"""),"")</f>
        <v/>
      </c>
    </row>
    <row r="6586">
      <c r="A6586" s="16" t="s">
        <v>87</v>
      </c>
      <c r="E6586" s="16" t="str">
        <f>IFERROR(__xludf.DUMMYFUNCTION("""COMPUTED_VALUE"""),"")</f>
        <v/>
      </c>
      <c r="G6586" s="18"/>
      <c r="H6586" s="16" t="s">
        <v>87</v>
      </c>
      <c r="I6586" s="16" t="s">
        <v>87</v>
      </c>
      <c r="J6586" s="19"/>
      <c r="L6586" s="16" t="str">
        <f>IFERROR(__xludf.DUMMYFUNCTION("""COMPUTED_VALUE"""),"")</f>
        <v/>
      </c>
      <c r="M6586" s="16" t="str">
        <f>IFERROR(__xludf.DUMMYFUNCTION("""COMPUTED_VALUE"""),"")</f>
        <v/>
      </c>
      <c r="U6586" s="16" t="s">
        <v>87</v>
      </c>
      <c r="V6586" s="16" t="str">
        <f>IFERROR(__xludf.DUMMYFUNCTION("""COMPUTED_VALUE"""),"")</f>
        <v/>
      </c>
      <c r="W6586" s="16" t="str">
        <f>IFERROR(__xludf.DUMMYFUNCTION("""COMPUTED_VALUE"""),"")</f>
        <v/>
      </c>
      <c r="X6586" s="16" t="str">
        <f>IFERROR(__xludf.DUMMYFUNCTION("""COMPUTED_VALUE"""),"")</f>
        <v/>
      </c>
      <c r="AC6586" s="16" t="str">
        <f>IFERROR(__xludf.DUMMYFUNCTION("""COMPUTED_VALUE"""),"")</f>
        <v/>
      </c>
    </row>
    <row r="6587">
      <c r="A6587" s="16" t="s">
        <v>87</v>
      </c>
      <c r="E6587" s="16" t="str">
        <f>IFERROR(__xludf.DUMMYFUNCTION("""COMPUTED_VALUE"""),"")</f>
        <v/>
      </c>
      <c r="G6587" s="18"/>
      <c r="H6587" s="16" t="s">
        <v>87</v>
      </c>
      <c r="I6587" s="16" t="s">
        <v>87</v>
      </c>
      <c r="J6587" s="19"/>
      <c r="L6587" s="16" t="str">
        <f>IFERROR(__xludf.DUMMYFUNCTION("""COMPUTED_VALUE"""),"")</f>
        <v/>
      </c>
      <c r="M6587" s="16" t="str">
        <f>IFERROR(__xludf.DUMMYFUNCTION("""COMPUTED_VALUE"""),"")</f>
        <v/>
      </c>
      <c r="U6587" s="16" t="s">
        <v>87</v>
      </c>
      <c r="V6587" s="16" t="str">
        <f>IFERROR(__xludf.DUMMYFUNCTION("""COMPUTED_VALUE"""),"")</f>
        <v/>
      </c>
      <c r="W6587" s="16" t="str">
        <f>IFERROR(__xludf.DUMMYFUNCTION("""COMPUTED_VALUE"""),"")</f>
        <v/>
      </c>
      <c r="X6587" s="16" t="str">
        <f>IFERROR(__xludf.DUMMYFUNCTION("""COMPUTED_VALUE"""),"")</f>
        <v/>
      </c>
      <c r="AC6587" s="16" t="str">
        <f>IFERROR(__xludf.DUMMYFUNCTION("""COMPUTED_VALUE"""),"")</f>
        <v/>
      </c>
    </row>
    <row r="6588">
      <c r="A6588" s="16" t="s">
        <v>87</v>
      </c>
      <c r="E6588" s="16" t="str">
        <f>IFERROR(__xludf.DUMMYFUNCTION("""COMPUTED_VALUE"""),"")</f>
        <v/>
      </c>
      <c r="G6588" s="18"/>
      <c r="H6588" s="16" t="s">
        <v>87</v>
      </c>
      <c r="I6588" s="16" t="s">
        <v>87</v>
      </c>
      <c r="J6588" s="19"/>
      <c r="L6588" s="16" t="str">
        <f>IFERROR(__xludf.DUMMYFUNCTION("""COMPUTED_VALUE"""),"")</f>
        <v/>
      </c>
      <c r="M6588" s="16" t="str">
        <f>IFERROR(__xludf.DUMMYFUNCTION("""COMPUTED_VALUE"""),"")</f>
        <v/>
      </c>
      <c r="U6588" s="16" t="s">
        <v>87</v>
      </c>
      <c r="V6588" s="16" t="str">
        <f>IFERROR(__xludf.DUMMYFUNCTION("""COMPUTED_VALUE"""),"")</f>
        <v/>
      </c>
      <c r="W6588" s="16" t="str">
        <f>IFERROR(__xludf.DUMMYFUNCTION("""COMPUTED_VALUE"""),"")</f>
        <v/>
      </c>
      <c r="X6588" s="16" t="str">
        <f>IFERROR(__xludf.DUMMYFUNCTION("""COMPUTED_VALUE"""),"")</f>
        <v/>
      </c>
      <c r="AC6588" s="16" t="str">
        <f>IFERROR(__xludf.DUMMYFUNCTION("""COMPUTED_VALUE"""),"")</f>
        <v/>
      </c>
    </row>
    <row r="6589">
      <c r="A6589" s="16" t="s">
        <v>87</v>
      </c>
      <c r="E6589" s="16" t="str">
        <f>IFERROR(__xludf.DUMMYFUNCTION("""COMPUTED_VALUE"""),"")</f>
        <v/>
      </c>
      <c r="G6589" s="18"/>
      <c r="H6589" s="16" t="s">
        <v>87</v>
      </c>
      <c r="I6589" s="16" t="s">
        <v>87</v>
      </c>
      <c r="J6589" s="19"/>
      <c r="L6589" s="16" t="str">
        <f>IFERROR(__xludf.DUMMYFUNCTION("""COMPUTED_VALUE"""),"")</f>
        <v/>
      </c>
      <c r="M6589" s="16" t="str">
        <f>IFERROR(__xludf.DUMMYFUNCTION("""COMPUTED_VALUE"""),"")</f>
        <v/>
      </c>
      <c r="U6589" s="16" t="s">
        <v>87</v>
      </c>
      <c r="V6589" s="16" t="str">
        <f>IFERROR(__xludf.DUMMYFUNCTION("""COMPUTED_VALUE"""),"")</f>
        <v/>
      </c>
      <c r="W6589" s="16" t="str">
        <f>IFERROR(__xludf.DUMMYFUNCTION("""COMPUTED_VALUE"""),"")</f>
        <v/>
      </c>
      <c r="X6589" s="16" t="str">
        <f>IFERROR(__xludf.DUMMYFUNCTION("""COMPUTED_VALUE"""),"")</f>
        <v/>
      </c>
      <c r="AC6589" s="16" t="str">
        <f>IFERROR(__xludf.DUMMYFUNCTION("""COMPUTED_VALUE"""),"")</f>
        <v/>
      </c>
    </row>
    <row r="6590">
      <c r="A6590" s="16" t="s">
        <v>87</v>
      </c>
      <c r="E6590" s="16" t="str">
        <f>IFERROR(__xludf.DUMMYFUNCTION("""COMPUTED_VALUE"""),"")</f>
        <v/>
      </c>
      <c r="G6590" s="18"/>
      <c r="H6590" s="16" t="s">
        <v>87</v>
      </c>
      <c r="I6590" s="16" t="s">
        <v>87</v>
      </c>
      <c r="J6590" s="19"/>
      <c r="L6590" s="16" t="str">
        <f>IFERROR(__xludf.DUMMYFUNCTION("""COMPUTED_VALUE"""),"")</f>
        <v/>
      </c>
      <c r="M6590" s="16" t="str">
        <f>IFERROR(__xludf.DUMMYFUNCTION("""COMPUTED_VALUE"""),"")</f>
        <v/>
      </c>
      <c r="U6590" s="16" t="s">
        <v>87</v>
      </c>
      <c r="V6590" s="16" t="str">
        <f>IFERROR(__xludf.DUMMYFUNCTION("""COMPUTED_VALUE"""),"")</f>
        <v/>
      </c>
      <c r="W6590" s="16" t="str">
        <f>IFERROR(__xludf.DUMMYFUNCTION("""COMPUTED_VALUE"""),"")</f>
        <v/>
      </c>
      <c r="X6590" s="16" t="str">
        <f>IFERROR(__xludf.DUMMYFUNCTION("""COMPUTED_VALUE"""),"")</f>
        <v/>
      </c>
      <c r="AC6590" s="16" t="str">
        <f>IFERROR(__xludf.DUMMYFUNCTION("""COMPUTED_VALUE"""),"")</f>
        <v/>
      </c>
    </row>
    <row r="6591">
      <c r="A6591" s="16" t="s">
        <v>87</v>
      </c>
      <c r="E6591" s="16" t="str">
        <f>IFERROR(__xludf.DUMMYFUNCTION("""COMPUTED_VALUE"""),"")</f>
        <v/>
      </c>
      <c r="G6591" s="18"/>
      <c r="H6591" s="16" t="s">
        <v>87</v>
      </c>
      <c r="I6591" s="16" t="s">
        <v>87</v>
      </c>
      <c r="J6591" s="19"/>
      <c r="L6591" s="16" t="str">
        <f>IFERROR(__xludf.DUMMYFUNCTION("""COMPUTED_VALUE"""),"")</f>
        <v/>
      </c>
      <c r="M6591" s="16" t="str">
        <f>IFERROR(__xludf.DUMMYFUNCTION("""COMPUTED_VALUE"""),"")</f>
        <v/>
      </c>
      <c r="U6591" s="16" t="s">
        <v>87</v>
      </c>
      <c r="V6591" s="16" t="str">
        <f>IFERROR(__xludf.DUMMYFUNCTION("""COMPUTED_VALUE"""),"")</f>
        <v/>
      </c>
      <c r="W6591" s="16" t="str">
        <f>IFERROR(__xludf.DUMMYFUNCTION("""COMPUTED_VALUE"""),"")</f>
        <v/>
      </c>
      <c r="X6591" s="16" t="str">
        <f>IFERROR(__xludf.DUMMYFUNCTION("""COMPUTED_VALUE"""),"")</f>
        <v/>
      </c>
      <c r="AC6591" s="16" t="str">
        <f>IFERROR(__xludf.DUMMYFUNCTION("""COMPUTED_VALUE"""),"")</f>
        <v/>
      </c>
    </row>
    <row r="6592">
      <c r="A6592" s="16" t="s">
        <v>87</v>
      </c>
      <c r="E6592" s="16" t="str">
        <f>IFERROR(__xludf.DUMMYFUNCTION("""COMPUTED_VALUE"""),"")</f>
        <v/>
      </c>
      <c r="G6592" s="18"/>
      <c r="H6592" s="16" t="s">
        <v>87</v>
      </c>
      <c r="I6592" s="16" t="s">
        <v>87</v>
      </c>
      <c r="J6592" s="19"/>
      <c r="L6592" s="16" t="str">
        <f>IFERROR(__xludf.DUMMYFUNCTION("""COMPUTED_VALUE"""),"")</f>
        <v/>
      </c>
      <c r="M6592" s="16" t="str">
        <f>IFERROR(__xludf.DUMMYFUNCTION("""COMPUTED_VALUE"""),"")</f>
        <v/>
      </c>
      <c r="U6592" s="16" t="s">
        <v>87</v>
      </c>
      <c r="V6592" s="16" t="str">
        <f>IFERROR(__xludf.DUMMYFUNCTION("""COMPUTED_VALUE"""),"")</f>
        <v/>
      </c>
      <c r="W6592" s="16" t="str">
        <f>IFERROR(__xludf.DUMMYFUNCTION("""COMPUTED_VALUE"""),"")</f>
        <v/>
      </c>
      <c r="X6592" s="16" t="str">
        <f>IFERROR(__xludf.DUMMYFUNCTION("""COMPUTED_VALUE"""),"")</f>
        <v/>
      </c>
      <c r="AC6592" s="16" t="str">
        <f>IFERROR(__xludf.DUMMYFUNCTION("""COMPUTED_VALUE"""),"")</f>
        <v/>
      </c>
    </row>
    <row r="6593">
      <c r="A6593" s="16" t="s">
        <v>87</v>
      </c>
      <c r="E6593" s="16" t="str">
        <f>IFERROR(__xludf.DUMMYFUNCTION("""COMPUTED_VALUE"""),"")</f>
        <v/>
      </c>
      <c r="G6593" s="18"/>
      <c r="H6593" s="16" t="s">
        <v>87</v>
      </c>
      <c r="I6593" s="16" t="s">
        <v>87</v>
      </c>
      <c r="J6593" s="19"/>
      <c r="L6593" s="16" t="str">
        <f>IFERROR(__xludf.DUMMYFUNCTION("""COMPUTED_VALUE"""),"")</f>
        <v/>
      </c>
      <c r="M6593" s="16" t="str">
        <f>IFERROR(__xludf.DUMMYFUNCTION("""COMPUTED_VALUE"""),"")</f>
        <v/>
      </c>
      <c r="U6593" s="16" t="s">
        <v>87</v>
      </c>
      <c r="V6593" s="16" t="str">
        <f>IFERROR(__xludf.DUMMYFUNCTION("""COMPUTED_VALUE"""),"")</f>
        <v/>
      </c>
      <c r="W6593" s="16" t="str">
        <f>IFERROR(__xludf.DUMMYFUNCTION("""COMPUTED_VALUE"""),"")</f>
        <v/>
      </c>
      <c r="X6593" s="16" t="str">
        <f>IFERROR(__xludf.DUMMYFUNCTION("""COMPUTED_VALUE"""),"")</f>
        <v/>
      </c>
      <c r="AC6593" s="16" t="str">
        <f>IFERROR(__xludf.DUMMYFUNCTION("""COMPUTED_VALUE"""),"")</f>
        <v/>
      </c>
    </row>
    <row r="6594">
      <c r="A6594" s="16" t="s">
        <v>87</v>
      </c>
      <c r="E6594" s="16" t="str">
        <f>IFERROR(__xludf.DUMMYFUNCTION("""COMPUTED_VALUE"""),"")</f>
        <v/>
      </c>
      <c r="G6594" s="18"/>
      <c r="H6594" s="16" t="s">
        <v>87</v>
      </c>
      <c r="I6594" s="16" t="s">
        <v>87</v>
      </c>
      <c r="J6594" s="19"/>
      <c r="L6594" s="16" t="str">
        <f>IFERROR(__xludf.DUMMYFUNCTION("""COMPUTED_VALUE"""),"")</f>
        <v/>
      </c>
      <c r="M6594" s="16" t="str">
        <f>IFERROR(__xludf.DUMMYFUNCTION("""COMPUTED_VALUE"""),"")</f>
        <v/>
      </c>
      <c r="U6594" s="16" t="s">
        <v>87</v>
      </c>
      <c r="V6594" s="16" t="str">
        <f>IFERROR(__xludf.DUMMYFUNCTION("""COMPUTED_VALUE"""),"")</f>
        <v/>
      </c>
      <c r="W6594" s="16" t="str">
        <f>IFERROR(__xludf.DUMMYFUNCTION("""COMPUTED_VALUE"""),"")</f>
        <v/>
      </c>
      <c r="X6594" s="16" t="str">
        <f>IFERROR(__xludf.DUMMYFUNCTION("""COMPUTED_VALUE"""),"")</f>
        <v/>
      </c>
      <c r="AC6594" s="16" t="str">
        <f>IFERROR(__xludf.DUMMYFUNCTION("""COMPUTED_VALUE"""),"")</f>
        <v/>
      </c>
    </row>
    <row r="6595">
      <c r="A6595" s="16" t="s">
        <v>87</v>
      </c>
      <c r="E6595" s="16" t="str">
        <f>IFERROR(__xludf.DUMMYFUNCTION("""COMPUTED_VALUE"""),"")</f>
        <v/>
      </c>
      <c r="G6595" s="18"/>
      <c r="H6595" s="16" t="s">
        <v>87</v>
      </c>
      <c r="I6595" s="16" t="s">
        <v>87</v>
      </c>
      <c r="J6595" s="19"/>
      <c r="L6595" s="16" t="str">
        <f>IFERROR(__xludf.DUMMYFUNCTION("""COMPUTED_VALUE"""),"")</f>
        <v/>
      </c>
      <c r="M6595" s="16" t="str">
        <f>IFERROR(__xludf.DUMMYFUNCTION("""COMPUTED_VALUE"""),"")</f>
        <v/>
      </c>
      <c r="U6595" s="16" t="s">
        <v>87</v>
      </c>
      <c r="V6595" s="16" t="str">
        <f>IFERROR(__xludf.DUMMYFUNCTION("""COMPUTED_VALUE"""),"")</f>
        <v/>
      </c>
      <c r="W6595" s="16" t="str">
        <f>IFERROR(__xludf.DUMMYFUNCTION("""COMPUTED_VALUE"""),"")</f>
        <v/>
      </c>
      <c r="X6595" s="16" t="str">
        <f>IFERROR(__xludf.DUMMYFUNCTION("""COMPUTED_VALUE"""),"")</f>
        <v/>
      </c>
      <c r="AC6595" s="16" t="str">
        <f>IFERROR(__xludf.DUMMYFUNCTION("""COMPUTED_VALUE"""),"")</f>
        <v/>
      </c>
    </row>
    <row r="6596">
      <c r="A6596" s="16" t="s">
        <v>87</v>
      </c>
      <c r="E6596" s="16" t="str">
        <f>IFERROR(__xludf.DUMMYFUNCTION("""COMPUTED_VALUE"""),"")</f>
        <v/>
      </c>
      <c r="G6596" s="18"/>
      <c r="H6596" s="16" t="s">
        <v>87</v>
      </c>
      <c r="I6596" s="16" t="s">
        <v>87</v>
      </c>
      <c r="J6596" s="19"/>
      <c r="L6596" s="16" t="str">
        <f>IFERROR(__xludf.DUMMYFUNCTION("""COMPUTED_VALUE"""),"")</f>
        <v/>
      </c>
      <c r="M6596" s="16" t="str">
        <f>IFERROR(__xludf.DUMMYFUNCTION("""COMPUTED_VALUE"""),"")</f>
        <v/>
      </c>
      <c r="U6596" s="16" t="s">
        <v>87</v>
      </c>
      <c r="V6596" s="16" t="str">
        <f>IFERROR(__xludf.DUMMYFUNCTION("""COMPUTED_VALUE"""),"")</f>
        <v/>
      </c>
      <c r="W6596" s="16" t="str">
        <f>IFERROR(__xludf.DUMMYFUNCTION("""COMPUTED_VALUE"""),"")</f>
        <v/>
      </c>
      <c r="X6596" s="16" t="str">
        <f>IFERROR(__xludf.DUMMYFUNCTION("""COMPUTED_VALUE"""),"")</f>
        <v/>
      </c>
      <c r="AC6596" s="16" t="str">
        <f>IFERROR(__xludf.DUMMYFUNCTION("""COMPUTED_VALUE"""),"")</f>
        <v/>
      </c>
    </row>
    <row r="6597">
      <c r="A6597" s="16" t="s">
        <v>87</v>
      </c>
      <c r="E6597" s="16" t="str">
        <f>IFERROR(__xludf.DUMMYFUNCTION("""COMPUTED_VALUE"""),"")</f>
        <v/>
      </c>
      <c r="G6597" s="18"/>
      <c r="H6597" s="16" t="s">
        <v>87</v>
      </c>
      <c r="I6597" s="16" t="s">
        <v>87</v>
      </c>
      <c r="J6597" s="19"/>
      <c r="L6597" s="16" t="str">
        <f>IFERROR(__xludf.DUMMYFUNCTION("""COMPUTED_VALUE"""),"")</f>
        <v/>
      </c>
      <c r="M6597" s="16" t="str">
        <f>IFERROR(__xludf.DUMMYFUNCTION("""COMPUTED_VALUE"""),"")</f>
        <v/>
      </c>
      <c r="U6597" s="16" t="s">
        <v>87</v>
      </c>
      <c r="V6597" s="16" t="str">
        <f>IFERROR(__xludf.DUMMYFUNCTION("""COMPUTED_VALUE"""),"")</f>
        <v/>
      </c>
      <c r="W6597" s="16" t="str">
        <f>IFERROR(__xludf.DUMMYFUNCTION("""COMPUTED_VALUE"""),"")</f>
        <v/>
      </c>
      <c r="X6597" s="16" t="str">
        <f>IFERROR(__xludf.DUMMYFUNCTION("""COMPUTED_VALUE"""),"")</f>
        <v/>
      </c>
      <c r="AC6597" s="16" t="str">
        <f>IFERROR(__xludf.DUMMYFUNCTION("""COMPUTED_VALUE"""),"")</f>
        <v/>
      </c>
    </row>
    <row r="6598">
      <c r="A6598" s="16" t="s">
        <v>87</v>
      </c>
      <c r="E6598" s="16" t="str">
        <f>IFERROR(__xludf.DUMMYFUNCTION("""COMPUTED_VALUE"""),"")</f>
        <v/>
      </c>
      <c r="G6598" s="18"/>
      <c r="H6598" s="16" t="s">
        <v>87</v>
      </c>
      <c r="I6598" s="16" t="s">
        <v>87</v>
      </c>
      <c r="J6598" s="19"/>
      <c r="L6598" s="16" t="str">
        <f>IFERROR(__xludf.DUMMYFUNCTION("""COMPUTED_VALUE"""),"")</f>
        <v/>
      </c>
      <c r="M6598" s="16" t="str">
        <f>IFERROR(__xludf.DUMMYFUNCTION("""COMPUTED_VALUE"""),"")</f>
        <v/>
      </c>
      <c r="U6598" s="16" t="s">
        <v>87</v>
      </c>
      <c r="V6598" s="16" t="str">
        <f>IFERROR(__xludf.DUMMYFUNCTION("""COMPUTED_VALUE"""),"")</f>
        <v/>
      </c>
      <c r="W6598" s="16" t="str">
        <f>IFERROR(__xludf.DUMMYFUNCTION("""COMPUTED_VALUE"""),"")</f>
        <v/>
      </c>
      <c r="X6598" s="16" t="str">
        <f>IFERROR(__xludf.DUMMYFUNCTION("""COMPUTED_VALUE"""),"")</f>
        <v/>
      </c>
      <c r="AC6598" s="16" t="str">
        <f>IFERROR(__xludf.DUMMYFUNCTION("""COMPUTED_VALUE"""),"")</f>
        <v/>
      </c>
    </row>
    <row r="6599">
      <c r="A6599" s="16" t="s">
        <v>87</v>
      </c>
      <c r="E6599" s="16" t="str">
        <f>IFERROR(__xludf.DUMMYFUNCTION("""COMPUTED_VALUE"""),"")</f>
        <v/>
      </c>
      <c r="G6599" s="18"/>
      <c r="H6599" s="16" t="s">
        <v>87</v>
      </c>
      <c r="I6599" s="16" t="s">
        <v>87</v>
      </c>
      <c r="J6599" s="19"/>
      <c r="L6599" s="16" t="str">
        <f>IFERROR(__xludf.DUMMYFUNCTION("""COMPUTED_VALUE"""),"")</f>
        <v/>
      </c>
      <c r="M6599" s="16" t="str">
        <f>IFERROR(__xludf.DUMMYFUNCTION("""COMPUTED_VALUE"""),"")</f>
        <v/>
      </c>
      <c r="U6599" s="16" t="s">
        <v>87</v>
      </c>
      <c r="V6599" s="16" t="str">
        <f>IFERROR(__xludf.DUMMYFUNCTION("""COMPUTED_VALUE"""),"")</f>
        <v/>
      </c>
      <c r="W6599" s="16" t="str">
        <f>IFERROR(__xludf.DUMMYFUNCTION("""COMPUTED_VALUE"""),"")</f>
        <v/>
      </c>
      <c r="X6599" s="16" t="str">
        <f>IFERROR(__xludf.DUMMYFUNCTION("""COMPUTED_VALUE"""),"")</f>
        <v/>
      </c>
      <c r="AC6599" s="16" t="str">
        <f>IFERROR(__xludf.DUMMYFUNCTION("""COMPUTED_VALUE"""),"")</f>
        <v/>
      </c>
    </row>
    <row r="6600">
      <c r="A6600" s="16" t="s">
        <v>87</v>
      </c>
      <c r="E6600" s="16" t="str">
        <f>IFERROR(__xludf.DUMMYFUNCTION("""COMPUTED_VALUE"""),"")</f>
        <v/>
      </c>
      <c r="G6600" s="18"/>
      <c r="H6600" s="16" t="s">
        <v>87</v>
      </c>
      <c r="I6600" s="16" t="s">
        <v>87</v>
      </c>
      <c r="J6600" s="19"/>
      <c r="L6600" s="16" t="str">
        <f>IFERROR(__xludf.DUMMYFUNCTION("""COMPUTED_VALUE"""),"")</f>
        <v/>
      </c>
      <c r="M6600" s="16" t="str">
        <f>IFERROR(__xludf.DUMMYFUNCTION("""COMPUTED_VALUE"""),"")</f>
        <v/>
      </c>
      <c r="U6600" s="16" t="s">
        <v>87</v>
      </c>
      <c r="V6600" s="16" t="str">
        <f>IFERROR(__xludf.DUMMYFUNCTION("""COMPUTED_VALUE"""),"")</f>
        <v/>
      </c>
      <c r="W6600" s="16" t="str">
        <f>IFERROR(__xludf.DUMMYFUNCTION("""COMPUTED_VALUE"""),"")</f>
        <v/>
      </c>
      <c r="X6600" s="16" t="str">
        <f>IFERROR(__xludf.DUMMYFUNCTION("""COMPUTED_VALUE"""),"")</f>
        <v/>
      </c>
      <c r="AC6600" s="16" t="str">
        <f>IFERROR(__xludf.DUMMYFUNCTION("""COMPUTED_VALUE"""),"")</f>
        <v/>
      </c>
    </row>
    <row r="6601">
      <c r="A6601" s="16" t="s">
        <v>87</v>
      </c>
      <c r="E6601" s="16" t="str">
        <f>IFERROR(__xludf.DUMMYFUNCTION("""COMPUTED_VALUE"""),"")</f>
        <v/>
      </c>
      <c r="G6601" s="18"/>
      <c r="H6601" s="16" t="s">
        <v>87</v>
      </c>
      <c r="I6601" s="16" t="s">
        <v>87</v>
      </c>
      <c r="J6601" s="19"/>
      <c r="L6601" s="16" t="str">
        <f>IFERROR(__xludf.DUMMYFUNCTION("""COMPUTED_VALUE"""),"")</f>
        <v/>
      </c>
      <c r="M6601" s="16" t="str">
        <f>IFERROR(__xludf.DUMMYFUNCTION("""COMPUTED_VALUE"""),"")</f>
        <v/>
      </c>
      <c r="U6601" s="16" t="s">
        <v>87</v>
      </c>
      <c r="V6601" s="16" t="str">
        <f>IFERROR(__xludf.DUMMYFUNCTION("""COMPUTED_VALUE"""),"")</f>
        <v/>
      </c>
      <c r="W6601" s="16" t="str">
        <f>IFERROR(__xludf.DUMMYFUNCTION("""COMPUTED_VALUE"""),"")</f>
        <v/>
      </c>
      <c r="X6601" s="16" t="str">
        <f>IFERROR(__xludf.DUMMYFUNCTION("""COMPUTED_VALUE"""),"")</f>
        <v/>
      </c>
      <c r="AC6601" s="16" t="str">
        <f>IFERROR(__xludf.DUMMYFUNCTION("""COMPUTED_VALUE"""),"")</f>
        <v/>
      </c>
    </row>
    <row r="6602">
      <c r="A6602" s="16" t="s">
        <v>87</v>
      </c>
      <c r="E6602" s="16" t="str">
        <f>IFERROR(__xludf.DUMMYFUNCTION("""COMPUTED_VALUE"""),"")</f>
        <v/>
      </c>
      <c r="G6602" s="18"/>
      <c r="H6602" s="16" t="s">
        <v>87</v>
      </c>
      <c r="I6602" s="16" t="s">
        <v>87</v>
      </c>
      <c r="J6602" s="19"/>
      <c r="L6602" s="16" t="str">
        <f>IFERROR(__xludf.DUMMYFUNCTION("""COMPUTED_VALUE"""),"")</f>
        <v/>
      </c>
      <c r="M6602" s="16" t="str">
        <f>IFERROR(__xludf.DUMMYFUNCTION("""COMPUTED_VALUE"""),"")</f>
        <v/>
      </c>
      <c r="U6602" s="16" t="s">
        <v>87</v>
      </c>
      <c r="V6602" s="16" t="str">
        <f>IFERROR(__xludf.DUMMYFUNCTION("""COMPUTED_VALUE"""),"")</f>
        <v/>
      </c>
      <c r="W6602" s="16" t="str">
        <f>IFERROR(__xludf.DUMMYFUNCTION("""COMPUTED_VALUE"""),"")</f>
        <v/>
      </c>
      <c r="X6602" s="16" t="str">
        <f>IFERROR(__xludf.DUMMYFUNCTION("""COMPUTED_VALUE"""),"")</f>
        <v/>
      </c>
      <c r="AC6602" s="16" t="str">
        <f>IFERROR(__xludf.DUMMYFUNCTION("""COMPUTED_VALUE"""),"")</f>
        <v/>
      </c>
    </row>
    <row r="6603">
      <c r="A6603" s="16" t="s">
        <v>87</v>
      </c>
      <c r="E6603" s="16" t="str">
        <f>IFERROR(__xludf.DUMMYFUNCTION("""COMPUTED_VALUE"""),"")</f>
        <v/>
      </c>
      <c r="G6603" s="18"/>
      <c r="H6603" s="16" t="s">
        <v>87</v>
      </c>
      <c r="I6603" s="16" t="s">
        <v>87</v>
      </c>
      <c r="J6603" s="19"/>
      <c r="L6603" s="16" t="str">
        <f>IFERROR(__xludf.DUMMYFUNCTION("""COMPUTED_VALUE"""),"")</f>
        <v/>
      </c>
      <c r="M6603" s="16" t="str">
        <f>IFERROR(__xludf.DUMMYFUNCTION("""COMPUTED_VALUE"""),"")</f>
        <v/>
      </c>
      <c r="U6603" s="16" t="s">
        <v>87</v>
      </c>
      <c r="V6603" s="16" t="str">
        <f>IFERROR(__xludf.DUMMYFUNCTION("""COMPUTED_VALUE"""),"")</f>
        <v/>
      </c>
      <c r="W6603" s="16" t="str">
        <f>IFERROR(__xludf.DUMMYFUNCTION("""COMPUTED_VALUE"""),"")</f>
        <v/>
      </c>
      <c r="X6603" s="16" t="str">
        <f>IFERROR(__xludf.DUMMYFUNCTION("""COMPUTED_VALUE"""),"")</f>
        <v/>
      </c>
      <c r="AC6603" s="16" t="str">
        <f>IFERROR(__xludf.DUMMYFUNCTION("""COMPUTED_VALUE"""),"")</f>
        <v/>
      </c>
    </row>
    <row r="6604">
      <c r="A6604" s="16" t="s">
        <v>87</v>
      </c>
      <c r="E6604" s="16" t="str">
        <f>IFERROR(__xludf.DUMMYFUNCTION("""COMPUTED_VALUE"""),"")</f>
        <v/>
      </c>
      <c r="G6604" s="18"/>
      <c r="H6604" s="16" t="s">
        <v>87</v>
      </c>
      <c r="I6604" s="16" t="s">
        <v>87</v>
      </c>
      <c r="J6604" s="19"/>
      <c r="L6604" s="16" t="str">
        <f>IFERROR(__xludf.DUMMYFUNCTION("""COMPUTED_VALUE"""),"")</f>
        <v/>
      </c>
      <c r="M6604" s="16" t="str">
        <f>IFERROR(__xludf.DUMMYFUNCTION("""COMPUTED_VALUE"""),"")</f>
        <v/>
      </c>
      <c r="U6604" s="16" t="s">
        <v>87</v>
      </c>
      <c r="V6604" s="16" t="str">
        <f>IFERROR(__xludf.DUMMYFUNCTION("""COMPUTED_VALUE"""),"")</f>
        <v/>
      </c>
      <c r="W6604" s="16" t="str">
        <f>IFERROR(__xludf.DUMMYFUNCTION("""COMPUTED_VALUE"""),"")</f>
        <v/>
      </c>
      <c r="X6604" s="16" t="str">
        <f>IFERROR(__xludf.DUMMYFUNCTION("""COMPUTED_VALUE"""),"")</f>
        <v/>
      </c>
      <c r="AC6604" s="16" t="str">
        <f>IFERROR(__xludf.DUMMYFUNCTION("""COMPUTED_VALUE"""),"")</f>
        <v/>
      </c>
    </row>
    <row r="6605">
      <c r="A6605" s="16" t="s">
        <v>87</v>
      </c>
      <c r="E6605" s="16" t="str">
        <f>IFERROR(__xludf.DUMMYFUNCTION("""COMPUTED_VALUE"""),"")</f>
        <v/>
      </c>
      <c r="G6605" s="18"/>
      <c r="H6605" s="16" t="s">
        <v>87</v>
      </c>
      <c r="I6605" s="16" t="s">
        <v>87</v>
      </c>
      <c r="J6605" s="19"/>
      <c r="L6605" s="16" t="str">
        <f>IFERROR(__xludf.DUMMYFUNCTION("""COMPUTED_VALUE"""),"")</f>
        <v/>
      </c>
      <c r="M6605" s="16" t="str">
        <f>IFERROR(__xludf.DUMMYFUNCTION("""COMPUTED_VALUE"""),"")</f>
        <v/>
      </c>
      <c r="U6605" s="16" t="s">
        <v>87</v>
      </c>
      <c r="V6605" s="16" t="str">
        <f>IFERROR(__xludf.DUMMYFUNCTION("""COMPUTED_VALUE"""),"")</f>
        <v/>
      </c>
      <c r="W6605" s="16" t="str">
        <f>IFERROR(__xludf.DUMMYFUNCTION("""COMPUTED_VALUE"""),"")</f>
        <v/>
      </c>
      <c r="X6605" s="16" t="str">
        <f>IFERROR(__xludf.DUMMYFUNCTION("""COMPUTED_VALUE"""),"")</f>
        <v/>
      </c>
      <c r="AC6605" s="16" t="str">
        <f>IFERROR(__xludf.DUMMYFUNCTION("""COMPUTED_VALUE"""),"")</f>
        <v/>
      </c>
    </row>
    <row r="6606">
      <c r="A6606" s="16" t="s">
        <v>87</v>
      </c>
      <c r="E6606" s="16" t="str">
        <f>IFERROR(__xludf.DUMMYFUNCTION("""COMPUTED_VALUE"""),"")</f>
        <v/>
      </c>
      <c r="G6606" s="18"/>
      <c r="H6606" s="16" t="s">
        <v>87</v>
      </c>
      <c r="I6606" s="16" t="s">
        <v>87</v>
      </c>
      <c r="J6606" s="19"/>
      <c r="L6606" s="16" t="str">
        <f>IFERROR(__xludf.DUMMYFUNCTION("""COMPUTED_VALUE"""),"")</f>
        <v/>
      </c>
      <c r="M6606" s="16" t="str">
        <f>IFERROR(__xludf.DUMMYFUNCTION("""COMPUTED_VALUE"""),"")</f>
        <v/>
      </c>
      <c r="U6606" s="16" t="s">
        <v>87</v>
      </c>
      <c r="V6606" s="16" t="str">
        <f>IFERROR(__xludf.DUMMYFUNCTION("""COMPUTED_VALUE"""),"")</f>
        <v/>
      </c>
      <c r="W6606" s="16" t="str">
        <f>IFERROR(__xludf.DUMMYFUNCTION("""COMPUTED_VALUE"""),"")</f>
        <v/>
      </c>
      <c r="X6606" s="16" t="str">
        <f>IFERROR(__xludf.DUMMYFUNCTION("""COMPUTED_VALUE"""),"")</f>
        <v/>
      </c>
      <c r="AC6606" s="16" t="str">
        <f>IFERROR(__xludf.DUMMYFUNCTION("""COMPUTED_VALUE"""),"")</f>
        <v/>
      </c>
    </row>
    <row r="6607">
      <c r="A6607" s="16" t="s">
        <v>87</v>
      </c>
      <c r="E6607" s="16" t="str">
        <f>IFERROR(__xludf.DUMMYFUNCTION("""COMPUTED_VALUE"""),"")</f>
        <v/>
      </c>
      <c r="G6607" s="18"/>
      <c r="H6607" s="16" t="s">
        <v>87</v>
      </c>
      <c r="I6607" s="16" t="s">
        <v>87</v>
      </c>
      <c r="J6607" s="19"/>
      <c r="L6607" s="16" t="str">
        <f>IFERROR(__xludf.DUMMYFUNCTION("""COMPUTED_VALUE"""),"")</f>
        <v/>
      </c>
      <c r="M6607" s="16" t="str">
        <f>IFERROR(__xludf.DUMMYFUNCTION("""COMPUTED_VALUE"""),"")</f>
        <v/>
      </c>
      <c r="U6607" s="16" t="s">
        <v>87</v>
      </c>
      <c r="V6607" s="16" t="str">
        <f>IFERROR(__xludf.DUMMYFUNCTION("""COMPUTED_VALUE"""),"")</f>
        <v/>
      </c>
      <c r="W6607" s="16" t="str">
        <f>IFERROR(__xludf.DUMMYFUNCTION("""COMPUTED_VALUE"""),"")</f>
        <v/>
      </c>
      <c r="X6607" s="16" t="str">
        <f>IFERROR(__xludf.DUMMYFUNCTION("""COMPUTED_VALUE"""),"")</f>
        <v/>
      </c>
      <c r="AC6607" s="16" t="str">
        <f>IFERROR(__xludf.DUMMYFUNCTION("""COMPUTED_VALUE"""),"")</f>
        <v/>
      </c>
    </row>
    <row r="6608">
      <c r="A6608" s="16" t="s">
        <v>87</v>
      </c>
      <c r="E6608" s="16" t="str">
        <f>IFERROR(__xludf.DUMMYFUNCTION("""COMPUTED_VALUE"""),"")</f>
        <v/>
      </c>
      <c r="G6608" s="18"/>
      <c r="H6608" s="16" t="s">
        <v>87</v>
      </c>
      <c r="I6608" s="16" t="s">
        <v>87</v>
      </c>
      <c r="J6608" s="19"/>
      <c r="L6608" s="16" t="str">
        <f>IFERROR(__xludf.DUMMYFUNCTION("""COMPUTED_VALUE"""),"")</f>
        <v/>
      </c>
      <c r="M6608" s="16" t="str">
        <f>IFERROR(__xludf.DUMMYFUNCTION("""COMPUTED_VALUE"""),"")</f>
        <v/>
      </c>
      <c r="U6608" s="16" t="s">
        <v>87</v>
      </c>
      <c r="V6608" s="16" t="str">
        <f>IFERROR(__xludf.DUMMYFUNCTION("""COMPUTED_VALUE"""),"")</f>
        <v/>
      </c>
      <c r="W6608" s="16" t="str">
        <f>IFERROR(__xludf.DUMMYFUNCTION("""COMPUTED_VALUE"""),"")</f>
        <v/>
      </c>
      <c r="X6608" s="16" t="str">
        <f>IFERROR(__xludf.DUMMYFUNCTION("""COMPUTED_VALUE"""),"")</f>
        <v/>
      </c>
      <c r="AC6608" s="16" t="str">
        <f>IFERROR(__xludf.DUMMYFUNCTION("""COMPUTED_VALUE"""),"")</f>
        <v/>
      </c>
    </row>
    <row r="6609">
      <c r="A6609" s="16" t="s">
        <v>87</v>
      </c>
      <c r="E6609" s="16" t="str">
        <f>IFERROR(__xludf.DUMMYFUNCTION("""COMPUTED_VALUE"""),"")</f>
        <v/>
      </c>
      <c r="G6609" s="18"/>
      <c r="H6609" s="16" t="s">
        <v>87</v>
      </c>
      <c r="I6609" s="16" t="s">
        <v>87</v>
      </c>
      <c r="J6609" s="19"/>
      <c r="L6609" s="16" t="str">
        <f>IFERROR(__xludf.DUMMYFUNCTION("""COMPUTED_VALUE"""),"")</f>
        <v/>
      </c>
      <c r="M6609" s="16" t="str">
        <f>IFERROR(__xludf.DUMMYFUNCTION("""COMPUTED_VALUE"""),"")</f>
        <v/>
      </c>
      <c r="U6609" s="16" t="s">
        <v>87</v>
      </c>
      <c r="V6609" s="16" t="str">
        <f>IFERROR(__xludf.DUMMYFUNCTION("""COMPUTED_VALUE"""),"")</f>
        <v/>
      </c>
      <c r="W6609" s="16" t="str">
        <f>IFERROR(__xludf.DUMMYFUNCTION("""COMPUTED_VALUE"""),"")</f>
        <v/>
      </c>
      <c r="X6609" s="16" t="str">
        <f>IFERROR(__xludf.DUMMYFUNCTION("""COMPUTED_VALUE"""),"")</f>
        <v/>
      </c>
      <c r="AC6609" s="16" t="str">
        <f>IFERROR(__xludf.DUMMYFUNCTION("""COMPUTED_VALUE"""),"")</f>
        <v/>
      </c>
    </row>
    <row r="6610">
      <c r="A6610" s="16" t="s">
        <v>87</v>
      </c>
      <c r="E6610" s="16" t="str">
        <f>IFERROR(__xludf.DUMMYFUNCTION("""COMPUTED_VALUE"""),"")</f>
        <v/>
      </c>
      <c r="G6610" s="18"/>
      <c r="H6610" s="16" t="s">
        <v>87</v>
      </c>
      <c r="I6610" s="16" t="s">
        <v>87</v>
      </c>
      <c r="J6610" s="19"/>
      <c r="L6610" s="16" t="str">
        <f>IFERROR(__xludf.DUMMYFUNCTION("""COMPUTED_VALUE"""),"")</f>
        <v/>
      </c>
      <c r="M6610" s="16" t="str">
        <f>IFERROR(__xludf.DUMMYFUNCTION("""COMPUTED_VALUE"""),"")</f>
        <v/>
      </c>
      <c r="U6610" s="16" t="s">
        <v>87</v>
      </c>
      <c r="V6610" s="16" t="str">
        <f>IFERROR(__xludf.DUMMYFUNCTION("""COMPUTED_VALUE"""),"")</f>
        <v/>
      </c>
      <c r="W6610" s="16" t="str">
        <f>IFERROR(__xludf.DUMMYFUNCTION("""COMPUTED_VALUE"""),"")</f>
        <v/>
      </c>
      <c r="X6610" s="16" t="str">
        <f>IFERROR(__xludf.DUMMYFUNCTION("""COMPUTED_VALUE"""),"")</f>
        <v/>
      </c>
      <c r="AC6610" s="16" t="str">
        <f>IFERROR(__xludf.DUMMYFUNCTION("""COMPUTED_VALUE"""),"")</f>
        <v/>
      </c>
    </row>
    <row r="6611">
      <c r="A6611" s="16" t="s">
        <v>87</v>
      </c>
      <c r="E6611" s="16" t="str">
        <f>IFERROR(__xludf.DUMMYFUNCTION("""COMPUTED_VALUE"""),"")</f>
        <v/>
      </c>
      <c r="G6611" s="18"/>
      <c r="H6611" s="16" t="s">
        <v>87</v>
      </c>
      <c r="I6611" s="16" t="s">
        <v>87</v>
      </c>
      <c r="J6611" s="19"/>
      <c r="L6611" s="16" t="str">
        <f>IFERROR(__xludf.DUMMYFUNCTION("""COMPUTED_VALUE"""),"")</f>
        <v/>
      </c>
      <c r="M6611" s="16" t="str">
        <f>IFERROR(__xludf.DUMMYFUNCTION("""COMPUTED_VALUE"""),"")</f>
        <v/>
      </c>
      <c r="U6611" s="16" t="s">
        <v>87</v>
      </c>
      <c r="V6611" s="16" t="str">
        <f>IFERROR(__xludf.DUMMYFUNCTION("""COMPUTED_VALUE"""),"")</f>
        <v/>
      </c>
      <c r="W6611" s="16" t="str">
        <f>IFERROR(__xludf.DUMMYFUNCTION("""COMPUTED_VALUE"""),"")</f>
        <v/>
      </c>
      <c r="X6611" s="16" t="str">
        <f>IFERROR(__xludf.DUMMYFUNCTION("""COMPUTED_VALUE"""),"")</f>
        <v/>
      </c>
      <c r="AC6611" s="16" t="str">
        <f>IFERROR(__xludf.DUMMYFUNCTION("""COMPUTED_VALUE"""),"")</f>
        <v/>
      </c>
    </row>
    <row r="6612">
      <c r="A6612" s="16" t="s">
        <v>87</v>
      </c>
      <c r="E6612" s="16" t="str">
        <f>IFERROR(__xludf.DUMMYFUNCTION("""COMPUTED_VALUE"""),"")</f>
        <v/>
      </c>
      <c r="G6612" s="18"/>
      <c r="H6612" s="16" t="s">
        <v>87</v>
      </c>
      <c r="I6612" s="16" t="s">
        <v>87</v>
      </c>
      <c r="J6612" s="19"/>
      <c r="L6612" s="16" t="str">
        <f>IFERROR(__xludf.DUMMYFUNCTION("""COMPUTED_VALUE"""),"")</f>
        <v/>
      </c>
      <c r="M6612" s="16" t="str">
        <f>IFERROR(__xludf.DUMMYFUNCTION("""COMPUTED_VALUE"""),"")</f>
        <v/>
      </c>
      <c r="U6612" s="16" t="s">
        <v>87</v>
      </c>
      <c r="V6612" s="16" t="str">
        <f>IFERROR(__xludf.DUMMYFUNCTION("""COMPUTED_VALUE"""),"")</f>
        <v/>
      </c>
      <c r="W6612" s="16" t="str">
        <f>IFERROR(__xludf.DUMMYFUNCTION("""COMPUTED_VALUE"""),"")</f>
        <v/>
      </c>
      <c r="X6612" s="16" t="str">
        <f>IFERROR(__xludf.DUMMYFUNCTION("""COMPUTED_VALUE"""),"")</f>
        <v/>
      </c>
      <c r="AC6612" s="16" t="str">
        <f>IFERROR(__xludf.DUMMYFUNCTION("""COMPUTED_VALUE"""),"")</f>
        <v/>
      </c>
    </row>
    <row r="6613">
      <c r="A6613" s="16" t="s">
        <v>87</v>
      </c>
      <c r="E6613" s="16" t="str">
        <f>IFERROR(__xludf.DUMMYFUNCTION("""COMPUTED_VALUE"""),"")</f>
        <v/>
      </c>
      <c r="G6613" s="18"/>
      <c r="H6613" s="16" t="s">
        <v>87</v>
      </c>
      <c r="I6613" s="16" t="s">
        <v>87</v>
      </c>
      <c r="J6613" s="19"/>
      <c r="L6613" s="16" t="str">
        <f>IFERROR(__xludf.DUMMYFUNCTION("""COMPUTED_VALUE"""),"")</f>
        <v/>
      </c>
      <c r="M6613" s="16" t="str">
        <f>IFERROR(__xludf.DUMMYFUNCTION("""COMPUTED_VALUE"""),"")</f>
        <v/>
      </c>
      <c r="U6613" s="16" t="s">
        <v>87</v>
      </c>
      <c r="V6613" s="16" t="str">
        <f>IFERROR(__xludf.DUMMYFUNCTION("""COMPUTED_VALUE"""),"")</f>
        <v/>
      </c>
      <c r="W6613" s="16" t="str">
        <f>IFERROR(__xludf.DUMMYFUNCTION("""COMPUTED_VALUE"""),"")</f>
        <v/>
      </c>
      <c r="X6613" s="16" t="str">
        <f>IFERROR(__xludf.DUMMYFUNCTION("""COMPUTED_VALUE"""),"")</f>
        <v/>
      </c>
      <c r="AC6613" s="16" t="str">
        <f>IFERROR(__xludf.DUMMYFUNCTION("""COMPUTED_VALUE"""),"")</f>
        <v/>
      </c>
    </row>
    <row r="6614">
      <c r="A6614" s="16" t="s">
        <v>87</v>
      </c>
      <c r="E6614" s="16" t="str">
        <f>IFERROR(__xludf.DUMMYFUNCTION("""COMPUTED_VALUE"""),"")</f>
        <v/>
      </c>
      <c r="G6614" s="18"/>
      <c r="H6614" s="16" t="s">
        <v>87</v>
      </c>
      <c r="I6614" s="16" t="s">
        <v>87</v>
      </c>
      <c r="J6614" s="19"/>
      <c r="L6614" s="16" t="str">
        <f>IFERROR(__xludf.DUMMYFUNCTION("""COMPUTED_VALUE"""),"")</f>
        <v/>
      </c>
      <c r="M6614" s="16" t="str">
        <f>IFERROR(__xludf.DUMMYFUNCTION("""COMPUTED_VALUE"""),"")</f>
        <v/>
      </c>
      <c r="U6614" s="16" t="s">
        <v>87</v>
      </c>
      <c r="V6614" s="16" t="str">
        <f>IFERROR(__xludf.DUMMYFUNCTION("""COMPUTED_VALUE"""),"")</f>
        <v/>
      </c>
      <c r="W6614" s="16" t="str">
        <f>IFERROR(__xludf.DUMMYFUNCTION("""COMPUTED_VALUE"""),"")</f>
        <v/>
      </c>
      <c r="X6614" s="16" t="str">
        <f>IFERROR(__xludf.DUMMYFUNCTION("""COMPUTED_VALUE"""),"")</f>
        <v/>
      </c>
      <c r="AC6614" s="16" t="str">
        <f>IFERROR(__xludf.DUMMYFUNCTION("""COMPUTED_VALUE"""),"")</f>
        <v/>
      </c>
    </row>
    <row r="6615">
      <c r="A6615" s="16" t="s">
        <v>87</v>
      </c>
      <c r="E6615" s="16" t="str">
        <f>IFERROR(__xludf.DUMMYFUNCTION("""COMPUTED_VALUE"""),"")</f>
        <v/>
      </c>
      <c r="G6615" s="18"/>
      <c r="H6615" s="16" t="s">
        <v>87</v>
      </c>
      <c r="I6615" s="16" t="s">
        <v>87</v>
      </c>
      <c r="J6615" s="19"/>
      <c r="L6615" s="16" t="str">
        <f>IFERROR(__xludf.DUMMYFUNCTION("""COMPUTED_VALUE"""),"")</f>
        <v/>
      </c>
      <c r="M6615" s="16" t="str">
        <f>IFERROR(__xludf.DUMMYFUNCTION("""COMPUTED_VALUE"""),"")</f>
        <v/>
      </c>
      <c r="U6615" s="16" t="s">
        <v>87</v>
      </c>
      <c r="V6615" s="16" t="str">
        <f>IFERROR(__xludf.DUMMYFUNCTION("""COMPUTED_VALUE"""),"")</f>
        <v/>
      </c>
      <c r="W6615" s="16" t="str">
        <f>IFERROR(__xludf.DUMMYFUNCTION("""COMPUTED_VALUE"""),"")</f>
        <v/>
      </c>
      <c r="X6615" s="16" t="str">
        <f>IFERROR(__xludf.DUMMYFUNCTION("""COMPUTED_VALUE"""),"")</f>
        <v/>
      </c>
      <c r="AC6615" s="16" t="str">
        <f>IFERROR(__xludf.DUMMYFUNCTION("""COMPUTED_VALUE"""),"")</f>
        <v/>
      </c>
    </row>
    <row r="6616">
      <c r="A6616" s="16" t="s">
        <v>87</v>
      </c>
      <c r="E6616" s="16" t="str">
        <f>IFERROR(__xludf.DUMMYFUNCTION("""COMPUTED_VALUE"""),"")</f>
        <v/>
      </c>
      <c r="G6616" s="18"/>
      <c r="H6616" s="16" t="s">
        <v>87</v>
      </c>
      <c r="I6616" s="16" t="s">
        <v>87</v>
      </c>
      <c r="J6616" s="19"/>
      <c r="L6616" s="16" t="str">
        <f>IFERROR(__xludf.DUMMYFUNCTION("""COMPUTED_VALUE"""),"")</f>
        <v/>
      </c>
      <c r="M6616" s="16" t="str">
        <f>IFERROR(__xludf.DUMMYFUNCTION("""COMPUTED_VALUE"""),"")</f>
        <v/>
      </c>
      <c r="U6616" s="16" t="s">
        <v>87</v>
      </c>
      <c r="V6616" s="16" t="str">
        <f>IFERROR(__xludf.DUMMYFUNCTION("""COMPUTED_VALUE"""),"")</f>
        <v/>
      </c>
      <c r="W6616" s="16" t="str">
        <f>IFERROR(__xludf.DUMMYFUNCTION("""COMPUTED_VALUE"""),"")</f>
        <v/>
      </c>
      <c r="X6616" s="16" t="str">
        <f>IFERROR(__xludf.DUMMYFUNCTION("""COMPUTED_VALUE"""),"")</f>
        <v/>
      </c>
      <c r="AC6616" s="16" t="str">
        <f>IFERROR(__xludf.DUMMYFUNCTION("""COMPUTED_VALUE"""),"")</f>
        <v/>
      </c>
    </row>
    <row r="6617">
      <c r="A6617" s="16" t="s">
        <v>87</v>
      </c>
      <c r="E6617" s="16" t="str">
        <f>IFERROR(__xludf.DUMMYFUNCTION("""COMPUTED_VALUE"""),"")</f>
        <v/>
      </c>
      <c r="G6617" s="18"/>
      <c r="H6617" s="16" t="s">
        <v>87</v>
      </c>
      <c r="I6617" s="16" t="s">
        <v>87</v>
      </c>
      <c r="J6617" s="19"/>
      <c r="L6617" s="16" t="str">
        <f>IFERROR(__xludf.DUMMYFUNCTION("""COMPUTED_VALUE"""),"")</f>
        <v/>
      </c>
      <c r="M6617" s="16" t="str">
        <f>IFERROR(__xludf.DUMMYFUNCTION("""COMPUTED_VALUE"""),"")</f>
        <v/>
      </c>
      <c r="U6617" s="16" t="s">
        <v>87</v>
      </c>
      <c r="V6617" s="16" t="str">
        <f>IFERROR(__xludf.DUMMYFUNCTION("""COMPUTED_VALUE"""),"")</f>
        <v/>
      </c>
      <c r="W6617" s="16" t="str">
        <f>IFERROR(__xludf.DUMMYFUNCTION("""COMPUTED_VALUE"""),"")</f>
        <v/>
      </c>
      <c r="X6617" s="16" t="str">
        <f>IFERROR(__xludf.DUMMYFUNCTION("""COMPUTED_VALUE"""),"")</f>
        <v/>
      </c>
      <c r="AC6617" s="16" t="str">
        <f>IFERROR(__xludf.DUMMYFUNCTION("""COMPUTED_VALUE"""),"")</f>
        <v/>
      </c>
    </row>
    <row r="6618">
      <c r="A6618" s="16" t="s">
        <v>87</v>
      </c>
      <c r="E6618" s="16" t="str">
        <f>IFERROR(__xludf.DUMMYFUNCTION("""COMPUTED_VALUE"""),"")</f>
        <v/>
      </c>
      <c r="G6618" s="18"/>
      <c r="H6618" s="16" t="s">
        <v>87</v>
      </c>
      <c r="I6618" s="16" t="s">
        <v>87</v>
      </c>
      <c r="J6618" s="19"/>
      <c r="L6618" s="16" t="str">
        <f>IFERROR(__xludf.DUMMYFUNCTION("""COMPUTED_VALUE"""),"")</f>
        <v/>
      </c>
      <c r="M6618" s="16" t="str">
        <f>IFERROR(__xludf.DUMMYFUNCTION("""COMPUTED_VALUE"""),"")</f>
        <v/>
      </c>
      <c r="U6618" s="16" t="s">
        <v>87</v>
      </c>
      <c r="V6618" s="16" t="str">
        <f>IFERROR(__xludf.DUMMYFUNCTION("""COMPUTED_VALUE"""),"")</f>
        <v/>
      </c>
      <c r="W6618" s="16" t="str">
        <f>IFERROR(__xludf.DUMMYFUNCTION("""COMPUTED_VALUE"""),"")</f>
        <v/>
      </c>
      <c r="X6618" s="16" t="str">
        <f>IFERROR(__xludf.DUMMYFUNCTION("""COMPUTED_VALUE"""),"")</f>
        <v/>
      </c>
      <c r="AC6618" s="16" t="str">
        <f>IFERROR(__xludf.DUMMYFUNCTION("""COMPUTED_VALUE"""),"")</f>
        <v/>
      </c>
    </row>
    <row r="6619">
      <c r="A6619" s="16" t="s">
        <v>87</v>
      </c>
      <c r="E6619" s="16" t="str">
        <f>IFERROR(__xludf.DUMMYFUNCTION("""COMPUTED_VALUE"""),"")</f>
        <v/>
      </c>
      <c r="G6619" s="18"/>
      <c r="H6619" s="16" t="s">
        <v>87</v>
      </c>
      <c r="I6619" s="16" t="s">
        <v>87</v>
      </c>
      <c r="J6619" s="19"/>
      <c r="L6619" s="16" t="str">
        <f>IFERROR(__xludf.DUMMYFUNCTION("""COMPUTED_VALUE"""),"")</f>
        <v/>
      </c>
      <c r="M6619" s="16" t="str">
        <f>IFERROR(__xludf.DUMMYFUNCTION("""COMPUTED_VALUE"""),"")</f>
        <v/>
      </c>
      <c r="U6619" s="16" t="s">
        <v>87</v>
      </c>
      <c r="V6619" s="16" t="str">
        <f>IFERROR(__xludf.DUMMYFUNCTION("""COMPUTED_VALUE"""),"")</f>
        <v/>
      </c>
      <c r="W6619" s="16" t="str">
        <f>IFERROR(__xludf.DUMMYFUNCTION("""COMPUTED_VALUE"""),"")</f>
        <v/>
      </c>
      <c r="X6619" s="16" t="str">
        <f>IFERROR(__xludf.DUMMYFUNCTION("""COMPUTED_VALUE"""),"")</f>
        <v/>
      </c>
      <c r="AC6619" s="16" t="str">
        <f>IFERROR(__xludf.DUMMYFUNCTION("""COMPUTED_VALUE"""),"")</f>
        <v/>
      </c>
    </row>
    <row r="6620">
      <c r="A6620" s="16" t="s">
        <v>87</v>
      </c>
      <c r="E6620" s="16" t="str">
        <f>IFERROR(__xludf.DUMMYFUNCTION("""COMPUTED_VALUE"""),"")</f>
        <v/>
      </c>
      <c r="G6620" s="18"/>
      <c r="H6620" s="16" t="s">
        <v>87</v>
      </c>
      <c r="I6620" s="16" t="s">
        <v>87</v>
      </c>
      <c r="J6620" s="19"/>
      <c r="L6620" s="16" t="str">
        <f>IFERROR(__xludf.DUMMYFUNCTION("""COMPUTED_VALUE"""),"")</f>
        <v/>
      </c>
      <c r="M6620" s="16" t="str">
        <f>IFERROR(__xludf.DUMMYFUNCTION("""COMPUTED_VALUE"""),"")</f>
        <v/>
      </c>
      <c r="U6620" s="16" t="s">
        <v>87</v>
      </c>
      <c r="V6620" s="16" t="str">
        <f>IFERROR(__xludf.DUMMYFUNCTION("""COMPUTED_VALUE"""),"")</f>
        <v/>
      </c>
      <c r="W6620" s="16" t="str">
        <f>IFERROR(__xludf.DUMMYFUNCTION("""COMPUTED_VALUE"""),"")</f>
        <v/>
      </c>
      <c r="X6620" s="16" t="str">
        <f>IFERROR(__xludf.DUMMYFUNCTION("""COMPUTED_VALUE"""),"")</f>
        <v/>
      </c>
      <c r="AC6620" s="16" t="str">
        <f>IFERROR(__xludf.DUMMYFUNCTION("""COMPUTED_VALUE"""),"")</f>
        <v/>
      </c>
    </row>
    <row r="6621">
      <c r="A6621" s="16" t="s">
        <v>87</v>
      </c>
      <c r="E6621" s="16" t="str">
        <f>IFERROR(__xludf.DUMMYFUNCTION("""COMPUTED_VALUE"""),"")</f>
        <v/>
      </c>
      <c r="G6621" s="18"/>
      <c r="H6621" s="16" t="s">
        <v>87</v>
      </c>
      <c r="I6621" s="16" t="s">
        <v>87</v>
      </c>
      <c r="J6621" s="19"/>
      <c r="L6621" s="16" t="str">
        <f>IFERROR(__xludf.DUMMYFUNCTION("""COMPUTED_VALUE"""),"")</f>
        <v/>
      </c>
      <c r="M6621" s="16" t="str">
        <f>IFERROR(__xludf.DUMMYFUNCTION("""COMPUTED_VALUE"""),"")</f>
        <v/>
      </c>
      <c r="U6621" s="16" t="s">
        <v>87</v>
      </c>
      <c r="V6621" s="16" t="str">
        <f>IFERROR(__xludf.DUMMYFUNCTION("""COMPUTED_VALUE"""),"")</f>
        <v/>
      </c>
      <c r="W6621" s="16" t="str">
        <f>IFERROR(__xludf.DUMMYFUNCTION("""COMPUTED_VALUE"""),"")</f>
        <v/>
      </c>
      <c r="X6621" s="16" t="str">
        <f>IFERROR(__xludf.DUMMYFUNCTION("""COMPUTED_VALUE"""),"")</f>
        <v/>
      </c>
      <c r="AC6621" s="16" t="str">
        <f>IFERROR(__xludf.DUMMYFUNCTION("""COMPUTED_VALUE"""),"")</f>
        <v/>
      </c>
    </row>
    <row r="6622">
      <c r="A6622" s="16" t="s">
        <v>87</v>
      </c>
      <c r="E6622" s="16" t="str">
        <f>IFERROR(__xludf.DUMMYFUNCTION("""COMPUTED_VALUE"""),"")</f>
        <v/>
      </c>
      <c r="G6622" s="18"/>
      <c r="H6622" s="16" t="s">
        <v>87</v>
      </c>
      <c r="I6622" s="16" t="s">
        <v>87</v>
      </c>
      <c r="J6622" s="19"/>
      <c r="L6622" s="16" t="str">
        <f>IFERROR(__xludf.DUMMYFUNCTION("""COMPUTED_VALUE"""),"")</f>
        <v/>
      </c>
      <c r="M6622" s="16" t="str">
        <f>IFERROR(__xludf.DUMMYFUNCTION("""COMPUTED_VALUE"""),"")</f>
        <v/>
      </c>
      <c r="U6622" s="16" t="s">
        <v>87</v>
      </c>
      <c r="V6622" s="16" t="str">
        <f>IFERROR(__xludf.DUMMYFUNCTION("""COMPUTED_VALUE"""),"")</f>
        <v/>
      </c>
      <c r="W6622" s="16" t="str">
        <f>IFERROR(__xludf.DUMMYFUNCTION("""COMPUTED_VALUE"""),"")</f>
        <v/>
      </c>
      <c r="X6622" s="16" t="str">
        <f>IFERROR(__xludf.DUMMYFUNCTION("""COMPUTED_VALUE"""),"")</f>
        <v/>
      </c>
      <c r="AC6622" s="16" t="str">
        <f>IFERROR(__xludf.DUMMYFUNCTION("""COMPUTED_VALUE"""),"")</f>
        <v/>
      </c>
    </row>
    <row r="6623">
      <c r="A6623" s="16" t="s">
        <v>87</v>
      </c>
      <c r="E6623" s="16" t="str">
        <f>IFERROR(__xludf.DUMMYFUNCTION("""COMPUTED_VALUE"""),"")</f>
        <v/>
      </c>
      <c r="G6623" s="18"/>
      <c r="H6623" s="16" t="s">
        <v>87</v>
      </c>
      <c r="I6623" s="16" t="s">
        <v>87</v>
      </c>
      <c r="J6623" s="19"/>
      <c r="L6623" s="16" t="str">
        <f>IFERROR(__xludf.DUMMYFUNCTION("""COMPUTED_VALUE"""),"")</f>
        <v/>
      </c>
      <c r="M6623" s="16" t="str">
        <f>IFERROR(__xludf.DUMMYFUNCTION("""COMPUTED_VALUE"""),"")</f>
        <v/>
      </c>
      <c r="U6623" s="16" t="s">
        <v>87</v>
      </c>
      <c r="V6623" s="16" t="str">
        <f>IFERROR(__xludf.DUMMYFUNCTION("""COMPUTED_VALUE"""),"")</f>
        <v/>
      </c>
      <c r="W6623" s="16" t="str">
        <f>IFERROR(__xludf.DUMMYFUNCTION("""COMPUTED_VALUE"""),"")</f>
        <v/>
      </c>
      <c r="X6623" s="16" t="str">
        <f>IFERROR(__xludf.DUMMYFUNCTION("""COMPUTED_VALUE"""),"")</f>
        <v/>
      </c>
      <c r="AC6623" s="16" t="str">
        <f>IFERROR(__xludf.DUMMYFUNCTION("""COMPUTED_VALUE"""),"")</f>
        <v/>
      </c>
    </row>
    <row r="6624">
      <c r="A6624" s="16" t="s">
        <v>87</v>
      </c>
      <c r="E6624" s="16" t="str">
        <f>IFERROR(__xludf.DUMMYFUNCTION("""COMPUTED_VALUE"""),"")</f>
        <v/>
      </c>
      <c r="G6624" s="18"/>
      <c r="H6624" s="16" t="s">
        <v>87</v>
      </c>
      <c r="I6624" s="16" t="s">
        <v>87</v>
      </c>
      <c r="J6624" s="19"/>
      <c r="L6624" s="16" t="str">
        <f>IFERROR(__xludf.DUMMYFUNCTION("""COMPUTED_VALUE"""),"")</f>
        <v/>
      </c>
      <c r="M6624" s="16" t="str">
        <f>IFERROR(__xludf.DUMMYFUNCTION("""COMPUTED_VALUE"""),"")</f>
        <v/>
      </c>
      <c r="U6624" s="16" t="s">
        <v>87</v>
      </c>
      <c r="V6624" s="16" t="str">
        <f>IFERROR(__xludf.DUMMYFUNCTION("""COMPUTED_VALUE"""),"")</f>
        <v/>
      </c>
      <c r="W6624" s="16" t="str">
        <f>IFERROR(__xludf.DUMMYFUNCTION("""COMPUTED_VALUE"""),"")</f>
        <v/>
      </c>
      <c r="X6624" s="16" t="str">
        <f>IFERROR(__xludf.DUMMYFUNCTION("""COMPUTED_VALUE"""),"")</f>
        <v/>
      </c>
      <c r="AC6624" s="16" t="str">
        <f>IFERROR(__xludf.DUMMYFUNCTION("""COMPUTED_VALUE"""),"")</f>
        <v/>
      </c>
    </row>
    <row r="6625">
      <c r="A6625" s="16" t="s">
        <v>87</v>
      </c>
      <c r="E6625" s="16" t="str">
        <f>IFERROR(__xludf.DUMMYFUNCTION("""COMPUTED_VALUE"""),"")</f>
        <v/>
      </c>
      <c r="G6625" s="18"/>
      <c r="H6625" s="16" t="s">
        <v>87</v>
      </c>
      <c r="I6625" s="16" t="s">
        <v>87</v>
      </c>
      <c r="J6625" s="19"/>
      <c r="L6625" s="16" t="str">
        <f>IFERROR(__xludf.DUMMYFUNCTION("""COMPUTED_VALUE"""),"")</f>
        <v/>
      </c>
      <c r="M6625" s="16" t="str">
        <f>IFERROR(__xludf.DUMMYFUNCTION("""COMPUTED_VALUE"""),"")</f>
        <v/>
      </c>
      <c r="U6625" s="16" t="s">
        <v>87</v>
      </c>
      <c r="V6625" s="16" t="str">
        <f>IFERROR(__xludf.DUMMYFUNCTION("""COMPUTED_VALUE"""),"")</f>
        <v/>
      </c>
      <c r="W6625" s="16" t="str">
        <f>IFERROR(__xludf.DUMMYFUNCTION("""COMPUTED_VALUE"""),"")</f>
        <v/>
      </c>
      <c r="X6625" s="16" t="str">
        <f>IFERROR(__xludf.DUMMYFUNCTION("""COMPUTED_VALUE"""),"")</f>
        <v/>
      </c>
      <c r="AC6625" s="16" t="str">
        <f>IFERROR(__xludf.DUMMYFUNCTION("""COMPUTED_VALUE"""),"")</f>
        <v/>
      </c>
    </row>
    <row r="6626">
      <c r="A6626" s="16" t="s">
        <v>87</v>
      </c>
      <c r="E6626" s="16" t="str">
        <f>IFERROR(__xludf.DUMMYFUNCTION("""COMPUTED_VALUE"""),"")</f>
        <v/>
      </c>
      <c r="G6626" s="18"/>
      <c r="H6626" s="16" t="s">
        <v>87</v>
      </c>
      <c r="I6626" s="16" t="s">
        <v>87</v>
      </c>
      <c r="J6626" s="19"/>
      <c r="L6626" s="16" t="str">
        <f>IFERROR(__xludf.DUMMYFUNCTION("""COMPUTED_VALUE"""),"")</f>
        <v/>
      </c>
      <c r="M6626" s="16" t="str">
        <f>IFERROR(__xludf.DUMMYFUNCTION("""COMPUTED_VALUE"""),"")</f>
        <v/>
      </c>
      <c r="U6626" s="16" t="s">
        <v>87</v>
      </c>
      <c r="V6626" s="16" t="str">
        <f>IFERROR(__xludf.DUMMYFUNCTION("""COMPUTED_VALUE"""),"")</f>
        <v/>
      </c>
      <c r="W6626" s="16" t="str">
        <f>IFERROR(__xludf.DUMMYFUNCTION("""COMPUTED_VALUE"""),"")</f>
        <v/>
      </c>
      <c r="X6626" s="16" t="str">
        <f>IFERROR(__xludf.DUMMYFUNCTION("""COMPUTED_VALUE"""),"")</f>
        <v/>
      </c>
      <c r="AC6626" s="16" t="str">
        <f>IFERROR(__xludf.DUMMYFUNCTION("""COMPUTED_VALUE"""),"")</f>
        <v/>
      </c>
    </row>
    <row r="6627">
      <c r="A6627" s="16" t="s">
        <v>87</v>
      </c>
      <c r="E6627" s="16" t="str">
        <f>IFERROR(__xludf.DUMMYFUNCTION("""COMPUTED_VALUE"""),"")</f>
        <v/>
      </c>
      <c r="G6627" s="18"/>
      <c r="H6627" s="16" t="s">
        <v>87</v>
      </c>
      <c r="I6627" s="16" t="s">
        <v>87</v>
      </c>
      <c r="J6627" s="19"/>
      <c r="L6627" s="16" t="str">
        <f>IFERROR(__xludf.DUMMYFUNCTION("""COMPUTED_VALUE"""),"")</f>
        <v/>
      </c>
      <c r="M6627" s="16" t="str">
        <f>IFERROR(__xludf.DUMMYFUNCTION("""COMPUTED_VALUE"""),"")</f>
        <v/>
      </c>
      <c r="U6627" s="16" t="s">
        <v>87</v>
      </c>
      <c r="V6627" s="16" t="str">
        <f>IFERROR(__xludf.DUMMYFUNCTION("""COMPUTED_VALUE"""),"")</f>
        <v/>
      </c>
      <c r="W6627" s="16" t="str">
        <f>IFERROR(__xludf.DUMMYFUNCTION("""COMPUTED_VALUE"""),"")</f>
        <v/>
      </c>
      <c r="X6627" s="16" t="str">
        <f>IFERROR(__xludf.DUMMYFUNCTION("""COMPUTED_VALUE"""),"")</f>
        <v/>
      </c>
      <c r="AC6627" s="16" t="str">
        <f>IFERROR(__xludf.DUMMYFUNCTION("""COMPUTED_VALUE"""),"")</f>
        <v/>
      </c>
    </row>
    <row r="6628">
      <c r="A6628" s="16" t="s">
        <v>87</v>
      </c>
      <c r="E6628" s="16" t="str">
        <f>IFERROR(__xludf.DUMMYFUNCTION("""COMPUTED_VALUE"""),"")</f>
        <v/>
      </c>
      <c r="G6628" s="18"/>
      <c r="H6628" s="16" t="s">
        <v>87</v>
      </c>
      <c r="I6628" s="16" t="s">
        <v>87</v>
      </c>
      <c r="J6628" s="19"/>
      <c r="L6628" s="16" t="str">
        <f>IFERROR(__xludf.DUMMYFUNCTION("""COMPUTED_VALUE"""),"")</f>
        <v/>
      </c>
      <c r="M6628" s="16" t="str">
        <f>IFERROR(__xludf.DUMMYFUNCTION("""COMPUTED_VALUE"""),"")</f>
        <v/>
      </c>
      <c r="U6628" s="16" t="s">
        <v>87</v>
      </c>
      <c r="V6628" s="16" t="str">
        <f>IFERROR(__xludf.DUMMYFUNCTION("""COMPUTED_VALUE"""),"")</f>
        <v/>
      </c>
      <c r="W6628" s="16" t="str">
        <f>IFERROR(__xludf.DUMMYFUNCTION("""COMPUTED_VALUE"""),"")</f>
        <v/>
      </c>
      <c r="X6628" s="16" t="str">
        <f>IFERROR(__xludf.DUMMYFUNCTION("""COMPUTED_VALUE"""),"")</f>
        <v/>
      </c>
      <c r="AC6628" s="16" t="str">
        <f>IFERROR(__xludf.DUMMYFUNCTION("""COMPUTED_VALUE"""),"")</f>
        <v/>
      </c>
    </row>
    <row r="6629">
      <c r="A6629" s="16" t="s">
        <v>87</v>
      </c>
      <c r="E6629" s="16" t="str">
        <f>IFERROR(__xludf.DUMMYFUNCTION("""COMPUTED_VALUE"""),"")</f>
        <v/>
      </c>
      <c r="G6629" s="18"/>
      <c r="H6629" s="16" t="s">
        <v>87</v>
      </c>
      <c r="I6629" s="16" t="s">
        <v>87</v>
      </c>
      <c r="J6629" s="19"/>
      <c r="L6629" s="16" t="str">
        <f>IFERROR(__xludf.DUMMYFUNCTION("""COMPUTED_VALUE"""),"")</f>
        <v/>
      </c>
      <c r="M6629" s="16" t="str">
        <f>IFERROR(__xludf.DUMMYFUNCTION("""COMPUTED_VALUE"""),"")</f>
        <v/>
      </c>
      <c r="U6629" s="16" t="s">
        <v>87</v>
      </c>
      <c r="V6629" s="16" t="str">
        <f>IFERROR(__xludf.DUMMYFUNCTION("""COMPUTED_VALUE"""),"")</f>
        <v/>
      </c>
      <c r="W6629" s="16" t="str">
        <f>IFERROR(__xludf.DUMMYFUNCTION("""COMPUTED_VALUE"""),"")</f>
        <v/>
      </c>
      <c r="X6629" s="16" t="str">
        <f>IFERROR(__xludf.DUMMYFUNCTION("""COMPUTED_VALUE"""),"")</f>
        <v/>
      </c>
      <c r="AC6629" s="16" t="str">
        <f>IFERROR(__xludf.DUMMYFUNCTION("""COMPUTED_VALUE"""),"")</f>
        <v/>
      </c>
    </row>
    <row r="6630">
      <c r="A6630" s="16" t="s">
        <v>87</v>
      </c>
      <c r="E6630" s="16" t="str">
        <f>IFERROR(__xludf.DUMMYFUNCTION("""COMPUTED_VALUE"""),"")</f>
        <v/>
      </c>
      <c r="G6630" s="18"/>
      <c r="H6630" s="16" t="s">
        <v>87</v>
      </c>
      <c r="I6630" s="16" t="s">
        <v>87</v>
      </c>
      <c r="J6630" s="19"/>
      <c r="L6630" s="16" t="str">
        <f>IFERROR(__xludf.DUMMYFUNCTION("""COMPUTED_VALUE"""),"")</f>
        <v/>
      </c>
      <c r="M6630" s="16" t="str">
        <f>IFERROR(__xludf.DUMMYFUNCTION("""COMPUTED_VALUE"""),"")</f>
        <v/>
      </c>
      <c r="U6630" s="16" t="s">
        <v>87</v>
      </c>
      <c r="V6630" s="16" t="str">
        <f>IFERROR(__xludf.DUMMYFUNCTION("""COMPUTED_VALUE"""),"")</f>
        <v/>
      </c>
      <c r="W6630" s="16" t="str">
        <f>IFERROR(__xludf.DUMMYFUNCTION("""COMPUTED_VALUE"""),"")</f>
        <v/>
      </c>
      <c r="X6630" s="16" t="str">
        <f>IFERROR(__xludf.DUMMYFUNCTION("""COMPUTED_VALUE"""),"")</f>
        <v/>
      </c>
      <c r="AC6630" s="16" t="str">
        <f>IFERROR(__xludf.DUMMYFUNCTION("""COMPUTED_VALUE"""),"")</f>
        <v/>
      </c>
    </row>
    <row r="6631">
      <c r="A6631" s="16" t="s">
        <v>87</v>
      </c>
      <c r="E6631" s="16" t="str">
        <f>IFERROR(__xludf.DUMMYFUNCTION("""COMPUTED_VALUE"""),"")</f>
        <v/>
      </c>
      <c r="G6631" s="18"/>
      <c r="H6631" s="16" t="s">
        <v>87</v>
      </c>
      <c r="I6631" s="16" t="s">
        <v>87</v>
      </c>
      <c r="J6631" s="19"/>
      <c r="L6631" s="16" t="str">
        <f>IFERROR(__xludf.DUMMYFUNCTION("""COMPUTED_VALUE"""),"")</f>
        <v/>
      </c>
      <c r="M6631" s="16" t="str">
        <f>IFERROR(__xludf.DUMMYFUNCTION("""COMPUTED_VALUE"""),"")</f>
        <v/>
      </c>
      <c r="U6631" s="16" t="s">
        <v>87</v>
      </c>
      <c r="V6631" s="16" t="str">
        <f>IFERROR(__xludf.DUMMYFUNCTION("""COMPUTED_VALUE"""),"")</f>
        <v/>
      </c>
      <c r="W6631" s="16" t="str">
        <f>IFERROR(__xludf.DUMMYFUNCTION("""COMPUTED_VALUE"""),"")</f>
        <v/>
      </c>
      <c r="X6631" s="16" t="str">
        <f>IFERROR(__xludf.DUMMYFUNCTION("""COMPUTED_VALUE"""),"")</f>
        <v/>
      </c>
      <c r="AC6631" s="16" t="str">
        <f>IFERROR(__xludf.DUMMYFUNCTION("""COMPUTED_VALUE"""),"")</f>
        <v/>
      </c>
    </row>
    <row r="6632">
      <c r="A6632" s="16" t="s">
        <v>87</v>
      </c>
      <c r="E6632" s="16" t="str">
        <f>IFERROR(__xludf.DUMMYFUNCTION("""COMPUTED_VALUE"""),"")</f>
        <v/>
      </c>
      <c r="G6632" s="18"/>
      <c r="H6632" s="16" t="s">
        <v>87</v>
      </c>
      <c r="I6632" s="16" t="s">
        <v>87</v>
      </c>
      <c r="J6632" s="19"/>
      <c r="L6632" s="16" t="str">
        <f>IFERROR(__xludf.DUMMYFUNCTION("""COMPUTED_VALUE"""),"")</f>
        <v/>
      </c>
      <c r="M6632" s="16" t="str">
        <f>IFERROR(__xludf.DUMMYFUNCTION("""COMPUTED_VALUE"""),"")</f>
        <v/>
      </c>
      <c r="U6632" s="16" t="s">
        <v>87</v>
      </c>
      <c r="V6632" s="16" t="str">
        <f>IFERROR(__xludf.DUMMYFUNCTION("""COMPUTED_VALUE"""),"")</f>
        <v/>
      </c>
      <c r="W6632" s="16" t="str">
        <f>IFERROR(__xludf.DUMMYFUNCTION("""COMPUTED_VALUE"""),"")</f>
        <v/>
      </c>
      <c r="X6632" s="16" t="str">
        <f>IFERROR(__xludf.DUMMYFUNCTION("""COMPUTED_VALUE"""),"")</f>
        <v/>
      </c>
      <c r="AC6632" s="16" t="str">
        <f>IFERROR(__xludf.DUMMYFUNCTION("""COMPUTED_VALUE"""),"")</f>
        <v/>
      </c>
    </row>
    <row r="6633">
      <c r="A6633" s="16" t="s">
        <v>87</v>
      </c>
      <c r="E6633" s="16" t="str">
        <f>IFERROR(__xludf.DUMMYFUNCTION("""COMPUTED_VALUE"""),"")</f>
        <v/>
      </c>
      <c r="G6633" s="18"/>
      <c r="H6633" s="16" t="s">
        <v>87</v>
      </c>
      <c r="I6633" s="16" t="s">
        <v>87</v>
      </c>
      <c r="J6633" s="19"/>
      <c r="L6633" s="16" t="str">
        <f>IFERROR(__xludf.DUMMYFUNCTION("""COMPUTED_VALUE"""),"")</f>
        <v/>
      </c>
      <c r="M6633" s="16" t="str">
        <f>IFERROR(__xludf.DUMMYFUNCTION("""COMPUTED_VALUE"""),"")</f>
        <v/>
      </c>
      <c r="U6633" s="16" t="s">
        <v>87</v>
      </c>
      <c r="V6633" s="16" t="str">
        <f>IFERROR(__xludf.DUMMYFUNCTION("""COMPUTED_VALUE"""),"")</f>
        <v/>
      </c>
      <c r="W6633" s="16" t="str">
        <f>IFERROR(__xludf.DUMMYFUNCTION("""COMPUTED_VALUE"""),"")</f>
        <v/>
      </c>
      <c r="X6633" s="16" t="str">
        <f>IFERROR(__xludf.DUMMYFUNCTION("""COMPUTED_VALUE"""),"")</f>
        <v/>
      </c>
      <c r="AC6633" s="16" t="str">
        <f>IFERROR(__xludf.DUMMYFUNCTION("""COMPUTED_VALUE"""),"")</f>
        <v/>
      </c>
    </row>
    <row r="6634">
      <c r="A6634" s="16" t="s">
        <v>87</v>
      </c>
      <c r="E6634" s="16" t="str">
        <f>IFERROR(__xludf.DUMMYFUNCTION("""COMPUTED_VALUE"""),"")</f>
        <v/>
      </c>
      <c r="G6634" s="18"/>
      <c r="H6634" s="16" t="s">
        <v>87</v>
      </c>
      <c r="I6634" s="16" t="s">
        <v>87</v>
      </c>
      <c r="J6634" s="19"/>
      <c r="L6634" s="16" t="str">
        <f>IFERROR(__xludf.DUMMYFUNCTION("""COMPUTED_VALUE"""),"")</f>
        <v/>
      </c>
      <c r="M6634" s="16" t="str">
        <f>IFERROR(__xludf.DUMMYFUNCTION("""COMPUTED_VALUE"""),"")</f>
        <v/>
      </c>
      <c r="U6634" s="16" t="s">
        <v>87</v>
      </c>
      <c r="V6634" s="16" t="str">
        <f>IFERROR(__xludf.DUMMYFUNCTION("""COMPUTED_VALUE"""),"")</f>
        <v/>
      </c>
      <c r="W6634" s="16" t="str">
        <f>IFERROR(__xludf.DUMMYFUNCTION("""COMPUTED_VALUE"""),"")</f>
        <v/>
      </c>
      <c r="X6634" s="16" t="str">
        <f>IFERROR(__xludf.DUMMYFUNCTION("""COMPUTED_VALUE"""),"")</f>
        <v/>
      </c>
      <c r="AC6634" s="16" t="str">
        <f>IFERROR(__xludf.DUMMYFUNCTION("""COMPUTED_VALUE"""),"")</f>
        <v/>
      </c>
    </row>
    <row r="6635">
      <c r="A6635" s="16" t="s">
        <v>87</v>
      </c>
      <c r="E6635" s="16" t="str">
        <f>IFERROR(__xludf.DUMMYFUNCTION("""COMPUTED_VALUE"""),"")</f>
        <v/>
      </c>
      <c r="G6635" s="18"/>
      <c r="H6635" s="16" t="s">
        <v>87</v>
      </c>
      <c r="I6635" s="16" t="s">
        <v>87</v>
      </c>
      <c r="J6635" s="19"/>
      <c r="L6635" s="16" t="str">
        <f>IFERROR(__xludf.DUMMYFUNCTION("""COMPUTED_VALUE"""),"")</f>
        <v/>
      </c>
      <c r="M6635" s="16" t="str">
        <f>IFERROR(__xludf.DUMMYFUNCTION("""COMPUTED_VALUE"""),"")</f>
        <v/>
      </c>
      <c r="U6635" s="16" t="s">
        <v>87</v>
      </c>
      <c r="V6635" s="16" t="str">
        <f>IFERROR(__xludf.DUMMYFUNCTION("""COMPUTED_VALUE"""),"")</f>
        <v/>
      </c>
      <c r="W6635" s="16" t="str">
        <f>IFERROR(__xludf.DUMMYFUNCTION("""COMPUTED_VALUE"""),"")</f>
        <v/>
      </c>
      <c r="X6635" s="16" t="str">
        <f>IFERROR(__xludf.DUMMYFUNCTION("""COMPUTED_VALUE"""),"")</f>
        <v/>
      </c>
      <c r="AC6635" s="16" t="str">
        <f>IFERROR(__xludf.DUMMYFUNCTION("""COMPUTED_VALUE"""),"")</f>
        <v/>
      </c>
    </row>
    <row r="6636">
      <c r="A6636" s="16" t="s">
        <v>87</v>
      </c>
      <c r="E6636" s="16" t="str">
        <f>IFERROR(__xludf.DUMMYFUNCTION("""COMPUTED_VALUE"""),"")</f>
        <v/>
      </c>
      <c r="G6636" s="18"/>
      <c r="H6636" s="16" t="s">
        <v>87</v>
      </c>
      <c r="I6636" s="16" t="s">
        <v>87</v>
      </c>
      <c r="J6636" s="19"/>
      <c r="L6636" s="16" t="str">
        <f>IFERROR(__xludf.DUMMYFUNCTION("""COMPUTED_VALUE"""),"")</f>
        <v/>
      </c>
      <c r="M6636" s="16" t="str">
        <f>IFERROR(__xludf.DUMMYFUNCTION("""COMPUTED_VALUE"""),"")</f>
        <v/>
      </c>
      <c r="U6636" s="16" t="s">
        <v>87</v>
      </c>
      <c r="V6636" s="16" t="str">
        <f>IFERROR(__xludf.DUMMYFUNCTION("""COMPUTED_VALUE"""),"")</f>
        <v/>
      </c>
      <c r="W6636" s="16" t="str">
        <f>IFERROR(__xludf.DUMMYFUNCTION("""COMPUTED_VALUE"""),"")</f>
        <v/>
      </c>
      <c r="X6636" s="16" t="str">
        <f>IFERROR(__xludf.DUMMYFUNCTION("""COMPUTED_VALUE"""),"")</f>
        <v/>
      </c>
      <c r="AC6636" s="16" t="str">
        <f>IFERROR(__xludf.DUMMYFUNCTION("""COMPUTED_VALUE"""),"")</f>
        <v/>
      </c>
    </row>
    <row r="6637">
      <c r="A6637" s="16" t="s">
        <v>87</v>
      </c>
      <c r="E6637" s="16" t="str">
        <f>IFERROR(__xludf.DUMMYFUNCTION("""COMPUTED_VALUE"""),"")</f>
        <v/>
      </c>
      <c r="G6637" s="18"/>
      <c r="H6637" s="16" t="s">
        <v>87</v>
      </c>
      <c r="I6637" s="16" t="s">
        <v>87</v>
      </c>
      <c r="J6637" s="19"/>
      <c r="L6637" s="16" t="str">
        <f>IFERROR(__xludf.DUMMYFUNCTION("""COMPUTED_VALUE"""),"")</f>
        <v/>
      </c>
      <c r="M6637" s="16" t="str">
        <f>IFERROR(__xludf.DUMMYFUNCTION("""COMPUTED_VALUE"""),"")</f>
        <v/>
      </c>
      <c r="U6637" s="16" t="s">
        <v>87</v>
      </c>
      <c r="V6637" s="16" t="str">
        <f>IFERROR(__xludf.DUMMYFUNCTION("""COMPUTED_VALUE"""),"")</f>
        <v/>
      </c>
      <c r="W6637" s="16" t="str">
        <f>IFERROR(__xludf.DUMMYFUNCTION("""COMPUTED_VALUE"""),"")</f>
        <v/>
      </c>
      <c r="X6637" s="16" t="str">
        <f>IFERROR(__xludf.DUMMYFUNCTION("""COMPUTED_VALUE"""),"")</f>
        <v/>
      </c>
      <c r="AC6637" s="16" t="str">
        <f>IFERROR(__xludf.DUMMYFUNCTION("""COMPUTED_VALUE"""),"")</f>
        <v/>
      </c>
    </row>
    <row r="6638">
      <c r="A6638" s="16" t="s">
        <v>87</v>
      </c>
      <c r="E6638" s="16" t="str">
        <f>IFERROR(__xludf.DUMMYFUNCTION("""COMPUTED_VALUE"""),"")</f>
        <v/>
      </c>
      <c r="G6638" s="18"/>
      <c r="H6638" s="16" t="s">
        <v>87</v>
      </c>
      <c r="I6638" s="16" t="s">
        <v>87</v>
      </c>
      <c r="J6638" s="19"/>
      <c r="L6638" s="16" t="str">
        <f>IFERROR(__xludf.DUMMYFUNCTION("""COMPUTED_VALUE"""),"")</f>
        <v/>
      </c>
      <c r="M6638" s="16" t="str">
        <f>IFERROR(__xludf.DUMMYFUNCTION("""COMPUTED_VALUE"""),"")</f>
        <v/>
      </c>
      <c r="U6638" s="16" t="s">
        <v>87</v>
      </c>
      <c r="V6638" s="16" t="str">
        <f>IFERROR(__xludf.DUMMYFUNCTION("""COMPUTED_VALUE"""),"")</f>
        <v/>
      </c>
      <c r="W6638" s="16" t="str">
        <f>IFERROR(__xludf.DUMMYFUNCTION("""COMPUTED_VALUE"""),"")</f>
        <v/>
      </c>
      <c r="X6638" s="16" t="str">
        <f>IFERROR(__xludf.DUMMYFUNCTION("""COMPUTED_VALUE"""),"")</f>
        <v/>
      </c>
      <c r="AC6638" s="16" t="str">
        <f>IFERROR(__xludf.DUMMYFUNCTION("""COMPUTED_VALUE"""),"")</f>
        <v/>
      </c>
    </row>
    <row r="6639">
      <c r="A6639" s="16" t="s">
        <v>87</v>
      </c>
      <c r="E6639" s="16" t="str">
        <f>IFERROR(__xludf.DUMMYFUNCTION("""COMPUTED_VALUE"""),"")</f>
        <v/>
      </c>
      <c r="G6639" s="18"/>
      <c r="H6639" s="16" t="s">
        <v>87</v>
      </c>
      <c r="I6639" s="16" t="s">
        <v>87</v>
      </c>
      <c r="J6639" s="19"/>
      <c r="L6639" s="16" t="str">
        <f>IFERROR(__xludf.DUMMYFUNCTION("""COMPUTED_VALUE"""),"")</f>
        <v/>
      </c>
      <c r="M6639" s="16" t="str">
        <f>IFERROR(__xludf.DUMMYFUNCTION("""COMPUTED_VALUE"""),"")</f>
        <v/>
      </c>
      <c r="U6639" s="16" t="s">
        <v>87</v>
      </c>
      <c r="V6639" s="16" t="str">
        <f>IFERROR(__xludf.DUMMYFUNCTION("""COMPUTED_VALUE"""),"")</f>
        <v/>
      </c>
      <c r="W6639" s="16" t="str">
        <f>IFERROR(__xludf.DUMMYFUNCTION("""COMPUTED_VALUE"""),"")</f>
        <v/>
      </c>
      <c r="X6639" s="16" t="str">
        <f>IFERROR(__xludf.DUMMYFUNCTION("""COMPUTED_VALUE"""),"")</f>
        <v/>
      </c>
      <c r="AC6639" s="16" t="str">
        <f>IFERROR(__xludf.DUMMYFUNCTION("""COMPUTED_VALUE"""),"")</f>
        <v/>
      </c>
    </row>
    <row r="6640">
      <c r="A6640" s="16" t="s">
        <v>87</v>
      </c>
      <c r="E6640" s="16" t="str">
        <f>IFERROR(__xludf.DUMMYFUNCTION("""COMPUTED_VALUE"""),"")</f>
        <v/>
      </c>
      <c r="G6640" s="18"/>
      <c r="H6640" s="16" t="s">
        <v>87</v>
      </c>
      <c r="I6640" s="16" t="s">
        <v>87</v>
      </c>
      <c r="J6640" s="19"/>
      <c r="L6640" s="16" t="str">
        <f>IFERROR(__xludf.DUMMYFUNCTION("""COMPUTED_VALUE"""),"")</f>
        <v/>
      </c>
      <c r="M6640" s="16" t="str">
        <f>IFERROR(__xludf.DUMMYFUNCTION("""COMPUTED_VALUE"""),"")</f>
        <v/>
      </c>
      <c r="U6640" s="16" t="s">
        <v>87</v>
      </c>
      <c r="V6640" s="16" t="str">
        <f>IFERROR(__xludf.DUMMYFUNCTION("""COMPUTED_VALUE"""),"")</f>
        <v/>
      </c>
      <c r="W6640" s="16" t="str">
        <f>IFERROR(__xludf.DUMMYFUNCTION("""COMPUTED_VALUE"""),"")</f>
        <v/>
      </c>
      <c r="X6640" s="16" t="str">
        <f>IFERROR(__xludf.DUMMYFUNCTION("""COMPUTED_VALUE"""),"")</f>
        <v/>
      </c>
      <c r="AC6640" s="16" t="str">
        <f>IFERROR(__xludf.DUMMYFUNCTION("""COMPUTED_VALUE"""),"")</f>
        <v/>
      </c>
    </row>
    <row r="6641">
      <c r="A6641" s="16" t="s">
        <v>87</v>
      </c>
      <c r="E6641" s="16" t="str">
        <f>IFERROR(__xludf.DUMMYFUNCTION("""COMPUTED_VALUE"""),"")</f>
        <v/>
      </c>
      <c r="G6641" s="18"/>
      <c r="H6641" s="16" t="s">
        <v>87</v>
      </c>
      <c r="I6641" s="16" t="s">
        <v>87</v>
      </c>
      <c r="J6641" s="19"/>
      <c r="L6641" s="16" t="str">
        <f>IFERROR(__xludf.DUMMYFUNCTION("""COMPUTED_VALUE"""),"")</f>
        <v/>
      </c>
      <c r="M6641" s="16" t="str">
        <f>IFERROR(__xludf.DUMMYFUNCTION("""COMPUTED_VALUE"""),"")</f>
        <v/>
      </c>
      <c r="U6641" s="16" t="s">
        <v>87</v>
      </c>
      <c r="V6641" s="16" t="str">
        <f>IFERROR(__xludf.DUMMYFUNCTION("""COMPUTED_VALUE"""),"")</f>
        <v/>
      </c>
      <c r="W6641" s="16" t="str">
        <f>IFERROR(__xludf.DUMMYFUNCTION("""COMPUTED_VALUE"""),"")</f>
        <v/>
      </c>
      <c r="X6641" s="16" t="str">
        <f>IFERROR(__xludf.DUMMYFUNCTION("""COMPUTED_VALUE"""),"")</f>
        <v/>
      </c>
      <c r="AC6641" s="16" t="str">
        <f>IFERROR(__xludf.DUMMYFUNCTION("""COMPUTED_VALUE"""),"")</f>
        <v/>
      </c>
    </row>
    <row r="6642">
      <c r="A6642" s="16" t="s">
        <v>87</v>
      </c>
      <c r="E6642" s="16" t="str">
        <f>IFERROR(__xludf.DUMMYFUNCTION("""COMPUTED_VALUE"""),"")</f>
        <v/>
      </c>
      <c r="G6642" s="18"/>
      <c r="H6642" s="16" t="s">
        <v>87</v>
      </c>
      <c r="I6642" s="16" t="s">
        <v>87</v>
      </c>
      <c r="J6642" s="19"/>
      <c r="L6642" s="16" t="str">
        <f>IFERROR(__xludf.DUMMYFUNCTION("""COMPUTED_VALUE"""),"")</f>
        <v/>
      </c>
      <c r="M6642" s="16" t="str">
        <f>IFERROR(__xludf.DUMMYFUNCTION("""COMPUTED_VALUE"""),"")</f>
        <v/>
      </c>
      <c r="U6642" s="16" t="s">
        <v>87</v>
      </c>
      <c r="V6642" s="16" t="str">
        <f>IFERROR(__xludf.DUMMYFUNCTION("""COMPUTED_VALUE"""),"")</f>
        <v/>
      </c>
      <c r="W6642" s="16" t="str">
        <f>IFERROR(__xludf.DUMMYFUNCTION("""COMPUTED_VALUE"""),"")</f>
        <v/>
      </c>
      <c r="X6642" s="16" t="str">
        <f>IFERROR(__xludf.DUMMYFUNCTION("""COMPUTED_VALUE"""),"")</f>
        <v/>
      </c>
      <c r="AC6642" s="16" t="str">
        <f>IFERROR(__xludf.DUMMYFUNCTION("""COMPUTED_VALUE"""),"")</f>
        <v/>
      </c>
    </row>
    <row r="6643">
      <c r="A6643" s="16" t="s">
        <v>87</v>
      </c>
      <c r="E6643" s="16" t="str">
        <f>IFERROR(__xludf.DUMMYFUNCTION("""COMPUTED_VALUE"""),"")</f>
        <v/>
      </c>
      <c r="G6643" s="18"/>
      <c r="H6643" s="16" t="s">
        <v>87</v>
      </c>
      <c r="I6643" s="16" t="s">
        <v>87</v>
      </c>
      <c r="J6643" s="19"/>
      <c r="L6643" s="16" t="str">
        <f>IFERROR(__xludf.DUMMYFUNCTION("""COMPUTED_VALUE"""),"")</f>
        <v/>
      </c>
      <c r="M6643" s="16" t="str">
        <f>IFERROR(__xludf.DUMMYFUNCTION("""COMPUTED_VALUE"""),"")</f>
        <v/>
      </c>
      <c r="U6643" s="16" t="s">
        <v>87</v>
      </c>
      <c r="V6643" s="16" t="str">
        <f>IFERROR(__xludf.DUMMYFUNCTION("""COMPUTED_VALUE"""),"")</f>
        <v/>
      </c>
      <c r="W6643" s="16" t="str">
        <f>IFERROR(__xludf.DUMMYFUNCTION("""COMPUTED_VALUE"""),"")</f>
        <v/>
      </c>
      <c r="X6643" s="16" t="str">
        <f>IFERROR(__xludf.DUMMYFUNCTION("""COMPUTED_VALUE"""),"")</f>
        <v/>
      </c>
      <c r="AC6643" s="16" t="str">
        <f>IFERROR(__xludf.DUMMYFUNCTION("""COMPUTED_VALUE"""),"")</f>
        <v/>
      </c>
    </row>
    <row r="6644">
      <c r="A6644" s="16" t="s">
        <v>87</v>
      </c>
      <c r="E6644" s="16" t="str">
        <f>IFERROR(__xludf.DUMMYFUNCTION("""COMPUTED_VALUE"""),"")</f>
        <v/>
      </c>
      <c r="G6644" s="18"/>
      <c r="H6644" s="16" t="s">
        <v>87</v>
      </c>
      <c r="I6644" s="16" t="s">
        <v>87</v>
      </c>
      <c r="J6644" s="19"/>
      <c r="L6644" s="16" t="str">
        <f>IFERROR(__xludf.DUMMYFUNCTION("""COMPUTED_VALUE"""),"")</f>
        <v/>
      </c>
      <c r="M6644" s="16" t="str">
        <f>IFERROR(__xludf.DUMMYFUNCTION("""COMPUTED_VALUE"""),"")</f>
        <v/>
      </c>
      <c r="U6644" s="16" t="s">
        <v>87</v>
      </c>
      <c r="V6644" s="16" t="str">
        <f>IFERROR(__xludf.DUMMYFUNCTION("""COMPUTED_VALUE"""),"")</f>
        <v/>
      </c>
      <c r="W6644" s="16" t="str">
        <f>IFERROR(__xludf.DUMMYFUNCTION("""COMPUTED_VALUE"""),"")</f>
        <v/>
      </c>
      <c r="X6644" s="16" t="str">
        <f>IFERROR(__xludf.DUMMYFUNCTION("""COMPUTED_VALUE"""),"")</f>
        <v/>
      </c>
      <c r="AC6644" s="16" t="str">
        <f>IFERROR(__xludf.DUMMYFUNCTION("""COMPUTED_VALUE"""),"")</f>
        <v/>
      </c>
    </row>
    <row r="6645">
      <c r="A6645" s="16" t="s">
        <v>87</v>
      </c>
      <c r="E6645" s="16" t="str">
        <f>IFERROR(__xludf.DUMMYFUNCTION("""COMPUTED_VALUE"""),"")</f>
        <v/>
      </c>
      <c r="G6645" s="18"/>
      <c r="H6645" s="16" t="s">
        <v>87</v>
      </c>
      <c r="I6645" s="16" t="s">
        <v>87</v>
      </c>
      <c r="J6645" s="19"/>
      <c r="L6645" s="16" t="str">
        <f>IFERROR(__xludf.DUMMYFUNCTION("""COMPUTED_VALUE"""),"")</f>
        <v/>
      </c>
      <c r="M6645" s="16" t="str">
        <f>IFERROR(__xludf.DUMMYFUNCTION("""COMPUTED_VALUE"""),"")</f>
        <v/>
      </c>
      <c r="U6645" s="16" t="s">
        <v>87</v>
      </c>
      <c r="V6645" s="16" t="str">
        <f>IFERROR(__xludf.DUMMYFUNCTION("""COMPUTED_VALUE"""),"")</f>
        <v/>
      </c>
      <c r="W6645" s="16" t="str">
        <f>IFERROR(__xludf.DUMMYFUNCTION("""COMPUTED_VALUE"""),"")</f>
        <v/>
      </c>
      <c r="X6645" s="16" t="str">
        <f>IFERROR(__xludf.DUMMYFUNCTION("""COMPUTED_VALUE"""),"")</f>
        <v/>
      </c>
      <c r="AC6645" s="16" t="str">
        <f>IFERROR(__xludf.DUMMYFUNCTION("""COMPUTED_VALUE"""),"")</f>
        <v/>
      </c>
    </row>
    <row r="6646">
      <c r="A6646" s="16" t="s">
        <v>87</v>
      </c>
      <c r="E6646" s="16" t="str">
        <f>IFERROR(__xludf.DUMMYFUNCTION("""COMPUTED_VALUE"""),"")</f>
        <v/>
      </c>
      <c r="G6646" s="18"/>
      <c r="H6646" s="16" t="s">
        <v>87</v>
      </c>
      <c r="I6646" s="16" t="s">
        <v>87</v>
      </c>
      <c r="J6646" s="19"/>
      <c r="L6646" s="16" t="str">
        <f>IFERROR(__xludf.DUMMYFUNCTION("""COMPUTED_VALUE"""),"")</f>
        <v/>
      </c>
      <c r="M6646" s="16" t="str">
        <f>IFERROR(__xludf.DUMMYFUNCTION("""COMPUTED_VALUE"""),"")</f>
        <v/>
      </c>
      <c r="U6646" s="16" t="s">
        <v>87</v>
      </c>
      <c r="V6646" s="16" t="str">
        <f>IFERROR(__xludf.DUMMYFUNCTION("""COMPUTED_VALUE"""),"")</f>
        <v/>
      </c>
      <c r="W6646" s="16" t="str">
        <f>IFERROR(__xludf.DUMMYFUNCTION("""COMPUTED_VALUE"""),"")</f>
        <v/>
      </c>
      <c r="X6646" s="16" t="str">
        <f>IFERROR(__xludf.DUMMYFUNCTION("""COMPUTED_VALUE"""),"")</f>
        <v/>
      </c>
      <c r="AC6646" s="16" t="str">
        <f>IFERROR(__xludf.DUMMYFUNCTION("""COMPUTED_VALUE"""),"")</f>
        <v/>
      </c>
    </row>
    <row r="6647">
      <c r="A6647" s="16" t="s">
        <v>87</v>
      </c>
      <c r="E6647" s="16" t="str">
        <f>IFERROR(__xludf.DUMMYFUNCTION("""COMPUTED_VALUE"""),"")</f>
        <v/>
      </c>
      <c r="G6647" s="18"/>
      <c r="H6647" s="16" t="s">
        <v>87</v>
      </c>
      <c r="I6647" s="16" t="s">
        <v>87</v>
      </c>
      <c r="J6647" s="19"/>
      <c r="L6647" s="16" t="str">
        <f>IFERROR(__xludf.DUMMYFUNCTION("""COMPUTED_VALUE"""),"")</f>
        <v/>
      </c>
      <c r="M6647" s="16" t="str">
        <f>IFERROR(__xludf.DUMMYFUNCTION("""COMPUTED_VALUE"""),"")</f>
        <v/>
      </c>
      <c r="U6647" s="16" t="s">
        <v>87</v>
      </c>
      <c r="V6647" s="16" t="str">
        <f>IFERROR(__xludf.DUMMYFUNCTION("""COMPUTED_VALUE"""),"")</f>
        <v/>
      </c>
      <c r="W6647" s="16" t="str">
        <f>IFERROR(__xludf.DUMMYFUNCTION("""COMPUTED_VALUE"""),"")</f>
        <v/>
      </c>
      <c r="X6647" s="16" t="str">
        <f>IFERROR(__xludf.DUMMYFUNCTION("""COMPUTED_VALUE"""),"")</f>
        <v/>
      </c>
      <c r="AC6647" s="16" t="str">
        <f>IFERROR(__xludf.DUMMYFUNCTION("""COMPUTED_VALUE"""),"")</f>
        <v/>
      </c>
    </row>
    <row r="6648">
      <c r="A6648" s="16" t="s">
        <v>87</v>
      </c>
      <c r="E6648" s="16" t="str">
        <f>IFERROR(__xludf.DUMMYFUNCTION("""COMPUTED_VALUE"""),"")</f>
        <v/>
      </c>
      <c r="G6648" s="18"/>
      <c r="H6648" s="16" t="s">
        <v>87</v>
      </c>
      <c r="I6648" s="16" t="s">
        <v>87</v>
      </c>
      <c r="J6648" s="19"/>
      <c r="L6648" s="16" t="str">
        <f>IFERROR(__xludf.DUMMYFUNCTION("""COMPUTED_VALUE"""),"")</f>
        <v/>
      </c>
      <c r="M6648" s="16" t="str">
        <f>IFERROR(__xludf.DUMMYFUNCTION("""COMPUTED_VALUE"""),"")</f>
        <v/>
      </c>
      <c r="U6648" s="16" t="s">
        <v>87</v>
      </c>
      <c r="V6648" s="16" t="str">
        <f>IFERROR(__xludf.DUMMYFUNCTION("""COMPUTED_VALUE"""),"")</f>
        <v/>
      </c>
      <c r="W6648" s="16" t="str">
        <f>IFERROR(__xludf.DUMMYFUNCTION("""COMPUTED_VALUE"""),"")</f>
        <v/>
      </c>
      <c r="X6648" s="16" t="str">
        <f>IFERROR(__xludf.DUMMYFUNCTION("""COMPUTED_VALUE"""),"")</f>
        <v/>
      </c>
      <c r="AC6648" s="16" t="str">
        <f>IFERROR(__xludf.DUMMYFUNCTION("""COMPUTED_VALUE"""),"")</f>
        <v/>
      </c>
    </row>
    <row r="6649">
      <c r="A6649" s="16" t="s">
        <v>87</v>
      </c>
      <c r="E6649" s="16" t="str">
        <f>IFERROR(__xludf.DUMMYFUNCTION("""COMPUTED_VALUE"""),"")</f>
        <v/>
      </c>
      <c r="G6649" s="18"/>
      <c r="H6649" s="16" t="s">
        <v>87</v>
      </c>
      <c r="I6649" s="16" t="s">
        <v>87</v>
      </c>
      <c r="J6649" s="19"/>
      <c r="L6649" s="16" t="str">
        <f>IFERROR(__xludf.DUMMYFUNCTION("""COMPUTED_VALUE"""),"")</f>
        <v/>
      </c>
      <c r="M6649" s="16" t="str">
        <f>IFERROR(__xludf.DUMMYFUNCTION("""COMPUTED_VALUE"""),"")</f>
        <v/>
      </c>
      <c r="U6649" s="16" t="s">
        <v>87</v>
      </c>
      <c r="V6649" s="16" t="str">
        <f>IFERROR(__xludf.DUMMYFUNCTION("""COMPUTED_VALUE"""),"")</f>
        <v/>
      </c>
      <c r="W6649" s="16" t="str">
        <f>IFERROR(__xludf.DUMMYFUNCTION("""COMPUTED_VALUE"""),"")</f>
        <v/>
      </c>
      <c r="X6649" s="16" t="str">
        <f>IFERROR(__xludf.DUMMYFUNCTION("""COMPUTED_VALUE"""),"")</f>
        <v/>
      </c>
      <c r="AC6649" s="16" t="str">
        <f>IFERROR(__xludf.DUMMYFUNCTION("""COMPUTED_VALUE"""),"")</f>
        <v/>
      </c>
    </row>
    <row r="6650">
      <c r="A6650" s="16" t="s">
        <v>87</v>
      </c>
      <c r="E6650" s="16" t="str">
        <f>IFERROR(__xludf.DUMMYFUNCTION("""COMPUTED_VALUE"""),"")</f>
        <v/>
      </c>
      <c r="G6650" s="18"/>
      <c r="H6650" s="16" t="s">
        <v>87</v>
      </c>
      <c r="I6650" s="16" t="s">
        <v>87</v>
      </c>
      <c r="J6650" s="19"/>
      <c r="L6650" s="16" t="str">
        <f>IFERROR(__xludf.DUMMYFUNCTION("""COMPUTED_VALUE"""),"")</f>
        <v/>
      </c>
      <c r="M6650" s="16" t="str">
        <f>IFERROR(__xludf.DUMMYFUNCTION("""COMPUTED_VALUE"""),"")</f>
        <v/>
      </c>
      <c r="U6650" s="16" t="s">
        <v>87</v>
      </c>
      <c r="V6650" s="16" t="str">
        <f>IFERROR(__xludf.DUMMYFUNCTION("""COMPUTED_VALUE"""),"")</f>
        <v/>
      </c>
      <c r="W6650" s="16" t="str">
        <f>IFERROR(__xludf.DUMMYFUNCTION("""COMPUTED_VALUE"""),"")</f>
        <v/>
      </c>
      <c r="X6650" s="16" t="str">
        <f>IFERROR(__xludf.DUMMYFUNCTION("""COMPUTED_VALUE"""),"")</f>
        <v/>
      </c>
      <c r="AC6650" s="16" t="str">
        <f>IFERROR(__xludf.DUMMYFUNCTION("""COMPUTED_VALUE"""),"")</f>
        <v/>
      </c>
    </row>
    <row r="6651">
      <c r="A6651" s="16" t="s">
        <v>87</v>
      </c>
      <c r="E6651" s="16" t="str">
        <f>IFERROR(__xludf.DUMMYFUNCTION("""COMPUTED_VALUE"""),"")</f>
        <v/>
      </c>
      <c r="G6651" s="18"/>
      <c r="H6651" s="16" t="s">
        <v>87</v>
      </c>
      <c r="I6651" s="16" t="s">
        <v>87</v>
      </c>
      <c r="J6651" s="19"/>
      <c r="L6651" s="16" t="str">
        <f>IFERROR(__xludf.DUMMYFUNCTION("""COMPUTED_VALUE"""),"")</f>
        <v/>
      </c>
      <c r="M6651" s="16" t="str">
        <f>IFERROR(__xludf.DUMMYFUNCTION("""COMPUTED_VALUE"""),"")</f>
        <v/>
      </c>
      <c r="U6651" s="16" t="s">
        <v>87</v>
      </c>
      <c r="V6651" s="16" t="str">
        <f>IFERROR(__xludf.DUMMYFUNCTION("""COMPUTED_VALUE"""),"")</f>
        <v/>
      </c>
      <c r="W6651" s="16" t="str">
        <f>IFERROR(__xludf.DUMMYFUNCTION("""COMPUTED_VALUE"""),"")</f>
        <v/>
      </c>
      <c r="X6651" s="16" t="str">
        <f>IFERROR(__xludf.DUMMYFUNCTION("""COMPUTED_VALUE"""),"")</f>
        <v/>
      </c>
      <c r="AC6651" s="16" t="str">
        <f>IFERROR(__xludf.DUMMYFUNCTION("""COMPUTED_VALUE"""),"")</f>
        <v/>
      </c>
    </row>
    <row r="6652">
      <c r="A6652" s="16" t="s">
        <v>87</v>
      </c>
      <c r="E6652" s="16" t="str">
        <f>IFERROR(__xludf.DUMMYFUNCTION("""COMPUTED_VALUE"""),"")</f>
        <v/>
      </c>
      <c r="G6652" s="18"/>
      <c r="H6652" s="16" t="s">
        <v>87</v>
      </c>
      <c r="I6652" s="16" t="s">
        <v>87</v>
      </c>
      <c r="J6652" s="19"/>
      <c r="L6652" s="16" t="str">
        <f>IFERROR(__xludf.DUMMYFUNCTION("""COMPUTED_VALUE"""),"")</f>
        <v/>
      </c>
      <c r="M6652" s="16" t="str">
        <f>IFERROR(__xludf.DUMMYFUNCTION("""COMPUTED_VALUE"""),"")</f>
        <v/>
      </c>
      <c r="U6652" s="16" t="s">
        <v>87</v>
      </c>
      <c r="V6652" s="16" t="str">
        <f>IFERROR(__xludf.DUMMYFUNCTION("""COMPUTED_VALUE"""),"")</f>
        <v/>
      </c>
      <c r="W6652" s="16" t="str">
        <f>IFERROR(__xludf.DUMMYFUNCTION("""COMPUTED_VALUE"""),"")</f>
        <v/>
      </c>
      <c r="X6652" s="16" t="str">
        <f>IFERROR(__xludf.DUMMYFUNCTION("""COMPUTED_VALUE"""),"")</f>
        <v/>
      </c>
      <c r="AC6652" s="16" t="str">
        <f>IFERROR(__xludf.DUMMYFUNCTION("""COMPUTED_VALUE"""),"")</f>
        <v/>
      </c>
    </row>
    <row r="6653">
      <c r="A6653" s="16" t="s">
        <v>87</v>
      </c>
      <c r="E6653" s="16" t="str">
        <f>IFERROR(__xludf.DUMMYFUNCTION("""COMPUTED_VALUE"""),"")</f>
        <v/>
      </c>
      <c r="G6653" s="18"/>
      <c r="H6653" s="16" t="s">
        <v>87</v>
      </c>
      <c r="I6653" s="16" t="s">
        <v>87</v>
      </c>
      <c r="J6653" s="19"/>
      <c r="L6653" s="16" t="str">
        <f>IFERROR(__xludf.DUMMYFUNCTION("""COMPUTED_VALUE"""),"")</f>
        <v/>
      </c>
      <c r="M6653" s="16" t="str">
        <f>IFERROR(__xludf.DUMMYFUNCTION("""COMPUTED_VALUE"""),"")</f>
        <v/>
      </c>
      <c r="U6653" s="16" t="s">
        <v>87</v>
      </c>
      <c r="V6653" s="16" t="str">
        <f>IFERROR(__xludf.DUMMYFUNCTION("""COMPUTED_VALUE"""),"")</f>
        <v/>
      </c>
      <c r="W6653" s="16" t="str">
        <f>IFERROR(__xludf.DUMMYFUNCTION("""COMPUTED_VALUE"""),"")</f>
        <v/>
      </c>
      <c r="X6653" s="16" t="str">
        <f>IFERROR(__xludf.DUMMYFUNCTION("""COMPUTED_VALUE"""),"")</f>
        <v/>
      </c>
      <c r="AC6653" s="16" t="str">
        <f>IFERROR(__xludf.DUMMYFUNCTION("""COMPUTED_VALUE"""),"")</f>
        <v/>
      </c>
    </row>
    <row r="6654">
      <c r="A6654" s="16" t="s">
        <v>87</v>
      </c>
      <c r="E6654" s="16" t="str">
        <f>IFERROR(__xludf.DUMMYFUNCTION("""COMPUTED_VALUE"""),"")</f>
        <v/>
      </c>
      <c r="G6654" s="18"/>
      <c r="H6654" s="16" t="s">
        <v>87</v>
      </c>
      <c r="I6654" s="16" t="s">
        <v>87</v>
      </c>
      <c r="J6654" s="19"/>
      <c r="L6654" s="16" t="str">
        <f>IFERROR(__xludf.DUMMYFUNCTION("""COMPUTED_VALUE"""),"")</f>
        <v/>
      </c>
      <c r="M6654" s="16" t="str">
        <f>IFERROR(__xludf.DUMMYFUNCTION("""COMPUTED_VALUE"""),"")</f>
        <v/>
      </c>
      <c r="U6654" s="16" t="s">
        <v>87</v>
      </c>
      <c r="V6654" s="16" t="str">
        <f>IFERROR(__xludf.DUMMYFUNCTION("""COMPUTED_VALUE"""),"")</f>
        <v/>
      </c>
      <c r="W6654" s="16" t="str">
        <f>IFERROR(__xludf.DUMMYFUNCTION("""COMPUTED_VALUE"""),"")</f>
        <v/>
      </c>
      <c r="X6654" s="16" t="str">
        <f>IFERROR(__xludf.DUMMYFUNCTION("""COMPUTED_VALUE"""),"")</f>
        <v/>
      </c>
      <c r="AC6654" s="16" t="str">
        <f>IFERROR(__xludf.DUMMYFUNCTION("""COMPUTED_VALUE"""),"")</f>
        <v/>
      </c>
    </row>
    <row r="6655">
      <c r="A6655" s="16" t="s">
        <v>87</v>
      </c>
      <c r="E6655" s="16" t="str">
        <f>IFERROR(__xludf.DUMMYFUNCTION("""COMPUTED_VALUE"""),"")</f>
        <v/>
      </c>
      <c r="G6655" s="18"/>
      <c r="H6655" s="16" t="s">
        <v>87</v>
      </c>
      <c r="I6655" s="16" t="s">
        <v>87</v>
      </c>
      <c r="J6655" s="19"/>
      <c r="L6655" s="16" t="str">
        <f>IFERROR(__xludf.DUMMYFUNCTION("""COMPUTED_VALUE"""),"")</f>
        <v/>
      </c>
      <c r="M6655" s="16" t="str">
        <f>IFERROR(__xludf.DUMMYFUNCTION("""COMPUTED_VALUE"""),"")</f>
        <v/>
      </c>
      <c r="U6655" s="16" t="s">
        <v>87</v>
      </c>
      <c r="V6655" s="16" t="str">
        <f>IFERROR(__xludf.DUMMYFUNCTION("""COMPUTED_VALUE"""),"")</f>
        <v/>
      </c>
      <c r="W6655" s="16" t="str">
        <f>IFERROR(__xludf.DUMMYFUNCTION("""COMPUTED_VALUE"""),"")</f>
        <v/>
      </c>
      <c r="X6655" s="16" t="str">
        <f>IFERROR(__xludf.DUMMYFUNCTION("""COMPUTED_VALUE"""),"")</f>
        <v/>
      </c>
      <c r="AC6655" s="16" t="str">
        <f>IFERROR(__xludf.DUMMYFUNCTION("""COMPUTED_VALUE"""),"")</f>
        <v/>
      </c>
    </row>
    <row r="6656">
      <c r="A6656" s="16" t="s">
        <v>87</v>
      </c>
      <c r="E6656" s="16" t="str">
        <f>IFERROR(__xludf.DUMMYFUNCTION("""COMPUTED_VALUE"""),"")</f>
        <v/>
      </c>
      <c r="G6656" s="18"/>
      <c r="H6656" s="16" t="s">
        <v>87</v>
      </c>
      <c r="I6656" s="16" t="s">
        <v>87</v>
      </c>
      <c r="J6656" s="19"/>
      <c r="L6656" s="16" t="str">
        <f>IFERROR(__xludf.DUMMYFUNCTION("""COMPUTED_VALUE"""),"")</f>
        <v/>
      </c>
      <c r="M6656" s="16" t="str">
        <f>IFERROR(__xludf.DUMMYFUNCTION("""COMPUTED_VALUE"""),"")</f>
        <v/>
      </c>
      <c r="U6656" s="16" t="s">
        <v>87</v>
      </c>
      <c r="V6656" s="16" t="str">
        <f>IFERROR(__xludf.DUMMYFUNCTION("""COMPUTED_VALUE"""),"")</f>
        <v/>
      </c>
      <c r="W6656" s="16" t="str">
        <f>IFERROR(__xludf.DUMMYFUNCTION("""COMPUTED_VALUE"""),"")</f>
        <v/>
      </c>
      <c r="X6656" s="16" t="str">
        <f>IFERROR(__xludf.DUMMYFUNCTION("""COMPUTED_VALUE"""),"")</f>
        <v/>
      </c>
      <c r="AC6656" s="16" t="str">
        <f>IFERROR(__xludf.DUMMYFUNCTION("""COMPUTED_VALUE"""),"")</f>
        <v/>
      </c>
    </row>
    <row r="6657">
      <c r="A6657" s="16" t="s">
        <v>87</v>
      </c>
      <c r="E6657" s="16" t="str">
        <f>IFERROR(__xludf.DUMMYFUNCTION("""COMPUTED_VALUE"""),"")</f>
        <v/>
      </c>
      <c r="G6657" s="18"/>
      <c r="H6657" s="16" t="s">
        <v>87</v>
      </c>
      <c r="I6657" s="16" t="s">
        <v>87</v>
      </c>
      <c r="J6657" s="19"/>
      <c r="L6657" s="16" t="str">
        <f>IFERROR(__xludf.DUMMYFUNCTION("""COMPUTED_VALUE"""),"")</f>
        <v/>
      </c>
      <c r="M6657" s="16" t="str">
        <f>IFERROR(__xludf.DUMMYFUNCTION("""COMPUTED_VALUE"""),"")</f>
        <v/>
      </c>
      <c r="U6657" s="16" t="s">
        <v>87</v>
      </c>
      <c r="V6657" s="16" t="str">
        <f>IFERROR(__xludf.DUMMYFUNCTION("""COMPUTED_VALUE"""),"")</f>
        <v/>
      </c>
      <c r="W6657" s="16" t="str">
        <f>IFERROR(__xludf.DUMMYFUNCTION("""COMPUTED_VALUE"""),"")</f>
        <v/>
      </c>
      <c r="X6657" s="16" t="str">
        <f>IFERROR(__xludf.DUMMYFUNCTION("""COMPUTED_VALUE"""),"")</f>
        <v/>
      </c>
      <c r="AC6657" s="16" t="str">
        <f>IFERROR(__xludf.DUMMYFUNCTION("""COMPUTED_VALUE"""),"")</f>
        <v/>
      </c>
    </row>
    <row r="6658">
      <c r="A6658" s="16" t="s">
        <v>87</v>
      </c>
      <c r="E6658" s="16" t="str">
        <f>IFERROR(__xludf.DUMMYFUNCTION("""COMPUTED_VALUE"""),"")</f>
        <v/>
      </c>
      <c r="G6658" s="18"/>
      <c r="H6658" s="16" t="s">
        <v>87</v>
      </c>
      <c r="I6658" s="16" t="s">
        <v>87</v>
      </c>
      <c r="J6658" s="19"/>
      <c r="L6658" s="16" t="str">
        <f>IFERROR(__xludf.DUMMYFUNCTION("""COMPUTED_VALUE"""),"")</f>
        <v/>
      </c>
      <c r="M6658" s="16" t="str">
        <f>IFERROR(__xludf.DUMMYFUNCTION("""COMPUTED_VALUE"""),"")</f>
        <v/>
      </c>
      <c r="U6658" s="16" t="s">
        <v>87</v>
      </c>
      <c r="V6658" s="16" t="str">
        <f>IFERROR(__xludf.DUMMYFUNCTION("""COMPUTED_VALUE"""),"")</f>
        <v/>
      </c>
      <c r="W6658" s="16" t="str">
        <f>IFERROR(__xludf.DUMMYFUNCTION("""COMPUTED_VALUE"""),"")</f>
        <v/>
      </c>
      <c r="X6658" s="16" t="str">
        <f>IFERROR(__xludf.DUMMYFUNCTION("""COMPUTED_VALUE"""),"")</f>
        <v/>
      </c>
      <c r="AC6658" s="16" t="str">
        <f>IFERROR(__xludf.DUMMYFUNCTION("""COMPUTED_VALUE"""),"")</f>
        <v/>
      </c>
    </row>
    <row r="6659">
      <c r="A6659" s="16" t="s">
        <v>87</v>
      </c>
      <c r="E6659" s="16" t="str">
        <f>IFERROR(__xludf.DUMMYFUNCTION("""COMPUTED_VALUE"""),"")</f>
        <v/>
      </c>
      <c r="G6659" s="18"/>
      <c r="H6659" s="16" t="s">
        <v>87</v>
      </c>
      <c r="I6659" s="16" t="s">
        <v>87</v>
      </c>
      <c r="J6659" s="19"/>
      <c r="L6659" s="16" t="str">
        <f>IFERROR(__xludf.DUMMYFUNCTION("""COMPUTED_VALUE"""),"")</f>
        <v/>
      </c>
      <c r="M6659" s="16" t="str">
        <f>IFERROR(__xludf.DUMMYFUNCTION("""COMPUTED_VALUE"""),"")</f>
        <v/>
      </c>
      <c r="U6659" s="16" t="s">
        <v>87</v>
      </c>
      <c r="V6659" s="16" t="str">
        <f>IFERROR(__xludf.DUMMYFUNCTION("""COMPUTED_VALUE"""),"")</f>
        <v/>
      </c>
      <c r="W6659" s="16" t="str">
        <f>IFERROR(__xludf.DUMMYFUNCTION("""COMPUTED_VALUE"""),"")</f>
        <v/>
      </c>
      <c r="X6659" s="16" t="str">
        <f>IFERROR(__xludf.DUMMYFUNCTION("""COMPUTED_VALUE"""),"")</f>
        <v/>
      </c>
      <c r="AC6659" s="16" t="str">
        <f>IFERROR(__xludf.DUMMYFUNCTION("""COMPUTED_VALUE"""),"")</f>
        <v/>
      </c>
    </row>
    <row r="6660">
      <c r="A6660" s="16" t="s">
        <v>87</v>
      </c>
      <c r="E6660" s="16" t="str">
        <f>IFERROR(__xludf.DUMMYFUNCTION("""COMPUTED_VALUE"""),"")</f>
        <v/>
      </c>
      <c r="G6660" s="18"/>
      <c r="H6660" s="16" t="s">
        <v>87</v>
      </c>
      <c r="I6660" s="16" t="s">
        <v>87</v>
      </c>
      <c r="J6660" s="19"/>
      <c r="L6660" s="16" t="str">
        <f>IFERROR(__xludf.DUMMYFUNCTION("""COMPUTED_VALUE"""),"")</f>
        <v/>
      </c>
      <c r="M6660" s="16" t="str">
        <f>IFERROR(__xludf.DUMMYFUNCTION("""COMPUTED_VALUE"""),"")</f>
        <v/>
      </c>
      <c r="U6660" s="16" t="s">
        <v>87</v>
      </c>
      <c r="V6660" s="16" t="str">
        <f>IFERROR(__xludf.DUMMYFUNCTION("""COMPUTED_VALUE"""),"")</f>
        <v/>
      </c>
      <c r="W6660" s="16" t="str">
        <f>IFERROR(__xludf.DUMMYFUNCTION("""COMPUTED_VALUE"""),"")</f>
        <v/>
      </c>
      <c r="X6660" s="16" t="str">
        <f>IFERROR(__xludf.DUMMYFUNCTION("""COMPUTED_VALUE"""),"")</f>
        <v/>
      </c>
      <c r="AC6660" s="16" t="str">
        <f>IFERROR(__xludf.DUMMYFUNCTION("""COMPUTED_VALUE"""),"")</f>
        <v/>
      </c>
    </row>
    <row r="6661">
      <c r="A6661" s="16" t="s">
        <v>87</v>
      </c>
      <c r="E6661" s="16" t="str">
        <f>IFERROR(__xludf.DUMMYFUNCTION("""COMPUTED_VALUE"""),"")</f>
        <v/>
      </c>
      <c r="G6661" s="18"/>
      <c r="H6661" s="16" t="s">
        <v>87</v>
      </c>
      <c r="I6661" s="16" t="s">
        <v>87</v>
      </c>
      <c r="J6661" s="19"/>
      <c r="L6661" s="16" t="str">
        <f>IFERROR(__xludf.DUMMYFUNCTION("""COMPUTED_VALUE"""),"")</f>
        <v/>
      </c>
      <c r="M6661" s="16" t="str">
        <f>IFERROR(__xludf.DUMMYFUNCTION("""COMPUTED_VALUE"""),"")</f>
        <v/>
      </c>
      <c r="U6661" s="16" t="s">
        <v>87</v>
      </c>
      <c r="V6661" s="16" t="str">
        <f>IFERROR(__xludf.DUMMYFUNCTION("""COMPUTED_VALUE"""),"")</f>
        <v/>
      </c>
      <c r="W6661" s="16" t="str">
        <f>IFERROR(__xludf.DUMMYFUNCTION("""COMPUTED_VALUE"""),"")</f>
        <v/>
      </c>
      <c r="X6661" s="16" t="str">
        <f>IFERROR(__xludf.DUMMYFUNCTION("""COMPUTED_VALUE"""),"")</f>
        <v/>
      </c>
      <c r="AC6661" s="16" t="str">
        <f>IFERROR(__xludf.DUMMYFUNCTION("""COMPUTED_VALUE"""),"")</f>
        <v/>
      </c>
    </row>
    <row r="6662">
      <c r="A6662" s="16" t="s">
        <v>87</v>
      </c>
      <c r="E6662" s="16" t="str">
        <f>IFERROR(__xludf.DUMMYFUNCTION("""COMPUTED_VALUE"""),"")</f>
        <v/>
      </c>
      <c r="G6662" s="18"/>
      <c r="H6662" s="16" t="s">
        <v>87</v>
      </c>
      <c r="I6662" s="16" t="s">
        <v>87</v>
      </c>
      <c r="J6662" s="19"/>
      <c r="L6662" s="16" t="str">
        <f>IFERROR(__xludf.DUMMYFUNCTION("""COMPUTED_VALUE"""),"")</f>
        <v/>
      </c>
      <c r="M6662" s="16" t="str">
        <f>IFERROR(__xludf.DUMMYFUNCTION("""COMPUTED_VALUE"""),"")</f>
        <v/>
      </c>
      <c r="U6662" s="16" t="s">
        <v>87</v>
      </c>
      <c r="V6662" s="16" t="str">
        <f>IFERROR(__xludf.DUMMYFUNCTION("""COMPUTED_VALUE"""),"")</f>
        <v/>
      </c>
      <c r="W6662" s="16" t="str">
        <f>IFERROR(__xludf.DUMMYFUNCTION("""COMPUTED_VALUE"""),"")</f>
        <v/>
      </c>
      <c r="X6662" s="16" t="str">
        <f>IFERROR(__xludf.DUMMYFUNCTION("""COMPUTED_VALUE"""),"")</f>
        <v/>
      </c>
      <c r="AC6662" s="16" t="str">
        <f>IFERROR(__xludf.DUMMYFUNCTION("""COMPUTED_VALUE"""),"")</f>
        <v/>
      </c>
    </row>
    <row r="6663">
      <c r="A6663" s="16" t="s">
        <v>87</v>
      </c>
      <c r="E6663" s="16" t="str">
        <f>IFERROR(__xludf.DUMMYFUNCTION("""COMPUTED_VALUE"""),"")</f>
        <v/>
      </c>
      <c r="G6663" s="18"/>
      <c r="H6663" s="16" t="s">
        <v>87</v>
      </c>
      <c r="I6663" s="16" t="s">
        <v>87</v>
      </c>
      <c r="J6663" s="19"/>
      <c r="L6663" s="16" t="str">
        <f>IFERROR(__xludf.DUMMYFUNCTION("""COMPUTED_VALUE"""),"")</f>
        <v/>
      </c>
      <c r="M6663" s="16" t="str">
        <f>IFERROR(__xludf.DUMMYFUNCTION("""COMPUTED_VALUE"""),"")</f>
        <v/>
      </c>
      <c r="U6663" s="16" t="s">
        <v>87</v>
      </c>
      <c r="V6663" s="16" t="str">
        <f>IFERROR(__xludf.DUMMYFUNCTION("""COMPUTED_VALUE"""),"")</f>
        <v/>
      </c>
      <c r="W6663" s="16" t="str">
        <f>IFERROR(__xludf.DUMMYFUNCTION("""COMPUTED_VALUE"""),"")</f>
        <v/>
      </c>
      <c r="X6663" s="16" t="str">
        <f>IFERROR(__xludf.DUMMYFUNCTION("""COMPUTED_VALUE"""),"")</f>
        <v/>
      </c>
      <c r="AC6663" s="16" t="str">
        <f>IFERROR(__xludf.DUMMYFUNCTION("""COMPUTED_VALUE"""),"")</f>
        <v/>
      </c>
    </row>
    <row r="6664">
      <c r="A6664" s="16" t="s">
        <v>87</v>
      </c>
      <c r="E6664" s="16" t="str">
        <f>IFERROR(__xludf.DUMMYFUNCTION("""COMPUTED_VALUE"""),"")</f>
        <v/>
      </c>
      <c r="G6664" s="18"/>
      <c r="H6664" s="16" t="s">
        <v>87</v>
      </c>
      <c r="I6664" s="16" t="s">
        <v>87</v>
      </c>
      <c r="J6664" s="19"/>
      <c r="L6664" s="16" t="str">
        <f>IFERROR(__xludf.DUMMYFUNCTION("""COMPUTED_VALUE"""),"")</f>
        <v/>
      </c>
      <c r="M6664" s="16" t="str">
        <f>IFERROR(__xludf.DUMMYFUNCTION("""COMPUTED_VALUE"""),"")</f>
        <v/>
      </c>
      <c r="U6664" s="16" t="s">
        <v>87</v>
      </c>
      <c r="V6664" s="16" t="str">
        <f>IFERROR(__xludf.DUMMYFUNCTION("""COMPUTED_VALUE"""),"")</f>
        <v/>
      </c>
      <c r="W6664" s="16" t="str">
        <f>IFERROR(__xludf.DUMMYFUNCTION("""COMPUTED_VALUE"""),"")</f>
        <v/>
      </c>
      <c r="X6664" s="16" t="str">
        <f>IFERROR(__xludf.DUMMYFUNCTION("""COMPUTED_VALUE"""),"")</f>
        <v/>
      </c>
      <c r="AC6664" s="16" t="str">
        <f>IFERROR(__xludf.DUMMYFUNCTION("""COMPUTED_VALUE"""),"")</f>
        <v/>
      </c>
    </row>
    <row r="6665">
      <c r="A6665" s="16" t="s">
        <v>87</v>
      </c>
      <c r="E6665" s="16" t="str">
        <f>IFERROR(__xludf.DUMMYFUNCTION("""COMPUTED_VALUE"""),"")</f>
        <v/>
      </c>
      <c r="G6665" s="18"/>
      <c r="H6665" s="16" t="s">
        <v>87</v>
      </c>
      <c r="I6665" s="16" t="s">
        <v>87</v>
      </c>
      <c r="J6665" s="19"/>
      <c r="L6665" s="16" t="str">
        <f>IFERROR(__xludf.DUMMYFUNCTION("""COMPUTED_VALUE"""),"")</f>
        <v/>
      </c>
      <c r="M6665" s="16" t="str">
        <f>IFERROR(__xludf.DUMMYFUNCTION("""COMPUTED_VALUE"""),"")</f>
        <v/>
      </c>
      <c r="U6665" s="16" t="s">
        <v>87</v>
      </c>
      <c r="V6665" s="16" t="str">
        <f>IFERROR(__xludf.DUMMYFUNCTION("""COMPUTED_VALUE"""),"")</f>
        <v/>
      </c>
      <c r="W6665" s="16" t="str">
        <f>IFERROR(__xludf.DUMMYFUNCTION("""COMPUTED_VALUE"""),"")</f>
        <v/>
      </c>
      <c r="X6665" s="16" t="str">
        <f>IFERROR(__xludf.DUMMYFUNCTION("""COMPUTED_VALUE"""),"")</f>
        <v/>
      </c>
      <c r="AC6665" s="16" t="str">
        <f>IFERROR(__xludf.DUMMYFUNCTION("""COMPUTED_VALUE"""),"")</f>
        <v/>
      </c>
    </row>
    <row r="6666">
      <c r="A6666" s="16" t="s">
        <v>87</v>
      </c>
      <c r="E6666" s="16" t="str">
        <f>IFERROR(__xludf.DUMMYFUNCTION("""COMPUTED_VALUE"""),"")</f>
        <v/>
      </c>
      <c r="G6666" s="18"/>
      <c r="H6666" s="16" t="s">
        <v>87</v>
      </c>
      <c r="I6666" s="16" t="s">
        <v>87</v>
      </c>
      <c r="J6666" s="19"/>
      <c r="L6666" s="16" t="str">
        <f>IFERROR(__xludf.DUMMYFUNCTION("""COMPUTED_VALUE"""),"")</f>
        <v/>
      </c>
      <c r="M6666" s="16" t="str">
        <f>IFERROR(__xludf.DUMMYFUNCTION("""COMPUTED_VALUE"""),"")</f>
        <v/>
      </c>
      <c r="U6666" s="16" t="s">
        <v>87</v>
      </c>
      <c r="V6666" s="16" t="str">
        <f>IFERROR(__xludf.DUMMYFUNCTION("""COMPUTED_VALUE"""),"")</f>
        <v/>
      </c>
      <c r="W6666" s="16" t="str">
        <f>IFERROR(__xludf.DUMMYFUNCTION("""COMPUTED_VALUE"""),"")</f>
        <v/>
      </c>
      <c r="X6666" s="16" t="str">
        <f>IFERROR(__xludf.DUMMYFUNCTION("""COMPUTED_VALUE"""),"")</f>
        <v/>
      </c>
      <c r="AC6666" s="16" t="str">
        <f>IFERROR(__xludf.DUMMYFUNCTION("""COMPUTED_VALUE"""),"")</f>
        <v/>
      </c>
    </row>
    <row r="6667">
      <c r="A6667" s="16" t="s">
        <v>87</v>
      </c>
      <c r="E6667" s="16" t="str">
        <f>IFERROR(__xludf.DUMMYFUNCTION("""COMPUTED_VALUE"""),"")</f>
        <v/>
      </c>
      <c r="G6667" s="18"/>
      <c r="H6667" s="16" t="s">
        <v>87</v>
      </c>
      <c r="I6667" s="16" t="s">
        <v>87</v>
      </c>
      <c r="J6667" s="19"/>
      <c r="L6667" s="16" t="str">
        <f>IFERROR(__xludf.DUMMYFUNCTION("""COMPUTED_VALUE"""),"")</f>
        <v/>
      </c>
      <c r="M6667" s="16" t="str">
        <f>IFERROR(__xludf.DUMMYFUNCTION("""COMPUTED_VALUE"""),"")</f>
        <v/>
      </c>
      <c r="U6667" s="16" t="s">
        <v>87</v>
      </c>
      <c r="V6667" s="16" t="str">
        <f>IFERROR(__xludf.DUMMYFUNCTION("""COMPUTED_VALUE"""),"")</f>
        <v/>
      </c>
      <c r="W6667" s="16" t="str">
        <f>IFERROR(__xludf.DUMMYFUNCTION("""COMPUTED_VALUE"""),"")</f>
        <v/>
      </c>
      <c r="X6667" s="16" t="str">
        <f>IFERROR(__xludf.DUMMYFUNCTION("""COMPUTED_VALUE"""),"")</f>
        <v/>
      </c>
      <c r="AC6667" s="16" t="str">
        <f>IFERROR(__xludf.DUMMYFUNCTION("""COMPUTED_VALUE"""),"")</f>
        <v/>
      </c>
    </row>
    <row r="6668">
      <c r="A6668" s="16" t="s">
        <v>87</v>
      </c>
      <c r="E6668" s="16" t="str">
        <f>IFERROR(__xludf.DUMMYFUNCTION("""COMPUTED_VALUE"""),"")</f>
        <v/>
      </c>
      <c r="G6668" s="18"/>
      <c r="H6668" s="16" t="s">
        <v>87</v>
      </c>
      <c r="I6668" s="16" t="s">
        <v>87</v>
      </c>
      <c r="J6668" s="19"/>
      <c r="L6668" s="16" t="str">
        <f>IFERROR(__xludf.DUMMYFUNCTION("""COMPUTED_VALUE"""),"")</f>
        <v/>
      </c>
      <c r="M6668" s="16" t="str">
        <f>IFERROR(__xludf.DUMMYFUNCTION("""COMPUTED_VALUE"""),"")</f>
        <v/>
      </c>
      <c r="U6668" s="16" t="s">
        <v>87</v>
      </c>
      <c r="V6668" s="16" t="str">
        <f>IFERROR(__xludf.DUMMYFUNCTION("""COMPUTED_VALUE"""),"")</f>
        <v/>
      </c>
      <c r="W6668" s="16" t="str">
        <f>IFERROR(__xludf.DUMMYFUNCTION("""COMPUTED_VALUE"""),"")</f>
        <v/>
      </c>
      <c r="X6668" s="16" t="str">
        <f>IFERROR(__xludf.DUMMYFUNCTION("""COMPUTED_VALUE"""),"")</f>
        <v/>
      </c>
      <c r="AC6668" s="16" t="str">
        <f>IFERROR(__xludf.DUMMYFUNCTION("""COMPUTED_VALUE"""),"")</f>
        <v/>
      </c>
    </row>
    <row r="6669">
      <c r="A6669" s="16" t="s">
        <v>87</v>
      </c>
      <c r="E6669" s="16" t="str">
        <f>IFERROR(__xludf.DUMMYFUNCTION("""COMPUTED_VALUE"""),"")</f>
        <v/>
      </c>
      <c r="G6669" s="18"/>
      <c r="H6669" s="16" t="s">
        <v>87</v>
      </c>
      <c r="I6669" s="16" t="s">
        <v>87</v>
      </c>
      <c r="J6669" s="19"/>
      <c r="L6669" s="16" t="str">
        <f>IFERROR(__xludf.DUMMYFUNCTION("""COMPUTED_VALUE"""),"")</f>
        <v/>
      </c>
      <c r="M6669" s="16" t="str">
        <f>IFERROR(__xludf.DUMMYFUNCTION("""COMPUTED_VALUE"""),"")</f>
        <v/>
      </c>
      <c r="U6669" s="16" t="s">
        <v>87</v>
      </c>
      <c r="V6669" s="16" t="str">
        <f>IFERROR(__xludf.DUMMYFUNCTION("""COMPUTED_VALUE"""),"")</f>
        <v/>
      </c>
      <c r="W6669" s="16" t="str">
        <f>IFERROR(__xludf.DUMMYFUNCTION("""COMPUTED_VALUE"""),"")</f>
        <v/>
      </c>
      <c r="X6669" s="16" t="str">
        <f>IFERROR(__xludf.DUMMYFUNCTION("""COMPUTED_VALUE"""),"")</f>
        <v/>
      </c>
      <c r="AC6669" s="16" t="str">
        <f>IFERROR(__xludf.DUMMYFUNCTION("""COMPUTED_VALUE"""),"")</f>
        <v/>
      </c>
    </row>
    <row r="6670">
      <c r="A6670" s="16" t="s">
        <v>87</v>
      </c>
      <c r="E6670" s="16" t="str">
        <f>IFERROR(__xludf.DUMMYFUNCTION("""COMPUTED_VALUE"""),"")</f>
        <v/>
      </c>
      <c r="G6670" s="18"/>
      <c r="H6670" s="16" t="s">
        <v>87</v>
      </c>
      <c r="I6670" s="16" t="s">
        <v>87</v>
      </c>
      <c r="J6670" s="19"/>
      <c r="L6670" s="16" t="str">
        <f>IFERROR(__xludf.DUMMYFUNCTION("""COMPUTED_VALUE"""),"")</f>
        <v/>
      </c>
      <c r="M6670" s="16" t="str">
        <f>IFERROR(__xludf.DUMMYFUNCTION("""COMPUTED_VALUE"""),"")</f>
        <v/>
      </c>
      <c r="U6670" s="16" t="s">
        <v>87</v>
      </c>
      <c r="V6670" s="16" t="str">
        <f>IFERROR(__xludf.DUMMYFUNCTION("""COMPUTED_VALUE"""),"")</f>
        <v/>
      </c>
      <c r="W6670" s="16" t="str">
        <f>IFERROR(__xludf.DUMMYFUNCTION("""COMPUTED_VALUE"""),"")</f>
        <v/>
      </c>
      <c r="X6670" s="16" t="str">
        <f>IFERROR(__xludf.DUMMYFUNCTION("""COMPUTED_VALUE"""),"")</f>
        <v/>
      </c>
      <c r="AC6670" s="16" t="str">
        <f>IFERROR(__xludf.DUMMYFUNCTION("""COMPUTED_VALUE"""),"")</f>
        <v/>
      </c>
    </row>
    <row r="6671">
      <c r="A6671" s="16" t="s">
        <v>87</v>
      </c>
      <c r="E6671" s="16" t="str">
        <f>IFERROR(__xludf.DUMMYFUNCTION("""COMPUTED_VALUE"""),"")</f>
        <v/>
      </c>
      <c r="G6671" s="18"/>
      <c r="H6671" s="16" t="s">
        <v>87</v>
      </c>
      <c r="I6671" s="16" t="s">
        <v>87</v>
      </c>
      <c r="J6671" s="19"/>
      <c r="L6671" s="16" t="str">
        <f>IFERROR(__xludf.DUMMYFUNCTION("""COMPUTED_VALUE"""),"")</f>
        <v/>
      </c>
      <c r="M6671" s="16" t="str">
        <f>IFERROR(__xludf.DUMMYFUNCTION("""COMPUTED_VALUE"""),"")</f>
        <v/>
      </c>
      <c r="U6671" s="16" t="s">
        <v>87</v>
      </c>
      <c r="V6671" s="16" t="str">
        <f>IFERROR(__xludf.DUMMYFUNCTION("""COMPUTED_VALUE"""),"")</f>
        <v/>
      </c>
      <c r="W6671" s="16" t="str">
        <f>IFERROR(__xludf.DUMMYFUNCTION("""COMPUTED_VALUE"""),"")</f>
        <v/>
      </c>
      <c r="X6671" s="16" t="str">
        <f>IFERROR(__xludf.DUMMYFUNCTION("""COMPUTED_VALUE"""),"")</f>
        <v/>
      </c>
      <c r="AC6671" s="16" t="str">
        <f>IFERROR(__xludf.DUMMYFUNCTION("""COMPUTED_VALUE"""),"")</f>
        <v/>
      </c>
    </row>
    <row r="6672">
      <c r="A6672" s="16" t="s">
        <v>87</v>
      </c>
      <c r="E6672" s="16" t="str">
        <f>IFERROR(__xludf.DUMMYFUNCTION("""COMPUTED_VALUE"""),"")</f>
        <v/>
      </c>
      <c r="G6672" s="18"/>
      <c r="H6672" s="16" t="s">
        <v>87</v>
      </c>
      <c r="I6672" s="16" t="s">
        <v>87</v>
      </c>
      <c r="J6672" s="19"/>
      <c r="L6672" s="16" t="str">
        <f>IFERROR(__xludf.DUMMYFUNCTION("""COMPUTED_VALUE"""),"")</f>
        <v/>
      </c>
      <c r="M6672" s="16" t="str">
        <f>IFERROR(__xludf.DUMMYFUNCTION("""COMPUTED_VALUE"""),"")</f>
        <v/>
      </c>
      <c r="U6672" s="16" t="s">
        <v>87</v>
      </c>
      <c r="V6672" s="16" t="str">
        <f>IFERROR(__xludf.DUMMYFUNCTION("""COMPUTED_VALUE"""),"")</f>
        <v/>
      </c>
      <c r="W6672" s="16" t="str">
        <f>IFERROR(__xludf.DUMMYFUNCTION("""COMPUTED_VALUE"""),"")</f>
        <v/>
      </c>
      <c r="X6672" s="16" t="str">
        <f>IFERROR(__xludf.DUMMYFUNCTION("""COMPUTED_VALUE"""),"")</f>
        <v/>
      </c>
      <c r="AC6672" s="16" t="str">
        <f>IFERROR(__xludf.DUMMYFUNCTION("""COMPUTED_VALUE"""),"")</f>
        <v/>
      </c>
    </row>
    <row r="6673">
      <c r="A6673" s="16" t="s">
        <v>87</v>
      </c>
      <c r="E6673" s="16" t="str">
        <f>IFERROR(__xludf.DUMMYFUNCTION("""COMPUTED_VALUE"""),"")</f>
        <v/>
      </c>
      <c r="G6673" s="18"/>
      <c r="H6673" s="16" t="s">
        <v>87</v>
      </c>
      <c r="I6673" s="16" t="s">
        <v>87</v>
      </c>
      <c r="J6673" s="19"/>
      <c r="L6673" s="16" t="str">
        <f>IFERROR(__xludf.DUMMYFUNCTION("""COMPUTED_VALUE"""),"")</f>
        <v/>
      </c>
      <c r="M6673" s="16" t="str">
        <f>IFERROR(__xludf.DUMMYFUNCTION("""COMPUTED_VALUE"""),"")</f>
        <v/>
      </c>
      <c r="U6673" s="16" t="s">
        <v>87</v>
      </c>
      <c r="V6673" s="16" t="str">
        <f>IFERROR(__xludf.DUMMYFUNCTION("""COMPUTED_VALUE"""),"")</f>
        <v/>
      </c>
      <c r="W6673" s="16" t="str">
        <f>IFERROR(__xludf.DUMMYFUNCTION("""COMPUTED_VALUE"""),"")</f>
        <v/>
      </c>
      <c r="X6673" s="16" t="str">
        <f>IFERROR(__xludf.DUMMYFUNCTION("""COMPUTED_VALUE"""),"")</f>
        <v/>
      </c>
      <c r="AC6673" s="16" t="str">
        <f>IFERROR(__xludf.DUMMYFUNCTION("""COMPUTED_VALUE"""),"")</f>
        <v/>
      </c>
    </row>
    <row r="6674">
      <c r="A6674" s="16" t="s">
        <v>87</v>
      </c>
      <c r="E6674" s="16" t="str">
        <f>IFERROR(__xludf.DUMMYFUNCTION("""COMPUTED_VALUE"""),"")</f>
        <v/>
      </c>
      <c r="G6674" s="18"/>
      <c r="H6674" s="16" t="s">
        <v>87</v>
      </c>
      <c r="I6674" s="16" t="s">
        <v>87</v>
      </c>
      <c r="J6674" s="19"/>
      <c r="L6674" s="16" t="str">
        <f>IFERROR(__xludf.DUMMYFUNCTION("""COMPUTED_VALUE"""),"")</f>
        <v/>
      </c>
      <c r="M6674" s="16" t="str">
        <f>IFERROR(__xludf.DUMMYFUNCTION("""COMPUTED_VALUE"""),"")</f>
        <v/>
      </c>
      <c r="U6674" s="16" t="s">
        <v>87</v>
      </c>
      <c r="V6674" s="16" t="str">
        <f>IFERROR(__xludf.DUMMYFUNCTION("""COMPUTED_VALUE"""),"")</f>
        <v/>
      </c>
      <c r="W6674" s="16" t="str">
        <f>IFERROR(__xludf.DUMMYFUNCTION("""COMPUTED_VALUE"""),"")</f>
        <v/>
      </c>
      <c r="X6674" s="16" t="str">
        <f>IFERROR(__xludf.DUMMYFUNCTION("""COMPUTED_VALUE"""),"")</f>
        <v/>
      </c>
      <c r="AC6674" s="16" t="str">
        <f>IFERROR(__xludf.DUMMYFUNCTION("""COMPUTED_VALUE"""),"")</f>
        <v/>
      </c>
    </row>
    <row r="6675">
      <c r="A6675" s="16" t="s">
        <v>87</v>
      </c>
      <c r="E6675" s="16" t="str">
        <f>IFERROR(__xludf.DUMMYFUNCTION("""COMPUTED_VALUE"""),"")</f>
        <v/>
      </c>
      <c r="G6675" s="18"/>
      <c r="H6675" s="16" t="s">
        <v>87</v>
      </c>
      <c r="I6675" s="16" t="s">
        <v>87</v>
      </c>
      <c r="J6675" s="19"/>
      <c r="L6675" s="16" t="str">
        <f>IFERROR(__xludf.DUMMYFUNCTION("""COMPUTED_VALUE"""),"")</f>
        <v/>
      </c>
      <c r="M6675" s="16" t="str">
        <f>IFERROR(__xludf.DUMMYFUNCTION("""COMPUTED_VALUE"""),"")</f>
        <v/>
      </c>
      <c r="U6675" s="16" t="s">
        <v>87</v>
      </c>
      <c r="V6675" s="16" t="str">
        <f>IFERROR(__xludf.DUMMYFUNCTION("""COMPUTED_VALUE"""),"")</f>
        <v/>
      </c>
      <c r="W6675" s="16" t="str">
        <f>IFERROR(__xludf.DUMMYFUNCTION("""COMPUTED_VALUE"""),"")</f>
        <v/>
      </c>
      <c r="X6675" s="16" t="str">
        <f>IFERROR(__xludf.DUMMYFUNCTION("""COMPUTED_VALUE"""),"")</f>
        <v/>
      </c>
      <c r="AC6675" s="16" t="str">
        <f>IFERROR(__xludf.DUMMYFUNCTION("""COMPUTED_VALUE"""),"")</f>
        <v/>
      </c>
    </row>
    <row r="6676">
      <c r="A6676" s="16" t="s">
        <v>87</v>
      </c>
      <c r="E6676" s="16" t="str">
        <f>IFERROR(__xludf.DUMMYFUNCTION("""COMPUTED_VALUE"""),"")</f>
        <v/>
      </c>
      <c r="G6676" s="18"/>
      <c r="H6676" s="16" t="s">
        <v>87</v>
      </c>
      <c r="I6676" s="16" t="s">
        <v>87</v>
      </c>
      <c r="J6676" s="19"/>
      <c r="L6676" s="16" t="str">
        <f>IFERROR(__xludf.DUMMYFUNCTION("""COMPUTED_VALUE"""),"")</f>
        <v/>
      </c>
      <c r="M6676" s="16" t="str">
        <f>IFERROR(__xludf.DUMMYFUNCTION("""COMPUTED_VALUE"""),"")</f>
        <v/>
      </c>
      <c r="U6676" s="16" t="s">
        <v>87</v>
      </c>
      <c r="V6676" s="16" t="str">
        <f>IFERROR(__xludf.DUMMYFUNCTION("""COMPUTED_VALUE"""),"")</f>
        <v/>
      </c>
      <c r="W6676" s="16" t="str">
        <f>IFERROR(__xludf.DUMMYFUNCTION("""COMPUTED_VALUE"""),"")</f>
        <v/>
      </c>
      <c r="X6676" s="16" t="str">
        <f>IFERROR(__xludf.DUMMYFUNCTION("""COMPUTED_VALUE"""),"")</f>
        <v/>
      </c>
      <c r="AC6676" s="16" t="str">
        <f>IFERROR(__xludf.DUMMYFUNCTION("""COMPUTED_VALUE"""),"")</f>
        <v/>
      </c>
    </row>
    <row r="6677">
      <c r="A6677" s="16" t="s">
        <v>87</v>
      </c>
      <c r="E6677" s="16" t="str">
        <f>IFERROR(__xludf.DUMMYFUNCTION("""COMPUTED_VALUE"""),"")</f>
        <v/>
      </c>
      <c r="G6677" s="18"/>
      <c r="H6677" s="16" t="s">
        <v>87</v>
      </c>
      <c r="I6677" s="16" t="s">
        <v>87</v>
      </c>
      <c r="J6677" s="19"/>
      <c r="L6677" s="16" t="str">
        <f>IFERROR(__xludf.DUMMYFUNCTION("""COMPUTED_VALUE"""),"")</f>
        <v/>
      </c>
      <c r="M6677" s="16" t="str">
        <f>IFERROR(__xludf.DUMMYFUNCTION("""COMPUTED_VALUE"""),"")</f>
        <v/>
      </c>
      <c r="U6677" s="16" t="s">
        <v>87</v>
      </c>
      <c r="V6677" s="16" t="str">
        <f>IFERROR(__xludf.DUMMYFUNCTION("""COMPUTED_VALUE"""),"")</f>
        <v/>
      </c>
      <c r="W6677" s="16" t="str">
        <f>IFERROR(__xludf.DUMMYFUNCTION("""COMPUTED_VALUE"""),"")</f>
        <v/>
      </c>
      <c r="X6677" s="16" t="str">
        <f>IFERROR(__xludf.DUMMYFUNCTION("""COMPUTED_VALUE"""),"")</f>
        <v/>
      </c>
      <c r="AC6677" s="16" t="str">
        <f>IFERROR(__xludf.DUMMYFUNCTION("""COMPUTED_VALUE"""),"")</f>
        <v/>
      </c>
    </row>
    <row r="6678">
      <c r="A6678" s="16" t="s">
        <v>87</v>
      </c>
      <c r="E6678" s="16" t="str">
        <f>IFERROR(__xludf.DUMMYFUNCTION("""COMPUTED_VALUE"""),"")</f>
        <v/>
      </c>
      <c r="G6678" s="18"/>
      <c r="H6678" s="16" t="s">
        <v>87</v>
      </c>
      <c r="I6678" s="16" t="s">
        <v>87</v>
      </c>
      <c r="J6678" s="19"/>
      <c r="L6678" s="16" t="str">
        <f>IFERROR(__xludf.DUMMYFUNCTION("""COMPUTED_VALUE"""),"")</f>
        <v/>
      </c>
      <c r="M6678" s="16" t="str">
        <f>IFERROR(__xludf.DUMMYFUNCTION("""COMPUTED_VALUE"""),"")</f>
        <v/>
      </c>
      <c r="U6678" s="16" t="s">
        <v>87</v>
      </c>
      <c r="V6678" s="16" t="str">
        <f>IFERROR(__xludf.DUMMYFUNCTION("""COMPUTED_VALUE"""),"")</f>
        <v/>
      </c>
      <c r="W6678" s="16" t="str">
        <f>IFERROR(__xludf.DUMMYFUNCTION("""COMPUTED_VALUE"""),"")</f>
        <v/>
      </c>
      <c r="X6678" s="16" t="str">
        <f>IFERROR(__xludf.DUMMYFUNCTION("""COMPUTED_VALUE"""),"")</f>
        <v/>
      </c>
      <c r="AC6678" s="16" t="str">
        <f>IFERROR(__xludf.DUMMYFUNCTION("""COMPUTED_VALUE"""),"")</f>
        <v/>
      </c>
    </row>
    <row r="6679">
      <c r="A6679" s="16" t="s">
        <v>87</v>
      </c>
      <c r="E6679" s="16" t="str">
        <f>IFERROR(__xludf.DUMMYFUNCTION("""COMPUTED_VALUE"""),"")</f>
        <v/>
      </c>
      <c r="G6679" s="18"/>
      <c r="H6679" s="16" t="s">
        <v>87</v>
      </c>
      <c r="I6679" s="16" t="s">
        <v>87</v>
      </c>
      <c r="J6679" s="19"/>
      <c r="L6679" s="16" t="str">
        <f>IFERROR(__xludf.DUMMYFUNCTION("""COMPUTED_VALUE"""),"")</f>
        <v/>
      </c>
      <c r="M6679" s="16" t="str">
        <f>IFERROR(__xludf.DUMMYFUNCTION("""COMPUTED_VALUE"""),"")</f>
        <v/>
      </c>
      <c r="U6679" s="16" t="s">
        <v>87</v>
      </c>
      <c r="V6679" s="16" t="str">
        <f>IFERROR(__xludf.DUMMYFUNCTION("""COMPUTED_VALUE"""),"")</f>
        <v/>
      </c>
      <c r="W6679" s="16" t="str">
        <f>IFERROR(__xludf.DUMMYFUNCTION("""COMPUTED_VALUE"""),"")</f>
        <v/>
      </c>
      <c r="X6679" s="16" t="str">
        <f>IFERROR(__xludf.DUMMYFUNCTION("""COMPUTED_VALUE"""),"")</f>
        <v/>
      </c>
      <c r="AC6679" s="16" t="str">
        <f>IFERROR(__xludf.DUMMYFUNCTION("""COMPUTED_VALUE"""),"")</f>
        <v/>
      </c>
    </row>
    <row r="6680">
      <c r="A6680" s="16" t="s">
        <v>87</v>
      </c>
      <c r="E6680" s="16" t="str">
        <f>IFERROR(__xludf.DUMMYFUNCTION("""COMPUTED_VALUE"""),"")</f>
        <v/>
      </c>
      <c r="G6680" s="18"/>
      <c r="H6680" s="16" t="s">
        <v>87</v>
      </c>
      <c r="I6680" s="16" t="s">
        <v>87</v>
      </c>
      <c r="J6680" s="19"/>
      <c r="L6680" s="16" t="str">
        <f>IFERROR(__xludf.DUMMYFUNCTION("""COMPUTED_VALUE"""),"")</f>
        <v/>
      </c>
      <c r="M6680" s="16" t="str">
        <f>IFERROR(__xludf.DUMMYFUNCTION("""COMPUTED_VALUE"""),"")</f>
        <v/>
      </c>
      <c r="U6680" s="16" t="s">
        <v>87</v>
      </c>
      <c r="V6680" s="16" t="str">
        <f>IFERROR(__xludf.DUMMYFUNCTION("""COMPUTED_VALUE"""),"")</f>
        <v/>
      </c>
      <c r="W6680" s="16" t="str">
        <f>IFERROR(__xludf.DUMMYFUNCTION("""COMPUTED_VALUE"""),"")</f>
        <v/>
      </c>
      <c r="X6680" s="16" t="str">
        <f>IFERROR(__xludf.DUMMYFUNCTION("""COMPUTED_VALUE"""),"")</f>
        <v/>
      </c>
      <c r="AC6680" s="16" t="str">
        <f>IFERROR(__xludf.DUMMYFUNCTION("""COMPUTED_VALUE"""),"")</f>
        <v/>
      </c>
    </row>
    <row r="6681">
      <c r="A6681" s="16" t="s">
        <v>87</v>
      </c>
      <c r="E6681" s="16" t="str">
        <f>IFERROR(__xludf.DUMMYFUNCTION("""COMPUTED_VALUE"""),"")</f>
        <v/>
      </c>
      <c r="G6681" s="18"/>
      <c r="H6681" s="16" t="s">
        <v>87</v>
      </c>
      <c r="I6681" s="16" t="s">
        <v>87</v>
      </c>
      <c r="J6681" s="19"/>
      <c r="L6681" s="16" t="str">
        <f>IFERROR(__xludf.DUMMYFUNCTION("""COMPUTED_VALUE"""),"")</f>
        <v/>
      </c>
      <c r="M6681" s="16" t="str">
        <f>IFERROR(__xludf.DUMMYFUNCTION("""COMPUTED_VALUE"""),"")</f>
        <v/>
      </c>
      <c r="U6681" s="16" t="s">
        <v>87</v>
      </c>
      <c r="V6681" s="16" t="str">
        <f>IFERROR(__xludf.DUMMYFUNCTION("""COMPUTED_VALUE"""),"")</f>
        <v/>
      </c>
      <c r="W6681" s="16" t="str">
        <f>IFERROR(__xludf.DUMMYFUNCTION("""COMPUTED_VALUE"""),"")</f>
        <v/>
      </c>
      <c r="X6681" s="16" t="str">
        <f>IFERROR(__xludf.DUMMYFUNCTION("""COMPUTED_VALUE"""),"")</f>
        <v/>
      </c>
      <c r="AC6681" s="16" t="str">
        <f>IFERROR(__xludf.DUMMYFUNCTION("""COMPUTED_VALUE"""),"")</f>
        <v/>
      </c>
    </row>
    <row r="6682">
      <c r="A6682" s="16" t="s">
        <v>87</v>
      </c>
      <c r="E6682" s="16" t="str">
        <f>IFERROR(__xludf.DUMMYFUNCTION("""COMPUTED_VALUE"""),"")</f>
        <v/>
      </c>
      <c r="G6682" s="18"/>
      <c r="H6682" s="16" t="s">
        <v>87</v>
      </c>
      <c r="I6682" s="16" t="s">
        <v>87</v>
      </c>
      <c r="J6682" s="19"/>
      <c r="L6682" s="16" t="str">
        <f>IFERROR(__xludf.DUMMYFUNCTION("""COMPUTED_VALUE"""),"")</f>
        <v/>
      </c>
      <c r="M6682" s="16" t="str">
        <f>IFERROR(__xludf.DUMMYFUNCTION("""COMPUTED_VALUE"""),"")</f>
        <v/>
      </c>
      <c r="U6682" s="16" t="s">
        <v>87</v>
      </c>
      <c r="V6682" s="16" t="str">
        <f>IFERROR(__xludf.DUMMYFUNCTION("""COMPUTED_VALUE"""),"")</f>
        <v/>
      </c>
      <c r="W6682" s="16" t="str">
        <f>IFERROR(__xludf.DUMMYFUNCTION("""COMPUTED_VALUE"""),"")</f>
        <v/>
      </c>
      <c r="X6682" s="16" t="str">
        <f>IFERROR(__xludf.DUMMYFUNCTION("""COMPUTED_VALUE"""),"")</f>
        <v/>
      </c>
      <c r="AC6682" s="16" t="str">
        <f>IFERROR(__xludf.DUMMYFUNCTION("""COMPUTED_VALUE"""),"")</f>
        <v/>
      </c>
    </row>
    <row r="6683">
      <c r="A6683" s="16" t="s">
        <v>87</v>
      </c>
      <c r="E6683" s="16" t="str">
        <f>IFERROR(__xludf.DUMMYFUNCTION("""COMPUTED_VALUE"""),"")</f>
        <v/>
      </c>
      <c r="G6683" s="18"/>
      <c r="H6683" s="16" t="s">
        <v>87</v>
      </c>
      <c r="I6683" s="16" t="s">
        <v>87</v>
      </c>
      <c r="J6683" s="19"/>
      <c r="L6683" s="16" t="str">
        <f>IFERROR(__xludf.DUMMYFUNCTION("""COMPUTED_VALUE"""),"")</f>
        <v/>
      </c>
      <c r="M6683" s="16" t="str">
        <f>IFERROR(__xludf.DUMMYFUNCTION("""COMPUTED_VALUE"""),"")</f>
        <v/>
      </c>
      <c r="U6683" s="16" t="s">
        <v>87</v>
      </c>
      <c r="V6683" s="16" t="str">
        <f>IFERROR(__xludf.DUMMYFUNCTION("""COMPUTED_VALUE"""),"")</f>
        <v/>
      </c>
      <c r="W6683" s="16" t="str">
        <f>IFERROR(__xludf.DUMMYFUNCTION("""COMPUTED_VALUE"""),"")</f>
        <v/>
      </c>
      <c r="X6683" s="16" t="str">
        <f>IFERROR(__xludf.DUMMYFUNCTION("""COMPUTED_VALUE"""),"")</f>
        <v/>
      </c>
      <c r="AC6683" s="16" t="str">
        <f>IFERROR(__xludf.DUMMYFUNCTION("""COMPUTED_VALUE"""),"")</f>
        <v/>
      </c>
    </row>
    <row r="6684">
      <c r="A6684" s="16" t="s">
        <v>87</v>
      </c>
      <c r="E6684" s="16" t="str">
        <f>IFERROR(__xludf.DUMMYFUNCTION("""COMPUTED_VALUE"""),"")</f>
        <v/>
      </c>
      <c r="G6684" s="18"/>
      <c r="H6684" s="16" t="s">
        <v>87</v>
      </c>
      <c r="I6684" s="16" t="s">
        <v>87</v>
      </c>
      <c r="J6684" s="19"/>
      <c r="L6684" s="16" t="str">
        <f>IFERROR(__xludf.DUMMYFUNCTION("""COMPUTED_VALUE"""),"")</f>
        <v/>
      </c>
      <c r="M6684" s="16" t="str">
        <f>IFERROR(__xludf.DUMMYFUNCTION("""COMPUTED_VALUE"""),"")</f>
        <v/>
      </c>
      <c r="U6684" s="16" t="s">
        <v>87</v>
      </c>
      <c r="V6684" s="16" t="str">
        <f>IFERROR(__xludf.DUMMYFUNCTION("""COMPUTED_VALUE"""),"")</f>
        <v/>
      </c>
      <c r="W6684" s="16" t="str">
        <f>IFERROR(__xludf.DUMMYFUNCTION("""COMPUTED_VALUE"""),"")</f>
        <v/>
      </c>
      <c r="X6684" s="16" t="str">
        <f>IFERROR(__xludf.DUMMYFUNCTION("""COMPUTED_VALUE"""),"")</f>
        <v/>
      </c>
      <c r="AC6684" s="16" t="str">
        <f>IFERROR(__xludf.DUMMYFUNCTION("""COMPUTED_VALUE"""),"")</f>
        <v/>
      </c>
    </row>
    <row r="6685">
      <c r="A6685" s="16" t="s">
        <v>87</v>
      </c>
      <c r="E6685" s="16" t="str">
        <f>IFERROR(__xludf.DUMMYFUNCTION("""COMPUTED_VALUE"""),"")</f>
        <v/>
      </c>
      <c r="G6685" s="18"/>
      <c r="H6685" s="16" t="s">
        <v>87</v>
      </c>
      <c r="I6685" s="16" t="s">
        <v>87</v>
      </c>
      <c r="J6685" s="19"/>
      <c r="L6685" s="16" t="str">
        <f>IFERROR(__xludf.DUMMYFUNCTION("""COMPUTED_VALUE"""),"")</f>
        <v/>
      </c>
      <c r="M6685" s="16" t="str">
        <f>IFERROR(__xludf.DUMMYFUNCTION("""COMPUTED_VALUE"""),"")</f>
        <v/>
      </c>
      <c r="U6685" s="16" t="s">
        <v>87</v>
      </c>
      <c r="V6685" s="16" t="str">
        <f>IFERROR(__xludf.DUMMYFUNCTION("""COMPUTED_VALUE"""),"")</f>
        <v/>
      </c>
      <c r="W6685" s="16" t="str">
        <f>IFERROR(__xludf.DUMMYFUNCTION("""COMPUTED_VALUE"""),"")</f>
        <v/>
      </c>
      <c r="X6685" s="16" t="str">
        <f>IFERROR(__xludf.DUMMYFUNCTION("""COMPUTED_VALUE"""),"")</f>
        <v/>
      </c>
      <c r="AC6685" s="16" t="str">
        <f>IFERROR(__xludf.DUMMYFUNCTION("""COMPUTED_VALUE"""),"")</f>
        <v/>
      </c>
    </row>
    <row r="6686">
      <c r="A6686" s="16" t="s">
        <v>87</v>
      </c>
      <c r="E6686" s="16" t="str">
        <f>IFERROR(__xludf.DUMMYFUNCTION("""COMPUTED_VALUE"""),"")</f>
        <v/>
      </c>
      <c r="G6686" s="18"/>
      <c r="H6686" s="16" t="s">
        <v>87</v>
      </c>
      <c r="I6686" s="16" t="s">
        <v>87</v>
      </c>
      <c r="J6686" s="19"/>
      <c r="L6686" s="16" t="str">
        <f>IFERROR(__xludf.DUMMYFUNCTION("""COMPUTED_VALUE"""),"")</f>
        <v/>
      </c>
      <c r="M6686" s="16" t="str">
        <f>IFERROR(__xludf.DUMMYFUNCTION("""COMPUTED_VALUE"""),"")</f>
        <v/>
      </c>
      <c r="U6686" s="16" t="s">
        <v>87</v>
      </c>
      <c r="V6686" s="16" t="str">
        <f>IFERROR(__xludf.DUMMYFUNCTION("""COMPUTED_VALUE"""),"")</f>
        <v/>
      </c>
      <c r="W6686" s="16" t="str">
        <f>IFERROR(__xludf.DUMMYFUNCTION("""COMPUTED_VALUE"""),"")</f>
        <v/>
      </c>
      <c r="X6686" s="16" t="str">
        <f>IFERROR(__xludf.DUMMYFUNCTION("""COMPUTED_VALUE"""),"")</f>
        <v/>
      </c>
      <c r="AC6686" s="16" t="str">
        <f>IFERROR(__xludf.DUMMYFUNCTION("""COMPUTED_VALUE"""),"")</f>
        <v/>
      </c>
    </row>
    <row r="6687">
      <c r="A6687" s="16" t="s">
        <v>87</v>
      </c>
      <c r="E6687" s="16" t="str">
        <f>IFERROR(__xludf.DUMMYFUNCTION("""COMPUTED_VALUE"""),"")</f>
        <v/>
      </c>
      <c r="G6687" s="18"/>
      <c r="H6687" s="16" t="s">
        <v>87</v>
      </c>
      <c r="I6687" s="16" t="s">
        <v>87</v>
      </c>
      <c r="J6687" s="19"/>
      <c r="L6687" s="16" t="str">
        <f>IFERROR(__xludf.DUMMYFUNCTION("""COMPUTED_VALUE"""),"")</f>
        <v/>
      </c>
      <c r="M6687" s="16" t="str">
        <f>IFERROR(__xludf.DUMMYFUNCTION("""COMPUTED_VALUE"""),"")</f>
        <v/>
      </c>
      <c r="U6687" s="16" t="s">
        <v>87</v>
      </c>
      <c r="V6687" s="16" t="str">
        <f>IFERROR(__xludf.DUMMYFUNCTION("""COMPUTED_VALUE"""),"")</f>
        <v/>
      </c>
      <c r="W6687" s="16" t="str">
        <f>IFERROR(__xludf.DUMMYFUNCTION("""COMPUTED_VALUE"""),"")</f>
        <v/>
      </c>
      <c r="X6687" s="16" t="str">
        <f>IFERROR(__xludf.DUMMYFUNCTION("""COMPUTED_VALUE"""),"")</f>
        <v/>
      </c>
      <c r="AC6687" s="16" t="str">
        <f>IFERROR(__xludf.DUMMYFUNCTION("""COMPUTED_VALUE"""),"")</f>
        <v/>
      </c>
    </row>
    <row r="6688">
      <c r="A6688" s="16" t="s">
        <v>87</v>
      </c>
      <c r="E6688" s="16" t="str">
        <f>IFERROR(__xludf.DUMMYFUNCTION("""COMPUTED_VALUE"""),"")</f>
        <v/>
      </c>
      <c r="G6688" s="18"/>
      <c r="H6688" s="16" t="s">
        <v>87</v>
      </c>
      <c r="I6688" s="16" t="s">
        <v>87</v>
      </c>
      <c r="J6688" s="19"/>
      <c r="L6688" s="16" t="str">
        <f>IFERROR(__xludf.DUMMYFUNCTION("""COMPUTED_VALUE"""),"")</f>
        <v/>
      </c>
      <c r="M6688" s="16" t="str">
        <f>IFERROR(__xludf.DUMMYFUNCTION("""COMPUTED_VALUE"""),"")</f>
        <v/>
      </c>
      <c r="U6688" s="16" t="s">
        <v>87</v>
      </c>
      <c r="V6688" s="16" t="str">
        <f>IFERROR(__xludf.DUMMYFUNCTION("""COMPUTED_VALUE"""),"")</f>
        <v/>
      </c>
      <c r="W6688" s="16" t="str">
        <f>IFERROR(__xludf.DUMMYFUNCTION("""COMPUTED_VALUE"""),"")</f>
        <v/>
      </c>
      <c r="X6688" s="16" t="str">
        <f>IFERROR(__xludf.DUMMYFUNCTION("""COMPUTED_VALUE"""),"")</f>
        <v/>
      </c>
      <c r="AC6688" s="16" t="str">
        <f>IFERROR(__xludf.DUMMYFUNCTION("""COMPUTED_VALUE"""),"")</f>
        <v/>
      </c>
    </row>
    <row r="6689">
      <c r="A6689" s="16" t="s">
        <v>87</v>
      </c>
      <c r="E6689" s="16" t="str">
        <f>IFERROR(__xludf.DUMMYFUNCTION("""COMPUTED_VALUE"""),"")</f>
        <v/>
      </c>
      <c r="G6689" s="18"/>
      <c r="H6689" s="16" t="s">
        <v>87</v>
      </c>
      <c r="I6689" s="16" t="s">
        <v>87</v>
      </c>
      <c r="J6689" s="19"/>
      <c r="L6689" s="16" t="str">
        <f>IFERROR(__xludf.DUMMYFUNCTION("""COMPUTED_VALUE"""),"")</f>
        <v/>
      </c>
      <c r="M6689" s="16" t="str">
        <f>IFERROR(__xludf.DUMMYFUNCTION("""COMPUTED_VALUE"""),"")</f>
        <v/>
      </c>
      <c r="U6689" s="16" t="s">
        <v>87</v>
      </c>
      <c r="V6689" s="16" t="str">
        <f>IFERROR(__xludf.DUMMYFUNCTION("""COMPUTED_VALUE"""),"")</f>
        <v/>
      </c>
      <c r="W6689" s="16" t="str">
        <f>IFERROR(__xludf.DUMMYFUNCTION("""COMPUTED_VALUE"""),"")</f>
        <v/>
      </c>
      <c r="X6689" s="16" t="str">
        <f>IFERROR(__xludf.DUMMYFUNCTION("""COMPUTED_VALUE"""),"")</f>
        <v/>
      </c>
      <c r="AC6689" s="16" t="str">
        <f>IFERROR(__xludf.DUMMYFUNCTION("""COMPUTED_VALUE"""),"")</f>
        <v/>
      </c>
    </row>
    <row r="6690">
      <c r="A6690" s="16" t="s">
        <v>87</v>
      </c>
      <c r="E6690" s="16" t="str">
        <f>IFERROR(__xludf.DUMMYFUNCTION("""COMPUTED_VALUE"""),"")</f>
        <v/>
      </c>
      <c r="G6690" s="18"/>
      <c r="H6690" s="16" t="s">
        <v>87</v>
      </c>
      <c r="I6690" s="16" t="s">
        <v>87</v>
      </c>
      <c r="J6690" s="19"/>
      <c r="L6690" s="16" t="str">
        <f>IFERROR(__xludf.DUMMYFUNCTION("""COMPUTED_VALUE"""),"")</f>
        <v/>
      </c>
      <c r="M6690" s="16" t="str">
        <f>IFERROR(__xludf.DUMMYFUNCTION("""COMPUTED_VALUE"""),"")</f>
        <v/>
      </c>
      <c r="U6690" s="16" t="s">
        <v>87</v>
      </c>
      <c r="V6690" s="16" t="str">
        <f>IFERROR(__xludf.DUMMYFUNCTION("""COMPUTED_VALUE"""),"")</f>
        <v/>
      </c>
      <c r="W6690" s="16" t="str">
        <f>IFERROR(__xludf.DUMMYFUNCTION("""COMPUTED_VALUE"""),"")</f>
        <v/>
      </c>
      <c r="X6690" s="16" t="str">
        <f>IFERROR(__xludf.DUMMYFUNCTION("""COMPUTED_VALUE"""),"")</f>
        <v/>
      </c>
      <c r="AC6690" s="16" t="str">
        <f>IFERROR(__xludf.DUMMYFUNCTION("""COMPUTED_VALUE"""),"")</f>
        <v/>
      </c>
    </row>
    <row r="6691">
      <c r="A6691" s="16" t="s">
        <v>87</v>
      </c>
      <c r="E6691" s="16" t="str">
        <f>IFERROR(__xludf.DUMMYFUNCTION("""COMPUTED_VALUE"""),"")</f>
        <v/>
      </c>
      <c r="G6691" s="18"/>
      <c r="H6691" s="16" t="s">
        <v>87</v>
      </c>
      <c r="I6691" s="16" t="s">
        <v>87</v>
      </c>
      <c r="J6691" s="19"/>
      <c r="L6691" s="16" t="str">
        <f>IFERROR(__xludf.DUMMYFUNCTION("""COMPUTED_VALUE"""),"")</f>
        <v/>
      </c>
      <c r="M6691" s="16" t="str">
        <f>IFERROR(__xludf.DUMMYFUNCTION("""COMPUTED_VALUE"""),"")</f>
        <v/>
      </c>
      <c r="U6691" s="16" t="s">
        <v>87</v>
      </c>
      <c r="V6691" s="16" t="str">
        <f>IFERROR(__xludf.DUMMYFUNCTION("""COMPUTED_VALUE"""),"")</f>
        <v/>
      </c>
      <c r="W6691" s="16" t="str">
        <f>IFERROR(__xludf.DUMMYFUNCTION("""COMPUTED_VALUE"""),"")</f>
        <v/>
      </c>
      <c r="X6691" s="16" t="str">
        <f>IFERROR(__xludf.DUMMYFUNCTION("""COMPUTED_VALUE"""),"")</f>
        <v/>
      </c>
      <c r="AC6691" s="16" t="str">
        <f>IFERROR(__xludf.DUMMYFUNCTION("""COMPUTED_VALUE"""),"")</f>
        <v/>
      </c>
    </row>
    <row r="6692">
      <c r="A6692" s="16" t="s">
        <v>87</v>
      </c>
      <c r="E6692" s="16" t="str">
        <f>IFERROR(__xludf.DUMMYFUNCTION("""COMPUTED_VALUE"""),"")</f>
        <v/>
      </c>
      <c r="G6692" s="18"/>
      <c r="H6692" s="16" t="s">
        <v>87</v>
      </c>
      <c r="I6692" s="16" t="s">
        <v>87</v>
      </c>
      <c r="J6692" s="19"/>
      <c r="L6692" s="16" t="str">
        <f>IFERROR(__xludf.DUMMYFUNCTION("""COMPUTED_VALUE"""),"")</f>
        <v/>
      </c>
      <c r="M6692" s="16" t="str">
        <f>IFERROR(__xludf.DUMMYFUNCTION("""COMPUTED_VALUE"""),"")</f>
        <v/>
      </c>
      <c r="U6692" s="16" t="s">
        <v>87</v>
      </c>
      <c r="V6692" s="16" t="str">
        <f>IFERROR(__xludf.DUMMYFUNCTION("""COMPUTED_VALUE"""),"")</f>
        <v/>
      </c>
      <c r="W6692" s="16" t="str">
        <f>IFERROR(__xludf.DUMMYFUNCTION("""COMPUTED_VALUE"""),"")</f>
        <v/>
      </c>
      <c r="X6692" s="16" t="str">
        <f>IFERROR(__xludf.DUMMYFUNCTION("""COMPUTED_VALUE"""),"")</f>
        <v/>
      </c>
      <c r="AC6692" s="16" t="str">
        <f>IFERROR(__xludf.DUMMYFUNCTION("""COMPUTED_VALUE"""),"")</f>
        <v/>
      </c>
    </row>
    <row r="6693">
      <c r="A6693" s="16" t="s">
        <v>87</v>
      </c>
      <c r="E6693" s="16" t="str">
        <f>IFERROR(__xludf.DUMMYFUNCTION("""COMPUTED_VALUE"""),"")</f>
        <v/>
      </c>
      <c r="G6693" s="18"/>
      <c r="H6693" s="16" t="s">
        <v>87</v>
      </c>
      <c r="I6693" s="16" t="s">
        <v>87</v>
      </c>
      <c r="J6693" s="19"/>
      <c r="L6693" s="16" t="str">
        <f>IFERROR(__xludf.DUMMYFUNCTION("""COMPUTED_VALUE"""),"")</f>
        <v/>
      </c>
      <c r="M6693" s="16" t="str">
        <f>IFERROR(__xludf.DUMMYFUNCTION("""COMPUTED_VALUE"""),"")</f>
        <v/>
      </c>
      <c r="U6693" s="16" t="s">
        <v>87</v>
      </c>
      <c r="V6693" s="16" t="str">
        <f>IFERROR(__xludf.DUMMYFUNCTION("""COMPUTED_VALUE"""),"")</f>
        <v/>
      </c>
      <c r="W6693" s="16" t="str">
        <f>IFERROR(__xludf.DUMMYFUNCTION("""COMPUTED_VALUE"""),"")</f>
        <v/>
      </c>
      <c r="X6693" s="16" t="str">
        <f>IFERROR(__xludf.DUMMYFUNCTION("""COMPUTED_VALUE"""),"")</f>
        <v/>
      </c>
      <c r="AC6693" s="16" t="str">
        <f>IFERROR(__xludf.DUMMYFUNCTION("""COMPUTED_VALUE"""),"")</f>
        <v/>
      </c>
    </row>
    <row r="6694">
      <c r="A6694" s="16" t="s">
        <v>87</v>
      </c>
      <c r="E6694" s="16" t="str">
        <f>IFERROR(__xludf.DUMMYFUNCTION("""COMPUTED_VALUE"""),"")</f>
        <v/>
      </c>
      <c r="G6694" s="18"/>
      <c r="H6694" s="16" t="s">
        <v>87</v>
      </c>
      <c r="I6694" s="16" t="s">
        <v>87</v>
      </c>
      <c r="J6694" s="19"/>
      <c r="L6694" s="16" t="str">
        <f>IFERROR(__xludf.DUMMYFUNCTION("""COMPUTED_VALUE"""),"")</f>
        <v/>
      </c>
      <c r="M6694" s="16" t="str">
        <f>IFERROR(__xludf.DUMMYFUNCTION("""COMPUTED_VALUE"""),"")</f>
        <v/>
      </c>
      <c r="U6694" s="16" t="s">
        <v>87</v>
      </c>
      <c r="V6694" s="16" t="str">
        <f>IFERROR(__xludf.DUMMYFUNCTION("""COMPUTED_VALUE"""),"")</f>
        <v/>
      </c>
      <c r="W6694" s="16" t="str">
        <f>IFERROR(__xludf.DUMMYFUNCTION("""COMPUTED_VALUE"""),"")</f>
        <v/>
      </c>
      <c r="X6694" s="16" t="str">
        <f>IFERROR(__xludf.DUMMYFUNCTION("""COMPUTED_VALUE"""),"")</f>
        <v/>
      </c>
      <c r="AC6694" s="16" t="str">
        <f>IFERROR(__xludf.DUMMYFUNCTION("""COMPUTED_VALUE"""),"")</f>
        <v/>
      </c>
    </row>
    <row r="6695">
      <c r="A6695" s="16" t="s">
        <v>87</v>
      </c>
      <c r="E6695" s="16" t="str">
        <f>IFERROR(__xludf.DUMMYFUNCTION("""COMPUTED_VALUE"""),"")</f>
        <v/>
      </c>
      <c r="G6695" s="18"/>
      <c r="H6695" s="16" t="s">
        <v>87</v>
      </c>
      <c r="I6695" s="16" t="s">
        <v>87</v>
      </c>
      <c r="J6695" s="19"/>
      <c r="L6695" s="16" t="str">
        <f>IFERROR(__xludf.DUMMYFUNCTION("""COMPUTED_VALUE"""),"")</f>
        <v/>
      </c>
      <c r="M6695" s="16" t="str">
        <f>IFERROR(__xludf.DUMMYFUNCTION("""COMPUTED_VALUE"""),"")</f>
        <v/>
      </c>
      <c r="U6695" s="16" t="s">
        <v>87</v>
      </c>
      <c r="V6695" s="16" t="str">
        <f>IFERROR(__xludf.DUMMYFUNCTION("""COMPUTED_VALUE"""),"")</f>
        <v/>
      </c>
      <c r="W6695" s="16" t="str">
        <f>IFERROR(__xludf.DUMMYFUNCTION("""COMPUTED_VALUE"""),"")</f>
        <v/>
      </c>
      <c r="X6695" s="16" t="str">
        <f>IFERROR(__xludf.DUMMYFUNCTION("""COMPUTED_VALUE"""),"")</f>
        <v/>
      </c>
      <c r="AC6695" s="16" t="str">
        <f>IFERROR(__xludf.DUMMYFUNCTION("""COMPUTED_VALUE"""),"")</f>
        <v/>
      </c>
    </row>
    <row r="6696">
      <c r="A6696" s="16" t="s">
        <v>87</v>
      </c>
      <c r="E6696" s="16" t="str">
        <f>IFERROR(__xludf.DUMMYFUNCTION("""COMPUTED_VALUE"""),"")</f>
        <v/>
      </c>
      <c r="G6696" s="18"/>
      <c r="H6696" s="16" t="s">
        <v>87</v>
      </c>
      <c r="I6696" s="16" t="s">
        <v>87</v>
      </c>
      <c r="J6696" s="19"/>
      <c r="L6696" s="16" t="str">
        <f>IFERROR(__xludf.DUMMYFUNCTION("""COMPUTED_VALUE"""),"")</f>
        <v/>
      </c>
      <c r="M6696" s="16" t="str">
        <f>IFERROR(__xludf.DUMMYFUNCTION("""COMPUTED_VALUE"""),"")</f>
        <v/>
      </c>
      <c r="U6696" s="16" t="s">
        <v>87</v>
      </c>
      <c r="V6696" s="16" t="str">
        <f>IFERROR(__xludf.DUMMYFUNCTION("""COMPUTED_VALUE"""),"")</f>
        <v/>
      </c>
      <c r="W6696" s="16" t="str">
        <f>IFERROR(__xludf.DUMMYFUNCTION("""COMPUTED_VALUE"""),"")</f>
        <v/>
      </c>
      <c r="X6696" s="16" t="str">
        <f>IFERROR(__xludf.DUMMYFUNCTION("""COMPUTED_VALUE"""),"")</f>
        <v/>
      </c>
      <c r="AC6696" s="16" t="str">
        <f>IFERROR(__xludf.DUMMYFUNCTION("""COMPUTED_VALUE"""),"")</f>
        <v/>
      </c>
    </row>
    <row r="6697">
      <c r="A6697" s="16" t="s">
        <v>87</v>
      </c>
      <c r="E6697" s="16" t="str">
        <f>IFERROR(__xludf.DUMMYFUNCTION("""COMPUTED_VALUE"""),"")</f>
        <v/>
      </c>
      <c r="G6697" s="18"/>
      <c r="H6697" s="16" t="s">
        <v>87</v>
      </c>
      <c r="I6697" s="16" t="s">
        <v>87</v>
      </c>
      <c r="J6697" s="19"/>
      <c r="L6697" s="16" t="str">
        <f>IFERROR(__xludf.DUMMYFUNCTION("""COMPUTED_VALUE"""),"")</f>
        <v/>
      </c>
      <c r="M6697" s="16" t="str">
        <f>IFERROR(__xludf.DUMMYFUNCTION("""COMPUTED_VALUE"""),"")</f>
        <v/>
      </c>
      <c r="U6697" s="16" t="s">
        <v>87</v>
      </c>
      <c r="V6697" s="16" t="str">
        <f>IFERROR(__xludf.DUMMYFUNCTION("""COMPUTED_VALUE"""),"")</f>
        <v/>
      </c>
      <c r="W6697" s="16" t="str">
        <f>IFERROR(__xludf.DUMMYFUNCTION("""COMPUTED_VALUE"""),"")</f>
        <v/>
      </c>
      <c r="X6697" s="16" t="str">
        <f>IFERROR(__xludf.DUMMYFUNCTION("""COMPUTED_VALUE"""),"")</f>
        <v/>
      </c>
      <c r="AC6697" s="16" t="str">
        <f>IFERROR(__xludf.DUMMYFUNCTION("""COMPUTED_VALUE"""),"")</f>
        <v/>
      </c>
    </row>
    <row r="6698">
      <c r="A6698" s="16" t="s">
        <v>87</v>
      </c>
      <c r="E6698" s="16" t="str">
        <f>IFERROR(__xludf.DUMMYFUNCTION("""COMPUTED_VALUE"""),"")</f>
        <v/>
      </c>
      <c r="G6698" s="18"/>
      <c r="H6698" s="16" t="s">
        <v>87</v>
      </c>
      <c r="I6698" s="16" t="s">
        <v>87</v>
      </c>
      <c r="J6698" s="19"/>
      <c r="L6698" s="16" t="str">
        <f>IFERROR(__xludf.DUMMYFUNCTION("""COMPUTED_VALUE"""),"")</f>
        <v/>
      </c>
      <c r="M6698" s="16" t="str">
        <f>IFERROR(__xludf.DUMMYFUNCTION("""COMPUTED_VALUE"""),"")</f>
        <v/>
      </c>
      <c r="U6698" s="16" t="s">
        <v>87</v>
      </c>
      <c r="V6698" s="16" t="str">
        <f>IFERROR(__xludf.DUMMYFUNCTION("""COMPUTED_VALUE"""),"")</f>
        <v/>
      </c>
      <c r="W6698" s="16" t="str">
        <f>IFERROR(__xludf.DUMMYFUNCTION("""COMPUTED_VALUE"""),"")</f>
        <v/>
      </c>
      <c r="X6698" s="16" t="str">
        <f>IFERROR(__xludf.DUMMYFUNCTION("""COMPUTED_VALUE"""),"")</f>
        <v/>
      </c>
      <c r="AC6698" s="16" t="str">
        <f>IFERROR(__xludf.DUMMYFUNCTION("""COMPUTED_VALUE"""),"")</f>
        <v/>
      </c>
    </row>
    <row r="6699">
      <c r="A6699" s="16" t="s">
        <v>87</v>
      </c>
      <c r="E6699" s="16" t="str">
        <f>IFERROR(__xludf.DUMMYFUNCTION("""COMPUTED_VALUE"""),"")</f>
        <v/>
      </c>
      <c r="G6699" s="18"/>
      <c r="H6699" s="16" t="s">
        <v>87</v>
      </c>
      <c r="I6699" s="16" t="s">
        <v>87</v>
      </c>
      <c r="J6699" s="19"/>
      <c r="L6699" s="16" t="str">
        <f>IFERROR(__xludf.DUMMYFUNCTION("""COMPUTED_VALUE"""),"")</f>
        <v/>
      </c>
      <c r="M6699" s="16" t="str">
        <f>IFERROR(__xludf.DUMMYFUNCTION("""COMPUTED_VALUE"""),"")</f>
        <v/>
      </c>
      <c r="U6699" s="16" t="s">
        <v>87</v>
      </c>
      <c r="V6699" s="16" t="str">
        <f>IFERROR(__xludf.DUMMYFUNCTION("""COMPUTED_VALUE"""),"")</f>
        <v/>
      </c>
      <c r="W6699" s="16" t="str">
        <f>IFERROR(__xludf.DUMMYFUNCTION("""COMPUTED_VALUE"""),"")</f>
        <v/>
      </c>
      <c r="X6699" s="16" t="str">
        <f>IFERROR(__xludf.DUMMYFUNCTION("""COMPUTED_VALUE"""),"")</f>
        <v/>
      </c>
      <c r="AC6699" s="16" t="str">
        <f>IFERROR(__xludf.DUMMYFUNCTION("""COMPUTED_VALUE"""),"")</f>
        <v/>
      </c>
    </row>
    <row r="6700">
      <c r="A6700" s="16" t="s">
        <v>87</v>
      </c>
      <c r="E6700" s="16" t="str">
        <f>IFERROR(__xludf.DUMMYFUNCTION("""COMPUTED_VALUE"""),"")</f>
        <v/>
      </c>
      <c r="G6700" s="18"/>
      <c r="H6700" s="16" t="s">
        <v>87</v>
      </c>
      <c r="I6700" s="16" t="s">
        <v>87</v>
      </c>
      <c r="J6700" s="19"/>
      <c r="L6700" s="16" t="str">
        <f>IFERROR(__xludf.DUMMYFUNCTION("""COMPUTED_VALUE"""),"")</f>
        <v/>
      </c>
      <c r="M6700" s="16" t="str">
        <f>IFERROR(__xludf.DUMMYFUNCTION("""COMPUTED_VALUE"""),"")</f>
        <v/>
      </c>
      <c r="U6700" s="16" t="s">
        <v>87</v>
      </c>
      <c r="V6700" s="16" t="str">
        <f>IFERROR(__xludf.DUMMYFUNCTION("""COMPUTED_VALUE"""),"")</f>
        <v/>
      </c>
      <c r="W6700" s="16" t="str">
        <f>IFERROR(__xludf.DUMMYFUNCTION("""COMPUTED_VALUE"""),"")</f>
        <v/>
      </c>
      <c r="X6700" s="16" t="str">
        <f>IFERROR(__xludf.DUMMYFUNCTION("""COMPUTED_VALUE"""),"")</f>
        <v/>
      </c>
      <c r="AC6700" s="16" t="str">
        <f>IFERROR(__xludf.DUMMYFUNCTION("""COMPUTED_VALUE"""),"")</f>
        <v/>
      </c>
    </row>
    <row r="6701">
      <c r="A6701" s="16" t="s">
        <v>87</v>
      </c>
      <c r="E6701" s="16" t="str">
        <f>IFERROR(__xludf.DUMMYFUNCTION("""COMPUTED_VALUE"""),"")</f>
        <v/>
      </c>
      <c r="G6701" s="18"/>
      <c r="H6701" s="16" t="s">
        <v>87</v>
      </c>
      <c r="I6701" s="16" t="s">
        <v>87</v>
      </c>
      <c r="J6701" s="19"/>
      <c r="L6701" s="16" t="str">
        <f>IFERROR(__xludf.DUMMYFUNCTION("""COMPUTED_VALUE"""),"")</f>
        <v/>
      </c>
      <c r="M6701" s="16" t="str">
        <f>IFERROR(__xludf.DUMMYFUNCTION("""COMPUTED_VALUE"""),"")</f>
        <v/>
      </c>
      <c r="U6701" s="16" t="s">
        <v>87</v>
      </c>
      <c r="V6701" s="16" t="str">
        <f>IFERROR(__xludf.DUMMYFUNCTION("""COMPUTED_VALUE"""),"")</f>
        <v/>
      </c>
      <c r="W6701" s="16" t="str">
        <f>IFERROR(__xludf.DUMMYFUNCTION("""COMPUTED_VALUE"""),"")</f>
        <v/>
      </c>
      <c r="X6701" s="16" t="str">
        <f>IFERROR(__xludf.DUMMYFUNCTION("""COMPUTED_VALUE"""),"")</f>
        <v/>
      </c>
      <c r="AC6701" s="16" t="str">
        <f>IFERROR(__xludf.DUMMYFUNCTION("""COMPUTED_VALUE"""),"")</f>
        <v/>
      </c>
    </row>
    <row r="6702">
      <c r="A6702" s="16" t="s">
        <v>87</v>
      </c>
      <c r="E6702" s="16" t="str">
        <f>IFERROR(__xludf.DUMMYFUNCTION("""COMPUTED_VALUE"""),"")</f>
        <v/>
      </c>
      <c r="G6702" s="18"/>
      <c r="H6702" s="16" t="s">
        <v>87</v>
      </c>
      <c r="I6702" s="16" t="s">
        <v>87</v>
      </c>
      <c r="J6702" s="19"/>
      <c r="L6702" s="16" t="str">
        <f>IFERROR(__xludf.DUMMYFUNCTION("""COMPUTED_VALUE"""),"")</f>
        <v/>
      </c>
      <c r="M6702" s="16" t="str">
        <f>IFERROR(__xludf.DUMMYFUNCTION("""COMPUTED_VALUE"""),"")</f>
        <v/>
      </c>
      <c r="U6702" s="16" t="s">
        <v>87</v>
      </c>
      <c r="V6702" s="16" t="str">
        <f>IFERROR(__xludf.DUMMYFUNCTION("""COMPUTED_VALUE"""),"")</f>
        <v/>
      </c>
      <c r="W6702" s="16" t="str">
        <f>IFERROR(__xludf.DUMMYFUNCTION("""COMPUTED_VALUE"""),"")</f>
        <v/>
      </c>
      <c r="X6702" s="16" t="str">
        <f>IFERROR(__xludf.DUMMYFUNCTION("""COMPUTED_VALUE"""),"")</f>
        <v/>
      </c>
      <c r="AC6702" s="16" t="str">
        <f>IFERROR(__xludf.DUMMYFUNCTION("""COMPUTED_VALUE"""),"")</f>
        <v/>
      </c>
    </row>
    <row r="6703">
      <c r="A6703" s="16" t="s">
        <v>87</v>
      </c>
      <c r="E6703" s="16" t="str">
        <f>IFERROR(__xludf.DUMMYFUNCTION("""COMPUTED_VALUE"""),"")</f>
        <v/>
      </c>
      <c r="G6703" s="18"/>
      <c r="H6703" s="16" t="s">
        <v>87</v>
      </c>
      <c r="I6703" s="16" t="s">
        <v>87</v>
      </c>
      <c r="J6703" s="19"/>
      <c r="L6703" s="16" t="str">
        <f>IFERROR(__xludf.DUMMYFUNCTION("""COMPUTED_VALUE"""),"")</f>
        <v/>
      </c>
      <c r="M6703" s="16" t="str">
        <f>IFERROR(__xludf.DUMMYFUNCTION("""COMPUTED_VALUE"""),"")</f>
        <v/>
      </c>
      <c r="U6703" s="16" t="s">
        <v>87</v>
      </c>
      <c r="V6703" s="16" t="str">
        <f>IFERROR(__xludf.DUMMYFUNCTION("""COMPUTED_VALUE"""),"")</f>
        <v/>
      </c>
      <c r="W6703" s="16" t="str">
        <f>IFERROR(__xludf.DUMMYFUNCTION("""COMPUTED_VALUE"""),"")</f>
        <v/>
      </c>
      <c r="X6703" s="16" t="str">
        <f>IFERROR(__xludf.DUMMYFUNCTION("""COMPUTED_VALUE"""),"")</f>
        <v/>
      </c>
      <c r="AC6703" s="16" t="str">
        <f>IFERROR(__xludf.DUMMYFUNCTION("""COMPUTED_VALUE"""),"")</f>
        <v/>
      </c>
    </row>
    <row r="6704">
      <c r="A6704" s="16" t="s">
        <v>87</v>
      </c>
      <c r="E6704" s="16" t="str">
        <f>IFERROR(__xludf.DUMMYFUNCTION("""COMPUTED_VALUE"""),"")</f>
        <v/>
      </c>
      <c r="G6704" s="18"/>
      <c r="H6704" s="16" t="s">
        <v>87</v>
      </c>
      <c r="I6704" s="16" t="s">
        <v>87</v>
      </c>
      <c r="J6704" s="19"/>
      <c r="L6704" s="16" t="str">
        <f>IFERROR(__xludf.DUMMYFUNCTION("""COMPUTED_VALUE"""),"")</f>
        <v/>
      </c>
      <c r="M6704" s="16" t="str">
        <f>IFERROR(__xludf.DUMMYFUNCTION("""COMPUTED_VALUE"""),"")</f>
        <v/>
      </c>
      <c r="U6704" s="16" t="s">
        <v>87</v>
      </c>
      <c r="V6704" s="16" t="str">
        <f>IFERROR(__xludf.DUMMYFUNCTION("""COMPUTED_VALUE"""),"")</f>
        <v/>
      </c>
      <c r="W6704" s="16" t="str">
        <f>IFERROR(__xludf.DUMMYFUNCTION("""COMPUTED_VALUE"""),"")</f>
        <v/>
      </c>
      <c r="X6704" s="16" t="str">
        <f>IFERROR(__xludf.DUMMYFUNCTION("""COMPUTED_VALUE"""),"")</f>
        <v/>
      </c>
      <c r="AC6704" s="16" t="str">
        <f>IFERROR(__xludf.DUMMYFUNCTION("""COMPUTED_VALUE"""),"")</f>
        <v/>
      </c>
    </row>
    <row r="6705">
      <c r="A6705" s="16" t="s">
        <v>87</v>
      </c>
      <c r="E6705" s="16" t="str">
        <f>IFERROR(__xludf.DUMMYFUNCTION("""COMPUTED_VALUE"""),"")</f>
        <v/>
      </c>
      <c r="G6705" s="18"/>
      <c r="H6705" s="16" t="s">
        <v>87</v>
      </c>
      <c r="I6705" s="16" t="s">
        <v>87</v>
      </c>
      <c r="J6705" s="19"/>
      <c r="L6705" s="16" t="str">
        <f>IFERROR(__xludf.DUMMYFUNCTION("""COMPUTED_VALUE"""),"")</f>
        <v/>
      </c>
      <c r="M6705" s="16" t="str">
        <f>IFERROR(__xludf.DUMMYFUNCTION("""COMPUTED_VALUE"""),"")</f>
        <v/>
      </c>
      <c r="U6705" s="16" t="s">
        <v>87</v>
      </c>
      <c r="V6705" s="16" t="str">
        <f>IFERROR(__xludf.DUMMYFUNCTION("""COMPUTED_VALUE"""),"")</f>
        <v/>
      </c>
      <c r="W6705" s="16" t="str">
        <f>IFERROR(__xludf.DUMMYFUNCTION("""COMPUTED_VALUE"""),"")</f>
        <v/>
      </c>
      <c r="X6705" s="16" t="str">
        <f>IFERROR(__xludf.DUMMYFUNCTION("""COMPUTED_VALUE"""),"")</f>
        <v/>
      </c>
      <c r="AC6705" s="16" t="str">
        <f>IFERROR(__xludf.DUMMYFUNCTION("""COMPUTED_VALUE"""),"")</f>
        <v/>
      </c>
    </row>
    <row r="6706">
      <c r="A6706" s="16" t="s">
        <v>87</v>
      </c>
      <c r="E6706" s="16" t="str">
        <f>IFERROR(__xludf.DUMMYFUNCTION("""COMPUTED_VALUE"""),"")</f>
        <v/>
      </c>
      <c r="G6706" s="18"/>
      <c r="H6706" s="16" t="s">
        <v>87</v>
      </c>
      <c r="I6706" s="16" t="s">
        <v>87</v>
      </c>
      <c r="J6706" s="19"/>
      <c r="L6706" s="16" t="str">
        <f>IFERROR(__xludf.DUMMYFUNCTION("""COMPUTED_VALUE"""),"")</f>
        <v/>
      </c>
      <c r="M6706" s="16" t="str">
        <f>IFERROR(__xludf.DUMMYFUNCTION("""COMPUTED_VALUE"""),"")</f>
        <v/>
      </c>
      <c r="U6706" s="16" t="s">
        <v>87</v>
      </c>
      <c r="V6706" s="16" t="str">
        <f>IFERROR(__xludf.DUMMYFUNCTION("""COMPUTED_VALUE"""),"")</f>
        <v/>
      </c>
      <c r="W6706" s="16" t="str">
        <f>IFERROR(__xludf.DUMMYFUNCTION("""COMPUTED_VALUE"""),"")</f>
        <v/>
      </c>
      <c r="X6706" s="16" t="str">
        <f>IFERROR(__xludf.DUMMYFUNCTION("""COMPUTED_VALUE"""),"")</f>
        <v/>
      </c>
      <c r="AC6706" s="16" t="str">
        <f>IFERROR(__xludf.DUMMYFUNCTION("""COMPUTED_VALUE"""),"")</f>
        <v/>
      </c>
    </row>
    <row r="6707">
      <c r="A6707" s="16" t="s">
        <v>87</v>
      </c>
      <c r="E6707" s="16" t="str">
        <f>IFERROR(__xludf.DUMMYFUNCTION("""COMPUTED_VALUE"""),"")</f>
        <v/>
      </c>
      <c r="G6707" s="18"/>
      <c r="H6707" s="16" t="s">
        <v>87</v>
      </c>
      <c r="I6707" s="16" t="s">
        <v>87</v>
      </c>
      <c r="J6707" s="19"/>
      <c r="L6707" s="16" t="str">
        <f>IFERROR(__xludf.DUMMYFUNCTION("""COMPUTED_VALUE"""),"")</f>
        <v/>
      </c>
      <c r="M6707" s="16" t="str">
        <f>IFERROR(__xludf.DUMMYFUNCTION("""COMPUTED_VALUE"""),"")</f>
        <v/>
      </c>
      <c r="U6707" s="16" t="s">
        <v>87</v>
      </c>
      <c r="V6707" s="16" t="str">
        <f>IFERROR(__xludf.DUMMYFUNCTION("""COMPUTED_VALUE"""),"")</f>
        <v/>
      </c>
      <c r="W6707" s="16" t="str">
        <f>IFERROR(__xludf.DUMMYFUNCTION("""COMPUTED_VALUE"""),"")</f>
        <v/>
      </c>
      <c r="X6707" s="16" t="str">
        <f>IFERROR(__xludf.DUMMYFUNCTION("""COMPUTED_VALUE"""),"")</f>
        <v/>
      </c>
      <c r="AC6707" s="16" t="str">
        <f>IFERROR(__xludf.DUMMYFUNCTION("""COMPUTED_VALUE"""),"")</f>
        <v/>
      </c>
    </row>
    <row r="6708">
      <c r="A6708" s="16" t="s">
        <v>87</v>
      </c>
      <c r="E6708" s="16" t="str">
        <f>IFERROR(__xludf.DUMMYFUNCTION("""COMPUTED_VALUE"""),"")</f>
        <v/>
      </c>
      <c r="G6708" s="18"/>
      <c r="H6708" s="16" t="s">
        <v>87</v>
      </c>
      <c r="I6708" s="16" t="s">
        <v>87</v>
      </c>
      <c r="J6708" s="19"/>
      <c r="L6708" s="16" t="str">
        <f>IFERROR(__xludf.DUMMYFUNCTION("""COMPUTED_VALUE"""),"")</f>
        <v/>
      </c>
      <c r="M6708" s="16" t="str">
        <f>IFERROR(__xludf.DUMMYFUNCTION("""COMPUTED_VALUE"""),"")</f>
        <v/>
      </c>
      <c r="U6708" s="16" t="s">
        <v>87</v>
      </c>
      <c r="V6708" s="16" t="str">
        <f>IFERROR(__xludf.DUMMYFUNCTION("""COMPUTED_VALUE"""),"")</f>
        <v/>
      </c>
      <c r="W6708" s="16" t="str">
        <f>IFERROR(__xludf.DUMMYFUNCTION("""COMPUTED_VALUE"""),"")</f>
        <v/>
      </c>
      <c r="X6708" s="16" t="str">
        <f>IFERROR(__xludf.DUMMYFUNCTION("""COMPUTED_VALUE"""),"")</f>
        <v/>
      </c>
      <c r="AC6708" s="16" t="str">
        <f>IFERROR(__xludf.DUMMYFUNCTION("""COMPUTED_VALUE"""),"")</f>
        <v/>
      </c>
    </row>
    <row r="6709">
      <c r="A6709" s="16" t="s">
        <v>87</v>
      </c>
      <c r="E6709" s="16" t="str">
        <f>IFERROR(__xludf.DUMMYFUNCTION("""COMPUTED_VALUE"""),"")</f>
        <v/>
      </c>
      <c r="G6709" s="18"/>
      <c r="H6709" s="16" t="s">
        <v>87</v>
      </c>
      <c r="I6709" s="16" t="s">
        <v>87</v>
      </c>
      <c r="J6709" s="19"/>
      <c r="L6709" s="16" t="str">
        <f>IFERROR(__xludf.DUMMYFUNCTION("""COMPUTED_VALUE"""),"")</f>
        <v/>
      </c>
      <c r="M6709" s="16" t="str">
        <f>IFERROR(__xludf.DUMMYFUNCTION("""COMPUTED_VALUE"""),"")</f>
        <v/>
      </c>
      <c r="U6709" s="16" t="s">
        <v>87</v>
      </c>
      <c r="V6709" s="16" t="str">
        <f>IFERROR(__xludf.DUMMYFUNCTION("""COMPUTED_VALUE"""),"")</f>
        <v/>
      </c>
      <c r="W6709" s="16" t="str">
        <f>IFERROR(__xludf.DUMMYFUNCTION("""COMPUTED_VALUE"""),"")</f>
        <v/>
      </c>
      <c r="X6709" s="16" t="str">
        <f>IFERROR(__xludf.DUMMYFUNCTION("""COMPUTED_VALUE"""),"")</f>
        <v/>
      </c>
      <c r="AC6709" s="16" t="str">
        <f>IFERROR(__xludf.DUMMYFUNCTION("""COMPUTED_VALUE"""),"")</f>
        <v/>
      </c>
    </row>
    <row r="6710">
      <c r="A6710" s="16" t="s">
        <v>87</v>
      </c>
      <c r="E6710" s="16" t="str">
        <f>IFERROR(__xludf.DUMMYFUNCTION("""COMPUTED_VALUE"""),"")</f>
        <v/>
      </c>
      <c r="G6710" s="18"/>
      <c r="H6710" s="16" t="s">
        <v>87</v>
      </c>
      <c r="I6710" s="16" t="s">
        <v>87</v>
      </c>
      <c r="J6710" s="19"/>
      <c r="L6710" s="16" t="str">
        <f>IFERROR(__xludf.DUMMYFUNCTION("""COMPUTED_VALUE"""),"")</f>
        <v/>
      </c>
      <c r="M6710" s="16" t="str">
        <f>IFERROR(__xludf.DUMMYFUNCTION("""COMPUTED_VALUE"""),"")</f>
        <v/>
      </c>
      <c r="U6710" s="16" t="s">
        <v>87</v>
      </c>
      <c r="V6710" s="16" t="str">
        <f>IFERROR(__xludf.DUMMYFUNCTION("""COMPUTED_VALUE"""),"")</f>
        <v/>
      </c>
      <c r="W6710" s="16" t="str">
        <f>IFERROR(__xludf.DUMMYFUNCTION("""COMPUTED_VALUE"""),"")</f>
        <v/>
      </c>
      <c r="X6710" s="16" t="str">
        <f>IFERROR(__xludf.DUMMYFUNCTION("""COMPUTED_VALUE"""),"")</f>
        <v/>
      </c>
      <c r="AC6710" s="16" t="str">
        <f>IFERROR(__xludf.DUMMYFUNCTION("""COMPUTED_VALUE"""),"")</f>
        <v/>
      </c>
    </row>
    <row r="6711">
      <c r="A6711" s="16" t="s">
        <v>87</v>
      </c>
      <c r="E6711" s="16" t="str">
        <f>IFERROR(__xludf.DUMMYFUNCTION("""COMPUTED_VALUE"""),"")</f>
        <v/>
      </c>
      <c r="G6711" s="18"/>
      <c r="H6711" s="16" t="s">
        <v>87</v>
      </c>
      <c r="I6711" s="16" t="s">
        <v>87</v>
      </c>
      <c r="J6711" s="19"/>
      <c r="L6711" s="16" t="str">
        <f>IFERROR(__xludf.DUMMYFUNCTION("""COMPUTED_VALUE"""),"")</f>
        <v/>
      </c>
      <c r="M6711" s="16" t="str">
        <f>IFERROR(__xludf.DUMMYFUNCTION("""COMPUTED_VALUE"""),"")</f>
        <v/>
      </c>
      <c r="U6711" s="16" t="s">
        <v>87</v>
      </c>
      <c r="V6711" s="16" t="str">
        <f>IFERROR(__xludf.DUMMYFUNCTION("""COMPUTED_VALUE"""),"")</f>
        <v/>
      </c>
      <c r="W6711" s="16" t="str">
        <f>IFERROR(__xludf.DUMMYFUNCTION("""COMPUTED_VALUE"""),"")</f>
        <v/>
      </c>
      <c r="X6711" s="16" t="str">
        <f>IFERROR(__xludf.DUMMYFUNCTION("""COMPUTED_VALUE"""),"")</f>
        <v/>
      </c>
      <c r="AC6711" s="16" t="str">
        <f>IFERROR(__xludf.DUMMYFUNCTION("""COMPUTED_VALUE"""),"")</f>
        <v/>
      </c>
    </row>
    <row r="6712">
      <c r="A6712" s="16" t="s">
        <v>87</v>
      </c>
      <c r="E6712" s="16" t="str">
        <f>IFERROR(__xludf.DUMMYFUNCTION("""COMPUTED_VALUE"""),"")</f>
        <v/>
      </c>
      <c r="G6712" s="18"/>
      <c r="H6712" s="16" t="s">
        <v>87</v>
      </c>
      <c r="I6712" s="16" t="s">
        <v>87</v>
      </c>
      <c r="J6712" s="19"/>
      <c r="L6712" s="16" t="str">
        <f>IFERROR(__xludf.DUMMYFUNCTION("""COMPUTED_VALUE"""),"")</f>
        <v/>
      </c>
      <c r="M6712" s="16" t="str">
        <f>IFERROR(__xludf.DUMMYFUNCTION("""COMPUTED_VALUE"""),"")</f>
        <v/>
      </c>
      <c r="U6712" s="16" t="s">
        <v>87</v>
      </c>
      <c r="V6712" s="16" t="str">
        <f>IFERROR(__xludf.DUMMYFUNCTION("""COMPUTED_VALUE"""),"")</f>
        <v/>
      </c>
      <c r="W6712" s="16" t="str">
        <f>IFERROR(__xludf.DUMMYFUNCTION("""COMPUTED_VALUE"""),"")</f>
        <v/>
      </c>
      <c r="X6712" s="16" t="str">
        <f>IFERROR(__xludf.DUMMYFUNCTION("""COMPUTED_VALUE"""),"")</f>
        <v/>
      </c>
      <c r="AC6712" s="16" t="str">
        <f>IFERROR(__xludf.DUMMYFUNCTION("""COMPUTED_VALUE"""),"")</f>
        <v/>
      </c>
    </row>
    <row r="6713">
      <c r="A6713" s="16" t="s">
        <v>87</v>
      </c>
      <c r="E6713" s="16" t="str">
        <f>IFERROR(__xludf.DUMMYFUNCTION("""COMPUTED_VALUE"""),"")</f>
        <v/>
      </c>
      <c r="G6713" s="18"/>
      <c r="H6713" s="16" t="s">
        <v>87</v>
      </c>
      <c r="I6713" s="16" t="s">
        <v>87</v>
      </c>
      <c r="J6713" s="19"/>
      <c r="L6713" s="16" t="str">
        <f>IFERROR(__xludf.DUMMYFUNCTION("""COMPUTED_VALUE"""),"")</f>
        <v/>
      </c>
      <c r="M6713" s="16" t="str">
        <f>IFERROR(__xludf.DUMMYFUNCTION("""COMPUTED_VALUE"""),"")</f>
        <v/>
      </c>
      <c r="U6713" s="16" t="s">
        <v>87</v>
      </c>
      <c r="V6713" s="16" t="str">
        <f>IFERROR(__xludf.DUMMYFUNCTION("""COMPUTED_VALUE"""),"")</f>
        <v/>
      </c>
      <c r="W6713" s="16" t="str">
        <f>IFERROR(__xludf.DUMMYFUNCTION("""COMPUTED_VALUE"""),"")</f>
        <v/>
      </c>
      <c r="X6713" s="16" t="str">
        <f>IFERROR(__xludf.DUMMYFUNCTION("""COMPUTED_VALUE"""),"")</f>
        <v/>
      </c>
      <c r="AC6713" s="16" t="str">
        <f>IFERROR(__xludf.DUMMYFUNCTION("""COMPUTED_VALUE"""),"")</f>
        <v/>
      </c>
    </row>
    <row r="6714">
      <c r="A6714" s="16" t="s">
        <v>87</v>
      </c>
      <c r="E6714" s="16" t="str">
        <f>IFERROR(__xludf.DUMMYFUNCTION("""COMPUTED_VALUE"""),"")</f>
        <v/>
      </c>
      <c r="G6714" s="18"/>
      <c r="H6714" s="16" t="s">
        <v>87</v>
      </c>
      <c r="I6714" s="16" t="s">
        <v>87</v>
      </c>
      <c r="J6714" s="19"/>
      <c r="L6714" s="16" t="str">
        <f>IFERROR(__xludf.DUMMYFUNCTION("""COMPUTED_VALUE"""),"")</f>
        <v/>
      </c>
      <c r="M6714" s="16" t="str">
        <f>IFERROR(__xludf.DUMMYFUNCTION("""COMPUTED_VALUE"""),"")</f>
        <v/>
      </c>
      <c r="U6714" s="16" t="s">
        <v>87</v>
      </c>
      <c r="V6714" s="16" t="str">
        <f>IFERROR(__xludf.DUMMYFUNCTION("""COMPUTED_VALUE"""),"")</f>
        <v/>
      </c>
      <c r="W6714" s="16" t="str">
        <f>IFERROR(__xludf.DUMMYFUNCTION("""COMPUTED_VALUE"""),"")</f>
        <v/>
      </c>
      <c r="X6714" s="16" t="str">
        <f>IFERROR(__xludf.DUMMYFUNCTION("""COMPUTED_VALUE"""),"")</f>
        <v/>
      </c>
      <c r="AC6714" s="16" t="str">
        <f>IFERROR(__xludf.DUMMYFUNCTION("""COMPUTED_VALUE"""),"")</f>
        <v/>
      </c>
    </row>
    <row r="6715">
      <c r="A6715" s="16" t="s">
        <v>87</v>
      </c>
      <c r="E6715" s="16" t="str">
        <f>IFERROR(__xludf.DUMMYFUNCTION("""COMPUTED_VALUE"""),"")</f>
        <v/>
      </c>
      <c r="G6715" s="18"/>
      <c r="H6715" s="16" t="s">
        <v>87</v>
      </c>
      <c r="I6715" s="16" t="s">
        <v>87</v>
      </c>
      <c r="J6715" s="19"/>
      <c r="L6715" s="16" t="str">
        <f>IFERROR(__xludf.DUMMYFUNCTION("""COMPUTED_VALUE"""),"")</f>
        <v/>
      </c>
      <c r="M6715" s="16" t="str">
        <f>IFERROR(__xludf.DUMMYFUNCTION("""COMPUTED_VALUE"""),"")</f>
        <v/>
      </c>
      <c r="U6715" s="16" t="s">
        <v>87</v>
      </c>
      <c r="V6715" s="16" t="str">
        <f>IFERROR(__xludf.DUMMYFUNCTION("""COMPUTED_VALUE"""),"")</f>
        <v/>
      </c>
      <c r="W6715" s="16" t="str">
        <f>IFERROR(__xludf.DUMMYFUNCTION("""COMPUTED_VALUE"""),"")</f>
        <v/>
      </c>
      <c r="X6715" s="16" t="str">
        <f>IFERROR(__xludf.DUMMYFUNCTION("""COMPUTED_VALUE"""),"")</f>
        <v/>
      </c>
      <c r="AC6715" s="16" t="str">
        <f>IFERROR(__xludf.DUMMYFUNCTION("""COMPUTED_VALUE"""),"")</f>
        <v/>
      </c>
    </row>
    <row r="6716">
      <c r="A6716" s="16" t="s">
        <v>87</v>
      </c>
      <c r="E6716" s="16" t="str">
        <f>IFERROR(__xludf.DUMMYFUNCTION("""COMPUTED_VALUE"""),"")</f>
        <v/>
      </c>
      <c r="G6716" s="18"/>
      <c r="H6716" s="16" t="s">
        <v>87</v>
      </c>
      <c r="I6716" s="16" t="s">
        <v>87</v>
      </c>
      <c r="J6716" s="19"/>
      <c r="L6716" s="16" t="str">
        <f>IFERROR(__xludf.DUMMYFUNCTION("""COMPUTED_VALUE"""),"")</f>
        <v/>
      </c>
      <c r="M6716" s="16" t="str">
        <f>IFERROR(__xludf.DUMMYFUNCTION("""COMPUTED_VALUE"""),"")</f>
        <v/>
      </c>
      <c r="U6716" s="16" t="s">
        <v>87</v>
      </c>
      <c r="V6716" s="16" t="str">
        <f>IFERROR(__xludf.DUMMYFUNCTION("""COMPUTED_VALUE"""),"")</f>
        <v/>
      </c>
      <c r="W6716" s="16" t="str">
        <f>IFERROR(__xludf.DUMMYFUNCTION("""COMPUTED_VALUE"""),"")</f>
        <v/>
      </c>
      <c r="X6716" s="16" t="str">
        <f>IFERROR(__xludf.DUMMYFUNCTION("""COMPUTED_VALUE"""),"")</f>
        <v/>
      </c>
      <c r="AC6716" s="16" t="str">
        <f>IFERROR(__xludf.DUMMYFUNCTION("""COMPUTED_VALUE"""),"")</f>
        <v/>
      </c>
    </row>
    <row r="6717">
      <c r="A6717" s="16" t="s">
        <v>87</v>
      </c>
      <c r="E6717" s="16" t="str">
        <f>IFERROR(__xludf.DUMMYFUNCTION("""COMPUTED_VALUE"""),"")</f>
        <v/>
      </c>
      <c r="G6717" s="18"/>
      <c r="H6717" s="16" t="s">
        <v>87</v>
      </c>
      <c r="I6717" s="16" t="s">
        <v>87</v>
      </c>
      <c r="J6717" s="19"/>
      <c r="L6717" s="16" t="str">
        <f>IFERROR(__xludf.DUMMYFUNCTION("""COMPUTED_VALUE"""),"")</f>
        <v/>
      </c>
      <c r="M6717" s="16" t="str">
        <f>IFERROR(__xludf.DUMMYFUNCTION("""COMPUTED_VALUE"""),"")</f>
        <v/>
      </c>
      <c r="U6717" s="16" t="s">
        <v>87</v>
      </c>
      <c r="V6717" s="16" t="str">
        <f>IFERROR(__xludf.DUMMYFUNCTION("""COMPUTED_VALUE"""),"")</f>
        <v/>
      </c>
      <c r="W6717" s="16" t="str">
        <f>IFERROR(__xludf.DUMMYFUNCTION("""COMPUTED_VALUE"""),"")</f>
        <v/>
      </c>
      <c r="X6717" s="16" t="str">
        <f>IFERROR(__xludf.DUMMYFUNCTION("""COMPUTED_VALUE"""),"")</f>
        <v/>
      </c>
      <c r="AC6717" s="16" t="str">
        <f>IFERROR(__xludf.DUMMYFUNCTION("""COMPUTED_VALUE"""),"")</f>
        <v/>
      </c>
    </row>
    <row r="6718">
      <c r="A6718" s="16" t="s">
        <v>87</v>
      </c>
      <c r="E6718" s="16" t="str">
        <f>IFERROR(__xludf.DUMMYFUNCTION("""COMPUTED_VALUE"""),"")</f>
        <v/>
      </c>
      <c r="G6718" s="18"/>
      <c r="H6718" s="16" t="s">
        <v>87</v>
      </c>
      <c r="I6718" s="16" t="s">
        <v>87</v>
      </c>
      <c r="J6718" s="19"/>
      <c r="L6718" s="16" t="str">
        <f>IFERROR(__xludf.DUMMYFUNCTION("""COMPUTED_VALUE"""),"")</f>
        <v/>
      </c>
      <c r="M6718" s="16" t="str">
        <f>IFERROR(__xludf.DUMMYFUNCTION("""COMPUTED_VALUE"""),"")</f>
        <v/>
      </c>
      <c r="U6718" s="16" t="s">
        <v>87</v>
      </c>
      <c r="V6718" s="16" t="str">
        <f>IFERROR(__xludf.DUMMYFUNCTION("""COMPUTED_VALUE"""),"")</f>
        <v/>
      </c>
      <c r="W6718" s="16" t="str">
        <f>IFERROR(__xludf.DUMMYFUNCTION("""COMPUTED_VALUE"""),"")</f>
        <v/>
      </c>
      <c r="X6718" s="16" t="str">
        <f>IFERROR(__xludf.DUMMYFUNCTION("""COMPUTED_VALUE"""),"")</f>
        <v/>
      </c>
      <c r="AC6718" s="16" t="str">
        <f>IFERROR(__xludf.DUMMYFUNCTION("""COMPUTED_VALUE"""),"")</f>
        <v/>
      </c>
    </row>
    <row r="6719">
      <c r="A6719" s="16" t="s">
        <v>87</v>
      </c>
      <c r="E6719" s="16" t="str">
        <f>IFERROR(__xludf.DUMMYFUNCTION("""COMPUTED_VALUE"""),"")</f>
        <v/>
      </c>
      <c r="G6719" s="18"/>
      <c r="H6719" s="16" t="s">
        <v>87</v>
      </c>
      <c r="I6719" s="16" t="s">
        <v>87</v>
      </c>
      <c r="J6719" s="19"/>
      <c r="L6719" s="16" t="str">
        <f>IFERROR(__xludf.DUMMYFUNCTION("""COMPUTED_VALUE"""),"")</f>
        <v/>
      </c>
      <c r="M6719" s="16" t="str">
        <f>IFERROR(__xludf.DUMMYFUNCTION("""COMPUTED_VALUE"""),"")</f>
        <v/>
      </c>
      <c r="U6719" s="16" t="s">
        <v>87</v>
      </c>
      <c r="V6719" s="16" t="str">
        <f>IFERROR(__xludf.DUMMYFUNCTION("""COMPUTED_VALUE"""),"")</f>
        <v/>
      </c>
      <c r="W6719" s="16" t="str">
        <f>IFERROR(__xludf.DUMMYFUNCTION("""COMPUTED_VALUE"""),"")</f>
        <v/>
      </c>
      <c r="X6719" s="16" t="str">
        <f>IFERROR(__xludf.DUMMYFUNCTION("""COMPUTED_VALUE"""),"")</f>
        <v/>
      </c>
      <c r="AC6719" s="16" t="str">
        <f>IFERROR(__xludf.DUMMYFUNCTION("""COMPUTED_VALUE"""),"")</f>
        <v/>
      </c>
    </row>
    <row r="6720">
      <c r="A6720" s="16" t="s">
        <v>87</v>
      </c>
      <c r="E6720" s="16" t="str">
        <f>IFERROR(__xludf.DUMMYFUNCTION("""COMPUTED_VALUE"""),"")</f>
        <v/>
      </c>
      <c r="G6720" s="18"/>
      <c r="H6720" s="16" t="s">
        <v>87</v>
      </c>
      <c r="I6720" s="16" t="s">
        <v>87</v>
      </c>
      <c r="J6720" s="19"/>
      <c r="L6720" s="16" t="str">
        <f>IFERROR(__xludf.DUMMYFUNCTION("""COMPUTED_VALUE"""),"")</f>
        <v/>
      </c>
      <c r="M6720" s="16" t="str">
        <f>IFERROR(__xludf.DUMMYFUNCTION("""COMPUTED_VALUE"""),"")</f>
        <v/>
      </c>
      <c r="U6720" s="16" t="s">
        <v>87</v>
      </c>
      <c r="V6720" s="16" t="str">
        <f>IFERROR(__xludf.DUMMYFUNCTION("""COMPUTED_VALUE"""),"")</f>
        <v/>
      </c>
      <c r="W6720" s="16" t="str">
        <f>IFERROR(__xludf.DUMMYFUNCTION("""COMPUTED_VALUE"""),"")</f>
        <v/>
      </c>
      <c r="X6720" s="16" t="str">
        <f>IFERROR(__xludf.DUMMYFUNCTION("""COMPUTED_VALUE"""),"")</f>
        <v/>
      </c>
      <c r="AC6720" s="16" t="str">
        <f>IFERROR(__xludf.DUMMYFUNCTION("""COMPUTED_VALUE"""),"")</f>
        <v/>
      </c>
    </row>
    <row r="6721">
      <c r="A6721" s="16" t="s">
        <v>87</v>
      </c>
      <c r="E6721" s="16" t="str">
        <f>IFERROR(__xludf.DUMMYFUNCTION("""COMPUTED_VALUE"""),"")</f>
        <v/>
      </c>
      <c r="G6721" s="18"/>
      <c r="H6721" s="16" t="s">
        <v>87</v>
      </c>
      <c r="I6721" s="16" t="s">
        <v>87</v>
      </c>
      <c r="J6721" s="19"/>
      <c r="L6721" s="16" t="str">
        <f>IFERROR(__xludf.DUMMYFUNCTION("""COMPUTED_VALUE"""),"")</f>
        <v/>
      </c>
      <c r="M6721" s="16" t="str">
        <f>IFERROR(__xludf.DUMMYFUNCTION("""COMPUTED_VALUE"""),"")</f>
        <v/>
      </c>
      <c r="U6721" s="16" t="s">
        <v>87</v>
      </c>
      <c r="V6721" s="16" t="str">
        <f>IFERROR(__xludf.DUMMYFUNCTION("""COMPUTED_VALUE"""),"")</f>
        <v/>
      </c>
      <c r="W6721" s="16" t="str">
        <f>IFERROR(__xludf.DUMMYFUNCTION("""COMPUTED_VALUE"""),"")</f>
        <v/>
      </c>
      <c r="X6721" s="16" t="str">
        <f>IFERROR(__xludf.DUMMYFUNCTION("""COMPUTED_VALUE"""),"")</f>
        <v/>
      </c>
      <c r="AC6721" s="16" t="str">
        <f>IFERROR(__xludf.DUMMYFUNCTION("""COMPUTED_VALUE"""),"")</f>
        <v/>
      </c>
    </row>
    <row r="6722">
      <c r="A6722" s="16" t="s">
        <v>87</v>
      </c>
      <c r="E6722" s="16" t="str">
        <f>IFERROR(__xludf.DUMMYFUNCTION("""COMPUTED_VALUE"""),"")</f>
        <v/>
      </c>
      <c r="G6722" s="18"/>
      <c r="H6722" s="16" t="s">
        <v>87</v>
      </c>
      <c r="I6722" s="16" t="s">
        <v>87</v>
      </c>
      <c r="J6722" s="19"/>
      <c r="L6722" s="16" t="str">
        <f>IFERROR(__xludf.DUMMYFUNCTION("""COMPUTED_VALUE"""),"")</f>
        <v/>
      </c>
      <c r="M6722" s="16" t="str">
        <f>IFERROR(__xludf.DUMMYFUNCTION("""COMPUTED_VALUE"""),"")</f>
        <v/>
      </c>
      <c r="U6722" s="16" t="s">
        <v>87</v>
      </c>
      <c r="V6722" s="16" t="str">
        <f>IFERROR(__xludf.DUMMYFUNCTION("""COMPUTED_VALUE"""),"")</f>
        <v/>
      </c>
      <c r="W6722" s="16" t="str">
        <f>IFERROR(__xludf.DUMMYFUNCTION("""COMPUTED_VALUE"""),"")</f>
        <v/>
      </c>
      <c r="X6722" s="16" t="str">
        <f>IFERROR(__xludf.DUMMYFUNCTION("""COMPUTED_VALUE"""),"")</f>
        <v/>
      </c>
      <c r="AC6722" s="16" t="str">
        <f>IFERROR(__xludf.DUMMYFUNCTION("""COMPUTED_VALUE"""),"")</f>
        <v/>
      </c>
    </row>
    <row r="6723">
      <c r="A6723" s="16" t="s">
        <v>87</v>
      </c>
      <c r="E6723" s="16" t="str">
        <f>IFERROR(__xludf.DUMMYFUNCTION("""COMPUTED_VALUE"""),"")</f>
        <v/>
      </c>
      <c r="G6723" s="18"/>
      <c r="H6723" s="16" t="s">
        <v>87</v>
      </c>
      <c r="I6723" s="16" t="s">
        <v>87</v>
      </c>
      <c r="J6723" s="19"/>
      <c r="L6723" s="16" t="str">
        <f>IFERROR(__xludf.DUMMYFUNCTION("""COMPUTED_VALUE"""),"")</f>
        <v/>
      </c>
      <c r="M6723" s="16" t="str">
        <f>IFERROR(__xludf.DUMMYFUNCTION("""COMPUTED_VALUE"""),"")</f>
        <v/>
      </c>
      <c r="U6723" s="16" t="s">
        <v>87</v>
      </c>
      <c r="V6723" s="16" t="str">
        <f>IFERROR(__xludf.DUMMYFUNCTION("""COMPUTED_VALUE"""),"")</f>
        <v/>
      </c>
      <c r="W6723" s="16" t="str">
        <f>IFERROR(__xludf.DUMMYFUNCTION("""COMPUTED_VALUE"""),"")</f>
        <v/>
      </c>
      <c r="X6723" s="16" t="str">
        <f>IFERROR(__xludf.DUMMYFUNCTION("""COMPUTED_VALUE"""),"")</f>
        <v/>
      </c>
      <c r="AC6723" s="16" t="str">
        <f>IFERROR(__xludf.DUMMYFUNCTION("""COMPUTED_VALUE"""),"")</f>
        <v/>
      </c>
    </row>
    <row r="6724">
      <c r="A6724" s="16" t="s">
        <v>87</v>
      </c>
      <c r="E6724" s="16" t="str">
        <f>IFERROR(__xludf.DUMMYFUNCTION("""COMPUTED_VALUE"""),"")</f>
        <v/>
      </c>
      <c r="G6724" s="18"/>
      <c r="H6724" s="16" t="s">
        <v>87</v>
      </c>
      <c r="I6724" s="16" t="s">
        <v>87</v>
      </c>
      <c r="J6724" s="19"/>
      <c r="L6724" s="16" t="str">
        <f>IFERROR(__xludf.DUMMYFUNCTION("""COMPUTED_VALUE"""),"")</f>
        <v/>
      </c>
      <c r="M6724" s="16" t="str">
        <f>IFERROR(__xludf.DUMMYFUNCTION("""COMPUTED_VALUE"""),"")</f>
        <v/>
      </c>
      <c r="U6724" s="16" t="s">
        <v>87</v>
      </c>
      <c r="V6724" s="16" t="str">
        <f>IFERROR(__xludf.DUMMYFUNCTION("""COMPUTED_VALUE"""),"")</f>
        <v/>
      </c>
      <c r="W6724" s="16" t="str">
        <f>IFERROR(__xludf.DUMMYFUNCTION("""COMPUTED_VALUE"""),"")</f>
        <v/>
      </c>
      <c r="X6724" s="16" t="str">
        <f>IFERROR(__xludf.DUMMYFUNCTION("""COMPUTED_VALUE"""),"")</f>
        <v/>
      </c>
      <c r="AC6724" s="16" t="str">
        <f>IFERROR(__xludf.DUMMYFUNCTION("""COMPUTED_VALUE"""),"")</f>
        <v/>
      </c>
    </row>
    <row r="6725">
      <c r="A6725" s="16" t="s">
        <v>87</v>
      </c>
      <c r="E6725" s="16" t="str">
        <f>IFERROR(__xludf.DUMMYFUNCTION("""COMPUTED_VALUE"""),"")</f>
        <v/>
      </c>
      <c r="G6725" s="18"/>
      <c r="H6725" s="16" t="s">
        <v>87</v>
      </c>
      <c r="I6725" s="16" t="s">
        <v>87</v>
      </c>
      <c r="J6725" s="19"/>
      <c r="L6725" s="16" t="str">
        <f>IFERROR(__xludf.DUMMYFUNCTION("""COMPUTED_VALUE"""),"")</f>
        <v/>
      </c>
      <c r="M6725" s="16" t="str">
        <f>IFERROR(__xludf.DUMMYFUNCTION("""COMPUTED_VALUE"""),"")</f>
        <v/>
      </c>
      <c r="U6725" s="16" t="s">
        <v>87</v>
      </c>
      <c r="V6725" s="16" t="str">
        <f>IFERROR(__xludf.DUMMYFUNCTION("""COMPUTED_VALUE"""),"")</f>
        <v/>
      </c>
      <c r="W6725" s="16" t="str">
        <f>IFERROR(__xludf.DUMMYFUNCTION("""COMPUTED_VALUE"""),"")</f>
        <v/>
      </c>
      <c r="X6725" s="16" t="str">
        <f>IFERROR(__xludf.DUMMYFUNCTION("""COMPUTED_VALUE"""),"")</f>
        <v/>
      </c>
      <c r="AC6725" s="16" t="str">
        <f>IFERROR(__xludf.DUMMYFUNCTION("""COMPUTED_VALUE"""),"")</f>
        <v/>
      </c>
    </row>
    <row r="6726">
      <c r="A6726" s="16" t="s">
        <v>87</v>
      </c>
      <c r="E6726" s="16" t="str">
        <f>IFERROR(__xludf.DUMMYFUNCTION("""COMPUTED_VALUE"""),"")</f>
        <v/>
      </c>
      <c r="G6726" s="18"/>
      <c r="H6726" s="16" t="s">
        <v>87</v>
      </c>
      <c r="I6726" s="16" t="s">
        <v>87</v>
      </c>
      <c r="J6726" s="19"/>
      <c r="L6726" s="16" t="str">
        <f>IFERROR(__xludf.DUMMYFUNCTION("""COMPUTED_VALUE"""),"")</f>
        <v/>
      </c>
      <c r="M6726" s="16" t="str">
        <f>IFERROR(__xludf.DUMMYFUNCTION("""COMPUTED_VALUE"""),"")</f>
        <v/>
      </c>
      <c r="U6726" s="16" t="s">
        <v>87</v>
      </c>
      <c r="V6726" s="16" t="str">
        <f>IFERROR(__xludf.DUMMYFUNCTION("""COMPUTED_VALUE"""),"")</f>
        <v/>
      </c>
      <c r="W6726" s="16" t="str">
        <f>IFERROR(__xludf.DUMMYFUNCTION("""COMPUTED_VALUE"""),"")</f>
        <v/>
      </c>
      <c r="X6726" s="16" t="str">
        <f>IFERROR(__xludf.DUMMYFUNCTION("""COMPUTED_VALUE"""),"")</f>
        <v/>
      </c>
      <c r="AC6726" s="16" t="str">
        <f>IFERROR(__xludf.DUMMYFUNCTION("""COMPUTED_VALUE"""),"")</f>
        <v/>
      </c>
    </row>
    <row r="6727">
      <c r="A6727" s="16" t="s">
        <v>87</v>
      </c>
      <c r="E6727" s="16" t="str">
        <f>IFERROR(__xludf.DUMMYFUNCTION("""COMPUTED_VALUE"""),"")</f>
        <v/>
      </c>
      <c r="G6727" s="18"/>
      <c r="H6727" s="16" t="s">
        <v>87</v>
      </c>
      <c r="I6727" s="16" t="s">
        <v>87</v>
      </c>
      <c r="J6727" s="19"/>
      <c r="L6727" s="16" t="str">
        <f>IFERROR(__xludf.DUMMYFUNCTION("""COMPUTED_VALUE"""),"")</f>
        <v/>
      </c>
      <c r="M6727" s="16" t="str">
        <f>IFERROR(__xludf.DUMMYFUNCTION("""COMPUTED_VALUE"""),"")</f>
        <v/>
      </c>
      <c r="U6727" s="16" t="s">
        <v>87</v>
      </c>
      <c r="V6727" s="16" t="str">
        <f>IFERROR(__xludf.DUMMYFUNCTION("""COMPUTED_VALUE"""),"")</f>
        <v/>
      </c>
      <c r="W6727" s="16" t="str">
        <f>IFERROR(__xludf.DUMMYFUNCTION("""COMPUTED_VALUE"""),"")</f>
        <v/>
      </c>
      <c r="X6727" s="16" t="str">
        <f>IFERROR(__xludf.DUMMYFUNCTION("""COMPUTED_VALUE"""),"")</f>
        <v/>
      </c>
      <c r="AC6727" s="16" t="str">
        <f>IFERROR(__xludf.DUMMYFUNCTION("""COMPUTED_VALUE"""),"")</f>
        <v/>
      </c>
    </row>
    <row r="6728">
      <c r="A6728" s="16" t="s">
        <v>87</v>
      </c>
      <c r="E6728" s="16" t="str">
        <f>IFERROR(__xludf.DUMMYFUNCTION("""COMPUTED_VALUE"""),"")</f>
        <v/>
      </c>
      <c r="G6728" s="18"/>
      <c r="H6728" s="16" t="s">
        <v>87</v>
      </c>
      <c r="I6728" s="16" t="s">
        <v>87</v>
      </c>
      <c r="J6728" s="19"/>
      <c r="L6728" s="16" t="str">
        <f>IFERROR(__xludf.DUMMYFUNCTION("""COMPUTED_VALUE"""),"")</f>
        <v/>
      </c>
      <c r="M6728" s="16" t="str">
        <f>IFERROR(__xludf.DUMMYFUNCTION("""COMPUTED_VALUE"""),"")</f>
        <v/>
      </c>
      <c r="U6728" s="16" t="s">
        <v>87</v>
      </c>
      <c r="V6728" s="16" t="str">
        <f>IFERROR(__xludf.DUMMYFUNCTION("""COMPUTED_VALUE"""),"")</f>
        <v/>
      </c>
      <c r="W6728" s="16" t="str">
        <f>IFERROR(__xludf.DUMMYFUNCTION("""COMPUTED_VALUE"""),"")</f>
        <v/>
      </c>
      <c r="X6728" s="16" t="str">
        <f>IFERROR(__xludf.DUMMYFUNCTION("""COMPUTED_VALUE"""),"")</f>
        <v/>
      </c>
      <c r="AC6728" s="16" t="str">
        <f>IFERROR(__xludf.DUMMYFUNCTION("""COMPUTED_VALUE"""),"")</f>
        <v/>
      </c>
    </row>
    <row r="6729">
      <c r="A6729" s="16" t="s">
        <v>87</v>
      </c>
      <c r="E6729" s="16" t="str">
        <f>IFERROR(__xludf.DUMMYFUNCTION("""COMPUTED_VALUE"""),"")</f>
        <v/>
      </c>
      <c r="G6729" s="18"/>
      <c r="H6729" s="16" t="s">
        <v>87</v>
      </c>
      <c r="I6729" s="16" t="s">
        <v>87</v>
      </c>
      <c r="J6729" s="19"/>
      <c r="L6729" s="16" t="str">
        <f>IFERROR(__xludf.DUMMYFUNCTION("""COMPUTED_VALUE"""),"")</f>
        <v/>
      </c>
      <c r="M6729" s="16" t="str">
        <f>IFERROR(__xludf.DUMMYFUNCTION("""COMPUTED_VALUE"""),"")</f>
        <v/>
      </c>
      <c r="U6729" s="16" t="s">
        <v>87</v>
      </c>
      <c r="V6729" s="16" t="str">
        <f>IFERROR(__xludf.DUMMYFUNCTION("""COMPUTED_VALUE"""),"")</f>
        <v/>
      </c>
      <c r="W6729" s="16" t="str">
        <f>IFERROR(__xludf.DUMMYFUNCTION("""COMPUTED_VALUE"""),"")</f>
        <v/>
      </c>
      <c r="X6729" s="16" t="str">
        <f>IFERROR(__xludf.DUMMYFUNCTION("""COMPUTED_VALUE"""),"")</f>
        <v/>
      </c>
      <c r="AC6729" s="16" t="str">
        <f>IFERROR(__xludf.DUMMYFUNCTION("""COMPUTED_VALUE"""),"")</f>
        <v/>
      </c>
    </row>
    <row r="6730">
      <c r="A6730" s="16" t="s">
        <v>87</v>
      </c>
      <c r="E6730" s="16" t="str">
        <f>IFERROR(__xludf.DUMMYFUNCTION("""COMPUTED_VALUE"""),"")</f>
        <v/>
      </c>
      <c r="G6730" s="18"/>
      <c r="H6730" s="16" t="s">
        <v>87</v>
      </c>
      <c r="I6730" s="16" t="s">
        <v>87</v>
      </c>
      <c r="J6730" s="19"/>
      <c r="L6730" s="16" t="str">
        <f>IFERROR(__xludf.DUMMYFUNCTION("""COMPUTED_VALUE"""),"")</f>
        <v/>
      </c>
      <c r="M6730" s="16" t="str">
        <f>IFERROR(__xludf.DUMMYFUNCTION("""COMPUTED_VALUE"""),"")</f>
        <v/>
      </c>
      <c r="U6730" s="16" t="s">
        <v>87</v>
      </c>
      <c r="V6730" s="16" t="str">
        <f>IFERROR(__xludf.DUMMYFUNCTION("""COMPUTED_VALUE"""),"")</f>
        <v/>
      </c>
      <c r="W6730" s="16" t="str">
        <f>IFERROR(__xludf.DUMMYFUNCTION("""COMPUTED_VALUE"""),"")</f>
        <v/>
      </c>
      <c r="X6730" s="16" t="str">
        <f>IFERROR(__xludf.DUMMYFUNCTION("""COMPUTED_VALUE"""),"")</f>
        <v/>
      </c>
      <c r="AC6730" s="16" t="str">
        <f>IFERROR(__xludf.DUMMYFUNCTION("""COMPUTED_VALUE"""),"")</f>
        <v/>
      </c>
    </row>
    <row r="6731">
      <c r="A6731" s="16" t="s">
        <v>87</v>
      </c>
      <c r="E6731" s="16" t="str">
        <f>IFERROR(__xludf.DUMMYFUNCTION("""COMPUTED_VALUE"""),"")</f>
        <v/>
      </c>
      <c r="G6731" s="18"/>
      <c r="H6731" s="16" t="s">
        <v>87</v>
      </c>
      <c r="I6731" s="16" t="s">
        <v>87</v>
      </c>
      <c r="J6731" s="19"/>
      <c r="L6731" s="16" t="str">
        <f>IFERROR(__xludf.DUMMYFUNCTION("""COMPUTED_VALUE"""),"")</f>
        <v/>
      </c>
      <c r="M6731" s="16" t="str">
        <f>IFERROR(__xludf.DUMMYFUNCTION("""COMPUTED_VALUE"""),"")</f>
        <v/>
      </c>
      <c r="U6731" s="16" t="s">
        <v>87</v>
      </c>
      <c r="V6731" s="16" t="str">
        <f>IFERROR(__xludf.DUMMYFUNCTION("""COMPUTED_VALUE"""),"")</f>
        <v/>
      </c>
      <c r="W6731" s="16" t="str">
        <f>IFERROR(__xludf.DUMMYFUNCTION("""COMPUTED_VALUE"""),"")</f>
        <v/>
      </c>
      <c r="X6731" s="16" t="str">
        <f>IFERROR(__xludf.DUMMYFUNCTION("""COMPUTED_VALUE"""),"")</f>
        <v/>
      </c>
      <c r="AC6731" s="16" t="str">
        <f>IFERROR(__xludf.DUMMYFUNCTION("""COMPUTED_VALUE"""),"")</f>
        <v/>
      </c>
    </row>
    <row r="6732">
      <c r="A6732" s="16" t="s">
        <v>87</v>
      </c>
      <c r="E6732" s="16" t="str">
        <f>IFERROR(__xludf.DUMMYFUNCTION("""COMPUTED_VALUE"""),"")</f>
        <v/>
      </c>
      <c r="G6732" s="18"/>
      <c r="H6732" s="16" t="s">
        <v>87</v>
      </c>
      <c r="I6732" s="16" t="s">
        <v>87</v>
      </c>
      <c r="J6732" s="19"/>
      <c r="L6732" s="16" t="str">
        <f>IFERROR(__xludf.DUMMYFUNCTION("""COMPUTED_VALUE"""),"")</f>
        <v/>
      </c>
      <c r="M6732" s="16" t="str">
        <f>IFERROR(__xludf.DUMMYFUNCTION("""COMPUTED_VALUE"""),"")</f>
        <v/>
      </c>
      <c r="U6732" s="16" t="s">
        <v>87</v>
      </c>
      <c r="V6732" s="16" t="str">
        <f>IFERROR(__xludf.DUMMYFUNCTION("""COMPUTED_VALUE"""),"")</f>
        <v/>
      </c>
      <c r="W6732" s="16" t="str">
        <f>IFERROR(__xludf.DUMMYFUNCTION("""COMPUTED_VALUE"""),"")</f>
        <v/>
      </c>
      <c r="X6732" s="16" t="str">
        <f>IFERROR(__xludf.DUMMYFUNCTION("""COMPUTED_VALUE"""),"")</f>
        <v/>
      </c>
      <c r="AC6732" s="16" t="str">
        <f>IFERROR(__xludf.DUMMYFUNCTION("""COMPUTED_VALUE"""),"")</f>
        <v/>
      </c>
    </row>
    <row r="6733">
      <c r="A6733" s="16" t="s">
        <v>87</v>
      </c>
      <c r="E6733" s="16" t="str">
        <f>IFERROR(__xludf.DUMMYFUNCTION("""COMPUTED_VALUE"""),"")</f>
        <v/>
      </c>
      <c r="G6733" s="18"/>
      <c r="H6733" s="16" t="s">
        <v>87</v>
      </c>
      <c r="I6733" s="16" t="s">
        <v>87</v>
      </c>
      <c r="J6733" s="19"/>
      <c r="L6733" s="16" t="str">
        <f>IFERROR(__xludf.DUMMYFUNCTION("""COMPUTED_VALUE"""),"")</f>
        <v/>
      </c>
      <c r="M6733" s="16" t="str">
        <f>IFERROR(__xludf.DUMMYFUNCTION("""COMPUTED_VALUE"""),"")</f>
        <v/>
      </c>
      <c r="U6733" s="16" t="s">
        <v>87</v>
      </c>
      <c r="V6733" s="16" t="str">
        <f>IFERROR(__xludf.DUMMYFUNCTION("""COMPUTED_VALUE"""),"")</f>
        <v/>
      </c>
      <c r="W6733" s="16" t="str">
        <f>IFERROR(__xludf.DUMMYFUNCTION("""COMPUTED_VALUE"""),"")</f>
        <v/>
      </c>
      <c r="X6733" s="16" t="str">
        <f>IFERROR(__xludf.DUMMYFUNCTION("""COMPUTED_VALUE"""),"")</f>
        <v/>
      </c>
      <c r="AC6733" s="16" t="str">
        <f>IFERROR(__xludf.DUMMYFUNCTION("""COMPUTED_VALUE"""),"")</f>
        <v/>
      </c>
    </row>
    <row r="6734">
      <c r="A6734" s="16" t="s">
        <v>87</v>
      </c>
      <c r="E6734" s="16" t="str">
        <f>IFERROR(__xludf.DUMMYFUNCTION("""COMPUTED_VALUE"""),"")</f>
        <v/>
      </c>
      <c r="G6734" s="18"/>
      <c r="H6734" s="16" t="s">
        <v>87</v>
      </c>
      <c r="I6734" s="16" t="s">
        <v>87</v>
      </c>
      <c r="J6734" s="19"/>
      <c r="L6734" s="16" t="str">
        <f>IFERROR(__xludf.DUMMYFUNCTION("""COMPUTED_VALUE"""),"")</f>
        <v/>
      </c>
      <c r="M6734" s="16" t="str">
        <f>IFERROR(__xludf.DUMMYFUNCTION("""COMPUTED_VALUE"""),"")</f>
        <v/>
      </c>
      <c r="U6734" s="16" t="s">
        <v>87</v>
      </c>
      <c r="V6734" s="16" t="str">
        <f>IFERROR(__xludf.DUMMYFUNCTION("""COMPUTED_VALUE"""),"")</f>
        <v/>
      </c>
      <c r="W6734" s="16" t="str">
        <f>IFERROR(__xludf.DUMMYFUNCTION("""COMPUTED_VALUE"""),"")</f>
        <v/>
      </c>
      <c r="X6734" s="16" t="str">
        <f>IFERROR(__xludf.DUMMYFUNCTION("""COMPUTED_VALUE"""),"")</f>
        <v/>
      </c>
      <c r="AC6734" s="16" t="str">
        <f>IFERROR(__xludf.DUMMYFUNCTION("""COMPUTED_VALUE"""),"")</f>
        <v/>
      </c>
    </row>
    <row r="6735">
      <c r="A6735" s="16" t="s">
        <v>87</v>
      </c>
      <c r="E6735" s="16" t="str">
        <f>IFERROR(__xludf.DUMMYFUNCTION("""COMPUTED_VALUE"""),"")</f>
        <v/>
      </c>
      <c r="G6735" s="18"/>
      <c r="H6735" s="16" t="s">
        <v>87</v>
      </c>
      <c r="I6735" s="16" t="s">
        <v>87</v>
      </c>
      <c r="J6735" s="19"/>
      <c r="L6735" s="16" t="str">
        <f>IFERROR(__xludf.DUMMYFUNCTION("""COMPUTED_VALUE"""),"")</f>
        <v/>
      </c>
      <c r="M6735" s="16" t="str">
        <f>IFERROR(__xludf.DUMMYFUNCTION("""COMPUTED_VALUE"""),"")</f>
        <v/>
      </c>
      <c r="U6735" s="16" t="s">
        <v>87</v>
      </c>
      <c r="V6735" s="16" t="str">
        <f>IFERROR(__xludf.DUMMYFUNCTION("""COMPUTED_VALUE"""),"")</f>
        <v/>
      </c>
      <c r="W6735" s="16" t="str">
        <f>IFERROR(__xludf.DUMMYFUNCTION("""COMPUTED_VALUE"""),"")</f>
        <v/>
      </c>
      <c r="X6735" s="16" t="str">
        <f>IFERROR(__xludf.DUMMYFUNCTION("""COMPUTED_VALUE"""),"")</f>
        <v/>
      </c>
      <c r="AC6735" s="16" t="str">
        <f>IFERROR(__xludf.DUMMYFUNCTION("""COMPUTED_VALUE"""),"")</f>
        <v/>
      </c>
    </row>
    <row r="6736">
      <c r="A6736" s="16" t="s">
        <v>87</v>
      </c>
      <c r="E6736" s="16" t="str">
        <f>IFERROR(__xludf.DUMMYFUNCTION("""COMPUTED_VALUE"""),"")</f>
        <v/>
      </c>
      <c r="G6736" s="18"/>
      <c r="H6736" s="16" t="s">
        <v>87</v>
      </c>
      <c r="I6736" s="16" t="s">
        <v>87</v>
      </c>
      <c r="J6736" s="19"/>
      <c r="L6736" s="16" t="str">
        <f>IFERROR(__xludf.DUMMYFUNCTION("""COMPUTED_VALUE"""),"")</f>
        <v/>
      </c>
      <c r="M6736" s="16" t="str">
        <f>IFERROR(__xludf.DUMMYFUNCTION("""COMPUTED_VALUE"""),"")</f>
        <v/>
      </c>
      <c r="U6736" s="16" t="s">
        <v>87</v>
      </c>
      <c r="V6736" s="16" t="str">
        <f>IFERROR(__xludf.DUMMYFUNCTION("""COMPUTED_VALUE"""),"")</f>
        <v/>
      </c>
      <c r="W6736" s="16" t="str">
        <f>IFERROR(__xludf.DUMMYFUNCTION("""COMPUTED_VALUE"""),"")</f>
        <v/>
      </c>
      <c r="X6736" s="16" t="str">
        <f>IFERROR(__xludf.DUMMYFUNCTION("""COMPUTED_VALUE"""),"")</f>
        <v/>
      </c>
      <c r="AC6736" s="16" t="str">
        <f>IFERROR(__xludf.DUMMYFUNCTION("""COMPUTED_VALUE"""),"")</f>
        <v/>
      </c>
    </row>
    <row r="6737">
      <c r="A6737" s="16" t="s">
        <v>87</v>
      </c>
      <c r="E6737" s="16" t="str">
        <f>IFERROR(__xludf.DUMMYFUNCTION("""COMPUTED_VALUE"""),"")</f>
        <v/>
      </c>
      <c r="G6737" s="18"/>
      <c r="H6737" s="16" t="s">
        <v>87</v>
      </c>
      <c r="I6737" s="16" t="s">
        <v>87</v>
      </c>
      <c r="J6737" s="19"/>
      <c r="L6737" s="16" t="str">
        <f>IFERROR(__xludf.DUMMYFUNCTION("""COMPUTED_VALUE"""),"")</f>
        <v/>
      </c>
      <c r="M6737" s="16" t="str">
        <f>IFERROR(__xludf.DUMMYFUNCTION("""COMPUTED_VALUE"""),"")</f>
        <v/>
      </c>
      <c r="U6737" s="16" t="s">
        <v>87</v>
      </c>
      <c r="V6737" s="16" t="str">
        <f>IFERROR(__xludf.DUMMYFUNCTION("""COMPUTED_VALUE"""),"")</f>
        <v/>
      </c>
      <c r="W6737" s="16" t="str">
        <f>IFERROR(__xludf.DUMMYFUNCTION("""COMPUTED_VALUE"""),"")</f>
        <v/>
      </c>
      <c r="X6737" s="16" t="str">
        <f>IFERROR(__xludf.DUMMYFUNCTION("""COMPUTED_VALUE"""),"")</f>
        <v/>
      </c>
      <c r="AC6737" s="16" t="str">
        <f>IFERROR(__xludf.DUMMYFUNCTION("""COMPUTED_VALUE"""),"")</f>
        <v/>
      </c>
    </row>
    <row r="6738">
      <c r="A6738" s="16" t="s">
        <v>87</v>
      </c>
      <c r="E6738" s="16" t="str">
        <f>IFERROR(__xludf.DUMMYFUNCTION("""COMPUTED_VALUE"""),"")</f>
        <v/>
      </c>
      <c r="G6738" s="18"/>
      <c r="H6738" s="16" t="s">
        <v>87</v>
      </c>
      <c r="I6738" s="16" t="s">
        <v>87</v>
      </c>
      <c r="J6738" s="19"/>
      <c r="L6738" s="16" t="str">
        <f>IFERROR(__xludf.DUMMYFUNCTION("""COMPUTED_VALUE"""),"")</f>
        <v/>
      </c>
      <c r="M6738" s="16" t="str">
        <f>IFERROR(__xludf.DUMMYFUNCTION("""COMPUTED_VALUE"""),"")</f>
        <v/>
      </c>
      <c r="U6738" s="16" t="s">
        <v>87</v>
      </c>
      <c r="V6738" s="16" t="str">
        <f>IFERROR(__xludf.DUMMYFUNCTION("""COMPUTED_VALUE"""),"")</f>
        <v/>
      </c>
      <c r="W6738" s="16" t="str">
        <f>IFERROR(__xludf.DUMMYFUNCTION("""COMPUTED_VALUE"""),"")</f>
        <v/>
      </c>
      <c r="X6738" s="16" t="str">
        <f>IFERROR(__xludf.DUMMYFUNCTION("""COMPUTED_VALUE"""),"")</f>
        <v/>
      </c>
      <c r="AC6738" s="16" t="str">
        <f>IFERROR(__xludf.DUMMYFUNCTION("""COMPUTED_VALUE"""),"")</f>
        <v/>
      </c>
    </row>
    <row r="6739">
      <c r="A6739" s="16" t="s">
        <v>87</v>
      </c>
      <c r="E6739" s="16" t="str">
        <f>IFERROR(__xludf.DUMMYFUNCTION("""COMPUTED_VALUE"""),"")</f>
        <v/>
      </c>
      <c r="G6739" s="18"/>
      <c r="H6739" s="16" t="s">
        <v>87</v>
      </c>
      <c r="I6739" s="16" t="s">
        <v>87</v>
      </c>
      <c r="J6739" s="19"/>
      <c r="L6739" s="16" t="str">
        <f>IFERROR(__xludf.DUMMYFUNCTION("""COMPUTED_VALUE"""),"")</f>
        <v/>
      </c>
      <c r="M6739" s="16" t="str">
        <f>IFERROR(__xludf.DUMMYFUNCTION("""COMPUTED_VALUE"""),"")</f>
        <v/>
      </c>
      <c r="U6739" s="16" t="s">
        <v>87</v>
      </c>
      <c r="V6739" s="16" t="str">
        <f>IFERROR(__xludf.DUMMYFUNCTION("""COMPUTED_VALUE"""),"")</f>
        <v/>
      </c>
      <c r="W6739" s="16" t="str">
        <f>IFERROR(__xludf.DUMMYFUNCTION("""COMPUTED_VALUE"""),"")</f>
        <v/>
      </c>
      <c r="X6739" s="16" t="str">
        <f>IFERROR(__xludf.DUMMYFUNCTION("""COMPUTED_VALUE"""),"")</f>
        <v/>
      </c>
      <c r="AC6739" s="16" t="str">
        <f>IFERROR(__xludf.DUMMYFUNCTION("""COMPUTED_VALUE"""),"")</f>
        <v/>
      </c>
    </row>
    <row r="6740">
      <c r="A6740" s="16" t="s">
        <v>87</v>
      </c>
      <c r="E6740" s="16" t="str">
        <f>IFERROR(__xludf.DUMMYFUNCTION("""COMPUTED_VALUE"""),"")</f>
        <v/>
      </c>
      <c r="G6740" s="18"/>
      <c r="H6740" s="16" t="s">
        <v>87</v>
      </c>
      <c r="I6740" s="16" t="s">
        <v>87</v>
      </c>
      <c r="J6740" s="19"/>
      <c r="L6740" s="16" t="str">
        <f>IFERROR(__xludf.DUMMYFUNCTION("""COMPUTED_VALUE"""),"")</f>
        <v/>
      </c>
      <c r="M6740" s="16" t="str">
        <f>IFERROR(__xludf.DUMMYFUNCTION("""COMPUTED_VALUE"""),"")</f>
        <v/>
      </c>
      <c r="U6740" s="16" t="s">
        <v>87</v>
      </c>
      <c r="V6740" s="16" t="str">
        <f>IFERROR(__xludf.DUMMYFUNCTION("""COMPUTED_VALUE"""),"")</f>
        <v/>
      </c>
      <c r="W6740" s="16" t="str">
        <f>IFERROR(__xludf.DUMMYFUNCTION("""COMPUTED_VALUE"""),"")</f>
        <v/>
      </c>
      <c r="X6740" s="16" t="str">
        <f>IFERROR(__xludf.DUMMYFUNCTION("""COMPUTED_VALUE"""),"")</f>
        <v/>
      </c>
      <c r="AC6740" s="16" t="str">
        <f>IFERROR(__xludf.DUMMYFUNCTION("""COMPUTED_VALUE"""),"")</f>
        <v/>
      </c>
    </row>
    <row r="6741">
      <c r="A6741" s="16" t="s">
        <v>87</v>
      </c>
      <c r="E6741" s="16" t="str">
        <f>IFERROR(__xludf.DUMMYFUNCTION("""COMPUTED_VALUE"""),"")</f>
        <v/>
      </c>
      <c r="G6741" s="18"/>
      <c r="H6741" s="16" t="s">
        <v>87</v>
      </c>
      <c r="I6741" s="16" t="s">
        <v>87</v>
      </c>
      <c r="J6741" s="19"/>
      <c r="L6741" s="16" t="str">
        <f>IFERROR(__xludf.DUMMYFUNCTION("""COMPUTED_VALUE"""),"")</f>
        <v/>
      </c>
      <c r="M6741" s="16" t="str">
        <f>IFERROR(__xludf.DUMMYFUNCTION("""COMPUTED_VALUE"""),"")</f>
        <v/>
      </c>
      <c r="U6741" s="16" t="s">
        <v>87</v>
      </c>
      <c r="V6741" s="16" t="str">
        <f>IFERROR(__xludf.DUMMYFUNCTION("""COMPUTED_VALUE"""),"")</f>
        <v/>
      </c>
      <c r="W6741" s="16" t="str">
        <f>IFERROR(__xludf.DUMMYFUNCTION("""COMPUTED_VALUE"""),"")</f>
        <v/>
      </c>
      <c r="X6741" s="16" t="str">
        <f>IFERROR(__xludf.DUMMYFUNCTION("""COMPUTED_VALUE"""),"")</f>
        <v/>
      </c>
      <c r="AC6741" s="16" t="str">
        <f>IFERROR(__xludf.DUMMYFUNCTION("""COMPUTED_VALUE"""),"")</f>
        <v/>
      </c>
    </row>
    <row r="6742">
      <c r="A6742" s="16" t="s">
        <v>87</v>
      </c>
      <c r="E6742" s="16" t="str">
        <f>IFERROR(__xludf.DUMMYFUNCTION("""COMPUTED_VALUE"""),"")</f>
        <v/>
      </c>
      <c r="G6742" s="18"/>
      <c r="H6742" s="16" t="s">
        <v>87</v>
      </c>
      <c r="I6742" s="16" t="s">
        <v>87</v>
      </c>
      <c r="J6742" s="19"/>
      <c r="L6742" s="16" t="str">
        <f>IFERROR(__xludf.DUMMYFUNCTION("""COMPUTED_VALUE"""),"")</f>
        <v/>
      </c>
      <c r="M6742" s="16" t="str">
        <f>IFERROR(__xludf.DUMMYFUNCTION("""COMPUTED_VALUE"""),"")</f>
        <v/>
      </c>
      <c r="U6742" s="16" t="s">
        <v>87</v>
      </c>
      <c r="V6742" s="16" t="str">
        <f>IFERROR(__xludf.DUMMYFUNCTION("""COMPUTED_VALUE"""),"")</f>
        <v/>
      </c>
      <c r="W6742" s="16" t="str">
        <f>IFERROR(__xludf.DUMMYFUNCTION("""COMPUTED_VALUE"""),"")</f>
        <v/>
      </c>
      <c r="X6742" s="16" t="str">
        <f>IFERROR(__xludf.DUMMYFUNCTION("""COMPUTED_VALUE"""),"")</f>
        <v/>
      </c>
      <c r="AC6742" s="16" t="str">
        <f>IFERROR(__xludf.DUMMYFUNCTION("""COMPUTED_VALUE"""),"")</f>
        <v/>
      </c>
    </row>
    <row r="6743">
      <c r="A6743" s="16" t="s">
        <v>87</v>
      </c>
      <c r="E6743" s="16" t="str">
        <f>IFERROR(__xludf.DUMMYFUNCTION("""COMPUTED_VALUE"""),"")</f>
        <v/>
      </c>
      <c r="G6743" s="18"/>
      <c r="H6743" s="16" t="s">
        <v>87</v>
      </c>
      <c r="I6743" s="16" t="s">
        <v>87</v>
      </c>
      <c r="J6743" s="19"/>
      <c r="L6743" s="16" t="str">
        <f>IFERROR(__xludf.DUMMYFUNCTION("""COMPUTED_VALUE"""),"")</f>
        <v/>
      </c>
      <c r="M6743" s="16" t="str">
        <f>IFERROR(__xludf.DUMMYFUNCTION("""COMPUTED_VALUE"""),"")</f>
        <v/>
      </c>
      <c r="U6743" s="16" t="s">
        <v>87</v>
      </c>
      <c r="V6743" s="16" t="str">
        <f>IFERROR(__xludf.DUMMYFUNCTION("""COMPUTED_VALUE"""),"")</f>
        <v/>
      </c>
      <c r="W6743" s="16" t="str">
        <f>IFERROR(__xludf.DUMMYFUNCTION("""COMPUTED_VALUE"""),"")</f>
        <v/>
      </c>
      <c r="X6743" s="16" t="str">
        <f>IFERROR(__xludf.DUMMYFUNCTION("""COMPUTED_VALUE"""),"")</f>
        <v/>
      </c>
      <c r="AC6743" s="16" t="str">
        <f>IFERROR(__xludf.DUMMYFUNCTION("""COMPUTED_VALUE"""),"")</f>
        <v/>
      </c>
    </row>
    <row r="6744">
      <c r="A6744" s="16" t="s">
        <v>87</v>
      </c>
      <c r="E6744" s="16" t="str">
        <f>IFERROR(__xludf.DUMMYFUNCTION("""COMPUTED_VALUE"""),"")</f>
        <v/>
      </c>
      <c r="G6744" s="18"/>
      <c r="H6744" s="16" t="s">
        <v>87</v>
      </c>
      <c r="I6744" s="16" t="s">
        <v>87</v>
      </c>
      <c r="J6744" s="19"/>
      <c r="L6744" s="16" t="str">
        <f>IFERROR(__xludf.DUMMYFUNCTION("""COMPUTED_VALUE"""),"")</f>
        <v/>
      </c>
      <c r="M6744" s="16" t="str">
        <f>IFERROR(__xludf.DUMMYFUNCTION("""COMPUTED_VALUE"""),"")</f>
        <v/>
      </c>
      <c r="U6744" s="16" t="s">
        <v>87</v>
      </c>
      <c r="V6744" s="16" t="str">
        <f>IFERROR(__xludf.DUMMYFUNCTION("""COMPUTED_VALUE"""),"")</f>
        <v/>
      </c>
      <c r="W6744" s="16" t="str">
        <f>IFERROR(__xludf.DUMMYFUNCTION("""COMPUTED_VALUE"""),"")</f>
        <v/>
      </c>
      <c r="X6744" s="16" t="str">
        <f>IFERROR(__xludf.DUMMYFUNCTION("""COMPUTED_VALUE"""),"")</f>
        <v/>
      </c>
      <c r="AC6744" s="16" t="str">
        <f>IFERROR(__xludf.DUMMYFUNCTION("""COMPUTED_VALUE"""),"")</f>
        <v/>
      </c>
    </row>
    <row r="6745">
      <c r="A6745" s="16" t="s">
        <v>87</v>
      </c>
      <c r="E6745" s="16" t="str">
        <f>IFERROR(__xludf.DUMMYFUNCTION("""COMPUTED_VALUE"""),"")</f>
        <v/>
      </c>
      <c r="G6745" s="18"/>
      <c r="H6745" s="16" t="s">
        <v>87</v>
      </c>
      <c r="I6745" s="16" t="s">
        <v>87</v>
      </c>
      <c r="J6745" s="19"/>
      <c r="L6745" s="16" t="str">
        <f>IFERROR(__xludf.DUMMYFUNCTION("""COMPUTED_VALUE"""),"")</f>
        <v/>
      </c>
      <c r="M6745" s="16" t="str">
        <f>IFERROR(__xludf.DUMMYFUNCTION("""COMPUTED_VALUE"""),"")</f>
        <v/>
      </c>
      <c r="U6745" s="16" t="s">
        <v>87</v>
      </c>
      <c r="V6745" s="16" t="str">
        <f>IFERROR(__xludf.DUMMYFUNCTION("""COMPUTED_VALUE"""),"")</f>
        <v/>
      </c>
      <c r="W6745" s="16" t="str">
        <f>IFERROR(__xludf.DUMMYFUNCTION("""COMPUTED_VALUE"""),"")</f>
        <v/>
      </c>
      <c r="X6745" s="16" t="str">
        <f>IFERROR(__xludf.DUMMYFUNCTION("""COMPUTED_VALUE"""),"")</f>
        <v/>
      </c>
      <c r="AC6745" s="16" t="str">
        <f>IFERROR(__xludf.DUMMYFUNCTION("""COMPUTED_VALUE"""),"")</f>
        <v/>
      </c>
    </row>
    <row r="6746">
      <c r="A6746" s="16" t="s">
        <v>87</v>
      </c>
      <c r="E6746" s="16" t="str">
        <f>IFERROR(__xludf.DUMMYFUNCTION("""COMPUTED_VALUE"""),"")</f>
        <v/>
      </c>
      <c r="G6746" s="18"/>
      <c r="H6746" s="16" t="s">
        <v>87</v>
      </c>
      <c r="I6746" s="16" t="s">
        <v>87</v>
      </c>
      <c r="J6746" s="19"/>
      <c r="L6746" s="16" t="str">
        <f>IFERROR(__xludf.DUMMYFUNCTION("""COMPUTED_VALUE"""),"")</f>
        <v/>
      </c>
      <c r="M6746" s="16" t="str">
        <f>IFERROR(__xludf.DUMMYFUNCTION("""COMPUTED_VALUE"""),"")</f>
        <v/>
      </c>
      <c r="U6746" s="16" t="s">
        <v>87</v>
      </c>
      <c r="V6746" s="16" t="str">
        <f>IFERROR(__xludf.DUMMYFUNCTION("""COMPUTED_VALUE"""),"")</f>
        <v/>
      </c>
      <c r="W6746" s="16" t="str">
        <f>IFERROR(__xludf.DUMMYFUNCTION("""COMPUTED_VALUE"""),"")</f>
        <v/>
      </c>
      <c r="X6746" s="16" t="str">
        <f>IFERROR(__xludf.DUMMYFUNCTION("""COMPUTED_VALUE"""),"")</f>
        <v/>
      </c>
      <c r="AC6746" s="16" t="str">
        <f>IFERROR(__xludf.DUMMYFUNCTION("""COMPUTED_VALUE"""),"")</f>
        <v/>
      </c>
    </row>
    <row r="6747">
      <c r="A6747" s="16" t="s">
        <v>87</v>
      </c>
      <c r="E6747" s="16" t="str">
        <f>IFERROR(__xludf.DUMMYFUNCTION("""COMPUTED_VALUE"""),"")</f>
        <v/>
      </c>
      <c r="G6747" s="18"/>
      <c r="H6747" s="16" t="s">
        <v>87</v>
      </c>
      <c r="I6747" s="16" t="s">
        <v>87</v>
      </c>
      <c r="J6747" s="19"/>
      <c r="L6747" s="16" t="str">
        <f>IFERROR(__xludf.DUMMYFUNCTION("""COMPUTED_VALUE"""),"")</f>
        <v/>
      </c>
      <c r="M6747" s="16" t="str">
        <f>IFERROR(__xludf.DUMMYFUNCTION("""COMPUTED_VALUE"""),"")</f>
        <v/>
      </c>
      <c r="U6747" s="16" t="s">
        <v>87</v>
      </c>
      <c r="V6747" s="16" t="str">
        <f>IFERROR(__xludf.DUMMYFUNCTION("""COMPUTED_VALUE"""),"")</f>
        <v/>
      </c>
      <c r="W6747" s="16" t="str">
        <f>IFERROR(__xludf.DUMMYFUNCTION("""COMPUTED_VALUE"""),"")</f>
        <v/>
      </c>
      <c r="X6747" s="16" t="str">
        <f>IFERROR(__xludf.DUMMYFUNCTION("""COMPUTED_VALUE"""),"")</f>
        <v/>
      </c>
      <c r="AC6747" s="16" t="str">
        <f>IFERROR(__xludf.DUMMYFUNCTION("""COMPUTED_VALUE"""),"")</f>
        <v/>
      </c>
    </row>
    <row r="6748">
      <c r="A6748" s="16" t="s">
        <v>87</v>
      </c>
      <c r="E6748" s="16" t="str">
        <f>IFERROR(__xludf.DUMMYFUNCTION("""COMPUTED_VALUE"""),"")</f>
        <v/>
      </c>
      <c r="G6748" s="18"/>
      <c r="H6748" s="16" t="s">
        <v>87</v>
      </c>
      <c r="I6748" s="16" t="s">
        <v>87</v>
      </c>
      <c r="J6748" s="19"/>
      <c r="L6748" s="16" t="str">
        <f>IFERROR(__xludf.DUMMYFUNCTION("""COMPUTED_VALUE"""),"")</f>
        <v/>
      </c>
      <c r="M6748" s="16" t="str">
        <f>IFERROR(__xludf.DUMMYFUNCTION("""COMPUTED_VALUE"""),"")</f>
        <v/>
      </c>
      <c r="U6748" s="16" t="s">
        <v>87</v>
      </c>
      <c r="V6748" s="16" t="str">
        <f>IFERROR(__xludf.DUMMYFUNCTION("""COMPUTED_VALUE"""),"")</f>
        <v/>
      </c>
      <c r="W6748" s="16" t="str">
        <f>IFERROR(__xludf.DUMMYFUNCTION("""COMPUTED_VALUE"""),"")</f>
        <v/>
      </c>
      <c r="X6748" s="16" t="str">
        <f>IFERROR(__xludf.DUMMYFUNCTION("""COMPUTED_VALUE"""),"")</f>
        <v/>
      </c>
      <c r="AC6748" s="16" t="str">
        <f>IFERROR(__xludf.DUMMYFUNCTION("""COMPUTED_VALUE"""),"")</f>
        <v/>
      </c>
    </row>
    <row r="6749">
      <c r="A6749" s="16" t="s">
        <v>87</v>
      </c>
      <c r="E6749" s="16" t="str">
        <f>IFERROR(__xludf.DUMMYFUNCTION("""COMPUTED_VALUE"""),"")</f>
        <v/>
      </c>
      <c r="G6749" s="18"/>
      <c r="H6749" s="16" t="s">
        <v>87</v>
      </c>
      <c r="I6749" s="16" t="s">
        <v>87</v>
      </c>
      <c r="J6749" s="19"/>
      <c r="L6749" s="16" t="str">
        <f>IFERROR(__xludf.DUMMYFUNCTION("""COMPUTED_VALUE"""),"")</f>
        <v/>
      </c>
      <c r="M6749" s="16" t="str">
        <f>IFERROR(__xludf.DUMMYFUNCTION("""COMPUTED_VALUE"""),"")</f>
        <v/>
      </c>
      <c r="U6749" s="16" t="s">
        <v>87</v>
      </c>
      <c r="V6749" s="16" t="str">
        <f>IFERROR(__xludf.DUMMYFUNCTION("""COMPUTED_VALUE"""),"")</f>
        <v/>
      </c>
      <c r="W6749" s="16" t="str">
        <f>IFERROR(__xludf.DUMMYFUNCTION("""COMPUTED_VALUE"""),"")</f>
        <v/>
      </c>
      <c r="X6749" s="16" t="str">
        <f>IFERROR(__xludf.DUMMYFUNCTION("""COMPUTED_VALUE"""),"")</f>
        <v/>
      </c>
      <c r="AC6749" s="16" t="str">
        <f>IFERROR(__xludf.DUMMYFUNCTION("""COMPUTED_VALUE"""),"")</f>
        <v/>
      </c>
    </row>
    <row r="6750">
      <c r="A6750" s="16" t="s">
        <v>87</v>
      </c>
      <c r="E6750" s="16" t="str">
        <f>IFERROR(__xludf.DUMMYFUNCTION("""COMPUTED_VALUE"""),"")</f>
        <v/>
      </c>
      <c r="G6750" s="18"/>
      <c r="H6750" s="16" t="s">
        <v>87</v>
      </c>
      <c r="I6750" s="16" t="s">
        <v>87</v>
      </c>
      <c r="J6750" s="19"/>
      <c r="L6750" s="16" t="str">
        <f>IFERROR(__xludf.DUMMYFUNCTION("""COMPUTED_VALUE"""),"")</f>
        <v/>
      </c>
      <c r="M6750" s="16" t="str">
        <f>IFERROR(__xludf.DUMMYFUNCTION("""COMPUTED_VALUE"""),"")</f>
        <v/>
      </c>
      <c r="U6750" s="16" t="s">
        <v>87</v>
      </c>
      <c r="V6750" s="16" t="str">
        <f>IFERROR(__xludf.DUMMYFUNCTION("""COMPUTED_VALUE"""),"")</f>
        <v/>
      </c>
      <c r="W6750" s="16" t="str">
        <f>IFERROR(__xludf.DUMMYFUNCTION("""COMPUTED_VALUE"""),"")</f>
        <v/>
      </c>
      <c r="X6750" s="16" t="str">
        <f>IFERROR(__xludf.DUMMYFUNCTION("""COMPUTED_VALUE"""),"")</f>
        <v/>
      </c>
      <c r="AC6750" s="16" t="str">
        <f>IFERROR(__xludf.DUMMYFUNCTION("""COMPUTED_VALUE"""),"")</f>
        <v/>
      </c>
    </row>
    <row r="6751">
      <c r="A6751" s="16" t="s">
        <v>87</v>
      </c>
      <c r="E6751" s="16" t="str">
        <f>IFERROR(__xludf.DUMMYFUNCTION("""COMPUTED_VALUE"""),"")</f>
        <v/>
      </c>
      <c r="G6751" s="18"/>
      <c r="H6751" s="16" t="s">
        <v>87</v>
      </c>
      <c r="I6751" s="16" t="s">
        <v>87</v>
      </c>
      <c r="J6751" s="19"/>
      <c r="L6751" s="16" t="str">
        <f>IFERROR(__xludf.DUMMYFUNCTION("""COMPUTED_VALUE"""),"")</f>
        <v/>
      </c>
      <c r="M6751" s="16" t="str">
        <f>IFERROR(__xludf.DUMMYFUNCTION("""COMPUTED_VALUE"""),"")</f>
        <v/>
      </c>
      <c r="U6751" s="16" t="s">
        <v>87</v>
      </c>
      <c r="V6751" s="16" t="str">
        <f>IFERROR(__xludf.DUMMYFUNCTION("""COMPUTED_VALUE"""),"")</f>
        <v/>
      </c>
      <c r="W6751" s="16" t="str">
        <f>IFERROR(__xludf.DUMMYFUNCTION("""COMPUTED_VALUE"""),"")</f>
        <v/>
      </c>
      <c r="X6751" s="16" t="str">
        <f>IFERROR(__xludf.DUMMYFUNCTION("""COMPUTED_VALUE"""),"")</f>
        <v/>
      </c>
      <c r="AC6751" s="16" t="str">
        <f>IFERROR(__xludf.DUMMYFUNCTION("""COMPUTED_VALUE"""),"")</f>
        <v/>
      </c>
    </row>
    <row r="6752">
      <c r="A6752" s="16" t="s">
        <v>87</v>
      </c>
      <c r="E6752" s="16" t="str">
        <f>IFERROR(__xludf.DUMMYFUNCTION("""COMPUTED_VALUE"""),"")</f>
        <v/>
      </c>
      <c r="G6752" s="18"/>
      <c r="H6752" s="16" t="s">
        <v>87</v>
      </c>
      <c r="I6752" s="16" t="s">
        <v>87</v>
      </c>
      <c r="J6752" s="19"/>
      <c r="L6752" s="16" t="str">
        <f>IFERROR(__xludf.DUMMYFUNCTION("""COMPUTED_VALUE"""),"")</f>
        <v/>
      </c>
      <c r="M6752" s="16" t="str">
        <f>IFERROR(__xludf.DUMMYFUNCTION("""COMPUTED_VALUE"""),"")</f>
        <v/>
      </c>
      <c r="U6752" s="16" t="s">
        <v>87</v>
      </c>
      <c r="V6752" s="16" t="str">
        <f>IFERROR(__xludf.DUMMYFUNCTION("""COMPUTED_VALUE"""),"")</f>
        <v/>
      </c>
      <c r="W6752" s="16" t="str">
        <f>IFERROR(__xludf.DUMMYFUNCTION("""COMPUTED_VALUE"""),"")</f>
        <v/>
      </c>
      <c r="X6752" s="16" t="str">
        <f>IFERROR(__xludf.DUMMYFUNCTION("""COMPUTED_VALUE"""),"")</f>
        <v/>
      </c>
      <c r="AC6752" s="16" t="str">
        <f>IFERROR(__xludf.DUMMYFUNCTION("""COMPUTED_VALUE"""),"")</f>
        <v/>
      </c>
    </row>
    <row r="6753">
      <c r="A6753" s="16" t="s">
        <v>87</v>
      </c>
      <c r="E6753" s="16" t="str">
        <f>IFERROR(__xludf.DUMMYFUNCTION("""COMPUTED_VALUE"""),"")</f>
        <v/>
      </c>
      <c r="G6753" s="18"/>
      <c r="H6753" s="16" t="s">
        <v>87</v>
      </c>
      <c r="I6753" s="16" t="s">
        <v>87</v>
      </c>
      <c r="J6753" s="19"/>
      <c r="L6753" s="16" t="str">
        <f>IFERROR(__xludf.DUMMYFUNCTION("""COMPUTED_VALUE"""),"")</f>
        <v/>
      </c>
      <c r="M6753" s="16" t="str">
        <f>IFERROR(__xludf.DUMMYFUNCTION("""COMPUTED_VALUE"""),"")</f>
        <v/>
      </c>
      <c r="U6753" s="16" t="s">
        <v>87</v>
      </c>
      <c r="V6753" s="16" t="str">
        <f>IFERROR(__xludf.DUMMYFUNCTION("""COMPUTED_VALUE"""),"")</f>
        <v/>
      </c>
      <c r="W6753" s="16" t="str">
        <f>IFERROR(__xludf.DUMMYFUNCTION("""COMPUTED_VALUE"""),"")</f>
        <v/>
      </c>
      <c r="X6753" s="16" t="str">
        <f>IFERROR(__xludf.DUMMYFUNCTION("""COMPUTED_VALUE"""),"")</f>
        <v/>
      </c>
      <c r="AC6753" s="16" t="str">
        <f>IFERROR(__xludf.DUMMYFUNCTION("""COMPUTED_VALUE"""),"")</f>
        <v/>
      </c>
    </row>
    <row r="6754">
      <c r="A6754" s="16" t="s">
        <v>87</v>
      </c>
      <c r="E6754" s="16" t="str">
        <f>IFERROR(__xludf.DUMMYFUNCTION("""COMPUTED_VALUE"""),"")</f>
        <v/>
      </c>
      <c r="G6754" s="18"/>
      <c r="H6754" s="16" t="s">
        <v>87</v>
      </c>
      <c r="I6754" s="16" t="s">
        <v>87</v>
      </c>
      <c r="J6754" s="19"/>
      <c r="L6754" s="16" t="str">
        <f>IFERROR(__xludf.DUMMYFUNCTION("""COMPUTED_VALUE"""),"")</f>
        <v/>
      </c>
      <c r="M6754" s="16" t="str">
        <f>IFERROR(__xludf.DUMMYFUNCTION("""COMPUTED_VALUE"""),"")</f>
        <v/>
      </c>
      <c r="U6754" s="16" t="s">
        <v>87</v>
      </c>
      <c r="V6754" s="16" t="str">
        <f>IFERROR(__xludf.DUMMYFUNCTION("""COMPUTED_VALUE"""),"")</f>
        <v/>
      </c>
      <c r="W6754" s="16" t="str">
        <f>IFERROR(__xludf.DUMMYFUNCTION("""COMPUTED_VALUE"""),"")</f>
        <v/>
      </c>
      <c r="X6754" s="16" t="str">
        <f>IFERROR(__xludf.DUMMYFUNCTION("""COMPUTED_VALUE"""),"")</f>
        <v/>
      </c>
      <c r="AC6754" s="16" t="str">
        <f>IFERROR(__xludf.DUMMYFUNCTION("""COMPUTED_VALUE"""),"")</f>
        <v/>
      </c>
    </row>
    <row r="6755">
      <c r="A6755" s="16" t="s">
        <v>87</v>
      </c>
      <c r="E6755" s="16" t="str">
        <f>IFERROR(__xludf.DUMMYFUNCTION("""COMPUTED_VALUE"""),"")</f>
        <v/>
      </c>
      <c r="G6755" s="18"/>
      <c r="H6755" s="16" t="s">
        <v>87</v>
      </c>
      <c r="I6755" s="16" t="s">
        <v>87</v>
      </c>
      <c r="J6755" s="19"/>
      <c r="L6755" s="16" t="str">
        <f>IFERROR(__xludf.DUMMYFUNCTION("""COMPUTED_VALUE"""),"")</f>
        <v/>
      </c>
      <c r="M6755" s="16" t="str">
        <f>IFERROR(__xludf.DUMMYFUNCTION("""COMPUTED_VALUE"""),"")</f>
        <v/>
      </c>
      <c r="U6755" s="16" t="s">
        <v>87</v>
      </c>
      <c r="V6755" s="16" t="str">
        <f>IFERROR(__xludf.DUMMYFUNCTION("""COMPUTED_VALUE"""),"")</f>
        <v/>
      </c>
      <c r="W6755" s="16" t="str">
        <f>IFERROR(__xludf.DUMMYFUNCTION("""COMPUTED_VALUE"""),"")</f>
        <v/>
      </c>
      <c r="X6755" s="16" t="str">
        <f>IFERROR(__xludf.DUMMYFUNCTION("""COMPUTED_VALUE"""),"")</f>
        <v/>
      </c>
      <c r="AC6755" s="16" t="str">
        <f>IFERROR(__xludf.DUMMYFUNCTION("""COMPUTED_VALUE"""),"")</f>
        <v/>
      </c>
    </row>
    <row r="6756">
      <c r="A6756" s="16" t="s">
        <v>87</v>
      </c>
      <c r="E6756" s="16" t="str">
        <f>IFERROR(__xludf.DUMMYFUNCTION("""COMPUTED_VALUE"""),"")</f>
        <v/>
      </c>
      <c r="G6756" s="18"/>
      <c r="H6756" s="16" t="s">
        <v>87</v>
      </c>
      <c r="I6756" s="16" t="s">
        <v>87</v>
      </c>
      <c r="J6756" s="19"/>
      <c r="L6756" s="16" t="str">
        <f>IFERROR(__xludf.DUMMYFUNCTION("""COMPUTED_VALUE"""),"")</f>
        <v/>
      </c>
      <c r="M6756" s="16" t="str">
        <f>IFERROR(__xludf.DUMMYFUNCTION("""COMPUTED_VALUE"""),"")</f>
        <v/>
      </c>
      <c r="U6756" s="16" t="s">
        <v>87</v>
      </c>
      <c r="V6756" s="16" t="str">
        <f>IFERROR(__xludf.DUMMYFUNCTION("""COMPUTED_VALUE"""),"")</f>
        <v/>
      </c>
      <c r="W6756" s="16" t="str">
        <f>IFERROR(__xludf.DUMMYFUNCTION("""COMPUTED_VALUE"""),"")</f>
        <v/>
      </c>
      <c r="X6756" s="16" t="str">
        <f>IFERROR(__xludf.DUMMYFUNCTION("""COMPUTED_VALUE"""),"")</f>
        <v/>
      </c>
      <c r="AC6756" s="16" t="str">
        <f>IFERROR(__xludf.DUMMYFUNCTION("""COMPUTED_VALUE"""),"")</f>
        <v/>
      </c>
    </row>
    <row r="6757">
      <c r="A6757" s="16" t="s">
        <v>87</v>
      </c>
      <c r="E6757" s="16" t="str">
        <f>IFERROR(__xludf.DUMMYFUNCTION("""COMPUTED_VALUE"""),"")</f>
        <v/>
      </c>
      <c r="G6757" s="18"/>
      <c r="H6757" s="16" t="s">
        <v>87</v>
      </c>
      <c r="I6757" s="16" t="s">
        <v>87</v>
      </c>
      <c r="J6757" s="19"/>
      <c r="L6757" s="16" t="str">
        <f>IFERROR(__xludf.DUMMYFUNCTION("""COMPUTED_VALUE"""),"")</f>
        <v/>
      </c>
      <c r="M6757" s="16" t="str">
        <f>IFERROR(__xludf.DUMMYFUNCTION("""COMPUTED_VALUE"""),"")</f>
        <v/>
      </c>
      <c r="U6757" s="16" t="s">
        <v>87</v>
      </c>
      <c r="V6757" s="16" t="str">
        <f>IFERROR(__xludf.DUMMYFUNCTION("""COMPUTED_VALUE"""),"")</f>
        <v/>
      </c>
      <c r="W6757" s="16" t="str">
        <f>IFERROR(__xludf.DUMMYFUNCTION("""COMPUTED_VALUE"""),"")</f>
        <v/>
      </c>
      <c r="X6757" s="16" t="str">
        <f>IFERROR(__xludf.DUMMYFUNCTION("""COMPUTED_VALUE"""),"")</f>
        <v/>
      </c>
      <c r="AC6757" s="16" t="str">
        <f>IFERROR(__xludf.DUMMYFUNCTION("""COMPUTED_VALUE"""),"")</f>
        <v/>
      </c>
    </row>
    <row r="6758">
      <c r="A6758" s="16" t="s">
        <v>87</v>
      </c>
      <c r="E6758" s="16" t="str">
        <f>IFERROR(__xludf.DUMMYFUNCTION("""COMPUTED_VALUE"""),"")</f>
        <v/>
      </c>
      <c r="G6758" s="18"/>
      <c r="H6758" s="16" t="s">
        <v>87</v>
      </c>
      <c r="I6758" s="16" t="s">
        <v>87</v>
      </c>
      <c r="J6758" s="19"/>
      <c r="L6758" s="16" t="str">
        <f>IFERROR(__xludf.DUMMYFUNCTION("""COMPUTED_VALUE"""),"")</f>
        <v/>
      </c>
      <c r="M6758" s="16" t="str">
        <f>IFERROR(__xludf.DUMMYFUNCTION("""COMPUTED_VALUE"""),"")</f>
        <v/>
      </c>
      <c r="U6758" s="16" t="s">
        <v>87</v>
      </c>
      <c r="V6758" s="16" t="str">
        <f>IFERROR(__xludf.DUMMYFUNCTION("""COMPUTED_VALUE"""),"")</f>
        <v/>
      </c>
      <c r="W6758" s="16" t="str">
        <f>IFERROR(__xludf.DUMMYFUNCTION("""COMPUTED_VALUE"""),"")</f>
        <v/>
      </c>
      <c r="X6758" s="16" t="str">
        <f>IFERROR(__xludf.DUMMYFUNCTION("""COMPUTED_VALUE"""),"")</f>
        <v/>
      </c>
      <c r="AC6758" s="16" t="str">
        <f>IFERROR(__xludf.DUMMYFUNCTION("""COMPUTED_VALUE"""),"")</f>
        <v/>
      </c>
    </row>
    <row r="6759">
      <c r="A6759" s="16" t="s">
        <v>87</v>
      </c>
      <c r="E6759" s="16" t="str">
        <f>IFERROR(__xludf.DUMMYFUNCTION("""COMPUTED_VALUE"""),"")</f>
        <v/>
      </c>
      <c r="G6759" s="18"/>
      <c r="H6759" s="16" t="s">
        <v>87</v>
      </c>
      <c r="I6759" s="16" t="s">
        <v>87</v>
      </c>
      <c r="J6759" s="19"/>
      <c r="L6759" s="16" t="str">
        <f>IFERROR(__xludf.DUMMYFUNCTION("""COMPUTED_VALUE"""),"")</f>
        <v/>
      </c>
      <c r="M6759" s="16" t="str">
        <f>IFERROR(__xludf.DUMMYFUNCTION("""COMPUTED_VALUE"""),"")</f>
        <v/>
      </c>
      <c r="U6759" s="16" t="s">
        <v>87</v>
      </c>
      <c r="V6759" s="16" t="str">
        <f>IFERROR(__xludf.DUMMYFUNCTION("""COMPUTED_VALUE"""),"")</f>
        <v/>
      </c>
      <c r="W6759" s="16" t="str">
        <f>IFERROR(__xludf.DUMMYFUNCTION("""COMPUTED_VALUE"""),"")</f>
        <v/>
      </c>
      <c r="X6759" s="16" t="str">
        <f>IFERROR(__xludf.DUMMYFUNCTION("""COMPUTED_VALUE"""),"")</f>
        <v/>
      </c>
      <c r="AC6759" s="16" t="str">
        <f>IFERROR(__xludf.DUMMYFUNCTION("""COMPUTED_VALUE"""),"")</f>
        <v/>
      </c>
    </row>
    <row r="6760">
      <c r="A6760" s="16" t="s">
        <v>87</v>
      </c>
      <c r="E6760" s="16" t="str">
        <f>IFERROR(__xludf.DUMMYFUNCTION("""COMPUTED_VALUE"""),"")</f>
        <v/>
      </c>
      <c r="G6760" s="18"/>
      <c r="H6760" s="16" t="s">
        <v>87</v>
      </c>
      <c r="I6760" s="16" t="s">
        <v>87</v>
      </c>
      <c r="J6760" s="19"/>
      <c r="L6760" s="16" t="str">
        <f>IFERROR(__xludf.DUMMYFUNCTION("""COMPUTED_VALUE"""),"")</f>
        <v/>
      </c>
      <c r="M6760" s="16" t="str">
        <f>IFERROR(__xludf.DUMMYFUNCTION("""COMPUTED_VALUE"""),"")</f>
        <v/>
      </c>
      <c r="U6760" s="16" t="s">
        <v>87</v>
      </c>
      <c r="V6760" s="16" t="str">
        <f>IFERROR(__xludf.DUMMYFUNCTION("""COMPUTED_VALUE"""),"")</f>
        <v/>
      </c>
      <c r="W6760" s="16" t="str">
        <f>IFERROR(__xludf.DUMMYFUNCTION("""COMPUTED_VALUE"""),"")</f>
        <v/>
      </c>
      <c r="X6760" s="16" t="str">
        <f>IFERROR(__xludf.DUMMYFUNCTION("""COMPUTED_VALUE"""),"")</f>
        <v/>
      </c>
      <c r="AC6760" s="16" t="str">
        <f>IFERROR(__xludf.DUMMYFUNCTION("""COMPUTED_VALUE"""),"")</f>
        <v/>
      </c>
    </row>
    <row r="6761">
      <c r="A6761" s="16" t="s">
        <v>87</v>
      </c>
      <c r="E6761" s="16" t="str">
        <f>IFERROR(__xludf.DUMMYFUNCTION("""COMPUTED_VALUE"""),"")</f>
        <v/>
      </c>
      <c r="G6761" s="18"/>
      <c r="H6761" s="16" t="s">
        <v>87</v>
      </c>
      <c r="I6761" s="16" t="s">
        <v>87</v>
      </c>
      <c r="J6761" s="19"/>
      <c r="L6761" s="16" t="str">
        <f>IFERROR(__xludf.DUMMYFUNCTION("""COMPUTED_VALUE"""),"")</f>
        <v/>
      </c>
      <c r="M6761" s="16" t="str">
        <f>IFERROR(__xludf.DUMMYFUNCTION("""COMPUTED_VALUE"""),"")</f>
        <v/>
      </c>
      <c r="U6761" s="16" t="s">
        <v>87</v>
      </c>
      <c r="V6761" s="16" t="str">
        <f>IFERROR(__xludf.DUMMYFUNCTION("""COMPUTED_VALUE"""),"")</f>
        <v/>
      </c>
      <c r="W6761" s="16" t="str">
        <f>IFERROR(__xludf.DUMMYFUNCTION("""COMPUTED_VALUE"""),"")</f>
        <v/>
      </c>
      <c r="X6761" s="16" t="str">
        <f>IFERROR(__xludf.DUMMYFUNCTION("""COMPUTED_VALUE"""),"")</f>
        <v/>
      </c>
      <c r="AC6761" s="16" t="str">
        <f>IFERROR(__xludf.DUMMYFUNCTION("""COMPUTED_VALUE"""),"")</f>
        <v/>
      </c>
    </row>
    <row r="6762">
      <c r="A6762" s="16" t="s">
        <v>87</v>
      </c>
      <c r="E6762" s="16" t="str">
        <f>IFERROR(__xludf.DUMMYFUNCTION("""COMPUTED_VALUE"""),"")</f>
        <v/>
      </c>
      <c r="G6762" s="18"/>
      <c r="H6762" s="16" t="s">
        <v>87</v>
      </c>
      <c r="I6762" s="16" t="s">
        <v>87</v>
      </c>
      <c r="J6762" s="19"/>
      <c r="L6762" s="16" t="str">
        <f>IFERROR(__xludf.DUMMYFUNCTION("""COMPUTED_VALUE"""),"")</f>
        <v/>
      </c>
      <c r="M6762" s="16" t="str">
        <f>IFERROR(__xludf.DUMMYFUNCTION("""COMPUTED_VALUE"""),"")</f>
        <v/>
      </c>
      <c r="U6762" s="16" t="s">
        <v>87</v>
      </c>
      <c r="V6762" s="16" t="str">
        <f>IFERROR(__xludf.DUMMYFUNCTION("""COMPUTED_VALUE"""),"")</f>
        <v/>
      </c>
      <c r="W6762" s="16" t="str">
        <f>IFERROR(__xludf.DUMMYFUNCTION("""COMPUTED_VALUE"""),"")</f>
        <v/>
      </c>
      <c r="X6762" s="16" t="str">
        <f>IFERROR(__xludf.DUMMYFUNCTION("""COMPUTED_VALUE"""),"")</f>
        <v/>
      </c>
      <c r="AC6762" s="16" t="str">
        <f>IFERROR(__xludf.DUMMYFUNCTION("""COMPUTED_VALUE"""),"")</f>
        <v/>
      </c>
    </row>
    <row r="6763">
      <c r="A6763" s="16" t="s">
        <v>87</v>
      </c>
      <c r="E6763" s="16" t="str">
        <f>IFERROR(__xludf.DUMMYFUNCTION("""COMPUTED_VALUE"""),"")</f>
        <v/>
      </c>
      <c r="G6763" s="18"/>
      <c r="H6763" s="16" t="s">
        <v>87</v>
      </c>
      <c r="I6763" s="16" t="s">
        <v>87</v>
      </c>
      <c r="J6763" s="19"/>
      <c r="L6763" s="16" t="str">
        <f>IFERROR(__xludf.DUMMYFUNCTION("""COMPUTED_VALUE"""),"")</f>
        <v/>
      </c>
      <c r="M6763" s="16" t="str">
        <f>IFERROR(__xludf.DUMMYFUNCTION("""COMPUTED_VALUE"""),"")</f>
        <v/>
      </c>
      <c r="U6763" s="16" t="s">
        <v>87</v>
      </c>
      <c r="V6763" s="16" t="str">
        <f>IFERROR(__xludf.DUMMYFUNCTION("""COMPUTED_VALUE"""),"")</f>
        <v/>
      </c>
      <c r="W6763" s="16" t="str">
        <f>IFERROR(__xludf.DUMMYFUNCTION("""COMPUTED_VALUE"""),"")</f>
        <v/>
      </c>
      <c r="X6763" s="16" t="str">
        <f>IFERROR(__xludf.DUMMYFUNCTION("""COMPUTED_VALUE"""),"")</f>
        <v/>
      </c>
      <c r="AC6763" s="16" t="str">
        <f>IFERROR(__xludf.DUMMYFUNCTION("""COMPUTED_VALUE"""),"")</f>
        <v/>
      </c>
    </row>
    <row r="6764">
      <c r="A6764" s="16" t="s">
        <v>87</v>
      </c>
      <c r="E6764" s="16" t="str">
        <f>IFERROR(__xludf.DUMMYFUNCTION("""COMPUTED_VALUE"""),"")</f>
        <v/>
      </c>
      <c r="G6764" s="18"/>
      <c r="H6764" s="16" t="s">
        <v>87</v>
      </c>
      <c r="I6764" s="16" t="s">
        <v>87</v>
      </c>
      <c r="J6764" s="19"/>
      <c r="L6764" s="16" t="str">
        <f>IFERROR(__xludf.DUMMYFUNCTION("""COMPUTED_VALUE"""),"")</f>
        <v/>
      </c>
      <c r="M6764" s="16" t="str">
        <f>IFERROR(__xludf.DUMMYFUNCTION("""COMPUTED_VALUE"""),"")</f>
        <v/>
      </c>
      <c r="U6764" s="16" t="s">
        <v>87</v>
      </c>
      <c r="V6764" s="16" t="str">
        <f>IFERROR(__xludf.DUMMYFUNCTION("""COMPUTED_VALUE"""),"")</f>
        <v/>
      </c>
      <c r="W6764" s="16" t="str">
        <f>IFERROR(__xludf.DUMMYFUNCTION("""COMPUTED_VALUE"""),"")</f>
        <v/>
      </c>
      <c r="X6764" s="16" t="str">
        <f>IFERROR(__xludf.DUMMYFUNCTION("""COMPUTED_VALUE"""),"")</f>
        <v/>
      </c>
      <c r="AC6764" s="16" t="str">
        <f>IFERROR(__xludf.DUMMYFUNCTION("""COMPUTED_VALUE"""),"")</f>
        <v/>
      </c>
    </row>
    <row r="6765">
      <c r="A6765" s="16" t="s">
        <v>87</v>
      </c>
      <c r="E6765" s="16" t="str">
        <f>IFERROR(__xludf.DUMMYFUNCTION("""COMPUTED_VALUE"""),"")</f>
        <v/>
      </c>
      <c r="G6765" s="18"/>
      <c r="H6765" s="16" t="s">
        <v>87</v>
      </c>
      <c r="I6765" s="16" t="s">
        <v>87</v>
      </c>
      <c r="J6765" s="19"/>
      <c r="L6765" s="16" t="str">
        <f>IFERROR(__xludf.DUMMYFUNCTION("""COMPUTED_VALUE"""),"")</f>
        <v/>
      </c>
      <c r="M6765" s="16" t="str">
        <f>IFERROR(__xludf.DUMMYFUNCTION("""COMPUTED_VALUE"""),"")</f>
        <v/>
      </c>
      <c r="U6765" s="16" t="s">
        <v>87</v>
      </c>
      <c r="V6765" s="16" t="str">
        <f>IFERROR(__xludf.DUMMYFUNCTION("""COMPUTED_VALUE"""),"")</f>
        <v/>
      </c>
      <c r="W6765" s="16" t="str">
        <f>IFERROR(__xludf.DUMMYFUNCTION("""COMPUTED_VALUE"""),"")</f>
        <v/>
      </c>
      <c r="X6765" s="16" t="str">
        <f>IFERROR(__xludf.DUMMYFUNCTION("""COMPUTED_VALUE"""),"")</f>
        <v/>
      </c>
      <c r="AC6765" s="16" t="str">
        <f>IFERROR(__xludf.DUMMYFUNCTION("""COMPUTED_VALUE"""),"")</f>
        <v/>
      </c>
    </row>
    <row r="6766">
      <c r="A6766" s="16" t="s">
        <v>87</v>
      </c>
      <c r="E6766" s="16" t="str">
        <f>IFERROR(__xludf.DUMMYFUNCTION("""COMPUTED_VALUE"""),"")</f>
        <v/>
      </c>
      <c r="G6766" s="18"/>
      <c r="H6766" s="16" t="s">
        <v>87</v>
      </c>
      <c r="I6766" s="16" t="s">
        <v>87</v>
      </c>
      <c r="J6766" s="19"/>
      <c r="L6766" s="16" t="str">
        <f>IFERROR(__xludf.DUMMYFUNCTION("""COMPUTED_VALUE"""),"")</f>
        <v/>
      </c>
      <c r="M6766" s="16" t="str">
        <f>IFERROR(__xludf.DUMMYFUNCTION("""COMPUTED_VALUE"""),"")</f>
        <v/>
      </c>
      <c r="U6766" s="16" t="s">
        <v>87</v>
      </c>
      <c r="V6766" s="16" t="str">
        <f>IFERROR(__xludf.DUMMYFUNCTION("""COMPUTED_VALUE"""),"")</f>
        <v/>
      </c>
      <c r="W6766" s="16" t="str">
        <f>IFERROR(__xludf.DUMMYFUNCTION("""COMPUTED_VALUE"""),"")</f>
        <v/>
      </c>
      <c r="X6766" s="16" t="str">
        <f>IFERROR(__xludf.DUMMYFUNCTION("""COMPUTED_VALUE"""),"")</f>
        <v/>
      </c>
      <c r="AC6766" s="16" t="str">
        <f>IFERROR(__xludf.DUMMYFUNCTION("""COMPUTED_VALUE"""),"")</f>
        <v/>
      </c>
    </row>
    <row r="6767">
      <c r="A6767" s="16" t="s">
        <v>87</v>
      </c>
      <c r="E6767" s="16" t="str">
        <f>IFERROR(__xludf.DUMMYFUNCTION("""COMPUTED_VALUE"""),"")</f>
        <v/>
      </c>
      <c r="G6767" s="18"/>
      <c r="H6767" s="16" t="s">
        <v>87</v>
      </c>
      <c r="I6767" s="16" t="s">
        <v>87</v>
      </c>
      <c r="J6767" s="19"/>
      <c r="L6767" s="16" t="str">
        <f>IFERROR(__xludf.DUMMYFUNCTION("""COMPUTED_VALUE"""),"")</f>
        <v/>
      </c>
      <c r="M6767" s="16" t="str">
        <f>IFERROR(__xludf.DUMMYFUNCTION("""COMPUTED_VALUE"""),"")</f>
        <v/>
      </c>
      <c r="U6767" s="16" t="s">
        <v>87</v>
      </c>
      <c r="V6767" s="16" t="str">
        <f>IFERROR(__xludf.DUMMYFUNCTION("""COMPUTED_VALUE"""),"")</f>
        <v/>
      </c>
      <c r="W6767" s="16" t="str">
        <f>IFERROR(__xludf.DUMMYFUNCTION("""COMPUTED_VALUE"""),"")</f>
        <v/>
      </c>
      <c r="X6767" s="16" t="str">
        <f>IFERROR(__xludf.DUMMYFUNCTION("""COMPUTED_VALUE"""),"")</f>
        <v/>
      </c>
      <c r="AC6767" s="16" t="str">
        <f>IFERROR(__xludf.DUMMYFUNCTION("""COMPUTED_VALUE"""),"")</f>
        <v/>
      </c>
    </row>
    <row r="6768">
      <c r="A6768" s="16" t="s">
        <v>87</v>
      </c>
      <c r="E6768" s="16" t="str">
        <f>IFERROR(__xludf.DUMMYFUNCTION("""COMPUTED_VALUE"""),"")</f>
        <v/>
      </c>
      <c r="G6768" s="18"/>
      <c r="H6768" s="16" t="s">
        <v>87</v>
      </c>
      <c r="I6768" s="16" t="s">
        <v>87</v>
      </c>
      <c r="J6768" s="19"/>
      <c r="L6768" s="16" t="str">
        <f>IFERROR(__xludf.DUMMYFUNCTION("""COMPUTED_VALUE"""),"")</f>
        <v/>
      </c>
      <c r="M6768" s="16" t="str">
        <f>IFERROR(__xludf.DUMMYFUNCTION("""COMPUTED_VALUE"""),"")</f>
        <v/>
      </c>
      <c r="U6768" s="16" t="s">
        <v>87</v>
      </c>
      <c r="V6768" s="16" t="str">
        <f>IFERROR(__xludf.DUMMYFUNCTION("""COMPUTED_VALUE"""),"")</f>
        <v/>
      </c>
      <c r="W6768" s="16" t="str">
        <f>IFERROR(__xludf.DUMMYFUNCTION("""COMPUTED_VALUE"""),"")</f>
        <v/>
      </c>
      <c r="X6768" s="16" t="str">
        <f>IFERROR(__xludf.DUMMYFUNCTION("""COMPUTED_VALUE"""),"")</f>
        <v/>
      </c>
      <c r="AC6768" s="16" t="str">
        <f>IFERROR(__xludf.DUMMYFUNCTION("""COMPUTED_VALUE"""),"")</f>
        <v/>
      </c>
    </row>
    <row r="6769">
      <c r="A6769" s="16" t="s">
        <v>87</v>
      </c>
      <c r="E6769" s="16" t="str">
        <f>IFERROR(__xludf.DUMMYFUNCTION("""COMPUTED_VALUE"""),"")</f>
        <v/>
      </c>
      <c r="G6769" s="18"/>
      <c r="H6769" s="16" t="s">
        <v>87</v>
      </c>
      <c r="I6769" s="16" t="s">
        <v>87</v>
      </c>
      <c r="J6769" s="19"/>
      <c r="L6769" s="16" t="str">
        <f>IFERROR(__xludf.DUMMYFUNCTION("""COMPUTED_VALUE"""),"")</f>
        <v/>
      </c>
      <c r="M6769" s="16" t="str">
        <f>IFERROR(__xludf.DUMMYFUNCTION("""COMPUTED_VALUE"""),"")</f>
        <v/>
      </c>
      <c r="U6769" s="16" t="s">
        <v>87</v>
      </c>
      <c r="V6769" s="16" t="str">
        <f>IFERROR(__xludf.DUMMYFUNCTION("""COMPUTED_VALUE"""),"")</f>
        <v/>
      </c>
      <c r="W6769" s="16" t="str">
        <f>IFERROR(__xludf.DUMMYFUNCTION("""COMPUTED_VALUE"""),"")</f>
        <v/>
      </c>
      <c r="X6769" s="16" t="str">
        <f>IFERROR(__xludf.DUMMYFUNCTION("""COMPUTED_VALUE"""),"")</f>
        <v/>
      </c>
      <c r="AC6769" s="16" t="str">
        <f>IFERROR(__xludf.DUMMYFUNCTION("""COMPUTED_VALUE"""),"")</f>
        <v/>
      </c>
    </row>
    <row r="6770">
      <c r="A6770" s="16" t="s">
        <v>87</v>
      </c>
      <c r="E6770" s="16" t="str">
        <f>IFERROR(__xludf.DUMMYFUNCTION("""COMPUTED_VALUE"""),"")</f>
        <v/>
      </c>
      <c r="G6770" s="18"/>
      <c r="H6770" s="16" t="s">
        <v>87</v>
      </c>
      <c r="I6770" s="16" t="s">
        <v>87</v>
      </c>
      <c r="J6770" s="19"/>
      <c r="L6770" s="16" t="str">
        <f>IFERROR(__xludf.DUMMYFUNCTION("""COMPUTED_VALUE"""),"")</f>
        <v/>
      </c>
      <c r="M6770" s="16" t="str">
        <f>IFERROR(__xludf.DUMMYFUNCTION("""COMPUTED_VALUE"""),"")</f>
        <v/>
      </c>
      <c r="U6770" s="16" t="s">
        <v>87</v>
      </c>
      <c r="V6770" s="16" t="str">
        <f>IFERROR(__xludf.DUMMYFUNCTION("""COMPUTED_VALUE"""),"")</f>
        <v/>
      </c>
      <c r="W6770" s="16" t="str">
        <f>IFERROR(__xludf.DUMMYFUNCTION("""COMPUTED_VALUE"""),"")</f>
        <v/>
      </c>
      <c r="X6770" s="16" t="str">
        <f>IFERROR(__xludf.DUMMYFUNCTION("""COMPUTED_VALUE"""),"")</f>
        <v/>
      </c>
      <c r="AC6770" s="16" t="str">
        <f>IFERROR(__xludf.DUMMYFUNCTION("""COMPUTED_VALUE"""),"")</f>
        <v/>
      </c>
    </row>
    <row r="6771">
      <c r="A6771" s="16" t="s">
        <v>87</v>
      </c>
      <c r="E6771" s="16" t="str">
        <f>IFERROR(__xludf.DUMMYFUNCTION("""COMPUTED_VALUE"""),"")</f>
        <v/>
      </c>
      <c r="G6771" s="18"/>
      <c r="H6771" s="16" t="s">
        <v>87</v>
      </c>
      <c r="I6771" s="16" t="s">
        <v>87</v>
      </c>
      <c r="J6771" s="19"/>
      <c r="L6771" s="16" t="str">
        <f>IFERROR(__xludf.DUMMYFUNCTION("""COMPUTED_VALUE"""),"")</f>
        <v/>
      </c>
      <c r="M6771" s="16" t="str">
        <f>IFERROR(__xludf.DUMMYFUNCTION("""COMPUTED_VALUE"""),"")</f>
        <v/>
      </c>
      <c r="U6771" s="16" t="s">
        <v>87</v>
      </c>
      <c r="V6771" s="16" t="str">
        <f>IFERROR(__xludf.DUMMYFUNCTION("""COMPUTED_VALUE"""),"")</f>
        <v/>
      </c>
      <c r="W6771" s="16" t="str">
        <f>IFERROR(__xludf.DUMMYFUNCTION("""COMPUTED_VALUE"""),"")</f>
        <v/>
      </c>
      <c r="X6771" s="16" t="str">
        <f>IFERROR(__xludf.DUMMYFUNCTION("""COMPUTED_VALUE"""),"")</f>
        <v/>
      </c>
      <c r="AC6771" s="16" t="str">
        <f>IFERROR(__xludf.DUMMYFUNCTION("""COMPUTED_VALUE"""),"")</f>
        <v/>
      </c>
    </row>
    <row r="6772">
      <c r="A6772" s="16" t="s">
        <v>87</v>
      </c>
      <c r="E6772" s="16" t="str">
        <f>IFERROR(__xludf.DUMMYFUNCTION("""COMPUTED_VALUE"""),"")</f>
        <v/>
      </c>
      <c r="G6772" s="18"/>
      <c r="H6772" s="16" t="s">
        <v>87</v>
      </c>
      <c r="I6772" s="16" t="s">
        <v>87</v>
      </c>
      <c r="J6772" s="19"/>
      <c r="L6772" s="16" t="str">
        <f>IFERROR(__xludf.DUMMYFUNCTION("""COMPUTED_VALUE"""),"")</f>
        <v/>
      </c>
      <c r="M6772" s="16" t="str">
        <f>IFERROR(__xludf.DUMMYFUNCTION("""COMPUTED_VALUE"""),"")</f>
        <v/>
      </c>
      <c r="U6772" s="16" t="s">
        <v>87</v>
      </c>
      <c r="V6772" s="16" t="str">
        <f>IFERROR(__xludf.DUMMYFUNCTION("""COMPUTED_VALUE"""),"")</f>
        <v/>
      </c>
      <c r="W6772" s="16" t="str">
        <f>IFERROR(__xludf.DUMMYFUNCTION("""COMPUTED_VALUE"""),"")</f>
        <v/>
      </c>
      <c r="X6772" s="16" t="str">
        <f>IFERROR(__xludf.DUMMYFUNCTION("""COMPUTED_VALUE"""),"")</f>
        <v/>
      </c>
      <c r="AC6772" s="16" t="str">
        <f>IFERROR(__xludf.DUMMYFUNCTION("""COMPUTED_VALUE"""),"")</f>
        <v/>
      </c>
    </row>
    <row r="6773">
      <c r="A6773" s="16" t="s">
        <v>87</v>
      </c>
      <c r="E6773" s="16" t="str">
        <f>IFERROR(__xludf.DUMMYFUNCTION("""COMPUTED_VALUE"""),"")</f>
        <v/>
      </c>
      <c r="G6773" s="18"/>
      <c r="H6773" s="16" t="s">
        <v>87</v>
      </c>
      <c r="I6773" s="16" t="s">
        <v>87</v>
      </c>
      <c r="J6773" s="19"/>
      <c r="L6773" s="16" t="str">
        <f>IFERROR(__xludf.DUMMYFUNCTION("""COMPUTED_VALUE"""),"")</f>
        <v/>
      </c>
      <c r="M6773" s="16" t="str">
        <f>IFERROR(__xludf.DUMMYFUNCTION("""COMPUTED_VALUE"""),"")</f>
        <v/>
      </c>
      <c r="U6773" s="16" t="s">
        <v>87</v>
      </c>
      <c r="V6773" s="16" t="str">
        <f>IFERROR(__xludf.DUMMYFUNCTION("""COMPUTED_VALUE"""),"")</f>
        <v/>
      </c>
      <c r="W6773" s="16" t="str">
        <f>IFERROR(__xludf.DUMMYFUNCTION("""COMPUTED_VALUE"""),"")</f>
        <v/>
      </c>
      <c r="X6773" s="16" t="str">
        <f>IFERROR(__xludf.DUMMYFUNCTION("""COMPUTED_VALUE"""),"")</f>
        <v/>
      </c>
      <c r="AC6773" s="16" t="str">
        <f>IFERROR(__xludf.DUMMYFUNCTION("""COMPUTED_VALUE"""),"")</f>
        <v/>
      </c>
    </row>
    <row r="6774">
      <c r="A6774" s="16" t="s">
        <v>87</v>
      </c>
      <c r="E6774" s="16" t="str">
        <f>IFERROR(__xludf.DUMMYFUNCTION("""COMPUTED_VALUE"""),"")</f>
        <v/>
      </c>
      <c r="G6774" s="18"/>
      <c r="H6774" s="16" t="s">
        <v>87</v>
      </c>
      <c r="I6774" s="16" t="s">
        <v>87</v>
      </c>
      <c r="J6774" s="19"/>
      <c r="L6774" s="16" t="str">
        <f>IFERROR(__xludf.DUMMYFUNCTION("""COMPUTED_VALUE"""),"")</f>
        <v/>
      </c>
      <c r="M6774" s="16" t="str">
        <f>IFERROR(__xludf.DUMMYFUNCTION("""COMPUTED_VALUE"""),"")</f>
        <v/>
      </c>
      <c r="U6774" s="16" t="s">
        <v>87</v>
      </c>
      <c r="V6774" s="16" t="str">
        <f>IFERROR(__xludf.DUMMYFUNCTION("""COMPUTED_VALUE"""),"")</f>
        <v/>
      </c>
      <c r="W6774" s="16" t="str">
        <f>IFERROR(__xludf.DUMMYFUNCTION("""COMPUTED_VALUE"""),"")</f>
        <v/>
      </c>
      <c r="X6774" s="16" t="str">
        <f>IFERROR(__xludf.DUMMYFUNCTION("""COMPUTED_VALUE"""),"")</f>
        <v/>
      </c>
      <c r="AC6774" s="16" t="str">
        <f>IFERROR(__xludf.DUMMYFUNCTION("""COMPUTED_VALUE"""),"")</f>
        <v/>
      </c>
    </row>
    <row r="6775">
      <c r="A6775" s="16" t="s">
        <v>87</v>
      </c>
      <c r="E6775" s="16" t="str">
        <f>IFERROR(__xludf.DUMMYFUNCTION("""COMPUTED_VALUE"""),"")</f>
        <v/>
      </c>
      <c r="G6775" s="18"/>
      <c r="H6775" s="16" t="s">
        <v>87</v>
      </c>
      <c r="I6775" s="16" t="s">
        <v>87</v>
      </c>
      <c r="J6775" s="19"/>
      <c r="L6775" s="16" t="str">
        <f>IFERROR(__xludf.DUMMYFUNCTION("""COMPUTED_VALUE"""),"")</f>
        <v/>
      </c>
      <c r="M6775" s="16" t="str">
        <f>IFERROR(__xludf.DUMMYFUNCTION("""COMPUTED_VALUE"""),"")</f>
        <v/>
      </c>
      <c r="U6775" s="16" t="s">
        <v>87</v>
      </c>
      <c r="V6775" s="16" t="str">
        <f>IFERROR(__xludf.DUMMYFUNCTION("""COMPUTED_VALUE"""),"")</f>
        <v/>
      </c>
      <c r="W6775" s="16" t="str">
        <f>IFERROR(__xludf.DUMMYFUNCTION("""COMPUTED_VALUE"""),"")</f>
        <v/>
      </c>
      <c r="X6775" s="16" t="str">
        <f>IFERROR(__xludf.DUMMYFUNCTION("""COMPUTED_VALUE"""),"")</f>
        <v/>
      </c>
      <c r="AC6775" s="16" t="str">
        <f>IFERROR(__xludf.DUMMYFUNCTION("""COMPUTED_VALUE"""),"")</f>
        <v/>
      </c>
    </row>
    <row r="6776">
      <c r="A6776" s="16" t="s">
        <v>87</v>
      </c>
      <c r="E6776" s="16" t="str">
        <f>IFERROR(__xludf.DUMMYFUNCTION("""COMPUTED_VALUE"""),"")</f>
        <v/>
      </c>
      <c r="G6776" s="18"/>
      <c r="H6776" s="16" t="s">
        <v>87</v>
      </c>
      <c r="I6776" s="16" t="s">
        <v>87</v>
      </c>
      <c r="J6776" s="19"/>
      <c r="L6776" s="16" t="str">
        <f>IFERROR(__xludf.DUMMYFUNCTION("""COMPUTED_VALUE"""),"")</f>
        <v/>
      </c>
      <c r="M6776" s="16" t="str">
        <f>IFERROR(__xludf.DUMMYFUNCTION("""COMPUTED_VALUE"""),"")</f>
        <v/>
      </c>
      <c r="U6776" s="16" t="s">
        <v>87</v>
      </c>
      <c r="V6776" s="16" t="str">
        <f>IFERROR(__xludf.DUMMYFUNCTION("""COMPUTED_VALUE"""),"")</f>
        <v/>
      </c>
      <c r="W6776" s="16" t="str">
        <f>IFERROR(__xludf.DUMMYFUNCTION("""COMPUTED_VALUE"""),"")</f>
        <v/>
      </c>
      <c r="X6776" s="16" t="str">
        <f>IFERROR(__xludf.DUMMYFUNCTION("""COMPUTED_VALUE"""),"")</f>
        <v/>
      </c>
      <c r="AC6776" s="16" t="str">
        <f>IFERROR(__xludf.DUMMYFUNCTION("""COMPUTED_VALUE"""),"")</f>
        <v/>
      </c>
    </row>
    <row r="6777">
      <c r="A6777" s="16" t="s">
        <v>87</v>
      </c>
      <c r="E6777" s="16" t="str">
        <f>IFERROR(__xludf.DUMMYFUNCTION("""COMPUTED_VALUE"""),"")</f>
        <v/>
      </c>
      <c r="G6777" s="18"/>
      <c r="H6777" s="16" t="s">
        <v>87</v>
      </c>
      <c r="I6777" s="16" t="s">
        <v>87</v>
      </c>
      <c r="J6777" s="19"/>
      <c r="L6777" s="16" t="str">
        <f>IFERROR(__xludf.DUMMYFUNCTION("""COMPUTED_VALUE"""),"")</f>
        <v/>
      </c>
      <c r="M6777" s="16" t="str">
        <f>IFERROR(__xludf.DUMMYFUNCTION("""COMPUTED_VALUE"""),"")</f>
        <v/>
      </c>
      <c r="U6777" s="16" t="s">
        <v>87</v>
      </c>
      <c r="V6777" s="16" t="str">
        <f>IFERROR(__xludf.DUMMYFUNCTION("""COMPUTED_VALUE"""),"")</f>
        <v/>
      </c>
      <c r="W6777" s="16" t="str">
        <f>IFERROR(__xludf.DUMMYFUNCTION("""COMPUTED_VALUE"""),"")</f>
        <v/>
      </c>
      <c r="X6777" s="16" t="str">
        <f>IFERROR(__xludf.DUMMYFUNCTION("""COMPUTED_VALUE"""),"")</f>
        <v/>
      </c>
      <c r="AC6777" s="16" t="str">
        <f>IFERROR(__xludf.DUMMYFUNCTION("""COMPUTED_VALUE"""),"")</f>
        <v/>
      </c>
    </row>
    <row r="6778">
      <c r="A6778" s="16" t="s">
        <v>87</v>
      </c>
      <c r="E6778" s="16" t="str">
        <f>IFERROR(__xludf.DUMMYFUNCTION("""COMPUTED_VALUE"""),"")</f>
        <v/>
      </c>
      <c r="G6778" s="18"/>
      <c r="H6778" s="16" t="s">
        <v>87</v>
      </c>
      <c r="I6778" s="16" t="s">
        <v>87</v>
      </c>
      <c r="J6778" s="19"/>
      <c r="L6778" s="16" t="str">
        <f>IFERROR(__xludf.DUMMYFUNCTION("""COMPUTED_VALUE"""),"")</f>
        <v/>
      </c>
      <c r="M6778" s="16" t="str">
        <f>IFERROR(__xludf.DUMMYFUNCTION("""COMPUTED_VALUE"""),"")</f>
        <v/>
      </c>
      <c r="U6778" s="16" t="s">
        <v>87</v>
      </c>
      <c r="V6778" s="16" t="str">
        <f>IFERROR(__xludf.DUMMYFUNCTION("""COMPUTED_VALUE"""),"")</f>
        <v/>
      </c>
      <c r="W6778" s="16" t="str">
        <f>IFERROR(__xludf.DUMMYFUNCTION("""COMPUTED_VALUE"""),"")</f>
        <v/>
      </c>
      <c r="X6778" s="16" t="str">
        <f>IFERROR(__xludf.DUMMYFUNCTION("""COMPUTED_VALUE"""),"")</f>
        <v/>
      </c>
      <c r="AC6778" s="16" t="str">
        <f>IFERROR(__xludf.DUMMYFUNCTION("""COMPUTED_VALUE"""),"")</f>
        <v/>
      </c>
    </row>
    <row r="6779">
      <c r="A6779" s="16" t="s">
        <v>87</v>
      </c>
      <c r="E6779" s="16" t="str">
        <f>IFERROR(__xludf.DUMMYFUNCTION("""COMPUTED_VALUE"""),"")</f>
        <v/>
      </c>
      <c r="G6779" s="18"/>
      <c r="H6779" s="16" t="s">
        <v>87</v>
      </c>
      <c r="I6779" s="16" t="s">
        <v>87</v>
      </c>
      <c r="J6779" s="19"/>
      <c r="L6779" s="16" t="str">
        <f>IFERROR(__xludf.DUMMYFUNCTION("""COMPUTED_VALUE"""),"")</f>
        <v/>
      </c>
      <c r="M6779" s="16" t="str">
        <f>IFERROR(__xludf.DUMMYFUNCTION("""COMPUTED_VALUE"""),"")</f>
        <v/>
      </c>
      <c r="U6779" s="16" t="s">
        <v>87</v>
      </c>
      <c r="V6779" s="16" t="str">
        <f>IFERROR(__xludf.DUMMYFUNCTION("""COMPUTED_VALUE"""),"")</f>
        <v/>
      </c>
      <c r="W6779" s="16" t="str">
        <f>IFERROR(__xludf.DUMMYFUNCTION("""COMPUTED_VALUE"""),"")</f>
        <v/>
      </c>
      <c r="X6779" s="16" t="str">
        <f>IFERROR(__xludf.DUMMYFUNCTION("""COMPUTED_VALUE"""),"")</f>
        <v/>
      </c>
      <c r="AC6779" s="16" t="str">
        <f>IFERROR(__xludf.DUMMYFUNCTION("""COMPUTED_VALUE"""),"")</f>
        <v/>
      </c>
    </row>
    <row r="6780">
      <c r="A6780" s="16" t="s">
        <v>87</v>
      </c>
      <c r="E6780" s="16" t="str">
        <f>IFERROR(__xludf.DUMMYFUNCTION("""COMPUTED_VALUE"""),"")</f>
        <v/>
      </c>
      <c r="G6780" s="18"/>
      <c r="H6780" s="16" t="s">
        <v>87</v>
      </c>
      <c r="I6780" s="16" t="s">
        <v>87</v>
      </c>
      <c r="J6780" s="19"/>
      <c r="L6780" s="16" t="str">
        <f>IFERROR(__xludf.DUMMYFUNCTION("""COMPUTED_VALUE"""),"")</f>
        <v/>
      </c>
      <c r="M6780" s="16" t="str">
        <f>IFERROR(__xludf.DUMMYFUNCTION("""COMPUTED_VALUE"""),"")</f>
        <v/>
      </c>
      <c r="U6780" s="16" t="s">
        <v>87</v>
      </c>
      <c r="V6780" s="16" t="str">
        <f>IFERROR(__xludf.DUMMYFUNCTION("""COMPUTED_VALUE"""),"")</f>
        <v/>
      </c>
      <c r="W6780" s="16" t="str">
        <f>IFERROR(__xludf.DUMMYFUNCTION("""COMPUTED_VALUE"""),"")</f>
        <v/>
      </c>
      <c r="X6780" s="16" t="str">
        <f>IFERROR(__xludf.DUMMYFUNCTION("""COMPUTED_VALUE"""),"")</f>
        <v/>
      </c>
      <c r="AC6780" s="16" t="str">
        <f>IFERROR(__xludf.DUMMYFUNCTION("""COMPUTED_VALUE"""),"")</f>
        <v/>
      </c>
    </row>
    <row r="6781">
      <c r="A6781" s="16" t="s">
        <v>87</v>
      </c>
      <c r="E6781" s="16" t="str">
        <f>IFERROR(__xludf.DUMMYFUNCTION("""COMPUTED_VALUE"""),"")</f>
        <v/>
      </c>
      <c r="G6781" s="18"/>
      <c r="H6781" s="16" t="s">
        <v>87</v>
      </c>
      <c r="I6781" s="16" t="s">
        <v>87</v>
      </c>
      <c r="J6781" s="19"/>
      <c r="L6781" s="16" t="str">
        <f>IFERROR(__xludf.DUMMYFUNCTION("""COMPUTED_VALUE"""),"")</f>
        <v/>
      </c>
      <c r="M6781" s="16" t="str">
        <f>IFERROR(__xludf.DUMMYFUNCTION("""COMPUTED_VALUE"""),"")</f>
        <v/>
      </c>
      <c r="U6781" s="16" t="s">
        <v>87</v>
      </c>
      <c r="V6781" s="16" t="str">
        <f>IFERROR(__xludf.DUMMYFUNCTION("""COMPUTED_VALUE"""),"")</f>
        <v/>
      </c>
      <c r="W6781" s="16" t="str">
        <f>IFERROR(__xludf.DUMMYFUNCTION("""COMPUTED_VALUE"""),"")</f>
        <v/>
      </c>
      <c r="X6781" s="16" t="str">
        <f>IFERROR(__xludf.DUMMYFUNCTION("""COMPUTED_VALUE"""),"")</f>
        <v/>
      </c>
      <c r="AC6781" s="16" t="str">
        <f>IFERROR(__xludf.DUMMYFUNCTION("""COMPUTED_VALUE"""),"")</f>
        <v/>
      </c>
    </row>
    <row r="6782">
      <c r="A6782" s="16" t="s">
        <v>87</v>
      </c>
      <c r="E6782" s="16" t="str">
        <f>IFERROR(__xludf.DUMMYFUNCTION("""COMPUTED_VALUE"""),"")</f>
        <v/>
      </c>
      <c r="G6782" s="18"/>
      <c r="H6782" s="16" t="s">
        <v>87</v>
      </c>
      <c r="I6782" s="16" t="s">
        <v>87</v>
      </c>
      <c r="J6782" s="19"/>
      <c r="L6782" s="16" t="str">
        <f>IFERROR(__xludf.DUMMYFUNCTION("""COMPUTED_VALUE"""),"")</f>
        <v/>
      </c>
      <c r="M6782" s="16" t="str">
        <f>IFERROR(__xludf.DUMMYFUNCTION("""COMPUTED_VALUE"""),"")</f>
        <v/>
      </c>
      <c r="U6782" s="16" t="s">
        <v>87</v>
      </c>
      <c r="V6782" s="16" t="str">
        <f>IFERROR(__xludf.DUMMYFUNCTION("""COMPUTED_VALUE"""),"")</f>
        <v/>
      </c>
      <c r="W6782" s="16" t="str">
        <f>IFERROR(__xludf.DUMMYFUNCTION("""COMPUTED_VALUE"""),"")</f>
        <v/>
      </c>
      <c r="X6782" s="16" t="str">
        <f>IFERROR(__xludf.DUMMYFUNCTION("""COMPUTED_VALUE"""),"")</f>
        <v/>
      </c>
      <c r="AC6782" s="16" t="str">
        <f>IFERROR(__xludf.DUMMYFUNCTION("""COMPUTED_VALUE"""),"")</f>
        <v/>
      </c>
    </row>
    <row r="6783">
      <c r="A6783" s="16" t="s">
        <v>87</v>
      </c>
      <c r="E6783" s="16" t="str">
        <f>IFERROR(__xludf.DUMMYFUNCTION("""COMPUTED_VALUE"""),"")</f>
        <v/>
      </c>
      <c r="G6783" s="18"/>
      <c r="H6783" s="16" t="s">
        <v>87</v>
      </c>
      <c r="I6783" s="16" t="s">
        <v>87</v>
      </c>
      <c r="J6783" s="19"/>
      <c r="L6783" s="16" t="str">
        <f>IFERROR(__xludf.DUMMYFUNCTION("""COMPUTED_VALUE"""),"")</f>
        <v/>
      </c>
      <c r="M6783" s="16" t="str">
        <f>IFERROR(__xludf.DUMMYFUNCTION("""COMPUTED_VALUE"""),"")</f>
        <v/>
      </c>
      <c r="U6783" s="16" t="s">
        <v>87</v>
      </c>
      <c r="V6783" s="16" t="str">
        <f>IFERROR(__xludf.DUMMYFUNCTION("""COMPUTED_VALUE"""),"")</f>
        <v/>
      </c>
      <c r="W6783" s="16" t="str">
        <f>IFERROR(__xludf.DUMMYFUNCTION("""COMPUTED_VALUE"""),"")</f>
        <v/>
      </c>
      <c r="X6783" s="16" t="str">
        <f>IFERROR(__xludf.DUMMYFUNCTION("""COMPUTED_VALUE"""),"")</f>
        <v/>
      </c>
      <c r="AC6783" s="16" t="str">
        <f>IFERROR(__xludf.DUMMYFUNCTION("""COMPUTED_VALUE"""),"")</f>
        <v/>
      </c>
    </row>
    <row r="6784">
      <c r="A6784" s="16" t="s">
        <v>87</v>
      </c>
      <c r="E6784" s="16" t="str">
        <f>IFERROR(__xludf.DUMMYFUNCTION("""COMPUTED_VALUE"""),"")</f>
        <v/>
      </c>
      <c r="G6784" s="18"/>
      <c r="H6784" s="16" t="s">
        <v>87</v>
      </c>
      <c r="I6784" s="16" t="s">
        <v>87</v>
      </c>
      <c r="J6784" s="19"/>
      <c r="L6784" s="16" t="str">
        <f>IFERROR(__xludf.DUMMYFUNCTION("""COMPUTED_VALUE"""),"")</f>
        <v/>
      </c>
      <c r="M6784" s="16" t="str">
        <f>IFERROR(__xludf.DUMMYFUNCTION("""COMPUTED_VALUE"""),"")</f>
        <v/>
      </c>
      <c r="U6784" s="16" t="s">
        <v>87</v>
      </c>
      <c r="V6784" s="16" t="str">
        <f>IFERROR(__xludf.DUMMYFUNCTION("""COMPUTED_VALUE"""),"")</f>
        <v/>
      </c>
      <c r="W6784" s="16" t="str">
        <f>IFERROR(__xludf.DUMMYFUNCTION("""COMPUTED_VALUE"""),"")</f>
        <v/>
      </c>
      <c r="X6784" s="16" t="str">
        <f>IFERROR(__xludf.DUMMYFUNCTION("""COMPUTED_VALUE"""),"")</f>
        <v/>
      </c>
      <c r="AC6784" s="16" t="str">
        <f>IFERROR(__xludf.DUMMYFUNCTION("""COMPUTED_VALUE"""),"")</f>
        <v/>
      </c>
    </row>
    <row r="6785">
      <c r="A6785" s="16" t="s">
        <v>87</v>
      </c>
      <c r="E6785" s="16" t="str">
        <f>IFERROR(__xludf.DUMMYFUNCTION("""COMPUTED_VALUE"""),"")</f>
        <v/>
      </c>
      <c r="G6785" s="18"/>
      <c r="H6785" s="16" t="s">
        <v>87</v>
      </c>
      <c r="I6785" s="16" t="s">
        <v>87</v>
      </c>
      <c r="J6785" s="19"/>
      <c r="L6785" s="16" t="str">
        <f>IFERROR(__xludf.DUMMYFUNCTION("""COMPUTED_VALUE"""),"")</f>
        <v/>
      </c>
      <c r="M6785" s="16" t="str">
        <f>IFERROR(__xludf.DUMMYFUNCTION("""COMPUTED_VALUE"""),"")</f>
        <v/>
      </c>
      <c r="U6785" s="16" t="s">
        <v>87</v>
      </c>
      <c r="V6785" s="16" t="str">
        <f>IFERROR(__xludf.DUMMYFUNCTION("""COMPUTED_VALUE"""),"")</f>
        <v/>
      </c>
      <c r="W6785" s="16" t="str">
        <f>IFERROR(__xludf.DUMMYFUNCTION("""COMPUTED_VALUE"""),"")</f>
        <v/>
      </c>
      <c r="X6785" s="16" t="str">
        <f>IFERROR(__xludf.DUMMYFUNCTION("""COMPUTED_VALUE"""),"")</f>
        <v/>
      </c>
      <c r="AC6785" s="16" t="str">
        <f>IFERROR(__xludf.DUMMYFUNCTION("""COMPUTED_VALUE"""),"")</f>
        <v/>
      </c>
    </row>
    <row r="6786">
      <c r="A6786" s="16" t="s">
        <v>87</v>
      </c>
      <c r="E6786" s="16" t="str">
        <f>IFERROR(__xludf.DUMMYFUNCTION("""COMPUTED_VALUE"""),"")</f>
        <v/>
      </c>
      <c r="G6786" s="18"/>
      <c r="H6786" s="16" t="s">
        <v>87</v>
      </c>
      <c r="I6786" s="16" t="s">
        <v>87</v>
      </c>
      <c r="J6786" s="19"/>
      <c r="L6786" s="16" t="str">
        <f>IFERROR(__xludf.DUMMYFUNCTION("""COMPUTED_VALUE"""),"")</f>
        <v/>
      </c>
      <c r="M6786" s="16" t="str">
        <f>IFERROR(__xludf.DUMMYFUNCTION("""COMPUTED_VALUE"""),"")</f>
        <v/>
      </c>
      <c r="U6786" s="16" t="s">
        <v>87</v>
      </c>
      <c r="V6786" s="16" t="str">
        <f>IFERROR(__xludf.DUMMYFUNCTION("""COMPUTED_VALUE"""),"")</f>
        <v/>
      </c>
      <c r="W6786" s="16" t="str">
        <f>IFERROR(__xludf.DUMMYFUNCTION("""COMPUTED_VALUE"""),"")</f>
        <v/>
      </c>
      <c r="X6786" s="16" t="str">
        <f>IFERROR(__xludf.DUMMYFUNCTION("""COMPUTED_VALUE"""),"")</f>
        <v/>
      </c>
      <c r="AC6786" s="16" t="str">
        <f>IFERROR(__xludf.DUMMYFUNCTION("""COMPUTED_VALUE"""),"")</f>
        <v/>
      </c>
    </row>
    <row r="6787">
      <c r="A6787" s="16" t="s">
        <v>87</v>
      </c>
      <c r="E6787" s="16" t="str">
        <f>IFERROR(__xludf.DUMMYFUNCTION("""COMPUTED_VALUE"""),"")</f>
        <v/>
      </c>
      <c r="G6787" s="18"/>
      <c r="H6787" s="16" t="s">
        <v>87</v>
      </c>
      <c r="I6787" s="16" t="s">
        <v>87</v>
      </c>
      <c r="J6787" s="19"/>
      <c r="L6787" s="16" t="str">
        <f>IFERROR(__xludf.DUMMYFUNCTION("""COMPUTED_VALUE"""),"")</f>
        <v/>
      </c>
      <c r="M6787" s="16" t="str">
        <f>IFERROR(__xludf.DUMMYFUNCTION("""COMPUTED_VALUE"""),"")</f>
        <v/>
      </c>
      <c r="U6787" s="16" t="s">
        <v>87</v>
      </c>
      <c r="V6787" s="16" t="str">
        <f>IFERROR(__xludf.DUMMYFUNCTION("""COMPUTED_VALUE"""),"")</f>
        <v/>
      </c>
      <c r="W6787" s="16" t="str">
        <f>IFERROR(__xludf.DUMMYFUNCTION("""COMPUTED_VALUE"""),"")</f>
        <v/>
      </c>
      <c r="X6787" s="16" t="str">
        <f>IFERROR(__xludf.DUMMYFUNCTION("""COMPUTED_VALUE"""),"")</f>
        <v/>
      </c>
      <c r="AC6787" s="16" t="str">
        <f>IFERROR(__xludf.DUMMYFUNCTION("""COMPUTED_VALUE"""),"")</f>
        <v/>
      </c>
    </row>
    <row r="6788">
      <c r="A6788" s="16" t="s">
        <v>87</v>
      </c>
      <c r="E6788" s="16" t="str">
        <f>IFERROR(__xludf.DUMMYFUNCTION("""COMPUTED_VALUE"""),"")</f>
        <v/>
      </c>
      <c r="G6788" s="18"/>
      <c r="H6788" s="16" t="s">
        <v>87</v>
      </c>
      <c r="I6788" s="16" t="s">
        <v>87</v>
      </c>
      <c r="J6788" s="19"/>
      <c r="L6788" s="16" t="str">
        <f>IFERROR(__xludf.DUMMYFUNCTION("""COMPUTED_VALUE"""),"")</f>
        <v/>
      </c>
      <c r="M6788" s="16" t="str">
        <f>IFERROR(__xludf.DUMMYFUNCTION("""COMPUTED_VALUE"""),"")</f>
        <v/>
      </c>
      <c r="U6788" s="16" t="s">
        <v>87</v>
      </c>
      <c r="V6788" s="16" t="str">
        <f>IFERROR(__xludf.DUMMYFUNCTION("""COMPUTED_VALUE"""),"")</f>
        <v/>
      </c>
      <c r="W6788" s="16" t="str">
        <f>IFERROR(__xludf.DUMMYFUNCTION("""COMPUTED_VALUE"""),"")</f>
        <v/>
      </c>
      <c r="X6788" s="16" t="str">
        <f>IFERROR(__xludf.DUMMYFUNCTION("""COMPUTED_VALUE"""),"")</f>
        <v/>
      </c>
      <c r="AC6788" s="16" t="str">
        <f>IFERROR(__xludf.DUMMYFUNCTION("""COMPUTED_VALUE"""),"")</f>
        <v/>
      </c>
    </row>
    <row r="6789">
      <c r="A6789" s="16" t="s">
        <v>87</v>
      </c>
      <c r="E6789" s="16" t="str">
        <f>IFERROR(__xludf.DUMMYFUNCTION("""COMPUTED_VALUE"""),"")</f>
        <v/>
      </c>
      <c r="G6789" s="18"/>
      <c r="H6789" s="16" t="s">
        <v>87</v>
      </c>
      <c r="I6789" s="16" t="s">
        <v>87</v>
      </c>
      <c r="J6789" s="19"/>
      <c r="L6789" s="16" t="str">
        <f>IFERROR(__xludf.DUMMYFUNCTION("""COMPUTED_VALUE"""),"")</f>
        <v/>
      </c>
      <c r="M6789" s="16" t="str">
        <f>IFERROR(__xludf.DUMMYFUNCTION("""COMPUTED_VALUE"""),"")</f>
        <v/>
      </c>
      <c r="U6789" s="16" t="s">
        <v>87</v>
      </c>
      <c r="V6789" s="16" t="str">
        <f>IFERROR(__xludf.DUMMYFUNCTION("""COMPUTED_VALUE"""),"")</f>
        <v/>
      </c>
      <c r="W6789" s="16" t="str">
        <f>IFERROR(__xludf.DUMMYFUNCTION("""COMPUTED_VALUE"""),"")</f>
        <v/>
      </c>
      <c r="X6789" s="16" t="str">
        <f>IFERROR(__xludf.DUMMYFUNCTION("""COMPUTED_VALUE"""),"")</f>
        <v/>
      </c>
      <c r="AC6789" s="16" t="str">
        <f>IFERROR(__xludf.DUMMYFUNCTION("""COMPUTED_VALUE"""),"")</f>
        <v/>
      </c>
    </row>
    <row r="6790">
      <c r="A6790" s="16" t="s">
        <v>87</v>
      </c>
      <c r="E6790" s="16" t="str">
        <f>IFERROR(__xludf.DUMMYFUNCTION("""COMPUTED_VALUE"""),"")</f>
        <v/>
      </c>
      <c r="G6790" s="18"/>
      <c r="H6790" s="16" t="s">
        <v>87</v>
      </c>
      <c r="I6790" s="16" t="s">
        <v>87</v>
      </c>
      <c r="J6790" s="19"/>
      <c r="L6790" s="16" t="str">
        <f>IFERROR(__xludf.DUMMYFUNCTION("""COMPUTED_VALUE"""),"")</f>
        <v/>
      </c>
      <c r="M6790" s="16" t="str">
        <f>IFERROR(__xludf.DUMMYFUNCTION("""COMPUTED_VALUE"""),"")</f>
        <v/>
      </c>
      <c r="U6790" s="16" t="s">
        <v>87</v>
      </c>
      <c r="V6790" s="16" t="str">
        <f>IFERROR(__xludf.DUMMYFUNCTION("""COMPUTED_VALUE"""),"")</f>
        <v/>
      </c>
      <c r="W6790" s="16" t="str">
        <f>IFERROR(__xludf.DUMMYFUNCTION("""COMPUTED_VALUE"""),"")</f>
        <v/>
      </c>
      <c r="X6790" s="16" t="str">
        <f>IFERROR(__xludf.DUMMYFUNCTION("""COMPUTED_VALUE"""),"")</f>
        <v/>
      </c>
      <c r="AC6790" s="16" t="str">
        <f>IFERROR(__xludf.DUMMYFUNCTION("""COMPUTED_VALUE"""),"")</f>
        <v/>
      </c>
    </row>
    <row r="6791">
      <c r="A6791" s="16" t="s">
        <v>87</v>
      </c>
      <c r="E6791" s="16" t="str">
        <f>IFERROR(__xludf.DUMMYFUNCTION("""COMPUTED_VALUE"""),"")</f>
        <v/>
      </c>
      <c r="G6791" s="18"/>
      <c r="H6791" s="16" t="s">
        <v>87</v>
      </c>
      <c r="I6791" s="16" t="s">
        <v>87</v>
      </c>
      <c r="J6791" s="19"/>
      <c r="L6791" s="16" t="str">
        <f>IFERROR(__xludf.DUMMYFUNCTION("""COMPUTED_VALUE"""),"")</f>
        <v/>
      </c>
      <c r="M6791" s="16" t="str">
        <f>IFERROR(__xludf.DUMMYFUNCTION("""COMPUTED_VALUE"""),"")</f>
        <v/>
      </c>
      <c r="U6791" s="16" t="s">
        <v>87</v>
      </c>
      <c r="V6791" s="16" t="str">
        <f>IFERROR(__xludf.DUMMYFUNCTION("""COMPUTED_VALUE"""),"")</f>
        <v/>
      </c>
      <c r="W6791" s="16" t="str">
        <f>IFERROR(__xludf.DUMMYFUNCTION("""COMPUTED_VALUE"""),"")</f>
        <v/>
      </c>
      <c r="X6791" s="16" t="str">
        <f>IFERROR(__xludf.DUMMYFUNCTION("""COMPUTED_VALUE"""),"")</f>
        <v/>
      </c>
      <c r="AC6791" s="16" t="str">
        <f>IFERROR(__xludf.DUMMYFUNCTION("""COMPUTED_VALUE"""),"")</f>
        <v/>
      </c>
    </row>
    <row r="6792">
      <c r="A6792" s="16" t="s">
        <v>87</v>
      </c>
      <c r="E6792" s="16" t="str">
        <f>IFERROR(__xludf.DUMMYFUNCTION("""COMPUTED_VALUE"""),"")</f>
        <v/>
      </c>
      <c r="G6792" s="18"/>
      <c r="H6792" s="16" t="s">
        <v>87</v>
      </c>
      <c r="I6792" s="16" t="s">
        <v>87</v>
      </c>
      <c r="J6792" s="19"/>
      <c r="L6792" s="16" t="str">
        <f>IFERROR(__xludf.DUMMYFUNCTION("""COMPUTED_VALUE"""),"")</f>
        <v/>
      </c>
      <c r="M6792" s="16" t="str">
        <f>IFERROR(__xludf.DUMMYFUNCTION("""COMPUTED_VALUE"""),"")</f>
        <v/>
      </c>
      <c r="U6792" s="16" t="s">
        <v>87</v>
      </c>
      <c r="V6792" s="16" t="str">
        <f>IFERROR(__xludf.DUMMYFUNCTION("""COMPUTED_VALUE"""),"")</f>
        <v/>
      </c>
      <c r="W6792" s="16" t="str">
        <f>IFERROR(__xludf.DUMMYFUNCTION("""COMPUTED_VALUE"""),"")</f>
        <v/>
      </c>
      <c r="X6792" s="16" t="str">
        <f>IFERROR(__xludf.DUMMYFUNCTION("""COMPUTED_VALUE"""),"")</f>
        <v/>
      </c>
      <c r="AC6792" s="16" t="str">
        <f>IFERROR(__xludf.DUMMYFUNCTION("""COMPUTED_VALUE"""),"")</f>
        <v/>
      </c>
    </row>
    <row r="6793">
      <c r="A6793" s="16" t="s">
        <v>87</v>
      </c>
      <c r="E6793" s="16" t="str">
        <f>IFERROR(__xludf.DUMMYFUNCTION("""COMPUTED_VALUE"""),"")</f>
        <v/>
      </c>
      <c r="G6793" s="18"/>
      <c r="H6793" s="16" t="s">
        <v>87</v>
      </c>
      <c r="I6793" s="16" t="s">
        <v>87</v>
      </c>
      <c r="J6793" s="19"/>
      <c r="L6793" s="16" t="str">
        <f>IFERROR(__xludf.DUMMYFUNCTION("""COMPUTED_VALUE"""),"")</f>
        <v/>
      </c>
      <c r="M6793" s="16" t="str">
        <f>IFERROR(__xludf.DUMMYFUNCTION("""COMPUTED_VALUE"""),"")</f>
        <v/>
      </c>
      <c r="U6793" s="16" t="s">
        <v>87</v>
      </c>
      <c r="V6793" s="16" t="str">
        <f>IFERROR(__xludf.DUMMYFUNCTION("""COMPUTED_VALUE"""),"")</f>
        <v/>
      </c>
      <c r="W6793" s="16" t="str">
        <f>IFERROR(__xludf.DUMMYFUNCTION("""COMPUTED_VALUE"""),"")</f>
        <v/>
      </c>
      <c r="X6793" s="16" t="str">
        <f>IFERROR(__xludf.DUMMYFUNCTION("""COMPUTED_VALUE"""),"")</f>
        <v/>
      </c>
      <c r="AC6793" s="16" t="str">
        <f>IFERROR(__xludf.DUMMYFUNCTION("""COMPUTED_VALUE"""),"")</f>
        <v/>
      </c>
    </row>
    <row r="6794">
      <c r="A6794" s="16" t="s">
        <v>87</v>
      </c>
      <c r="E6794" s="16" t="str">
        <f>IFERROR(__xludf.DUMMYFUNCTION("""COMPUTED_VALUE"""),"")</f>
        <v/>
      </c>
      <c r="G6794" s="18"/>
      <c r="H6794" s="16" t="s">
        <v>87</v>
      </c>
      <c r="I6794" s="16" t="s">
        <v>87</v>
      </c>
      <c r="J6794" s="19"/>
      <c r="L6794" s="16" t="str">
        <f>IFERROR(__xludf.DUMMYFUNCTION("""COMPUTED_VALUE"""),"")</f>
        <v/>
      </c>
      <c r="M6794" s="16" t="str">
        <f>IFERROR(__xludf.DUMMYFUNCTION("""COMPUTED_VALUE"""),"")</f>
        <v/>
      </c>
      <c r="U6794" s="16" t="s">
        <v>87</v>
      </c>
      <c r="V6794" s="16" t="str">
        <f>IFERROR(__xludf.DUMMYFUNCTION("""COMPUTED_VALUE"""),"")</f>
        <v/>
      </c>
      <c r="W6794" s="16" t="str">
        <f>IFERROR(__xludf.DUMMYFUNCTION("""COMPUTED_VALUE"""),"")</f>
        <v/>
      </c>
      <c r="X6794" s="16" t="str">
        <f>IFERROR(__xludf.DUMMYFUNCTION("""COMPUTED_VALUE"""),"")</f>
        <v/>
      </c>
      <c r="AC6794" s="16" t="str">
        <f>IFERROR(__xludf.DUMMYFUNCTION("""COMPUTED_VALUE"""),"")</f>
        <v/>
      </c>
    </row>
    <row r="6795">
      <c r="A6795" s="16" t="s">
        <v>87</v>
      </c>
      <c r="E6795" s="16" t="str">
        <f>IFERROR(__xludf.DUMMYFUNCTION("""COMPUTED_VALUE"""),"")</f>
        <v/>
      </c>
      <c r="G6795" s="18"/>
      <c r="H6795" s="16" t="s">
        <v>87</v>
      </c>
      <c r="I6795" s="16" t="s">
        <v>87</v>
      </c>
      <c r="J6795" s="19"/>
      <c r="L6795" s="16" t="str">
        <f>IFERROR(__xludf.DUMMYFUNCTION("""COMPUTED_VALUE"""),"")</f>
        <v/>
      </c>
      <c r="M6795" s="16" t="str">
        <f>IFERROR(__xludf.DUMMYFUNCTION("""COMPUTED_VALUE"""),"")</f>
        <v/>
      </c>
      <c r="U6795" s="16" t="s">
        <v>87</v>
      </c>
      <c r="V6795" s="16" t="str">
        <f>IFERROR(__xludf.DUMMYFUNCTION("""COMPUTED_VALUE"""),"")</f>
        <v/>
      </c>
      <c r="W6795" s="16" t="str">
        <f>IFERROR(__xludf.DUMMYFUNCTION("""COMPUTED_VALUE"""),"")</f>
        <v/>
      </c>
      <c r="X6795" s="16" t="str">
        <f>IFERROR(__xludf.DUMMYFUNCTION("""COMPUTED_VALUE"""),"")</f>
        <v/>
      </c>
      <c r="AC6795" s="16" t="str">
        <f>IFERROR(__xludf.DUMMYFUNCTION("""COMPUTED_VALUE"""),"")</f>
        <v/>
      </c>
    </row>
    <row r="6796">
      <c r="A6796" s="16" t="s">
        <v>87</v>
      </c>
      <c r="E6796" s="16" t="str">
        <f>IFERROR(__xludf.DUMMYFUNCTION("""COMPUTED_VALUE"""),"")</f>
        <v/>
      </c>
      <c r="G6796" s="18"/>
      <c r="H6796" s="16" t="s">
        <v>87</v>
      </c>
      <c r="I6796" s="16" t="s">
        <v>87</v>
      </c>
      <c r="J6796" s="19"/>
      <c r="L6796" s="16" t="str">
        <f>IFERROR(__xludf.DUMMYFUNCTION("""COMPUTED_VALUE"""),"")</f>
        <v/>
      </c>
      <c r="M6796" s="16" t="str">
        <f>IFERROR(__xludf.DUMMYFUNCTION("""COMPUTED_VALUE"""),"")</f>
        <v/>
      </c>
      <c r="U6796" s="16" t="s">
        <v>87</v>
      </c>
      <c r="V6796" s="16" t="str">
        <f>IFERROR(__xludf.DUMMYFUNCTION("""COMPUTED_VALUE"""),"")</f>
        <v/>
      </c>
      <c r="W6796" s="16" t="str">
        <f>IFERROR(__xludf.DUMMYFUNCTION("""COMPUTED_VALUE"""),"")</f>
        <v/>
      </c>
      <c r="X6796" s="16" t="str">
        <f>IFERROR(__xludf.DUMMYFUNCTION("""COMPUTED_VALUE"""),"")</f>
        <v/>
      </c>
      <c r="AC6796" s="16" t="str">
        <f>IFERROR(__xludf.DUMMYFUNCTION("""COMPUTED_VALUE"""),"")</f>
        <v/>
      </c>
    </row>
    <row r="6797">
      <c r="A6797" s="16" t="s">
        <v>87</v>
      </c>
      <c r="E6797" s="16" t="str">
        <f>IFERROR(__xludf.DUMMYFUNCTION("""COMPUTED_VALUE"""),"")</f>
        <v/>
      </c>
      <c r="G6797" s="18"/>
      <c r="H6797" s="16" t="s">
        <v>87</v>
      </c>
      <c r="I6797" s="16" t="s">
        <v>87</v>
      </c>
      <c r="J6797" s="19"/>
      <c r="L6797" s="16" t="str">
        <f>IFERROR(__xludf.DUMMYFUNCTION("""COMPUTED_VALUE"""),"")</f>
        <v/>
      </c>
      <c r="M6797" s="16" t="str">
        <f>IFERROR(__xludf.DUMMYFUNCTION("""COMPUTED_VALUE"""),"")</f>
        <v/>
      </c>
      <c r="U6797" s="16" t="s">
        <v>87</v>
      </c>
      <c r="V6797" s="16" t="str">
        <f>IFERROR(__xludf.DUMMYFUNCTION("""COMPUTED_VALUE"""),"")</f>
        <v/>
      </c>
      <c r="W6797" s="16" t="str">
        <f>IFERROR(__xludf.DUMMYFUNCTION("""COMPUTED_VALUE"""),"")</f>
        <v/>
      </c>
      <c r="X6797" s="16" t="str">
        <f>IFERROR(__xludf.DUMMYFUNCTION("""COMPUTED_VALUE"""),"")</f>
        <v/>
      </c>
      <c r="AC6797" s="16" t="str">
        <f>IFERROR(__xludf.DUMMYFUNCTION("""COMPUTED_VALUE"""),"")</f>
        <v/>
      </c>
    </row>
    <row r="6798">
      <c r="A6798" s="16" t="s">
        <v>87</v>
      </c>
      <c r="E6798" s="16" t="str">
        <f>IFERROR(__xludf.DUMMYFUNCTION("""COMPUTED_VALUE"""),"")</f>
        <v/>
      </c>
      <c r="G6798" s="18"/>
      <c r="H6798" s="16" t="s">
        <v>87</v>
      </c>
      <c r="I6798" s="16" t="s">
        <v>87</v>
      </c>
      <c r="J6798" s="19"/>
      <c r="L6798" s="16" t="str">
        <f>IFERROR(__xludf.DUMMYFUNCTION("""COMPUTED_VALUE"""),"")</f>
        <v/>
      </c>
      <c r="M6798" s="16" t="str">
        <f>IFERROR(__xludf.DUMMYFUNCTION("""COMPUTED_VALUE"""),"")</f>
        <v/>
      </c>
      <c r="U6798" s="16" t="s">
        <v>87</v>
      </c>
      <c r="V6798" s="16" t="str">
        <f>IFERROR(__xludf.DUMMYFUNCTION("""COMPUTED_VALUE"""),"")</f>
        <v/>
      </c>
      <c r="W6798" s="16" t="str">
        <f>IFERROR(__xludf.DUMMYFUNCTION("""COMPUTED_VALUE"""),"")</f>
        <v/>
      </c>
      <c r="X6798" s="16" t="str">
        <f>IFERROR(__xludf.DUMMYFUNCTION("""COMPUTED_VALUE"""),"")</f>
        <v/>
      </c>
      <c r="AC6798" s="16" t="str">
        <f>IFERROR(__xludf.DUMMYFUNCTION("""COMPUTED_VALUE"""),"")</f>
        <v/>
      </c>
    </row>
    <row r="6799">
      <c r="A6799" s="16" t="s">
        <v>87</v>
      </c>
      <c r="E6799" s="16" t="str">
        <f>IFERROR(__xludf.DUMMYFUNCTION("""COMPUTED_VALUE"""),"")</f>
        <v/>
      </c>
      <c r="G6799" s="18"/>
      <c r="H6799" s="16" t="s">
        <v>87</v>
      </c>
      <c r="I6799" s="16" t="s">
        <v>87</v>
      </c>
      <c r="J6799" s="19"/>
      <c r="L6799" s="16" t="str">
        <f>IFERROR(__xludf.DUMMYFUNCTION("""COMPUTED_VALUE"""),"")</f>
        <v/>
      </c>
      <c r="M6799" s="16" t="str">
        <f>IFERROR(__xludf.DUMMYFUNCTION("""COMPUTED_VALUE"""),"")</f>
        <v/>
      </c>
      <c r="U6799" s="16" t="s">
        <v>87</v>
      </c>
      <c r="V6799" s="16" t="str">
        <f>IFERROR(__xludf.DUMMYFUNCTION("""COMPUTED_VALUE"""),"")</f>
        <v/>
      </c>
      <c r="W6799" s="16" t="str">
        <f>IFERROR(__xludf.DUMMYFUNCTION("""COMPUTED_VALUE"""),"")</f>
        <v/>
      </c>
      <c r="X6799" s="16" t="str">
        <f>IFERROR(__xludf.DUMMYFUNCTION("""COMPUTED_VALUE"""),"")</f>
        <v/>
      </c>
      <c r="AC6799" s="16" t="str">
        <f>IFERROR(__xludf.DUMMYFUNCTION("""COMPUTED_VALUE"""),"")</f>
        <v/>
      </c>
    </row>
    <row r="6800">
      <c r="A6800" s="16" t="s">
        <v>87</v>
      </c>
      <c r="E6800" s="16" t="str">
        <f>IFERROR(__xludf.DUMMYFUNCTION("""COMPUTED_VALUE"""),"")</f>
        <v/>
      </c>
      <c r="G6800" s="18"/>
      <c r="H6800" s="16" t="s">
        <v>87</v>
      </c>
      <c r="I6800" s="16" t="s">
        <v>87</v>
      </c>
      <c r="J6800" s="19"/>
      <c r="L6800" s="16" t="str">
        <f>IFERROR(__xludf.DUMMYFUNCTION("""COMPUTED_VALUE"""),"")</f>
        <v/>
      </c>
      <c r="M6800" s="16" t="str">
        <f>IFERROR(__xludf.DUMMYFUNCTION("""COMPUTED_VALUE"""),"")</f>
        <v/>
      </c>
      <c r="U6800" s="16" t="s">
        <v>87</v>
      </c>
      <c r="V6800" s="16" t="str">
        <f>IFERROR(__xludf.DUMMYFUNCTION("""COMPUTED_VALUE"""),"")</f>
        <v/>
      </c>
      <c r="W6800" s="16" t="str">
        <f>IFERROR(__xludf.DUMMYFUNCTION("""COMPUTED_VALUE"""),"")</f>
        <v/>
      </c>
      <c r="X6800" s="16" t="str">
        <f>IFERROR(__xludf.DUMMYFUNCTION("""COMPUTED_VALUE"""),"")</f>
        <v/>
      </c>
      <c r="AC6800" s="16" t="str">
        <f>IFERROR(__xludf.DUMMYFUNCTION("""COMPUTED_VALUE"""),"")</f>
        <v/>
      </c>
    </row>
    <row r="6801">
      <c r="A6801" s="16" t="s">
        <v>87</v>
      </c>
      <c r="E6801" s="16" t="str">
        <f>IFERROR(__xludf.DUMMYFUNCTION("""COMPUTED_VALUE"""),"")</f>
        <v/>
      </c>
      <c r="G6801" s="18"/>
      <c r="H6801" s="16" t="s">
        <v>87</v>
      </c>
      <c r="I6801" s="16" t="s">
        <v>87</v>
      </c>
      <c r="J6801" s="19"/>
      <c r="L6801" s="16" t="str">
        <f>IFERROR(__xludf.DUMMYFUNCTION("""COMPUTED_VALUE"""),"")</f>
        <v/>
      </c>
      <c r="M6801" s="16" t="str">
        <f>IFERROR(__xludf.DUMMYFUNCTION("""COMPUTED_VALUE"""),"")</f>
        <v/>
      </c>
      <c r="U6801" s="16" t="s">
        <v>87</v>
      </c>
      <c r="V6801" s="16" t="str">
        <f>IFERROR(__xludf.DUMMYFUNCTION("""COMPUTED_VALUE"""),"")</f>
        <v/>
      </c>
      <c r="W6801" s="16" t="str">
        <f>IFERROR(__xludf.DUMMYFUNCTION("""COMPUTED_VALUE"""),"")</f>
        <v/>
      </c>
      <c r="X6801" s="16" t="str">
        <f>IFERROR(__xludf.DUMMYFUNCTION("""COMPUTED_VALUE"""),"")</f>
        <v/>
      </c>
      <c r="AC6801" s="16" t="str">
        <f>IFERROR(__xludf.DUMMYFUNCTION("""COMPUTED_VALUE"""),"")</f>
        <v/>
      </c>
    </row>
    <row r="6802">
      <c r="A6802" s="16" t="s">
        <v>87</v>
      </c>
      <c r="E6802" s="16" t="str">
        <f>IFERROR(__xludf.DUMMYFUNCTION("""COMPUTED_VALUE"""),"")</f>
        <v/>
      </c>
      <c r="G6802" s="18"/>
      <c r="H6802" s="16" t="s">
        <v>87</v>
      </c>
      <c r="I6802" s="16" t="s">
        <v>87</v>
      </c>
      <c r="J6802" s="19"/>
      <c r="L6802" s="16" t="str">
        <f>IFERROR(__xludf.DUMMYFUNCTION("""COMPUTED_VALUE"""),"")</f>
        <v/>
      </c>
      <c r="M6802" s="16" t="str">
        <f>IFERROR(__xludf.DUMMYFUNCTION("""COMPUTED_VALUE"""),"")</f>
        <v/>
      </c>
      <c r="U6802" s="16" t="s">
        <v>87</v>
      </c>
      <c r="V6802" s="16" t="str">
        <f>IFERROR(__xludf.DUMMYFUNCTION("""COMPUTED_VALUE"""),"")</f>
        <v/>
      </c>
      <c r="W6802" s="16" t="str">
        <f>IFERROR(__xludf.DUMMYFUNCTION("""COMPUTED_VALUE"""),"")</f>
        <v/>
      </c>
      <c r="X6802" s="16" t="str">
        <f>IFERROR(__xludf.DUMMYFUNCTION("""COMPUTED_VALUE"""),"")</f>
        <v/>
      </c>
      <c r="AC6802" s="16" t="str">
        <f>IFERROR(__xludf.DUMMYFUNCTION("""COMPUTED_VALUE"""),"")</f>
        <v/>
      </c>
    </row>
    <row r="6803">
      <c r="A6803" s="16" t="s">
        <v>87</v>
      </c>
      <c r="E6803" s="16" t="str">
        <f>IFERROR(__xludf.DUMMYFUNCTION("""COMPUTED_VALUE"""),"")</f>
        <v/>
      </c>
      <c r="G6803" s="18"/>
      <c r="H6803" s="16" t="s">
        <v>87</v>
      </c>
      <c r="I6803" s="16" t="s">
        <v>87</v>
      </c>
      <c r="J6803" s="19"/>
      <c r="L6803" s="16" t="str">
        <f>IFERROR(__xludf.DUMMYFUNCTION("""COMPUTED_VALUE"""),"")</f>
        <v/>
      </c>
      <c r="M6803" s="16" t="str">
        <f>IFERROR(__xludf.DUMMYFUNCTION("""COMPUTED_VALUE"""),"")</f>
        <v/>
      </c>
      <c r="U6803" s="16" t="s">
        <v>87</v>
      </c>
      <c r="V6803" s="16" t="str">
        <f>IFERROR(__xludf.DUMMYFUNCTION("""COMPUTED_VALUE"""),"")</f>
        <v/>
      </c>
      <c r="W6803" s="16" t="str">
        <f>IFERROR(__xludf.DUMMYFUNCTION("""COMPUTED_VALUE"""),"")</f>
        <v/>
      </c>
      <c r="X6803" s="16" t="str">
        <f>IFERROR(__xludf.DUMMYFUNCTION("""COMPUTED_VALUE"""),"")</f>
        <v/>
      </c>
      <c r="AC6803" s="16" t="str">
        <f>IFERROR(__xludf.DUMMYFUNCTION("""COMPUTED_VALUE"""),"")</f>
        <v/>
      </c>
    </row>
    <row r="6804">
      <c r="A6804" s="16" t="s">
        <v>87</v>
      </c>
      <c r="E6804" s="16" t="str">
        <f>IFERROR(__xludf.DUMMYFUNCTION("""COMPUTED_VALUE"""),"")</f>
        <v/>
      </c>
      <c r="G6804" s="18"/>
      <c r="H6804" s="16" t="s">
        <v>87</v>
      </c>
      <c r="I6804" s="16" t="s">
        <v>87</v>
      </c>
      <c r="J6804" s="19"/>
      <c r="L6804" s="16" t="str">
        <f>IFERROR(__xludf.DUMMYFUNCTION("""COMPUTED_VALUE"""),"")</f>
        <v/>
      </c>
      <c r="M6804" s="16" t="str">
        <f>IFERROR(__xludf.DUMMYFUNCTION("""COMPUTED_VALUE"""),"")</f>
        <v/>
      </c>
      <c r="U6804" s="16" t="s">
        <v>87</v>
      </c>
      <c r="V6804" s="16" t="str">
        <f>IFERROR(__xludf.DUMMYFUNCTION("""COMPUTED_VALUE"""),"")</f>
        <v/>
      </c>
      <c r="W6804" s="16" t="str">
        <f>IFERROR(__xludf.DUMMYFUNCTION("""COMPUTED_VALUE"""),"")</f>
        <v/>
      </c>
      <c r="X6804" s="16" t="str">
        <f>IFERROR(__xludf.DUMMYFUNCTION("""COMPUTED_VALUE"""),"")</f>
        <v/>
      </c>
      <c r="AC6804" s="16" t="str">
        <f>IFERROR(__xludf.DUMMYFUNCTION("""COMPUTED_VALUE"""),"")</f>
        <v/>
      </c>
    </row>
    <row r="6805">
      <c r="A6805" s="16" t="s">
        <v>87</v>
      </c>
      <c r="E6805" s="16" t="str">
        <f>IFERROR(__xludf.DUMMYFUNCTION("""COMPUTED_VALUE"""),"")</f>
        <v/>
      </c>
      <c r="G6805" s="18"/>
      <c r="H6805" s="16" t="s">
        <v>87</v>
      </c>
      <c r="I6805" s="16" t="s">
        <v>87</v>
      </c>
      <c r="J6805" s="19"/>
      <c r="L6805" s="16" t="str">
        <f>IFERROR(__xludf.DUMMYFUNCTION("""COMPUTED_VALUE"""),"")</f>
        <v/>
      </c>
      <c r="M6805" s="16" t="str">
        <f>IFERROR(__xludf.DUMMYFUNCTION("""COMPUTED_VALUE"""),"")</f>
        <v/>
      </c>
      <c r="U6805" s="16" t="s">
        <v>87</v>
      </c>
      <c r="V6805" s="16" t="str">
        <f>IFERROR(__xludf.DUMMYFUNCTION("""COMPUTED_VALUE"""),"")</f>
        <v/>
      </c>
      <c r="W6805" s="16" t="str">
        <f>IFERROR(__xludf.DUMMYFUNCTION("""COMPUTED_VALUE"""),"")</f>
        <v/>
      </c>
      <c r="X6805" s="16" t="str">
        <f>IFERROR(__xludf.DUMMYFUNCTION("""COMPUTED_VALUE"""),"")</f>
        <v/>
      </c>
      <c r="AC6805" s="16" t="str">
        <f>IFERROR(__xludf.DUMMYFUNCTION("""COMPUTED_VALUE"""),"")</f>
        <v/>
      </c>
    </row>
    <row r="6806">
      <c r="A6806" s="16" t="s">
        <v>87</v>
      </c>
      <c r="E6806" s="16" t="str">
        <f>IFERROR(__xludf.DUMMYFUNCTION("""COMPUTED_VALUE"""),"")</f>
        <v/>
      </c>
      <c r="G6806" s="18"/>
      <c r="H6806" s="16" t="s">
        <v>87</v>
      </c>
      <c r="I6806" s="16" t="s">
        <v>87</v>
      </c>
      <c r="J6806" s="19"/>
      <c r="L6806" s="16" t="str">
        <f>IFERROR(__xludf.DUMMYFUNCTION("""COMPUTED_VALUE"""),"")</f>
        <v/>
      </c>
      <c r="M6806" s="16" t="str">
        <f>IFERROR(__xludf.DUMMYFUNCTION("""COMPUTED_VALUE"""),"")</f>
        <v/>
      </c>
      <c r="U6806" s="16" t="s">
        <v>87</v>
      </c>
      <c r="V6806" s="16" t="str">
        <f>IFERROR(__xludf.DUMMYFUNCTION("""COMPUTED_VALUE"""),"")</f>
        <v/>
      </c>
      <c r="W6806" s="16" t="str">
        <f>IFERROR(__xludf.DUMMYFUNCTION("""COMPUTED_VALUE"""),"")</f>
        <v/>
      </c>
      <c r="X6806" s="16" t="str">
        <f>IFERROR(__xludf.DUMMYFUNCTION("""COMPUTED_VALUE"""),"")</f>
        <v/>
      </c>
      <c r="AC6806" s="16" t="str">
        <f>IFERROR(__xludf.DUMMYFUNCTION("""COMPUTED_VALUE"""),"")</f>
        <v/>
      </c>
    </row>
    <row r="6807">
      <c r="A6807" s="16" t="s">
        <v>87</v>
      </c>
      <c r="E6807" s="16" t="str">
        <f>IFERROR(__xludf.DUMMYFUNCTION("""COMPUTED_VALUE"""),"")</f>
        <v/>
      </c>
      <c r="G6807" s="18"/>
      <c r="H6807" s="16" t="s">
        <v>87</v>
      </c>
      <c r="I6807" s="16" t="s">
        <v>87</v>
      </c>
      <c r="J6807" s="19"/>
      <c r="L6807" s="16" t="str">
        <f>IFERROR(__xludf.DUMMYFUNCTION("""COMPUTED_VALUE"""),"")</f>
        <v/>
      </c>
      <c r="M6807" s="16" t="str">
        <f>IFERROR(__xludf.DUMMYFUNCTION("""COMPUTED_VALUE"""),"")</f>
        <v/>
      </c>
      <c r="U6807" s="16" t="s">
        <v>87</v>
      </c>
      <c r="V6807" s="16" t="str">
        <f>IFERROR(__xludf.DUMMYFUNCTION("""COMPUTED_VALUE"""),"")</f>
        <v/>
      </c>
      <c r="W6807" s="16" t="str">
        <f>IFERROR(__xludf.DUMMYFUNCTION("""COMPUTED_VALUE"""),"")</f>
        <v/>
      </c>
      <c r="X6807" s="16" t="str">
        <f>IFERROR(__xludf.DUMMYFUNCTION("""COMPUTED_VALUE"""),"")</f>
        <v/>
      </c>
      <c r="AC6807" s="16" t="str">
        <f>IFERROR(__xludf.DUMMYFUNCTION("""COMPUTED_VALUE"""),"")</f>
        <v/>
      </c>
    </row>
    <row r="6808">
      <c r="A6808" s="16" t="s">
        <v>87</v>
      </c>
      <c r="E6808" s="16" t="str">
        <f>IFERROR(__xludf.DUMMYFUNCTION("""COMPUTED_VALUE"""),"")</f>
        <v/>
      </c>
      <c r="G6808" s="18"/>
      <c r="H6808" s="16" t="s">
        <v>87</v>
      </c>
      <c r="I6808" s="16" t="s">
        <v>87</v>
      </c>
      <c r="J6808" s="19"/>
      <c r="L6808" s="16" t="str">
        <f>IFERROR(__xludf.DUMMYFUNCTION("""COMPUTED_VALUE"""),"")</f>
        <v/>
      </c>
      <c r="M6808" s="16" t="str">
        <f>IFERROR(__xludf.DUMMYFUNCTION("""COMPUTED_VALUE"""),"")</f>
        <v/>
      </c>
      <c r="U6808" s="16" t="s">
        <v>87</v>
      </c>
      <c r="V6808" s="16" t="str">
        <f>IFERROR(__xludf.DUMMYFUNCTION("""COMPUTED_VALUE"""),"")</f>
        <v/>
      </c>
      <c r="W6808" s="16" t="str">
        <f>IFERROR(__xludf.DUMMYFUNCTION("""COMPUTED_VALUE"""),"")</f>
        <v/>
      </c>
      <c r="X6808" s="16" t="str">
        <f>IFERROR(__xludf.DUMMYFUNCTION("""COMPUTED_VALUE"""),"")</f>
        <v/>
      </c>
      <c r="AC6808" s="16" t="str">
        <f>IFERROR(__xludf.DUMMYFUNCTION("""COMPUTED_VALUE"""),"")</f>
        <v/>
      </c>
    </row>
    <row r="6809">
      <c r="A6809" s="16" t="s">
        <v>87</v>
      </c>
      <c r="E6809" s="16" t="str">
        <f>IFERROR(__xludf.DUMMYFUNCTION("""COMPUTED_VALUE"""),"")</f>
        <v/>
      </c>
      <c r="G6809" s="18"/>
      <c r="H6809" s="16" t="s">
        <v>87</v>
      </c>
      <c r="I6809" s="16" t="s">
        <v>87</v>
      </c>
      <c r="J6809" s="19"/>
      <c r="L6809" s="16" t="str">
        <f>IFERROR(__xludf.DUMMYFUNCTION("""COMPUTED_VALUE"""),"")</f>
        <v/>
      </c>
      <c r="M6809" s="16" t="str">
        <f>IFERROR(__xludf.DUMMYFUNCTION("""COMPUTED_VALUE"""),"")</f>
        <v/>
      </c>
      <c r="U6809" s="16" t="s">
        <v>87</v>
      </c>
      <c r="V6809" s="16" t="str">
        <f>IFERROR(__xludf.DUMMYFUNCTION("""COMPUTED_VALUE"""),"")</f>
        <v/>
      </c>
      <c r="W6809" s="16" t="str">
        <f>IFERROR(__xludf.DUMMYFUNCTION("""COMPUTED_VALUE"""),"")</f>
        <v/>
      </c>
      <c r="X6809" s="16" t="str">
        <f>IFERROR(__xludf.DUMMYFUNCTION("""COMPUTED_VALUE"""),"")</f>
        <v/>
      </c>
      <c r="AC6809" s="16" t="str">
        <f>IFERROR(__xludf.DUMMYFUNCTION("""COMPUTED_VALUE"""),"")</f>
        <v/>
      </c>
    </row>
    <row r="6810">
      <c r="A6810" s="16" t="s">
        <v>87</v>
      </c>
      <c r="E6810" s="16" t="str">
        <f>IFERROR(__xludf.DUMMYFUNCTION("""COMPUTED_VALUE"""),"")</f>
        <v/>
      </c>
      <c r="G6810" s="18"/>
      <c r="H6810" s="16" t="s">
        <v>87</v>
      </c>
      <c r="I6810" s="16" t="s">
        <v>87</v>
      </c>
      <c r="J6810" s="19"/>
      <c r="L6810" s="16" t="str">
        <f>IFERROR(__xludf.DUMMYFUNCTION("""COMPUTED_VALUE"""),"")</f>
        <v/>
      </c>
      <c r="M6810" s="16" t="str">
        <f>IFERROR(__xludf.DUMMYFUNCTION("""COMPUTED_VALUE"""),"")</f>
        <v/>
      </c>
      <c r="U6810" s="16" t="s">
        <v>87</v>
      </c>
      <c r="V6810" s="16" t="str">
        <f>IFERROR(__xludf.DUMMYFUNCTION("""COMPUTED_VALUE"""),"")</f>
        <v/>
      </c>
      <c r="W6810" s="16" t="str">
        <f>IFERROR(__xludf.DUMMYFUNCTION("""COMPUTED_VALUE"""),"")</f>
        <v/>
      </c>
      <c r="X6810" s="16" t="str">
        <f>IFERROR(__xludf.DUMMYFUNCTION("""COMPUTED_VALUE"""),"")</f>
        <v/>
      </c>
      <c r="AC6810" s="16" t="str">
        <f>IFERROR(__xludf.DUMMYFUNCTION("""COMPUTED_VALUE"""),"")</f>
        <v/>
      </c>
    </row>
    <row r="6811">
      <c r="A6811" s="16" t="s">
        <v>87</v>
      </c>
      <c r="E6811" s="16" t="str">
        <f>IFERROR(__xludf.DUMMYFUNCTION("""COMPUTED_VALUE"""),"")</f>
        <v/>
      </c>
      <c r="G6811" s="18"/>
      <c r="H6811" s="16" t="s">
        <v>87</v>
      </c>
      <c r="I6811" s="16" t="s">
        <v>87</v>
      </c>
      <c r="J6811" s="19"/>
      <c r="L6811" s="16" t="str">
        <f>IFERROR(__xludf.DUMMYFUNCTION("""COMPUTED_VALUE"""),"")</f>
        <v/>
      </c>
      <c r="M6811" s="16" t="str">
        <f>IFERROR(__xludf.DUMMYFUNCTION("""COMPUTED_VALUE"""),"")</f>
        <v/>
      </c>
      <c r="U6811" s="16" t="s">
        <v>87</v>
      </c>
      <c r="V6811" s="16" t="str">
        <f>IFERROR(__xludf.DUMMYFUNCTION("""COMPUTED_VALUE"""),"")</f>
        <v/>
      </c>
      <c r="W6811" s="16" t="str">
        <f>IFERROR(__xludf.DUMMYFUNCTION("""COMPUTED_VALUE"""),"")</f>
        <v/>
      </c>
      <c r="X6811" s="16" t="str">
        <f>IFERROR(__xludf.DUMMYFUNCTION("""COMPUTED_VALUE"""),"")</f>
        <v/>
      </c>
      <c r="AC6811" s="16" t="str">
        <f>IFERROR(__xludf.DUMMYFUNCTION("""COMPUTED_VALUE"""),"")</f>
        <v/>
      </c>
    </row>
    <row r="6812">
      <c r="A6812" s="16" t="s">
        <v>87</v>
      </c>
      <c r="E6812" s="16" t="str">
        <f>IFERROR(__xludf.DUMMYFUNCTION("""COMPUTED_VALUE"""),"")</f>
        <v/>
      </c>
      <c r="G6812" s="18"/>
      <c r="H6812" s="16" t="s">
        <v>87</v>
      </c>
      <c r="I6812" s="16" t="s">
        <v>87</v>
      </c>
      <c r="J6812" s="19"/>
      <c r="L6812" s="16" t="str">
        <f>IFERROR(__xludf.DUMMYFUNCTION("""COMPUTED_VALUE"""),"")</f>
        <v/>
      </c>
      <c r="M6812" s="16" t="str">
        <f>IFERROR(__xludf.DUMMYFUNCTION("""COMPUTED_VALUE"""),"")</f>
        <v/>
      </c>
      <c r="U6812" s="16" t="s">
        <v>87</v>
      </c>
      <c r="V6812" s="16" t="str">
        <f>IFERROR(__xludf.DUMMYFUNCTION("""COMPUTED_VALUE"""),"")</f>
        <v/>
      </c>
      <c r="W6812" s="16" t="str">
        <f>IFERROR(__xludf.DUMMYFUNCTION("""COMPUTED_VALUE"""),"")</f>
        <v/>
      </c>
      <c r="X6812" s="16" t="str">
        <f>IFERROR(__xludf.DUMMYFUNCTION("""COMPUTED_VALUE"""),"")</f>
        <v/>
      </c>
      <c r="AC6812" s="16" t="str">
        <f>IFERROR(__xludf.DUMMYFUNCTION("""COMPUTED_VALUE"""),"")</f>
        <v/>
      </c>
    </row>
    <row r="6813">
      <c r="A6813" s="16" t="s">
        <v>87</v>
      </c>
      <c r="E6813" s="16" t="str">
        <f>IFERROR(__xludf.DUMMYFUNCTION("""COMPUTED_VALUE"""),"")</f>
        <v/>
      </c>
      <c r="G6813" s="18"/>
      <c r="H6813" s="16" t="s">
        <v>87</v>
      </c>
      <c r="I6813" s="16" t="s">
        <v>87</v>
      </c>
      <c r="J6813" s="19"/>
      <c r="L6813" s="16" t="str">
        <f>IFERROR(__xludf.DUMMYFUNCTION("""COMPUTED_VALUE"""),"")</f>
        <v/>
      </c>
      <c r="M6813" s="16" t="str">
        <f>IFERROR(__xludf.DUMMYFUNCTION("""COMPUTED_VALUE"""),"")</f>
        <v/>
      </c>
      <c r="U6813" s="16" t="s">
        <v>87</v>
      </c>
      <c r="V6813" s="16" t="str">
        <f>IFERROR(__xludf.DUMMYFUNCTION("""COMPUTED_VALUE"""),"")</f>
        <v/>
      </c>
      <c r="W6813" s="16" t="str">
        <f>IFERROR(__xludf.DUMMYFUNCTION("""COMPUTED_VALUE"""),"")</f>
        <v/>
      </c>
      <c r="X6813" s="16" t="str">
        <f>IFERROR(__xludf.DUMMYFUNCTION("""COMPUTED_VALUE"""),"")</f>
        <v/>
      </c>
      <c r="AC6813" s="16" t="str">
        <f>IFERROR(__xludf.DUMMYFUNCTION("""COMPUTED_VALUE"""),"")</f>
        <v/>
      </c>
    </row>
    <row r="6814">
      <c r="A6814" s="16" t="s">
        <v>87</v>
      </c>
      <c r="E6814" s="16" t="str">
        <f>IFERROR(__xludf.DUMMYFUNCTION("""COMPUTED_VALUE"""),"")</f>
        <v/>
      </c>
      <c r="G6814" s="18"/>
      <c r="H6814" s="16" t="s">
        <v>87</v>
      </c>
      <c r="I6814" s="16" t="s">
        <v>87</v>
      </c>
      <c r="J6814" s="19"/>
      <c r="L6814" s="16" t="str">
        <f>IFERROR(__xludf.DUMMYFUNCTION("""COMPUTED_VALUE"""),"")</f>
        <v/>
      </c>
      <c r="M6814" s="16" t="str">
        <f>IFERROR(__xludf.DUMMYFUNCTION("""COMPUTED_VALUE"""),"")</f>
        <v/>
      </c>
      <c r="U6814" s="16" t="s">
        <v>87</v>
      </c>
      <c r="V6814" s="16" t="str">
        <f>IFERROR(__xludf.DUMMYFUNCTION("""COMPUTED_VALUE"""),"")</f>
        <v/>
      </c>
      <c r="W6814" s="16" t="str">
        <f>IFERROR(__xludf.DUMMYFUNCTION("""COMPUTED_VALUE"""),"")</f>
        <v/>
      </c>
      <c r="X6814" s="16" t="str">
        <f>IFERROR(__xludf.DUMMYFUNCTION("""COMPUTED_VALUE"""),"")</f>
        <v/>
      </c>
      <c r="AC6814" s="16" t="str">
        <f>IFERROR(__xludf.DUMMYFUNCTION("""COMPUTED_VALUE"""),"")</f>
        <v/>
      </c>
    </row>
    <row r="6815">
      <c r="A6815" s="16" t="s">
        <v>87</v>
      </c>
      <c r="E6815" s="16" t="str">
        <f>IFERROR(__xludf.DUMMYFUNCTION("""COMPUTED_VALUE"""),"")</f>
        <v/>
      </c>
      <c r="G6815" s="18"/>
      <c r="H6815" s="16" t="s">
        <v>87</v>
      </c>
      <c r="I6815" s="16" t="s">
        <v>87</v>
      </c>
      <c r="J6815" s="19"/>
      <c r="L6815" s="16" t="str">
        <f>IFERROR(__xludf.DUMMYFUNCTION("""COMPUTED_VALUE"""),"")</f>
        <v/>
      </c>
      <c r="M6815" s="16" t="str">
        <f>IFERROR(__xludf.DUMMYFUNCTION("""COMPUTED_VALUE"""),"")</f>
        <v/>
      </c>
      <c r="U6815" s="16" t="s">
        <v>87</v>
      </c>
      <c r="V6815" s="16" t="str">
        <f>IFERROR(__xludf.DUMMYFUNCTION("""COMPUTED_VALUE"""),"")</f>
        <v/>
      </c>
      <c r="W6815" s="16" t="str">
        <f>IFERROR(__xludf.DUMMYFUNCTION("""COMPUTED_VALUE"""),"")</f>
        <v/>
      </c>
      <c r="X6815" s="16" t="str">
        <f>IFERROR(__xludf.DUMMYFUNCTION("""COMPUTED_VALUE"""),"")</f>
        <v/>
      </c>
      <c r="AC6815" s="16" t="str">
        <f>IFERROR(__xludf.DUMMYFUNCTION("""COMPUTED_VALUE"""),"")</f>
        <v/>
      </c>
    </row>
    <row r="6816">
      <c r="A6816" s="16" t="s">
        <v>87</v>
      </c>
      <c r="E6816" s="16" t="str">
        <f>IFERROR(__xludf.DUMMYFUNCTION("""COMPUTED_VALUE"""),"")</f>
        <v/>
      </c>
      <c r="G6816" s="18"/>
      <c r="H6816" s="16" t="s">
        <v>87</v>
      </c>
      <c r="I6816" s="16" t="s">
        <v>87</v>
      </c>
      <c r="J6816" s="19"/>
      <c r="L6816" s="16" t="str">
        <f>IFERROR(__xludf.DUMMYFUNCTION("""COMPUTED_VALUE"""),"")</f>
        <v/>
      </c>
      <c r="M6816" s="16" t="str">
        <f>IFERROR(__xludf.DUMMYFUNCTION("""COMPUTED_VALUE"""),"")</f>
        <v/>
      </c>
      <c r="U6816" s="16" t="s">
        <v>87</v>
      </c>
      <c r="V6816" s="16" t="str">
        <f>IFERROR(__xludf.DUMMYFUNCTION("""COMPUTED_VALUE"""),"")</f>
        <v/>
      </c>
      <c r="W6816" s="16" t="str">
        <f>IFERROR(__xludf.DUMMYFUNCTION("""COMPUTED_VALUE"""),"")</f>
        <v/>
      </c>
      <c r="X6816" s="16" t="str">
        <f>IFERROR(__xludf.DUMMYFUNCTION("""COMPUTED_VALUE"""),"")</f>
        <v/>
      </c>
      <c r="AC6816" s="16" t="str">
        <f>IFERROR(__xludf.DUMMYFUNCTION("""COMPUTED_VALUE"""),"")</f>
        <v/>
      </c>
    </row>
    <row r="6817">
      <c r="A6817" s="16" t="s">
        <v>87</v>
      </c>
      <c r="E6817" s="16" t="str">
        <f>IFERROR(__xludf.DUMMYFUNCTION("""COMPUTED_VALUE"""),"")</f>
        <v/>
      </c>
      <c r="G6817" s="18"/>
      <c r="H6817" s="16" t="s">
        <v>87</v>
      </c>
      <c r="I6817" s="16" t="s">
        <v>87</v>
      </c>
      <c r="J6817" s="19"/>
      <c r="L6817" s="16" t="str">
        <f>IFERROR(__xludf.DUMMYFUNCTION("""COMPUTED_VALUE"""),"")</f>
        <v/>
      </c>
      <c r="M6817" s="16" t="str">
        <f>IFERROR(__xludf.DUMMYFUNCTION("""COMPUTED_VALUE"""),"")</f>
        <v/>
      </c>
      <c r="U6817" s="16" t="s">
        <v>87</v>
      </c>
      <c r="V6817" s="16" t="str">
        <f>IFERROR(__xludf.DUMMYFUNCTION("""COMPUTED_VALUE"""),"")</f>
        <v/>
      </c>
      <c r="W6817" s="16" t="str">
        <f>IFERROR(__xludf.DUMMYFUNCTION("""COMPUTED_VALUE"""),"")</f>
        <v/>
      </c>
      <c r="X6817" s="16" t="str">
        <f>IFERROR(__xludf.DUMMYFUNCTION("""COMPUTED_VALUE"""),"")</f>
        <v/>
      </c>
      <c r="AC6817" s="16" t="str">
        <f>IFERROR(__xludf.DUMMYFUNCTION("""COMPUTED_VALUE"""),"")</f>
        <v/>
      </c>
    </row>
    <row r="6818">
      <c r="A6818" s="16" t="s">
        <v>87</v>
      </c>
      <c r="E6818" s="16" t="str">
        <f>IFERROR(__xludf.DUMMYFUNCTION("""COMPUTED_VALUE"""),"")</f>
        <v/>
      </c>
      <c r="G6818" s="18"/>
      <c r="H6818" s="16" t="s">
        <v>87</v>
      </c>
      <c r="I6818" s="16" t="s">
        <v>87</v>
      </c>
      <c r="J6818" s="19"/>
      <c r="L6818" s="16" t="str">
        <f>IFERROR(__xludf.DUMMYFUNCTION("""COMPUTED_VALUE"""),"")</f>
        <v/>
      </c>
      <c r="M6818" s="16" t="str">
        <f>IFERROR(__xludf.DUMMYFUNCTION("""COMPUTED_VALUE"""),"")</f>
        <v/>
      </c>
      <c r="U6818" s="16" t="s">
        <v>87</v>
      </c>
      <c r="V6818" s="16" t="str">
        <f>IFERROR(__xludf.DUMMYFUNCTION("""COMPUTED_VALUE"""),"")</f>
        <v/>
      </c>
      <c r="W6818" s="16" t="str">
        <f>IFERROR(__xludf.DUMMYFUNCTION("""COMPUTED_VALUE"""),"")</f>
        <v/>
      </c>
      <c r="X6818" s="16" t="str">
        <f>IFERROR(__xludf.DUMMYFUNCTION("""COMPUTED_VALUE"""),"")</f>
        <v/>
      </c>
      <c r="AC6818" s="16" t="str">
        <f>IFERROR(__xludf.DUMMYFUNCTION("""COMPUTED_VALUE"""),"")</f>
        <v/>
      </c>
    </row>
    <row r="6819">
      <c r="A6819" s="16" t="s">
        <v>87</v>
      </c>
      <c r="E6819" s="16" t="str">
        <f>IFERROR(__xludf.DUMMYFUNCTION("""COMPUTED_VALUE"""),"")</f>
        <v/>
      </c>
      <c r="G6819" s="18"/>
      <c r="H6819" s="16" t="s">
        <v>87</v>
      </c>
      <c r="I6819" s="16" t="s">
        <v>87</v>
      </c>
      <c r="J6819" s="19"/>
      <c r="L6819" s="16" t="str">
        <f>IFERROR(__xludf.DUMMYFUNCTION("""COMPUTED_VALUE"""),"")</f>
        <v/>
      </c>
      <c r="M6819" s="16" t="str">
        <f>IFERROR(__xludf.DUMMYFUNCTION("""COMPUTED_VALUE"""),"")</f>
        <v/>
      </c>
      <c r="U6819" s="16" t="s">
        <v>87</v>
      </c>
      <c r="V6819" s="16" t="str">
        <f>IFERROR(__xludf.DUMMYFUNCTION("""COMPUTED_VALUE"""),"")</f>
        <v/>
      </c>
      <c r="W6819" s="16" t="str">
        <f>IFERROR(__xludf.DUMMYFUNCTION("""COMPUTED_VALUE"""),"")</f>
        <v/>
      </c>
      <c r="X6819" s="16" t="str">
        <f>IFERROR(__xludf.DUMMYFUNCTION("""COMPUTED_VALUE"""),"")</f>
        <v/>
      </c>
      <c r="AC6819" s="16" t="str">
        <f>IFERROR(__xludf.DUMMYFUNCTION("""COMPUTED_VALUE"""),"")</f>
        <v/>
      </c>
    </row>
    <row r="6820">
      <c r="A6820" s="16" t="s">
        <v>87</v>
      </c>
      <c r="E6820" s="16" t="str">
        <f>IFERROR(__xludf.DUMMYFUNCTION("""COMPUTED_VALUE"""),"")</f>
        <v/>
      </c>
      <c r="G6820" s="18"/>
      <c r="H6820" s="16" t="s">
        <v>87</v>
      </c>
      <c r="I6820" s="16" t="s">
        <v>87</v>
      </c>
      <c r="J6820" s="19"/>
      <c r="L6820" s="16" t="str">
        <f>IFERROR(__xludf.DUMMYFUNCTION("""COMPUTED_VALUE"""),"")</f>
        <v/>
      </c>
      <c r="M6820" s="16" t="str">
        <f>IFERROR(__xludf.DUMMYFUNCTION("""COMPUTED_VALUE"""),"")</f>
        <v/>
      </c>
      <c r="U6820" s="16" t="s">
        <v>87</v>
      </c>
      <c r="V6820" s="16" t="str">
        <f>IFERROR(__xludf.DUMMYFUNCTION("""COMPUTED_VALUE"""),"")</f>
        <v/>
      </c>
      <c r="W6820" s="16" t="str">
        <f>IFERROR(__xludf.DUMMYFUNCTION("""COMPUTED_VALUE"""),"")</f>
        <v/>
      </c>
      <c r="X6820" s="16" t="str">
        <f>IFERROR(__xludf.DUMMYFUNCTION("""COMPUTED_VALUE"""),"")</f>
        <v/>
      </c>
      <c r="AC6820" s="16" t="str">
        <f>IFERROR(__xludf.DUMMYFUNCTION("""COMPUTED_VALUE"""),"")</f>
        <v/>
      </c>
    </row>
    <row r="6821">
      <c r="A6821" s="16" t="s">
        <v>87</v>
      </c>
      <c r="E6821" s="16" t="str">
        <f>IFERROR(__xludf.DUMMYFUNCTION("""COMPUTED_VALUE"""),"")</f>
        <v/>
      </c>
      <c r="G6821" s="18"/>
      <c r="H6821" s="16" t="s">
        <v>87</v>
      </c>
      <c r="I6821" s="16" t="s">
        <v>87</v>
      </c>
      <c r="J6821" s="19"/>
      <c r="L6821" s="16" t="str">
        <f>IFERROR(__xludf.DUMMYFUNCTION("""COMPUTED_VALUE"""),"")</f>
        <v/>
      </c>
      <c r="M6821" s="16" t="str">
        <f>IFERROR(__xludf.DUMMYFUNCTION("""COMPUTED_VALUE"""),"")</f>
        <v/>
      </c>
      <c r="U6821" s="16" t="s">
        <v>87</v>
      </c>
      <c r="V6821" s="16" t="str">
        <f>IFERROR(__xludf.DUMMYFUNCTION("""COMPUTED_VALUE"""),"")</f>
        <v/>
      </c>
      <c r="W6821" s="16" t="str">
        <f>IFERROR(__xludf.DUMMYFUNCTION("""COMPUTED_VALUE"""),"")</f>
        <v/>
      </c>
      <c r="X6821" s="16" t="str">
        <f>IFERROR(__xludf.DUMMYFUNCTION("""COMPUTED_VALUE"""),"")</f>
        <v/>
      </c>
      <c r="AC6821" s="16" t="str">
        <f>IFERROR(__xludf.DUMMYFUNCTION("""COMPUTED_VALUE"""),"")</f>
        <v/>
      </c>
    </row>
    <row r="6822">
      <c r="A6822" s="16" t="s">
        <v>87</v>
      </c>
      <c r="E6822" s="16" t="str">
        <f>IFERROR(__xludf.DUMMYFUNCTION("""COMPUTED_VALUE"""),"")</f>
        <v/>
      </c>
      <c r="G6822" s="18"/>
      <c r="H6822" s="16" t="s">
        <v>87</v>
      </c>
      <c r="I6822" s="16" t="s">
        <v>87</v>
      </c>
      <c r="J6822" s="19"/>
      <c r="L6822" s="16" t="str">
        <f>IFERROR(__xludf.DUMMYFUNCTION("""COMPUTED_VALUE"""),"")</f>
        <v/>
      </c>
      <c r="M6822" s="16" t="str">
        <f>IFERROR(__xludf.DUMMYFUNCTION("""COMPUTED_VALUE"""),"")</f>
        <v/>
      </c>
      <c r="U6822" s="16" t="s">
        <v>87</v>
      </c>
      <c r="V6822" s="16" t="str">
        <f>IFERROR(__xludf.DUMMYFUNCTION("""COMPUTED_VALUE"""),"")</f>
        <v/>
      </c>
      <c r="W6822" s="16" t="str">
        <f>IFERROR(__xludf.DUMMYFUNCTION("""COMPUTED_VALUE"""),"")</f>
        <v/>
      </c>
      <c r="X6822" s="16" t="str">
        <f>IFERROR(__xludf.DUMMYFUNCTION("""COMPUTED_VALUE"""),"")</f>
        <v/>
      </c>
      <c r="AC6822" s="16" t="str">
        <f>IFERROR(__xludf.DUMMYFUNCTION("""COMPUTED_VALUE"""),"")</f>
        <v/>
      </c>
    </row>
    <row r="6823">
      <c r="A6823" s="16" t="s">
        <v>87</v>
      </c>
      <c r="E6823" s="16" t="str">
        <f>IFERROR(__xludf.DUMMYFUNCTION("""COMPUTED_VALUE"""),"")</f>
        <v/>
      </c>
      <c r="G6823" s="18"/>
      <c r="H6823" s="16" t="s">
        <v>87</v>
      </c>
      <c r="I6823" s="16" t="s">
        <v>87</v>
      </c>
      <c r="J6823" s="19"/>
      <c r="L6823" s="16" t="str">
        <f>IFERROR(__xludf.DUMMYFUNCTION("""COMPUTED_VALUE"""),"")</f>
        <v/>
      </c>
      <c r="M6823" s="16" t="str">
        <f>IFERROR(__xludf.DUMMYFUNCTION("""COMPUTED_VALUE"""),"")</f>
        <v/>
      </c>
      <c r="U6823" s="16" t="s">
        <v>87</v>
      </c>
      <c r="V6823" s="16" t="str">
        <f>IFERROR(__xludf.DUMMYFUNCTION("""COMPUTED_VALUE"""),"")</f>
        <v/>
      </c>
      <c r="W6823" s="16" t="str">
        <f>IFERROR(__xludf.DUMMYFUNCTION("""COMPUTED_VALUE"""),"")</f>
        <v/>
      </c>
      <c r="X6823" s="16" t="str">
        <f>IFERROR(__xludf.DUMMYFUNCTION("""COMPUTED_VALUE"""),"")</f>
        <v/>
      </c>
      <c r="AC6823" s="16" t="str">
        <f>IFERROR(__xludf.DUMMYFUNCTION("""COMPUTED_VALUE"""),"")</f>
        <v/>
      </c>
    </row>
    <row r="6824">
      <c r="A6824" s="16" t="s">
        <v>87</v>
      </c>
      <c r="E6824" s="16" t="str">
        <f>IFERROR(__xludf.DUMMYFUNCTION("""COMPUTED_VALUE"""),"")</f>
        <v/>
      </c>
      <c r="G6824" s="18"/>
      <c r="H6824" s="16" t="s">
        <v>87</v>
      </c>
      <c r="I6824" s="16" t="s">
        <v>87</v>
      </c>
      <c r="J6824" s="19"/>
      <c r="L6824" s="16" t="str">
        <f>IFERROR(__xludf.DUMMYFUNCTION("""COMPUTED_VALUE"""),"")</f>
        <v/>
      </c>
      <c r="M6824" s="16" t="str">
        <f>IFERROR(__xludf.DUMMYFUNCTION("""COMPUTED_VALUE"""),"")</f>
        <v/>
      </c>
      <c r="U6824" s="16" t="s">
        <v>87</v>
      </c>
      <c r="V6824" s="16" t="str">
        <f>IFERROR(__xludf.DUMMYFUNCTION("""COMPUTED_VALUE"""),"")</f>
        <v/>
      </c>
      <c r="W6824" s="16" t="str">
        <f>IFERROR(__xludf.DUMMYFUNCTION("""COMPUTED_VALUE"""),"")</f>
        <v/>
      </c>
      <c r="X6824" s="16" t="str">
        <f>IFERROR(__xludf.DUMMYFUNCTION("""COMPUTED_VALUE"""),"")</f>
        <v/>
      </c>
      <c r="AC6824" s="16" t="str">
        <f>IFERROR(__xludf.DUMMYFUNCTION("""COMPUTED_VALUE"""),"")</f>
        <v/>
      </c>
    </row>
    <row r="6825">
      <c r="A6825" s="16" t="s">
        <v>87</v>
      </c>
      <c r="E6825" s="16" t="str">
        <f>IFERROR(__xludf.DUMMYFUNCTION("""COMPUTED_VALUE"""),"")</f>
        <v/>
      </c>
      <c r="G6825" s="18"/>
      <c r="H6825" s="16" t="s">
        <v>87</v>
      </c>
      <c r="I6825" s="16" t="s">
        <v>87</v>
      </c>
      <c r="J6825" s="19"/>
      <c r="L6825" s="16" t="str">
        <f>IFERROR(__xludf.DUMMYFUNCTION("""COMPUTED_VALUE"""),"")</f>
        <v/>
      </c>
      <c r="M6825" s="16" t="str">
        <f>IFERROR(__xludf.DUMMYFUNCTION("""COMPUTED_VALUE"""),"")</f>
        <v/>
      </c>
      <c r="U6825" s="16" t="s">
        <v>87</v>
      </c>
      <c r="V6825" s="16" t="str">
        <f>IFERROR(__xludf.DUMMYFUNCTION("""COMPUTED_VALUE"""),"")</f>
        <v/>
      </c>
      <c r="W6825" s="16" t="str">
        <f>IFERROR(__xludf.DUMMYFUNCTION("""COMPUTED_VALUE"""),"")</f>
        <v/>
      </c>
      <c r="X6825" s="16" t="str">
        <f>IFERROR(__xludf.DUMMYFUNCTION("""COMPUTED_VALUE"""),"")</f>
        <v/>
      </c>
      <c r="AC6825" s="16" t="str">
        <f>IFERROR(__xludf.DUMMYFUNCTION("""COMPUTED_VALUE"""),"")</f>
        <v/>
      </c>
    </row>
    <row r="6826">
      <c r="A6826" s="16" t="s">
        <v>87</v>
      </c>
      <c r="E6826" s="16" t="str">
        <f>IFERROR(__xludf.DUMMYFUNCTION("""COMPUTED_VALUE"""),"")</f>
        <v/>
      </c>
      <c r="G6826" s="18"/>
      <c r="H6826" s="16" t="s">
        <v>87</v>
      </c>
      <c r="I6826" s="16" t="s">
        <v>87</v>
      </c>
      <c r="J6826" s="19"/>
      <c r="L6826" s="16" t="str">
        <f>IFERROR(__xludf.DUMMYFUNCTION("""COMPUTED_VALUE"""),"")</f>
        <v/>
      </c>
      <c r="M6826" s="16" t="str">
        <f>IFERROR(__xludf.DUMMYFUNCTION("""COMPUTED_VALUE"""),"")</f>
        <v/>
      </c>
      <c r="U6826" s="16" t="s">
        <v>87</v>
      </c>
      <c r="V6826" s="16" t="str">
        <f>IFERROR(__xludf.DUMMYFUNCTION("""COMPUTED_VALUE"""),"")</f>
        <v/>
      </c>
      <c r="W6826" s="16" t="str">
        <f>IFERROR(__xludf.DUMMYFUNCTION("""COMPUTED_VALUE"""),"")</f>
        <v/>
      </c>
      <c r="X6826" s="16" t="str">
        <f>IFERROR(__xludf.DUMMYFUNCTION("""COMPUTED_VALUE"""),"")</f>
        <v/>
      </c>
      <c r="AC6826" s="16" t="str">
        <f>IFERROR(__xludf.DUMMYFUNCTION("""COMPUTED_VALUE"""),"")</f>
        <v/>
      </c>
    </row>
    <row r="6827">
      <c r="A6827" s="16" t="s">
        <v>87</v>
      </c>
      <c r="E6827" s="16" t="str">
        <f>IFERROR(__xludf.DUMMYFUNCTION("""COMPUTED_VALUE"""),"")</f>
        <v/>
      </c>
      <c r="G6827" s="18"/>
      <c r="H6827" s="16" t="s">
        <v>87</v>
      </c>
      <c r="I6827" s="16" t="s">
        <v>87</v>
      </c>
      <c r="J6827" s="19"/>
      <c r="L6827" s="16" t="str">
        <f>IFERROR(__xludf.DUMMYFUNCTION("""COMPUTED_VALUE"""),"")</f>
        <v/>
      </c>
      <c r="M6827" s="16" t="str">
        <f>IFERROR(__xludf.DUMMYFUNCTION("""COMPUTED_VALUE"""),"")</f>
        <v/>
      </c>
      <c r="U6827" s="16" t="s">
        <v>87</v>
      </c>
      <c r="V6827" s="16" t="str">
        <f>IFERROR(__xludf.DUMMYFUNCTION("""COMPUTED_VALUE"""),"")</f>
        <v/>
      </c>
      <c r="W6827" s="16" t="str">
        <f>IFERROR(__xludf.DUMMYFUNCTION("""COMPUTED_VALUE"""),"")</f>
        <v/>
      </c>
      <c r="X6827" s="16" t="str">
        <f>IFERROR(__xludf.DUMMYFUNCTION("""COMPUTED_VALUE"""),"")</f>
        <v/>
      </c>
      <c r="AC6827" s="16" t="str">
        <f>IFERROR(__xludf.DUMMYFUNCTION("""COMPUTED_VALUE"""),"")</f>
        <v/>
      </c>
    </row>
    <row r="6828">
      <c r="A6828" s="16" t="s">
        <v>87</v>
      </c>
      <c r="E6828" s="16" t="str">
        <f>IFERROR(__xludf.DUMMYFUNCTION("""COMPUTED_VALUE"""),"")</f>
        <v/>
      </c>
      <c r="G6828" s="18"/>
      <c r="H6828" s="16" t="s">
        <v>87</v>
      </c>
      <c r="I6828" s="16" t="s">
        <v>87</v>
      </c>
      <c r="J6828" s="19"/>
      <c r="L6828" s="16" t="str">
        <f>IFERROR(__xludf.DUMMYFUNCTION("""COMPUTED_VALUE"""),"")</f>
        <v/>
      </c>
      <c r="M6828" s="16" t="str">
        <f>IFERROR(__xludf.DUMMYFUNCTION("""COMPUTED_VALUE"""),"")</f>
        <v/>
      </c>
      <c r="U6828" s="16" t="s">
        <v>87</v>
      </c>
      <c r="V6828" s="16" t="str">
        <f>IFERROR(__xludf.DUMMYFUNCTION("""COMPUTED_VALUE"""),"")</f>
        <v/>
      </c>
      <c r="W6828" s="16" t="str">
        <f>IFERROR(__xludf.DUMMYFUNCTION("""COMPUTED_VALUE"""),"")</f>
        <v/>
      </c>
      <c r="X6828" s="16" t="str">
        <f>IFERROR(__xludf.DUMMYFUNCTION("""COMPUTED_VALUE"""),"")</f>
        <v/>
      </c>
      <c r="AC6828" s="16" t="str">
        <f>IFERROR(__xludf.DUMMYFUNCTION("""COMPUTED_VALUE"""),"")</f>
        <v/>
      </c>
    </row>
    <row r="6829">
      <c r="A6829" s="16" t="s">
        <v>87</v>
      </c>
      <c r="E6829" s="16" t="str">
        <f>IFERROR(__xludf.DUMMYFUNCTION("""COMPUTED_VALUE"""),"")</f>
        <v/>
      </c>
      <c r="G6829" s="18"/>
      <c r="H6829" s="16" t="s">
        <v>87</v>
      </c>
      <c r="I6829" s="16" t="s">
        <v>87</v>
      </c>
      <c r="J6829" s="19"/>
      <c r="L6829" s="16" t="str">
        <f>IFERROR(__xludf.DUMMYFUNCTION("""COMPUTED_VALUE"""),"")</f>
        <v/>
      </c>
      <c r="M6829" s="16" t="str">
        <f>IFERROR(__xludf.DUMMYFUNCTION("""COMPUTED_VALUE"""),"")</f>
        <v/>
      </c>
      <c r="U6829" s="16" t="s">
        <v>87</v>
      </c>
      <c r="V6829" s="16" t="str">
        <f>IFERROR(__xludf.DUMMYFUNCTION("""COMPUTED_VALUE"""),"")</f>
        <v/>
      </c>
      <c r="W6829" s="16" t="str">
        <f>IFERROR(__xludf.DUMMYFUNCTION("""COMPUTED_VALUE"""),"")</f>
        <v/>
      </c>
      <c r="X6829" s="16" t="str">
        <f>IFERROR(__xludf.DUMMYFUNCTION("""COMPUTED_VALUE"""),"")</f>
        <v/>
      </c>
      <c r="AC6829" s="16" t="str">
        <f>IFERROR(__xludf.DUMMYFUNCTION("""COMPUTED_VALUE"""),"")</f>
        <v/>
      </c>
    </row>
    <row r="6830">
      <c r="A6830" s="16" t="s">
        <v>87</v>
      </c>
      <c r="E6830" s="16" t="str">
        <f>IFERROR(__xludf.DUMMYFUNCTION("""COMPUTED_VALUE"""),"")</f>
        <v/>
      </c>
      <c r="G6830" s="18"/>
      <c r="H6830" s="16" t="s">
        <v>87</v>
      </c>
      <c r="I6830" s="16" t="s">
        <v>87</v>
      </c>
      <c r="J6830" s="19"/>
      <c r="L6830" s="16" t="str">
        <f>IFERROR(__xludf.DUMMYFUNCTION("""COMPUTED_VALUE"""),"")</f>
        <v/>
      </c>
      <c r="M6830" s="16" t="str">
        <f>IFERROR(__xludf.DUMMYFUNCTION("""COMPUTED_VALUE"""),"")</f>
        <v/>
      </c>
      <c r="U6830" s="16" t="s">
        <v>87</v>
      </c>
      <c r="V6830" s="16" t="str">
        <f>IFERROR(__xludf.DUMMYFUNCTION("""COMPUTED_VALUE"""),"")</f>
        <v/>
      </c>
      <c r="W6830" s="16" t="str">
        <f>IFERROR(__xludf.DUMMYFUNCTION("""COMPUTED_VALUE"""),"")</f>
        <v/>
      </c>
      <c r="X6830" s="16" t="str">
        <f>IFERROR(__xludf.DUMMYFUNCTION("""COMPUTED_VALUE"""),"")</f>
        <v/>
      </c>
      <c r="AC6830" s="16" t="str">
        <f>IFERROR(__xludf.DUMMYFUNCTION("""COMPUTED_VALUE"""),"")</f>
        <v/>
      </c>
    </row>
    <row r="6831">
      <c r="A6831" s="16" t="s">
        <v>87</v>
      </c>
      <c r="E6831" s="16" t="str">
        <f>IFERROR(__xludf.DUMMYFUNCTION("""COMPUTED_VALUE"""),"")</f>
        <v/>
      </c>
      <c r="G6831" s="18"/>
      <c r="H6831" s="16" t="s">
        <v>87</v>
      </c>
      <c r="I6831" s="16" t="s">
        <v>87</v>
      </c>
      <c r="J6831" s="19"/>
      <c r="L6831" s="16" t="str">
        <f>IFERROR(__xludf.DUMMYFUNCTION("""COMPUTED_VALUE"""),"")</f>
        <v/>
      </c>
      <c r="M6831" s="16" t="str">
        <f>IFERROR(__xludf.DUMMYFUNCTION("""COMPUTED_VALUE"""),"")</f>
        <v/>
      </c>
      <c r="U6831" s="16" t="s">
        <v>87</v>
      </c>
      <c r="V6831" s="16" t="str">
        <f>IFERROR(__xludf.DUMMYFUNCTION("""COMPUTED_VALUE"""),"")</f>
        <v/>
      </c>
      <c r="W6831" s="16" t="str">
        <f>IFERROR(__xludf.DUMMYFUNCTION("""COMPUTED_VALUE"""),"")</f>
        <v/>
      </c>
      <c r="X6831" s="16" t="str">
        <f>IFERROR(__xludf.DUMMYFUNCTION("""COMPUTED_VALUE"""),"")</f>
        <v/>
      </c>
      <c r="AC6831" s="16" t="str">
        <f>IFERROR(__xludf.DUMMYFUNCTION("""COMPUTED_VALUE"""),"")</f>
        <v/>
      </c>
    </row>
    <row r="6832">
      <c r="A6832" s="16" t="s">
        <v>87</v>
      </c>
      <c r="E6832" s="16" t="str">
        <f>IFERROR(__xludf.DUMMYFUNCTION("""COMPUTED_VALUE"""),"")</f>
        <v/>
      </c>
      <c r="G6832" s="18"/>
      <c r="H6832" s="16" t="s">
        <v>87</v>
      </c>
      <c r="I6832" s="16" t="s">
        <v>87</v>
      </c>
      <c r="J6832" s="19"/>
      <c r="L6832" s="16" t="str">
        <f>IFERROR(__xludf.DUMMYFUNCTION("""COMPUTED_VALUE"""),"")</f>
        <v/>
      </c>
      <c r="M6832" s="16" t="str">
        <f>IFERROR(__xludf.DUMMYFUNCTION("""COMPUTED_VALUE"""),"")</f>
        <v/>
      </c>
      <c r="U6832" s="16" t="s">
        <v>87</v>
      </c>
      <c r="V6832" s="16" t="str">
        <f>IFERROR(__xludf.DUMMYFUNCTION("""COMPUTED_VALUE"""),"")</f>
        <v/>
      </c>
      <c r="W6832" s="16" t="str">
        <f>IFERROR(__xludf.DUMMYFUNCTION("""COMPUTED_VALUE"""),"")</f>
        <v/>
      </c>
      <c r="X6832" s="16" t="str">
        <f>IFERROR(__xludf.DUMMYFUNCTION("""COMPUTED_VALUE"""),"")</f>
        <v/>
      </c>
      <c r="AC6832" s="16" t="str">
        <f>IFERROR(__xludf.DUMMYFUNCTION("""COMPUTED_VALUE"""),"")</f>
        <v/>
      </c>
    </row>
    <row r="6833">
      <c r="A6833" s="16" t="s">
        <v>87</v>
      </c>
      <c r="E6833" s="16" t="str">
        <f>IFERROR(__xludf.DUMMYFUNCTION("""COMPUTED_VALUE"""),"")</f>
        <v/>
      </c>
      <c r="G6833" s="18"/>
      <c r="H6833" s="16" t="s">
        <v>87</v>
      </c>
      <c r="I6833" s="16" t="s">
        <v>87</v>
      </c>
      <c r="J6833" s="19"/>
      <c r="L6833" s="16" t="str">
        <f>IFERROR(__xludf.DUMMYFUNCTION("""COMPUTED_VALUE"""),"")</f>
        <v/>
      </c>
      <c r="M6833" s="16" t="str">
        <f>IFERROR(__xludf.DUMMYFUNCTION("""COMPUTED_VALUE"""),"")</f>
        <v/>
      </c>
      <c r="U6833" s="16" t="s">
        <v>87</v>
      </c>
      <c r="V6833" s="16" t="str">
        <f>IFERROR(__xludf.DUMMYFUNCTION("""COMPUTED_VALUE"""),"")</f>
        <v/>
      </c>
      <c r="W6833" s="16" t="str">
        <f>IFERROR(__xludf.DUMMYFUNCTION("""COMPUTED_VALUE"""),"")</f>
        <v/>
      </c>
      <c r="X6833" s="16" t="str">
        <f>IFERROR(__xludf.DUMMYFUNCTION("""COMPUTED_VALUE"""),"")</f>
        <v/>
      </c>
      <c r="AC6833" s="16" t="str">
        <f>IFERROR(__xludf.DUMMYFUNCTION("""COMPUTED_VALUE"""),"")</f>
        <v/>
      </c>
    </row>
    <row r="6834">
      <c r="A6834" s="16" t="s">
        <v>87</v>
      </c>
      <c r="E6834" s="16" t="str">
        <f>IFERROR(__xludf.DUMMYFUNCTION("""COMPUTED_VALUE"""),"")</f>
        <v/>
      </c>
      <c r="G6834" s="18"/>
      <c r="H6834" s="16" t="s">
        <v>87</v>
      </c>
      <c r="I6834" s="16" t="s">
        <v>87</v>
      </c>
      <c r="J6834" s="19"/>
      <c r="L6834" s="16" t="str">
        <f>IFERROR(__xludf.DUMMYFUNCTION("""COMPUTED_VALUE"""),"")</f>
        <v/>
      </c>
      <c r="M6834" s="16" t="str">
        <f>IFERROR(__xludf.DUMMYFUNCTION("""COMPUTED_VALUE"""),"")</f>
        <v/>
      </c>
      <c r="U6834" s="16" t="s">
        <v>87</v>
      </c>
      <c r="V6834" s="16" t="str">
        <f>IFERROR(__xludf.DUMMYFUNCTION("""COMPUTED_VALUE"""),"")</f>
        <v/>
      </c>
      <c r="W6834" s="16" t="str">
        <f>IFERROR(__xludf.DUMMYFUNCTION("""COMPUTED_VALUE"""),"")</f>
        <v/>
      </c>
      <c r="X6834" s="16" t="str">
        <f>IFERROR(__xludf.DUMMYFUNCTION("""COMPUTED_VALUE"""),"")</f>
        <v/>
      </c>
      <c r="AC6834" s="16" t="str">
        <f>IFERROR(__xludf.DUMMYFUNCTION("""COMPUTED_VALUE"""),"")</f>
        <v/>
      </c>
    </row>
    <row r="6835">
      <c r="A6835" s="16" t="s">
        <v>87</v>
      </c>
      <c r="E6835" s="16" t="str">
        <f>IFERROR(__xludf.DUMMYFUNCTION("""COMPUTED_VALUE"""),"")</f>
        <v/>
      </c>
      <c r="G6835" s="18"/>
      <c r="H6835" s="16" t="s">
        <v>87</v>
      </c>
      <c r="I6835" s="16" t="s">
        <v>87</v>
      </c>
      <c r="J6835" s="19"/>
      <c r="L6835" s="16" t="str">
        <f>IFERROR(__xludf.DUMMYFUNCTION("""COMPUTED_VALUE"""),"")</f>
        <v/>
      </c>
      <c r="M6835" s="16" t="str">
        <f>IFERROR(__xludf.DUMMYFUNCTION("""COMPUTED_VALUE"""),"")</f>
        <v/>
      </c>
      <c r="U6835" s="16" t="s">
        <v>87</v>
      </c>
      <c r="V6835" s="16" t="str">
        <f>IFERROR(__xludf.DUMMYFUNCTION("""COMPUTED_VALUE"""),"")</f>
        <v/>
      </c>
      <c r="W6835" s="16" t="str">
        <f>IFERROR(__xludf.DUMMYFUNCTION("""COMPUTED_VALUE"""),"")</f>
        <v/>
      </c>
      <c r="X6835" s="16" t="str">
        <f>IFERROR(__xludf.DUMMYFUNCTION("""COMPUTED_VALUE"""),"")</f>
        <v/>
      </c>
      <c r="AC6835" s="16" t="str">
        <f>IFERROR(__xludf.DUMMYFUNCTION("""COMPUTED_VALUE"""),"")</f>
        <v/>
      </c>
    </row>
    <row r="6836">
      <c r="A6836" s="16" t="s">
        <v>87</v>
      </c>
      <c r="E6836" s="16" t="str">
        <f>IFERROR(__xludf.DUMMYFUNCTION("""COMPUTED_VALUE"""),"")</f>
        <v/>
      </c>
      <c r="G6836" s="18"/>
      <c r="H6836" s="16" t="s">
        <v>87</v>
      </c>
      <c r="I6836" s="16" t="s">
        <v>87</v>
      </c>
      <c r="J6836" s="19"/>
      <c r="L6836" s="16" t="str">
        <f>IFERROR(__xludf.DUMMYFUNCTION("""COMPUTED_VALUE"""),"")</f>
        <v/>
      </c>
      <c r="M6836" s="16" t="str">
        <f>IFERROR(__xludf.DUMMYFUNCTION("""COMPUTED_VALUE"""),"")</f>
        <v/>
      </c>
      <c r="U6836" s="16" t="s">
        <v>87</v>
      </c>
      <c r="V6836" s="16" t="str">
        <f>IFERROR(__xludf.DUMMYFUNCTION("""COMPUTED_VALUE"""),"")</f>
        <v/>
      </c>
      <c r="W6836" s="16" t="str">
        <f>IFERROR(__xludf.DUMMYFUNCTION("""COMPUTED_VALUE"""),"")</f>
        <v/>
      </c>
      <c r="X6836" s="16" t="str">
        <f>IFERROR(__xludf.DUMMYFUNCTION("""COMPUTED_VALUE"""),"")</f>
        <v/>
      </c>
      <c r="AC6836" s="16" t="str">
        <f>IFERROR(__xludf.DUMMYFUNCTION("""COMPUTED_VALUE"""),"")</f>
        <v/>
      </c>
    </row>
    <row r="6837">
      <c r="A6837" s="16" t="s">
        <v>87</v>
      </c>
      <c r="E6837" s="16" t="str">
        <f>IFERROR(__xludf.DUMMYFUNCTION("""COMPUTED_VALUE"""),"")</f>
        <v/>
      </c>
      <c r="G6837" s="18"/>
      <c r="H6837" s="16" t="s">
        <v>87</v>
      </c>
      <c r="I6837" s="16" t="s">
        <v>87</v>
      </c>
      <c r="J6837" s="19"/>
      <c r="L6837" s="16" t="str">
        <f>IFERROR(__xludf.DUMMYFUNCTION("""COMPUTED_VALUE"""),"")</f>
        <v/>
      </c>
      <c r="M6837" s="16" t="str">
        <f>IFERROR(__xludf.DUMMYFUNCTION("""COMPUTED_VALUE"""),"")</f>
        <v/>
      </c>
      <c r="U6837" s="16" t="s">
        <v>87</v>
      </c>
      <c r="V6837" s="16" t="str">
        <f>IFERROR(__xludf.DUMMYFUNCTION("""COMPUTED_VALUE"""),"")</f>
        <v/>
      </c>
      <c r="W6837" s="16" t="str">
        <f>IFERROR(__xludf.DUMMYFUNCTION("""COMPUTED_VALUE"""),"")</f>
        <v/>
      </c>
      <c r="X6837" s="16" t="str">
        <f>IFERROR(__xludf.DUMMYFUNCTION("""COMPUTED_VALUE"""),"")</f>
        <v/>
      </c>
      <c r="AC6837" s="16" t="str">
        <f>IFERROR(__xludf.DUMMYFUNCTION("""COMPUTED_VALUE"""),"")</f>
        <v/>
      </c>
    </row>
    <row r="6838">
      <c r="A6838" s="16" t="s">
        <v>87</v>
      </c>
      <c r="E6838" s="16" t="str">
        <f>IFERROR(__xludf.DUMMYFUNCTION("""COMPUTED_VALUE"""),"")</f>
        <v/>
      </c>
      <c r="G6838" s="18"/>
      <c r="H6838" s="16" t="s">
        <v>87</v>
      </c>
      <c r="I6838" s="16" t="s">
        <v>87</v>
      </c>
      <c r="J6838" s="19"/>
      <c r="L6838" s="16" t="str">
        <f>IFERROR(__xludf.DUMMYFUNCTION("""COMPUTED_VALUE"""),"")</f>
        <v/>
      </c>
      <c r="M6838" s="16" t="str">
        <f>IFERROR(__xludf.DUMMYFUNCTION("""COMPUTED_VALUE"""),"")</f>
        <v/>
      </c>
      <c r="U6838" s="16" t="s">
        <v>87</v>
      </c>
      <c r="V6838" s="16" t="str">
        <f>IFERROR(__xludf.DUMMYFUNCTION("""COMPUTED_VALUE"""),"")</f>
        <v/>
      </c>
      <c r="W6838" s="16" t="str">
        <f>IFERROR(__xludf.DUMMYFUNCTION("""COMPUTED_VALUE"""),"")</f>
        <v/>
      </c>
      <c r="X6838" s="16" t="str">
        <f>IFERROR(__xludf.DUMMYFUNCTION("""COMPUTED_VALUE"""),"")</f>
        <v/>
      </c>
      <c r="AC6838" s="16" t="str">
        <f>IFERROR(__xludf.DUMMYFUNCTION("""COMPUTED_VALUE"""),"")</f>
        <v/>
      </c>
    </row>
    <row r="6839">
      <c r="A6839" s="16" t="s">
        <v>87</v>
      </c>
      <c r="E6839" s="16" t="str">
        <f>IFERROR(__xludf.DUMMYFUNCTION("""COMPUTED_VALUE"""),"")</f>
        <v/>
      </c>
      <c r="G6839" s="18"/>
      <c r="H6839" s="16" t="s">
        <v>87</v>
      </c>
      <c r="I6839" s="16" t="s">
        <v>87</v>
      </c>
      <c r="J6839" s="19"/>
      <c r="L6839" s="16" t="str">
        <f>IFERROR(__xludf.DUMMYFUNCTION("""COMPUTED_VALUE"""),"")</f>
        <v/>
      </c>
      <c r="M6839" s="16" t="str">
        <f>IFERROR(__xludf.DUMMYFUNCTION("""COMPUTED_VALUE"""),"")</f>
        <v/>
      </c>
      <c r="U6839" s="16" t="s">
        <v>87</v>
      </c>
      <c r="V6839" s="16" t="str">
        <f>IFERROR(__xludf.DUMMYFUNCTION("""COMPUTED_VALUE"""),"")</f>
        <v/>
      </c>
      <c r="W6839" s="16" t="str">
        <f>IFERROR(__xludf.DUMMYFUNCTION("""COMPUTED_VALUE"""),"")</f>
        <v/>
      </c>
      <c r="X6839" s="16" t="str">
        <f>IFERROR(__xludf.DUMMYFUNCTION("""COMPUTED_VALUE"""),"")</f>
        <v/>
      </c>
      <c r="AC6839" s="16" t="str">
        <f>IFERROR(__xludf.DUMMYFUNCTION("""COMPUTED_VALUE"""),"")</f>
        <v/>
      </c>
    </row>
    <row r="6840">
      <c r="A6840" s="16" t="s">
        <v>87</v>
      </c>
      <c r="E6840" s="16" t="str">
        <f>IFERROR(__xludf.DUMMYFUNCTION("""COMPUTED_VALUE"""),"")</f>
        <v/>
      </c>
      <c r="G6840" s="18"/>
      <c r="H6840" s="16" t="s">
        <v>87</v>
      </c>
      <c r="I6840" s="16" t="s">
        <v>87</v>
      </c>
      <c r="J6840" s="19"/>
      <c r="L6840" s="16" t="str">
        <f>IFERROR(__xludf.DUMMYFUNCTION("""COMPUTED_VALUE"""),"")</f>
        <v/>
      </c>
      <c r="M6840" s="16" t="str">
        <f>IFERROR(__xludf.DUMMYFUNCTION("""COMPUTED_VALUE"""),"")</f>
        <v/>
      </c>
      <c r="U6840" s="16" t="s">
        <v>87</v>
      </c>
      <c r="V6840" s="16" t="str">
        <f>IFERROR(__xludf.DUMMYFUNCTION("""COMPUTED_VALUE"""),"")</f>
        <v/>
      </c>
      <c r="W6840" s="16" t="str">
        <f>IFERROR(__xludf.DUMMYFUNCTION("""COMPUTED_VALUE"""),"")</f>
        <v/>
      </c>
      <c r="X6840" s="16" t="str">
        <f>IFERROR(__xludf.DUMMYFUNCTION("""COMPUTED_VALUE"""),"")</f>
        <v/>
      </c>
      <c r="AC6840" s="16" t="str">
        <f>IFERROR(__xludf.DUMMYFUNCTION("""COMPUTED_VALUE"""),"")</f>
        <v/>
      </c>
    </row>
    <row r="6841">
      <c r="A6841" s="16" t="s">
        <v>87</v>
      </c>
      <c r="E6841" s="16" t="str">
        <f>IFERROR(__xludf.DUMMYFUNCTION("""COMPUTED_VALUE"""),"")</f>
        <v/>
      </c>
      <c r="G6841" s="18"/>
      <c r="H6841" s="16" t="s">
        <v>87</v>
      </c>
      <c r="I6841" s="16" t="s">
        <v>87</v>
      </c>
      <c r="J6841" s="19"/>
      <c r="L6841" s="16" t="str">
        <f>IFERROR(__xludf.DUMMYFUNCTION("""COMPUTED_VALUE"""),"")</f>
        <v/>
      </c>
      <c r="M6841" s="16" t="str">
        <f>IFERROR(__xludf.DUMMYFUNCTION("""COMPUTED_VALUE"""),"")</f>
        <v/>
      </c>
      <c r="U6841" s="16" t="s">
        <v>87</v>
      </c>
      <c r="V6841" s="16" t="str">
        <f>IFERROR(__xludf.DUMMYFUNCTION("""COMPUTED_VALUE"""),"")</f>
        <v/>
      </c>
      <c r="W6841" s="16" t="str">
        <f>IFERROR(__xludf.DUMMYFUNCTION("""COMPUTED_VALUE"""),"")</f>
        <v/>
      </c>
      <c r="X6841" s="16" t="str">
        <f>IFERROR(__xludf.DUMMYFUNCTION("""COMPUTED_VALUE"""),"")</f>
        <v/>
      </c>
      <c r="AC6841" s="16" t="str">
        <f>IFERROR(__xludf.DUMMYFUNCTION("""COMPUTED_VALUE"""),"")</f>
        <v/>
      </c>
    </row>
    <row r="6842">
      <c r="A6842" s="16" t="s">
        <v>87</v>
      </c>
      <c r="E6842" s="16" t="str">
        <f>IFERROR(__xludf.DUMMYFUNCTION("""COMPUTED_VALUE"""),"")</f>
        <v/>
      </c>
      <c r="G6842" s="18"/>
      <c r="H6842" s="16" t="s">
        <v>87</v>
      </c>
      <c r="I6842" s="16" t="s">
        <v>87</v>
      </c>
      <c r="J6842" s="19"/>
      <c r="L6842" s="16" t="str">
        <f>IFERROR(__xludf.DUMMYFUNCTION("""COMPUTED_VALUE"""),"")</f>
        <v/>
      </c>
      <c r="M6842" s="16" t="str">
        <f>IFERROR(__xludf.DUMMYFUNCTION("""COMPUTED_VALUE"""),"")</f>
        <v/>
      </c>
      <c r="U6842" s="16" t="s">
        <v>87</v>
      </c>
      <c r="V6842" s="16" t="str">
        <f>IFERROR(__xludf.DUMMYFUNCTION("""COMPUTED_VALUE"""),"")</f>
        <v/>
      </c>
      <c r="W6842" s="16" t="str">
        <f>IFERROR(__xludf.DUMMYFUNCTION("""COMPUTED_VALUE"""),"")</f>
        <v/>
      </c>
      <c r="X6842" s="16" t="str">
        <f>IFERROR(__xludf.DUMMYFUNCTION("""COMPUTED_VALUE"""),"")</f>
        <v/>
      </c>
      <c r="AC6842" s="16" t="str">
        <f>IFERROR(__xludf.DUMMYFUNCTION("""COMPUTED_VALUE"""),"")</f>
        <v/>
      </c>
    </row>
    <row r="6843">
      <c r="A6843" s="16" t="s">
        <v>87</v>
      </c>
      <c r="E6843" s="16" t="str">
        <f>IFERROR(__xludf.DUMMYFUNCTION("""COMPUTED_VALUE"""),"")</f>
        <v/>
      </c>
      <c r="G6843" s="18"/>
      <c r="H6843" s="16" t="s">
        <v>87</v>
      </c>
      <c r="I6843" s="16" t="s">
        <v>87</v>
      </c>
      <c r="J6843" s="19"/>
      <c r="L6843" s="16" t="str">
        <f>IFERROR(__xludf.DUMMYFUNCTION("""COMPUTED_VALUE"""),"")</f>
        <v/>
      </c>
      <c r="M6843" s="16" t="str">
        <f>IFERROR(__xludf.DUMMYFUNCTION("""COMPUTED_VALUE"""),"")</f>
        <v/>
      </c>
      <c r="U6843" s="16" t="s">
        <v>87</v>
      </c>
      <c r="V6843" s="16" t="str">
        <f>IFERROR(__xludf.DUMMYFUNCTION("""COMPUTED_VALUE"""),"")</f>
        <v/>
      </c>
      <c r="W6843" s="16" t="str">
        <f>IFERROR(__xludf.DUMMYFUNCTION("""COMPUTED_VALUE"""),"")</f>
        <v/>
      </c>
      <c r="X6843" s="16" t="str">
        <f>IFERROR(__xludf.DUMMYFUNCTION("""COMPUTED_VALUE"""),"")</f>
        <v/>
      </c>
      <c r="AC6843" s="16" t="str">
        <f>IFERROR(__xludf.DUMMYFUNCTION("""COMPUTED_VALUE"""),"")</f>
        <v/>
      </c>
    </row>
    <row r="6844">
      <c r="A6844" s="16" t="s">
        <v>87</v>
      </c>
      <c r="E6844" s="16" t="str">
        <f>IFERROR(__xludf.DUMMYFUNCTION("""COMPUTED_VALUE"""),"")</f>
        <v/>
      </c>
      <c r="G6844" s="18"/>
      <c r="H6844" s="16" t="s">
        <v>87</v>
      </c>
      <c r="I6844" s="16" t="s">
        <v>87</v>
      </c>
      <c r="J6844" s="19"/>
      <c r="L6844" s="16" t="str">
        <f>IFERROR(__xludf.DUMMYFUNCTION("""COMPUTED_VALUE"""),"")</f>
        <v/>
      </c>
      <c r="M6844" s="16" t="str">
        <f>IFERROR(__xludf.DUMMYFUNCTION("""COMPUTED_VALUE"""),"")</f>
        <v/>
      </c>
      <c r="U6844" s="16" t="s">
        <v>87</v>
      </c>
      <c r="V6844" s="16" t="str">
        <f>IFERROR(__xludf.DUMMYFUNCTION("""COMPUTED_VALUE"""),"")</f>
        <v/>
      </c>
      <c r="W6844" s="16" t="str">
        <f>IFERROR(__xludf.DUMMYFUNCTION("""COMPUTED_VALUE"""),"")</f>
        <v/>
      </c>
      <c r="X6844" s="16" t="str">
        <f>IFERROR(__xludf.DUMMYFUNCTION("""COMPUTED_VALUE"""),"")</f>
        <v/>
      </c>
      <c r="AC6844" s="16" t="str">
        <f>IFERROR(__xludf.DUMMYFUNCTION("""COMPUTED_VALUE"""),"")</f>
        <v/>
      </c>
    </row>
    <row r="6845">
      <c r="A6845" s="16" t="s">
        <v>87</v>
      </c>
      <c r="E6845" s="16" t="str">
        <f>IFERROR(__xludf.DUMMYFUNCTION("""COMPUTED_VALUE"""),"")</f>
        <v/>
      </c>
      <c r="G6845" s="18"/>
      <c r="H6845" s="16" t="s">
        <v>87</v>
      </c>
      <c r="I6845" s="16" t="s">
        <v>87</v>
      </c>
      <c r="J6845" s="19"/>
      <c r="L6845" s="16" t="str">
        <f>IFERROR(__xludf.DUMMYFUNCTION("""COMPUTED_VALUE"""),"")</f>
        <v/>
      </c>
      <c r="M6845" s="16" t="str">
        <f>IFERROR(__xludf.DUMMYFUNCTION("""COMPUTED_VALUE"""),"")</f>
        <v/>
      </c>
      <c r="U6845" s="16" t="s">
        <v>87</v>
      </c>
      <c r="V6845" s="16" t="str">
        <f>IFERROR(__xludf.DUMMYFUNCTION("""COMPUTED_VALUE"""),"")</f>
        <v/>
      </c>
      <c r="W6845" s="16" t="str">
        <f>IFERROR(__xludf.DUMMYFUNCTION("""COMPUTED_VALUE"""),"")</f>
        <v/>
      </c>
      <c r="X6845" s="16" t="str">
        <f>IFERROR(__xludf.DUMMYFUNCTION("""COMPUTED_VALUE"""),"")</f>
        <v/>
      </c>
      <c r="AC6845" s="16" t="str">
        <f>IFERROR(__xludf.DUMMYFUNCTION("""COMPUTED_VALUE"""),"")</f>
        <v/>
      </c>
    </row>
    <row r="6846">
      <c r="A6846" s="16" t="s">
        <v>87</v>
      </c>
      <c r="E6846" s="16" t="str">
        <f>IFERROR(__xludf.DUMMYFUNCTION("""COMPUTED_VALUE"""),"")</f>
        <v/>
      </c>
      <c r="G6846" s="18"/>
      <c r="H6846" s="16" t="s">
        <v>87</v>
      </c>
      <c r="I6846" s="16" t="s">
        <v>87</v>
      </c>
      <c r="J6846" s="19"/>
      <c r="L6846" s="16" t="str">
        <f>IFERROR(__xludf.DUMMYFUNCTION("""COMPUTED_VALUE"""),"")</f>
        <v/>
      </c>
      <c r="M6846" s="16" t="str">
        <f>IFERROR(__xludf.DUMMYFUNCTION("""COMPUTED_VALUE"""),"")</f>
        <v/>
      </c>
      <c r="U6846" s="16" t="s">
        <v>87</v>
      </c>
      <c r="V6846" s="16" t="str">
        <f>IFERROR(__xludf.DUMMYFUNCTION("""COMPUTED_VALUE"""),"")</f>
        <v/>
      </c>
      <c r="W6846" s="16" t="str">
        <f>IFERROR(__xludf.DUMMYFUNCTION("""COMPUTED_VALUE"""),"")</f>
        <v/>
      </c>
      <c r="X6846" s="16" t="str">
        <f>IFERROR(__xludf.DUMMYFUNCTION("""COMPUTED_VALUE"""),"")</f>
        <v/>
      </c>
      <c r="AC6846" s="16" t="str">
        <f>IFERROR(__xludf.DUMMYFUNCTION("""COMPUTED_VALUE"""),"")</f>
        <v/>
      </c>
    </row>
    <row r="6847">
      <c r="A6847" s="16" t="s">
        <v>87</v>
      </c>
      <c r="E6847" s="16" t="str">
        <f>IFERROR(__xludf.DUMMYFUNCTION("""COMPUTED_VALUE"""),"")</f>
        <v/>
      </c>
      <c r="G6847" s="18"/>
      <c r="H6847" s="16" t="s">
        <v>87</v>
      </c>
      <c r="I6847" s="16" t="s">
        <v>87</v>
      </c>
      <c r="J6847" s="19"/>
      <c r="L6847" s="16" t="str">
        <f>IFERROR(__xludf.DUMMYFUNCTION("""COMPUTED_VALUE"""),"")</f>
        <v/>
      </c>
      <c r="M6847" s="16" t="str">
        <f>IFERROR(__xludf.DUMMYFUNCTION("""COMPUTED_VALUE"""),"")</f>
        <v/>
      </c>
      <c r="U6847" s="16" t="s">
        <v>87</v>
      </c>
      <c r="V6847" s="16" t="str">
        <f>IFERROR(__xludf.DUMMYFUNCTION("""COMPUTED_VALUE"""),"")</f>
        <v/>
      </c>
      <c r="W6847" s="16" t="str">
        <f>IFERROR(__xludf.DUMMYFUNCTION("""COMPUTED_VALUE"""),"")</f>
        <v/>
      </c>
      <c r="X6847" s="16" t="str">
        <f>IFERROR(__xludf.DUMMYFUNCTION("""COMPUTED_VALUE"""),"")</f>
        <v/>
      </c>
      <c r="AC6847" s="16" t="str">
        <f>IFERROR(__xludf.DUMMYFUNCTION("""COMPUTED_VALUE"""),"")</f>
        <v/>
      </c>
    </row>
    <row r="6848">
      <c r="A6848" s="16" t="s">
        <v>87</v>
      </c>
      <c r="E6848" s="16" t="str">
        <f>IFERROR(__xludf.DUMMYFUNCTION("""COMPUTED_VALUE"""),"")</f>
        <v/>
      </c>
      <c r="G6848" s="18"/>
      <c r="H6848" s="16" t="s">
        <v>87</v>
      </c>
      <c r="I6848" s="16" t="s">
        <v>87</v>
      </c>
      <c r="J6848" s="19"/>
      <c r="L6848" s="16" t="str">
        <f>IFERROR(__xludf.DUMMYFUNCTION("""COMPUTED_VALUE"""),"")</f>
        <v/>
      </c>
      <c r="M6848" s="16" t="str">
        <f>IFERROR(__xludf.DUMMYFUNCTION("""COMPUTED_VALUE"""),"")</f>
        <v/>
      </c>
      <c r="U6848" s="16" t="s">
        <v>87</v>
      </c>
      <c r="V6848" s="16" t="str">
        <f>IFERROR(__xludf.DUMMYFUNCTION("""COMPUTED_VALUE"""),"")</f>
        <v/>
      </c>
      <c r="W6848" s="16" t="str">
        <f>IFERROR(__xludf.DUMMYFUNCTION("""COMPUTED_VALUE"""),"")</f>
        <v/>
      </c>
      <c r="X6848" s="16" t="str">
        <f>IFERROR(__xludf.DUMMYFUNCTION("""COMPUTED_VALUE"""),"")</f>
        <v/>
      </c>
      <c r="AC6848" s="16" t="str">
        <f>IFERROR(__xludf.DUMMYFUNCTION("""COMPUTED_VALUE"""),"")</f>
        <v/>
      </c>
    </row>
    <row r="6849">
      <c r="A6849" s="16" t="s">
        <v>87</v>
      </c>
      <c r="E6849" s="16" t="str">
        <f>IFERROR(__xludf.DUMMYFUNCTION("""COMPUTED_VALUE"""),"")</f>
        <v/>
      </c>
      <c r="G6849" s="18"/>
      <c r="H6849" s="16" t="s">
        <v>87</v>
      </c>
      <c r="I6849" s="16" t="s">
        <v>87</v>
      </c>
      <c r="J6849" s="19"/>
      <c r="L6849" s="16" t="str">
        <f>IFERROR(__xludf.DUMMYFUNCTION("""COMPUTED_VALUE"""),"")</f>
        <v/>
      </c>
      <c r="M6849" s="16" t="str">
        <f>IFERROR(__xludf.DUMMYFUNCTION("""COMPUTED_VALUE"""),"")</f>
        <v/>
      </c>
      <c r="U6849" s="16" t="s">
        <v>87</v>
      </c>
      <c r="V6849" s="16" t="str">
        <f>IFERROR(__xludf.DUMMYFUNCTION("""COMPUTED_VALUE"""),"")</f>
        <v/>
      </c>
      <c r="W6849" s="16" t="str">
        <f>IFERROR(__xludf.DUMMYFUNCTION("""COMPUTED_VALUE"""),"")</f>
        <v/>
      </c>
      <c r="X6849" s="16" t="str">
        <f>IFERROR(__xludf.DUMMYFUNCTION("""COMPUTED_VALUE"""),"")</f>
        <v/>
      </c>
      <c r="AC6849" s="16" t="str">
        <f>IFERROR(__xludf.DUMMYFUNCTION("""COMPUTED_VALUE"""),"")</f>
        <v/>
      </c>
    </row>
    <row r="6850">
      <c r="A6850" s="16" t="s">
        <v>87</v>
      </c>
      <c r="E6850" s="16" t="str">
        <f>IFERROR(__xludf.DUMMYFUNCTION("""COMPUTED_VALUE"""),"")</f>
        <v/>
      </c>
      <c r="G6850" s="18"/>
      <c r="H6850" s="16" t="s">
        <v>87</v>
      </c>
      <c r="I6850" s="16" t="s">
        <v>87</v>
      </c>
      <c r="J6850" s="19"/>
      <c r="L6850" s="16" t="str">
        <f>IFERROR(__xludf.DUMMYFUNCTION("""COMPUTED_VALUE"""),"")</f>
        <v/>
      </c>
      <c r="M6850" s="16" t="str">
        <f>IFERROR(__xludf.DUMMYFUNCTION("""COMPUTED_VALUE"""),"")</f>
        <v/>
      </c>
      <c r="U6850" s="16" t="s">
        <v>87</v>
      </c>
      <c r="V6850" s="16" t="str">
        <f>IFERROR(__xludf.DUMMYFUNCTION("""COMPUTED_VALUE"""),"")</f>
        <v/>
      </c>
      <c r="W6850" s="16" t="str">
        <f>IFERROR(__xludf.DUMMYFUNCTION("""COMPUTED_VALUE"""),"")</f>
        <v/>
      </c>
      <c r="X6850" s="16" t="str">
        <f>IFERROR(__xludf.DUMMYFUNCTION("""COMPUTED_VALUE"""),"")</f>
        <v/>
      </c>
      <c r="AC6850" s="16" t="str">
        <f>IFERROR(__xludf.DUMMYFUNCTION("""COMPUTED_VALUE"""),"")</f>
        <v/>
      </c>
    </row>
    <row r="6851">
      <c r="A6851" s="16" t="s">
        <v>87</v>
      </c>
      <c r="E6851" s="16" t="str">
        <f>IFERROR(__xludf.DUMMYFUNCTION("""COMPUTED_VALUE"""),"")</f>
        <v/>
      </c>
      <c r="G6851" s="18"/>
      <c r="H6851" s="16" t="s">
        <v>87</v>
      </c>
      <c r="I6851" s="16" t="s">
        <v>87</v>
      </c>
      <c r="J6851" s="19"/>
      <c r="L6851" s="16" t="str">
        <f>IFERROR(__xludf.DUMMYFUNCTION("""COMPUTED_VALUE"""),"")</f>
        <v/>
      </c>
      <c r="M6851" s="16" t="str">
        <f>IFERROR(__xludf.DUMMYFUNCTION("""COMPUTED_VALUE"""),"")</f>
        <v/>
      </c>
      <c r="U6851" s="16" t="s">
        <v>87</v>
      </c>
      <c r="V6851" s="16" t="str">
        <f>IFERROR(__xludf.DUMMYFUNCTION("""COMPUTED_VALUE"""),"")</f>
        <v/>
      </c>
      <c r="W6851" s="16" t="str">
        <f>IFERROR(__xludf.DUMMYFUNCTION("""COMPUTED_VALUE"""),"")</f>
        <v/>
      </c>
      <c r="X6851" s="16" t="str">
        <f>IFERROR(__xludf.DUMMYFUNCTION("""COMPUTED_VALUE"""),"")</f>
        <v/>
      </c>
      <c r="AC6851" s="16" t="str">
        <f>IFERROR(__xludf.DUMMYFUNCTION("""COMPUTED_VALUE"""),"")</f>
        <v/>
      </c>
    </row>
    <row r="6852">
      <c r="A6852" s="16" t="s">
        <v>87</v>
      </c>
      <c r="E6852" s="16" t="str">
        <f>IFERROR(__xludf.DUMMYFUNCTION("""COMPUTED_VALUE"""),"")</f>
        <v/>
      </c>
      <c r="G6852" s="18"/>
      <c r="H6852" s="16" t="s">
        <v>87</v>
      </c>
      <c r="I6852" s="16" t="s">
        <v>87</v>
      </c>
      <c r="J6852" s="19"/>
      <c r="L6852" s="16" t="str">
        <f>IFERROR(__xludf.DUMMYFUNCTION("""COMPUTED_VALUE"""),"")</f>
        <v/>
      </c>
      <c r="M6852" s="16" t="str">
        <f>IFERROR(__xludf.DUMMYFUNCTION("""COMPUTED_VALUE"""),"")</f>
        <v/>
      </c>
      <c r="U6852" s="16" t="s">
        <v>87</v>
      </c>
      <c r="V6852" s="16" t="str">
        <f>IFERROR(__xludf.DUMMYFUNCTION("""COMPUTED_VALUE"""),"")</f>
        <v/>
      </c>
      <c r="W6852" s="16" t="str">
        <f>IFERROR(__xludf.DUMMYFUNCTION("""COMPUTED_VALUE"""),"")</f>
        <v/>
      </c>
      <c r="X6852" s="16" t="str">
        <f>IFERROR(__xludf.DUMMYFUNCTION("""COMPUTED_VALUE"""),"")</f>
        <v/>
      </c>
      <c r="AC6852" s="16" t="str">
        <f>IFERROR(__xludf.DUMMYFUNCTION("""COMPUTED_VALUE"""),"")</f>
        <v/>
      </c>
    </row>
    <row r="6853">
      <c r="A6853" s="16" t="s">
        <v>87</v>
      </c>
      <c r="E6853" s="16" t="str">
        <f>IFERROR(__xludf.DUMMYFUNCTION("""COMPUTED_VALUE"""),"")</f>
        <v/>
      </c>
      <c r="G6853" s="18"/>
      <c r="H6853" s="16" t="s">
        <v>87</v>
      </c>
      <c r="I6853" s="16" t="s">
        <v>87</v>
      </c>
      <c r="J6853" s="19"/>
      <c r="L6853" s="16" t="str">
        <f>IFERROR(__xludf.DUMMYFUNCTION("""COMPUTED_VALUE"""),"")</f>
        <v/>
      </c>
      <c r="M6853" s="16" t="str">
        <f>IFERROR(__xludf.DUMMYFUNCTION("""COMPUTED_VALUE"""),"")</f>
        <v/>
      </c>
      <c r="U6853" s="16" t="s">
        <v>87</v>
      </c>
      <c r="V6853" s="16" t="str">
        <f>IFERROR(__xludf.DUMMYFUNCTION("""COMPUTED_VALUE"""),"")</f>
        <v/>
      </c>
      <c r="W6853" s="16" t="str">
        <f>IFERROR(__xludf.DUMMYFUNCTION("""COMPUTED_VALUE"""),"")</f>
        <v/>
      </c>
      <c r="X6853" s="16" t="str">
        <f>IFERROR(__xludf.DUMMYFUNCTION("""COMPUTED_VALUE"""),"")</f>
        <v/>
      </c>
      <c r="AC6853" s="16" t="str">
        <f>IFERROR(__xludf.DUMMYFUNCTION("""COMPUTED_VALUE"""),"")</f>
        <v/>
      </c>
    </row>
    <row r="6854">
      <c r="A6854" s="16" t="s">
        <v>87</v>
      </c>
      <c r="E6854" s="16" t="str">
        <f>IFERROR(__xludf.DUMMYFUNCTION("""COMPUTED_VALUE"""),"")</f>
        <v/>
      </c>
      <c r="G6854" s="18"/>
      <c r="H6854" s="16" t="s">
        <v>87</v>
      </c>
      <c r="I6854" s="16" t="s">
        <v>87</v>
      </c>
      <c r="J6854" s="19"/>
      <c r="L6854" s="16" t="str">
        <f>IFERROR(__xludf.DUMMYFUNCTION("""COMPUTED_VALUE"""),"")</f>
        <v/>
      </c>
      <c r="M6854" s="16" t="str">
        <f>IFERROR(__xludf.DUMMYFUNCTION("""COMPUTED_VALUE"""),"")</f>
        <v/>
      </c>
      <c r="U6854" s="16" t="s">
        <v>87</v>
      </c>
      <c r="V6854" s="16" t="str">
        <f>IFERROR(__xludf.DUMMYFUNCTION("""COMPUTED_VALUE"""),"")</f>
        <v/>
      </c>
      <c r="W6854" s="16" t="str">
        <f>IFERROR(__xludf.DUMMYFUNCTION("""COMPUTED_VALUE"""),"")</f>
        <v/>
      </c>
      <c r="X6854" s="16" t="str">
        <f>IFERROR(__xludf.DUMMYFUNCTION("""COMPUTED_VALUE"""),"")</f>
        <v/>
      </c>
      <c r="AC6854" s="16" t="str">
        <f>IFERROR(__xludf.DUMMYFUNCTION("""COMPUTED_VALUE"""),"")</f>
        <v/>
      </c>
    </row>
    <row r="6855">
      <c r="A6855" s="16" t="s">
        <v>87</v>
      </c>
      <c r="E6855" s="16" t="str">
        <f>IFERROR(__xludf.DUMMYFUNCTION("""COMPUTED_VALUE"""),"")</f>
        <v/>
      </c>
      <c r="G6855" s="18"/>
      <c r="H6855" s="16" t="s">
        <v>87</v>
      </c>
      <c r="I6855" s="16" t="s">
        <v>87</v>
      </c>
      <c r="J6855" s="19"/>
      <c r="L6855" s="16" t="str">
        <f>IFERROR(__xludf.DUMMYFUNCTION("""COMPUTED_VALUE"""),"")</f>
        <v/>
      </c>
      <c r="M6855" s="16" t="str">
        <f>IFERROR(__xludf.DUMMYFUNCTION("""COMPUTED_VALUE"""),"")</f>
        <v/>
      </c>
      <c r="U6855" s="16" t="s">
        <v>87</v>
      </c>
      <c r="V6855" s="16" t="str">
        <f>IFERROR(__xludf.DUMMYFUNCTION("""COMPUTED_VALUE"""),"")</f>
        <v/>
      </c>
      <c r="W6855" s="16" t="str">
        <f>IFERROR(__xludf.DUMMYFUNCTION("""COMPUTED_VALUE"""),"")</f>
        <v/>
      </c>
      <c r="X6855" s="16" t="str">
        <f>IFERROR(__xludf.DUMMYFUNCTION("""COMPUTED_VALUE"""),"")</f>
        <v/>
      </c>
      <c r="AC6855" s="16" t="str">
        <f>IFERROR(__xludf.DUMMYFUNCTION("""COMPUTED_VALUE"""),"")</f>
        <v/>
      </c>
    </row>
    <row r="6856">
      <c r="A6856" s="16" t="s">
        <v>87</v>
      </c>
      <c r="E6856" s="16" t="str">
        <f>IFERROR(__xludf.DUMMYFUNCTION("""COMPUTED_VALUE"""),"")</f>
        <v/>
      </c>
      <c r="G6856" s="18"/>
      <c r="H6856" s="16" t="s">
        <v>87</v>
      </c>
      <c r="I6856" s="16" t="s">
        <v>87</v>
      </c>
      <c r="J6856" s="19"/>
      <c r="L6856" s="16" t="str">
        <f>IFERROR(__xludf.DUMMYFUNCTION("""COMPUTED_VALUE"""),"")</f>
        <v/>
      </c>
      <c r="M6856" s="16" t="str">
        <f>IFERROR(__xludf.DUMMYFUNCTION("""COMPUTED_VALUE"""),"")</f>
        <v/>
      </c>
      <c r="U6856" s="16" t="s">
        <v>87</v>
      </c>
      <c r="V6856" s="16" t="str">
        <f>IFERROR(__xludf.DUMMYFUNCTION("""COMPUTED_VALUE"""),"")</f>
        <v/>
      </c>
      <c r="W6856" s="16" t="str">
        <f>IFERROR(__xludf.DUMMYFUNCTION("""COMPUTED_VALUE"""),"")</f>
        <v/>
      </c>
      <c r="X6856" s="16" t="str">
        <f>IFERROR(__xludf.DUMMYFUNCTION("""COMPUTED_VALUE"""),"")</f>
        <v/>
      </c>
      <c r="AC6856" s="16" t="str">
        <f>IFERROR(__xludf.DUMMYFUNCTION("""COMPUTED_VALUE"""),"")</f>
        <v/>
      </c>
    </row>
    <row r="6857">
      <c r="A6857" s="16" t="s">
        <v>87</v>
      </c>
      <c r="E6857" s="16" t="str">
        <f>IFERROR(__xludf.DUMMYFUNCTION("""COMPUTED_VALUE"""),"")</f>
        <v/>
      </c>
      <c r="G6857" s="18"/>
      <c r="H6857" s="16" t="s">
        <v>87</v>
      </c>
      <c r="I6857" s="16" t="s">
        <v>87</v>
      </c>
      <c r="J6857" s="19"/>
      <c r="L6857" s="16" t="str">
        <f>IFERROR(__xludf.DUMMYFUNCTION("""COMPUTED_VALUE"""),"")</f>
        <v/>
      </c>
      <c r="M6857" s="16" t="str">
        <f>IFERROR(__xludf.DUMMYFUNCTION("""COMPUTED_VALUE"""),"")</f>
        <v/>
      </c>
      <c r="U6857" s="16" t="s">
        <v>87</v>
      </c>
      <c r="V6857" s="16" t="str">
        <f>IFERROR(__xludf.DUMMYFUNCTION("""COMPUTED_VALUE"""),"")</f>
        <v/>
      </c>
      <c r="W6857" s="16" t="str">
        <f>IFERROR(__xludf.DUMMYFUNCTION("""COMPUTED_VALUE"""),"")</f>
        <v/>
      </c>
      <c r="X6857" s="16" t="str">
        <f>IFERROR(__xludf.DUMMYFUNCTION("""COMPUTED_VALUE"""),"")</f>
        <v/>
      </c>
      <c r="AC6857" s="16" t="str">
        <f>IFERROR(__xludf.DUMMYFUNCTION("""COMPUTED_VALUE"""),"")</f>
        <v/>
      </c>
    </row>
    <row r="6858">
      <c r="A6858" s="16" t="s">
        <v>87</v>
      </c>
      <c r="E6858" s="16" t="str">
        <f>IFERROR(__xludf.DUMMYFUNCTION("""COMPUTED_VALUE"""),"")</f>
        <v/>
      </c>
      <c r="G6858" s="18"/>
      <c r="H6858" s="16" t="s">
        <v>87</v>
      </c>
      <c r="I6858" s="16" t="s">
        <v>87</v>
      </c>
      <c r="J6858" s="19"/>
      <c r="L6858" s="16" t="str">
        <f>IFERROR(__xludf.DUMMYFUNCTION("""COMPUTED_VALUE"""),"")</f>
        <v/>
      </c>
      <c r="M6858" s="16" t="str">
        <f>IFERROR(__xludf.DUMMYFUNCTION("""COMPUTED_VALUE"""),"")</f>
        <v/>
      </c>
      <c r="U6858" s="16" t="s">
        <v>87</v>
      </c>
      <c r="V6858" s="16" t="str">
        <f>IFERROR(__xludf.DUMMYFUNCTION("""COMPUTED_VALUE"""),"")</f>
        <v/>
      </c>
      <c r="W6858" s="16" t="str">
        <f>IFERROR(__xludf.DUMMYFUNCTION("""COMPUTED_VALUE"""),"")</f>
        <v/>
      </c>
      <c r="X6858" s="16" t="str">
        <f>IFERROR(__xludf.DUMMYFUNCTION("""COMPUTED_VALUE"""),"")</f>
        <v/>
      </c>
      <c r="AC6858" s="16" t="str">
        <f>IFERROR(__xludf.DUMMYFUNCTION("""COMPUTED_VALUE"""),"")</f>
        <v/>
      </c>
    </row>
    <row r="6859">
      <c r="A6859" s="16" t="s">
        <v>87</v>
      </c>
      <c r="E6859" s="16" t="str">
        <f>IFERROR(__xludf.DUMMYFUNCTION("""COMPUTED_VALUE"""),"")</f>
        <v/>
      </c>
      <c r="G6859" s="18"/>
      <c r="H6859" s="16" t="s">
        <v>87</v>
      </c>
      <c r="I6859" s="16" t="s">
        <v>87</v>
      </c>
      <c r="J6859" s="19"/>
      <c r="L6859" s="16" t="str">
        <f>IFERROR(__xludf.DUMMYFUNCTION("""COMPUTED_VALUE"""),"")</f>
        <v/>
      </c>
      <c r="M6859" s="16" t="str">
        <f>IFERROR(__xludf.DUMMYFUNCTION("""COMPUTED_VALUE"""),"")</f>
        <v/>
      </c>
      <c r="U6859" s="16" t="s">
        <v>87</v>
      </c>
      <c r="V6859" s="16" t="str">
        <f>IFERROR(__xludf.DUMMYFUNCTION("""COMPUTED_VALUE"""),"")</f>
        <v/>
      </c>
      <c r="W6859" s="16" t="str">
        <f>IFERROR(__xludf.DUMMYFUNCTION("""COMPUTED_VALUE"""),"")</f>
        <v/>
      </c>
      <c r="X6859" s="16" t="str">
        <f>IFERROR(__xludf.DUMMYFUNCTION("""COMPUTED_VALUE"""),"")</f>
        <v/>
      </c>
      <c r="AC6859" s="16" t="str">
        <f>IFERROR(__xludf.DUMMYFUNCTION("""COMPUTED_VALUE"""),"")</f>
        <v/>
      </c>
    </row>
    <row r="6860">
      <c r="A6860" s="16" t="s">
        <v>87</v>
      </c>
      <c r="E6860" s="16" t="str">
        <f>IFERROR(__xludf.DUMMYFUNCTION("""COMPUTED_VALUE"""),"")</f>
        <v/>
      </c>
      <c r="G6860" s="18"/>
      <c r="H6860" s="16" t="s">
        <v>87</v>
      </c>
      <c r="I6860" s="16" t="s">
        <v>87</v>
      </c>
      <c r="J6860" s="19"/>
      <c r="L6860" s="16" t="str">
        <f>IFERROR(__xludf.DUMMYFUNCTION("""COMPUTED_VALUE"""),"")</f>
        <v/>
      </c>
      <c r="M6860" s="16" t="str">
        <f>IFERROR(__xludf.DUMMYFUNCTION("""COMPUTED_VALUE"""),"")</f>
        <v/>
      </c>
      <c r="U6860" s="16" t="s">
        <v>87</v>
      </c>
      <c r="V6860" s="16" t="str">
        <f>IFERROR(__xludf.DUMMYFUNCTION("""COMPUTED_VALUE"""),"")</f>
        <v/>
      </c>
      <c r="W6860" s="16" t="str">
        <f>IFERROR(__xludf.DUMMYFUNCTION("""COMPUTED_VALUE"""),"")</f>
        <v/>
      </c>
      <c r="X6860" s="16" t="str">
        <f>IFERROR(__xludf.DUMMYFUNCTION("""COMPUTED_VALUE"""),"")</f>
        <v/>
      </c>
      <c r="AC6860" s="16" t="str">
        <f>IFERROR(__xludf.DUMMYFUNCTION("""COMPUTED_VALUE"""),"")</f>
        <v/>
      </c>
    </row>
    <row r="6861">
      <c r="A6861" s="16" t="s">
        <v>87</v>
      </c>
      <c r="E6861" s="16" t="str">
        <f>IFERROR(__xludf.DUMMYFUNCTION("""COMPUTED_VALUE"""),"")</f>
        <v/>
      </c>
      <c r="G6861" s="18"/>
      <c r="H6861" s="16" t="s">
        <v>87</v>
      </c>
      <c r="I6861" s="16" t="s">
        <v>87</v>
      </c>
      <c r="J6861" s="19"/>
      <c r="L6861" s="16" t="str">
        <f>IFERROR(__xludf.DUMMYFUNCTION("""COMPUTED_VALUE"""),"")</f>
        <v/>
      </c>
      <c r="M6861" s="16" t="str">
        <f>IFERROR(__xludf.DUMMYFUNCTION("""COMPUTED_VALUE"""),"")</f>
        <v/>
      </c>
      <c r="U6861" s="16" t="s">
        <v>87</v>
      </c>
      <c r="V6861" s="16" t="str">
        <f>IFERROR(__xludf.DUMMYFUNCTION("""COMPUTED_VALUE"""),"")</f>
        <v/>
      </c>
      <c r="W6861" s="16" t="str">
        <f>IFERROR(__xludf.DUMMYFUNCTION("""COMPUTED_VALUE"""),"")</f>
        <v/>
      </c>
      <c r="X6861" s="16" t="str">
        <f>IFERROR(__xludf.DUMMYFUNCTION("""COMPUTED_VALUE"""),"")</f>
        <v/>
      </c>
      <c r="AC6861" s="16" t="str">
        <f>IFERROR(__xludf.DUMMYFUNCTION("""COMPUTED_VALUE"""),"")</f>
        <v/>
      </c>
    </row>
    <row r="6862">
      <c r="A6862" s="16" t="s">
        <v>87</v>
      </c>
      <c r="E6862" s="16" t="str">
        <f>IFERROR(__xludf.DUMMYFUNCTION("""COMPUTED_VALUE"""),"")</f>
        <v/>
      </c>
      <c r="G6862" s="18"/>
      <c r="H6862" s="16" t="s">
        <v>87</v>
      </c>
      <c r="I6862" s="16" t="s">
        <v>87</v>
      </c>
      <c r="J6862" s="19"/>
      <c r="L6862" s="16" t="str">
        <f>IFERROR(__xludf.DUMMYFUNCTION("""COMPUTED_VALUE"""),"")</f>
        <v/>
      </c>
      <c r="M6862" s="16" t="str">
        <f>IFERROR(__xludf.DUMMYFUNCTION("""COMPUTED_VALUE"""),"")</f>
        <v/>
      </c>
      <c r="U6862" s="16" t="s">
        <v>87</v>
      </c>
      <c r="V6862" s="16" t="str">
        <f>IFERROR(__xludf.DUMMYFUNCTION("""COMPUTED_VALUE"""),"")</f>
        <v/>
      </c>
      <c r="W6862" s="16" t="str">
        <f>IFERROR(__xludf.DUMMYFUNCTION("""COMPUTED_VALUE"""),"")</f>
        <v/>
      </c>
      <c r="X6862" s="16" t="str">
        <f>IFERROR(__xludf.DUMMYFUNCTION("""COMPUTED_VALUE"""),"")</f>
        <v/>
      </c>
      <c r="AC6862" s="16" t="str">
        <f>IFERROR(__xludf.DUMMYFUNCTION("""COMPUTED_VALUE"""),"")</f>
        <v/>
      </c>
    </row>
    <row r="6863">
      <c r="A6863" s="16" t="s">
        <v>87</v>
      </c>
      <c r="E6863" s="16" t="str">
        <f>IFERROR(__xludf.DUMMYFUNCTION("""COMPUTED_VALUE"""),"")</f>
        <v/>
      </c>
      <c r="G6863" s="18"/>
      <c r="H6863" s="16" t="s">
        <v>87</v>
      </c>
      <c r="I6863" s="16" t="s">
        <v>87</v>
      </c>
      <c r="J6863" s="19"/>
      <c r="L6863" s="16" t="str">
        <f>IFERROR(__xludf.DUMMYFUNCTION("""COMPUTED_VALUE"""),"")</f>
        <v/>
      </c>
      <c r="M6863" s="16" t="str">
        <f>IFERROR(__xludf.DUMMYFUNCTION("""COMPUTED_VALUE"""),"")</f>
        <v/>
      </c>
      <c r="U6863" s="16" t="s">
        <v>87</v>
      </c>
      <c r="V6863" s="16" t="str">
        <f>IFERROR(__xludf.DUMMYFUNCTION("""COMPUTED_VALUE"""),"")</f>
        <v/>
      </c>
      <c r="W6863" s="16" t="str">
        <f>IFERROR(__xludf.DUMMYFUNCTION("""COMPUTED_VALUE"""),"")</f>
        <v/>
      </c>
      <c r="X6863" s="16" t="str">
        <f>IFERROR(__xludf.DUMMYFUNCTION("""COMPUTED_VALUE"""),"")</f>
        <v/>
      </c>
      <c r="AC6863" s="16" t="str">
        <f>IFERROR(__xludf.DUMMYFUNCTION("""COMPUTED_VALUE"""),"")</f>
        <v/>
      </c>
    </row>
    <row r="6864">
      <c r="A6864" s="16" t="s">
        <v>87</v>
      </c>
      <c r="E6864" s="16" t="str">
        <f>IFERROR(__xludf.DUMMYFUNCTION("""COMPUTED_VALUE"""),"")</f>
        <v/>
      </c>
      <c r="G6864" s="18"/>
      <c r="H6864" s="16" t="s">
        <v>87</v>
      </c>
      <c r="I6864" s="16" t="s">
        <v>87</v>
      </c>
      <c r="J6864" s="19"/>
      <c r="L6864" s="16" t="str">
        <f>IFERROR(__xludf.DUMMYFUNCTION("""COMPUTED_VALUE"""),"")</f>
        <v/>
      </c>
      <c r="M6864" s="16" t="str">
        <f>IFERROR(__xludf.DUMMYFUNCTION("""COMPUTED_VALUE"""),"")</f>
        <v/>
      </c>
      <c r="U6864" s="16" t="s">
        <v>87</v>
      </c>
      <c r="V6864" s="16" t="str">
        <f>IFERROR(__xludf.DUMMYFUNCTION("""COMPUTED_VALUE"""),"")</f>
        <v/>
      </c>
      <c r="W6864" s="16" t="str">
        <f>IFERROR(__xludf.DUMMYFUNCTION("""COMPUTED_VALUE"""),"")</f>
        <v/>
      </c>
      <c r="X6864" s="16" t="str">
        <f>IFERROR(__xludf.DUMMYFUNCTION("""COMPUTED_VALUE"""),"")</f>
        <v/>
      </c>
      <c r="AC6864" s="16" t="str">
        <f>IFERROR(__xludf.DUMMYFUNCTION("""COMPUTED_VALUE"""),"")</f>
        <v/>
      </c>
    </row>
    <row r="6865">
      <c r="A6865" s="16" t="s">
        <v>87</v>
      </c>
      <c r="E6865" s="16" t="str">
        <f>IFERROR(__xludf.DUMMYFUNCTION("""COMPUTED_VALUE"""),"")</f>
        <v/>
      </c>
      <c r="G6865" s="18"/>
      <c r="H6865" s="16" t="s">
        <v>87</v>
      </c>
      <c r="I6865" s="16" t="s">
        <v>87</v>
      </c>
      <c r="J6865" s="19"/>
      <c r="L6865" s="16" t="str">
        <f>IFERROR(__xludf.DUMMYFUNCTION("""COMPUTED_VALUE"""),"")</f>
        <v/>
      </c>
      <c r="M6865" s="16" t="str">
        <f>IFERROR(__xludf.DUMMYFUNCTION("""COMPUTED_VALUE"""),"")</f>
        <v/>
      </c>
      <c r="U6865" s="16" t="s">
        <v>87</v>
      </c>
      <c r="V6865" s="16" t="str">
        <f>IFERROR(__xludf.DUMMYFUNCTION("""COMPUTED_VALUE"""),"")</f>
        <v/>
      </c>
      <c r="W6865" s="16" t="str">
        <f>IFERROR(__xludf.DUMMYFUNCTION("""COMPUTED_VALUE"""),"")</f>
        <v/>
      </c>
      <c r="X6865" s="16" t="str">
        <f>IFERROR(__xludf.DUMMYFUNCTION("""COMPUTED_VALUE"""),"")</f>
        <v/>
      </c>
      <c r="AC6865" s="16" t="str">
        <f>IFERROR(__xludf.DUMMYFUNCTION("""COMPUTED_VALUE"""),"")</f>
        <v/>
      </c>
    </row>
    <row r="6866">
      <c r="A6866" s="16" t="s">
        <v>87</v>
      </c>
      <c r="E6866" s="16" t="str">
        <f>IFERROR(__xludf.DUMMYFUNCTION("""COMPUTED_VALUE"""),"")</f>
        <v/>
      </c>
      <c r="G6866" s="18"/>
      <c r="H6866" s="16" t="s">
        <v>87</v>
      </c>
      <c r="I6866" s="16" t="s">
        <v>87</v>
      </c>
      <c r="J6866" s="19"/>
      <c r="L6866" s="16" t="str">
        <f>IFERROR(__xludf.DUMMYFUNCTION("""COMPUTED_VALUE"""),"")</f>
        <v/>
      </c>
      <c r="M6866" s="16" t="str">
        <f>IFERROR(__xludf.DUMMYFUNCTION("""COMPUTED_VALUE"""),"")</f>
        <v/>
      </c>
      <c r="U6866" s="16" t="s">
        <v>87</v>
      </c>
      <c r="V6866" s="16" t="str">
        <f>IFERROR(__xludf.DUMMYFUNCTION("""COMPUTED_VALUE"""),"")</f>
        <v/>
      </c>
      <c r="W6866" s="16" t="str">
        <f>IFERROR(__xludf.DUMMYFUNCTION("""COMPUTED_VALUE"""),"")</f>
        <v/>
      </c>
      <c r="X6866" s="16" t="str">
        <f>IFERROR(__xludf.DUMMYFUNCTION("""COMPUTED_VALUE"""),"")</f>
        <v/>
      </c>
      <c r="AC6866" s="16" t="str">
        <f>IFERROR(__xludf.DUMMYFUNCTION("""COMPUTED_VALUE"""),"")</f>
        <v/>
      </c>
    </row>
    <row r="6867">
      <c r="A6867" s="16" t="s">
        <v>87</v>
      </c>
      <c r="E6867" s="16" t="str">
        <f>IFERROR(__xludf.DUMMYFUNCTION("""COMPUTED_VALUE"""),"")</f>
        <v/>
      </c>
      <c r="G6867" s="18"/>
      <c r="H6867" s="16" t="s">
        <v>87</v>
      </c>
      <c r="I6867" s="16" t="s">
        <v>87</v>
      </c>
      <c r="J6867" s="19"/>
      <c r="L6867" s="16" t="str">
        <f>IFERROR(__xludf.DUMMYFUNCTION("""COMPUTED_VALUE"""),"")</f>
        <v/>
      </c>
      <c r="M6867" s="16" t="str">
        <f>IFERROR(__xludf.DUMMYFUNCTION("""COMPUTED_VALUE"""),"")</f>
        <v/>
      </c>
      <c r="U6867" s="16" t="s">
        <v>87</v>
      </c>
      <c r="V6867" s="16" t="str">
        <f>IFERROR(__xludf.DUMMYFUNCTION("""COMPUTED_VALUE"""),"")</f>
        <v/>
      </c>
      <c r="W6867" s="16" t="str">
        <f>IFERROR(__xludf.DUMMYFUNCTION("""COMPUTED_VALUE"""),"")</f>
        <v/>
      </c>
      <c r="X6867" s="16" t="str">
        <f>IFERROR(__xludf.DUMMYFUNCTION("""COMPUTED_VALUE"""),"")</f>
        <v/>
      </c>
      <c r="AC6867" s="16" t="str">
        <f>IFERROR(__xludf.DUMMYFUNCTION("""COMPUTED_VALUE"""),"")</f>
        <v/>
      </c>
    </row>
    <row r="6868">
      <c r="A6868" s="16" t="s">
        <v>87</v>
      </c>
      <c r="E6868" s="16" t="str">
        <f>IFERROR(__xludf.DUMMYFUNCTION("""COMPUTED_VALUE"""),"")</f>
        <v/>
      </c>
      <c r="G6868" s="18"/>
      <c r="H6868" s="16" t="s">
        <v>87</v>
      </c>
      <c r="I6868" s="16" t="s">
        <v>87</v>
      </c>
      <c r="J6868" s="19"/>
      <c r="L6868" s="16" t="str">
        <f>IFERROR(__xludf.DUMMYFUNCTION("""COMPUTED_VALUE"""),"")</f>
        <v/>
      </c>
      <c r="M6868" s="16" t="str">
        <f>IFERROR(__xludf.DUMMYFUNCTION("""COMPUTED_VALUE"""),"")</f>
        <v/>
      </c>
      <c r="U6868" s="16" t="s">
        <v>87</v>
      </c>
      <c r="V6868" s="16" t="str">
        <f>IFERROR(__xludf.DUMMYFUNCTION("""COMPUTED_VALUE"""),"")</f>
        <v/>
      </c>
      <c r="W6868" s="16" t="str">
        <f>IFERROR(__xludf.DUMMYFUNCTION("""COMPUTED_VALUE"""),"")</f>
        <v/>
      </c>
      <c r="X6868" s="16" t="str">
        <f>IFERROR(__xludf.DUMMYFUNCTION("""COMPUTED_VALUE"""),"")</f>
        <v/>
      </c>
      <c r="AC6868" s="16" t="str">
        <f>IFERROR(__xludf.DUMMYFUNCTION("""COMPUTED_VALUE"""),"")</f>
        <v/>
      </c>
    </row>
    <row r="6869">
      <c r="A6869" s="16" t="s">
        <v>87</v>
      </c>
      <c r="E6869" s="16" t="str">
        <f>IFERROR(__xludf.DUMMYFUNCTION("""COMPUTED_VALUE"""),"")</f>
        <v/>
      </c>
      <c r="G6869" s="18"/>
      <c r="H6869" s="16" t="s">
        <v>87</v>
      </c>
      <c r="I6869" s="16" t="s">
        <v>87</v>
      </c>
      <c r="J6869" s="19"/>
      <c r="L6869" s="16" t="str">
        <f>IFERROR(__xludf.DUMMYFUNCTION("""COMPUTED_VALUE"""),"")</f>
        <v/>
      </c>
      <c r="M6869" s="16" t="str">
        <f>IFERROR(__xludf.DUMMYFUNCTION("""COMPUTED_VALUE"""),"")</f>
        <v/>
      </c>
      <c r="U6869" s="16" t="s">
        <v>87</v>
      </c>
      <c r="V6869" s="16" t="str">
        <f>IFERROR(__xludf.DUMMYFUNCTION("""COMPUTED_VALUE"""),"")</f>
        <v/>
      </c>
      <c r="W6869" s="16" t="str">
        <f>IFERROR(__xludf.DUMMYFUNCTION("""COMPUTED_VALUE"""),"")</f>
        <v/>
      </c>
      <c r="X6869" s="16" t="str">
        <f>IFERROR(__xludf.DUMMYFUNCTION("""COMPUTED_VALUE"""),"")</f>
        <v/>
      </c>
      <c r="AC6869" s="16" t="str">
        <f>IFERROR(__xludf.DUMMYFUNCTION("""COMPUTED_VALUE"""),"")</f>
        <v/>
      </c>
    </row>
    <row r="6870">
      <c r="A6870" s="16" t="s">
        <v>87</v>
      </c>
      <c r="E6870" s="16" t="str">
        <f>IFERROR(__xludf.DUMMYFUNCTION("""COMPUTED_VALUE"""),"")</f>
        <v/>
      </c>
      <c r="G6870" s="18"/>
      <c r="H6870" s="16" t="s">
        <v>87</v>
      </c>
      <c r="I6870" s="16" t="s">
        <v>87</v>
      </c>
      <c r="J6870" s="19"/>
      <c r="L6870" s="16" t="str">
        <f>IFERROR(__xludf.DUMMYFUNCTION("""COMPUTED_VALUE"""),"")</f>
        <v/>
      </c>
      <c r="M6870" s="16" t="str">
        <f>IFERROR(__xludf.DUMMYFUNCTION("""COMPUTED_VALUE"""),"")</f>
        <v/>
      </c>
      <c r="U6870" s="16" t="s">
        <v>87</v>
      </c>
      <c r="V6870" s="16" t="str">
        <f>IFERROR(__xludf.DUMMYFUNCTION("""COMPUTED_VALUE"""),"")</f>
        <v/>
      </c>
      <c r="W6870" s="16" t="str">
        <f>IFERROR(__xludf.DUMMYFUNCTION("""COMPUTED_VALUE"""),"")</f>
        <v/>
      </c>
      <c r="X6870" s="16" t="str">
        <f>IFERROR(__xludf.DUMMYFUNCTION("""COMPUTED_VALUE"""),"")</f>
        <v/>
      </c>
      <c r="AC6870" s="16" t="str">
        <f>IFERROR(__xludf.DUMMYFUNCTION("""COMPUTED_VALUE"""),"")</f>
        <v/>
      </c>
    </row>
    <row r="6871">
      <c r="A6871" s="16" t="s">
        <v>87</v>
      </c>
      <c r="E6871" s="16" t="str">
        <f>IFERROR(__xludf.DUMMYFUNCTION("""COMPUTED_VALUE"""),"")</f>
        <v/>
      </c>
      <c r="G6871" s="18"/>
      <c r="H6871" s="16" t="s">
        <v>87</v>
      </c>
      <c r="I6871" s="16" t="s">
        <v>87</v>
      </c>
      <c r="J6871" s="19"/>
      <c r="L6871" s="16" t="str">
        <f>IFERROR(__xludf.DUMMYFUNCTION("""COMPUTED_VALUE"""),"")</f>
        <v/>
      </c>
      <c r="M6871" s="16" t="str">
        <f>IFERROR(__xludf.DUMMYFUNCTION("""COMPUTED_VALUE"""),"")</f>
        <v/>
      </c>
      <c r="U6871" s="16" t="s">
        <v>87</v>
      </c>
      <c r="V6871" s="16" t="str">
        <f>IFERROR(__xludf.DUMMYFUNCTION("""COMPUTED_VALUE"""),"")</f>
        <v/>
      </c>
      <c r="W6871" s="16" t="str">
        <f>IFERROR(__xludf.DUMMYFUNCTION("""COMPUTED_VALUE"""),"")</f>
        <v/>
      </c>
      <c r="X6871" s="16" t="str">
        <f>IFERROR(__xludf.DUMMYFUNCTION("""COMPUTED_VALUE"""),"")</f>
        <v/>
      </c>
      <c r="AC6871" s="16" t="str">
        <f>IFERROR(__xludf.DUMMYFUNCTION("""COMPUTED_VALUE"""),"")</f>
        <v/>
      </c>
    </row>
    <row r="6872">
      <c r="A6872" s="16" t="s">
        <v>87</v>
      </c>
      <c r="E6872" s="16" t="str">
        <f>IFERROR(__xludf.DUMMYFUNCTION("""COMPUTED_VALUE"""),"")</f>
        <v/>
      </c>
      <c r="G6872" s="18"/>
      <c r="H6872" s="16" t="s">
        <v>87</v>
      </c>
      <c r="I6872" s="16" t="s">
        <v>87</v>
      </c>
      <c r="J6872" s="19"/>
      <c r="L6872" s="16" t="str">
        <f>IFERROR(__xludf.DUMMYFUNCTION("""COMPUTED_VALUE"""),"")</f>
        <v/>
      </c>
      <c r="M6872" s="16" t="str">
        <f>IFERROR(__xludf.DUMMYFUNCTION("""COMPUTED_VALUE"""),"")</f>
        <v/>
      </c>
      <c r="U6872" s="16" t="s">
        <v>87</v>
      </c>
      <c r="V6872" s="16" t="str">
        <f>IFERROR(__xludf.DUMMYFUNCTION("""COMPUTED_VALUE"""),"")</f>
        <v/>
      </c>
      <c r="W6872" s="16" t="str">
        <f>IFERROR(__xludf.DUMMYFUNCTION("""COMPUTED_VALUE"""),"")</f>
        <v/>
      </c>
      <c r="X6872" s="16" t="str">
        <f>IFERROR(__xludf.DUMMYFUNCTION("""COMPUTED_VALUE"""),"")</f>
        <v/>
      </c>
      <c r="AC6872" s="16" t="str">
        <f>IFERROR(__xludf.DUMMYFUNCTION("""COMPUTED_VALUE"""),"")</f>
        <v/>
      </c>
    </row>
    <row r="6873">
      <c r="A6873" s="16" t="s">
        <v>87</v>
      </c>
      <c r="E6873" s="16" t="str">
        <f>IFERROR(__xludf.DUMMYFUNCTION("""COMPUTED_VALUE"""),"")</f>
        <v/>
      </c>
      <c r="G6873" s="18"/>
      <c r="H6873" s="16" t="s">
        <v>87</v>
      </c>
      <c r="I6873" s="16" t="s">
        <v>87</v>
      </c>
      <c r="J6873" s="19"/>
      <c r="L6873" s="16" t="str">
        <f>IFERROR(__xludf.DUMMYFUNCTION("""COMPUTED_VALUE"""),"")</f>
        <v/>
      </c>
      <c r="M6873" s="16" t="str">
        <f>IFERROR(__xludf.DUMMYFUNCTION("""COMPUTED_VALUE"""),"")</f>
        <v/>
      </c>
      <c r="U6873" s="16" t="s">
        <v>87</v>
      </c>
      <c r="V6873" s="16" t="str">
        <f>IFERROR(__xludf.DUMMYFUNCTION("""COMPUTED_VALUE"""),"")</f>
        <v/>
      </c>
      <c r="W6873" s="16" t="str">
        <f>IFERROR(__xludf.DUMMYFUNCTION("""COMPUTED_VALUE"""),"")</f>
        <v/>
      </c>
      <c r="X6873" s="16" t="str">
        <f>IFERROR(__xludf.DUMMYFUNCTION("""COMPUTED_VALUE"""),"")</f>
        <v/>
      </c>
      <c r="AC6873" s="16" t="str">
        <f>IFERROR(__xludf.DUMMYFUNCTION("""COMPUTED_VALUE"""),"")</f>
        <v/>
      </c>
    </row>
    <row r="6874">
      <c r="A6874" s="16" t="s">
        <v>87</v>
      </c>
      <c r="E6874" s="16" t="str">
        <f>IFERROR(__xludf.DUMMYFUNCTION("""COMPUTED_VALUE"""),"")</f>
        <v/>
      </c>
      <c r="G6874" s="18"/>
      <c r="H6874" s="16" t="s">
        <v>87</v>
      </c>
      <c r="I6874" s="16" t="s">
        <v>87</v>
      </c>
      <c r="J6874" s="19"/>
      <c r="L6874" s="16" t="str">
        <f>IFERROR(__xludf.DUMMYFUNCTION("""COMPUTED_VALUE"""),"")</f>
        <v/>
      </c>
      <c r="M6874" s="16" t="str">
        <f>IFERROR(__xludf.DUMMYFUNCTION("""COMPUTED_VALUE"""),"")</f>
        <v/>
      </c>
      <c r="U6874" s="16" t="s">
        <v>87</v>
      </c>
      <c r="V6874" s="16" t="str">
        <f>IFERROR(__xludf.DUMMYFUNCTION("""COMPUTED_VALUE"""),"")</f>
        <v/>
      </c>
      <c r="W6874" s="16" t="str">
        <f>IFERROR(__xludf.DUMMYFUNCTION("""COMPUTED_VALUE"""),"")</f>
        <v/>
      </c>
      <c r="X6874" s="16" t="str">
        <f>IFERROR(__xludf.DUMMYFUNCTION("""COMPUTED_VALUE"""),"")</f>
        <v/>
      </c>
      <c r="AC6874" s="16" t="str">
        <f>IFERROR(__xludf.DUMMYFUNCTION("""COMPUTED_VALUE"""),"")</f>
        <v/>
      </c>
    </row>
    <row r="6875">
      <c r="A6875" s="16" t="s">
        <v>87</v>
      </c>
      <c r="E6875" s="16" t="str">
        <f>IFERROR(__xludf.DUMMYFUNCTION("""COMPUTED_VALUE"""),"")</f>
        <v/>
      </c>
      <c r="G6875" s="18"/>
      <c r="H6875" s="16" t="s">
        <v>87</v>
      </c>
      <c r="I6875" s="16" t="s">
        <v>87</v>
      </c>
      <c r="J6875" s="19"/>
      <c r="L6875" s="16" t="str">
        <f>IFERROR(__xludf.DUMMYFUNCTION("""COMPUTED_VALUE"""),"")</f>
        <v/>
      </c>
      <c r="M6875" s="16" t="str">
        <f>IFERROR(__xludf.DUMMYFUNCTION("""COMPUTED_VALUE"""),"")</f>
        <v/>
      </c>
      <c r="U6875" s="16" t="s">
        <v>87</v>
      </c>
      <c r="V6875" s="16" t="str">
        <f>IFERROR(__xludf.DUMMYFUNCTION("""COMPUTED_VALUE"""),"")</f>
        <v/>
      </c>
      <c r="W6875" s="16" t="str">
        <f>IFERROR(__xludf.DUMMYFUNCTION("""COMPUTED_VALUE"""),"")</f>
        <v/>
      </c>
      <c r="X6875" s="16" t="str">
        <f>IFERROR(__xludf.DUMMYFUNCTION("""COMPUTED_VALUE"""),"")</f>
        <v/>
      </c>
      <c r="AC6875" s="16" t="str">
        <f>IFERROR(__xludf.DUMMYFUNCTION("""COMPUTED_VALUE"""),"")</f>
        <v/>
      </c>
    </row>
    <row r="6876">
      <c r="A6876" s="16" t="s">
        <v>87</v>
      </c>
      <c r="E6876" s="16" t="str">
        <f>IFERROR(__xludf.DUMMYFUNCTION("""COMPUTED_VALUE"""),"")</f>
        <v/>
      </c>
      <c r="G6876" s="18"/>
      <c r="H6876" s="16" t="s">
        <v>87</v>
      </c>
      <c r="I6876" s="16" t="s">
        <v>87</v>
      </c>
      <c r="J6876" s="19"/>
      <c r="L6876" s="16" t="str">
        <f>IFERROR(__xludf.DUMMYFUNCTION("""COMPUTED_VALUE"""),"")</f>
        <v/>
      </c>
      <c r="M6876" s="16" t="str">
        <f>IFERROR(__xludf.DUMMYFUNCTION("""COMPUTED_VALUE"""),"")</f>
        <v/>
      </c>
      <c r="U6876" s="16" t="s">
        <v>87</v>
      </c>
      <c r="V6876" s="16" t="str">
        <f>IFERROR(__xludf.DUMMYFUNCTION("""COMPUTED_VALUE"""),"")</f>
        <v/>
      </c>
      <c r="W6876" s="16" t="str">
        <f>IFERROR(__xludf.DUMMYFUNCTION("""COMPUTED_VALUE"""),"")</f>
        <v/>
      </c>
      <c r="X6876" s="16" t="str">
        <f>IFERROR(__xludf.DUMMYFUNCTION("""COMPUTED_VALUE"""),"")</f>
        <v/>
      </c>
      <c r="AC6876" s="16" t="str">
        <f>IFERROR(__xludf.DUMMYFUNCTION("""COMPUTED_VALUE"""),"")</f>
        <v/>
      </c>
    </row>
    <row r="6877">
      <c r="A6877" s="16" t="s">
        <v>87</v>
      </c>
      <c r="E6877" s="16" t="str">
        <f>IFERROR(__xludf.DUMMYFUNCTION("""COMPUTED_VALUE"""),"")</f>
        <v/>
      </c>
      <c r="G6877" s="18"/>
      <c r="H6877" s="16" t="s">
        <v>87</v>
      </c>
      <c r="I6877" s="16" t="s">
        <v>87</v>
      </c>
      <c r="J6877" s="19"/>
      <c r="L6877" s="16" t="str">
        <f>IFERROR(__xludf.DUMMYFUNCTION("""COMPUTED_VALUE"""),"")</f>
        <v/>
      </c>
      <c r="M6877" s="16" t="str">
        <f>IFERROR(__xludf.DUMMYFUNCTION("""COMPUTED_VALUE"""),"")</f>
        <v/>
      </c>
      <c r="U6877" s="16" t="s">
        <v>87</v>
      </c>
      <c r="V6877" s="16" t="str">
        <f>IFERROR(__xludf.DUMMYFUNCTION("""COMPUTED_VALUE"""),"")</f>
        <v/>
      </c>
      <c r="W6877" s="16" t="str">
        <f>IFERROR(__xludf.DUMMYFUNCTION("""COMPUTED_VALUE"""),"")</f>
        <v/>
      </c>
      <c r="X6877" s="16" t="str">
        <f>IFERROR(__xludf.DUMMYFUNCTION("""COMPUTED_VALUE"""),"")</f>
        <v/>
      </c>
      <c r="AC6877" s="16" t="str">
        <f>IFERROR(__xludf.DUMMYFUNCTION("""COMPUTED_VALUE"""),"")</f>
        <v/>
      </c>
    </row>
    <row r="6878">
      <c r="A6878" s="16" t="s">
        <v>87</v>
      </c>
      <c r="E6878" s="16" t="str">
        <f>IFERROR(__xludf.DUMMYFUNCTION("""COMPUTED_VALUE"""),"")</f>
        <v/>
      </c>
      <c r="G6878" s="18"/>
      <c r="H6878" s="16" t="s">
        <v>87</v>
      </c>
      <c r="I6878" s="16" t="s">
        <v>87</v>
      </c>
      <c r="J6878" s="19"/>
      <c r="L6878" s="16" t="str">
        <f>IFERROR(__xludf.DUMMYFUNCTION("""COMPUTED_VALUE"""),"")</f>
        <v/>
      </c>
      <c r="M6878" s="16" t="str">
        <f>IFERROR(__xludf.DUMMYFUNCTION("""COMPUTED_VALUE"""),"")</f>
        <v/>
      </c>
      <c r="U6878" s="16" t="s">
        <v>87</v>
      </c>
      <c r="V6878" s="16" t="str">
        <f>IFERROR(__xludf.DUMMYFUNCTION("""COMPUTED_VALUE"""),"")</f>
        <v/>
      </c>
      <c r="W6878" s="16" t="str">
        <f>IFERROR(__xludf.DUMMYFUNCTION("""COMPUTED_VALUE"""),"")</f>
        <v/>
      </c>
      <c r="X6878" s="16" t="str">
        <f>IFERROR(__xludf.DUMMYFUNCTION("""COMPUTED_VALUE"""),"")</f>
        <v/>
      </c>
      <c r="AC6878" s="16" t="str">
        <f>IFERROR(__xludf.DUMMYFUNCTION("""COMPUTED_VALUE"""),"")</f>
        <v/>
      </c>
    </row>
    <row r="6879">
      <c r="A6879" s="16" t="s">
        <v>87</v>
      </c>
      <c r="E6879" s="16" t="str">
        <f>IFERROR(__xludf.DUMMYFUNCTION("""COMPUTED_VALUE"""),"")</f>
        <v/>
      </c>
      <c r="G6879" s="18"/>
      <c r="H6879" s="16" t="s">
        <v>87</v>
      </c>
      <c r="I6879" s="16" t="s">
        <v>87</v>
      </c>
      <c r="J6879" s="19"/>
      <c r="L6879" s="16" t="str">
        <f>IFERROR(__xludf.DUMMYFUNCTION("""COMPUTED_VALUE"""),"")</f>
        <v/>
      </c>
      <c r="M6879" s="16" t="str">
        <f>IFERROR(__xludf.DUMMYFUNCTION("""COMPUTED_VALUE"""),"")</f>
        <v/>
      </c>
      <c r="U6879" s="16" t="s">
        <v>87</v>
      </c>
      <c r="V6879" s="16" t="str">
        <f>IFERROR(__xludf.DUMMYFUNCTION("""COMPUTED_VALUE"""),"")</f>
        <v/>
      </c>
      <c r="W6879" s="16" t="str">
        <f>IFERROR(__xludf.DUMMYFUNCTION("""COMPUTED_VALUE"""),"")</f>
        <v/>
      </c>
      <c r="X6879" s="16" t="str">
        <f>IFERROR(__xludf.DUMMYFUNCTION("""COMPUTED_VALUE"""),"")</f>
        <v/>
      </c>
      <c r="AC6879" s="16" t="str">
        <f>IFERROR(__xludf.DUMMYFUNCTION("""COMPUTED_VALUE"""),"")</f>
        <v/>
      </c>
    </row>
    <row r="6880">
      <c r="A6880" s="16" t="s">
        <v>87</v>
      </c>
      <c r="E6880" s="16" t="str">
        <f>IFERROR(__xludf.DUMMYFUNCTION("""COMPUTED_VALUE"""),"")</f>
        <v/>
      </c>
      <c r="G6880" s="18"/>
      <c r="H6880" s="16" t="s">
        <v>87</v>
      </c>
      <c r="I6880" s="16" t="s">
        <v>87</v>
      </c>
      <c r="J6880" s="19"/>
      <c r="L6880" s="16" t="str">
        <f>IFERROR(__xludf.DUMMYFUNCTION("""COMPUTED_VALUE"""),"")</f>
        <v/>
      </c>
      <c r="M6880" s="16" t="str">
        <f>IFERROR(__xludf.DUMMYFUNCTION("""COMPUTED_VALUE"""),"")</f>
        <v/>
      </c>
      <c r="U6880" s="16" t="s">
        <v>87</v>
      </c>
      <c r="V6880" s="16" t="str">
        <f>IFERROR(__xludf.DUMMYFUNCTION("""COMPUTED_VALUE"""),"")</f>
        <v/>
      </c>
      <c r="W6880" s="16" t="str">
        <f>IFERROR(__xludf.DUMMYFUNCTION("""COMPUTED_VALUE"""),"")</f>
        <v/>
      </c>
      <c r="X6880" s="16" t="str">
        <f>IFERROR(__xludf.DUMMYFUNCTION("""COMPUTED_VALUE"""),"")</f>
        <v/>
      </c>
      <c r="AC6880" s="16" t="str">
        <f>IFERROR(__xludf.DUMMYFUNCTION("""COMPUTED_VALUE"""),"")</f>
        <v/>
      </c>
    </row>
    <row r="6881">
      <c r="A6881" s="16" t="s">
        <v>87</v>
      </c>
      <c r="E6881" s="16" t="str">
        <f>IFERROR(__xludf.DUMMYFUNCTION("""COMPUTED_VALUE"""),"")</f>
        <v/>
      </c>
      <c r="G6881" s="18"/>
      <c r="H6881" s="16" t="s">
        <v>87</v>
      </c>
      <c r="I6881" s="16" t="s">
        <v>87</v>
      </c>
      <c r="J6881" s="19"/>
      <c r="L6881" s="16" t="str">
        <f>IFERROR(__xludf.DUMMYFUNCTION("""COMPUTED_VALUE"""),"")</f>
        <v/>
      </c>
      <c r="M6881" s="16" t="str">
        <f>IFERROR(__xludf.DUMMYFUNCTION("""COMPUTED_VALUE"""),"")</f>
        <v/>
      </c>
      <c r="U6881" s="16" t="s">
        <v>87</v>
      </c>
      <c r="V6881" s="16" t="str">
        <f>IFERROR(__xludf.DUMMYFUNCTION("""COMPUTED_VALUE"""),"")</f>
        <v/>
      </c>
      <c r="W6881" s="16" t="str">
        <f>IFERROR(__xludf.DUMMYFUNCTION("""COMPUTED_VALUE"""),"")</f>
        <v/>
      </c>
      <c r="X6881" s="16" t="str">
        <f>IFERROR(__xludf.DUMMYFUNCTION("""COMPUTED_VALUE"""),"")</f>
        <v/>
      </c>
      <c r="AC6881" s="16" t="str">
        <f>IFERROR(__xludf.DUMMYFUNCTION("""COMPUTED_VALUE"""),"")</f>
        <v/>
      </c>
    </row>
    <row r="6882">
      <c r="A6882" s="16" t="s">
        <v>87</v>
      </c>
      <c r="E6882" s="16" t="str">
        <f>IFERROR(__xludf.DUMMYFUNCTION("""COMPUTED_VALUE"""),"")</f>
        <v/>
      </c>
      <c r="G6882" s="18"/>
      <c r="H6882" s="16" t="s">
        <v>87</v>
      </c>
      <c r="I6882" s="16" t="s">
        <v>87</v>
      </c>
      <c r="J6882" s="19"/>
      <c r="L6882" s="16" t="str">
        <f>IFERROR(__xludf.DUMMYFUNCTION("""COMPUTED_VALUE"""),"")</f>
        <v/>
      </c>
      <c r="M6882" s="16" t="str">
        <f>IFERROR(__xludf.DUMMYFUNCTION("""COMPUTED_VALUE"""),"")</f>
        <v/>
      </c>
      <c r="U6882" s="16" t="s">
        <v>87</v>
      </c>
      <c r="V6882" s="16" t="str">
        <f>IFERROR(__xludf.DUMMYFUNCTION("""COMPUTED_VALUE"""),"")</f>
        <v/>
      </c>
      <c r="W6882" s="16" t="str">
        <f>IFERROR(__xludf.DUMMYFUNCTION("""COMPUTED_VALUE"""),"")</f>
        <v/>
      </c>
      <c r="X6882" s="16" t="str">
        <f>IFERROR(__xludf.DUMMYFUNCTION("""COMPUTED_VALUE"""),"")</f>
        <v/>
      </c>
      <c r="AC6882" s="16" t="str">
        <f>IFERROR(__xludf.DUMMYFUNCTION("""COMPUTED_VALUE"""),"")</f>
        <v/>
      </c>
    </row>
    <row r="6883">
      <c r="A6883" s="16" t="s">
        <v>87</v>
      </c>
      <c r="E6883" s="16" t="str">
        <f>IFERROR(__xludf.DUMMYFUNCTION("""COMPUTED_VALUE"""),"")</f>
        <v/>
      </c>
      <c r="G6883" s="18"/>
      <c r="H6883" s="16" t="s">
        <v>87</v>
      </c>
      <c r="I6883" s="16" t="s">
        <v>87</v>
      </c>
      <c r="J6883" s="19"/>
      <c r="L6883" s="16" t="str">
        <f>IFERROR(__xludf.DUMMYFUNCTION("""COMPUTED_VALUE"""),"")</f>
        <v/>
      </c>
      <c r="M6883" s="16" t="str">
        <f>IFERROR(__xludf.DUMMYFUNCTION("""COMPUTED_VALUE"""),"")</f>
        <v/>
      </c>
      <c r="U6883" s="16" t="s">
        <v>87</v>
      </c>
      <c r="V6883" s="16" t="str">
        <f>IFERROR(__xludf.DUMMYFUNCTION("""COMPUTED_VALUE"""),"")</f>
        <v/>
      </c>
      <c r="W6883" s="16" t="str">
        <f>IFERROR(__xludf.DUMMYFUNCTION("""COMPUTED_VALUE"""),"")</f>
        <v/>
      </c>
      <c r="X6883" s="16" t="str">
        <f>IFERROR(__xludf.DUMMYFUNCTION("""COMPUTED_VALUE"""),"")</f>
        <v/>
      </c>
      <c r="AC6883" s="16" t="str">
        <f>IFERROR(__xludf.DUMMYFUNCTION("""COMPUTED_VALUE"""),"")</f>
        <v/>
      </c>
    </row>
    <row r="6884">
      <c r="A6884" s="16" t="s">
        <v>87</v>
      </c>
      <c r="E6884" s="16" t="str">
        <f>IFERROR(__xludf.DUMMYFUNCTION("""COMPUTED_VALUE"""),"")</f>
        <v/>
      </c>
      <c r="G6884" s="18"/>
      <c r="H6884" s="16" t="s">
        <v>87</v>
      </c>
      <c r="I6884" s="16" t="s">
        <v>87</v>
      </c>
      <c r="J6884" s="19"/>
      <c r="L6884" s="16" t="str">
        <f>IFERROR(__xludf.DUMMYFUNCTION("""COMPUTED_VALUE"""),"")</f>
        <v/>
      </c>
      <c r="M6884" s="16" t="str">
        <f>IFERROR(__xludf.DUMMYFUNCTION("""COMPUTED_VALUE"""),"")</f>
        <v/>
      </c>
      <c r="U6884" s="16" t="s">
        <v>87</v>
      </c>
      <c r="V6884" s="16" t="str">
        <f>IFERROR(__xludf.DUMMYFUNCTION("""COMPUTED_VALUE"""),"")</f>
        <v/>
      </c>
      <c r="W6884" s="16" t="str">
        <f>IFERROR(__xludf.DUMMYFUNCTION("""COMPUTED_VALUE"""),"")</f>
        <v/>
      </c>
      <c r="X6884" s="16" t="str">
        <f>IFERROR(__xludf.DUMMYFUNCTION("""COMPUTED_VALUE"""),"")</f>
        <v/>
      </c>
      <c r="AC6884" s="16" t="str">
        <f>IFERROR(__xludf.DUMMYFUNCTION("""COMPUTED_VALUE"""),"")</f>
        <v/>
      </c>
    </row>
    <row r="6885">
      <c r="A6885" s="16" t="s">
        <v>87</v>
      </c>
      <c r="E6885" s="16" t="str">
        <f>IFERROR(__xludf.DUMMYFUNCTION("""COMPUTED_VALUE"""),"")</f>
        <v/>
      </c>
      <c r="G6885" s="18"/>
      <c r="H6885" s="16" t="s">
        <v>87</v>
      </c>
      <c r="I6885" s="16" t="s">
        <v>87</v>
      </c>
      <c r="J6885" s="19"/>
      <c r="L6885" s="16" t="str">
        <f>IFERROR(__xludf.DUMMYFUNCTION("""COMPUTED_VALUE"""),"")</f>
        <v/>
      </c>
      <c r="M6885" s="16" t="str">
        <f>IFERROR(__xludf.DUMMYFUNCTION("""COMPUTED_VALUE"""),"")</f>
        <v/>
      </c>
      <c r="U6885" s="16" t="s">
        <v>87</v>
      </c>
      <c r="V6885" s="16" t="str">
        <f>IFERROR(__xludf.DUMMYFUNCTION("""COMPUTED_VALUE"""),"")</f>
        <v/>
      </c>
      <c r="W6885" s="16" t="str">
        <f>IFERROR(__xludf.DUMMYFUNCTION("""COMPUTED_VALUE"""),"")</f>
        <v/>
      </c>
      <c r="X6885" s="16" t="str">
        <f>IFERROR(__xludf.DUMMYFUNCTION("""COMPUTED_VALUE"""),"")</f>
        <v/>
      </c>
      <c r="AC6885" s="16" t="str">
        <f>IFERROR(__xludf.DUMMYFUNCTION("""COMPUTED_VALUE"""),"")</f>
        <v/>
      </c>
    </row>
    <row r="6886">
      <c r="A6886" s="16" t="s">
        <v>87</v>
      </c>
      <c r="E6886" s="16" t="str">
        <f>IFERROR(__xludf.DUMMYFUNCTION("""COMPUTED_VALUE"""),"")</f>
        <v/>
      </c>
      <c r="G6886" s="18"/>
      <c r="H6886" s="16" t="s">
        <v>87</v>
      </c>
      <c r="I6886" s="16" t="s">
        <v>87</v>
      </c>
      <c r="J6886" s="19"/>
      <c r="L6886" s="16" t="str">
        <f>IFERROR(__xludf.DUMMYFUNCTION("""COMPUTED_VALUE"""),"")</f>
        <v/>
      </c>
      <c r="M6886" s="16" t="str">
        <f>IFERROR(__xludf.DUMMYFUNCTION("""COMPUTED_VALUE"""),"")</f>
        <v/>
      </c>
      <c r="U6886" s="16" t="s">
        <v>87</v>
      </c>
      <c r="V6886" s="16" t="str">
        <f>IFERROR(__xludf.DUMMYFUNCTION("""COMPUTED_VALUE"""),"")</f>
        <v/>
      </c>
      <c r="W6886" s="16" t="str">
        <f>IFERROR(__xludf.DUMMYFUNCTION("""COMPUTED_VALUE"""),"")</f>
        <v/>
      </c>
      <c r="X6886" s="16" t="str">
        <f>IFERROR(__xludf.DUMMYFUNCTION("""COMPUTED_VALUE"""),"")</f>
        <v/>
      </c>
      <c r="AC6886" s="16" t="str">
        <f>IFERROR(__xludf.DUMMYFUNCTION("""COMPUTED_VALUE"""),"")</f>
        <v/>
      </c>
    </row>
    <row r="6887">
      <c r="A6887" s="16" t="s">
        <v>87</v>
      </c>
      <c r="E6887" s="16" t="str">
        <f>IFERROR(__xludf.DUMMYFUNCTION("""COMPUTED_VALUE"""),"")</f>
        <v/>
      </c>
      <c r="G6887" s="18"/>
      <c r="H6887" s="16" t="s">
        <v>87</v>
      </c>
      <c r="I6887" s="16" t="s">
        <v>87</v>
      </c>
      <c r="J6887" s="19"/>
      <c r="L6887" s="16" t="str">
        <f>IFERROR(__xludf.DUMMYFUNCTION("""COMPUTED_VALUE"""),"")</f>
        <v/>
      </c>
      <c r="M6887" s="16" t="str">
        <f>IFERROR(__xludf.DUMMYFUNCTION("""COMPUTED_VALUE"""),"")</f>
        <v/>
      </c>
      <c r="U6887" s="16" t="s">
        <v>87</v>
      </c>
      <c r="V6887" s="16" t="str">
        <f>IFERROR(__xludf.DUMMYFUNCTION("""COMPUTED_VALUE"""),"")</f>
        <v/>
      </c>
      <c r="W6887" s="16" t="str">
        <f>IFERROR(__xludf.DUMMYFUNCTION("""COMPUTED_VALUE"""),"")</f>
        <v/>
      </c>
      <c r="X6887" s="16" t="str">
        <f>IFERROR(__xludf.DUMMYFUNCTION("""COMPUTED_VALUE"""),"")</f>
        <v/>
      </c>
      <c r="AC6887" s="16" t="str">
        <f>IFERROR(__xludf.DUMMYFUNCTION("""COMPUTED_VALUE"""),"")</f>
        <v/>
      </c>
    </row>
    <row r="6888">
      <c r="A6888" s="16" t="s">
        <v>87</v>
      </c>
      <c r="E6888" s="16" t="str">
        <f>IFERROR(__xludf.DUMMYFUNCTION("""COMPUTED_VALUE"""),"")</f>
        <v/>
      </c>
      <c r="G6888" s="18"/>
      <c r="H6888" s="16" t="s">
        <v>87</v>
      </c>
      <c r="I6888" s="16" t="s">
        <v>87</v>
      </c>
      <c r="J6888" s="19"/>
      <c r="L6888" s="16" t="str">
        <f>IFERROR(__xludf.DUMMYFUNCTION("""COMPUTED_VALUE"""),"")</f>
        <v/>
      </c>
      <c r="M6888" s="16" t="str">
        <f>IFERROR(__xludf.DUMMYFUNCTION("""COMPUTED_VALUE"""),"")</f>
        <v/>
      </c>
      <c r="U6888" s="16" t="s">
        <v>87</v>
      </c>
      <c r="V6888" s="16" t="str">
        <f>IFERROR(__xludf.DUMMYFUNCTION("""COMPUTED_VALUE"""),"")</f>
        <v/>
      </c>
      <c r="W6888" s="16" t="str">
        <f>IFERROR(__xludf.DUMMYFUNCTION("""COMPUTED_VALUE"""),"")</f>
        <v/>
      </c>
      <c r="X6888" s="16" t="str">
        <f>IFERROR(__xludf.DUMMYFUNCTION("""COMPUTED_VALUE"""),"")</f>
        <v/>
      </c>
      <c r="AC6888" s="16" t="str">
        <f>IFERROR(__xludf.DUMMYFUNCTION("""COMPUTED_VALUE"""),"")</f>
        <v/>
      </c>
    </row>
    <row r="6889">
      <c r="A6889" s="16" t="s">
        <v>87</v>
      </c>
      <c r="E6889" s="16" t="str">
        <f>IFERROR(__xludf.DUMMYFUNCTION("""COMPUTED_VALUE"""),"")</f>
        <v/>
      </c>
      <c r="G6889" s="18"/>
      <c r="H6889" s="16" t="s">
        <v>87</v>
      </c>
      <c r="I6889" s="16" t="s">
        <v>87</v>
      </c>
      <c r="J6889" s="19"/>
      <c r="L6889" s="16" t="str">
        <f>IFERROR(__xludf.DUMMYFUNCTION("""COMPUTED_VALUE"""),"")</f>
        <v/>
      </c>
      <c r="M6889" s="16" t="str">
        <f>IFERROR(__xludf.DUMMYFUNCTION("""COMPUTED_VALUE"""),"")</f>
        <v/>
      </c>
      <c r="U6889" s="16" t="s">
        <v>87</v>
      </c>
      <c r="V6889" s="16" t="str">
        <f>IFERROR(__xludf.DUMMYFUNCTION("""COMPUTED_VALUE"""),"")</f>
        <v/>
      </c>
      <c r="W6889" s="16" t="str">
        <f>IFERROR(__xludf.DUMMYFUNCTION("""COMPUTED_VALUE"""),"")</f>
        <v/>
      </c>
      <c r="X6889" s="16" t="str">
        <f>IFERROR(__xludf.DUMMYFUNCTION("""COMPUTED_VALUE"""),"")</f>
        <v/>
      </c>
      <c r="AC6889" s="16" t="str">
        <f>IFERROR(__xludf.DUMMYFUNCTION("""COMPUTED_VALUE"""),"")</f>
        <v/>
      </c>
    </row>
    <row r="6890">
      <c r="A6890" s="16" t="s">
        <v>87</v>
      </c>
      <c r="E6890" s="16" t="str">
        <f>IFERROR(__xludf.DUMMYFUNCTION("""COMPUTED_VALUE"""),"")</f>
        <v/>
      </c>
      <c r="G6890" s="18"/>
      <c r="H6890" s="16" t="s">
        <v>87</v>
      </c>
      <c r="I6890" s="16" t="s">
        <v>87</v>
      </c>
      <c r="J6890" s="19"/>
      <c r="L6890" s="16" t="str">
        <f>IFERROR(__xludf.DUMMYFUNCTION("""COMPUTED_VALUE"""),"")</f>
        <v/>
      </c>
      <c r="M6890" s="16" t="str">
        <f>IFERROR(__xludf.DUMMYFUNCTION("""COMPUTED_VALUE"""),"")</f>
        <v/>
      </c>
      <c r="U6890" s="16" t="s">
        <v>87</v>
      </c>
      <c r="V6890" s="16" t="str">
        <f>IFERROR(__xludf.DUMMYFUNCTION("""COMPUTED_VALUE"""),"")</f>
        <v/>
      </c>
      <c r="W6890" s="16" t="str">
        <f>IFERROR(__xludf.DUMMYFUNCTION("""COMPUTED_VALUE"""),"")</f>
        <v/>
      </c>
      <c r="X6890" s="16" t="str">
        <f>IFERROR(__xludf.DUMMYFUNCTION("""COMPUTED_VALUE"""),"")</f>
        <v/>
      </c>
      <c r="AC6890" s="16" t="str">
        <f>IFERROR(__xludf.DUMMYFUNCTION("""COMPUTED_VALUE"""),"")</f>
        <v/>
      </c>
    </row>
    <row r="6891">
      <c r="A6891" s="16" t="s">
        <v>87</v>
      </c>
      <c r="E6891" s="16" t="str">
        <f>IFERROR(__xludf.DUMMYFUNCTION("""COMPUTED_VALUE"""),"")</f>
        <v/>
      </c>
      <c r="G6891" s="18"/>
      <c r="H6891" s="16" t="s">
        <v>87</v>
      </c>
      <c r="I6891" s="16" t="s">
        <v>87</v>
      </c>
      <c r="J6891" s="19"/>
      <c r="L6891" s="16" t="str">
        <f>IFERROR(__xludf.DUMMYFUNCTION("""COMPUTED_VALUE"""),"")</f>
        <v/>
      </c>
      <c r="M6891" s="16" t="str">
        <f>IFERROR(__xludf.DUMMYFUNCTION("""COMPUTED_VALUE"""),"")</f>
        <v/>
      </c>
      <c r="U6891" s="16" t="s">
        <v>87</v>
      </c>
      <c r="V6891" s="16" t="str">
        <f>IFERROR(__xludf.DUMMYFUNCTION("""COMPUTED_VALUE"""),"")</f>
        <v/>
      </c>
      <c r="W6891" s="16" t="str">
        <f>IFERROR(__xludf.DUMMYFUNCTION("""COMPUTED_VALUE"""),"")</f>
        <v/>
      </c>
      <c r="X6891" s="16" t="str">
        <f>IFERROR(__xludf.DUMMYFUNCTION("""COMPUTED_VALUE"""),"")</f>
        <v/>
      </c>
      <c r="AC6891" s="16" t="str">
        <f>IFERROR(__xludf.DUMMYFUNCTION("""COMPUTED_VALUE"""),"")</f>
        <v/>
      </c>
    </row>
    <row r="6892">
      <c r="A6892" s="16" t="s">
        <v>87</v>
      </c>
      <c r="E6892" s="16" t="str">
        <f>IFERROR(__xludf.DUMMYFUNCTION("""COMPUTED_VALUE"""),"")</f>
        <v/>
      </c>
      <c r="G6892" s="18"/>
      <c r="H6892" s="16" t="s">
        <v>87</v>
      </c>
      <c r="I6892" s="16" t="s">
        <v>87</v>
      </c>
      <c r="J6892" s="19"/>
      <c r="L6892" s="16" t="str">
        <f>IFERROR(__xludf.DUMMYFUNCTION("""COMPUTED_VALUE"""),"")</f>
        <v/>
      </c>
      <c r="M6892" s="16" t="str">
        <f>IFERROR(__xludf.DUMMYFUNCTION("""COMPUTED_VALUE"""),"")</f>
        <v/>
      </c>
      <c r="U6892" s="16" t="s">
        <v>87</v>
      </c>
      <c r="V6892" s="16" t="str">
        <f>IFERROR(__xludf.DUMMYFUNCTION("""COMPUTED_VALUE"""),"")</f>
        <v/>
      </c>
      <c r="W6892" s="16" t="str">
        <f>IFERROR(__xludf.DUMMYFUNCTION("""COMPUTED_VALUE"""),"")</f>
        <v/>
      </c>
      <c r="X6892" s="16" t="str">
        <f>IFERROR(__xludf.DUMMYFUNCTION("""COMPUTED_VALUE"""),"")</f>
        <v/>
      </c>
      <c r="AC6892" s="16" t="str">
        <f>IFERROR(__xludf.DUMMYFUNCTION("""COMPUTED_VALUE"""),"")</f>
        <v/>
      </c>
    </row>
    <row r="6893">
      <c r="A6893" s="16" t="s">
        <v>87</v>
      </c>
      <c r="E6893" s="16" t="str">
        <f>IFERROR(__xludf.DUMMYFUNCTION("""COMPUTED_VALUE"""),"")</f>
        <v/>
      </c>
      <c r="G6893" s="18"/>
      <c r="H6893" s="16" t="s">
        <v>87</v>
      </c>
      <c r="I6893" s="16" t="s">
        <v>87</v>
      </c>
      <c r="J6893" s="19"/>
      <c r="L6893" s="16" t="str">
        <f>IFERROR(__xludf.DUMMYFUNCTION("""COMPUTED_VALUE"""),"")</f>
        <v/>
      </c>
      <c r="M6893" s="16" t="str">
        <f>IFERROR(__xludf.DUMMYFUNCTION("""COMPUTED_VALUE"""),"")</f>
        <v/>
      </c>
      <c r="U6893" s="16" t="s">
        <v>87</v>
      </c>
      <c r="V6893" s="16" t="str">
        <f>IFERROR(__xludf.DUMMYFUNCTION("""COMPUTED_VALUE"""),"")</f>
        <v/>
      </c>
      <c r="W6893" s="16" t="str">
        <f>IFERROR(__xludf.DUMMYFUNCTION("""COMPUTED_VALUE"""),"")</f>
        <v/>
      </c>
      <c r="X6893" s="16" t="str">
        <f>IFERROR(__xludf.DUMMYFUNCTION("""COMPUTED_VALUE"""),"")</f>
        <v/>
      </c>
      <c r="AC6893" s="16" t="str">
        <f>IFERROR(__xludf.DUMMYFUNCTION("""COMPUTED_VALUE"""),"")</f>
        <v/>
      </c>
    </row>
    <row r="6894">
      <c r="A6894" s="16" t="s">
        <v>87</v>
      </c>
      <c r="E6894" s="16" t="str">
        <f>IFERROR(__xludf.DUMMYFUNCTION("""COMPUTED_VALUE"""),"")</f>
        <v/>
      </c>
      <c r="G6894" s="18"/>
      <c r="H6894" s="16" t="s">
        <v>87</v>
      </c>
      <c r="I6894" s="16" t="s">
        <v>87</v>
      </c>
      <c r="J6894" s="19"/>
      <c r="L6894" s="16" t="str">
        <f>IFERROR(__xludf.DUMMYFUNCTION("""COMPUTED_VALUE"""),"")</f>
        <v/>
      </c>
      <c r="M6894" s="16" t="str">
        <f>IFERROR(__xludf.DUMMYFUNCTION("""COMPUTED_VALUE"""),"")</f>
        <v/>
      </c>
      <c r="U6894" s="16" t="s">
        <v>87</v>
      </c>
      <c r="V6894" s="16" t="str">
        <f>IFERROR(__xludf.DUMMYFUNCTION("""COMPUTED_VALUE"""),"")</f>
        <v/>
      </c>
      <c r="W6894" s="16" t="str">
        <f>IFERROR(__xludf.DUMMYFUNCTION("""COMPUTED_VALUE"""),"")</f>
        <v/>
      </c>
      <c r="X6894" s="16" t="str">
        <f>IFERROR(__xludf.DUMMYFUNCTION("""COMPUTED_VALUE"""),"")</f>
        <v/>
      </c>
      <c r="AC6894" s="16" t="str">
        <f>IFERROR(__xludf.DUMMYFUNCTION("""COMPUTED_VALUE"""),"")</f>
        <v/>
      </c>
    </row>
    <row r="6895">
      <c r="A6895" s="16" t="s">
        <v>87</v>
      </c>
      <c r="E6895" s="16" t="str">
        <f>IFERROR(__xludf.DUMMYFUNCTION("""COMPUTED_VALUE"""),"")</f>
        <v/>
      </c>
      <c r="G6895" s="18"/>
      <c r="H6895" s="16" t="s">
        <v>87</v>
      </c>
      <c r="I6895" s="16" t="s">
        <v>87</v>
      </c>
      <c r="J6895" s="19"/>
      <c r="L6895" s="16" t="str">
        <f>IFERROR(__xludf.DUMMYFUNCTION("""COMPUTED_VALUE"""),"")</f>
        <v/>
      </c>
      <c r="M6895" s="16" t="str">
        <f>IFERROR(__xludf.DUMMYFUNCTION("""COMPUTED_VALUE"""),"")</f>
        <v/>
      </c>
      <c r="U6895" s="16" t="s">
        <v>87</v>
      </c>
      <c r="V6895" s="16" t="str">
        <f>IFERROR(__xludf.DUMMYFUNCTION("""COMPUTED_VALUE"""),"")</f>
        <v/>
      </c>
      <c r="W6895" s="16" t="str">
        <f>IFERROR(__xludf.DUMMYFUNCTION("""COMPUTED_VALUE"""),"")</f>
        <v/>
      </c>
      <c r="X6895" s="16" t="str">
        <f>IFERROR(__xludf.DUMMYFUNCTION("""COMPUTED_VALUE"""),"")</f>
        <v/>
      </c>
      <c r="AC6895" s="16" t="str">
        <f>IFERROR(__xludf.DUMMYFUNCTION("""COMPUTED_VALUE"""),"")</f>
        <v/>
      </c>
    </row>
    <row r="6896">
      <c r="A6896" s="16" t="s">
        <v>87</v>
      </c>
      <c r="E6896" s="16" t="str">
        <f>IFERROR(__xludf.DUMMYFUNCTION("""COMPUTED_VALUE"""),"")</f>
        <v/>
      </c>
      <c r="G6896" s="18"/>
      <c r="H6896" s="16" t="s">
        <v>87</v>
      </c>
      <c r="I6896" s="16" t="s">
        <v>87</v>
      </c>
      <c r="J6896" s="19"/>
      <c r="L6896" s="16" t="str">
        <f>IFERROR(__xludf.DUMMYFUNCTION("""COMPUTED_VALUE"""),"")</f>
        <v/>
      </c>
      <c r="M6896" s="16" t="str">
        <f>IFERROR(__xludf.DUMMYFUNCTION("""COMPUTED_VALUE"""),"")</f>
        <v/>
      </c>
      <c r="U6896" s="16" t="s">
        <v>87</v>
      </c>
      <c r="V6896" s="16" t="str">
        <f>IFERROR(__xludf.DUMMYFUNCTION("""COMPUTED_VALUE"""),"")</f>
        <v/>
      </c>
      <c r="W6896" s="16" t="str">
        <f>IFERROR(__xludf.DUMMYFUNCTION("""COMPUTED_VALUE"""),"")</f>
        <v/>
      </c>
      <c r="X6896" s="16" t="str">
        <f>IFERROR(__xludf.DUMMYFUNCTION("""COMPUTED_VALUE"""),"")</f>
        <v/>
      </c>
      <c r="AC6896" s="16" t="str">
        <f>IFERROR(__xludf.DUMMYFUNCTION("""COMPUTED_VALUE"""),"")</f>
        <v/>
      </c>
    </row>
    <row r="6897">
      <c r="A6897" s="16" t="s">
        <v>87</v>
      </c>
      <c r="E6897" s="16" t="str">
        <f>IFERROR(__xludf.DUMMYFUNCTION("""COMPUTED_VALUE"""),"")</f>
        <v/>
      </c>
      <c r="G6897" s="18"/>
      <c r="H6897" s="16" t="s">
        <v>87</v>
      </c>
      <c r="I6897" s="16" t="s">
        <v>87</v>
      </c>
      <c r="J6897" s="19"/>
      <c r="L6897" s="16" t="str">
        <f>IFERROR(__xludf.DUMMYFUNCTION("""COMPUTED_VALUE"""),"")</f>
        <v/>
      </c>
      <c r="M6897" s="16" t="str">
        <f>IFERROR(__xludf.DUMMYFUNCTION("""COMPUTED_VALUE"""),"")</f>
        <v/>
      </c>
      <c r="U6897" s="16" t="s">
        <v>87</v>
      </c>
      <c r="V6897" s="16" t="str">
        <f>IFERROR(__xludf.DUMMYFUNCTION("""COMPUTED_VALUE"""),"")</f>
        <v/>
      </c>
      <c r="W6897" s="16" t="str">
        <f>IFERROR(__xludf.DUMMYFUNCTION("""COMPUTED_VALUE"""),"")</f>
        <v/>
      </c>
      <c r="X6897" s="16" t="str">
        <f>IFERROR(__xludf.DUMMYFUNCTION("""COMPUTED_VALUE"""),"")</f>
        <v/>
      </c>
      <c r="AC6897" s="16" t="str">
        <f>IFERROR(__xludf.DUMMYFUNCTION("""COMPUTED_VALUE"""),"")</f>
        <v/>
      </c>
    </row>
    <row r="6898">
      <c r="A6898" s="16" t="s">
        <v>87</v>
      </c>
      <c r="E6898" s="16" t="str">
        <f>IFERROR(__xludf.DUMMYFUNCTION("""COMPUTED_VALUE"""),"")</f>
        <v/>
      </c>
      <c r="G6898" s="18"/>
      <c r="H6898" s="16" t="s">
        <v>87</v>
      </c>
      <c r="I6898" s="16" t="s">
        <v>87</v>
      </c>
      <c r="J6898" s="19"/>
      <c r="L6898" s="16" t="str">
        <f>IFERROR(__xludf.DUMMYFUNCTION("""COMPUTED_VALUE"""),"")</f>
        <v/>
      </c>
      <c r="M6898" s="16" t="str">
        <f>IFERROR(__xludf.DUMMYFUNCTION("""COMPUTED_VALUE"""),"")</f>
        <v/>
      </c>
      <c r="U6898" s="16" t="s">
        <v>87</v>
      </c>
      <c r="V6898" s="16" t="str">
        <f>IFERROR(__xludf.DUMMYFUNCTION("""COMPUTED_VALUE"""),"")</f>
        <v/>
      </c>
      <c r="W6898" s="16" t="str">
        <f>IFERROR(__xludf.DUMMYFUNCTION("""COMPUTED_VALUE"""),"")</f>
        <v/>
      </c>
      <c r="X6898" s="16" t="str">
        <f>IFERROR(__xludf.DUMMYFUNCTION("""COMPUTED_VALUE"""),"")</f>
        <v/>
      </c>
      <c r="AC6898" s="16" t="str">
        <f>IFERROR(__xludf.DUMMYFUNCTION("""COMPUTED_VALUE"""),"")</f>
        <v/>
      </c>
    </row>
    <row r="6899">
      <c r="A6899" s="16" t="s">
        <v>87</v>
      </c>
      <c r="E6899" s="16" t="str">
        <f>IFERROR(__xludf.DUMMYFUNCTION("""COMPUTED_VALUE"""),"")</f>
        <v/>
      </c>
      <c r="G6899" s="18"/>
      <c r="H6899" s="16" t="s">
        <v>87</v>
      </c>
      <c r="I6899" s="16" t="s">
        <v>87</v>
      </c>
      <c r="J6899" s="19"/>
      <c r="L6899" s="16" t="str">
        <f>IFERROR(__xludf.DUMMYFUNCTION("""COMPUTED_VALUE"""),"")</f>
        <v/>
      </c>
      <c r="M6899" s="16" t="str">
        <f>IFERROR(__xludf.DUMMYFUNCTION("""COMPUTED_VALUE"""),"")</f>
        <v/>
      </c>
      <c r="U6899" s="16" t="s">
        <v>87</v>
      </c>
      <c r="V6899" s="16" t="str">
        <f>IFERROR(__xludf.DUMMYFUNCTION("""COMPUTED_VALUE"""),"")</f>
        <v/>
      </c>
      <c r="W6899" s="16" t="str">
        <f>IFERROR(__xludf.DUMMYFUNCTION("""COMPUTED_VALUE"""),"")</f>
        <v/>
      </c>
      <c r="X6899" s="16" t="str">
        <f>IFERROR(__xludf.DUMMYFUNCTION("""COMPUTED_VALUE"""),"")</f>
        <v/>
      </c>
      <c r="AC6899" s="16" t="str">
        <f>IFERROR(__xludf.DUMMYFUNCTION("""COMPUTED_VALUE"""),"")</f>
        <v/>
      </c>
    </row>
    <row r="6900">
      <c r="A6900" s="16" t="s">
        <v>87</v>
      </c>
      <c r="E6900" s="16" t="str">
        <f>IFERROR(__xludf.DUMMYFUNCTION("""COMPUTED_VALUE"""),"")</f>
        <v/>
      </c>
      <c r="G6900" s="18"/>
      <c r="H6900" s="16" t="s">
        <v>87</v>
      </c>
      <c r="I6900" s="16" t="s">
        <v>87</v>
      </c>
      <c r="J6900" s="19"/>
      <c r="L6900" s="16" t="str">
        <f>IFERROR(__xludf.DUMMYFUNCTION("""COMPUTED_VALUE"""),"")</f>
        <v/>
      </c>
      <c r="M6900" s="16" t="str">
        <f>IFERROR(__xludf.DUMMYFUNCTION("""COMPUTED_VALUE"""),"")</f>
        <v/>
      </c>
      <c r="U6900" s="16" t="s">
        <v>87</v>
      </c>
      <c r="V6900" s="16" t="str">
        <f>IFERROR(__xludf.DUMMYFUNCTION("""COMPUTED_VALUE"""),"")</f>
        <v/>
      </c>
      <c r="W6900" s="16" t="str">
        <f>IFERROR(__xludf.DUMMYFUNCTION("""COMPUTED_VALUE"""),"")</f>
        <v/>
      </c>
      <c r="X6900" s="16" t="str">
        <f>IFERROR(__xludf.DUMMYFUNCTION("""COMPUTED_VALUE"""),"")</f>
        <v/>
      </c>
      <c r="AC6900" s="16" t="str">
        <f>IFERROR(__xludf.DUMMYFUNCTION("""COMPUTED_VALUE"""),"")</f>
        <v/>
      </c>
    </row>
    <row r="6901">
      <c r="A6901" s="16" t="s">
        <v>87</v>
      </c>
      <c r="E6901" s="16" t="str">
        <f>IFERROR(__xludf.DUMMYFUNCTION("""COMPUTED_VALUE"""),"")</f>
        <v/>
      </c>
      <c r="G6901" s="18"/>
      <c r="H6901" s="16" t="s">
        <v>87</v>
      </c>
      <c r="I6901" s="16" t="s">
        <v>87</v>
      </c>
      <c r="J6901" s="19"/>
      <c r="L6901" s="16" t="str">
        <f>IFERROR(__xludf.DUMMYFUNCTION("""COMPUTED_VALUE"""),"")</f>
        <v/>
      </c>
      <c r="M6901" s="16" t="str">
        <f>IFERROR(__xludf.DUMMYFUNCTION("""COMPUTED_VALUE"""),"")</f>
        <v/>
      </c>
      <c r="U6901" s="16" t="s">
        <v>87</v>
      </c>
      <c r="V6901" s="16" t="str">
        <f>IFERROR(__xludf.DUMMYFUNCTION("""COMPUTED_VALUE"""),"")</f>
        <v/>
      </c>
      <c r="W6901" s="16" t="str">
        <f>IFERROR(__xludf.DUMMYFUNCTION("""COMPUTED_VALUE"""),"")</f>
        <v/>
      </c>
      <c r="X6901" s="16" t="str">
        <f>IFERROR(__xludf.DUMMYFUNCTION("""COMPUTED_VALUE"""),"")</f>
        <v/>
      </c>
      <c r="AC6901" s="16" t="str">
        <f>IFERROR(__xludf.DUMMYFUNCTION("""COMPUTED_VALUE"""),"")</f>
        <v/>
      </c>
    </row>
    <row r="6902">
      <c r="A6902" s="16" t="s">
        <v>87</v>
      </c>
      <c r="E6902" s="16" t="str">
        <f>IFERROR(__xludf.DUMMYFUNCTION("""COMPUTED_VALUE"""),"")</f>
        <v/>
      </c>
      <c r="G6902" s="18"/>
      <c r="H6902" s="16" t="s">
        <v>87</v>
      </c>
      <c r="I6902" s="16" t="s">
        <v>87</v>
      </c>
      <c r="J6902" s="19"/>
      <c r="L6902" s="16" t="str">
        <f>IFERROR(__xludf.DUMMYFUNCTION("""COMPUTED_VALUE"""),"")</f>
        <v/>
      </c>
      <c r="M6902" s="16" t="str">
        <f>IFERROR(__xludf.DUMMYFUNCTION("""COMPUTED_VALUE"""),"")</f>
        <v/>
      </c>
      <c r="U6902" s="16" t="s">
        <v>87</v>
      </c>
      <c r="V6902" s="16" t="str">
        <f>IFERROR(__xludf.DUMMYFUNCTION("""COMPUTED_VALUE"""),"")</f>
        <v/>
      </c>
      <c r="W6902" s="16" t="str">
        <f>IFERROR(__xludf.DUMMYFUNCTION("""COMPUTED_VALUE"""),"")</f>
        <v/>
      </c>
      <c r="X6902" s="16" t="str">
        <f>IFERROR(__xludf.DUMMYFUNCTION("""COMPUTED_VALUE"""),"")</f>
        <v/>
      </c>
      <c r="AC6902" s="16" t="str">
        <f>IFERROR(__xludf.DUMMYFUNCTION("""COMPUTED_VALUE"""),"")</f>
        <v/>
      </c>
    </row>
    <row r="6903">
      <c r="A6903" s="16" t="s">
        <v>87</v>
      </c>
      <c r="E6903" s="16" t="str">
        <f>IFERROR(__xludf.DUMMYFUNCTION("""COMPUTED_VALUE"""),"")</f>
        <v/>
      </c>
      <c r="G6903" s="18"/>
      <c r="H6903" s="16" t="s">
        <v>87</v>
      </c>
      <c r="I6903" s="16" t="s">
        <v>87</v>
      </c>
      <c r="J6903" s="19"/>
      <c r="L6903" s="16" t="str">
        <f>IFERROR(__xludf.DUMMYFUNCTION("""COMPUTED_VALUE"""),"")</f>
        <v/>
      </c>
      <c r="M6903" s="16" t="str">
        <f>IFERROR(__xludf.DUMMYFUNCTION("""COMPUTED_VALUE"""),"")</f>
        <v/>
      </c>
      <c r="U6903" s="16" t="s">
        <v>87</v>
      </c>
      <c r="V6903" s="16" t="str">
        <f>IFERROR(__xludf.DUMMYFUNCTION("""COMPUTED_VALUE"""),"")</f>
        <v/>
      </c>
      <c r="W6903" s="16" t="str">
        <f>IFERROR(__xludf.DUMMYFUNCTION("""COMPUTED_VALUE"""),"")</f>
        <v/>
      </c>
      <c r="X6903" s="16" t="str">
        <f>IFERROR(__xludf.DUMMYFUNCTION("""COMPUTED_VALUE"""),"")</f>
        <v/>
      </c>
      <c r="AC6903" s="16" t="str">
        <f>IFERROR(__xludf.DUMMYFUNCTION("""COMPUTED_VALUE"""),"")</f>
        <v/>
      </c>
    </row>
    <row r="6904">
      <c r="A6904" s="16" t="s">
        <v>87</v>
      </c>
      <c r="E6904" s="16" t="str">
        <f>IFERROR(__xludf.DUMMYFUNCTION("""COMPUTED_VALUE"""),"")</f>
        <v/>
      </c>
      <c r="G6904" s="18"/>
      <c r="H6904" s="16" t="s">
        <v>87</v>
      </c>
      <c r="I6904" s="16" t="s">
        <v>87</v>
      </c>
      <c r="J6904" s="19"/>
      <c r="L6904" s="16" t="str">
        <f>IFERROR(__xludf.DUMMYFUNCTION("""COMPUTED_VALUE"""),"")</f>
        <v/>
      </c>
      <c r="M6904" s="16" t="str">
        <f>IFERROR(__xludf.DUMMYFUNCTION("""COMPUTED_VALUE"""),"")</f>
        <v/>
      </c>
      <c r="U6904" s="16" t="s">
        <v>87</v>
      </c>
      <c r="V6904" s="16" t="str">
        <f>IFERROR(__xludf.DUMMYFUNCTION("""COMPUTED_VALUE"""),"")</f>
        <v/>
      </c>
      <c r="W6904" s="16" t="str">
        <f>IFERROR(__xludf.DUMMYFUNCTION("""COMPUTED_VALUE"""),"")</f>
        <v/>
      </c>
      <c r="X6904" s="16" t="str">
        <f>IFERROR(__xludf.DUMMYFUNCTION("""COMPUTED_VALUE"""),"")</f>
        <v/>
      </c>
      <c r="AC6904" s="16" t="str">
        <f>IFERROR(__xludf.DUMMYFUNCTION("""COMPUTED_VALUE"""),"")</f>
        <v/>
      </c>
    </row>
    <row r="6905">
      <c r="A6905" s="16" t="s">
        <v>87</v>
      </c>
      <c r="E6905" s="16" t="str">
        <f>IFERROR(__xludf.DUMMYFUNCTION("""COMPUTED_VALUE"""),"")</f>
        <v/>
      </c>
      <c r="G6905" s="18"/>
      <c r="H6905" s="16" t="s">
        <v>87</v>
      </c>
      <c r="I6905" s="16" t="s">
        <v>87</v>
      </c>
      <c r="J6905" s="19"/>
      <c r="L6905" s="16" t="str">
        <f>IFERROR(__xludf.DUMMYFUNCTION("""COMPUTED_VALUE"""),"")</f>
        <v/>
      </c>
      <c r="M6905" s="16" t="str">
        <f>IFERROR(__xludf.DUMMYFUNCTION("""COMPUTED_VALUE"""),"")</f>
        <v/>
      </c>
      <c r="U6905" s="16" t="s">
        <v>87</v>
      </c>
      <c r="V6905" s="16" t="str">
        <f>IFERROR(__xludf.DUMMYFUNCTION("""COMPUTED_VALUE"""),"")</f>
        <v/>
      </c>
      <c r="W6905" s="16" t="str">
        <f>IFERROR(__xludf.DUMMYFUNCTION("""COMPUTED_VALUE"""),"")</f>
        <v/>
      </c>
      <c r="X6905" s="16" t="str">
        <f>IFERROR(__xludf.DUMMYFUNCTION("""COMPUTED_VALUE"""),"")</f>
        <v/>
      </c>
      <c r="AC6905" s="16" t="str">
        <f>IFERROR(__xludf.DUMMYFUNCTION("""COMPUTED_VALUE"""),"")</f>
        <v/>
      </c>
    </row>
    <row r="6906">
      <c r="A6906" s="16" t="s">
        <v>87</v>
      </c>
      <c r="E6906" s="16" t="str">
        <f>IFERROR(__xludf.DUMMYFUNCTION("""COMPUTED_VALUE"""),"")</f>
        <v/>
      </c>
      <c r="G6906" s="18"/>
      <c r="H6906" s="16" t="s">
        <v>87</v>
      </c>
      <c r="I6906" s="16" t="s">
        <v>87</v>
      </c>
      <c r="J6906" s="19"/>
      <c r="L6906" s="16" t="str">
        <f>IFERROR(__xludf.DUMMYFUNCTION("""COMPUTED_VALUE"""),"")</f>
        <v/>
      </c>
      <c r="M6906" s="16" t="str">
        <f>IFERROR(__xludf.DUMMYFUNCTION("""COMPUTED_VALUE"""),"")</f>
        <v/>
      </c>
      <c r="U6906" s="16" t="s">
        <v>87</v>
      </c>
      <c r="V6906" s="16" t="str">
        <f>IFERROR(__xludf.DUMMYFUNCTION("""COMPUTED_VALUE"""),"")</f>
        <v/>
      </c>
      <c r="W6906" s="16" t="str">
        <f>IFERROR(__xludf.DUMMYFUNCTION("""COMPUTED_VALUE"""),"")</f>
        <v/>
      </c>
      <c r="X6906" s="16" t="str">
        <f>IFERROR(__xludf.DUMMYFUNCTION("""COMPUTED_VALUE"""),"")</f>
        <v/>
      </c>
      <c r="AC6906" s="16" t="str">
        <f>IFERROR(__xludf.DUMMYFUNCTION("""COMPUTED_VALUE"""),"")</f>
        <v/>
      </c>
    </row>
    <row r="6907">
      <c r="A6907" s="16" t="s">
        <v>87</v>
      </c>
      <c r="E6907" s="16" t="str">
        <f>IFERROR(__xludf.DUMMYFUNCTION("""COMPUTED_VALUE"""),"")</f>
        <v/>
      </c>
      <c r="G6907" s="18"/>
      <c r="H6907" s="16" t="s">
        <v>87</v>
      </c>
      <c r="I6907" s="16" t="s">
        <v>87</v>
      </c>
      <c r="J6907" s="19"/>
      <c r="L6907" s="16" t="str">
        <f>IFERROR(__xludf.DUMMYFUNCTION("""COMPUTED_VALUE"""),"")</f>
        <v/>
      </c>
      <c r="M6907" s="16" t="str">
        <f>IFERROR(__xludf.DUMMYFUNCTION("""COMPUTED_VALUE"""),"")</f>
        <v/>
      </c>
      <c r="U6907" s="16" t="s">
        <v>87</v>
      </c>
      <c r="V6907" s="16" t="str">
        <f>IFERROR(__xludf.DUMMYFUNCTION("""COMPUTED_VALUE"""),"")</f>
        <v/>
      </c>
      <c r="W6907" s="16" t="str">
        <f>IFERROR(__xludf.DUMMYFUNCTION("""COMPUTED_VALUE"""),"")</f>
        <v/>
      </c>
      <c r="X6907" s="16" t="str">
        <f>IFERROR(__xludf.DUMMYFUNCTION("""COMPUTED_VALUE"""),"")</f>
        <v/>
      </c>
      <c r="AC6907" s="16" t="str">
        <f>IFERROR(__xludf.DUMMYFUNCTION("""COMPUTED_VALUE"""),"")</f>
        <v/>
      </c>
    </row>
    <row r="6908">
      <c r="A6908" s="16" t="s">
        <v>87</v>
      </c>
      <c r="E6908" s="16" t="str">
        <f>IFERROR(__xludf.DUMMYFUNCTION("""COMPUTED_VALUE"""),"")</f>
        <v/>
      </c>
      <c r="G6908" s="18"/>
      <c r="H6908" s="16" t="s">
        <v>87</v>
      </c>
      <c r="I6908" s="16" t="s">
        <v>87</v>
      </c>
      <c r="J6908" s="19"/>
      <c r="L6908" s="16" t="str">
        <f>IFERROR(__xludf.DUMMYFUNCTION("""COMPUTED_VALUE"""),"")</f>
        <v/>
      </c>
      <c r="M6908" s="16" t="str">
        <f>IFERROR(__xludf.DUMMYFUNCTION("""COMPUTED_VALUE"""),"")</f>
        <v/>
      </c>
      <c r="U6908" s="16" t="s">
        <v>87</v>
      </c>
      <c r="V6908" s="16" t="str">
        <f>IFERROR(__xludf.DUMMYFUNCTION("""COMPUTED_VALUE"""),"")</f>
        <v/>
      </c>
      <c r="W6908" s="16" t="str">
        <f>IFERROR(__xludf.DUMMYFUNCTION("""COMPUTED_VALUE"""),"")</f>
        <v/>
      </c>
      <c r="X6908" s="16" t="str">
        <f>IFERROR(__xludf.DUMMYFUNCTION("""COMPUTED_VALUE"""),"")</f>
        <v/>
      </c>
      <c r="AC6908" s="16" t="str">
        <f>IFERROR(__xludf.DUMMYFUNCTION("""COMPUTED_VALUE"""),"")</f>
        <v/>
      </c>
    </row>
    <row r="6909">
      <c r="A6909" s="16" t="s">
        <v>87</v>
      </c>
      <c r="E6909" s="16" t="str">
        <f>IFERROR(__xludf.DUMMYFUNCTION("""COMPUTED_VALUE"""),"")</f>
        <v/>
      </c>
      <c r="G6909" s="18"/>
      <c r="H6909" s="16" t="s">
        <v>87</v>
      </c>
      <c r="I6909" s="16" t="s">
        <v>87</v>
      </c>
      <c r="J6909" s="19"/>
      <c r="L6909" s="16" t="str">
        <f>IFERROR(__xludf.DUMMYFUNCTION("""COMPUTED_VALUE"""),"")</f>
        <v/>
      </c>
      <c r="M6909" s="16" t="str">
        <f>IFERROR(__xludf.DUMMYFUNCTION("""COMPUTED_VALUE"""),"")</f>
        <v/>
      </c>
      <c r="U6909" s="16" t="s">
        <v>87</v>
      </c>
      <c r="V6909" s="16" t="str">
        <f>IFERROR(__xludf.DUMMYFUNCTION("""COMPUTED_VALUE"""),"")</f>
        <v/>
      </c>
      <c r="W6909" s="16" t="str">
        <f>IFERROR(__xludf.DUMMYFUNCTION("""COMPUTED_VALUE"""),"")</f>
        <v/>
      </c>
      <c r="X6909" s="16" t="str">
        <f>IFERROR(__xludf.DUMMYFUNCTION("""COMPUTED_VALUE"""),"")</f>
        <v/>
      </c>
      <c r="AC6909" s="16" t="str">
        <f>IFERROR(__xludf.DUMMYFUNCTION("""COMPUTED_VALUE"""),"")</f>
        <v/>
      </c>
    </row>
    <row r="6910">
      <c r="A6910" s="16" t="s">
        <v>87</v>
      </c>
      <c r="E6910" s="16" t="str">
        <f>IFERROR(__xludf.DUMMYFUNCTION("""COMPUTED_VALUE"""),"")</f>
        <v/>
      </c>
      <c r="G6910" s="18"/>
      <c r="H6910" s="16" t="s">
        <v>87</v>
      </c>
      <c r="I6910" s="16" t="s">
        <v>87</v>
      </c>
      <c r="J6910" s="19"/>
      <c r="L6910" s="16" t="str">
        <f>IFERROR(__xludf.DUMMYFUNCTION("""COMPUTED_VALUE"""),"")</f>
        <v/>
      </c>
      <c r="M6910" s="16" t="str">
        <f>IFERROR(__xludf.DUMMYFUNCTION("""COMPUTED_VALUE"""),"")</f>
        <v/>
      </c>
      <c r="U6910" s="16" t="s">
        <v>87</v>
      </c>
      <c r="V6910" s="16" t="str">
        <f>IFERROR(__xludf.DUMMYFUNCTION("""COMPUTED_VALUE"""),"")</f>
        <v/>
      </c>
      <c r="W6910" s="16" t="str">
        <f>IFERROR(__xludf.DUMMYFUNCTION("""COMPUTED_VALUE"""),"")</f>
        <v/>
      </c>
      <c r="X6910" s="16" t="str">
        <f>IFERROR(__xludf.DUMMYFUNCTION("""COMPUTED_VALUE"""),"")</f>
        <v/>
      </c>
      <c r="AC6910" s="16" t="str">
        <f>IFERROR(__xludf.DUMMYFUNCTION("""COMPUTED_VALUE"""),"")</f>
        <v/>
      </c>
    </row>
    <row r="6911">
      <c r="A6911" s="16" t="s">
        <v>87</v>
      </c>
      <c r="E6911" s="16" t="str">
        <f>IFERROR(__xludf.DUMMYFUNCTION("""COMPUTED_VALUE"""),"")</f>
        <v/>
      </c>
      <c r="G6911" s="18"/>
      <c r="H6911" s="16" t="s">
        <v>87</v>
      </c>
      <c r="I6911" s="16" t="s">
        <v>87</v>
      </c>
      <c r="J6911" s="19"/>
      <c r="L6911" s="16" t="str">
        <f>IFERROR(__xludf.DUMMYFUNCTION("""COMPUTED_VALUE"""),"")</f>
        <v/>
      </c>
      <c r="M6911" s="16" t="str">
        <f>IFERROR(__xludf.DUMMYFUNCTION("""COMPUTED_VALUE"""),"")</f>
        <v/>
      </c>
      <c r="U6911" s="16" t="s">
        <v>87</v>
      </c>
      <c r="V6911" s="16" t="str">
        <f>IFERROR(__xludf.DUMMYFUNCTION("""COMPUTED_VALUE"""),"")</f>
        <v/>
      </c>
      <c r="W6911" s="16" t="str">
        <f>IFERROR(__xludf.DUMMYFUNCTION("""COMPUTED_VALUE"""),"")</f>
        <v/>
      </c>
      <c r="X6911" s="16" t="str">
        <f>IFERROR(__xludf.DUMMYFUNCTION("""COMPUTED_VALUE"""),"")</f>
        <v/>
      </c>
      <c r="AC6911" s="16" t="str">
        <f>IFERROR(__xludf.DUMMYFUNCTION("""COMPUTED_VALUE"""),"")</f>
        <v/>
      </c>
    </row>
    <row r="6912">
      <c r="A6912" s="16" t="s">
        <v>87</v>
      </c>
      <c r="E6912" s="16" t="str">
        <f>IFERROR(__xludf.DUMMYFUNCTION("""COMPUTED_VALUE"""),"")</f>
        <v/>
      </c>
      <c r="G6912" s="18"/>
      <c r="H6912" s="16" t="s">
        <v>87</v>
      </c>
      <c r="I6912" s="16" t="s">
        <v>87</v>
      </c>
      <c r="J6912" s="19"/>
      <c r="L6912" s="16" t="str">
        <f>IFERROR(__xludf.DUMMYFUNCTION("""COMPUTED_VALUE"""),"")</f>
        <v/>
      </c>
      <c r="M6912" s="16" t="str">
        <f>IFERROR(__xludf.DUMMYFUNCTION("""COMPUTED_VALUE"""),"")</f>
        <v/>
      </c>
      <c r="U6912" s="16" t="s">
        <v>87</v>
      </c>
      <c r="V6912" s="16" t="str">
        <f>IFERROR(__xludf.DUMMYFUNCTION("""COMPUTED_VALUE"""),"")</f>
        <v/>
      </c>
      <c r="W6912" s="16" t="str">
        <f>IFERROR(__xludf.DUMMYFUNCTION("""COMPUTED_VALUE"""),"")</f>
        <v/>
      </c>
      <c r="X6912" s="16" t="str">
        <f>IFERROR(__xludf.DUMMYFUNCTION("""COMPUTED_VALUE"""),"")</f>
        <v/>
      </c>
      <c r="AC6912" s="16" t="str">
        <f>IFERROR(__xludf.DUMMYFUNCTION("""COMPUTED_VALUE"""),"")</f>
        <v/>
      </c>
    </row>
    <row r="6913">
      <c r="A6913" s="16" t="s">
        <v>87</v>
      </c>
      <c r="E6913" s="16" t="str">
        <f>IFERROR(__xludf.DUMMYFUNCTION("""COMPUTED_VALUE"""),"")</f>
        <v/>
      </c>
      <c r="G6913" s="18"/>
      <c r="H6913" s="16" t="s">
        <v>87</v>
      </c>
      <c r="I6913" s="16" t="s">
        <v>87</v>
      </c>
      <c r="J6913" s="19"/>
      <c r="L6913" s="16" t="str">
        <f>IFERROR(__xludf.DUMMYFUNCTION("""COMPUTED_VALUE"""),"")</f>
        <v/>
      </c>
      <c r="M6913" s="16" t="str">
        <f>IFERROR(__xludf.DUMMYFUNCTION("""COMPUTED_VALUE"""),"")</f>
        <v/>
      </c>
      <c r="U6913" s="16" t="s">
        <v>87</v>
      </c>
      <c r="V6913" s="16" t="str">
        <f>IFERROR(__xludf.DUMMYFUNCTION("""COMPUTED_VALUE"""),"")</f>
        <v/>
      </c>
      <c r="W6913" s="16" t="str">
        <f>IFERROR(__xludf.DUMMYFUNCTION("""COMPUTED_VALUE"""),"")</f>
        <v/>
      </c>
      <c r="X6913" s="16" t="str">
        <f>IFERROR(__xludf.DUMMYFUNCTION("""COMPUTED_VALUE"""),"")</f>
        <v/>
      </c>
      <c r="AC6913" s="16" t="str">
        <f>IFERROR(__xludf.DUMMYFUNCTION("""COMPUTED_VALUE"""),"")</f>
        <v/>
      </c>
    </row>
    <row r="6914">
      <c r="A6914" s="16" t="s">
        <v>87</v>
      </c>
      <c r="E6914" s="16" t="str">
        <f>IFERROR(__xludf.DUMMYFUNCTION("""COMPUTED_VALUE"""),"")</f>
        <v/>
      </c>
      <c r="G6914" s="18"/>
      <c r="H6914" s="16" t="s">
        <v>87</v>
      </c>
      <c r="I6914" s="16" t="s">
        <v>87</v>
      </c>
      <c r="J6914" s="19"/>
      <c r="L6914" s="16" t="str">
        <f>IFERROR(__xludf.DUMMYFUNCTION("""COMPUTED_VALUE"""),"")</f>
        <v/>
      </c>
      <c r="M6914" s="16" t="str">
        <f>IFERROR(__xludf.DUMMYFUNCTION("""COMPUTED_VALUE"""),"")</f>
        <v/>
      </c>
      <c r="U6914" s="16" t="s">
        <v>87</v>
      </c>
      <c r="V6914" s="16" t="str">
        <f>IFERROR(__xludf.DUMMYFUNCTION("""COMPUTED_VALUE"""),"")</f>
        <v/>
      </c>
      <c r="W6914" s="16" t="str">
        <f>IFERROR(__xludf.DUMMYFUNCTION("""COMPUTED_VALUE"""),"")</f>
        <v/>
      </c>
      <c r="X6914" s="16" t="str">
        <f>IFERROR(__xludf.DUMMYFUNCTION("""COMPUTED_VALUE"""),"")</f>
        <v/>
      </c>
      <c r="AC6914" s="16" t="str">
        <f>IFERROR(__xludf.DUMMYFUNCTION("""COMPUTED_VALUE"""),"")</f>
        <v/>
      </c>
    </row>
    <row r="6915">
      <c r="A6915" s="16" t="s">
        <v>87</v>
      </c>
      <c r="E6915" s="16" t="str">
        <f>IFERROR(__xludf.DUMMYFUNCTION("""COMPUTED_VALUE"""),"")</f>
        <v/>
      </c>
      <c r="G6915" s="18"/>
      <c r="H6915" s="16" t="s">
        <v>87</v>
      </c>
      <c r="I6915" s="16" t="s">
        <v>87</v>
      </c>
      <c r="J6915" s="19"/>
      <c r="L6915" s="16" t="str">
        <f>IFERROR(__xludf.DUMMYFUNCTION("""COMPUTED_VALUE"""),"")</f>
        <v/>
      </c>
      <c r="M6915" s="16" t="str">
        <f>IFERROR(__xludf.DUMMYFUNCTION("""COMPUTED_VALUE"""),"")</f>
        <v/>
      </c>
      <c r="U6915" s="16" t="s">
        <v>87</v>
      </c>
      <c r="V6915" s="16" t="str">
        <f>IFERROR(__xludf.DUMMYFUNCTION("""COMPUTED_VALUE"""),"")</f>
        <v/>
      </c>
      <c r="W6915" s="16" t="str">
        <f>IFERROR(__xludf.DUMMYFUNCTION("""COMPUTED_VALUE"""),"")</f>
        <v/>
      </c>
      <c r="X6915" s="16" t="str">
        <f>IFERROR(__xludf.DUMMYFUNCTION("""COMPUTED_VALUE"""),"")</f>
        <v/>
      </c>
      <c r="AC6915" s="16" t="str">
        <f>IFERROR(__xludf.DUMMYFUNCTION("""COMPUTED_VALUE"""),"")</f>
        <v/>
      </c>
    </row>
    <row r="6916">
      <c r="A6916" s="16" t="s">
        <v>87</v>
      </c>
      <c r="E6916" s="16" t="str">
        <f>IFERROR(__xludf.DUMMYFUNCTION("""COMPUTED_VALUE"""),"")</f>
        <v/>
      </c>
      <c r="G6916" s="18"/>
      <c r="H6916" s="16" t="s">
        <v>87</v>
      </c>
      <c r="I6916" s="16" t="s">
        <v>87</v>
      </c>
      <c r="J6916" s="19"/>
      <c r="L6916" s="16" t="str">
        <f>IFERROR(__xludf.DUMMYFUNCTION("""COMPUTED_VALUE"""),"")</f>
        <v/>
      </c>
      <c r="M6916" s="16" t="str">
        <f>IFERROR(__xludf.DUMMYFUNCTION("""COMPUTED_VALUE"""),"")</f>
        <v/>
      </c>
      <c r="U6916" s="16" t="s">
        <v>87</v>
      </c>
      <c r="V6916" s="16" t="str">
        <f>IFERROR(__xludf.DUMMYFUNCTION("""COMPUTED_VALUE"""),"")</f>
        <v/>
      </c>
      <c r="W6916" s="16" t="str">
        <f>IFERROR(__xludf.DUMMYFUNCTION("""COMPUTED_VALUE"""),"")</f>
        <v/>
      </c>
      <c r="X6916" s="16" t="str">
        <f>IFERROR(__xludf.DUMMYFUNCTION("""COMPUTED_VALUE"""),"")</f>
        <v/>
      </c>
      <c r="AC6916" s="16" t="str">
        <f>IFERROR(__xludf.DUMMYFUNCTION("""COMPUTED_VALUE"""),"")</f>
        <v/>
      </c>
    </row>
    <row r="6917">
      <c r="A6917" s="16" t="s">
        <v>87</v>
      </c>
      <c r="E6917" s="16" t="str">
        <f>IFERROR(__xludf.DUMMYFUNCTION("""COMPUTED_VALUE"""),"")</f>
        <v/>
      </c>
      <c r="G6917" s="18"/>
      <c r="H6917" s="16" t="s">
        <v>87</v>
      </c>
      <c r="I6917" s="16" t="s">
        <v>87</v>
      </c>
      <c r="J6917" s="19"/>
      <c r="L6917" s="16" t="str">
        <f>IFERROR(__xludf.DUMMYFUNCTION("""COMPUTED_VALUE"""),"")</f>
        <v/>
      </c>
      <c r="M6917" s="16" t="str">
        <f>IFERROR(__xludf.DUMMYFUNCTION("""COMPUTED_VALUE"""),"")</f>
        <v/>
      </c>
      <c r="U6917" s="16" t="s">
        <v>87</v>
      </c>
      <c r="V6917" s="16" t="str">
        <f>IFERROR(__xludf.DUMMYFUNCTION("""COMPUTED_VALUE"""),"")</f>
        <v/>
      </c>
      <c r="W6917" s="16" t="str">
        <f>IFERROR(__xludf.DUMMYFUNCTION("""COMPUTED_VALUE"""),"")</f>
        <v/>
      </c>
      <c r="X6917" s="16" t="str">
        <f>IFERROR(__xludf.DUMMYFUNCTION("""COMPUTED_VALUE"""),"")</f>
        <v/>
      </c>
      <c r="AC6917" s="16" t="str">
        <f>IFERROR(__xludf.DUMMYFUNCTION("""COMPUTED_VALUE"""),"")</f>
        <v/>
      </c>
    </row>
    <row r="6918">
      <c r="A6918" s="16" t="s">
        <v>87</v>
      </c>
      <c r="E6918" s="16" t="str">
        <f>IFERROR(__xludf.DUMMYFUNCTION("""COMPUTED_VALUE"""),"")</f>
        <v/>
      </c>
      <c r="G6918" s="18"/>
      <c r="H6918" s="16" t="s">
        <v>87</v>
      </c>
      <c r="I6918" s="16" t="s">
        <v>87</v>
      </c>
      <c r="J6918" s="19"/>
      <c r="L6918" s="16" t="str">
        <f>IFERROR(__xludf.DUMMYFUNCTION("""COMPUTED_VALUE"""),"")</f>
        <v/>
      </c>
      <c r="M6918" s="16" t="str">
        <f>IFERROR(__xludf.DUMMYFUNCTION("""COMPUTED_VALUE"""),"")</f>
        <v/>
      </c>
      <c r="U6918" s="16" t="s">
        <v>87</v>
      </c>
      <c r="V6918" s="16" t="str">
        <f>IFERROR(__xludf.DUMMYFUNCTION("""COMPUTED_VALUE"""),"")</f>
        <v/>
      </c>
      <c r="W6918" s="16" t="str">
        <f>IFERROR(__xludf.DUMMYFUNCTION("""COMPUTED_VALUE"""),"")</f>
        <v/>
      </c>
      <c r="X6918" s="16" t="str">
        <f>IFERROR(__xludf.DUMMYFUNCTION("""COMPUTED_VALUE"""),"")</f>
        <v/>
      </c>
      <c r="AC6918" s="16" t="str">
        <f>IFERROR(__xludf.DUMMYFUNCTION("""COMPUTED_VALUE"""),"")</f>
        <v/>
      </c>
    </row>
    <row r="6919">
      <c r="A6919" s="16" t="s">
        <v>87</v>
      </c>
      <c r="E6919" s="16" t="str">
        <f>IFERROR(__xludf.DUMMYFUNCTION("""COMPUTED_VALUE"""),"")</f>
        <v/>
      </c>
      <c r="G6919" s="18"/>
      <c r="H6919" s="16" t="s">
        <v>87</v>
      </c>
      <c r="I6919" s="16" t="s">
        <v>87</v>
      </c>
      <c r="J6919" s="19"/>
      <c r="L6919" s="16" t="str">
        <f>IFERROR(__xludf.DUMMYFUNCTION("""COMPUTED_VALUE"""),"")</f>
        <v/>
      </c>
      <c r="M6919" s="16" t="str">
        <f>IFERROR(__xludf.DUMMYFUNCTION("""COMPUTED_VALUE"""),"")</f>
        <v/>
      </c>
      <c r="U6919" s="16" t="s">
        <v>87</v>
      </c>
      <c r="V6919" s="16" t="str">
        <f>IFERROR(__xludf.DUMMYFUNCTION("""COMPUTED_VALUE"""),"")</f>
        <v/>
      </c>
      <c r="W6919" s="16" t="str">
        <f>IFERROR(__xludf.DUMMYFUNCTION("""COMPUTED_VALUE"""),"")</f>
        <v/>
      </c>
      <c r="X6919" s="16" t="str">
        <f>IFERROR(__xludf.DUMMYFUNCTION("""COMPUTED_VALUE"""),"")</f>
        <v/>
      </c>
      <c r="AC6919" s="16" t="str">
        <f>IFERROR(__xludf.DUMMYFUNCTION("""COMPUTED_VALUE"""),"")</f>
        <v/>
      </c>
    </row>
    <row r="6920">
      <c r="A6920" s="16" t="s">
        <v>87</v>
      </c>
      <c r="E6920" s="16" t="str">
        <f>IFERROR(__xludf.DUMMYFUNCTION("""COMPUTED_VALUE"""),"")</f>
        <v/>
      </c>
      <c r="G6920" s="18"/>
      <c r="H6920" s="16" t="s">
        <v>87</v>
      </c>
      <c r="I6920" s="16" t="s">
        <v>87</v>
      </c>
      <c r="J6920" s="19"/>
      <c r="L6920" s="16" t="str">
        <f>IFERROR(__xludf.DUMMYFUNCTION("""COMPUTED_VALUE"""),"")</f>
        <v/>
      </c>
      <c r="M6920" s="16" t="str">
        <f>IFERROR(__xludf.DUMMYFUNCTION("""COMPUTED_VALUE"""),"")</f>
        <v/>
      </c>
      <c r="U6920" s="16" t="s">
        <v>87</v>
      </c>
      <c r="V6920" s="16" t="str">
        <f>IFERROR(__xludf.DUMMYFUNCTION("""COMPUTED_VALUE"""),"")</f>
        <v/>
      </c>
      <c r="W6920" s="16" t="str">
        <f>IFERROR(__xludf.DUMMYFUNCTION("""COMPUTED_VALUE"""),"")</f>
        <v/>
      </c>
      <c r="X6920" s="16" t="str">
        <f>IFERROR(__xludf.DUMMYFUNCTION("""COMPUTED_VALUE"""),"")</f>
        <v/>
      </c>
      <c r="AC6920" s="16" t="str">
        <f>IFERROR(__xludf.DUMMYFUNCTION("""COMPUTED_VALUE"""),"")</f>
        <v/>
      </c>
    </row>
    <row r="6921">
      <c r="A6921" s="16" t="s">
        <v>87</v>
      </c>
      <c r="E6921" s="16" t="str">
        <f>IFERROR(__xludf.DUMMYFUNCTION("""COMPUTED_VALUE"""),"")</f>
        <v/>
      </c>
      <c r="G6921" s="18"/>
      <c r="H6921" s="16" t="s">
        <v>87</v>
      </c>
      <c r="I6921" s="16" t="s">
        <v>87</v>
      </c>
      <c r="J6921" s="19"/>
      <c r="L6921" s="16" t="str">
        <f>IFERROR(__xludf.DUMMYFUNCTION("""COMPUTED_VALUE"""),"")</f>
        <v/>
      </c>
      <c r="M6921" s="16" t="str">
        <f>IFERROR(__xludf.DUMMYFUNCTION("""COMPUTED_VALUE"""),"")</f>
        <v/>
      </c>
      <c r="U6921" s="16" t="s">
        <v>87</v>
      </c>
      <c r="V6921" s="16" t="str">
        <f>IFERROR(__xludf.DUMMYFUNCTION("""COMPUTED_VALUE"""),"")</f>
        <v/>
      </c>
      <c r="W6921" s="16" t="str">
        <f>IFERROR(__xludf.DUMMYFUNCTION("""COMPUTED_VALUE"""),"")</f>
        <v/>
      </c>
      <c r="X6921" s="16" t="str">
        <f>IFERROR(__xludf.DUMMYFUNCTION("""COMPUTED_VALUE"""),"")</f>
        <v/>
      </c>
      <c r="AC6921" s="16" t="str">
        <f>IFERROR(__xludf.DUMMYFUNCTION("""COMPUTED_VALUE"""),"")</f>
        <v/>
      </c>
    </row>
    <row r="6922">
      <c r="A6922" s="16" t="s">
        <v>87</v>
      </c>
      <c r="E6922" s="16" t="str">
        <f>IFERROR(__xludf.DUMMYFUNCTION("""COMPUTED_VALUE"""),"")</f>
        <v/>
      </c>
      <c r="G6922" s="18"/>
      <c r="H6922" s="16" t="s">
        <v>87</v>
      </c>
      <c r="I6922" s="16" t="s">
        <v>87</v>
      </c>
      <c r="J6922" s="19"/>
      <c r="L6922" s="16" t="str">
        <f>IFERROR(__xludf.DUMMYFUNCTION("""COMPUTED_VALUE"""),"")</f>
        <v/>
      </c>
      <c r="M6922" s="16" t="str">
        <f>IFERROR(__xludf.DUMMYFUNCTION("""COMPUTED_VALUE"""),"")</f>
        <v/>
      </c>
      <c r="U6922" s="16" t="s">
        <v>87</v>
      </c>
      <c r="V6922" s="16" t="str">
        <f>IFERROR(__xludf.DUMMYFUNCTION("""COMPUTED_VALUE"""),"")</f>
        <v/>
      </c>
      <c r="W6922" s="16" t="str">
        <f>IFERROR(__xludf.DUMMYFUNCTION("""COMPUTED_VALUE"""),"")</f>
        <v/>
      </c>
      <c r="X6922" s="16" t="str">
        <f>IFERROR(__xludf.DUMMYFUNCTION("""COMPUTED_VALUE"""),"")</f>
        <v/>
      </c>
      <c r="AC6922" s="16" t="str">
        <f>IFERROR(__xludf.DUMMYFUNCTION("""COMPUTED_VALUE"""),"")</f>
        <v/>
      </c>
    </row>
    <row r="6923">
      <c r="A6923" s="16" t="s">
        <v>87</v>
      </c>
      <c r="E6923" s="16" t="str">
        <f>IFERROR(__xludf.DUMMYFUNCTION("""COMPUTED_VALUE"""),"")</f>
        <v/>
      </c>
      <c r="G6923" s="18"/>
      <c r="H6923" s="16" t="s">
        <v>87</v>
      </c>
      <c r="I6923" s="16" t="s">
        <v>87</v>
      </c>
      <c r="J6923" s="19"/>
      <c r="L6923" s="16" t="str">
        <f>IFERROR(__xludf.DUMMYFUNCTION("""COMPUTED_VALUE"""),"")</f>
        <v/>
      </c>
      <c r="M6923" s="16" t="str">
        <f>IFERROR(__xludf.DUMMYFUNCTION("""COMPUTED_VALUE"""),"")</f>
        <v/>
      </c>
      <c r="U6923" s="16" t="s">
        <v>87</v>
      </c>
      <c r="V6923" s="16" t="str">
        <f>IFERROR(__xludf.DUMMYFUNCTION("""COMPUTED_VALUE"""),"")</f>
        <v/>
      </c>
      <c r="W6923" s="16" t="str">
        <f>IFERROR(__xludf.DUMMYFUNCTION("""COMPUTED_VALUE"""),"")</f>
        <v/>
      </c>
      <c r="X6923" s="16" t="str">
        <f>IFERROR(__xludf.DUMMYFUNCTION("""COMPUTED_VALUE"""),"")</f>
        <v/>
      </c>
      <c r="AC6923" s="16" t="str">
        <f>IFERROR(__xludf.DUMMYFUNCTION("""COMPUTED_VALUE"""),"")</f>
        <v/>
      </c>
    </row>
    <row r="6924">
      <c r="A6924" s="16" t="s">
        <v>87</v>
      </c>
      <c r="E6924" s="16" t="str">
        <f>IFERROR(__xludf.DUMMYFUNCTION("""COMPUTED_VALUE"""),"")</f>
        <v/>
      </c>
      <c r="G6924" s="18"/>
      <c r="H6924" s="16" t="s">
        <v>87</v>
      </c>
      <c r="I6924" s="16" t="s">
        <v>87</v>
      </c>
      <c r="J6924" s="19"/>
      <c r="L6924" s="16" t="str">
        <f>IFERROR(__xludf.DUMMYFUNCTION("""COMPUTED_VALUE"""),"")</f>
        <v/>
      </c>
      <c r="M6924" s="16" t="str">
        <f>IFERROR(__xludf.DUMMYFUNCTION("""COMPUTED_VALUE"""),"")</f>
        <v/>
      </c>
      <c r="U6924" s="16" t="s">
        <v>87</v>
      </c>
      <c r="V6924" s="16" t="str">
        <f>IFERROR(__xludf.DUMMYFUNCTION("""COMPUTED_VALUE"""),"")</f>
        <v/>
      </c>
      <c r="W6924" s="16" t="str">
        <f>IFERROR(__xludf.DUMMYFUNCTION("""COMPUTED_VALUE"""),"")</f>
        <v/>
      </c>
      <c r="X6924" s="16" t="str">
        <f>IFERROR(__xludf.DUMMYFUNCTION("""COMPUTED_VALUE"""),"")</f>
        <v/>
      </c>
      <c r="AC6924" s="16" t="str">
        <f>IFERROR(__xludf.DUMMYFUNCTION("""COMPUTED_VALUE"""),"")</f>
        <v/>
      </c>
    </row>
    <row r="6925">
      <c r="A6925" s="16" t="s">
        <v>87</v>
      </c>
      <c r="E6925" s="16" t="str">
        <f>IFERROR(__xludf.DUMMYFUNCTION("""COMPUTED_VALUE"""),"")</f>
        <v/>
      </c>
      <c r="G6925" s="18"/>
      <c r="H6925" s="16" t="s">
        <v>87</v>
      </c>
      <c r="I6925" s="16" t="s">
        <v>87</v>
      </c>
      <c r="J6925" s="19"/>
      <c r="L6925" s="16" t="str">
        <f>IFERROR(__xludf.DUMMYFUNCTION("""COMPUTED_VALUE"""),"")</f>
        <v/>
      </c>
      <c r="M6925" s="16" t="str">
        <f>IFERROR(__xludf.DUMMYFUNCTION("""COMPUTED_VALUE"""),"")</f>
        <v/>
      </c>
      <c r="U6925" s="16" t="s">
        <v>87</v>
      </c>
      <c r="V6925" s="16" t="str">
        <f>IFERROR(__xludf.DUMMYFUNCTION("""COMPUTED_VALUE"""),"")</f>
        <v/>
      </c>
      <c r="W6925" s="16" t="str">
        <f>IFERROR(__xludf.DUMMYFUNCTION("""COMPUTED_VALUE"""),"")</f>
        <v/>
      </c>
      <c r="X6925" s="16" t="str">
        <f>IFERROR(__xludf.DUMMYFUNCTION("""COMPUTED_VALUE"""),"")</f>
        <v/>
      </c>
      <c r="AC6925" s="16" t="str">
        <f>IFERROR(__xludf.DUMMYFUNCTION("""COMPUTED_VALUE"""),"")</f>
        <v/>
      </c>
    </row>
    <row r="6926">
      <c r="A6926" s="16" t="s">
        <v>87</v>
      </c>
      <c r="E6926" s="16" t="str">
        <f>IFERROR(__xludf.DUMMYFUNCTION("""COMPUTED_VALUE"""),"")</f>
        <v/>
      </c>
      <c r="G6926" s="18"/>
      <c r="H6926" s="16" t="s">
        <v>87</v>
      </c>
      <c r="I6926" s="16" t="s">
        <v>87</v>
      </c>
      <c r="J6926" s="19"/>
      <c r="L6926" s="16" t="str">
        <f>IFERROR(__xludf.DUMMYFUNCTION("""COMPUTED_VALUE"""),"")</f>
        <v/>
      </c>
      <c r="M6926" s="16" t="str">
        <f>IFERROR(__xludf.DUMMYFUNCTION("""COMPUTED_VALUE"""),"")</f>
        <v/>
      </c>
      <c r="U6926" s="16" t="s">
        <v>87</v>
      </c>
      <c r="V6926" s="16" t="str">
        <f>IFERROR(__xludf.DUMMYFUNCTION("""COMPUTED_VALUE"""),"")</f>
        <v/>
      </c>
      <c r="W6926" s="16" t="str">
        <f>IFERROR(__xludf.DUMMYFUNCTION("""COMPUTED_VALUE"""),"")</f>
        <v/>
      </c>
      <c r="X6926" s="16" t="str">
        <f>IFERROR(__xludf.DUMMYFUNCTION("""COMPUTED_VALUE"""),"")</f>
        <v/>
      </c>
      <c r="AC6926" s="16" t="str">
        <f>IFERROR(__xludf.DUMMYFUNCTION("""COMPUTED_VALUE"""),"")</f>
        <v/>
      </c>
    </row>
    <row r="6927">
      <c r="A6927" s="16" t="s">
        <v>87</v>
      </c>
      <c r="E6927" s="16" t="str">
        <f>IFERROR(__xludf.DUMMYFUNCTION("""COMPUTED_VALUE"""),"")</f>
        <v/>
      </c>
      <c r="G6927" s="18"/>
      <c r="H6927" s="16" t="s">
        <v>87</v>
      </c>
      <c r="I6927" s="16" t="s">
        <v>87</v>
      </c>
      <c r="J6927" s="19"/>
      <c r="L6927" s="16" t="str">
        <f>IFERROR(__xludf.DUMMYFUNCTION("""COMPUTED_VALUE"""),"")</f>
        <v/>
      </c>
      <c r="M6927" s="16" t="str">
        <f>IFERROR(__xludf.DUMMYFUNCTION("""COMPUTED_VALUE"""),"")</f>
        <v/>
      </c>
      <c r="U6927" s="16" t="s">
        <v>87</v>
      </c>
      <c r="V6927" s="16" t="str">
        <f>IFERROR(__xludf.DUMMYFUNCTION("""COMPUTED_VALUE"""),"")</f>
        <v/>
      </c>
      <c r="W6927" s="16" t="str">
        <f>IFERROR(__xludf.DUMMYFUNCTION("""COMPUTED_VALUE"""),"")</f>
        <v/>
      </c>
      <c r="X6927" s="16" t="str">
        <f>IFERROR(__xludf.DUMMYFUNCTION("""COMPUTED_VALUE"""),"")</f>
        <v/>
      </c>
      <c r="AC6927" s="16" t="str">
        <f>IFERROR(__xludf.DUMMYFUNCTION("""COMPUTED_VALUE"""),"")</f>
        <v/>
      </c>
    </row>
    <row r="6928">
      <c r="A6928" s="16" t="s">
        <v>87</v>
      </c>
      <c r="E6928" s="16" t="str">
        <f>IFERROR(__xludf.DUMMYFUNCTION("""COMPUTED_VALUE"""),"")</f>
        <v/>
      </c>
      <c r="G6928" s="18"/>
      <c r="H6928" s="16" t="s">
        <v>87</v>
      </c>
      <c r="I6928" s="16" t="s">
        <v>87</v>
      </c>
      <c r="J6928" s="19"/>
      <c r="L6928" s="16" t="str">
        <f>IFERROR(__xludf.DUMMYFUNCTION("""COMPUTED_VALUE"""),"")</f>
        <v/>
      </c>
      <c r="M6928" s="16" t="str">
        <f>IFERROR(__xludf.DUMMYFUNCTION("""COMPUTED_VALUE"""),"")</f>
        <v/>
      </c>
      <c r="U6928" s="16" t="s">
        <v>87</v>
      </c>
      <c r="V6928" s="16" t="str">
        <f>IFERROR(__xludf.DUMMYFUNCTION("""COMPUTED_VALUE"""),"")</f>
        <v/>
      </c>
      <c r="W6928" s="16" t="str">
        <f>IFERROR(__xludf.DUMMYFUNCTION("""COMPUTED_VALUE"""),"")</f>
        <v/>
      </c>
      <c r="X6928" s="16" t="str">
        <f>IFERROR(__xludf.DUMMYFUNCTION("""COMPUTED_VALUE"""),"")</f>
        <v/>
      </c>
      <c r="AC6928" s="16" t="str">
        <f>IFERROR(__xludf.DUMMYFUNCTION("""COMPUTED_VALUE"""),"")</f>
        <v/>
      </c>
    </row>
    <row r="6929">
      <c r="A6929" s="16" t="s">
        <v>87</v>
      </c>
      <c r="E6929" s="16" t="str">
        <f>IFERROR(__xludf.DUMMYFUNCTION("""COMPUTED_VALUE"""),"")</f>
        <v/>
      </c>
      <c r="G6929" s="18"/>
      <c r="H6929" s="16" t="s">
        <v>87</v>
      </c>
      <c r="I6929" s="16" t="s">
        <v>87</v>
      </c>
      <c r="J6929" s="19"/>
      <c r="L6929" s="16" t="str">
        <f>IFERROR(__xludf.DUMMYFUNCTION("""COMPUTED_VALUE"""),"")</f>
        <v/>
      </c>
      <c r="M6929" s="16" t="str">
        <f>IFERROR(__xludf.DUMMYFUNCTION("""COMPUTED_VALUE"""),"")</f>
        <v/>
      </c>
      <c r="U6929" s="16" t="s">
        <v>87</v>
      </c>
      <c r="V6929" s="16" t="str">
        <f>IFERROR(__xludf.DUMMYFUNCTION("""COMPUTED_VALUE"""),"")</f>
        <v/>
      </c>
      <c r="W6929" s="16" t="str">
        <f>IFERROR(__xludf.DUMMYFUNCTION("""COMPUTED_VALUE"""),"")</f>
        <v/>
      </c>
      <c r="X6929" s="16" t="str">
        <f>IFERROR(__xludf.DUMMYFUNCTION("""COMPUTED_VALUE"""),"")</f>
        <v/>
      </c>
      <c r="AC6929" s="16" t="str">
        <f>IFERROR(__xludf.DUMMYFUNCTION("""COMPUTED_VALUE"""),"")</f>
        <v/>
      </c>
    </row>
    <row r="6930">
      <c r="A6930" s="16" t="s">
        <v>87</v>
      </c>
      <c r="E6930" s="16" t="str">
        <f>IFERROR(__xludf.DUMMYFUNCTION("""COMPUTED_VALUE"""),"")</f>
        <v/>
      </c>
      <c r="G6930" s="18"/>
      <c r="H6930" s="16" t="s">
        <v>87</v>
      </c>
      <c r="I6930" s="16" t="s">
        <v>87</v>
      </c>
      <c r="J6930" s="19"/>
      <c r="L6930" s="16" t="str">
        <f>IFERROR(__xludf.DUMMYFUNCTION("""COMPUTED_VALUE"""),"")</f>
        <v/>
      </c>
      <c r="M6930" s="16" t="str">
        <f>IFERROR(__xludf.DUMMYFUNCTION("""COMPUTED_VALUE"""),"")</f>
        <v/>
      </c>
      <c r="U6930" s="16" t="s">
        <v>87</v>
      </c>
      <c r="V6930" s="16" t="str">
        <f>IFERROR(__xludf.DUMMYFUNCTION("""COMPUTED_VALUE"""),"")</f>
        <v/>
      </c>
      <c r="W6930" s="16" t="str">
        <f>IFERROR(__xludf.DUMMYFUNCTION("""COMPUTED_VALUE"""),"")</f>
        <v/>
      </c>
      <c r="X6930" s="16" t="str">
        <f>IFERROR(__xludf.DUMMYFUNCTION("""COMPUTED_VALUE"""),"")</f>
        <v/>
      </c>
      <c r="AC6930" s="16" t="str">
        <f>IFERROR(__xludf.DUMMYFUNCTION("""COMPUTED_VALUE"""),"")</f>
        <v/>
      </c>
    </row>
    <row r="6931">
      <c r="A6931" s="16" t="s">
        <v>87</v>
      </c>
      <c r="E6931" s="16" t="str">
        <f>IFERROR(__xludf.DUMMYFUNCTION("""COMPUTED_VALUE"""),"")</f>
        <v/>
      </c>
      <c r="G6931" s="18"/>
      <c r="H6931" s="16" t="s">
        <v>87</v>
      </c>
      <c r="I6931" s="16" t="s">
        <v>87</v>
      </c>
      <c r="J6931" s="19"/>
      <c r="L6931" s="16" t="str">
        <f>IFERROR(__xludf.DUMMYFUNCTION("""COMPUTED_VALUE"""),"")</f>
        <v/>
      </c>
      <c r="M6931" s="16" t="str">
        <f>IFERROR(__xludf.DUMMYFUNCTION("""COMPUTED_VALUE"""),"")</f>
        <v/>
      </c>
      <c r="U6931" s="16" t="s">
        <v>87</v>
      </c>
      <c r="V6931" s="16" t="str">
        <f>IFERROR(__xludf.DUMMYFUNCTION("""COMPUTED_VALUE"""),"")</f>
        <v/>
      </c>
      <c r="W6931" s="16" t="str">
        <f>IFERROR(__xludf.DUMMYFUNCTION("""COMPUTED_VALUE"""),"")</f>
        <v/>
      </c>
      <c r="X6931" s="16" t="str">
        <f>IFERROR(__xludf.DUMMYFUNCTION("""COMPUTED_VALUE"""),"")</f>
        <v/>
      </c>
      <c r="AC6931" s="16" t="str">
        <f>IFERROR(__xludf.DUMMYFUNCTION("""COMPUTED_VALUE"""),"")</f>
        <v/>
      </c>
    </row>
    <row r="6932">
      <c r="A6932" s="16" t="s">
        <v>87</v>
      </c>
      <c r="E6932" s="16" t="str">
        <f>IFERROR(__xludf.DUMMYFUNCTION("""COMPUTED_VALUE"""),"")</f>
        <v/>
      </c>
      <c r="G6932" s="18"/>
      <c r="H6932" s="16" t="s">
        <v>87</v>
      </c>
      <c r="I6932" s="16" t="s">
        <v>87</v>
      </c>
      <c r="J6932" s="19"/>
      <c r="L6932" s="16" t="str">
        <f>IFERROR(__xludf.DUMMYFUNCTION("""COMPUTED_VALUE"""),"")</f>
        <v/>
      </c>
      <c r="M6932" s="16" t="str">
        <f>IFERROR(__xludf.DUMMYFUNCTION("""COMPUTED_VALUE"""),"")</f>
        <v/>
      </c>
      <c r="U6932" s="16" t="s">
        <v>87</v>
      </c>
      <c r="V6932" s="16" t="str">
        <f>IFERROR(__xludf.DUMMYFUNCTION("""COMPUTED_VALUE"""),"")</f>
        <v/>
      </c>
      <c r="W6932" s="16" t="str">
        <f>IFERROR(__xludf.DUMMYFUNCTION("""COMPUTED_VALUE"""),"")</f>
        <v/>
      </c>
      <c r="X6932" s="16" t="str">
        <f>IFERROR(__xludf.DUMMYFUNCTION("""COMPUTED_VALUE"""),"")</f>
        <v/>
      </c>
      <c r="AC6932" s="16" t="str">
        <f>IFERROR(__xludf.DUMMYFUNCTION("""COMPUTED_VALUE"""),"")</f>
        <v/>
      </c>
    </row>
    <row r="6933">
      <c r="A6933" s="16" t="s">
        <v>87</v>
      </c>
      <c r="E6933" s="16" t="str">
        <f>IFERROR(__xludf.DUMMYFUNCTION("""COMPUTED_VALUE"""),"")</f>
        <v/>
      </c>
      <c r="G6933" s="18"/>
      <c r="H6933" s="16" t="s">
        <v>87</v>
      </c>
      <c r="I6933" s="16" t="s">
        <v>87</v>
      </c>
      <c r="J6933" s="19"/>
      <c r="L6933" s="16" t="str">
        <f>IFERROR(__xludf.DUMMYFUNCTION("""COMPUTED_VALUE"""),"")</f>
        <v/>
      </c>
      <c r="M6933" s="16" t="str">
        <f>IFERROR(__xludf.DUMMYFUNCTION("""COMPUTED_VALUE"""),"")</f>
        <v/>
      </c>
      <c r="U6933" s="16" t="s">
        <v>87</v>
      </c>
      <c r="V6933" s="16" t="str">
        <f>IFERROR(__xludf.DUMMYFUNCTION("""COMPUTED_VALUE"""),"")</f>
        <v/>
      </c>
      <c r="W6933" s="16" t="str">
        <f>IFERROR(__xludf.DUMMYFUNCTION("""COMPUTED_VALUE"""),"")</f>
        <v/>
      </c>
      <c r="X6933" s="16" t="str">
        <f>IFERROR(__xludf.DUMMYFUNCTION("""COMPUTED_VALUE"""),"")</f>
        <v/>
      </c>
      <c r="AC6933" s="16" t="str">
        <f>IFERROR(__xludf.DUMMYFUNCTION("""COMPUTED_VALUE"""),"")</f>
        <v/>
      </c>
    </row>
    <row r="6934">
      <c r="A6934" s="16" t="s">
        <v>87</v>
      </c>
      <c r="E6934" s="16" t="str">
        <f>IFERROR(__xludf.DUMMYFUNCTION("""COMPUTED_VALUE"""),"")</f>
        <v/>
      </c>
      <c r="G6934" s="18"/>
      <c r="H6934" s="16" t="s">
        <v>87</v>
      </c>
      <c r="I6934" s="16" t="s">
        <v>87</v>
      </c>
      <c r="J6934" s="19"/>
      <c r="L6934" s="16" t="str">
        <f>IFERROR(__xludf.DUMMYFUNCTION("""COMPUTED_VALUE"""),"")</f>
        <v/>
      </c>
      <c r="M6934" s="16" t="str">
        <f>IFERROR(__xludf.DUMMYFUNCTION("""COMPUTED_VALUE"""),"")</f>
        <v/>
      </c>
      <c r="U6934" s="16" t="s">
        <v>87</v>
      </c>
      <c r="V6934" s="16" t="str">
        <f>IFERROR(__xludf.DUMMYFUNCTION("""COMPUTED_VALUE"""),"")</f>
        <v/>
      </c>
      <c r="W6934" s="16" t="str">
        <f>IFERROR(__xludf.DUMMYFUNCTION("""COMPUTED_VALUE"""),"")</f>
        <v/>
      </c>
      <c r="X6934" s="16" t="str">
        <f>IFERROR(__xludf.DUMMYFUNCTION("""COMPUTED_VALUE"""),"")</f>
        <v/>
      </c>
      <c r="AC6934" s="16" t="str">
        <f>IFERROR(__xludf.DUMMYFUNCTION("""COMPUTED_VALUE"""),"")</f>
        <v/>
      </c>
    </row>
    <row r="6935">
      <c r="A6935" s="16" t="s">
        <v>87</v>
      </c>
      <c r="E6935" s="16" t="str">
        <f>IFERROR(__xludf.DUMMYFUNCTION("""COMPUTED_VALUE"""),"")</f>
        <v/>
      </c>
      <c r="G6935" s="18"/>
      <c r="H6935" s="16" t="s">
        <v>87</v>
      </c>
      <c r="I6935" s="16" t="s">
        <v>87</v>
      </c>
      <c r="J6935" s="19"/>
      <c r="L6935" s="16" t="str">
        <f>IFERROR(__xludf.DUMMYFUNCTION("""COMPUTED_VALUE"""),"")</f>
        <v/>
      </c>
      <c r="M6935" s="16" t="str">
        <f>IFERROR(__xludf.DUMMYFUNCTION("""COMPUTED_VALUE"""),"")</f>
        <v/>
      </c>
      <c r="U6935" s="16" t="s">
        <v>87</v>
      </c>
      <c r="V6935" s="16" t="str">
        <f>IFERROR(__xludf.DUMMYFUNCTION("""COMPUTED_VALUE"""),"")</f>
        <v/>
      </c>
      <c r="W6935" s="16" t="str">
        <f>IFERROR(__xludf.DUMMYFUNCTION("""COMPUTED_VALUE"""),"")</f>
        <v/>
      </c>
      <c r="X6935" s="16" t="str">
        <f>IFERROR(__xludf.DUMMYFUNCTION("""COMPUTED_VALUE"""),"")</f>
        <v/>
      </c>
      <c r="AC6935" s="16" t="str">
        <f>IFERROR(__xludf.DUMMYFUNCTION("""COMPUTED_VALUE"""),"")</f>
        <v/>
      </c>
    </row>
    <row r="6936">
      <c r="A6936" s="16" t="s">
        <v>87</v>
      </c>
      <c r="E6936" s="16" t="str">
        <f>IFERROR(__xludf.DUMMYFUNCTION("""COMPUTED_VALUE"""),"")</f>
        <v/>
      </c>
      <c r="G6936" s="18"/>
      <c r="H6936" s="16" t="s">
        <v>87</v>
      </c>
      <c r="I6936" s="16" t="s">
        <v>87</v>
      </c>
      <c r="J6936" s="19"/>
      <c r="L6936" s="16" t="str">
        <f>IFERROR(__xludf.DUMMYFUNCTION("""COMPUTED_VALUE"""),"")</f>
        <v/>
      </c>
      <c r="M6936" s="16" t="str">
        <f>IFERROR(__xludf.DUMMYFUNCTION("""COMPUTED_VALUE"""),"")</f>
        <v/>
      </c>
      <c r="U6936" s="16" t="s">
        <v>87</v>
      </c>
      <c r="V6936" s="16" t="str">
        <f>IFERROR(__xludf.DUMMYFUNCTION("""COMPUTED_VALUE"""),"")</f>
        <v/>
      </c>
      <c r="W6936" s="16" t="str">
        <f>IFERROR(__xludf.DUMMYFUNCTION("""COMPUTED_VALUE"""),"")</f>
        <v/>
      </c>
      <c r="X6936" s="16" t="str">
        <f>IFERROR(__xludf.DUMMYFUNCTION("""COMPUTED_VALUE"""),"")</f>
        <v/>
      </c>
      <c r="AC6936" s="16" t="str">
        <f>IFERROR(__xludf.DUMMYFUNCTION("""COMPUTED_VALUE"""),"")</f>
        <v/>
      </c>
    </row>
    <row r="6937">
      <c r="A6937" s="16" t="s">
        <v>87</v>
      </c>
      <c r="E6937" s="16" t="str">
        <f>IFERROR(__xludf.DUMMYFUNCTION("""COMPUTED_VALUE"""),"")</f>
        <v/>
      </c>
      <c r="G6937" s="18"/>
      <c r="H6937" s="16" t="s">
        <v>87</v>
      </c>
      <c r="I6937" s="16" t="s">
        <v>87</v>
      </c>
      <c r="J6937" s="19"/>
      <c r="L6937" s="16" t="str">
        <f>IFERROR(__xludf.DUMMYFUNCTION("""COMPUTED_VALUE"""),"")</f>
        <v/>
      </c>
      <c r="M6937" s="16" t="str">
        <f>IFERROR(__xludf.DUMMYFUNCTION("""COMPUTED_VALUE"""),"")</f>
        <v/>
      </c>
      <c r="U6937" s="16" t="s">
        <v>87</v>
      </c>
      <c r="V6937" s="16" t="str">
        <f>IFERROR(__xludf.DUMMYFUNCTION("""COMPUTED_VALUE"""),"")</f>
        <v/>
      </c>
      <c r="W6937" s="16" t="str">
        <f>IFERROR(__xludf.DUMMYFUNCTION("""COMPUTED_VALUE"""),"")</f>
        <v/>
      </c>
      <c r="X6937" s="16" t="str">
        <f>IFERROR(__xludf.DUMMYFUNCTION("""COMPUTED_VALUE"""),"")</f>
        <v/>
      </c>
      <c r="AC6937" s="16" t="str">
        <f>IFERROR(__xludf.DUMMYFUNCTION("""COMPUTED_VALUE"""),"")</f>
        <v/>
      </c>
    </row>
    <row r="6938">
      <c r="A6938" s="16" t="s">
        <v>87</v>
      </c>
      <c r="E6938" s="16" t="str">
        <f>IFERROR(__xludf.DUMMYFUNCTION("""COMPUTED_VALUE"""),"")</f>
        <v/>
      </c>
      <c r="G6938" s="18"/>
      <c r="H6938" s="16" t="s">
        <v>87</v>
      </c>
      <c r="I6938" s="16" t="s">
        <v>87</v>
      </c>
      <c r="J6938" s="19"/>
      <c r="L6938" s="16" t="str">
        <f>IFERROR(__xludf.DUMMYFUNCTION("""COMPUTED_VALUE"""),"")</f>
        <v/>
      </c>
      <c r="M6938" s="16" t="str">
        <f>IFERROR(__xludf.DUMMYFUNCTION("""COMPUTED_VALUE"""),"")</f>
        <v/>
      </c>
      <c r="U6938" s="16" t="s">
        <v>87</v>
      </c>
      <c r="V6938" s="16" t="str">
        <f>IFERROR(__xludf.DUMMYFUNCTION("""COMPUTED_VALUE"""),"")</f>
        <v/>
      </c>
      <c r="W6938" s="16" t="str">
        <f>IFERROR(__xludf.DUMMYFUNCTION("""COMPUTED_VALUE"""),"")</f>
        <v/>
      </c>
      <c r="X6938" s="16" t="str">
        <f>IFERROR(__xludf.DUMMYFUNCTION("""COMPUTED_VALUE"""),"")</f>
        <v/>
      </c>
      <c r="AC6938" s="16" t="str">
        <f>IFERROR(__xludf.DUMMYFUNCTION("""COMPUTED_VALUE"""),"")</f>
        <v/>
      </c>
    </row>
    <row r="6939">
      <c r="A6939" s="16" t="s">
        <v>87</v>
      </c>
      <c r="E6939" s="16" t="str">
        <f>IFERROR(__xludf.DUMMYFUNCTION("""COMPUTED_VALUE"""),"")</f>
        <v/>
      </c>
      <c r="G6939" s="18"/>
      <c r="H6939" s="16" t="s">
        <v>87</v>
      </c>
      <c r="I6939" s="16" t="s">
        <v>87</v>
      </c>
      <c r="J6939" s="19"/>
      <c r="L6939" s="16" t="str">
        <f>IFERROR(__xludf.DUMMYFUNCTION("""COMPUTED_VALUE"""),"")</f>
        <v/>
      </c>
      <c r="M6939" s="16" t="str">
        <f>IFERROR(__xludf.DUMMYFUNCTION("""COMPUTED_VALUE"""),"")</f>
        <v/>
      </c>
      <c r="U6939" s="16" t="s">
        <v>87</v>
      </c>
      <c r="V6939" s="16" t="str">
        <f>IFERROR(__xludf.DUMMYFUNCTION("""COMPUTED_VALUE"""),"")</f>
        <v/>
      </c>
      <c r="W6939" s="16" t="str">
        <f>IFERROR(__xludf.DUMMYFUNCTION("""COMPUTED_VALUE"""),"")</f>
        <v/>
      </c>
      <c r="X6939" s="16" t="str">
        <f>IFERROR(__xludf.DUMMYFUNCTION("""COMPUTED_VALUE"""),"")</f>
        <v/>
      </c>
      <c r="AC6939" s="16" t="str">
        <f>IFERROR(__xludf.DUMMYFUNCTION("""COMPUTED_VALUE"""),"")</f>
        <v/>
      </c>
    </row>
    <row r="6940">
      <c r="A6940" s="16" t="s">
        <v>87</v>
      </c>
      <c r="E6940" s="16" t="str">
        <f>IFERROR(__xludf.DUMMYFUNCTION("""COMPUTED_VALUE"""),"")</f>
        <v/>
      </c>
      <c r="G6940" s="18"/>
      <c r="H6940" s="16" t="s">
        <v>87</v>
      </c>
      <c r="I6940" s="16" t="s">
        <v>87</v>
      </c>
      <c r="J6940" s="19"/>
      <c r="L6940" s="16" t="str">
        <f>IFERROR(__xludf.DUMMYFUNCTION("""COMPUTED_VALUE"""),"")</f>
        <v/>
      </c>
      <c r="M6940" s="16" t="str">
        <f>IFERROR(__xludf.DUMMYFUNCTION("""COMPUTED_VALUE"""),"")</f>
        <v/>
      </c>
      <c r="U6940" s="16" t="s">
        <v>87</v>
      </c>
      <c r="V6940" s="16" t="str">
        <f>IFERROR(__xludf.DUMMYFUNCTION("""COMPUTED_VALUE"""),"")</f>
        <v/>
      </c>
      <c r="W6940" s="16" t="str">
        <f>IFERROR(__xludf.DUMMYFUNCTION("""COMPUTED_VALUE"""),"")</f>
        <v/>
      </c>
      <c r="X6940" s="16" t="str">
        <f>IFERROR(__xludf.DUMMYFUNCTION("""COMPUTED_VALUE"""),"")</f>
        <v/>
      </c>
      <c r="AC6940" s="16" t="str">
        <f>IFERROR(__xludf.DUMMYFUNCTION("""COMPUTED_VALUE"""),"")</f>
        <v/>
      </c>
    </row>
    <row r="6941">
      <c r="A6941" s="16" t="s">
        <v>87</v>
      </c>
      <c r="E6941" s="16" t="str">
        <f>IFERROR(__xludf.DUMMYFUNCTION("""COMPUTED_VALUE"""),"")</f>
        <v/>
      </c>
      <c r="G6941" s="18"/>
      <c r="H6941" s="16" t="s">
        <v>87</v>
      </c>
      <c r="I6941" s="16" t="s">
        <v>87</v>
      </c>
      <c r="J6941" s="19"/>
      <c r="L6941" s="16" t="str">
        <f>IFERROR(__xludf.DUMMYFUNCTION("""COMPUTED_VALUE"""),"")</f>
        <v/>
      </c>
      <c r="M6941" s="16" t="str">
        <f>IFERROR(__xludf.DUMMYFUNCTION("""COMPUTED_VALUE"""),"")</f>
        <v/>
      </c>
      <c r="U6941" s="16" t="s">
        <v>87</v>
      </c>
      <c r="V6941" s="16" t="str">
        <f>IFERROR(__xludf.DUMMYFUNCTION("""COMPUTED_VALUE"""),"")</f>
        <v/>
      </c>
      <c r="W6941" s="16" t="str">
        <f>IFERROR(__xludf.DUMMYFUNCTION("""COMPUTED_VALUE"""),"")</f>
        <v/>
      </c>
      <c r="X6941" s="16" t="str">
        <f>IFERROR(__xludf.DUMMYFUNCTION("""COMPUTED_VALUE"""),"")</f>
        <v/>
      </c>
      <c r="AC6941" s="16" t="str">
        <f>IFERROR(__xludf.DUMMYFUNCTION("""COMPUTED_VALUE"""),"")</f>
        <v/>
      </c>
    </row>
    <row r="6942">
      <c r="A6942" s="16" t="s">
        <v>87</v>
      </c>
      <c r="E6942" s="16" t="str">
        <f>IFERROR(__xludf.DUMMYFUNCTION("""COMPUTED_VALUE"""),"")</f>
        <v/>
      </c>
      <c r="G6942" s="18"/>
      <c r="H6942" s="16" t="s">
        <v>87</v>
      </c>
      <c r="I6942" s="16" t="s">
        <v>87</v>
      </c>
      <c r="J6942" s="19"/>
      <c r="L6942" s="16" t="str">
        <f>IFERROR(__xludf.DUMMYFUNCTION("""COMPUTED_VALUE"""),"")</f>
        <v/>
      </c>
      <c r="M6942" s="16" t="str">
        <f>IFERROR(__xludf.DUMMYFUNCTION("""COMPUTED_VALUE"""),"")</f>
        <v/>
      </c>
      <c r="U6942" s="16" t="s">
        <v>87</v>
      </c>
      <c r="V6942" s="16" t="str">
        <f>IFERROR(__xludf.DUMMYFUNCTION("""COMPUTED_VALUE"""),"")</f>
        <v/>
      </c>
      <c r="W6942" s="16" t="str">
        <f>IFERROR(__xludf.DUMMYFUNCTION("""COMPUTED_VALUE"""),"")</f>
        <v/>
      </c>
      <c r="X6942" s="16" t="str">
        <f>IFERROR(__xludf.DUMMYFUNCTION("""COMPUTED_VALUE"""),"")</f>
        <v/>
      </c>
      <c r="AC6942" s="16" t="str">
        <f>IFERROR(__xludf.DUMMYFUNCTION("""COMPUTED_VALUE"""),"")</f>
        <v/>
      </c>
    </row>
    <row r="6943">
      <c r="A6943" s="16" t="s">
        <v>87</v>
      </c>
      <c r="E6943" s="16" t="str">
        <f>IFERROR(__xludf.DUMMYFUNCTION("""COMPUTED_VALUE"""),"")</f>
        <v/>
      </c>
      <c r="G6943" s="18"/>
      <c r="H6943" s="16" t="s">
        <v>87</v>
      </c>
      <c r="I6943" s="16" t="s">
        <v>87</v>
      </c>
      <c r="J6943" s="19"/>
      <c r="L6943" s="16" t="str">
        <f>IFERROR(__xludf.DUMMYFUNCTION("""COMPUTED_VALUE"""),"")</f>
        <v/>
      </c>
      <c r="M6943" s="16" t="str">
        <f>IFERROR(__xludf.DUMMYFUNCTION("""COMPUTED_VALUE"""),"")</f>
        <v/>
      </c>
      <c r="U6943" s="16" t="s">
        <v>87</v>
      </c>
      <c r="V6943" s="16" t="str">
        <f>IFERROR(__xludf.DUMMYFUNCTION("""COMPUTED_VALUE"""),"")</f>
        <v/>
      </c>
      <c r="W6943" s="16" t="str">
        <f>IFERROR(__xludf.DUMMYFUNCTION("""COMPUTED_VALUE"""),"")</f>
        <v/>
      </c>
      <c r="X6943" s="16" t="str">
        <f>IFERROR(__xludf.DUMMYFUNCTION("""COMPUTED_VALUE"""),"")</f>
        <v/>
      </c>
      <c r="AC6943" s="16" t="str">
        <f>IFERROR(__xludf.DUMMYFUNCTION("""COMPUTED_VALUE"""),"")</f>
        <v/>
      </c>
    </row>
    <row r="6944">
      <c r="A6944" s="16" t="s">
        <v>87</v>
      </c>
      <c r="E6944" s="16" t="str">
        <f>IFERROR(__xludf.DUMMYFUNCTION("""COMPUTED_VALUE"""),"")</f>
        <v/>
      </c>
      <c r="G6944" s="18"/>
      <c r="H6944" s="16" t="s">
        <v>87</v>
      </c>
      <c r="I6944" s="16" t="s">
        <v>87</v>
      </c>
      <c r="J6944" s="19"/>
      <c r="L6944" s="16" t="str">
        <f>IFERROR(__xludf.DUMMYFUNCTION("""COMPUTED_VALUE"""),"")</f>
        <v/>
      </c>
      <c r="M6944" s="16" t="str">
        <f>IFERROR(__xludf.DUMMYFUNCTION("""COMPUTED_VALUE"""),"")</f>
        <v/>
      </c>
      <c r="U6944" s="16" t="s">
        <v>87</v>
      </c>
      <c r="V6944" s="16" t="str">
        <f>IFERROR(__xludf.DUMMYFUNCTION("""COMPUTED_VALUE"""),"")</f>
        <v/>
      </c>
      <c r="W6944" s="16" t="str">
        <f>IFERROR(__xludf.DUMMYFUNCTION("""COMPUTED_VALUE"""),"")</f>
        <v/>
      </c>
      <c r="X6944" s="16" t="str">
        <f>IFERROR(__xludf.DUMMYFUNCTION("""COMPUTED_VALUE"""),"")</f>
        <v/>
      </c>
      <c r="AC6944" s="16" t="str">
        <f>IFERROR(__xludf.DUMMYFUNCTION("""COMPUTED_VALUE"""),"")</f>
        <v/>
      </c>
    </row>
    <row r="6945">
      <c r="A6945" s="16" t="s">
        <v>87</v>
      </c>
      <c r="E6945" s="16" t="str">
        <f>IFERROR(__xludf.DUMMYFUNCTION("""COMPUTED_VALUE"""),"")</f>
        <v/>
      </c>
      <c r="G6945" s="18"/>
      <c r="H6945" s="16" t="s">
        <v>87</v>
      </c>
      <c r="I6945" s="16" t="s">
        <v>87</v>
      </c>
      <c r="J6945" s="19"/>
      <c r="L6945" s="16" t="str">
        <f>IFERROR(__xludf.DUMMYFUNCTION("""COMPUTED_VALUE"""),"")</f>
        <v/>
      </c>
      <c r="M6945" s="16" t="str">
        <f>IFERROR(__xludf.DUMMYFUNCTION("""COMPUTED_VALUE"""),"")</f>
        <v/>
      </c>
      <c r="U6945" s="16" t="s">
        <v>87</v>
      </c>
      <c r="V6945" s="16" t="str">
        <f>IFERROR(__xludf.DUMMYFUNCTION("""COMPUTED_VALUE"""),"")</f>
        <v/>
      </c>
      <c r="W6945" s="16" t="str">
        <f>IFERROR(__xludf.DUMMYFUNCTION("""COMPUTED_VALUE"""),"")</f>
        <v/>
      </c>
      <c r="X6945" s="16" t="str">
        <f>IFERROR(__xludf.DUMMYFUNCTION("""COMPUTED_VALUE"""),"")</f>
        <v/>
      </c>
      <c r="AC6945" s="16" t="str">
        <f>IFERROR(__xludf.DUMMYFUNCTION("""COMPUTED_VALUE"""),"")</f>
        <v/>
      </c>
    </row>
    <row r="6946">
      <c r="A6946" s="16" t="s">
        <v>87</v>
      </c>
      <c r="E6946" s="16" t="str">
        <f>IFERROR(__xludf.DUMMYFUNCTION("""COMPUTED_VALUE"""),"")</f>
        <v/>
      </c>
      <c r="G6946" s="18"/>
      <c r="H6946" s="16" t="s">
        <v>87</v>
      </c>
      <c r="I6946" s="16" t="s">
        <v>87</v>
      </c>
      <c r="J6946" s="19"/>
      <c r="L6946" s="16" t="str">
        <f>IFERROR(__xludf.DUMMYFUNCTION("""COMPUTED_VALUE"""),"")</f>
        <v/>
      </c>
      <c r="M6946" s="16" t="str">
        <f>IFERROR(__xludf.DUMMYFUNCTION("""COMPUTED_VALUE"""),"")</f>
        <v/>
      </c>
      <c r="U6946" s="16" t="s">
        <v>87</v>
      </c>
      <c r="V6946" s="16" t="str">
        <f>IFERROR(__xludf.DUMMYFUNCTION("""COMPUTED_VALUE"""),"")</f>
        <v/>
      </c>
      <c r="W6946" s="16" t="str">
        <f>IFERROR(__xludf.DUMMYFUNCTION("""COMPUTED_VALUE"""),"")</f>
        <v/>
      </c>
      <c r="X6946" s="16" t="str">
        <f>IFERROR(__xludf.DUMMYFUNCTION("""COMPUTED_VALUE"""),"")</f>
        <v/>
      </c>
      <c r="AC6946" s="16" t="str">
        <f>IFERROR(__xludf.DUMMYFUNCTION("""COMPUTED_VALUE"""),"")</f>
        <v/>
      </c>
    </row>
    <row r="6947">
      <c r="A6947" s="16" t="s">
        <v>87</v>
      </c>
      <c r="E6947" s="16" t="str">
        <f>IFERROR(__xludf.DUMMYFUNCTION("""COMPUTED_VALUE"""),"")</f>
        <v/>
      </c>
      <c r="G6947" s="18"/>
      <c r="H6947" s="16" t="s">
        <v>87</v>
      </c>
      <c r="I6947" s="16" t="s">
        <v>87</v>
      </c>
      <c r="J6947" s="19"/>
      <c r="L6947" s="16" t="str">
        <f>IFERROR(__xludf.DUMMYFUNCTION("""COMPUTED_VALUE"""),"")</f>
        <v/>
      </c>
      <c r="M6947" s="16" t="str">
        <f>IFERROR(__xludf.DUMMYFUNCTION("""COMPUTED_VALUE"""),"")</f>
        <v/>
      </c>
      <c r="U6947" s="16" t="s">
        <v>87</v>
      </c>
      <c r="V6947" s="16" t="str">
        <f>IFERROR(__xludf.DUMMYFUNCTION("""COMPUTED_VALUE"""),"")</f>
        <v/>
      </c>
      <c r="W6947" s="16" t="str">
        <f>IFERROR(__xludf.DUMMYFUNCTION("""COMPUTED_VALUE"""),"")</f>
        <v/>
      </c>
      <c r="X6947" s="16" t="str">
        <f>IFERROR(__xludf.DUMMYFUNCTION("""COMPUTED_VALUE"""),"")</f>
        <v/>
      </c>
      <c r="AC6947" s="16" t="str">
        <f>IFERROR(__xludf.DUMMYFUNCTION("""COMPUTED_VALUE"""),"")</f>
        <v/>
      </c>
    </row>
    <row r="6948">
      <c r="A6948" s="16" t="s">
        <v>87</v>
      </c>
      <c r="E6948" s="16" t="str">
        <f>IFERROR(__xludf.DUMMYFUNCTION("""COMPUTED_VALUE"""),"")</f>
        <v/>
      </c>
      <c r="G6948" s="18"/>
      <c r="H6948" s="16" t="s">
        <v>87</v>
      </c>
      <c r="I6948" s="16" t="s">
        <v>87</v>
      </c>
      <c r="J6948" s="19"/>
      <c r="L6948" s="16" t="str">
        <f>IFERROR(__xludf.DUMMYFUNCTION("""COMPUTED_VALUE"""),"")</f>
        <v/>
      </c>
      <c r="M6948" s="16" t="str">
        <f>IFERROR(__xludf.DUMMYFUNCTION("""COMPUTED_VALUE"""),"")</f>
        <v/>
      </c>
      <c r="U6948" s="16" t="s">
        <v>87</v>
      </c>
      <c r="V6948" s="16" t="str">
        <f>IFERROR(__xludf.DUMMYFUNCTION("""COMPUTED_VALUE"""),"")</f>
        <v/>
      </c>
      <c r="W6948" s="16" t="str">
        <f>IFERROR(__xludf.DUMMYFUNCTION("""COMPUTED_VALUE"""),"")</f>
        <v/>
      </c>
      <c r="X6948" s="16" t="str">
        <f>IFERROR(__xludf.DUMMYFUNCTION("""COMPUTED_VALUE"""),"")</f>
        <v/>
      </c>
      <c r="AC6948" s="16" t="str">
        <f>IFERROR(__xludf.DUMMYFUNCTION("""COMPUTED_VALUE"""),"")</f>
        <v/>
      </c>
    </row>
    <row r="6949">
      <c r="A6949" s="16" t="s">
        <v>87</v>
      </c>
      <c r="E6949" s="16" t="str">
        <f>IFERROR(__xludf.DUMMYFUNCTION("""COMPUTED_VALUE"""),"")</f>
        <v/>
      </c>
      <c r="G6949" s="18"/>
      <c r="H6949" s="16" t="s">
        <v>87</v>
      </c>
      <c r="I6949" s="16" t="s">
        <v>87</v>
      </c>
      <c r="J6949" s="19"/>
      <c r="L6949" s="16" t="str">
        <f>IFERROR(__xludf.DUMMYFUNCTION("""COMPUTED_VALUE"""),"")</f>
        <v/>
      </c>
      <c r="M6949" s="16" t="str">
        <f>IFERROR(__xludf.DUMMYFUNCTION("""COMPUTED_VALUE"""),"")</f>
        <v/>
      </c>
      <c r="U6949" s="16" t="s">
        <v>87</v>
      </c>
      <c r="V6949" s="16" t="str">
        <f>IFERROR(__xludf.DUMMYFUNCTION("""COMPUTED_VALUE"""),"")</f>
        <v/>
      </c>
      <c r="W6949" s="16" t="str">
        <f>IFERROR(__xludf.DUMMYFUNCTION("""COMPUTED_VALUE"""),"")</f>
        <v/>
      </c>
      <c r="X6949" s="16" t="str">
        <f>IFERROR(__xludf.DUMMYFUNCTION("""COMPUTED_VALUE"""),"")</f>
        <v/>
      </c>
      <c r="AC6949" s="16" t="str">
        <f>IFERROR(__xludf.DUMMYFUNCTION("""COMPUTED_VALUE"""),"")</f>
        <v/>
      </c>
    </row>
    <row r="6950">
      <c r="A6950" s="16" t="s">
        <v>87</v>
      </c>
      <c r="E6950" s="16" t="str">
        <f>IFERROR(__xludf.DUMMYFUNCTION("""COMPUTED_VALUE"""),"")</f>
        <v/>
      </c>
      <c r="G6950" s="18"/>
      <c r="H6950" s="16" t="s">
        <v>87</v>
      </c>
      <c r="I6950" s="16" t="s">
        <v>87</v>
      </c>
      <c r="J6950" s="19"/>
      <c r="L6950" s="16" t="str">
        <f>IFERROR(__xludf.DUMMYFUNCTION("""COMPUTED_VALUE"""),"")</f>
        <v/>
      </c>
      <c r="M6950" s="16" t="str">
        <f>IFERROR(__xludf.DUMMYFUNCTION("""COMPUTED_VALUE"""),"")</f>
        <v/>
      </c>
      <c r="U6950" s="16" t="s">
        <v>87</v>
      </c>
      <c r="V6950" s="16" t="str">
        <f>IFERROR(__xludf.DUMMYFUNCTION("""COMPUTED_VALUE"""),"")</f>
        <v/>
      </c>
      <c r="W6950" s="16" t="str">
        <f>IFERROR(__xludf.DUMMYFUNCTION("""COMPUTED_VALUE"""),"")</f>
        <v/>
      </c>
      <c r="X6950" s="16" t="str">
        <f>IFERROR(__xludf.DUMMYFUNCTION("""COMPUTED_VALUE"""),"")</f>
        <v/>
      </c>
      <c r="AC6950" s="16" t="str">
        <f>IFERROR(__xludf.DUMMYFUNCTION("""COMPUTED_VALUE"""),"")</f>
        <v/>
      </c>
    </row>
    <row r="6951">
      <c r="A6951" s="16" t="s">
        <v>87</v>
      </c>
      <c r="E6951" s="16" t="str">
        <f>IFERROR(__xludf.DUMMYFUNCTION("""COMPUTED_VALUE"""),"")</f>
        <v/>
      </c>
      <c r="G6951" s="18"/>
      <c r="H6951" s="16" t="s">
        <v>87</v>
      </c>
      <c r="I6951" s="16" t="s">
        <v>87</v>
      </c>
      <c r="J6951" s="19"/>
      <c r="L6951" s="16" t="str">
        <f>IFERROR(__xludf.DUMMYFUNCTION("""COMPUTED_VALUE"""),"")</f>
        <v/>
      </c>
      <c r="M6951" s="16" t="str">
        <f>IFERROR(__xludf.DUMMYFUNCTION("""COMPUTED_VALUE"""),"")</f>
        <v/>
      </c>
      <c r="U6951" s="16" t="s">
        <v>87</v>
      </c>
      <c r="V6951" s="16" t="str">
        <f>IFERROR(__xludf.DUMMYFUNCTION("""COMPUTED_VALUE"""),"")</f>
        <v/>
      </c>
      <c r="W6951" s="16" t="str">
        <f>IFERROR(__xludf.DUMMYFUNCTION("""COMPUTED_VALUE"""),"")</f>
        <v/>
      </c>
      <c r="X6951" s="16" t="str">
        <f>IFERROR(__xludf.DUMMYFUNCTION("""COMPUTED_VALUE"""),"")</f>
        <v/>
      </c>
      <c r="AC6951" s="16" t="str">
        <f>IFERROR(__xludf.DUMMYFUNCTION("""COMPUTED_VALUE"""),"")</f>
        <v/>
      </c>
    </row>
    <row r="6952">
      <c r="A6952" s="16" t="s">
        <v>87</v>
      </c>
      <c r="E6952" s="16" t="str">
        <f>IFERROR(__xludf.DUMMYFUNCTION("""COMPUTED_VALUE"""),"")</f>
        <v/>
      </c>
      <c r="G6952" s="18"/>
      <c r="H6952" s="16" t="s">
        <v>87</v>
      </c>
      <c r="I6952" s="16" t="s">
        <v>87</v>
      </c>
      <c r="J6952" s="19"/>
      <c r="L6952" s="16" t="str">
        <f>IFERROR(__xludf.DUMMYFUNCTION("""COMPUTED_VALUE"""),"")</f>
        <v/>
      </c>
      <c r="M6952" s="16" t="str">
        <f>IFERROR(__xludf.DUMMYFUNCTION("""COMPUTED_VALUE"""),"")</f>
        <v/>
      </c>
      <c r="U6952" s="16" t="s">
        <v>87</v>
      </c>
      <c r="V6952" s="16" t="str">
        <f>IFERROR(__xludf.DUMMYFUNCTION("""COMPUTED_VALUE"""),"")</f>
        <v/>
      </c>
      <c r="W6952" s="16" t="str">
        <f>IFERROR(__xludf.DUMMYFUNCTION("""COMPUTED_VALUE"""),"")</f>
        <v/>
      </c>
      <c r="X6952" s="16" t="str">
        <f>IFERROR(__xludf.DUMMYFUNCTION("""COMPUTED_VALUE"""),"")</f>
        <v/>
      </c>
      <c r="AC6952" s="16" t="str">
        <f>IFERROR(__xludf.DUMMYFUNCTION("""COMPUTED_VALUE"""),"")</f>
        <v/>
      </c>
    </row>
    <row r="6953">
      <c r="A6953" s="16" t="s">
        <v>87</v>
      </c>
      <c r="E6953" s="16" t="str">
        <f>IFERROR(__xludf.DUMMYFUNCTION("""COMPUTED_VALUE"""),"")</f>
        <v/>
      </c>
      <c r="G6953" s="18"/>
      <c r="H6953" s="16" t="s">
        <v>87</v>
      </c>
      <c r="I6953" s="16" t="s">
        <v>87</v>
      </c>
      <c r="J6953" s="19"/>
      <c r="L6953" s="16" t="str">
        <f>IFERROR(__xludf.DUMMYFUNCTION("""COMPUTED_VALUE"""),"")</f>
        <v/>
      </c>
      <c r="M6953" s="16" t="str">
        <f>IFERROR(__xludf.DUMMYFUNCTION("""COMPUTED_VALUE"""),"")</f>
        <v/>
      </c>
      <c r="U6953" s="16" t="s">
        <v>87</v>
      </c>
      <c r="V6953" s="16" t="str">
        <f>IFERROR(__xludf.DUMMYFUNCTION("""COMPUTED_VALUE"""),"")</f>
        <v/>
      </c>
      <c r="W6953" s="16" t="str">
        <f>IFERROR(__xludf.DUMMYFUNCTION("""COMPUTED_VALUE"""),"")</f>
        <v/>
      </c>
      <c r="X6953" s="16" t="str">
        <f>IFERROR(__xludf.DUMMYFUNCTION("""COMPUTED_VALUE"""),"")</f>
        <v/>
      </c>
      <c r="AC6953" s="16" t="str">
        <f>IFERROR(__xludf.DUMMYFUNCTION("""COMPUTED_VALUE"""),"")</f>
        <v/>
      </c>
    </row>
    <row r="6954">
      <c r="A6954" s="16" t="s">
        <v>87</v>
      </c>
      <c r="E6954" s="16" t="str">
        <f>IFERROR(__xludf.DUMMYFUNCTION("""COMPUTED_VALUE"""),"")</f>
        <v/>
      </c>
      <c r="G6954" s="18"/>
      <c r="H6954" s="16" t="s">
        <v>87</v>
      </c>
      <c r="I6954" s="16" t="s">
        <v>87</v>
      </c>
      <c r="J6954" s="19"/>
      <c r="L6954" s="16" t="str">
        <f>IFERROR(__xludf.DUMMYFUNCTION("""COMPUTED_VALUE"""),"")</f>
        <v/>
      </c>
      <c r="M6954" s="16" t="str">
        <f>IFERROR(__xludf.DUMMYFUNCTION("""COMPUTED_VALUE"""),"")</f>
        <v/>
      </c>
      <c r="U6954" s="16" t="s">
        <v>87</v>
      </c>
      <c r="V6954" s="16" t="str">
        <f>IFERROR(__xludf.DUMMYFUNCTION("""COMPUTED_VALUE"""),"")</f>
        <v/>
      </c>
      <c r="W6954" s="16" t="str">
        <f>IFERROR(__xludf.DUMMYFUNCTION("""COMPUTED_VALUE"""),"")</f>
        <v/>
      </c>
      <c r="X6954" s="16" t="str">
        <f>IFERROR(__xludf.DUMMYFUNCTION("""COMPUTED_VALUE"""),"")</f>
        <v/>
      </c>
      <c r="AC6954" s="16" t="str">
        <f>IFERROR(__xludf.DUMMYFUNCTION("""COMPUTED_VALUE"""),"")</f>
        <v/>
      </c>
    </row>
    <row r="6955">
      <c r="A6955" s="16" t="s">
        <v>87</v>
      </c>
      <c r="E6955" s="16" t="str">
        <f>IFERROR(__xludf.DUMMYFUNCTION("""COMPUTED_VALUE"""),"")</f>
        <v/>
      </c>
      <c r="G6955" s="18"/>
      <c r="H6955" s="16" t="s">
        <v>87</v>
      </c>
      <c r="I6955" s="16" t="s">
        <v>87</v>
      </c>
      <c r="J6955" s="19"/>
      <c r="L6955" s="16" t="str">
        <f>IFERROR(__xludf.DUMMYFUNCTION("""COMPUTED_VALUE"""),"")</f>
        <v/>
      </c>
      <c r="M6955" s="16" t="str">
        <f>IFERROR(__xludf.DUMMYFUNCTION("""COMPUTED_VALUE"""),"")</f>
        <v/>
      </c>
      <c r="U6955" s="16" t="s">
        <v>87</v>
      </c>
      <c r="V6955" s="16" t="str">
        <f>IFERROR(__xludf.DUMMYFUNCTION("""COMPUTED_VALUE"""),"")</f>
        <v/>
      </c>
      <c r="W6955" s="16" t="str">
        <f>IFERROR(__xludf.DUMMYFUNCTION("""COMPUTED_VALUE"""),"")</f>
        <v/>
      </c>
      <c r="X6955" s="16" t="str">
        <f>IFERROR(__xludf.DUMMYFUNCTION("""COMPUTED_VALUE"""),"")</f>
        <v/>
      </c>
      <c r="AC6955" s="16" t="str">
        <f>IFERROR(__xludf.DUMMYFUNCTION("""COMPUTED_VALUE"""),"")</f>
        <v/>
      </c>
    </row>
    <row r="6956">
      <c r="A6956" s="16" t="s">
        <v>87</v>
      </c>
      <c r="E6956" s="16" t="str">
        <f>IFERROR(__xludf.DUMMYFUNCTION("""COMPUTED_VALUE"""),"")</f>
        <v/>
      </c>
      <c r="G6956" s="18"/>
      <c r="H6956" s="16" t="s">
        <v>87</v>
      </c>
      <c r="I6956" s="16" t="s">
        <v>87</v>
      </c>
      <c r="J6956" s="19"/>
      <c r="L6956" s="16" t="str">
        <f>IFERROR(__xludf.DUMMYFUNCTION("""COMPUTED_VALUE"""),"")</f>
        <v/>
      </c>
      <c r="M6956" s="16" t="str">
        <f>IFERROR(__xludf.DUMMYFUNCTION("""COMPUTED_VALUE"""),"")</f>
        <v/>
      </c>
      <c r="U6956" s="16" t="s">
        <v>87</v>
      </c>
      <c r="V6956" s="16" t="str">
        <f>IFERROR(__xludf.DUMMYFUNCTION("""COMPUTED_VALUE"""),"")</f>
        <v/>
      </c>
      <c r="W6956" s="16" t="str">
        <f>IFERROR(__xludf.DUMMYFUNCTION("""COMPUTED_VALUE"""),"")</f>
        <v/>
      </c>
      <c r="X6956" s="16" t="str">
        <f>IFERROR(__xludf.DUMMYFUNCTION("""COMPUTED_VALUE"""),"")</f>
        <v/>
      </c>
      <c r="AC6956" s="16" t="str">
        <f>IFERROR(__xludf.DUMMYFUNCTION("""COMPUTED_VALUE"""),"")</f>
        <v/>
      </c>
    </row>
    <row r="6957">
      <c r="A6957" s="16" t="s">
        <v>87</v>
      </c>
      <c r="E6957" s="16" t="str">
        <f>IFERROR(__xludf.DUMMYFUNCTION("""COMPUTED_VALUE"""),"")</f>
        <v/>
      </c>
      <c r="G6957" s="18"/>
      <c r="H6957" s="16" t="s">
        <v>87</v>
      </c>
      <c r="I6957" s="16" t="s">
        <v>87</v>
      </c>
      <c r="J6957" s="19"/>
      <c r="L6957" s="16" t="str">
        <f>IFERROR(__xludf.DUMMYFUNCTION("""COMPUTED_VALUE"""),"")</f>
        <v/>
      </c>
      <c r="M6957" s="16" t="str">
        <f>IFERROR(__xludf.DUMMYFUNCTION("""COMPUTED_VALUE"""),"")</f>
        <v/>
      </c>
      <c r="U6957" s="16" t="s">
        <v>87</v>
      </c>
      <c r="V6957" s="16" t="str">
        <f>IFERROR(__xludf.DUMMYFUNCTION("""COMPUTED_VALUE"""),"")</f>
        <v/>
      </c>
      <c r="W6957" s="16" t="str">
        <f>IFERROR(__xludf.DUMMYFUNCTION("""COMPUTED_VALUE"""),"")</f>
        <v/>
      </c>
      <c r="X6957" s="16" t="str">
        <f>IFERROR(__xludf.DUMMYFUNCTION("""COMPUTED_VALUE"""),"")</f>
        <v/>
      </c>
      <c r="AC6957" s="16" t="str">
        <f>IFERROR(__xludf.DUMMYFUNCTION("""COMPUTED_VALUE"""),"")</f>
        <v/>
      </c>
    </row>
    <row r="6958">
      <c r="A6958" s="16" t="s">
        <v>87</v>
      </c>
      <c r="E6958" s="16" t="str">
        <f>IFERROR(__xludf.DUMMYFUNCTION("""COMPUTED_VALUE"""),"")</f>
        <v/>
      </c>
      <c r="G6958" s="18"/>
      <c r="H6958" s="16" t="s">
        <v>87</v>
      </c>
      <c r="I6958" s="16" t="s">
        <v>87</v>
      </c>
      <c r="J6958" s="19"/>
      <c r="L6958" s="16" t="str">
        <f>IFERROR(__xludf.DUMMYFUNCTION("""COMPUTED_VALUE"""),"")</f>
        <v/>
      </c>
      <c r="M6958" s="16" t="str">
        <f>IFERROR(__xludf.DUMMYFUNCTION("""COMPUTED_VALUE"""),"")</f>
        <v/>
      </c>
      <c r="U6958" s="16" t="s">
        <v>87</v>
      </c>
      <c r="V6958" s="16" t="str">
        <f>IFERROR(__xludf.DUMMYFUNCTION("""COMPUTED_VALUE"""),"")</f>
        <v/>
      </c>
      <c r="W6958" s="16" t="str">
        <f>IFERROR(__xludf.DUMMYFUNCTION("""COMPUTED_VALUE"""),"")</f>
        <v/>
      </c>
      <c r="X6958" s="16" t="str">
        <f>IFERROR(__xludf.DUMMYFUNCTION("""COMPUTED_VALUE"""),"")</f>
        <v/>
      </c>
      <c r="AC6958" s="16" t="str">
        <f>IFERROR(__xludf.DUMMYFUNCTION("""COMPUTED_VALUE"""),"")</f>
        <v/>
      </c>
    </row>
    <row r="6959">
      <c r="A6959" s="16" t="s">
        <v>87</v>
      </c>
      <c r="E6959" s="16" t="str">
        <f>IFERROR(__xludf.DUMMYFUNCTION("""COMPUTED_VALUE"""),"")</f>
        <v/>
      </c>
      <c r="G6959" s="18"/>
      <c r="H6959" s="16" t="s">
        <v>87</v>
      </c>
      <c r="I6959" s="16" t="s">
        <v>87</v>
      </c>
      <c r="J6959" s="19"/>
      <c r="L6959" s="16" t="str">
        <f>IFERROR(__xludf.DUMMYFUNCTION("""COMPUTED_VALUE"""),"")</f>
        <v/>
      </c>
      <c r="M6959" s="16" t="str">
        <f>IFERROR(__xludf.DUMMYFUNCTION("""COMPUTED_VALUE"""),"")</f>
        <v/>
      </c>
      <c r="U6959" s="16" t="s">
        <v>87</v>
      </c>
      <c r="V6959" s="16" t="str">
        <f>IFERROR(__xludf.DUMMYFUNCTION("""COMPUTED_VALUE"""),"")</f>
        <v/>
      </c>
      <c r="W6959" s="16" t="str">
        <f>IFERROR(__xludf.DUMMYFUNCTION("""COMPUTED_VALUE"""),"")</f>
        <v/>
      </c>
      <c r="X6959" s="16" t="str">
        <f>IFERROR(__xludf.DUMMYFUNCTION("""COMPUTED_VALUE"""),"")</f>
        <v/>
      </c>
      <c r="AC6959" s="16" t="str">
        <f>IFERROR(__xludf.DUMMYFUNCTION("""COMPUTED_VALUE"""),"")</f>
        <v/>
      </c>
    </row>
    <row r="6960">
      <c r="A6960" s="16" t="s">
        <v>87</v>
      </c>
      <c r="E6960" s="16" t="str">
        <f>IFERROR(__xludf.DUMMYFUNCTION("""COMPUTED_VALUE"""),"")</f>
        <v/>
      </c>
      <c r="G6960" s="18"/>
      <c r="H6960" s="16" t="s">
        <v>87</v>
      </c>
      <c r="I6960" s="16" t="s">
        <v>87</v>
      </c>
      <c r="J6960" s="19"/>
      <c r="L6960" s="16" t="str">
        <f>IFERROR(__xludf.DUMMYFUNCTION("""COMPUTED_VALUE"""),"")</f>
        <v/>
      </c>
      <c r="M6960" s="16" t="str">
        <f>IFERROR(__xludf.DUMMYFUNCTION("""COMPUTED_VALUE"""),"")</f>
        <v/>
      </c>
      <c r="U6960" s="16" t="s">
        <v>87</v>
      </c>
      <c r="V6960" s="16" t="str">
        <f>IFERROR(__xludf.DUMMYFUNCTION("""COMPUTED_VALUE"""),"")</f>
        <v/>
      </c>
      <c r="W6960" s="16" t="str">
        <f>IFERROR(__xludf.DUMMYFUNCTION("""COMPUTED_VALUE"""),"")</f>
        <v/>
      </c>
      <c r="X6960" s="16" t="str">
        <f>IFERROR(__xludf.DUMMYFUNCTION("""COMPUTED_VALUE"""),"")</f>
        <v/>
      </c>
      <c r="AC6960" s="16" t="str">
        <f>IFERROR(__xludf.DUMMYFUNCTION("""COMPUTED_VALUE"""),"")</f>
        <v/>
      </c>
    </row>
    <row r="6961">
      <c r="A6961" s="16" t="s">
        <v>87</v>
      </c>
      <c r="E6961" s="16" t="str">
        <f>IFERROR(__xludf.DUMMYFUNCTION("""COMPUTED_VALUE"""),"")</f>
        <v/>
      </c>
      <c r="G6961" s="18"/>
      <c r="H6961" s="16" t="s">
        <v>87</v>
      </c>
      <c r="I6961" s="16" t="s">
        <v>87</v>
      </c>
      <c r="J6961" s="19"/>
      <c r="L6961" s="16" t="str">
        <f>IFERROR(__xludf.DUMMYFUNCTION("""COMPUTED_VALUE"""),"")</f>
        <v/>
      </c>
      <c r="M6961" s="16" t="str">
        <f>IFERROR(__xludf.DUMMYFUNCTION("""COMPUTED_VALUE"""),"")</f>
        <v/>
      </c>
      <c r="U6961" s="16" t="s">
        <v>87</v>
      </c>
      <c r="V6961" s="16" t="str">
        <f>IFERROR(__xludf.DUMMYFUNCTION("""COMPUTED_VALUE"""),"")</f>
        <v/>
      </c>
      <c r="W6961" s="16" t="str">
        <f>IFERROR(__xludf.DUMMYFUNCTION("""COMPUTED_VALUE"""),"")</f>
        <v/>
      </c>
      <c r="X6961" s="16" t="str">
        <f>IFERROR(__xludf.DUMMYFUNCTION("""COMPUTED_VALUE"""),"")</f>
        <v/>
      </c>
      <c r="AC6961" s="16" t="str">
        <f>IFERROR(__xludf.DUMMYFUNCTION("""COMPUTED_VALUE"""),"")</f>
        <v/>
      </c>
    </row>
    <row r="6962">
      <c r="A6962" s="16" t="s">
        <v>87</v>
      </c>
      <c r="E6962" s="16" t="str">
        <f>IFERROR(__xludf.DUMMYFUNCTION("""COMPUTED_VALUE"""),"")</f>
        <v/>
      </c>
      <c r="G6962" s="18"/>
      <c r="H6962" s="16" t="s">
        <v>87</v>
      </c>
      <c r="I6962" s="16" t="s">
        <v>87</v>
      </c>
      <c r="J6962" s="19"/>
      <c r="L6962" s="16" t="str">
        <f>IFERROR(__xludf.DUMMYFUNCTION("""COMPUTED_VALUE"""),"")</f>
        <v/>
      </c>
      <c r="M6962" s="16" t="str">
        <f>IFERROR(__xludf.DUMMYFUNCTION("""COMPUTED_VALUE"""),"")</f>
        <v/>
      </c>
      <c r="U6962" s="16" t="s">
        <v>87</v>
      </c>
      <c r="V6962" s="16" t="str">
        <f>IFERROR(__xludf.DUMMYFUNCTION("""COMPUTED_VALUE"""),"")</f>
        <v/>
      </c>
      <c r="W6962" s="16" t="str">
        <f>IFERROR(__xludf.DUMMYFUNCTION("""COMPUTED_VALUE"""),"")</f>
        <v/>
      </c>
      <c r="X6962" s="16" t="str">
        <f>IFERROR(__xludf.DUMMYFUNCTION("""COMPUTED_VALUE"""),"")</f>
        <v/>
      </c>
      <c r="AC6962" s="16" t="str">
        <f>IFERROR(__xludf.DUMMYFUNCTION("""COMPUTED_VALUE"""),"")</f>
        <v/>
      </c>
    </row>
    <row r="6963">
      <c r="A6963" s="16" t="s">
        <v>87</v>
      </c>
      <c r="E6963" s="16" t="str">
        <f>IFERROR(__xludf.DUMMYFUNCTION("""COMPUTED_VALUE"""),"")</f>
        <v/>
      </c>
      <c r="G6963" s="18"/>
      <c r="H6963" s="16" t="s">
        <v>87</v>
      </c>
      <c r="I6963" s="16" t="s">
        <v>87</v>
      </c>
      <c r="J6963" s="19"/>
      <c r="L6963" s="16" t="str">
        <f>IFERROR(__xludf.DUMMYFUNCTION("""COMPUTED_VALUE"""),"")</f>
        <v/>
      </c>
      <c r="M6963" s="16" t="str">
        <f>IFERROR(__xludf.DUMMYFUNCTION("""COMPUTED_VALUE"""),"")</f>
        <v/>
      </c>
      <c r="U6963" s="16" t="s">
        <v>87</v>
      </c>
      <c r="V6963" s="16" t="str">
        <f>IFERROR(__xludf.DUMMYFUNCTION("""COMPUTED_VALUE"""),"")</f>
        <v/>
      </c>
      <c r="W6963" s="16" t="str">
        <f>IFERROR(__xludf.DUMMYFUNCTION("""COMPUTED_VALUE"""),"")</f>
        <v/>
      </c>
      <c r="X6963" s="16" t="str">
        <f>IFERROR(__xludf.DUMMYFUNCTION("""COMPUTED_VALUE"""),"")</f>
        <v/>
      </c>
      <c r="AC6963" s="16" t="str">
        <f>IFERROR(__xludf.DUMMYFUNCTION("""COMPUTED_VALUE"""),"")</f>
        <v/>
      </c>
    </row>
    <row r="6964">
      <c r="A6964" s="16" t="s">
        <v>87</v>
      </c>
      <c r="E6964" s="16" t="str">
        <f>IFERROR(__xludf.DUMMYFUNCTION("""COMPUTED_VALUE"""),"")</f>
        <v/>
      </c>
      <c r="G6964" s="18"/>
      <c r="H6964" s="16" t="s">
        <v>87</v>
      </c>
      <c r="I6964" s="16" t="s">
        <v>87</v>
      </c>
      <c r="J6964" s="19"/>
      <c r="L6964" s="16" t="str">
        <f>IFERROR(__xludf.DUMMYFUNCTION("""COMPUTED_VALUE"""),"")</f>
        <v/>
      </c>
      <c r="M6964" s="16" t="str">
        <f>IFERROR(__xludf.DUMMYFUNCTION("""COMPUTED_VALUE"""),"")</f>
        <v/>
      </c>
      <c r="U6964" s="16" t="s">
        <v>87</v>
      </c>
      <c r="V6964" s="16" t="str">
        <f>IFERROR(__xludf.DUMMYFUNCTION("""COMPUTED_VALUE"""),"")</f>
        <v/>
      </c>
      <c r="W6964" s="16" t="str">
        <f>IFERROR(__xludf.DUMMYFUNCTION("""COMPUTED_VALUE"""),"")</f>
        <v/>
      </c>
      <c r="X6964" s="16" t="str">
        <f>IFERROR(__xludf.DUMMYFUNCTION("""COMPUTED_VALUE"""),"")</f>
        <v/>
      </c>
      <c r="AC6964" s="16" t="str">
        <f>IFERROR(__xludf.DUMMYFUNCTION("""COMPUTED_VALUE"""),"")</f>
        <v/>
      </c>
    </row>
    <row r="6965">
      <c r="A6965" s="16" t="s">
        <v>87</v>
      </c>
      <c r="E6965" s="16" t="str">
        <f>IFERROR(__xludf.DUMMYFUNCTION("""COMPUTED_VALUE"""),"")</f>
        <v/>
      </c>
      <c r="G6965" s="18"/>
      <c r="H6965" s="16" t="s">
        <v>87</v>
      </c>
      <c r="I6965" s="16" t="s">
        <v>87</v>
      </c>
      <c r="J6965" s="19"/>
      <c r="L6965" s="16" t="str">
        <f>IFERROR(__xludf.DUMMYFUNCTION("""COMPUTED_VALUE"""),"")</f>
        <v/>
      </c>
      <c r="M6965" s="16" t="str">
        <f>IFERROR(__xludf.DUMMYFUNCTION("""COMPUTED_VALUE"""),"")</f>
        <v/>
      </c>
      <c r="U6965" s="16" t="s">
        <v>87</v>
      </c>
      <c r="V6965" s="16" t="str">
        <f>IFERROR(__xludf.DUMMYFUNCTION("""COMPUTED_VALUE"""),"")</f>
        <v/>
      </c>
      <c r="W6965" s="16" t="str">
        <f>IFERROR(__xludf.DUMMYFUNCTION("""COMPUTED_VALUE"""),"")</f>
        <v/>
      </c>
      <c r="X6965" s="16" t="str">
        <f>IFERROR(__xludf.DUMMYFUNCTION("""COMPUTED_VALUE"""),"")</f>
        <v/>
      </c>
      <c r="AC6965" s="16" t="str">
        <f>IFERROR(__xludf.DUMMYFUNCTION("""COMPUTED_VALUE"""),"")</f>
        <v/>
      </c>
    </row>
    <row r="6966">
      <c r="A6966" s="16" t="s">
        <v>87</v>
      </c>
      <c r="E6966" s="16" t="str">
        <f>IFERROR(__xludf.DUMMYFUNCTION("""COMPUTED_VALUE"""),"")</f>
        <v/>
      </c>
      <c r="G6966" s="18"/>
      <c r="H6966" s="16" t="s">
        <v>87</v>
      </c>
      <c r="I6966" s="16" t="s">
        <v>87</v>
      </c>
      <c r="J6966" s="19"/>
      <c r="L6966" s="16" t="str">
        <f>IFERROR(__xludf.DUMMYFUNCTION("""COMPUTED_VALUE"""),"")</f>
        <v/>
      </c>
      <c r="M6966" s="16" t="str">
        <f>IFERROR(__xludf.DUMMYFUNCTION("""COMPUTED_VALUE"""),"")</f>
        <v/>
      </c>
      <c r="U6966" s="16" t="s">
        <v>87</v>
      </c>
      <c r="V6966" s="16" t="str">
        <f>IFERROR(__xludf.DUMMYFUNCTION("""COMPUTED_VALUE"""),"")</f>
        <v/>
      </c>
      <c r="W6966" s="16" t="str">
        <f>IFERROR(__xludf.DUMMYFUNCTION("""COMPUTED_VALUE"""),"")</f>
        <v/>
      </c>
      <c r="X6966" s="16" t="str">
        <f>IFERROR(__xludf.DUMMYFUNCTION("""COMPUTED_VALUE"""),"")</f>
        <v/>
      </c>
      <c r="AC6966" s="16" t="str">
        <f>IFERROR(__xludf.DUMMYFUNCTION("""COMPUTED_VALUE"""),"")</f>
        <v/>
      </c>
    </row>
    <row r="6967">
      <c r="A6967" s="16" t="s">
        <v>87</v>
      </c>
      <c r="E6967" s="16" t="str">
        <f>IFERROR(__xludf.DUMMYFUNCTION("""COMPUTED_VALUE"""),"")</f>
        <v/>
      </c>
      <c r="G6967" s="18"/>
      <c r="H6967" s="16" t="s">
        <v>87</v>
      </c>
      <c r="I6967" s="16" t="s">
        <v>87</v>
      </c>
      <c r="J6967" s="19"/>
      <c r="L6967" s="16" t="str">
        <f>IFERROR(__xludf.DUMMYFUNCTION("""COMPUTED_VALUE"""),"")</f>
        <v/>
      </c>
      <c r="M6967" s="16" t="str">
        <f>IFERROR(__xludf.DUMMYFUNCTION("""COMPUTED_VALUE"""),"")</f>
        <v/>
      </c>
      <c r="U6967" s="16" t="s">
        <v>87</v>
      </c>
      <c r="V6967" s="16" t="str">
        <f>IFERROR(__xludf.DUMMYFUNCTION("""COMPUTED_VALUE"""),"")</f>
        <v/>
      </c>
      <c r="W6967" s="16" t="str">
        <f>IFERROR(__xludf.DUMMYFUNCTION("""COMPUTED_VALUE"""),"")</f>
        <v/>
      </c>
      <c r="X6967" s="16" t="str">
        <f>IFERROR(__xludf.DUMMYFUNCTION("""COMPUTED_VALUE"""),"")</f>
        <v/>
      </c>
      <c r="AC6967" s="16" t="str">
        <f>IFERROR(__xludf.DUMMYFUNCTION("""COMPUTED_VALUE"""),"")</f>
        <v/>
      </c>
    </row>
    <row r="6968">
      <c r="A6968" s="16" t="s">
        <v>87</v>
      </c>
      <c r="E6968" s="16" t="str">
        <f>IFERROR(__xludf.DUMMYFUNCTION("""COMPUTED_VALUE"""),"")</f>
        <v/>
      </c>
      <c r="G6968" s="18"/>
      <c r="H6968" s="16" t="s">
        <v>87</v>
      </c>
      <c r="I6968" s="16" t="s">
        <v>87</v>
      </c>
      <c r="J6968" s="19"/>
      <c r="L6968" s="16" t="str">
        <f>IFERROR(__xludf.DUMMYFUNCTION("""COMPUTED_VALUE"""),"")</f>
        <v/>
      </c>
      <c r="M6968" s="16" t="str">
        <f>IFERROR(__xludf.DUMMYFUNCTION("""COMPUTED_VALUE"""),"")</f>
        <v/>
      </c>
      <c r="U6968" s="16" t="s">
        <v>87</v>
      </c>
      <c r="V6968" s="16" t="str">
        <f>IFERROR(__xludf.DUMMYFUNCTION("""COMPUTED_VALUE"""),"")</f>
        <v/>
      </c>
      <c r="W6968" s="16" t="str">
        <f>IFERROR(__xludf.DUMMYFUNCTION("""COMPUTED_VALUE"""),"")</f>
        <v/>
      </c>
      <c r="X6968" s="16" t="str">
        <f>IFERROR(__xludf.DUMMYFUNCTION("""COMPUTED_VALUE"""),"")</f>
        <v/>
      </c>
      <c r="AC6968" s="16" t="str">
        <f>IFERROR(__xludf.DUMMYFUNCTION("""COMPUTED_VALUE"""),"")</f>
        <v/>
      </c>
    </row>
    <row r="6969">
      <c r="A6969" s="16" t="s">
        <v>87</v>
      </c>
      <c r="E6969" s="16" t="str">
        <f>IFERROR(__xludf.DUMMYFUNCTION("""COMPUTED_VALUE"""),"")</f>
        <v/>
      </c>
      <c r="G6969" s="18"/>
      <c r="H6969" s="16" t="s">
        <v>87</v>
      </c>
      <c r="I6969" s="16" t="s">
        <v>87</v>
      </c>
      <c r="J6969" s="19"/>
      <c r="L6969" s="16" t="str">
        <f>IFERROR(__xludf.DUMMYFUNCTION("""COMPUTED_VALUE"""),"")</f>
        <v/>
      </c>
      <c r="M6969" s="16" t="str">
        <f>IFERROR(__xludf.DUMMYFUNCTION("""COMPUTED_VALUE"""),"")</f>
        <v/>
      </c>
      <c r="U6969" s="16" t="s">
        <v>87</v>
      </c>
      <c r="V6969" s="16" t="str">
        <f>IFERROR(__xludf.DUMMYFUNCTION("""COMPUTED_VALUE"""),"")</f>
        <v/>
      </c>
      <c r="W6969" s="16" t="str">
        <f>IFERROR(__xludf.DUMMYFUNCTION("""COMPUTED_VALUE"""),"")</f>
        <v/>
      </c>
      <c r="X6969" s="16" t="str">
        <f>IFERROR(__xludf.DUMMYFUNCTION("""COMPUTED_VALUE"""),"")</f>
        <v/>
      </c>
      <c r="AC6969" s="16" t="str">
        <f>IFERROR(__xludf.DUMMYFUNCTION("""COMPUTED_VALUE"""),"")</f>
        <v/>
      </c>
    </row>
    <row r="6970">
      <c r="A6970" s="16" t="s">
        <v>87</v>
      </c>
      <c r="E6970" s="16" t="str">
        <f>IFERROR(__xludf.DUMMYFUNCTION("""COMPUTED_VALUE"""),"")</f>
        <v/>
      </c>
      <c r="G6970" s="18"/>
      <c r="H6970" s="16" t="s">
        <v>87</v>
      </c>
      <c r="I6970" s="16" t="s">
        <v>87</v>
      </c>
      <c r="J6970" s="19"/>
      <c r="L6970" s="16" t="str">
        <f>IFERROR(__xludf.DUMMYFUNCTION("""COMPUTED_VALUE"""),"")</f>
        <v/>
      </c>
      <c r="M6970" s="16" t="str">
        <f>IFERROR(__xludf.DUMMYFUNCTION("""COMPUTED_VALUE"""),"")</f>
        <v/>
      </c>
      <c r="U6970" s="16" t="s">
        <v>87</v>
      </c>
      <c r="V6970" s="16" t="str">
        <f>IFERROR(__xludf.DUMMYFUNCTION("""COMPUTED_VALUE"""),"")</f>
        <v/>
      </c>
      <c r="W6970" s="16" t="str">
        <f>IFERROR(__xludf.DUMMYFUNCTION("""COMPUTED_VALUE"""),"")</f>
        <v/>
      </c>
      <c r="X6970" s="16" t="str">
        <f>IFERROR(__xludf.DUMMYFUNCTION("""COMPUTED_VALUE"""),"")</f>
        <v/>
      </c>
      <c r="AC6970" s="16" t="str">
        <f>IFERROR(__xludf.DUMMYFUNCTION("""COMPUTED_VALUE"""),"")</f>
        <v/>
      </c>
    </row>
    <row r="6971">
      <c r="A6971" s="16" t="s">
        <v>87</v>
      </c>
      <c r="E6971" s="16" t="str">
        <f>IFERROR(__xludf.DUMMYFUNCTION("""COMPUTED_VALUE"""),"")</f>
        <v/>
      </c>
      <c r="G6971" s="18"/>
      <c r="H6971" s="16" t="s">
        <v>87</v>
      </c>
      <c r="I6971" s="16" t="s">
        <v>87</v>
      </c>
      <c r="J6971" s="19"/>
      <c r="L6971" s="16" t="str">
        <f>IFERROR(__xludf.DUMMYFUNCTION("""COMPUTED_VALUE"""),"")</f>
        <v/>
      </c>
      <c r="M6971" s="16" t="str">
        <f>IFERROR(__xludf.DUMMYFUNCTION("""COMPUTED_VALUE"""),"")</f>
        <v/>
      </c>
      <c r="U6971" s="16" t="s">
        <v>87</v>
      </c>
      <c r="V6971" s="16" t="str">
        <f>IFERROR(__xludf.DUMMYFUNCTION("""COMPUTED_VALUE"""),"")</f>
        <v/>
      </c>
      <c r="W6971" s="16" t="str">
        <f>IFERROR(__xludf.DUMMYFUNCTION("""COMPUTED_VALUE"""),"")</f>
        <v/>
      </c>
      <c r="X6971" s="16" t="str">
        <f>IFERROR(__xludf.DUMMYFUNCTION("""COMPUTED_VALUE"""),"")</f>
        <v/>
      </c>
      <c r="AC6971" s="16" t="str">
        <f>IFERROR(__xludf.DUMMYFUNCTION("""COMPUTED_VALUE"""),"")</f>
        <v/>
      </c>
    </row>
    <row r="6972">
      <c r="A6972" s="16" t="s">
        <v>87</v>
      </c>
      <c r="E6972" s="16" t="str">
        <f>IFERROR(__xludf.DUMMYFUNCTION("""COMPUTED_VALUE"""),"")</f>
        <v/>
      </c>
      <c r="G6972" s="18"/>
      <c r="H6972" s="16" t="s">
        <v>87</v>
      </c>
      <c r="I6972" s="16" t="s">
        <v>87</v>
      </c>
      <c r="J6972" s="19"/>
      <c r="L6972" s="16" t="str">
        <f>IFERROR(__xludf.DUMMYFUNCTION("""COMPUTED_VALUE"""),"")</f>
        <v/>
      </c>
      <c r="M6972" s="16" t="str">
        <f>IFERROR(__xludf.DUMMYFUNCTION("""COMPUTED_VALUE"""),"")</f>
        <v/>
      </c>
      <c r="U6972" s="16" t="s">
        <v>87</v>
      </c>
      <c r="V6972" s="16" t="str">
        <f>IFERROR(__xludf.DUMMYFUNCTION("""COMPUTED_VALUE"""),"")</f>
        <v/>
      </c>
      <c r="W6972" s="16" t="str">
        <f>IFERROR(__xludf.DUMMYFUNCTION("""COMPUTED_VALUE"""),"")</f>
        <v/>
      </c>
      <c r="X6972" s="16" t="str">
        <f>IFERROR(__xludf.DUMMYFUNCTION("""COMPUTED_VALUE"""),"")</f>
        <v/>
      </c>
      <c r="AC6972" s="16" t="str">
        <f>IFERROR(__xludf.DUMMYFUNCTION("""COMPUTED_VALUE"""),"")</f>
        <v/>
      </c>
    </row>
    <row r="6973">
      <c r="A6973" s="16" t="s">
        <v>87</v>
      </c>
      <c r="E6973" s="16" t="str">
        <f>IFERROR(__xludf.DUMMYFUNCTION("""COMPUTED_VALUE"""),"")</f>
        <v/>
      </c>
      <c r="G6973" s="18"/>
      <c r="H6973" s="16" t="s">
        <v>87</v>
      </c>
      <c r="I6973" s="16" t="s">
        <v>87</v>
      </c>
      <c r="J6973" s="19"/>
      <c r="L6973" s="16" t="str">
        <f>IFERROR(__xludf.DUMMYFUNCTION("""COMPUTED_VALUE"""),"")</f>
        <v/>
      </c>
      <c r="M6973" s="16" t="str">
        <f>IFERROR(__xludf.DUMMYFUNCTION("""COMPUTED_VALUE"""),"")</f>
        <v/>
      </c>
      <c r="U6973" s="16" t="s">
        <v>87</v>
      </c>
      <c r="V6973" s="16" t="str">
        <f>IFERROR(__xludf.DUMMYFUNCTION("""COMPUTED_VALUE"""),"")</f>
        <v/>
      </c>
      <c r="W6973" s="16" t="str">
        <f>IFERROR(__xludf.DUMMYFUNCTION("""COMPUTED_VALUE"""),"")</f>
        <v/>
      </c>
      <c r="X6973" s="16" t="str">
        <f>IFERROR(__xludf.DUMMYFUNCTION("""COMPUTED_VALUE"""),"")</f>
        <v/>
      </c>
      <c r="AC6973" s="16" t="str">
        <f>IFERROR(__xludf.DUMMYFUNCTION("""COMPUTED_VALUE"""),"")</f>
        <v/>
      </c>
    </row>
    <row r="6974">
      <c r="A6974" s="16" t="s">
        <v>87</v>
      </c>
      <c r="E6974" s="16" t="str">
        <f>IFERROR(__xludf.DUMMYFUNCTION("""COMPUTED_VALUE"""),"")</f>
        <v/>
      </c>
      <c r="G6974" s="18"/>
      <c r="H6974" s="16" t="s">
        <v>87</v>
      </c>
      <c r="I6974" s="16" t="s">
        <v>87</v>
      </c>
      <c r="J6974" s="19"/>
      <c r="L6974" s="16" t="str">
        <f>IFERROR(__xludf.DUMMYFUNCTION("""COMPUTED_VALUE"""),"")</f>
        <v/>
      </c>
      <c r="M6974" s="16" t="str">
        <f>IFERROR(__xludf.DUMMYFUNCTION("""COMPUTED_VALUE"""),"")</f>
        <v/>
      </c>
      <c r="U6974" s="16" t="s">
        <v>87</v>
      </c>
      <c r="V6974" s="16" t="str">
        <f>IFERROR(__xludf.DUMMYFUNCTION("""COMPUTED_VALUE"""),"")</f>
        <v/>
      </c>
      <c r="W6974" s="16" t="str">
        <f>IFERROR(__xludf.DUMMYFUNCTION("""COMPUTED_VALUE"""),"")</f>
        <v/>
      </c>
      <c r="X6974" s="16" t="str">
        <f>IFERROR(__xludf.DUMMYFUNCTION("""COMPUTED_VALUE"""),"")</f>
        <v/>
      </c>
      <c r="AC6974" s="16" t="str">
        <f>IFERROR(__xludf.DUMMYFUNCTION("""COMPUTED_VALUE"""),"")</f>
        <v/>
      </c>
    </row>
    <row r="6975">
      <c r="A6975" s="16" t="s">
        <v>87</v>
      </c>
      <c r="E6975" s="16" t="str">
        <f>IFERROR(__xludf.DUMMYFUNCTION("""COMPUTED_VALUE"""),"")</f>
        <v/>
      </c>
      <c r="G6975" s="18"/>
      <c r="H6975" s="16" t="s">
        <v>87</v>
      </c>
      <c r="I6975" s="16" t="s">
        <v>87</v>
      </c>
      <c r="J6975" s="19"/>
      <c r="L6975" s="16" t="str">
        <f>IFERROR(__xludf.DUMMYFUNCTION("""COMPUTED_VALUE"""),"")</f>
        <v/>
      </c>
      <c r="M6975" s="16" t="str">
        <f>IFERROR(__xludf.DUMMYFUNCTION("""COMPUTED_VALUE"""),"")</f>
        <v/>
      </c>
      <c r="U6975" s="16" t="s">
        <v>87</v>
      </c>
      <c r="V6975" s="16" t="str">
        <f>IFERROR(__xludf.DUMMYFUNCTION("""COMPUTED_VALUE"""),"")</f>
        <v/>
      </c>
      <c r="W6975" s="16" t="str">
        <f>IFERROR(__xludf.DUMMYFUNCTION("""COMPUTED_VALUE"""),"")</f>
        <v/>
      </c>
      <c r="X6975" s="16" t="str">
        <f>IFERROR(__xludf.DUMMYFUNCTION("""COMPUTED_VALUE"""),"")</f>
        <v/>
      </c>
      <c r="AC6975" s="16" t="str">
        <f>IFERROR(__xludf.DUMMYFUNCTION("""COMPUTED_VALUE"""),"")</f>
        <v/>
      </c>
    </row>
    <row r="6976">
      <c r="A6976" s="16" t="s">
        <v>87</v>
      </c>
      <c r="E6976" s="16" t="str">
        <f>IFERROR(__xludf.DUMMYFUNCTION("""COMPUTED_VALUE"""),"")</f>
        <v/>
      </c>
      <c r="G6976" s="18"/>
      <c r="H6976" s="16" t="s">
        <v>87</v>
      </c>
      <c r="I6976" s="16" t="s">
        <v>87</v>
      </c>
      <c r="J6976" s="19"/>
      <c r="L6976" s="16" t="str">
        <f>IFERROR(__xludf.DUMMYFUNCTION("""COMPUTED_VALUE"""),"")</f>
        <v/>
      </c>
      <c r="M6976" s="16" t="str">
        <f>IFERROR(__xludf.DUMMYFUNCTION("""COMPUTED_VALUE"""),"")</f>
        <v/>
      </c>
      <c r="U6976" s="16" t="s">
        <v>87</v>
      </c>
      <c r="V6976" s="16" t="str">
        <f>IFERROR(__xludf.DUMMYFUNCTION("""COMPUTED_VALUE"""),"")</f>
        <v/>
      </c>
      <c r="W6976" s="16" t="str">
        <f>IFERROR(__xludf.DUMMYFUNCTION("""COMPUTED_VALUE"""),"")</f>
        <v/>
      </c>
      <c r="X6976" s="16" t="str">
        <f>IFERROR(__xludf.DUMMYFUNCTION("""COMPUTED_VALUE"""),"")</f>
        <v/>
      </c>
      <c r="AC6976" s="16" t="str">
        <f>IFERROR(__xludf.DUMMYFUNCTION("""COMPUTED_VALUE"""),"")</f>
        <v/>
      </c>
    </row>
    <row r="6977">
      <c r="A6977" s="16" t="s">
        <v>87</v>
      </c>
      <c r="E6977" s="16" t="str">
        <f>IFERROR(__xludf.DUMMYFUNCTION("""COMPUTED_VALUE"""),"")</f>
        <v/>
      </c>
      <c r="G6977" s="18"/>
      <c r="H6977" s="16" t="s">
        <v>87</v>
      </c>
      <c r="I6977" s="16" t="s">
        <v>87</v>
      </c>
      <c r="J6977" s="19"/>
      <c r="L6977" s="16" t="str">
        <f>IFERROR(__xludf.DUMMYFUNCTION("""COMPUTED_VALUE"""),"")</f>
        <v/>
      </c>
      <c r="M6977" s="16" t="str">
        <f>IFERROR(__xludf.DUMMYFUNCTION("""COMPUTED_VALUE"""),"")</f>
        <v/>
      </c>
      <c r="U6977" s="16" t="s">
        <v>87</v>
      </c>
      <c r="V6977" s="16" t="str">
        <f>IFERROR(__xludf.DUMMYFUNCTION("""COMPUTED_VALUE"""),"")</f>
        <v/>
      </c>
      <c r="W6977" s="16" t="str">
        <f>IFERROR(__xludf.DUMMYFUNCTION("""COMPUTED_VALUE"""),"")</f>
        <v/>
      </c>
      <c r="X6977" s="16" t="str">
        <f>IFERROR(__xludf.DUMMYFUNCTION("""COMPUTED_VALUE"""),"")</f>
        <v/>
      </c>
      <c r="AC6977" s="16" t="str">
        <f>IFERROR(__xludf.DUMMYFUNCTION("""COMPUTED_VALUE"""),"")</f>
        <v/>
      </c>
    </row>
    <row r="6978">
      <c r="A6978" s="16" t="s">
        <v>87</v>
      </c>
      <c r="E6978" s="16" t="str">
        <f>IFERROR(__xludf.DUMMYFUNCTION("""COMPUTED_VALUE"""),"")</f>
        <v/>
      </c>
      <c r="G6978" s="18"/>
      <c r="H6978" s="16" t="s">
        <v>87</v>
      </c>
      <c r="I6978" s="16" t="s">
        <v>87</v>
      </c>
      <c r="J6978" s="19"/>
      <c r="L6978" s="16" t="str">
        <f>IFERROR(__xludf.DUMMYFUNCTION("""COMPUTED_VALUE"""),"")</f>
        <v/>
      </c>
      <c r="M6978" s="16" t="str">
        <f>IFERROR(__xludf.DUMMYFUNCTION("""COMPUTED_VALUE"""),"")</f>
        <v/>
      </c>
      <c r="U6978" s="16" t="s">
        <v>87</v>
      </c>
      <c r="V6978" s="16" t="str">
        <f>IFERROR(__xludf.DUMMYFUNCTION("""COMPUTED_VALUE"""),"")</f>
        <v/>
      </c>
      <c r="W6978" s="16" t="str">
        <f>IFERROR(__xludf.DUMMYFUNCTION("""COMPUTED_VALUE"""),"")</f>
        <v/>
      </c>
      <c r="X6978" s="16" t="str">
        <f>IFERROR(__xludf.DUMMYFUNCTION("""COMPUTED_VALUE"""),"")</f>
        <v/>
      </c>
      <c r="AC6978" s="16" t="str">
        <f>IFERROR(__xludf.DUMMYFUNCTION("""COMPUTED_VALUE"""),"")</f>
        <v/>
      </c>
    </row>
    <row r="6979">
      <c r="A6979" s="16" t="s">
        <v>87</v>
      </c>
      <c r="E6979" s="16" t="str">
        <f>IFERROR(__xludf.DUMMYFUNCTION("""COMPUTED_VALUE"""),"")</f>
        <v/>
      </c>
      <c r="G6979" s="18"/>
      <c r="H6979" s="16" t="s">
        <v>87</v>
      </c>
      <c r="I6979" s="16" t="s">
        <v>87</v>
      </c>
      <c r="J6979" s="19"/>
      <c r="L6979" s="16" t="str">
        <f>IFERROR(__xludf.DUMMYFUNCTION("""COMPUTED_VALUE"""),"")</f>
        <v/>
      </c>
      <c r="M6979" s="16" t="str">
        <f>IFERROR(__xludf.DUMMYFUNCTION("""COMPUTED_VALUE"""),"")</f>
        <v/>
      </c>
      <c r="U6979" s="16" t="s">
        <v>87</v>
      </c>
      <c r="V6979" s="16" t="str">
        <f>IFERROR(__xludf.DUMMYFUNCTION("""COMPUTED_VALUE"""),"")</f>
        <v/>
      </c>
      <c r="W6979" s="16" t="str">
        <f>IFERROR(__xludf.DUMMYFUNCTION("""COMPUTED_VALUE"""),"")</f>
        <v/>
      </c>
      <c r="X6979" s="16" t="str">
        <f>IFERROR(__xludf.DUMMYFUNCTION("""COMPUTED_VALUE"""),"")</f>
        <v/>
      </c>
      <c r="AC6979" s="16" t="str">
        <f>IFERROR(__xludf.DUMMYFUNCTION("""COMPUTED_VALUE"""),"")</f>
        <v/>
      </c>
    </row>
    <row r="6980">
      <c r="A6980" s="16" t="s">
        <v>87</v>
      </c>
      <c r="E6980" s="16" t="str">
        <f>IFERROR(__xludf.DUMMYFUNCTION("""COMPUTED_VALUE"""),"")</f>
        <v/>
      </c>
      <c r="G6980" s="18"/>
      <c r="H6980" s="16" t="s">
        <v>87</v>
      </c>
      <c r="I6980" s="16" t="s">
        <v>87</v>
      </c>
      <c r="J6980" s="19"/>
      <c r="L6980" s="16" t="str">
        <f>IFERROR(__xludf.DUMMYFUNCTION("""COMPUTED_VALUE"""),"")</f>
        <v/>
      </c>
      <c r="M6980" s="16" t="str">
        <f>IFERROR(__xludf.DUMMYFUNCTION("""COMPUTED_VALUE"""),"")</f>
        <v/>
      </c>
      <c r="U6980" s="16" t="s">
        <v>87</v>
      </c>
      <c r="V6980" s="16" t="str">
        <f>IFERROR(__xludf.DUMMYFUNCTION("""COMPUTED_VALUE"""),"")</f>
        <v/>
      </c>
      <c r="W6980" s="16" t="str">
        <f>IFERROR(__xludf.DUMMYFUNCTION("""COMPUTED_VALUE"""),"")</f>
        <v/>
      </c>
      <c r="X6980" s="16" t="str">
        <f>IFERROR(__xludf.DUMMYFUNCTION("""COMPUTED_VALUE"""),"")</f>
        <v/>
      </c>
      <c r="AC6980" s="16" t="str">
        <f>IFERROR(__xludf.DUMMYFUNCTION("""COMPUTED_VALUE"""),"")</f>
        <v/>
      </c>
    </row>
    <row r="6981">
      <c r="A6981" s="16" t="s">
        <v>87</v>
      </c>
      <c r="E6981" s="16" t="str">
        <f>IFERROR(__xludf.DUMMYFUNCTION("""COMPUTED_VALUE"""),"")</f>
        <v/>
      </c>
      <c r="G6981" s="18"/>
      <c r="H6981" s="16" t="s">
        <v>87</v>
      </c>
      <c r="I6981" s="16" t="s">
        <v>87</v>
      </c>
      <c r="J6981" s="19"/>
      <c r="L6981" s="16" t="str">
        <f>IFERROR(__xludf.DUMMYFUNCTION("""COMPUTED_VALUE"""),"")</f>
        <v/>
      </c>
      <c r="M6981" s="16" t="str">
        <f>IFERROR(__xludf.DUMMYFUNCTION("""COMPUTED_VALUE"""),"")</f>
        <v/>
      </c>
      <c r="U6981" s="16" t="s">
        <v>87</v>
      </c>
      <c r="V6981" s="16" t="str">
        <f>IFERROR(__xludf.DUMMYFUNCTION("""COMPUTED_VALUE"""),"")</f>
        <v/>
      </c>
      <c r="W6981" s="16" t="str">
        <f>IFERROR(__xludf.DUMMYFUNCTION("""COMPUTED_VALUE"""),"")</f>
        <v/>
      </c>
      <c r="X6981" s="16" t="str">
        <f>IFERROR(__xludf.DUMMYFUNCTION("""COMPUTED_VALUE"""),"")</f>
        <v/>
      </c>
      <c r="AC6981" s="16" t="str">
        <f>IFERROR(__xludf.DUMMYFUNCTION("""COMPUTED_VALUE"""),"")</f>
        <v/>
      </c>
    </row>
    <row r="6982">
      <c r="A6982" s="16" t="s">
        <v>87</v>
      </c>
      <c r="E6982" s="16" t="str">
        <f>IFERROR(__xludf.DUMMYFUNCTION("""COMPUTED_VALUE"""),"")</f>
        <v/>
      </c>
      <c r="G6982" s="18"/>
      <c r="H6982" s="16" t="s">
        <v>87</v>
      </c>
      <c r="I6982" s="16" t="s">
        <v>87</v>
      </c>
      <c r="J6982" s="19"/>
      <c r="L6982" s="16" t="str">
        <f>IFERROR(__xludf.DUMMYFUNCTION("""COMPUTED_VALUE"""),"")</f>
        <v/>
      </c>
      <c r="M6982" s="16" t="str">
        <f>IFERROR(__xludf.DUMMYFUNCTION("""COMPUTED_VALUE"""),"")</f>
        <v/>
      </c>
      <c r="U6982" s="16" t="s">
        <v>87</v>
      </c>
      <c r="V6982" s="16" t="str">
        <f>IFERROR(__xludf.DUMMYFUNCTION("""COMPUTED_VALUE"""),"")</f>
        <v/>
      </c>
      <c r="W6982" s="16" t="str">
        <f>IFERROR(__xludf.DUMMYFUNCTION("""COMPUTED_VALUE"""),"")</f>
        <v/>
      </c>
      <c r="X6982" s="16" t="str">
        <f>IFERROR(__xludf.DUMMYFUNCTION("""COMPUTED_VALUE"""),"")</f>
        <v/>
      </c>
      <c r="AC6982" s="16" t="str">
        <f>IFERROR(__xludf.DUMMYFUNCTION("""COMPUTED_VALUE"""),"")</f>
        <v/>
      </c>
    </row>
    <row r="6983">
      <c r="A6983" s="16" t="s">
        <v>87</v>
      </c>
      <c r="E6983" s="16" t="str">
        <f>IFERROR(__xludf.DUMMYFUNCTION("""COMPUTED_VALUE"""),"")</f>
        <v/>
      </c>
      <c r="G6983" s="18"/>
      <c r="H6983" s="16" t="s">
        <v>87</v>
      </c>
      <c r="I6983" s="16" t="s">
        <v>87</v>
      </c>
      <c r="J6983" s="19"/>
      <c r="L6983" s="16" t="str">
        <f>IFERROR(__xludf.DUMMYFUNCTION("""COMPUTED_VALUE"""),"")</f>
        <v/>
      </c>
      <c r="M6983" s="16" t="str">
        <f>IFERROR(__xludf.DUMMYFUNCTION("""COMPUTED_VALUE"""),"")</f>
        <v/>
      </c>
      <c r="U6983" s="16" t="s">
        <v>87</v>
      </c>
      <c r="V6983" s="16" t="str">
        <f>IFERROR(__xludf.DUMMYFUNCTION("""COMPUTED_VALUE"""),"")</f>
        <v/>
      </c>
      <c r="W6983" s="16" t="str">
        <f>IFERROR(__xludf.DUMMYFUNCTION("""COMPUTED_VALUE"""),"")</f>
        <v/>
      </c>
      <c r="X6983" s="16" t="str">
        <f>IFERROR(__xludf.DUMMYFUNCTION("""COMPUTED_VALUE"""),"")</f>
        <v/>
      </c>
      <c r="AC6983" s="16" t="str">
        <f>IFERROR(__xludf.DUMMYFUNCTION("""COMPUTED_VALUE"""),"")</f>
        <v/>
      </c>
    </row>
    <row r="6984">
      <c r="A6984" s="16" t="s">
        <v>87</v>
      </c>
      <c r="E6984" s="16" t="str">
        <f>IFERROR(__xludf.DUMMYFUNCTION("""COMPUTED_VALUE"""),"")</f>
        <v/>
      </c>
      <c r="G6984" s="18"/>
      <c r="H6984" s="16" t="s">
        <v>87</v>
      </c>
      <c r="I6984" s="16" t="s">
        <v>87</v>
      </c>
      <c r="J6984" s="19"/>
      <c r="L6984" s="16" t="str">
        <f>IFERROR(__xludf.DUMMYFUNCTION("""COMPUTED_VALUE"""),"")</f>
        <v/>
      </c>
      <c r="M6984" s="16" t="str">
        <f>IFERROR(__xludf.DUMMYFUNCTION("""COMPUTED_VALUE"""),"")</f>
        <v/>
      </c>
      <c r="U6984" s="16" t="s">
        <v>87</v>
      </c>
      <c r="V6984" s="16" t="str">
        <f>IFERROR(__xludf.DUMMYFUNCTION("""COMPUTED_VALUE"""),"")</f>
        <v/>
      </c>
      <c r="W6984" s="16" t="str">
        <f>IFERROR(__xludf.DUMMYFUNCTION("""COMPUTED_VALUE"""),"")</f>
        <v/>
      </c>
      <c r="X6984" s="16" t="str">
        <f>IFERROR(__xludf.DUMMYFUNCTION("""COMPUTED_VALUE"""),"")</f>
        <v/>
      </c>
      <c r="AC6984" s="16" t="str">
        <f>IFERROR(__xludf.DUMMYFUNCTION("""COMPUTED_VALUE"""),"")</f>
        <v/>
      </c>
    </row>
    <row r="6985">
      <c r="A6985" s="16" t="s">
        <v>87</v>
      </c>
      <c r="E6985" s="16" t="str">
        <f>IFERROR(__xludf.DUMMYFUNCTION("""COMPUTED_VALUE"""),"")</f>
        <v/>
      </c>
      <c r="G6985" s="18"/>
      <c r="H6985" s="16" t="s">
        <v>87</v>
      </c>
      <c r="I6985" s="16" t="s">
        <v>87</v>
      </c>
      <c r="J6985" s="19"/>
      <c r="L6985" s="16" t="str">
        <f>IFERROR(__xludf.DUMMYFUNCTION("""COMPUTED_VALUE"""),"")</f>
        <v/>
      </c>
      <c r="M6985" s="16" t="str">
        <f>IFERROR(__xludf.DUMMYFUNCTION("""COMPUTED_VALUE"""),"")</f>
        <v/>
      </c>
      <c r="U6985" s="16" t="s">
        <v>87</v>
      </c>
      <c r="V6985" s="16" t="str">
        <f>IFERROR(__xludf.DUMMYFUNCTION("""COMPUTED_VALUE"""),"")</f>
        <v/>
      </c>
      <c r="W6985" s="16" t="str">
        <f>IFERROR(__xludf.DUMMYFUNCTION("""COMPUTED_VALUE"""),"")</f>
        <v/>
      </c>
      <c r="X6985" s="16" t="str">
        <f>IFERROR(__xludf.DUMMYFUNCTION("""COMPUTED_VALUE"""),"")</f>
        <v/>
      </c>
      <c r="AC6985" s="16" t="str">
        <f>IFERROR(__xludf.DUMMYFUNCTION("""COMPUTED_VALUE"""),"")</f>
        <v/>
      </c>
    </row>
    <row r="6986">
      <c r="A6986" s="16" t="s">
        <v>87</v>
      </c>
      <c r="E6986" s="16" t="str">
        <f>IFERROR(__xludf.DUMMYFUNCTION("""COMPUTED_VALUE"""),"")</f>
        <v/>
      </c>
      <c r="G6986" s="18"/>
      <c r="H6986" s="16" t="s">
        <v>87</v>
      </c>
      <c r="I6986" s="16" t="s">
        <v>87</v>
      </c>
      <c r="J6986" s="19"/>
      <c r="L6986" s="16" t="str">
        <f>IFERROR(__xludf.DUMMYFUNCTION("""COMPUTED_VALUE"""),"")</f>
        <v/>
      </c>
      <c r="M6986" s="16" t="str">
        <f>IFERROR(__xludf.DUMMYFUNCTION("""COMPUTED_VALUE"""),"")</f>
        <v/>
      </c>
      <c r="U6986" s="16" t="s">
        <v>87</v>
      </c>
      <c r="V6986" s="16" t="str">
        <f>IFERROR(__xludf.DUMMYFUNCTION("""COMPUTED_VALUE"""),"")</f>
        <v/>
      </c>
      <c r="W6986" s="16" t="str">
        <f>IFERROR(__xludf.DUMMYFUNCTION("""COMPUTED_VALUE"""),"")</f>
        <v/>
      </c>
      <c r="X6986" s="16" t="str">
        <f>IFERROR(__xludf.DUMMYFUNCTION("""COMPUTED_VALUE"""),"")</f>
        <v/>
      </c>
      <c r="AC6986" s="16" t="str">
        <f>IFERROR(__xludf.DUMMYFUNCTION("""COMPUTED_VALUE"""),"")</f>
        <v/>
      </c>
    </row>
    <row r="6987">
      <c r="A6987" s="16" t="s">
        <v>87</v>
      </c>
      <c r="E6987" s="16" t="str">
        <f>IFERROR(__xludf.DUMMYFUNCTION("""COMPUTED_VALUE"""),"")</f>
        <v/>
      </c>
      <c r="G6987" s="18"/>
      <c r="H6987" s="16" t="s">
        <v>87</v>
      </c>
      <c r="I6987" s="16" t="s">
        <v>87</v>
      </c>
      <c r="J6987" s="19"/>
      <c r="L6987" s="16" t="str">
        <f>IFERROR(__xludf.DUMMYFUNCTION("""COMPUTED_VALUE"""),"")</f>
        <v/>
      </c>
      <c r="M6987" s="16" t="str">
        <f>IFERROR(__xludf.DUMMYFUNCTION("""COMPUTED_VALUE"""),"")</f>
        <v/>
      </c>
      <c r="U6987" s="16" t="s">
        <v>87</v>
      </c>
      <c r="V6987" s="16" t="str">
        <f>IFERROR(__xludf.DUMMYFUNCTION("""COMPUTED_VALUE"""),"")</f>
        <v/>
      </c>
      <c r="W6987" s="16" t="str">
        <f>IFERROR(__xludf.DUMMYFUNCTION("""COMPUTED_VALUE"""),"")</f>
        <v/>
      </c>
      <c r="X6987" s="16" t="str">
        <f>IFERROR(__xludf.DUMMYFUNCTION("""COMPUTED_VALUE"""),"")</f>
        <v/>
      </c>
      <c r="AC6987" s="16" t="str">
        <f>IFERROR(__xludf.DUMMYFUNCTION("""COMPUTED_VALUE"""),"")</f>
        <v/>
      </c>
    </row>
    <row r="6988">
      <c r="A6988" s="16" t="s">
        <v>87</v>
      </c>
      <c r="E6988" s="16" t="str">
        <f>IFERROR(__xludf.DUMMYFUNCTION("""COMPUTED_VALUE"""),"")</f>
        <v/>
      </c>
      <c r="G6988" s="18"/>
      <c r="H6988" s="16" t="s">
        <v>87</v>
      </c>
      <c r="I6988" s="16" t="s">
        <v>87</v>
      </c>
      <c r="J6988" s="19"/>
      <c r="L6988" s="16" t="str">
        <f>IFERROR(__xludf.DUMMYFUNCTION("""COMPUTED_VALUE"""),"")</f>
        <v/>
      </c>
      <c r="M6988" s="16" t="str">
        <f>IFERROR(__xludf.DUMMYFUNCTION("""COMPUTED_VALUE"""),"")</f>
        <v/>
      </c>
      <c r="U6988" s="16" t="s">
        <v>87</v>
      </c>
      <c r="V6988" s="16" t="str">
        <f>IFERROR(__xludf.DUMMYFUNCTION("""COMPUTED_VALUE"""),"")</f>
        <v/>
      </c>
      <c r="W6988" s="16" t="str">
        <f>IFERROR(__xludf.DUMMYFUNCTION("""COMPUTED_VALUE"""),"")</f>
        <v/>
      </c>
      <c r="X6988" s="16" t="str">
        <f>IFERROR(__xludf.DUMMYFUNCTION("""COMPUTED_VALUE"""),"")</f>
        <v/>
      </c>
      <c r="AC6988" s="16" t="str">
        <f>IFERROR(__xludf.DUMMYFUNCTION("""COMPUTED_VALUE"""),"")</f>
        <v/>
      </c>
    </row>
    <row r="6989">
      <c r="A6989" s="16" t="s">
        <v>87</v>
      </c>
      <c r="E6989" s="16" t="str">
        <f>IFERROR(__xludf.DUMMYFUNCTION("""COMPUTED_VALUE"""),"")</f>
        <v/>
      </c>
      <c r="G6989" s="18"/>
      <c r="H6989" s="16" t="s">
        <v>87</v>
      </c>
      <c r="I6989" s="16" t="s">
        <v>87</v>
      </c>
      <c r="J6989" s="19"/>
      <c r="L6989" s="16" t="str">
        <f>IFERROR(__xludf.DUMMYFUNCTION("""COMPUTED_VALUE"""),"")</f>
        <v/>
      </c>
      <c r="M6989" s="16" t="str">
        <f>IFERROR(__xludf.DUMMYFUNCTION("""COMPUTED_VALUE"""),"")</f>
        <v/>
      </c>
      <c r="U6989" s="16" t="s">
        <v>87</v>
      </c>
      <c r="V6989" s="16" t="str">
        <f>IFERROR(__xludf.DUMMYFUNCTION("""COMPUTED_VALUE"""),"")</f>
        <v/>
      </c>
      <c r="W6989" s="16" t="str">
        <f>IFERROR(__xludf.DUMMYFUNCTION("""COMPUTED_VALUE"""),"")</f>
        <v/>
      </c>
      <c r="X6989" s="16" t="str">
        <f>IFERROR(__xludf.DUMMYFUNCTION("""COMPUTED_VALUE"""),"")</f>
        <v/>
      </c>
      <c r="AC6989" s="16" t="str">
        <f>IFERROR(__xludf.DUMMYFUNCTION("""COMPUTED_VALUE"""),"")</f>
        <v/>
      </c>
    </row>
    <row r="6990">
      <c r="A6990" s="16" t="s">
        <v>87</v>
      </c>
      <c r="E6990" s="16" t="str">
        <f>IFERROR(__xludf.DUMMYFUNCTION("""COMPUTED_VALUE"""),"")</f>
        <v/>
      </c>
      <c r="G6990" s="18"/>
      <c r="H6990" s="16" t="s">
        <v>87</v>
      </c>
      <c r="I6990" s="16" t="s">
        <v>87</v>
      </c>
      <c r="J6990" s="19"/>
      <c r="L6990" s="16" t="str">
        <f>IFERROR(__xludf.DUMMYFUNCTION("""COMPUTED_VALUE"""),"")</f>
        <v/>
      </c>
      <c r="M6990" s="16" t="str">
        <f>IFERROR(__xludf.DUMMYFUNCTION("""COMPUTED_VALUE"""),"")</f>
        <v/>
      </c>
      <c r="U6990" s="16" t="s">
        <v>87</v>
      </c>
      <c r="V6990" s="16" t="str">
        <f>IFERROR(__xludf.DUMMYFUNCTION("""COMPUTED_VALUE"""),"")</f>
        <v/>
      </c>
      <c r="W6990" s="16" t="str">
        <f>IFERROR(__xludf.DUMMYFUNCTION("""COMPUTED_VALUE"""),"")</f>
        <v/>
      </c>
      <c r="X6990" s="16" t="str">
        <f>IFERROR(__xludf.DUMMYFUNCTION("""COMPUTED_VALUE"""),"")</f>
        <v/>
      </c>
      <c r="AC6990" s="16" t="str">
        <f>IFERROR(__xludf.DUMMYFUNCTION("""COMPUTED_VALUE"""),"")</f>
        <v/>
      </c>
    </row>
    <row r="6991">
      <c r="A6991" s="16" t="s">
        <v>87</v>
      </c>
      <c r="E6991" s="16" t="str">
        <f>IFERROR(__xludf.DUMMYFUNCTION("""COMPUTED_VALUE"""),"")</f>
        <v/>
      </c>
      <c r="G6991" s="18"/>
      <c r="H6991" s="16" t="s">
        <v>87</v>
      </c>
      <c r="I6991" s="16" t="s">
        <v>87</v>
      </c>
      <c r="J6991" s="19"/>
      <c r="L6991" s="16" t="str">
        <f>IFERROR(__xludf.DUMMYFUNCTION("""COMPUTED_VALUE"""),"")</f>
        <v/>
      </c>
      <c r="M6991" s="16" t="str">
        <f>IFERROR(__xludf.DUMMYFUNCTION("""COMPUTED_VALUE"""),"")</f>
        <v/>
      </c>
      <c r="U6991" s="16" t="s">
        <v>87</v>
      </c>
      <c r="V6991" s="16" t="str">
        <f>IFERROR(__xludf.DUMMYFUNCTION("""COMPUTED_VALUE"""),"")</f>
        <v/>
      </c>
      <c r="W6991" s="16" t="str">
        <f>IFERROR(__xludf.DUMMYFUNCTION("""COMPUTED_VALUE"""),"")</f>
        <v/>
      </c>
      <c r="X6991" s="16" t="str">
        <f>IFERROR(__xludf.DUMMYFUNCTION("""COMPUTED_VALUE"""),"")</f>
        <v/>
      </c>
      <c r="AC6991" s="16" t="str">
        <f>IFERROR(__xludf.DUMMYFUNCTION("""COMPUTED_VALUE"""),"")</f>
        <v/>
      </c>
    </row>
    <row r="6992">
      <c r="A6992" s="16" t="s">
        <v>87</v>
      </c>
      <c r="E6992" s="16" t="str">
        <f>IFERROR(__xludf.DUMMYFUNCTION("""COMPUTED_VALUE"""),"")</f>
        <v/>
      </c>
      <c r="G6992" s="18"/>
      <c r="H6992" s="16" t="s">
        <v>87</v>
      </c>
      <c r="I6992" s="16" t="s">
        <v>87</v>
      </c>
      <c r="J6992" s="19"/>
      <c r="L6992" s="16" t="str">
        <f>IFERROR(__xludf.DUMMYFUNCTION("""COMPUTED_VALUE"""),"")</f>
        <v/>
      </c>
      <c r="M6992" s="16" t="str">
        <f>IFERROR(__xludf.DUMMYFUNCTION("""COMPUTED_VALUE"""),"")</f>
        <v/>
      </c>
      <c r="U6992" s="16" t="s">
        <v>87</v>
      </c>
      <c r="V6992" s="16" t="str">
        <f>IFERROR(__xludf.DUMMYFUNCTION("""COMPUTED_VALUE"""),"")</f>
        <v/>
      </c>
      <c r="W6992" s="16" t="str">
        <f>IFERROR(__xludf.DUMMYFUNCTION("""COMPUTED_VALUE"""),"")</f>
        <v/>
      </c>
      <c r="X6992" s="16" t="str">
        <f>IFERROR(__xludf.DUMMYFUNCTION("""COMPUTED_VALUE"""),"")</f>
        <v/>
      </c>
      <c r="AC6992" s="16" t="str">
        <f>IFERROR(__xludf.DUMMYFUNCTION("""COMPUTED_VALUE"""),"")</f>
        <v/>
      </c>
    </row>
    <row r="6993">
      <c r="A6993" s="16" t="s">
        <v>87</v>
      </c>
      <c r="E6993" s="16" t="str">
        <f>IFERROR(__xludf.DUMMYFUNCTION("""COMPUTED_VALUE"""),"")</f>
        <v/>
      </c>
      <c r="G6993" s="18"/>
      <c r="H6993" s="16" t="s">
        <v>87</v>
      </c>
      <c r="I6993" s="16" t="s">
        <v>87</v>
      </c>
      <c r="J6993" s="19"/>
      <c r="L6993" s="16" t="str">
        <f>IFERROR(__xludf.DUMMYFUNCTION("""COMPUTED_VALUE"""),"")</f>
        <v/>
      </c>
      <c r="M6993" s="16" t="str">
        <f>IFERROR(__xludf.DUMMYFUNCTION("""COMPUTED_VALUE"""),"")</f>
        <v/>
      </c>
      <c r="U6993" s="16" t="s">
        <v>87</v>
      </c>
      <c r="V6993" s="16" t="str">
        <f>IFERROR(__xludf.DUMMYFUNCTION("""COMPUTED_VALUE"""),"")</f>
        <v/>
      </c>
      <c r="W6993" s="16" t="str">
        <f>IFERROR(__xludf.DUMMYFUNCTION("""COMPUTED_VALUE"""),"")</f>
        <v/>
      </c>
      <c r="X6993" s="16" t="str">
        <f>IFERROR(__xludf.DUMMYFUNCTION("""COMPUTED_VALUE"""),"")</f>
        <v/>
      </c>
      <c r="AC6993" s="16" t="str">
        <f>IFERROR(__xludf.DUMMYFUNCTION("""COMPUTED_VALUE"""),"")</f>
        <v/>
      </c>
    </row>
    <row r="6994">
      <c r="A6994" s="16" t="s">
        <v>87</v>
      </c>
      <c r="E6994" s="16" t="str">
        <f>IFERROR(__xludf.DUMMYFUNCTION("""COMPUTED_VALUE"""),"")</f>
        <v/>
      </c>
      <c r="G6994" s="18"/>
      <c r="H6994" s="16" t="s">
        <v>87</v>
      </c>
      <c r="I6994" s="16" t="s">
        <v>87</v>
      </c>
      <c r="J6994" s="19"/>
      <c r="L6994" s="16" t="str">
        <f>IFERROR(__xludf.DUMMYFUNCTION("""COMPUTED_VALUE"""),"")</f>
        <v/>
      </c>
      <c r="M6994" s="16" t="str">
        <f>IFERROR(__xludf.DUMMYFUNCTION("""COMPUTED_VALUE"""),"")</f>
        <v/>
      </c>
      <c r="U6994" s="16" t="s">
        <v>87</v>
      </c>
      <c r="V6994" s="16" t="str">
        <f>IFERROR(__xludf.DUMMYFUNCTION("""COMPUTED_VALUE"""),"")</f>
        <v/>
      </c>
      <c r="W6994" s="16" t="str">
        <f>IFERROR(__xludf.DUMMYFUNCTION("""COMPUTED_VALUE"""),"")</f>
        <v/>
      </c>
      <c r="X6994" s="16" t="str">
        <f>IFERROR(__xludf.DUMMYFUNCTION("""COMPUTED_VALUE"""),"")</f>
        <v/>
      </c>
      <c r="AC6994" s="16" t="str">
        <f>IFERROR(__xludf.DUMMYFUNCTION("""COMPUTED_VALUE"""),"")</f>
        <v/>
      </c>
    </row>
    <row r="6995">
      <c r="A6995" s="16" t="s">
        <v>87</v>
      </c>
      <c r="E6995" s="16" t="str">
        <f>IFERROR(__xludf.DUMMYFUNCTION("""COMPUTED_VALUE"""),"")</f>
        <v/>
      </c>
      <c r="G6995" s="18"/>
      <c r="H6995" s="16" t="s">
        <v>87</v>
      </c>
      <c r="I6995" s="16" t="s">
        <v>87</v>
      </c>
      <c r="J6995" s="19"/>
      <c r="L6995" s="16" t="str">
        <f>IFERROR(__xludf.DUMMYFUNCTION("""COMPUTED_VALUE"""),"")</f>
        <v/>
      </c>
      <c r="M6995" s="16" t="str">
        <f>IFERROR(__xludf.DUMMYFUNCTION("""COMPUTED_VALUE"""),"")</f>
        <v/>
      </c>
      <c r="U6995" s="16" t="s">
        <v>87</v>
      </c>
      <c r="V6995" s="16" t="str">
        <f>IFERROR(__xludf.DUMMYFUNCTION("""COMPUTED_VALUE"""),"")</f>
        <v/>
      </c>
      <c r="W6995" s="16" t="str">
        <f>IFERROR(__xludf.DUMMYFUNCTION("""COMPUTED_VALUE"""),"")</f>
        <v/>
      </c>
      <c r="X6995" s="16" t="str">
        <f>IFERROR(__xludf.DUMMYFUNCTION("""COMPUTED_VALUE"""),"")</f>
        <v/>
      </c>
      <c r="AC6995" s="16" t="str">
        <f>IFERROR(__xludf.DUMMYFUNCTION("""COMPUTED_VALUE"""),"")</f>
        <v/>
      </c>
    </row>
    <row r="6996">
      <c r="A6996" s="16" t="s">
        <v>87</v>
      </c>
      <c r="E6996" s="16" t="str">
        <f>IFERROR(__xludf.DUMMYFUNCTION("""COMPUTED_VALUE"""),"")</f>
        <v/>
      </c>
      <c r="G6996" s="18"/>
      <c r="H6996" s="16" t="s">
        <v>87</v>
      </c>
      <c r="I6996" s="16" t="s">
        <v>87</v>
      </c>
      <c r="J6996" s="19"/>
      <c r="L6996" s="16" t="str">
        <f>IFERROR(__xludf.DUMMYFUNCTION("""COMPUTED_VALUE"""),"")</f>
        <v/>
      </c>
      <c r="M6996" s="16" t="str">
        <f>IFERROR(__xludf.DUMMYFUNCTION("""COMPUTED_VALUE"""),"")</f>
        <v/>
      </c>
      <c r="U6996" s="16" t="s">
        <v>87</v>
      </c>
      <c r="V6996" s="16" t="str">
        <f>IFERROR(__xludf.DUMMYFUNCTION("""COMPUTED_VALUE"""),"")</f>
        <v/>
      </c>
      <c r="W6996" s="16" t="str">
        <f>IFERROR(__xludf.DUMMYFUNCTION("""COMPUTED_VALUE"""),"")</f>
        <v/>
      </c>
      <c r="X6996" s="16" t="str">
        <f>IFERROR(__xludf.DUMMYFUNCTION("""COMPUTED_VALUE"""),"")</f>
        <v/>
      </c>
      <c r="AC6996" s="16" t="str">
        <f>IFERROR(__xludf.DUMMYFUNCTION("""COMPUTED_VALUE"""),"")</f>
        <v/>
      </c>
    </row>
    <row r="6997">
      <c r="A6997" s="16" t="s">
        <v>87</v>
      </c>
      <c r="E6997" s="16" t="str">
        <f>IFERROR(__xludf.DUMMYFUNCTION("""COMPUTED_VALUE"""),"")</f>
        <v/>
      </c>
      <c r="G6997" s="18"/>
      <c r="H6997" s="16" t="s">
        <v>87</v>
      </c>
      <c r="I6997" s="16" t="s">
        <v>87</v>
      </c>
      <c r="J6997" s="19"/>
      <c r="L6997" s="16" t="str">
        <f>IFERROR(__xludf.DUMMYFUNCTION("""COMPUTED_VALUE"""),"")</f>
        <v/>
      </c>
      <c r="M6997" s="16" t="str">
        <f>IFERROR(__xludf.DUMMYFUNCTION("""COMPUTED_VALUE"""),"")</f>
        <v/>
      </c>
      <c r="U6997" s="16" t="s">
        <v>87</v>
      </c>
      <c r="V6997" s="16" t="str">
        <f>IFERROR(__xludf.DUMMYFUNCTION("""COMPUTED_VALUE"""),"")</f>
        <v/>
      </c>
      <c r="W6997" s="16" t="str">
        <f>IFERROR(__xludf.DUMMYFUNCTION("""COMPUTED_VALUE"""),"")</f>
        <v/>
      </c>
      <c r="X6997" s="16" t="str">
        <f>IFERROR(__xludf.DUMMYFUNCTION("""COMPUTED_VALUE"""),"")</f>
        <v/>
      </c>
      <c r="AC6997" s="16" t="str">
        <f>IFERROR(__xludf.DUMMYFUNCTION("""COMPUTED_VALUE"""),"")</f>
        <v/>
      </c>
    </row>
    <row r="6998">
      <c r="A6998" s="16" t="s">
        <v>87</v>
      </c>
      <c r="E6998" s="16" t="str">
        <f>IFERROR(__xludf.DUMMYFUNCTION("""COMPUTED_VALUE"""),"")</f>
        <v/>
      </c>
      <c r="G6998" s="18"/>
      <c r="H6998" s="16" t="s">
        <v>87</v>
      </c>
      <c r="I6998" s="16" t="s">
        <v>87</v>
      </c>
      <c r="J6998" s="19"/>
      <c r="L6998" s="16" t="str">
        <f>IFERROR(__xludf.DUMMYFUNCTION("""COMPUTED_VALUE"""),"")</f>
        <v/>
      </c>
      <c r="M6998" s="16" t="str">
        <f>IFERROR(__xludf.DUMMYFUNCTION("""COMPUTED_VALUE"""),"")</f>
        <v/>
      </c>
      <c r="U6998" s="16" t="s">
        <v>87</v>
      </c>
      <c r="V6998" s="16" t="str">
        <f>IFERROR(__xludf.DUMMYFUNCTION("""COMPUTED_VALUE"""),"")</f>
        <v/>
      </c>
      <c r="W6998" s="16" t="str">
        <f>IFERROR(__xludf.DUMMYFUNCTION("""COMPUTED_VALUE"""),"")</f>
        <v/>
      </c>
      <c r="X6998" s="16" t="str">
        <f>IFERROR(__xludf.DUMMYFUNCTION("""COMPUTED_VALUE"""),"")</f>
        <v/>
      </c>
      <c r="AC6998" s="16" t="str">
        <f>IFERROR(__xludf.DUMMYFUNCTION("""COMPUTED_VALUE"""),"")</f>
        <v/>
      </c>
    </row>
    <row r="6999">
      <c r="A6999" s="16" t="s">
        <v>87</v>
      </c>
      <c r="E6999" s="16" t="str">
        <f>IFERROR(__xludf.DUMMYFUNCTION("""COMPUTED_VALUE"""),"")</f>
        <v/>
      </c>
      <c r="G6999" s="18"/>
      <c r="H6999" s="16" t="s">
        <v>87</v>
      </c>
      <c r="I6999" s="16" t="s">
        <v>87</v>
      </c>
      <c r="J6999" s="19"/>
      <c r="L6999" s="16" t="str">
        <f>IFERROR(__xludf.DUMMYFUNCTION("""COMPUTED_VALUE"""),"")</f>
        <v/>
      </c>
      <c r="M6999" s="16" t="str">
        <f>IFERROR(__xludf.DUMMYFUNCTION("""COMPUTED_VALUE"""),"")</f>
        <v/>
      </c>
      <c r="U6999" s="16" t="s">
        <v>87</v>
      </c>
      <c r="V6999" s="16" t="str">
        <f>IFERROR(__xludf.DUMMYFUNCTION("""COMPUTED_VALUE"""),"")</f>
        <v/>
      </c>
      <c r="W6999" s="16" t="str">
        <f>IFERROR(__xludf.DUMMYFUNCTION("""COMPUTED_VALUE"""),"")</f>
        <v/>
      </c>
      <c r="X6999" s="16" t="str">
        <f>IFERROR(__xludf.DUMMYFUNCTION("""COMPUTED_VALUE"""),"")</f>
        <v/>
      </c>
      <c r="AC6999" s="16" t="str">
        <f>IFERROR(__xludf.DUMMYFUNCTION("""COMPUTED_VALUE"""),"")</f>
        <v/>
      </c>
    </row>
    <row r="7000">
      <c r="A7000" s="16" t="s">
        <v>87</v>
      </c>
      <c r="E7000" s="16" t="str">
        <f>IFERROR(__xludf.DUMMYFUNCTION("""COMPUTED_VALUE"""),"")</f>
        <v/>
      </c>
      <c r="G7000" s="18"/>
      <c r="H7000" s="16" t="s">
        <v>87</v>
      </c>
      <c r="I7000" s="16" t="s">
        <v>87</v>
      </c>
      <c r="J7000" s="19"/>
      <c r="L7000" s="16" t="str">
        <f>IFERROR(__xludf.DUMMYFUNCTION("""COMPUTED_VALUE"""),"")</f>
        <v/>
      </c>
      <c r="M7000" s="16" t="str">
        <f>IFERROR(__xludf.DUMMYFUNCTION("""COMPUTED_VALUE"""),"")</f>
        <v/>
      </c>
      <c r="U7000" s="16" t="s">
        <v>87</v>
      </c>
      <c r="V7000" s="16" t="str">
        <f>IFERROR(__xludf.DUMMYFUNCTION("""COMPUTED_VALUE"""),"")</f>
        <v/>
      </c>
      <c r="W7000" s="16" t="str">
        <f>IFERROR(__xludf.DUMMYFUNCTION("""COMPUTED_VALUE"""),"")</f>
        <v/>
      </c>
      <c r="X7000" s="16" t="str">
        <f>IFERROR(__xludf.DUMMYFUNCTION("""COMPUTED_VALUE"""),"")</f>
        <v/>
      </c>
      <c r="AC7000" s="16" t="str">
        <f>IFERROR(__xludf.DUMMYFUNCTION("""COMPUTED_VALUE"""),"")</f>
        <v/>
      </c>
    </row>
    <row r="7001">
      <c r="A7001" s="16" t="s">
        <v>87</v>
      </c>
      <c r="E7001" s="16" t="str">
        <f>IFERROR(__xludf.DUMMYFUNCTION("""COMPUTED_VALUE"""),"")</f>
        <v/>
      </c>
      <c r="G7001" s="18"/>
      <c r="H7001" s="16" t="s">
        <v>87</v>
      </c>
      <c r="I7001" s="16" t="s">
        <v>87</v>
      </c>
      <c r="J7001" s="19"/>
      <c r="L7001" s="16" t="str">
        <f>IFERROR(__xludf.DUMMYFUNCTION("""COMPUTED_VALUE"""),"")</f>
        <v/>
      </c>
      <c r="M7001" s="16" t="str">
        <f>IFERROR(__xludf.DUMMYFUNCTION("""COMPUTED_VALUE"""),"")</f>
        <v/>
      </c>
      <c r="U7001" s="16" t="s">
        <v>87</v>
      </c>
      <c r="V7001" s="16" t="str">
        <f>IFERROR(__xludf.DUMMYFUNCTION("""COMPUTED_VALUE"""),"")</f>
        <v/>
      </c>
      <c r="W7001" s="16" t="str">
        <f>IFERROR(__xludf.DUMMYFUNCTION("""COMPUTED_VALUE"""),"")</f>
        <v/>
      </c>
      <c r="X7001" s="16" t="str">
        <f>IFERROR(__xludf.DUMMYFUNCTION("""COMPUTED_VALUE"""),"")</f>
        <v/>
      </c>
      <c r="AC7001" s="16" t="str">
        <f>IFERROR(__xludf.DUMMYFUNCTION("""COMPUTED_VALUE"""),"")</f>
        <v/>
      </c>
    </row>
    <row r="7002">
      <c r="A7002" s="16" t="s">
        <v>87</v>
      </c>
      <c r="E7002" s="16" t="str">
        <f>IFERROR(__xludf.DUMMYFUNCTION("""COMPUTED_VALUE"""),"")</f>
        <v/>
      </c>
      <c r="G7002" s="18"/>
      <c r="H7002" s="16" t="s">
        <v>87</v>
      </c>
      <c r="I7002" s="16" t="s">
        <v>87</v>
      </c>
      <c r="J7002" s="19"/>
      <c r="L7002" s="16" t="str">
        <f>IFERROR(__xludf.DUMMYFUNCTION("""COMPUTED_VALUE"""),"")</f>
        <v/>
      </c>
      <c r="M7002" s="16" t="str">
        <f>IFERROR(__xludf.DUMMYFUNCTION("""COMPUTED_VALUE"""),"")</f>
        <v/>
      </c>
      <c r="U7002" s="16" t="s">
        <v>87</v>
      </c>
      <c r="V7002" s="16" t="str">
        <f>IFERROR(__xludf.DUMMYFUNCTION("""COMPUTED_VALUE"""),"")</f>
        <v/>
      </c>
      <c r="W7002" s="16" t="str">
        <f>IFERROR(__xludf.DUMMYFUNCTION("""COMPUTED_VALUE"""),"")</f>
        <v/>
      </c>
      <c r="X7002" s="16" t="str">
        <f>IFERROR(__xludf.DUMMYFUNCTION("""COMPUTED_VALUE"""),"")</f>
        <v/>
      </c>
      <c r="AC7002" s="16" t="str">
        <f>IFERROR(__xludf.DUMMYFUNCTION("""COMPUTED_VALUE"""),"")</f>
        <v/>
      </c>
    </row>
    <row r="7003">
      <c r="A7003" s="16" t="s">
        <v>87</v>
      </c>
      <c r="E7003" s="16" t="str">
        <f>IFERROR(__xludf.DUMMYFUNCTION("""COMPUTED_VALUE"""),"")</f>
        <v/>
      </c>
      <c r="G7003" s="18"/>
      <c r="H7003" s="16" t="s">
        <v>87</v>
      </c>
      <c r="I7003" s="16" t="s">
        <v>87</v>
      </c>
      <c r="J7003" s="19"/>
      <c r="L7003" s="16" t="str">
        <f>IFERROR(__xludf.DUMMYFUNCTION("""COMPUTED_VALUE"""),"")</f>
        <v/>
      </c>
      <c r="M7003" s="16" t="str">
        <f>IFERROR(__xludf.DUMMYFUNCTION("""COMPUTED_VALUE"""),"")</f>
        <v/>
      </c>
      <c r="U7003" s="16" t="s">
        <v>87</v>
      </c>
      <c r="V7003" s="16" t="str">
        <f>IFERROR(__xludf.DUMMYFUNCTION("""COMPUTED_VALUE"""),"")</f>
        <v/>
      </c>
      <c r="W7003" s="16" t="str">
        <f>IFERROR(__xludf.DUMMYFUNCTION("""COMPUTED_VALUE"""),"")</f>
        <v/>
      </c>
      <c r="X7003" s="16" t="str">
        <f>IFERROR(__xludf.DUMMYFUNCTION("""COMPUTED_VALUE"""),"")</f>
        <v/>
      </c>
      <c r="AC7003" s="16" t="str">
        <f>IFERROR(__xludf.DUMMYFUNCTION("""COMPUTED_VALUE"""),"")</f>
        <v/>
      </c>
    </row>
    <row r="7004">
      <c r="A7004" s="16" t="s">
        <v>87</v>
      </c>
      <c r="E7004" s="16" t="str">
        <f>IFERROR(__xludf.DUMMYFUNCTION("""COMPUTED_VALUE"""),"")</f>
        <v/>
      </c>
      <c r="G7004" s="18"/>
      <c r="H7004" s="16" t="s">
        <v>87</v>
      </c>
      <c r="I7004" s="16" t="s">
        <v>87</v>
      </c>
      <c r="J7004" s="19"/>
      <c r="L7004" s="16" t="str">
        <f>IFERROR(__xludf.DUMMYFUNCTION("""COMPUTED_VALUE"""),"")</f>
        <v/>
      </c>
      <c r="M7004" s="16" t="str">
        <f>IFERROR(__xludf.DUMMYFUNCTION("""COMPUTED_VALUE"""),"")</f>
        <v/>
      </c>
      <c r="U7004" s="16" t="s">
        <v>87</v>
      </c>
      <c r="V7004" s="16" t="str">
        <f>IFERROR(__xludf.DUMMYFUNCTION("""COMPUTED_VALUE"""),"")</f>
        <v/>
      </c>
      <c r="W7004" s="16" t="str">
        <f>IFERROR(__xludf.DUMMYFUNCTION("""COMPUTED_VALUE"""),"")</f>
        <v/>
      </c>
      <c r="X7004" s="16" t="str">
        <f>IFERROR(__xludf.DUMMYFUNCTION("""COMPUTED_VALUE"""),"")</f>
        <v/>
      </c>
      <c r="AC7004" s="16" t="str">
        <f>IFERROR(__xludf.DUMMYFUNCTION("""COMPUTED_VALUE"""),"")</f>
        <v/>
      </c>
    </row>
    <row r="7005">
      <c r="A7005" s="16" t="s">
        <v>87</v>
      </c>
      <c r="E7005" s="16" t="str">
        <f>IFERROR(__xludf.DUMMYFUNCTION("""COMPUTED_VALUE"""),"")</f>
        <v/>
      </c>
      <c r="G7005" s="18"/>
      <c r="H7005" s="16" t="s">
        <v>87</v>
      </c>
      <c r="I7005" s="16" t="s">
        <v>87</v>
      </c>
      <c r="J7005" s="19"/>
      <c r="L7005" s="16" t="str">
        <f>IFERROR(__xludf.DUMMYFUNCTION("""COMPUTED_VALUE"""),"")</f>
        <v/>
      </c>
      <c r="M7005" s="16" t="str">
        <f>IFERROR(__xludf.DUMMYFUNCTION("""COMPUTED_VALUE"""),"")</f>
        <v/>
      </c>
      <c r="U7005" s="16" t="s">
        <v>87</v>
      </c>
      <c r="V7005" s="16" t="str">
        <f>IFERROR(__xludf.DUMMYFUNCTION("""COMPUTED_VALUE"""),"")</f>
        <v/>
      </c>
      <c r="W7005" s="16" t="str">
        <f>IFERROR(__xludf.DUMMYFUNCTION("""COMPUTED_VALUE"""),"")</f>
        <v/>
      </c>
      <c r="X7005" s="16" t="str">
        <f>IFERROR(__xludf.DUMMYFUNCTION("""COMPUTED_VALUE"""),"")</f>
        <v/>
      </c>
      <c r="AC7005" s="16" t="str">
        <f>IFERROR(__xludf.DUMMYFUNCTION("""COMPUTED_VALUE"""),"")</f>
        <v/>
      </c>
    </row>
    <row r="7006">
      <c r="A7006" s="16" t="s">
        <v>87</v>
      </c>
      <c r="E7006" s="16" t="str">
        <f>IFERROR(__xludf.DUMMYFUNCTION("""COMPUTED_VALUE"""),"")</f>
        <v/>
      </c>
      <c r="G7006" s="18"/>
      <c r="H7006" s="16" t="s">
        <v>87</v>
      </c>
      <c r="I7006" s="16" t="s">
        <v>87</v>
      </c>
      <c r="J7006" s="19"/>
      <c r="L7006" s="16" t="str">
        <f>IFERROR(__xludf.DUMMYFUNCTION("""COMPUTED_VALUE"""),"")</f>
        <v/>
      </c>
      <c r="M7006" s="16" t="str">
        <f>IFERROR(__xludf.DUMMYFUNCTION("""COMPUTED_VALUE"""),"")</f>
        <v/>
      </c>
      <c r="U7006" s="16" t="s">
        <v>87</v>
      </c>
      <c r="V7006" s="16" t="str">
        <f>IFERROR(__xludf.DUMMYFUNCTION("""COMPUTED_VALUE"""),"")</f>
        <v/>
      </c>
      <c r="W7006" s="16" t="str">
        <f>IFERROR(__xludf.DUMMYFUNCTION("""COMPUTED_VALUE"""),"")</f>
        <v/>
      </c>
      <c r="X7006" s="16" t="str">
        <f>IFERROR(__xludf.DUMMYFUNCTION("""COMPUTED_VALUE"""),"")</f>
        <v/>
      </c>
      <c r="AC7006" s="16" t="str">
        <f>IFERROR(__xludf.DUMMYFUNCTION("""COMPUTED_VALUE"""),"")</f>
        <v/>
      </c>
    </row>
    <row r="7007">
      <c r="A7007" s="16" t="s">
        <v>87</v>
      </c>
      <c r="E7007" s="16" t="str">
        <f>IFERROR(__xludf.DUMMYFUNCTION("""COMPUTED_VALUE"""),"")</f>
        <v/>
      </c>
      <c r="G7007" s="18"/>
      <c r="H7007" s="16" t="s">
        <v>87</v>
      </c>
      <c r="I7007" s="16" t="s">
        <v>87</v>
      </c>
      <c r="J7007" s="19"/>
      <c r="L7007" s="16" t="str">
        <f>IFERROR(__xludf.DUMMYFUNCTION("""COMPUTED_VALUE"""),"")</f>
        <v/>
      </c>
      <c r="M7007" s="16" t="str">
        <f>IFERROR(__xludf.DUMMYFUNCTION("""COMPUTED_VALUE"""),"")</f>
        <v/>
      </c>
      <c r="U7007" s="16" t="s">
        <v>87</v>
      </c>
      <c r="V7007" s="16" t="str">
        <f>IFERROR(__xludf.DUMMYFUNCTION("""COMPUTED_VALUE"""),"")</f>
        <v/>
      </c>
      <c r="W7007" s="16" t="str">
        <f>IFERROR(__xludf.DUMMYFUNCTION("""COMPUTED_VALUE"""),"")</f>
        <v/>
      </c>
      <c r="X7007" s="16" t="str">
        <f>IFERROR(__xludf.DUMMYFUNCTION("""COMPUTED_VALUE"""),"")</f>
        <v/>
      </c>
      <c r="AC7007" s="16" t="str">
        <f>IFERROR(__xludf.DUMMYFUNCTION("""COMPUTED_VALUE"""),"")</f>
        <v/>
      </c>
    </row>
    <row r="7008">
      <c r="A7008" s="16" t="s">
        <v>87</v>
      </c>
      <c r="E7008" s="16" t="str">
        <f>IFERROR(__xludf.DUMMYFUNCTION("""COMPUTED_VALUE"""),"")</f>
        <v/>
      </c>
      <c r="G7008" s="18"/>
      <c r="H7008" s="16" t="s">
        <v>87</v>
      </c>
      <c r="I7008" s="16" t="s">
        <v>87</v>
      </c>
      <c r="J7008" s="19"/>
      <c r="L7008" s="16" t="str">
        <f>IFERROR(__xludf.DUMMYFUNCTION("""COMPUTED_VALUE"""),"")</f>
        <v/>
      </c>
      <c r="M7008" s="16" t="str">
        <f>IFERROR(__xludf.DUMMYFUNCTION("""COMPUTED_VALUE"""),"")</f>
        <v/>
      </c>
      <c r="U7008" s="16" t="s">
        <v>87</v>
      </c>
      <c r="V7008" s="16" t="str">
        <f>IFERROR(__xludf.DUMMYFUNCTION("""COMPUTED_VALUE"""),"")</f>
        <v/>
      </c>
      <c r="W7008" s="16" t="str">
        <f>IFERROR(__xludf.DUMMYFUNCTION("""COMPUTED_VALUE"""),"")</f>
        <v/>
      </c>
      <c r="X7008" s="16" t="str">
        <f>IFERROR(__xludf.DUMMYFUNCTION("""COMPUTED_VALUE"""),"")</f>
        <v/>
      </c>
      <c r="AC7008" s="16" t="str">
        <f>IFERROR(__xludf.DUMMYFUNCTION("""COMPUTED_VALUE"""),"")</f>
        <v/>
      </c>
    </row>
    <row r="7009">
      <c r="A7009" s="16" t="s">
        <v>87</v>
      </c>
      <c r="E7009" s="16" t="str">
        <f>IFERROR(__xludf.DUMMYFUNCTION("""COMPUTED_VALUE"""),"")</f>
        <v/>
      </c>
      <c r="G7009" s="18"/>
      <c r="H7009" s="16" t="s">
        <v>87</v>
      </c>
      <c r="I7009" s="16" t="s">
        <v>87</v>
      </c>
      <c r="J7009" s="19"/>
      <c r="L7009" s="16" t="str">
        <f>IFERROR(__xludf.DUMMYFUNCTION("""COMPUTED_VALUE"""),"")</f>
        <v/>
      </c>
      <c r="M7009" s="16" t="str">
        <f>IFERROR(__xludf.DUMMYFUNCTION("""COMPUTED_VALUE"""),"")</f>
        <v/>
      </c>
      <c r="U7009" s="16" t="s">
        <v>87</v>
      </c>
      <c r="V7009" s="16" t="str">
        <f>IFERROR(__xludf.DUMMYFUNCTION("""COMPUTED_VALUE"""),"")</f>
        <v/>
      </c>
      <c r="W7009" s="16" t="str">
        <f>IFERROR(__xludf.DUMMYFUNCTION("""COMPUTED_VALUE"""),"")</f>
        <v/>
      </c>
      <c r="X7009" s="16" t="str">
        <f>IFERROR(__xludf.DUMMYFUNCTION("""COMPUTED_VALUE"""),"")</f>
        <v/>
      </c>
      <c r="AC7009" s="16" t="str">
        <f>IFERROR(__xludf.DUMMYFUNCTION("""COMPUTED_VALUE"""),"")</f>
        <v/>
      </c>
    </row>
    <row r="7010">
      <c r="A7010" s="16" t="s">
        <v>87</v>
      </c>
      <c r="E7010" s="16" t="str">
        <f>IFERROR(__xludf.DUMMYFUNCTION("""COMPUTED_VALUE"""),"")</f>
        <v/>
      </c>
      <c r="G7010" s="18"/>
      <c r="H7010" s="16" t="s">
        <v>87</v>
      </c>
      <c r="I7010" s="16" t="s">
        <v>87</v>
      </c>
      <c r="J7010" s="19"/>
      <c r="L7010" s="16" t="str">
        <f>IFERROR(__xludf.DUMMYFUNCTION("""COMPUTED_VALUE"""),"")</f>
        <v/>
      </c>
      <c r="M7010" s="16" t="str">
        <f>IFERROR(__xludf.DUMMYFUNCTION("""COMPUTED_VALUE"""),"")</f>
        <v/>
      </c>
      <c r="U7010" s="16" t="s">
        <v>87</v>
      </c>
      <c r="V7010" s="16" t="str">
        <f>IFERROR(__xludf.DUMMYFUNCTION("""COMPUTED_VALUE"""),"")</f>
        <v/>
      </c>
      <c r="W7010" s="16" t="str">
        <f>IFERROR(__xludf.DUMMYFUNCTION("""COMPUTED_VALUE"""),"")</f>
        <v/>
      </c>
      <c r="X7010" s="16" t="str">
        <f>IFERROR(__xludf.DUMMYFUNCTION("""COMPUTED_VALUE"""),"")</f>
        <v/>
      </c>
      <c r="AC7010" s="16" t="str">
        <f>IFERROR(__xludf.DUMMYFUNCTION("""COMPUTED_VALUE"""),"")</f>
        <v/>
      </c>
    </row>
    <row r="7011">
      <c r="A7011" s="16" t="s">
        <v>87</v>
      </c>
      <c r="E7011" s="16" t="str">
        <f>IFERROR(__xludf.DUMMYFUNCTION("""COMPUTED_VALUE"""),"")</f>
        <v/>
      </c>
      <c r="G7011" s="18"/>
      <c r="H7011" s="16" t="s">
        <v>87</v>
      </c>
      <c r="I7011" s="16" t="s">
        <v>87</v>
      </c>
      <c r="J7011" s="19"/>
      <c r="L7011" s="16" t="str">
        <f>IFERROR(__xludf.DUMMYFUNCTION("""COMPUTED_VALUE"""),"")</f>
        <v/>
      </c>
      <c r="M7011" s="16" t="str">
        <f>IFERROR(__xludf.DUMMYFUNCTION("""COMPUTED_VALUE"""),"")</f>
        <v/>
      </c>
      <c r="U7011" s="16" t="s">
        <v>87</v>
      </c>
      <c r="V7011" s="16" t="str">
        <f>IFERROR(__xludf.DUMMYFUNCTION("""COMPUTED_VALUE"""),"")</f>
        <v/>
      </c>
      <c r="W7011" s="16" t="str">
        <f>IFERROR(__xludf.DUMMYFUNCTION("""COMPUTED_VALUE"""),"")</f>
        <v/>
      </c>
      <c r="X7011" s="16" t="str">
        <f>IFERROR(__xludf.DUMMYFUNCTION("""COMPUTED_VALUE"""),"")</f>
        <v/>
      </c>
      <c r="AC7011" s="16" t="str">
        <f>IFERROR(__xludf.DUMMYFUNCTION("""COMPUTED_VALUE"""),"")</f>
        <v/>
      </c>
    </row>
    <row r="7012">
      <c r="A7012" s="16" t="s">
        <v>87</v>
      </c>
      <c r="E7012" s="16" t="str">
        <f>IFERROR(__xludf.DUMMYFUNCTION("""COMPUTED_VALUE"""),"")</f>
        <v/>
      </c>
      <c r="G7012" s="18"/>
      <c r="H7012" s="16" t="s">
        <v>87</v>
      </c>
      <c r="I7012" s="16" t="s">
        <v>87</v>
      </c>
      <c r="J7012" s="19"/>
      <c r="L7012" s="16" t="str">
        <f>IFERROR(__xludf.DUMMYFUNCTION("""COMPUTED_VALUE"""),"")</f>
        <v/>
      </c>
      <c r="M7012" s="16" t="str">
        <f>IFERROR(__xludf.DUMMYFUNCTION("""COMPUTED_VALUE"""),"")</f>
        <v/>
      </c>
      <c r="U7012" s="16" t="s">
        <v>87</v>
      </c>
      <c r="V7012" s="16" t="str">
        <f>IFERROR(__xludf.DUMMYFUNCTION("""COMPUTED_VALUE"""),"")</f>
        <v/>
      </c>
      <c r="W7012" s="16" t="str">
        <f>IFERROR(__xludf.DUMMYFUNCTION("""COMPUTED_VALUE"""),"")</f>
        <v/>
      </c>
      <c r="X7012" s="16" t="str">
        <f>IFERROR(__xludf.DUMMYFUNCTION("""COMPUTED_VALUE"""),"")</f>
        <v/>
      </c>
      <c r="AC7012" s="16" t="str">
        <f>IFERROR(__xludf.DUMMYFUNCTION("""COMPUTED_VALUE"""),"")</f>
        <v/>
      </c>
    </row>
    <row r="7013">
      <c r="A7013" s="16" t="s">
        <v>87</v>
      </c>
      <c r="E7013" s="16" t="str">
        <f>IFERROR(__xludf.DUMMYFUNCTION("""COMPUTED_VALUE"""),"")</f>
        <v/>
      </c>
      <c r="G7013" s="18"/>
      <c r="H7013" s="16" t="s">
        <v>87</v>
      </c>
      <c r="I7013" s="16" t="s">
        <v>87</v>
      </c>
      <c r="J7013" s="19"/>
      <c r="L7013" s="16" t="str">
        <f>IFERROR(__xludf.DUMMYFUNCTION("""COMPUTED_VALUE"""),"")</f>
        <v/>
      </c>
      <c r="M7013" s="16" t="str">
        <f>IFERROR(__xludf.DUMMYFUNCTION("""COMPUTED_VALUE"""),"")</f>
        <v/>
      </c>
      <c r="U7013" s="16" t="s">
        <v>87</v>
      </c>
      <c r="V7013" s="16" t="str">
        <f>IFERROR(__xludf.DUMMYFUNCTION("""COMPUTED_VALUE"""),"")</f>
        <v/>
      </c>
      <c r="W7013" s="16" t="str">
        <f>IFERROR(__xludf.DUMMYFUNCTION("""COMPUTED_VALUE"""),"")</f>
        <v/>
      </c>
      <c r="X7013" s="16" t="str">
        <f>IFERROR(__xludf.DUMMYFUNCTION("""COMPUTED_VALUE"""),"")</f>
        <v/>
      </c>
      <c r="AC7013" s="16" t="str">
        <f>IFERROR(__xludf.DUMMYFUNCTION("""COMPUTED_VALUE"""),"")</f>
        <v/>
      </c>
    </row>
    <row r="7014">
      <c r="A7014" s="16" t="s">
        <v>87</v>
      </c>
      <c r="E7014" s="16" t="str">
        <f>IFERROR(__xludf.DUMMYFUNCTION("""COMPUTED_VALUE"""),"")</f>
        <v/>
      </c>
      <c r="G7014" s="18"/>
      <c r="H7014" s="16" t="s">
        <v>87</v>
      </c>
      <c r="I7014" s="16" t="s">
        <v>87</v>
      </c>
      <c r="J7014" s="19"/>
      <c r="L7014" s="16" t="str">
        <f>IFERROR(__xludf.DUMMYFUNCTION("""COMPUTED_VALUE"""),"")</f>
        <v/>
      </c>
      <c r="M7014" s="16" t="str">
        <f>IFERROR(__xludf.DUMMYFUNCTION("""COMPUTED_VALUE"""),"")</f>
        <v/>
      </c>
      <c r="U7014" s="16" t="s">
        <v>87</v>
      </c>
      <c r="V7014" s="16" t="str">
        <f>IFERROR(__xludf.DUMMYFUNCTION("""COMPUTED_VALUE"""),"")</f>
        <v/>
      </c>
      <c r="W7014" s="16" t="str">
        <f>IFERROR(__xludf.DUMMYFUNCTION("""COMPUTED_VALUE"""),"")</f>
        <v/>
      </c>
      <c r="X7014" s="16" t="str">
        <f>IFERROR(__xludf.DUMMYFUNCTION("""COMPUTED_VALUE"""),"")</f>
        <v/>
      </c>
      <c r="AC7014" s="16" t="str">
        <f>IFERROR(__xludf.DUMMYFUNCTION("""COMPUTED_VALUE"""),"")</f>
        <v/>
      </c>
    </row>
    <row r="7015">
      <c r="A7015" s="16" t="s">
        <v>87</v>
      </c>
      <c r="E7015" s="16" t="str">
        <f>IFERROR(__xludf.DUMMYFUNCTION("""COMPUTED_VALUE"""),"")</f>
        <v/>
      </c>
      <c r="G7015" s="18"/>
      <c r="H7015" s="16" t="s">
        <v>87</v>
      </c>
      <c r="I7015" s="16" t="s">
        <v>87</v>
      </c>
      <c r="J7015" s="19"/>
      <c r="L7015" s="16" t="str">
        <f>IFERROR(__xludf.DUMMYFUNCTION("""COMPUTED_VALUE"""),"")</f>
        <v/>
      </c>
      <c r="M7015" s="16" t="str">
        <f>IFERROR(__xludf.DUMMYFUNCTION("""COMPUTED_VALUE"""),"")</f>
        <v/>
      </c>
      <c r="U7015" s="16" t="s">
        <v>87</v>
      </c>
      <c r="V7015" s="16" t="str">
        <f>IFERROR(__xludf.DUMMYFUNCTION("""COMPUTED_VALUE"""),"")</f>
        <v/>
      </c>
      <c r="W7015" s="16" t="str">
        <f>IFERROR(__xludf.DUMMYFUNCTION("""COMPUTED_VALUE"""),"")</f>
        <v/>
      </c>
      <c r="X7015" s="16" t="str">
        <f>IFERROR(__xludf.DUMMYFUNCTION("""COMPUTED_VALUE"""),"")</f>
        <v/>
      </c>
      <c r="AC7015" s="16" t="str">
        <f>IFERROR(__xludf.DUMMYFUNCTION("""COMPUTED_VALUE"""),"")</f>
        <v/>
      </c>
    </row>
    <row r="7016">
      <c r="A7016" s="16" t="s">
        <v>87</v>
      </c>
      <c r="E7016" s="16" t="str">
        <f>IFERROR(__xludf.DUMMYFUNCTION("""COMPUTED_VALUE"""),"")</f>
        <v/>
      </c>
      <c r="G7016" s="18"/>
      <c r="H7016" s="16" t="s">
        <v>87</v>
      </c>
      <c r="I7016" s="16" t="s">
        <v>87</v>
      </c>
      <c r="J7016" s="19"/>
      <c r="L7016" s="16" t="str">
        <f>IFERROR(__xludf.DUMMYFUNCTION("""COMPUTED_VALUE"""),"")</f>
        <v/>
      </c>
      <c r="M7016" s="16" t="str">
        <f>IFERROR(__xludf.DUMMYFUNCTION("""COMPUTED_VALUE"""),"")</f>
        <v/>
      </c>
      <c r="U7016" s="16" t="s">
        <v>87</v>
      </c>
      <c r="V7016" s="16" t="str">
        <f>IFERROR(__xludf.DUMMYFUNCTION("""COMPUTED_VALUE"""),"")</f>
        <v/>
      </c>
      <c r="W7016" s="16" t="str">
        <f>IFERROR(__xludf.DUMMYFUNCTION("""COMPUTED_VALUE"""),"")</f>
        <v/>
      </c>
      <c r="X7016" s="16" t="str">
        <f>IFERROR(__xludf.DUMMYFUNCTION("""COMPUTED_VALUE"""),"")</f>
        <v/>
      </c>
      <c r="AC7016" s="16" t="str">
        <f>IFERROR(__xludf.DUMMYFUNCTION("""COMPUTED_VALUE"""),"")</f>
        <v/>
      </c>
    </row>
    <row r="7017">
      <c r="A7017" s="16" t="s">
        <v>87</v>
      </c>
      <c r="E7017" s="16" t="str">
        <f>IFERROR(__xludf.DUMMYFUNCTION("""COMPUTED_VALUE"""),"")</f>
        <v/>
      </c>
      <c r="G7017" s="18"/>
      <c r="H7017" s="16" t="s">
        <v>87</v>
      </c>
      <c r="I7017" s="16" t="s">
        <v>87</v>
      </c>
      <c r="J7017" s="19"/>
      <c r="L7017" s="16" t="str">
        <f>IFERROR(__xludf.DUMMYFUNCTION("""COMPUTED_VALUE"""),"")</f>
        <v/>
      </c>
      <c r="M7017" s="16" t="str">
        <f>IFERROR(__xludf.DUMMYFUNCTION("""COMPUTED_VALUE"""),"")</f>
        <v/>
      </c>
      <c r="U7017" s="16" t="s">
        <v>87</v>
      </c>
      <c r="V7017" s="16" t="str">
        <f>IFERROR(__xludf.DUMMYFUNCTION("""COMPUTED_VALUE"""),"")</f>
        <v/>
      </c>
      <c r="W7017" s="16" t="str">
        <f>IFERROR(__xludf.DUMMYFUNCTION("""COMPUTED_VALUE"""),"")</f>
        <v/>
      </c>
      <c r="X7017" s="16" t="str">
        <f>IFERROR(__xludf.DUMMYFUNCTION("""COMPUTED_VALUE"""),"")</f>
        <v/>
      </c>
      <c r="AC7017" s="16" t="str">
        <f>IFERROR(__xludf.DUMMYFUNCTION("""COMPUTED_VALUE"""),"")</f>
        <v/>
      </c>
    </row>
    <row r="7018">
      <c r="A7018" s="16" t="s">
        <v>87</v>
      </c>
      <c r="E7018" s="16" t="str">
        <f>IFERROR(__xludf.DUMMYFUNCTION("""COMPUTED_VALUE"""),"")</f>
        <v/>
      </c>
      <c r="G7018" s="18"/>
      <c r="H7018" s="16" t="s">
        <v>87</v>
      </c>
      <c r="I7018" s="16" t="s">
        <v>87</v>
      </c>
      <c r="J7018" s="19"/>
      <c r="L7018" s="16" t="str">
        <f>IFERROR(__xludf.DUMMYFUNCTION("""COMPUTED_VALUE"""),"")</f>
        <v/>
      </c>
      <c r="M7018" s="16" t="str">
        <f>IFERROR(__xludf.DUMMYFUNCTION("""COMPUTED_VALUE"""),"")</f>
        <v/>
      </c>
      <c r="U7018" s="16" t="s">
        <v>87</v>
      </c>
      <c r="V7018" s="16" t="str">
        <f>IFERROR(__xludf.DUMMYFUNCTION("""COMPUTED_VALUE"""),"")</f>
        <v/>
      </c>
      <c r="W7018" s="16" t="str">
        <f>IFERROR(__xludf.DUMMYFUNCTION("""COMPUTED_VALUE"""),"")</f>
        <v/>
      </c>
      <c r="X7018" s="16" t="str">
        <f>IFERROR(__xludf.DUMMYFUNCTION("""COMPUTED_VALUE"""),"")</f>
        <v/>
      </c>
      <c r="AC7018" s="16" t="str">
        <f>IFERROR(__xludf.DUMMYFUNCTION("""COMPUTED_VALUE"""),"")</f>
        <v/>
      </c>
    </row>
    <row r="7019">
      <c r="A7019" s="16" t="s">
        <v>87</v>
      </c>
      <c r="E7019" s="16" t="str">
        <f>IFERROR(__xludf.DUMMYFUNCTION("""COMPUTED_VALUE"""),"")</f>
        <v/>
      </c>
      <c r="G7019" s="18"/>
      <c r="H7019" s="16" t="s">
        <v>87</v>
      </c>
      <c r="I7019" s="16" t="s">
        <v>87</v>
      </c>
      <c r="J7019" s="19"/>
      <c r="L7019" s="16" t="str">
        <f>IFERROR(__xludf.DUMMYFUNCTION("""COMPUTED_VALUE"""),"")</f>
        <v/>
      </c>
      <c r="M7019" s="16" t="str">
        <f>IFERROR(__xludf.DUMMYFUNCTION("""COMPUTED_VALUE"""),"")</f>
        <v/>
      </c>
      <c r="U7019" s="16" t="s">
        <v>87</v>
      </c>
      <c r="V7019" s="16" t="str">
        <f>IFERROR(__xludf.DUMMYFUNCTION("""COMPUTED_VALUE"""),"")</f>
        <v/>
      </c>
      <c r="W7019" s="16" t="str">
        <f>IFERROR(__xludf.DUMMYFUNCTION("""COMPUTED_VALUE"""),"")</f>
        <v/>
      </c>
      <c r="X7019" s="16" t="str">
        <f>IFERROR(__xludf.DUMMYFUNCTION("""COMPUTED_VALUE"""),"")</f>
        <v/>
      </c>
      <c r="AC7019" s="16" t="str">
        <f>IFERROR(__xludf.DUMMYFUNCTION("""COMPUTED_VALUE"""),"")</f>
        <v/>
      </c>
    </row>
    <row r="7020">
      <c r="A7020" s="16" t="s">
        <v>87</v>
      </c>
      <c r="E7020" s="16" t="str">
        <f>IFERROR(__xludf.DUMMYFUNCTION("""COMPUTED_VALUE"""),"")</f>
        <v/>
      </c>
      <c r="G7020" s="18"/>
      <c r="H7020" s="16" t="s">
        <v>87</v>
      </c>
      <c r="I7020" s="16" t="s">
        <v>87</v>
      </c>
      <c r="J7020" s="19"/>
      <c r="L7020" s="16" t="str">
        <f>IFERROR(__xludf.DUMMYFUNCTION("""COMPUTED_VALUE"""),"")</f>
        <v/>
      </c>
      <c r="M7020" s="16" t="str">
        <f>IFERROR(__xludf.DUMMYFUNCTION("""COMPUTED_VALUE"""),"")</f>
        <v/>
      </c>
      <c r="U7020" s="16" t="s">
        <v>87</v>
      </c>
      <c r="V7020" s="16" t="str">
        <f>IFERROR(__xludf.DUMMYFUNCTION("""COMPUTED_VALUE"""),"")</f>
        <v/>
      </c>
      <c r="W7020" s="16" t="str">
        <f>IFERROR(__xludf.DUMMYFUNCTION("""COMPUTED_VALUE"""),"")</f>
        <v/>
      </c>
      <c r="X7020" s="16" t="str">
        <f>IFERROR(__xludf.DUMMYFUNCTION("""COMPUTED_VALUE"""),"")</f>
        <v/>
      </c>
      <c r="AC7020" s="16" t="str">
        <f>IFERROR(__xludf.DUMMYFUNCTION("""COMPUTED_VALUE"""),"")</f>
        <v/>
      </c>
    </row>
    <row r="7021">
      <c r="A7021" s="16" t="s">
        <v>87</v>
      </c>
      <c r="E7021" s="16" t="str">
        <f>IFERROR(__xludf.DUMMYFUNCTION("""COMPUTED_VALUE"""),"")</f>
        <v/>
      </c>
      <c r="G7021" s="18"/>
      <c r="H7021" s="16" t="s">
        <v>87</v>
      </c>
      <c r="I7021" s="16" t="s">
        <v>87</v>
      </c>
      <c r="J7021" s="19"/>
      <c r="L7021" s="16" t="str">
        <f>IFERROR(__xludf.DUMMYFUNCTION("""COMPUTED_VALUE"""),"")</f>
        <v/>
      </c>
      <c r="M7021" s="16" t="str">
        <f>IFERROR(__xludf.DUMMYFUNCTION("""COMPUTED_VALUE"""),"")</f>
        <v/>
      </c>
      <c r="U7021" s="16" t="s">
        <v>87</v>
      </c>
      <c r="V7021" s="16" t="str">
        <f>IFERROR(__xludf.DUMMYFUNCTION("""COMPUTED_VALUE"""),"")</f>
        <v/>
      </c>
      <c r="W7021" s="16" t="str">
        <f>IFERROR(__xludf.DUMMYFUNCTION("""COMPUTED_VALUE"""),"")</f>
        <v/>
      </c>
      <c r="X7021" s="16" t="str">
        <f>IFERROR(__xludf.DUMMYFUNCTION("""COMPUTED_VALUE"""),"")</f>
        <v/>
      </c>
      <c r="AC7021" s="16" t="str">
        <f>IFERROR(__xludf.DUMMYFUNCTION("""COMPUTED_VALUE"""),"")</f>
        <v/>
      </c>
    </row>
    <row r="7022">
      <c r="A7022" s="16" t="s">
        <v>87</v>
      </c>
      <c r="E7022" s="16" t="str">
        <f>IFERROR(__xludf.DUMMYFUNCTION("""COMPUTED_VALUE"""),"")</f>
        <v/>
      </c>
      <c r="G7022" s="18"/>
      <c r="H7022" s="16" t="s">
        <v>87</v>
      </c>
      <c r="I7022" s="16" t="s">
        <v>87</v>
      </c>
      <c r="J7022" s="19"/>
      <c r="L7022" s="16" t="str">
        <f>IFERROR(__xludf.DUMMYFUNCTION("""COMPUTED_VALUE"""),"")</f>
        <v/>
      </c>
      <c r="M7022" s="16" t="str">
        <f>IFERROR(__xludf.DUMMYFUNCTION("""COMPUTED_VALUE"""),"")</f>
        <v/>
      </c>
      <c r="U7022" s="16" t="s">
        <v>87</v>
      </c>
      <c r="V7022" s="16" t="str">
        <f>IFERROR(__xludf.DUMMYFUNCTION("""COMPUTED_VALUE"""),"")</f>
        <v/>
      </c>
      <c r="W7022" s="16" t="str">
        <f>IFERROR(__xludf.DUMMYFUNCTION("""COMPUTED_VALUE"""),"")</f>
        <v/>
      </c>
      <c r="X7022" s="16" t="str">
        <f>IFERROR(__xludf.DUMMYFUNCTION("""COMPUTED_VALUE"""),"")</f>
        <v/>
      </c>
      <c r="AC7022" s="16" t="str">
        <f>IFERROR(__xludf.DUMMYFUNCTION("""COMPUTED_VALUE"""),"")</f>
        <v/>
      </c>
    </row>
    <row r="7023">
      <c r="A7023" s="16" t="s">
        <v>87</v>
      </c>
      <c r="E7023" s="16" t="str">
        <f>IFERROR(__xludf.DUMMYFUNCTION("""COMPUTED_VALUE"""),"")</f>
        <v/>
      </c>
      <c r="G7023" s="18"/>
      <c r="H7023" s="16" t="s">
        <v>87</v>
      </c>
      <c r="I7023" s="16" t="s">
        <v>87</v>
      </c>
      <c r="J7023" s="19"/>
      <c r="L7023" s="16" t="str">
        <f>IFERROR(__xludf.DUMMYFUNCTION("""COMPUTED_VALUE"""),"")</f>
        <v/>
      </c>
      <c r="M7023" s="16" t="str">
        <f>IFERROR(__xludf.DUMMYFUNCTION("""COMPUTED_VALUE"""),"")</f>
        <v/>
      </c>
      <c r="U7023" s="16" t="s">
        <v>87</v>
      </c>
      <c r="V7023" s="16" t="str">
        <f>IFERROR(__xludf.DUMMYFUNCTION("""COMPUTED_VALUE"""),"")</f>
        <v/>
      </c>
      <c r="W7023" s="16" t="str">
        <f>IFERROR(__xludf.DUMMYFUNCTION("""COMPUTED_VALUE"""),"")</f>
        <v/>
      </c>
      <c r="X7023" s="16" t="str">
        <f>IFERROR(__xludf.DUMMYFUNCTION("""COMPUTED_VALUE"""),"")</f>
        <v/>
      </c>
      <c r="AC7023" s="16" t="str">
        <f>IFERROR(__xludf.DUMMYFUNCTION("""COMPUTED_VALUE"""),"")</f>
        <v/>
      </c>
    </row>
    <row r="7024">
      <c r="A7024" s="16" t="s">
        <v>87</v>
      </c>
      <c r="E7024" s="16" t="str">
        <f>IFERROR(__xludf.DUMMYFUNCTION("""COMPUTED_VALUE"""),"")</f>
        <v/>
      </c>
      <c r="G7024" s="18"/>
      <c r="H7024" s="16" t="s">
        <v>87</v>
      </c>
      <c r="I7024" s="16" t="s">
        <v>87</v>
      </c>
      <c r="J7024" s="19"/>
      <c r="L7024" s="16" t="str">
        <f>IFERROR(__xludf.DUMMYFUNCTION("""COMPUTED_VALUE"""),"")</f>
        <v/>
      </c>
      <c r="M7024" s="16" t="str">
        <f>IFERROR(__xludf.DUMMYFUNCTION("""COMPUTED_VALUE"""),"")</f>
        <v/>
      </c>
      <c r="U7024" s="16" t="s">
        <v>87</v>
      </c>
      <c r="V7024" s="16" t="str">
        <f>IFERROR(__xludf.DUMMYFUNCTION("""COMPUTED_VALUE"""),"")</f>
        <v/>
      </c>
      <c r="W7024" s="16" t="str">
        <f>IFERROR(__xludf.DUMMYFUNCTION("""COMPUTED_VALUE"""),"")</f>
        <v/>
      </c>
      <c r="X7024" s="16" t="str">
        <f>IFERROR(__xludf.DUMMYFUNCTION("""COMPUTED_VALUE"""),"")</f>
        <v/>
      </c>
      <c r="AC7024" s="16" t="str">
        <f>IFERROR(__xludf.DUMMYFUNCTION("""COMPUTED_VALUE"""),"")</f>
        <v/>
      </c>
    </row>
    <row r="7025">
      <c r="A7025" s="16" t="s">
        <v>87</v>
      </c>
      <c r="E7025" s="16" t="str">
        <f>IFERROR(__xludf.DUMMYFUNCTION("""COMPUTED_VALUE"""),"")</f>
        <v/>
      </c>
      <c r="G7025" s="18"/>
      <c r="H7025" s="16" t="s">
        <v>87</v>
      </c>
      <c r="I7025" s="16" t="s">
        <v>87</v>
      </c>
      <c r="J7025" s="19"/>
      <c r="L7025" s="16" t="str">
        <f>IFERROR(__xludf.DUMMYFUNCTION("""COMPUTED_VALUE"""),"")</f>
        <v/>
      </c>
      <c r="M7025" s="16" t="str">
        <f>IFERROR(__xludf.DUMMYFUNCTION("""COMPUTED_VALUE"""),"")</f>
        <v/>
      </c>
      <c r="U7025" s="16" t="s">
        <v>87</v>
      </c>
      <c r="V7025" s="16" t="str">
        <f>IFERROR(__xludf.DUMMYFUNCTION("""COMPUTED_VALUE"""),"")</f>
        <v/>
      </c>
      <c r="W7025" s="16" t="str">
        <f>IFERROR(__xludf.DUMMYFUNCTION("""COMPUTED_VALUE"""),"")</f>
        <v/>
      </c>
      <c r="X7025" s="16" t="str">
        <f>IFERROR(__xludf.DUMMYFUNCTION("""COMPUTED_VALUE"""),"")</f>
        <v/>
      </c>
      <c r="AC7025" s="16" t="str">
        <f>IFERROR(__xludf.DUMMYFUNCTION("""COMPUTED_VALUE"""),"")</f>
        <v/>
      </c>
    </row>
    <row r="7026">
      <c r="A7026" s="16" t="s">
        <v>87</v>
      </c>
      <c r="E7026" s="16" t="str">
        <f>IFERROR(__xludf.DUMMYFUNCTION("""COMPUTED_VALUE"""),"")</f>
        <v/>
      </c>
      <c r="G7026" s="18"/>
      <c r="H7026" s="16" t="s">
        <v>87</v>
      </c>
      <c r="I7026" s="16" t="s">
        <v>87</v>
      </c>
      <c r="J7026" s="19"/>
      <c r="L7026" s="16" t="str">
        <f>IFERROR(__xludf.DUMMYFUNCTION("""COMPUTED_VALUE"""),"")</f>
        <v/>
      </c>
      <c r="M7026" s="16" t="str">
        <f>IFERROR(__xludf.DUMMYFUNCTION("""COMPUTED_VALUE"""),"")</f>
        <v/>
      </c>
      <c r="U7026" s="16" t="s">
        <v>87</v>
      </c>
      <c r="V7026" s="16" t="str">
        <f>IFERROR(__xludf.DUMMYFUNCTION("""COMPUTED_VALUE"""),"")</f>
        <v/>
      </c>
      <c r="W7026" s="16" t="str">
        <f>IFERROR(__xludf.DUMMYFUNCTION("""COMPUTED_VALUE"""),"")</f>
        <v/>
      </c>
      <c r="X7026" s="16" t="str">
        <f>IFERROR(__xludf.DUMMYFUNCTION("""COMPUTED_VALUE"""),"")</f>
        <v/>
      </c>
      <c r="AC7026" s="16" t="str">
        <f>IFERROR(__xludf.DUMMYFUNCTION("""COMPUTED_VALUE"""),"")</f>
        <v/>
      </c>
    </row>
    <row r="7027">
      <c r="A7027" s="16" t="s">
        <v>87</v>
      </c>
      <c r="E7027" s="16" t="str">
        <f>IFERROR(__xludf.DUMMYFUNCTION("""COMPUTED_VALUE"""),"")</f>
        <v/>
      </c>
      <c r="G7027" s="18"/>
      <c r="H7027" s="16" t="s">
        <v>87</v>
      </c>
      <c r="I7027" s="16" t="s">
        <v>87</v>
      </c>
      <c r="J7027" s="19"/>
      <c r="L7027" s="16" t="str">
        <f>IFERROR(__xludf.DUMMYFUNCTION("""COMPUTED_VALUE"""),"")</f>
        <v/>
      </c>
      <c r="M7027" s="16" t="str">
        <f>IFERROR(__xludf.DUMMYFUNCTION("""COMPUTED_VALUE"""),"")</f>
        <v/>
      </c>
      <c r="U7027" s="16" t="s">
        <v>87</v>
      </c>
      <c r="V7027" s="16" t="str">
        <f>IFERROR(__xludf.DUMMYFUNCTION("""COMPUTED_VALUE"""),"")</f>
        <v/>
      </c>
      <c r="W7027" s="16" t="str">
        <f>IFERROR(__xludf.DUMMYFUNCTION("""COMPUTED_VALUE"""),"")</f>
        <v/>
      </c>
      <c r="X7027" s="16" t="str">
        <f>IFERROR(__xludf.DUMMYFUNCTION("""COMPUTED_VALUE"""),"")</f>
        <v/>
      </c>
      <c r="AC7027" s="16" t="str">
        <f>IFERROR(__xludf.DUMMYFUNCTION("""COMPUTED_VALUE"""),"")</f>
        <v/>
      </c>
    </row>
    <row r="7028">
      <c r="A7028" s="16" t="s">
        <v>87</v>
      </c>
      <c r="E7028" s="16" t="str">
        <f>IFERROR(__xludf.DUMMYFUNCTION("""COMPUTED_VALUE"""),"")</f>
        <v/>
      </c>
      <c r="G7028" s="18"/>
      <c r="H7028" s="16" t="s">
        <v>87</v>
      </c>
      <c r="I7028" s="16" t="s">
        <v>87</v>
      </c>
      <c r="J7028" s="19"/>
      <c r="L7028" s="16" t="str">
        <f>IFERROR(__xludf.DUMMYFUNCTION("""COMPUTED_VALUE"""),"")</f>
        <v/>
      </c>
      <c r="M7028" s="16" t="str">
        <f>IFERROR(__xludf.DUMMYFUNCTION("""COMPUTED_VALUE"""),"")</f>
        <v/>
      </c>
      <c r="U7028" s="16" t="s">
        <v>87</v>
      </c>
      <c r="V7028" s="16" t="str">
        <f>IFERROR(__xludf.DUMMYFUNCTION("""COMPUTED_VALUE"""),"")</f>
        <v/>
      </c>
      <c r="W7028" s="16" t="str">
        <f>IFERROR(__xludf.DUMMYFUNCTION("""COMPUTED_VALUE"""),"")</f>
        <v/>
      </c>
      <c r="X7028" s="16" t="str">
        <f>IFERROR(__xludf.DUMMYFUNCTION("""COMPUTED_VALUE"""),"")</f>
        <v/>
      </c>
      <c r="AC7028" s="16" t="str">
        <f>IFERROR(__xludf.DUMMYFUNCTION("""COMPUTED_VALUE"""),"")</f>
        <v/>
      </c>
    </row>
    <row r="7029">
      <c r="A7029" s="16" t="s">
        <v>87</v>
      </c>
      <c r="E7029" s="16" t="str">
        <f>IFERROR(__xludf.DUMMYFUNCTION("""COMPUTED_VALUE"""),"")</f>
        <v/>
      </c>
      <c r="G7029" s="18"/>
      <c r="H7029" s="16" t="s">
        <v>87</v>
      </c>
      <c r="I7029" s="16" t="s">
        <v>87</v>
      </c>
      <c r="J7029" s="19"/>
      <c r="L7029" s="16" t="str">
        <f>IFERROR(__xludf.DUMMYFUNCTION("""COMPUTED_VALUE"""),"")</f>
        <v/>
      </c>
      <c r="M7029" s="16" t="str">
        <f>IFERROR(__xludf.DUMMYFUNCTION("""COMPUTED_VALUE"""),"")</f>
        <v/>
      </c>
      <c r="U7029" s="16" t="s">
        <v>87</v>
      </c>
      <c r="V7029" s="16" t="str">
        <f>IFERROR(__xludf.DUMMYFUNCTION("""COMPUTED_VALUE"""),"")</f>
        <v/>
      </c>
      <c r="W7029" s="16" t="str">
        <f>IFERROR(__xludf.DUMMYFUNCTION("""COMPUTED_VALUE"""),"")</f>
        <v/>
      </c>
      <c r="X7029" s="16" t="str">
        <f>IFERROR(__xludf.DUMMYFUNCTION("""COMPUTED_VALUE"""),"")</f>
        <v/>
      </c>
      <c r="AC7029" s="16" t="str">
        <f>IFERROR(__xludf.DUMMYFUNCTION("""COMPUTED_VALUE"""),"")</f>
        <v/>
      </c>
    </row>
    <row r="7030">
      <c r="A7030" s="16" t="s">
        <v>87</v>
      </c>
      <c r="E7030" s="16" t="str">
        <f>IFERROR(__xludf.DUMMYFUNCTION("""COMPUTED_VALUE"""),"")</f>
        <v/>
      </c>
      <c r="G7030" s="18"/>
      <c r="H7030" s="16" t="s">
        <v>87</v>
      </c>
      <c r="I7030" s="16" t="s">
        <v>87</v>
      </c>
      <c r="J7030" s="19"/>
      <c r="L7030" s="16" t="str">
        <f>IFERROR(__xludf.DUMMYFUNCTION("""COMPUTED_VALUE"""),"")</f>
        <v/>
      </c>
      <c r="M7030" s="16" t="str">
        <f>IFERROR(__xludf.DUMMYFUNCTION("""COMPUTED_VALUE"""),"")</f>
        <v/>
      </c>
      <c r="U7030" s="16" t="s">
        <v>87</v>
      </c>
      <c r="V7030" s="16" t="str">
        <f>IFERROR(__xludf.DUMMYFUNCTION("""COMPUTED_VALUE"""),"")</f>
        <v/>
      </c>
      <c r="W7030" s="16" t="str">
        <f>IFERROR(__xludf.DUMMYFUNCTION("""COMPUTED_VALUE"""),"")</f>
        <v/>
      </c>
      <c r="X7030" s="16" t="str">
        <f>IFERROR(__xludf.DUMMYFUNCTION("""COMPUTED_VALUE"""),"")</f>
        <v/>
      </c>
      <c r="AC7030" s="16" t="str">
        <f>IFERROR(__xludf.DUMMYFUNCTION("""COMPUTED_VALUE"""),"")</f>
        <v/>
      </c>
    </row>
    <row r="7031">
      <c r="A7031" s="16" t="s">
        <v>87</v>
      </c>
      <c r="E7031" s="16" t="str">
        <f>IFERROR(__xludf.DUMMYFUNCTION("""COMPUTED_VALUE"""),"")</f>
        <v/>
      </c>
      <c r="G7031" s="18"/>
      <c r="H7031" s="16" t="s">
        <v>87</v>
      </c>
      <c r="I7031" s="16" t="s">
        <v>87</v>
      </c>
      <c r="J7031" s="19"/>
      <c r="L7031" s="16" t="str">
        <f>IFERROR(__xludf.DUMMYFUNCTION("""COMPUTED_VALUE"""),"")</f>
        <v/>
      </c>
      <c r="M7031" s="16" t="str">
        <f>IFERROR(__xludf.DUMMYFUNCTION("""COMPUTED_VALUE"""),"")</f>
        <v/>
      </c>
      <c r="U7031" s="16" t="s">
        <v>87</v>
      </c>
      <c r="V7031" s="16" t="str">
        <f>IFERROR(__xludf.DUMMYFUNCTION("""COMPUTED_VALUE"""),"")</f>
        <v/>
      </c>
      <c r="W7031" s="16" t="str">
        <f>IFERROR(__xludf.DUMMYFUNCTION("""COMPUTED_VALUE"""),"")</f>
        <v/>
      </c>
      <c r="X7031" s="16" t="str">
        <f>IFERROR(__xludf.DUMMYFUNCTION("""COMPUTED_VALUE"""),"")</f>
        <v/>
      </c>
      <c r="AC7031" s="16" t="str">
        <f>IFERROR(__xludf.DUMMYFUNCTION("""COMPUTED_VALUE"""),"")</f>
        <v/>
      </c>
    </row>
    <row r="7032">
      <c r="A7032" s="16" t="s">
        <v>87</v>
      </c>
      <c r="E7032" s="16" t="str">
        <f>IFERROR(__xludf.DUMMYFUNCTION("""COMPUTED_VALUE"""),"")</f>
        <v/>
      </c>
      <c r="G7032" s="18"/>
      <c r="H7032" s="16" t="s">
        <v>87</v>
      </c>
      <c r="I7032" s="16" t="s">
        <v>87</v>
      </c>
      <c r="J7032" s="19"/>
      <c r="L7032" s="16" t="str">
        <f>IFERROR(__xludf.DUMMYFUNCTION("""COMPUTED_VALUE"""),"")</f>
        <v/>
      </c>
      <c r="M7032" s="16" t="str">
        <f>IFERROR(__xludf.DUMMYFUNCTION("""COMPUTED_VALUE"""),"")</f>
        <v/>
      </c>
      <c r="U7032" s="16" t="s">
        <v>87</v>
      </c>
      <c r="V7032" s="16" t="str">
        <f>IFERROR(__xludf.DUMMYFUNCTION("""COMPUTED_VALUE"""),"")</f>
        <v/>
      </c>
      <c r="W7032" s="16" t="str">
        <f>IFERROR(__xludf.DUMMYFUNCTION("""COMPUTED_VALUE"""),"")</f>
        <v/>
      </c>
      <c r="X7032" s="16" t="str">
        <f>IFERROR(__xludf.DUMMYFUNCTION("""COMPUTED_VALUE"""),"")</f>
        <v/>
      </c>
      <c r="AC7032" s="16" t="str">
        <f>IFERROR(__xludf.DUMMYFUNCTION("""COMPUTED_VALUE"""),"")</f>
        <v/>
      </c>
    </row>
    <row r="7033">
      <c r="A7033" s="16" t="s">
        <v>87</v>
      </c>
      <c r="E7033" s="16" t="str">
        <f>IFERROR(__xludf.DUMMYFUNCTION("""COMPUTED_VALUE"""),"")</f>
        <v/>
      </c>
      <c r="G7033" s="18"/>
      <c r="H7033" s="16" t="s">
        <v>87</v>
      </c>
      <c r="I7033" s="16" t="s">
        <v>87</v>
      </c>
      <c r="J7033" s="19"/>
      <c r="L7033" s="16" t="str">
        <f>IFERROR(__xludf.DUMMYFUNCTION("""COMPUTED_VALUE"""),"")</f>
        <v/>
      </c>
      <c r="M7033" s="16" t="str">
        <f>IFERROR(__xludf.DUMMYFUNCTION("""COMPUTED_VALUE"""),"")</f>
        <v/>
      </c>
      <c r="U7033" s="16" t="s">
        <v>87</v>
      </c>
      <c r="V7033" s="16" t="str">
        <f>IFERROR(__xludf.DUMMYFUNCTION("""COMPUTED_VALUE"""),"")</f>
        <v/>
      </c>
      <c r="W7033" s="16" t="str">
        <f>IFERROR(__xludf.DUMMYFUNCTION("""COMPUTED_VALUE"""),"")</f>
        <v/>
      </c>
      <c r="X7033" s="16" t="str">
        <f>IFERROR(__xludf.DUMMYFUNCTION("""COMPUTED_VALUE"""),"")</f>
        <v/>
      </c>
      <c r="AC7033" s="16" t="str">
        <f>IFERROR(__xludf.DUMMYFUNCTION("""COMPUTED_VALUE"""),"")</f>
        <v/>
      </c>
    </row>
    <row r="7034">
      <c r="A7034" s="16" t="s">
        <v>87</v>
      </c>
      <c r="E7034" s="16" t="str">
        <f>IFERROR(__xludf.DUMMYFUNCTION("""COMPUTED_VALUE"""),"")</f>
        <v/>
      </c>
      <c r="G7034" s="18"/>
      <c r="H7034" s="16" t="s">
        <v>87</v>
      </c>
      <c r="I7034" s="16" t="s">
        <v>87</v>
      </c>
      <c r="J7034" s="19"/>
      <c r="L7034" s="16" t="str">
        <f>IFERROR(__xludf.DUMMYFUNCTION("""COMPUTED_VALUE"""),"")</f>
        <v/>
      </c>
      <c r="M7034" s="16" t="str">
        <f>IFERROR(__xludf.DUMMYFUNCTION("""COMPUTED_VALUE"""),"")</f>
        <v/>
      </c>
      <c r="U7034" s="16" t="s">
        <v>87</v>
      </c>
      <c r="V7034" s="16" t="str">
        <f>IFERROR(__xludf.DUMMYFUNCTION("""COMPUTED_VALUE"""),"")</f>
        <v/>
      </c>
      <c r="W7034" s="16" t="str">
        <f>IFERROR(__xludf.DUMMYFUNCTION("""COMPUTED_VALUE"""),"")</f>
        <v/>
      </c>
      <c r="X7034" s="16" t="str">
        <f>IFERROR(__xludf.DUMMYFUNCTION("""COMPUTED_VALUE"""),"")</f>
        <v/>
      </c>
      <c r="AC7034" s="16" t="str">
        <f>IFERROR(__xludf.DUMMYFUNCTION("""COMPUTED_VALUE"""),"")</f>
        <v/>
      </c>
    </row>
    <row r="7035">
      <c r="A7035" s="16" t="s">
        <v>87</v>
      </c>
      <c r="E7035" s="16" t="str">
        <f>IFERROR(__xludf.DUMMYFUNCTION("""COMPUTED_VALUE"""),"")</f>
        <v/>
      </c>
      <c r="G7035" s="18"/>
      <c r="H7035" s="16" t="s">
        <v>87</v>
      </c>
      <c r="I7035" s="16" t="s">
        <v>87</v>
      </c>
      <c r="J7035" s="19"/>
      <c r="L7035" s="16" t="str">
        <f>IFERROR(__xludf.DUMMYFUNCTION("""COMPUTED_VALUE"""),"")</f>
        <v/>
      </c>
      <c r="M7035" s="16" t="str">
        <f>IFERROR(__xludf.DUMMYFUNCTION("""COMPUTED_VALUE"""),"")</f>
        <v/>
      </c>
      <c r="U7035" s="16" t="s">
        <v>87</v>
      </c>
      <c r="V7035" s="16" t="str">
        <f>IFERROR(__xludf.DUMMYFUNCTION("""COMPUTED_VALUE"""),"")</f>
        <v/>
      </c>
      <c r="W7035" s="16" t="str">
        <f>IFERROR(__xludf.DUMMYFUNCTION("""COMPUTED_VALUE"""),"")</f>
        <v/>
      </c>
      <c r="X7035" s="16" t="str">
        <f>IFERROR(__xludf.DUMMYFUNCTION("""COMPUTED_VALUE"""),"")</f>
        <v/>
      </c>
      <c r="AC7035" s="16" t="str">
        <f>IFERROR(__xludf.DUMMYFUNCTION("""COMPUTED_VALUE"""),"")</f>
        <v/>
      </c>
    </row>
    <row r="7036">
      <c r="A7036" s="16" t="s">
        <v>87</v>
      </c>
      <c r="E7036" s="16" t="str">
        <f>IFERROR(__xludf.DUMMYFUNCTION("""COMPUTED_VALUE"""),"")</f>
        <v/>
      </c>
      <c r="G7036" s="18"/>
      <c r="H7036" s="16" t="s">
        <v>87</v>
      </c>
      <c r="I7036" s="16" t="s">
        <v>87</v>
      </c>
      <c r="J7036" s="19"/>
      <c r="L7036" s="16" t="str">
        <f>IFERROR(__xludf.DUMMYFUNCTION("""COMPUTED_VALUE"""),"")</f>
        <v/>
      </c>
      <c r="M7036" s="16" t="str">
        <f>IFERROR(__xludf.DUMMYFUNCTION("""COMPUTED_VALUE"""),"")</f>
        <v/>
      </c>
      <c r="U7036" s="16" t="s">
        <v>87</v>
      </c>
      <c r="V7036" s="16" t="str">
        <f>IFERROR(__xludf.DUMMYFUNCTION("""COMPUTED_VALUE"""),"")</f>
        <v/>
      </c>
      <c r="W7036" s="16" t="str">
        <f>IFERROR(__xludf.DUMMYFUNCTION("""COMPUTED_VALUE"""),"")</f>
        <v/>
      </c>
      <c r="X7036" s="16" t="str">
        <f>IFERROR(__xludf.DUMMYFUNCTION("""COMPUTED_VALUE"""),"")</f>
        <v/>
      </c>
      <c r="AC7036" s="16" t="str">
        <f>IFERROR(__xludf.DUMMYFUNCTION("""COMPUTED_VALUE"""),"")</f>
        <v/>
      </c>
    </row>
    <row r="7037">
      <c r="A7037" s="16" t="s">
        <v>87</v>
      </c>
      <c r="E7037" s="16" t="str">
        <f>IFERROR(__xludf.DUMMYFUNCTION("""COMPUTED_VALUE"""),"")</f>
        <v/>
      </c>
      <c r="G7037" s="18"/>
      <c r="H7037" s="16" t="s">
        <v>87</v>
      </c>
      <c r="I7037" s="16" t="s">
        <v>87</v>
      </c>
      <c r="J7037" s="19"/>
      <c r="L7037" s="16" t="str">
        <f>IFERROR(__xludf.DUMMYFUNCTION("""COMPUTED_VALUE"""),"")</f>
        <v/>
      </c>
      <c r="M7037" s="16" t="str">
        <f>IFERROR(__xludf.DUMMYFUNCTION("""COMPUTED_VALUE"""),"")</f>
        <v/>
      </c>
      <c r="U7037" s="16" t="s">
        <v>87</v>
      </c>
      <c r="V7037" s="16" t="str">
        <f>IFERROR(__xludf.DUMMYFUNCTION("""COMPUTED_VALUE"""),"")</f>
        <v/>
      </c>
      <c r="W7037" s="16" t="str">
        <f>IFERROR(__xludf.DUMMYFUNCTION("""COMPUTED_VALUE"""),"")</f>
        <v/>
      </c>
      <c r="X7037" s="16" t="str">
        <f>IFERROR(__xludf.DUMMYFUNCTION("""COMPUTED_VALUE"""),"")</f>
        <v/>
      </c>
      <c r="AC7037" s="16" t="str">
        <f>IFERROR(__xludf.DUMMYFUNCTION("""COMPUTED_VALUE"""),"")</f>
        <v/>
      </c>
    </row>
    <row r="7038">
      <c r="A7038" s="16" t="s">
        <v>87</v>
      </c>
      <c r="E7038" s="16" t="str">
        <f>IFERROR(__xludf.DUMMYFUNCTION("""COMPUTED_VALUE"""),"")</f>
        <v/>
      </c>
      <c r="G7038" s="18"/>
      <c r="H7038" s="16" t="s">
        <v>87</v>
      </c>
      <c r="I7038" s="16" t="s">
        <v>87</v>
      </c>
      <c r="J7038" s="19"/>
      <c r="L7038" s="16" t="str">
        <f>IFERROR(__xludf.DUMMYFUNCTION("""COMPUTED_VALUE"""),"")</f>
        <v/>
      </c>
      <c r="M7038" s="16" t="str">
        <f>IFERROR(__xludf.DUMMYFUNCTION("""COMPUTED_VALUE"""),"")</f>
        <v/>
      </c>
      <c r="U7038" s="16" t="s">
        <v>87</v>
      </c>
      <c r="V7038" s="16" t="str">
        <f>IFERROR(__xludf.DUMMYFUNCTION("""COMPUTED_VALUE"""),"")</f>
        <v/>
      </c>
      <c r="W7038" s="16" t="str">
        <f>IFERROR(__xludf.DUMMYFUNCTION("""COMPUTED_VALUE"""),"")</f>
        <v/>
      </c>
      <c r="X7038" s="16" t="str">
        <f>IFERROR(__xludf.DUMMYFUNCTION("""COMPUTED_VALUE"""),"")</f>
        <v/>
      </c>
      <c r="AC7038" s="16" t="str">
        <f>IFERROR(__xludf.DUMMYFUNCTION("""COMPUTED_VALUE"""),"")</f>
        <v/>
      </c>
    </row>
    <row r="7039">
      <c r="A7039" s="16" t="s">
        <v>87</v>
      </c>
      <c r="E7039" s="16" t="str">
        <f>IFERROR(__xludf.DUMMYFUNCTION("""COMPUTED_VALUE"""),"")</f>
        <v/>
      </c>
      <c r="G7039" s="18"/>
      <c r="H7039" s="16" t="s">
        <v>87</v>
      </c>
      <c r="I7039" s="16" t="s">
        <v>87</v>
      </c>
      <c r="J7039" s="19"/>
      <c r="L7039" s="16" t="str">
        <f>IFERROR(__xludf.DUMMYFUNCTION("""COMPUTED_VALUE"""),"")</f>
        <v/>
      </c>
      <c r="M7039" s="16" t="str">
        <f>IFERROR(__xludf.DUMMYFUNCTION("""COMPUTED_VALUE"""),"")</f>
        <v/>
      </c>
      <c r="U7039" s="16" t="s">
        <v>87</v>
      </c>
      <c r="V7039" s="16" t="str">
        <f>IFERROR(__xludf.DUMMYFUNCTION("""COMPUTED_VALUE"""),"")</f>
        <v/>
      </c>
      <c r="W7039" s="16" t="str">
        <f>IFERROR(__xludf.DUMMYFUNCTION("""COMPUTED_VALUE"""),"")</f>
        <v/>
      </c>
      <c r="X7039" s="16" t="str">
        <f>IFERROR(__xludf.DUMMYFUNCTION("""COMPUTED_VALUE"""),"")</f>
        <v/>
      </c>
      <c r="AC7039" s="16" t="str">
        <f>IFERROR(__xludf.DUMMYFUNCTION("""COMPUTED_VALUE"""),"")</f>
        <v/>
      </c>
    </row>
    <row r="7040">
      <c r="A7040" s="16" t="s">
        <v>87</v>
      </c>
      <c r="E7040" s="16" t="str">
        <f>IFERROR(__xludf.DUMMYFUNCTION("""COMPUTED_VALUE"""),"")</f>
        <v/>
      </c>
      <c r="G7040" s="18"/>
      <c r="H7040" s="16" t="s">
        <v>87</v>
      </c>
      <c r="I7040" s="16" t="s">
        <v>87</v>
      </c>
      <c r="J7040" s="19"/>
      <c r="L7040" s="16" t="str">
        <f>IFERROR(__xludf.DUMMYFUNCTION("""COMPUTED_VALUE"""),"")</f>
        <v/>
      </c>
      <c r="M7040" s="16" t="str">
        <f>IFERROR(__xludf.DUMMYFUNCTION("""COMPUTED_VALUE"""),"")</f>
        <v/>
      </c>
      <c r="U7040" s="16" t="s">
        <v>87</v>
      </c>
      <c r="V7040" s="16" t="str">
        <f>IFERROR(__xludf.DUMMYFUNCTION("""COMPUTED_VALUE"""),"")</f>
        <v/>
      </c>
      <c r="W7040" s="16" t="str">
        <f>IFERROR(__xludf.DUMMYFUNCTION("""COMPUTED_VALUE"""),"")</f>
        <v/>
      </c>
      <c r="X7040" s="16" t="str">
        <f>IFERROR(__xludf.DUMMYFUNCTION("""COMPUTED_VALUE"""),"")</f>
        <v/>
      </c>
      <c r="AC7040" s="16" t="str">
        <f>IFERROR(__xludf.DUMMYFUNCTION("""COMPUTED_VALUE"""),"")</f>
        <v/>
      </c>
    </row>
    <row r="7041">
      <c r="A7041" s="16" t="s">
        <v>87</v>
      </c>
      <c r="E7041" s="16" t="str">
        <f>IFERROR(__xludf.DUMMYFUNCTION("""COMPUTED_VALUE"""),"")</f>
        <v/>
      </c>
      <c r="G7041" s="18"/>
      <c r="H7041" s="16" t="s">
        <v>87</v>
      </c>
      <c r="I7041" s="16" t="s">
        <v>87</v>
      </c>
      <c r="J7041" s="19"/>
      <c r="L7041" s="16" t="str">
        <f>IFERROR(__xludf.DUMMYFUNCTION("""COMPUTED_VALUE"""),"")</f>
        <v/>
      </c>
      <c r="M7041" s="16" t="str">
        <f>IFERROR(__xludf.DUMMYFUNCTION("""COMPUTED_VALUE"""),"")</f>
        <v/>
      </c>
      <c r="U7041" s="16" t="s">
        <v>87</v>
      </c>
      <c r="V7041" s="16" t="str">
        <f>IFERROR(__xludf.DUMMYFUNCTION("""COMPUTED_VALUE"""),"")</f>
        <v/>
      </c>
      <c r="W7041" s="16" t="str">
        <f>IFERROR(__xludf.DUMMYFUNCTION("""COMPUTED_VALUE"""),"")</f>
        <v/>
      </c>
      <c r="X7041" s="16" t="str">
        <f>IFERROR(__xludf.DUMMYFUNCTION("""COMPUTED_VALUE"""),"")</f>
        <v/>
      </c>
      <c r="AC7041" s="16" t="str">
        <f>IFERROR(__xludf.DUMMYFUNCTION("""COMPUTED_VALUE"""),"")</f>
        <v/>
      </c>
    </row>
    <row r="7042">
      <c r="A7042" s="16" t="s">
        <v>87</v>
      </c>
      <c r="E7042" s="16" t="str">
        <f>IFERROR(__xludf.DUMMYFUNCTION("""COMPUTED_VALUE"""),"")</f>
        <v/>
      </c>
      <c r="G7042" s="18"/>
      <c r="H7042" s="16" t="s">
        <v>87</v>
      </c>
      <c r="I7042" s="16" t="s">
        <v>87</v>
      </c>
      <c r="J7042" s="19"/>
      <c r="L7042" s="16" t="str">
        <f>IFERROR(__xludf.DUMMYFUNCTION("""COMPUTED_VALUE"""),"")</f>
        <v/>
      </c>
      <c r="M7042" s="16" t="str">
        <f>IFERROR(__xludf.DUMMYFUNCTION("""COMPUTED_VALUE"""),"")</f>
        <v/>
      </c>
      <c r="U7042" s="16" t="s">
        <v>87</v>
      </c>
      <c r="V7042" s="16" t="str">
        <f>IFERROR(__xludf.DUMMYFUNCTION("""COMPUTED_VALUE"""),"")</f>
        <v/>
      </c>
      <c r="W7042" s="16" t="str">
        <f>IFERROR(__xludf.DUMMYFUNCTION("""COMPUTED_VALUE"""),"")</f>
        <v/>
      </c>
      <c r="X7042" s="16" t="str">
        <f>IFERROR(__xludf.DUMMYFUNCTION("""COMPUTED_VALUE"""),"")</f>
        <v/>
      </c>
      <c r="AC7042" s="16" t="str">
        <f>IFERROR(__xludf.DUMMYFUNCTION("""COMPUTED_VALUE"""),"")</f>
        <v/>
      </c>
    </row>
    <row r="7043">
      <c r="A7043" s="16" t="s">
        <v>87</v>
      </c>
      <c r="E7043" s="16" t="str">
        <f>IFERROR(__xludf.DUMMYFUNCTION("""COMPUTED_VALUE"""),"")</f>
        <v/>
      </c>
      <c r="G7043" s="18"/>
      <c r="H7043" s="16" t="s">
        <v>87</v>
      </c>
      <c r="I7043" s="16" t="s">
        <v>87</v>
      </c>
      <c r="J7043" s="19"/>
      <c r="L7043" s="16" t="str">
        <f>IFERROR(__xludf.DUMMYFUNCTION("""COMPUTED_VALUE"""),"")</f>
        <v/>
      </c>
      <c r="M7043" s="16" t="str">
        <f>IFERROR(__xludf.DUMMYFUNCTION("""COMPUTED_VALUE"""),"")</f>
        <v/>
      </c>
      <c r="U7043" s="16" t="s">
        <v>87</v>
      </c>
      <c r="V7043" s="16" t="str">
        <f>IFERROR(__xludf.DUMMYFUNCTION("""COMPUTED_VALUE"""),"")</f>
        <v/>
      </c>
      <c r="W7043" s="16" t="str">
        <f>IFERROR(__xludf.DUMMYFUNCTION("""COMPUTED_VALUE"""),"")</f>
        <v/>
      </c>
      <c r="X7043" s="16" t="str">
        <f>IFERROR(__xludf.DUMMYFUNCTION("""COMPUTED_VALUE"""),"")</f>
        <v/>
      </c>
      <c r="AC7043" s="16" t="str">
        <f>IFERROR(__xludf.DUMMYFUNCTION("""COMPUTED_VALUE"""),"")</f>
        <v/>
      </c>
    </row>
    <row r="7044">
      <c r="A7044" s="16" t="s">
        <v>87</v>
      </c>
      <c r="E7044" s="16" t="str">
        <f>IFERROR(__xludf.DUMMYFUNCTION("""COMPUTED_VALUE"""),"")</f>
        <v/>
      </c>
      <c r="G7044" s="18"/>
      <c r="H7044" s="16" t="s">
        <v>87</v>
      </c>
      <c r="I7044" s="16" t="s">
        <v>87</v>
      </c>
      <c r="J7044" s="19"/>
      <c r="L7044" s="16" t="str">
        <f>IFERROR(__xludf.DUMMYFUNCTION("""COMPUTED_VALUE"""),"")</f>
        <v/>
      </c>
      <c r="M7044" s="16" t="str">
        <f>IFERROR(__xludf.DUMMYFUNCTION("""COMPUTED_VALUE"""),"")</f>
        <v/>
      </c>
      <c r="U7044" s="16" t="s">
        <v>87</v>
      </c>
      <c r="V7044" s="16" t="str">
        <f>IFERROR(__xludf.DUMMYFUNCTION("""COMPUTED_VALUE"""),"")</f>
        <v/>
      </c>
      <c r="W7044" s="16" t="str">
        <f>IFERROR(__xludf.DUMMYFUNCTION("""COMPUTED_VALUE"""),"")</f>
        <v/>
      </c>
      <c r="X7044" s="16" t="str">
        <f>IFERROR(__xludf.DUMMYFUNCTION("""COMPUTED_VALUE"""),"")</f>
        <v/>
      </c>
      <c r="AC7044" s="16" t="str">
        <f>IFERROR(__xludf.DUMMYFUNCTION("""COMPUTED_VALUE"""),"")</f>
        <v/>
      </c>
    </row>
    <row r="7045">
      <c r="A7045" s="16" t="s">
        <v>87</v>
      </c>
      <c r="E7045" s="16" t="str">
        <f>IFERROR(__xludf.DUMMYFUNCTION("""COMPUTED_VALUE"""),"")</f>
        <v/>
      </c>
      <c r="G7045" s="18"/>
      <c r="H7045" s="16" t="s">
        <v>87</v>
      </c>
      <c r="I7045" s="16" t="s">
        <v>87</v>
      </c>
      <c r="J7045" s="19"/>
      <c r="L7045" s="16" t="str">
        <f>IFERROR(__xludf.DUMMYFUNCTION("""COMPUTED_VALUE"""),"")</f>
        <v/>
      </c>
      <c r="M7045" s="16" t="str">
        <f>IFERROR(__xludf.DUMMYFUNCTION("""COMPUTED_VALUE"""),"")</f>
        <v/>
      </c>
      <c r="U7045" s="16" t="s">
        <v>87</v>
      </c>
      <c r="V7045" s="16" t="str">
        <f>IFERROR(__xludf.DUMMYFUNCTION("""COMPUTED_VALUE"""),"")</f>
        <v/>
      </c>
      <c r="W7045" s="16" t="str">
        <f>IFERROR(__xludf.DUMMYFUNCTION("""COMPUTED_VALUE"""),"")</f>
        <v/>
      </c>
      <c r="X7045" s="16" t="str">
        <f>IFERROR(__xludf.DUMMYFUNCTION("""COMPUTED_VALUE"""),"")</f>
        <v/>
      </c>
      <c r="AC7045" s="16" t="str">
        <f>IFERROR(__xludf.DUMMYFUNCTION("""COMPUTED_VALUE"""),"")</f>
        <v/>
      </c>
    </row>
    <row r="7046">
      <c r="A7046" s="16" t="s">
        <v>87</v>
      </c>
      <c r="E7046" s="16" t="str">
        <f>IFERROR(__xludf.DUMMYFUNCTION("""COMPUTED_VALUE"""),"")</f>
        <v/>
      </c>
      <c r="G7046" s="18"/>
      <c r="H7046" s="16" t="s">
        <v>87</v>
      </c>
      <c r="I7046" s="16" t="s">
        <v>87</v>
      </c>
      <c r="J7046" s="19"/>
      <c r="L7046" s="16" t="str">
        <f>IFERROR(__xludf.DUMMYFUNCTION("""COMPUTED_VALUE"""),"")</f>
        <v/>
      </c>
      <c r="M7046" s="16" t="str">
        <f>IFERROR(__xludf.DUMMYFUNCTION("""COMPUTED_VALUE"""),"")</f>
        <v/>
      </c>
      <c r="U7046" s="16" t="s">
        <v>87</v>
      </c>
      <c r="V7046" s="16" t="str">
        <f>IFERROR(__xludf.DUMMYFUNCTION("""COMPUTED_VALUE"""),"")</f>
        <v/>
      </c>
      <c r="W7046" s="16" t="str">
        <f>IFERROR(__xludf.DUMMYFUNCTION("""COMPUTED_VALUE"""),"")</f>
        <v/>
      </c>
      <c r="X7046" s="16" t="str">
        <f>IFERROR(__xludf.DUMMYFUNCTION("""COMPUTED_VALUE"""),"")</f>
        <v/>
      </c>
      <c r="AC7046" s="16" t="str">
        <f>IFERROR(__xludf.DUMMYFUNCTION("""COMPUTED_VALUE"""),"")</f>
        <v/>
      </c>
    </row>
    <row r="7047">
      <c r="A7047" s="16" t="s">
        <v>87</v>
      </c>
      <c r="E7047" s="16" t="str">
        <f>IFERROR(__xludf.DUMMYFUNCTION("""COMPUTED_VALUE"""),"")</f>
        <v/>
      </c>
      <c r="G7047" s="18"/>
      <c r="H7047" s="16" t="s">
        <v>87</v>
      </c>
      <c r="I7047" s="16" t="s">
        <v>87</v>
      </c>
      <c r="J7047" s="19"/>
      <c r="L7047" s="16" t="str">
        <f>IFERROR(__xludf.DUMMYFUNCTION("""COMPUTED_VALUE"""),"")</f>
        <v/>
      </c>
      <c r="M7047" s="16" t="str">
        <f>IFERROR(__xludf.DUMMYFUNCTION("""COMPUTED_VALUE"""),"")</f>
        <v/>
      </c>
      <c r="U7047" s="16" t="s">
        <v>87</v>
      </c>
      <c r="V7047" s="16" t="str">
        <f>IFERROR(__xludf.DUMMYFUNCTION("""COMPUTED_VALUE"""),"")</f>
        <v/>
      </c>
      <c r="W7047" s="16" t="str">
        <f>IFERROR(__xludf.DUMMYFUNCTION("""COMPUTED_VALUE"""),"")</f>
        <v/>
      </c>
      <c r="X7047" s="16" t="str">
        <f>IFERROR(__xludf.DUMMYFUNCTION("""COMPUTED_VALUE"""),"")</f>
        <v/>
      </c>
      <c r="AC7047" s="16" t="str">
        <f>IFERROR(__xludf.DUMMYFUNCTION("""COMPUTED_VALUE"""),"")</f>
        <v/>
      </c>
    </row>
    <row r="7048">
      <c r="A7048" s="16" t="s">
        <v>87</v>
      </c>
      <c r="E7048" s="16" t="str">
        <f>IFERROR(__xludf.DUMMYFUNCTION("""COMPUTED_VALUE"""),"")</f>
        <v/>
      </c>
      <c r="G7048" s="18"/>
      <c r="H7048" s="16" t="s">
        <v>87</v>
      </c>
      <c r="I7048" s="16" t="s">
        <v>87</v>
      </c>
      <c r="J7048" s="19"/>
      <c r="L7048" s="16" t="str">
        <f>IFERROR(__xludf.DUMMYFUNCTION("""COMPUTED_VALUE"""),"")</f>
        <v/>
      </c>
      <c r="M7048" s="16" t="str">
        <f>IFERROR(__xludf.DUMMYFUNCTION("""COMPUTED_VALUE"""),"")</f>
        <v/>
      </c>
      <c r="U7048" s="16" t="s">
        <v>87</v>
      </c>
      <c r="V7048" s="16" t="str">
        <f>IFERROR(__xludf.DUMMYFUNCTION("""COMPUTED_VALUE"""),"")</f>
        <v/>
      </c>
      <c r="W7048" s="16" t="str">
        <f>IFERROR(__xludf.DUMMYFUNCTION("""COMPUTED_VALUE"""),"")</f>
        <v/>
      </c>
      <c r="X7048" s="16" t="str">
        <f>IFERROR(__xludf.DUMMYFUNCTION("""COMPUTED_VALUE"""),"")</f>
        <v/>
      </c>
      <c r="AC7048" s="16" t="str">
        <f>IFERROR(__xludf.DUMMYFUNCTION("""COMPUTED_VALUE"""),"")</f>
        <v/>
      </c>
    </row>
    <row r="7049">
      <c r="A7049" s="16" t="s">
        <v>87</v>
      </c>
      <c r="E7049" s="16" t="str">
        <f>IFERROR(__xludf.DUMMYFUNCTION("""COMPUTED_VALUE"""),"")</f>
        <v/>
      </c>
      <c r="G7049" s="18"/>
      <c r="H7049" s="16" t="s">
        <v>87</v>
      </c>
      <c r="I7049" s="16" t="s">
        <v>87</v>
      </c>
      <c r="J7049" s="19"/>
      <c r="L7049" s="16" t="str">
        <f>IFERROR(__xludf.DUMMYFUNCTION("""COMPUTED_VALUE"""),"")</f>
        <v/>
      </c>
      <c r="M7049" s="16" t="str">
        <f>IFERROR(__xludf.DUMMYFUNCTION("""COMPUTED_VALUE"""),"")</f>
        <v/>
      </c>
      <c r="U7049" s="16" t="s">
        <v>87</v>
      </c>
      <c r="V7049" s="16" t="str">
        <f>IFERROR(__xludf.DUMMYFUNCTION("""COMPUTED_VALUE"""),"")</f>
        <v/>
      </c>
      <c r="W7049" s="16" t="str">
        <f>IFERROR(__xludf.DUMMYFUNCTION("""COMPUTED_VALUE"""),"")</f>
        <v/>
      </c>
      <c r="X7049" s="16" t="str">
        <f>IFERROR(__xludf.DUMMYFUNCTION("""COMPUTED_VALUE"""),"")</f>
        <v/>
      </c>
      <c r="AC7049" s="16" t="str">
        <f>IFERROR(__xludf.DUMMYFUNCTION("""COMPUTED_VALUE"""),"")</f>
        <v/>
      </c>
    </row>
    <row r="7050">
      <c r="A7050" s="16" t="s">
        <v>87</v>
      </c>
      <c r="E7050" s="16" t="str">
        <f>IFERROR(__xludf.DUMMYFUNCTION("""COMPUTED_VALUE"""),"")</f>
        <v/>
      </c>
      <c r="G7050" s="18"/>
      <c r="H7050" s="16" t="s">
        <v>87</v>
      </c>
      <c r="I7050" s="16" t="s">
        <v>87</v>
      </c>
      <c r="J7050" s="19"/>
      <c r="L7050" s="16" t="str">
        <f>IFERROR(__xludf.DUMMYFUNCTION("""COMPUTED_VALUE"""),"")</f>
        <v/>
      </c>
      <c r="M7050" s="16" t="str">
        <f>IFERROR(__xludf.DUMMYFUNCTION("""COMPUTED_VALUE"""),"")</f>
        <v/>
      </c>
      <c r="U7050" s="16" t="s">
        <v>87</v>
      </c>
      <c r="V7050" s="16" t="str">
        <f>IFERROR(__xludf.DUMMYFUNCTION("""COMPUTED_VALUE"""),"")</f>
        <v/>
      </c>
      <c r="W7050" s="16" t="str">
        <f>IFERROR(__xludf.DUMMYFUNCTION("""COMPUTED_VALUE"""),"")</f>
        <v/>
      </c>
      <c r="X7050" s="16" t="str">
        <f>IFERROR(__xludf.DUMMYFUNCTION("""COMPUTED_VALUE"""),"")</f>
        <v/>
      </c>
      <c r="AC7050" s="16" t="str">
        <f>IFERROR(__xludf.DUMMYFUNCTION("""COMPUTED_VALUE"""),"")</f>
        <v/>
      </c>
    </row>
    <row r="7051">
      <c r="A7051" s="16" t="s">
        <v>87</v>
      </c>
      <c r="E7051" s="16" t="str">
        <f>IFERROR(__xludf.DUMMYFUNCTION("""COMPUTED_VALUE"""),"")</f>
        <v/>
      </c>
      <c r="G7051" s="18"/>
      <c r="H7051" s="16" t="s">
        <v>87</v>
      </c>
      <c r="I7051" s="16" t="s">
        <v>87</v>
      </c>
      <c r="J7051" s="19"/>
      <c r="L7051" s="16" t="str">
        <f>IFERROR(__xludf.DUMMYFUNCTION("""COMPUTED_VALUE"""),"")</f>
        <v/>
      </c>
      <c r="M7051" s="16" t="str">
        <f>IFERROR(__xludf.DUMMYFUNCTION("""COMPUTED_VALUE"""),"")</f>
        <v/>
      </c>
      <c r="U7051" s="16" t="s">
        <v>87</v>
      </c>
      <c r="V7051" s="16" t="str">
        <f>IFERROR(__xludf.DUMMYFUNCTION("""COMPUTED_VALUE"""),"")</f>
        <v/>
      </c>
      <c r="W7051" s="16" t="str">
        <f>IFERROR(__xludf.DUMMYFUNCTION("""COMPUTED_VALUE"""),"")</f>
        <v/>
      </c>
      <c r="X7051" s="16" t="str">
        <f>IFERROR(__xludf.DUMMYFUNCTION("""COMPUTED_VALUE"""),"")</f>
        <v/>
      </c>
      <c r="AC7051" s="16" t="str">
        <f>IFERROR(__xludf.DUMMYFUNCTION("""COMPUTED_VALUE"""),"")</f>
        <v/>
      </c>
    </row>
    <row r="7052">
      <c r="A7052" s="16" t="s">
        <v>87</v>
      </c>
      <c r="E7052" s="16" t="str">
        <f>IFERROR(__xludf.DUMMYFUNCTION("""COMPUTED_VALUE"""),"")</f>
        <v/>
      </c>
      <c r="G7052" s="18"/>
      <c r="H7052" s="16" t="s">
        <v>87</v>
      </c>
      <c r="I7052" s="16" t="s">
        <v>87</v>
      </c>
      <c r="J7052" s="19"/>
      <c r="L7052" s="16" t="str">
        <f>IFERROR(__xludf.DUMMYFUNCTION("""COMPUTED_VALUE"""),"")</f>
        <v/>
      </c>
      <c r="M7052" s="16" t="str">
        <f>IFERROR(__xludf.DUMMYFUNCTION("""COMPUTED_VALUE"""),"")</f>
        <v/>
      </c>
      <c r="U7052" s="16" t="s">
        <v>87</v>
      </c>
      <c r="V7052" s="16" t="str">
        <f>IFERROR(__xludf.DUMMYFUNCTION("""COMPUTED_VALUE"""),"")</f>
        <v/>
      </c>
      <c r="W7052" s="16" t="str">
        <f>IFERROR(__xludf.DUMMYFUNCTION("""COMPUTED_VALUE"""),"")</f>
        <v/>
      </c>
      <c r="X7052" s="16" t="str">
        <f>IFERROR(__xludf.DUMMYFUNCTION("""COMPUTED_VALUE"""),"")</f>
        <v/>
      </c>
      <c r="AC7052" s="16" t="str">
        <f>IFERROR(__xludf.DUMMYFUNCTION("""COMPUTED_VALUE"""),"")</f>
        <v/>
      </c>
    </row>
    <row r="7053">
      <c r="A7053" s="16" t="s">
        <v>87</v>
      </c>
      <c r="E7053" s="16" t="str">
        <f>IFERROR(__xludf.DUMMYFUNCTION("""COMPUTED_VALUE"""),"")</f>
        <v/>
      </c>
      <c r="G7053" s="18"/>
      <c r="H7053" s="16" t="s">
        <v>87</v>
      </c>
      <c r="I7053" s="16" t="s">
        <v>87</v>
      </c>
      <c r="J7053" s="19"/>
      <c r="L7053" s="16" t="str">
        <f>IFERROR(__xludf.DUMMYFUNCTION("""COMPUTED_VALUE"""),"")</f>
        <v/>
      </c>
      <c r="M7053" s="16" t="str">
        <f>IFERROR(__xludf.DUMMYFUNCTION("""COMPUTED_VALUE"""),"")</f>
        <v/>
      </c>
      <c r="U7053" s="16" t="s">
        <v>87</v>
      </c>
      <c r="V7053" s="16" t="str">
        <f>IFERROR(__xludf.DUMMYFUNCTION("""COMPUTED_VALUE"""),"")</f>
        <v/>
      </c>
      <c r="W7053" s="16" t="str">
        <f>IFERROR(__xludf.DUMMYFUNCTION("""COMPUTED_VALUE"""),"")</f>
        <v/>
      </c>
      <c r="X7053" s="16" t="str">
        <f>IFERROR(__xludf.DUMMYFUNCTION("""COMPUTED_VALUE"""),"")</f>
        <v/>
      </c>
      <c r="AC7053" s="16" t="str">
        <f>IFERROR(__xludf.DUMMYFUNCTION("""COMPUTED_VALUE"""),"")</f>
        <v/>
      </c>
    </row>
    <row r="7054">
      <c r="A7054" s="16" t="s">
        <v>87</v>
      </c>
      <c r="E7054" s="16" t="str">
        <f>IFERROR(__xludf.DUMMYFUNCTION("""COMPUTED_VALUE"""),"")</f>
        <v/>
      </c>
      <c r="G7054" s="18"/>
      <c r="H7054" s="16" t="s">
        <v>87</v>
      </c>
      <c r="I7054" s="16" t="s">
        <v>87</v>
      </c>
      <c r="J7054" s="19"/>
      <c r="L7054" s="16" t="str">
        <f>IFERROR(__xludf.DUMMYFUNCTION("""COMPUTED_VALUE"""),"")</f>
        <v/>
      </c>
      <c r="M7054" s="16" t="str">
        <f>IFERROR(__xludf.DUMMYFUNCTION("""COMPUTED_VALUE"""),"")</f>
        <v/>
      </c>
      <c r="U7054" s="16" t="s">
        <v>87</v>
      </c>
      <c r="V7054" s="16" t="str">
        <f>IFERROR(__xludf.DUMMYFUNCTION("""COMPUTED_VALUE"""),"")</f>
        <v/>
      </c>
      <c r="W7054" s="16" t="str">
        <f>IFERROR(__xludf.DUMMYFUNCTION("""COMPUTED_VALUE"""),"")</f>
        <v/>
      </c>
      <c r="X7054" s="16" t="str">
        <f>IFERROR(__xludf.DUMMYFUNCTION("""COMPUTED_VALUE"""),"")</f>
        <v/>
      </c>
      <c r="AC7054" s="16" t="str">
        <f>IFERROR(__xludf.DUMMYFUNCTION("""COMPUTED_VALUE"""),"")</f>
        <v/>
      </c>
    </row>
    <row r="7055">
      <c r="A7055" s="16" t="s">
        <v>87</v>
      </c>
      <c r="E7055" s="16" t="str">
        <f>IFERROR(__xludf.DUMMYFUNCTION("""COMPUTED_VALUE"""),"")</f>
        <v/>
      </c>
      <c r="G7055" s="18"/>
      <c r="H7055" s="16" t="s">
        <v>87</v>
      </c>
      <c r="I7055" s="16" t="s">
        <v>87</v>
      </c>
      <c r="J7055" s="19"/>
      <c r="L7055" s="16" t="str">
        <f>IFERROR(__xludf.DUMMYFUNCTION("""COMPUTED_VALUE"""),"")</f>
        <v/>
      </c>
      <c r="M7055" s="16" t="str">
        <f>IFERROR(__xludf.DUMMYFUNCTION("""COMPUTED_VALUE"""),"")</f>
        <v/>
      </c>
      <c r="U7055" s="16" t="s">
        <v>87</v>
      </c>
      <c r="V7055" s="16" t="str">
        <f>IFERROR(__xludf.DUMMYFUNCTION("""COMPUTED_VALUE"""),"")</f>
        <v/>
      </c>
      <c r="W7055" s="16" t="str">
        <f>IFERROR(__xludf.DUMMYFUNCTION("""COMPUTED_VALUE"""),"")</f>
        <v/>
      </c>
      <c r="X7055" s="16" t="str">
        <f>IFERROR(__xludf.DUMMYFUNCTION("""COMPUTED_VALUE"""),"")</f>
        <v/>
      </c>
      <c r="AC7055" s="16" t="str">
        <f>IFERROR(__xludf.DUMMYFUNCTION("""COMPUTED_VALUE"""),"")</f>
        <v/>
      </c>
    </row>
    <row r="7056">
      <c r="A7056" s="16" t="s">
        <v>87</v>
      </c>
      <c r="E7056" s="16" t="str">
        <f>IFERROR(__xludf.DUMMYFUNCTION("""COMPUTED_VALUE"""),"")</f>
        <v/>
      </c>
      <c r="G7056" s="18"/>
      <c r="H7056" s="16" t="s">
        <v>87</v>
      </c>
      <c r="I7056" s="16" t="s">
        <v>87</v>
      </c>
      <c r="J7056" s="19"/>
      <c r="L7056" s="16" t="str">
        <f>IFERROR(__xludf.DUMMYFUNCTION("""COMPUTED_VALUE"""),"")</f>
        <v/>
      </c>
      <c r="M7056" s="16" t="str">
        <f>IFERROR(__xludf.DUMMYFUNCTION("""COMPUTED_VALUE"""),"")</f>
        <v/>
      </c>
      <c r="U7056" s="16" t="s">
        <v>87</v>
      </c>
      <c r="V7056" s="16" t="str">
        <f>IFERROR(__xludf.DUMMYFUNCTION("""COMPUTED_VALUE"""),"")</f>
        <v/>
      </c>
      <c r="W7056" s="16" t="str">
        <f>IFERROR(__xludf.DUMMYFUNCTION("""COMPUTED_VALUE"""),"")</f>
        <v/>
      </c>
      <c r="X7056" s="16" t="str">
        <f>IFERROR(__xludf.DUMMYFUNCTION("""COMPUTED_VALUE"""),"")</f>
        <v/>
      </c>
      <c r="AC7056" s="16" t="str">
        <f>IFERROR(__xludf.DUMMYFUNCTION("""COMPUTED_VALUE"""),"")</f>
        <v/>
      </c>
    </row>
    <row r="7057">
      <c r="A7057" s="16" t="s">
        <v>87</v>
      </c>
      <c r="E7057" s="16" t="str">
        <f>IFERROR(__xludf.DUMMYFUNCTION("""COMPUTED_VALUE"""),"")</f>
        <v/>
      </c>
      <c r="G7057" s="18"/>
      <c r="H7057" s="16" t="s">
        <v>87</v>
      </c>
      <c r="I7057" s="16" t="s">
        <v>87</v>
      </c>
      <c r="J7057" s="19"/>
      <c r="L7057" s="16" t="str">
        <f>IFERROR(__xludf.DUMMYFUNCTION("""COMPUTED_VALUE"""),"")</f>
        <v/>
      </c>
      <c r="M7057" s="16" t="str">
        <f>IFERROR(__xludf.DUMMYFUNCTION("""COMPUTED_VALUE"""),"")</f>
        <v/>
      </c>
      <c r="U7057" s="16" t="s">
        <v>87</v>
      </c>
      <c r="V7057" s="16" t="str">
        <f>IFERROR(__xludf.DUMMYFUNCTION("""COMPUTED_VALUE"""),"")</f>
        <v/>
      </c>
      <c r="W7057" s="16" t="str">
        <f>IFERROR(__xludf.DUMMYFUNCTION("""COMPUTED_VALUE"""),"")</f>
        <v/>
      </c>
      <c r="X7057" s="16" t="str">
        <f>IFERROR(__xludf.DUMMYFUNCTION("""COMPUTED_VALUE"""),"")</f>
        <v/>
      </c>
      <c r="AC7057" s="16" t="str">
        <f>IFERROR(__xludf.DUMMYFUNCTION("""COMPUTED_VALUE"""),"")</f>
        <v/>
      </c>
    </row>
    <row r="7058">
      <c r="A7058" s="16" t="s">
        <v>87</v>
      </c>
      <c r="E7058" s="16" t="str">
        <f>IFERROR(__xludf.DUMMYFUNCTION("""COMPUTED_VALUE"""),"")</f>
        <v/>
      </c>
      <c r="G7058" s="18"/>
      <c r="H7058" s="16" t="s">
        <v>87</v>
      </c>
      <c r="I7058" s="16" t="s">
        <v>87</v>
      </c>
      <c r="J7058" s="19"/>
      <c r="L7058" s="16" t="str">
        <f>IFERROR(__xludf.DUMMYFUNCTION("""COMPUTED_VALUE"""),"")</f>
        <v/>
      </c>
      <c r="M7058" s="16" t="str">
        <f>IFERROR(__xludf.DUMMYFUNCTION("""COMPUTED_VALUE"""),"")</f>
        <v/>
      </c>
      <c r="U7058" s="16" t="s">
        <v>87</v>
      </c>
      <c r="V7058" s="16" t="str">
        <f>IFERROR(__xludf.DUMMYFUNCTION("""COMPUTED_VALUE"""),"")</f>
        <v/>
      </c>
      <c r="W7058" s="16" t="str">
        <f>IFERROR(__xludf.DUMMYFUNCTION("""COMPUTED_VALUE"""),"")</f>
        <v/>
      </c>
      <c r="X7058" s="16" t="str">
        <f>IFERROR(__xludf.DUMMYFUNCTION("""COMPUTED_VALUE"""),"")</f>
        <v/>
      </c>
      <c r="AC7058" s="16" t="str">
        <f>IFERROR(__xludf.DUMMYFUNCTION("""COMPUTED_VALUE"""),"")</f>
        <v/>
      </c>
    </row>
    <row r="7059">
      <c r="A7059" s="16" t="s">
        <v>87</v>
      </c>
      <c r="E7059" s="16" t="str">
        <f>IFERROR(__xludf.DUMMYFUNCTION("""COMPUTED_VALUE"""),"")</f>
        <v/>
      </c>
      <c r="G7059" s="18"/>
      <c r="H7059" s="16" t="s">
        <v>87</v>
      </c>
      <c r="I7059" s="16" t="s">
        <v>87</v>
      </c>
      <c r="J7059" s="19"/>
      <c r="L7059" s="16" t="str">
        <f>IFERROR(__xludf.DUMMYFUNCTION("""COMPUTED_VALUE"""),"")</f>
        <v/>
      </c>
      <c r="M7059" s="16" t="str">
        <f>IFERROR(__xludf.DUMMYFUNCTION("""COMPUTED_VALUE"""),"")</f>
        <v/>
      </c>
      <c r="U7059" s="16" t="s">
        <v>87</v>
      </c>
      <c r="V7059" s="16" t="str">
        <f>IFERROR(__xludf.DUMMYFUNCTION("""COMPUTED_VALUE"""),"")</f>
        <v/>
      </c>
      <c r="W7059" s="16" t="str">
        <f>IFERROR(__xludf.DUMMYFUNCTION("""COMPUTED_VALUE"""),"")</f>
        <v/>
      </c>
      <c r="X7059" s="16" t="str">
        <f>IFERROR(__xludf.DUMMYFUNCTION("""COMPUTED_VALUE"""),"")</f>
        <v/>
      </c>
      <c r="AC7059" s="16" t="str">
        <f>IFERROR(__xludf.DUMMYFUNCTION("""COMPUTED_VALUE"""),"")</f>
        <v/>
      </c>
    </row>
    <row r="7060">
      <c r="A7060" s="16" t="s">
        <v>87</v>
      </c>
      <c r="E7060" s="16" t="str">
        <f>IFERROR(__xludf.DUMMYFUNCTION("""COMPUTED_VALUE"""),"")</f>
        <v/>
      </c>
      <c r="G7060" s="18"/>
      <c r="H7060" s="16" t="s">
        <v>87</v>
      </c>
      <c r="I7060" s="16" t="s">
        <v>87</v>
      </c>
      <c r="J7060" s="19"/>
      <c r="L7060" s="16" t="str">
        <f>IFERROR(__xludf.DUMMYFUNCTION("""COMPUTED_VALUE"""),"")</f>
        <v/>
      </c>
      <c r="M7060" s="16" t="str">
        <f>IFERROR(__xludf.DUMMYFUNCTION("""COMPUTED_VALUE"""),"")</f>
        <v/>
      </c>
      <c r="U7060" s="16" t="s">
        <v>87</v>
      </c>
      <c r="V7060" s="16" t="str">
        <f>IFERROR(__xludf.DUMMYFUNCTION("""COMPUTED_VALUE"""),"")</f>
        <v/>
      </c>
      <c r="W7060" s="16" t="str">
        <f>IFERROR(__xludf.DUMMYFUNCTION("""COMPUTED_VALUE"""),"")</f>
        <v/>
      </c>
      <c r="X7060" s="16" t="str">
        <f>IFERROR(__xludf.DUMMYFUNCTION("""COMPUTED_VALUE"""),"")</f>
        <v/>
      </c>
      <c r="AC7060" s="16" t="str">
        <f>IFERROR(__xludf.DUMMYFUNCTION("""COMPUTED_VALUE"""),"")</f>
        <v/>
      </c>
    </row>
    <row r="7061">
      <c r="A7061" s="16" t="s">
        <v>87</v>
      </c>
      <c r="E7061" s="16" t="str">
        <f>IFERROR(__xludf.DUMMYFUNCTION("""COMPUTED_VALUE"""),"")</f>
        <v/>
      </c>
      <c r="G7061" s="18"/>
      <c r="H7061" s="16" t="s">
        <v>87</v>
      </c>
      <c r="I7061" s="16" t="s">
        <v>87</v>
      </c>
      <c r="J7061" s="19"/>
      <c r="L7061" s="16" t="str">
        <f>IFERROR(__xludf.DUMMYFUNCTION("""COMPUTED_VALUE"""),"")</f>
        <v/>
      </c>
      <c r="M7061" s="16" t="str">
        <f>IFERROR(__xludf.DUMMYFUNCTION("""COMPUTED_VALUE"""),"")</f>
        <v/>
      </c>
      <c r="U7061" s="16" t="s">
        <v>87</v>
      </c>
      <c r="V7061" s="16" t="str">
        <f>IFERROR(__xludf.DUMMYFUNCTION("""COMPUTED_VALUE"""),"")</f>
        <v/>
      </c>
      <c r="W7061" s="16" t="str">
        <f>IFERROR(__xludf.DUMMYFUNCTION("""COMPUTED_VALUE"""),"")</f>
        <v/>
      </c>
      <c r="X7061" s="16" t="str">
        <f>IFERROR(__xludf.DUMMYFUNCTION("""COMPUTED_VALUE"""),"")</f>
        <v/>
      </c>
      <c r="AC7061" s="16" t="str">
        <f>IFERROR(__xludf.DUMMYFUNCTION("""COMPUTED_VALUE"""),"")</f>
        <v/>
      </c>
    </row>
    <row r="7062">
      <c r="A7062" s="16" t="s">
        <v>87</v>
      </c>
      <c r="E7062" s="16" t="str">
        <f>IFERROR(__xludf.DUMMYFUNCTION("""COMPUTED_VALUE"""),"")</f>
        <v/>
      </c>
      <c r="G7062" s="18"/>
      <c r="H7062" s="16" t="s">
        <v>87</v>
      </c>
      <c r="I7062" s="16" t="s">
        <v>87</v>
      </c>
      <c r="J7062" s="19"/>
      <c r="L7062" s="16" t="str">
        <f>IFERROR(__xludf.DUMMYFUNCTION("""COMPUTED_VALUE"""),"")</f>
        <v/>
      </c>
      <c r="M7062" s="16" t="str">
        <f>IFERROR(__xludf.DUMMYFUNCTION("""COMPUTED_VALUE"""),"")</f>
        <v/>
      </c>
      <c r="U7062" s="16" t="s">
        <v>87</v>
      </c>
      <c r="V7062" s="16" t="str">
        <f>IFERROR(__xludf.DUMMYFUNCTION("""COMPUTED_VALUE"""),"")</f>
        <v/>
      </c>
      <c r="W7062" s="16" t="str">
        <f>IFERROR(__xludf.DUMMYFUNCTION("""COMPUTED_VALUE"""),"")</f>
        <v/>
      </c>
      <c r="X7062" s="16" t="str">
        <f>IFERROR(__xludf.DUMMYFUNCTION("""COMPUTED_VALUE"""),"")</f>
        <v/>
      </c>
      <c r="AC7062" s="16" t="str">
        <f>IFERROR(__xludf.DUMMYFUNCTION("""COMPUTED_VALUE"""),"")</f>
        <v/>
      </c>
    </row>
    <row r="7063">
      <c r="A7063" s="16" t="s">
        <v>87</v>
      </c>
      <c r="E7063" s="16" t="str">
        <f>IFERROR(__xludf.DUMMYFUNCTION("""COMPUTED_VALUE"""),"")</f>
        <v/>
      </c>
      <c r="G7063" s="18"/>
      <c r="H7063" s="16" t="s">
        <v>87</v>
      </c>
      <c r="I7063" s="16" t="s">
        <v>87</v>
      </c>
      <c r="J7063" s="19"/>
      <c r="L7063" s="16" t="str">
        <f>IFERROR(__xludf.DUMMYFUNCTION("""COMPUTED_VALUE"""),"")</f>
        <v/>
      </c>
      <c r="M7063" s="16" t="str">
        <f>IFERROR(__xludf.DUMMYFUNCTION("""COMPUTED_VALUE"""),"")</f>
        <v/>
      </c>
      <c r="U7063" s="16" t="s">
        <v>87</v>
      </c>
      <c r="V7063" s="16" t="str">
        <f>IFERROR(__xludf.DUMMYFUNCTION("""COMPUTED_VALUE"""),"")</f>
        <v/>
      </c>
      <c r="W7063" s="16" t="str">
        <f>IFERROR(__xludf.DUMMYFUNCTION("""COMPUTED_VALUE"""),"")</f>
        <v/>
      </c>
      <c r="X7063" s="16" t="str">
        <f>IFERROR(__xludf.DUMMYFUNCTION("""COMPUTED_VALUE"""),"")</f>
        <v/>
      </c>
      <c r="AC7063" s="16" t="str">
        <f>IFERROR(__xludf.DUMMYFUNCTION("""COMPUTED_VALUE"""),"")</f>
        <v/>
      </c>
    </row>
    <row r="7064">
      <c r="A7064" s="16" t="s">
        <v>87</v>
      </c>
      <c r="E7064" s="16" t="str">
        <f>IFERROR(__xludf.DUMMYFUNCTION("""COMPUTED_VALUE"""),"")</f>
        <v/>
      </c>
      <c r="G7064" s="18"/>
      <c r="H7064" s="16" t="s">
        <v>87</v>
      </c>
      <c r="I7064" s="16" t="s">
        <v>87</v>
      </c>
      <c r="J7064" s="19"/>
      <c r="L7064" s="16" t="str">
        <f>IFERROR(__xludf.DUMMYFUNCTION("""COMPUTED_VALUE"""),"")</f>
        <v/>
      </c>
      <c r="M7064" s="16" t="str">
        <f>IFERROR(__xludf.DUMMYFUNCTION("""COMPUTED_VALUE"""),"")</f>
        <v/>
      </c>
      <c r="U7064" s="16" t="s">
        <v>87</v>
      </c>
      <c r="V7064" s="16" t="str">
        <f>IFERROR(__xludf.DUMMYFUNCTION("""COMPUTED_VALUE"""),"")</f>
        <v/>
      </c>
      <c r="W7064" s="16" t="str">
        <f>IFERROR(__xludf.DUMMYFUNCTION("""COMPUTED_VALUE"""),"")</f>
        <v/>
      </c>
      <c r="X7064" s="16" t="str">
        <f>IFERROR(__xludf.DUMMYFUNCTION("""COMPUTED_VALUE"""),"")</f>
        <v/>
      </c>
      <c r="AC7064" s="16" t="str">
        <f>IFERROR(__xludf.DUMMYFUNCTION("""COMPUTED_VALUE"""),"")</f>
        <v/>
      </c>
    </row>
    <row r="7065">
      <c r="A7065" s="16" t="s">
        <v>87</v>
      </c>
      <c r="E7065" s="16" t="str">
        <f>IFERROR(__xludf.DUMMYFUNCTION("""COMPUTED_VALUE"""),"")</f>
        <v/>
      </c>
      <c r="G7065" s="18"/>
      <c r="H7065" s="16" t="s">
        <v>87</v>
      </c>
      <c r="I7065" s="16" t="s">
        <v>87</v>
      </c>
      <c r="J7065" s="19"/>
      <c r="L7065" s="16" t="str">
        <f>IFERROR(__xludf.DUMMYFUNCTION("""COMPUTED_VALUE"""),"")</f>
        <v/>
      </c>
      <c r="M7065" s="16" t="str">
        <f>IFERROR(__xludf.DUMMYFUNCTION("""COMPUTED_VALUE"""),"")</f>
        <v/>
      </c>
      <c r="U7065" s="16" t="s">
        <v>87</v>
      </c>
      <c r="V7065" s="16" t="str">
        <f>IFERROR(__xludf.DUMMYFUNCTION("""COMPUTED_VALUE"""),"")</f>
        <v/>
      </c>
      <c r="W7065" s="16" t="str">
        <f>IFERROR(__xludf.DUMMYFUNCTION("""COMPUTED_VALUE"""),"")</f>
        <v/>
      </c>
      <c r="X7065" s="16" t="str">
        <f>IFERROR(__xludf.DUMMYFUNCTION("""COMPUTED_VALUE"""),"")</f>
        <v/>
      </c>
      <c r="AC7065" s="16" t="str">
        <f>IFERROR(__xludf.DUMMYFUNCTION("""COMPUTED_VALUE"""),"")</f>
        <v/>
      </c>
    </row>
    <row r="7066">
      <c r="A7066" s="16" t="s">
        <v>87</v>
      </c>
      <c r="E7066" s="16" t="str">
        <f>IFERROR(__xludf.DUMMYFUNCTION("""COMPUTED_VALUE"""),"")</f>
        <v/>
      </c>
      <c r="G7066" s="18"/>
      <c r="H7066" s="16" t="s">
        <v>87</v>
      </c>
      <c r="I7066" s="16" t="s">
        <v>87</v>
      </c>
      <c r="J7066" s="19"/>
      <c r="L7066" s="16" t="str">
        <f>IFERROR(__xludf.DUMMYFUNCTION("""COMPUTED_VALUE"""),"")</f>
        <v/>
      </c>
      <c r="M7066" s="16" t="str">
        <f>IFERROR(__xludf.DUMMYFUNCTION("""COMPUTED_VALUE"""),"")</f>
        <v/>
      </c>
      <c r="U7066" s="16" t="s">
        <v>87</v>
      </c>
      <c r="V7066" s="16" t="str">
        <f>IFERROR(__xludf.DUMMYFUNCTION("""COMPUTED_VALUE"""),"")</f>
        <v/>
      </c>
      <c r="W7066" s="16" t="str">
        <f>IFERROR(__xludf.DUMMYFUNCTION("""COMPUTED_VALUE"""),"")</f>
        <v/>
      </c>
      <c r="X7066" s="16" t="str">
        <f>IFERROR(__xludf.DUMMYFUNCTION("""COMPUTED_VALUE"""),"")</f>
        <v/>
      </c>
      <c r="AC7066" s="16" t="str">
        <f>IFERROR(__xludf.DUMMYFUNCTION("""COMPUTED_VALUE"""),"")</f>
        <v/>
      </c>
    </row>
    <row r="7067">
      <c r="A7067" s="16" t="s">
        <v>87</v>
      </c>
      <c r="E7067" s="16" t="str">
        <f>IFERROR(__xludf.DUMMYFUNCTION("""COMPUTED_VALUE"""),"")</f>
        <v/>
      </c>
      <c r="G7067" s="18"/>
      <c r="H7067" s="16" t="s">
        <v>87</v>
      </c>
      <c r="I7067" s="16" t="s">
        <v>87</v>
      </c>
      <c r="J7067" s="19"/>
      <c r="L7067" s="16" t="str">
        <f>IFERROR(__xludf.DUMMYFUNCTION("""COMPUTED_VALUE"""),"")</f>
        <v/>
      </c>
      <c r="M7067" s="16" t="str">
        <f>IFERROR(__xludf.DUMMYFUNCTION("""COMPUTED_VALUE"""),"")</f>
        <v/>
      </c>
      <c r="U7067" s="16" t="s">
        <v>87</v>
      </c>
      <c r="V7067" s="16" t="str">
        <f>IFERROR(__xludf.DUMMYFUNCTION("""COMPUTED_VALUE"""),"")</f>
        <v/>
      </c>
      <c r="W7067" s="16" t="str">
        <f>IFERROR(__xludf.DUMMYFUNCTION("""COMPUTED_VALUE"""),"")</f>
        <v/>
      </c>
      <c r="X7067" s="16" t="str">
        <f>IFERROR(__xludf.DUMMYFUNCTION("""COMPUTED_VALUE"""),"")</f>
        <v/>
      </c>
      <c r="AC7067" s="16" t="str">
        <f>IFERROR(__xludf.DUMMYFUNCTION("""COMPUTED_VALUE"""),"")</f>
        <v/>
      </c>
    </row>
    <row r="7068">
      <c r="A7068" s="16" t="s">
        <v>87</v>
      </c>
      <c r="E7068" s="16" t="str">
        <f>IFERROR(__xludf.DUMMYFUNCTION("""COMPUTED_VALUE"""),"")</f>
        <v/>
      </c>
      <c r="G7068" s="18"/>
      <c r="H7068" s="16" t="s">
        <v>87</v>
      </c>
      <c r="I7068" s="16" t="s">
        <v>87</v>
      </c>
      <c r="J7068" s="19"/>
      <c r="L7068" s="16" t="str">
        <f>IFERROR(__xludf.DUMMYFUNCTION("""COMPUTED_VALUE"""),"")</f>
        <v/>
      </c>
      <c r="M7068" s="16" t="str">
        <f>IFERROR(__xludf.DUMMYFUNCTION("""COMPUTED_VALUE"""),"")</f>
        <v/>
      </c>
      <c r="U7068" s="16" t="s">
        <v>87</v>
      </c>
      <c r="V7068" s="16" t="str">
        <f>IFERROR(__xludf.DUMMYFUNCTION("""COMPUTED_VALUE"""),"")</f>
        <v/>
      </c>
      <c r="W7068" s="16" t="str">
        <f>IFERROR(__xludf.DUMMYFUNCTION("""COMPUTED_VALUE"""),"")</f>
        <v/>
      </c>
      <c r="X7068" s="16" t="str">
        <f>IFERROR(__xludf.DUMMYFUNCTION("""COMPUTED_VALUE"""),"")</f>
        <v/>
      </c>
      <c r="AC7068" s="16" t="str">
        <f>IFERROR(__xludf.DUMMYFUNCTION("""COMPUTED_VALUE"""),"")</f>
        <v/>
      </c>
    </row>
    <row r="7069">
      <c r="A7069" s="16" t="s">
        <v>87</v>
      </c>
      <c r="E7069" s="16" t="str">
        <f>IFERROR(__xludf.DUMMYFUNCTION("""COMPUTED_VALUE"""),"")</f>
        <v/>
      </c>
      <c r="G7069" s="18"/>
      <c r="H7069" s="16" t="s">
        <v>87</v>
      </c>
      <c r="I7069" s="16" t="s">
        <v>87</v>
      </c>
      <c r="J7069" s="19"/>
      <c r="L7069" s="16" t="str">
        <f>IFERROR(__xludf.DUMMYFUNCTION("""COMPUTED_VALUE"""),"")</f>
        <v/>
      </c>
      <c r="M7069" s="16" t="str">
        <f>IFERROR(__xludf.DUMMYFUNCTION("""COMPUTED_VALUE"""),"")</f>
        <v/>
      </c>
      <c r="U7069" s="16" t="s">
        <v>87</v>
      </c>
      <c r="V7069" s="16" t="str">
        <f>IFERROR(__xludf.DUMMYFUNCTION("""COMPUTED_VALUE"""),"")</f>
        <v/>
      </c>
      <c r="W7069" s="16" t="str">
        <f>IFERROR(__xludf.DUMMYFUNCTION("""COMPUTED_VALUE"""),"")</f>
        <v/>
      </c>
      <c r="X7069" s="16" t="str">
        <f>IFERROR(__xludf.DUMMYFUNCTION("""COMPUTED_VALUE"""),"")</f>
        <v/>
      </c>
      <c r="AC7069" s="16" t="str">
        <f>IFERROR(__xludf.DUMMYFUNCTION("""COMPUTED_VALUE"""),"")</f>
        <v/>
      </c>
    </row>
    <row r="7070">
      <c r="A7070" s="16" t="s">
        <v>87</v>
      </c>
      <c r="E7070" s="16" t="str">
        <f>IFERROR(__xludf.DUMMYFUNCTION("""COMPUTED_VALUE"""),"")</f>
        <v/>
      </c>
      <c r="G7070" s="18"/>
      <c r="H7070" s="16" t="s">
        <v>87</v>
      </c>
      <c r="I7070" s="16" t="s">
        <v>87</v>
      </c>
      <c r="J7070" s="19"/>
      <c r="L7070" s="16" t="str">
        <f>IFERROR(__xludf.DUMMYFUNCTION("""COMPUTED_VALUE"""),"")</f>
        <v/>
      </c>
      <c r="M7070" s="16" t="str">
        <f>IFERROR(__xludf.DUMMYFUNCTION("""COMPUTED_VALUE"""),"")</f>
        <v/>
      </c>
      <c r="U7070" s="16" t="s">
        <v>87</v>
      </c>
      <c r="V7070" s="16" t="str">
        <f>IFERROR(__xludf.DUMMYFUNCTION("""COMPUTED_VALUE"""),"")</f>
        <v/>
      </c>
      <c r="W7070" s="16" t="str">
        <f>IFERROR(__xludf.DUMMYFUNCTION("""COMPUTED_VALUE"""),"")</f>
        <v/>
      </c>
      <c r="X7070" s="16" t="str">
        <f>IFERROR(__xludf.DUMMYFUNCTION("""COMPUTED_VALUE"""),"")</f>
        <v/>
      </c>
      <c r="AC7070" s="16" t="str">
        <f>IFERROR(__xludf.DUMMYFUNCTION("""COMPUTED_VALUE"""),"")</f>
        <v/>
      </c>
    </row>
    <row r="7071">
      <c r="A7071" s="16" t="s">
        <v>87</v>
      </c>
      <c r="E7071" s="16" t="str">
        <f>IFERROR(__xludf.DUMMYFUNCTION("""COMPUTED_VALUE"""),"")</f>
        <v/>
      </c>
      <c r="G7071" s="18"/>
      <c r="H7071" s="16" t="s">
        <v>87</v>
      </c>
      <c r="I7071" s="16" t="s">
        <v>87</v>
      </c>
      <c r="J7071" s="19"/>
      <c r="L7071" s="16" t="str">
        <f>IFERROR(__xludf.DUMMYFUNCTION("""COMPUTED_VALUE"""),"")</f>
        <v/>
      </c>
      <c r="M7071" s="16" t="str">
        <f>IFERROR(__xludf.DUMMYFUNCTION("""COMPUTED_VALUE"""),"")</f>
        <v/>
      </c>
      <c r="U7071" s="16" t="s">
        <v>87</v>
      </c>
      <c r="V7071" s="16" t="str">
        <f>IFERROR(__xludf.DUMMYFUNCTION("""COMPUTED_VALUE"""),"")</f>
        <v/>
      </c>
      <c r="W7071" s="16" t="str">
        <f>IFERROR(__xludf.DUMMYFUNCTION("""COMPUTED_VALUE"""),"")</f>
        <v/>
      </c>
      <c r="X7071" s="16" t="str">
        <f>IFERROR(__xludf.DUMMYFUNCTION("""COMPUTED_VALUE"""),"")</f>
        <v/>
      </c>
      <c r="AC7071" s="16" t="str">
        <f>IFERROR(__xludf.DUMMYFUNCTION("""COMPUTED_VALUE"""),"")</f>
        <v/>
      </c>
    </row>
    <row r="7072">
      <c r="A7072" s="16" t="s">
        <v>87</v>
      </c>
      <c r="E7072" s="16" t="str">
        <f>IFERROR(__xludf.DUMMYFUNCTION("""COMPUTED_VALUE"""),"")</f>
        <v/>
      </c>
      <c r="G7072" s="18"/>
      <c r="H7072" s="16" t="s">
        <v>87</v>
      </c>
      <c r="I7072" s="16" t="s">
        <v>87</v>
      </c>
      <c r="J7072" s="19"/>
      <c r="L7072" s="16" t="str">
        <f>IFERROR(__xludf.DUMMYFUNCTION("""COMPUTED_VALUE"""),"")</f>
        <v/>
      </c>
      <c r="M7072" s="16" t="str">
        <f>IFERROR(__xludf.DUMMYFUNCTION("""COMPUTED_VALUE"""),"")</f>
        <v/>
      </c>
      <c r="U7072" s="16" t="s">
        <v>87</v>
      </c>
      <c r="V7072" s="16" t="str">
        <f>IFERROR(__xludf.DUMMYFUNCTION("""COMPUTED_VALUE"""),"")</f>
        <v/>
      </c>
      <c r="W7072" s="16" t="str">
        <f>IFERROR(__xludf.DUMMYFUNCTION("""COMPUTED_VALUE"""),"")</f>
        <v/>
      </c>
      <c r="X7072" s="16" t="str">
        <f>IFERROR(__xludf.DUMMYFUNCTION("""COMPUTED_VALUE"""),"")</f>
        <v/>
      </c>
      <c r="AC7072" s="16" t="str">
        <f>IFERROR(__xludf.DUMMYFUNCTION("""COMPUTED_VALUE"""),"")</f>
        <v/>
      </c>
    </row>
    <row r="7073">
      <c r="A7073" s="16" t="s">
        <v>87</v>
      </c>
      <c r="E7073" s="16" t="str">
        <f>IFERROR(__xludf.DUMMYFUNCTION("""COMPUTED_VALUE"""),"")</f>
        <v/>
      </c>
      <c r="G7073" s="18"/>
      <c r="H7073" s="16" t="s">
        <v>87</v>
      </c>
      <c r="I7073" s="16" t="s">
        <v>87</v>
      </c>
      <c r="J7073" s="19"/>
      <c r="L7073" s="16" t="str">
        <f>IFERROR(__xludf.DUMMYFUNCTION("""COMPUTED_VALUE"""),"")</f>
        <v/>
      </c>
      <c r="M7073" s="16" t="str">
        <f>IFERROR(__xludf.DUMMYFUNCTION("""COMPUTED_VALUE"""),"")</f>
        <v/>
      </c>
      <c r="U7073" s="16" t="s">
        <v>87</v>
      </c>
      <c r="V7073" s="16" t="str">
        <f>IFERROR(__xludf.DUMMYFUNCTION("""COMPUTED_VALUE"""),"")</f>
        <v/>
      </c>
      <c r="W7073" s="16" t="str">
        <f>IFERROR(__xludf.DUMMYFUNCTION("""COMPUTED_VALUE"""),"")</f>
        <v/>
      </c>
      <c r="X7073" s="16" t="str">
        <f>IFERROR(__xludf.DUMMYFUNCTION("""COMPUTED_VALUE"""),"")</f>
        <v/>
      </c>
      <c r="AC7073" s="16" t="str">
        <f>IFERROR(__xludf.DUMMYFUNCTION("""COMPUTED_VALUE"""),"")</f>
        <v/>
      </c>
    </row>
    <row r="7074">
      <c r="A7074" s="16" t="s">
        <v>87</v>
      </c>
      <c r="E7074" s="16" t="str">
        <f>IFERROR(__xludf.DUMMYFUNCTION("""COMPUTED_VALUE"""),"")</f>
        <v/>
      </c>
      <c r="G7074" s="18"/>
      <c r="H7074" s="16" t="s">
        <v>87</v>
      </c>
      <c r="I7074" s="16" t="s">
        <v>87</v>
      </c>
      <c r="J7074" s="19"/>
      <c r="L7074" s="16" t="str">
        <f>IFERROR(__xludf.DUMMYFUNCTION("""COMPUTED_VALUE"""),"")</f>
        <v/>
      </c>
      <c r="M7074" s="16" t="str">
        <f>IFERROR(__xludf.DUMMYFUNCTION("""COMPUTED_VALUE"""),"")</f>
        <v/>
      </c>
      <c r="U7074" s="16" t="s">
        <v>87</v>
      </c>
      <c r="V7074" s="16" t="str">
        <f>IFERROR(__xludf.DUMMYFUNCTION("""COMPUTED_VALUE"""),"")</f>
        <v/>
      </c>
      <c r="W7074" s="16" t="str">
        <f>IFERROR(__xludf.DUMMYFUNCTION("""COMPUTED_VALUE"""),"")</f>
        <v/>
      </c>
      <c r="X7074" s="16" t="str">
        <f>IFERROR(__xludf.DUMMYFUNCTION("""COMPUTED_VALUE"""),"")</f>
        <v/>
      </c>
      <c r="AC7074" s="16" t="str">
        <f>IFERROR(__xludf.DUMMYFUNCTION("""COMPUTED_VALUE"""),"")</f>
        <v/>
      </c>
    </row>
    <row r="7075">
      <c r="A7075" s="16" t="s">
        <v>87</v>
      </c>
      <c r="E7075" s="16" t="str">
        <f>IFERROR(__xludf.DUMMYFUNCTION("""COMPUTED_VALUE"""),"")</f>
        <v/>
      </c>
      <c r="G7075" s="18"/>
      <c r="H7075" s="16" t="s">
        <v>87</v>
      </c>
      <c r="I7075" s="16" t="s">
        <v>87</v>
      </c>
      <c r="J7075" s="19"/>
      <c r="L7075" s="16" t="str">
        <f>IFERROR(__xludf.DUMMYFUNCTION("""COMPUTED_VALUE"""),"")</f>
        <v/>
      </c>
      <c r="M7075" s="16" t="str">
        <f>IFERROR(__xludf.DUMMYFUNCTION("""COMPUTED_VALUE"""),"")</f>
        <v/>
      </c>
      <c r="U7075" s="16" t="s">
        <v>87</v>
      </c>
      <c r="V7075" s="16" t="str">
        <f>IFERROR(__xludf.DUMMYFUNCTION("""COMPUTED_VALUE"""),"")</f>
        <v/>
      </c>
      <c r="W7075" s="16" t="str">
        <f>IFERROR(__xludf.DUMMYFUNCTION("""COMPUTED_VALUE"""),"")</f>
        <v/>
      </c>
      <c r="X7075" s="16" t="str">
        <f>IFERROR(__xludf.DUMMYFUNCTION("""COMPUTED_VALUE"""),"")</f>
        <v/>
      </c>
      <c r="AC7075" s="16" t="str">
        <f>IFERROR(__xludf.DUMMYFUNCTION("""COMPUTED_VALUE"""),"")</f>
        <v/>
      </c>
    </row>
    <row r="7076">
      <c r="A7076" s="16" t="s">
        <v>87</v>
      </c>
      <c r="E7076" s="16" t="str">
        <f>IFERROR(__xludf.DUMMYFUNCTION("""COMPUTED_VALUE"""),"")</f>
        <v/>
      </c>
      <c r="G7076" s="18"/>
      <c r="H7076" s="16" t="s">
        <v>87</v>
      </c>
      <c r="I7076" s="16" t="s">
        <v>87</v>
      </c>
      <c r="J7076" s="19"/>
      <c r="L7076" s="16" t="str">
        <f>IFERROR(__xludf.DUMMYFUNCTION("""COMPUTED_VALUE"""),"")</f>
        <v/>
      </c>
      <c r="M7076" s="16" t="str">
        <f>IFERROR(__xludf.DUMMYFUNCTION("""COMPUTED_VALUE"""),"")</f>
        <v/>
      </c>
      <c r="U7076" s="16" t="s">
        <v>87</v>
      </c>
      <c r="V7076" s="16" t="str">
        <f>IFERROR(__xludf.DUMMYFUNCTION("""COMPUTED_VALUE"""),"")</f>
        <v/>
      </c>
      <c r="W7076" s="16" t="str">
        <f>IFERROR(__xludf.DUMMYFUNCTION("""COMPUTED_VALUE"""),"")</f>
        <v/>
      </c>
      <c r="X7076" s="16" t="str">
        <f>IFERROR(__xludf.DUMMYFUNCTION("""COMPUTED_VALUE"""),"")</f>
        <v/>
      </c>
      <c r="AC7076" s="16" t="str">
        <f>IFERROR(__xludf.DUMMYFUNCTION("""COMPUTED_VALUE"""),"")</f>
        <v/>
      </c>
    </row>
    <row r="7077">
      <c r="A7077" s="16" t="s">
        <v>87</v>
      </c>
      <c r="E7077" s="16" t="str">
        <f>IFERROR(__xludf.DUMMYFUNCTION("""COMPUTED_VALUE"""),"")</f>
        <v/>
      </c>
      <c r="G7077" s="18"/>
      <c r="H7077" s="16" t="s">
        <v>87</v>
      </c>
      <c r="I7077" s="16" t="s">
        <v>87</v>
      </c>
      <c r="J7077" s="19"/>
      <c r="L7077" s="16" t="str">
        <f>IFERROR(__xludf.DUMMYFUNCTION("""COMPUTED_VALUE"""),"")</f>
        <v/>
      </c>
      <c r="M7077" s="16" t="str">
        <f>IFERROR(__xludf.DUMMYFUNCTION("""COMPUTED_VALUE"""),"")</f>
        <v/>
      </c>
      <c r="U7077" s="16" t="s">
        <v>87</v>
      </c>
      <c r="V7077" s="16" t="str">
        <f>IFERROR(__xludf.DUMMYFUNCTION("""COMPUTED_VALUE"""),"")</f>
        <v/>
      </c>
      <c r="W7077" s="16" t="str">
        <f>IFERROR(__xludf.DUMMYFUNCTION("""COMPUTED_VALUE"""),"")</f>
        <v/>
      </c>
      <c r="X7077" s="16" t="str">
        <f>IFERROR(__xludf.DUMMYFUNCTION("""COMPUTED_VALUE"""),"")</f>
        <v/>
      </c>
      <c r="AC7077" s="16" t="str">
        <f>IFERROR(__xludf.DUMMYFUNCTION("""COMPUTED_VALUE"""),"")</f>
        <v/>
      </c>
    </row>
    <row r="7078">
      <c r="A7078" s="16" t="s">
        <v>87</v>
      </c>
      <c r="E7078" s="16" t="str">
        <f>IFERROR(__xludf.DUMMYFUNCTION("""COMPUTED_VALUE"""),"")</f>
        <v/>
      </c>
      <c r="G7078" s="18"/>
      <c r="H7078" s="16" t="s">
        <v>87</v>
      </c>
      <c r="I7078" s="16" t="s">
        <v>87</v>
      </c>
      <c r="J7078" s="19"/>
      <c r="L7078" s="16" t="str">
        <f>IFERROR(__xludf.DUMMYFUNCTION("""COMPUTED_VALUE"""),"")</f>
        <v/>
      </c>
      <c r="M7078" s="16" t="str">
        <f>IFERROR(__xludf.DUMMYFUNCTION("""COMPUTED_VALUE"""),"")</f>
        <v/>
      </c>
      <c r="U7078" s="16" t="s">
        <v>87</v>
      </c>
      <c r="V7078" s="16" t="str">
        <f>IFERROR(__xludf.DUMMYFUNCTION("""COMPUTED_VALUE"""),"")</f>
        <v/>
      </c>
      <c r="W7078" s="16" t="str">
        <f>IFERROR(__xludf.DUMMYFUNCTION("""COMPUTED_VALUE"""),"")</f>
        <v/>
      </c>
      <c r="X7078" s="16" t="str">
        <f>IFERROR(__xludf.DUMMYFUNCTION("""COMPUTED_VALUE"""),"")</f>
        <v/>
      </c>
      <c r="AC7078" s="16" t="str">
        <f>IFERROR(__xludf.DUMMYFUNCTION("""COMPUTED_VALUE"""),"")</f>
        <v/>
      </c>
    </row>
    <row r="7079">
      <c r="A7079" s="16" t="s">
        <v>87</v>
      </c>
      <c r="E7079" s="16" t="str">
        <f>IFERROR(__xludf.DUMMYFUNCTION("""COMPUTED_VALUE"""),"")</f>
        <v/>
      </c>
      <c r="G7079" s="18"/>
      <c r="H7079" s="16" t="s">
        <v>87</v>
      </c>
      <c r="I7079" s="16" t="s">
        <v>87</v>
      </c>
      <c r="J7079" s="19"/>
      <c r="L7079" s="16" t="str">
        <f>IFERROR(__xludf.DUMMYFUNCTION("""COMPUTED_VALUE"""),"")</f>
        <v/>
      </c>
      <c r="M7079" s="16" t="str">
        <f>IFERROR(__xludf.DUMMYFUNCTION("""COMPUTED_VALUE"""),"")</f>
        <v/>
      </c>
      <c r="U7079" s="16" t="s">
        <v>87</v>
      </c>
      <c r="V7079" s="16" t="str">
        <f>IFERROR(__xludf.DUMMYFUNCTION("""COMPUTED_VALUE"""),"")</f>
        <v/>
      </c>
      <c r="W7079" s="16" t="str">
        <f>IFERROR(__xludf.DUMMYFUNCTION("""COMPUTED_VALUE"""),"")</f>
        <v/>
      </c>
      <c r="X7079" s="16" t="str">
        <f>IFERROR(__xludf.DUMMYFUNCTION("""COMPUTED_VALUE"""),"")</f>
        <v/>
      </c>
      <c r="AC7079" s="16" t="str">
        <f>IFERROR(__xludf.DUMMYFUNCTION("""COMPUTED_VALUE"""),"")</f>
        <v/>
      </c>
    </row>
    <row r="7080">
      <c r="A7080" s="16" t="s">
        <v>87</v>
      </c>
      <c r="E7080" s="16" t="str">
        <f>IFERROR(__xludf.DUMMYFUNCTION("""COMPUTED_VALUE"""),"")</f>
        <v/>
      </c>
      <c r="G7080" s="18"/>
      <c r="H7080" s="16" t="s">
        <v>87</v>
      </c>
      <c r="I7080" s="16" t="s">
        <v>87</v>
      </c>
      <c r="J7080" s="19"/>
      <c r="L7080" s="16" t="str">
        <f>IFERROR(__xludf.DUMMYFUNCTION("""COMPUTED_VALUE"""),"")</f>
        <v/>
      </c>
      <c r="M7080" s="16" t="str">
        <f>IFERROR(__xludf.DUMMYFUNCTION("""COMPUTED_VALUE"""),"")</f>
        <v/>
      </c>
      <c r="U7080" s="16" t="s">
        <v>87</v>
      </c>
      <c r="V7080" s="16" t="str">
        <f>IFERROR(__xludf.DUMMYFUNCTION("""COMPUTED_VALUE"""),"")</f>
        <v/>
      </c>
      <c r="W7080" s="16" t="str">
        <f>IFERROR(__xludf.DUMMYFUNCTION("""COMPUTED_VALUE"""),"")</f>
        <v/>
      </c>
      <c r="X7080" s="16" t="str">
        <f>IFERROR(__xludf.DUMMYFUNCTION("""COMPUTED_VALUE"""),"")</f>
        <v/>
      </c>
      <c r="AC7080" s="16" t="str">
        <f>IFERROR(__xludf.DUMMYFUNCTION("""COMPUTED_VALUE"""),"")</f>
        <v/>
      </c>
    </row>
    <row r="7081">
      <c r="A7081" s="16" t="s">
        <v>87</v>
      </c>
      <c r="E7081" s="16" t="str">
        <f>IFERROR(__xludf.DUMMYFUNCTION("""COMPUTED_VALUE"""),"")</f>
        <v/>
      </c>
      <c r="G7081" s="18"/>
      <c r="H7081" s="16" t="s">
        <v>87</v>
      </c>
      <c r="I7081" s="16" t="s">
        <v>87</v>
      </c>
      <c r="J7081" s="19"/>
      <c r="L7081" s="16" t="str">
        <f>IFERROR(__xludf.DUMMYFUNCTION("""COMPUTED_VALUE"""),"")</f>
        <v/>
      </c>
      <c r="M7081" s="16" t="str">
        <f>IFERROR(__xludf.DUMMYFUNCTION("""COMPUTED_VALUE"""),"")</f>
        <v/>
      </c>
      <c r="U7081" s="16" t="s">
        <v>87</v>
      </c>
      <c r="V7081" s="16" t="str">
        <f>IFERROR(__xludf.DUMMYFUNCTION("""COMPUTED_VALUE"""),"")</f>
        <v/>
      </c>
      <c r="W7081" s="16" t="str">
        <f>IFERROR(__xludf.DUMMYFUNCTION("""COMPUTED_VALUE"""),"")</f>
        <v/>
      </c>
      <c r="X7081" s="16" t="str">
        <f>IFERROR(__xludf.DUMMYFUNCTION("""COMPUTED_VALUE"""),"")</f>
        <v/>
      </c>
      <c r="AC7081" s="16" t="str">
        <f>IFERROR(__xludf.DUMMYFUNCTION("""COMPUTED_VALUE"""),"")</f>
        <v/>
      </c>
    </row>
    <row r="7082">
      <c r="A7082" s="16" t="s">
        <v>87</v>
      </c>
      <c r="E7082" s="16" t="str">
        <f>IFERROR(__xludf.DUMMYFUNCTION("""COMPUTED_VALUE"""),"")</f>
        <v/>
      </c>
      <c r="G7082" s="18"/>
      <c r="H7082" s="16" t="s">
        <v>87</v>
      </c>
      <c r="I7082" s="16" t="s">
        <v>87</v>
      </c>
      <c r="J7082" s="19"/>
      <c r="L7082" s="16" t="str">
        <f>IFERROR(__xludf.DUMMYFUNCTION("""COMPUTED_VALUE"""),"")</f>
        <v/>
      </c>
      <c r="M7082" s="16" t="str">
        <f>IFERROR(__xludf.DUMMYFUNCTION("""COMPUTED_VALUE"""),"")</f>
        <v/>
      </c>
      <c r="U7082" s="16" t="s">
        <v>87</v>
      </c>
      <c r="V7082" s="16" t="str">
        <f>IFERROR(__xludf.DUMMYFUNCTION("""COMPUTED_VALUE"""),"")</f>
        <v/>
      </c>
      <c r="W7082" s="16" t="str">
        <f>IFERROR(__xludf.DUMMYFUNCTION("""COMPUTED_VALUE"""),"")</f>
        <v/>
      </c>
      <c r="X7082" s="16" t="str">
        <f>IFERROR(__xludf.DUMMYFUNCTION("""COMPUTED_VALUE"""),"")</f>
        <v/>
      </c>
      <c r="AC7082" s="16" t="str">
        <f>IFERROR(__xludf.DUMMYFUNCTION("""COMPUTED_VALUE"""),"")</f>
        <v/>
      </c>
    </row>
    <row r="7083">
      <c r="A7083" s="16" t="s">
        <v>87</v>
      </c>
      <c r="E7083" s="16" t="str">
        <f>IFERROR(__xludf.DUMMYFUNCTION("""COMPUTED_VALUE"""),"")</f>
        <v/>
      </c>
      <c r="G7083" s="18"/>
      <c r="H7083" s="16" t="s">
        <v>87</v>
      </c>
      <c r="I7083" s="16" t="s">
        <v>87</v>
      </c>
      <c r="J7083" s="19"/>
      <c r="L7083" s="16" t="str">
        <f>IFERROR(__xludf.DUMMYFUNCTION("""COMPUTED_VALUE"""),"")</f>
        <v/>
      </c>
      <c r="M7083" s="16" t="str">
        <f>IFERROR(__xludf.DUMMYFUNCTION("""COMPUTED_VALUE"""),"")</f>
        <v/>
      </c>
      <c r="U7083" s="16" t="s">
        <v>87</v>
      </c>
      <c r="V7083" s="16" t="str">
        <f>IFERROR(__xludf.DUMMYFUNCTION("""COMPUTED_VALUE"""),"")</f>
        <v/>
      </c>
      <c r="W7083" s="16" t="str">
        <f>IFERROR(__xludf.DUMMYFUNCTION("""COMPUTED_VALUE"""),"")</f>
        <v/>
      </c>
      <c r="X7083" s="16" t="str">
        <f>IFERROR(__xludf.DUMMYFUNCTION("""COMPUTED_VALUE"""),"")</f>
        <v/>
      </c>
      <c r="AC7083" s="16" t="str">
        <f>IFERROR(__xludf.DUMMYFUNCTION("""COMPUTED_VALUE"""),"")</f>
        <v/>
      </c>
    </row>
    <row r="7084">
      <c r="A7084" s="16" t="s">
        <v>87</v>
      </c>
      <c r="E7084" s="16" t="str">
        <f>IFERROR(__xludf.DUMMYFUNCTION("""COMPUTED_VALUE"""),"")</f>
        <v/>
      </c>
      <c r="G7084" s="18"/>
      <c r="H7084" s="16" t="s">
        <v>87</v>
      </c>
      <c r="I7084" s="16" t="s">
        <v>87</v>
      </c>
      <c r="J7084" s="19"/>
      <c r="L7084" s="16" t="str">
        <f>IFERROR(__xludf.DUMMYFUNCTION("""COMPUTED_VALUE"""),"")</f>
        <v/>
      </c>
      <c r="M7084" s="16" t="str">
        <f>IFERROR(__xludf.DUMMYFUNCTION("""COMPUTED_VALUE"""),"")</f>
        <v/>
      </c>
      <c r="U7084" s="16" t="s">
        <v>87</v>
      </c>
      <c r="V7084" s="16" t="str">
        <f>IFERROR(__xludf.DUMMYFUNCTION("""COMPUTED_VALUE"""),"")</f>
        <v/>
      </c>
      <c r="W7084" s="16" t="str">
        <f>IFERROR(__xludf.DUMMYFUNCTION("""COMPUTED_VALUE"""),"")</f>
        <v/>
      </c>
      <c r="X7084" s="16" t="str">
        <f>IFERROR(__xludf.DUMMYFUNCTION("""COMPUTED_VALUE"""),"")</f>
        <v/>
      </c>
      <c r="AC7084" s="16" t="str">
        <f>IFERROR(__xludf.DUMMYFUNCTION("""COMPUTED_VALUE"""),"")</f>
        <v/>
      </c>
    </row>
    <row r="7085">
      <c r="A7085" s="16" t="s">
        <v>87</v>
      </c>
      <c r="E7085" s="16" t="str">
        <f>IFERROR(__xludf.DUMMYFUNCTION("""COMPUTED_VALUE"""),"")</f>
        <v/>
      </c>
      <c r="G7085" s="18"/>
      <c r="H7085" s="16" t="s">
        <v>87</v>
      </c>
      <c r="I7085" s="16" t="s">
        <v>87</v>
      </c>
      <c r="J7085" s="19"/>
      <c r="L7085" s="16" t="str">
        <f>IFERROR(__xludf.DUMMYFUNCTION("""COMPUTED_VALUE"""),"")</f>
        <v/>
      </c>
      <c r="M7085" s="16" t="str">
        <f>IFERROR(__xludf.DUMMYFUNCTION("""COMPUTED_VALUE"""),"")</f>
        <v/>
      </c>
      <c r="U7085" s="16" t="s">
        <v>87</v>
      </c>
      <c r="V7085" s="16" t="str">
        <f>IFERROR(__xludf.DUMMYFUNCTION("""COMPUTED_VALUE"""),"")</f>
        <v/>
      </c>
      <c r="W7085" s="16" t="str">
        <f>IFERROR(__xludf.DUMMYFUNCTION("""COMPUTED_VALUE"""),"")</f>
        <v/>
      </c>
      <c r="X7085" s="16" t="str">
        <f>IFERROR(__xludf.DUMMYFUNCTION("""COMPUTED_VALUE"""),"")</f>
        <v/>
      </c>
      <c r="AC7085" s="16" t="str">
        <f>IFERROR(__xludf.DUMMYFUNCTION("""COMPUTED_VALUE"""),"")</f>
        <v/>
      </c>
    </row>
    <row r="7086">
      <c r="A7086" s="16" t="s">
        <v>87</v>
      </c>
      <c r="E7086" s="16" t="str">
        <f>IFERROR(__xludf.DUMMYFUNCTION("""COMPUTED_VALUE"""),"")</f>
        <v/>
      </c>
      <c r="G7086" s="18"/>
      <c r="H7086" s="16" t="s">
        <v>87</v>
      </c>
      <c r="I7086" s="16" t="s">
        <v>87</v>
      </c>
      <c r="J7086" s="19"/>
      <c r="L7086" s="16" t="str">
        <f>IFERROR(__xludf.DUMMYFUNCTION("""COMPUTED_VALUE"""),"")</f>
        <v/>
      </c>
      <c r="M7086" s="16" t="str">
        <f>IFERROR(__xludf.DUMMYFUNCTION("""COMPUTED_VALUE"""),"")</f>
        <v/>
      </c>
      <c r="U7086" s="16" t="s">
        <v>87</v>
      </c>
      <c r="V7086" s="16" t="str">
        <f>IFERROR(__xludf.DUMMYFUNCTION("""COMPUTED_VALUE"""),"")</f>
        <v/>
      </c>
      <c r="W7086" s="16" t="str">
        <f>IFERROR(__xludf.DUMMYFUNCTION("""COMPUTED_VALUE"""),"")</f>
        <v/>
      </c>
      <c r="X7086" s="16" t="str">
        <f>IFERROR(__xludf.DUMMYFUNCTION("""COMPUTED_VALUE"""),"")</f>
        <v/>
      </c>
      <c r="AC7086" s="16" t="str">
        <f>IFERROR(__xludf.DUMMYFUNCTION("""COMPUTED_VALUE"""),"")</f>
        <v/>
      </c>
    </row>
    <row r="7087">
      <c r="A7087" s="16" t="s">
        <v>87</v>
      </c>
      <c r="E7087" s="16" t="str">
        <f>IFERROR(__xludf.DUMMYFUNCTION("""COMPUTED_VALUE"""),"")</f>
        <v/>
      </c>
      <c r="G7087" s="18"/>
      <c r="H7087" s="16" t="s">
        <v>87</v>
      </c>
      <c r="I7087" s="16" t="s">
        <v>87</v>
      </c>
      <c r="J7087" s="19"/>
      <c r="L7087" s="16" t="str">
        <f>IFERROR(__xludf.DUMMYFUNCTION("""COMPUTED_VALUE"""),"")</f>
        <v/>
      </c>
      <c r="M7087" s="16" t="str">
        <f>IFERROR(__xludf.DUMMYFUNCTION("""COMPUTED_VALUE"""),"")</f>
        <v/>
      </c>
      <c r="U7087" s="16" t="s">
        <v>87</v>
      </c>
      <c r="V7087" s="16" t="str">
        <f>IFERROR(__xludf.DUMMYFUNCTION("""COMPUTED_VALUE"""),"")</f>
        <v/>
      </c>
      <c r="W7087" s="16" t="str">
        <f>IFERROR(__xludf.DUMMYFUNCTION("""COMPUTED_VALUE"""),"")</f>
        <v/>
      </c>
      <c r="X7087" s="16" t="str">
        <f>IFERROR(__xludf.DUMMYFUNCTION("""COMPUTED_VALUE"""),"")</f>
        <v/>
      </c>
      <c r="AC7087" s="16" t="str">
        <f>IFERROR(__xludf.DUMMYFUNCTION("""COMPUTED_VALUE"""),"")</f>
        <v/>
      </c>
    </row>
    <row r="7088">
      <c r="A7088" s="16" t="s">
        <v>87</v>
      </c>
      <c r="E7088" s="16" t="str">
        <f>IFERROR(__xludf.DUMMYFUNCTION("""COMPUTED_VALUE"""),"")</f>
        <v/>
      </c>
      <c r="G7088" s="18"/>
      <c r="H7088" s="16" t="s">
        <v>87</v>
      </c>
      <c r="I7088" s="16" t="s">
        <v>87</v>
      </c>
      <c r="J7088" s="19"/>
      <c r="L7088" s="16" t="str">
        <f>IFERROR(__xludf.DUMMYFUNCTION("""COMPUTED_VALUE"""),"")</f>
        <v/>
      </c>
      <c r="M7088" s="16" t="str">
        <f>IFERROR(__xludf.DUMMYFUNCTION("""COMPUTED_VALUE"""),"")</f>
        <v/>
      </c>
      <c r="U7088" s="16" t="s">
        <v>87</v>
      </c>
      <c r="V7088" s="16" t="str">
        <f>IFERROR(__xludf.DUMMYFUNCTION("""COMPUTED_VALUE"""),"")</f>
        <v/>
      </c>
      <c r="W7088" s="16" t="str">
        <f>IFERROR(__xludf.DUMMYFUNCTION("""COMPUTED_VALUE"""),"")</f>
        <v/>
      </c>
      <c r="X7088" s="16" t="str">
        <f>IFERROR(__xludf.DUMMYFUNCTION("""COMPUTED_VALUE"""),"")</f>
        <v/>
      </c>
      <c r="AC7088" s="16" t="str">
        <f>IFERROR(__xludf.DUMMYFUNCTION("""COMPUTED_VALUE"""),"")</f>
        <v/>
      </c>
    </row>
    <row r="7089">
      <c r="A7089" s="16" t="s">
        <v>87</v>
      </c>
      <c r="E7089" s="16" t="str">
        <f>IFERROR(__xludf.DUMMYFUNCTION("""COMPUTED_VALUE"""),"")</f>
        <v/>
      </c>
      <c r="G7089" s="18"/>
      <c r="H7089" s="16" t="s">
        <v>87</v>
      </c>
      <c r="I7089" s="16" t="s">
        <v>87</v>
      </c>
      <c r="J7089" s="19"/>
      <c r="L7089" s="16" t="str">
        <f>IFERROR(__xludf.DUMMYFUNCTION("""COMPUTED_VALUE"""),"")</f>
        <v/>
      </c>
      <c r="M7089" s="16" t="str">
        <f>IFERROR(__xludf.DUMMYFUNCTION("""COMPUTED_VALUE"""),"")</f>
        <v/>
      </c>
      <c r="U7089" s="16" t="s">
        <v>87</v>
      </c>
      <c r="V7089" s="16" t="str">
        <f>IFERROR(__xludf.DUMMYFUNCTION("""COMPUTED_VALUE"""),"")</f>
        <v/>
      </c>
      <c r="W7089" s="16" t="str">
        <f>IFERROR(__xludf.DUMMYFUNCTION("""COMPUTED_VALUE"""),"")</f>
        <v/>
      </c>
      <c r="X7089" s="16" t="str">
        <f>IFERROR(__xludf.DUMMYFUNCTION("""COMPUTED_VALUE"""),"")</f>
        <v/>
      </c>
      <c r="AC7089" s="16" t="str">
        <f>IFERROR(__xludf.DUMMYFUNCTION("""COMPUTED_VALUE"""),"")</f>
        <v/>
      </c>
    </row>
    <row r="7090">
      <c r="A7090" s="16" t="s">
        <v>87</v>
      </c>
      <c r="E7090" s="16" t="str">
        <f>IFERROR(__xludf.DUMMYFUNCTION("""COMPUTED_VALUE"""),"")</f>
        <v/>
      </c>
      <c r="G7090" s="18"/>
      <c r="H7090" s="16" t="s">
        <v>87</v>
      </c>
      <c r="I7090" s="16" t="s">
        <v>87</v>
      </c>
      <c r="J7090" s="19"/>
      <c r="L7090" s="16" t="str">
        <f>IFERROR(__xludf.DUMMYFUNCTION("""COMPUTED_VALUE"""),"")</f>
        <v/>
      </c>
      <c r="M7090" s="16" t="str">
        <f>IFERROR(__xludf.DUMMYFUNCTION("""COMPUTED_VALUE"""),"")</f>
        <v/>
      </c>
      <c r="U7090" s="16" t="s">
        <v>87</v>
      </c>
      <c r="V7090" s="16" t="str">
        <f>IFERROR(__xludf.DUMMYFUNCTION("""COMPUTED_VALUE"""),"")</f>
        <v/>
      </c>
      <c r="W7090" s="16" t="str">
        <f>IFERROR(__xludf.DUMMYFUNCTION("""COMPUTED_VALUE"""),"")</f>
        <v/>
      </c>
      <c r="X7090" s="16" t="str">
        <f>IFERROR(__xludf.DUMMYFUNCTION("""COMPUTED_VALUE"""),"")</f>
        <v/>
      </c>
      <c r="AC7090" s="16" t="str">
        <f>IFERROR(__xludf.DUMMYFUNCTION("""COMPUTED_VALUE"""),"")</f>
        <v/>
      </c>
    </row>
    <row r="7091">
      <c r="A7091" s="16" t="s">
        <v>87</v>
      </c>
      <c r="E7091" s="16" t="str">
        <f>IFERROR(__xludf.DUMMYFUNCTION("""COMPUTED_VALUE"""),"")</f>
        <v/>
      </c>
      <c r="G7091" s="18"/>
      <c r="H7091" s="16" t="s">
        <v>87</v>
      </c>
      <c r="I7091" s="16" t="s">
        <v>87</v>
      </c>
      <c r="J7091" s="19"/>
      <c r="L7091" s="16" t="str">
        <f>IFERROR(__xludf.DUMMYFUNCTION("""COMPUTED_VALUE"""),"")</f>
        <v/>
      </c>
      <c r="M7091" s="16" t="str">
        <f>IFERROR(__xludf.DUMMYFUNCTION("""COMPUTED_VALUE"""),"")</f>
        <v/>
      </c>
      <c r="U7091" s="16" t="s">
        <v>87</v>
      </c>
      <c r="V7091" s="16" t="str">
        <f>IFERROR(__xludf.DUMMYFUNCTION("""COMPUTED_VALUE"""),"")</f>
        <v/>
      </c>
      <c r="W7091" s="16" t="str">
        <f>IFERROR(__xludf.DUMMYFUNCTION("""COMPUTED_VALUE"""),"")</f>
        <v/>
      </c>
      <c r="X7091" s="16" t="str">
        <f>IFERROR(__xludf.DUMMYFUNCTION("""COMPUTED_VALUE"""),"")</f>
        <v/>
      </c>
      <c r="AC7091" s="16" t="str">
        <f>IFERROR(__xludf.DUMMYFUNCTION("""COMPUTED_VALUE"""),"")</f>
        <v/>
      </c>
    </row>
    <row r="7092">
      <c r="A7092" s="16" t="s">
        <v>87</v>
      </c>
      <c r="E7092" s="16" t="str">
        <f>IFERROR(__xludf.DUMMYFUNCTION("""COMPUTED_VALUE"""),"")</f>
        <v/>
      </c>
      <c r="G7092" s="18"/>
      <c r="H7092" s="16" t="s">
        <v>87</v>
      </c>
      <c r="I7092" s="16" t="s">
        <v>87</v>
      </c>
      <c r="J7092" s="19"/>
      <c r="L7092" s="16" t="str">
        <f>IFERROR(__xludf.DUMMYFUNCTION("""COMPUTED_VALUE"""),"")</f>
        <v/>
      </c>
      <c r="M7092" s="16" t="str">
        <f>IFERROR(__xludf.DUMMYFUNCTION("""COMPUTED_VALUE"""),"")</f>
        <v/>
      </c>
      <c r="U7092" s="16" t="s">
        <v>87</v>
      </c>
      <c r="V7092" s="16" t="str">
        <f>IFERROR(__xludf.DUMMYFUNCTION("""COMPUTED_VALUE"""),"")</f>
        <v/>
      </c>
      <c r="W7092" s="16" t="str">
        <f>IFERROR(__xludf.DUMMYFUNCTION("""COMPUTED_VALUE"""),"")</f>
        <v/>
      </c>
      <c r="X7092" s="16" t="str">
        <f>IFERROR(__xludf.DUMMYFUNCTION("""COMPUTED_VALUE"""),"")</f>
        <v/>
      </c>
      <c r="AC7092" s="16" t="str">
        <f>IFERROR(__xludf.DUMMYFUNCTION("""COMPUTED_VALUE"""),"")</f>
        <v/>
      </c>
    </row>
    <row r="7093">
      <c r="A7093" s="16" t="s">
        <v>87</v>
      </c>
      <c r="E7093" s="16" t="str">
        <f>IFERROR(__xludf.DUMMYFUNCTION("""COMPUTED_VALUE"""),"")</f>
        <v/>
      </c>
      <c r="G7093" s="18"/>
      <c r="H7093" s="16" t="s">
        <v>87</v>
      </c>
      <c r="I7093" s="16" t="s">
        <v>87</v>
      </c>
      <c r="J7093" s="19"/>
      <c r="L7093" s="16" t="str">
        <f>IFERROR(__xludf.DUMMYFUNCTION("""COMPUTED_VALUE"""),"")</f>
        <v/>
      </c>
      <c r="M7093" s="16" t="str">
        <f>IFERROR(__xludf.DUMMYFUNCTION("""COMPUTED_VALUE"""),"")</f>
        <v/>
      </c>
      <c r="U7093" s="16" t="s">
        <v>87</v>
      </c>
      <c r="V7093" s="16" t="str">
        <f>IFERROR(__xludf.DUMMYFUNCTION("""COMPUTED_VALUE"""),"")</f>
        <v/>
      </c>
      <c r="W7093" s="16" t="str">
        <f>IFERROR(__xludf.DUMMYFUNCTION("""COMPUTED_VALUE"""),"")</f>
        <v/>
      </c>
      <c r="X7093" s="16" t="str">
        <f>IFERROR(__xludf.DUMMYFUNCTION("""COMPUTED_VALUE"""),"")</f>
        <v/>
      </c>
      <c r="AC7093" s="16" t="str">
        <f>IFERROR(__xludf.DUMMYFUNCTION("""COMPUTED_VALUE"""),"")</f>
        <v/>
      </c>
    </row>
    <row r="7094">
      <c r="A7094" s="16" t="s">
        <v>87</v>
      </c>
      <c r="E7094" s="16" t="str">
        <f>IFERROR(__xludf.DUMMYFUNCTION("""COMPUTED_VALUE"""),"")</f>
        <v/>
      </c>
      <c r="G7094" s="18"/>
      <c r="H7094" s="16" t="s">
        <v>87</v>
      </c>
      <c r="I7094" s="16" t="s">
        <v>87</v>
      </c>
      <c r="J7094" s="19"/>
      <c r="L7094" s="16" t="str">
        <f>IFERROR(__xludf.DUMMYFUNCTION("""COMPUTED_VALUE"""),"")</f>
        <v/>
      </c>
      <c r="M7094" s="16" t="str">
        <f>IFERROR(__xludf.DUMMYFUNCTION("""COMPUTED_VALUE"""),"")</f>
        <v/>
      </c>
      <c r="U7094" s="16" t="s">
        <v>87</v>
      </c>
      <c r="V7094" s="16" t="str">
        <f>IFERROR(__xludf.DUMMYFUNCTION("""COMPUTED_VALUE"""),"")</f>
        <v/>
      </c>
      <c r="W7094" s="16" t="str">
        <f>IFERROR(__xludf.DUMMYFUNCTION("""COMPUTED_VALUE"""),"")</f>
        <v/>
      </c>
      <c r="X7094" s="16" t="str">
        <f>IFERROR(__xludf.DUMMYFUNCTION("""COMPUTED_VALUE"""),"")</f>
        <v/>
      </c>
      <c r="AC7094" s="16" t="str">
        <f>IFERROR(__xludf.DUMMYFUNCTION("""COMPUTED_VALUE"""),"")</f>
        <v/>
      </c>
    </row>
    <row r="7095">
      <c r="A7095" s="16" t="s">
        <v>87</v>
      </c>
      <c r="E7095" s="16" t="str">
        <f>IFERROR(__xludf.DUMMYFUNCTION("""COMPUTED_VALUE"""),"")</f>
        <v/>
      </c>
      <c r="G7095" s="18"/>
      <c r="H7095" s="16" t="s">
        <v>87</v>
      </c>
      <c r="I7095" s="16" t="s">
        <v>87</v>
      </c>
      <c r="J7095" s="19"/>
      <c r="L7095" s="16" t="str">
        <f>IFERROR(__xludf.DUMMYFUNCTION("""COMPUTED_VALUE"""),"")</f>
        <v/>
      </c>
      <c r="M7095" s="16" t="str">
        <f>IFERROR(__xludf.DUMMYFUNCTION("""COMPUTED_VALUE"""),"")</f>
        <v/>
      </c>
      <c r="U7095" s="16" t="s">
        <v>87</v>
      </c>
      <c r="V7095" s="16" t="str">
        <f>IFERROR(__xludf.DUMMYFUNCTION("""COMPUTED_VALUE"""),"")</f>
        <v/>
      </c>
      <c r="W7095" s="16" t="str">
        <f>IFERROR(__xludf.DUMMYFUNCTION("""COMPUTED_VALUE"""),"")</f>
        <v/>
      </c>
      <c r="X7095" s="16" t="str">
        <f>IFERROR(__xludf.DUMMYFUNCTION("""COMPUTED_VALUE"""),"")</f>
        <v/>
      </c>
      <c r="AC7095" s="16" t="str">
        <f>IFERROR(__xludf.DUMMYFUNCTION("""COMPUTED_VALUE"""),"")</f>
        <v/>
      </c>
    </row>
    <row r="7096">
      <c r="A7096" s="16" t="s">
        <v>87</v>
      </c>
      <c r="E7096" s="16" t="str">
        <f>IFERROR(__xludf.DUMMYFUNCTION("""COMPUTED_VALUE"""),"")</f>
        <v/>
      </c>
      <c r="G7096" s="18"/>
      <c r="H7096" s="16" t="s">
        <v>87</v>
      </c>
      <c r="I7096" s="16" t="s">
        <v>87</v>
      </c>
      <c r="J7096" s="19"/>
      <c r="L7096" s="16" t="str">
        <f>IFERROR(__xludf.DUMMYFUNCTION("""COMPUTED_VALUE"""),"")</f>
        <v/>
      </c>
      <c r="M7096" s="16" t="str">
        <f>IFERROR(__xludf.DUMMYFUNCTION("""COMPUTED_VALUE"""),"")</f>
        <v/>
      </c>
      <c r="U7096" s="16" t="s">
        <v>87</v>
      </c>
      <c r="V7096" s="16" t="str">
        <f>IFERROR(__xludf.DUMMYFUNCTION("""COMPUTED_VALUE"""),"")</f>
        <v/>
      </c>
      <c r="W7096" s="16" t="str">
        <f>IFERROR(__xludf.DUMMYFUNCTION("""COMPUTED_VALUE"""),"")</f>
        <v/>
      </c>
      <c r="X7096" s="16" t="str">
        <f>IFERROR(__xludf.DUMMYFUNCTION("""COMPUTED_VALUE"""),"")</f>
        <v/>
      </c>
      <c r="AC7096" s="16" t="str">
        <f>IFERROR(__xludf.DUMMYFUNCTION("""COMPUTED_VALUE"""),"")</f>
        <v/>
      </c>
    </row>
    <row r="7097">
      <c r="A7097" s="16" t="s">
        <v>87</v>
      </c>
      <c r="E7097" s="16" t="str">
        <f>IFERROR(__xludf.DUMMYFUNCTION("""COMPUTED_VALUE"""),"")</f>
        <v/>
      </c>
      <c r="G7097" s="18"/>
      <c r="H7097" s="16" t="s">
        <v>87</v>
      </c>
      <c r="I7097" s="16" t="s">
        <v>87</v>
      </c>
      <c r="J7097" s="19"/>
      <c r="L7097" s="16" t="str">
        <f>IFERROR(__xludf.DUMMYFUNCTION("""COMPUTED_VALUE"""),"")</f>
        <v/>
      </c>
      <c r="M7097" s="16" t="str">
        <f>IFERROR(__xludf.DUMMYFUNCTION("""COMPUTED_VALUE"""),"")</f>
        <v/>
      </c>
      <c r="U7097" s="16" t="s">
        <v>87</v>
      </c>
      <c r="V7097" s="16" t="str">
        <f>IFERROR(__xludf.DUMMYFUNCTION("""COMPUTED_VALUE"""),"")</f>
        <v/>
      </c>
      <c r="W7097" s="16" t="str">
        <f>IFERROR(__xludf.DUMMYFUNCTION("""COMPUTED_VALUE"""),"")</f>
        <v/>
      </c>
      <c r="X7097" s="16" t="str">
        <f>IFERROR(__xludf.DUMMYFUNCTION("""COMPUTED_VALUE"""),"")</f>
        <v/>
      </c>
      <c r="AC7097" s="16" t="str">
        <f>IFERROR(__xludf.DUMMYFUNCTION("""COMPUTED_VALUE"""),"")</f>
        <v/>
      </c>
    </row>
    <row r="7098">
      <c r="A7098" s="16" t="s">
        <v>87</v>
      </c>
      <c r="E7098" s="16" t="str">
        <f>IFERROR(__xludf.DUMMYFUNCTION("""COMPUTED_VALUE"""),"")</f>
        <v/>
      </c>
      <c r="G7098" s="18"/>
      <c r="H7098" s="16" t="s">
        <v>87</v>
      </c>
      <c r="I7098" s="16" t="s">
        <v>87</v>
      </c>
      <c r="J7098" s="19"/>
      <c r="L7098" s="16" t="str">
        <f>IFERROR(__xludf.DUMMYFUNCTION("""COMPUTED_VALUE"""),"")</f>
        <v/>
      </c>
      <c r="M7098" s="16" t="str">
        <f>IFERROR(__xludf.DUMMYFUNCTION("""COMPUTED_VALUE"""),"")</f>
        <v/>
      </c>
      <c r="U7098" s="16" t="s">
        <v>87</v>
      </c>
      <c r="V7098" s="16" t="str">
        <f>IFERROR(__xludf.DUMMYFUNCTION("""COMPUTED_VALUE"""),"")</f>
        <v/>
      </c>
      <c r="W7098" s="16" t="str">
        <f>IFERROR(__xludf.DUMMYFUNCTION("""COMPUTED_VALUE"""),"")</f>
        <v/>
      </c>
      <c r="X7098" s="16" t="str">
        <f>IFERROR(__xludf.DUMMYFUNCTION("""COMPUTED_VALUE"""),"")</f>
        <v/>
      </c>
      <c r="AC7098" s="16" t="str">
        <f>IFERROR(__xludf.DUMMYFUNCTION("""COMPUTED_VALUE"""),"")</f>
        <v/>
      </c>
    </row>
    <row r="7099">
      <c r="A7099" s="16" t="s">
        <v>87</v>
      </c>
      <c r="E7099" s="16" t="str">
        <f>IFERROR(__xludf.DUMMYFUNCTION("""COMPUTED_VALUE"""),"")</f>
        <v/>
      </c>
      <c r="G7099" s="18"/>
      <c r="H7099" s="16" t="s">
        <v>87</v>
      </c>
      <c r="I7099" s="16" t="s">
        <v>87</v>
      </c>
      <c r="J7099" s="19"/>
      <c r="L7099" s="16" t="str">
        <f>IFERROR(__xludf.DUMMYFUNCTION("""COMPUTED_VALUE"""),"")</f>
        <v/>
      </c>
      <c r="M7099" s="16" t="str">
        <f>IFERROR(__xludf.DUMMYFUNCTION("""COMPUTED_VALUE"""),"")</f>
        <v/>
      </c>
      <c r="U7099" s="16" t="s">
        <v>87</v>
      </c>
      <c r="V7099" s="16" t="str">
        <f>IFERROR(__xludf.DUMMYFUNCTION("""COMPUTED_VALUE"""),"")</f>
        <v/>
      </c>
      <c r="W7099" s="16" t="str">
        <f>IFERROR(__xludf.DUMMYFUNCTION("""COMPUTED_VALUE"""),"")</f>
        <v/>
      </c>
      <c r="X7099" s="16" t="str">
        <f>IFERROR(__xludf.DUMMYFUNCTION("""COMPUTED_VALUE"""),"")</f>
        <v/>
      </c>
      <c r="AC7099" s="16" t="str">
        <f>IFERROR(__xludf.DUMMYFUNCTION("""COMPUTED_VALUE"""),"")</f>
        <v/>
      </c>
    </row>
    <row r="7100">
      <c r="A7100" s="16" t="s">
        <v>87</v>
      </c>
      <c r="E7100" s="16" t="str">
        <f>IFERROR(__xludf.DUMMYFUNCTION("""COMPUTED_VALUE"""),"")</f>
        <v/>
      </c>
      <c r="G7100" s="18"/>
      <c r="H7100" s="16" t="s">
        <v>87</v>
      </c>
      <c r="I7100" s="16" t="s">
        <v>87</v>
      </c>
      <c r="J7100" s="19"/>
      <c r="L7100" s="16" t="str">
        <f>IFERROR(__xludf.DUMMYFUNCTION("""COMPUTED_VALUE"""),"")</f>
        <v/>
      </c>
      <c r="M7100" s="16" t="str">
        <f>IFERROR(__xludf.DUMMYFUNCTION("""COMPUTED_VALUE"""),"")</f>
        <v/>
      </c>
      <c r="U7100" s="16" t="s">
        <v>87</v>
      </c>
      <c r="V7100" s="16" t="str">
        <f>IFERROR(__xludf.DUMMYFUNCTION("""COMPUTED_VALUE"""),"")</f>
        <v/>
      </c>
      <c r="W7100" s="16" t="str">
        <f>IFERROR(__xludf.DUMMYFUNCTION("""COMPUTED_VALUE"""),"")</f>
        <v/>
      </c>
      <c r="X7100" s="16" t="str">
        <f>IFERROR(__xludf.DUMMYFUNCTION("""COMPUTED_VALUE"""),"")</f>
        <v/>
      </c>
      <c r="AC7100" s="16" t="str">
        <f>IFERROR(__xludf.DUMMYFUNCTION("""COMPUTED_VALUE"""),"")</f>
        <v/>
      </c>
    </row>
    <row r="7101">
      <c r="A7101" s="16" t="s">
        <v>87</v>
      </c>
      <c r="E7101" s="16" t="str">
        <f>IFERROR(__xludf.DUMMYFUNCTION("""COMPUTED_VALUE"""),"")</f>
        <v/>
      </c>
      <c r="G7101" s="18"/>
      <c r="H7101" s="16" t="s">
        <v>87</v>
      </c>
      <c r="I7101" s="16" t="s">
        <v>87</v>
      </c>
      <c r="J7101" s="19"/>
      <c r="L7101" s="16" t="str">
        <f>IFERROR(__xludf.DUMMYFUNCTION("""COMPUTED_VALUE"""),"")</f>
        <v/>
      </c>
      <c r="M7101" s="16" t="str">
        <f>IFERROR(__xludf.DUMMYFUNCTION("""COMPUTED_VALUE"""),"")</f>
        <v/>
      </c>
      <c r="U7101" s="16" t="s">
        <v>87</v>
      </c>
      <c r="V7101" s="16" t="str">
        <f>IFERROR(__xludf.DUMMYFUNCTION("""COMPUTED_VALUE"""),"")</f>
        <v/>
      </c>
      <c r="W7101" s="16" t="str">
        <f>IFERROR(__xludf.DUMMYFUNCTION("""COMPUTED_VALUE"""),"")</f>
        <v/>
      </c>
      <c r="X7101" s="16" t="str">
        <f>IFERROR(__xludf.DUMMYFUNCTION("""COMPUTED_VALUE"""),"")</f>
        <v/>
      </c>
      <c r="AC7101" s="16" t="str">
        <f>IFERROR(__xludf.DUMMYFUNCTION("""COMPUTED_VALUE"""),"")</f>
        <v/>
      </c>
    </row>
    <row r="7102">
      <c r="A7102" s="16" t="s">
        <v>87</v>
      </c>
      <c r="E7102" s="16" t="str">
        <f>IFERROR(__xludf.DUMMYFUNCTION("""COMPUTED_VALUE"""),"")</f>
        <v/>
      </c>
      <c r="G7102" s="18"/>
      <c r="H7102" s="16" t="s">
        <v>87</v>
      </c>
      <c r="I7102" s="16" t="s">
        <v>87</v>
      </c>
      <c r="J7102" s="19"/>
      <c r="L7102" s="16" t="str">
        <f>IFERROR(__xludf.DUMMYFUNCTION("""COMPUTED_VALUE"""),"")</f>
        <v/>
      </c>
      <c r="M7102" s="16" t="str">
        <f>IFERROR(__xludf.DUMMYFUNCTION("""COMPUTED_VALUE"""),"")</f>
        <v/>
      </c>
      <c r="U7102" s="16" t="s">
        <v>87</v>
      </c>
      <c r="V7102" s="16" t="str">
        <f>IFERROR(__xludf.DUMMYFUNCTION("""COMPUTED_VALUE"""),"")</f>
        <v/>
      </c>
      <c r="W7102" s="16" t="str">
        <f>IFERROR(__xludf.DUMMYFUNCTION("""COMPUTED_VALUE"""),"")</f>
        <v/>
      </c>
      <c r="X7102" s="16" t="str">
        <f>IFERROR(__xludf.DUMMYFUNCTION("""COMPUTED_VALUE"""),"")</f>
        <v/>
      </c>
      <c r="AC7102" s="16" t="str">
        <f>IFERROR(__xludf.DUMMYFUNCTION("""COMPUTED_VALUE"""),"")</f>
        <v/>
      </c>
    </row>
    <row r="7103">
      <c r="A7103" s="16" t="s">
        <v>87</v>
      </c>
      <c r="E7103" s="16" t="str">
        <f>IFERROR(__xludf.DUMMYFUNCTION("""COMPUTED_VALUE"""),"")</f>
        <v/>
      </c>
      <c r="G7103" s="18"/>
      <c r="H7103" s="16" t="s">
        <v>87</v>
      </c>
      <c r="I7103" s="16" t="s">
        <v>87</v>
      </c>
      <c r="J7103" s="19"/>
      <c r="L7103" s="16" t="str">
        <f>IFERROR(__xludf.DUMMYFUNCTION("""COMPUTED_VALUE"""),"")</f>
        <v/>
      </c>
      <c r="M7103" s="16" t="str">
        <f>IFERROR(__xludf.DUMMYFUNCTION("""COMPUTED_VALUE"""),"")</f>
        <v/>
      </c>
      <c r="U7103" s="16" t="s">
        <v>87</v>
      </c>
      <c r="V7103" s="16" t="str">
        <f>IFERROR(__xludf.DUMMYFUNCTION("""COMPUTED_VALUE"""),"")</f>
        <v/>
      </c>
      <c r="W7103" s="16" t="str">
        <f>IFERROR(__xludf.DUMMYFUNCTION("""COMPUTED_VALUE"""),"")</f>
        <v/>
      </c>
      <c r="X7103" s="16" t="str">
        <f>IFERROR(__xludf.DUMMYFUNCTION("""COMPUTED_VALUE"""),"")</f>
        <v/>
      </c>
      <c r="AC7103" s="16" t="str">
        <f>IFERROR(__xludf.DUMMYFUNCTION("""COMPUTED_VALUE"""),"")</f>
        <v/>
      </c>
    </row>
    <row r="7104">
      <c r="A7104" s="16" t="s">
        <v>87</v>
      </c>
      <c r="E7104" s="16" t="str">
        <f>IFERROR(__xludf.DUMMYFUNCTION("""COMPUTED_VALUE"""),"")</f>
        <v/>
      </c>
      <c r="G7104" s="18"/>
      <c r="H7104" s="16" t="s">
        <v>87</v>
      </c>
      <c r="I7104" s="16" t="s">
        <v>87</v>
      </c>
      <c r="J7104" s="19"/>
      <c r="L7104" s="16" t="str">
        <f>IFERROR(__xludf.DUMMYFUNCTION("""COMPUTED_VALUE"""),"")</f>
        <v/>
      </c>
      <c r="M7104" s="16" t="str">
        <f>IFERROR(__xludf.DUMMYFUNCTION("""COMPUTED_VALUE"""),"")</f>
        <v/>
      </c>
      <c r="U7104" s="16" t="s">
        <v>87</v>
      </c>
      <c r="V7104" s="16" t="str">
        <f>IFERROR(__xludf.DUMMYFUNCTION("""COMPUTED_VALUE"""),"")</f>
        <v/>
      </c>
      <c r="W7104" s="16" t="str">
        <f>IFERROR(__xludf.DUMMYFUNCTION("""COMPUTED_VALUE"""),"")</f>
        <v/>
      </c>
      <c r="X7104" s="16" t="str">
        <f>IFERROR(__xludf.DUMMYFUNCTION("""COMPUTED_VALUE"""),"")</f>
        <v/>
      </c>
      <c r="AC7104" s="16" t="str">
        <f>IFERROR(__xludf.DUMMYFUNCTION("""COMPUTED_VALUE"""),"")</f>
        <v/>
      </c>
    </row>
    <row r="7105">
      <c r="A7105" s="16" t="s">
        <v>87</v>
      </c>
      <c r="E7105" s="16" t="str">
        <f>IFERROR(__xludf.DUMMYFUNCTION("""COMPUTED_VALUE"""),"")</f>
        <v/>
      </c>
      <c r="G7105" s="18"/>
      <c r="H7105" s="16" t="s">
        <v>87</v>
      </c>
      <c r="I7105" s="16" t="s">
        <v>87</v>
      </c>
      <c r="J7105" s="19"/>
      <c r="L7105" s="16" t="str">
        <f>IFERROR(__xludf.DUMMYFUNCTION("""COMPUTED_VALUE"""),"")</f>
        <v/>
      </c>
      <c r="M7105" s="16" t="str">
        <f>IFERROR(__xludf.DUMMYFUNCTION("""COMPUTED_VALUE"""),"")</f>
        <v/>
      </c>
      <c r="U7105" s="16" t="s">
        <v>87</v>
      </c>
      <c r="V7105" s="16" t="str">
        <f>IFERROR(__xludf.DUMMYFUNCTION("""COMPUTED_VALUE"""),"")</f>
        <v/>
      </c>
      <c r="W7105" s="16" t="str">
        <f>IFERROR(__xludf.DUMMYFUNCTION("""COMPUTED_VALUE"""),"")</f>
        <v/>
      </c>
      <c r="X7105" s="16" t="str">
        <f>IFERROR(__xludf.DUMMYFUNCTION("""COMPUTED_VALUE"""),"")</f>
        <v/>
      </c>
      <c r="AC7105" s="16" t="str">
        <f>IFERROR(__xludf.DUMMYFUNCTION("""COMPUTED_VALUE"""),"")</f>
        <v/>
      </c>
    </row>
    <row r="7106">
      <c r="A7106" s="16" t="s">
        <v>87</v>
      </c>
      <c r="E7106" s="16" t="str">
        <f>IFERROR(__xludf.DUMMYFUNCTION("""COMPUTED_VALUE"""),"")</f>
        <v/>
      </c>
      <c r="G7106" s="18"/>
      <c r="H7106" s="16" t="s">
        <v>87</v>
      </c>
      <c r="I7106" s="16" t="s">
        <v>87</v>
      </c>
      <c r="J7106" s="19"/>
      <c r="L7106" s="16" t="str">
        <f>IFERROR(__xludf.DUMMYFUNCTION("""COMPUTED_VALUE"""),"")</f>
        <v/>
      </c>
      <c r="M7106" s="16" t="str">
        <f>IFERROR(__xludf.DUMMYFUNCTION("""COMPUTED_VALUE"""),"")</f>
        <v/>
      </c>
      <c r="U7106" s="16" t="s">
        <v>87</v>
      </c>
      <c r="V7106" s="16" t="str">
        <f>IFERROR(__xludf.DUMMYFUNCTION("""COMPUTED_VALUE"""),"")</f>
        <v/>
      </c>
      <c r="W7106" s="16" t="str">
        <f>IFERROR(__xludf.DUMMYFUNCTION("""COMPUTED_VALUE"""),"")</f>
        <v/>
      </c>
      <c r="X7106" s="16" t="str">
        <f>IFERROR(__xludf.DUMMYFUNCTION("""COMPUTED_VALUE"""),"")</f>
        <v/>
      </c>
      <c r="AC7106" s="16" t="str">
        <f>IFERROR(__xludf.DUMMYFUNCTION("""COMPUTED_VALUE"""),"")</f>
        <v/>
      </c>
    </row>
    <row r="7107">
      <c r="A7107" s="16" t="s">
        <v>87</v>
      </c>
      <c r="E7107" s="16" t="str">
        <f>IFERROR(__xludf.DUMMYFUNCTION("""COMPUTED_VALUE"""),"")</f>
        <v/>
      </c>
      <c r="G7107" s="18"/>
      <c r="H7107" s="16" t="s">
        <v>87</v>
      </c>
      <c r="I7107" s="16" t="s">
        <v>87</v>
      </c>
      <c r="J7107" s="19"/>
      <c r="L7107" s="16" t="str">
        <f>IFERROR(__xludf.DUMMYFUNCTION("""COMPUTED_VALUE"""),"")</f>
        <v/>
      </c>
      <c r="M7107" s="16" t="str">
        <f>IFERROR(__xludf.DUMMYFUNCTION("""COMPUTED_VALUE"""),"")</f>
        <v/>
      </c>
      <c r="U7107" s="16" t="s">
        <v>87</v>
      </c>
      <c r="V7107" s="16" t="str">
        <f>IFERROR(__xludf.DUMMYFUNCTION("""COMPUTED_VALUE"""),"")</f>
        <v/>
      </c>
      <c r="W7107" s="16" t="str">
        <f>IFERROR(__xludf.DUMMYFUNCTION("""COMPUTED_VALUE"""),"")</f>
        <v/>
      </c>
      <c r="X7107" s="16" t="str">
        <f>IFERROR(__xludf.DUMMYFUNCTION("""COMPUTED_VALUE"""),"")</f>
        <v/>
      </c>
      <c r="AC7107" s="16" t="str">
        <f>IFERROR(__xludf.DUMMYFUNCTION("""COMPUTED_VALUE"""),"")</f>
        <v/>
      </c>
    </row>
    <row r="7108">
      <c r="A7108" s="16" t="s">
        <v>87</v>
      </c>
      <c r="E7108" s="16" t="str">
        <f>IFERROR(__xludf.DUMMYFUNCTION("""COMPUTED_VALUE"""),"")</f>
        <v/>
      </c>
      <c r="G7108" s="18"/>
      <c r="H7108" s="16" t="s">
        <v>87</v>
      </c>
      <c r="I7108" s="16" t="s">
        <v>87</v>
      </c>
      <c r="J7108" s="19"/>
      <c r="L7108" s="16" t="str">
        <f>IFERROR(__xludf.DUMMYFUNCTION("""COMPUTED_VALUE"""),"")</f>
        <v/>
      </c>
      <c r="M7108" s="16" t="str">
        <f>IFERROR(__xludf.DUMMYFUNCTION("""COMPUTED_VALUE"""),"")</f>
        <v/>
      </c>
      <c r="U7108" s="16" t="s">
        <v>87</v>
      </c>
      <c r="V7108" s="16" t="str">
        <f>IFERROR(__xludf.DUMMYFUNCTION("""COMPUTED_VALUE"""),"")</f>
        <v/>
      </c>
      <c r="W7108" s="16" t="str">
        <f>IFERROR(__xludf.DUMMYFUNCTION("""COMPUTED_VALUE"""),"")</f>
        <v/>
      </c>
      <c r="X7108" s="16" t="str">
        <f>IFERROR(__xludf.DUMMYFUNCTION("""COMPUTED_VALUE"""),"")</f>
        <v/>
      </c>
      <c r="AC7108" s="16" t="str">
        <f>IFERROR(__xludf.DUMMYFUNCTION("""COMPUTED_VALUE"""),"")</f>
        <v/>
      </c>
    </row>
    <row r="7109">
      <c r="A7109" s="16" t="s">
        <v>87</v>
      </c>
      <c r="E7109" s="16" t="str">
        <f>IFERROR(__xludf.DUMMYFUNCTION("""COMPUTED_VALUE"""),"")</f>
        <v/>
      </c>
      <c r="G7109" s="18"/>
      <c r="H7109" s="16" t="s">
        <v>87</v>
      </c>
      <c r="I7109" s="16" t="s">
        <v>87</v>
      </c>
      <c r="J7109" s="19"/>
      <c r="L7109" s="16" t="str">
        <f>IFERROR(__xludf.DUMMYFUNCTION("""COMPUTED_VALUE"""),"")</f>
        <v/>
      </c>
      <c r="M7109" s="16" t="str">
        <f>IFERROR(__xludf.DUMMYFUNCTION("""COMPUTED_VALUE"""),"")</f>
        <v/>
      </c>
      <c r="U7109" s="16" t="s">
        <v>87</v>
      </c>
      <c r="V7109" s="16" t="str">
        <f>IFERROR(__xludf.DUMMYFUNCTION("""COMPUTED_VALUE"""),"")</f>
        <v/>
      </c>
      <c r="W7109" s="16" t="str">
        <f>IFERROR(__xludf.DUMMYFUNCTION("""COMPUTED_VALUE"""),"")</f>
        <v/>
      </c>
      <c r="X7109" s="16" t="str">
        <f>IFERROR(__xludf.DUMMYFUNCTION("""COMPUTED_VALUE"""),"")</f>
        <v/>
      </c>
      <c r="AC7109" s="16" t="str">
        <f>IFERROR(__xludf.DUMMYFUNCTION("""COMPUTED_VALUE"""),"")</f>
        <v/>
      </c>
    </row>
    <row r="7110">
      <c r="A7110" s="16" t="s">
        <v>87</v>
      </c>
      <c r="E7110" s="16" t="str">
        <f>IFERROR(__xludf.DUMMYFUNCTION("""COMPUTED_VALUE"""),"")</f>
        <v/>
      </c>
      <c r="G7110" s="18"/>
      <c r="H7110" s="16" t="s">
        <v>87</v>
      </c>
      <c r="I7110" s="16" t="s">
        <v>87</v>
      </c>
      <c r="J7110" s="19"/>
      <c r="L7110" s="16" t="str">
        <f>IFERROR(__xludf.DUMMYFUNCTION("""COMPUTED_VALUE"""),"")</f>
        <v/>
      </c>
      <c r="M7110" s="16" t="str">
        <f>IFERROR(__xludf.DUMMYFUNCTION("""COMPUTED_VALUE"""),"")</f>
        <v/>
      </c>
      <c r="U7110" s="16" t="s">
        <v>87</v>
      </c>
      <c r="V7110" s="16" t="str">
        <f>IFERROR(__xludf.DUMMYFUNCTION("""COMPUTED_VALUE"""),"")</f>
        <v/>
      </c>
      <c r="W7110" s="16" t="str">
        <f>IFERROR(__xludf.DUMMYFUNCTION("""COMPUTED_VALUE"""),"")</f>
        <v/>
      </c>
      <c r="X7110" s="16" t="str">
        <f>IFERROR(__xludf.DUMMYFUNCTION("""COMPUTED_VALUE"""),"")</f>
        <v/>
      </c>
      <c r="AC7110" s="16" t="str">
        <f>IFERROR(__xludf.DUMMYFUNCTION("""COMPUTED_VALUE"""),"")</f>
        <v/>
      </c>
    </row>
    <row r="7111">
      <c r="A7111" s="16" t="s">
        <v>87</v>
      </c>
      <c r="E7111" s="16" t="str">
        <f>IFERROR(__xludf.DUMMYFUNCTION("""COMPUTED_VALUE"""),"")</f>
        <v/>
      </c>
      <c r="G7111" s="18"/>
      <c r="H7111" s="16" t="s">
        <v>87</v>
      </c>
      <c r="I7111" s="16" t="s">
        <v>87</v>
      </c>
      <c r="J7111" s="19"/>
      <c r="L7111" s="16" t="str">
        <f>IFERROR(__xludf.DUMMYFUNCTION("""COMPUTED_VALUE"""),"")</f>
        <v/>
      </c>
      <c r="M7111" s="16" t="str">
        <f>IFERROR(__xludf.DUMMYFUNCTION("""COMPUTED_VALUE"""),"")</f>
        <v/>
      </c>
      <c r="U7111" s="16" t="s">
        <v>87</v>
      </c>
      <c r="V7111" s="16" t="str">
        <f>IFERROR(__xludf.DUMMYFUNCTION("""COMPUTED_VALUE"""),"")</f>
        <v/>
      </c>
      <c r="W7111" s="16" t="str">
        <f>IFERROR(__xludf.DUMMYFUNCTION("""COMPUTED_VALUE"""),"")</f>
        <v/>
      </c>
      <c r="X7111" s="16" t="str">
        <f>IFERROR(__xludf.DUMMYFUNCTION("""COMPUTED_VALUE"""),"")</f>
        <v/>
      </c>
      <c r="AC7111" s="16" t="str">
        <f>IFERROR(__xludf.DUMMYFUNCTION("""COMPUTED_VALUE"""),"")</f>
        <v/>
      </c>
    </row>
    <row r="7112">
      <c r="A7112" s="16" t="s">
        <v>87</v>
      </c>
      <c r="E7112" s="16" t="str">
        <f>IFERROR(__xludf.DUMMYFUNCTION("""COMPUTED_VALUE"""),"")</f>
        <v/>
      </c>
      <c r="G7112" s="18"/>
      <c r="H7112" s="16" t="s">
        <v>87</v>
      </c>
      <c r="I7112" s="16" t="s">
        <v>87</v>
      </c>
      <c r="J7112" s="19"/>
      <c r="L7112" s="16" t="str">
        <f>IFERROR(__xludf.DUMMYFUNCTION("""COMPUTED_VALUE"""),"")</f>
        <v/>
      </c>
      <c r="M7112" s="16" t="str">
        <f>IFERROR(__xludf.DUMMYFUNCTION("""COMPUTED_VALUE"""),"")</f>
        <v/>
      </c>
      <c r="U7112" s="16" t="s">
        <v>87</v>
      </c>
      <c r="V7112" s="16" t="str">
        <f>IFERROR(__xludf.DUMMYFUNCTION("""COMPUTED_VALUE"""),"")</f>
        <v/>
      </c>
      <c r="W7112" s="16" t="str">
        <f>IFERROR(__xludf.DUMMYFUNCTION("""COMPUTED_VALUE"""),"")</f>
        <v/>
      </c>
      <c r="X7112" s="16" t="str">
        <f>IFERROR(__xludf.DUMMYFUNCTION("""COMPUTED_VALUE"""),"")</f>
        <v/>
      </c>
      <c r="AC7112" s="16" t="str">
        <f>IFERROR(__xludf.DUMMYFUNCTION("""COMPUTED_VALUE"""),"")</f>
        <v/>
      </c>
    </row>
    <row r="7113">
      <c r="A7113" s="16" t="s">
        <v>87</v>
      </c>
      <c r="E7113" s="16" t="str">
        <f>IFERROR(__xludf.DUMMYFUNCTION("""COMPUTED_VALUE"""),"")</f>
        <v/>
      </c>
      <c r="G7113" s="18"/>
      <c r="H7113" s="16" t="s">
        <v>87</v>
      </c>
      <c r="I7113" s="16" t="s">
        <v>87</v>
      </c>
      <c r="J7113" s="19"/>
      <c r="L7113" s="16" t="str">
        <f>IFERROR(__xludf.DUMMYFUNCTION("""COMPUTED_VALUE"""),"")</f>
        <v/>
      </c>
      <c r="M7113" s="16" t="str">
        <f>IFERROR(__xludf.DUMMYFUNCTION("""COMPUTED_VALUE"""),"")</f>
        <v/>
      </c>
      <c r="U7113" s="16" t="s">
        <v>87</v>
      </c>
      <c r="V7113" s="16" t="str">
        <f>IFERROR(__xludf.DUMMYFUNCTION("""COMPUTED_VALUE"""),"")</f>
        <v/>
      </c>
      <c r="W7113" s="16" t="str">
        <f>IFERROR(__xludf.DUMMYFUNCTION("""COMPUTED_VALUE"""),"")</f>
        <v/>
      </c>
      <c r="X7113" s="16" t="str">
        <f>IFERROR(__xludf.DUMMYFUNCTION("""COMPUTED_VALUE"""),"")</f>
        <v/>
      </c>
      <c r="AC7113" s="16" t="str">
        <f>IFERROR(__xludf.DUMMYFUNCTION("""COMPUTED_VALUE"""),"")</f>
        <v/>
      </c>
    </row>
    <row r="7114">
      <c r="A7114" s="16" t="s">
        <v>87</v>
      </c>
      <c r="E7114" s="16" t="str">
        <f>IFERROR(__xludf.DUMMYFUNCTION("""COMPUTED_VALUE"""),"")</f>
        <v/>
      </c>
      <c r="G7114" s="18"/>
      <c r="H7114" s="16" t="s">
        <v>87</v>
      </c>
      <c r="I7114" s="16" t="s">
        <v>87</v>
      </c>
      <c r="J7114" s="19"/>
      <c r="L7114" s="16" t="str">
        <f>IFERROR(__xludf.DUMMYFUNCTION("""COMPUTED_VALUE"""),"")</f>
        <v/>
      </c>
      <c r="M7114" s="16" t="str">
        <f>IFERROR(__xludf.DUMMYFUNCTION("""COMPUTED_VALUE"""),"")</f>
        <v/>
      </c>
      <c r="U7114" s="16" t="s">
        <v>87</v>
      </c>
      <c r="V7114" s="16" t="str">
        <f>IFERROR(__xludf.DUMMYFUNCTION("""COMPUTED_VALUE"""),"")</f>
        <v/>
      </c>
      <c r="W7114" s="16" t="str">
        <f>IFERROR(__xludf.DUMMYFUNCTION("""COMPUTED_VALUE"""),"")</f>
        <v/>
      </c>
      <c r="X7114" s="16" t="str">
        <f>IFERROR(__xludf.DUMMYFUNCTION("""COMPUTED_VALUE"""),"")</f>
        <v/>
      </c>
      <c r="AC7114" s="16" t="str">
        <f>IFERROR(__xludf.DUMMYFUNCTION("""COMPUTED_VALUE"""),"")</f>
        <v/>
      </c>
    </row>
    <row r="7115">
      <c r="A7115" s="16" t="s">
        <v>87</v>
      </c>
      <c r="E7115" s="16" t="str">
        <f>IFERROR(__xludf.DUMMYFUNCTION("""COMPUTED_VALUE"""),"")</f>
        <v/>
      </c>
      <c r="G7115" s="18"/>
      <c r="H7115" s="16" t="s">
        <v>87</v>
      </c>
      <c r="I7115" s="16" t="s">
        <v>87</v>
      </c>
      <c r="J7115" s="19"/>
      <c r="L7115" s="16" t="str">
        <f>IFERROR(__xludf.DUMMYFUNCTION("""COMPUTED_VALUE"""),"")</f>
        <v/>
      </c>
      <c r="M7115" s="16" t="str">
        <f>IFERROR(__xludf.DUMMYFUNCTION("""COMPUTED_VALUE"""),"")</f>
        <v/>
      </c>
      <c r="U7115" s="16" t="s">
        <v>87</v>
      </c>
      <c r="V7115" s="16" t="str">
        <f>IFERROR(__xludf.DUMMYFUNCTION("""COMPUTED_VALUE"""),"")</f>
        <v/>
      </c>
      <c r="W7115" s="16" t="str">
        <f>IFERROR(__xludf.DUMMYFUNCTION("""COMPUTED_VALUE"""),"")</f>
        <v/>
      </c>
      <c r="X7115" s="16" t="str">
        <f>IFERROR(__xludf.DUMMYFUNCTION("""COMPUTED_VALUE"""),"")</f>
        <v/>
      </c>
      <c r="AC7115" s="16" t="str">
        <f>IFERROR(__xludf.DUMMYFUNCTION("""COMPUTED_VALUE"""),"")</f>
        <v/>
      </c>
    </row>
    <row r="7116">
      <c r="A7116" s="16" t="s">
        <v>87</v>
      </c>
      <c r="E7116" s="16" t="str">
        <f>IFERROR(__xludf.DUMMYFUNCTION("""COMPUTED_VALUE"""),"")</f>
        <v/>
      </c>
      <c r="G7116" s="18"/>
      <c r="H7116" s="16" t="s">
        <v>87</v>
      </c>
      <c r="I7116" s="16" t="s">
        <v>87</v>
      </c>
      <c r="J7116" s="19"/>
      <c r="L7116" s="16" t="str">
        <f>IFERROR(__xludf.DUMMYFUNCTION("""COMPUTED_VALUE"""),"")</f>
        <v/>
      </c>
      <c r="M7116" s="16" t="str">
        <f>IFERROR(__xludf.DUMMYFUNCTION("""COMPUTED_VALUE"""),"")</f>
        <v/>
      </c>
      <c r="U7116" s="16" t="s">
        <v>87</v>
      </c>
      <c r="V7116" s="16" t="str">
        <f>IFERROR(__xludf.DUMMYFUNCTION("""COMPUTED_VALUE"""),"")</f>
        <v/>
      </c>
      <c r="W7116" s="16" t="str">
        <f>IFERROR(__xludf.DUMMYFUNCTION("""COMPUTED_VALUE"""),"")</f>
        <v/>
      </c>
      <c r="X7116" s="16" t="str">
        <f>IFERROR(__xludf.DUMMYFUNCTION("""COMPUTED_VALUE"""),"")</f>
        <v/>
      </c>
      <c r="AC7116" s="16" t="str">
        <f>IFERROR(__xludf.DUMMYFUNCTION("""COMPUTED_VALUE"""),"")</f>
        <v/>
      </c>
    </row>
    <row r="7117">
      <c r="A7117" s="16" t="s">
        <v>87</v>
      </c>
      <c r="E7117" s="16" t="str">
        <f>IFERROR(__xludf.DUMMYFUNCTION("""COMPUTED_VALUE"""),"")</f>
        <v/>
      </c>
      <c r="G7117" s="18"/>
      <c r="H7117" s="16" t="s">
        <v>87</v>
      </c>
      <c r="I7117" s="16" t="s">
        <v>87</v>
      </c>
      <c r="J7117" s="19"/>
      <c r="L7117" s="16" t="str">
        <f>IFERROR(__xludf.DUMMYFUNCTION("""COMPUTED_VALUE"""),"")</f>
        <v/>
      </c>
      <c r="M7117" s="16" t="str">
        <f>IFERROR(__xludf.DUMMYFUNCTION("""COMPUTED_VALUE"""),"")</f>
        <v/>
      </c>
      <c r="U7117" s="16" t="s">
        <v>87</v>
      </c>
      <c r="V7117" s="16" t="str">
        <f>IFERROR(__xludf.DUMMYFUNCTION("""COMPUTED_VALUE"""),"")</f>
        <v/>
      </c>
      <c r="W7117" s="16" t="str">
        <f>IFERROR(__xludf.DUMMYFUNCTION("""COMPUTED_VALUE"""),"")</f>
        <v/>
      </c>
      <c r="X7117" s="16" t="str">
        <f>IFERROR(__xludf.DUMMYFUNCTION("""COMPUTED_VALUE"""),"")</f>
        <v/>
      </c>
      <c r="AC7117" s="16" t="str">
        <f>IFERROR(__xludf.DUMMYFUNCTION("""COMPUTED_VALUE"""),"")</f>
        <v/>
      </c>
    </row>
    <row r="7118">
      <c r="A7118" s="16" t="s">
        <v>87</v>
      </c>
      <c r="E7118" s="16" t="str">
        <f>IFERROR(__xludf.DUMMYFUNCTION("""COMPUTED_VALUE"""),"")</f>
        <v/>
      </c>
      <c r="G7118" s="18"/>
      <c r="H7118" s="16" t="s">
        <v>87</v>
      </c>
      <c r="I7118" s="16" t="s">
        <v>87</v>
      </c>
      <c r="J7118" s="19"/>
      <c r="L7118" s="16" t="str">
        <f>IFERROR(__xludf.DUMMYFUNCTION("""COMPUTED_VALUE"""),"")</f>
        <v/>
      </c>
      <c r="M7118" s="16" t="str">
        <f>IFERROR(__xludf.DUMMYFUNCTION("""COMPUTED_VALUE"""),"")</f>
        <v/>
      </c>
      <c r="U7118" s="16" t="s">
        <v>87</v>
      </c>
      <c r="V7118" s="16" t="str">
        <f>IFERROR(__xludf.DUMMYFUNCTION("""COMPUTED_VALUE"""),"")</f>
        <v/>
      </c>
      <c r="W7118" s="16" t="str">
        <f>IFERROR(__xludf.DUMMYFUNCTION("""COMPUTED_VALUE"""),"")</f>
        <v/>
      </c>
      <c r="X7118" s="16" t="str">
        <f>IFERROR(__xludf.DUMMYFUNCTION("""COMPUTED_VALUE"""),"")</f>
        <v/>
      </c>
      <c r="AC7118" s="16" t="str">
        <f>IFERROR(__xludf.DUMMYFUNCTION("""COMPUTED_VALUE"""),"")</f>
        <v/>
      </c>
    </row>
    <row r="7119">
      <c r="A7119" s="16" t="s">
        <v>87</v>
      </c>
      <c r="E7119" s="16" t="str">
        <f>IFERROR(__xludf.DUMMYFUNCTION("""COMPUTED_VALUE"""),"")</f>
        <v/>
      </c>
      <c r="G7119" s="18"/>
      <c r="H7119" s="16" t="s">
        <v>87</v>
      </c>
      <c r="I7119" s="16" t="s">
        <v>87</v>
      </c>
      <c r="J7119" s="19"/>
      <c r="L7119" s="16" t="str">
        <f>IFERROR(__xludf.DUMMYFUNCTION("""COMPUTED_VALUE"""),"")</f>
        <v/>
      </c>
      <c r="M7119" s="16" t="str">
        <f>IFERROR(__xludf.DUMMYFUNCTION("""COMPUTED_VALUE"""),"")</f>
        <v/>
      </c>
      <c r="U7119" s="16" t="s">
        <v>87</v>
      </c>
      <c r="V7119" s="16" t="str">
        <f>IFERROR(__xludf.DUMMYFUNCTION("""COMPUTED_VALUE"""),"")</f>
        <v/>
      </c>
      <c r="W7119" s="16" t="str">
        <f>IFERROR(__xludf.DUMMYFUNCTION("""COMPUTED_VALUE"""),"")</f>
        <v/>
      </c>
      <c r="X7119" s="16" t="str">
        <f>IFERROR(__xludf.DUMMYFUNCTION("""COMPUTED_VALUE"""),"")</f>
        <v/>
      </c>
      <c r="AC7119" s="16" t="str">
        <f>IFERROR(__xludf.DUMMYFUNCTION("""COMPUTED_VALUE"""),"")</f>
        <v/>
      </c>
    </row>
    <row r="7120">
      <c r="A7120" s="16" t="s">
        <v>87</v>
      </c>
      <c r="E7120" s="16" t="str">
        <f>IFERROR(__xludf.DUMMYFUNCTION("""COMPUTED_VALUE"""),"")</f>
        <v/>
      </c>
      <c r="G7120" s="18"/>
      <c r="H7120" s="16" t="s">
        <v>87</v>
      </c>
      <c r="I7120" s="16" t="s">
        <v>87</v>
      </c>
      <c r="J7120" s="19"/>
      <c r="L7120" s="16" t="str">
        <f>IFERROR(__xludf.DUMMYFUNCTION("""COMPUTED_VALUE"""),"")</f>
        <v/>
      </c>
      <c r="M7120" s="16" t="str">
        <f>IFERROR(__xludf.DUMMYFUNCTION("""COMPUTED_VALUE"""),"")</f>
        <v/>
      </c>
      <c r="U7120" s="16" t="s">
        <v>87</v>
      </c>
      <c r="V7120" s="16" t="str">
        <f>IFERROR(__xludf.DUMMYFUNCTION("""COMPUTED_VALUE"""),"")</f>
        <v/>
      </c>
      <c r="W7120" s="16" t="str">
        <f>IFERROR(__xludf.DUMMYFUNCTION("""COMPUTED_VALUE"""),"")</f>
        <v/>
      </c>
      <c r="X7120" s="16" t="str">
        <f>IFERROR(__xludf.DUMMYFUNCTION("""COMPUTED_VALUE"""),"")</f>
        <v/>
      </c>
      <c r="AC7120" s="16" t="str">
        <f>IFERROR(__xludf.DUMMYFUNCTION("""COMPUTED_VALUE"""),"")</f>
        <v/>
      </c>
    </row>
    <row r="7121">
      <c r="A7121" s="16" t="s">
        <v>87</v>
      </c>
      <c r="E7121" s="16" t="str">
        <f>IFERROR(__xludf.DUMMYFUNCTION("""COMPUTED_VALUE"""),"")</f>
        <v/>
      </c>
      <c r="G7121" s="18"/>
      <c r="H7121" s="16" t="s">
        <v>87</v>
      </c>
      <c r="I7121" s="16" t="s">
        <v>87</v>
      </c>
      <c r="J7121" s="19"/>
      <c r="L7121" s="16" t="str">
        <f>IFERROR(__xludf.DUMMYFUNCTION("""COMPUTED_VALUE"""),"")</f>
        <v/>
      </c>
      <c r="M7121" s="16" t="str">
        <f>IFERROR(__xludf.DUMMYFUNCTION("""COMPUTED_VALUE"""),"")</f>
        <v/>
      </c>
      <c r="U7121" s="16" t="s">
        <v>87</v>
      </c>
      <c r="V7121" s="16" t="str">
        <f>IFERROR(__xludf.DUMMYFUNCTION("""COMPUTED_VALUE"""),"")</f>
        <v/>
      </c>
      <c r="W7121" s="16" t="str">
        <f>IFERROR(__xludf.DUMMYFUNCTION("""COMPUTED_VALUE"""),"")</f>
        <v/>
      </c>
      <c r="X7121" s="16" t="str">
        <f>IFERROR(__xludf.DUMMYFUNCTION("""COMPUTED_VALUE"""),"")</f>
        <v/>
      </c>
      <c r="AC7121" s="16" t="str">
        <f>IFERROR(__xludf.DUMMYFUNCTION("""COMPUTED_VALUE"""),"")</f>
        <v/>
      </c>
    </row>
    <row r="7122">
      <c r="A7122" s="16" t="s">
        <v>87</v>
      </c>
      <c r="E7122" s="16" t="str">
        <f>IFERROR(__xludf.DUMMYFUNCTION("""COMPUTED_VALUE"""),"")</f>
        <v/>
      </c>
      <c r="G7122" s="18"/>
      <c r="H7122" s="16" t="s">
        <v>87</v>
      </c>
      <c r="I7122" s="16" t="s">
        <v>87</v>
      </c>
      <c r="J7122" s="19"/>
      <c r="L7122" s="16" t="str">
        <f>IFERROR(__xludf.DUMMYFUNCTION("""COMPUTED_VALUE"""),"")</f>
        <v/>
      </c>
      <c r="M7122" s="16" t="str">
        <f>IFERROR(__xludf.DUMMYFUNCTION("""COMPUTED_VALUE"""),"")</f>
        <v/>
      </c>
      <c r="U7122" s="16" t="s">
        <v>87</v>
      </c>
      <c r="V7122" s="16" t="str">
        <f>IFERROR(__xludf.DUMMYFUNCTION("""COMPUTED_VALUE"""),"")</f>
        <v/>
      </c>
      <c r="W7122" s="16" t="str">
        <f>IFERROR(__xludf.DUMMYFUNCTION("""COMPUTED_VALUE"""),"")</f>
        <v/>
      </c>
      <c r="X7122" s="16" t="str">
        <f>IFERROR(__xludf.DUMMYFUNCTION("""COMPUTED_VALUE"""),"")</f>
        <v/>
      </c>
      <c r="AC7122" s="16" t="str">
        <f>IFERROR(__xludf.DUMMYFUNCTION("""COMPUTED_VALUE"""),"")</f>
        <v/>
      </c>
    </row>
    <row r="7123">
      <c r="A7123" s="16" t="s">
        <v>87</v>
      </c>
      <c r="E7123" s="16" t="str">
        <f>IFERROR(__xludf.DUMMYFUNCTION("""COMPUTED_VALUE"""),"")</f>
        <v/>
      </c>
      <c r="G7123" s="18"/>
      <c r="H7123" s="16" t="s">
        <v>87</v>
      </c>
      <c r="I7123" s="16" t="s">
        <v>87</v>
      </c>
      <c r="J7123" s="19"/>
      <c r="L7123" s="16" t="str">
        <f>IFERROR(__xludf.DUMMYFUNCTION("""COMPUTED_VALUE"""),"")</f>
        <v/>
      </c>
      <c r="M7123" s="16" t="str">
        <f>IFERROR(__xludf.DUMMYFUNCTION("""COMPUTED_VALUE"""),"")</f>
        <v/>
      </c>
      <c r="U7123" s="16" t="s">
        <v>87</v>
      </c>
      <c r="V7123" s="16" t="str">
        <f>IFERROR(__xludf.DUMMYFUNCTION("""COMPUTED_VALUE"""),"")</f>
        <v/>
      </c>
      <c r="W7123" s="16" t="str">
        <f>IFERROR(__xludf.DUMMYFUNCTION("""COMPUTED_VALUE"""),"")</f>
        <v/>
      </c>
      <c r="X7123" s="16" t="str">
        <f>IFERROR(__xludf.DUMMYFUNCTION("""COMPUTED_VALUE"""),"")</f>
        <v/>
      </c>
      <c r="AC7123" s="16" t="str">
        <f>IFERROR(__xludf.DUMMYFUNCTION("""COMPUTED_VALUE"""),"")</f>
        <v/>
      </c>
    </row>
    <row r="7124">
      <c r="A7124" s="16" t="s">
        <v>87</v>
      </c>
      <c r="E7124" s="16" t="str">
        <f>IFERROR(__xludf.DUMMYFUNCTION("""COMPUTED_VALUE"""),"")</f>
        <v/>
      </c>
      <c r="G7124" s="18"/>
      <c r="H7124" s="16" t="s">
        <v>87</v>
      </c>
      <c r="I7124" s="16" t="s">
        <v>87</v>
      </c>
      <c r="J7124" s="19"/>
      <c r="L7124" s="16" t="str">
        <f>IFERROR(__xludf.DUMMYFUNCTION("""COMPUTED_VALUE"""),"")</f>
        <v/>
      </c>
      <c r="M7124" s="16" t="str">
        <f>IFERROR(__xludf.DUMMYFUNCTION("""COMPUTED_VALUE"""),"")</f>
        <v/>
      </c>
      <c r="U7124" s="16" t="s">
        <v>87</v>
      </c>
      <c r="V7124" s="16" t="str">
        <f>IFERROR(__xludf.DUMMYFUNCTION("""COMPUTED_VALUE"""),"")</f>
        <v/>
      </c>
      <c r="W7124" s="16" t="str">
        <f>IFERROR(__xludf.DUMMYFUNCTION("""COMPUTED_VALUE"""),"")</f>
        <v/>
      </c>
      <c r="X7124" s="16" t="str">
        <f>IFERROR(__xludf.DUMMYFUNCTION("""COMPUTED_VALUE"""),"")</f>
        <v/>
      </c>
      <c r="AC7124" s="16" t="str">
        <f>IFERROR(__xludf.DUMMYFUNCTION("""COMPUTED_VALUE"""),"")</f>
        <v/>
      </c>
    </row>
    <row r="7125">
      <c r="A7125" s="16" t="s">
        <v>87</v>
      </c>
      <c r="E7125" s="16" t="str">
        <f>IFERROR(__xludf.DUMMYFUNCTION("""COMPUTED_VALUE"""),"")</f>
        <v/>
      </c>
      <c r="G7125" s="18"/>
      <c r="H7125" s="16" t="s">
        <v>87</v>
      </c>
      <c r="I7125" s="16" t="s">
        <v>87</v>
      </c>
      <c r="J7125" s="19"/>
      <c r="L7125" s="16" t="str">
        <f>IFERROR(__xludf.DUMMYFUNCTION("""COMPUTED_VALUE"""),"")</f>
        <v/>
      </c>
      <c r="M7125" s="16" t="str">
        <f>IFERROR(__xludf.DUMMYFUNCTION("""COMPUTED_VALUE"""),"")</f>
        <v/>
      </c>
      <c r="U7125" s="16" t="s">
        <v>87</v>
      </c>
      <c r="V7125" s="16" t="str">
        <f>IFERROR(__xludf.DUMMYFUNCTION("""COMPUTED_VALUE"""),"")</f>
        <v/>
      </c>
      <c r="W7125" s="16" t="str">
        <f>IFERROR(__xludf.DUMMYFUNCTION("""COMPUTED_VALUE"""),"")</f>
        <v/>
      </c>
      <c r="X7125" s="16" t="str">
        <f>IFERROR(__xludf.DUMMYFUNCTION("""COMPUTED_VALUE"""),"")</f>
        <v/>
      </c>
      <c r="AC7125" s="16" t="str">
        <f>IFERROR(__xludf.DUMMYFUNCTION("""COMPUTED_VALUE"""),"")</f>
        <v/>
      </c>
    </row>
    <row r="7126">
      <c r="A7126" s="16" t="s">
        <v>87</v>
      </c>
      <c r="E7126" s="16" t="str">
        <f>IFERROR(__xludf.DUMMYFUNCTION("""COMPUTED_VALUE"""),"")</f>
        <v/>
      </c>
      <c r="G7126" s="18"/>
      <c r="H7126" s="16" t="s">
        <v>87</v>
      </c>
      <c r="I7126" s="16" t="s">
        <v>87</v>
      </c>
      <c r="J7126" s="19"/>
      <c r="L7126" s="16" t="str">
        <f>IFERROR(__xludf.DUMMYFUNCTION("""COMPUTED_VALUE"""),"")</f>
        <v/>
      </c>
      <c r="M7126" s="16" t="str">
        <f>IFERROR(__xludf.DUMMYFUNCTION("""COMPUTED_VALUE"""),"")</f>
        <v/>
      </c>
      <c r="U7126" s="16" t="s">
        <v>87</v>
      </c>
      <c r="V7126" s="16" t="str">
        <f>IFERROR(__xludf.DUMMYFUNCTION("""COMPUTED_VALUE"""),"")</f>
        <v/>
      </c>
      <c r="W7126" s="16" t="str">
        <f>IFERROR(__xludf.DUMMYFUNCTION("""COMPUTED_VALUE"""),"")</f>
        <v/>
      </c>
      <c r="X7126" s="16" t="str">
        <f>IFERROR(__xludf.DUMMYFUNCTION("""COMPUTED_VALUE"""),"")</f>
        <v/>
      </c>
      <c r="AC7126" s="16" t="str">
        <f>IFERROR(__xludf.DUMMYFUNCTION("""COMPUTED_VALUE"""),"")</f>
        <v/>
      </c>
    </row>
    <row r="7127">
      <c r="A7127" s="16" t="s">
        <v>87</v>
      </c>
      <c r="E7127" s="16" t="str">
        <f>IFERROR(__xludf.DUMMYFUNCTION("""COMPUTED_VALUE"""),"")</f>
        <v/>
      </c>
      <c r="G7127" s="18"/>
      <c r="H7127" s="16" t="s">
        <v>87</v>
      </c>
      <c r="I7127" s="16" t="s">
        <v>87</v>
      </c>
      <c r="J7127" s="19"/>
      <c r="L7127" s="16" t="str">
        <f>IFERROR(__xludf.DUMMYFUNCTION("""COMPUTED_VALUE"""),"")</f>
        <v/>
      </c>
      <c r="M7127" s="16" t="str">
        <f>IFERROR(__xludf.DUMMYFUNCTION("""COMPUTED_VALUE"""),"")</f>
        <v/>
      </c>
      <c r="U7127" s="16" t="s">
        <v>87</v>
      </c>
      <c r="V7127" s="16" t="str">
        <f>IFERROR(__xludf.DUMMYFUNCTION("""COMPUTED_VALUE"""),"")</f>
        <v/>
      </c>
      <c r="W7127" s="16" t="str">
        <f>IFERROR(__xludf.DUMMYFUNCTION("""COMPUTED_VALUE"""),"")</f>
        <v/>
      </c>
      <c r="X7127" s="16" t="str">
        <f>IFERROR(__xludf.DUMMYFUNCTION("""COMPUTED_VALUE"""),"")</f>
        <v/>
      </c>
      <c r="AC7127" s="16" t="str">
        <f>IFERROR(__xludf.DUMMYFUNCTION("""COMPUTED_VALUE"""),"")</f>
        <v/>
      </c>
    </row>
    <row r="7128">
      <c r="A7128" s="16" t="s">
        <v>87</v>
      </c>
      <c r="E7128" s="16" t="str">
        <f>IFERROR(__xludf.DUMMYFUNCTION("""COMPUTED_VALUE"""),"")</f>
        <v/>
      </c>
      <c r="G7128" s="18"/>
      <c r="H7128" s="16" t="s">
        <v>87</v>
      </c>
      <c r="I7128" s="16" t="s">
        <v>87</v>
      </c>
      <c r="J7128" s="19"/>
      <c r="L7128" s="16" t="str">
        <f>IFERROR(__xludf.DUMMYFUNCTION("""COMPUTED_VALUE"""),"")</f>
        <v/>
      </c>
      <c r="M7128" s="16" t="str">
        <f>IFERROR(__xludf.DUMMYFUNCTION("""COMPUTED_VALUE"""),"")</f>
        <v/>
      </c>
      <c r="U7128" s="16" t="s">
        <v>87</v>
      </c>
      <c r="V7128" s="16" t="str">
        <f>IFERROR(__xludf.DUMMYFUNCTION("""COMPUTED_VALUE"""),"")</f>
        <v/>
      </c>
      <c r="W7128" s="16" t="str">
        <f>IFERROR(__xludf.DUMMYFUNCTION("""COMPUTED_VALUE"""),"")</f>
        <v/>
      </c>
      <c r="X7128" s="16" t="str">
        <f>IFERROR(__xludf.DUMMYFUNCTION("""COMPUTED_VALUE"""),"")</f>
        <v/>
      </c>
      <c r="AC7128" s="16" t="str">
        <f>IFERROR(__xludf.DUMMYFUNCTION("""COMPUTED_VALUE"""),"")</f>
        <v/>
      </c>
    </row>
    <row r="7129">
      <c r="A7129" s="16" t="s">
        <v>87</v>
      </c>
      <c r="E7129" s="16" t="str">
        <f>IFERROR(__xludf.DUMMYFUNCTION("""COMPUTED_VALUE"""),"")</f>
        <v/>
      </c>
      <c r="G7129" s="18"/>
      <c r="H7129" s="16" t="s">
        <v>87</v>
      </c>
      <c r="I7129" s="16" t="s">
        <v>87</v>
      </c>
      <c r="J7129" s="19"/>
      <c r="L7129" s="16" t="str">
        <f>IFERROR(__xludf.DUMMYFUNCTION("""COMPUTED_VALUE"""),"")</f>
        <v/>
      </c>
      <c r="M7129" s="16" t="str">
        <f>IFERROR(__xludf.DUMMYFUNCTION("""COMPUTED_VALUE"""),"")</f>
        <v/>
      </c>
      <c r="U7129" s="16" t="s">
        <v>87</v>
      </c>
      <c r="V7129" s="16" t="str">
        <f>IFERROR(__xludf.DUMMYFUNCTION("""COMPUTED_VALUE"""),"")</f>
        <v/>
      </c>
      <c r="W7129" s="16" t="str">
        <f>IFERROR(__xludf.DUMMYFUNCTION("""COMPUTED_VALUE"""),"")</f>
        <v/>
      </c>
      <c r="X7129" s="16" t="str">
        <f>IFERROR(__xludf.DUMMYFUNCTION("""COMPUTED_VALUE"""),"")</f>
        <v/>
      </c>
      <c r="AC7129" s="16" t="str">
        <f>IFERROR(__xludf.DUMMYFUNCTION("""COMPUTED_VALUE"""),"")</f>
        <v/>
      </c>
    </row>
    <row r="7130">
      <c r="A7130" s="16" t="s">
        <v>87</v>
      </c>
      <c r="E7130" s="16" t="str">
        <f>IFERROR(__xludf.DUMMYFUNCTION("""COMPUTED_VALUE"""),"")</f>
        <v/>
      </c>
      <c r="G7130" s="18"/>
      <c r="H7130" s="16" t="s">
        <v>87</v>
      </c>
      <c r="I7130" s="16" t="s">
        <v>87</v>
      </c>
      <c r="J7130" s="19"/>
      <c r="L7130" s="16" t="str">
        <f>IFERROR(__xludf.DUMMYFUNCTION("""COMPUTED_VALUE"""),"")</f>
        <v/>
      </c>
      <c r="M7130" s="16" t="str">
        <f>IFERROR(__xludf.DUMMYFUNCTION("""COMPUTED_VALUE"""),"")</f>
        <v/>
      </c>
      <c r="U7130" s="16" t="s">
        <v>87</v>
      </c>
      <c r="V7130" s="16" t="str">
        <f>IFERROR(__xludf.DUMMYFUNCTION("""COMPUTED_VALUE"""),"")</f>
        <v/>
      </c>
      <c r="W7130" s="16" t="str">
        <f>IFERROR(__xludf.DUMMYFUNCTION("""COMPUTED_VALUE"""),"")</f>
        <v/>
      </c>
      <c r="X7130" s="16" t="str">
        <f>IFERROR(__xludf.DUMMYFUNCTION("""COMPUTED_VALUE"""),"")</f>
        <v/>
      </c>
      <c r="AC7130" s="16" t="str">
        <f>IFERROR(__xludf.DUMMYFUNCTION("""COMPUTED_VALUE"""),"")</f>
        <v/>
      </c>
    </row>
    <row r="7131">
      <c r="A7131" s="16" t="s">
        <v>87</v>
      </c>
      <c r="E7131" s="16" t="str">
        <f>IFERROR(__xludf.DUMMYFUNCTION("""COMPUTED_VALUE"""),"")</f>
        <v/>
      </c>
      <c r="G7131" s="18"/>
      <c r="H7131" s="16" t="s">
        <v>87</v>
      </c>
      <c r="I7131" s="16" t="s">
        <v>87</v>
      </c>
      <c r="J7131" s="19"/>
      <c r="L7131" s="16" t="str">
        <f>IFERROR(__xludf.DUMMYFUNCTION("""COMPUTED_VALUE"""),"")</f>
        <v/>
      </c>
      <c r="M7131" s="16" t="str">
        <f>IFERROR(__xludf.DUMMYFUNCTION("""COMPUTED_VALUE"""),"")</f>
        <v/>
      </c>
      <c r="U7131" s="16" t="s">
        <v>87</v>
      </c>
      <c r="V7131" s="16" t="str">
        <f>IFERROR(__xludf.DUMMYFUNCTION("""COMPUTED_VALUE"""),"")</f>
        <v/>
      </c>
      <c r="W7131" s="16" t="str">
        <f>IFERROR(__xludf.DUMMYFUNCTION("""COMPUTED_VALUE"""),"")</f>
        <v/>
      </c>
      <c r="X7131" s="16" t="str">
        <f>IFERROR(__xludf.DUMMYFUNCTION("""COMPUTED_VALUE"""),"")</f>
        <v/>
      </c>
      <c r="AC7131" s="16" t="str">
        <f>IFERROR(__xludf.DUMMYFUNCTION("""COMPUTED_VALUE"""),"")</f>
        <v/>
      </c>
    </row>
    <row r="7132">
      <c r="A7132" s="16" t="s">
        <v>87</v>
      </c>
      <c r="E7132" s="16" t="str">
        <f>IFERROR(__xludf.DUMMYFUNCTION("""COMPUTED_VALUE"""),"")</f>
        <v/>
      </c>
      <c r="G7132" s="18"/>
      <c r="H7132" s="16" t="s">
        <v>87</v>
      </c>
      <c r="I7132" s="16" t="s">
        <v>87</v>
      </c>
      <c r="J7132" s="19"/>
      <c r="L7132" s="16" t="str">
        <f>IFERROR(__xludf.DUMMYFUNCTION("""COMPUTED_VALUE"""),"")</f>
        <v/>
      </c>
      <c r="M7132" s="16" t="str">
        <f>IFERROR(__xludf.DUMMYFUNCTION("""COMPUTED_VALUE"""),"")</f>
        <v/>
      </c>
      <c r="U7132" s="16" t="s">
        <v>87</v>
      </c>
      <c r="V7132" s="16" t="str">
        <f>IFERROR(__xludf.DUMMYFUNCTION("""COMPUTED_VALUE"""),"")</f>
        <v/>
      </c>
      <c r="W7132" s="16" t="str">
        <f>IFERROR(__xludf.DUMMYFUNCTION("""COMPUTED_VALUE"""),"")</f>
        <v/>
      </c>
      <c r="X7132" s="16" t="str">
        <f>IFERROR(__xludf.DUMMYFUNCTION("""COMPUTED_VALUE"""),"")</f>
        <v/>
      </c>
      <c r="AC7132" s="16" t="str">
        <f>IFERROR(__xludf.DUMMYFUNCTION("""COMPUTED_VALUE"""),"")</f>
        <v/>
      </c>
    </row>
    <row r="7133">
      <c r="A7133" s="16" t="s">
        <v>87</v>
      </c>
      <c r="E7133" s="16" t="str">
        <f>IFERROR(__xludf.DUMMYFUNCTION("""COMPUTED_VALUE"""),"")</f>
        <v/>
      </c>
      <c r="G7133" s="18"/>
      <c r="H7133" s="16" t="s">
        <v>87</v>
      </c>
      <c r="I7133" s="16" t="s">
        <v>87</v>
      </c>
      <c r="J7133" s="19"/>
      <c r="L7133" s="16" t="str">
        <f>IFERROR(__xludf.DUMMYFUNCTION("""COMPUTED_VALUE"""),"")</f>
        <v/>
      </c>
      <c r="M7133" s="16" t="str">
        <f>IFERROR(__xludf.DUMMYFUNCTION("""COMPUTED_VALUE"""),"")</f>
        <v/>
      </c>
      <c r="U7133" s="16" t="s">
        <v>87</v>
      </c>
      <c r="V7133" s="16" t="str">
        <f>IFERROR(__xludf.DUMMYFUNCTION("""COMPUTED_VALUE"""),"")</f>
        <v/>
      </c>
      <c r="W7133" s="16" t="str">
        <f>IFERROR(__xludf.DUMMYFUNCTION("""COMPUTED_VALUE"""),"")</f>
        <v/>
      </c>
      <c r="X7133" s="16" t="str">
        <f>IFERROR(__xludf.DUMMYFUNCTION("""COMPUTED_VALUE"""),"")</f>
        <v/>
      </c>
      <c r="AC7133" s="16" t="str">
        <f>IFERROR(__xludf.DUMMYFUNCTION("""COMPUTED_VALUE"""),"")</f>
        <v/>
      </c>
    </row>
    <row r="7134">
      <c r="A7134" s="16" t="s">
        <v>87</v>
      </c>
      <c r="E7134" s="16" t="str">
        <f>IFERROR(__xludf.DUMMYFUNCTION("""COMPUTED_VALUE"""),"")</f>
        <v/>
      </c>
      <c r="G7134" s="18"/>
      <c r="H7134" s="16" t="s">
        <v>87</v>
      </c>
      <c r="I7134" s="16" t="s">
        <v>87</v>
      </c>
      <c r="J7134" s="19"/>
      <c r="L7134" s="16" t="str">
        <f>IFERROR(__xludf.DUMMYFUNCTION("""COMPUTED_VALUE"""),"")</f>
        <v/>
      </c>
      <c r="M7134" s="16" t="str">
        <f>IFERROR(__xludf.DUMMYFUNCTION("""COMPUTED_VALUE"""),"")</f>
        <v/>
      </c>
      <c r="U7134" s="16" t="s">
        <v>87</v>
      </c>
      <c r="V7134" s="16" t="str">
        <f>IFERROR(__xludf.DUMMYFUNCTION("""COMPUTED_VALUE"""),"")</f>
        <v/>
      </c>
      <c r="W7134" s="16" t="str">
        <f>IFERROR(__xludf.DUMMYFUNCTION("""COMPUTED_VALUE"""),"")</f>
        <v/>
      </c>
      <c r="X7134" s="16" t="str">
        <f>IFERROR(__xludf.DUMMYFUNCTION("""COMPUTED_VALUE"""),"")</f>
        <v/>
      </c>
      <c r="AC7134" s="16" t="str">
        <f>IFERROR(__xludf.DUMMYFUNCTION("""COMPUTED_VALUE"""),"")</f>
        <v/>
      </c>
    </row>
    <row r="7135">
      <c r="A7135" s="16" t="s">
        <v>87</v>
      </c>
      <c r="E7135" s="16" t="str">
        <f>IFERROR(__xludf.DUMMYFUNCTION("""COMPUTED_VALUE"""),"")</f>
        <v/>
      </c>
      <c r="G7135" s="18"/>
      <c r="H7135" s="16" t="s">
        <v>87</v>
      </c>
      <c r="I7135" s="16" t="s">
        <v>87</v>
      </c>
      <c r="J7135" s="19"/>
      <c r="L7135" s="16" t="str">
        <f>IFERROR(__xludf.DUMMYFUNCTION("""COMPUTED_VALUE"""),"")</f>
        <v/>
      </c>
      <c r="M7135" s="16" t="str">
        <f>IFERROR(__xludf.DUMMYFUNCTION("""COMPUTED_VALUE"""),"")</f>
        <v/>
      </c>
      <c r="U7135" s="16" t="s">
        <v>87</v>
      </c>
      <c r="V7135" s="16" t="str">
        <f>IFERROR(__xludf.DUMMYFUNCTION("""COMPUTED_VALUE"""),"")</f>
        <v/>
      </c>
      <c r="W7135" s="16" t="str">
        <f>IFERROR(__xludf.DUMMYFUNCTION("""COMPUTED_VALUE"""),"")</f>
        <v/>
      </c>
      <c r="X7135" s="16" t="str">
        <f>IFERROR(__xludf.DUMMYFUNCTION("""COMPUTED_VALUE"""),"")</f>
        <v/>
      </c>
      <c r="AC7135" s="16" t="str">
        <f>IFERROR(__xludf.DUMMYFUNCTION("""COMPUTED_VALUE"""),"")</f>
        <v/>
      </c>
    </row>
    <row r="7136">
      <c r="A7136" s="16" t="s">
        <v>87</v>
      </c>
      <c r="E7136" s="16" t="str">
        <f>IFERROR(__xludf.DUMMYFUNCTION("""COMPUTED_VALUE"""),"")</f>
        <v/>
      </c>
      <c r="G7136" s="18"/>
      <c r="H7136" s="16" t="s">
        <v>87</v>
      </c>
      <c r="I7136" s="16" t="s">
        <v>87</v>
      </c>
      <c r="J7136" s="19"/>
      <c r="L7136" s="16" t="str">
        <f>IFERROR(__xludf.DUMMYFUNCTION("""COMPUTED_VALUE"""),"")</f>
        <v/>
      </c>
      <c r="M7136" s="16" t="str">
        <f>IFERROR(__xludf.DUMMYFUNCTION("""COMPUTED_VALUE"""),"")</f>
        <v/>
      </c>
      <c r="U7136" s="16" t="s">
        <v>87</v>
      </c>
      <c r="V7136" s="16" t="str">
        <f>IFERROR(__xludf.DUMMYFUNCTION("""COMPUTED_VALUE"""),"")</f>
        <v/>
      </c>
      <c r="W7136" s="16" t="str">
        <f>IFERROR(__xludf.DUMMYFUNCTION("""COMPUTED_VALUE"""),"")</f>
        <v/>
      </c>
      <c r="X7136" s="16" t="str">
        <f>IFERROR(__xludf.DUMMYFUNCTION("""COMPUTED_VALUE"""),"")</f>
        <v/>
      </c>
      <c r="AC7136" s="16" t="str">
        <f>IFERROR(__xludf.DUMMYFUNCTION("""COMPUTED_VALUE"""),"")</f>
        <v/>
      </c>
    </row>
    <row r="7137">
      <c r="A7137" s="16" t="s">
        <v>87</v>
      </c>
      <c r="E7137" s="16" t="str">
        <f>IFERROR(__xludf.DUMMYFUNCTION("""COMPUTED_VALUE"""),"")</f>
        <v/>
      </c>
      <c r="G7137" s="18"/>
      <c r="H7137" s="16" t="s">
        <v>87</v>
      </c>
      <c r="I7137" s="16" t="s">
        <v>87</v>
      </c>
      <c r="J7137" s="19"/>
      <c r="L7137" s="16" t="str">
        <f>IFERROR(__xludf.DUMMYFUNCTION("""COMPUTED_VALUE"""),"")</f>
        <v/>
      </c>
      <c r="M7137" s="16" t="str">
        <f>IFERROR(__xludf.DUMMYFUNCTION("""COMPUTED_VALUE"""),"")</f>
        <v/>
      </c>
      <c r="U7137" s="16" t="s">
        <v>87</v>
      </c>
      <c r="V7137" s="16" t="str">
        <f>IFERROR(__xludf.DUMMYFUNCTION("""COMPUTED_VALUE"""),"")</f>
        <v/>
      </c>
      <c r="W7137" s="16" t="str">
        <f>IFERROR(__xludf.DUMMYFUNCTION("""COMPUTED_VALUE"""),"")</f>
        <v/>
      </c>
      <c r="X7137" s="16" t="str">
        <f>IFERROR(__xludf.DUMMYFUNCTION("""COMPUTED_VALUE"""),"")</f>
        <v/>
      </c>
      <c r="AC7137" s="16" t="str">
        <f>IFERROR(__xludf.DUMMYFUNCTION("""COMPUTED_VALUE"""),"")</f>
        <v/>
      </c>
    </row>
    <row r="7138">
      <c r="A7138" s="16" t="s">
        <v>87</v>
      </c>
      <c r="E7138" s="16" t="str">
        <f>IFERROR(__xludf.DUMMYFUNCTION("""COMPUTED_VALUE"""),"")</f>
        <v/>
      </c>
      <c r="G7138" s="18"/>
      <c r="H7138" s="16" t="s">
        <v>87</v>
      </c>
      <c r="I7138" s="16" t="s">
        <v>87</v>
      </c>
      <c r="J7138" s="19"/>
      <c r="L7138" s="16" t="str">
        <f>IFERROR(__xludf.DUMMYFUNCTION("""COMPUTED_VALUE"""),"")</f>
        <v/>
      </c>
      <c r="M7138" s="16" t="str">
        <f>IFERROR(__xludf.DUMMYFUNCTION("""COMPUTED_VALUE"""),"")</f>
        <v/>
      </c>
      <c r="U7138" s="16" t="s">
        <v>87</v>
      </c>
      <c r="V7138" s="16" t="str">
        <f>IFERROR(__xludf.DUMMYFUNCTION("""COMPUTED_VALUE"""),"")</f>
        <v/>
      </c>
      <c r="W7138" s="16" t="str">
        <f>IFERROR(__xludf.DUMMYFUNCTION("""COMPUTED_VALUE"""),"")</f>
        <v/>
      </c>
      <c r="X7138" s="16" t="str">
        <f>IFERROR(__xludf.DUMMYFUNCTION("""COMPUTED_VALUE"""),"")</f>
        <v/>
      </c>
      <c r="AC7138" s="16" t="str">
        <f>IFERROR(__xludf.DUMMYFUNCTION("""COMPUTED_VALUE"""),"")</f>
        <v/>
      </c>
    </row>
    <row r="7139">
      <c r="A7139" s="16" t="s">
        <v>87</v>
      </c>
      <c r="E7139" s="16" t="str">
        <f>IFERROR(__xludf.DUMMYFUNCTION("""COMPUTED_VALUE"""),"")</f>
        <v/>
      </c>
      <c r="G7139" s="18"/>
      <c r="H7139" s="16" t="s">
        <v>87</v>
      </c>
      <c r="I7139" s="16" t="s">
        <v>87</v>
      </c>
      <c r="J7139" s="19"/>
      <c r="L7139" s="16" t="str">
        <f>IFERROR(__xludf.DUMMYFUNCTION("""COMPUTED_VALUE"""),"")</f>
        <v/>
      </c>
      <c r="M7139" s="16" t="str">
        <f>IFERROR(__xludf.DUMMYFUNCTION("""COMPUTED_VALUE"""),"")</f>
        <v/>
      </c>
      <c r="U7139" s="16" t="s">
        <v>87</v>
      </c>
      <c r="V7139" s="16" t="str">
        <f>IFERROR(__xludf.DUMMYFUNCTION("""COMPUTED_VALUE"""),"")</f>
        <v/>
      </c>
      <c r="W7139" s="16" t="str">
        <f>IFERROR(__xludf.DUMMYFUNCTION("""COMPUTED_VALUE"""),"")</f>
        <v/>
      </c>
      <c r="X7139" s="16" t="str">
        <f>IFERROR(__xludf.DUMMYFUNCTION("""COMPUTED_VALUE"""),"")</f>
        <v/>
      </c>
      <c r="AC7139" s="16" t="str">
        <f>IFERROR(__xludf.DUMMYFUNCTION("""COMPUTED_VALUE"""),"")</f>
        <v/>
      </c>
    </row>
    <row r="7140">
      <c r="A7140" s="16" t="s">
        <v>87</v>
      </c>
      <c r="E7140" s="16" t="str">
        <f>IFERROR(__xludf.DUMMYFUNCTION("""COMPUTED_VALUE"""),"")</f>
        <v/>
      </c>
      <c r="G7140" s="18"/>
      <c r="H7140" s="16" t="s">
        <v>87</v>
      </c>
      <c r="I7140" s="16" t="s">
        <v>87</v>
      </c>
      <c r="J7140" s="19"/>
      <c r="L7140" s="16" t="str">
        <f>IFERROR(__xludf.DUMMYFUNCTION("""COMPUTED_VALUE"""),"")</f>
        <v/>
      </c>
      <c r="M7140" s="16" t="str">
        <f>IFERROR(__xludf.DUMMYFUNCTION("""COMPUTED_VALUE"""),"")</f>
        <v/>
      </c>
      <c r="U7140" s="16" t="s">
        <v>87</v>
      </c>
      <c r="V7140" s="16" t="str">
        <f>IFERROR(__xludf.DUMMYFUNCTION("""COMPUTED_VALUE"""),"")</f>
        <v/>
      </c>
      <c r="W7140" s="16" t="str">
        <f>IFERROR(__xludf.DUMMYFUNCTION("""COMPUTED_VALUE"""),"")</f>
        <v/>
      </c>
      <c r="X7140" s="16" t="str">
        <f>IFERROR(__xludf.DUMMYFUNCTION("""COMPUTED_VALUE"""),"")</f>
        <v/>
      </c>
      <c r="AC7140" s="16" t="str">
        <f>IFERROR(__xludf.DUMMYFUNCTION("""COMPUTED_VALUE"""),"")</f>
        <v/>
      </c>
    </row>
    <row r="7141">
      <c r="A7141" s="16" t="s">
        <v>87</v>
      </c>
      <c r="E7141" s="16" t="str">
        <f>IFERROR(__xludf.DUMMYFUNCTION("""COMPUTED_VALUE"""),"")</f>
        <v/>
      </c>
      <c r="G7141" s="18"/>
      <c r="H7141" s="16" t="s">
        <v>87</v>
      </c>
      <c r="I7141" s="16" t="s">
        <v>87</v>
      </c>
      <c r="J7141" s="19"/>
      <c r="L7141" s="16" t="str">
        <f>IFERROR(__xludf.DUMMYFUNCTION("""COMPUTED_VALUE"""),"")</f>
        <v/>
      </c>
      <c r="M7141" s="16" t="str">
        <f>IFERROR(__xludf.DUMMYFUNCTION("""COMPUTED_VALUE"""),"")</f>
        <v/>
      </c>
      <c r="U7141" s="16" t="s">
        <v>87</v>
      </c>
      <c r="V7141" s="16" t="str">
        <f>IFERROR(__xludf.DUMMYFUNCTION("""COMPUTED_VALUE"""),"")</f>
        <v/>
      </c>
      <c r="W7141" s="16" t="str">
        <f>IFERROR(__xludf.DUMMYFUNCTION("""COMPUTED_VALUE"""),"")</f>
        <v/>
      </c>
      <c r="X7141" s="16" t="str">
        <f>IFERROR(__xludf.DUMMYFUNCTION("""COMPUTED_VALUE"""),"")</f>
        <v/>
      </c>
      <c r="AC7141" s="16" t="str">
        <f>IFERROR(__xludf.DUMMYFUNCTION("""COMPUTED_VALUE"""),"")</f>
        <v/>
      </c>
    </row>
    <row r="7142">
      <c r="A7142" s="16" t="s">
        <v>87</v>
      </c>
      <c r="E7142" s="16" t="str">
        <f>IFERROR(__xludf.DUMMYFUNCTION("""COMPUTED_VALUE"""),"")</f>
        <v/>
      </c>
      <c r="G7142" s="18"/>
      <c r="H7142" s="16" t="s">
        <v>87</v>
      </c>
      <c r="I7142" s="16" t="s">
        <v>87</v>
      </c>
      <c r="J7142" s="19"/>
      <c r="L7142" s="16" t="str">
        <f>IFERROR(__xludf.DUMMYFUNCTION("""COMPUTED_VALUE"""),"")</f>
        <v/>
      </c>
      <c r="M7142" s="16" t="str">
        <f>IFERROR(__xludf.DUMMYFUNCTION("""COMPUTED_VALUE"""),"")</f>
        <v/>
      </c>
      <c r="U7142" s="16" t="s">
        <v>87</v>
      </c>
      <c r="V7142" s="16" t="str">
        <f>IFERROR(__xludf.DUMMYFUNCTION("""COMPUTED_VALUE"""),"")</f>
        <v/>
      </c>
      <c r="W7142" s="16" t="str">
        <f>IFERROR(__xludf.DUMMYFUNCTION("""COMPUTED_VALUE"""),"")</f>
        <v/>
      </c>
      <c r="X7142" s="16" t="str">
        <f>IFERROR(__xludf.DUMMYFUNCTION("""COMPUTED_VALUE"""),"")</f>
        <v/>
      </c>
      <c r="AC7142" s="16" t="str">
        <f>IFERROR(__xludf.DUMMYFUNCTION("""COMPUTED_VALUE"""),"")</f>
        <v/>
      </c>
    </row>
    <row r="7143">
      <c r="A7143" s="16" t="s">
        <v>87</v>
      </c>
      <c r="E7143" s="16" t="str">
        <f>IFERROR(__xludf.DUMMYFUNCTION("""COMPUTED_VALUE"""),"")</f>
        <v/>
      </c>
      <c r="G7143" s="18"/>
      <c r="H7143" s="16" t="s">
        <v>87</v>
      </c>
      <c r="I7143" s="16" t="s">
        <v>87</v>
      </c>
      <c r="J7143" s="19"/>
      <c r="L7143" s="16" t="str">
        <f>IFERROR(__xludf.DUMMYFUNCTION("""COMPUTED_VALUE"""),"")</f>
        <v/>
      </c>
      <c r="M7143" s="16" t="str">
        <f>IFERROR(__xludf.DUMMYFUNCTION("""COMPUTED_VALUE"""),"")</f>
        <v/>
      </c>
      <c r="U7143" s="16" t="s">
        <v>87</v>
      </c>
      <c r="V7143" s="16" t="str">
        <f>IFERROR(__xludf.DUMMYFUNCTION("""COMPUTED_VALUE"""),"")</f>
        <v/>
      </c>
      <c r="W7143" s="16" t="str">
        <f>IFERROR(__xludf.DUMMYFUNCTION("""COMPUTED_VALUE"""),"")</f>
        <v/>
      </c>
      <c r="X7143" s="16" t="str">
        <f>IFERROR(__xludf.DUMMYFUNCTION("""COMPUTED_VALUE"""),"")</f>
        <v/>
      </c>
      <c r="AC7143" s="16" t="str">
        <f>IFERROR(__xludf.DUMMYFUNCTION("""COMPUTED_VALUE"""),"")</f>
        <v/>
      </c>
    </row>
    <row r="7144">
      <c r="A7144" s="16" t="s">
        <v>87</v>
      </c>
      <c r="E7144" s="16" t="str">
        <f>IFERROR(__xludf.DUMMYFUNCTION("""COMPUTED_VALUE"""),"")</f>
        <v/>
      </c>
      <c r="G7144" s="18"/>
      <c r="H7144" s="16" t="s">
        <v>87</v>
      </c>
      <c r="I7144" s="16" t="s">
        <v>87</v>
      </c>
      <c r="J7144" s="19"/>
      <c r="L7144" s="16" t="str">
        <f>IFERROR(__xludf.DUMMYFUNCTION("""COMPUTED_VALUE"""),"")</f>
        <v/>
      </c>
      <c r="M7144" s="16" t="str">
        <f>IFERROR(__xludf.DUMMYFUNCTION("""COMPUTED_VALUE"""),"")</f>
        <v/>
      </c>
      <c r="U7144" s="16" t="s">
        <v>87</v>
      </c>
      <c r="V7144" s="16" t="str">
        <f>IFERROR(__xludf.DUMMYFUNCTION("""COMPUTED_VALUE"""),"")</f>
        <v/>
      </c>
      <c r="W7144" s="16" t="str">
        <f>IFERROR(__xludf.DUMMYFUNCTION("""COMPUTED_VALUE"""),"")</f>
        <v/>
      </c>
      <c r="X7144" s="16" t="str">
        <f>IFERROR(__xludf.DUMMYFUNCTION("""COMPUTED_VALUE"""),"")</f>
        <v/>
      </c>
      <c r="AC7144" s="16" t="str">
        <f>IFERROR(__xludf.DUMMYFUNCTION("""COMPUTED_VALUE"""),"")</f>
        <v/>
      </c>
    </row>
    <row r="7145">
      <c r="A7145" s="16" t="s">
        <v>87</v>
      </c>
      <c r="E7145" s="16" t="str">
        <f>IFERROR(__xludf.DUMMYFUNCTION("""COMPUTED_VALUE"""),"")</f>
        <v/>
      </c>
      <c r="G7145" s="18"/>
      <c r="H7145" s="16" t="s">
        <v>87</v>
      </c>
      <c r="I7145" s="16" t="s">
        <v>87</v>
      </c>
      <c r="J7145" s="19"/>
      <c r="L7145" s="16" t="str">
        <f>IFERROR(__xludf.DUMMYFUNCTION("""COMPUTED_VALUE"""),"")</f>
        <v/>
      </c>
      <c r="M7145" s="16" t="str">
        <f>IFERROR(__xludf.DUMMYFUNCTION("""COMPUTED_VALUE"""),"")</f>
        <v/>
      </c>
      <c r="U7145" s="16" t="s">
        <v>87</v>
      </c>
      <c r="V7145" s="16" t="str">
        <f>IFERROR(__xludf.DUMMYFUNCTION("""COMPUTED_VALUE"""),"")</f>
        <v/>
      </c>
      <c r="W7145" s="16" t="str">
        <f>IFERROR(__xludf.DUMMYFUNCTION("""COMPUTED_VALUE"""),"")</f>
        <v/>
      </c>
      <c r="X7145" s="16" t="str">
        <f>IFERROR(__xludf.DUMMYFUNCTION("""COMPUTED_VALUE"""),"")</f>
        <v/>
      </c>
      <c r="AC7145" s="16" t="str">
        <f>IFERROR(__xludf.DUMMYFUNCTION("""COMPUTED_VALUE"""),"")</f>
        <v/>
      </c>
    </row>
    <row r="7146">
      <c r="A7146" s="16" t="s">
        <v>87</v>
      </c>
      <c r="E7146" s="16" t="str">
        <f>IFERROR(__xludf.DUMMYFUNCTION("""COMPUTED_VALUE"""),"")</f>
        <v/>
      </c>
      <c r="G7146" s="18"/>
      <c r="H7146" s="16" t="s">
        <v>87</v>
      </c>
      <c r="I7146" s="16" t="s">
        <v>87</v>
      </c>
      <c r="J7146" s="19"/>
      <c r="L7146" s="16" t="str">
        <f>IFERROR(__xludf.DUMMYFUNCTION("""COMPUTED_VALUE"""),"")</f>
        <v/>
      </c>
      <c r="M7146" s="16" t="str">
        <f>IFERROR(__xludf.DUMMYFUNCTION("""COMPUTED_VALUE"""),"")</f>
        <v/>
      </c>
      <c r="U7146" s="16" t="s">
        <v>87</v>
      </c>
      <c r="V7146" s="16" t="str">
        <f>IFERROR(__xludf.DUMMYFUNCTION("""COMPUTED_VALUE"""),"")</f>
        <v/>
      </c>
      <c r="W7146" s="16" t="str">
        <f>IFERROR(__xludf.DUMMYFUNCTION("""COMPUTED_VALUE"""),"")</f>
        <v/>
      </c>
      <c r="X7146" s="16" t="str">
        <f>IFERROR(__xludf.DUMMYFUNCTION("""COMPUTED_VALUE"""),"")</f>
        <v/>
      </c>
      <c r="AC7146" s="16" t="str">
        <f>IFERROR(__xludf.DUMMYFUNCTION("""COMPUTED_VALUE"""),"")</f>
        <v/>
      </c>
    </row>
    <row r="7147">
      <c r="A7147" s="16" t="s">
        <v>87</v>
      </c>
      <c r="E7147" s="16" t="str">
        <f>IFERROR(__xludf.DUMMYFUNCTION("""COMPUTED_VALUE"""),"")</f>
        <v/>
      </c>
      <c r="G7147" s="18"/>
      <c r="H7147" s="16" t="s">
        <v>87</v>
      </c>
      <c r="I7147" s="16" t="s">
        <v>87</v>
      </c>
      <c r="J7147" s="19"/>
      <c r="L7147" s="16" t="str">
        <f>IFERROR(__xludf.DUMMYFUNCTION("""COMPUTED_VALUE"""),"")</f>
        <v/>
      </c>
      <c r="M7147" s="16" t="str">
        <f>IFERROR(__xludf.DUMMYFUNCTION("""COMPUTED_VALUE"""),"")</f>
        <v/>
      </c>
      <c r="U7147" s="16" t="s">
        <v>87</v>
      </c>
      <c r="V7147" s="16" t="str">
        <f>IFERROR(__xludf.DUMMYFUNCTION("""COMPUTED_VALUE"""),"")</f>
        <v/>
      </c>
      <c r="W7147" s="16" t="str">
        <f>IFERROR(__xludf.DUMMYFUNCTION("""COMPUTED_VALUE"""),"")</f>
        <v/>
      </c>
      <c r="X7147" s="16" t="str">
        <f>IFERROR(__xludf.DUMMYFUNCTION("""COMPUTED_VALUE"""),"")</f>
        <v/>
      </c>
      <c r="AC7147" s="16" t="str">
        <f>IFERROR(__xludf.DUMMYFUNCTION("""COMPUTED_VALUE"""),"")</f>
        <v/>
      </c>
    </row>
    <row r="7148">
      <c r="A7148" s="16" t="s">
        <v>87</v>
      </c>
      <c r="E7148" s="16" t="str">
        <f>IFERROR(__xludf.DUMMYFUNCTION("""COMPUTED_VALUE"""),"")</f>
        <v/>
      </c>
      <c r="G7148" s="18"/>
      <c r="H7148" s="16" t="s">
        <v>87</v>
      </c>
      <c r="I7148" s="16" t="s">
        <v>87</v>
      </c>
      <c r="J7148" s="19"/>
      <c r="L7148" s="16" t="str">
        <f>IFERROR(__xludf.DUMMYFUNCTION("""COMPUTED_VALUE"""),"")</f>
        <v/>
      </c>
      <c r="M7148" s="16" t="str">
        <f>IFERROR(__xludf.DUMMYFUNCTION("""COMPUTED_VALUE"""),"")</f>
        <v/>
      </c>
      <c r="U7148" s="16" t="s">
        <v>87</v>
      </c>
      <c r="V7148" s="16" t="str">
        <f>IFERROR(__xludf.DUMMYFUNCTION("""COMPUTED_VALUE"""),"")</f>
        <v/>
      </c>
      <c r="W7148" s="16" t="str">
        <f>IFERROR(__xludf.DUMMYFUNCTION("""COMPUTED_VALUE"""),"")</f>
        <v/>
      </c>
      <c r="X7148" s="16" t="str">
        <f>IFERROR(__xludf.DUMMYFUNCTION("""COMPUTED_VALUE"""),"")</f>
        <v/>
      </c>
      <c r="AC7148" s="16" t="str">
        <f>IFERROR(__xludf.DUMMYFUNCTION("""COMPUTED_VALUE"""),"")</f>
        <v/>
      </c>
    </row>
    <row r="7149">
      <c r="A7149" s="16" t="s">
        <v>87</v>
      </c>
      <c r="E7149" s="16" t="str">
        <f>IFERROR(__xludf.DUMMYFUNCTION("""COMPUTED_VALUE"""),"")</f>
        <v/>
      </c>
      <c r="G7149" s="18"/>
      <c r="H7149" s="16" t="s">
        <v>87</v>
      </c>
      <c r="I7149" s="16" t="s">
        <v>87</v>
      </c>
      <c r="J7149" s="19"/>
      <c r="L7149" s="16" t="str">
        <f>IFERROR(__xludf.DUMMYFUNCTION("""COMPUTED_VALUE"""),"")</f>
        <v/>
      </c>
      <c r="M7149" s="16" t="str">
        <f>IFERROR(__xludf.DUMMYFUNCTION("""COMPUTED_VALUE"""),"")</f>
        <v/>
      </c>
      <c r="U7149" s="16" t="s">
        <v>87</v>
      </c>
      <c r="V7149" s="16" t="str">
        <f>IFERROR(__xludf.DUMMYFUNCTION("""COMPUTED_VALUE"""),"")</f>
        <v/>
      </c>
      <c r="W7149" s="16" t="str">
        <f>IFERROR(__xludf.DUMMYFUNCTION("""COMPUTED_VALUE"""),"")</f>
        <v/>
      </c>
      <c r="X7149" s="16" t="str">
        <f>IFERROR(__xludf.DUMMYFUNCTION("""COMPUTED_VALUE"""),"")</f>
        <v/>
      </c>
      <c r="AC7149" s="16" t="str">
        <f>IFERROR(__xludf.DUMMYFUNCTION("""COMPUTED_VALUE"""),"")</f>
        <v/>
      </c>
    </row>
    <row r="7150">
      <c r="A7150" s="16" t="s">
        <v>87</v>
      </c>
      <c r="E7150" s="16" t="str">
        <f>IFERROR(__xludf.DUMMYFUNCTION("""COMPUTED_VALUE"""),"")</f>
        <v/>
      </c>
      <c r="G7150" s="18"/>
      <c r="H7150" s="16" t="s">
        <v>87</v>
      </c>
      <c r="I7150" s="16" t="s">
        <v>87</v>
      </c>
      <c r="J7150" s="19"/>
      <c r="L7150" s="16" t="str">
        <f>IFERROR(__xludf.DUMMYFUNCTION("""COMPUTED_VALUE"""),"")</f>
        <v/>
      </c>
      <c r="M7150" s="16" t="str">
        <f>IFERROR(__xludf.DUMMYFUNCTION("""COMPUTED_VALUE"""),"")</f>
        <v/>
      </c>
      <c r="U7150" s="16" t="s">
        <v>87</v>
      </c>
      <c r="V7150" s="16" t="str">
        <f>IFERROR(__xludf.DUMMYFUNCTION("""COMPUTED_VALUE"""),"")</f>
        <v/>
      </c>
      <c r="W7150" s="16" t="str">
        <f>IFERROR(__xludf.DUMMYFUNCTION("""COMPUTED_VALUE"""),"")</f>
        <v/>
      </c>
      <c r="X7150" s="16" t="str">
        <f>IFERROR(__xludf.DUMMYFUNCTION("""COMPUTED_VALUE"""),"")</f>
        <v/>
      </c>
      <c r="AC7150" s="16" t="str">
        <f>IFERROR(__xludf.DUMMYFUNCTION("""COMPUTED_VALUE"""),"")</f>
        <v/>
      </c>
    </row>
    <row r="7151">
      <c r="A7151" s="16" t="s">
        <v>87</v>
      </c>
      <c r="E7151" s="16" t="str">
        <f>IFERROR(__xludf.DUMMYFUNCTION("""COMPUTED_VALUE"""),"")</f>
        <v/>
      </c>
      <c r="G7151" s="18"/>
      <c r="H7151" s="16" t="s">
        <v>87</v>
      </c>
      <c r="I7151" s="16" t="s">
        <v>87</v>
      </c>
      <c r="J7151" s="19"/>
      <c r="L7151" s="16" t="str">
        <f>IFERROR(__xludf.DUMMYFUNCTION("""COMPUTED_VALUE"""),"")</f>
        <v/>
      </c>
      <c r="M7151" s="16" t="str">
        <f>IFERROR(__xludf.DUMMYFUNCTION("""COMPUTED_VALUE"""),"")</f>
        <v/>
      </c>
      <c r="U7151" s="16" t="s">
        <v>87</v>
      </c>
      <c r="V7151" s="16" t="str">
        <f>IFERROR(__xludf.DUMMYFUNCTION("""COMPUTED_VALUE"""),"")</f>
        <v/>
      </c>
      <c r="W7151" s="16" t="str">
        <f>IFERROR(__xludf.DUMMYFUNCTION("""COMPUTED_VALUE"""),"")</f>
        <v/>
      </c>
      <c r="X7151" s="16" t="str">
        <f>IFERROR(__xludf.DUMMYFUNCTION("""COMPUTED_VALUE"""),"")</f>
        <v/>
      </c>
      <c r="AC7151" s="16" t="str">
        <f>IFERROR(__xludf.DUMMYFUNCTION("""COMPUTED_VALUE"""),"")</f>
        <v/>
      </c>
    </row>
    <row r="7152">
      <c r="A7152" s="16" t="s">
        <v>87</v>
      </c>
      <c r="E7152" s="16" t="str">
        <f>IFERROR(__xludf.DUMMYFUNCTION("""COMPUTED_VALUE"""),"")</f>
        <v/>
      </c>
      <c r="G7152" s="18"/>
      <c r="H7152" s="16" t="s">
        <v>87</v>
      </c>
      <c r="I7152" s="16" t="s">
        <v>87</v>
      </c>
      <c r="J7152" s="19"/>
      <c r="L7152" s="16" t="str">
        <f>IFERROR(__xludf.DUMMYFUNCTION("""COMPUTED_VALUE"""),"")</f>
        <v/>
      </c>
      <c r="M7152" s="16" t="str">
        <f>IFERROR(__xludf.DUMMYFUNCTION("""COMPUTED_VALUE"""),"")</f>
        <v/>
      </c>
      <c r="U7152" s="16" t="s">
        <v>87</v>
      </c>
      <c r="V7152" s="16" t="str">
        <f>IFERROR(__xludf.DUMMYFUNCTION("""COMPUTED_VALUE"""),"")</f>
        <v/>
      </c>
      <c r="W7152" s="16" t="str">
        <f>IFERROR(__xludf.DUMMYFUNCTION("""COMPUTED_VALUE"""),"")</f>
        <v/>
      </c>
      <c r="X7152" s="16" t="str">
        <f>IFERROR(__xludf.DUMMYFUNCTION("""COMPUTED_VALUE"""),"")</f>
        <v/>
      </c>
      <c r="AC7152" s="16" t="str">
        <f>IFERROR(__xludf.DUMMYFUNCTION("""COMPUTED_VALUE"""),"")</f>
        <v/>
      </c>
    </row>
    <row r="7153">
      <c r="A7153" s="16" t="s">
        <v>87</v>
      </c>
      <c r="E7153" s="16" t="str">
        <f>IFERROR(__xludf.DUMMYFUNCTION("""COMPUTED_VALUE"""),"")</f>
        <v/>
      </c>
      <c r="G7153" s="18"/>
      <c r="H7153" s="16" t="s">
        <v>87</v>
      </c>
      <c r="I7153" s="16" t="s">
        <v>87</v>
      </c>
      <c r="J7153" s="19"/>
      <c r="L7153" s="16" t="str">
        <f>IFERROR(__xludf.DUMMYFUNCTION("""COMPUTED_VALUE"""),"")</f>
        <v/>
      </c>
      <c r="M7153" s="16" t="str">
        <f>IFERROR(__xludf.DUMMYFUNCTION("""COMPUTED_VALUE"""),"")</f>
        <v/>
      </c>
      <c r="U7153" s="16" t="s">
        <v>87</v>
      </c>
      <c r="V7153" s="16" t="str">
        <f>IFERROR(__xludf.DUMMYFUNCTION("""COMPUTED_VALUE"""),"")</f>
        <v/>
      </c>
      <c r="W7153" s="16" t="str">
        <f>IFERROR(__xludf.DUMMYFUNCTION("""COMPUTED_VALUE"""),"")</f>
        <v/>
      </c>
      <c r="X7153" s="16" t="str">
        <f>IFERROR(__xludf.DUMMYFUNCTION("""COMPUTED_VALUE"""),"")</f>
        <v/>
      </c>
      <c r="AC7153" s="16" t="str">
        <f>IFERROR(__xludf.DUMMYFUNCTION("""COMPUTED_VALUE"""),"")</f>
        <v/>
      </c>
    </row>
    <row r="7154">
      <c r="A7154" s="16" t="s">
        <v>87</v>
      </c>
      <c r="E7154" s="16" t="str">
        <f>IFERROR(__xludf.DUMMYFUNCTION("""COMPUTED_VALUE"""),"")</f>
        <v/>
      </c>
      <c r="G7154" s="18"/>
      <c r="H7154" s="16" t="s">
        <v>87</v>
      </c>
      <c r="I7154" s="16" t="s">
        <v>87</v>
      </c>
      <c r="J7154" s="19"/>
      <c r="L7154" s="16" t="str">
        <f>IFERROR(__xludf.DUMMYFUNCTION("""COMPUTED_VALUE"""),"")</f>
        <v/>
      </c>
      <c r="M7154" s="16" t="str">
        <f>IFERROR(__xludf.DUMMYFUNCTION("""COMPUTED_VALUE"""),"")</f>
        <v/>
      </c>
      <c r="U7154" s="16" t="s">
        <v>87</v>
      </c>
      <c r="V7154" s="16" t="str">
        <f>IFERROR(__xludf.DUMMYFUNCTION("""COMPUTED_VALUE"""),"")</f>
        <v/>
      </c>
      <c r="W7154" s="16" t="str">
        <f>IFERROR(__xludf.DUMMYFUNCTION("""COMPUTED_VALUE"""),"")</f>
        <v/>
      </c>
      <c r="X7154" s="16" t="str">
        <f>IFERROR(__xludf.DUMMYFUNCTION("""COMPUTED_VALUE"""),"")</f>
        <v/>
      </c>
      <c r="AC7154" s="16" t="str">
        <f>IFERROR(__xludf.DUMMYFUNCTION("""COMPUTED_VALUE"""),"")</f>
        <v/>
      </c>
    </row>
    <row r="7155">
      <c r="A7155" s="16" t="s">
        <v>87</v>
      </c>
      <c r="E7155" s="16" t="str">
        <f>IFERROR(__xludf.DUMMYFUNCTION("""COMPUTED_VALUE"""),"")</f>
        <v/>
      </c>
      <c r="G7155" s="18"/>
      <c r="H7155" s="16" t="s">
        <v>87</v>
      </c>
      <c r="I7155" s="16" t="s">
        <v>87</v>
      </c>
      <c r="J7155" s="19"/>
      <c r="L7155" s="16" t="str">
        <f>IFERROR(__xludf.DUMMYFUNCTION("""COMPUTED_VALUE"""),"")</f>
        <v/>
      </c>
      <c r="M7155" s="16" t="str">
        <f>IFERROR(__xludf.DUMMYFUNCTION("""COMPUTED_VALUE"""),"")</f>
        <v/>
      </c>
      <c r="U7155" s="16" t="s">
        <v>87</v>
      </c>
      <c r="V7155" s="16" t="str">
        <f>IFERROR(__xludf.DUMMYFUNCTION("""COMPUTED_VALUE"""),"")</f>
        <v/>
      </c>
      <c r="W7155" s="16" t="str">
        <f>IFERROR(__xludf.DUMMYFUNCTION("""COMPUTED_VALUE"""),"")</f>
        <v/>
      </c>
      <c r="X7155" s="16" t="str">
        <f>IFERROR(__xludf.DUMMYFUNCTION("""COMPUTED_VALUE"""),"")</f>
        <v/>
      </c>
      <c r="AC7155" s="16" t="str">
        <f>IFERROR(__xludf.DUMMYFUNCTION("""COMPUTED_VALUE"""),"")</f>
        <v/>
      </c>
    </row>
    <row r="7156">
      <c r="A7156" s="16" t="s">
        <v>87</v>
      </c>
      <c r="E7156" s="16" t="str">
        <f>IFERROR(__xludf.DUMMYFUNCTION("""COMPUTED_VALUE"""),"")</f>
        <v/>
      </c>
      <c r="G7156" s="18"/>
      <c r="H7156" s="16" t="s">
        <v>87</v>
      </c>
      <c r="I7156" s="16" t="s">
        <v>87</v>
      </c>
      <c r="J7156" s="19"/>
      <c r="L7156" s="16" t="str">
        <f>IFERROR(__xludf.DUMMYFUNCTION("""COMPUTED_VALUE"""),"")</f>
        <v/>
      </c>
      <c r="M7156" s="16" t="str">
        <f>IFERROR(__xludf.DUMMYFUNCTION("""COMPUTED_VALUE"""),"")</f>
        <v/>
      </c>
      <c r="U7156" s="16" t="s">
        <v>87</v>
      </c>
      <c r="V7156" s="16" t="str">
        <f>IFERROR(__xludf.DUMMYFUNCTION("""COMPUTED_VALUE"""),"")</f>
        <v/>
      </c>
      <c r="W7156" s="16" t="str">
        <f>IFERROR(__xludf.DUMMYFUNCTION("""COMPUTED_VALUE"""),"")</f>
        <v/>
      </c>
      <c r="X7156" s="16" t="str">
        <f>IFERROR(__xludf.DUMMYFUNCTION("""COMPUTED_VALUE"""),"")</f>
        <v/>
      </c>
      <c r="AC7156" s="16" t="str">
        <f>IFERROR(__xludf.DUMMYFUNCTION("""COMPUTED_VALUE"""),"")</f>
        <v/>
      </c>
    </row>
    <row r="7157">
      <c r="A7157" s="16" t="s">
        <v>87</v>
      </c>
      <c r="E7157" s="16" t="str">
        <f>IFERROR(__xludf.DUMMYFUNCTION("""COMPUTED_VALUE"""),"")</f>
        <v/>
      </c>
      <c r="G7157" s="18"/>
      <c r="H7157" s="16" t="s">
        <v>87</v>
      </c>
      <c r="I7157" s="16" t="s">
        <v>87</v>
      </c>
      <c r="J7157" s="19"/>
      <c r="L7157" s="16" t="str">
        <f>IFERROR(__xludf.DUMMYFUNCTION("""COMPUTED_VALUE"""),"")</f>
        <v/>
      </c>
      <c r="M7157" s="16" t="str">
        <f>IFERROR(__xludf.DUMMYFUNCTION("""COMPUTED_VALUE"""),"")</f>
        <v/>
      </c>
      <c r="U7157" s="16" t="s">
        <v>87</v>
      </c>
      <c r="V7157" s="16" t="str">
        <f>IFERROR(__xludf.DUMMYFUNCTION("""COMPUTED_VALUE"""),"")</f>
        <v/>
      </c>
      <c r="W7157" s="16" t="str">
        <f>IFERROR(__xludf.DUMMYFUNCTION("""COMPUTED_VALUE"""),"")</f>
        <v/>
      </c>
      <c r="X7157" s="16" t="str">
        <f>IFERROR(__xludf.DUMMYFUNCTION("""COMPUTED_VALUE"""),"")</f>
        <v/>
      </c>
      <c r="AC7157" s="16" t="str">
        <f>IFERROR(__xludf.DUMMYFUNCTION("""COMPUTED_VALUE"""),"")</f>
        <v/>
      </c>
    </row>
    <row r="7158">
      <c r="A7158" s="16" t="s">
        <v>87</v>
      </c>
      <c r="E7158" s="16" t="str">
        <f>IFERROR(__xludf.DUMMYFUNCTION("""COMPUTED_VALUE"""),"")</f>
        <v/>
      </c>
      <c r="G7158" s="18"/>
      <c r="H7158" s="16" t="s">
        <v>87</v>
      </c>
      <c r="I7158" s="16" t="s">
        <v>87</v>
      </c>
      <c r="J7158" s="19"/>
      <c r="L7158" s="16" t="str">
        <f>IFERROR(__xludf.DUMMYFUNCTION("""COMPUTED_VALUE"""),"")</f>
        <v/>
      </c>
      <c r="M7158" s="16" t="str">
        <f>IFERROR(__xludf.DUMMYFUNCTION("""COMPUTED_VALUE"""),"")</f>
        <v/>
      </c>
      <c r="U7158" s="16" t="s">
        <v>87</v>
      </c>
      <c r="V7158" s="16" t="str">
        <f>IFERROR(__xludf.DUMMYFUNCTION("""COMPUTED_VALUE"""),"")</f>
        <v/>
      </c>
      <c r="W7158" s="16" t="str">
        <f>IFERROR(__xludf.DUMMYFUNCTION("""COMPUTED_VALUE"""),"")</f>
        <v/>
      </c>
      <c r="X7158" s="16" t="str">
        <f>IFERROR(__xludf.DUMMYFUNCTION("""COMPUTED_VALUE"""),"")</f>
        <v/>
      </c>
      <c r="AC7158" s="16" t="str">
        <f>IFERROR(__xludf.DUMMYFUNCTION("""COMPUTED_VALUE"""),"")</f>
        <v/>
      </c>
    </row>
    <row r="7159">
      <c r="A7159" s="16" t="s">
        <v>87</v>
      </c>
      <c r="E7159" s="16" t="str">
        <f>IFERROR(__xludf.DUMMYFUNCTION("""COMPUTED_VALUE"""),"")</f>
        <v/>
      </c>
      <c r="G7159" s="18"/>
      <c r="H7159" s="16" t="s">
        <v>87</v>
      </c>
      <c r="I7159" s="16" t="s">
        <v>87</v>
      </c>
      <c r="J7159" s="19"/>
      <c r="L7159" s="16" t="str">
        <f>IFERROR(__xludf.DUMMYFUNCTION("""COMPUTED_VALUE"""),"")</f>
        <v/>
      </c>
      <c r="M7159" s="16" t="str">
        <f>IFERROR(__xludf.DUMMYFUNCTION("""COMPUTED_VALUE"""),"")</f>
        <v/>
      </c>
      <c r="U7159" s="16" t="s">
        <v>87</v>
      </c>
      <c r="V7159" s="16" t="str">
        <f>IFERROR(__xludf.DUMMYFUNCTION("""COMPUTED_VALUE"""),"")</f>
        <v/>
      </c>
      <c r="W7159" s="16" t="str">
        <f>IFERROR(__xludf.DUMMYFUNCTION("""COMPUTED_VALUE"""),"")</f>
        <v/>
      </c>
      <c r="X7159" s="16" t="str">
        <f>IFERROR(__xludf.DUMMYFUNCTION("""COMPUTED_VALUE"""),"")</f>
        <v/>
      </c>
      <c r="AC7159" s="16" t="str">
        <f>IFERROR(__xludf.DUMMYFUNCTION("""COMPUTED_VALUE"""),"")</f>
        <v/>
      </c>
    </row>
    <row r="7160">
      <c r="A7160" s="16" t="s">
        <v>87</v>
      </c>
      <c r="E7160" s="16" t="str">
        <f>IFERROR(__xludf.DUMMYFUNCTION("""COMPUTED_VALUE"""),"")</f>
        <v/>
      </c>
      <c r="G7160" s="18"/>
      <c r="H7160" s="16" t="s">
        <v>87</v>
      </c>
      <c r="I7160" s="16" t="s">
        <v>87</v>
      </c>
      <c r="J7160" s="19"/>
      <c r="L7160" s="16" t="str">
        <f>IFERROR(__xludf.DUMMYFUNCTION("""COMPUTED_VALUE"""),"")</f>
        <v/>
      </c>
      <c r="M7160" s="16" t="str">
        <f>IFERROR(__xludf.DUMMYFUNCTION("""COMPUTED_VALUE"""),"")</f>
        <v/>
      </c>
      <c r="U7160" s="16" t="s">
        <v>87</v>
      </c>
      <c r="V7160" s="16" t="str">
        <f>IFERROR(__xludf.DUMMYFUNCTION("""COMPUTED_VALUE"""),"")</f>
        <v/>
      </c>
      <c r="W7160" s="16" t="str">
        <f>IFERROR(__xludf.DUMMYFUNCTION("""COMPUTED_VALUE"""),"")</f>
        <v/>
      </c>
      <c r="X7160" s="16" t="str">
        <f>IFERROR(__xludf.DUMMYFUNCTION("""COMPUTED_VALUE"""),"")</f>
        <v/>
      </c>
      <c r="AC7160" s="16" t="str">
        <f>IFERROR(__xludf.DUMMYFUNCTION("""COMPUTED_VALUE"""),"")</f>
        <v/>
      </c>
    </row>
    <row r="7161">
      <c r="A7161" s="16" t="s">
        <v>87</v>
      </c>
      <c r="E7161" s="16" t="str">
        <f>IFERROR(__xludf.DUMMYFUNCTION("""COMPUTED_VALUE"""),"")</f>
        <v/>
      </c>
      <c r="G7161" s="18"/>
      <c r="H7161" s="16" t="s">
        <v>87</v>
      </c>
      <c r="I7161" s="16" t="s">
        <v>87</v>
      </c>
      <c r="J7161" s="19"/>
      <c r="L7161" s="16" t="str">
        <f>IFERROR(__xludf.DUMMYFUNCTION("""COMPUTED_VALUE"""),"")</f>
        <v/>
      </c>
      <c r="M7161" s="16" t="str">
        <f>IFERROR(__xludf.DUMMYFUNCTION("""COMPUTED_VALUE"""),"")</f>
        <v/>
      </c>
      <c r="U7161" s="16" t="s">
        <v>87</v>
      </c>
      <c r="V7161" s="16" t="str">
        <f>IFERROR(__xludf.DUMMYFUNCTION("""COMPUTED_VALUE"""),"")</f>
        <v/>
      </c>
      <c r="W7161" s="16" t="str">
        <f>IFERROR(__xludf.DUMMYFUNCTION("""COMPUTED_VALUE"""),"")</f>
        <v/>
      </c>
      <c r="X7161" s="16" t="str">
        <f>IFERROR(__xludf.DUMMYFUNCTION("""COMPUTED_VALUE"""),"")</f>
        <v/>
      </c>
      <c r="AC7161" s="16" t="str">
        <f>IFERROR(__xludf.DUMMYFUNCTION("""COMPUTED_VALUE"""),"")</f>
        <v/>
      </c>
    </row>
    <row r="7162">
      <c r="A7162" s="16" t="s">
        <v>87</v>
      </c>
      <c r="E7162" s="16" t="str">
        <f>IFERROR(__xludf.DUMMYFUNCTION("""COMPUTED_VALUE"""),"")</f>
        <v/>
      </c>
      <c r="G7162" s="18"/>
      <c r="H7162" s="16" t="s">
        <v>87</v>
      </c>
      <c r="I7162" s="16" t="s">
        <v>87</v>
      </c>
      <c r="J7162" s="19"/>
      <c r="L7162" s="16" t="str">
        <f>IFERROR(__xludf.DUMMYFUNCTION("""COMPUTED_VALUE"""),"")</f>
        <v/>
      </c>
      <c r="M7162" s="16" t="str">
        <f>IFERROR(__xludf.DUMMYFUNCTION("""COMPUTED_VALUE"""),"")</f>
        <v/>
      </c>
      <c r="U7162" s="16" t="s">
        <v>87</v>
      </c>
      <c r="V7162" s="16" t="str">
        <f>IFERROR(__xludf.DUMMYFUNCTION("""COMPUTED_VALUE"""),"")</f>
        <v/>
      </c>
      <c r="W7162" s="16" t="str">
        <f>IFERROR(__xludf.DUMMYFUNCTION("""COMPUTED_VALUE"""),"")</f>
        <v/>
      </c>
      <c r="X7162" s="16" t="str">
        <f>IFERROR(__xludf.DUMMYFUNCTION("""COMPUTED_VALUE"""),"")</f>
        <v/>
      </c>
      <c r="AC7162" s="16" t="str">
        <f>IFERROR(__xludf.DUMMYFUNCTION("""COMPUTED_VALUE"""),"")</f>
        <v/>
      </c>
    </row>
    <row r="7163">
      <c r="A7163" s="16" t="s">
        <v>87</v>
      </c>
      <c r="E7163" s="16" t="str">
        <f>IFERROR(__xludf.DUMMYFUNCTION("""COMPUTED_VALUE"""),"")</f>
        <v/>
      </c>
      <c r="G7163" s="18"/>
      <c r="H7163" s="16" t="s">
        <v>87</v>
      </c>
      <c r="I7163" s="16" t="s">
        <v>87</v>
      </c>
      <c r="J7163" s="19"/>
      <c r="L7163" s="16" t="str">
        <f>IFERROR(__xludf.DUMMYFUNCTION("""COMPUTED_VALUE"""),"")</f>
        <v/>
      </c>
      <c r="M7163" s="16" t="str">
        <f>IFERROR(__xludf.DUMMYFUNCTION("""COMPUTED_VALUE"""),"")</f>
        <v/>
      </c>
      <c r="U7163" s="16" t="s">
        <v>87</v>
      </c>
      <c r="V7163" s="16" t="str">
        <f>IFERROR(__xludf.DUMMYFUNCTION("""COMPUTED_VALUE"""),"")</f>
        <v/>
      </c>
      <c r="W7163" s="16" t="str">
        <f>IFERROR(__xludf.DUMMYFUNCTION("""COMPUTED_VALUE"""),"")</f>
        <v/>
      </c>
      <c r="X7163" s="16" t="str">
        <f>IFERROR(__xludf.DUMMYFUNCTION("""COMPUTED_VALUE"""),"")</f>
        <v/>
      </c>
      <c r="AC7163" s="16" t="str">
        <f>IFERROR(__xludf.DUMMYFUNCTION("""COMPUTED_VALUE"""),"")</f>
        <v/>
      </c>
    </row>
    <row r="7164">
      <c r="A7164" s="16" t="s">
        <v>87</v>
      </c>
      <c r="E7164" s="16" t="str">
        <f>IFERROR(__xludf.DUMMYFUNCTION("""COMPUTED_VALUE"""),"")</f>
        <v/>
      </c>
      <c r="G7164" s="18"/>
      <c r="H7164" s="16" t="s">
        <v>87</v>
      </c>
      <c r="I7164" s="16" t="s">
        <v>87</v>
      </c>
      <c r="J7164" s="19"/>
      <c r="L7164" s="16" t="str">
        <f>IFERROR(__xludf.DUMMYFUNCTION("""COMPUTED_VALUE"""),"")</f>
        <v/>
      </c>
      <c r="M7164" s="16" t="str">
        <f>IFERROR(__xludf.DUMMYFUNCTION("""COMPUTED_VALUE"""),"")</f>
        <v/>
      </c>
      <c r="U7164" s="16" t="s">
        <v>87</v>
      </c>
      <c r="V7164" s="16" t="str">
        <f>IFERROR(__xludf.DUMMYFUNCTION("""COMPUTED_VALUE"""),"")</f>
        <v/>
      </c>
      <c r="W7164" s="16" t="str">
        <f>IFERROR(__xludf.DUMMYFUNCTION("""COMPUTED_VALUE"""),"")</f>
        <v/>
      </c>
      <c r="X7164" s="16" t="str">
        <f>IFERROR(__xludf.DUMMYFUNCTION("""COMPUTED_VALUE"""),"")</f>
        <v/>
      </c>
      <c r="AC7164" s="16" t="str">
        <f>IFERROR(__xludf.DUMMYFUNCTION("""COMPUTED_VALUE"""),"")</f>
        <v/>
      </c>
    </row>
    <row r="7165">
      <c r="A7165" s="16" t="s">
        <v>87</v>
      </c>
      <c r="E7165" s="16" t="str">
        <f>IFERROR(__xludf.DUMMYFUNCTION("""COMPUTED_VALUE"""),"")</f>
        <v/>
      </c>
      <c r="G7165" s="18"/>
      <c r="H7165" s="16" t="s">
        <v>87</v>
      </c>
      <c r="I7165" s="16" t="s">
        <v>87</v>
      </c>
      <c r="J7165" s="19"/>
      <c r="L7165" s="16" t="str">
        <f>IFERROR(__xludf.DUMMYFUNCTION("""COMPUTED_VALUE"""),"")</f>
        <v/>
      </c>
      <c r="M7165" s="16" t="str">
        <f>IFERROR(__xludf.DUMMYFUNCTION("""COMPUTED_VALUE"""),"")</f>
        <v/>
      </c>
      <c r="U7165" s="16" t="s">
        <v>87</v>
      </c>
      <c r="V7165" s="16" t="str">
        <f>IFERROR(__xludf.DUMMYFUNCTION("""COMPUTED_VALUE"""),"")</f>
        <v/>
      </c>
      <c r="W7165" s="16" t="str">
        <f>IFERROR(__xludf.DUMMYFUNCTION("""COMPUTED_VALUE"""),"")</f>
        <v/>
      </c>
      <c r="X7165" s="16" t="str">
        <f>IFERROR(__xludf.DUMMYFUNCTION("""COMPUTED_VALUE"""),"")</f>
        <v/>
      </c>
      <c r="AC7165" s="16" t="str">
        <f>IFERROR(__xludf.DUMMYFUNCTION("""COMPUTED_VALUE"""),"")</f>
        <v/>
      </c>
    </row>
    <row r="7166">
      <c r="A7166" s="16" t="s">
        <v>87</v>
      </c>
      <c r="E7166" s="16" t="str">
        <f>IFERROR(__xludf.DUMMYFUNCTION("""COMPUTED_VALUE"""),"")</f>
        <v/>
      </c>
      <c r="G7166" s="18"/>
      <c r="H7166" s="16" t="s">
        <v>87</v>
      </c>
      <c r="I7166" s="16" t="s">
        <v>87</v>
      </c>
      <c r="J7166" s="19"/>
      <c r="L7166" s="16" t="str">
        <f>IFERROR(__xludf.DUMMYFUNCTION("""COMPUTED_VALUE"""),"")</f>
        <v/>
      </c>
      <c r="M7166" s="16" t="str">
        <f>IFERROR(__xludf.DUMMYFUNCTION("""COMPUTED_VALUE"""),"")</f>
        <v/>
      </c>
      <c r="U7166" s="16" t="s">
        <v>87</v>
      </c>
      <c r="V7166" s="16" t="str">
        <f>IFERROR(__xludf.DUMMYFUNCTION("""COMPUTED_VALUE"""),"")</f>
        <v/>
      </c>
      <c r="W7166" s="16" t="str">
        <f>IFERROR(__xludf.DUMMYFUNCTION("""COMPUTED_VALUE"""),"")</f>
        <v/>
      </c>
      <c r="X7166" s="16" t="str">
        <f>IFERROR(__xludf.DUMMYFUNCTION("""COMPUTED_VALUE"""),"")</f>
        <v/>
      </c>
      <c r="AC7166" s="16" t="str">
        <f>IFERROR(__xludf.DUMMYFUNCTION("""COMPUTED_VALUE"""),"")</f>
        <v/>
      </c>
    </row>
    <row r="7167">
      <c r="A7167" s="16" t="s">
        <v>87</v>
      </c>
      <c r="E7167" s="16" t="str">
        <f>IFERROR(__xludf.DUMMYFUNCTION("""COMPUTED_VALUE"""),"")</f>
        <v/>
      </c>
      <c r="G7167" s="18"/>
      <c r="H7167" s="16" t="s">
        <v>87</v>
      </c>
      <c r="I7167" s="16" t="s">
        <v>87</v>
      </c>
      <c r="J7167" s="19"/>
      <c r="L7167" s="16" t="str">
        <f>IFERROR(__xludf.DUMMYFUNCTION("""COMPUTED_VALUE"""),"")</f>
        <v/>
      </c>
      <c r="M7167" s="16" t="str">
        <f>IFERROR(__xludf.DUMMYFUNCTION("""COMPUTED_VALUE"""),"")</f>
        <v/>
      </c>
      <c r="U7167" s="16" t="s">
        <v>87</v>
      </c>
      <c r="V7167" s="16" t="str">
        <f>IFERROR(__xludf.DUMMYFUNCTION("""COMPUTED_VALUE"""),"")</f>
        <v/>
      </c>
      <c r="W7167" s="16" t="str">
        <f>IFERROR(__xludf.DUMMYFUNCTION("""COMPUTED_VALUE"""),"")</f>
        <v/>
      </c>
      <c r="X7167" s="16" t="str">
        <f>IFERROR(__xludf.DUMMYFUNCTION("""COMPUTED_VALUE"""),"")</f>
        <v/>
      </c>
      <c r="AC7167" s="16" t="str">
        <f>IFERROR(__xludf.DUMMYFUNCTION("""COMPUTED_VALUE"""),"")</f>
        <v/>
      </c>
    </row>
    <row r="7168">
      <c r="A7168" s="16" t="s">
        <v>87</v>
      </c>
      <c r="E7168" s="16" t="str">
        <f>IFERROR(__xludf.DUMMYFUNCTION("""COMPUTED_VALUE"""),"")</f>
        <v/>
      </c>
      <c r="G7168" s="18"/>
      <c r="H7168" s="16" t="s">
        <v>87</v>
      </c>
      <c r="I7168" s="16" t="s">
        <v>87</v>
      </c>
      <c r="J7168" s="19"/>
      <c r="L7168" s="16" t="str">
        <f>IFERROR(__xludf.DUMMYFUNCTION("""COMPUTED_VALUE"""),"")</f>
        <v/>
      </c>
      <c r="M7168" s="16" t="str">
        <f>IFERROR(__xludf.DUMMYFUNCTION("""COMPUTED_VALUE"""),"")</f>
        <v/>
      </c>
      <c r="U7168" s="16" t="s">
        <v>87</v>
      </c>
      <c r="V7168" s="16" t="str">
        <f>IFERROR(__xludf.DUMMYFUNCTION("""COMPUTED_VALUE"""),"")</f>
        <v/>
      </c>
      <c r="W7168" s="16" t="str">
        <f>IFERROR(__xludf.DUMMYFUNCTION("""COMPUTED_VALUE"""),"")</f>
        <v/>
      </c>
      <c r="X7168" s="16" t="str">
        <f>IFERROR(__xludf.DUMMYFUNCTION("""COMPUTED_VALUE"""),"")</f>
        <v/>
      </c>
      <c r="AC7168" s="16" t="str">
        <f>IFERROR(__xludf.DUMMYFUNCTION("""COMPUTED_VALUE"""),"")</f>
        <v/>
      </c>
    </row>
    <row r="7169">
      <c r="A7169" s="16" t="s">
        <v>87</v>
      </c>
      <c r="E7169" s="16" t="str">
        <f>IFERROR(__xludf.DUMMYFUNCTION("""COMPUTED_VALUE"""),"")</f>
        <v/>
      </c>
      <c r="G7169" s="18"/>
      <c r="H7169" s="16" t="s">
        <v>87</v>
      </c>
      <c r="I7169" s="16" t="s">
        <v>87</v>
      </c>
      <c r="J7169" s="19"/>
      <c r="L7169" s="16" t="str">
        <f>IFERROR(__xludf.DUMMYFUNCTION("""COMPUTED_VALUE"""),"")</f>
        <v/>
      </c>
      <c r="M7169" s="16" t="str">
        <f>IFERROR(__xludf.DUMMYFUNCTION("""COMPUTED_VALUE"""),"")</f>
        <v/>
      </c>
      <c r="U7169" s="16" t="s">
        <v>87</v>
      </c>
      <c r="V7169" s="16" t="str">
        <f>IFERROR(__xludf.DUMMYFUNCTION("""COMPUTED_VALUE"""),"")</f>
        <v/>
      </c>
      <c r="W7169" s="16" t="str">
        <f>IFERROR(__xludf.DUMMYFUNCTION("""COMPUTED_VALUE"""),"")</f>
        <v/>
      </c>
      <c r="X7169" s="16" t="str">
        <f>IFERROR(__xludf.DUMMYFUNCTION("""COMPUTED_VALUE"""),"")</f>
        <v/>
      </c>
      <c r="AC7169" s="16" t="str">
        <f>IFERROR(__xludf.DUMMYFUNCTION("""COMPUTED_VALUE"""),"")</f>
        <v/>
      </c>
    </row>
    <row r="7170">
      <c r="A7170" s="16" t="s">
        <v>87</v>
      </c>
      <c r="E7170" s="16" t="str">
        <f>IFERROR(__xludf.DUMMYFUNCTION("""COMPUTED_VALUE"""),"")</f>
        <v/>
      </c>
      <c r="G7170" s="18"/>
      <c r="H7170" s="16" t="s">
        <v>87</v>
      </c>
      <c r="I7170" s="16" t="s">
        <v>87</v>
      </c>
      <c r="J7170" s="19"/>
      <c r="L7170" s="16" t="str">
        <f>IFERROR(__xludf.DUMMYFUNCTION("""COMPUTED_VALUE"""),"")</f>
        <v/>
      </c>
      <c r="M7170" s="16" t="str">
        <f>IFERROR(__xludf.DUMMYFUNCTION("""COMPUTED_VALUE"""),"")</f>
        <v/>
      </c>
      <c r="U7170" s="16" t="s">
        <v>87</v>
      </c>
      <c r="V7170" s="16" t="str">
        <f>IFERROR(__xludf.DUMMYFUNCTION("""COMPUTED_VALUE"""),"")</f>
        <v/>
      </c>
      <c r="W7170" s="16" t="str">
        <f>IFERROR(__xludf.DUMMYFUNCTION("""COMPUTED_VALUE"""),"")</f>
        <v/>
      </c>
      <c r="X7170" s="16" t="str">
        <f>IFERROR(__xludf.DUMMYFUNCTION("""COMPUTED_VALUE"""),"")</f>
        <v/>
      </c>
      <c r="AC7170" s="16" t="str">
        <f>IFERROR(__xludf.DUMMYFUNCTION("""COMPUTED_VALUE"""),"")</f>
        <v/>
      </c>
    </row>
    <row r="7171">
      <c r="A7171" s="16" t="s">
        <v>87</v>
      </c>
      <c r="E7171" s="16" t="str">
        <f>IFERROR(__xludf.DUMMYFUNCTION("""COMPUTED_VALUE"""),"")</f>
        <v/>
      </c>
      <c r="G7171" s="18"/>
      <c r="H7171" s="16" t="s">
        <v>87</v>
      </c>
      <c r="I7171" s="16" t="s">
        <v>87</v>
      </c>
      <c r="J7171" s="19"/>
      <c r="L7171" s="16" t="str">
        <f>IFERROR(__xludf.DUMMYFUNCTION("""COMPUTED_VALUE"""),"")</f>
        <v/>
      </c>
      <c r="M7171" s="16" t="str">
        <f>IFERROR(__xludf.DUMMYFUNCTION("""COMPUTED_VALUE"""),"")</f>
        <v/>
      </c>
      <c r="U7171" s="16" t="s">
        <v>87</v>
      </c>
      <c r="V7171" s="16" t="str">
        <f>IFERROR(__xludf.DUMMYFUNCTION("""COMPUTED_VALUE"""),"")</f>
        <v/>
      </c>
      <c r="W7171" s="16" t="str">
        <f>IFERROR(__xludf.DUMMYFUNCTION("""COMPUTED_VALUE"""),"")</f>
        <v/>
      </c>
      <c r="X7171" s="16" t="str">
        <f>IFERROR(__xludf.DUMMYFUNCTION("""COMPUTED_VALUE"""),"")</f>
        <v/>
      </c>
      <c r="AC7171" s="16" t="str">
        <f>IFERROR(__xludf.DUMMYFUNCTION("""COMPUTED_VALUE"""),"")</f>
        <v/>
      </c>
    </row>
    <row r="7172">
      <c r="A7172" s="16" t="s">
        <v>87</v>
      </c>
      <c r="E7172" s="16" t="str">
        <f>IFERROR(__xludf.DUMMYFUNCTION("""COMPUTED_VALUE"""),"")</f>
        <v/>
      </c>
      <c r="G7172" s="18"/>
      <c r="H7172" s="16" t="s">
        <v>87</v>
      </c>
      <c r="I7172" s="16" t="s">
        <v>87</v>
      </c>
      <c r="J7172" s="19"/>
      <c r="L7172" s="16" t="str">
        <f>IFERROR(__xludf.DUMMYFUNCTION("""COMPUTED_VALUE"""),"")</f>
        <v/>
      </c>
      <c r="M7172" s="16" t="str">
        <f>IFERROR(__xludf.DUMMYFUNCTION("""COMPUTED_VALUE"""),"")</f>
        <v/>
      </c>
      <c r="U7172" s="16" t="s">
        <v>87</v>
      </c>
      <c r="V7172" s="16" t="str">
        <f>IFERROR(__xludf.DUMMYFUNCTION("""COMPUTED_VALUE"""),"")</f>
        <v/>
      </c>
      <c r="W7172" s="16" t="str">
        <f>IFERROR(__xludf.DUMMYFUNCTION("""COMPUTED_VALUE"""),"")</f>
        <v/>
      </c>
      <c r="X7172" s="16" t="str">
        <f>IFERROR(__xludf.DUMMYFUNCTION("""COMPUTED_VALUE"""),"")</f>
        <v/>
      </c>
      <c r="AC7172" s="16" t="str">
        <f>IFERROR(__xludf.DUMMYFUNCTION("""COMPUTED_VALUE"""),"")</f>
        <v/>
      </c>
    </row>
    <row r="7173">
      <c r="A7173" s="16" t="s">
        <v>87</v>
      </c>
      <c r="E7173" s="16" t="str">
        <f>IFERROR(__xludf.DUMMYFUNCTION("""COMPUTED_VALUE"""),"")</f>
        <v/>
      </c>
      <c r="G7173" s="18"/>
      <c r="H7173" s="16" t="s">
        <v>87</v>
      </c>
      <c r="I7173" s="16" t="s">
        <v>87</v>
      </c>
      <c r="J7173" s="19"/>
      <c r="L7173" s="16" t="str">
        <f>IFERROR(__xludf.DUMMYFUNCTION("""COMPUTED_VALUE"""),"")</f>
        <v/>
      </c>
      <c r="M7173" s="16" t="str">
        <f>IFERROR(__xludf.DUMMYFUNCTION("""COMPUTED_VALUE"""),"")</f>
        <v/>
      </c>
      <c r="U7173" s="16" t="s">
        <v>87</v>
      </c>
      <c r="V7173" s="16" t="str">
        <f>IFERROR(__xludf.DUMMYFUNCTION("""COMPUTED_VALUE"""),"")</f>
        <v/>
      </c>
      <c r="W7173" s="16" t="str">
        <f>IFERROR(__xludf.DUMMYFUNCTION("""COMPUTED_VALUE"""),"")</f>
        <v/>
      </c>
      <c r="X7173" s="16" t="str">
        <f>IFERROR(__xludf.DUMMYFUNCTION("""COMPUTED_VALUE"""),"")</f>
        <v/>
      </c>
      <c r="AC7173" s="16" t="str">
        <f>IFERROR(__xludf.DUMMYFUNCTION("""COMPUTED_VALUE"""),"")</f>
        <v/>
      </c>
    </row>
    <row r="7174">
      <c r="A7174" s="16" t="s">
        <v>87</v>
      </c>
      <c r="E7174" s="16" t="str">
        <f>IFERROR(__xludf.DUMMYFUNCTION("""COMPUTED_VALUE"""),"")</f>
        <v/>
      </c>
      <c r="G7174" s="18"/>
      <c r="H7174" s="16" t="s">
        <v>87</v>
      </c>
      <c r="I7174" s="16" t="s">
        <v>87</v>
      </c>
      <c r="J7174" s="19"/>
      <c r="L7174" s="16" t="str">
        <f>IFERROR(__xludf.DUMMYFUNCTION("""COMPUTED_VALUE"""),"")</f>
        <v/>
      </c>
      <c r="M7174" s="16" t="str">
        <f>IFERROR(__xludf.DUMMYFUNCTION("""COMPUTED_VALUE"""),"")</f>
        <v/>
      </c>
      <c r="U7174" s="16" t="s">
        <v>87</v>
      </c>
      <c r="V7174" s="16" t="str">
        <f>IFERROR(__xludf.DUMMYFUNCTION("""COMPUTED_VALUE"""),"")</f>
        <v/>
      </c>
      <c r="W7174" s="16" t="str">
        <f>IFERROR(__xludf.DUMMYFUNCTION("""COMPUTED_VALUE"""),"")</f>
        <v/>
      </c>
      <c r="X7174" s="16" t="str">
        <f>IFERROR(__xludf.DUMMYFUNCTION("""COMPUTED_VALUE"""),"")</f>
        <v/>
      </c>
      <c r="AC7174" s="16" t="str">
        <f>IFERROR(__xludf.DUMMYFUNCTION("""COMPUTED_VALUE"""),"")</f>
        <v/>
      </c>
    </row>
    <row r="7175">
      <c r="A7175" s="16" t="s">
        <v>87</v>
      </c>
      <c r="E7175" s="16" t="str">
        <f>IFERROR(__xludf.DUMMYFUNCTION("""COMPUTED_VALUE"""),"")</f>
        <v/>
      </c>
      <c r="G7175" s="18"/>
      <c r="H7175" s="16" t="s">
        <v>87</v>
      </c>
      <c r="I7175" s="16" t="s">
        <v>87</v>
      </c>
      <c r="J7175" s="19"/>
      <c r="L7175" s="16" t="str">
        <f>IFERROR(__xludf.DUMMYFUNCTION("""COMPUTED_VALUE"""),"")</f>
        <v/>
      </c>
      <c r="M7175" s="16" t="str">
        <f>IFERROR(__xludf.DUMMYFUNCTION("""COMPUTED_VALUE"""),"")</f>
        <v/>
      </c>
      <c r="U7175" s="16" t="s">
        <v>87</v>
      </c>
      <c r="V7175" s="16" t="str">
        <f>IFERROR(__xludf.DUMMYFUNCTION("""COMPUTED_VALUE"""),"")</f>
        <v/>
      </c>
      <c r="W7175" s="16" t="str">
        <f>IFERROR(__xludf.DUMMYFUNCTION("""COMPUTED_VALUE"""),"")</f>
        <v/>
      </c>
      <c r="X7175" s="16" t="str">
        <f>IFERROR(__xludf.DUMMYFUNCTION("""COMPUTED_VALUE"""),"")</f>
        <v/>
      </c>
      <c r="AC7175" s="16" t="str">
        <f>IFERROR(__xludf.DUMMYFUNCTION("""COMPUTED_VALUE"""),"")</f>
        <v/>
      </c>
    </row>
    <row r="7176">
      <c r="A7176" s="16" t="s">
        <v>87</v>
      </c>
      <c r="E7176" s="16" t="str">
        <f>IFERROR(__xludf.DUMMYFUNCTION("""COMPUTED_VALUE"""),"")</f>
        <v/>
      </c>
      <c r="G7176" s="18"/>
      <c r="H7176" s="16" t="s">
        <v>87</v>
      </c>
      <c r="I7176" s="16" t="s">
        <v>87</v>
      </c>
      <c r="J7176" s="19"/>
      <c r="L7176" s="16" t="str">
        <f>IFERROR(__xludf.DUMMYFUNCTION("""COMPUTED_VALUE"""),"")</f>
        <v/>
      </c>
      <c r="M7176" s="16" t="str">
        <f>IFERROR(__xludf.DUMMYFUNCTION("""COMPUTED_VALUE"""),"")</f>
        <v/>
      </c>
      <c r="U7176" s="16" t="s">
        <v>87</v>
      </c>
      <c r="V7176" s="16" t="str">
        <f>IFERROR(__xludf.DUMMYFUNCTION("""COMPUTED_VALUE"""),"")</f>
        <v/>
      </c>
      <c r="W7176" s="16" t="str">
        <f>IFERROR(__xludf.DUMMYFUNCTION("""COMPUTED_VALUE"""),"")</f>
        <v/>
      </c>
      <c r="X7176" s="16" t="str">
        <f>IFERROR(__xludf.DUMMYFUNCTION("""COMPUTED_VALUE"""),"")</f>
        <v/>
      </c>
      <c r="AC7176" s="16" t="str">
        <f>IFERROR(__xludf.DUMMYFUNCTION("""COMPUTED_VALUE"""),"")</f>
        <v/>
      </c>
    </row>
    <row r="7177">
      <c r="A7177" s="16" t="s">
        <v>87</v>
      </c>
      <c r="E7177" s="16" t="str">
        <f>IFERROR(__xludf.DUMMYFUNCTION("""COMPUTED_VALUE"""),"")</f>
        <v/>
      </c>
      <c r="G7177" s="18"/>
      <c r="H7177" s="16" t="s">
        <v>87</v>
      </c>
      <c r="I7177" s="16" t="s">
        <v>87</v>
      </c>
      <c r="J7177" s="19"/>
      <c r="L7177" s="16" t="str">
        <f>IFERROR(__xludf.DUMMYFUNCTION("""COMPUTED_VALUE"""),"")</f>
        <v/>
      </c>
      <c r="M7177" s="16" t="str">
        <f>IFERROR(__xludf.DUMMYFUNCTION("""COMPUTED_VALUE"""),"")</f>
        <v/>
      </c>
      <c r="U7177" s="16" t="s">
        <v>87</v>
      </c>
      <c r="V7177" s="16" t="str">
        <f>IFERROR(__xludf.DUMMYFUNCTION("""COMPUTED_VALUE"""),"")</f>
        <v/>
      </c>
      <c r="W7177" s="16" t="str">
        <f>IFERROR(__xludf.DUMMYFUNCTION("""COMPUTED_VALUE"""),"")</f>
        <v/>
      </c>
      <c r="X7177" s="16" t="str">
        <f>IFERROR(__xludf.DUMMYFUNCTION("""COMPUTED_VALUE"""),"")</f>
        <v/>
      </c>
      <c r="AC7177" s="16" t="str">
        <f>IFERROR(__xludf.DUMMYFUNCTION("""COMPUTED_VALUE"""),"")</f>
        <v/>
      </c>
    </row>
    <row r="7178">
      <c r="A7178" s="16" t="s">
        <v>87</v>
      </c>
      <c r="E7178" s="16" t="str">
        <f>IFERROR(__xludf.DUMMYFUNCTION("""COMPUTED_VALUE"""),"")</f>
        <v/>
      </c>
      <c r="G7178" s="18"/>
      <c r="H7178" s="16" t="s">
        <v>87</v>
      </c>
      <c r="I7178" s="16" t="s">
        <v>87</v>
      </c>
      <c r="J7178" s="19"/>
      <c r="L7178" s="16" t="str">
        <f>IFERROR(__xludf.DUMMYFUNCTION("""COMPUTED_VALUE"""),"")</f>
        <v/>
      </c>
      <c r="M7178" s="16" t="str">
        <f>IFERROR(__xludf.DUMMYFUNCTION("""COMPUTED_VALUE"""),"")</f>
        <v/>
      </c>
      <c r="U7178" s="16" t="s">
        <v>87</v>
      </c>
      <c r="V7178" s="16" t="str">
        <f>IFERROR(__xludf.DUMMYFUNCTION("""COMPUTED_VALUE"""),"")</f>
        <v/>
      </c>
      <c r="W7178" s="16" t="str">
        <f>IFERROR(__xludf.DUMMYFUNCTION("""COMPUTED_VALUE"""),"")</f>
        <v/>
      </c>
      <c r="X7178" s="16" t="str">
        <f>IFERROR(__xludf.DUMMYFUNCTION("""COMPUTED_VALUE"""),"")</f>
        <v/>
      </c>
      <c r="AC7178" s="16" t="str">
        <f>IFERROR(__xludf.DUMMYFUNCTION("""COMPUTED_VALUE"""),"")</f>
        <v/>
      </c>
    </row>
    <row r="7179">
      <c r="A7179" s="16" t="s">
        <v>87</v>
      </c>
      <c r="E7179" s="16" t="str">
        <f>IFERROR(__xludf.DUMMYFUNCTION("""COMPUTED_VALUE"""),"")</f>
        <v/>
      </c>
      <c r="G7179" s="18"/>
      <c r="H7179" s="16" t="s">
        <v>87</v>
      </c>
      <c r="I7179" s="16" t="s">
        <v>87</v>
      </c>
      <c r="J7179" s="19"/>
      <c r="L7179" s="16" t="str">
        <f>IFERROR(__xludf.DUMMYFUNCTION("""COMPUTED_VALUE"""),"")</f>
        <v/>
      </c>
      <c r="M7179" s="16" t="str">
        <f>IFERROR(__xludf.DUMMYFUNCTION("""COMPUTED_VALUE"""),"")</f>
        <v/>
      </c>
      <c r="U7179" s="16" t="s">
        <v>87</v>
      </c>
      <c r="V7179" s="16" t="str">
        <f>IFERROR(__xludf.DUMMYFUNCTION("""COMPUTED_VALUE"""),"")</f>
        <v/>
      </c>
      <c r="W7179" s="16" t="str">
        <f>IFERROR(__xludf.DUMMYFUNCTION("""COMPUTED_VALUE"""),"")</f>
        <v/>
      </c>
      <c r="X7179" s="16" t="str">
        <f>IFERROR(__xludf.DUMMYFUNCTION("""COMPUTED_VALUE"""),"")</f>
        <v/>
      </c>
      <c r="AC7179" s="16" t="str">
        <f>IFERROR(__xludf.DUMMYFUNCTION("""COMPUTED_VALUE"""),"")</f>
        <v/>
      </c>
    </row>
    <row r="7180">
      <c r="A7180" s="16" t="s">
        <v>87</v>
      </c>
      <c r="E7180" s="16" t="str">
        <f>IFERROR(__xludf.DUMMYFUNCTION("""COMPUTED_VALUE"""),"")</f>
        <v/>
      </c>
      <c r="G7180" s="18"/>
      <c r="H7180" s="16" t="s">
        <v>87</v>
      </c>
      <c r="I7180" s="16" t="s">
        <v>87</v>
      </c>
      <c r="J7180" s="19"/>
      <c r="L7180" s="16" t="str">
        <f>IFERROR(__xludf.DUMMYFUNCTION("""COMPUTED_VALUE"""),"")</f>
        <v/>
      </c>
      <c r="M7180" s="16" t="str">
        <f>IFERROR(__xludf.DUMMYFUNCTION("""COMPUTED_VALUE"""),"")</f>
        <v/>
      </c>
      <c r="U7180" s="16" t="s">
        <v>87</v>
      </c>
      <c r="V7180" s="16" t="str">
        <f>IFERROR(__xludf.DUMMYFUNCTION("""COMPUTED_VALUE"""),"")</f>
        <v/>
      </c>
      <c r="W7180" s="16" t="str">
        <f>IFERROR(__xludf.DUMMYFUNCTION("""COMPUTED_VALUE"""),"")</f>
        <v/>
      </c>
      <c r="X7180" s="16" t="str">
        <f>IFERROR(__xludf.DUMMYFUNCTION("""COMPUTED_VALUE"""),"")</f>
        <v/>
      </c>
      <c r="AC7180" s="16" t="str">
        <f>IFERROR(__xludf.DUMMYFUNCTION("""COMPUTED_VALUE"""),"")</f>
        <v/>
      </c>
    </row>
    <row r="7181">
      <c r="A7181" s="16" t="s">
        <v>87</v>
      </c>
      <c r="E7181" s="16" t="str">
        <f>IFERROR(__xludf.DUMMYFUNCTION("""COMPUTED_VALUE"""),"")</f>
        <v/>
      </c>
      <c r="G7181" s="18"/>
      <c r="H7181" s="16" t="s">
        <v>87</v>
      </c>
      <c r="I7181" s="16" t="s">
        <v>87</v>
      </c>
      <c r="J7181" s="19"/>
      <c r="L7181" s="16" t="str">
        <f>IFERROR(__xludf.DUMMYFUNCTION("""COMPUTED_VALUE"""),"")</f>
        <v/>
      </c>
      <c r="M7181" s="16" t="str">
        <f>IFERROR(__xludf.DUMMYFUNCTION("""COMPUTED_VALUE"""),"")</f>
        <v/>
      </c>
      <c r="U7181" s="16" t="s">
        <v>87</v>
      </c>
      <c r="V7181" s="16" t="str">
        <f>IFERROR(__xludf.DUMMYFUNCTION("""COMPUTED_VALUE"""),"")</f>
        <v/>
      </c>
      <c r="W7181" s="16" t="str">
        <f>IFERROR(__xludf.DUMMYFUNCTION("""COMPUTED_VALUE"""),"")</f>
        <v/>
      </c>
      <c r="X7181" s="16" t="str">
        <f>IFERROR(__xludf.DUMMYFUNCTION("""COMPUTED_VALUE"""),"")</f>
        <v/>
      </c>
      <c r="AC7181" s="16" t="str">
        <f>IFERROR(__xludf.DUMMYFUNCTION("""COMPUTED_VALUE"""),"")</f>
        <v/>
      </c>
    </row>
    <row r="7182">
      <c r="A7182" s="16" t="s">
        <v>87</v>
      </c>
      <c r="E7182" s="16" t="str">
        <f>IFERROR(__xludf.DUMMYFUNCTION("""COMPUTED_VALUE"""),"")</f>
        <v/>
      </c>
      <c r="G7182" s="18"/>
      <c r="H7182" s="16" t="s">
        <v>87</v>
      </c>
      <c r="I7182" s="16" t="s">
        <v>87</v>
      </c>
      <c r="J7182" s="19"/>
      <c r="L7182" s="16" t="str">
        <f>IFERROR(__xludf.DUMMYFUNCTION("""COMPUTED_VALUE"""),"")</f>
        <v/>
      </c>
      <c r="M7182" s="16" t="str">
        <f>IFERROR(__xludf.DUMMYFUNCTION("""COMPUTED_VALUE"""),"")</f>
        <v/>
      </c>
      <c r="U7182" s="16" t="s">
        <v>87</v>
      </c>
      <c r="V7182" s="16" t="str">
        <f>IFERROR(__xludf.DUMMYFUNCTION("""COMPUTED_VALUE"""),"")</f>
        <v/>
      </c>
      <c r="W7182" s="16" t="str">
        <f>IFERROR(__xludf.DUMMYFUNCTION("""COMPUTED_VALUE"""),"")</f>
        <v/>
      </c>
      <c r="X7182" s="16" t="str">
        <f>IFERROR(__xludf.DUMMYFUNCTION("""COMPUTED_VALUE"""),"")</f>
        <v/>
      </c>
      <c r="AC7182" s="16" t="str">
        <f>IFERROR(__xludf.DUMMYFUNCTION("""COMPUTED_VALUE"""),"")</f>
        <v/>
      </c>
    </row>
    <row r="7183">
      <c r="A7183" s="16" t="s">
        <v>87</v>
      </c>
      <c r="E7183" s="16" t="str">
        <f>IFERROR(__xludf.DUMMYFUNCTION("""COMPUTED_VALUE"""),"")</f>
        <v/>
      </c>
      <c r="G7183" s="18"/>
      <c r="H7183" s="16" t="s">
        <v>87</v>
      </c>
      <c r="I7183" s="16" t="s">
        <v>87</v>
      </c>
      <c r="J7183" s="19"/>
      <c r="L7183" s="16" t="str">
        <f>IFERROR(__xludf.DUMMYFUNCTION("""COMPUTED_VALUE"""),"")</f>
        <v/>
      </c>
      <c r="M7183" s="16" t="str">
        <f>IFERROR(__xludf.DUMMYFUNCTION("""COMPUTED_VALUE"""),"")</f>
        <v/>
      </c>
      <c r="U7183" s="16" t="s">
        <v>87</v>
      </c>
      <c r="V7183" s="16" t="str">
        <f>IFERROR(__xludf.DUMMYFUNCTION("""COMPUTED_VALUE"""),"")</f>
        <v/>
      </c>
      <c r="W7183" s="16" t="str">
        <f>IFERROR(__xludf.DUMMYFUNCTION("""COMPUTED_VALUE"""),"")</f>
        <v/>
      </c>
      <c r="X7183" s="16" t="str">
        <f>IFERROR(__xludf.DUMMYFUNCTION("""COMPUTED_VALUE"""),"")</f>
        <v/>
      </c>
      <c r="AC7183" s="16" t="str">
        <f>IFERROR(__xludf.DUMMYFUNCTION("""COMPUTED_VALUE"""),"")</f>
        <v/>
      </c>
    </row>
    <row r="7184">
      <c r="A7184" s="16" t="s">
        <v>87</v>
      </c>
      <c r="E7184" s="16" t="str">
        <f>IFERROR(__xludf.DUMMYFUNCTION("""COMPUTED_VALUE"""),"")</f>
        <v/>
      </c>
      <c r="G7184" s="18"/>
      <c r="H7184" s="16" t="s">
        <v>87</v>
      </c>
      <c r="I7184" s="16" t="s">
        <v>87</v>
      </c>
      <c r="J7184" s="19"/>
      <c r="L7184" s="16" t="str">
        <f>IFERROR(__xludf.DUMMYFUNCTION("""COMPUTED_VALUE"""),"")</f>
        <v/>
      </c>
      <c r="M7184" s="16" t="str">
        <f>IFERROR(__xludf.DUMMYFUNCTION("""COMPUTED_VALUE"""),"")</f>
        <v/>
      </c>
      <c r="U7184" s="16" t="s">
        <v>87</v>
      </c>
      <c r="V7184" s="16" t="str">
        <f>IFERROR(__xludf.DUMMYFUNCTION("""COMPUTED_VALUE"""),"")</f>
        <v/>
      </c>
      <c r="W7184" s="16" t="str">
        <f>IFERROR(__xludf.DUMMYFUNCTION("""COMPUTED_VALUE"""),"")</f>
        <v/>
      </c>
      <c r="X7184" s="16" t="str">
        <f>IFERROR(__xludf.DUMMYFUNCTION("""COMPUTED_VALUE"""),"")</f>
        <v/>
      </c>
      <c r="AC7184" s="16" t="str">
        <f>IFERROR(__xludf.DUMMYFUNCTION("""COMPUTED_VALUE"""),"")</f>
        <v/>
      </c>
    </row>
    <row r="7185">
      <c r="A7185" s="16" t="s">
        <v>87</v>
      </c>
      <c r="E7185" s="16" t="str">
        <f>IFERROR(__xludf.DUMMYFUNCTION("""COMPUTED_VALUE"""),"")</f>
        <v/>
      </c>
      <c r="G7185" s="18"/>
      <c r="H7185" s="16" t="s">
        <v>87</v>
      </c>
      <c r="I7185" s="16" t="s">
        <v>87</v>
      </c>
      <c r="J7185" s="19"/>
      <c r="L7185" s="16" t="str">
        <f>IFERROR(__xludf.DUMMYFUNCTION("""COMPUTED_VALUE"""),"")</f>
        <v/>
      </c>
      <c r="M7185" s="16" t="str">
        <f>IFERROR(__xludf.DUMMYFUNCTION("""COMPUTED_VALUE"""),"")</f>
        <v/>
      </c>
      <c r="U7185" s="16" t="s">
        <v>87</v>
      </c>
      <c r="V7185" s="16" t="str">
        <f>IFERROR(__xludf.DUMMYFUNCTION("""COMPUTED_VALUE"""),"")</f>
        <v/>
      </c>
      <c r="W7185" s="16" t="str">
        <f>IFERROR(__xludf.DUMMYFUNCTION("""COMPUTED_VALUE"""),"")</f>
        <v/>
      </c>
      <c r="X7185" s="16" t="str">
        <f>IFERROR(__xludf.DUMMYFUNCTION("""COMPUTED_VALUE"""),"")</f>
        <v/>
      </c>
      <c r="AC7185" s="16" t="str">
        <f>IFERROR(__xludf.DUMMYFUNCTION("""COMPUTED_VALUE"""),"")</f>
        <v/>
      </c>
    </row>
    <row r="7186">
      <c r="A7186" s="16" t="s">
        <v>87</v>
      </c>
      <c r="E7186" s="16" t="str">
        <f>IFERROR(__xludf.DUMMYFUNCTION("""COMPUTED_VALUE"""),"")</f>
        <v/>
      </c>
      <c r="G7186" s="18"/>
      <c r="H7186" s="16" t="s">
        <v>87</v>
      </c>
      <c r="I7186" s="16" t="s">
        <v>87</v>
      </c>
      <c r="J7186" s="19"/>
      <c r="L7186" s="16" t="str">
        <f>IFERROR(__xludf.DUMMYFUNCTION("""COMPUTED_VALUE"""),"")</f>
        <v/>
      </c>
      <c r="M7186" s="16" t="str">
        <f>IFERROR(__xludf.DUMMYFUNCTION("""COMPUTED_VALUE"""),"")</f>
        <v/>
      </c>
      <c r="U7186" s="16" t="s">
        <v>87</v>
      </c>
      <c r="V7186" s="16" t="str">
        <f>IFERROR(__xludf.DUMMYFUNCTION("""COMPUTED_VALUE"""),"")</f>
        <v/>
      </c>
      <c r="W7186" s="16" t="str">
        <f>IFERROR(__xludf.DUMMYFUNCTION("""COMPUTED_VALUE"""),"")</f>
        <v/>
      </c>
      <c r="X7186" s="16" t="str">
        <f>IFERROR(__xludf.DUMMYFUNCTION("""COMPUTED_VALUE"""),"")</f>
        <v/>
      </c>
      <c r="AC7186" s="16" t="str">
        <f>IFERROR(__xludf.DUMMYFUNCTION("""COMPUTED_VALUE"""),"")</f>
        <v/>
      </c>
    </row>
    <row r="7187">
      <c r="A7187" s="16" t="s">
        <v>87</v>
      </c>
      <c r="E7187" s="16" t="str">
        <f>IFERROR(__xludf.DUMMYFUNCTION("""COMPUTED_VALUE"""),"")</f>
        <v/>
      </c>
      <c r="G7187" s="18"/>
      <c r="H7187" s="16" t="s">
        <v>87</v>
      </c>
      <c r="I7187" s="16" t="s">
        <v>87</v>
      </c>
      <c r="J7187" s="19"/>
      <c r="L7187" s="16" t="str">
        <f>IFERROR(__xludf.DUMMYFUNCTION("""COMPUTED_VALUE"""),"")</f>
        <v/>
      </c>
      <c r="M7187" s="16" t="str">
        <f>IFERROR(__xludf.DUMMYFUNCTION("""COMPUTED_VALUE"""),"")</f>
        <v/>
      </c>
      <c r="U7187" s="16" t="s">
        <v>87</v>
      </c>
      <c r="V7187" s="16" t="str">
        <f>IFERROR(__xludf.DUMMYFUNCTION("""COMPUTED_VALUE"""),"")</f>
        <v/>
      </c>
      <c r="W7187" s="16" t="str">
        <f>IFERROR(__xludf.DUMMYFUNCTION("""COMPUTED_VALUE"""),"")</f>
        <v/>
      </c>
      <c r="X7187" s="16" t="str">
        <f>IFERROR(__xludf.DUMMYFUNCTION("""COMPUTED_VALUE"""),"")</f>
        <v/>
      </c>
      <c r="AC7187" s="16" t="str">
        <f>IFERROR(__xludf.DUMMYFUNCTION("""COMPUTED_VALUE"""),"")</f>
        <v/>
      </c>
    </row>
    <row r="7188">
      <c r="A7188" s="16" t="s">
        <v>87</v>
      </c>
      <c r="E7188" s="16" t="str">
        <f>IFERROR(__xludf.DUMMYFUNCTION("""COMPUTED_VALUE"""),"")</f>
        <v/>
      </c>
      <c r="G7188" s="18"/>
      <c r="H7188" s="16" t="s">
        <v>87</v>
      </c>
      <c r="I7188" s="16" t="s">
        <v>87</v>
      </c>
      <c r="J7188" s="19"/>
      <c r="L7188" s="16" t="str">
        <f>IFERROR(__xludf.DUMMYFUNCTION("""COMPUTED_VALUE"""),"")</f>
        <v/>
      </c>
      <c r="M7188" s="16" t="str">
        <f>IFERROR(__xludf.DUMMYFUNCTION("""COMPUTED_VALUE"""),"")</f>
        <v/>
      </c>
      <c r="U7188" s="16" t="s">
        <v>87</v>
      </c>
      <c r="V7188" s="16" t="str">
        <f>IFERROR(__xludf.DUMMYFUNCTION("""COMPUTED_VALUE"""),"")</f>
        <v/>
      </c>
      <c r="W7188" s="16" t="str">
        <f>IFERROR(__xludf.DUMMYFUNCTION("""COMPUTED_VALUE"""),"")</f>
        <v/>
      </c>
      <c r="X7188" s="16" t="str">
        <f>IFERROR(__xludf.DUMMYFUNCTION("""COMPUTED_VALUE"""),"")</f>
        <v/>
      </c>
      <c r="AC7188" s="16" t="str">
        <f>IFERROR(__xludf.DUMMYFUNCTION("""COMPUTED_VALUE"""),"")</f>
        <v/>
      </c>
    </row>
    <row r="7189">
      <c r="A7189" s="16" t="s">
        <v>87</v>
      </c>
      <c r="E7189" s="16" t="str">
        <f>IFERROR(__xludf.DUMMYFUNCTION("""COMPUTED_VALUE"""),"")</f>
        <v/>
      </c>
      <c r="G7189" s="18"/>
      <c r="H7189" s="16" t="s">
        <v>87</v>
      </c>
      <c r="I7189" s="16" t="s">
        <v>87</v>
      </c>
      <c r="J7189" s="19"/>
      <c r="L7189" s="16" t="str">
        <f>IFERROR(__xludf.DUMMYFUNCTION("""COMPUTED_VALUE"""),"")</f>
        <v/>
      </c>
      <c r="M7189" s="16" t="str">
        <f>IFERROR(__xludf.DUMMYFUNCTION("""COMPUTED_VALUE"""),"")</f>
        <v/>
      </c>
      <c r="U7189" s="16" t="s">
        <v>87</v>
      </c>
      <c r="V7189" s="16" t="str">
        <f>IFERROR(__xludf.DUMMYFUNCTION("""COMPUTED_VALUE"""),"")</f>
        <v/>
      </c>
      <c r="W7189" s="16" t="str">
        <f>IFERROR(__xludf.DUMMYFUNCTION("""COMPUTED_VALUE"""),"")</f>
        <v/>
      </c>
      <c r="X7189" s="16" t="str">
        <f>IFERROR(__xludf.DUMMYFUNCTION("""COMPUTED_VALUE"""),"")</f>
        <v/>
      </c>
      <c r="AC7189" s="16" t="str">
        <f>IFERROR(__xludf.DUMMYFUNCTION("""COMPUTED_VALUE"""),"")</f>
        <v/>
      </c>
    </row>
    <row r="7190">
      <c r="A7190" s="16" t="s">
        <v>87</v>
      </c>
      <c r="E7190" s="16" t="str">
        <f>IFERROR(__xludf.DUMMYFUNCTION("""COMPUTED_VALUE"""),"")</f>
        <v/>
      </c>
      <c r="G7190" s="18"/>
      <c r="H7190" s="16" t="s">
        <v>87</v>
      </c>
      <c r="I7190" s="16" t="s">
        <v>87</v>
      </c>
      <c r="J7190" s="19"/>
      <c r="L7190" s="16" t="str">
        <f>IFERROR(__xludf.DUMMYFUNCTION("""COMPUTED_VALUE"""),"")</f>
        <v/>
      </c>
      <c r="M7190" s="16" t="str">
        <f>IFERROR(__xludf.DUMMYFUNCTION("""COMPUTED_VALUE"""),"")</f>
        <v/>
      </c>
      <c r="U7190" s="16" t="s">
        <v>87</v>
      </c>
      <c r="V7190" s="16" t="str">
        <f>IFERROR(__xludf.DUMMYFUNCTION("""COMPUTED_VALUE"""),"")</f>
        <v/>
      </c>
      <c r="W7190" s="16" t="str">
        <f>IFERROR(__xludf.DUMMYFUNCTION("""COMPUTED_VALUE"""),"")</f>
        <v/>
      </c>
      <c r="X7190" s="16" t="str">
        <f>IFERROR(__xludf.DUMMYFUNCTION("""COMPUTED_VALUE"""),"")</f>
        <v/>
      </c>
      <c r="AC7190" s="16" t="str">
        <f>IFERROR(__xludf.DUMMYFUNCTION("""COMPUTED_VALUE"""),"")</f>
        <v/>
      </c>
    </row>
    <row r="7191">
      <c r="A7191" s="16" t="s">
        <v>87</v>
      </c>
      <c r="E7191" s="16" t="str">
        <f>IFERROR(__xludf.DUMMYFUNCTION("""COMPUTED_VALUE"""),"")</f>
        <v/>
      </c>
      <c r="G7191" s="18"/>
      <c r="H7191" s="16" t="s">
        <v>87</v>
      </c>
      <c r="I7191" s="16" t="s">
        <v>87</v>
      </c>
      <c r="J7191" s="19"/>
      <c r="L7191" s="16" t="str">
        <f>IFERROR(__xludf.DUMMYFUNCTION("""COMPUTED_VALUE"""),"")</f>
        <v/>
      </c>
      <c r="M7191" s="16" t="str">
        <f>IFERROR(__xludf.DUMMYFUNCTION("""COMPUTED_VALUE"""),"")</f>
        <v/>
      </c>
      <c r="U7191" s="16" t="s">
        <v>87</v>
      </c>
      <c r="V7191" s="16" t="str">
        <f>IFERROR(__xludf.DUMMYFUNCTION("""COMPUTED_VALUE"""),"")</f>
        <v/>
      </c>
      <c r="W7191" s="16" t="str">
        <f>IFERROR(__xludf.DUMMYFUNCTION("""COMPUTED_VALUE"""),"")</f>
        <v/>
      </c>
      <c r="X7191" s="16" t="str">
        <f>IFERROR(__xludf.DUMMYFUNCTION("""COMPUTED_VALUE"""),"")</f>
        <v/>
      </c>
      <c r="AC7191" s="16" t="str">
        <f>IFERROR(__xludf.DUMMYFUNCTION("""COMPUTED_VALUE"""),"")</f>
        <v/>
      </c>
    </row>
    <row r="7192">
      <c r="A7192" s="16" t="s">
        <v>87</v>
      </c>
      <c r="E7192" s="16" t="str">
        <f>IFERROR(__xludf.DUMMYFUNCTION("""COMPUTED_VALUE"""),"")</f>
        <v/>
      </c>
      <c r="G7192" s="18"/>
      <c r="H7192" s="16" t="s">
        <v>87</v>
      </c>
      <c r="I7192" s="16" t="s">
        <v>87</v>
      </c>
      <c r="J7192" s="19"/>
      <c r="L7192" s="16" t="str">
        <f>IFERROR(__xludf.DUMMYFUNCTION("""COMPUTED_VALUE"""),"")</f>
        <v/>
      </c>
      <c r="M7192" s="16" t="str">
        <f>IFERROR(__xludf.DUMMYFUNCTION("""COMPUTED_VALUE"""),"")</f>
        <v/>
      </c>
      <c r="U7192" s="16" t="s">
        <v>87</v>
      </c>
      <c r="V7192" s="16" t="str">
        <f>IFERROR(__xludf.DUMMYFUNCTION("""COMPUTED_VALUE"""),"")</f>
        <v/>
      </c>
      <c r="W7192" s="16" t="str">
        <f>IFERROR(__xludf.DUMMYFUNCTION("""COMPUTED_VALUE"""),"")</f>
        <v/>
      </c>
      <c r="X7192" s="16" t="str">
        <f>IFERROR(__xludf.DUMMYFUNCTION("""COMPUTED_VALUE"""),"")</f>
        <v/>
      </c>
      <c r="AC7192" s="16" t="str">
        <f>IFERROR(__xludf.DUMMYFUNCTION("""COMPUTED_VALUE"""),"")</f>
        <v/>
      </c>
    </row>
    <row r="7193">
      <c r="A7193" s="16" t="s">
        <v>87</v>
      </c>
      <c r="E7193" s="16" t="str">
        <f>IFERROR(__xludf.DUMMYFUNCTION("""COMPUTED_VALUE"""),"")</f>
        <v/>
      </c>
      <c r="G7193" s="18"/>
      <c r="H7193" s="16" t="s">
        <v>87</v>
      </c>
      <c r="I7193" s="16" t="s">
        <v>87</v>
      </c>
      <c r="J7193" s="19"/>
      <c r="L7193" s="16" t="str">
        <f>IFERROR(__xludf.DUMMYFUNCTION("""COMPUTED_VALUE"""),"")</f>
        <v/>
      </c>
      <c r="M7193" s="16" t="str">
        <f>IFERROR(__xludf.DUMMYFUNCTION("""COMPUTED_VALUE"""),"")</f>
        <v/>
      </c>
      <c r="U7193" s="16" t="s">
        <v>87</v>
      </c>
      <c r="V7193" s="16" t="str">
        <f>IFERROR(__xludf.DUMMYFUNCTION("""COMPUTED_VALUE"""),"")</f>
        <v/>
      </c>
      <c r="W7193" s="16" t="str">
        <f>IFERROR(__xludf.DUMMYFUNCTION("""COMPUTED_VALUE"""),"")</f>
        <v/>
      </c>
      <c r="X7193" s="16" t="str">
        <f>IFERROR(__xludf.DUMMYFUNCTION("""COMPUTED_VALUE"""),"")</f>
        <v/>
      </c>
      <c r="AC7193" s="16" t="str">
        <f>IFERROR(__xludf.DUMMYFUNCTION("""COMPUTED_VALUE"""),"")</f>
        <v/>
      </c>
    </row>
    <row r="7194">
      <c r="A7194" s="16" t="s">
        <v>87</v>
      </c>
      <c r="E7194" s="16" t="str">
        <f>IFERROR(__xludf.DUMMYFUNCTION("""COMPUTED_VALUE"""),"")</f>
        <v/>
      </c>
      <c r="G7194" s="18"/>
      <c r="H7194" s="16" t="s">
        <v>87</v>
      </c>
      <c r="I7194" s="16" t="s">
        <v>87</v>
      </c>
      <c r="J7194" s="19"/>
      <c r="L7194" s="16" t="str">
        <f>IFERROR(__xludf.DUMMYFUNCTION("""COMPUTED_VALUE"""),"")</f>
        <v/>
      </c>
      <c r="M7194" s="16" t="str">
        <f>IFERROR(__xludf.DUMMYFUNCTION("""COMPUTED_VALUE"""),"")</f>
        <v/>
      </c>
      <c r="U7194" s="16" t="s">
        <v>87</v>
      </c>
      <c r="V7194" s="16" t="str">
        <f>IFERROR(__xludf.DUMMYFUNCTION("""COMPUTED_VALUE"""),"")</f>
        <v/>
      </c>
      <c r="W7194" s="16" t="str">
        <f>IFERROR(__xludf.DUMMYFUNCTION("""COMPUTED_VALUE"""),"")</f>
        <v/>
      </c>
      <c r="X7194" s="16" t="str">
        <f>IFERROR(__xludf.DUMMYFUNCTION("""COMPUTED_VALUE"""),"")</f>
        <v/>
      </c>
      <c r="AC7194" s="16" t="str">
        <f>IFERROR(__xludf.DUMMYFUNCTION("""COMPUTED_VALUE"""),"")</f>
        <v/>
      </c>
    </row>
    <row r="7195">
      <c r="A7195" s="16" t="s">
        <v>87</v>
      </c>
      <c r="E7195" s="16" t="str">
        <f>IFERROR(__xludf.DUMMYFUNCTION("""COMPUTED_VALUE"""),"")</f>
        <v/>
      </c>
      <c r="G7195" s="18"/>
      <c r="H7195" s="16" t="s">
        <v>87</v>
      </c>
      <c r="I7195" s="16" t="s">
        <v>87</v>
      </c>
      <c r="J7195" s="19"/>
      <c r="L7195" s="16" t="str">
        <f>IFERROR(__xludf.DUMMYFUNCTION("""COMPUTED_VALUE"""),"")</f>
        <v/>
      </c>
      <c r="M7195" s="16" t="str">
        <f>IFERROR(__xludf.DUMMYFUNCTION("""COMPUTED_VALUE"""),"")</f>
        <v/>
      </c>
      <c r="U7195" s="16" t="s">
        <v>87</v>
      </c>
      <c r="V7195" s="16" t="str">
        <f>IFERROR(__xludf.DUMMYFUNCTION("""COMPUTED_VALUE"""),"")</f>
        <v/>
      </c>
      <c r="W7195" s="16" t="str">
        <f>IFERROR(__xludf.DUMMYFUNCTION("""COMPUTED_VALUE"""),"")</f>
        <v/>
      </c>
      <c r="X7195" s="16" t="str">
        <f>IFERROR(__xludf.DUMMYFUNCTION("""COMPUTED_VALUE"""),"")</f>
        <v/>
      </c>
      <c r="AC7195" s="16" t="str">
        <f>IFERROR(__xludf.DUMMYFUNCTION("""COMPUTED_VALUE"""),"")</f>
        <v/>
      </c>
    </row>
    <row r="7196">
      <c r="A7196" s="16" t="s">
        <v>87</v>
      </c>
      <c r="E7196" s="16" t="str">
        <f>IFERROR(__xludf.DUMMYFUNCTION("""COMPUTED_VALUE"""),"")</f>
        <v/>
      </c>
      <c r="G7196" s="18"/>
      <c r="H7196" s="16" t="s">
        <v>87</v>
      </c>
      <c r="I7196" s="16" t="s">
        <v>87</v>
      </c>
      <c r="J7196" s="19"/>
      <c r="L7196" s="16" t="str">
        <f>IFERROR(__xludf.DUMMYFUNCTION("""COMPUTED_VALUE"""),"")</f>
        <v/>
      </c>
      <c r="M7196" s="16" t="str">
        <f>IFERROR(__xludf.DUMMYFUNCTION("""COMPUTED_VALUE"""),"")</f>
        <v/>
      </c>
      <c r="U7196" s="16" t="s">
        <v>87</v>
      </c>
      <c r="V7196" s="16" t="str">
        <f>IFERROR(__xludf.DUMMYFUNCTION("""COMPUTED_VALUE"""),"")</f>
        <v/>
      </c>
      <c r="W7196" s="16" t="str">
        <f>IFERROR(__xludf.DUMMYFUNCTION("""COMPUTED_VALUE"""),"")</f>
        <v/>
      </c>
      <c r="X7196" s="16" t="str">
        <f>IFERROR(__xludf.DUMMYFUNCTION("""COMPUTED_VALUE"""),"")</f>
        <v/>
      </c>
      <c r="AC7196" s="16" t="str">
        <f>IFERROR(__xludf.DUMMYFUNCTION("""COMPUTED_VALUE"""),"")</f>
        <v/>
      </c>
    </row>
    <row r="7197">
      <c r="A7197" s="16" t="s">
        <v>87</v>
      </c>
      <c r="E7197" s="16" t="str">
        <f>IFERROR(__xludf.DUMMYFUNCTION("""COMPUTED_VALUE"""),"")</f>
        <v/>
      </c>
      <c r="G7197" s="18"/>
      <c r="H7197" s="16" t="s">
        <v>87</v>
      </c>
      <c r="I7197" s="16" t="s">
        <v>87</v>
      </c>
      <c r="J7197" s="19"/>
      <c r="L7197" s="16" t="str">
        <f>IFERROR(__xludf.DUMMYFUNCTION("""COMPUTED_VALUE"""),"")</f>
        <v/>
      </c>
      <c r="M7197" s="16" t="str">
        <f>IFERROR(__xludf.DUMMYFUNCTION("""COMPUTED_VALUE"""),"")</f>
        <v/>
      </c>
      <c r="U7197" s="16" t="s">
        <v>87</v>
      </c>
      <c r="V7197" s="16" t="str">
        <f>IFERROR(__xludf.DUMMYFUNCTION("""COMPUTED_VALUE"""),"")</f>
        <v/>
      </c>
      <c r="W7197" s="16" t="str">
        <f>IFERROR(__xludf.DUMMYFUNCTION("""COMPUTED_VALUE"""),"")</f>
        <v/>
      </c>
      <c r="X7197" s="16" t="str">
        <f>IFERROR(__xludf.DUMMYFUNCTION("""COMPUTED_VALUE"""),"")</f>
        <v/>
      </c>
      <c r="AC7197" s="16" t="str">
        <f>IFERROR(__xludf.DUMMYFUNCTION("""COMPUTED_VALUE"""),"")</f>
        <v/>
      </c>
    </row>
    <row r="7198">
      <c r="A7198" s="16" t="s">
        <v>87</v>
      </c>
      <c r="E7198" s="16" t="str">
        <f>IFERROR(__xludf.DUMMYFUNCTION("""COMPUTED_VALUE"""),"")</f>
        <v/>
      </c>
      <c r="G7198" s="18"/>
      <c r="H7198" s="16" t="s">
        <v>87</v>
      </c>
      <c r="I7198" s="16" t="s">
        <v>87</v>
      </c>
      <c r="J7198" s="19"/>
      <c r="L7198" s="16" t="str">
        <f>IFERROR(__xludf.DUMMYFUNCTION("""COMPUTED_VALUE"""),"")</f>
        <v/>
      </c>
      <c r="M7198" s="16" t="str">
        <f>IFERROR(__xludf.DUMMYFUNCTION("""COMPUTED_VALUE"""),"")</f>
        <v/>
      </c>
      <c r="U7198" s="16" t="s">
        <v>87</v>
      </c>
      <c r="V7198" s="16" t="str">
        <f>IFERROR(__xludf.DUMMYFUNCTION("""COMPUTED_VALUE"""),"")</f>
        <v/>
      </c>
      <c r="W7198" s="16" t="str">
        <f>IFERROR(__xludf.DUMMYFUNCTION("""COMPUTED_VALUE"""),"")</f>
        <v/>
      </c>
      <c r="X7198" s="16" t="str">
        <f>IFERROR(__xludf.DUMMYFUNCTION("""COMPUTED_VALUE"""),"")</f>
        <v/>
      </c>
      <c r="AC7198" s="16" t="str">
        <f>IFERROR(__xludf.DUMMYFUNCTION("""COMPUTED_VALUE"""),"")</f>
        <v/>
      </c>
    </row>
    <row r="7199">
      <c r="A7199" s="16" t="s">
        <v>87</v>
      </c>
      <c r="E7199" s="16" t="str">
        <f>IFERROR(__xludf.DUMMYFUNCTION("""COMPUTED_VALUE"""),"")</f>
        <v/>
      </c>
      <c r="G7199" s="18"/>
      <c r="H7199" s="16" t="s">
        <v>87</v>
      </c>
      <c r="I7199" s="16" t="s">
        <v>87</v>
      </c>
      <c r="J7199" s="19"/>
      <c r="L7199" s="16" t="str">
        <f>IFERROR(__xludf.DUMMYFUNCTION("""COMPUTED_VALUE"""),"")</f>
        <v/>
      </c>
      <c r="M7199" s="16" t="str">
        <f>IFERROR(__xludf.DUMMYFUNCTION("""COMPUTED_VALUE"""),"")</f>
        <v/>
      </c>
      <c r="U7199" s="16" t="s">
        <v>87</v>
      </c>
      <c r="V7199" s="16" t="str">
        <f>IFERROR(__xludf.DUMMYFUNCTION("""COMPUTED_VALUE"""),"")</f>
        <v/>
      </c>
      <c r="W7199" s="16" t="str">
        <f>IFERROR(__xludf.DUMMYFUNCTION("""COMPUTED_VALUE"""),"")</f>
        <v/>
      </c>
      <c r="X7199" s="16" t="str">
        <f>IFERROR(__xludf.DUMMYFUNCTION("""COMPUTED_VALUE"""),"")</f>
        <v/>
      </c>
      <c r="AC7199" s="16" t="str">
        <f>IFERROR(__xludf.DUMMYFUNCTION("""COMPUTED_VALUE"""),"")</f>
        <v/>
      </c>
    </row>
    <row r="7200">
      <c r="A7200" s="16" t="s">
        <v>87</v>
      </c>
      <c r="E7200" s="16" t="str">
        <f>IFERROR(__xludf.DUMMYFUNCTION("""COMPUTED_VALUE"""),"")</f>
        <v/>
      </c>
      <c r="G7200" s="18"/>
      <c r="H7200" s="16" t="s">
        <v>87</v>
      </c>
      <c r="I7200" s="16" t="s">
        <v>87</v>
      </c>
      <c r="J7200" s="19"/>
      <c r="L7200" s="16" t="str">
        <f>IFERROR(__xludf.DUMMYFUNCTION("""COMPUTED_VALUE"""),"")</f>
        <v/>
      </c>
      <c r="M7200" s="16" t="str">
        <f>IFERROR(__xludf.DUMMYFUNCTION("""COMPUTED_VALUE"""),"")</f>
        <v/>
      </c>
      <c r="U7200" s="16" t="s">
        <v>87</v>
      </c>
      <c r="V7200" s="16" t="str">
        <f>IFERROR(__xludf.DUMMYFUNCTION("""COMPUTED_VALUE"""),"")</f>
        <v/>
      </c>
      <c r="W7200" s="16" t="str">
        <f>IFERROR(__xludf.DUMMYFUNCTION("""COMPUTED_VALUE"""),"")</f>
        <v/>
      </c>
      <c r="X7200" s="16" t="str">
        <f>IFERROR(__xludf.DUMMYFUNCTION("""COMPUTED_VALUE"""),"")</f>
        <v/>
      </c>
      <c r="AC7200" s="16" t="str">
        <f>IFERROR(__xludf.DUMMYFUNCTION("""COMPUTED_VALUE"""),"")</f>
        <v/>
      </c>
    </row>
    <row r="7201">
      <c r="A7201" s="16" t="s">
        <v>87</v>
      </c>
      <c r="E7201" s="16" t="str">
        <f>IFERROR(__xludf.DUMMYFUNCTION("""COMPUTED_VALUE"""),"")</f>
        <v/>
      </c>
      <c r="G7201" s="18"/>
      <c r="H7201" s="16" t="s">
        <v>87</v>
      </c>
      <c r="I7201" s="16" t="s">
        <v>87</v>
      </c>
      <c r="J7201" s="19"/>
      <c r="L7201" s="16" t="str">
        <f>IFERROR(__xludf.DUMMYFUNCTION("""COMPUTED_VALUE"""),"")</f>
        <v/>
      </c>
      <c r="M7201" s="16" t="str">
        <f>IFERROR(__xludf.DUMMYFUNCTION("""COMPUTED_VALUE"""),"")</f>
        <v/>
      </c>
      <c r="U7201" s="16" t="s">
        <v>87</v>
      </c>
      <c r="V7201" s="16" t="str">
        <f>IFERROR(__xludf.DUMMYFUNCTION("""COMPUTED_VALUE"""),"")</f>
        <v/>
      </c>
      <c r="W7201" s="16" t="str">
        <f>IFERROR(__xludf.DUMMYFUNCTION("""COMPUTED_VALUE"""),"")</f>
        <v/>
      </c>
      <c r="X7201" s="16" t="str">
        <f>IFERROR(__xludf.DUMMYFUNCTION("""COMPUTED_VALUE"""),"")</f>
        <v/>
      </c>
      <c r="AC7201" s="16" t="str">
        <f>IFERROR(__xludf.DUMMYFUNCTION("""COMPUTED_VALUE"""),"")</f>
        <v/>
      </c>
    </row>
    <row r="7202">
      <c r="A7202" s="16" t="s">
        <v>87</v>
      </c>
      <c r="E7202" s="16" t="str">
        <f>IFERROR(__xludf.DUMMYFUNCTION("""COMPUTED_VALUE"""),"")</f>
        <v/>
      </c>
      <c r="G7202" s="18"/>
      <c r="H7202" s="16" t="s">
        <v>87</v>
      </c>
      <c r="I7202" s="16" t="s">
        <v>87</v>
      </c>
      <c r="J7202" s="19"/>
      <c r="L7202" s="16" t="str">
        <f>IFERROR(__xludf.DUMMYFUNCTION("""COMPUTED_VALUE"""),"")</f>
        <v/>
      </c>
      <c r="M7202" s="16" t="str">
        <f>IFERROR(__xludf.DUMMYFUNCTION("""COMPUTED_VALUE"""),"")</f>
        <v/>
      </c>
      <c r="U7202" s="16" t="s">
        <v>87</v>
      </c>
      <c r="V7202" s="16" t="str">
        <f>IFERROR(__xludf.DUMMYFUNCTION("""COMPUTED_VALUE"""),"")</f>
        <v/>
      </c>
      <c r="W7202" s="16" t="str">
        <f>IFERROR(__xludf.DUMMYFUNCTION("""COMPUTED_VALUE"""),"")</f>
        <v/>
      </c>
      <c r="X7202" s="16" t="str">
        <f>IFERROR(__xludf.DUMMYFUNCTION("""COMPUTED_VALUE"""),"")</f>
        <v/>
      </c>
      <c r="AC7202" s="16" t="str">
        <f>IFERROR(__xludf.DUMMYFUNCTION("""COMPUTED_VALUE"""),"")</f>
        <v/>
      </c>
    </row>
    <row r="7203">
      <c r="A7203" s="16" t="s">
        <v>87</v>
      </c>
      <c r="E7203" s="16" t="str">
        <f>IFERROR(__xludf.DUMMYFUNCTION("""COMPUTED_VALUE"""),"")</f>
        <v/>
      </c>
      <c r="G7203" s="18"/>
      <c r="H7203" s="16" t="s">
        <v>87</v>
      </c>
      <c r="I7203" s="16" t="s">
        <v>87</v>
      </c>
      <c r="J7203" s="19"/>
      <c r="L7203" s="16" t="str">
        <f>IFERROR(__xludf.DUMMYFUNCTION("""COMPUTED_VALUE"""),"")</f>
        <v/>
      </c>
      <c r="M7203" s="16" t="str">
        <f>IFERROR(__xludf.DUMMYFUNCTION("""COMPUTED_VALUE"""),"")</f>
        <v/>
      </c>
      <c r="U7203" s="16" t="s">
        <v>87</v>
      </c>
      <c r="V7203" s="16" t="str">
        <f>IFERROR(__xludf.DUMMYFUNCTION("""COMPUTED_VALUE"""),"")</f>
        <v/>
      </c>
      <c r="W7203" s="16" t="str">
        <f>IFERROR(__xludf.DUMMYFUNCTION("""COMPUTED_VALUE"""),"")</f>
        <v/>
      </c>
      <c r="X7203" s="16" t="str">
        <f>IFERROR(__xludf.DUMMYFUNCTION("""COMPUTED_VALUE"""),"")</f>
        <v/>
      </c>
      <c r="AC7203" s="16" t="str">
        <f>IFERROR(__xludf.DUMMYFUNCTION("""COMPUTED_VALUE"""),"")</f>
        <v/>
      </c>
    </row>
    <row r="7204">
      <c r="A7204" s="16" t="s">
        <v>87</v>
      </c>
      <c r="E7204" s="16" t="str">
        <f>IFERROR(__xludf.DUMMYFUNCTION("""COMPUTED_VALUE"""),"")</f>
        <v/>
      </c>
      <c r="G7204" s="18"/>
      <c r="H7204" s="16" t="s">
        <v>87</v>
      </c>
      <c r="I7204" s="16" t="s">
        <v>87</v>
      </c>
      <c r="J7204" s="19"/>
      <c r="L7204" s="16" t="str">
        <f>IFERROR(__xludf.DUMMYFUNCTION("""COMPUTED_VALUE"""),"")</f>
        <v/>
      </c>
      <c r="M7204" s="16" t="str">
        <f>IFERROR(__xludf.DUMMYFUNCTION("""COMPUTED_VALUE"""),"")</f>
        <v/>
      </c>
      <c r="U7204" s="16" t="s">
        <v>87</v>
      </c>
      <c r="V7204" s="16" t="str">
        <f>IFERROR(__xludf.DUMMYFUNCTION("""COMPUTED_VALUE"""),"")</f>
        <v/>
      </c>
      <c r="W7204" s="16" t="str">
        <f>IFERROR(__xludf.DUMMYFUNCTION("""COMPUTED_VALUE"""),"")</f>
        <v/>
      </c>
      <c r="X7204" s="16" t="str">
        <f>IFERROR(__xludf.DUMMYFUNCTION("""COMPUTED_VALUE"""),"")</f>
        <v/>
      </c>
      <c r="AC7204" s="16" t="str">
        <f>IFERROR(__xludf.DUMMYFUNCTION("""COMPUTED_VALUE"""),"")</f>
        <v/>
      </c>
    </row>
    <row r="7205">
      <c r="A7205" s="16" t="s">
        <v>87</v>
      </c>
      <c r="E7205" s="16" t="str">
        <f>IFERROR(__xludf.DUMMYFUNCTION("""COMPUTED_VALUE"""),"")</f>
        <v/>
      </c>
      <c r="G7205" s="18"/>
      <c r="H7205" s="16" t="s">
        <v>87</v>
      </c>
      <c r="I7205" s="16" t="s">
        <v>87</v>
      </c>
      <c r="J7205" s="19"/>
      <c r="L7205" s="16" t="str">
        <f>IFERROR(__xludf.DUMMYFUNCTION("""COMPUTED_VALUE"""),"")</f>
        <v/>
      </c>
      <c r="M7205" s="16" t="str">
        <f>IFERROR(__xludf.DUMMYFUNCTION("""COMPUTED_VALUE"""),"")</f>
        <v/>
      </c>
      <c r="U7205" s="16" t="s">
        <v>87</v>
      </c>
      <c r="V7205" s="16" t="str">
        <f>IFERROR(__xludf.DUMMYFUNCTION("""COMPUTED_VALUE"""),"")</f>
        <v/>
      </c>
      <c r="W7205" s="16" t="str">
        <f>IFERROR(__xludf.DUMMYFUNCTION("""COMPUTED_VALUE"""),"")</f>
        <v/>
      </c>
      <c r="X7205" s="16" t="str">
        <f>IFERROR(__xludf.DUMMYFUNCTION("""COMPUTED_VALUE"""),"")</f>
        <v/>
      </c>
      <c r="AC7205" s="16" t="str">
        <f>IFERROR(__xludf.DUMMYFUNCTION("""COMPUTED_VALUE"""),"")</f>
        <v/>
      </c>
    </row>
    <row r="7206">
      <c r="A7206" s="16" t="s">
        <v>87</v>
      </c>
      <c r="E7206" s="16" t="str">
        <f>IFERROR(__xludf.DUMMYFUNCTION("""COMPUTED_VALUE"""),"")</f>
        <v/>
      </c>
      <c r="G7206" s="18"/>
      <c r="H7206" s="16" t="s">
        <v>87</v>
      </c>
      <c r="I7206" s="16" t="s">
        <v>87</v>
      </c>
      <c r="J7206" s="19"/>
      <c r="L7206" s="16" t="str">
        <f>IFERROR(__xludf.DUMMYFUNCTION("""COMPUTED_VALUE"""),"")</f>
        <v/>
      </c>
      <c r="M7206" s="16" t="str">
        <f>IFERROR(__xludf.DUMMYFUNCTION("""COMPUTED_VALUE"""),"")</f>
        <v/>
      </c>
      <c r="U7206" s="16" t="s">
        <v>87</v>
      </c>
      <c r="V7206" s="16" t="str">
        <f>IFERROR(__xludf.DUMMYFUNCTION("""COMPUTED_VALUE"""),"")</f>
        <v/>
      </c>
      <c r="W7206" s="16" t="str">
        <f>IFERROR(__xludf.DUMMYFUNCTION("""COMPUTED_VALUE"""),"")</f>
        <v/>
      </c>
      <c r="X7206" s="16" t="str">
        <f>IFERROR(__xludf.DUMMYFUNCTION("""COMPUTED_VALUE"""),"")</f>
        <v/>
      </c>
      <c r="AC7206" s="16" t="str">
        <f>IFERROR(__xludf.DUMMYFUNCTION("""COMPUTED_VALUE"""),"")</f>
        <v/>
      </c>
    </row>
    <row r="7207">
      <c r="A7207" s="16" t="s">
        <v>87</v>
      </c>
      <c r="E7207" s="16" t="str">
        <f>IFERROR(__xludf.DUMMYFUNCTION("""COMPUTED_VALUE"""),"")</f>
        <v/>
      </c>
      <c r="G7207" s="18"/>
      <c r="H7207" s="16" t="s">
        <v>87</v>
      </c>
      <c r="I7207" s="16" t="s">
        <v>87</v>
      </c>
      <c r="J7207" s="19"/>
      <c r="L7207" s="16" t="str">
        <f>IFERROR(__xludf.DUMMYFUNCTION("""COMPUTED_VALUE"""),"")</f>
        <v/>
      </c>
      <c r="M7207" s="16" t="str">
        <f>IFERROR(__xludf.DUMMYFUNCTION("""COMPUTED_VALUE"""),"")</f>
        <v/>
      </c>
      <c r="U7207" s="16" t="s">
        <v>87</v>
      </c>
      <c r="V7207" s="16" t="str">
        <f>IFERROR(__xludf.DUMMYFUNCTION("""COMPUTED_VALUE"""),"")</f>
        <v/>
      </c>
      <c r="W7207" s="16" t="str">
        <f>IFERROR(__xludf.DUMMYFUNCTION("""COMPUTED_VALUE"""),"")</f>
        <v/>
      </c>
      <c r="X7207" s="16" t="str">
        <f>IFERROR(__xludf.DUMMYFUNCTION("""COMPUTED_VALUE"""),"")</f>
        <v/>
      </c>
      <c r="AC7207" s="16" t="str">
        <f>IFERROR(__xludf.DUMMYFUNCTION("""COMPUTED_VALUE"""),"")</f>
        <v/>
      </c>
    </row>
    <row r="7208">
      <c r="A7208" s="16" t="s">
        <v>87</v>
      </c>
      <c r="E7208" s="16" t="str">
        <f>IFERROR(__xludf.DUMMYFUNCTION("""COMPUTED_VALUE"""),"")</f>
        <v/>
      </c>
      <c r="G7208" s="18"/>
      <c r="H7208" s="16" t="s">
        <v>87</v>
      </c>
      <c r="I7208" s="16" t="s">
        <v>87</v>
      </c>
      <c r="J7208" s="19"/>
      <c r="L7208" s="16" t="str">
        <f>IFERROR(__xludf.DUMMYFUNCTION("""COMPUTED_VALUE"""),"")</f>
        <v/>
      </c>
      <c r="M7208" s="16" t="str">
        <f>IFERROR(__xludf.DUMMYFUNCTION("""COMPUTED_VALUE"""),"")</f>
        <v/>
      </c>
      <c r="U7208" s="16" t="s">
        <v>87</v>
      </c>
      <c r="V7208" s="16" t="str">
        <f>IFERROR(__xludf.DUMMYFUNCTION("""COMPUTED_VALUE"""),"")</f>
        <v/>
      </c>
      <c r="W7208" s="16" t="str">
        <f>IFERROR(__xludf.DUMMYFUNCTION("""COMPUTED_VALUE"""),"")</f>
        <v/>
      </c>
      <c r="X7208" s="16" t="str">
        <f>IFERROR(__xludf.DUMMYFUNCTION("""COMPUTED_VALUE"""),"")</f>
        <v/>
      </c>
      <c r="AC7208" s="16" t="str">
        <f>IFERROR(__xludf.DUMMYFUNCTION("""COMPUTED_VALUE"""),"")</f>
        <v/>
      </c>
    </row>
    <row r="7209">
      <c r="A7209" s="16" t="s">
        <v>87</v>
      </c>
      <c r="E7209" s="16" t="str">
        <f>IFERROR(__xludf.DUMMYFUNCTION("""COMPUTED_VALUE"""),"")</f>
        <v/>
      </c>
      <c r="G7209" s="18"/>
      <c r="H7209" s="16" t="s">
        <v>87</v>
      </c>
      <c r="I7209" s="16" t="s">
        <v>87</v>
      </c>
      <c r="J7209" s="19"/>
      <c r="L7209" s="16" t="str">
        <f>IFERROR(__xludf.DUMMYFUNCTION("""COMPUTED_VALUE"""),"")</f>
        <v/>
      </c>
      <c r="M7209" s="16" t="str">
        <f>IFERROR(__xludf.DUMMYFUNCTION("""COMPUTED_VALUE"""),"")</f>
        <v/>
      </c>
      <c r="U7209" s="16" t="s">
        <v>87</v>
      </c>
      <c r="V7209" s="16" t="str">
        <f>IFERROR(__xludf.DUMMYFUNCTION("""COMPUTED_VALUE"""),"")</f>
        <v/>
      </c>
      <c r="W7209" s="16" t="str">
        <f>IFERROR(__xludf.DUMMYFUNCTION("""COMPUTED_VALUE"""),"")</f>
        <v/>
      </c>
      <c r="X7209" s="16" t="str">
        <f>IFERROR(__xludf.DUMMYFUNCTION("""COMPUTED_VALUE"""),"")</f>
        <v/>
      </c>
      <c r="AC7209" s="16" t="str">
        <f>IFERROR(__xludf.DUMMYFUNCTION("""COMPUTED_VALUE"""),"")</f>
        <v/>
      </c>
    </row>
    <row r="7210">
      <c r="A7210" s="16" t="s">
        <v>87</v>
      </c>
      <c r="E7210" s="16" t="str">
        <f>IFERROR(__xludf.DUMMYFUNCTION("""COMPUTED_VALUE"""),"")</f>
        <v/>
      </c>
      <c r="G7210" s="18"/>
      <c r="H7210" s="16" t="s">
        <v>87</v>
      </c>
      <c r="I7210" s="16" t="s">
        <v>87</v>
      </c>
      <c r="J7210" s="19"/>
      <c r="L7210" s="16" t="str">
        <f>IFERROR(__xludf.DUMMYFUNCTION("""COMPUTED_VALUE"""),"")</f>
        <v/>
      </c>
      <c r="M7210" s="16" t="str">
        <f>IFERROR(__xludf.DUMMYFUNCTION("""COMPUTED_VALUE"""),"")</f>
        <v/>
      </c>
      <c r="U7210" s="16" t="s">
        <v>87</v>
      </c>
      <c r="V7210" s="16" t="str">
        <f>IFERROR(__xludf.DUMMYFUNCTION("""COMPUTED_VALUE"""),"")</f>
        <v/>
      </c>
      <c r="W7210" s="16" t="str">
        <f>IFERROR(__xludf.DUMMYFUNCTION("""COMPUTED_VALUE"""),"")</f>
        <v/>
      </c>
      <c r="X7210" s="16" t="str">
        <f>IFERROR(__xludf.DUMMYFUNCTION("""COMPUTED_VALUE"""),"")</f>
        <v/>
      </c>
      <c r="AC7210" s="16" t="str">
        <f>IFERROR(__xludf.DUMMYFUNCTION("""COMPUTED_VALUE"""),"")</f>
        <v/>
      </c>
    </row>
    <row r="7211">
      <c r="A7211" s="16" t="s">
        <v>87</v>
      </c>
      <c r="E7211" s="16" t="str">
        <f>IFERROR(__xludf.DUMMYFUNCTION("""COMPUTED_VALUE"""),"")</f>
        <v/>
      </c>
      <c r="G7211" s="18"/>
      <c r="H7211" s="16" t="s">
        <v>87</v>
      </c>
      <c r="I7211" s="16" t="s">
        <v>87</v>
      </c>
      <c r="J7211" s="19"/>
      <c r="L7211" s="16" t="str">
        <f>IFERROR(__xludf.DUMMYFUNCTION("""COMPUTED_VALUE"""),"")</f>
        <v/>
      </c>
      <c r="M7211" s="16" t="str">
        <f>IFERROR(__xludf.DUMMYFUNCTION("""COMPUTED_VALUE"""),"")</f>
        <v/>
      </c>
      <c r="U7211" s="16" t="s">
        <v>87</v>
      </c>
      <c r="V7211" s="16" t="str">
        <f>IFERROR(__xludf.DUMMYFUNCTION("""COMPUTED_VALUE"""),"")</f>
        <v/>
      </c>
      <c r="W7211" s="16" t="str">
        <f>IFERROR(__xludf.DUMMYFUNCTION("""COMPUTED_VALUE"""),"")</f>
        <v/>
      </c>
      <c r="X7211" s="16" t="str">
        <f>IFERROR(__xludf.DUMMYFUNCTION("""COMPUTED_VALUE"""),"")</f>
        <v/>
      </c>
      <c r="AC7211" s="16" t="str">
        <f>IFERROR(__xludf.DUMMYFUNCTION("""COMPUTED_VALUE"""),"")</f>
        <v/>
      </c>
    </row>
    <row r="7212">
      <c r="A7212" s="16" t="s">
        <v>87</v>
      </c>
      <c r="E7212" s="16" t="str">
        <f>IFERROR(__xludf.DUMMYFUNCTION("""COMPUTED_VALUE"""),"")</f>
        <v/>
      </c>
      <c r="G7212" s="18"/>
      <c r="H7212" s="16" t="s">
        <v>87</v>
      </c>
      <c r="I7212" s="16" t="s">
        <v>87</v>
      </c>
      <c r="J7212" s="19"/>
      <c r="L7212" s="16" t="str">
        <f>IFERROR(__xludf.DUMMYFUNCTION("""COMPUTED_VALUE"""),"")</f>
        <v/>
      </c>
      <c r="M7212" s="16" t="str">
        <f>IFERROR(__xludf.DUMMYFUNCTION("""COMPUTED_VALUE"""),"")</f>
        <v/>
      </c>
      <c r="U7212" s="16" t="s">
        <v>87</v>
      </c>
      <c r="V7212" s="16" t="str">
        <f>IFERROR(__xludf.DUMMYFUNCTION("""COMPUTED_VALUE"""),"")</f>
        <v/>
      </c>
      <c r="W7212" s="16" t="str">
        <f>IFERROR(__xludf.DUMMYFUNCTION("""COMPUTED_VALUE"""),"")</f>
        <v/>
      </c>
      <c r="X7212" s="16" t="str">
        <f>IFERROR(__xludf.DUMMYFUNCTION("""COMPUTED_VALUE"""),"")</f>
        <v/>
      </c>
      <c r="AC7212" s="16" t="str">
        <f>IFERROR(__xludf.DUMMYFUNCTION("""COMPUTED_VALUE"""),"")</f>
        <v/>
      </c>
    </row>
    <row r="7213">
      <c r="A7213" s="16" t="s">
        <v>87</v>
      </c>
      <c r="E7213" s="16" t="str">
        <f>IFERROR(__xludf.DUMMYFUNCTION("""COMPUTED_VALUE"""),"")</f>
        <v/>
      </c>
      <c r="G7213" s="18"/>
      <c r="H7213" s="16" t="s">
        <v>87</v>
      </c>
      <c r="I7213" s="16" t="s">
        <v>87</v>
      </c>
      <c r="J7213" s="19"/>
      <c r="L7213" s="16" t="str">
        <f>IFERROR(__xludf.DUMMYFUNCTION("""COMPUTED_VALUE"""),"")</f>
        <v/>
      </c>
      <c r="M7213" s="16" t="str">
        <f>IFERROR(__xludf.DUMMYFUNCTION("""COMPUTED_VALUE"""),"")</f>
        <v/>
      </c>
      <c r="U7213" s="16" t="s">
        <v>87</v>
      </c>
      <c r="V7213" s="16" t="str">
        <f>IFERROR(__xludf.DUMMYFUNCTION("""COMPUTED_VALUE"""),"")</f>
        <v/>
      </c>
      <c r="W7213" s="16" t="str">
        <f>IFERROR(__xludf.DUMMYFUNCTION("""COMPUTED_VALUE"""),"")</f>
        <v/>
      </c>
      <c r="X7213" s="16" t="str">
        <f>IFERROR(__xludf.DUMMYFUNCTION("""COMPUTED_VALUE"""),"")</f>
        <v/>
      </c>
      <c r="AC7213" s="16" t="str">
        <f>IFERROR(__xludf.DUMMYFUNCTION("""COMPUTED_VALUE"""),"")</f>
        <v/>
      </c>
    </row>
    <row r="7214">
      <c r="A7214" s="16" t="s">
        <v>87</v>
      </c>
      <c r="E7214" s="16" t="str">
        <f>IFERROR(__xludf.DUMMYFUNCTION("""COMPUTED_VALUE"""),"")</f>
        <v/>
      </c>
      <c r="G7214" s="18"/>
      <c r="H7214" s="16" t="s">
        <v>87</v>
      </c>
      <c r="I7214" s="16" t="s">
        <v>87</v>
      </c>
      <c r="J7214" s="19"/>
      <c r="L7214" s="16" t="str">
        <f>IFERROR(__xludf.DUMMYFUNCTION("""COMPUTED_VALUE"""),"")</f>
        <v/>
      </c>
      <c r="M7214" s="16" t="str">
        <f>IFERROR(__xludf.DUMMYFUNCTION("""COMPUTED_VALUE"""),"")</f>
        <v/>
      </c>
      <c r="U7214" s="16" t="s">
        <v>87</v>
      </c>
      <c r="V7214" s="16" t="str">
        <f>IFERROR(__xludf.DUMMYFUNCTION("""COMPUTED_VALUE"""),"")</f>
        <v/>
      </c>
      <c r="W7214" s="16" t="str">
        <f>IFERROR(__xludf.DUMMYFUNCTION("""COMPUTED_VALUE"""),"")</f>
        <v/>
      </c>
      <c r="X7214" s="16" t="str">
        <f>IFERROR(__xludf.DUMMYFUNCTION("""COMPUTED_VALUE"""),"")</f>
        <v/>
      </c>
      <c r="AC7214" s="16" t="str">
        <f>IFERROR(__xludf.DUMMYFUNCTION("""COMPUTED_VALUE"""),"")</f>
        <v/>
      </c>
    </row>
    <row r="7215">
      <c r="A7215" s="16" t="s">
        <v>87</v>
      </c>
      <c r="E7215" s="16" t="str">
        <f>IFERROR(__xludf.DUMMYFUNCTION("""COMPUTED_VALUE"""),"")</f>
        <v/>
      </c>
      <c r="G7215" s="18"/>
      <c r="H7215" s="16" t="s">
        <v>87</v>
      </c>
      <c r="I7215" s="16" t="s">
        <v>87</v>
      </c>
      <c r="J7215" s="19"/>
      <c r="L7215" s="16" t="str">
        <f>IFERROR(__xludf.DUMMYFUNCTION("""COMPUTED_VALUE"""),"")</f>
        <v/>
      </c>
      <c r="M7215" s="16" t="str">
        <f>IFERROR(__xludf.DUMMYFUNCTION("""COMPUTED_VALUE"""),"")</f>
        <v/>
      </c>
      <c r="U7215" s="16" t="s">
        <v>87</v>
      </c>
      <c r="V7215" s="16" t="str">
        <f>IFERROR(__xludf.DUMMYFUNCTION("""COMPUTED_VALUE"""),"")</f>
        <v/>
      </c>
      <c r="W7215" s="16" t="str">
        <f>IFERROR(__xludf.DUMMYFUNCTION("""COMPUTED_VALUE"""),"")</f>
        <v/>
      </c>
      <c r="X7215" s="16" t="str">
        <f>IFERROR(__xludf.DUMMYFUNCTION("""COMPUTED_VALUE"""),"")</f>
        <v/>
      </c>
      <c r="AC7215" s="16" t="str">
        <f>IFERROR(__xludf.DUMMYFUNCTION("""COMPUTED_VALUE"""),"")</f>
        <v/>
      </c>
    </row>
    <row r="7216">
      <c r="A7216" s="16" t="s">
        <v>87</v>
      </c>
      <c r="E7216" s="16" t="str">
        <f>IFERROR(__xludf.DUMMYFUNCTION("""COMPUTED_VALUE"""),"")</f>
        <v/>
      </c>
      <c r="G7216" s="18"/>
      <c r="H7216" s="16" t="s">
        <v>87</v>
      </c>
      <c r="I7216" s="16" t="s">
        <v>87</v>
      </c>
      <c r="J7216" s="19"/>
      <c r="L7216" s="16" t="str">
        <f>IFERROR(__xludf.DUMMYFUNCTION("""COMPUTED_VALUE"""),"")</f>
        <v/>
      </c>
      <c r="M7216" s="16" t="str">
        <f>IFERROR(__xludf.DUMMYFUNCTION("""COMPUTED_VALUE"""),"")</f>
        <v/>
      </c>
      <c r="U7216" s="16" t="s">
        <v>87</v>
      </c>
      <c r="V7216" s="16" t="str">
        <f>IFERROR(__xludf.DUMMYFUNCTION("""COMPUTED_VALUE"""),"")</f>
        <v/>
      </c>
      <c r="W7216" s="16" t="str">
        <f>IFERROR(__xludf.DUMMYFUNCTION("""COMPUTED_VALUE"""),"")</f>
        <v/>
      </c>
      <c r="X7216" s="16" t="str">
        <f>IFERROR(__xludf.DUMMYFUNCTION("""COMPUTED_VALUE"""),"")</f>
        <v/>
      </c>
      <c r="AC7216" s="16" t="str">
        <f>IFERROR(__xludf.DUMMYFUNCTION("""COMPUTED_VALUE"""),"")</f>
        <v/>
      </c>
    </row>
    <row r="7217">
      <c r="A7217" s="16" t="s">
        <v>87</v>
      </c>
      <c r="E7217" s="16" t="str">
        <f>IFERROR(__xludf.DUMMYFUNCTION("""COMPUTED_VALUE"""),"")</f>
        <v/>
      </c>
      <c r="G7217" s="18"/>
      <c r="H7217" s="16" t="s">
        <v>87</v>
      </c>
      <c r="I7217" s="16" t="s">
        <v>87</v>
      </c>
      <c r="J7217" s="19"/>
      <c r="L7217" s="16" t="str">
        <f>IFERROR(__xludf.DUMMYFUNCTION("""COMPUTED_VALUE"""),"")</f>
        <v/>
      </c>
      <c r="M7217" s="16" t="str">
        <f>IFERROR(__xludf.DUMMYFUNCTION("""COMPUTED_VALUE"""),"")</f>
        <v/>
      </c>
      <c r="U7217" s="16" t="s">
        <v>87</v>
      </c>
      <c r="V7217" s="16" t="str">
        <f>IFERROR(__xludf.DUMMYFUNCTION("""COMPUTED_VALUE"""),"")</f>
        <v/>
      </c>
      <c r="W7217" s="16" t="str">
        <f>IFERROR(__xludf.DUMMYFUNCTION("""COMPUTED_VALUE"""),"")</f>
        <v/>
      </c>
      <c r="X7217" s="16" t="str">
        <f>IFERROR(__xludf.DUMMYFUNCTION("""COMPUTED_VALUE"""),"")</f>
        <v/>
      </c>
      <c r="AC7217" s="16" t="str">
        <f>IFERROR(__xludf.DUMMYFUNCTION("""COMPUTED_VALUE"""),"")</f>
        <v/>
      </c>
    </row>
    <row r="7218">
      <c r="A7218" s="16" t="s">
        <v>87</v>
      </c>
      <c r="E7218" s="16" t="str">
        <f>IFERROR(__xludf.DUMMYFUNCTION("""COMPUTED_VALUE"""),"")</f>
        <v/>
      </c>
      <c r="G7218" s="18"/>
      <c r="H7218" s="16" t="s">
        <v>87</v>
      </c>
      <c r="I7218" s="16" t="s">
        <v>87</v>
      </c>
      <c r="J7218" s="19"/>
      <c r="L7218" s="16" t="str">
        <f>IFERROR(__xludf.DUMMYFUNCTION("""COMPUTED_VALUE"""),"")</f>
        <v/>
      </c>
      <c r="M7218" s="16" t="str">
        <f>IFERROR(__xludf.DUMMYFUNCTION("""COMPUTED_VALUE"""),"")</f>
        <v/>
      </c>
      <c r="U7218" s="16" t="s">
        <v>87</v>
      </c>
      <c r="V7218" s="16" t="str">
        <f>IFERROR(__xludf.DUMMYFUNCTION("""COMPUTED_VALUE"""),"")</f>
        <v/>
      </c>
      <c r="W7218" s="16" t="str">
        <f>IFERROR(__xludf.DUMMYFUNCTION("""COMPUTED_VALUE"""),"")</f>
        <v/>
      </c>
      <c r="X7218" s="16" t="str">
        <f>IFERROR(__xludf.DUMMYFUNCTION("""COMPUTED_VALUE"""),"")</f>
        <v/>
      </c>
      <c r="AC7218" s="16" t="str">
        <f>IFERROR(__xludf.DUMMYFUNCTION("""COMPUTED_VALUE"""),"")</f>
        <v/>
      </c>
    </row>
    <row r="7219">
      <c r="A7219" s="16" t="s">
        <v>87</v>
      </c>
      <c r="E7219" s="16" t="str">
        <f>IFERROR(__xludf.DUMMYFUNCTION("""COMPUTED_VALUE"""),"")</f>
        <v/>
      </c>
      <c r="G7219" s="18"/>
      <c r="H7219" s="16" t="s">
        <v>87</v>
      </c>
      <c r="I7219" s="16" t="s">
        <v>87</v>
      </c>
      <c r="J7219" s="19"/>
      <c r="L7219" s="16" t="str">
        <f>IFERROR(__xludf.DUMMYFUNCTION("""COMPUTED_VALUE"""),"")</f>
        <v/>
      </c>
      <c r="M7219" s="16" t="str">
        <f>IFERROR(__xludf.DUMMYFUNCTION("""COMPUTED_VALUE"""),"")</f>
        <v/>
      </c>
      <c r="U7219" s="16" t="s">
        <v>87</v>
      </c>
      <c r="V7219" s="16" t="str">
        <f>IFERROR(__xludf.DUMMYFUNCTION("""COMPUTED_VALUE"""),"")</f>
        <v/>
      </c>
      <c r="W7219" s="16" t="str">
        <f>IFERROR(__xludf.DUMMYFUNCTION("""COMPUTED_VALUE"""),"")</f>
        <v/>
      </c>
      <c r="X7219" s="16" t="str">
        <f>IFERROR(__xludf.DUMMYFUNCTION("""COMPUTED_VALUE"""),"")</f>
        <v/>
      </c>
      <c r="AC7219" s="16" t="str">
        <f>IFERROR(__xludf.DUMMYFUNCTION("""COMPUTED_VALUE"""),"")</f>
        <v/>
      </c>
    </row>
    <row r="7220">
      <c r="A7220" s="16" t="s">
        <v>87</v>
      </c>
      <c r="E7220" s="16" t="str">
        <f>IFERROR(__xludf.DUMMYFUNCTION("""COMPUTED_VALUE"""),"")</f>
        <v/>
      </c>
      <c r="G7220" s="18"/>
      <c r="H7220" s="16" t="s">
        <v>87</v>
      </c>
      <c r="I7220" s="16" t="s">
        <v>87</v>
      </c>
      <c r="J7220" s="19"/>
      <c r="L7220" s="16" t="str">
        <f>IFERROR(__xludf.DUMMYFUNCTION("""COMPUTED_VALUE"""),"")</f>
        <v/>
      </c>
      <c r="M7220" s="16" t="str">
        <f>IFERROR(__xludf.DUMMYFUNCTION("""COMPUTED_VALUE"""),"")</f>
        <v/>
      </c>
      <c r="U7220" s="16" t="s">
        <v>87</v>
      </c>
      <c r="V7220" s="16" t="str">
        <f>IFERROR(__xludf.DUMMYFUNCTION("""COMPUTED_VALUE"""),"")</f>
        <v/>
      </c>
      <c r="W7220" s="16" t="str">
        <f>IFERROR(__xludf.DUMMYFUNCTION("""COMPUTED_VALUE"""),"")</f>
        <v/>
      </c>
      <c r="X7220" s="16" t="str">
        <f>IFERROR(__xludf.DUMMYFUNCTION("""COMPUTED_VALUE"""),"")</f>
        <v/>
      </c>
      <c r="AC7220" s="16" t="str">
        <f>IFERROR(__xludf.DUMMYFUNCTION("""COMPUTED_VALUE"""),"")</f>
        <v/>
      </c>
    </row>
    <row r="7221">
      <c r="A7221" s="16" t="s">
        <v>87</v>
      </c>
      <c r="E7221" s="16" t="str">
        <f>IFERROR(__xludf.DUMMYFUNCTION("""COMPUTED_VALUE"""),"")</f>
        <v/>
      </c>
      <c r="G7221" s="18"/>
      <c r="H7221" s="16" t="s">
        <v>87</v>
      </c>
      <c r="I7221" s="16" t="s">
        <v>87</v>
      </c>
      <c r="J7221" s="19"/>
      <c r="L7221" s="16" t="str">
        <f>IFERROR(__xludf.DUMMYFUNCTION("""COMPUTED_VALUE"""),"")</f>
        <v/>
      </c>
      <c r="M7221" s="16" t="str">
        <f>IFERROR(__xludf.DUMMYFUNCTION("""COMPUTED_VALUE"""),"")</f>
        <v/>
      </c>
      <c r="U7221" s="16" t="s">
        <v>87</v>
      </c>
      <c r="V7221" s="16" t="str">
        <f>IFERROR(__xludf.DUMMYFUNCTION("""COMPUTED_VALUE"""),"")</f>
        <v/>
      </c>
      <c r="W7221" s="16" t="str">
        <f>IFERROR(__xludf.DUMMYFUNCTION("""COMPUTED_VALUE"""),"")</f>
        <v/>
      </c>
      <c r="X7221" s="16" t="str">
        <f>IFERROR(__xludf.DUMMYFUNCTION("""COMPUTED_VALUE"""),"")</f>
        <v/>
      </c>
      <c r="AC7221" s="16" t="str">
        <f>IFERROR(__xludf.DUMMYFUNCTION("""COMPUTED_VALUE"""),"")</f>
        <v/>
      </c>
    </row>
    <row r="7222">
      <c r="A7222" s="16" t="s">
        <v>87</v>
      </c>
      <c r="E7222" s="16" t="str">
        <f>IFERROR(__xludf.DUMMYFUNCTION("""COMPUTED_VALUE"""),"")</f>
        <v/>
      </c>
      <c r="G7222" s="18"/>
      <c r="H7222" s="16" t="s">
        <v>87</v>
      </c>
      <c r="I7222" s="16" t="s">
        <v>87</v>
      </c>
      <c r="J7222" s="19"/>
      <c r="L7222" s="16" t="str">
        <f>IFERROR(__xludf.DUMMYFUNCTION("""COMPUTED_VALUE"""),"")</f>
        <v/>
      </c>
      <c r="M7222" s="16" t="str">
        <f>IFERROR(__xludf.DUMMYFUNCTION("""COMPUTED_VALUE"""),"")</f>
        <v/>
      </c>
      <c r="U7222" s="16" t="s">
        <v>87</v>
      </c>
      <c r="V7222" s="16" t="str">
        <f>IFERROR(__xludf.DUMMYFUNCTION("""COMPUTED_VALUE"""),"")</f>
        <v/>
      </c>
      <c r="W7222" s="16" t="str">
        <f>IFERROR(__xludf.DUMMYFUNCTION("""COMPUTED_VALUE"""),"")</f>
        <v/>
      </c>
      <c r="X7222" s="16" t="str">
        <f>IFERROR(__xludf.DUMMYFUNCTION("""COMPUTED_VALUE"""),"")</f>
        <v/>
      </c>
      <c r="AC7222" s="16" t="str">
        <f>IFERROR(__xludf.DUMMYFUNCTION("""COMPUTED_VALUE"""),"")</f>
        <v/>
      </c>
    </row>
    <row r="7223">
      <c r="A7223" s="16" t="s">
        <v>87</v>
      </c>
      <c r="E7223" s="16" t="str">
        <f>IFERROR(__xludf.DUMMYFUNCTION("""COMPUTED_VALUE"""),"")</f>
        <v/>
      </c>
      <c r="G7223" s="18"/>
      <c r="H7223" s="16" t="s">
        <v>87</v>
      </c>
      <c r="I7223" s="16" t="s">
        <v>87</v>
      </c>
      <c r="J7223" s="19"/>
      <c r="L7223" s="16" t="str">
        <f>IFERROR(__xludf.DUMMYFUNCTION("""COMPUTED_VALUE"""),"")</f>
        <v/>
      </c>
      <c r="M7223" s="16" t="str">
        <f>IFERROR(__xludf.DUMMYFUNCTION("""COMPUTED_VALUE"""),"")</f>
        <v/>
      </c>
      <c r="U7223" s="16" t="s">
        <v>87</v>
      </c>
      <c r="V7223" s="16" t="str">
        <f>IFERROR(__xludf.DUMMYFUNCTION("""COMPUTED_VALUE"""),"")</f>
        <v/>
      </c>
      <c r="W7223" s="16" t="str">
        <f>IFERROR(__xludf.DUMMYFUNCTION("""COMPUTED_VALUE"""),"")</f>
        <v/>
      </c>
      <c r="X7223" s="16" t="str">
        <f>IFERROR(__xludf.DUMMYFUNCTION("""COMPUTED_VALUE"""),"")</f>
        <v/>
      </c>
      <c r="AC7223" s="16" t="str">
        <f>IFERROR(__xludf.DUMMYFUNCTION("""COMPUTED_VALUE"""),"")</f>
        <v/>
      </c>
    </row>
    <row r="7224">
      <c r="A7224" s="16" t="s">
        <v>87</v>
      </c>
      <c r="E7224" s="16" t="str">
        <f>IFERROR(__xludf.DUMMYFUNCTION("""COMPUTED_VALUE"""),"")</f>
        <v/>
      </c>
      <c r="G7224" s="18"/>
      <c r="H7224" s="16" t="s">
        <v>87</v>
      </c>
      <c r="I7224" s="16" t="s">
        <v>87</v>
      </c>
      <c r="J7224" s="19"/>
      <c r="L7224" s="16" t="str">
        <f>IFERROR(__xludf.DUMMYFUNCTION("""COMPUTED_VALUE"""),"")</f>
        <v/>
      </c>
      <c r="M7224" s="16" t="str">
        <f>IFERROR(__xludf.DUMMYFUNCTION("""COMPUTED_VALUE"""),"")</f>
        <v/>
      </c>
      <c r="U7224" s="16" t="s">
        <v>87</v>
      </c>
      <c r="V7224" s="16" t="str">
        <f>IFERROR(__xludf.DUMMYFUNCTION("""COMPUTED_VALUE"""),"")</f>
        <v/>
      </c>
      <c r="W7224" s="16" t="str">
        <f>IFERROR(__xludf.DUMMYFUNCTION("""COMPUTED_VALUE"""),"")</f>
        <v/>
      </c>
      <c r="X7224" s="16" t="str">
        <f>IFERROR(__xludf.DUMMYFUNCTION("""COMPUTED_VALUE"""),"")</f>
        <v/>
      </c>
      <c r="AC7224" s="16" t="str">
        <f>IFERROR(__xludf.DUMMYFUNCTION("""COMPUTED_VALUE"""),"")</f>
        <v/>
      </c>
    </row>
    <row r="7225">
      <c r="A7225" s="16" t="s">
        <v>87</v>
      </c>
      <c r="E7225" s="16" t="str">
        <f>IFERROR(__xludf.DUMMYFUNCTION("""COMPUTED_VALUE"""),"")</f>
        <v/>
      </c>
      <c r="G7225" s="18"/>
      <c r="H7225" s="16" t="s">
        <v>87</v>
      </c>
      <c r="I7225" s="16" t="s">
        <v>87</v>
      </c>
      <c r="J7225" s="19"/>
      <c r="L7225" s="16" t="str">
        <f>IFERROR(__xludf.DUMMYFUNCTION("""COMPUTED_VALUE"""),"")</f>
        <v/>
      </c>
      <c r="M7225" s="16" t="str">
        <f>IFERROR(__xludf.DUMMYFUNCTION("""COMPUTED_VALUE"""),"")</f>
        <v/>
      </c>
      <c r="U7225" s="16" t="s">
        <v>87</v>
      </c>
      <c r="V7225" s="16" t="str">
        <f>IFERROR(__xludf.DUMMYFUNCTION("""COMPUTED_VALUE"""),"")</f>
        <v/>
      </c>
      <c r="W7225" s="16" t="str">
        <f>IFERROR(__xludf.DUMMYFUNCTION("""COMPUTED_VALUE"""),"")</f>
        <v/>
      </c>
      <c r="X7225" s="16" t="str">
        <f>IFERROR(__xludf.DUMMYFUNCTION("""COMPUTED_VALUE"""),"")</f>
        <v/>
      </c>
      <c r="AC7225" s="16" t="str">
        <f>IFERROR(__xludf.DUMMYFUNCTION("""COMPUTED_VALUE"""),"")</f>
        <v/>
      </c>
    </row>
    <row r="7226">
      <c r="A7226" s="16" t="s">
        <v>87</v>
      </c>
      <c r="E7226" s="16" t="str">
        <f>IFERROR(__xludf.DUMMYFUNCTION("""COMPUTED_VALUE"""),"")</f>
        <v/>
      </c>
      <c r="G7226" s="18"/>
      <c r="H7226" s="16" t="s">
        <v>87</v>
      </c>
      <c r="I7226" s="16" t="s">
        <v>87</v>
      </c>
      <c r="J7226" s="19"/>
      <c r="L7226" s="16" t="str">
        <f>IFERROR(__xludf.DUMMYFUNCTION("""COMPUTED_VALUE"""),"")</f>
        <v/>
      </c>
      <c r="M7226" s="16" t="str">
        <f>IFERROR(__xludf.DUMMYFUNCTION("""COMPUTED_VALUE"""),"")</f>
        <v/>
      </c>
      <c r="U7226" s="16" t="s">
        <v>87</v>
      </c>
      <c r="V7226" s="16" t="str">
        <f>IFERROR(__xludf.DUMMYFUNCTION("""COMPUTED_VALUE"""),"")</f>
        <v/>
      </c>
      <c r="W7226" s="16" t="str">
        <f>IFERROR(__xludf.DUMMYFUNCTION("""COMPUTED_VALUE"""),"")</f>
        <v/>
      </c>
      <c r="X7226" s="16" t="str">
        <f>IFERROR(__xludf.DUMMYFUNCTION("""COMPUTED_VALUE"""),"")</f>
        <v/>
      </c>
      <c r="AC7226" s="16" t="str">
        <f>IFERROR(__xludf.DUMMYFUNCTION("""COMPUTED_VALUE"""),"")</f>
        <v/>
      </c>
    </row>
    <row r="7227">
      <c r="A7227" s="16" t="s">
        <v>87</v>
      </c>
      <c r="E7227" s="16" t="str">
        <f>IFERROR(__xludf.DUMMYFUNCTION("""COMPUTED_VALUE"""),"")</f>
        <v/>
      </c>
      <c r="G7227" s="18"/>
      <c r="H7227" s="16" t="s">
        <v>87</v>
      </c>
      <c r="I7227" s="16" t="s">
        <v>87</v>
      </c>
      <c r="J7227" s="19"/>
      <c r="L7227" s="16" t="str">
        <f>IFERROR(__xludf.DUMMYFUNCTION("""COMPUTED_VALUE"""),"")</f>
        <v/>
      </c>
      <c r="M7227" s="16" t="str">
        <f>IFERROR(__xludf.DUMMYFUNCTION("""COMPUTED_VALUE"""),"")</f>
        <v/>
      </c>
      <c r="U7227" s="16" t="s">
        <v>87</v>
      </c>
      <c r="V7227" s="16" t="str">
        <f>IFERROR(__xludf.DUMMYFUNCTION("""COMPUTED_VALUE"""),"")</f>
        <v/>
      </c>
      <c r="W7227" s="16" t="str">
        <f>IFERROR(__xludf.DUMMYFUNCTION("""COMPUTED_VALUE"""),"")</f>
        <v/>
      </c>
      <c r="X7227" s="16" t="str">
        <f>IFERROR(__xludf.DUMMYFUNCTION("""COMPUTED_VALUE"""),"")</f>
        <v/>
      </c>
      <c r="AC7227" s="16" t="str">
        <f>IFERROR(__xludf.DUMMYFUNCTION("""COMPUTED_VALUE"""),"")</f>
        <v/>
      </c>
    </row>
    <row r="7228">
      <c r="A7228" s="16" t="s">
        <v>87</v>
      </c>
      <c r="E7228" s="16" t="str">
        <f>IFERROR(__xludf.DUMMYFUNCTION("""COMPUTED_VALUE"""),"")</f>
        <v/>
      </c>
      <c r="G7228" s="18"/>
      <c r="H7228" s="16" t="s">
        <v>87</v>
      </c>
      <c r="I7228" s="16" t="s">
        <v>87</v>
      </c>
      <c r="J7228" s="19"/>
      <c r="L7228" s="16" t="str">
        <f>IFERROR(__xludf.DUMMYFUNCTION("""COMPUTED_VALUE"""),"")</f>
        <v/>
      </c>
      <c r="M7228" s="16" t="str">
        <f>IFERROR(__xludf.DUMMYFUNCTION("""COMPUTED_VALUE"""),"")</f>
        <v/>
      </c>
      <c r="U7228" s="16" t="s">
        <v>87</v>
      </c>
      <c r="V7228" s="16" t="str">
        <f>IFERROR(__xludf.DUMMYFUNCTION("""COMPUTED_VALUE"""),"")</f>
        <v/>
      </c>
      <c r="W7228" s="16" t="str">
        <f>IFERROR(__xludf.DUMMYFUNCTION("""COMPUTED_VALUE"""),"")</f>
        <v/>
      </c>
      <c r="X7228" s="16" t="str">
        <f>IFERROR(__xludf.DUMMYFUNCTION("""COMPUTED_VALUE"""),"")</f>
        <v/>
      </c>
      <c r="AC7228" s="16" t="str">
        <f>IFERROR(__xludf.DUMMYFUNCTION("""COMPUTED_VALUE"""),"")</f>
        <v/>
      </c>
    </row>
    <row r="7229">
      <c r="A7229" s="16" t="s">
        <v>87</v>
      </c>
      <c r="E7229" s="16" t="str">
        <f>IFERROR(__xludf.DUMMYFUNCTION("""COMPUTED_VALUE"""),"")</f>
        <v/>
      </c>
      <c r="G7229" s="18"/>
      <c r="H7229" s="16" t="s">
        <v>87</v>
      </c>
      <c r="I7229" s="16" t="s">
        <v>87</v>
      </c>
      <c r="J7229" s="19"/>
      <c r="L7229" s="16" t="str">
        <f>IFERROR(__xludf.DUMMYFUNCTION("""COMPUTED_VALUE"""),"")</f>
        <v/>
      </c>
      <c r="M7229" s="16" t="str">
        <f>IFERROR(__xludf.DUMMYFUNCTION("""COMPUTED_VALUE"""),"")</f>
        <v/>
      </c>
      <c r="U7229" s="16" t="s">
        <v>87</v>
      </c>
      <c r="V7229" s="16" t="str">
        <f>IFERROR(__xludf.DUMMYFUNCTION("""COMPUTED_VALUE"""),"")</f>
        <v/>
      </c>
      <c r="W7229" s="16" t="str">
        <f>IFERROR(__xludf.DUMMYFUNCTION("""COMPUTED_VALUE"""),"")</f>
        <v/>
      </c>
      <c r="X7229" s="16" t="str">
        <f>IFERROR(__xludf.DUMMYFUNCTION("""COMPUTED_VALUE"""),"")</f>
        <v/>
      </c>
      <c r="AC7229" s="16" t="str">
        <f>IFERROR(__xludf.DUMMYFUNCTION("""COMPUTED_VALUE"""),"")</f>
        <v/>
      </c>
    </row>
    <row r="7230">
      <c r="A7230" s="16" t="s">
        <v>87</v>
      </c>
      <c r="E7230" s="16" t="str">
        <f>IFERROR(__xludf.DUMMYFUNCTION("""COMPUTED_VALUE"""),"")</f>
        <v/>
      </c>
      <c r="G7230" s="18"/>
      <c r="H7230" s="16" t="s">
        <v>87</v>
      </c>
      <c r="I7230" s="16" t="s">
        <v>87</v>
      </c>
      <c r="J7230" s="19"/>
      <c r="L7230" s="16" t="str">
        <f>IFERROR(__xludf.DUMMYFUNCTION("""COMPUTED_VALUE"""),"")</f>
        <v/>
      </c>
      <c r="M7230" s="16" t="str">
        <f>IFERROR(__xludf.DUMMYFUNCTION("""COMPUTED_VALUE"""),"")</f>
        <v/>
      </c>
      <c r="U7230" s="16" t="s">
        <v>87</v>
      </c>
      <c r="V7230" s="16" t="str">
        <f>IFERROR(__xludf.DUMMYFUNCTION("""COMPUTED_VALUE"""),"")</f>
        <v/>
      </c>
      <c r="W7230" s="16" t="str">
        <f>IFERROR(__xludf.DUMMYFUNCTION("""COMPUTED_VALUE"""),"")</f>
        <v/>
      </c>
      <c r="X7230" s="16" t="str">
        <f>IFERROR(__xludf.DUMMYFUNCTION("""COMPUTED_VALUE"""),"")</f>
        <v/>
      </c>
      <c r="AC7230" s="16" t="str">
        <f>IFERROR(__xludf.DUMMYFUNCTION("""COMPUTED_VALUE"""),"")</f>
        <v/>
      </c>
    </row>
    <row r="7231">
      <c r="A7231" s="16" t="s">
        <v>87</v>
      </c>
      <c r="E7231" s="16" t="str">
        <f>IFERROR(__xludf.DUMMYFUNCTION("""COMPUTED_VALUE"""),"")</f>
        <v/>
      </c>
      <c r="G7231" s="18"/>
      <c r="H7231" s="16" t="s">
        <v>87</v>
      </c>
      <c r="I7231" s="16" t="s">
        <v>87</v>
      </c>
      <c r="J7231" s="19"/>
      <c r="L7231" s="16" t="str">
        <f>IFERROR(__xludf.DUMMYFUNCTION("""COMPUTED_VALUE"""),"")</f>
        <v/>
      </c>
      <c r="M7231" s="16" t="str">
        <f>IFERROR(__xludf.DUMMYFUNCTION("""COMPUTED_VALUE"""),"")</f>
        <v/>
      </c>
      <c r="U7231" s="16" t="s">
        <v>87</v>
      </c>
      <c r="V7231" s="16" t="str">
        <f>IFERROR(__xludf.DUMMYFUNCTION("""COMPUTED_VALUE"""),"")</f>
        <v/>
      </c>
      <c r="W7231" s="16" t="str">
        <f>IFERROR(__xludf.DUMMYFUNCTION("""COMPUTED_VALUE"""),"")</f>
        <v/>
      </c>
      <c r="X7231" s="16" t="str">
        <f>IFERROR(__xludf.DUMMYFUNCTION("""COMPUTED_VALUE"""),"")</f>
        <v/>
      </c>
      <c r="AC7231" s="16" t="str">
        <f>IFERROR(__xludf.DUMMYFUNCTION("""COMPUTED_VALUE"""),"")</f>
        <v/>
      </c>
    </row>
    <row r="7232">
      <c r="A7232" s="16" t="s">
        <v>87</v>
      </c>
      <c r="E7232" s="16" t="str">
        <f>IFERROR(__xludf.DUMMYFUNCTION("""COMPUTED_VALUE"""),"")</f>
        <v/>
      </c>
      <c r="G7232" s="18"/>
      <c r="H7232" s="16" t="s">
        <v>87</v>
      </c>
      <c r="I7232" s="16" t="s">
        <v>87</v>
      </c>
      <c r="J7232" s="19"/>
      <c r="L7232" s="16" t="str">
        <f>IFERROR(__xludf.DUMMYFUNCTION("""COMPUTED_VALUE"""),"")</f>
        <v/>
      </c>
      <c r="M7232" s="16" t="str">
        <f>IFERROR(__xludf.DUMMYFUNCTION("""COMPUTED_VALUE"""),"")</f>
        <v/>
      </c>
      <c r="U7232" s="16" t="s">
        <v>87</v>
      </c>
      <c r="V7232" s="16" t="str">
        <f>IFERROR(__xludf.DUMMYFUNCTION("""COMPUTED_VALUE"""),"")</f>
        <v/>
      </c>
      <c r="W7232" s="16" t="str">
        <f>IFERROR(__xludf.DUMMYFUNCTION("""COMPUTED_VALUE"""),"")</f>
        <v/>
      </c>
      <c r="X7232" s="16" t="str">
        <f>IFERROR(__xludf.DUMMYFUNCTION("""COMPUTED_VALUE"""),"")</f>
        <v/>
      </c>
      <c r="AC7232" s="16" t="str">
        <f>IFERROR(__xludf.DUMMYFUNCTION("""COMPUTED_VALUE"""),"")</f>
        <v/>
      </c>
    </row>
    <row r="7233">
      <c r="A7233" s="16" t="s">
        <v>87</v>
      </c>
      <c r="E7233" s="16" t="str">
        <f>IFERROR(__xludf.DUMMYFUNCTION("""COMPUTED_VALUE"""),"")</f>
        <v/>
      </c>
      <c r="G7233" s="18"/>
      <c r="H7233" s="16" t="s">
        <v>87</v>
      </c>
      <c r="I7233" s="16" t="s">
        <v>87</v>
      </c>
      <c r="J7233" s="19"/>
      <c r="L7233" s="16" t="str">
        <f>IFERROR(__xludf.DUMMYFUNCTION("""COMPUTED_VALUE"""),"")</f>
        <v/>
      </c>
      <c r="M7233" s="16" t="str">
        <f>IFERROR(__xludf.DUMMYFUNCTION("""COMPUTED_VALUE"""),"")</f>
        <v/>
      </c>
      <c r="U7233" s="16" t="s">
        <v>87</v>
      </c>
      <c r="V7233" s="16" t="str">
        <f>IFERROR(__xludf.DUMMYFUNCTION("""COMPUTED_VALUE"""),"")</f>
        <v/>
      </c>
      <c r="W7233" s="16" t="str">
        <f>IFERROR(__xludf.DUMMYFUNCTION("""COMPUTED_VALUE"""),"")</f>
        <v/>
      </c>
      <c r="X7233" s="16" t="str">
        <f>IFERROR(__xludf.DUMMYFUNCTION("""COMPUTED_VALUE"""),"")</f>
        <v/>
      </c>
      <c r="AC7233" s="16" t="str">
        <f>IFERROR(__xludf.DUMMYFUNCTION("""COMPUTED_VALUE"""),"")</f>
        <v/>
      </c>
    </row>
    <row r="7234">
      <c r="A7234" s="16" t="s">
        <v>87</v>
      </c>
      <c r="E7234" s="16" t="str">
        <f>IFERROR(__xludf.DUMMYFUNCTION("""COMPUTED_VALUE"""),"")</f>
        <v/>
      </c>
      <c r="G7234" s="18"/>
      <c r="H7234" s="16" t="s">
        <v>87</v>
      </c>
      <c r="I7234" s="16" t="s">
        <v>87</v>
      </c>
      <c r="J7234" s="19"/>
      <c r="L7234" s="16" t="str">
        <f>IFERROR(__xludf.DUMMYFUNCTION("""COMPUTED_VALUE"""),"")</f>
        <v/>
      </c>
      <c r="M7234" s="16" t="str">
        <f>IFERROR(__xludf.DUMMYFUNCTION("""COMPUTED_VALUE"""),"")</f>
        <v/>
      </c>
      <c r="U7234" s="16" t="s">
        <v>87</v>
      </c>
      <c r="V7234" s="16" t="str">
        <f>IFERROR(__xludf.DUMMYFUNCTION("""COMPUTED_VALUE"""),"")</f>
        <v/>
      </c>
      <c r="W7234" s="16" t="str">
        <f>IFERROR(__xludf.DUMMYFUNCTION("""COMPUTED_VALUE"""),"")</f>
        <v/>
      </c>
      <c r="X7234" s="16" t="str">
        <f>IFERROR(__xludf.DUMMYFUNCTION("""COMPUTED_VALUE"""),"")</f>
        <v/>
      </c>
      <c r="AC7234" s="16" t="str">
        <f>IFERROR(__xludf.DUMMYFUNCTION("""COMPUTED_VALUE"""),"")</f>
        <v/>
      </c>
    </row>
    <row r="7235">
      <c r="A7235" s="16" t="s">
        <v>87</v>
      </c>
      <c r="E7235" s="16" t="str">
        <f>IFERROR(__xludf.DUMMYFUNCTION("""COMPUTED_VALUE"""),"")</f>
        <v/>
      </c>
      <c r="G7235" s="18"/>
      <c r="H7235" s="16" t="s">
        <v>87</v>
      </c>
      <c r="I7235" s="16" t="s">
        <v>87</v>
      </c>
      <c r="J7235" s="19"/>
      <c r="L7235" s="16" t="str">
        <f>IFERROR(__xludf.DUMMYFUNCTION("""COMPUTED_VALUE"""),"")</f>
        <v/>
      </c>
      <c r="M7235" s="16" t="str">
        <f>IFERROR(__xludf.DUMMYFUNCTION("""COMPUTED_VALUE"""),"")</f>
        <v/>
      </c>
      <c r="U7235" s="16" t="s">
        <v>87</v>
      </c>
      <c r="V7235" s="16" t="str">
        <f>IFERROR(__xludf.DUMMYFUNCTION("""COMPUTED_VALUE"""),"")</f>
        <v/>
      </c>
      <c r="W7235" s="16" t="str">
        <f>IFERROR(__xludf.DUMMYFUNCTION("""COMPUTED_VALUE"""),"")</f>
        <v/>
      </c>
      <c r="X7235" s="16" t="str">
        <f>IFERROR(__xludf.DUMMYFUNCTION("""COMPUTED_VALUE"""),"")</f>
        <v/>
      </c>
      <c r="AC7235" s="16" t="str">
        <f>IFERROR(__xludf.DUMMYFUNCTION("""COMPUTED_VALUE"""),"")</f>
        <v/>
      </c>
    </row>
    <row r="7236">
      <c r="A7236" s="16" t="s">
        <v>87</v>
      </c>
      <c r="E7236" s="16" t="str">
        <f>IFERROR(__xludf.DUMMYFUNCTION("""COMPUTED_VALUE"""),"")</f>
        <v/>
      </c>
      <c r="G7236" s="18"/>
      <c r="H7236" s="16" t="s">
        <v>87</v>
      </c>
      <c r="I7236" s="16" t="s">
        <v>87</v>
      </c>
      <c r="J7236" s="19"/>
      <c r="L7236" s="16" t="str">
        <f>IFERROR(__xludf.DUMMYFUNCTION("""COMPUTED_VALUE"""),"")</f>
        <v/>
      </c>
      <c r="M7236" s="16" t="str">
        <f>IFERROR(__xludf.DUMMYFUNCTION("""COMPUTED_VALUE"""),"")</f>
        <v/>
      </c>
      <c r="U7236" s="16" t="s">
        <v>87</v>
      </c>
      <c r="V7236" s="16" t="str">
        <f>IFERROR(__xludf.DUMMYFUNCTION("""COMPUTED_VALUE"""),"")</f>
        <v/>
      </c>
      <c r="W7236" s="16" t="str">
        <f>IFERROR(__xludf.DUMMYFUNCTION("""COMPUTED_VALUE"""),"")</f>
        <v/>
      </c>
      <c r="X7236" s="16" t="str">
        <f>IFERROR(__xludf.DUMMYFUNCTION("""COMPUTED_VALUE"""),"")</f>
        <v/>
      </c>
      <c r="AC7236" s="16" t="str">
        <f>IFERROR(__xludf.DUMMYFUNCTION("""COMPUTED_VALUE"""),"")</f>
        <v/>
      </c>
    </row>
    <row r="7237">
      <c r="A7237" s="16" t="s">
        <v>87</v>
      </c>
      <c r="E7237" s="16" t="str">
        <f>IFERROR(__xludf.DUMMYFUNCTION("""COMPUTED_VALUE"""),"")</f>
        <v/>
      </c>
      <c r="G7237" s="18"/>
      <c r="H7237" s="16" t="s">
        <v>87</v>
      </c>
      <c r="I7237" s="16" t="s">
        <v>87</v>
      </c>
      <c r="J7237" s="19"/>
      <c r="L7237" s="16" t="str">
        <f>IFERROR(__xludf.DUMMYFUNCTION("""COMPUTED_VALUE"""),"")</f>
        <v/>
      </c>
      <c r="M7237" s="16" t="str">
        <f>IFERROR(__xludf.DUMMYFUNCTION("""COMPUTED_VALUE"""),"")</f>
        <v/>
      </c>
      <c r="U7237" s="16" t="s">
        <v>87</v>
      </c>
      <c r="V7237" s="16" t="str">
        <f>IFERROR(__xludf.DUMMYFUNCTION("""COMPUTED_VALUE"""),"")</f>
        <v/>
      </c>
      <c r="W7237" s="16" t="str">
        <f>IFERROR(__xludf.DUMMYFUNCTION("""COMPUTED_VALUE"""),"")</f>
        <v/>
      </c>
      <c r="X7237" s="16" t="str">
        <f>IFERROR(__xludf.DUMMYFUNCTION("""COMPUTED_VALUE"""),"")</f>
        <v/>
      </c>
      <c r="AC7237" s="16" t="str">
        <f>IFERROR(__xludf.DUMMYFUNCTION("""COMPUTED_VALUE"""),"")</f>
        <v/>
      </c>
    </row>
    <row r="7238">
      <c r="A7238" s="16" t="s">
        <v>87</v>
      </c>
      <c r="E7238" s="16" t="str">
        <f>IFERROR(__xludf.DUMMYFUNCTION("""COMPUTED_VALUE"""),"")</f>
        <v/>
      </c>
      <c r="G7238" s="18"/>
      <c r="H7238" s="16" t="s">
        <v>87</v>
      </c>
      <c r="I7238" s="16" t="s">
        <v>87</v>
      </c>
      <c r="J7238" s="19"/>
      <c r="L7238" s="16" t="str">
        <f>IFERROR(__xludf.DUMMYFUNCTION("""COMPUTED_VALUE"""),"")</f>
        <v/>
      </c>
      <c r="M7238" s="16" t="str">
        <f>IFERROR(__xludf.DUMMYFUNCTION("""COMPUTED_VALUE"""),"")</f>
        <v/>
      </c>
      <c r="U7238" s="16" t="s">
        <v>87</v>
      </c>
      <c r="V7238" s="16" t="str">
        <f>IFERROR(__xludf.DUMMYFUNCTION("""COMPUTED_VALUE"""),"")</f>
        <v/>
      </c>
      <c r="W7238" s="16" t="str">
        <f>IFERROR(__xludf.DUMMYFUNCTION("""COMPUTED_VALUE"""),"")</f>
        <v/>
      </c>
      <c r="X7238" s="16" t="str">
        <f>IFERROR(__xludf.DUMMYFUNCTION("""COMPUTED_VALUE"""),"")</f>
        <v/>
      </c>
      <c r="AC7238" s="16" t="str">
        <f>IFERROR(__xludf.DUMMYFUNCTION("""COMPUTED_VALUE"""),"")</f>
        <v/>
      </c>
    </row>
    <row r="7239">
      <c r="A7239" s="16" t="s">
        <v>87</v>
      </c>
      <c r="E7239" s="16" t="str">
        <f>IFERROR(__xludf.DUMMYFUNCTION("""COMPUTED_VALUE"""),"")</f>
        <v/>
      </c>
      <c r="G7239" s="18"/>
      <c r="H7239" s="16" t="s">
        <v>87</v>
      </c>
      <c r="I7239" s="16" t="s">
        <v>87</v>
      </c>
      <c r="J7239" s="19"/>
      <c r="L7239" s="16" t="str">
        <f>IFERROR(__xludf.DUMMYFUNCTION("""COMPUTED_VALUE"""),"")</f>
        <v/>
      </c>
      <c r="M7239" s="16" t="str">
        <f>IFERROR(__xludf.DUMMYFUNCTION("""COMPUTED_VALUE"""),"")</f>
        <v/>
      </c>
      <c r="U7239" s="16" t="s">
        <v>87</v>
      </c>
      <c r="V7239" s="16" t="str">
        <f>IFERROR(__xludf.DUMMYFUNCTION("""COMPUTED_VALUE"""),"")</f>
        <v/>
      </c>
      <c r="W7239" s="16" t="str">
        <f>IFERROR(__xludf.DUMMYFUNCTION("""COMPUTED_VALUE"""),"")</f>
        <v/>
      </c>
      <c r="X7239" s="16" t="str">
        <f>IFERROR(__xludf.DUMMYFUNCTION("""COMPUTED_VALUE"""),"")</f>
        <v/>
      </c>
      <c r="AC7239" s="16" t="str">
        <f>IFERROR(__xludf.DUMMYFUNCTION("""COMPUTED_VALUE"""),"")</f>
        <v/>
      </c>
    </row>
    <row r="7240">
      <c r="A7240" s="16" t="s">
        <v>87</v>
      </c>
      <c r="E7240" s="16" t="str">
        <f>IFERROR(__xludf.DUMMYFUNCTION("""COMPUTED_VALUE"""),"")</f>
        <v/>
      </c>
      <c r="G7240" s="18"/>
      <c r="H7240" s="16" t="s">
        <v>87</v>
      </c>
      <c r="I7240" s="16" t="s">
        <v>87</v>
      </c>
      <c r="J7240" s="19"/>
      <c r="L7240" s="16" t="str">
        <f>IFERROR(__xludf.DUMMYFUNCTION("""COMPUTED_VALUE"""),"")</f>
        <v/>
      </c>
      <c r="M7240" s="16" t="str">
        <f>IFERROR(__xludf.DUMMYFUNCTION("""COMPUTED_VALUE"""),"")</f>
        <v/>
      </c>
      <c r="U7240" s="16" t="s">
        <v>87</v>
      </c>
      <c r="V7240" s="16" t="str">
        <f>IFERROR(__xludf.DUMMYFUNCTION("""COMPUTED_VALUE"""),"")</f>
        <v/>
      </c>
      <c r="W7240" s="16" t="str">
        <f>IFERROR(__xludf.DUMMYFUNCTION("""COMPUTED_VALUE"""),"")</f>
        <v/>
      </c>
      <c r="X7240" s="16" t="str">
        <f>IFERROR(__xludf.DUMMYFUNCTION("""COMPUTED_VALUE"""),"")</f>
        <v/>
      </c>
      <c r="AC7240" s="16" t="str">
        <f>IFERROR(__xludf.DUMMYFUNCTION("""COMPUTED_VALUE"""),"")</f>
        <v/>
      </c>
    </row>
    <row r="7241">
      <c r="A7241" s="16" t="s">
        <v>87</v>
      </c>
      <c r="E7241" s="16" t="str">
        <f>IFERROR(__xludf.DUMMYFUNCTION("""COMPUTED_VALUE"""),"")</f>
        <v/>
      </c>
      <c r="G7241" s="18"/>
      <c r="H7241" s="16" t="s">
        <v>87</v>
      </c>
      <c r="I7241" s="16" t="s">
        <v>87</v>
      </c>
      <c r="J7241" s="19"/>
      <c r="L7241" s="16" t="str">
        <f>IFERROR(__xludf.DUMMYFUNCTION("""COMPUTED_VALUE"""),"")</f>
        <v/>
      </c>
      <c r="M7241" s="16" t="str">
        <f>IFERROR(__xludf.DUMMYFUNCTION("""COMPUTED_VALUE"""),"")</f>
        <v/>
      </c>
      <c r="U7241" s="16" t="s">
        <v>87</v>
      </c>
      <c r="V7241" s="16" t="str">
        <f>IFERROR(__xludf.DUMMYFUNCTION("""COMPUTED_VALUE"""),"")</f>
        <v/>
      </c>
      <c r="W7241" s="16" t="str">
        <f>IFERROR(__xludf.DUMMYFUNCTION("""COMPUTED_VALUE"""),"")</f>
        <v/>
      </c>
      <c r="X7241" s="16" t="str">
        <f>IFERROR(__xludf.DUMMYFUNCTION("""COMPUTED_VALUE"""),"")</f>
        <v/>
      </c>
      <c r="AC7241" s="16" t="str">
        <f>IFERROR(__xludf.DUMMYFUNCTION("""COMPUTED_VALUE"""),"")</f>
        <v/>
      </c>
    </row>
    <row r="7242">
      <c r="A7242" s="16" t="s">
        <v>87</v>
      </c>
      <c r="E7242" s="16" t="str">
        <f>IFERROR(__xludf.DUMMYFUNCTION("""COMPUTED_VALUE"""),"")</f>
        <v/>
      </c>
      <c r="G7242" s="18"/>
      <c r="H7242" s="16" t="s">
        <v>87</v>
      </c>
      <c r="I7242" s="16" t="s">
        <v>87</v>
      </c>
      <c r="J7242" s="19"/>
      <c r="L7242" s="16" t="str">
        <f>IFERROR(__xludf.DUMMYFUNCTION("""COMPUTED_VALUE"""),"")</f>
        <v/>
      </c>
      <c r="M7242" s="16" t="str">
        <f>IFERROR(__xludf.DUMMYFUNCTION("""COMPUTED_VALUE"""),"")</f>
        <v/>
      </c>
      <c r="U7242" s="16" t="s">
        <v>87</v>
      </c>
      <c r="V7242" s="16" t="str">
        <f>IFERROR(__xludf.DUMMYFUNCTION("""COMPUTED_VALUE"""),"")</f>
        <v/>
      </c>
      <c r="W7242" s="16" t="str">
        <f>IFERROR(__xludf.DUMMYFUNCTION("""COMPUTED_VALUE"""),"")</f>
        <v/>
      </c>
      <c r="X7242" s="16" t="str">
        <f>IFERROR(__xludf.DUMMYFUNCTION("""COMPUTED_VALUE"""),"")</f>
        <v/>
      </c>
      <c r="AC7242" s="16" t="str">
        <f>IFERROR(__xludf.DUMMYFUNCTION("""COMPUTED_VALUE"""),"")</f>
        <v/>
      </c>
    </row>
    <row r="7243">
      <c r="A7243" s="16" t="s">
        <v>87</v>
      </c>
      <c r="E7243" s="16" t="str">
        <f>IFERROR(__xludf.DUMMYFUNCTION("""COMPUTED_VALUE"""),"")</f>
        <v/>
      </c>
      <c r="G7243" s="18"/>
      <c r="H7243" s="16" t="s">
        <v>87</v>
      </c>
      <c r="I7243" s="16" t="s">
        <v>87</v>
      </c>
      <c r="J7243" s="19"/>
      <c r="L7243" s="16" t="str">
        <f>IFERROR(__xludf.DUMMYFUNCTION("""COMPUTED_VALUE"""),"")</f>
        <v/>
      </c>
      <c r="M7243" s="16" t="str">
        <f>IFERROR(__xludf.DUMMYFUNCTION("""COMPUTED_VALUE"""),"")</f>
        <v/>
      </c>
      <c r="U7243" s="16" t="s">
        <v>87</v>
      </c>
      <c r="V7243" s="16" t="str">
        <f>IFERROR(__xludf.DUMMYFUNCTION("""COMPUTED_VALUE"""),"")</f>
        <v/>
      </c>
      <c r="W7243" s="16" t="str">
        <f>IFERROR(__xludf.DUMMYFUNCTION("""COMPUTED_VALUE"""),"")</f>
        <v/>
      </c>
      <c r="X7243" s="16" t="str">
        <f>IFERROR(__xludf.DUMMYFUNCTION("""COMPUTED_VALUE"""),"")</f>
        <v/>
      </c>
      <c r="AC7243" s="16" t="str">
        <f>IFERROR(__xludf.DUMMYFUNCTION("""COMPUTED_VALUE"""),"")</f>
        <v/>
      </c>
    </row>
    <row r="7244">
      <c r="A7244" s="16" t="s">
        <v>87</v>
      </c>
      <c r="E7244" s="16" t="str">
        <f>IFERROR(__xludf.DUMMYFUNCTION("""COMPUTED_VALUE"""),"")</f>
        <v/>
      </c>
      <c r="G7244" s="18"/>
      <c r="H7244" s="16" t="s">
        <v>87</v>
      </c>
      <c r="I7244" s="16" t="s">
        <v>87</v>
      </c>
      <c r="J7244" s="19"/>
      <c r="L7244" s="16" t="str">
        <f>IFERROR(__xludf.DUMMYFUNCTION("""COMPUTED_VALUE"""),"")</f>
        <v/>
      </c>
      <c r="M7244" s="16" t="str">
        <f>IFERROR(__xludf.DUMMYFUNCTION("""COMPUTED_VALUE"""),"")</f>
        <v/>
      </c>
      <c r="U7244" s="16" t="s">
        <v>87</v>
      </c>
      <c r="V7244" s="16" t="str">
        <f>IFERROR(__xludf.DUMMYFUNCTION("""COMPUTED_VALUE"""),"")</f>
        <v/>
      </c>
      <c r="W7244" s="16" t="str">
        <f>IFERROR(__xludf.DUMMYFUNCTION("""COMPUTED_VALUE"""),"")</f>
        <v/>
      </c>
      <c r="X7244" s="16" t="str">
        <f>IFERROR(__xludf.DUMMYFUNCTION("""COMPUTED_VALUE"""),"")</f>
        <v/>
      </c>
      <c r="AC7244" s="16" t="str">
        <f>IFERROR(__xludf.DUMMYFUNCTION("""COMPUTED_VALUE"""),"")</f>
        <v/>
      </c>
    </row>
    <row r="7245">
      <c r="A7245" s="16" t="s">
        <v>87</v>
      </c>
      <c r="E7245" s="16" t="str">
        <f>IFERROR(__xludf.DUMMYFUNCTION("""COMPUTED_VALUE"""),"")</f>
        <v/>
      </c>
      <c r="G7245" s="18"/>
      <c r="H7245" s="16" t="s">
        <v>87</v>
      </c>
      <c r="I7245" s="16" t="s">
        <v>87</v>
      </c>
      <c r="J7245" s="19"/>
      <c r="L7245" s="16" t="str">
        <f>IFERROR(__xludf.DUMMYFUNCTION("""COMPUTED_VALUE"""),"")</f>
        <v/>
      </c>
      <c r="M7245" s="16" t="str">
        <f>IFERROR(__xludf.DUMMYFUNCTION("""COMPUTED_VALUE"""),"")</f>
        <v/>
      </c>
      <c r="U7245" s="16" t="s">
        <v>87</v>
      </c>
      <c r="V7245" s="16" t="str">
        <f>IFERROR(__xludf.DUMMYFUNCTION("""COMPUTED_VALUE"""),"")</f>
        <v/>
      </c>
      <c r="W7245" s="16" t="str">
        <f>IFERROR(__xludf.DUMMYFUNCTION("""COMPUTED_VALUE"""),"")</f>
        <v/>
      </c>
      <c r="X7245" s="16" t="str">
        <f>IFERROR(__xludf.DUMMYFUNCTION("""COMPUTED_VALUE"""),"")</f>
        <v/>
      </c>
      <c r="AC7245" s="16" t="str">
        <f>IFERROR(__xludf.DUMMYFUNCTION("""COMPUTED_VALUE"""),"")</f>
        <v/>
      </c>
    </row>
    <row r="7246">
      <c r="A7246" s="16" t="s">
        <v>87</v>
      </c>
      <c r="E7246" s="16" t="str">
        <f>IFERROR(__xludf.DUMMYFUNCTION("""COMPUTED_VALUE"""),"")</f>
        <v/>
      </c>
      <c r="G7246" s="18"/>
      <c r="H7246" s="16" t="s">
        <v>87</v>
      </c>
      <c r="I7246" s="16" t="s">
        <v>87</v>
      </c>
      <c r="J7246" s="19"/>
      <c r="L7246" s="16" t="str">
        <f>IFERROR(__xludf.DUMMYFUNCTION("""COMPUTED_VALUE"""),"")</f>
        <v/>
      </c>
      <c r="M7246" s="16" t="str">
        <f>IFERROR(__xludf.DUMMYFUNCTION("""COMPUTED_VALUE"""),"")</f>
        <v/>
      </c>
      <c r="U7246" s="16" t="s">
        <v>87</v>
      </c>
      <c r="V7246" s="16" t="str">
        <f>IFERROR(__xludf.DUMMYFUNCTION("""COMPUTED_VALUE"""),"")</f>
        <v/>
      </c>
      <c r="W7246" s="16" t="str">
        <f>IFERROR(__xludf.DUMMYFUNCTION("""COMPUTED_VALUE"""),"")</f>
        <v/>
      </c>
      <c r="X7246" s="16" t="str">
        <f>IFERROR(__xludf.DUMMYFUNCTION("""COMPUTED_VALUE"""),"")</f>
        <v/>
      </c>
      <c r="AC7246" s="16" t="str">
        <f>IFERROR(__xludf.DUMMYFUNCTION("""COMPUTED_VALUE"""),"")</f>
        <v/>
      </c>
    </row>
    <row r="7247">
      <c r="A7247" s="16" t="s">
        <v>87</v>
      </c>
      <c r="E7247" s="16" t="str">
        <f>IFERROR(__xludf.DUMMYFUNCTION("""COMPUTED_VALUE"""),"")</f>
        <v/>
      </c>
      <c r="G7247" s="18"/>
      <c r="H7247" s="16" t="s">
        <v>87</v>
      </c>
      <c r="I7247" s="16" t="s">
        <v>87</v>
      </c>
      <c r="J7247" s="19"/>
      <c r="L7247" s="16" t="str">
        <f>IFERROR(__xludf.DUMMYFUNCTION("""COMPUTED_VALUE"""),"")</f>
        <v/>
      </c>
      <c r="M7247" s="16" t="str">
        <f>IFERROR(__xludf.DUMMYFUNCTION("""COMPUTED_VALUE"""),"")</f>
        <v/>
      </c>
      <c r="U7247" s="16" t="s">
        <v>87</v>
      </c>
      <c r="V7247" s="16" t="str">
        <f>IFERROR(__xludf.DUMMYFUNCTION("""COMPUTED_VALUE"""),"")</f>
        <v/>
      </c>
      <c r="W7247" s="16" t="str">
        <f>IFERROR(__xludf.DUMMYFUNCTION("""COMPUTED_VALUE"""),"")</f>
        <v/>
      </c>
      <c r="X7247" s="16" t="str">
        <f>IFERROR(__xludf.DUMMYFUNCTION("""COMPUTED_VALUE"""),"")</f>
        <v/>
      </c>
      <c r="AC7247" s="16" t="str">
        <f>IFERROR(__xludf.DUMMYFUNCTION("""COMPUTED_VALUE"""),"")</f>
        <v/>
      </c>
    </row>
    <row r="7248">
      <c r="A7248" s="16" t="s">
        <v>87</v>
      </c>
      <c r="E7248" s="16" t="str">
        <f>IFERROR(__xludf.DUMMYFUNCTION("""COMPUTED_VALUE"""),"")</f>
        <v/>
      </c>
      <c r="G7248" s="18"/>
      <c r="H7248" s="16" t="s">
        <v>87</v>
      </c>
      <c r="I7248" s="16" t="s">
        <v>87</v>
      </c>
      <c r="J7248" s="19"/>
      <c r="L7248" s="16" t="str">
        <f>IFERROR(__xludf.DUMMYFUNCTION("""COMPUTED_VALUE"""),"")</f>
        <v/>
      </c>
      <c r="M7248" s="16" t="str">
        <f>IFERROR(__xludf.DUMMYFUNCTION("""COMPUTED_VALUE"""),"")</f>
        <v/>
      </c>
      <c r="U7248" s="16" t="s">
        <v>87</v>
      </c>
      <c r="V7248" s="16" t="str">
        <f>IFERROR(__xludf.DUMMYFUNCTION("""COMPUTED_VALUE"""),"")</f>
        <v/>
      </c>
      <c r="W7248" s="16" t="str">
        <f>IFERROR(__xludf.DUMMYFUNCTION("""COMPUTED_VALUE"""),"")</f>
        <v/>
      </c>
      <c r="X7248" s="16" t="str">
        <f>IFERROR(__xludf.DUMMYFUNCTION("""COMPUTED_VALUE"""),"")</f>
        <v/>
      </c>
      <c r="AC7248" s="16" t="str">
        <f>IFERROR(__xludf.DUMMYFUNCTION("""COMPUTED_VALUE"""),"")</f>
        <v/>
      </c>
    </row>
    <row r="7249">
      <c r="A7249" s="16" t="s">
        <v>87</v>
      </c>
      <c r="E7249" s="16" t="str">
        <f>IFERROR(__xludf.DUMMYFUNCTION("""COMPUTED_VALUE"""),"")</f>
        <v/>
      </c>
      <c r="G7249" s="18"/>
      <c r="H7249" s="16" t="s">
        <v>87</v>
      </c>
      <c r="I7249" s="16" t="s">
        <v>87</v>
      </c>
      <c r="J7249" s="19"/>
      <c r="L7249" s="16" t="str">
        <f>IFERROR(__xludf.DUMMYFUNCTION("""COMPUTED_VALUE"""),"")</f>
        <v/>
      </c>
      <c r="M7249" s="16" t="str">
        <f>IFERROR(__xludf.DUMMYFUNCTION("""COMPUTED_VALUE"""),"")</f>
        <v/>
      </c>
      <c r="U7249" s="16" t="s">
        <v>87</v>
      </c>
      <c r="V7249" s="16" t="str">
        <f>IFERROR(__xludf.DUMMYFUNCTION("""COMPUTED_VALUE"""),"")</f>
        <v/>
      </c>
      <c r="W7249" s="16" t="str">
        <f>IFERROR(__xludf.DUMMYFUNCTION("""COMPUTED_VALUE"""),"")</f>
        <v/>
      </c>
      <c r="X7249" s="16" t="str">
        <f>IFERROR(__xludf.DUMMYFUNCTION("""COMPUTED_VALUE"""),"")</f>
        <v/>
      </c>
      <c r="AC7249" s="16" t="str">
        <f>IFERROR(__xludf.DUMMYFUNCTION("""COMPUTED_VALUE"""),"")</f>
        <v/>
      </c>
    </row>
    <row r="7250">
      <c r="A7250" s="16" t="s">
        <v>87</v>
      </c>
      <c r="E7250" s="16" t="str">
        <f>IFERROR(__xludf.DUMMYFUNCTION("""COMPUTED_VALUE"""),"")</f>
        <v/>
      </c>
      <c r="G7250" s="18"/>
      <c r="H7250" s="16" t="s">
        <v>87</v>
      </c>
      <c r="I7250" s="16" t="s">
        <v>87</v>
      </c>
      <c r="J7250" s="19"/>
      <c r="L7250" s="16" t="str">
        <f>IFERROR(__xludf.DUMMYFUNCTION("""COMPUTED_VALUE"""),"")</f>
        <v/>
      </c>
      <c r="M7250" s="16" t="str">
        <f>IFERROR(__xludf.DUMMYFUNCTION("""COMPUTED_VALUE"""),"")</f>
        <v/>
      </c>
      <c r="U7250" s="16" t="s">
        <v>87</v>
      </c>
      <c r="V7250" s="16" t="str">
        <f>IFERROR(__xludf.DUMMYFUNCTION("""COMPUTED_VALUE"""),"")</f>
        <v/>
      </c>
      <c r="W7250" s="16" t="str">
        <f>IFERROR(__xludf.DUMMYFUNCTION("""COMPUTED_VALUE"""),"")</f>
        <v/>
      </c>
      <c r="X7250" s="16" t="str">
        <f>IFERROR(__xludf.DUMMYFUNCTION("""COMPUTED_VALUE"""),"")</f>
        <v/>
      </c>
      <c r="AC7250" s="16" t="str">
        <f>IFERROR(__xludf.DUMMYFUNCTION("""COMPUTED_VALUE"""),"")</f>
        <v/>
      </c>
    </row>
    <row r="7251">
      <c r="A7251" s="16" t="s">
        <v>87</v>
      </c>
      <c r="E7251" s="16" t="str">
        <f>IFERROR(__xludf.DUMMYFUNCTION("""COMPUTED_VALUE"""),"")</f>
        <v/>
      </c>
      <c r="G7251" s="18"/>
      <c r="H7251" s="16" t="s">
        <v>87</v>
      </c>
      <c r="I7251" s="16" t="s">
        <v>87</v>
      </c>
      <c r="J7251" s="19"/>
      <c r="L7251" s="16" t="str">
        <f>IFERROR(__xludf.DUMMYFUNCTION("""COMPUTED_VALUE"""),"")</f>
        <v/>
      </c>
      <c r="M7251" s="16" t="str">
        <f>IFERROR(__xludf.DUMMYFUNCTION("""COMPUTED_VALUE"""),"")</f>
        <v/>
      </c>
      <c r="U7251" s="16" t="s">
        <v>87</v>
      </c>
      <c r="V7251" s="16" t="str">
        <f>IFERROR(__xludf.DUMMYFUNCTION("""COMPUTED_VALUE"""),"")</f>
        <v/>
      </c>
      <c r="W7251" s="16" t="str">
        <f>IFERROR(__xludf.DUMMYFUNCTION("""COMPUTED_VALUE"""),"")</f>
        <v/>
      </c>
      <c r="X7251" s="16" t="str">
        <f>IFERROR(__xludf.DUMMYFUNCTION("""COMPUTED_VALUE"""),"")</f>
        <v/>
      </c>
      <c r="AC7251" s="16" t="str">
        <f>IFERROR(__xludf.DUMMYFUNCTION("""COMPUTED_VALUE"""),"")</f>
        <v/>
      </c>
    </row>
    <row r="7252">
      <c r="A7252" s="16" t="s">
        <v>87</v>
      </c>
      <c r="E7252" s="16" t="str">
        <f>IFERROR(__xludf.DUMMYFUNCTION("""COMPUTED_VALUE"""),"")</f>
        <v/>
      </c>
      <c r="G7252" s="18"/>
      <c r="H7252" s="16" t="s">
        <v>87</v>
      </c>
      <c r="I7252" s="16" t="s">
        <v>87</v>
      </c>
      <c r="J7252" s="19"/>
      <c r="L7252" s="16" t="str">
        <f>IFERROR(__xludf.DUMMYFUNCTION("""COMPUTED_VALUE"""),"")</f>
        <v/>
      </c>
      <c r="M7252" s="16" t="str">
        <f>IFERROR(__xludf.DUMMYFUNCTION("""COMPUTED_VALUE"""),"")</f>
        <v/>
      </c>
      <c r="U7252" s="16" t="s">
        <v>87</v>
      </c>
      <c r="V7252" s="16" t="str">
        <f>IFERROR(__xludf.DUMMYFUNCTION("""COMPUTED_VALUE"""),"")</f>
        <v/>
      </c>
      <c r="W7252" s="16" t="str">
        <f>IFERROR(__xludf.DUMMYFUNCTION("""COMPUTED_VALUE"""),"")</f>
        <v/>
      </c>
      <c r="X7252" s="16" t="str">
        <f>IFERROR(__xludf.DUMMYFUNCTION("""COMPUTED_VALUE"""),"")</f>
        <v/>
      </c>
      <c r="AC7252" s="16" t="str">
        <f>IFERROR(__xludf.DUMMYFUNCTION("""COMPUTED_VALUE"""),"")</f>
        <v/>
      </c>
    </row>
    <row r="7253">
      <c r="A7253" s="16" t="s">
        <v>87</v>
      </c>
      <c r="E7253" s="16" t="str">
        <f>IFERROR(__xludf.DUMMYFUNCTION("""COMPUTED_VALUE"""),"")</f>
        <v/>
      </c>
      <c r="G7253" s="18"/>
      <c r="H7253" s="16" t="s">
        <v>87</v>
      </c>
      <c r="I7253" s="16" t="s">
        <v>87</v>
      </c>
      <c r="J7253" s="19"/>
      <c r="L7253" s="16" t="str">
        <f>IFERROR(__xludf.DUMMYFUNCTION("""COMPUTED_VALUE"""),"")</f>
        <v/>
      </c>
      <c r="M7253" s="16" t="str">
        <f>IFERROR(__xludf.DUMMYFUNCTION("""COMPUTED_VALUE"""),"")</f>
        <v/>
      </c>
      <c r="U7253" s="16" t="s">
        <v>87</v>
      </c>
      <c r="V7253" s="16" t="str">
        <f>IFERROR(__xludf.DUMMYFUNCTION("""COMPUTED_VALUE"""),"")</f>
        <v/>
      </c>
      <c r="W7253" s="16" t="str">
        <f>IFERROR(__xludf.DUMMYFUNCTION("""COMPUTED_VALUE"""),"")</f>
        <v/>
      </c>
      <c r="X7253" s="16" t="str">
        <f>IFERROR(__xludf.DUMMYFUNCTION("""COMPUTED_VALUE"""),"")</f>
        <v/>
      </c>
      <c r="AC7253" s="16" t="str">
        <f>IFERROR(__xludf.DUMMYFUNCTION("""COMPUTED_VALUE"""),"")</f>
        <v/>
      </c>
    </row>
    <row r="7254">
      <c r="A7254" s="16" t="s">
        <v>87</v>
      </c>
      <c r="E7254" s="16" t="str">
        <f>IFERROR(__xludf.DUMMYFUNCTION("""COMPUTED_VALUE"""),"")</f>
        <v/>
      </c>
      <c r="G7254" s="18"/>
      <c r="H7254" s="16" t="s">
        <v>87</v>
      </c>
      <c r="I7254" s="16" t="s">
        <v>87</v>
      </c>
      <c r="J7254" s="19"/>
      <c r="L7254" s="16" t="str">
        <f>IFERROR(__xludf.DUMMYFUNCTION("""COMPUTED_VALUE"""),"")</f>
        <v/>
      </c>
      <c r="M7254" s="16" t="str">
        <f>IFERROR(__xludf.DUMMYFUNCTION("""COMPUTED_VALUE"""),"")</f>
        <v/>
      </c>
      <c r="U7254" s="16" t="s">
        <v>87</v>
      </c>
      <c r="V7254" s="16" t="str">
        <f>IFERROR(__xludf.DUMMYFUNCTION("""COMPUTED_VALUE"""),"")</f>
        <v/>
      </c>
      <c r="W7254" s="16" t="str">
        <f>IFERROR(__xludf.DUMMYFUNCTION("""COMPUTED_VALUE"""),"")</f>
        <v/>
      </c>
      <c r="X7254" s="16" t="str">
        <f>IFERROR(__xludf.DUMMYFUNCTION("""COMPUTED_VALUE"""),"")</f>
        <v/>
      </c>
      <c r="AC7254" s="16" t="str">
        <f>IFERROR(__xludf.DUMMYFUNCTION("""COMPUTED_VALUE"""),"")</f>
        <v/>
      </c>
    </row>
    <row r="7255">
      <c r="A7255" s="16" t="s">
        <v>87</v>
      </c>
      <c r="E7255" s="16" t="str">
        <f>IFERROR(__xludf.DUMMYFUNCTION("""COMPUTED_VALUE"""),"")</f>
        <v/>
      </c>
      <c r="G7255" s="18"/>
      <c r="H7255" s="16" t="s">
        <v>87</v>
      </c>
      <c r="I7255" s="16" t="s">
        <v>87</v>
      </c>
      <c r="J7255" s="19"/>
      <c r="L7255" s="16" t="str">
        <f>IFERROR(__xludf.DUMMYFUNCTION("""COMPUTED_VALUE"""),"")</f>
        <v/>
      </c>
      <c r="M7255" s="16" t="str">
        <f>IFERROR(__xludf.DUMMYFUNCTION("""COMPUTED_VALUE"""),"")</f>
        <v/>
      </c>
      <c r="U7255" s="16" t="s">
        <v>87</v>
      </c>
      <c r="V7255" s="16" t="str">
        <f>IFERROR(__xludf.DUMMYFUNCTION("""COMPUTED_VALUE"""),"")</f>
        <v/>
      </c>
      <c r="W7255" s="16" t="str">
        <f>IFERROR(__xludf.DUMMYFUNCTION("""COMPUTED_VALUE"""),"")</f>
        <v/>
      </c>
      <c r="X7255" s="16" t="str">
        <f>IFERROR(__xludf.DUMMYFUNCTION("""COMPUTED_VALUE"""),"")</f>
        <v/>
      </c>
      <c r="AC7255" s="16" t="str">
        <f>IFERROR(__xludf.DUMMYFUNCTION("""COMPUTED_VALUE"""),"")</f>
        <v/>
      </c>
    </row>
    <row r="7256">
      <c r="A7256" s="16" t="s">
        <v>87</v>
      </c>
      <c r="E7256" s="16" t="str">
        <f>IFERROR(__xludf.DUMMYFUNCTION("""COMPUTED_VALUE"""),"")</f>
        <v/>
      </c>
      <c r="G7256" s="18"/>
      <c r="H7256" s="16" t="s">
        <v>87</v>
      </c>
      <c r="I7256" s="16" t="s">
        <v>87</v>
      </c>
      <c r="J7256" s="19"/>
      <c r="L7256" s="16" t="str">
        <f>IFERROR(__xludf.DUMMYFUNCTION("""COMPUTED_VALUE"""),"")</f>
        <v/>
      </c>
      <c r="M7256" s="16" t="str">
        <f>IFERROR(__xludf.DUMMYFUNCTION("""COMPUTED_VALUE"""),"")</f>
        <v/>
      </c>
      <c r="U7256" s="16" t="s">
        <v>87</v>
      </c>
      <c r="V7256" s="16" t="str">
        <f>IFERROR(__xludf.DUMMYFUNCTION("""COMPUTED_VALUE"""),"")</f>
        <v/>
      </c>
      <c r="W7256" s="16" t="str">
        <f>IFERROR(__xludf.DUMMYFUNCTION("""COMPUTED_VALUE"""),"")</f>
        <v/>
      </c>
      <c r="X7256" s="16" t="str">
        <f>IFERROR(__xludf.DUMMYFUNCTION("""COMPUTED_VALUE"""),"")</f>
        <v/>
      </c>
      <c r="AC7256" s="16" t="str">
        <f>IFERROR(__xludf.DUMMYFUNCTION("""COMPUTED_VALUE"""),"")</f>
        <v/>
      </c>
    </row>
    <row r="7257">
      <c r="A7257" s="16" t="s">
        <v>87</v>
      </c>
      <c r="E7257" s="16" t="str">
        <f>IFERROR(__xludf.DUMMYFUNCTION("""COMPUTED_VALUE"""),"")</f>
        <v/>
      </c>
      <c r="G7257" s="18"/>
      <c r="H7257" s="16" t="s">
        <v>87</v>
      </c>
      <c r="I7257" s="16" t="s">
        <v>87</v>
      </c>
      <c r="J7257" s="19"/>
      <c r="L7257" s="16" t="str">
        <f>IFERROR(__xludf.DUMMYFUNCTION("""COMPUTED_VALUE"""),"")</f>
        <v/>
      </c>
      <c r="M7257" s="16" t="str">
        <f>IFERROR(__xludf.DUMMYFUNCTION("""COMPUTED_VALUE"""),"")</f>
        <v/>
      </c>
      <c r="U7257" s="16" t="s">
        <v>87</v>
      </c>
      <c r="V7257" s="16" t="str">
        <f>IFERROR(__xludf.DUMMYFUNCTION("""COMPUTED_VALUE"""),"")</f>
        <v/>
      </c>
      <c r="W7257" s="16" t="str">
        <f>IFERROR(__xludf.DUMMYFUNCTION("""COMPUTED_VALUE"""),"")</f>
        <v/>
      </c>
      <c r="X7257" s="16" t="str">
        <f>IFERROR(__xludf.DUMMYFUNCTION("""COMPUTED_VALUE"""),"")</f>
        <v/>
      </c>
      <c r="AC7257" s="16" t="str">
        <f>IFERROR(__xludf.DUMMYFUNCTION("""COMPUTED_VALUE"""),"")</f>
        <v/>
      </c>
    </row>
    <row r="7258">
      <c r="A7258" s="16" t="s">
        <v>87</v>
      </c>
      <c r="E7258" s="16" t="str">
        <f>IFERROR(__xludf.DUMMYFUNCTION("""COMPUTED_VALUE"""),"")</f>
        <v/>
      </c>
      <c r="G7258" s="18"/>
      <c r="H7258" s="16" t="s">
        <v>87</v>
      </c>
      <c r="I7258" s="16" t="s">
        <v>87</v>
      </c>
      <c r="J7258" s="19"/>
      <c r="L7258" s="16" t="str">
        <f>IFERROR(__xludf.DUMMYFUNCTION("""COMPUTED_VALUE"""),"")</f>
        <v/>
      </c>
      <c r="M7258" s="16" t="str">
        <f>IFERROR(__xludf.DUMMYFUNCTION("""COMPUTED_VALUE"""),"")</f>
        <v/>
      </c>
      <c r="U7258" s="16" t="s">
        <v>87</v>
      </c>
      <c r="V7258" s="16" t="str">
        <f>IFERROR(__xludf.DUMMYFUNCTION("""COMPUTED_VALUE"""),"")</f>
        <v/>
      </c>
      <c r="W7258" s="16" t="str">
        <f>IFERROR(__xludf.DUMMYFUNCTION("""COMPUTED_VALUE"""),"")</f>
        <v/>
      </c>
      <c r="X7258" s="16" t="str">
        <f>IFERROR(__xludf.DUMMYFUNCTION("""COMPUTED_VALUE"""),"")</f>
        <v/>
      </c>
      <c r="AC7258" s="16" t="str">
        <f>IFERROR(__xludf.DUMMYFUNCTION("""COMPUTED_VALUE"""),"")</f>
        <v/>
      </c>
    </row>
    <row r="7259">
      <c r="A7259" s="16" t="s">
        <v>87</v>
      </c>
      <c r="E7259" s="16" t="str">
        <f>IFERROR(__xludf.DUMMYFUNCTION("""COMPUTED_VALUE"""),"")</f>
        <v/>
      </c>
      <c r="G7259" s="18"/>
      <c r="H7259" s="16" t="s">
        <v>87</v>
      </c>
      <c r="I7259" s="16" t="s">
        <v>87</v>
      </c>
      <c r="J7259" s="19"/>
      <c r="L7259" s="16" t="str">
        <f>IFERROR(__xludf.DUMMYFUNCTION("""COMPUTED_VALUE"""),"")</f>
        <v/>
      </c>
      <c r="M7259" s="16" t="str">
        <f>IFERROR(__xludf.DUMMYFUNCTION("""COMPUTED_VALUE"""),"")</f>
        <v/>
      </c>
      <c r="U7259" s="16" t="s">
        <v>87</v>
      </c>
      <c r="V7259" s="16" t="str">
        <f>IFERROR(__xludf.DUMMYFUNCTION("""COMPUTED_VALUE"""),"")</f>
        <v/>
      </c>
      <c r="W7259" s="16" t="str">
        <f>IFERROR(__xludf.DUMMYFUNCTION("""COMPUTED_VALUE"""),"")</f>
        <v/>
      </c>
      <c r="X7259" s="16" t="str">
        <f>IFERROR(__xludf.DUMMYFUNCTION("""COMPUTED_VALUE"""),"")</f>
        <v/>
      </c>
      <c r="AC7259" s="16" t="str">
        <f>IFERROR(__xludf.DUMMYFUNCTION("""COMPUTED_VALUE"""),"")</f>
        <v/>
      </c>
    </row>
    <row r="7260">
      <c r="A7260" s="16" t="s">
        <v>87</v>
      </c>
      <c r="E7260" s="16" t="str">
        <f>IFERROR(__xludf.DUMMYFUNCTION("""COMPUTED_VALUE"""),"")</f>
        <v/>
      </c>
      <c r="G7260" s="18"/>
      <c r="H7260" s="16" t="s">
        <v>87</v>
      </c>
      <c r="I7260" s="16" t="s">
        <v>87</v>
      </c>
      <c r="J7260" s="19"/>
      <c r="L7260" s="16" t="str">
        <f>IFERROR(__xludf.DUMMYFUNCTION("""COMPUTED_VALUE"""),"")</f>
        <v/>
      </c>
      <c r="M7260" s="16" t="str">
        <f>IFERROR(__xludf.DUMMYFUNCTION("""COMPUTED_VALUE"""),"")</f>
        <v/>
      </c>
      <c r="U7260" s="16" t="s">
        <v>87</v>
      </c>
      <c r="V7260" s="16" t="str">
        <f>IFERROR(__xludf.DUMMYFUNCTION("""COMPUTED_VALUE"""),"")</f>
        <v/>
      </c>
      <c r="W7260" s="16" t="str">
        <f>IFERROR(__xludf.DUMMYFUNCTION("""COMPUTED_VALUE"""),"")</f>
        <v/>
      </c>
      <c r="X7260" s="16" t="str">
        <f>IFERROR(__xludf.DUMMYFUNCTION("""COMPUTED_VALUE"""),"")</f>
        <v/>
      </c>
      <c r="AC7260" s="16" t="str">
        <f>IFERROR(__xludf.DUMMYFUNCTION("""COMPUTED_VALUE"""),"")</f>
        <v/>
      </c>
    </row>
    <row r="7261">
      <c r="A7261" s="16" t="s">
        <v>87</v>
      </c>
      <c r="E7261" s="16" t="str">
        <f>IFERROR(__xludf.DUMMYFUNCTION("""COMPUTED_VALUE"""),"")</f>
        <v/>
      </c>
      <c r="G7261" s="18"/>
      <c r="H7261" s="16" t="s">
        <v>87</v>
      </c>
      <c r="I7261" s="16" t="s">
        <v>87</v>
      </c>
      <c r="J7261" s="19"/>
      <c r="L7261" s="16" t="str">
        <f>IFERROR(__xludf.DUMMYFUNCTION("""COMPUTED_VALUE"""),"")</f>
        <v/>
      </c>
      <c r="M7261" s="16" t="str">
        <f>IFERROR(__xludf.DUMMYFUNCTION("""COMPUTED_VALUE"""),"")</f>
        <v/>
      </c>
      <c r="U7261" s="16" t="s">
        <v>87</v>
      </c>
      <c r="V7261" s="16" t="str">
        <f>IFERROR(__xludf.DUMMYFUNCTION("""COMPUTED_VALUE"""),"")</f>
        <v/>
      </c>
      <c r="W7261" s="16" t="str">
        <f>IFERROR(__xludf.DUMMYFUNCTION("""COMPUTED_VALUE"""),"")</f>
        <v/>
      </c>
      <c r="X7261" s="16" t="str">
        <f>IFERROR(__xludf.DUMMYFUNCTION("""COMPUTED_VALUE"""),"")</f>
        <v/>
      </c>
      <c r="AC7261" s="16" t="str">
        <f>IFERROR(__xludf.DUMMYFUNCTION("""COMPUTED_VALUE"""),"")</f>
        <v/>
      </c>
    </row>
    <row r="7262">
      <c r="A7262" s="16" t="s">
        <v>87</v>
      </c>
      <c r="E7262" s="16" t="str">
        <f>IFERROR(__xludf.DUMMYFUNCTION("""COMPUTED_VALUE"""),"")</f>
        <v/>
      </c>
      <c r="G7262" s="18"/>
      <c r="H7262" s="16" t="s">
        <v>87</v>
      </c>
      <c r="I7262" s="16" t="s">
        <v>87</v>
      </c>
      <c r="J7262" s="19"/>
      <c r="L7262" s="16" t="str">
        <f>IFERROR(__xludf.DUMMYFUNCTION("""COMPUTED_VALUE"""),"")</f>
        <v/>
      </c>
      <c r="M7262" s="16" t="str">
        <f>IFERROR(__xludf.DUMMYFUNCTION("""COMPUTED_VALUE"""),"")</f>
        <v/>
      </c>
      <c r="U7262" s="16" t="s">
        <v>87</v>
      </c>
      <c r="V7262" s="16" t="str">
        <f>IFERROR(__xludf.DUMMYFUNCTION("""COMPUTED_VALUE"""),"")</f>
        <v/>
      </c>
      <c r="W7262" s="16" t="str">
        <f>IFERROR(__xludf.DUMMYFUNCTION("""COMPUTED_VALUE"""),"")</f>
        <v/>
      </c>
      <c r="X7262" s="16" t="str">
        <f>IFERROR(__xludf.DUMMYFUNCTION("""COMPUTED_VALUE"""),"")</f>
        <v/>
      </c>
      <c r="AC7262" s="16" t="str">
        <f>IFERROR(__xludf.DUMMYFUNCTION("""COMPUTED_VALUE"""),"")</f>
        <v/>
      </c>
    </row>
    <row r="7263">
      <c r="A7263" s="16" t="s">
        <v>87</v>
      </c>
      <c r="E7263" s="16" t="str">
        <f>IFERROR(__xludf.DUMMYFUNCTION("""COMPUTED_VALUE"""),"")</f>
        <v/>
      </c>
      <c r="G7263" s="18"/>
      <c r="H7263" s="16" t="s">
        <v>87</v>
      </c>
      <c r="I7263" s="16" t="s">
        <v>87</v>
      </c>
      <c r="J7263" s="19"/>
      <c r="L7263" s="16" t="str">
        <f>IFERROR(__xludf.DUMMYFUNCTION("""COMPUTED_VALUE"""),"")</f>
        <v/>
      </c>
      <c r="M7263" s="16" t="str">
        <f>IFERROR(__xludf.DUMMYFUNCTION("""COMPUTED_VALUE"""),"")</f>
        <v/>
      </c>
      <c r="U7263" s="16" t="s">
        <v>87</v>
      </c>
      <c r="V7263" s="16" t="str">
        <f>IFERROR(__xludf.DUMMYFUNCTION("""COMPUTED_VALUE"""),"")</f>
        <v/>
      </c>
      <c r="W7263" s="16" t="str">
        <f>IFERROR(__xludf.DUMMYFUNCTION("""COMPUTED_VALUE"""),"")</f>
        <v/>
      </c>
      <c r="X7263" s="16" t="str">
        <f>IFERROR(__xludf.DUMMYFUNCTION("""COMPUTED_VALUE"""),"")</f>
        <v/>
      </c>
      <c r="AC7263" s="16" t="str">
        <f>IFERROR(__xludf.DUMMYFUNCTION("""COMPUTED_VALUE"""),"")</f>
        <v/>
      </c>
    </row>
    <row r="7264">
      <c r="A7264" s="16" t="s">
        <v>87</v>
      </c>
      <c r="E7264" s="16" t="str">
        <f>IFERROR(__xludf.DUMMYFUNCTION("""COMPUTED_VALUE"""),"")</f>
        <v/>
      </c>
      <c r="G7264" s="18"/>
      <c r="H7264" s="16" t="s">
        <v>87</v>
      </c>
      <c r="I7264" s="16" t="s">
        <v>87</v>
      </c>
      <c r="J7264" s="19"/>
      <c r="L7264" s="16" t="str">
        <f>IFERROR(__xludf.DUMMYFUNCTION("""COMPUTED_VALUE"""),"")</f>
        <v/>
      </c>
      <c r="M7264" s="16" t="str">
        <f>IFERROR(__xludf.DUMMYFUNCTION("""COMPUTED_VALUE"""),"")</f>
        <v/>
      </c>
      <c r="U7264" s="16" t="s">
        <v>87</v>
      </c>
      <c r="V7264" s="16" t="str">
        <f>IFERROR(__xludf.DUMMYFUNCTION("""COMPUTED_VALUE"""),"")</f>
        <v/>
      </c>
      <c r="W7264" s="16" t="str">
        <f>IFERROR(__xludf.DUMMYFUNCTION("""COMPUTED_VALUE"""),"")</f>
        <v/>
      </c>
      <c r="X7264" s="16" t="str">
        <f>IFERROR(__xludf.DUMMYFUNCTION("""COMPUTED_VALUE"""),"")</f>
        <v/>
      </c>
      <c r="AC7264" s="16" t="str">
        <f>IFERROR(__xludf.DUMMYFUNCTION("""COMPUTED_VALUE"""),"")</f>
        <v/>
      </c>
    </row>
    <row r="7265">
      <c r="A7265" s="16" t="s">
        <v>87</v>
      </c>
      <c r="E7265" s="16" t="str">
        <f>IFERROR(__xludf.DUMMYFUNCTION("""COMPUTED_VALUE"""),"")</f>
        <v/>
      </c>
      <c r="G7265" s="18"/>
      <c r="H7265" s="16" t="s">
        <v>87</v>
      </c>
      <c r="I7265" s="16" t="s">
        <v>87</v>
      </c>
      <c r="J7265" s="19"/>
      <c r="L7265" s="16" t="str">
        <f>IFERROR(__xludf.DUMMYFUNCTION("""COMPUTED_VALUE"""),"")</f>
        <v/>
      </c>
      <c r="M7265" s="16" t="str">
        <f>IFERROR(__xludf.DUMMYFUNCTION("""COMPUTED_VALUE"""),"")</f>
        <v/>
      </c>
      <c r="U7265" s="16" t="s">
        <v>87</v>
      </c>
      <c r="V7265" s="16" t="str">
        <f>IFERROR(__xludf.DUMMYFUNCTION("""COMPUTED_VALUE"""),"")</f>
        <v/>
      </c>
      <c r="W7265" s="16" t="str">
        <f>IFERROR(__xludf.DUMMYFUNCTION("""COMPUTED_VALUE"""),"")</f>
        <v/>
      </c>
      <c r="X7265" s="16" t="str">
        <f>IFERROR(__xludf.DUMMYFUNCTION("""COMPUTED_VALUE"""),"")</f>
        <v/>
      </c>
      <c r="AC7265" s="16" t="str">
        <f>IFERROR(__xludf.DUMMYFUNCTION("""COMPUTED_VALUE"""),"")</f>
        <v/>
      </c>
    </row>
    <row r="7266">
      <c r="A7266" s="16" t="s">
        <v>87</v>
      </c>
      <c r="E7266" s="16" t="str">
        <f>IFERROR(__xludf.DUMMYFUNCTION("""COMPUTED_VALUE"""),"")</f>
        <v/>
      </c>
      <c r="G7266" s="18"/>
      <c r="H7266" s="16" t="s">
        <v>87</v>
      </c>
      <c r="I7266" s="16" t="s">
        <v>87</v>
      </c>
      <c r="J7266" s="19"/>
      <c r="L7266" s="16" t="str">
        <f>IFERROR(__xludf.DUMMYFUNCTION("""COMPUTED_VALUE"""),"")</f>
        <v/>
      </c>
      <c r="M7266" s="16" t="str">
        <f>IFERROR(__xludf.DUMMYFUNCTION("""COMPUTED_VALUE"""),"")</f>
        <v/>
      </c>
      <c r="U7266" s="16" t="s">
        <v>87</v>
      </c>
      <c r="V7266" s="16" t="str">
        <f>IFERROR(__xludf.DUMMYFUNCTION("""COMPUTED_VALUE"""),"")</f>
        <v/>
      </c>
      <c r="W7266" s="16" t="str">
        <f>IFERROR(__xludf.DUMMYFUNCTION("""COMPUTED_VALUE"""),"")</f>
        <v/>
      </c>
      <c r="X7266" s="16" t="str">
        <f>IFERROR(__xludf.DUMMYFUNCTION("""COMPUTED_VALUE"""),"")</f>
        <v/>
      </c>
      <c r="AC7266" s="16" t="str">
        <f>IFERROR(__xludf.DUMMYFUNCTION("""COMPUTED_VALUE"""),"")</f>
        <v/>
      </c>
    </row>
    <row r="7267">
      <c r="A7267" s="16" t="s">
        <v>87</v>
      </c>
      <c r="E7267" s="16" t="str">
        <f>IFERROR(__xludf.DUMMYFUNCTION("""COMPUTED_VALUE"""),"")</f>
        <v/>
      </c>
      <c r="G7267" s="18"/>
      <c r="H7267" s="16" t="s">
        <v>87</v>
      </c>
      <c r="I7267" s="16" t="s">
        <v>87</v>
      </c>
      <c r="J7267" s="19"/>
      <c r="L7267" s="16" t="str">
        <f>IFERROR(__xludf.DUMMYFUNCTION("""COMPUTED_VALUE"""),"")</f>
        <v/>
      </c>
      <c r="M7267" s="16" t="str">
        <f>IFERROR(__xludf.DUMMYFUNCTION("""COMPUTED_VALUE"""),"")</f>
        <v/>
      </c>
      <c r="U7267" s="16" t="s">
        <v>87</v>
      </c>
      <c r="V7267" s="16" t="str">
        <f>IFERROR(__xludf.DUMMYFUNCTION("""COMPUTED_VALUE"""),"")</f>
        <v/>
      </c>
      <c r="W7267" s="16" t="str">
        <f>IFERROR(__xludf.DUMMYFUNCTION("""COMPUTED_VALUE"""),"")</f>
        <v/>
      </c>
      <c r="X7267" s="16" t="str">
        <f>IFERROR(__xludf.DUMMYFUNCTION("""COMPUTED_VALUE"""),"")</f>
        <v/>
      </c>
      <c r="AC7267" s="16" t="str">
        <f>IFERROR(__xludf.DUMMYFUNCTION("""COMPUTED_VALUE"""),"")</f>
        <v/>
      </c>
    </row>
    <row r="7268">
      <c r="A7268" s="16" t="s">
        <v>87</v>
      </c>
      <c r="E7268" s="16" t="str">
        <f>IFERROR(__xludf.DUMMYFUNCTION("""COMPUTED_VALUE"""),"")</f>
        <v/>
      </c>
      <c r="G7268" s="18"/>
      <c r="H7268" s="16" t="s">
        <v>87</v>
      </c>
      <c r="I7268" s="16" t="s">
        <v>87</v>
      </c>
      <c r="J7268" s="19"/>
      <c r="L7268" s="16" t="str">
        <f>IFERROR(__xludf.DUMMYFUNCTION("""COMPUTED_VALUE"""),"")</f>
        <v/>
      </c>
      <c r="M7268" s="16" t="str">
        <f>IFERROR(__xludf.DUMMYFUNCTION("""COMPUTED_VALUE"""),"")</f>
        <v/>
      </c>
      <c r="U7268" s="16" t="s">
        <v>87</v>
      </c>
      <c r="V7268" s="16" t="str">
        <f>IFERROR(__xludf.DUMMYFUNCTION("""COMPUTED_VALUE"""),"")</f>
        <v/>
      </c>
      <c r="W7268" s="16" t="str">
        <f>IFERROR(__xludf.DUMMYFUNCTION("""COMPUTED_VALUE"""),"")</f>
        <v/>
      </c>
      <c r="X7268" s="16" t="str">
        <f>IFERROR(__xludf.DUMMYFUNCTION("""COMPUTED_VALUE"""),"")</f>
        <v/>
      </c>
      <c r="AC7268" s="16" t="str">
        <f>IFERROR(__xludf.DUMMYFUNCTION("""COMPUTED_VALUE"""),"")</f>
        <v/>
      </c>
    </row>
    <row r="7269">
      <c r="A7269" s="16" t="s">
        <v>87</v>
      </c>
      <c r="E7269" s="16" t="str">
        <f>IFERROR(__xludf.DUMMYFUNCTION("""COMPUTED_VALUE"""),"")</f>
        <v/>
      </c>
      <c r="G7269" s="18"/>
      <c r="H7269" s="16" t="s">
        <v>87</v>
      </c>
      <c r="I7269" s="16" t="s">
        <v>87</v>
      </c>
      <c r="J7269" s="19"/>
      <c r="L7269" s="16" t="str">
        <f>IFERROR(__xludf.DUMMYFUNCTION("""COMPUTED_VALUE"""),"")</f>
        <v/>
      </c>
      <c r="M7269" s="16" t="str">
        <f>IFERROR(__xludf.DUMMYFUNCTION("""COMPUTED_VALUE"""),"")</f>
        <v/>
      </c>
      <c r="U7269" s="16" t="s">
        <v>87</v>
      </c>
      <c r="V7269" s="16" t="str">
        <f>IFERROR(__xludf.DUMMYFUNCTION("""COMPUTED_VALUE"""),"")</f>
        <v/>
      </c>
      <c r="W7269" s="16" t="str">
        <f>IFERROR(__xludf.DUMMYFUNCTION("""COMPUTED_VALUE"""),"")</f>
        <v/>
      </c>
      <c r="X7269" s="16" t="str">
        <f>IFERROR(__xludf.DUMMYFUNCTION("""COMPUTED_VALUE"""),"")</f>
        <v/>
      </c>
      <c r="AC7269" s="16" t="str">
        <f>IFERROR(__xludf.DUMMYFUNCTION("""COMPUTED_VALUE"""),"")</f>
        <v/>
      </c>
    </row>
    <row r="7270">
      <c r="A7270" s="16" t="s">
        <v>87</v>
      </c>
      <c r="E7270" s="16" t="str">
        <f>IFERROR(__xludf.DUMMYFUNCTION("""COMPUTED_VALUE"""),"")</f>
        <v/>
      </c>
      <c r="G7270" s="18"/>
      <c r="H7270" s="16" t="s">
        <v>87</v>
      </c>
      <c r="I7270" s="16" t="s">
        <v>87</v>
      </c>
      <c r="J7270" s="19"/>
      <c r="L7270" s="16" t="str">
        <f>IFERROR(__xludf.DUMMYFUNCTION("""COMPUTED_VALUE"""),"")</f>
        <v/>
      </c>
      <c r="M7270" s="16" t="str">
        <f>IFERROR(__xludf.DUMMYFUNCTION("""COMPUTED_VALUE"""),"")</f>
        <v/>
      </c>
      <c r="U7270" s="16" t="s">
        <v>87</v>
      </c>
      <c r="V7270" s="16" t="str">
        <f>IFERROR(__xludf.DUMMYFUNCTION("""COMPUTED_VALUE"""),"")</f>
        <v/>
      </c>
      <c r="W7270" s="16" t="str">
        <f>IFERROR(__xludf.DUMMYFUNCTION("""COMPUTED_VALUE"""),"")</f>
        <v/>
      </c>
      <c r="X7270" s="16" t="str">
        <f>IFERROR(__xludf.DUMMYFUNCTION("""COMPUTED_VALUE"""),"")</f>
        <v/>
      </c>
      <c r="AC7270" s="16" t="str">
        <f>IFERROR(__xludf.DUMMYFUNCTION("""COMPUTED_VALUE"""),"")</f>
        <v/>
      </c>
    </row>
    <row r="7271">
      <c r="A7271" s="16" t="s">
        <v>87</v>
      </c>
      <c r="E7271" s="16" t="str">
        <f>IFERROR(__xludf.DUMMYFUNCTION("""COMPUTED_VALUE"""),"")</f>
        <v/>
      </c>
      <c r="G7271" s="18"/>
      <c r="H7271" s="16" t="s">
        <v>87</v>
      </c>
      <c r="I7271" s="16" t="s">
        <v>87</v>
      </c>
      <c r="J7271" s="19"/>
      <c r="L7271" s="16" t="str">
        <f>IFERROR(__xludf.DUMMYFUNCTION("""COMPUTED_VALUE"""),"")</f>
        <v/>
      </c>
      <c r="M7271" s="16" t="str">
        <f>IFERROR(__xludf.DUMMYFUNCTION("""COMPUTED_VALUE"""),"")</f>
        <v/>
      </c>
      <c r="U7271" s="16" t="s">
        <v>87</v>
      </c>
      <c r="V7271" s="16" t="str">
        <f>IFERROR(__xludf.DUMMYFUNCTION("""COMPUTED_VALUE"""),"")</f>
        <v/>
      </c>
      <c r="W7271" s="16" t="str">
        <f>IFERROR(__xludf.DUMMYFUNCTION("""COMPUTED_VALUE"""),"")</f>
        <v/>
      </c>
      <c r="X7271" s="16" t="str">
        <f>IFERROR(__xludf.DUMMYFUNCTION("""COMPUTED_VALUE"""),"")</f>
        <v/>
      </c>
      <c r="AC7271" s="16" t="str">
        <f>IFERROR(__xludf.DUMMYFUNCTION("""COMPUTED_VALUE"""),"")</f>
        <v/>
      </c>
    </row>
    <row r="7272">
      <c r="A7272" s="16" t="s">
        <v>87</v>
      </c>
      <c r="E7272" s="16" t="str">
        <f>IFERROR(__xludf.DUMMYFUNCTION("""COMPUTED_VALUE"""),"")</f>
        <v/>
      </c>
      <c r="G7272" s="18"/>
      <c r="H7272" s="16" t="s">
        <v>87</v>
      </c>
      <c r="I7272" s="16" t="s">
        <v>87</v>
      </c>
      <c r="J7272" s="19"/>
      <c r="L7272" s="16" t="str">
        <f>IFERROR(__xludf.DUMMYFUNCTION("""COMPUTED_VALUE"""),"")</f>
        <v/>
      </c>
      <c r="M7272" s="16" t="str">
        <f>IFERROR(__xludf.DUMMYFUNCTION("""COMPUTED_VALUE"""),"")</f>
        <v/>
      </c>
      <c r="U7272" s="16" t="s">
        <v>87</v>
      </c>
      <c r="V7272" s="16" t="str">
        <f>IFERROR(__xludf.DUMMYFUNCTION("""COMPUTED_VALUE"""),"")</f>
        <v/>
      </c>
      <c r="W7272" s="16" t="str">
        <f>IFERROR(__xludf.DUMMYFUNCTION("""COMPUTED_VALUE"""),"")</f>
        <v/>
      </c>
      <c r="X7272" s="16" t="str">
        <f>IFERROR(__xludf.DUMMYFUNCTION("""COMPUTED_VALUE"""),"")</f>
        <v/>
      </c>
      <c r="AC7272" s="16" t="str">
        <f>IFERROR(__xludf.DUMMYFUNCTION("""COMPUTED_VALUE"""),"")</f>
        <v/>
      </c>
    </row>
    <row r="7273">
      <c r="A7273" s="16" t="s">
        <v>87</v>
      </c>
      <c r="E7273" s="16" t="str">
        <f>IFERROR(__xludf.DUMMYFUNCTION("""COMPUTED_VALUE"""),"")</f>
        <v/>
      </c>
      <c r="G7273" s="18"/>
      <c r="H7273" s="16" t="s">
        <v>87</v>
      </c>
      <c r="I7273" s="16" t="s">
        <v>87</v>
      </c>
      <c r="J7273" s="19"/>
      <c r="L7273" s="16" t="str">
        <f>IFERROR(__xludf.DUMMYFUNCTION("""COMPUTED_VALUE"""),"")</f>
        <v/>
      </c>
      <c r="M7273" s="16" t="str">
        <f>IFERROR(__xludf.DUMMYFUNCTION("""COMPUTED_VALUE"""),"")</f>
        <v/>
      </c>
      <c r="U7273" s="16" t="s">
        <v>87</v>
      </c>
      <c r="V7273" s="16" t="str">
        <f>IFERROR(__xludf.DUMMYFUNCTION("""COMPUTED_VALUE"""),"")</f>
        <v/>
      </c>
      <c r="W7273" s="16" t="str">
        <f>IFERROR(__xludf.DUMMYFUNCTION("""COMPUTED_VALUE"""),"")</f>
        <v/>
      </c>
      <c r="X7273" s="16" t="str">
        <f>IFERROR(__xludf.DUMMYFUNCTION("""COMPUTED_VALUE"""),"")</f>
        <v/>
      </c>
      <c r="AC7273" s="16" t="str">
        <f>IFERROR(__xludf.DUMMYFUNCTION("""COMPUTED_VALUE"""),"")</f>
        <v/>
      </c>
    </row>
    <row r="7274">
      <c r="A7274" s="16" t="s">
        <v>87</v>
      </c>
      <c r="E7274" s="16" t="str">
        <f>IFERROR(__xludf.DUMMYFUNCTION("""COMPUTED_VALUE"""),"")</f>
        <v/>
      </c>
      <c r="G7274" s="18"/>
      <c r="H7274" s="16" t="s">
        <v>87</v>
      </c>
      <c r="I7274" s="16" t="s">
        <v>87</v>
      </c>
      <c r="J7274" s="19"/>
      <c r="L7274" s="16" t="str">
        <f>IFERROR(__xludf.DUMMYFUNCTION("""COMPUTED_VALUE"""),"")</f>
        <v/>
      </c>
      <c r="M7274" s="16" t="str">
        <f>IFERROR(__xludf.DUMMYFUNCTION("""COMPUTED_VALUE"""),"")</f>
        <v/>
      </c>
      <c r="U7274" s="16" t="s">
        <v>87</v>
      </c>
      <c r="V7274" s="16" t="str">
        <f>IFERROR(__xludf.DUMMYFUNCTION("""COMPUTED_VALUE"""),"")</f>
        <v/>
      </c>
      <c r="W7274" s="16" t="str">
        <f>IFERROR(__xludf.DUMMYFUNCTION("""COMPUTED_VALUE"""),"")</f>
        <v/>
      </c>
      <c r="X7274" s="16" t="str">
        <f>IFERROR(__xludf.DUMMYFUNCTION("""COMPUTED_VALUE"""),"")</f>
        <v/>
      </c>
      <c r="AC7274" s="16" t="str">
        <f>IFERROR(__xludf.DUMMYFUNCTION("""COMPUTED_VALUE"""),"")</f>
        <v/>
      </c>
    </row>
    <row r="7275">
      <c r="A7275" s="16" t="s">
        <v>87</v>
      </c>
      <c r="E7275" s="16" t="str">
        <f>IFERROR(__xludf.DUMMYFUNCTION("""COMPUTED_VALUE"""),"")</f>
        <v/>
      </c>
      <c r="G7275" s="18"/>
      <c r="H7275" s="16" t="s">
        <v>87</v>
      </c>
      <c r="I7275" s="16" t="s">
        <v>87</v>
      </c>
      <c r="J7275" s="19"/>
      <c r="L7275" s="16" t="str">
        <f>IFERROR(__xludf.DUMMYFUNCTION("""COMPUTED_VALUE"""),"")</f>
        <v/>
      </c>
      <c r="M7275" s="16" t="str">
        <f>IFERROR(__xludf.DUMMYFUNCTION("""COMPUTED_VALUE"""),"")</f>
        <v/>
      </c>
      <c r="U7275" s="16" t="s">
        <v>87</v>
      </c>
      <c r="V7275" s="16" t="str">
        <f>IFERROR(__xludf.DUMMYFUNCTION("""COMPUTED_VALUE"""),"")</f>
        <v/>
      </c>
      <c r="W7275" s="16" t="str">
        <f>IFERROR(__xludf.DUMMYFUNCTION("""COMPUTED_VALUE"""),"")</f>
        <v/>
      </c>
      <c r="X7275" s="16" t="str">
        <f>IFERROR(__xludf.DUMMYFUNCTION("""COMPUTED_VALUE"""),"")</f>
        <v/>
      </c>
      <c r="AC7275" s="16" t="str">
        <f>IFERROR(__xludf.DUMMYFUNCTION("""COMPUTED_VALUE"""),"")</f>
        <v/>
      </c>
    </row>
    <row r="7276">
      <c r="A7276" s="16" t="s">
        <v>87</v>
      </c>
      <c r="E7276" s="16" t="str">
        <f>IFERROR(__xludf.DUMMYFUNCTION("""COMPUTED_VALUE"""),"")</f>
        <v/>
      </c>
      <c r="G7276" s="18"/>
      <c r="H7276" s="16" t="s">
        <v>87</v>
      </c>
      <c r="I7276" s="16" t="s">
        <v>87</v>
      </c>
      <c r="J7276" s="19"/>
      <c r="L7276" s="16" t="str">
        <f>IFERROR(__xludf.DUMMYFUNCTION("""COMPUTED_VALUE"""),"")</f>
        <v/>
      </c>
      <c r="M7276" s="16" t="str">
        <f>IFERROR(__xludf.DUMMYFUNCTION("""COMPUTED_VALUE"""),"")</f>
        <v/>
      </c>
      <c r="U7276" s="16" t="s">
        <v>87</v>
      </c>
      <c r="V7276" s="16" t="str">
        <f>IFERROR(__xludf.DUMMYFUNCTION("""COMPUTED_VALUE"""),"")</f>
        <v/>
      </c>
      <c r="W7276" s="16" t="str">
        <f>IFERROR(__xludf.DUMMYFUNCTION("""COMPUTED_VALUE"""),"")</f>
        <v/>
      </c>
      <c r="X7276" s="16" t="str">
        <f>IFERROR(__xludf.DUMMYFUNCTION("""COMPUTED_VALUE"""),"")</f>
        <v/>
      </c>
      <c r="AC7276" s="16" t="str">
        <f>IFERROR(__xludf.DUMMYFUNCTION("""COMPUTED_VALUE"""),"")</f>
        <v/>
      </c>
    </row>
    <row r="7277">
      <c r="A7277" s="16" t="s">
        <v>87</v>
      </c>
      <c r="E7277" s="16" t="str">
        <f>IFERROR(__xludf.DUMMYFUNCTION("""COMPUTED_VALUE"""),"")</f>
        <v/>
      </c>
      <c r="G7277" s="18"/>
      <c r="H7277" s="16" t="s">
        <v>87</v>
      </c>
      <c r="I7277" s="16" t="s">
        <v>87</v>
      </c>
      <c r="J7277" s="19"/>
      <c r="L7277" s="16" t="str">
        <f>IFERROR(__xludf.DUMMYFUNCTION("""COMPUTED_VALUE"""),"")</f>
        <v/>
      </c>
      <c r="M7277" s="16" t="str">
        <f>IFERROR(__xludf.DUMMYFUNCTION("""COMPUTED_VALUE"""),"")</f>
        <v/>
      </c>
      <c r="U7277" s="16" t="s">
        <v>87</v>
      </c>
      <c r="V7277" s="16" t="str">
        <f>IFERROR(__xludf.DUMMYFUNCTION("""COMPUTED_VALUE"""),"")</f>
        <v/>
      </c>
      <c r="W7277" s="16" t="str">
        <f>IFERROR(__xludf.DUMMYFUNCTION("""COMPUTED_VALUE"""),"")</f>
        <v/>
      </c>
      <c r="X7277" s="16" t="str">
        <f>IFERROR(__xludf.DUMMYFUNCTION("""COMPUTED_VALUE"""),"")</f>
        <v/>
      </c>
      <c r="AC7277" s="16" t="str">
        <f>IFERROR(__xludf.DUMMYFUNCTION("""COMPUTED_VALUE"""),"")</f>
        <v/>
      </c>
    </row>
    <row r="7278">
      <c r="A7278" s="16" t="s">
        <v>87</v>
      </c>
      <c r="E7278" s="16" t="str">
        <f>IFERROR(__xludf.DUMMYFUNCTION("""COMPUTED_VALUE"""),"")</f>
        <v/>
      </c>
      <c r="G7278" s="18"/>
      <c r="H7278" s="16" t="s">
        <v>87</v>
      </c>
      <c r="I7278" s="16" t="s">
        <v>87</v>
      </c>
      <c r="J7278" s="19"/>
      <c r="L7278" s="16" t="str">
        <f>IFERROR(__xludf.DUMMYFUNCTION("""COMPUTED_VALUE"""),"")</f>
        <v/>
      </c>
      <c r="M7278" s="16" t="str">
        <f>IFERROR(__xludf.DUMMYFUNCTION("""COMPUTED_VALUE"""),"")</f>
        <v/>
      </c>
      <c r="U7278" s="16" t="s">
        <v>87</v>
      </c>
      <c r="V7278" s="16" t="str">
        <f>IFERROR(__xludf.DUMMYFUNCTION("""COMPUTED_VALUE"""),"")</f>
        <v/>
      </c>
      <c r="W7278" s="16" t="str">
        <f>IFERROR(__xludf.DUMMYFUNCTION("""COMPUTED_VALUE"""),"")</f>
        <v/>
      </c>
      <c r="X7278" s="16" t="str">
        <f>IFERROR(__xludf.DUMMYFUNCTION("""COMPUTED_VALUE"""),"")</f>
        <v/>
      </c>
      <c r="AC7278" s="16" t="str">
        <f>IFERROR(__xludf.DUMMYFUNCTION("""COMPUTED_VALUE"""),"")</f>
        <v/>
      </c>
    </row>
    <row r="7279">
      <c r="A7279" s="16" t="s">
        <v>87</v>
      </c>
      <c r="E7279" s="16" t="str">
        <f>IFERROR(__xludf.DUMMYFUNCTION("""COMPUTED_VALUE"""),"")</f>
        <v/>
      </c>
      <c r="G7279" s="18"/>
      <c r="H7279" s="16" t="s">
        <v>87</v>
      </c>
      <c r="I7279" s="16" t="s">
        <v>87</v>
      </c>
      <c r="J7279" s="19"/>
      <c r="L7279" s="16" t="str">
        <f>IFERROR(__xludf.DUMMYFUNCTION("""COMPUTED_VALUE"""),"")</f>
        <v/>
      </c>
      <c r="M7279" s="16" t="str">
        <f>IFERROR(__xludf.DUMMYFUNCTION("""COMPUTED_VALUE"""),"")</f>
        <v/>
      </c>
      <c r="U7279" s="16" t="s">
        <v>87</v>
      </c>
      <c r="V7279" s="16" t="str">
        <f>IFERROR(__xludf.DUMMYFUNCTION("""COMPUTED_VALUE"""),"")</f>
        <v/>
      </c>
      <c r="W7279" s="16" t="str">
        <f>IFERROR(__xludf.DUMMYFUNCTION("""COMPUTED_VALUE"""),"")</f>
        <v/>
      </c>
      <c r="X7279" s="16" t="str">
        <f>IFERROR(__xludf.DUMMYFUNCTION("""COMPUTED_VALUE"""),"")</f>
        <v/>
      </c>
      <c r="AC7279" s="16" t="str">
        <f>IFERROR(__xludf.DUMMYFUNCTION("""COMPUTED_VALUE"""),"")</f>
        <v/>
      </c>
    </row>
    <row r="7280">
      <c r="A7280" s="16" t="s">
        <v>87</v>
      </c>
      <c r="E7280" s="16" t="str">
        <f>IFERROR(__xludf.DUMMYFUNCTION("""COMPUTED_VALUE"""),"")</f>
        <v/>
      </c>
      <c r="G7280" s="18"/>
      <c r="H7280" s="16" t="s">
        <v>87</v>
      </c>
      <c r="I7280" s="16" t="s">
        <v>87</v>
      </c>
      <c r="J7280" s="19"/>
      <c r="L7280" s="16" t="str">
        <f>IFERROR(__xludf.DUMMYFUNCTION("""COMPUTED_VALUE"""),"")</f>
        <v/>
      </c>
      <c r="M7280" s="16" t="str">
        <f>IFERROR(__xludf.DUMMYFUNCTION("""COMPUTED_VALUE"""),"")</f>
        <v/>
      </c>
      <c r="U7280" s="16" t="s">
        <v>87</v>
      </c>
      <c r="V7280" s="16" t="str">
        <f>IFERROR(__xludf.DUMMYFUNCTION("""COMPUTED_VALUE"""),"")</f>
        <v/>
      </c>
      <c r="W7280" s="16" t="str">
        <f>IFERROR(__xludf.DUMMYFUNCTION("""COMPUTED_VALUE"""),"")</f>
        <v/>
      </c>
      <c r="X7280" s="16" t="str">
        <f>IFERROR(__xludf.DUMMYFUNCTION("""COMPUTED_VALUE"""),"")</f>
        <v/>
      </c>
      <c r="AC7280" s="16" t="str">
        <f>IFERROR(__xludf.DUMMYFUNCTION("""COMPUTED_VALUE"""),"")</f>
        <v/>
      </c>
    </row>
    <row r="7281">
      <c r="A7281" s="16" t="s">
        <v>87</v>
      </c>
      <c r="E7281" s="16" t="str">
        <f>IFERROR(__xludf.DUMMYFUNCTION("""COMPUTED_VALUE"""),"")</f>
        <v/>
      </c>
      <c r="G7281" s="18"/>
      <c r="H7281" s="16" t="s">
        <v>87</v>
      </c>
      <c r="I7281" s="16" t="s">
        <v>87</v>
      </c>
      <c r="J7281" s="19"/>
      <c r="L7281" s="16" t="str">
        <f>IFERROR(__xludf.DUMMYFUNCTION("""COMPUTED_VALUE"""),"")</f>
        <v/>
      </c>
      <c r="M7281" s="16" t="str">
        <f>IFERROR(__xludf.DUMMYFUNCTION("""COMPUTED_VALUE"""),"")</f>
        <v/>
      </c>
      <c r="U7281" s="16" t="s">
        <v>87</v>
      </c>
      <c r="V7281" s="16" t="str">
        <f>IFERROR(__xludf.DUMMYFUNCTION("""COMPUTED_VALUE"""),"")</f>
        <v/>
      </c>
      <c r="W7281" s="16" t="str">
        <f>IFERROR(__xludf.DUMMYFUNCTION("""COMPUTED_VALUE"""),"")</f>
        <v/>
      </c>
      <c r="X7281" s="16" t="str">
        <f>IFERROR(__xludf.DUMMYFUNCTION("""COMPUTED_VALUE"""),"")</f>
        <v/>
      </c>
      <c r="AC7281" s="16" t="str">
        <f>IFERROR(__xludf.DUMMYFUNCTION("""COMPUTED_VALUE"""),"")</f>
        <v/>
      </c>
    </row>
    <row r="7282">
      <c r="A7282" s="16" t="s">
        <v>87</v>
      </c>
      <c r="E7282" s="16" t="str">
        <f>IFERROR(__xludf.DUMMYFUNCTION("""COMPUTED_VALUE"""),"")</f>
        <v/>
      </c>
      <c r="G7282" s="18"/>
      <c r="H7282" s="16" t="s">
        <v>87</v>
      </c>
      <c r="I7282" s="16" t="s">
        <v>87</v>
      </c>
      <c r="J7282" s="19"/>
      <c r="L7282" s="16" t="str">
        <f>IFERROR(__xludf.DUMMYFUNCTION("""COMPUTED_VALUE"""),"")</f>
        <v/>
      </c>
      <c r="M7282" s="16" t="str">
        <f>IFERROR(__xludf.DUMMYFUNCTION("""COMPUTED_VALUE"""),"")</f>
        <v/>
      </c>
      <c r="U7282" s="16" t="s">
        <v>87</v>
      </c>
      <c r="V7282" s="16" t="str">
        <f>IFERROR(__xludf.DUMMYFUNCTION("""COMPUTED_VALUE"""),"")</f>
        <v/>
      </c>
      <c r="W7282" s="16" t="str">
        <f>IFERROR(__xludf.DUMMYFUNCTION("""COMPUTED_VALUE"""),"")</f>
        <v/>
      </c>
      <c r="X7282" s="16" t="str">
        <f>IFERROR(__xludf.DUMMYFUNCTION("""COMPUTED_VALUE"""),"")</f>
        <v/>
      </c>
      <c r="AC7282" s="16" t="str">
        <f>IFERROR(__xludf.DUMMYFUNCTION("""COMPUTED_VALUE"""),"")</f>
        <v/>
      </c>
    </row>
    <row r="7283">
      <c r="A7283" s="16" t="s">
        <v>87</v>
      </c>
      <c r="E7283" s="16" t="str">
        <f>IFERROR(__xludf.DUMMYFUNCTION("""COMPUTED_VALUE"""),"")</f>
        <v/>
      </c>
      <c r="G7283" s="18"/>
      <c r="H7283" s="16" t="s">
        <v>87</v>
      </c>
      <c r="I7283" s="16" t="s">
        <v>87</v>
      </c>
      <c r="J7283" s="19"/>
      <c r="L7283" s="16" t="str">
        <f>IFERROR(__xludf.DUMMYFUNCTION("""COMPUTED_VALUE"""),"")</f>
        <v/>
      </c>
      <c r="M7283" s="16" t="str">
        <f>IFERROR(__xludf.DUMMYFUNCTION("""COMPUTED_VALUE"""),"")</f>
        <v/>
      </c>
      <c r="U7283" s="16" t="s">
        <v>87</v>
      </c>
      <c r="V7283" s="16" t="str">
        <f>IFERROR(__xludf.DUMMYFUNCTION("""COMPUTED_VALUE"""),"")</f>
        <v/>
      </c>
      <c r="W7283" s="16" t="str">
        <f>IFERROR(__xludf.DUMMYFUNCTION("""COMPUTED_VALUE"""),"")</f>
        <v/>
      </c>
      <c r="X7283" s="16" t="str">
        <f>IFERROR(__xludf.DUMMYFUNCTION("""COMPUTED_VALUE"""),"")</f>
        <v/>
      </c>
      <c r="AC7283" s="16" t="str">
        <f>IFERROR(__xludf.DUMMYFUNCTION("""COMPUTED_VALUE"""),"")</f>
        <v/>
      </c>
    </row>
    <row r="7284">
      <c r="A7284" s="16" t="s">
        <v>87</v>
      </c>
      <c r="E7284" s="16" t="str">
        <f>IFERROR(__xludf.DUMMYFUNCTION("""COMPUTED_VALUE"""),"")</f>
        <v/>
      </c>
      <c r="G7284" s="18"/>
      <c r="H7284" s="16" t="s">
        <v>87</v>
      </c>
      <c r="I7284" s="16" t="s">
        <v>87</v>
      </c>
      <c r="J7284" s="19"/>
      <c r="L7284" s="16" t="str">
        <f>IFERROR(__xludf.DUMMYFUNCTION("""COMPUTED_VALUE"""),"")</f>
        <v/>
      </c>
      <c r="M7284" s="16" t="str">
        <f>IFERROR(__xludf.DUMMYFUNCTION("""COMPUTED_VALUE"""),"")</f>
        <v/>
      </c>
      <c r="U7284" s="16" t="s">
        <v>87</v>
      </c>
      <c r="V7284" s="16" t="str">
        <f>IFERROR(__xludf.DUMMYFUNCTION("""COMPUTED_VALUE"""),"")</f>
        <v/>
      </c>
      <c r="W7284" s="16" t="str">
        <f>IFERROR(__xludf.DUMMYFUNCTION("""COMPUTED_VALUE"""),"")</f>
        <v/>
      </c>
      <c r="X7284" s="16" t="str">
        <f>IFERROR(__xludf.DUMMYFUNCTION("""COMPUTED_VALUE"""),"")</f>
        <v/>
      </c>
      <c r="AC7284" s="16" t="str">
        <f>IFERROR(__xludf.DUMMYFUNCTION("""COMPUTED_VALUE"""),"")</f>
        <v/>
      </c>
    </row>
    <row r="7285">
      <c r="A7285" s="16" t="s">
        <v>87</v>
      </c>
      <c r="E7285" s="16" t="str">
        <f>IFERROR(__xludf.DUMMYFUNCTION("""COMPUTED_VALUE"""),"")</f>
        <v/>
      </c>
      <c r="G7285" s="18"/>
      <c r="H7285" s="16" t="s">
        <v>87</v>
      </c>
      <c r="I7285" s="16" t="s">
        <v>87</v>
      </c>
      <c r="J7285" s="19"/>
      <c r="L7285" s="16" t="str">
        <f>IFERROR(__xludf.DUMMYFUNCTION("""COMPUTED_VALUE"""),"")</f>
        <v/>
      </c>
      <c r="M7285" s="16" t="str">
        <f>IFERROR(__xludf.DUMMYFUNCTION("""COMPUTED_VALUE"""),"")</f>
        <v/>
      </c>
      <c r="U7285" s="16" t="s">
        <v>87</v>
      </c>
      <c r="V7285" s="16" t="str">
        <f>IFERROR(__xludf.DUMMYFUNCTION("""COMPUTED_VALUE"""),"")</f>
        <v/>
      </c>
      <c r="W7285" s="16" t="str">
        <f>IFERROR(__xludf.DUMMYFUNCTION("""COMPUTED_VALUE"""),"")</f>
        <v/>
      </c>
      <c r="X7285" s="16" t="str">
        <f>IFERROR(__xludf.DUMMYFUNCTION("""COMPUTED_VALUE"""),"")</f>
        <v/>
      </c>
      <c r="AC7285" s="16" t="str">
        <f>IFERROR(__xludf.DUMMYFUNCTION("""COMPUTED_VALUE"""),"")</f>
        <v/>
      </c>
    </row>
    <row r="7286">
      <c r="A7286" s="16" t="s">
        <v>87</v>
      </c>
      <c r="E7286" s="16" t="str">
        <f>IFERROR(__xludf.DUMMYFUNCTION("""COMPUTED_VALUE"""),"")</f>
        <v/>
      </c>
      <c r="G7286" s="18"/>
      <c r="H7286" s="16" t="s">
        <v>87</v>
      </c>
      <c r="I7286" s="16" t="s">
        <v>87</v>
      </c>
      <c r="J7286" s="19"/>
      <c r="L7286" s="16" t="str">
        <f>IFERROR(__xludf.DUMMYFUNCTION("""COMPUTED_VALUE"""),"")</f>
        <v/>
      </c>
      <c r="M7286" s="16" t="str">
        <f>IFERROR(__xludf.DUMMYFUNCTION("""COMPUTED_VALUE"""),"")</f>
        <v/>
      </c>
      <c r="U7286" s="16" t="s">
        <v>87</v>
      </c>
      <c r="V7286" s="16" t="str">
        <f>IFERROR(__xludf.DUMMYFUNCTION("""COMPUTED_VALUE"""),"")</f>
        <v/>
      </c>
      <c r="W7286" s="16" t="str">
        <f>IFERROR(__xludf.DUMMYFUNCTION("""COMPUTED_VALUE"""),"")</f>
        <v/>
      </c>
      <c r="X7286" s="16" t="str">
        <f>IFERROR(__xludf.DUMMYFUNCTION("""COMPUTED_VALUE"""),"")</f>
        <v/>
      </c>
      <c r="AC7286" s="16" t="str">
        <f>IFERROR(__xludf.DUMMYFUNCTION("""COMPUTED_VALUE"""),"")</f>
        <v/>
      </c>
    </row>
    <row r="7287">
      <c r="A7287" s="16" t="s">
        <v>87</v>
      </c>
      <c r="E7287" s="16" t="str">
        <f>IFERROR(__xludf.DUMMYFUNCTION("""COMPUTED_VALUE"""),"")</f>
        <v/>
      </c>
      <c r="G7287" s="18"/>
      <c r="H7287" s="16" t="s">
        <v>87</v>
      </c>
      <c r="I7287" s="16" t="s">
        <v>87</v>
      </c>
      <c r="J7287" s="19"/>
      <c r="L7287" s="16" t="str">
        <f>IFERROR(__xludf.DUMMYFUNCTION("""COMPUTED_VALUE"""),"")</f>
        <v/>
      </c>
      <c r="M7287" s="16" t="str">
        <f>IFERROR(__xludf.DUMMYFUNCTION("""COMPUTED_VALUE"""),"")</f>
        <v/>
      </c>
      <c r="U7287" s="16" t="s">
        <v>87</v>
      </c>
      <c r="V7287" s="16" t="str">
        <f>IFERROR(__xludf.DUMMYFUNCTION("""COMPUTED_VALUE"""),"")</f>
        <v/>
      </c>
      <c r="W7287" s="16" t="str">
        <f>IFERROR(__xludf.DUMMYFUNCTION("""COMPUTED_VALUE"""),"")</f>
        <v/>
      </c>
      <c r="X7287" s="16" t="str">
        <f>IFERROR(__xludf.DUMMYFUNCTION("""COMPUTED_VALUE"""),"")</f>
        <v/>
      </c>
      <c r="AC7287" s="16" t="str">
        <f>IFERROR(__xludf.DUMMYFUNCTION("""COMPUTED_VALUE"""),"")</f>
        <v/>
      </c>
    </row>
    <row r="7288">
      <c r="A7288" s="16" t="s">
        <v>87</v>
      </c>
      <c r="E7288" s="16" t="str">
        <f>IFERROR(__xludf.DUMMYFUNCTION("""COMPUTED_VALUE"""),"")</f>
        <v/>
      </c>
      <c r="G7288" s="18"/>
      <c r="H7288" s="16" t="s">
        <v>87</v>
      </c>
      <c r="I7288" s="16" t="s">
        <v>87</v>
      </c>
      <c r="J7288" s="19"/>
      <c r="L7288" s="16" t="str">
        <f>IFERROR(__xludf.DUMMYFUNCTION("""COMPUTED_VALUE"""),"")</f>
        <v/>
      </c>
      <c r="M7288" s="16" t="str">
        <f>IFERROR(__xludf.DUMMYFUNCTION("""COMPUTED_VALUE"""),"")</f>
        <v/>
      </c>
      <c r="U7288" s="16" t="s">
        <v>87</v>
      </c>
      <c r="V7288" s="16" t="str">
        <f>IFERROR(__xludf.DUMMYFUNCTION("""COMPUTED_VALUE"""),"")</f>
        <v/>
      </c>
      <c r="W7288" s="16" t="str">
        <f>IFERROR(__xludf.DUMMYFUNCTION("""COMPUTED_VALUE"""),"")</f>
        <v/>
      </c>
      <c r="X7288" s="16" t="str">
        <f>IFERROR(__xludf.DUMMYFUNCTION("""COMPUTED_VALUE"""),"")</f>
        <v/>
      </c>
      <c r="AC7288" s="16" t="str">
        <f>IFERROR(__xludf.DUMMYFUNCTION("""COMPUTED_VALUE"""),"")</f>
        <v/>
      </c>
    </row>
    <row r="7289">
      <c r="A7289" s="16" t="s">
        <v>87</v>
      </c>
      <c r="E7289" s="16" t="str">
        <f>IFERROR(__xludf.DUMMYFUNCTION("""COMPUTED_VALUE"""),"")</f>
        <v/>
      </c>
      <c r="G7289" s="18"/>
      <c r="H7289" s="16" t="s">
        <v>87</v>
      </c>
      <c r="I7289" s="16" t="s">
        <v>87</v>
      </c>
      <c r="J7289" s="19"/>
      <c r="L7289" s="16" t="str">
        <f>IFERROR(__xludf.DUMMYFUNCTION("""COMPUTED_VALUE"""),"")</f>
        <v/>
      </c>
      <c r="M7289" s="16" t="str">
        <f>IFERROR(__xludf.DUMMYFUNCTION("""COMPUTED_VALUE"""),"")</f>
        <v/>
      </c>
      <c r="U7289" s="16" t="s">
        <v>87</v>
      </c>
      <c r="V7289" s="16" t="str">
        <f>IFERROR(__xludf.DUMMYFUNCTION("""COMPUTED_VALUE"""),"")</f>
        <v/>
      </c>
      <c r="W7289" s="16" t="str">
        <f>IFERROR(__xludf.DUMMYFUNCTION("""COMPUTED_VALUE"""),"")</f>
        <v/>
      </c>
      <c r="X7289" s="16" t="str">
        <f>IFERROR(__xludf.DUMMYFUNCTION("""COMPUTED_VALUE"""),"")</f>
        <v/>
      </c>
      <c r="AC7289" s="16" t="str">
        <f>IFERROR(__xludf.DUMMYFUNCTION("""COMPUTED_VALUE"""),"")</f>
        <v/>
      </c>
    </row>
    <row r="7290">
      <c r="A7290" s="16" t="s">
        <v>87</v>
      </c>
      <c r="E7290" s="16" t="str">
        <f>IFERROR(__xludf.DUMMYFUNCTION("""COMPUTED_VALUE"""),"")</f>
        <v/>
      </c>
      <c r="G7290" s="18"/>
      <c r="H7290" s="16" t="s">
        <v>87</v>
      </c>
      <c r="I7290" s="16" t="s">
        <v>87</v>
      </c>
      <c r="J7290" s="19"/>
      <c r="L7290" s="16" t="str">
        <f>IFERROR(__xludf.DUMMYFUNCTION("""COMPUTED_VALUE"""),"")</f>
        <v/>
      </c>
      <c r="M7290" s="16" t="str">
        <f>IFERROR(__xludf.DUMMYFUNCTION("""COMPUTED_VALUE"""),"")</f>
        <v/>
      </c>
      <c r="U7290" s="16" t="s">
        <v>87</v>
      </c>
      <c r="V7290" s="16" t="str">
        <f>IFERROR(__xludf.DUMMYFUNCTION("""COMPUTED_VALUE"""),"")</f>
        <v/>
      </c>
      <c r="W7290" s="16" t="str">
        <f>IFERROR(__xludf.DUMMYFUNCTION("""COMPUTED_VALUE"""),"")</f>
        <v/>
      </c>
      <c r="X7290" s="16" t="str">
        <f>IFERROR(__xludf.DUMMYFUNCTION("""COMPUTED_VALUE"""),"")</f>
        <v/>
      </c>
      <c r="AC7290" s="16" t="str">
        <f>IFERROR(__xludf.DUMMYFUNCTION("""COMPUTED_VALUE"""),"")</f>
        <v/>
      </c>
    </row>
    <row r="7291">
      <c r="A7291" s="16" t="s">
        <v>87</v>
      </c>
      <c r="E7291" s="16" t="str">
        <f>IFERROR(__xludf.DUMMYFUNCTION("""COMPUTED_VALUE"""),"")</f>
        <v/>
      </c>
      <c r="G7291" s="18"/>
      <c r="H7291" s="16" t="s">
        <v>87</v>
      </c>
      <c r="I7291" s="16" t="s">
        <v>87</v>
      </c>
      <c r="J7291" s="19"/>
      <c r="L7291" s="16" t="str">
        <f>IFERROR(__xludf.DUMMYFUNCTION("""COMPUTED_VALUE"""),"")</f>
        <v/>
      </c>
      <c r="M7291" s="16" t="str">
        <f>IFERROR(__xludf.DUMMYFUNCTION("""COMPUTED_VALUE"""),"")</f>
        <v/>
      </c>
      <c r="U7291" s="16" t="s">
        <v>87</v>
      </c>
      <c r="V7291" s="16" t="str">
        <f>IFERROR(__xludf.DUMMYFUNCTION("""COMPUTED_VALUE"""),"")</f>
        <v/>
      </c>
      <c r="W7291" s="16" t="str">
        <f>IFERROR(__xludf.DUMMYFUNCTION("""COMPUTED_VALUE"""),"")</f>
        <v/>
      </c>
      <c r="X7291" s="16" t="str">
        <f>IFERROR(__xludf.DUMMYFUNCTION("""COMPUTED_VALUE"""),"")</f>
        <v/>
      </c>
      <c r="AC7291" s="16" t="str">
        <f>IFERROR(__xludf.DUMMYFUNCTION("""COMPUTED_VALUE"""),"")</f>
        <v/>
      </c>
    </row>
    <row r="7292">
      <c r="A7292" s="16" t="s">
        <v>87</v>
      </c>
      <c r="E7292" s="16" t="str">
        <f>IFERROR(__xludf.DUMMYFUNCTION("""COMPUTED_VALUE"""),"")</f>
        <v/>
      </c>
      <c r="G7292" s="18"/>
      <c r="H7292" s="16" t="s">
        <v>87</v>
      </c>
      <c r="I7292" s="16" t="s">
        <v>87</v>
      </c>
      <c r="J7292" s="19"/>
      <c r="L7292" s="16" t="str">
        <f>IFERROR(__xludf.DUMMYFUNCTION("""COMPUTED_VALUE"""),"")</f>
        <v/>
      </c>
      <c r="M7292" s="16" t="str">
        <f>IFERROR(__xludf.DUMMYFUNCTION("""COMPUTED_VALUE"""),"")</f>
        <v/>
      </c>
      <c r="U7292" s="16" t="s">
        <v>87</v>
      </c>
      <c r="V7292" s="16" t="str">
        <f>IFERROR(__xludf.DUMMYFUNCTION("""COMPUTED_VALUE"""),"")</f>
        <v/>
      </c>
      <c r="W7292" s="16" t="str">
        <f>IFERROR(__xludf.DUMMYFUNCTION("""COMPUTED_VALUE"""),"")</f>
        <v/>
      </c>
      <c r="X7292" s="16" t="str">
        <f>IFERROR(__xludf.DUMMYFUNCTION("""COMPUTED_VALUE"""),"")</f>
        <v/>
      </c>
      <c r="AC7292" s="16" t="str">
        <f>IFERROR(__xludf.DUMMYFUNCTION("""COMPUTED_VALUE"""),"")</f>
        <v/>
      </c>
    </row>
    <row r="7293">
      <c r="A7293" s="16" t="s">
        <v>87</v>
      </c>
      <c r="E7293" s="16" t="str">
        <f>IFERROR(__xludf.DUMMYFUNCTION("""COMPUTED_VALUE"""),"")</f>
        <v/>
      </c>
      <c r="G7293" s="18"/>
      <c r="H7293" s="16" t="s">
        <v>87</v>
      </c>
      <c r="I7293" s="16" t="s">
        <v>87</v>
      </c>
      <c r="J7293" s="19"/>
      <c r="L7293" s="16" t="str">
        <f>IFERROR(__xludf.DUMMYFUNCTION("""COMPUTED_VALUE"""),"")</f>
        <v/>
      </c>
      <c r="M7293" s="16" t="str">
        <f>IFERROR(__xludf.DUMMYFUNCTION("""COMPUTED_VALUE"""),"")</f>
        <v/>
      </c>
      <c r="U7293" s="16" t="s">
        <v>87</v>
      </c>
      <c r="V7293" s="16" t="str">
        <f>IFERROR(__xludf.DUMMYFUNCTION("""COMPUTED_VALUE"""),"")</f>
        <v/>
      </c>
      <c r="W7293" s="16" t="str">
        <f>IFERROR(__xludf.DUMMYFUNCTION("""COMPUTED_VALUE"""),"")</f>
        <v/>
      </c>
      <c r="X7293" s="16" t="str">
        <f>IFERROR(__xludf.DUMMYFUNCTION("""COMPUTED_VALUE"""),"")</f>
        <v/>
      </c>
      <c r="AC7293" s="16" t="str">
        <f>IFERROR(__xludf.DUMMYFUNCTION("""COMPUTED_VALUE"""),"")</f>
        <v/>
      </c>
    </row>
    <row r="7294">
      <c r="A7294" s="16" t="s">
        <v>87</v>
      </c>
      <c r="E7294" s="16" t="str">
        <f>IFERROR(__xludf.DUMMYFUNCTION("""COMPUTED_VALUE"""),"")</f>
        <v/>
      </c>
      <c r="G7294" s="18"/>
      <c r="H7294" s="16" t="s">
        <v>87</v>
      </c>
      <c r="I7294" s="16" t="s">
        <v>87</v>
      </c>
      <c r="J7294" s="19"/>
      <c r="L7294" s="16" t="str">
        <f>IFERROR(__xludf.DUMMYFUNCTION("""COMPUTED_VALUE"""),"")</f>
        <v/>
      </c>
      <c r="M7294" s="16" t="str">
        <f>IFERROR(__xludf.DUMMYFUNCTION("""COMPUTED_VALUE"""),"")</f>
        <v/>
      </c>
      <c r="U7294" s="16" t="s">
        <v>87</v>
      </c>
      <c r="V7294" s="16" t="str">
        <f>IFERROR(__xludf.DUMMYFUNCTION("""COMPUTED_VALUE"""),"")</f>
        <v/>
      </c>
      <c r="W7294" s="16" t="str">
        <f>IFERROR(__xludf.DUMMYFUNCTION("""COMPUTED_VALUE"""),"")</f>
        <v/>
      </c>
      <c r="X7294" s="16" t="str">
        <f>IFERROR(__xludf.DUMMYFUNCTION("""COMPUTED_VALUE"""),"")</f>
        <v/>
      </c>
      <c r="AC7294" s="16" t="str">
        <f>IFERROR(__xludf.DUMMYFUNCTION("""COMPUTED_VALUE"""),"")</f>
        <v/>
      </c>
    </row>
    <row r="7295">
      <c r="A7295" s="16" t="s">
        <v>87</v>
      </c>
      <c r="E7295" s="16" t="str">
        <f>IFERROR(__xludf.DUMMYFUNCTION("""COMPUTED_VALUE"""),"")</f>
        <v/>
      </c>
      <c r="G7295" s="18"/>
      <c r="H7295" s="16" t="s">
        <v>87</v>
      </c>
      <c r="I7295" s="16" t="s">
        <v>87</v>
      </c>
      <c r="J7295" s="19"/>
      <c r="L7295" s="16" t="str">
        <f>IFERROR(__xludf.DUMMYFUNCTION("""COMPUTED_VALUE"""),"")</f>
        <v/>
      </c>
      <c r="M7295" s="16" t="str">
        <f>IFERROR(__xludf.DUMMYFUNCTION("""COMPUTED_VALUE"""),"")</f>
        <v/>
      </c>
      <c r="U7295" s="16" t="s">
        <v>87</v>
      </c>
      <c r="V7295" s="16" t="str">
        <f>IFERROR(__xludf.DUMMYFUNCTION("""COMPUTED_VALUE"""),"")</f>
        <v/>
      </c>
      <c r="W7295" s="16" t="str">
        <f>IFERROR(__xludf.DUMMYFUNCTION("""COMPUTED_VALUE"""),"")</f>
        <v/>
      </c>
      <c r="X7295" s="16" t="str">
        <f>IFERROR(__xludf.DUMMYFUNCTION("""COMPUTED_VALUE"""),"")</f>
        <v/>
      </c>
      <c r="AC7295" s="16" t="str">
        <f>IFERROR(__xludf.DUMMYFUNCTION("""COMPUTED_VALUE"""),"")</f>
        <v/>
      </c>
    </row>
    <row r="7296">
      <c r="A7296" s="16" t="s">
        <v>87</v>
      </c>
      <c r="E7296" s="16" t="str">
        <f>IFERROR(__xludf.DUMMYFUNCTION("""COMPUTED_VALUE"""),"")</f>
        <v/>
      </c>
      <c r="G7296" s="18"/>
      <c r="H7296" s="16" t="s">
        <v>87</v>
      </c>
      <c r="I7296" s="16" t="s">
        <v>87</v>
      </c>
      <c r="J7296" s="19"/>
      <c r="L7296" s="16" t="str">
        <f>IFERROR(__xludf.DUMMYFUNCTION("""COMPUTED_VALUE"""),"")</f>
        <v/>
      </c>
      <c r="M7296" s="16" t="str">
        <f>IFERROR(__xludf.DUMMYFUNCTION("""COMPUTED_VALUE"""),"")</f>
        <v/>
      </c>
      <c r="U7296" s="16" t="s">
        <v>87</v>
      </c>
      <c r="V7296" s="16" t="str">
        <f>IFERROR(__xludf.DUMMYFUNCTION("""COMPUTED_VALUE"""),"")</f>
        <v/>
      </c>
      <c r="W7296" s="16" t="str">
        <f>IFERROR(__xludf.DUMMYFUNCTION("""COMPUTED_VALUE"""),"")</f>
        <v/>
      </c>
      <c r="X7296" s="16" t="str">
        <f>IFERROR(__xludf.DUMMYFUNCTION("""COMPUTED_VALUE"""),"")</f>
        <v/>
      </c>
      <c r="AC7296" s="16" t="str">
        <f>IFERROR(__xludf.DUMMYFUNCTION("""COMPUTED_VALUE"""),"")</f>
        <v/>
      </c>
    </row>
    <row r="7297">
      <c r="A7297" s="16" t="s">
        <v>87</v>
      </c>
      <c r="E7297" s="16" t="str">
        <f>IFERROR(__xludf.DUMMYFUNCTION("""COMPUTED_VALUE"""),"")</f>
        <v/>
      </c>
      <c r="G7297" s="18"/>
      <c r="H7297" s="16" t="s">
        <v>87</v>
      </c>
      <c r="I7297" s="16" t="s">
        <v>87</v>
      </c>
      <c r="J7297" s="19"/>
      <c r="L7297" s="16" t="str">
        <f>IFERROR(__xludf.DUMMYFUNCTION("""COMPUTED_VALUE"""),"")</f>
        <v/>
      </c>
      <c r="M7297" s="16" t="str">
        <f>IFERROR(__xludf.DUMMYFUNCTION("""COMPUTED_VALUE"""),"")</f>
        <v/>
      </c>
      <c r="U7297" s="16" t="s">
        <v>87</v>
      </c>
      <c r="V7297" s="16" t="str">
        <f>IFERROR(__xludf.DUMMYFUNCTION("""COMPUTED_VALUE"""),"")</f>
        <v/>
      </c>
      <c r="W7297" s="16" t="str">
        <f>IFERROR(__xludf.DUMMYFUNCTION("""COMPUTED_VALUE"""),"")</f>
        <v/>
      </c>
      <c r="X7297" s="16" t="str">
        <f>IFERROR(__xludf.DUMMYFUNCTION("""COMPUTED_VALUE"""),"")</f>
        <v/>
      </c>
      <c r="AC7297" s="16" t="str">
        <f>IFERROR(__xludf.DUMMYFUNCTION("""COMPUTED_VALUE"""),"")</f>
        <v/>
      </c>
    </row>
    <row r="7298">
      <c r="A7298" s="16" t="s">
        <v>87</v>
      </c>
      <c r="E7298" s="16" t="str">
        <f>IFERROR(__xludf.DUMMYFUNCTION("""COMPUTED_VALUE"""),"")</f>
        <v/>
      </c>
      <c r="G7298" s="18"/>
      <c r="H7298" s="16" t="s">
        <v>87</v>
      </c>
      <c r="I7298" s="16" t="s">
        <v>87</v>
      </c>
      <c r="J7298" s="19"/>
      <c r="L7298" s="16" t="str">
        <f>IFERROR(__xludf.DUMMYFUNCTION("""COMPUTED_VALUE"""),"")</f>
        <v/>
      </c>
      <c r="M7298" s="16" t="str">
        <f>IFERROR(__xludf.DUMMYFUNCTION("""COMPUTED_VALUE"""),"")</f>
        <v/>
      </c>
      <c r="U7298" s="16" t="s">
        <v>87</v>
      </c>
      <c r="V7298" s="16" t="str">
        <f>IFERROR(__xludf.DUMMYFUNCTION("""COMPUTED_VALUE"""),"")</f>
        <v/>
      </c>
      <c r="W7298" s="16" t="str">
        <f>IFERROR(__xludf.DUMMYFUNCTION("""COMPUTED_VALUE"""),"")</f>
        <v/>
      </c>
      <c r="X7298" s="16" t="str">
        <f>IFERROR(__xludf.DUMMYFUNCTION("""COMPUTED_VALUE"""),"")</f>
        <v/>
      </c>
      <c r="AC7298" s="16" t="str">
        <f>IFERROR(__xludf.DUMMYFUNCTION("""COMPUTED_VALUE"""),"")</f>
        <v/>
      </c>
    </row>
    <row r="7299">
      <c r="A7299" s="16" t="s">
        <v>87</v>
      </c>
      <c r="E7299" s="16" t="str">
        <f>IFERROR(__xludf.DUMMYFUNCTION("""COMPUTED_VALUE"""),"")</f>
        <v/>
      </c>
      <c r="G7299" s="18"/>
      <c r="H7299" s="16" t="s">
        <v>87</v>
      </c>
      <c r="I7299" s="16" t="s">
        <v>87</v>
      </c>
      <c r="J7299" s="19"/>
      <c r="L7299" s="16" t="str">
        <f>IFERROR(__xludf.DUMMYFUNCTION("""COMPUTED_VALUE"""),"")</f>
        <v/>
      </c>
      <c r="M7299" s="16" t="str">
        <f>IFERROR(__xludf.DUMMYFUNCTION("""COMPUTED_VALUE"""),"")</f>
        <v/>
      </c>
      <c r="U7299" s="16" t="s">
        <v>87</v>
      </c>
      <c r="V7299" s="16" t="str">
        <f>IFERROR(__xludf.DUMMYFUNCTION("""COMPUTED_VALUE"""),"")</f>
        <v/>
      </c>
      <c r="W7299" s="16" t="str">
        <f>IFERROR(__xludf.DUMMYFUNCTION("""COMPUTED_VALUE"""),"")</f>
        <v/>
      </c>
      <c r="X7299" s="16" t="str">
        <f>IFERROR(__xludf.DUMMYFUNCTION("""COMPUTED_VALUE"""),"")</f>
        <v/>
      </c>
      <c r="AC7299" s="16" t="str">
        <f>IFERROR(__xludf.DUMMYFUNCTION("""COMPUTED_VALUE"""),"")</f>
        <v/>
      </c>
    </row>
    <row r="7300">
      <c r="A7300" s="16" t="s">
        <v>87</v>
      </c>
      <c r="E7300" s="16" t="str">
        <f>IFERROR(__xludf.DUMMYFUNCTION("""COMPUTED_VALUE"""),"")</f>
        <v/>
      </c>
      <c r="G7300" s="18"/>
      <c r="H7300" s="16" t="s">
        <v>87</v>
      </c>
      <c r="I7300" s="16" t="s">
        <v>87</v>
      </c>
      <c r="J7300" s="19"/>
      <c r="L7300" s="16" t="str">
        <f>IFERROR(__xludf.DUMMYFUNCTION("""COMPUTED_VALUE"""),"")</f>
        <v/>
      </c>
      <c r="M7300" s="16" t="str">
        <f>IFERROR(__xludf.DUMMYFUNCTION("""COMPUTED_VALUE"""),"")</f>
        <v/>
      </c>
      <c r="U7300" s="16" t="s">
        <v>87</v>
      </c>
      <c r="V7300" s="16" t="str">
        <f>IFERROR(__xludf.DUMMYFUNCTION("""COMPUTED_VALUE"""),"")</f>
        <v/>
      </c>
      <c r="W7300" s="16" t="str">
        <f>IFERROR(__xludf.DUMMYFUNCTION("""COMPUTED_VALUE"""),"")</f>
        <v/>
      </c>
      <c r="X7300" s="16" t="str">
        <f>IFERROR(__xludf.DUMMYFUNCTION("""COMPUTED_VALUE"""),"")</f>
        <v/>
      </c>
      <c r="AC7300" s="16" t="str">
        <f>IFERROR(__xludf.DUMMYFUNCTION("""COMPUTED_VALUE"""),"")</f>
        <v/>
      </c>
    </row>
    <row r="7301">
      <c r="A7301" s="16" t="s">
        <v>87</v>
      </c>
      <c r="E7301" s="16" t="str">
        <f>IFERROR(__xludf.DUMMYFUNCTION("""COMPUTED_VALUE"""),"")</f>
        <v/>
      </c>
      <c r="G7301" s="18"/>
      <c r="H7301" s="16" t="s">
        <v>87</v>
      </c>
      <c r="I7301" s="16" t="s">
        <v>87</v>
      </c>
      <c r="J7301" s="19"/>
      <c r="L7301" s="16" t="str">
        <f>IFERROR(__xludf.DUMMYFUNCTION("""COMPUTED_VALUE"""),"")</f>
        <v/>
      </c>
      <c r="M7301" s="16" t="str">
        <f>IFERROR(__xludf.DUMMYFUNCTION("""COMPUTED_VALUE"""),"")</f>
        <v/>
      </c>
      <c r="U7301" s="16" t="s">
        <v>87</v>
      </c>
      <c r="V7301" s="16" t="str">
        <f>IFERROR(__xludf.DUMMYFUNCTION("""COMPUTED_VALUE"""),"")</f>
        <v/>
      </c>
      <c r="W7301" s="16" t="str">
        <f>IFERROR(__xludf.DUMMYFUNCTION("""COMPUTED_VALUE"""),"")</f>
        <v/>
      </c>
      <c r="X7301" s="16" t="str">
        <f>IFERROR(__xludf.DUMMYFUNCTION("""COMPUTED_VALUE"""),"")</f>
        <v/>
      </c>
      <c r="AC7301" s="16" t="str">
        <f>IFERROR(__xludf.DUMMYFUNCTION("""COMPUTED_VALUE"""),"")</f>
        <v/>
      </c>
    </row>
    <row r="7302">
      <c r="A7302" s="16" t="s">
        <v>87</v>
      </c>
      <c r="E7302" s="16" t="str">
        <f>IFERROR(__xludf.DUMMYFUNCTION("""COMPUTED_VALUE"""),"")</f>
        <v/>
      </c>
      <c r="G7302" s="18"/>
      <c r="H7302" s="16" t="s">
        <v>87</v>
      </c>
      <c r="I7302" s="16" t="s">
        <v>87</v>
      </c>
      <c r="J7302" s="19"/>
      <c r="L7302" s="16" t="str">
        <f>IFERROR(__xludf.DUMMYFUNCTION("""COMPUTED_VALUE"""),"")</f>
        <v/>
      </c>
      <c r="M7302" s="16" t="str">
        <f>IFERROR(__xludf.DUMMYFUNCTION("""COMPUTED_VALUE"""),"")</f>
        <v/>
      </c>
      <c r="U7302" s="16" t="s">
        <v>87</v>
      </c>
      <c r="V7302" s="16" t="str">
        <f>IFERROR(__xludf.DUMMYFUNCTION("""COMPUTED_VALUE"""),"")</f>
        <v/>
      </c>
      <c r="W7302" s="16" t="str">
        <f>IFERROR(__xludf.DUMMYFUNCTION("""COMPUTED_VALUE"""),"")</f>
        <v/>
      </c>
      <c r="X7302" s="16" t="str">
        <f>IFERROR(__xludf.DUMMYFUNCTION("""COMPUTED_VALUE"""),"")</f>
        <v/>
      </c>
      <c r="AC7302" s="16" t="str">
        <f>IFERROR(__xludf.DUMMYFUNCTION("""COMPUTED_VALUE"""),"")</f>
        <v/>
      </c>
    </row>
    <row r="7303">
      <c r="A7303" s="16" t="s">
        <v>87</v>
      </c>
      <c r="E7303" s="16" t="str">
        <f>IFERROR(__xludf.DUMMYFUNCTION("""COMPUTED_VALUE"""),"")</f>
        <v/>
      </c>
      <c r="G7303" s="18"/>
      <c r="H7303" s="16" t="s">
        <v>87</v>
      </c>
      <c r="I7303" s="16" t="s">
        <v>87</v>
      </c>
      <c r="J7303" s="19"/>
      <c r="L7303" s="16" t="str">
        <f>IFERROR(__xludf.DUMMYFUNCTION("""COMPUTED_VALUE"""),"")</f>
        <v/>
      </c>
      <c r="M7303" s="16" t="str">
        <f>IFERROR(__xludf.DUMMYFUNCTION("""COMPUTED_VALUE"""),"")</f>
        <v/>
      </c>
      <c r="U7303" s="16" t="s">
        <v>87</v>
      </c>
      <c r="V7303" s="16" t="str">
        <f>IFERROR(__xludf.DUMMYFUNCTION("""COMPUTED_VALUE"""),"")</f>
        <v/>
      </c>
      <c r="W7303" s="16" t="str">
        <f>IFERROR(__xludf.DUMMYFUNCTION("""COMPUTED_VALUE"""),"")</f>
        <v/>
      </c>
      <c r="X7303" s="16" t="str">
        <f>IFERROR(__xludf.DUMMYFUNCTION("""COMPUTED_VALUE"""),"")</f>
        <v/>
      </c>
      <c r="AC7303" s="16" t="str">
        <f>IFERROR(__xludf.DUMMYFUNCTION("""COMPUTED_VALUE"""),"")</f>
        <v/>
      </c>
    </row>
    <row r="7304">
      <c r="A7304" s="16" t="s">
        <v>87</v>
      </c>
      <c r="E7304" s="16" t="str">
        <f>IFERROR(__xludf.DUMMYFUNCTION("""COMPUTED_VALUE"""),"")</f>
        <v/>
      </c>
      <c r="G7304" s="18"/>
      <c r="H7304" s="16" t="s">
        <v>87</v>
      </c>
      <c r="I7304" s="16" t="s">
        <v>87</v>
      </c>
      <c r="J7304" s="19"/>
      <c r="L7304" s="16" t="str">
        <f>IFERROR(__xludf.DUMMYFUNCTION("""COMPUTED_VALUE"""),"")</f>
        <v/>
      </c>
      <c r="M7304" s="16" t="str">
        <f>IFERROR(__xludf.DUMMYFUNCTION("""COMPUTED_VALUE"""),"")</f>
        <v/>
      </c>
      <c r="U7304" s="16" t="s">
        <v>87</v>
      </c>
      <c r="V7304" s="16" t="str">
        <f>IFERROR(__xludf.DUMMYFUNCTION("""COMPUTED_VALUE"""),"")</f>
        <v/>
      </c>
      <c r="W7304" s="16" t="str">
        <f>IFERROR(__xludf.DUMMYFUNCTION("""COMPUTED_VALUE"""),"")</f>
        <v/>
      </c>
      <c r="X7304" s="16" t="str">
        <f>IFERROR(__xludf.DUMMYFUNCTION("""COMPUTED_VALUE"""),"")</f>
        <v/>
      </c>
      <c r="AC7304" s="16" t="str">
        <f>IFERROR(__xludf.DUMMYFUNCTION("""COMPUTED_VALUE"""),"")</f>
        <v/>
      </c>
    </row>
    <row r="7305">
      <c r="A7305" s="16" t="s">
        <v>87</v>
      </c>
      <c r="E7305" s="16" t="str">
        <f>IFERROR(__xludf.DUMMYFUNCTION("""COMPUTED_VALUE"""),"")</f>
        <v/>
      </c>
      <c r="G7305" s="18"/>
      <c r="H7305" s="16" t="s">
        <v>87</v>
      </c>
      <c r="I7305" s="16" t="s">
        <v>87</v>
      </c>
      <c r="J7305" s="19"/>
      <c r="L7305" s="16" t="str">
        <f>IFERROR(__xludf.DUMMYFUNCTION("""COMPUTED_VALUE"""),"")</f>
        <v/>
      </c>
      <c r="M7305" s="16" t="str">
        <f>IFERROR(__xludf.DUMMYFUNCTION("""COMPUTED_VALUE"""),"")</f>
        <v/>
      </c>
      <c r="U7305" s="16" t="s">
        <v>87</v>
      </c>
      <c r="V7305" s="16" t="str">
        <f>IFERROR(__xludf.DUMMYFUNCTION("""COMPUTED_VALUE"""),"")</f>
        <v/>
      </c>
      <c r="W7305" s="16" t="str">
        <f>IFERROR(__xludf.DUMMYFUNCTION("""COMPUTED_VALUE"""),"")</f>
        <v/>
      </c>
      <c r="X7305" s="16" t="str">
        <f>IFERROR(__xludf.DUMMYFUNCTION("""COMPUTED_VALUE"""),"")</f>
        <v/>
      </c>
      <c r="AC7305" s="16" t="str">
        <f>IFERROR(__xludf.DUMMYFUNCTION("""COMPUTED_VALUE"""),"")</f>
        <v/>
      </c>
    </row>
    <row r="7306">
      <c r="A7306" s="16" t="s">
        <v>87</v>
      </c>
      <c r="E7306" s="16" t="str">
        <f>IFERROR(__xludf.DUMMYFUNCTION("""COMPUTED_VALUE"""),"")</f>
        <v/>
      </c>
      <c r="G7306" s="18"/>
      <c r="H7306" s="16" t="s">
        <v>87</v>
      </c>
      <c r="I7306" s="16" t="s">
        <v>87</v>
      </c>
      <c r="J7306" s="19"/>
      <c r="L7306" s="16" t="str">
        <f>IFERROR(__xludf.DUMMYFUNCTION("""COMPUTED_VALUE"""),"")</f>
        <v/>
      </c>
      <c r="M7306" s="16" t="str">
        <f>IFERROR(__xludf.DUMMYFUNCTION("""COMPUTED_VALUE"""),"")</f>
        <v/>
      </c>
      <c r="U7306" s="16" t="s">
        <v>87</v>
      </c>
      <c r="V7306" s="16" t="str">
        <f>IFERROR(__xludf.DUMMYFUNCTION("""COMPUTED_VALUE"""),"")</f>
        <v/>
      </c>
      <c r="W7306" s="16" t="str">
        <f>IFERROR(__xludf.DUMMYFUNCTION("""COMPUTED_VALUE"""),"")</f>
        <v/>
      </c>
      <c r="X7306" s="16" t="str">
        <f>IFERROR(__xludf.DUMMYFUNCTION("""COMPUTED_VALUE"""),"")</f>
        <v/>
      </c>
      <c r="AC7306" s="16" t="str">
        <f>IFERROR(__xludf.DUMMYFUNCTION("""COMPUTED_VALUE"""),"")</f>
        <v/>
      </c>
    </row>
    <row r="7307">
      <c r="A7307" s="16" t="s">
        <v>87</v>
      </c>
      <c r="E7307" s="16" t="str">
        <f>IFERROR(__xludf.DUMMYFUNCTION("""COMPUTED_VALUE"""),"")</f>
        <v/>
      </c>
      <c r="G7307" s="18"/>
      <c r="H7307" s="16" t="s">
        <v>87</v>
      </c>
      <c r="I7307" s="16" t="s">
        <v>87</v>
      </c>
      <c r="J7307" s="19"/>
      <c r="L7307" s="16" t="str">
        <f>IFERROR(__xludf.DUMMYFUNCTION("""COMPUTED_VALUE"""),"")</f>
        <v/>
      </c>
      <c r="M7307" s="16" t="str">
        <f>IFERROR(__xludf.DUMMYFUNCTION("""COMPUTED_VALUE"""),"")</f>
        <v/>
      </c>
      <c r="U7307" s="16" t="s">
        <v>87</v>
      </c>
      <c r="V7307" s="16" t="str">
        <f>IFERROR(__xludf.DUMMYFUNCTION("""COMPUTED_VALUE"""),"")</f>
        <v/>
      </c>
      <c r="W7307" s="16" t="str">
        <f>IFERROR(__xludf.DUMMYFUNCTION("""COMPUTED_VALUE"""),"")</f>
        <v/>
      </c>
      <c r="X7307" s="16" t="str">
        <f>IFERROR(__xludf.DUMMYFUNCTION("""COMPUTED_VALUE"""),"")</f>
        <v/>
      </c>
      <c r="AC7307" s="16" t="str">
        <f>IFERROR(__xludf.DUMMYFUNCTION("""COMPUTED_VALUE"""),"")</f>
        <v/>
      </c>
    </row>
    <row r="7308">
      <c r="A7308" s="16" t="s">
        <v>87</v>
      </c>
      <c r="E7308" s="16" t="str">
        <f>IFERROR(__xludf.DUMMYFUNCTION("""COMPUTED_VALUE"""),"")</f>
        <v/>
      </c>
      <c r="G7308" s="18"/>
      <c r="H7308" s="16" t="s">
        <v>87</v>
      </c>
      <c r="I7308" s="16" t="s">
        <v>87</v>
      </c>
      <c r="J7308" s="19"/>
      <c r="L7308" s="16" t="str">
        <f>IFERROR(__xludf.DUMMYFUNCTION("""COMPUTED_VALUE"""),"")</f>
        <v/>
      </c>
      <c r="M7308" s="16" t="str">
        <f>IFERROR(__xludf.DUMMYFUNCTION("""COMPUTED_VALUE"""),"")</f>
        <v/>
      </c>
      <c r="U7308" s="16" t="s">
        <v>87</v>
      </c>
      <c r="V7308" s="16" t="str">
        <f>IFERROR(__xludf.DUMMYFUNCTION("""COMPUTED_VALUE"""),"")</f>
        <v/>
      </c>
      <c r="W7308" s="16" t="str">
        <f>IFERROR(__xludf.DUMMYFUNCTION("""COMPUTED_VALUE"""),"")</f>
        <v/>
      </c>
      <c r="X7308" s="16" t="str">
        <f>IFERROR(__xludf.DUMMYFUNCTION("""COMPUTED_VALUE"""),"")</f>
        <v/>
      </c>
      <c r="AC7308" s="16" t="str">
        <f>IFERROR(__xludf.DUMMYFUNCTION("""COMPUTED_VALUE"""),"")</f>
        <v/>
      </c>
    </row>
    <row r="7309">
      <c r="A7309" s="16" t="s">
        <v>87</v>
      </c>
      <c r="E7309" s="16" t="str">
        <f>IFERROR(__xludf.DUMMYFUNCTION("""COMPUTED_VALUE"""),"")</f>
        <v/>
      </c>
      <c r="G7309" s="18"/>
      <c r="H7309" s="16" t="s">
        <v>87</v>
      </c>
      <c r="I7309" s="16" t="s">
        <v>87</v>
      </c>
      <c r="J7309" s="19"/>
      <c r="L7309" s="16" t="str">
        <f>IFERROR(__xludf.DUMMYFUNCTION("""COMPUTED_VALUE"""),"")</f>
        <v/>
      </c>
      <c r="M7309" s="16" t="str">
        <f>IFERROR(__xludf.DUMMYFUNCTION("""COMPUTED_VALUE"""),"")</f>
        <v/>
      </c>
      <c r="U7309" s="16" t="s">
        <v>87</v>
      </c>
      <c r="V7309" s="16" t="str">
        <f>IFERROR(__xludf.DUMMYFUNCTION("""COMPUTED_VALUE"""),"")</f>
        <v/>
      </c>
      <c r="W7309" s="16" t="str">
        <f>IFERROR(__xludf.DUMMYFUNCTION("""COMPUTED_VALUE"""),"")</f>
        <v/>
      </c>
      <c r="X7309" s="16" t="str">
        <f>IFERROR(__xludf.DUMMYFUNCTION("""COMPUTED_VALUE"""),"")</f>
        <v/>
      </c>
      <c r="AC7309" s="16" t="str">
        <f>IFERROR(__xludf.DUMMYFUNCTION("""COMPUTED_VALUE"""),"")</f>
        <v/>
      </c>
    </row>
    <row r="7310">
      <c r="A7310" s="16" t="s">
        <v>87</v>
      </c>
      <c r="E7310" s="16" t="str">
        <f>IFERROR(__xludf.DUMMYFUNCTION("""COMPUTED_VALUE"""),"")</f>
        <v/>
      </c>
      <c r="G7310" s="18"/>
      <c r="H7310" s="16" t="s">
        <v>87</v>
      </c>
      <c r="I7310" s="16" t="s">
        <v>87</v>
      </c>
      <c r="J7310" s="19"/>
      <c r="L7310" s="16" t="str">
        <f>IFERROR(__xludf.DUMMYFUNCTION("""COMPUTED_VALUE"""),"")</f>
        <v/>
      </c>
      <c r="M7310" s="16" t="str">
        <f>IFERROR(__xludf.DUMMYFUNCTION("""COMPUTED_VALUE"""),"")</f>
        <v/>
      </c>
      <c r="U7310" s="16" t="s">
        <v>87</v>
      </c>
      <c r="V7310" s="16" t="str">
        <f>IFERROR(__xludf.DUMMYFUNCTION("""COMPUTED_VALUE"""),"")</f>
        <v/>
      </c>
      <c r="W7310" s="16" t="str">
        <f>IFERROR(__xludf.DUMMYFUNCTION("""COMPUTED_VALUE"""),"")</f>
        <v/>
      </c>
      <c r="X7310" s="16" t="str">
        <f>IFERROR(__xludf.DUMMYFUNCTION("""COMPUTED_VALUE"""),"")</f>
        <v/>
      </c>
      <c r="AC7310" s="16" t="str">
        <f>IFERROR(__xludf.DUMMYFUNCTION("""COMPUTED_VALUE"""),"")</f>
        <v/>
      </c>
    </row>
    <row r="7311">
      <c r="A7311" s="16" t="s">
        <v>87</v>
      </c>
      <c r="E7311" s="16" t="str">
        <f>IFERROR(__xludf.DUMMYFUNCTION("""COMPUTED_VALUE"""),"")</f>
        <v/>
      </c>
      <c r="G7311" s="18"/>
      <c r="H7311" s="16" t="s">
        <v>87</v>
      </c>
      <c r="I7311" s="16" t="s">
        <v>87</v>
      </c>
      <c r="J7311" s="19"/>
      <c r="L7311" s="16" t="str">
        <f>IFERROR(__xludf.DUMMYFUNCTION("""COMPUTED_VALUE"""),"")</f>
        <v/>
      </c>
      <c r="M7311" s="16" t="str">
        <f>IFERROR(__xludf.DUMMYFUNCTION("""COMPUTED_VALUE"""),"")</f>
        <v/>
      </c>
      <c r="U7311" s="16" t="s">
        <v>87</v>
      </c>
      <c r="V7311" s="16" t="str">
        <f>IFERROR(__xludf.DUMMYFUNCTION("""COMPUTED_VALUE"""),"")</f>
        <v/>
      </c>
      <c r="W7311" s="16" t="str">
        <f>IFERROR(__xludf.DUMMYFUNCTION("""COMPUTED_VALUE"""),"")</f>
        <v/>
      </c>
      <c r="X7311" s="16" t="str">
        <f>IFERROR(__xludf.DUMMYFUNCTION("""COMPUTED_VALUE"""),"")</f>
        <v/>
      </c>
      <c r="AC7311" s="16" t="str">
        <f>IFERROR(__xludf.DUMMYFUNCTION("""COMPUTED_VALUE"""),"")</f>
        <v/>
      </c>
    </row>
    <row r="7312">
      <c r="A7312" s="16" t="s">
        <v>87</v>
      </c>
      <c r="E7312" s="16" t="str">
        <f>IFERROR(__xludf.DUMMYFUNCTION("""COMPUTED_VALUE"""),"")</f>
        <v/>
      </c>
      <c r="G7312" s="18"/>
      <c r="H7312" s="16" t="s">
        <v>87</v>
      </c>
      <c r="I7312" s="16" t="s">
        <v>87</v>
      </c>
      <c r="J7312" s="19"/>
      <c r="L7312" s="16" t="str">
        <f>IFERROR(__xludf.DUMMYFUNCTION("""COMPUTED_VALUE"""),"")</f>
        <v/>
      </c>
      <c r="M7312" s="16" t="str">
        <f>IFERROR(__xludf.DUMMYFUNCTION("""COMPUTED_VALUE"""),"")</f>
        <v/>
      </c>
      <c r="U7312" s="16" t="s">
        <v>87</v>
      </c>
      <c r="V7312" s="16" t="str">
        <f>IFERROR(__xludf.DUMMYFUNCTION("""COMPUTED_VALUE"""),"")</f>
        <v/>
      </c>
      <c r="W7312" s="16" t="str">
        <f>IFERROR(__xludf.DUMMYFUNCTION("""COMPUTED_VALUE"""),"")</f>
        <v/>
      </c>
      <c r="X7312" s="16" t="str">
        <f>IFERROR(__xludf.DUMMYFUNCTION("""COMPUTED_VALUE"""),"")</f>
        <v/>
      </c>
      <c r="AC7312" s="16" t="str">
        <f>IFERROR(__xludf.DUMMYFUNCTION("""COMPUTED_VALUE"""),"")</f>
        <v/>
      </c>
    </row>
    <row r="7313">
      <c r="A7313" s="16" t="s">
        <v>87</v>
      </c>
      <c r="E7313" s="16" t="str">
        <f>IFERROR(__xludf.DUMMYFUNCTION("""COMPUTED_VALUE"""),"")</f>
        <v/>
      </c>
      <c r="G7313" s="18"/>
      <c r="H7313" s="16" t="s">
        <v>87</v>
      </c>
      <c r="I7313" s="16" t="s">
        <v>87</v>
      </c>
      <c r="J7313" s="19"/>
      <c r="L7313" s="16" t="str">
        <f>IFERROR(__xludf.DUMMYFUNCTION("""COMPUTED_VALUE"""),"")</f>
        <v/>
      </c>
      <c r="M7313" s="16" t="str">
        <f>IFERROR(__xludf.DUMMYFUNCTION("""COMPUTED_VALUE"""),"")</f>
        <v/>
      </c>
      <c r="U7313" s="16" t="s">
        <v>87</v>
      </c>
      <c r="V7313" s="16" t="str">
        <f>IFERROR(__xludf.DUMMYFUNCTION("""COMPUTED_VALUE"""),"")</f>
        <v/>
      </c>
      <c r="W7313" s="16" t="str">
        <f>IFERROR(__xludf.DUMMYFUNCTION("""COMPUTED_VALUE"""),"")</f>
        <v/>
      </c>
      <c r="X7313" s="16" t="str">
        <f>IFERROR(__xludf.DUMMYFUNCTION("""COMPUTED_VALUE"""),"")</f>
        <v/>
      </c>
      <c r="AC7313" s="16" t="str">
        <f>IFERROR(__xludf.DUMMYFUNCTION("""COMPUTED_VALUE"""),"")</f>
        <v/>
      </c>
    </row>
    <row r="7314">
      <c r="A7314" s="16" t="s">
        <v>87</v>
      </c>
      <c r="E7314" s="16" t="str">
        <f>IFERROR(__xludf.DUMMYFUNCTION("""COMPUTED_VALUE"""),"")</f>
        <v/>
      </c>
      <c r="G7314" s="18"/>
      <c r="H7314" s="16" t="s">
        <v>87</v>
      </c>
      <c r="I7314" s="16" t="s">
        <v>87</v>
      </c>
      <c r="J7314" s="19"/>
      <c r="L7314" s="16" t="str">
        <f>IFERROR(__xludf.DUMMYFUNCTION("""COMPUTED_VALUE"""),"")</f>
        <v/>
      </c>
      <c r="M7314" s="16" t="str">
        <f>IFERROR(__xludf.DUMMYFUNCTION("""COMPUTED_VALUE"""),"")</f>
        <v/>
      </c>
      <c r="U7314" s="16" t="s">
        <v>87</v>
      </c>
      <c r="V7314" s="16" t="str">
        <f>IFERROR(__xludf.DUMMYFUNCTION("""COMPUTED_VALUE"""),"")</f>
        <v/>
      </c>
      <c r="W7314" s="16" t="str">
        <f>IFERROR(__xludf.DUMMYFUNCTION("""COMPUTED_VALUE"""),"")</f>
        <v/>
      </c>
      <c r="X7314" s="16" t="str">
        <f>IFERROR(__xludf.DUMMYFUNCTION("""COMPUTED_VALUE"""),"")</f>
        <v/>
      </c>
      <c r="AC7314" s="16" t="str">
        <f>IFERROR(__xludf.DUMMYFUNCTION("""COMPUTED_VALUE"""),"")</f>
        <v/>
      </c>
    </row>
    <row r="7315">
      <c r="A7315" s="16" t="s">
        <v>87</v>
      </c>
      <c r="E7315" s="16" t="str">
        <f>IFERROR(__xludf.DUMMYFUNCTION("""COMPUTED_VALUE"""),"")</f>
        <v/>
      </c>
      <c r="G7315" s="18"/>
      <c r="H7315" s="16" t="s">
        <v>87</v>
      </c>
      <c r="I7315" s="16" t="s">
        <v>87</v>
      </c>
      <c r="J7315" s="19"/>
      <c r="L7315" s="16" t="str">
        <f>IFERROR(__xludf.DUMMYFUNCTION("""COMPUTED_VALUE"""),"")</f>
        <v/>
      </c>
      <c r="M7315" s="16" t="str">
        <f>IFERROR(__xludf.DUMMYFUNCTION("""COMPUTED_VALUE"""),"")</f>
        <v/>
      </c>
      <c r="U7315" s="16" t="s">
        <v>87</v>
      </c>
      <c r="V7315" s="16" t="str">
        <f>IFERROR(__xludf.DUMMYFUNCTION("""COMPUTED_VALUE"""),"")</f>
        <v/>
      </c>
      <c r="W7315" s="16" t="str">
        <f>IFERROR(__xludf.DUMMYFUNCTION("""COMPUTED_VALUE"""),"")</f>
        <v/>
      </c>
      <c r="X7315" s="16" t="str">
        <f>IFERROR(__xludf.DUMMYFUNCTION("""COMPUTED_VALUE"""),"")</f>
        <v/>
      </c>
      <c r="AC7315" s="16" t="str">
        <f>IFERROR(__xludf.DUMMYFUNCTION("""COMPUTED_VALUE"""),"")</f>
        <v/>
      </c>
    </row>
    <row r="7316">
      <c r="A7316" s="16" t="s">
        <v>87</v>
      </c>
      <c r="E7316" s="16" t="str">
        <f>IFERROR(__xludf.DUMMYFUNCTION("""COMPUTED_VALUE"""),"")</f>
        <v/>
      </c>
      <c r="G7316" s="18"/>
      <c r="H7316" s="16" t="s">
        <v>87</v>
      </c>
      <c r="I7316" s="16" t="s">
        <v>87</v>
      </c>
      <c r="J7316" s="19"/>
      <c r="L7316" s="16" t="str">
        <f>IFERROR(__xludf.DUMMYFUNCTION("""COMPUTED_VALUE"""),"")</f>
        <v/>
      </c>
      <c r="M7316" s="16" t="str">
        <f>IFERROR(__xludf.DUMMYFUNCTION("""COMPUTED_VALUE"""),"")</f>
        <v/>
      </c>
      <c r="U7316" s="16" t="s">
        <v>87</v>
      </c>
      <c r="V7316" s="16" t="str">
        <f>IFERROR(__xludf.DUMMYFUNCTION("""COMPUTED_VALUE"""),"")</f>
        <v/>
      </c>
      <c r="W7316" s="16" t="str">
        <f>IFERROR(__xludf.DUMMYFUNCTION("""COMPUTED_VALUE"""),"")</f>
        <v/>
      </c>
      <c r="X7316" s="16" t="str">
        <f>IFERROR(__xludf.DUMMYFUNCTION("""COMPUTED_VALUE"""),"")</f>
        <v/>
      </c>
      <c r="AC7316" s="16" t="str">
        <f>IFERROR(__xludf.DUMMYFUNCTION("""COMPUTED_VALUE"""),"")</f>
        <v/>
      </c>
    </row>
    <row r="7317">
      <c r="A7317" s="16" t="s">
        <v>87</v>
      </c>
      <c r="E7317" s="16" t="str">
        <f>IFERROR(__xludf.DUMMYFUNCTION("""COMPUTED_VALUE"""),"")</f>
        <v/>
      </c>
      <c r="G7317" s="18"/>
      <c r="H7317" s="16" t="s">
        <v>87</v>
      </c>
      <c r="I7317" s="16" t="s">
        <v>87</v>
      </c>
      <c r="J7317" s="19"/>
      <c r="L7317" s="16" t="str">
        <f>IFERROR(__xludf.DUMMYFUNCTION("""COMPUTED_VALUE"""),"")</f>
        <v/>
      </c>
      <c r="M7317" s="16" t="str">
        <f>IFERROR(__xludf.DUMMYFUNCTION("""COMPUTED_VALUE"""),"")</f>
        <v/>
      </c>
      <c r="U7317" s="16" t="s">
        <v>87</v>
      </c>
      <c r="V7317" s="16" t="str">
        <f>IFERROR(__xludf.DUMMYFUNCTION("""COMPUTED_VALUE"""),"")</f>
        <v/>
      </c>
      <c r="W7317" s="16" t="str">
        <f>IFERROR(__xludf.DUMMYFUNCTION("""COMPUTED_VALUE"""),"")</f>
        <v/>
      </c>
      <c r="X7317" s="16" t="str">
        <f>IFERROR(__xludf.DUMMYFUNCTION("""COMPUTED_VALUE"""),"")</f>
        <v/>
      </c>
      <c r="AC7317" s="16" t="str">
        <f>IFERROR(__xludf.DUMMYFUNCTION("""COMPUTED_VALUE"""),"")</f>
        <v/>
      </c>
    </row>
    <row r="7318">
      <c r="A7318" s="16" t="s">
        <v>87</v>
      </c>
      <c r="E7318" s="16" t="str">
        <f>IFERROR(__xludf.DUMMYFUNCTION("""COMPUTED_VALUE"""),"")</f>
        <v/>
      </c>
      <c r="G7318" s="18"/>
      <c r="H7318" s="16" t="s">
        <v>87</v>
      </c>
      <c r="I7318" s="16" t="s">
        <v>87</v>
      </c>
      <c r="J7318" s="19"/>
      <c r="L7318" s="16" t="str">
        <f>IFERROR(__xludf.DUMMYFUNCTION("""COMPUTED_VALUE"""),"")</f>
        <v/>
      </c>
      <c r="M7318" s="16" t="str">
        <f>IFERROR(__xludf.DUMMYFUNCTION("""COMPUTED_VALUE"""),"")</f>
        <v/>
      </c>
      <c r="U7318" s="16" t="s">
        <v>87</v>
      </c>
      <c r="V7318" s="16" t="str">
        <f>IFERROR(__xludf.DUMMYFUNCTION("""COMPUTED_VALUE"""),"")</f>
        <v/>
      </c>
      <c r="W7318" s="16" t="str">
        <f>IFERROR(__xludf.DUMMYFUNCTION("""COMPUTED_VALUE"""),"")</f>
        <v/>
      </c>
      <c r="X7318" s="16" t="str">
        <f>IFERROR(__xludf.DUMMYFUNCTION("""COMPUTED_VALUE"""),"")</f>
        <v/>
      </c>
      <c r="AC7318" s="16" t="str">
        <f>IFERROR(__xludf.DUMMYFUNCTION("""COMPUTED_VALUE"""),"")</f>
        <v/>
      </c>
    </row>
    <row r="7319">
      <c r="A7319" s="16" t="s">
        <v>87</v>
      </c>
      <c r="E7319" s="16" t="str">
        <f>IFERROR(__xludf.DUMMYFUNCTION("""COMPUTED_VALUE"""),"")</f>
        <v/>
      </c>
      <c r="G7319" s="18"/>
      <c r="H7319" s="16" t="s">
        <v>87</v>
      </c>
      <c r="I7319" s="16" t="s">
        <v>87</v>
      </c>
      <c r="J7319" s="19"/>
      <c r="L7319" s="16" t="str">
        <f>IFERROR(__xludf.DUMMYFUNCTION("""COMPUTED_VALUE"""),"")</f>
        <v/>
      </c>
      <c r="M7319" s="16" t="str">
        <f>IFERROR(__xludf.DUMMYFUNCTION("""COMPUTED_VALUE"""),"")</f>
        <v/>
      </c>
      <c r="U7319" s="16" t="s">
        <v>87</v>
      </c>
      <c r="V7319" s="16" t="str">
        <f>IFERROR(__xludf.DUMMYFUNCTION("""COMPUTED_VALUE"""),"")</f>
        <v/>
      </c>
      <c r="W7319" s="16" t="str">
        <f>IFERROR(__xludf.DUMMYFUNCTION("""COMPUTED_VALUE"""),"")</f>
        <v/>
      </c>
      <c r="X7319" s="16" t="str">
        <f>IFERROR(__xludf.DUMMYFUNCTION("""COMPUTED_VALUE"""),"")</f>
        <v/>
      </c>
      <c r="AC7319" s="16" t="str">
        <f>IFERROR(__xludf.DUMMYFUNCTION("""COMPUTED_VALUE"""),"")</f>
        <v/>
      </c>
    </row>
    <row r="7320">
      <c r="A7320" s="16" t="s">
        <v>87</v>
      </c>
      <c r="E7320" s="16" t="str">
        <f>IFERROR(__xludf.DUMMYFUNCTION("""COMPUTED_VALUE"""),"")</f>
        <v/>
      </c>
      <c r="G7320" s="18"/>
      <c r="H7320" s="16" t="s">
        <v>87</v>
      </c>
      <c r="I7320" s="16" t="s">
        <v>87</v>
      </c>
      <c r="J7320" s="19"/>
      <c r="L7320" s="16" t="str">
        <f>IFERROR(__xludf.DUMMYFUNCTION("""COMPUTED_VALUE"""),"")</f>
        <v/>
      </c>
      <c r="M7320" s="16" t="str">
        <f>IFERROR(__xludf.DUMMYFUNCTION("""COMPUTED_VALUE"""),"")</f>
        <v/>
      </c>
      <c r="U7320" s="16" t="s">
        <v>87</v>
      </c>
      <c r="V7320" s="16" t="str">
        <f>IFERROR(__xludf.DUMMYFUNCTION("""COMPUTED_VALUE"""),"")</f>
        <v/>
      </c>
      <c r="W7320" s="16" t="str">
        <f>IFERROR(__xludf.DUMMYFUNCTION("""COMPUTED_VALUE"""),"")</f>
        <v/>
      </c>
      <c r="X7320" s="16" t="str">
        <f>IFERROR(__xludf.DUMMYFUNCTION("""COMPUTED_VALUE"""),"")</f>
        <v/>
      </c>
      <c r="AC7320" s="16" t="str">
        <f>IFERROR(__xludf.DUMMYFUNCTION("""COMPUTED_VALUE"""),"")</f>
        <v/>
      </c>
    </row>
    <row r="7321">
      <c r="A7321" s="16" t="s">
        <v>87</v>
      </c>
      <c r="E7321" s="16" t="str">
        <f>IFERROR(__xludf.DUMMYFUNCTION("""COMPUTED_VALUE"""),"")</f>
        <v/>
      </c>
      <c r="G7321" s="18"/>
      <c r="H7321" s="16" t="s">
        <v>87</v>
      </c>
      <c r="I7321" s="16" t="s">
        <v>87</v>
      </c>
      <c r="J7321" s="19"/>
      <c r="L7321" s="16" t="str">
        <f>IFERROR(__xludf.DUMMYFUNCTION("""COMPUTED_VALUE"""),"")</f>
        <v/>
      </c>
      <c r="M7321" s="16" t="str">
        <f>IFERROR(__xludf.DUMMYFUNCTION("""COMPUTED_VALUE"""),"")</f>
        <v/>
      </c>
      <c r="U7321" s="16" t="s">
        <v>87</v>
      </c>
      <c r="V7321" s="16" t="str">
        <f>IFERROR(__xludf.DUMMYFUNCTION("""COMPUTED_VALUE"""),"")</f>
        <v/>
      </c>
      <c r="W7321" s="16" t="str">
        <f>IFERROR(__xludf.DUMMYFUNCTION("""COMPUTED_VALUE"""),"")</f>
        <v/>
      </c>
      <c r="X7321" s="16" t="str">
        <f>IFERROR(__xludf.DUMMYFUNCTION("""COMPUTED_VALUE"""),"")</f>
        <v/>
      </c>
      <c r="AC7321" s="16" t="str">
        <f>IFERROR(__xludf.DUMMYFUNCTION("""COMPUTED_VALUE"""),"")</f>
        <v/>
      </c>
    </row>
    <row r="7322">
      <c r="A7322" s="16" t="s">
        <v>87</v>
      </c>
      <c r="E7322" s="16" t="str">
        <f>IFERROR(__xludf.DUMMYFUNCTION("""COMPUTED_VALUE"""),"")</f>
        <v/>
      </c>
      <c r="G7322" s="18"/>
      <c r="H7322" s="16" t="s">
        <v>87</v>
      </c>
      <c r="I7322" s="16" t="s">
        <v>87</v>
      </c>
      <c r="J7322" s="19"/>
      <c r="L7322" s="16" t="str">
        <f>IFERROR(__xludf.DUMMYFUNCTION("""COMPUTED_VALUE"""),"")</f>
        <v/>
      </c>
      <c r="M7322" s="16" t="str">
        <f>IFERROR(__xludf.DUMMYFUNCTION("""COMPUTED_VALUE"""),"")</f>
        <v/>
      </c>
      <c r="U7322" s="16" t="s">
        <v>87</v>
      </c>
      <c r="V7322" s="16" t="str">
        <f>IFERROR(__xludf.DUMMYFUNCTION("""COMPUTED_VALUE"""),"")</f>
        <v/>
      </c>
      <c r="W7322" s="16" t="str">
        <f>IFERROR(__xludf.DUMMYFUNCTION("""COMPUTED_VALUE"""),"")</f>
        <v/>
      </c>
      <c r="X7322" s="16" t="str">
        <f>IFERROR(__xludf.DUMMYFUNCTION("""COMPUTED_VALUE"""),"")</f>
        <v/>
      </c>
      <c r="AC7322" s="16" t="str">
        <f>IFERROR(__xludf.DUMMYFUNCTION("""COMPUTED_VALUE"""),"")</f>
        <v/>
      </c>
    </row>
    <row r="7323">
      <c r="A7323" s="16" t="s">
        <v>87</v>
      </c>
      <c r="E7323" s="16" t="str">
        <f>IFERROR(__xludf.DUMMYFUNCTION("""COMPUTED_VALUE"""),"")</f>
        <v/>
      </c>
      <c r="G7323" s="18"/>
      <c r="H7323" s="16" t="s">
        <v>87</v>
      </c>
      <c r="I7323" s="16" t="s">
        <v>87</v>
      </c>
      <c r="J7323" s="19"/>
      <c r="L7323" s="16" t="str">
        <f>IFERROR(__xludf.DUMMYFUNCTION("""COMPUTED_VALUE"""),"")</f>
        <v/>
      </c>
      <c r="M7323" s="16" t="str">
        <f>IFERROR(__xludf.DUMMYFUNCTION("""COMPUTED_VALUE"""),"")</f>
        <v/>
      </c>
      <c r="U7323" s="16" t="s">
        <v>87</v>
      </c>
      <c r="V7323" s="16" t="str">
        <f>IFERROR(__xludf.DUMMYFUNCTION("""COMPUTED_VALUE"""),"")</f>
        <v/>
      </c>
      <c r="W7323" s="16" t="str">
        <f>IFERROR(__xludf.DUMMYFUNCTION("""COMPUTED_VALUE"""),"")</f>
        <v/>
      </c>
      <c r="X7323" s="16" t="str">
        <f>IFERROR(__xludf.DUMMYFUNCTION("""COMPUTED_VALUE"""),"")</f>
        <v/>
      </c>
      <c r="AC7323" s="16" t="str">
        <f>IFERROR(__xludf.DUMMYFUNCTION("""COMPUTED_VALUE"""),"")</f>
        <v/>
      </c>
    </row>
    <row r="7324">
      <c r="A7324" s="16" t="s">
        <v>87</v>
      </c>
      <c r="E7324" s="16" t="str">
        <f>IFERROR(__xludf.DUMMYFUNCTION("""COMPUTED_VALUE"""),"")</f>
        <v/>
      </c>
      <c r="G7324" s="18"/>
      <c r="H7324" s="16" t="s">
        <v>87</v>
      </c>
      <c r="I7324" s="16" t="s">
        <v>87</v>
      </c>
      <c r="J7324" s="19"/>
      <c r="L7324" s="16" t="str">
        <f>IFERROR(__xludf.DUMMYFUNCTION("""COMPUTED_VALUE"""),"")</f>
        <v/>
      </c>
      <c r="M7324" s="16" t="str">
        <f>IFERROR(__xludf.DUMMYFUNCTION("""COMPUTED_VALUE"""),"")</f>
        <v/>
      </c>
      <c r="U7324" s="16" t="s">
        <v>87</v>
      </c>
      <c r="V7324" s="16" t="str">
        <f>IFERROR(__xludf.DUMMYFUNCTION("""COMPUTED_VALUE"""),"")</f>
        <v/>
      </c>
      <c r="W7324" s="16" t="str">
        <f>IFERROR(__xludf.DUMMYFUNCTION("""COMPUTED_VALUE"""),"")</f>
        <v/>
      </c>
      <c r="X7324" s="16" t="str">
        <f>IFERROR(__xludf.DUMMYFUNCTION("""COMPUTED_VALUE"""),"")</f>
        <v/>
      </c>
      <c r="AC7324" s="16" t="str">
        <f>IFERROR(__xludf.DUMMYFUNCTION("""COMPUTED_VALUE"""),"")</f>
        <v/>
      </c>
    </row>
    <row r="7325">
      <c r="A7325" s="16" t="s">
        <v>87</v>
      </c>
      <c r="E7325" s="16" t="str">
        <f>IFERROR(__xludf.DUMMYFUNCTION("""COMPUTED_VALUE"""),"")</f>
        <v/>
      </c>
      <c r="G7325" s="18"/>
      <c r="H7325" s="16" t="s">
        <v>87</v>
      </c>
      <c r="I7325" s="16" t="s">
        <v>87</v>
      </c>
      <c r="J7325" s="19"/>
      <c r="L7325" s="16" t="str">
        <f>IFERROR(__xludf.DUMMYFUNCTION("""COMPUTED_VALUE"""),"")</f>
        <v/>
      </c>
      <c r="M7325" s="16" t="str">
        <f>IFERROR(__xludf.DUMMYFUNCTION("""COMPUTED_VALUE"""),"")</f>
        <v/>
      </c>
      <c r="U7325" s="16" t="s">
        <v>87</v>
      </c>
      <c r="V7325" s="16" t="str">
        <f>IFERROR(__xludf.DUMMYFUNCTION("""COMPUTED_VALUE"""),"")</f>
        <v/>
      </c>
      <c r="W7325" s="16" t="str">
        <f>IFERROR(__xludf.DUMMYFUNCTION("""COMPUTED_VALUE"""),"")</f>
        <v/>
      </c>
      <c r="X7325" s="16" t="str">
        <f>IFERROR(__xludf.DUMMYFUNCTION("""COMPUTED_VALUE"""),"")</f>
        <v/>
      </c>
      <c r="AC7325" s="16" t="str">
        <f>IFERROR(__xludf.DUMMYFUNCTION("""COMPUTED_VALUE"""),"")</f>
        <v/>
      </c>
    </row>
    <row r="7326">
      <c r="A7326" s="16" t="s">
        <v>87</v>
      </c>
      <c r="E7326" s="16" t="str">
        <f>IFERROR(__xludf.DUMMYFUNCTION("""COMPUTED_VALUE"""),"")</f>
        <v/>
      </c>
      <c r="G7326" s="18"/>
      <c r="H7326" s="16" t="s">
        <v>87</v>
      </c>
      <c r="I7326" s="16" t="s">
        <v>87</v>
      </c>
      <c r="J7326" s="19"/>
      <c r="L7326" s="16" t="str">
        <f>IFERROR(__xludf.DUMMYFUNCTION("""COMPUTED_VALUE"""),"")</f>
        <v/>
      </c>
      <c r="M7326" s="16" t="str">
        <f>IFERROR(__xludf.DUMMYFUNCTION("""COMPUTED_VALUE"""),"")</f>
        <v/>
      </c>
      <c r="U7326" s="16" t="s">
        <v>87</v>
      </c>
      <c r="V7326" s="16" t="str">
        <f>IFERROR(__xludf.DUMMYFUNCTION("""COMPUTED_VALUE"""),"")</f>
        <v/>
      </c>
      <c r="W7326" s="16" t="str">
        <f>IFERROR(__xludf.DUMMYFUNCTION("""COMPUTED_VALUE"""),"")</f>
        <v/>
      </c>
      <c r="X7326" s="16" t="str">
        <f>IFERROR(__xludf.DUMMYFUNCTION("""COMPUTED_VALUE"""),"")</f>
        <v/>
      </c>
      <c r="AC7326" s="16" t="str">
        <f>IFERROR(__xludf.DUMMYFUNCTION("""COMPUTED_VALUE"""),"")</f>
        <v/>
      </c>
    </row>
    <row r="7327">
      <c r="A7327" s="16" t="s">
        <v>87</v>
      </c>
      <c r="E7327" s="16" t="str">
        <f>IFERROR(__xludf.DUMMYFUNCTION("""COMPUTED_VALUE"""),"")</f>
        <v/>
      </c>
      <c r="G7327" s="18"/>
      <c r="H7327" s="16" t="s">
        <v>87</v>
      </c>
      <c r="I7327" s="16" t="s">
        <v>87</v>
      </c>
      <c r="J7327" s="19"/>
      <c r="L7327" s="16" t="str">
        <f>IFERROR(__xludf.DUMMYFUNCTION("""COMPUTED_VALUE"""),"")</f>
        <v/>
      </c>
      <c r="M7327" s="16" t="str">
        <f>IFERROR(__xludf.DUMMYFUNCTION("""COMPUTED_VALUE"""),"")</f>
        <v/>
      </c>
      <c r="U7327" s="16" t="s">
        <v>87</v>
      </c>
      <c r="V7327" s="16" t="str">
        <f>IFERROR(__xludf.DUMMYFUNCTION("""COMPUTED_VALUE"""),"")</f>
        <v/>
      </c>
      <c r="W7327" s="16" t="str">
        <f>IFERROR(__xludf.DUMMYFUNCTION("""COMPUTED_VALUE"""),"")</f>
        <v/>
      </c>
      <c r="X7327" s="16" t="str">
        <f>IFERROR(__xludf.DUMMYFUNCTION("""COMPUTED_VALUE"""),"")</f>
        <v/>
      </c>
      <c r="AC7327" s="16" t="str">
        <f>IFERROR(__xludf.DUMMYFUNCTION("""COMPUTED_VALUE"""),"")</f>
        <v/>
      </c>
    </row>
    <row r="7328">
      <c r="A7328" s="16" t="s">
        <v>87</v>
      </c>
      <c r="E7328" s="16" t="str">
        <f>IFERROR(__xludf.DUMMYFUNCTION("""COMPUTED_VALUE"""),"")</f>
        <v/>
      </c>
      <c r="G7328" s="18"/>
      <c r="H7328" s="16" t="s">
        <v>87</v>
      </c>
      <c r="I7328" s="16" t="s">
        <v>87</v>
      </c>
      <c r="J7328" s="19"/>
      <c r="L7328" s="16" t="str">
        <f>IFERROR(__xludf.DUMMYFUNCTION("""COMPUTED_VALUE"""),"")</f>
        <v/>
      </c>
      <c r="M7328" s="16" t="str">
        <f>IFERROR(__xludf.DUMMYFUNCTION("""COMPUTED_VALUE"""),"")</f>
        <v/>
      </c>
      <c r="U7328" s="16" t="s">
        <v>87</v>
      </c>
      <c r="V7328" s="16" t="str">
        <f>IFERROR(__xludf.DUMMYFUNCTION("""COMPUTED_VALUE"""),"")</f>
        <v/>
      </c>
      <c r="W7328" s="16" t="str">
        <f>IFERROR(__xludf.DUMMYFUNCTION("""COMPUTED_VALUE"""),"")</f>
        <v/>
      </c>
      <c r="X7328" s="16" t="str">
        <f>IFERROR(__xludf.DUMMYFUNCTION("""COMPUTED_VALUE"""),"")</f>
        <v/>
      </c>
      <c r="AC7328" s="16" t="str">
        <f>IFERROR(__xludf.DUMMYFUNCTION("""COMPUTED_VALUE"""),"")</f>
        <v/>
      </c>
    </row>
    <row r="7329">
      <c r="A7329" s="16" t="s">
        <v>87</v>
      </c>
      <c r="E7329" s="16" t="str">
        <f>IFERROR(__xludf.DUMMYFUNCTION("""COMPUTED_VALUE"""),"")</f>
        <v/>
      </c>
      <c r="G7329" s="18"/>
      <c r="H7329" s="16" t="s">
        <v>87</v>
      </c>
      <c r="I7329" s="16" t="s">
        <v>87</v>
      </c>
      <c r="J7329" s="19"/>
      <c r="L7329" s="16" t="str">
        <f>IFERROR(__xludf.DUMMYFUNCTION("""COMPUTED_VALUE"""),"")</f>
        <v/>
      </c>
      <c r="M7329" s="16" t="str">
        <f>IFERROR(__xludf.DUMMYFUNCTION("""COMPUTED_VALUE"""),"")</f>
        <v/>
      </c>
      <c r="U7329" s="16" t="s">
        <v>87</v>
      </c>
      <c r="V7329" s="16" t="str">
        <f>IFERROR(__xludf.DUMMYFUNCTION("""COMPUTED_VALUE"""),"")</f>
        <v/>
      </c>
      <c r="W7329" s="16" t="str">
        <f>IFERROR(__xludf.DUMMYFUNCTION("""COMPUTED_VALUE"""),"")</f>
        <v/>
      </c>
      <c r="X7329" s="16" t="str">
        <f>IFERROR(__xludf.DUMMYFUNCTION("""COMPUTED_VALUE"""),"")</f>
        <v/>
      </c>
      <c r="AC7329" s="16" t="str">
        <f>IFERROR(__xludf.DUMMYFUNCTION("""COMPUTED_VALUE"""),"")</f>
        <v/>
      </c>
    </row>
    <row r="7330">
      <c r="A7330" s="16" t="s">
        <v>87</v>
      </c>
      <c r="E7330" s="16" t="str">
        <f>IFERROR(__xludf.DUMMYFUNCTION("""COMPUTED_VALUE"""),"")</f>
        <v/>
      </c>
      <c r="G7330" s="18"/>
      <c r="H7330" s="16" t="s">
        <v>87</v>
      </c>
      <c r="I7330" s="16" t="s">
        <v>87</v>
      </c>
      <c r="J7330" s="19"/>
      <c r="L7330" s="16" t="str">
        <f>IFERROR(__xludf.DUMMYFUNCTION("""COMPUTED_VALUE"""),"")</f>
        <v/>
      </c>
      <c r="M7330" s="16" t="str">
        <f>IFERROR(__xludf.DUMMYFUNCTION("""COMPUTED_VALUE"""),"")</f>
        <v/>
      </c>
      <c r="U7330" s="16" t="s">
        <v>87</v>
      </c>
      <c r="V7330" s="16" t="str">
        <f>IFERROR(__xludf.DUMMYFUNCTION("""COMPUTED_VALUE"""),"")</f>
        <v/>
      </c>
      <c r="W7330" s="16" t="str">
        <f>IFERROR(__xludf.DUMMYFUNCTION("""COMPUTED_VALUE"""),"")</f>
        <v/>
      </c>
      <c r="X7330" s="16" t="str">
        <f>IFERROR(__xludf.DUMMYFUNCTION("""COMPUTED_VALUE"""),"")</f>
        <v/>
      </c>
      <c r="AC7330" s="16" t="str">
        <f>IFERROR(__xludf.DUMMYFUNCTION("""COMPUTED_VALUE"""),"")</f>
        <v/>
      </c>
    </row>
    <row r="7331">
      <c r="A7331" s="16" t="s">
        <v>87</v>
      </c>
      <c r="E7331" s="16" t="str">
        <f>IFERROR(__xludf.DUMMYFUNCTION("""COMPUTED_VALUE"""),"")</f>
        <v/>
      </c>
      <c r="G7331" s="18"/>
      <c r="H7331" s="16" t="s">
        <v>87</v>
      </c>
      <c r="I7331" s="16" t="s">
        <v>87</v>
      </c>
      <c r="J7331" s="19"/>
      <c r="L7331" s="16" t="str">
        <f>IFERROR(__xludf.DUMMYFUNCTION("""COMPUTED_VALUE"""),"")</f>
        <v/>
      </c>
      <c r="M7331" s="16" t="str">
        <f>IFERROR(__xludf.DUMMYFUNCTION("""COMPUTED_VALUE"""),"")</f>
        <v/>
      </c>
      <c r="U7331" s="16" t="s">
        <v>87</v>
      </c>
      <c r="V7331" s="16" t="str">
        <f>IFERROR(__xludf.DUMMYFUNCTION("""COMPUTED_VALUE"""),"")</f>
        <v/>
      </c>
      <c r="W7331" s="16" t="str">
        <f>IFERROR(__xludf.DUMMYFUNCTION("""COMPUTED_VALUE"""),"")</f>
        <v/>
      </c>
      <c r="X7331" s="16" t="str">
        <f>IFERROR(__xludf.DUMMYFUNCTION("""COMPUTED_VALUE"""),"")</f>
        <v/>
      </c>
      <c r="AC7331" s="16" t="str">
        <f>IFERROR(__xludf.DUMMYFUNCTION("""COMPUTED_VALUE"""),"")</f>
        <v/>
      </c>
    </row>
    <row r="7332">
      <c r="A7332" s="16" t="s">
        <v>87</v>
      </c>
      <c r="E7332" s="16" t="str">
        <f>IFERROR(__xludf.DUMMYFUNCTION("""COMPUTED_VALUE"""),"")</f>
        <v/>
      </c>
      <c r="G7332" s="18"/>
      <c r="H7332" s="16" t="s">
        <v>87</v>
      </c>
      <c r="I7332" s="16" t="s">
        <v>87</v>
      </c>
      <c r="J7332" s="19"/>
      <c r="L7332" s="16" t="str">
        <f>IFERROR(__xludf.DUMMYFUNCTION("""COMPUTED_VALUE"""),"")</f>
        <v/>
      </c>
      <c r="M7332" s="16" t="str">
        <f>IFERROR(__xludf.DUMMYFUNCTION("""COMPUTED_VALUE"""),"")</f>
        <v/>
      </c>
      <c r="U7332" s="16" t="s">
        <v>87</v>
      </c>
      <c r="V7332" s="16" t="str">
        <f>IFERROR(__xludf.DUMMYFUNCTION("""COMPUTED_VALUE"""),"")</f>
        <v/>
      </c>
      <c r="W7332" s="16" t="str">
        <f>IFERROR(__xludf.DUMMYFUNCTION("""COMPUTED_VALUE"""),"")</f>
        <v/>
      </c>
      <c r="X7332" s="16" t="str">
        <f>IFERROR(__xludf.DUMMYFUNCTION("""COMPUTED_VALUE"""),"")</f>
        <v/>
      </c>
      <c r="AC7332" s="16" t="str">
        <f>IFERROR(__xludf.DUMMYFUNCTION("""COMPUTED_VALUE"""),"")</f>
        <v/>
      </c>
    </row>
    <row r="7333">
      <c r="A7333" s="16" t="s">
        <v>87</v>
      </c>
      <c r="E7333" s="16" t="str">
        <f>IFERROR(__xludf.DUMMYFUNCTION("""COMPUTED_VALUE"""),"")</f>
        <v/>
      </c>
      <c r="G7333" s="18"/>
      <c r="H7333" s="16" t="s">
        <v>87</v>
      </c>
      <c r="I7333" s="16" t="s">
        <v>87</v>
      </c>
      <c r="J7333" s="19"/>
      <c r="L7333" s="16" t="str">
        <f>IFERROR(__xludf.DUMMYFUNCTION("""COMPUTED_VALUE"""),"")</f>
        <v/>
      </c>
      <c r="M7333" s="16" t="str">
        <f>IFERROR(__xludf.DUMMYFUNCTION("""COMPUTED_VALUE"""),"")</f>
        <v/>
      </c>
      <c r="U7333" s="16" t="s">
        <v>87</v>
      </c>
      <c r="V7333" s="16" t="str">
        <f>IFERROR(__xludf.DUMMYFUNCTION("""COMPUTED_VALUE"""),"")</f>
        <v/>
      </c>
      <c r="W7333" s="16" t="str">
        <f>IFERROR(__xludf.DUMMYFUNCTION("""COMPUTED_VALUE"""),"")</f>
        <v/>
      </c>
      <c r="X7333" s="16" t="str">
        <f>IFERROR(__xludf.DUMMYFUNCTION("""COMPUTED_VALUE"""),"")</f>
        <v/>
      </c>
      <c r="AC7333" s="16" t="str">
        <f>IFERROR(__xludf.DUMMYFUNCTION("""COMPUTED_VALUE"""),"")</f>
        <v/>
      </c>
    </row>
    <row r="7334">
      <c r="A7334" s="16" t="s">
        <v>87</v>
      </c>
      <c r="E7334" s="16" t="str">
        <f>IFERROR(__xludf.DUMMYFUNCTION("""COMPUTED_VALUE"""),"")</f>
        <v/>
      </c>
      <c r="G7334" s="18"/>
      <c r="H7334" s="16" t="s">
        <v>87</v>
      </c>
      <c r="I7334" s="16" t="s">
        <v>87</v>
      </c>
      <c r="J7334" s="19"/>
      <c r="L7334" s="16" t="str">
        <f>IFERROR(__xludf.DUMMYFUNCTION("""COMPUTED_VALUE"""),"")</f>
        <v/>
      </c>
      <c r="M7334" s="16" t="str">
        <f>IFERROR(__xludf.DUMMYFUNCTION("""COMPUTED_VALUE"""),"")</f>
        <v/>
      </c>
      <c r="U7334" s="16" t="s">
        <v>87</v>
      </c>
      <c r="V7334" s="16" t="str">
        <f>IFERROR(__xludf.DUMMYFUNCTION("""COMPUTED_VALUE"""),"")</f>
        <v/>
      </c>
      <c r="W7334" s="16" t="str">
        <f>IFERROR(__xludf.DUMMYFUNCTION("""COMPUTED_VALUE"""),"")</f>
        <v/>
      </c>
      <c r="X7334" s="16" t="str">
        <f>IFERROR(__xludf.DUMMYFUNCTION("""COMPUTED_VALUE"""),"")</f>
        <v/>
      </c>
      <c r="AC7334" s="16" t="str">
        <f>IFERROR(__xludf.DUMMYFUNCTION("""COMPUTED_VALUE"""),"")</f>
        <v/>
      </c>
    </row>
    <row r="7335">
      <c r="A7335" s="16" t="s">
        <v>87</v>
      </c>
      <c r="E7335" s="16" t="str">
        <f>IFERROR(__xludf.DUMMYFUNCTION("""COMPUTED_VALUE"""),"")</f>
        <v/>
      </c>
      <c r="G7335" s="18"/>
      <c r="H7335" s="16" t="s">
        <v>87</v>
      </c>
      <c r="I7335" s="16" t="s">
        <v>87</v>
      </c>
      <c r="J7335" s="19"/>
      <c r="L7335" s="16" t="str">
        <f>IFERROR(__xludf.DUMMYFUNCTION("""COMPUTED_VALUE"""),"")</f>
        <v/>
      </c>
      <c r="M7335" s="16" t="str">
        <f>IFERROR(__xludf.DUMMYFUNCTION("""COMPUTED_VALUE"""),"")</f>
        <v/>
      </c>
      <c r="U7335" s="16" t="s">
        <v>87</v>
      </c>
      <c r="V7335" s="16" t="str">
        <f>IFERROR(__xludf.DUMMYFUNCTION("""COMPUTED_VALUE"""),"")</f>
        <v/>
      </c>
      <c r="W7335" s="16" t="str">
        <f>IFERROR(__xludf.DUMMYFUNCTION("""COMPUTED_VALUE"""),"")</f>
        <v/>
      </c>
      <c r="X7335" s="16" t="str">
        <f>IFERROR(__xludf.DUMMYFUNCTION("""COMPUTED_VALUE"""),"")</f>
        <v/>
      </c>
      <c r="AC7335" s="16" t="str">
        <f>IFERROR(__xludf.DUMMYFUNCTION("""COMPUTED_VALUE"""),"")</f>
        <v/>
      </c>
    </row>
    <row r="7336">
      <c r="A7336" s="16" t="s">
        <v>87</v>
      </c>
      <c r="E7336" s="16" t="str">
        <f>IFERROR(__xludf.DUMMYFUNCTION("""COMPUTED_VALUE"""),"")</f>
        <v/>
      </c>
      <c r="G7336" s="18"/>
      <c r="H7336" s="16" t="s">
        <v>87</v>
      </c>
      <c r="I7336" s="16" t="s">
        <v>87</v>
      </c>
      <c r="J7336" s="19"/>
      <c r="L7336" s="16" t="str">
        <f>IFERROR(__xludf.DUMMYFUNCTION("""COMPUTED_VALUE"""),"")</f>
        <v/>
      </c>
      <c r="M7336" s="16" t="str">
        <f>IFERROR(__xludf.DUMMYFUNCTION("""COMPUTED_VALUE"""),"")</f>
        <v/>
      </c>
      <c r="U7336" s="16" t="s">
        <v>87</v>
      </c>
      <c r="V7336" s="16" t="str">
        <f>IFERROR(__xludf.DUMMYFUNCTION("""COMPUTED_VALUE"""),"")</f>
        <v/>
      </c>
      <c r="W7336" s="16" t="str">
        <f>IFERROR(__xludf.DUMMYFUNCTION("""COMPUTED_VALUE"""),"")</f>
        <v/>
      </c>
      <c r="X7336" s="16" t="str">
        <f>IFERROR(__xludf.DUMMYFUNCTION("""COMPUTED_VALUE"""),"")</f>
        <v/>
      </c>
      <c r="AC7336" s="16" t="str">
        <f>IFERROR(__xludf.DUMMYFUNCTION("""COMPUTED_VALUE"""),"")</f>
        <v/>
      </c>
    </row>
    <row r="7337">
      <c r="A7337" s="16" t="s">
        <v>87</v>
      </c>
      <c r="E7337" s="16" t="str">
        <f>IFERROR(__xludf.DUMMYFUNCTION("""COMPUTED_VALUE"""),"")</f>
        <v/>
      </c>
      <c r="G7337" s="18"/>
      <c r="H7337" s="16" t="s">
        <v>87</v>
      </c>
      <c r="I7337" s="16" t="s">
        <v>87</v>
      </c>
      <c r="J7337" s="19"/>
      <c r="L7337" s="16" t="str">
        <f>IFERROR(__xludf.DUMMYFUNCTION("""COMPUTED_VALUE"""),"")</f>
        <v/>
      </c>
      <c r="M7337" s="16" t="str">
        <f>IFERROR(__xludf.DUMMYFUNCTION("""COMPUTED_VALUE"""),"")</f>
        <v/>
      </c>
      <c r="U7337" s="16" t="s">
        <v>87</v>
      </c>
      <c r="V7337" s="16" t="str">
        <f>IFERROR(__xludf.DUMMYFUNCTION("""COMPUTED_VALUE"""),"")</f>
        <v/>
      </c>
      <c r="W7337" s="16" t="str">
        <f>IFERROR(__xludf.DUMMYFUNCTION("""COMPUTED_VALUE"""),"")</f>
        <v/>
      </c>
      <c r="X7337" s="16" t="str">
        <f>IFERROR(__xludf.DUMMYFUNCTION("""COMPUTED_VALUE"""),"")</f>
        <v/>
      </c>
      <c r="AC7337" s="16" t="str">
        <f>IFERROR(__xludf.DUMMYFUNCTION("""COMPUTED_VALUE"""),"")</f>
        <v/>
      </c>
    </row>
    <row r="7338">
      <c r="A7338" s="16" t="s">
        <v>87</v>
      </c>
      <c r="E7338" s="16" t="str">
        <f>IFERROR(__xludf.DUMMYFUNCTION("""COMPUTED_VALUE"""),"")</f>
        <v/>
      </c>
      <c r="G7338" s="18"/>
      <c r="H7338" s="16" t="s">
        <v>87</v>
      </c>
      <c r="I7338" s="16" t="s">
        <v>87</v>
      </c>
      <c r="J7338" s="19"/>
      <c r="L7338" s="16" t="str">
        <f>IFERROR(__xludf.DUMMYFUNCTION("""COMPUTED_VALUE"""),"")</f>
        <v/>
      </c>
      <c r="M7338" s="16" t="str">
        <f>IFERROR(__xludf.DUMMYFUNCTION("""COMPUTED_VALUE"""),"")</f>
        <v/>
      </c>
      <c r="U7338" s="16" t="s">
        <v>87</v>
      </c>
      <c r="V7338" s="16" t="str">
        <f>IFERROR(__xludf.DUMMYFUNCTION("""COMPUTED_VALUE"""),"")</f>
        <v/>
      </c>
      <c r="W7338" s="16" t="str">
        <f>IFERROR(__xludf.DUMMYFUNCTION("""COMPUTED_VALUE"""),"")</f>
        <v/>
      </c>
      <c r="X7338" s="16" t="str">
        <f>IFERROR(__xludf.DUMMYFUNCTION("""COMPUTED_VALUE"""),"")</f>
        <v/>
      </c>
      <c r="AC7338" s="16" t="str">
        <f>IFERROR(__xludf.DUMMYFUNCTION("""COMPUTED_VALUE"""),"")</f>
        <v/>
      </c>
    </row>
    <row r="7339">
      <c r="A7339" s="16" t="s">
        <v>87</v>
      </c>
      <c r="E7339" s="16" t="str">
        <f>IFERROR(__xludf.DUMMYFUNCTION("""COMPUTED_VALUE"""),"")</f>
        <v/>
      </c>
      <c r="G7339" s="18"/>
      <c r="H7339" s="16" t="s">
        <v>87</v>
      </c>
      <c r="I7339" s="16" t="s">
        <v>87</v>
      </c>
      <c r="J7339" s="19"/>
      <c r="L7339" s="16" t="str">
        <f>IFERROR(__xludf.DUMMYFUNCTION("""COMPUTED_VALUE"""),"")</f>
        <v/>
      </c>
      <c r="M7339" s="16" t="str">
        <f>IFERROR(__xludf.DUMMYFUNCTION("""COMPUTED_VALUE"""),"")</f>
        <v/>
      </c>
      <c r="U7339" s="16" t="s">
        <v>87</v>
      </c>
      <c r="V7339" s="16" t="str">
        <f>IFERROR(__xludf.DUMMYFUNCTION("""COMPUTED_VALUE"""),"")</f>
        <v/>
      </c>
      <c r="W7339" s="16" t="str">
        <f>IFERROR(__xludf.DUMMYFUNCTION("""COMPUTED_VALUE"""),"")</f>
        <v/>
      </c>
      <c r="X7339" s="16" t="str">
        <f>IFERROR(__xludf.DUMMYFUNCTION("""COMPUTED_VALUE"""),"")</f>
        <v/>
      </c>
      <c r="AC7339" s="16" t="str">
        <f>IFERROR(__xludf.DUMMYFUNCTION("""COMPUTED_VALUE"""),"")</f>
        <v/>
      </c>
    </row>
    <row r="7340">
      <c r="A7340" s="16" t="s">
        <v>87</v>
      </c>
      <c r="E7340" s="16" t="str">
        <f>IFERROR(__xludf.DUMMYFUNCTION("""COMPUTED_VALUE"""),"")</f>
        <v/>
      </c>
      <c r="G7340" s="18"/>
      <c r="H7340" s="16" t="s">
        <v>87</v>
      </c>
      <c r="I7340" s="16" t="s">
        <v>87</v>
      </c>
      <c r="J7340" s="19"/>
      <c r="L7340" s="16" t="str">
        <f>IFERROR(__xludf.DUMMYFUNCTION("""COMPUTED_VALUE"""),"")</f>
        <v/>
      </c>
      <c r="M7340" s="16" t="str">
        <f>IFERROR(__xludf.DUMMYFUNCTION("""COMPUTED_VALUE"""),"")</f>
        <v/>
      </c>
      <c r="U7340" s="16" t="s">
        <v>87</v>
      </c>
      <c r="V7340" s="16" t="str">
        <f>IFERROR(__xludf.DUMMYFUNCTION("""COMPUTED_VALUE"""),"")</f>
        <v/>
      </c>
      <c r="W7340" s="16" t="str">
        <f>IFERROR(__xludf.DUMMYFUNCTION("""COMPUTED_VALUE"""),"")</f>
        <v/>
      </c>
      <c r="X7340" s="16" t="str">
        <f>IFERROR(__xludf.DUMMYFUNCTION("""COMPUTED_VALUE"""),"")</f>
        <v/>
      </c>
      <c r="AC7340" s="16" t="str">
        <f>IFERROR(__xludf.DUMMYFUNCTION("""COMPUTED_VALUE"""),"")</f>
        <v/>
      </c>
    </row>
    <row r="7341">
      <c r="A7341" s="16" t="s">
        <v>87</v>
      </c>
      <c r="E7341" s="16" t="str">
        <f>IFERROR(__xludf.DUMMYFUNCTION("""COMPUTED_VALUE"""),"")</f>
        <v/>
      </c>
      <c r="G7341" s="18"/>
      <c r="H7341" s="16" t="s">
        <v>87</v>
      </c>
      <c r="I7341" s="16" t="s">
        <v>87</v>
      </c>
      <c r="J7341" s="19"/>
      <c r="L7341" s="16" t="str">
        <f>IFERROR(__xludf.DUMMYFUNCTION("""COMPUTED_VALUE"""),"")</f>
        <v/>
      </c>
      <c r="M7341" s="16" t="str">
        <f>IFERROR(__xludf.DUMMYFUNCTION("""COMPUTED_VALUE"""),"")</f>
        <v/>
      </c>
      <c r="U7341" s="16" t="s">
        <v>87</v>
      </c>
      <c r="V7341" s="16" t="str">
        <f>IFERROR(__xludf.DUMMYFUNCTION("""COMPUTED_VALUE"""),"")</f>
        <v/>
      </c>
      <c r="W7341" s="16" t="str">
        <f>IFERROR(__xludf.DUMMYFUNCTION("""COMPUTED_VALUE"""),"")</f>
        <v/>
      </c>
      <c r="X7341" s="16" t="str">
        <f>IFERROR(__xludf.DUMMYFUNCTION("""COMPUTED_VALUE"""),"")</f>
        <v/>
      </c>
      <c r="AC7341" s="16" t="str">
        <f>IFERROR(__xludf.DUMMYFUNCTION("""COMPUTED_VALUE"""),"")</f>
        <v/>
      </c>
    </row>
    <row r="7342">
      <c r="A7342" s="16" t="s">
        <v>87</v>
      </c>
      <c r="E7342" s="16" t="str">
        <f>IFERROR(__xludf.DUMMYFUNCTION("""COMPUTED_VALUE"""),"")</f>
        <v/>
      </c>
      <c r="G7342" s="18"/>
      <c r="H7342" s="16" t="s">
        <v>87</v>
      </c>
      <c r="I7342" s="16" t="s">
        <v>87</v>
      </c>
      <c r="J7342" s="19"/>
      <c r="L7342" s="16" t="str">
        <f>IFERROR(__xludf.DUMMYFUNCTION("""COMPUTED_VALUE"""),"")</f>
        <v/>
      </c>
      <c r="M7342" s="16" t="str">
        <f>IFERROR(__xludf.DUMMYFUNCTION("""COMPUTED_VALUE"""),"")</f>
        <v/>
      </c>
      <c r="U7342" s="16" t="s">
        <v>87</v>
      </c>
      <c r="V7342" s="16" t="str">
        <f>IFERROR(__xludf.DUMMYFUNCTION("""COMPUTED_VALUE"""),"")</f>
        <v/>
      </c>
      <c r="W7342" s="16" t="str">
        <f>IFERROR(__xludf.DUMMYFUNCTION("""COMPUTED_VALUE"""),"")</f>
        <v/>
      </c>
      <c r="X7342" s="16" t="str">
        <f>IFERROR(__xludf.DUMMYFUNCTION("""COMPUTED_VALUE"""),"")</f>
        <v/>
      </c>
      <c r="AC7342" s="16" t="str">
        <f>IFERROR(__xludf.DUMMYFUNCTION("""COMPUTED_VALUE"""),"")</f>
        <v/>
      </c>
    </row>
    <row r="7343">
      <c r="A7343" s="16" t="s">
        <v>87</v>
      </c>
      <c r="E7343" s="16" t="str">
        <f>IFERROR(__xludf.DUMMYFUNCTION("""COMPUTED_VALUE"""),"")</f>
        <v/>
      </c>
      <c r="G7343" s="18"/>
      <c r="H7343" s="16" t="s">
        <v>87</v>
      </c>
      <c r="I7343" s="16" t="s">
        <v>87</v>
      </c>
      <c r="J7343" s="19"/>
      <c r="L7343" s="16" t="str">
        <f>IFERROR(__xludf.DUMMYFUNCTION("""COMPUTED_VALUE"""),"")</f>
        <v/>
      </c>
      <c r="M7343" s="16" t="str">
        <f>IFERROR(__xludf.DUMMYFUNCTION("""COMPUTED_VALUE"""),"")</f>
        <v/>
      </c>
      <c r="U7343" s="16" t="s">
        <v>87</v>
      </c>
      <c r="V7343" s="16" t="str">
        <f>IFERROR(__xludf.DUMMYFUNCTION("""COMPUTED_VALUE"""),"")</f>
        <v/>
      </c>
      <c r="W7343" s="16" t="str">
        <f>IFERROR(__xludf.DUMMYFUNCTION("""COMPUTED_VALUE"""),"")</f>
        <v/>
      </c>
      <c r="X7343" s="16" t="str">
        <f>IFERROR(__xludf.DUMMYFUNCTION("""COMPUTED_VALUE"""),"")</f>
        <v/>
      </c>
      <c r="AC7343" s="16" t="str">
        <f>IFERROR(__xludf.DUMMYFUNCTION("""COMPUTED_VALUE"""),"")</f>
        <v/>
      </c>
    </row>
    <row r="7344">
      <c r="A7344" s="16" t="s">
        <v>87</v>
      </c>
      <c r="E7344" s="16" t="str">
        <f>IFERROR(__xludf.DUMMYFUNCTION("""COMPUTED_VALUE"""),"")</f>
        <v/>
      </c>
      <c r="G7344" s="18"/>
      <c r="H7344" s="16" t="s">
        <v>87</v>
      </c>
      <c r="I7344" s="16" t="s">
        <v>87</v>
      </c>
      <c r="J7344" s="19"/>
      <c r="L7344" s="16" t="str">
        <f>IFERROR(__xludf.DUMMYFUNCTION("""COMPUTED_VALUE"""),"")</f>
        <v/>
      </c>
      <c r="M7344" s="16" t="str">
        <f>IFERROR(__xludf.DUMMYFUNCTION("""COMPUTED_VALUE"""),"")</f>
        <v/>
      </c>
      <c r="U7344" s="16" t="s">
        <v>87</v>
      </c>
      <c r="V7344" s="16" t="str">
        <f>IFERROR(__xludf.DUMMYFUNCTION("""COMPUTED_VALUE"""),"")</f>
        <v/>
      </c>
      <c r="W7344" s="16" t="str">
        <f>IFERROR(__xludf.DUMMYFUNCTION("""COMPUTED_VALUE"""),"")</f>
        <v/>
      </c>
      <c r="X7344" s="16" t="str">
        <f>IFERROR(__xludf.DUMMYFUNCTION("""COMPUTED_VALUE"""),"")</f>
        <v/>
      </c>
      <c r="AC7344" s="16" t="str">
        <f>IFERROR(__xludf.DUMMYFUNCTION("""COMPUTED_VALUE"""),"")</f>
        <v/>
      </c>
    </row>
    <row r="7345">
      <c r="A7345" s="16" t="s">
        <v>87</v>
      </c>
      <c r="E7345" s="16" t="str">
        <f>IFERROR(__xludf.DUMMYFUNCTION("""COMPUTED_VALUE"""),"")</f>
        <v/>
      </c>
      <c r="G7345" s="18"/>
      <c r="H7345" s="16" t="s">
        <v>87</v>
      </c>
      <c r="I7345" s="16" t="s">
        <v>87</v>
      </c>
      <c r="J7345" s="19"/>
      <c r="L7345" s="16" t="str">
        <f>IFERROR(__xludf.DUMMYFUNCTION("""COMPUTED_VALUE"""),"")</f>
        <v/>
      </c>
      <c r="M7345" s="16" t="str">
        <f>IFERROR(__xludf.DUMMYFUNCTION("""COMPUTED_VALUE"""),"")</f>
        <v/>
      </c>
      <c r="U7345" s="16" t="s">
        <v>87</v>
      </c>
      <c r="V7345" s="16" t="str">
        <f>IFERROR(__xludf.DUMMYFUNCTION("""COMPUTED_VALUE"""),"")</f>
        <v/>
      </c>
      <c r="W7345" s="16" t="str">
        <f>IFERROR(__xludf.DUMMYFUNCTION("""COMPUTED_VALUE"""),"")</f>
        <v/>
      </c>
      <c r="X7345" s="16" t="str">
        <f>IFERROR(__xludf.DUMMYFUNCTION("""COMPUTED_VALUE"""),"")</f>
        <v/>
      </c>
      <c r="AC7345" s="16" t="str">
        <f>IFERROR(__xludf.DUMMYFUNCTION("""COMPUTED_VALUE"""),"")</f>
        <v/>
      </c>
    </row>
    <row r="7346">
      <c r="A7346" s="16" t="s">
        <v>87</v>
      </c>
      <c r="E7346" s="16" t="str">
        <f>IFERROR(__xludf.DUMMYFUNCTION("""COMPUTED_VALUE"""),"")</f>
        <v/>
      </c>
      <c r="G7346" s="18"/>
      <c r="H7346" s="16" t="s">
        <v>87</v>
      </c>
      <c r="I7346" s="16" t="s">
        <v>87</v>
      </c>
      <c r="J7346" s="19"/>
      <c r="L7346" s="16" t="str">
        <f>IFERROR(__xludf.DUMMYFUNCTION("""COMPUTED_VALUE"""),"")</f>
        <v/>
      </c>
      <c r="M7346" s="16" t="str">
        <f>IFERROR(__xludf.DUMMYFUNCTION("""COMPUTED_VALUE"""),"")</f>
        <v/>
      </c>
      <c r="U7346" s="16" t="s">
        <v>87</v>
      </c>
      <c r="V7346" s="16" t="str">
        <f>IFERROR(__xludf.DUMMYFUNCTION("""COMPUTED_VALUE"""),"")</f>
        <v/>
      </c>
      <c r="W7346" s="16" t="str">
        <f>IFERROR(__xludf.DUMMYFUNCTION("""COMPUTED_VALUE"""),"")</f>
        <v/>
      </c>
      <c r="X7346" s="16" t="str">
        <f>IFERROR(__xludf.DUMMYFUNCTION("""COMPUTED_VALUE"""),"")</f>
        <v/>
      </c>
      <c r="AC7346" s="16" t="str">
        <f>IFERROR(__xludf.DUMMYFUNCTION("""COMPUTED_VALUE"""),"")</f>
        <v/>
      </c>
    </row>
    <row r="7347">
      <c r="A7347" s="16" t="s">
        <v>87</v>
      </c>
      <c r="E7347" s="16" t="str">
        <f>IFERROR(__xludf.DUMMYFUNCTION("""COMPUTED_VALUE"""),"")</f>
        <v/>
      </c>
      <c r="G7347" s="18"/>
      <c r="H7347" s="16" t="s">
        <v>87</v>
      </c>
      <c r="I7347" s="16" t="s">
        <v>87</v>
      </c>
      <c r="J7347" s="19"/>
      <c r="L7347" s="16" t="str">
        <f>IFERROR(__xludf.DUMMYFUNCTION("""COMPUTED_VALUE"""),"")</f>
        <v/>
      </c>
      <c r="M7347" s="16" t="str">
        <f>IFERROR(__xludf.DUMMYFUNCTION("""COMPUTED_VALUE"""),"")</f>
        <v/>
      </c>
      <c r="U7347" s="16" t="s">
        <v>87</v>
      </c>
      <c r="V7347" s="16" t="str">
        <f>IFERROR(__xludf.DUMMYFUNCTION("""COMPUTED_VALUE"""),"")</f>
        <v/>
      </c>
      <c r="W7347" s="16" t="str">
        <f>IFERROR(__xludf.DUMMYFUNCTION("""COMPUTED_VALUE"""),"")</f>
        <v/>
      </c>
      <c r="X7347" s="16" t="str">
        <f>IFERROR(__xludf.DUMMYFUNCTION("""COMPUTED_VALUE"""),"")</f>
        <v/>
      </c>
      <c r="AC7347" s="16" t="str">
        <f>IFERROR(__xludf.DUMMYFUNCTION("""COMPUTED_VALUE"""),"")</f>
        <v/>
      </c>
    </row>
    <row r="7348">
      <c r="A7348" s="16" t="s">
        <v>87</v>
      </c>
      <c r="E7348" s="16" t="str">
        <f>IFERROR(__xludf.DUMMYFUNCTION("""COMPUTED_VALUE"""),"")</f>
        <v/>
      </c>
      <c r="G7348" s="18"/>
      <c r="H7348" s="16" t="s">
        <v>87</v>
      </c>
      <c r="I7348" s="16" t="s">
        <v>87</v>
      </c>
      <c r="J7348" s="19"/>
      <c r="L7348" s="16" t="str">
        <f>IFERROR(__xludf.DUMMYFUNCTION("""COMPUTED_VALUE"""),"")</f>
        <v/>
      </c>
      <c r="M7348" s="16" t="str">
        <f>IFERROR(__xludf.DUMMYFUNCTION("""COMPUTED_VALUE"""),"")</f>
        <v/>
      </c>
      <c r="U7348" s="16" t="s">
        <v>87</v>
      </c>
      <c r="V7348" s="16" t="str">
        <f>IFERROR(__xludf.DUMMYFUNCTION("""COMPUTED_VALUE"""),"")</f>
        <v/>
      </c>
      <c r="W7348" s="16" t="str">
        <f>IFERROR(__xludf.DUMMYFUNCTION("""COMPUTED_VALUE"""),"")</f>
        <v/>
      </c>
      <c r="X7348" s="16" t="str">
        <f>IFERROR(__xludf.DUMMYFUNCTION("""COMPUTED_VALUE"""),"")</f>
        <v/>
      </c>
      <c r="AC7348" s="16" t="str">
        <f>IFERROR(__xludf.DUMMYFUNCTION("""COMPUTED_VALUE"""),"")</f>
        <v/>
      </c>
    </row>
    <row r="7349">
      <c r="A7349" s="16" t="s">
        <v>87</v>
      </c>
      <c r="E7349" s="16" t="str">
        <f>IFERROR(__xludf.DUMMYFUNCTION("""COMPUTED_VALUE"""),"")</f>
        <v/>
      </c>
      <c r="G7349" s="18"/>
      <c r="H7349" s="16" t="s">
        <v>87</v>
      </c>
      <c r="I7349" s="16" t="s">
        <v>87</v>
      </c>
      <c r="J7349" s="19"/>
      <c r="L7349" s="16" t="str">
        <f>IFERROR(__xludf.DUMMYFUNCTION("""COMPUTED_VALUE"""),"")</f>
        <v/>
      </c>
      <c r="M7349" s="16" t="str">
        <f>IFERROR(__xludf.DUMMYFUNCTION("""COMPUTED_VALUE"""),"")</f>
        <v/>
      </c>
      <c r="U7349" s="16" t="s">
        <v>87</v>
      </c>
      <c r="V7349" s="16" t="str">
        <f>IFERROR(__xludf.DUMMYFUNCTION("""COMPUTED_VALUE"""),"")</f>
        <v/>
      </c>
      <c r="W7349" s="16" t="str">
        <f>IFERROR(__xludf.DUMMYFUNCTION("""COMPUTED_VALUE"""),"")</f>
        <v/>
      </c>
      <c r="X7349" s="16" t="str">
        <f>IFERROR(__xludf.DUMMYFUNCTION("""COMPUTED_VALUE"""),"")</f>
        <v/>
      </c>
      <c r="AC7349" s="16" t="str">
        <f>IFERROR(__xludf.DUMMYFUNCTION("""COMPUTED_VALUE"""),"")</f>
        <v/>
      </c>
    </row>
    <row r="7350">
      <c r="A7350" s="16" t="s">
        <v>87</v>
      </c>
      <c r="E7350" s="16" t="str">
        <f>IFERROR(__xludf.DUMMYFUNCTION("""COMPUTED_VALUE"""),"")</f>
        <v/>
      </c>
      <c r="G7350" s="18"/>
      <c r="H7350" s="16" t="s">
        <v>87</v>
      </c>
      <c r="I7350" s="16" t="s">
        <v>87</v>
      </c>
      <c r="J7350" s="19"/>
      <c r="L7350" s="16" t="str">
        <f>IFERROR(__xludf.DUMMYFUNCTION("""COMPUTED_VALUE"""),"")</f>
        <v/>
      </c>
      <c r="M7350" s="16" t="str">
        <f>IFERROR(__xludf.DUMMYFUNCTION("""COMPUTED_VALUE"""),"")</f>
        <v/>
      </c>
      <c r="U7350" s="16" t="s">
        <v>87</v>
      </c>
      <c r="V7350" s="16" t="str">
        <f>IFERROR(__xludf.DUMMYFUNCTION("""COMPUTED_VALUE"""),"")</f>
        <v/>
      </c>
      <c r="W7350" s="16" t="str">
        <f>IFERROR(__xludf.DUMMYFUNCTION("""COMPUTED_VALUE"""),"")</f>
        <v/>
      </c>
      <c r="X7350" s="16" t="str">
        <f>IFERROR(__xludf.DUMMYFUNCTION("""COMPUTED_VALUE"""),"")</f>
        <v/>
      </c>
      <c r="AC7350" s="16" t="str">
        <f>IFERROR(__xludf.DUMMYFUNCTION("""COMPUTED_VALUE"""),"")</f>
        <v/>
      </c>
    </row>
    <row r="7351">
      <c r="A7351" s="16" t="s">
        <v>87</v>
      </c>
      <c r="E7351" s="16" t="str">
        <f>IFERROR(__xludf.DUMMYFUNCTION("""COMPUTED_VALUE"""),"")</f>
        <v/>
      </c>
      <c r="G7351" s="18"/>
      <c r="H7351" s="16" t="s">
        <v>87</v>
      </c>
      <c r="I7351" s="16" t="s">
        <v>87</v>
      </c>
      <c r="J7351" s="19"/>
      <c r="L7351" s="16" t="str">
        <f>IFERROR(__xludf.DUMMYFUNCTION("""COMPUTED_VALUE"""),"")</f>
        <v/>
      </c>
      <c r="M7351" s="16" t="str">
        <f>IFERROR(__xludf.DUMMYFUNCTION("""COMPUTED_VALUE"""),"")</f>
        <v/>
      </c>
      <c r="U7351" s="16" t="s">
        <v>87</v>
      </c>
      <c r="V7351" s="16" t="str">
        <f>IFERROR(__xludf.DUMMYFUNCTION("""COMPUTED_VALUE"""),"")</f>
        <v/>
      </c>
      <c r="W7351" s="16" t="str">
        <f>IFERROR(__xludf.DUMMYFUNCTION("""COMPUTED_VALUE"""),"")</f>
        <v/>
      </c>
      <c r="X7351" s="16" t="str">
        <f>IFERROR(__xludf.DUMMYFUNCTION("""COMPUTED_VALUE"""),"")</f>
        <v/>
      </c>
      <c r="AC7351" s="16" t="str">
        <f>IFERROR(__xludf.DUMMYFUNCTION("""COMPUTED_VALUE"""),"")</f>
        <v/>
      </c>
    </row>
    <row r="7352">
      <c r="A7352" s="16" t="s">
        <v>87</v>
      </c>
      <c r="E7352" s="16" t="str">
        <f>IFERROR(__xludf.DUMMYFUNCTION("""COMPUTED_VALUE"""),"")</f>
        <v/>
      </c>
      <c r="G7352" s="18"/>
      <c r="H7352" s="16" t="s">
        <v>87</v>
      </c>
      <c r="I7352" s="16" t="s">
        <v>87</v>
      </c>
      <c r="J7352" s="19"/>
      <c r="L7352" s="16" t="str">
        <f>IFERROR(__xludf.DUMMYFUNCTION("""COMPUTED_VALUE"""),"")</f>
        <v/>
      </c>
      <c r="M7352" s="16" t="str">
        <f>IFERROR(__xludf.DUMMYFUNCTION("""COMPUTED_VALUE"""),"")</f>
        <v/>
      </c>
      <c r="U7352" s="16" t="s">
        <v>87</v>
      </c>
      <c r="V7352" s="16" t="str">
        <f>IFERROR(__xludf.DUMMYFUNCTION("""COMPUTED_VALUE"""),"")</f>
        <v/>
      </c>
      <c r="W7352" s="16" t="str">
        <f>IFERROR(__xludf.DUMMYFUNCTION("""COMPUTED_VALUE"""),"")</f>
        <v/>
      </c>
      <c r="X7352" s="16" t="str">
        <f>IFERROR(__xludf.DUMMYFUNCTION("""COMPUTED_VALUE"""),"")</f>
        <v/>
      </c>
      <c r="AC7352" s="16" t="str">
        <f>IFERROR(__xludf.DUMMYFUNCTION("""COMPUTED_VALUE"""),"")</f>
        <v/>
      </c>
    </row>
    <row r="7353">
      <c r="A7353" s="16" t="s">
        <v>87</v>
      </c>
      <c r="E7353" s="16" t="str">
        <f>IFERROR(__xludf.DUMMYFUNCTION("""COMPUTED_VALUE"""),"")</f>
        <v/>
      </c>
      <c r="G7353" s="18"/>
      <c r="H7353" s="16" t="s">
        <v>87</v>
      </c>
      <c r="I7353" s="16" t="s">
        <v>87</v>
      </c>
      <c r="J7353" s="19"/>
      <c r="L7353" s="16" t="str">
        <f>IFERROR(__xludf.DUMMYFUNCTION("""COMPUTED_VALUE"""),"")</f>
        <v/>
      </c>
      <c r="M7353" s="16" t="str">
        <f>IFERROR(__xludf.DUMMYFUNCTION("""COMPUTED_VALUE"""),"")</f>
        <v/>
      </c>
      <c r="U7353" s="16" t="s">
        <v>87</v>
      </c>
      <c r="V7353" s="16" t="str">
        <f>IFERROR(__xludf.DUMMYFUNCTION("""COMPUTED_VALUE"""),"")</f>
        <v/>
      </c>
      <c r="W7353" s="16" t="str">
        <f>IFERROR(__xludf.DUMMYFUNCTION("""COMPUTED_VALUE"""),"")</f>
        <v/>
      </c>
      <c r="X7353" s="16" t="str">
        <f>IFERROR(__xludf.DUMMYFUNCTION("""COMPUTED_VALUE"""),"")</f>
        <v/>
      </c>
      <c r="AC7353" s="16" t="str">
        <f>IFERROR(__xludf.DUMMYFUNCTION("""COMPUTED_VALUE"""),"")</f>
        <v/>
      </c>
    </row>
    <row r="7354">
      <c r="A7354" s="16" t="s">
        <v>87</v>
      </c>
      <c r="E7354" s="16" t="str">
        <f>IFERROR(__xludf.DUMMYFUNCTION("""COMPUTED_VALUE"""),"")</f>
        <v/>
      </c>
      <c r="G7354" s="18"/>
      <c r="H7354" s="16" t="s">
        <v>87</v>
      </c>
      <c r="I7354" s="16" t="s">
        <v>87</v>
      </c>
      <c r="J7354" s="19"/>
      <c r="L7354" s="16" t="str">
        <f>IFERROR(__xludf.DUMMYFUNCTION("""COMPUTED_VALUE"""),"")</f>
        <v/>
      </c>
      <c r="M7354" s="16" t="str">
        <f>IFERROR(__xludf.DUMMYFUNCTION("""COMPUTED_VALUE"""),"")</f>
        <v/>
      </c>
      <c r="U7354" s="16" t="s">
        <v>87</v>
      </c>
      <c r="V7354" s="16" t="str">
        <f>IFERROR(__xludf.DUMMYFUNCTION("""COMPUTED_VALUE"""),"")</f>
        <v/>
      </c>
      <c r="W7354" s="16" t="str">
        <f>IFERROR(__xludf.DUMMYFUNCTION("""COMPUTED_VALUE"""),"")</f>
        <v/>
      </c>
      <c r="X7354" s="16" t="str">
        <f>IFERROR(__xludf.DUMMYFUNCTION("""COMPUTED_VALUE"""),"")</f>
        <v/>
      </c>
      <c r="AC7354" s="16" t="str">
        <f>IFERROR(__xludf.DUMMYFUNCTION("""COMPUTED_VALUE"""),"")</f>
        <v/>
      </c>
    </row>
    <row r="7355">
      <c r="A7355" s="16" t="s">
        <v>87</v>
      </c>
      <c r="E7355" s="16" t="str">
        <f>IFERROR(__xludf.DUMMYFUNCTION("""COMPUTED_VALUE"""),"")</f>
        <v/>
      </c>
      <c r="G7355" s="18"/>
      <c r="H7355" s="16" t="s">
        <v>87</v>
      </c>
      <c r="I7355" s="16" t="s">
        <v>87</v>
      </c>
      <c r="J7355" s="19"/>
      <c r="L7355" s="16" t="str">
        <f>IFERROR(__xludf.DUMMYFUNCTION("""COMPUTED_VALUE"""),"")</f>
        <v/>
      </c>
      <c r="M7355" s="16" t="str">
        <f>IFERROR(__xludf.DUMMYFUNCTION("""COMPUTED_VALUE"""),"")</f>
        <v/>
      </c>
      <c r="U7355" s="16" t="s">
        <v>87</v>
      </c>
      <c r="V7355" s="16" t="str">
        <f>IFERROR(__xludf.DUMMYFUNCTION("""COMPUTED_VALUE"""),"")</f>
        <v/>
      </c>
      <c r="W7355" s="16" t="str">
        <f>IFERROR(__xludf.DUMMYFUNCTION("""COMPUTED_VALUE"""),"")</f>
        <v/>
      </c>
      <c r="X7355" s="16" t="str">
        <f>IFERROR(__xludf.DUMMYFUNCTION("""COMPUTED_VALUE"""),"")</f>
        <v/>
      </c>
      <c r="AC7355" s="16" t="str">
        <f>IFERROR(__xludf.DUMMYFUNCTION("""COMPUTED_VALUE"""),"")</f>
        <v/>
      </c>
    </row>
    <row r="7356">
      <c r="A7356" s="16" t="s">
        <v>87</v>
      </c>
      <c r="E7356" s="16" t="str">
        <f>IFERROR(__xludf.DUMMYFUNCTION("""COMPUTED_VALUE"""),"")</f>
        <v/>
      </c>
      <c r="G7356" s="18"/>
      <c r="H7356" s="16" t="s">
        <v>87</v>
      </c>
      <c r="I7356" s="16" t="s">
        <v>87</v>
      </c>
      <c r="J7356" s="19"/>
      <c r="L7356" s="16" t="str">
        <f>IFERROR(__xludf.DUMMYFUNCTION("""COMPUTED_VALUE"""),"")</f>
        <v/>
      </c>
      <c r="M7356" s="16" t="str">
        <f>IFERROR(__xludf.DUMMYFUNCTION("""COMPUTED_VALUE"""),"")</f>
        <v/>
      </c>
      <c r="U7356" s="16" t="s">
        <v>87</v>
      </c>
      <c r="V7356" s="16" t="str">
        <f>IFERROR(__xludf.DUMMYFUNCTION("""COMPUTED_VALUE"""),"")</f>
        <v/>
      </c>
      <c r="W7356" s="16" t="str">
        <f>IFERROR(__xludf.DUMMYFUNCTION("""COMPUTED_VALUE"""),"")</f>
        <v/>
      </c>
      <c r="X7356" s="16" t="str">
        <f>IFERROR(__xludf.DUMMYFUNCTION("""COMPUTED_VALUE"""),"")</f>
        <v/>
      </c>
      <c r="AC7356" s="16" t="str">
        <f>IFERROR(__xludf.DUMMYFUNCTION("""COMPUTED_VALUE"""),"")</f>
        <v/>
      </c>
    </row>
    <row r="7357">
      <c r="A7357" s="16" t="s">
        <v>87</v>
      </c>
      <c r="E7357" s="16" t="str">
        <f>IFERROR(__xludf.DUMMYFUNCTION("""COMPUTED_VALUE"""),"")</f>
        <v/>
      </c>
      <c r="G7357" s="18"/>
      <c r="H7357" s="16" t="s">
        <v>87</v>
      </c>
      <c r="I7357" s="16" t="s">
        <v>87</v>
      </c>
      <c r="J7357" s="19"/>
      <c r="L7357" s="16" t="str">
        <f>IFERROR(__xludf.DUMMYFUNCTION("""COMPUTED_VALUE"""),"")</f>
        <v/>
      </c>
      <c r="M7357" s="16" t="str">
        <f>IFERROR(__xludf.DUMMYFUNCTION("""COMPUTED_VALUE"""),"")</f>
        <v/>
      </c>
      <c r="U7357" s="16" t="s">
        <v>87</v>
      </c>
      <c r="V7357" s="16" t="str">
        <f>IFERROR(__xludf.DUMMYFUNCTION("""COMPUTED_VALUE"""),"")</f>
        <v/>
      </c>
      <c r="W7357" s="16" t="str">
        <f>IFERROR(__xludf.DUMMYFUNCTION("""COMPUTED_VALUE"""),"")</f>
        <v/>
      </c>
      <c r="X7357" s="16" t="str">
        <f>IFERROR(__xludf.DUMMYFUNCTION("""COMPUTED_VALUE"""),"")</f>
        <v/>
      </c>
      <c r="AC7357" s="16" t="str">
        <f>IFERROR(__xludf.DUMMYFUNCTION("""COMPUTED_VALUE"""),"")</f>
        <v/>
      </c>
    </row>
    <row r="7358">
      <c r="A7358" s="16" t="s">
        <v>87</v>
      </c>
      <c r="E7358" s="16" t="str">
        <f>IFERROR(__xludf.DUMMYFUNCTION("""COMPUTED_VALUE"""),"")</f>
        <v/>
      </c>
      <c r="G7358" s="18"/>
      <c r="H7358" s="16" t="s">
        <v>87</v>
      </c>
      <c r="I7358" s="16" t="s">
        <v>87</v>
      </c>
      <c r="J7358" s="19"/>
      <c r="L7358" s="16" t="str">
        <f>IFERROR(__xludf.DUMMYFUNCTION("""COMPUTED_VALUE"""),"")</f>
        <v/>
      </c>
      <c r="M7358" s="16" t="str">
        <f>IFERROR(__xludf.DUMMYFUNCTION("""COMPUTED_VALUE"""),"")</f>
        <v/>
      </c>
      <c r="U7358" s="16" t="s">
        <v>87</v>
      </c>
      <c r="V7358" s="16" t="str">
        <f>IFERROR(__xludf.DUMMYFUNCTION("""COMPUTED_VALUE"""),"")</f>
        <v/>
      </c>
      <c r="W7358" s="16" t="str">
        <f>IFERROR(__xludf.DUMMYFUNCTION("""COMPUTED_VALUE"""),"")</f>
        <v/>
      </c>
      <c r="X7358" s="16" t="str">
        <f>IFERROR(__xludf.DUMMYFUNCTION("""COMPUTED_VALUE"""),"")</f>
        <v/>
      </c>
      <c r="AC7358" s="16" t="str">
        <f>IFERROR(__xludf.DUMMYFUNCTION("""COMPUTED_VALUE"""),"")</f>
        <v/>
      </c>
    </row>
    <row r="7359">
      <c r="A7359" s="16" t="s">
        <v>87</v>
      </c>
      <c r="E7359" s="16" t="str">
        <f>IFERROR(__xludf.DUMMYFUNCTION("""COMPUTED_VALUE"""),"")</f>
        <v/>
      </c>
      <c r="G7359" s="18"/>
      <c r="H7359" s="16" t="s">
        <v>87</v>
      </c>
      <c r="I7359" s="16" t="s">
        <v>87</v>
      </c>
      <c r="J7359" s="19"/>
      <c r="L7359" s="16" t="str">
        <f>IFERROR(__xludf.DUMMYFUNCTION("""COMPUTED_VALUE"""),"")</f>
        <v/>
      </c>
      <c r="M7359" s="16" t="str">
        <f>IFERROR(__xludf.DUMMYFUNCTION("""COMPUTED_VALUE"""),"")</f>
        <v/>
      </c>
      <c r="U7359" s="16" t="s">
        <v>87</v>
      </c>
      <c r="V7359" s="16" t="str">
        <f>IFERROR(__xludf.DUMMYFUNCTION("""COMPUTED_VALUE"""),"")</f>
        <v/>
      </c>
      <c r="W7359" s="16" t="str">
        <f>IFERROR(__xludf.DUMMYFUNCTION("""COMPUTED_VALUE"""),"")</f>
        <v/>
      </c>
      <c r="X7359" s="16" t="str">
        <f>IFERROR(__xludf.DUMMYFUNCTION("""COMPUTED_VALUE"""),"")</f>
        <v/>
      </c>
      <c r="AC7359" s="16" t="str">
        <f>IFERROR(__xludf.DUMMYFUNCTION("""COMPUTED_VALUE"""),"")</f>
        <v/>
      </c>
    </row>
    <row r="7360">
      <c r="A7360" s="16" t="s">
        <v>87</v>
      </c>
      <c r="E7360" s="16" t="str">
        <f>IFERROR(__xludf.DUMMYFUNCTION("""COMPUTED_VALUE"""),"")</f>
        <v/>
      </c>
      <c r="G7360" s="18"/>
      <c r="H7360" s="16" t="s">
        <v>87</v>
      </c>
      <c r="I7360" s="16" t="s">
        <v>87</v>
      </c>
      <c r="J7360" s="19"/>
      <c r="L7360" s="16" t="str">
        <f>IFERROR(__xludf.DUMMYFUNCTION("""COMPUTED_VALUE"""),"")</f>
        <v/>
      </c>
      <c r="M7360" s="16" t="str">
        <f>IFERROR(__xludf.DUMMYFUNCTION("""COMPUTED_VALUE"""),"")</f>
        <v/>
      </c>
      <c r="U7360" s="16" t="s">
        <v>87</v>
      </c>
      <c r="V7360" s="16" t="str">
        <f>IFERROR(__xludf.DUMMYFUNCTION("""COMPUTED_VALUE"""),"")</f>
        <v/>
      </c>
      <c r="W7360" s="16" t="str">
        <f>IFERROR(__xludf.DUMMYFUNCTION("""COMPUTED_VALUE"""),"")</f>
        <v/>
      </c>
      <c r="X7360" s="16" t="str">
        <f>IFERROR(__xludf.DUMMYFUNCTION("""COMPUTED_VALUE"""),"")</f>
        <v/>
      </c>
      <c r="AC7360" s="16" t="str">
        <f>IFERROR(__xludf.DUMMYFUNCTION("""COMPUTED_VALUE"""),"")</f>
        <v/>
      </c>
    </row>
    <row r="7361">
      <c r="A7361" s="16" t="s">
        <v>87</v>
      </c>
      <c r="E7361" s="16" t="str">
        <f>IFERROR(__xludf.DUMMYFUNCTION("""COMPUTED_VALUE"""),"")</f>
        <v/>
      </c>
      <c r="G7361" s="18"/>
      <c r="H7361" s="16" t="s">
        <v>87</v>
      </c>
      <c r="I7361" s="16" t="s">
        <v>87</v>
      </c>
      <c r="J7361" s="19"/>
      <c r="L7361" s="16" t="str">
        <f>IFERROR(__xludf.DUMMYFUNCTION("""COMPUTED_VALUE"""),"")</f>
        <v/>
      </c>
      <c r="M7361" s="16" t="str">
        <f>IFERROR(__xludf.DUMMYFUNCTION("""COMPUTED_VALUE"""),"")</f>
        <v/>
      </c>
      <c r="U7361" s="16" t="s">
        <v>87</v>
      </c>
      <c r="V7361" s="16" t="str">
        <f>IFERROR(__xludf.DUMMYFUNCTION("""COMPUTED_VALUE"""),"")</f>
        <v/>
      </c>
      <c r="W7361" s="16" t="str">
        <f>IFERROR(__xludf.DUMMYFUNCTION("""COMPUTED_VALUE"""),"")</f>
        <v/>
      </c>
      <c r="X7361" s="16" t="str">
        <f>IFERROR(__xludf.DUMMYFUNCTION("""COMPUTED_VALUE"""),"")</f>
        <v/>
      </c>
      <c r="AC7361" s="16" t="str">
        <f>IFERROR(__xludf.DUMMYFUNCTION("""COMPUTED_VALUE"""),"")</f>
        <v/>
      </c>
    </row>
    <row r="7362">
      <c r="A7362" s="16" t="s">
        <v>87</v>
      </c>
      <c r="E7362" s="16" t="str">
        <f>IFERROR(__xludf.DUMMYFUNCTION("""COMPUTED_VALUE"""),"")</f>
        <v/>
      </c>
      <c r="G7362" s="18"/>
      <c r="H7362" s="16" t="s">
        <v>87</v>
      </c>
      <c r="I7362" s="16" t="s">
        <v>87</v>
      </c>
      <c r="J7362" s="19"/>
      <c r="L7362" s="16" t="str">
        <f>IFERROR(__xludf.DUMMYFUNCTION("""COMPUTED_VALUE"""),"")</f>
        <v/>
      </c>
      <c r="M7362" s="16" t="str">
        <f>IFERROR(__xludf.DUMMYFUNCTION("""COMPUTED_VALUE"""),"")</f>
        <v/>
      </c>
      <c r="U7362" s="16" t="s">
        <v>87</v>
      </c>
      <c r="V7362" s="16" t="str">
        <f>IFERROR(__xludf.DUMMYFUNCTION("""COMPUTED_VALUE"""),"")</f>
        <v/>
      </c>
      <c r="W7362" s="16" t="str">
        <f>IFERROR(__xludf.DUMMYFUNCTION("""COMPUTED_VALUE"""),"")</f>
        <v/>
      </c>
      <c r="X7362" s="16" t="str">
        <f>IFERROR(__xludf.DUMMYFUNCTION("""COMPUTED_VALUE"""),"")</f>
        <v/>
      </c>
      <c r="AC7362" s="16" t="str">
        <f>IFERROR(__xludf.DUMMYFUNCTION("""COMPUTED_VALUE"""),"")</f>
        <v/>
      </c>
    </row>
    <row r="7363">
      <c r="A7363" s="16" t="s">
        <v>87</v>
      </c>
      <c r="E7363" s="16" t="str">
        <f>IFERROR(__xludf.DUMMYFUNCTION("""COMPUTED_VALUE"""),"")</f>
        <v/>
      </c>
      <c r="G7363" s="18"/>
      <c r="H7363" s="16" t="s">
        <v>87</v>
      </c>
      <c r="I7363" s="16" t="s">
        <v>87</v>
      </c>
      <c r="J7363" s="19"/>
      <c r="L7363" s="16" t="str">
        <f>IFERROR(__xludf.DUMMYFUNCTION("""COMPUTED_VALUE"""),"")</f>
        <v/>
      </c>
      <c r="M7363" s="16" t="str">
        <f>IFERROR(__xludf.DUMMYFUNCTION("""COMPUTED_VALUE"""),"")</f>
        <v/>
      </c>
      <c r="U7363" s="16" t="s">
        <v>87</v>
      </c>
      <c r="V7363" s="16" t="str">
        <f>IFERROR(__xludf.DUMMYFUNCTION("""COMPUTED_VALUE"""),"")</f>
        <v/>
      </c>
      <c r="W7363" s="16" t="str">
        <f>IFERROR(__xludf.DUMMYFUNCTION("""COMPUTED_VALUE"""),"")</f>
        <v/>
      </c>
      <c r="X7363" s="16" t="str">
        <f>IFERROR(__xludf.DUMMYFUNCTION("""COMPUTED_VALUE"""),"")</f>
        <v/>
      </c>
      <c r="AC7363" s="16" t="str">
        <f>IFERROR(__xludf.DUMMYFUNCTION("""COMPUTED_VALUE"""),"")</f>
        <v/>
      </c>
    </row>
    <row r="7364">
      <c r="A7364" s="16" t="s">
        <v>87</v>
      </c>
      <c r="E7364" s="16" t="str">
        <f>IFERROR(__xludf.DUMMYFUNCTION("""COMPUTED_VALUE"""),"")</f>
        <v/>
      </c>
      <c r="G7364" s="18"/>
      <c r="H7364" s="16" t="s">
        <v>87</v>
      </c>
      <c r="I7364" s="16" t="s">
        <v>87</v>
      </c>
      <c r="J7364" s="19"/>
      <c r="L7364" s="16" t="str">
        <f>IFERROR(__xludf.DUMMYFUNCTION("""COMPUTED_VALUE"""),"")</f>
        <v/>
      </c>
      <c r="M7364" s="16" t="str">
        <f>IFERROR(__xludf.DUMMYFUNCTION("""COMPUTED_VALUE"""),"")</f>
        <v/>
      </c>
      <c r="U7364" s="16" t="s">
        <v>87</v>
      </c>
      <c r="V7364" s="16" t="str">
        <f>IFERROR(__xludf.DUMMYFUNCTION("""COMPUTED_VALUE"""),"")</f>
        <v/>
      </c>
      <c r="W7364" s="16" t="str">
        <f>IFERROR(__xludf.DUMMYFUNCTION("""COMPUTED_VALUE"""),"")</f>
        <v/>
      </c>
      <c r="X7364" s="16" t="str">
        <f>IFERROR(__xludf.DUMMYFUNCTION("""COMPUTED_VALUE"""),"")</f>
        <v/>
      </c>
      <c r="AC7364" s="16" t="str">
        <f>IFERROR(__xludf.DUMMYFUNCTION("""COMPUTED_VALUE"""),"")</f>
        <v/>
      </c>
    </row>
    <row r="7365">
      <c r="A7365" s="16" t="s">
        <v>87</v>
      </c>
      <c r="E7365" s="16" t="str">
        <f>IFERROR(__xludf.DUMMYFUNCTION("""COMPUTED_VALUE"""),"")</f>
        <v/>
      </c>
      <c r="G7365" s="18"/>
      <c r="H7365" s="16" t="s">
        <v>87</v>
      </c>
      <c r="I7365" s="16" t="s">
        <v>87</v>
      </c>
      <c r="J7365" s="19"/>
      <c r="L7365" s="16" t="str">
        <f>IFERROR(__xludf.DUMMYFUNCTION("""COMPUTED_VALUE"""),"")</f>
        <v/>
      </c>
      <c r="M7365" s="16" t="str">
        <f>IFERROR(__xludf.DUMMYFUNCTION("""COMPUTED_VALUE"""),"")</f>
        <v/>
      </c>
      <c r="U7365" s="16" t="s">
        <v>87</v>
      </c>
      <c r="V7365" s="16" t="str">
        <f>IFERROR(__xludf.DUMMYFUNCTION("""COMPUTED_VALUE"""),"")</f>
        <v/>
      </c>
      <c r="W7365" s="16" t="str">
        <f>IFERROR(__xludf.DUMMYFUNCTION("""COMPUTED_VALUE"""),"")</f>
        <v/>
      </c>
      <c r="X7365" s="16" t="str">
        <f>IFERROR(__xludf.DUMMYFUNCTION("""COMPUTED_VALUE"""),"")</f>
        <v/>
      </c>
      <c r="AC7365" s="16" t="str">
        <f>IFERROR(__xludf.DUMMYFUNCTION("""COMPUTED_VALUE"""),"")</f>
        <v/>
      </c>
    </row>
    <row r="7366">
      <c r="A7366" s="16" t="s">
        <v>87</v>
      </c>
      <c r="E7366" s="16" t="str">
        <f>IFERROR(__xludf.DUMMYFUNCTION("""COMPUTED_VALUE"""),"")</f>
        <v/>
      </c>
      <c r="G7366" s="18"/>
      <c r="H7366" s="16" t="s">
        <v>87</v>
      </c>
      <c r="I7366" s="16" t="s">
        <v>87</v>
      </c>
      <c r="J7366" s="19"/>
      <c r="L7366" s="16" t="str">
        <f>IFERROR(__xludf.DUMMYFUNCTION("""COMPUTED_VALUE"""),"")</f>
        <v/>
      </c>
      <c r="M7366" s="16" t="str">
        <f>IFERROR(__xludf.DUMMYFUNCTION("""COMPUTED_VALUE"""),"")</f>
        <v/>
      </c>
      <c r="U7366" s="16" t="s">
        <v>87</v>
      </c>
      <c r="V7366" s="16" t="str">
        <f>IFERROR(__xludf.DUMMYFUNCTION("""COMPUTED_VALUE"""),"")</f>
        <v/>
      </c>
      <c r="W7366" s="16" t="str">
        <f>IFERROR(__xludf.DUMMYFUNCTION("""COMPUTED_VALUE"""),"")</f>
        <v/>
      </c>
      <c r="X7366" s="16" t="str">
        <f>IFERROR(__xludf.DUMMYFUNCTION("""COMPUTED_VALUE"""),"")</f>
        <v/>
      </c>
      <c r="AC7366" s="16" t="str">
        <f>IFERROR(__xludf.DUMMYFUNCTION("""COMPUTED_VALUE"""),"")</f>
        <v/>
      </c>
    </row>
    <row r="7367">
      <c r="A7367" s="16" t="s">
        <v>87</v>
      </c>
      <c r="E7367" s="16" t="str">
        <f>IFERROR(__xludf.DUMMYFUNCTION("""COMPUTED_VALUE"""),"")</f>
        <v/>
      </c>
      <c r="G7367" s="18"/>
      <c r="H7367" s="16" t="s">
        <v>87</v>
      </c>
      <c r="I7367" s="16" t="s">
        <v>87</v>
      </c>
      <c r="J7367" s="19"/>
      <c r="L7367" s="16" t="str">
        <f>IFERROR(__xludf.DUMMYFUNCTION("""COMPUTED_VALUE"""),"")</f>
        <v/>
      </c>
      <c r="M7367" s="16" t="str">
        <f>IFERROR(__xludf.DUMMYFUNCTION("""COMPUTED_VALUE"""),"")</f>
        <v/>
      </c>
      <c r="U7367" s="16" t="s">
        <v>87</v>
      </c>
      <c r="V7367" s="16" t="str">
        <f>IFERROR(__xludf.DUMMYFUNCTION("""COMPUTED_VALUE"""),"")</f>
        <v/>
      </c>
      <c r="W7367" s="16" t="str">
        <f>IFERROR(__xludf.DUMMYFUNCTION("""COMPUTED_VALUE"""),"")</f>
        <v/>
      </c>
      <c r="X7367" s="16" t="str">
        <f>IFERROR(__xludf.DUMMYFUNCTION("""COMPUTED_VALUE"""),"")</f>
        <v/>
      </c>
      <c r="AC7367" s="16" t="str">
        <f>IFERROR(__xludf.DUMMYFUNCTION("""COMPUTED_VALUE"""),"")</f>
        <v/>
      </c>
    </row>
    <row r="7368">
      <c r="A7368" s="16" t="s">
        <v>87</v>
      </c>
      <c r="E7368" s="16" t="str">
        <f>IFERROR(__xludf.DUMMYFUNCTION("""COMPUTED_VALUE"""),"")</f>
        <v/>
      </c>
      <c r="G7368" s="18"/>
      <c r="H7368" s="16" t="s">
        <v>87</v>
      </c>
      <c r="I7368" s="16" t="s">
        <v>87</v>
      </c>
      <c r="J7368" s="19"/>
      <c r="L7368" s="16" t="str">
        <f>IFERROR(__xludf.DUMMYFUNCTION("""COMPUTED_VALUE"""),"")</f>
        <v/>
      </c>
      <c r="M7368" s="16" t="str">
        <f>IFERROR(__xludf.DUMMYFUNCTION("""COMPUTED_VALUE"""),"")</f>
        <v/>
      </c>
      <c r="U7368" s="16" t="s">
        <v>87</v>
      </c>
      <c r="V7368" s="16" t="str">
        <f>IFERROR(__xludf.DUMMYFUNCTION("""COMPUTED_VALUE"""),"")</f>
        <v/>
      </c>
      <c r="W7368" s="16" t="str">
        <f>IFERROR(__xludf.DUMMYFUNCTION("""COMPUTED_VALUE"""),"")</f>
        <v/>
      </c>
      <c r="X7368" s="16" t="str">
        <f>IFERROR(__xludf.DUMMYFUNCTION("""COMPUTED_VALUE"""),"")</f>
        <v/>
      </c>
      <c r="AC7368" s="16" t="str">
        <f>IFERROR(__xludf.DUMMYFUNCTION("""COMPUTED_VALUE"""),"")</f>
        <v/>
      </c>
    </row>
    <row r="7369">
      <c r="A7369" s="16" t="s">
        <v>87</v>
      </c>
      <c r="E7369" s="16" t="str">
        <f>IFERROR(__xludf.DUMMYFUNCTION("""COMPUTED_VALUE"""),"")</f>
        <v/>
      </c>
      <c r="G7369" s="18"/>
      <c r="H7369" s="16" t="s">
        <v>87</v>
      </c>
      <c r="I7369" s="16" t="s">
        <v>87</v>
      </c>
      <c r="J7369" s="19"/>
      <c r="L7369" s="16" t="str">
        <f>IFERROR(__xludf.DUMMYFUNCTION("""COMPUTED_VALUE"""),"")</f>
        <v/>
      </c>
      <c r="M7369" s="16" t="str">
        <f>IFERROR(__xludf.DUMMYFUNCTION("""COMPUTED_VALUE"""),"")</f>
        <v/>
      </c>
      <c r="U7369" s="16" t="s">
        <v>87</v>
      </c>
      <c r="V7369" s="16" t="str">
        <f>IFERROR(__xludf.DUMMYFUNCTION("""COMPUTED_VALUE"""),"")</f>
        <v/>
      </c>
      <c r="W7369" s="16" t="str">
        <f>IFERROR(__xludf.DUMMYFUNCTION("""COMPUTED_VALUE"""),"")</f>
        <v/>
      </c>
      <c r="X7369" s="16" t="str">
        <f>IFERROR(__xludf.DUMMYFUNCTION("""COMPUTED_VALUE"""),"")</f>
        <v/>
      </c>
      <c r="AC7369" s="16" t="str">
        <f>IFERROR(__xludf.DUMMYFUNCTION("""COMPUTED_VALUE"""),"")</f>
        <v/>
      </c>
    </row>
    <row r="7370">
      <c r="A7370" s="16" t="s">
        <v>87</v>
      </c>
      <c r="E7370" s="16" t="str">
        <f>IFERROR(__xludf.DUMMYFUNCTION("""COMPUTED_VALUE"""),"")</f>
        <v/>
      </c>
      <c r="G7370" s="18"/>
      <c r="H7370" s="16" t="s">
        <v>87</v>
      </c>
      <c r="I7370" s="16" t="s">
        <v>87</v>
      </c>
      <c r="J7370" s="19"/>
      <c r="L7370" s="16" t="str">
        <f>IFERROR(__xludf.DUMMYFUNCTION("""COMPUTED_VALUE"""),"")</f>
        <v/>
      </c>
      <c r="M7370" s="16" t="str">
        <f>IFERROR(__xludf.DUMMYFUNCTION("""COMPUTED_VALUE"""),"")</f>
        <v/>
      </c>
      <c r="U7370" s="16" t="s">
        <v>87</v>
      </c>
      <c r="V7370" s="16" t="str">
        <f>IFERROR(__xludf.DUMMYFUNCTION("""COMPUTED_VALUE"""),"")</f>
        <v/>
      </c>
      <c r="W7370" s="16" t="str">
        <f>IFERROR(__xludf.DUMMYFUNCTION("""COMPUTED_VALUE"""),"")</f>
        <v/>
      </c>
      <c r="X7370" s="16" t="str">
        <f>IFERROR(__xludf.DUMMYFUNCTION("""COMPUTED_VALUE"""),"")</f>
        <v/>
      </c>
      <c r="AC7370" s="16" t="str">
        <f>IFERROR(__xludf.DUMMYFUNCTION("""COMPUTED_VALUE"""),"")</f>
        <v/>
      </c>
    </row>
    <row r="7371">
      <c r="A7371" s="16" t="s">
        <v>87</v>
      </c>
      <c r="E7371" s="16" t="str">
        <f>IFERROR(__xludf.DUMMYFUNCTION("""COMPUTED_VALUE"""),"")</f>
        <v/>
      </c>
      <c r="G7371" s="18"/>
      <c r="H7371" s="16" t="s">
        <v>87</v>
      </c>
      <c r="I7371" s="16" t="s">
        <v>87</v>
      </c>
      <c r="J7371" s="19"/>
      <c r="L7371" s="16" t="str">
        <f>IFERROR(__xludf.DUMMYFUNCTION("""COMPUTED_VALUE"""),"")</f>
        <v/>
      </c>
      <c r="M7371" s="16" t="str">
        <f>IFERROR(__xludf.DUMMYFUNCTION("""COMPUTED_VALUE"""),"")</f>
        <v/>
      </c>
      <c r="U7371" s="16" t="s">
        <v>87</v>
      </c>
      <c r="V7371" s="16" t="str">
        <f>IFERROR(__xludf.DUMMYFUNCTION("""COMPUTED_VALUE"""),"")</f>
        <v/>
      </c>
      <c r="W7371" s="16" t="str">
        <f>IFERROR(__xludf.DUMMYFUNCTION("""COMPUTED_VALUE"""),"")</f>
        <v/>
      </c>
      <c r="X7371" s="16" t="str">
        <f>IFERROR(__xludf.DUMMYFUNCTION("""COMPUTED_VALUE"""),"")</f>
        <v/>
      </c>
      <c r="AC7371" s="16" t="str">
        <f>IFERROR(__xludf.DUMMYFUNCTION("""COMPUTED_VALUE"""),"")</f>
        <v/>
      </c>
    </row>
    <row r="7372">
      <c r="A7372" s="16" t="s">
        <v>87</v>
      </c>
      <c r="E7372" s="16" t="str">
        <f>IFERROR(__xludf.DUMMYFUNCTION("""COMPUTED_VALUE"""),"")</f>
        <v/>
      </c>
      <c r="G7372" s="18"/>
      <c r="H7372" s="16" t="s">
        <v>87</v>
      </c>
      <c r="I7372" s="16" t="s">
        <v>87</v>
      </c>
      <c r="J7372" s="19"/>
      <c r="L7372" s="16" t="str">
        <f>IFERROR(__xludf.DUMMYFUNCTION("""COMPUTED_VALUE"""),"")</f>
        <v/>
      </c>
      <c r="M7372" s="16" t="str">
        <f>IFERROR(__xludf.DUMMYFUNCTION("""COMPUTED_VALUE"""),"")</f>
        <v/>
      </c>
      <c r="U7372" s="16" t="s">
        <v>87</v>
      </c>
      <c r="V7372" s="16" t="str">
        <f>IFERROR(__xludf.DUMMYFUNCTION("""COMPUTED_VALUE"""),"")</f>
        <v/>
      </c>
      <c r="W7372" s="16" t="str">
        <f>IFERROR(__xludf.DUMMYFUNCTION("""COMPUTED_VALUE"""),"")</f>
        <v/>
      </c>
      <c r="X7372" s="16" t="str">
        <f>IFERROR(__xludf.DUMMYFUNCTION("""COMPUTED_VALUE"""),"")</f>
        <v/>
      </c>
      <c r="AC7372" s="16" t="str">
        <f>IFERROR(__xludf.DUMMYFUNCTION("""COMPUTED_VALUE"""),"")</f>
        <v/>
      </c>
    </row>
    <row r="7373">
      <c r="A7373" s="16" t="s">
        <v>87</v>
      </c>
      <c r="E7373" s="16" t="str">
        <f>IFERROR(__xludf.DUMMYFUNCTION("""COMPUTED_VALUE"""),"")</f>
        <v/>
      </c>
      <c r="G7373" s="18"/>
      <c r="H7373" s="16" t="s">
        <v>87</v>
      </c>
      <c r="I7373" s="16" t="s">
        <v>87</v>
      </c>
      <c r="J7373" s="19"/>
      <c r="L7373" s="16" t="str">
        <f>IFERROR(__xludf.DUMMYFUNCTION("""COMPUTED_VALUE"""),"")</f>
        <v/>
      </c>
      <c r="M7373" s="16" t="str">
        <f>IFERROR(__xludf.DUMMYFUNCTION("""COMPUTED_VALUE"""),"")</f>
        <v/>
      </c>
      <c r="U7373" s="16" t="s">
        <v>87</v>
      </c>
      <c r="V7373" s="16" t="str">
        <f>IFERROR(__xludf.DUMMYFUNCTION("""COMPUTED_VALUE"""),"")</f>
        <v/>
      </c>
      <c r="W7373" s="16" t="str">
        <f>IFERROR(__xludf.DUMMYFUNCTION("""COMPUTED_VALUE"""),"")</f>
        <v/>
      </c>
      <c r="X7373" s="16" t="str">
        <f>IFERROR(__xludf.DUMMYFUNCTION("""COMPUTED_VALUE"""),"")</f>
        <v/>
      </c>
      <c r="AC7373" s="16" t="str">
        <f>IFERROR(__xludf.DUMMYFUNCTION("""COMPUTED_VALUE"""),"")</f>
        <v/>
      </c>
    </row>
    <row r="7374">
      <c r="A7374" s="16" t="s">
        <v>87</v>
      </c>
      <c r="E7374" s="16" t="str">
        <f>IFERROR(__xludf.DUMMYFUNCTION("""COMPUTED_VALUE"""),"")</f>
        <v/>
      </c>
      <c r="G7374" s="18"/>
      <c r="H7374" s="16" t="s">
        <v>87</v>
      </c>
      <c r="I7374" s="16" t="s">
        <v>87</v>
      </c>
      <c r="J7374" s="19"/>
      <c r="L7374" s="16" t="str">
        <f>IFERROR(__xludf.DUMMYFUNCTION("""COMPUTED_VALUE"""),"")</f>
        <v/>
      </c>
      <c r="M7374" s="16" t="str">
        <f>IFERROR(__xludf.DUMMYFUNCTION("""COMPUTED_VALUE"""),"")</f>
        <v/>
      </c>
      <c r="U7374" s="16" t="s">
        <v>87</v>
      </c>
      <c r="V7374" s="16" t="str">
        <f>IFERROR(__xludf.DUMMYFUNCTION("""COMPUTED_VALUE"""),"")</f>
        <v/>
      </c>
      <c r="W7374" s="16" t="str">
        <f>IFERROR(__xludf.DUMMYFUNCTION("""COMPUTED_VALUE"""),"")</f>
        <v/>
      </c>
      <c r="X7374" s="16" t="str">
        <f>IFERROR(__xludf.DUMMYFUNCTION("""COMPUTED_VALUE"""),"")</f>
        <v/>
      </c>
      <c r="AC7374" s="16" t="str">
        <f>IFERROR(__xludf.DUMMYFUNCTION("""COMPUTED_VALUE"""),"")</f>
        <v/>
      </c>
    </row>
    <row r="7375">
      <c r="A7375" s="16" t="s">
        <v>87</v>
      </c>
      <c r="E7375" s="16" t="str">
        <f>IFERROR(__xludf.DUMMYFUNCTION("""COMPUTED_VALUE"""),"")</f>
        <v/>
      </c>
      <c r="G7375" s="18"/>
      <c r="H7375" s="16" t="s">
        <v>87</v>
      </c>
      <c r="I7375" s="16" t="s">
        <v>87</v>
      </c>
      <c r="J7375" s="19"/>
      <c r="L7375" s="16" t="str">
        <f>IFERROR(__xludf.DUMMYFUNCTION("""COMPUTED_VALUE"""),"")</f>
        <v/>
      </c>
      <c r="M7375" s="16" t="str">
        <f>IFERROR(__xludf.DUMMYFUNCTION("""COMPUTED_VALUE"""),"")</f>
        <v/>
      </c>
      <c r="U7375" s="16" t="s">
        <v>87</v>
      </c>
      <c r="V7375" s="16" t="str">
        <f>IFERROR(__xludf.DUMMYFUNCTION("""COMPUTED_VALUE"""),"")</f>
        <v/>
      </c>
      <c r="W7375" s="16" t="str">
        <f>IFERROR(__xludf.DUMMYFUNCTION("""COMPUTED_VALUE"""),"")</f>
        <v/>
      </c>
      <c r="X7375" s="16" t="str">
        <f>IFERROR(__xludf.DUMMYFUNCTION("""COMPUTED_VALUE"""),"")</f>
        <v/>
      </c>
      <c r="AC7375" s="16" t="str">
        <f>IFERROR(__xludf.DUMMYFUNCTION("""COMPUTED_VALUE"""),"")</f>
        <v/>
      </c>
    </row>
    <row r="7376">
      <c r="A7376" s="16" t="s">
        <v>87</v>
      </c>
      <c r="E7376" s="16" t="str">
        <f>IFERROR(__xludf.DUMMYFUNCTION("""COMPUTED_VALUE"""),"")</f>
        <v/>
      </c>
      <c r="G7376" s="18"/>
      <c r="H7376" s="16" t="s">
        <v>87</v>
      </c>
      <c r="I7376" s="16" t="s">
        <v>87</v>
      </c>
      <c r="J7376" s="19"/>
      <c r="L7376" s="16" t="str">
        <f>IFERROR(__xludf.DUMMYFUNCTION("""COMPUTED_VALUE"""),"")</f>
        <v/>
      </c>
      <c r="M7376" s="16" t="str">
        <f>IFERROR(__xludf.DUMMYFUNCTION("""COMPUTED_VALUE"""),"")</f>
        <v/>
      </c>
      <c r="U7376" s="16" t="s">
        <v>87</v>
      </c>
      <c r="V7376" s="16" t="str">
        <f>IFERROR(__xludf.DUMMYFUNCTION("""COMPUTED_VALUE"""),"")</f>
        <v/>
      </c>
      <c r="W7376" s="16" t="str">
        <f>IFERROR(__xludf.DUMMYFUNCTION("""COMPUTED_VALUE"""),"")</f>
        <v/>
      </c>
      <c r="X7376" s="16" t="str">
        <f>IFERROR(__xludf.DUMMYFUNCTION("""COMPUTED_VALUE"""),"")</f>
        <v/>
      </c>
      <c r="AC7376" s="16" t="str">
        <f>IFERROR(__xludf.DUMMYFUNCTION("""COMPUTED_VALUE"""),"")</f>
        <v/>
      </c>
    </row>
    <row r="7377">
      <c r="A7377" s="16" t="s">
        <v>87</v>
      </c>
      <c r="E7377" s="16" t="str">
        <f>IFERROR(__xludf.DUMMYFUNCTION("""COMPUTED_VALUE"""),"")</f>
        <v/>
      </c>
      <c r="G7377" s="18"/>
      <c r="H7377" s="16" t="s">
        <v>87</v>
      </c>
      <c r="I7377" s="16" t="s">
        <v>87</v>
      </c>
      <c r="J7377" s="19"/>
      <c r="L7377" s="16" t="str">
        <f>IFERROR(__xludf.DUMMYFUNCTION("""COMPUTED_VALUE"""),"")</f>
        <v/>
      </c>
      <c r="M7377" s="16" t="str">
        <f>IFERROR(__xludf.DUMMYFUNCTION("""COMPUTED_VALUE"""),"")</f>
        <v/>
      </c>
      <c r="U7377" s="16" t="s">
        <v>87</v>
      </c>
      <c r="V7377" s="16" t="str">
        <f>IFERROR(__xludf.DUMMYFUNCTION("""COMPUTED_VALUE"""),"")</f>
        <v/>
      </c>
      <c r="W7377" s="16" t="str">
        <f>IFERROR(__xludf.DUMMYFUNCTION("""COMPUTED_VALUE"""),"")</f>
        <v/>
      </c>
      <c r="X7377" s="16" t="str">
        <f>IFERROR(__xludf.DUMMYFUNCTION("""COMPUTED_VALUE"""),"")</f>
        <v/>
      </c>
      <c r="AC7377" s="16" t="str">
        <f>IFERROR(__xludf.DUMMYFUNCTION("""COMPUTED_VALUE"""),"")</f>
        <v/>
      </c>
    </row>
    <row r="7378">
      <c r="A7378" s="16" t="s">
        <v>87</v>
      </c>
      <c r="E7378" s="16" t="str">
        <f>IFERROR(__xludf.DUMMYFUNCTION("""COMPUTED_VALUE"""),"")</f>
        <v/>
      </c>
      <c r="G7378" s="18"/>
      <c r="H7378" s="16" t="s">
        <v>87</v>
      </c>
      <c r="I7378" s="16" t="s">
        <v>87</v>
      </c>
      <c r="J7378" s="19"/>
      <c r="L7378" s="16" t="str">
        <f>IFERROR(__xludf.DUMMYFUNCTION("""COMPUTED_VALUE"""),"")</f>
        <v/>
      </c>
      <c r="M7378" s="16" t="str">
        <f>IFERROR(__xludf.DUMMYFUNCTION("""COMPUTED_VALUE"""),"")</f>
        <v/>
      </c>
      <c r="U7378" s="16" t="s">
        <v>87</v>
      </c>
      <c r="V7378" s="16" t="str">
        <f>IFERROR(__xludf.DUMMYFUNCTION("""COMPUTED_VALUE"""),"")</f>
        <v/>
      </c>
      <c r="W7378" s="16" t="str">
        <f>IFERROR(__xludf.DUMMYFUNCTION("""COMPUTED_VALUE"""),"")</f>
        <v/>
      </c>
      <c r="X7378" s="16" t="str">
        <f>IFERROR(__xludf.DUMMYFUNCTION("""COMPUTED_VALUE"""),"")</f>
        <v/>
      </c>
      <c r="AC7378" s="16" t="str">
        <f>IFERROR(__xludf.DUMMYFUNCTION("""COMPUTED_VALUE"""),"")</f>
        <v/>
      </c>
    </row>
    <row r="7379">
      <c r="A7379" s="16" t="s">
        <v>87</v>
      </c>
      <c r="E7379" s="16" t="str">
        <f>IFERROR(__xludf.DUMMYFUNCTION("""COMPUTED_VALUE"""),"")</f>
        <v/>
      </c>
      <c r="G7379" s="18"/>
      <c r="H7379" s="16" t="s">
        <v>87</v>
      </c>
      <c r="I7379" s="16" t="s">
        <v>87</v>
      </c>
      <c r="J7379" s="19"/>
      <c r="L7379" s="16" t="str">
        <f>IFERROR(__xludf.DUMMYFUNCTION("""COMPUTED_VALUE"""),"")</f>
        <v/>
      </c>
      <c r="M7379" s="16" t="str">
        <f>IFERROR(__xludf.DUMMYFUNCTION("""COMPUTED_VALUE"""),"")</f>
        <v/>
      </c>
      <c r="U7379" s="16" t="s">
        <v>87</v>
      </c>
      <c r="V7379" s="16" t="str">
        <f>IFERROR(__xludf.DUMMYFUNCTION("""COMPUTED_VALUE"""),"")</f>
        <v/>
      </c>
      <c r="W7379" s="16" t="str">
        <f>IFERROR(__xludf.DUMMYFUNCTION("""COMPUTED_VALUE"""),"")</f>
        <v/>
      </c>
      <c r="X7379" s="16" t="str">
        <f>IFERROR(__xludf.DUMMYFUNCTION("""COMPUTED_VALUE"""),"")</f>
        <v/>
      </c>
      <c r="AC7379" s="16" t="str">
        <f>IFERROR(__xludf.DUMMYFUNCTION("""COMPUTED_VALUE"""),"")</f>
        <v/>
      </c>
    </row>
    <row r="7380">
      <c r="A7380" s="16" t="s">
        <v>87</v>
      </c>
      <c r="E7380" s="16" t="str">
        <f>IFERROR(__xludf.DUMMYFUNCTION("""COMPUTED_VALUE"""),"")</f>
        <v/>
      </c>
      <c r="G7380" s="18"/>
      <c r="H7380" s="16" t="s">
        <v>87</v>
      </c>
      <c r="I7380" s="16" t="s">
        <v>87</v>
      </c>
      <c r="J7380" s="19"/>
      <c r="L7380" s="16" t="str">
        <f>IFERROR(__xludf.DUMMYFUNCTION("""COMPUTED_VALUE"""),"")</f>
        <v/>
      </c>
      <c r="M7380" s="16" t="str">
        <f>IFERROR(__xludf.DUMMYFUNCTION("""COMPUTED_VALUE"""),"")</f>
        <v/>
      </c>
      <c r="U7380" s="16" t="s">
        <v>87</v>
      </c>
      <c r="V7380" s="16" t="str">
        <f>IFERROR(__xludf.DUMMYFUNCTION("""COMPUTED_VALUE"""),"")</f>
        <v/>
      </c>
      <c r="W7380" s="16" t="str">
        <f>IFERROR(__xludf.DUMMYFUNCTION("""COMPUTED_VALUE"""),"")</f>
        <v/>
      </c>
      <c r="X7380" s="16" t="str">
        <f>IFERROR(__xludf.DUMMYFUNCTION("""COMPUTED_VALUE"""),"")</f>
        <v/>
      </c>
      <c r="AC7380" s="16" t="str">
        <f>IFERROR(__xludf.DUMMYFUNCTION("""COMPUTED_VALUE"""),"")</f>
        <v/>
      </c>
    </row>
    <row r="7381">
      <c r="A7381" s="16" t="s">
        <v>87</v>
      </c>
      <c r="E7381" s="16" t="str">
        <f>IFERROR(__xludf.DUMMYFUNCTION("""COMPUTED_VALUE"""),"")</f>
        <v/>
      </c>
      <c r="G7381" s="18"/>
      <c r="H7381" s="16" t="s">
        <v>87</v>
      </c>
      <c r="I7381" s="16" t="s">
        <v>87</v>
      </c>
      <c r="J7381" s="19"/>
      <c r="L7381" s="16" t="str">
        <f>IFERROR(__xludf.DUMMYFUNCTION("""COMPUTED_VALUE"""),"")</f>
        <v/>
      </c>
      <c r="M7381" s="16" t="str">
        <f>IFERROR(__xludf.DUMMYFUNCTION("""COMPUTED_VALUE"""),"")</f>
        <v/>
      </c>
      <c r="U7381" s="16" t="s">
        <v>87</v>
      </c>
      <c r="V7381" s="16" t="str">
        <f>IFERROR(__xludf.DUMMYFUNCTION("""COMPUTED_VALUE"""),"")</f>
        <v/>
      </c>
      <c r="W7381" s="16" t="str">
        <f>IFERROR(__xludf.DUMMYFUNCTION("""COMPUTED_VALUE"""),"")</f>
        <v/>
      </c>
      <c r="X7381" s="16" t="str">
        <f>IFERROR(__xludf.DUMMYFUNCTION("""COMPUTED_VALUE"""),"")</f>
        <v/>
      </c>
      <c r="AC7381" s="16" t="str">
        <f>IFERROR(__xludf.DUMMYFUNCTION("""COMPUTED_VALUE"""),"")</f>
        <v/>
      </c>
    </row>
    <row r="7382">
      <c r="A7382" s="16" t="s">
        <v>87</v>
      </c>
      <c r="E7382" s="16" t="str">
        <f>IFERROR(__xludf.DUMMYFUNCTION("""COMPUTED_VALUE"""),"")</f>
        <v/>
      </c>
      <c r="G7382" s="18"/>
      <c r="H7382" s="16" t="s">
        <v>87</v>
      </c>
      <c r="I7382" s="16" t="s">
        <v>87</v>
      </c>
      <c r="J7382" s="19"/>
      <c r="L7382" s="16" t="str">
        <f>IFERROR(__xludf.DUMMYFUNCTION("""COMPUTED_VALUE"""),"")</f>
        <v/>
      </c>
      <c r="M7382" s="16" t="str">
        <f>IFERROR(__xludf.DUMMYFUNCTION("""COMPUTED_VALUE"""),"")</f>
        <v/>
      </c>
      <c r="U7382" s="16" t="s">
        <v>87</v>
      </c>
      <c r="V7382" s="16" t="str">
        <f>IFERROR(__xludf.DUMMYFUNCTION("""COMPUTED_VALUE"""),"")</f>
        <v/>
      </c>
      <c r="W7382" s="16" t="str">
        <f>IFERROR(__xludf.DUMMYFUNCTION("""COMPUTED_VALUE"""),"")</f>
        <v/>
      </c>
      <c r="X7382" s="16" t="str">
        <f>IFERROR(__xludf.DUMMYFUNCTION("""COMPUTED_VALUE"""),"")</f>
        <v/>
      </c>
      <c r="AC7382" s="16" t="str">
        <f>IFERROR(__xludf.DUMMYFUNCTION("""COMPUTED_VALUE"""),"")</f>
        <v/>
      </c>
    </row>
    <row r="7383">
      <c r="A7383" s="16" t="s">
        <v>87</v>
      </c>
      <c r="E7383" s="16" t="str">
        <f>IFERROR(__xludf.DUMMYFUNCTION("""COMPUTED_VALUE"""),"")</f>
        <v/>
      </c>
      <c r="G7383" s="18"/>
      <c r="H7383" s="16" t="s">
        <v>87</v>
      </c>
      <c r="I7383" s="16" t="s">
        <v>87</v>
      </c>
      <c r="J7383" s="19"/>
      <c r="L7383" s="16" t="str">
        <f>IFERROR(__xludf.DUMMYFUNCTION("""COMPUTED_VALUE"""),"")</f>
        <v/>
      </c>
      <c r="M7383" s="16" t="str">
        <f>IFERROR(__xludf.DUMMYFUNCTION("""COMPUTED_VALUE"""),"")</f>
        <v/>
      </c>
      <c r="U7383" s="16" t="s">
        <v>87</v>
      </c>
      <c r="V7383" s="16" t="str">
        <f>IFERROR(__xludf.DUMMYFUNCTION("""COMPUTED_VALUE"""),"")</f>
        <v/>
      </c>
      <c r="W7383" s="16" t="str">
        <f>IFERROR(__xludf.DUMMYFUNCTION("""COMPUTED_VALUE"""),"")</f>
        <v/>
      </c>
      <c r="X7383" s="16" t="str">
        <f>IFERROR(__xludf.DUMMYFUNCTION("""COMPUTED_VALUE"""),"")</f>
        <v/>
      </c>
      <c r="AC7383" s="16" t="str">
        <f>IFERROR(__xludf.DUMMYFUNCTION("""COMPUTED_VALUE"""),"")</f>
        <v/>
      </c>
    </row>
    <row r="7384">
      <c r="A7384" s="16" t="s">
        <v>87</v>
      </c>
      <c r="E7384" s="16" t="str">
        <f>IFERROR(__xludf.DUMMYFUNCTION("""COMPUTED_VALUE"""),"")</f>
        <v/>
      </c>
      <c r="G7384" s="18"/>
      <c r="H7384" s="16" t="s">
        <v>87</v>
      </c>
      <c r="I7384" s="16" t="s">
        <v>87</v>
      </c>
      <c r="J7384" s="19"/>
      <c r="L7384" s="16" t="str">
        <f>IFERROR(__xludf.DUMMYFUNCTION("""COMPUTED_VALUE"""),"")</f>
        <v/>
      </c>
      <c r="M7384" s="16" t="str">
        <f>IFERROR(__xludf.DUMMYFUNCTION("""COMPUTED_VALUE"""),"")</f>
        <v/>
      </c>
      <c r="U7384" s="16" t="s">
        <v>87</v>
      </c>
      <c r="V7384" s="16" t="str">
        <f>IFERROR(__xludf.DUMMYFUNCTION("""COMPUTED_VALUE"""),"")</f>
        <v/>
      </c>
      <c r="W7384" s="16" t="str">
        <f>IFERROR(__xludf.DUMMYFUNCTION("""COMPUTED_VALUE"""),"")</f>
        <v/>
      </c>
      <c r="X7384" s="16" t="str">
        <f>IFERROR(__xludf.DUMMYFUNCTION("""COMPUTED_VALUE"""),"")</f>
        <v/>
      </c>
      <c r="AC7384" s="16" t="str">
        <f>IFERROR(__xludf.DUMMYFUNCTION("""COMPUTED_VALUE"""),"")</f>
        <v/>
      </c>
    </row>
    <row r="7385">
      <c r="A7385" s="16" t="s">
        <v>87</v>
      </c>
      <c r="E7385" s="16" t="str">
        <f>IFERROR(__xludf.DUMMYFUNCTION("""COMPUTED_VALUE"""),"")</f>
        <v/>
      </c>
      <c r="G7385" s="18"/>
      <c r="H7385" s="16" t="s">
        <v>87</v>
      </c>
      <c r="I7385" s="16" t="s">
        <v>87</v>
      </c>
      <c r="J7385" s="19"/>
      <c r="L7385" s="16" t="str">
        <f>IFERROR(__xludf.DUMMYFUNCTION("""COMPUTED_VALUE"""),"")</f>
        <v/>
      </c>
      <c r="M7385" s="16" t="str">
        <f>IFERROR(__xludf.DUMMYFUNCTION("""COMPUTED_VALUE"""),"")</f>
        <v/>
      </c>
      <c r="U7385" s="16" t="s">
        <v>87</v>
      </c>
      <c r="V7385" s="16" t="str">
        <f>IFERROR(__xludf.DUMMYFUNCTION("""COMPUTED_VALUE"""),"")</f>
        <v/>
      </c>
      <c r="W7385" s="16" t="str">
        <f>IFERROR(__xludf.DUMMYFUNCTION("""COMPUTED_VALUE"""),"")</f>
        <v/>
      </c>
      <c r="X7385" s="16" t="str">
        <f>IFERROR(__xludf.DUMMYFUNCTION("""COMPUTED_VALUE"""),"")</f>
        <v/>
      </c>
      <c r="AC7385" s="16" t="str">
        <f>IFERROR(__xludf.DUMMYFUNCTION("""COMPUTED_VALUE"""),"")</f>
        <v/>
      </c>
    </row>
    <row r="7386">
      <c r="A7386" s="16" t="s">
        <v>87</v>
      </c>
      <c r="E7386" s="16" t="str">
        <f>IFERROR(__xludf.DUMMYFUNCTION("""COMPUTED_VALUE"""),"")</f>
        <v/>
      </c>
      <c r="G7386" s="18"/>
      <c r="H7386" s="16" t="s">
        <v>87</v>
      </c>
      <c r="I7386" s="16" t="s">
        <v>87</v>
      </c>
      <c r="J7386" s="19"/>
      <c r="L7386" s="16" t="str">
        <f>IFERROR(__xludf.DUMMYFUNCTION("""COMPUTED_VALUE"""),"")</f>
        <v/>
      </c>
      <c r="M7386" s="16" t="str">
        <f>IFERROR(__xludf.DUMMYFUNCTION("""COMPUTED_VALUE"""),"")</f>
        <v/>
      </c>
      <c r="U7386" s="16" t="s">
        <v>87</v>
      </c>
      <c r="V7386" s="16" t="str">
        <f>IFERROR(__xludf.DUMMYFUNCTION("""COMPUTED_VALUE"""),"")</f>
        <v/>
      </c>
      <c r="W7386" s="16" t="str">
        <f>IFERROR(__xludf.DUMMYFUNCTION("""COMPUTED_VALUE"""),"")</f>
        <v/>
      </c>
      <c r="X7386" s="16" t="str">
        <f>IFERROR(__xludf.DUMMYFUNCTION("""COMPUTED_VALUE"""),"")</f>
        <v/>
      </c>
      <c r="AC7386" s="16" t="str">
        <f>IFERROR(__xludf.DUMMYFUNCTION("""COMPUTED_VALUE"""),"")</f>
        <v/>
      </c>
    </row>
    <row r="7387">
      <c r="A7387" s="16" t="s">
        <v>87</v>
      </c>
      <c r="E7387" s="16" t="str">
        <f>IFERROR(__xludf.DUMMYFUNCTION("""COMPUTED_VALUE"""),"")</f>
        <v/>
      </c>
      <c r="G7387" s="18"/>
      <c r="H7387" s="16" t="s">
        <v>87</v>
      </c>
      <c r="I7387" s="16" t="s">
        <v>87</v>
      </c>
      <c r="J7387" s="19"/>
      <c r="L7387" s="16" t="str">
        <f>IFERROR(__xludf.DUMMYFUNCTION("""COMPUTED_VALUE"""),"")</f>
        <v/>
      </c>
      <c r="M7387" s="16" t="str">
        <f>IFERROR(__xludf.DUMMYFUNCTION("""COMPUTED_VALUE"""),"")</f>
        <v/>
      </c>
      <c r="U7387" s="16" t="s">
        <v>87</v>
      </c>
      <c r="V7387" s="16" t="str">
        <f>IFERROR(__xludf.DUMMYFUNCTION("""COMPUTED_VALUE"""),"")</f>
        <v/>
      </c>
      <c r="W7387" s="16" t="str">
        <f>IFERROR(__xludf.DUMMYFUNCTION("""COMPUTED_VALUE"""),"")</f>
        <v/>
      </c>
      <c r="X7387" s="16" t="str">
        <f>IFERROR(__xludf.DUMMYFUNCTION("""COMPUTED_VALUE"""),"")</f>
        <v/>
      </c>
      <c r="AC7387" s="16" t="str">
        <f>IFERROR(__xludf.DUMMYFUNCTION("""COMPUTED_VALUE"""),"")</f>
        <v/>
      </c>
    </row>
    <row r="7388">
      <c r="A7388" s="16" t="s">
        <v>87</v>
      </c>
      <c r="E7388" s="16" t="str">
        <f>IFERROR(__xludf.DUMMYFUNCTION("""COMPUTED_VALUE"""),"")</f>
        <v/>
      </c>
      <c r="G7388" s="18"/>
      <c r="H7388" s="16" t="s">
        <v>87</v>
      </c>
      <c r="I7388" s="16" t="s">
        <v>87</v>
      </c>
      <c r="J7388" s="19"/>
      <c r="L7388" s="16" t="str">
        <f>IFERROR(__xludf.DUMMYFUNCTION("""COMPUTED_VALUE"""),"")</f>
        <v/>
      </c>
      <c r="M7388" s="16" t="str">
        <f>IFERROR(__xludf.DUMMYFUNCTION("""COMPUTED_VALUE"""),"")</f>
        <v/>
      </c>
      <c r="U7388" s="16" t="s">
        <v>87</v>
      </c>
      <c r="V7388" s="16" t="str">
        <f>IFERROR(__xludf.DUMMYFUNCTION("""COMPUTED_VALUE"""),"")</f>
        <v/>
      </c>
      <c r="W7388" s="16" t="str">
        <f>IFERROR(__xludf.DUMMYFUNCTION("""COMPUTED_VALUE"""),"")</f>
        <v/>
      </c>
      <c r="X7388" s="16" t="str">
        <f>IFERROR(__xludf.DUMMYFUNCTION("""COMPUTED_VALUE"""),"")</f>
        <v/>
      </c>
      <c r="AC7388" s="16" t="str">
        <f>IFERROR(__xludf.DUMMYFUNCTION("""COMPUTED_VALUE"""),"")</f>
        <v/>
      </c>
    </row>
    <row r="7389">
      <c r="A7389" s="16" t="s">
        <v>87</v>
      </c>
      <c r="E7389" s="16" t="str">
        <f>IFERROR(__xludf.DUMMYFUNCTION("""COMPUTED_VALUE"""),"")</f>
        <v/>
      </c>
      <c r="G7389" s="18"/>
      <c r="H7389" s="16" t="s">
        <v>87</v>
      </c>
      <c r="I7389" s="16" t="s">
        <v>87</v>
      </c>
      <c r="J7389" s="19"/>
      <c r="L7389" s="16" t="str">
        <f>IFERROR(__xludf.DUMMYFUNCTION("""COMPUTED_VALUE"""),"")</f>
        <v/>
      </c>
      <c r="M7389" s="16" t="str">
        <f>IFERROR(__xludf.DUMMYFUNCTION("""COMPUTED_VALUE"""),"")</f>
        <v/>
      </c>
      <c r="U7389" s="16" t="s">
        <v>87</v>
      </c>
      <c r="V7389" s="16" t="str">
        <f>IFERROR(__xludf.DUMMYFUNCTION("""COMPUTED_VALUE"""),"")</f>
        <v/>
      </c>
      <c r="W7389" s="16" t="str">
        <f>IFERROR(__xludf.DUMMYFUNCTION("""COMPUTED_VALUE"""),"")</f>
        <v/>
      </c>
      <c r="X7389" s="16" t="str">
        <f>IFERROR(__xludf.DUMMYFUNCTION("""COMPUTED_VALUE"""),"")</f>
        <v/>
      </c>
      <c r="AC7389" s="16" t="str">
        <f>IFERROR(__xludf.DUMMYFUNCTION("""COMPUTED_VALUE"""),"")</f>
        <v/>
      </c>
    </row>
    <row r="7390">
      <c r="A7390" s="16" t="s">
        <v>87</v>
      </c>
      <c r="E7390" s="16" t="str">
        <f>IFERROR(__xludf.DUMMYFUNCTION("""COMPUTED_VALUE"""),"")</f>
        <v/>
      </c>
      <c r="G7390" s="18"/>
      <c r="H7390" s="16" t="s">
        <v>87</v>
      </c>
      <c r="I7390" s="16" t="s">
        <v>87</v>
      </c>
      <c r="J7390" s="19"/>
      <c r="L7390" s="16" t="str">
        <f>IFERROR(__xludf.DUMMYFUNCTION("""COMPUTED_VALUE"""),"")</f>
        <v/>
      </c>
      <c r="M7390" s="16" t="str">
        <f>IFERROR(__xludf.DUMMYFUNCTION("""COMPUTED_VALUE"""),"")</f>
        <v/>
      </c>
      <c r="U7390" s="16" t="s">
        <v>87</v>
      </c>
      <c r="V7390" s="16" t="str">
        <f>IFERROR(__xludf.DUMMYFUNCTION("""COMPUTED_VALUE"""),"")</f>
        <v/>
      </c>
      <c r="W7390" s="16" t="str">
        <f>IFERROR(__xludf.DUMMYFUNCTION("""COMPUTED_VALUE"""),"")</f>
        <v/>
      </c>
      <c r="X7390" s="16" t="str">
        <f>IFERROR(__xludf.DUMMYFUNCTION("""COMPUTED_VALUE"""),"")</f>
        <v/>
      </c>
      <c r="AC7390" s="16" t="str">
        <f>IFERROR(__xludf.DUMMYFUNCTION("""COMPUTED_VALUE"""),"")</f>
        <v/>
      </c>
    </row>
    <row r="7391">
      <c r="A7391" s="16" t="s">
        <v>87</v>
      </c>
      <c r="E7391" s="16" t="str">
        <f>IFERROR(__xludf.DUMMYFUNCTION("""COMPUTED_VALUE"""),"")</f>
        <v/>
      </c>
      <c r="G7391" s="18"/>
      <c r="H7391" s="16" t="s">
        <v>87</v>
      </c>
      <c r="I7391" s="16" t="s">
        <v>87</v>
      </c>
      <c r="J7391" s="19"/>
      <c r="L7391" s="16" t="str">
        <f>IFERROR(__xludf.DUMMYFUNCTION("""COMPUTED_VALUE"""),"")</f>
        <v/>
      </c>
      <c r="M7391" s="16" t="str">
        <f>IFERROR(__xludf.DUMMYFUNCTION("""COMPUTED_VALUE"""),"")</f>
        <v/>
      </c>
      <c r="U7391" s="16" t="s">
        <v>87</v>
      </c>
      <c r="V7391" s="16" t="str">
        <f>IFERROR(__xludf.DUMMYFUNCTION("""COMPUTED_VALUE"""),"")</f>
        <v/>
      </c>
      <c r="W7391" s="16" t="str">
        <f>IFERROR(__xludf.DUMMYFUNCTION("""COMPUTED_VALUE"""),"")</f>
        <v/>
      </c>
      <c r="X7391" s="16" t="str">
        <f>IFERROR(__xludf.DUMMYFUNCTION("""COMPUTED_VALUE"""),"")</f>
        <v/>
      </c>
      <c r="AC7391" s="16" t="str">
        <f>IFERROR(__xludf.DUMMYFUNCTION("""COMPUTED_VALUE"""),"")</f>
        <v/>
      </c>
    </row>
    <row r="7392">
      <c r="A7392" s="16" t="s">
        <v>87</v>
      </c>
      <c r="E7392" s="16" t="str">
        <f>IFERROR(__xludf.DUMMYFUNCTION("""COMPUTED_VALUE"""),"")</f>
        <v/>
      </c>
      <c r="G7392" s="18"/>
      <c r="H7392" s="16" t="s">
        <v>87</v>
      </c>
      <c r="I7392" s="16" t="s">
        <v>87</v>
      </c>
      <c r="J7392" s="19"/>
      <c r="L7392" s="16" t="str">
        <f>IFERROR(__xludf.DUMMYFUNCTION("""COMPUTED_VALUE"""),"")</f>
        <v/>
      </c>
      <c r="M7392" s="16" t="str">
        <f>IFERROR(__xludf.DUMMYFUNCTION("""COMPUTED_VALUE"""),"")</f>
        <v/>
      </c>
      <c r="U7392" s="16" t="s">
        <v>87</v>
      </c>
      <c r="V7392" s="16" t="str">
        <f>IFERROR(__xludf.DUMMYFUNCTION("""COMPUTED_VALUE"""),"")</f>
        <v/>
      </c>
      <c r="W7392" s="16" t="str">
        <f>IFERROR(__xludf.DUMMYFUNCTION("""COMPUTED_VALUE"""),"")</f>
        <v/>
      </c>
      <c r="X7392" s="16" t="str">
        <f>IFERROR(__xludf.DUMMYFUNCTION("""COMPUTED_VALUE"""),"")</f>
        <v/>
      </c>
      <c r="AC7392" s="16" t="str">
        <f>IFERROR(__xludf.DUMMYFUNCTION("""COMPUTED_VALUE"""),"")</f>
        <v/>
      </c>
    </row>
    <row r="7393">
      <c r="A7393" s="16" t="s">
        <v>87</v>
      </c>
      <c r="E7393" s="16" t="str">
        <f>IFERROR(__xludf.DUMMYFUNCTION("""COMPUTED_VALUE"""),"")</f>
        <v/>
      </c>
      <c r="G7393" s="18"/>
      <c r="H7393" s="16" t="s">
        <v>87</v>
      </c>
      <c r="I7393" s="16" t="s">
        <v>87</v>
      </c>
      <c r="J7393" s="19"/>
      <c r="L7393" s="16" t="str">
        <f>IFERROR(__xludf.DUMMYFUNCTION("""COMPUTED_VALUE"""),"")</f>
        <v/>
      </c>
      <c r="M7393" s="16" t="str">
        <f>IFERROR(__xludf.DUMMYFUNCTION("""COMPUTED_VALUE"""),"")</f>
        <v/>
      </c>
      <c r="U7393" s="16" t="s">
        <v>87</v>
      </c>
      <c r="V7393" s="16" t="str">
        <f>IFERROR(__xludf.DUMMYFUNCTION("""COMPUTED_VALUE"""),"")</f>
        <v/>
      </c>
      <c r="W7393" s="16" t="str">
        <f>IFERROR(__xludf.DUMMYFUNCTION("""COMPUTED_VALUE"""),"")</f>
        <v/>
      </c>
      <c r="X7393" s="16" t="str">
        <f>IFERROR(__xludf.DUMMYFUNCTION("""COMPUTED_VALUE"""),"")</f>
        <v/>
      </c>
      <c r="AC7393" s="16" t="str">
        <f>IFERROR(__xludf.DUMMYFUNCTION("""COMPUTED_VALUE"""),"")</f>
        <v/>
      </c>
    </row>
    <row r="7394">
      <c r="A7394" s="16" t="s">
        <v>87</v>
      </c>
      <c r="E7394" s="16" t="str">
        <f>IFERROR(__xludf.DUMMYFUNCTION("""COMPUTED_VALUE"""),"")</f>
        <v/>
      </c>
      <c r="G7394" s="18"/>
      <c r="H7394" s="16" t="s">
        <v>87</v>
      </c>
      <c r="I7394" s="16" t="s">
        <v>87</v>
      </c>
      <c r="J7394" s="19"/>
      <c r="L7394" s="16" t="str">
        <f>IFERROR(__xludf.DUMMYFUNCTION("""COMPUTED_VALUE"""),"")</f>
        <v/>
      </c>
      <c r="M7394" s="16" t="str">
        <f>IFERROR(__xludf.DUMMYFUNCTION("""COMPUTED_VALUE"""),"")</f>
        <v/>
      </c>
      <c r="U7394" s="16" t="s">
        <v>87</v>
      </c>
      <c r="V7394" s="16" t="str">
        <f>IFERROR(__xludf.DUMMYFUNCTION("""COMPUTED_VALUE"""),"")</f>
        <v/>
      </c>
      <c r="W7394" s="16" t="str">
        <f>IFERROR(__xludf.DUMMYFUNCTION("""COMPUTED_VALUE"""),"")</f>
        <v/>
      </c>
      <c r="X7394" s="16" t="str">
        <f>IFERROR(__xludf.DUMMYFUNCTION("""COMPUTED_VALUE"""),"")</f>
        <v/>
      </c>
      <c r="AC7394" s="16" t="str">
        <f>IFERROR(__xludf.DUMMYFUNCTION("""COMPUTED_VALUE"""),"")</f>
        <v/>
      </c>
    </row>
    <row r="7395">
      <c r="A7395" s="16" t="s">
        <v>87</v>
      </c>
      <c r="E7395" s="16" t="str">
        <f>IFERROR(__xludf.DUMMYFUNCTION("""COMPUTED_VALUE"""),"")</f>
        <v/>
      </c>
      <c r="G7395" s="18"/>
      <c r="H7395" s="16" t="s">
        <v>87</v>
      </c>
      <c r="I7395" s="16" t="s">
        <v>87</v>
      </c>
      <c r="J7395" s="19"/>
      <c r="L7395" s="16" t="str">
        <f>IFERROR(__xludf.DUMMYFUNCTION("""COMPUTED_VALUE"""),"")</f>
        <v/>
      </c>
      <c r="M7395" s="16" t="str">
        <f>IFERROR(__xludf.DUMMYFUNCTION("""COMPUTED_VALUE"""),"")</f>
        <v/>
      </c>
      <c r="U7395" s="16" t="s">
        <v>87</v>
      </c>
      <c r="V7395" s="16" t="str">
        <f>IFERROR(__xludf.DUMMYFUNCTION("""COMPUTED_VALUE"""),"")</f>
        <v/>
      </c>
      <c r="W7395" s="16" t="str">
        <f>IFERROR(__xludf.DUMMYFUNCTION("""COMPUTED_VALUE"""),"")</f>
        <v/>
      </c>
      <c r="X7395" s="16" t="str">
        <f>IFERROR(__xludf.DUMMYFUNCTION("""COMPUTED_VALUE"""),"")</f>
        <v/>
      </c>
      <c r="AC7395" s="16" t="str">
        <f>IFERROR(__xludf.DUMMYFUNCTION("""COMPUTED_VALUE"""),"")</f>
        <v/>
      </c>
    </row>
    <row r="7396">
      <c r="A7396" s="16" t="s">
        <v>87</v>
      </c>
      <c r="E7396" s="16" t="str">
        <f>IFERROR(__xludf.DUMMYFUNCTION("""COMPUTED_VALUE"""),"")</f>
        <v/>
      </c>
      <c r="G7396" s="18"/>
      <c r="H7396" s="16" t="s">
        <v>87</v>
      </c>
      <c r="I7396" s="16" t="s">
        <v>87</v>
      </c>
      <c r="J7396" s="19"/>
      <c r="L7396" s="16" t="str">
        <f>IFERROR(__xludf.DUMMYFUNCTION("""COMPUTED_VALUE"""),"")</f>
        <v/>
      </c>
      <c r="M7396" s="16" t="str">
        <f>IFERROR(__xludf.DUMMYFUNCTION("""COMPUTED_VALUE"""),"")</f>
        <v/>
      </c>
      <c r="U7396" s="16" t="s">
        <v>87</v>
      </c>
      <c r="V7396" s="16" t="str">
        <f>IFERROR(__xludf.DUMMYFUNCTION("""COMPUTED_VALUE"""),"")</f>
        <v/>
      </c>
      <c r="W7396" s="16" t="str">
        <f>IFERROR(__xludf.DUMMYFUNCTION("""COMPUTED_VALUE"""),"")</f>
        <v/>
      </c>
      <c r="X7396" s="16" t="str">
        <f>IFERROR(__xludf.DUMMYFUNCTION("""COMPUTED_VALUE"""),"")</f>
        <v/>
      </c>
      <c r="AC7396" s="16" t="str">
        <f>IFERROR(__xludf.DUMMYFUNCTION("""COMPUTED_VALUE"""),"")</f>
        <v/>
      </c>
    </row>
    <row r="7397">
      <c r="A7397" s="16" t="s">
        <v>87</v>
      </c>
      <c r="E7397" s="16" t="str">
        <f>IFERROR(__xludf.DUMMYFUNCTION("""COMPUTED_VALUE"""),"")</f>
        <v/>
      </c>
      <c r="G7397" s="18"/>
      <c r="H7397" s="16" t="s">
        <v>87</v>
      </c>
      <c r="I7397" s="16" t="s">
        <v>87</v>
      </c>
      <c r="J7397" s="19"/>
      <c r="L7397" s="16" t="str">
        <f>IFERROR(__xludf.DUMMYFUNCTION("""COMPUTED_VALUE"""),"")</f>
        <v/>
      </c>
      <c r="M7397" s="16" t="str">
        <f>IFERROR(__xludf.DUMMYFUNCTION("""COMPUTED_VALUE"""),"")</f>
        <v/>
      </c>
      <c r="U7397" s="16" t="s">
        <v>87</v>
      </c>
      <c r="V7397" s="16" t="str">
        <f>IFERROR(__xludf.DUMMYFUNCTION("""COMPUTED_VALUE"""),"")</f>
        <v/>
      </c>
      <c r="W7397" s="16" t="str">
        <f>IFERROR(__xludf.DUMMYFUNCTION("""COMPUTED_VALUE"""),"")</f>
        <v/>
      </c>
      <c r="X7397" s="16" t="str">
        <f>IFERROR(__xludf.DUMMYFUNCTION("""COMPUTED_VALUE"""),"")</f>
        <v/>
      </c>
      <c r="AC7397" s="16" t="str">
        <f>IFERROR(__xludf.DUMMYFUNCTION("""COMPUTED_VALUE"""),"")</f>
        <v/>
      </c>
    </row>
    <row r="7398">
      <c r="A7398" s="16" t="s">
        <v>87</v>
      </c>
      <c r="E7398" s="16" t="str">
        <f>IFERROR(__xludf.DUMMYFUNCTION("""COMPUTED_VALUE"""),"")</f>
        <v/>
      </c>
      <c r="G7398" s="18"/>
      <c r="H7398" s="16" t="s">
        <v>87</v>
      </c>
      <c r="I7398" s="16" t="s">
        <v>87</v>
      </c>
      <c r="J7398" s="19"/>
      <c r="L7398" s="16" t="str">
        <f>IFERROR(__xludf.DUMMYFUNCTION("""COMPUTED_VALUE"""),"")</f>
        <v/>
      </c>
      <c r="M7398" s="16" t="str">
        <f>IFERROR(__xludf.DUMMYFUNCTION("""COMPUTED_VALUE"""),"")</f>
        <v/>
      </c>
      <c r="U7398" s="16" t="s">
        <v>87</v>
      </c>
      <c r="V7398" s="16" t="str">
        <f>IFERROR(__xludf.DUMMYFUNCTION("""COMPUTED_VALUE"""),"")</f>
        <v/>
      </c>
      <c r="W7398" s="16" t="str">
        <f>IFERROR(__xludf.DUMMYFUNCTION("""COMPUTED_VALUE"""),"")</f>
        <v/>
      </c>
      <c r="X7398" s="16" t="str">
        <f>IFERROR(__xludf.DUMMYFUNCTION("""COMPUTED_VALUE"""),"")</f>
        <v/>
      </c>
      <c r="AC7398" s="16" t="str">
        <f>IFERROR(__xludf.DUMMYFUNCTION("""COMPUTED_VALUE"""),"")</f>
        <v/>
      </c>
    </row>
    <row r="7399">
      <c r="A7399" s="16" t="s">
        <v>87</v>
      </c>
      <c r="E7399" s="16" t="str">
        <f>IFERROR(__xludf.DUMMYFUNCTION("""COMPUTED_VALUE"""),"")</f>
        <v/>
      </c>
      <c r="G7399" s="18"/>
      <c r="H7399" s="16" t="s">
        <v>87</v>
      </c>
      <c r="I7399" s="16" t="s">
        <v>87</v>
      </c>
      <c r="J7399" s="19"/>
      <c r="L7399" s="16" t="str">
        <f>IFERROR(__xludf.DUMMYFUNCTION("""COMPUTED_VALUE"""),"")</f>
        <v/>
      </c>
      <c r="M7399" s="16" t="str">
        <f>IFERROR(__xludf.DUMMYFUNCTION("""COMPUTED_VALUE"""),"")</f>
        <v/>
      </c>
      <c r="U7399" s="16" t="s">
        <v>87</v>
      </c>
      <c r="V7399" s="16" t="str">
        <f>IFERROR(__xludf.DUMMYFUNCTION("""COMPUTED_VALUE"""),"")</f>
        <v/>
      </c>
      <c r="W7399" s="16" t="str">
        <f>IFERROR(__xludf.DUMMYFUNCTION("""COMPUTED_VALUE"""),"")</f>
        <v/>
      </c>
      <c r="X7399" s="16" t="str">
        <f>IFERROR(__xludf.DUMMYFUNCTION("""COMPUTED_VALUE"""),"")</f>
        <v/>
      </c>
      <c r="AC7399" s="16" t="str">
        <f>IFERROR(__xludf.DUMMYFUNCTION("""COMPUTED_VALUE"""),"")</f>
        <v/>
      </c>
    </row>
    <row r="7400">
      <c r="A7400" s="16" t="s">
        <v>87</v>
      </c>
      <c r="E7400" s="16" t="str">
        <f>IFERROR(__xludf.DUMMYFUNCTION("""COMPUTED_VALUE"""),"")</f>
        <v/>
      </c>
      <c r="G7400" s="18"/>
      <c r="H7400" s="16" t="s">
        <v>87</v>
      </c>
      <c r="I7400" s="16" t="s">
        <v>87</v>
      </c>
      <c r="J7400" s="19"/>
      <c r="L7400" s="16" t="str">
        <f>IFERROR(__xludf.DUMMYFUNCTION("""COMPUTED_VALUE"""),"")</f>
        <v/>
      </c>
      <c r="M7400" s="16" t="str">
        <f>IFERROR(__xludf.DUMMYFUNCTION("""COMPUTED_VALUE"""),"")</f>
        <v/>
      </c>
      <c r="U7400" s="16" t="s">
        <v>87</v>
      </c>
      <c r="V7400" s="16" t="str">
        <f>IFERROR(__xludf.DUMMYFUNCTION("""COMPUTED_VALUE"""),"")</f>
        <v/>
      </c>
      <c r="W7400" s="16" t="str">
        <f>IFERROR(__xludf.DUMMYFUNCTION("""COMPUTED_VALUE"""),"")</f>
        <v/>
      </c>
      <c r="X7400" s="16" t="str">
        <f>IFERROR(__xludf.DUMMYFUNCTION("""COMPUTED_VALUE"""),"")</f>
        <v/>
      </c>
      <c r="AC7400" s="16" t="str">
        <f>IFERROR(__xludf.DUMMYFUNCTION("""COMPUTED_VALUE"""),"")</f>
        <v/>
      </c>
    </row>
    <row r="7401">
      <c r="A7401" s="16" t="s">
        <v>87</v>
      </c>
      <c r="E7401" s="16" t="str">
        <f>IFERROR(__xludf.DUMMYFUNCTION("""COMPUTED_VALUE"""),"")</f>
        <v/>
      </c>
      <c r="G7401" s="18"/>
      <c r="H7401" s="16" t="s">
        <v>87</v>
      </c>
      <c r="I7401" s="16" t="s">
        <v>87</v>
      </c>
      <c r="J7401" s="19"/>
      <c r="L7401" s="16" t="str">
        <f>IFERROR(__xludf.DUMMYFUNCTION("""COMPUTED_VALUE"""),"")</f>
        <v/>
      </c>
      <c r="M7401" s="16" t="str">
        <f>IFERROR(__xludf.DUMMYFUNCTION("""COMPUTED_VALUE"""),"")</f>
        <v/>
      </c>
      <c r="U7401" s="16" t="s">
        <v>87</v>
      </c>
      <c r="V7401" s="16" t="str">
        <f>IFERROR(__xludf.DUMMYFUNCTION("""COMPUTED_VALUE"""),"")</f>
        <v/>
      </c>
      <c r="W7401" s="16" t="str">
        <f>IFERROR(__xludf.DUMMYFUNCTION("""COMPUTED_VALUE"""),"")</f>
        <v/>
      </c>
      <c r="X7401" s="16" t="str">
        <f>IFERROR(__xludf.DUMMYFUNCTION("""COMPUTED_VALUE"""),"")</f>
        <v/>
      </c>
      <c r="AC7401" s="16" t="str">
        <f>IFERROR(__xludf.DUMMYFUNCTION("""COMPUTED_VALUE"""),"")</f>
        <v/>
      </c>
    </row>
    <row r="7402">
      <c r="A7402" s="16" t="s">
        <v>87</v>
      </c>
      <c r="E7402" s="16" t="str">
        <f>IFERROR(__xludf.DUMMYFUNCTION("""COMPUTED_VALUE"""),"")</f>
        <v/>
      </c>
      <c r="G7402" s="18"/>
      <c r="H7402" s="16" t="s">
        <v>87</v>
      </c>
      <c r="I7402" s="16" t="s">
        <v>87</v>
      </c>
      <c r="J7402" s="19"/>
      <c r="L7402" s="16" t="str">
        <f>IFERROR(__xludf.DUMMYFUNCTION("""COMPUTED_VALUE"""),"")</f>
        <v/>
      </c>
      <c r="M7402" s="16" t="str">
        <f>IFERROR(__xludf.DUMMYFUNCTION("""COMPUTED_VALUE"""),"")</f>
        <v/>
      </c>
      <c r="U7402" s="16" t="s">
        <v>87</v>
      </c>
      <c r="V7402" s="16" t="str">
        <f>IFERROR(__xludf.DUMMYFUNCTION("""COMPUTED_VALUE"""),"")</f>
        <v/>
      </c>
      <c r="W7402" s="16" t="str">
        <f>IFERROR(__xludf.DUMMYFUNCTION("""COMPUTED_VALUE"""),"")</f>
        <v/>
      </c>
      <c r="X7402" s="16" t="str">
        <f>IFERROR(__xludf.DUMMYFUNCTION("""COMPUTED_VALUE"""),"")</f>
        <v/>
      </c>
      <c r="AC7402" s="16" t="str">
        <f>IFERROR(__xludf.DUMMYFUNCTION("""COMPUTED_VALUE"""),"")</f>
        <v/>
      </c>
    </row>
    <row r="7403">
      <c r="A7403" s="16" t="s">
        <v>87</v>
      </c>
      <c r="E7403" s="16" t="str">
        <f>IFERROR(__xludf.DUMMYFUNCTION("""COMPUTED_VALUE"""),"")</f>
        <v/>
      </c>
      <c r="G7403" s="18"/>
      <c r="H7403" s="16" t="s">
        <v>87</v>
      </c>
      <c r="I7403" s="16" t="s">
        <v>87</v>
      </c>
      <c r="J7403" s="19"/>
      <c r="L7403" s="16" t="str">
        <f>IFERROR(__xludf.DUMMYFUNCTION("""COMPUTED_VALUE"""),"")</f>
        <v/>
      </c>
      <c r="M7403" s="16" t="str">
        <f>IFERROR(__xludf.DUMMYFUNCTION("""COMPUTED_VALUE"""),"")</f>
        <v/>
      </c>
      <c r="U7403" s="16" t="s">
        <v>87</v>
      </c>
      <c r="V7403" s="16" t="str">
        <f>IFERROR(__xludf.DUMMYFUNCTION("""COMPUTED_VALUE"""),"")</f>
        <v/>
      </c>
      <c r="W7403" s="16" t="str">
        <f>IFERROR(__xludf.DUMMYFUNCTION("""COMPUTED_VALUE"""),"")</f>
        <v/>
      </c>
      <c r="X7403" s="16" t="str">
        <f>IFERROR(__xludf.DUMMYFUNCTION("""COMPUTED_VALUE"""),"")</f>
        <v/>
      </c>
      <c r="AC7403" s="16" t="str">
        <f>IFERROR(__xludf.DUMMYFUNCTION("""COMPUTED_VALUE"""),"")</f>
        <v/>
      </c>
    </row>
    <row r="7404">
      <c r="A7404" s="16" t="s">
        <v>87</v>
      </c>
      <c r="E7404" s="16" t="str">
        <f>IFERROR(__xludf.DUMMYFUNCTION("""COMPUTED_VALUE"""),"")</f>
        <v/>
      </c>
      <c r="G7404" s="18"/>
      <c r="H7404" s="16" t="s">
        <v>87</v>
      </c>
      <c r="I7404" s="16" t="s">
        <v>87</v>
      </c>
      <c r="J7404" s="19"/>
      <c r="L7404" s="16" t="str">
        <f>IFERROR(__xludf.DUMMYFUNCTION("""COMPUTED_VALUE"""),"")</f>
        <v/>
      </c>
      <c r="M7404" s="16" t="str">
        <f>IFERROR(__xludf.DUMMYFUNCTION("""COMPUTED_VALUE"""),"")</f>
        <v/>
      </c>
      <c r="U7404" s="16" t="s">
        <v>87</v>
      </c>
      <c r="V7404" s="16" t="str">
        <f>IFERROR(__xludf.DUMMYFUNCTION("""COMPUTED_VALUE"""),"")</f>
        <v/>
      </c>
      <c r="W7404" s="16" t="str">
        <f>IFERROR(__xludf.DUMMYFUNCTION("""COMPUTED_VALUE"""),"")</f>
        <v/>
      </c>
      <c r="X7404" s="16" t="str">
        <f>IFERROR(__xludf.DUMMYFUNCTION("""COMPUTED_VALUE"""),"")</f>
        <v/>
      </c>
      <c r="AC7404" s="16" t="str">
        <f>IFERROR(__xludf.DUMMYFUNCTION("""COMPUTED_VALUE"""),"")</f>
        <v/>
      </c>
    </row>
    <row r="7405">
      <c r="A7405" s="16" t="s">
        <v>87</v>
      </c>
      <c r="E7405" s="16" t="str">
        <f>IFERROR(__xludf.DUMMYFUNCTION("""COMPUTED_VALUE"""),"")</f>
        <v/>
      </c>
      <c r="G7405" s="18"/>
      <c r="H7405" s="16" t="s">
        <v>87</v>
      </c>
      <c r="I7405" s="16" t="s">
        <v>87</v>
      </c>
      <c r="J7405" s="19"/>
      <c r="L7405" s="16" t="str">
        <f>IFERROR(__xludf.DUMMYFUNCTION("""COMPUTED_VALUE"""),"")</f>
        <v/>
      </c>
      <c r="M7405" s="16" t="str">
        <f>IFERROR(__xludf.DUMMYFUNCTION("""COMPUTED_VALUE"""),"")</f>
        <v/>
      </c>
      <c r="U7405" s="16" t="s">
        <v>87</v>
      </c>
      <c r="V7405" s="16" t="str">
        <f>IFERROR(__xludf.DUMMYFUNCTION("""COMPUTED_VALUE"""),"")</f>
        <v/>
      </c>
      <c r="W7405" s="16" t="str">
        <f>IFERROR(__xludf.DUMMYFUNCTION("""COMPUTED_VALUE"""),"")</f>
        <v/>
      </c>
      <c r="X7405" s="16" t="str">
        <f>IFERROR(__xludf.DUMMYFUNCTION("""COMPUTED_VALUE"""),"")</f>
        <v/>
      </c>
      <c r="AC7405" s="16" t="str">
        <f>IFERROR(__xludf.DUMMYFUNCTION("""COMPUTED_VALUE"""),"")</f>
        <v/>
      </c>
    </row>
    <row r="7406">
      <c r="A7406" s="16" t="s">
        <v>87</v>
      </c>
      <c r="E7406" s="16" t="str">
        <f>IFERROR(__xludf.DUMMYFUNCTION("""COMPUTED_VALUE"""),"")</f>
        <v/>
      </c>
      <c r="G7406" s="18"/>
      <c r="H7406" s="16" t="s">
        <v>87</v>
      </c>
      <c r="I7406" s="16" t="s">
        <v>87</v>
      </c>
      <c r="J7406" s="19"/>
      <c r="L7406" s="16" t="str">
        <f>IFERROR(__xludf.DUMMYFUNCTION("""COMPUTED_VALUE"""),"")</f>
        <v/>
      </c>
      <c r="M7406" s="16" t="str">
        <f>IFERROR(__xludf.DUMMYFUNCTION("""COMPUTED_VALUE"""),"")</f>
        <v/>
      </c>
      <c r="U7406" s="16" t="s">
        <v>87</v>
      </c>
      <c r="V7406" s="16" t="str">
        <f>IFERROR(__xludf.DUMMYFUNCTION("""COMPUTED_VALUE"""),"")</f>
        <v/>
      </c>
      <c r="W7406" s="16" t="str">
        <f>IFERROR(__xludf.DUMMYFUNCTION("""COMPUTED_VALUE"""),"")</f>
        <v/>
      </c>
      <c r="X7406" s="16" t="str">
        <f>IFERROR(__xludf.DUMMYFUNCTION("""COMPUTED_VALUE"""),"")</f>
        <v/>
      </c>
      <c r="AC7406" s="16" t="str">
        <f>IFERROR(__xludf.DUMMYFUNCTION("""COMPUTED_VALUE"""),"")</f>
        <v/>
      </c>
    </row>
    <row r="7407">
      <c r="A7407" s="16" t="s">
        <v>87</v>
      </c>
      <c r="E7407" s="16" t="str">
        <f>IFERROR(__xludf.DUMMYFUNCTION("""COMPUTED_VALUE"""),"")</f>
        <v/>
      </c>
      <c r="G7407" s="18"/>
      <c r="H7407" s="16" t="s">
        <v>87</v>
      </c>
      <c r="I7407" s="16" t="s">
        <v>87</v>
      </c>
      <c r="J7407" s="19"/>
      <c r="L7407" s="16" t="str">
        <f>IFERROR(__xludf.DUMMYFUNCTION("""COMPUTED_VALUE"""),"")</f>
        <v/>
      </c>
      <c r="M7407" s="16" t="str">
        <f>IFERROR(__xludf.DUMMYFUNCTION("""COMPUTED_VALUE"""),"")</f>
        <v/>
      </c>
      <c r="U7407" s="16" t="s">
        <v>87</v>
      </c>
      <c r="V7407" s="16" t="str">
        <f>IFERROR(__xludf.DUMMYFUNCTION("""COMPUTED_VALUE"""),"")</f>
        <v/>
      </c>
      <c r="W7407" s="16" t="str">
        <f>IFERROR(__xludf.DUMMYFUNCTION("""COMPUTED_VALUE"""),"")</f>
        <v/>
      </c>
      <c r="X7407" s="16" t="str">
        <f>IFERROR(__xludf.DUMMYFUNCTION("""COMPUTED_VALUE"""),"")</f>
        <v/>
      </c>
      <c r="AC7407" s="16" t="str">
        <f>IFERROR(__xludf.DUMMYFUNCTION("""COMPUTED_VALUE"""),"")</f>
        <v/>
      </c>
    </row>
    <row r="7408">
      <c r="A7408" s="16" t="s">
        <v>87</v>
      </c>
      <c r="E7408" s="16" t="str">
        <f>IFERROR(__xludf.DUMMYFUNCTION("""COMPUTED_VALUE"""),"")</f>
        <v/>
      </c>
      <c r="G7408" s="18"/>
      <c r="H7408" s="16" t="s">
        <v>87</v>
      </c>
      <c r="I7408" s="16" t="s">
        <v>87</v>
      </c>
      <c r="J7408" s="19"/>
      <c r="L7408" s="16" t="str">
        <f>IFERROR(__xludf.DUMMYFUNCTION("""COMPUTED_VALUE"""),"")</f>
        <v/>
      </c>
      <c r="M7408" s="16" t="str">
        <f>IFERROR(__xludf.DUMMYFUNCTION("""COMPUTED_VALUE"""),"")</f>
        <v/>
      </c>
      <c r="U7408" s="16" t="s">
        <v>87</v>
      </c>
      <c r="V7408" s="16" t="str">
        <f>IFERROR(__xludf.DUMMYFUNCTION("""COMPUTED_VALUE"""),"")</f>
        <v/>
      </c>
      <c r="W7408" s="16" t="str">
        <f>IFERROR(__xludf.DUMMYFUNCTION("""COMPUTED_VALUE"""),"")</f>
        <v/>
      </c>
      <c r="X7408" s="16" t="str">
        <f>IFERROR(__xludf.DUMMYFUNCTION("""COMPUTED_VALUE"""),"")</f>
        <v/>
      </c>
      <c r="AC7408" s="16" t="str">
        <f>IFERROR(__xludf.DUMMYFUNCTION("""COMPUTED_VALUE"""),"")</f>
        <v/>
      </c>
    </row>
    <row r="7409">
      <c r="A7409" s="16" t="s">
        <v>87</v>
      </c>
      <c r="E7409" s="16" t="str">
        <f>IFERROR(__xludf.DUMMYFUNCTION("""COMPUTED_VALUE"""),"")</f>
        <v/>
      </c>
      <c r="G7409" s="18"/>
      <c r="H7409" s="16" t="s">
        <v>87</v>
      </c>
      <c r="I7409" s="16" t="s">
        <v>87</v>
      </c>
      <c r="J7409" s="19"/>
      <c r="L7409" s="16" t="str">
        <f>IFERROR(__xludf.DUMMYFUNCTION("""COMPUTED_VALUE"""),"")</f>
        <v/>
      </c>
      <c r="M7409" s="16" t="str">
        <f>IFERROR(__xludf.DUMMYFUNCTION("""COMPUTED_VALUE"""),"")</f>
        <v/>
      </c>
      <c r="U7409" s="16" t="s">
        <v>87</v>
      </c>
      <c r="V7409" s="16" t="str">
        <f>IFERROR(__xludf.DUMMYFUNCTION("""COMPUTED_VALUE"""),"")</f>
        <v/>
      </c>
      <c r="W7409" s="16" t="str">
        <f>IFERROR(__xludf.DUMMYFUNCTION("""COMPUTED_VALUE"""),"")</f>
        <v/>
      </c>
      <c r="X7409" s="16" t="str">
        <f>IFERROR(__xludf.DUMMYFUNCTION("""COMPUTED_VALUE"""),"")</f>
        <v/>
      </c>
      <c r="AC7409" s="16" t="str">
        <f>IFERROR(__xludf.DUMMYFUNCTION("""COMPUTED_VALUE"""),"")</f>
        <v/>
      </c>
    </row>
    <row r="7410">
      <c r="A7410" s="16" t="s">
        <v>87</v>
      </c>
      <c r="E7410" s="16" t="str">
        <f>IFERROR(__xludf.DUMMYFUNCTION("""COMPUTED_VALUE"""),"")</f>
        <v/>
      </c>
      <c r="G7410" s="18"/>
      <c r="H7410" s="16" t="s">
        <v>87</v>
      </c>
      <c r="I7410" s="16" t="s">
        <v>87</v>
      </c>
      <c r="J7410" s="19"/>
      <c r="L7410" s="16" t="str">
        <f>IFERROR(__xludf.DUMMYFUNCTION("""COMPUTED_VALUE"""),"")</f>
        <v/>
      </c>
      <c r="M7410" s="16" t="str">
        <f>IFERROR(__xludf.DUMMYFUNCTION("""COMPUTED_VALUE"""),"")</f>
        <v/>
      </c>
      <c r="U7410" s="16" t="s">
        <v>87</v>
      </c>
      <c r="V7410" s="16" t="str">
        <f>IFERROR(__xludf.DUMMYFUNCTION("""COMPUTED_VALUE"""),"")</f>
        <v/>
      </c>
      <c r="W7410" s="16" t="str">
        <f>IFERROR(__xludf.DUMMYFUNCTION("""COMPUTED_VALUE"""),"")</f>
        <v/>
      </c>
      <c r="X7410" s="16" t="str">
        <f>IFERROR(__xludf.DUMMYFUNCTION("""COMPUTED_VALUE"""),"")</f>
        <v/>
      </c>
      <c r="AC7410" s="16" t="str">
        <f>IFERROR(__xludf.DUMMYFUNCTION("""COMPUTED_VALUE"""),"")</f>
        <v/>
      </c>
    </row>
    <row r="7411">
      <c r="A7411" s="16" t="s">
        <v>87</v>
      </c>
      <c r="E7411" s="16" t="str">
        <f>IFERROR(__xludf.DUMMYFUNCTION("""COMPUTED_VALUE"""),"")</f>
        <v/>
      </c>
      <c r="G7411" s="18"/>
      <c r="H7411" s="16" t="s">
        <v>87</v>
      </c>
      <c r="I7411" s="16" t="s">
        <v>87</v>
      </c>
      <c r="J7411" s="19"/>
      <c r="L7411" s="16" t="str">
        <f>IFERROR(__xludf.DUMMYFUNCTION("""COMPUTED_VALUE"""),"")</f>
        <v/>
      </c>
      <c r="M7411" s="16" t="str">
        <f>IFERROR(__xludf.DUMMYFUNCTION("""COMPUTED_VALUE"""),"")</f>
        <v/>
      </c>
      <c r="U7411" s="16" t="s">
        <v>87</v>
      </c>
      <c r="V7411" s="16" t="str">
        <f>IFERROR(__xludf.DUMMYFUNCTION("""COMPUTED_VALUE"""),"")</f>
        <v/>
      </c>
      <c r="W7411" s="16" t="str">
        <f>IFERROR(__xludf.DUMMYFUNCTION("""COMPUTED_VALUE"""),"")</f>
        <v/>
      </c>
      <c r="X7411" s="16" t="str">
        <f>IFERROR(__xludf.DUMMYFUNCTION("""COMPUTED_VALUE"""),"")</f>
        <v/>
      </c>
      <c r="AC7411" s="16" t="str">
        <f>IFERROR(__xludf.DUMMYFUNCTION("""COMPUTED_VALUE"""),"")</f>
        <v/>
      </c>
    </row>
    <row r="7412">
      <c r="A7412" s="16" t="s">
        <v>87</v>
      </c>
      <c r="E7412" s="16" t="str">
        <f>IFERROR(__xludf.DUMMYFUNCTION("""COMPUTED_VALUE"""),"")</f>
        <v/>
      </c>
      <c r="G7412" s="18"/>
      <c r="H7412" s="16" t="s">
        <v>87</v>
      </c>
      <c r="I7412" s="16" t="s">
        <v>87</v>
      </c>
      <c r="J7412" s="19"/>
      <c r="L7412" s="16" t="str">
        <f>IFERROR(__xludf.DUMMYFUNCTION("""COMPUTED_VALUE"""),"")</f>
        <v/>
      </c>
      <c r="M7412" s="16" t="str">
        <f>IFERROR(__xludf.DUMMYFUNCTION("""COMPUTED_VALUE"""),"")</f>
        <v/>
      </c>
      <c r="U7412" s="16" t="s">
        <v>87</v>
      </c>
      <c r="V7412" s="16" t="str">
        <f>IFERROR(__xludf.DUMMYFUNCTION("""COMPUTED_VALUE"""),"")</f>
        <v/>
      </c>
      <c r="W7412" s="16" t="str">
        <f>IFERROR(__xludf.DUMMYFUNCTION("""COMPUTED_VALUE"""),"")</f>
        <v/>
      </c>
      <c r="X7412" s="16" t="str">
        <f>IFERROR(__xludf.DUMMYFUNCTION("""COMPUTED_VALUE"""),"")</f>
        <v/>
      </c>
      <c r="AC7412" s="16" t="str">
        <f>IFERROR(__xludf.DUMMYFUNCTION("""COMPUTED_VALUE"""),"")</f>
        <v/>
      </c>
    </row>
    <row r="7413">
      <c r="A7413" s="16" t="s">
        <v>87</v>
      </c>
      <c r="E7413" s="16" t="str">
        <f>IFERROR(__xludf.DUMMYFUNCTION("""COMPUTED_VALUE"""),"")</f>
        <v/>
      </c>
      <c r="G7413" s="18"/>
      <c r="H7413" s="16" t="s">
        <v>87</v>
      </c>
      <c r="I7413" s="16" t="s">
        <v>87</v>
      </c>
      <c r="J7413" s="19"/>
      <c r="L7413" s="16" t="str">
        <f>IFERROR(__xludf.DUMMYFUNCTION("""COMPUTED_VALUE"""),"")</f>
        <v/>
      </c>
      <c r="M7413" s="16" t="str">
        <f>IFERROR(__xludf.DUMMYFUNCTION("""COMPUTED_VALUE"""),"")</f>
        <v/>
      </c>
      <c r="U7413" s="16" t="s">
        <v>87</v>
      </c>
      <c r="V7413" s="16" t="str">
        <f>IFERROR(__xludf.DUMMYFUNCTION("""COMPUTED_VALUE"""),"")</f>
        <v/>
      </c>
      <c r="W7413" s="16" t="str">
        <f>IFERROR(__xludf.DUMMYFUNCTION("""COMPUTED_VALUE"""),"")</f>
        <v/>
      </c>
      <c r="X7413" s="16" t="str">
        <f>IFERROR(__xludf.DUMMYFUNCTION("""COMPUTED_VALUE"""),"")</f>
        <v/>
      </c>
      <c r="AC7413" s="16" t="str">
        <f>IFERROR(__xludf.DUMMYFUNCTION("""COMPUTED_VALUE"""),"")</f>
        <v/>
      </c>
    </row>
    <row r="7414">
      <c r="A7414" s="16" t="s">
        <v>87</v>
      </c>
      <c r="E7414" s="16" t="str">
        <f>IFERROR(__xludf.DUMMYFUNCTION("""COMPUTED_VALUE"""),"")</f>
        <v/>
      </c>
      <c r="G7414" s="18"/>
      <c r="H7414" s="16" t="s">
        <v>87</v>
      </c>
      <c r="I7414" s="16" t="s">
        <v>87</v>
      </c>
      <c r="J7414" s="19"/>
      <c r="L7414" s="16" t="str">
        <f>IFERROR(__xludf.DUMMYFUNCTION("""COMPUTED_VALUE"""),"")</f>
        <v/>
      </c>
      <c r="M7414" s="16" t="str">
        <f>IFERROR(__xludf.DUMMYFUNCTION("""COMPUTED_VALUE"""),"")</f>
        <v/>
      </c>
      <c r="U7414" s="16" t="s">
        <v>87</v>
      </c>
      <c r="V7414" s="16" t="str">
        <f>IFERROR(__xludf.DUMMYFUNCTION("""COMPUTED_VALUE"""),"")</f>
        <v/>
      </c>
      <c r="W7414" s="16" t="str">
        <f>IFERROR(__xludf.DUMMYFUNCTION("""COMPUTED_VALUE"""),"")</f>
        <v/>
      </c>
      <c r="X7414" s="16" t="str">
        <f>IFERROR(__xludf.DUMMYFUNCTION("""COMPUTED_VALUE"""),"")</f>
        <v/>
      </c>
      <c r="AC7414" s="16" t="str">
        <f>IFERROR(__xludf.DUMMYFUNCTION("""COMPUTED_VALUE"""),"")</f>
        <v/>
      </c>
    </row>
    <row r="7415">
      <c r="A7415" s="16" t="s">
        <v>87</v>
      </c>
      <c r="E7415" s="16" t="str">
        <f>IFERROR(__xludf.DUMMYFUNCTION("""COMPUTED_VALUE"""),"")</f>
        <v/>
      </c>
      <c r="G7415" s="18"/>
      <c r="H7415" s="16" t="s">
        <v>87</v>
      </c>
      <c r="I7415" s="16" t="s">
        <v>87</v>
      </c>
      <c r="J7415" s="19"/>
      <c r="L7415" s="16" t="str">
        <f>IFERROR(__xludf.DUMMYFUNCTION("""COMPUTED_VALUE"""),"")</f>
        <v/>
      </c>
      <c r="M7415" s="16" t="str">
        <f>IFERROR(__xludf.DUMMYFUNCTION("""COMPUTED_VALUE"""),"")</f>
        <v/>
      </c>
      <c r="U7415" s="16" t="s">
        <v>87</v>
      </c>
      <c r="V7415" s="16" t="str">
        <f>IFERROR(__xludf.DUMMYFUNCTION("""COMPUTED_VALUE"""),"")</f>
        <v/>
      </c>
      <c r="W7415" s="16" t="str">
        <f>IFERROR(__xludf.DUMMYFUNCTION("""COMPUTED_VALUE"""),"")</f>
        <v/>
      </c>
      <c r="X7415" s="16" t="str">
        <f>IFERROR(__xludf.DUMMYFUNCTION("""COMPUTED_VALUE"""),"")</f>
        <v/>
      </c>
      <c r="AC7415" s="16" t="str">
        <f>IFERROR(__xludf.DUMMYFUNCTION("""COMPUTED_VALUE"""),"")</f>
        <v/>
      </c>
    </row>
    <row r="7416">
      <c r="A7416" s="16" t="s">
        <v>87</v>
      </c>
      <c r="E7416" s="16" t="str">
        <f>IFERROR(__xludf.DUMMYFUNCTION("""COMPUTED_VALUE"""),"")</f>
        <v/>
      </c>
      <c r="G7416" s="18"/>
      <c r="H7416" s="16" t="s">
        <v>87</v>
      </c>
      <c r="I7416" s="16" t="s">
        <v>87</v>
      </c>
      <c r="J7416" s="19"/>
      <c r="L7416" s="16" t="str">
        <f>IFERROR(__xludf.DUMMYFUNCTION("""COMPUTED_VALUE"""),"")</f>
        <v/>
      </c>
      <c r="M7416" s="16" t="str">
        <f>IFERROR(__xludf.DUMMYFUNCTION("""COMPUTED_VALUE"""),"")</f>
        <v/>
      </c>
      <c r="U7416" s="16" t="s">
        <v>87</v>
      </c>
      <c r="V7416" s="16" t="str">
        <f>IFERROR(__xludf.DUMMYFUNCTION("""COMPUTED_VALUE"""),"")</f>
        <v/>
      </c>
      <c r="W7416" s="16" t="str">
        <f>IFERROR(__xludf.DUMMYFUNCTION("""COMPUTED_VALUE"""),"")</f>
        <v/>
      </c>
      <c r="X7416" s="16" t="str">
        <f>IFERROR(__xludf.DUMMYFUNCTION("""COMPUTED_VALUE"""),"")</f>
        <v/>
      </c>
      <c r="AC7416" s="16" t="str">
        <f>IFERROR(__xludf.DUMMYFUNCTION("""COMPUTED_VALUE"""),"")</f>
        <v/>
      </c>
    </row>
    <row r="7417">
      <c r="A7417" s="16" t="s">
        <v>87</v>
      </c>
      <c r="E7417" s="16" t="str">
        <f>IFERROR(__xludf.DUMMYFUNCTION("""COMPUTED_VALUE"""),"")</f>
        <v/>
      </c>
      <c r="G7417" s="18"/>
      <c r="H7417" s="16" t="s">
        <v>87</v>
      </c>
      <c r="I7417" s="16" t="s">
        <v>87</v>
      </c>
      <c r="J7417" s="19"/>
      <c r="L7417" s="16" t="str">
        <f>IFERROR(__xludf.DUMMYFUNCTION("""COMPUTED_VALUE"""),"")</f>
        <v/>
      </c>
      <c r="M7417" s="16" t="str">
        <f>IFERROR(__xludf.DUMMYFUNCTION("""COMPUTED_VALUE"""),"")</f>
        <v/>
      </c>
      <c r="U7417" s="16" t="s">
        <v>87</v>
      </c>
      <c r="V7417" s="16" t="str">
        <f>IFERROR(__xludf.DUMMYFUNCTION("""COMPUTED_VALUE"""),"")</f>
        <v/>
      </c>
      <c r="W7417" s="16" t="str">
        <f>IFERROR(__xludf.DUMMYFUNCTION("""COMPUTED_VALUE"""),"")</f>
        <v/>
      </c>
      <c r="X7417" s="16" t="str">
        <f>IFERROR(__xludf.DUMMYFUNCTION("""COMPUTED_VALUE"""),"")</f>
        <v/>
      </c>
      <c r="AC7417" s="16" t="str">
        <f>IFERROR(__xludf.DUMMYFUNCTION("""COMPUTED_VALUE"""),"")</f>
        <v/>
      </c>
    </row>
    <row r="7418">
      <c r="A7418" s="16" t="s">
        <v>87</v>
      </c>
      <c r="E7418" s="16" t="str">
        <f>IFERROR(__xludf.DUMMYFUNCTION("""COMPUTED_VALUE"""),"")</f>
        <v/>
      </c>
      <c r="G7418" s="18"/>
      <c r="H7418" s="16" t="s">
        <v>87</v>
      </c>
      <c r="I7418" s="16" t="s">
        <v>87</v>
      </c>
      <c r="J7418" s="19"/>
      <c r="L7418" s="16" t="str">
        <f>IFERROR(__xludf.DUMMYFUNCTION("""COMPUTED_VALUE"""),"")</f>
        <v/>
      </c>
      <c r="M7418" s="16" t="str">
        <f>IFERROR(__xludf.DUMMYFUNCTION("""COMPUTED_VALUE"""),"")</f>
        <v/>
      </c>
      <c r="U7418" s="16" t="s">
        <v>87</v>
      </c>
      <c r="V7418" s="16" t="str">
        <f>IFERROR(__xludf.DUMMYFUNCTION("""COMPUTED_VALUE"""),"")</f>
        <v/>
      </c>
      <c r="W7418" s="16" t="str">
        <f>IFERROR(__xludf.DUMMYFUNCTION("""COMPUTED_VALUE"""),"")</f>
        <v/>
      </c>
      <c r="X7418" s="16" t="str">
        <f>IFERROR(__xludf.DUMMYFUNCTION("""COMPUTED_VALUE"""),"")</f>
        <v/>
      </c>
      <c r="AC7418" s="16" t="str">
        <f>IFERROR(__xludf.DUMMYFUNCTION("""COMPUTED_VALUE"""),"")</f>
        <v/>
      </c>
    </row>
    <row r="7419">
      <c r="A7419" s="16" t="s">
        <v>87</v>
      </c>
      <c r="E7419" s="16" t="str">
        <f>IFERROR(__xludf.DUMMYFUNCTION("""COMPUTED_VALUE"""),"")</f>
        <v/>
      </c>
      <c r="G7419" s="18"/>
      <c r="H7419" s="16" t="s">
        <v>87</v>
      </c>
      <c r="I7419" s="16" t="s">
        <v>87</v>
      </c>
      <c r="J7419" s="19"/>
      <c r="L7419" s="16" t="str">
        <f>IFERROR(__xludf.DUMMYFUNCTION("""COMPUTED_VALUE"""),"")</f>
        <v/>
      </c>
      <c r="M7419" s="16" t="str">
        <f>IFERROR(__xludf.DUMMYFUNCTION("""COMPUTED_VALUE"""),"")</f>
        <v/>
      </c>
      <c r="U7419" s="16" t="s">
        <v>87</v>
      </c>
      <c r="V7419" s="16" t="str">
        <f>IFERROR(__xludf.DUMMYFUNCTION("""COMPUTED_VALUE"""),"")</f>
        <v/>
      </c>
      <c r="W7419" s="16" t="str">
        <f>IFERROR(__xludf.DUMMYFUNCTION("""COMPUTED_VALUE"""),"")</f>
        <v/>
      </c>
      <c r="X7419" s="16" t="str">
        <f>IFERROR(__xludf.DUMMYFUNCTION("""COMPUTED_VALUE"""),"")</f>
        <v/>
      </c>
      <c r="AC7419" s="16" t="str">
        <f>IFERROR(__xludf.DUMMYFUNCTION("""COMPUTED_VALUE"""),"")</f>
        <v/>
      </c>
    </row>
    <row r="7420">
      <c r="A7420" s="16" t="s">
        <v>87</v>
      </c>
      <c r="E7420" s="16" t="str">
        <f>IFERROR(__xludf.DUMMYFUNCTION("""COMPUTED_VALUE"""),"")</f>
        <v/>
      </c>
      <c r="G7420" s="18"/>
      <c r="H7420" s="16" t="s">
        <v>87</v>
      </c>
      <c r="I7420" s="16" t="s">
        <v>87</v>
      </c>
      <c r="J7420" s="19"/>
      <c r="L7420" s="16" t="str">
        <f>IFERROR(__xludf.DUMMYFUNCTION("""COMPUTED_VALUE"""),"")</f>
        <v/>
      </c>
      <c r="M7420" s="16" t="str">
        <f>IFERROR(__xludf.DUMMYFUNCTION("""COMPUTED_VALUE"""),"")</f>
        <v/>
      </c>
      <c r="U7420" s="16" t="s">
        <v>87</v>
      </c>
      <c r="V7420" s="16" t="str">
        <f>IFERROR(__xludf.DUMMYFUNCTION("""COMPUTED_VALUE"""),"")</f>
        <v/>
      </c>
      <c r="W7420" s="16" t="str">
        <f>IFERROR(__xludf.DUMMYFUNCTION("""COMPUTED_VALUE"""),"")</f>
        <v/>
      </c>
      <c r="X7420" s="16" t="str">
        <f>IFERROR(__xludf.DUMMYFUNCTION("""COMPUTED_VALUE"""),"")</f>
        <v/>
      </c>
      <c r="AC7420" s="16" t="str">
        <f>IFERROR(__xludf.DUMMYFUNCTION("""COMPUTED_VALUE"""),"")</f>
        <v/>
      </c>
    </row>
    <row r="7421">
      <c r="A7421" s="16" t="s">
        <v>87</v>
      </c>
      <c r="E7421" s="16" t="str">
        <f>IFERROR(__xludf.DUMMYFUNCTION("""COMPUTED_VALUE"""),"")</f>
        <v/>
      </c>
      <c r="G7421" s="18"/>
      <c r="H7421" s="16" t="s">
        <v>87</v>
      </c>
      <c r="I7421" s="16" t="s">
        <v>87</v>
      </c>
      <c r="J7421" s="19"/>
      <c r="L7421" s="16" t="str">
        <f>IFERROR(__xludf.DUMMYFUNCTION("""COMPUTED_VALUE"""),"")</f>
        <v/>
      </c>
      <c r="M7421" s="16" t="str">
        <f>IFERROR(__xludf.DUMMYFUNCTION("""COMPUTED_VALUE"""),"")</f>
        <v/>
      </c>
      <c r="U7421" s="16" t="s">
        <v>87</v>
      </c>
      <c r="V7421" s="16" t="str">
        <f>IFERROR(__xludf.DUMMYFUNCTION("""COMPUTED_VALUE"""),"")</f>
        <v/>
      </c>
      <c r="W7421" s="16" t="str">
        <f>IFERROR(__xludf.DUMMYFUNCTION("""COMPUTED_VALUE"""),"")</f>
        <v/>
      </c>
      <c r="X7421" s="16" t="str">
        <f>IFERROR(__xludf.DUMMYFUNCTION("""COMPUTED_VALUE"""),"")</f>
        <v/>
      </c>
      <c r="AC7421" s="16" t="str">
        <f>IFERROR(__xludf.DUMMYFUNCTION("""COMPUTED_VALUE"""),"")</f>
        <v/>
      </c>
    </row>
    <row r="7422">
      <c r="A7422" s="16" t="s">
        <v>87</v>
      </c>
      <c r="E7422" s="16" t="str">
        <f>IFERROR(__xludf.DUMMYFUNCTION("""COMPUTED_VALUE"""),"")</f>
        <v/>
      </c>
      <c r="G7422" s="18"/>
      <c r="H7422" s="16" t="s">
        <v>87</v>
      </c>
      <c r="I7422" s="16" t="s">
        <v>87</v>
      </c>
      <c r="J7422" s="19"/>
      <c r="L7422" s="16" t="str">
        <f>IFERROR(__xludf.DUMMYFUNCTION("""COMPUTED_VALUE"""),"")</f>
        <v/>
      </c>
      <c r="M7422" s="16" t="str">
        <f>IFERROR(__xludf.DUMMYFUNCTION("""COMPUTED_VALUE"""),"")</f>
        <v/>
      </c>
      <c r="U7422" s="16" t="s">
        <v>87</v>
      </c>
      <c r="V7422" s="16" t="str">
        <f>IFERROR(__xludf.DUMMYFUNCTION("""COMPUTED_VALUE"""),"")</f>
        <v/>
      </c>
      <c r="W7422" s="16" t="str">
        <f>IFERROR(__xludf.DUMMYFUNCTION("""COMPUTED_VALUE"""),"")</f>
        <v/>
      </c>
      <c r="X7422" s="16" t="str">
        <f>IFERROR(__xludf.DUMMYFUNCTION("""COMPUTED_VALUE"""),"")</f>
        <v/>
      </c>
      <c r="AC7422" s="16" t="str">
        <f>IFERROR(__xludf.DUMMYFUNCTION("""COMPUTED_VALUE"""),"")</f>
        <v/>
      </c>
    </row>
    <row r="7423">
      <c r="A7423" s="16" t="s">
        <v>87</v>
      </c>
      <c r="E7423" s="16" t="str">
        <f>IFERROR(__xludf.DUMMYFUNCTION("""COMPUTED_VALUE"""),"")</f>
        <v/>
      </c>
      <c r="G7423" s="18"/>
      <c r="H7423" s="16" t="s">
        <v>87</v>
      </c>
      <c r="I7423" s="16" t="s">
        <v>87</v>
      </c>
      <c r="J7423" s="19"/>
      <c r="L7423" s="16" t="str">
        <f>IFERROR(__xludf.DUMMYFUNCTION("""COMPUTED_VALUE"""),"")</f>
        <v/>
      </c>
      <c r="M7423" s="16" t="str">
        <f>IFERROR(__xludf.DUMMYFUNCTION("""COMPUTED_VALUE"""),"")</f>
        <v/>
      </c>
      <c r="U7423" s="16" t="s">
        <v>87</v>
      </c>
      <c r="V7423" s="16" t="str">
        <f>IFERROR(__xludf.DUMMYFUNCTION("""COMPUTED_VALUE"""),"")</f>
        <v/>
      </c>
      <c r="W7423" s="16" t="str">
        <f>IFERROR(__xludf.DUMMYFUNCTION("""COMPUTED_VALUE"""),"")</f>
        <v/>
      </c>
      <c r="X7423" s="16" t="str">
        <f>IFERROR(__xludf.DUMMYFUNCTION("""COMPUTED_VALUE"""),"")</f>
        <v/>
      </c>
      <c r="AC7423" s="16" t="str">
        <f>IFERROR(__xludf.DUMMYFUNCTION("""COMPUTED_VALUE"""),"")</f>
        <v/>
      </c>
    </row>
    <row r="7424">
      <c r="A7424" s="16" t="s">
        <v>87</v>
      </c>
      <c r="E7424" s="16" t="str">
        <f>IFERROR(__xludf.DUMMYFUNCTION("""COMPUTED_VALUE"""),"")</f>
        <v/>
      </c>
      <c r="G7424" s="18"/>
      <c r="H7424" s="16" t="s">
        <v>87</v>
      </c>
      <c r="I7424" s="16" t="s">
        <v>87</v>
      </c>
      <c r="J7424" s="19"/>
      <c r="L7424" s="16" t="str">
        <f>IFERROR(__xludf.DUMMYFUNCTION("""COMPUTED_VALUE"""),"")</f>
        <v/>
      </c>
      <c r="M7424" s="16" t="str">
        <f>IFERROR(__xludf.DUMMYFUNCTION("""COMPUTED_VALUE"""),"")</f>
        <v/>
      </c>
      <c r="U7424" s="16" t="s">
        <v>87</v>
      </c>
      <c r="V7424" s="16" t="str">
        <f>IFERROR(__xludf.DUMMYFUNCTION("""COMPUTED_VALUE"""),"")</f>
        <v/>
      </c>
      <c r="W7424" s="16" t="str">
        <f>IFERROR(__xludf.DUMMYFUNCTION("""COMPUTED_VALUE"""),"")</f>
        <v/>
      </c>
      <c r="X7424" s="16" t="str">
        <f>IFERROR(__xludf.DUMMYFUNCTION("""COMPUTED_VALUE"""),"")</f>
        <v/>
      </c>
      <c r="AC7424" s="16" t="str">
        <f>IFERROR(__xludf.DUMMYFUNCTION("""COMPUTED_VALUE"""),"")</f>
        <v/>
      </c>
    </row>
    <row r="7425">
      <c r="A7425" s="16" t="s">
        <v>87</v>
      </c>
      <c r="E7425" s="16" t="str">
        <f>IFERROR(__xludf.DUMMYFUNCTION("""COMPUTED_VALUE"""),"")</f>
        <v/>
      </c>
      <c r="G7425" s="18"/>
      <c r="H7425" s="16" t="s">
        <v>87</v>
      </c>
      <c r="I7425" s="16" t="s">
        <v>87</v>
      </c>
      <c r="J7425" s="19"/>
      <c r="L7425" s="16" t="str">
        <f>IFERROR(__xludf.DUMMYFUNCTION("""COMPUTED_VALUE"""),"")</f>
        <v/>
      </c>
      <c r="M7425" s="16" t="str">
        <f>IFERROR(__xludf.DUMMYFUNCTION("""COMPUTED_VALUE"""),"")</f>
        <v/>
      </c>
      <c r="U7425" s="16" t="s">
        <v>87</v>
      </c>
      <c r="V7425" s="16" t="str">
        <f>IFERROR(__xludf.DUMMYFUNCTION("""COMPUTED_VALUE"""),"")</f>
        <v/>
      </c>
      <c r="W7425" s="16" t="str">
        <f>IFERROR(__xludf.DUMMYFUNCTION("""COMPUTED_VALUE"""),"")</f>
        <v/>
      </c>
      <c r="X7425" s="16" t="str">
        <f>IFERROR(__xludf.DUMMYFUNCTION("""COMPUTED_VALUE"""),"")</f>
        <v/>
      </c>
      <c r="AC7425" s="16" t="str">
        <f>IFERROR(__xludf.DUMMYFUNCTION("""COMPUTED_VALUE"""),"")</f>
        <v/>
      </c>
    </row>
    <row r="7426">
      <c r="A7426" s="16" t="s">
        <v>87</v>
      </c>
      <c r="E7426" s="16" t="str">
        <f>IFERROR(__xludf.DUMMYFUNCTION("""COMPUTED_VALUE"""),"")</f>
        <v/>
      </c>
      <c r="G7426" s="18"/>
      <c r="H7426" s="16" t="s">
        <v>87</v>
      </c>
      <c r="I7426" s="16" t="s">
        <v>87</v>
      </c>
      <c r="J7426" s="19"/>
      <c r="L7426" s="16" t="str">
        <f>IFERROR(__xludf.DUMMYFUNCTION("""COMPUTED_VALUE"""),"")</f>
        <v/>
      </c>
      <c r="M7426" s="16" t="str">
        <f>IFERROR(__xludf.DUMMYFUNCTION("""COMPUTED_VALUE"""),"")</f>
        <v/>
      </c>
      <c r="U7426" s="16" t="s">
        <v>87</v>
      </c>
      <c r="V7426" s="16" t="str">
        <f>IFERROR(__xludf.DUMMYFUNCTION("""COMPUTED_VALUE"""),"")</f>
        <v/>
      </c>
      <c r="W7426" s="16" t="str">
        <f>IFERROR(__xludf.DUMMYFUNCTION("""COMPUTED_VALUE"""),"")</f>
        <v/>
      </c>
      <c r="X7426" s="16" t="str">
        <f>IFERROR(__xludf.DUMMYFUNCTION("""COMPUTED_VALUE"""),"")</f>
        <v/>
      </c>
      <c r="AC7426" s="16" t="str">
        <f>IFERROR(__xludf.DUMMYFUNCTION("""COMPUTED_VALUE"""),"")</f>
        <v/>
      </c>
    </row>
    <row r="7427">
      <c r="A7427" s="16" t="s">
        <v>87</v>
      </c>
      <c r="E7427" s="16" t="str">
        <f>IFERROR(__xludf.DUMMYFUNCTION("""COMPUTED_VALUE"""),"")</f>
        <v/>
      </c>
      <c r="G7427" s="18"/>
      <c r="H7427" s="16" t="s">
        <v>87</v>
      </c>
      <c r="I7427" s="16" t="s">
        <v>87</v>
      </c>
      <c r="J7427" s="19"/>
      <c r="L7427" s="16" t="str">
        <f>IFERROR(__xludf.DUMMYFUNCTION("""COMPUTED_VALUE"""),"")</f>
        <v/>
      </c>
      <c r="M7427" s="16" t="str">
        <f>IFERROR(__xludf.DUMMYFUNCTION("""COMPUTED_VALUE"""),"")</f>
        <v/>
      </c>
      <c r="U7427" s="16" t="s">
        <v>87</v>
      </c>
      <c r="V7427" s="16" t="str">
        <f>IFERROR(__xludf.DUMMYFUNCTION("""COMPUTED_VALUE"""),"")</f>
        <v/>
      </c>
      <c r="W7427" s="16" t="str">
        <f>IFERROR(__xludf.DUMMYFUNCTION("""COMPUTED_VALUE"""),"")</f>
        <v/>
      </c>
      <c r="X7427" s="16" t="str">
        <f>IFERROR(__xludf.DUMMYFUNCTION("""COMPUTED_VALUE"""),"")</f>
        <v/>
      </c>
      <c r="AC7427" s="16" t="str">
        <f>IFERROR(__xludf.DUMMYFUNCTION("""COMPUTED_VALUE"""),"")</f>
        <v/>
      </c>
    </row>
    <row r="7428">
      <c r="A7428" s="16" t="s">
        <v>87</v>
      </c>
      <c r="E7428" s="16" t="str">
        <f>IFERROR(__xludf.DUMMYFUNCTION("""COMPUTED_VALUE"""),"")</f>
        <v/>
      </c>
      <c r="G7428" s="18"/>
      <c r="H7428" s="16" t="s">
        <v>87</v>
      </c>
      <c r="I7428" s="16" t="s">
        <v>87</v>
      </c>
      <c r="J7428" s="19"/>
      <c r="L7428" s="16" t="str">
        <f>IFERROR(__xludf.DUMMYFUNCTION("""COMPUTED_VALUE"""),"")</f>
        <v/>
      </c>
      <c r="M7428" s="16" t="str">
        <f>IFERROR(__xludf.DUMMYFUNCTION("""COMPUTED_VALUE"""),"")</f>
        <v/>
      </c>
      <c r="U7428" s="16" t="s">
        <v>87</v>
      </c>
      <c r="V7428" s="16" t="str">
        <f>IFERROR(__xludf.DUMMYFUNCTION("""COMPUTED_VALUE"""),"")</f>
        <v/>
      </c>
      <c r="W7428" s="16" t="str">
        <f>IFERROR(__xludf.DUMMYFUNCTION("""COMPUTED_VALUE"""),"")</f>
        <v/>
      </c>
      <c r="X7428" s="16" t="str">
        <f>IFERROR(__xludf.DUMMYFUNCTION("""COMPUTED_VALUE"""),"")</f>
        <v/>
      </c>
      <c r="AC7428" s="16" t="str">
        <f>IFERROR(__xludf.DUMMYFUNCTION("""COMPUTED_VALUE"""),"")</f>
        <v/>
      </c>
    </row>
    <row r="7429">
      <c r="A7429" s="16" t="s">
        <v>87</v>
      </c>
      <c r="E7429" s="16" t="str">
        <f>IFERROR(__xludf.DUMMYFUNCTION("""COMPUTED_VALUE"""),"")</f>
        <v/>
      </c>
      <c r="G7429" s="18"/>
      <c r="H7429" s="16" t="s">
        <v>87</v>
      </c>
      <c r="I7429" s="16" t="s">
        <v>87</v>
      </c>
      <c r="J7429" s="19"/>
      <c r="L7429" s="16" t="str">
        <f>IFERROR(__xludf.DUMMYFUNCTION("""COMPUTED_VALUE"""),"")</f>
        <v/>
      </c>
      <c r="M7429" s="16" t="str">
        <f>IFERROR(__xludf.DUMMYFUNCTION("""COMPUTED_VALUE"""),"")</f>
        <v/>
      </c>
      <c r="U7429" s="16" t="s">
        <v>87</v>
      </c>
      <c r="V7429" s="16" t="str">
        <f>IFERROR(__xludf.DUMMYFUNCTION("""COMPUTED_VALUE"""),"")</f>
        <v/>
      </c>
      <c r="W7429" s="16" t="str">
        <f>IFERROR(__xludf.DUMMYFUNCTION("""COMPUTED_VALUE"""),"")</f>
        <v/>
      </c>
      <c r="X7429" s="16" t="str">
        <f>IFERROR(__xludf.DUMMYFUNCTION("""COMPUTED_VALUE"""),"")</f>
        <v/>
      </c>
      <c r="AC7429" s="16" t="str">
        <f>IFERROR(__xludf.DUMMYFUNCTION("""COMPUTED_VALUE"""),"")</f>
        <v/>
      </c>
    </row>
    <row r="7430">
      <c r="A7430" s="16" t="s">
        <v>87</v>
      </c>
      <c r="E7430" s="16" t="str">
        <f>IFERROR(__xludf.DUMMYFUNCTION("""COMPUTED_VALUE"""),"")</f>
        <v/>
      </c>
      <c r="G7430" s="18"/>
      <c r="H7430" s="16" t="s">
        <v>87</v>
      </c>
      <c r="I7430" s="16" t="s">
        <v>87</v>
      </c>
      <c r="J7430" s="19"/>
      <c r="L7430" s="16" t="str">
        <f>IFERROR(__xludf.DUMMYFUNCTION("""COMPUTED_VALUE"""),"")</f>
        <v/>
      </c>
      <c r="M7430" s="16" t="str">
        <f>IFERROR(__xludf.DUMMYFUNCTION("""COMPUTED_VALUE"""),"")</f>
        <v/>
      </c>
      <c r="U7430" s="16" t="s">
        <v>87</v>
      </c>
      <c r="V7430" s="16" t="str">
        <f>IFERROR(__xludf.DUMMYFUNCTION("""COMPUTED_VALUE"""),"")</f>
        <v/>
      </c>
      <c r="W7430" s="16" t="str">
        <f>IFERROR(__xludf.DUMMYFUNCTION("""COMPUTED_VALUE"""),"")</f>
        <v/>
      </c>
      <c r="X7430" s="16" t="str">
        <f>IFERROR(__xludf.DUMMYFUNCTION("""COMPUTED_VALUE"""),"")</f>
        <v/>
      </c>
      <c r="AC7430" s="16" t="str">
        <f>IFERROR(__xludf.DUMMYFUNCTION("""COMPUTED_VALUE"""),"")</f>
        <v/>
      </c>
    </row>
    <row r="7431">
      <c r="A7431" s="16" t="s">
        <v>87</v>
      </c>
      <c r="E7431" s="16" t="str">
        <f>IFERROR(__xludf.DUMMYFUNCTION("""COMPUTED_VALUE"""),"")</f>
        <v/>
      </c>
      <c r="G7431" s="18"/>
      <c r="H7431" s="16" t="s">
        <v>87</v>
      </c>
      <c r="I7431" s="16" t="s">
        <v>87</v>
      </c>
      <c r="J7431" s="19"/>
      <c r="L7431" s="16" t="str">
        <f>IFERROR(__xludf.DUMMYFUNCTION("""COMPUTED_VALUE"""),"")</f>
        <v/>
      </c>
      <c r="M7431" s="16" t="str">
        <f>IFERROR(__xludf.DUMMYFUNCTION("""COMPUTED_VALUE"""),"")</f>
        <v/>
      </c>
      <c r="U7431" s="16" t="s">
        <v>87</v>
      </c>
      <c r="V7431" s="16" t="str">
        <f>IFERROR(__xludf.DUMMYFUNCTION("""COMPUTED_VALUE"""),"")</f>
        <v/>
      </c>
      <c r="W7431" s="16" t="str">
        <f>IFERROR(__xludf.DUMMYFUNCTION("""COMPUTED_VALUE"""),"")</f>
        <v/>
      </c>
      <c r="X7431" s="16" t="str">
        <f>IFERROR(__xludf.DUMMYFUNCTION("""COMPUTED_VALUE"""),"")</f>
        <v/>
      </c>
      <c r="AC7431" s="16" t="str">
        <f>IFERROR(__xludf.DUMMYFUNCTION("""COMPUTED_VALUE"""),"")</f>
        <v/>
      </c>
    </row>
    <row r="7432">
      <c r="A7432" s="16" t="s">
        <v>87</v>
      </c>
      <c r="E7432" s="16" t="str">
        <f>IFERROR(__xludf.DUMMYFUNCTION("""COMPUTED_VALUE"""),"")</f>
        <v/>
      </c>
      <c r="G7432" s="18"/>
      <c r="H7432" s="16" t="s">
        <v>87</v>
      </c>
      <c r="I7432" s="16" t="s">
        <v>87</v>
      </c>
      <c r="J7432" s="19"/>
      <c r="L7432" s="16" t="str">
        <f>IFERROR(__xludf.DUMMYFUNCTION("""COMPUTED_VALUE"""),"")</f>
        <v/>
      </c>
      <c r="M7432" s="16" t="str">
        <f>IFERROR(__xludf.DUMMYFUNCTION("""COMPUTED_VALUE"""),"")</f>
        <v/>
      </c>
      <c r="U7432" s="16" t="s">
        <v>87</v>
      </c>
      <c r="V7432" s="16" t="str">
        <f>IFERROR(__xludf.DUMMYFUNCTION("""COMPUTED_VALUE"""),"")</f>
        <v/>
      </c>
      <c r="W7432" s="16" t="str">
        <f>IFERROR(__xludf.DUMMYFUNCTION("""COMPUTED_VALUE"""),"")</f>
        <v/>
      </c>
      <c r="X7432" s="16" t="str">
        <f>IFERROR(__xludf.DUMMYFUNCTION("""COMPUTED_VALUE"""),"")</f>
        <v/>
      </c>
      <c r="AC7432" s="16" t="str">
        <f>IFERROR(__xludf.DUMMYFUNCTION("""COMPUTED_VALUE"""),"")</f>
        <v/>
      </c>
    </row>
    <row r="7433">
      <c r="A7433" s="16" t="s">
        <v>87</v>
      </c>
      <c r="E7433" s="16" t="str">
        <f>IFERROR(__xludf.DUMMYFUNCTION("""COMPUTED_VALUE"""),"")</f>
        <v/>
      </c>
      <c r="G7433" s="18"/>
      <c r="H7433" s="16" t="s">
        <v>87</v>
      </c>
      <c r="I7433" s="16" t="s">
        <v>87</v>
      </c>
      <c r="J7433" s="19"/>
      <c r="L7433" s="16" t="str">
        <f>IFERROR(__xludf.DUMMYFUNCTION("""COMPUTED_VALUE"""),"")</f>
        <v/>
      </c>
      <c r="M7433" s="16" t="str">
        <f>IFERROR(__xludf.DUMMYFUNCTION("""COMPUTED_VALUE"""),"")</f>
        <v/>
      </c>
      <c r="U7433" s="16" t="s">
        <v>87</v>
      </c>
      <c r="V7433" s="16" t="str">
        <f>IFERROR(__xludf.DUMMYFUNCTION("""COMPUTED_VALUE"""),"")</f>
        <v/>
      </c>
      <c r="W7433" s="16" t="str">
        <f>IFERROR(__xludf.DUMMYFUNCTION("""COMPUTED_VALUE"""),"")</f>
        <v/>
      </c>
      <c r="X7433" s="16" t="str">
        <f>IFERROR(__xludf.DUMMYFUNCTION("""COMPUTED_VALUE"""),"")</f>
        <v/>
      </c>
      <c r="AC7433" s="16" t="str">
        <f>IFERROR(__xludf.DUMMYFUNCTION("""COMPUTED_VALUE"""),"")</f>
        <v/>
      </c>
    </row>
    <row r="7434">
      <c r="A7434" s="16" t="s">
        <v>87</v>
      </c>
      <c r="E7434" s="16" t="str">
        <f>IFERROR(__xludf.DUMMYFUNCTION("""COMPUTED_VALUE"""),"")</f>
        <v/>
      </c>
      <c r="G7434" s="18"/>
      <c r="H7434" s="16" t="s">
        <v>87</v>
      </c>
      <c r="I7434" s="16" t="s">
        <v>87</v>
      </c>
      <c r="J7434" s="19"/>
      <c r="L7434" s="16" t="str">
        <f>IFERROR(__xludf.DUMMYFUNCTION("""COMPUTED_VALUE"""),"")</f>
        <v/>
      </c>
      <c r="M7434" s="16" t="str">
        <f>IFERROR(__xludf.DUMMYFUNCTION("""COMPUTED_VALUE"""),"")</f>
        <v/>
      </c>
      <c r="U7434" s="16" t="s">
        <v>87</v>
      </c>
      <c r="V7434" s="16" t="str">
        <f>IFERROR(__xludf.DUMMYFUNCTION("""COMPUTED_VALUE"""),"")</f>
        <v/>
      </c>
      <c r="W7434" s="16" t="str">
        <f>IFERROR(__xludf.DUMMYFUNCTION("""COMPUTED_VALUE"""),"")</f>
        <v/>
      </c>
      <c r="X7434" s="16" t="str">
        <f>IFERROR(__xludf.DUMMYFUNCTION("""COMPUTED_VALUE"""),"")</f>
        <v/>
      </c>
      <c r="AC7434" s="16" t="str">
        <f>IFERROR(__xludf.DUMMYFUNCTION("""COMPUTED_VALUE"""),"")</f>
        <v/>
      </c>
    </row>
    <row r="7435">
      <c r="A7435" s="16" t="s">
        <v>87</v>
      </c>
      <c r="E7435" s="16" t="str">
        <f>IFERROR(__xludf.DUMMYFUNCTION("""COMPUTED_VALUE"""),"")</f>
        <v/>
      </c>
      <c r="G7435" s="18"/>
      <c r="H7435" s="16" t="s">
        <v>87</v>
      </c>
      <c r="I7435" s="16" t="s">
        <v>87</v>
      </c>
      <c r="J7435" s="19"/>
      <c r="L7435" s="16" t="str">
        <f>IFERROR(__xludf.DUMMYFUNCTION("""COMPUTED_VALUE"""),"")</f>
        <v/>
      </c>
      <c r="M7435" s="16" t="str">
        <f>IFERROR(__xludf.DUMMYFUNCTION("""COMPUTED_VALUE"""),"")</f>
        <v/>
      </c>
      <c r="U7435" s="16" t="s">
        <v>87</v>
      </c>
      <c r="V7435" s="16" t="str">
        <f>IFERROR(__xludf.DUMMYFUNCTION("""COMPUTED_VALUE"""),"")</f>
        <v/>
      </c>
      <c r="W7435" s="16" t="str">
        <f>IFERROR(__xludf.DUMMYFUNCTION("""COMPUTED_VALUE"""),"")</f>
        <v/>
      </c>
      <c r="X7435" s="16" t="str">
        <f>IFERROR(__xludf.DUMMYFUNCTION("""COMPUTED_VALUE"""),"")</f>
        <v/>
      </c>
      <c r="AC7435" s="16" t="str">
        <f>IFERROR(__xludf.DUMMYFUNCTION("""COMPUTED_VALUE"""),"")</f>
        <v/>
      </c>
    </row>
    <row r="7436">
      <c r="A7436" s="16" t="s">
        <v>87</v>
      </c>
      <c r="E7436" s="16" t="str">
        <f>IFERROR(__xludf.DUMMYFUNCTION("""COMPUTED_VALUE"""),"")</f>
        <v/>
      </c>
      <c r="G7436" s="18"/>
      <c r="H7436" s="16" t="s">
        <v>87</v>
      </c>
      <c r="I7436" s="16" t="s">
        <v>87</v>
      </c>
      <c r="J7436" s="19"/>
      <c r="L7436" s="16" t="str">
        <f>IFERROR(__xludf.DUMMYFUNCTION("""COMPUTED_VALUE"""),"")</f>
        <v/>
      </c>
      <c r="M7436" s="16" t="str">
        <f>IFERROR(__xludf.DUMMYFUNCTION("""COMPUTED_VALUE"""),"")</f>
        <v/>
      </c>
      <c r="U7436" s="16" t="s">
        <v>87</v>
      </c>
      <c r="V7436" s="16" t="str">
        <f>IFERROR(__xludf.DUMMYFUNCTION("""COMPUTED_VALUE"""),"")</f>
        <v/>
      </c>
      <c r="W7436" s="16" t="str">
        <f>IFERROR(__xludf.DUMMYFUNCTION("""COMPUTED_VALUE"""),"")</f>
        <v/>
      </c>
      <c r="X7436" s="16" t="str">
        <f>IFERROR(__xludf.DUMMYFUNCTION("""COMPUTED_VALUE"""),"")</f>
        <v/>
      </c>
      <c r="AC7436" s="16" t="str">
        <f>IFERROR(__xludf.DUMMYFUNCTION("""COMPUTED_VALUE"""),"")</f>
        <v/>
      </c>
    </row>
    <row r="7437">
      <c r="A7437" s="16" t="s">
        <v>87</v>
      </c>
      <c r="E7437" s="16" t="str">
        <f>IFERROR(__xludf.DUMMYFUNCTION("""COMPUTED_VALUE"""),"")</f>
        <v/>
      </c>
      <c r="G7437" s="18"/>
      <c r="H7437" s="16" t="s">
        <v>87</v>
      </c>
      <c r="I7437" s="16" t="s">
        <v>87</v>
      </c>
      <c r="J7437" s="19"/>
      <c r="L7437" s="16" t="str">
        <f>IFERROR(__xludf.DUMMYFUNCTION("""COMPUTED_VALUE"""),"")</f>
        <v/>
      </c>
      <c r="M7437" s="16" t="str">
        <f>IFERROR(__xludf.DUMMYFUNCTION("""COMPUTED_VALUE"""),"")</f>
        <v/>
      </c>
      <c r="U7437" s="16" t="s">
        <v>87</v>
      </c>
      <c r="V7437" s="16" t="str">
        <f>IFERROR(__xludf.DUMMYFUNCTION("""COMPUTED_VALUE"""),"")</f>
        <v/>
      </c>
      <c r="W7437" s="16" t="str">
        <f>IFERROR(__xludf.DUMMYFUNCTION("""COMPUTED_VALUE"""),"")</f>
        <v/>
      </c>
      <c r="X7437" s="16" t="str">
        <f>IFERROR(__xludf.DUMMYFUNCTION("""COMPUTED_VALUE"""),"")</f>
        <v/>
      </c>
      <c r="AC7437" s="16" t="str">
        <f>IFERROR(__xludf.DUMMYFUNCTION("""COMPUTED_VALUE"""),"")</f>
        <v/>
      </c>
    </row>
    <row r="7438">
      <c r="A7438" s="16" t="s">
        <v>87</v>
      </c>
      <c r="E7438" s="16" t="str">
        <f>IFERROR(__xludf.DUMMYFUNCTION("""COMPUTED_VALUE"""),"")</f>
        <v/>
      </c>
      <c r="G7438" s="18"/>
      <c r="H7438" s="16" t="s">
        <v>87</v>
      </c>
      <c r="I7438" s="16" t="s">
        <v>87</v>
      </c>
      <c r="J7438" s="19"/>
      <c r="L7438" s="16" t="str">
        <f>IFERROR(__xludf.DUMMYFUNCTION("""COMPUTED_VALUE"""),"")</f>
        <v/>
      </c>
      <c r="M7438" s="16" t="str">
        <f>IFERROR(__xludf.DUMMYFUNCTION("""COMPUTED_VALUE"""),"")</f>
        <v/>
      </c>
      <c r="U7438" s="16" t="s">
        <v>87</v>
      </c>
      <c r="V7438" s="16" t="str">
        <f>IFERROR(__xludf.DUMMYFUNCTION("""COMPUTED_VALUE"""),"")</f>
        <v/>
      </c>
      <c r="W7438" s="16" t="str">
        <f>IFERROR(__xludf.DUMMYFUNCTION("""COMPUTED_VALUE"""),"")</f>
        <v/>
      </c>
      <c r="X7438" s="16" t="str">
        <f>IFERROR(__xludf.DUMMYFUNCTION("""COMPUTED_VALUE"""),"")</f>
        <v/>
      </c>
      <c r="AC7438" s="16" t="str">
        <f>IFERROR(__xludf.DUMMYFUNCTION("""COMPUTED_VALUE"""),"")</f>
        <v/>
      </c>
    </row>
    <row r="7439">
      <c r="A7439" s="16" t="s">
        <v>87</v>
      </c>
      <c r="E7439" s="16" t="str">
        <f>IFERROR(__xludf.DUMMYFUNCTION("""COMPUTED_VALUE"""),"")</f>
        <v/>
      </c>
      <c r="G7439" s="18"/>
      <c r="H7439" s="16" t="s">
        <v>87</v>
      </c>
      <c r="I7439" s="16" t="s">
        <v>87</v>
      </c>
      <c r="J7439" s="19"/>
      <c r="L7439" s="16" t="str">
        <f>IFERROR(__xludf.DUMMYFUNCTION("""COMPUTED_VALUE"""),"")</f>
        <v/>
      </c>
      <c r="M7439" s="16" t="str">
        <f>IFERROR(__xludf.DUMMYFUNCTION("""COMPUTED_VALUE"""),"")</f>
        <v/>
      </c>
      <c r="U7439" s="16" t="s">
        <v>87</v>
      </c>
      <c r="V7439" s="16" t="str">
        <f>IFERROR(__xludf.DUMMYFUNCTION("""COMPUTED_VALUE"""),"")</f>
        <v/>
      </c>
      <c r="W7439" s="16" t="str">
        <f>IFERROR(__xludf.DUMMYFUNCTION("""COMPUTED_VALUE"""),"")</f>
        <v/>
      </c>
      <c r="X7439" s="16" t="str">
        <f>IFERROR(__xludf.DUMMYFUNCTION("""COMPUTED_VALUE"""),"")</f>
        <v/>
      </c>
      <c r="AC7439" s="16" t="str">
        <f>IFERROR(__xludf.DUMMYFUNCTION("""COMPUTED_VALUE"""),"")</f>
        <v/>
      </c>
    </row>
    <row r="7440">
      <c r="A7440" s="16" t="s">
        <v>87</v>
      </c>
      <c r="E7440" s="16" t="str">
        <f>IFERROR(__xludf.DUMMYFUNCTION("""COMPUTED_VALUE"""),"")</f>
        <v/>
      </c>
      <c r="G7440" s="18"/>
      <c r="H7440" s="16" t="s">
        <v>87</v>
      </c>
      <c r="I7440" s="16" t="s">
        <v>87</v>
      </c>
      <c r="J7440" s="19"/>
      <c r="L7440" s="16" t="str">
        <f>IFERROR(__xludf.DUMMYFUNCTION("""COMPUTED_VALUE"""),"")</f>
        <v/>
      </c>
      <c r="M7440" s="16" t="str">
        <f>IFERROR(__xludf.DUMMYFUNCTION("""COMPUTED_VALUE"""),"")</f>
        <v/>
      </c>
      <c r="U7440" s="16" t="s">
        <v>87</v>
      </c>
      <c r="V7440" s="16" t="str">
        <f>IFERROR(__xludf.DUMMYFUNCTION("""COMPUTED_VALUE"""),"")</f>
        <v/>
      </c>
      <c r="W7440" s="16" t="str">
        <f>IFERROR(__xludf.DUMMYFUNCTION("""COMPUTED_VALUE"""),"")</f>
        <v/>
      </c>
      <c r="X7440" s="16" t="str">
        <f>IFERROR(__xludf.DUMMYFUNCTION("""COMPUTED_VALUE"""),"")</f>
        <v/>
      </c>
      <c r="AC7440" s="16" t="str">
        <f>IFERROR(__xludf.DUMMYFUNCTION("""COMPUTED_VALUE"""),"")</f>
        <v/>
      </c>
    </row>
    <row r="7441">
      <c r="A7441" s="16" t="s">
        <v>87</v>
      </c>
      <c r="E7441" s="16" t="str">
        <f>IFERROR(__xludf.DUMMYFUNCTION("""COMPUTED_VALUE"""),"")</f>
        <v/>
      </c>
      <c r="G7441" s="18"/>
      <c r="H7441" s="16" t="s">
        <v>87</v>
      </c>
      <c r="I7441" s="16" t="s">
        <v>87</v>
      </c>
      <c r="J7441" s="19"/>
      <c r="L7441" s="16" t="str">
        <f>IFERROR(__xludf.DUMMYFUNCTION("""COMPUTED_VALUE"""),"")</f>
        <v/>
      </c>
      <c r="M7441" s="16" t="str">
        <f>IFERROR(__xludf.DUMMYFUNCTION("""COMPUTED_VALUE"""),"")</f>
        <v/>
      </c>
      <c r="U7441" s="16" t="s">
        <v>87</v>
      </c>
      <c r="V7441" s="16" t="str">
        <f>IFERROR(__xludf.DUMMYFUNCTION("""COMPUTED_VALUE"""),"")</f>
        <v/>
      </c>
      <c r="W7441" s="16" t="str">
        <f>IFERROR(__xludf.DUMMYFUNCTION("""COMPUTED_VALUE"""),"")</f>
        <v/>
      </c>
      <c r="X7441" s="16" t="str">
        <f>IFERROR(__xludf.DUMMYFUNCTION("""COMPUTED_VALUE"""),"")</f>
        <v/>
      </c>
      <c r="AC7441" s="16" t="str">
        <f>IFERROR(__xludf.DUMMYFUNCTION("""COMPUTED_VALUE"""),"")</f>
        <v/>
      </c>
    </row>
    <row r="7442">
      <c r="A7442" s="16" t="s">
        <v>87</v>
      </c>
      <c r="E7442" s="16" t="str">
        <f>IFERROR(__xludf.DUMMYFUNCTION("""COMPUTED_VALUE"""),"")</f>
        <v/>
      </c>
      <c r="G7442" s="18"/>
      <c r="H7442" s="16" t="s">
        <v>87</v>
      </c>
      <c r="I7442" s="16" t="s">
        <v>87</v>
      </c>
      <c r="J7442" s="19"/>
      <c r="L7442" s="16" t="str">
        <f>IFERROR(__xludf.DUMMYFUNCTION("""COMPUTED_VALUE"""),"")</f>
        <v/>
      </c>
      <c r="M7442" s="16" t="str">
        <f>IFERROR(__xludf.DUMMYFUNCTION("""COMPUTED_VALUE"""),"")</f>
        <v/>
      </c>
      <c r="U7442" s="16" t="s">
        <v>87</v>
      </c>
      <c r="V7442" s="16" t="str">
        <f>IFERROR(__xludf.DUMMYFUNCTION("""COMPUTED_VALUE"""),"")</f>
        <v/>
      </c>
      <c r="W7442" s="16" t="str">
        <f>IFERROR(__xludf.DUMMYFUNCTION("""COMPUTED_VALUE"""),"")</f>
        <v/>
      </c>
      <c r="X7442" s="16" t="str">
        <f>IFERROR(__xludf.DUMMYFUNCTION("""COMPUTED_VALUE"""),"")</f>
        <v/>
      </c>
      <c r="AC7442" s="16" t="str">
        <f>IFERROR(__xludf.DUMMYFUNCTION("""COMPUTED_VALUE"""),"")</f>
        <v/>
      </c>
    </row>
    <row r="7443">
      <c r="A7443" s="16" t="s">
        <v>87</v>
      </c>
      <c r="E7443" s="16" t="str">
        <f>IFERROR(__xludf.DUMMYFUNCTION("""COMPUTED_VALUE"""),"")</f>
        <v/>
      </c>
      <c r="G7443" s="18"/>
      <c r="H7443" s="16" t="s">
        <v>87</v>
      </c>
      <c r="I7443" s="16" t="s">
        <v>87</v>
      </c>
      <c r="J7443" s="19"/>
      <c r="L7443" s="16" t="str">
        <f>IFERROR(__xludf.DUMMYFUNCTION("""COMPUTED_VALUE"""),"")</f>
        <v/>
      </c>
      <c r="M7443" s="16" t="str">
        <f>IFERROR(__xludf.DUMMYFUNCTION("""COMPUTED_VALUE"""),"")</f>
        <v/>
      </c>
      <c r="U7443" s="16" t="s">
        <v>87</v>
      </c>
      <c r="V7443" s="16" t="str">
        <f>IFERROR(__xludf.DUMMYFUNCTION("""COMPUTED_VALUE"""),"")</f>
        <v/>
      </c>
      <c r="W7443" s="16" t="str">
        <f>IFERROR(__xludf.DUMMYFUNCTION("""COMPUTED_VALUE"""),"")</f>
        <v/>
      </c>
      <c r="X7443" s="16" t="str">
        <f>IFERROR(__xludf.DUMMYFUNCTION("""COMPUTED_VALUE"""),"")</f>
        <v/>
      </c>
      <c r="AC7443" s="16" t="str">
        <f>IFERROR(__xludf.DUMMYFUNCTION("""COMPUTED_VALUE"""),"")</f>
        <v/>
      </c>
    </row>
    <row r="7444">
      <c r="A7444" s="16" t="s">
        <v>87</v>
      </c>
      <c r="E7444" s="16" t="str">
        <f>IFERROR(__xludf.DUMMYFUNCTION("""COMPUTED_VALUE"""),"")</f>
        <v/>
      </c>
      <c r="G7444" s="18"/>
      <c r="H7444" s="16" t="s">
        <v>87</v>
      </c>
      <c r="I7444" s="16" t="s">
        <v>87</v>
      </c>
      <c r="J7444" s="19"/>
      <c r="L7444" s="16" t="str">
        <f>IFERROR(__xludf.DUMMYFUNCTION("""COMPUTED_VALUE"""),"")</f>
        <v/>
      </c>
      <c r="M7444" s="16" t="str">
        <f>IFERROR(__xludf.DUMMYFUNCTION("""COMPUTED_VALUE"""),"")</f>
        <v/>
      </c>
      <c r="U7444" s="16" t="s">
        <v>87</v>
      </c>
      <c r="V7444" s="16" t="str">
        <f>IFERROR(__xludf.DUMMYFUNCTION("""COMPUTED_VALUE"""),"")</f>
        <v/>
      </c>
      <c r="W7444" s="16" t="str">
        <f>IFERROR(__xludf.DUMMYFUNCTION("""COMPUTED_VALUE"""),"")</f>
        <v/>
      </c>
      <c r="X7444" s="16" t="str">
        <f>IFERROR(__xludf.DUMMYFUNCTION("""COMPUTED_VALUE"""),"")</f>
        <v/>
      </c>
      <c r="AC7444" s="16" t="str">
        <f>IFERROR(__xludf.DUMMYFUNCTION("""COMPUTED_VALUE"""),"")</f>
        <v/>
      </c>
    </row>
    <row r="7445">
      <c r="A7445" s="16" t="s">
        <v>87</v>
      </c>
      <c r="E7445" s="16" t="str">
        <f>IFERROR(__xludf.DUMMYFUNCTION("""COMPUTED_VALUE"""),"")</f>
        <v/>
      </c>
      <c r="G7445" s="18"/>
      <c r="H7445" s="16" t="s">
        <v>87</v>
      </c>
      <c r="I7445" s="16" t="s">
        <v>87</v>
      </c>
      <c r="J7445" s="19"/>
      <c r="L7445" s="16" t="str">
        <f>IFERROR(__xludf.DUMMYFUNCTION("""COMPUTED_VALUE"""),"")</f>
        <v/>
      </c>
      <c r="M7445" s="16" t="str">
        <f>IFERROR(__xludf.DUMMYFUNCTION("""COMPUTED_VALUE"""),"")</f>
        <v/>
      </c>
      <c r="U7445" s="16" t="s">
        <v>87</v>
      </c>
      <c r="V7445" s="16" t="str">
        <f>IFERROR(__xludf.DUMMYFUNCTION("""COMPUTED_VALUE"""),"")</f>
        <v/>
      </c>
      <c r="W7445" s="16" t="str">
        <f>IFERROR(__xludf.DUMMYFUNCTION("""COMPUTED_VALUE"""),"")</f>
        <v/>
      </c>
      <c r="X7445" s="16" t="str">
        <f>IFERROR(__xludf.DUMMYFUNCTION("""COMPUTED_VALUE"""),"")</f>
        <v/>
      </c>
      <c r="AC7445" s="16" t="str">
        <f>IFERROR(__xludf.DUMMYFUNCTION("""COMPUTED_VALUE"""),"")</f>
        <v/>
      </c>
    </row>
    <row r="7446">
      <c r="A7446" s="16" t="s">
        <v>87</v>
      </c>
      <c r="E7446" s="16" t="str">
        <f>IFERROR(__xludf.DUMMYFUNCTION("""COMPUTED_VALUE"""),"")</f>
        <v/>
      </c>
      <c r="G7446" s="18"/>
      <c r="H7446" s="16" t="s">
        <v>87</v>
      </c>
      <c r="I7446" s="16" t="s">
        <v>87</v>
      </c>
      <c r="J7446" s="19"/>
      <c r="L7446" s="16" t="str">
        <f>IFERROR(__xludf.DUMMYFUNCTION("""COMPUTED_VALUE"""),"")</f>
        <v/>
      </c>
      <c r="M7446" s="16" t="str">
        <f>IFERROR(__xludf.DUMMYFUNCTION("""COMPUTED_VALUE"""),"")</f>
        <v/>
      </c>
      <c r="U7446" s="16" t="s">
        <v>87</v>
      </c>
      <c r="V7446" s="16" t="str">
        <f>IFERROR(__xludf.DUMMYFUNCTION("""COMPUTED_VALUE"""),"")</f>
        <v/>
      </c>
      <c r="W7446" s="16" t="str">
        <f>IFERROR(__xludf.DUMMYFUNCTION("""COMPUTED_VALUE"""),"")</f>
        <v/>
      </c>
      <c r="X7446" s="16" t="str">
        <f>IFERROR(__xludf.DUMMYFUNCTION("""COMPUTED_VALUE"""),"")</f>
        <v/>
      </c>
      <c r="AC7446" s="16" t="str">
        <f>IFERROR(__xludf.DUMMYFUNCTION("""COMPUTED_VALUE"""),"")</f>
        <v/>
      </c>
    </row>
    <row r="7447">
      <c r="A7447" s="16" t="s">
        <v>87</v>
      </c>
      <c r="E7447" s="16" t="str">
        <f>IFERROR(__xludf.DUMMYFUNCTION("""COMPUTED_VALUE"""),"")</f>
        <v/>
      </c>
      <c r="G7447" s="18"/>
      <c r="H7447" s="16" t="s">
        <v>87</v>
      </c>
      <c r="I7447" s="16" t="s">
        <v>87</v>
      </c>
      <c r="J7447" s="19"/>
      <c r="L7447" s="16" t="str">
        <f>IFERROR(__xludf.DUMMYFUNCTION("""COMPUTED_VALUE"""),"")</f>
        <v/>
      </c>
      <c r="M7447" s="16" t="str">
        <f>IFERROR(__xludf.DUMMYFUNCTION("""COMPUTED_VALUE"""),"")</f>
        <v/>
      </c>
      <c r="U7447" s="16" t="s">
        <v>87</v>
      </c>
      <c r="V7447" s="16" t="str">
        <f>IFERROR(__xludf.DUMMYFUNCTION("""COMPUTED_VALUE"""),"")</f>
        <v/>
      </c>
      <c r="W7447" s="16" t="str">
        <f>IFERROR(__xludf.DUMMYFUNCTION("""COMPUTED_VALUE"""),"")</f>
        <v/>
      </c>
      <c r="X7447" s="16" t="str">
        <f>IFERROR(__xludf.DUMMYFUNCTION("""COMPUTED_VALUE"""),"")</f>
        <v/>
      </c>
      <c r="AC7447" s="16" t="str">
        <f>IFERROR(__xludf.DUMMYFUNCTION("""COMPUTED_VALUE"""),"")</f>
        <v/>
      </c>
    </row>
    <row r="7448">
      <c r="A7448" s="16" t="s">
        <v>87</v>
      </c>
      <c r="E7448" s="16" t="str">
        <f>IFERROR(__xludf.DUMMYFUNCTION("""COMPUTED_VALUE"""),"")</f>
        <v/>
      </c>
      <c r="G7448" s="18"/>
      <c r="H7448" s="16" t="s">
        <v>87</v>
      </c>
      <c r="I7448" s="16" t="s">
        <v>87</v>
      </c>
      <c r="J7448" s="19"/>
      <c r="L7448" s="16" t="str">
        <f>IFERROR(__xludf.DUMMYFUNCTION("""COMPUTED_VALUE"""),"")</f>
        <v/>
      </c>
      <c r="M7448" s="16" t="str">
        <f>IFERROR(__xludf.DUMMYFUNCTION("""COMPUTED_VALUE"""),"")</f>
        <v/>
      </c>
      <c r="U7448" s="16" t="s">
        <v>87</v>
      </c>
      <c r="V7448" s="16" t="str">
        <f>IFERROR(__xludf.DUMMYFUNCTION("""COMPUTED_VALUE"""),"")</f>
        <v/>
      </c>
      <c r="W7448" s="16" t="str">
        <f>IFERROR(__xludf.DUMMYFUNCTION("""COMPUTED_VALUE"""),"")</f>
        <v/>
      </c>
      <c r="X7448" s="16" t="str">
        <f>IFERROR(__xludf.DUMMYFUNCTION("""COMPUTED_VALUE"""),"")</f>
        <v/>
      </c>
      <c r="AC7448" s="16" t="str">
        <f>IFERROR(__xludf.DUMMYFUNCTION("""COMPUTED_VALUE"""),"")</f>
        <v/>
      </c>
    </row>
    <row r="7449">
      <c r="A7449" s="16" t="s">
        <v>87</v>
      </c>
      <c r="E7449" s="16" t="str">
        <f>IFERROR(__xludf.DUMMYFUNCTION("""COMPUTED_VALUE"""),"")</f>
        <v/>
      </c>
      <c r="G7449" s="18"/>
      <c r="H7449" s="16" t="s">
        <v>87</v>
      </c>
      <c r="I7449" s="16" t="s">
        <v>87</v>
      </c>
      <c r="J7449" s="19"/>
      <c r="L7449" s="16" t="str">
        <f>IFERROR(__xludf.DUMMYFUNCTION("""COMPUTED_VALUE"""),"")</f>
        <v/>
      </c>
      <c r="M7449" s="16" t="str">
        <f>IFERROR(__xludf.DUMMYFUNCTION("""COMPUTED_VALUE"""),"")</f>
        <v/>
      </c>
      <c r="U7449" s="16" t="s">
        <v>87</v>
      </c>
      <c r="V7449" s="16" t="str">
        <f>IFERROR(__xludf.DUMMYFUNCTION("""COMPUTED_VALUE"""),"")</f>
        <v/>
      </c>
      <c r="W7449" s="16" t="str">
        <f>IFERROR(__xludf.DUMMYFUNCTION("""COMPUTED_VALUE"""),"")</f>
        <v/>
      </c>
      <c r="X7449" s="16" t="str">
        <f>IFERROR(__xludf.DUMMYFUNCTION("""COMPUTED_VALUE"""),"")</f>
        <v/>
      </c>
      <c r="AC7449" s="16" t="str">
        <f>IFERROR(__xludf.DUMMYFUNCTION("""COMPUTED_VALUE"""),"")</f>
        <v/>
      </c>
    </row>
    <row r="7450">
      <c r="A7450" s="16" t="s">
        <v>87</v>
      </c>
      <c r="E7450" s="16" t="str">
        <f>IFERROR(__xludf.DUMMYFUNCTION("""COMPUTED_VALUE"""),"")</f>
        <v/>
      </c>
      <c r="G7450" s="18"/>
      <c r="H7450" s="16" t="s">
        <v>87</v>
      </c>
      <c r="I7450" s="16" t="s">
        <v>87</v>
      </c>
      <c r="J7450" s="19"/>
      <c r="L7450" s="16" t="str">
        <f>IFERROR(__xludf.DUMMYFUNCTION("""COMPUTED_VALUE"""),"")</f>
        <v/>
      </c>
      <c r="M7450" s="16" t="str">
        <f>IFERROR(__xludf.DUMMYFUNCTION("""COMPUTED_VALUE"""),"")</f>
        <v/>
      </c>
      <c r="U7450" s="16" t="s">
        <v>87</v>
      </c>
      <c r="V7450" s="16" t="str">
        <f>IFERROR(__xludf.DUMMYFUNCTION("""COMPUTED_VALUE"""),"")</f>
        <v/>
      </c>
      <c r="W7450" s="16" t="str">
        <f>IFERROR(__xludf.DUMMYFUNCTION("""COMPUTED_VALUE"""),"")</f>
        <v/>
      </c>
      <c r="X7450" s="16" t="str">
        <f>IFERROR(__xludf.DUMMYFUNCTION("""COMPUTED_VALUE"""),"")</f>
        <v/>
      </c>
      <c r="AC7450" s="16" t="str">
        <f>IFERROR(__xludf.DUMMYFUNCTION("""COMPUTED_VALUE"""),"")</f>
        <v/>
      </c>
    </row>
    <row r="7451">
      <c r="A7451" s="16" t="s">
        <v>87</v>
      </c>
      <c r="E7451" s="16" t="str">
        <f>IFERROR(__xludf.DUMMYFUNCTION("""COMPUTED_VALUE"""),"")</f>
        <v/>
      </c>
      <c r="G7451" s="18"/>
      <c r="H7451" s="16" t="s">
        <v>87</v>
      </c>
      <c r="I7451" s="16" t="s">
        <v>87</v>
      </c>
      <c r="J7451" s="19"/>
      <c r="L7451" s="16" t="str">
        <f>IFERROR(__xludf.DUMMYFUNCTION("""COMPUTED_VALUE"""),"")</f>
        <v/>
      </c>
      <c r="M7451" s="16" t="str">
        <f>IFERROR(__xludf.DUMMYFUNCTION("""COMPUTED_VALUE"""),"")</f>
        <v/>
      </c>
      <c r="U7451" s="16" t="s">
        <v>87</v>
      </c>
      <c r="V7451" s="16" t="str">
        <f>IFERROR(__xludf.DUMMYFUNCTION("""COMPUTED_VALUE"""),"")</f>
        <v/>
      </c>
      <c r="W7451" s="16" t="str">
        <f>IFERROR(__xludf.DUMMYFUNCTION("""COMPUTED_VALUE"""),"")</f>
        <v/>
      </c>
      <c r="X7451" s="16" t="str">
        <f>IFERROR(__xludf.DUMMYFUNCTION("""COMPUTED_VALUE"""),"")</f>
        <v/>
      </c>
      <c r="AC7451" s="16" t="str">
        <f>IFERROR(__xludf.DUMMYFUNCTION("""COMPUTED_VALUE"""),"")</f>
        <v/>
      </c>
    </row>
    <row r="7452">
      <c r="A7452" s="16" t="s">
        <v>87</v>
      </c>
      <c r="E7452" s="16" t="str">
        <f>IFERROR(__xludf.DUMMYFUNCTION("""COMPUTED_VALUE"""),"")</f>
        <v/>
      </c>
      <c r="G7452" s="18"/>
      <c r="H7452" s="16" t="s">
        <v>87</v>
      </c>
      <c r="I7452" s="16" t="s">
        <v>87</v>
      </c>
      <c r="J7452" s="19"/>
      <c r="L7452" s="16" t="str">
        <f>IFERROR(__xludf.DUMMYFUNCTION("""COMPUTED_VALUE"""),"")</f>
        <v/>
      </c>
      <c r="M7452" s="16" t="str">
        <f>IFERROR(__xludf.DUMMYFUNCTION("""COMPUTED_VALUE"""),"")</f>
        <v/>
      </c>
      <c r="U7452" s="16" t="s">
        <v>87</v>
      </c>
      <c r="V7452" s="16" t="str">
        <f>IFERROR(__xludf.DUMMYFUNCTION("""COMPUTED_VALUE"""),"")</f>
        <v/>
      </c>
      <c r="W7452" s="16" t="str">
        <f>IFERROR(__xludf.DUMMYFUNCTION("""COMPUTED_VALUE"""),"")</f>
        <v/>
      </c>
      <c r="X7452" s="16" t="str">
        <f>IFERROR(__xludf.DUMMYFUNCTION("""COMPUTED_VALUE"""),"")</f>
        <v/>
      </c>
      <c r="AC7452" s="16" t="str">
        <f>IFERROR(__xludf.DUMMYFUNCTION("""COMPUTED_VALUE"""),"")</f>
        <v/>
      </c>
    </row>
    <row r="7453">
      <c r="A7453" s="16" t="s">
        <v>87</v>
      </c>
      <c r="E7453" s="16" t="str">
        <f>IFERROR(__xludf.DUMMYFUNCTION("""COMPUTED_VALUE"""),"")</f>
        <v/>
      </c>
      <c r="G7453" s="18"/>
      <c r="H7453" s="16" t="s">
        <v>87</v>
      </c>
      <c r="I7453" s="16" t="s">
        <v>87</v>
      </c>
      <c r="J7453" s="19"/>
      <c r="L7453" s="16" t="str">
        <f>IFERROR(__xludf.DUMMYFUNCTION("""COMPUTED_VALUE"""),"")</f>
        <v/>
      </c>
      <c r="M7453" s="16" t="str">
        <f>IFERROR(__xludf.DUMMYFUNCTION("""COMPUTED_VALUE"""),"")</f>
        <v/>
      </c>
      <c r="U7453" s="16" t="s">
        <v>87</v>
      </c>
      <c r="V7453" s="16" t="str">
        <f>IFERROR(__xludf.DUMMYFUNCTION("""COMPUTED_VALUE"""),"")</f>
        <v/>
      </c>
      <c r="W7453" s="16" t="str">
        <f>IFERROR(__xludf.DUMMYFUNCTION("""COMPUTED_VALUE"""),"")</f>
        <v/>
      </c>
      <c r="X7453" s="16" t="str">
        <f>IFERROR(__xludf.DUMMYFUNCTION("""COMPUTED_VALUE"""),"")</f>
        <v/>
      </c>
      <c r="AC7453" s="16" t="str">
        <f>IFERROR(__xludf.DUMMYFUNCTION("""COMPUTED_VALUE"""),"")</f>
        <v/>
      </c>
    </row>
    <row r="7454">
      <c r="A7454" s="16" t="s">
        <v>87</v>
      </c>
      <c r="E7454" s="16" t="str">
        <f>IFERROR(__xludf.DUMMYFUNCTION("""COMPUTED_VALUE"""),"")</f>
        <v/>
      </c>
      <c r="G7454" s="18"/>
      <c r="H7454" s="16" t="s">
        <v>87</v>
      </c>
      <c r="I7454" s="16" t="s">
        <v>87</v>
      </c>
      <c r="J7454" s="19"/>
      <c r="L7454" s="16" t="str">
        <f>IFERROR(__xludf.DUMMYFUNCTION("""COMPUTED_VALUE"""),"")</f>
        <v/>
      </c>
      <c r="M7454" s="16" t="str">
        <f>IFERROR(__xludf.DUMMYFUNCTION("""COMPUTED_VALUE"""),"")</f>
        <v/>
      </c>
      <c r="U7454" s="16" t="s">
        <v>87</v>
      </c>
      <c r="V7454" s="16" t="str">
        <f>IFERROR(__xludf.DUMMYFUNCTION("""COMPUTED_VALUE"""),"")</f>
        <v/>
      </c>
      <c r="W7454" s="16" t="str">
        <f>IFERROR(__xludf.DUMMYFUNCTION("""COMPUTED_VALUE"""),"")</f>
        <v/>
      </c>
      <c r="X7454" s="16" t="str">
        <f>IFERROR(__xludf.DUMMYFUNCTION("""COMPUTED_VALUE"""),"")</f>
        <v/>
      </c>
      <c r="AC7454" s="16" t="str">
        <f>IFERROR(__xludf.DUMMYFUNCTION("""COMPUTED_VALUE"""),"")</f>
        <v/>
      </c>
    </row>
    <row r="7455">
      <c r="A7455" s="16" t="s">
        <v>87</v>
      </c>
      <c r="E7455" s="16" t="str">
        <f>IFERROR(__xludf.DUMMYFUNCTION("""COMPUTED_VALUE"""),"")</f>
        <v/>
      </c>
      <c r="G7455" s="18"/>
      <c r="H7455" s="16" t="s">
        <v>87</v>
      </c>
      <c r="I7455" s="16" t="s">
        <v>87</v>
      </c>
      <c r="J7455" s="19"/>
      <c r="L7455" s="16" t="str">
        <f>IFERROR(__xludf.DUMMYFUNCTION("""COMPUTED_VALUE"""),"")</f>
        <v/>
      </c>
      <c r="M7455" s="16" t="str">
        <f>IFERROR(__xludf.DUMMYFUNCTION("""COMPUTED_VALUE"""),"")</f>
        <v/>
      </c>
      <c r="U7455" s="16" t="s">
        <v>87</v>
      </c>
      <c r="V7455" s="16" t="str">
        <f>IFERROR(__xludf.DUMMYFUNCTION("""COMPUTED_VALUE"""),"")</f>
        <v/>
      </c>
      <c r="W7455" s="16" t="str">
        <f>IFERROR(__xludf.DUMMYFUNCTION("""COMPUTED_VALUE"""),"")</f>
        <v/>
      </c>
      <c r="X7455" s="16" t="str">
        <f>IFERROR(__xludf.DUMMYFUNCTION("""COMPUTED_VALUE"""),"")</f>
        <v/>
      </c>
      <c r="AC7455" s="16" t="str">
        <f>IFERROR(__xludf.DUMMYFUNCTION("""COMPUTED_VALUE"""),"")</f>
        <v/>
      </c>
    </row>
    <row r="7456">
      <c r="A7456" s="16" t="s">
        <v>87</v>
      </c>
      <c r="E7456" s="16" t="str">
        <f>IFERROR(__xludf.DUMMYFUNCTION("""COMPUTED_VALUE"""),"")</f>
        <v/>
      </c>
      <c r="G7456" s="18"/>
      <c r="H7456" s="16" t="s">
        <v>87</v>
      </c>
      <c r="I7456" s="16" t="s">
        <v>87</v>
      </c>
      <c r="J7456" s="19"/>
      <c r="L7456" s="16" t="str">
        <f>IFERROR(__xludf.DUMMYFUNCTION("""COMPUTED_VALUE"""),"")</f>
        <v/>
      </c>
      <c r="M7456" s="16" t="str">
        <f>IFERROR(__xludf.DUMMYFUNCTION("""COMPUTED_VALUE"""),"")</f>
        <v/>
      </c>
      <c r="U7456" s="16" t="s">
        <v>87</v>
      </c>
      <c r="V7456" s="16" t="str">
        <f>IFERROR(__xludf.DUMMYFUNCTION("""COMPUTED_VALUE"""),"")</f>
        <v/>
      </c>
      <c r="W7456" s="16" t="str">
        <f>IFERROR(__xludf.DUMMYFUNCTION("""COMPUTED_VALUE"""),"")</f>
        <v/>
      </c>
      <c r="X7456" s="16" t="str">
        <f>IFERROR(__xludf.DUMMYFUNCTION("""COMPUTED_VALUE"""),"")</f>
        <v/>
      </c>
      <c r="AC7456" s="16" t="str">
        <f>IFERROR(__xludf.DUMMYFUNCTION("""COMPUTED_VALUE"""),"")</f>
        <v/>
      </c>
    </row>
    <row r="7457">
      <c r="A7457" s="16" t="s">
        <v>87</v>
      </c>
      <c r="E7457" s="16" t="str">
        <f>IFERROR(__xludf.DUMMYFUNCTION("""COMPUTED_VALUE"""),"")</f>
        <v/>
      </c>
      <c r="G7457" s="18"/>
      <c r="H7457" s="16" t="s">
        <v>87</v>
      </c>
      <c r="I7457" s="16" t="s">
        <v>87</v>
      </c>
      <c r="J7457" s="19"/>
      <c r="L7457" s="16" t="str">
        <f>IFERROR(__xludf.DUMMYFUNCTION("""COMPUTED_VALUE"""),"")</f>
        <v/>
      </c>
      <c r="M7457" s="16" t="str">
        <f>IFERROR(__xludf.DUMMYFUNCTION("""COMPUTED_VALUE"""),"")</f>
        <v/>
      </c>
      <c r="U7457" s="16" t="s">
        <v>87</v>
      </c>
      <c r="V7457" s="16" t="str">
        <f>IFERROR(__xludf.DUMMYFUNCTION("""COMPUTED_VALUE"""),"")</f>
        <v/>
      </c>
      <c r="W7457" s="16" t="str">
        <f>IFERROR(__xludf.DUMMYFUNCTION("""COMPUTED_VALUE"""),"")</f>
        <v/>
      </c>
      <c r="X7457" s="16" t="str">
        <f>IFERROR(__xludf.DUMMYFUNCTION("""COMPUTED_VALUE"""),"")</f>
        <v/>
      </c>
      <c r="AC7457" s="16" t="str">
        <f>IFERROR(__xludf.DUMMYFUNCTION("""COMPUTED_VALUE"""),"")</f>
        <v/>
      </c>
    </row>
    <row r="7458">
      <c r="A7458" s="16" t="s">
        <v>87</v>
      </c>
      <c r="E7458" s="16" t="str">
        <f>IFERROR(__xludf.DUMMYFUNCTION("""COMPUTED_VALUE"""),"")</f>
        <v/>
      </c>
      <c r="G7458" s="18"/>
      <c r="H7458" s="16" t="s">
        <v>87</v>
      </c>
      <c r="I7458" s="16" t="s">
        <v>87</v>
      </c>
      <c r="J7458" s="19"/>
      <c r="L7458" s="16" t="str">
        <f>IFERROR(__xludf.DUMMYFUNCTION("""COMPUTED_VALUE"""),"")</f>
        <v/>
      </c>
      <c r="M7458" s="16" t="str">
        <f>IFERROR(__xludf.DUMMYFUNCTION("""COMPUTED_VALUE"""),"")</f>
        <v/>
      </c>
      <c r="U7458" s="16" t="s">
        <v>87</v>
      </c>
      <c r="V7458" s="16" t="str">
        <f>IFERROR(__xludf.DUMMYFUNCTION("""COMPUTED_VALUE"""),"")</f>
        <v/>
      </c>
      <c r="W7458" s="16" t="str">
        <f>IFERROR(__xludf.DUMMYFUNCTION("""COMPUTED_VALUE"""),"")</f>
        <v/>
      </c>
      <c r="X7458" s="16" t="str">
        <f>IFERROR(__xludf.DUMMYFUNCTION("""COMPUTED_VALUE"""),"")</f>
        <v/>
      </c>
      <c r="AC7458" s="16" t="str">
        <f>IFERROR(__xludf.DUMMYFUNCTION("""COMPUTED_VALUE"""),"")</f>
        <v/>
      </c>
    </row>
    <row r="7459">
      <c r="A7459" s="16" t="s">
        <v>87</v>
      </c>
      <c r="E7459" s="16" t="str">
        <f>IFERROR(__xludf.DUMMYFUNCTION("""COMPUTED_VALUE"""),"")</f>
        <v/>
      </c>
      <c r="G7459" s="18"/>
      <c r="H7459" s="16" t="s">
        <v>87</v>
      </c>
      <c r="I7459" s="16" t="s">
        <v>87</v>
      </c>
      <c r="J7459" s="19"/>
      <c r="L7459" s="16" t="str">
        <f>IFERROR(__xludf.DUMMYFUNCTION("""COMPUTED_VALUE"""),"")</f>
        <v/>
      </c>
      <c r="M7459" s="16" t="str">
        <f>IFERROR(__xludf.DUMMYFUNCTION("""COMPUTED_VALUE"""),"")</f>
        <v/>
      </c>
      <c r="U7459" s="16" t="s">
        <v>87</v>
      </c>
      <c r="V7459" s="16" t="str">
        <f>IFERROR(__xludf.DUMMYFUNCTION("""COMPUTED_VALUE"""),"")</f>
        <v/>
      </c>
      <c r="W7459" s="16" t="str">
        <f>IFERROR(__xludf.DUMMYFUNCTION("""COMPUTED_VALUE"""),"")</f>
        <v/>
      </c>
      <c r="X7459" s="16" t="str">
        <f>IFERROR(__xludf.DUMMYFUNCTION("""COMPUTED_VALUE"""),"")</f>
        <v/>
      </c>
      <c r="AC7459" s="16" t="str">
        <f>IFERROR(__xludf.DUMMYFUNCTION("""COMPUTED_VALUE"""),"")</f>
        <v/>
      </c>
    </row>
    <row r="7460">
      <c r="A7460" s="16" t="s">
        <v>87</v>
      </c>
      <c r="E7460" s="16" t="str">
        <f>IFERROR(__xludf.DUMMYFUNCTION("""COMPUTED_VALUE"""),"")</f>
        <v/>
      </c>
      <c r="G7460" s="18"/>
      <c r="H7460" s="16" t="s">
        <v>87</v>
      </c>
      <c r="I7460" s="16" t="s">
        <v>87</v>
      </c>
      <c r="J7460" s="19"/>
      <c r="L7460" s="16" t="str">
        <f>IFERROR(__xludf.DUMMYFUNCTION("""COMPUTED_VALUE"""),"")</f>
        <v/>
      </c>
      <c r="M7460" s="16" t="str">
        <f>IFERROR(__xludf.DUMMYFUNCTION("""COMPUTED_VALUE"""),"")</f>
        <v/>
      </c>
      <c r="U7460" s="16" t="s">
        <v>87</v>
      </c>
      <c r="V7460" s="16" t="str">
        <f>IFERROR(__xludf.DUMMYFUNCTION("""COMPUTED_VALUE"""),"")</f>
        <v/>
      </c>
      <c r="W7460" s="16" t="str">
        <f>IFERROR(__xludf.DUMMYFUNCTION("""COMPUTED_VALUE"""),"")</f>
        <v/>
      </c>
      <c r="X7460" s="16" t="str">
        <f>IFERROR(__xludf.DUMMYFUNCTION("""COMPUTED_VALUE"""),"")</f>
        <v/>
      </c>
      <c r="AC7460" s="16" t="str">
        <f>IFERROR(__xludf.DUMMYFUNCTION("""COMPUTED_VALUE"""),"")</f>
        <v/>
      </c>
    </row>
    <row r="7461">
      <c r="A7461" s="16" t="s">
        <v>87</v>
      </c>
      <c r="E7461" s="16" t="str">
        <f>IFERROR(__xludf.DUMMYFUNCTION("""COMPUTED_VALUE"""),"")</f>
        <v/>
      </c>
      <c r="G7461" s="18"/>
      <c r="H7461" s="16" t="s">
        <v>87</v>
      </c>
      <c r="I7461" s="16" t="s">
        <v>87</v>
      </c>
      <c r="J7461" s="19"/>
      <c r="L7461" s="16" t="str">
        <f>IFERROR(__xludf.DUMMYFUNCTION("""COMPUTED_VALUE"""),"")</f>
        <v/>
      </c>
      <c r="M7461" s="16" t="str">
        <f>IFERROR(__xludf.DUMMYFUNCTION("""COMPUTED_VALUE"""),"")</f>
        <v/>
      </c>
      <c r="U7461" s="16" t="s">
        <v>87</v>
      </c>
      <c r="V7461" s="16" t="str">
        <f>IFERROR(__xludf.DUMMYFUNCTION("""COMPUTED_VALUE"""),"")</f>
        <v/>
      </c>
      <c r="W7461" s="16" t="str">
        <f>IFERROR(__xludf.DUMMYFUNCTION("""COMPUTED_VALUE"""),"")</f>
        <v/>
      </c>
      <c r="X7461" s="16" t="str">
        <f>IFERROR(__xludf.DUMMYFUNCTION("""COMPUTED_VALUE"""),"")</f>
        <v/>
      </c>
      <c r="AC7461" s="16" t="str">
        <f>IFERROR(__xludf.DUMMYFUNCTION("""COMPUTED_VALUE"""),"")</f>
        <v/>
      </c>
    </row>
    <row r="7462">
      <c r="A7462" s="16" t="s">
        <v>87</v>
      </c>
      <c r="E7462" s="16" t="str">
        <f>IFERROR(__xludf.DUMMYFUNCTION("""COMPUTED_VALUE"""),"")</f>
        <v/>
      </c>
      <c r="G7462" s="18"/>
      <c r="H7462" s="16" t="s">
        <v>87</v>
      </c>
      <c r="I7462" s="16" t="s">
        <v>87</v>
      </c>
      <c r="J7462" s="19"/>
      <c r="L7462" s="16" t="str">
        <f>IFERROR(__xludf.DUMMYFUNCTION("""COMPUTED_VALUE"""),"")</f>
        <v/>
      </c>
      <c r="M7462" s="16" t="str">
        <f>IFERROR(__xludf.DUMMYFUNCTION("""COMPUTED_VALUE"""),"")</f>
        <v/>
      </c>
      <c r="U7462" s="16" t="s">
        <v>87</v>
      </c>
      <c r="V7462" s="16" t="str">
        <f>IFERROR(__xludf.DUMMYFUNCTION("""COMPUTED_VALUE"""),"")</f>
        <v/>
      </c>
      <c r="W7462" s="16" t="str">
        <f>IFERROR(__xludf.DUMMYFUNCTION("""COMPUTED_VALUE"""),"")</f>
        <v/>
      </c>
      <c r="X7462" s="16" t="str">
        <f>IFERROR(__xludf.DUMMYFUNCTION("""COMPUTED_VALUE"""),"")</f>
        <v/>
      </c>
      <c r="AC7462" s="16" t="str">
        <f>IFERROR(__xludf.DUMMYFUNCTION("""COMPUTED_VALUE"""),"")</f>
        <v/>
      </c>
    </row>
    <row r="7463">
      <c r="A7463" s="16" t="s">
        <v>87</v>
      </c>
      <c r="E7463" s="16" t="str">
        <f>IFERROR(__xludf.DUMMYFUNCTION("""COMPUTED_VALUE"""),"")</f>
        <v/>
      </c>
      <c r="G7463" s="18"/>
      <c r="H7463" s="16" t="s">
        <v>87</v>
      </c>
      <c r="I7463" s="16" t="s">
        <v>87</v>
      </c>
      <c r="J7463" s="19"/>
      <c r="L7463" s="16" t="str">
        <f>IFERROR(__xludf.DUMMYFUNCTION("""COMPUTED_VALUE"""),"")</f>
        <v/>
      </c>
      <c r="M7463" s="16" t="str">
        <f>IFERROR(__xludf.DUMMYFUNCTION("""COMPUTED_VALUE"""),"")</f>
        <v/>
      </c>
      <c r="U7463" s="16" t="s">
        <v>87</v>
      </c>
      <c r="V7463" s="16" t="str">
        <f>IFERROR(__xludf.DUMMYFUNCTION("""COMPUTED_VALUE"""),"")</f>
        <v/>
      </c>
      <c r="W7463" s="16" t="str">
        <f>IFERROR(__xludf.DUMMYFUNCTION("""COMPUTED_VALUE"""),"")</f>
        <v/>
      </c>
      <c r="X7463" s="16" t="str">
        <f>IFERROR(__xludf.DUMMYFUNCTION("""COMPUTED_VALUE"""),"")</f>
        <v/>
      </c>
      <c r="AC7463" s="16" t="str">
        <f>IFERROR(__xludf.DUMMYFUNCTION("""COMPUTED_VALUE"""),"")</f>
        <v/>
      </c>
    </row>
    <row r="7464">
      <c r="A7464" s="16" t="s">
        <v>87</v>
      </c>
      <c r="E7464" s="16" t="str">
        <f>IFERROR(__xludf.DUMMYFUNCTION("""COMPUTED_VALUE"""),"")</f>
        <v/>
      </c>
      <c r="G7464" s="18"/>
      <c r="H7464" s="16" t="s">
        <v>87</v>
      </c>
      <c r="I7464" s="16" t="s">
        <v>87</v>
      </c>
      <c r="J7464" s="19"/>
      <c r="L7464" s="16" t="str">
        <f>IFERROR(__xludf.DUMMYFUNCTION("""COMPUTED_VALUE"""),"")</f>
        <v/>
      </c>
      <c r="M7464" s="16" t="str">
        <f>IFERROR(__xludf.DUMMYFUNCTION("""COMPUTED_VALUE"""),"")</f>
        <v/>
      </c>
      <c r="U7464" s="16" t="s">
        <v>87</v>
      </c>
      <c r="V7464" s="16" t="str">
        <f>IFERROR(__xludf.DUMMYFUNCTION("""COMPUTED_VALUE"""),"")</f>
        <v/>
      </c>
      <c r="W7464" s="16" t="str">
        <f>IFERROR(__xludf.DUMMYFUNCTION("""COMPUTED_VALUE"""),"")</f>
        <v/>
      </c>
      <c r="X7464" s="16" t="str">
        <f>IFERROR(__xludf.DUMMYFUNCTION("""COMPUTED_VALUE"""),"")</f>
        <v/>
      </c>
      <c r="AC7464" s="16" t="str">
        <f>IFERROR(__xludf.DUMMYFUNCTION("""COMPUTED_VALUE"""),"")</f>
        <v/>
      </c>
    </row>
    <row r="7465">
      <c r="A7465" s="16" t="s">
        <v>87</v>
      </c>
      <c r="E7465" s="16" t="str">
        <f>IFERROR(__xludf.DUMMYFUNCTION("""COMPUTED_VALUE"""),"")</f>
        <v/>
      </c>
      <c r="G7465" s="18"/>
      <c r="H7465" s="16" t="s">
        <v>87</v>
      </c>
      <c r="I7465" s="16" t="s">
        <v>87</v>
      </c>
      <c r="J7465" s="19"/>
      <c r="L7465" s="16" t="str">
        <f>IFERROR(__xludf.DUMMYFUNCTION("""COMPUTED_VALUE"""),"")</f>
        <v/>
      </c>
      <c r="M7465" s="16" t="str">
        <f>IFERROR(__xludf.DUMMYFUNCTION("""COMPUTED_VALUE"""),"")</f>
        <v/>
      </c>
      <c r="U7465" s="16" t="s">
        <v>87</v>
      </c>
      <c r="V7465" s="16" t="str">
        <f>IFERROR(__xludf.DUMMYFUNCTION("""COMPUTED_VALUE"""),"")</f>
        <v/>
      </c>
      <c r="W7465" s="16" t="str">
        <f>IFERROR(__xludf.DUMMYFUNCTION("""COMPUTED_VALUE"""),"")</f>
        <v/>
      </c>
      <c r="X7465" s="16" t="str">
        <f>IFERROR(__xludf.DUMMYFUNCTION("""COMPUTED_VALUE"""),"")</f>
        <v/>
      </c>
      <c r="AC7465" s="16" t="str">
        <f>IFERROR(__xludf.DUMMYFUNCTION("""COMPUTED_VALUE"""),"")</f>
        <v/>
      </c>
    </row>
    <row r="7466">
      <c r="A7466" s="16" t="s">
        <v>87</v>
      </c>
      <c r="E7466" s="16" t="str">
        <f>IFERROR(__xludf.DUMMYFUNCTION("""COMPUTED_VALUE"""),"")</f>
        <v/>
      </c>
      <c r="G7466" s="18"/>
      <c r="H7466" s="16" t="s">
        <v>87</v>
      </c>
      <c r="I7466" s="16" t="s">
        <v>87</v>
      </c>
      <c r="J7466" s="19"/>
      <c r="L7466" s="16" t="str">
        <f>IFERROR(__xludf.DUMMYFUNCTION("""COMPUTED_VALUE"""),"")</f>
        <v/>
      </c>
      <c r="M7466" s="16" t="str">
        <f>IFERROR(__xludf.DUMMYFUNCTION("""COMPUTED_VALUE"""),"")</f>
        <v/>
      </c>
      <c r="U7466" s="16" t="s">
        <v>87</v>
      </c>
      <c r="V7466" s="16" t="str">
        <f>IFERROR(__xludf.DUMMYFUNCTION("""COMPUTED_VALUE"""),"")</f>
        <v/>
      </c>
      <c r="W7466" s="16" t="str">
        <f>IFERROR(__xludf.DUMMYFUNCTION("""COMPUTED_VALUE"""),"")</f>
        <v/>
      </c>
      <c r="X7466" s="16" t="str">
        <f>IFERROR(__xludf.DUMMYFUNCTION("""COMPUTED_VALUE"""),"")</f>
        <v/>
      </c>
      <c r="AC7466" s="16" t="str">
        <f>IFERROR(__xludf.DUMMYFUNCTION("""COMPUTED_VALUE"""),"")</f>
        <v/>
      </c>
    </row>
    <row r="7467">
      <c r="A7467" s="16" t="s">
        <v>87</v>
      </c>
      <c r="E7467" s="16" t="str">
        <f>IFERROR(__xludf.DUMMYFUNCTION("""COMPUTED_VALUE"""),"")</f>
        <v/>
      </c>
      <c r="G7467" s="18"/>
      <c r="H7467" s="16" t="s">
        <v>87</v>
      </c>
      <c r="I7467" s="16" t="s">
        <v>87</v>
      </c>
      <c r="J7467" s="19"/>
      <c r="L7467" s="16" t="str">
        <f>IFERROR(__xludf.DUMMYFUNCTION("""COMPUTED_VALUE"""),"")</f>
        <v/>
      </c>
      <c r="M7467" s="16" t="str">
        <f>IFERROR(__xludf.DUMMYFUNCTION("""COMPUTED_VALUE"""),"")</f>
        <v/>
      </c>
      <c r="U7467" s="16" t="s">
        <v>87</v>
      </c>
      <c r="V7467" s="16" t="str">
        <f>IFERROR(__xludf.DUMMYFUNCTION("""COMPUTED_VALUE"""),"")</f>
        <v/>
      </c>
      <c r="W7467" s="16" t="str">
        <f>IFERROR(__xludf.DUMMYFUNCTION("""COMPUTED_VALUE"""),"")</f>
        <v/>
      </c>
      <c r="X7467" s="16" t="str">
        <f>IFERROR(__xludf.DUMMYFUNCTION("""COMPUTED_VALUE"""),"")</f>
        <v/>
      </c>
      <c r="AC7467" s="16" t="str">
        <f>IFERROR(__xludf.DUMMYFUNCTION("""COMPUTED_VALUE"""),"")</f>
        <v/>
      </c>
    </row>
    <row r="7468">
      <c r="A7468" s="16" t="s">
        <v>87</v>
      </c>
      <c r="E7468" s="16" t="str">
        <f>IFERROR(__xludf.DUMMYFUNCTION("""COMPUTED_VALUE"""),"")</f>
        <v/>
      </c>
      <c r="G7468" s="18"/>
      <c r="H7468" s="16" t="s">
        <v>87</v>
      </c>
      <c r="I7468" s="16" t="s">
        <v>87</v>
      </c>
      <c r="J7468" s="19"/>
      <c r="L7468" s="16" t="str">
        <f>IFERROR(__xludf.DUMMYFUNCTION("""COMPUTED_VALUE"""),"")</f>
        <v/>
      </c>
      <c r="M7468" s="16" t="str">
        <f>IFERROR(__xludf.DUMMYFUNCTION("""COMPUTED_VALUE"""),"")</f>
        <v/>
      </c>
      <c r="U7468" s="16" t="s">
        <v>87</v>
      </c>
      <c r="V7468" s="16" t="str">
        <f>IFERROR(__xludf.DUMMYFUNCTION("""COMPUTED_VALUE"""),"")</f>
        <v/>
      </c>
      <c r="W7468" s="16" t="str">
        <f>IFERROR(__xludf.DUMMYFUNCTION("""COMPUTED_VALUE"""),"")</f>
        <v/>
      </c>
      <c r="X7468" s="16" t="str">
        <f>IFERROR(__xludf.DUMMYFUNCTION("""COMPUTED_VALUE"""),"")</f>
        <v/>
      </c>
      <c r="AC7468" s="16" t="str">
        <f>IFERROR(__xludf.DUMMYFUNCTION("""COMPUTED_VALUE"""),"")</f>
        <v/>
      </c>
    </row>
    <row r="7469">
      <c r="A7469" s="16" t="s">
        <v>87</v>
      </c>
      <c r="E7469" s="16" t="str">
        <f>IFERROR(__xludf.DUMMYFUNCTION("""COMPUTED_VALUE"""),"")</f>
        <v/>
      </c>
      <c r="G7469" s="18"/>
      <c r="H7469" s="16" t="s">
        <v>87</v>
      </c>
      <c r="I7469" s="16" t="s">
        <v>87</v>
      </c>
      <c r="J7469" s="19"/>
      <c r="L7469" s="16" t="str">
        <f>IFERROR(__xludf.DUMMYFUNCTION("""COMPUTED_VALUE"""),"")</f>
        <v/>
      </c>
      <c r="M7469" s="16" t="str">
        <f>IFERROR(__xludf.DUMMYFUNCTION("""COMPUTED_VALUE"""),"")</f>
        <v/>
      </c>
      <c r="U7469" s="16" t="s">
        <v>87</v>
      </c>
      <c r="V7469" s="16" t="str">
        <f>IFERROR(__xludf.DUMMYFUNCTION("""COMPUTED_VALUE"""),"")</f>
        <v/>
      </c>
      <c r="W7469" s="16" t="str">
        <f>IFERROR(__xludf.DUMMYFUNCTION("""COMPUTED_VALUE"""),"")</f>
        <v/>
      </c>
      <c r="X7469" s="16" t="str">
        <f>IFERROR(__xludf.DUMMYFUNCTION("""COMPUTED_VALUE"""),"")</f>
        <v/>
      </c>
      <c r="AC7469" s="16" t="str">
        <f>IFERROR(__xludf.DUMMYFUNCTION("""COMPUTED_VALUE"""),"")</f>
        <v/>
      </c>
    </row>
    <row r="7470">
      <c r="A7470" s="16" t="s">
        <v>87</v>
      </c>
      <c r="E7470" s="16" t="str">
        <f>IFERROR(__xludf.DUMMYFUNCTION("""COMPUTED_VALUE"""),"")</f>
        <v/>
      </c>
      <c r="G7470" s="18"/>
      <c r="H7470" s="16" t="s">
        <v>87</v>
      </c>
      <c r="I7470" s="16" t="s">
        <v>87</v>
      </c>
      <c r="J7470" s="19"/>
      <c r="L7470" s="16" t="str">
        <f>IFERROR(__xludf.DUMMYFUNCTION("""COMPUTED_VALUE"""),"")</f>
        <v/>
      </c>
      <c r="M7470" s="16" t="str">
        <f>IFERROR(__xludf.DUMMYFUNCTION("""COMPUTED_VALUE"""),"")</f>
        <v/>
      </c>
      <c r="U7470" s="16" t="s">
        <v>87</v>
      </c>
      <c r="V7470" s="16" t="str">
        <f>IFERROR(__xludf.DUMMYFUNCTION("""COMPUTED_VALUE"""),"")</f>
        <v/>
      </c>
      <c r="W7470" s="16" t="str">
        <f>IFERROR(__xludf.DUMMYFUNCTION("""COMPUTED_VALUE"""),"")</f>
        <v/>
      </c>
      <c r="X7470" s="16" t="str">
        <f>IFERROR(__xludf.DUMMYFUNCTION("""COMPUTED_VALUE"""),"")</f>
        <v/>
      </c>
      <c r="AC7470" s="16" t="str">
        <f>IFERROR(__xludf.DUMMYFUNCTION("""COMPUTED_VALUE"""),"")</f>
        <v/>
      </c>
    </row>
    <row r="7471">
      <c r="A7471" s="16" t="s">
        <v>87</v>
      </c>
      <c r="E7471" s="16" t="str">
        <f>IFERROR(__xludf.DUMMYFUNCTION("""COMPUTED_VALUE"""),"")</f>
        <v/>
      </c>
      <c r="G7471" s="18"/>
      <c r="H7471" s="16" t="s">
        <v>87</v>
      </c>
      <c r="I7471" s="16" t="s">
        <v>87</v>
      </c>
      <c r="J7471" s="19"/>
      <c r="L7471" s="16" t="str">
        <f>IFERROR(__xludf.DUMMYFUNCTION("""COMPUTED_VALUE"""),"")</f>
        <v/>
      </c>
      <c r="M7471" s="16" t="str">
        <f>IFERROR(__xludf.DUMMYFUNCTION("""COMPUTED_VALUE"""),"")</f>
        <v/>
      </c>
      <c r="U7471" s="16" t="s">
        <v>87</v>
      </c>
      <c r="V7471" s="16" t="str">
        <f>IFERROR(__xludf.DUMMYFUNCTION("""COMPUTED_VALUE"""),"")</f>
        <v/>
      </c>
      <c r="W7471" s="16" t="str">
        <f>IFERROR(__xludf.DUMMYFUNCTION("""COMPUTED_VALUE"""),"")</f>
        <v/>
      </c>
      <c r="X7471" s="16" t="str">
        <f>IFERROR(__xludf.DUMMYFUNCTION("""COMPUTED_VALUE"""),"")</f>
        <v/>
      </c>
      <c r="AC7471" s="16" t="str">
        <f>IFERROR(__xludf.DUMMYFUNCTION("""COMPUTED_VALUE"""),"")</f>
        <v/>
      </c>
    </row>
    <row r="7472">
      <c r="A7472" s="16" t="s">
        <v>87</v>
      </c>
      <c r="E7472" s="16" t="str">
        <f>IFERROR(__xludf.DUMMYFUNCTION("""COMPUTED_VALUE"""),"")</f>
        <v/>
      </c>
      <c r="G7472" s="18"/>
      <c r="H7472" s="16" t="s">
        <v>87</v>
      </c>
      <c r="I7472" s="16" t="s">
        <v>87</v>
      </c>
      <c r="J7472" s="19"/>
      <c r="L7472" s="16" t="str">
        <f>IFERROR(__xludf.DUMMYFUNCTION("""COMPUTED_VALUE"""),"")</f>
        <v/>
      </c>
      <c r="M7472" s="16" t="str">
        <f>IFERROR(__xludf.DUMMYFUNCTION("""COMPUTED_VALUE"""),"")</f>
        <v/>
      </c>
      <c r="U7472" s="16" t="s">
        <v>87</v>
      </c>
      <c r="V7472" s="16" t="str">
        <f>IFERROR(__xludf.DUMMYFUNCTION("""COMPUTED_VALUE"""),"")</f>
        <v/>
      </c>
      <c r="W7472" s="16" t="str">
        <f>IFERROR(__xludf.DUMMYFUNCTION("""COMPUTED_VALUE"""),"")</f>
        <v/>
      </c>
      <c r="X7472" s="16" t="str">
        <f>IFERROR(__xludf.DUMMYFUNCTION("""COMPUTED_VALUE"""),"")</f>
        <v/>
      </c>
      <c r="AC7472" s="16" t="str">
        <f>IFERROR(__xludf.DUMMYFUNCTION("""COMPUTED_VALUE"""),"")</f>
        <v/>
      </c>
    </row>
    <row r="7473">
      <c r="A7473" s="16" t="s">
        <v>87</v>
      </c>
      <c r="E7473" s="16" t="str">
        <f>IFERROR(__xludf.DUMMYFUNCTION("""COMPUTED_VALUE"""),"")</f>
        <v/>
      </c>
      <c r="G7473" s="18"/>
      <c r="H7473" s="16" t="s">
        <v>87</v>
      </c>
      <c r="I7473" s="16" t="s">
        <v>87</v>
      </c>
      <c r="J7473" s="19"/>
      <c r="L7473" s="16" t="str">
        <f>IFERROR(__xludf.DUMMYFUNCTION("""COMPUTED_VALUE"""),"")</f>
        <v/>
      </c>
      <c r="M7473" s="16" t="str">
        <f>IFERROR(__xludf.DUMMYFUNCTION("""COMPUTED_VALUE"""),"")</f>
        <v/>
      </c>
      <c r="U7473" s="16" t="s">
        <v>87</v>
      </c>
      <c r="V7473" s="16" t="str">
        <f>IFERROR(__xludf.DUMMYFUNCTION("""COMPUTED_VALUE"""),"")</f>
        <v/>
      </c>
      <c r="W7473" s="16" t="str">
        <f>IFERROR(__xludf.DUMMYFUNCTION("""COMPUTED_VALUE"""),"")</f>
        <v/>
      </c>
      <c r="X7473" s="16" t="str">
        <f>IFERROR(__xludf.DUMMYFUNCTION("""COMPUTED_VALUE"""),"")</f>
        <v/>
      </c>
      <c r="AC7473" s="16" t="str">
        <f>IFERROR(__xludf.DUMMYFUNCTION("""COMPUTED_VALUE"""),"")</f>
        <v/>
      </c>
    </row>
    <row r="7474">
      <c r="A7474" s="16" t="s">
        <v>87</v>
      </c>
      <c r="E7474" s="16" t="str">
        <f>IFERROR(__xludf.DUMMYFUNCTION("""COMPUTED_VALUE"""),"")</f>
        <v/>
      </c>
      <c r="G7474" s="18"/>
      <c r="H7474" s="16" t="s">
        <v>87</v>
      </c>
      <c r="I7474" s="16" t="s">
        <v>87</v>
      </c>
      <c r="J7474" s="19"/>
      <c r="L7474" s="16" t="str">
        <f>IFERROR(__xludf.DUMMYFUNCTION("""COMPUTED_VALUE"""),"")</f>
        <v/>
      </c>
      <c r="M7474" s="16" t="str">
        <f>IFERROR(__xludf.DUMMYFUNCTION("""COMPUTED_VALUE"""),"")</f>
        <v/>
      </c>
      <c r="U7474" s="16" t="s">
        <v>87</v>
      </c>
      <c r="V7474" s="16" t="str">
        <f>IFERROR(__xludf.DUMMYFUNCTION("""COMPUTED_VALUE"""),"")</f>
        <v/>
      </c>
      <c r="W7474" s="16" t="str">
        <f>IFERROR(__xludf.DUMMYFUNCTION("""COMPUTED_VALUE"""),"")</f>
        <v/>
      </c>
      <c r="X7474" s="16" t="str">
        <f>IFERROR(__xludf.DUMMYFUNCTION("""COMPUTED_VALUE"""),"")</f>
        <v/>
      </c>
      <c r="AC7474" s="16" t="str">
        <f>IFERROR(__xludf.DUMMYFUNCTION("""COMPUTED_VALUE"""),"")</f>
        <v/>
      </c>
    </row>
    <row r="7475">
      <c r="A7475" s="16" t="s">
        <v>87</v>
      </c>
      <c r="E7475" s="16" t="str">
        <f>IFERROR(__xludf.DUMMYFUNCTION("""COMPUTED_VALUE"""),"")</f>
        <v/>
      </c>
      <c r="G7475" s="18"/>
      <c r="H7475" s="16" t="s">
        <v>87</v>
      </c>
      <c r="I7475" s="16" t="s">
        <v>87</v>
      </c>
      <c r="J7475" s="19"/>
      <c r="L7475" s="16" t="str">
        <f>IFERROR(__xludf.DUMMYFUNCTION("""COMPUTED_VALUE"""),"")</f>
        <v/>
      </c>
      <c r="M7475" s="16" t="str">
        <f>IFERROR(__xludf.DUMMYFUNCTION("""COMPUTED_VALUE"""),"")</f>
        <v/>
      </c>
      <c r="U7475" s="16" t="s">
        <v>87</v>
      </c>
      <c r="V7475" s="16" t="str">
        <f>IFERROR(__xludf.DUMMYFUNCTION("""COMPUTED_VALUE"""),"")</f>
        <v/>
      </c>
      <c r="W7475" s="16" t="str">
        <f>IFERROR(__xludf.DUMMYFUNCTION("""COMPUTED_VALUE"""),"")</f>
        <v/>
      </c>
      <c r="X7475" s="16" t="str">
        <f>IFERROR(__xludf.DUMMYFUNCTION("""COMPUTED_VALUE"""),"")</f>
        <v/>
      </c>
      <c r="AC7475" s="16" t="str">
        <f>IFERROR(__xludf.DUMMYFUNCTION("""COMPUTED_VALUE"""),"")</f>
        <v/>
      </c>
    </row>
    <row r="7476">
      <c r="A7476" s="16" t="s">
        <v>87</v>
      </c>
      <c r="E7476" s="16" t="str">
        <f>IFERROR(__xludf.DUMMYFUNCTION("""COMPUTED_VALUE"""),"")</f>
        <v/>
      </c>
      <c r="G7476" s="18"/>
      <c r="H7476" s="16" t="s">
        <v>87</v>
      </c>
      <c r="I7476" s="16" t="s">
        <v>87</v>
      </c>
      <c r="J7476" s="19"/>
      <c r="L7476" s="16" t="str">
        <f>IFERROR(__xludf.DUMMYFUNCTION("""COMPUTED_VALUE"""),"")</f>
        <v/>
      </c>
      <c r="M7476" s="16" t="str">
        <f>IFERROR(__xludf.DUMMYFUNCTION("""COMPUTED_VALUE"""),"")</f>
        <v/>
      </c>
      <c r="U7476" s="16" t="s">
        <v>87</v>
      </c>
      <c r="V7476" s="16" t="str">
        <f>IFERROR(__xludf.DUMMYFUNCTION("""COMPUTED_VALUE"""),"")</f>
        <v/>
      </c>
      <c r="W7476" s="16" t="str">
        <f>IFERROR(__xludf.DUMMYFUNCTION("""COMPUTED_VALUE"""),"")</f>
        <v/>
      </c>
      <c r="X7476" s="16" t="str">
        <f>IFERROR(__xludf.DUMMYFUNCTION("""COMPUTED_VALUE"""),"")</f>
        <v/>
      </c>
      <c r="AC7476" s="16" t="str">
        <f>IFERROR(__xludf.DUMMYFUNCTION("""COMPUTED_VALUE"""),"")</f>
        <v/>
      </c>
    </row>
    <row r="7477">
      <c r="A7477" s="16" t="s">
        <v>87</v>
      </c>
      <c r="E7477" s="16" t="str">
        <f>IFERROR(__xludf.DUMMYFUNCTION("""COMPUTED_VALUE"""),"")</f>
        <v/>
      </c>
      <c r="G7477" s="18"/>
      <c r="H7477" s="16" t="s">
        <v>87</v>
      </c>
      <c r="I7477" s="16" t="s">
        <v>87</v>
      </c>
      <c r="J7477" s="19"/>
      <c r="L7477" s="16" t="str">
        <f>IFERROR(__xludf.DUMMYFUNCTION("""COMPUTED_VALUE"""),"")</f>
        <v/>
      </c>
      <c r="M7477" s="16" t="str">
        <f>IFERROR(__xludf.DUMMYFUNCTION("""COMPUTED_VALUE"""),"")</f>
        <v/>
      </c>
      <c r="U7477" s="16" t="s">
        <v>87</v>
      </c>
      <c r="V7477" s="16" t="str">
        <f>IFERROR(__xludf.DUMMYFUNCTION("""COMPUTED_VALUE"""),"")</f>
        <v/>
      </c>
      <c r="W7477" s="16" t="str">
        <f>IFERROR(__xludf.DUMMYFUNCTION("""COMPUTED_VALUE"""),"")</f>
        <v/>
      </c>
      <c r="X7477" s="16" t="str">
        <f>IFERROR(__xludf.DUMMYFUNCTION("""COMPUTED_VALUE"""),"")</f>
        <v/>
      </c>
      <c r="AC7477" s="16" t="str">
        <f>IFERROR(__xludf.DUMMYFUNCTION("""COMPUTED_VALUE"""),"")</f>
        <v/>
      </c>
    </row>
    <row r="7478">
      <c r="A7478" s="16" t="s">
        <v>87</v>
      </c>
      <c r="E7478" s="16" t="str">
        <f>IFERROR(__xludf.DUMMYFUNCTION("""COMPUTED_VALUE"""),"")</f>
        <v/>
      </c>
      <c r="G7478" s="18"/>
      <c r="H7478" s="16" t="s">
        <v>87</v>
      </c>
      <c r="I7478" s="16" t="s">
        <v>87</v>
      </c>
      <c r="J7478" s="19"/>
      <c r="L7478" s="16" t="str">
        <f>IFERROR(__xludf.DUMMYFUNCTION("""COMPUTED_VALUE"""),"")</f>
        <v/>
      </c>
      <c r="M7478" s="16" t="str">
        <f>IFERROR(__xludf.DUMMYFUNCTION("""COMPUTED_VALUE"""),"")</f>
        <v/>
      </c>
      <c r="U7478" s="16" t="s">
        <v>87</v>
      </c>
      <c r="V7478" s="16" t="str">
        <f>IFERROR(__xludf.DUMMYFUNCTION("""COMPUTED_VALUE"""),"")</f>
        <v/>
      </c>
      <c r="W7478" s="16" t="str">
        <f>IFERROR(__xludf.DUMMYFUNCTION("""COMPUTED_VALUE"""),"")</f>
        <v/>
      </c>
      <c r="X7478" s="16" t="str">
        <f>IFERROR(__xludf.DUMMYFUNCTION("""COMPUTED_VALUE"""),"")</f>
        <v/>
      </c>
      <c r="AC7478" s="16" t="str">
        <f>IFERROR(__xludf.DUMMYFUNCTION("""COMPUTED_VALUE"""),"")</f>
        <v/>
      </c>
    </row>
    <row r="7479">
      <c r="A7479" s="16" t="s">
        <v>87</v>
      </c>
      <c r="E7479" s="16" t="str">
        <f>IFERROR(__xludf.DUMMYFUNCTION("""COMPUTED_VALUE"""),"")</f>
        <v/>
      </c>
      <c r="G7479" s="18"/>
      <c r="H7479" s="16" t="s">
        <v>87</v>
      </c>
      <c r="I7479" s="16" t="s">
        <v>87</v>
      </c>
      <c r="J7479" s="19"/>
      <c r="L7479" s="16" t="str">
        <f>IFERROR(__xludf.DUMMYFUNCTION("""COMPUTED_VALUE"""),"")</f>
        <v/>
      </c>
      <c r="M7479" s="16" t="str">
        <f>IFERROR(__xludf.DUMMYFUNCTION("""COMPUTED_VALUE"""),"")</f>
        <v/>
      </c>
      <c r="U7479" s="16" t="s">
        <v>87</v>
      </c>
      <c r="V7479" s="16" t="str">
        <f>IFERROR(__xludf.DUMMYFUNCTION("""COMPUTED_VALUE"""),"")</f>
        <v/>
      </c>
      <c r="W7479" s="16" t="str">
        <f>IFERROR(__xludf.DUMMYFUNCTION("""COMPUTED_VALUE"""),"")</f>
        <v/>
      </c>
      <c r="X7479" s="16" t="str">
        <f>IFERROR(__xludf.DUMMYFUNCTION("""COMPUTED_VALUE"""),"")</f>
        <v/>
      </c>
      <c r="AC7479" s="16" t="str">
        <f>IFERROR(__xludf.DUMMYFUNCTION("""COMPUTED_VALUE"""),"")</f>
        <v/>
      </c>
    </row>
    <row r="7480">
      <c r="A7480" s="16" t="s">
        <v>87</v>
      </c>
      <c r="E7480" s="16" t="str">
        <f>IFERROR(__xludf.DUMMYFUNCTION("""COMPUTED_VALUE"""),"")</f>
        <v/>
      </c>
      <c r="G7480" s="18"/>
      <c r="H7480" s="16" t="s">
        <v>87</v>
      </c>
      <c r="I7480" s="16" t="s">
        <v>87</v>
      </c>
      <c r="J7480" s="19"/>
      <c r="L7480" s="16" t="str">
        <f>IFERROR(__xludf.DUMMYFUNCTION("""COMPUTED_VALUE"""),"")</f>
        <v/>
      </c>
      <c r="M7480" s="16" t="str">
        <f>IFERROR(__xludf.DUMMYFUNCTION("""COMPUTED_VALUE"""),"")</f>
        <v/>
      </c>
      <c r="U7480" s="16" t="s">
        <v>87</v>
      </c>
      <c r="V7480" s="16" t="str">
        <f>IFERROR(__xludf.DUMMYFUNCTION("""COMPUTED_VALUE"""),"")</f>
        <v/>
      </c>
      <c r="W7480" s="16" t="str">
        <f>IFERROR(__xludf.DUMMYFUNCTION("""COMPUTED_VALUE"""),"")</f>
        <v/>
      </c>
      <c r="X7480" s="16" t="str">
        <f>IFERROR(__xludf.DUMMYFUNCTION("""COMPUTED_VALUE"""),"")</f>
        <v/>
      </c>
      <c r="AC7480" s="16" t="str">
        <f>IFERROR(__xludf.DUMMYFUNCTION("""COMPUTED_VALUE"""),"")</f>
        <v/>
      </c>
    </row>
    <row r="7481">
      <c r="A7481" s="16" t="s">
        <v>87</v>
      </c>
      <c r="E7481" s="16" t="str">
        <f>IFERROR(__xludf.DUMMYFUNCTION("""COMPUTED_VALUE"""),"")</f>
        <v/>
      </c>
      <c r="G7481" s="18"/>
      <c r="H7481" s="16" t="s">
        <v>87</v>
      </c>
      <c r="I7481" s="16" t="s">
        <v>87</v>
      </c>
      <c r="J7481" s="19"/>
      <c r="L7481" s="16" t="str">
        <f>IFERROR(__xludf.DUMMYFUNCTION("""COMPUTED_VALUE"""),"")</f>
        <v/>
      </c>
      <c r="M7481" s="16" t="str">
        <f>IFERROR(__xludf.DUMMYFUNCTION("""COMPUTED_VALUE"""),"")</f>
        <v/>
      </c>
      <c r="U7481" s="16" t="s">
        <v>87</v>
      </c>
      <c r="V7481" s="16" t="str">
        <f>IFERROR(__xludf.DUMMYFUNCTION("""COMPUTED_VALUE"""),"")</f>
        <v/>
      </c>
      <c r="W7481" s="16" t="str">
        <f>IFERROR(__xludf.DUMMYFUNCTION("""COMPUTED_VALUE"""),"")</f>
        <v/>
      </c>
      <c r="X7481" s="16" t="str">
        <f>IFERROR(__xludf.DUMMYFUNCTION("""COMPUTED_VALUE"""),"")</f>
        <v/>
      </c>
      <c r="AC7481" s="16" t="str">
        <f>IFERROR(__xludf.DUMMYFUNCTION("""COMPUTED_VALUE"""),"")</f>
        <v/>
      </c>
    </row>
    <row r="7482">
      <c r="A7482" s="16" t="s">
        <v>87</v>
      </c>
      <c r="E7482" s="16" t="str">
        <f>IFERROR(__xludf.DUMMYFUNCTION("""COMPUTED_VALUE"""),"")</f>
        <v/>
      </c>
      <c r="G7482" s="18"/>
      <c r="H7482" s="16" t="s">
        <v>87</v>
      </c>
      <c r="I7482" s="16" t="s">
        <v>87</v>
      </c>
      <c r="J7482" s="19"/>
      <c r="L7482" s="16" t="str">
        <f>IFERROR(__xludf.DUMMYFUNCTION("""COMPUTED_VALUE"""),"")</f>
        <v/>
      </c>
      <c r="M7482" s="16" t="str">
        <f>IFERROR(__xludf.DUMMYFUNCTION("""COMPUTED_VALUE"""),"")</f>
        <v/>
      </c>
      <c r="U7482" s="16" t="s">
        <v>87</v>
      </c>
      <c r="V7482" s="16" t="str">
        <f>IFERROR(__xludf.DUMMYFUNCTION("""COMPUTED_VALUE"""),"")</f>
        <v/>
      </c>
      <c r="W7482" s="16" t="str">
        <f>IFERROR(__xludf.DUMMYFUNCTION("""COMPUTED_VALUE"""),"")</f>
        <v/>
      </c>
      <c r="X7482" s="16" t="str">
        <f>IFERROR(__xludf.DUMMYFUNCTION("""COMPUTED_VALUE"""),"")</f>
        <v/>
      </c>
      <c r="AC7482" s="16" t="str">
        <f>IFERROR(__xludf.DUMMYFUNCTION("""COMPUTED_VALUE"""),"")</f>
        <v/>
      </c>
    </row>
    <row r="7483">
      <c r="A7483" s="16" t="s">
        <v>87</v>
      </c>
      <c r="E7483" s="16" t="str">
        <f>IFERROR(__xludf.DUMMYFUNCTION("""COMPUTED_VALUE"""),"")</f>
        <v/>
      </c>
      <c r="G7483" s="18"/>
      <c r="H7483" s="16" t="s">
        <v>87</v>
      </c>
      <c r="I7483" s="16" t="s">
        <v>87</v>
      </c>
      <c r="J7483" s="19"/>
      <c r="L7483" s="16" t="str">
        <f>IFERROR(__xludf.DUMMYFUNCTION("""COMPUTED_VALUE"""),"")</f>
        <v/>
      </c>
      <c r="M7483" s="16" t="str">
        <f>IFERROR(__xludf.DUMMYFUNCTION("""COMPUTED_VALUE"""),"")</f>
        <v/>
      </c>
      <c r="U7483" s="16" t="s">
        <v>87</v>
      </c>
      <c r="V7483" s="16" t="str">
        <f>IFERROR(__xludf.DUMMYFUNCTION("""COMPUTED_VALUE"""),"")</f>
        <v/>
      </c>
      <c r="W7483" s="16" t="str">
        <f>IFERROR(__xludf.DUMMYFUNCTION("""COMPUTED_VALUE"""),"")</f>
        <v/>
      </c>
      <c r="X7483" s="16" t="str">
        <f>IFERROR(__xludf.DUMMYFUNCTION("""COMPUTED_VALUE"""),"")</f>
        <v/>
      </c>
      <c r="AC7483" s="16" t="str">
        <f>IFERROR(__xludf.DUMMYFUNCTION("""COMPUTED_VALUE"""),"")</f>
        <v/>
      </c>
    </row>
    <row r="7484">
      <c r="A7484" s="16" t="s">
        <v>87</v>
      </c>
      <c r="E7484" s="16" t="str">
        <f>IFERROR(__xludf.DUMMYFUNCTION("""COMPUTED_VALUE"""),"")</f>
        <v/>
      </c>
      <c r="G7484" s="18"/>
      <c r="H7484" s="16" t="s">
        <v>87</v>
      </c>
      <c r="I7484" s="16" t="s">
        <v>87</v>
      </c>
      <c r="J7484" s="19"/>
      <c r="L7484" s="16" t="str">
        <f>IFERROR(__xludf.DUMMYFUNCTION("""COMPUTED_VALUE"""),"")</f>
        <v/>
      </c>
      <c r="M7484" s="16" t="str">
        <f>IFERROR(__xludf.DUMMYFUNCTION("""COMPUTED_VALUE"""),"")</f>
        <v/>
      </c>
      <c r="U7484" s="16" t="s">
        <v>87</v>
      </c>
      <c r="V7484" s="16" t="str">
        <f>IFERROR(__xludf.DUMMYFUNCTION("""COMPUTED_VALUE"""),"")</f>
        <v/>
      </c>
      <c r="W7484" s="16" t="str">
        <f>IFERROR(__xludf.DUMMYFUNCTION("""COMPUTED_VALUE"""),"")</f>
        <v/>
      </c>
      <c r="X7484" s="16" t="str">
        <f>IFERROR(__xludf.DUMMYFUNCTION("""COMPUTED_VALUE"""),"")</f>
        <v/>
      </c>
      <c r="AC7484" s="16" t="str">
        <f>IFERROR(__xludf.DUMMYFUNCTION("""COMPUTED_VALUE"""),"")</f>
        <v/>
      </c>
    </row>
    <row r="7485">
      <c r="A7485" s="16" t="s">
        <v>87</v>
      </c>
      <c r="E7485" s="16" t="str">
        <f>IFERROR(__xludf.DUMMYFUNCTION("""COMPUTED_VALUE"""),"")</f>
        <v/>
      </c>
      <c r="G7485" s="18"/>
      <c r="H7485" s="16" t="s">
        <v>87</v>
      </c>
      <c r="I7485" s="16" t="s">
        <v>87</v>
      </c>
      <c r="J7485" s="19"/>
      <c r="L7485" s="16" t="str">
        <f>IFERROR(__xludf.DUMMYFUNCTION("""COMPUTED_VALUE"""),"")</f>
        <v/>
      </c>
      <c r="M7485" s="16" t="str">
        <f>IFERROR(__xludf.DUMMYFUNCTION("""COMPUTED_VALUE"""),"")</f>
        <v/>
      </c>
      <c r="U7485" s="16" t="s">
        <v>87</v>
      </c>
      <c r="V7485" s="16" t="str">
        <f>IFERROR(__xludf.DUMMYFUNCTION("""COMPUTED_VALUE"""),"")</f>
        <v/>
      </c>
      <c r="W7485" s="16" t="str">
        <f>IFERROR(__xludf.DUMMYFUNCTION("""COMPUTED_VALUE"""),"")</f>
        <v/>
      </c>
      <c r="X7485" s="16" t="str">
        <f>IFERROR(__xludf.DUMMYFUNCTION("""COMPUTED_VALUE"""),"")</f>
        <v/>
      </c>
      <c r="AC7485" s="16" t="str">
        <f>IFERROR(__xludf.DUMMYFUNCTION("""COMPUTED_VALUE"""),"")</f>
        <v/>
      </c>
    </row>
    <row r="7486">
      <c r="A7486" s="16" t="s">
        <v>87</v>
      </c>
      <c r="E7486" s="16" t="str">
        <f>IFERROR(__xludf.DUMMYFUNCTION("""COMPUTED_VALUE"""),"")</f>
        <v/>
      </c>
      <c r="G7486" s="18"/>
      <c r="H7486" s="16" t="s">
        <v>87</v>
      </c>
      <c r="I7486" s="16" t="s">
        <v>87</v>
      </c>
      <c r="J7486" s="19"/>
      <c r="L7486" s="16" t="str">
        <f>IFERROR(__xludf.DUMMYFUNCTION("""COMPUTED_VALUE"""),"")</f>
        <v/>
      </c>
      <c r="M7486" s="16" t="str">
        <f>IFERROR(__xludf.DUMMYFUNCTION("""COMPUTED_VALUE"""),"")</f>
        <v/>
      </c>
      <c r="U7486" s="16" t="s">
        <v>87</v>
      </c>
      <c r="V7486" s="16" t="str">
        <f>IFERROR(__xludf.DUMMYFUNCTION("""COMPUTED_VALUE"""),"")</f>
        <v/>
      </c>
      <c r="W7486" s="16" t="str">
        <f>IFERROR(__xludf.DUMMYFUNCTION("""COMPUTED_VALUE"""),"")</f>
        <v/>
      </c>
      <c r="X7486" s="16" t="str">
        <f>IFERROR(__xludf.DUMMYFUNCTION("""COMPUTED_VALUE"""),"")</f>
        <v/>
      </c>
      <c r="AC7486" s="16" t="str">
        <f>IFERROR(__xludf.DUMMYFUNCTION("""COMPUTED_VALUE"""),"")</f>
        <v/>
      </c>
    </row>
    <row r="7487">
      <c r="A7487" s="16" t="s">
        <v>87</v>
      </c>
      <c r="E7487" s="16" t="str">
        <f>IFERROR(__xludf.DUMMYFUNCTION("""COMPUTED_VALUE"""),"")</f>
        <v/>
      </c>
      <c r="G7487" s="18"/>
      <c r="H7487" s="16" t="s">
        <v>87</v>
      </c>
      <c r="I7487" s="16" t="s">
        <v>87</v>
      </c>
      <c r="J7487" s="19"/>
      <c r="L7487" s="16" t="str">
        <f>IFERROR(__xludf.DUMMYFUNCTION("""COMPUTED_VALUE"""),"")</f>
        <v/>
      </c>
      <c r="M7487" s="16" t="str">
        <f>IFERROR(__xludf.DUMMYFUNCTION("""COMPUTED_VALUE"""),"")</f>
        <v/>
      </c>
      <c r="U7487" s="16" t="s">
        <v>87</v>
      </c>
      <c r="V7487" s="16" t="str">
        <f>IFERROR(__xludf.DUMMYFUNCTION("""COMPUTED_VALUE"""),"")</f>
        <v/>
      </c>
      <c r="W7487" s="16" t="str">
        <f>IFERROR(__xludf.DUMMYFUNCTION("""COMPUTED_VALUE"""),"")</f>
        <v/>
      </c>
      <c r="X7487" s="16" t="str">
        <f>IFERROR(__xludf.DUMMYFUNCTION("""COMPUTED_VALUE"""),"")</f>
        <v/>
      </c>
      <c r="AC7487" s="16" t="str">
        <f>IFERROR(__xludf.DUMMYFUNCTION("""COMPUTED_VALUE"""),"")</f>
        <v/>
      </c>
    </row>
    <row r="7488">
      <c r="A7488" s="16" t="s">
        <v>87</v>
      </c>
      <c r="E7488" s="16" t="str">
        <f>IFERROR(__xludf.DUMMYFUNCTION("""COMPUTED_VALUE"""),"")</f>
        <v/>
      </c>
      <c r="G7488" s="18"/>
      <c r="H7488" s="16" t="s">
        <v>87</v>
      </c>
      <c r="I7488" s="16" t="s">
        <v>87</v>
      </c>
      <c r="J7488" s="19"/>
      <c r="L7488" s="16" t="str">
        <f>IFERROR(__xludf.DUMMYFUNCTION("""COMPUTED_VALUE"""),"")</f>
        <v/>
      </c>
      <c r="M7488" s="16" t="str">
        <f>IFERROR(__xludf.DUMMYFUNCTION("""COMPUTED_VALUE"""),"")</f>
        <v/>
      </c>
      <c r="U7488" s="16" t="s">
        <v>87</v>
      </c>
      <c r="V7488" s="16" t="str">
        <f>IFERROR(__xludf.DUMMYFUNCTION("""COMPUTED_VALUE"""),"")</f>
        <v/>
      </c>
      <c r="W7488" s="16" t="str">
        <f>IFERROR(__xludf.DUMMYFUNCTION("""COMPUTED_VALUE"""),"")</f>
        <v/>
      </c>
      <c r="X7488" s="16" t="str">
        <f>IFERROR(__xludf.DUMMYFUNCTION("""COMPUTED_VALUE"""),"")</f>
        <v/>
      </c>
      <c r="AC7488" s="16" t="str">
        <f>IFERROR(__xludf.DUMMYFUNCTION("""COMPUTED_VALUE"""),"")</f>
        <v/>
      </c>
    </row>
    <row r="7489">
      <c r="A7489" s="16" t="s">
        <v>87</v>
      </c>
      <c r="E7489" s="16" t="str">
        <f>IFERROR(__xludf.DUMMYFUNCTION("""COMPUTED_VALUE"""),"")</f>
        <v/>
      </c>
      <c r="G7489" s="18"/>
      <c r="H7489" s="16" t="s">
        <v>87</v>
      </c>
      <c r="I7489" s="16" t="s">
        <v>87</v>
      </c>
      <c r="J7489" s="19"/>
      <c r="L7489" s="16" t="str">
        <f>IFERROR(__xludf.DUMMYFUNCTION("""COMPUTED_VALUE"""),"")</f>
        <v/>
      </c>
      <c r="M7489" s="16" t="str">
        <f>IFERROR(__xludf.DUMMYFUNCTION("""COMPUTED_VALUE"""),"")</f>
        <v/>
      </c>
      <c r="U7489" s="16" t="s">
        <v>87</v>
      </c>
      <c r="V7489" s="16" t="str">
        <f>IFERROR(__xludf.DUMMYFUNCTION("""COMPUTED_VALUE"""),"")</f>
        <v/>
      </c>
      <c r="W7489" s="16" t="str">
        <f>IFERROR(__xludf.DUMMYFUNCTION("""COMPUTED_VALUE"""),"")</f>
        <v/>
      </c>
      <c r="X7489" s="16" t="str">
        <f>IFERROR(__xludf.DUMMYFUNCTION("""COMPUTED_VALUE"""),"")</f>
        <v/>
      </c>
      <c r="AC7489" s="16" t="str">
        <f>IFERROR(__xludf.DUMMYFUNCTION("""COMPUTED_VALUE"""),"")</f>
        <v/>
      </c>
    </row>
    <row r="7490">
      <c r="A7490" s="16" t="s">
        <v>87</v>
      </c>
      <c r="E7490" s="16" t="str">
        <f>IFERROR(__xludf.DUMMYFUNCTION("""COMPUTED_VALUE"""),"")</f>
        <v/>
      </c>
      <c r="G7490" s="18"/>
      <c r="H7490" s="16" t="s">
        <v>87</v>
      </c>
      <c r="I7490" s="16" t="s">
        <v>87</v>
      </c>
      <c r="J7490" s="19"/>
      <c r="L7490" s="16" t="str">
        <f>IFERROR(__xludf.DUMMYFUNCTION("""COMPUTED_VALUE"""),"")</f>
        <v/>
      </c>
      <c r="M7490" s="16" t="str">
        <f>IFERROR(__xludf.DUMMYFUNCTION("""COMPUTED_VALUE"""),"")</f>
        <v/>
      </c>
      <c r="U7490" s="16" t="s">
        <v>87</v>
      </c>
      <c r="V7490" s="16" t="str">
        <f>IFERROR(__xludf.DUMMYFUNCTION("""COMPUTED_VALUE"""),"")</f>
        <v/>
      </c>
      <c r="W7490" s="16" t="str">
        <f>IFERROR(__xludf.DUMMYFUNCTION("""COMPUTED_VALUE"""),"")</f>
        <v/>
      </c>
      <c r="X7490" s="16" t="str">
        <f>IFERROR(__xludf.DUMMYFUNCTION("""COMPUTED_VALUE"""),"")</f>
        <v/>
      </c>
      <c r="AC7490" s="16" t="str">
        <f>IFERROR(__xludf.DUMMYFUNCTION("""COMPUTED_VALUE"""),"")</f>
        <v/>
      </c>
    </row>
    <row r="7491">
      <c r="A7491" s="16" t="s">
        <v>87</v>
      </c>
      <c r="E7491" s="16" t="str">
        <f>IFERROR(__xludf.DUMMYFUNCTION("""COMPUTED_VALUE"""),"")</f>
        <v/>
      </c>
      <c r="G7491" s="18"/>
      <c r="H7491" s="16" t="s">
        <v>87</v>
      </c>
      <c r="I7491" s="16" t="s">
        <v>87</v>
      </c>
      <c r="J7491" s="19"/>
      <c r="L7491" s="16" t="str">
        <f>IFERROR(__xludf.DUMMYFUNCTION("""COMPUTED_VALUE"""),"")</f>
        <v/>
      </c>
      <c r="M7491" s="16" t="str">
        <f>IFERROR(__xludf.DUMMYFUNCTION("""COMPUTED_VALUE"""),"")</f>
        <v/>
      </c>
      <c r="U7491" s="16" t="s">
        <v>87</v>
      </c>
      <c r="V7491" s="16" t="str">
        <f>IFERROR(__xludf.DUMMYFUNCTION("""COMPUTED_VALUE"""),"")</f>
        <v/>
      </c>
      <c r="W7491" s="16" t="str">
        <f>IFERROR(__xludf.DUMMYFUNCTION("""COMPUTED_VALUE"""),"")</f>
        <v/>
      </c>
      <c r="X7491" s="16" t="str">
        <f>IFERROR(__xludf.DUMMYFUNCTION("""COMPUTED_VALUE"""),"")</f>
        <v/>
      </c>
      <c r="AC7491" s="16" t="str">
        <f>IFERROR(__xludf.DUMMYFUNCTION("""COMPUTED_VALUE"""),"")</f>
        <v/>
      </c>
    </row>
    <row r="7492">
      <c r="A7492" s="16" t="s">
        <v>87</v>
      </c>
      <c r="E7492" s="16" t="str">
        <f>IFERROR(__xludf.DUMMYFUNCTION("""COMPUTED_VALUE"""),"")</f>
        <v/>
      </c>
      <c r="G7492" s="18"/>
      <c r="H7492" s="16" t="s">
        <v>87</v>
      </c>
      <c r="I7492" s="16" t="s">
        <v>87</v>
      </c>
      <c r="J7492" s="19"/>
      <c r="L7492" s="16" t="str">
        <f>IFERROR(__xludf.DUMMYFUNCTION("""COMPUTED_VALUE"""),"")</f>
        <v/>
      </c>
      <c r="M7492" s="16" t="str">
        <f>IFERROR(__xludf.DUMMYFUNCTION("""COMPUTED_VALUE"""),"")</f>
        <v/>
      </c>
      <c r="U7492" s="16" t="s">
        <v>87</v>
      </c>
      <c r="V7492" s="16" t="str">
        <f>IFERROR(__xludf.DUMMYFUNCTION("""COMPUTED_VALUE"""),"")</f>
        <v/>
      </c>
      <c r="W7492" s="16" t="str">
        <f>IFERROR(__xludf.DUMMYFUNCTION("""COMPUTED_VALUE"""),"")</f>
        <v/>
      </c>
      <c r="X7492" s="16" t="str">
        <f>IFERROR(__xludf.DUMMYFUNCTION("""COMPUTED_VALUE"""),"")</f>
        <v/>
      </c>
      <c r="AC7492" s="16" t="str">
        <f>IFERROR(__xludf.DUMMYFUNCTION("""COMPUTED_VALUE"""),"")</f>
        <v/>
      </c>
    </row>
    <row r="7493">
      <c r="A7493" s="16" t="s">
        <v>87</v>
      </c>
      <c r="E7493" s="16" t="str">
        <f>IFERROR(__xludf.DUMMYFUNCTION("""COMPUTED_VALUE"""),"")</f>
        <v/>
      </c>
      <c r="G7493" s="18"/>
      <c r="H7493" s="16" t="s">
        <v>87</v>
      </c>
      <c r="I7493" s="16" t="s">
        <v>87</v>
      </c>
      <c r="J7493" s="19"/>
      <c r="L7493" s="16" t="str">
        <f>IFERROR(__xludf.DUMMYFUNCTION("""COMPUTED_VALUE"""),"")</f>
        <v/>
      </c>
      <c r="M7493" s="16" t="str">
        <f>IFERROR(__xludf.DUMMYFUNCTION("""COMPUTED_VALUE"""),"")</f>
        <v/>
      </c>
      <c r="U7493" s="16" t="s">
        <v>87</v>
      </c>
      <c r="V7493" s="16" t="str">
        <f>IFERROR(__xludf.DUMMYFUNCTION("""COMPUTED_VALUE"""),"")</f>
        <v/>
      </c>
      <c r="W7493" s="16" t="str">
        <f>IFERROR(__xludf.DUMMYFUNCTION("""COMPUTED_VALUE"""),"")</f>
        <v/>
      </c>
      <c r="X7493" s="16" t="str">
        <f>IFERROR(__xludf.DUMMYFUNCTION("""COMPUTED_VALUE"""),"")</f>
        <v/>
      </c>
      <c r="AC7493" s="16" t="str">
        <f>IFERROR(__xludf.DUMMYFUNCTION("""COMPUTED_VALUE"""),"")</f>
        <v/>
      </c>
    </row>
    <row r="7494">
      <c r="A7494" s="16" t="s">
        <v>87</v>
      </c>
      <c r="E7494" s="16" t="str">
        <f>IFERROR(__xludf.DUMMYFUNCTION("""COMPUTED_VALUE"""),"")</f>
        <v/>
      </c>
      <c r="G7494" s="18"/>
      <c r="H7494" s="16" t="s">
        <v>87</v>
      </c>
      <c r="I7494" s="16" t="s">
        <v>87</v>
      </c>
      <c r="J7494" s="19"/>
      <c r="L7494" s="16" t="str">
        <f>IFERROR(__xludf.DUMMYFUNCTION("""COMPUTED_VALUE"""),"")</f>
        <v/>
      </c>
      <c r="M7494" s="16" t="str">
        <f>IFERROR(__xludf.DUMMYFUNCTION("""COMPUTED_VALUE"""),"")</f>
        <v/>
      </c>
      <c r="U7494" s="16" t="s">
        <v>87</v>
      </c>
      <c r="V7494" s="16" t="str">
        <f>IFERROR(__xludf.DUMMYFUNCTION("""COMPUTED_VALUE"""),"")</f>
        <v/>
      </c>
      <c r="W7494" s="16" t="str">
        <f>IFERROR(__xludf.DUMMYFUNCTION("""COMPUTED_VALUE"""),"")</f>
        <v/>
      </c>
      <c r="X7494" s="16" t="str">
        <f>IFERROR(__xludf.DUMMYFUNCTION("""COMPUTED_VALUE"""),"")</f>
        <v/>
      </c>
      <c r="AC7494" s="16" t="str">
        <f>IFERROR(__xludf.DUMMYFUNCTION("""COMPUTED_VALUE"""),"")</f>
        <v/>
      </c>
    </row>
    <row r="7495">
      <c r="A7495" s="16" t="s">
        <v>87</v>
      </c>
      <c r="E7495" s="16" t="str">
        <f>IFERROR(__xludf.DUMMYFUNCTION("""COMPUTED_VALUE"""),"")</f>
        <v/>
      </c>
      <c r="G7495" s="18"/>
      <c r="H7495" s="16" t="s">
        <v>87</v>
      </c>
      <c r="I7495" s="16" t="s">
        <v>87</v>
      </c>
      <c r="J7495" s="19"/>
      <c r="L7495" s="16" t="str">
        <f>IFERROR(__xludf.DUMMYFUNCTION("""COMPUTED_VALUE"""),"")</f>
        <v/>
      </c>
      <c r="M7495" s="16" t="str">
        <f>IFERROR(__xludf.DUMMYFUNCTION("""COMPUTED_VALUE"""),"")</f>
        <v/>
      </c>
      <c r="U7495" s="16" t="s">
        <v>87</v>
      </c>
      <c r="V7495" s="16" t="str">
        <f>IFERROR(__xludf.DUMMYFUNCTION("""COMPUTED_VALUE"""),"")</f>
        <v/>
      </c>
      <c r="W7495" s="16" t="str">
        <f>IFERROR(__xludf.DUMMYFUNCTION("""COMPUTED_VALUE"""),"")</f>
        <v/>
      </c>
      <c r="X7495" s="16" t="str">
        <f>IFERROR(__xludf.DUMMYFUNCTION("""COMPUTED_VALUE"""),"")</f>
        <v/>
      </c>
      <c r="AC7495" s="16" t="str">
        <f>IFERROR(__xludf.DUMMYFUNCTION("""COMPUTED_VALUE"""),"")</f>
        <v/>
      </c>
    </row>
    <row r="7496">
      <c r="A7496" s="16" t="s">
        <v>87</v>
      </c>
      <c r="E7496" s="16" t="str">
        <f>IFERROR(__xludf.DUMMYFUNCTION("""COMPUTED_VALUE"""),"")</f>
        <v/>
      </c>
      <c r="G7496" s="18"/>
      <c r="H7496" s="16" t="s">
        <v>87</v>
      </c>
      <c r="I7496" s="16" t="s">
        <v>87</v>
      </c>
      <c r="J7496" s="19"/>
      <c r="L7496" s="16" t="str">
        <f>IFERROR(__xludf.DUMMYFUNCTION("""COMPUTED_VALUE"""),"")</f>
        <v/>
      </c>
      <c r="M7496" s="16" t="str">
        <f>IFERROR(__xludf.DUMMYFUNCTION("""COMPUTED_VALUE"""),"")</f>
        <v/>
      </c>
      <c r="U7496" s="16" t="s">
        <v>87</v>
      </c>
      <c r="V7496" s="16" t="str">
        <f>IFERROR(__xludf.DUMMYFUNCTION("""COMPUTED_VALUE"""),"")</f>
        <v/>
      </c>
      <c r="W7496" s="16" t="str">
        <f>IFERROR(__xludf.DUMMYFUNCTION("""COMPUTED_VALUE"""),"")</f>
        <v/>
      </c>
      <c r="X7496" s="16" t="str">
        <f>IFERROR(__xludf.DUMMYFUNCTION("""COMPUTED_VALUE"""),"")</f>
        <v/>
      </c>
      <c r="AC7496" s="16" t="str">
        <f>IFERROR(__xludf.DUMMYFUNCTION("""COMPUTED_VALUE"""),"")</f>
        <v/>
      </c>
    </row>
    <row r="7497">
      <c r="A7497" s="16" t="s">
        <v>87</v>
      </c>
      <c r="E7497" s="16" t="str">
        <f>IFERROR(__xludf.DUMMYFUNCTION("""COMPUTED_VALUE"""),"")</f>
        <v/>
      </c>
      <c r="G7497" s="18"/>
      <c r="H7497" s="16" t="s">
        <v>87</v>
      </c>
      <c r="I7497" s="16" t="s">
        <v>87</v>
      </c>
      <c r="J7497" s="19"/>
      <c r="L7497" s="16" t="str">
        <f>IFERROR(__xludf.DUMMYFUNCTION("""COMPUTED_VALUE"""),"")</f>
        <v/>
      </c>
      <c r="M7497" s="16" t="str">
        <f>IFERROR(__xludf.DUMMYFUNCTION("""COMPUTED_VALUE"""),"")</f>
        <v/>
      </c>
      <c r="U7497" s="16" t="s">
        <v>87</v>
      </c>
      <c r="V7497" s="16" t="str">
        <f>IFERROR(__xludf.DUMMYFUNCTION("""COMPUTED_VALUE"""),"")</f>
        <v/>
      </c>
      <c r="W7497" s="16" t="str">
        <f>IFERROR(__xludf.DUMMYFUNCTION("""COMPUTED_VALUE"""),"")</f>
        <v/>
      </c>
      <c r="X7497" s="16" t="str">
        <f>IFERROR(__xludf.DUMMYFUNCTION("""COMPUTED_VALUE"""),"")</f>
        <v/>
      </c>
      <c r="AC7497" s="16" t="str">
        <f>IFERROR(__xludf.DUMMYFUNCTION("""COMPUTED_VALUE"""),"")</f>
        <v/>
      </c>
    </row>
    <row r="7498">
      <c r="A7498" s="16" t="s">
        <v>87</v>
      </c>
      <c r="E7498" s="16" t="str">
        <f>IFERROR(__xludf.DUMMYFUNCTION("""COMPUTED_VALUE"""),"")</f>
        <v/>
      </c>
      <c r="G7498" s="18"/>
      <c r="H7498" s="16" t="s">
        <v>87</v>
      </c>
      <c r="I7498" s="16" t="s">
        <v>87</v>
      </c>
      <c r="J7498" s="19"/>
      <c r="L7498" s="16" t="str">
        <f>IFERROR(__xludf.DUMMYFUNCTION("""COMPUTED_VALUE"""),"")</f>
        <v/>
      </c>
      <c r="M7498" s="16" t="str">
        <f>IFERROR(__xludf.DUMMYFUNCTION("""COMPUTED_VALUE"""),"")</f>
        <v/>
      </c>
      <c r="U7498" s="16" t="s">
        <v>87</v>
      </c>
      <c r="V7498" s="16" t="str">
        <f>IFERROR(__xludf.DUMMYFUNCTION("""COMPUTED_VALUE"""),"")</f>
        <v/>
      </c>
      <c r="W7498" s="16" t="str">
        <f>IFERROR(__xludf.DUMMYFUNCTION("""COMPUTED_VALUE"""),"")</f>
        <v/>
      </c>
      <c r="X7498" s="16" t="str">
        <f>IFERROR(__xludf.DUMMYFUNCTION("""COMPUTED_VALUE"""),"")</f>
        <v/>
      </c>
      <c r="AC7498" s="16" t="str">
        <f>IFERROR(__xludf.DUMMYFUNCTION("""COMPUTED_VALUE"""),"")</f>
        <v/>
      </c>
    </row>
    <row r="7499">
      <c r="A7499" s="16" t="s">
        <v>87</v>
      </c>
      <c r="E7499" s="16" t="str">
        <f>IFERROR(__xludf.DUMMYFUNCTION("""COMPUTED_VALUE"""),"")</f>
        <v/>
      </c>
      <c r="G7499" s="18"/>
      <c r="H7499" s="16" t="s">
        <v>87</v>
      </c>
      <c r="I7499" s="16" t="s">
        <v>87</v>
      </c>
      <c r="J7499" s="19"/>
      <c r="L7499" s="16" t="str">
        <f>IFERROR(__xludf.DUMMYFUNCTION("""COMPUTED_VALUE"""),"")</f>
        <v/>
      </c>
      <c r="M7499" s="16" t="str">
        <f>IFERROR(__xludf.DUMMYFUNCTION("""COMPUTED_VALUE"""),"")</f>
        <v/>
      </c>
      <c r="U7499" s="16" t="s">
        <v>87</v>
      </c>
      <c r="V7499" s="16" t="str">
        <f>IFERROR(__xludf.DUMMYFUNCTION("""COMPUTED_VALUE"""),"")</f>
        <v/>
      </c>
      <c r="W7499" s="16" t="str">
        <f>IFERROR(__xludf.DUMMYFUNCTION("""COMPUTED_VALUE"""),"")</f>
        <v/>
      </c>
      <c r="X7499" s="16" t="str">
        <f>IFERROR(__xludf.DUMMYFUNCTION("""COMPUTED_VALUE"""),"")</f>
        <v/>
      </c>
      <c r="AC7499" s="16" t="str">
        <f>IFERROR(__xludf.DUMMYFUNCTION("""COMPUTED_VALUE"""),"")</f>
        <v/>
      </c>
    </row>
    <row r="7500">
      <c r="A7500" s="16" t="s">
        <v>87</v>
      </c>
      <c r="E7500" s="16" t="str">
        <f>IFERROR(__xludf.DUMMYFUNCTION("""COMPUTED_VALUE"""),"")</f>
        <v/>
      </c>
      <c r="G7500" s="18"/>
      <c r="H7500" s="16" t="s">
        <v>87</v>
      </c>
      <c r="I7500" s="16" t="s">
        <v>87</v>
      </c>
      <c r="J7500" s="19"/>
      <c r="L7500" s="16" t="str">
        <f>IFERROR(__xludf.DUMMYFUNCTION("""COMPUTED_VALUE"""),"")</f>
        <v/>
      </c>
      <c r="M7500" s="16" t="str">
        <f>IFERROR(__xludf.DUMMYFUNCTION("""COMPUTED_VALUE"""),"")</f>
        <v/>
      </c>
      <c r="U7500" s="16" t="s">
        <v>87</v>
      </c>
      <c r="V7500" s="16" t="str">
        <f>IFERROR(__xludf.DUMMYFUNCTION("""COMPUTED_VALUE"""),"")</f>
        <v/>
      </c>
      <c r="W7500" s="16" t="str">
        <f>IFERROR(__xludf.DUMMYFUNCTION("""COMPUTED_VALUE"""),"")</f>
        <v/>
      </c>
      <c r="X7500" s="16" t="str">
        <f>IFERROR(__xludf.DUMMYFUNCTION("""COMPUTED_VALUE"""),"")</f>
        <v/>
      </c>
      <c r="AC7500" s="16" t="str">
        <f>IFERROR(__xludf.DUMMYFUNCTION("""COMPUTED_VALUE"""),"")</f>
        <v/>
      </c>
    </row>
    <row r="7501">
      <c r="A7501" s="16" t="s">
        <v>87</v>
      </c>
      <c r="E7501" s="16" t="str">
        <f>IFERROR(__xludf.DUMMYFUNCTION("""COMPUTED_VALUE"""),"")</f>
        <v/>
      </c>
      <c r="G7501" s="18"/>
      <c r="H7501" s="16" t="s">
        <v>87</v>
      </c>
      <c r="I7501" s="16" t="s">
        <v>87</v>
      </c>
      <c r="J7501" s="19"/>
      <c r="L7501" s="16" t="str">
        <f>IFERROR(__xludf.DUMMYFUNCTION("""COMPUTED_VALUE"""),"")</f>
        <v/>
      </c>
      <c r="M7501" s="16" t="str">
        <f>IFERROR(__xludf.DUMMYFUNCTION("""COMPUTED_VALUE"""),"")</f>
        <v/>
      </c>
      <c r="U7501" s="16" t="s">
        <v>87</v>
      </c>
      <c r="V7501" s="16" t="str">
        <f>IFERROR(__xludf.DUMMYFUNCTION("""COMPUTED_VALUE"""),"")</f>
        <v/>
      </c>
      <c r="W7501" s="16" t="str">
        <f>IFERROR(__xludf.DUMMYFUNCTION("""COMPUTED_VALUE"""),"")</f>
        <v/>
      </c>
      <c r="X7501" s="16" t="str">
        <f>IFERROR(__xludf.DUMMYFUNCTION("""COMPUTED_VALUE"""),"")</f>
        <v/>
      </c>
      <c r="AC7501" s="16" t="str">
        <f>IFERROR(__xludf.DUMMYFUNCTION("""COMPUTED_VALUE"""),"")</f>
        <v/>
      </c>
    </row>
    <row r="7502">
      <c r="A7502" s="16" t="s">
        <v>87</v>
      </c>
      <c r="E7502" s="16" t="str">
        <f>IFERROR(__xludf.DUMMYFUNCTION("""COMPUTED_VALUE"""),"")</f>
        <v/>
      </c>
      <c r="G7502" s="18"/>
      <c r="H7502" s="16" t="s">
        <v>87</v>
      </c>
      <c r="I7502" s="16" t="s">
        <v>87</v>
      </c>
      <c r="J7502" s="19"/>
      <c r="L7502" s="16" t="str">
        <f>IFERROR(__xludf.DUMMYFUNCTION("""COMPUTED_VALUE"""),"")</f>
        <v/>
      </c>
      <c r="M7502" s="16" t="str">
        <f>IFERROR(__xludf.DUMMYFUNCTION("""COMPUTED_VALUE"""),"")</f>
        <v/>
      </c>
      <c r="U7502" s="16" t="s">
        <v>87</v>
      </c>
      <c r="V7502" s="16" t="str">
        <f>IFERROR(__xludf.DUMMYFUNCTION("""COMPUTED_VALUE"""),"")</f>
        <v/>
      </c>
      <c r="W7502" s="16" t="str">
        <f>IFERROR(__xludf.DUMMYFUNCTION("""COMPUTED_VALUE"""),"")</f>
        <v/>
      </c>
      <c r="X7502" s="16" t="str">
        <f>IFERROR(__xludf.DUMMYFUNCTION("""COMPUTED_VALUE"""),"")</f>
        <v/>
      </c>
      <c r="AC7502" s="16" t="str">
        <f>IFERROR(__xludf.DUMMYFUNCTION("""COMPUTED_VALUE"""),"")</f>
        <v/>
      </c>
    </row>
    <row r="7503">
      <c r="A7503" s="16" t="s">
        <v>87</v>
      </c>
      <c r="E7503" s="16" t="str">
        <f>IFERROR(__xludf.DUMMYFUNCTION("""COMPUTED_VALUE"""),"")</f>
        <v/>
      </c>
      <c r="G7503" s="18"/>
      <c r="H7503" s="16" t="s">
        <v>87</v>
      </c>
      <c r="I7503" s="16" t="s">
        <v>87</v>
      </c>
      <c r="J7503" s="19"/>
      <c r="L7503" s="16" t="str">
        <f>IFERROR(__xludf.DUMMYFUNCTION("""COMPUTED_VALUE"""),"")</f>
        <v/>
      </c>
      <c r="M7503" s="16" t="str">
        <f>IFERROR(__xludf.DUMMYFUNCTION("""COMPUTED_VALUE"""),"")</f>
        <v/>
      </c>
      <c r="U7503" s="16" t="s">
        <v>87</v>
      </c>
      <c r="V7503" s="16" t="str">
        <f>IFERROR(__xludf.DUMMYFUNCTION("""COMPUTED_VALUE"""),"")</f>
        <v/>
      </c>
      <c r="W7503" s="16" t="str">
        <f>IFERROR(__xludf.DUMMYFUNCTION("""COMPUTED_VALUE"""),"")</f>
        <v/>
      </c>
      <c r="X7503" s="16" t="str">
        <f>IFERROR(__xludf.DUMMYFUNCTION("""COMPUTED_VALUE"""),"")</f>
        <v/>
      </c>
      <c r="AC7503" s="16" t="str">
        <f>IFERROR(__xludf.DUMMYFUNCTION("""COMPUTED_VALUE"""),"")</f>
        <v/>
      </c>
    </row>
    <row r="7504">
      <c r="A7504" s="16" t="s">
        <v>87</v>
      </c>
      <c r="E7504" s="16" t="str">
        <f>IFERROR(__xludf.DUMMYFUNCTION("""COMPUTED_VALUE"""),"")</f>
        <v/>
      </c>
      <c r="G7504" s="18"/>
      <c r="H7504" s="16" t="s">
        <v>87</v>
      </c>
      <c r="I7504" s="16" t="s">
        <v>87</v>
      </c>
      <c r="J7504" s="19"/>
      <c r="L7504" s="16" t="str">
        <f>IFERROR(__xludf.DUMMYFUNCTION("""COMPUTED_VALUE"""),"")</f>
        <v/>
      </c>
      <c r="M7504" s="16" t="str">
        <f>IFERROR(__xludf.DUMMYFUNCTION("""COMPUTED_VALUE"""),"")</f>
        <v/>
      </c>
      <c r="U7504" s="16" t="s">
        <v>87</v>
      </c>
      <c r="V7504" s="16" t="str">
        <f>IFERROR(__xludf.DUMMYFUNCTION("""COMPUTED_VALUE"""),"")</f>
        <v/>
      </c>
      <c r="W7504" s="16" t="str">
        <f>IFERROR(__xludf.DUMMYFUNCTION("""COMPUTED_VALUE"""),"")</f>
        <v/>
      </c>
      <c r="X7504" s="16" t="str">
        <f>IFERROR(__xludf.DUMMYFUNCTION("""COMPUTED_VALUE"""),"")</f>
        <v/>
      </c>
      <c r="AC7504" s="16" t="str">
        <f>IFERROR(__xludf.DUMMYFUNCTION("""COMPUTED_VALUE"""),"")</f>
        <v/>
      </c>
    </row>
    <row r="7505">
      <c r="A7505" s="16" t="s">
        <v>87</v>
      </c>
      <c r="E7505" s="16" t="str">
        <f>IFERROR(__xludf.DUMMYFUNCTION("""COMPUTED_VALUE"""),"")</f>
        <v/>
      </c>
      <c r="G7505" s="18"/>
      <c r="H7505" s="16" t="s">
        <v>87</v>
      </c>
      <c r="I7505" s="16" t="s">
        <v>87</v>
      </c>
      <c r="J7505" s="19"/>
      <c r="L7505" s="16" t="str">
        <f>IFERROR(__xludf.DUMMYFUNCTION("""COMPUTED_VALUE"""),"")</f>
        <v/>
      </c>
      <c r="M7505" s="16" t="str">
        <f>IFERROR(__xludf.DUMMYFUNCTION("""COMPUTED_VALUE"""),"")</f>
        <v/>
      </c>
      <c r="U7505" s="16" t="s">
        <v>87</v>
      </c>
      <c r="V7505" s="16" t="str">
        <f>IFERROR(__xludf.DUMMYFUNCTION("""COMPUTED_VALUE"""),"")</f>
        <v/>
      </c>
      <c r="W7505" s="16" t="str">
        <f>IFERROR(__xludf.DUMMYFUNCTION("""COMPUTED_VALUE"""),"")</f>
        <v/>
      </c>
      <c r="X7505" s="16" t="str">
        <f>IFERROR(__xludf.DUMMYFUNCTION("""COMPUTED_VALUE"""),"")</f>
        <v/>
      </c>
      <c r="AC7505" s="16" t="str">
        <f>IFERROR(__xludf.DUMMYFUNCTION("""COMPUTED_VALUE"""),"")</f>
        <v/>
      </c>
    </row>
    <row r="7506">
      <c r="A7506" s="16" t="s">
        <v>87</v>
      </c>
      <c r="E7506" s="16" t="str">
        <f>IFERROR(__xludf.DUMMYFUNCTION("""COMPUTED_VALUE"""),"")</f>
        <v/>
      </c>
      <c r="G7506" s="18"/>
      <c r="H7506" s="16" t="s">
        <v>87</v>
      </c>
      <c r="I7506" s="16" t="s">
        <v>87</v>
      </c>
      <c r="J7506" s="19"/>
      <c r="L7506" s="16" t="str">
        <f>IFERROR(__xludf.DUMMYFUNCTION("""COMPUTED_VALUE"""),"")</f>
        <v/>
      </c>
      <c r="M7506" s="16" t="str">
        <f>IFERROR(__xludf.DUMMYFUNCTION("""COMPUTED_VALUE"""),"")</f>
        <v/>
      </c>
      <c r="U7506" s="16" t="s">
        <v>87</v>
      </c>
      <c r="V7506" s="16" t="str">
        <f>IFERROR(__xludf.DUMMYFUNCTION("""COMPUTED_VALUE"""),"")</f>
        <v/>
      </c>
      <c r="W7506" s="16" t="str">
        <f>IFERROR(__xludf.DUMMYFUNCTION("""COMPUTED_VALUE"""),"")</f>
        <v/>
      </c>
      <c r="X7506" s="16" t="str">
        <f>IFERROR(__xludf.DUMMYFUNCTION("""COMPUTED_VALUE"""),"")</f>
        <v/>
      </c>
      <c r="AC7506" s="16" t="str">
        <f>IFERROR(__xludf.DUMMYFUNCTION("""COMPUTED_VALUE"""),"")</f>
        <v/>
      </c>
    </row>
    <row r="7507">
      <c r="A7507" s="16" t="s">
        <v>87</v>
      </c>
      <c r="E7507" s="16" t="str">
        <f>IFERROR(__xludf.DUMMYFUNCTION("""COMPUTED_VALUE"""),"")</f>
        <v/>
      </c>
      <c r="G7507" s="18"/>
      <c r="H7507" s="16" t="s">
        <v>87</v>
      </c>
      <c r="I7507" s="16" t="s">
        <v>87</v>
      </c>
      <c r="J7507" s="19"/>
      <c r="L7507" s="16" t="str">
        <f>IFERROR(__xludf.DUMMYFUNCTION("""COMPUTED_VALUE"""),"")</f>
        <v/>
      </c>
      <c r="M7507" s="16" t="str">
        <f>IFERROR(__xludf.DUMMYFUNCTION("""COMPUTED_VALUE"""),"")</f>
        <v/>
      </c>
      <c r="U7507" s="16" t="s">
        <v>87</v>
      </c>
      <c r="V7507" s="16" t="str">
        <f>IFERROR(__xludf.DUMMYFUNCTION("""COMPUTED_VALUE"""),"")</f>
        <v/>
      </c>
      <c r="W7507" s="16" t="str">
        <f>IFERROR(__xludf.DUMMYFUNCTION("""COMPUTED_VALUE"""),"")</f>
        <v/>
      </c>
      <c r="X7507" s="16" t="str">
        <f>IFERROR(__xludf.DUMMYFUNCTION("""COMPUTED_VALUE"""),"")</f>
        <v/>
      </c>
      <c r="AC7507" s="16" t="str">
        <f>IFERROR(__xludf.DUMMYFUNCTION("""COMPUTED_VALUE"""),"")</f>
        <v/>
      </c>
    </row>
    <row r="7508">
      <c r="A7508" s="16" t="s">
        <v>87</v>
      </c>
      <c r="E7508" s="16" t="str">
        <f>IFERROR(__xludf.DUMMYFUNCTION("""COMPUTED_VALUE"""),"")</f>
        <v/>
      </c>
      <c r="G7508" s="18"/>
      <c r="H7508" s="16" t="s">
        <v>87</v>
      </c>
      <c r="I7508" s="16" t="s">
        <v>87</v>
      </c>
      <c r="J7508" s="19"/>
      <c r="L7508" s="16" t="str">
        <f>IFERROR(__xludf.DUMMYFUNCTION("""COMPUTED_VALUE"""),"")</f>
        <v/>
      </c>
      <c r="M7508" s="16" t="str">
        <f>IFERROR(__xludf.DUMMYFUNCTION("""COMPUTED_VALUE"""),"")</f>
        <v/>
      </c>
      <c r="U7508" s="16" t="s">
        <v>87</v>
      </c>
      <c r="V7508" s="16" t="str">
        <f>IFERROR(__xludf.DUMMYFUNCTION("""COMPUTED_VALUE"""),"")</f>
        <v/>
      </c>
      <c r="W7508" s="16" t="str">
        <f>IFERROR(__xludf.DUMMYFUNCTION("""COMPUTED_VALUE"""),"")</f>
        <v/>
      </c>
      <c r="X7508" s="16" t="str">
        <f>IFERROR(__xludf.DUMMYFUNCTION("""COMPUTED_VALUE"""),"")</f>
        <v/>
      </c>
      <c r="AC7508" s="16" t="str">
        <f>IFERROR(__xludf.DUMMYFUNCTION("""COMPUTED_VALUE"""),"")</f>
        <v/>
      </c>
    </row>
    <row r="7509">
      <c r="A7509" s="16" t="s">
        <v>87</v>
      </c>
      <c r="E7509" s="16" t="str">
        <f>IFERROR(__xludf.DUMMYFUNCTION("""COMPUTED_VALUE"""),"")</f>
        <v/>
      </c>
      <c r="G7509" s="18"/>
      <c r="H7509" s="16" t="s">
        <v>87</v>
      </c>
      <c r="I7509" s="16" t="s">
        <v>87</v>
      </c>
      <c r="J7509" s="19"/>
      <c r="L7509" s="16" t="str">
        <f>IFERROR(__xludf.DUMMYFUNCTION("""COMPUTED_VALUE"""),"")</f>
        <v/>
      </c>
      <c r="M7509" s="16" t="str">
        <f>IFERROR(__xludf.DUMMYFUNCTION("""COMPUTED_VALUE"""),"")</f>
        <v/>
      </c>
      <c r="U7509" s="16" t="s">
        <v>87</v>
      </c>
      <c r="V7509" s="16" t="str">
        <f>IFERROR(__xludf.DUMMYFUNCTION("""COMPUTED_VALUE"""),"")</f>
        <v/>
      </c>
      <c r="W7509" s="16" t="str">
        <f>IFERROR(__xludf.DUMMYFUNCTION("""COMPUTED_VALUE"""),"")</f>
        <v/>
      </c>
      <c r="X7509" s="16" t="str">
        <f>IFERROR(__xludf.DUMMYFUNCTION("""COMPUTED_VALUE"""),"")</f>
        <v/>
      </c>
      <c r="AC7509" s="16" t="str">
        <f>IFERROR(__xludf.DUMMYFUNCTION("""COMPUTED_VALUE"""),"")</f>
        <v/>
      </c>
    </row>
    <row r="7510">
      <c r="A7510" s="16" t="s">
        <v>87</v>
      </c>
      <c r="E7510" s="16" t="str">
        <f>IFERROR(__xludf.DUMMYFUNCTION("""COMPUTED_VALUE"""),"")</f>
        <v/>
      </c>
      <c r="G7510" s="18"/>
      <c r="H7510" s="16" t="s">
        <v>87</v>
      </c>
      <c r="I7510" s="16" t="s">
        <v>87</v>
      </c>
      <c r="J7510" s="19"/>
      <c r="L7510" s="16" t="str">
        <f>IFERROR(__xludf.DUMMYFUNCTION("""COMPUTED_VALUE"""),"")</f>
        <v/>
      </c>
      <c r="M7510" s="16" t="str">
        <f>IFERROR(__xludf.DUMMYFUNCTION("""COMPUTED_VALUE"""),"")</f>
        <v/>
      </c>
      <c r="U7510" s="16" t="s">
        <v>87</v>
      </c>
      <c r="V7510" s="16" t="str">
        <f>IFERROR(__xludf.DUMMYFUNCTION("""COMPUTED_VALUE"""),"")</f>
        <v/>
      </c>
      <c r="W7510" s="16" t="str">
        <f>IFERROR(__xludf.DUMMYFUNCTION("""COMPUTED_VALUE"""),"")</f>
        <v/>
      </c>
      <c r="X7510" s="16" t="str">
        <f>IFERROR(__xludf.DUMMYFUNCTION("""COMPUTED_VALUE"""),"")</f>
        <v/>
      </c>
      <c r="AC7510" s="16" t="str">
        <f>IFERROR(__xludf.DUMMYFUNCTION("""COMPUTED_VALUE"""),"")</f>
        <v/>
      </c>
    </row>
    <row r="7511">
      <c r="A7511" s="16" t="s">
        <v>87</v>
      </c>
      <c r="E7511" s="16" t="str">
        <f>IFERROR(__xludf.DUMMYFUNCTION("""COMPUTED_VALUE"""),"")</f>
        <v/>
      </c>
      <c r="G7511" s="18"/>
      <c r="H7511" s="16" t="s">
        <v>87</v>
      </c>
      <c r="I7511" s="16" t="s">
        <v>87</v>
      </c>
      <c r="J7511" s="19"/>
      <c r="L7511" s="16" t="str">
        <f>IFERROR(__xludf.DUMMYFUNCTION("""COMPUTED_VALUE"""),"")</f>
        <v/>
      </c>
      <c r="M7511" s="16" t="str">
        <f>IFERROR(__xludf.DUMMYFUNCTION("""COMPUTED_VALUE"""),"")</f>
        <v/>
      </c>
      <c r="U7511" s="16" t="s">
        <v>87</v>
      </c>
      <c r="V7511" s="16" t="str">
        <f>IFERROR(__xludf.DUMMYFUNCTION("""COMPUTED_VALUE"""),"")</f>
        <v/>
      </c>
      <c r="W7511" s="16" t="str">
        <f>IFERROR(__xludf.DUMMYFUNCTION("""COMPUTED_VALUE"""),"")</f>
        <v/>
      </c>
      <c r="X7511" s="16" t="str">
        <f>IFERROR(__xludf.DUMMYFUNCTION("""COMPUTED_VALUE"""),"")</f>
        <v/>
      </c>
      <c r="AC7511" s="16" t="str">
        <f>IFERROR(__xludf.DUMMYFUNCTION("""COMPUTED_VALUE"""),"")</f>
        <v/>
      </c>
    </row>
    <row r="7512">
      <c r="A7512" s="16" t="s">
        <v>87</v>
      </c>
      <c r="E7512" s="16" t="str">
        <f>IFERROR(__xludf.DUMMYFUNCTION("""COMPUTED_VALUE"""),"")</f>
        <v/>
      </c>
      <c r="G7512" s="18"/>
      <c r="H7512" s="16" t="s">
        <v>87</v>
      </c>
      <c r="I7512" s="16" t="s">
        <v>87</v>
      </c>
      <c r="J7512" s="19"/>
      <c r="L7512" s="16" t="str">
        <f>IFERROR(__xludf.DUMMYFUNCTION("""COMPUTED_VALUE"""),"")</f>
        <v/>
      </c>
      <c r="M7512" s="16" t="str">
        <f>IFERROR(__xludf.DUMMYFUNCTION("""COMPUTED_VALUE"""),"")</f>
        <v/>
      </c>
      <c r="U7512" s="16" t="s">
        <v>87</v>
      </c>
      <c r="V7512" s="16" t="str">
        <f>IFERROR(__xludf.DUMMYFUNCTION("""COMPUTED_VALUE"""),"")</f>
        <v/>
      </c>
      <c r="W7512" s="16" t="str">
        <f>IFERROR(__xludf.DUMMYFUNCTION("""COMPUTED_VALUE"""),"")</f>
        <v/>
      </c>
      <c r="X7512" s="16" t="str">
        <f>IFERROR(__xludf.DUMMYFUNCTION("""COMPUTED_VALUE"""),"")</f>
        <v/>
      </c>
      <c r="AC7512" s="16" t="str">
        <f>IFERROR(__xludf.DUMMYFUNCTION("""COMPUTED_VALUE"""),"")</f>
        <v/>
      </c>
    </row>
    <row r="7513">
      <c r="A7513" s="16" t="s">
        <v>87</v>
      </c>
      <c r="E7513" s="16" t="str">
        <f>IFERROR(__xludf.DUMMYFUNCTION("""COMPUTED_VALUE"""),"")</f>
        <v/>
      </c>
      <c r="G7513" s="18"/>
      <c r="H7513" s="16" t="s">
        <v>87</v>
      </c>
      <c r="I7513" s="16" t="s">
        <v>87</v>
      </c>
      <c r="J7513" s="19"/>
      <c r="L7513" s="16" t="str">
        <f>IFERROR(__xludf.DUMMYFUNCTION("""COMPUTED_VALUE"""),"")</f>
        <v/>
      </c>
      <c r="M7513" s="16" t="str">
        <f>IFERROR(__xludf.DUMMYFUNCTION("""COMPUTED_VALUE"""),"")</f>
        <v/>
      </c>
      <c r="U7513" s="16" t="s">
        <v>87</v>
      </c>
      <c r="V7513" s="16" t="str">
        <f>IFERROR(__xludf.DUMMYFUNCTION("""COMPUTED_VALUE"""),"")</f>
        <v/>
      </c>
      <c r="W7513" s="16" t="str">
        <f>IFERROR(__xludf.DUMMYFUNCTION("""COMPUTED_VALUE"""),"")</f>
        <v/>
      </c>
      <c r="X7513" s="16" t="str">
        <f>IFERROR(__xludf.DUMMYFUNCTION("""COMPUTED_VALUE"""),"")</f>
        <v/>
      </c>
      <c r="AC7513" s="16" t="str">
        <f>IFERROR(__xludf.DUMMYFUNCTION("""COMPUTED_VALUE"""),"")</f>
        <v/>
      </c>
    </row>
    <row r="7514">
      <c r="A7514" s="16" t="s">
        <v>87</v>
      </c>
      <c r="E7514" s="16" t="str">
        <f>IFERROR(__xludf.DUMMYFUNCTION("""COMPUTED_VALUE"""),"")</f>
        <v/>
      </c>
      <c r="G7514" s="18"/>
      <c r="H7514" s="16" t="s">
        <v>87</v>
      </c>
      <c r="I7514" s="16" t="s">
        <v>87</v>
      </c>
      <c r="J7514" s="19"/>
      <c r="L7514" s="16" t="str">
        <f>IFERROR(__xludf.DUMMYFUNCTION("""COMPUTED_VALUE"""),"")</f>
        <v/>
      </c>
      <c r="M7514" s="16" t="str">
        <f>IFERROR(__xludf.DUMMYFUNCTION("""COMPUTED_VALUE"""),"")</f>
        <v/>
      </c>
      <c r="U7514" s="16" t="s">
        <v>87</v>
      </c>
      <c r="V7514" s="16" t="str">
        <f>IFERROR(__xludf.DUMMYFUNCTION("""COMPUTED_VALUE"""),"")</f>
        <v/>
      </c>
      <c r="W7514" s="16" t="str">
        <f>IFERROR(__xludf.DUMMYFUNCTION("""COMPUTED_VALUE"""),"")</f>
        <v/>
      </c>
      <c r="X7514" s="16" t="str">
        <f>IFERROR(__xludf.DUMMYFUNCTION("""COMPUTED_VALUE"""),"")</f>
        <v/>
      </c>
      <c r="AC7514" s="16" t="str">
        <f>IFERROR(__xludf.DUMMYFUNCTION("""COMPUTED_VALUE"""),"")</f>
        <v/>
      </c>
    </row>
    <row r="7515">
      <c r="A7515" s="16" t="s">
        <v>87</v>
      </c>
      <c r="E7515" s="16" t="str">
        <f>IFERROR(__xludf.DUMMYFUNCTION("""COMPUTED_VALUE"""),"")</f>
        <v/>
      </c>
      <c r="G7515" s="18"/>
      <c r="H7515" s="16" t="s">
        <v>87</v>
      </c>
      <c r="I7515" s="16" t="s">
        <v>87</v>
      </c>
      <c r="J7515" s="19"/>
      <c r="L7515" s="16" t="str">
        <f>IFERROR(__xludf.DUMMYFUNCTION("""COMPUTED_VALUE"""),"")</f>
        <v/>
      </c>
      <c r="M7515" s="16" t="str">
        <f>IFERROR(__xludf.DUMMYFUNCTION("""COMPUTED_VALUE"""),"")</f>
        <v/>
      </c>
      <c r="U7515" s="16" t="s">
        <v>87</v>
      </c>
      <c r="V7515" s="16" t="str">
        <f>IFERROR(__xludf.DUMMYFUNCTION("""COMPUTED_VALUE"""),"")</f>
        <v/>
      </c>
      <c r="W7515" s="16" t="str">
        <f>IFERROR(__xludf.DUMMYFUNCTION("""COMPUTED_VALUE"""),"")</f>
        <v/>
      </c>
      <c r="X7515" s="16" t="str">
        <f>IFERROR(__xludf.DUMMYFUNCTION("""COMPUTED_VALUE"""),"")</f>
        <v/>
      </c>
      <c r="AC7515" s="16" t="str">
        <f>IFERROR(__xludf.DUMMYFUNCTION("""COMPUTED_VALUE"""),"")</f>
        <v/>
      </c>
    </row>
    <row r="7516">
      <c r="A7516" s="16" t="s">
        <v>87</v>
      </c>
      <c r="E7516" s="16" t="str">
        <f>IFERROR(__xludf.DUMMYFUNCTION("""COMPUTED_VALUE"""),"")</f>
        <v/>
      </c>
      <c r="G7516" s="18"/>
      <c r="H7516" s="16" t="s">
        <v>87</v>
      </c>
      <c r="I7516" s="16" t="s">
        <v>87</v>
      </c>
      <c r="J7516" s="19"/>
      <c r="L7516" s="16" t="str">
        <f>IFERROR(__xludf.DUMMYFUNCTION("""COMPUTED_VALUE"""),"")</f>
        <v/>
      </c>
      <c r="M7516" s="16" t="str">
        <f>IFERROR(__xludf.DUMMYFUNCTION("""COMPUTED_VALUE"""),"")</f>
        <v/>
      </c>
      <c r="U7516" s="16" t="s">
        <v>87</v>
      </c>
      <c r="V7516" s="16" t="str">
        <f>IFERROR(__xludf.DUMMYFUNCTION("""COMPUTED_VALUE"""),"")</f>
        <v/>
      </c>
      <c r="W7516" s="16" t="str">
        <f>IFERROR(__xludf.DUMMYFUNCTION("""COMPUTED_VALUE"""),"")</f>
        <v/>
      </c>
      <c r="X7516" s="16" t="str">
        <f>IFERROR(__xludf.DUMMYFUNCTION("""COMPUTED_VALUE"""),"")</f>
        <v/>
      </c>
      <c r="AC7516" s="16" t="str">
        <f>IFERROR(__xludf.DUMMYFUNCTION("""COMPUTED_VALUE"""),"")</f>
        <v/>
      </c>
    </row>
    <row r="7517">
      <c r="A7517" s="16" t="s">
        <v>87</v>
      </c>
      <c r="E7517" s="16" t="str">
        <f>IFERROR(__xludf.DUMMYFUNCTION("""COMPUTED_VALUE"""),"")</f>
        <v/>
      </c>
      <c r="G7517" s="18"/>
      <c r="H7517" s="16" t="s">
        <v>87</v>
      </c>
      <c r="I7517" s="16" t="s">
        <v>87</v>
      </c>
      <c r="J7517" s="19"/>
      <c r="L7517" s="16" t="str">
        <f>IFERROR(__xludf.DUMMYFUNCTION("""COMPUTED_VALUE"""),"")</f>
        <v/>
      </c>
      <c r="M7517" s="16" t="str">
        <f>IFERROR(__xludf.DUMMYFUNCTION("""COMPUTED_VALUE"""),"")</f>
        <v/>
      </c>
      <c r="U7517" s="16" t="s">
        <v>87</v>
      </c>
      <c r="V7517" s="16" t="str">
        <f>IFERROR(__xludf.DUMMYFUNCTION("""COMPUTED_VALUE"""),"")</f>
        <v/>
      </c>
      <c r="W7517" s="16" t="str">
        <f>IFERROR(__xludf.DUMMYFUNCTION("""COMPUTED_VALUE"""),"")</f>
        <v/>
      </c>
      <c r="X7517" s="16" t="str">
        <f>IFERROR(__xludf.DUMMYFUNCTION("""COMPUTED_VALUE"""),"")</f>
        <v/>
      </c>
      <c r="AC7517" s="16" t="str">
        <f>IFERROR(__xludf.DUMMYFUNCTION("""COMPUTED_VALUE"""),"")</f>
        <v/>
      </c>
    </row>
    <row r="7518">
      <c r="A7518" s="16" t="s">
        <v>87</v>
      </c>
      <c r="E7518" s="16" t="str">
        <f>IFERROR(__xludf.DUMMYFUNCTION("""COMPUTED_VALUE"""),"")</f>
        <v/>
      </c>
      <c r="G7518" s="18"/>
      <c r="H7518" s="16" t="s">
        <v>87</v>
      </c>
      <c r="I7518" s="16" t="s">
        <v>87</v>
      </c>
      <c r="J7518" s="19"/>
      <c r="L7518" s="16" t="str">
        <f>IFERROR(__xludf.DUMMYFUNCTION("""COMPUTED_VALUE"""),"")</f>
        <v/>
      </c>
      <c r="M7518" s="16" t="str">
        <f>IFERROR(__xludf.DUMMYFUNCTION("""COMPUTED_VALUE"""),"")</f>
        <v/>
      </c>
      <c r="U7518" s="16" t="s">
        <v>87</v>
      </c>
      <c r="V7518" s="16" t="str">
        <f>IFERROR(__xludf.DUMMYFUNCTION("""COMPUTED_VALUE"""),"")</f>
        <v/>
      </c>
      <c r="W7518" s="16" t="str">
        <f>IFERROR(__xludf.DUMMYFUNCTION("""COMPUTED_VALUE"""),"")</f>
        <v/>
      </c>
      <c r="X7518" s="16" t="str">
        <f>IFERROR(__xludf.DUMMYFUNCTION("""COMPUTED_VALUE"""),"")</f>
        <v/>
      </c>
      <c r="AC7518" s="16" t="str">
        <f>IFERROR(__xludf.DUMMYFUNCTION("""COMPUTED_VALUE"""),"")</f>
        <v/>
      </c>
    </row>
    <row r="7519">
      <c r="A7519" s="16" t="s">
        <v>87</v>
      </c>
      <c r="E7519" s="16" t="str">
        <f>IFERROR(__xludf.DUMMYFUNCTION("""COMPUTED_VALUE"""),"")</f>
        <v/>
      </c>
      <c r="G7519" s="18"/>
      <c r="H7519" s="16" t="s">
        <v>87</v>
      </c>
      <c r="I7519" s="16" t="s">
        <v>87</v>
      </c>
      <c r="J7519" s="19"/>
      <c r="L7519" s="16" t="str">
        <f>IFERROR(__xludf.DUMMYFUNCTION("""COMPUTED_VALUE"""),"")</f>
        <v/>
      </c>
      <c r="M7519" s="16" t="str">
        <f>IFERROR(__xludf.DUMMYFUNCTION("""COMPUTED_VALUE"""),"")</f>
        <v/>
      </c>
      <c r="U7519" s="16" t="s">
        <v>87</v>
      </c>
      <c r="V7519" s="16" t="str">
        <f>IFERROR(__xludf.DUMMYFUNCTION("""COMPUTED_VALUE"""),"")</f>
        <v/>
      </c>
      <c r="W7519" s="16" t="str">
        <f>IFERROR(__xludf.DUMMYFUNCTION("""COMPUTED_VALUE"""),"")</f>
        <v/>
      </c>
      <c r="X7519" s="16" t="str">
        <f>IFERROR(__xludf.DUMMYFUNCTION("""COMPUTED_VALUE"""),"")</f>
        <v/>
      </c>
      <c r="AC7519" s="16" t="str">
        <f>IFERROR(__xludf.DUMMYFUNCTION("""COMPUTED_VALUE"""),"")</f>
        <v/>
      </c>
    </row>
    <row r="7520">
      <c r="A7520" s="16" t="s">
        <v>87</v>
      </c>
      <c r="E7520" s="16" t="str">
        <f>IFERROR(__xludf.DUMMYFUNCTION("""COMPUTED_VALUE"""),"")</f>
        <v/>
      </c>
      <c r="G7520" s="18"/>
      <c r="H7520" s="16" t="s">
        <v>87</v>
      </c>
      <c r="I7520" s="16" t="s">
        <v>87</v>
      </c>
      <c r="J7520" s="19"/>
      <c r="L7520" s="16" t="str">
        <f>IFERROR(__xludf.DUMMYFUNCTION("""COMPUTED_VALUE"""),"")</f>
        <v/>
      </c>
      <c r="M7520" s="16" t="str">
        <f>IFERROR(__xludf.DUMMYFUNCTION("""COMPUTED_VALUE"""),"")</f>
        <v/>
      </c>
      <c r="U7520" s="16" t="s">
        <v>87</v>
      </c>
      <c r="V7520" s="16" t="str">
        <f>IFERROR(__xludf.DUMMYFUNCTION("""COMPUTED_VALUE"""),"")</f>
        <v/>
      </c>
      <c r="W7520" s="16" t="str">
        <f>IFERROR(__xludf.DUMMYFUNCTION("""COMPUTED_VALUE"""),"")</f>
        <v/>
      </c>
      <c r="X7520" s="16" t="str">
        <f>IFERROR(__xludf.DUMMYFUNCTION("""COMPUTED_VALUE"""),"")</f>
        <v/>
      </c>
      <c r="AC7520" s="16" t="str">
        <f>IFERROR(__xludf.DUMMYFUNCTION("""COMPUTED_VALUE"""),"")</f>
        <v/>
      </c>
    </row>
    <row r="7521">
      <c r="A7521" s="16" t="s">
        <v>87</v>
      </c>
      <c r="E7521" s="16" t="str">
        <f>IFERROR(__xludf.DUMMYFUNCTION("""COMPUTED_VALUE"""),"")</f>
        <v/>
      </c>
      <c r="G7521" s="18"/>
      <c r="H7521" s="16" t="s">
        <v>87</v>
      </c>
      <c r="I7521" s="16" t="s">
        <v>87</v>
      </c>
      <c r="J7521" s="19"/>
      <c r="L7521" s="16" t="str">
        <f>IFERROR(__xludf.DUMMYFUNCTION("""COMPUTED_VALUE"""),"")</f>
        <v/>
      </c>
      <c r="M7521" s="16" t="str">
        <f>IFERROR(__xludf.DUMMYFUNCTION("""COMPUTED_VALUE"""),"")</f>
        <v/>
      </c>
      <c r="U7521" s="16" t="s">
        <v>87</v>
      </c>
      <c r="V7521" s="16" t="str">
        <f>IFERROR(__xludf.DUMMYFUNCTION("""COMPUTED_VALUE"""),"")</f>
        <v/>
      </c>
      <c r="W7521" s="16" t="str">
        <f>IFERROR(__xludf.DUMMYFUNCTION("""COMPUTED_VALUE"""),"")</f>
        <v/>
      </c>
      <c r="X7521" s="16" t="str">
        <f>IFERROR(__xludf.DUMMYFUNCTION("""COMPUTED_VALUE"""),"")</f>
        <v/>
      </c>
      <c r="AC7521" s="16" t="str">
        <f>IFERROR(__xludf.DUMMYFUNCTION("""COMPUTED_VALUE"""),"")</f>
        <v/>
      </c>
    </row>
    <row r="7522">
      <c r="A7522" s="16" t="s">
        <v>87</v>
      </c>
      <c r="E7522" s="16" t="str">
        <f>IFERROR(__xludf.DUMMYFUNCTION("""COMPUTED_VALUE"""),"")</f>
        <v/>
      </c>
      <c r="G7522" s="18"/>
      <c r="H7522" s="16" t="s">
        <v>87</v>
      </c>
      <c r="I7522" s="16" t="s">
        <v>87</v>
      </c>
      <c r="J7522" s="19"/>
      <c r="L7522" s="16" t="str">
        <f>IFERROR(__xludf.DUMMYFUNCTION("""COMPUTED_VALUE"""),"")</f>
        <v/>
      </c>
      <c r="M7522" s="16" t="str">
        <f>IFERROR(__xludf.DUMMYFUNCTION("""COMPUTED_VALUE"""),"")</f>
        <v/>
      </c>
      <c r="U7522" s="16" t="s">
        <v>87</v>
      </c>
      <c r="V7522" s="16" t="str">
        <f>IFERROR(__xludf.DUMMYFUNCTION("""COMPUTED_VALUE"""),"")</f>
        <v/>
      </c>
      <c r="W7522" s="16" t="str">
        <f>IFERROR(__xludf.DUMMYFUNCTION("""COMPUTED_VALUE"""),"")</f>
        <v/>
      </c>
      <c r="X7522" s="16" t="str">
        <f>IFERROR(__xludf.DUMMYFUNCTION("""COMPUTED_VALUE"""),"")</f>
        <v/>
      </c>
      <c r="AC7522" s="16" t="str">
        <f>IFERROR(__xludf.DUMMYFUNCTION("""COMPUTED_VALUE"""),"")</f>
        <v/>
      </c>
    </row>
    <row r="7523">
      <c r="A7523" s="16" t="s">
        <v>87</v>
      </c>
      <c r="E7523" s="16" t="str">
        <f>IFERROR(__xludf.DUMMYFUNCTION("""COMPUTED_VALUE"""),"")</f>
        <v/>
      </c>
      <c r="G7523" s="18"/>
      <c r="H7523" s="16" t="s">
        <v>87</v>
      </c>
      <c r="I7523" s="16" t="s">
        <v>87</v>
      </c>
      <c r="J7523" s="19"/>
      <c r="L7523" s="16" t="str">
        <f>IFERROR(__xludf.DUMMYFUNCTION("""COMPUTED_VALUE"""),"")</f>
        <v/>
      </c>
      <c r="M7523" s="16" t="str">
        <f>IFERROR(__xludf.DUMMYFUNCTION("""COMPUTED_VALUE"""),"")</f>
        <v/>
      </c>
      <c r="U7523" s="16" t="s">
        <v>87</v>
      </c>
      <c r="V7523" s="16" t="str">
        <f>IFERROR(__xludf.DUMMYFUNCTION("""COMPUTED_VALUE"""),"")</f>
        <v/>
      </c>
      <c r="W7523" s="16" t="str">
        <f>IFERROR(__xludf.DUMMYFUNCTION("""COMPUTED_VALUE"""),"")</f>
        <v/>
      </c>
      <c r="X7523" s="16" t="str">
        <f>IFERROR(__xludf.DUMMYFUNCTION("""COMPUTED_VALUE"""),"")</f>
        <v/>
      </c>
      <c r="AC7523" s="16" t="str">
        <f>IFERROR(__xludf.DUMMYFUNCTION("""COMPUTED_VALUE"""),"")</f>
        <v/>
      </c>
    </row>
    <row r="7524">
      <c r="A7524" s="16" t="s">
        <v>87</v>
      </c>
      <c r="E7524" s="16" t="str">
        <f>IFERROR(__xludf.DUMMYFUNCTION("""COMPUTED_VALUE"""),"")</f>
        <v/>
      </c>
      <c r="G7524" s="18"/>
      <c r="H7524" s="16" t="s">
        <v>87</v>
      </c>
      <c r="I7524" s="16" t="s">
        <v>87</v>
      </c>
      <c r="J7524" s="19"/>
      <c r="L7524" s="16" t="str">
        <f>IFERROR(__xludf.DUMMYFUNCTION("""COMPUTED_VALUE"""),"")</f>
        <v/>
      </c>
      <c r="M7524" s="16" t="str">
        <f>IFERROR(__xludf.DUMMYFUNCTION("""COMPUTED_VALUE"""),"")</f>
        <v/>
      </c>
      <c r="U7524" s="16" t="s">
        <v>87</v>
      </c>
      <c r="V7524" s="16" t="str">
        <f>IFERROR(__xludf.DUMMYFUNCTION("""COMPUTED_VALUE"""),"")</f>
        <v/>
      </c>
      <c r="W7524" s="16" t="str">
        <f>IFERROR(__xludf.DUMMYFUNCTION("""COMPUTED_VALUE"""),"")</f>
        <v/>
      </c>
      <c r="X7524" s="16" t="str">
        <f>IFERROR(__xludf.DUMMYFUNCTION("""COMPUTED_VALUE"""),"")</f>
        <v/>
      </c>
      <c r="AC7524" s="16" t="str">
        <f>IFERROR(__xludf.DUMMYFUNCTION("""COMPUTED_VALUE"""),"")</f>
        <v/>
      </c>
    </row>
    <row r="7525">
      <c r="A7525" s="16" t="s">
        <v>87</v>
      </c>
      <c r="E7525" s="16" t="str">
        <f>IFERROR(__xludf.DUMMYFUNCTION("""COMPUTED_VALUE"""),"")</f>
        <v/>
      </c>
      <c r="G7525" s="18"/>
      <c r="H7525" s="16" t="s">
        <v>87</v>
      </c>
      <c r="I7525" s="16" t="s">
        <v>87</v>
      </c>
      <c r="J7525" s="19"/>
      <c r="L7525" s="16" t="str">
        <f>IFERROR(__xludf.DUMMYFUNCTION("""COMPUTED_VALUE"""),"")</f>
        <v/>
      </c>
      <c r="M7525" s="16" t="str">
        <f>IFERROR(__xludf.DUMMYFUNCTION("""COMPUTED_VALUE"""),"")</f>
        <v/>
      </c>
      <c r="U7525" s="16" t="s">
        <v>87</v>
      </c>
      <c r="V7525" s="16" t="str">
        <f>IFERROR(__xludf.DUMMYFUNCTION("""COMPUTED_VALUE"""),"")</f>
        <v/>
      </c>
      <c r="W7525" s="16" t="str">
        <f>IFERROR(__xludf.DUMMYFUNCTION("""COMPUTED_VALUE"""),"")</f>
        <v/>
      </c>
      <c r="X7525" s="16" t="str">
        <f>IFERROR(__xludf.DUMMYFUNCTION("""COMPUTED_VALUE"""),"")</f>
        <v/>
      </c>
      <c r="AC7525" s="16" t="str">
        <f>IFERROR(__xludf.DUMMYFUNCTION("""COMPUTED_VALUE"""),"")</f>
        <v/>
      </c>
    </row>
    <row r="7526">
      <c r="A7526" s="16" t="s">
        <v>87</v>
      </c>
      <c r="E7526" s="16" t="str">
        <f>IFERROR(__xludf.DUMMYFUNCTION("""COMPUTED_VALUE"""),"")</f>
        <v/>
      </c>
      <c r="G7526" s="18"/>
      <c r="H7526" s="16" t="s">
        <v>87</v>
      </c>
      <c r="I7526" s="16" t="s">
        <v>87</v>
      </c>
      <c r="J7526" s="19"/>
      <c r="L7526" s="16" t="str">
        <f>IFERROR(__xludf.DUMMYFUNCTION("""COMPUTED_VALUE"""),"")</f>
        <v/>
      </c>
      <c r="M7526" s="16" t="str">
        <f>IFERROR(__xludf.DUMMYFUNCTION("""COMPUTED_VALUE"""),"")</f>
        <v/>
      </c>
      <c r="U7526" s="16" t="s">
        <v>87</v>
      </c>
      <c r="V7526" s="16" t="str">
        <f>IFERROR(__xludf.DUMMYFUNCTION("""COMPUTED_VALUE"""),"")</f>
        <v/>
      </c>
      <c r="W7526" s="16" t="str">
        <f>IFERROR(__xludf.DUMMYFUNCTION("""COMPUTED_VALUE"""),"")</f>
        <v/>
      </c>
      <c r="X7526" s="16" t="str">
        <f>IFERROR(__xludf.DUMMYFUNCTION("""COMPUTED_VALUE"""),"")</f>
        <v/>
      </c>
      <c r="AC7526" s="16" t="str">
        <f>IFERROR(__xludf.DUMMYFUNCTION("""COMPUTED_VALUE"""),"")</f>
        <v/>
      </c>
    </row>
    <row r="7527">
      <c r="A7527" s="16" t="s">
        <v>87</v>
      </c>
      <c r="E7527" s="16" t="str">
        <f>IFERROR(__xludf.DUMMYFUNCTION("""COMPUTED_VALUE"""),"")</f>
        <v/>
      </c>
      <c r="G7527" s="18"/>
      <c r="H7527" s="16" t="s">
        <v>87</v>
      </c>
      <c r="I7527" s="16" t="s">
        <v>87</v>
      </c>
      <c r="J7527" s="19"/>
      <c r="L7527" s="16" t="str">
        <f>IFERROR(__xludf.DUMMYFUNCTION("""COMPUTED_VALUE"""),"")</f>
        <v/>
      </c>
      <c r="M7527" s="16" t="str">
        <f>IFERROR(__xludf.DUMMYFUNCTION("""COMPUTED_VALUE"""),"")</f>
        <v/>
      </c>
      <c r="U7527" s="16" t="s">
        <v>87</v>
      </c>
      <c r="V7527" s="16" t="str">
        <f>IFERROR(__xludf.DUMMYFUNCTION("""COMPUTED_VALUE"""),"")</f>
        <v/>
      </c>
      <c r="W7527" s="16" t="str">
        <f>IFERROR(__xludf.DUMMYFUNCTION("""COMPUTED_VALUE"""),"")</f>
        <v/>
      </c>
      <c r="X7527" s="16" t="str">
        <f>IFERROR(__xludf.DUMMYFUNCTION("""COMPUTED_VALUE"""),"")</f>
        <v/>
      </c>
      <c r="AC7527" s="16" t="str">
        <f>IFERROR(__xludf.DUMMYFUNCTION("""COMPUTED_VALUE"""),"")</f>
        <v/>
      </c>
    </row>
    <row r="7528">
      <c r="A7528" s="16" t="s">
        <v>87</v>
      </c>
      <c r="E7528" s="16" t="str">
        <f>IFERROR(__xludf.DUMMYFUNCTION("""COMPUTED_VALUE"""),"")</f>
        <v/>
      </c>
      <c r="G7528" s="18"/>
      <c r="H7528" s="16" t="s">
        <v>87</v>
      </c>
      <c r="I7528" s="16" t="s">
        <v>87</v>
      </c>
      <c r="J7528" s="19"/>
      <c r="L7528" s="16" t="str">
        <f>IFERROR(__xludf.DUMMYFUNCTION("""COMPUTED_VALUE"""),"")</f>
        <v/>
      </c>
      <c r="M7528" s="16" t="str">
        <f>IFERROR(__xludf.DUMMYFUNCTION("""COMPUTED_VALUE"""),"")</f>
        <v/>
      </c>
      <c r="U7528" s="16" t="s">
        <v>87</v>
      </c>
      <c r="V7528" s="16" t="str">
        <f>IFERROR(__xludf.DUMMYFUNCTION("""COMPUTED_VALUE"""),"")</f>
        <v/>
      </c>
      <c r="W7528" s="16" t="str">
        <f>IFERROR(__xludf.DUMMYFUNCTION("""COMPUTED_VALUE"""),"")</f>
        <v/>
      </c>
      <c r="X7528" s="16" t="str">
        <f>IFERROR(__xludf.DUMMYFUNCTION("""COMPUTED_VALUE"""),"")</f>
        <v/>
      </c>
      <c r="AC7528" s="16" t="str">
        <f>IFERROR(__xludf.DUMMYFUNCTION("""COMPUTED_VALUE"""),"")</f>
        <v/>
      </c>
    </row>
    <row r="7529">
      <c r="A7529" s="16" t="s">
        <v>87</v>
      </c>
      <c r="E7529" s="16" t="str">
        <f>IFERROR(__xludf.DUMMYFUNCTION("""COMPUTED_VALUE"""),"")</f>
        <v/>
      </c>
      <c r="G7529" s="18"/>
      <c r="H7529" s="16" t="s">
        <v>87</v>
      </c>
      <c r="I7529" s="16" t="s">
        <v>87</v>
      </c>
      <c r="J7529" s="19"/>
      <c r="L7529" s="16" t="str">
        <f>IFERROR(__xludf.DUMMYFUNCTION("""COMPUTED_VALUE"""),"")</f>
        <v/>
      </c>
      <c r="M7529" s="16" t="str">
        <f>IFERROR(__xludf.DUMMYFUNCTION("""COMPUTED_VALUE"""),"")</f>
        <v/>
      </c>
      <c r="U7529" s="16" t="s">
        <v>87</v>
      </c>
      <c r="V7529" s="16" t="str">
        <f>IFERROR(__xludf.DUMMYFUNCTION("""COMPUTED_VALUE"""),"")</f>
        <v/>
      </c>
      <c r="W7529" s="16" t="str">
        <f>IFERROR(__xludf.DUMMYFUNCTION("""COMPUTED_VALUE"""),"")</f>
        <v/>
      </c>
      <c r="X7529" s="16" t="str">
        <f>IFERROR(__xludf.DUMMYFUNCTION("""COMPUTED_VALUE"""),"")</f>
        <v/>
      </c>
      <c r="AC7529" s="16" t="str">
        <f>IFERROR(__xludf.DUMMYFUNCTION("""COMPUTED_VALUE"""),"")</f>
        <v/>
      </c>
    </row>
    <row r="7530">
      <c r="A7530" s="16" t="s">
        <v>87</v>
      </c>
      <c r="E7530" s="16" t="str">
        <f>IFERROR(__xludf.DUMMYFUNCTION("""COMPUTED_VALUE"""),"")</f>
        <v/>
      </c>
      <c r="G7530" s="18"/>
      <c r="H7530" s="16" t="s">
        <v>87</v>
      </c>
      <c r="I7530" s="16" t="s">
        <v>87</v>
      </c>
      <c r="J7530" s="19"/>
      <c r="L7530" s="16" t="str">
        <f>IFERROR(__xludf.DUMMYFUNCTION("""COMPUTED_VALUE"""),"")</f>
        <v/>
      </c>
      <c r="M7530" s="16" t="str">
        <f>IFERROR(__xludf.DUMMYFUNCTION("""COMPUTED_VALUE"""),"")</f>
        <v/>
      </c>
      <c r="U7530" s="16" t="s">
        <v>87</v>
      </c>
      <c r="V7530" s="16" t="str">
        <f>IFERROR(__xludf.DUMMYFUNCTION("""COMPUTED_VALUE"""),"")</f>
        <v/>
      </c>
      <c r="W7530" s="16" t="str">
        <f>IFERROR(__xludf.DUMMYFUNCTION("""COMPUTED_VALUE"""),"")</f>
        <v/>
      </c>
      <c r="X7530" s="16" t="str">
        <f>IFERROR(__xludf.DUMMYFUNCTION("""COMPUTED_VALUE"""),"")</f>
        <v/>
      </c>
      <c r="AC7530" s="16" t="str">
        <f>IFERROR(__xludf.DUMMYFUNCTION("""COMPUTED_VALUE"""),"")</f>
        <v/>
      </c>
    </row>
    <row r="7531">
      <c r="A7531" s="16" t="s">
        <v>87</v>
      </c>
      <c r="E7531" s="16" t="str">
        <f>IFERROR(__xludf.DUMMYFUNCTION("""COMPUTED_VALUE"""),"")</f>
        <v/>
      </c>
      <c r="G7531" s="18"/>
      <c r="H7531" s="16" t="s">
        <v>87</v>
      </c>
      <c r="I7531" s="16" t="s">
        <v>87</v>
      </c>
      <c r="J7531" s="19"/>
      <c r="L7531" s="16" t="str">
        <f>IFERROR(__xludf.DUMMYFUNCTION("""COMPUTED_VALUE"""),"")</f>
        <v/>
      </c>
      <c r="M7531" s="16" t="str">
        <f>IFERROR(__xludf.DUMMYFUNCTION("""COMPUTED_VALUE"""),"")</f>
        <v/>
      </c>
      <c r="U7531" s="16" t="s">
        <v>87</v>
      </c>
      <c r="V7531" s="16" t="str">
        <f>IFERROR(__xludf.DUMMYFUNCTION("""COMPUTED_VALUE"""),"")</f>
        <v/>
      </c>
      <c r="W7531" s="16" t="str">
        <f>IFERROR(__xludf.DUMMYFUNCTION("""COMPUTED_VALUE"""),"")</f>
        <v/>
      </c>
      <c r="X7531" s="16" t="str">
        <f>IFERROR(__xludf.DUMMYFUNCTION("""COMPUTED_VALUE"""),"")</f>
        <v/>
      </c>
      <c r="AC7531" s="16" t="str">
        <f>IFERROR(__xludf.DUMMYFUNCTION("""COMPUTED_VALUE"""),"")</f>
        <v/>
      </c>
    </row>
    <row r="7532">
      <c r="A7532" s="16" t="s">
        <v>87</v>
      </c>
      <c r="E7532" s="16" t="str">
        <f>IFERROR(__xludf.DUMMYFUNCTION("""COMPUTED_VALUE"""),"")</f>
        <v/>
      </c>
      <c r="G7532" s="18"/>
      <c r="H7532" s="16" t="s">
        <v>87</v>
      </c>
      <c r="I7532" s="16" t="s">
        <v>87</v>
      </c>
      <c r="J7532" s="19"/>
      <c r="L7532" s="16" t="str">
        <f>IFERROR(__xludf.DUMMYFUNCTION("""COMPUTED_VALUE"""),"")</f>
        <v/>
      </c>
      <c r="M7532" s="16" t="str">
        <f>IFERROR(__xludf.DUMMYFUNCTION("""COMPUTED_VALUE"""),"")</f>
        <v/>
      </c>
      <c r="U7532" s="16" t="s">
        <v>87</v>
      </c>
      <c r="V7532" s="16" t="str">
        <f>IFERROR(__xludf.DUMMYFUNCTION("""COMPUTED_VALUE"""),"")</f>
        <v/>
      </c>
      <c r="W7532" s="16" t="str">
        <f>IFERROR(__xludf.DUMMYFUNCTION("""COMPUTED_VALUE"""),"")</f>
        <v/>
      </c>
      <c r="X7532" s="16" t="str">
        <f>IFERROR(__xludf.DUMMYFUNCTION("""COMPUTED_VALUE"""),"")</f>
        <v/>
      </c>
      <c r="AC7532" s="16" t="str">
        <f>IFERROR(__xludf.DUMMYFUNCTION("""COMPUTED_VALUE"""),"")</f>
        <v/>
      </c>
    </row>
    <row r="7533">
      <c r="A7533" s="16" t="s">
        <v>87</v>
      </c>
      <c r="E7533" s="16" t="str">
        <f>IFERROR(__xludf.DUMMYFUNCTION("""COMPUTED_VALUE"""),"")</f>
        <v/>
      </c>
      <c r="G7533" s="18"/>
      <c r="H7533" s="16" t="s">
        <v>87</v>
      </c>
      <c r="I7533" s="16" t="s">
        <v>87</v>
      </c>
      <c r="J7533" s="19"/>
      <c r="L7533" s="16" t="str">
        <f>IFERROR(__xludf.DUMMYFUNCTION("""COMPUTED_VALUE"""),"")</f>
        <v/>
      </c>
      <c r="M7533" s="16" t="str">
        <f>IFERROR(__xludf.DUMMYFUNCTION("""COMPUTED_VALUE"""),"")</f>
        <v/>
      </c>
      <c r="U7533" s="16" t="s">
        <v>87</v>
      </c>
      <c r="V7533" s="16" t="str">
        <f>IFERROR(__xludf.DUMMYFUNCTION("""COMPUTED_VALUE"""),"")</f>
        <v/>
      </c>
      <c r="W7533" s="16" t="str">
        <f>IFERROR(__xludf.DUMMYFUNCTION("""COMPUTED_VALUE"""),"")</f>
        <v/>
      </c>
      <c r="X7533" s="16" t="str">
        <f>IFERROR(__xludf.DUMMYFUNCTION("""COMPUTED_VALUE"""),"")</f>
        <v/>
      </c>
      <c r="AC7533" s="16" t="str">
        <f>IFERROR(__xludf.DUMMYFUNCTION("""COMPUTED_VALUE"""),"")</f>
        <v/>
      </c>
    </row>
    <row r="7534">
      <c r="A7534" s="16" t="s">
        <v>87</v>
      </c>
      <c r="E7534" s="16" t="str">
        <f>IFERROR(__xludf.DUMMYFUNCTION("""COMPUTED_VALUE"""),"")</f>
        <v/>
      </c>
      <c r="G7534" s="18"/>
      <c r="H7534" s="16" t="s">
        <v>87</v>
      </c>
      <c r="I7534" s="16" t="s">
        <v>87</v>
      </c>
      <c r="J7534" s="19"/>
      <c r="L7534" s="16" t="str">
        <f>IFERROR(__xludf.DUMMYFUNCTION("""COMPUTED_VALUE"""),"")</f>
        <v/>
      </c>
      <c r="M7534" s="16" t="str">
        <f>IFERROR(__xludf.DUMMYFUNCTION("""COMPUTED_VALUE"""),"")</f>
        <v/>
      </c>
      <c r="U7534" s="16" t="s">
        <v>87</v>
      </c>
      <c r="V7534" s="16" t="str">
        <f>IFERROR(__xludf.DUMMYFUNCTION("""COMPUTED_VALUE"""),"")</f>
        <v/>
      </c>
      <c r="W7534" s="16" t="str">
        <f>IFERROR(__xludf.DUMMYFUNCTION("""COMPUTED_VALUE"""),"")</f>
        <v/>
      </c>
      <c r="X7534" s="16" t="str">
        <f>IFERROR(__xludf.DUMMYFUNCTION("""COMPUTED_VALUE"""),"")</f>
        <v/>
      </c>
      <c r="AC7534" s="16" t="str">
        <f>IFERROR(__xludf.DUMMYFUNCTION("""COMPUTED_VALUE"""),"")</f>
        <v/>
      </c>
    </row>
    <row r="7535">
      <c r="A7535" s="16" t="s">
        <v>87</v>
      </c>
      <c r="E7535" s="16" t="str">
        <f>IFERROR(__xludf.DUMMYFUNCTION("""COMPUTED_VALUE"""),"")</f>
        <v/>
      </c>
      <c r="G7535" s="18"/>
      <c r="H7535" s="16" t="s">
        <v>87</v>
      </c>
      <c r="I7535" s="16" t="s">
        <v>87</v>
      </c>
      <c r="J7535" s="19"/>
      <c r="L7535" s="16" t="str">
        <f>IFERROR(__xludf.DUMMYFUNCTION("""COMPUTED_VALUE"""),"")</f>
        <v/>
      </c>
      <c r="M7535" s="16" t="str">
        <f>IFERROR(__xludf.DUMMYFUNCTION("""COMPUTED_VALUE"""),"")</f>
        <v/>
      </c>
      <c r="U7535" s="16" t="s">
        <v>87</v>
      </c>
      <c r="V7535" s="16" t="str">
        <f>IFERROR(__xludf.DUMMYFUNCTION("""COMPUTED_VALUE"""),"")</f>
        <v/>
      </c>
      <c r="W7535" s="16" t="str">
        <f>IFERROR(__xludf.DUMMYFUNCTION("""COMPUTED_VALUE"""),"")</f>
        <v/>
      </c>
      <c r="X7535" s="16" t="str">
        <f>IFERROR(__xludf.DUMMYFUNCTION("""COMPUTED_VALUE"""),"")</f>
        <v/>
      </c>
      <c r="AC7535" s="16" t="str">
        <f>IFERROR(__xludf.DUMMYFUNCTION("""COMPUTED_VALUE"""),"")</f>
        <v/>
      </c>
    </row>
    <row r="7536">
      <c r="A7536" s="16" t="s">
        <v>87</v>
      </c>
      <c r="E7536" s="16" t="str">
        <f>IFERROR(__xludf.DUMMYFUNCTION("""COMPUTED_VALUE"""),"")</f>
        <v/>
      </c>
      <c r="G7536" s="18"/>
      <c r="H7536" s="16" t="s">
        <v>87</v>
      </c>
      <c r="I7536" s="16" t="s">
        <v>87</v>
      </c>
      <c r="J7536" s="19"/>
      <c r="L7536" s="16" t="str">
        <f>IFERROR(__xludf.DUMMYFUNCTION("""COMPUTED_VALUE"""),"")</f>
        <v/>
      </c>
      <c r="M7536" s="16" t="str">
        <f>IFERROR(__xludf.DUMMYFUNCTION("""COMPUTED_VALUE"""),"")</f>
        <v/>
      </c>
      <c r="U7536" s="16" t="s">
        <v>87</v>
      </c>
      <c r="V7536" s="16" t="str">
        <f>IFERROR(__xludf.DUMMYFUNCTION("""COMPUTED_VALUE"""),"")</f>
        <v/>
      </c>
      <c r="W7536" s="16" t="str">
        <f>IFERROR(__xludf.DUMMYFUNCTION("""COMPUTED_VALUE"""),"")</f>
        <v/>
      </c>
      <c r="X7536" s="16" t="str">
        <f>IFERROR(__xludf.DUMMYFUNCTION("""COMPUTED_VALUE"""),"")</f>
        <v/>
      </c>
      <c r="AC7536" s="16" t="str">
        <f>IFERROR(__xludf.DUMMYFUNCTION("""COMPUTED_VALUE"""),"")</f>
        <v/>
      </c>
    </row>
    <row r="7537">
      <c r="A7537" s="16" t="s">
        <v>87</v>
      </c>
      <c r="E7537" s="16" t="str">
        <f>IFERROR(__xludf.DUMMYFUNCTION("""COMPUTED_VALUE"""),"")</f>
        <v/>
      </c>
      <c r="G7537" s="18"/>
      <c r="H7537" s="16" t="s">
        <v>87</v>
      </c>
      <c r="I7537" s="16" t="s">
        <v>87</v>
      </c>
      <c r="J7537" s="19"/>
      <c r="L7537" s="16" t="str">
        <f>IFERROR(__xludf.DUMMYFUNCTION("""COMPUTED_VALUE"""),"")</f>
        <v/>
      </c>
      <c r="M7537" s="16" t="str">
        <f>IFERROR(__xludf.DUMMYFUNCTION("""COMPUTED_VALUE"""),"")</f>
        <v/>
      </c>
      <c r="U7537" s="16" t="s">
        <v>87</v>
      </c>
      <c r="V7537" s="16" t="str">
        <f>IFERROR(__xludf.DUMMYFUNCTION("""COMPUTED_VALUE"""),"")</f>
        <v/>
      </c>
      <c r="W7537" s="16" t="str">
        <f>IFERROR(__xludf.DUMMYFUNCTION("""COMPUTED_VALUE"""),"")</f>
        <v/>
      </c>
      <c r="X7537" s="16" t="str">
        <f>IFERROR(__xludf.DUMMYFUNCTION("""COMPUTED_VALUE"""),"")</f>
        <v/>
      </c>
      <c r="AC7537" s="16" t="str">
        <f>IFERROR(__xludf.DUMMYFUNCTION("""COMPUTED_VALUE"""),"")</f>
        <v/>
      </c>
    </row>
    <row r="7538">
      <c r="A7538" s="16" t="s">
        <v>87</v>
      </c>
      <c r="E7538" s="16" t="str">
        <f>IFERROR(__xludf.DUMMYFUNCTION("""COMPUTED_VALUE"""),"")</f>
        <v/>
      </c>
      <c r="G7538" s="18"/>
      <c r="H7538" s="16" t="s">
        <v>87</v>
      </c>
      <c r="I7538" s="16" t="s">
        <v>87</v>
      </c>
      <c r="J7538" s="19"/>
      <c r="L7538" s="16" t="str">
        <f>IFERROR(__xludf.DUMMYFUNCTION("""COMPUTED_VALUE"""),"")</f>
        <v/>
      </c>
      <c r="M7538" s="16" t="str">
        <f>IFERROR(__xludf.DUMMYFUNCTION("""COMPUTED_VALUE"""),"")</f>
        <v/>
      </c>
      <c r="U7538" s="16" t="s">
        <v>87</v>
      </c>
      <c r="V7538" s="16" t="str">
        <f>IFERROR(__xludf.DUMMYFUNCTION("""COMPUTED_VALUE"""),"")</f>
        <v/>
      </c>
      <c r="W7538" s="16" t="str">
        <f>IFERROR(__xludf.DUMMYFUNCTION("""COMPUTED_VALUE"""),"")</f>
        <v/>
      </c>
      <c r="X7538" s="16" t="str">
        <f>IFERROR(__xludf.DUMMYFUNCTION("""COMPUTED_VALUE"""),"")</f>
        <v/>
      </c>
      <c r="AC7538" s="16" t="str">
        <f>IFERROR(__xludf.DUMMYFUNCTION("""COMPUTED_VALUE"""),"")</f>
        <v/>
      </c>
    </row>
    <row r="7539">
      <c r="A7539" s="16" t="s">
        <v>87</v>
      </c>
      <c r="E7539" s="16" t="str">
        <f>IFERROR(__xludf.DUMMYFUNCTION("""COMPUTED_VALUE"""),"")</f>
        <v/>
      </c>
      <c r="G7539" s="18"/>
      <c r="H7539" s="16" t="s">
        <v>87</v>
      </c>
      <c r="I7539" s="16" t="s">
        <v>87</v>
      </c>
      <c r="J7539" s="19"/>
      <c r="L7539" s="16" t="str">
        <f>IFERROR(__xludf.DUMMYFUNCTION("""COMPUTED_VALUE"""),"")</f>
        <v/>
      </c>
      <c r="M7539" s="16" t="str">
        <f>IFERROR(__xludf.DUMMYFUNCTION("""COMPUTED_VALUE"""),"")</f>
        <v/>
      </c>
      <c r="U7539" s="16" t="s">
        <v>87</v>
      </c>
      <c r="V7539" s="16" t="str">
        <f>IFERROR(__xludf.DUMMYFUNCTION("""COMPUTED_VALUE"""),"")</f>
        <v/>
      </c>
      <c r="W7539" s="16" t="str">
        <f>IFERROR(__xludf.DUMMYFUNCTION("""COMPUTED_VALUE"""),"")</f>
        <v/>
      </c>
      <c r="X7539" s="16" t="str">
        <f>IFERROR(__xludf.DUMMYFUNCTION("""COMPUTED_VALUE"""),"")</f>
        <v/>
      </c>
      <c r="AC7539" s="16" t="str">
        <f>IFERROR(__xludf.DUMMYFUNCTION("""COMPUTED_VALUE"""),"")</f>
        <v/>
      </c>
    </row>
    <row r="7540">
      <c r="A7540" s="16" t="s">
        <v>87</v>
      </c>
      <c r="E7540" s="16" t="str">
        <f>IFERROR(__xludf.DUMMYFUNCTION("""COMPUTED_VALUE"""),"")</f>
        <v/>
      </c>
      <c r="G7540" s="18"/>
      <c r="H7540" s="16" t="s">
        <v>87</v>
      </c>
      <c r="I7540" s="16" t="s">
        <v>87</v>
      </c>
      <c r="J7540" s="19"/>
      <c r="L7540" s="16" t="str">
        <f>IFERROR(__xludf.DUMMYFUNCTION("""COMPUTED_VALUE"""),"")</f>
        <v/>
      </c>
      <c r="M7540" s="16" t="str">
        <f>IFERROR(__xludf.DUMMYFUNCTION("""COMPUTED_VALUE"""),"")</f>
        <v/>
      </c>
      <c r="U7540" s="16" t="s">
        <v>87</v>
      </c>
      <c r="V7540" s="16" t="str">
        <f>IFERROR(__xludf.DUMMYFUNCTION("""COMPUTED_VALUE"""),"")</f>
        <v/>
      </c>
      <c r="W7540" s="16" t="str">
        <f>IFERROR(__xludf.DUMMYFUNCTION("""COMPUTED_VALUE"""),"")</f>
        <v/>
      </c>
      <c r="X7540" s="16" t="str">
        <f>IFERROR(__xludf.DUMMYFUNCTION("""COMPUTED_VALUE"""),"")</f>
        <v/>
      </c>
      <c r="AC7540" s="16" t="str">
        <f>IFERROR(__xludf.DUMMYFUNCTION("""COMPUTED_VALUE"""),"")</f>
        <v/>
      </c>
    </row>
    <row r="7541">
      <c r="A7541" s="16" t="s">
        <v>87</v>
      </c>
      <c r="E7541" s="16" t="str">
        <f>IFERROR(__xludf.DUMMYFUNCTION("""COMPUTED_VALUE"""),"")</f>
        <v/>
      </c>
      <c r="G7541" s="18"/>
      <c r="H7541" s="16" t="s">
        <v>87</v>
      </c>
      <c r="I7541" s="16" t="s">
        <v>87</v>
      </c>
      <c r="J7541" s="19"/>
      <c r="L7541" s="16" t="str">
        <f>IFERROR(__xludf.DUMMYFUNCTION("""COMPUTED_VALUE"""),"")</f>
        <v/>
      </c>
      <c r="M7541" s="16" t="str">
        <f>IFERROR(__xludf.DUMMYFUNCTION("""COMPUTED_VALUE"""),"")</f>
        <v/>
      </c>
      <c r="U7541" s="16" t="s">
        <v>87</v>
      </c>
      <c r="V7541" s="16" t="str">
        <f>IFERROR(__xludf.DUMMYFUNCTION("""COMPUTED_VALUE"""),"")</f>
        <v/>
      </c>
      <c r="W7541" s="16" t="str">
        <f>IFERROR(__xludf.DUMMYFUNCTION("""COMPUTED_VALUE"""),"")</f>
        <v/>
      </c>
      <c r="X7541" s="16" t="str">
        <f>IFERROR(__xludf.DUMMYFUNCTION("""COMPUTED_VALUE"""),"")</f>
        <v/>
      </c>
      <c r="AC7541" s="16" t="str">
        <f>IFERROR(__xludf.DUMMYFUNCTION("""COMPUTED_VALUE"""),"")</f>
        <v/>
      </c>
    </row>
    <row r="7542">
      <c r="A7542" s="16" t="s">
        <v>87</v>
      </c>
      <c r="E7542" s="16" t="str">
        <f>IFERROR(__xludf.DUMMYFUNCTION("""COMPUTED_VALUE"""),"")</f>
        <v/>
      </c>
      <c r="G7542" s="18"/>
      <c r="H7542" s="16" t="s">
        <v>87</v>
      </c>
      <c r="I7542" s="16" t="s">
        <v>87</v>
      </c>
      <c r="J7542" s="19"/>
      <c r="L7542" s="16" t="str">
        <f>IFERROR(__xludf.DUMMYFUNCTION("""COMPUTED_VALUE"""),"")</f>
        <v/>
      </c>
      <c r="M7542" s="16" t="str">
        <f>IFERROR(__xludf.DUMMYFUNCTION("""COMPUTED_VALUE"""),"")</f>
        <v/>
      </c>
      <c r="U7542" s="16" t="s">
        <v>87</v>
      </c>
      <c r="V7542" s="16" t="str">
        <f>IFERROR(__xludf.DUMMYFUNCTION("""COMPUTED_VALUE"""),"")</f>
        <v/>
      </c>
      <c r="W7542" s="16" t="str">
        <f>IFERROR(__xludf.DUMMYFUNCTION("""COMPUTED_VALUE"""),"")</f>
        <v/>
      </c>
      <c r="X7542" s="16" t="str">
        <f>IFERROR(__xludf.DUMMYFUNCTION("""COMPUTED_VALUE"""),"")</f>
        <v/>
      </c>
      <c r="AC7542" s="16" t="str">
        <f>IFERROR(__xludf.DUMMYFUNCTION("""COMPUTED_VALUE"""),"")</f>
        <v/>
      </c>
    </row>
    <row r="7543">
      <c r="A7543" s="16" t="s">
        <v>87</v>
      </c>
      <c r="E7543" s="16" t="str">
        <f>IFERROR(__xludf.DUMMYFUNCTION("""COMPUTED_VALUE"""),"")</f>
        <v/>
      </c>
      <c r="G7543" s="18"/>
      <c r="H7543" s="16" t="s">
        <v>87</v>
      </c>
      <c r="I7543" s="16" t="s">
        <v>87</v>
      </c>
      <c r="J7543" s="19"/>
      <c r="L7543" s="16" t="str">
        <f>IFERROR(__xludf.DUMMYFUNCTION("""COMPUTED_VALUE"""),"")</f>
        <v/>
      </c>
      <c r="M7543" s="16" t="str">
        <f>IFERROR(__xludf.DUMMYFUNCTION("""COMPUTED_VALUE"""),"")</f>
        <v/>
      </c>
      <c r="U7543" s="16" t="s">
        <v>87</v>
      </c>
      <c r="V7543" s="16" t="str">
        <f>IFERROR(__xludf.DUMMYFUNCTION("""COMPUTED_VALUE"""),"")</f>
        <v/>
      </c>
      <c r="W7543" s="16" t="str">
        <f>IFERROR(__xludf.DUMMYFUNCTION("""COMPUTED_VALUE"""),"")</f>
        <v/>
      </c>
      <c r="X7543" s="16" t="str">
        <f>IFERROR(__xludf.DUMMYFUNCTION("""COMPUTED_VALUE"""),"")</f>
        <v/>
      </c>
      <c r="AC7543" s="16" t="str">
        <f>IFERROR(__xludf.DUMMYFUNCTION("""COMPUTED_VALUE"""),"")</f>
        <v/>
      </c>
    </row>
    <row r="7544">
      <c r="A7544" s="16" t="s">
        <v>87</v>
      </c>
      <c r="E7544" s="16" t="str">
        <f>IFERROR(__xludf.DUMMYFUNCTION("""COMPUTED_VALUE"""),"")</f>
        <v/>
      </c>
      <c r="G7544" s="18"/>
      <c r="H7544" s="16" t="s">
        <v>87</v>
      </c>
      <c r="I7544" s="16" t="s">
        <v>87</v>
      </c>
      <c r="J7544" s="19"/>
      <c r="L7544" s="16" t="str">
        <f>IFERROR(__xludf.DUMMYFUNCTION("""COMPUTED_VALUE"""),"")</f>
        <v/>
      </c>
      <c r="M7544" s="16" t="str">
        <f>IFERROR(__xludf.DUMMYFUNCTION("""COMPUTED_VALUE"""),"")</f>
        <v/>
      </c>
      <c r="U7544" s="16" t="s">
        <v>87</v>
      </c>
      <c r="V7544" s="16" t="str">
        <f>IFERROR(__xludf.DUMMYFUNCTION("""COMPUTED_VALUE"""),"")</f>
        <v/>
      </c>
      <c r="W7544" s="16" t="str">
        <f>IFERROR(__xludf.DUMMYFUNCTION("""COMPUTED_VALUE"""),"")</f>
        <v/>
      </c>
      <c r="X7544" s="16" t="str">
        <f>IFERROR(__xludf.DUMMYFUNCTION("""COMPUTED_VALUE"""),"")</f>
        <v/>
      </c>
      <c r="AC7544" s="16" t="str">
        <f>IFERROR(__xludf.DUMMYFUNCTION("""COMPUTED_VALUE"""),"")</f>
        <v/>
      </c>
    </row>
    <row r="7545">
      <c r="A7545" s="16" t="s">
        <v>87</v>
      </c>
      <c r="E7545" s="16" t="str">
        <f>IFERROR(__xludf.DUMMYFUNCTION("""COMPUTED_VALUE"""),"")</f>
        <v/>
      </c>
      <c r="G7545" s="18"/>
      <c r="H7545" s="16" t="s">
        <v>87</v>
      </c>
      <c r="I7545" s="16" t="s">
        <v>87</v>
      </c>
      <c r="J7545" s="19"/>
      <c r="L7545" s="16" t="str">
        <f>IFERROR(__xludf.DUMMYFUNCTION("""COMPUTED_VALUE"""),"")</f>
        <v/>
      </c>
      <c r="M7545" s="16" t="str">
        <f>IFERROR(__xludf.DUMMYFUNCTION("""COMPUTED_VALUE"""),"")</f>
        <v/>
      </c>
      <c r="U7545" s="16" t="s">
        <v>87</v>
      </c>
      <c r="V7545" s="16" t="str">
        <f>IFERROR(__xludf.DUMMYFUNCTION("""COMPUTED_VALUE"""),"")</f>
        <v/>
      </c>
      <c r="W7545" s="16" t="str">
        <f>IFERROR(__xludf.DUMMYFUNCTION("""COMPUTED_VALUE"""),"")</f>
        <v/>
      </c>
      <c r="X7545" s="16" t="str">
        <f>IFERROR(__xludf.DUMMYFUNCTION("""COMPUTED_VALUE"""),"")</f>
        <v/>
      </c>
      <c r="AC7545" s="16" t="str">
        <f>IFERROR(__xludf.DUMMYFUNCTION("""COMPUTED_VALUE"""),"")</f>
        <v/>
      </c>
    </row>
    <row r="7546">
      <c r="A7546" s="16" t="s">
        <v>87</v>
      </c>
      <c r="E7546" s="16" t="str">
        <f>IFERROR(__xludf.DUMMYFUNCTION("""COMPUTED_VALUE"""),"")</f>
        <v/>
      </c>
      <c r="G7546" s="18"/>
      <c r="H7546" s="16" t="s">
        <v>87</v>
      </c>
      <c r="I7546" s="16" t="s">
        <v>87</v>
      </c>
      <c r="J7546" s="19"/>
      <c r="L7546" s="16" t="str">
        <f>IFERROR(__xludf.DUMMYFUNCTION("""COMPUTED_VALUE"""),"")</f>
        <v/>
      </c>
      <c r="M7546" s="16" t="str">
        <f>IFERROR(__xludf.DUMMYFUNCTION("""COMPUTED_VALUE"""),"")</f>
        <v/>
      </c>
      <c r="U7546" s="16" t="s">
        <v>87</v>
      </c>
      <c r="V7546" s="16" t="str">
        <f>IFERROR(__xludf.DUMMYFUNCTION("""COMPUTED_VALUE"""),"")</f>
        <v/>
      </c>
      <c r="W7546" s="16" t="str">
        <f>IFERROR(__xludf.DUMMYFUNCTION("""COMPUTED_VALUE"""),"")</f>
        <v/>
      </c>
      <c r="X7546" s="16" t="str">
        <f>IFERROR(__xludf.DUMMYFUNCTION("""COMPUTED_VALUE"""),"")</f>
        <v/>
      </c>
      <c r="AC7546" s="16" t="str">
        <f>IFERROR(__xludf.DUMMYFUNCTION("""COMPUTED_VALUE"""),"")</f>
        <v/>
      </c>
    </row>
    <row r="7547">
      <c r="A7547" s="16" t="s">
        <v>87</v>
      </c>
      <c r="E7547" s="16" t="str">
        <f>IFERROR(__xludf.DUMMYFUNCTION("""COMPUTED_VALUE"""),"")</f>
        <v/>
      </c>
      <c r="G7547" s="18"/>
      <c r="H7547" s="16" t="s">
        <v>87</v>
      </c>
      <c r="I7547" s="16" t="s">
        <v>87</v>
      </c>
      <c r="J7547" s="19"/>
      <c r="L7547" s="16" t="str">
        <f>IFERROR(__xludf.DUMMYFUNCTION("""COMPUTED_VALUE"""),"")</f>
        <v/>
      </c>
      <c r="M7547" s="16" t="str">
        <f>IFERROR(__xludf.DUMMYFUNCTION("""COMPUTED_VALUE"""),"")</f>
        <v/>
      </c>
      <c r="U7547" s="16" t="s">
        <v>87</v>
      </c>
      <c r="V7547" s="16" t="str">
        <f>IFERROR(__xludf.DUMMYFUNCTION("""COMPUTED_VALUE"""),"")</f>
        <v/>
      </c>
      <c r="W7547" s="16" t="str">
        <f>IFERROR(__xludf.DUMMYFUNCTION("""COMPUTED_VALUE"""),"")</f>
        <v/>
      </c>
      <c r="X7547" s="16" t="str">
        <f>IFERROR(__xludf.DUMMYFUNCTION("""COMPUTED_VALUE"""),"")</f>
        <v/>
      </c>
      <c r="AC7547" s="16" t="str">
        <f>IFERROR(__xludf.DUMMYFUNCTION("""COMPUTED_VALUE"""),"")</f>
        <v/>
      </c>
    </row>
    <row r="7548">
      <c r="A7548" s="16" t="s">
        <v>87</v>
      </c>
      <c r="E7548" s="16" t="str">
        <f>IFERROR(__xludf.DUMMYFUNCTION("""COMPUTED_VALUE"""),"")</f>
        <v/>
      </c>
      <c r="G7548" s="18"/>
      <c r="H7548" s="16" t="s">
        <v>87</v>
      </c>
      <c r="I7548" s="16" t="s">
        <v>87</v>
      </c>
      <c r="J7548" s="19"/>
      <c r="L7548" s="16" t="str">
        <f>IFERROR(__xludf.DUMMYFUNCTION("""COMPUTED_VALUE"""),"")</f>
        <v/>
      </c>
      <c r="M7548" s="16" t="str">
        <f>IFERROR(__xludf.DUMMYFUNCTION("""COMPUTED_VALUE"""),"")</f>
        <v/>
      </c>
      <c r="U7548" s="16" t="s">
        <v>87</v>
      </c>
      <c r="V7548" s="16" t="str">
        <f>IFERROR(__xludf.DUMMYFUNCTION("""COMPUTED_VALUE"""),"")</f>
        <v/>
      </c>
      <c r="W7548" s="16" t="str">
        <f>IFERROR(__xludf.DUMMYFUNCTION("""COMPUTED_VALUE"""),"")</f>
        <v/>
      </c>
      <c r="X7548" s="16" t="str">
        <f>IFERROR(__xludf.DUMMYFUNCTION("""COMPUTED_VALUE"""),"")</f>
        <v/>
      </c>
      <c r="AC7548" s="16" t="str">
        <f>IFERROR(__xludf.DUMMYFUNCTION("""COMPUTED_VALUE"""),"")</f>
        <v/>
      </c>
    </row>
    <row r="7549">
      <c r="A7549" s="16" t="s">
        <v>87</v>
      </c>
      <c r="E7549" s="16" t="str">
        <f>IFERROR(__xludf.DUMMYFUNCTION("""COMPUTED_VALUE"""),"")</f>
        <v/>
      </c>
      <c r="G7549" s="18"/>
      <c r="H7549" s="16" t="s">
        <v>87</v>
      </c>
      <c r="I7549" s="16" t="s">
        <v>87</v>
      </c>
      <c r="J7549" s="19"/>
      <c r="L7549" s="16" t="str">
        <f>IFERROR(__xludf.DUMMYFUNCTION("""COMPUTED_VALUE"""),"")</f>
        <v/>
      </c>
      <c r="M7549" s="16" t="str">
        <f>IFERROR(__xludf.DUMMYFUNCTION("""COMPUTED_VALUE"""),"")</f>
        <v/>
      </c>
      <c r="U7549" s="16" t="s">
        <v>87</v>
      </c>
      <c r="V7549" s="16" t="str">
        <f>IFERROR(__xludf.DUMMYFUNCTION("""COMPUTED_VALUE"""),"")</f>
        <v/>
      </c>
      <c r="W7549" s="16" t="str">
        <f>IFERROR(__xludf.DUMMYFUNCTION("""COMPUTED_VALUE"""),"")</f>
        <v/>
      </c>
      <c r="X7549" s="16" t="str">
        <f>IFERROR(__xludf.DUMMYFUNCTION("""COMPUTED_VALUE"""),"")</f>
        <v/>
      </c>
      <c r="AC7549" s="16" t="str">
        <f>IFERROR(__xludf.DUMMYFUNCTION("""COMPUTED_VALUE"""),"")</f>
        <v/>
      </c>
    </row>
    <row r="7550">
      <c r="A7550" s="16" t="s">
        <v>87</v>
      </c>
      <c r="E7550" s="16" t="str">
        <f>IFERROR(__xludf.DUMMYFUNCTION("""COMPUTED_VALUE"""),"")</f>
        <v/>
      </c>
      <c r="G7550" s="18"/>
      <c r="H7550" s="16" t="s">
        <v>87</v>
      </c>
      <c r="I7550" s="16" t="s">
        <v>87</v>
      </c>
      <c r="J7550" s="19"/>
      <c r="L7550" s="16" t="str">
        <f>IFERROR(__xludf.DUMMYFUNCTION("""COMPUTED_VALUE"""),"")</f>
        <v/>
      </c>
      <c r="M7550" s="16" t="str">
        <f>IFERROR(__xludf.DUMMYFUNCTION("""COMPUTED_VALUE"""),"")</f>
        <v/>
      </c>
      <c r="U7550" s="16" t="s">
        <v>87</v>
      </c>
      <c r="V7550" s="16" t="str">
        <f>IFERROR(__xludf.DUMMYFUNCTION("""COMPUTED_VALUE"""),"")</f>
        <v/>
      </c>
      <c r="W7550" s="16" t="str">
        <f>IFERROR(__xludf.DUMMYFUNCTION("""COMPUTED_VALUE"""),"")</f>
        <v/>
      </c>
      <c r="X7550" s="16" t="str">
        <f>IFERROR(__xludf.DUMMYFUNCTION("""COMPUTED_VALUE"""),"")</f>
        <v/>
      </c>
      <c r="AC7550" s="16" t="str">
        <f>IFERROR(__xludf.DUMMYFUNCTION("""COMPUTED_VALUE"""),"")</f>
        <v/>
      </c>
    </row>
    <row r="7551">
      <c r="A7551" s="16" t="s">
        <v>87</v>
      </c>
      <c r="E7551" s="16" t="str">
        <f>IFERROR(__xludf.DUMMYFUNCTION("""COMPUTED_VALUE"""),"")</f>
        <v/>
      </c>
      <c r="G7551" s="18"/>
      <c r="H7551" s="16" t="s">
        <v>87</v>
      </c>
      <c r="I7551" s="16" t="s">
        <v>87</v>
      </c>
      <c r="J7551" s="19"/>
      <c r="L7551" s="16" t="str">
        <f>IFERROR(__xludf.DUMMYFUNCTION("""COMPUTED_VALUE"""),"")</f>
        <v/>
      </c>
      <c r="M7551" s="16" t="str">
        <f>IFERROR(__xludf.DUMMYFUNCTION("""COMPUTED_VALUE"""),"")</f>
        <v/>
      </c>
      <c r="U7551" s="16" t="s">
        <v>87</v>
      </c>
      <c r="V7551" s="16" t="str">
        <f>IFERROR(__xludf.DUMMYFUNCTION("""COMPUTED_VALUE"""),"")</f>
        <v/>
      </c>
      <c r="W7551" s="16" t="str">
        <f>IFERROR(__xludf.DUMMYFUNCTION("""COMPUTED_VALUE"""),"")</f>
        <v/>
      </c>
      <c r="X7551" s="16" t="str">
        <f>IFERROR(__xludf.DUMMYFUNCTION("""COMPUTED_VALUE"""),"")</f>
        <v/>
      </c>
      <c r="AC7551" s="16" t="str">
        <f>IFERROR(__xludf.DUMMYFUNCTION("""COMPUTED_VALUE"""),"")</f>
        <v/>
      </c>
    </row>
    <row r="7552">
      <c r="A7552" s="16" t="s">
        <v>87</v>
      </c>
      <c r="E7552" s="16" t="str">
        <f>IFERROR(__xludf.DUMMYFUNCTION("""COMPUTED_VALUE"""),"")</f>
        <v/>
      </c>
      <c r="G7552" s="18"/>
      <c r="H7552" s="16" t="s">
        <v>87</v>
      </c>
      <c r="I7552" s="16" t="s">
        <v>87</v>
      </c>
      <c r="J7552" s="19"/>
      <c r="L7552" s="16" t="str">
        <f>IFERROR(__xludf.DUMMYFUNCTION("""COMPUTED_VALUE"""),"")</f>
        <v/>
      </c>
      <c r="M7552" s="16" t="str">
        <f>IFERROR(__xludf.DUMMYFUNCTION("""COMPUTED_VALUE"""),"")</f>
        <v/>
      </c>
      <c r="U7552" s="16" t="s">
        <v>87</v>
      </c>
      <c r="V7552" s="16" t="str">
        <f>IFERROR(__xludf.DUMMYFUNCTION("""COMPUTED_VALUE"""),"")</f>
        <v/>
      </c>
      <c r="W7552" s="16" t="str">
        <f>IFERROR(__xludf.DUMMYFUNCTION("""COMPUTED_VALUE"""),"")</f>
        <v/>
      </c>
      <c r="X7552" s="16" t="str">
        <f>IFERROR(__xludf.DUMMYFUNCTION("""COMPUTED_VALUE"""),"")</f>
        <v/>
      </c>
      <c r="AC7552" s="16" t="str">
        <f>IFERROR(__xludf.DUMMYFUNCTION("""COMPUTED_VALUE"""),"")</f>
        <v/>
      </c>
    </row>
    <row r="7553">
      <c r="A7553" s="16" t="s">
        <v>87</v>
      </c>
      <c r="E7553" s="16" t="str">
        <f>IFERROR(__xludf.DUMMYFUNCTION("""COMPUTED_VALUE"""),"")</f>
        <v/>
      </c>
      <c r="G7553" s="18"/>
      <c r="H7553" s="16" t="s">
        <v>87</v>
      </c>
      <c r="I7553" s="16" t="s">
        <v>87</v>
      </c>
      <c r="J7553" s="19"/>
      <c r="L7553" s="16" t="str">
        <f>IFERROR(__xludf.DUMMYFUNCTION("""COMPUTED_VALUE"""),"")</f>
        <v/>
      </c>
      <c r="M7553" s="16" t="str">
        <f>IFERROR(__xludf.DUMMYFUNCTION("""COMPUTED_VALUE"""),"")</f>
        <v/>
      </c>
      <c r="U7553" s="16" t="s">
        <v>87</v>
      </c>
      <c r="V7553" s="16" t="str">
        <f>IFERROR(__xludf.DUMMYFUNCTION("""COMPUTED_VALUE"""),"")</f>
        <v/>
      </c>
      <c r="W7553" s="16" t="str">
        <f>IFERROR(__xludf.DUMMYFUNCTION("""COMPUTED_VALUE"""),"")</f>
        <v/>
      </c>
      <c r="X7553" s="16" t="str">
        <f>IFERROR(__xludf.DUMMYFUNCTION("""COMPUTED_VALUE"""),"")</f>
        <v/>
      </c>
      <c r="AC7553" s="16" t="str">
        <f>IFERROR(__xludf.DUMMYFUNCTION("""COMPUTED_VALUE"""),"")</f>
        <v/>
      </c>
    </row>
    <row r="7554">
      <c r="A7554" s="16" t="s">
        <v>87</v>
      </c>
      <c r="E7554" s="16" t="str">
        <f>IFERROR(__xludf.DUMMYFUNCTION("""COMPUTED_VALUE"""),"")</f>
        <v/>
      </c>
      <c r="G7554" s="18"/>
      <c r="H7554" s="16" t="s">
        <v>87</v>
      </c>
      <c r="I7554" s="16" t="s">
        <v>87</v>
      </c>
      <c r="J7554" s="19"/>
      <c r="L7554" s="16" t="str">
        <f>IFERROR(__xludf.DUMMYFUNCTION("""COMPUTED_VALUE"""),"")</f>
        <v/>
      </c>
      <c r="M7554" s="16" t="str">
        <f>IFERROR(__xludf.DUMMYFUNCTION("""COMPUTED_VALUE"""),"")</f>
        <v/>
      </c>
      <c r="U7554" s="16" t="s">
        <v>87</v>
      </c>
      <c r="V7554" s="16" t="str">
        <f>IFERROR(__xludf.DUMMYFUNCTION("""COMPUTED_VALUE"""),"")</f>
        <v/>
      </c>
      <c r="W7554" s="16" t="str">
        <f>IFERROR(__xludf.DUMMYFUNCTION("""COMPUTED_VALUE"""),"")</f>
        <v/>
      </c>
      <c r="X7554" s="16" t="str">
        <f>IFERROR(__xludf.DUMMYFUNCTION("""COMPUTED_VALUE"""),"")</f>
        <v/>
      </c>
      <c r="AC7554" s="16" t="str">
        <f>IFERROR(__xludf.DUMMYFUNCTION("""COMPUTED_VALUE"""),"")</f>
        <v/>
      </c>
    </row>
    <row r="7555">
      <c r="A7555" s="16" t="s">
        <v>87</v>
      </c>
      <c r="E7555" s="16" t="str">
        <f>IFERROR(__xludf.DUMMYFUNCTION("""COMPUTED_VALUE"""),"")</f>
        <v/>
      </c>
      <c r="G7555" s="18"/>
      <c r="H7555" s="16" t="s">
        <v>87</v>
      </c>
      <c r="I7555" s="16" t="s">
        <v>87</v>
      </c>
      <c r="J7555" s="19"/>
      <c r="L7555" s="16" t="str">
        <f>IFERROR(__xludf.DUMMYFUNCTION("""COMPUTED_VALUE"""),"")</f>
        <v/>
      </c>
      <c r="M7555" s="16" t="str">
        <f>IFERROR(__xludf.DUMMYFUNCTION("""COMPUTED_VALUE"""),"")</f>
        <v/>
      </c>
      <c r="U7555" s="16" t="s">
        <v>87</v>
      </c>
      <c r="V7555" s="16" t="str">
        <f>IFERROR(__xludf.DUMMYFUNCTION("""COMPUTED_VALUE"""),"")</f>
        <v/>
      </c>
      <c r="W7555" s="16" t="str">
        <f>IFERROR(__xludf.DUMMYFUNCTION("""COMPUTED_VALUE"""),"")</f>
        <v/>
      </c>
      <c r="X7555" s="16" t="str">
        <f>IFERROR(__xludf.DUMMYFUNCTION("""COMPUTED_VALUE"""),"")</f>
        <v/>
      </c>
      <c r="AC7555" s="16" t="str">
        <f>IFERROR(__xludf.DUMMYFUNCTION("""COMPUTED_VALUE"""),"")</f>
        <v/>
      </c>
    </row>
    <row r="7556">
      <c r="A7556" s="16" t="s">
        <v>87</v>
      </c>
      <c r="E7556" s="16" t="str">
        <f>IFERROR(__xludf.DUMMYFUNCTION("""COMPUTED_VALUE"""),"")</f>
        <v/>
      </c>
      <c r="G7556" s="18"/>
      <c r="H7556" s="16" t="s">
        <v>87</v>
      </c>
      <c r="I7556" s="16" t="s">
        <v>87</v>
      </c>
      <c r="J7556" s="19"/>
      <c r="L7556" s="16" t="str">
        <f>IFERROR(__xludf.DUMMYFUNCTION("""COMPUTED_VALUE"""),"")</f>
        <v/>
      </c>
      <c r="M7556" s="16" t="str">
        <f>IFERROR(__xludf.DUMMYFUNCTION("""COMPUTED_VALUE"""),"")</f>
        <v/>
      </c>
      <c r="U7556" s="16" t="s">
        <v>87</v>
      </c>
      <c r="V7556" s="16" t="str">
        <f>IFERROR(__xludf.DUMMYFUNCTION("""COMPUTED_VALUE"""),"")</f>
        <v/>
      </c>
      <c r="W7556" s="16" t="str">
        <f>IFERROR(__xludf.DUMMYFUNCTION("""COMPUTED_VALUE"""),"")</f>
        <v/>
      </c>
      <c r="X7556" s="16" t="str">
        <f>IFERROR(__xludf.DUMMYFUNCTION("""COMPUTED_VALUE"""),"")</f>
        <v/>
      </c>
      <c r="AC7556" s="16" t="str">
        <f>IFERROR(__xludf.DUMMYFUNCTION("""COMPUTED_VALUE"""),"")</f>
        <v/>
      </c>
    </row>
    <row r="7557">
      <c r="A7557" s="16" t="s">
        <v>87</v>
      </c>
      <c r="E7557" s="16" t="str">
        <f>IFERROR(__xludf.DUMMYFUNCTION("""COMPUTED_VALUE"""),"")</f>
        <v/>
      </c>
      <c r="G7557" s="18"/>
      <c r="H7557" s="16" t="s">
        <v>87</v>
      </c>
      <c r="I7557" s="16" t="s">
        <v>87</v>
      </c>
      <c r="J7557" s="19"/>
      <c r="L7557" s="16" t="str">
        <f>IFERROR(__xludf.DUMMYFUNCTION("""COMPUTED_VALUE"""),"")</f>
        <v/>
      </c>
      <c r="M7557" s="16" t="str">
        <f>IFERROR(__xludf.DUMMYFUNCTION("""COMPUTED_VALUE"""),"")</f>
        <v/>
      </c>
      <c r="U7557" s="16" t="s">
        <v>87</v>
      </c>
      <c r="V7557" s="16" t="str">
        <f>IFERROR(__xludf.DUMMYFUNCTION("""COMPUTED_VALUE"""),"")</f>
        <v/>
      </c>
      <c r="W7557" s="16" t="str">
        <f>IFERROR(__xludf.DUMMYFUNCTION("""COMPUTED_VALUE"""),"")</f>
        <v/>
      </c>
      <c r="X7557" s="16" t="str">
        <f>IFERROR(__xludf.DUMMYFUNCTION("""COMPUTED_VALUE"""),"")</f>
        <v/>
      </c>
      <c r="AC7557" s="16" t="str">
        <f>IFERROR(__xludf.DUMMYFUNCTION("""COMPUTED_VALUE"""),"")</f>
        <v/>
      </c>
    </row>
    <row r="7558">
      <c r="A7558" s="16" t="s">
        <v>87</v>
      </c>
      <c r="E7558" s="16" t="str">
        <f>IFERROR(__xludf.DUMMYFUNCTION("""COMPUTED_VALUE"""),"")</f>
        <v/>
      </c>
      <c r="G7558" s="18"/>
      <c r="H7558" s="16" t="s">
        <v>87</v>
      </c>
      <c r="I7558" s="16" t="s">
        <v>87</v>
      </c>
      <c r="J7558" s="19"/>
      <c r="L7558" s="16" t="str">
        <f>IFERROR(__xludf.DUMMYFUNCTION("""COMPUTED_VALUE"""),"")</f>
        <v/>
      </c>
      <c r="M7558" s="16" t="str">
        <f>IFERROR(__xludf.DUMMYFUNCTION("""COMPUTED_VALUE"""),"")</f>
        <v/>
      </c>
      <c r="U7558" s="16" t="s">
        <v>87</v>
      </c>
      <c r="V7558" s="16" t="str">
        <f>IFERROR(__xludf.DUMMYFUNCTION("""COMPUTED_VALUE"""),"")</f>
        <v/>
      </c>
      <c r="W7558" s="16" t="str">
        <f>IFERROR(__xludf.DUMMYFUNCTION("""COMPUTED_VALUE"""),"")</f>
        <v/>
      </c>
      <c r="X7558" s="16" t="str">
        <f>IFERROR(__xludf.DUMMYFUNCTION("""COMPUTED_VALUE"""),"")</f>
        <v/>
      </c>
      <c r="AC7558" s="16" t="str">
        <f>IFERROR(__xludf.DUMMYFUNCTION("""COMPUTED_VALUE"""),"")</f>
        <v/>
      </c>
    </row>
    <row r="7559">
      <c r="A7559" s="16" t="s">
        <v>87</v>
      </c>
      <c r="E7559" s="16" t="str">
        <f>IFERROR(__xludf.DUMMYFUNCTION("""COMPUTED_VALUE"""),"")</f>
        <v/>
      </c>
      <c r="G7559" s="18"/>
      <c r="H7559" s="16" t="s">
        <v>87</v>
      </c>
      <c r="I7559" s="16" t="s">
        <v>87</v>
      </c>
      <c r="J7559" s="19"/>
      <c r="L7559" s="16" t="str">
        <f>IFERROR(__xludf.DUMMYFUNCTION("""COMPUTED_VALUE"""),"")</f>
        <v/>
      </c>
      <c r="M7559" s="16" t="str">
        <f>IFERROR(__xludf.DUMMYFUNCTION("""COMPUTED_VALUE"""),"")</f>
        <v/>
      </c>
      <c r="U7559" s="16" t="s">
        <v>87</v>
      </c>
      <c r="V7559" s="16" t="str">
        <f>IFERROR(__xludf.DUMMYFUNCTION("""COMPUTED_VALUE"""),"")</f>
        <v/>
      </c>
      <c r="W7559" s="16" t="str">
        <f>IFERROR(__xludf.DUMMYFUNCTION("""COMPUTED_VALUE"""),"")</f>
        <v/>
      </c>
      <c r="X7559" s="16" t="str">
        <f>IFERROR(__xludf.DUMMYFUNCTION("""COMPUTED_VALUE"""),"")</f>
        <v/>
      </c>
      <c r="AC7559" s="16" t="str">
        <f>IFERROR(__xludf.DUMMYFUNCTION("""COMPUTED_VALUE"""),"")</f>
        <v/>
      </c>
    </row>
    <row r="7560">
      <c r="A7560" s="16" t="s">
        <v>87</v>
      </c>
      <c r="E7560" s="16" t="str">
        <f>IFERROR(__xludf.DUMMYFUNCTION("""COMPUTED_VALUE"""),"")</f>
        <v/>
      </c>
      <c r="G7560" s="18"/>
      <c r="H7560" s="16" t="s">
        <v>87</v>
      </c>
      <c r="I7560" s="16" t="s">
        <v>87</v>
      </c>
      <c r="J7560" s="19"/>
      <c r="L7560" s="16" t="str">
        <f>IFERROR(__xludf.DUMMYFUNCTION("""COMPUTED_VALUE"""),"")</f>
        <v/>
      </c>
      <c r="M7560" s="16" t="str">
        <f>IFERROR(__xludf.DUMMYFUNCTION("""COMPUTED_VALUE"""),"")</f>
        <v/>
      </c>
      <c r="U7560" s="16" t="s">
        <v>87</v>
      </c>
      <c r="V7560" s="16" t="str">
        <f>IFERROR(__xludf.DUMMYFUNCTION("""COMPUTED_VALUE"""),"")</f>
        <v/>
      </c>
      <c r="W7560" s="16" t="str">
        <f>IFERROR(__xludf.DUMMYFUNCTION("""COMPUTED_VALUE"""),"")</f>
        <v/>
      </c>
      <c r="X7560" s="16" t="str">
        <f>IFERROR(__xludf.DUMMYFUNCTION("""COMPUTED_VALUE"""),"")</f>
        <v/>
      </c>
      <c r="AC7560" s="16" t="str">
        <f>IFERROR(__xludf.DUMMYFUNCTION("""COMPUTED_VALUE"""),"")</f>
        <v/>
      </c>
    </row>
    <row r="7561">
      <c r="A7561" s="16" t="s">
        <v>87</v>
      </c>
      <c r="E7561" s="16" t="str">
        <f>IFERROR(__xludf.DUMMYFUNCTION("""COMPUTED_VALUE"""),"")</f>
        <v/>
      </c>
      <c r="G7561" s="18"/>
      <c r="H7561" s="16" t="s">
        <v>87</v>
      </c>
      <c r="I7561" s="16" t="s">
        <v>87</v>
      </c>
      <c r="J7561" s="19"/>
      <c r="L7561" s="16" t="str">
        <f>IFERROR(__xludf.DUMMYFUNCTION("""COMPUTED_VALUE"""),"")</f>
        <v/>
      </c>
      <c r="M7561" s="16" t="str">
        <f>IFERROR(__xludf.DUMMYFUNCTION("""COMPUTED_VALUE"""),"")</f>
        <v/>
      </c>
      <c r="U7561" s="16" t="s">
        <v>87</v>
      </c>
      <c r="V7561" s="16" t="str">
        <f>IFERROR(__xludf.DUMMYFUNCTION("""COMPUTED_VALUE"""),"")</f>
        <v/>
      </c>
      <c r="W7561" s="16" t="str">
        <f>IFERROR(__xludf.DUMMYFUNCTION("""COMPUTED_VALUE"""),"")</f>
        <v/>
      </c>
      <c r="X7561" s="16" t="str">
        <f>IFERROR(__xludf.DUMMYFUNCTION("""COMPUTED_VALUE"""),"")</f>
        <v/>
      </c>
      <c r="AC7561" s="16" t="str">
        <f>IFERROR(__xludf.DUMMYFUNCTION("""COMPUTED_VALUE"""),"")</f>
        <v/>
      </c>
    </row>
    <row r="7562">
      <c r="A7562" s="16" t="s">
        <v>87</v>
      </c>
      <c r="E7562" s="16" t="str">
        <f>IFERROR(__xludf.DUMMYFUNCTION("""COMPUTED_VALUE"""),"")</f>
        <v/>
      </c>
      <c r="G7562" s="18"/>
      <c r="H7562" s="16" t="s">
        <v>87</v>
      </c>
      <c r="I7562" s="16" t="s">
        <v>87</v>
      </c>
      <c r="J7562" s="19"/>
      <c r="L7562" s="16" t="str">
        <f>IFERROR(__xludf.DUMMYFUNCTION("""COMPUTED_VALUE"""),"")</f>
        <v/>
      </c>
      <c r="M7562" s="16" t="str">
        <f>IFERROR(__xludf.DUMMYFUNCTION("""COMPUTED_VALUE"""),"")</f>
        <v/>
      </c>
      <c r="U7562" s="16" t="s">
        <v>87</v>
      </c>
      <c r="V7562" s="16" t="str">
        <f>IFERROR(__xludf.DUMMYFUNCTION("""COMPUTED_VALUE"""),"")</f>
        <v/>
      </c>
      <c r="W7562" s="16" t="str">
        <f>IFERROR(__xludf.DUMMYFUNCTION("""COMPUTED_VALUE"""),"")</f>
        <v/>
      </c>
      <c r="X7562" s="16" t="str">
        <f>IFERROR(__xludf.DUMMYFUNCTION("""COMPUTED_VALUE"""),"")</f>
        <v/>
      </c>
      <c r="AC7562" s="16" t="str">
        <f>IFERROR(__xludf.DUMMYFUNCTION("""COMPUTED_VALUE"""),"")</f>
        <v/>
      </c>
    </row>
    <row r="7563">
      <c r="A7563" s="16" t="s">
        <v>87</v>
      </c>
      <c r="E7563" s="16" t="str">
        <f>IFERROR(__xludf.DUMMYFUNCTION("""COMPUTED_VALUE"""),"")</f>
        <v/>
      </c>
      <c r="G7563" s="18"/>
      <c r="H7563" s="16" t="s">
        <v>87</v>
      </c>
      <c r="I7563" s="16" t="s">
        <v>87</v>
      </c>
      <c r="J7563" s="19"/>
      <c r="L7563" s="16" t="str">
        <f>IFERROR(__xludf.DUMMYFUNCTION("""COMPUTED_VALUE"""),"")</f>
        <v/>
      </c>
      <c r="M7563" s="16" t="str">
        <f>IFERROR(__xludf.DUMMYFUNCTION("""COMPUTED_VALUE"""),"")</f>
        <v/>
      </c>
      <c r="U7563" s="16" t="s">
        <v>87</v>
      </c>
      <c r="V7563" s="16" t="str">
        <f>IFERROR(__xludf.DUMMYFUNCTION("""COMPUTED_VALUE"""),"")</f>
        <v/>
      </c>
      <c r="W7563" s="16" t="str">
        <f>IFERROR(__xludf.DUMMYFUNCTION("""COMPUTED_VALUE"""),"")</f>
        <v/>
      </c>
      <c r="X7563" s="16" t="str">
        <f>IFERROR(__xludf.DUMMYFUNCTION("""COMPUTED_VALUE"""),"")</f>
        <v/>
      </c>
      <c r="AC7563" s="16" t="str">
        <f>IFERROR(__xludf.DUMMYFUNCTION("""COMPUTED_VALUE"""),"")</f>
        <v/>
      </c>
    </row>
    <row r="7564">
      <c r="A7564" s="16" t="s">
        <v>87</v>
      </c>
      <c r="E7564" s="16" t="str">
        <f>IFERROR(__xludf.DUMMYFUNCTION("""COMPUTED_VALUE"""),"")</f>
        <v/>
      </c>
      <c r="G7564" s="18"/>
      <c r="H7564" s="16" t="s">
        <v>87</v>
      </c>
      <c r="I7564" s="16" t="s">
        <v>87</v>
      </c>
      <c r="J7564" s="19"/>
      <c r="L7564" s="16" t="str">
        <f>IFERROR(__xludf.DUMMYFUNCTION("""COMPUTED_VALUE"""),"")</f>
        <v/>
      </c>
      <c r="M7564" s="16" t="str">
        <f>IFERROR(__xludf.DUMMYFUNCTION("""COMPUTED_VALUE"""),"")</f>
        <v/>
      </c>
      <c r="U7564" s="16" t="s">
        <v>87</v>
      </c>
      <c r="V7564" s="16" t="str">
        <f>IFERROR(__xludf.DUMMYFUNCTION("""COMPUTED_VALUE"""),"")</f>
        <v/>
      </c>
      <c r="W7564" s="16" t="str">
        <f>IFERROR(__xludf.DUMMYFUNCTION("""COMPUTED_VALUE"""),"")</f>
        <v/>
      </c>
      <c r="X7564" s="16" t="str">
        <f>IFERROR(__xludf.DUMMYFUNCTION("""COMPUTED_VALUE"""),"")</f>
        <v/>
      </c>
      <c r="AC7564" s="16" t="str">
        <f>IFERROR(__xludf.DUMMYFUNCTION("""COMPUTED_VALUE"""),"")</f>
        <v/>
      </c>
    </row>
    <row r="7565">
      <c r="A7565" s="16" t="s">
        <v>87</v>
      </c>
      <c r="E7565" s="16" t="str">
        <f>IFERROR(__xludf.DUMMYFUNCTION("""COMPUTED_VALUE"""),"")</f>
        <v/>
      </c>
      <c r="G7565" s="18"/>
      <c r="H7565" s="16" t="s">
        <v>87</v>
      </c>
      <c r="I7565" s="16" t="s">
        <v>87</v>
      </c>
      <c r="J7565" s="19"/>
      <c r="L7565" s="16" t="str">
        <f>IFERROR(__xludf.DUMMYFUNCTION("""COMPUTED_VALUE"""),"")</f>
        <v/>
      </c>
      <c r="M7565" s="16" t="str">
        <f>IFERROR(__xludf.DUMMYFUNCTION("""COMPUTED_VALUE"""),"")</f>
        <v/>
      </c>
      <c r="U7565" s="16" t="s">
        <v>87</v>
      </c>
      <c r="V7565" s="16" t="str">
        <f>IFERROR(__xludf.DUMMYFUNCTION("""COMPUTED_VALUE"""),"")</f>
        <v/>
      </c>
      <c r="W7565" s="16" t="str">
        <f>IFERROR(__xludf.DUMMYFUNCTION("""COMPUTED_VALUE"""),"")</f>
        <v/>
      </c>
      <c r="X7565" s="16" t="str">
        <f>IFERROR(__xludf.DUMMYFUNCTION("""COMPUTED_VALUE"""),"")</f>
        <v/>
      </c>
      <c r="AC7565" s="16" t="str">
        <f>IFERROR(__xludf.DUMMYFUNCTION("""COMPUTED_VALUE"""),"")</f>
        <v/>
      </c>
    </row>
    <row r="7566">
      <c r="A7566" s="16" t="s">
        <v>87</v>
      </c>
      <c r="E7566" s="16" t="str">
        <f>IFERROR(__xludf.DUMMYFUNCTION("""COMPUTED_VALUE"""),"")</f>
        <v/>
      </c>
      <c r="G7566" s="18"/>
      <c r="H7566" s="16" t="s">
        <v>87</v>
      </c>
      <c r="I7566" s="16" t="s">
        <v>87</v>
      </c>
      <c r="J7566" s="19"/>
      <c r="L7566" s="16" t="str">
        <f>IFERROR(__xludf.DUMMYFUNCTION("""COMPUTED_VALUE"""),"")</f>
        <v/>
      </c>
      <c r="M7566" s="16" t="str">
        <f>IFERROR(__xludf.DUMMYFUNCTION("""COMPUTED_VALUE"""),"")</f>
        <v/>
      </c>
      <c r="U7566" s="16" t="s">
        <v>87</v>
      </c>
      <c r="V7566" s="16" t="str">
        <f>IFERROR(__xludf.DUMMYFUNCTION("""COMPUTED_VALUE"""),"")</f>
        <v/>
      </c>
      <c r="W7566" s="16" t="str">
        <f>IFERROR(__xludf.DUMMYFUNCTION("""COMPUTED_VALUE"""),"")</f>
        <v/>
      </c>
      <c r="X7566" s="16" t="str">
        <f>IFERROR(__xludf.DUMMYFUNCTION("""COMPUTED_VALUE"""),"")</f>
        <v/>
      </c>
      <c r="AC7566" s="16" t="str">
        <f>IFERROR(__xludf.DUMMYFUNCTION("""COMPUTED_VALUE"""),"")</f>
        <v/>
      </c>
    </row>
    <row r="7567">
      <c r="A7567" s="16" t="s">
        <v>87</v>
      </c>
      <c r="E7567" s="16" t="str">
        <f>IFERROR(__xludf.DUMMYFUNCTION("""COMPUTED_VALUE"""),"")</f>
        <v/>
      </c>
      <c r="G7567" s="18"/>
      <c r="H7567" s="16" t="s">
        <v>87</v>
      </c>
      <c r="I7567" s="16" t="s">
        <v>87</v>
      </c>
      <c r="J7567" s="19"/>
      <c r="L7567" s="16" t="str">
        <f>IFERROR(__xludf.DUMMYFUNCTION("""COMPUTED_VALUE"""),"")</f>
        <v/>
      </c>
      <c r="M7567" s="16" t="str">
        <f>IFERROR(__xludf.DUMMYFUNCTION("""COMPUTED_VALUE"""),"")</f>
        <v/>
      </c>
      <c r="U7567" s="16" t="s">
        <v>87</v>
      </c>
      <c r="V7567" s="16" t="str">
        <f>IFERROR(__xludf.DUMMYFUNCTION("""COMPUTED_VALUE"""),"")</f>
        <v/>
      </c>
      <c r="W7567" s="16" t="str">
        <f>IFERROR(__xludf.DUMMYFUNCTION("""COMPUTED_VALUE"""),"")</f>
        <v/>
      </c>
      <c r="X7567" s="16" t="str">
        <f>IFERROR(__xludf.DUMMYFUNCTION("""COMPUTED_VALUE"""),"")</f>
        <v/>
      </c>
      <c r="AC7567" s="16" t="str">
        <f>IFERROR(__xludf.DUMMYFUNCTION("""COMPUTED_VALUE"""),"")</f>
        <v/>
      </c>
    </row>
    <row r="7568">
      <c r="A7568" s="16" t="s">
        <v>87</v>
      </c>
      <c r="E7568" s="16" t="str">
        <f>IFERROR(__xludf.DUMMYFUNCTION("""COMPUTED_VALUE"""),"")</f>
        <v/>
      </c>
      <c r="G7568" s="18"/>
      <c r="H7568" s="16" t="s">
        <v>87</v>
      </c>
      <c r="I7568" s="16" t="s">
        <v>87</v>
      </c>
      <c r="J7568" s="19"/>
      <c r="L7568" s="16" t="str">
        <f>IFERROR(__xludf.DUMMYFUNCTION("""COMPUTED_VALUE"""),"")</f>
        <v/>
      </c>
      <c r="M7568" s="16" t="str">
        <f>IFERROR(__xludf.DUMMYFUNCTION("""COMPUTED_VALUE"""),"")</f>
        <v/>
      </c>
      <c r="U7568" s="16" t="s">
        <v>87</v>
      </c>
      <c r="V7568" s="16" t="str">
        <f>IFERROR(__xludf.DUMMYFUNCTION("""COMPUTED_VALUE"""),"")</f>
        <v/>
      </c>
      <c r="W7568" s="16" t="str">
        <f>IFERROR(__xludf.DUMMYFUNCTION("""COMPUTED_VALUE"""),"")</f>
        <v/>
      </c>
      <c r="X7568" s="16" t="str">
        <f>IFERROR(__xludf.DUMMYFUNCTION("""COMPUTED_VALUE"""),"")</f>
        <v/>
      </c>
      <c r="AC7568" s="16" t="str">
        <f>IFERROR(__xludf.DUMMYFUNCTION("""COMPUTED_VALUE"""),"")</f>
        <v/>
      </c>
    </row>
    <row r="7569">
      <c r="A7569" s="16" t="s">
        <v>87</v>
      </c>
      <c r="E7569" s="16" t="str">
        <f>IFERROR(__xludf.DUMMYFUNCTION("""COMPUTED_VALUE"""),"")</f>
        <v/>
      </c>
      <c r="G7569" s="18"/>
      <c r="H7569" s="16" t="s">
        <v>87</v>
      </c>
      <c r="I7569" s="16" t="s">
        <v>87</v>
      </c>
      <c r="J7569" s="19"/>
      <c r="L7569" s="16" t="str">
        <f>IFERROR(__xludf.DUMMYFUNCTION("""COMPUTED_VALUE"""),"")</f>
        <v/>
      </c>
      <c r="M7569" s="16" t="str">
        <f>IFERROR(__xludf.DUMMYFUNCTION("""COMPUTED_VALUE"""),"")</f>
        <v/>
      </c>
      <c r="U7569" s="16" t="s">
        <v>87</v>
      </c>
      <c r="V7569" s="16" t="str">
        <f>IFERROR(__xludf.DUMMYFUNCTION("""COMPUTED_VALUE"""),"")</f>
        <v/>
      </c>
      <c r="W7569" s="16" t="str">
        <f>IFERROR(__xludf.DUMMYFUNCTION("""COMPUTED_VALUE"""),"")</f>
        <v/>
      </c>
      <c r="X7569" s="16" t="str">
        <f>IFERROR(__xludf.DUMMYFUNCTION("""COMPUTED_VALUE"""),"")</f>
        <v/>
      </c>
      <c r="AC7569" s="16" t="str">
        <f>IFERROR(__xludf.DUMMYFUNCTION("""COMPUTED_VALUE"""),"")</f>
        <v/>
      </c>
    </row>
    <row r="7570">
      <c r="A7570" s="16" t="s">
        <v>87</v>
      </c>
      <c r="E7570" s="16" t="str">
        <f>IFERROR(__xludf.DUMMYFUNCTION("""COMPUTED_VALUE"""),"")</f>
        <v/>
      </c>
      <c r="G7570" s="18"/>
      <c r="H7570" s="16" t="s">
        <v>87</v>
      </c>
      <c r="I7570" s="16" t="s">
        <v>87</v>
      </c>
      <c r="J7570" s="19"/>
      <c r="L7570" s="16" t="str">
        <f>IFERROR(__xludf.DUMMYFUNCTION("""COMPUTED_VALUE"""),"")</f>
        <v/>
      </c>
      <c r="M7570" s="16" t="str">
        <f>IFERROR(__xludf.DUMMYFUNCTION("""COMPUTED_VALUE"""),"")</f>
        <v/>
      </c>
      <c r="U7570" s="16" t="s">
        <v>87</v>
      </c>
      <c r="V7570" s="16" t="str">
        <f>IFERROR(__xludf.DUMMYFUNCTION("""COMPUTED_VALUE"""),"")</f>
        <v/>
      </c>
      <c r="W7570" s="16" t="str">
        <f>IFERROR(__xludf.DUMMYFUNCTION("""COMPUTED_VALUE"""),"")</f>
        <v/>
      </c>
      <c r="X7570" s="16" t="str">
        <f>IFERROR(__xludf.DUMMYFUNCTION("""COMPUTED_VALUE"""),"")</f>
        <v/>
      </c>
      <c r="AC7570" s="16" t="str">
        <f>IFERROR(__xludf.DUMMYFUNCTION("""COMPUTED_VALUE"""),"")</f>
        <v/>
      </c>
    </row>
    <row r="7571">
      <c r="A7571" s="16" t="s">
        <v>87</v>
      </c>
      <c r="E7571" s="16" t="str">
        <f>IFERROR(__xludf.DUMMYFUNCTION("""COMPUTED_VALUE"""),"")</f>
        <v/>
      </c>
      <c r="G7571" s="18"/>
      <c r="H7571" s="16" t="s">
        <v>87</v>
      </c>
      <c r="I7571" s="16" t="s">
        <v>87</v>
      </c>
      <c r="J7571" s="19"/>
      <c r="L7571" s="16" t="str">
        <f>IFERROR(__xludf.DUMMYFUNCTION("""COMPUTED_VALUE"""),"")</f>
        <v/>
      </c>
      <c r="M7571" s="16" t="str">
        <f>IFERROR(__xludf.DUMMYFUNCTION("""COMPUTED_VALUE"""),"")</f>
        <v/>
      </c>
      <c r="U7571" s="16" t="s">
        <v>87</v>
      </c>
      <c r="V7571" s="16" t="str">
        <f>IFERROR(__xludf.DUMMYFUNCTION("""COMPUTED_VALUE"""),"")</f>
        <v/>
      </c>
      <c r="W7571" s="16" t="str">
        <f>IFERROR(__xludf.DUMMYFUNCTION("""COMPUTED_VALUE"""),"")</f>
        <v/>
      </c>
      <c r="X7571" s="16" t="str">
        <f>IFERROR(__xludf.DUMMYFUNCTION("""COMPUTED_VALUE"""),"")</f>
        <v/>
      </c>
      <c r="AC7571" s="16" t="str">
        <f>IFERROR(__xludf.DUMMYFUNCTION("""COMPUTED_VALUE"""),"")</f>
        <v/>
      </c>
    </row>
    <row r="7572">
      <c r="A7572" s="16" t="s">
        <v>87</v>
      </c>
      <c r="E7572" s="16" t="str">
        <f>IFERROR(__xludf.DUMMYFUNCTION("""COMPUTED_VALUE"""),"")</f>
        <v/>
      </c>
      <c r="G7572" s="18"/>
      <c r="H7572" s="16" t="s">
        <v>87</v>
      </c>
      <c r="I7572" s="16" t="s">
        <v>87</v>
      </c>
      <c r="J7572" s="19"/>
      <c r="L7572" s="16" t="str">
        <f>IFERROR(__xludf.DUMMYFUNCTION("""COMPUTED_VALUE"""),"")</f>
        <v/>
      </c>
      <c r="M7572" s="16" t="str">
        <f>IFERROR(__xludf.DUMMYFUNCTION("""COMPUTED_VALUE"""),"")</f>
        <v/>
      </c>
      <c r="U7572" s="16" t="s">
        <v>87</v>
      </c>
      <c r="V7572" s="16" t="str">
        <f>IFERROR(__xludf.DUMMYFUNCTION("""COMPUTED_VALUE"""),"")</f>
        <v/>
      </c>
      <c r="W7572" s="16" t="str">
        <f>IFERROR(__xludf.DUMMYFUNCTION("""COMPUTED_VALUE"""),"")</f>
        <v/>
      </c>
      <c r="X7572" s="16" t="str">
        <f>IFERROR(__xludf.DUMMYFUNCTION("""COMPUTED_VALUE"""),"")</f>
        <v/>
      </c>
      <c r="AC7572" s="16" t="str">
        <f>IFERROR(__xludf.DUMMYFUNCTION("""COMPUTED_VALUE"""),"")</f>
        <v/>
      </c>
    </row>
    <row r="7573">
      <c r="A7573" s="16" t="s">
        <v>87</v>
      </c>
      <c r="E7573" s="16" t="str">
        <f>IFERROR(__xludf.DUMMYFUNCTION("""COMPUTED_VALUE"""),"")</f>
        <v/>
      </c>
      <c r="G7573" s="18"/>
      <c r="H7573" s="16" t="s">
        <v>87</v>
      </c>
      <c r="I7573" s="16" t="s">
        <v>87</v>
      </c>
      <c r="J7573" s="19"/>
      <c r="L7573" s="16" t="str">
        <f>IFERROR(__xludf.DUMMYFUNCTION("""COMPUTED_VALUE"""),"")</f>
        <v/>
      </c>
      <c r="M7573" s="16" t="str">
        <f>IFERROR(__xludf.DUMMYFUNCTION("""COMPUTED_VALUE"""),"")</f>
        <v/>
      </c>
      <c r="U7573" s="16" t="s">
        <v>87</v>
      </c>
      <c r="V7573" s="16" t="str">
        <f>IFERROR(__xludf.DUMMYFUNCTION("""COMPUTED_VALUE"""),"")</f>
        <v/>
      </c>
      <c r="W7573" s="16" t="str">
        <f>IFERROR(__xludf.DUMMYFUNCTION("""COMPUTED_VALUE"""),"")</f>
        <v/>
      </c>
      <c r="X7573" s="16" t="str">
        <f>IFERROR(__xludf.DUMMYFUNCTION("""COMPUTED_VALUE"""),"")</f>
        <v/>
      </c>
      <c r="AC7573" s="16" t="str">
        <f>IFERROR(__xludf.DUMMYFUNCTION("""COMPUTED_VALUE"""),"")</f>
        <v/>
      </c>
    </row>
    <row r="7574">
      <c r="A7574" s="16" t="s">
        <v>87</v>
      </c>
      <c r="E7574" s="16" t="str">
        <f>IFERROR(__xludf.DUMMYFUNCTION("""COMPUTED_VALUE"""),"")</f>
        <v/>
      </c>
      <c r="G7574" s="18"/>
      <c r="H7574" s="16" t="s">
        <v>87</v>
      </c>
      <c r="I7574" s="16" t="s">
        <v>87</v>
      </c>
      <c r="J7574" s="19"/>
      <c r="L7574" s="16" t="str">
        <f>IFERROR(__xludf.DUMMYFUNCTION("""COMPUTED_VALUE"""),"")</f>
        <v/>
      </c>
      <c r="M7574" s="16" t="str">
        <f>IFERROR(__xludf.DUMMYFUNCTION("""COMPUTED_VALUE"""),"")</f>
        <v/>
      </c>
      <c r="U7574" s="16" t="s">
        <v>87</v>
      </c>
      <c r="V7574" s="16" t="str">
        <f>IFERROR(__xludf.DUMMYFUNCTION("""COMPUTED_VALUE"""),"")</f>
        <v/>
      </c>
      <c r="W7574" s="16" t="str">
        <f>IFERROR(__xludf.DUMMYFUNCTION("""COMPUTED_VALUE"""),"")</f>
        <v/>
      </c>
      <c r="X7574" s="16" t="str">
        <f>IFERROR(__xludf.DUMMYFUNCTION("""COMPUTED_VALUE"""),"")</f>
        <v/>
      </c>
      <c r="AC7574" s="16" t="str">
        <f>IFERROR(__xludf.DUMMYFUNCTION("""COMPUTED_VALUE"""),"")</f>
        <v/>
      </c>
    </row>
    <row r="7575">
      <c r="A7575" s="16" t="s">
        <v>87</v>
      </c>
      <c r="E7575" s="16" t="str">
        <f>IFERROR(__xludf.DUMMYFUNCTION("""COMPUTED_VALUE"""),"")</f>
        <v/>
      </c>
      <c r="G7575" s="18"/>
      <c r="H7575" s="16" t="s">
        <v>87</v>
      </c>
      <c r="I7575" s="16" t="s">
        <v>87</v>
      </c>
      <c r="J7575" s="19"/>
      <c r="L7575" s="16" t="str">
        <f>IFERROR(__xludf.DUMMYFUNCTION("""COMPUTED_VALUE"""),"")</f>
        <v/>
      </c>
      <c r="M7575" s="16" t="str">
        <f>IFERROR(__xludf.DUMMYFUNCTION("""COMPUTED_VALUE"""),"")</f>
        <v/>
      </c>
      <c r="U7575" s="16" t="s">
        <v>87</v>
      </c>
      <c r="V7575" s="16" t="str">
        <f>IFERROR(__xludf.DUMMYFUNCTION("""COMPUTED_VALUE"""),"")</f>
        <v/>
      </c>
      <c r="W7575" s="16" t="str">
        <f>IFERROR(__xludf.DUMMYFUNCTION("""COMPUTED_VALUE"""),"")</f>
        <v/>
      </c>
      <c r="X7575" s="16" t="str">
        <f>IFERROR(__xludf.DUMMYFUNCTION("""COMPUTED_VALUE"""),"")</f>
        <v/>
      </c>
      <c r="AC7575" s="16" t="str">
        <f>IFERROR(__xludf.DUMMYFUNCTION("""COMPUTED_VALUE"""),"")</f>
        <v/>
      </c>
    </row>
    <row r="7576">
      <c r="A7576" s="16" t="s">
        <v>87</v>
      </c>
      <c r="E7576" s="16" t="str">
        <f>IFERROR(__xludf.DUMMYFUNCTION("""COMPUTED_VALUE"""),"")</f>
        <v/>
      </c>
      <c r="G7576" s="18"/>
      <c r="H7576" s="16" t="s">
        <v>87</v>
      </c>
      <c r="I7576" s="16" t="s">
        <v>87</v>
      </c>
      <c r="J7576" s="19"/>
      <c r="L7576" s="16" t="str">
        <f>IFERROR(__xludf.DUMMYFUNCTION("""COMPUTED_VALUE"""),"")</f>
        <v/>
      </c>
      <c r="M7576" s="16" t="str">
        <f>IFERROR(__xludf.DUMMYFUNCTION("""COMPUTED_VALUE"""),"")</f>
        <v/>
      </c>
      <c r="U7576" s="16" t="s">
        <v>87</v>
      </c>
      <c r="V7576" s="16" t="str">
        <f>IFERROR(__xludf.DUMMYFUNCTION("""COMPUTED_VALUE"""),"")</f>
        <v/>
      </c>
      <c r="W7576" s="16" t="str">
        <f>IFERROR(__xludf.DUMMYFUNCTION("""COMPUTED_VALUE"""),"")</f>
        <v/>
      </c>
      <c r="X7576" s="16" t="str">
        <f>IFERROR(__xludf.DUMMYFUNCTION("""COMPUTED_VALUE"""),"")</f>
        <v/>
      </c>
      <c r="AC7576" s="16" t="str">
        <f>IFERROR(__xludf.DUMMYFUNCTION("""COMPUTED_VALUE"""),"")</f>
        <v/>
      </c>
    </row>
    <row r="7577">
      <c r="A7577" s="16" t="s">
        <v>87</v>
      </c>
      <c r="E7577" s="16" t="str">
        <f>IFERROR(__xludf.DUMMYFUNCTION("""COMPUTED_VALUE"""),"")</f>
        <v/>
      </c>
      <c r="G7577" s="18"/>
      <c r="H7577" s="16" t="s">
        <v>87</v>
      </c>
      <c r="I7577" s="16" t="s">
        <v>87</v>
      </c>
      <c r="J7577" s="19"/>
      <c r="L7577" s="16" t="str">
        <f>IFERROR(__xludf.DUMMYFUNCTION("""COMPUTED_VALUE"""),"")</f>
        <v/>
      </c>
      <c r="M7577" s="16" t="str">
        <f>IFERROR(__xludf.DUMMYFUNCTION("""COMPUTED_VALUE"""),"")</f>
        <v/>
      </c>
      <c r="U7577" s="16" t="s">
        <v>87</v>
      </c>
      <c r="V7577" s="16" t="str">
        <f>IFERROR(__xludf.DUMMYFUNCTION("""COMPUTED_VALUE"""),"")</f>
        <v/>
      </c>
      <c r="W7577" s="16" t="str">
        <f>IFERROR(__xludf.DUMMYFUNCTION("""COMPUTED_VALUE"""),"")</f>
        <v/>
      </c>
      <c r="X7577" s="16" t="str">
        <f>IFERROR(__xludf.DUMMYFUNCTION("""COMPUTED_VALUE"""),"")</f>
        <v/>
      </c>
      <c r="AC7577" s="16" t="str">
        <f>IFERROR(__xludf.DUMMYFUNCTION("""COMPUTED_VALUE"""),"")</f>
        <v/>
      </c>
    </row>
    <row r="7578">
      <c r="A7578" s="16" t="s">
        <v>87</v>
      </c>
      <c r="E7578" s="16" t="str">
        <f>IFERROR(__xludf.DUMMYFUNCTION("""COMPUTED_VALUE"""),"")</f>
        <v/>
      </c>
      <c r="G7578" s="18"/>
      <c r="H7578" s="16" t="s">
        <v>87</v>
      </c>
      <c r="I7578" s="16" t="s">
        <v>87</v>
      </c>
      <c r="J7578" s="19"/>
      <c r="L7578" s="16" t="str">
        <f>IFERROR(__xludf.DUMMYFUNCTION("""COMPUTED_VALUE"""),"")</f>
        <v/>
      </c>
      <c r="M7578" s="16" t="str">
        <f>IFERROR(__xludf.DUMMYFUNCTION("""COMPUTED_VALUE"""),"")</f>
        <v/>
      </c>
      <c r="U7578" s="16" t="s">
        <v>87</v>
      </c>
      <c r="V7578" s="16" t="str">
        <f>IFERROR(__xludf.DUMMYFUNCTION("""COMPUTED_VALUE"""),"")</f>
        <v/>
      </c>
      <c r="W7578" s="16" t="str">
        <f>IFERROR(__xludf.DUMMYFUNCTION("""COMPUTED_VALUE"""),"")</f>
        <v/>
      </c>
      <c r="X7578" s="16" t="str">
        <f>IFERROR(__xludf.DUMMYFUNCTION("""COMPUTED_VALUE"""),"")</f>
        <v/>
      </c>
      <c r="AC7578" s="16" t="str">
        <f>IFERROR(__xludf.DUMMYFUNCTION("""COMPUTED_VALUE"""),"")</f>
        <v/>
      </c>
    </row>
    <row r="7579">
      <c r="A7579" s="16" t="s">
        <v>87</v>
      </c>
      <c r="E7579" s="16" t="str">
        <f>IFERROR(__xludf.DUMMYFUNCTION("""COMPUTED_VALUE"""),"")</f>
        <v/>
      </c>
      <c r="G7579" s="18"/>
      <c r="H7579" s="16" t="s">
        <v>87</v>
      </c>
      <c r="I7579" s="16" t="s">
        <v>87</v>
      </c>
      <c r="J7579" s="19"/>
      <c r="L7579" s="16" t="str">
        <f>IFERROR(__xludf.DUMMYFUNCTION("""COMPUTED_VALUE"""),"")</f>
        <v/>
      </c>
      <c r="M7579" s="16" t="str">
        <f>IFERROR(__xludf.DUMMYFUNCTION("""COMPUTED_VALUE"""),"")</f>
        <v/>
      </c>
      <c r="U7579" s="16" t="s">
        <v>87</v>
      </c>
      <c r="V7579" s="16" t="str">
        <f>IFERROR(__xludf.DUMMYFUNCTION("""COMPUTED_VALUE"""),"")</f>
        <v/>
      </c>
      <c r="W7579" s="16" t="str">
        <f>IFERROR(__xludf.DUMMYFUNCTION("""COMPUTED_VALUE"""),"")</f>
        <v/>
      </c>
      <c r="X7579" s="16" t="str">
        <f>IFERROR(__xludf.DUMMYFUNCTION("""COMPUTED_VALUE"""),"")</f>
        <v/>
      </c>
      <c r="AC7579" s="16" t="str">
        <f>IFERROR(__xludf.DUMMYFUNCTION("""COMPUTED_VALUE"""),"")</f>
        <v/>
      </c>
    </row>
    <row r="7580">
      <c r="A7580" s="16" t="s">
        <v>87</v>
      </c>
      <c r="E7580" s="16" t="str">
        <f>IFERROR(__xludf.DUMMYFUNCTION("""COMPUTED_VALUE"""),"")</f>
        <v/>
      </c>
      <c r="G7580" s="18"/>
      <c r="H7580" s="16" t="s">
        <v>87</v>
      </c>
      <c r="I7580" s="16" t="s">
        <v>87</v>
      </c>
      <c r="J7580" s="19"/>
      <c r="L7580" s="16" t="str">
        <f>IFERROR(__xludf.DUMMYFUNCTION("""COMPUTED_VALUE"""),"")</f>
        <v/>
      </c>
      <c r="M7580" s="16" t="str">
        <f>IFERROR(__xludf.DUMMYFUNCTION("""COMPUTED_VALUE"""),"")</f>
        <v/>
      </c>
      <c r="U7580" s="16" t="s">
        <v>87</v>
      </c>
      <c r="V7580" s="16" t="str">
        <f>IFERROR(__xludf.DUMMYFUNCTION("""COMPUTED_VALUE"""),"")</f>
        <v/>
      </c>
      <c r="W7580" s="16" t="str">
        <f>IFERROR(__xludf.DUMMYFUNCTION("""COMPUTED_VALUE"""),"")</f>
        <v/>
      </c>
      <c r="X7580" s="16" t="str">
        <f>IFERROR(__xludf.DUMMYFUNCTION("""COMPUTED_VALUE"""),"")</f>
        <v/>
      </c>
      <c r="AC7580" s="16" t="str">
        <f>IFERROR(__xludf.DUMMYFUNCTION("""COMPUTED_VALUE"""),"")</f>
        <v/>
      </c>
    </row>
    <row r="7581">
      <c r="A7581" s="16" t="s">
        <v>87</v>
      </c>
      <c r="E7581" s="16" t="str">
        <f>IFERROR(__xludf.DUMMYFUNCTION("""COMPUTED_VALUE"""),"")</f>
        <v/>
      </c>
      <c r="G7581" s="18"/>
      <c r="H7581" s="16" t="s">
        <v>87</v>
      </c>
      <c r="I7581" s="16" t="s">
        <v>87</v>
      </c>
      <c r="J7581" s="19"/>
      <c r="L7581" s="16" t="str">
        <f>IFERROR(__xludf.DUMMYFUNCTION("""COMPUTED_VALUE"""),"")</f>
        <v/>
      </c>
      <c r="M7581" s="16" t="str">
        <f>IFERROR(__xludf.DUMMYFUNCTION("""COMPUTED_VALUE"""),"")</f>
        <v/>
      </c>
      <c r="U7581" s="16" t="s">
        <v>87</v>
      </c>
      <c r="V7581" s="16" t="str">
        <f>IFERROR(__xludf.DUMMYFUNCTION("""COMPUTED_VALUE"""),"")</f>
        <v/>
      </c>
      <c r="W7581" s="16" t="str">
        <f>IFERROR(__xludf.DUMMYFUNCTION("""COMPUTED_VALUE"""),"")</f>
        <v/>
      </c>
      <c r="X7581" s="16" t="str">
        <f>IFERROR(__xludf.DUMMYFUNCTION("""COMPUTED_VALUE"""),"")</f>
        <v/>
      </c>
      <c r="AC7581" s="16" t="str">
        <f>IFERROR(__xludf.DUMMYFUNCTION("""COMPUTED_VALUE"""),"")</f>
        <v/>
      </c>
    </row>
    <row r="7582">
      <c r="A7582" s="16" t="s">
        <v>87</v>
      </c>
      <c r="E7582" s="16" t="str">
        <f>IFERROR(__xludf.DUMMYFUNCTION("""COMPUTED_VALUE"""),"")</f>
        <v/>
      </c>
      <c r="G7582" s="18"/>
      <c r="H7582" s="16" t="s">
        <v>87</v>
      </c>
      <c r="I7582" s="16" t="s">
        <v>87</v>
      </c>
      <c r="J7582" s="19"/>
      <c r="L7582" s="16" t="str">
        <f>IFERROR(__xludf.DUMMYFUNCTION("""COMPUTED_VALUE"""),"")</f>
        <v/>
      </c>
      <c r="M7582" s="16" t="str">
        <f>IFERROR(__xludf.DUMMYFUNCTION("""COMPUTED_VALUE"""),"")</f>
        <v/>
      </c>
      <c r="U7582" s="16" t="s">
        <v>87</v>
      </c>
      <c r="V7582" s="16" t="str">
        <f>IFERROR(__xludf.DUMMYFUNCTION("""COMPUTED_VALUE"""),"")</f>
        <v/>
      </c>
      <c r="W7582" s="16" t="str">
        <f>IFERROR(__xludf.DUMMYFUNCTION("""COMPUTED_VALUE"""),"")</f>
        <v/>
      </c>
      <c r="X7582" s="16" t="str">
        <f>IFERROR(__xludf.DUMMYFUNCTION("""COMPUTED_VALUE"""),"")</f>
        <v/>
      </c>
      <c r="AC7582" s="16" t="str">
        <f>IFERROR(__xludf.DUMMYFUNCTION("""COMPUTED_VALUE"""),"")</f>
        <v/>
      </c>
    </row>
    <row r="7583">
      <c r="A7583" s="16" t="s">
        <v>87</v>
      </c>
      <c r="E7583" s="16" t="str">
        <f>IFERROR(__xludf.DUMMYFUNCTION("""COMPUTED_VALUE"""),"")</f>
        <v/>
      </c>
      <c r="G7583" s="18"/>
      <c r="H7583" s="16" t="s">
        <v>87</v>
      </c>
      <c r="I7583" s="16" t="s">
        <v>87</v>
      </c>
      <c r="J7583" s="19"/>
      <c r="L7583" s="16" t="str">
        <f>IFERROR(__xludf.DUMMYFUNCTION("""COMPUTED_VALUE"""),"")</f>
        <v/>
      </c>
      <c r="M7583" s="16" t="str">
        <f>IFERROR(__xludf.DUMMYFUNCTION("""COMPUTED_VALUE"""),"")</f>
        <v/>
      </c>
      <c r="U7583" s="16" t="s">
        <v>87</v>
      </c>
      <c r="V7583" s="16" t="str">
        <f>IFERROR(__xludf.DUMMYFUNCTION("""COMPUTED_VALUE"""),"")</f>
        <v/>
      </c>
      <c r="W7583" s="16" t="str">
        <f>IFERROR(__xludf.DUMMYFUNCTION("""COMPUTED_VALUE"""),"")</f>
        <v/>
      </c>
      <c r="X7583" s="16" t="str">
        <f>IFERROR(__xludf.DUMMYFUNCTION("""COMPUTED_VALUE"""),"")</f>
        <v/>
      </c>
      <c r="AC7583" s="16" t="str">
        <f>IFERROR(__xludf.DUMMYFUNCTION("""COMPUTED_VALUE"""),"")</f>
        <v/>
      </c>
    </row>
    <row r="7584">
      <c r="A7584" s="16" t="s">
        <v>87</v>
      </c>
      <c r="E7584" s="16" t="str">
        <f>IFERROR(__xludf.DUMMYFUNCTION("""COMPUTED_VALUE"""),"")</f>
        <v/>
      </c>
      <c r="G7584" s="18"/>
      <c r="H7584" s="16" t="s">
        <v>87</v>
      </c>
      <c r="I7584" s="16" t="s">
        <v>87</v>
      </c>
      <c r="J7584" s="19"/>
      <c r="L7584" s="16" t="str">
        <f>IFERROR(__xludf.DUMMYFUNCTION("""COMPUTED_VALUE"""),"")</f>
        <v/>
      </c>
      <c r="M7584" s="16" t="str">
        <f>IFERROR(__xludf.DUMMYFUNCTION("""COMPUTED_VALUE"""),"")</f>
        <v/>
      </c>
      <c r="U7584" s="16" t="s">
        <v>87</v>
      </c>
      <c r="V7584" s="16" t="str">
        <f>IFERROR(__xludf.DUMMYFUNCTION("""COMPUTED_VALUE"""),"")</f>
        <v/>
      </c>
      <c r="W7584" s="16" t="str">
        <f>IFERROR(__xludf.DUMMYFUNCTION("""COMPUTED_VALUE"""),"")</f>
        <v/>
      </c>
      <c r="X7584" s="16" t="str">
        <f>IFERROR(__xludf.DUMMYFUNCTION("""COMPUTED_VALUE"""),"")</f>
        <v/>
      </c>
      <c r="AC7584" s="16" t="str">
        <f>IFERROR(__xludf.DUMMYFUNCTION("""COMPUTED_VALUE"""),"")</f>
        <v/>
      </c>
    </row>
    <row r="7585">
      <c r="A7585" s="16" t="s">
        <v>87</v>
      </c>
      <c r="E7585" s="16" t="str">
        <f>IFERROR(__xludf.DUMMYFUNCTION("""COMPUTED_VALUE"""),"")</f>
        <v/>
      </c>
      <c r="G7585" s="18"/>
      <c r="H7585" s="16" t="s">
        <v>87</v>
      </c>
      <c r="I7585" s="16" t="s">
        <v>87</v>
      </c>
      <c r="J7585" s="19"/>
      <c r="L7585" s="16" t="str">
        <f>IFERROR(__xludf.DUMMYFUNCTION("""COMPUTED_VALUE"""),"")</f>
        <v/>
      </c>
      <c r="M7585" s="16" t="str">
        <f>IFERROR(__xludf.DUMMYFUNCTION("""COMPUTED_VALUE"""),"")</f>
        <v/>
      </c>
      <c r="U7585" s="16" t="s">
        <v>87</v>
      </c>
      <c r="V7585" s="16" t="str">
        <f>IFERROR(__xludf.DUMMYFUNCTION("""COMPUTED_VALUE"""),"")</f>
        <v/>
      </c>
      <c r="W7585" s="16" t="str">
        <f>IFERROR(__xludf.DUMMYFUNCTION("""COMPUTED_VALUE"""),"")</f>
        <v/>
      </c>
      <c r="X7585" s="16" t="str">
        <f>IFERROR(__xludf.DUMMYFUNCTION("""COMPUTED_VALUE"""),"")</f>
        <v/>
      </c>
      <c r="AC7585" s="16" t="str">
        <f>IFERROR(__xludf.DUMMYFUNCTION("""COMPUTED_VALUE"""),"")</f>
        <v/>
      </c>
    </row>
    <row r="7586">
      <c r="A7586" s="16" t="s">
        <v>87</v>
      </c>
      <c r="E7586" s="16" t="str">
        <f>IFERROR(__xludf.DUMMYFUNCTION("""COMPUTED_VALUE"""),"")</f>
        <v/>
      </c>
      <c r="G7586" s="18"/>
      <c r="H7586" s="16" t="s">
        <v>87</v>
      </c>
      <c r="I7586" s="16" t="s">
        <v>87</v>
      </c>
      <c r="J7586" s="19"/>
      <c r="L7586" s="16" t="str">
        <f>IFERROR(__xludf.DUMMYFUNCTION("""COMPUTED_VALUE"""),"")</f>
        <v/>
      </c>
      <c r="M7586" s="16" t="str">
        <f>IFERROR(__xludf.DUMMYFUNCTION("""COMPUTED_VALUE"""),"")</f>
        <v/>
      </c>
      <c r="U7586" s="16" t="s">
        <v>87</v>
      </c>
      <c r="V7586" s="16" t="str">
        <f>IFERROR(__xludf.DUMMYFUNCTION("""COMPUTED_VALUE"""),"")</f>
        <v/>
      </c>
      <c r="W7586" s="16" t="str">
        <f>IFERROR(__xludf.DUMMYFUNCTION("""COMPUTED_VALUE"""),"")</f>
        <v/>
      </c>
      <c r="X7586" s="16" t="str">
        <f>IFERROR(__xludf.DUMMYFUNCTION("""COMPUTED_VALUE"""),"")</f>
        <v/>
      </c>
      <c r="AC7586" s="16" t="str">
        <f>IFERROR(__xludf.DUMMYFUNCTION("""COMPUTED_VALUE"""),"")</f>
        <v/>
      </c>
    </row>
    <row r="7587">
      <c r="A7587" s="16" t="s">
        <v>87</v>
      </c>
      <c r="E7587" s="16" t="str">
        <f>IFERROR(__xludf.DUMMYFUNCTION("""COMPUTED_VALUE"""),"")</f>
        <v/>
      </c>
      <c r="G7587" s="18"/>
      <c r="H7587" s="16" t="s">
        <v>87</v>
      </c>
      <c r="I7587" s="16" t="s">
        <v>87</v>
      </c>
      <c r="J7587" s="19"/>
      <c r="L7587" s="16" t="str">
        <f>IFERROR(__xludf.DUMMYFUNCTION("""COMPUTED_VALUE"""),"")</f>
        <v/>
      </c>
      <c r="M7587" s="16" t="str">
        <f>IFERROR(__xludf.DUMMYFUNCTION("""COMPUTED_VALUE"""),"")</f>
        <v/>
      </c>
      <c r="U7587" s="16" t="s">
        <v>87</v>
      </c>
      <c r="V7587" s="16" t="str">
        <f>IFERROR(__xludf.DUMMYFUNCTION("""COMPUTED_VALUE"""),"")</f>
        <v/>
      </c>
      <c r="W7587" s="16" t="str">
        <f>IFERROR(__xludf.DUMMYFUNCTION("""COMPUTED_VALUE"""),"")</f>
        <v/>
      </c>
      <c r="X7587" s="16" t="str">
        <f>IFERROR(__xludf.DUMMYFUNCTION("""COMPUTED_VALUE"""),"")</f>
        <v/>
      </c>
      <c r="AC7587" s="16" t="str">
        <f>IFERROR(__xludf.DUMMYFUNCTION("""COMPUTED_VALUE"""),"")</f>
        <v/>
      </c>
    </row>
    <row r="7588">
      <c r="A7588" s="16" t="s">
        <v>87</v>
      </c>
      <c r="E7588" s="16" t="str">
        <f>IFERROR(__xludf.DUMMYFUNCTION("""COMPUTED_VALUE"""),"")</f>
        <v/>
      </c>
      <c r="G7588" s="18"/>
      <c r="H7588" s="16" t="s">
        <v>87</v>
      </c>
      <c r="I7588" s="16" t="s">
        <v>87</v>
      </c>
      <c r="J7588" s="19"/>
      <c r="L7588" s="16" t="str">
        <f>IFERROR(__xludf.DUMMYFUNCTION("""COMPUTED_VALUE"""),"")</f>
        <v/>
      </c>
      <c r="M7588" s="16" t="str">
        <f>IFERROR(__xludf.DUMMYFUNCTION("""COMPUTED_VALUE"""),"")</f>
        <v/>
      </c>
      <c r="U7588" s="16" t="s">
        <v>87</v>
      </c>
      <c r="V7588" s="16" t="str">
        <f>IFERROR(__xludf.DUMMYFUNCTION("""COMPUTED_VALUE"""),"")</f>
        <v/>
      </c>
      <c r="W7588" s="16" t="str">
        <f>IFERROR(__xludf.DUMMYFUNCTION("""COMPUTED_VALUE"""),"")</f>
        <v/>
      </c>
      <c r="X7588" s="16" t="str">
        <f>IFERROR(__xludf.DUMMYFUNCTION("""COMPUTED_VALUE"""),"")</f>
        <v/>
      </c>
      <c r="AC7588" s="16" t="str">
        <f>IFERROR(__xludf.DUMMYFUNCTION("""COMPUTED_VALUE"""),"")</f>
        <v/>
      </c>
    </row>
    <row r="7589">
      <c r="A7589" s="16" t="s">
        <v>87</v>
      </c>
      <c r="E7589" s="16" t="str">
        <f>IFERROR(__xludf.DUMMYFUNCTION("""COMPUTED_VALUE"""),"")</f>
        <v/>
      </c>
      <c r="G7589" s="18"/>
      <c r="H7589" s="16" t="s">
        <v>87</v>
      </c>
      <c r="I7589" s="16" t="s">
        <v>87</v>
      </c>
      <c r="J7589" s="19"/>
      <c r="L7589" s="16" t="str">
        <f>IFERROR(__xludf.DUMMYFUNCTION("""COMPUTED_VALUE"""),"")</f>
        <v/>
      </c>
      <c r="M7589" s="16" t="str">
        <f>IFERROR(__xludf.DUMMYFUNCTION("""COMPUTED_VALUE"""),"")</f>
        <v/>
      </c>
      <c r="U7589" s="16" t="s">
        <v>87</v>
      </c>
      <c r="V7589" s="16" t="str">
        <f>IFERROR(__xludf.DUMMYFUNCTION("""COMPUTED_VALUE"""),"")</f>
        <v/>
      </c>
      <c r="W7589" s="16" t="str">
        <f>IFERROR(__xludf.DUMMYFUNCTION("""COMPUTED_VALUE"""),"")</f>
        <v/>
      </c>
      <c r="X7589" s="16" t="str">
        <f>IFERROR(__xludf.DUMMYFUNCTION("""COMPUTED_VALUE"""),"")</f>
        <v/>
      </c>
      <c r="AC7589" s="16" t="str">
        <f>IFERROR(__xludf.DUMMYFUNCTION("""COMPUTED_VALUE"""),"")</f>
        <v/>
      </c>
    </row>
    <row r="7590">
      <c r="A7590" s="16" t="s">
        <v>87</v>
      </c>
      <c r="E7590" s="16" t="str">
        <f>IFERROR(__xludf.DUMMYFUNCTION("""COMPUTED_VALUE"""),"")</f>
        <v/>
      </c>
      <c r="G7590" s="18"/>
      <c r="H7590" s="16" t="s">
        <v>87</v>
      </c>
      <c r="I7590" s="16" t="s">
        <v>87</v>
      </c>
      <c r="J7590" s="19"/>
      <c r="L7590" s="16" t="str">
        <f>IFERROR(__xludf.DUMMYFUNCTION("""COMPUTED_VALUE"""),"")</f>
        <v/>
      </c>
      <c r="M7590" s="16" t="str">
        <f>IFERROR(__xludf.DUMMYFUNCTION("""COMPUTED_VALUE"""),"")</f>
        <v/>
      </c>
      <c r="U7590" s="16" t="s">
        <v>87</v>
      </c>
      <c r="V7590" s="16" t="str">
        <f>IFERROR(__xludf.DUMMYFUNCTION("""COMPUTED_VALUE"""),"")</f>
        <v/>
      </c>
      <c r="W7590" s="16" t="str">
        <f>IFERROR(__xludf.DUMMYFUNCTION("""COMPUTED_VALUE"""),"")</f>
        <v/>
      </c>
      <c r="X7590" s="16" t="str">
        <f>IFERROR(__xludf.DUMMYFUNCTION("""COMPUTED_VALUE"""),"")</f>
        <v/>
      </c>
      <c r="AC7590" s="16" t="str">
        <f>IFERROR(__xludf.DUMMYFUNCTION("""COMPUTED_VALUE"""),"")</f>
        <v/>
      </c>
    </row>
    <row r="7591">
      <c r="A7591" s="16" t="s">
        <v>87</v>
      </c>
      <c r="E7591" s="16" t="str">
        <f>IFERROR(__xludf.DUMMYFUNCTION("""COMPUTED_VALUE"""),"")</f>
        <v/>
      </c>
      <c r="G7591" s="18"/>
      <c r="H7591" s="16" t="s">
        <v>87</v>
      </c>
      <c r="I7591" s="16" t="s">
        <v>87</v>
      </c>
      <c r="J7591" s="19"/>
      <c r="L7591" s="16" t="str">
        <f>IFERROR(__xludf.DUMMYFUNCTION("""COMPUTED_VALUE"""),"")</f>
        <v/>
      </c>
      <c r="M7591" s="16" t="str">
        <f>IFERROR(__xludf.DUMMYFUNCTION("""COMPUTED_VALUE"""),"")</f>
        <v/>
      </c>
      <c r="U7591" s="16" t="s">
        <v>87</v>
      </c>
      <c r="V7591" s="16" t="str">
        <f>IFERROR(__xludf.DUMMYFUNCTION("""COMPUTED_VALUE"""),"")</f>
        <v/>
      </c>
      <c r="W7591" s="16" t="str">
        <f>IFERROR(__xludf.DUMMYFUNCTION("""COMPUTED_VALUE"""),"")</f>
        <v/>
      </c>
      <c r="X7591" s="16" t="str">
        <f>IFERROR(__xludf.DUMMYFUNCTION("""COMPUTED_VALUE"""),"")</f>
        <v/>
      </c>
      <c r="AC7591" s="16" t="str">
        <f>IFERROR(__xludf.DUMMYFUNCTION("""COMPUTED_VALUE"""),"")</f>
        <v/>
      </c>
    </row>
    <row r="7592">
      <c r="A7592" s="16" t="s">
        <v>87</v>
      </c>
      <c r="E7592" s="16" t="str">
        <f>IFERROR(__xludf.DUMMYFUNCTION("""COMPUTED_VALUE"""),"")</f>
        <v/>
      </c>
      <c r="G7592" s="18"/>
      <c r="H7592" s="16" t="s">
        <v>87</v>
      </c>
      <c r="I7592" s="16" t="s">
        <v>87</v>
      </c>
      <c r="J7592" s="19"/>
      <c r="L7592" s="16" t="str">
        <f>IFERROR(__xludf.DUMMYFUNCTION("""COMPUTED_VALUE"""),"")</f>
        <v/>
      </c>
      <c r="M7592" s="16" t="str">
        <f>IFERROR(__xludf.DUMMYFUNCTION("""COMPUTED_VALUE"""),"")</f>
        <v/>
      </c>
      <c r="U7592" s="16" t="s">
        <v>87</v>
      </c>
      <c r="V7592" s="16" t="str">
        <f>IFERROR(__xludf.DUMMYFUNCTION("""COMPUTED_VALUE"""),"")</f>
        <v/>
      </c>
      <c r="W7592" s="16" t="str">
        <f>IFERROR(__xludf.DUMMYFUNCTION("""COMPUTED_VALUE"""),"")</f>
        <v/>
      </c>
      <c r="X7592" s="16" t="str">
        <f>IFERROR(__xludf.DUMMYFUNCTION("""COMPUTED_VALUE"""),"")</f>
        <v/>
      </c>
      <c r="AC7592" s="16" t="str">
        <f>IFERROR(__xludf.DUMMYFUNCTION("""COMPUTED_VALUE"""),"")</f>
        <v/>
      </c>
    </row>
    <row r="7593">
      <c r="A7593" s="16" t="s">
        <v>87</v>
      </c>
      <c r="E7593" s="16" t="str">
        <f>IFERROR(__xludf.DUMMYFUNCTION("""COMPUTED_VALUE"""),"")</f>
        <v/>
      </c>
      <c r="G7593" s="18"/>
      <c r="H7593" s="16" t="s">
        <v>87</v>
      </c>
      <c r="I7593" s="16" t="s">
        <v>87</v>
      </c>
      <c r="J7593" s="19"/>
      <c r="L7593" s="16" t="str">
        <f>IFERROR(__xludf.DUMMYFUNCTION("""COMPUTED_VALUE"""),"")</f>
        <v/>
      </c>
      <c r="M7593" s="16" t="str">
        <f>IFERROR(__xludf.DUMMYFUNCTION("""COMPUTED_VALUE"""),"")</f>
        <v/>
      </c>
      <c r="U7593" s="16" t="s">
        <v>87</v>
      </c>
      <c r="V7593" s="16" t="str">
        <f>IFERROR(__xludf.DUMMYFUNCTION("""COMPUTED_VALUE"""),"")</f>
        <v/>
      </c>
      <c r="W7593" s="16" t="str">
        <f>IFERROR(__xludf.DUMMYFUNCTION("""COMPUTED_VALUE"""),"")</f>
        <v/>
      </c>
      <c r="X7593" s="16" t="str">
        <f>IFERROR(__xludf.DUMMYFUNCTION("""COMPUTED_VALUE"""),"")</f>
        <v/>
      </c>
      <c r="AC7593" s="16" t="str">
        <f>IFERROR(__xludf.DUMMYFUNCTION("""COMPUTED_VALUE"""),"")</f>
        <v/>
      </c>
    </row>
    <row r="7594">
      <c r="A7594" s="16" t="s">
        <v>87</v>
      </c>
      <c r="E7594" s="16" t="str">
        <f>IFERROR(__xludf.DUMMYFUNCTION("""COMPUTED_VALUE"""),"")</f>
        <v/>
      </c>
      <c r="G7594" s="18"/>
      <c r="H7594" s="16" t="s">
        <v>87</v>
      </c>
      <c r="I7594" s="16" t="s">
        <v>87</v>
      </c>
      <c r="J7594" s="19"/>
      <c r="L7594" s="16" t="str">
        <f>IFERROR(__xludf.DUMMYFUNCTION("""COMPUTED_VALUE"""),"")</f>
        <v/>
      </c>
      <c r="M7594" s="16" t="str">
        <f>IFERROR(__xludf.DUMMYFUNCTION("""COMPUTED_VALUE"""),"")</f>
        <v/>
      </c>
      <c r="U7594" s="16" t="s">
        <v>87</v>
      </c>
      <c r="V7594" s="16" t="str">
        <f>IFERROR(__xludf.DUMMYFUNCTION("""COMPUTED_VALUE"""),"")</f>
        <v/>
      </c>
      <c r="W7594" s="16" t="str">
        <f>IFERROR(__xludf.DUMMYFUNCTION("""COMPUTED_VALUE"""),"")</f>
        <v/>
      </c>
      <c r="X7594" s="16" t="str">
        <f>IFERROR(__xludf.DUMMYFUNCTION("""COMPUTED_VALUE"""),"")</f>
        <v/>
      </c>
      <c r="AC7594" s="16" t="str">
        <f>IFERROR(__xludf.DUMMYFUNCTION("""COMPUTED_VALUE"""),"")</f>
        <v/>
      </c>
    </row>
    <row r="7595">
      <c r="A7595" s="16" t="s">
        <v>87</v>
      </c>
      <c r="E7595" s="16" t="str">
        <f>IFERROR(__xludf.DUMMYFUNCTION("""COMPUTED_VALUE"""),"")</f>
        <v/>
      </c>
      <c r="G7595" s="18"/>
      <c r="H7595" s="16" t="s">
        <v>87</v>
      </c>
      <c r="I7595" s="16" t="s">
        <v>87</v>
      </c>
      <c r="J7595" s="19"/>
      <c r="L7595" s="16" t="str">
        <f>IFERROR(__xludf.DUMMYFUNCTION("""COMPUTED_VALUE"""),"")</f>
        <v/>
      </c>
      <c r="M7595" s="16" t="str">
        <f>IFERROR(__xludf.DUMMYFUNCTION("""COMPUTED_VALUE"""),"")</f>
        <v/>
      </c>
      <c r="U7595" s="16" t="s">
        <v>87</v>
      </c>
      <c r="V7595" s="16" t="str">
        <f>IFERROR(__xludf.DUMMYFUNCTION("""COMPUTED_VALUE"""),"")</f>
        <v/>
      </c>
      <c r="W7595" s="16" t="str">
        <f>IFERROR(__xludf.DUMMYFUNCTION("""COMPUTED_VALUE"""),"")</f>
        <v/>
      </c>
      <c r="X7595" s="16" t="str">
        <f>IFERROR(__xludf.DUMMYFUNCTION("""COMPUTED_VALUE"""),"")</f>
        <v/>
      </c>
      <c r="AC7595" s="16" t="str">
        <f>IFERROR(__xludf.DUMMYFUNCTION("""COMPUTED_VALUE"""),"")</f>
        <v/>
      </c>
    </row>
    <row r="7596">
      <c r="A7596" s="16" t="s">
        <v>87</v>
      </c>
      <c r="E7596" s="16" t="str">
        <f>IFERROR(__xludf.DUMMYFUNCTION("""COMPUTED_VALUE"""),"")</f>
        <v/>
      </c>
      <c r="G7596" s="18"/>
      <c r="H7596" s="16" t="s">
        <v>87</v>
      </c>
      <c r="I7596" s="16" t="s">
        <v>87</v>
      </c>
      <c r="J7596" s="19"/>
      <c r="L7596" s="16" t="str">
        <f>IFERROR(__xludf.DUMMYFUNCTION("""COMPUTED_VALUE"""),"")</f>
        <v/>
      </c>
      <c r="M7596" s="16" t="str">
        <f>IFERROR(__xludf.DUMMYFUNCTION("""COMPUTED_VALUE"""),"")</f>
        <v/>
      </c>
      <c r="U7596" s="16" t="s">
        <v>87</v>
      </c>
      <c r="V7596" s="16" t="str">
        <f>IFERROR(__xludf.DUMMYFUNCTION("""COMPUTED_VALUE"""),"")</f>
        <v/>
      </c>
      <c r="W7596" s="16" t="str">
        <f>IFERROR(__xludf.DUMMYFUNCTION("""COMPUTED_VALUE"""),"")</f>
        <v/>
      </c>
      <c r="X7596" s="16" t="str">
        <f>IFERROR(__xludf.DUMMYFUNCTION("""COMPUTED_VALUE"""),"")</f>
        <v/>
      </c>
      <c r="AC7596" s="16" t="str">
        <f>IFERROR(__xludf.DUMMYFUNCTION("""COMPUTED_VALUE"""),"")</f>
        <v/>
      </c>
    </row>
    <row r="7597">
      <c r="A7597" s="16" t="s">
        <v>87</v>
      </c>
      <c r="E7597" s="16" t="str">
        <f>IFERROR(__xludf.DUMMYFUNCTION("""COMPUTED_VALUE"""),"")</f>
        <v/>
      </c>
      <c r="G7597" s="18"/>
      <c r="H7597" s="16" t="s">
        <v>87</v>
      </c>
      <c r="I7597" s="16" t="s">
        <v>87</v>
      </c>
      <c r="J7597" s="19"/>
      <c r="L7597" s="16" t="str">
        <f>IFERROR(__xludf.DUMMYFUNCTION("""COMPUTED_VALUE"""),"")</f>
        <v/>
      </c>
      <c r="M7597" s="16" t="str">
        <f>IFERROR(__xludf.DUMMYFUNCTION("""COMPUTED_VALUE"""),"")</f>
        <v/>
      </c>
      <c r="U7597" s="16" t="s">
        <v>87</v>
      </c>
      <c r="V7597" s="16" t="str">
        <f>IFERROR(__xludf.DUMMYFUNCTION("""COMPUTED_VALUE"""),"")</f>
        <v/>
      </c>
      <c r="W7597" s="16" t="str">
        <f>IFERROR(__xludf.DUMMYFUNCTION("""COMPUTED_VALUE"""),"")</f>
        <v/>
      </c>
      <c r="X7597" s="16" t="str">
        <f>IFERROR(__xludf.DUMMYFUNCTION("""COMPUTED_VALUE"""),"")</f>
        <v/>
      </c>
      <c r="AC7597" s="16" t="str">
        <f>IFERROR(__xludf.DUMMYFUNCTION("""COMPUTED_VALUE"""),"")</f>
        <v/>
      </c>
    </row>
    <row r="7598">
      <c r="A7598" s="16" t="s">
        <v>87</v>
      </c>
      <c r="E7598" s="16" t="str">
        <f>IFERROR(__xludf.DUMMYFUNCTION("""COMPUTED_VALUE"""),"")</f>
        <v/>
      </c>
      <c r="G7598" s="18"/>
      <c r="H7598" s="16" t="s">
        <v>87</v>
      </c>
      <c r="I7598" s="16" t="s">
        <v>87</v>
      </c>
      <c r="J7598" s="19"/>
      <c r="L7598" s="16" t="str">
        <f>IFERROR(__xludf.DUMMYFUNCTION("""COMPUTED_VALUE"""),"")</f>
        <v/>
      </c>
      <c r="M7598" s="16" t="str">
        <f>IFERROR(__xludf.DUMMYFUNCTION("""COMPUTED_VALUE"""),"")</f>
        <v/>
      </c>
      <c r="U7598" s="16" t="s">
        <v>87</v>
      </c>
      <c r="V7598" s="16" t="str">
        <f>IFERROR(__xludf.DUMMYFUNCTION("""COMPUTED_VALUE"""),"")</f>
        <v/>
      </c>
      <c r="W7598" s="16" t="str">
        <f>IFERROR(__xludf.DUMMYFUNCTION("""COMPUTED_VALUE"""),"")</f>
        <v/>
      </c>
      <c r="X7598" s="16" t="str">
        <f>IFERROR(__xludf.DUMMYFUNCTION("""COMPUTED_VALUE"""),"")</f>
        <v/>
      </c>
      <c r="AC7598" s="16" t="str">
        <f>IFERROR(__xludf.DUMMYFUNCTION("""COMPUTED_VALUE"""),"")</f>
        <v/>
      </c>
    </row>
    <row r="7599">
      <c r="A7599" s="16" t="s">
        <v>87</v>
      </c>
      <c r="E7599" s="16" t="str">
        <f>IFERROR(__xludf.DUMMYFUNCTION("""COMPUTED_VALUE"""),"")</f>
        <v/>
      </c>
      <c r="G7599" s="18"/>
      <c r="H7599" s="16" t="s">
        <v>87</v>
      </c>
      <c r="I7599" s="16" t="s">
        <v>87</v>
      </c>
      <c r="J7599" s="19"/>
      <c r="L7599" s="16" t="str">
        <f>IFERROR(__xludf.DUMMYFUNCTION("""COMPUTED_VALUE"""),"")</f>
        <v/>
      </c>
      <c r="M7599" s="16" t="str">
        <f>IFERROR(__xludf.DUMMYFUNCTION("""COMPUTED_VALUE"""),"")</f>
        <v/>
      </c>
      <c r="U7599" s="16" t="s">
        <v>87</v>
      </c>
      <c r="V7599" s="16" t="str">
        <f>IFERROR(__xludf.DUMMYFUNCTION("""COMPUTED_VALUE"""),"")</f>
        <v/>
      </c>
      <c r="W7599" s="16" t="str">
        <f>IFERROR(__xludf.DUMMYFUNCTION("""COMPUTED_VALUE"""),"")</f>
        <v/>
      </c>
      <c r="X7599" s="16" t="str">
        <f>IFERROR(__xludf.DUMMYFUNCTION("""COMPUTED_VALUE"""),"")</f>
        <v/>
      </c>
      <c r="AC7599" s="16" t="str">
        <f>IFERROR(__xludf.DUMMYFUNCTION("""COMPUTED_VALUE"""),"")</f>
        <v/>
      </c>
    </row>
    <row r="7600">
      <c r="A7600" s="16" t="s">
        <v>87</v>
      </c>
      <c r="E7600" s="16" t="str">
        <f>IFERROR(__xludf.DUMMYFUNCTION("""COMPUTED_VALUE"""),"")</f>
        <v/>
      </c>
      <c r="G7600" s="18"/>
      <c r="H7600" s="16" t="s">
        <v>87</v>
      </c>
      <c r="I7600" s="16" t="s">
        <v>87</v>
      </c>
      <c r="J7600" s="19"/>
      <c r="L7600" s="16" t="str">
        <f>IFERROR(__xludf.DUMMYFUNCTION("""COMPUTED_VALUE"""),"")</f>
        <v/>
      </c>
      <c r="M7600" s="16" t="str">
        <f>IFERROR(__xludf.DUMMYFUNCTION("""COMPUTED_VALUE"""),"")</f>
        <v/>
      </c>
      <c r="U7600" s="16" t="s">
        <v>87</v>
      </c>
      <c r="V7600" s="16" t="str">
        <f>IFERROR(__xludf.DUMMYFUNCTION("""COMPUTED_VALUE"""),"")</f>
        <v/>
      </c>
      <c r="W7600" s="16" t="str">
        <f>IFERROR(__xludf.DUMMYFUNCTION("""COMPUTED_VALUE"""),"")</f>
        <v/>
      </c>
      <c r="X7600" s="16" t="str">
        <f>IFERROR(__xludf.DUMMYFUNCTION("""COMPUTED_VALUE"""),"")</f>
        <v/>
      </c>
      <c r="AC7600" s="16" t="str">
        <f>IFERROR(__xludf.DUMMYFUNCTION("""COMPUTED_VALUE"""),"")</f>
        <v/>
      </c>
    </row>
    <row r="7601">
      <c r="A7601" s="16" t="s">
        <v>87</v>
      </c>
      <c r="E7601" s="16" t="str">
        <f>IFERROR(__xludf.DUMMYFUNCTION("""COMPUTED_VALUE"""),"")</f>
        <v/>
      </c>
      <c r="G7601" s="18"/>
      <c r="H7601" s="16" t="s">
        <v>87</v>
      </c>
      <c r="I7601" s="16" t="s">
        <v>87</v>
      </c>
      <c r="J7601" s="19"/>
      <c r="L7601" s="16" t="str">
        <f>IFERROR(__xludf.DUMMYFUNCTION("""COMPUTED_VALUE"""),"")</f>
        <v/>
      </c>
      <c r="M7601" s="16" t="str">
        <f>IFERROR(__xludf.DUMMYFUNCTION("""COMPUTED_VALUE"""),"")</f>
        <v/>
      </c>
      <c r="U7601" s="16" t="s">
        <v>87</v>
      </c>
      <c r="V7601" s="16" t="str">
        <f>IFERROR(__xludf.DUMMYFUNCTION("""COMPUTED_VALUE"""),"")</f>
        <v/>
      </c>
      <c r="W7601" s="16" t="str">
        <f>IFERROR(__xludf.DUMMYFUNCTION("""COMPUTED_VALUE"""),"")</f>
        <v/>
      </c>
      <c r="X7601" s="16" t="str">
        <f>IFERROR(__xludf.DUMMYFUNCTION("""COMPUTED_VALUE"""),"")</f>
        <v/>
      </c>
      <c r="AC7601" s="16" t="str">
        <f>IFERROR(__xludf.DUMMYFUNCTION("""COMPUTED_VALUE"""),"")</f>
        <v/>
      </c>
    </row>
    <row r="7602">
      <c r="A7602" s="16" t="s">
        <v>87</v>
      </c>
      <c r="E7602" s="16" t="str">
        <f>IFERROR(__xludf.DUMMYFUNCTION("""COMPUTED_VALUE"""),"")</f>
        <v/>
      </c>
      <c r="G7602" s="18"/>
      <c r="H7602" s="16" t="s">
        <v>87</v>
      </c>
      <c r="I7602" s="16" t="s">
        <v>87</v>
      </c>
      <c r="J7602" s="19"/>
      <c r="L7602" s="16" t="str">
        <f>IFERROR(__xludf.DUMMYFUNCTION("""COMPUTED_VALUE"""),"")</f>
        <v/>
      </c>
      <c r="M7602" s="16" t="str">
        <f>IFERROR(__xludf.DUMMYFUNCTION("""COMPUTED_VALUE"""),"")</f>
        <v/>
      </c>
      <c r="U7602" s="16" t="s">
        <v>87</v>
      </c>
      <c r="V7602" s="16" t="str">
        <f>IFERROR(__xludf.DUMMYFUNCTION("""COMPUTED_VALUE"""),"")</f>
        <v/>
      </c>
      <c r="W7602" s="16" t="str">
        <f>IFERROR(__xludf.DUMMYFUNCTION("""COMPUTED_VALUE"""),"")</f>
        <v/>
      </c>
      <c r="X7602" s="16" t="str">
        <f>IFERROR(__xludf.DUMMYFUNCTION("""COMPUTED_VALUE"""),"")</f>
        <v/>
      </c>
      <c r="AC7602" s="16" t="str">
        <f>IFERROR(__xludf.DUMMYFUNCTION("""COMPUTED_VALUE"""),"")</f>
        <v/>
      </c>
    </row>
    <row r="7603">
      <c r="A7603" s="16" t="s">
        <v>87</v>
      </c>
      <c r="E7603" s="16" t="str">
        <f>IFERROR(__xludf.DUMMYFUNCTION("""COMPUTED_VALUE"""),"")</f>
        <v/>
      </c>
      <c r="G7603" s="18"/>
      <c r="H7603" s="16" t="s">
        <v>87</v>
      </c>
      <c r="I7603" s="16" t="s">
        <v>87</v>
      </c>
      <c r="J7603" s="19"/>
      <c r="L7603" s="16" t="str">
        <f>IFERROR(__xludf.DUMMYFUNCTION("""COMPUTED_VALUE"""),"")</f>
        <v/>
      </c>
      <c r="M7603" s="16" t="str">
        <f>IFERROR(__xludf.DUMMYFUNCTION("""COMPUTED_VALUE"""),"")</f>
        <v/>
      </c>
      <c r="U7603" s="16" t="s">
        <v>87</v>
      </c>
      <c r="V7603" s="16" t="str">
        <f>IFERROR(__xludf.DUMMYFUNCTION("""COMPUTED_VALUE"""),"")</f>
        <v/>
      </c>
      <c r="W7603" s="16" t="str">
        <f>IFERROR(__xludf.DUMMYFUNCTION("""COMPUTED_VALUE"""),"")</f>
        <v/>
      </c>
      <c r="X7603" s="16" t="str">
        <f>IFERROR(__xludf.DUMMYFUNCTION("""COMPUTED_VALUE"""),"")</f>
        <v/>
      </c>
      <c r="AC7603" s="16" t="str">
        <f>IFERROR(__xludf.DUMMYFUNCTION("""COMPUTED_VALUE"""),"")</f>
        <v/>
      </c>
    </row>
    <row r="7604">
      <c r="A7604" s="16" t="s">
        <v>87</v>
      </c>
      <c r="E7604" s="16" t="str">
        <f>IFERROR(__xludf.DUMMYFUNCTION("""COMPUTED_VALUE"""),"")</f>
        <v/>
      </c>
      <c r="G7604" s="18"/>
      <c r="H7604" s="16" t="s">
        <v>87</v>
      </c>
      <c r="I7604" s="16" t="s">
        <v>87</v>
      </c>
      <c r="J7604" s="19"/>
      <c r="L7604" s="16" t="str">
        <f>IFERROR(__xludf.DUMMYFUNCTION("""COMPUTED_VALUE"""),"")</f>
        <v/>
      </c>
      <c r="M7604" s="16" t="str">
        <f>IFERROR(__xludf.DUMMYFUNCTION("""COMPUTED_VALUE"""),"")</f>
        <v/>
      </c>
      <c r="U7604" s="16" t="s">
        <v>87</v>
      </c>
      <c r="V7604" s="16" t="str">
        <f>IFERROR(__xludf.DUMMYFUNCTION("""COMPUTED_VALUE"""),"")</f>
        <v/>
      </c>
      <c r="W7604" s="16" t="str">
        <f>IFERROR(__xludf.DUMMYFUNCTION("""COMPUTED_VALUE"""),"")</f>
        <v/>
      </c>
      <c r="X7604" s="16" t="str">
        <f>IFERROR(__xludf.DUMMYFUNCTION("""COMPUTED_VALUE"""),"")</f>
        <v/>
      </c>
      <c r="AC7604" s="16" t="str">
        <f>IFERROR(__xludf.DUMMYFUNCTION("""COMPUTED_VALUE"""),"")</f>
        <v/>
      </c>
    </row>
    <row r="7605">
      <c r="A7605" s="16" t="s">
        <v>87</v>
      </c>
      <c r="E7605" s="16" t="str">
        <f>IFERROR(__xludf.DUMMYFUNCTION("""COMPUTED_VALUE"""),"")</f>
        <v/>
      </c>
      <c r="G7605" s="18"/>
      <c r="H7605" s="16" t="s">
        <v>87</v>
      </c>
      <c r="I7605" s="16" t="s">
        <v>87</v>
      </c>
      <c r="J7605" s="19"/>
      <c r="L7605" s="16" t="str">
        <f>IFERROR(__xludf.DUMMYFUNCTION("""COMPUTED_VALUE"""),"")</f>
        <v/>
      </c>
      <c r="M7605" s="16" t="str">
        <f>IFERROR(__xludf.DUMMYFUNCTION("""COMPUTED_VALUE"""),"")</f>
        <v/>
      </c>
      <c r="U7605" s="16" t="s">
        <v>87</v>
      </c>
      <c r="V7605" s="16" t="str">
        <f>IFERROR(__xludf.DUMMYFUNCTION("""COMPUTED_VALUE"""),"")</f>
        <v/>
      </c>
      <c r="W7605" s="16" t="str">
        <f>IFERROR(__xludf.DUMMYFUNCTION("""COMPUTED_VALUE"""),"")</f>
        <v/>
      </c>
      <c r="X7605" s="16" t="str">
        <f>IFERROR(__xludf.DUMMYFUNCTION("""COMPUTED_VALUE"""),"")</f>
        <v/>
      </c>
      <c r="AC7605" s="16" t="str">
        <f>IFERROR(__xludf.DUMMYFUNCTION("""COMPUTED_VALUE"""),"")</f>
        <v/>
      </c>
    </row>
    <row r="7606">
      <c r="A7606" s="16" t="s">
        <v>87</v>
      </c>
      <c r="E7606" s="16" t="str">
        <f>IFERROR(__xludf.DUMMYFUNCTION("""COMPUTED_VALUE"""),"")</f>
        <v/>
      </c>
      <c r="G7606" s="18"/>
      <c r="H7606" s="16" t="s">
        <v>87</v>
      </c>
      <c r="I7606" s="16" t="s">
        <v>87</v>
      </c>
      <c r="J7606" s="19"/>
      <c r="L7606" s="16" t="str">
        <f>IFERROR(__xludf.DUMMYFUNCTION("""COMPUTED_VALUE"""),"")</f>
        <v/>
      </c>
      <c r="M7606" s="16" t="str">
        <f>IFERROR(__xludf.DUMMYFUNCTION("""COMPUTED_VALUE"""),"")</f>
        <v/>
      </c>
      <c r="U7606" s="16" t="s">
        <v>87</v>
      </c>
      <c r="V7606" s="16" t="str">
        <f>IFERROR(__xludf.DUMMYFUNCTION("""COMPUTED_VALUE"""),"")</f>
        <v/>
      </c>
      <c r="W7606" s="16" t="str">
        <f>IFERROR(__xludf.DUMMYFUNCTION("""COMPUTED_VALUE"""),"")</f>
        <v/>
      </c>
      <c r="X7606" s="16" t="str">
        <f>IFERROR(__xludf.DUMMYFUNCTION("""COMPUTED_VALUE"""),"")</f>
        <v/>
      </c>
      <c r="AC7606" s="16" t="str">
        <f>IFERROR(__xludf.DUMMYFUNCTION("""COMPUTED_VALUE"""),"")</f>
        <v/>
      </c>
    </row>
    <row r="7607">
      <c r="A7607" s="16" t="s">
        <v>87</v>
      </c>
      <c r="E7607" s="16" t="str">
        <f>IFERROR(__xludf.DUMMYFUNCTION("""COMPUTED_VALUE"""),"")</f>
        <v/>
      </c>
      <c r="G7607" s="18"/>
      <c r="H7607" s="16" t="s">
        <v>87</v>
      </c>
      <c r="I7607" s="16" t="s">
        <v>87</v>
      </c>
      <c r="J7607" s="19"/>
      <c r="L7607" s="16" t="str">
        <f>IFERROR(__xludf.DUMMYFUNCTION("""COMPUTED_VALUE"""),"")</f>
        <v/>
      </c>
      <c r="M7607" s="16" t="str">
        <f>IFERROR(__xludf.DUMMYFUNCTION("""COMPUTED_VALUE"""),"")</f>
        <v/>
      </c>
      <c r="U7607" s="16" t="s">
        <v>87</v>
      </c>
      <c r="V7607" s="16" t="str">
        <f>IFERROR(__xludf.DUMMYFUNCTION("""COMPUTED_VALUE"""),"")</f>
        <v/>
      </c>
      <c r="W7607" s="16" t="str">
        <f>IFERROR(__xludf.DUMMYFUNCTION("""COMPUTED_VALUE"""),"")</f>
        <v/>
      </c>
      <c r="X7607" s="16" t="str">
        <f>IFERROR(__xludf.DUMMYFUNCTION("""COMPUTED_VALUE"""),"")</f>
        <v/>
      </c>
      <c r="AC7607" s="16" t="str">
        <f>IFERROR(__xludf.DUMMYFUNCTION("""COMPUTED_VALUE"""),"")</f>
        <v/>
      </c>
    </row>
    <row r="7608">
      <c r="A7608" s="16" t="s">
        <v>87</v>
      </c>
      <c r="E7608" s="16" t="str">
        <f>IFERROR(__xludf.DUMMYFUNCTION("""COMPUTED_VALUE"""),"")</f>
        <v/>
      </c>
      <c r="G7608" s="18"/>
      <c r="H7608" s="16" t="s">
        <v>87</v>
      </c>
      <c r="I7608" s="16" t="s">
        <v>87</v>
      </c>
      <c r="J7608" s="19"/>
      <c r="L7608" s="16" t="str">
        <f>IFERROR(__xludf.DUMMYFUNCTION("""COMPUTED_VALUE"""),"")</f>
        <v/>
      </c>
      <c r="M7608" s="16" t="str">
        <f>IFERROR(__xludf.DUMMYFUNCTION("""COMPUTED_VALUE"""),"")</f>
        <v/>
      </c>
      <c r="U7608" s="16" t="s">
        <v>87</v>
      </c>
      <c r="V7608" s="16" t="str">
        <f>IFERROR(__xludf.DUMMYFUNCTION("""COMPUTED_VALUE"""),"")</f>
        <v/>
      </c>
      <c r="W7608" s="16" t="str">
        <f>IFERROR(__xludf.DUMMYFUNCTION("""COMPUTED_VALUE"""),"")</f>
        <v/>
      </c>
      <c r="X7608" s="16" t="str">
        <f>IFERROR(__xludf.DUMMYFUNCTION("""COMPUTED_VALUE"""),"")</f>
        <v/>
      </c>
      <c r="AC7608" s="16" t="str">
        <f>IFERROR(__xludf.DUMMYFUNCTION("""COMPUTED_VALUE"""),"")</f>
        <v/>
      </c>
    </row>
    <row r="7609">
      <c r="A7609" s="16" t="s">
        <v>87</v>
      </c>
      <c r="E7609" s="16" t="str">
        <f>IFERROR(__xludf.DUMMYFUNCTION("""COMPUTED_VALUE"""),"")</f>
        <v/>
      </c>
      <c r="G7609" s="18"/>
      <c r="H7609" s="16" t="s">
        <v>87</v>
      </c>
      <c r="I7609" s="16" t="s">
        <v>87</v>
      </c>
      <c r="J7609" s="19"/>
      <c r="L7609" s="16" t="str">
        <f>IFERROR(__xludf.DUMMYFUNCTION("""COMPUTED_VALUE"""),"")</f>
        <v/>
      </c>
      <c r="M7609" s="16" t="str">
        <f>IFERROR(__xludf.DUMMYFUNCTION("""COMPUTED_VALUE"""),"")</f>
        <v/>
      </c>
      <c r="U7609" s="16" t="s">
        <v>87</v>
      </c>
      <c r="V7609" s="16" t="str">
        <f>IFERROR(__xludf.DUMMYFUNCTION("""COMPUTED_VALUE"""),"")</f>
        <v/>
      </c>
      <c r="W7609" s="16" t="str">
        <f>IFERROR(__xludf.DUMMYFUNCTION("""COMPUTED_VALUE"""),"")</f>
        <v/>
      </c>
      <c r="X7609" s="16" t="str">
        <f>IFERROR(__xludf.DUMMYFUNCTION("""COMPUTED_VALUE"""),"")</f>
        <v/>
      </c>
      <c r="AC7609" s="16" t="str">
        <f>IFERROR(__xludf.DUMMYFUNCTION("""COMPUTED_VALUE"""),"")</f>
        <v/>
      </c>
    </row>
    <row r="7610">
      <c r="A7610" s="16" t="s">
        <v>87</v>
      </c>
      <c r="E7610" s="16" t="str">
        <f>IFERROR(__xludf.DUMMYFUNCTION("""COMPUTED_VALUE"""),"")</f>
        <v/>
      </c>
      <c r="G7610" s="18"/>
      <c r="H7610" s="16" t="s">
        <v>87</v>
      </c>
      <c r="I7610" s="16" t="s">
        <v>87</v>
      </c>
      <c r="J7610" s="19"/>
      <c r="L7610" s="16" t="str">
        <f>IFERROR(__xludf.DUMMYFUNCTION("""COMPUTED_VALUE"""),"")</f>
        <v/>
      </c>
      <c r="M7610" s="16" t="str">
        <f>IFERROR(__xludf.DUMMYFUNCTION("""COMPUTED_VALUE"""),"")</f>
        <v/>
      </c>
      <c r="U7610" s="16" t="s">
        <v>87</v>
      </c>
      <c r="V7610" s="16" t="str">
        <f>IFERROR(__xludf.DUMMYFUNCTION("""COMPUTED_VALUE"""),"")</f>
        <v/>
      </c>
      <c r="W7610" s="16" t="str">
        <f>IFERROR(__xludf.DUMMYFUNCTION("""COMPUTED_VALUE"""),"")</f>
        <v/>
      </c>
      <c r="X7610" s="16" t="str">
        <f>IFERROR(__xludf.DUMMYFUNCTION("""COMPUTED_VALUE"""),"")</f>
        <v/>
      </c>
      <c r="AC7610" s="16" t="str">
        <f>IFERROR(__xludf.DUMMYFUNCTION("""COMPUTED_VALUE"""),"")</f>
        <v/>
      </c>
    </row>
    <row r="7611">
      <c r="A7611" s="16" t="s">
        <v>87</v>
      </c>
      <c r="E7611" s="16" t="str">
        <f>IFERROR(__xludf.DUMMYFUNCTION("""COMPUTED_VALUE"""),"")</f>
        <v/>
      </c>
      <c r="G7611" s="18"/>
      <c r="H7611" s="16" t="s">
        <v>87</v>
      </c>
      <c r="I7611" s="16" t="s">
        <v>87</v>
      </c>
      <c r="J7611" s="19"/>
      <c r="L7611" s="16" t="str">
        <f>IFERROR(__xludf.DUMMYFUNCTION("""COMPUTED_VALUE"""),"")</f>
        <v/>
      </c>
      <c r="M7611" s="16" t="str">
        <f>IFERROR(__xludf.DUMMYFUNCTION("""COMPUTED_VALUE"""),"")</f>
        <v/>
      </c>
      <c r="U7611" s="16" t="s">
        <v>87</v>
      </c>
      <c r="V7611" s="16" t="str">
        <f>IFERROR(__xludf.DUMMYFUNCTION("""COMPUTED_VALUE"""),"")</f>
        <v/>
      </c>
      <c r="W7611" s="16" t="str">
        <f>IFERROR(__xludf.DUMMYFUNCTION("""COMPUTED_VALUE"""),"")</f>
        <v/>
      </c>
      <c r="X7611" s="16" t="str">
        <f>IFERROR(__xludf.DUMMYFUNCTION("""COMPUTED_VALUE"""),"")</f>
        <v/>
      </c>
      <c r="AC7611" s="16" t="str">
        <f>IFERROR(__xludf.DUMMYFUNCTION("""COMPUTED_VALUE"""),"")</f>
        <v/>
      </c>
    </row>
    <row r="7612">
      <c r="A7612" s="16" t="s">
        <v>87</v>
      </c>
      <c r="E7612" s="16" t="str">
        <f>IFERROR(__xludf.DUMMYFUNCTION("""COMPUTED_VALUE"""),"")</f>
        <v/>
      </c>
      <c r="G7612" s="18"/>
      <c r="H7612" s="16" t="s">
        <v>87</v>
      </c>
      <c r="I7612" s="16" t="s">
        <v>87</v>
      </c>
      <c r="J7612" s="19"/>
      <c r="L7612" s="16" t="str">
        <f>IFERROR(__xludf.DUMMYFUNCTION("""COMPUTED_VALUE"""),"")</f>
        <v/>
      </c>
      <c r="M7612" s="16" t="str">
        <f>IFERROR(__xludf.DUMMYFUNCTION("""COMPUTED_VALUE"""),"")</f>
        <v/>
      </c>
      <c r="U7612" s="16" t="s">
        <v>87</v>
      </c>
      <c r="V7612" s="16" t="str">
        <f>IFERROR(__xludf.DUMMYFUNCTION("""COMPUTED_VALUE"""),"")</f>
        <v/>
      </c>
      <c r="W7612" s="16" t="str">
        <f>IFERROR(__xludf.DUMMYFUNCTION("""COMPUTED_VALUE"""),"")</f>
        <v/>
      </c>
      <c r="X7612" s="16" t="str">
        <f>IFERROR(__xludf.DUMMYFUNCTION("""COMPUTED_VALUE"""),"")</f>
        <v/>
      </c>
      <c r="AC7612" s="16" t="str">
        <f>IFERROR(__xludf.DUMMYFUNCTION("""COMPUTED_VALUE"""),"")</f>
        <v/>
      </c>
    </row>
    <row r="7613">
      <c r="A7613" s="16" t="s">
        <v>87</v>
      </c>
      <c r="E7613" s="16" t="str">
        <f>IFERROR(__xludf.DUMMYFUNCTION("""COMPUTED_VALUE"""),"")</f>
        <v/>
      </c>
      <c r="G7613" s="18"/>
      <c r="H7613" s="16" t="s">
        <v>87</v>
      </c>
      <c r="I7613" s="16" t="s">
        <v>87</v>
      </c>
      <c r="J7613" s="19"/>
      <c r="L7613" s="16" t="str">
        <f>IFERROR(__xludf.DUMMYFUNCTION("""COMPUTED_VALUE"""),"")</f>
        <v/>
      </c>
      <c r="M7613" s="16" t="str">
        <f>IFERROR(__xludf.DUMMYFUNCTION("""COMPUTED_VALUE"""),"")</f>
        <v/>
      </c>
      <c r="U7613" s="16" t="s">
        <v>87</v>
      </c>
      <c r="V7613" s="16" t="str">
        <f>IFERROR(__xludf.DUMMYFUNCTION("""COMPUTED_VALUE"""),"")</f>
        <v/>
      </c>
      <c r="W7613" s="16" t="str">
        <f>IFERROR(__xludf.DUMMYFUNCTION("""COMPUTED_VALUE"""),"")</f>
        <v/>
      </c>
      <c r="X7613" s="16" t="str">
        <f>IFERROR(__xludf.DUMMYFUNCTION("""COMPUTED_VALUE"""),"")</f>
        <v/>
      </c>
      <c r="AC7613" s="16" t="str">
        <f>IFERROR(__xludf.DUMMYFUNCTION("""COMPUTED_VALUE"""),"")</f>
        <v/>
      </c>
    </row>
    <row r="7614">
      <c r="A7614" s="16" t="s">
        <v>87</v>
      </c>
      <c r="E7614" s="16" t="str">
        <f>IFERROR(__xludf.DUMMYFUNCTION("""COMPUTED_VALUE"""),"")</f>
        <v/>
      </c>
      <c r="G7614" s="18"/>
      <c r="H7614" s="16" t="s">
        <v>87</v>
      </c>
      <c r="I7614" s="16" t="s">
        <v>87</v>
      </c>
      <c r="J7614" s="19"/>
      <c r="L7614" s="16" t="str">
        <f>IFERROR(__xludf.DUMMYFUNCTION("""COMPUTED_VALUE"""),"")</f>
        <v/>
      </c>
      <c r="M7614" s="16" t="str">
        <f>IFERROR(__xludf.DUMMYFUNCTION("""COMPUTED_VALUE"""),"")</f>
        <v/>
      </c>
      <c r="U7614" s="16" t="s">
        <v>87</v>
      </c>
      <c r="V7614" s="16" t="str">
        <f>IFERROR(__xludf.DUMMYFUNCTION("""COMPUTED_VALUE"""),"")</f>
        <v/>
      </c>
      <c r="W7614" s="16" t="str">
        <f>IFERROR(__xludf.DUMMYFUNCTION("""COMPUTED_VALUE"""),"")</f>
        <v/>
      </c>
      <c r="X7614" s="16" t="str">
        <f>IFERROR(__xludf.DUMMYFUNCTION("""COMPUTED_VALUE"""),"")</f>
        <v/>
      </c>
      <c r="AC7614" s="16" t="str">
        <f>IFERROR(__xludf.DUMMYFUNCTION("""COMPUTED_VALUE"""),"")</f>
        <v/>
      </c>
    </row>
    <row r="7615">
      <c r="A7615" s="16" t="s">
        <v>87</v>
      </c>
      <c r="E7615" s="16" t="str">
        <f>IFERROR(__xludf.DUMMYFUNCTION("""COMPUTED_VALUE"""),"")</f>
        <v/>
      </c>
      <c r="G7615" s="18"/>
      <c r="H7615" s="16" t="s">
        <v>87</v>
      </c>
      <c r="I7615" s="16" t="s">
        <v>87</v>
      </c>
      <c r="J7615" s="19"/>
      <c r="L7615" s="16" t="str">
        <f>IFERROR(__xludf.DUMMYFUNCTION("""COMPUTED_VALUE"""),"")</f>
        <v/>
      </c>
      <c r="M7615" s="16" t="str">
        <f>IFERROR(__xludf.DUMMYFUNCTION("""COMPUTED_VALUE"""),"")</f>
        <v/>
      </c>
      <c r="U7615" s="16" t="s">
        <v>87</v>
      </c>
      <c r="V7615" s="16" t="str">
        <f>IFERROR(__xludf.DUMMYFUNCTION("""COMPUTED_VALUE"""),"")</f>
        <v/>
      </c>
      <c r="W7615" s="16" t="str">
        <f>IFERROR(__xludf.DUMMYFUNCTION("""COMPUTED_VALUE"""),"")</f>
        <v/>
      </c>
      <c r="X7615" s="16" t="str">
        <f>IFERROR(__xludf.DUMMYFUNCTION("""COMPUTED_VALUE"""),"")</f>
        <v/>
      </c>
      <c r="AC7615" s="16" t="str">
        <f>IFERROR(__xludf.DUMMYFUNCTION("""COMPUTED_VALUE"""),"")</f>
        <v/>
      </c>
    </row>
    <row r="7616">
      <c r="A7616" s="16" t="s">
        <v>87</v>
      </c>
      <c r="E7616" s="16" t="str">
        <f>IFERROR(__xludf.DUMMYFUNCTION("""COMPUTED_VALUE"""),"")</f>
        <v/>
      </c>
      <c r="G7616" s="18"/>
      <c r="H7616" s="16" t="s">
        <v>87</v>
      </c>
      <c r="I7616" s="16" t="s">
        <v>87</v>
      </c>
      <c r="J7616" s="19"/>
      <c r="L7616" s="16" t="str">
        <f>IFERROR(__xludf.DUMMYFUNCTION("""COMPUTED_VALUE"""),"")</f>
        <v/>
      </c>
      <c r="M7616" s="16" t="str">
        <f>IFERROR(__xludf.DUMMYFUNCTION("""COMPUTED_VALUE"""),"")</f>
        <v/>
      </c>
      <c r="U7616" s="16" t="s">
        <v>87</v>
      </c>
      <c r="V7616" s="16" t="str">
        <f>IFERROR(__xludf.DUMMYFUNCTION("""COMPUTED_VALUE"""),"")</f>
        <v/>
      </c>
      <c r="W7616" s="16" t="str">
        <f>IFERROR(__xludf.DUMMYFUNCTION("""COMPUTED_VALUE"""),"")</f>
        <v/>
      </c>
      <c r="X7616" s="16" t="str">
        <f>IFERROR(__xludf.DUMMYFUNCTION("""COMPUTED_VALUE"""),"")</f>
        <v/>
      </c>
      <c r="AC7616" s="16" t="str">
        <f>IFERROR(__xludf.DUMMYFUNCTION("""COMPUTED_VALUE"""),"")</f>
        <v/>
      </c>
    </row>
    <row r="7617">
      <c r="A7617" s="16" t="s">
        <v>87</v>
      </c>
      <c r="E7617" s="16" t="str">
        <f>IFERROR(__xludf.DUMMYFUNCTION("""COMPUTED_VALUE"""),"")</f>
        <v/>
      </c>
      <c r="G7617" s="18"/>
      <c r="H7617" s="16" t="s">
        <v>87</v>
      </c>
      <c r="I7617" s="16" t="s">
        <v>87</v>
      </c>
      <c r="J7617" s="19"/>
      <c r="L7617" s="16" t="str">
        <f>IFERROR(__xludf.DUMMYFUNCTION("""COMPUTED_VALUE"""),"")</f>
        <v/>
      </c>
      <c r="M7617" s="16" t="str">
        <f>IFERROR(__xludf.DUMMYFUNCTION("""COMPUTED_VALUE"""),"")</f>
        <v/>
      </c>
      <c r="U7617" s="16" t="s">
        <v>87</v>
      </c>
      <c r="V7617" s="16" t="str">
        <f>IFERROR(__xludf.DUMMYFUNCTION("""COMPUTED_VALUE"""),"")</f>
        <v/>
      </c>
      <c r="W7617" s="16" t="str">
        <f>IFERROR(__xludf.DUMMYFUNCTION("""COMPUTED_VALUE"""),"")</f>
        <v/>
      </c>
      <c r="X7617" s="16" t="str">
        <f>IFERROR(__xludf.DUMMYFUNCTION("""COMPUTED_VALUE"""),"")</f>
        <v/>
      </c>
      <c r="AC7617" s="16" t="str">
        <f>IFERROR(__xludf.DUMMYFUNCTION("""COMPUTED_VALUE"""),"")</f>
        <v/>
      </c>
    </row>
    <row r="7618">
      <c r="A7618" s="16" t="s">
        <v>87</v>
      </c>
      <c r="E7618" s="16" t="str">
        <f>IFERROR(__xludf.DUMMYFUNCTION("""COMPUTED_VALUE"""),"")</f>
        <v/>
      </c>
      <c r="G7618" s="18"/>
      <c r="H7618" s="16" t="s">
        <v>87</v>
      </c>
      <c r="I7618" s="16" t="s">
        <v>87</v>
      </c>
      <c r="J7618" s="19"/>
      <c r="L7618" s="16" t="str">
        <f>IFERROR(__xludf.DUMMYFUNCTION("""COMPUTED_VALUE"""),"")</f>
        <v/>
      </c>
      <c r="M7618" s="16" t="str">
        <f>IFERROR(__xludf.DUMMYFUNCTION("""COMPUTED_VALUE"""),"")</f>
        <v/>
      </c>
      <c r="U7618" s="16" t="s">
        <v>87</v>
      </c>
      <c r="V7618" s="16" t="str">
        <f>IFERROR(__xludf.DUMMYFUNCTION("""COMPUTED_VALUE"""),"")</f>
        <v/>
      </c>
      <c r="W7618" s="16" t="str">
        <f>IFERROR(__xludf.DUMMYFUNCTION("""COMPUTED_VALUE"""),"")</f>
        <v/>
      </c>
      <c r="X7618" s="16" t="str">
        <f>IFERROR(__xludf.DUMMYFUNCTION("""COMPUTED_VALUE"""),"")</f>
        <v/>
      </c>
      <c r="AC7618" s="16" t="str">
        <f>IFERROR(__xludf.DUMMYFUNCTION("""COMPUTED_VALUE"""),"")</f>
        <v/>
      </c>
    </row>
    <row r="7619">
      <c r="A7619" s="16" t="s">
        <v>87</v>
      </c>
      <c r="E7619" s="16" t="str">
        <f>IFERROR(__xludf.DUMMYFUNCTION("""COMPUTED_VALUE"""),"")</f>
        <v/>
      </c>
      <c r="G7619" s="18"/>
      <c r="H7619" s="16" t="s">
        <v>87</v>
      </c>
      <c r="I7619" s="16" t="s">
        <v>87</v>
      </c>
      <c r="J7619" s="19"/>
      <c r="L7619" s="16" t="str">
        <f>IFERROR(__xludf.DUMMYFUNCTION("""COMPUTED_VALUE"""),"")</f>
        <v/>
      </c>
      <c r="M7619" s="16" t="str">
        <f>IFERROR(__xludf.DUMMYFUNCTION("""COMPUTED_VALUE"""),"")</f>
        <v/>
      </c>
      <c r="U7619" s="16" t="s">
        <v>87</v>
      </c>
      <c r="V7619" s="16" t="str">
        <f>IFERROR(__xludf.DUMMYFUNCTION("""COMPUTED_VALUE"""),"")</f>
        <v/>
      </c>
      <c r="W7619" s="16" t="str">
        <f>IFERROR(__xludf.DUMMYFUNCTION("""COMPUTED_VALUE"""),"")</f>
        <v/>
      </c>
      <c r="X7619" s="16" t="str">
        <f>IFERROR(__xludf.DUMMYFUNCTION("""COMPUTED_VALUE"""),"")</f>
        <v/>
      </c>
      <c r="AC7619" s="16" t="str">
        <f>IFERROR(__xludf.DUMMYFUNCTION("""COMPUTED_VALUE"""),"")</f>
        <v/>
      </c>
    </row>
    <row r="7620">
      <c r="A7620" s="16" t="s">
        <v>87</v>
      </c>
      <c r="E7620" s="16" t="str">
        <f>IFERROR(__xludf.DUMMYFUNCTION("""COMPUTED_VALUE"""),"")</f>
        <v/>
      </c>
      <c r="G7620" s="18"/>
      <c r="H7620" s="16" t="s">
        <v>87</v>
      </c>
      <c r="I7620" s="16" t="s">
        <v>87</v>
      </c>
      <c r="J7620" s="19"/>
      <c r="L7620" s="16" t="str">
        <f>IFERROR(__xludf.DUMMYFUNCTION("""COMPUTED_VALUE"""),"")</f>
        <v/>
      </c>
      <c r="M7620" s="16" t="str">
        <f>IFERROR(__xludf.DUMMYFUNCTION("""COMPUTED_VALUE"""),"")</f>
        <v/>
      </c>
      <c r="U7620" s="16" t="s">
        <v>87</v>
      </c>
      <c r="V7620" s="16" t="str">
        <f>IFERROR(__xludf.DUMMYFUNCTION("""COMPUTED_VALUE"""),"")</f>
        <v/>
      </c>
      <c r="W7620" s="16" t="str">
        <f>IFERROR(__xludf.DUMMYFUNCTION("""COMPUTED_VALUE"""),"")</f>
        <v/>
      </c>
      <c r="X7620" s="16" t="str">
        <f>IFERROR(__xludf.DUMMYFUNCTION("""COMPUTED_VALUE"""),"")</f>
        <v/>
      </c>
      <c r="AC7620" s="16" t="str">
        <f>IFERROR(__xludf.DUMMYFUNCTION("""COMPUTED_VALUE"""),"")</f>
        <v/>
      </c>
    </row>
    <row r="7621">
      <c r="A7621" s="16" t="s">
        <v>87</v>
      </c>
      <c r="E7621" s="16" t="str">
        <f>IFERROR(__xludf.DUMMYFUNCTION("""COMPUTED_VALUE"""),"")</f>
        <v/>
      </c>
      <c r="G7621" s="18"/>
      <c r="H7621" s="16" t="s">
        <v>87</v>
      </c>
      <c r="I7621" s="16" t="s">
        <v>87</v>
      </c>
      <c r="J7621" s="19"/>
      <c r="L7621" s="16" t="str">
        <f>IFERROR(__xludf.DUMMYFUNCTION("""COMPUTED_VALUE"""),"")</f>
        <v/>
      </c>
      <c r="M7621" s="16" t="str">
        <f>IFERROR(__xludf.DUMMYFUNCTION("""COMPUTED_VALUE"""),"")</f>
        <v/>
      </c>
      <c r="U7621" s="16" t="s">
        <v>87</v>
      </c>
      <c r="V7621" s="16" t="str">
        <f>IFERROR(__xludf.DUMMYFUNCTION("""COMPUTED_VALUE"""),"")</f>
        <v/>
      </c>
      <c r="W7621" s="16" t="str">
        <f>IFERROR(__xludf.DUMMYFUNCTION("""COMPUTED_VALUE"""),"")</f>
        <v/>
      </c>
      <c r="X7621" s="16" t="str">
        <f>IFERROR(__xludf.DUMMYFUNCTION("""COMPUTED_VALUE"""),"")</f>
        <v/>
      </c>
      <c r="AC7621" s="16" t="str">
        <f>IFERROR(__xludf.DUMMYFUNCTION("""COMPUTED_VALUE"""),"")</f>
        <v/>
      </c>
    </row>
    <row r="7622">
      <c r="A7622" s="16" t="s">
        <v>87</v>
      </c>
      <c r="E7622" s="16" t="str">
        <f>IFERROR(__xludf.DUMMYFUNCTION("""COMPUTED_VALUE"""),"")</f>
        <v/>
      </c>
      <c r="G7622" s="18"/>
      <c r="H7622" s="16" t="s">
        <v>87</v>
      </c>
      <c r="I7622" s="16" t="s">
        <v>87</v>
      </c>
      <c r="J7622" s="19"/>
      <c r="L7622" s="16" t="str">
        <f>IFERROR(__xludf.DUMMYFUNCTION("""COMPUTED_VALUE"""),"")</f>
        <v/>
      </c>
      <c r="M7622" s="16" t="str">
        <f>IFERROR(__xludf.DUMMYFUNCTION("""COMPUTED_VALUE"""),"")</f>
        <v/>
      </c>
      <c r="U7622" s="16" t="s">
        <v>87</v>
      </c>
      <c r="V7622" s="16" t="str">
        <f>IFERROR(__xludf.DUMMYFUNCTION("""COMPUTED_VALUE"""),"")</f>
        <v/>
      </c>
      <c r="W7622" s="16" t="str">
        <f>IFERROR(__xludf.DUMMYFUNCTION("""COMPUTED_VALUE"""),"")</f>
        <v/>
      </c>
      <c r="X7622" s="16" t="str">
        <f>IFERROR(__xludf.DUMMYFUNCTION("""COMPUTED_VALUE"""),"")</f>
        <v/>
      </c>
      <c r="AC7622" s="16" t="str">
        <f>IFERROR(__xludf.DUMMYFUNCTION("""COMPUTED_VALUE"""),"")</f>
        <v/>
      </c>
    </row>
    <row r="7623">
      <c r="A7623" s="16" t="s">
        <v>87</v>
      </c>
      <c r="E7623" s="16" t="str">
        <f>IFERROR(__xludf.DUMMYFUNCTION("""COMPUTED_VALUE"""),"")</f>
        <v/>
      </c>
      <c r="G7623" s="18"/>
      <c r="H7623" s="16" t="s">
        <v>87</v>
      </c>
      <c r="I7623" s="16" t="s">
        <v>87</v>
      </c>
      <c r="J7623" s="19"/>
      <c r="L7623" s="16" t="str">
        <f>IFERROR(__xludf.DUMMYFUNCTION("""COMPUTED_VALUE"""),"")</f>
        <v/>
      </c>
      <c r="M7623" s="16" t="str">
        <f>IFERROR(__xludf.DUMMYFUNCTION("""COMPUTED_VALUE"""),"")</f>
        <v/>
      </c>
      <c r="U7623" s="16" t="s">
        <v>87</v>
      </c>
      <c r="V7623" s="16" t="str">
        <f>IFERROR(__xludf.DUMMYFUNCTION("""COMPUTED_VALUE"""),"")</f>
        <v/>
      </c>
      <c r="W7623" s="16" t="str">
        <f>IFERROR(__xludf.DUMMYFUNCTION("""COMPUTED_VALUE"""),"")</f>
        <v/>
      </c>
      <c r="X7623" s="16" t="str">
        <f>IFERROR(__xludf.DUMMYFUNCTION("""COMPUTED_VALUE"""),"")</f>
        <v/>
      </c>
      <c r="AC7623" s="16" t="str">
        <f>IFERROR(__xludf.DUMMYFUNCTION("""COMPUTED_VALUE"""),"")</f>
        <v/>
      </c>
    </row>
    <row r="7624">
      <c r="A7624" s="16" t="s">
        <v>87</v>
      </c>
      <c r="E7624" s="16" t="str">
        <f>IFERROR(__xludf.DUMMYFUNCTION("""COMPUTED_VALUE"""),"")</f>
        <v/>
      </c>
      <c r="G7624" s="18"/>
      <c r="H7624" s="16" t="s">
        <v>87</v>
      </c>
      <c r="I7624" s="16" t="s">
        <v>87</v>
      </c>
      <c r="J7624" s="19"/>
      <c r="L7624" s="16" t="str">
        <f>IFERROR(__xludf.DUMMYFUNCTION("""COMPUTED_VALUE"""),"")</f>
        <v/>
      </c>
      <c r="M7624" s="16" t="str">
        <f>IFERROR(__xludf.DUMMYFUNCTION("""COMPUTED_VALUE"""),"")</f>
        <v/>
      </c>
      <c r="U7624" s="16" t="s">
        <v>87</v>
      </c>
      <c r="V7624" s="16" t="str">
        <f>IFERROR(__xludf.DUMMYFUNCTION("""COMPUTED_VALUE"""),"")</f>
        <v/>
      </c>
      <c r="W7624" s="16" t="str">
        <f>IFERROR(__xludf.DUMMYFUNCTION("""COMPUTED_VALUE"""),"")</f>
        <v/>
      </c>
      <c r="X7624" s="16" t="str">
        <f>IFERROR(__xludf.DUMMYFUNCTION("""COMPUTED_VALUE"""),"")</f>
        <v/>
      </c>
      <c r="AC7624" s="16" t="str">
        <f>IFERROR(__xludf.DUMMYFUNCTION("""COMPUTED_VALUE"""),"")</f>
        <v/>
      </c>
    </row>
    <row r="7625">
      <c r="A7625" s="16" t="s">
        <v>87</v>
      </c>
      <c r="E7625" s="16" t="str">
        <f>IFERROR(__xludf.DUMMYFUNCTION("""COMPUTED_VALUE"""),"")</f>
        <v/>
      </c>
      <c r="G7625" s="18"/>
      <c r="H7625" s="16" t="s">
        <v>87</v>
      </c>
      <c r="I7625" s="16" t="s">
        <v>87</v>
      </c>
      <c r="J7625" s="19"/>
      <c r="L7625" s="16" t="str">
        <f>IFERROR(__xludf.DUMMYFUNCTION("""COMPUTED_VALUE"""),"")</f>
        <v/>
      </c>
      <c r="M7625" s="16" t="str">
        <f>IFERROR(__xludf.DUMMYFUNCTION("""COMPUTED_VALUE"""),"")</f>
        <v/>
      </c>
      <c r="U7625" s="16" t="s">
        <v>87</v>
      </c>
      <c r="V7625" s="16" t="str">
        <f>IFERROR(__xludf.DUMMYFUNCTION("""COMPUTED_VALUE"""),"")</f>
        <v/>
      </c>
      <c r="W7625" s="16" t="str">
        <f>IFERROR(__xludf.DUMMYFUNCTION("""COMPUTED_VALUE"""),"")</f>
        <v/>
      </c>
      <c r="X7625" s="16" t="str">
        <f>IFERROR(__xludf.DUMMYFUNCTION("""COMPUTED_VALUE"""),"")</f>
        <v/>
      </c>
      <c r="AC7625" s="16" t="str">
        <f>IFERROR(__xludf.DUMMYFUNCTION("""COMPUTED_VALUE"""),"")</f>
        <v/>
      </c>
    </row>
    <row r="7626">
      <c r="A7626" s="16" t="s">
        <v>87</v>
      </c>
      <c r="E7626" s="16" t="str">
        <f>IFERROR(__xludf.DUMMYFUNCTION("""COMPUTED_VALUE"""),"")</f>
        <v/>
      </c>
      <c r="G7626" s="18"/>
      <c r="H7626" s="16" t="s">
        <v>87</v>
      </c>
      <c r="I7626" s="16" t="s">
        <v>87</v>
      </c>
      <c r="J7626" s="19"/>
      <c r="L7626" s="16" t="str">
        <f>IFERROR(__xludf.DUMMYFUNCTION("""COMPUTED_VALUE"""),"")</f>
        <v/>
      </c>
      <c r="M7626" s="16" t="str">
        <f>IFERROR(__xludf.DUMMYFUNCTION("""COMPUTED_VALUE"""),"")</f>
        <v/>
      </c>
      <c r="U7626" s="16" t="s">
        <v>87</v>
      </c>
      <c r="V7626" s="16" t="str">
        <f>IFERROR(__xludf.DUMMYFUNCTION("""COMPUTED_VALUE"""),"")</f>
        <v/>
      </c>
      <c r="W7626" s="16" t="str">
        <f>IFERROR(__xludf.DUMMYFUNCTION("""COMPUTED_VALUE"""),"")</f>
        <v/>
      </c>
      <c r="X7626" s="16" t="str">
        <f>IFERROR(__xludf.DUMMYFUNCTION("""COMPUTED_VALUE"""),"")</f>
        <v/>
      </c>
      <c r="AC7626" s="16" t="str">
        <f>IFERROR(__xludf.DUMMYFUNCTION("""COMPUTED_VALUE"""),"")</f>
        <v/>
      </c>
    </row>
    <row r="7627">
      <c r="A7627" s="16" t="s">
        <v>87</v>
      </c>
      <c r="E7627" s="16" t="str">
        <f>IFERROR(__xludf.DUMMYFUNCTION("""COMPUTED_VALUE"""),"")</f>
        <v/>
      </c>
      <c r="G7627" s="18"/>
      <c r="H7627" s="16" t="s">
        <v>87</v>
      </c>
      <c r="I7627" s="16" t="s">
        <v>87</v>
      </c>
      <c r="J7627" s="19"/>
      <c r="L7627" s="16" t="str">
        <f>IFERROR(__xludf.DUMMYFUNCTION("""COMPUTED_VALUE"""),"")</f>
        <v/>
      </c>
      <c r="M7627" s="16" t="str">
        <f>IFERROR(__xludf.DUMMYFUNCTION("""COMPUTED_VALUE"""),"")</f>
        <v/>
      </c>
      <c r="U7627" s="16" t="s">
        <v>87</v>
      </c>
      <c r="V7627" s="16" t="str">
        <f>IFERROR(__xludf.DUMMYFUNCTION("""COMPUTED_VALUE"""),"")</f>
        <v/>
      </c>
      <c r="W7627" s="16" t="str">
        <f>IFERROR(__xludf.DUMMYFUNCTION("""COMPUTED_VALUE"""),"")</f>
        <v/>
      </c>
      <c r="X7627" s="16" t="str">
        <f>IFERROR(__xludf.DUMMYFUNCTION("""COMPUTED_VALUE"""),"")</f>
        <v/>
      </c>
      <c r="AC7627" s="16" t="str">
        <f>IFERROR(__xludf.DUMMYFUNCTION("""COMPUTED_VALUE"""),"")</f>
        <v/>
      </c>
    </row>
    <row r="7628">
      <c r="A7628" s="16" t="s">
        <v>87</v>
      </c>
      <c r="E7628" s="16" t="str">
        <f>IFERROR(__xludf.DUMMYFUNCTION("""COMPUTED_VALUE"""),"")</f>
        <v/>
      </c>
      <c r="G7628" s="18"/>
      <c r="H7628" s="16" t="s">
        <v>87</v>
      </c>
      <c r="I7628" s="16" t="s">
        <v>87</v>
      </c>
      <c r="J7628" s="19"/>
      <c r="L7628" s="16" t="str">
        <f>IFERROR(__xludf.DUMMYFUNCTION("""COMPUTED_VALUE"""),"")</f>
        <v/>
      </c>
      <c r="M7628" s="16" t="str">
        <f>IFERROR(__xludf.DUMMYFUNCTION("""COMPUTED_VALUE"""),"")</f>
        <v/>
      </c>
      <c r="U7628" s="16" t="s">
        <v>87</v>
      </c>
      <c r="V7628" s="16" t="str">
        <f>IFERROR(__xludf.DUMMYFUNCTION("""COMPUTED_VALUE"""),"")</f>
        <v/>
      </c>
      <c r="W7628" s="16" t="str">
        <f>IFERROR(__xludf.DUMMYFUNCTION("""COMPUTED_VALUE"""),"")</f>
        <v/>
      </c>
      <c r="X7628" s="16" t="str">
        <f>IFERROR(__xludf.DUMMYFUNCTION("""COMPUTED_VALUE"""),"")</f>
        <v/>
      </c>
      <c r="AC7628" s="16" t="str">
        <f>IFERROR(__xludf.DUMMYFUNCTION("""COMPUTED_VALUE"""),"")</f>
        <v/>
      </c>
    </row>
    <row r="7629">
      <c r="A7629" s="16" t="s">
        <v>87</v>
      </c>
      <c r="E7629" s="16" t="str">
        <f>IFERROR(__xludf.DUMMYFUNCTION("""COMPUTED_VALUE"""),"")</f>
        <v/>
      </c>
      <c r="G7629" s="18"/>
      <c r="H7629" s="16" t="s">
        <v>87</v>
      </c>
      <c r="I7629" s="16" t="s">
        <v>87</v>
      </c>
      <c r="J7629" s="19"/>
      <c r="L7629" s="16" t="str">
        <f>IFERROR(__xludf.DUMMYFUNCTION("""COMPUTED_VALUE"""),"")</f>
        <v/>
      </c>
      <c r="M7629" s="16" t="str">
        <f>IFERROR(__xludf.DUMMYFUNCTION("""COMPUTED_VALUE"""),"")</f>
        <v/>
      </c>
      <c r="U7629" s="16" t="s">
        <v>87</v>
      </c>
      <c r="V7629" s="16" t="str">
        <f>IFERROR(__xludf.DUMMYFUNCTION("""COMPUTED_VALUE"""),"")</f>
        <v/>
      </c>
      <c r="W7629" s="16" t="str">
        <f>IFERROR(__xludf.DUMMYFUNCTION("""COMPUTED_VALUE"""),"")</f>
        <v/>
      </c>
      <c r="X7629" s="16" t="str">
        <f>IFERROR(__xludf.DUMMYFUNCTION("""COMPUTED_VALUE"""),"")</f>
        <v/>
      </c>
      <c r="AC7629" s="16" t="str">
        <f>IFERROR(__xludf.DUMMYFUNCTION("""COMPUTED_VALUE"""),"")</f>
        <v/>
      </c>
    </row>
    <row r="7630">
      <c r="A7630" s="16" t="s">
        <v>87</v>
      </c>
      <c r="E7630" s="16" t="str">
        <f>IFERROR(__xludf.DUMMYFUNCTION("""COMPUTED_VALUE"""),"")</f>
        <v/>
      </c>
      <c r="G7630" s="18"/>
      <c r="H7630" s="16" t="s">
        <v>87</v>
      </c>
      <c r="I7630" s="16" t="s">
        <v>87</v>
      </c>
      <c r="J7630" s="19"/>
      <c r="L7630" s="16" t="str">
        <f>IFERROR(__xludf.DUMMYFUNCTION("""COMPUTED_VALUE"""),"")</f>
        <v/>
      </c>
      <c r="M7630" s="16" t="str">
        <f>IFERROR(__xludf.DUMMYFUNCTION("""COMPUTED_VALUE"""),"")</f>
        <v/>
      </c>
      <c r="U7630" s="16" t="s">
        <v>87</v>
      </c>
      <c r="V7630" s="16" t="str">
        <f>IFERROR(__xludf.DUMMYFUNCTION("""COMPUTED_VALUE"""),"")</f>
        <v/>
      </c>
      <c r="W7630" s="16" t="str">
        <f>IFERROR(__xludf.DUMMYFUNCTION("""COMPUTED_VALUE"""),"")</f>
        <v/>
      </c>
      <c r="X7630" s="16" t="str">
        <f>IFERROR(__xludf.DUMMYFUNCTION("""COMPUTED_VALUE"""),"")</f>
        <v/>
      </c>
      <c r="AC7630" s="16" t="str">
        <f>IFERROR(__xludf.DUMMYFUNCTION("""COMPUTED_VALUE"""),"")</f>
        <v/>
      </c>
    </row>
    <row r="7631">
      <c r="A7631" s="16" t="s">
        <v>87</v>
      </c>
      <c r="E7631" s="16" t="str">
        <f>IFERROR(__xludf.DUMMYFUNCTION("""COMPUTED_VALUE"""),"")</f>
        <v/>
      </c>
      <c r="G7631" s="18"/>
      <c r="H7631" s="16" t="s">
        <v>87</v>
      </c>
      <c r="I7631" s="16" t="s">
        <v>87</v>
      </c>
      <c r="J7631" s="19"/>
      <c r="L7631" s="16" t="str">
        <f>IFERROR(__xludf.DUMMYFUNCTION("""COMPUTED_VALUE"""),"")</f>
        <v/>
      </c>
      <c r="M7631" s="16" t="str">
        <f>IFERROR(__xludf.DUMMYFUNCTION("""COMPUTED_VALUE"""),"")</f>
        <v/>
      </c>
      <c r="U7631" s="16" t="s">
        <v>87</v>
      </c>
      <c r="V7631" s="16" t="str">
        <f>IFERROR(__xludf.DUMMYFUNCTION("""COMPUTED_VALUE"""),"")</f>
        <v/>
      </c>
      <c r="W7631" s="16" t="str">
        <f>IFERROR(__xludf.DUMMYFUNCTION("""COMPUTED_VALUE"""),"")</f>
        <v/>
      </c>
      <c r="X7631" s="16" t="str">
        <f>IFERROR(__xludf.DUMMYFUNCTION("""COMPUTED_VALUE"""),"")</f>
        <v/>
      </c>
      <c r="AC7631" s="16" t="str">
        <f>IFERROR(__xludf.DUMMYFUNCTION("""COMPUTED_VALUE"""),"")</f>
        <v/>
      </c>
    </row>
    <row r="7632">
      <c r="A7632" s="16" t="s">
        <v>87</v>
      </c>
      <c r="E7632" s="16" t="str">
        <f>IFERROR(__xludf.DUMMYFUNCTION("""COMPUTED_VALUE"""),"")</f>
        <v/>
      </c>
      <c r="G7632" s="18"/>
      <c r="H7632" s="16" t="s">
        <v>87</v>
      </c>
      <c r="I7632" s="16" t="s">
        <v>87</v>
      </c>
      <c r="J7632" s="19"/>
      <c r="L7632" s="16" t="str">
        <f>IFERROR(__xludf.DUMMYFUNCTION("""COMPUTED_VALUE"""),"")</f>
        <v/>
      </c>
      <c r="M7632" s="16" t="str">
        <f>IFERROR(__xludf.DUMMYFUNCTION("""COMPUTED_VALUE"""),"")</f>
        <v/>
      </c>
      <c r="U7632" s="16" t="s">
        <v>87</v>
      </c>
      <c r="V7632" s="16" t="str">
        <f>IFERROR(__xludf.DUMMYFUNCTION("""COMPUTED_VALUE"""),"")</f>
        <v/>
      </c>
      <c r="W7632" s="16" t="str">
        <f>IFERROR(__xludf.DUMMYFUNCTION("""COMPUTED_VALUE"""),"")</f>
        <v/>
      </c>
      <c r="X7632" s="16" t="str">
        <f>IFERROR(__xludf.DUMMYFUNCTION("""COMPUTED_VALUE"""),"")</f>
        <v/>
      </c>
      <c r="AC7632" s="16" t="str">
        <f>IFERROR(__xludf.DUMMYFUNCTION("""COMPUTED_VALUE"""),"")</f>
        <v/>
      </c>
    </row>
    <row r="7633">
      <c r="A7633" s="16" t="s">
        <v>87</v>
      </c>
      <c r="E7633" s="16" t="str">
        <f>IFERROR(__xludf.DUMMYFUNCTION("""COMPUTED_VALUE"""),"")</f>
        <v/>
      </c>
      <c r="G7633" s="18"/>
      <c r="H7633" s="16" t="s">
        <v>87</v>
      </c>
      <c r="I7633" s="16" t="s">
        <v>87</v>
      </c>
      <c r="J7633" s="19"/>
      <c r="L7633" s="16" t="str">
        <f>IFERROR(__xludf.DUMMYFUNCTION("""COMPUTED_VALUE"""),"")</f>
        <v/>
      </c>
      <c r="M7633" s="16" t="str">
        <f>IFERROR(__xludf.DUMMYFUNCTION("""COMPUTED_VALUE"""),"")</f>
        <v/>
      </c>
      <c r="U7633" s="16" t="s">
        <v>87</v>
      </c>
      <c r="V7633" s="16" t="str">
        <f>IFERROR(__xludf.DUMMYFUNCTION("""COMPUTED_VALUE"""),"")</f>
        <v/>
      </c>
      <c r="W7633" s="16" t="str">
        <f>IFERROR(__xludf.DUMMYFUNCTION("""COMPUTED_VALUE"""),"")</f>
        <v/>
      </c>
      <c r="X7633" s="16" t="str">
        <f>IFERROR(__xludf.DUMMYFUNCTION("""COMPUTED_VALUE"""),"")</f>
        <v/>
      </c>
      <c r="AC7633" s="16" t="str">
        <f>IFERROR(__xludf.DUMMYFUNCTION("""COMPUTED_VALUE"""),"")</f>
        <v/>
      </c>
    </row>
    <row r="7634">
      <c r="A7634" s="16" t="s">
        <v>87</v>
      </c>
      <c r="E7634" s="16" t="str">
        <f>IFERROR(__xludf.DUMMYFUNCTION("""COMPUTED_VALUE"""),"")</f>
        <v/>
      </c>
      <c r="G7634" s="18"/>
      <c r="H7634" s="16" t="s">
        <v>87</v>
      </c>
      <c r="I7634" s="16" t="s">
        <v>87</v>
      </c>
      <c r="J7634" s="19"/>
      <c r="L7634" s="16" t="str">
        <f>IFERROR(__xludf.DUMMYFUNCTION("""COMPUTED_VALUE"""),"")</f>
        <v/>
      </c>
      <c r="M7634" s="16" t="str">
        <f>IFERROR(__xludf.DUMMYFUNCTION("""COMPUTED_VALUE"""),"")</f>
        <v/>
      </c>
      <c r="U7634" s="16" t="s">
        <v>87</v>
      </c>
      <c r="V7634" s="16" t="str">
        <f>IFERROR(__xludf.DUMMYFUNCTION("""COMPUTED_VALUE"""),"")</f>
        <v/>
      </c>
      <c r="W7634" s="16" t="str">
        <f>IFERROR(__xludf.DUMMYFUNCTION("""COMPUTED_VALUE"""),"")</f>
        <v/>
      </c>
      <c r="X7634" s="16" t="str">
        <f>IFERROR(__xludf.DUMMYFUNCTION("""COMPUTED_VALUE"""),"")</f>
        <v/>
      </c>
      <c r="AC7634" s="16" t="str">
        <f>IFERROR(__xludf.DUMMYFUNCTION("""COMPUTED_VALUE"""),"")</f>
        <v/>
      </c>
    </row>
    <row r="7635">
      <c r="A7635" s="16" t="s">
        <v>87</v>
      </c>
      <c r="E7635" s="16" t="str">
        <f>IFERROR(__xludf.DUMMYFUNCTION("""COMPUTED_VALUE"""),"")</f>
        <v/>
      </c>
      <c r="G7635" s="18"/>
      <c r="H7635" s="16" t="s">
        <v>87</v>
      </c>
      <c r="I7635" s="16" t="s">
        <v>87</v>
      </c>
      <c r="J7635" s="19"/>
      <c r="L7635" s="16" t="str">
        <f>IFERROR(__xludf.DUMMYFUNCTION("""COMPUTED_VALUE"""),"")</f>
        <v/>
      </c>
      <c r="M7635" s="16" t="str">
        <f>IFERROR(__xludf.DUMMYFUNCTION("""COMPUTED_VALUE"""),"")</f>
        <v/>
      </c>
      <c r="U7635" s="16" t="s">
        <v>87</v>
      </c>
      <c r="V7635" s="16" t="str">
        <f>IFERROR(__xludf.DUMMYFUNCTION("""COMPUTED_VALUE"""),"")</f>
        <v/>
      </c>
      <c r="W7635" s="16" t="str">
        <f>IFERROR(__xludf.DUMMYFUNCTION("""COMPUTED_VALUE"""),"")</f>
        <v/>
      </c>
      <c r="X7635" s="16" t="str">
        <f>IFERROR(__xludf.DUMMYFUNCTION("""COMPUTED_VALUE"""),"")</f>
        <v/>
      </c>
      <c r="AC7635" s="16" t="str">
        <f>IFERROR(__xludf.DUMMYFUNCTION("""COMPUTED_VALUE"""),"")</f>
        <v/>
      </c>
    </row>
    <row r="7636">
      <c r="A7636" s="16" t="s">
        <v>87</v>
      </c>
      <c r="E7636" s="16" t="str">
        <f>IFERROR(__xludf.DUMMYFUNCTION("""COMPUTED_VALUE"""),"")</f>
        <v/>
      </c>
      <c r="G7636" s="18"/>
      <c r="H7636" s="16" t="s">
        <v>87</v>
      </c>
      <c r="I7636" s="16" t="s">
        <v>87</v>
      </c>
      <c r="J7636" s="19"/>
      <c r="L7636" s="16" t="str">
        <f>IFERROR(__xludf.DUMMYFUNCTION("""COMPUTED_VALUE"""),"")</f>
        <v/>
      </c>
      <c r="M7636" s="16" t="str">
        <f>IFERROR(__xludf.DUMMYFUNCTION("""COMPUTED_VALUE"""),"")</f>
        <v/>
      </c>
      <c r="U7636" s="16" t="s">
        <v>87</v>
      </c>
      <c r="V7636" s="16" t="str">
        <f>IFERROR(__xludf.DUMMYFUNCTION("""COMPUTED_VALUE"""),"")</f>
        <v/>
      </c>
      <c r="W7636" s="16" t="str">
        <f>IFERROR(__xludf.DUMMYFUNCTION("""COMPUTED_VALUE"""),"")</f>
        <v/>
      </c>
      <c r="X7636" s="16" t="str">
        <f>IFERROR(__xludf.DUMMYFUNCTION("""COMPUTED_VALUE"""),"")</f>
        <v/>
      </c>
      <c r="AC7636" s="16" t="str">
        <f>IFERROR(__xludf.DUMMYFUNCTION("""COMPUTED_VALUE"""),"")</f>
        <v/>
      </c>
    </row>
    <row r="7637">
      <c r="A7637" s="16" t="s">
        <v>87</v>
      </c>
      <c r="E7637" s="16" t="str">
        <f>IFERROR(__xludf.DUMMYFUNCTION("""COMPUTED_VALUE"""),"")</f>
        <v/>
      </c>
      <c r="G7637" s="18"/>
      <c r="H7637" s="16" t="s">
        <v>87</v>
      </c>
      <c r="I7637" s="16" t="s">
        <v>87</v>
      </c>
      <c r="J7637" s="19"/>
      <c r="L7637" s="16" t="str">
        <f>IFERROR(__xludf.DUMMYFUNCTION("""COMPUTED_VALUE"""),"")</f>
        <v/>
      </c>
      <c r="M7637" s="16" t="str">
        <f>IFERROR(__xludf.DUMMYFUNCTION("""COMPUTED_VALUE"""),"")</f>
        <v/>
      </c>
      <c r="U7637" s="16" t="s">
        <v>87</v>
      </c>
      <c r="V7637" s="16" t="str">
        <f>IFERROR(__xludf.DUMMYFUNCTION("""COMPUTED_VALUE"""),"")</f>
        <v/>
      </c>
      <c r="W7637" s="16" t="str">
        <f>IFERROR(__xludf.DUMMYFUNCTION("""COMPUTED_VALUE"""),"")</f>
        <v/>
      </c>
      <c r="X7637" s="16" t="str">
        <f>IFERROR(__xludf.DUMMYFUNCTION("""COMPUTED_VALUE"""),"")</f>
        <v/>
      </c>
      <c r="AC7637" s="16" t="str">
        <f>IFERROR(__xludf.DUMMYFUNCTION("""COMPUTED_VALUE"""),"")</f>
        <v/>
      </c>
    </row>
    <row r="7638">
      <c r="A7638" s="16" t="s">
        <v>87</v>
      </c>
      <c r="E7638" s="16" t="str">
        <f>IFERROR(__xludf.DUMMYFUNCTION("""COMPUTED_VALUE"""),"")</f>
        <v/>
      </c>
      <c r="G7638" s="18"/>
      <c r="H7638" s="16" t="s">
        <v>87</v>
      </c>
      <c r="I7638" s="16" t="s">
        <v>87</v>
      </c>
      <c r="J7638" s="19"/>
      <c r="L7638" s="16" t="str">
        <f>IFERROR(__xludf.DUMMYFUNCTION("""COMPUTED_VALUE"""),"")</f>
        <v/>
      </c>
      <c r="M7638" s="16" t="str">
        <f>IFERROR(__xludf.DUMMYFUNCTION("""COMPUTED_VALUE"""),"")</f>
        <v/>
      </c>
      <c r="U7638" s="16" t="s">
        <v>87</v>
      </c>
      <c r="V7638" s="16" t="str">
        <f>IFERROR(__xludf.DUMMYFUNCTION("""COMPUTED_VALUE"""),"")</f>
        <v/>
      </c>
      <c r="W7638" s="16" t="str">
        <f>IFERROR(__xludf.DUMMYFUNCTION("""COMPUTED_VALUE"""),"")</f>
        <v/>
      </c>
      <c r="X7638" s="16" t="str">
        <f>IFERROR(__xludf.DUMMYFUNCTION("""COMPUTED_VALUE"""),"")</f>
        <v/>
      </c>
      <c r="AC7638" s="16" t="str">
        <f>IFERROR(__xludf.DUMMYFUNCTION("""COMPUTED_VALUE"""),"")</f>
        <v/>
      </c>
    </row>
    <row r="7639">
      <c r="A7639" s="16" t="s">
        <v>87</v>
      </c>
      <c r="E7639" s="16" t="str">
        <f>IFERROR(__xludf.DUMMYFUNCTION("""COMPUTED_VALUE"""),"")</f>
        <v/>
      </c>
      <c r="G7639" s="18"/>
      <c r="H7639" s="16" t="s">
        <v>87</v>
      </c>
      <c r="I7639" s="16" t="s">
        <v>87</v>
      </c>
      <c r="J7639" s="19"/>
      <c r="L7639" s="16" t="str">
        <f>IFERROR(__xludf.DUMMYFUNCTION("""COMPUTED_VALUE"""),"")</f>
        <v/>
      </c>
      <c r="M7639" s="16" t="str">
        <f>IFERROR(__xludf.DUMMYFUNCTION("""COMPUTED_VALUE"""),"")</f>
        <v/>
      </c>
      <c r="U7639" s="16" t="s">
        <v>87</v>
      </c>
      <c r="V7639" s="16" t="str">
        <f>IFERROR(__xludf.DUMMYFUNCTION("""COMPUTED_VALUE"""),"")</f>
        <v/>
      </c>
      <c r="W7639" s="16" t="str">
        <f>IFERROR(__xludf.DUMMYFUNCTION("""COMPUTED_VALUE"""),"")</f>
        <v/>
      </c>
      <c r="X7639" s="16" t="str">
        <f>IFERROR(__xludf.DUMMYFUNCTION("""COMPUTED_VALUE"""),"")</f>
        <v/>
      </c>
      <c r="AC7639" s="16" t="str">
        <f>IFERROR(__xludf.DUMMYFUNCTION("""COMPUTED_VALUE"""),"")</f>
        <v/>
      </c>
    </row>
    <row r="7640">
      <c r="A7640" s="16" t="s">
        <v>87</v>
      </c>
      <c r="E7640" s="16" t="str">
        <f>IFERROR(__xludf.DUMMYFUNCTION("""COMPUTED_VALUE"""),"")</f>
        <v/>
      </c>
      <c r="G7640" s="18"/>
      <c r="H7640" s="16" t="s">
        <v>87</v>
      </c>
      <c r="I7640" s="16" t="s">
        <v>87</v>
      </c>
      <c r="J7640" s="19"/>
      <c r="L7640" s="16" t="str">
        <f>IFERROR(__xludf.DUMMYFUNCTION("""COMPUTED_VALUE"""),"")</f>
        <v/>
      </c>
      <c r="M7640" s="16" t="str">
        <f>IFERROR(__xludf.DUMMYFUNCTION("""COMPUTED_VALUE"""),"")</f>
        <v/>
      </c>
      <c r="U7640" s="16" t="s">
        <v>87</v>
      </c>
      <c r="V7640" s="16" t="str">
        <f>IFERROR(__xludf.DUMMYFUNCTION("""COMPUTED_VALUE"""),"")</f>
        <v/>
      </c>
      <c r="W7640" s="16" t="str">
        <f>IFERROR(__xludf.DUMMYFUNCTION("""COMPUTED_VALUE"""),"")</f>
        <v/>
      </c>
      <c r="X7640" s="16" t="str">
        <f>IFERROR(__xludf.DUMMYFUNCTION("""COMPUTED_VALUE"""),"")</f>
        <v/>
      </c>
      <c r="AC7640" s="16" t="str">
        <f>IFERROR(__xludf.DUMMYFUNCTION("""COMPUTED_VALUE"""),"")</f>
        <v/>
      </c>
    </row>
    <row r="7641">
      <c r="A7641" s="16" t="s">
        <v>87</v>
      </c>
      <c r="E7641" s="16" t="str">
        <f>IFERROR(__xludf.DUMMYFUNCTION("""COMPUTED_VALUE"""),"")</f>
        <v/>
      </c>
      <c r="G7641" s="18"/>
      <c r="H7641" s="16" t="s">
        <v>87</v>
      </c>
      <c r="I7641" s="16" t="s">
        <v>87</v>
      </c>
      <c r="J7641" s="19"/>
      <c r="L7641" s="16" t="str">
        <f>IFERROR(__xludf.DUMMYFUNCTION("""COMPUTED_VALUE"""),"")</f>
        <v/>
      </c>
      <c r="M7641" s="16" t="str">
        <f>IFERROR(__xludf.DUMMYFUNCTION("""COMPUTED_VALUE"""),"")</f>
        <v/>
      </c>
      <c r="U7641" s="16" t="s">
        <v>87</v>
      </c>
      <c r="V7641" s="16" t="str">
        <f>IFERROR(__xludf.DUMMYFUNCTION("""COMPUTED_VALUE"""),"")</f>
        <v/>
      </c>
      <c r="W7641" s="16" t="str">
        <f>IFERROR(__xludf.DUMMYFUNCTION("""COMPUTED_VALUE"""),"")</f>
        <v/>
      </c>
      <c r="X7641" s="16" t="str">
        <f>IFERROR(__xludf.DUMMYFUNCTION("""COMPUTED_VALUE"""),"")</f>
        <v/>
      </c>
      <c r="AC7641" s="16" t="str">
        <f>IFERROR(__xludf.DUMMYFUNCTION("""COMPUTED_VALUE"""),"")</f>
        <v/>
      </c>
    </row>
    <row r="7642">
      <c r="A7642" s="16" t="s">
        <v>87</v>
      </c>
      <c r="E7642" s="16" t="str">
        <f>IFERROR(__xludf.DUMMYFUNCTION("""COMPUTED_VALUE"""),"")</f>
        <v/>
      </c>
      <c r="G7642" s="18"/>
      <c r="H7642" s="16" t="s">
        <v>87</v>
      </c>
      <c r="I7642" s="16" t="s">
        <v>87</v>
      </c>
      <c r="J7642" s="19"/>
      <c r="L7642" s="16" t="str">
        <f>IFERROR(__xludf.DUMMYFUNCTION("""COMPUTED_VALUE"""),"")</f>
        <v/>
      </c>
      <c r="M7642" s="16" t="str">
        <f>IFERROR(__xludf.DUMMYFUNCTION("""COMPUTED_VALUE"""),"")</f>
        <v/>
      </c>
      <c r="U7642" s="16" t="s">
        <v>87</v>
      </c>
      <c r="V7642" s="16" t="str">
        <f>IFERROR(__xludf.DUMMYFUNCTION("""COMPUTED_VALUE"""),"")</f>
        <v/>
      </c>
      <c r="W7642" s="16" t="str">
        <f>IFERROR(__xludf.DUMMYFUNCTION("""COMPUTED_VALUE"""),"")</f>
        <v/>
      </c>
      <c r="X7642" s="16" t="str">
        <f>IFERROR(__xludf.DUMMYFUNCTION("""COMPUTED_VALUE"""),"")</f>
        <v/>
      </c>
      <c r="AC7642" s="16" t="str">
        <f>IFERROR(__xludf.DUMMYFUNCTION("""COMPUTED_VALUE"""),"")</f>
        <v/>
      </c>
    </row>
    <row r="7643">
      <c r="A7643" s="16" t="s">
        <v>87</v>
      </c>
      <c r="E7643" s="16" t="str">
        <f>IFERROR(__xludf.DUMMYFUNCTION("""COMPUTED_VALUE"""),"")</f>
        <v/>
      </c>
      <c r="G7643" s="18"/>
      <c r="H7643" s="16" t="s">
        <v>87</v>
      </c>
      <c r="I7643" s="16" t="s">
        <v>87</v>
      </c>
      <c r="J7643" s="19"/>
      <c r="L7643" s="16" t="str">
        <f>IFERROR(__xludf.DUMMYFUNCTION("""COMPUTED_VALUE"""),"")</f>
        <v/>
      </c>
      <c r="M7643" s="16" t="str">
        <f>IFERROR(__xludf.DUMMYFUNCTION("""COMPUTED_VALUE"""),"")</f>
        <v/>
      </c>
      <c r="U7643" s="16" t="s">
        <v>87</v>
      </c>
      <c r="V7643" s="16" t="str">
        <f>IFERROR(__xludf.DUMMYFUNCTION("""COMPUTED_VALUE"""),"")</f>
        <v/>
      </c>
      <c r="W7643" s="16" t="str">
        <f>IFERROR(__xludf.DUMMYFUNCTION("""COMPUTED_VALUE"""),"")</f>
        <v/>
      </c>
      <c r="X7643" s="16" t="str">
        <f>IFERROR(__xludf.DUMMYFUNCTION("""COMPUTED_VALUE"""),"")</f>
        <v/>
      </c>
      <c r="AC7643" s="16" t="str">
        <f>IFERROR(__xludf.DUMMYFUNCTION("""COMPUTED_VALUE"""),"")</f>
        <v/>
      </c>
    </row>
    <row r="7644">
      <c r="A7644" s="16" t="s">
        <v>87</v>
      </c>
      <c r="E7644" s="16" t="str">
        <f>IFERROR(__xludf.DUMMYFUNCTION("""COMPUTED_VALUE"""),"")</f>
        <v/>
      </c>
      <c r="G7644" s="18"/>
      <c r="H7644" s="16" t="s">
        <v>87</v>
      </c>
      <c r="I7644" s="16" t="s">
        <v>87</v>
      </c>
      <c r="J7644" s="19"/>
      <c r="L7644" s="16" t="str">
        <f>IFERROR(__xludf.DUMMYFUNCTION("""COMPUTED_VALUE"""),"")</f>
        <v/>
      </c>
      <c r="M7644" s="16" t="str">
        <f>IFERROR(__xludf.DUMMYFUNCTION("""COMPUTED_VALUE"""),"")</f>
        <v/>
      </c>
      <c r="U7644" s="16" t="s">
        <v>87</v>
      </c>
      <c r="V7644" s="16" t="str">
        <f>IFERROR(__xludf.DUMMYFUNCTION("""COMPUTED_VALUE"""),"")</f>
        <v/>
      </c>
      <c r="W7644" s="16" t="str">
        <f>IFERROR(__xludf.DUMMYFUNCTION("""COMPUTED_VALUE"""),"")</f>
        <v/>
      </c>
      <c r="X7644" s="16" t="str">
        <f>IFERROR(__xludf.DUMMYFUNCTION("""COMPUTED_VALUE"""),"")</f>
        <v/>
      </c>
      <c r="AC7644" s="16" t="str">
        <f>IFERROR(__xludf.DUMMYFUNCTION("""COMPUTED_VALUE"""),"")</f>
        <v/>
      </c>
    </row>
    <row r="7645">
      <c r="A7645" s="16" t="s">
        <v>87</v>
      </c>
      <c r="E7645" s="16" t="str">
        <f>IFERROR(__xludf.DUMMYFUNCTION("""COMPUTED_VALUE"""),"")</f>
        <v/>
      </c>
      <c r="G7645" s="18"/>
      <c r="H7645" s="16" t="s">
        <v>87</v>
      </c>
      <c r="I7645" s="16" t="s">
        <v>87</v>
      </c>
      <c r="J7645" s="19"/>
      <c r="L7645" s="16" t="str">
        <f>IFERROR(__xludf.DUMMYFUNCTION("""COMPUTED_VALUE"""),"")</f>
        <v/>
      </c>
      <c r="M7645" s="16" t="str">
        <f>IFERROR(__xludf.DUMMYFUNCTION("""COMPUTED_VALUE"""),"")</f>
        <v/>
      </c>
      <c r="U7645" s="16" t="s">
        <v>87</v>
      </c>
      <c r="V7645" s="16" t="str">
        <f>IFERROR(__xludf.DUMMYFUNCTION("""COMPUTED_VALUE"""),"")</f>
        <v/>
      </c>
      <c r="W7645" s="16" t="str">
        <f>IFERROR(__xludf.DUMMYFUNCTION("""COMPUTED_VALUE"""),"")</f>
        <v/>
      </c>
      <c r="X7645" s="16" t="str">
        <f>IFERROR(__xludf.DUMMYFUNCTION("""COMPUTED_VALUE"""),"")</f>
        <v/>
      </c>
      <c r="AC7645" s="16" t="str">
        <f>IFERROR(__xludf.DUMMYFUNCTION("""COMPUTED_VALUE"""),"")</f>
        <v/>
      </c>
    </row>
    <row r="7646">
      <c r="A7646" s="16" t="s">
        <v>87</v>
      </c>
      <c r="E7646" s="16" t="str">
        <f>IFERROR(__xludf.DUMMYFUNCTION("""COMPUTED_VALUE"""),"")</f>
        <v/>
      </c>
      <c r="G7646" s="18"/>
      <c r="H7646" s="16" t="s">
        <v>87</v>
      </c>
      <c r="I7646" s="16" t="s">
        <v>87</v>
      </c>
      <c r="J7646" s="19"/>
      <c r="L7646" s="16" t="str">
        <f>IFERROR(__xludf.DUMMYFUNCTION("""COMPUTED_VALUE"""),"")</f>
        <v/>
      </c>
      <c r="M7646" s="16" t="str">
        <f>IFERROR(__xludf.DUMMYFUNCTION("""COMPUTED_VALUE"""),"")</f>
        <v/>
      </c>
      <c r="U7646" s="16" t="s">
        <v>87</v>
      </c>
      <c r="V7646" s="16" t="str">
        <f>IFERROR(__xludf.DUMMYFUNCTION("""COMPUTED_VALUE"""),"")</f>
        <v/>
      </c>
      <c r="W7646" s="16" t="str">
        <f>IFERROR(__xludf.DUMMYFUNCTION("""COMPUTED_VALUE"""),"")</f>
        <v/>
      </c>
      <c r="X7646" s="16" t="str">
        <f>IFERROR(__xludf.DUMMYFUNCTION("""COMPUTED_VALUE"""),"")</f>
        <v/>
      </c>
      <c r="AC7646" s="16" t="str">
        <f>IFERROR(__xludf.DUMMYFUNCTION("""COMPUTED_VALUE"""),"")</f>
        <v/>
      </c>
    </row>
    <row r="7647">
      <c r="A7647" s="16" t="s">
        <v>87</v>
      </c>
      <c r="E7647" s="16" t="str">
        <f>IFERROR(__xludf.DUMMYFUNCTION("""COMPUTED_VALUE"""),"")</f>
        <v/>
      </c>
      <c r="G7647" s="18"/>
      <c r="H7647" s="16" t="s">
        <v>87</v>
      </c>
      <c r="I7647" s="16" t="s">
        <v>87</v>
      </c>
      <c r="J7647" s="19"/>
      <c r="L7647" s="16" t="str">
        <f>IFERROR(__xludf.DUMMYFUNCTION("""COMPUTED_VALUE"""),"")</f>
        <v/>
      </c>
      <c r="M7647" s="16" t="str">
        <f>IFERROR(__xludf.DUMMYFUNCTION("""COMPUTED_VALUE"""),"")</f>
        <v/>
      </c>
      <c r="U7647" s="16" t="s">
        <v>87</v>
      </c>
      <c r="V7647" s="16" t="str">
        <f>IFERROR(__xludf.DUMMYFUNCTION("""COMPUTED_VALUE"""),"")</f>
        <v/>
      </c>
      <c r="W7647" s="16" t="str">
        <f>IFERROR(__xludf.DUMMYFUNCTION("""COMPUTED_VALUE"""),"")</f>
        <v/>
      </c>
      <c r="X7647" s="16" t="str">
        <f>IFERROR(__xludf.DUMMYFUNCTION("""COMPUTED_VALUE"""),"")</f>
        <v/>
      </c>
      <c r="AC7647" s="16" t="str">
        <f>IFERROR(__xludf.DUMMYFUNCTION("""COMPUTED_VALUE"""),"")</f>
        <v/>
      </c>
    </row>
    <row r="7648">
      <c r="A7648" s="16" t="s">
        <v>87</v>
      </c>
      <c r="E7648" s="16" t="str">
        <f>IFERROR(__xludf.DUMMYFUNCTION("""COMPUTED_VALUE"""),"")</f>
        <v/>
      </c>
      <c r="G7648" s="18"/>
      <c r="H7648" s="16" t="s">
        <v>87</v>
      </c>
      <c r="I7648" s="16" t="s">
        <v>87</v>
      </c>
      <c r="J7648" s="19"/>
      <c r="L7648" s="16" t="str">
        <f>IFERROR(__xludf.DUMMYFUNCTION("""COMPUTED_VALUE"""),"")</f>
        <v/>
      </c>
      <c r="M7648" s="16" t="str">
        <f>IFERROR(__xludf.DUMMYFUNCTION("""COMPUTED_VALUE"""),"")</f>
        <v/>
      </c>
      <c r="U7648" s="16" t="s">
        <v>87</v>
      </c>
      <c r="V7648" s="16" t="str">
        <f>IFERROR(__xludf.DUMMYFUNCTION("""COMPUTED_VALUE"""),"")</f>
        <v/>
      </c>
      <c r="W7648" s="16" t="str">
        <f>IFERROR(__xludf.DUMMYFUNCTION("""COMPUTED_VALUE"""),"")</f>
        <v/>
      </c>
      <c r="X7648" s="16" t="str">
        <f>IFERROR(__xludf.DUMMYFUNCTION("""COMPUTED_VALUE"""),"")</f>
        <v/>
      </c>
      <c r="AC7648" s="16" t="str">
        <f>IFERROR(__xludf.DUMMYFUNCTION("""COMPUTED_VALUE"""),"")</f>
        <v/>
      </c>
    </row>
    <row r="7649">
      <c r="A7649" s="16" t="s">
        <v>87</v>
      </c>
      <c r="E7649" s="16" t="str">
        <f>IFERROR(__xludf.DUMMYFUNCTION("""COMPUTED_VALUE"""),"")</f>
        <v/>
      </c>
      <c r="G7649" s="18"/>
      <c r="H7649" s="16" t="s">
        <v>87</v>
      </c>
      <c r="I7649" s="16" t="s">
        <v>87</v>
      </c>
      <c r="J7649" s="19"/>
      <c r="L7649" s="16" t="str">
        <f>IFERROR(__xludf.DUMMYFUNCTION("""COMPUTED_VALUE"""),"")</f>
        <v/>
      </c>
      <c r="M7649" s="16" t="str">
        <f>IFERROR(__xludf.DUMMYFUNCTION("""COMPUTED_VALUE"""),"")</f>
        <v/>
      </c>
      <c r="U7649" s="16" t="s">
        <v>87</v>
      </c>
      <c r="V7649" s="16" t="str">
        <f>IFERROR(__xludf.DUMMYFUNCTION("""COMPUTED_VALUE"""),"")</f>
        <v/>
      </c>
      <c r="W7649" s="16" t="str">
        <f>IFERROR(__xludf.DUMMYFUNCTION("""COMPUTED_VALUE"""),"")</f>
        <v/>
      </c>
      <c r="X7649" s="16" t="str">
        <f>IFERROR(__xludf.DUMMYFUNCTION("""COMPUTED_VALUE"""),"")</f>
        <v/>
      </c>
      <c r="AC7649" s="16" t="str">
        <f>IFERROR(__xludf.DUMMYFUNCTION("""COMPUTED_VALUE"""),"")</f>
        <v/>
      </c>
    </row>
    <row r="7650">
      <c r="A7650" s="16" t="s">
        <v>87</v>
      </c>
      <c r="E7650" s="16" t="str">
        <f>IFERROR(__xludf.DUMMYFUNCTION("""COMPUTED_VALUE"""),"")</f>
        <v/>
      </c>
      <c r="G7650" s="18"/>
      <c r="H7650" s="16" t="s">
        <v>87</v>
      </c>
      <c r="I7650" s="16" t="s">
        <v>87</v>
      </c>
      <c r="J7650" s="19"/>
      <c r="L7650" s="16" t="str">
        <f>IFERROR(__xludf.DUMMYFUNCTION("""COMPUTED_VALUE"""),"")</f>
        <v/>
      </c>
      <c r="M7650" s="16" t="str">
        <f>IFERROR(__xludf.DUMMYFUNCTION("""COMPUTED_VALUE"""),"")</f>
        <v/>
      </c>
      <c r="U7650" s="16" t="s">
        <v>87</v>
      </c>
      <c r="V7650" s="16" t="str">
        <f>IFERROR(__xludf.DUMMYFUNCTION("""COMPUTED_VALUE"""),"")</f>
        <v/>
      </c>
      <c r="W7650" s="16" t="str">
        <f>IFERROR(__xludf.DUMMYFUNCTION("""COMPUTED_VALUE"""),"")</f>
        <v/>
      </c>
      <c r="X7650" s="16" t="str">
        <f>IFERROR(__xludf.DUMMYFUNCTION("""COMPUTED_VALUE"""),"")</f>
        <v/>
      </c>
      <c r="AC7650" s="16" t="str">
        <f>IFERROR(__xludf.DUMMYFUNCTION("""COMPUTED_VALUE"""),"")</f>
        <v/>
      </c>
    </row>
    <row r="7651">
      <c r="A7651" s="16" t="s">
        <v>87</v>
      </c>
      <c r="E7651" s="16" t="str">
        <f>IFERROR(__xludf.DUMMYFUNCTION("""COMPUTED_VALUE"""),"")</f>
        <v/>
      </c>
      <c r="G7651" s="18"/>
      <c r="H7651" s="16" t="s">
        <v>87</v>
      </c>
      <c r="I7651" s="16" t="s">
        <v>87</v>
      </c>
      <c r="J7651" s="19"/>
      <c r="L7651" s="16" t="str">
        <f>IFERROR(__xludf.DUMMYFUNCTION("""COMPUTED_VALUE"""),"")</f>
        <v/>
      </c>
      <c r="M7651" s="16" t="str">
        <f>IFERROR(__xludf.DUMMYFUNCTION("""COMPUTED_VALUE"""),"")</f>
        <v/>
      </c>
      <c r="U7651" s="16" t="s">
        <v>87</v>
      </c>
      <c r="V7651" s="16" t="str">
        <f>IFERROR(__xludf.DUMMYFUNCTION("""COMPUTED_VALUE"""),"")</f>
        <v/>
      </c>
      <c r="W7651" s="16" t="str">
        <f>IFERROR(__xludf.DUMMYFUNCTION("""COMPUTED_VALUE"""),"")</f>
        <v/>
      </c>
      <c r="X7651" s="16" t="str">
        <f>IFERROR(__xludf.DUMMYFUNCTION("""COMPUTED_VALUE"""),"")</f>
        <v/>
      </c>
      <c r="AC7651" s="16" t="str">
        <f>IFERROR(__xludf.DUMMYFUNCTION("""COMPUTED_VALUE"""),"")</f>
        <v/>
      </c>
    </row>
    <row r="7652">
      <c r="A7652" s="16" t="s">
        <v>87</v>
      </c>
      <c r="E7652" s="16" t="str">
        <f>IFERROR(__xludf.DUMMYFUNCTION("""COMPUTED_VALUE"""),"")</f>
        <v/>
      </c>
      <c r="G7652" s="18"/>
      <c r="H7652" s="16" t="s">
        <v>87</v>
      </c>
      <c r="I7652" s="16" t="s">
        <v>87</v>
      </c>
      <c r="J7652" s="19"/>
      <c r="L7652" s="16" t="str">
        <f>IFERROR(__xludf.DUMMYFUNCTION("""COMPUTED_VALUE"""),"")</f>
        <v/>
      </c>
      <c r="M7652" s="16" t="str">
        <f>IFERROR(__xludf.DUMMYFUNCTION("""COMPUTED_VALUE"""),"")</f>
        <v/>
      </c>
      <c r="U7652" s="16" t="s">
        <v>87</v>
      </c>
      <c r="V7652" s="16" t="str">
        <f>IFERROR(__xludf.DUMMYFUNCTION("""COMPUTED_VALUE"""),"")</f>
        <v/>
      </c>
      <c r="W7652" s="16" t="str">
        <f>IFERROR(__xludf.DUMMYFUNCTION("""COMPUTED_VALUE"""),"")</f>
        <v/>
      </c>
      <c r="X7652" s="16" t="str">
        <f>IFERROR(__xludf.DUMMYFUNCTION("""COMPUTED_VALUE"""),"")</f>
        <v/>
      </c>
      <c r="AC7652" s="16" t="str">
        <f>IFERROR(__xludf.DUMMYFUNCTION("""COMPUTED_VALUE"""),"")</f>
        <v/>
      </c>
    </row>
    <row r="7653">
      <c r="A7653" s="16" t="s">
        <v>87</v>
      </c>
      <c r="E7653" s="16" t="str">
        <f>IFERROR(__xludf.DUMMYFUNCTION("""COMPUTED_VALUE"""),"")</f>
        <v/>
      </c>
      <c r="G7653" s="18"/>
      <c r="H7653" s="16" t="s">
        <v>87</v>
      </c>
      <c r="I7653" s="16" t="s">
        <v>87</v>
      </c>
      <c r="J7653" s="19"/>
      <c r="L7653" s="16" t="str">
        <f>IFERROR(__xludf.DUMMYFUNCTION("""COMPUTED_VALUE"""),"")</f>
        <v/>
      </c>
      <c r="M7653" s="16" t="str">
        <f>IFERROR(__xludf.DUMMYFUNCTION("""COMPUTED_VALUE"""),"")</f>
        <v/>
      </c>
      <c r="U7653" s="16" t="s">
        <v>87</v>
      </c>
      <c r="V7653" s="16" t="str">
        <f>IFERROR(__xludf.DUMMYFUNCTION("""COMPUTED_VALUE"""),"")</f>
        <v/>
      </c>
      <c r="W7653" s="16" t="str">
        <f>IFERROR(__xludf.DUMMYFUNCTION("""COMPUTED_VALUE"""),"")</f>
        <v/>
      </c>
      <c r="X7653" s="16" t="str">
        <f>IFERROR(__xludf.DUMMYFUNCTION("""COMPUTED_VALUE"""),"")</f>
        <v/>
      </c>
      <c r="AC7653" s="16" t="str">
        <f>IFERROR(__xludf.DUMMYFUNCTION("""COMPUTED_VALUE"""),"")</f>
        <v/>
      </c>
    </row>
    <row r="7654">
      <c r="A7654" s="16" t="s">
        <v>87</v>
      </c>
      <c r="E7654" s="16" t="str">
        <f>IFERROR(__xludf.DUMMYFUNCTION("""COMPUTED_VALUE"""),"")</f>
        <v/>
      </c>
      <c r="G7654" s="18"/>
      <c r="H7654" s="16" t="s">
        <v>87</v>
      </c>
      <c r="I7654" s="16" t="s">
        <v>87</v>
      </c>
      <c r="J7654" s="19"/>
      <c r="L7654" s="16" t="str">
        <f>IFERROR(__xludf.DUMMYFUNCTION("""COMPUTED_VALUE"""),"")</f>
        <v/>
      </c>
      <c r="M7654" s="16" t="str">
        <f>IFERROR(__xludf.DUMMYFUNCTION("""COMPUTED_VALUE"""),"")</f>
        <v/>
      </c>
      <c r="U7654" s="16" t="s">
        <v>87</v>
      </c>
      <c r="V7654" s="16" t="str">
        <f>IFERROR(__xludf.DUMMYFUNCTION("""COMPUTED_VALUE"""),"")</f>
        <v/>
      </c>
      <c r="W7654" s="16" t="str">
        <f>IFERROR(__xludf.DUMMYFUNCTION("""COMPUTED_VALUE"""),"")</f>
        <v/>
      </c>
      <c r="X7654" s="16" t="str">
        <f>IFERROR(__xludf.DUMMYFUNCTION("""COMPUTED_VALUE"""),"")</f>
        <v/>
      </c>
      <c r="AC7654" s="16" t="str">
        <f>IFERROR(__xludf.DUMMYFUNCTION("""COMPUTED_VALUE"""),"")</f>
        <v/>
      </c>
    </row>
    <row r="7655">
      <c r="A7655" s="16" t="s">
        <v>87</v>
      </c>
      <c r="E7655" s="16" t="str">
        <f>IFERROR(__xludf.DUMMYFUNCTION("""COMPUTED_VALUE"""),"")</f>
        <v/>
      </c>
      <c r="G7655" s="18"/>
      <c r="H7655" s="16" t="s">
        <v>87</v>
      </c>
      <c r="I7655" s="16" t="s">
        <v>87</v>
      </c>
      <c r="J7655" s="19"/>
      <c r="L7655" s="16" t="str">
        <f>IFERROR(__xludf.DUMMYFUNCTION("""COMPUTED_VALUE"""),"")</f>
        <v/>
      </c>
      <c r="M7655" s="16" t="str">
        <f>IFERROR(__xludf.DUMMYFUNCTION("""COMPUTED_VALUE"""),"")</f>
        <v/>
      </c>
      <c r="U7655" s="16" t="s">
        <v>87</v>
      </c>
      <c r="V7655" s="16" t="str">
        <f>IFERROR(__xludf.DUMMYFUNCTION("""COMPUTED_VALUE"""),"")</f>
        <v/>
      </c>
      <c r="W7655" s="16" t="str">
        <f>IFERROR(__xludf.DUMMYFUNCTION("""COMPUTED_VALUE"""),"")</f>
        <v/>
      </c>
      <c r="X7655" s="16" t="str">
        <f>IFERROR(__xludf.DUMMYFUNCTION("""COMPUTED_VALUE"""),"")</f>
        <v/>
      </c>
      <c r="AC7655" s="16" t="str">
        <f>IFERROR(__xludf.DUMMYFUNCTION("""COMPUTED_VALUE"""),"")</f>
        <v/>
      </c>
    </row>
    <row r="7656">
      <c r="A7656" s="16" t="s">
        <v>87</v>
      </c>
      <c r="E7656" s="16" t="str">
        <f>IFERROR(__xludf.DUMMYFUNCTION("""COMPUTED_VALUE"""),"")</f>
        <v/>
      </c>
      <c r="G7656" s="18"/>
      <c r="H7656" s="16" t="s">
        <v>87</v>
      </c>
      <c r="I7656" s="16" t="s">
        <v>87</v>
      </c>
      <c r="J7656" s="19"/>
      <c r="L7656" s="16" t="str">
        <f>IFERROR(__xludf.DUMMYFUNCTION("""COMPUTED_VALUE"""),"")</f>
        <v/>
      </c>
      <c r="M7656" s="16" t="str">
        <f>IFERROR(__xludf.DUMMYFUNCTION("""COMPUTED_VALUE"""),"")</f>
        <v/>
      </c>
      <c r="U7656" s="16" t="s">
        <v>87</v>
      </c>
      <c r="V7656" s="16" t="str">
        <f>IFERROR(__xludf.DUMMYFUNCTION("""COMPUTED_VALUE"""),"")</f>
        <v/>
      </c>
      <c r="W7656" s="16" t="str">
        <f>IFERROR(__xludf.DUMMYFUNCTION("""COMPUTED_VALUE"""),"")</f>
        <v/>
      </c>
      <c r="X7656" s="16" t="str">
        <f>IFERROR(__xludf.DUMMYFUNCTION("""COMPUTED_VALUE"""),"")</f>
        <v/>
      </c>
      <c r="AC7656" s="16" t="str">
        <f>IFERROR(__xludf.DUMMYFUNCTION("""COMPUTED_VALUE"""),"")</f>
        <v/>
      </c>
    </row>
    <row r="7657">
      <c r="A7657" s="16" t="s">
        <v>87</v>
      </c>
      <c r="E7657" s="16" t="str">
        <f>IFERROR(__xludf.DUMMYFUNCTION("""COMPUTED_VALUE"""),"")</f>
        <v/>
      </c>
      <c r="G7657" s="18"/>
      <c r="H7657" s="16" t="s">
        <v>87</v>
      </c>
      <c r="I7657" s="16" t="s">
        <v>87</v>
      </c>
      <c r="J7657" s="19"/>
      <c r="L7657" s="16" t="str">
        <f>IFERROR(__xludf.DUMMYFUNCTION("""COMPUTED_VALUE"""),"")</f>
        <v/>
      </c>
      <c r="M7657" s="16" t="str">
        <f>IFERROR(__xludf.DUMMYFUNCTION("""COMPUTED_VALUE"""),"")</f>
        <v/>
      </c>
      <c r="U7657" s="16" t="s">
        <v>87</v>
      </c>
      <c r="V7657" s="16" t="str">
        <f>IFERROR(__xludf.DUMMYFUNCTION("""COMPUTED_VALUE"""),"")</f>
        <v/>
      </c>
      <c r="W7657" s="16" t="str">
        <f>IFERROR(__xludf.DUMMYFUNCTION("""COMPUTED_VALUE"""),"")</f>
        <v/>
      </c>
      <c r="X7657" s="16" t="str">
        <f>IFERROR(__xludf.DUMMYFUNCTION("""COMPUTED_VALUE"""),"")</f>
        <v/>
      </c>
      <c r="AC7657" s="16" t="str">
        <f>IFERROR(__xludf.DUMMYFUNCTION("""COMPUTED_VALUE"""),"")</f>
        <v/>
      </c>
    </row>
    <row r="7658">
      <c r="A7658" s="16" t="s">
        <v>87</v>
      </c>
      <c r="E7658" s="16" t="str">
        <f>IFERROR(__xludf.DUMMYFUNCTION("""COMPUTED_VALUE"""),"")</f>
        <v/>
      </c>
      <c r="G7658" s="18"/>
      <c r="H7658" s="16" t="s">
        <v>87</v>
      </c>
      <c r="I7658" s="16" t="s">
        <v>87</v>
      </c>
      <c r="J7658" s="19"/>
      <c r="L7658" s="16" t="str">
        <f>IFERROR(__xludf.DUMMYFUNCTION("""COMPUTED_VALUE"""),"")</f>
        <v/>
      </c>
      <c r="M7658" s="16" t="str">
        <f>IFERROR(__xludf.DUMMYFUNCTION("""COMPUTED_VALUE"""),"")</f>
        <v/>
      </c>
      <c r="U7658" s="16" t="s">
        <v>87</v>
      </c>
      <c r="V7658" s="16" t="str">
        <f>IFERROR(__xludf.DUMMYFUNCTION("""COMPUTED_VALUE"""),"")</f>
        <v/>
      </c>
      <c r="W7658" s="16" t="str">
        <f>IFERROR(__xludf.DUMMYFUNCTION("""COMPUTED_VALUE"""),"")</f>
        <v/>
      </c>
      <c r="X7658" s="16" t="str">
        <f>IFERROR(__xludf.DUMMYFUNCTION("""COMPUTED_VALUE"""),"")</f>
        <v/>
      </c>
      <c r="AC7658" s="16" t="str">
        <f>IFERROR(__xludf.DUMMYFUNCTION("""COMPUTED_VALUE"""),"")</f>
        <v/>
      </c>
    </row>
    <row r="7659">
      <c r="A7659" s="16" t="s">
        <v>87</v>
      </c>
      <c r="E7659" s="16" t="str">
        <f>IFERROR(__xludf.DUMMYFUNCTION("""COMPUTED_VALUE"""),"")</f>
        <v/>
      </c>
      <c r="G7659" s="18"/>
      <c r="H7659" s="16" t="s">
        <v>87</v>
      </c>
      <c r="I7659" s="16" t="s">
        <v>87</v>
      </c>
      <c r="J7659" s="19"/>
      <c r="L7659" s="16" t="str">
        <f>IFERROR(__xludf.DUMMYFUNCTION("""COMPUTED_VALUE"""),"")</f>
        <v/>
      </c>
      <c r="M7659" s="16" t="str">
        <f>IFERROR(__xludf.DUMMYFUNCTION("""COMPUTED_VALUE"""),"")</f>
        <v/>
      </c>
      <c r="U7659" s="16" t="s">
        <v>87</v>
      </c>
      <c r="V7659" s="16" t="str">
        <f>IFERROR(__xludf.DUMMYFUNCTION("""COMPUTED_VALUE"""),"")</f>
        <v/>
      </c>
      <c r="W7659" s="16" t="str">
        <f>IFERROR(__xludf.DUMMYFUNCTION("""COMPUTED_VALUE"""),"")</f>
        <v/>
      </c>
      <c r="X7659" s="16" t="str">
        <f>IFERROR(__xludf.DUMMYFUNCTION("""COMPUTED_VALUE"""),"")</f>
        <v/>
      </c>
      <c r="AC7659" s="16" t="str">
        <f>IFERROR(__xludf.DUMMYFUNCTION("""COMPUTED_VALUE"""),"")</f>
        <v/>
      </c>
    </row>
    <row r="7660">
      <c r="A7660" s="16" t="s">
        <v>87</v>
      </c>
      <c r="E7660" s="16" t="str">
        <f>IFERROR(__xludf.DUMMYFUNCTION("""COMPUTED_VALUE"""),"")</f>
        <v/>
      </c>
      <c r="G7660" s="18"/>
      <c r="H7660" s="16" t="s">
        <v>87</v>
      </c>
      <c r="I7660" s="16" t="s">
        <v>87</v>
      </c>
      <c r="J7660" s="19"/>
      <c r="L7660" s="16" t="str">
        <f>IFERROR(__xludf.DUMMYFUNCTION("""COMPUTED_VALUE"""),"")</f>
        <v/>
      </c>
      <c r="M7660" s="16" t="str">
        <f>IFERROR(__xludf.DUMMYFUNCTION("""COMPUTED_VALUE"""),"")</f>
        <v/>
      </c>
      <c r="U7660" s="16" t="s">
        <v>87</v>
      </c>
      <c r="V7660" s="16" t="str">
        <f>IFERROR(__xludf.DUMMYFUNCTION("""COMPUTED_VALUE"""),"")</f>
        <v/>
      </c>
      <c r="W7660" s="16" t="str">
        <f>IFERROR(__xludf.DUMMYFUNCTION("""COMPUTED_VALUE"""),"")</f>
        <v/>
      </c>
      <c r="X7660" s="16" t="str">
        <f>IFERROR(__xludf.DUMMYFUNCTION("""COMPUTED_VALUE"""),"")</f>
        <v/>
      </c>
      <c r="AC7660" s="16" t="str">
        <f>IFERROR(__xludf.DUMMYFUNCTION("""COMPUTED_VALUE"""),"")</f>
        <v/>
      </c>
    </row>
    <row r="7661">
      <c r="A7661" s="16" t="s">
        <v>87</v>
      </c>
      <c r="E7661" s="16" t="str">
        <f>IFERROR(__xludf.DUMMYFUNCTION("""COMPUTED_VALUE"""),"")</f>
        <v/>
      </c>
      <c r="G7661" s="18"/>
      <c r="H7661" s="16" t="s">
        <v>87</v>
      </c>
      <c r="I7661" s="16" t="s">
        <v>87</v>
      </c>
      <c r="J7661" s="19"/>
      <c r="L7661" s="16" t="str">
        <f>IFERROR(__xludf.DUMMYFUNCTION("""COMPUTED_VALUE"""),"")</f>
        <v/>
      </c>
      <c r="M7661" s="16" t="str">
        <f>IFERROR(__xludf.DUMMYFUNCTION("""COMPUTED_VALUE"""),"")</f>
        <v/>
      </c>
      <c r="U7661" s="16" t="s">
        <v>87</v>
      </c>
      <c r="V7661" s="16" t="str">
        <f>IFERROR(__xludf.DUMMYFUNCTION("""COMPUTED_VALUE"""),"")</f>
        <v/>
      </c>
      <c r="W7661" s="16" t="str">
        <f>IFERROR(__xludf.DUMMYFUNCTION("""COMPUTED_VALUE"""),"")</f>
        <v/>
      </c>
      <c r="X7661" s="16" t="str">
        <f>IFERROR(__xludf.DUMMYFUNCTION("""COMPUTED_VALUE"""),"")</f>
        <v/>
      </c>
      <c r="AC7661" s="16" t="str">
        <f>IFERROR(__xludf.DUMMYFUNCTION("""COMPUTED_VALUE"""),"")</f>
        <v/>
      </c>
    </row>
    <row r="7662">
      <c r="A7662" s="16" t="s">
        <v>87</v>
      </c>
      <c r="E7662" s="16" t="str">
        <f>IFERROR(__xludf.DUMMYFUNCTION("""COMPUTED_VALUE"""),"")</f>
        <v/>
      </c>
      <c r="G7662" s="18"/>
      <c r="H7662" s="16" t="s">
        <v>87</v>
      </c>
      <c r="I7662" s="16" t="s">
        <v>87</v>
      </c>
      <c r="J7662" s="19"/>
      <c r="L7662" s="16" t="str">
        <f>IFERROR(__xludf.DUMMYFUNCTION("""COMPUTED_VALUE"""),"")</f>
        <v/>
      </c>
      <c r="M7662" s="16" t="str">
        <f>IFERROR(__xludf.DUMMYFUNCTION("""COMPUTED_VALUE"""),"")</f>
        <v/>
      </c>
      <c r="U7662" s="16" t="s">
        <v>87</v>
      </c>
      <c r="V7662" s="16" t="str">
        <f>IFERROR(__xludf.DUMMYFUNCTION("""COMPUTED_VALUE"""),"")</f>
        <v/>
      </c>
      <c r="W7662" s="16" t="str">
        <f>IFERROR(__xludf.DUMMYFUNCTION("""COMPUTED_VALUE"""),"")</f>
        <v/>
      </c>
      <c r="X7662" s="16" t="str">
        <f>IFERROR(__xludf.DUMMYFUNCTION("""COMPUTED_VALUE"""),"")</f>
        <v/>
      </c>
      <c r="AC7662" s="16" t="str">
        <f>IFERROR(__xludf.DUMMYFUNCTION("""COMPUTED_VALUE"""),"")</f>
        <v/>
      </c>
    </row>
    <row r="7663">
      <c r="A7663" s="16" t="s">
        <v>87</v>
      </c>
      <c r="E7663" s="16" t="str">
        <f>IFERROR(__xludf.DUMMYFUNCTION("""COMPUTED_VALUE"""),"")</f>
        <v/>
      </c>
      <c r="G7663" s="18"/>
      <c r="H7663" s="16" t="s">
        <v>87</v>
      </c>
      <c r="I7663" s="16" t="s">
        <v>87</v>
      </c>
      <c r="J7663" s="19"/>
      <c r="L7663" s="16" t="str">
        <f>IFERROR(__xludf.DUMMYFUNCTION("""COMPUTED_VALUE"""),"")</f>
        <v/>
      </c>
      <c r="M7663" s="16" t="str">
        <f>IFERROR(__xludf.DUMMYFUNCTION("""COMPUTED_VALUE"""),"")</f>
        <v/>
      </c>
      <c r="U7663" s="16" t="s">
        <v>87</v>
      </c>
      <c r="V7663" s="16" t="str">
        <f>IFERROR(__xludf.DUMMYFUNCTION("""COMPUTED_VALUE"""),"")</f>
        <v/>
      </c>
      <c r="W7663" s="16" t="str">
        <f>IFERROR(__xludf.DUMMYFUNCTION("""COMPUTED_VALUE"""),"")</f>
        <v/>
      </c>
      <c r="X7663" s="16" t="str">
        <f>IFERROR(__xludf.DUMMYFUNCTION("""COMPUTED_VALUE"""),"")</f>
        <v/>
      </c>
      <c r="AC7663" s="16" t="str">
        <f>IFERROR(__xludf.DUMMYFUNCTION("""COMPUTED_VALUE"""),"")</f>
        <v/>
      </c>
    </row>
    <row r="7664">
      <c r="A7664" s="16" t="s">
        <v>87</v>
      </c>
      <c r="E7664" s="16" t="str">
        <f>IFERROR(__xludf.DUMMYFUNCTION("""COMPUTED_VALUE"""),"")</f>
        <v/>
      </c>
      <c r="G7664" s="18"/>
      <c r="H7664" s="16" t="s">
        <v>87</v>
      </c>
      <c r="I7664" s="16" t="s">
        <v>87</v>
      </c>
      <c r="J7664" s="19"/>
      <c r="L7664" s="16" t="str">
        <f>IFERROR(__xludf.DUMMYFUNCTION("""COMPUTED_VALUE"""),"")</f>
        <v/>
      </c>
      <c r="M7664" s="16" t="str">
        <f>IFERROR(__xludf.DUMMYFUNCTION("""COMPUTED_VALUE"""),"")</f>
        <v/>
      </c>
      <c r="U7664" s="16" t="s">
        <v>87</v>
      </c>
      <c r="V7664" s="16" t="str">
        <f>IFERROR(__xludf.DUMMYFUNCTION("""COMPUTED_VALUE"""),"")</f>
        <v/>
      </c>
      <c r="W7664" s="16" t="str">
        <f>IFERROR(__xludf.DUMMYFUNCTION("""COMPUTED_VALUE"""),"")</f>
        <v/>
      </c>
      <c r="X7664" s="16" t="str">
        <f>IFERROR(__xludf.DUMMYFUNCTION("""COMPUTED_VALUE"""),"")</f>
        <v/>
      </c>
      <c r="AC7664" s="16" t="str">
        <f>IFERROR(__xludf.DUMMYFUNCTION("""COMPUTED_VALUE"""),"")</f>
        <v/>
      </c>
    </row>
    <row r="7665">
      <c r="A7665" s="16" t="s">
        <v>87</v>
      </c>
      <c r="E7665" s="16" t="str">
        <f>IFERROR(__xludf.DUMMYFUNCTION("""COMPUTED_VALUE"""),"")</f>
        <v/>
      </c>
      <c r="G7665" s="18"/>
      <c r="H7665" s="16" t="s">
        <v>87</v>
      </c>
      <c r="I7665" s="16" t="s">
        <v>87</v>
      </c>
      <c r="J7665" s="19"/>
      <c r="L7665" s="16" t="str">
        <f>IFERROR(__xludf.DUMMYFUNCTION("""COMPUTED_VALUE"""),"")</f>
        <v/>
      </c>
      <c r="M7665" s="16" t="str">
        <f>IFERROR(__xludf.DUMMYFUNCTION("""COMPUTED_VALUE"""),"")</f>
        <v/>
      </c>
      <c r="U7665" s="16" t="s">
        <v>87</v>
      </c>
      <c r="V7665" s="16" t="str">
        <f>IFERROR(__xludf.DUMMYFUNCTION("""COMPUTED_VALUE"""),"")</f>
        <v/>
      </c>
      <c r="W7665" s="16" t="str">
        <f>IFERROR(__xludf.DUMMYFUNCTION("""COMPUTED_VALUE"""),"")</f>
        <v/>
      </c>
      <c r="X7665" s="16" t="str">
        <f>IFERROR(__xludf.DUMMYFUNCTION("""COMPUTED_VALUE"""),"")</f>
        <v/>
      </c>
      <c r="AC7665" s="16" t="str">
        <f>IFERROR(__xludf.DUMMYFUNCTION("""COMPUTED_VALUE"""),"")</f>
        <v/>
      </c>
    </row>
    <row r="7666">
      <c r="A7666" s="16" t="s">
        <v>87</v>
      </c>
      <c r="E7666" s="16" t="str">
        <f>IFERROR(__xludf.DUMMYFUNCTION("""COMPUTED_VALUE"""),"")</f>
        <v/>
      </c>
      <c r="G7666" s="18"/>
      <c r="H7666" s="16" t="s">
        <v>87</v>
      </c>
      <c r="I7666" s="16" t="s">
        <v>87</v>
      </c>
      <c r="J7666" s="19"/>
      <c r="L7666" s="16" t="str">
        <f>IFERROR(__xludf.DUMMYFUNCTION("""COMPUTED_VALUE"""),"")</f>
        <v/>
      </c>
      <c r="M7666" s="16" t="str">
        <f>IFERROR(__xludf.DUMMYFUNCTION("""COMPUTED_VALUE"""),"")</f>
        <v/>
      </c>
      <c r="U7666" s="16" t="s">
        <v>87</v>
      </c>
      <c r="V7666" s="16" t="str">
        <f>IFERROR(__xludf.DUMMYFUNCTION("""COMPUTED_VALUE"""),"")</f>
        <v/>
      </c>
      <c r="W7666" s="16" t="str">
        <f>IFERROR(__xludf.DUMMYFUNCTION("""COMPUTED_VALUE"""),"")</f>
        <v/>
      </c>
      <c r="X7666" s="16" t="str">
        <f>IFERROR(__xludf.DUMMYFUNCTION("""COMPUTED_VALUE"""),"")</f>
        <v/>
      </c>
      <c r="AC7666" s="16" t="str">
        <f>IFERROR(__xludf.DUMMYFUNCTION("""COMPUTED_VALUE"""),"")</f>
        <v/>
      </c>
    </row>
    <row r="7667">
      <c r="A7667" s="16" t="s">
        <v>87</v>
      </c>
      <c r="E7667" s="16" t="str">
        <f>IFERROR(__xludf.DUMMYFUNCTION("""COMPUTED_VALUE"""),"")</f>
        <v/>
      </c>
      <c r="G7667" s="18"/>
      <c r="H7667" s="16" t="s">
        <v>87</v>
      </c>
      <c r="I7667" s="16" t="s">
        <v>87</v>
      </c>
      <c r="J7667" s="19"/>
      <c r="L7667" s="16" t="str">
        <f>IFERROR(__xludf.DUMMYFUNCTION("""COMPUTED_VALUE"""),"")</f>
        <v/>
      </c>
      <c r="M7667" s="16" t="str">
        <f>IFERROR(__xludf.DUMMYFUNCTION("""COMPUTED_VALUE"""),"")</f>
        <v/>
      </c>
      <c r="U7667" s="16" t="s">
        <v>87</v>
      </c>
      <c r="V7667" s="16" t="str">
        <f>IFERROR(__xludf.DUMMYFUNCTION("""COMPUTED_VALUE"""),"")</f>
        <v/>
      </c>
      <c r="W7667" s="16" t="str">
        <f>IFERROR(__xludf.DUMMYFUNCTION("""COMPUTED_VALUE"""),"")</f>
        <v/>
      </c>
      <c r="X7667" s="16" t="str">
        <f>IFERROR(__xludf.DUMMYFUNCTION("""COMPUTED_VALUE"""),"")</f>
        <v/>
      </c>
      <c r="AC7667" s="16" t="str">
        <f>IFERROR(__xludf.DUMMYFUNCTION("""COMPUTED_VALUE"""),"")</f>
        <v/>
      </c>
    </row>
    <row r="7668">
      <c r="A7668" s="16" t="s">
        <v>87</v>
      </c>
      <c r="E7668" s="16" t="str">
        <f>IFERROR(__xludf.DUMMYFUNCTION("""COMPUTED_VALUE"""),"")</f>
        <v/>
      </c>
      <c r="G7668" s="18"/>
      <c r="H7668" s="16" t="s">
        <v>87</v>
      </c>
      <c r="I7668" s="16" t="s">
        <v>87</v>
      </c>
      <c r="J7668" s="19"/>
      <c r="L7668" s="16" t="str">
        <f>IFERROR(__xludf.DUMMYFUNCTION("""COMPUTED_VALUE"""),"")</f>
        <v/>
      </c>
      <c r="M7668" s="16" t="str">
        <f>IFERROR(__xludf.DUMMYFUNCTION("""COMPUTED_VALUE"""),"")</f>
        <v/>
      </c>
      <c r="U7668" s="16" t="s">
        <v>87</v>
      </c>
      <c r="V7668" s="16" t="str">
        <f>IFERROR(__xludf.DUMMYFUNCTION("""COMPUTED_VALUE"""),"")</f>
        <v/>
      </c>
      <c r="W7668" s="16" t="str">
        <f>IFERROR(__xludf.DUMMYFUNCTION("""COMPUTED_VALUE"""),"")</f>
        <v/>
      </c>
      <c r="X7668" s="16" t="str">
        <f>IFERROR(__xludf.DUMMYFUNCTION("""COMPUTED_VALUE"""),"")</f>
        <v/>
      </c>
      <c r="AC7668" s="16" t="str">
        <f>IFERROR(__xludf.DUMMYFUNCTION("""COMPUTED_VALUE"""),"")</f>
        <v/>
      </c>
    </row>
    <row r="7669">
      <c r="A7669" s="16" t="s">
        <v>87</v>
      </c>
      <c r="E7669" s="16" t="str">
        <f>IFERROR(__xludf.DUMMYFUNCTION("""COMPUTED_VALUE"""),"")</f>
        <v/>
      </c>
      <c r="G7669" s="18"/>
      <c r="H7669" s="16" t="s">
        <v>87</v>
      </c>
      <c r="I7669" s="16" t="s">
        <v>87</v>
      </c>
      <c r="J7669" s="19"/>
      <c r="L7669" s="16" t="str">
        <f>IFERROR(__xludf.DUMMYFUNCTION("""COMPUTED_VALUE"""),"")</f>
        <v/>
      </c>
      <c r="M7669" s="16" t="str">
        <f>IFERROR(__xludf.DUMMYFUNCTION("""COMPUTED_VALUE"""),"")</f>
        <v/>
      </c>
      <c r="U7669" s="16" t="s">
        <v>87</v>
      </c>
      <c r="V7669" s="16" t="str">
        <f>IFERROR(__xludf.DUMMYFUNCTION("""COMPUTED_VALUE"""),"")</f>
        <v/>
      </c>
      <c r="W7669" s="16" t="str">
        <f>IFERROR(__xludf.DUMMYFUNCTION("""COMPUTED_VALUE"""),"")</f>
        <v/>
      </c>
      <c r="X7669" s="16" t="str">
        <f>IFERROR(__xludf.DUMMYFUNCTION("""COMPUTED_VALUE"""),"")</f>
        <v/>
      </c>
      <c r="AC7669" s="16" t="str">
        <f>IFERROR(__xludf.DUMMYFUNCTION("""COMPUTED_VALUE"""),"")</f>
        <v/>
      </c>
    </row>
    <row r="7670">
      <c r="A7670" s="16" t="s">
        <v>87</v>
      </c>
      <c r="E7670" s="16" t="str">
        <f>IFERROR(__xludf.DUMMYFUNCTION("""COMPUTED_VALUE"""),"")</f>
        <v/>
      </c>
      <c r="G7670" s="18"/>
      <c r="H7670" s="16" t="s">
        <v>87</v>
      </c>
      <c r="I7670" s="16" t="s">
        <v>87</v>
      </c>
      <c r="J7670" s="19"/>
      <c r="L7670" s="16" t="str">
        <f>IFERROR(__xludf.DUMMYFUNCTION("""COMPUTED_VALUE"""),"")</f>
        <v/>
      </c>
      <c r="M7670" s="16" t="str">
        <f>IFERROR(__xludf.DUMMYFUNCTION("""COMPUTED_VALUE"""),"")</f>
        <v/>
      </c>
      <c r="U7670" s="16" t="s">
        <v>87</v>
      </c>
      <c r="V7670" s="16" t="str">
        <f>IFERROR(__xludf.DUMMYFUNCTION("""COMPUTED_VALUE"""),"")</f>
        <v/>
      </c>
      <c r="W7670" s="16" t="str">
        <f>IFERROR(__xludf.DUMMYFUNCTION("""COMPUTED_VALUE"""),"")</f>
        <v/>
      </c>
      <c r="X7670" s="16" t="str">
        <f>IFERROR(__xludf.DUMMYFUNCTION("""COMPUTED_VALUE"""),"")</f>
        <v/>
      </c>
      <c r="AC7670" s="16" t="str">
        <f>IFERROR(__xludf.DUMMYFUNCTION("""COMPUTED_VALUE"""),"")</f>
        <v/>
      </c>
    </row>
    <row r="7671">
      <c r="A7671" s="16" t="s">
        <v>87</v>
      </c>
      <c r="E7671" s="16" t="str">
        <f>IFERROR(__xludf.DUMMYFUNCTION("""COMPUTED_VALUE"""),"")</f>
        <v/>
      </c>
      <c r="G7671" s="18"/>
      <c r="H7671" s="16" t="s">
        <v>87</v>
      </c>
      <c r="I7671" s="16" t="s">
        <v>87</v>
      </c>
      <c r="J7671" s="19"/>
      <c r="L7671" s="16" t="str">
        <f>IFERROR(__xludf.DUMMYFUNCTION("""COMPUTED_VALUE"""),"")</f>
        <v/>
      </c>
      <c r="M7671" s="16" t="str">
        <f>IFERROR(__xludf.DUMMYFUNCTION("""COMPUTED_VALUE"""),"")</f>
        <v/>
      </c>
      <c r="U7671" s="16" t="s">
        <v>87</v>
      </c>
      <c r="V7671" s="16" t="str">
        <f>IFERROR(__xludf.DUMMYFUNCTION("""COMPUTED_VALUE"""),"")</f>
        <v/>
      </c>
      <c r="W7671" s="16" t="str">
        <f>IFERROR(__xludf.DUMMYFUNCTION("""COMPUTED_VALUE"""),"")</f>
        <v/>
      </c>
      <c r="X7671" s="16" t="str">
        <f>IFERROR(__xludf.DUMMYFUNCTION("""COMPUTED_VALUE"""),"")</f>
        <v/>
      </c>
      <c r="AC7671" s="16" t="str">
        <f>IFERROR(__xludf.DUMMYFUNCTION("""COMPUTED_VALUE"""),"")</f>
        <v/>
      </c>
    </row>
    <row r="7672">
      <c r="A7672" s="16" t="s">
        <v>87</v>
      </c>
      <c r="E7672" s="16" t="str">
        <f>IFERROR(__xludf.DUMMYFUNCTION("""COMPUTED_VALUE"""),"")</f>
        <v/>
      </c>
      <c r="G7672" s="18"/>
      <c r="H7672" s="16" t="s">
        <v>87</v>
      </c>
      <c r="I7672" s="16" t="s">
        <v>87</v>
      </c>
      <c r="J7672" s="19"/>
      <c r="L7672" s="16" t="str">
        <f>IFERROR(__xludf.DUMMYFUNCTION("""COMPUTED_VALUE"""),"")</f>
        <v/>
      </c>
      <c r="M7672" s="16" t="str">
        <f>IFERROR(__xludf.DUMMYFUNCTION("""COMPUTED_VALUE"""),"")</f>
        <v/>
      </c>
      <c r="U7672" s="16" t="s">
        <v>87</v>
      </c>
      <c r="V7672" s="16" t="str">
        <f>IFERROR(__xludf.DUMMYFUNCTION("""COMPUTED_VALUE"""),"")</f>
        <v/>
      </c>
      <c r="W7672" s="16" t="str">
        <f>IFERROR(__xludf.DUMMYFUNCTION("""COMPUTED_VALUE"""),"")</f>
        <v/>
      </c>
      <c r="X7672" s="16" t="str">
        <f>IFERROR(__xludf.DUMMYFUNCTION("""COMPUTED_VALUE"""),"")</f>
        <v/>
      </c>
      <c r="AC7672" s="16" t="str">
        <f>IFERROR(__xludf.DUMMYFUNCTION("""COMPUTED_VALUE"""),"")</f>
        <v/>
      </c>
    </row>
    <row r="7673">
      <c r="A7673" s="16" t="s">
        <v>87</v>
      </c>
      <c r="E7673" s="16" t="str">
        <f>IFERROR(__xludf.DUMMYFUNCTION("""COMPUTED_VALUE"""),"")</f>
        <v/>
      </c>
      <c r="G7673" s="18"/>
      <c r="H7673" s="16" t="s">
        <v>87</v>
      </c>
      <c r="I7673" s="16" t="s">
        <v>87</v>
      </c>
      <c r="J7673" s="19"/>
      <c r="L7673" s="16" t="str">
        <f>IFERROR(__xludf.DUMMYFUNCTION("""COMPUTED_VALUE"""),"")</f>
        <v/>
      </c>
      <c r="M7673" s="16" t="str">
        <f>IFERROR(__xludf.DUMMYFUNCTION("""COMPUTED_VALUE"""),"")</f>
        <v/>
      </c>
      <c r="U7673" s="16" t="s">
        <v>87</v>
      </c>
      <c r="V7673" s="16" t="str">
        <f>IFERROR(__xludf.DUMMYFUNCTION("""COMPUTED_VALUE"""),"")</f>
        <v/>
      </c>
      <c r="W7673" s="16" t="str">
        <f>IFERROR(__xludf.DUMMYFUNCTION("""COMPUTED_VALUE"""),"")</f>
        <v/>
      </c>
      <c r="X7673" s="16" t="str">
        <f>IFERROR(__xludf.DUMMYFUNCTION("""COMPUTED_VALUE"""),"")</f>
        <v/>
      </c>
      <c r="AC7673" s="16" t="str">
        <f>IFERROR(__xludf.DUMMYFUNCTION("""COMPUTED_VALUE"""),"")</f>
        <v/>
      </c>
    </row>
    <row r="7674">
      <c r="A7674" s="16" t="s">
        <v>87</v>
      </c>
      <c r="E7674" s="16" t="str">
        <f>IFERROR(__xludf.DUMMYFUNCTION("""COMPUTED_VALUE"""),"")</f>
        <v/>
      </c>
      <c r="G7674" s="18"/>
      <c r="H7674" s="16" t="s">
        <v>87</v>
      </c>
      <c r="I7674" s="16" t="s">
        <v>87</v>
      </c>
      <c r="J7674" s="19"/>
      <c r="L7674" s="16" t="str">
        <f>IFERROR(__xludf.DUMMYFUNCTION("""COMPUTED_VALUE"""),"")</f>
        <v/>
      </c>
      <c r="M7674" s="16" t="str">
        <f>IFERROR(__xludf.DUMMYFUNCTION("""COMPUTED_VALUE"""),"")</f>
        <v/>
      </c>
      <c r="U7674" s="16" t="s">
        <v>87</v>
      </c>
      <c r="V7674" s="16" t="str">
        <f>IFERROR(__xludf.DUMMYFUNCTION("""COMPUTED_VALUE"""),"")</f>
        <v/>
      </c>
      <c r="W7674" s="16" t="str">
        <f>IFERROR(__xludf.DUMMYFUNCTION("""COMPUTED_VALUE"""),"")</f>
        <v/>
      </c>
      <c r="X7674" s="16" t="str">
        <f>IFERROR(__xludf.DUMMYFUNCTION("""COMPUTED_VALUE"""),"")</f>
        <v/>
      </c>
      <c r="AC7674" s="16" t="str">
        <f>IFERROR(__xludf.DUMMYFUNCTION("""COMPUTED_VALUE"""),"")</f>
        <v/>
      </c>
    </row>
    <row r="7675">
      <c r="A7675" s="16" t="s">
        <v>87</v>
      </c>
      <c r="E7675" s="16" t="str">
        <f>IFERROR(__xludf.DUMMYFUNCTION("""COMPUTED_VALUE"""),"")</f>
        <v/>
      </c>
      <c r="G7675" s="18"/>
      <c r="H7675" s="16" t="s">
        <v>87</v>
      </c>
      <c r="I7675" s="16" t="s">
        <v>87</v>
      </c>
      <c r="J7675" s="19"/>
      <c r="L7675" s="16" t="str">
        <f>IFERROR(__xludf.DUMMYFUNCTION("""COMPUTED_VALUE"""),"")</f>
        <v/>
      </c>
      <c r="M7675" s="16" t="str">
        <f>IFERROR(__xludf.DUMMYFUNCTION("""COMPUTED_VALUE"""),"")</f>
        <v/>
      </c>
      <c r="U7675" s="16" t="s">
        <v>87</v>
      </c>
      <c r="V7675" s="16" t="str">
        <f>IFERROR(__xludf.DUMMYFUNCTION("""COMPUTED_VALUE"""),"")</f>
        <v/>
      </c>
      <c r="W7675" s="16" t="str">
        <f>IFERROR(__xludf.DUMMYFUNCTION("""COMPUTED_VALUE"""),"")</f>
        <v/>
      </c>
      <c r="X7675" s="16" t="str">
        <f>IFERROR(__xludf.DUMMYFUNCTION("""COMPUTED_VALUE"""),"")</f>
        <v/>
      </c>
      <c r="AC7675" s="16" t="str">
        <f>IFERROR(__xludf.DUMMYFUNCTION("""COMPUTED_VALUE"""),"")</f>
        <v/>
      </c>
    </row>
    <row r="7676">
      <c r="A7676" s="16" t="s">
        <v>87</v>
      </c>
      <c r="E7676" s="16" t="str">
        <f>IFERROR(__xludf.DUMMYFUNCTION("""COMPUTED_VALUE"""),"")</f>
        <v/>
      </c>
      <c r="G7676" s="18"/>
      <c r="H7676" s="16" t="s">
        <v>87</v>
      </c>
      <c r="I7676" s="16" t="s">
        <v>87</v>
      </c>
      <c r="J7676" s="19"/>
      <c r="L7676" s="16" t="str">
        <f>IFERROR(__xludf.DUMMYFUNCTION("""COMPUTED_VALUE"""),"")</f>
        <v/>
      </c>
      <c r="M7676" s="16" t="str">
        <f>IFERROR(__xludf.DUMMYFUNCTION("""COMPUTED_VALUE"""),"")</f>
        <v/>
      </c>
      <c r="U7676" s="16" t="s">
        <v>87</v>
      </c>
      <c r="V7676" s="16" t="str">
        <f>IFERROR(__xludf.DUMMYFUNCTION("""COMPUTED_VALUE"""),"")</f>
        <v/>
      </c>
      <c r="W7676" s="16" t="str">
        <f>IFERROR(__xludf.DUMMYFUNCTION("""COMPUTED_VALUE"""),"")</f>
        <v/>
      </c>
      <c r="X7676" s="16" t="str">
        <f>IFERROR(__xludf.DUMMYFUNCTION("""COMPUTED_VALUE"""),"")</f>
        <v/>
      </c>
      <c r="AC7676" s="16" t="str">
        <f>IFERROR(__xludf.DUMMYFUNCTION("""COMPUTED_VALUE"""),"")</f>
        <v/>
      </c>
    </row>
    <row r="7677">
      <c r="A7677" s="16" t="s">
        <v>87</v>
      </c>
      <c r="E7677" s="16" t="str">
        <f>IFERROR(__xludf.DUMMYFUNCTION("""COMPUTED_VALUE"""),"")</f>
        <v/>
      </c>
      <c r="G7677" s="18"/>
      <c r="H7677" s="16" t="s">
        <v>87</v>
      </c>
      <c r="I7677" s="16" t="s">
        <v>87</v>
      </c>
      <c r="J7677" s="19"/>
      <c r="L7677" s="16" t="str">
        <f>IFERROR(__xludf.DUMMYFUNCTION("""COMPUTED_VALUE"""),"")</f>
        <v/>
      </c>
      <c r="M7677" s="16" t="str">
        <f>IFERROR(__xludf.DUMMYFUNCTION("""COMPUTED_VALUE"""),"")</f>
        <v/>
      </c>
      <c r="U7677" s="16" t="s">
        <v>87</v>
      </c>
      <c r="V7677" s="16" t="str">
        <f>IFERROR(__xludf.DUMMYFUNCTION("""COMPUTED_VALUE"""),"")</f>
        <v/>
      </c>
      <c r="W7677" s="16" t="str">
        <f>IFERROR(__xludf.DUMMYFUNCTION("""COMPUTED_VALUE"""),"")</f>
        <v/>
      </c>
      <c r="X7677" s="16" t="str">
        <f>IFERROR(__xludf.DUMMYFUNCTION("""COMPUTED_VALUE"""),"")</f>
        <v/>
      </c>
      <c r="AC7677" s="16" t="str">
        <f>IFERROR(__xludf.DUMMYFUNCTION("""COMPUTED_VALUE"""),"")</f>
        <v/>
      </c>
    </row>
    <row r="7678">
      <c r="A7678" s="16" t="s">
        <v>87</v>
      </c>
      <c r="E7678" s="16" t="str">
        <f>IFERROR(__xludf.DUMMYFUNCTION("""COMPUTED_VALUE"""),"")</f>
        <v/>
      </c>
      <c r="G7678" s="18"/>
      <c r="H7678" s="16" t="s">
        <v>87</v>
      </c>
      <c r="I7678" s="16" t="s">
        <v>87</v>
      </c>
      <c r="J7678" s="19"/>
      <c r="L7678" s="16" t="str">
        <f>IFERROR(__xludf.DUMMYFUNCTION("""COMPUTED_VALUE"""),"")</f>
        <v/>
      </c>
      <c r="M7678" s="16" t="str">
        <f>IFERROR(__xludf.DUMMYFUNCTION("""COMPUTED_VALUE"""),"")</f>
        <v/>
      </c>
      <c r="U7678" s="16" t="s">
        <v>87</v>
      </c>
      <c r="V7678" s="16" t="str">
        <f>IFERROR(__xludf.DUMMYFUNCTION("""COMPUTED_VALUE"""),"")</f>
        <v/>
      </c>
      <c r="W7678" s="16" t="str">
        <f>IFERROR(__xludf.DUMMYFUNCTION("""COMPUTED_VALUE"""),"")</f>
        <v/>
      </c>
      <c r="X7678" s="16" t="str">
        <f>IFERROR(__xludf.DUMMYFUNCTION("""COMPUTED_VALUE"""),"")</f>
        <v/>
      </c>
      <c r="AC7678" s="16" t="str">
        <f>IFERROR(__xludf.DUMMYFUNCTION("""COMPUTED_VALUE"""),"")</f>
        <v/>
      </c>
    </row>
    <row r="7679">
      <c r="A7679" s="16" t="s">
        <v>87</v>
      </c>
      <c r="E7679" s="16" t="str">
        <f>IFERROR(__xludf.DUMMYFUNCTION("""COMPUTED_VALUE"""),"")</f>
        <v/>
      </c>
      <c r="G7679" s="18"/>
      <c r="H7679" s="16" t="s">
        <v>87</v>
      </c>
      <c r="I7679" s="16" t="s">
        <v>87</v>
      </c>
      <c r="J7679" s="19"/>
      <c r="L7679" s="16" t="str">
        <f>IFERROR(__xludf.DUMMYFUNCTION("""COMPUTED_VALUE"""),"")</f>
        <v/>
      </c>
      <c r="M7679" s="16" t="str">
        <f>IFERROR(__xludf.DUMMYFUNCTION("""COMPUTED_VALUE"""),"")</f>
        <v/>
      </c>
      <c r="U7679" s="16" t="s">
        <v>87</v>
      </c>
      <c r="V7679" s="16" t="str">
        <f>IFERROR(__xludf.DUMMYFUNCTION("""COMPUTED_VALUE"""),"")</f>
        <v/>
      </c>
      <c r="W7679" s="16" t="str">
        <f>IFERROR(__xludf.DUMMYFUNCTION("""COMPUTED_VALUE"""),"")</f>
        <v/>
      </c>
      <c r="X7679" s="16" t="str">
        <f>IFERROR(__xludf.DUMMYFUNCTION("""COMPUTED_VALUE"""),"")</f>
        <v/>
      </c>
      <c r="AC7679" s="16" t="str">
        <f>IFERROR(__xludf.DUMMYFUNCTION("""COMPUTED_VALUE"""),"")</f>
        <v/>
      </c>
    </row>
    <row r="7680">
      <c r="A7680" s="16" t="s">
        <v>87</v>
      </c>
      <c r="E7680" s="16" t="str">
        <f>IFERROR(__xludf.DUMMYFUNCTION("""COMPUTED_VALUE"""),"")</f>
        <v/>
      </c>
      <c r="G7680" s="18"/>
      <c r="H7680" s="16" t="s">
        <v>87</v>
      </c>
      <c r="I7680" s="16" t="s">
        <v>87</v>
      </c>
      <c r="J7680" s="19"/>
      <c r="L7680" s="16" t="str">
        <f>IFERROR(__xludf.DUMMYFUNCTION("""COMPUTED_VALUE"""),"")</f>
        <v/>
      </c>
      <c r="M7680" s="16" t="str">
        <f>IFERROR(__xludf.DUMMYFUNCTION("""COMPUTED_VALUE"""),"")</f>
        <v/>
      </c>
      <c r="U7680" s="16" t="s">
        <v>87</v>
      </c>
      <c r="V7680" s="16" t="str">
        <f>IFERROR(__xludf.DUMMYFUNCTION("""COMPUTED_VALUE"""),"")</f>
        <v/>
      </c>
      <c r="W7680" s="16" t="str">
        <f>IFERROR(__xludf.DUMMYFUNCTION("""COMPUTED_VALUE"""),"")</f>
        <v/>
      </c>
      <c r="X7680" s="16" t="str">
        <f>IFERROR(__xludf.DUMMYFUNCTION("""COMPUTED_VALUE"""),"")</f>
        <v/>
      </c>
      <c r="AC7680" s="16" t="str">
        <f>IFERROR(__xludf.DUMMYFUNCTION("""COMPUTED_VALUE"""),"")</f>
        <v/>
      </c>
    </row>
    <row r="7681">
      <c r="A7681" s="16" t="s">
        <v>87</v>
      </c>
      <c r="E7681" s="16" t="str">
        <f>IFERROR(__xludf.DUMMYFUNCTION("""COMPUTED_VALUE"""),"")</f>
        <v/>
      </c>
      <c r="G7681" s="18"/>
      <c r="H7681" s="16" t="s">
        <v>87</v>
      </c>
      <c r="I7681" s="16" t="s">
        <v>87</v>
      </c>
      <c r="J7681" s="19"/>
      <c r="L7681" s="16" t="str">
        <f>IFERROR(__xludf.DUMMYFUNCTION("""COMPUTED_VALUE"""),"")</f>
        <v/>
      </c>
      <c r="M7681" s="16" t="str">
        <f>IFERROR(__xludf.DUMMYFUNCTION("""COMPUTED_VALUE"""),"")</f>
        <v/>
      </c>
      <c r="U7681" s="16" t="s">
        <v>87</v>
      </c>
      <c r="V7681" s="16" t="str">
        <f>IFERROR(__xludf.DUMMYFUNCTION("""COMPUTED_VALUE"""),"")</f>
        <v/>
      </c>
      <c r="W7681" s="16" t="str">
        <f>IFERROR(__xludf.DUMMYFUNCTION("""COMPUTED_VALUE"""),"")</f>
        <v/>
      </c>
      <c r="X7681" s="16" t="str">
        <f>IFERROR(__xludf.DUMMYFUNCTION("""COMPUTED_VALUE"""),"")</f>
        <v/>
      </c>
      <c r="AC7681" s="16" t="str">
        <f>IFERROR(__xludf.DUMMYFUNCTION("""COMPUTED_VALUE"""),"")</f>
        <v/>
      </c>
    </row>
    <row r="7682">
      <c r="A7682" s="16" t="s">
        <v>87</v>
      </c>
      <c r="E7682" s="16" t="str">
        <f>IFERROR(__xludf.DUMMYFUNCTION("""COMPUTED_VALUE"""),"")</f>
        <v/>
      </c>
      <c r="G7682" s="18"/>
      <c r="H7682" s="16" t="s">
        <v>87</v>
      </c>
      <c r="I7682" s="16" t="s">
        <v>87</v>
      </c>
      <c r="J7682" s="19"/>
      <c r="L7682" s="16" t="str">
        <f>IFERROR(__xludf.DUMMYFUNCTION("""COMPUTED_VALUE"""),"")</f>
        <v/>
      </c>
      <c r="M7682" s="16" t="str">
        <f>IFERROR(__xludf.DUMMYFUNCTION("""COMPUTED_VALUE"""),"")</f>
        <v/>
      </c>
      <c r="U7682" s="16" t="s">
        <v>87</v>
      </c>
      <c r="V7682" s="16" t="str">
        <f>IFERROR(__xludf.DUMMYFUNCTION("""COMPUTED_VALUE"""),"")</f>
        <v/>
      </c>
      <c r="W7682" s="16" t="str">
        <f>IFERROR(__xludf.DUMMYFUNCTION("""COMPUTED_VALUE"""),"")</f>
        <v/>
      </c>
      <c r="X7682" s="16" t="str">
        <f>IFERROR(__xludf.DUMMYFUNCTION("""COMPUTED_VALUE"""),"")</f>
        <v/>
      </c>
      <c r="AC7682" s="16" t="str">
        <f>IFERROR(__xludf.DUMMYFUNCTION("""COMPUTED_VALUE"""),"")</f>
        <v/>
      </c>
    </row>
    <row r="7683">
      <c r="A7683" s="16" t="s">
        <v>87</v>
      </c>
      <c r="E7683" s="16" t="str">
        <f>IFERROR(__xludf.DUMMYFUNCTION("""COMPUTED_VALUE"""),"")</f>
        <v/>
      </c>
      <c r="G7683" s="18"/>
      <c r="H7683" s="16" t="s">
        <v>87</v>
      </c>
      <c r="I7683" s="16" t="s">
        <v>87</v>
      </c>
      <c r="J7683" s="19"/>
      <c r="L7683" s="16" t="str">
        <f>IFERROR(__xludf.DUMMYFUNCTION("""COMPUTED_VALUE"""),"")</f>
        <v/>
      </c>
      <c r="M7683" s="16" t="str">
        <f>IFERROR(__xludf.DUMMYFUNCTION("""COMPUTED_VALUE"""),"")</f>
        <v/>
      </c>
      <c r="U7683" s="16" t="s">
        <v>87</v>
      </c>
      <c r="V7683" s="16" t="str">
        <f>IFERROR(__xludf.DUMMYFUNCTION("""COMPUTED_VALUE"""),"")</f>
        <v/>
      </c>
      <c r="W7683" s="16" t="str">
        <f>IFERROR(__xludf.DUMMYFUNCTION("""COMPUTED_VALUE"""),"")</f>
        <v/>
      </c>
      <c r="X7683" s="16" t="str">
        <f>IFERROR(__xludf.DUMMYFUNCTION("""COMPUTED_VALUE"""),"")</f>
        <v/>
      </c>
      <c r="AC7683" s="16" t="str">
        <f>IFERROR(__xludf.DUMMYFUNCTION("""COMPUTED_VALUE"""),"")</f>
        <v/>
      </c>
    </row>
    <row r="7684">
      <c r="A7684" s="16" t="s">
        <v>87</v>
      </c>
      <c r="E7684" s="16" t="str">
        <f>IFERROR(__xludf.DUMMYFUNCTION("""COMPUTED_VALUE"""),"")</f>
        <v/>
      </c>
      <c r="G7684" s="18"/>
      <c r="H7684" s="16" t="s">
        <v>87</v>
      </c>
      <c r="I7684" s="16" t="s">
        <v>87</v>
      </c>
      <c r="J7684" s="19"/>
      <c r="L7684" s="16" t="str">
        <f>IFERROR(__xludf.DUMMYFUNCTION("""COMPUTED_VALUE"""),"")</f>
        <v/>
      </c>
      <c r="M7684" s="16" t="str">
        <f>IFERROR(__xludf.DUMMYFUNCTION("""COMPUTED_VALUE"""),"")</f>
        <v/>
      </c>
      <c r="U7684" s="16" t="s">
        <v>87</v>
      </c>
      <c r="V7684" s="16" t="str">
        <f>IFERROR(__xludf.DUMMYFUNCTION("""COMPUTED_VALUE"""),"")</f>
        <v/>
      </c>
      <c r="W7684" s="16" t="str">
        <f>IFERROR(__xludf.DUMMYFUNCTION("""COMPUTED_VALUE"""),"")</f>
        <v/>
      </c>
      <c r="X7684" s="16" t="str">
        <f>IFERROR(__xludf.DUMMYFUNCTION("""COMPUTED_VALUE"""),"")</f>
        <v/>
      </c>
      <c r="AC7684" s="16" t="str">
        <f>IFERROR(__xludf.DUMMYFUNCTION("""COMPUTED_VALUE"""),"")</f>
        <v/>
      </c>
    </row>
    <row r="7685">
      <c r="A7685" s="16" t="s">
        <v>87</v>
      </c>
      <c r="E7685" s="16" t="str">
        <f>IFERROR(__xludf.DUMMYFUNCTION("""COMPUTED_VALUE"""),"")</f>
        <v/>
      </c>
      <c r="G7685" s="18"/>
      <c r="H7685" s="16" t="s">
        <v>87</v>
      </c>
      <c r="I7685" s="16" t="s">
        <v>87</v>
      </c>
      <c r="J7685" s="19"/>
      <c r="L7685" s="16" t="str">
        <f>IFERROR(__xludf.DUMMYFUNCTION("""COMPUTED_VALUE"""),"")</f>
        <v/>
      </c>
      <c r="M7685" s="16" t="str">
        <f>IFERROR(__xludf.DUMMYFUNCTION("""COMPUTED_VALUE"""),"")</f>
        <v/>
      </c>
      <c r="U7685" s="16" t="s">
        <v>87</v>
      </c>
      <c r="V7685" s="16" t="str">
        <f>IFERROR(__xludf.DUMMYFUNCTION("""COMPUTED_VALUE"""),"")</f>
        <v/>
      </c>
      <c r="W7685" s="16" t="str">
        <f>IFERROR(__xludf.DUMMYFUNCTION("""COMPUTED_VALUE"""),"")</f>
        <v/>
      </c>
      <c r="X7685" s="16" t="str">
        <f>IFERROR(__xludf.DUMMYFUNCTION("""COMPUTED_VALUE"""),"")</f>
        <v/>
      </c>
      <c r="AC7685" s="16" t="str">
        <f>IFERROR(__xludf.DUMMYFUNCTION("""COMPUTED_VALUE"""),"")</f>
        <v/>
      </c>
    </row>
    <row r="7686">
      <c r="A7686" s="16" t="s">
        <v>87</v>
      </c>
      <c r="E7686" s="16" t="str">
        <f>IFERROR(__xludf.DUMMYFUNCTION("""COMPUTED_VALUE"""),"")</f>
        <v/>
      </c>
      <c r="G7686" s="18"/>
      <c r="H7686" s="16" t="s">
        <v>87</v>
      </c>
      <c r="I7686" s="16" t="s">
        <v>87</v>
      </c>
      <c r="J7686" s="19"/>
      <c r="L7686" s="16" t="str">
        <f>IFERROR(__xludf.DUMMYFUNCTION("""COMPUTED_VALUE"""),"")</f>
        <v/>
      </c>
      <c r="M7686" s="16" t="str">
        <f>IFERROR(__xludf.DUMMYFUNCTION("""COMPUTED_VALUE"""),"")</f>
        <v/>
      </c>
      <c r="U7686" s="16" t="s">
        <v>87</v>
      </c>
      <c r="V7686" s="16" t="str">
        <f>IFERROR(__xludf.DUMMYFUNCTION("""COMPUTED_VALUE"""),"")</f>
        <v/>
      </c>
      <c r="W7686" s="16" t="str">
        <f>IFERROR(__xludf.DUMMYFUNCTION("""COMPUTED_VALUE"""),"")</f>
        <v/>
      </c>
      <c r="X7686" s="16" t="str">
        <f>IFERROR(__xludf.DUMMYFUNCTION("""COMPUTED_VALUE"""),"")</f>
        <v/>
      </c>
      <c r="AC7686" s="16" t="str">
        <f>IFERROR(__xludf.DUMMYFUNCTION("""COMPUTED_VALUE"""),"")</f>
        <v/>
      </c>
    </row>
    <row r="7687">
      <c r="A7687" s="16" t="s">
        <v>87</v>
      </c>
      <c r="E7687" s="16" t="str">
        <f>IFERROR(__xludf.DUMMYFUNCTION("""COMPUTED_VALUE"""),"")</f>
        <v/>
      </c>
      <c r="G7687" s="18"/>
      <c r="H7687" s="16" t="s">
        <v>87</v>
      </c>
      <c r="I7687" s="16" t="s">
        <v>87</v>
      </c>
      <c r="J7687" s="19"/>
      <c r="L7687" s="16" t="str">
        <f>IFERROR(__xludf.DUMMYFUNCTION("""COMPUTED_VALUE"""),"")</f>
        <v/>
      </c>
      <c r="M7687" s="16" t="str">
        <f>IFERROR(__xludf.DUMMYFUNCTION("""COMPUTED_VALUE"""),"")</f>
        <v/>
      </c>
      <c r="U7687" s="16" t="s">
        <v>87</v>
      </c>
      <c r="V7687" s="16" t="str">
        <f>IFERROR(__xludf.DUMMYFUNCTION("""COMPUTED_VALUE"""),"")</f>
        <v/>
      </c>
      <c r="W7687" s="16" t="str">
        <f>IFERROR(__xludf.DUMMYFUNCTION("""COMPUTED_VALUE"""),"")</f>
        <v/>
      </c>
      <c r="X7687" s="16" t="str">
        <f>IFERROR(__xludf.DUMMYFUNCTION("""COMPUTED_VALUE"""),"")</f>
        <v/>
      </c>
      <c r="AC7687" s="16" t="str">
        <f>IFERROR(__xludf.DUMMYFUNCTION("""COMPUTED_VALUE"""),"")</f>
        <v/>
      </c>
    </row>
    <row r="7688">
      <c r="A7688" s="16" t="s">
        <v>87</v>
      </c>
      <c r="E7688" s="16" t="str">
        <f>IFERROR(__xludf.DUMMYFUNCTION("""COMPUTED_VALUE"""),"")</f>
        <v/>
      </c>
      <c r="G7688" s="18"/>
      <c r="H7688" s="16" t="s">
        <v>87</v>
      </c>
      <c r="I7688" s="16" t="s">
        <v>87</v>
      </c>
      <c r="J7688" s="19"/>
      <c r="L7688" s="16" t="str">
        <f>IFERROR(__xludf.DUMMYFUNCTION("""COMPUTED_VALUE"""),"")</f>
        <v/>
      </c>
      <c r="M7688" s="16" t="str">
        <f>IFERROR(__xludf.DUMMYFUNCTION("""COMPUTED_VALUE"""),"")</f>
        <v/>
      </c>
      <c r="U7688" s="16" t="s">
        <v>87</v>
      </c>
      <c r="V7688" s="16" t="str">
        <f>IFERROR(__xludf.DUMMYFUNCTION("""COMPUTED_VALUE"""),"")</f>
        <v/>
      </c>
      <c r="W7688" s="16" t="str">
        <f>IFERROR(__xludf.DUMMYFUNCTION("""COMPUTED_VALUE"""),"")</f>
        <v/>
      </c>
      <c r="X7688" s="16" t="str">
        <f>IFERROR(__xludf.DUMMYFUNCTION("""COMPUTED_VALUE"""),"")</f>
        <v/>
      </c>
      <c r="AC7688" s="16" t="str">
        <f>IFERROR(__xludf.DUMMYFUNCTION("""COMPUTED_VALUE"""),"")</f>
        <v/>
      </c>
    </row>
    <row r="7689">
      <c r="A7689" s="16" t="s">
        <v>87</v>
      </c>
      <c r="E7689" s="16" t="str">
        <f>IFERROR(__xludf.DUMMYFUNCTION("""COMPUTED_VALUE"""),"")</f>
        <v/>
      </c>
      <c r="G7689" s="18"/>
      <c r="H7689" s="16" t="s">
        <v>87</v>
      </c>
      <c r="I7689" s="16" t="s">
        <v>87</v>
      </c>
      <c r="J7689" s="19"/>
      <c r="L7689" s="16" t="str">
        <f>IFERROR(__xludf.DUMMYFUNCTION("""COMPUTED_VALUE"""),"")</f>
        <v/>
      </c>
      <c r="M7689" s="16" t="str">
        <f>IFERROR(__xludf.DUMMYFUNCTION("""COMPUTED_VALUE"""),"")</f>
        <v/>
      </c>
      <c r="U7689" s="16" t="s">
        <v>87</v>
      </c>
      <c r="V7689" s="16" t="str">
        <f>IFERROR(__xludf.DUMMYFUNCTION("""COMPUTED_VALUE"""),"")</f>
        <v/>
      </c>
      <c r="W7689" s="16" t="str">
        <f>IFERROR(__xludf.DUMMYFUNCTION("""COMPUTED_VALUE"""),"")</f>
        <v/>
      </c>
      <c r="X7689" s="16" t="str">
        <f>IFERROR(__xludf.DUMMYFUNCTION("""COMPUTED_VALUE"""),"")</f>
        <v/>
      </c>
      <c r="AC7689" s="16" t="str">
        <f>IFERROR(__xludf.DUMMYFUNCTION("""COMPUTED_VALUE"""),"")</f>
        <v/>
      </c>
    </row>
    <row r="7690">
      <c r="A7690" s="16" t="s">
        <v>87</v>
      </c>
      <c r="E7690" s="16" t="str">
        <f>IFERROR(__xludf.DUMMYFUNCTION("""COMPUTED_VALUE"""),"")</f>
        <v/>
      </c>
      <c r="G7690" s="18"/>
      <c r="H7690" s="16" t="s">
        <v>87</v>
      </c>
      <c r="I7690" s="16" t="s">
        <v>87</v>
      </c>
      <c r="J7690" s="19"/>
      <c r="L7690" s="16" t="str">
        <f>IFERROR(__xludf.DUMMYFUNCTION("""COMPUTED_VALUE"""),"")</f>
        <v/>
      </c>
      <c r="M7690" s="16" t="str">
        <f>IFERROR(__xludf.DUMMYFUNCTION("""COMPUTED_VALUE"""),"")</f>
        <v/>
      </c>
      <c r="U7690" s="16" t="s">
        <v>87</v>
      </c>
      <c r="V7690" s="16" t="str">
        <f>IFERROR(__xludf.DUMMYFUNCTION("""COMPUTED_VALUE"""),"")</f>
        <v/>
      </c>
      <c r="W7690" s="16" t="str">
        <f>IFERROR(__xludf.DUMMYFUNCTION("""COMPUTED_VALUE"""),"")</f>
        <v/>
      </c>
      <c r="X7690" s="16" t="str">
        <f>IFERROR(__xludf.DUMMYFUNCTION("""COMPUTED_VALUE"""),"")</f>
        <v/>
      </c>
      <c r="AC7690" s="16" t="str">
        <f>IFERROR(__xludf.DUMMYFUNCTION("""COMPUTED_VALUE"""),"")</f>
        <v/>
      </c>
    </row>
    <row r="7691">
      <c r="A7691" s="16" t="s">
        <v>87</v>
      </c>
      <c r="E7691" s="16" t="str">
        <f>IFERROR(__xludf.DUMMYFUNCTION("""COMPUTED_VALUE"""),"")</f>
        <v/>
      </c>
      <c r="G7691" s="18"/>
      <c r="H7691" s="16" t="s">
        <v>87</v>
      </c>
      <c r="I7691" s="16" t="s">
        <v>87</v>
      </c>
      <c r="J7691" s="19"/>
      <c r="L7691" s="16" t="str">
        <f>IFERROR(__xludf.DUMMYFUNCTION("""COMPUTED_VALUE"""),"")</f>
        <v/>
      </c>
      <c r="M7691" s="16" t="str">
        <f>IFERROR(__xludf.DUMMYFUNCTION("""COMPUTED_VALUE"""),"")</f>
        <v/>
      </c>
      <c r="U7691" s="16" t="s">
        <v>87</v>
      </c>
      <c r="V7691" s="16" t="str">
        <f>IFERROR(__xludf.DUMMYFUNCTION("""COMPUTED_VALUE"""),"")</f>
        <v/>
      </c>
      <c r="W7691" s="16" t="str">
        <f>IFERROR(__xludf.DUMMYFUNCTION("""COMPUTED_VALUE"""),"")</f>
        <v/>
      </c>
      <c r="X7691" s="16" t="str">
        <f>IFERROR(__xludf.DUMMYFUNCTION("""COMPUTED_VALUE"""),"")</f>
        <v/>
      </c>
      <c r="AC7691" s="16" t="str">
        <f>IFERROR(__xludf.DUMMYFUNCTION("""COMPUTED_VALUE"""),"")</f>
        <v/>
      </c>
    </row>
    <row r="7692">
      <c r="A7692" s="16" t="s">
        <v>87</v>
      </c>
      <c r="E7692" s="16" t="str">
        <f>IFERROR(__xludf.DUMMYFUNCTION("""COMPUTED_VALUE"""),"")</f>
        <v/>
      </c>
      <c r="G7692" s="18"/>
      <c r="H7692" s="16" t="s">
        <v>87</v>
      </c>
      <c r="I7692" s="16" t="s">
        <v>87</v>
      </c>
      <c r="J7692" s="19"/>
      <c r="L7692" s="16" t="str">
        <f>IFERROR(__xludf.DUMMYFUNCTION("""COMPUTED_VALUE"""),"")</f>
        <v/>
      </c>
      <c r="M7692" s="16" t="str">
        <f>IFERROR(__xludf.DUMMYFUNCTION("""COMPUTED_VALUE"""),"")</f>
        <v/>
      </c>
      <c r="U7692" s="16" t="s">
        <v>87</v>
      </c>
      <c r="V7692" s="16" t="str">
        <f>IFERROR(__xludf.DUMMYFUNCTION("""COMPUTED_VALUE"""),"")</f>
        <v/>
      </c>
      <c r="W7692" s="16" t="str">
        <f>IFERROR(__xludf.DUMMYFUNCTION("""COMPUTED_VALUE"""),"")</f>
        <v/>
      </c>
      <c r="X7692" s="16" t="str">
        <f>IFERROR(__xludf.DUMMYFUNCTION("""COMPUTED_VALUE"""),"")</f>
        <v/>
      </c>
      <c r="AC7692" s="16" t="str">
        <f>IFERROR(__xludf.DUMMYFUNCTION("""COMPUTED_VALUE"""),"")</f>
        <v/>
      </c>
    </row>
    <row r="7693">
      <c r="A7693" s="16" t="s">
        <v>87</v>
      </c>
      <c r="E7693" s="16" t="str">
        <f>IFERROR(__xludf.DUMMYFUNCTION("""COMPUTED_VALUE"""),"")</f>
        <v/>
      </c>
      <c r="G7693" s="18"/>
      <c r="H7693" s="16" t="s">
        <v>87</v>
      </c>
      <c r="I7693" s="16" t="s">
        <v>87</v>
      </c>
      <c r="J7693" s="19"/>
      <c r="L7693" s="16" t="str">
        <f>IFERROR(__xludf.DUMMYFUNCTION("""COMPUTED_VALUE"""),"")</f>
        <v/>
      </c>
      <c r="M7693" s="16" t="str">
        <f>IFERROR(__xludf.DUMMYFUNCTION("""COMPUTED_VALUE"""),"")</f>
        <v/>
      </c>
      <c r="U7693" s="16" t="s">
        <v>87</v>
      </c>
      <c r="V7693" s="16" t="str">
        <f>IFERROR(__xludf.DUMMYFUNCTION("""COMPUTED_VALUE"""),"")</f>
        <v/>
      </c>
      <c r="W7693" s="16" t="str">
        <f>IFERROR(__xludf.DUMMYFUNCTION("""COMPUTED_VALUE"""),"")</f>
        <v/>
      </c>
      <c r="X7693" s="16" t="str">
        <f>IFERROR(__xludf.DUMMYFUNCTION("""COMPUTED_VALUE"""),"")</f>
        <v/>
      </c>
      <c r="AC7693" s="16" t="str">
        <f>IFERROR(__xludf.DUMMYFUNCTION("""COMPUTED_VALUE"""),"")</f>
        <v/>
      </c>
    </row>
    <row r="7694">
      <c r="A7694" s="16" t="s">
        <v>87</v>
      </c>
      <c r="E7694" s="16" t="str">
        <f>IFERROR(__xludf.DUMMYFUNCTION("""COMPUTED_VALUE"""),"")</f>
        <v/>
      </c>
      <c r="G7694" s="18"/>
      <c r="H7694" s="16" t="s">
        <v>87</v>
      </c>
      <c r="I7694" s="16" t="s">
        <v>87</v>
      </c>
      <c r="J7694" s="19"/>
      <c r="L7694" s="16" t="str">
        <f>IFERROR(__xludf.DUMMYFUNCTION("""COMPUTED_VALUE"""),"")</f>
        <v/>
      </c>
      <c r="M7694" s="16" t="str">
        <f>IFERROR(__xludf.DUMMYFUNCTION("""COMPUTED_VALUE"""),"")</f>
        <v/>
      </c>
      <c r="U7694" s="16" t="s">
        <v>87</v>
      </c>
      <c r="V7694" s="16" t="str">
        <f>IFERROR(__xludf.DUMMYFUNCTION("""COMPUTED_VALUE"""),"")</f>
        <v/>
      </c>
      <c r="W7694" s="16" t="str">
        <f>IFERROR(__xludf.DUMMYFUNCTION("""COMPUTED_VALUE"""),"")</f>
        <v/>
      </c>
      <c r="X7694" s="16" t="str">
        <f>IFERROR(__xludf.DUMMYFUNCTION("""COMPUTED_VALUE"""),"")</f>
        <v/>
      </c>
      <c r="AC7694" s="16" t="str">
        <f>IFERROR(__xludf.DUMMYFUNCTION("""COMPUTED_VALUE"""),"")</f>
        <v/>
      </c>
    </row>
    <row r="7695">
      <c r="A7695" s="16" t="s">
        <v>87</v>
      </c>
      <c r="E7695" s="16" t="str">
        <f>IFERROR(__xludf.DUMMYFUNCTION("""COMPUTED_VALUE"""),"")</f>
        <v/>
      </c>
      <c r="G7695" s="18"/>
      <c r="H7695" s="16" t="s">
        <v>87</v>
      </c>
      <c r="I7695" s="16" t="s">
        <v>87</v>
      </c>
      <c r="J7695" s="19"/>
      <c r="L7695" s="16" t="str">
        <f>IFERROR(__xludf.DUMMYFUNCTION("""COMPUTED_VALUE"""),"")</f>
        <v/>
      </c>
      <c r="M7695" s="16" t="str">
        <f>IFERROR(__xludf.DUMMYFUNCTION("""COMPUTED_VALUE"""),"")</f>
        <v/>
      </c>
      <c r="U7695" s="16" t="s">
        <v>87</v>
      </c>
      <c r="V7695" s="16" t="str">
        <f>IFERROR(__xludf.DUMMYFUNCTION("""COMPUTED_VALUE"""),"")</f>
        <v/>
      </c>
      <c r="W7695" s="16" t="str">
        <f>IFERROR(__xludf.DUMMYFUNCTION("""COMPUTED_VALUE"""),"")</f>
        <v/>
      </c>
      <c r="X7695" s="16" t="str">
        <f>IFERROR(__xludf.DUMMYFUNCTION("""COMPUTED_VALUE"""),"")</f>
        <v/>
      </c>
      <c r="AC7695" s="16" t="str">
        <f>IFERROR(__xludf.DUMMYFUNCTION("""COMPUTED_VALUE"""),"")</f>
        <v/>
      </c>
    </row>
    <row r="7696">
      <c r="A7696" s="16" t="s">
        <v>87</v>
      </c>
      <c r="E7696" s="16" t="str">
        <f>IFERROR(__xludf.DUMMYFUNCTION("""COMPUTED_VALUE"""),"")</f>
        <v/>
      </c>
      <c r="G7696" s="18"/>
      <c r="H7696" s="16" t="s">
        <v>87</v>
      </c>
      <c r="I7696" s="16" t="s">
        <v>87</v>
      </c>
      <c r="J7696" s="19"/>
      <c r="L7696" s="16" t="str">
        <f>IFERROR(__xludf.DUMMYFUNCTION("""COMPUTED_VALUE"""),"")</f>
        <v/>
      </c>
      <c r="M7696" s="16" t="str">
        <f>IFERROR(__xludf.DUMMYFUNCTION("""COMPUTED_VALUE"""),"")</f>
        <v/>
      </c>
      <c r="U7696" s="16" t="s">
        <v>87</v>
      </c>
      <c r="V7696" s="16" t="str">
        <f>IFERROR(__xludf.DUMMYFUNCTION("""COMPUTED_VALUE"""),"")</f>
        <v/>
      </c>
      <c r="W7696" s="16" t="str">
        <f>IFERROR(__xludf.DUMMYFUNCTION("""COMPUTED_VALUE"""),"")</f>
        <v/>
      </c>
      <c r="X7696" s="16" t="str">
        <f>IFERROR(__xludf.DUMMYFUNCTION("""COMPUTED_VALUE"""),"")</f>
        <v/>
      </c>
      <c r="AC7696" s="16" t="str">
        <f>IFERROR(__xludf.DUMMYFUNCTION("""COMPUTED_VALUE"""),"")</f>
        <v/>
      </c>
    </row>
    <row r="7697">
      <c r="A7697" s="16" t="s">
        <v>87</v>
      </c>
      <c r="E7697" s="16" t="str">
        <f>IFERROR(__xludf.DUMMYFUNCTION("""COMPUTED_VALUE"""),"")</f>
        <v/>
      </c>
      <c r="G7697" s="18"/>
      <c r="H7697" s="16" t="s">
        <v>87</v>
      </c>
      <c r="I7697" s="16" t="s">
        <v>87</v>
      </c>
      <c r="J7697" s="19"/>
      <c r="L7697" s="16" t="str">
        <f>IFERROR(__xludf.DUMMYFUNCTION("""COMPUTED_VALUE"""),"")</f>
        <v/>
      </c>
      <c r="M7697" s="16" t="str">
        <f>IFERROR(__xludf.DUMMYFUNCTION("""COMPUTED_VALUE"""),"")</f>
        <v/>
      </c>
      <c r="U7697" s="16" t="s">
        <v>87</v>
      </c>
      <c r="V7697" s="16" t="str">
        <f>IFERROR(__xludf.DUMMYFUNCTION("""COMPUTED_VALUE"""),"")</f>
        <v/>
      </c>
      <c r="W7697" s="16" t="str">
        <f>IFERROR(__xludf.DUMMYFUNCTION("""COMPUTED_VALUE"""),"")</f>
        <v/>
      </c>
      <c r="X7697" s="16" t="str">
        <f>IFERROR(__xludf.DUMMYFUNCTION("""COMPUTED_VALUE"""),"")</f>
        <v/>
      </c>
      <c r="AC7697" s="16" t="str">
        <f>IFERROR(__xludf.DUMMYFUNCTION("""COMPUTED_VALUE"""),"")</f>
        <v/>
      </c>
    </row>
    <row r="7698">
      <c r="A7698" s="16" t="s">
        <v>87</v>
      </c>
      <c r="E7698" s="16" t="str">
        <f>IFERROR(__xludf.DUMMYFUNCTION("""COMPUTED_VALUE"""),"")</f>
        <v/>
      </c>
      <c r="G7698" s="18"/>
      <c r="H7698" s="16" t="s">
        <v>87</v>
      </c>
      <c r="I7698" s="16" t="s">
        <v>87</v>
      </c>
      <c r="J7698" s="19"/>
      <c r="L7698" s="16" t="str">
        <f>IFERROR(__xludf.DUMMYFUNCTION("""COMPUTED_VALUE"""),"")</f>
        <v/>
      </c>
      <c r="M7698" s="16" t="str">
        <f>IFERROR(__xludf.DUMMYFUNCTION("""COMPUTED_VALUE"""),"")</f>
        <v/>
      </c>
      <c r="U7698" s="16" t="s">
        <v>87</v>
      </c>
      <c r="V7698" s="16" t="str">
        <f>IFERROR(__xludf.DUMMYFUNCTION("""COMPUTED_VALUE"""),"")</f>
        <v/>
      </c>
      <c r="W7698" s="16" t="str">
        <f>IFERROR(__xludf.DUMMYFUNCTION("""COMPUTED_VALUE"""),"")</f>
        <v/>
      </c>
      <c r="X7698" s="16" t="str">
        <f>IFERROR(__xludf.DUMMYFUNCTION("""COMPUTED_VALUE"""),"")</f>
        <v/>
      </c>
      <c r="AC7698" s="16" t="str">
        <f>IFERROR(__xludf.DUMMYFUNCTION("""COMPUTED_VALUE"""),"")</f>
        <v/>
      </c>
    </row>
    <row r="7699">
      <c r="A7699" s="16" t="s">
        <v>87</v>
      </c>
      <c r="E7699" s="16" t="str">
        <f>IFERROR(__xludf.DUMMYFUNCTION("""COMPUTED_VALUE"""),"")</f>
        <v/>
      </c>
      <c r="G7699" s="18"/>
      <c r="H7699" s="16" t="s">
        <v>87</v>
      </c>
      <c r="I7699" s="16" t="s">
        <v>87</v>
      </c>
      <c r="J7699" s="19"/>
      <c r="L7699" s="16" t="str">
        <f>IFERROR(__xludf.DUMMYFUNCTION("""COMPUTED_VALUE"""),"")</f>
        <v/>
      </c>
      <c r="M7699" s="16" t="str">
        <f>IFERROR(__xludf.DUMMYFUNCTION("""COMPUTED_VALUE"""),"")</f>
        <v/>
      </c>
      <c r="U7699" s="16" t="s">
        <v>87</v>
      </c>
      <c r="V7699" s="16" t="str">
        <f>IFERROR(__xludf.DUMMYFUNCTION("""COMPUTED_VALUE"""),"")</f>
        <v/>
      </c>
      <c r="W7699" s="16" t="str">
        <f>IFERROR(__xludf.DUMMYFUNCTION("""COMPUTED_VALUE"""),"")</f>
        <v/>
      </c>
      <c r="X7699" s="16" t="str">
        <f>IFERROR(__xludf.DUMMYFUNCTION("""COMPUTED_VALUE"""),"")</f>
        <v/>
      </c>
      <c r="AC7699" s="16" t="str">
        <f>IFERROR(__xludf.DUMMYFUNCTION("""COMPUTED_VALUE"""),"")</f>
        <v/>
      </c>
    </row>
    <row r="7700">
      <c r="A7700" s="16" t="s">
        <v>87</v>
      </c>
      <c r="E7700" s="16" t="str">
        <f>IFERROR(__xludf.DUMMYFUNCTION("""COMPUTED_VALUE"""),"")</f>
        <v/>
      </c>
      <c r="G7700" s="18"/>
      <c r="H7700" s="16" t="s">
        <v>87</v>
      </c>
      <c r="I7700" s="16" t="s">
        <v>87</v>
      </c>
      <c r="J7700" s="19"/>
      <c r="L7700" s="16" t="str">
        <f>IFERROR(__xludf.DUMMYFUNCTION("""COMPUTED_VALUE"""),"")</f>
        <v/>
      </c>
      <c r="M7700" s="16" t="str">
        <f>IFERROR(__xludf.DUMMYFUNCTION("""COMPUTED_VALUE"""),"")</f>
        <v/>
      </c>
      <c r="U7700" s="16" t="s">
        <v>87</v>
      </c>
      <c r="V7700" s="16" t="str">
        <f>IFERROR(__xludf.DUMMYFUNCTION("""COMPUTED_VALUE"""),"")</f>
        <v/>
      </c>
      <c r="W7700" s="16" t="str">
        <f>IFERROR(__xludf.DUMMYFUNCTION("""COMPUTED_VALUE"""),"")</f>
        <v/>
      </c>
      <c r="X7700" s="16" t="str">
        <f>IFERROR(__xludf.DUMMYFUNCTION("""COMPUTED_VALUE"""),"")</f>
        <v/>
      </c>
      <c r="AC7700" s="16" t="str">
        <f>IFERROR(__xludf.DUMMYFUNCTION("""COMPUTED_VALUE"""),"")</f>
        <v/>
      </c>
    </row>
    <row r="7701">
      <c r="A7701" s="16" t="s">
        <v>87</v>
      </c>
      <c r="E7701" s="16" t="str">
        <f>IFERROR(__xludf.DUMMYFUNCTION("""COMPUTED_VALUE"""),"")</f>
        <v/>
      </c>
      <c r="G7701" s="18"/>
      <c r="H7701" s="16" t="s">
        <v>87</v>
      </c>
      <c r="I7701" s="16" t="s">
        <v>87</v>
      </c>
      <c r="J7701" s="19"/>
      <c r="L7701" s="16" t="str">
        <f>IFERROR(__xludf.DUMMYFUNCTION("""COMPUTED_VALUE"""),"")</f>
        <v/>
      </c>
      <c r="M7701" s="16" t="str">
        <f>IFERROR(__xludf.DUMMYFUNCTION("""COMPUTED_VALUE"""),"")</f>
        <v/>
      </c>
      <c r="U7701" s="16" t="s">
        <v>87</v>
      </c>
      <c r="V7701" s="16" t="str">
        <f>IFERROR(__xludf.DUMMYFUNCTION("""COMPUTED_VALUE"""),"")</f>
        <v/>
      </c>
      <c r="W7701" s="16" t="str">
        <f>IFERROR(__xludf.DUMMYFUNCTION("""COMPUTED_VALUE"""),"")</f>
        <v/>
      </c>
      <c r="X7701" s="16" t="str">
        <f>IFERROR(__xludf.DUMMYFUNCTION("""COMPUTED_VALUE"""),"")</f>
        <v/>
      </c>
      <c r="AC7701" s="16" t="str">
        <f>IFERROR(__xludf.DUMMYFUNCTION("""COMPUTED_VALUE"""),"")</f>
        <v/>
      </c>
    </row>
    <row r="7702">
      <c r="A7702" s="16" t="s">
        <v>87</v>
      </c>
      <c r="E7702" s="16" t="str">
        <f>IFERROR(__xludf.DUMMYFUNCTION("""COMPUTED_VALUE"""),"")</f>
        <v/>
      </c>
      <c r="G7702" s="18"/>
      <c r="H7702" s="16" t="s">
        <v>87</v>
      </c>
      <c r="I7702" s="16" t="s">
        <v>87</v>
      </c>
      <c r="J7702" s="19"/>
      <c r="L7702" s="16" t="str">
        <f>IFERROR(__xludf.DUMMYFUNCTION("""COMPUTED_VALUE"""),"")</f>
        <v/>
      </c>
      <c r="M7702" s="16" t="str">
        <f>IFERROR(__xludf.DUMMYFUNCTION("""COMPUTED_VALUE"""),"")</f>
        <v/>
      </c>
      <c r="U7702" s="16" t="s">
        <v>87</v>
      </c>
      <c r="V7702" s="16" t="str">
        <f>IFERROR(__xludf.DUMMYFUNCTION("""COMPUTED_VALUE"""),"")</f>
        <v/>
      </c>
      <c r="W7702" s="16" t="str">
        <f>IFERROR(__xludf.DUMMYFUNCTION("""COMPUTED_VALUE"""),"")</f>
        <v/>
      </c>
      <c r="X7702" s="16" t="str">
        <f>IFERROR(__xludf.DUMMYFUNCTION("""COMPUTED_VALUE"""),"")</f>
        <v/>
      </c>
      <c r="AC7702" s="16" t="str">
        <f>IFERROR(__xludf.DUMMYFUNCTION("""COMPUTED_VALUE"""),"")</f>
        <v/>
      </c>
    </row>
    <row r="7703">
      <c r="A7703" s="16" t="s">
        <v>87</v>
      </c>
      <c r="E7703" s="16" t="str">
        <f>IFERROR(__xludf.DUMMYFUNCTION("""COMPUTED_VALUE"""),"")</f>
        <v/>
      </c>
      <c r="G7703" s="18"/>
      <c r="H7703" s="16" t="s">
        <v>87</v>
      </c>
      <c r="I7703" s="16" t="s">
        <v>87</v>
      </c>
      <c r="J7703" s="19"/>
      <c r="L7703" s="16" t="str">
        <f>IFERROR(__xludf.DUMMYFUNCTION("""COMPUTED_VALUE"""),"")</f>
        <v/>
      </c>
      <c r="M7703" s="16" t="str">
        <f>IFERROR(__xludf.DUMMYFUNCTION("""COMPUTED_VALUE"""),"")</f>
        <v/>
      </c>
      <c r="U7703" s="16" t="s">
        <v>87</v>
      </c>
      <c r="V7703" s="16" t="str">
        <f>IFERROR(__xludf.DUMMYFUNCTION("""COMPUTED_VALUE"""),"")</f>
        <v/>
      </c>
      <c r="W7703" s="16" t="str">
        <f>IFERROR(__xludf.DUMMYFUNCTION("""COMPUTED_VALUE"""),"")</f>
        <v/>
      </c>
      <c r="X7703" s="16" t="str">
        <f>IFERROR(__xludf.DUMMYFUNCTION("""COMPUTED_VALUE"""),"")</f>
        <v/>
      </c>
      <c r="AC7703" s="16" t="str">
        <f>IFERROR(__xludf.DUMMYFUNCTION("""COMPUTED_VALUE"""),"")</f>
        <v/>
      </c>
    </row>
    <row r="7704">
      <c r="A7704" s="16" t="s">
        <v>87</v>
      </c>
      <c r="E7704" s="16" t="str">
        <f>IFERROR(__xludf.DUMMYFUNCTION("""COMPUTED_VALUE"""),"")</f>
        <v/>
      </c>
      <c r="G7704" s="18"/>
      <c r="H7704" s="16" t="s">
        <v>87</v>
      </c>
      <c r="I7704" s="16" t="s">
        <v>87</v>
      </c>
      <c r="J7704" s="19"/>
      <c r="L7704" s="16" t="str">
        <f>IFERROR(__xludf.DUMMYFUNCTION("""COMPUTED_VALUE"""),"")</f>
        <v/>
      </c>
      <c r="M7704" s="16" t="str">
        <f>IFERROR(__xludf.DUMMYFUNCTION("""COMPUTED_VALUE"""),"")</f>
        <v/>
      </c>
      <c r="U7704" s="16" t="s">
        <v>87</v>
      </c>
      <c r="V7704" s="16" t="str">
        <f>IFERROR(__xludf.DUMMYFUNCTION("""COMPUTED_VALUE"""),"")</f>
        <v/>
      </c>
      <c r="W7704" s="16" t="str">
        <f>IFERROR(__xludf.DUMMYFUNCTION("""COMPUTED_VALUE"""),"")</f>
        <v/>
      </c>
      <c r="X7704" s="16" t="str">
        <f>IFERROR(__xludf.DUMMYFUNCTION("""COMPUTED_VALUE"""),"")</f>
        <v/>
      </c>
      <c r="AC7704" s="16" t="str">
        <f>IFERROR(__xludf.DUMMYFUNCTION("""COMPUTED_VALUE"""),"")</f>
        <v/>
      </c>
    </row>
    <row r="7705">
      <c r="A7705" s="16" t="s">
        <v>87</v>
      </c>
      <c r="E7705" s="16" t="str">
        <f>IFERROR(__xludf.DUMMYFUNCTION("""COMPUTED_VALUE"""),"")</f>
        <v/>
      </c>
      <c r="G7705" s="18"/>
      <c r="H7705" s="16" t="s">
        <v>87</v>
      </c>
      <c r="I7705" s="16" t="s">
        <v>87</v>
      </c>
      <c r="J7705" s="19"/>
      <c r="L7705" s="16" t="str">
        <f>IFERROR(__xludf.DUMMYFUNCTION("""COMPUTED_VALUE"""),"")</f>
        <v/>
      </c>
      <c r="M7705" s="16" t="str">
        <f>IFERROR(__xludf.DUMMYFUNCTION("""COMPUTED_VALUE"""),"")</f>
        <v/>
      </c>
      <c r="U7705" s="16" t="s">
        <v>87</v>
      </c>
      <c r="V7705" s="16" t="str">
        <f>IFERROR(__xludf.DUMMYFUNCTION("""COMPUTED_VALUE"""),"")</f>
        <v/>
      </c>
      <c r="W7705" s="16" t="str">
        <f>IFERROR(__xludf.DUMMYFUNCTION("""COMPUTED_VALUE"""),"")</f>
        <v/>
      </c>
      <c r="X7705" s="16" t="str">
        <f>IFERROR(__xludf.DUMMYFUNCTION("""COMPUTED_VALUE"""),"")</f>
        <v/>
      </c>
      <c r="AC7705" s="16" t="str">
        <f>IFERROR(__xludf.DUMMYFUNCTION("""COMPUTED_VALUE"""),"")</f>
        <v/>
      </c>
    </row>
    <row r="7706">
      <c r="A7706" s="16" t="s">
        <v>87</v>
      </c>
      <c r="E7706" s="16" t="str">
        <f>IFERROR(__xludf.DUMMYFUNCTION("""COMPUTED_VALUE"""),"")</f>
        <v/>
      </c>
      <c r="G7706" s="18"/>
      <c r="H7706" s="16" t="s">
        <v>87</v>
      </c>
      <c r="I7706" s="16" t="s">
        <v>87</v>
      </c>
      <c r="J7706" s="19"/>
      <c r="L7706" s="16" t="str">
        <f>IFERROR(__xludf.DUMMYFUNCTION("""COMPUTED_VALUE"""),"")</f>
        <v/>
      </c>
      <c r="M7706" s="16" t="str">
        <f>IFERROR(__xludf.DUMMYFUNCTION("""COMPUTED_VALUE"""),"")</f>
        <v/>
      </c>
      <c r="U7706" s="16" t="s">
        <v>87</v>
      </c>
      <c r="V7706" s="16" t="str">
        <f>IFERROR(__xludf.DUMMYFUNCTION("""COMPUTED_VALUE"""),"")</f>
        <v/>
      </c>
      <c r="W7706" s="16" t="str">
        <f>IFERROR(__xludf.DUMMYFUNCTION("""COMPUTED_VALUE"""),"")</f>
        <v/>
      </c>
      <c r="X7706" s="16" t="str">
        <f>IFERROR(__xludf.DUMMYFUNCTION("""COMPUTED_VALUE"""),"")</f>
        <v/>
      </c>
      <c r="AC7706" s="16" t="str">
        <f>IFERROR(__xludf.DUMMYFUNCTION("""COMPUTED_VALUE"""),"")</f>
        <v/>
      </c>
    </row>
    <row r="7707">
      <c r="A7707" s="16" t="s">
        <v>87</v>
      </c>
      <c r="E7707" s="16" t="str">
        <f>IFERROR(__xludf.DUMMYFUNCTION("""COMPUTED_VALUE"""),"")</f>
        <v/>
      </c>
      <c r="G7707" s="18"/>
      <c r="H7707" s="16" t="s">
        <v>87</v>
      </c>
      <c r="I7707" s="16" t="s">
        <v>87</v>
      </c>
      <c r="J7707" s="19"/>
      <c r="L7707" s="16" t="str">
        <f>IFERROR(__xludf.DUMMYFUNCTION("""COMPUTED_VALUE"""),"")</f>
        <v/>
      </c>
      <c r="M7707" s="16" t="str">
        <f>IFERROR(__xludf.DUMMYFUNCTION("""COMPUTED_VALUE"""),"")</f>
        <v/>
      </c>
      <c r="U7707" s="16" t="s">
        <v>87</v>
      </c>
      <c r="V7707" s="16" t="str">
        <f>IFERROR(__xludf.DUMMYFUNCTION("""COMPUTED_VALUE"""),"")</f>
        <v/>
      </c>
      <c r="W7707" s="16" t="str">
        <f>IFERROR(__xludf.DUMMYFUNCTION("""COMPUTED_VALUE"""),"")</f>
        <v/>
      </c>
      <c r="X7707" s="16" t="str">
        <f>IFERROR(__xludf.DUMMYFUNCTION("""COMPUTED_VALUE"""),"")</f>
        <v/>
      </c>
      <c r="AC7707" s="16" t="str">
        <f>IFERROR(__xludf.DUMMYFUNCTION("""COMPUTED_VALUE"""),"")</f>
        <v/>
      </c>
    </row>
    <row r="7708">
      <c r="A7708" s="16" t="s">
        <v>87</v>
      </c>
      <c r="E7708" s="16" t="str">
        <f>IFERROR(__xludf.DUMMYFUNCTION("""COMPUTED_VALUE"""),"")</f>
        <v/>
      </c>
      <c r="G7708" s="18"/>
      <c r="H7708" s="16" t="s">
        <v>87</v>
      </c>
      <c r="I7708" s="16" t="s">
        <v>87</v>
      </c>
      <c r="J7708" s="19"/>
      <c r="L7708" s="16" t="str">
        <f>IFERROR(__xludf.DUMMYFUNCTION("""COMPUTED_VALUE"""),"")</f>
        <v/>
      </c>
      <c r="M7708" s="16" t="str">
        <f>IFERROR(__xludf.DUMMYFUNCTION("""COMPUTED_VALUE"""),"")</f>
        <v/>
      </c>
      <c r="U7708" s="16" t="s">
        <v>87</v>
      </c>
      <c r="V7708" s="16" t="str">
        <f>IFERROR(__xludf.DUMMYFUNCTION("""COMPUTED_VALUE"""),"")</f>
        <v/>
      </c>
      <c r="W7708" s="16" t="str">
        <f>IFERROR(__xludf.DUMMYFUNCTION("""COMPUTED_VALUE"""),"")</f>
        <v/>
      </c>
      <c r="X7708" s="16" t="str">
        <f>IFERROR(__xludf.DUMMYFUNCTION("""COMPUTED_VALUE"""),"")</f>
        <v/>
      </c>
      <c r="AC7708" s="16" t="str">
        <f>IFERROR(__xludf.DUMMYFUNCTION("""COMPUTED_VALUE"""),"")</f>
        <v/>
      </c>
    </row>
    <row r="7709">
      <c r="A7709" s="16" t="s">
        <v>87</v>
      </c>
      <c r="E7709" s="16" t="str">
        <f>IFERROR(__xludf.DUMMYFUNCTION("""COMPUTED_VALUE"""),"")</f>
        <v/>
      </c>
      <c r="G7709" s="18"/>
      <c r="H7709" s="16" t="s">
        <v>87</v>
      </c>
      <c r="I7709" s="16" t="s">
        <v>87</v>
      </c>
      <c r="J7709" s="19"/>
      <c r="L7709" s="16" t="str">
        <f>IFERROR(__xludf.DUMMYFUNCTION("""COMPUTED_VALUE"""),"")</f>
        <v/>
      </c>
      <c r="M7709" s="16" t="str">
        <f>IFERROR(__xludf.DUMMYFUNCTION("""COMPUTED_VALUE"""),"")</f>
        <v/>
      </c>
      <c r="U7709" s="16" t="s">
        <v>87</v>
      </c>
      <c r="V7709" s="16" t="str">
        <f>IFERROR(__xludf.DUMMYFUNCTION("""COMPUTED_VALUE"""),"")</f>
        <v/>
      </c>
      <c r="W7709" s="16" t="str">
        <f>IFERROR(__xludf.DUMMYFUNCTION("""COMPUTED_VALUE"""),"")</f>
        <v/>
      </c>
      <c r="X7709" s="16" t="str">
        <f>IFERROR(__xludf.DUMMYFUNCTION("""COMPUTED_VALUE"""),"")</f>
        <v/>
      </c>
      <c r="AC7709" s="16" t="str">
        <f>IFERROR(__xludf.DUMMYFUNCTION("""COMPUTED_VALUE"""),"")</f>
        <v/>
      </c>
    </row>
    <row r="7710">
      <c r="A7710" s="16" t="s">
        <v>87</v>
      </c>
      <c r="E7710" s="16" t="str">
        <f>IFERROR(__xludf.DUMMYFUNCTION("""COMPUTED_VALUE"""),"")</f>
        <v/>
      </c>
      <c r="G7710" s="18"/>
      <c r="H7710" s="16" t="s">
        <v>87</v>
      </c>
      <c r="I7710" s="16" t="s">
        <v>87</v>
      </c>
      <c r="J7710" s="19"/>
      <c r="L7710" s="16" t="str">
        <f>IFERROR(__xludf.DUMMYFUNCTION("""COMPUTED_VALUE"""),"")</f>
        <v/>
      </c>
      <c r="M7710" s="16" t="str">
        <f>IFERROR(__xludf.DUMMYFUNCTION("""COMPUTED_VALUE"""),"")</f>
        <v/>
      </c>
      <c r="U7710" s="16" t="s">
        <v>87</v>
      </c>
      <c r="V7710" s="16" t="str">
        <f>IFERROR(__xludf.DUMMYFUNCTION("""COMPUTED_VALUE"""),"")</f>
        <v/>
      </c>
      <c r="W7710" s="16" t="str">
        <f>IFERROR(__xludf.DUMMYFUNCTION("""COMPUTED_VALUE"""),"")</f>
        <v/>
      </c>
      <c r="X7710" s="16" t="str">
        <f>IFERROR(__xludf.DUMMYFUNCTION("""COMPUTED_VALUE"""),"")</f>
        <v/>
      </c>
      <c r="AC7710" s="16" t="str">
        <f>IFERROR(__xludf.DUMMYFUNCTION("""COMPUTED_VALUE"""),"")</f>
        <v/>
      </c>
    </row>
    <row r="7711">
      <c r="A7711" s="16" t="s">
        <v>87</v>
      </c>
      <c r="E7711" s="16" t="str">
        <f>IFERROR(__xludf.DUMMYFUNCTION("""COMPUTED_VALUE"""),"")</f>
        <v/>
      </c>
      <c r="G7711" s="18"/>
      <c r="H7711" s="16" t="s">
        <v>87</v>
      </c>
      <c r="I7711" s="16" t="s">
        <v>87</v>
      </c>
      <c r="J7711" s="19"/>
      <c r="L7711" s="16" t="str">
        <f>IFERROR(__xludf.DUMMYFUNCTION("""COMPUTED_VALUE"""),"")</f>
        <v/>
      </c>
      <c r="M7711" s="16" t="str">
        <f>IFERROR(__xludf.DUMMYFUNCTION("""COMPUTED_VALUE"""),"")</f>
        <v/>
      </c>
      <c r="U7711" s="16" t="s">
        <v>87</v>
      </c>
      <c r="V7711" s="16" t="str">
        <f>IFERROR(__xludf.DUMMYFUNCTION("""COMPUTED_VALUE"""),"")</f>
        <v/>
      </c>
      <c r="W7711" s="16" t="str">
        <f>IFERROR(__xludf.DUMMYFUNCTION("""COMPUTED_VALUE"""),"")</f>
        <v/>
      </c>
      <c r="X7711" s="16" t="str">
        <f>IFERROR(__xludf.DUMMYFUNCTION("""COMPUTED_VALUE"""),"")</f>
        <v/>
      </c>
      <c r="AC7711" s="16" t="str">
        <f>IFERROR(__xludf.DUMMYFUNCTION("""COMPUTED_VALUE"""),"")</f>
        <v/>
      </c>
    </row>
    <row r="7712">
      <c r="A7712" s="16" t="s">
        <v>87</v>
      </c>
      <c r="E7712" s="16" t="str">
        <f>IFERROR(__xludf.DUMMYFUNCTION("""COMPUTED_VALUE"""),"")</f>
        <v/>
      </c>
      <c r="G7712" s="18"/>
      <c r="H7712" s="16" t="s">
        <v>87</v>
      </c>
      <c r="I7712" s="16" t="s">
        <v>87</v>
      </c>
      <c r="J7712" s="19"/>
      <c r="L7712" s="16" t="str">
        <f>IFERROR(__xludf.DUMMYFUNCTION("""COMPUTED_VALUE"""),"")</f>
        <v/>
      </c>
      <c r="M7712" s="16" t="str">
        <f>IFERROR(__xludf.DUMMYFUNCTION("""COMPUTED_VALUE"""),"")</f>
        <v/>
      </c>
      <c r="U7712" s="16" t="s">
        <v>87</v>
      </c>
      <c r="V7712" s="16" t="str">
        <f>IFERROR(__xludf.DUMMYFUNCTION("""COMPUTED_VALUE"""),"")</f>
        <v/>
      </c>
      <c r="W7712" s="16" t="str">
        <f>IFERROR(__xludf.DUMMYFUNCTION("""COMPUTED_VALUE"""),"")</f>
        <v/>
      </c>
      <c r="X7712" s="16" t="str">
        <f>IFERROR(__xludf.DUMMYFUNCTION("""COMPUTED_VALUE"""),"")</f>
        <v/>
      </c>
      <c r="AC7712" s="16" t="str">
        <f>IFERROR(__xludf.DUMMYFUNCTION("""COMPUTED_VALUE"""),"")</f>
        <v/>
      </c>
    </row>
    <row r="7713">
      <c r="A7713" s="16" t="s">
        <v>87</v>
      </c>
      <c r="E7713" s="16" t="str">
        <f>IFERROR(__xludf.DUMMYFUNCTION("""COMPUTED_VALUE"""),"")</f>
        <v/>
      </c>
      <c r="G7713" s="18"/>
      <c r="H7713" s="16" t="s">
        <v>87</v>
      </c>
      <c r="I7713" s="16" t="s">
        <v>87</v>
      </c>
      <c r="J7713" s="19"/>
      <c r="L7713" s="16" t="str">
        <f>IFERROR(__xludf.DUMMYFUNCTION("""COMPUTED_VALUE"""),"")</f>
        <v/>
      </c>
      <c r="M7713" s="16" t="str">
        <f>IFERROR(__xludf.DUMMYFUNCTION("""COMPUTED_VALUE"""),"")</f>
        <v/>
      </c>
      <c r="U7713" s="16" t="s">
        <v>87</v>
      </c>
      <c r="V7713" s="16" t="str">
        <f>IFERROR(__xludf.DUMMYFUNCTION("""COMPUTED_VALUE"""),"")</f>
        <v/>
      </c>
      <c r="W7713" s="16" t="str">
        <f>IFERROR(__xludf.DUMMYFUNCTION("""COMPUTED_VALUE"""),"")</f>
        <v/>
      </c>
      <c r="X7713" s="16" t="str">
        <f>IFERROR(__xludf.DUMMYFUNCTION("""COMPUTED_VALUE"""),"")</f>
        <v/>
      </c>
      <c r="AC7713" s="16" t="str">
        <f>IFERROR(__xludf.DUMMYFUNCTION("""COMPUTED_VALUE"""),"")</f>
        <v/>
      </c>
    </row>
    <row r="7714">
      <c r="A7714" s="16" t="s">
        <v>87</v>
      </c>
      <c r="E7714" s="16" t="str">
        <f>IFERROR(__xludf.DUMMYFUNCTION("""COMPUTED_VALUE"""),"")</f>
        <v/>
      </c>
      <c r="G7714" s="18"/>
      <c r="H7714" s="16" t="s">
        <v>87</v>
      </c>
      <c r="I7714" s="16" t="s">
        <v>87</v>
      </c>
      <c r="J7714" s="19"/>
      <c r="L7714" s="16" t="str">
        <f>IFERROR(__xludf.DUMMYFUNCTION("""COMPUTED_VALUE"""),"")</f>
        <v/>
      </c>
      <c r="M7714" s="16" t="str">
        <f>IFERROR(__xludf.DUMMYFUNCTION("""COMPUTED_VALUE"""),"")</f>
        <v/>
      </c>
      <c r="U7714" s="16" t="s">
        <v>87</v>
      </c>
      <c r="V7714" s="16" t="str">
        <f>IFERROR(__xludf.DUMMYFUNCTION("""COMPUTED_VALUE"""),"")</f>
        <v/>
      </c>
      <c r="W7714" s="16" t="str">
        <f>IFERROR(__xludf.DUMMYFUNCTION("""COMPUTED_VALUE"""),"")</f>
        <v/>
      </c>
      <c r="X7714" s="16" t="str">
        <f>IFERROR(__xludf.DUMMYFUNCTION("""COMPUTED_VALUE"""),"")</f>
        <v/>
      </c>
      <c r="AC7714" s="16" t="str">
        <f>IFERROR(__xludf.DUMMYFUNCTION("""COMPUTED_VALUE"""),"")</f>
        <v/>
      </c>
    </row>
    <row r="7715">
      <c r="A7715" s="16" t="s">
        <v>87</v>
      </c>
      <c r="E7715" s="16" t="str">
        <f>IFERROR(__xludf.DUMMYFUNCTION("""COMPUTED_VALUE"""),"")</f>
        <v/>
      </c>
      <c r="G7715" s="18"/>
      <c r="H7715" s="16" t="s">
        <v>87</v>
      </c>
      <c r="I7715" s="16" t="s">
        <v>87</v>
      </c>
      <c r="J7715" s="19"/>
      <c r="L7715" s="16" t="str">
        <f>IFERROR(__xludf.DUMMYFUNCTION("""COMPUTED_VALUE"""),"")</f>
        <v/>
      </c>
      <c r="M7715" s="16" t="str">
        <f>IFERROR(__xludf.DUMMYFUNCTION("""COMPUTED_VALUE"""),"")</f>
        <v/>
      </c>
      <c r="U7715" s="16" t="s">
        <v>87</v>
      </c>
      <c r="V7715" s="16" t="str">
        <f>IFERROR(__xludf.DUMMYFUNCTION("""COMPUTED_VALUE"""),"")</f>
        <v/>
      </c>
      <c r="W7715" s="16" t="str">
        <f>IFERROR(__xludf.DUMMYFUNCTION("""COMPUTED_VALUE"""),"")</f>
        <v/>
      </c>
      <c r="X7715" s="16" t="str">
        <f>IFERROR(__xludf.DUMMYFUNCTION("""COMPUTED_VALUE"""),"")</f>
        <v/>
      </c>
      <c r="AC7715" s="16" t="str">
        <f>IFERROR(__xludf.DUMMYFUNCTION("""COMPUTED_VALUE"""),"")</f>
        <v/>
      </c>
    </row>
    <row r="7716">
      <c r="A7716" s="16" t="s">
        <v>87</v>
      </c>
      <c r="E7716" s="16" t="str">
        <f>IFERROR(__xludf.DUMMYFUNCTION("""COMPUTED_VALUE"""),"")</f>
        <v/>
      </c>
      <c r="G7716" s="18"/>
      <c r="H7716" s="16" t="s">
        <v>87</v>
      </c>
      <c r="I7716" s="16" t="s">
        <v>87</v>
      </c>
      <c r="J7716" s="19"/>
      <c r="L7716" s="16" t="str">
        <f>IFERROR(__xludf.DUMMYFUNCTION("""COMPUTED_VALUE"""),"")</f>
        <v/>
      </c>
      <c r="M7716" s="16" t="str">
        <f>IFERROR(__xludf.DUMMYFUNCTION("""COMPUTED_VALUE"""),"")</f>
        <v/>
      </c>
      <c r="U7716" s="16" t="s">
        <v>87</v>
      </c>
      <c r="V7716" s="16" t="str">
        <f>IFERROR(__xludf.DUMMYFUNCTION("""COMPUTED_VALUE"""),"")</f>
        <v/>
      </c>
      <c r="W7716" s="16" t="str">
        <f>IFERROR(__xludf.DUMMYFUNCTION("""COMPUTED_VALUE"""),"")</f>
        <v/>
      </c>
      <c r="X7716" s="16" t="str">
        <f>IFERROR(__xludf.DUMMYFUNCTION("""COMPUTED_VALUE"""),"")</f>
        <v/>
      </c>
      <c r="AC7716" s="16" t="str">
        <f>IFERROR(__xludf.DUMMYFUNCTION("""COMPUTED_VALUE"""),"")</f>
        <v/>
      </c>
    </row>
    <row r="7717">
      <c r="A7717" s="16" t="s">
        <v>87</v>
      </c>
      <c r="E7717" s="16" t="str">
        <f>IFERROR(__xludf.DUMMYFUNCTION("""COMPUTED_VALUE"""),"")</f>
        <v/>
      </c>
      <c r="G7717" s="18"/>
      <c r="H7717" s="16" t="s">
        <v>87</v>
      </c>
      <c r="I7717" s="16" t="s">
        <v>87</v>
      </c>
      <c r="J7717" s="19"/>
      <c r="L7717" s="16" t="str">
        <f>IFERROR(__xludf.DUMMYFUNCTION("""COMPUTED_VALUE"""),"")</f>
        <v/>
      </c>
      <c r="M7717" s="16" t="str">
        <f>IFERROR(__xludf.DUMMYFUNCTION("""COMPUTED_VALUE"""),"")</f>
        <v/>
      </c>
      <c r="U7717" s="16" t="s">
        <v>87</v>
      </c>
      <c r="V7717" s="16" t="str">
        <f>IFERROR(__xludf.DUMMYFUNCTION("""COMPUTED_VALUE"""),"")</f>
        <v/>
      </c>
      <c r="W7717" s="16" t="str">
        <f>IFERROR(__xludf.DUMMYFUNCTION("""COMPUTED_VALUE"""),"")</f>
        <v/>
      </c>
      <c r="X7717" s="16" t="str">
        <f>IFERROR(__xludf.DUMMYFUNCTION("""COMPUTED_VALUE"""),"")</f>
        <v/>
      </c>
      <c r="AC7717" s="16" t="str">
        <f>IFERROR(__xludf.DUMMYFUNCTION("""COMPUTED_VALUE"""),"")</f>
        <v/>
      </c>
    </row>
    <row r="7718">
      <c r="A7718" s="16" t="s">
        <v>87</v>
      </c>
      <c r="E7718" s="16" t="str">
        <f>IFERROR(__xludf.DUMMYFUNCTION("""COMPUTED_VALUE"""),"")</f>
        <v/>
      </c>
      <c r="G7718" s="18"/>
      <c r="H7718" s="16" t="s">
        <v>87</v>
      </c>
      <c r="I7718" s="16" t="s">
        <v>87</v>
      </c>
      <c r="J7718" s="19"/>
      <c r="L7718" s="16" t="str">
        <f>IFERROR(__xludf.DUMMYFUNCTION("""COMPUTED_VALUE"""),"")</f>
        <v/>
      </c>
      <c r="M7718" s="16" t="str">
        <f>IFERROR(__xludf.DUMMYFUNCTION("""COMPUTED_VALUE"""),"")</f>
        <v/>
      </c>
      <c r="U7718" s="16" t="s">
        <v>87</v>
      </c>
      <c r="V7718" s="16" t="str">
        <f>IFERROR(__xludf.DUMMYFUNCTION("""COMPUTED_VALUE"""),"")</f>
        <v/>
      </c>
      <c r="W7718" s="16" t="str">
        <f>IFERROR(__xludf.DUMMYFUNCTION("""COMPUTED_VALUE"""),"")</f>
        <v/>
      </c>
      <c r="X7718" s="16" t="str">
        <f>IFERROR(__xludf.DUMMYFUNCTION("""COMPUTED_VALUE"""),"")</f>
        <v/>
      </c>
      <c r="AC7718" s="16" t="str">
        <f>IFERROR(__xludf.DUMMYFUNCTION("""COMPUTED_VALUE"""),"")</f>
        <v/>
      </c>
    </row>
    <row r="7719">
      <c r="A7719" s="16" t="s">
        <v>87</v>
      </c>
      <c r="E7719" s="16" t="str">
        <f>IFERROR(__xludf.DUMMYFUNCTION("""COMPUTED_VALUE"""),"")</f>
        <v/>
      </c>
      <c r="G7719" s="18"/>
      <c r="H7719" s="16" t="s">
        <v>87</v>
      </c>
      <c r="I7719" s="16" t="s">
        <v>87</v>
      </c>
      <c r="J7719" s="19"/>
      <c r="L7719" s="16" t="str">
        <f>IFERROR(__xludf.DUMMYFUNCTION("""COMPUTED_VALUE"""),"")</f>
        <v/>
      </c>
      <c r="M7719" s="16" t="str">
        <f>IFERROR(__xludf.DUMMYFUNCTION("""COMPUTED_VALUE"""),"")</f>
        <v/>
      </c>
      <c r="U7719" s="16" t="s">
        <v>87</v>
      </c>
      <c r="V7719" s="16" t="str">
        <f>IFERROR(__xludf.DUMMYFUNCTION("""COMPUTED_VALUE"""),"")</f>
        <v/>
      </c>
      <c r="W7719" s="16" t="str">
        <f>IFERROR(__xludf.DUMMYFUNCTION("""COMPUTED_VALUE"""),"")</f>
        <v/>
      </c>
      <c r="X7719" s="16" t="str">
        <f>IFERROR(__xludf.DUMMYFUNCTION("""COMPUTED_VALUE"""),"")</f>
        <v/>
      </c>
      <c r="AC7719" s="16" t="str">
        <f>IFERROR(__xludf.DUMMYFUNCTION("""COMPUTED_VALUE"""),"")</f>
        <v/>
      </c>
    </row>
    <row r="7720">
      <c r="A7720" s="16" t="s">
        <v>87</v>
      </c>
      <c r="E7720" s="16" t="str">
        <f>IFERROR(__xludf.DUMMYFUNCTION("""COMPUTED_VALUE"""),"")</f>
        <v/>
      </c>
      <c r="G7720" s="18"/>
      <c r="H7720" s="16" t="s">
        <v>87</v>
      </c>
      <c r="I7720" s="16" t="s">
        <v>87</v>
      </c>
      <c r="J7720" s="19"/>
      <c r="L7720" s="16" t="str">
        <f>IFERROR(__xludf.DUMMYFUNCTION("""COMPUTED_VALUE"""),"")</f>
        <v/>
      </c>
      <c r="M7720" s="16" t="str">
        <f>IFERROR(__xludf.DUMMYFUNCTION("""COMPUTED_VALUE"""),"")</f>
        <v/>
      </c>
      <c r="U7720" s="16" t="s">
        <v>87</v>
      </c>
      <c r="V7720" s="16" t="str">
        <f>IFERROR(__xludf.DUMMYFUNCTION("""COMPUTED_VALUE"""),"")</f>
        <v/>
      </c>
      <c r="W7720" s="16" t="str">
        <f>IFERROR(__xludf.DUMMYFUNCTION("""COMPUTED_VALUE"""),"")</f>
        <v/>
      </c>
      <c r="X7720" s="16" t="str">
        <f>IFERROR(__xludf.DUMMYFUNCTION("""COMPUTED_VALUE"""),"")</f>
        <v/>
      </c>
      <c r="AC7720" s="16" t="str">
        <f>IFERROR(__xludf.DUMMYFUNCTION("""COMPUTED_VALUE"""),"")</f>
        <v/>
      </c>
    </row>
    <row r="7721">
      <c r="A7721" s="16" t="s">
        <v>87</v>
      </c>
      <c r="E7721" s="16" t="str">
        <f>IFERROR(__xludf.DUMMYFUNCTION("""COMPUTED_VALUE"""),"")</f>
        <v/>
      </c>
      <c r="G7721" s="18"/>
      <c r="H7721" s="16" t="s">
        <v>87</v>
      </c>
      <c r="I7721" s="16" t="s">
        <v>87</v>
      </c>
      <c r="J7721" s="19"/>
      <c r="L7721" s="16" t="str">
        <f>IFERROR(__xludf.DUMMYFUNCTION("""COMPUTED_VALUE"""),"")</f>
        <v/>
      </c>
      <c r="M7721" s="16" t="str">
        <f>IFERROR(__xludf.DUMMYFUNCTION("""COMPUTED_VALUE"""),"")</f>
        <v/>
      </c>
      <c r="U7721" s="16" t="s">
        <v>87</v>
      </c>
      <c r="V7721" s="16" t="str">
        <f>IFERROR(__xludf.DUMMYFUNCTION("""COMPUTED_VALUE"""),"")</f>
        <v/>
      </c>
      <c r="W7721" s="16" t="str">
        <f>IFERROR(__xludf.DUMMYFUNCTION("""COMPUTED_VALUE"""),"")</f>
        <v/>
      </c>
      <c r="X7721" s="16" t="str">
        <f>IFERROR(__xludf.DUMMYFUNCTION("""COMPUTED_VALUE"""),"")</f>
        <v/>
      </c>
      <c r="AC7721" s="16" t="str">
        <f>IFERROR(__xludf.DUMMYFUNCTION("""COMPUTED_VALUE"""),"")</f>
        <v/>
      </c>
    </row>
    <row r="7722">
      <c r="A7722" s="16" t="s">
        <v>87</v>
      </c>
      <c r="E7722" s="16" t="str">
        <f>IFERROR(__xludf.DUMMYFUNCTION("""COMPUTED_VALUE"""),"")</f>
        <v/>
      </c>
      <c r="G7722" s="18"/>
      <c r="H7722" s="16" t="s">
        <v>87</v>
      </c>
      <c r="I7722" s="16" t="s">
        <v>87</v>
      </c>
      <c r="J7722" s="19"/>
      <c r="L7722" s="16" t="str">
        <f>IFERROR(__xludf.DUMMYFUNCTION("""COMPUTED_VALUE"""),"")</f>
        <v/>
      </c>
      <c r="M7722" s="16" t="str">
        <f>IFERROR(__xludf.DUMMYFUNCTION("""COMPUTED_VALUE"""),"")</f>
        <v/>
      </c>
      <c r="U7722" s="16" t="s">
        <v>87</v>
      </c>
      <c r="V7722" s="16" t="str">
        <f>IFERROR(__xludf.DUMMYFUNCTION("""COMPUTED_VALUE"""),"")</f>
        <v/>
      </c>
      <c r="W7722" s="16" t="str">
        <f>IFERROR(__xludf.DUMMYFUNCTION("""COMPUTED_VALUE"""),"")</f>
        <v/>
      </c>
      <c r="X7722" s="16" t="str">
        <f>IFERROR(__xludf.DUMMYFUNCTION("""COMPUTED_VALUE"""),"")</f>
        <v/>
      </c>
      <c r="AC7722" s="16" t="str">
        <f>IFERROR(__xludf.DUMMYFUNCTION("""COMPUTED_VALUE"""),"")</f>
        <v/>
      </c>
    </row>
    <row r="7723">
      <c r="A7723" s="16" t="s">
        <v>87</v>
      </c>
      <c r="E7723" s="16" t="str">
        <f>IFERROR(__xludf.DUMMYFUNCTION("""COMPUTED_VALUE"""),"")</f>
        <v/>
      </c>
      <c r="G7723" s="18"/>
      <c r="H7723" s="16" t="s">
        <v>87</v>
      </c>
      <c r="I7723" s="16" t="s">
        <v>87</v>
      </c>
      <c r="J7723" s="19"/>
      <c r="L7723" s="16" t="str">
        <f>IFERROR(__xludf.DUMMYFUNCTION("""COMPUTED_VALUE"""),"")</f>
        <v/>
      </c>
      <c r="M7723" s="16" t="str">
        <f>IFERROR(__xludf.DUMMYFUNCTION("""COMPUTED_VALUE"""),"")</f>
        <v/>
      </c>
      <c r="U7723" s="16" t="s">
        <v>87</v>
      </c>
      <c r="V7723" s="16" t="str">
        <f>IFERROR(__xludf.DUMMYFUNCTION("""COMPUTED_VALUE"""),"")</f>
        <v/>
      </c>
      <c r="W7723" s="16" t="str">
        <f>IFERROR(__xludf.DUMMYFUNCTION("""COMPUTED_VALUE"""),"")</f>
        <v/>
      </c>
      <c r="X7723" s="16" t="str">
        <f>IFERROR(__xludf.DUMMYFUNCTION("""COMPUTED_VALUE"""),"")</f>
        <v/>
      </c>
      <c r="AC7723" s="16" t="str">
        <f>IFERROR(__xludf.DUMMYFUNCTION("""COMPUTED_VALUE"""),"")</f>
        <v/>
      </c>
    </row>
    <row r="7724">
      <c r="A7724" s="16" t="s">
        <v>87</v>
      </c>
      <c r="E7724" s="16" t="str">
        <f>IFERROR(__xludf.DUMMYFUNCTION("""COMPUTED_VALUE"""),"")</f>
        <v/>
      </c>
      <c r="G7724" s="18"/>
      <c r="H7724" s="16" t="s">
        <v>87</v>
      </c>
      <c r="I7724" s="16" t="s">
        <v>87</v>
      </c>
      <c r="J7724" s="19"/>
      <c r="L7724" s="16" t="str">
        <f>IFERROR(__xludf.DUMMYFUNCTION("""COMPUTED_VALUE"""),"")</f>
        <v/>
      </c>
      <c r="M7724" s="16" t="str">
        <f>IFERROR(__xludf.DUMMYFUNCTION("""COMPUTED_VALUE"""),"")</f>
        <v/>
      </c>
      <c r="U7724" s="16" t="s">
        <v>87</v>
      </c>
      <c r="V7724" s="16" t="str">
        <f>IFERROR(__xludf.DUMMYFUNCTION("""COMPUTED_VALUE"""),"")</f>
        <v/>
      </c>
      <c r="W7724" s="16" t="str">
        <f>IFERROR(__xludf.DUMMYFUNCTION("""COMPUTED_VALUE"""),"")</f>
        <v/>
      </c>
      <c r="X7724" s="16" t="str">
        <f>IFERROR(__xludf.DUMMYFUNCTION("""COMPUTED_VALUE"""),"")</f>
        <v/>
      </c>
      <c r="AC7724" s="16" t="str">
        <f>IFERROR(__xludf.DUMMYFUNCTION("""COMPUTED_VALUE"""),"")</f>
        <v/>
      </c>
    </row>
    <row r="7725">
      <c r="A7725" s="16" t="s">
        <v>87</v>
      </c>
      <c r="E7725" s="16" t="str">
        <f>IFERROR(__xludf.DUMMYFUNCTION("""COMPUTED_VALUE"""),"")</f>
        <v/>
      </c>
      <c r="G7725" s="18"/>
      <c r="H7725" s="16" t="s">
        <v>87</v>
      </c>
      <c r="I7725" s="16" t="s">
        <v>87</v>
      </c>
      <c r="J7725" s="19"/>
      <c r="L7725" s="16" t="str">
        <f>IFERROR(__xludf.DUMMYFUNCTION("""COMPUTED_VALUE"""),"")</f>
        <v/>
      </c>
      <c r="M7725" s="16" t="str">
        <f>IFERROR(__xludf.DUMMYFUNCTION("""COMPUTED_VALUE"""),"")</f>
        <v/>
      </c>
      <c r="U7725" s="16" t="s">
        <v>87</v>
      </c>
      <c r="V7725" s="16" t="str">
        <f>IFERROR(__xludf.DUMMYFUNCTION("""COMPUTED_VALUE"""),"")</f>
        <v/>
      </c>
      <c r="W7725" s="16" t="str">
        <f>IFERROR(__xludf.DUMMYFUNCTION("""COMPUTED_VALUE"""),"")</f>
        <v/>
      </c>
      <c r="X7725" s="16" t="str">
        <f>IFERROR(__xludf.DUMMYFUNCTION("""COMPUTED_VALUE"""),"")</f>
        <v/>
      </c>
      <c r="AC7725" s="16" t="str">
        <f>IFERROR(__xludf.DUMMYFUNCTION("""COMPUTED_VALUE"""),"")</f>
        <v/>
      </c>
    </row>
    <row r="7726">
      <c r="A7726" s="16" t="s">
        <v>87</v>
      </c>
      <c r="E7726" s="16" t="str">
        <f>IFERROR(__xludf.DUMMYFUNCTION("""COMPUTED_VALUE"""),"")</f>
        <v/>
      </c>
      <c r="G7726" s="18"/>
      <c r="H7726" s="16" t="s">
        <v>87</v>
      </c>
      <c r="I7726" s="16" t="s">
        <v>87</v>
      </c>
      <c r="J7726" s="19"/>
      <c r="L7726" s="16" t="str">
        <f>IFERROR(__xludf.DUMMYFUNCTION("""COMPUTED_VALUE"""),"")</f>
        <v/>
      </c>
      <c r="M7726" s="16" t="str">
        <f>IFERROR(__xludf.DUMMYFUNCTION("""COMPUTED_VALUE"""),"")</f>
        <v/>
      </c>
      <c r="U7726" s="16" t="s">
        <v>87</v>
      </c>
      <c r="V7726" s="16" t="str">
        <f>IFERROR(__xludf.DUMMYFUNCTION("""COMPUTED_VALUE"""),"")</f>
        <v/>
      </c>
      <c r="W7726" s="16" t="str">
        <f>IFERROR(__xludf.DUMMYFUNCTION("""COMPUTED_VALUE"""),"")</f>
        <v/>
      </c>
      <c r="X7726" s="16" t="str">
        <f>IFERROR(__xludf.DUMMYFUNCTION("""COMPUTED_VALUE"""),"")</f>
        <v/>
      </c>
      <c r="AC7726" s="16" t="str">
        <f>IFERROR(__xludf.DUMMYFUNCTION("""COMPUTED_VALUE"""),"")</f>
        <v/>
      </c>
    </row>
    <row r="7727">
      <c r="A7727" s="16" t="s">
        <v>87</v>
      </c>
      <c r="E7727" s="16" t="str">
        <f>IFERROR(__xludf.DUMMYFUNCTION("""COMPUTED_VALUE"""),"")</f>
        <v/>
      </c>
      <c r="G7727" s="18"/>
      <c r="H7727" s="16" t="s">
        <v>87</v>
      </c>
      <c r="I7727" s="16" t="s">
        <v>87</v>
      </c>
      <c r="J7727" s="19"/>
      <c r="L7727" s="16" t="str">
        <f>IFERROR(__xludf.DUMMYFUNCTION("""COMPUTED_VALUE"""),"")</f>
        <v/>
      </c>
      <c r="M7727" s="16" t="str">
        <f>IFERROR(__xludf.DUMMYFUNCTION("""COMPUTED_VALUE"""),"")</f>
        <v/>
      </c>
      <c r="U7727" s="16" t="s">
        <v>87</v>
      </c>
      <c r="V7727" s="16" t="str">
        <f>IFERROR(__xludf.DUMMYFUNCTION("""COMPUTED_VALUE"""),"")</f>
        <v/>
      </c>
      <c r="W7727" s="16" t="str">
        <f>IFERROR(__xludf.DUMMYFUNCTION("""COMPUTED_VALUE"""),"")</f>
        <v/>
      </c>
      <c r="X7727" s="16" t="str">
        <f>IFERROR(__xludf.DUMMYFUNCTION("""COMPUTED_VALUE"""),"")</f>
        <v/>
      </c>
      <c r="AC7727" s="16" t="str">
        <f>IFERROR(__xludf.DUMMYFUNCTION("""COMPUTED_VALUE"""),"")</f>
        <v/>
      </c>
    </row>
    <row r="7728">
      <c r="A7728" s="16" t="s">
        <v>87</v>
      </c>
      <c r="E7728" s="16" t="str">
        <f>IFERROR(__xludf.DUMMYFUNCTION("""COMPUTED_VALUE"""),"")</f>
        <v/>
      </c>
      <c r="G7728" s="18"/>
      <c r="H7728" s="16" t="s">
        <v>87</v>
      </c>
      <c r="I7728" s="16" t="s">
        <v>87</v>
      </c>
      <c r="J7728" s="19"/>
      <c r="L7728" s="16" t="str">
        <f>IFERROR(__xludf.DUMMYFUNCTION("""COMPUTED_VALUE"""),"")</f>
        <v/>
      </c>
      <c r="M7728" s="16" t="str">
        <f>IFERROR(__xludf.DUMMYFUNCTION("""COMPUTED_VALUE"""),"")</f>
        <v/>
      </c>
      <c r="U7728" s="16" t="s">
        <v>87</v>
      </c>
      <c r="V7728" s="16" t="str">
        <f>IFERROR(__xludf.DUMMYFUNCTION("""COMPUTED_VALUE"""),"")</f>
        <v/>
      </c>
      <c r="W7728" s="16" t="str">
        <f>IFERROR(__xludf.DUMMYFUNCTION("""COMPUTED_VALUE"""),"")</f>
        <v/>
      </c>
      <c r="X7728" s="16" t="str">
        <f>IFERROR(__xludf.DUMMYFUNCTION("""COMPUTED_VALUE"""),"")</f>
        <v/>
      </c>
      <c r="AC7728" s="16" t="str">
        <f>IFERROR(__xludf.DUMMYFUNCTION("""COMPUTED_VALUE"""),"")</f>
        <v/>
      </c>
    </row>
    <row r="7729">
      <c r="A7729" s="16" t="s">
        <v>87</v>
      </c>
      <c r="E7729" s="16" t="str">
        <f>IFERROR(__xludf.DUMMYFUNCTION("""COMPUTED_VALUE"""),"")</f>
        <v/>
      </c>
      <c r="G7729" s="18"/>
      <c r="H7729" s="16" t="s">
        <v>87</v>
      </c>
      <c r="I7729" s="16" t="s">
        <v>87</v>
      </c>
      <c r="J7729" s="19"/>
      <c r="L7729" s="16" t="str">
        <f>IFERROR(__xludf.DUMMYFUNCTION("""COMPUTED_VALUE"""),"")</f>
        <v/>
      </c>
      <c r="M7729" s="16" t="str">
        <f>IFERROR(__xludf.DUMMYFUNCTION("""COMPUTED_VALUE"""),"")</f>
        <v/>
      </c>
      <c r="U7729" s="16" t="s">
        <v>87</v>
      </c>
      <c r="V7729" s="16" t="str">
        <f>IFERROR(__xludf.DUMMYFUNCTION("""COMPUTED_VALUE"""),"")</f>
        <v/>
      </c>
      <c r="W7729" s="16" t="str">
        <f>IFERROR(__xludf.DUMMYFUNCTION("""COMPUTED_VALUE"""),"")</f>
        <v/>
      </c>
      <c r="X7729" s="16" t="str">
        <f>IFERROR(__xludf.DUMMYFUNCTION("""COMPUTED_VALUE"""),"")</f>
        <v/>
      </c>
      <c r="AC7729" s="16" t="str">
        <f>IFERROR(__xludf.DUMMYFUNCTION("""COMPUTED_VALUE"""),"")</f>
        <v/>
      </c>
    </row>
    <row r="7730">
      <c r="A7730" s="16" t="s">
        <v>87</v>
      </c>
      <c r="E7730" s="16" t="str">
        <f>IFERROR(__xludf.DUMMYFUNCTION("""COMPUTED_VALUE"""),"")</f>
        <v/>
      </c>
      <c r="G7730" s="18"/>
      <c r="H7730" s="16" t="s">
        <v>87</v>
      </c>
      <c r="I7730" s="16" t="s">
        <v>87</v>
      </c>
      <c r="J7730" s="19"/>
      <c r="L7730" s="16" t="str">
        <f>IFERROR(__xludf.DUMMYFUNCTION("""COMPUTED_VALUE"""),"")</f>
        <v/>
      </c>
      <c r="M7730" s="16" t="str">
        <f>IFERROR(__xludf.DUMMYFUNCTION("""COMPUTED_VALUE"""),"")</f>
        <v/>
      </c>
      <c r="U7730" s="16" t="s">
        <v>87</v>
      </c>
      <c r="V7730" s="16" t="str">
        <f>IFERROR(__xludf.DUMMYFUNCTION("""COMPUTED_VALUE"""),"")</f>
        <v/>
      </c>
      <c r="W7730" s="16" t="str">
        <f>IFERROR(__xludf.DUMMYFUNCTION("""COMPUTED_VALUE"""),"")</f>
        <v/>
      </c>
      <c r="X7730" s="16" t="str">
        <f>IFERROR(__xludf.DUMMYFUNCTION("""COMPUTED_VALUE"""),"")</f>
        <v/>
      </c>
      <c r="AC7730" s="16" t="str">
        <f>IFERROR(__xludf.DUMMYFUNCTION("""COMPUTED_VALUE"""),"")</f>
        <v/>
      </c>
    </row>
    <row r="7731">
      <c r="A7731" s="16" t="s">
        <v>87</v>
      </c>
      <c r="E7731" s="16" t="str">
        <f>IFERROR(__xludf.DUMMYFUNCTION("""COMPUTED_VALUE"""),"")</f>
        <v/>
      </c>
      <c r="G7731" s="18"/>
      <c r="H7731" s="16" t="s">
        <v>87</v>
      </c>
      <c r="I7731" s="16" t="s">
        <v>87</v>
      </c>
      <c r="J7731" s="19"/>
      <c r="L7731" s="16" t="str">
        <f>IFERROR(__xludf.DUMMYFUNCTION("""COMPUTED_VALUE"""),"")</f>
        <v/>
      </c>
      <c r="M7731" s="16" t="str">
        <f>IFERROR(__xludf.DUMMYFUNCTION("""COMPUTED_VALUE"""),"")</f>
        <v/>
      </c>
      <c r="U7731" s="16" t="s">
        <v>87</v>
      </c>
      <c r="V7731" s="16" t="str">
        <f>IFERROR(__xludf.DUMMYFUNCTION("""COMPUTED_VALUE"""),"")</f>
        <v/>
      </c>
      <c r="W7731" s="16" t="str">
        <f>IFERROR(__xludf.DUMMYFUNCTION("""COMPUTED_VALUE"""),"")</f>
        <v/>
      </c>
      <c r="X7731" s="16" t="str">
        <f>IFERROR(__xludf.DUMMYFUNCTION("""COMPUTED_VALUE"""),"")</f>
        <v/>
      </c>
      <c r="AC7731" s="16" t="str">
        <f>IFERROR(__xludf.DUMMYFUNCTION("""COMPUTED_VALUE"""),"")</f>
        <v/>
      </c>
    </row>
    <row r="7732">
      <c r="A7732" s="16" t="s">
        <v>87</v>
      </c>
      <c r="E7732" s="16" t="str">
        <f>IFERROR(__xludf.DUMMYFUNCTION("""COMPUTED_VALUE"""),"")</f>
        <v/>
      </c>
      <c r="G7732" s="18"/>
      <c r="H7732" s="16" t="s">
        <v>87</v>
      </c>
      <c r="I7732" s="16" t="s">
        <v>87</v>
      </c>
      <c r="J7732" s="19"/>
      <c r="L7732" s="16" t="str">
        <f>IFERROR(__xludf.DUMMYFUNCTION("""COMPUTED_VALUE"""),"")</f>
        <v/>
      </c>
      <c r="M7732" s="16" t="str">
        <f>IFERROR(__xludf.DUMMYFUNCTION("""COMPUTED_VALUE"""),"")</f>
        <v/>
      </c>
      <c r="U7732" s="16" t="s">
        <v>87</v>
      </c>
      <c r="V7732" s="16" t="str">
        <f>IFERROR(__xludf.DUMMYFUNCTION("""COMPUTED_VALUE"""),"")</f>
        <v/>
      </c>
      <c r="W7732" s="16" t="str">
        <f>IFERROR(__xludf.DUMMYFUNCTION("""COMPUTED_VALUE"""),"")</f>
        <v/>
      </c>
      <c r="X7732" s="16" t="str">
        <f>IFERROR(__xludf.DUMMYFUNCTION("""COMPUTED_VALUE"""),"")</f>
        <v/>
      </c>
      <c r="AC7732" s="16" t="str">
        <f>IFERROR(__xludf.DUMMYFUNCTION("""COMPUTED_VALUE"""),"")</f>
        <v/>
      </c>
    </row>
    <row r="7733">
      <c r="A7733" s="16" t="s">
        <v>87</v>
      </c>
      <c r="E7733" s="16" t="str">
        <f>IFERROR(__xludf.DUMMYFUNCTION("""COMPUTED_VALUE"""),"")</f>
        <v/>
      </c>
      <c r="G7733" s="18"/>
      <c r="H7733" s="16" t="s">
        <v>87</v>
      </c>
      <c r="I7733" s="16" t="s">
        <v>87</v>
      </c>
      <c r="J7733" s="19"/>
      <c r="L7733" s="16" t="str">
        <f>IFERROR(__xludf.DUMMYFUNCTION("""COMPUTED_VALUE"""),"")</f>
        <v/>
      </c>
      <c r="M7733" s="16" t="str">
        <f>IFERROR(__xludf.DUMMYFUNCTION("""COMPUTED_VALUE"""),"")</f>
        <v/>
      </c>
      <c r="U7733" s="16" t="s">
        <v>87</v>
      </c>
      <c r="V7733" s="16" t="str">
        <f>IFERROR(__xludf.DUMMYFUNCTION("""COMPUTED_VALUE"""),"")</f>
        <v/>
      </c>
      <c r="W7733" s="16" t="str">
        <f>IFERROR(__xludf.DUMMYFUNCTION("""COMPUTED_VALUE"""),"")</f>
        <v/>
      </c>
      <c r="X7733" s="16" t="str">
        <f>IFERROR(__xludf.DUMMYFUNCTION("""COMPUTED_VALUE"""),"")</f>
        <v/>
      </c>
      <c r="AC7733" s="16" t="str">
        <f>IFERROR(__xludf.DUMMYFUNCTION("""COMPUTED_VALUE"""),"")</f>
        <v/>
      </c>
    </row>
    <row r="7734">
      <c r="A7734" s="16" t="s">
        <v>87</v>
      </c>
      <c r="E7734" s="16" t="str">
        <f>IFERROR(__xludf.DUMMYFUNCTION("""COMPUTED_VALUE"""),"")</f>
        <v/>
      </c>
      <c r="G7734" s="18"/>
      <c r="H7734" s="16" t="s">
        <v>87</v>
      </c>
      <c r="I7734" s="16" t="s">
        <v>87</v>
      </c>
      <c r="J7734" s="19"/>
      <c r="L7734" s="16" t="str">
        <f>IFERROR(__xludf.DUMMYFUNCTION("""COMPUTED_VALUE"""),"")</f>
        <v/>
      </c>
      <c r="M7734" s="16" t="str">
        <f>IFERROR(__xludf.DUMMYFUNCTION("""COMPUTED_VALUE"""),"")</f>
        <v/>
      </c>
      <c r="U7734" s="16" t="s">
        <v>87</v>
      </c>
      <c r="V7734" s="16" t="str">
        <f>IFERROR(__xludf.DUMMYFUNCTION("""COMPUTED_VALUE"""),"")</f>
        <v/>
      </c>
      <c r="W7734" s="16" t="str">
        <f>IFERROR(__xludf.DUMMYFUNCTION("""COMPUTED_VALUE"""),"")</f>
        <v/>
      </c>
      <c r="X7734" s="16" t="str">
        <f>IFERROR(__xludf.DUMMYFUNCTION("""COMPUTED_VALUE"""),"")</f>
        <v/>
      </c>
      <c r="AC7734" s="16" t="str">
        <f>IFERROR(__xludf.DUMMYFUNCTION("""COMPUTED_VALUE"""),"")</f>
        <v/>
      </c>
    </row>
    <row r="7735">
      <c r="A7735" s="16" t="s">
        <v>87</v>
      </c>
      <c r="E7735" s="16" t="str">
        <f>IFERROR(__xludf.DUMMYFUNCTION("""COMPUTED_VALUE"""),"")</f>
        <v/>
      </c>
      <c r="G7735" s="18"/>
      <c r="H7735" s="16" t="s">
        <v>87</v>
      </c>
      <c r="I7735" s="16" t="s">
        <v>87</v>
      </c>
      <c r="J7735" s="19"/>
      <c r="L7735" s="16" t="str">
        <f>IFERROR(__xludf.DUMMYFUNCTION("""COMPUTED_VALUE"""),"")</f>
        <v/>
      </c>
      <c r="M7735" s="16" t="str">
        <f>IFERROR(__xludf.DUMMYFUNCTION("""COMPUTED_VALUE"""),"")</f>
        <v/>
      </c>
      <c r="U7735" s="16" t="s">
        <v>87</v>
      </c>
      <c r="V7735" s="16" t="str">
        <f>IFERROR(__xludf.DUMMYFUNCTION("""COMPUTED_VALUE"""),"")</f>
        <v/>
      </c>
      <c r="W7735" s="16" t="str">
        <f>IFERROR(__xludf.DUMMYFUNCTION("""COMPUTED_VALUE"""),"")</f>
        <v/>
      </c>
      <c r="X7735" s="16" t="str">
        <f>IFERROR(__xludf.DUMMYFUNCTION("""COMPUTED_VALUE"""),"")</f>
        <v/>
      </c>
      <c r="AC7735" s="16" t="str">
        <f>IFERROR(__xludf.DUMMYFUNCTION("""COMPUTED_VALUE"""),"")</f>
        <v/>
      </c>
    </row>
    <row r="7736">
      <c r="A7736" s="16" t="s">
        <v>87</v>
      </c>
      <c r="E7736" s="16" t="str">
        <f>IFERROR(__xludf.DUMMYFUNCTION("""COMPUTED_VALUE"""),"")</f>
        <v/>
      </c>
      <c r="G7736" s="18"/>
      <c r="H7736" s="16" t="s">
        <v>87</v>
      </c>
      <c r="I7736" s="16" t="s">
        <v>87</v>
      </c>
      <c r="J7736" s="19"/>
      <c r="L7736" s="16" t="str">
        <f>IFERROR(__xludf.DUMMYFUNCTION("""COMPUTED_VALUE"""),"")</f>
        <v/>
      </c>
      <c r="M7736" s="16" t="str">
        <f>IFERROR(__xludf.DUMMYFUNCTION("""COMPUTED_VALUE"""),"")</f>
        <v/>
      </c>
      <c r="U7736" s="16" t="s">
        <v>87</v>
      </c>
      <c r="V7736" s="16" t="str">
        <f>IFERROR(__xludf.DUMMYFUNCTION("""COMPUTED_VALUE"""),"")</f>
        <v/>
      </c>
      <c r="W7736" s="16" t="str">
        <f>IFERROR(__xludf.DUMMYFUNCTION("""COMPUTED_VALUE"""),"")</f>
        <v/>
      </c>
      <c r="X7736" s="16" t="str">
        <f>IFERROR(__xludf.DUMMYFUNCTION("""COMPUTED_VALUE"""),"")</f>
        <v/>
      </c>
      <c r="AC7736" s="16" t="str">
        <f>IFERROR(__xludf.DUMMYFUNCTION("""COMPUTED_VALUE"""),"")</f>
        <v/>
      </c>
    </row>
    <row r="7737">
      <c r="A7737" s="16" t="s">
        <v>87</v>
      </c>
      <c r="E7737" s="16" t="str">
        <f>IFERROR(__xludf.DUMMYFUNCTION("""COMPUTED_VALUE"""),"")</f>
        <v/>
      </c>
      <c r="G7737" s="18"/>
      <c r="H7737" s="16" t="s">
        <v>87</v>
      </c>
      <c r="I7737" s="16" t="s">
        <v>87</v>
      </c>
      <c r="J7737" s="19"/>
      <c r="L7737" s="16" t="str">
        <f>IFERROR(__xludf.DUMMYFUNCTION("""COMPUTED_VALUE"""),"")</f>
        <v/>
      </c>
      <c r="M7737" s="16" t="str">
        <f>IFERROR(__xludf.DUMMYFUNCTION("""COMPUTED_VALUE"""),"")</f>
        <v/>
      </c>
      <c r="U7737" s="16" t="s">
        <v>87</v>
      </c>
      <c r="V7737" s="16" t="str">
        <f>IFERROR(__xludf.DUMMYFUNCTION("""COMPUTED_VALUE"""),"")</f>
        <v/>
      </c>
      <c r="W7737" s="16" t="str">
        <f>IFERROR(__xludf.DUMMYFUNCTION("""COMPUTED_VALUE"""),"")</f>
        <v/>
      </c>
      <c r="X7737" s="16" t="str">
        <f>IFERROR(__xludf.DUMMYFUNCTION("""COMPUTED_VALUE"""),"")</f>
        <v/>
      </c>
      <c r="AC7737" s="16" t="str">
        <f>IFERROR(__xludf.DUMMYFUNCTION("""COMPUTED_VALUE"""),"")</f>
        <v/>
      </c>
    </row>
    <row r="7738">
      <c r="A7738" s="16" t="s">
        <v>87</v>
      </c>
      <c r="E7738" s="16" t="str">
        <f>IFERROR(__xludf.DUMMYFUNCTION("""COMPUTED_VALUE"""),"")</f>
        <v/>
      </c>
      <c r="G7738" s="18"/>
      <c r="H7738" s="16" t="s">
        <v>87</v>
      </c>
      <c r="I7738" s="16" t="s">
        <v>87</v>
      </c>
      <c r="J7738" s="19"/>
      <c r="L7738" s="16" t="str">
        <f>IFERROR(__xludf.DUMMYFUNCTION("""COMPUTED_VALUE"""),"")</f>
        <v/>
      </c>
      <c r="M7738" s="16" t="str">
        <f>IFERROR(__xludf.DUMMYFUNCTION("""COMPUTED_VALUE"""),"")</f>
        <v/>
      </c>
      <c r="U7738" s="16" t="s">
        <v>87</v>
      </c>
      <c r="V7738" s="16" t="str">
        <f>IFERROR(__xludf.DUMMYFUNCTION("""COMPUTED_VALUE"""),"")</f>
        <v/>
      </c>
      <c r="W7738" s="16" t="str">
        <f>IFERROR(__xludf.DUMMYFUNCTION("""COMPUTED_VALUE"""),"")</f>
        <v/>
      </c>
      <c r="X7738" s="16" t="str">
        <f>IFERROR(__xludf.DUMMYFUNCTION("""COMPUTED_VALUE"""),"")</f>
        <v/>
      </c>
      <c r="AC7738" s="16" t="str">
        <f>IFERROR(__xludf.DUMMYFUNCTION("""COMPUTED_VALUE"""),"")</f>
        <v/>
      </c>
    </row>
    <row r="7739">
      <c r="A7739" s="16" t="s">
        <v>87</v>
      </c>
      <c r="E7739" s="16" t="str">
        <f>IFERROR(__xludf.DUMMYFUNCTION("""COMPUTED_VALUE"""),"")</f>
        <v/>
      </c>
      <c r="G7739" s="18"/>
      <c r="H7739" s="16" t="s">
        <v>87</v>
      </c>
      <c r="I7739" s="16" t="s">
        <v>87</v>
      </c>
      <c r="J7739" s="19"/>
      <c r="L7739" s="16" t="str">
        <f>IFERROR(__xludf.DUMMYFUNCTION("""COMPUTED_VALUE"""),"")</f>
        <v/>
      </c>
      <c r="M7739" s="16" t="str">
        <f>IFERROR(__xludf.DUMMYFUNCTION("""COMPUTED_VALUE"""),"")</f>
        <v/>
      </c>
      <c r="U7739" s="16" t="s">
        <v>87</v>
      </c>
      <c r="V7739" s="16" t="str">
        <f>IFERROR(__xludf.DUMMYFUNCTION("""COMPUTED_VALUE"""),"")</f>
        <v/>
      </c>
      <c r="W7739" s="16" t="str">
        <f>IFERROR(__xludf.DUMMYFUNCTION("""COMPUTED_VALUE"""),"")</f>
        <v/>
      </c>
      <c r="X7739" s="16" t="str">
        <f>IFERROR(__xludf.DUMMYFUNCTION("""COMPUTED_VALUE"""),"")</f>
        <v/>
      </c>
      <c r="AC7739" s="16" t="str">
        <f>IFERROR(__xludf.DUMMYFUNCTION("""COMPUTED_VALUE"""),"")</f>
        <v/>
      </c>
    </row>
    <row r="7740">
      <c r="A7740" s="16" t="s">
        <v>87</v>
      </c>
      <c r="E7740" s="16" t="str">
        <f>IFERROR(__xludf.DUMMYFUNCTION("""COMPUTED_VALUE"""),"")</f>
        <v/>
      </c>
      <c r="G7740" s="18"/>
      <c r="H7740" s="16" t="s">
        <v>87</v>
      </c>
      <c r="I7740" s="16" t="s">
        <v>87</v>
      </c>
      <c r="J7740" s="19"/>
      <c r="L7740" s="16" t="str">
        <f>IFERROR(__xludf.DUMMYFUNCTION("""COMPUTED_VALUE"""),"")</f>
        <v/>
      </c>
      <c r="M7740" s="16" t="str">
        <f>IFERROR(__xludf.DUMMYFUNCTION("""COMPUTED_VALUE"""),"")</f>
        <v/>
      </c>
      <c r="U7740" s="16" t="s">
        <v>87</v>
      </c>
      <c r="V7740" s="16" t="str">
        <f>IFERROR(__xludf.DUMMYFUNCTION("""COMPUTED_VALUE"""),"")</f>
        <v/>
      </c>
      <c r="W7740" s="16" t="str">
        <f>IFERROR(__xludf.DUMMYFUNCTION("""COMPUTED_VALUE"""),"")</f>
        <v/>
      </c>
      <c r="X7740" s="16" t="str">
        <f>IFERROR(__xludf.DUMMYFUNCTION("""COMPUTED_VALUE"""),"")</f>
        <v/>
      </c>
      <c r="AC7740" s="16" t="str">
        <f>IFERROR(__xludf.DUMMYFUNCTION("""COMPUTED_VALUE"""),"")</f>
        <v/>
      </c>
    </row>
    <row r="7741">
      <c r="A7741" s="16" t="s">
        <v>87</v>
      </c>
      <c r="E7741" s="16" t="str">
        <f>IFERROR(__xludf.DUMMYFUNCTION("""COMPUTED_VALUE"""),"")</f>
        <v/>
      </c>
      <c r="G7741" s="18"/>
      <c r="H7741" s="16" t="s">
        <v>87</v>
      </c>
      <c r="I7741" s="16" t="s">
        <v>87</v>
      </c>
      <c r="J7741" s="19"/>
      <c r="L7741" s="16" t="str">
        <f>IFERROR(__xludf.DUMMYFUNCTION("""COMPUTED_VALUE"""),"")</f>
        <v/>
      </c>
      <c r="M7741" s="16" t="str">
        <f>IFERROR(__xludf.DUMMYFUNCTION("""COMPUTED_VALUE"""),"")</f>
        <v/>
      </c>
      <c r="U7741" s="16" t="s">
        <v>87</v>
      </c>
      <c r="V7741" s="16" t="str">
        <f>IFERROR(__xludf.DUMMYFUNCTION("""COMPUTED_VALUE"""),"")</f>
        <v/>
      </c>
      <c r="W7741" s="16" t="str">
        <f>IFERROR(__xludf.DUMMYFUNCTION("""COMPUTED_VALUE"""),"")</f>
        <v/>
      </c>
      <c r="X7741" s="16" t="str">
        <f>IFERROR(__xludf.DUMMYFUNCTION("""COMPUTED_VALUE"""),"")</f>
        <v/>
      </c>
      <c r="AC7741" s="16" t="str">
        <f>IFERROR(__xludf.DUMMYFUNCTION("""COMPUTED_VALUE"""),"")</f>
        <v/>
      </c>
    </row>
    <row r="7742">
      <c r="A7742" s="16" t="s">
        <v>87</v>
      </c>
      <c r="E7742" s="16" t="str">
        <f>IFERROR(__xludf.DUMMYFUNCTION("""COMPUTED_VALUE"""),"")</f>
        <v/>
      </c>
      <c r="G7742" s="18"/>
      <c r="H7742" s="16" t="s">
        <v>87</v>
      </c>
      <c r="I7742" s="16" t="s">
        <v>87</v>
      </c>
      <c r="J7742" s="19"/>
      <c r="L7742" s="16" t="str">
        <f>IFERROR(__xludf.DUMMYFUNCTION("""COMPUTED_VALUE"""),"")</f>
        <v/>
      </c>
      <c r="M7742" s="16" t="str">
        <f>IFERROR(__xludf.DUMMYFUNCTION("""COMPUTED_VALUE"""),"")</f>
        <v/>
      </c>
      <c r="U7742" s="16" t="s">
        <v>87</v>
      </c>
      <c r="V7742" s="16" t="str">
        <f>IFERROR(__xludf.DUMMYFUNCTION("""COMPUTED_VALUE"""),"")</f>
        <v/>
      </c>
      <c r="W7742" s="16" t="str">
        <f>IFERROR(__xludf.DUMMYFUNCTION("""COMPUTED_VALUE"""),"")</f>
        <v/>
      </c>
      <c r="X7742" s="16" t="str">
        <f>IFERROR(__xludf.DUMMYFUNCTION("""COMPUTED_VALUE"""),"")</f>
        <v/>
      </c>
      <c r="AC7742" s="16" t="str">
        <f>IFERROR(__xludf.DUMMYFUNCTION("""COMPUTED_VALUE"""),"")</f>
        <v/>
      </c>
    </row>
    <row r="7743">
      <c r="A7743" s="16" t="s">
        <v>87</v>
      </c>
      <c r="E7743" s="16" t="str">
        <f>IFERROR(__xludf.DUMMYFUNCTION("""COMPUTED_VALUE"""),"")</f>
        <v/>
      </c>
      <c r="G7743" s="18"/>
      <c r="H7743" s="16" t="s">
        <v>87</v>
      </c>
      <c r="I7743" s="16" t="s">
        <v>87</v>
      </c>
      <c r="J7743" s="19"/>
      <c r="L7743" s="16" t="str">
        <f>IFERROR(__xludf.DUMMYFUNCTION("""COMPUTED_VALUE"""),"")</f>
        <v/>
      </c>
      <c r="M7743" s="16" t="str">
        <f>IFERROR(__xludf.DUMMYFUNCTION("""COMPUTED_VALUE"""),"")</f>
        <v/>
      </c>
      <c r="U7743" s="16" t="s">
        <v>87</v>
      </c>
      <c r="V7743" s="16" t="str">
        <f>IFERROR(__xludf.DUMMYFUNCTION("""COMPUTED_VALUE"""),"")</f>
        <v/>
      </c>
      <c r="W7743" s="16" t="str">
        <f>IFERROR(__xludf.DUMMYFUNCTION("""COMPUTED_VALUE"""),"")</f>
        <v/>
      </c>
      <c r="X7743" s="16" t="str">
        <f>IFERROR(__xludf.DUMMYFUNCTION("""COMPUTED_VALUE"""),"")</f>
        <v/>
      </c>
      <c r="AC7743" s="16" t="str">
        <f>IFERROR(__xludf.DUMMYFUNCTION("""COMPUTED_VALUE"""),"")</f>
        <v/>
      </c>
    </row>
    <row r="7744">
      <c r="A7744" s="16" t="s">
        <v>87</v>
      </c>
      <c r="E7744" s="16" t="str">
        <f>IFERROR(__xludf.DUMMYFUNCTION("""COMPUTED_VALUE"""),"")</f>
        <v/>
      </c>
      <c r="G7744" s="18"/>
      <c r="H7744" s="16" t="s">
        <v>87</v>
      </c>
      <c r="I7744" s="16" t="s">
        <v>87</v>
      </c>
      <c r="J7744" s="19"/>
      <c r="L7744" s="16" t="str">
        <f>IFERROR(__xludf.DUMMYFUNCTION("""COMPUTED_VALUE"""),"")</f>
        <v/>
      </c>
      <c r="M7744" s="16" t="str">
        <f>IFERROR(__xludf.DUMMYFUNCTION("""COMPUTED_VALUE"""),"")</f>
        <v/>
      </c>
      <c r="U7744" s="16" t="s">
        <v>87</v>
      </c>
      <c r="V7744" s="16" t="str">
        <f>IFERROR(__xludf.DUMMYFUNCTION("""COMPUTED_VALUE"""),"")</f>
        <v/>
      </c>
      <c r="W7744" s="16" t="str">
        <f>IFERROR(__xludf.DUMMYFUNCTION("""COMPUTED_VALUE"""),"")</f>
        <v/>
      </c>
      <c r="X7744" s="16" t="str">
        <f>IFERROR(__xludf.DUMMYFUNCTION("""COMPUTED_VALUE"""),"")</f>
        <v/>
      </c>
      <c r="AC7744" s="16" t="str">
        <f>IFERROR(__xludf.DUMMYFUNCTION("""COMPUTED_VALUE"""),"")</f>
        <v/>
      </c>
    </row>
    <row r="7745">
      <c r="A7745" s="16" t="s">
        <v>87</v>
      </c>
      <c r="E7745" s="16" t="str">
        <f>IFERROR(__xludf.DUMMYFUNCTION("""COMPUTED_VALUE"""),"")</f>
        <v/>
      </c>
      <c r="G7745" s="18"/>
      <c r="H7745" s="16" t="s">
        <v>87</v>
      </c>
      <c r="I7745" s="16" t="s">
        <v>87</v>
      </c>
      <c r="J7745" s="19"/>
      <c r="L7745" s="16" t="str">
        <f>IFERROR(__xludf.DUMMYFUNCTION("""COMPUTED_VALUE"""),"")</f>
        <v/>
      </c>
      <c r="M7745" s="16" t="str">
        <f>IFERROR(__xludf.DUMMYFUNCTION("""COMPUTED_VALUE"""),"")</f>
        <v/>
      </c>
      <c r="U7745" s="16" t="s">
        <v>87</v>
      </c>
      <c r="V7745" s="16" t="str">
        <f>IFERROR(__xludf.DUMMYFUNCTION("""COMPUTED_VALUE"""),"")</f>
        <v/>
      </c>
      <c r="W7745" s="16" t="str">
        <f>IFERROR(__xludf.DUMMYFUNCTION("""COMPUTED_VALUE"""),"")</f>
        <v/>
      </c>
      <c r="X7745" s="16" t="str">
        <f>IFERROR(__xludf.DUMMYFUNCTION("""COMPUTED_VALUE"""),"")</f>
        <v/>
      </c>
      <c r="AC7745" s="16" t="str">
        <f>IFERROR(__xludf.DUMMYFUNCTION("""COMPUTED_VALUE"""),"")</f>
        <v/>
      </c>
    </row>
    <row r="7746">
      <c r="A7746" s="16" t="s">
        <v>87</v>
      </c>
      <c r="E7746" s="16" t="str">
        <f>IFERROR(__xludf.DUMMYFUNCTION("""COMPUTED_VALUE"""),"")</f>
        <v/>
      </c>
      <c r="G7746" s="18"/>
      <c r="H7746" s="16" t="s">
        <v>87</v>
      </c>
      <c r="I7746" s="16" t="s">
        <v>87</v>
      </c>
      <c r="J7746" s="19"/>
      <c r="L7746" s="16" t="str">
        <f>IFERROR(__xludf.DUMMYFUNCTION("""COMPUTED_VALUE"""),"")</f>
        <v/>
      </c>
      <c r="M7746" s="16" t="str">
        <f>IFERROR(__xludf.DUMMYFUNCTION("""COMPUTED_VALUE"""),"")</f>
        <v/>
      </c>
      <c r="U7746" s="16" t="s">
        <v>87</v>
      </c>
      <c r="V7746" s="16" t="str">
        <f>IFERROR(__xludf.DUMMYFUNCTION("""COMPUTED_VALUE"""),"")</f>
        <v/>
      </c>
      <c r="W7746" s="16" t="str">
        <f>IFERROR(__xludf.DUMMYFUNCTION("""COMPUTED_VALUE"""),"")</f>
        <v/>
      </c>
      <c r="X7746" s="16" t="str">
        <f>IFERROR(__xludf.DUMMYFUNCTION("""COMPUTED_VALUE"""),"")</f>
        <v/>
      </c>
      <c r="AC7746" s="16" t="str">
        <f>IFERROR(__xludf.DUMMYFUNCTION("""COMPUTED_VALUE"""),"")</f>
        <v/>
      </c>
    </row>
    <row r="7747">
      <c r="A7747" s="16" t="s">
        <v>87</v>
      </c>
      <c r="E7747" s="16" t="str">
        <f>IFERROR(__xludf.DUMMYFUNCTION("""COMPUTED_VALUE"""),"")</f>
        <v/>
      </c>
      <c r="G7747" s="18"/>
      <c r="H7747" s="16" t="s">
        <v>87</v>
      </c>
      <c r="I7747" s="16" t="s">
        <v>87</v>
      </c>
      <c r="J7747" s="19"/>
      <c r="L7747" s="16" t="str">
        <f>IFERROR(__xludf.DUMMYFUNCTION("""COMPUTED_VALUE"""),"")</f>
        <v/>
      </c>
      <c r="M7747" s="16" t="str">
        <f>IFERROR(__xludf.DUMMYFUNCTION("""COMPUTED_VALUE"""),"")</f>
        <v/>
      </c>
      <c r="U7747" s="16" t="s">
        <v>87</v>
      </c>
      <c r="V7747" s="16" t="str">
        <f>IFERROR(__xludf.DUMMYFUNCTION("""COMPUTED_VALUE"""),"")</f>
        <v/>
      </c>
      <c r="W7747" s="16" t="str">
        <f>IFERROR(__xludf.DUMMYFUNCTION("""COMPUTED_VALUE"""),"")</f>
        <v/>
      </c>
      <c r="X7747" s="16" t="str">
        <f>IFERROR(__xludf.DUMMYFUNCTION("""COMPUTED_VALUE"""),"")</f>
        <v/>
      </c>
      <c r="AC7747" s="16" t="str">
        <f>IFERROR(__xludf.DUMMYFUNCTION("""COMPUTED_VALUE"""),"")</f>
        <v/>
      </c>
    </row>
    <row r="7748">
      <c r="A7748" s="16" t="s">
        <v>87</v>
      </c>
      <c r="E7748" s="16" t="str">
        <f>IFERROR(__xludf.DUMMYFUNCTION("""COMPUTED_VALUE"""),"")</f>
        <v/>
      </c>
      <c r="G7748" s="18"/>
      <c r="H7748" s="16" t="s">
        <v>87</v>
      </c>
      <c r="I7748" s="16" t="s">
        <v>87</v>
      </c>
      <c r="J7748" s="19"/>
      <c r="L7748" s="16" t="str">
        <f>IFERROR(__xludf.DUMMYFUNCTION("""COMPUTED_VALUE"""),"")</f>
        <v/>
      </c>
      <c r="M7748" s="16" t="str">
        <f>IFERROR(__xludf.DUMMYFUNCTION("""COMPUTED_VALUE"""),"")</f>
        <v/>
      </c>
      <c r="U7748" s="16" t="s">
        <v>87</v>
      </c>
      <c r="V7748" s="16" t="str">
        <f>IFERROR(__xludf.DUMMYFUNCTION("""COMPUTED_VALUE"""),"")</f>
        <v/>
      </c>
      <c r="W7748" s="16" t="str">
        <f>IFERROR(__xludf.DUMMYFUNCTION("""COMPUTED_VALUE"""),"")</f>
        <v/>
      </c>
      <c r="X7748" s="16" t="str">
        <f>IFERROR(__xludf.DUMMYFUNCTION("""COMPUTED_VALUE"""),"")</f>
        <v/>
      </c>
      <c r="AC7748" s="16" t="str">
        <f>IFERROR(__xludf.DUMMYFUNCTION("""COMPUTED_VALUE"""),"")</f>
        <v/>
      </c>
    </row>
    <row r="7749">
      <c r="A7749" s="16" t="s">
        <v>87</v>
      </c>
      <c r="E7749" s="16" t="str">
        <f>IFERROR(__xludf.DUMMYFUNCTION("""COMPUTED_VALUE"""),"")</f>
        <v/>
      </c>
      <c r="G7749" s="18"/>
      <c r="H7749" s="16" t="s">
        <v>87</v>
      </c>
      <c r="I7749" s="16" t="s">
        <v>87</v>
      </c>
      <c r="J7749" s="19"/>
      <c r="L7749" s="16" t="str">
        <f>IFERROR(__xludf.DUMMYFUNCTION("""COMPUTED_VALUE"""),"")</f>
        <v/>
      </c>
      <c r="M7749" s="16" t="str">
        <f>IFERROR(__xludf.DUMMYFUNCTION("""COMPUTED_VALUE"""),"")</f>
        <v/>
      </c>
      <c r="U7749" s="16" t="s">
        <v>87</v>
      </c>
      <c r="V7749" s="16" t="str">
        <f>IFERROR(__xludf.DUMMYFUNCTION("""COMPUTED_VALUE"""),"")</f>
        <v/>
      </c>
      <c r="W7749" s="16" t="str">
        <f>IFERROR(__xludf.DUMMYFUNCTION("""COMPUTED_VALUE"""),"")</f>
        <v/>
      </c>
      <c r="X7749" s="16" t="str">
        <f>IFERROR(__xludf.DUMMYFUNCTION("""COMPUTED_VALUE"""),"")</f>
        <v/>
      </c>
      <c r="AC7749" s="16" t="str">
        <f>IFERROR(__xludf.DUMMYFUNCTION("""COMPUTED_VALUE"""),"")</f>
        <v/>
      </c>
    </row>
    <row r="7750">
      <c r="A7750" s="16" t="s">
        <v>87</v>
      </c>
      <c r="E7750" s="16" t="str">
        <f>IFERROR(__xludf.DUMMYFUNCTION("""COMPUTED_VALUE"""),"")</f>
        <v/>
      </c>
      <c r="G7750" s="18"/>
      <c r="H7750" s="16" t="s">
        <v>87</v>
      </c>
      <c r="I7750" s="16" t="s">
        <v>87</v>
      </c>
      <c r="J7750" s="19"/>
      <c r="L7750" s="16" t="str">
        <f>IFERROR(__xludf.DUMMYFUNCTION("""COMPUTED_VALUE"""),"")</f>
        <v/>
      </c>
      <c r="M7750" s="16" t="str">
        <f>IFERROR(__xludf.DUMMYFUNCTION("""COMPUTED_VALUE"""),"")</f>
        <v/>
      </c>
      <c r="U7750" s="16" t="s">
        <v>87</v>
      </c>
      <c r="V7750" s="16" t="str">
        <f>IFERROR(__xludf.DUMMYFUNCTION("""COMPUTED_VALUE"""),"")</f>
        <v/>
      </c>
      <c r="W7750" s="16" t="str">
        <f>IFERROR(__xludf.DUMMYFUNCTION("""COMPUTED_VALUE"""),"")</f>
        <v/>
      </c>
      <c r="X7750" s="16" t="str">
        <f>IFERROR(__xludf.DUMMYFUNCTION("""COMPUTED_VALUE"""),"")</f>
        <v/>
      </c>
      <c r="AC7750" s="16" t="str">
        <f>IFERROR(__xludf.DUMMYFUNCTION("""COMPUTED_VALUE"""),"")</f>
        <v/>
      </c>
    </row>
    <row r="7751">
      <c r="A7751" s="16" t="s">
        <v>87</v>
      </c>
      <c r="E7751" s="16" t="str">
        <f>IFERROR(__xludf.DUMMYFUNCTION("""COMPUTED_VALUE"""),"")</f>
        <v/>
      </c>
      <c r="G7751" s="18"/>
      <c r="H7751" s="16" t="s">
        <v>87</v>
      </c>
      <c r="I7751" s="16" t="s">
        <v>87</v>
      </c>
      <c r="J7751" s="19"/>
      <c r="L7751" s="16" t="str">
        <f>IFERROR(__xludf.DUMMYFUNCTION("""COMPUTED_VALUE"""),"")</f>
        <v/>
      </c>
      <c r="M7751" s="16" t="str">
        <f>IFERROR(__xludf.DUMMYFUNCTION("""COMPUTED_VALUE"""),"")</f>
        <v/>
      </c>
      <c r="U7751" s="16" t="s">
        <v>87</v>
      </c>
      <c r="V7751" s="16" t="str">
        <f>IFERROR(__xludf.DUMMYFUNCTION("""COMPUTED_VALUE"""),"")</f>
        <v/>
      </c>
      <c r="W7751" s="16" t="str">
        <f>IFERROR(__xludf.DUMMYFUNCTION("""COMPUTED_VALUE"""),"")</f>
        <v/>
      </c>
      <c r="X7751" s="16" t="str">
        <f>IFERROR(__xludf.DUMMYFUNCTION("""COMPUTED_VALUE"""),"")</f>
        <v/>
      </c>
      <c r="AC7751" s="16" t="str">
        <f>IFERROR(__xludf.DUMMYFUNCTION("""COMPUTED_VALUE"""),"")</f>
        <v/>
      </c>
    </row>
    <row r="7752">
      <c r="A7752" s="16" t="s">
        <v>87</v>
      </c>
      <c r="E7752" s="16" t="str">
        <f>IFERROR(__xludf.DUMMYFUNCTION("""COMPUTED_VALUE"""),"")</f>
        <v/>
      </c>
      <c r="G7752" s="18"/>
      <c r="H7752" s="16" t="s">
        <v>87</v>
      </c>
      <c r="I7752" s="16" t="s">
        <v>87</v>
      </c>
      <c r="J7752" s="19"/>
      <c r="L7752" s="16" t="str">
        <f>IFERROR(__xludf.DUMMYFUNCTION("""COMPUTED_VALUE"""),"")</f>
        <v/>
      </c>
      <c r="M7752" s="16" t="str">
        <f>IFERROR(__xludf.DUMMYFUNCTION("""COMPUTED_VALUE"""),"")</f>
        <v/>
      </c>
      <c r="U7752" s="16" t="s">
        <v>87</v>
      </c>
      <c r="V7752" s="16" t="str">
        <f>IFERROR(__xludf.DUMMYFUNCTION("""COMPUTED_VALUE"""),"")</f>
        <v/>
      </c>
      <c r="W7752" s="16" t="str">
        <f>IFERROR(__xludf.DUMMYFUNCTION("""COMPUTED_VALUE"""),"")</f>
        <v/>
      </c>
      <c r="X7752" s="16" t="str">
        <f>IFERROR(__xludf.DUMMYFUNCTION("""COMPUTED_VALUE"""),"")</f>
        <v/>
      </c>
      <c r="AC7752" s="16" t="str">
        <f>IFERROR(__xludf.DUMMYFUNCTION("""COMPUTED_VALUE"""),"")</f>
        <v/>
      </c>
    </row>
    <row r="7753">
      <c r="A7753" s="16" t="s">
        <v>87</v>
      </c>
      <c r="E7753" s="16" t="str">
        <f>IFERROR(__xludf.DUMMYFUNCTION("""COMPUTED_VALUE"""),"")</f>
        <v/>
      </c>
      <c r="G7753" s="18"/>
      <c r="H7753" s="16" t="s">
        <v>87</v>
      </c>
      <c r="I7753" s="16" t="s">
        <v>87</v>
      </c>
      <c r="J7753" s="19"/>
      <c r="L7753" s="16" t="str">
        <f>IFERROR(__xludf.DUMMYFUNCTION("""COMPUTED_VALUE"""),"")</f>
        <v/>
      </c>
      <c r="M7753" s="16" t="str">
        <f>IFERROR(__xludf.DUMMYFUNCTION("""COMPUTED_VALUE"""),"")</f>
        <v/>
      </c>
      <c r="U7753" s="16" t="s">
        <v>87</v>
      </c>
      <c r="V7753" s="16" t="str">
        <f>IFERROR(__xludf.DUMMYFUNCTION("""COMPUTED_VALUE"""),"")</f>
        <v/>
      </c>
      <c r="W7753" s="16" t="str">
        <f>IFERROR(__xludf.DUMMYFUNCTION("""COMPUTED_VALUE"""),"")</f>
        <v/>
      </c>
      <c r="X7753" s="16" t="str">
        <f>IFERROR(__xludf.DUMMYFUNCTION("""COMPUTED_VALUE"""),"")</f>
        <v/>
      </c>
      <c r="AC7753" s="16" t="str">
        <f>IFERROR(__xludf.DUMMYFUNCTION("""COMPUTED_VALUE"""),"")</f>
        <v/>
      </c>
    </row>
    <row r="7754">
      <c r="A7754" s="16" t="s">
        <v>87</v>
      </c>
      <c r="E7754" s="16" t="str">
        <f>IFERROR(__xludf.DUMMYFUNCTION("""COMPUTED_VALUE"""),"")</f>
        <v/>
      </c>
      <c r="G7754" s="18"/>
      <c r="H7754" s="16" t="s">
        <v>87</v>
      </c>
      <c r="I7754" s="16" t="s">
        <v>87</v>
      </c>
      <c r="J7754" s="19"/>
      <c r="L7754" s="16" t="str">
        <f>IFERROR(__xludf.DUMMYFUNCTION("""COMPUTED_VALUE"""),"")</f>
        <v/>
      </c>
      <c r="M7754" s="16" t="str">
        <f>IFERROR(__xludf.DUMMYFUNCTION("""COMPUTED_VALUE"""),"")</f>
        <v/>
      </c>
      <c r="U7754" s="16" t="s">
        <v>87</v>
      </c>
      <c r="V7754" s="16" t="str">
        <f>IFERROR(__xludf.DUMMYFUNCTION("""COMPUTED_VALUE"""),"")</f>
        <v/>
      </c>
      <c r="W7754" s="16" t="str">
        <f>IFERROR(__xludf.DUMMYFUNCTION("""COMPUTED_VALUE"""),"")</f>
        <v/>
      </c>
      <c r="X7754" s="16" t="str">
        <f>IFERROR(__xludf.DUMMYFUNCTION("""COMPUTED_VALUE"""),"")</f>
        <v/>
      </c>
      <c r="AC7754" s="16" t="str">
        <f>IFERROR(__xludf.DUMMYFUNCTION("""COMPUTED_VALUE"""),"")</f>
        <v/>
      </c>
    </row>
    <row r="7755">
      <c r="A7755" s="16" t="s">
        <v>87</v>
      </c>
      <c r="E7755" s="16" t="str">
        <f>IFERROR(__xludf.DUMMYFUNCTION("""COMPUTED_VALUE"""),"")</f>
        <v/>
      </c>
      <c r="G7755" s="18"/>
      <c r="H7755" s="16" t="s">
        <v>87</v>
      </c>
      <c r="I7755" s="16" t="s">
        <v>87</v>
      </c>
      <c r="J7755" s="19"/>
      <c r="L7755" s="16" t="str">
        <f>IFERROR(__xludf.DUMMYFUNCTION("""COMPUTED_VALUE"""),"")</f>
        <v/>
      </c>
      <c r="M7755" s="16" t="str">
        <f>IFERROR(__xludf.DUMMYFUNCTION("""COMPUTED_VALUE"""),"")</f>
        <v/>
      </c>
      <c r="U7755" s="16" t="s">
        <v>87</v>
      </c>
      <c r="V7755" s="16" t="str">
        <f>IFERROR(__xludf.DUMMYFUNCTION("""COMPUTED_VALUE"""),"")</f>
        <v/>
      </c>
      <c r="W7755" s="16" t="str">
        <f>IFERROR(__xludf.DUMMYFUNCTION("""COMPUTED_VALUE"""),"")</f>
        <v/>
      </c>
      <c r="X7755" s="16" t="str">
        <f>IFERROR(__xludf.DUMMYFUNCTION("""COMPUTED_VALUE"""),"")</f>
        <v/>
      </c>
      <c r="AC7755" s="16" t="str">
        <f>IFERROR(__xludf.DUMMYFUNCTION("""COMPUTED_VALUE"""),"")</f>
        <v/>
      </c>
    </row>
    <row r="7756">
      <c r="A7756" s="16" t="s">
        <v>87</v>
      </c>
      <c r="E7756" s="16" t="str">
        <f>IFERROR(__xludf.DUMMYFUNCTION("""COMPUTED_VALUE"""),"")</f>
        <v/>
      </c>
      <c r="G7756" s="18"/>
      <c r="H7756" s="16" t="s">
        <v>87</v>
      </c>
      <c r="I7756" s="16" t="s">
        <v>87</v>
      </c>
      <c r="J7756" s="19"/>
      <c r="L7756" s="16" t="str">
        <f>IFERROR(__xludf.DUMMYFUNCTION("""COMPUTED_VALUE"""),"")</f>
        <v/>
      </c>
      <c r="M7756" s="16" t="str">
        <f>IFERROR(__xludf.DUMMYFUNCTION("""COMPUTED_VALUE"""),"")</f>
        <v/>
      </c>
      <c r="U7756" s="16" t="s">
        <v>87</v>
      </c>
      <c r="V7756" s="16" t="str">
        <f>IFERROR(__xludf.DUMMYFUNCTION("""COMPUTED_VALUE"""),"")</f>
        <v/>
      </c>
      <c r="W7756" s="16" t="str">
        <f>IFERROR(__xludf.DUMMYFUNCTION("""COMPUTED_VALUE"""),"")</f>
        <v/>
      </c>
      <c r="X7756" s="16" t="str">
        <f>IFERROR(__xludf.DUMMYFUNCTION("""COMPUTED_VALUE"""),"")</f>
        <v/>
      </c>
      <c r="AC7756" s="16" t="str">
        <f>IFERROR(__xludf.DUMMYFUNCTION("""COMPUTED_VALUE"""),"")</f>
        <v/>
      </c>
    </row>
    <row r="7757">
      <c r="A7757" s="16" t="s">
        <v>87</v>
      </c>
      <c r="E7757" s="16" t="str">
        <f>IFERROR(__xludf.DUMMYFUNCTION("""COMPUTED_VALUE"""),"")</f>
        <v/>
      </c>
      <c r="G7757" s="18"/>
      <c r="H7757" s="16" t="s">
        <v>87</v>
      </c>
      <c r="I7757" s="16" t="s">
        <v>87</v>
      </c>
      <c r="J7757" s="19"/>
      <c r="L7757" s="16" t="str">
        <f>IFERROR(__xludf.DUMMYFUNCTION("""COMPUTED_VALUE"""),"")</f>
        <v/>
      </c>
      <c r="M7757" s="16" t="str">
        <f>IFERROR(__xludf.DUMMYFUNCTION("""COMPUTED_VALUE"""),"")</f>
        <v/>
      </c>
      <c r="U7757" s="16" t="s">
        <v>87</v>
      </c>
      <c r="V7757" s="16" t="str">
        <f>IFERROR(__xludf.DUMMYFUNCTION("""COMPUTED_VALUE"""),"")</f>
        <v/>
      </c>
      <c r="W7757" s="16" t="str">
        <f>IFERROR(__xludf.DUMMYFUNCTION("""COMPUTED_VALUE"""),"")</f>
        <v/>
      </c>
      <c r="X7757" s="16" t="str">
        <f>IFERROR(__xludf.DUMMYFUNCTION("""COMPUTED_VALUE"""),"")</f>
        <v/>
      </c>
      <c r="AC7757" s="16" t="str">
        <f>IFERROR(__xludf.DUMMYFUNCTION("""COMPUTED_VALUE"""),"")</f>
        <v/>
      </c>
    </row>
    <row r="7758">
      <c r="A7758" s="16" t="s">
        <v>87</v>
      </c>
      <c r="E7758" s="16" t="str">
        <f>IFERROR(__xludf.DUMMYFUNCTION("""COMPUTED_VALUE"""),"")</f>
        <v/>
      </c>
      <c r="G7758" s="18"/>
      <c r="H7758" s="16" t="s">
        <v>87</v>
      </c>
      <c r="I7758" s="16" t="s">
        <v>87</v>
      </c>
      <c r="J7758" s="19"/>
      <c r="L7758" s="16" t="str">
        <f>IFERROR(__xludf.DUMMYFUNCTION("""COMPUTED_VALUE"""),"")</f>
        <v/>
      </c>
      <c r="M7758" s="16" t="str">
        <f>IFERROR(__xludf.DUMMYFUNCTION("""COMPUTED_VALUE"""),"")</f>
        <v/>
      </c>
      <c r="U7758" s="16" t="s">
        <v>87</v>
      </c>
      <c r="V7758" s="16" t="str">
        <f>IFERROR(__xludf.DUMMYFUNCTION("""COMPUTED_VALUE"""),"")</f>
        <v/>
      </c>
      <c r="W7758" s="16" t="str">
        <f>IFERROR(__xludf.DUMMYFUNCTION("""COMPUTED_VALUE"""),"")</f>
        <v/>
      </c>
      <c r="X7758" s="16" t="str">
        <f>IFERROR(__xludf.DUMMYFUNCTION("""COMPUTED_VALUE"""),"")</f>
        <v/>
      </c>
      <c r="AC7758" s="16" t="str">
        <f>IFERROR(__xludf.DUMMYFUNCTION("""COMPUTED_VALUE"""),"")</f>
        <v/>
      </c>
    </row>
    <row r="7759">
      <c r="A7759" s="16" t="s">
        <v>87</v>
      </c>
      <c r="E7759" s="16" t="str">
        <f>IFERROR(__xludf.DUMMYFUNCTION("""COMPUTED_VALUE"""),"")</f>
        <v/>
      </c>
      <c r="G7759" s="18"/>
      <c r="H7759" s="16" t="s">
        <v>87</v>
      </c>
      <c r="I7759" s="16" t="s">
        <v>87</v>
      </c>
      <c r="J7759" s="19"/>
      <c r="L7759" s="16" t="str">
        <f>IFERROR(__xludf.DUMMYFUNCTION("""COMPUTED_VALUE"""),"")</f>
        <v/>
      </c>
      <c r="M7759" s="16" t="str">
        <f>IFERROR(__xludf.DUMMYFUNCTION("""COMPUTED_VALUE"""),"")</f>
        <v/>
      </c>
      <c r="U7759" s="16" t="s">
        <v>87</v>
      </c>
      <c r="V7759" s="16" t="str">
        <f>IFERROR(__xludf.DUMMYFUNCTION("""COMPUTED_VALUE"""),"")</f>
        <v/>
      </c>
      <c r="W7759" s="16" t="str">
        <f>IFERROR(__xludf.DUMMYFUNCTION("""COMPUTED_VALUE"""),"")</f>
        <v/>
      </c>
      <c r="X7759" s="16" t="str">
        <f>IFERROR(__xludf.DUMMYFUNCTION("""COMPUTED_VALUE"""),"")</f>
        <v/>
      </c>
      <c r="AC7759" s="16" t="str">
        <f>IFERROR(__xludf.DUMMYFUNCTION("""COMPUTED_VALUE"""),"")</f>
        <v/>
      </c>
    </row>
    <row r="7760">
      <c r="A7760" s="16" t="s">
        <v>87</v>
      </c>
      <c r="E7760" s="16" t="str">
        <f>IFERROR(__xludf.DUMMYFUNCTION("""COMPUTED_VALUE"""),"")</f>
        <v/>
      </c>
      <c r="G7760" s="18"/>
      <c r="H7760" s="16" t="s">
        <v>87</v>
      </c>
      <c r="I7760" s="16" t="s">
        <v>87</v>
      </c>
      <c r="J7760" s="19"/>
      <c r="L7760" s="16" t="str">
        <f>IFERROR(__xludf.DUMMYFUNCTION("""COMPUTED_VALUE"""),"")</f>
        <v/>
      </c>
      <c r="M7760" s="16" t="str">
        <f>IFERROR(__xludf.DUMMYFUNCTION("""COMPUTED_VALUE"""),"")</f>
        <v/>
      </c>
      <c r="U7760" s="16" t="s">
        <v>87</v>
      </c>
      <c r="V7760" s="16" t="str">
        <f>IFERROR(__xludf.DUMMYFUNCTION("""COMPUTED_VALUE"""),"")</f>
        <v/>
      </c>
      <c r="W7760" s="16" t="str">
        <f>IFERROR(__xludf.DUMMYFUNCTION("""COMPUTED_VALUE"""),"")</f>
        <v/>
      </c>
      <c r="X7760" s="16" t="str">
        <f>IFERROR(__xludf.DUMMYFUNCTION("""COMPUTED_VALUE"""),"")</f>
        <v/>
      </c>
      <c r="AC7760" s="16" t="str">
        <f>IFERROR(__xludf.DUMMYFUNCTION("""COMPUTED_VALUE"""),"")</f>
        <v/>
      </c>
    </row>
    <row r="7761">
      <c r="A7761" s="16" t="s">
        <v>87</v>
      </c>
      <c r="E7761" s="16" t="str">
        <f>IFERROR(__xludf.DUMMYFUNCTION("""COMPUTED_VALUE"""),"")</f>
        <v/>
      </c>
      <c r="G7761" s="18"/>
      <c r="H7761" s="16" t="s">
        <v>87</v>
      </c>
      <c r="I7761" s="16" t="s">
        <v>87</v>
      </c>
      <c r="J7761" s="19"/>
      <c r="L7761" s="16" t="str">
        <f>IFERROR(__xludf.DUMMYFUNCTION("""COMPUTED_VALUE"""),"")</f>
        <v/>
      </c>
      <c r="M7761" s="16" t="str">
        <f>IFERROR(__xludf.DUMMYFUNCTION("""COMPUTED_VALUE"""),"")</f>
        <v/>
      </c>
      <c r="U7761" s="16" t="s">
        <v>87</v>
      </c>
      <c r="V7761" s="16" t="str">
        <f>IFERROR(__xludf.DUMMYFUNCTION("""COMPUTED_VALUE"""),"")</f>
        <v/>
      </c>
      <c r="W7761" s="16" t="str">
        <f>IFERROR(__xludf.DUMMYFUNCTION("""COMPUTED_VALUE"""),"")</f>
        <v/>
      </c>
      <c r="X7761" s="16" t="str">
        <f>IFERROR(__xludf.DUMMYFUNCTION("""COMPUTED_VALUE"""),"")</f>
        <v/>
      </c>
      <c r="AC7761" s="16" t="str">
        <f>IFERROR(__xludf.DUMMYFUNCTION("""COMPUTED_VALUE"""),"")</f>
        <v/>
      </c>
    </row>
    <row r="7762">
      <c r="A7762" s="16" t="s">
        <v>87</v>
      </c>
      <c r="E7762" s="16" t="str">
        <f>IFERROR(__xludf.DUMMYFUNCTION("""COMPUTED_VALUE"""),"")</f>
        <v/>
      </c>
      <c r="G7762" s="18"/>
      <c r="H7762" s="16" t="s">
        <v>87</v>
      </c>
      <c r="I7762" s="16" t="s">
        <v>87</v>
      </c>
      <c r="J7762" s="19"/>
      <c r="L7762" s="16" t="str">
        <f>IFERROR(__xludf.DUMMYFUNCTION("""COMPUTED_VALUE"""),"")</f>
        <v/>
      </c>
      <c r="M7762" s="16" t="str">
        <f>IFERROR(__xludf.DUMMYFUNCTION("""COMPUTED_VALUE"""),"")</f>
        <v/>
      </c>
      <c r="U7762" s="16" t="s">
        <v>87</v>
      </c>
      <c r="V7762" s="16" t="str">
        <f>IFERROR(__xludf.DUMMYFUNCTION("""COMPUTED_VALUE"""),"")</f>
        <v/>
      </c>
      <c r="W7762" s="16" t="str">
        <f>IFERROR(__xludf.DUMMYFUNCTION("""COMPUTED_VALUE"""),"")</f>
        <v/>
      </c>
      <c r="X7762" s="16" t="str">
        <f>IFERROR(__xludf.DUMMYFUNCTION("""COMPUTED_VALUE"""),"")</f>
        <v/>
      </c>
      <c r="AC7762" s="16" t="str">
        <f>IFERROR(__xludf.DUMMYFUNCTION("""COMPUTED_VALUE"""),"")</f>
        <v/>
      </c>
    </row>
    <row r="7763">
      <c r="A7763" s="16" t="s">
        <v>87</v>
      </c>
      <c r="E7763" s="16" t="str">
        <f>IFERROR(__xludf.DUMMYFUNCTION("""COMPUTED_VALUE"""),"")</f>
        <v/>
      </c>
      <c r="G7763" s="18"/>
      <c r="H7763" s="16" t="s">
        <v>87</v>
      </c>
      <c r="I7763" s="16" t="s">
        <v>87</v>
      </c>
      <c r="J7763" s="19"/>
      <c r="L7763" s="16" t="str">
        <f>IFERROR(__xludf.DUMMYFUNCTION("""COMPUTED_VALUE"""),"")</f>
        <v/>
      </c>
      <c r="M7763" s="16" t="str">
        <f>IFERROR(__xludf.DUMMYFUNCTION("""COMPUTED_VALUE"""),"")</f>
        <v/>
      </c>
      <c r="U7763" s="16" t="s">
        <v>87</v>
      </c>
      <c r="V7763" s="16" t="str">
        <f>IFERROR(__xludf.DUMMYFUNCTION("""COMPUTED_VALUE"""),"")</f>
        <v/>
      </c>
      <c r="W7763" s="16" t="str">
        <f>IFERROR(__xludf.DUMMYFUNCTION("""COMPUTED_VALUE"""),"")</f>
        <v/>
      </c>
      <c r="X7763" s="16" t="str">
        <f>IFERROR(__xludf.DUMMYFUNCTION("""COMPUTED_VALUE"""),"")</f>
        <v/>
      </c>
      <c r="AC7763" s="16" t="str">
        <f>IFERROR(__xludf.DUMMYFUNCTION("""COMPUTED_VALUE"""),"")</f>
        <v/>
      </c>
    </row>
    <row r="7764">
      <c r="A7764" s="16" t="s">
        <v>87</v>
      </c>
      <c r="E7764" s="16" t="str">
        <f>IFERROR(__xludf.DUMMYFUNCTION("""COMPUTED_VALUE"""),"")</f>
        <v/>
      </c>
      <c r="G7764" s="18"/>
      <c r="H7764" s="16" t="s">
        <v>87</v>
      </c>
      <c r="I7764" s="16" t="s">
        <v>87</v>
      </c>
      <c r="J7764" s="19"/>
      <c r="L7764" s="16" t="str">
        <f>IFERROR(__xludf.DUMMYFUNCTION("""COMPUTED_VALUE"""),"")</f>
        <v/>
      </c>
      <c r="M7764" s="16" t="str">
        <f>IFERROR(__xludf.DUMMYFUNCTION("""COMPUTED_VALUE"""),"")</f>
        <v/>
      </c>
      <c r="U7764" s="16" t="s">
        <v>87</v>
      </c>
      <c r="V7764" s="16" t="str">
        <f>IFERROR(__xludf.DUMMYFUNCTION("""COMPUTED_VALUE"""),"")</f>
        <v/>
      </c>
      <c r="W7764" s="16" t="str">
        <f>IFERROR(__xludf.DUMMYFUNCTION("""COMPUTED_VALUE"""),"")</f>
        <v/>
      </c>
      <c r="X7764" s="16" t="str">
        <f>IFERROR(__xludf.DUMMYFUNCTION("""COMPUTED_VALUE"""),"")</f>
        <v/>
      </c>
      <c r="AC7764" s="16" t="str">
        <f>IFERROR(__xludf.DUMMYFUNCTION("""COMPUTED_VALUE"""),"")</f>
        <v/>
      </c>
    </row>
    <row r="7765">
      <c r="A7765" s="16" t="s">
        <v>87</v>
      </c>
      <c r="E7765" s="16" t="str">
        <f>IFERROR(__xludf.DUMMYFUNCTION("""COMPUTED_VALUE"""),"")</f>
        <v/>
      </c>
      <c r="G7765" s="18"/>
      <c r="H7765" s="16" t="s">
        <v>87</v>
      </c>
      <c r="I7765" s="16" t="s">
        <v>87</v>
      </c>
      <c r="J7765" s="19"/>
      <c r="L7765" s="16" t="str">
        <f>IFERROR(__xludf.DUMMYFUNCTION("""COMPUTED_VALUE"""),"")</f>
        <v/>
      </c>
      <c r="M7765" s="16" t="str">
        <f>IFERROR(__xludf.DUMMYFUNCTION("""COMPUTED_VALUE"""),"")</f>
        <v/>
      </c>
      <c r="U7765" s="16" t="s">
        <v>87</v>
      </c>
      <c r="V7765" s="16" t="str">
        <f>IFERROR(__xludf.DUMMYFUNCTION("""COMPUTED_VALUE"""),"")</f>
        <v/>
      </c>
      <c r="W7765" s="16" t="str">
        <f>IFERROR(__xludf.DUMMYFUNCTION("""COMPUTED_VALUE"""),"")</f>
        <v/>
      </c>
      <c r="X7765" s="16" t="str">
        <f>IFERROR(__xludf.DUMMYFUNCTION("""COMPUTED_VALUE"""),"")</f>
        <v/>
      </c>
      <c r="AC7765" s="16" t="str">
        <f>IFERROR(__xludf.DUMMYFUNCTION("""COMPUTED_VALUE"""),"")</f>
        <v/>
      </c>
    </row>
    <row r="7766">
      <c r="A7766" s="16" t="s">
        <v>87</v>
      </c>
      <c r="E7766" s="16" t="str">
        <f>IFERROR(__xludf.DUMMYFUNCTION("""COMPUTED_VALUE"""),"")</f>
        <v/>
      </c>
      <c r="G7766" s="18"/>
      <c r="H7766" s="16" t="s">
        <v>87</v>
      </c>
      <c r="I7766" s="16" t="s">
        <v>87</v>
      </c>
      <c r="J7766" s="19"/>
      <c r="L7766" s="16" t="str">
        <f>IFERROR(__xludf.DUMMYFUNCTION("""COMPUTED_VALUE"""),"")</f>
        <v/>
      </c>
      <c r="M7766" s="16" t="str">
        <f>IFERROR(__xludf.DUMMYFUNCTION("""COMPUTED_VALUE"""),"")</f>
        <v/>
      </c>
      <c r="U7766" s="16" t="s">
        <v>87</v>
      </c>
      <c r="V7766" s="16" t="str">
        <f>IFERROR(__xludf.DUMMYFUNCTION("""COMPUTED_VALUE"""),"")</f>
        <v/>
      </c>
      <c r="W7766" s="16" t="str">
        <f>IFERROR(__xludf.DUMMYFUNCTION("""COMPUTED_VALUE"""),"")</f>
        <v/>
      </c>
      <c r="X7766" s="16" t="str">
        <f>IFERROR(__xludf.DUMMYFUNCTION("""COMPUTED_VALUE"""),"")</f>
        <v/>
      </c>
      <c r="AC7766" s="16" t="str">
        <f>IFERROR(__xludf.DUMMYFUNCTION("""COMPUTED_VALUE"""),"")</f>
        <v/>
      </c>
    </row>
    <row r="7767">
      <c r="A7767" s="16" t="s">
        <v>87</v>
      </c>
      <c r="E7767" s="16" t="str">
        <f>IFERROR(__xludf.DUMMYFUNCTION("""COMPUTED_VALUE"""),"")</f>
        <v/>
      </c>
      <c r="G7767" s="18"/>
      <c r="H7767" s="16" t="s">
        <v>87</v>
      </c>
      <c r="I7767" s="16" t="s">
        <v>87</v>
      </c>
      <c r="J7767" s="19"/>
      <c r="L7767" s="16" t="str">
        <f>IFERROR(__xludf.DUMMYFUNCTION("""COMPUTED_VALUE"""),"")</f>
        <v/>
      </c>
      <c r="M7767" s="16" t="str">
        <f>IFERROR(__xludf.DUMMYFUNCTION("""COMPUTED_VALUE"""),"")</f>
        <v/>
      </c>
      <c r="U7767" s="16" t="s">
        <v>87</v>
      </c>
      <c r="V7767" s="16" t="str">
        <f>IFERROR(__xludf.DUMMYFUNCTION("""COMPUTED_VALUE"""),"")</f>
        <v/>
      </c>
      <c r="W7767" s="16" t="str">
        <f>IFERROR(__xludf.DUMMYFUNCTION("""COMPUTED_VALUE"""),"")</f>
        <v/>
      </c>
      <c r="X7767" s="16" t="str">
        <f>IFERROR(__xludf.DUMMYFUNCTION("""COMPUTED_VALUE"""),"")</f>
        <v/>
      </c>
      <c r="AC7767" s="16" t="str">
        <f>IFERROR(__xludf.DUMMYFUNCTION("""COMPUTED_VALUE"""),"")</f>
        <v/>
      </c>
    </row>
    <row r="7768">
      <c r="A7768" s="16" t="s">
        <v>87</v>
      </c>
      <c r="E7768" s="16" t="str">
        <f>IFERROR(__xludf.DUMMYFUNCTION("""COMPUTED_VALUE"""),"")</f>
        <v/>
      </c>
      <c r="G7768" s="18"/>
      <c r="H7768" s="16" t="s">
        <v>87</v>
      </c>
      <c r="I7768" s="16" t="s">
        <v>87</v>
      </c>
      <c r="J7768" s="19"/>
      <c r="L7768" s="16" t="str">
        <f>IFERROR(__xludf.DUMMYFUNCTION("""COMPUTED_VALUE"""),"")</f>
        <v/>
      </c>
      <c r="M7768" s="16" t="str">
        <f>IFERROR(__xludf.DUMMYFUNCTION("""COMPUTED_VALUE"""),"")</f>
        <v/>
      </c>
      <c r="U7768" s="16" t="s">
        <v>87</v>
      </c>
      <c r="V7768" s="16" t="str">
        <f>IFERROR(__xludf.DUMMYFUNCTION("""COMPUTED_VALUE"""),"")</f>
        <v/>
      </c>
      <c r="W7768" s="16" t="str">
        <f>IFERROR(__xludf.DUMMYFUNCTION("""COMPUTED_VALUE"""),"")</f>
        <v/>
      </c>
      <c r="X7768" s="16" t="str">
        <f>IFERROR(__xludf.DUMMYFUNCTION("""COMPUTED_VALUE"""),"")</f>
        <v/>
      </c>
      <c r="AC7768" s="16" t="str">
        <f>IFERROR(__xludf.DUMMYFUNCTION("""COMPUTED_VALUE"""),"")</f>
        <v/>
      </c>
    </row>
    <row r="7769">
      <c r="A7769" s="16" t="s">
        <v>87</v>
      </c>
      <c r="E7769" s="16" t="str">
        <f>IFERROR(__xludf.DUMMYFUNCTION("""COMPUTED_VALUE"""),"")</f>
        <v/>
      </c>
      <c r="G7769" s="18"/>
      <c r="H7769" s="16" t="s">
        <v>87</v>
      </c>
      <c r="I7769" s="16" t="s">
        <v>87</v>
      </c>
      <c r="J7769" s="19"/>
      <c r="L7769" s="16" t="str">
        <f>IFERROR(__xludf.DUMMYFUNCTION("""COMPUTED_VALUE"""),"")</f>
        <v/>
      </c>
      <c r="M7769" s="16" t="str">
        <f>IFERROR(__xludf.DUMMYFUNCTION("""COMPUTED_VALUE"""),"")</f>
        <v/>
      </c>
      <c r="U7769" s="16" t="s">
        <v>87</v>
      </c>
      <c r="V7769" s="16" t="str">
        <f>IFERROR(__xludf.DUMMYFUNCTION("""COMPUTED_VALUE"""),"")</f>
        <v/>
      </c>
      <c r="W7769" s="16" t="str">
        <f>IFERROR(__xludf.DUMMYFUNCTION("""COMPUTED_VALUE"""),"")</f>
        <v/>
      </c>
      <c r="X7769" s="16" t="str">
        <f>IFERROR(__xludf.DUMMYFUNCTION("""COMPUTED_VALUE"""),"")</f>
        <v/>
      </c>
      <c r="AC7769" s="16" t="str">
        <f>IFERROR(__xludf.DUMMYFUNCTION("""COMPUTED_VALUE"""),"")</f>
        <v/>
      </c>
    </row>
    <row r="7770">
      <c r="A7770" s="16" t="s">
        <v>87</v>
      </c>
      <c r="E7770" s="16" t="str">
        <f>IFERROR(__xludf.DUMMYFUNCTION("""COMPUTED_VALUE"""),"")</f>
        <v/>
      </c>
      <c r="G7770" s="18"/>
      <c r="H7770" s="16" t="s">
        <v>87</v>
      </c>
      <c r="I7770" s="16" t="s">
        <v>87</v>
      </c>
      <c r="J7770" s="19"/>
      <c r="L7770" s="16" t="str">
        <f>IFERROR(__xludf.DUMMYFUNCTION("""COMPUTED_VALUE"""),"")</f>
        <v/>
      </c>
      <c r="M7770" s="16" t="str">
        <f>IFERROR(__xludf.DUMMYFUNCTION("""COMPUTED_VALUE"""),"")</f>
        <v/>
      </c>
      <c r="U7770" s="16" t="s">
        <v>87</v>
      </c>
      <c r="V7770" s="16" t="str">
        <f>IFERROR(__xludf.DUMMYFUNCTION("""COMPUTED_VALUE"""),"")</f>
        <v/>
      </c>
      <c r="W7770" s="16" t="str">
        <f>IFERROR(__xludf.DUMMYFUNCTION("""COMPUTED_VALUE"""),"")</f>
        <v/>
      </c>
      <c r="X7770" s="16" t="str">
        <f>IFERROR(__xludf.DUMMYFUNCTION("""COMPUTED_VALUE"""),"")</f>
        <v/>
      </c>
      <c r="AC7770" s="16" t="str">
        <f>IFERROR(__xludf.DUMMYFUNCTION("""COMPUTED_VALUE"""),"")</f>
        <v/>
      </c>
    </row>
    <row r="7771">
      <c r="A7771" s="16" t="s">
        <v>87</v>
      </c>
      <c r="E7771" s="16" t="str">
        <f>IFERROR(__xludf.DUMMYFUNCTION("""COMPUTED_VALUE"""),"")</f>
        <v/>
      </c>
      <c r="G7771" s="18"/>
      <c r="H7771" s="16" t="s">
        <v>87</v>
      </c>
      <c r="I7771" s="16" t="s">
        <v>87</v>
      </c>
      <c r="J7771" s="19"/>
      <c r="L7771" s="16" t="str">
        <f>IFERROR(__xludf.DUMMYFUNCTION("""COMPUTED_VALUE"""),"")</f>
        <v/>
      </c>
      <c r="M7771" s="16" t="str">
        <f>IFERROR(__xludf.DUMMYFUNCTION("""COMPUTED_VALUE"""),"")</f>
        <v/>
      </c>
      <c r="U7771" s="16" t="s">
        <v>87</v>
      </c>
      <c r="V7771" s="16" t="str">
        <f>IFERROR(__xludf.DUMMYFUNCTION("""COMPUTED_VALUE"""),"")</f>
        <v/>
      </c>
      <c r="W7771" s="16" t="str">
        <f>IFERROR(__xludf.DUMMYFUNCTION("""COMPUTED_VALUE"""),"")</f>
        <v/>
      </c>
      <c r="X7771" s="16" t="str">
        <f>IFERROR(__xludf.DUMMYFUNCTION("""COMPUTED_VALUE"""),"")</f>
        <v/>
      </c>
      <c r="AC7771" s="16" t="str">
        <f>IFERROR(__xludf.DUMMYFUNCTION("""COMPUTED_VALUE"""),"")</f>
        <v/>
      </c>
    </row>
    <row r="7772">
      <c r="A7772" s="16" t="s">
        <v>87</v>
      </c>
      <c r="E7772" s="16" t="str">
        <f>IFERROR(__xludf.DUMMYFUNCTION("""COMPUTED_VALUE"""),"")</f>
        <v/>
      </c>
      <c r="G7772" s="18"/>
      <c r="H7772" s="16" t="s">
        <v>87</v>
      </c>
      <c r="I7772" s="16" t="s">
        <v>87</v>
      </c>
      <c r="J7772" s="19"/>
      <c r="L7772" s="16" t="str">
        <f>IFERROR(__xludf.DUMMYFUNCTION("""COMPUTED_VALUE"""),"")</f>
        <v/>
      </c>
      <c r="M7772" s="16" t="str">
        <f>IFERROR(__xludf.DUMMYFUNCTION("""COMPUTED_VALUE"""),"")</f>
        <v/>
      </c>
      <c r="U7772" s="16" t="s">
        <v>87</v>
      </c>
      <c r="V7772" s="16" t="str">
        <f>IFERROR(__xludf.DUMMYFUNCTION("""COMPUTED_VALUE"""),"")</f>
        <v/>
      </c>
      <c r="W7772" s="16" t="str">
        <f>IFERROR(__xludf.DUMMYFUNCTION("""COMPUTED_VALUE"""),"")</f>
        <v/>
      </c>
      <c r="X7772" s="16" t="str">
        <f>IFERROR(__xludf.DUMMYFUNCTION("""COMPUTED_VALUE"""),"")</f>
        <v/>
      </c>
      <c r="AC7772" s="16" t="str">
        <f>IFERROR(__xludf.DUMMYFUNCTION("""COMPUTED_VALUE"""),"")</f>
        <v/>
      </c>
    </row>
    <row r="7773">
      <c r="A7773" s="16" t="s">
        <v>87</v>
      </c>
      <c r="E7773" s="16" t="str">
        <f>IFERROR(__xludf.DUMMYFUNCTION("""COMPUTED_VALUE"""),"")</f>
        <v/>
      </c>
      <c r="G7773" s="18"/>
      <c r="H7773" s="16" t="s">
        <v>87</v>
      </c>
      <c r="I7773" s="16" t="s">
        <v>87</v>
      </c>
      <c r="J7773" s="19"/>
      <c r="L7773" s="16" t="str">
        <f>IFERROR(__xludf.DUMMYFUNCTION("""COMPUTED_VALUE"""),"")</f>
        <v/>
      </c>
      <c r="M7773" s="16" t="str">
        <f>IFERROR(__xludf.DUMMYFUNCTION("""COMPUTED_VALUE"""),"")</f>
        <v/>
      </c>
      <c r="U7773" s="16" t="s">
        <v>87</v>
      </c>
      <c r="V7773" s="16" t="str">
        <f>IFERROR(__xludf.DUMMYFUNCTION("""COMPUTED_VALUE"""),"")</f>
        <v/>
      </c>
      <c r="W7773" s="16" t="str">
        <f>IFERROR(__xludf.DUMMYFUNCTION("""COMPUTED_VALUE"""),"")</f>
        <v/>
      </c>
      <c r="X7773" s="16" t="str">
        <f>IFERROR(__xludf.DUMMYFUNCTION("""COMPUTED_VALUE"""),"")</f>
        <v/>
      </c>
      <c r="AC7773" s="16" t="str">
        <f>IFERROR(__xludf.DUMMYFUNCTION("""COMPUTED_VALUE"""),"")</f>
        <v/>
      </c>
    </row>
    <row r="7774">
      <c r="A7774" s="16" t="s">
        <v>87</v>
      </c>
      <c r="E7774" s="16" t="str">
        <f>IFERROR(__xludf.DUMMYFUNCTION("""COMPUTED_VALUE"""),"")</f>
        <v/>
      </c>
      <c r="G7774" s="18"/>
      <c r="H7774" s="16" t="s">
        <v>87</v>
      </c>
      <c r="I7774" s="16" t="s">
        <v>87</v>
      </c>
      <c r="J7774" s="19"/>
      <c r="L7774" s="16" t="str">
        <f>IFERROR(__xludf.DUMMYFUNCTION("""COMPUTED_VALUE"""),"")</f>
        <v/>
      </c>
      <c r="M7774" s="16" t="str">
        <f>IFERROR(__xludf.DUMMYFUNCTION("""COMPUTED_VALUE"""),"")</f>
        <v/>
      </c>
      <c r="U7774" s="16" t="s">
        <v>87</v>
      </c>
      <c r="V7774" s="16" t="str">
        <f>IFERROR(__xludf.DUMMYFUNCTION("""COMPUTED_VALUE"""),"")</f>
        <v/>
      </c>
      <c r="W7774" s="16" t="str">
        <f>IFERROR(__xludf.DUMMYFUNCTION("""COMPUTED_VALUE"""),"")</f>
        <v/>
      </c>
      <c r="X7774" s="16" t="str">
        <f>IFERROR(__xludf.DUMMYFUNCTION("""COMPUTED_VALUE"""),"")</f>
        <v/>
      </c>
      <c r="AC7774" s="16" t="str">
        <f>IFERROR(__xludf.DUMMYFUNCTION("""COMPUTED_VALUE"""),"")</f>
        <v/>
      </c>
    </row>
    <row r="7775">
      <c r="A7775" s="16" t="s">
        <v>87</v>
      </c>
      <c r="E7775" s="16" t="str">
        <f>IFERROR(__xludf.DUMMYFUNCTION("""COMPUTED_VALUE"""),"")</f>
        <v/>
      </c>
      <c r="G7775" s="18"/>
      <c r="H7775" s="16" t="s">
        <v>87</v>
      </c>
      <c r="I7775" s="16" t="s">
        <v>87</v>
      </c>
      <c r="J7775" s="19"/>
      <c r="L7775" s="16" t="str">
        <f>IFERROR(__xludf.DUMMYFUNCTION("""COMPUTED_VALUE"""),"")</f>
        <v/>
      </c>
      <c r="M7775" s="16" t="str">
        <f>IFERROR(__xludf.DUMMYFUNCTION("""COMPUTED_VALUE"""),"")</f>
        <v/>
      </c>
      <c r="U7775" s="16" t="s">
        <v>87</v>
      </c>
      <c r="V7775" s="16" t="str">
        <f>IFERROR(__xludf.DUMMYFUNCTION("""COMPUTED_VALUE"""),"")</f>
        <v/>
      </c>
      <c r="W7775" s="16" t="str">
        <f>IFERROR(__xludf.DUMMYFUNCTION("""COMPUTED_VALUE"""),"")</f>
        <v/>
      </c>
      <c r="X7775" s="16" t="str">
        <f>IFERROR(__xludf.DUMMYFUNCTION("""COMPUTED_VALUE"""),"")</f>
        <v/>
      </c>
      <c r="AC7775" s="16" t="str">
        <f>IFERROR(__xludf.DUMMYFUNCTION("""COMPUTED_VALUE"""),"")</f>
        <v/>
      </c>
    </row>
    <row r="7776">
      <c r="A7776" s="16" t="s">
        <v>87</v>
      </c>
      <c r="E7776" s="16" t="str">
        <f>IFERROR(__xludf.DUMMYFUNCTION("""COMPUTED_VALUE"""),"")</f>
        <v/>
      </c>
      <c r="G7776" s="18"/>
      <c r="H7776" s="16" t="s">
        <v>87</v>
      </c>
      <c r="I7776" s="16" t="s">
        <v>87</v>
      </c>
      <c r="J7776" s="19"/>
      <c r="L7776" s="16" t="str">
        <f>IFERROR(__xludf.DUMMYFUNCTION("""COMPUTED_VALUE"""),"")</f>
        <v/>
      </c>
      <c r="M7776" s="16" t="str">
        <f>IFERROR(__xludf.DUMMYFUNCTION("""COMPUTED_VALUE"""),"")</f>
        <v/>
      </c>
      <c r="U7776" s="16" t="s">
        <v>87</v>
      </c>
      <c r="V7776" s="16" t="str">
        <f>IFERROR(__xludf.DUMMYFUNCTION("""COMPUTED_VALUE"""),"")</f>
        <v/>
      </c>
      <c r="W7776" s="16" t="str">
        <f>IFERROR(__xludf.DUMMYFUNCTION("""COMPUTED_VALUE"""),"")</f>
        <v/>
      </c>
      <c r="X7776" s="16" t="str">
        <f>IFERROR(__xludf.DUMMYFUNCTION("""COMPUTED_VALUE"""),"")</f>
        <v/>
      </c>
      <c r="AC7776" s="16" t="str">
        <f>IFERROR(__xludf.DUMMYFUNCTION("""COMPUTED_VALUE"""),"")</f>
        <v/>
      </c>
    </row>
    <row r="7777">
      <c r="A7777" s="16" t="s">
        <v>87</v>
      </c>
      <c r="E7777" s="16" t="str">
        <f>IFERROR(__xludf.DUMMYFUNCTION("""COMPUTED_VALUE"""),"")</f>
        <v/>
      </c>
      <c r="G7777" s="18"/>
      <c r="H7777" s="16" t="s">
        <v>87</v>
      </c>
      <c r="I7777" s="16" t="s">
        <v>87</v>
      </c>
      <c r="J7777" s="19"/>
      <c r="L7777" s="16" t="str">
        <f>IFERROR(__xludf.DUMMYFUNCTION("""COMPUTED_VALUE"""),"")</f>
        <v/>
      </c>
      <c r="M7777" s="16" t="str">
        <f>IFERROR(__xludf.DUMMYFUNCTION("""COMPUTED_VALUE"""),"")</f>
        <v/>
      </c>
      <c r="U7777" s="16" t="s">
        <v>87</v>
      </c>
      <c r="V7777" s="16" t="str">
        <f>IFERROR(__xludf.DUMMYFUNCTION("""COMPUTED_VALUE"""),"")</f>
        <v/>
      </c>
      <c r="W7777" s="16" t="str">
        <f>IFERROR(__xludf.DUMMYFUNCTION("""COMPUTED_VALUE"""),"")</f>
        <v/>
      </c>
      <c r="X7777" s="16" t="str">
        <f>IFERROR(__xludf.DUMMYFUNCTION("""COMPUTED_VALUE"""),"")</f>
        <v/>
      </c>
      <c r="AC7777" s="16" t="str">
        <f>IFERROR(__xludf.DUMMYFUNCTION("""COMPUTED_VALUE"""),"")</f>
        <v/>
      </c>
    </row>
    <row r="7778">
      <c r="A7778" s="16" t="s">
        <v>87</v>
      </c>
      <c r="E7778" s="16" t="str">
        <f>IFERROR(__xludf.DUMMYFUNCTION("""COMPUTED_VALUE"""),"")</f>
        <v/>
      </c>
      <c r="G7778" s="18"/>
      <c r="H7778" s="16" t="s">
        <v>87</v>
      </c>
      <c r="I7778" s="16" t="s">
        <v>87</v>
      </c>
      <c r="J7778" s="19"/>
      <c r="L7778" s="16" t="str">
        <f>IFERROR(__xludf.DUMMYFUNCTION("""COMPUTED_VALUE"""),"")</f>
        <v/>
      </c>
      <c r="M7778" s="16" t="str">
        <f>IFERROR(__xludf.DUMMYFUNCTION("""COMPUTED_VALUE"""),"")</f>
        <v/>
      </c>
      <c r="U7778" s="16" t="s">
        <v>87</v>
      </c>
      <c r="V7778" s="16" t="str">
        <f>IFERROR(__xludf.DUMMYFUNCTION("""COMPUTED_VALUE"""),"")</f>
        <v/>
      </c>
      <c r="W7778" s="16" t="str">
        <f>IFERROR(__xludf.DUMMYFUNCTION("""COMPUTED_VALUE"""),"")</f>
        <v/>
      </c>
      <c r="X7778" s="16" t="str">
        <f>IFERROR(__xludf.DUMMYFUNCTION("""COMPUTED_VALUE"""),"")</f>
        <v/>
      </c>
      <c r="AC7778" s="16" t="str">
        <f>IFERROR(__xludf.DUMMYFUNCTION("""COMPUTED_VALUE"""),"")</f>
        <v/>
      </c>
    </row>
    <row r="7779">
      <c r="A7779" s="16" t="s">
        <v>87</v>
      </c>
      <c r="E7779" s="16" t="str">
        <f>IFERROR(__xludf.DUMMYFUNCTION("""COMPUTED_VALUE"""),"")</f>
        <v/>
      </c>
      <c r="G7779" s="18"/>
      <c r="H7779" s="16" t="s">
        <v>87</v>
      </c>
      <c r="I7779" s="16" t="s">
        <v>87</v>
      </c>
      <c r="J7779" s="19"/>
      <c r="L7779" s="16" t="str">
        <f>IFERROR(__xludf.DUMMYFUNCTION("""COMPUTED_VALUE"""),"")</f>
        <v/>
      </c>
      <c r="M7779" s="16" t="str">
        <f>IFERROR(__xludf.DUMMYFUNCTION("""COMPUTED_VALUE"""),"")</f>
        <v/>
      </c>
      <c r="U7779" s="16" t="s">
        <v>87</v>
      </c>
      <c r="V7779" s="16" t="str">
        <f>IFERROR(__xludf.DUMMYFUNCTION("""COMPUTED_VALUE"""),"")</f>
        <v/>
      </c>
      <c r="W7779" s="16" t="str">
        <f>IFERROR(__xludf.DUMMYFUNCTION("""COMPUTED_VALUE"""),"")</f>
        <v/>
      </c>
      <c r="X7779" s="16" t="str">
        <f>IFERROR(__xludf.DUMMYFUNCTION("""COMPUTED_VALUE"""),"")</f>
        <v/>
      </c>
      <c r="AC7779" s="16" t="str">
        <f>IFERROR(__xludf.DUMMYFUNCTION("""COMPUTED_VALUE"""),"")</f>
        <v/>
      </c>
    </row>
    <row r="7780">
      <c r="A7780" s="16" t="s">
        <v>87</v>
      </c>
      <c r="E7780" s="16" t="str">
        <f>IFERROR(__xludf.DUMMYFUNCTION("""COMPUTED_VALUE"""),"")</f>
        <v/>
      </c>
      <c r="G7780" s="18"/>
      <c r="H7780" s="16" t="s">
        <v>87</v>
      </c>
      <c r="I7780" s="16" t="s">
        <v>87</v>
      </c>
      <c r="J7780" s="19"/>
      <c r="L7780" s="16" t="str">
        <f>IFERROR(__xludf.DUMMYFUNCTION("""COMPUTED_VALUE"""),"")</f>
        <v/>
      </c>
      <c r="M7780" s="16" t="str">
        <f>IFERROR(__xludf.DUMMYFUNCTION("""COMPUTED_VALUE"""),"")</f>
        <v/>
      </c>
      <c r="U7780" s="16" t="s">
        <v>87</v>
      </c>
      <c r="V7780" s="16" t="str">
        <f>IFERROR(__xludf.DUMMYFUNCTION("""COMPUTED_VALUE"""),"")</f>
        <v/>
      </c>
      <c r="W7780" s="16" t="str">
        <f>IFERROR(__xludf.DUMMYFUNCTION("""COMPUTED_VALUE"""),"")</f>
        <v/>
      </c>
      <c r="X7780" s="16" t="str">
        <f>IFERROR(__xludf.DUMMYFUNCTION("""COMPUTED_VALUE"""),"")</f>
        <v/>
      </c>
      <c r="AC7780" s="16" t="str">
        <f>IFERROR(__xludf.DUMMYFUNCTION("""COMPUTED_VALUE"""),"")</f>
        <v/>
      </c>
    </row>
    <row r="7781">
      <c r="A7781" s="16" t="s">
        <v>87</v>
      </c>
      <c r="E7781" s="16" t="str">
        <f>IFERROR(__xludf.DUMMYFUNCTION("""COMPUTED_VALUE"""),"")</f>
        <v/>
      </c>
      <c r="G7781" s="18"/>
      <c r="H7781" s="16" t="s">
        <v>87</v>
      </c>
      <c r="I7781" s="16" t="s">
        <v>87</v>
      </c>
      <c r="J7781" s="19"/>
      <c r="L7781" s="16" t="str">
        <f>IFERROR(__xludf.DUMMYFUNCTION("""COMPUTED_VALUE"""),"")</f>
        <v/>
      </c>
      <c r="M7781" s="16" t="str">
        <f>IFERROR(__xludf.DUMMYFUNCTION("""COMPUTED_VALUE"""),"")</f>
        <v/>
      </c>
      <c r="U7781" s="16" t="s">
        <v>87</v>
      </c>
      <c r="V7781" s="16" t="str">
        <f>IFERROR(__xludf.DUMMYFUNCTION("""COMPUTED_VALUE"""),"")</f>
        <v/>
      </c>
      <c r="W7781" s="16" t="str">
        <f>IFERROR(__xludf.DUMMYFUNCTION("""COMPUTED_VALUE"""),"")</f>
        <v/>
      </c>
      <c r="X7781" s="16" t="str">
        <f>IFERROR(__xludf.DUMMYFUNCTION("""COMPUTED_VALUE"""),"")</f>
        <v/>
      </c>
      <c r="AC7781" s="16" t="str">
        <f>IFERROR(__xludf.DUMMYFUNCTION("""COMPUTED_VALUE"""),"")</f>
        <v/>
      </c>
    </row>
    <row r="7782">
      <c r="A7782" s="16" t="s">
        <v>87</v>
      </c>
      <c r="E7782" s="16" t="str">
        <f>IFERROR(__xludf.DUMMYFUNCTION("""COMPUTED_VALUE"""),"")</f>
        <v/>
      </c>
      <c r="G7782" s="18"/>
      <c r="H7782" s="16" t="s">
        <v>87</v>
      </c>
      <c r="I7782" s="16" t="s">
        <v>87</v>
      </c>
      <c r="J7782" s="19"/>
      <c r="L7782" s="16" t="str">
        <f>IFERROR(__xludf.DUMMYFUNCTION("""COMPUTED_VALUE"""),"")</f>
        <v/>
      </c>
      <c r="M7782" s="16" t="str">
        <f>IFERROR(__xludf.DUMMYFUNCTION("""COMPUTED_VALUE"""),"")</f>
        <v/>
      </c>
      <c r="U7782" s="16" t="s">
        <v>87</v>
      </c>
      <c r="V7782" s="16" t="str">
        <f>IFERROR(__xludf.DUMMYFUNCTION("""COMPUTED_VALUE"""),"")</f>
        <v/>
      </c>
      <c r="W7782" s="16" t="str">
        <f>IFERROR(__xludf.DUMMYFUNCTION("""COMPUTED_VALUE"""),"")</f>
        <v/>
      </c>
      <c r="X7782" s="16" t="str">
        <f>IFERROR(__xludf.DUMMYFUNCTION("""COMPUTED_VALUE"""),"")</f>
        <v/>
      </c>
      <c r="AC7782" s="16" t="str">
        <f>IFERROR(__xludf.DUMMYFUNCTION("""COMPUTED_VALUE"""),"")</f>
        <v/>
      </c>
    </row>
    <row r="7783">
      <c r="A7783" s="16" t="s">
        <v>87</v>
      </c>
      <c r="E7783" s="16" t="str">
        <f>IFERROR(__xludf.DUMMYFUNCTION("""COMPUTED_VALUE"""),"")</f>
        <v/>
      </c>
      <c r="G7783" s="18"/>
      <c r="H7783" s="16" t="s">
        <v>87</v>
      </c>
      <c r="I7783" s="16" t="s">
        <v>87</v>
      </c>
      <c r="J7783" s="19"/>
      <c r="L7783" s="16" t="str">
        <f>IFERROR(__xludf.DUMMYFUNCTION("""COMPUTED_VALUE"""),"")</f>
        <v/>
      </c>
      <c r="M7783" s="16" t="str">
        <f>IFERROR(__xludf.DUMMYFUNCTION("""COMPUTED_VALUE"""),"")</f>
        <v/>
      </c>
      <c r="U7783" s="16" t="s">
        <v>87</v>
      </c>
      <c r="V7783" s="16" t="str">
        <f>IFERROR(__xludf.DUMMYFUNCTION("""COMPUTED_VALUE"""),"")</f>
        <v/>
      </c>
      <c r="W7783" s="16" t="str">
        <f>IFERROR(__xludf.DUMMYFUNCTION("""COMPUTED_VALUE"""),"")</f>
        <v/>
      </c>
      <c r="X7783" s="16" t="str">
        <f>IFERROR(__xludf.DUMMYFUNCTION("""COMPUTED_VALUE"""),"")</f>
        <v/>
      </c>
      <c r="AC7783" s="16" t="str">
        <f>IFERROR(__xludf.DUMMYFUNCTION("""COMPUTED_VALUE"""),"")</f>
        <v/>
      </c>
    </row>
    <row r="7784">
      <c r="A7784" s="16" t="s">
        <v>87</v>
      </c>
      <c r="E7784" s="16" t="str">
        <f>IFERROR(__xludf.DUMMYFUNCTION("""COMPUTED_VALUE"""),"")</f>
        <v/>
      </c>
      <c r="G7784" s="18"/>
      <c r="H7784" s="16" t="s">
        <v>87</v>
      </c>
      <c r="I7784" s="16" t="s">
        <v>87</v>
      </c>
      <c r="J7784" s="19"/>
      <c r="L7784" s="16" t="str">
        <f>IFERROR(__xludf.DUMMYFUNCTION("""COMPUTED_VALUE"""),"")</f>
        <v/>
      </c>
      <c r="M7784" s="16" t="str">
        <f>IFERROR(__xludf.DUMMYFUNCTION("""COMPUTED_VALUE"""),"")</f>
        <v/>
      </c>
      <c r="U7784" s="16" t="s">
        <v>87</v>
      </c>
      <c r="V7784" s="16" t="str">
        <f>IFERROR(__xludf.DUMMYFUNCTION("""COMPUTED_VALUE"""),"")</f>
        <v/>
      </c>
      <c r="W7784" s="16" t="str">
        <f>IFERROR(__xludf.DUMMYFUNCTION("""COMPUTED_VALUE"""),"")</f>
        <v/>
      </c>
      <c r="X7784" s="16" t="str">
        <f>IFERROR(__xludf.DUMMYFUNCTION("""COMPUTED_VALUE"""),"")</f>
        <v/>
      </c>
      <c r="AC7784" s="16" t="str">
        <f>IFERROR(__xludf.DUMMYFUNCTION("""COMPUTED_VALUE"""),"")</f>
        <v/>
      </c>
    </row>
    <row r="7785">
      <c r="A7785" s="16" t="s">
        <v>87</v>
      </c>
      <c r="E7785" s="16" t="str">
        <f>IFERROR(__xludf.DUMMYFUNCTION("""COMPUTED_VALUE"""),"")</f>
        <v/>
      </c>
      <c r="G7785" s="18"/>
      <c r="H7785" s="16" t="s">
        <v>87</v>
      </c>
      <c r="I7785" s="16" t="s">
        <v>87</v>
      </c>
      <c r="J7785" s="19"/>
      <c r="L7785" s="16" t="str">
        <f>IFERROR(__xludf.DUMMYFUNCTION("""COMPUTED_VALUE"""),"")</f>
        <v/>
      </c>
      <c r="M7785" s="16" t="str">
        <f>IFERROR(__xludf.DUMMYFUNCTION("""COMPUTED_VALUE"""),"")</f>
        <v/>
      </c>
      <c r="U7785" s="16" t="s">
        <v>87</v>
      </c>
      <c r="V7785" s="16" t="str">
        <f>IFERROR(__xludf.DUMMYFUNCTION("""COMPUTED_VALUE"""),"")</f>
        <v/>
      </c>
      <c r="W7785" s="16" t="str">
        <f>IFERROR(__xludf.DUMMYFUNCTION("""COMPUTED_VALUE"""),"")</f>
        <v/>
      </c>
      <c r="X7785" s="16" t="str">
        <f>IFERROR(__xludf.DUMMYFUNCTION("""COMPUTED_VALUE"""),"")</f>
        <v/>
      </c>
      <c r="AC7785" s="16" t="str">
        <f>IFERROR(__xludf.DUMMYFUNCTION("""COMPUTED_VALUE"""),"")</f>
        <v/>
      </c>
    </row>
    <row r="7786">
      <c r="A7786" s="16" t="s">
        <v>87</v>
      </c>
      <c r="E7786" s="16" t="str">
        <f>IFERROR(__xludf.DUMMYFUNCTION("""COMPUTED_VALUE"""),"")</f>
        <v/>
      </c>
      <c r="G7786" s="18"/>
      <c r="H7786" s="16" t="s">
        <v>87</v>
      </c>
      <c r="I7786" s="16" t="s">
        <v>87</v>
      </c>
      <c r="J7786" s="19"/>
      <c r="L7786" s="16" t="str">
        <f>IFERROR(__xludf.DUMMYFUNCTION("""COMPUTED_VALUE"""),"")</f>
        <v/>
      </c>
      <c r="M7786" s="16" t="str">
        <f>IFERROR(__xludf.DUMMYFUNCTION("""COMPUTED_VALUE"""),"")</f>
        <v/>
      </c>
      <c r="U7786" s="16" t="s">
        <v>87</v>
      </c>
      <c r="V7786" s="16" t="str">
        <f>IFERROR(__xludf.DUMMYFUNCTION("""COMPUTED_VALUE"""),"")</f>
        <v/>
      </c>
      <c r="W7786" s="16" t="str">
        <f>IFERROR(__xludf.DUMMYFUNCTION("""COMPUTED_VALUE"""),"")</f>
        <v/>
      </c>
      <c r="X7786" s="16" t="str">
        <f>IFERROR(__xludf.DUMMYFUNCTION("""COMPUTED_VALUE"""),"")</f>
        <v/>
      </c>
      <c r="AC7786" s="16" t="str">
        <f>IFERROR(__xludf.DUMMYFUNCTION("""COMPUTED_VALUE"""),"")</f>
        <v/>
      </c>
    </row>
    <row r="7787">
      <c r="A7787" s="16" t="s">
        <v>87</v>
      </c>
      <c r="E7787" s="16" t="str">
        <f>IFERROR(__xludf.DUMMYFUNCTION("""COMPUTED_VALUE"""),"")</f>
        <v/>
      </c>
      <c r="G7787" s="18"/>
      <c r="H7787" s="16" t="s">
        <v>87</v>
      </c>
      <c r="I7787" s="16" t="s">
        <v>87</v>
      </c>
      <c r="J7787" s="19"/>
      <c r="L7787" s="16" t="str">
        <f>IFERROR(__xludf.DUMMYFUNCTION("""COMPUTED_VALUE"""),"")</f>
        <v/>
      </c>
      <c r="M7787" s="16" t="str">
        <f>IFERROR(__xludf.DUMMYFUNCTION("""COMPUTED_VALUE"""),"")</f>
        <v/>
      </c>
      <c r="U7787" s="16" t="s">
        <v>87</v>
      </c>
      <c r="V7787" s="16" t="str">
        <f>IFERROR(__xludf.DUMMYFUNCTION("""COMPUTED_VALUE"""),"")</f>
        <v/>
      </c>
      <c r="W7787" s="16" t="str">
        <f>IFERROR(__xludf.DUMMYFUNCTION("""COMPUTED_VALUE"""),"")</f>
        <v/>
      </c>
      <c r="X7787" s="16" t="str">
        <f>IFERROR(__xludf.DUMMYFUNCTION("""COMPUTED_VALUE"""),"")</f>
        <v/>
      </c>
      <c r="AC7787" s="16" t="str">
        <f>IFERROR(__xludf.DUMMYFUNCTION("""COMPUTED_VALUE"""),"")</f>
        <v/>
      </c>
    </row>
    <row r="7788">
      <c r="A7788" s="16" t="s">
        <v>87</v>
      </c>
      <c r="E7788" s="16" t="str">
        <f>IFERROR(__xludf.DUMMYFUNCTION("""COMPUTED_VALUE"""),"")</f>
        <v/>
      </c>
      <c r="G7788" s="18"/>
      <c r="H7788" s="16" t="s">
        <v>87</v>
      </c>
      <c r="I7788" s="16" t="s">
        <v>87</v>
      </c>
      <c r="J7788" s="19"/>
      <c r="L7788" s="16" t="str">
        <f>IFERROR(__xludf.DUMMYFUNCTION("""COMPUTED_VALUE"""),"")</f>
        <v/>
      </c>
      <c r="M7788" s="16" t="str">
        <f>IFERROR(__xludf.DUMMYFUNCTION("""COMPUTED_VALUE"""),"")</f>
        <v/>
      </c>
      <c r="U7788" s="16" t="s">
        <v>87</v>
      </c>
      <c r="V7788" s="16" t="str">
        <f>IFERROR(__xludf.DUMMYFUNCTION("""COMPUTED_VALUE"""),"")</f>
        <v/>
      </c>
      <c r="W7788" s="16" t="str">
        <f>IFERROR(__xludf.DUMMYFUNCTION("""COMPUTED_VALUE"""),"")</f>
        <v/>
      </c>
      <c r="X7788" s="16" t="str">
        <f>IFERROR(__xludf.DUMMYFUNCTION("""COMPUTED_VALUE"""),"")</f>
        <v/>
      </c>
      <c r="AC7788" s="16" t="str">
        <f>IFERROR(__xludf.DUMMYFUNCTION("""COMPUTED_VALUE"""),"")</f>
        <v/>
      </c>
    </row>
    <row r="7789">
      <c r="A7789" s="16" t="s">
        <v>87</v>
      </c>
      <c r="E7789" s="16" t="str">
        <f>IFERROR(__xludf.DUMMYFUNCTION("""COMPUTED_VALUE"""),"")</f>
        <v/>
      </c>
      <c r="G7789" s="18"/>
      <c r="H7789" s="16" t="s">
        <v>87</v>
      </c>
      <c r="I7789" s="16" t="s">
        <v>87</v>
      </c>
      <c r="J7789" s="19"/>
      <c r="L7789" s="16" t="str">
        <f>IFERROR(__xludf.DUMMYFUNCTION("""COMPUTED_VALUE"""),"")</f>
        <v/>
      </c>
      <c r="M7789" s="16" t="str">
        <f>IFERROR(__xludf.DUMMYFUNCTION("""COMPUTED_VALUE"""),"")</f>
        <v/>
      </c>
      <c r="U7789" s="16" t="s">
        <v>87</v>
      </c>
      <c r="V7789" s="16" t="str">
        <f>IFERROR(__xludf.DUMMYFUNCTION("""COMPUTED_VALUE"""),"")</f>
        <v/>
      </c>
      <c r="W7789" s="16" t="str">
        <f>IFERROR(__xludf.DUMMYFUNCTION("""COMPUTED_VALUE"""),"")</f>
        <v/>
      </c>
      <c r="X7789" s="16" t="str">
        <f>IFERROR(__xludf.DUMMYFUNCTION("""COMPUTED_VALUE"""),"")</f>
        <v/>
      </c>
      <c r="AC7789" s="16" t="str">
        <f>IFERROR(__xludf.DUMMYFUNCTION("""COMPUTED_VALUE"""),"")</f>
        <v/>
      </c>
    </row>
    <row r="7790">
      <c r="A7790" s="16" t="s">
        <v>87</v>
      </c>
      <c r="E7790" s="16" t="str">
        <f>IFERROR(__xludf.DUMMYFUNCTION("""COMPUTED_VALUE"""),"")</f>
        <v/>
      </c>
      <c r="G7790" s="18"/>
      <c r="H7790" s="16" t="s">
        <v>87</v>
      </c>
      <c r="I7790" s="16" t="s">
        <v>87</v>
      </c>
      <c r="J7790" s="19"/>
      <c r="L7790" s="16" t="str">
        <f>IFERROR(__xludf.DUMMYFUNCTION("""COMPUTED_VALUE"""),"")</f>
        <v/>
      </c>
      <c r="M7790" s="16" t="str">
        <f>IFERROR(__xludf.DUMMYFUNCTION("""COMPUTED_VALUE"""),"")</f>
        <v/>
      </c>
      <c r="U7790" s="16" t="s">
        <v>87</v>
      </c>
      <c r="V7790" s="16" t="str">
        <f>IFERROR(__xludf.DUMMYFUNCTION("""COMPUTED_VALUE"""),"")</f>
        <v/>
      </c>
      <c r="W7790" s="16" t="str">
        <f>IFERROR(__xludf.DUMMYFUNCTION("""COMPUTED_VALUE"""),"")</f>
        <v/>
      </c>
      <c r="X7790" s="16" t="str">
        <f>IFERROR(__xludf.DUMMYFUNCTION("""COMPUTED_VALUE"""),"")</f>
        <v/>
      </c>
      <c r="AC7790" s="16" t="str">
        <f>IFERROR(__xludf.DUMMYFUNCTION("""COMPUTED_VALUE"""),"")</f>
        <v/>
      </c>
    </row>
    <row r="7791">
      <c r="A7791" s="16" t="s">
        <v>87</v>
      </c>
      <c r="E7791" s="16" t="str">
        <f>IFERROR(__xludf.DUMMYFUNCTION("""COMPUTED_VALUE"""),"")</f>
        <v/>
      </c>
      <c r="G7791" s="18"/>
      <c r="H7791" s="16" t="s">
        <v>87</v>
      </c>
      <c r="I7791" s="16" t="s">
        <v>87</v>
      </c>
      <c r="J7791" s="19"/>
      <c r="L7791" s="16" t="str">
        <f>IFERROR(__xludf.DUMMYFUNCTION("""COMPUTED_VALUE"""),"")</f>
        <v/>
      </c>
      <c r="M7791" s="16" t="str">
        <f>IFERROR(__xludf.DUMMYFUNCTION("""COMPUTED_VALUE"""),"")</f>
        <v/>
      </c>
      <c r="U7791" s="16" t="s">
        <v>87</v>
      </c>
      <c r="V7791" s="16" t="str">
        <f>IFERROR(__xludf.DUMMYFUNCTION("""COMPUTED_VALUE"""),"")</f>
        <v/>
      </c>
      <c r="W7791" s="16" t="str">
        <f>IFERROR(__xludf.DUMMYFUNCTION("""COMPUTED_VALUE"""),"")</f>
        <v/>
      </c>
      <c r="X7791" s="16" t="str">
        <f>IFERROR(__xludf.DUMMYFUNCTION("""COMPUTED_VALUE"""),"")</f>
        <v/>
      </c>
      <c r="AC7791" s="16" t="str">
        <f>IFERROR(__xludf.DUMMYFUNCTION("""COMPUTED_VALUE"""),"")</f>
        <v/>
      </c>
    </row>
    <row r="7792">
      <c r="A7792" s="16" t="s">
        <v>87</v>
      </c>
      <c r="E7792" s="16" t="str">
        <f>IFERROR(__xludf.DUMMYFUNCTION("""COMPUTED_VALUE"""),"")</f>
        <v/>
      </c>
      <c r="G7792" s="18"/>
      <c r="H7792" s="16" t="s">
        <v>87</v>
      </c>
      <c r="I7792" s="16" t="s">
        <v>87</v>
      </c>
      <c r="J7792" s="19"/>
      <c r="L7792" s="16" t="str">
        <f>IFERROR(__xludf.DUMMYFUNCTION("""COMPUTED_VALUE"""),"")</f>
        <v/>
      </c>
      <c r="M7792" s="16" t="str">
        <f>IFERROR(__xludf.DUMMYFUNCTION("""COMPUTED_VALUE"""),"")</f>
        <v/>
      </c>
      <c r="U7792" s="16" t="s">
        <v>87</v>
      </c>
      <c r="V7792" s="16" t="str">
        <f>IFERROR(__xludf.DUMMYFUNCTION("""COMPUTED_VALUE"""),"")</f>
        <v/>
      </c>
      <c r="W7792" s="16" t="str">
        <f>IFERROR(__xludf.DUMMYFUNCTION("""COMPUTED_VALUE"""),"")</f>
        <v/>
      </c>
      <c r="X7792" s="16" t="str">
        <f>IFERROR(__xludf.DUMMYFUNCTION("""COMPUTED_VALUE"""),"")</f>
        <v/>
      </c>
      <c r="AC7792" s="16" t="str">
        <f>IFERROR(__xludf.DUMMYFUNCTION("""COMPUTED_VALUE"""),"")</f>
        <v/>
      </c>
    </row>
    <row r="7793">
      <c r="A7793" s="16" t="s">
        <v>87</v>
      </c>
      <c r="E7793" s="16" t="str">
        <f>IFERROR(__xludf.DUMMYFUNCTION("""COMPUTED_VALUE"""),"")</f>
        <v/>
      </c>
      <c r="G7793" s="18"/>
      <c r="H7793" s="16" t="s">
        <v>87</v>
      </c>
      <c r="I7793" s="16" t="s">
        <v>87</v>
      </c>
      <c r="J7793" s="19"/>
      <c r="L7793" s="16" t="str">
        <f>IFERROR(__xludf.DUMMYFUNCTION("""COMPUTED_VALUE"""),"")</f>
        <v/>
      </c>
      <c r="M7793" s="16" t="str">
        <f>IFERROR(__xludf.DUMMYFUNCTION("""COMPUTED_VALUE"""),"")</f>
        <v/>
      </c>
      <c r="U7793" s="16" t="s">
        <v>87</v>
      </c>
      <c r="V7793" s="16" t="str">
        <f>IFERROR(__xludf.DUMMYFUNCTION("""COMPUTED_VALUE"""),"")</f>
        <v/>
      </c>
      <c r="W7793" s="16" t="str">
        <f>IFERROR(__xludf.DUMMYFUNCTION("""COMPUTED_VALUE"""),"")</f>
        <v/>
      </c>
      <c r="X7793" s="16" t="str">
        <f>IFERROR(__xludf.DUMMYFUNCTION("""COMPUTED_VALUE"""),"")</f>
        <v/>
      </c>
      <c r="AC7793" s="16" t="str">
        <f>IFERROR(__xludf.DUMMYFUNCTION("""COMPUTED_VALUE"""),"")</f>
        <v/>
      </c>
    </row>
    <row r="7794">
      <c r="A7794" s="16" t="s">
        <v>87</v>
      </c>
      <c r="E7794" s="16" t="str">
        <f>IFERROR(__xludf.DUMMYFUNCTION("""COMPUTED_VALUE"""),"")</f>
        <v/>
      </c>
      <c r="G7794" s="18"/>
      <c r="H7794" s="16" t="s">
        <v>87</v>
      </c>
      <c r="I7794" s="16" t="s">
        <v>87</v>
      </c>
      <c r="J7794" s="19"/>
      <c r="L7794" s="16" t="str">
        <f>IFERROR(__xludf.DUMMYFUNCTION("""COMPUTED_VALUE"""),"")</f>
        <v/>
      </c>
      <c r="M7794" s="16" t="str">
        <f>IFERROR(__xludf.DUMMYFUNCTION("""COMPUTED_VALUE"""),"")</f>
        <v/>
      </c>
      <c r="U7794" s="16" t="s">
        <v>87</v>
      </c>
      <c r="V7794" s="16" t="str">
        <f>IFERROR(__xludf.DUMMYFUNCTION("""COMPUTED_VALUE"""),"")</f>
        <v/>
      </c>
      <c r="W7794" s="16" t="str">
        <f>IFERROR(__xludf.DUMMYFUNCTION("""COMPUTED_VALUE"""),"")</f>
        <v/>
      </c>
      <c r="X7794" s="16" t="str">
        <f>IFERROR(__xludf.DUMMYFUNCTION("""COMPUTED_VALUE"""),"")</f>
        <v/>
      </c>
      <c r="AC7794" s="16" t="str">
        <f>IFERROR(__xludf.DUMMYFUNCTION("""COMPUTED_VALUE"""),"")</f>
        <v/>
      </c>
    </row>
    <row r="7795">
      <c r="A7795" s="16" t="s">
        <v>87</v>
      </c>
      <c r="E7795" s="16" t="str">
        <f>IFERROR(__xludf.DUMMYFUNCTION("""COMPUTED_VALUE"""),"")</f>
        <v/>
      </c>
      <c r="G7795" s="18"/>
      <c r="H7795" s="16" t="s">
        <v>87</v>
      </c>
      <c r="I7795" s="16" t="s">
        <v>87</v>
      </c>
      <c r="J7795" s="19"/>
      <c r="L7795" s="16" t="str">
        <f>IFERROR(__xludf.DUMMYFUNCTION("""COMPUTED_VALUE"""),"")</f>
        <v/>
      </c>
      <c r="M7795" s="16" t="str">
        <f>IFERROR(__xludf.DUMMYFUNCTION("""COMPUTED_VALUE"""),"")</f>
        <v/>
      </c>
      <c r="U7795" s="16" t="s">
        <v>87</v>
      </c>
      <c r="V7795" s="16" t="str">
        <f>IFERROR(__xludf.DUMMYFUNCTION("""COMPUTED_VALUE"""),"")</f>
        <v/>
      </c>
      <c r="W7795" s="16" t="str">
        <f>IFERROR(__xludf.DUMMYFUNCTION("""COMPUTED_VALUE"""),"")</f>
        <v/>
      </c>
      <c r="X7795" s="16" t="str">
        <f>IFERROR(__xludf.DUMMYFUNCTION("""COMPUTED_VALUE"""),"")</f>
        <v/>
      </c>
      <c r="AC7795" s="16" t="str">
        <f>IFERROR(__xludf.DUMMYFUNCTION("""COMPUTED_VALUE"""),"")</f>
        <v/>
      </c>
    </row>
    <row r="7796">
      <c r="A7796" s="16" t="s">
        <v>87</v>
      </c>
      <c r="E7796" s="16" t="str">
        <f>IFERROR(__xludf.DUMMYFUNCTION("""COMPUTED_VALUE"""),"")</f>
        <v/>
      </c>
      <c r="G7796" s="18"/>
      <c r="H7796" s="16" t="s">
        <v>87</v>
      </c>
      <c r="I7796" s="16" t="s">
        <v>87</v>
      </c>
      <c r="J7796" s="19"/>
      <c r="L7796" s="16" t="str">
        <f>IFERROR(__xludf.DUMMYFUNCTION("""COMPUTED_VALUE"""),"")</f>
        <v/>
      </c>
      <c r="M7796" s="16" t="str">
        <f>IFERROR(__xludf.DUMMYFUNCTION("""COMPUTED_VALUE"""),"")</f>
        <v/>
      </c>
      <c r="U7796" s="16" t="s">
        <v>87</v>
      </c>
      <c r="V7796" s="16" t="str">
        <f>IFERROR(__xludf.DUMMYFUNCTION("""COMPUTED_VALUE"""),"")</f>
        <v/>
      </c>
      <c r="W7796" s="16" t="str">
        <f>IFERROR(__xludf.DUMMYFUNCTION("""COMPUTED_VALUE"""),"")</f>
        <v/>
      </c>
      <c r="X7796" s="16" t="str">
        <f>IFERROR(__xludf.DUMMYFUNCTION("""COMPUTED_VALUE"""),"")</f>
        <v/>
      </c>
      <c r="AC7796" s="16" t="str">
        <f>IFERROR(__xludf.DUMMYFUNCTION("""COMPUTED_VALUE"""),"")</f>
        <v/>
      </c>
    </row>
    <row r="7797">
      <c r="A7797" s="16" t="s">
        <v>87</v>
      </c>
      <c r="E7797" s="16" t="str">
        <f>IFERROR(__xludf.DUMMYFUNCTION("""COMPUTED_VALUE"""),"")</f>
        <v/>
      </c>
      <c r="G7797" s="18"/>
      <c r="H7797" s="16" t="s">
        <v>87</v>
      </c>
      <c r="I7797" s="16" t="s">
        <v>87</v>
      </c>
      <c r="J7797" s="19"/>
      <c r="L7797" s="16" t="str">
        <f>IFERROR(__xludf.DUMMYFUNCTION("""COMPUTED_VALUE"""),"")</f>
        <v/>
      </c>
      <c r="M7797" s="16" t="str">
        <f>IFERROR(__xludf.DUMMYFUNCTION("""COMPUTED_VALUE"""),"")</f>
        <v/>
      </c>
      <c r="U7797" s="16" t="s">
        <v>87</v>
      </c>
      <c r="V7797" s="16" t="str">
        <f>IFERROR(__xludf.DUMMYFUNCTION("""COMPUTED_VALUE"""),"")</f>
        <v/>
      </c>
      <c r="W7797" s="16" t="str">
        <f>IFERROR(__xludf.DUMMYFUNCTION("""COMPUTED_VALUE"""),"")</f>
        <v/>
      </c>
      <c r="X7797" s="16" t="str">
        <f>IFERROR(__xludf.DUMMYFUNCTION("""COMPUTED_VALUE"""),"")</f>
        <v/>
      </c>
      <c r="AC7797" s="16" t="str">
        <f>IFERROR(__xludf.DUMMYFUNCTION("""COMPUTED_VALUE"""),"")</f>
        <v/>
      </c>
    </row>
    <row r="7798">
      <c r="A7798" s="16" t="s">
        <v>87</v>
      </c>
      <c r="E7798" s="16" t="str">
        <f>IFERROR(__xludf.DUMMYFUNCTION("""COMPUTED_VALUE"""),"")</f>
        <v/>
      </c>
      <c r="G7798" s="18"/>
      <c r="H7798" s="16" t="s">
        <v>87</v>
      </c>
      <c r="I7798" s="16" t="s">
        <v>87</v>
      </c>
      <c r="J7798" s="19"/>
      <c r="L7798" s="16" t="str">
        <f>IFERROR(__xludf.DUMMYFUNCTION("""COMPUTED_VALUE"""),"")</f>
        <v/>
      </c>
      <c r="M7798" s="16" t="str">
        <f>IFERROR(__xludf.DUMMYFUNCTION("""COMPUTED_VALUE"""),"")</f>
        <v/>
      </c>
      <c r="U7798" s="16" t="s">
        <v>87</v>
      </c>
      <c r="V7798" s="16" t="str">
        <f>IFERROR(__xludf.DUMMYFUNCTION("""COMPUTED_VALUE"""),"")</f>
        <v/>
      </c>
      <c r="W7798" s="16" t="str">
        <f>IFERROR(__xludf.DUMMYFUNCTION("""COMPUTED_VALUE"""),"")</f>
        <v/>
      </c>
      <c r="X7798" s="16" t="str">
        <f>IFERROR(__xludf.DUMMYFUNCTION("""COMPUTED_VALUE"""),"")</f>
        <v/>
      </c>
      <c r="AC7798" s="16" t="str">
        <f>IFERROR(__xludf.DUMMYFUNCTION("""COMPUTED_VALUE"""),"")</f>
        <v/>
      </c>
    </row>
    <row r="7799">
      <c r="A7799" s="16" t="s">
        <v>87</v>
      </c>
      <c r="E7799" s="16" t="str">
        <f>IFERROR(__xludf.DUMMYFUNCTION("""COMPUTED_VALUE"""),"")</f>
        <v/>
      </c>
      <c r="G7799" s="18"/>
      <c r="H7799" s="16" t="s">
        <v>87</v>
      </c>
      <c r="I7799" s="16" t="s">
        <v>87</v>
      </c>
      <c r="J7799" s="19"/>
      <c r="L7799" s="16" t="str">
        <f>IFERROR(__xludf.DUMMYFUNCTION("""COMPUTED_VALUE"""),"")</f>
        <v/>
      </c>
      <c r="M7799" s="16" t="str">
        <f>IFERROR(__xludf.DUMMYFUNCTION("""COMPUTED_VALUE"""),"")</f>
        <v/>
      </c>
      <c r="U7799" s="16" t="s">
        <v>87</v>
      </c>
      <c r="V7799" s="16" t="str">
        <f>IFERROR(__xludf.DUMMYFUNCTION("""COMPUTED_VALUE"""),"")</f>
        <v/>
      </c>
      <c r="W7799" s="16" t="str">
        <f>IFERROR(__xludf.DUMMYFUNCTION("""COMPUTED_VALUE"""),"")</f>
        <v/>
      </c>
      <c r="X7799" s="16" t="str">
        <f>IFERROR(__xludf.DUMMYFUNCTION("""COMPUTED_VALUE"""),"")</f>
        <v/>
      </c>
      <c r="AC7799" s="16" t="str">
        <f>IFERROR(__xludf.DUMMYFUNCTION("""COMPUTED_VALUE"""),"")</f>
        <v/>
      </c>
    </row>
    <row r="7800">
      <c r="A7800" s="16" t="s">
        <v>87</v>
      </c>
      <c r="E7800" s="16" t="str">
        <f>IFERROR(__xludf.DUMMYFUNCTION("""COMPUTED_VALUE"""),"")</f>
        <v/>
      </c>
      <c r="G7800" s="18"/>
      <c r="H7800" s="16" t="s">
        <v>87</v>
      </c>
      <c r="I7800" s="16" t="s">
        <v>87</v>
      </c>
      <c r="J7800" s="19"/>
      <c r="L7800" s="16" t="str">
        <f>IFERROR(__xludf.DUMMYFUNCTION("""COMPUTED_VALUE"""),"")</f>
        <v/>
      </c>
      <c r="M7800" s="16" t="str">
        <f>IFERROR(__xludf.DUMMYFUNCTION("""COMPUTED_VALUE"""),"")</f>
        <v/>
      </c>
      <c r="U7800" s="16" t="s">
        <v>87</v>
      </c>
      <c r="V7800" s="16" t="str">
        <f>IFERROR(__xludf.DUMMYFUNCTION("""COMPUTED_VALUE"""),"")</f>
        <v/>
      </c>
      <c r="W7800" s="16" t="str">
        <f>IFERROR(__xludf.DUMMYFUNCTION("""COMPUTED_VALUE"""),"")</f>
        <v/>
      </c>
      <c r="X7800" s="16" t="str">
        <f>IFERROR(__xludf.DUMMYFUNCTION("""COMPUTED_VALUE"""),"")</f>
        <v/>
      </c>
      <c r="AC7800" s="16" t="str">
        <f>IFERROR(__xludf.DUMMYFUNCTION("""COMPUTED_VALUE"""),"")</f>
        <v/>
      </c>
    </row>
    <row r="7801">
      <c r="A7801" s="16" t="s">
        <v>87</v>
      </c>
      <c r="E7801" s="16" t="str">
        <f>IFERROR(__xludf.DUMMYFUNCTION("""COMPUTED_VALUE"""),"")</f>
        <v/>
      </c>
      <c r="G7801" s="18"/>
      <c r="H7801" s="16" t="s">
        <v>87</v>
      </c>
      <c r="I7801" s="16" t="s">
        <v>87</v>
      </c>
      <c r="J7801" s="19"/>
      <c r="L7801" s="16" t="str">
        <f>IFERROR(__xludf.DUMMYFUNCTION("""COMPUTED_VALUE"""),"")</f>
        <v/>
      </c>
      <c r="M7801" s="16" t="str">
        <f>IFERROR(__xludf.DUMMYFUNCTION("""COMPUTED_VALUE"""),"")</f>
        <v/>
      </c>
      <c r="U7801" s="16" t="s">
        <v>87</v>
      </c>
      <c r="V7801" s="16" t="str">
        <f>IFERROR(__xludf.DUMMYFUNCTION("""COMPUTED_VALUE"""),"")</f>
        <v/>
      </c>
      <c r="W7801" s="16" t="str">
        <f>IFERROR(__xludf.DUMMYFUNCTION("""COMPUTED_VALUE"""),"")</f>
        <v/>
      </c>
      <c r="X7801" s="16" t="str">
        <f>IFERROR(__xludf.DUMMYFUNCTION("""COMPUTED_VALUE"""),"")</f>
        <v/>
      </c>
      <c r="AC7801" s="16" t="str">
        <f>IFERROR(__xludf.DUMMYFUNCTION("""COMPUTED_VALUE"""),"")</f>
        <v/>
      </c>
    </row>
    <row r="7802">
      <c r="A7802" s="16" t="s">
        <v>87</v>
      </c>
      <c r="E7802" s="16" t="str">
        <f>IFERROR(__xludf.DUMMYFUNCTION("""COMPUTED_VALUE"""),"")</f>
        <v/>
      </c>
      <c r="G7802" s="18"/>
      <c r="H7802" s="16" t="s">
        <v>87</v>
      </c>
      <c r="I7802" s="16" t="s">
        <v>87</v>
      </c>
      <c r="J7802" s="19"/>
      <c r="L7802" s="16" t="str">
        <f>IFERROR(__xludf.DUMMYFUNCTION("""COMPUTED_VALUE"""),"")</f>
        <v/>
      </c>
      <c r="M7802" s="16" t="str">
        <f>IFERROR(__xludf.DUMMYFUNCTION("""COMPUTED_VALUE"""),"")</f>
        <v/>
      </c>
      <c r="U7802" s="16" t="s">
        <v>87</v>
      </c>
      <c r="V7802" s="16" t="str">
        <f>IFERROR(__xludf.DUMMYFUNCTION("""COMPUTED_VALUE"""),"")</f>
        <v/>
      </c>
      <c r="W7802" s="16" t="str">
        <f>IFERROR(__xludf.DUMMYFUNCTION("""COMPUTED_VALUE"""),"")</f>
        <v/>
      </c>
      <c r="X7802" s="16" t="str">
        <f>IFERROR(__xludf.DUMMYFUNCTION("""COMPUTED_VALUE"""),"")</f>
        <v/>
      </c>
      <c r="AC7802" s="16" t="str">
        <f>IFERROR(__xludf.DUMMYFUNCTION("""COMPUTED_VALUE"""),"")</f>
        <v/>
      </c>
    </row>
    <row r="7803">
      <c r="A7803" s="16" t="s">
        <v>87</v>
      </c>
      <c r="E7803" s="16" t="str">
        <f>IFERROR(__xludf.DUMMYFUNCTION("""COMPUTED_VALUE"""),"")</f>
        <v/>
      </c>
      <c r="G7803" s="18"/>
      <c r="H7803" s="16" t="s">
        <v>87</v>
      </c>
      <c r="I7803" s="16" t="s">
        <v>87</v>
      </c>
      <c r="J7803" s="19"/>
      <c r="L7803" s="16" t="str">
        <f>IFERROR(__xludf.DUMMYFUNCTION("""COMPUTED_VALUE"""),"")</f>
        <v/>
      </c>
      <c r="M7803" s="16" t="str">
        <f>IFERROR(__xludf.DUMMYFUNCTION("""COMPUTED_VALUE"""),"")</f>
        <v/>
      </c>
      <c r="U7803" s="16" t="s">
        <v>87</v>
      </c>
      <c r="V7803" s="16" t="str">
        <f>IFERROR(__xludf.DUMMYFUNCTION("""COMPUTED_VALUE"""),"")</f>
        <v/>
      </c>
      <c r="W7803" s="16" t="str">
        <f>IFERROR(__xludf.DUMMYFUNCTION("""COMPUTED_VALUE"""),"")</f>
        <v/>
      </c>
      <c r="X7803" s="16" t="str">
        <f>IFERROR(__xludf.DUMMYFUNCTION("""COMPUTED_VALUE"""),"")</f>
        <v/>
      </c>
      <c r="AC7803" s="16" t="str">
        <f>IFERROR(__xludf.DUMMYFUNCTION("""COMPUTED_VALUE"""),"")</f>
        <v/>
      </c>
    </row>
    <row r="7804">
      <c r="A7804" s="16" t="s">
        <v>87</v>
      </c>
      <c r="E7804" s="16" t="str">
        <f>IFERROR(__xludf.DUMMYFUNCTION("""COMPUTED_VALUE"""),"")</f>
        <v/>
      </c>
      <c r="G7804" s="18"/>
      <c r="H7804" s="16" t="s">
        <v>87</v>
      </c>
      <c r="I7804" s="16" t="s">
        <v>87</v>
      </c>
      <c r="J7804" s="19"/>
      <c r="L7804" s="16" t="str">
        <f>IFERROR(__xludf.DUMMYFUNCTION("""COMPUTED_VALUE"""),"")</f>
        <v/>
      </c>
      <c r="M7804" s="16" t="str">
        <f>IFERROR(__xludf.DUMMYFUNCTION("""COMPUTED_VALUE"""),"")</f>
        <v/>
      </c>
      <c r="U7804" s="16" t="s">
        <v>87</v>
      </c>
      <c r="V7804" s="16" t="str">
        <f>IFERROR(__xludf.DUMMYFUNCTION("""COMPUTED_VALUE"""),"")</f>
        <v/>
      </c>
      <c r="W7804" s="16" t="str">
        <f>IFERROR(__xludf.DUMMYFUNCTION("""COMPUTED_VALUE"""),"")</f>
        <v/>
      </c>
      <c r="X7804" s="16" t="str">
        <f>IFERROR(__xludf.DUMMYFUNCTION("""COMPUTED_VALUE"""),"")</f>
        <v/>
      </c>
      <c r="AC7804" s="16" t="str">
        <f>IFERROR(__xludf.DUMMYFUNCTION("""COMPUTED_VALUE"""),"")</f>
        <v/>
      </c>
    </row>
    <row r="7805">
      <c r="A7805" s="16" t="s">
        <v>87</v>
      </c>
      <c r="E7805" s="16" t="str">
        <f>IFERROR(__xludf.DUMMYFUNCTION("""COMPUTED_VALUE"""),"")</f>
        <v/>
      </c>
      <c r="G7805" s="18"/>
      <c r="H7805" s="16" t="s">
        <v>87</v>
      </c>
      <c r="I7805" s="16" t="s">
        <v>87</v>
      </c>
      <c r="J7805" s="19"/>
      <c r="L7805" s="16" t="str">
        <f>IFERROR(__xludf.DUMMYFUNCTION("""COMPUTED_VALUE"""),"")</f>
        <v/>
      </c>
      <c r="M7805" s="16" t="str">
        <f>IFERROR(__xludf.DUMMYFUNCTION("""COMPUTED_VALUE"""),"")</f>
        <v/>
      </c>
      <c r="U7805" s="16" t="s">
        <v>87</v>
      </c>
      <c r="V7805" s="16" t="str">
        <f>IFERROR(__xludf.DUMMYFUNCTION("""COMPUTED_VALUE"""),"")</f>
        <v/>
      </c>
      <c r="W7805" s="16" t="str">
        <f>IFERROR(__xludf.DUMMYFUNCTION("""COMPUTED_VALUE"""),"")</f>
        <v/>
      </c>
      <c r="X7805" s="16" t="str">
        <f>IFERROR(__xludf.DUMMYFUNCTION("""COMPUTED_VALUE"""),"")</f>
        <v/>
      </c>
      <c r="AC7805" s="16" t="str">
        <f>IFERROR(__xludf.DUMMYFUNCTION("""COMPUTED_VALUE"""),"")</f>
        <v/>
      </c>
    </row>
    <row r="7806">
      <c r="A7806" s="16" t="s">
        <v>87</v>
      </c>
      <c r="E7806" s="16" t="str">
        <f>IFERROR(__xludf.DUMMYFUNCTION("""COMPUTED_VALUE"""),"")</f>
        <v/>
      </c>
      <c r="G7806" s="18"/>
      <c r="H7806" s="16" t="s">
        <v>87</v>
      </c>
      <c r="I7806" s="16" t="s">
        <v>87</v>
      </c>
      <c r="J7806" s="19"/>
      <c r="L7806" s="16" t="str">
        <f>IFERROR(__xludf.DUMMYFUNCTION("""COMPUTED_VALUE"""),"")</f>
        <v/>
      </c>
      <c r="M7806" s="16" t="str">
        <f>IFERROR(__xludf.DUMMYFUNCTION("""COMPUTED_VALUE"""),"")</f>
        <v/>
      </c>
      <c r="U7806" s="16" t="s">
        <v>87</v>
      </c>
      <c r="V7806" s="16" t="str">
        <f>IFERROR(__xludf.DUMMYFUNCTION("""COMPUTED_VALUE"""),"")</f>
        <v/>
      </c>
      <c r="W7806" s="16" t="str">
        <f>IFERROR(__xludf.DUMMYFUNCTION("""COMPUTED_VALUE"""),"")</f>
        <v/>
      </c>
      <c r="X7806" s="16" t="str">
        <f>IFERROR(__xludf.DUMMYFUNCTION("""COMPUTED_VALUE"""),"")</f>
        <v/>
      </c>
      <c r="AC7806" s="16" t="str">
        <f>IFERROR(__xludf.DUMMYFUNCTION("""COMPUTED_VALUE"""),"")</f>
        <v/>
      </c>
    </row>
    <row r="7807">
      <c r="A7807" s="16" t="s">
        <v>87</v>
      </c>
      <c r="E7807" s="16" t="str">
        <f>IFERROR(__xludf.DUMMYFUNCTION("""COMPUTED_VALUE"""),"")</f>
        <v/>
      </c>
      <c r="G7807" s="18"/>
      <c r="H7807" s="16" t="s">
        <v>87</v>
      </c>
      <c r="I7807" s="16" t="s">
        <v>87</v>
      </c>
      <c r="J7807" s="19"/>
      <c r="L7807" s="16" t="str">
        <f>IFERROR(__xludf.DUMMYFUNCTION("""COMPUTED_VALUE"""),"")</f>
        <v/>
      </c>
      <c r="M7807" s="16" t="str">
        <f>IFERROR(__xludf.DUMMYFUNCTION("""COMPUTED_VALUE"""),"")</f>
        <v/>
      </c>
      <c r="U7807" s="16" t="s">
        <v>87</v>
      </c>
      <c r="V7807" s="16" t="str">
        <f>IFERROR(__xludf.DUMMYFUNCTION("""COMPUTED_VALUE"""),"")</f>
        <v/>
      </c>
      <c r="W7807" s="16" t="str">
        <f>IFERROR(__xludf.DUMMYFUNCTION("""COMPUTED_VALUE"""),"")</f>
        <v/>
      </c>
      <c r="X7807" s="16" t="str">
        <f>IFERROR(__xludf.DUMMYFUNCTION("""COMPUTED_VALUE"""),"")</f>
        <v/>
      </c>
      <c r="AC7807" s="16" t="str">
        <f>IFERROR(__xludf.DUMMYFUNCTION("""COMPUTED_VALUE"""),"")</f>
        <v/>
      </c>
    </row>
    <row r="7808">
      <c r="A7808" s="16" t="s">
        <v>87</v>
      </c>
      <c r="E7808" s="16" t="str">
        <f>IFERROR(__xludf.DUMMYFUNCTION("""COMPUTED_VALUE"""),"")</f>
        <v/>
      </c>
      <c r="G7808" s="18"/>
      <c r="H7808" s="16" t="s">
        <v>87</v>
      </c>
      <c r="I7808" s="16" t="s">
        <v>87</v>
      </c>
      <c r="J7808" s="19"/>
      <c r="L7808" s="16" t="str">
        <f>IFERROR(__xludf.DUMMYFUNCTION("""COMPUTED_VALUE"""),"")</f>
        <v/>
      </c>
      <c r="M7808" s="16" t="str">
        <f>IFERROR(__xludf.DUMMYFUNCTION("""COMPUTED_VALUE"""),"")</f>
        <v/>
      </c>
      <c r="U7808" s="16" t="s">
        <v>87</v>
      </c>
      <c r="V7808" s="16" t="str">
        <f>IFERROR(__xludf.DUMMYFUNCTION("""COMPUTED_VALUE"""),"")</f>
        <v/>
      </c>
      <c r="W7808" s="16" t="str">
        <f>IFERROR(__xludf.DUMMYFUNCTION("""COMPUTED_VALUE"""),"")</f>
        <v/>
      </c>
      <c r="X7808" s="16" t="str">
        <f>IFERROR(__xludf.DUMMYFUNCTION("""COMPUTED_VALUE"""),"")</f>
        <v/>
      </c>
      <c r="AC7808" s="16" t="str">
        <f>IFERROR(__xludf.DUMMYFUNCTION("""COMPUTED_VALUE"""),"")</f>
        <v/>
      </c>
    </row>
    <row r="7809">
      <c r="A7809" s="16" t="s">
        <v>87</v>
      </c>
      <c r="E7809" s="16" t="str">
        <f>IFERROR(__xludf.DUMMYFUNCTION("""COMPUTED_VALUE"""),"")</f>
        <v/>
      </c>
      <c r="G7809" s="18"/>
      <c r="H7809" s="16" t="s">
        <v>87</v>
      </c>
      <c r="I7809" s="16" t="s">
        <v>87</v>
      </c>
      <c r="J7809" s="19"/>
      <c r="L7809" s="16" t="str">
        <f>IFERROR(__xludf.DUMMYFUNCTION("""COMPUTED_VALUE"""),"")</f>
        <v/>
      </c>
      <c r="M7809" s="16" t="str">
        <f>IFERROR(__xludf.DUMMYFUNCTION("""COMPUTED_VALUE"""),"")</f>
        <v/>
      </c>
      <c r="U7809" s="16" t="s">
        <v>87</v>
      </c>
      <c r="V7809" s="16" t="str">
        <f>IFERROR(__xludf.DUMMYFUNCTION("""COMPUTED_VALUE"""),"")</f>
        <v/>
      </c>
      <c r="W7809" s="16" t="str">
        <f>IFERROR(__xludf.DUMMYFUNCTION("""COMPUTED_VALUE"""),"")</f>
        <v/>
      </c>
      <c r="X7809" s="16" t="str">
        <f>IFERROR(__xludf.DUMMYFUNCTION("""COMPUTED_VALUE"""),"")</f>
        <v/>
      </c>
      <c r="AC7809" s="16" t="str">
        <f>IFERROR(__xludf.DUMMYFUNCTION("""COMPUTED_VALUE"""),"")</f>
        <v/>
      </c>
    </row>
    <row r="7810">
      <c r="A7810" s="16" t="s">
        <v>87</v>
      </c>
      <c r="E7810" s="16" t="str">
        <f>IFERROR(__xludf.DUMMYFUNCTION("""COMPUTED_VALUE"""),"")</f>
        <v/>
      </c>
      <c r="G7810" s="18"/>
      <c r="H7810" s="16" t="s">
        <v>87</v>
      </c>
      <c r="I7810" s="16" t="s">
        <v>87</v>
      </c>
      <c r="J7810" s="19"/>
      <c r="L7810" s="16" t="str">
        <f>IFERROR(__xludf.DUMMYFUNCTION("""COMPUTED_VALUE"""),"")</f>
        <v/>
      </c>
      <c r="M7810" s="16" t="str">
        <f>IFERROR(__xludf.DUMMYFUNCTION("""COMPUTED_VALUE"""),"")</f>
        <v/>
      </c>
      <c r="U7810" s="16" t="s">
        <v>87</v>
      </c>
      <c r="V7810" s="16" t="str">
        <f>IFERROR(__xludf.DUMMYFUNCTION("""COMPUTED_VALUE"""),"")</f>
        <v/>
      </c>
      <c r="W7810" s="16" t="str">
        <f>IFERROR(__xludf.DUMMYFUNCTION("""COMPUTED_VALUE"""),"")</f>
        <v/>
      </c>
      <c r="X7810" s="16" t="str">
        <f>IFERROR(__xludf.DUMMYFUNCTION("""COMPUTED_VALUE"""),"")</f>
        <v/>
      </c>
      <c r="AC7810" s="16" t="str">
        <f>IFERROR(__xludf.DUMMYFUNCTION("""COMPUTED_VALUE"""),"")</f>
        <v/>
      </c>
    </row>
    <row r="7811">
      <c r="A7811" s="16" t="s">
        <v>87</v>
      </c>
      <c r="E7811" s="16" t="str">
        <f>IFERROR(__xludf.DUMMYFUNCTION("""COMPUTED_VALUE"""),"")</f>
        <v/>
      </c>
      <c r="G7811" s="18"/>
      <c r="H7811" s="16" t="s">
        <v>87</v>
      </c>
      <c r="I7811" s="16" t="s">
        <v>87</v>
      </c>
      <c r="J7811" s="19"/>
      <c r="L7811" s="16" t="str">
        <f>IFERROR(__xludf.DUMMYFUNCTION("""COMPUTED_VALUE"""),"")</f>
        <v/>
      </c>
      <c r="M7811" s="16" t="str">
        <f>IFERROR(__xludf.DUMMYFUNCTION("""COMPUTED_VALUE"""),"")</f>
        <v/>
      </c>
      <c r="U7811" s="16" t="s">
        <v>87</v>
      </c>
      <c r="V7811" s="16" t="str">
        <f>IFERROR(__xludf.DUMMYFUNCTION("""COMPUTED_VALUE"""),"")</f>
        <v/>
      </c>
      <c r="W7811" s="16" t="str">
        <f>IFERROR(__xludf.DUMMYFUNCTION("""COMPUTED_VALUE"""),"")</f>
        <v/>
      </c>
      <c r="X7811" s="16" t="str">
        <f>IFERROR(__xludf.DUMMYFUNCTION("""COMPUTED_VALUE"""),"")</f>
        <v/>
      </c>
      <c r="AC7811" s="16" t="str">
        <f>IFERROR(__xludf.DUMMYFUNCTION("""COMPUTED_VALUE"""),"")</f>
        <v/>
      </c>
    </row>
    <row r="7812">
      <c r="A7812" s="16" t="s">
        <v>87</v>
      </c>
      <c r="E7812" s="16" t="str">
        <f>IFERROR(__xludf.DUMMYFUNCTION("""COMPUTED_VALUE"""),"")</f>
        <v/>
      </c>
      <c r="G7812" s="18"/>
      <c r="H7812" s="16" t="s">
        <v>87</v>
      </c>
      <c r="I7812" s="16" t="s">
        <v>87</v>
      </c>
      <c r="J7812" s="19"/>
      <c r="L7812" s="16" t="str">
        <f>IFERROR(__xludf.DUMMYFUNCTION("""COMPUTED_VALUE"""),"")</f>
        <v/>
      </c>
      <c r="M7812" s="16" t="str">
        <f>IFERROR(__xludf.DUMMYFUNCTION("""COMPUTED_VALUE"""),"")</f>
        <v/>
      </c>
      <c r="U7812" s="16" t="s">
        <v>87</v>
      </c>
      <c r="V7812" s="16" t="str">
        <f>IFERROR(__xludf.DUMMYFUNCTION("""COMPUTED_VALUE"""),"")</f>
        <v/>
      </c>
      <c r="W7812" s="16" t="str">
        <f>IFERROR(__xludf.DUMMYFUNCTION("""COMPUTED_VALUE"""),"")</f>
        <v/>
      </c>
      <c r="X7812" s="16" t="str">
        <f>IFERROR(__xludf.DUMMYFUNCTION("""COMPUTED_VALUE"""),"")</f>
        <v/>
      </c>
      <c r="AC7812" s="16" t="str">
        <f>IFERROR(__xludf.DUMMYFUNCTION("""COMPUTED_VALUE"""),"")</f>
        <v/>
      </c>
    </row>
    <row r="7813">
      <c r="A7813" s="16" t="s">
        <v>87</v>
      </c>
      <c r="E7813" s="16" t="str">
        <f>IFERROR(__xludf.DUMMYFUNCTION("""COMPUTED_VALUE"""),"")</f>
        <v/>
      </c>
      <c r="G7813" s="18"/>
      <c r="H7813" s="16" t="s">
        <v>87</v>
      </c>
      <c r="I7813" s="16" t="s">
        <v>87</v>
      </c>
      <c r="J7813" s="19"/>
      <c r="L7813" s="16" t="str">
        <f>IFERROR(__xludf.DUMMYFUNCTION("""COMPUTED_VALUE"""),"")</f>
        <v/>
      </c>
      <c r="M7813" s="16" t="str">
        <f>IFERROR(__xludf.DUMMYFUNCTION("""COMPUTED_VALUE"""),"")</f>
        <v/>
      </c>
      <c r="U7813" s="16" t="s">
        <v>87</v>
      </c>
      <c r="V7813" s="16" t="str">
        <f>IFERROR(__xludf.DUMMYFUNCTION("""COMPUTED_VALUE"""),"")</f>
        <v/>
      </c>
      <c r="W7813" s="16" t="str">
        <f>IFERROR(__xludf.DUMMYFUNCTION("""COMPUTED_VALUE"""),"")</f>
        <v/>
      </c>
      <c r="X7813" s="16" t="str">
        <f>IFERROR(__xludf.DUMMYFUNCTION("""COMPUTED_VALUE"""),"")</f>
        <v/>
      </c>
      <c r="AC7813" s="16" t="str">
        <f>IFERROR(__xludf.DUMMYFUNCTION("""COMPUTED_VALUE"""),"")</f>
        <v/>
      </c>
    </row>
    <row r="7814">
      <c r="A7814" s="16" t="s">
        <v>87</v>
      </c>
      <c r="E7814" s="16" t="str">
        <f>IFERROR(__xludf.DUMMYFUNCTION("""COMPUTED_VALUE"""),"")</f>
        <v/>
      </c>
      <c r="G7814" s="18"/>
      <c r="H7814" s="16" t="s">
        <v>87</v>
      </c>
      <c r="I7814" s="16" t="s">
        <v>87</v>
      </c>
      <c r="J7814" s="19"/>
      <c r="L7814" s="16" t="str">
        <f>IFERROR(__xludf.DUMMYFUNCTION("""COMPUTED_VALUE"""),"")</f>
        <v/>
      </c>
      <c r="M7814" s="16" t="str">
        <f>IFERROR(__xludf.DUMMYFUNCTION("""COMPUTED_VALUE"""),"")</f>
        <v/>
      </c>
      <c r="U7814" s="16" t="s">
        <v>87</v>
      </c>
      <c r="V7814" s="16" t="str">
        <f>IFERROR(__xludf.DUMMYFUNCTION("""COMPUTED_VALUE"""),"")</f>
        <v/>
      </c>
      <c r="W7814" s="16" t="str">
        <f>IFERROR(__xludf.DUMMYFUNCTION("""COMPUTED_VALUE"""),"")</f>
        <v/>
      </c>
      <c r="X7814" s="16" t="str">
        <f>IFERROR(__xludf.DUMMYFUNCTION("""COMPUTED_VALUE"""),"")</f>
        <v/>
      </c>
      <c r="AC7814" s="16" t="str">
        <f>IFERROR(__xludf.DUMMYFUNCTION("""COMPUTED_VALUE"""),"")</f>
        <v/>
      </c>
    </row>
    <row r="7815">
      <c r="A7815" s="16" t="s">
        <v>87</v>
      </c>
      <c r="E7815" s="16" t="str">
        <f>IFERROR(__xludf.DUMMYFUNCTION("""COMPUTED_VALUE"""),"")</f>
        <v/>
      </c>
      <c r="G7815" s="18"/>
      <c r="H7815" s="16" t="s">
        <v>87</v>
      </c>
      <c r="I7815" s="16" t="s">
        <v>87</v>
      </c>
      <c r="J7815" s="19"/>
      <c r="L7815" s="16" t="str">
        <f>IFERROR(__xludf.DUMMYFUNCTION("""COMPUTED_VALUE"""),"")</f>
        <v/>
      </c>
      <c r="M7815" s="16" t="str">
        <f>IFERROR(__xludf.DUMMYFUNCTION("""COMPUTED_VALUE"""),"")</f>
        <v/>
      </c>
      <c r="U7815" s="16" t="s">
        <v>87</v>
      </c>
      <c r="V7815" s="16" t="str">
        <f>IFERROR(__xludf.DUMMYFUNCTION("""COMPUTED_VALUE"""),"")</f>
        <v/>
      </c>
      <c r="W7815" s="16" t="str">
        <f>IFERROR(__xludf.DUMMYFUNCTION("""COMPUTED_VALUE"""),"")</f>
        <v/>
      </c>
      <c r="X7815" s="16" t="str">
        <f>IFERROR(__xludf.DUMMYFUNCTION("""COMPUTED_VALUE"""),"")</f>
        <v/>
      </c>
      <c r="AC7815" s="16" t="str">
        <f>IFERROR(__xludf.DUMMYFUNCTION("""COMPUTED_VALUE"""),"")</f>
        <v/>
      </c>
    </row>
    <row r="7816">
      <c r="A7816" s="16" t="s">
        <v>87</v>
      </c>
      <c r="E7816" s="16" t="str">
        <f>IFERROR(__xludf.DUMMYFUNCTION("""COMPUTED_VALUE"""),"")</f>
        <v/>
      </c>
      <c r="G7816" s="18"/>
      <c r="H7816" s="16" t="s">
        <v>87</v>
      </c>
      <c r="I7816" s="16" t="s">
        <v>87</v>
      </c>
      <c r="J7816" s="19"/>
      <c r="L7816" s="16" t="str">
        <f>IFERROR(__xludf.DUMMYFUNCTION("""COMPUTED_VALUE"""),"")</f>
        <v/>
      </c>
      <c r="M7816" s="16" t="str">
        <f>IFERROR(__xludf.DUMMYFUNCTION("""COMPUTED_VALUE"""),"")</f>
        <v/>
      </c>
      <c r="U7816" s="16" t="s">
        <v>87</v>
      </c>
      <c r="V7816" s="16" t="str">
        <f>IFERROR(__xludf.DUMMYFUNCTION("""COMPUTED_VALUE"""),"")</f>
        <v/>
      </c>
      <c r="W7816" s="16" t="str">
        <f>IFERROR(__xludf.DUMMYFUNCTION("""COMPUTED_VALUE"""),"")</f>
        <v/>
      </c>
      <c r="X7816" s="16" t="str">
        <f>IFERROR(__xludf.DUMMYFUNCTION("""COMPUTED_VALUE"""),"")</f>
        <v/>
      </c>
      <c r="AC7816" s="16" t="str">
        <f>IFERROR(__xludf.DUMMYFUNCTION("""COMPUTED_VALUE"""),"")</f>
        <v/>
      </c>
    </row>
    <row r="7817">
      <c r="A7817" s="16" t="s">
        <v>87</v>
      </c>
      <c r="E7817" s="16" t="str">
        <f>IFERROR(__xludf.DUMMYFUNCTION("""COMPUTED_VALUE"""),"")</f>
        <v/>
      </c>
      <c r="G7817" s="18"/>
      <c r="H7817" s="16" t="s">
        <v>87</v>
      </c>
      <c r="I7817" s="16" t="s">
        <v>87</v>
      </c>
      <c r="J7817" s="19"/>
      <c r="L7817" s="16" t="str">
        <f>IFERROR(__xludf.DUMMYFUNCTION("""COMPUTED_VALUE"""),"")</f>
        <v/>
      </c>
      <c r="M7817" s="16" t="str">
        <f>IFERROR(__xludf.DUMMYFUNCTION("""COMPUTED_VALUE"""),"")</f>
        <v/>
      </c>
      <c r="U7817" s="16" t="s">
        <v>87</v>
      </c>
      <c r="V7817" s="16" t="str">
        <f>IFERROR(__xludf.DUMMYFUNCTION("""COMPUTED_VALUE"""),"")</f>
        <v/>
      </c>
      <c r="W7817" s="16" t="str">
        <f>IFERROR(__xludf.DUMMYFUNCTION("""COMPUTED_VALUE"""),"")</f>
        <v/>
      </c>
      <c r="X7817" s="16" t="str">
        <f>IFERROR(__xludf.DUMMYFUNCTION("""COMPUTED_VALUE"""),"")</f>
        <v/>
      </c>
      <c r="AC7817" s="16" t="str">
        <f>IFERROR(__xludf.DUMMYFUNCTION("""COMPUTED_VALUE"""),"")</f>
        <v/>
      </c>
    </row>
    <row r="7818">
      <c r="A7818" s="16" t="s">
        <v>87</v>
      </c>
      <c r="E7818" s="16" t="str">
        <f>IFERROR(__xludf.DUMMYFUNCTION("""COMPUTED_VALUE"""),"")</f>
        <v/>
      </c>
      <c r="G7818" s="18"/>
      <c r="H7818" s="16" t="s">
        <v>87</v>
      </c>
      <c r="I7818" s="16" t="s">
        <v>87</v>
      </c>
      <c r="J7818" s="19"/>
      <c r="L7818" s="16" t="str">
        <f>IFERROR(__xludf.DUMMYFUNCTION("""COMPUTED_VALUE"""),"")</f>
        <v/>
      </c>
      <c r="M7818" s="16" t="str">
        <f>IFERROR(__xludf.DUMMYFUNCTION("""COMPUTED_VALUE"""),"")</f>
        <v/>
      </c>
      <c r="U7818" s="16" t="s">
        <v>87</v>
      </c>
      <c r="V7818" s="16" t="str">
        <f>IFERROR(__xludf.DUMMYFUNCTION("""COMPUTED_VALUE"""),"")</f>
        <v/>
      </c>
      <c r="W7818" s="16" t="str">
        <f>IFERROR(__xludf.DUMMYFUNCTION("""COMPUTED_VALUE"""),"")</f>
        <v/>
      </c>
      <c r="X7818" s="16" t="str">
        <f>IFERROR(__xludf.DUMMYFUNCTION("""COMPUTED_VALUE"""),"")</f>
        <v/>
      </c>
      <c r="AC7818" s="16" t="str">
        <f>IFERROR(__xludf.DUMMYFUNCTION("""COMPUTED_VALUE"""),"")</f>
        <v/>
      </c>
    </row>
    <row r="7819">
      <c r="A7819" s="16" t="s">
        <v>87</v>
      </c>
      <c r="E7819" s="16" t="str">
        <f>IFERROR(__xludf.DUMMYFUNCTION("""COMPUTED_VALUE"""),"")</f>
        <v/>
      </c>
      <c r="G7819" s="18"/>
      <c r="H7819" s="16" t="s">
        <v>87</v>
      </c>
      <c r="I7819" s="16" t="s">
        <v>87</v>
      </c>
      <c r="J7819" s="19"/>
      <c r="L7819" s="16" t="str">
        <f>IFERROR(__xludf.DUMMYFUNCTION("""COMPUTED_VALUE"""),"")</f>
        <v/>
      </c>
      <c r="M7819" s="16" t="str">
        <f>IFERROR(__xludf.DUMMYFUNCTION("""COMPUTED_VALUE"""),"")</f>
        <v/>
      </c>
      <c r="U7819" s="16" t="s">
        <v>87</v>
      </c>
      <c r="V7819" s="16" t="str">
        <f>IFERROR(__xludf.DUMMYFUNCTION("""COMPUTED_VALUE"""),"")</f>
        <v/>
      </c>
      <c r="W7819" s="16" t="str">
        <f>IFERROR(__xludf.DUMMYFUNCTION("""COMPUTED_VALUE"""),"")</f>
        <v/>
      </c>
      <c r="X7819" s="16" t="str">
        <f>IFERROR(__xludf.DUMMYFUNCTION("""COMPUTED_VALUE"""),"")</f>
        <v/>
      </c>
      <c r="AC7819" s="16" t="str">
        <f>IFERROR(__xludf.DUMMYFUNCTION("""COMPUTED_VALUE"""),"")</f>
        <v/>
      </c>
    </row>
    <row r="7820">
      <c r="A7820" s="16" t="s">
        <v>87</v>
      </c>
      <c r="E7820" s="16" t="str">
        <f>IFERROR(__xludf.DUMMYFUNCTION("""COMPUTED_VALUE"""),"")</f>
        <v/>
      </c>
      <c r="G7820" s="18"/>
      <c r="H7820" s="16" t="s">
        <v>87</v>
      </c>
      <c r="I7820" s="16" t="s">
        <v>87</v>
      </c>
      <c r="J7820" s="19"/>
      <c r="L7820" s="16" t="str">
        <f>IFERROR(__xludf.DUMMYFUNCTION("""COMPUTED_VALUE"""),"")</f>
        <v/>
      </c>
      <c r="M7820" s="16" t="str">
        <f>IFERROR(__xludf.DUMMYFUNCTION("""COMPUTED_VALUE"""),"")</f>
        <v/>
      </c>
      <c r="U7820" s="16" t="s">
        <v>87</v>
      </c>
      <c r="V7820" s="16" t="str">
        <f>IFERROR(__xludf.DUMMYFUNCTION("""COMPUTED_VALUE"""),"")</f>
        <v/>
      </c>
      <c r="W7820" s="16" t="str">
        <f>IFERROR(__xludf.DUMMYFUNCTION("""COMPUTED_VALUE"""),"")</f>
        <v/>
      </c>
      <c r="X7820" s="16" t="str">
        <f>IFERROR(__xludf.DUMMYFUNCTION("""COMPUTED_VALUE"""),"")</f>
        <v/>
      </c>
      <c r="AC7820" s="16" t="str">
        <f>IFERROR(__xludf.DUMMYFUNCTION("""COMPUTED_VALUE"""),"")</f>
        <v/>
      </c>
    </row>
    <row r="7821">
      <c r="A7821" s="16" t="s">
        <v>87</v>
      </c>
      <c r="E7821" s="16" t="str">
        <f>IFERROR(__xludf.DUMMYFUNCTION("""COMPUTED_VALUE"""),"")</f>
        <v/>
      </c>
      <c r="G7821" s="18"/>
      <c r="H7821" s="16" t="s">
        <v>87</v>
      </c>
      <c r="I7821" s="16" t="s">
        <v>87</v>
      </c>
      <c r="J7821" s="19"/>
      <c r="L7821" s="16" t="str">
        <f>IFERROR(__xludf.DUMMYFUNCTION("""COMPUTED_VALUE"""),"")</f>
        <v/>
      </c>
      <c r="M7821" s="16" t="str">
        <f>IFERROR(__xludf.DUMMYFUNCTION("""COMPUTED_VALUE"""),"")</f>
        <v/>
      </c>
      <c r="U7821" s="16" t="s">
        <v>87</v>
      </c>
      <c r="V7821" s="16" t="str">
        <f>IFERROR(__xludf.DUMMYFUNCTION("""COMPUTED_VALUE"""),"")</f>
        <v/>
      </c>
      <c r="W7821" s="16" t="str">
        <f>IFERROR(__xludf.DUMMYFUNCTION("""COMPUTED_VALUE"""),"")</f>
        <v/>
      </c>
      <c r="X7821" s="16" t="str">
        <f>IFERROR(__xludf.DUMMYFUNCTION("""COMPUTED_VALUE"""),"")</f>
        <v/>
      </c>
      <c r="AC7821" s="16" t="str">
        <f>IFERROR(__xludf.DUMMYFUNCTION("""COMPUTED_VALUE"""),"")</f>
        <v/>
      </c>
    </row>
    <row r="7822">
      <c r="A7822" s="16" t="s">
        <v>87</v>
      </c>
      <c r="E7822" s="16" t="str">
        <f>IFERROR(__xludf.DUMMYFUNCTION("""COMPUTED_VALUE"""),"")</f>
        <v/>
      </c>
      <c r="G7822" s="18"/>
      <c r="H7822" s="16" t="s">
        <v>87</v>
      </c>
      <c r="I7822" s="16" t="s">
        <v>87</v>
      </c>
      <c r="J7822" s="19"/>
      <c r="L7822" s="16" t="str">
        <f>IFERROR(__xludf.DUMMYFUNCTION("""COMPUTED_VALUE"""),"")</f>
        <v/>
      </c>
      <c r="M7822" s="16" t="str">
        <f>IFERROR(__xludf.DUMMYFUNCTION("""COMPUTED_VALUE"""),"")</f>
        <v/>
      </c>
      <c r="U7822" s="16" t="s">
        <v>87</v>
      </c>
      <c r="V7822" s="16" t="str">
        <f>IFERROR(__xludf.DUMMYFUNCTION("""COMPUTED_VALUE"""),"")</f>
        <v/>
      </c>
      <c r="W7822" s="16" t="str">
        <f>IFERROR(__xludf.DUMMYFUNCTION("""COMPUTED_VALUE"""),"")</f>
        <v/>
      </c>
      <c r="X7822" s="16" t="str">
        <f>IFERROR(__xludf.DUMMYFUNCTION("""COMPUTED_VALUE"""),"")</f>
        <v/>
      </c>
      <c r="AC7822" s="16" t="str">
        <f>IFERROR(__xludf.DUMMYFUNCTION("""COMPUTED_VALUE"""),"")</f>
        <v/>
      </c>
    </row>
    <row r="7823">
      <c r="A7823" s="16" t="s">
        <v>87</v>
      </c>
      <c r="E7823" s="16" t="str">
        <f>IFERROR(__xludf.DUMMYFUNCTION("""COMPUTED_VALUE"""),"")</f>
        <v/>
      </c>
      <c r="G7823" s="18"/>
      <c r="H7823" s="16" t="s">
        <v>87</v>
      </c>
      <c r="I7823" s="16" t="s">
        <v>87</v>
      </c>
      <c r="J7823" s="19"/>
      <c r="L7823" s="16" t="str">
        <f>IFERROR(__xludf.DUMMYFUNCTION("""COMPUTED_VALUE"""),"")</f>
        <v/>
      </c>
      <c r="M7823" s="16" t="str">
        <f>IFERROR(__xludf.DUMMYFUNCTION("""COMPUTED_VALUE"""),"")</f>
        <v/>
      </c>
      <c r="U7823" s="16" t="s">
        <v>87</v>
      </c>
      <c r="V7823" s="16" t="str">
        <f>IFERROR(__xludf.DUMMYFUNCTION("""COMPUTED_VALUE"""),"")</f>
        <v/>
      </c>
      <c r="W7823" s="16" t="str">
        <f>IFERROR(__xludf.DUMMYFUNCTION("""COMPUTED_VALUE"""),"")</f>
        <v/>
      </c>
      <c r="X7823" s="16" t="str">
        <f>IFERROR(__xludf.DUMMYFUNCTION("""COMPUTED_VALUE"""),"")</f>
        <v/>
      </c>
      <c r="AC7823" s="16" t="str">
        <f>IFERROR(__xludf.DUMMYFUNCTION("""COMPUTED_VALUE"""),"")</f>
        <v/>
      </c>
    </row>
    <row r="7824">
      <c r="A7824" s="16" t="s">
        <v>87</v>
      </c>
      <c r="E7824" s="16" t="str">
        <f>IFERROR(__xludf.DUMMYFUNCTION("""COMPUTED_VALUE"""),"")</f>
        <v/>
      </c>
      <c r="G7824" s="18"/>
      <c r="H7824" s="16" t="s">
        <v>87</v>
      </c>
      <c r="I7824" s="16" t="s">
        <v>87</v>
      </c>
      <c r="J7824" s="19"/>
      <c r="L7824" s="16" t="str">
        <f>IFERROR(__xludf.DUMMYFUNCTION("""COMPUTED_VALUE"""),"")</f>
        <v/>
      </c>
      <c r="M7824" s="16" t="str">
        <f>IFERROR(__xludf.DUMMYFUNCTION("""COMPUTED_VALUE"""),"")</f>
        <v/>
      </c>
      <c r="U7824" s="16" t="s">
        <v>87</v>
      </c>
      <c r="V7824" s="16" t="str">
        <f>IFERROR(__xludf.DUMMYFUNCTION("""COMPUTED_VALUE"""),"")</f>
        <v/>
      </c>
      <c r="W7824" s="16" t="str">
        <f>IFERROR(__xludf.DUMMYFUNCTION("""COMPUTED_VALUE"""),"")</f>
        <v/>
      </c>
      <c r="X7824" s="16" t="str">
        <f>IFERROR(__xludf.DUMMYFUNCTION("""COMPUTED_VALUE"""),"")</f>
        <v/>
      </c>
      <c r="AC7824" s="16" t="str">
        <f>IFERROR(__xludf.DUMMYFUNCTION("""COMPUTED_VALUE"""),"")</f>
        <v/>
      </c>
    </row>
    <row r="7825">
      <c r="A7825" s="16" t="s">
        <v>87</v>
      </c>
      <c r="E7825" s="16" t="str">
        <f>IFERROR(__xludf.DUMMYFUNCTION("""COMPUTED_VALUE"""),"")</f>
        <v/>
      </c>
      <c r="G7825" s="18"/>
      <c r="H7825" s="16" t="s">
        <v>87</v>
      </c>
      <c r="I7825" s="16" t="s">
        <v>87</v>
      </c>
      <c r="J7825" s="19"/>
      <c r="L7825" s="16" t="str">
        <f>IFERROR(__xludf.DUMMYFUNCTION("""COMPUTED_VALUE"""),"")</f>
        <v/>
      </c>
      <c r="M7825" s="16" t="str">
        <f>IFERROR(__xludf.DUMMYFUNCTION("""COMPUTED_VALUE"""),"")</f>
        <v/>
      </c>
      <c r="U7825" s="16" t="s">
        <v>87</v>
      </c>
      <c r="V7825" s="16" t="str">
        <f>IFERROR(__xludf.DUMMYFUNCTION("""COMPUTED_VALUE"""),"")</f>
        <v/>
      </c>
      <c r="W7825" s="16" t="str">
        <f>IFERROR(__xludf.DUMMYFUNCTION("""COMPUTED_VALUE"""),"")</f>
        <v/>
      </c>
      <c r="X7825" s="16" t="str">
        <f>IFERROR(__xludf.DUMMYFUNCTION("""COMPUTED_VALUE"""),"")</f>
        <v/>
      </c>
      <c r="AC7825" s="16" t="str">
        <f>IFERROR(__xludf.DUMMYFUNCTION("""COMPUTED_VALUE"""),"")</f>
        <v/>
      </c>
    </row>
    <row r="7826">
      <c r="A7826" s="16" t="s">
        <v>87</v>
      </c>
      <c r="E7826" s="16" t="str">
        <f>IFERROR(__xludf.DUMMYFUNCTION("""COMPUTED_VALUE"""),"")</f>
        <v/>
      </c>
      <c r="G7826" s="18"/>
      <c r="H7826" s="16" t="s">
        <v>87</v>
      </c>
      <c r="I7826" s="16" t="s">
        <v>87</v>
      </c>
      <c r="J7826" s="19"/>
      <c r="L7826" s="16" t="str">
        <f>IFERROR(__xludf.DUMMYFUNCTION("""COMPUTED_VALUE"""),"")</f>
        <v/>
      </c>
      <c r="M7826" s="16" t="str">
        <f>IFERROR(__xludf.DUMMYFUNCTION("""COMPUTED_VALUE"""),"")</f>
        <v/>
      </c>
      <c r="U7826" s="16" t="s">
        <v>87</v>
      </c>
      <c r="V7826" s="16" t="str">
        <f>IFERROR(__xludf.DUMMYFUNCTION("""COMPUTED_VALUE"""),"")</f>
        <v/>
      </c>
      <c r="W7826" s="16" t="str">
        <f>IFERROR(__xludf.DUMMYFUNCTION("""COMPUTED_VALUE"""),"")</f>
        <v/>
      </c>
      <c r="X7826" s="16" t="str">
        <f>IFERROR(__xludf.DUMMYFUNCTION("""COMPUTED_VALUE"""),"")</f>
        <v/>
      </c>
      <c r="AC7826" s="16" t="str">
        <f>IFERROR(__xludf.DUMMYFUNCTION("""COMPUTED_VALUE"""),"")</f>
        <v/>
      </c>
    </row>
    <row r="7827">
      <c r="A7827" s="16" t="s">
        <v>87</v>
      </c>
      <c r="E7827" s="16" t="str">
        <f>IFERROR(__xludf.DUMMYFUNCTION("""COMPUTED_VALUE"""),"")</f>
        <v/>
      </c>
      <c r="G7827" s="18"/>
      <c r="H7827" s="16" t="s">
        <v>87</v>
      </c>
      <c r="I7827" s="16" t="s">
        <v>87</v>
      </c>
      <c r="J7827" s="19"/>
      <c r="L7827" s="16" t="str">
        <f>IFERROR(__xludf.DUMMYFUNCTION("""COMPUTED_VALUE"""),"")</f>
        <v/>
      </c>
      <c r="M7827" s="16" t="str">
        <f>IFERROR(__xludf.DUMMYFUNCTION("""COMPUTED_VALUE"""),"")</f>
        <v/>
      </c>
      <c r="U7827" s="16" t="s">
        <v>87</v>
      </c>
      <c r="V7827" s="16" t="str">
        <f>IFERROR(__xludf.DUMMYFUNCTION("""COMPUTED_VALUE"""),"")</f>
        <v/>
      </c>
      <c r="W7827" s="16" t="str">
        <f>IFERROR(__xludf.DUMMYFUNCTION("""COMPUTED_VALUE"""),"")</f>
        <v/>
      </c>
      <c r="X7827" s="16" t="str">
        <f>IFERROR(__xludf.DUMMYFUNCTION("""COMPUTED_VALUE"""),"")</f>
        <v/>
      </c>
      <c r="AC7827" s="16" t="str">
        <f>IFERROR(__xludf.DUMMYFUNCTION("""COMPUTED_VALUE"""),"")</f>
        <v/>
      </c>
    </row>
    <row r="7828">
      <c r="A7828" s="16" t="s">
        <v>87</v>
      </c>
      <c r="E7828" s="16" t="str">
        <f>IFERROR(__xludf.DUMMYFUNCTION("""COMPUTED_VALUE"""),"")</f>
        <v/>
      </c>
      <c r="G7828" s="18"/>
      <c r="H7828" s="16" t="s">
        <v>87</v>
      </c>
      <c r="I7828" s="16" t="s">
        <v>87</v>
      </c>
      <c r="J7828" s="19"/>
      <c r="L7828" s="16" t="str">
        <f>IFERROR(__xludf.DUMMYFUNCTION("""COMPUTED_VALUE"""),"")</f>
        <v/>
      </c>
      <c r="M7828" s="16" t="str">
        <f>IFERROR(__xludf.DUMMYFUNCTION("""COMPUTED_VALUE"""),"")</f>
        <v/>
      </c>
      <c r="U7828" s="16" t="s">
        <v>87</v>
      </c>
      <c r="V7828" s="16" t="str">
        <f>IFERROR(__xludf.DUMMYFUNCTION("""COMPUTED_VALUE"""),"")</f>
        <v/>
      </c>
      <c r="W7828" s="16" t="str">
        <f>IFERROR(__xludf.DUMMYFUNCTION("""COMPUTED_VALUE"""),"")</f>
        <v/>
      </c>
      <c r="X7828" s="16" t="str">
        <f>IFERROR(__xludf.DUMMYFUNCTION("""COMPUTED_VALUE"""),"")</f>
        <v/>
      </c>
      <c r="AC7828" s="16" t="str">
        <f>IFERROR(__xludf.DUMMYFUNCTION("""COMPUTED_VALUE"""),"")</f>
        <v/>
      </c>
    </row>
    <row r="7829">
      <c r="A7829" s="16" t="s">
        <v>87</v>
      </c>
      <c r="E7829" s="16" t="str">
        <f>IFERROR(__xludf.DUMMYFUNCTION("""COMPUTED_VALUE"""),"")</f>
        <v/>
      </c>
      <c r="G7829" s="18"/>
      <c r="H7829" s="16" t="s">
        <v>87</v>
      </c>
      <c r="I7829" s="16" t="s">
        <v>87</v>
      </c>
      <c r="J7829" s="19"/>
      <c r="L7829" s="16" t="str">
        <f>IFERROR(__xludf.DUMMYFUNCTION("""COMPUTED_VALUE"""),"")</f>
        <v/>
      </c>
      <c r="M7829" s="16" t="str">
        <f>IFERROR(__xludf.DUMMYFUNCTION("""COMPUTED_VALUE"""),"")</f>
        <v/>
      </c>
      <c r="U7829" s="16" t="s">
        <v>87</v>
      </c>
      <c r="V7829" s="16" t="str">
        <f>IFERROR(__xludf.DUMMYFUNCTION("""COMPUTED_VALUE"""),"")</f>
        <v/>
      </c>
      <c r="W7829" s="16" t="str">
        <f>IFERROR(__xludf.DUMMYFUNCTION("""COMPUTED_VALUE"""),"")</f>
        <v/>
      </c>
      <c r="X7829" s="16" t="str">
        <f>IFERROR(__xludf.DUMMYFUNCTION("""COMPUTED_VALUE"""),"")</f>
        <v/>
      </c>
      <c r="AC7829" s="16" t="str">
        <f>IFERROR(__xludf.DUMMYFUNCTION("""COMPUTED_VALUE"""),"")</f>
        <v/>
      </c>
    </row>
    <row r="7830">
      <c r="A7830" s="16" t="s">
        <v>87</v>
      </c>
      <c r="E7830" s="16" t="str">
        <f>IFERROR(__xludf.DUMMYFUNCTION("""COMPUTED_VALUE"""),"")</f>
        <v/>
      </c>
      <c r="G7830" s="18"/>
      <c r="H7830" s="16" t="s">
        <v>87</v>
      </c>
      <c r="I7830" s="16" t="s">
        <v>87</v>
      </c>
      <c r="J7830" s="19"/>
      <c r="L7830" s="16" t="str">
        <f>IFERROR(__xludf.DUMMYFUNCTION("""COMPUTED_VALUE"""),"")</f>
        <v/>
      </c>
      <c r="M7830" s="16" t="str">
        <f>IFERROR(__xludf.DUMMYFUNCTION("""COMPUTED_VALUE"""),"")</f>
        <v/>
      </c>
      <c r="U7830" s="16" t="s">
        <v>87</v>
      </c>
      <c r="V7830" s="16" t="str">
        <f>IFERROR(__xludf.DUMMYFUNCTION("""COMPUTED_VALUE"""),"")</f>
        <v/>
      </c>
      <c r="W7830" s="16" t="str">
        <f>IFERROR(__xludf.DUMMYFUNCTION("""COMPUTED_VALUE"""),"")</f>
        <v/>
      </c>
      <c r="X7830" s="16" t="str">
        <f>IFERROR(__xludf.DUMMYFUNCTION("""COMPUTED_VALUE"""),"")</f>
        <v/>
      </c>
      <c r="AC7830" s="16" t="str">
        <f>IFERROR(__xludf.DUMMYFUNCTION("""COMPUTED_VALUE"""),"")</f>
        <v/>
      </c>
    </row>
    <row r="7831">
      <c r="A7831" s="16" t="s">
        <v>87</v>
      </c>
      <c r="E7831" s="16" t="str">
        <f>IFERROR(__xludf.DUMMYFUNCTION("""COMPUTED_VALUE"""),"")</f>
        <v/>
      </c>
      <c r="G7831" s="18"/>
      <c r="H7831" s="16" t="s">
        <v>87</v>
      </c>
      <c r="I7831" s="16" t="s">
        <v>87</v>
      </c>
      <c r="J7831" s="19"/>
      <c r="L7831" s="16" t="str">
        <f>IFERROR(__xludf.DUMMYFUNCTION("""COMPUTED_VALUE"""),"")</f>
        <v/>
      </c>
      <c r="M7831" s="16" t="str">
        <f>IFERROR(__xludf.DUMMYFUNCTION("""COMPUTED_VALUE"""),"")</f>
        <v/>
      </c>
      <c r="U7831" s="16" t="s">
        <v>87</v>
      </c>
      <c r="V7831" s="16" t="str">
        <f>IFERROR(__xludf.DUMMYFUNCTION("""COMPUTED_VALUE"""),"")</f>
        <v/>
      </c>
      <c r="W7831" s="16" t="str">
        <f>IFERROR(__xludf.DUMMYFUNCTION("""COMPUTED_VALUE"""),"")</f>
        <v/>
      </c>
      <c r="X7831" s="16" t="str">
        <f>IFERROR(__xludf.DUMMYFUNCTION("""COMPUTED_VALUE"""),"")</f>
        <v/>
      </c>
      <c r="AC7831" s="16" t="str">
        <f>IFERROR(__xludf.DUMMYFUNCTION("""COMPUTED_VALUE"""),"")</f>
        <v/>
      </c>
    </row>
    <row r="7832">
      <c r="A7832" s="16" t="s">
        <v>87</v>
      </c>
      <c r="E7832" s="16" t="str">
        <f>IFERROR(__xludf.DUMMYFUNCTION("""COMPUTED_VALUE"""),"")</f>
        <v/>
      </c>
      <c r="G7832" s="18"/>
      <c r="H7832" s="16" t="s">
        <v>87</v>
      </c>
      <c r="I7832" s="16" t="s">
        <v>87</v>
      </c>
      <c r="J7832" s="19"/>
      <c r="L7832" s="16" t="str">
        <f>IFERROR(__xludf.DUMMYFUNCTION("""COMPUTED_VALUE"""),"")</f>
        <v/>
      </c>
      <c r="M7832" s="16" t="str">
        <f>IFERROR(__xludf.DUMMYFUNCTION("""COMPUTED_VALUE"""),"")</f>
        <v/>
      </c>
      <c r="U7832" s="16" t="s">
        <v>87</v>
      </c>
      <c r="V7832" s="16" t="str">
        <f>IFERROR(__xludf.DUMMYFUNCTION("""COMPUTED_VALUE"""),"")</f>
        <v/>
      </c>
      <c r="W7832" s="16" t="str">
        <f>IFERROR(__xludf.DUMMYFUNCTION("""COMPUTED_VALUE"""),"")</f>
        <v/>
      </c>
      <c r="X7832" s="16" t="str">
        <f>IFERROR(__xludf.DUMMYFUNCTION("""COMPUTED_VALUE"""),"")</f>
        <v/>
      </c>
      <c r="AC7832" s="16" t="str">
        <f>IFERROR(__xludf.DUMMYFUNCTION("""COMPUTED_VALUE"""),"")</f>
        <v/>
      </c>
    </row>
    <row r="7833">
      <c r="A7833" s="16" t="s">
        <v>87</v>
      </c>
      <c r="E7833" s="16" t="str">
        <f>IFERROR(__xludf.DUMMYFUNCTION("""COMPUTED_VALUE"""),"")</f>
        <v/>
      </c>
      <c r="G7833" s="18"/>
      <c r="H7833" s="16" t="s">
        <v>87</v>
      </c>
      <c r="I7833" s="16" t="s">
        <v>87</v>
      </c>
      <c r="J7833" s="19"/>
      <c r="L7833" s="16" t="str">
        <f>IFERROR(__xludf.DUMMYFUNCTION("""COMPUTED_VALUE"""),"")</f>
        <v/>
      </c>
      <c r="M7833" s="16" t="str">
        <f>IFERROR(__xludf.DUMMYFUNCTION("""COMPUTED_VALUE"""),"")</f>
        <v/>
      </c>
      <c r="U7833" s="16" t="s">
        <v>87</v>
      </c>
      <c r="V7833" s="16" t="str">
        <f>IFERROR(__xludf.DUMMYFUNCTION("""COMPUTED_VALUE"""),"")</f>
        <v/>
      </c>
      <c r="W7833" s="16" t="str">
        <f>IFERROR(__xludf.DUMMYFUNCTION("""COMPUTED_VALUE"""),"")</f>
        <v/>
      </c>
      <c r="X7833" s="16" t="str">
        <f>IFERROR(__xludf.DUMMYFUNCTION("""COMPUTED_VALUE"""),"")</f>
        <v/>
      </c>
      <c r="AC7833" s="16" t="str">
        <f>IFERROR(__xludf.DUMMYFUNCTION("""COMPUTED_VALUE"""),"")</f>
        <v/>
      </c>
    </row>
    <row r="7834">
      <c r="A7834" s="16" t="s">
        <v>87</v>
      </c>
      <c r="E7834" s="16" t="str">
        <f>IFERROR(__xludf.DUMMYFUNCTION("""COMPUTED_VALUE"""),"")</f>
        <v/>
      </c>
      <c r="G7834" s="18"/>
      <c r="H7834" s="16" t="s">
        <v>87</v>
      </c>
      <c r="I7834" s="16" t="s">
        <v>87</v>
      </c>
      <c r="J7834" s="19"/>
      <c r="L7834" s="16" t="str">
        <f>IFERROR(__xludf.DUMMYFUNCTION("""COMPUTED_VALUE"""),"")</f>
        <v/>
      </c>
      <c r="M7834" s="16" t="str">
        <f>IFERROR(__xludf.DUMMYFUNCTION("""COMPUTED_VALUE"""),"")</f>
        <v/>
      </c>
      <c r="U7834" s="16" t="s">
        <v>87</v>
      </c>
      <c r="V7834" s="16" t="str">
        <f>IFERROR(__xludf.DUMMYFUNCTION("""COMPUTED_VALUE"""),"")</f>
        <v/>
      </c>
      <c r="W7834" s="16" t="str">
        <f>IFERROR(__xludf.DUMMYFUNCTION("""COMPUTED_VALUE"""),"")</f>
        <v/>
      </c>
      <c r="X7834" s="16" t="str">
        <f>IFERROR(__xludf.DUMMYFUNCTION("""COMPUTED_VALUE"""),"")</f>
        <v/>
      </c>
      <c r="AC7834" s="16" t="str">
        <f>IFERROR(__xludf.DUMMYFUNCTION("""COMPUTED_VALUE"""),"")</f>
        <v/>
      </c>
    </row>
    <row r="7835">
      <c r="A7835" s="16" t="s">
        <v>87</v>
      </c>
      <c r="E7835" s="16" t="str">
        <f>IFERROR(__xludf.DUMMYFUNCTION("""COMPUTED_VALUE"""),"")</f>
        <v/>
      </c>
      <c r="G7835" s="18"/>
      <c r="H7835" s="16" t="s">
        <v>87</v>
      </c>
      <c r="I7835" s="16" t="s">
        <v>87</v>
      </c>
      <c r="J7835" s="19"/>
      <c r="L7835" s="16" t="str">
        <f>IFERROR(__xludf.DUMMYFUNCTION("""COMPUTED_VALUE"""),"")</f>
        <v/>
      </c>
      <c r="M7835" s="16" t="str">
        <f>IFERROR(__xludf.DUMMYFUNCTION("""COMPUTED_VALUE"""),"")</f>
        <v/>
      </c>
      <c r="U7835" s="16" t="s">
        <v>87</v>
      </c>
      <c r="V7835" s="16" t="str">
        <f>IFERROR(__xludf.DUMMYFUNCTION("""COMPUTED_VALUE"""),"")</f>
        <v/>
      </c>
      <c r="W7835" s="16" t="str">
        <f>IFERROR(__xludf.DUMMYFUNCTION("""COMPUTED_VALUE"""),"")</f>
        <v/>
      </c>
      <c r="X7835" s="16" t="str">
        <f>IFERROR(__xludf.DUMMYFUNCTION("""COMPUTED_VALUE"""),"")</f>
        <v/>
      </c>
      <c r="AC7835" s="16" t="str">
        <f>IFERROR(__xludf.DUMMYFUNCTION("""COMPUTED_VALUE"""),"")</f>
        <v/>
      </c>
    </row>
    <row r="7836">
      <c r="A7836" s="16" t="s">
        <v>87</v>
      </c>
      <c r="E7836" s="16" t="str">
        <f>IFERROR(__xludf.DUMMYFUNCTION("""COMPUTED_VALUE"""),"")</f>
        <v/>
      </c>
      <c r="G7836" s="18"/>
      <c r="H7836" s="16" t="s">
        <v>87</v>
      </c>
      <c r="I7836" s="16" t="s">
        <v>87</v>
      </c>
      <c r="J7836" s="19"/>
      <c r="L7836" s="16" t="str">
        <f>IFERROR(__xludf.DUMMYFUNCTION("""COMPUTED_VALUE"""),"")</f>
        <v/>
      </c>
      <c r="M7836" s="16" t="str">
        <f>IFERROR(__xludf.DUMMYFUNCTION("""COMPUTED_VALUE"""),"")</f>
        <v/>
      </c>
      <c r="U7836" s="16" t="s">
        <v>87</v>
      </c>
      <c r="V7836" s="16" t="str">
        <f>IFERROR(__xludf.DUMMYFUNCTION("""COMPUTED_VALUE"""),"")</f>
        <v/>
      </c>
      <c r="W7836" s="16" t="str">
        <f>IFERROR(__xludf.DUMMYFUNCTION("""COMPUTED_VALUE"""),"")</f>
        <v/>
      </c>
      <c r="X7836" s="16" t="str">
        <f>IFERROR(__xludf.DUMMYFUNCTION("""COMPUTED_VALUE"""),"")</f>
        <v/>
      </c>
      <c r="AC7836" s="16" t="str">
        <f>IFERROR(__xludf.DUMMYFUNCTION("""COMPUTED_VALUE"""),"")</f>
        <v/>
      </c>
    </row>
    <row r="7837">
      <c r="A7837" s="16" t="s">
        <v>87</v>
      </c>
      <c r="E7837" s="16" t="str">
        <f>IFERROR(__xludf.DUMMYFUNCTION("""COMPUTED_VALUE"""),"")</f>
        <v/>
      </c>
      <c r="G7837" s="18"/>
      <c r="H7837" s="16" t="s">
        <v>87</v>
      </c>
      <c r="I7837" s="16" t="s">
        <v>87</v>
      </c>
      <c r="J7837" s="19"/>
      <c r="L7837" s="16" t="str">
        <f>IFERROR(__xludf.DUMMYFUNCTION("""COMPUTED_VALUE"""),"")</f>
        <v/>
      </c>
      <c r="M7837" s="16" t="str">
        <f>IFERROR(__xludf.DUMMYFUNCTION("""COMPUTED_VALUE"""),"")</f>
        <v/>
      </c>
      <c r="U7837" s="16" t="s">
        <v>87</v>
      </c>
      <c r="V7837" s="16" t="str">
        <f>IFERROR(__xludf.DUMMYFUNCTION("""COMPUTED_VALUE"""),"")</f>
        <v/>
      </c>
      <c r="W7837" s="16" t="str">
        <f>IFERROR(__xludf.DUMMYFUNCTION("""COMPUTED_VALUE"""),"")</f>
        <v/>
      </c>
      <c r="X7837" s="16" t="str">
        <f>IFERROR(__xludf.DUMMYFUNCTION("""COMPUTED_VALUE"""),"")</f>
        <v/>
      </c>
      <c r="AC7837" s="16" t="str">
        <f>IFERROR(__xludf.DUMMYFUNCTION("""COMPUTED_VALUE"""),"")</f>
        <v/>
      </c>
    </row>
    <row r="7838">
      <c r="A7838" s="16" t="s">
        <v>87</v>
      </c>
      <c r="E7838" s="16" t="str">
        <f>IFERROR(__xludf.DUMMYFUNCTION("""COMPUTED_VALUE"""),"")</f>
        <v/>
      </c>
      <c r="G7838" s="18"/>
      <c r="H7838" s="16" t="s">
        <v>87</v>
      </c>
      <c r="I7838" s="16" t="s">
        <v>87</v>
      </c>
      <c r="J7838" s="19"/>
      <c r="L7838" s="16" t="str">
        <f>IFERROR(__xludf.DUMMYFUNCTION("""COMPUTED_VALUE"""),"")</f>
        <v/>
      </c>
      <c r="M7838" s="16" t="str">
        <f>IFERROR(__xludf.DUMMYFUNCTION("""COMPUTED_VALUE"""),"")</f>
        <v/>
      </c>
      <c r="U7838" s="16" t="s">
        <v>87</v>
      </c>
      <c r="V7838" s="16" t="str">
        <f>IFERROR(__xludf.DUMMYFUNCTION("""COMPUTED_VALUE"""),"")</f>
        <v/>
      </c>
      <c r="W7838" s="16" t="str">
        <f>IFERROR(__xludf.DUMMYFUNCTION("""COMPUTED_VALUE"""),"")</f>
        <v/>
      </c>
      <c r="X7838" s="16" t="str">
        <f>IFERROR(__xludf.DUMMYFUNCTION("""COMPUTED_VALUE"""),"")</f>
        <v/>
      </c>
      <c r="AC7838" s="16" t="str">
        <f>IFERROR(__xludf.DUMMYFUNCTION("""COMPUTED_VALUE"""),"")</f>
        <v/>
      </c>
    </row>
    <row r="7839">
      <c r="A7839" s="16" t="s">
        <v>87</v>
      </c>
      <c r="E7839" s="16" t="str">
        <f>IFERROR(__xludf.DUMMYFUNCTION("""COMPUTED_VALUE"""),"")</f>
        <v/>
      </c>
      <c r="G7839" s="18"/>
      <c r="H7839" s="16" t="s">
        <v>87</v>
      </c>
      <c r="I7839" s="16" t="s">
        <v>87</v>
      </c>
      <c r="J7839" s="19"/>
      <c r="L7839" s="16" t="str">
        <f>IFERROR(__xludf.DUMMYFUNCTION("""COMPUTED_VALUE"""),"")</f>
        <v/>
      </c>
      <c r="M7839" s="16" t="str">
        <f>IFERROR(__xludf.DUMMYFUNCTION("""COMPUTED_VALUE"""),"")</f>
        <v/>
      </c>
      <c r="U7839" s="16" t="s">
        <v>87</v>
      </c>
      <c r="V7839" s="16" t="str">
        <f>IFERROR(__xludf.DUMMYFUNCTION("""COMPUTED_VALUE"""),"")</f>
        <v/>
      </c>
      <c r="W7839" s="16" t="str">
        <f>IFERROR(__xludf.DUMMYFUNCTION("""COMPUTED_VALUE"""),"")</f>
        <v/>
      </c>
      <c r="X7839" s="16" t="str">
        <f>IFERROR(__xludf.DUMMYFUNCTION("""COMPUTED_VALUE"""),"")</f>
        <v/>
      </c>
      <c r="AC7839" s="16" t="str">
        <f>IFERROR(__xludf.DUMMYFUNCTION("""COMPUTED_VALUE"""),"")</f>
        <v/>
      </c>
    </row>
    <row r="7840">
      <c r="A7840" s="16" t="s">
        <v>87</v>
      </c>
      <c r="E7840" s="16" t="str">
        <f>IFERROR(__xludf.DUMMYFUNCTION("""COMPUTED_VALUE"""),"")</f>
        <v/>
      </c>
      <c r="G7840" s="18"/>
      <c r="H7840" s="16" t="s">
        <v>87</v>
      </c>
      <c r="I7840" s="16" t="s">
        <v>87</v>
      </c>
      <c r="J7840" s="19"/>
      <c r="L7840" s="16" t="str">
        <f>IFERROR(__xludf.DUMMYFUNCTION("""COMPUTED_VALUE"""),"")</f>
        <v/>
      </c>
      <c r="M7840" s="16" t="str">
        <f>IFERROR(__xludf.DUMMYFUNCTION("""COMPUTED_VALUE"""),"")</f>
        <v/>
      </c>
      <c r="U7840" s="16" t="s">
        <v>87</v>
      </c>
      <c r="V7840" s="16" t="str">
        <f>IFERROR(__xludf.DUMMYFUNCTION("""COMPUTED_VALUE"""),"")</f>
        <v/>
      </c>
      <c r="W7840" s="16" t="str">
        <f>IFERROR(__xludf.DUMMYFUNCTION("""COMPUTED_VALUE"""),"")</f>
        <v/>
      </c>
      <c r="X7840" s="16" t="str">
        <f>IFERROR(__xludf.DUMMYFUNCTION("""COMPUTED_VALUE"""),"")</f>
        <v/>
      </c>
      <c r="AC7840" s="16" t="str">
        <f>IFERROR(__xludf.DUMMYFUNCTION("""COMPUTED_VALUE"""),"")</f>
        <v/>
      </c>
    </row>
    <row r="7841">
      <c r="A7841" s="16" t="s">
        <v>87</v>
      </c>
      <c r="E7841" s="16" t="str">
        <f>IFERROR(__xludf.DUMMYFUNCTION("""COMPUTED_VALUE"""),"")</f>
        <v/>
      </c>
      <c r="G7841" s="18"/>
      <c r="H7841" s="16" t="s">
        <v>87</v>
      </c>
      <c r="I7841" s="16" t="s">
        <v>87</v>
      </c>
      <c r="J7841" s="19"/>
      <c r="L7841" s="16" t="str">
        <f>IFERROR(__xludf.DUMMYFUNCTION("""COMPUTED_VALUE"""),"")</f>
        <v/>
      </c>
      <c r="M7841" s="16" t="str">
        <f>IFERROR(__xludf.DUMMYFUNCTION("""COMPUTED_VALUE"""),"")</f>
        <v/>
      </c>
      <c r="U7841" s="16" t="s">
        <v>87</v>
      </c>
      <c r="V7841" s="16" t="str">
        <f>IFERROR(__xludf.DUMMYFUNCTION("""COMPUTED_VALUE"""),"")</f>
        <v/>
      </c>
      <c r="W7841" s="16" t="str">
        <f>IFERROR(__xludf.DUMMYFUNCTION("""COMPUTED_VALUE"""),"")</f>
        <v/>
      </c>
      <c r="X7841" s="16" t="str">
        <f>IFERROR(__xludf.DUMMYFUNCTION("""COMPUTED_VALUE"""),"")</f>
        <v/>
      </c>
      <c r="AC7841" s="16" t="str">
        <f>IFERROR(__xludf.DUMMYFUNCTION("""COMPUTED_VALUE"""),"")</f>
        <v/>
      </c>
    </row>
    <row r="7842">
      <c r="A7842" s="16" t="s">
        <v>87</v>
      </c>
      <c r="E7842" s="16" t="str">
        <f>IFERROR(__xludf.DUMMYFUNCTION("""COMPUTED_VALUE"""),"")</f>
        <v/>
      </c>
      <c r="G7842" s="18"/>
      <c r="H7842" s="16" t="s">
        <v>87</v>
      </c>
      <c r="I7842" s="16" t="s">
        <v>87</v>
      </c>
      <c r="J7842" s="19"/>
      <c r="L7842" s="16" t="str">
        <f>IFERROR(__xludf.DUMMYFUNCTION("""COMPUTED_VALUE"""),"")</f>
        <v/>
      </c>
      <c r="M7842" s="16" t="str">
        <f>IFERROR(__xludf.DUMMYFUNCTION("""COMPUTED_VALUE"""),"")</f>
        <v/>
      </c>
      <c r="U7842" s="16" t="s">
        <v>87</v>
      </c>
      <c r="V7842" s="16" t="str">
        <f>IFERROR(__xludf.DUMMYFUNCTION("""COMPUTED_VALUE"""),"")</f>
        <v/>
      </c>
      <c r="W7842" s="16" t="str">
        <f>IFERROR(__xludf.DUMMYFUNCTION("""COMPUTED_VALUE"""),"")</f>
        <v/>
      </c>
      <c r="X7842" s="16" t="str">
        <f>IFERROR(__xludf.DUMMYFUNCTION("""COMPUTED_VALUE"""),"")</f>
        <v/>
      </c>
      <c r="AC7842" s="16" t="str">
        <f>IFERROR(__xludf.DUMMYFUNCTION("""COMPUTED_VALUE"""),"")</f>
        <v/>
      </c>
    </row>
    <row r="7843">
      <c r="A7843" s="16" t="s">
        <v>87</v>
      </c>
      <c r="E7843" s="16" t="str">
        <f>IFERROR(__xludf.DUMMYFUNCTION("""COMPUTED_VALUE"""),"")</f>
        <v/>
      </c>
      <c r="G7843" s="18"/>
      <c r="H7843" s="16" t="s">
        <v>87</v>
      </c>
      <c r="I7843" s="16" t="s">
        <v>87</v>
      </c>
      <c r="J7843" s="19"/>
      <c r="L7843" s="16" t="str">
        <f>IFERROR(__xludf.DUMMYFUNCTION("""COMPUTED_VALUE"""),"")</f>
        <v/>
      </c>
      <c r="M7843" s="16" t="str">
        <f>IFERROR(__xludf.DUMMYFUNCTION("""COMPUTED_VALUE"""),"")</f>
        <v/>
      </c>
      <c r="U7843" s="16" t="s">
        <v>87</v>
      </c>
      <c r="V7843" s="16" t="str">
        <f>IFERROR(__xludf.DUMMYFUNCTION("""COMPUTED_VALUE"""),"")</f>
        <v/>
      </c>
      <c r="W7843" s="16" t="str">
        <f>IFERROR(__xludf.DUMMYFUNCTION("""COMPUTED_VALUE"""),"")</f>
        <v/>
      </c>
      <c r="X7843" s="16" t="str">
        <f>IFERROR(__xludf.DUMMYFUNCTION("""COMPUTED_VALUE"""),"")</f>
        <v/>
      </c>
      <c r="AC7843" s="16" t="str">
        <f>IFERROR(__xludf.DUMMYFUNCTION("""COMPUTED_VALUE"""),"")</f>
        <v/>
      </c>
    </row>
    <row r="7844">
      <c r="A7844" s="16" t="s">
        <v>87</v>
      </c>
      <c r="E7844" s="16" t="str">
        <f>IFERROR(__xludf.DUMMYFUNCTION("""COMPUTED_VALUE"""),"")</f>
        <v/>
      </c>
      <c r="G7844" s="18"/>
      <c r="H7844" s="16" t="s">
        <v>87</v>
      </c>
      <c r="I7844" s="16" t="s">
        <v>87</v>
      </c>
      <c r="J7844" s="19"/>
      <c r="L7844" s="16" t="str">
        <f>IFERROR(__xludf.DUMMYFUNCTION("""COMPUTED_VALUE"""),"")</f>
        <v/>
      </c>
      <c r="M7844" s="16" t="str">
        <f>IFERROR(__xludf.DUMMYFUNCTION("""COMPUTED_VALUE"""),"")</f>
        <v/>
      </c>
      <c r="U7844" s="16" t="s">
        <v>87</v>
      </c>
      <c r="V7844" s="16" t="str">
        <f>IFERROR(__xludf.DUMMYFUNCTION("""COMPUTED_VALUE"""),"")</f>
        <v/>
      </c>
      <c r="W7844" s="16" t="str">
        <f>IFERROR(__xludf.DUMMYFUNCTION("""COMPUTED_VALUE"""),"")</f>
        <v/>
      </c>
      <c r="X7844" s="16" t="str">
        <f>IFERROR(__xludf.DUMMYFUNCTION("""COMPUTED_VALUE"""),"")</f>
        <v/>
      </c>
      <c r="AC7844" s="16" t="str">
        <f>IFERROR(__xludf.DUMMYFUNCTION("""COMPUTED_VALUE"""),"")</f>
        <v/>
      </c>
    </row>
    <row r="7845">
      <c r="A7845" s="16" t="s">
        <v>87</v>
      </c>
      <c r="E7845" s="16" t="str">
        <f>IFERROR(__xludf.DUMMYFUNCTION("""COMPUTED_VALUE"""),"")</f>
        <v/>
      </c>
      <c r="G7845" s="18"/>
      <c r="H7845" s="16" t="s">
        <v>87</v>
      </c>
      <c r="I7845" s="16" t="s">
        <v>87</v>
      </c>
      <c r="J7845" s="19"/>
      <c r="L7845" s="16" t="str">
        <f>IFERROR(__xludf.DUMMYFUNCTION("""COMPUTED_VALUE"""),"")</f>
        <v/>
      </c>
      <c r="M7845" s="16" t="str">
        <f>IFERROR(__xludf.DUMMYFUNCTION("""COMPUTED_VALUE"""),"")</f>
        <v/>
      </c>
      <c r="U7845" s="16" t="s">
        <v>87</v>
      </c>
      <c r="V7845" s="16" t="str">
        <f>IFERROR(__xludf.DUMMYFUNCTION("""COMPUTED_VALUE"""),"")</f>
        <v/>
      </c>
      <c r="W7845" s="16" t="str">
        <f>IFERROR(__xludf.DUMMYFUNCTION("""COMPUTED_VALUE"""),"")</f>
        <v/>
      </c>
      <c r="X7845" s="16" t="str">
        <f>IFERROR(__xludf.DUMMYFUNCTION("""COMPUTED_VALUE"""),"")</f>
        <v/>
      </c>
      <c r="AC7845" s="16" t="str">
        <f>IFERROR(__xludf.DUMMYFUNCTION("""COMPUTED_VALUE"""),"")</f>
        <v/>
      </c>
    </row>
    <row r="7846">
      <c r="A7846" s="16" t="s">
        <v>87</v>
      </c>
      <c r="E7846" s="16" t="str">
        <f>IFERROR(__xludf.DUMMYFUNCTION("""COMPUTED_VALUE"""),"")</f>
        <v/>
      </c>
      <c r="G7846" s="18"/>
      <c r="H7846" s="16" t="s">
        <v>87</v>
      </c>
      <c r="I7846" s="16" t="s">
        <v>87</v>
      </c>
      <c r="J7846" s="19"/>
      <c r="L7846" s="16" t="str">
        <f>IFERROR(__xludf.DUMMYFUNCTION("""COMPUTED_VALUE"""),"")</f>
        <v/>
      </c>
      <c r="M7846" s="16" t="str">
        <f>IFERROR(__xludf.DUMMYFUNCTION("""COMPUTED_VALUE"""),"")</f>
        <v/>
      </c>
      <c r="U7846" s="16" t="s">
        <v>87</v>
      </c>
      <c r="V7846" s="16" t="str">
        <f>IFERROR(__xludf.DUMMYFUNCTION("""COMPUTED_VALUE"""),"")</f>
        <v/>
      </c>
      <c r="W7846" s="16" t="str">
        <f>IFERROR(__xludf.DUMMYFUNCTION("""COMPUTED_VALUE"""),"")</f>
        <v/>
      </c>
      <c r="X7846" s="16" t="str">
        <f>IFERROR(__xludf.DUMMYFUNCTION("""COMPUTED_VALUE"""),"")</f>
        <v/>
      </c>
      <c r="AC7846" s="16" t="str">
        <f>IFERROR(__xludf.DUMMYFUNCTION("""COMPUTED_VALUE"""),"")</f>
        <v/>
      </c>
    </row>
    <row r="7847">
      <c r="A7847" s="16" t="s">
        <v>87</v>
      </c>
      <c r="E7847" s="16" t="str">
        <f>IFERROR(__xludf.DUMMYFUNCTION("""COMPUTED_VALUE"""),"")</f>
        <v/>
      </c>
      <c r="G7847" s="18"/>
      <c r="H7847" s="16" t="s">
        <v>87</v>
      </c>
      <c r="I7847" s="16" t="s">
        <v>87</v>
      </c>
      <c r="J7847" s="19"/>
      <c r="L7847" s="16" t="str">
        <f>IFERROR(__xludf.DUMMYFUNCTION("""COMPUTED_VALUE"""),"")</f>
        <v/>
      </c>
      <c r="M7847" s="16" t="str">
        <f>IFERROR(__xludf.DUMMYFUNCTION("""COMPUTED_VALUE"""),"")</f>
        <v/>
      </c>
      <c r="U7847" s="16" t="s">
        <v>87</v>
      </c>
      <c r="V7847" s="16" t="str">
        <f>IFERROR(__xludf.DUMMYFUNCTION("""COMPUTED_VALUE"""),"")</f>
        <v/>
      </c>
      <c r="W7847" s="16" t="str">
        <f>IFERROR(__xludf.DUMMYFUNCTION("""COMPUTED_VALUE"""),"")</f>
        <v/>
      </c>
      <c r="X7847" s="16" t="str">
        <f>IFERROR(__xludf.DUMMYFUNCTION("""COMPUTED_VALUE"""),"")</f>
        <v/>
      </c>
      <c r="AC7847" s="16" t="str">
        <f>IFERROR(__xludf.DUMMYFUNCTION("""COMPUTED_VALUE"""),"")</f>
        <v/>
      </c>
    </row>
    <row r="7848">
      <c r="A7848" s="16" t="s">
        <v>87</v>
      </c>
      <c r="E7848" s="16" t="str">
        <f>IFERROR(__xludf.DUMMYFUNCTION("""COMPUTED_VALUE"""),"")</f>
        <v/>
      </c>
      <c r="G7848" s="18"/>
      <c r="H7848" s="16" t="s">
        <v>87</v>
      </c>
      <c r="I7848" s="16" t="s">
        <v>87</v>
      </c>
      <c r="J7848" s="19"/>
      <c r="L7848" s="16" t="str">
        <f>IFERROR(__xludf.DUMMYFUNCTION("""COMPUTED_VALUE"""),"")</f>
        <v/>
      </c>
      <c r="M7848" s="16" t="str">
        <f>IFERROR(__xludf.DUMMYFUNCTION("""COMPUTED_VALUE"""),"")</f>
        <v/>
      </c>
      <c r="U7848" s="16" t="s">
        <v>87</v>
      </c>
      <c r="V7848" s="16" t="str">
        <f>IFERROR(__xludf.DUMMYFUNCTION("""COMPUTED_VALUE"""),"")</f>
        <v/>
      </c>
      <c r="W7848" s="16" t="str">
        <f>IFERROR(__xludf.DUMMYFUNCTION("""COMPUTED_VALUE"""),"")</f>
        <v/>
      </c>
      <c r="X7848" s="16" t="str">
        <f>IFERROR(__xludf.DUMMYFUNCTION("""COMPUTED_VALUE"""),"")</f>
        <v/>
      </c>
      <c r="AC7848" s="16" t="str">
        <f>IFERROR(__xludf.DUMMYFUNCTION("""COMPUTED_VALUE"""),"")</f>
        <v/>
      </c>
    </row>
    <row r="7849">
      <c r="A7849" s="16" t="s">
        <v>87</v>
      </c>
      <c r="E7849" s="16" t="str">
        <f>IFERROR(__xludf.DUMMYFUNCTION("""COMPUTED_VALUE"""),"")</f>
        <v/>
      </c>
      <c r="G7849" s="18"/>
      <c r="H7849" s="16" t="s">
        <v>87</v>
      </c>
      <c r="I7849" s="16" t="s">
        <v>87</v>
      </c>
      <c r="J7849" s="19"/>
      <c r="L7849" s="16" t="str">
        <f>IFERROR(__xludf.DUMMYFUNCTION("""COMPUTED_VALUE"""),"")</f>
        <v/>
      </c>
      <c r="M7849" s="16" t="str">
        <f>IFERROR(__xludf.DUMMYFUNCTION("""COMPUTED_VALUE"""),"")</f>
        <v/>
      </c>
      <c r="U7849" s="16" t="s">
        <v>87</v>
      </c>
      <c r="V7849" s="16" t="str">
        <f>IFERROR(__xludf.DUMMYFUNCTION("""COMPUTED_VALUE"""),"")</f>
        <v/>
      </c>
      <c r="W7849" s="16" t="str">
        <f>IFERROR(__xludf.DUMMYFUNCTION("""COMPUTED_VALUE"""),"")</f>
        <v/>
      </c>
      <c r="X7849" s="16" t="str">
        <f>IFERROR(__xludf.DUMMYFUNCTION("""COMPUTED_VALUE"""),"")</f>
        <v/>
      </c>
      <c r="AC7849" s="16" t="str">
        <f>IFERROR(__xludf.DUMMYFUNCTION("""COMPUTED_VALUE"""),"")</f>
        <v/>
      </c>
    </row>
    <row r="7850">
      <c r="A7850" s="16" t="s">
        <v>87</v>
      </c>
      <c r="E7850" s="16" t="str">
        <f>IFERROR(__xludf.DUMMYFUNCTION("""COMPUTED_VALUE"""),"")</f>
        <v/>
      </c>
      <c r="G7850" s="18"/>
      <c r="H7850" s="16" t="s">
        <v>87</v>
      </c>
      <c r="I7850" s="16" t="s">
        <v>87</v>
      </c>
      <c r="J7850" s="19"/>
      <c r="L7850" s="16" t="str">
        <f>IFERROR(__xludf.DUMMYFUNCTION("""COMPUTED_VALUE"""),"")</f>
        <v/>
      </c>
      <c r="M7850" s="16" t="str">
        <f>IFERROR(__xludf.DUMMYFUNCTION("""COMPUTED_VALUE"""),"")</f>
        <v/>
      </c>
      <c r="U7850" s="16" t="s">
        <v>87</v>
      </c>
      <c r="V7850" s="16" t="str">
        <f>IFERROR(__xludf.DUMMYFUNCTION("""COMPUTED_VALUE"""),"")</f>
        <v/>
      </c>
      <c r="W7850" s="16" t="str">
        <f>IFERROR(__xludf.DUMMYFUNCTION("""COMPUTED_VALUE"""),"")</f>
        <v/>
      </c>
      <c r="X7850" s="16" t="str">
        <f>IFERROR(__xludf.DUMMYFUNCTION("""COMPUTED_VALUE"""),"")</f>
        <v/>
      </c>
      <c r="AC7850" s="16" t="str">
        <f>IFERROR(__xludf.DUMMYFUNCTION("""COMPUTED_VALUE"""),"")</f>
        <v/>
      </c>
    </row>
    <row r="7851">
      <c r="A7851" s="16" t="s">
        <v>87</v>
      </c>
      <c r="E7851" s="16" t="str">
        <f>IFERROR(__xludf.DUMMYFUNCTION("""COMPUTED_VALUE"""),"")</f>
        <v/>
      </c>
      <c r="G7851" s="18"/>
      <c r="H7851" s="16" t="s">
        <v>87</v>
      </c>
      <c r="I7851" s="16" t="s">
        <v>87</v>
      </c>
      <c r="J7851" s="19"/>
      <c r="L7851" s="16" t="str">
        <f>IFERROR(__xludf.DUMMYFUNCTION("""COMPUTED_VALUE"""),"")</f>
        <v/>
      </c>
      <c r="M7851" s="16" t="str">
        <f>IFERROR(__xludf.DUMMYFUNCTION("""COMPUTED_VALUE"""),"")</f>
        <v/>
      </c>
      <c r="U7851" s="16" t="s">
        <v>87</v>
      </c>
      <c r="V7851" s="16" t="str">
        <f>IFERROR(__xludf.DUMMYFUNCTION("""COMPUTED_VALUE"""),"")</f>
        <v/>
      </c>
      <c r="W7851" s="16" t="str">
        <f>IFERROR(__xludf.DUMMYFUNCTION("""COMPUTED_VALUE"""),"")</f>
        <v/>
      </c>
      <c r="X7851" s="16" t="str">
        <f>IFERROR(__xludf.DUMMYFUNCTION("""COMPUTED_VALUE"""),"")</f>
        <v/>
      </c>
      <c r="AC7851" s="16" t="str">
        <f>IFERROR(__xludf.DUMMYFUNCTION("""COMPUTED_VALUE"""),"")</f>
        <v/>
      </c>
    </row>
    <row r="7852">
      <c r="A7852" s="16" t="s">
        <v>87</v>
      </c>
      <c r="E7852" s="16" t="str">
        <f>IFERROR(__xludf.DUMMYFUNCTION("""COMPUTED_VALUE"""),"")</f>
        <v/>
      </c>
      <c r="G7852" s="18"/>
      <c r="H7852" s="16" t="s">
        <v>87</v>
      </c>
      <c r="I7852" s="16" t="s">
        <v>87</v>
      </c>
      <c r="J7852" s="19"/>
      <c r="L7852" s="16" t="str">
        <f>IFERROR(__xludf.DUMMYFUNCTION("""COMPUTED_VALUE"""),"")</f>
        <v/>
      </c>
      <c r="M7852" s="16" t="str">
        <f>IFERROR(__xludf.DUMMYFUNCTION("""COMPUTED_VALUE"""),"")</f>
        <v/>
      </c>
      <c r="U7852" s="16" t="s">
        <v>87</v>
      </c>
      <c r="V7852" s="16" t="str">
        <f>IFERROR(__xludf.DUMMYFUNCTION("""COMPUTED_VALUE"""),"")</f>
        <v/>
      </c>
      <c r="W7852" s="16" t="str">
        <f>IFERROR(__xludf.DUMMYFUNCTION("""COMPUTED_VALUE"""),"")</f>
        <v/>
      </c>
      <c r="X7852" s="16" t="str">
        <f>IFERROR(__xludf.DUMMYFUNCTION("""COMPUTED_VALUE"""),"")</f>
        <v/>
      </c>
      <c r="AC7852" s="16" t="str">
        <f>IFERROR(__xludf.DUMMYFUNCTION("""COMPUTED_VALUE"""),"")</f>
        <v/>
      </c>
    </row>
    <row r="7853">
      <c r="A7853" s="16" t="s">
        <v>87</v>
      </c>
      <c r="E7853" s="16" t="str">
        <f>IFERROR(__xludf.DUMMYFUNCTION("""COMPUTED_VALUE"""),"")</f>
        <v/>
      </c>
      <c r="G7853" s="18"/>
      <c r="H7853" s="16" t="s">
        <v>87</v>
      </c>
      <c r="I7853" s="16" t="s">
        <v>87</v>
      </c>
      <c r="J7853" s="19"/>
      <c r="L7853" s="16" t="str">
        <f>IFERROR(__xludf.DUMMYFUNCTION("""COMPUTED_VALUE"""),"")</f>
        <v/>
      </c>
      <c r="M7853" s="16" t="str">
        <f>IFERROR(__xludf.DUMMYFUNCTION("""COMPUTED_VALUE"""),"")</f>
        <v/>
      </c>
      <c r="U7853" s="16" t="s">
        <v>87</v>
      </c>
      <c r="V7853" s="16" t="str">
        <f>IFERROR(__xludf.DUMMYFUNCTION("""COMPUTED_VALUE"""),"")</f>
        <v/>
      </c>
      <c r="W7853" s="16" t="str">
        <f>IFERROR(__xludf.DUMMYFUNCTION("""COMPUTED_VALUE"""),"")</f>
        <v/>
      </c>
      <c r="X7853" s="16" t="str">
        <f>IFERROR(__xludf.DUMMYFUNCTION("""COMPUTED_VALUE"""),"")</f>
        <v/>
      </c>
      <c r="AC7853" s="16" t="str">
        <f>IFERROR(__xludf.DUMMYFUNCTION("""COMPUTED_VALUE"""),"")</f>
        <v/>
      </c>
    </row>
    <row r="7854">
      <c r="A7854" s="16" t="s">
        <v>87</v>
      </c>
      <c r="E7854" s="16" t="str">
        <f>IFERROR(__xludf.DUMMYFUNCTION("""COMPUTED_VALUE"""),"")</f>
        <v/>
      </c>
      <c r="G7854" s="18"/>
      <c r="H7854" s="16" t="s">
        <v>87</v>
      </c>
      <c r="I7854" s="16" t="s">
        <v>87</v>
      </c>
      <c r="J7854" s="19"/>
      <c r="L7854" s="16" t="str">
        <f>IFERROR(__xludf.DUMMYFUNCTION("""COMPUTED_VALUE"""),"")</f>
        <v/>
      </c>
      <c r="M7854" s="16" t="str">
        <f>IFERROR(__xludf.DUMMYFUNCTION("""COMPUTED_VALUE"""),"")</f>
        <v/>
      </c>
      <c r="U7854" s="16" t="s">
        <v>87</v>
      </c>
      <c r="V7854" s="16" t="str">
        <f>IFERROR(__xludf.DUMMYFUNCTION("""COMPUTED_VALUE"""),"")</f>
        <v/>
      </c>
      <c r="W7854" s="16" t="str">
        <f>IFERROR(__xludf.DUMMYFUNCTION("""COMPUTED_VALUE"""),"")</f>
        <v/>
      </c>
      <c r="X7854" s="16" t="str">
        <f>IFERROR(__xludf.DUMMYFUNCTION("""COMPUTED_VALUE"""),"")</f>
        <v/>
      </c>
      <c r="AC7854" s="16" t="str">
        <f>IFERROR(__xludf.DUMMYFUNCTION("""COMPUTED_VALUE"""),"")</f>
        <v/>
      </c>
    </row>
    <row r="7855">
      <c r="A7855" s="16" t="s">
        <v>87</v>
      </c>
      <c r="E7855" s="16" t="str">
        <f>IFERROR(__xludf.DUMMYFUNCTION("""COMPUTED_VALUE"""),"")</f>
        <v/>
      </c>
      <c r="G7855" s="18"/>
      <c r="H7855" s="16" t="s">
        <v>87</v>
      </c>
      <c r="I7855" s="16" t="s">
        <v>87</v>
      </c>
      <c r="J7855" s="19"/>
      <c r="L7855" s="16" t="str">
        <f>IFERROR(__xludf.DUMMYFUNCTION("""COMPUTED_VALUE"""),"")</f>
        <v/>
      </c>
      <c r="M7855" s="16" t="str">
        <f>IFERROR(__xludf.DUMMYFUNCTION("""COMPUTED_VALUE"""),"")</f>
        <v/>
      </c>
      <c r="U7855" s="16" t="s">
        <v>87</v>
      </c>
      <c r="V7855" s="16" t="str">
        <f>IFERROR(__xludf.DUMMYFUNCTION("""COMPUTED_VALUE"""),"")</f>
        <v/>
      </c>
      <c r="W7855" s="16" t="str">
        <f>IFERROR(__xludf.DUMMYFUNCTION("""COMPUTED_VALUE"""),"")</f>
        <v/>
      </c>
      <c r="X7855" s="16" t="str">
        <f>IFERROR(__xludf.DUMMYFUNCTION("""COMPUTED_VALUE"""),"")</f>
        <v/>
      </c>
      <c r="AC7855" s="16" t="str">
        <f>IFERROR(__xludf.DUMMYFUNCTION("""COMPUTED_VALUE"""),"")</f>
        <v/>
      </c>
    </row>
    <row r="7856">
      <c r="A7856" s="16" t="s">
        <v>87</v>
      </c>
      <c r="E7856" s="16" t="str">
        <f>IFERROR(__xludf.DUMMYFUNCTION("""COMPUTED_VALUE"""),"")</f>
        <v/>
      </c>
      <c r="G7856" s="18"/>
      <c r="H7856" s="16" t="s">
        <v>87</v>
      </c>
      <c r="I7856" s="16" t="s">
        <v>87</v>
      </c>
      <c r="J7856" s="19"/>
      <c r="L7856" s="16" t="str">
        <f>IFERROR(__xludf.DUMMYFUNCTION("""COMPUTED_VALUE"""),"")</f>
        <v/>
      </c>
      <c r="M7856" s="16" t="str">
        <f>IFERROR(__xludf.DUMMYFUNCTION("""COMPUTED_VALUE"""),"")</f>
        <v/>
      </c>
      <c r="U7856" s="16" t="s">
        <v>87</v>
      </c>
      <c r="V7856" s="16" t="str">
        <f>IFERROR(__xludf.DUMMYFUNCTION("""COMPUTED_VALUE"""),"")</f>
        <v/>
      </c>
      <c r="W7856" s="16" t="str">
        <f>IFERROR(__xludf.DUMMYFUNCTION("""COMPUTED_VALUE"""),"")</f>
        <v/>
      </c>
      <c r="X7856" s="16" t="str">
        <f>IFERROR(__xludf.DUMMYFUNCTION("""COMPUTED_VALUE"""),"")</f>
        <v/>
      </c>
      <c r="AC7856" s="16" t="str">
        <f>IFERROR(__xludf.DUMMYFUNCTION("""COMPUTED_VALUE"""),"")</f>
        <v/>
      </c>
    </row>
    <row r="7857">
      <c r="A7857" s="16" t="s">
        <v>87</v>
      </c>
      <c r="E7857" s="16" t="str">
        <f>IFERROR(__xludf.DUMMYFUNCTION("""COMPUTED_VALUE"""),"")</f>
        <v/>
      </c>
      <c r="G7857" s="18"/>
      <c r="H7857" s="16" t="s">
        <v>87</v>
      </c>
      <c r="I7857" s="16" t="s">
        <v>87</v>
      </c>
      <c r="J7857" s="19"/>
      <c r="L7857" s="16" t="str">
        <f>IFERROR(__xludf.DUMMYFUNCTION("""COMPUTED_VALUE"""),"")</f>
        <v/>
      </c>
      <c r="M7857" s="16" t="str">
        <f>IFERROR(__xludf.DUMMYFUNCTION("""COMPUTED_VALUE"""),"")</f>
        <v/>
      </c>
      <c r="U7857" s="16" t="s">
        <v>87</v>
      </c>
      <c r="V7857" s="16" t="str">
        <f>IFERROR(__xludf.DUMMYFUNCTION("""COMPUTED_VALUE"""),"")</f>
        <v/>
      </c>
      <c r="W7857" s="16" t="str">
        <f>IFERROR(__xludf.DUMMYFUNCTION("""COMPUTED_VALUE"""),"")</f>
        <v/>
      </c>
      <c r="X7857" s="16" t="str">
        <f>IFERROR(__xludf.DUMMYFUNCTION("""COMPUTED_VALUE"""),"")</f>
        <v/>
      </c>
      <c r="AC7857" s="16" t="str">
        <f>IFERROR(__xludf.DUMMYFUNCTION("""COMPUTED_VALUE"""),"")</f>
        <v/>
      </c>
    </row>
    <row r="7858">
      <c r="A7858" s="16" t="s">
        <v>87</v>
      </c>
      <c r="E7858" s="16" t="str">
        <f>IFERROR(__xludf.DUMMYFUNCTION("""COMPUTED_VALUE"""),"")</f>
        <v/>
      </c>
      <c r="G7858" s="18"/>
      <c r="H7858" s="16" t="s">
        <v>87</v>
      </c>
      <c r="I7858" s="16" t="s">
        <v>87</v>
      </c>
      <c r="J7858" s="19"/>
      <c r="L7858" s="16" t="str">
        <f>IFERROR(__xludf.DUMMYFUNCTION("""COMPUTED_VALUE"""),"")</f>
        <v/>
      </c>
      <c r="M7858" s="16" t="str">
        <f>IFERROR(__xludf.DUMMYFUNCTION("""COMPUTED_VALUE"""),"")</f>
        <v/>
      </c>
      <c r="U7858" s="16" t="s">
        <v>87</v>
      </c>
      <c r="V7858" s="16" t="str">
        <f>IFERROR(__xludf.DUMMYFUNCTION("""COMPUTED_VALUE"""),"")</f>
        <v/>
      </c>
      <c r="W7858" s="16" t="str">
        <f>IFERROR(__xludf.DUMMYFUNCTION("""COMPUTED_VALUE"""),"")</f>
        <v/>
      </c>
      <c r="X7858" s="16" t="str">
        <f>IFERROR(__xludf.DUMMYFUNCTION("""COMPUTED_VALUE"""),"")</f>
        <v/>
      </c>
      <c r="AC7858" s="16" t="str">
        <f>IFERROR(__xludf.DUMMYFUNCTION("""COMPUTED_VALUE"""),"")</f>
        <v/>
      </c>
    </row>
    <row r="7859">
      <c r="A7859" s="16" t="s">
        <v>87</v>
      </c>
      <c r="E7859" s="16" t="str">
        <f>IFERROR(__xludf.DUMMYFUNCTION("""COMPUTED_VALUE"""),"")</f>
        <v/>
      </c>
      <c r="G7859" s="18"/>
      <c r="H7859" s="16" t="s">
        <v>87</v>
      </c>
      <c r="I7859" s="16" t="s">
        <v>87</v>
      </c>
      <c r="J7859" s="19"/>
      <c r="L7859" s="16" t="str">
        <f>IFERROR(__xludf.DUMMYFUNCTION("""COMPUTED_VALUE"""),"")</f>
        <v/>
      </c>
      <c r="M7859" s="16" t="str">
        <f>IFERROR(__xludf.DUMMYFUNCTION("""COMPUTED_VALUE"""),"")</f>
        <v/>
      </c>
      <c r="U7859" s="16" t="s">
        <v>87</v>
      </c>
      <c r="V7859" s="16" t="str">
        <f>IFERROR(__xludf.DUMMYFUNCTION("""COMPUTED_VALUE"""),"")</f>
        <v/>
      </c>
      <c r="W7859" s="16" t="str">
        <f>IFERROR(__xludf.DUMMYFUNCTION("""COMPUTED_VALUE"""),"")</f>
        <v/>
      </c>
      <c r="X7859" s="16" t="str">
        <f>IFERROR(__xludf.DUMMYFUNCTION("""COMPUTED_VALUE"""),"")</f>
        <v/>
      </c>
      <c r="AC7859" s="16" t="str">
        <f>IFERROR(__xludf.DUMMYFUNCTION("""COMPUTED_VALUE"""),"")</f>
        <v/>
      </c>
    </row>
    <row r="7860">
      <c r="A7860" s="16" t="s">
        <v>87</v>
      </c>
      <c r="E7860" s="16" t="str">
        <f>IFERROR(__xludf.DUMMYFUNCTION("""COMPUTED_VALUE"""),"")</f>
        <v/>
      </c>
      <c r="G7860" s="18"/>
      <c r="H7860" s="16" t="s">
        <v>87</v>
      </c>
      <c r="I7860" s="16" t="s">
        <v>87</v>
      </c>
      <c r="J7860" s="19"/>
      <c r="L7860" s="16" t="str">
        <f>IFERROR(__xludf.DUMMYFUNCTION("""COMPUTED_VALUE"""),"")</f>
        <v/>
      </c>
      <c r="M7860" s="16" t="str">
        <f>IFERROR(__xludf.DUMMYFUNCTION("""COMPUTED_VALUE"""),"")</f>
        <v/>
      </c>
      <c r="U7860" s="16" t="s">
        <v>87</v>
      </c>
      <c r="V7860" s="16" t="str">
        <f>IFERROR(__xludf.DUMMYFUNCTION("""COMPUTED_VALUE"""),"")</f>
        <v/>
      </c>
      <c r="W7860" s="16" t="str">
        <f>IFERROR(__xludf.DUMMYFUNCTION("""COMPUTED_VALUE"""),"")</f>
        <v/>
      </c>
      <c r="X7860" s="16" t="str">
        <f>IFERROR(__xludf.DUMMYFUNCTION("""COMPUTED_VALUE"""),"")</f>
        <v/>
      </c>
      <c r="AC7860" s="16" t="str">
        <f>IFERROR(__xludf.DUMMYFUNCTION("""COMPUTED_VALUE"""),"")</f>
        <v/>
      </c>
    </row>
    <row r="7861">
      <c r="A7861" s="16" t="s">
        <v>87</v>
      </c>
      <c r="E7861" s="16" t="str">
        <f>IFERROR(__xludf.DUMMYFUNCTION("""COMPUTED_VALUE"""),"")</f>
        <v/>
      </c>
      <c r="G7861" s="18"/>
      <c r="H7861" s="16" t="s">
        <v>87</v>
      </c>
      <c r="I7861" s="16" t="s">
        <v>87</v>
      </c>
      <c r="J7861" s="19"/>
      <c r="L7861" s="16" t="str">
        <f>IFERROR(__xludf.DUMMYFUNCTION("""COMPUTED_VALUE"""),"")</f>
        <v/>
      </c>
      <c r="M7861" s="16" t="str">
        <f>IFERROR(__xludf.DUMMYFUNCTION("""COMPUTED_VALUE"""),"")</f>
        <v/>
      </c>
      <c r="U7861" s="16" t="s">
        <v>87</v>
      </c>
      <c r="V7861" s="16" t="str">
        <f>IFERROR(__xludf.DUMMYFUNCTION("""COMPUTED_VALUE"""),"")</f>
        <v/>
      </c>
      <c r="W7861" s="16" t="str">
        <f>IFERROR(__xludf.DUMMYFUNCTION("""COMPUTED_VALUE"""),"")</f>
        <v/>
      </c>
      <c r="X7861" s="16" t="str">
        <f>IFERROR(__xludf.DUMMYFUNCTION("""COMPUTED_VALUE"""),"")</f>
        <v/>
      </c>
      <c r="AC7861" s="16" t="str">
        <f>IFERROR(__xludf.DUMMYFUNCTION("""COMPUTED_VALUE"""),"")</f>
        <v/>
      </c>
    </row>
    <row r="7862">
      <c r="A7862" s="16" t="s">
        <v>87</v>
      </c>
      <c r="E7862" s="16" t="str">
        <f>IFERROR(__xludf.DUMMYFUNCTION("""COMPUTED_VALUE"""),"")</f>
        <v/>
      </c>
      <c r="G7862" s="18"/>
      <c r="H7862" s="16" t="s">
        <v>87</v>
      </c>
      <c r="I7862" s="16" t="s">
        <v>87</v>
      </c>
      <c r="J7862" s="19"/>
      <c r="L7862" s="16" t="str">
        <f>IFERROR(__xludf.DUMMYFUNCTION("""COMPUTED_VALUE"""),"")</f>
        <v/>
      </c>
      <c r="M7862" s="16" t="str">
        <f>IFERROR(__xludf.DUMMYFUNCTION("""COMPUTED_VALUE"""),"")</f>
        <v/>
      </c>
      <c r="U7862" s="16" t="s">
        <v>87</v>
      </c>
      <c r="V7862" s="16" t="str">
        <f>IFERROR(__xludf.DUMMYFUNCTION("""COMPUTED_VALUE"""),"")</f>
        <v/>
      </c>
      <c r="W7862" s="16" t="str">
        <f>IFERROR(__xludf.DUMMYFUNCTION("""COMPUTED_VALUE"""),"")</f>
        <v/>
      </c>
      <c r="X7862" s="16" t="str">
        <f>IFERROR(__xludf.DUMMYFUNCTION("""COMPUTED_VALUE"""),"")</f>
        <v/>
      </c>
      <c r="AC7862" s="16" t="str">
        <f>IFERROR(__xludf.DUMMYFUNCTION("""COMPUTED_VALUE"""),"")</f>
        <v/>
      </c>
    </row>
    <row r="7863">
      <c r="A7863" s="16" t="s">
        <v>87</v>
      </c>
      <c r="E7863" s="16" t="str">
        <f>IFERROR(__xludf.DUMMYFUNCTION("""COMPUTED_VALUE"""),"")</f>
        <v/>
      </c>
      <c r="G7863" s="18"/>
      <c r="H7863" s="16" t="s">
        <v>87</v>
      </c>
      <c r="I7863" s="16" t="s">
        <v>87</v>
      </c>
      <c r="J7863" s="19"/>
      <c r="L7863" s="16" t="str">
        <f>IFERROR(__xludf.DUMMYFUNCTION("""COMPUTED_VALUE"""),"")</f>
        <v/>
      </c>
      <c r="M7863" s="16" t="str">
        <f>IFERROR(__xludf.DUMMYFUNCTION("""COMPUTED_VALUE"""),"")</f>
        <v/>
      </c>
      <c r="U7863" s="16" t="s">
        <v>87</v>
      </c>
      <c r="V7863" s="16" t="str">
        <f>IFERROR(__xludf.DUMMYFUNCTION("""COMPUTED_VALUE"""),"")</f>
        <v/>
      </c>
      <c r="W7863" s="16" t="str">
        <f>IFERROR(__xludf.DUMMYFUNCTION("""COMPUTED_VALUE"""),"")</f>
        <v/>
      </c>
      <c r="X7863" s="16" t="str">
        <f>IFERROR(__xludf.DUMMYFUNCTION("""COMPUTED_VALUE"""),"")</f>
        <v/>
      </c>
      <c r="AC7863" s="16" t="str">
        <f>IFERROR(__xludf.DUMMYFUNCTION("""COMPUTED_VALUE"""),"")</f>
        <v/>
      </c>
    </row>
    <row r="7864">
      <c r="A7864" s="16" t="s">
        <v>87</v>
      </c>
      <c r="E7864" s="16" t="str">
        <f>IFERROR(__xludf.DUMMYFUNCTION("""COMPUTED_VALUE"""),"")</f>
        <v/>
      </c>
      <c r="G7864" s="18"/>
      <c r="H7864" s="16" t="s">
        <v>87</v>
      </c>
      <c r="I7864" s="16" t="s">
        <v>87</v>
      </c>
      <c r="J7864" s="19"/>
      <c r="L7864" s="16" t="str">
        <f>IFERROR(__xludf.DUMMYFUNCTION("""COMPUTED_VALUE"""),"")</f>
        <v/>
      </c>
      <c r="M7864" s="16" t="str">
        <f>IFERROR(__xludf.DUMMYFUNCTION("""COMPUTED_VALUE"""),"")</f>
        <v/>
      </c>
      <c r="U7864" s="16" t="s">
        <v>87</v>
      </c>
      <c r="V7864" s="16" t="str">
        <f>IFERROR(__xludf.DUMMYFUNCTION("""COMPUTED_VALUE"""),"")</f>
        <v/>
      </c>
      <c r="W7864" s="16" t="str">
        <f>IFERROR(__xludf.DUMMYFUNCTION("""COMPUTED_VALUE"""),"")</f>
        <v/>
      </c>
      <c r="X7864" s="16" t="str">
        <f>IFERROR(__xludf.DUMMYFUNCTION("""COMPUTED_VALUE"""),"")</f>
        <v/>
      </c>
      <c r="AC7864" s="16" t="str">
        <f>IFERROR(__xludf.DUMMYFUNCTION("""COMPUTED_VALUE"""),"")</f>
        <v/>
      </c>
    </row>
    <row r="7865">
      <c r="A7865" s="16" t="s">
        <v>87</v>
      </c>
      <c r="E7865" s="16" t="str">
        <f>IFERROR(__xludf.DUMMYFUNCTION("""COMPUTED_VALUE"""),"")</f>
        <v/>
      </c>
      <c r="G7865" s="18"/>
      <c r="H7865" s="16" t="s">
        <v>87</v>
      </c>
      <c r="I7865" s="16" t="s">
        <v>87</v>
      </c>
      <c r="J7865" s="19"/>
      <c r="L7865" s="16" t="str">
        <f>IFERROR(__xludf.DUMMYFUNCTION("""COMPUTED_VALUE"""),"")</f>
        <v/>
      </c>
      <c r="M7865" s="16" t="str">
        <f>IFERROR(__xludf.DUMMYFUNCTION("""COMPUTED_VALUE"""),"")</f>
        <v/>
      </c>
      <c r="U7865" s="16" t="s">
        <v>87</v>
      </c>
      <c r="V7865" s="16" t="str">
        <f>IFERROR(__xludf.DUMMYFUNCTION("""COMPUTED_VALUE"""),"")</f>
        <v/>
      </c>
      <c r="W7865" s="16" t="str">
        <f>IFERROR(__xludf.DUMMYFUNCTION("""COMPUTED_VALUE"""),"")</f>
        <v/>
      </c>
      <c r="X7865" s="16" t="str">
        <f>IFERROR(__xludf.DUMMYFUNCTION("""COMPUTED_VALUE"""),"")</f>
        <v/>
      </c>
      <c r="AC7865" s="16" t="str">
        <f>IFERROR(__xludf.DUMMYFUNCTION("""COMPUTED_VALUE"""),"")</f>
        <v/>
      </c>
    </row>
    <row r="7866">
      <c r="A7866" s="16" t="s">
        <v>87</v>
      </c>
      <c r="E7866" s="16" t="str">
        <f>IFERROR(__xludf.DUMMYFUNCTION("""COMPUTED_VALUE"""),"")</f>
        <v/>
      </c>
      <c r="G7866" s="18"/>
      <c r="H7866" s="16" t="s">
        <v>87</v>
      </c>
      <c r="I7866" s="16" t="s">
        <v>87</v>
      </c>
      <c r="J7866" s="19"/>
      <c r="L7866" s="16" t="str">
        <f>IFERROR(__xludf.DUMMYFUNCTION("""COMPUTED_VALUE"""),"")</f>
        <v/>
      </c>
      <c r="M7866" s="16" t="str">
        <f>IFERROR(__xludf.DUMMYFUNCTION("""COMPUTED_VALUE"""),"")</f>
        <v/>
      </c>
      <c r="U7866" s="16" t="s">
        <v>87</v>
      </c>
      <c r="V7866" s="16" t="str">
        <f>IFERROR(__xludf.DUMMYFUNCTION("""COMPUTED_VALUE"""),"")</f>
        <v/>
      </c>
      <c r="W7866" s="16" t="str">
        <f>IFERROR(__xludf.DUMMYFUNCTION("""COMPUTED_VALUE"""),"")</f>
        <v/>
      </c>
      <c r="X7866" s="16" t="str">
        <f>IFERROR(__xludf.DUMMYFUNCTION("""COMPUTED_VALUE"""),"")</f>
        <v/>
      </c>
      <c r="AC7866" s="16" t="str">
        <f>IFERROR(__xludf.DUMMYFUNCTION("""COMPUTED_VALUE"""),"")</f>
        <v/>
      </c>
    </row>
    <row r="7867">
      <c r="A7867" s="16" t="s">
        <v>87</v>
      </c>
      <c r="E7867" s="16" t="str">
        <f>IFERROR(__xludf.DUMMYFUNCTION("""COMPUTED_VALUE"""),"")</f>
        <v/>
      </c>
      <c r="G7867" s="18"/>
      <c r="H7867" s="16" t="s">
        <v>87</v>
      </c>
      <c r="I7867" s="16" t="s">
        <v>87</v>
      </c>
      <c r="J7867" s="19"/>
      <c r="L7867" s="16" t="str">
        <f>IFERROR(__xludf.DUMMYFUNCTION("""COMPUTED_VALUE"""),"")</f>
        <v/>
      </c>
      <c r="M7867" s="16" t="str">
        <f>IFERROR(__xludf.DUMMYFUNCTION("""COMPUTED_VALUE"""),"")</f>
        <v/>
      </c>
      <c r="U7867" s="16" t="s">
        <v>87</v>
      </c>
      <c r="V7867" s="16" t="str">
        <f>IFERROR(__xludf.DUMMYFUNCTION("""COMPUTED_VALUE"""),"")</f>
        <v/>
      </c>
      <c r="W7867" s="16" t="str">
        <f>IFERROR(__xludf.DUMMYFUNCTION("""COMPUTED_VALUE"""),"")</f>
        <v/>
      </c>
      <c r="X7867" s="16" t="str">
        <f>IFERROR(__xludf.DUMMYFUNCTION("""COMPUTED_VALUE"""),"")</f>
        <v/>
      </c>
      <c r="AC7867" s="16" t="str">
        <f>IFERROR(__xludf.DUMMYFUNCTION("""COMPUTED_VALUE"""),"")</f>
        <v/>
      </c>
    </row>
    <row r="7868">
      <c r="A7868" s="16" t="s">
        <v>87</v>
      </c>
      <c r="E7868" s="16" t="str">
        <f>IFERROR(__xludf.DUMMYFUNCTION("""COMPUTED_VALUE"""),"")</f>
        <v/>
      </c>
      <c r="G7868" s="18"/>
      <c r="H7868" s="16" t="s">
        <v>87</v>
      </c>
      <c r="I7868" s="16" t="s">
        <v>87</v>
      </c>
      <c r="J7868" s="19"/>
      <c r="L7868" s="16" t="str">
        <f>IFERROR(__xludf.DUMMYFUNCTION("""COMPUTED_VALUE"""),"")</f>
        <v/>
      </c>
      <c r="M7868" s="16" t="str">
        <f>IFERROR(__xludf.DUMMYFUNCTION("""COMPUTED_VALUE"""),"")</f>
        <v/>
      </c>
      <c r="U7868" s="16" t="s">
        <v>87</v>
      </c>
      <c r="V7868" s="16" t="str">
        <f>IFERROR(__xludf.DUMMYFUNCTION("""COMPUTED_VALUE"""),"")</f>
        <v/>
      </c>
      <c r="W7868" s="16" t="str">
        <f>IFERROR(__xludf.DUMMYFUNCTION("""COMPUTED_VALUE"""),"")</f>
        <v/>
      </c>
      <c r="X7868" s="16" t="str">
        <f>IFERROR(__xludf.DUMMYFUNCTION("""COMPUTED_VALUE"""),"")</f>
        <v/>
      </c>
      <c r="AC7868" s="16" t="str">
        <f>IFERROR(__xludf.DUMMYFUNCTION("""COMPUTED_VALUE"""),"")</f>
        <v/>
      </c>
    </row>
    <row r="7869">
      <c r="A7869" s="16" t="s">
        <v>87</v>
      </c>
      <c r="E7869" s="16" t="str">
        <f>IFERROR(__xludf.DUMMYFUNCTION("""COMPUTED_VALUE"""),"")</f>
        <v/>
      </c>
      <c r="G7869" s="18"/>
      <c r="H7869" s="16" t="s">
        <v>87</v>
      </c>
      <c r="I7869" s="16" t="s">
        <v>87</v>
      </c>
      <c r="J7869" s="19"/>
      <c r="L7869" s="16" t="str">
        <f>IFERROR(__xludf.DUMMYFUNCTION("""COMPUTED_VALUE"""),"")</f>
        <v/>
      </c>
      <c r="M7869" s="16" t="str">
        <f>IFERROR(__xludf.DUMMYFUNCTION("""COMPUTED_VALUE"""),"")</f>
        <v/>
      </c>
      <c r="U7869" s="16" t="s">
        <v>87</v>
      </c>
      <c r="V7869" s="16" t="str">
        <f>IFERROR(__xludf.DUMMYFUNCTION("""COMPUTED_VALUE"""),"")</f>
        <v/>
      </c>
      <c r="W7869" s="16" t="str">
        <f>IFERROR(__xludf.DUMMYFUNCTION("""COMPUTED_VALUE"""),"")</f>
        <v/>
      </c>
      <c r="X7869" s="16" t="str">
        <f>IFERROR(__xludf.DUMMYFUNCTION("""COMPUTED_VALUE"""),"")</f>
        <v/>
      </c>
      <c r="AC7869" s="16" t="str">
        <f>IFERROR(__xludf.DUMMYFUNCTION("""COMPUTED_VALUE"""),"")</f>
        <v/>
      </c>
    </row>
    <row r="7870">
      <c r="A7870" s="16" t="s">
        <v>87</v>
      </c>
      <c r="E7870" s="16" t="str">
        <f>IFERROR(__xludf.DUMMYFUNCTION("""COMPUTED_VALUE"""),"")</f>
        <v/>
      </c>
      <c r="G7870" s="18"/>
      <c r="H7870" s="16" t="s">
        <v>87</v>
      </c>
      <c r="I7870" s="16" t="s">
        <v>87</v>
      </c>
      <c r="J7870" s="19"/>
      <c r="L7870" s="16" t="str">
        <f>IFERROR(__xludf.DUMMYFUNCTION("""COMPUTED_VALUE"""),"")</f>
        <v/>
      </c>
      <c r="M7870" s="16" t="str">
        <f>IFERROR(__xludf.DUMMYFUNCTION("""COMPUTED_VALUE"""),"")</f>
        <v/>
      </c>
      <c r="U7870" s="16" t="s">
        <v>87</v>
      </c>
      <c r="V7870" s="16" t="str">
        <f>IFERROR(__xludf.DUMMYFUNCTION("""COMPUTED_VALUE"""),"")</f>
        <v/>
      </c>
      <c r="W7870" s="16" t="str">
        <f>IFERROR(__xludf.DUMMYFUNCTION("""COMPUTED_VALUE"""),"")</f>
        <v/>
      </c>
      <c r="X7870" s="16" t="str">
        <f>IFERROR(__xludf.DUMMYFUNCTION("""COMPUTED_VALUE"""),"")</f>
        <v/>
      </c>
      <c r="AC7870" s="16" t="str">
        <f>IFERROR(__xludf.DUMMYFUNCTION("""COMPUTED_VALUE"""),"")</f>
        <v/>
      </c>
    </row>
    <row r="7871">
      <c r="A7871" s="16" t="s">
        <v>87</v>
      </c>
      <c r="E7871" s="16" t="str">
        <f>IFERROR(__xludf.DUMMYFUNCTION("""COMPUTED_VALUE"""),"")</f>
        <v/>
      </c>
      <c r="G7871" s="18"/>
      <c r="H7871" s="16" t="s">
        <v>87</v>
      </c>
      <c r="I7871" s="16" t="s">
        <v>87</v>
      </c>
      <c r="J7871" s="19"/>
      <c r="L7871" s="16" t="str">
        <f>IFERROR(__xludf.DUMMYFUNCTION("""COMPUTED_VALUE"""),"")</f>
        <v/>
      </c>
      <c r="M7871" s="16" t="str">
        <f>IFERROR(__xludf.DUMMYFUNCTION("""COMPUTED_VALUE"""),"")</f>
        <v/>
      </c>
      <c r="U7871" s="16" t="s">
        <v>87</v>
      </c>
      <c r="V7871" s="16" t="str">
        <f>IFERROR(__xludf.DUMMYFUNCTION("""COMPUTED_VALUE"""),"")</f>
        <v/>
      </c>
      <c r="W7871" s="16" t="str">
        <f>IFERROR(__xludf.DUMMYFUNCTION("""COMPUTED_VALUE"""),"")</f>
        <v/>
      </c>
      <c r="X7871" s="16" t="str">
        <f>IFERROR(__xludf.DUMMYFUNCTION("""COMPUTED_VALUE"""),"")</f>
        <v/>
      </c>
      <c r="AC7871" s="16" t="str">
        <f>IFERROR(__xludf.DUMMYFUNCTION("""COMPUTED_VALUE"""),"")</f>
        <v/>
      </c>
    </row>
    <row r="7872">
      <c r="A7872" s="16" t="s">
        <v>87</v>
      </c>
      <c r="E7872" s="16" t="str">
        <f>IFERROR(__xludf.DUMMYFUNCTION("""COMPUTED_VALUE"""),"")</f>
        <v/>
      </c>
      <c r="G7872" s="18"/>
      <c r="H7872" s="16" t="s">
        <v>87</v>
      </c>
      <c r="I7872" s="16" t="s">
        <v>87</v>
      </c>
      <c r="J7872" s="19"/>
      <c r="L7872" s="16" t="str">
        <f>IFERROR(__xludf.DUMMYFUNCTION("""COMPUTED_VALUE"""),"")</f>
        <v/>
      </c>
      <c r="M7872" s="16" t="str">
        <f>IFERROR(__xludf.DUMMYFUNCTION("""COMPUTED_VALUE"""),"")</f>
        <v/>
      </c>
      <c r="U7872" s="16" t="s">
        <v>87</v>
      </c>
      <c r="V7872" s="16" t="str">
        <f>IFERROR(__xludf.DUMMYFUNCTION("""COMPUTED_VALUE"""),"")</f>
        <v/>
      </c>
      <c r="W7872" s="16" t="str">
        <f>IFERROR(__xludf.DUMMYFUNCTION("""COMPUTED_VALUE"""),"")</f>
        <v/>
      </c>
      <c r="X7872" s="16" t="str">
        <f>IFERROR(__xludf.DUMMYFUNCTION("""COMPUTED_VALUE"""),"")</f>
        <v/>
      </c>
      <c r="AC7872" s="16" t="str">
        <f>IFERROR(__xludf.DUMMYFUNCTION("""COMPUTED_VALUE"""),"")</f>
        <v/>
      </c>
    </row>
    <row r="7873">
      <c r="A7873" s="16" t="s">
        <v>87</v>
      </c>
      <c r="E7873" s="16" t="str">
        <f>IFERROR(__xludf.DUMMYFUNCTION("""COMPUTED_VALUE"""),"")</f>
        <v/>
      </c>
      <c r="G7873" s="18"/>
      <c r="H7873" s="16" t="s">
        <v>87</v>
      </c>
      <c r="I7873" s="16" t="s">
        <v>87</v>
      </c>
      <c r="J7873" s="19"/>
      <c r="L7873" s="16" t="str">
        <f>IFERROR(__xludf.DUMMYFUNCTION("""COMPUTED_VALUE"""),"")</f>
        <v/>
      </c>
      <c r="M7873" s="16" t="str">
        <f>IFERROR(__xludf.DUMMYFUNCTION("""COMPUTED_VALUE"""),"")</f>
        <v/>
      </c>
      <c r="U7873" s="16" t="s">
        <v>87</v>
      </c>
      <c r="V7873" s="16" t="str">
        <f>IFERROR(__xludf.DUMMYFUNCTION("""COMPUTED_VALUE"""),"")</f>
        <v/>
      </c>
      <c r="W7873" s="16" t="str">
        <f>IFERROR(__xludf.DUMMYFUNCTION("""COMPUTED_VALUE"""),"")</f>
        <v/>
      </c>
      <c r="X7873" s="16" t="str">
        <f>IFERROR(__xludf.DUMMYFUNCTION("""COMPUTED_VALUE"""),"")</f>
        <v/>
      </c>
      <c r="AC7873" s="16" t="str">
        <f>IFERROR(__xludf.DUMMYFUNCTION("""COMPUTED_VALUE"""),"")</f>
        <v/>
      </c>
    </row>
    <row r="7874">
      <c r="A7874" s="16" t="s">
        <v>87</v>
      </c>
      <c r="E7874" s="16" t="str">
        <f>IFERROR(__xludf.DUMMYFUNCTION("""COMPUTED_VALUE"""),"")</f>
        <v/>
      </c>
      <c r="G7874" s="18"/>
      <c r="H7874" s="16" t="s">
        <v>87</v>
      </c>
      <c r="I7874" s="16" t="s">
        <v>87</v>
      </c>
      <c r="J7874" s="19"/>
      <c r="L7874" s="16" t="str">
        <f>IFERROR(__xludf.DUMMYFUNCTION("""COMPUTED_VALUE"""),"")</f>
        <v/>
      </c>
      <c r="M7874" s="16" t="str">
        <f>IFERROR(__xludf.DUMMYFUNCTION("""COMPUTED_VALUE"""),"")</f>
        <v/>
      </c>
      <c r="U7874" s="16" t="s">
        <v>87</v>
      </c>
      <c r="V7874" s="16" t="str">
        <f>IFERROR(__xludf.DUMMYFUNCTION("""COMPUTED_VALUE"""),"")</f>
        <v/>
      </c>
      <c r="W7874" s="16" t="str">
        <f>IFERROR(__xludf.DUMMYFUNCTION("""COMPUTED_VALUE"""),"")</f>
        <v/>
      </c>
      <c r="X7874" s="16" t="str">
        <f>IFERROR(__xludf.DUMMYFUNCTION("""COMPUTED_VALUE"""),"")</f>
        <v/>
      </c>
      <c r="AC7874" s="16" t="str">
        <f>IFERROR(__xludf.DUMMYFUNCTION("""COMPUTED_VALUE"""),"")</f>
        <v/>
      </c>
    </row>
    <row r="7875">
      <c r="A7875" s="16" t="s">
        <v>87</v>
      </c>
      <c r="E7875" s="16" t="str">
        <f>IFERROR(__xludf.DUMMYFUNCTION("""COMPUTED_VALUE"""),"")</f>
        <v/>
      </c>
      <c r="G7875" s="18"/>
      <c r="H7875" s="16" t="s">
        <v>87</v>
      </c>
      <c r="I7875" s="16" t="s">
        <v>87</v>
      </c>
      <c r="J7875" s="19"/>
      <c r="L7875" s="16" t="str">
        <f>IFERROR(__xludf.DUMMYFUNCTION("""COMPUTED_VALUE"""),"")</f>
        <v/>
      </c>
      <c r="M7875" s="16" t="str">
        <f>IFERROR(__xludf.DUMMYFUNCTION("""COMPUTED_VALUE"""),"")</f>
        <v/>
      </c>
      <c r="U7875" s="16" t="s">
        <v>87</v>
      </c>
      <c r="V7875" s="16" t="str">
        <f>IFERROR(__xludf.DUMMYFUNCTION("""COMPUTED_VALUE"""),"")</f>
        <v/>
      </c>
      <c r="W7875" s="16" t="str">
        <f>IFERROR(__xludf.DUMMYFUNCTION("""COMPUTED_VALUE"""),"")</f>
        <v/>
      </c>
      <c r="X7875" s="16" t="str">
        <f>IFERROR(__xludf.DUMMYFUNCTION("""COMPUTED_VALUE"""),"")</f>
        <v/>
      </c>
      <c r="AC7875" s="16" t="str">
        <f>IFERROR(__xludf.DUMMYFUNCTION("""COMPUTED_VALUE"""),"")</f>
        <v/>
      </c>
    </row>
    <row r="7876">
      <c r="A7876" s="16" t="s">
        <v>87</v>
      </c>
      <c r="E7876" s="16" t="str">
        <f>IFERROR(__xludf.DUMMYFUNCTION("""COMPUTED_VALUE"""),"")</f>
        <v/>
      </c>
      <c r="G7876" s="18"/>
      <c r="H7876" s="16" t="s">
        <v>87</v>
      </c>
      <c r="I7876" s="16" t="s">
        <v>87</v>
      </c>
      <c r="J7876" s="19"/>
      <c r="L7876" s="16" t="str">
        <f>IFERROR(__xludf.DUMMYFUNCTION("""COMPUTED_VALUE"""),"")</f>
        <v/>
      </c>
      <c r="M7876" s="16" t="str">
        <f>IFERROR(__xludf.DUMMYFUNCTION("""COMPUTED_VALUE"""),"")</f>
        <v/>
      </c>
      <c r="U7876" s="16" t="s">
        <v>87</v>
      </c>
      <c r="V7876" s="16" t="str">
        <f>IFERROR(__xludf.DUMMYFUNCTION("""COMPUTED_VALUE"""),"")</f>
        <v/>
      </c>
      <c r="W7876" s="16" t="str">
        <f>IFERROR(__xludf.DUMMYFUNCTION("""COMPUTED_VALUE"""),"")</f>
        <v/>
      </c>
      <c r="X7876" s="16" t="str">
        <f>IFERROR(__xludf.DUMMYFUNCTION("""COMPUTED_VALUE"""),"")</f>
        <v/>
      </c>
      <c r="AC7876" s="16" t="str">
        <f>IFERROR(__xludf.DUMMYFUNCTION("""COMPUTED_VALUE"""),"")</f>
        <v/>
      </c>
    </row>
    <row r="7877">
      <c r="A7877" s="16" t="s">
        <v>87</v>
      </c>
      <c r="E7877" s="16" t="str">
        <f>IFERROR(__xludf.DUMMYFUNCTION("""COMPUTED_VALUE"""),"")</f>
        <v/>
      </c>
      <c r="G7877" s="18"/>
      <c r="H7877" s="16" t="s">
        <v>87</v>
      </c>
      <c r="I7877" s="16" t="s">
        <v>87</v>
      </c>
      <c r="J7877" s="19"/>
      <c r="L7877" s="16" t="str">
        <f>IFERROR(__xludf.DUMMYFUNCTION("""COMPUTED_VALUE"""),"")</f>
        <v/>
      </c>
      <c r="M7877" s="16" t="str">
        <f>IFERROR(__xludf.DUMMYFUNCTION("""COMPUTED_VALUE"""),"")</f>
        <v/>
      </c>
      <c r="U7877" s="16" t="s">
        <v>87</v>
      </c>
      <c r="V7877" s="16" t="str">
        <f>IFERROR(__xludf.DUMMYFUNCTION("""COMPUTED_VALUE"""),"")</f>
        <v/>
      </c>
      <c r="W7877" s="16" t="str">
        <f>IFERROR(__xludf.DUMMYFUNCTION("""COMPUTED_VALUE"""),"")</f>
        <v/>
      </c>
      <c r="X7877" s="16" t="str">
        <f>IFERROR(__xludf.DUMMYFUNCTION("""COMPUTED_VALUE"""),"")</f>
        <v/>
      </c>
      <c r="AC7877" s="16" t="str">
        <f>IFERROR(__xludf.DUMMYFUNCTION("""COMPUTED_VALUE"""),"")</f>
        <v/>
      </c>
    </row>
    <row r="7878">
      <c r="A7878" s="16" t="s">
        <v>87</v>
      </c>
      <c r="E7878" s="16" t="str">
        <f>IFERROR(__xludf.DUMMYFUNCTION("""COMPUTED_VALUE"""),"")</f>
        <v/>
      </c>
      <c r="G7878" s="18"/>
      <c r="H7878" s="16" t="s">
        <v>87</v>
      </c>
      <c r="I7878" s="16" t="s">
        <v>87</v>
      </c>
      <c r="J7878" s="19"/>
      <c r="L7878" s="16" t="str">
        <f>IFERROR(__xludf.DUMMYFUNCTION("""COMPUTED_VALUE"""),"")</f>
        <v/>
      </c>
      <c r="M7878" s="16" t="str">
        <f>IFERROR(__xludf.DUMMYFUNCTION("""COMPUTED_VALUE"""),"")</f>
        <v/>
      </c>
      <c r="U7878" s="16" t="s">
        <v>87</v>
      </c>
      <c r="V7878" s="16" t="str">
        <f>IFERROR(__xludf.DUMMYFUNCTION("""COMPUTED_VALUE"""),"")</f>
        <v/>
      </c>
      <c r="W7878" s="16" t="str">
        <f>IFERROR(__xludf.DUMMYFUNCTION("""COMPUTED_VALUE"""),"")</f>
        <v/>
      </c>
      <c r="X7878" s="16" t="str">
        <f>IFERROR(__xludf.DUMMYFUNCTION("""COMPUTED_VALUE"""),"")</f>
        <v/>
      </c>
      <c r="AC7878" s="16" t="str">
        <f>IFERROR(__xludf.DUMMYFUNCTION("""COMPUTED_VALUE"""),"")</f>
        <v/>
      </c>
    </row>
    <row r="7879">
      <c r="A7879" s="16" t="s">
        <v>87</v>
      </c>
      <c r="E7879" s="16" t="str">
        <f>IFERROR(__xludf.DUMMYFUNCTION("""COMPUTED_VALUE"""),"")</f>
        <v/>
      </c>
      <c r="G7879" s="18"/>
      <c r="H7879" s="16" t="s">
        <v>87</v>
      </c>
      <c r="I7879" s="16" t="s">
        <v>87</v>
      </c>
      <c r="J7879" s="19"/>
      <c r="L7879" s="16" t="str">
        <f>IFERROR(__xludf.DUMMYFUNCTION("""COMPUTED_VALUE"""),"")</f>
        <v/>
      </c>
      <c r="M7879" s="16" t="str">
        <f>IFERROR(__xludf.DUMMYFUNCTION("""COMPUTED_VALUE"""),"")</f>
        <v/>
      </c>
      <c r="U7879" s="16" t="s">
        <v>87</v>
      </c>
      <c r="V7879" s="16" t="str">
        <f>IFERROR(__xludf.DUMMYFUNCTION("""COMPUTED_VALUE"""),"")</f>
        <v/>
      </c>
      <c r="W7879" s="16" t="str">
        <f>IFERROR(__xludf.DUMMYFUNCTION("""COMPUTED_VALUE"""),"")</f>
        <v/>
      </c>
      <c r="X7879" s="16" t="str">
        <f>IFERROR(__xludf.DUMMYFUNCTION("""COMPUTED_VALUE"""),"")</f>
        <v/>
      </c>
      <c r="AC7879" s="16" t="str">
        <f>IFERROR(__xludf.DUMMYFUNCTION("""COMPUTED_VALUE"""),"")</f>
        <v/>
      </c>
    </row>
    <row r="7880">
      <c r="A7880" s="16" t="s">
        <v>87</v>
      </c>
      <c r="E7880" s="16" t="str">
        <f>IFERROR(__xludf.DUMMYFUNCTION("""COMPUTED_VALUE"""),"")</f>
        <v/>
      </c>
      <c r="G7880" s="18"/>
      <c r="H7880" s="16" t="s">
        <v>87</v>
      </c>
      <c r="I7880" s="16" t="s">
        <v>87</v>
      </c>
      <c r="J7880" s="19"/>
      <c r="L7880" s="16" t="str">
        <f>IFERROR(__xludf.DUMMYFUNCTION("""COMPUTED_VALUE"""),"")</f>
        <v/>
      </c>
      <c r="M7880" s="16" t="str">
        <f>IFERROR(__xludf.DUMMYFUNCTION("""COMPUTED_VALUE"""),"")</f>
        <v/>
      </c>
      <c r="U7880" s="16" t="s">
        <v>87</v>
      </c>
      <c r="V7880" s="16" t="str">
        <f>IFERROR(__xludf.DUMMYFUNCTION("""COMPUTED_VALUE"""),"")</f>
        <v/>
      </c>
      <c r="W7880" s="16" t="str">
        <f>IFERROR(__xludf.DUMMYFUNCTION("""COMPUTED_VALUE"""),"")</f>
        <v/>
      </c>
      <c r="X7880" s="16" t="str">
        <f>IFERROR(__xludf.DUMMYFUNCTION("""COMPUTED_VALUE"""),"")</f>
        <v/>
      </c>
      <c r="AC7880" s="16" t="str">
        <f>IFERROR(__xludf.DUMMYFUNCTION("""COMPUTED_VALUE"""),"")</f>
        <v/>
      </c>
    </row>
    <row r="7881">
      <c r="A7881" s="16" t="s">
        <v>87</v>
      </c>
      <c r="E7881" s="16" t="str">
        <f>IFERROR(__xludf.DUMMYFUNCTION("""COMPUTED_VALUE"""),"")</f>
        <v/>
      </c>
      <c r="G7881" s="18"/>
      <c r="H7881" s="16" t="s">
        <v>87</v>
      </c>
      <c r="I7881" s="16" t="s">
        <v>87</v>
      </c>
      <c r="J7881" s="19"/>
      <c r="L7881" s="16" t="str">
        <f>IFERROR(__xludf.DUMMYFUNCTION("""COMPUTED_VALUE"""),"")</f>
        <v/>
      </c>
      <c r="M7881" s="16" t="str">
        <f>IFERROR(__xludf.DUMMYFUNCTION("""COMPUTED_VALUE"""),"")</f>
        <v/>
      </c>
      <c r="U7881" s="16" t="s">
        <v>87</v>
      </c>
      <c r="V7881" s="16" t="str">
        <f>IFERROR(__xludf.DUMMYFUNCTION("""COMPUTED_VALUE"""),"")</f>
        <v/>
      </c>
      <c r="W7881" s="16" t="str">
        <f>IFERROR(__xludf.DUMMYFUNCTION("""COMPUTED_VALUE"""),"")</f>
        <v/>
      </c>
      <c r="X7881" s="16" t="str">
        <f>IFERROR(__xludf.DUMMYFUNCTION("""COMPUTED_VALUE"""),"")</f>
        <v/>
      </c>
      <c r="AC7881" s="16" t="str">
        <f>IFERROR(__xludf.DUMMYFUNCTION("""COMPUTED_VALUE"""),"")</f>
        <v/>
      </c>
    </row>
    <row r="7882">
      <c r="A7882" s="16" t="s">
        <v>87</v>
      </c>
      <c r="E7882" s="16" t="str">
        <f>IFERROR(__xludf.DUMMYFUNCTION("""COMPUTED_VALUE"""),"")</f>
        <v/>
      </c>
      <c r="G7882" s="18"/>
      <c r="H7882" s="16" t="s">
        <v>87</v>
      </c>
      <c r="I7882" s="16" t="s">
        <v>87</v>
      </c>
      <c r="J7882" s="19"/>
      <c r="L7882" s="16" t="str">
        <f>IFERROR(__xludf.DUMMYFUNCTION("""COMPUTED_VALUE"""),"")</f>
        <v/>
      </c>
      <c r="M7882" s="16" t="str">
        <f>IFERROR(__xludf.DUMMYFUNCTION("""COMPUTED_VALUE"""),"")</f>
        <v/>
      </c>
      <c r="U7882" s="16" t="s">
        <v>87</v>
      </c>
      <c r="V7882" s="16" t="str">
        <f>IFERROR(__xludf.DUMMYFUNCTION("""COMPUTED_VALUE"""),"")</f>
        <v/>
      </c>
      <c r="W7882" s="16" t="str">
        <f>IFERROR(__xludf.DUMMYFUNCTION("""COMPUTED_VALUE"""),"")</f>
        <v/>
      </c>
      <c r="X7882" s="16" t="str">
        <f>IFERROR(__xludf.DUMMYFUNCTION("""COMPUTED_VALUE"""),"")</f>
        <v/>
      </c>
      <c r="AC7882" s="16" t="str">
        <f>IFERROR(__xludf.DUMMYFUNCTION("""COMPUTED_VALUE"""),"")</f>
        <v/>
      </c>
    </row>
    <row r="7883">
      <c r="A7883" s="16" t="s">
        <v>87</v>
      </c>
      <c r="E7883" s="16" t="str">
        <f>IFERROR(__xludf.DUMMYFUNCTION("""COMPUTED_VALUE"""),"")</f>
        <v/>
      </c>
      <c r="G7883" s="18"/>
      <c r="H7883" s="16" t="s">
        <v>87</v>
      </c>
      <c r="I7883" s="16" t="s">
        <v>87</v>
      </c>
      <c r="J7883" s="19"/>
      <c r="L7883" s="16" t="str">
        <f>IFERROR(__xludf.DUMMYFUNCTION("""COMPUTED_VALUE"""),"")</f>
        <v/>
      </c>
      <c r="M7883" s="16" t="str">
        <f>IFERROR(__xludf.DUMMYFUNCTION("""COMPUTED_VALUE"""),"")</f>
        <v/>
      </c>
      <c r="U7883" s="16" t="s">
        <v>87</v>
      </c>
      <c r="V7883" s="16" t="str">
        <f>IFERROR(__xludf.DUMMYFUNCTION("""COMPUTED_VALUE"""),"")</f>
        <v/>
      </c>
      <c r="W7883" s="16" t="str">
        <f>IFERROR(__xludf.DUMMYFUNCTION("""COMPUTED_VALUE"""),"")</f>
        <v/>
      </c>
      <c r="X7883" s="16" t="str">
        <f>IFERROR(__xludf.DUMMYFUNCTION("""COMPUTED_VALUE"""),"")</f>
        <v/>
      </c>
      <c r="AC7883" s="16" t="str">
        <f>IFERROR(__xludf.DUMMYFUNCTION("""COMPUTED_VALUE"""),"")</f>
        <v/>
      </c>
    </row>
    <row r="7884">
      <c r="A7884" s="16" t="s">
        <v>87</v>
      </c>
      <c r="E7884" s="16" t="str">
        <f>IFERROR(__xludf.DUMMYFUNCTION("""COMPUTED_VALUE"""),"")</f>
        <v/>
      </c>
      <c r="G7884" s="18"/>
      <c r="H7884" s="16" t="s">
        <v>87</v>
      </c>
      <c r="I7884" s="16" t="s">
        <v>87</v>
      </c>
      <c r="J7884" s="19"/>
      <c r="L7884" s="16" t="str">
        <f>IFERROR(__xludf.DUMMYFUNCTION("""COMPUTED_VALUE"""),"")</f>
        <v/>
      </c>
      <c r="M7884" s="16" t="str">
        <f>IFERROR(__xludf.DUMMYFUNCTION("""COMPUTED_VALUE"""),"")</f>
        <v/>
      </c>
      <c r="U7884" s="16" t="s">
        <v>87</v>
      </c>
      <c r="V7884" s="16" t="str">
        <f>IFERROR(__xludf.DUMMYFUNCTION("""COMPUTED_VALUE"""),"")</f>
        <v/>
      </c>
      <c r="W7884" s="16" t="str">
        <f>IFERROR(__xludf.DUMMYFUNCTION("""COMPUTED_VALUE"""),"")</f>
        <v/>
      </c>
      <c r="X7884" s="16" t="str">
        <f>IFERROR(__xludf.DUMMYFUNCTION("""COMPUTED_VALUE"""),"")</f>
        <v/>
      </c>
      <c r="AC7884" s="16" t="str">
        <f>IFERROR(__xludf.DUMMYFUNCTION("""COMPUTED_VALUE"""),"")</f>
        <v/>
      </c>
    </row>
    <row r="7885">
      <c r="A7885" s="16" t="s">
        <v>87</v>
      </c>
      <c r="E7885" s="16" t="str">
        <f>IFERROR(__xludf.DUMMYFUNCTION("""COMPUTED_VALUE"""),"")</f>
        <v/>
      </c>
      <c r="G7885" s="18"/>
      <c r="H7885" s="16" t="s">
        <v>87</v>
      </c>
      <c r="I7885" s="16" t="s">
        <v>87</v>
      </c>
      <c r="J7885" s="19"/>
      <c r="L7885" s="16" t="str">
        <f>IFERROR(__xludf.DUMMYFUNCTION("""COMPUTED_VALUE"""),"")</f>
        <v/>
      </c>
      <c r="M7885" s="16" t="str">
        <f>IFERROR(__xludf.DUMMYFUNCTION("""COMPUTED_VALUE"""),"")</f>
        <v/>
      </c>
      <c r="U7885" s="16" t="s">
        <v>87</v>
      </c>
      <c r="V7885" s="16" t="str">
        <f>IFERROR(__xludf.DUMMYFUNCTION("""COMPUTED_VALUE"""),"")</f>
        <v/>
      </c>
      <c r="W7885" s="16" t="str">
        <f>IFERROR(__xludf.DUMMYFUNCTION("""COMPUTED_VALUE"""),"")</f>
        <v/>
      </c>
      <c r="X7885" s="16" t="str">
        <f>IFERROR(__xludf.DUMMYFUNCTION("""COMPUTED_VALUE"""),"")</f>
        <v/>
      </c>
      <c r="AC7885" s="16" t="str">
        <f>IFERROR(__xludf.DUMMYFUNCTION("""COMPUTED_VALUE"""),"")</f>
        <v/>
      </c>
    </row>
    <row r="7886">
      <c r="A7886" s="16" t="s">
        <v>87</v>
      </c>
      <c r="E7886" s="16" t="str">
        <f>IFERROR(__xludf.DUMMYFUNCTION("""COMPUTED_VALUE"""),"")</f>
        <v/>
      </c>
      <c r="G7886" s="18"/>
      <c r="H7886" s="16" t="s">
        <v>87</v>
      </c>
      <c r="I7886" s="16" t="s">
        <v>87</v>
      </c>
      <c r="J7886" s="19"/>
      <c r="L7886" s="16" t="str">
        <f>IFERROR(__xludf.DUMMYFUNCTION("""COMPUTED_VALUE"""),"")</f>
        <v/>
      </c>
      <c r="M7886" s="16" t="str">
        <f>IFERROR(__xludf.DUMMYFUNCTION("""COMPUTED_VALUE"""),"")</f>
        <v/>
      </c>
      <c r="U7886" s="16" t="s">
        <v>87</v>
      </c>
      <c r="V7886" s="16" t="str">
        <f>IFERROR(__xludf.DUMMYFUNCTION("""COMPUTED_VALUE"""),"")</f>
        <v/>
      </c>
      <c r="W7886" s="16" t="str">
        <f>IFERROR(__xludf.DUMMYFUNCTION("""COMPUTED_VALUE"""),"")</f>
        <v/>
      </c>
      <c r="X7886" s="16" t="str">
        <f>IFERROR(__xludf.DUMMYFUNCTION("""COMPUTED_VALUE"""),"")</f>
        <v/>
      </c>
      <c r="AC7886" s="16" t="str">
        <f>IFERROR(__xludf.DUMMYFUNCTION("""COMPUTED_VALUE"""),"")</f>
        <v/>
      </c>
    </row>
    <row r="7887">
      <c r="A7887" s="16" t="s">
        <v>87</v>
      </c>
      <c r="E7887" s="16" t="str">
        <f>IFERROR(__xludf.DUMMYFUNCTION("""COMPUTED_VALUE"""),"")</f>
        <v/>
      </c>
      <c r="G7887" s="18"/>
      <c r="H7887" s="16" t="s">
        <v>87</v>
      </c>
      <c r="I7887" s="16" t="s">
        <v>87</v>
      </c>
      <c r="J7887" s="19"/>
      <c r="L7887" s="16" t="str">
        <f>IFERROR(__xludf.DUMMYFUNCTION("""COMPUTED_VALUE"""),"")</f>
        <v/>
      </c>
      <c r="M7887" s="16" t="str">
        <f>IFERROR(__xludf.DUMMYFUNCTION("""COMPUTED_VALUE"""),"")</f>
        <v/>
      </c>
      <c r="U7887" s="16" t="s">
        <v>87</v>
      </c>
      <c r="V7887" s="16" t="str">
        <f>IFERROR(__xludf.DUMMYFUNCTION("""COMPUTED_VALUE"""),"")</f>
        <v/>
      </c>
      <c r="W7887" s="16" t="str">
        <f>IFERROR(__xludf.DUMMYFUNCTION("""COMPUTED_VALUE"""),"")</f>
        <v/>
      </c>
      <c r="X7887" s="16" t="str">
        <f>IFERROR(__xludf.DUMMYFUNCTION("""COMPUTED_VALUE"""),"")</f>
        <v/>
      </c>
      <c r="AC7887" s="16" t="str">
        <f>IFERROR(__xludf.DUMMYFUNCTION("""COMPUTED_VALUE"""),"")</f>
        <v/>
      </c>
    </row>
    <row r="7888">
      <c r="A7888" s="16" t="s">
        <v>87</v>
      </c>
      <c r="E7888" s="16" t="str">
        <f>IFERROR(__xludf.DUMMYFUNCTION("""COMPUTED_VALUE"""),"")</f>
        <v/>
      </c>
      <c r="G7888" s="18"/>
      <c r="H7888" s="16" t="s">
        <v>87</v>
      </c>
      <c r="I7888" s="16" t="s">
        <v>87</v>
      </c>
      <c r="J7888" s="19"/>
      <c r="L7888" s="16" t="str">
        <f>IFERROR(__xludf.DUMMYFUNCTION("""COMPUTED_VALUE"""),"")</f>
        <v/>
      </c>
      <c r="M7888" s="16" t="str">
        <f>IFERROR(__xludf.DUMMYFUNCTION("""COMPUTED_VALUE"""),"")</f>
        <v/>
      </c>
      <c r="U7888" s="16" t="s">
        <v>87</v>
      </c>
      <c r="V7888" s="16" t="str">
        <f>IFERROR(__xludf.DUMMYFUNCTION("""COMPUTED_VALUE"""),"")</f>
        <v/>
      </c>
      <c r="W7888" s="16" t="str">
        <f>IFERROR(__xludf.DUMMYFUNCTION("""COMPUTED_VALUE"""),"")</f>
        <v/>
      </c>
      <c r="X7888" s="16" t="str">
        <f>IFERROR(__xludf.DUMMYFUNCTION("""COMPUTED_VALUE"""),"")</f>
        <v/>
      </c>
      <c r="AC7888" s="16" t="str">
        <f>IFERROR(__xludf.DUMMYFUNCTION("""COMPUTED_VALUE"""),"")</f>
        <v/>
      </c>
    </row>
    <row r="7889">
      <c r="A7889" s="16" t="s">
        <v>87</v>
      </c>
      <c r="E7889" s="16" t="str">
        <f>IFERROR(__xludf.DUMMYFUNCTION("""COMPUTED_VALUE"""),"")</f>
        <v/>
      </c>
      <c r="G7889" s="18"/>
      <c r="H7889" s="16" t="s">
        <v>87</v>
      </c>
      <c r="I7889" s="16" t="s">
        <v>87</v>
      </c>
      <c r="J7889" s="19"/>
      <c r="L7889" s="16" t="str">
        <f>IFERROR(__xludf.DUMMYFUNCTION("""COMPUTED_VALUE"""),"")</f>
        <v/>
      </c>
      <c r="M7889" s="16" t="str">
        <f>IFERROR(__xludf.DUMMYFUNCTION("""COMPUTED_VALUE"""),"")</f>
        <v/>
      </c>
      <c r="U7889" s="16" t="s">
        <v>87</v>
      </c>
      <c r="V7889" s="16" t="str">
        <f>IFERROR(__xludf.DUMMYFUNCTION("""COMPUTED_VALUE"""),"")</f>
        <v/>
      </c>
      <c r="W7889" s="16" t="str">
        <f>IFERROR(__xludf.DUMMYFUNCTION("""COMPUTED_VALUE"""),"")</f>
        <v/>
      </c>
      <c r="X7889" s="16" t="str">
        <f>IFERROR(__xludf.DUMMYFUNCTION("""COMPUTED_VALUE"""),"")</f>
        <v/>
      </c>
      <c r="AC7889" s="16" t="str">
        <f>IFERROR(__xludf.DUMMYFUNCTION("""COMPUTED_VALUE"""),"")</f>
        <v/>
      </c>
    </row>
    <row r="7890">
      <c r="A7890" s="16" t="s">
        <v>87</v>
      </c>
      <c r="E7890" s="16" t="str">
        <f>IFERROR(__xludf.DUMMYFUNCTION("""COMPUTED_VALUE"""),"")</f>
        <v/>
      </c>
      <c r="G7890" s="18"/>
      <c r="H7890" s="16" t="s">
        <v>87</v>
      </c>
      <c r="I7890" s="16" t="s">
        <v>87</v>
      </c>
      <c r="J7890" s="19"/>
      <c r="L7890" s="16" t="str">
        <f>IFERROR(__xludf.DUMMYFUNCTION("""COMPUTED_VALUE"""),"")</f>
        <v/>
      </c>
      <c r="M7890" s="16" t="str">
        <f>IFERROR(__xludf.DUMMYFUNCTION("""COMPUTED_VALUE"""),"")</f>
        <v/>
      </c>
      <c r="U7890" s="16" t="s">
        <v>87</v>
      </c>
      <c r="V7890" s="16" t="str">
        <f>IFERROR(__xludf.DUMMYFUNCTION("""COMPUTED_VALUE"""),"")</f>
        <v/>
      </c>
      <c r="W7890" s="16" t="str">
        <f>IFERROR(__xludf.DUMMYFUNCTION("""COMPUTED_VALUE"""),"")</f>
        <v/>
      </c>
      <c r="X7890" s="16" t="str">
        <f>IFERROR(__xludf.DUMMYFUNCTION("""COMPUTED_VALUE"""),"")</f>
        <v/>
      </c>
      <c r="AC7890" s="16" t="str">
        <f>IFERROR(__xludf.DUMMYFUNCTION("""COMPUTED_VALUE"""),"")</f>
        <v/>
      </c>
    </row>
    <row r="7891">
      <c r="A7891" s="16" t="s">
        <v>87</v>
      </c>
      <c r="E7891" s="16" t="str">
        <f>IFERROR(__xludf.DUMMYFUNCTION("""COMPUTED_VALUE"""),"")</f>
        <v/>
      </c>
      <c r="G7891" s="18"/>
      <c r="H7891" s="16" t="s">
        <v>87</v>
      </c>
      <c r="I7891" s="16" t="s">
        <v>87</v>
      </c>
      <c r="J7891" s="19"/>
      <c r="L7891" s="16" t="str">
        <f>IFERROR(__xludf.DUMMYFUNCTION("""COMPUTED_VALUE"""),"")</f>
        <v/>
      </c>
      <c r="M7891" s="16" t="str">
        <f>IFERROR(__xludf.DUMMYFUNCTION("""COMPUTED_VALUE"""),"")</f>
        <v/>
      </c>
      <c r="U7891" s="16" t="s">
        <v>87</v>
      </c>
      <c r="V7891" s="16" t="str">
        <f>IFERROR(__xludf.DUMMYFUNCTION("""COMPUTED_VALUE"""),"")</f>
        <v/>
      </c>
      <c r="W7891" s="16" t="str">
        <f>IFERROR(__xludf.DUMMYFUNCTION("""COMPUTED_VALUE"""),"")</f>
        <v/>
      </c>
      <c r="X7891" s="16" t="str">
        <f>IFERROR(__xludf.DUMMYFUNCTION("""COMPUTED_VALUE"""),"")</f>
        <v/>
      </c>
      <c r="AC7891" s="16" t="str">
        <f>IFERROR(__xludf.DUMMYFUNCTION("""COMPUTED_VALUE"""),"")</f>
        <v/>
      </c>
    </row>
    <row r="7892">
      <c r="A7892" s="16" t="s">
        <v>87</v>
      </c>
      <c r="E7892" s="16" t="str">
        <f>IFERROR(__xludf.DUMMYFUNCTION("""COMPUTED_VALUE"""),"")</f>
        <v/>
      </c>
      <c r="G7892" s="18"/>
      <c r="H7892" s="16" t="s">
        <v>87</v>
      </c>
      <c r="I7892" s="16" t="s">
        <v>87</v>
      </c>
      <c r="J7892" s="19"/>
      <c r="L7892" s="16" t="str">
        <f>IFERROR(__xludf.DUMMYFUNCTION("""COMPUTED_VALUE"""),"")</f>
        <v/>
      </c>
      <c r="M7892" s="16" t="str">
        <f>IFERROR(__xludf.DUMMYFUNCTION("""COMPUTED_VALUE"""),"")</f>
        <v/>
      </c>
      <c r="U7892" s="16" t="s">
        <v>87</v>
      </c>
      <c r="V7892" s="16" t="str">
        <f>IFERROR(__xludf.DUMMYFUNCTION("""COMPUTED_VALUE"""),"")</f>
        <v/>
      </c>
      <c r="W7892" s="16" t="str">
        <f>IFERROR(__xludf.DUMMYFUNCTION("""COMPUTED_VALUE"""),"")</f>
        <v/>
      </c>
      <c r="X7892" s="16" t="str">
        <f>IFERROR(__xludf.DUMMYFUNCTION("""COMPUTED_VALUE"""),"")</f>
        <v/>
      </c>
      <c r="AC7892" s="16" t="str">
        <f>IFERROR(__xludf.DUMMYFUNCTION("""COMPUTED_VALUE"""),"")</f>
        <v/>
      </c>
    </row>
    <row r="7893">
      <c r="A7893" s="16" t="s">
        <v>87</v>
      </c>
      <c r="E7893" s="16" t="str">
        <f>IFERROR(__xludf.DUMMYFUNCTION("""COMPUTED_VALUE"""),"")</f>
        <v/>
      </c>
      <c r="G7893" s="18"/>
      <c r="H7893" s="16" t="s">
        <v>87</v>
      </c>
      <c r="I7893" s="16" t="s">
        <v>87</v>
      </c>
      <c r="J7893" s="19"/>
      <c r="L7893" s="16" t="str">
        <f>IFERROR(__xludf.DUMMYFUNCTION("""COMPUTED_VALUE"""),"")</f>
        <v/>
      </c>
      <c r="M7893" s="16" t="str">
        <f>IFERROR(__xludf.DUMMYFUNCTION("""COMPUTED_VALUE"""),"")</f>
        <v/>
      </c>
      <c r="U7893" s="16" t="s">
        <v>87</v>
      </c>
      <c r="V7893" s="16" t="str">
        <f>IFERROR(__xludf.DUMMYFUNCTION("""COMPUTED_VALUE"""),"")</f>
        <v/>
      </c>
      <c r="W7893" s="16" t="str">
        <f>IFERROR(__xludf.DUMMYFUNCTION("""COMPUTED_VALUE"""),"")</f>
        <v/>
      </c>
      <c r="X7893" s="16" t="str">
        <f>IFERROR(__xludf.DUMMYFUNCTION("""COMPUTED_VALUE"""),"")</f>
        <v/>
      </c>
      <c r="AC7893" s="16" t="str">
        <f>IFERROR(__xludf.DUMMYFUNCTION("""COMPUTED_VALUE"""),"")</f>
        <v/>
      </c>
    </row>
    <row r="7894">
      <c r="A7894" s="16" t="s">
        <v>87</v>
      </c>
      <c r="E7894" s="16" t="str">
        <f>IFERROR(__xludf.DUMMYFUNCTION("""COMPUTED_VALUE"""),"")</f>
        <v/>
      </c>
      <c r="G7894" s="18"/>
      <c r="H7894" s="16" t="s">
        <v>87</v>
      </c>
      <c r="I7894" s="16" t="s">
        <v>87</v>
      </c>
      <c r="J7894" s="19"/>
      <c r="L7894" s="16" t="str">
        <f>IFERROR(__xludf.DUMMYFUNCTION("""COMPUTED_VALUE"""),"")</f>
        <v/>
      </c>
      <c r="M7894" s="16" t="str">
        <f>IFERROR(__xludf.DUMMYFUNCTION("""COMPUTED_VALUE"""),"")</f>
        <v/>
      </c>
      <c r="U7894" s="16" t="s">
        <v>87</v>
      </c>
      <c r="V7894" s="16" t="str">
        <f>IFERROR(__xludf.DUMMYFUNCTION("""COMPUTED_VALUE"""),"")</f>
        <v/>
      </c>
      <c r="W7894" s="16" t="str">
        <f>IFERROR(__xludf.DUMMYFUNCTION("""COMPUTED_VALUE"""),"")</f>
        <v/>
      </c>
      <c r="X7894" s="16" t="str">
        <f>IFERROR(__xludf.DUMMYFUNCTION("""COMPUTED_VALUE"""),"")</f>
        <v/>
      </c>
      <c r="AC7894" s="16" t="str">
        <f>IFERROR(__xludf.DUMMYFUNCTION("""COMPUTED_VALUE"""),"")</f>
        <v/>
      </c>
    </row>
    <row r="7895">
      <c r="A7895" s="16" t="s">
        <v>87</v>
      </c>
      <c r="E7895" s="16" t="str">
        <f>IFERROR(__xludf.DUMMYFUNCTION("""COMPUTED_VALUE"""),"")</f>
        <v/>
      </c>
      <c r="G7895" s="18"/>
      <c r="H7895" s="16" t="s">
        <v>87</v>
      </c>
      <c r="I7895" s="16" t="s">
        <v>87</v>
      </c>
      <c r="J7895" s="19"/>
      <c r="L7895" s="16" t="str">
        <f>IFERROR(__xludf.DUMMYFUNCTION("""COMPUTED_VALUE"""),"")</f>
        <v/>
      </c>
      <c r="M7895" s="16" t="str">
        <f>IFERROR(__xludf.DUMMYFUNCTION("""COMPUTED_VALUE"""),"")</f>
        <v/>
      </c>
      <c r="U7895" s="16" t="s">
        <v>87</v>
      </c>
      <c r="V7895" s="16" t="str">
        <f>IFERROR(__xludf.DUMMYFUNCTION("""COMPUTED_VALUE"""),"")</f>
        <v/>
      </c>
      <c r="W7895" s="16" t="str">
        <f>IFERROR(__xludf.DUMMYFUNCTION("""COMPUTED_VALUE"""),"")</f>
        <v/>
      </c>
      <c r="X7895" s="16" t="str">
        <f>IFERROR(__xludf.DUMMYFUNCTION("""COMPUTED_VALUE"""),"")</f>
        <v/>
      </c>
      <c r="AC7895" s="16" t="str">
        <f>IFERROR(__xludf.DUMMYFUNCTION("""COMPUTED_VALUE"""),"")</f>
        <v/>
      </c>
    </row>
    <row r="7896">
      <c r="A7896" s="16" t="s">
        <v>87</v>
      </c>
      <c r="E7896" s="16" t="str">
        <f>IFERROR(__xludf.DUMMYFUNCTION("""COMPUTED_VALUE"""),"")</f>
        <v/>
      </c>
      <c r="G7896" s="18"/>
      <c r="H7896" s="16" t="s">
        <v>87</v>
      </c>
      <c r="I7896" s="16" t="s">
        <v>87</v>
      </c>
      <c r="J7896" s="19"/>
      <c r="L7896" s="16" t="str">
        <f>IFERROR(__xludf.DUMMYFUNCTION("""COMPUTED_VALUE"""),"")</f>
        <v/>
      </c>
      <c r="M7896" s="16" t="str">
        <f>IFERROR(__xludf.DUMMYFUNCTION("""COMPUTED_VALUE"""),"")</f>
        <v/>
      </c>
      <c r="U7896" s="16" t="s">
        <v>87</v>
      </c>
      <c r="V7896" s="16" t="str">
        <f>IFERROR(__xludf.DUMMYFUNCTION("""COMPUTED_VALUE"""),"")</f>
        <v/>
      </c>
      <c r="W7896" s="16" t="str">
        <f>IFERROR(__xludf.DUMMYFUNCTION("""COMPUTED_VALUE"""),"")</f>
        <v/>
      </c>
      <c r="X7896" s="16" t="str">
        <f>IFERROR(__xludf.DUMMYFUNCTION("""COMPUTED_VALUE"""),"")</f>
        <v/>
      </c>
      <c r="AC7896" s="16" t="str">
        <f>IFERROR(__xludf.DUMMYFUNCTION("""COMPUTED_VALUE"""),"")</f>
        <v/>
      </c>
    </row>
    <row r="7897">
      <c r="A7897" s="16" t="s">
        <v>87</v>
      </c>
      <c r="E7897" s="16" t="str">
        <f>IFERROR(__xludf.DUMMYFUNCTION("""COMPUTED_VALUE"""),"")</f>
        <v/>
      </c>
      <c r="G7897" s="18"/>
      <c r="H7897" s="16" t="s">
        <v>87</v>
      </c>
      <c r="I7897" s="16" t="s">
        <v>87</v>
      </c>
      <c r="J7897" s="19"/>
      <c r="L7897" s="16" t="str">
        <f>IFERROR(__xludf.DUMMYFUNCTION("""COMPUTED_VALUE"""),"")</f>
        <v/>
      </c>
      <c r="M7897" s="16" t="str">
        <f>IFERROR(__xludf.DUMMYFUNCTION("""COMPUTED_VALUE"""),"")</f>
        <v/>
      </c>
      <c r="U7897" s="16" t="s">
        <v>87</v>
      </c>
      <c r="V7897" s="16" t="str">
        <f>IFERROR(__xludf.DUMMYFUNCTION("""COMPUTED_VALUE"""),"")</f>
        <v/>
      </c>
      <c r="W7897" s="16" t="str">
        <f>IFERROR(__xludf.DUMMYFUNCTION("""COMPUTED_VALUE"""),"")</f>
        <v/>
      </c>
      <c r="X7897" s="16" t="str">
        <f>IFERROR(__xludf.DUMMYFUNCTION("""COMPUTED_VALUE"""),"")</f>
        <v/>
      </c>
      <c r="AC7897" s="16" t="str">
        <f>IFERROR(__xludf.DUMMYFUNCTION("""COMPUTED_VALUE"""),"")</f>
        <v/>
      </c>
    </row>
    <row r="7898">
      <c r="A7898" s="16" t="s">
        <v>87</v>
      </c>
      <c r="E7898" s="16" t="str">
        <f>IFERROR(__xludf.DUMMYFUNCTION("""COMPUTED_VALUE"""),"")</f>
        <v/>
      </c>
      <c r="G7898" s="18"/>
      <c r="H7898" s="16" t="s">
        <v>87</v>
      </c>
      <c r="I7898" s="16" t="s">
        <v>87</v>
      </c>
      <c r="J7898" s="19"/>
      <c r="L7898" s="16" t="str">
        <f>IFERROR(__xludf.DUMMYFUNCTION("""COMPUTED_VALUE"""),"")</f>
        <v/>
      </c>
      <c r="M7898" s="16" t="str">
        <f>IFERROR(__xludf.DUMMYFUNCTION("""COMPUTED_VALUE"""),"")</f>
        <v/>
      </c>
      <c r="U7898" s="16" t="s">
        <v>87</v>
      </c>
      <c r="V7898" s="16" t="str">
        <f>IFERROR(__xludf.DUMMYFUNCTION("""COMPUTED_VALUE"""),"")</f>
        <v/>
      </c>
      <c r="W7898" s="16" t="str">
        <f>IFERROR(__xludf.DUMMYFUNCTION("""COMPUTED_VALUE"""),"")</f>
        <v/>
      </c>
      <c r="X7898" s="16" t="str">
        <f>IFERROR(__xludf.DUMMYFUNCTION("""COMPUTED_VALUE"""),"")</f>
        <v/>
      </c>
      <c r="AC7898" s="16" t="str">
        <f>IFERROR(__xludf.DUMMYFUNCTION("""COMPUTED_VALUE"""),"")</f>
        <v/>
      </c>
    </row>
    <row r="7899">
      <c r="A7899" s="16" t="s">
        <v>87</v>
      </c>
      <c r="E7899" s="16" t="str">
        <f>IFERROR(__xludf.DUMMYFUNCTION("""COMPUTED_VALUE"""),"")</f>
        <v/>
      </c>
      <c r="G7899" s="18"/>
      <c r="H7899" s="16" t="s">
        <v>87</v>
      </c>
      <c r="I7899" s="16" t="s">
        <v>87</v>
      </c>
      <c r="J7899" s="19"/>
      <c r="L7899" s="16" t="str">
        <f>IFERROR(__xludf.DUMMYFUNCTION("""COMPUTED_VALUE"""),"")</f>
        <v/>
      </c>
      <c r="M7899" s="16" t="str">
        <f>IFERROR(__xludf.DUMMYFUNCTION("""COMPUTED_VALUE"""),"")</f>
        <v/>
      </c>
      <c r="U7899" s="16" t="s">
        <v>87</v>
      </c>
      <c r="V7899" s="16" t="str">
        <f>IFERROR(__xludf.DUMMYFUNCTION("""COMPUTED_VALUE"""),"")</f>
        <v/>
      </c>
      <c r="W7899" s="16" t="str">
        <f>IFERROR(__xludf.DUMMYFUNCTION("""COMPUTED_VALUE"""),"")</f>
        <v/>
      </c>
      <c r="X7899" s="16" t="str">
        <f>IFERROR(__xludf.DUMMYFUNCTION("""COMPUTED_VALUE"""),"")</f>
        <v/>
      </c>
      <c r="AC7899" s="16" t="str">
        <f>IFERROR(__xludf.DUMMYFUNCTION("""COMPUTED_VALUE"""),"")</f>
        <v/>
      </c>
    </row>
    <row r="7900">
      <c r="A7900" s="16" t="s">
        <v>87</v>
      </c>
      <c r="E7900" s="16" t="str">
        <f>IFERROR(__xludf.DUMMYFUNCTION("""COMPUTED_VALUE"""),"")</f>
        <v/>
      </c>
      <c r="G7900" s="18"/>
      <c r="H7900" s="16" t="s">
        <v>87</v>
      </c>
      <c r="I7900" s="16" t="s">
        <v>87</v>
      </c>
      <c r="J7900" s="19"/>
      <c r="L7900" s="16" t="str">
        <f>IFERROR(__xludf.DUMMYFUNCTION("""COMPUTED_VALUE"""),"")</f>
        <v/>
      </c>
      <c r="M7900" s="16" t="str">
        <f>IFERROR(__xludf.DUMMYFUNCTION("""COMPUTED_VALUE"""),"")</f>
        <v/>
      </c>
      <c r="U7900" s="16" t="s">
        <v>87</v>
      </c>
      <c r="V7900" s="16" t="str">
        <f>IFERROR(__xludf.DUMMYFUNCTION("""COMPUTED_VALUE"""),"")</f>
        <v/>
      </c>
      <c r="W7900" s="16" t="str">
        <f>IFERROR(__xludf.DUMMYFUNCTION("""COMPUTED_VALUE"""),"")</f>
        <v/>
      </c>
      <c r="X7900" s="16" t="str">
        <f>IFERROR(__xludf.DUMMYFUNCTION("""COMPUTED_VALUE"""),"")</f>
        <v/>
      </c>
      <c r="AC7900" s="16" t="str">
        <f>IFERROR(__xludf.DUMMYFUNCTION("""COMPUTED_VALUE"""),"")</f>
        <v/>
      </c>
    </row>
    <row r="7901">
      <c r="A7901" s="16" t="s">
        <v>87</v>
      </c>
      <c r="E7901" s="16" t="str">
        <f>IFERROR(__xludf.DUMMYFUNCTION("""COMPUTED_VALUE"""),"")</f>
        <v/>
      </c>
      <c r="G7901" s="18"/>
      <c r="H7901" s="16" t="s">
        <v>87</v>
      </c>
      <c r="I7901" s="16" t="s">
        <v>87</v>
      </c>
      <c r="J7901" s="19"/>
      <c r="L7901" s="16" t="str">
        <f>IFERROR(__xludf.DUMMYFUNCTION("""COMPUTED_VALUE"""),"")</f>
        <v/>
      </c>
      <c r="M7901" s="16" t="str">
        <f>IFERROR(__xludf.DUMMYFUNCTION("""COMPUTED_VALUE"""),"")</f>
        <v/>
      </c>
      <c r="U7901" s="16" t="s">
        <v>87</v>
      </c>
      <c r="V7901" s="16" t="str">
        <f>IFERROR(__xludf.DUMMYFUNCTION("""COMPUTED_VALUE"""),"")</f>
        <v/>
      </c>
      <c r="W7901" s="16" t="str">
        <f>IFERROR(__xludf.DUMMYFUNCTION("""COMPUTED_VALUE"""),"")</f>
        <v/>
      </c>
      <c r="X7901" s="16" t="str">
        <f>IFERROR(__xludf.DUMMYFUNCTION("""COMPUTED_VALUE"""),"")</f>
        <v/>
      </c>
      <c r="AC7901" s="16" t="str">
        <f>IFERROR(__xludf.DUMMYFUNCTION("""COMPUTED_VALUE"""),"")</f>
        <v/>
      </c>
    </row>
    <row r="7902">
      <c r="A7902" s="16" t="s">
        <v>87</v>
      </c>
      <c r="E7902" s="16" t="str">
        <f>IFERROR(__xludf.DUMMYFUNCTION("""COMPUTED_VALUE"""),"")</f>
        <v/>
      </c>
      <c r="G7902" s="18"/>
      <c r="H7902" s="16" t="s">
        <v>87</v>
      </c>
      <c r="I7902" s="16" t="s">
        <v>87</v>
      </c>
      <c r="J7902" s="19"/>
      <c r="L7902" s="16" t="str">
        <f>IFERROR(__xludf.DUMMYFUNCTION("""COMPUTED_VALUE"""),"")</f>
        <v/>
      </c>
      <c r="M7902" s="16" t="str">
        <f>IFERROR(__xludf.DUMMYFUNCTION("""COMPUTED_VALUE"""),"")</f>
        <v/>
      </c>
      <c r="U7902" s="16" t="s">
        <v>87</v>
      </c>
      <c r="V7902" s="16" t="str">
        <f>IFERROR(__xludf.DUMMYFUNCTION("""COMPUTED_VALUE"""),"")</f>
        <v/>
      </c>
      <c r="W7902" s="16" t="str">
        <f>IFERROR(__xludf.DUMMYFUNCTION("""COMPUTED_VALUE"""),"")</f>
        <v/>
      </c>
      <c r="X7902" s="16" t="str">
        <f>IFERROR(__xludf.DUMMYFUNCTION("""COMPUTED_VALUE"""),"")</f>
        <v/>
      </c>
      <c r="AC7902" s="16" t="str">
        <f>IFERROR(__xludf.DUMMYFUNCTION("""COMPUTED_VALUE"""),"")</f>
        <v/>
      </c>
    </row>
    <row r="7903">
      <c r="A7903" s="16" t="s">
        <v>87</v>
      </c>
      <c r="E7903" s="16" t="str">
        <f>IFERROR(__xludf.DUMMYFUNCTION("""COMPUTED_VALUE"""),"")</f>
        <v/>
      </c>
      <c r="G7903" s="18"/>
      <c r="H7903" s="16" t="s">
        <v>87</v>
      </c>
      <c r="I7903" s="16" t="s">
        <v>87</v>
      </c>
      <c r="J7903" s="19"/>
      <c r="L7903" s="16" t="str">
        <f>IFERROR(__xludf.DUMMYFUNCTION("""COMPUTED_VALUE"""),"")</f>
        <v/>
      </c>
      <c r="M7903" s="16" t="str">
        <f>IFERROR(__xludf.DUMMYFUNCTION("""COMPUTED_VALUE"""),"")</f>
        <v/>
      </c>
      <c r="U7903" s="16" t="s">
        <v>87</v>
      </c>
      <c r="V7903" s="16" t="str">
        <f>IFERROR(__xludf.DUMMYFUNCTION("""COMPUTED_VALUE"""),"")</f>
        <v/>
      </c>
      <c r="W7903" s="16" t="str">
        <f>IFERROR(__xludf.DUMMYFUNCTION("""COMPUTED_VALUE"""),"")</f>
        <v/>
      </c>
      <c r="X7903" s="16" t="str">
        <f>IFERROR(__xludf.DUMMYFUNCTION("""COMPUTED_VALUE"""),"")</f>
        <v/>
      </c>
      <c r="AC7903" s="16" t="str">
        <f>IFERROR(__xludf.DUMMYFUNCTION("""COMPUTED_VALUE"""),"")</f>
        <v/>
      </c>
    </row>
    <row r="7904">
      <c r="A7904" s="16" t="s">
        <v>87</v>
      </c>
      <c r="E7904" s="16" t="str">
        <f>IFERROR(__xludf.DUMMYFUNCTION("""COMPUTED_VALUE"""),"")</f>
        <v/>
      </c>
      <c r="G7904" s="18"/>
      <c r="H7904" s="16" t="s">
        <v>87</v>
      </c>
      <c r="I7904" s="16" t="s">
        <v>87</v>
      </c>
      <c r="J7904" s="19"/>
      <c r="L7904" s="16" t="str">
        <f>IFERROR(__xludf.DUMMYFUNCTION("""COMPUTED_VALUE"""),"")</f>
        <v/>
      </c>
      <c r="M7904" s="16" t="str">
        <f>IFERROR(__xludf.DUMMYFUNCTION("""COMPUTED_VALUE"""),"")</f>
        <v/>
      </c>
      <c r="U7904" s="16" t="s">
        <v>87</v>
      </c>
      <c r="V7904" s="16" t="str">
        <f>IFERROR(__xludf.DUMMYFUNCTION("""COMPUTED_VALUE"""),"")</f>
        <v/>
      </c>
      <c r="W7904" s="16" t="str">
        <f>IFERROR(__xludf.DUMMYFUNCTION("""COMPUTED_VALUE"""),"")</f>
        <v/>
      </c>
      <c r="X7904" s="16" t="str">
        <f>IFERROR(__xludf.DUMMYFUNCTION("""COMPUTED_VALUE"""),"")</f>
        <v/>
      </c>
      <c r="AC7904" s="16" t="str">
        <f>IFERROR(__xludf.DUMMYFUNCTION("""COMPUTED_VALUE"""),"")</f>
        <v/>
      </c>
    </row>
    <row r="7905">
      <c r="A7905" s="16" t="s">
        <v>87</v>
      </c>
      <c r="E7905" s="16" t="str">
        <f>IFERROR(__xludf.DUMMYFUNCTION("""COMPUTED_VALUE"""),"")</f>
        <v/>
      </c>
      <c r="G7905" s="18"/>
      <c r="H7905" s="16" t="s">
        <v>87</v>
      </c>
      <c r="I7905" s="16" t="s">
        <v>87</v>
      </c>
      <c r="J7905" s="19"/>
      <c r="L7905" s="16" t="str">
        <f>IFERROR(__xludf.DUMMYFUNCTION("""COMPUTED_VALUE"""),"")</f>
        <v/>
      </c>
      <c r="M7905" s="16" t="str">
        <f>IFERROR(__xludf.DUMMYFUNCTION("""COMPUTED_VALUE"""),"")</f>
        <v/>
      </c>
      <c r="U7905" s="16" t="s">
        <v>87</v>
      </c>
      <c r="V7905" s="16" t="str">
        <f>IFERROR(__xludf.DUMMYFUNCTION("""COMPUTED_VALUE"""),"")</f>
        <v/>
      </c>
      <c r="W7905" s="16" t="str">
        <f>IFERROR(__xludf.DUMMYFUNCTION("""COMPUTED_VALUE"""),"")</f>
        <v/>
      </c>
      <c r="X7905" s="16" t="str">
        <f>IFERROR(__xludf.DUMMYFUNCTION("""COMPUTED_VALUE"""),"")</f>
        <v/>
      </c>
      <c r="AC7905" s="16" t="str">
        <f>IFERROR(__xludf.DUMMYFUNCTION("""COMPUTED_VALUE"""),"")</f>
        <v/>
      </c>
    </row>
    <row r="7906">
      <c r="A7906" s="16" t="s">
        <v>87</v>
      </c>
      <c r="E7906" s="16" t="str">
        <f>IFERROR(__xludf.DUMMYFUNCTION("""COMPUTED_VALUE"""),"")</f>
        <v/>
      </c>
      <c r="G7906" s="18"/>
      <c r="H7906" s="16" t="s">
        <v>87</v>
      </c>
      <c r="I7906" s="16" t="s">
        <v>87</v>
      </c>
      <c r="J7906" s="19"/>
      <c r="L7906" s="16" t="str">
        <f>IFERROR(__xludf.DUMMYFUNCTION("""COMPUTED_VALUE"""),"")</f>
        <v/>
      </c>
      <c r="M7906" s="16" t="str">
        <f>IFERROR(__xludf.DUMMYFUNCTION("""COMPUTED_VALUE"""),"")</f>
        <v/>
      </c>
      <c r="U7906" s="16" t="s">
        <v>87</v>
      </c>
      <c r="V7906" s="16" t="str">
        <f>IFERROR(__xludf.DUMMYFUNCTION("""COMPUTED_VALUE"""),"")</f>
        <v/>
      </c>
      <c r="W7906" s="16" t="str">
        <f>IFERROR(__xludf.DUMMYFUNCTION("""COMPUTED_VALUE"""),"")</f>
        <v/>
      </c>
      <c r="X7906" s="16" t="str">
        <f>IFERROR(__xludf.DUMMYFUNCTION("""COMPUTED_VALUE"""),"")</f>
        <v/>
      </c>
      <c r="AC7906" s="16" t="str">
        <f>IFERROR(__xludf.DUMMYFUNCTION("""COMPUTED_VALUE"""),"")</f>
        <v/>
      </c>
    </row>
    <row r="7907">
      <c r="A7907" s="16" t="s">
        <v>87</v>
      </c>
      <c r="E7907" s="16" t="str">
        <f>IFERROR(__xludf.DUMMYFUNCTION("""COMPUTED_VALUE"""),"")</f>
        <v/>
      </c>
      <c r="G7907" s="18"/>
      <c r="H7907" s="16" t="s">
        <v>87</v>
      </c>
      <c r="I7907" s="16" t="s">
        <v>87</v>
      </c>
      <c r="J7907" s="19"/>
      <c r="L7907" s="16" t="str">
        <f>IFERROR(__xludf.DUMMYFUNCTION("""COMPUTED_VALUE"""),"")</f>
        <v/>
      </c>
      <c r="M7907" s="16" t="str">
        <f>IFERROR(__xludf.DUMMYFUNCTION("""COMPUTED_VALUE"""),"")</f>
        <v/>
      </c>
      <c r="U7907" s="16" t="s">
        <v>87</v>
      </c>
      <c r="V7907" s="16" t="str">
        <f>IFERROR(__xludf.DUMMYFUNCTION("""COMPUTED_VALUE"""),"")</f>
        <v/>
      </c>
      <c r="W7907" s="16" t="str">
        <f>IFERROR(__xludf.DUMMYFUNCTION("""COMPUTED_VALUE"""),"")</f>
        <v/>
      </c>
      <c r="X7907" s="16" t="str">
        <f>IFERROR(__xludf.DUMMYFUNCTION("""COMPUTED_VALUE"""),"")</f>
        <v/>
      </c>
      <c r="AC7907" s="16" t="str">
        <f>IFERROR(__xludf.DUMMYFUNCTION("""COMPUTED_VALUE"""),"")</f>
        <v/>
      </c>
    </row>
    <row r="7908">
      <c r="A7908" s="16" t="s">
        <v>87</v>
      </c>
      <c r="E7908" s="16" t="str">
        <f>IFERROR(__xludf.DUMMYFUNCTION("""COMPUTED_VALUE"""),"")</f>
        <v/>
      </c>
      <c r="G7908" s="18"/>
      <c r="H7908" s="16" t="s">
        <v>87</v>
      </c>
      <c r="I7908" s="16" t="s">
        <v>87</v>
      </c>
      <c r="J7908" s="19"/>
      <c r="L7908" s="16" t="str">
        <f>IFERROR(__xludf.DUMMYFUNCTION("""COMPUTED_VALUE"""),"")</f>
        <v/>
      </c>
      <c r="M7908" s="16" t="str">
        <f>IFERROR(__xludf.DUMMYFUNCTION("""COMPUTED_VALUE"""),"")</f>
        <v/>
      </c>
      <c r="U7908" s="16" t="s">
        <v>87</v>
      </c>
      <c r="V7908" s="16" t="str">
        <f>IFERROR(__xludf.DUMMYFUNCTION("""COMPUTED_VALUE"""),"")</f>
        <v/>
      </c>
      <c r="W7908" s="16" t="str">
        <f>IFERROR(__xludf.DUMMYFUNCTION("""COMPUTED_VALUE"""),"")</f>
        <v/>
      </c>
      <c r="X7908" s="16" t="str">
        <f>IFERROR(__xludf.DUMMYFUNCTION("""COMPUTED_VALUE"""),"")</f>
        <v/>
      </c>
      <c r="AC7908" s="16" t="str">
        <f>IFERROR(__xludf.DUMMYFUNCTION("""COMPUTED_VALUE"""),"")</f>
        <v/>
      </c>
    </row>
    <row r="7909">
      <c r="A7909" s="16" t="s">
        <v>87</v>
      </c>
      <c r="E7909" s="16" t="str">
        <f>IFERROR(__xludf.DUMMYFUNCTION("""COMPUTED_VALUE"""),"")</f>
        <v/>
      </c>
      <c r="G7909" s="18"/>
      <c r="H7909" s="16" t="s">
        <v>87</v>
      </c>
      <c r="I7909" s="16" t="s">
        <v>87</v>
      </c>
      <c r="J7909" s="19"/>
      <c r="L7909" s="16" t="str">
        <f>IFERROR(__xludf.DUMMYFUNCTION("""COMPUTED_VALUE"""),"")</f>
        <v/>
      </c>
      <c r="M7909" s="16" t="str">
        <f>IFERROR(__xludf.DUMMYFUNCTION("""COMPUTED_VALUE"""),"")</f>
        <v/>
      </c>
      <c r="U7909" s="16" t="s">
        <v>87</v>
      </c>
      <c r="V7909" s="16" t="str">
        <f>IFERROR(__xludf.DUMMYFUNCTION("""COMPUTED_VALUE"""),"")</f>
        <v/>
      </c>
      <c r="W7909" s="16" t="str">
        <f>IFERROR(__xludf.DUMMYFUNCTION("""COMPUTED_VALUE"""),"")</f>
        <v/>
      </c>
      <c r="X7909" s="16" t="str">
        <f>IFERROR(__xludf.DUMMYFUNCTION("""COMPUTED_VALUE"""),"")</f>
        <v/>
      </c>
      <c r="AC7909" s="16" t="str">
        <f>IFERROR(__xludf.DUMMYFUNCTION("""COMPUTED_VALUE"""),"")</f>
        <v/>
      </c>
    </row>
    <row r="7910">
      <c r="A7910" s="16" t="s">
        <v>87</v>
      </c>
      <c r="E7910" s="16" t="str">
        <f>IFERROR(__xludf.DUMMYFUNCTION("""COMPUTED_VALUE"""),"")</f>
        <v/>
      </c>
      <c r="G7910" s="18"/>
      <c r="H7910" s="16" t="s">
        <v>87</v>
      </c>
      <c r="I7910" s="16" t="s">
        <v>87</v>
      </c>
      <c r="J7910" s="19"/>
      <c r="L7910" s="16" t="str">
        <f>IFERROR(__xludf.DUMMYFUNCTION("""COMPUTED_VALUE"""),"")</f>
        <v/>
      </c>
      <c r="M7910" s="16" t="str">
        <f>IFERROR(__xludf.DUMMYFUNCTION("""COMPUTED_VALUE"""),"")</f>
        <v/>
      </c>
      <c r="U7910" s="16" t="s">
        <v>87</v>
      </c>
      <c r="V7910" s="16" t="str">
        <f>IFERROR(__xludf.DUMMYFUNCTION("""COMPUTED_VALUE"""),"")</f>
        <v/>
      </c>
      <c r="W7910" s="16" t="str">
        <f>IFERROR(__xludf.DUMMYFUNCTION("""COMPUTED_VALUE"""),"")</f>
        <v/>
      </c>
      <c r="X7910" s="16" t="str">
        <f>IFERROR(__xludf.DUMMYFUNCTION("""COMPUTED_VALUE"""),"")</f>
        <v/>
      </c>
      <c r="AC7910" s="16" t="str">
        <f>IFERROR(__xludf.DUMMYFUNCTION("""COMPUTED_VALUE"""),"")</f>
        <v/>
      </c>
    </row>
    <row r="7911">
      <c r="A7911" s="16" t="s">
        <v>87</v>
      </c>
      <c r="E7911" s="16" t="str">
        <f>IFERROR(__xludf.DUMMYFUNCTION("""COMPUTED_VALUE"""),"")</f>
        <v/>
      </c>
      <c r="G7911" s="18"/>
      <c r="H7911" s="16" t="s">
        <v>87</v>
      </c>
      <c r="I7911" s="16" t="s">
        <v>87</v>
      </c>
      <c r="J7911" s="19"/>
      <c r="L7911" s="16" t="str">
        <f>IFERROR(__xludf.DUMMYFUNCTION("""COMPUTED_VALUE"""),"")</f>
        <v/>
      </c>
      <c r="M7911" s="16" t="str">
        <f>IFERROR(__xludf.DUMMYFUNCTION("""COMPUTED_VALUE"""),"")</f>
        <v/>
      </c>
      <c r="U7911" s="16" t="s">
        <v>87</v>
      </c>
      <c r="V7911" s="16" t="str">
        <f>IFERROR(__xludf.DUMMYFUNCTION("""COMPUTED_VALUE"""),"")</f>
        <v/>
      </c>
      <c r="W7911" s="16" t="str">
        <f>IFERROR(__xludf.DUMMYFUNCTION("""COMPUTED_VALUE"""),"")</f>
        <v/>
      </c>
      <c r="X7911" s="16" t="str">
        <f>IFERROR(__xludf.DUMMYFUNCTION("""COMPUTED_VALUE"""),"")</f>
        <v/>
      </c>
      <c r="AC7911" s="16" t="str">
        <f>IFERROR(__xludf.DUMMYFUNCTION("""COMPUTED_VALUE"""),"")</f>
        <v/>
      </c>
    </row>
    <row r="7912">
      <c r="A7912" s="16" t="s">
        <v>87</v>
      </c>
      <c r="E7912" s="16" t="str">
        <f>IFERROR(__xludf.DUMMYFUNCTION("""COMPUTED_VALUE"""),"")</f>
        <v/>
      </c>
      <c r="G7912" s="18"/>
      <c r="H7912" s="16" t="s">
        <v>87</v>
      </c>
      <c r="I7912" s="16" t="s">
        <v>87</v>
      </c>
      <c r="J7912" s="19"/>
      <c r="L7912" s="16" t="str">
        <f>IFERROR(__xludf.DUMMYFUNCTION("""COMPUTED_VALUE"""),"")</f>
        <v/>
      </c>
      <c r="M7912" s="16" t="str">
        <f>IFERROR(__xludf.DUMMYFUNCTION("""COMPUTED_VALUE"""),"")</f>
        <v/>
      </c>
      <c r="U7912" s="16" t="s">
        <v>87</v>
      </c>
      <c r="V7912" s="16" t="str">
        <f>IFERROR(__xludf.DUMMYFUNCTION("""COMPUTED_VALUE"""),"")</f>
        <v/>
      </c>
      <c r="W7912" s="16" t="str">
        <f>IFERROR(__xludf.DUMMYFUNCTION("""COMPUTED_VALUE"""),"")</f>
        <v/>
      </c>
      <c r="X7912" s="16" t="str">
        <f>IFERROR(__xludf.DUMMYFUNCTION("""COMPUTED_VALUE"""),"")</f>
        <v/>
      </c>
      <c r="AC7912" s="16" t="str">
        <f>IFERROR(__xludf.DUMMYFUNCTION("""COMPUTED_VALUE"""),"")</f>
        <v/>
      </c>
    </row>
    <row r="7913">
      <c r="A7913" s="16" t="s">
        <v>87</v>
      </c>
      <c r="E7913" s="16" t="str">
        <f>IFERROR(__xludf.DUMMYFUNCTION("""COMPUTED_VALUE"""),"")</f>
        <v/>
      </c>
      <c r="G7913" s="18"/>
      <c r="H7913" s="16" t="s">
        <v>87</v>
      </c>
      <c r="I7913" s="16" t="s">
        <v>87</v>
      </c>
      <c r="J7913" s="19"/>
      <c r="L7913" s="16" t="str">
        <f>IFERROR(__xludf.DUMMYFUNCTION("""COMPUTED_VALUE"""),"")</f>
        <v/>
      </c>
      <c r="M7913" s="16" t="str">
        <f>IFERROR(__xludf.DUMMYFUNCTION("""COMPUTED_VALUE"""),"")</f>
        <v/>
      </c>
      <c r="U7913" s="16" t="s">
        <v>87</v>
      </c>
      <c r="V7913" s="16" t="str">
        <f>IFERROR(__xludf.DUMMYFUNCTION("""COMPUTED_VALUE"""),"")</f>
        <v/>
      </c>
      <c r="W7913" s="16" t="str">
        <f>IFERROR(__xludf.DUMMYFUNCTION("""COMPUTED_VALUE"""),"")</f>
        <v/>
      </c>
      <c r="X7913" s="16" t="str">
        <f>IFERROR(__xludf.DUMMYFUNCTION("""COMPUTED_VALUE"""),"")</f>
        <v/>
      </c>
      <c r="AC7913" s="16" t="str">
        <f>IFERROR(__xludf.DUMMYFUNCTION("""COMPUTED_VALUE"""),"")</f>
        <v/>
      </c>
    </row>
    <row r="7914">
      <c r="A7914" s="16" t="s">
        <v>87</v>
      </c>
      <c r="E7914" s="16" t="str">
        <f>IFERROR(__xludf.DUMMYFUNCTION("""COMPUTED_VALUE"""),"")</f>
        <v/>
      </c>
      <c r="G7914" s="18"/>
      <c r="H7914" s="16" t="s">
        <v>87</v>
      </c>
      <c r="I7914" s="16" t="s">
        <v>87</v>
      </c>
      <c r="J7914" s="19"/>
      <c r="L7914" s="16" t="str">
        <f>IFERROR(__xludf.DUMMYFUNCTION("""COMPUTED_VALUE"""),"")</f>
        <v/>
      </c>
      <c r="M7914" s="16" t="str">
        <f>IFERROR(__xludf.DUMMYFUNCTION("""COMPUTED_VALUE"""),"")</f>
        <v/>
      </c>
      <c r="U7914" s="16" t="s">
        <v>87</v>
      </c>
      <c r="V7914" s="16" t="str">
        <f>IFERROR(__xludf.DUMMYFUNCTION("""COMPUTED_VALUE"""),"")</f>
        <v/>
      </c>
      <c r="W7914" s="16" t="str">
        <f>IFERROR(__xludf.DUMMYFUNCTION("""COMPUTED_VALUE"""),"")</f>
        <v/>
      </c>
      <c r="X7914" s="16" t="str">
        <f>IFERROR(__xludf.DUMMYFUNCTION("""COMPUTED_VALUE"""),"")</f>
        <v/>
      </c>
      <c r="AC7914" s="16" t="str">
        <f>IFERROR(__xludf.DUMMYFUNCTION("""COMPUTED_VALUE"""),"")</f>
        <v/>
      </c>
    </row>
    <row r="7915">
      <c r="A7915" s="16" t="s">
        <v>87</v>
      </c>
      <c r="E7915" s="16" t="str">
        <f>IFERROR(__xludf.DUMMYFUNCTION("""COMPUTED_VALUE"""),"")</f>
        <v/>
      </c>
      <c r="G7915" s="18"/>
      <c r="H7915" s="16" t="s">
        <v>87</v>
      </c>
      <c r="I7915" s="16" t="s">
        <v>87</v>
      </c>
      <c r="J7915" s="19"/>
      <c r="L7915" s="16" t="str">
        <f>IFERROR(__xludf.DUMMYFUNCTION("""COMPUTED_VALUE"""),"")</f>
        <v/>
      </c>
      <c r="M7915" s="16" t="str">
        <f>IFERROR(__xludf.DUMMYFUNCTION("""COMPUTED_VALUE"""),"")</f>
        <v/>
      </c>
      <c r="U7915" s="16" t="s">
        <v>87</v>
      </c>
      <c r="V7915" s="16" t="str">
        <f>IFERROR(__xludf.DUMMYFUNCTION("""COMPUTED_VALUE"""),"")</f>
        <v/>
      </c>
      <c r="W7915" s="16" t="str">
        <f>IFERROR(__xludf.DUMMYFUNCTION("""COMPUTED_VALUE"""),"")</f>
        <v/>
      </c>
      <c r="X7915" s="16" t="str">
        <f>IFERROR(__xludf.DUMMYFUNCTION("""COMPUTED_VALUE"""),"")</f>
        <v/>
      </c>
      <c r="AC7915" s="16" t="str">
        <f>IFERROR(__xludf.DUMMYFUNCTION("""COMPUTED_VALUE"""),"")</f>
        <v/>
      </c>
    </row>
    <row r="7916">
      <c r="A7916" s="16" t="s">
        <v>87</v>
      </c>
      <c r="E7916" s="16" t="str">
        <f>IFERROR(__xludf.DUMMYFUNCTION("""COMPUTED_VALUE"""),"")</f>
        <v/>
      </c>
      <c r="G7916" s="18"/>
      <c r="H7916" s="16" t="s">
        <v>87</v>
      </c>
      <c r="I7916" s="16" t="s">
        <v>87</v>
      </c>
      <c r="J7916" s="19"/>
      <c r="L7916" s="16" t="str">
        <f>IFERROR(__xludf.DUMMYFUNCTION("""COMPUTED_VALUE"""),"")</f>
        <v/>
      </c>
      <c r="M7916" s="16" t="str">
        <f>IFERROR(__xludf.DUMMYFUNCTION("""COMPUTED_VALUE"""),"")</f>
        <v/>
      </c>
      <c r="U7916" s="16" t="s">
        <v>87</v>
      </c>
      <c r="V7916" s="16" t="str">
        <f>IFERROR(__xludf.DUMMYFUNCTION("""COMPUTED_VALUE"""),"")</f>
        <v/>
      </c>
      <c r="W7916" s="16" t="str">
        <f>IFERROR(__xludf.DUMMYFUNCTION("""COMPUTED_VALUE"""),"")</f>
        <v/>
      </c>
      <c r="X7916" s="16" t="str">
        <f>IFERROR(__xludf.DUMMYFUNCTION("""COMPUTED_VALUE"""),"")</f>
        <v/>
      </c>
      <c r="AC7916" s="16" t="str">
        <f>IFERROR(__xludf.DUMMYFUNCTION("""COMPUTED_VALUE"""),"")</f>
        <v/>
      </c>
    </row>
    <row r="7917">
      <c r="A7917" s="16" t="s">
        <v>87</v>
      </c>
      <c r="E7917" s="16" t="str">
        <f>IFERROR(__xludf.DUMMYFUNCTION("""COMPUTED_VALUE"""),"")</f>
        <v/>
      </c>
      <c r="G7917" s="18"/>
      <c r="H7917" s="16" t="s">
        <v>87</v>
      </c>
      <c r="I7917" s="16" t="s">
        <v>87</v>
      </c>
      <c r="J7917" s="19"/>
      <c r="L7917" s="16" t="str">
        <f>IFERROR(__xludf.DUMMYFUNCTION("""COMPUTED_VALUE"""),"")</f>
        <v/>
      </c>
      <c r="M7917" s="16" t="str">
        <f>IFERROR(__xludf.DUMMYFUNCTION("""COMPUTED_VALUE"""),"")</f>
        <v/>
      </c>
      <c r="U7917" s="16" t="s">
        <v>87</v>
      </c>
      <c r="V7917" s="16" t="str">
        <f>IFERROR(__xludf.DUMMYFUNCTION("""COMPUTED_VALUE"""),"")</f>
        <v/>
      </c>
      <c r="W7917" s="16" t="str">
        <f>IFERROR(__xludf.DUMMYFUNCTION("""COMPUTED_VALUE"""),"")</f>
        <v/>
      </c>
      <c r="X7917" s="16" t="str">
        <f>IFERROR(__xludf.DUMMYFUNCTION("""COMPUTED_VALUE"""),"")</f>
        <v/>
      </c>
      <c r="AC7917" s="16" t="str">
        <f>IFERROR(__xludf.DUMMYFUNCTION("""COMPUTED_VALUE"""),"")</f>
        <v/>
      </c>
    </row>
    <row r="7918">
      <c r="A7918" s="16" t="s">
        <v>87</v>
      </c>
      <c r="E7918" s="16" t="str">
        <f>IFERROR(__xludf.DUMMYFUNCTION("""COMPUTED_VALUE"""),"")</f>
        <v/>
      </c>
      <c r="G7918" s="18"/>
      <c r="H7918" s="16" t="s">
        <v>87</v>
      </c>
      <c r="I7918" s="16" t="s">
        <v>87</v>
      </c>
      <c r="J7918" s="19"/>
      <c r="L7918" s="16" t="str">
        <f>IFERROR(__xludf.DUMMYFUNCTION("""COMPUTED_VALUE"""),"")</f>
        <v/>
      </c>
      <c r="M7918" s="16" t="str">
        <f>IFERROR(__xludf.DUMMYFUNCTION("""COMPUTED_VALUE"""),"")</f>
        <v/>
      </c>
      <c r="U7918" s="16" t="s">
        <v>87</v>
      </c>
      <c r="V7918" s="16" t="str">
        <f>IFERROR(__xludf.DUMMYFUNCTION("""COMPUTED_VALUE"""),"")</f>
        <v/>
      </c>
      <c r="W7918" s="16" t="str">
        <f>IFERROR(__xludf.DUMMYFUNCTION("""COMPUTED_VALUE"""),"")</f>
        <v/>
      </c>
      <c r="X7918" s="16" t="str">
        <f>IFERROR(__xludf.DUMMYFUNCTION("""COMPUTED_VALUE"""),"")</f>
        <v/>
      </c>
      <c r="AC7918" s="16" t="str">
        <f>IFERROR(__xludf.DUMMYFUNCTION("""COMPUTED_VALUE"""),"")</f>
        <v/>
      </c>
    </row>
    <row r="7919">
      <c r="A7919" s="16" t="s">
        <v>87</v>
      </c>
      <c r="E7919" s="16" t="str">
        <f>IFERROR(__xludf.DUMMYFUNCTION("""COMPUTED_VALUE"""),"")</f>
        <v/>
      </c>
      <c r="G7919" s="18"/>
      <c r="H7919" s="16" t="s">
        <v>87</v>
      </c>
      <c r="I7919" s="16" t="s">
        <v>87</v>
      </c>
      <c r="J7919" s="19"/>
      <c r="L7919" s="16" t="str">
        <f>IFERROR(__xludf.DUMMYFUNCTION("""COMPUTED_VALUE"""),"")</f>
        <v/>
      </c>
      <c r="M7919" s="16" t="str">
        <f>IFERROR(__xludf.DUMMYFUNCTION("""COMPUTED_VALUE"""),"")</f>
        <v/>
      </c>
      <c r="U7919" s="16" t="s">
        <v>87</v>
      </c>
      <c r="V7919" s="16" t="str">
        <f>IFERROR(__xludf.DUMMYFUNCTION("""COMPUTED_VALUE"""),"")</f>
        <v/>
      </c>
      <c r="W7919" s="16" t="str">
        <f>IFERROR(__xludf.DUMMYFUNCTION("""COMPUTED_VALUE"""),"")</f>
        <v/>
      </c>
      <c r="X7919" s="16" t="str">
        <f>IFERROR(__xludf.DUMMYFUNCTION("""COMPUTED_VALUE"""),"")</f>
        <v/>
      </c>
      <c r="AC7919" s="16" t="str">
        <f>IFERROR(__xludf.DUMMYFUNCTION("""COMPUTED_VALUE"""),"")</f>
        <v/>
      </c>
    </row>
    <row r="7920">
      <c r="A7920" s="16" t="s">
        <v>87</v>
      </c>
      <c r="E7920" s="16" t="str">
        <f>IFERROR(__xludf.DUMMYFUNCTION("""COMPUTED_VALUE"""),"")</f>
        <v/>
      </c>
      <c r="G7920" s="18"/>
      <c r="H7920" s="16" t="s">
        <v>87</v>
      </c>
      <c r="I7920" s="16" t="s">
        <v>87</v>
      </c>
      <c r="J7920" s="19"/>
      <c r="L7920" s="16" t="str">
        <f>IFERROR(__xludf.DUMMYFUNCTION("""COMPUTED_VALUE"""),"")</f>
        <v/>
      </c>
      <c r="M7920" s="16" t="str">
        <f>IFERROR(__xludf.DUMMYFUNCTION("""COMPUTED_VALUE"""),"")</f>
        <v/>
      </c>
      <c r="U7920" s="16" t="s">
        <v>87</v>
      </c>
      <c r="V7920" s="16" t="str">
        <f>IFERROR(__xludf.DUMMYFUNCTION("""COMPUTED_VALUE"""),"")</f>
        <v/>
      </c>
      <c r="W7920" s="16" t="str">
        <f>IFERROR(__xludf.DUMMYFUNCTION("""COMPUTED_VALUE"""),"")</f>
        <v/>
      </c>
      <c r="X7920" s="16" t="str">
        <f>IFERROR(__xludf.DUMMYFUNCTION("""COMPUTED_VALUE"""),"")</f>
        <v/>
      </c>
      <c r="AC7920" s="16" t="str">
        <f>IFERROR(__xludf.DUMMYFUNCTION("""COMPUTED_VALUE"""),"")</f>
        <v/>
      </c>
    </row>
    <row r="7921">
      <c r="A7921" s="16" t="s">
        <v>87</v>
      </c>
      <c r="E7921" s="16" t="str">
        <f>IFERROR(__xludf.DUMMYFUNCTION("""COMPUTED_VALUE"""),"")</f>
        <v/>
      </c>
      <c r="G7921" s="18"/>
      <c r="H7921" s="16" t="s">
        <v>87</v>
      </c>
      <c r="I7921" s="16" t="s">
        <v>87</v>
      </c>
      <c r="J7921" s="19"/>
      <c r="L7921" s="16" t="str">
        <f>IFERROR(__xludf.DUMMYFUNCTION("""COMPUTED_VALUE"""),"")</f>
        <v/>
      </c>
      <c r="M7921" s="16" t="str">
        <f>IFERROR(__xludf.DUMMYFUNCTION("""COMPUTED_VALUE"""),"")</f>
        <v/>
      </c>
      <c r="U7921" s="16" t="s">
        <v>87</v>
      </c>
      <c r="V7921" s="16" t="str">
        <f>IFERROR(__xludf.DUMMYFUNCTION("""COMPUTED_VALUE"""),"")</f>
        <v/>
      </c>
      <c r="W7921" s="16" t="str">
        <f>IFERROR(__xludf.DUMMYFUNCTION("""COMPUTED_VALUE"""),"")</f>
        <v/>
      </c>
      <c r="X7921" s="16" t="str">
        <f>IFERROR(__xludf.DUMMYFUNCTION("""COMPUTED_VALUE"""),"")</f>
        <v/>
      </c>
      <c r="AC7921" s="16" t="str">
        <f>IFERROR(__xludf.DUMMYFUNCTION("""COMPUTED_VALUE"""),"")</f>
        <v/>
      </c>
    </row>
    <row r="7922">
      <c r="A7922" s="16" t="s">
        <v>87</v>
      </c>
      <c r="E7922" s="16" t="str">
        <f>IFERROR(__xludf.DUMMYFUNCTION("""COMPUTED_VALUE"""),"")</f>
        <v/>
      </c>
      <c r="G7922" s="18"/>
      <c r="H7922" s="16" t="s">
        <v>87</v>
      </c>
      <c r="I7922" s="16" t="s">
        <v>87</v>
      </c>
      <c r="J7922" s="19"/>
      <c r="L7922" s="16" t="str">
        <f>IFERROR(__xludf.DUMMYFUNCTION("""COMPUTED_VALUE"""),"")</f>
        <v/>
      </c>
      <c r="M7922" s="16" t="str">
        <f>IFERROR(__xludf.DUMMYFUNCTION("""COMPUTED_VALUE"""),"")</f>
        <v/>
      </c>
      <c r="U7922" s="16" t="s">
        <v>87</v>
      </c>
      <c r="V7922" s="16" t="str">
        <f>IFERROR(__xludf.DUMMYFUNCTION("""COMPUTED_VALUE"""),"")</f>
        <v/>
      </c>
      <c r="W7922" s="16" t="str">
        <f>IFERROR(__xludf.DUMMYFUNCTION("""COMPUTED_VALUE"""),"")</f>
        <v/>
      </c>
      <c r="X7922" s="16" t="str">
        <f>IFERROR(__xludf.DUMMYFUNCTION("""COMPUTED_VALUE"""),"")</f>
        <v/>
      </c>
      <c r="AC7922" s="16" t="str">
        <f>IFERROR(__xludf.DUMMYFUNCTION("""COMPUTED_VALUE"""),"")</f>
        <v/>
      </c>
    </row>
    <row r="7923">
      <c r="A7923" s="16" t="s">
        <v>87</v>
      </c>
      <c r="E7923" s="16" t="str">
        <f>IFERROR(__xludf.DUMMYFUNCTION("""COMPUTED_VALUE"""),"")</f>
        <v/>
      </c>
      <c r="G7923" s="18"/>
      <c r="H7923" s="16" t="s">
        <v>87</v>
      </c>
      <c r="I7923" s="16" t="s">
        <v>87</v>
      </c>
      <c r="J7923" s="19"/>
      <c r="L7923" s="16" t="str">
        <f>IFERROR(__xludf.DUMMYFUNCTION("""COMPUTED_VALUE"""),"")</f>
        <v/>
      </c>
      <c r="M7923" s="16" t="str">
        <f>IFERROR(__xludf.DUMMYFUNCTION("""COMPUTED_VALUE"""),"")</f>
        <v/>
      </c>
      <c r="U7923" s="16" t="s">
        <v>87</v>
      </c>
      <c r="V7923" s="16" t="str">
        <f>IFERROR(__xludf.DUMMYFUNCTION("""COMPUTED_VALUE"""),"")</f>
        <v/>
      </c>
      <c r="W7923" s="16" t="str">
        <f>IFERROR(__xludf.DUMMYFUNCTION("""COMPUTED_VALUE"""),"")</f>
        <v/>
      </c>
      <c r="X7923" s="16" t="str">
        <f>IFERROR(__xludf.DUMMYFUNCTION("""COMPUTED_VALUE"""),"")</f>
        <v/>
      </c>
      <c r="AC7923" s="16" t="str">
        <f>IFERROR(__xludf.DUMMYFUNCTION("""COMPUTED_VALUE"""),"")</f>
        <v/>
      </c>
    </row>
    <row r="7924">
      <c r="A7924" s="16" t="s">
        <v>87</v>
      </c>
      <c r="E7924" s="16" t="str">
        <f>IFERROR(__xludf.DUMMYFUNCTION("""COMPUTED_VALUE"""),"")</f>
        <v/>
      </c>
      <c r="G7924" s="18"/>
      <c r="H7924" s="16" t="s">
        <v>87</v>
      </c>
      <c r="I7924" s="16" t="s">
        <v>87</v>
      </c>
      <c r="J7924" s="19"/>
      <c r="L7924" s="16" t="str">
        <f>IFERROR(__xludf.DUMMYFUNCTION("""COMPUTED_VALUE"""),"")</f>
        <v/>
      </c>
      <c r="M7924" s="16" t="str">
        <f>IFERROR(__xludf.DUMMYFUNCTION("""COMPUTED_VALUE"""),"")</f>
        <v/>
      </c>
      <c r="U7924" s="16" t="s">
        <v>87</v>
      </c>
      <c r="V7924" s="16" t="str">
        <f>IFERROR(__xludf.DUMMYFUNCTION("""COMPUTED_VALUE"""),"")</f>
        <v/>
      </c>
      <c r="W7924" s="16" t="str">
        <f>IFERROR(__xludf.DUMMYFUNCTION("""COMPUTED_VALUE"""),"")</f>
        <v/>
      </c>
      <c r="X7924" s="16" t="str">
        <f>IFERROR(__xludf.DUMMYFUNCTION("""COMPUTED_VALUE"""),"")</f>
        <v/>
      </c>
      <c r="AC7924" s="16" t="str">
        <f>IFERROR(__xludf.DUMMYFUNCTION("""COMPUTED_VALUE"""),"")</f>
        <v/>
      </c>
    </row>
    <row r="7925">
      <c r="A7925" s="16" t="s">
        <v>87</v>
      </c>
      <c r="E7925" s="16" t="str">
        <f>IFERROR(__xludf.DUMMYFUNCTION("""COMPUTED_VALUE"""),"")</f>
        <v/>
      </c>
      <c r="G7925" s="18"/>
      <c r="H7925" s="16" t="s">
        <v>87</v>
      </c>
      <c r="I7925" s="16" t="s">
        <v>87</v>
      </c>
      <c r="J7925" s="19"/>
      <c r="L7925" s="16" t="str">
        <f>IFERROR(__xludf.DUMMYFUNCTION("""COMPUTED_VALUE"""),"")</f>
        <v/>
      </c>
      <c r="M7925" s="16" t="str">
        <f>IFERROR(__xludf.DUMMYFUNCTION("""COMPUTED_VALUE"""),"")</f>
        <v/>
      </c>
      <c r="U7925" s="16" t="s">
        <v>87</v>
      </c>
      <c r="V7925" s="16" t="str">
        <f>IFERROR(__xludf.DUMMYFUNCTION("""COMPUTED_VALUE"""),"")</f>
        <v/>
      </c>
      <c r="W7925" s="16" t="str">
        <f>IFERROR(__xludf.DUMMYFUNCTION("""COMPUTED_VALUE"""),"")</f>
        <v/>
      </c>
      <c r="X7925" s="16" t="str">
        <f>IFERROR(__xludf.DUMMYFUNCTION("""COMPUTED_VALUE"""),"")</f>
        <v/>
      </c>
      <c r="AC7925" s="16" t="str">
        <f>IFERROR(__xludf.DUMMYFUNCTION("""COMPUTED_VALUE"""),"")</f>
        <v/>
      </c>
    </row>
    <row r="7926">
      <c r="A7926" s="16" t="s">
        <v>87</v>
      </c>
      <c r="E7926" s="16" t="str">
        <f>IFERROR(__xludf.DUMMYFUNCTION("""COMPUTED_VALUE"""),"")</f>
        <v/>
      </c>
      <c r="G7926" s="18"/>
      <c r="H7926" s="16" t="s">
        <v>87</v>
      </c>
      <c r="I7926" s="16" t="s">
        <v>87</v>
      </c>
      <c r="J7926" s="19"/>
      <c r="L7926" s="16" t="str">
        <f>IFERROR(__xludf.DUMMYFUNCTION("""COMPUTED_VALUE"""),"")</f>
        <v/>
      </c>
      <c r="M7926" s="16" t="str">
        <f>IFERROR(__xludf.DUMMYFUNCTION("""COMPUTED_VALUE"""),"")</f>
        <v/>
      </c>
      <c r="U7926" s="16" t="s">
        <v>87</v>
      </c>
      <c r="V7926" s="16" t="str">
        <f>IFERROR(__xludf.DUMMYFUNCTION("""COMPUTED_VALUE"""),"")</f>
        <v/>
      </c>
      <c r="W7926" s="16" t="str">
        <f>IFERROR(__xludf.DUMMYFUNCTION("""COMPUTED_VALUE"""),"")</f>
        <v/>
      </c>
      <c r="X7926" s="16" t="str">
        <f>IFERROR(__xludf.DUMMYFUNCTION("""COMPUTED_VALUE"""),"")</f>
        <v/>
      </c>
      <c r="AC7926" s="16" t="str">
        <f>IFERROR(__xludf.DUMMYFUNCTION("""COMPUTED_VALUE"""),"")</f>
        <v/>
      </c>
    </row>
    <row r="7927">
      <c r="A7927" s="16" t="s">
        <v>87</v>
      </c>
      <c r="E7927" s="16" t="str">
        <f>IFERROR(__xludf.DUMMYFUNCTION("""COMPUTED_VALUE"""),"")</f>
        <v/>
      </c>
      <c r="G7927" s="18"/>
      <c r="H7927" s="16" t="s">
        <v>87</v>
      </c>
      <c r="I7927" s="16" t="s">
        <v>87</v>
      </c>
      <c r="J7927" s="19"/>
      <c r="L7927" s="16" t="str">
        <f>IFERROR(__xludf.DUMMYFUNCTION("""COMPUTED_VALUE"""),"")</f>
        <v/>
      </c>
      <c r="M7927" s="16" t="str">
        <f>IFERROR(__xludf.DUMMYFUNCTION("""COMPUTED_VALUE"""),"")</f>
        <v/>
      </c>
      <c r="U7927" s="16" t="s">
        <v>87</v>
      </c>
      <c r="V7927" s="16" t="str">
        <f>IFERROR(__xludf.DUMMYFUNCTION("""COMPUTED_VALUE"""),"")</f>
        <v/>
      </c>
      <c r="W7927" s="16" t="str">
        <f>IFERROR(__xludf.DUMMYFUNCTION("""COMPUTED_VALUE"""),"")</f>
        <v/>
      </c>
      <c r="X7927" s="16" t="str">
        <f>IFERROR(__xludf.DUMMYFUNCTION("""COMPUTED_VALUE"""),"")</f>
        <v/>
      </c>
      <c r="AC7927" s="16" t="str">
        <f>IFERROR(__xludf.DUMMYFUNCTION("""COMPUTED_VALUE"""),"")</f>
        <v/>
      </c>
    </row>
    <row r="7928">
      <c r="A7928" s="16" t="s">
        <v>87</v>
      </c>
      <c r="E7928" s="16" t="str">
        <f>IFERROR(__xludf.DUMMYFUNCTION("""COMPUTED_VALUE"""),"")</f>
        <v/>
      </c>
      <c r="G7928" s="18"/>
      <c r="H7928" s="16" t="s">
        <v>87</v>
      </c>
      <c r="I7928" s="16" t="s">
        <v>87</v>
      </c>
      <c r="J7928" s="19"/>
      <c r="L7928" s="16" t="str">
        <f>IFERROR(__xludf.DUMMYFUNCTION("""COMPUTED_VALUE"""),"")</f>
        <v/>
      </c>
      <c r="M7928" s="16" t="str">
        <f>IFERROR(__xludf.DUMMYFUNCTION("""COMPUTED_VALUE"""),"")</f>
        <v/>
      </c>
      <c r="U7928" s="16" t="s">
        <v>87</v>
      </c>
      <c r="V7928" s="16" t="str">
        <f>IFERROR(__xludf.DUMMYFUNCTION("""COMPUTED_VALUE"""),"")</f>
        <v/>
      </c>
      <c r="W7928" s="16" t="str">
        <f>IFERROR(__xludf.DUMMYFUNCTION("""COMPUTED_VALUE"""),"")</f>
        <v/>
      </c>
      <c r="X7928" s="16" t="str">
        <f>IFERROR(__xludf.DUMMYFUNCTION("""COMPUTED_VALUE"""),"")</f>
        <v/>
      </c>
      <c r="AC7928" s="16" t="str">
        <f>IFERROR(__xludf.DUMMYFUNCTION("""COMPUTED_VALUE"""),"")</f>
        <v/>
      </c>
    </row>
    <row r="7929">
      <c r="A7929" s="16" t="s">
        <v>87</v>
      </c>
      <c r="E7929" s="16" t="str">
        <f>IFERROR(__xludf.DUMMYFUNCTION("""COMPUTED_VALUE"""),"")</f>
        <v/>
      </c>
      <c r="G7929" s="18"/>
      <c r="H7929" s="16" t="s">
        <v>87</v>
      </c>
      <c r="I7929" s="16" t="s">
        <v>87</v>
      </c>
      <c r="J7929" s="19"/>
      <c r="L7929" s="16" t="str">
        <f>IFERROR(__xludf.DUMMYFUNCTION("""COMPUTED_VALUE"""),"")</f>
        <v/>
      </c>
      <c r="M7929" s="16" t="str">
        <f>IFERROR(__xludf.DUMMYFUNCTION("""COMPUTED_VALUE"""),"")</f>
        <v/>
      </c>
      <c r="U7929" s="16" t="s">
        <v>87</v>
      </c>
      <c r="V7929" s="16" t="str">
        <f>IFERROR(__xludf.DUMMYFUNCTION("""COMPUTED_VALUE"""),"")</f>
        <v/>
      </c>
      <c r="W7929" s="16" t="str">
        <f>IFERROR(__xludf.DUMMYFUNCTION("""COMPUTED_VALUE"""),"")</f>
        <v/>
      </c>
      <c r="X7929" s="16" t="str">
        <f>IFERROR(__xludf.DUMMYFUNCTION("""COMPUTED_VALUE"""),"")</f>
        <v/>
      </c>
      <c r="AC7929" s="16" t="str">
        <f>IFERROR(__xludf.DUMMYFUNCTION("""COMPUTED_VALUE"""),"")</f>
        <v/>
      </c>
    </row>
    <row r="7930">
      <c r="A7930" s="16" t="s">
        <v>87</v>
      </c>
      <c r="E7930" s="16" t="str">
        <f>IFERROR(__xludf.DUMMYFUNCTION("""COMPUTED_VALUE"""),"")</f>
        <v/>
      </c>
      <c r="G7930" s="18"/>
      <c r="H7930" s="16" t="s">
        <v>87</v>
      </c>
      <c r="I7930" s="16" t="s">
        <v>87</v>
      </c>
      <c r="J7930" s="19"/>
      <c r="L7930" s="16" t="str">
        <f>IFERROR(__xludf.DUMMYFUNCTION("""COMPUTED_VALUE"""),"")</f>
        <v/>
      </c>
      <c r="M7930" s="16" t="str">
        <f>IFERROR(__xludf.DUMMYFUNCTION("""COMPUTED_VALUE"""),"")</f>
        <v/>
      </c>
      <c r="U7930" s="16" t="s">
        <v>87</v>
      </c>
      <c r="V7930" s="16" t="str">
        <f>IFERROR(__xludf.DUMMYFUNCTION("""COMPUTED_VALUE"""),"")</f>
        <v/>
      </c>
      <c r="W7930" s="16" t="str">
        <f>IFERROR(__xludf.DUMMYFUNCTION("""COMPUTED_VALUE"""),"")</f>
        <v/>
      </c>
      <c r="X7930" s="16" t="str">
        <f>IFERROR(__xludf.DUMMYFUNCTION("""COMPUTED_VALUE"""),"")</f>
        <v/>
      </c>
      <c r="AC7930" s="16" t="str">
        <f>IFERROR(__xludf.DUMMYFUNCTION("""COMPUTED_VALUE"""),"")</f>
        <v/>
      </c>
    </row>
    <row r="7931">
      <c r="A7931" s="16" t="s">
        <v>87</v>
      </c>
      <c r="E7931" s="16" t="str">
        <f>IFERROR(__xludf.DUMMYFUNCTION("""COMPUTED_VALUE"""),"")</f>
        <v/>
      </c>
      <c r="G7931" s="18"/>
      <c r="H7931" s="16" t="s">
        <v>87</v>
      </c>
      <c r="I7931" s="16" t="s">
        <v>87</v>
      </c>
      <c r="J7931" s="19"/>
      <c r="L7931" s="16" t="str">
        <f>IFERROR(__xludf.DUMMYFUNCTION("""COMPUTED_VALUE"""),"")</f>
        <v/>
      </c>
      <c r="M7931" s="16" t="str">
        <f>IFERROR(__xludf.DUMMYFUNCTION("""COMPUTED_VALUE"""),"")</f>
        <v/>
      </c>
      <c r="U7931" s="16" t="s">
        <v>87</v>
      </c>
      <c r="V7931" s="16" t="str">
        <f>IFERROR(__xludf.DUMMYFUNCTION("""COMPUTED_VALUE"""),"")</f>
        <v/>
      </c>
      <c r="W7931" s="16" t="str">
        <f>IFERROR(__xludf.DUMMYFUNCTION("""COMPUTED_VALUE"""),"")</f>
        <v/>
      </c>
      <c r="X7931" s="16" t="str">
        <f>IFERROR(__xludf.DUMMYFUNCTION("""COMPUTED_VALUE"""),"")</f>
        <v/>
      </c>
      <c r="AC7931" s="16" t="str">
        <f>IFERROR(__xludf.DUMMYFUNCTION("""COMPUTED_VALUE"""),"")</f>
        <v/>
      </c>
    </row>
    <row r="7932">
      <c r="A7932" s="16" t="s">
        <v>87</v>
      </c>
      <c r="E7932" s="16" t="str">
        <f>IFERROR(__xludf.DUMMYFUNCTION("""COMPUTED_VALUE"""),"")</f>
        <v/>
      </c>
      <c r="G7932" s="18"/>
      <c r="H7932" s="16" t="s">
        <v>87</v>
      </c>
      <c r="I7932" s="16" t="s">
        <v>87</v>
      </c>
      <c r="J7932" s="19"/>
      <c r="L7932" s="16" t="str">
        <f>IFERROR(__xludf.DUMMYFUNCTION("""COMPUTED_VALUE"""),"")</f>
        <v/>
      </c>
      <c r="M7932" s="16" t="str">
        <f>IFERROR(__xludf.DUMMYFUNCTION("""COMPUTED_VALUE"""),"")</f>
        <v/>
      </c>
      <c r="U7932" s="16" t="s">
        <v>87</v>
      </c>
      <c r="V7932" s="16" t="str">
        <f>IFERROR(__xludf.DUMMYFUNCTION("""COMPUTED_VALUE"""),"")</f>
        <v/>
      </c>
      <c r="W7932" s="16" t="str">
        <f>IFERROR(__xludf.DUMMYFUNCTION("""COMPUTED_VALUE"""),"")</f>
        <v/>
      </c>
      <c r="X7932" s="16" t="str">
        <f>IFERROR(__xludf.DUMMYFUNCTION("""COMPUTED_VALUE"""),"")</f>
        <v/>
      </c>
      <c r="AC7932" s="16" t="str">
        <f>IFERROR(__xludf.DUMMYFUNCTION("""COMPUTED_VALUE"""),"")</f>
        <v/>
      </c>
    </row>
    <row r="7933">
      <c r="A7933" s="16" t="s">
        <v>87</v>
      </c>
      <c r="E7933" s="16" t="str">
        <f>IFERROR(__xludf.DUMMYFUNCTION("""COMPUTED_VALUE"""),"")</f>
        <v/>
      </c>
      <c r="G7933" s="18"/>
      <c r="H7933" s="16" t="s">
        <v>87</v>
      </c>
      <c r="I7933" s="16" t="s">
        <v>87</v>
      </c>
      <c r="J7933" s="19"/>
      <c r="L7933" s="16" t="str">
        <f>IFERROR(__xludf.DUMMYFUNCTION("""COMPUTED_VALUE"""),"")</f>
        <v/>
      </c>
      <c r="M7933" s="16" t="str">
        <f>IFERROR(__xludf.DUMMYFUNCTION("""COMPUTED_VALUE"""),"")</f>
        <v/>
      </c>
      <c r="U7933" s="16" t="s">
        <v>87</v>
      </c>
      <c r="V7933" s="16" t="str">
        <f>IFERROR(__xludf.DUMMYFUNCTION("""COMPUTED_VALUE"""),"")</f>
        <v/>
      </c>
      <c r="W7933" s="16" t="str">
        <f>IFERROR(__xludf.DUMMYFUNCTION("""COMPUTED_VALUE"""),"")</f>
        <v/>
      </c>
      <c r="X7933" s="16" t="str">
        <f>IFERROR(__xludf.DUMMYFUNCTION("""COMPUTED_VALUE"""),"")</f>
        <v/>
      </c>
      <c r="AC7933" s="16" t="str">
        <f>IFERROR(__xludf.DUMMYFUNCTION("""COMPUTED_VALUE"""),"")</f>
        <v/>
      </c>
    </row>
    <row r="7934">
      <c r="A7934" s="16" t="s">
        <v>87</v>
      </c>
      <c r="E7934" s="16" t="str">
        <f>IFERROR(__xludf.DUMMYFUNCTION("""COMPUTED_VALUE"""),"")</f>
        <v/>
      </c>
      <c r="G7934" s="18"/>
      <c r="H7934" s="16" t="s">
        <v>87</v>
      </c>
      <c r="I7934" s="16" t="s">
        <v>87</v>
      </c>
      <c r="J7934" s="19"/>
      <c r="L7934" s="16" t="str">
        <f>IFERROR(__xludf.DUMMYFUNCTION("""COMPUTED_VALUE"""),"")</f>
        <v/>
      </c>
      <c r="M7934" s="16" t="str">
        <f>IFERROR(__xludf.DUMMYFUNCTION("""COMPUTED_VALUE"""),"")</f>
        <v/>
      </c>
      <c r="U7934" s="16" t="s">
        <v>87</v>
      </c>
      <c r="V7934" s="16" t="str">
        <f>IFERROR(__xludf.DUMMYFUNCTION("""COMPUTED_VALUE"""),"")</f>
        <v/>
      </c>
      <c r="W7934" s="16" t="str">
        <f>IFERROR(__xludf.DUMMYFUNCTION("""COMPUTED_VALUE"""),"")</f>
        <v/>
      </c>
      <c r="X7934" s="16" t="str">
        <f>IFERROR(__xludf.DUMMYFUNCTION("""COMPUTED_VALUE"""),"")</f>
        <v/>
      </c>
      <c r="AC7934" s="16" t="str">
        <f>IFERROR(__xludf.DUMMYFUNCTION("""COMPUTED_VALUE"""),"")</f>
        <v/>
      </c>
    </row>
    <row r="7935">
      <c r="A7935" s="16" t="s">
        <v>87</v>
      </c>
      <c r="E7935" s="16" t="str">
        <f>IFERROR(__xludf.DUMMYFUNCTION("""COMPUTED_VALUE"""),"")</f>
        <v/>
      </c>
      <c r="G7935" s="18"/>
      <c r="H7935" s="16" t="s">
        <v>87</v>
      </c>
      <c r="I7935" s="16" t="s">
        <v>87</v>
      </c>
      <c r="J7935" s="19"/>
      <c r="L7935" s="16" t="str">
        <f>IFERROR(__xludf.DUMMYFUNCTION("""COMPUTED_VALUE"""),"")</f>
        <v/>
      </c>
      <c r="M7935" s="16" t="str">
        <f>IFERROR(__xludf.DUMMYFUNCTION("""COMPUTED_VALUE"""),"")</f>
        <v/>
      </c>
      <c r="U7935" s="16" t="s">
        <v>87</v>
      </c>
      <c r="V7935" s="16" t="str">
        <f>IFERROR(__xludf.DUMMYFUNCTION("""COMPUTED_VALUE"""),"")</f>
        <v/>
      </c>
      <c r="W7935" s="16" t="str">
        <f>IFERROR(__xludf.DUMMYFUNCTION("""COMPUTED_VALUE"""),"")</f>
        <v/>
      </c>
      <c r="X7935" s="16" t="str">
        <f>IFERROR(__xludf.DUMMYFUNCTION("""COMPUTED_VALUE"""),"")</f>
        <v/>
      </c>
      <c r="AC7935" s="16" t="str">
        <f>IFERROR(__xludf.DUMMYFUNCTION("""COMPUTED_VALUE"""),"")</f>
        <v/>
      </c>
    </row>
    <row r="7936">
      <c r="A7936" s="16" t="s">
        <v>87</v>
      </c>
      <c r="E7936" s="16" t="str">
        <f>IFERROR(__xludf.DUMMYFUNCTION("""COMPUTED_VALUE"""),"")</f>
        <v/>
      </c>
      <c r="G7936" s="18"/>
      <c r="H7936" s="16" t="s">
        <v>87</v>
      </c>
      <c r="I7936" s="16" t="s">
        <v>87</v>
      </c>
      <c r="J7936" s="19"/>
      <c r="L7936" s="16" t="str">
        <f>IFERROR(__xludf.DUMMYFUNCTION("""COMPUTED_VALUE"""),"")</f>
        <v/>
      </c>
      <c r="M7936" s="16" t="str">
        <f>IFERROR(__xludf.DUMMYFUNCTION("""COMPUTED_VALUE"""),"")</f>
        <v/>
      </c>
      <c r="U7936" s="16" t="s">
        <v>87</v>
      </c>
      <c r="V7936" s="16" t="str">
        <f>IFERROR(__xludf.DUMMYFUNCTION("""COMPUTED_VALUE"""),"")</f>
        <v/>
      </c>
      <c r="W7936" s="16" t="str">
        <f>IFERROR(__xludf.DUMMYFUNCTION("""COMPUTED_VALUE"""),"")</f>
        <v/>
      </c>
      <c r="X7936" s="16" t="str">
        <f>IFERROR(__xludf.DUMMYFUNCTION("""COMPUTED_VALUE"""),"")</f>
        <v/>
      </c>
      <c r="AC7936" s="16" t="str">
        <f>IFERROR(__xludf.DUMMYFUNCTION("""COMPUTED_VALUE"""),"")</f>
        <v/>
      </c>
    </row>
    <row r="7937">
      <c r="A7937" s="16" t="s">
        <v>87</v>
      </c>
      <c r="E7937" s="16" t="str">
        <f>IFERROR(__xludf.DUMMYFUNCTION("""COMPUTED_VALUE"""),"")</f>
        <v/>
      </c>
      <c r="G7937" s="18"/>
      <c r="H7937" s="16" t="s">
        <v>87</v>
      </c>
      <c r="I7937" s="16" t="s">
        <v>87</v>
      </c>
      <c r="J7937" s="19"/>
      <c r="L7937" s="16" t="str">
        <f>IFERROR(__xludf.DUMMYFUNCTION("""COMPUTED_VALUE"""),"")</f>
        <v/>
      </c>
      <c r="M7937" s="16" t="str">
        <f>IFERROR(__xludf.DUMMYFUNCTION("""COMPUTED_VALUE"""),"")</f>
        <v/>
      </c>
      <c r="U7937" s="16" t="s">
        <v>87</v>
      </c>
      <c r="V7937" s="16" t="str">
        <f>IFERROR(__xludf.DUMMYFUNCTION("""COMPUTED_VALUE"""),"")</f>
        <v/>
      </c>
      <c r="W7937" s="16" t="str">
        <f>IFERROR(__xludf.DUMMYFUNCTION("""COMPUTED_VALUE"""),"")</f>
        <v/>
      </c>
      <c r="X7937" s="16" t="str">
        <f>IFERROR(__xludf.DUMMYFUNCTION("""COMPUTED_VALUE"""),"")</f>
        <v/>
      </c>
      <c r="AC7937" s="16" t="str">
        <f>IFERROR(__xludf.DUMMYFUNCTION("""COMPUTED_VALUE"""),"")</f>
        <v/>
      </c>
    </row>
    <row r="7938">
      <c r="A7938" s="16" t="s">
        <v>87</v>
      </c>
      <c r="E7938" s="16" t="str">
        <f>IFERROR(__xludf.DUMMYFUNCTION("""COMPUTED_VALUE"""),"")</f>
        <v/>
      </c>
      <c r="G7938" s="18"/>
      <c r="H7938" s="16" t="s">
        <v>87</v>
      </c>
      <c r="I7938" s="16" t="s">
        <v>87</v>
      </c>
      <c r="J7938" s="19"/>
      <c r="L7938" s="16" t="str">
        <f>IFERROR(__xludf.DUMMYFUNCTION("""COMPUTED_VALUE"""),"")</f>
        <v/>
      </c>
      <c r="M7938" s="16" t="str">
        <f>IFERROR(__xludf.DUMMYFUNCTION("""COMPUTED_VALUE"""),"")</f>
        <v/>
      </c>
      <c r="U7938" s="16" t="s">
        <v>87</v>
      </c>
      <c r="V7938" s="16" t="str">
        <f>IFERROR(__xludf.DUMMYFUNCTION("""COMPUTED_VALUE"""),"")</f>
        <v/>
      </c>
      <c r="W7938" s="16" t="str">
        <f>IFERROR(__xludf.DUMMYFUNCTION("""COMPUTED_VALUE"""),"")</f>
        <v/>
      </c>
      <c r="X7938" s="16" t="str">
        <f>IFERROR(__xludf.DUMMYFUNCTION("""COMPUTED_VALUE"""),"")</f>
        <v/>
      </c>
      <c r="AC7938" s="16" t="str">
        <f>IFERROR(__xludf.DUMMYFUNCTION("""COMPUTED_VALUE"""),"")</f>
        <v/>
      </c>
    </row>
    <row r="7939">
      <c r="A7939" s="16" t="s">
        <v>87</v>
      </c>
      <c r="E7939" s="16" t="str">
        <f>IFERROR(__xludf.DUMMYFUNCTION("""COMPUTED_VALUE"""),"")</f>
        <v/>
      </c>
      <c r="G7939" s="18"/>
      <c r="H7939" s="16" t="s">
        <v>87</v>
      </c>
      <c r="I7939" s="16" t="s">
        <v>87</v>
      </c>
      <c r="J7939" s="19"/>
      <c r="L7939" s="16" t="str">
        <f>IFERROR(__xludf.DUMMYFUNCTION("""COMPUTED_VALUE"""),"")</f>
        <v/>
      </c>
      <c r="M7939" s="16" t="str">
        <f>IFERROR(__xludf.DUMMYFUNCTION("""COMPUTED_VALUE"""),"")</f>
        <v/>
      </c>
      <c r="U7939" s="16" t="s">
        <v>87</v>
      </c>
      <c r="V7939" s="16" t="str">
        <f>IFERROR(__xludf.DUMMYFUNCTION("""COMPUTED_VALUE"""),"")</f>
        <v/>
      </c>
      <c r="W7939" s="16" t="str">
        <f>IFERROR(__xludf.DUMMYFUNCTION("""COMPUTED_VALUE"""),"")</f>
        <v/>
      </c>
      <c r="X7939" s="16" t="str">
        <f>IFERROR(__xludf.DUMMYFUNCTION("""COMPUTED_VALUE"""),"")</f>
        <v/>
      </c>
      <c r="AC7939" s="16" t="str">
        <f>IFERROR(__xludf.DUMMYFUNCTION("""COMPUTED_VALUE"""),"")</f>
        <v/>
      </c>
    </row>
    <row r="7940">
      <c r="A7940" s="16" t="s">
        <v>87</v>
      </c>
      <c r="E7940" s="16" t="str">
        <f>IFERROR(__xludf.DUMMYFUNCTION("""COMPUTED_VALUE"""),"")</f>
        <v/>
      </c>
      <c r="G7940" s="18"/>
      <c r="H7940" s="16" t="s">
        <v>87</v>
      </c>
      <c r="I7940" s="16" t="s">
        <v>87</v>
      </c>
      <c r="J7940" s="19"/>
      <c r="L7940" s="16" t="str">
        <f>IFERROR(__xludf.DUMMYFUNCTION("""COMPUTED_VALUE"""),"")</f>
        <v/>
      </c>
      <c r="M7940" s="16" t="str">
        <f>IFERROR(__xludf.DUMMYFUNCTION("""COMPUTED_VALUE"""),"")</f>
        <v/>
      </c>
      <c r="U7940" s="16" t="s">
        <v>87</v>
      </c>
      <c r="V7940" s="16" t="str">
        <f>IFERROR(__xludf.DUMMYFUNCTION("""COMPUTED_VALUE"""),"")</f>
        <v/>
      </c>
      <c r="W7940" s="16" t="str">
        <f>IFERROR(__xludf.DUMMYFUNCTION("""COMPUTED_VALUE"""),"")</f>
        <v/>
      </c>
      <c r="X7940" s="16" t="str">
        <f>IFERROR(__xludf.DUMMYFUNCTION("""COMPUTED_VALUE"""),"")</f>
        <v/>
      </c>
      <c r="AC7940" s="16" t="str">
        <f>IFERROR(__xludf.DUMMYFUNCTION("""COMPUTED_VALUE"""),"")</f>
        <v/>
      </c>
    </row>
    <row r="7941">
      <c r="A7941" s="16" t="s">
        <v>87</v>
      </c>
      <c r="E7941" s="16" t="str">
        <f>IFERROR(__xludf.DUMMYFUNCTION("""COMPUTED_VALUE"""),"")</f>
        <v/>
      </c>
      <c r="G7941" s="18"/>
      <c r="H7941" s="16" t="s">
        <v>87</v>
      </c>
      <c r="I7941" s="16" t="s">
        <v>87</v>
      </c>
      <c r="J7941" s="19"/>
      <c r="L7941" s="16" t="str">
        <f>IFERROR(__xludf.DUMMYFUNCTION("""COMPUTED_VALUE"""),"")</f>
        <v/>
      </c>
      <c r="M7941" s="16" t="str">
        <f>IFERROR(__xludf.DUMMYFUNCTION("""COMPUTED_VALUE"""),"")</f>
        <v/>
      </c>
      <c r="U7941" s="16" t="s">
        <v>87</v>
      </c>
      <c r="V7941" s="16" t="str">
        <f>IFERROR(__xludf.DUMMYFUNCTION("""COMPUTED_VALUE"""),"")</f>
        <v/>
      </c>
      <c r="W7941" s="16" t="str">
        <f>IFERROR(__xludf.DUMMYFUNCTION("""COMPUTED_VALUE"""),"")</f>
        <v/>
      </c>
      <c r="X7941" s="16" t="str">
        <f>IFERROR(__xludf.DUMMYFUNCTION("""COMPUTED_VALUE"""),"")</f>
        <v/>
      </c>
      <c r="AC7941" s="16" t="str">
        <f>IFERROR(__xludf.DUMMYFUNCTION("""COMPUTED_VALUE"""),"")</f>
        <v/>
      </c>
    </row>
    <row r="7942">
      <c r="A7942" s="16" t="s">
        <v>87</v>
      </c>
      <c r="E7942" s="16" t="str">
        <f>IFERROR(__xludf.DUMMYFUNCTION("""COMPUTED_VALUE"""),"")</f>
        <v/>
      </c>
      <c r="G7942" s="18"/>
      <c r="H7942" s="16" t="s">
        <v>87</v>
      </c>
      <c r="I7942" s="16" t="s">
        <v>87</v>
      </c>
      <c r="J7942" s="19"/>
      <c r="L7942" s="16" t="str">
        <f>IFERROR(__xludf.DUMMYFUNCTION("""COMPUTED_VALUE"""),"")</f>
        <v/>
      </c>
      <c r="M7942" s="16" t="str">
        <f>IFERROR(__xludf.DUMMYFUNCTION("""COMPUTED_VALUE"""),"")</f>
        <v/>
      </c>
      <c r="U7942" s="16" t="s">
        <v>87</v>
      </c>
      <c r="V7942" s="16" t="str">
        <f>IFERROR(__xludf.DUMMYFUNCTION("""COMPUTED_VALUE"""),"")</f>
        <v/>
      </c>
      <c r="W7942" s="16" t="str">
        <f>IFERROR(__xludf.DUMMYFUNCTION("""COMPUTED_VALUE"""),"")</f>
        <v/>
      </c>
      <c r="X7942" s="16" t="str">
        <f>IFERROR(__xludf.DUMMYFUNCTION("""COMPUTED_VALUE"""),"")</f>
        <v/>
      </c>
      <c r="AC7942" s="16" t="str">
        <f>IFERROR(__xludf.DUMMYFUNCTION("""COMPUTED_VALUE"""),"")</f>
        <v/>
      </c>
    </row>
    <row r="7943">
      <c r="A7943" s="16" t="s">
        <v>87</v>
      </c>
      <c r="E7943" s="16" t="str">
        <f>IFERROR(__xludf.DUMMYFUNCTION("""COMPUTED_VALUE"""),"")</f>
        <v/>
      </c>
      <c r="G7943" s="18"/>
      <c r="H7943" s="16" t="s">
        <v>87</v>
      </c>
      <c r="I7943" s="16" t="s">
        <v>87</v>
      </c>
      <c r="J7943" s="19"/>
      <c r="L7943" s="16" t="str">
        <f>IFERROR(__xludf.DUMMYFUNCTION("""COMPUTED_VALUE"""),"")</f>
        <v/>
      </c>
      <c r="M7943" s="16" t="str">
        <f>IFERROR(__xludf.DUMMYFUNCTION("""COMPUTED_VALUE"""),"")</f>
        <v/>
      </c>
      <c r="U7943" s="16" t="s">
        <v>87</v>
      </c>
      <c r="V7943" s="16" t="str">
        <f>IFERROR(__xludf.DUMMYFUNCTION("""COMPUTED_VALUE"""),"")</f>
        <v/>
      </c>
      <c r="W7943" s="16" t="str">
        <f>IFERROR(__xludf.DUMMYFUNCTION("""COMPUTED_VALUE"""),"")</f>
        <v/>
      </c>
      <c r="X7943" s="16" t="str">
        <f>IFERROR(__xludf.DUMMYFUNCTION("""COMPUTED_VALUE"""),"")</f>
        <v/>
      </c>
      <c r="AC7943" s="16" t="str">
        <f>IFERROR(__xludf.DUMMYFUNCTION("""COMPUTED_VALUE"""),"")</f>
        <v/>
      </c>
    </row>
    <row r="7944">
      <c r="A7944" s="16" t="s">
        <v>87</v>
      </c>
      <c r="E7944" s="16" t="str">
        <f>IFERROR(__xludf.DUMMYFUNCTION("""COMPUTED_VALUE"""),"")</f>
        <v/>
      </c>
      <c r="G7944" s="18"/>
      <c r="H7944" s="16" t="s">
        <v>87</v>
      </c>
      <c r="I7944" s="16" t="s">
        <v>87</v>
      </c>
      <c r="J7944" s="19"/>
      <c r="L7944" s="16" t="str">
        <f>IFERROR(__xludf.DUMMYFUNCTION("""COMPUTED_VALUE"""),"")</f>
        <v/>
      </c>
      <c r="M7944" s="16" t="str">
        <f>IFERROR(__xludf.DUMMYFUNCTION("""COMPUTED_VALUE"""),"")</f>
        <v/>
      </c>
      <c r="U7944" s="16" t="s">
        <v>87</v>
      </c>
      <c r="V7944" s="16" t="str">
        <f>IFERROR(__xludf.DUMMYFUNCTION("""COMPUTED_VALUE"""),"")</f>
        <v/>
      </c>
      <c r="W7944" s="16" t="str">
        <f>IFERROR(__xludf.DUMMYFUNCTION("""COMPUTED_VALUE"""),"")</f>
        <v/>
      </c>
      <c r="X7944" s="16" t="str">
        <f>IFERROR(__xludf.DUMMYFUNCTION("""COMPUTED_VALUE"""),"")</f>
        <v/>
      </c>
      <c r="AC7944" s="16" t="str">
        <f>IFERROR(__xludf.DUMMYFUNCTION("""COMPUTED_VALUE"""),"")</f>
        <v/>
      </c>
    </row>
    <row r="7945">
      <c r="A7945" s="16" t="s">
        <v>87</v>
      </c>
      <c r="E7945" s="16" t="str">
        <f>IFERROR(__xludf.DUMMYFUNCTION("""COMPUTED_VALUE"""),"")</f>
        <v/>
      </c>
      <c r="G7945" s="18"/>
      <c r="H7945" s="16" t="s">
        <v>87</v>
      </c>
      <c r="I7945" s="16" t="s">
        <v>87</v>
      </c>
      <c r="J7945" s="19"/>
      <c r="L7945" s="16" t="str">
        <f>IFERROR(__xludf.DUMMYFUNCTION("""COMPUTED_VALUE"""),"")</f>
        <v/>
      </c>
      <c r="M7945" s="16" t="str">
        <f>IFERROR(__xludf.DUMMYFUNCTION("""COMPUTED_VALUE"""),"")</f>
        <v/>
      </c>
      <c r="U7945" s="16" t="s">
        <v>87</v>
      </c>
      <c r="V7945" s="16" t="str">
        <f>IFERROR(__xludf.DUMMYFUNCTION("""COMPUTED_VALUE"""),"")</f>
        <v/>
      </c>
      <c r="W7945" s="16" t="str">
        <f>IFERROR(__xludf.DUMMYFUNCTION("""COMPUTED_VALUE"""),"")</f>
        <v/>
      </c>
      <c r="X7945" s="16" t="str">
        <f>IFERROR(__xludf.DUMMYFUNCTION("""COMPUTED_VALUE"""),"")</f>
        <v/>
      </c>
      <c r="AC7945" s="16" t="str">
        <f>IFERROR(__xludf.DUMMYFUNCTION("""COMPUTED_VALUE"""),"")</f>
        <v/>
      </c>
    </row>
    <row r="7946">
      <c r="A7946" s="16" t="s">
        <v>87</v>
      </c>
      <c r="E7946" s="16" t="str">
        <f>IFERROR(__xludf.DUMMYFUNCTION("""COMPUTED_VALUE"""),"")</f>
        <v/>
      </c>
      <c r="G7946" s="18"/>
      <c r="H7946" s="16" t="s">
        <v>87</v>
      </c>
      <c r="I7946" s="16" t="s">
        <v>87</v>
      </c>
      <c r="J7946" s="19"/>
      <c r="L7946" s="16" t="str">
        <f>IFERROR(__xludf.DUMMYFUNCTION("""COMPUTED_VALUE"""),"")</f>
        <v/>
      </c>
      <c r="M7946" s="16" t="str">
        <f>IFERROR(__xludf.DUMMYFUNCTION("""COMPUTED_VALUE"""),"")</f>
        <v/>
      </c>
      <c r="U7946" s="16" t="s">
        <v>87</v>
      </c>
      <c r="V7946" s="16" t="str">
        <f>IFERROR(__xludf.DUMMYFUNCTION("""COMPUTED_VALUE"""),"")</f>
        <v/>
      </c>
      <c r="W7946" s="16" t="str">
        <f>IFERROR(__xludf.DUMMYFUNCTION("""COMPUTED_VALUE"""),"")</f>
        <v/>
      </c>
      <c r="X7946" s="16" t="str">
        <f>IFERROR(__xludf.DUMMYFUNCTION("""COMPUTED_VALUE"""),"")</f>
        <v/>
      </c>
      <c r="AC7946" s="16" t="str">
        <f>IFERROR(__xludf.DUMMYFUNCTION("""COMPUTED_VALUE"""),"")</f>
        <v/>
      </c>
    </row>
    <row r="7947">
      <c r="A7947" s="16" t="s">
        <v>87</v>
      </c>
      <c r="E7947" s="16" t="str">
        <f>IFERROR(__xludf.DUMMYFUNCTION("""COMPUTED_VALUE"""),"")</f>
        <v/>
      </c>
      <c r="G7947" s="18"/>
      <c r="H7947" s="16" t="s">
        <v>87</v>
      </c>
      <c r="I7947" s="16" t="s">
        <v>87</v>
      </c>
      <c r="J7947" s="19"/>
      <c r="L7947" s="16" t="str">
        <f>IFERROR(__xludf.DUMMYFUNCTION("""COMPUTED_VALUE"""),"")</f>
        <v/>
      </c>
      <c r="M7947" s="16" t="str">
        <f>IFERROR(__xludf.DUMMYFUNCTION("""COMPUTED_VALUE"""),"")</f>
        <v/>
      </c>
      <c r="U7947" s="16" t="s">
        <v>87</v>
      </c>
      <c r="V7947" s="16" t="str">
        <f>IFERROR(__xludf.DUMMYFUNCTION("""COMPUTED_VALUE"""),"")</f>
        <v/>
      </c>
      <c r="W7947" s="16" t="str">
        <f>IFERROR(__xludf.DUMMYFUNCTION("""COMPUTED_VALUE"""),"")</f>
        <v/>
      </c>
      <c r="X7947" s="16" t="str">
        <f>IFERROR(__xludf.DUMMYFUNCTION("""COMPUTED_VALUE"""),"")</f>
        <v/>
      </c>
      <c r="AC7947" s="16" t="str">
        <f>IFERROR(__xludf.DUMMYFUNCTION("""COMPUTED_VALUE"""),"")</f>
        <v/>
      </c>
    </row>
    <row r="7948">
      <c r="A7948" s="16" t="s">
        <v>87</v>
      </c>
      <c r="E7948" s="16" t="str">
        <f>IFERROR(__xludf.DUMMYFUNCTION("""COMPUTED_VALUE"""),"")</f>
        <v/>
      </c>
      <c r="G7948" s="18"/>
      <c r="H7948" s="16" t="s">
        <v>87</v>
      </c>
      <c r="I7948" s="16" t="s">
        <v>87</v>
      </c>
      <c r="J7948" s="19"/>
      <c r="L7948" s="16" t="str">
        <f>IFERROR(__xludf.DUMMYFUNCTION("""COMPUTED_VALUE"""),"")</f>
        <v/>
      </c>
      <c r="M7948" s="16" t="str">
        <f>IFERROR(__xludf.DUMMYFUNCTION("""COMPUTED_VALUE"""),"")</f>
        <v/>
      </c>
      <c r="U7948" s="16" t="s">
        <v>87</v>
      </c>
      <c r="V7948" s="16" t="str">
        <f>IFERROR(__xludf.DUMMYFUNCTION("""COMPUTED_VALUE"""),"")</f>
        <v/>
      </c>
      <c r="W7948" s="16" t="str">
        <f>IFERROR(__xludf.DUMMYFUNCTION("""COMPUTED_VALUE"""),"")</f>
        <v/>
      </c>
      <c r="X7948" s="16" t="str">
        <f>IFERROR(__xludf.DUMMYFUNCTION("""COMPUTED_VALUE"""),"")</f>
        <v/>
      </c>
      <c r="AC7948" s="16" t="str">
        <f>IFERROR(__xludf.DUMMYFUNCTION("""COMPUTED_VALUE"""),"")</f>
        <v/>
      </c>
    </row>
    <row r="7949">
      <c r="A7949" s="16" t="s">
        <v>87</v>
      </c>
      <c r="E7949" s="16" t="str">
        <f>IFERROR(__xludf.DUMMYFUNCTION("""COMPUTED_VALUE"""),"")</f>
        <v/>
      </c>
      <c r="G7949" s="18"/>
      <c r="H7949" s="16" t="s">
        <v>87</v>
      </c>
      <c r="I7949" s="16" t="s">
        <v>87</v>
      </c>
      <c r="J7949" s="19"/>
      <c r="L7949" s="16" t="str">
        <f>IFERROR(__xludf.DUMMYFUNCTION("""COMPUTED_VALUE"""),"")</f>
        <v/>
      </c>
      <c r="M7949" s="16" t="str">
        <f>IFERROR(__xludf.DUMMYFUNCTION("""COMPUTED_VALUE"""),"")</f>
        <v/>
      </c>
      <c r="U7949" s="16" t="s">
        <v>87</v>
      </c>
      <c r="V7949" s="16" t="str">
        <f>IFERROR(__xludf.DUMMYFUNCTION("""COMPUTED_VALUE"""),"")</f>
        <v/>
      </c>
      <c r="W7949" s="16" t="str">
        <f>IFERROR(__xludf.DUMMYFUNCTION("""COMPUTED_VALUE"""),"")</f>
        <v/>
      </c>
      <c r="X7949" s="16" t="str">
        <f>IFERROR(__xludf.DUMMYFUNCTION("""COMPUTED_VALUE"""),"")</f>
        <v/>
      </c>
      <c r="AC7949" s="16" t="str">
        <f>IFERROR(__xludf.DUMMYFUNCTION("""COMPUTED_VALUE"""),"")</f>
        <v/>
      </c>
    </row>
    <row r="7950">
      <c r="A7950" s="16" t="s">
        <v>87</v>
      </c>
      <c r="E7950" s="16" t="str">
        <f>IFERROR(__xludf.DUMMYFUNCTION("""COMPUTED_VALUE"""),"")</f>
        <v/>
      </c>
      <c r="G7950" s="18"/>
      <c r="H7950" s="16" t="s">
        <v>87</v>
      </c>
      <c r="I7950" s="16" t="s">
        <v>87</v>
      </c>
      <c r="J7950" s="19"/>
      <c r="L7950" s="16" t="str">
        <f>IFERROR(__xludf.DUMMYFUNCTION("""COMPUTED_VALUE"""),"")</f>
        <v/>
      </c>
      <c r="M7950" s="16" t="str">
        <f>IFERROR(__xludf.DUMMYFUNCTION("""COMPUTED_VALUE"""),"")</f>
        <v/>
      </c>
      <c r="U7950" s="16" t="s">
        <v>87</v>
      </c>
      <c r="V7950" s="16" t="str">
        <f>IFERROR(__xludf.DUMMYFUNCTION("""COMPUTED_VALUE"""),"")</f>
        <v/>
      </c>
      <c r="W7950" s="16" t="str">
        <f>IFERROR(__xludf.DUMMYFUNCTION("""COMPUTED_VALUE"""),"")</f>
        <v/>
      </c>
      <c r="X7950" s="16" t="str">
        <f>IFERROR(__xludf.DUMMYFUNCTION("""COMPUTED_VALUE"""),"")</f>
        <v/>
      </c>
      <c r="AC7950" s="16" t="str">
        <f>IFERROR(__xludf.DUMMYFUNCTION("""COMPUTED_VALUE"""),"")</f>
        <v/>
      </c>
    </row>
    <row r="7951">
      <c r="A7951" s="16" t="s">
        <v>87</v>
      </c>
      <c r="E7951" s="16" t="str">
        <f>IFERROR(__xludf.DUMMYFUNCTION("""COMPUTED_VALUE"""),"")</f>
        <v/>
      </c>
      <c r="G7951" s="18"/>
      <c r="H7951" s="16" t="s">
        <v>87</v>
      </c>
      <c r="I7951" s="16" t="s">
        <v>87</v>
      </c>
      <c r="J7951" s="19"/>
      <c r="L7951" s="16" t="str">
        <f>IFERROR(__xludf.DUMMYFUNCTION("""COMPUTED_VALUE"""),"")</f>
        <v/>
      </c>
      <c r="M7951" s="16" t="str">
        <f>IFERROR(__xludf.DUMMYFUNCTION("""COMPUTED_VALUE"""),"")</f>
        <v/>
      </c>
      <c r="U7951" s="16" t="s">
        <v>87</v>
      </c>
      <c r="V7951" s="16" t="str">
        <f>IFERROR(__xludf.DUMMYFUNCTION("""COMPUTED_VALUE"""),"")</f>
        <v/>
      </c>
      <c r="W7951" s="16" t="str">
        <f>IFERROR(__xludf.DUMMYFUNCTION("""COMPUTED_VALUE"""),"")</f>
        <v/>
      </c>
      <c r="X7951" s="16" t="str">
        <f>IFERROR(__xludf.DUMMYFUNCTION("""COMPUTED_VALUE"""),"")</f>
        <v/>
      </c>
      <c r="AC7951" s="16" t="str">
        <f>IFERROR(__xludf.DUMMYFUNCTION("""COMPUTED_VALUE"""),"")</f>
        <v/>
      </c>
    </row>
    <row r="7952">
      <c r="A7952" s="16" t="s">
        <v>87</v>
      </c>
      <c r="E7952" s="16" t="str">
        <f>IFERROR(__xludf.DUMMYFUNCTION("""COMPUTED_VALUE"""),"")</f>
        <v/>
      </c>
      <c r="G7952" s="18"/>
      <c r="H7952" s="16" t="s">
        <v>87</v>
      </c>
      <c r="I7952" s="16" t="s">
        <v>87</v>
      </c>
      <c r="J7952" s="19"/>
      <c r="L7952" s="16" t="str">
        <f>IFERROR(__xludf.DUMMYFUNCTION("""COMPUTED_VALUE"""),"")</f>
        <v/>
      </c>
      <c r="M7952" s="16" t="str">
        <f>IFERROR(__xludf.DUMMYFUNCTION("""COMPUTED_VALUE"""),"")</f>
        <v/>
      </c>
      <c r="U7952" s="16" t="s">
        <v>87</v>
      </c>
      <c r="V7952" s="16" t="str">
        <f>IFERROR(__xludf.DUMMYFUNCTION("""COMPUTED_VALUE"""),"")</f>
        <v/>
      </c>
      <c r="W7952" s="16" t="str">
        <f>IFERROR(__xludf.DUMMYFUNCTION("""COMPUTED_VALUE"""),"")</f>
        <v/>
      </c>
      <c r="X7952" s="16" t="str">
        <f>IFERROR(__xludf.DUMMYFUNCTION("""COMPUTED_VALUE"""),"")</f>
        <v/>
      </c>
      <c r="AC7952" s="16" t="str">
        <f>IFERROR(__xludf.DUMMYFUNCTION("""COMPUTED_VALUE"""),"")</f>
        <v/>
      </c>
    </row>
    <row r="7953">
      <c r="A7953" s="16" t="s">
        <v>87</v>
      </c>
      <c r="E7953" s="16" t="str">
        <f>IFERROR(__xludf.DUMMYFUNCTION("""COMPUTED_VALUE"""),"")</f>
        <v/>
      </c>
      <c r="G7953" s="18"/>
      <c r="H7953" s="16" t="s">
        <v>87</v>
      </c>
      <c r="I7953" s="16" t="s">
        <v>87</v>
      </c>
      <c r="J7953" s="19"/>
      <c r="L7953" s="16" t="str">
        <f>IFERROR(__xludf.DUMMYFUNCTION("""COMPUTED_VALUE"""),"")</f>
        <v/>
      </c>
      <c r="M7953" s="16" t="str">
        <f>IFERROR(__xludf.DUMMYFUNCTION("""COMPUTED_VALUE"""),"")</f>
        <v/>
      </c>
      <c r="U7953" s="16" t="s">
        <v>87</v>
      </c>
      <c r="V7953" s="16" t="str">
        <f>IFERROR(__xludf.DUMMYFUNCTION("""COMPUTED_VALUE"""),"")</f>
        <v/>
      </c>
      <c r="W7953" s="16" t="str">
        <f>IFERROR(__xludf.DUMMYFUNCTION("""COMPUTED_VALUE"""),"")</f>
        <v/>
      </c>
      <c r="X7953" s="16" t="str">
        <f>IFERROR(__xludf.DUMMYFUNCTION("""COMPUTED_VALUE"""),"")</f>
        <v/>
      </c>
      <c r="AC7953" s="16" t="str">
        <f>IFERROR(__xludf.DUMMYFUNCTION("""COMPUTED_VALUE"""),"")</f>
        <v/>
      </c>
    </row>
    <row r="7954">
      <c r="A7954" s="16" t="s">
        <v>87</v>
      </c>
      <c r="E7954" s="16" t="str">
        <f>IFERROR(__xludf.DUMMYFUNCTION("""COMPUTED_VALUE"""),"")</f>
        <v/>
      </c>
      <c r="G7954" s="18"/>
      <c r="H7954" s="16" t="s">
        <v>87</v>
      </c>
      <c r="I7954" s="16" t="s">
        <v>87</v>
      </c>
      <c r="J7954" s="19"/>
      <c r="L7954" s="16" t="str">
        <f>IFERROR(__xludf.DUMMYFUNCTION("""COMPUTED_VALUE"""),"")</f>
        <v/>
      </c>
      <c r="M7954" s="16" t="str">
        <f>IFERROR(__xludf.DUMMYFUNCTION("""COMPUTED_VALUE"""),"")</f>
        <v/>
      </c>
      <c r="U7954" s="16" t="s">
        <v>87</v>
      </c>
      <c r="V7954" s="16" t="str">
        <f>IFERROR(__xludf.DUMMYFUNCTION("""COMPUTED_VALUE"""),"")</f>
        <v/>
      </c>
      <c r="W7954" s="16" t="str">
        <f>IFERROR(__xludf.DUMMYFUNCTION("""COMPUTED_VALUE"""),"")</f>
        <v/>
      </c>
      <c r="X7954" s="16" t="str">
        <f>IFERROR(__xludf.DUMMYFUNCTION("""COMPUTED_VALUE"""),"")</f>
        <v/>
      </c>
      <c r="AC7954" s="16" t="str">
        <f>IFERROR(__xludf.DUMMYFUNCTION("""COMPUTED_VALUE"""),"")</f>
        <v/>
      </c>
    </row>
    <row r="7955">
      <c r="A7955" s="16" t="s">
        <v>87</v>
      </c>
      <c r="E7955" s="16" t="str">
        <f>IFERROR(__xludf.DUMMYFUNCTION("""COMPUTED_VALUE"""),"")</f>
        <v/>
      </c>
      <c r="G7955" s="18"/>
      <c r="H7955" s="16" t="s">
        <v>87</v>
      </c>
      <c r="I7955" s="16" t="s">
        <v>87</v>
      </c>
      <c r="J7955" s="19"/>
      <c r="L7955" s="16" t="str">
        <f>IFERROR(__xludf.DUMMYFUNCTION("""COMPUTED_VALUE"""),"")</f>
        <v/>
      </c>
      <c r="M7955" s="16" t="str">
        <f>IFERROR(__xludf.DUMMYFUNCTION("""COMPUTED_VALUE"""),"")</f>
        <v/>
      </c>
      <c r="U7955" s="16" t="s">
        <v>87</v>
      </c>
      <c r="V7955" s="16" t="str">
        <f>IFERROR(__xludf.DUMMYFUNCTION("""COMPUTED_VALUE"""),"")</f>
        <v/>
      </c>
      <c r="W7955" s="16" t="str">
        <f>IFERROR(__xludf.DUMMYFUNCTION("""COMPUTED_VALUE"""),"")</f>
        <v/>
      </c>
      <c r="X7955" s="16" t="str">
        <f>IFERROR(__xludf.DUMMYFUNCTION("""COMPUTED_VALUE"""),"")</f>
        <v/>
      </c>
      <c r="AC7955" s="16" t="str">
        <f>IFERROR(__xludf.DUMMYFUNCTION("""COMPUTED_VALUE"""),"")</f>
        <v/>
      </c>
    </row>
    <row r="7956">
      <c r="A7956" s="16" t="s">
        <v>87</v>
      </c>
      <c r="E7956" s="16" t="str">
        <f>IFERROR(__xludf.DUMMYFUNCTION("""COMPUTED_VALUE"""),"")</f>
        <v/>
      </c>
      <c r="G7956" s="18"/>
      <c r="H7956" s="16" t="s">
        <v>87</v>
      </c>
      <c r="I7956" s="16" t="s">
        <v>87</v>
      </c>
      <c r="J7956" s="19"/>
      <c r="L7956" s="16" t="str">
        <f>IFERROR(__xludf.DUMMYFUNCTION("""COMPUTED_VALUE"""),"")</f>
        <v/>
      </c>
      <c r="M7956" s="16" t="str">
        <f>IFERROR(__xludf.DUMMYFUNCTION("""COMPUTED_VALUE"""),"")</f>
        <v/>
      </c>
      <c r="U7956" s="16" t="s">
        <v>87</v>
      </c>
      <c r="V7956" s="16" t="str">
        <f>IFERROR(__xludf.DUMMYFUNCTION("""COMPUTED_VALUE"""),"")</f>
        <v/>
      </c>
      <c r="W7956" s="16" t="str">
        <f>IFERROR(__xludf.DUMMYFUNCTION("""COMPUTED_VALUE"""),"")</f>
        <v/>
      </c>
      <c r="X7956" s="16" t="str">
        <f>IFERROR(__xludf.DUMMYFUNCTION("""COMPUTED_VALUE"""),"")</f>
        <v/>
      </c>
      <c r="AC7956" s="16" t="str">
        <f>IFERROR(__xludf.DUMMYFUNCTION("""COMPUTED_VALUE"""),"")</f>
        <v/>
      </c>
    </row>
    <row r="7957">
      <c r="A7957" s="16" t="s">
        <v>87</v>
      </c>
      <c r="E7957" s="16" t="str">
        <f>IFERROR(__xludf.DUMMYFUNCTION("""COMPUTED_VALUE"""),"")</f>
        <v/>
      </c>
      <c r="G7957" s="18"/>
      <c r="H7957" s="16" t="s">
        <v>87</v>
      </c>
      <c r="I7957" s="16" t="s">
        <v>87</v>
      </c>
      <c r="J7957" s="19"/>
      <c r="L7957" s="16" t="str">
        <f>IFERROR(__xludf.DUMMYFUNCTION("""COMPUTED_VALUE"""),"")</f>
        <v/>
      </c>
      <c r="M7957" s="16" t="str">
        <f>IFERROR(__xludf.DUMMYFUNCTION("""COMPUTED_VALUE"""),"")</f>
        <v/>
      </c>
      <c r="U7957" s="16" t="s">
        <v>87</v>
      </c>
      <c r="V7957" s="16" t="str">
        <f>IFERROR(__xludf.DUMMYFUNCTION("""COMPUTED_VALUE"""),"")</f>
        <v/>
      </c>
      <c r="W7957" s="16" t="str">
        <f>IFERROR(__xludf.DUMMYFUNCTION("""COMPUTED_VALUE"""),"")</f>
        <v/>
      </c>
      <c r="X7957" s="16" t="str">
        <f>IFERROR(__xludf.DUMMYFUNCTION("""COMPUTED_VALUE"""),"")</f>
        <v/>
      </c>
      <c r="AC7957" s="16" t="str">
        <f>IFERROR(__xludf.DUMMYFUNCTION("""COMPUTED_VALUE"""),"")</f>
        <v/>
      </c>
    </row>
    <row r="7958">
      <c r="A7958" s="16" t="s">
        <v>87</v>
      </c>
      <c r="E7958" s="16" t="str">
        <f>IFERROR(__xludf.DUMMYFUNCTION("""COMPUTED_VALUE"""),"")</f>
        <v/>
      </c>
      <c r="G7958" s="18"/>
      <c r="H7958" s="16" t="s">
        <v>87</v>
      </c>
      <c r="I7958" s="16" t="s">
        <v>87</v>
      </c>
      <c r="J7958" s="19"/>
      <c r="L7958" s="16" t="str">
        <f>IFERROR(__xludf.DUMMYFUNCTION("""COMPUTED_VALUE"""),"")</f>
        <v/>
      </c>
      <c r="M7958" s="16" t="str">
        <f>IFERROR(__xludf.DUMMYFUNCTION("""COMPUTED_VALUE"""),"")</f>
        <v/>
      </c>
      <c r="U7958" s="16" t="s">
        <v>87</v>
      </c>
      <c r="V7958" s="16" t="str">
        <f>IFERROR(__xludf.DUMMYFUNCTION("""COMPUTED_VALUE"""),"")</f>
        <v/>
      </c>
      <c r="W7958" s="16" t="str">
        <f>IFERROR(__xludf.DUMMYFUNCTION("""COMPUTED_VALUE"""),"")</f>
        <v/>
      </c>
      <c r="X7958" s="16" t="str">
        <f>IFERROR(__xludf.DUMMYFUNCTION("""COMPUTED_VALUE"""),"")</f>
        <v/>
      </c>
      <c r="AC7958" s="16" t="str">
        <f>IFERROR(__xludf.DUMMYFUNCTION("""COMPUTED_VALUE"""),"")</f>
        <v/>
      </c>
    </row>
    <row r="7959">
      <c r="A7959" s="16" t="s">
        <v>87</v>
      </c>
      <c r="E7959" s="16" t="str">
        <f>IFERROR(__xludf.DUMMYFUNCTION("""COMPUTED_VALUE"""),"")</f>
        <v/>
      </c>
      <c r="G7959" s="18"/>
      <c r="H7959" s="16" t="s">
        <v>87</v>
      </c>
      <c r="I7959" s="16" t="s">
        <v>87</v>
      </c>
      <c r="J7959" s="19"/>
      <c r="L7959" s="16" t="str">
        <f>IFERROR(__xludf.DUMMYFUNCTION("""COMPUTED_VALUE"""),"")</f>
        <v/>
      </c>
      <c r="M7959" s="16" t="str">
        <f>IFERROR(__xludf.DUMMYFUNCTION("""COMPUTED_VALUE"""),"")</f>
        <v/>
      </c>
      <c r="U7959" s="16" t="s">
        <v>87</v>
      </c>
      <c r="V7959" s="16" t="str">
        <f>IFERROR(__xludf.DUMMYFUNCTION("""COMPUTED_VALUE"""),"")</f>
        <v/>
      </c>
      <c r="W7959" s="16" t="str">
        <f>IFERROR(__xludf.DUMMYFUNCTION("""COMPUTED_VALUE"""),"")</f>
        <v/>
      </c>
      <c r="X7959" s="16" t="str">
        <f>IFERROR(__xludf.DUMMYFUNCTION("""COMPUTED_VALUE"""),"")</f>
        <v/>
      </c>
      <c r="AC7959" s="16" t="str">
        <f>IFERROR(__xludf.DUMMYFUNCTION("""COMPUTED_VALUE"""),"")</f>
        <v/>
      </c>
    </row>
    <row r="7960">
      <c r="A7960" s="16" t="s">
        <v>87</v>
      </c>
      <c r="E7960" s="16" t="str">
        <f>IFERROR(__xludf.DUMMYFUNCTION("""COMPUTED_VALUE"""),"")</f>
        <v/>
      </c>
      <c r="G7960" s="18"/>
      <c r="H7960" s="16" t="s">
        <v>87</v>
      </c>
      <c r="I7960" s="16" t="s">
        <v>87</v>
      </c>
      <c r="J7960" s="19"/>
      <c r="L7960" s="16" t="str">
        <f>IFERROR(__xludf.DUMMYFUNCTION("""COMPUTED_VALUE"""),"")</f>
        <v/>
      </c>
      <c r="M7960" s="16" t="str">
        <f>IFERROR(__xludf.DUMMYFUNCTION("""COMPUTED_VALUE"""),"")</f>
        <v/>
      </c>
      <c r="U7960" s="16" t="s">
        <v>87</v>
      </c>
      <c r="V7960" s="16" t="str">
        <f>IFERROR(__xludf.DUMMYFUNCTION("""COMPUTED_VALUE"""),"")</f>
        <v/>
      </c>
      <c r="W7960" s="16" t="str">
        <f>IFERROR(__xludf.DUMMYFUNCTION("""COMPUTED_VALUE"""),"")</f>
        <v/>
      </c>
      <c r="X7960" s="16" t="str">
        <f>IFERROR(__xludf.DUMMYFUNCTION("""COMPUTED_VALUE"""),"")</f>
        <v/>
      </c>
      <c r="AC7960" s="16" t="str">
        <f>IFERROR(__xludf.DUMMYFUNCTION("""COMPUTED_VALUE"""),"")</f>
        <v/>
      </c>
    </row>
    <row r="7961">
      <c r="A7961" s="16" t="s">
        <v>87</v>
      </c>
      <c r="E7961" s="16" t="str">
        <f>IFERROR(__xludf.DUMMYFUNCTION("""COMPUTED_VALUE"""),"")</f>
        <v/>
      </c>
      <c r="G7961" s="18"/>
      <c r="H7961" s="16" t="s">
        <v>87</v>
      </c>
      <c r="I7961" s="16" t="s">
        <v>87</v>
      </c>
      <c r="J7961" s="19"/>
      <c r="L7961" s="16" t="str">
        <f>IFERROR(__xludf.DUMMYFUNCTION("""COMPUTED_VALUE"""),"")</f>
        <v/>
      </c>
      <c r="M7961" s="16" t="str">
        <f>IFERROR(__xludf.DUMMYFUNCTION("""COMPUTED_VALUE"""),"")</f>
        <v/>
      </c>
      <c r="U7961" s="16" t="s">
        <v>87</v>
      </c>
      <c r="V7961" s="16" t="str">
        <f>IFERROR(__xludf.DUMMYFUNCTION("""COMPUTED_VALUE"""),"")</f>
        <v/>
      </c>
      <c r="W7961" s="16" t="str">
        <f>IFERROR(__xludf.DUMMYFUNCTION("""COMPUTED_VALUE"""),"")</f>
        <v/>
      </c>
      <c r="X7961" s="16" t="str">
        <f>IFERROR(__xludf.DUMMYFUNCTION("""COMPUTED_VALUE"""),"")</f>
        <v/>
      </c>
      <c r="AC7961" s="16" t="str">
        <f>IFERROR(__xludf.DUMMYFUNCTION("""COMPUTED_VALUE"""),"")</f>
        <v/>
      </c>
    </row>
    <row r="7962">
      <c r="A7962" s="16" t="s">
        <v>87</v>
      </c>
      <c r="E7962" s="16" t="str">
        <f>IFERROR(__xludf.DUMMYFUNCTION("""COMPUTED_VALUE"""),"")</f>
        <v/>
      </c>
      <c r="G7962" s="18"/>
      <c r="H7962" s="16" t="s">
        <v>87</v>
      </c>
      <c r="I7962" s="16" t="s">
        <v>87</v>
      </c>
      <c r="J7962" s="19"/>
      <c r="L7962" s="16" t="str">
        <f>IFERROR(__xludf.DUMMYFUNCTION("""COMPUTED_VALUE"""),"")</f>
        <v/>
      </c>
      <c r="M7962" s="16" t="str">
        <f>IFERROR(__xludf.DUMMYFUNCTION("""COMPUTED_VALUE"""),"")</f>
        <v/>
      </c>
      <c r="U7962" s="16" t="s">
        <v>87</v>
      </c>
      <c r="V7962" s="16" t="str">
        <f>IFERROR(__xludf.DUMMYFUNCTION("""COMPUTED_VALUE"""),"")</f>
        <v/>
      </c>
      <c r="W7962" s="16" t="str">
        <f>IFERROR(__xludf.DUMMYFUNCTION("""COMPUTED_VALUE"""),"")</f>
        <v/>
      </c>
      <c r="X7962" s="16" t="str">
        <f>IFERROR(__xludf.DUMMYFUNCTION("""COMPUTED_VALUE"""),"")</f>
        <v/>
      </c>
      <c r="AC7962" s="16" t="str">
        <f>IFERROR(__xludf.DUMMYFUNCTION("""COMPUTED_VALUE"""),"")</f>
        <v/>
      </c>
    </row>
    <row r="7963">
      <c r="A7963" s="16" t="s">
        <v>87</v>
      </c>
      <c r="E7963" s="16" t="str">
        <f>IFERROR(__xludf.DUMMYFUNCTION("""COMPUTED_VALUE"""),"")</f>
        <v/>
      </c>
      <c r="G7963" s="18"/>
      <c r="H7963" s="16" t="s">
        <v>87</v>
      </c>
      <c r="I7963" s="16" t="s">
        <v>87</v>
      </c>
      <c r="J7963" s="19"/>
      <c r="L7963" s="16" t="str">
        <f>IFERROR(__xludf.DUMMYFUNCTION("""COMPUTED_VALUE"""),"")</f>
        <v/>
      </c>
      <c r="M7963" s="16" t="str">
        <f>IFERROR(__xludf.DUMMYFUNCTION("""COMPUTED_VALUE"""),"")</f>
        <v/>
      </c>
      <c r="U7963" s="16" t="s">
        <v>87</v>
      </c>
      <c r="V7963" s="16" t="str">
        <f>IFERROR(__xludf.DUMMYFUNCTION("""COMPUTED_VALUE"""),"")</f>
        <v/>
      </c>
      <c r="W7963" s="16" t="str">
        <f>IFERROR(__xludf.DUMMYFUNCTION("""COMPUTED_VALUE"""),"")</f>
        <v/>
      </c>
      <c r="X7963" s="16" t="str">
        <f>IFERROR(__xludf.DUMMYFUNCTION("""COMPUTED_VALUE"""),"")</f>
        <v/>
      </c>
      <c r="AC7963" s="16" t="str">
        <f>IFERROR(__xludf.DUMMYFUNCTION("""COMPUTED_VALUE"""),"")</f>
        <v/>
      </c>
    </row>
    <row r="7964">
      <c r="A7964" s="16" t="s">
        <v>87</v>
      </c>
      <c r="E7964" s="16" t="str">
        <f>IFERROR(__xludf.DUMMYFUNCTION("""COMPUTED_VALUE"""),"")</f>
        <v/>
      </c>
      <c r="G7964" s="18"/>
      <c r="H7964" s="16" t="s">
        <v>87</v>
      </c>
      <c r="I7964" s="16" t="s">
        <v>87</v>
      </c>
      <c r="J7964" s="19"/>
      <c r="L7964" s="16" t="str">
        <f>IFERROR(__xludf.DUMMYFUNCTION("""COMPUTED_VALUE"""),"")</f>
        <v/>
      </c>
      <c r="M7964" s="16" t="str">
        <f>IFERROR(__xludf.DUMMYFUNCTION("""COMPUTED_VALUE"""),"")</f>
        <v/>
      </c>
      <c r="U7964" s="16" t="s">
        <v>87</v>
      </c>
      <c r="V7964" s="16" t="str">
        <f>IFERROR(__xludf.DUMMYFUNCTION("""COMPUTED_VALUE"""),"")</f>
        <v/>
      </c>
      <c r="W7964" s="16" t="str">
        <f>IFERROR(__xludf.DUMMYFUNCTION("""COMPUTED_VALUE"""),"")</f>
        <v/>
      </c>
      <c r="X7964" s="16" t="str">
        <f>IFERROR(__xludf.DUMMYFUNCTION("""COMPUTED_VALUE"""),"")</f>
        <v/>
      </c>
      <c r="AC7964" s="16" t="str">
        <f>IFERROR(__xludf.DUMMYFUNCTION("""COMPUTED_VALUE"""),"")</f>
        <v/>
      </c>
    </row>
    <row r="7965">
      <c r="A7965" s="16" t="s">
        <v>87</v>
      </c>
      <c r="E7965" s="16" t="str">
        <f>IFERROR(__xludf.DUMMYFUNCTION("""COMPUTED_VALUE"""),"")</f>
        <v/>
      </c>
      <c r="G7965" s="18"/>
      <c r="H7965" s="16" t="s">
        <v>87</v>
      </c>
      <c r="I7965" s="16" t="s">
        <v>87</v>
      </c>
      <c r="J7965" s="19"/>
      <c r="L7965" s="16" t="str">
        <f>IFERROR(__xludf.DUMMYFUNCTION("""COMPUTED_VALUE"""),"")</f>
        <v/>
      </c>
      <c r="M7965" s="16" t="str">
        <f>IFERROR(__xludf.DUMMYFUNCTION("""COMPUTED_VALUE"""),"")</f>
        <v/>
      </c>
      <c r="U7965" s="16" t="s">
        <v>87</v>
      </c>
      <c r="V7965" s="16" t="str">
        <f>IFERROR(__xludf.DUMMYFUNCTION("""COMPUTED_VALUE"""),"")</f>
        <v/>
      </c>
      <c r="W7965" s="16" t="str">
        <f>IFERROR(__xludf.DUMMYFUNCTION("""COMPUTED_VALUE"""),"")</f>
        <v/>
      </c>
      <c r="X7965" s="16" t="str">
        <f>IFERROR(__xludf.DUMMYFUNCTION("""COMPUTED_VALUE"""),"")</f>
        <v/>
      </c>
      <c r="AC7965" s="16" t="str">
        <f>IFERROR(__xludf.DUMMYFUNCTION("""COMPUTED_VALUE"""),"")</f>
        <v/>
      </c>
    </row>
    <row r="7966">
      <c r="A7966" s="16" t="s">
        <v>87</v>
      </c>
      <c r="E7966" s="16" t="str">
        <f>IFERROR(__xludf.DUMMYFUNCTION("""COMPUTED_VALUE"""),"")</f>
        <v/>
      </c>
      <c r="G7966" s="18"/>
      <c r="H7966" s="16" t="s">
        <v>87</v>
      </c>
      <c r="I7966" s="16" t="s">
        <v>87</v>
      </c>
      <c r="J7966" s="19"/>
      <c r="L7966" s="16" t="str">
        <f>IFERROR(__xludf.DUMMYFUNCTION("""COMPUTED_VALUE"""),"")</f>
        <v/>
      </c>
      <c r="M7966" s="16" t="str">
        <f>IFERROR(__xludf.DUMMYFUNCTION("""COMPUTED_VALUE"""),"")</f>
        <v/>
      </c>
      <c r="U7966" s="16" t="s">
        <v>87</v>
      </c>
      <c r="V7966" s="16" t="str">
        <f>IFERROR(__xludf.DUMMYFUNCTION("""COMPUTED_VALUE"""),"")</f>
        <v/>
      </c>
      <c r="W7966" s="16" t="str">
        <f>IFERROR(__xludf.DUMMYFUNCTION("""COMPUTED_VALUE"""),"")</f>
        <v/>
      </c>
      <c r="X7966" s="16" t="str">
        <f>IFERROR(__xludf.DUMMYFUNCTION("""COMPUTED_VALUE"""),"")</f>
        <v/>
      </c>
      <c r="AC7966" s="16" t="str">
        <f>IFERROR(__xludf.DUMMYFUNCTION("""COMPUTED_VALUE"""),"")</f>
        <v/>
      </c>
    </row>
    <row r="7967">
      <c r="A7967" s="16" t="s">
        <v>87</v>
      </c>
      <c r="E7967" s="16" t="str">
        <f>IFERROR(__xludf.DUMMYFUNCTION("""COMPUTED_VALUE"""),"")</f>
        <v/>
      </c>
      <c r="G7967" s="18"/>
      <c r="H7967" s="16" t="s">
        <v>87</v>
      </c>
      <c r="I7967" s="16" t="s">
        <v>87</v>
      </c>
      <c r="J7967" s="19"/>
      <c r="L7967" s="16" t="str">
        <f>IFERROR(__xludf.DUMMYFUNCTION("""COMPUTED_VALUE"""),"")</f>
        <v/>
      </c>
      <c r="M7967" s="16" t="str">
        <f>IFERROR(__xludf.DUMMYFUNCTION("""COMPUTED_VALUE"""),"")</f>
        <v/>
      </c>
      <c r="U7967" s="16" t="s">
        <v>87</v>
      </c>
      <c r="V7967" s="16" t="str">
        <f>IFERROR(__xludf.DUMMYFUNCTION("""COMPUTED_VALUE"""),"")</f>
        <v/>
      </c>
      <c r="W7967" s="16" t="str">
        <f>IFERROR(__xludf.DUMMYFUNCTION("""COMPUTED_VALUE"""),"")</f>
        <v/>
      </c>
      <c r="X7967" s="16" t="str">
        <f>IFERROR(__xludf.DUMMYFUNCTION("""COMPUTED_VALUE"""),"")</f>
        <v/>
      </c>
      <c r="AC7967" s="16" t="str">
        <f>IFERROR(__xludf.DUMMYFUNCTION("""COMPUTED_VALUE"""),"")</f>
        <v/>
      </c>
    </row>
    <row r="7968">
      <c r="A7968" s="16" t="s">
        <v>87</v>
      </c>
      <c r="E7968" s="16" t="str">
        <f>IFERROR(__xludf.DUMMYFUNCTION("""COMPUTED_VALUE"""),"")</f>
        <v/>
      </c>
      <c r="G7968" s="18"/>
      <c r="H7968" s="16" t="s">
        <v>87</v>
      </c>
      <c r="I7968" s="16" t="s">
        <v>87</v>
      </c>
      <c r="J7968" s="19"/>
      <c r="L7968" s="16" t="str">
        <f>IFERROR(__xludf.DUMMYFUNCTION("""COMPUTED_VALUE"""),"")</f>
        <v/>
      </c>
      <c r="M7968" s="16" t="str">
        <f>IFERROR(__xludf.DUMMYFUNCTION("""COMPUTED_VALUE"""),"")</f>
        <v/>
      </c>
      <c r="U7968" s="16" t="s">
        <v>87</v>
      </c>
      <c r="V7968" s="16" t="str">
        <f>IFERROR(__xludf.DUMMYFUNCTION("""COMPUTED_VALUE"""),"")</f>
        <v/>
      </c>
      <c r="W7968" s="16" t="str">
        <f>IFERROR(__xludf.DUMMYFUNCTION("""COMPUTED_VALUE"""),"")</f>
        <v/>
      </c>
      <c r="X7968" s="16" t="str">
        <f>IFERROR(__xludf.DUMMYFUNCTION("""COMPUTED_VALUE"""),"")</f>
        <v/>
      </c>
      <c r="AC7968" s="16" t="str">
        <f>IFERROR(__xludf.DUMMYFUNCTION("""COMPUTED_VALUE"""),"")</f>
        <v/>
      </c>
    </row>
    <row r="7969">
      <c r="A7969" s="16" t="s">
        <v>87</v>
      </c>
      <c r="E7969" s="16" t="str">
        <f>IFERROR(__xludf.DUMMYFUNCTION("""COMPUTED_VALUE"""),"")</f>
        <v/>
      </c>
      <c r="G7969" s="18"/>
      <c r="H7969" s="16" t="s">
        <v>87</v>
      </c>
      <c r="I7969" s="16" t="s">
        <v>87</v>
      </c>
      <c r="J7969" s="19"/>
      <c r="L7969" s="16" t="str">
        <f>IFERROR(__xludf.DUMMYFUNCTION("""COMPUTED_VALUE"""),"")</f>
        <v/>
      </c>
      <c r="M7969" s="16" t="str">
        <f>IFERROR(__xludf.DUMMYFUNCTION("""COMPUTED_VALUE"""),"")</f>
        <v/>
      </c>
      <c r="U7969" s="16" t="s">
        <v>87</v>
      </c>
      <c r="V7969" s="16" t="str">
        <f>IFERROR(__xludf.DUMMYFUNCTION("""COMPUTED_VALUE"""),"")</f>
        <v/>
      </c>
      <c r="W7969" s="16" t="str">
        <f>IFERROR(__xludf.DUMMYFUNCTION("""COMPUTED_VALUE"""),"")</f>
        <v/>
      </c>
      <c r="X7969" s="16" t="str">
        <f>IFERROR(__xludf.DUMMYFUNCTION("""COMPUTED_VALUE"""),"")</f>
        <v/>
      </c>
      <c r="AC7969" s="16" t="str">
        <f>IFERROR(__xludf.DUMMYFUNCTION("""COMPUTED_VALUE"""),"")</f>
        <v/>
      </c>
    </row>
    <row r="7970">
      <c r="A7970" s="16" t="s">
        <v>87</v>
      </c>
      <c r="E7970" s="16" t="str">
        <f>IFERROR(__xludf.DUMMYFUNCTION("""COMPUTED_VALUE"""),"")</f>
        <v/>
      </c>
      <c r="G7970" s="18"/>
      <c r="H7970" s="16" t="s">
        <v>87</v>
      </c>
      <c r="I7970" s="16" t="s">
        <v>87</v>
      </c>
      <c r="J7970" s="19"/>
      <c r="L7970" s="16" t="str">
        <f>IFERROR(__xludf.DUMMYFUNCTION("""COMPUTED_VALUE"""),"")</f>
        <v/>
      </c>
      <c r="M7970" s="16" t="str">
        <f>IFERROR(__xludf.DUMMYFUNCTION("""COMPUTED_VALUE"""),"")</f>
        <v/>
      </c>
      <c r="U7970" s="16" t="s">
        <v>87</v>
      </c>
      <c r="V7970" s="16" t="str">
        <f>IFERROR(__xludf.DUMMYFUNCTION("""COMPUTED_VALUE"""),"")</f>
        <v/>
      </c>
      <c r="W7970" s="16" t="str">
        <f>IFERROR(__xludf.DUMMYFUNCTION("""COMPUTED_VALUE"""),"")</f>
        <v/>
      </c>
      <c r="X7970" s="16" t="str">
        <f>IFERROR(__xludf.DUMMYFUNCTION("""COMPUTED_VALUE"""),"")</f>
        <v/>
      </c>
      <c r="AC7970" s="16" t="str">
        <f>IFERROR(__xludf.DUMMYFUNCTION("""COMPUTED_VALUE"""),"")</f>
        <v/>
      </c>
    </row>
    <row r="7971">
      <c r="A7971" s="16" t="s">
        <v>87</v>
      </c>
      <c r="E7971" s="16" t="str">
        <f>IFERROR(__xludf.DUMMYFUNCTION("""COMPUTED_VALUE"""),"")</f>
        <v/>
      </c>
      <c r="G7971" s="18"/>
      <c r="H7971" s="16" t="s">
        <v>87</v>
      </c>
      <c r="I7971" s="16" t="s">
        <v>87</v>
      </c>
      <c r="J7971" s="19"/>
      <c r="L7971" s="16" t="str">
        <f>IFERROR(__xludf.DUMMYFUNCTION("""COMPUTED_VALUE"""),"")</f>
        <v/>
      </c>
      <c r="M7971" s="16" t="str">
        <f>IFERROR(__xludf.DUMMYFUNCTION("""COMPUTED_VALUE"""),"")</f>
        <v/>
      </c>
      <c r="U7971" s="16" t="s">
        <v>87</v>
      </c>
      <c r="V7971" s="16" t="str">
        <f>IFERROR(__xludf.DUMMYFUNCTION("""COMPUTED_VALUE"""),"")</f>
        <v/>
      </c>
      <c r="W7971" s="16" t="str">
        <f>IFERROR(__xludf.DUMMYFUNCTION("""COMPUTED_VALUE"""),"")</f>
        <v/>
      </c>
      <c r="X7971" s="16" t="str">
        <f>IFERROR(__xludf.DUMMYFUNCTION("""COMPUTED_VALUE"""),"")</f>
        <v/>
      </c>
      <c r="AC7971" s="16" t="str">
        <f>IFERROR(__xludf.DUMMYFUNCTION("""COMPUTED_VALUE"""),"")</f>
        <v/>
      </c>
    </row>
    <row r="7972">
      <c r="A7972" s="16" t="s">
        <v>87</v>
      </c>
      <c r="E7972" s="16" t="str">
        <f>IFERROR(__xludf.DUMMYFUNCTION("""COMPUTED_VALUE"""),"")</f>
        <v/>
      </c>
      <c r="G7972" s="18"/>
      <c r="H7972" s="16" t="s">
        <v>87</v>
      </c>
      <c r="I7972" s="16" t="s">
        <v>87</v>
      </c>
      <c r="J7972" s="19"/>
      <c r="L7972" s="16" t="str">
        <f>IFERROR(__xludf.DUMMYFUNCTION("""COMPUTED_VALUE"""),"")</f>
        <v/>
      </c>
      <c r="M7972" s="16" t="str">
        <f>IFERROR(__xludf.DUMMYFUNCTION("""COMPUTED_VALUE"""),"")</f>
        <v/>
      </c>
      <c r="U7972" s="16" t="s">
        <v>87</v>
      </c>
      <c r="V7972" s="16" t="str">
        <f>IFERROR(__xludf.DUMMYFUNCTION("""COMPUTED_VALUE"""),"")</f>
        <v/>
      </c>
      <c r="W7972" s="16" t="str">
        <f>IFERROR(__xludf.DUMMYFUNCTION("""COMPUTED_VALUE"""),"")</f>
        <v/>
      </c>
      <c r="X7972" s="16" t="str">
        <f>IFERROR(__xludf.DUMMYFUNCTION("""COMPUTED_VALUE"""),"")</f>
        <v/>
      </c>
      <c r="AC7972" s="16" t="str">
        <f>IFERROR(__xludf.DUMMYFUNCTION("""COMPUTED_VALUE"""),"")</f>
        <v/>
      </c>
    </row>
    <row r="7973">
      <c r="A7973" s="16" t="s">
        <v>87</v>
      </c>
      <c r="E7973" s="16" t="str">
        <f>IFERROR(__xludf.DUMMYFUNCTION("""COMPUTED_VALUE"""),"")</f>
        <v/>
      </c>
      <c r="G7973" s="18"/>
      <c r="H7973" s="16" t="s">
        <v>87</v>
      </c>
      <c r="I7973" s="16" t="s">
        <v>87</v>
      </c>
      <c r="J7973" s="19"/>
      <c r="L7973" s="16" t="str">
        <f>IFERROR(__xludf.DUMMYFUNCTION("""COMPUTED_VALUE"""),"")</f>
        <v/>
      </c>
      <c r="M7973" s="16" t="str">
        <f>IFERROR(__xludf.DUMMYFUNCTION("""COMPUTED_VALUE"""),"")</f>
        <v/>
      </c>
      <c r="U7973" s="16" t="s">
        <v>87</v>
      </c>
      <c r="V7973" s="16" t="str">
        <f>IFERROR(__xludf.DUMMYFUNCTION("""COMPUTED_VALUE"""),"")</f>
        <v/>
      </c>
      <c r="W7973" s="16" t="str">
        <f>IFERROR(__xludf.DUMMYFUNCTION("""COMPUTED_VALUE"""),"")</f>
        <v/>
      </c>
      <c r="X7973" s="16" t="str">
        <f>IFERROR(__xludf.DUMMYFUNCTION("""COMPUTED_VALUE"""),"")</f>
        <v/>
      </c>
      <c r="AC7973" s="16" t="str">
        <f>IFERROR(__xludf.DUMMYFUNCTION("""COMPUTED_VALUE"""),"")</f>
        <v/>
      </c>
    </row>
    <row r="7974">
      <c r="A7974" s="16" t="s">
        <v>87</v>
      </c>
      <c r="E7974" s="16" t="str">
        <f>IFERROR(__xludf.DUMMYFUNCTION("""COMPUTED_VALUE"""),"")</f>
        <v/>
      </c>
      <c r="G7974" s="18"/>
      <c r="H7974" s="16" t="s">
        <v>87</v>
      </c>
      <c r="I7974" s="16" t="s">
        <v>87</v>
      </c>
      <c r="J7974" s="19"/>
      <c r="L7974" s="16" t="str">
        <f>IFERROR(__xludf.DUMMYFUNCTION("""COMPUTED_VALUE"""),"")</f>
        <v/>
      </c>
      <c r="M7974" s="16" t="str">
        <f>IFERROR(__xludf.DUMMYFUNCTION("""COMPUTED_VALUE"""),"")</f>
        <v/>
      </c>
      <c r="U7974" s="16" t="s">
        <v>87</v>
      </c>
      <c r="V7974" s="16" t="str">
        <f>IFERROR(__xludf.DUMMYFUNCTION("""COMPUTED_VALUE"""),"")</f>
        <v/>
      </c>
      <c r="W7974" s="16" t="str">
        <f>IFERROR(__xludf.DUMMYFUNCTION("""COMPUTED_VALUE"""),"")</f>
        <v/>
      </c>
      <c r="X7974" s="16" t="str">
        <f>IFERROR(__xludf.DUMMYFUNCTION("""COMPUTED_VALUE"""),"")</f>
        <v/>
      </c>
      <c r="AC7974" s="16" t="str">
        <f>IFERROR(__xludf.DUMMYFUNCTION("""COMPUTED_VALUE"""),"")</f>
        <v/>
      </c>
    </row>
    <row r="7975">
      <c r="A7975" s="16" t="s">
        <v>87</v>
      </c>
      <c r="E7975" s="16" t="str">
        <f>IFERROR(__xludf.DUMMYFUNCTION("""COMPUTED_VALUE"""),"")</f>
        <v/>
      </c>
      <c r="G7975" s="18"/>
      <c r="H7975" s="16" t="s">
        <v>87</v>
      </c>
      <c r="I7975" s="16" t="s">
        <v>87</v>
      </c>
      <c r="J7975" s="19"/>
      <c r="L7975" s="16" t="str">
        <f>IFERROR(__xludf.DUMMYFUNCTION("""COMPUTED_VALUE"""),"")</f>
        <v/>
      </c>
      <c r="M7975" s="16" t="str">
        <f>IFERROR(__xludf.DUMMYFUNCTION("""COMPUTED_VALUE"""),"")</f>
        <v/>
      </c>
      <c r="U7975" s="16" t="s">
        <v>87</v>
      </c>
      <c r="V7975" s="16" t="str">
        <f>IFERROR(__xludf.DUMMYFUNCTION("""COMPUTED_VALUE"""),"")</f>
        <v/>
      </c>
      <c r="W7975" s="16" t="str">
        <f>IFERROR(__xludf.DUMMYFUNCTION("""COMPUTED_VALUE"""),"")</f>
        <v/>
      </c>
      <c r="X7975" s="16" t="str">
        <f>IFERROR(__xludf.DUMMYFUNCTION("""COMPUTED_VALUE"""),"")</f>
        <v/>
      </c>
      <c r="AC7975" s="16" t="str">
        <f>IFERROR(__xludf.DUMMYFUNCTION("""COMPUTED_VALUE"""),"")</f>
        <v/>
      </c>
    </row>
    <row r="7976">
      <c r="A7976" s="16" t="s">
        <v>87</v>
      </c>
      <c r="E7976" s="16" t="str">
        <f>IFERROR(__xludf.DUMMYFUNCTION("""COMPUTED_VALUE"""),"")</f>
        <v/>
      </c>
      <c r="G7976" s="18"/>
      <c r="H7976" s="16" t="s">
        <v>87</v>
      </c>
      <c r="I7976" s="16" t="s">
        <v>87</v>
      </c>
      <c r="J7976" s="19"/>
      <c r="L7976" s="16" t="str">
        <f>IFERROR(__xludf.DUMMYFUNCTION("""COMPUTED_VALUE"""),"")</f>
        <v/>
      </c>
      <c r="M7976" s="16" t="str">
        <f>IFERROR(__xludf.DUMMYFUNCTION("""COMPUTED_VALUE"""),"")</f>
        <v/>
      </c>
      <c r="U7976" s="16" t="s">
        <v>87</v>
      </c>
      <c r="V7976" s="16" t="str">
        <f>IFERROR(__xludf.DUMMYFUNCTION("""COMPUTED_VALUE"""),"")</f>
        <v/>
      </c>
      <c r="W7976" s="16" t="str">
        <f>IFERROR(__xludf.DUMMYFUNCTION("""COMPUTED_VALUE"""),"")</f>
        <v/>
      </c>
      <c r="X7976" s="16" t="str">
        <f>IFERROR(__xludf.DUMMYFUNCTION("""COMPUTED_VALUE"""),"")</f>
        <v/>
      </c>
      <c r="AC7976" s="16" t="str">
        <f>IFERROR(__xludf.DUMMYFUNCTION("""COMPUTED_VALUE"""),"")</f>
        <v/>
      </c>
    </row>
    <row r="7977">
      <c r="A7977" s="16" t="s">
        <v>87</v>
      </c>
      <c r="E7977" s="16" t="str">
        <f>IFERROR(__xludf.DUMMYFUNCTION("""COMPUTED_VALUE"""),"")</f>
        <v/>
      </c>
      <c r="G7977" s="18"/>
      <c r="H7977" s="16" t="s">
        <v>87</v>
      </c>
      <c r="I7977" s="16" t="s">
        <v>87</v>
      </c>
      <c r="J7977" s="19"/>
      <c r="L7977" s="16" t="str">
        <f>IFERROR(__xludf.DUMMYFUNCTION("""COMPUTED_VALUE"""),"")</f>
        <v/>
      </c>
      <c r="M7977" s="16" t="str">
        <f>IFERROR(__xludf.DUMMYFUNCTION("""COMPUTED_VALUE"""),"")</f>
        <v/>
      </c>
      <c r="U7977" s="16" t="s">
        <v>87</v>
      </c>
      <c r="V7977" s="16" t="str">
        <f>IFERROR(__xludf.DUMMYFUNCTION("""COMPUTED_VALUE"""),"")</f>
        <v/>
      </c>
      <c r="W7977" s="16" t="str">
        <f>IFERROR(__xludf.DUMMYFUNCTION("""COMPUTED_VALUE"""),"")</f>
        <v/>
      </c>
      <c r="X7977" s="16" t="str">
        <f>IFERROR(__xludf.DUMMYFUNCTION("""COMPUTED_VALUE"""),"")</f>
        <v/>
      </c>
      <c r="AC7977" s="16" t="str">
        <f>IFERROR(__xludf.DUMMYFUNCTION("""COMPUTED_VALUE"""),"")</f>
        <v/>
      </c>
    </row>
    <row r="7978">
      <c r="A7978" s="16" t="s">
        <v>87</v>
      </c>
      <c r="E7978" s="16" t="str">
        <f>IFERROR(__xludf.DUMMYFUNCTION("""COMPUTED_VALUE"""),"")</f>
        <v/>
      </c>
      <c r="G7978" s="18"/>
      <c r="H7978" s="16" t="s">
        <v>87</v>
      </c>
      <c r="I7978" s="16" t="s">
        <v>87</v>
      </c>
      <c r="J7978" s="19"/>
      <c r="L7978" s="16" t="str">
        <f>IFERROR(__xludf.DUMMYFUNCTION("""COMPUTED_VALUE"""),"")</f>
        <v/>
      </c>
      <c r="M7978" s="16" t="str">
        <f>IFERROR(__xludf.DUMMYFUNCTION("""COMPUTED_VALUE"""),"")</f>
        <v/>
      </c>
      <c r="U7978" s="16" t="s">
        <v>87</v>
      </c>
      <c r="V7978" s="16" t="str">
        <f>IFERROR(__xludf.DUMMYFUNCTION("""COMPUTED_VALUE"""),"")</f>
        <v/>
      </c>
      <c r="W7978" s="16" t="str">
        <f>IFERROR(__xludf.DUMMYFUNCTION("""COMPUTED_VALUE"""),"")</f>
        <v/>
      </c>
      <c r="X7978" s="16" t="str">
        <f>IFERROR(__xludf.DUMMYFUNCTION("""COMPUTED_VALUE"""),"")</f>
        <v/>
      </c>
      <c r="AC7978" s="16" t="str">
        <f>IFERROR(__xludf.DUMMYFUNCTION("""COMPUTED_VALUE"""),"")</f>
        <v/>
      </c>
    </row>
    <row r="7979">
      <c r="A7979" s="16" t="s">
        <v>87</v>
      </c>
      <c r="E7979" s="16" t="str">
        <f>IFERROR(__xludf.DUMMYFUNCTION("""COMPUTED_VALUE"""),"")</f>
        <v/>
      </c>
      <c r="G7979" s="18"/>
      <c r="H7979" s="16" t="s">
        <v>87</v>
      </c>
      <c r="I7979" s="16" t="s">
        <v>87</v>
      </c>
      <c r="J7979" s="19"/>
      <c r="L7979" s="16" t="str">
        <f>IFERROR(__xludf.DUMMYFUNCTION("""COMPUTED_VALUE"""),"")</f>
        <v/>
      </c>
      <c r="M7979" s="16" t="str">
        <f>IFERROR(__xludf.DUMMYFUNCTION("""COMPUTED_VALUE"""),"")</f>
        <v/>
      </c>
      <c r="U7979" s="16" t="s">
        <v>87</v>
      </c>
      <c r="V7979" s="16" t="str">
        <f>IFERROR(__xludf.DUMMYFUNCTION("""COMPUTED_VALUE"""),"")</f>
        <v/>
      </c>
      <c r="W7979" s="16" t="str">
        <f>IFERROR(__xludf.DUMMYFUNCTION("""COMPUTED_VALUE"""),"")</f>
        <v/>
      </c>
      <c r="X7979" s="16" t="str">
        <f>IFERROR(__xludf.DUMMYFUNCTION("""COMPUTED_VALUE"""),"")</f>
        <v/>
      </c>
      <c r="AC7979" s="16" t="str">
        <f>IFERROR(__xludf.DUMMYFUNCTION("""COMPUTED_VALUE"""),"")</f>
        <v/>
      </c>
    </row>
    <row r="7980">
      <c r="A7980" s="16" t="s">
        <v>87</v>
      </c>
      <c r="E7980" s="16" t="str">
        <f>IFERROR(__xludf.DUMMYFUNCTION("""COMPUTED_VALUE"""),"")</f>
        <v/>
      </c>
      <c r="G7980" s="18"/>
      <c r="H7980" s="16" t="s">
        <v>87</v>
      </c>
      <c r="I7980" s="16" t="s">
        <v>87</v>
      </c>
      <c r="J7980" s="19"/>
      <c r="L7980" s="16" t="str">
        <f>IFERROR(__xludf.DUMMYFUNCTION("""COMPUTED_VALUE"""),"")</f>
        <v/>
      </c>
      <c r="M7980" s="16" t="str">
        <f>IFERROR(__xludf.DUMMYFUNCTION("""COMPUTED_VALUE"""),"")</f>
        <v/>
      </c>
      <c r="U7980" s="16" t="s">
        <v>87</v>
      </c>
      <c r="V7980" s="16" t="str">
        <f>IFERROR(__xludf.DUMMYFUNCTION("""COMPUTED_VALUE"""),"")</f>
        <v/>
      </c>
      <c r="W7980" s="16" t="str">
        <f>IFERROR(__xludf.DUMMYFUNCTION("""COMPUTED_VALUE"""),"")</f>
        <v/>
      </c>
      <c r="X7980" s="16" t="str">
        <f>IFERROR(__xludf.DUMMYFUNCTION("""COMPUTED_VALUE"""),"")</f>
        <v/>
      </c>
      <c r="AC7980" s="16" t="str">
        <f>IFERROR(__xludf.DUMMYFUNCTION("""COMPUTED_VALUE"""),"")</f>
        <v/>
      </c>
    </row>
    <row r="7981">
      <c r="A7981" s="16" t="s">
        <v>87</v>
      </c>
      <c r="E7981" s="16" t="str">
        <f>IFERROR(__xludf.DUMMYFUNCTION("""COMPUTED_VALUE"""),"")</f>
        <v/>
      </c>
      <c r="G7981" s="18"/>
      <c r="H7981" s="16" t="s">
        <v>87</v>
      </c>
      <c r="I7981" s="16" t="s">
        <v>87</v>
      </c>
      <c r="J7981" s="19"/>
      <c r="L7981" s="16" t="str">
        <f>IFERROR(__xludf.DUMMYFUNCTION("""COMPUTED_VALUE"""),"")</f>
        <v/>
      </c>
      <c r="M7981" s="16" t="str">
        <f>IFERROR(__xludf.DUMMYFUNCTION("""COMPUTED_VALUE"""),"")</f>
        <v/>
      </c>
      <c r="U7981" s="16" t="s">
        <v>87</v>
      </c>
      <c r="V7981" s="16" t="str">
        <f>IFERROR(__xludf.DUMMYFUNCTION("""COMPUTED_VALUE"""),"")</f>
        <v/>
      </c>
      <c r="W7981" s="16" t="str">
        <f>IFERROR(__xludf.DUMMYFUNCTION("""COMPUTED_VALUE"""),"")</f>
        <v/>
      </c>
      <c r="X7981" s="16" t="str">
        <f>IFERROR(__xludf.DUMMYFUNCTION("""COMPUTED_VALUE"""),"")</f>
        <v/>
      </c>
      <c r="AC7981" s="16" t="str">
        <f>IFERROR(__xludf.DUMMYFUNCTION("""COMPUTED_VALUE"""),"")</f>
        <v/>
      </c>
    </row>
    <row r="7982">
      <c r="A7982" s="16" t="s">
        <v>87</v>
      </c>
      <c r="E7982" s="16" t="str">
        <f>IFERROR(__xludf.DUMMYFUNCTION("""COMPUTED_VALUE"""),"")</f>
        <v/>
      </c>
      <c r="G7982" s="18"/>
      <c r="H7982" s="16" t="s">
        <v>87</v>
      </c>
      <c r="I7982" s="16" t="s">
        <v>87</v>
      </c>
      <c r="J7982" s="19"/>
      <c r="L7982" s="16" t="str">
        <f>IFERROR(__xludf.DUMMYFUNCTION("""COMPUTED_VALUE"""),"")</f>
        <v/>
      </c>
      <c r="M7982" s="16" t="str">
        <f>IFERROR(__xludf.DUMMYFUNCTION("""COMPUTED_VALUE"""),"")</f>
        <v/>
      </c>
      <c r="U7982" s="16" t="s">
        <v>87</v>
      </c>
      <c r="V7982" s="16" t="str">
        <f>IFERROR(__xludf.DUMMYFUNCTION("""COMPUTED_VALUE"""),"")</f>
        <v/>
      </c>
      <c r="W7982" s="16" t="str">
        <f>IFERROR(__xludf.DUMMYFUNCTION("""COMPUTED_VALUE"""),"")</f>
        <v/>
      </c>
      <c r="X7982" s="16" t="str">
        <f>IFERROR(__xludf.DUMMYFUNCTION("""COMPUTED_VALUE"""),"")</f>
        <v/>
      </c>
      <c r="AC7982" s="16" t="str">
        <f>IFERROR(__xludf.DUMMYFUNCTION("""COMPUTED_VALUE"""),"")</f>
        <v/>
      </c>
    </row>
    <row r="7983">
      <c r="A7983" s="16" t="s">
        <v>87</v>
      </c>
      <c r="E7983" s="16" t="str">
        <f>IFERROR(__xludf.DUMMYFUNCTION("""COMPUTED_VALUE"""),"")</f>
        <v/>
      </c>
      <c r="G7983" s="18"/>
      <c r="H7983" s="16" t="s">
        <v>87</v>
      </c>
      <c r="I7983" s="16" t="s">
        <v>87</v>
      </c>
      <c r="J7983" s="19"/>
      <c r="L7983" s="16" t="str">
        <f>IFERROR(__xludf.DUMMYFUNCTION("""COMPUTED_VALUE"""),"")</f>
        <v/>
      </c>
      <c r="M7983" s="16" t="str">
        <f>IFERROR(__xludf.DUMMYFUNCTION("""COMPUTED_VALUE"""),"")</f>
        <v/>
      </c>
      <c r="U7983" s="16" t="s">
        <v>87</v>
      </c>
      <c r="V7983" s="16" t="str">
        <f>IFERROR(__xludf.DUMMYFUNCTION("""COMPUTED_VALUE"""),"")</f>
        <v/>
      </c>
      <c r="W7983" s="16" t="str">
        <f>IFERROR(__xludf.DUMMYFUNCTION("""COMPUTED_VALUE"""),"")</f>
        <v/>
      </c>
      <c r="X7983" s="16" t="str">
        <f>IFERROR(__xludf.DUMMYFUNCTION("""COMPUTED_VALUE"""),"")</f>
        <v/>
      </c>
      <c r="AC7983" s="16" t="str">
        <f>IFERROR(__xludf.DUMMYFUNCTION("""COMPUTED_VALUE"""),"")</f>
        <v/>
      </c>
    </row>
    <row r="7984">
      <c r="A7984" s="16" t="s">
        <v>87</v>
      </c>
      <c r="E7984" s="16" t="str">
        <f>IFERROR(__xludf.DUMMYFUNCTION("""COMPUTED_VALUE"""),"")</f>
        <v/>
      </c>
      <c r="G7984" s="18"/>
      <c r="H7984" s="16" t="s">
        <v>87</v>
      </c>
      <c r="I7984" s="16" t="s">
        <v>87</v>
      </c>
      <c r="J7984" s="19"/>
      <c r="L7984" s="16" t="str">
        <f>IFERROR(__xludf.DUMMYFUNCTION("""COMPUTED_VALUE"""),"")</f>
        <v/>
      </c>
      <c r="M7984" s="16" t="str">
        <f>IFERROR(__xludf.DUMMYFUNCTION("""COMPUTED_VALUE"""),"")</f>
        <v/>
      </c>
      <c r="U7984" s="16" t="s">
        <v>87</v>
      </c>
      <c r="V7984" s="16" t="str">
        <f>IFERROR(__xludf.DUMMYFUNCTION("""COMPUTED_VALUE"""),"")</f>
        <v/>
      </c>
      <c r="W7984" s="16" t="str">
        <f>IFERROR(__xludf.DUMMYFUNCTION("""COMPUTED_VALUE"""),"")</f>
        <v/>
      </c>
      <c r="X7984" s="16" t="str">
        <f>IFERROR(__xludf.DUMMYFUNCTION("""COMPUTED_VALUE"""),"")</f>
        <v/>
      </c>
      <c r="AC7984" s="16" t="str">
        <f>IFERROR(__xludf.DUMMYFUNCTION("""COMPUTED_VALUE"""),"")</f>
        <v/>
      </c>
    </row>
    <row r="7985">
      <c r="A7985" s="16" t="s">
        <v>87</v>
      </c>
      <c r="E7985" s="16" t="str">
        <f>IFERROR(__xludf.DUMMYFUNCTION("""COMPUTED_VALUE"""),"")</f>
        <v/>
      </c>
      <c r="G7985" s="18"/>
      <c r="H7985" s="16" t="s">
        <v>87</v>
      </c>
      <c r="I7985" s="16" t="s">
        <v>87</v>
      </c>
      <c r="J7985" s="19"/>
      <c r="L7985" s="16" t="str">
        <f>IFERROR(__xludf.DUMMYFUNCTION("""COMPUTED_VALUE"""),"")</f>
        <v/>
      </c>
      <c r="M7985" s="16" t="str">
        <f>IFERROR(__xludf.DUMMYFUNCTION("""COMPUTED_VALUE"""),"")</f>
        <v/>
      </c>
      <c r="U7985" s="16" t="s">
        <v>87</v>
      </c>
      <c r="V7985" s="16" t="str">
        <f>IFERROR(__xludf.DUMMYFUNCTION("""COMPUTED_VALUE"""),"")</f>
        <v/>
      </c>
      <c r="W7985" s="16" t="str">
        <f>IFERROR(__xludf.DUMMYFUNCTION("""COMPUTED_VALUE"""),"")</f>
        <v/>
      </c>
      <c r="X7985" s="16" t="str">
        <f>IFERROR(__xludf.DUMMYFUNCTION("""COMPUTED_VALUE"""),"")</f>
        <v/>
      </c>
      <c r="AC7985" s="16" t="str">
        <f>IFERROR(__xludf.DUMMYFUNCTION("""COMPUTED_VALUE"""),"")</f>
        <v/>
      </c>
    </row>
    <row r="7986">
      <c r="A7986" s="16" t="s">
        <v>87</v>
      </c>
      <c r="E7986" s="16" t="str">
        <f>IFERROR(__xludf.DUMMYFUNCTION("""COMPUTED_VALUE"""),"")</f>
        <v/>
      </c>
      <c r="G7986" s="18"/>
      <c r="H7986" s="16" t="s">
        <v>87</v>
      </c>
      <c r="I7986" s="16" t="s">
        <v>87</v>
      </c>
      <c r="J7986" s="19"/>
      <c r="L7986" s="16" t="str">
        <f>IFERROR(__xludf.DUMMYFUNCTION("""COMPUTED_VALUE"""),"")</f>
        <v/>
      </c>
      <c r="M7986" s="16" t="str">
        <f>IFERROR(__xludf.DUMMYFUNCTION("""COMPUTED_VALUE"""),"")</f>
        <v/>
      </c>
      <c r="U7986" s="16" t="s">
        <v>87</v>
      </c>
      <c r="V7986" s="16" t="str">
        <f>IFERROR(__xludf.DUMMYFUNCTION("""COMPUTED_VALUE"""),"")</f>
        <v/>
      </c>
      <c r="W7986" s="16" t="str">
        <f>IFERROR(__xludf.DUMMYFUNCTION("""COMPUTED_VALUE"""),"")</f>
        <v/>
      </c>
      <c r="X7986" s="16" t="str">
        <f>IFERROR(__xludf.DUMMYFUNCTION("""COMPUTED_VALUE"""),"")</f>
        <v/>
      </c>
      <c r="AC7986" s="16" t="str">
        <f>IFERROR(__xludf.DUMMYFUNCTION("""COMPUTED_VALUE"""),"")</f>
        <v/>
      </c>
    </row>
    <row r="7987">
      <c r="A7987" s="16" t="s">
        <v>87</v>
      </c>
      <c r="E7987" s="16" t="str">
        <f>IFERROR(__xludf.DUMMYFUNCTION("""COMPUTED_VALUE"""),"")</f>
        <v/>
      </c>
      <c r="G7987" s="18"/>
      <c r="H7987" s="16" t="s">
        <v>87</v>
      </c>
      <c r="I7987" s="16" t="s">
        <v>87</v>
      </c>
      <c r="J7987" s="19"/>
      <c r="L7987" s="16" t="str">
        <f>IFERROR(__xludf.DUMMYFUNCTION("""COMPUTED_VALUE"""),"")</f>
        <v/>
      </c>
      <c r="M7987" s="16" t="str">
        <f>IFERROR(__xludf.DUMMYFUNCTION("""COMPUTED_VALUE"""),"")</f>
        <v/>
      </c>
      <c r="U7987" s="16" t="s">
        <v>87</v>
      </c>
      <c r="V7987" s="16" t="str">
        <f>IFERROR(__xludf.DUMMYFUNCTION("""COMPUTED_VALUE"""),"")</f>
        <v/>
      </c>
      <c r="W7987" s="16" t="str">
        <f>IFERROR(__xludf.DUMMYFUNCTION("""COMPUTED_VALUE"""),"")</f>
        <v/>
      </c>
      <c r="X7987" s="16" t="str">
        <f>IFERROR(__xludf.DUMMYFUNCTION("""COMPUTED_VALUE"""),"")</f>
        <v/>
      </c>
      <c r="AC7987" s="16" t="str">
        <f>IFERROR(__xludf.DUMMYFUNCTION("""COMPUTED_VALUE"""),"")</f>
        <v/>
      </c>
    </row>
    <row r="7988">
      <c r="A7988" s="16" t="s">
        <v>87</v>
      </c>
      <c r="E7988" s="16" t="str">
        <f>IFERROR(__xludf.DUMMYFUNCTION("""COMPUTED_VALUE"""),"")</f>
        <v/>
      </c>
      <c r="G7988" s="18"/>
      <c r="H7988" s="16" t="s">
        <v>87</v>
      </c>
      <c r="I7988" s="16" t="s">
        <v>87</v>
      </c>
      <c r="J7988" s="19"/>
      <c r="L7988" s="16" t="str">
        <f>IFERROR(__xludf.DUMMYFUNCTION("""COMPUTED_VALUE"""),"")</f>
        <v/>
      </c>
      <c r="M7988" s="16" t="str">
        <f>IFERROR(__xludf.DUMMYFUNCTION("""COMPUTED_VALUE"""),"")</f>
        <v/>
      </c>
      <c r="U7988" s="16" t="s">
        <v>87</v>
      </c>
      <c r="V7988" s="16" t="str">
        <f>IFERROR(__xludf.DUMMYFUNCTION("""COMPUTED_VALUE"""),"")</f>
        <v/>
      </c>
      <c r="W7988" s="16" t="str">
        <f>IFERROR(__xludf.DUMMYFUNCTION("""COMPUTED_VALUE"""),"")</f>
        <v/>
      </c>
      <c r="X7988" s="16" t="str">
        <f>IFERROR(__xludf.DUMMYFUNCTION("""COMPUTED_VALUE"""),"")</f>
        <v/>
      </c>
      <c r="AC7988" s="16" t="str">
        <f>IFERROR(__xludf.DUMMYFUNCTION("""COMPUTED_VALUE"""),"")</f>
        <v/>
      </c>
    </row>
    <row r="7989">
      <c r="A7989" s="16" t="s">
        <v>87</v>
      </c>
      <c r="E7989" s="16" t="str">
        <f>IFERROR(__xludf.DUMMYFUNCTION("""COMPUTED_VALUE"""),"")</f>
        <v/>
      </c>
      <c r="G7989" s="18"/>
      <c r="H7989" s="16" t="s">
        <v>87</v>
      </c>
      <c r="I7989" s="16" t="s">
        <v>87</v>
      </c>
      <c r="J7989" s="19"/>
      <c r="L7989" s="16" t="str">
        <f>IFERROR(__xludf.DUMMYFUNCTION("""COMPUTED_VALUE"""),"")</f>
        <v/>
      </c>
      <c r="M7989" s="16" t="str">
        <f>IFERROR(__xludf.DUMMYFUNCTION("""COMPUTED_VALUE"""),"")</f>
        <v/>
      </c>
      <c r="U7989" s="16" t="s">
        <v>87</v>
      </c>
      <c r="V7989" s="16" t="str">
        <f>IFERROR(__xludf.DUMMYFUNCTION("""COMPUTED_VALUE"""),"")</f>
        <v/>
      </c>
      <c r="W7989" s="16" t="str">
        <f>IFERROR(__xludf.DUMMYFUNCTION("""COMPUTED_VALUE"""),"")</f>
        <v/>
      </c>
      <c r="X7989" s="16" t="str">
        <f>IFERROR(__xludf.DUMMYFUNCTION("""COMPUTED_VALUE"""),"")</f>
        <v/>
      </c>
      <c r="AC7989" s="16" t="str">
        <f>IFERROR(__xludf.DUMMYFUNCTION("""COMPUTED_VALUE"""),"")</f>
        <v/>
      </c>
    </row>
    <row r="7990">
      <c r="A7990" s="16" t="s">
        <v>87</v>
      </c>
      <c r="E7990" s="16" t="str">
        <f>IFERROR(__xludf.DUMMYFUNCTION("""COMPUTED_VALUE"""),"")</f>
        <v/>
      </c>
      <c r="G7990" s="18"/>
      <c r="H7990" s="16" t="s">
        <v>87</v>
      </c>
      <c r="I7990" s="16" t="s">
        <v>87</v>
      </c>
      <c r="J7990" s="19"/>
      <c r="L7990" s="16" t="str">
        <f>IFERROR(__xludf.DUMMYFUNCTION("""COMPUTED_VALUE"""),"")</f>
        <v/>
      </c>
      <c r="M7990" s="16" t="str">
        <f>IFERROR(__xludf.DUMMYFUNCTION("""COMPUTED_VALUE"""),"")</f>
        <v/>
      </c>
      <c r="U7990" s="16" t="s">
        <v>87</v>
      </c>
      <c r="V7990" s="16" t="str">
        <f>IFERROR(__xludf.DUMMYFUNCTION("""COMPUTED_VALUE"""),"")</f>
        <v/>
      </c>
      <c r="W7990" s="16" t="str">
        <f>IFERROR(__xludf.DUMMYFUNCTION("""COMPUTED_VALUE"""),"")</f>
        <v/>
      </c>
      <c r="X7990" s="16" t="str">
        <f>IFERROR(__xludf.DUMMYFUNCTION("""COMPUTED_VALUE"""),"")</f>
        <v/>
      </c>
      <c r="AC7990" s="16" t="str">
        <f>IFERROR(__xludf.DUMMYFUNCTION("""COMPUTED_VALUE"""),"")</f>
        <v/>
      </c>
    </row>
    <row r="7991">
      <c r="A7991" s="16" t="s">
        <v>87</v>
      </c>
      <c r="E7991" s="16" t="str">
        <f>IFERROR(__xludf.DUMMYFUNCTION("""COMPUTED_VALUE"""),"")</f>
        <v/>
      </c>
      <c r="G7991" s="18"/>
      <c r="H7991" s="16" t="s">
        <v>87</v>
      </c>
      <c r="I7991" s="16" t="s">
        <v>87</v>
      </c>
      <c r="J7991" s="19"/>
      <c r="L7991" s="16" t="str">
        <f>IFERROR(__xludf.DUMMYFUNCTION("""COMPUTED_VALUE"""),"")</f>
        <v/>
      </c>
      <c r="M7991" s="16" t="str">
        <f>IFERROR(__xludf.DUMMYFUNCTION("""COMPUTED_VALUE"""),"")</f>
        <v/>
      </c>
      <c r="U7991" s="16" t="s">
        <v>87</v>
      </c>
      <c r="V7991" s="16" t="str">
        <f>IFERROR(__xludf.DUMMYFUNCTION("""COMPUTED_VALUE"""),"")</f>
        <v/>
      </c>
      <c r="W7991" s="16" t="str">
        <f>IFERROR(__xludf.DUMMYFUNCTION("""COMPUTED_VALUE"""),"")</f>
        <v/>
      </c>
      <c r="X7991" s="16" t="str">
        <f>IFERROR(__xludf.DUMMYFUNCTION("""COMPUTED_VALUE"""),"")</f>
        <v/>
      </c>
      <c r="AC7991" s="16" t="str">
        <f>IFERROR(__xludf.DUMMYFUNCTION("""COMPUTED_VALUE"""),"")</f>
        <v/>
      </c>
    </row>
    <row r="7992">
      <c r="A7992" s="16" t="s">
        <v>87</v>
      </c>
      <c r="E7992" s="16" t="str">
        <f>IFERROR(__xludf.DUMMYFUNCTION("""COMPUTED_VALUE"""),"")</f>
        <v/>
      </c>
      <c r="G7992" s="18"/>
      <c r="H7992" s="16" t="s">
        <v>87</v>
      </c>
      <c r="I7992" s="16" t="s">
        <v>87</v>
      </c>
      <c r="J7992" s="19"/>
      <c r="L7992" s="16" t="str">
        <f>IFERROR(__xludf.DUMMYFUNCTION("""COMPUTED_VALUE"""),"")</f>
        <v/>
      </c>
      <c r="M7992" s="16" t="str">
        <f>IFERROR(__xludf.DUMMYFUNCTION("""COMPUTED_VALUE"""),"")</f>
        <v/>
      </c>
      <c r="U7992" s="16" t="s">
        <v>87</v>
      </c>
      <c r="V7992" s="16" t="str">
        <f>IFERROR(__xludf.DUMMYFUNCTION("""COMPUTED_VALUE"""),"")</f>
        <v/>
      </c>
      <c r="W7992" s="16" t="str">
        <f>IFERROR(__xludf.DUMMYFUNCTION("""COMPUTED_VALUE"""),"")</f>
        <v/>
      </c>
      <c r="X7992" s="16" t="str">
        <f>IFERROR(__xludf.DUMMYFUNCTION("""COMPUTED_VALUE"""),"")</f>
        <v/>
      </c>
      <c r="AC7992" s="16" t="str">
        <f>IFERROR(__xludf.DUMMYFUNCTION("""COMPUTED_VALUE"""),"")</f>
        <v/>
      </c>
    </row>
    <row r="7993">
      <c r="A7993" s="16" t="s">
        <v>87</v>
      </c>
      <c r="E7993" s="16" t="str">
        <f>IFERROR(__xludf.DUMMYFUNCTION("""COMPUTED_VALUE"""),"")</f>
        <v/>
      </c>
      <c r="G7993" s="18"/>
      <c r="H7993" s="16" t="s">
        <v>87</v>
      </c>
      <c r="I7993" s="16" t="s">
        <v>87</v>
      </c>
      <c r="J7993" s="19"/>
      <c r="L7993" s="16" t="str">
        <f>IFERROR(__xludf.DUMMYFUNCTION("""COMPUTED_VALUE"""),"")</f>
        <v/>
      </c>
      <c r="M7993" s="16" t="str">
        <f>IFERROR(__xludf.DUMMYFUNCTION("""COMPUTED_VALUE"""),"")</f>
        <v/>
      </c>
      <c r="U7993" s="16" t="s">
        <v>87</v>
      </c>
      <c r="V7993" s="16" t="str">
        <f>IFERROR(__xludf.DUMMYFUNCTION("""COMPUTED_VALUE"""),"")</f>
        <v/>
      </c>
      <c r="W7993" s="16" t="str">
        <f>IFERROR(__xludf.DUMMYFUNCTION("""COMPUTED_VALUE"""),"")</f>
        <v/>
      </c>
      <c r="X7993" s="16" t="str">
        <f>IFERROR(__xludf.DUMMYFUNCTION("""COMPUTED_VALUE"""),"")</f>
        <v/>
      </c>
      <c r="AC7993" s="16" t="str">
        <f>IFERROR(__xludf.DUMMYFUNCTION("""COMPUTED_VALUE"""),"")</f>
        <v/>
      </c>
    </row>
    <row r="7994">
      <c r="A7994" s="16" t="s">
        <v>87</v>
      </c>
      <c r="E7994" s="16" t="str">
        <f>IFERROR(__xludf.DUMMYFUNCTION("""COMPUTED_VALUE"""),"")</f>
        <v/>
      </c>
      <c r="G7994" s="18"/>
      <c r="H7994" s="16" t="s">
        <v>87</v>
      </c>
      <c r="I7994" s="16" t="s">
        <v>87</v>
      </c>
      <c r="J7994" s="19"/>
      <c r="L7994" s="16" t="str">
        <f>IFERROR(__xludf.DUMMYFUNCTION("""COMPUTED_VALUE"""),"")</f>
        <v/>
      </c>
      <c r="M7994" s="16" t="str">
        <f>IFERROR(__xludf.DUMMYFUNCTION("""COMPUTED_VALUE"""),"")</f>
        <v/>
      </c>
      <c r="U7994" s="16" t="s">
        <v>87</v>
      </c>
      <c r="V7994" s="16" t="str">
        <f>IFERROR(__xludf.DUMMYFUNCTION("""COMPUTED_VALUE"""),"")</f>
        <v/>
      </c>
      <c r="W7994" s="16" t="str">
        <f>IFERROR(__xludf.DUMMYFUNCTION("""COMPUTED_VALUE"""),"")</f>
        <v/>
      </c>
      <c r="X7994" s="16" t="str">
        <f>IFERROR(__xludf.DUMMYFUNCTION("""COMPUTED_VALUE"""),"")</f>
        <v/>
      </c>
      <c r="AC7994" s="16" t="str">
        <f>IFERROR(__xludf.DUMMYFUNCTION("""COMPUTED_VALUE"""),"")</f>
        <v/>
      </c>
    </row>
    <row r="7995">
      <c r="A7995" s="16" t="s">
        <v>87</v>
      </c>
      <c r="E7995" s="16" t="str">
        <f>IFERROR(__xludf.DUMMYFUNCTION("""COMPUTED_VALUE"""),"")</f>
        <v/>
      </c>
      <c r="G7995" s="18"/>
      <c r="H7995" s="16" t="s">
        <v>87</v>
      </c>
      <c r="I7995" s="16" t="s">
        <v>87</v>
      </c>
      <c r="J7995" s="19"/>
      <c r="L7995" s="16" t="str">
        <f>IFERROR(__xludf.DUMMYFUNCTION("""COMPUTED_VALUE"""),"")</f>
        <v/>
      </c>
      <c r="M7995" s="16" t="str">
        <f>IFERROR(__xludf.DUMMYFUNCTION("""COMPUTED_VALUE"""),"")</f>
        <v/>
      </c>
      <c r="U7995" s="16" t="s">
        <v>87</v>
      </c>
      <c r="V7995" s="16" t="str">
        <f>IFERROR(__xludf.DUMMYFUNCTION("""COMPUTED_VALUE"""),"")</f>
        <v/>
      </c>
      <c r="W7995" s="16" t="str">
        <f>IFERROR(__xludf.DUMMYFUNCTION("""COMPUTED_VALUE"""),"")</f>
        <v/>
      </c>
      <c r="X7995" s="16" t="str">
        <f>IFERROR(__xludf.DUMMYFUNCTION("""COMPUTED_VALUE"""),"")</f>
        <v/>
      </c>
      <c r="AC7995" s="16" t="str">
        <f>IFERROR(__xludf.DUMMYFUNCTION("""COMPUTED_VALUE"""),"")</f>
        <v/>
      </c>
    </row>
    <row r="7996">
      <c r="A7996" s="16" t="s">
        <v>87</v>
      </c>
      <c r="E7996" s="16" t="str">
        <f>IFERROR(__xludf.DUMMYFUNCTION("""COMPUTED_VALUE"""),"")</f>
        <v/>
      </c>
      <c r="G7996" s="18"/>
      <c r="H7996" s="16" t="s">
        <v>87</v>
      </c>
      <c r="I7996" s="16" t="s">
        <v>87</v>
      </c>
      <c r="J7996" s="19"/>
      <c r="L7996" s="16" t="str">
        <f>IFERROR(__xludf.DUMMYFUNCTION("""COMPUTED_VALUE"""),"")</f>
        <v/>
      </c>
      <c r="M7996" s="16" t="str">
        <f>IFERROR(__xludf.DUMMYFUNCTION("""COMPUTED_VALUE"""),"")</f>
        <v/>
      </c>
      <c r="U7996" s="16" t="s">
        <v>87</v>
      </c>
      <c r="V7996" s="16" t="str">
        <f>IFERROR(__xludf.DUMMYFUNCTION("""COMPUTED_VALUE"""),"")</f>
        <v/>
      </c>
      <c r="W7996" s="16" t="str">
        <f>IFERROR(__xludf.DUMMYFUNCTION("""COMPUTED_VALUE"""),"")</f>
        <v/>
      </c>
      <c r="X7996" s="16" t="str">
        <f>IFERROR(__xludf.DUMMYFUNCTION("""COMPUTED_VALUE"""),"")</f>
        <v/>
      </c>
      <c r="AC7996" s="16" t="str">
        <f>IFERROR(__xludf.DUMMYFUNCTION("""COMPUTED_VALUE"""),"")</f>
        <v/>
      </c>
    </row>
    <row r="7997">
      <c r="A7997" s="16" t="s">
        <v>87</v>
      </c>
      <c r="E7997" s="16" t="str">
        <f>IFERROR(__xludf.DUMMYFUNCTION("""COMPUTED_VALUE"""),"")</f>
        <v/>
      </c>
      <c r="G7997" s="18"/>
      <c r="H7997" s="16" t="s">
        <v>87</v>
      </c>
      <c r="I7997" s="16" t="s">
        <v>87</v>
      </c>
      <c r="J7997" s="19"/>
      <c r="L7997" s="16" t="str">
        <f>IFERROR(__xludf.DUMMYFUNCTION("""COMPUTED_VALUE"""),"")</f>
        <v/>
      </c>
      <c r="M7997" s="16" t="str">
        <f>IFERROR(__xludf.DUMMYFUNCTION("""COMPUTED_VALUE"""),"")</f>
        <v/>
      </c>
      <c r="U7997" s="16" t="s">
        <v>87</v>
      </c>
      <c r="V7997" s="16" t="str">
        <f>IFERROR(__xludf.DUMMYFUNCTION("""COMPUTED_VALUE"""),"")</f>
        <v/>
      </c>
      <c r="W7997" s="16" t="str">
        <f>IFERROR(__xludf.DUMMYFUNCTION("""COMPUTED_VALUE"""),"")</f>
        <v/>
      </c>
      <c r="X7997" s="16" t="str">
        <f>IFERROR(__xludf.DUMMYFUNCTION("""COMPUTED_VALUE"""),"")</f>
        <v/>
      </c>
      <c r="AC7997" s="16" t="str">
        <f>IFERROR(__xludf.DUMMYFUNCTION("""COMPUTED_VALUE"""),"")</f>
        <v/>
      </c>
    </row>
    <row r="7998">
      <c r="A7998" s="16" t="s">
        <v>87</v>
      </c>
      <c r="E7998" s="16" t="str">
        <f>IFERROR(__xludf.DUMMYFUNCTION("""COMPUTED_VALUE"""),"")</f>
        <v/>
      </c>
      <c r="G7998" s="18"/>
      <c r="H7998" s="16" t="s">
        <v>87</v>
      </c>
      <c r="I7998" s="16" t="s">
        <v>87</v>
      </c>
      <c r="J7998" s="19"/>
      <c r="L7998" s="16" t="str">
        <f>IFERROR(__xludf.DUMMYFUNCTION("""COMPUTED_VALUE"""),"")</f>
        <v/>
      </c>
      <c r="M7998" s="16" t="str">
        <f>IFERROR(__xludf.DUMMYFUNCTION("""COMPUTED_VALUE"""),"")</f>
        <v/>
      </c>
      <c r="U7998" s="16" t="s">
        <v>87</v>
      </c>
      <c r="V7998" s="16" t="str">
        <f>IFERROR(__xludf.DUMMYFUNCTION("""COMPUTED_VALUE"""),"")</f>
        <v/>
      </c>
      <c r="W7998" s="16" t="str">
        <f>IFERROR(__xludf.DUMMYFUNCTION("""COMPUTED_VALUE"""),"")</f>
        <v/>
      </c>
      <c r="X7998" s="16" t="str">
        <f>IFERROR(__xludf.DUMMYFUNCTION("""COMPUTED_VALUE"""),"")</f>
        <v/>
      </c>
      <c r="AC7998" s="16" t="str">
        <f>IFERROR(__xludf.DUMMYFUNCTION("""COMPUTED_VALUE"""),"")</f>
        <v/>
      </c>
    </row>
    <row r="7999">
      <c r="A7999" s="16" t="s">
        <v>87</v>
      </c>
      <c r="E7999" s="16" t="str">
        <f>IFERROR(__xludf.DUMMYFUNCTION("""COMPUTED_VALUE"""),"")</f>
        <v/>
      </c>
      <c r="G7999" s="18"/>
      <c r="H7999" s="16" t="s">
        <v>87</v>
      </c>
      <c r="I7999" s="16" t="s">
        <v>87</v>
      </c>
      <c r="J7999" s="19"/>
      <c r="L7999" s="16" t="str">
        <f>IFERROR(__xludf.DUMMYFUNCTION("""COMPUTED_VALUE"""),"")</f>
        <v/>
      </c>
      <c r="M7999" s="16" t="str">
        <f>IFERROR(__xludf.DUMMYFUNCTION("""COMPUTED_VALUE"""),"")</f>
        <v/>
      </c>
      <c r="U7999" s="16" t="s">
        <v>87</v>
      </c>
      <c r="V7999" s="16" t="str">
        <f>IFERROR(__xludf.DUMMYFUNCTION("""COMPUTED_VALUE"""),"")</f>
        <v/>
      </c>
      <c r="W7999" s="16" t="str">
        <f>IFERROR(__xludf.DUMMYFUNCTION("""COMPUTED_VALUE"""),"")</f>
        <v/>
      </c>
      <c r="X7999" s="16" t="str">
        <f>IFERROR(__xludf.DUMMYFUNCTION("""COMPUTED_VALUE"""),"")</f>
        <v/>
      </c>
      <c r="AC7999" s="16" t="str">
        <f>IFERROR(__xludf.DUMMYFUNCTION("""COMPUTED_VALUE"""),"")</f>
        <v/>
      </c>
    </row>
    <row r="8000">
      <c r="A8000" s="16" t="s">
        <v>87</v>
      </c>
      <c r="E8000" s="16" t="str">
        <f>IFERROR(__xludf.DUMMYFUNCTION("""COMPUTED_VALUE"""),"")</f>
        <v/>
      </c>
      <c r="G8000" s="18"/>
      <c r="H8000" s="16" t="s">
        <v>87</v>
      </c>
      <c r="I8000" s="16" t="s">
        <v>87</v>
      </c>
      <c r="J8000" s="19"/>
      <c r="L8000" s="16" t="str">
        <f>IFERROR(__xludf.DUMMYFUNCTION("""COMPUTED_VALUE"""),"")</f>
        <v/>
      </c>
      <c r="M8000" s="16" t="str">
        <f>IFERROR(__xludf.DUMMYFUNCTION("""COMPUTED_VALUE"""),"")</f>
        <v/>
      </c>
      <c r="U8000" s="16" t="s">
        <v>87</v>
      </c>
      <c r="V8000" s="16" t="str">
        <f>IFERROR(__xludf.DUMMYFUNCTION("""COMPUTED_VALUE"""),"")</f>
        <v/>
      </c>
      <c r="W8000" s="16" t="str">
        <f>IFERROR(__xludf.DUMMYFUNCTION("""COMPUTED_VALUE"""),"")</f>
        <v/>
      </c>
      <c r="X8000" s="16" t="str">
        <f>IFERROR(__xludf.DUMMYFUNCTION("""COMPUTED_VALUE"""),"")</f>
        <v/>
      </c>
      <c r="AC8000" s="16" t="str">
        <f>IFERROR(__xludf.DUMMYFUNCTION("""COMPUTED_VALUE"""),"")</f>
        <v/>
      </c>
    </row>
    <row r="8001">
      <c r="A8001" s="16" t="s">
        <v>87</v>
      </c>
      <c r="E8001" s="16" t="str">
        <f>IFERROR(__xludf.DUMMYFUNCTION("""COMPUTED_VALUE"""),"")</f>
        <v/>
      </c>
      <c r="G8001" s="18"/>
      <c r="H8001" s="16" t="s">
        <v>87</v>
      </c>
      <c r="I8001" s="16" t="s">
        <v>87</v>
      </c>
      <c r="J8001" s="19"/>
      <c r="L8001" s="16" t="str">
        <f>IFERROR(__xludf.DUMMYFUNCTION("""COMPUTED_VALUE"""),"")</f>
        <v/>
      </c>
      <c r="M8001" s="16" t="str">
        <f>IFERROR(__xludf.DUMMYFUNCTION("""COMPUTED_VALUE"""),"")</f>
        <v/>
      </c>
      <c r="U8001" s="16" t="s">
        <v>87</v>
      </c>
      <c r="V8001" s="16" t="str">
        <f>IFERROR(__xludf.DUMMYFUNCTION("""COMPUTED_VALUE"""),"")</f>
        <v/>
      </c>
      <c r="W8001" s="16" t="str">
        <f>IFERROR(__xludf.DUMMYFUNCTION("""COMPUTED_VALUE"""),"")</f>
        <v/>
      </c>
      <c r="X8001" s="16" t="str">
        <f>IFERROR(__xludf.DUMMYFUNCTION("""COMPUTED_VALUE"""),"")</f>
        <v/>
      </c>
      <c r="AC8001" s="16" t="str">
        <f>IFERROR(__xludf.DUMMYFUNCTION("""COMPUTED_VALUE"""),"")</f>
        <v/>
      </c>
    </row>
    <row r="8002">
      <c r="A8002" s="16" t="s">
        <v>87</v>
      </c>
      <c r="E8002" s="16" t="str">
        <f>IFERROR(__xludf.DUMMYFUNCTION("""COMPUTED_VALUE"""),"")</f>
        <v/>
      </c>
      <c r="G8002" s="18"/>
      <c r="H8002" s="16" t="s">
        <v>87</v>
      </c>
      <c r="I8002" s="16" t="s">
        <v>87</v>
      </c>
      <c r="J8002" s="19"/>
      <c r="L8002" s="16" t="str">
        <f>IFERROR(__xludf.DUMMYFUNCTION("""COMPUTED_VALUE"""),"")</f>
        <v/>
      </c>
      <c r="M8002" s="16" t="str">
        <f>IFERROR(__xludf.DUMMYFUNCTION("""COMPUTED_VALUE"""),"")</f>
        <v/>
      </c>
      <c r="U8002" s="16" t="s">
        <v>87</v>
      </c>
      <c r="V8002" s="16" t="str">
        <f>IFERROR(__xludf.DUMMYFUNCTION("""COMPUTED_VALUE"""),"")</f>
        <v/>
      </c>
      <c r="W8002" s="16" t="str">
        <f>IFERROR(__xludf.DUMMYFUNCTION("""COMPUTED_VALUE"""),"")</f>
        <v/>
      </c>
      <c r="X8002" s="16" t="str">
        <f>IFERROR(__xludf.DUMMYFUNCTION("""COMPUTED_VALUE"""),"")</f>
        <v/>
      </c>
      <c r="AC8002" s="16" t="str">
        <f>IFERROR(__xludf.DUMMYFUNCTION("""COMPUTED_VALUE"""),"")</f>
        <v/>
      </c>
    </row>
    <row r="8003">
      <c r="A8003" s="16" t="s">
        <v>87</v>
      </c>
      <c r="E8003" s="16" t="str">
        <f>IFERROR(__xludf.DUMMYFUNCTION("""COMPUTED_VALUE"""),"")</f>
        <v/>
      </c>
      <c r="G8003" s="18"/>
      <c r="H8003" s="16" t="s">
        <v>87</v>
      </c>
      <c r="I8003" s="16" t="s">
        <v>87</v>
      </c>
      <c r="J8003" s="19"/>
      <c r="L8003" s="16" t="str">
        <f>IFERROR(__xludf.DUMMYFUNCTION("""COMPUTED_VALUE"""),"")</f>
        <v/>
      </c>
      <c r="M8003" s="16" t="str">
        <f>IFERROR(__xludf.DUMMYFUNCTION("""COMPUTED_VALUE"""),"")</f>
        <v/>
      </c>
      <c r="U8003" s="16" t="s">
        <v>87</v>
      </c>
      <c r="V8003" s="16" t="str">
        <f>IFERROR(__xludf.DUMMYFUNCTION("""COMPUTED_VALUE"""),"")</f>
        <v/>
      </c>
      <c r="W8003" s="16" t="str">
        <f>IFERROR(__xludf.DUMMYFUNCTION("""COMPUTED_VALUE"""),"")</f>
        <v/>
      </c>
      <c r="X8003" s="16" t="str">
        <f>IFERROR(__xludf.DUMMYFUNCTION("""COMPUTED_VALUE"""),"")</f>
        <v/>
      </c>
      <c r="AC8003" s="16" t="str">
        <f>IFERROR(__xludf.DUMMYFUNCTION("""COMPUTED_VALUE"""),"")</f>
        <v/>
      </c>
    </row>
    <row r="8004">
      <c r="A8004" s="16" t="s">
        <v>87</v>
      </c>
      <c r="E8004" s="16" t="str">
        <f>IFERROR(__xludf.DUMMYFUNCTION("""COMPUTED_VALUE"""),"")</f>
        <v/>
      </c>
      <c r="G8004" s="18"/>
      <c r="H8004" s="16" t="s">
        <v>87</v>
      </c>
      <c r="I8004" s="16" t="s">
        <v>87</v>
      </c>
      <c r="J8004" s="19"/>
      <c r="L8004" s="16" t="str">
        <f>IFERROR(__xludf.DUMMYFUNCTION("""COMPUTED_VALUE"""),"")</f>
        <v/>
      </c>
      <c r="M8004" s="16" t="str">
        <f>IFERROR(__xludf.DUMMYFUNCTION("""COMPUTED_VALUE"""),"")</f>
        <v/>
      </c>
      <c r="U8004" s="16" t="s">
        <v>87</v>
      </c>
      <c r="V8004" s="16" t="str">
        <f>IFERROR(__xludf.DUMMYFUNCTION("""COMPUTED_VALUE"""),"")</f>
        <v/>
      </c>
      <c r="W8004" s="16" t="str">
        <f>IFERROR(__xludf.DUMMYFUNCTION("""COMPUTED_VALUE"""),"")</f>
        <v/>
      </c>
      <c r="X8004" s="16" t="str">
        <f>IFERROR(__xludf.DUMMYFUNCTION("""COMPUTED_VALUE"""),"")</f>
        <v/>
      </c>
      <c r="AC8004" s="16" t="str">
        <f>IFERROR(__xludf.DUMMYFUNCTION("""COMPUTED_VALUE"""),"")</f>
        <v/>
      </c>
    </row>
    <row r="8005">
      <c r="A8005" s="16" t="s">
        <v>87</v>
      </c>
      <c r="E8005" s="16" t="str">
        <f>IFERROR(__xludf.DUMMYFUNCTION("""COMPUTED_VALUE"""),"")</f>
        <v/>
      </c>
      <c r="G8005" s="18"/>
      <c r="H8005" s="16" t="s">
        <v>87</v>
      </c>
      <c r="I8005" s="16" t="s">
        <v>87</v>
      </c>
      <c r="J8005" s="19"/>
      <c r="L8005" s="16" t="str">
        <f>IFERROR(__xludf.DUMMYFUNCTION("""COMPUTED_VALUE"""),"")</f>
        <v/>
      </c>
      <c r="M8005" s="16" t="str">
        <f>IFERROR(__xludf.DUMMYFUNCTION("""COMPUTED_VALUE"""),"")</f>
        <v/>
      </c>
      <c r="U8005" s="16" t="s">
        <v>87</v>
      </c>
      <c r="V8005" s="16" t="str">
        <f>IFERROR(__xludf.DUMMYFUNCTION("""COMPUTED_VALUE"""),"")</f>
        <v/>
      </c>
      <c r="W8005" s="16" t="str">
        <f>IFERROR(__xludf.DUMMYFUNCTION("""COMPUTED_VALUE"""),"")</f>
        <v/>
      </c>
      <c r="X8005" s="16" t="str">
        <f>IFERROR(__xludf.DUMMYFUNCTION("""COMPUTED_VALUE"""),"")</f>
        <v/>
      </c>
      <c r="AC8005" s="16" t="str">
        <f>IFERROR(__xludf.DUMMYFUNCTION("""COMPUTED_VALUE"""),"")</f>
        <v/>
      </c>
    </row>
    <row r="8006">
      <c r="A8006" s="16" t="s">
        <v>87</v>
      </c>
      <c r="E8006" s="16" t="str">
        <f>IFERROR(__xludf.DUMMYFUNCTION("""COMPUTED_VALUE"""),"")</f>
        <v/>
      </c>
      <c r="G8006" s="18"/>
      <c r="H8006" s="16" t="s">
        <v>87</v>
      </c>
      <c r="I8006" s="16" t="s">
        <v>87</v>
      </c>
      <c r="J8006" s="19"/>
      <c r="L8006" s="16" t="str">
        <f>IFERROR(__xludf.DUMMYFUNCTION("""COMPUTED_VALUE"""),"")</f>
        <v/>
      </c>
      <c r="M8006" s="16" t="str">
        <f>IFERROR(__xludf.DUMMYFUNCTION("""COMPUTED_VALUE"""),"")</f>
        <v/>
      </c>
      <c r="U8006" s="16" t="s">
        <v>87</v>
      </c>
      <c r="V8006" s="16" t="str">
        <f>IFERROR(__xludf.DUMMYFUNCTION("""COMPUTED_VALUE"""),"")</f>
        <v/>
      </c>
      <c r="W8006" s="16" t="str">
        <f>IFERROR(__xludf.DUMMYFUNCTION("""COMPUTED_VALUE"""),"")</f>
        <v/>
      </c>
      <c r="X8006" s="16" t="str">
        <f>IFERROR(__xludf.DUMMYFUNCTION("""COMPUTED_VALUE"""),"")</f>
        <v/>
      </c>
      <c r="AC8006" s="16" t="str">
        <f>IFERROR(__xludf.DUMMYFUNCTION("""COMPUTED_VALUE"""),"")</f>
        <v/>
      </c>
    </row>
    <row r="8007">
      <c r="A8007" s="16" t="s">
        <v>87</v>
      </c>
      <c r="E8007" s="16" t="str">
        <f>IFERROR(__xludf.DUMMYFUNCTION("""COMPUTED_VALUE"""),"")</f>
        <v/>
      </c>
      <c r="G8007" s="18"/>
      <c r="H8007" s="16" t="s">
        <v>87</v>
      </c>
      <c r="I8007" s="16" t="s">
        <v>87</v>
      </c>
      <c r="J8007" s="19"/>
      <c r="L8007" s="16" t="str">
        <f>IFERROR(__xludf.DUMMYFUNCTION("""COMPUTED_VALUE"""),"")</f>
        <v/>
      </c>
      <c r="M8007" s="16" t="str">
        <f>IFERROR(__xludf.DUMMYFUNCTION("""COMPUTED_VALUE"""),"")</f>
        <v/>
      </c>
      <c r="U8007" s="16" t="s">
        <v>87</v>
      </c>
      <c r="V8007" s="16" t="str">
        <f>IFERROR(__xludf.DUMMYFUNCTION("""COMPUTED_VALUE"""),"")</f>
        <v/>
      </c>
      <c r="W8007" s="16" t="str">
        <f>IFERROR(__xludf.DUMMYFUNCTION("""COMPUTED_VALUE"""),"")</f>
        <v/>
      </c>
      <c r="X8007" s="16" t="str">
        <f>IFERROR(__xludf.DUMMYFUNCTION("""COMPUTED_VALUE"""),"")</f>
        <v/>
      </c>
      <c r="AC8007" s="16" t="str">
        <f>IFERROR(__xludf.DUMMYFUNCTION("""COMPUTED_VALUE"""),"")</f>
        <v/>
      </c>
    </row>
    <row r="8008">
      <c r="A8008" s="16" t="s">
        <v>87</v>
      </c>
      <c r="E8008" s="16" t="str">
        <f>IFERROR(__xludf.DUMMYFUNCTION("""COMPUTED_VALUE"""),"")</f>
        <v/>
      </c>
      <c r="G8008" s="18"/>
      <c r="H8008" s="16" t="s">
        <v>87</v>
      </c>
      <c r="I8008" s="16" t="s">
        <v>87</v>
      </c>
      <c r="J8008" s="19"/>
      <c r="L8008" s="16" t="str">
        <f>IFERROR(__xludf.DUMMYFUNCTION("""COMPUTED_VALUE"""),"")</f>
        <v/>
      </c>
      <c r="M8008" s="16" t="str">
        <f>IFERROR(__xludf.DUMMYFUNCTION("""COMPUTED_VALUE"""),"")</f>
        <v/>
      </c>
      <c r="U8008" s="16" t="s">
        <v>87</v>
      </c>
      <c r="V8008" s="16" t="str">
        <f>IFERROR(__xludf.DUMMYFUNCTION("""COMPUTED_VALUE"""),"")</f>
        <v/>
      </c>
      <c r="W8008" s="16" t="str">
        <f>IFERROR(__xludf.DUMMYFUNCTION("""COMPUTED_VALUE"""),"")</f>
        <v/>
      </c>
      <c r="X8008" s="16" t="str">
        <f>IFERROR(__xludf.DUMMYFUNCTION("""COMPUTED_VALUE"""),"")</f>
        <v/>
      </c>
      <c r="AC8008" s="16" t="str">
        <f>IFERROR(__xludf.DUMMYFUNCTION("""COMPUTED_VALUE"""),"")</f>
        <v/>
      </c>
    </row>
    <row r="8009">
      <c r="A8009" s="16" t="s">
        <v>87</v>
      </c>
      <c r="E8009" s="16" t="str">
        <f>IFERROR(__xludf.DUMMYFUNCTION("""COMPUTED_VALUE"""),"")</f>
        <v/>
      </c>
      <c r="G8009" s="18"/>
      <c r="H8009" s="16" t="s">
        <v>87</v>
      </c>
      <c r="I8009" s="16" t="s">
        <v>87</v>
      </c>
      <c r="J8009" s="19"/>
      <c r="L8009" s="16" t="str">
        <f>IFERROR(__xludf.DUMMYFUNCTION("""COMPUTED_VALUE"""),"")</f>
        <v/>
      </c>
      <c r="M8009" s="16" t="str">
        <f>IFERROR(__xludf.DUMMYFUNCTION("""COMPUTED_VALUE"""),"")</f>
        <v/>
      </c>
      <c r="U8009" s="16" t="s">
        <v>87</v>
      </c>
      <c r="V8009" s="16" t="str">
        <f>IFERROR(__xludf.DUMMYFUNCTION("""COMPUTED_VALUE"""),"")</f>
        <v/>
      </c>
      <c r="W8009" s="16" t="str">
        <f>IFERROR(__xludf.DUMMYFUNCTION("""COMPUTED_VALUE"""),"")</f>
        <v/>
      </c>
      <c r="X8009" s="16" t="str">
        <f>IFERROR(__xludf.DUMMYFUNCTION("""COMPUTED_VALUE"""),"")</f>
        <v/>
      </c>
      <c r="AC8009" s="16" t="str">
        <f>IFERROR(__xludf.DUMMYFUNCTION("""COMPUTED_VALUE"""),"")</f>
        <v/>
      </c>
    </row>
    <row r="8010">
      <c r="A8010" s="16" t="s">
        <v>87</v>
      </c>
      <c r="E8010" s="16" t="str">
        <f>IFERROR(__xludf.DUMMYFUNCTION("""COMPUTED_VALUE"""),"")</f>
        <v/>
      </c>
      <c r="G8010" s="18"/>
      <c r="H8010" s="16" t="s">
        <v>87</v>
      </c>
      <c r="I8010" s="16" t="s">
        <v>87</v>
      </c>
      <c r="J8010" s="19"/>
      <c r="L8010" s="16" t="str">
        <f>IFERROR(__xludf.DUMMYFUNCTION("""COMPUTED_VALUE"""),"")</f>
        <v/>
      </c>
      <c r="M8010" s="16" t="str">
        <f>IFERROR(__xludf.DUMMYFUNCTION("""COMPUTED_VALUE"""),"")</f>
        <v/>
      </c>
      <c r="U8010" s="16" t="s">
        <v>87</v>
      </c>
      <c r="V8010" s="16" t="str">
        <f>IFERROR(__xludf.DUMMYFUNCTION("""COMPUTED_VALUE"""),"")</f>
        <v/>
      </c>
      <c r="W8010" s="16" t="str">
        <f>IFERROR(__xludf.DUMMYFUNCTION("""COMPUTED_VALUE"""),"")</f>
        <v/>
      </c>
      <c r="X8010" s="16" t="str">
        <f>IFERROR(__xludf.DUMMYFUNCTION("""COMPUTED_VALUE"""),"")</f>
        <v/>
      </c>
      <c r="AC8010" s="16" t="str">
        <f>IFERROR(__xludf.DUMMYFUNCTION("""COMPUTED_VALUE"""),"")</f>
        <v/>
      </c>
    </row>
    <row r="8011">
      <c r="A8011" s="16" t="s">
        <v>87</v>
      </c>
      <c r="E8011" s="16" t="str">
        <f>IFERROR(__xludf.DUMMYFUNCTION("""COMPUTED_VALUE"""),"")</f>
        <v/>
      </c>
      <c r="G8011" s="18"/>
      <c r="H8011" s="16" t="s">
        <v>87</v>
      </c>
      <c r="I8011" s="16" t="s">
        <v>87</v>
      </c>
      <c r="J8011" s="19"/>
      <c r="L8011" s="16" t="str">
        <f>IFERROR(__xludf.DUMMYFUNCTION("""COMPUTED_VALUE"""),"")</f>
        <v/>
      </c>
      <c r="M8011" s="16" t="str">
        <f>IFERROR(__xludf.DUMMYFUNCTION("""COMPUTED_VALUE"""),"")</f>
        <v/>
      </c>
      <c r="U8011" s="16" t="s">
        <v>87</v>
      </c>
      <c r="V8011" s="16" t="str">
        <f>IFERROR(__xludf.DUMMYFUNCTION("""COMPUTED_VALUE"""),"")</f>
        <v/>
      </c>
      <c r="W8011" s="16" t="str">
        <f>IFERROR(__xludf.DUMMYFUNCTION("""COMPUTED_VALUE"""),"")</f>
        <v/>
      </c>
      <c r="X8011" s="16" t="str">
        <f>IFERROR(__xludf.DUMMYFUNCTION("""COMPUTED_VALUE"""),"")</f>
        <v/>
      </c>
      <c r="AC8011" s="16" t="str">
        <f>IFERROR(__xludf.DUMMYFUNCTION("""COMPUTED_VALUE"""),"")</f>
        <v/>
      </c>
    </row>
    <row r="8012">
      <c r="A8012" s="16" t="s">
        <v>87</v>
      </c>
      <c r="E8012" s="16" t="str">
        <f>IFERROR(__xludf.DUMMYFUNCTION("""COMPUTED_VALUE"""),"")</f>
        <v/>
      </c>
      <c r="G8012" s="18"/>
      <c r="H8012" s="16" t="s">
        <v>87</v>
      </c>
      <c r="I8012" s="16" t="s">
        <v>87</v>
      </c>
      <c r="J8012" s="19"/>
      <c r="L8012" s="16" t="str">
        <f>IFERROR(__xludf.DUMMYFUNCTION("""COMPUTED_VALUE"""),"")</f>
        <v/>
      </c>
      <c r="M8012" s="16" t="str">
        <f>IFERROR(__xludf.DUMMYFUNCTION("""COMPUTED_VALUE"""),"")</f>
        <v/>
      </c>
      <c r="U8012" s="16" t="s">
        <v>87</v>
      </c>
      <c r="V8012" s="16" t="str">
        <f>IFERROR(__xludf.DUMMYFUNCTION("""COMPUTED_VALUE"""),"")</f>
        <v/>
      </c>
      <c r="W8012" s="16" t="str">
        <f>IFERROR(__xludf.DUMMYFUNCTION("""COMPUTED_VALUE"""),"")</f>
        <v/>
      </c>
      <c r="X8012" s="16" t="str">
        <f>IFERROR(__xludf.DUMMYFUNCTION("""COMPUTED_VALUE"""),"")</f>
        <v/>
      </c>
      <c r="AC8012" s="16" t="str">
        <f>IFERROR(__xludf.DUMMYFUNCTION("""COMPUTED_VALUE"""),"")</f>
        <v/>
      </c>
    </row>
    <row r="8013">
      <c r="A8013" s="16" t="s">
        <v>87</v>
      </c>
      <c r="E8013" s="16" t="str">
        <f>IFERROR(__xludf.DUMMYFUNCTION("""COMPUTED_VALUE"""),"")</f>
        <v/>
      </c>
      <c r="G8013" s="18"/>
      <c r="H8013" s="16" t="s">
        <v>87</v>
      </c>
      <c r="I8013" s="16" t="s">
        <v>87</v>
      </c>
      <c r="J8013" s="19"/>
      <c r="L8013" s="16" t="str">
        <f>IFERROR(__xludf.DUMMYFUNCTION("""COMPUTED_VALUE"""),"")</f>
        <v/>
      </c>
      <c r="M8013" s="16" t="str">
        <f>IFERROR(__xludf.DUMMYFUNCTION("""COMPUTED_VALUE"""),"")</f>
        <v/>
      </c>
      <c r="U8013" s="16" t="s">
        <v>87</v>
      </c>
      <c r="V8013" s="16" t="str">
        <f>IFERROR(__xludf.DUMMYFUNCTION("""COMPUTED_VALUE"""),"")</f>
        <v/>
      </c>
      <c r="W8013" s="16" t="str">
        <f>IFERROR(__xludf.DUMMYFUNCTION("""COMPUTED_VALUE"""),"")</f>
        <v/>
      </c>
      <c r="X8013" s="16" t="str">
        <f>IFERROR(__xludf.DUMMYFUNCTION("""COMPUTED_VALUE"""),"")</f>
        <v/>
      </c>
      <c r="AC8013" s="16" t="str">
        <f>IFERROR(__xludf.DUMMYFUNCTION("""COMPUTED_VALUE"""),"")</f>
        <v/>
      </c>
    </row>
    <row r="8014">
      <c r="A8014" s="16" t="s">
        <v>87</v>
      </c>
      <c r="E8014" s="16" t="str">
        <f>IFERROR(__xludf.DUMMYFUNCTION("""COMPUTED_VALUE"""),"")</f>
        <v/>
      </c>
      <c r="G8014" s="18"/>
      <c r="H8014" s="16" t="s">
        <v>87</v>
      </c>
      <c r="I8014" s="16" t="s">
        <v>87</v>
      </c>
      <c r="J8014" s="19"/>
      <c r="L8014" s="16" t="str">
        <f>IFERROR(__xludf.DUMMYFUNCTION("""COMPUTED_VALUE"""),"")</f>
        <v/>
      </c>
      <c r="M8014" s="16" t="str">
        <f>IFERROR(__xludf.DUMMYFUNCTION("""COMPUTED_VALUE"""),"")</f>
        <v/>
      </c>
      <c r="U8014" s="16" t="s">
        <v>87</v>
      </c>
      <c r="V8014" s="16" t="str">
        <f>IFERROR(__xludf.DUMMYFUNCTION("""COMPUTED_VALUE"""),"")</f>
        <v/>
      </c>
      <c r="W8014" s="16" t="str">
        <f>IFERROR(__xludf.DUMMYFUNCTION("""COMPUTED_VALUE"""),"")</f>
        <v/>
      </c>
      <c r="X8014" s="16" t="str">
        <f>IFERROR(__xludf.DUMMYFUNCTION("""COMPUTED_VALUE"""),"")</f>
        <v/>
      </c>
      <c r="AC8014" s="16" t="str">
        <f>IFERROR(__xludf.DUMMYFUNCTION("""COMPUTED_VALUE"""),"")</f>
        <v/>
      </c>
    </row>
    <row r="8015">
      <c r="A8015" s="16" t="s">
        <v>87</v>
      </c>
      <c r="E8015" s="16" t="str">
        <f>IFERROR(__xludf.DUMMYFUNCTION("""COMPUTED_VALUE"""),"")</f>
        <v/>
      </c>
      <c r="G8015" s="18"/>
      <c r="H8015" s="16" t="s">
        <v>87</v>
      </c>
      <c r="I8015" s="16" t="s">
        <v>87</v>
      </c>
      <c r="J8015" s="19"/>
      <c r="L8015" s="16" t="str">
        <f>IFERROR(__xludf.DUMMYFUNCTION("""COMPUTED_VALUE"""),"")</f>
        <v/>
      </c>
      <c r="M8015" s="16" t="str">
        <f>IFERROR(__xludf.DUMMYFUNCTION("""COMPUTED_VALUE"""),"")</f>
        <v/>
      </c>
      <c r="U8015" s="16" t="s">
        <v>87</v>
      </c>
      <c r="V8015" s="16" t="str">
        <f>IFERROR(__xludf.DUMMYFUNCTION("""COMPUTED_VALUE"""),"")</f>
        <v/>
      </c>
      <c r="W8015" s="16" t="str">
        <f>IFERROR(__xludf.DUMMYFUNCTION("""COMPUTED_VALUE"""),"")</f>
        <v/>
      </c>
      <c r="X8015" s="16" t="str">
        <f>IFERROR(__xludf.DUMMYFUNCTION("""COMPUTED_VALUE"""),"")</f>
        <v/>
      </c>
      <c r="AC8015" s="16" t="str">
        <f>IFERROR(__xludf.DUMMYFUNCTION("""COMPUTED_VALUE"""),"")</f>
        <v/>
      </c>
    </row>
    <row r="8016">
      <c r="A8016" s="16" t="s">
        <v>87</v>
      </c>
      <c r="E8016" s="16" t="str">
        <f>IFERROR(__xludf.DUMMYFUNCTION("""COMPUTED_VALUE"""),"")</f>
        <v/>
      </c>
      <c r="G8016" s="18"/>
      <c r="H8016" s="16" t="s">
        <v>87</v>
      </c>
      <c r="I8016" s="16" t="s">
        <v>87</v>
      </c>
      <c r="J8016" s="19"/>
      <c r="L8016" s="16" t="str">
        <f>IFERROR(__xludf.DUMMYFUNCTION("""COMPUTED_VALUE"""),"")</f>
        <v/>
      </c>
      <c r="M8016" s="16" t="str">
        <f>IFERROR(__xludf.DUMMYFUNCTION("""COMPUTED_VALUE"""),"")</f>
        <v/>
      </c>
      <c r="U8016" s="16" t="s">
        <v>87</v>
      </c>
      <c r="V8016" s="16" t="str">
        <f>IFERROR(__xludf.DUMMYFUNCTION("""COMPUTED_VALUE"""),"")</f>
        <v/>
      </c>
      <c r="W8016" s="16" t="str">
        <f>IFERROR(__xludf.DUMMYFUNCTION("""COMPUTED_VALUE"""),"")</f>
        <v/>
      </c>
      <c r="X8016" s="16" t="str">
        <f>IFERROR(__xludf.DUMMYFUNCTION("""COMPUTED_VALUE"""),"")</f>
        <v/>
      </c>
      <c r="AC8016" s="16" t="str">
        <f>IFERROR(__xludf.DUMMYFUNCTION("""COMPUTED_VALUE"""),"")</f>
        <v/>
      </c>
    </row>
    <row r="8017">
      <c r="A8017" s="16" t="s">
        <v>87</v>
      </c>
      <c r="E8017" s="16" t="str">
        <f>IFERROR(__xludf.DUMMYFUNCTION("""COMPUTED_VALUE"""),"")</f>
        <v/>
      </c>
      <c r="G8017" s="18"/>
      <c r="H8017" s="16" t="s">
        <v>87</v>
      </c>
      <c r="I8017" s="16" t="s">
        <v>87</v>
      </c>
      <c r="J8017" s="19"/>
      <c r="L8017" s="16" t="str">
        <f>IFERROR(__xludf.DUMMYFUNCTION("""COMPUTED_VALUE"""),"")</f>
        <v/>
      </c>
      <c r="M8017" s="16" t="str">
        <f>IFERROR(__xludf.DUMMYFUNCTION("""COMPUTED_VALUE"""),"")</f>
        <v/>
      </c>
      <c r="U8017" s="16" t="s">
        <v>87</v>
      </c>
      <c r="V8017" s="16" t="str">
        <f>IFERROR(__xludf.DUMMYFUNCTION("""COMPUTED_VALUE"""),"")</f>
        <v/>
      </c>
      <c r="W8017" s="16" t="str">
        <f>IFERROR(__xludf.DUMMYFUNCTION("""COMPUTED_VALUE"""),"")</f>
        <v/>
      </c>
      <c r="X8017" s="16" t="str">
        <f>IFERROR(__xludf.DUMMYFUNCTION("""COMPUTED_VALUE"""),"")</f>
        <v/>
      </c>
      <c r="AC8017" s="16" t="str">
        <f>IFERROR(__xludf.DUMMYFUNCTION("""COMPUTED_VALUE"""),"")</f>
        <v/>
      </c>
    </row>
    <row r="8018">
      <c r="A8018" s="16" t="s">
        <v>87</v>
      </c>
      <c r="E8018" s="16" t="str">
        <f>IFERROR(__xludf.DUMMYFUNCTION("""COMPUTED_VALUE"""),"")</f>
        <v/>
      </c>
      <c r="G8018" s="18"/>
      <c r="H8018" s="16" t="s">
        <v>87</v>
      </c>
      <c r="I8018" s="16" t="s">
        <v>87</v>
      </c>
      <c r="J8018" s="19"/>
      <c r="L8018" s="16" t="str">
        <f>IFERROR(__xludf.DUMMYFUNCTION("""COMPUTED_VALUE"""),"")</f>
        <v/>
      </c>
      <c r="M8018" s="16" t="str">
        <f>IFERROR(__xludf.DUMMYFUNCTION("""COMPUTED_VALUE"""),"")</f>
        <v/>
      </c>
      <c r="U8018" s="16" t="s">
        <v>87</v>
      </c>
      <c r="V8018" s="16" t="str">
        <f>IFERROR(__xludf.DUMMYFUNCTION("""COMPUTED_VALUE"""),"")</f>
        <v/>
      </c>
      <c r="W8018" s="16" t="str">
        <f>IFERROR(__xludf.DUMMYFUNCTION("""COMPUTED_VALUE"""),"")</f>
        <v/>
      </c>
      <c r="X8018" s="16" t="str">
        <f>IFERROR(__xludf.DUMMYFUNCTION("""COMPUTED_VALUE"""),"")</f>
        <v/>
      </c>
      <c r="AC8018" s="16" t="str">
        <f>IFERROR(__xludf.DUMMYFUNCTION("""COMPUTED_VALUE"""),"")</f>
        <v/>
      </c>
    </row>
    <row r="8019">
      <c r="A8019" s="16" t="s">
        <v>87</v>
      </c>
      <c r="E8019" s="16" t="str">
        <f>IFERROR(__xludf.DUMMYFUNCTION("""COMPUTED_VALUE"""),"")</f>
        <v/>
      </c>
      <c r="G8019" s="18"/>
      <c r="H8019" s="16" t="s">
        <v>87</v>
      </c>
      <c r="I8019" s="16" t="s">
        <v>87</v>
      </c>
      <c r="J8019" s="19"/>
      <c r="L8019" s="16" t="str">
        <f>IFERROR(__xludf.DUMMYFUNCTION("""COMPUTED_VALUE"""),"")</f>
        <v/>
      </c>
      <c r="M8019" s="16" t="str">
        <f>IFERROR(__xludf.DUMMYFUNCTION("""COMPUTED_VALUE"""),"")</f>
        <v/>
      </c>
      <c r="U8019" s="16" t="s">
        <v>87</v>
      </c>
      <c r="V8019" s="16" t="str">
        <f>IFERROR(__xludf.DUMMYFUNCTION("""COMPUTED_VALUE"""),"")</f>
        <v/>
      </c>
      <c r="W8019" s="16" t="str">
        <f>IFERROR(__xludf.DUMMYFUNCTION("""COMPUTED_VALUE"""),"")</f>
        <v/>
      </c>
      <c r="X8019" s="16" t="str">
        <f>IFERROR(__xludf.DUMMYFUNCTION("""COMPUTED_VALUE"""),"")</f>
        <v/>
      </c>
      <c r="AC8019" s="16" t="str">
        <f>IFERROR(__xludf.DUMMYFUNCTION("""COMPUTED_VALUE"""),"")</f>
        <v/>
      </c>
    </row>
    <row r="8020">
      <c r="A8020" s="16" t="s">
        <v>87</v>
      </c>
      <c r="E8020" s="16" t="str">
        <f>IFERROR(__xludf.DUMMYFUNCTION("""COMPUTED_VALUE"""),"")</f>
        <v/>
      </c>
      <c r="G8020" s="18"/>
      <c r="H8020" s="16" t="s">
        <v>87</v>
      </c>
      <c r="I8020" s="16" t="s">
        <v>87</v>
      </c>
      <c r="J8020" s="19"/>
      <c r="L8020" s="16" t="str">
        <f>IFERROR(__xludf.DUMMYFUNCTION("""COMPUTED_VALUE"""),"")</f>
        <v/>
      </c>
      <c r="M8020" s="16" t="str">
        <f>IFERROR(__xludf.DUMMYFUNCTION("""COMPUTED_VALUE"""),"")</f>
        <v/>
      </c>
      <c r="U8020" s="16" t="s">
        <v>87</v>
      </c>
      <c r="V8020" s="16" t="str">
        <f>IFERROR(__xludf.DUMMYFUNCTION("""COMPUTED_VALUE"""),"")</f>
        <v/>
      </c>
      <c r="W8020" s="16" t="str">
        <f>IFERROR(__xludf.DUMMYFUNCTION("""COMPUTED_VALUE"""),"")</f>
        <v/>
      </c>
      <c r="X8020" s="16" t="str">
        <f>IFERROR(__xludf.DUMMYFUNCTION("""COMPUTED_VALUE"""),"")</f>
        <v/>
      </c>
      <c r="AC8020" s="16" t="str">
        <f>IFERROR(__xludf.DUMMYFUNCTION("""COMPUTED_VALUE"""),"")</f>
        <v/>
      </c>
    </row>
    <row r="8021">
      <c r="A8021" s="16" t="s">
        <v>87</v>
      </c>
      <c r="E8021" s="16" t="str">
        <f>IFERROR(__xludf.DUMMYFUNCTION("""COMPUTED_VALUE"""),"")</f>
        <v/>
      </c>
      <c r="G8021" s="18"/>
      <c r="H8021" s="16" t="s">
        <v>87</v>
      </c>
      <c r="I8021" s="16" t="s">
        <v>87</v>
      </c>
      <c r="J8021" s="19"/>
      <c r="L8021" s="16" t="str">
        <f>IFERROR(__xludf.DUMMYFUNCTION("""COMPUTED_VALUE"""),"")</f>
        <v/>
      </c>
      <c r="M8021" s="16" t="str">
        <f>IFERROR(__xludf.DUMMYFUNCTION("""COMPUTED_VALUE"""),"")</f>
        <v/>
      </c>
      <c r="U8021" s="16" t="s">
        <v>87</v>
      </c>
      <c r="V8021" s="16" t="str">
        <f>IFERROR(__xludf.DUMMYFUNCTION("""COMPUTED_VALUE"""),"")</f>
        <v/>
      </c>
      <c r="W8021" s="16" t="str">
        <f>IFERROR(__xludf.DUMMYFUNCTION("""COMPUTED_VALUE"""),"")</f>
        <v/>
      </c>
      <c r="X8021" s="16" t="str">
        <f>IFERROR(__xludf.DUMMYFUNCTION("""COMPUTED_VALUE"""),"")</f>
        <v/>
      </c>
      <c r="AC8021" s="16" t="str">
        <f>IFERROR(__xludf.DUMMYFUNCTION("""COMPUTED_VALUE"""),"")</f>
        <v/>
      </c>
    </row>
    <row r="8022">
      <c r="A8022" s="16" t="s">
        <v>87</v>
      </c>
      <c r="E8022" s="16" t="str">
        <f>IFERROR(__xludf.DUMMYFUNCTION("""COMPUTED_VALUE"""),"")</f>
        <v/>
      </c>
      <c r="G8022" s="18"/>
      <c r="H8022" s="16" t="s">
        <v>87</v>
      </c>
      <c r="I8022" s="16" t="s">
        <v>87</v>
      </c>
      <c r="J8022" s="19"/>
      <c r="L8022" s="16" t="str">
        <f>IFERROR(__xludf.DUMMYFUNCTION("""COMPUTED_VALUE"""),"")</f>
        <v/>
      </c>
      <c r="M8022" s="16" t="str">
        <f>IFERROR(__xludf.DUMMYFUNCTION("""COMPUTED_VALUE"""),"")</f>
        <v/>
      </c>
      <c r="U8022" s="16" t="s">
        <v>87</v>
      </c>
      <c r="V8022" s="16" t="str">
        <f>IFERROR(__xludf.DUMMYFUNCTION("""COMPUTED_VALUE"""),"")</f>
        <v/>
      </c>
      <c r="W8022" s="16" t="str">
        <f>IFERROR(__xludf.DUMMYFUNCTION("""COMPUTED_VALUE"""),"")</f>
        <v/>
      </c>
      <c r="X8022" s="16" t="str">
        <f>IFERROR(__xludf.DUMMYFUNCTION("""COMPUTED_VALUE"""),"")</f>
        <v/>
      </c>
      <c r="AC8022" s="16" t="str">
        <f>IFERROR(__xludf.DUMMYFUNCTION("""COMPUTED_VALUE"""),"")</f>
        <v/>
      </c>
    </row>
    <row r="8023">
      <c r="A8023" s="16" t="s">
        <v>87</v>
      </c>
      <c r="E8023" s="16" t="str">
        <f>IFERROR(__xludf.DUMMYFUNCTION("""COMPUTED_VALUE"""),"")</f>
        <v/>
      </c>
      <c r="G8023" s="18"/>
      <c r="H8023" s="16" t="s">
        <v>87</v>
      </c>
      <c r="I8023" s="16" t="s">
        <v>87</v>
      </c>
      <c r="J8023" s="19"/>
      <c r="L8023" s="16" t="str">
        <f>IFERROR(__xludf.DUMMYFUNCTION("""COMPUTED_VALUE"""),"")</f>
        <v/>
      </c>
      <c r="M8023" s="16" t="str">
        <f>IFERROR(__xludf.DUMMYFUNCTION("""COMPUTED_VALUE"""),"")</f>
        <v/>
      </c>
      <c r="U8023" s="16" t="s">
        <v>87</v>
      </c>
      <c r="V8023" s="16" t="str">
        <f>IFERROR(__xludf.DUMMYFUNCTION("""COMPUTED_VALUE"""),"")</f>
        <v/>
      </c>
      <c r="W8023" s="16" t="str">
        <f>IFERROR(__xludf.DUMMYFUNCTION("""COMPUTED_VALUE"""),"")</f>
        <v/>
      </c>
      <c r="X8023" s="16" t="str">
        <f>IFERROR(__xludf.DUMMYFUNCTION("""COMPUTED_VALUE"""),"")</f>
        <v/>
      </c>
      <c r="AC8023" s="16" t="str">
        <f>IFERROR(__xludf.DUMMYFUNCTION("""COMPUTED_VALUE"""),"")</f>
        <v/>
      </c>
    </row>
    <row r="8024">
      <c r="A8024" s="16" t="s">
        <v>87</v>
      </c>
      <c r="E8024" s="16" t="str">
        <f>IFERROR(__xludf.DUMMYFUNCTION("""COMPUTED_VALUE"""),"")</f>
        <v/>
      </c>
      <c r="G8024" s="18"/>
      <c r="H8024" s="16" t="s">
        <v>87</v>
      </c>
      <c r="I8024" s="16" t="s">
        <v>87</v>
      </c>
      <c r="J8024" s="19"/>
      <c r="L8024" s="16" t="str">
        <f>IFERROR(__xludf.DUMMYFUNCTION("""COMPUTED_VALUE"""),"")</f>
        <v/>
      </c>
      <c r="M8024" s="16" t="str">
        <f>IFERROR(__xludf.DUMMYFUNCTION("""COMPUTED_VALUE"""),"")</f>
        <v/>
      </c>
      <c r="U8024" s="16" t="s">
        <v>87</v>
      </c>
      <c r="V8024" s="16" t="str">
        <f>IFERROR(__xludf.DUMMYFUNCTION("""COMPUTED_VALUE"""),"")</f>
        <v/>
      </c>
      <c r="W8024" s="16" t="str">
        <f>IFERROR(__xludf.DUMMYFUNCTION("""COMPUTED_VALUE"""),"")</f>
        <v/>
      </c>
      <c r="X8024" s="16" t="str">
        <f>IFERROR(__xludf.DUMMYFUNCTION("""COMPUTED_VALUE"""),"")</f>
        <v/>
      </c>
      <c r="AC8024" s="16" t="str">
        <f>IFERROR(__xludf.DUMMYFUNCTION("""COMPUTED_VALUE"""),"")</f>
        <v/>
      </c>
    </row>
    <row r="8025">
      <c r="A8025" s="16" t="s">
        <v>87</v>
      </c>
      <c r="E8025" s="16" t="str">
        <f>IFERROR(__xludf.DUMMYFUNCTION("""COMPUTED_VALUE"""),"")</f>
        <v/>
      </c>
      <c r="G8025" s="18"/>
      <c r="H8025" s="16" t="s">
        <v>87</v>
      </c>
      <c r="I8025" s="16" t="s">
        <v>87</v>
      </c>
      <c r="J8025" s="19"/>
      <c r="L8025" s="16" t="str">
        <f>IFERROR(__xludf.DUMMYFUNCTION("""COMPUTED_VALUE"""),"")</f>
        <v/>
      </c>
      <c r="M8025" s="16" t="str">
        <f>IFERROR(__xludf.DUMMYFUNCTION("""COMPUTED_VALUE"""),"")</f>
        <v/>
      </c>
      <c r="U8025" s="16" t="s">
        <v>87</v>
      </c>
      <c r="V8025" s="16" t="str">
        <f>IFERROR(__xludf.DUMMYFUNCTION("""COMPUTED_VALUE"""),"")</f>
        <v/>
      </c>
      <c r="W8025" s="16" t="str">
        <f>IFERROR(__xludf.DUMMYFUNCTION("""COMPUTED_VALUE"""),"")</f>
        <v/>
      </c>
      <c r="X8025" s="16" t="str">
        <f>IFERROR(__xludf.DUMMYFUNCTION("""COMPUTED_VALUE"""),"")</f>
        <v/>
      </c>
      <c r="AC8025" s="16" t="str">
        <f>IFERROR(__xludf.DUMMYFUNCTION("""COMPUTED_VALUE"""),"")</f>
        <v/>
      </c>
    </row>
    <row r="8026">
      <c r="A8026" s="16" t="s">
        <v>87</v>
      </c>
      <c r="E8026" s="16" t="str">
        <f>IFERROR(__xludf.DUMMYFUNCTION("""COMPUTED_VALUE"""),"")</f>
        <v/>
      </c>
      <c r="G8026" s="18"/>
      <c r="H8026" s="16" t="s">
        <v>87</v>
      </c>
      <c r="I8026" s="16" t="s">
        <v>87</v>
      </c>
      <c r="J8026" s="19"/>
      <c r="L8026" s="16" t="str">
        <f>IFERROR(__xludf.DUMMYFUNCTION("""COMPUTED_VALUE"""),"")</f>
        <v/>
      </c>
      <c r="M8026" s="16" t="str">
        <f>IFERROR(__xludf.DUMMYFUNCTION("""COMPUTED_VALUE"""),"")</f>
        <v/>
      </c>
      <c r="U8026" s="16" t="s">
        <v>87</v>
      </c>
      <c r="V8026" s="16" t="str">
        <f>IFERROR(__xludf.DUMMYFUNCTION("""COMPUTED_VALUE"""),"")</f>
        <v/>
      </c>
      <c r="W8026" s="16" t="str">
        <f>IFERROR(__xludf.DUMMYFUNCTION("""COMPUTED_VALUE"""),"")</f>
        <v/>
      </c>
      <c r="X8026" s="16" t="str">
        <f>IFERROR(__xludf.DUMMYFUNCTION("""COMPUTED_VALUE"""),"")</f>
        <v/>
      </c>
      <c r="AC8026" s="16" t="str">
        <f>IFERROR(__xludf.DUMMYFUNCTION("""COMPUTED_VALUE"""),"")</f>
        <v/>
      </c>
    </row>
    <row r="8027">
      <c r="A8027" s="16" t="s">
        <v>87</v>
      </c>
      <c r="E8027" s="16" t="str">
        <f>IFERROR(__xludf.DUMMYFUNCTION("""COMPUTED_VALUE"""),"")</f>
        <v/>
      </c>
      <c r="G8027" s="18"/>
      <c r="H8027" s="16" t="s">
        <v>87</v>
      </c>
      <c r="I8027" s="16" t="s">
        <v>87</v>
      </c>
      <c r="J8027" s="19"/>
      <c r="L8027" s="16" t="str">
        <f>IFERROR(__xludf.DUMMYFUNCTION("""COMPUTED_VALUE"""),"")</f>
        <v/>
      </c>
      <c r="M8027" s="16" t="str">
        <f>IFERROR(__xludf.DUMMYFUNCTION("""COMPUTED_VALUE"""),"")</f>
        <v/>
      </c>
      <c r="U8027" s="16" t="s">
        <v>87</v>
      </c>
      <c r="V8027" s="16" t="str">
        <f>IFERROR(__xludf.DUMMYFUNCTION("""COMPUTED_VALUE"""),"")</f>
        <v/>
      </c>
      <c r="W8027" s="16" t="str">
        <f>IFERROR(__xludf.DUMMYFUNCTION("""COMPUTED_VALUE"""),"")</f>
        <v/>
      </c>
      <c r="X8027" s="16" t="str">
        <f>IFERROR(__xludf.DUMMYFUNCTION("""COMPUTED_VALUE"""),"")</f>
        <v/>
      </c>
      <c r="AC8027" s="16" t="str">
        <f>IFERROR(__xludf.DUMMYFUNCTION("""COMPUTED_VALUE"""),"")</f>
        <v/>
      </c>
    </row>
    <row r="8028">
      <c r="A8028" s="16" t="s">
        <v>87</v>
      </c>
      <c r="E8028" s="16" t="str">
        <f>IFERROR(__xludf.DUMMYFUNCTION("""COMPUTED_VALUE"""),"")</f>
        <v/>
      </c>
      <c r="G8028" s="18"/>
      <c r="H8028" s="16" t="s">
        <v>87</v>
      </c>
      <c r="I8028" s="16" t="s">
        <v>87</v>
      </c>
      <c r="J8028" s="19"/>
      <c r="L8028" s="16" t="str">
        <f>IFERROR(__xludf.DUMMYFUNCTION("""COMPUTED_VALUE"""),"")</f>
        <v/>
      </c>
      <c r="M8028" s="16" t="str">
        <f>IFERROR(__xludf.DUMMYFUNCTION("""COMPUTED_VALUE"""),"")</f>
        <v/>
      </c>
      <c r="U8028" s="16" t="s">
        <v>87</v>
      </c>
      <c r="V8028" s="16" t="str">
        <f>IFERROR(__xludf.DUMMYFUNCTION("""COMPUTED_VALUE"""),"")</f>
        <v/>
      </c>
      <c r="W8028" s="16" t="str">
        <f>IFERROR(__xludf.DUMMYFUNCTION("""COMPUTED_VALUE"""),"")</f>
        <v/>
      </c>
      <c r="X8028" s="16" t="str">
        <f>IFERROR(__xludf.DUMMYFUNCTION("""COMPUTED_VALUE"""),"")</f>
        <v/>
      </c>
      <c r="AC8028" s="16" t="str">
        <f>IFERROR(__xludf.DUMMYFUNCTION("""COMPUTED_VALUE"""),"")</f>
        <v/>
      </c>
    </row>
    <row r="8029">
      <c r="A8029" s="16" t="s">
        <v>87</v>
      </c>
      <c r="E8029" s="16" t="str">
        <f>IFERROR(__xludf.DUMMYFUNCTION("""COMPUTED_VALUE"""),"")</f>
        <v/>
      </c>
      <c r="G8029" s="18"/>
      <c r="H8029" s="16" t="s">
        <v>87</v>
      </c>
      <c r="I8029" s="16" t="s">
        <v>87</v>
      </c>
      <c r="J8029" s="19"/>
      <c r="L8029" s="16" t="str">
        <f>IFERROR(__xludf.DUMMYFUNCTION("""COMPUTED_VALUE"""),"")</f>
        <v/>
      </c>
      <c r="M8029" s="16" t="str">
        <f>IFERROR(__xludf.DUMMYFUNCTION("""COMPUTED_VALUE"""),"")</f>
        <v/>
      </c>
      <c r="U8029" s="16" t="s">
        <v>87</v>
      </c>
      <c r="V8029" s="16" t="str">
        <f>IFERROR(__xludf.DUMMYFUNCTION("""COMPUTED_VALUE"""),"")</f>
        <v/>
      </c>
      <c r="W8029" s="16" t="str">
        <f>IFERROR(__xludf.DUMMYFUNCTION("""COMPUTED_VALUE"""),"")</f>
        <v/>
      </c>
      <c r="X8029" s="16" t="str">
        <f>IFERROR(__xludf.DUMMYFUNCTION("""COMPUTED_VALUE"""),"")</f>
        <v/>
      </c>
      <c r="AC8029" s="16" t="str">
        <f>IFERROR(__xludf.DUMMYFUNCTION("""COMPUTED_VALUE"""),"")</f>
        <v/>
      </c>
    </row>
    <row r="8030">
      <c r="A8030" s="16" t="s">
        <v>87</v>
      </c>
      <c r="E8030" s="16" t="str">
        <f>IFERROR(__xludf.DUMMYFUNCTION("""COMPUTED_VALUE"""),"")</f>
        <v/>
      </c>
      <c r="G8030" s="18"/>
      <c r="H8030" s="16" t="s">
        <v>87</v>
      </c>
      <c r="I8030" s="16" t="s">
        <v>87</v>
      </c>
      <c r="J8030" s="19"/>
      <c r="L8030" s="16" t="str">
        <f>IFERROR(__xludf.DUMMYFUNCTION("""COMPUTED_VALUE"""),"")</f>
        <v/>
      </c>
      <c r="M8030" s="16" t="str">
        <f>IFERROR(__xludf.DUMMYFUNCTION("""COMPUTED_VALUE"""),"")</f>
        <v/>
      </c>
      <c r="U8030" s="16" t="s">
        <v>87</v>
      </c>
      <c r="V8030" s="16" t="str">
        <f>IFERROR(__xludf.DUMMYFUNCTION("""COMPUTED_VALUE"""),"")</f>
        <v/>
      </c>
      <c r="W8030" s="16" t="str">
        <f>IFERROR(__xludf.DUMMYFUNCTION("""COMPUTED_VALUE"""),"")</f>
        <v/>
      </c>
      <c r="X8030" s="16" t="str">
        <f>IFERROR(__xludf.DUMMYFUNCTION("""COMPUTED_VALUE"""),"")</f>
        <v/>
      </c>
      <c r="AC8030" s="16" t="str">
        <f>IFERROR(__xludf.DUMMYFUNCTION("""COMPUTED_VALUE"""),"")</f>
        <v/>
      </c>
    </row>
    <row r="8031">
      <c r="A8031" s="16" t="s">
        <v>87</v>
      </c>
      <c r="E8031" s="16" t="str">
        <f>IFERROR(__xludf.DUMMYFUNCTION("""COMPUTED_VALUE"""),"")</f>
        <v/>
      </c>
      <c r="G8031" s="18"/>
      <c r="H8031" s="16" t="s">
        <v>87</v>
      </c>
      <c r="I8031" s="16" t="s">
        <v>87</v>
      </c>
      <c r="J8031" s="19"/>
      <c r="L8031" s="16" t="str">
        <f>IFERROR(__xludf.DUMMYFUNCTION("""COMPUTED_VALUE"""),"")</f>
        <v/>
      </c>
      <c r="M8031" s="16" t="str">
        <f>IFERROR(__xludf.DUMMYFUNCTION("""COMPUTED_VALUE"""),"")</f>
        <v/>
      </c>
      <c r="U8031" s="16" t="s">
        <v>87</v>
      </c>
      <c r="V8031" s="16" t="str">
        <f>IFERROR(__xludf.DUMMYFUNCTION("""COMPUTED_VALUE"""),"")</f>
        <v/>
      </c>
      <c r="W8031" s="16" t="str">
        <f>IFERROR(__xludf.DUMMYFUNCTION("""COMPUTED_VALUE"""),"")</f>
        <v/>
      </c>
      <c r="X8031" s="16" t="str">
        <f>IFERROR(__xludf.DUMMYFUNCTION("""COMPUTED_VALUE"""),"")</f>
        <v/>
      </c>
      <c r="AC8031" s="16" t="str">
        <f>IFERROR(__xludf.DUMMYFUNCTION("""COMPUTED_VALUE"""),"")</f>
        <v/>
      </c>
    </row>
    <row r="8032">
      <c r="A8032" s="16" t="s">
        <v>87</v>
      </c>
      <c r="E8032" s="16" t="str">
        <f>IFERROR(__xludf.DUMMYFUNCTION("""COMPUTED_VALUE"""),"")</f>
        <v/>
      </c>
      <c r="G8032" s="18"/>
      <c r="H8032" s="16" t="s">
        <v>87</v>
      </c>
      <c r="I8032" s="16" t="s">
        <v>87</v>
      </c>
      <c r="J8032" s="19"/>
      <c r="L8032" s="16" t="str">
        <f>IFERROR(__xludf.DUMMYFUNCTION("""COMPUTED_VALUE"""),"")</f>
        <v/>
      </c>
      <c r="M8032" s="16" t="str">
        <f>IFERROR(__xludf.DUMMYFUNCTION("""COMPUTED_VALUE"""),"")</f>
        <v/>
      </c>
      <c r="U8032" s="16" t="s">
        <v>87</v>
      </c>
      <c r="V8032" s="16" t="str">
        <f>IFERROR(__xludf.DUMMYFUNCTION("""COMPUTED_VALUE"""),"")</f>
        <v/>
      </c>
      <c r="W8032" s="16" t="str">
        <f>IFERROR(__xludf.DUMMYFUNCTION("""COMPUTED_VALUE"""),"")</f>
        <v/>
      </c>
      <c r="X8032" s="16" t="str">
        <f>IFERROR(__xludf.DUMMYFUNCTION("""COMPUTED_VALUE"""),"")</f>
        <v/>
      </c>
      <c r="AC8032" s="16" t="str">
        <f>IFERROR(__xludf.DUMMYFUNCTION("""COMPUTED_VALUE"""),"")</f>
        <v/>
      </c>
    </row>
    <row r="8033">
      <c r="A8033" s="16" t="s">
        <v>87</v>
      </c>
      <c r="E8033" s="16" t="str">
        <f>IFERROR(__xludf.DUMMYFUNCTION("""COMPUTED_VALUE"""),"")</f>
        <v/>
      </c>
      <c r="G8033" s="18"/>
      <c r="H8033" s="16" t="s">
        <v>87</v>
      </c>
      <c r="I8033" s="16" t="s">
        <v>87</v>
      </c>
      <c r="J8033" s="19"/>
      <c r="L8033" s="16" t="str">
        <f>IFERROR(__xludf.DUMMYFUNCTION("""COMPUTED_VALUE"""),"")</f>
        <v/>
      </c>
      <c r="M8033" s="16" t="str">
        <f>IFERROR(__xludf.DUMMYFUNCTION("""COMPUTED_VALUE"""),"")</f>
        <v/>
      </c>
      <c r="U8033" s="16" t="s">
        <v>87</v>
      </c>
      <c r="V8033" s="16" t="str">
        <f>IFERROR(__xludf.DUMMYFUNCTION("""COMPUTED_VALUE"""),"")</f>
        <v/>
      </c>
      <c r="W8033" s="16" t="str">
        <f>IFERROR(__xludf.DUMMYFUNCTION("""COMPUTED_VALUE"""),"")</f>
        <v/>
      </c>
      <c r="X8033" s="16" t="str">
        <f>IFERROR(__xludf.DUMMYFUNCTION("""COMPUTED_VALUE"""),"")</f>
        <v/>
      </c>
      <c r="AC8033" s="16" t="str">
        <f>IFERROR(__xludf.DUMMYFUNCTION("""COMPUTED_VALUE"""),"")</f>
        <v/>
      </c>
    </row>
    <row r="8034">
      <c r="A8034" s="16" t="s">
        <v>87</v>
      </c>
      <c r="E8034" s="16" t="str">
        <f>IFERROR(__xludf.DUMMYFUNCTION("""COMPUTED_VALUE"""),"")</f>
        <v/>
      </c>
      <c r="G8034" s="18"/>
      <c r="H8034" s="16" t="s">
        <v>87</v>
      </c>
      <c r="I8034" s="16" t="s">
        <v>87</v>
      </c>
      <c r="J8034" s="19"/>
      <c r="L8034" s="16" t="str">
        <f>IFERROR(__xludf.DUMMYFUNCTION("""COMPUTED_VALUE"""),"")</f>
        <v/>
      </c>
      <c r="M8034" s="16" t="str">
        <f>IFERROR(__xludf.DUMMYFUNCTION("""COMPUTED_VALUE"""),"")</f>
        <v/>
      </c>
      <c r="U8034" s="16" t="s">
        <v>87</v>
      </c>
      <c r="V8034" s="16" t="str">
        <f>IFERROR(__xludf.DUMMYFUNCTION("""COMPUTED_VALUE"""),"")</f>
        <v/>
      </c>
      <c r="W8034" s="16" t="str">
        <f>IFERROR(__xludf.DUMMYFUNCTION("""COMPUTED_VALUE"""),"")</f>
        <v/>
      </c>
      <c r="X8034" s="16" t="str">
        <f>IFERROR(__xludf.DUMMYFUNCTION("""COMPUTED_VALUE"""),"")</f>
        <v/>
      </c>
      <c r="AC8034" s="16" t="str">
        <f>IFERROR(__xludf.DUMMYFUNCTION("""COMPUTED_VALUE"""),"")</f>
        <v/>
      </c>
    </row>
    <row r="8035">
      <c r="A8035" s="16" t="s">
        <v>87</v>
      </c>
      <c r="E8035" s="16" t="str">
        <f>IFERROR(__xludf.DUMMYFUNCTION("""COMPUTED_VALUE"""),"")</f>
        <v/>
      </c>
      <c r="G8035" s="18"/>
      <c r="H8035" s="16" t="s">
        <v>87</v>
      </c>
      <c r="I8035" s="16" t="s">
        <v>87</v>
      </c>
      <c r="J8035" s="19"/>
      <c r="L8035" s="16" t="str">
        <f>IFERROR(__xludf.DUMMYFUNCTION("""COMPUTED_VALUE"""),"")</f>
        <v/>
      </c>
      <c r="M8035" s="16" t="str">
        <f>IFERROR(__xludf.DUMMYFUNCTION("""COMPUTED_VALUE"""),"")</f>
        <v/>
      </c>
      <c r="U8035" s="16" t="s">
        <v>87</v>
      </c>
      <c r="V8035" s="16" t="str">
        <f>IFERROR(__xludf.DUMMYFUNCTION("""COMPUTED_VALUE"""),"")</f>
        <v/>
      </c>
      <c r="W8035" s="16" t="str">
        <f>IFERROR(__xludf.DUMMYFUNCTION("""COMPUTED_VALUE"""),"")</f>
        <v/>
      </c>
      <c r="X8035" s="16" t="str">
        <f>IFERROR(__xludf.DUMMYFUNCTION("""COMPUTED_VALUE"""),"")</f>
        <v/>
      </c>
      <c r="AC8035" s="16" t="str">
        <f>IFERROR(__xludf.DUMMYFUNCTION("""COMPUTED_VALUE"""),"")</f>
        <v/>
      </c>
    </row>
    <row r="8036">
      <c r="A8036" s="16" t="s">
        <v>87</v>
      </c>
      <c r="E8036" s="16" t="str">
        <f>IFERROR(__xludf.DUMMYFUNCTION("""COMPUTED_VALUE"""),"")</f>
        <v/>
      </c>
      <c r="G8036" s="18"/>
      <c r="H8036" s="16" t="s">
        <v>87</v>
      </c>
      <c r="I8036" s="16" t="s">
        <v>87</v>
      </c>
      <c r="J8036" s="19"/>
      <c r="L8036" s="16" t="str">
        <f>IFERROR(__xludf.DUMMYFUNCTION("""COMPUTED_VALUE"""),"")</f>
        <v/>
      </c>
      <c r="M8036" s="16" t="str">
        <f>IFERROR(__xludf.DUMMYFUNCTION("""COMPUTED_VALUE"""),"")</f>
        <v/>
      </c>
      <c r="U8036" s="16" t="s">
        <v>87</v>
      </c>
      <c r="V8036" s="16" t="str">
        <f>IFERROR(__xludf.DUMMYFUNCTION("""COMPUTED_VALUE"""),"")</f>
        <v/>
      </c>
      <c r="W8036" s="16" t="str">
        <f>IFERROR(__xludf.DUMMYFUNCTION("""COMPUTED_VALUE"""),"")</f>
        <v/>
      </c>
      <c r="X8036" s="16" t="str">
        <f>IFERROR(__xludf.DUMMYFUNCTION("""COMPUTED_VALUE"""),"")</f>
        <v/>
      </c>
      <c r="AC8036" s="16" t="str">
        <f>IFERROR(__xludf.DUMMYFUNCTION("""COMPUTED_VALUE"""),"")</f>
        <v/>
      </c>
    </row>
    <row r="8037">
      <c r="A8037" s="16" t="s">
        <v>87</v>
      </c>
      <c r="E8037" s="16" t="str">
        <f>IFERROR(__xludf.DUMMYFUNCTION("""COMPUTED_VALUE"""),"")</f>
        <v/>
      </c>
      <c r="G8037" s="18"/>
      <c r="H8037" s="16" t="s">
        <v>87</v>
      </c>
      <c r="I8037" s="16" t="s">
        <v>87</v>
      </c>
      <c r="J8037" s="19"/>
      <c r="L8037" s="16" t="str">
        <f>IFERROR(__xludf.DUMMYFUNCTION("""COMPUTED_VALUE"""),"")</f>
        <v/>
      </c>
      <c r="M8037" s="16" t="str">
        <f>IFERROR(__xludf.DUMMYFUNCTION("""COMPUTED_VALUE"""),"")</f>
        <v/>
      </c>
      <c r="U8037" s="16" t="s">
        <v>87</v>
      </c>
      <c r="V8037" s="16" t="str">
        <f>IFERROR(__xludf.DUMMYFUNCTION("""COMPUTED_VALUE"""),"")</f>
        <v/>
      </c>
      <c r="W8037" s="16" t="str">
        <f>IFERROR(__xludf.DUMMYFUNCTION("""COMPUTED_VALUE"""),"")</f>
        <v/>
      </c>
      <c r="X8037" s="16" t="str">
        <f>IFERROR(__xludf.DUMMYFUNCTION("""COMPUTED_VALUE"""),"")</f>
        <v/>
      </c>
      <c r="AC8037" s="16" t="str">
        <f>IFERROR(__xludf.DUMMYFUNCTION("""COMPUTED_VALUE"""),"")</f>
        <v/>
      </c>
    </row>
    <row r="8038">
      <c r="A8038" s="16" t="s">
        <v>87</v>
      </c>
      <c r="E8038" s="16" t="str">
        <f>IFERROR(__xludf.DUMMYFUNCTION("""COMPUTED_VALUE"""),"")</f>
        <v/>
      </c>
      <c r="G8038" s="18"/>
      <c r="H8038" s="16" t="s">
        <v>87</v>
      </c>
      <c r="I8038" s="16" t="s">
        <v>87</v>
      </c>
      <c r="J8038" s="19"/>
      <c r="L8038" s="16" t="str">
        <f>IFERROR(__xludf.DUMMYFUNCTION("""COMPUTED_VALUE"""),"")</f>
        <v/>
      </c>
      <c r="M8038" s="16" t="str">
        <f>IFERROR(__xludf.DUMMYFUNCTION("""COMPUTED_VALUE"""),"")</f>
        <v/>
      </c>
      <c r="U8038" s="16" t="s">
        <v>87</v>
      </c>
      <c r="V8038" s="16" t="str">
        <f>IFERROR(__xludf.DUMMYFUNCTION("""COMPUTED_VALUE"""),"")</f>
        <v/>
      </c>
      <c r="W8038" s="16" t="str">
        <f>IFERROR(__xludf.DUMMYFUNCTION("""COMPUTED_VALUE"""),"")</f>
        <v/>
      </c>
      <c r="X8038" s="16" t="str">
        <f>IFERROR(__xludf.DUMMYFUNCTION("""COMPUTED_VALUE"""),"")</f>
        <v/>
      </c>
      <c r="AC8038" s="16" t="str">
        <f>IFERROR(__xludf.DUMMYFUNCTION("""COMPUTED_VALUE"""),"")</f>
        <v/>
      </c>
    </row>
    <row r="8039">
      <c r="A8039" s="16" t="s">
        <v>87</v>
      </c>
      <c r="E8039" s="16" t="str">
        <f>IFERROR(__xludf.DUMMYFUNCTION("""COMPUTED_VALUE"""),"")</f>
        <v/>
      </c>
      <c r="G8039" s="18"/>
      <c r="H8039" s="16" t="s">
        <v>87</v>
      </c>
      <c r="I8039" s="16" t="s">
        <v>87</v>
      </c>
      <c r="J8039" s="19"/>
      <c r="L8039" s="16" t="str">
        <f>IFERROR(__xludf.DUMMYFUNCTION("""COMPUTED_VALUE"""),"")</f>
        <v/>
      </c>
      <c r="M8039" s="16" t="str">
        <f>IFERROR(__xludf.DUMMYFUNCTION("""COMPUTED_VALUE"""),"")</f>
        <v/>
      </c>
      <c r="U8039" s="16" t="s">
        <v>87</v>
      </c>
      <c r="V8039" s="16" t="str">
        <f>IFERROR(__xludf.DUMMYFUNCTION("""COMPUTED_VALUE"""),"")</f>
        <v/>
      </c>
      <c r="W8039" s="16" t="str">
        <f>IFERROR(__xludf.DUMMYFUNCTION("""COMPUTED_VALUE"""),"")</f>
        <v/>
      </c>
      <c r="X8039" s="16" t="str">
        <f>IFERROR(__xludf.DUMMYFUNCTION("""COMPUTED_VALUE"""),"")</f>
        <v/>
      </c>
      <c r="AC8039" s="16" t="str">
        <f>IFERROR(__xludf.DUMMYFUNCTION("""COMPUTED_VALUE"""),"")</f>
        <v/>
      </c>
    </row>
    <row r="8040">
      <c r="A8040" s="16" t="s">
        <v>87</v>
      </c>
      <c r="E8040" s="16" t="str">
        <f>IFERROR(__xludf.DUMMYFUNCTION("""COMPUTED_VALUE"""),"")</f>
        <v/>
      </c>
      <c r="G8040" s="18"/>
      <c r="H8040" s="16" t="s">
        <v>87</v>
      </c>
      <c r="I8040" s="16" t="s">
        <v>87</v>
      </c>
      <c r="J8040" s="19"/>
      <c r="L8040" s="16" t="str">
        <f>IFERROR(__xludf.DUMMYFUNCTION("""COMPUTED_VALUE"""),"")</f>
        <v/>
      </c>
      <c r="M8040" s="16" t="str">
        <f>IFERROR(__xludf.DUMMYFUNCTION("""COMPUTED_VALUE"""),"")</f>
        <v/>
      </c>
      <c r="U8040" s="16" t="s">
        <v>87</v>
      </c>
      <c r="V8040" s="16" t="str">
        <f>IFERROR(__xludf.DUMMYFUNCTION("""COMPUTED_VALUE"""),"")</f>
        <v/>
      </c>
      <c r="W8040" s="16" t="str">
        <f>IFERROR(__xludf.DUMMYFUNCTION("""COMPUTED_VALUE"""),"")</f>
        <v/>
      </c>
      <c r="X8040" s="16" t="str">
        <f>IFERROR(__xludf.DUMMYFUNCTION("""COMPUTED_VALUE"""),"")</f>
        <v/>
      </c>
      <c r="AC8040" s="16" t="str">
        <f>IFERROR(__xludf.DUMMYFUNCTION("""COMPUTED_VALUE"""),"")</f>
        <v/>
      </c>
    </row>
    <row r="8041">
      <c r="A8041" s="16" t="s">
        <v>87</v>
      </c>
      <c r="E8041" s="16" t="str">
        <f>IFERROR(__xludf.DUMMYFUNCTION("""COMPUTED_VALUE"""),"")</f>
        <v/>
      </c>
      <c r="G8041" s="18"/>
      <c r="H8041" s="16" t="s">
        <v>87</v>
      </c>
      <c r="I8041" s="16" t="s">
        <v>87</v>
      </c>
      <c r="J8041" s="19"/>
      <c r="L8041" s="16" t="str">
        <f>IFERROR(__xludf.DUMMYFUNCTION("""COMPUTED_VALUE"""),"")</f>
        <v/>
      </c>
      <c r="M8041" s="16" t="str">
        <f>IFERROR(__xludf.DUMMYFUNCTION("""COMPUTED_VALUE"""),"")</f>
        <v/>
      </c>
      <c r="U8041" s="16" t="s">
        <v>87</v>
      </c>
      <c r="V8041" s="16" t="str">
        <f>IFERROR(__xludf.DUMMYFUNCTION("""COMPUTED_VALUE"""),"")</f>
        <v/>
      </c>
      <c r="W8041" s="16" t="str">
        <f>IFERROR(__xludf.DUMMYFUNCTION("""COMPUTED_VALUE"""),"")</f>
        <v/>
      </c>
      <c r="X8041" s="16" t="str">
        <f>IFERROR(__xludf.DUMMYFUNCTION("""COMPUTED_VALUE"""),"")</f>
        <v/>
      </c>
      <c r="AC8041" s="16" t="str">
        <f>IFERROR(__xludf.DUMMYFUNCTION("""COMPUTED_VALUE"""),"")</f>
        <v/>
      </c>
    </row>
    <row r="8042">
      <c r="A8042" s="16" t="s">
        <v>87</v>
      </c>
      <c r="E8042" s="16" t="str">
        <f>IFERROR(__xludf.DUMMYFUNCTION("""COMPUTED_VALUE"""),"")</f>
        <v/>
      </c>
      <c r="G8042" s="18"/>
      <c r="H8042" s="16" t="s">
        <v>87</v>
      </c>
      <c r="I8042" s="16" t="s">
        <v>87</v>
      </c>
      <c r="J8042" s="19"/>
      <c r="L8042" s="16" t="str">
        <f>IFERROR(__xludf.DUMMYFUNCTION("""COMPUTED_VALUE"""),"")</f>
        <v/>
      </c>
      <c r="M8042" s="16" t="str">
        <f>IFERROR(__xludf.DUMMYFUNCTION("""COMPUTED_VALUE"""),"")</f>
        <v/>
      </c>
      <c r="U8042" s="16" t="s">
        <v>87</v>
      </c>
      <c r="V8042" s="16" t="str">
        <f>IFERROR(__xludf.DUMMYFUNCTION("""COMPUTED_VALUE"""),"")</f>
        <v/>
      </c>
      <c r="W8042" s="16" t="str">
        <f>IFERROR(__xludf.DUMMYFUNCTION("""COMPUTED_VALUE"""),"")</f>
        <v/>
      </c>
      <c r="X8042" s="16" t="str">
        <f>IFERROR(__xludf.DUMMYFUNCTION("""COMPUTED_VALUE"""),"")</f>
        <v/>
      </c>
      <c r="AC8042" s="16" t="str">
        <f>IFERROR(__xludf.DUMMYFUNCTION("""COMPUTED_VALUE"""),"")</f>
        <v/>
      </c>
    </row>
    <row r="8043">
      <c r="A8043" s="16" t="s">
        <v>87</v>
      </c>
      <c r="E8043" s="16" t="str">
        <f>IFERROR(__xludf.DUMMYFUNCTION("""COMPUTED_VALUE"""),"")</f>
        <v/>
      </c>
      <c r="G8043" s="18"/>
      <c r="H8043" s="16" t="s">
        <v>87</v>
      </c>
      <c r="I8043" s="16" t="s">
        <v>87</v>
      </c>
      <c r="J8043" s="19"/>
      <c r="L8043" s="16" t="str">
        <f>IFERROR(__xludf.DUMMYFUNCTION("""COMPUTED_VALUE"""),"")</f>
        <v/>
      </c>
      <c r="M8043" s="16" t="str">
        <f>IFERROR(__xludf.DUMMYFUNCTION("""COMPUTED_VALUE"""),"")</f>
        <v/>
      </c>
      <c r="U8043" s="16" t="s">
        <v>87</v>
      </c>
      <c r="V8043" s="16" t="str">
        <f>IFERROR(__xludf.DUMMYFUNCTION("""COMPUTED_VALUE"""),"")</f>
        <v/>
      </c>
      <c r="W8043" s="16" t="str">
        <f>IFERROR(__xludf.DUMMYFUNCTION("""COMPUTED_VALUE"""),"")</f>
        <v/>
      </c>
      <c r="X8043" s="16" t="str">
        <f>IFERROR(__xludf.DUMMYFUNCTION("""COMPUTED_VALUE"""),"")</f>
        <v/>
      </c>
      <c r="AC8043" s="16" t="str">
        <f>IFERROR(__xludf.DUMMYFUNCTION("""COMPUTED_VALUE"""),"")</f>
        <v/>
      </c>
    </row>
    <row r="8044">
      <c r="A8044" s="16" t="s">
        <v>87</v>
      </c>
      <c r="E8044" s="16" t="str">
        <f>IFERROR(__xludf.DUMMYFUNCTION("""COMPUTED_VALUE"""),"")</f>
        <v/>
      </c>
      <c r="G8044" s="18"/>
      <c r="H8044" s="16" t="s">
        <v>87</v>
      </c>
      <c r="I8044" s="16" t="s">
        <v>87</v>
      </c>
      <c r="J8044" s="19"/>
      <c r="L8044" s="16" t="str">
        <f>IFERROR(__xludf.DUMMYFUNCTION("""COMPUTED_VALUE"""),"")</f>
        <v/>
      </c>
      <c r="M8044" s="16" t="str">
        <f>IFERROR(__xludf.DUMMYFUNCTION("""COMPUTED_VALUE"""),"")</f>
        <v/>
      </c>
      <c r="U8044" s="16" t="s">
        <v>87</v>
      </c>
      <c r="V8044" s="16" t="str">
        <f>IFERROR(__xludf.DUMMYFUNCTION("""COMPUTED_VALUE"""),"")</f>
        <v/>
      </c>
      <c r="W8044" s="16" t="str">
        <f>IFERROR(__xludf.DUMMYFUNCTION("""COMPUTED_VALUE"""),"")</f>
        <v/>
      </c>
      <c r="X8044" s="16" t="str">
        <f>IFERROR(__xludf.DUMMYFUNCTION("""COMPUTED_VALUE"""),"")</f>
        <v/>
      </c>
      <c r="AC8044" s="16" t="str">
        <f>IFERROR(__xludf.DUMMYFUNCTION("""COMPUTED_VALUE"""),"")</f>
        <v/>
      </c>
    </row>
    <row r="8045">
      <c r="A8045" s="16" t="s">
        <v>87</v>
      </c>
      <c r="E8045" s="16" t="str">
        <f>IFERROR(__xludf.DUMMYFUNCTION("""COMPUTED_VALUE"""),"")</f>
        <v/>
      </c>
      <c r="G8045" s="18"/>
      <c r="H8045" s="16" t="s">
        <v>87</v>
      </c>
      <c r="I8045" s="16" t="s">
        <v>87</v>
      </c>
      <c r="J8045" s="19"/>
      <c r="L8045" s="16" t="str">
        <f>IFERROR(__xludf.DUMMYFUNCTION("""COMPUTED_VALUE"""),"")</f>
        <v/>
      </c>
      <c r="M8045" s="16" t="str">
        <f>IFERROR(__xludf.DUMMYFUNCTION("""COMPUTED_VALUE"""),"")</f>
        <v/>
      </c>
      <c r="U8045" s="16" t="s">
        <v>87</v>
      </c>
      <c r="V8045" s="16" t="str">
        <f>IFERROR(__xludf.DUMMYFUNCTION("""COMPUTED_VALUE"""),"")</f>
        <v/>
      </c>
      <c r="W8045" s="16" t="str">
        <f>IFERROR(__xludf.DUMMYFUNCTION("""COMPUTED_VALUE"""),"")</f>
        <v/>
      </c>
      <c r="X8045" s="16" t="str">
        <f>IFERROR(__xludf.DUMMYFUNCTION("""COMPUTED_VALUE"""),"")</f>
        <v/>
      </c>
      <c r="AC8045" s="16" t="str">
        <f>IFERROR(__xludf.DUMMYFUNCTION("""COMPUTED_VALUE"""),"")</f>
        <v/>
      </c>
    </row>
    <row r="8046">
      <c r="A8046" s="16" t="s">
        <v>87</v>
      </c>
      <c r="E8046" s="16" t="str">
        <f>IFERROR(__xludf.DUMMYFUNCTION("""COMPUTED_VALUE"""),"")</f>
        <v/>
      </c>
      <c r="G8046" s="18"/>
      <c r="H8046" s="16" t="s">
        <v>87</v>
      </c>
      <c r="I8046" s="16" t="s">
        <v>87</v>
      </c>
      <c r="J8046" s="19"/>
      <c r="L8046" s="16" t="str">
        <f>IFERROR(__xludf.DUMMYFUNCTION("""COMPUTED_VALUE"""),"")</f>
        <v/>
      </c>
      <c r="M8046" s="16" t="str">
        <f>IFERROR(__xludf.DUMMYFUNCTION("""COMPUTED_VALUE"""),"")</f>
        <v/>
      </c>
      <c r="U8046" s="16" t="s">
        <v>87</v>
      </c>
      <c r="V8046" s="16" t="str">
        <f>IFERROR(__xludf.DUMMYFUNCTION("""COMPUTED_VALUE"""),"")</f>
        <v/>
      </c>
      <c r="W8046" s="16" t="str">
        <f>IFERROR(__xludf.DUMMYFUNCTION("""COMPUTED_VALUE"""),"")</f>
        <v/>
      </c>
      <c r="X8046" s="16" t="str">
        <f>IFERROR(__xludf.DUMMYFUNCTION("""COMPUTED_VALUE"""),"")</f>
        <v/>
      </c>
      <c r="AC8046" s="16" t="str">
        <f>IFERROR(__xludf.DUMMYFUNCTION("""COMPUTED_VALUE"""),"")</f>
        <v/>
      </c>
    </row>
    <row r="8047">
      <c r="A8047" s="16" t="s">
        <v>87</v>
      </c>
      <c r="E8047" s="16" t="str">
        <f>IFERROR(__xludf.DUMMYFUNCTION("""COMPUTED_VALUE"""),"")</f>
        <v/>
      </c>
      <c r="G8047" s="18"/>
      <c r="H8047" s="16" t="s">
        <v>87</v>
      </c>
      <c r="I8047" s="16" t="s">
        <v>87</v>
      </c>
      <c r="J8047" s="19"/>
      <c r="L8047" s="16" t="str">
        <f>IFERROR(__xludf.DUMMYFUNCTION("""COMPUTED_VALUE"""),"")</f>
        <v/>
      </c>
      <c r="M8047" s="16" t="str">
        <f>IFERROR(__xludf.DUMMYFUNCTION("""COMPUTED_VALUE"""),"")</f>
        <v/>
      </c>
      <c r="U8047" s="16" t="s">
        <v>87</v>
      </c>
      <c r="V8047" s="16" t="str">
        <f>IFERROR(__xludf.DUMMYFUNCTION("""COMPUTED_VALUE"""),"")</f>
        <v/>
      </c>
      <c r="W8047" s="16" t="str">
        <f>IFERROR(__xludf.DUMMYFUNCTION("""COMPUTED_VALUE"""),"")</f>
        <v/>
      </c>
      <c r="X8047" s="16" t="str">
        <f>IFERROR(__xludf.DUMMYFUNCTION("""COMPUTED_VALUE"""),"")</f>
        <v/>
      </c>
      <c r="AC8047" s="16" t="str">
        <f>IFERROR(__xludf.DUMMYFUNCTION("""COMPUTED_VALUE"""),"")</f>
        <v/>
      </c>
    </row>
    <row r="8048">
      <c r="A8048" s="16" t="s">
        <v>87</v>
      </c>
      <c r="E8048" s="16" t="str">
        <f>IFERROR(__xludf.DUMMYFUNCTION("""COMPUTED_VALUE"""),"")</f>
        <v/>
      </c>
      <c r="G8048" s="18"/>
      <c r="H8048" s="16" t="s">
        <v>87</v>
      </c>
      <c r="I8048" s="16" t="s">
        <v>87</v>
      </c>
      <c r="J8048" s="19"/>
      <c r="L8048" s="16" t="str">
        <f>IFERROR(__xludf.DUMMYFUNCTION("""COMPUTED_VALUE"""),"")</f>
        <v/>
      </c>
      <c r="M8048" s="16" t="str">
        <f>IFERROR(__xludf.DUMMYFUNCTION("""COMPUTED_VALUE"""),"")</f>
        <v/>
      </c>
      <c r="U8048" s="16" t="s">
        <v>87</v>
      </c>
      <c r="V8048" s="16" t="str">
        <f>IFERROR(__xludf.DUMMYFUNCTION("""COMPUTED_VALUE"""),"")</f>
        <v/>
      </c>
      <c r="W8048" s="16" t="str">
        <f>IFERROR(__xludf.DUMMYFUNCTION("""COMPUTED_VALUE"""),"")</f>
        <v/>
      </c>
      <c r="X8048" s="16" t="str">
        <f>IFERROR(__xludf.DUMMYFUNCTION("""COMPUTED_VALUE"""),"")</f>
        <v/>
      </c>
      <c r="AC8048" s="16" t="str">
        <f>IFERROR(__xludf.DUMMYFUNCTION("""COMPUTED_VALUE"""),"")</f>
        <v/>
      </c>
    </row>
    <row r="8049">
      <c r="A8049" s="16" t="s">
        <v>87</v>
      </c>
      <c r="E8049" s="16" t="str">
        <f>IFERROR(__xludf.DUMMYFUNCTION("""COMPUTED_VALUE"""),"")</f>
        <v/>
      </c>
      <c r="G8049" s="18"/>
      <c r="H8049" s="16" t="s">
        <v>87</v>
      </c>
      <c r="I8049" s="16" t="s">
        <v>87</v>
      </c>
      <c r="J8049" s="19"/>
      <c r="L8049" s="16" t="str">
        <f>IFERROR(__xludf.DUMMYFUNCTION("""COMPUTED_VALUE"""),"")</f>
        <v/>
      </c>
      <c r="M8049" s="16" t="str">
        <f>IFERROR(__xludf.DUMMYFUNCTION("""COMPUTED_VALUE"""),"")</f>
        <v/>
      </c>
      <c r="U8049" s="16" t="s">
        <v>87</v>
      </c>
      <c r="V8049" s="16" t="str">
        <f>IFERROR(__xludf.DUMMYFUNCTION("""COMPUTED_VALUE"""),"")</f>
        <v/>
      </c>
      <c r="W8049" s="16" t="str">
        <f>IFERROR(__xludf.DUMMYFUNCTION("""COMPUTED_VALUE"""),"")</f>
        <v/>
      </c>
      <c r="X8049" s="16" t="str">
        <f>IFERROR(__xludf.DUMMYFUNCTION("""COMPUTED_VALUE"""),"")</f>
        <v/>
      </c>
      <c r="AC8049" s="16" t="str">
        <f>IFERROR(__xludf.DUMMYFUNCTION("""COMPUTED_VALUE"""),"")</f>
        <v/>
      </c>
    </row>
    <row r="8050">
      <c r="A8050" s="16" t="s">
        <v>87</v>
      </c>
      <c r="E8050" s="16" t="str">
        <f>IFERROR(__xludf.DUMMYFUNCTION("""COMPUTED_VALUE"""),"")</f>
        <v/>
      </c>
      <c r="G8050" s="18"/>
      <c r="H8050" s="16" t="s">
        <v>87</v>
      </c>
      <c r="I8050" s="16" t="s">
        <v>87</v>
      </c>
      <c r="J8050" s="19"/>
      <c r="L8050" s="16" t="str">
        <f>IFERROR(__xludf.DUMMYFUNCTION("""COMPUTED_VALUE"""),"")</f>
        <v/>
      </c>
      <c r="M8050" s="16" t="str">
        <f>IFERROR(__xludf.DUMMYFUNCTION("""COMPUTED_VALUE"""),"")</f>
        <v/>
      </c>
      <c r="U8050" s="16" t="s">
        <v>87</v>
      </c>
      <c r="V8050" s="16" t="str">
        <f>IFERROR(__xludf.DUMMYFUNCTION("""COMPUTED_VALUE"""),"")</f>
        <v/>
      </c>
      <c r="W8050" s="16" t="str">
        <f>IFERROR(__xludf.DUMMYFUNCTION("""COMPUTED_VALUE"""),"")</f>
        <v/>
      </c>
      <c r="X8050" s="16" t="str">
        <f>IFERROR(__xludf.DUMMYFUNCTION("""COMPUTED_VALUE"""),"")</f>
        <v/>
      </c>
      <c r="AC8050" s="16" t="str">
        <f>IFERROR(__xludf.DUMMYFUNCTION("""COMPUTED_VALUE"""),"")</f>
        <v/>
      </c>
    </row>
    <row r="8051">
      <c r="A8051" s="16" t="s">
        <v>87</v>
      </c>
      <c r="E8051" s="16" t="str">
        <f>IFERROR(__xludf.DUMMYFUNCTION("""COMPUTED_VALUE"""),"")</f>
        <v/>
      </c>
      <c r="G8051" s="18"/>
      <c r="H8051" s="16" t="s">
        <v>87</v>
      </c>
      <c r="I8051" s="16" t="s">
        <v>87</v>
      </c>
      <c r="J8051" s="19"/>
      <c r="L8051" s="16" t="str">
        <f>IFERROR(__xludf.DUMMYFUNCTION("""COMPUTED_VALUE"""),"")</f>
        <v/>
      </c>
      <c r="M8051" s="16" t="str">
        <f>IFERROR(__xludf.DUMMYFUNCTION("""COMPUTED_VALUE"""),"")</f>
        <v/>
      </c>
      <c r="U8051" s="16" t="s">
        <v>87</v>
      </c>
      <c r="V8051" s="16" t="str">
        <f>IFERROR(__xludf.DUMMYFUNCTION("""COMPUTED_VALUE"""),"")</f>
        <v/>
      </c>
      <c r="W8051" s="16" t="str">
        <f>IFERROR(__xludf.DUMMYFUNCTION("""COMPUTED_VALUE"""),"")</f>
        <v/>
      </c>
      <c r="X8051" s="16" t="str">
        <f>IFERROR(__xludf.DUMMYFUNCTION("""COMPUTED_VALUE"""),"")</f>
        <v/>
      </c>
      <c r="AC8051" s="16" t="str">
        <f>IFERROR(__xludf.DUMMYFUNCTION("""COMPUTED_VALUE"""),"")</f>
        <v/>
      </c>
    </row>
    <row r="8052">
      <c r="A8052" s="16" t="s">
        <v>87</v>
      </c>
      <c r="E8052" s="16" t="str">
        <f>IFERROR(__xludf.DUMMYFUNCTION("""COMPUTED_VALUE"""),"")</f>
        <v/>
      </c>
      <c r="G8052" s="18"/>
      <c r="H8052" s="16" t="s">
        <v>87</v>
      </c>
      <c r="I8052" s="16" t="s">
        <v>87</v>
      </c>
      <c r="J8052" s="19"/>
      <c r="L8052" s="16" t="str">
        <f>IFERROR(__xludf.DUMMYFUNCTION("""COMPUTED_VALUE"""),"")</f>
        <v/>
      </c>
      <c r="M8052" s="16" t="str">
        <f>IFERROR(__xludf.DUMMYFUNCTION("""COMPUTED_VALUE"""),"")</f>
        <v/>
      </c>
      <c r="U8052" s="16" t="s">
        <v>87</v>
      </c>
      <c r="V8052" s="16" t="str">
        <f>IFERROR(__xludf.DUMMYFUNCTION("""COMPUTED_VALUE"""),"")</f>
        <v/>
      </c>
      <c r="W8052" s="16" t="str">
        <f>IFERROR(__xludf.DUMMYFUNCTION("""COMPUTED_VALUE"""),"")</f>
        <v/>
      </c>
      <c r="X8052" s="16" t="str">
        <f>IFERROR(__xludf.DUMMYFUNCTION("""COMPUTED_VALUE"""),"")</f>
        <v/>
      </c>
      <c r="AC8052" s="16" t="str">
        <f>IFERROR(__xludf.DUMMYFUNCTION("""COMPUTED_VALUE"""),"")</f>
        <v/>
      </c>
    </row>
    <row r="8053">
      <c r="A8053" s="16" t="s">
        <v>87</v>
      </c>
      <c r="E8053" s="16" t="str">
        <f>IFERROR(__xludf.DUMMYFUNCTION("""COMPUTED_VALUE"""),"")</f>
        <v/>
      </c>
      <c r="G8053" s="18"/>
      <c r="H8053" s="16" t="s">
        <v>87</v>
      </c>
      <c r="I8053" s="16" t="s">
        <v>87</v>
      </c>
      <c r="J8053" s="19"/>
      <c r="L8053" s="16" t="str">
        <f>IFERROR(__xludf.DUMMYFUNCTION("""COMPUTED_VALUE"""),"")</f>
        <v/>
      </c>
      <c r="M8053" s="16" t="str">
        <f>IFERROR(__xludf.DUMMYFUNCTION("""COMPUTED_VALUE"""),"")</f>
        <v/>
      </c>
      <c r="U8053" s="16" t="s">
        <v>87</v>
      </c>
      <c r="V8053" s="16" t="str">
        <f>IFERROR(__xludf.DUMMYFUNCTION("""COMPUTED_VALUE"""),"")</f>
        <v/>
      </c>
      <c r="W8053" s="16" t="str">
        <f>IFERROR(__xludf.DUMMYFUNCTION("""COMPUTED_VALUE"""),"")</f>
        <v/>
      </c>
      <c r="X8053" s="16" t="str">
        <f>IFERROR(__xludf.DUMMYFUNCTION("""COMPUTED_VALUE"""),"")</f>
        <v/>
      </c>
      <c r="AC8053" s="16" t="str">
        <f>IFERROR(__xludf.DUMMYFUNCTION("""COMPUTED_VALUE"""),"")</f>
        <v/>
      </c>
    </row>
    <row r="8054">
      <c r="A8054" s="16" t="s">
        <v>87</v>
      </c>
      <c r="E8054" s="16" t="str">
        <f>IFERROR(__xludf.DUMMYFUNCTION("""COMPUTED_VALUE"""),"")</f>
        <v/>
      </c>
      <c r="G8054" s="18"/>
      <c r="H8054" s="16" t="s">
        <v>87</v>
      </c>
      <c r="I8054" s="16" t="s">
        <v>87</v>
      </c>
      <c r="J8054" s="19"/>
      <c r="L8054" s="16" t="str">
        <f>IFERROR(__xludf.DUMMYFUNCTION("""COMPUTED_VALUE"""),"")</f>
        <v/>
      </c>
      <c r="M8054" s="16" t="str">
        <f>IFERROR(__xludf.DUMMYFUNCTION("""COMPUTED_VALUE"""),"")</f>
        <v/>
      </c>
      <c r="U8054" s="16" t="s">
        <v>87</v>
      </c>
      <c r="V8054" s="16" t="str">
        <f>IFERROR(__xludf.DUMMYFUNCTION("""COMPUTED_VALUE"""),"")</f>
        <v/>
      </c>
      <c r="W8054" s="16" t="str">
        <f>IFERROR(__xludf.DUMMYFUNCTION("""COMPUTED_VALUE"""),"")</f>
        <v/>
      </c>
      <c r="X8054" s="16" t="str">
        <f>IFERROR(__xludf.DUMMYFUNCTION("""COMPUTED_VALUE"""),"")</f>
        <v/>
      </c>
      <c r="AC8054" s="16" t="str">
        <f>IFERROR(__xludf.DUMMYFUNCTION("""COMPUTED_VALUE"""),"")</f>
        <v/>
      </c>
    </row>
    <row r="8055">
      <c r="A8055" s="16" t="s">
        <v>87</v>
      </c>
      <c r="E8055" s="16" t="str">
        <f>IFERROR(__xludf.DUMMYFUNCTION("""COMPUTED_VALUE"""),"")</f>
        <v/>
      </c>
      <c r="G8055" s="18"/>
      <c r="H8055" s="16" t="s">
        <v>87</v>
      </c>
      <c r="I8055" s="16" t="s">
        <v>87</v>
      </c>
      <c r="J8055" s="19"/>
      <c r="L8055" s="16" t="str">
        <f>IFERROR(__xludf.DUMMYFUNCTION("""COMPUTED_VALUE"""),"")</f>
        <v/>
      </c>
      <c r="M8055" s="16" t="str">
        <f>IFERROR(__xludf.DUMMYFUNCTION("""COMPUTED_VALUE"""),"")</f>
        <v/>
      </c>
      <c r="U8055" s="16" t="s">
        <v>87</v>
      </c>
      <c r="V8055" s="16" t="str">
        <f>IFERROR(__xludf.DUMMYFUNCTION("""COMPUTED_VALUE"""),"")</f>
        <v/>
      </c>
      <c r="W8055" s="16" t="str">
        <f>IFERROR(__xludf.DUMMYFUNCTION("""COMPUTED_VALUE"""),"")</f>
        <v/>
      </c>
      <c r="X8055" s="16" t="str">
        <f>IFERROR(__xludf.DUMMYFUNCTION("""COMPUTED_VALUE"""),"")</f>
        <v/>
      </c>
      <c r="AC8055" s="16" t="str">
        <f>IFERROR(__xludf.DUMMYFUNCTION("""COMPUTED_VALUE"""),"")</f>
        <v/>
      </c>
    </row>
    <row r="8056">
      <c r="A8056" s="16" t="s">
        <v>87</v>
      </c>
      <c r="E8056" s="16" t="str">
        <f>IFERROR(__xludf.DUMMYFUNCTION("""COMPUTED_VALUE"""),"")</f>
        <v/>
      </c>
      <c r="G8056" s="18"/>
      <c r="H8056" s="16" t="s">
        <v>87</v>
      </c>
      <c r="I8056" s="16" t="s">
        <v>87</v>
      </c>
      <c r="J8056" s="19"/>
      <c r="L8056" s="16" t="str">
        <f>IFERROR(__xludf.DUMMYFUNCTION("""COMPUTED_VALUE"""),"")</f>
        <v/>
      </c>
      <c r="M8056" s="16" t="str">
        <f>IFERROR(__xludf.DUMMYFUNCTION("""COMPUTED_VALUE"""),"")</f>
        <v/>
      </c>
      <c r="U8056" s="16" t="s">
        <v>87</v>
      </c>
      <c r="V8056" s="16" t="str">
        <f>IFERROR(__xludf.DUMMYFUNCTION("""COMPUTED_VALUE"""),"")</f>
        <v/>
      </c>
      <c r="W8056" s="16" t="str">
        <f>IFERROR(__xludf.DUMMYFUNCTION("""COMPUTED_VALUE"""),"")</f>
        <v/>
      </c>
      <c r="X8056" s="16" t="str">
        <f>IFERROR(__xludf.DUMMYFUNCTION("""COMPUTED_VALUE"""),"")</f>
        <v/>
      </c>
      <c r="AC8056" s="16" t="str">
        <f>IFERROR(__xludf.DUMMYFUNCTION("""COMPUTED_VALUE"""),"")</f>
        <v/>
      </c>
    </row>
    <row r="8057">
      <c r="A8057" s="16" t="s">
        <v>87</v>
      </c>
      <c r="E8057" s="16" t="str">
        <f>IFERROR(__xludf.DUMMYFUNCTION("""COMPUTED_VALUE"""),"")</f>
        <v/>
      </c>
      <c r="G8057" s="18"/>
      <c r="H8057" s="16" t="s">
        <v>87</v>
      </c>
      <c r="I8057" s="16" t="s">
        <v>87</v>
      </c>
      <c r="J8057" s="19"/>
      <c r="L8057" s="16" t="str">
        <f>IFERROR(__xludf.DUMMYFUNCTION("""COMPUTED_VALUE"""),"")</f>
        <v/>
      </c>
      <c r="M8057" s="16" t="str">
        <f>IFERROR(__xludf.DUMMYFUNCTION("""COMPUTED_VALUE"""),"")</f>
        <v/>
      </c>
      <c r="U8057" s="16" t="s">
        <v>87</v>
      </c>
      <c r="V8057" s="16" t="str">
        <f>IFERROR(__xludf.DUMMYFUNCTION("""COMPUTED_VALUE"""),"")</f>
        <v/>
      </c>
      <c r="W8057" s="16" t="str">
        <f>IFERROR(__xludf.DUMMYFUNCTION("""COMPUTED_VALUE"""),"")</f>
        <v/>
      </c>
      <c r="X8057" s="16" t="str">
        <f>IFERROR(__xludf.DUMMYFUNCTION("""COMPUTED_VALUE"""),"")</f>
        <v/>
      </c>
      <c r="AC8057" s="16" t="str">
        <f>IFERROR(__xludf.DUMMYFUNCTION("""COMPUTED_VALUE"""),"")</f>
        <v/>
      </c>
    </row>
    <row r="8058">
      <c r="A8058" s="16" t="s">
        <v>87</v>
      </c>
      <c r="E8058" s="16" t="str">
        <f>IFERROR(__xludf.DUMMYFUNCTION("""COMPUTED_VALUE"""),"")</f>
        <v/>
      </c>
      <c r="G8058" s="18"/>
      <c r="H8058" s="16" t="s">
        <v>87</v>
      </c>
      <c r="I8058" s="16" t="s">
        <v>87</v>
      </c>
      <c r="J8058" s="19"/>
      <c r="L8058" s="16" t="str">
        <f>IFERROR(__xludf.DUMMYFUNCTION("""COMPUTED_VALUE"""),"")</f>
        <v/>
      </c>
      <c r="M8058" s="16" t="str">
        <f>IFERROR(__xludf.DUMMYFUNCTION("""COMPUTED_VALUE"""),"")</f>
        <v/>
      </c>
      <c r="U8058" s="16" t="s">
        <v>87</v>
      </c>
      <c r="V8058" s="16" t="str">
        <f>IFERROR(__xludf.DUMMYFUNCTION("""COMPUTED_VALUE"""),"")</f>
        <v/>
      </c>
      <c r="W8058" s="16" t="str">
        <f>IFERROR(__xludf.DUMMYFUNCTION("""COMPUTED_VALUE"""),"")</f>
        <v/>
      </c>
      <c r="X8058" s="16" t="str">
        <f>IFERROR(__xludf.DUMMYFUNCTION("""COMPUTED_VALUE"""),"")</f>
        <v/>
      </c>
      <c r="AC8058" s="16" t="str">
        <f>IFERROR(__xludf.DUMMYFUNCTION("""COMPUTED_VALUE"""),"")</f>
        <v/>
      </c>
    </row>
    <row r="8059">
      <c r="A8059" s="16" t="s">
        <v>87</v>
      </c>
      <c r="E8059" s="16" t="str">
        <f>IFERROR(__xludf.DUMMYFUNCTION("""COMPUTED_VALUE"""),"")</f>
        <v/>
      </c>
      <c r="G8059" s="18"/>
      <c r="H8059" s="16" t="s">
        <v>87</v>
      </c>
      <c r="I8059" s="16" t="s">
        <v>87</v>
      </c>
      <c r="J8059" s="19"/>
      <c r="L8059" s="16" t="str">
        <f>IFERROR(__xludf.DUMMYFUNCTION("""COMPUTED_VALUE"""),"")</f>
        <v/>
      </c>
      <c r="M8059" s="16" t="str">
        <f>IFERROR(__xludf.DUMMYFUNCTION("""COMPUTED_VALUE"""),"")</f>
        <v/>
      </c>
      <c r="U8059" s="16" t="s">
        <v>87</v>
      </c>
      <c r="V8059" s="16" t="str">
        <f>IFERROR(__xludf.DUMMYFUNCTION("""COMPUTED_VALUE"""),"")</f>
        <v/>
      </c>
      <c r="W8059" s="16" t="str">
        <f>IFERROR(__xludf.DUMMYFUNCTION("""COMPUTED_VALUE"""),"")</f>
        <v/>
      </c>
      <c r="X8059" s="16" t="str">
        <f>IFERROR(__xludf.DUMMYFUNCTION("""COMPUTED_VALUE"""),"")</f>
        <v/>
      </c>
      <c r="AC8059" s="16" t="str">
        <f>IFERROR(__xludf.DUMMYFUNCTION("""COMPUTED_VALUE"""),"")</f>
        <v/>
      </c>
    </row>
    <row r="8060">
      <c r="A8060" s="16" t="s">
        <v>87</v>
      </c>
      <c r="E8060" s="16" t="str">
        <f>IFERROR(__xludf.DUMMYFUNCTION("""COMPUTED_VALUE"""),"")</f>
        <v/>
      </c>
      <c r="G8060" s="18"/>
      <c r="H8060" s="16" t="s">
        <v>87</v>
      </c>
      <c r="I8060" s="16" t="s">
        <v>87</v>
      </c>
      <c r="J8060" s="19"/>
      <c r="L8060" s="16" t="str">
        <f>IFERROR(__xludf.DUMMYFUNCTION("""COMPUTED_VALUE"""),"")</f>
        <v/>
      </c>
      <c r="M8060" s="16" t="str">
        <f>IFERROR(__xludf.DUMMYFUNCTION("""COMPUTED_VALUE"""),"")</f>
        <v/>
      </c>
      <c r="U8060" s="16" t="s">
        <v>87</v>
      </c>
      <c r="V8060" s="16" t="str">
        <f>IFERROR(__xludf.DUMMYFUNCTION("""COMPUTED_VALUE"""),"")</f>
        <v/>
      </c>
      <c r="W8060" s="16" t="str">
        <f>IFERROR(__xludf.DUMMYFUNCTION("""COMPUTED_VALUE"""),"")</f>
        <v/>
      </c>
      <c r="X8060" s="16" t="str">
        <f>IFERROR(__xludf.DUMMYFUNCTION("""COMPUTED_VALUE"""),"")</f>
        <v/>
      </c>
      <c r="AC8060" s="16" t="str">
        <f>IFERROR(__xludf.DUMMYFUNCTION("""COMPUTED_VALUE"""),"")</f>
        <v/>
      </c>
    </row>
    <row r="8061">
      <c r="A8061" s="16" t="s">
        <v>87</v>
      </c>
      <c r="E8061" s="16" t="str">
        <f>IFERROR(__xludf.DUMMYFUNCTION("""COMPUTED_VALUE"""),"")</f>
        <v/>
      </c>
      <c r="G8061" s="18"/>
      <c r="H8061" s="16" t="s">
        <v>87</v>
      </c>
      <c r="I8061" s="16" t="s">
        <v>87</v>
      </c>
      <c r="J8061" s="19"/>
      <c r="L8061" s="16" t="str">
        <f>IFERROR(__xludf.DUMMYFUNCTION("""COMPUTED_VALUE"""),"")</f>
        <v/>
      </c>
      <c r="M8061" s="16" t="str">
        <f>IFERROR(__xludf.DUMMYFUNCTION("""COMPUTED_VALUE"""),"")</f>
        <v/>
      </c>
      <c r="U8061" s="16" t="s">
        <v>87</v>
      </c>
      <c r="V8061" s="16" t="str">
        <f>IFERROR(__xludf.DUMMYFUNCTION("""COMPUTED_VALUE"""),"")</f>
        <v/>
      </c>
      <c r="W8061" s="16" t="str">
        <f>IFERROR(__xludf.DUMMYFUNCTION("""COMPUTED_VALUE"""),"")</f>
        <v/>
      </c>
      <c r="X8061" s="16" t="str">
        <f>IFERROR(__xludf.DUMMYFUNCTION("""COMPUTED_VALUE"""),"")</f>
        <v/>
      </c>
      <c r="AC8061" s="16" t="str">
        <f>IFERROR(__xludf.DUMMYFUNCTION("""COMPUTED_VALUE"""),"")</f>
        <v/>
      </c>
    </row>
    <row r="8062">
      <c r="A8062" s="16" t="s">
        <v>87</v>
      </c>
      <c r="E8062" s="16" t="str">
        <f>IFERROR(__xludf.DUMMYFUNCTION("""COMPUTED_VALUE"""),"")</f>
        <v/>
      </c>
      <c r="G8062" s="18"/>
      <c r="H8062" s="16" t="s">
        <v>87</v>
      </c>
      <c r="I8062" s="16" t="s">
        <v>87</v>
      </c>
      <c r="J8062" s="19"/>
      <c r="L8062" s="16" t="str">
        <f>IFERROR(__xludf.DUMMYFUNCTION("""COMPUTED_VALUE"""),"")</f>
        <v/>
      </c>
      <c r="M8062" s="16" t="str">
        <f>IFERROR(__xludf.DUMMYFUNCTION("""COMPUTED_VALUE"""),"")</f>
        <v/>
      </c>
      <c r="U8062" s="16" t="s">
        <v>87</v>
      </c>
      <c r="V8062" s="16" t="str">
        <f>IFERROR(__xludf.DUMMYFUNCTION("""COMPUTED_VALUE"""),"")</f>
        <v/>
      </c>
      <c r="W8062" s="16" t="str">
        <f>IFERROR(__xludf.DUMMYFUNCTION("""COMPUTED_VALUE"""),"")</f>
        <v/>
      </c>
      <c r="X8062" s="16" t="str">
        <f>IFERROR(__xludf.DUMMYFUNCTION("""COMPUTED_VALUE"""),"")</f>
        <v/>
      </c>
      <c r="AC8062" s="16" t="str">
        <f>IFERROR(__xludf.DUMMYFUNCTION("""COMPUTED_VALUE"""),"")</f>
        <v/>
      </c>
    </row>
    <row r="8063">
      <c r="A8063" s="16" t="s">
        <v>87</v>
      </c>
      <c r="E8063" s="16" t="str">
        <f>IFERROR(__xludf.DUMMYFUNCTION("""COMPUTED_VALUE"""),"")</f>
        <v/>
      </c>
      <c r="G8063" s="18"/>
      <c r="H8063" s="16" t="s">
        <v>87</v>
      </c>
      <c r="I8063" s="16" t="s">
        <v>87</v>
      </c>
      <c r="J8063" s="19"/>
      <c r="L8063" s="16" t="str">
        <f>IFERROR(__xludf.DUMMYFUNCTION("""COMPUTED_VALUE"""),"")</f>
        <v/>
      </c>
      <c r="M8063" s="16" t="str">
        <f>IFERROR(__xludf.DUMMYFUNCTION("""COMPUTED_VALUE"""),"")</f>
        <v/>
      </c>
      <c r="U8063" s="16" t="s">
        <v>87</v>
      </c>
      <c r="V8063" s="16" t="str">
        <f>IFERROR(__xludf.DUMMYFUNCTION("""COMPUTED_VALUE"""),"")</f>
        <v/>
      </c>
      <c r="W8063" s="16" t="str">
        <f>IFERROR(__xludf.DUMMYFUNCTION("""COMPUTED_VALUE"""),"")</f>
        <v/>
      </c>
      <c r="X8063" s="16" t="str">
        <f>IFERROR(__xludf.DUMMYFUNCTION("""COMPUTED_VALUE"""),"")</f>
        <v/>
      </c>
      <c r="AC8063" s="16" t="str">
        <f>IFERROR(__xludf.DUMMYFUNCTION("""COMPUTED_VALUE"""),"")</f>
        <v/>
      </c>
    </row>
    <row r="8064">
      <c r="A8064" s="16" t="s">
        <v>87</v>
      </c>
      <c r="E8064" s="16" t="str">
        <f>IFERROR(__xludf.DUMMYFUNCTION("""COMPUTED_VALUE"""),"")</f>
        <v/>
      </c>
      <c r="G8064" s="18"/>
      <c r="H8064" s="16" t="s">
        <v>87</v>
      </c>
      <c r="I8064" s="16" t="s">
        <v>87</v>
      </c>
      <c r="J8064" s="19"/>
      <c r="L8064" s="16" t="str">
        <f>IFERROR(__xludf.DUMMYFUNCTION("""COMPUTED_VALUE"""),"")</f>
        <v/>
      </c>
      <c r="M8064" s="16" t="str">
        <f>IFERROR(__xludf.DUMMYFUNCTION("""COMPUTED_VALUE"""),"")</f>
        <v/>
      </c>
      <c r="U8064" s="16" t="s">
        <v>87</v>
      </c>
      <c r="V8064" s="16" t="str">
        <f>IFERROR(__xludf.DUMMYFUNCTION("""COMPUTED_VALUE"""),"")</f>
        <v/>
      </c>
      <c r="W8064" s="16" t="str">
        <f>IFERROR(__xludf.DUMMYFUNCTION("""COMPUTED_VALUE"""),"")</f>
        <v/>
      </c>
      <c r="X8064" s="16" t="str">
        <f>IFERROR(__xludf.DUMMYFUNCTION("""COMPUTED_VALUE"""),"")</f>
        <v/>
      </c>
      <c r="AC8064" s="16" t="str">
        <f>IFERROR(__xludf.DUMMYFUNCTION("""COMPUTED_VALUE"""),"")</f>
        <v/>
      </c>
    </row>
    <row r="8065">
      <c r="A8065" s="16" t="s">
        <v>87</v>
      </c>
      <c r="E8065" s="16" t="str">
        <f>IFERROR(__xludf.DUMMYFUNCTION("""COMPUTED_VALUE"""),"")</f>
        <v/>
      </c>
      <c r="G8065" s="18"/>
      <c r="H8065" s="16" t="s">
        <v>87</v>
      </c>
      <c r="I8065" s="16" t="s">
        <v>87</v>
      </c>
      <c r="J8065" s="19"/>
      <c r="L8065" s="16" t="str">
        <f>IFERROR(__xludf.DUMMYFUNCTION("""COMPUTED_VALUE"""),"")</f>
        <v/>
      </c>
      <c r="M8065" s="16" t="str">
        <f>IFERROR(__xludf.DUMMYFUNCTION("""COMPUTED_VALUE"""),"")</f>
        <v/>
      </c>
      <c r="U8065" s="16" t="s">
        <v>87</v>
      </c>
      <c r="V8065" s="16" t="str">
        <f>IFERROR(__xludf.DUMMYFUNCTION("""COMPUTED_VALUE"""),"")</f>
        <v/>
      </c>
      <c r="W8065" s="16" t="str">
        <f>IFERROR(__xludf.DUMMYFUNCTION("""COMPUTED_VALUE"""),"")</f>
        <v/>
      </c>
      <c r="X8065" s="16" t="str">
        <f>IFERROR(__xludf.DUMMYFUNCTION("""COMPUTED_VALUE"""),"")</f>
        <v/>
      </c>
      <c r="AC8065" s="16" t="str">
        <f>IFERROR(__xludf.DUMMYFUNCTION("""COMPUTED_VALUE"""),"")</f>
        <v/>
      </c>
    </row>
    <row r="8066">
      <c r="A8066" s="16" t="s">
        <v>87</v>
      </c>
      <c r="E8066" s="16" t="str">
        <f>IFERROR(__xludf.DUMMYFUNCTION("""COMPUTED_VALUE"""),"")</f>
        <v/>
      </c>
      <c r="G8066" s="18"/>
      <c r="H8066" s="16" t="s">
        <v>87</v>
      </c>
      <c r="I8066" s="16" t="s">
        <v>87</v>
      </c>
      <c r="J8066" s="19"/>
      <c r="L8066" s="16" t="str">
        <f>IFERROR(__xludf.DUMMYFUNCTION("""COMPUTED_VALUE"""),"")</f>
        <v/>
      </c>
      <c r="M8066" s="16" t="str">
        <f>IFERROR(__xludf.DUMMYFUNCTION("""COMPUTED_VALUE"""),"")</f>
        <v/>
      </c>
      <c r="U8066" s="16" t="s">
        <v>87</v>
      </c>
      <c r="V8066" s="16" t="str">
        <f>IFERROR(__xludf.DUMMYFUNCTION("""COMPUTED_VALUE"""),"")</f>
        <v/>
      </c>
      <c r="W8066" s="16" t="str">
        <f>IFERROR(__xludf.DUMMYFUNCTION("""COMPUTED_VALUE"""),"")</f>
        <v/>
      </c>
      <c r="X8066" s="16" t="str">
        <f>IFERROR(__xludf.DUMMYFUNCTION("""COMPUTED_VALUE"""),"")</f>
        <v/>
      </c>
      <c r="AC8066" s="16" t="str">
        <f>IFERROR(__xludf.DUMMYFUNCTION("""COMPUTED_VALUE"""),"")</f>
        <v/>
      </c>
    </row>
    <row r="8067">
      <c r="A8067" s="16" t="s">
        <v>87</v>
      </c>
      <c r="E8067" s="16" t="str">
        <f>IFERROR(__xludf.DUMMYFUNCTION("""COMPUTED_VALUE"""),"")</f>
        <v/>
      </c>
      <c r="G8067" s="18"/>
      <c r="H8067" s="16" t="s">
        <v>87</v>
      </c>
      <c r="I8067" s="16" t="s">
        <v>87</v>
      </c>
      <c r="J8067" s="19"/>
      <c r="L8067" s="16" t="str">
        <f>IFERROR(__xludf.DUMMYFUNCTION("""COMPUTED_VALUE"""),"")</f>
        <v/>
      </c>
      <c r="M8067" s="16" t="str">
        <f>IFERROR(__xludf.DUMMYFUNCTION("""COMPUTED_VALUE"""),"")</f>
        <v/>
      </c>
      <c r="U8067" s="16" t="s">
        <v>87</v>
      </c>
      <c r="V8067" s="16" t="str">
        <f>IFERROR(__xludf.DUMMYFUNCTION("""COMPUTED_VALUE"""),"")</f>
        <v/>
      </c>
      <c r="W8067" s="16" t="str">
        <f>IFERROR(__xludf.DUMMYFUNCTION("""COMPUTED_VALUE"""),"")</f>
        <v/>
      </c>
      <c r="X8067" s="16" t="str">
        <f>IFERROR(__xludf.DUMMYFUNCTION("""COMPUTED_VALUE"""),"")</f>
        <v/>
      </c>
      <c r="AC8067" s="16" t="str">
        <f>IFERROR(__xludf.DUMMYFUNCTION("""COMPUTED_VALUE"""),"")</f>
        <v/>
      </c>
    </row>
    <row r="8068">
      <c r="A8068" s="16" t="s">
        <v>87</v>
      </c>
      <c r="E8068" s="16" t="str">
        <f>IFERROR(__xludf.DUMMYFUNCTION("""COMPUTED_VALUE"""),"")</f>
        <v/>
      </c>
      <c r="G8068" s="18"/>
      <c r="H8068" s="16" t="s">
        <v>87</v>
      </c>
      <c r="I8068" s="16" t="s">
        <v>87</v>
      </c>
      <c r="J8068" s="19"/>
      <c r="L8068" s="16" t="str">
        <f>IFERROR(__xludf.DUMMYFUNCTION("""COMPUTED_VALUE"""),"")</f>
        <v/>
      </c>
      <c r="M8068" s="16" t="str">
        <f>IFERROR(__xludf.DUMMYFUNCTION("""COMPUTED_VALUE"""),"")</f>
        <v/>
      </c>
      <c r="U8068" s="16" t="s">
        <v>87</v>
      </c>
      <c r="V8068" s="16" t="str">
        <f>IFERROR(__xludf.DUMMYFUNCTION("""COMPUTED_VALUE"""),"")</f>
        <v/>
      </c>
      <c r="W8068" s="16" t="str">
        <f>IFERROR(__xludf.DUMMYFUNCTION("""COMPUTED_VALUE"""),"")</f>
        <v/>
      </c>
      <c r="X8068" s="16" t="str">
        <f>IFERROR(__xludf.DUMMYFUNCTION("""COMPUTED_VALUE"""),"")</f>
        <v/>
      </c>
      <c r="AC8068" s="16" t="str">
        <f>IFERROR(__xludf.DUMMYFUNCTION("""COMPUTED_VALUE"""),"")</f>
        <v/>
      </c>
    </row>
    <row r="8069">
      <c r="A8069" s="16" t="s">
        <v>87</v>
      </c>
      <c r="E8069" s="16" t="str">
        <f>IFERROR(__xludf.DUMMYFUNCTION("""COMPUTED_VALUE"""),"")</f>
        <v/>
      </c>
      <c r="G8069" s="18"/>
      <c r="H8069" s="16" t="s">
        <v>87</v>
      </c>
      <c r="I8069" s="16" t="s">
        <v>87</v>
      </c>
      <c r="J8069" s="19"/>
      <c r="L8069" s="16" t="str">
        <f>IFERROR(__xludf.DUMMYFUNCTION("""COMPUTED_VALUE"""),"")</f>
        <v/>
      </c>
      <c r="M8069" s="16" t="str">
        <f>IFERROR(__xludf.DUMMYFUNCTION("""COMPUTED_VALUE"""),"")</f>
        <v/>
      </c>
      <c r="U8069" s="16" t="s">
        <v>87</v>
      </c>
      <c r="V8069" s="16" t="str">
        <f>IFERROR(__xludf.DUMMYFUNCTION("""COMPUTED_VALUE"""),"")</f>
        <v/>
      </c>
      <c r="W8069" s="16" t="str">
        <f>IFERROR(__xludf.DUMMYFUNCTION("""COMPUTED_VALUE"""),"")</f>
        <v/>
      </c>
      <c r="X8069" s="16" t="str">
        <f>IFERROR(__xludf.DUMMYFUNCTION("""COMPUTED_VALUE"""),"")</f>
        <v/>
      </c>
      <c r="AC8069" s="16" t="str">
        <f>IFERROR(__xludf.DUMMYFUNCTION("""COMPUTED_VALUE"""),"")</f>
        <v/>
      </c>
    </row>
    <row r="8070">
      <c r="A8070" s="16" t="s">
        <v>87</v>
      </c>
      <c r="E8070" s="16" t="str">
        <f>IFERROR(__xludf.DUMMYFUNCTION("""COMPUTED_VALUE"""),"")</f>
        <v/>
      </c>
      <c r="G8070" s="18"/>
      <c r="H8070" s="16" t="s">
        <v>87</v>
      </c>
      <c r="I8070" s="16" t="s">
        <v>87</v>
      </c>
      <c r="J8070" s="19"/>
      <c r="L8070" s="16" t="str">
        <f>IFERROR(__xludf.DUMMYFUNCTION("""COMPUTED_VALUE"""),"")</f>
        <v/>
      </c>
      <c r="M8070" s="16" t="str">
        <f>IFERROR(__xludf.DUMMYFUNCTION("""COMPUTED_VALUE"""),"")</f>
        <v/>
      </c>
      <c r="U8070" s="16" t="s">
        <v>87</v>
      </c>
      <c r="V8070" s="16" t="str">
        <f>IFERROR(__xludf.DUMMYFUNCTION("""COMPUTED_VALUE"""),"")</f>
        <v/>
      </c>
      <c r="W8070" s="16" t="str">
        <f>IFERROR(__xludf.DUMMYFUNCTION("""COMPUTED_VALUE"""),"")</f>
        <v/>
      </c>
      <c r="X8070" s="16" t="str">
        <f>IFERROR(__xludf.DUMMYFUNCTION("""COMPUTED_VALUE"""),"")</f>
        <v/>
      </c>
      <c r="AC8070" s="16" t="str">
        <f>IFERROR(__xludf.DUMMYFUNCTION("""COMPUTED_VALUE"""),"")</f>
        <v/>
      </c>
    </row>
    <row r="8071">
      <c r="A8071" s="16" t="s">
        <v>87</v>
      </c>
      <c r="E8071" s="16" t="str">
        <f>IFERROR(__xludf.DUMMYFUNCTION("""COMPUTED_VALUE"""),"")</f>
        <v/>
      </c>
      <c r="G8071" s="18"/>
      <c r="H8071" s="16" t="s">
        <v>87</v>
      </c>
      <c r="I8071" s="16" t="s">
        <v>87</v>
      </c>
      <c r="J8071" s="19"/>
      <c r="L8071" s="16" t="str">
        <f>IFERROR(__xludf.DUMMYFUNCTION("""COMPUTED_VALUE"""),"")</f>
        <v/>
      </c>
      <c r="M8071" s="16" t="str">
        <f>IFERROR(__xludf.DUMMYFUNCTION("""COMPUTED_VALUE"""),"")</f>
        <v/>
      </c>
      <c r="U8071" s="16" t="s">
        <v>87</v>
      </c>
      <c r="V8071" s="16" t="str">
        <f>IFERROR(__xludf.DUMMYFUNCTION("""COMPUTED_VALUE"""),"")</f>
        <v/>
      </c>
      <c r="W8071" s="16" t="str">
        <f>IFERROR(__xludf.DUMMYFUNCTION("""COMPUTED_VALUE"""),"")</f>
        <v/>
      </c>
      <c r="X8071" s="16" t="str">
        <f>IFERROR(__xludf.DUMMYFUNCTION("""COMPUTED_VALUE"""),"")</f>
        <v/>
      </c>
      <c r="AC8071" s="16" t="str">
        <f>IFERROR(__xludf.DUMMYFUNCTION("""COMPUTED_VALUE"""),"")</f>
        <v/>
      </c>
    </row>
    <row r="8072">
      <c r="A8072" s="16" t="s">
        <v>87</v>
      </c>
      <c r="E8072" s="16" t="str">
        <f>IFERROR(__xludf.DUMMYFUNCTION("""COMPUTED_VALUE"""),"")</f>
        <v/>
      </c>
      <c r="G8072" s="18"/>
      <c r="H8072" s="16" t="s">
        <v>87</v>
      </c>
      <c r="I8072" s="16" t="s">
        <v>87</v>
      </c>
      <c r="J8072" s="19"/>
      <c r="L8072" s="16" t="str">
        <f>IFERROR(__xludf.DUMMYFUNCTION("""COMPUTED_VALUE"""),"")</f>
        <v/>
      </c>
      <c r="M8072" s="16" t="str">
        <f>IFERROR(__xludf.DUMMYFUNCTION("""COMPUTED_VALUE"""),"")</f>
        <v/>
      </c>
      <c r="U8072" s="16" t="s">
        <v>87</v>
      </c>
      <c r="V8072" s="16" t="str">
        <f>IFERROR(__xludf.DUMMYFUNCTION("""COMPUTED_VALUE"""),"")</f>
        <v/>
      </c>
      <c r="W8072" s="16" t="str">
        <f>IFERROR(__xludf.DUMMYFUNCTION("""COMPUTED_VALUE"""),"")</f>
        <v/>
      </c>
      <c r="X8072" s="16" t="str">
        <f>IFERROR(__xludf.DUMMYFUNCTION("""COMPUTED_VALUE"""),"")</f>
        <v/>
      </c>
      <c r="AC8072" s="16" t="str">
        <f>IFERROR(__xludf.DUMMYFUNCTION("""COMPUTED_VALUE"""),"")</f>
        <v/>
      </c>
    </row>
    <row r="8073">
      <c r="A8073" s="16" t="s">
        <v>87</v>
      </c>
      <c r="E8073" s="16" t="str">
        <f>IFERROR(__xludf.DUMMYFUNCTION("""COMPUTED_VALUE"""),"")</f>
        <v/>
      </c>
      <c r="G8073" s="18"/>
      <c r="H8073" s="16" t="s">
        <v>87</v>
      </c>
      <c r="I8073" s="16" t="s">
        <v>87</v>
      </c>
      <c r="J8073" s="19"/>
      <c r="L8073" s="16" t="str">
        <f>IFERROR(__xludf.DUMMYFUNCTION("""COMPUTED_VALUE"""),"")</f>
        <v/>
      </c>
      <c r="M8073" s="16" t="str">
        <f>IFERROR(__xludf.DUMMYFUNCTION("""COMPUTED_VALUE"""),"")</f>
        <v/>
      </c>
      <c r="U8073" s="16" t="s">
        <v>87</v>
      </c>
      <c r="V8073" s="16" t="str">
        <f>IFERROR(__xludf.DUMMYFUNCTION("""COMPUTED_VALUE"""),"")</f>
        <v/>
      </c>
      <c r="W8073" s="16" t="str">
        <f>IFERROR(__xludf.DUMMYFUNCTION("""COMPUTED_VALUE"""),"")</f>
        <v/>
      </c>
      <c r="X8073" s="16" t="str">
        <f>IFERROR(__xludf.DUMMYFUNCTION("""COMPUTED_VALUE"""),"")</f>
        <v/>
      </c>
      <c r="AC8073" s="16" t="str">
        <f>IFERROR(__xludf.DUMMYFUNCTION("""COMPUTED_VALUE"""),"")</f>
        <v/>
      </c>
    </row>
    <row r="8074">
      <c r="A8074" s="16" t="s">
        <v>87</v>
      </c>
      <c r="E8074" s="16" t="str">
        <f>IFERROR(__xludf.DUMMYFUNCTION("""COMPUTED_VALUE"""),"")</f>
        <v/>
      </c>
      <c r="G8074" s="18"/>
      <c r="H8074" s="16" t="s">
        <v>87</v>
      </c>
      <c r="I8074" s="16" t="s">
        <v>87</v>
      </c>
      <c r="J8074" s="19"/>
      <c r="L8074" s="16" t="str">
        <f>IFERROR(__xludf.DUMMYFUNCTION("""COMPUTED_VALUE"""),"")</f>
        <v/>
      </c>
      <c r="M8074" s="16" t="str">
        <f>IFERROR(__xludf.DUMMYFUNCTION("""COMPUTED_VALUE"""),"")</f>
        <v/>
      </c>
      <c r="U8074" s="16" t="s">
        <v>87</v>
      </c>
      <c r="V8074" s="16" t="str">
        <f>IFERROR(__xludf.DUMMYFUNCTION("""COMPUTED_VALUE"""),"")</f>
        <v/>
      </c>
      <c r="W8074" s="16" t="str">
        <f>IFERROR(__xludf.DUMMYFUNCTION("""COMPUTED_VALUE"""),"")</f>
        <v/>
      </c>
      <c r="X8074" s="16" t="str">
        <f>IFERROR(__xludf.DUMMYFUNCTION("""COMPUTED_VALUE"""),"")</f>
        <v/>
      </c>
      <c r="AC8074" s="16" t="str">
        <f>IFERROR(__xludf.DUMMYFUNCTION("""COMPUTED_VALUE"""),"")</f>
        <v/>
      </c>
    </row>
    <row r="8075">
      <c r="A8075" s="16" t="s">
        <v>87</v>
      </c>
      <c r="E8075" s="16" t="str">
        <f>IFERROR(__xludf.DUMMYFUNCTION("""COMPUTED_VALUE"""),"")</f>
        <v/>
      </c>
      <c r="G8075" s="18"/>
      <c r="H8075" s="16" t="s">
        <v>87</v>
      </c>
      <c r="I8075" s="16" t="s">
        <v>87</v>
      </c>
      <c r="J8075" s="19"/>
      <c r="L8075" s="16" t="str">
        <f>IFERROR(__xludf.DUMMYFUNCTION("""COMPUTED_VALUE"""),"")</f>
        <v/>
      </c>
      <c r="M8075" s="16" t="str">
        <f>IFERROR(__xludf.DUMMYFUNCTION("""COMPUTED_VALUE"""),"")</f>
        <v/>
      </c>
      <c r="U8075" s="16" t="s">
        <v>87</v>
      </c>
      <c r="V8075" s="16" t="str">
        <f>IFERROR(__xludf.DUMMYFUNCTION("""COMPUTED_VALUE"""),"")</f>
        <v/>
      </c>
      <c r="W8075" s="16" t="str">
        <f>IFERROR(__xludf.DUMMYFUNCTION("""COMPUTED_VALUE"""),"")</f>
        <v/>
      </c>
      <c r="X8075" s="16" t="str">
        <f>IFERROR(__xludf.DUMMYFUNCTION("""COMPUTED_VALUE"""),"")</f>
        <v/>
      </c>
      <c r="AC8075" s="16" t="str">
        <f>IFERROR(__xludf.DUMMYFUNCTION("""COMPUTED_VALUE"""),"")</f>
        <v/>
      </c>
    </row>
    <row r="8076">
      <c r="A8076" s="16" t="s">
        <v>87</v>
      </c>
      <c r="E8076" s="16" t="str">
        <f>IFERROR(__xludf.DUMMYFUNCTION("""COMPUTED_VALUE"""),"")</f>
        <v/>
      </c>
      <c r="G8076" s="18"/>
      <c r="H8076" s="16" t="s">
        <v>87</v>
      </c>
      <c r="I8076" s="16" t="s">
        <v>87</v>
      </c>
      <c r="J8076" s="19"/>
      <c r="L8076" s="16" t="str">
        <f>IFERROR(__xludf.DUMMYFUNCTION("""COMPUTED_VALUE"""),"")</f>
        <v/>
      </c>
      <c r="M8076" s="16" t="str">
        <f>IFERROR(__xludf.DUMMYFUNCTION("""COMPUTED_VALUE"""),"")</f>
        <v/>
      </c>
      <c r="U8076" s="16" t="s">
        <v>87</v>
      </c>
      <c r="V8076" s="16" t="str">
        <f>IFERROR(__xludf.DUMMYFUNCTION("""COMPUTED_VALUE"""),"")</f>
        <v/>
      </c>
      <c r="W8076" s="16" t="str">
        <f>IFERROR(__xludf.DUMMYFUNCTION("""COMPUTED_VALUE"""),"")</f>
        <v/>
      </c>
      <c r="X8076" s="16" t="str">
        <f>IFERROR(__xludf.DUMMYFUNCTION("""COMPUTED_VALUE"""),"")</f>
        <v/>
      </c>
      <c r="AC8076" s="16" t="str">
        <f>IFERROR(__xludf.DUMMYFUNCTION("""COMPUTED_VALUE"""),"")</f>
        <v/>
      </c>
    </row>
    <row r="8077">
      <c r="A8077" s="16" t="s">
        <v>87</v>
      </c>
      <c r="E8077" s="16" t="str">
        <f>IFERROR(__xludf.DUMMYFUNCTION("""COMPUTED_VALUE"""),"")</f>
        <v/>
      </c>
      <c r="G8077" s="18"/>
      <c r="H8077" s="16" t="s">
        <v>87</v>
      </c>
      <c r="I8077" s="16" t="s">
        <v>87</v>
      </c>
      <c r="J8077" s="19"/>
      <c r="L8077" s="16" t="str">
        <f>IFERROR(__xludf.DUMMYFUNCTION("""COMPUTED_VALUE"""),"")</f>
        <v/>
      </c>
      <c r="M8077" s="16" t="str">
        <f>IFERROR(__xludf.DUMMYFUNCTION("""COMPUTED_VALUE"""),"")</f>
        <v/>
      </c>
      <c r="U8077" s="16" t="s">
        <v>87</v>
      </c>
      <c r="V8077" s="16" t="str">
        <f>IFERROR(__xludf.DUMMYFUNCTION("""COMPUTED_VALUE"""),"")</f>
        <v/>
      </c>
      <c r="W8077" s="16" t="str">
        <f>IFERROR(__xludf.DUMMYFUNCTION("""COMPUTED_VALUE"""),"")</f>
        <v/>
      </c>
      <c r="X8077" s="16" t="str">
        <f>IFERROR(__xludf.DUMMYFUNCTION("""COMPUTED_VALUE"""),"")</f>
        <v/>
      </c>
      <c r="AC8077" s="16" t="str">
        <f>IFERROR(__xludf.DUMMYFUNCTION("""COMPUTED_VALUE"""),"")</f>
        <v/>
      </c>
    </row>
    <row r="8078">
      <c r="A8078" s="16" t="s">
        <v>87</v>
      </c>
      <c r="E8078" s="16" t="str">
        <f>IFERROR(__xludf.DUMMYFUNCTION("""COMPUTED_VALUE"""),"")</f>
        <v/>
      </c>
      <c r="G8078" s="18"/>
      <c r="H8078" s="16" t="s">
        <v>87</v>
      </c>
      <c r="I8078" s="16" t="s">
        <v>87</v>
      </c>
      <c r="J8078" s="19"/>
      <c r="L8078" s="16" t="str">
        <f>IFERROR(__xludf.DUMMYFUNCTION("""COMPUTED_VALUE"""),"")</f>
        <v/>
      </c>
      <c r="M8078" s="16" t="str">
        <f>IFERROR(__xludf.DUMMYFUNCTION("""COMPUTED_VALUE"""),"")</f>
        <v/>
      </c>
      <c r="U8078" s="16" t="s">
        <v>87</v>
      </c>
      <c r="V8078" s="16" t="str">
        <f>IFERROR(__xludf.DUMMYFUNCTION("""COMPUTED_VALUE"""),"")</f>
        <v/>
      </c>
      <c r="W8078" s="16" t="str">
        <f>IFERROR(__xludf.DUMMYFUNCTION("""COMPUTED_VALUE"""),"")</f>
        <v/>
      </c>
      <c r="X8078" s="16" t="str">
        <f>IFERROR(__xludf.DUMMYFUNCTION("""COMPUTED_VALUE"""),"")</f>
        <v/>
      </c>
      <c r="AC8078" s="16" t="str">
        <f>IFERROR(__xludf.DUMMYFUNCTION("""COMPUTED_VALUE"""),"")</f>
        <v/>
      </c>
    </row>
    <row r="8079">
      <c r="A8079" s="16" t="s">
        <v>87</v>
      </c>
      <c r="E8079" s="16" t="str">
        <f>IFERROR(__xludf.DUMMYFUNCTION("""COMPUTED_VALUE"""),"")</f>
        <v/>
      </c>
      <c r="G8079" s="18"/>
      <c r="H8079" s="16" t="s">
        <v>87</v>
      </c>
      <c r="I8079" s="16" t="s">
        <v>87</v>
      </c>
      <c r="J8079" s="19"/>
      <c r="L8079" s="16" t="str">
        <f>IFERROR(__xludf.DUMMYFUNCTION("""COMPUTED_VALUE"""),"")</f>
        <v/>
      </c>
      <c r="M8079" s="16" t="str">
        <f>IFERROR(__xludf.DUMMYFUNCTION("""COMPUTED_VALUE"""),"")</f>
        <v/>
      </c>
      <c r="U8079" s="16" t="s">
        <v>87</v>
      </c>
      <c r="V8079" s="16" t="str">
        <f>IFERROR(__xludf.DUMMYFUNCTION("""COMPUTED_VALUE"""),"")</f>
        <v/>
      </c>
      <c r="W8079" s="16" t="str">
        <f>IFERROR(__xludf.DUMMYFUNCTION("""COMPUTED_VALUE"""),"")</f>
        <v/>
      </c>
      <c r="X8079" s="16" t="str">
        <f>IFERROR(__xludf.DUMMYFUNCTION("""COMPUTED_VALUE"""),"")</f>
        <v/>
      </c>
      <c r="AC8079" s="16" t="str">
        <f>IFERROR(__xludf.DUMMYFUNCTION("""COMPUTED_VALUE"""),"")</f>
        <v/>
      </c>
    </row>
    <row r="8080">
      <c r="A8080" s="16" t="s">
        <v>87</v>
      </c>
      <c r="E8080" s="16" t="str">
        <f>IFERROR(__xludf.DUMMYFUNCTION("""COMPUTED_VALUE"""),"")</f>
        <v/>
      </c>
      <c r="G8080" s="18"/>
      <c r="H8080" s="16" t="s">
        <v>87</v>
      </c>
      <c r="I8080" s="16" t="s">
        <v>87</v>
      </c>
      <c r="J8080" s="19"/>
      <c r="L8080" s="16" t="str">
        <f>IFERROR(__xludf.DUMMYFUNCTION("""COMPUTED_VALUE"""),"")</f>
        <v/>
      </c>
      <c r="M8080" s="16" t="str">
        <f>IFERROR(__xludf.DUMMYFUNCTION("""COMPUTED_VALUE"""),"")</f>
        <v/>
      </c>
      <c r="U8080" s="16" t="s">
        <v>87</v>
      </c>
      <c r="V8080" s="16" t="str">
        <f>IFERROR(__xludf.DUMMYFUNCTION("""COMPUTED_VALUE"""),"")</f>
        <v/>
      </c>
      <c r="W8080" s="16" t="str">
        <f>IFERROR(__xludf.DUMMYFUNCTION("""COMPUTED_VALUE"""),"")</f>
        <v/>
      </c>
      <c r="X8080" s="16" t="str">
        <f>IFERROR(__xludf.DUMMYFUNCTION("""COMPUTED_VALUE"""),"")</f>
        <v/>
      </c>
      <c r="AC8080" s="16" t="str">
        <f>IFERROR(__xludf.DUMMYFUNCTION("""COMPUTED_VALUE"""),"")</f>
        <v/>
      </c>
    </row>
    <row r="8081">
      <c r="A8081" s="16" t="s">
        <v>87</v>
      </c>
      <c r="E8081" s="16" t="str">
        <f>IFERROR(__xludf.DUMMYFUNCTION("""COMPUTED_VALUE"""),"")</f>
        <v/>
      </c>
      <c r="G8081" s="18"/>
      <c r="H8081" s="16" t="s">
        <v>87</v>
      </c>
      <c r="I8081" s="16" t="s">
        <v>87</v>
      </c>
      <c r="J8081" s="19"/>
      <c r="L8081" s="16" t="str">
        <f>IFERROR(__xludf.DUMMYFUNCTION("""COMPUTED_VALUE"""),"")</f>
        <v/>
      </c>
      <c r="M8081" s="16" t="str">
        <f>IFERROR(__xludf.DUMMYFUNCTION("""COMPUTED_VALUE"""),"")</f>
        <v/>
      </c>
      <c r="U8081" s="16" t="s">
        <v>87</v>
      </c>
      <c r="V8081" s="16" t="str">
        <f>IFERROR(__xludf.DUMMYFUNCTION("""COMPUTED_VALUE"""),"")</f>
        <v/>
      </c>
      <c r="W8081" s="16" t="str">
        <f>IFERROR(__xludf.DUMMYFUNCTION("""COMPUTED_VALUE"""),"")</f>
        <v/>
      </c>
      <c r="X8081" s="16" t="str">
        <f>IFERROR(__xludf.DUMMYFUNCTION("""COMPUTED_VALUE"""),"")</f>
        <v/>
      </c>
      <c r="AC8081" s="16" t="str">
        <f>IFERROR(__xludf.DUMMYFUNCTION("""COMPUTED_VALUE"""),"")</f>
        <v/>
      </c>
    </row>
    <row r="8082">
      <c r="A8082" s="16" t="s">
        <v>87</v>
      </c>
      <c r="E8082" s="16" t="str">
        <f>IFERROR(__xludf.DUMMYFUNCTION("""COMPUTED_VALUE"""),"")</f>
        <v/>
      </c>
      <c r="G8082" s="18"/>
      <c r="H8082" s="16" t="s">
        <v>87</v>
      </c>
      <c r="I8082" s="16" t="s">
        <v>87</v>
      </c>
      <c r="J8082" s="19"/>
      <c r="L8082" s="16" t="str">
        <f>IFERROR(__xludf.DUMMYFUNCTION("""COMPUTED_VALUE"""),"")</f>
        <v/>
      </c>
      <c r="M8082" s="16" t="str">
        <f>IFERROR(__xludf.DUMMYFUNCTION("""COMPUTED_VALUE"""),"")</f>
        <v/>
      </c>
      <c r="U8082" s="16" t="s">
        <v>87</v>
      </c>
      <c r="V8082" s="16" t="str">
        <f>IFERROR(__xludf.DUMMYFUNCTION("""COMPUTED_VALUE"""),"")</f>
        <v/>
      </c>
      <c r="W8082" s="16" t="str">
        <f>IFERROR(__xludf.DUMMYFUNCTION("""COMPUTED_VALUE"""),"")</f>
        <v/>
      </c>
      <c r="X8082" s="16" t="str">
        <f>IFERROR(__xludf.DUMMYFUNCTION("""COMPUTED_VALUE"""),"")</f>
        <v/>
      </c>
      <c r="AC8082" s="16" t="str">
        <f>IFERROR(__xludf.DUMMYFUNCTION("""COMPUTED_VALUE"""),"")</f>
        <v/>
      </c>
    </row>
    <row r="8083">
      <c r="A8083" s="16" t="s">
        <v>87</v>
      </c>
      <c r="E8083" s="16" t="str">
        <f>IFERROR(__xludf.DUMMYFUNCTION("""COMPUTED_VALUE"""),"")</f>
        <v/>
      </c>
      <c r="G8083" s="18"/>
      <c r="H8083" s="16" t="s">
        <v>87</v>
      </c>
      <c r="I8083" s="16" t="s">
        <v>87</v>
      </c>
      <c r="J8083" s="19"/>
      <c r="L8083" s="16" t="str">
        <f>IFERROR(__xludf.DUMMYFUNCTION("""COMPUTED_VALUE"""),"")</f>
        <v/>
      </c>
      <c r="M8083" s="16" t="str">
        <f>IFERROR(__xludf.DUMMYFUNCTION("""COMPUTED_VALUE"""),"")</f>
        <v/>
      </c>
      <c r="U8083" s="16" t="s">
        <v>87</v>
      </c>
      <c r="V8083" s="16" t="str">
        <f>IFERROR(__xludf.DUMMYFUNCTION("""COMPUTED_VALUE"""),"")</f>
        <v/>
      </c>
      <c r="W8083" s="16" t="str">
        <f>IFERROR(__xludf.DUMMYFUNCTION("""COMPUTED_VALUE"""),"")</f>
        <v/>
      </c>
      <c r="X8083" s="16" t="str">
        <f>IFERROR(__xludf.DUMMYFUNCTION("""COMPUTED_VALUE"""),"")</f>
        <v/>
      </c>
      <c r="AC8083" s="16" t="str">
        <f>IFERROR(__xludf.DUMMYFUNCTION("""COMPUTED_VALUE"""),"")</f>
        <v/>
      </c>
    </row>
    <row r="8084">
      <c r="A8084" s="16" t="s">
        <v>87</v>
      </c>
      <c r="E8084" s="16" t="str">
        <f>IFERROR(__xludf.DUMMYFUNCTION("""COMPUTED_VALUE"""),"")</f>
        <v/>
      </c>
      <c r="G8084" s="18"/>
      <c r="H8084" s="16" t="s">
        <v>87</v>
      </c>
      <c r="I8084" s="16" t="s">
        <v>87</v>
      </c>
      <c r="J8084" s="19"/>
      <c r="L8084" s="16" t="str">
        <f>IFERROR(__xludf.DUMMYFUNCTION("""COMPUTED_VALUE"""),"")</f>
        <v/>
      </c>
      <c r="M8084" s="16" t="str">
        <f>IFERROR(__xludf.DUMMYFUNCTION("""COMPUTED_VALUE"""),"")</f>
        <v/>
      </c>
      <c r="U8084" s="16" t="s">
        <v>87</v>
      </c>
      <c r="V8084" s="16" t="str">
        <f>IFERROR(__xludf.DUMMYFUNCTION("""COMPUTED_VALUE"""),"")</f>
        <v/>
      </c>
      <c r="W8084" s="16" t="str">
        <f>IFERROR(__xludf.DUMMYFUNCTION("""COMPUTED_VALUE"""),"")</f>
        <v/>
      </c>
      <c r="X8084" s="16" t="str">
        <f>IFERROR(__xludf.DUMMYFUNCTION("""COMPUTED_VALUE"""),"")</f>
        <v/>
      </c>
      <c r="AC8084" s="16" t="str">
        <f>IFERROR(__xludf.DUMMYFUNCTION("""COMPUTED_VALUE"""),"")</f>
        <v/>
      </c>
    </row>
    <row r="8085">
      <c r="A8085" s="16" t="s">
        <v>87</v>
      </c>
      <c r="E8085" s="16" t="str">
        <f>IFERROR(__xludf.DUMMYFUNCTION("""COMPUTED_VALUE"""),"")</f>
        <v/>
      </c>
      <c r="G8085" s="18"/>
      <c r="H8085" s="16" t="s">
        <v>87</v>
      </c>
      <c r="I8085" s="16" t="s">
        <v>87</v>
      </c>
      <c r="J8085" s="19"/>
      <c r="L8085" s="16" t="str">
        <f>IFERROR(__xludf.DUMMYFUNCTION("""COMPUTED_VALUE"""),"")</f>
        <v/>
      </c>
      <c r="M8085" s="16" t="str">
        <f>IFERROR(__xludf.DUMMYFUNCTION("""COMPUTED_VALUE"""),"")</f>
        <v/>
      </c>
      <c r="U8085" s="16" t="s">
        <v>87</v>
      </c>
      <c r="V8085" s="16" t="str">
        <f>IFERROR(__xludf.DUMMYFUNCTION("""COMPUTED_VALUE"""),"")</f>
        <v/>
      </c>
      <c r="W8085" s="16" t="str">
        <f>IFERROR(__xludf.DUMMYFUNCTION("""COMPUTED_VALUE"""),"")</f>
        <v/>
      </c>
      <c r="X8085" s="16" t="str">
        <f>IFERROR(__xludf.DUMMYFUNCTION("""COMPUTED_VALUE"""),"")</f>
        <v/>
      </c>
      <c r="AC8085" s="16" t="str">
        <f>IFERROR(__xludf.DUMMYFUNCTION("""COMPUTED_VALUE"""),"")</f>
        <v/>
      </c>
    </row>
    <row r="8086">
      <c r="A8086" s="16" t="s">
        <v>87</v>
      </c>
      <c r="E8086" s="16" t="str">
        <f>IFERROR(__xludf.DUMMYFUNCTION("""COMPUTED_VALUE"""),"")</f>
        <v/>
      </c>
      <c r="G8086" s="18"/>
      <c r="H8086" s="16" t="s">
        <v>87</v>
      </c>
      <c r="I8086" s="16" t="s">
        <v>87</v>
      </c>
      <c r="J8086" s="19"/>
      <c r="L8086" s="16" t="str">
        <f>IFERROR(__xludf.DUMMYFUNCTION("""COMPUTED_VALUE"""),"")</f>
        <v/>
      </c>
      <c r="M8086" s="16" t="str">
        <f>IFERROR(__xludf.DUMMYFUNCTION("""COMPUTED_VALUE"""),"")</f>
        <v/>
      </c>
      <c r="U8086" s="16" t="s">
        <v>87</v>
      </c>
      <c r="V8086" s="16" t="str">
        <f>IFERROR(__xludf.DUMMYFUNCTION("""COMPUTED_VALUE"""),"")</f>
        <v/>
      </c>
      <c r="W8086" s="16" t="str">
        <f>IFERROR(__xludf.DUMMYFUNCTION("""COMPUTED_VALUE"""),"")</f>
        <v/>
      </c>
      <c r="X8086" s="16" t="str">
        <f>IFERROR(__xludf.DUMMYFUNCTION("""COMPUTED_VALUE"""),"")</f>
        <v/>
      </c>
      <c r="AC8086" s="16" t="str">
        <f>IFERROR(__xludf.DUMMYFUNCTION("""COMPUTED_VALUE"""),"")</f>
        <v/>
      </c>
    </row>
    <row r="8087">
      <c r="A8087" s="16" t="s">
        <v>87</v>
      </c>
      <c r="E8087" s="16" t="str">
        <f>IFERROR(__xludf.DUMMYFUNCTION("""COMPUTED_VALUE"""),"")</f>
        <v/>
      </c>
      <c r="G8087" s="18"/>
      <c r="H8087" s="16" t="s">
        <v>87</v>
      </c>
      <c r="I8087" s="16" t="s">
        <v>87</v>
      </c>
      <c r="J8087" s="19"/>
      <c r="L8087" s="16" t="str">
        <f>IFERROR(__xludf.DUMMYFUNCTION("""COMPUTED_VALUE"""),"")</f>
        <v/>
      </c>
      <c r="M8087" s="16" t="str">
        <f>IFERROR(__xludf.DUMMYFUNCTION("""COMPUTED_VALUE"""),"")</f>
        <v/>
      </c>
      <c r="U8087" s="16" t="s">
        <v>87</v>
      </c>
      <c r="V8087" s="16" t="str">
        <f>IFERROR(__xludf.DUMMYFUNCTION("""COMPUTED_VALUE"""),"")</f>
        <v/>
      </c>
      <c r="W8087" s="16" t="str">
        <f>IFERROR(__xludf.DUMMYFUNCTION("""COMPUTED_VALUE"""),"")</f>
        <v/>
      </c>
      <c r="X8087" s="16" t="str">
        <f>IFERROR(__xludf.DUMMYFUNCTION("""COMPUTED_VALUE"""),"")</f>
        <v/>
      </c>
      <c r="AC8087" s="16" t="str">
        <f>IFERROR(__xludf.DUMMYFUNCTION("""COMPUTED_VALUE"""),"")</f>
        <v/>
      </c>
    </row>
    <row r="8088">
      <c r="A8088" s="16" t="s">
        <v>87</v>
      </c>
      <c r="E8088" s="16" t="str">
        <f>IFERROR(__xludf.DUMMYFUNCTION("""COMPUTED_VALUE"""),"")</f>
        <v/>
      </c>
      <c r="G8088" s="18"/>
      <c r="H8088" s="16" t="s">
        <v>87</v>
      </c>
      <c r="I8088" s="16" t="s">
        <v>87</v>
      </c>
      <c r="J8088" s="19"/>
      <c r="L8088" s="16" t="str">
        <f>IFERROR(__xludf.DUMMYFUNCTION("""COMPUTED_VALUE"""),"")</f>
        <v/>
      </c>
      <c r="M8088" s="16" t="str">
        <f>IFERROR(__xludf.DUMMYFUNCTION("""COMPUTED_VALUE"""),"")</f>
        <v/>
      </c>
      <c r="U8088" s="16" t="s">
        <v>87</v>
      </c>
      <c r="V8088" s="16" t="str">
        <f>IFERROR(__xludf.DUMMYFUNCTION("""COMPUTED_VALUE"""),"")</f>
        <v/>
      </c>
      <c r="W8088" s="16" t="str">
        <f>IFERROR(__xludf.DUMMYFUNCTION("""COMPUTED_VALUE"""),"")</f>
        <v/>
      </c>
      <c r="X8088" s="16" t="str">
        <f>IFERROR(__xludf.DUMMYFUNCTION("""COMPUTED_VALUE"""),"")</f>
        <v/>
      </c>
      <c r="AC8088" s="16" t="str">
        <f>IFERROR(__xludf.DUMMYFUNCTION("""COMPUTED_VALUE"""),"")</f>
        <v/>
      </c>
    </row>
    <row r="8089">
      <c r="A8089" s="16" t="s">
        <v>87</v>
      </c>
      <c r="E8089" s="16" t="str">
        <f>IFERROR(__xludf.DUMMYFUNCTION("""COMPUTED_VALUE"""),"")</f>
        <v/>
      </c>
      <c r="G8089" s="18"/>
      <c r="H8089" s="16" t="s">
        <v>87</v>
      </c>
      <c r="I8089" s="16" t="s">
        <v>87</v>
      </c>
      <c r="J8089" s="19"/>
      <c r="L8089" s="16" t="str">
        <f>IFERROR(__xludf.DUMMYFUNCTION("""COMPUTED_VALUE"""),"")</f>
        <v/>
      </c>
      <c r="M8089" s="16" t="str">
        <f>IFERROR(__xludf.DUMMYFUNCTION("""COMPUTED_VALUE"""),"")</f>
        <v/>
      </c>
      <c r="U8089" s="16" t="s">
        <v>87</v>
      </c>
      <c r="V8089" s="16" t="str">
        <f>IFERROR(__xludf.DUMMYFUNCTION("""COMPUTED_VALUE"""),"")</f>
        <v/>
      </c>
      <c r="W8089" s="16" t="str">
        <f>IFERROR(__xludf.DUMMYFUNCTION("""COMPUTED_VALUE"""),"")</f>
        <v/>
      </c>
      <c r="X8089" s="16" t="str">
        <f>IFERROR(__xludf.DUMMYFUNCTION("""COMPUTED_VALUE"""),"")</f>
        <v/>
      </c>
      <c r="AC8089" s="16" t="str">
        <f>IFERROR(__xludf.DUMMYFUNCTION("""COMPUTED_VALUE"""),"")</f>
        <v/>
      </c>
    </row>
    <row r="8090">
      <c r="A8090" s="16" t="s">
        <v>87</v>
      </c>
      <c r="E8090" s="16" t="str">
        <f>IFERROR(__xludf.DUMMYFUNCTION("""COMPUTED_VALUE"""),"")</f>
        <v/>
      </c>
      <c r="G8090" s="18"/>
      <c r="H8090" s="16" t="s">
        <v>87</v>
      </c>
      <c r="I8090" s="16" t="s">
        <v>87</v>
      </c>
      <c r="J8090" s="19"/>
      <c r="L8090" s="16" t="str">
        <f>IFERROR(__xludf.DUMMYFUNCTION("""COMPUTED_VALUE"""),"")</f>
        <v/>
      </c>
      <c r="M8090" s="16" t="str">
        <f>IFERROR(__xludf.DUMMYFUNCTION("""COMPUTED_VALUE"""),"")</f>
        <v/>
      </c>
      <c r="U8090" s="16" t="s">
        <v>87</v>
      </c>
      <c r="V8090" s="16" t="str">
        <f>IFERROR(__xludf.DUMMYFUNCTION("""COMPUTED_VALUE"""),"")</f>
        <v/>
      </c>
      <c r="W8090" s="16" t="str">
        <f>IFERROR(__xludf.DUMMYFUNCTION("""COMPUTED_VALUE"""),"")</f>
        <v/>
      </c>
      <c r="X8090" s="16" t="str">
        <f>IFERROR(__xludf.DUMMYFUNCTION("""COMPUTED_VALUE"""),"")</f>
        <v/>
      </c>
      <c r="AC8090" s="16" t="str">
        <f>IFERROR(__xludf.DUMMYFUNCTION("""COMPUTED_VALUE"""),"")</f>
        <v/>
      </c>
    </row>
    <row r="8091">
      <c r="A8091" s="16" t="s">
        <v>87</v>
      </c>
      <c r="E8091" s="16" t="str">
        <f>IFERROR(__xludf.DUMMYFUNCTION("""COMPUTED_VALUE"""),"")</f>
        <v/>
      </c>
      <c r="G8091" s="18"/>
      <c r="H8091" s="16" t="s">
        <v>87</v>
      </c>
      <c r="I8091" s="16" t="s">
        <v>87</v>
      </c>
      <c r="J8091" s="19"/>
      <c r="L8091" s="16" t="str">
        <f>IFERROR(__xludf.DUMMYFUNCTION("""COMPUTED_VALUE"""),"")</f>
        <v/>
      </c>
      <c r="M8091" s="16" t="str">
        <f>IFERROR(__xludf.DUMMYFUNCTION("""COMPUTED_VALUE"""),"")</f>
        <v/>
      </c>
      <c r="U8091" s="16" t="s">
        <v>87</v>
      </c>
      <c r="V8091" s="16" t="str">
        <f>IFERROR(__xludf.DUMMYFUNCTION("""COMPUTED_VALUE"""),"")</f>
        <v/>
      </c>
      <c r="W8091" s="16" t="str">
        <f>IFERROR(__xludf.DUMMYFUNCTION("""COMPUTED_VALUE"""),"")</f>
        <v/>
      </c>
      <c r="X8091" s="16" t="str">
        <f>IFERROR(__xludf.DUMMYFUNCTION("""COMPUTED_VALUE"""),"")</f>
        <v/>
      </c>
      <c r="AC8091" s="16" t="str">
        <f>IFERROR(__xludf.DUMMYFUNCTION("""COMPUTED_VALUE"""),"")</f>
        <v/>
      </c>
    </row>
    <row r="8092">
      <c r="A8092" s="16" t="s">
        <v>87</v>
      </c>
      <c r="E8092" s="16" t="str">
        <f>IFERROR(__xludf.DUMMYFUNCTION("""COMPUTED_VALUE"""),"")</f>
        <v/>
      </c>
      <c r="G8092" s="18"/>
      <c r="H8092" s="16" t="s">
        <v>87</v>
      </c>
      <c r="I8092" s="16" t="s">
        <v>87</v>
      </c>
      <c r="J8092" s="19"/>
      <c r="L8092" s="16" t="str">
        <f>IFERROR(__xludf.DUMMYFUNCTION("""COMPUTED_VALUE"""),"")</f>
        <v/>
      </c>
      <c r="M8092" s="16" t="str">
        <f>IFERROR(__xludf.DUMMYFUNCTION("""COMPUTED_VALUE"""),"")</f>
        <v/>
      </c>
      <c r="U8092" s="16" t="s">
        <v>87</v>
      </c>
      <c r="V8092" s="16" t="str">
        <f>IFERROR(__xludf.DUMMYFUNCTION("""COMPUTED_VALUE"""),"")</f>
        <v/>
      </c>
      <c r="W8092" s="16" t="str">
        <f>IFERROR(__xludf.DUMMYFUNCTION("""COMPUTED_VALUE"""),"")</f>
        <v/>
      </c>
      <c r="X8092" s="16" t="str">
        <f>IFERROR(__xludf.DUMMYFUNCTION("""COMPUTED_VALUE"""),"")</f>
        <v/>
      </c>
      <c r="AC8092" s="16" t="str">
        <f>IFERROR(__xludf.DUMMYFUNCTION("""COMPUTED_VALUE"""),"")</f>
        <v/>
      </c>
    </row>
    <row r="8093">
      <c r="A8093" s="16" t="s">
        <v>87</v>
      </c>
      <c r="E8093" s="16" t="str">
        <f>IFERROR(__xludf.DUMMYFUNCTION("""COMPUTED_VALUE"""),"")</f>
        <v/>
      </c>
      <c r="G8093" s="18"/>
      <c r="H8093" s="16" t="s">
        <v>87</v>
      </c>
      <c r="I8093" s="16" t="s">
        <v>87</v>
      </c>
      <c r="J8093" s="19"/>
      <c r="L8093" s="16" t="str">
        <f>IFERROR(__xludf.DUMMYFUNCTION("""COMPUTED_VALUE"""),"")</f>
        <v/>
      </c>
      <c r="M8093" s="16" t="str">
        <f>IFERROR(__xludf.DUMMYFUNCTION("""COMPUTED_VALUE"""),"")</f>
        <v/>
      </c>
      <c r="U8093" s="16" t="s">
        <v>87</v>
      </c>
      <c r="V8093" s="16" t="str">
        <f>IFERROR(__xludf.DUMMYFUNCTION("""COMPUTED_VALUE"""),"")</f>
        <v/>
      </c>
      <c r="W8093" s="16" t="str">
        <f>IFERROR(__xludf.DUMMYFUNCTION("""COMPUTED_VALUE"""),"")</f>
        <v/>
      </c>
      <c r="X8093" s="16" t="str">
        <f>IFERROR(__xludf.DUMMYFUNCTION("""COMPUTED_VALUE"""),"")</f>
        <v/>
      </c>
      <c r="AC8093" s="16" t="str">
        <f>IFERROR(__xludf.DUMMYFUNCTION("""COMPUTED_VALUE"""),"")</f>
        <v/>
      </c>
    </row>
    <row r="8094">
      <c r="A8094" s="16" t="s">
        <v>87</v>
      </c>
      <c r="E8094" s="16" t="str">
        <f>IFERROR(__xludf.DUMMYFUNCTION("""COMPUTED_VALUE"""),"")</f>
        <v/>
      </c>
      <c r="G8094" s="18"/>
      <c r="H8094" s="16" t="s">
        <v>87</v>
      </c>
      <c r="I8094" s="16" t="s">
        <v>87</v>
      </c>
      <c r="J8094" s="19"/>
      <c r="L8094" s="16" t="str">
        <f>IFERROR(__xludf.DUMMYFUNCTION("""COMPUTED_VALUE"""),"")</f>
        <v/>
      </c>
      <c r="M8094" s="16" t="str">
        <f>IFERROR(__xludf.DUMMYFUNCTION("""COMPUTED_VALUE"""),"")</f>
        <v/>
      </c>
      <c r="U8094" s="16" t="s">
        <v>87</v>
      </c>
      <c r="V8094" s="16" t="str">
        <f>IFERROR(__xludf.DUMMYFUNCTION("""COMPUTED_VALUE"""),"")</f>
        <v/>
      </c>
      <c r="W8094" s="16" t="str">
        <f>IFERROR(__xludf.DUMMYFUNCTION("""COMPUTED_VALUE"""),"")</f>
        <v/>
      </c>
      <c r="X8094" s="16" t="str">
        <f>IFERROR(__xludf.DUMMYFUNCTION("""COMPUTED_VALUE"""),"")</f>
        <v/>
      </c>
      <c r="AC8094" s="16" t="str">
        <f>IFERROR(__xludf.DUMMYFUNCTION("""COMPUTED_VALUE"""),"")</f>
        <v/>
      </c>
    </row>
    <row r="8095">
      <c r="A8095" s="16" t="s">
        <v>87</v>
      </c>
      <c r="E8095" s="16" t="str">
        <f>IFERROR(__xludf.DUMMYFUNCTION("""COMPUTED_VALUE"""),"")</f>
        <v/>
      </c>
      <c r="G8095" s="18"/>
      <c r="H8095" s="16" t="s">
        <v>87</v>
      </c>
      <c r="I8095" s="16" t="s">
        <v>87</v>
      </c>
      <c r="J8095" s="19"/>
      <c r="L8095" s="16" t="str">
        <f>IFERROR(__xludf.DUMMYFUNCTION("""COMPUTED_VALUE"""),"")</f>
        <v/>
      </c>
      <c r="M8095" s="16" t="str">
        <f>IFERROR(__xludf.DUMMYFUNCTION("""COMPUTED_VALUE"""),"")</f>
        <v/>
      </c>
      <c r="U8095" s="16" t="s">
        <v>87</v>
      </c>
      <c r="V8095" s="16" t="str">
        <f>IFERROR(__xludf.DUMMYFUNCTION("""COMPUTED_VALUE"""),"")</f>
        <v/>
      </c>
      <c r="W8095" s="16" t="str">
        <f>IFERROR(__xludf.DUMMYFUNCTION("""COMPUTED_VALUE"""),"")</f>
        <v/>
      </c>
      <c r="X8095" s="16" t="str">
        <f>IFERROR(__xludf.DUMMYFUNCTION("""COMPUTED_VALUE"""),"")</f>
        <v/>
      </c>
      <c r="AC8095" s="16" t="str">
        <f>IFERROR(__xludf.DUMMYFUNCTION("""COMPUTED_VALUE"""),"")</f>
        <v/>
      </c>
    </row>
    <row r="8096">
      <c r="A8096" s="16" t="s">
        <v>87</v>
      </c>
      <c r="E8096" s="16" t="str">
        <f>IFERROR(__xludf.DUMMYFUNCTION("""COMPUTED_VALUE"""),"")</f>
        <v/>
      </c>
      <c r="G8096" s="18"/>
      <c r="H8096" s="16" t="s">
        <v>87</v>
      </c>
      <c r="I8096" s="16" t="s">
        <v>87</v>
      </c>
      <c r="J8096" s="19"/>
      <c r="L8096" s="16" t="str">
        <f>IFERROR(__xludf.DUMMYFUNCTION("""COMPUTED_VALUE"""),"")</f>
        <v/>
      </c>
      <c r="M8096" s="16" t="str">
        <f>IFERROR(__xludf.DUMMYFUNCTION("""COMPUTED_VALUE"""),"")</f>
        <v/>
      </c>
      <c r="U8096" s="16" t="s">
        <v>87</v>
      </c>
      <c r="V8096" s="16" t="str">
        <f>IFERROR(__xludf.DUMMYFUNCTION("""COMPUTED_VALUE"""),"")</f>
        <v/>
      </c>
      <c r="W8096" s="16" t="str">
        <f>IFERROR(__xludf.DUMMYFUNCTION("""COMPUTED_VALUE"""),"")</f>
        <v/>
      </c>
      <c r="X8096" s="16" t="str">
        <f>IFERROR(__xludf.DUMMYFUNCTION("""COMPUTED_VALUE"""),"")</f>
        <v/>
      </c>
      <c r="AC8096" s="16" t="str">
        <f>IFERROR(__xludf.DUMMYFUNCTION("""COMPUTED_VALUE"""),"")</f>
        <v/>
      </c>
    </row>
    <row r="8097">
      <c r="A8097" s="16" t="s">
        <v>87</v>
      </c>
      <c r="E8097" s="16" t="str">
        <f>IFERROR(__xludf.DUMMYFUNCTION("""COMPUTED_VALUE"""),"")</f>
        <v/>
      </c>
      <c r="G8097" s="18"/>
      <c r="H8097" s="16" t="s">
        <v>87</v>
      </c>
      <c r="I8097" s="16" t="s">
        <v>87</v>
      </c>
      <c r="J8097" s="19"/>
      <c r="L8097" s="16" t="str">
        <f>IFERROR(__xludf.DUMMYFUNCTION("""COMPUTED_VALUE"""),"")</f>
        <v/>
      </c>
      <c r="M8097" s="16" t="str">
        <f>IFERROR(__xludf.DUMMYFUNCTION("""COMPUTED_VALUE"""),"")</f>
        <v/>
      </c>
      <c r="U8097" s="16" t="s">
        <v>87</v>
      </c>
      <c r="V8097" s="16" t="str">
        <f>IFERROR(__xludf.DUMMYFUNCTION("""COMPUTED_VALUE"""),"")</f>
        <v/>
      </c>
      <c r="W8097" s="16" t="str">
        <f>IFERROR(__xludf.DUMMYFUNCTION("""COMPUTED_VALUE"""),"")</f>
        <v/>
      </c>
      <c r="X8097" s="16" t="str">
        <f>IFERROR(__xludf.DUMMYFUNCTION("""COMPUTED_VALUE"""),"")</f>
        <v/>
      </c>
      <c r="AC8097" s="16" t="str">
        <f>IFERROR(__xludf.DUMMYFUNCTION("""COMPUTED_VALUE"""),"")</f>
        <v/>
      </c>
    </row>
    <row r="8098">
      <c r="A8098" s="16" t="s">
        <v>87</v>
      </c>
      <c r="E8098" s="16" t="str">
        <f>IFERROR(__xludf.DUMMYFUNCTION("""COMPUTED_VALUE"""),"")</f>
        <v/>
      </c>
      <c r="G8098" s="18"/>
      <c r="H8098" s="16" t="s">
        <v>87</v>
      </c>
      <c r="I8098" s="16" t="s">
        <v>87</v>
      </c>
      <c r="J8098" s="19"/>
      <c r="L8098" s="16" t="str">
        <f>IFERROR(__xludf.DUMMYFUNCTION("""COMPUTED_VALUE"""),"")</f>
        <v/>
      </c>
      <c r="M8098" s="16" t="str">
        <f>IFERROR(__xludf.DUMMYFUNCTION("""COMPUTED_VALUE"""),"")</f>
        <v/>
      </c>
      <c r="U8098" s="16" t="s">
        <v>87</v>
      </c>
      <c r="V8098" s="16" t="str">
        <f>IFERROR(__xludf.DUMMYFUNCTION("""COMPUTED_VALUE"""),"")</f>
        <v/>
      </c>
      <c r="W8098" s="16" t="str">
        <f>IFERROR(__xludf.DUMMYFUNCTION("""COMPUTED_VALUE"""),"")</f>
        <v/>
      </c>
      <c r="X8098" s="16" t="str">
        <f>IFERROR(__xludf.DUMMYFUNCTION("""COMPUTED_VALUE"""),"")</f>
        <v/>
      </c>
      <c r="AC8098" s="16" t="str">
        <f>IFERROR(__xludf.DUMMYFUNCTION("""COMPUTED_VALUE"""),"")</f>
        <v/>
      </c>
    </row>
    <row r="8099">
      <c r="A8099" s="16" t="s">
        <v>87</v>
      </c>
      <c r="E8099" s="16" t="str">
        <f>IFERROR(__xludf.DUMMYFUNCTION("""COMPUTED_VALUE"""),"")</f>
        <v/>
      </c>
      <c r="G8099" s="18"/>
      <c r="H8099" s="16" t="s">
        <v>87</v>
      </c>
      <c r="I8099" s="16" t="s">
        <v>87</v>
      </c>
      <c r="J8099" s="19"/>
      <c r="L8099" s="16" t="str">
        <f>IFERROR(__xludf.DUMMYFUNCTION("""COMPUTED_VALUE"""),"")</f>
        <v/>
      </c>
      <c r="M8099" s="16" t="str">
        <f>IFERROR(__xludf.DUMMYFUNCTION("""COMPUTED_VALUE"""),"")</f>
        <v/>
      </c>
      <c r="U8099" s="16" t="s">
        <v>87</v>
      </c>
      <c r="V8099" s="16" t="str">
        <f>IFERROR(__xludf.DUMMYFUNCTION("""COMPUTED_VALUE"""),"")</f>
        <v/>
      </c>
      <c r="W8099" s="16" t="str">
        <f>IFERROR(__xludf.DUMMYFUNCTION("""COMPUTED_VALUE"""),"")</f>
        <v/>
      </c>
      <c r="X8099" s="16" t="str">
        <f>IFERROR(__xludf.DUMMYFUNCTION("""COMPUTED_VALUE"""),"")</f>
        <v/>
      </c>
      <c r="AC8099" s="16" t="str">
        <f>IFERROR(__xludf.DUMMYFUNCTION("""COMPUTED_VALUE"""),"")</f>
        <v/>
      </c>
    </row>
    <row r="8100">
      <c r="A8100" s="16" t="s">
        <v>87</v>
      </c>
      <c r="E8100" s="16" t="str">
        <f>IFERROR(__xludf.DUMMYFUNCTION("""COMPUTED_VALUE"""),"")</f>
        <v/>
      </c>
      <c r="G8100" s="18"/>
      <c r="H8100" s="16" t="s">
        <v>87</v>
      </c>
      <c r="I8100" s="16" t="s">
        <v>87</v>
      </c>
      <c r="J8100" s="19"/>
      <c r="L8100" s="16" t="str">
        <f>IFERROR(__xludf.DUMMYFUNCTION("""COMPUTED_VALUE"""),"")</f>
        <v/>
      </c>
      <c r="M8100" s="16" t="str">
        <f>IFERROR(__xludf.DUMMYFUNCTION("""COMPUTED_VALUE"""),"")</f>
        <v/>
      </c>
      <c r="U8100" s="16" t="s">
        <v>87</v>
      </c>
      <c r="V8100" s="16" t="str">
        <f>IFERROR(__xludf.DUMMYFUNCTION("""COMPUTED_VALUE"""),"")</f>
        <v/>
      </c>
      <c r="W8100" s="16" t="str">
        <f>IFERROR(__xludf.DUMMYFUNCTION("""COMPUTED_VALUE"""),"")</f>
        <v/>
      </c>
      <c r="X8100" s="16" t="str">
        <f>IFERROR(__xludf.DUMMYFUNCTION("""COMPUTED_VALUE"""),"")</f>
        <v/>
      </c>
      <c r="AC8100" s="16" t="str">
        <f>IFERROR(__xludf.DUMMYFUNCTION("""COMPUTED_VALUE"""),"")</f>
        <v/>
      </c>
    </row>
    <row r="8101">
      <c r="A8101" s="16" t="s">
        <v>87</v>
      </c>
      <c r="E8101" s="16" t="str">
        <f>IFERROR(__xludf.DUMMYFUNCTION("""COMPUTED_VALUE"""),"")</f>
        <v/>
      </c>
      <c r="G8101" s="18"/>
      <c r="H8101" s="16" t="s">
        <v>87</v>
      </c>
      <c r="I8101" s="16" t="s">
        <v>87</v>
      </c>
      <c r="J8101" s="19"/>
      <c r="L8101" s="16" t="str">
        <f>IFERROR(__xludf.DUMMYFUNCTION("""COMPUTED_VALUE"""),"")</f>
        <v/>
      </c>
      <c r="M8101" s="16" t="str">
        <f>IFERROR(__xludf.DUMMYFUNCTION("""COMPUTED_VALUE"""),"")</f>
        <v/>
      </c>
      <c r="U8101" s="16" t="s">
        <v>87</v>
      </c>
      <c r="V8101" s="16" t="str">
        <f>IFERROR(__xludf.DUMMYFUNCTION("""COMPUTED_VALUE"""),"")</f>
        <v/>
      </c>
      <c r="W8101" s="16" t="str">
        <f>IFERROR(__xludf.DUMMYFUNCTION("""COMPUTED_VALUE"""),"")</f>
        <v/>
      </c>
      <c r="X8101" s="16" t="str">
        <f>IFERROR(__xludf.DUMMYFUNCTION("""COMPUTED_VALUE"""),"")</f>
        <v/>
      </c>
      <c r="AC8101" s="16" t="str">
        <f>IFERROR(__xludf.DUMMYFUNCTION("""COMPUTED_VALUE"""),"")</f>
        <v/>
      </c>
    </row>
    <row r="8102">
      <c r="A8102" s="16" t="s">
        <v>87</v>
      </c>
      <c r="E8102" s="16" t="str">
        <f>IFERROR(__xludf.DUMMYFUNCTION("""COMPUTED_VALUE"""),"")</f>
        <v/>
      </c>
      <c r="G8102" s="18"/>
      <c r="H8102" s="16" t="s">
        <v>87</v>
      </c>
      <c r="I8102" s="16" t="s">
        <v>87</v>
      </c>
      <c r="J8102" s="19"/>
      <c r="L8102" s="16" t="str">
        <f>IFERROR(__xludf.DUMMYFUNCTION("""COMPUTED_VALUE"""),"")</f>
        <v/>
      </c>
      <c r="M8102" s="16" t="str">
        <f>IFERROR(__xludf.DUMMYFUNCTION("""COMPUTED_VALUE"""),"")</f>
        <v/>
      </c>
      <c r="U8102" s="16" t="s">
        <v>87</v>
      </c>
      <c r="V8102" s="16" t="str">
        <f>IFERROR(__xludf.DUMMYFUNCTION("""COMPUTED_VALUE"""),"")</f>
        <v/>
      </c>
      <c r="W8102" s="16" t="str">
        <f>IFERROR(__xludf.DUMMYFUNCTION("""COMPUTED_VALUE"""),"")</f>
        <v/>
      </c>
      <c r="X8102" s="16" t="str">
        <f>IFERROR(__xludf.DUMMYFUNCTION("""COMPUTED_VALUE"""),"")</f>
        <v/>
      </c>
      <c r="AC8102" s="16" t="str">
        <f>IFERROR(__xludf.DUMMYFUNCTION("""COMPUTED_VALUE"""),"")</f>
        <v/>
      </c>
    </row>
    <row r="8103">
      <c r="A8103" s="16" t="s">
        <v>87</v>
      </c>
      <c r="E8103" s="16" t="str">
        <f>IFERROR(__xludf.DUMMYFUNCTION("""COMPUTED_VALUE"""),"")</f>
        <v/>
      </c>
      <c r="G8103" s="18"/>
      <c r="H8103" s="16" t="s">
        <v>87</v>
      </c>
      <c r="I8103" s="16" t="s">
        <v>87</v>
      </c>
      <c r="J8103" s="19"/>
      <c r="L8103" s="16" t="str">
        <f>IFERROR(__xludf.DUMMYFUNCTION("""COMPUTED_VALUE"""),"")</f>
        <v/>
      </c>
      <c r="M8103" s="16" t="str">
        <f>IFERROR(__xludf.DUMMYFUNCTION("""COMPUTED_VALUE"""),"")</f>
        <v/>
      </c>
      <c r="U8103" s="16" t="s">
        <v>87</v>
      </c>
      <c r="V8103" s="16" t="str">
        <f>IFERROR(__xludf.DUMMYFUNCTION("""COMPUTED_VALUE"""),"")</f>
        <v/>
      </c>
      <c r="W8103" s="16" t="str">
        <f>IFERROR(__xludf.DUMMYFUNCTION("""COMPUTED_VALUE"""),"")</f>
        <v/>
      </c>
      <c r="X8103" s="16" t="str">
        <f>IFERROR(__xludf.DUMMYFUNCTION("""COMPUTED_VALUE"""),"")</f>
        <v/>
      </c>
      <c r="AC8103" s="16" t="str">
        <f>IFERROR(__xludf.DUMMYFUNCTION("""COMPUTED_VALUE"""),"")</f>
        <v/>
      </c>
    </row>
    <row r="8104">
      <c r="A8104" s="16" t="s">
        <v>87</v>
      </c>
      <c r="E8104" s="16" t="str">
        <f>IFERROR(__xludf.DUMMYFUNCTION("""COMPUTED_VALUE"""),"")</f>
        <v/>
      </c>
      <c r="G8104" s="18"/>
      <c r="H8104" s="16" t="s">
        <v>87</v>
      </c>
      <c r="I8104" s="16" t="s">
        <v>87</v>
      </c>
      <c r="J8104" s="19"/>
      <c r="L8104" s="16" t="str">
        <f>IFERROR(__xludf.DUMMYFUNCTION("""COMPUTED_VALUE"""),"")</f>
        <v/>
      </c>
      <c r="M8104" s="16" t="str">
        <f>IFERROR(__xludf.DUMMYFUNCTION("""COMPUTED_VALUE"""),"")</f>
        <v/>
      </c>
      <c r="U8104" s="16" t="s">
        <v>87</v>
      </c>
      <c r="V8104" s="16" t="str">
        <f>IFERROR(__xludf.DUMMYFUNCTION("""COMPUTED_VALUE"""),"")</f>
        <v/>
      </c>
      <c r="W8104" s="16" t="str">
        <f>IFERROR(__xludf.DUMMYFUNCTION("""COMPUTED_VALUE"""),"")</f>
        <v/>
      </c>
      <c r="X8104" s="16" t="str">
        <f>IFERROR(__xludf.DUMMYFUNCTION("""COMPUTED_VALUE"""),"")</f>
        <v/>
      </c>
      <c r="AC8104" s="16" t="str">
        <f>IFERROR(__xludf.DUMMYFUNCTION("""COMPUTED_VALUE"""),"")</f>
        <v/>
      </c>
    </row>
    <row r="8105">
      <c r="A8105" s="16" t="s">
        <v>87</v>
      </c>
      <c r="E8105" s="16" t="str">
        <f>IFERROR(__xludf.DUMMYFUNCTION("""COMPUTED_VALUE"""),"")</f>
        <v/>
      </c>
      <c r="G8105" s="18"/>
      <c r="H8105" s="16" t="s">
        <v>87</v>
      </c>
      <c r="I8105" s="16" t="s">
        <v>87</v>
      </c>
      <c r="J8105" s="19"/>
      <c r="L8105" s="16" t="str">
        <f>IFERROR(__xludf.DUMMYFUNCTION("""COMPUTED_VALUE"""),"")</f>
        <v/>
      </c>
      <c r="M8105" s="16" t="str">
        <f>IFERROR(__xludf.DUMMYFUNCTION("""COMPUTED_VALUE"""),"")</f>
        <v/>
      </c>
      <c r="U8105" s="16" t="s">
        <v>87</v>
      </c>
      <c r="V8105" s="16" t="str">
        <f>IFERROR(__xludf.DUMMYFUNCTION("""COMPUTED_VALUE"""),"")</f>
        <v/>
      </c>
      <c r="W8105" s="16" t="str">
        <f>IFERROR(__xludf.DUMMYFUNCTION("""COMPUTED_VALUE"""),"")</f>
        <v/>
      </c>
      <c r="X8105" s="16" t="str">
        <f>IFERROR(__xludf.DUMMYFUNCTION("""COMPUTED_VALUE"""),"")</f>
        <v/>
      </c>
      <c r="AC8105" s="16" t="str">
        <f>IFERROR(__xludf.DUMMYFUNCTION("""COMPUTED_VALUE"""),"")</f>
        <v/>
      </c>
    </row>
    <row r="8106">
      <c r="A8106" s="16" t="s">
        <v>87</v>
      </c>
      <c r="E8106" s="16" t="str">
        <f>IFERROR(__xludf.DUMMYFUNCTION("""COMPUTED_VALUE"""),"")</f>
        <v/>
      </c>
      <c r="G8106" s="18"/>
      <c r="H8106" s="16" t="s">
        <v>87</v>
      </c>
      <c r="I8106" s="16" t="s">
        <v>87</v>
      </c>
      <c r="J8106" s="19"/>
      <c r="L8106" s="16" t="str">
        <f>IFERROR(__xludf.DUMMYFUNCTION("""COMPUTED_VALUE"""),"")</f>
        <v/>
      </c>
      <c r="M8106" s="16" t="str">
        <f>IFERROR(__xludf.DUMMYFUNCTION("""COMPUTED_VALUE"""),"")</f>
        <v/>
      </c>
      <c r="U8106" s="16" t="s">
        <v>87</v>
      </c>
      <c r="V8106" s="16" t="str">
        <f>IFERROR(__xludf.DUMMYFUNCTION("""COMPUTED_VALUE"""),"")</f>
        <v/>
      </c>
      <c r="W8106" s="16" t="str">
        <f>IFERROR(__xludf.DUMMYFUNCTION("""COMPUTED_VALUE"""),"")</f>
        <v/>
      </c>
      <c r="X8106" s="16" t="str">
        <f>IFERROR(__xludf.DUMMYFUNCTION("""COMPUTED_VALUE"""),"")</f>
        <v/>
      </c>
      <c r="AC8106" s="16" t="str">
        <f>IFERROR(__xludf.DUMMYFUNCTION("""COMPUTED_VALUE"""),"")</f>
        <v/>
      </c>
    </row>
    <row r="8107">
      <c r="A8107" s="16" t="s">
        <v>87</v>
      </c>
      <c r="E8107" s="16" t="str">
        <f>IFERROR(__xludf.DUMMYFUNCTION("""COMPUTED_VALUE"""),"")</f>
        <v/>
      </c>
      <c r="G8107" s="18"/>
      <c r="H8107" s="16" t="s">
        <v>87</v>
      </c>
      <c r="I8107" s="16" t="s">
        <v>87</v>
      </c>
      <c r="J8107" s="19"/>
      <c r="L8107" s="16" t="str">
        <f>IFERROR(__xludf.DUMMYFUNCTION("""COMPUTED_VALUE"""),"")</f>
        <v/>
      </c>
      <c r="M8107" s="16" t="str">
        <f>IFERROR(__xludf.DUMMYFUNCTION("""COMPUTED_VALUE"""),"")</f>
        <v/>
      </c>
      <c r="U8107" s="16" t="s">
        <v>87</v>
      </c>
      <c r="V8107" s="16" t="str">
        <f>IFERROR(__xludf.DUMMYFUNCTION("""COMPUTED_VALUE"""),"")</f>
        <v/>
      </c>
      <c r="W8107" s="16" t="str">
        <f>IFERROR(__xludf.DUMMYFUNCTION("""COMPUTED_VALUE"""),"")</f>
        <v/>
      </c>
      <c r="X8107" s="16" t="str">
        <f>IFERROR(__xludf.DUMMYFUNCTION("""COMPUTED_VALUE"""),"")</f>
        <v/>
      </c>
      <c r="AC8107" s="16" t="str">
        <f>IFERROR(__xludf.DUMMYFUNCTION("""COMPUTED_VALUE"""),"")</f>
        <v/>
      </c>
    </row>
    <row r="8108">
      <c r="A8108" s="16" t="s">
        <v>87</v>
      </c>
      <c r="E8108" s="16" t="str">
        <f>IFERROR(__xludf.DUMMYFUNCTION("""COMPUTED_VALUE"""),"")</f>
        <v/>
      </c>
      <c r="G8108" s="18"/>
      <c r="H8108" s="16" t="s">
        <v>87</v>
      </c>
      <c r="I8108" s="16" t="s">
        <v>87</v>
      </c>
      <c r="J8108" s="19"/>
      <c r="L8108" s="16" t="str">
        <f>IFERROR(__xludf.DUMMYFUNCTION("""COMPUTED_VALUE"""),"")</f>
        <v/>
      </c>
      <c r="M8108" s="16" t="str">
        <f>IFERROR(__xludf.DUMMYFUNCTION("""COMPUTED_VALUE"""),"")</f>
        <v/>
      </c>
      <c r="U8108" s="16" t="s">
        <v>87</v>
      </c>
      <c r="V8108" s="16" t="str">
        <f>IFERROR(__xludf.DUMMYFUNCTION("""COMPUTED_VALUE"""),"")</f>
        <v/>
      </c>
      <c r="W8108" s="16" t="str">
        <f>IFERROR(__xludf.DUMMYFUNCTION("""COMPUTED_VALUE"""),"")</f>
        <v/>
      </c>
      <c r="X8108" s="16" t="str">
        <f>IFERROR(__xludf.DUMMYFUNCTION("""COMPUTED_VALUE"""),"")</f>
        <v/>
      </c>
      <c r="AC8108" s="16" t="str">
        <f>IFERROR(__xludf.DUMMYFUNCTION("""COMPUTED_VALUE"""),"")</f>
        <v/>
      </c>
    </row>
    <row r="8109">
      <c r="A8109" s="16" t="s">
        <v>87</v>
      </c>
      <c r="E8109" s="16" t="str">
        <f>IFERROR(__xludf.DUMMYFUNCTION("""COMPUTED_VALUE"""),"")</f>
        <v/>
      </c>
      <c r="G8109" s="18"/>
      <c r="H8109" s="16" t="s">
        <v>87</v>
      </c>
      <c r="I8109" s="16" t="s">
        <v>87</v>
      </c>
      <c r="J8109" s="19"/>
      <c r="L8109" s="16" t="str">
        <f>IFERROR(__xludf.DUMMYFUNCTION("""COMPUTED_VALUE"""),"")</f>
        <v/>
      </c>
      <c r="M8109" s="16" t="str">
        <f>IFERROR(__xludf.DUMMYFUNCTION("""COMPUTED_VALUE"""),"")</f>
        <v/>
      </c>
      <c r="U8109" s="16" t="s">
        <v>87</v>
      </c>
      <c r="V8109" s="16" t="str">
        <f>IFERROR(__xludf.DUMMYFUNCTION("""COMPUTED_VALUE"""),"")</f>
        <v/>
      </c>
      <c r="W8109" s="16" t="str">
        <f>IFERROR(__xludf.DUMMYFUNCTION("""COMPUTED_VALUE"""),"")</f>
        <v/>
      </c>
      <c r="X8109" s="16" t="str">
        <f>IFERROR(__xludf.DUMMYFUNCTION("""COMPUTED_VALUE"""),"")</f>
        <v/>
      </c>
      <c r="AC8109" s="16" t="str">
        <f>IFERROR(__xludf.DUMMYFUNCTION("""COMPUTED_VALUE"""),"")</f>
        <v/>
      </c>
    </row>
    <row r="8110">
      <c r="A8110" s="16" t="s">
        <v>87</v>
      </c>
      <c r="E8110" s="16" t="str">
        <f>IFERROR(__xludf.DUMMYFUNCTION("""COMPUTED_VALUE"""),"")</f>
        <v/>
      </c>
      <c r="G8110" s="18"/>
      <c r="H8110" s="16" t="s">
        <v>87</v>
      </c>
      <c r="I8110" s="16" t="s">
        <v>87</v>
      </c>
      <c r="J8110" s="19"/>
      <c r="L8110" s="16" t="str">
        <f>IFERROR(__xludf.DUMMYFUNCTION("""COMPUTED_VALUE"""),"")</f>
        <v/>
      </c>
      <c r="M8110" s="16" t="str">
        <f>IFERROR(__xludf.DUMMYFUNCTION("""COMPUTED_VALUE"""),"")</f>
        <v/>
      </c>
      <c r="U8110" s="16" t="s">
        <v>87</v>
      </c>
      <c r="V8110" s="16" t="str">
        <f>IFERROR(__xludf.DUMMYFUNCTION("""COMPUTED_VALUE"""),"")</f>
        <v/>
      </c>
      <c r="W8110" s="16" t="str">
        <f>IFERROR(__xludf.DUMMYFUNCTION("""COMPUTED_VALUE"""),"")</f>
        <v/>
      </c>
      <c r="X8110" s="16" t="str">
        <f>IFERROR(__xludf.DUMMYFUNCTION("""COMPUTED_VALUE"""),"")</f>
        <v/>
      </c>
      <c r="AC8110" s="16" t="str">
        <f>IFERROR(__xludf.DUMMYFUNCTION("""COMPUTED_VALUE"""),"")</f>
        <v/>
      </c>
    </row>
    <row r="8111">
      <c r="A8111" s="16" t="s">
        <v>87</v>
      </c>
      <c r="E8111" s="16" t="str">
        <f>IFERROR(__xludf.DUMMYFUNCTION("""COMPUTED_VALUE"""),"")</f>
        <v/>
      </c>
      <c r="G8111" s="18"/>
      <c r="H8111" s="16" t="s">
        <v>87</v>
      </c>
      <c r="I8111" s="16" t="s">
        <v>87</v>
      </c>
      <c r="J8111" s="19"/>
      <c r="L8111" s="16" t="str">
        <f>IFERROR(__xludf.DUMMYFUNCTION("""COMPUTED_VALUE"""),"")</f>
        <v/>
      </c>
      <c r="M8111" s="16" t="str">
        <f>IFERROR(__xludf.DUMMYFUNCTION("""COMPUTED_VALUE"""),"")</f>
        <v/>
      </c>
      <c r="U8111" s="16" t="s">
        <v>87</v>
      </c>
      <c r="V8111" s="16" t="str">
        <f>IFERROR(__xludf.DUMMYFUNCTION("""COMPUTED_VALUE"""),"")</f>
        <v/>
      </c>
      <c r="W8111" s="16" t="str">
        <f>IFERROR(__xludf.DUMMYFUNCTION("""COMPUTED_VALUE"""),"")</f>
        <v/>
      </c>
      <c r="X8111" s="16" t="str">
        <f>IFERROR(__xludf.DUMMYFUNCTION("""COMPUTED_VALUE"""),"")</f>
        <v/>
      </c>
      <c r="AC8111" s="16" t="str">
        <f>IFERROR(__xludf.DUMMYFUNCTION("""COMPUTED_VALUE"""),"")</f>
        <v/>
      </c>
    </row>
    <row r="8112">
      <c r="A8112" s="16" t="s">
        <v>87</v>
      </c>
      <c r="E8112" s="16" t="str">
        <f>IFERROR(__xludf.DUMMYFUNCTION("""COMPUTED_VALUE"""),"")</f>
        <v/>
      </c>
      <c r="G8112" s="18"/>
      <c r="H8112" s="16" t="s">
        <v>87</v>
      </c>
      <c r="I8112" s="16" t="s">
        <v>87</v>
      </c>
      <c r="J8112" s="19"/>
      <c r="L8112" s="16" t="str">
        <f>IFERROR(__xludf.DUMMYFUNCTION("""COMPUTED_VALUE"""),"")</f>
        <v/>
      </c>
      <c r="M8112" s="16" t="str">
        <f>IFERROR(__xludf.DUMMYFUNCTION("""COMPUTED_VALUE"""),"")</f>
        <v/>
      </c>
      <c r="U8112" s="16" t="s">
        <v>87</v>
      </c>
      <c r="V8112" s="16" t="str">
        <f>IFERROR(__xludf.DUMMYFUNCTION("""COMPUTED_VALUE"""),"")</f>
        <v/>
      </c>
      <c r="W8112" s="16" t="str">
        <f>IFERROR(__xludf.DUMMYFUNCTION("""COMPUTED_VALUE"""),"")</f>
        <v/>
      </c>
      <c r="X8112" s="16" t="str">
        <f>IFERROR(__xludf.DUMMYFUNCTION("""COMPUTED_VALUE"""),"")</f>
        <v/>
      </c>
      <c r="AC8112" s="16" t="str">
        <f>IFERROR(__xludf.DUMMYFUNCTION("""COMPUTED_VALUE"""),"")</f>
        <v/>
      </c>
    </row>
    <row r="8113">
      <c r="A8113" s="16" t="s">
        <v>87</v>
      </c>
      <c r="E8113" s="16" t="str">
        <f>IFERROR(__xludf.DUMMYFUNCTION("""COMPUTED_VALUE"""),"")</f>
        <v/>
      </c>
      <c r="G8113" s="18"/>
      <c r="H8113" s="16" t="s">
        <v>87</v>
      </c>
      <c r="I8113" s="16" t="s">
        <v>87</v>
      </c>
      <c r="J8113" s="19"/>
      <c r="L8113" s="16" t="str">
        <f>IFERROR(__xludf.DUMMYFUNCTION("""COMPUTED_VALUE"""),"")</f>
        <v/>
      </c>
      <c r="M8113" s="16" t="str">
        <f>IFERROR(__xludf.DUMMYFUNCTION("""COMPUTED_VALUE"""),"")</f>
        <v/>
      </c>
      <c r="U8113" s="16" t="s">
        <v>87</v>
      </c>
      <c r="V8113" s="16" t="str">
        <f>IFERROR(__xludf.DUMMYFUNCTION("""COMPUTED_VALUE"""),"")</f>
        <v/>
      </c>
      <c r="W8113" s="16" t="str">
        <f>IFERROR(__xludf.DUMMYFUNCTION("""COMPUTED_VALUE"""),"")</f>
        <v/>
      </c>
      <c r="X8113" s="16" t="str">
        <f>IFERROR(__xludf.DUMMYFUNCTION("""COMPUTED_VALUE"""),"")</f>
        <v/>
      </c>
      <c r="AC8113" s="16" t="str">
        <f>IFERROR(__xludf.DUMMYFUNCTION("""COMPUTED_VALUE"""),"")</f>
        <v/>
      </c>
    </row>
    <row r="8114">
      <c r="A8114" s="16" t="s">
        <v>87</v>
      </c>
      <c r="E8114" s="16" t="str">
        <f>IFERROR(__xludf.DUMMYFUNCTION("""COMPUTED_VALUE"""),"")</f>
        <v/>
      </c>
      <c r="G8114" s="18"/>
      <c r="H8114" s="16" t="s">
        <v>87</v>
      </c>
      <c r="I8114" s="16" t="s">
        <v>87</v>
      </c>
      <c r="J8114" s="19"/>
      <c r="L8114" s="16" t="str">
        <f>IFERROR(__xludf.DUMMYFUNCTION("""COMPUTED_VALUE"""),"")</f>
        <v/>
      </c>
      <c r="M8114" s="16" t="str">
        <f>IFERROR(__xludf.DUMMYFUNCTION("""COMPUTED_VALUE"""),"")</f>
        <v/>
      </c>
      <c r="U8114" s="16" t="s">
        <v>87</v>
      </c>
      <c r="V8114" s="16" t="str">
        <f>IFERROR(__xludf.DUMMYFUNCTION("""COMPUTED_VALUE"""),"")</f>
        <v/>
      </c>
      <c r="W8114" s="16" t="str">
        <f>IFERROR(__xludf.DUMMYFUNCTION("""COMPUTED_VALUE"""),"")</f>
        <v/>
      </c>
      <c r="X8114" s="16" t="str">
        <f>IFERROR(__xludf.DUMMYFUNCTION("""COMPUTED_VALUE"""),"")</f>
        <v/>
      </c>
      <c r="AC8114" s="16" t="str">
        <f>IFERROR(__xludf.DUMMYFUNCTION("""COMPUTED_VALUE"""),"")</f>
        <v/>
      </c>
    </row>
    <row r="8115">
      <c r="A8115" s="16" t="s">
        <v>87</v>
      </c>
      <c r="E8115" s="16" t="str">
        <f>IFERROR(__xludf.DUMMYFUNCTION("""COMPUTED_VALUE"""),"")</f>
        <v/>
      </c>
      <c r="G8115" s="18"/>
      <c r="H8115" s="16" t="s">
        <v>87</v>
      </c>
      <c r="I8115" s="16" t="s">
        <v>87</v>
      </c>
      <c r="J8115" s="19"/>
      <c r="L8115" s="16" t="str">
        <f>IFERROR(__xludf.DUMMYFUNCTION("""COMPUTED_VALUE"""),"")</f>
        <v/>
      </c>
      <c r="M8115" s="16" t="str">
        <f>IFERROR(__xludf.DUMMYFUNCTION("""COMPUTED_VALUE"""),"")</f>
        <v/>
      </c>
      <c r="U8115" s="16" t="s">
        <v>87</v>
      </c>
      <c r="V8115" s="16" t="str">
        <f>IFERROR(__xludf.DUMMYFUNCTION("""COMPUTED_VALUE"""),"")</f>
        <v/>
      </c>
      <c r="W8115" s="16" t="str">
        <f>IFERROR(__xludf.DUMMYFUNCTION("""COMPUTED_VALUE"""),"")</f>
        <v/>
      </c>
      <c r="X8115" s="16" t="str">
        <f>IFERROR(__xludf.DUMMYFUNCTION("""COMPUTED_VALUE"""),"")</f>
        <v/>
      </c>
      <c r="AC8115" s="16" t="str">
        <f>IFERROR(__xludf.DUMMYFUNCTION("""COMPUTED_VALUE"""),"")</f>
        <v/>
      </c>
    </row>
    <row r="8116">
      <c r="A8116" s="16" t="s">
        <v>87</v>
      </c>
      <c r="E8116" s="16" t="str">
        <f>IFERROR(__xludf.DUMMYFUNCTION("""COMPUTED_VALUE"""),"")</f>
        <v/>
      </c>
      <c r="G8116" s="18"/>
      <c r="H8116" s="16" t="s">
        <v>87</v>
      </c>
      <c r="I8116" s="16" t="s">
        <v>87</v>
      </c>
      <c r="J8116" s="19"/>
      <c r="L8116" s="16" t="str">
        <f>IFERROR(__xludf.DUMMYFUNCTION("""COMPUTED_VALUE"""),"")</f>
        <v/>
      </c>
      <c r="M8116" s="16" t="str">
        <f>IFERROR(__xludf.DUMMYFUNCTION("""COMPUTED_VALUE"""),"")</f>
        <v/>
      </c>
      <c r="U8116" s="16" t="s">
        <v>87</v>
      </c>
      <c r="V8116" s="16" t="str">
        <f>IFERROR(__xludf.DUMMYFUNCTION("""COMPUTED_VALUE"""),"")</f>
        <v/>
      </c>
      <c r="W8116" s="16" t="str">
        <f>IFERROR(__xludf.DUMMYFUNCTION("""COMPUTED_VALUE"""),"")</f>
        <v/>
      </c>
      <c r="X8116" s="16" t="str">
        <f>IFERROR(__xludf.DUMMYFUNCTION("""COMPUTED_VALUE"""),"")</f>
        <v/>
      </c>
      <c r="AC8116" s="16" t="str">
        <f>IFERROR(__xludf.DUMMYFUNCTION("""COMPUTED_VALUE"""),"")</f>
        <v/>
      </c>
    </row>
    <row r="8117">
      <c r="A8117" s="16" t="s">
        <v>87</v>
      </c>
      <c r="E8117" s="16" t="str">
        <f>IFERROR(__xludf.DUMMYFUNCTION("""COMPUTED_VALUE"""),"")</f>
        <v/>
      </c>
      <c r="G8117" s="18"/>
      <c r="H8117" s="16" t="s">
        <v>87</v>
      </c>
      <c r="I8117" s="16" t="s">
        <v>87</v>
      </c>
      <c r="J8117" s="19"/>
      <c r="L8117" s="16" t="str">
        <f>IFERROR(__xludf.DUMMYFUNCTION("""COMPUTED_VALUE"""),"")</f>
        <v/>
      </c>
      <c r="M8117" s="16" t="str">
        <f>IFERROR(__xludf.DUMMYFUNCTION("""COMPUTED_VALUE"""),"")</f>
        <v/>
      </c>
      <c r="U8117" s="16" t="s">
        <v>87</v>
      </c>
      <c r="V8117" s="16" t="str">
        <f>IFERROR(__xludf.DUMMYFUNCTION("""COMPUTED_VALUE"""),"")</f>
        <v/>
      </c>
      <c r="W8117" s="16" t="str">
        <f>IFERROR(__xludf.DUMMYFUNCTION("""COMPUTED_VALUE"""),"")</f>
        <v/>
      </c>
      <c r="X8117" s="16" t="str">
        <f>IFERROR(__xludf.DUMMYFUNCTION("""COMPUTED_VALUE"""),"")</f>
        <v/>
      </c>
      <c r="AC8117" s="16" t="str">
        <f>IFERROR(__xludf.DUMMYFUNCTION("""COMPUTED_VALUE"""),"")</f>
        <v/>
      </c>
    </row>
    <row r="8118">
      <c r="A8118" s="16" t="s">
        <v>87</v>
      </c>
      <c r="E8118" s="16" t="str">
        <f>IFERROR(__xludf.DUMMYFUNCTION("""COMPUTED_VALUE"""),"")</f>
        <v/>
      </c>
      <c r="G8118" s="18"/>
      <c r="H8118" s="16" t="s">
        <v>87</v>
      </c>
      <c r="I8118" s="16" t="s">
        <v>87</v>
      </c>
      <c r="J8118" s="19"/>
      <c r="L8118" s="16" t="str">
        <f>IFERROR(__xludf.DUMMYFUNCTION("""COMPUTED_VALUE"""),"")</f>
        <v/>
      </c>
      <c r="M8118" s="16" t="str">
        <f>IFERROR(__xludf.DUMMYFUNCTION("""COMPUTED_VALUE"""),"")</f>
        <v/>
      </c>
      <c r="U8118" s="16" t="s">
        <v>87</v>
      </c>
      <c r="V8118" s="16" t="str">
        <f>IFERROR(__xludf.DUMMYFUNCTION("""COMPUTED_VALUE"""),"")</f>
        <v/>
      </c>
      <c r="W8118" s="16" t="str">
        <f>IFERROR(__xludf.DUMMYFUNCTION("""COMPUTED_VALUE"""),"")</f>
        <v/>
      </c>
      <c r="X8118" s="16" t="str">
        <f>IFERROR(__xludf.DUMMYFUNCTION("""COMPUTED_VALUE"""),"")</f>
        <v/>
      </c>
      <c r="AC8118" s="16" t="str">
        <f>IFERROR(__xludf.DUMMYFUNCTION("""COMPUTED_VALUE"""),"")</f>
        <v/>
      </c>
    </row>
    <row r="8119">
      <c r="A8119" s="16" t="s">
        <v>87</v>
      </c>
      <c r="E8119" s="16" t="str">
        <f>IFERROR(__xludf.DUMMYFUNCTION("""COMPUTED_VALUE"""),"")</f>
        <v/>
      </c>
      <c r="G8119" s="18"/>
      <c r="H8119" s="16" t="s">
        <v>87</v>
      </c>
      <c r="I8119" s="16" t="s">
        <v>87</v>
      </c>
      <c r="J8119" s="19"/>
      <c r="L8119" s="16" t="str">
        <f>IFERROR(__xludf.DUMMYFUNCTION("""COMPUTED_VALUE"""),"")</f>
        <v/>
      </c>
      <c r="M8119" s="16" t="str">
        <f>IFERROR(__xludf.DUMMYFUNCTION("""COMPUTED_VALUE"""),"")</f>
        <v/>
      </c>
      <c r="U8119" s="16" t="s">
        <v>87</v>
      </c>
      <c r="V8119" s="16" t="str">
        <f>IFERROR(__xludf.DUMMYFUNCTION("""COMPUTED_VALUE"""),"")</f>
        <v/>
      </c>
      <c r="W8119" s="16" t="str">
        <f>IFERROR(__xludf.DUMMYFUNCTION("""COMPUTED_VALUE"""),"")</f>
        <v/>
      </c>
      <c r="X8119" s="16" t="str">
        <f>IFERROR(__xludf.DUMMYFUNCTION("""COMPUTED_VALUE"""),"")</f>
        <v/>
      </c>
      <c r="AC8119" s="16" t="str">
        <f>IFERROR(__xludf.DUMMYFUNCTION("""COMPUTED_VALUE"""),"")</f>
        <v/>
      </c>
    </row>
    <row r="8120">
      <c r="A8120" s="16" t="s">
        <v>87</v>
      </c>
      <c r="E8120" s="16" t="str">
        <f>IFERROR(__xludf.DUMMYFUNCTION("""COMPUTED_VALUE"""),"")</f>
        <v/>
      </c>
      <c r="G8120" s="18"/>
      <c r="H8120" s="16" t="s">
        <v>87</v>
      </c>
      <c r="I8120" s="16" t="s">
        <v>87</v>
      </c>
      <c r="J8120" s="19"/>
      <c r="L8120" s="16" t="str">
        <f>IFERROR(__xludf.DUMMYFUNCTION("""COMPUTED_VALUE"""),"")</f>
        <v/>
      </c>
      <c r="M8120" s="16" t="str">
        <f>IFERROR(__xludf.DUMMYFUNCTION("""COMPUTED_VALUE"""),"")</f>
        <v/>
      </c>
      <c r="U8120" s="16" t="s">
        <v>87</v>
      </c>
      <c r="V8120" s="16" t="str">
        <f>IFERROR(__xludf.DUMMYFUNCTION("""COMPUTED_VALUE"""),"")</f>
        <v/>
      </c>
      <c r="W8120" s="16" t="str">
        <f>IFERROR(__xludf.DUMMYFUNCTION("""COMPUTED_VALUE"""),"")</f>
        <v/>
      </c>
      <c r="X8120" s="16" t="str">
        <f>IFERROR(__xludf.DUMMYFUNCTION("""COMPUTED_VALUE"""),"")</f>
        <v/>
      </c>
      <c r="AC8120" s="16" t="str">
        <f>IFERROR(__xludf.DUMMYFUNCTION("""COMPUTED_VALUE"""),"")</f>
        <v/>
      </c>
    </row>
    <row r="8121">
      <c r="A8121" s="16" t="s">
        <v>87</v>
      </c>
      <c r="E8121" s="16" t="str">
        <f>IFERROR(__xludf.DUMMYFUNCTION("""COMPUTED_VALUE"""),"")</f>
        <v/>
      </c>
      <c r="G8121" s="18"/>
      <c r="H8121" s="16" t="s">
        <v>87</v>
      </c>
      <c r="I8121" s="16" t="s">
        <v>87</v>
      </c>
      <c r="J8121" s="19"/>
      <c r="L8121" s="16" t="str">
        <f>IFERROR(__xludf.DUMMYFUNCTION("""COMPUTED_VALUE"""),"")</f>
        <v/>
      </c>
      <c r="M8121" s="16" t="str">
        <f>IFERROR(__xludf.DUMMYFUNCTION("""COMPUTED_VALUE"""),"")</f>
        <v/>
      </c>
      <c r="U8121" s="16" t="s">
        <v>87</v>
      </c>
      <c r="V8121" s="16" t="str">
        <f>IFERROR(__xludf.DUMMYFUNCTION("""COMPUTED_VALUE"""),"")</f>
        <v/>
      </c>
      <c r="W8121" s="16" t="str">
        <f>IFERROR(__xludf.DUMMYFUNCTION("""COMPUTED_VALUE"""),"")</f>
        <v/>
      </c>
      <c r="X8121" s="16" t="str">
        <f>IFERROR(__xludf.DUMMYFUNCTION("""COMPUTED_VALUE"""),"")</f>
        <v/>
      </c>
      <c r="AC8121" s="16" t="str">
        <f>IFERROR(__xludf.DUMMYFUNCTION("""COMPUTED_VALUE"""),"")</f>
        <v/>
      </c>
    </row>
    <row r="8122">
      <c r="A8122" s="16" t="s">
        <v>87</v>
      </c>
      <c r="E8122" s="16" t="str">
        <f>IFERROR(__xludf.DUMMYFUNCTION("""COMPUTED_VALUE"""),"")</f>
        <v/>
      </c>
      <c r="G8122" s="18"/>
      <c r="H8122" s="16" t="s">
        <v>87</v>
      </c>
      <c r="I8122" s="16" t="s">
        <v>87</v>
      </c>
      <c r="J8122" s="19"/>
      <c r="L8122" s="16" t="str">
        <f>IFERROR(__xludf.DUMMYFUNCTION("""COMPUTED_VALUE"""),"")</f>
        <v/>
      </c>
      <c r="M8122" s="16" t="str">
        <f>IFERROR(__xludf.DUMMYFUNCTION("""COMPUTED_VALUE"""),"")</f>
        <v/>
      </c>
      <c r="U8122" s="16" t="s">
        <v>87</v>
      </c>
      <c r="V8122" s="16" t="str">
        <f>IFERROR(__xludf.DUMMYFUNCTION("""COMPUTED_VALUE"""),"")</f>
        <v/>
      </c>
      <c r="W8122" s="16" t="str">
        <f>IFERROR(__xludf.DUMMYFUNCTION("""COMPUTED_VALUE"""),"")</f>
        <v/>
      </c>
      <c r="X8122" s="16" t="str">
        <f>IFERROR(__xludf.DUMMYFUNCTION("""COMPUTED_VALUE"""),"")</f>
        <v/>
      </c>
      <c r="AC8122" s="16" t="str">
        <f>IFERROR(__xludf.DUMMYFUNCTION("""COMPUTED_VALUE"""),"")</f>
        <v/>
      </c>
    </row>
    <row r="8123">
      <c r="A8123" s="16" t="s">
        <v>87</v>
      </c>
      <c r="E8123" s="16" t="str">
        <f>IFERROR(__xludf.DUMMYFUNCTION("""COMPUTED_VALUE"""),"")</f>
        <v/>
      </c>
      <c r="G8123" s="18"/>
      <c r="H8123" s="16" t="s">
        <v>87</v>
      </c>
      <c r="I8123" s="16" t="s">
        <v>87</v>
      </c>
      <c r="J8123" s="19"/>
      <c r="L8123" s="16" t="str">
        <f>IFERROR(__xludf.DUMMYFUNCTION("""COMPUTED_VALUE"""),"")</f>
        <v/>
      </c>
      <c r="M8123" s="16" t="str">
        <f>IFERROR(__xludf.DUMMYFUNCTION("""COMPUTED_VALUE"""),"")</f>
        <v/>
      </c>
      <c r="U8123" s="16" t="s">
        <v>87</v>
      </c>
      <c r="V8123" s="16" t="str">
        <f>IFERROR(__xludf.DUMMYFUNCTION("""COMPUTED_VALUE"""),"")</f>
        <v/>
      </c>
      <c r="W8123" s="16" t="str">
        <f>IFERROR(__xludf.DUMMYFUNCTION("""COMPUTED_VALUE"""),"")</f>
        <v/>
      </c>
      <c r="X8123" s="16" t="str">
        <f>IFERROR(__xludf.DUMMYFUNCTION("""COMPUTED_VALUE"""),"")</f>
        <v/>
      </c>
      <c r="AC8123" s="16" t="str">
        <f>IFERROR(__xludf.DUMMYFUNCTION("""COMPUTED_VALUE"""),"")</f>
        <v/>
      </c>
    </row>
    <row r="8124">
      <c r="A8124" s="16" t="s">
        <v>87</v>
      </c>
      <c r="E8124" s="16" t="str">
        <f>IFERROR(__xludf.DUMMYFUNCTION("""COMPUTED_VALUE"""),"")</f>
        <v/>
      </c>
      <c r="G8124" s="18"/>
      <c r="H8124" s="16" t="s">
        <v>87</v>
      </c>
      <c r="I8124" s="16" t="s">
        <v>87</v>
      </c>
      <c r="J8124" s="19"/>
      <c r="L8124" s="16" t="str">
        <f>IFERROR(__xludf.DUMMYFUNCTION("""COMPUTED_VALUE"""),"")</f>
        <v/>
      </c>
      <c r="M8124" s="16" t="str">
        <f>IFERROR(__xludf.DUMMYFUNCTION("""COMPUTED_VALUE"""),"")</f>
        <v/>
      </c>
      <c r="U8124" s="16" t="s">
        <v>87</v>
      </c>
      <c r="V8124" s="16" t="str">
        <f>IFERROR(__xludf.DUMMYFUNCTION("""COMPUTED_VALUE"""),"")</f>
        <v/>
      </c>
      <c r="W8124" s="16" t="str">
        <f>IFERROR(__xludf.DUMMYFUNCTION("""COMPUTED_VALUE"""),"")</f>
        <v/>
      </c>
      <c r="X8124" s="16" t="str">
        <f>IFERROR(__xludf.DUMMYFUNCTION("""COMPUTED_VALUE"""),"")</f>
        <v/>
      </c>
      <c r="AC8124" s="16" t="str">
        <f>IFERROR(__xludf.DUMMYFUNCTION("""COMPUTED_VALUE"""),"")</f>
        <v/>
      </c>
    </row>
    <row r="8125">
      <c r="A8125" s="16" t="s">
        <v>87</v>
      </c>
      <c r="E8125" s="16" t="str">
        <f>IFERROR(__xludf.DUMMYFUNCTION("""COMPUTED_VALUE"""),"")</f>
        <v/>
      </c>
      <c r="G8125" s="18"/>
      <c r="H8125" s="16" t="s">
        <v>87</v>
      </c>
      <c r="I8125" s="16" t="s">
        <v>87</v>
      </c>
      <c r="J8125" s="19"/>
      <c r="L8125" s="16" t="str">
        <f>IFERROR(__xludf.DUMMYFUNCTION("""COMPUTED_VALUE"""),"")</f>
        <v/>
      </c>
      <c r="M8125" s="16" t="str">
        <f>IFERROR(__xludf.DUMMYFUNCTION("""COMPUTED_VALUE"""),"")</f>
        <v/>
      </c>
      <c r="U8125" s="16" t="s">
        <v>87</v>
      </c>
      <c r="V8125" s="16" t="str">
        <f>IFERROR(__xludf.DUMMYFUNCTION("""COMPUTED_VALUE"""),"")</f>
        <v/>
      </c>
      <c r="W8125" s="16" t="str">
        <f>IFERROR(__xludf.DUMMYFUNCTION("""COMPUTED_VALUE"""),"")</f>
        <v/>
      </c>
      <c r="X8125" s="16" t="str">
        <f>IFERROR(__xludf.DUMMYFUNCTION("""COMPUTED_VALUE"""),"")</f>
        <v/>
      </c>
      <c r="AC8125" s="16" t="str">
        <f>IFERROR(__xludf.DUMMYFUNCTION("""COMPUTED_VALUE"""),"")</f>
        <v/>
      </c>
    </row>
    <row r="8126">
      <c r="A8126" s="16" t="s">
        <v>87</v>
      </c>
      <c r="E8126" s="16" t="str">
        <f>IFERROR(__xludf.DUMMYFUNCTION("""COMPUTED_VALUE"""),"")</f>
        <v/>
      </c>
      <c r="G8126" s="18"/>
      <c r="H8126" s="16" t="s">
        <v>87</v>
      </c>
      <c r="I8126" s="16" t="s">
        <v>87</v>
      </c>
      <c r="J8126" s="19"/>
      <c r="L8126" s="16" t="str">
        <f>IFERROR(__xludf.DUMMYFUNCTION("""COMPUTED_VALUE"""),"")</f>
        <v/>
      </c>
      <c r="M8126" s="16" t="str">
        <f>IFERROR(__xludf.DUMMYFUNCTION("""COMPUTED_VALUE"""),"")</f>
        <v/>
      </c>
      <c r="U8126" s="16" t="s">
        <v>87</v>
      </c>
      <c r="V8126" s="16" t="str">
        <f>IFERROR(__xludf.DUMMYFUNCTION("""COMPUTED_VALUE"""),"")</f>
        <v/>
      </c>
      <c r="W8126" s="16" t="str">
        <f>IFERROR(__xludf.DUMMYFUNCTION("""COMPUTED_VALUE"""),"")</f>
        <v/>
      </c>
      <c r="X8126" s="16" t="str">
        <f>IFERROR(__xludf.DUMMYFUNCTION("""COMPUTED_VALUE"""),"")</f>
        <v/>
      </c>
      <c r="AC8126" s="16" t="str">
        <f>IFERROR(__xludf.DUMMYFUNCTION("""COMPUTED_VALUE"""),"")</f>
        <v/>
      </c>
    </row>
    <row r="8127">
      <c r="A8127" s="16" t="s">
        <v>87</v>
      </c>
      <c r="E8127" s="16" t="str">
        <f>IFERROR(__xludf.DUMMYFUNCTION("""COMPUTED_VALUE"""),"")</f>
        <v/>
      </c>
      <c r="G8127" s="18"/>
      <c r="H8127" s="16" t="s">
        <v>87</v>
      </c>
      <c r="I8127" s="16" t="s">
        <v>87</v>
      </c>
      <c r="J8127" s="19"/>
      <c r="L8127" s="16" t="str">
        <f>IFERROR(__xludf.DUMMYFUNCTION("""COMPUTED_VALUE"""),"")</f>
        <v/>
      </c>
      <c r="M8127" s="16" t="str">
        <f>IFERROR(__xludf.DUMMYFUNCTION("""COMPUTED_VALUE"""),"")</f>
        <v/>
      </c>
      <c r="U8127" s="16" t="s">
        <v>87</v>
      </c>
      <c r="V8127" s="16" t="str">
        <f>IFERROR(__xludf.DUMMYFUNCTION("""COMPUTED_VALUE"""),"")</f>
        <v/>
      </c>
      <c r="W8127" s="16" t="str">
        <f>IFERROR(__xludf.DUMMYFUNCTION("""COMPUTED_VALUE"""),"")</f>
        <v/>
      </c>
      <c r="X8127" s="16" t="str">
        <f>IFERROR(__xludf.DUMMYFUNCTION("""COMPUTED_VALUE"""),"")</f>
        <v/>
      </c>
      <c r="AC8127" s="16" t="str">
        <f>IFERROR(__xludf.DUMMYFUNCTION("""COMPUTED_VALUE"""),"")</f>
        <v/>
      </c>
    </row>
    <row r="8128">
      <c r="A8128" s="16" t="s">
        <v>87</v>
      </c>
      <c r="E8128" s="16" t="str">
        <f>IFERROR(__xludf.DUMMYFUNCTION("""COMPUTED_VALUE"""),"")</f>
        <v/>
      </c>
      <c r="G8128" s="18"/>
      <c r="H8128" s="16" t="s">
        <v>87</v>
      </c>
      <c r="I8128" s="16" t="s">
        <v>87</v>
      </c>
      <c r="J8128" s="19"/>
      <c r="L8128" s="16" t="str">
        <f>IFERROR(__xludf.DUMMYFUNCTION("""COMPUTED_VALUE"""),"")</f>
        <v/>
      </c>
      <c r="M8128" s="16" t="str">
        <f>IFERROR(__xludf.DUMMYFUNCTION("""COMPUTED_VALUE"""),"")</f>
        <v/>
      </c>
      <c r="U8128" s="16" t="s">
        <v>87</v>
      </c>
      <c r="V8128" s="16" t="str">
        <f>IFERROR(__xludf.DUMMYFUNCTION("""COMPUTED_VALUE"""),"")</f>
        <v/>
      </c>
      <c r="W8128" s="16" t="str">
        <f>IFERROR(__xludf.DUMMYFUNCTION("""COMPUTED_VALUE"""),"")</f>
        <v/>
      </c>
      <c r="X8128" s="16" t="str">
        <f>IFERROR(__xludf.DUMMYFUNCTION("""COMPUTED_VALUE"""),"")</f>
        <v/>
      </c>
      <c r="AC8128" s="16" t="str">
        <f>IFERROR(__xludf.DUMMYFUNCTION("""COMPUTED_VALUE"""),"")</f>
        <v/>
      </c>
    </row>
    <row r="8129">
      <c r="A8129" s="16" t="s">
        <v>87</v>
      </c>
      <c r="E8129" s="16" t="str">
        <f>IFERROR(__xludf.DUMMYFUNCTION("""COMPUTED_VALUE"""),"")</f>
        <v/>
      </c>
      <c r="G8129" s="18"/>
      <c r="H8129" s="16" t="s">
        <v>87</v>
      </c>
      <c r="I8129" s="16" t="s">
        <v>87</v>
      </c>
      <c r="J8129" s="19"/>
      <c r="L8129" s="16" t="str">
        <f>IFERROR(__xludf.DUMMYFUNCTION("""COMPUTED_VALUE"""),"")</f>
        <v/>
      </c>
      <c r="M8129" s="16" t="str">
        <f>IFERROR(__xludf.DUMMYFUNCTION("""COMPUTED_VALUE"""),"")</f>
        <v/>
      </c>
      <c r="U8129" s="16" t="s">
        <v>87</v>
      </c>
      <c r="V8129" s="16" t="str">
        <f>IFERROR(__xludf.DUMMYFUNCTION("""COMPUTED_VALUE"""),"")</f>
        <v/>
      </c>
      <c r="W8129" s="16" t="str">
        <f>IFERROR(__xludf.DUMMYFUNCTION("""COMPUTED_VALUE"""),"")</f>
        <v/>
      </c>
      <c r="X8129" s="16" t="str">
        <f>IFERROR(__xludf.DUMMYFUNCTION("""COMPUTED_VALUE"""),"")</f>
        <v/>
      </c>
      <c r="AC8129" s="16" t="str">
        <f>IFERROR(__xludf.DUMMYFUNCTION("""COMPUTED_VALUE"""),"")</f>
        <v/>
      </c>
    </row>
    <row r="8130">
      <c r="A8130" s="16" t="s">
        <v>87</v>
      </c>
      <c r="E8130" s="16" t="str">
        <f>IFERROR(__xludf.DUMMYFUNCTION("""COMPUTED_VALUE"""),"")</f>
        <v/>
      </c>
      <c r="G8130" s="18"/>
      <c r="H8130" s="16" t="s">
        <v>87</v>
      </c>
      <c r="I8130" s="16" t="s">
        <v>87</v>
      </c>
      <c r="J8130" s="19"/>
      <c r="L8130" s="16" t="str">
        <f>IFERROR(__xludf.DUMMYFUNCTION("""COMPUTED_VALUE"""),"")</f>
        <v/>
      </c>
      <c r="M8130" s="16" t="str">
        <f>IFERROR(__xludf.DUMMYFUNCTION("""COMPUTED_VALUE"""),"")</f>
        <v/>
      </c>
      <c r="U8130" s="16" t="s">
        <v>87</v>
      </c>
      <c r="V8130" s="16" t="str">
        <f>IFERROR(__xludf.DUMMYFUNCTION("""COMPUTED_VALUE"""),"")</f>
        <v/>
      </c>
      <c r="W8130" s="16" t="str">
        <f>IFERROR(__xludf.DUMMYFUNCTION("""COMPUTED_VALUE"""),"")</f>
        <v/>
      </c>
      <c r="X8130" s="16" t="str">
        <f>IFERROR(__xludf.DUMMYFUNCTION("""COMPUTED_VALUE"""),"")</f>
        <v/>
      </c>
      <c r="AC8130" s="16" t="str">
        <f>IFERROR(__xludf.DUMMYFUNCTION("""COMPUTED_VALUE"""),"")</f>
        <v/>
      </c>
    </row>
    <row r="8131">
      <c r="A8131" s="16" t="s">
        <v>87</v>
      </c>
      <c r="E8131" s="16" t="str">
        <f>IFERROR(__xludf.DUMMYFUNCTION("""COMPUTED_VALUE"""),"")</f>
        <v/>
      </c>
      <c r="G8131" s="18"/>
      <c r="H8131" s="16" t="s">
        <v>87</v>
      </c>
      <c r="I8131" s="16" t="s">
        <v>87</v>
      </c>
      <c r="J8131" s="19"/>
      <c r="L8131" s="16" t="str">
        <f>IFERROR(__xludf.DUMMYFUNCTION("""COMPUTED_VALUE"""),"")</f>
        <v/>
      </c>
      <c r="M8131" s="16" t="str">
        <f>IFERROR(__xludf.DUMMYFUNCTION("""COMPUTED_VALUE"""),"")</f>
        <v/>
      </c>
      <c r="U8131" s="16" t="s">
        <v>87</v>
      </c>
      <c r="V8131" s="16" t="str">
        <f>IFERROR(__xludf.DUMMYFUNCTION("""COMPUTED_VALUE"""),"")</f>
        <v/>
      </c>
      <c r="W8131" s="16" t="str">
        <f>IFERROR(__xludf.DUMMYFUNCTION("""COMPUTED_VALUE"""),"")</f>
        <v/>
      </c>
      <c r="X8131" s="16" t="str">
        <f>IFERROR(__xludf.DUMMYFUNCTION("""COMPUTED_VALUE"""),"")</f>
        <v/>
      </c>
      <c r="AC8131" s="16" t="str">
        <f>IFERROR(__xludf.DUMMYFUNCTION("""COMPUTED_VALUE"""),"")</f>
        <v/>
      </c>
    </row>
    <row r="8132">
      <c r="A8132" s="16" t="s">
        <v>87</v>
      </c>
      <c r="E8132" s="16" t="str">
        <f>IFERROR(__xludf.DUMMYFUNCTION("""COMPUTED_VALUE"""),"")</f>
        <v/>
      </c>
      <c r="G8132" s="18"/>
      <c r="H8132" s="16" t="s">
        <v>87</v>
      </c>
      <c r="I8132" s="16" t="s">
        <v>87</v>
      </c>
      <c r="J8132" s="19"/>
      <c r="L8132" s="16" t="str">
        <f>IFERROR(__xludf.DUMMYFUNCTION("""COMPUTED_VALUE"""),"")</f>
        <v/>
      </c>
      <c r="M8132" s="16" t="str">
        <f>IFERROR(__xludf.DUMMYFUNCTION("""COMPUTED_VALUE"""),"")</f>
        <v/>
      </c>
      <c r="U8132" s="16" t="s">
        <v>87</v>
      </c>
      <c r="V8132" s="16" t="str">
        <f>IFERROR(__xludf.DUMMYFUNCTION("""COMPUTED_VALUE"""),"")</f>
        <v/>
      </c>
      <c r="W8132" s="16" t="str">
        <f>IFERROR(__xludf.DUMMYFUNCTION("""COMPUTED_VALUE"""),"")</f>
        <v/>
      </c>
      <c r="X8132" s="16" t="str">
        <f>IFERROR(__xludf.DUMMYFUNCTION("""COMPUTED_VALUE"""),"")</f>
        <v/>
      </c>
      <c r="AC8132" s="16" t="str">
        <f>IFERROR(__xludf.DUMMYFUNCTION("""COMPUTED_VALUE"""),"")</f>
        <v/>
      </c>
    </row>
    <row r="8133">
      <c r="A8133" s="16" t="s">
        <v>87</v>
      </c>
      <c r="E8133" s="16" t="str">
        <f>IFERROR(__xludf.DUMMYFUNCTION("""COMPUTED_VALUE"""),"")</f>
        <v/>
      </c>
      <c r="G8133" s="18"/>
      <c r="H8133" s="16" t="s">
        <v>87</v>
      </c>
      <c r="I8133" s="16" t="s">
        <v>87</v>
      </c>
      <c r="J8133" s="19"/>
      <c r="L8133" s="16" t="str">
        <f>IFERROR(__xludf.DUMMYFUNCTION("""COMPUTED_VALUE"""),"")</f>
        <v/>
      </c>
      <c r="M8133" s="16" t="str">
        <f>IFERROR(__xludf.DUMMYFUNCTION("""COMPUTED_VALUE"""),"")</f>
        <v/>
      </c>
      <c r="U8133" s="16" t="s">
        <v>87</v>
      </c>
      <c r="V8133" s="16" t="str">
        <f>IFERROR(__xludf.DUMMYFUNCTION("""COMPUTED_VALUE"""),"")</f>
        <v/>
      </c>
      <c r="W8133" s="16" t="str">
        <f>IFERROR(__xludf.DUMMYFUNCTION("""COMPUTED_VALUE"""),"")</f>
        <v/>
      </c>
      <c r="X8133" s="16" t="str">
        <f>IFERROR(__xludf.DUMMYFUNCTION("""COMPUTED_VALUE"""),"")</f>
        <v/>
      </c>
      <c r="AC8133" s="16" t="str">
        <f>IFERROR(__xludf.DUMMYFUNCTION("""COMPUTED_VALUE"""),"")</f>
        <v/>
      </c>
    </row>
    <row r="8134">
      <c r="A8134" s="16" t="s">
        <v>87</v>
      </c>
      <c r="E8134" s="16" t="str">
        <f>IFERROR(__xludf.DUMMYFUNCTION("""COMPUTED_VALUE"""),"")</f>
        <v/>
      </c>
      <c r="G8134" s="18"/>
      <c r="H8134" s="16" t="s">
        <v>87</v>
      </c>
      <c r="I8134" s="16" t="s">
        <v>87</v>
      </c>
      <c r="J8134" s="19"/>
      <c r="L8134" s="16" t="str">
        <f>IFERROR(__xludf.DUMMYFUNCTION("""COMPUTED_VALUE"""),"")</f>
        <v/>
      </c>
      <c r="M8134" s="16" t="str">
        <f>IFERROR(__xludf.DUMMYFUNCTION("""COMPUTED_VALUE"""),"")</f>
        <v/>
      </c>
      <c r="U8134" s="16" t="s">
        <v>87</v>
      </c>
      <c r="V8134" s="16" t="str">
        <f>IFERROR(__xludf.DUMMYFUNCTION("""COMPUTED_VALUE"""),"")</f>
        <v/>
      </c>
      <c r="W8134" s="16" t="str">
        <f>IFERROR(__xludf.DUMMYFUNCTION("""COMPUTED_VALUE"""),"")</f>
        <v/>
      </c>
      <c r="X8134" s="16" t="str">
        <f>IFERROR(__xludf.DUMMYFUNCTION("""COMPUTED_VALUE"""),"")</f>
        <v/>
      </c>
      <c r="AC8134" s="16" t="str">
        <f>IFERROR(__xludf.DUMMYFUNCTION("""COMPUTED_VALUE"""),"")</f>
        <v/>
      </c>
    </row>
    <row r="8135">
      <c r="A8135" s="16" t="s">
        <v>87</v>
      </c>
      <c r="E8135" s="16" t="str">
        <f>IFERROR(__xludf.DUMMYFUNCTION("""COMPUTED_VALUE"""),"")</f>
        <v/>
      </c>
      <c r="G8135" s="18"/>
      <c r="H8135" s="16" t="s">
        <v>87</v>
      </c>
      <c r="I8135" s="16" t="s">
        <v>87</v>
      </c>
      <c r="J8135" s="19"/>
      <c r="L8135" s="16" t="str">
        <f>IFERROR(__xludf.DUMMYFUNCTION("""COMPUTED_VALUE"""),"")</f>
        <v/>
      </c>
      <c r="M8135" s="16" t="str">
        <f>IFERROR(__xludf.DUMMYFUNCTION("""COMPUTED_VALUE"""),"")</f>
        <v/>
      </c>
      <c r="U8135" s="16" t="s">
        <v>87</v>
      </c>
      <c r="V8135" s="16" t="str">
        <f>IFERROR(__xludf.DUMMYFUNCTION("""COMPUTED_VALUE"""),"")</f>
        <v/>
      </c>
      <c r="W8135" s="16" t="str">
        <f>IFERROR(__xludf.DUMMYFUNCTION("""COMPUTED_VALUE"""),"")</f>
        <v/>
      </c>
      <c r="X8135" s="16" t="str">
        <f>IFERROR(__xludf.DUMMYFUNCTION("""COMPUTED_VALUE"""),"")</f>
        <v/>
      </c>
      <c r="AC8135" s="16" t="str">
        <f>IFERROR(__xludf.DUMMYFUNCTION("""COMPUTED_VALUE"""),"")</f>
        <v/>
      </c>
    </row>
    <row r="8136">
      <c r="A8136" s="16" t="s">
        <v>87</v>
      </c>
      <c r="E8136" s="16" t="str">
        <f>IFERROR(__xludf.DUMMYFUNCTION("""COMPUTED_VALUE"""),"")</f>
        <v/>
      </c>
      <c r="G8136" s="18"/>
      <c r="H8136" s="16" t="s">
        <v>87</v>
      </c>
      <c r="I8136" s="16" t="s">
        <v>87</v>
      </c>
      <c r="J8136" s="19"/>
      <c r="L8136" s="16" t="str">
        <f>IFERROR(__xludf.DUMMYFUNCTION("""COMPUTED_VALUE"""),"")</f>
        <v/>
      </c>
      <c r="M8136" s="16" t="str">
        <f>IFERROR(__xludf.DUMMYFUNCTION("""COMPUTED_VALUE"""),"")</f>
        <v/>
      </c>
      <c r="U8136" s="16" t="s">
        <v>87</v>
      </c>
      <c r="V8136" s="16" t="str">
        <f>IFERROR(__xludf.DUMMYFUNCTION("""COMPUTED_VALUE"""),"")</f>
        <v/>
      </c>
      <c r="W8136" s="16" t="str">
        <f>IFERROR(__xludf.DUMMYFUNCTION("""COMPUTED_VALUE"""),"")</f>
        <v/>
      </c>
      <c r="X8136" s="16" t="str">
        <f>IFERROR(__xludf.DUMMYFUNCTION("""COMPUTED_VALUE"""),"")</f>
        <v/>
      </c>
      <c r="AC8136" s="16" t="str">
        <f>IFERROR(__xludf.DUMMYFUNCTION("""COMPUTED_VALUE"""),"")</f>
        <v/>
      </c>
    </row>
    <row r="8137">
      <c r="A8137" s="16" t="s">
        <v>87</v>
      </c>
      <c r="E8137" s="16" t="str">
        <f>IFERROR(__xludf.DUMMYFUNCTION("""COMPUTED_VALUE"""),"")</f>
        <v/>
      </c>
      <c r="G8137" s="18"/>
      <c r="H8137" s="16" t="s">
        <v>87</v>
      </c>
      <c r="I8137" s="16" t="s">
        <v>87</v>
      </c>
      <c r="J8137" s="19"/>
      <c r="L8137" s="16" t="str">
        <f>IFERROR(__xludf.DUMMYFUNCTION("""COMPUTED_VALUE"""),"")</f>
        <v/>
      </c>
      <c r="M8137" s="16" t="str">
        <f>IFERROR(__xludf.DUMMYFUNCTION("""COMPUTED_VALUE"""),"")</f>
        <v/>
      </c>
      <c r="U8137" s="16" t="s">
        <v>87</v>
      </c>
      <c r="V8137" s="16" t="str">
        <f>IFERROR(__xludf.DUMMYFUNCTION("""COMPUTED_VALUE"""),"")</f>
        <v/>
      </c>
      <c r="W8137" s="16" t="str">
        <f>IFERROR(__xludf.DUMMYFUNCTION("""COMPUTED_VALUE"""),"")</f>
        <v/>
      </c>
      <c r="X8137" s="16" t="str">
        <f>IFERROR(__xludf.DUMMYFUNCTION("""COMPUTED_VALUE"""),"")</f>
        <v/>
      </c>
      <c r="AC8137" s="16" t="str">
        <f>IFERROR(__xludf.DUMMYFUNCTION("""COMPUTED_VALUE"""),"")</f>
        <v/>
      </c>
    </row>
    <row r="8138">
      <c r="A8138" s="16" t="s">
        <v>87</v>
      </c>
      <c r="E8138" s="16" t="str">
        <f>IFERROR(__xludf.DUMMYFUNCTION("""COMPUTED_VALUE"""),"")</f>
        <v/>
      </c>
      <c r="G8138" s="18"/>
      <c r="H8138" s="16" t="s">
        <v>87</v>
      </c>
      <c r="I8138" s="16" t="s">
        <v>87</v>
      </c>
      <c r="J8138" s="19"/>
      <c r="L8138" s="16" t="str">
        <f>IFERROR(__xludf.DUMMYFUNCTION("""COMPUTED_VALUE"""),"")</f>
        <v/>
      </c>
      <c r="M8138" s="16" t="str">
        <f>IFERROR(__xludf.DUMMYFUNCTION("""COMPUTED_VALUE"""),"")</f>
        <v/>
      </c>
      <c r="U8138" s="16" t="s">
        <v>87</v>
      </c>
      <c r="V8138" s="16" t="str">
        <f>IFERROR(__xludf.DUMMYFUNCTION("""COMPUTED_VALUE"""),"")</f>
        <v/>
      </c>
      <c r="W8138" s="16" t="str">
        <f>IFERROR(__xludf.DUMMYFUNCTION("""COMPUTED_VALUE"""),"")</f>
        <v/>
      </c>
      <c r="X8138" s="16" t="str">
        <f>IFERROR(__xludf.DUMMYFUNCTION("""COMPUTED_VALUE"""),"")</f>
        <v/>
      </c>
      <c r="AC8138" s="16" t="str">
        <f>IFERROR(__xludf.DUMMYFUNCTION("""COMPUTED_VALUE"""),"")</f>
        <v/>
      </c>
    </row>
    <row r="8139">
      <c r="A8139" s="16" t="s">
        <v>87</v>
      </c>
      <c r="E8139" s="16" t="str">
        <f>IFERROR(__xludf.DUMMYFUNCTION("""COMPUTED_VALUE"""),"")</f>
        <v/>
      </c>
      <c r="G8139" s="18"/>
      <c r="H8139" s="16" t="s">
        <v>87</v>
      </c>
      <c r="I8139" s="16" t="s">
        <v>87</v>
      </c>
      <c r="J8139" s="19"/>
      <c r="L8139" s="16" t="str">
        <f>IFERROR(__xludf.DUMMYFUNCTION("""COMPUTED_VALUE"""),"")</f>
        <v/>
      </c>
      <c r="M8139" s="16" t="str">
        <f>IFERROR(__xludf.DUMMYFUNCTION("""COMPUTED_VALUE"""),"")</f>
        <v/>
      </c>
      <c r="U8139" s="16" t="s">
        <v>87</v>
      </c>
      <c r="V8139" s="16" t="str">
        <f>IFERROR(__xludf.DUMMYFUNCTION("""COMPUTED_VALUE"""),"")</f>
        <v/>
      </c>
      <c r="W8139" s="16" t="str">
        <f>IFERROR(__xludf.DUMMYFUNCTION("""COMPUTED_VALUE"""),"")</f>
        <v/>
      </c>
      <c r="X8139" s="16" t="str">
        <f>IFERROR(__xludf.DUMMYFUNCTION("""COMPUTED_VALUE"""),"")</f>
        <v/>
      </c>
      <c r="AC8139" s="16" t="str">
        <f>IFERROR(__xludf.DUMMYFUNCTION("""COMPUTED_VALUE"""),"")</f>
        <v/>
      </c>
    </row>
    <row r="8140">
      <c r="A8140" s="16" t="s">
        <v>87</v>
      </c>
      <c r="E8140" s="16" t="str">
        <f>IFERROR(__xludf.DUMMYFUNCTION("""COMPUTED_VALUE"""),"")</f>
        <v/>
      </c>
      <c r="G8140" s="18"/>
      <c r="H8140" s="16" t="s">
        <v>87</v>
      </c>
      <c r="I8140" s="16" t="s">
        <v>87</v>
      </c>
      <c r="J8140" s="19"/>
      <c r="L8140" s="16" t="str">
        <f>IFERROR(__xludf.DUMMYFUNCTION("""COMPUTED_VALUE"""),"")</f>
        <v/>
      </c>
      <c r="M8140" s="16" t="str">
        <f>IFERROR(__xludf.DUMMYFUNCTION("""COMPUTED_VALUE"""),"")</f>
        <v/>
      </c>
      <c r="U8140" s="16" t="s">
        <v>87</v>
      </c>
      <c r="V8140" s="16" t="str">
        <f>IFERROR(__xludf.DUMMYFUNCTION("""COMPUTED_VALUE"""),"")</f>
        <v/>
      </c>
      <c r="W8140" s="16" t="str">
        <f>IFERROR(__xludf.DUMMYFUNCTION("""COMPUTED_VALUE"""),"")</f>
        <v/>
      </c>
      <c r="X8140" s="16" t="str">
        <f>IFERROR(__xludf.DUMMYFUNCTION("""COMPUTED_VALUE"""),"")</f>
        <v/>
      </c>
      <c r="AC8140" s="16" t="str">
        <f>IFERROR(__xludf.DUMMYFUNCTION("""COMPUTED_VALUE"""),"")</f>
        <v/>
      </c>
    </row>
    <row r="8141">
      <c r="A8141" s="16" t="s">
        <v>87</v>
      </c>
      <c r="E8141" s="16" t="str">
        <f>IFERROR(__xludf.DUMMYFUNCTION("""COMPUTED_VALUE"""),"")</f>
        <v/>
      </c>
      <c r="G8141" s="18"/>
      <c r="H8141" s="16" t="s">
        <v>87</v>
      </c>
      <c r="I8141" s="16" t="s">
        <v>87</v>
      </c>
      <c r="J8141" s="19"/>
      <c r="L8141" s="16" t="str">
        <f>IFERROR(__xludf.DUMMYFUNCTION("""COMPUTED_VALUE"""),"")</f>
        <v/>
      </c>
      <c r="M8141" s="16" t="str">
        <f>IFERROR(__xludf.DUMMYFUNCTION("""COMPUTED_VALUE"""),"")</f>
        <v/>
      </c>
      <c r="U8141" s="16" t="s">
        <v>87</v>
      </c>
      <c r="V8141" s="16" t="str">
        <f>IFERROR(__xludf.DUMMYFUNCTION("""COMPUTED_VALUE"""),"")</f>
        <v/>
      </c>
      <c r="W8141" s="16" t="str">
        <f>IFERROR(__xludf.DUMMYFUNCTION("""COMPUTED_VALUE"""),"")</f>
        <v/>
      </c>
      <c r="X8141" s="16" t="str">
        <f>IFERROR(__xludf.DUMMYFUNCTION("""COMPUTED_VALUE"""),"")</f>
        <v/>
      </c>
      <c r="AC8141" s="16" t="str">
        <f>IFERROR(__xludf.DUMMYFUNCTION("""COMPUTED_VALUE"""),"")</f>
        <v/>
      </c>
    </row>
    <row r="8142">
      <c r="A8142" s="16" t="s">
        <v>87</v>
      </c>
      <c r="E8142" s="16" t="str">
        <f>IFERROR(__xludf.DUMMYFUNCTION("""COMPUTED_VALUE"""),"")</f>
        <v/>
      </c>
      <c r="G8142" s="18"/>
      <c r="H8142" s="16" t="s">
        <v>87</v>
      </c>
      <c r="I8142" s="16" t="s">
        <v>87</v>
      </c>
      <c r="J8142" s="19"/>
      <c r="L8142" s="16" t="str">
        <f>IFERROR(__xludf.DUMMYFUNCTION("""COMPUTED_VALUE"""),"")</f>
        <v/>
      </c>
      <c r="M8142" s="16" t="str">
        <f>IFERROR(__xludf.DUMMYFUNCTION("""COMPUTED_VALUE"""),"")</f>
        <v/>
      </c>
      <c r="U8142" s="16" t="s">
        <v>87</v>
      </c>
      <c r="V8142" s="16" t="str">
        <f>IFERROR(__xludf.DUMMYFUNCTION("""COMPUTED_VALUE"""),"")</f>
        <v/>
      </c>
      <c r="W8142" s="16" t="str">
        <f>IFERROR(__xludf.DUMMYFUNCTION("""COMPUTED_VALUE"""),"")</f>
        <v/>
      </c>
      <c r="X8142" s="16" t="str">
        <f>IFERROR(__xludf.DUMMYFUNCTION("""COMPUTED_VALUE"""),"")</f>
        <v/>
      </c>
      <c r="AC8142" s="16" t="str">
        <f>IFERROR(__xludf.DUMMYFUNCTION("""COMPUTED_VALUE"""),"")</f>
        <v/>
      </c>
    </row>
    <row r="8143">
      <c r="A8143" s="16" t="s">
        <v>87</v>
      </c>
      <c r="E8143" s="16" t="str">
        <f>IFERROR(__xludf.DUMMYFUNCTION("""COMPUTED_VALUE"""),"")</f>
        <v/>
      </c>
      <c r="G8143" s="18"/>
      <c r="H8143" s="16" t="s">
        <v>87</v>
      </c>
      <c r="I8143" s="16" t="s">
        <v>87</v>
      </c>
      <c r="J8143" s="19"/>
      <c r="L8143" s="16" t="str">
        <f>IFERROR(__xludf.DUMMYFUNCTION("""COMPUTED_VALUE"""),"")</f>
        <v/>
      </c>
      <c r="M8143" s="16" t="str">
        <f>IFERROR(__xludf.DUMMYFUNCTION("""COMPUTED_VALUE"""),"")</f>
        <v/>
      </c>
      <c r="U8143" s="16" t="s">
        <v>87</v>
      </c>
      <c r="V8143" s="16" t="str">
        <f>IFERROR(__xludf.DUMMYFUNCTION("""COMPUTED_VALUE"""),"")</f>
        <v/>
      </c>
      <c r="W8143" s="16" t="str">
        <f>IFERROR(__xludf.DUMMYFUNCTION("""COMPUTED_VALUE"""),"")</f>
        <v/>
      </c>
      <c r="X8143" s="16" t="str">
        <f>IFERROR(__xludf.DUMMYFUNCTION("""COMPUTED_VALUE"""),"")</f>
        <v/>
      </c>
      <c r="AC8143" s="16" t="str">
        <f>IFERROR(__xludf.DUMMYFUNCTION("""COMPUTED_VALUE"""),"")</f>
        <v/>
      </c>
    </row>
    <row r="8144">
      <c r="A8144" s="16" t="s">
        <v>87</v>
      </c>
      <c r="E8144" s="16" t="str">
        <f>IFERROR(__xludf.DUMMYFUNCTION("""COMPUTED_VALUE"""),"")</f>
        <v/>
      </c>
      <c r="G8144" s="18"/>
      <c r="H8144" s="16" t="s">
        <v>87</v>
      </c>
      <c r="I8144" s="16" t="s">
        <v>87</v>
      </c>
      <c r="J8144" s="19"/>
      <c r="L8144" s="16" t="str">
        <f>IFERROR(__xludf.DUMMYFUNCTION("""COMPUTED_VALUE"""),"")</f>
        <v/>
      </c>
      <c r="M8144" s="16" t="str">
        <f>IFERROR(__xludf.DUMMYFUNCTION("""COMPUTED_VALUE"""),"")</f>
        <v/>
      </c>
      <c r="U8144" s="16" t="s">
        <v>87</v>
      </c>
      <c r="V8144" s="16" t="str">
        <f>IFERROR(__xludf.DUMMYFUNCTION("""COMPUTED_VALUE"""),"")</f>
        <v/>
      </c>
      <c r="W8144" s="16" t="str">
        <f>IFERROR(__xludf.DUMMYFUNCTION("""COMPUTED_VALUE"""),"")</f>
        <v/>
      </c>
      <c r="X8144" s="16" t="str">
        <f>IFERROR(__xludf.DUMMYFUNCTION("""COMPUTED_VALUE"""),"")</f>
        <v/>
      </c>
      <c r="AC8144" s="16" t="str">
        <f>IFERROR(__xludf.DUMMYFUNCTION("""COMPUTED_VALUE"""),"")</f>
        <v/>
      </c>
    </row>
    <row r="8145">
      <c r="A8145" s="16" t="s">
        <v>87</v>
      </c>
      <c r="E8145" s="16" t="str">
        <f>IFERROR(__xludf.DUMMYFUNCTION("""COMPUTED_VALUE"""),"")</f>
        <v/>
      </c>
      <c r="G8145" s="18"/>
      <c r="H8145" s="16" t="s">
        <v>87</v>
      </c>
      <c r="I8145" s="16" t="s">
        <v>87</v>
      </c>
      <c r="J8145" s="19"/>
      <c r="L8145" s="16" t="str">
        <f>IFERROR(__xludf.DUMMYFUNCTION("""COMPUTED_VALUE"""),"")</f>
        <v/>
      </c>
      <c r="M8145" s="16" t="str">
        <f>IFERROR(__xludf.DUMMYFUNCTION("""COMPUTED_VALUE"""),"")</f>
        <v/>
      </c>
      <c r="U8145" s="16" t="s">
        <v>87</v>
      </c>
      <c r="V8145" s="16" t="str">
        <f>IFERROR(__xludf.DUMMYFUNCTION("""COMPUTED_VALUE"""),"")</f>
        <v/>
      </c>
      <c r="W8145" s="16" t="str">
        <f>IFERROR(__xludf.DUMMYFUNCTION("""COMPUTED_VALUE"""),"")</f>
        <v/>
      </c>
      <c r="X8145" s="16" t="str">
        <f>IFERROR(__xludf.DUMMYFUNCTION("""COMPUTED_VALUE"""),"")</f>
        <v/>
      </c>
      <c r="AC8145" s="16" t="str">
        <f>IFERROR(__xludf.DUMMYFUNCTION("""COMPUTED_VALUE"""),"")</f>
        <v/>
      </c>
    </row>
    <row r="8146">
      <c r="A8146" s="16" t="s">
        <v>87</v>
      </c>
      <c r="E8146" s="16" t="str">
        <f>IFERROR(__xludf.DUMMYFUNCTION("""COMPUTED_VALUE"""),"")</f>
        <v/>
      </c>
      <c r="G8146" s="18"/>
      <c r="H8146" s="16" t="s">
        <v>87</v>
      </c>
      <c r="I8146" s="16" t="s">
        <v>87</v>
      </c>
      <c r="J8146" s="19"/>
      <c r="L8146" s="16" t="str">
        <f>IFERROR(__xludf.DUMMYFUNCTION("""COMPUTED_VALUE"""),"")</f>
        <v/>
      </c>
      <c r="M8146" s="16" t="str">
        <f>IFERROR(__xludf.DUMMYFUNCTION("""COMPUTED_VALUE"""),"")</f>
        <v/>
      </c>
      <c r="U8146" s="16" t="s">
        <v>87</v>
      </c>
      <c r="V8146" s="16" t="str">
        <f>IFERROR(__xludf.DUMMYFUNCTION("""COMPUTED_VALUE"""),"")</f>
        <v/>
      </c>
      <c r="W8146" s="16" t="str">
        <f>IFERROR(__xludf.DUMMYFUNCTION("""COMPUTED_VALUE"""),"")</f>
        <v/>
      </c>
      <c r="X8146" s="16" t="str">
        <f>IFERROR(__xludf.DUMMYFUNCTION("""COMPUTED_VALUE"""),"")</f>
        <v/>
      </c>
      <c r="AC8146" s="16" t="str">
        <f>IFERROR(__xludf.DUMMYFUNCTION("""COMPUTED_VALUE"""),"")</f>
        <v/>
      </c>
    </row>
    <row r="8147">
      <c r="A8147" s="16" t="s">
        <v>87</v>
      </c>
      <c r="E8147" s="16" t="str">
        <f>IFERROR(__xludf.DUMMYFUNCTION("""COMPUTED_VALUE"""),"")</f>
        <v/>
      </c>
      <c r="G8147" s="18"/>
      <c r="H8147" s="16" t="s">
        <v>87</v>
      </c>
      <c r="I8147" s="16" t="s">
        <v>87</v>
      </c>
      <c r="J8147" s="19"/>
      <c r="L8147" s="16" t="str">
        <f>IFERROR(__xludf.DUMMYFUNCTION("""COMPUTED_VALUE"""),"")</f>
        <v/>
      </c>
      <c r="M8147" s="16" t="str">
        <f>IFERROR(__xludf.DUMMYFUNCTION("""COMPUTED_VALUE"""),"")</f>
        <v/>
      </c>
      <c r="U8147" s="16" t="s">
        <v>87</v>
      </c>
      <c r="V8147" s="16" t="str">
        <f>IFERROR(__xludf.DUMMYFUNCTION("""COMPUTED_VALUE"""),"")</f>
        <v/>
      </c>
      <c r="W8147" s="16" t="str">
        <f>IFERROR(__xludf.DUMMYFUNCTION("""COMPUTED_VALUE"""),"")</f>
        <v/>
      </c>
      <c r="X8147" s="16" t="str">
        <f>IFERROR(__xludf.DUMMYFUNCTION("""COMPUTED_VALUE"""),"")</f>
        <v/>
      </c>
      <c r="AC8147" s="16" t="str">
        <f>IFERROR(__xludf.DUMMYFUNCTION("""COMPUTED_VALUE"""),"")</f>
        <v/>
      </c>
    </row>
    <row r="8148">
      <c r="A8148" s="16" t="s">
        <v>87</v>
      </c>
      <c r="E8148" s="16" t="str">
        <f>IFERROR(__xludf.DUMMYFUNCTION("""COMPUTED_VALUE"""),"")</f>
        <v/>
      </c>
      <c r="G8148" s="18"/>
      <c r="H8148" s="16" t="s">
        <v>87</v>
      </c>
      <c r="I8148" s="16" t="s">
        <v>87</v>
      </c>
      <c r="J8148" s="19"/>
      <c r="L8148" s="16" t="str">
        <f>IFERROR(__xludf.DUMMYFUNCTION("""COMPUTED_VALUE"""),"")</f>
        <v/>
      </c>
      <c r="M8148" s="16" t="str">
        <f>IFERROR(__xludf.DUMMYFUNCTION("""COMPUTED_VALUE"""),"")</f>
        <v/>
      </c>
      <c r="U8148" s="16" t="s">
        <v>87</v>
      </c>
      <c r="V8148" s="16" t="str">
        <f>IFERROR(__xludf.DUMMYFUNCTION("""COMPUTED_VALUE"""),"")</f>
        <v/>
      </c>
      <c r="W8148" s="16" t="str">
        <f>IFERROR(__xludf.DUMMYFUNCTION("""COMPUTED_VALUE"""),"")</f>
        <v/>
      </c>
      <c r="X8148" s="16" t="str">
        <f>IFERROR(__xludf.DUMMYFUNCTION("""COMPUTED_VALUE"""),"")</f>
        <v/>
      </c>
      <c r="AC8148" s="16" t="str">
        <f>IFERROR(__xludf.DUMMYFUNCTION("""COMPUTED_VALUE"""),"")</f>
        <v/>
      </c>
    </row>
    <row r="8149">
      <c r="A8149" s="16" t="s">
        <v>87</v>
      </c>
      <c r="E8149" s="16" t="str">
        <f>IFERROR(__xludf.DUMMYFUNCTION("""COMPUTED_VALUE"""),"")</f>
        <v/>
      </c>
      <c r="G8149" s="18"/>
      <c r="H8149" s="16" t="s">
        <v>87</v>
      </c>
      <c r="I8149" s="16" t="s">
        <v>87</v>
      </c>
      <c r="J8149" s="19"/>
      <c r="L8149" s="16" t="str">
        <f>IFERROR(__xludf.DUMMYFUNCTION("""COMPUTED_VALUE"""),"")</f>
        <v/>
      </c>
      <c r="M8149" s="16" t="str">
        <f>IFERROR(__xludf.DUMMYFUNCTION("""COMPUTED_VALUE"""),"")</f>
        <v/>
      </c>
      <c r="U8149" s="16" t="s">
        <v>87</v>
      </c>
      <c r="V8149" s="16" t="str">
        <f>IFERROR(__xludf.DUMMYFUNCTION("""COMPUTED_VALUE"""),"")</f>
        <v/>
      </c>
      <c r="W8149" s="16" t="str">
        <f>IFERROR(__xludf.DUMMYFUNCTION("""COMPUTED_VALUE"""),"")</f>
        <v/>
      </c>
      <c r="X8149" s="16" t="str">
        <f>IFERROR(__xludf.DUMMYFUNCTION("""COMPUTED_VALUE"""),"")</f>
        <v/>
      </c>
      <c r="AC8149" s="16" t="str">
        <f>IFERROR(__xludf.DUMMYFUNCTION("""COMPUTED_VALUE"""),"")</f>
        <v/>
      </c>
    </row>
    <row r="8150">
      <c r="A8150" s="16" t="s">
        <v>87</v>
      </c>
      <c r="E8150" s="16" t="str">
        <f>IFERROR(__xludf.DUMMYFUNCTION("""COMPUTED_VALUE"""),"")</f>
        <v/>
      </c>
      <c r="G8150" s="18"/>
      <c r="H8150" s="16" t="s">
        <v>87</v>
      </c>
      <c r="I8150" s="16" t="s">
        <v>87</v>
      </c>
      <c r="J8150" s="19"/>
      <c r="L8150" s="16" t="str">
        <f>IFERROR(__xludf.DUMMYFUNCTION("""COMPUTED_VALUE"""),"")</f>
        <v/>
      </c>
      <c r="M8150" s="16" t="str">
        <f>IFERROR(__xludf.DUMMYFUNCTION("""COMPUTED_VALUE"""),"")</f>
        <v/>
      </c>
      <c r="U8150" s="16" t="s">
        <v>87</v>
      </c>
      <c r="V8150" s="16" t="str">
        <f>IFERROR(__xludf.DUMMYFUNCTION("""COMPUTED_VALUE"""),"")</f>
        <v/>
      </c>
      <c r="W8150" s="16" t="str">
        <f>IFERROR(__xludf.DUMMYFUNCTION("""COMPUTED_VALUE"""),"")</f>
        <v/>
      </c>
      <c r="X8150" s="16" t="str">
        <f>IFERROR(__xludf.DUMMYFUNCTION("""COMPUTED_VALUE"""),"")</f>
        <v/>
      </c>
      <c r="AC8150" s="16" t="str">
        <f>IFERROR(__xludf.DUMMYFUNCTION("""COMPUTED_VALUE"""),"")</f>
        <v/>
      </c>
    </row>
    <row r="8151">
      <c r="A8151" s="16" t="s">
        <v>87</v>
      </c>
      <c r="E8151" s="16" t="str">
        <f>IFERROR(__xludf.DUMMYFUNCTION("""COMPUTED_VALUE"""),"")</f>
        <v/>
      </c>
      <c r="G8151" s="18"/>
      <c r="H8151" s="16" t="s">
        <v>87</v>
      </c>
      <c r="I8151" s="16" t="s">
        <v>87</v>
      </c>
      <c r="J8151" s="19"/>
      <c r="L8151" s="16" t="str">
        <f>IFERROR(__xludf.DUMMYFUNCTION("""COMPUTED_VALUE"""),"")</f>
        <v/>
      </c>
      <c r="M8151" s="16" t="str">
        <f>IFERROR(__xludf.DUMMYFUNCTION("""COMPUTED_VALUE"""),"")</f>
        <v/>
      </c>
      <c r="U8151" s="16" t="s">
        <v>87</v>
      </c>
      <c r="V8151" s="16" t="str">
        <f>IFERROR(__xludf.DUMMYFUNCTION("""COMPUTED_VALUE"""),"")</f>
        <v/>
      </c>
      <c r="W8151" s="16" t="str">
        <f>IFERROR(__xludf.DUMMYFUNCTION("""COMPUTED_VALUE"""),"")</f>
        <v/>
      </c>
      <c r="X8151" s="16" t="str">
        <f>IFERROR(__xludf.DUMMYFUNCTION("""COMPUTED_VALUE"""),"")</f>
        <v/>
      </c>
      <c r="AC8151" s="16" t="str">
        <f>IFERROR(__xludf.DUMMYFUNCTION("""COMPUTED_VALUE"""),"")</f>
        <v/>
      </c>
    </row>
    <row r="8152">
      <c r="A8152" s="16" t="s">
        <v>87</v>
      </c>
      <c r="E8152" s="16" t="str">
        <f>IFERROR(__xludf.DUMMYFUNCTION("""COMPUTED_VALUE"""),"")</f>
        <v/>
      </c>
      <c r="G8152" s="18"/>
      <c r="H8152" s="16" t="s">
        <v>87</v>
      </c>
      <c r="I8152" s="16" t="s">
        <v>87</v>
      </c>
      <c r="J8152" s="19"/>
      <c r="L8152" s="16" t="str">
        <f>IFERROR(__xludf.DUMMYFUNCTION("""COMPUTED_VALUE"""),"")</f>
        <v/>
      </c>
      <c r="M8152" s="16" t="str">
        <f>IFERROR(__xludf.DUMMYFUNCTION("""COMPUTED_VALUE"""),"")</f>
        <v/>
      </c>
      <c r="U8152" s="16" t="s">
        <v>87</v>
      </c>
      <c r="V8152" s="16" t="str">
        <f>IFERROR(__xludf.DUMMYFUNCTION("""COMPUTED_VALUE"""),"")</f>
        <v/>
      </c>
      <c r="W8152" s="16" t="str">
        <f>IFERROR(__xludf.DUMMYFUNCTION("""COMPUTED_VALUE"""),"")</f>
        <v/>
      </c>
      <c r="X8152" s="16" t="str">
        <f>IFERROR(__xludf.DUMMYFUNCTION("""COMPUTED_VALUE"""),"")</f>
        <v/>
      </c>
      <c r="AC8152" s="16" t="str">
        <f>IFERROR(__xludf.DUMMYFUNCTION("""COMPUTED_VALUE"""),"")</f>
        <v/>
      </c>
    </row>
    <row r="8153">
      <c r="A8153" s="16" t="s">
        <v>87</v>
      </c>
      <c r="E8153" s="16" t="str">
        <f>IFERROR(__xludf.DUMMYFUNCTION("""COMPUTED_VALUE"""),"")</f>
        <v/>
      </c>
      <c r="G8153" s="18"/>
      <c r="H8153" s="16" t="s">
        <v>87</v>
      </c>
      <c r="I8153" s="16" t="s">
        <v>87</v>
      </c>
      <c r="J8153" s="19"/>
      <c r="L8153" s="16" t="str">
        <f>IFERROR(__xludf.DUMMYFUNCTION("""COMPUTED_VALUE"""),"")</f>
        <v/>
      </c>
      <c r="M8153" s="16" t="str">
        <f>IFERROR(__xludf.DUMMYFUNCTION("""COMPUTED_VALUE"""),"")</f>
        <v/>
      </c>
      <c r="U8153" s="16" t="s">
        <v>87</v>
      </c>
      <c r="V8153" s="16" t="str">
        <f>IFERROR(__xludf.DUMMYFUNCTION("""COMPUTED_VALUE"""),"")</f>
        <v/>
      </c>
      <c r="W8153" s="16" t="str">
        <f>IFERROR(__xludf.DUMMYFUNCTION("""COMPUTED_VALUE"""),"")</f>
        <v/>
      </c>
      <c r="X8153" s="16" t="str">
        <f>IFERROR(__xludf.DUMMYFUNCTION("""COMPUTED_VALUE"""),"")</f>
        <v/>
      </c>
      <c r="AC8153" s="16" t="str">
        <f>IFERROR(__xludf.DUMMYFUNCTION("""COMPUTED_VALUE"""),"")</f>
        <v/>
      </c>
    </row>
    <row r="8154">
      <c r="A8154" s="16" t="s">
        <v>87</v>
      </c>
      <c r="E8154" s="16" t="str">
        <f>IFERROR(__xludf.DUMMYFUNCTION("""COMPUTED_VALUE"""),"")</f>
        <v/>
      </c>
      <c r="G8154" s="18"/>
      <c r="H8154" s="16" t="s">
        <v>87</v>
      </c>
      <c r="I8154" s="16" t="s">
        <v>87</v>
      </c>
      <c r="J8154" s="19"/>
      <c r="L8154" s="16" t="str">
        <f>IFERROR(__xludf.DUMMYFUNCTION("""COMPUTED_VALUE"""),"")</f>
        <v/>
      </c>
      <c r="M8154" s="16" t="str">
        <f>IFERROR(__xludf.DUMMYFUNCTION("""COMPUTED_VALUE"""),"")</f>
        <v/>
      </c>
      <c r="U8154" s="16" t="s">
        <v>87</v>
      </c>
      <c r="V8154" s="16" t="str">
        <f>IFERROR(__xludf.DUMMYFUNCTION("""COMPUTED_VALUE"""),"")</f>
        <v/>
      </c>
      <c r="W8154" s="16" t="str">
        <f>IFERROR(__xludf.DUMMYFUNCTION("""COMPUTED_VALUE"""),"")</f>
        <v/>
      </c>
      <c r="X8154" s="16" t="str">
        <f>IFERROR(__xludf.DUMMYFUNCTION("""COMPUTED_VALUE"""),"")</f>
        <v/>
      </c>
      <c r="AC8154" s="16" t="str">
        <f>IFERROR(__xludf.DUMMYFUNCTION("""COMPUTED_VALUE"""),"")</f>
        <v/>
      </c>
    </row>
    <row r="8155">
      <c r="A8155" s="16" t="s">
        <v>87</v>
      </c>
      <c r="E8155" s="16" t="str">
        <f>IFERROR(__xludf.DUMMYFUNCTION("""COMPUTED_VALUE"""),"")</f>
        <v/>
      </c>
      <c r="G8155" s="18"/>
      <c r="H8155" s="16" t="s">
        <v>87</v>
      </c>
      <c r="I8155" s="16" t="s">
        <v>87</v>
      </c>
      <c r="J8155" s="19"/>
      <c r="L8155" s="16" t="str">
        <f>IFERROR(__xludf.DUMMYFUNCTION("""COMPUTED_VALUE"""),"")</f>
        <v/>
      </c>
      <c r="M8155" s="16" t="str">
        <f>IFERROR(__xludf.DUMMYFUNCTION("""COMPUTED_VALUE"""),"")</f>
        <v/>
      </c>
      <c r="U8155" s="16" t="s">
        <v>87</v>
      </c>
      <c r="V8155" s="16" t="str">
        <f>IFERROR(__xludf.DUMMYFUNCTION("""COMPUTED_VALUE"""),"")</f>
        <v/>
      </c>
      <c r="W8155" s="16" t="str">
        <f>IFERROR(__xludf.DUMMYFUNCTION("""COMPUTED_VALUE"""),"")</f>
        <v/>
      </c>
      <c r="X8155" s="16" t="str">
        <f>IFERROR(__xludf.DUMMYFUNCTION("""COMPUTED_VALUE"""),"")</f>
        <v/>
      </c>
      <c r="AC8155" s="16" t="str">
        <f>IFERROR(__xludf.DUMMYFUNCTION("""COMPUTED_VALUE"""),"")</f>
        <v/>
      </c>
    </row>
    <row r="8156">
      <c r="A8156" s="16" t="s">
        <v>87</v>
      </c>
      <c r="E8156" s="16" t="str">
        <f>IFERROR(__xludf.DUMMYFUNCTION("""COMPUTED_VALUE"""),"")</f>
        <v/>
      </c>
      <c r="G8156" s="18"/>
      <c r="H8156" s="16" t="s">
        <v>87</v>
      </c>
      <c r="I8156" s="16" t="s">
        <v>87</v>
      </c>
      <c r="J8156" s="19"/>
      <c r="L8156" s="16" t="str">
        <f>IFERROR(__xludf.DUMMYFUNCTION("""COMPUTED_VALUE"""),"")</f>
        <v/>
      </c>
      <c r="M8156" s="16" t="str">
        <f>IFERROR(__xludf.DUMMYFUNCTION("""COMPUTED_VALUE"""),"")</f>
        <v/>
      </c>
      <c r="U8156" s="16" t="s">
        <v>87</v>
      </c>
      <c r="V8156" s="16" t="str">
        <f>IFERROR(__xludf.DUMMYFUNCTION("""COMPUTED_VALUE"""),"")</f>
        <v/>
      </c>
      <c r="W8156" s="16" t="str">
        <f>IFERROR(__xludf.DUMMYFUNCTION("""COMPUTED_VALUE"""),"")</f>
        <v/>
      </c>
      <c r="X8156" s="16" t="str">
        <f>IFERROR(__xludf.DUMMYFUNCTION("""COMPUTED_VALUE"""),"")</f>
        <v/>
      </c>
      <c r="AC8156" s="16" t="str">
        <f>IFERROR(__xludf.DUMMYFUNCTION("""COMPUTED_VALUE"""),"")</f>
        <v/>
      </c>
    </row>
    <row r="8157">
      <c r="A8157" s="16" t="s">
        <v>87</v>
      </c>
      <c r="E8157" s="16" t="str">
        <f>IFERROR(__xludf.DUMMYFUNCTION("""COMPUTED_VALUE"""),"")</f>
        <v/>
      </c>
      <c r="G8157" s="18"/>
      <c r="H8157" s="16" t="s">
        <v>87</v>
      </c>
      <c r="I8157" s="16" t="s">
        <v>87</v>
      </c>
      <c r="J8157" s="19"/>
      <c r="L8157" s="16" t="str">
        <f>IFERROR(__xludf.DUMMYFUNCTION("""COMPUTED_VALUE"""),"")</f>
        <v/>
      </c>
      <c r="M8157" s="16" t="str">
        <f>IFERROR(__xludf.DUMMYFUNCTION("""COMPUTED_VALUE"""),"")</f>
        <v/>
      </c>
      <c r="U8157" s="16" t="s">
        <v>87</v>
      </c>
      <c r="V8157" s="16" t="str">
        <f>IFERROR(__xludf.DUMMYFUNCTION("""COMPUTED_VALUE"""),"")</f>
        <v/>
      </c>
      <c r="W8157" s="16" t="str">
        <f>IFERROR(__xludf.DUMMYFUNCTION("""COMPUTED_VALUE"""),"")</f>
        <v/>
      </c>
      <c r="X8157" s="16" t="str">
        <f>IFERROR(__xludf.DUMMYFUNCTION("""COMPUTED_VALUE"""),"")</f>
        <v/>
      </c>
      <c r="AC8157" s="16" t="str">
        <f>IFERROR(__xludf.DUMMYFUNCTION("""COMPUTED_VALUE"""),"")</f>
        <v/>
      </c>
    </row>
    <row r="8158">
      <c r="A8158" s="16" t="s">
        <v>87</v>
      </c>
      <c r="E8158" s="16" t="str">
        <f>IFERROR(__xludf.DUMMYFUNCTION("""COMPUTED_VALUE"""),"")</f>
        <v/>
      </c>
      <c r="G8158" s="18"/>
      <c r="H8158" s="16" t="s">
        <v>87</v>
      </c>
      <c r="I8158" s="16" t="s">
        <v>87</v>
      </c>
      <c r="J8158" s="19"/>
      <c r="L8158" s="16" t="str">
        <f>IFERROR(__xludf.DUMMYFUNCTION("""COMPUTED_VALUE"""),"")</f>
        <v/>
      </c>
      <c r="M8158" s="16" t="str">
        <f>IFERROR(__xludf.DUMMYFUNCTION("""COMPUTED_VALUE"""),"")</f>
        <v/>
      </c>
      <c r="U8158" s="16" t="s">
        <v>87</v>
      </c>
      <c r="V8158" s="16" t="str">
        <f>IFERROR(__xludf.DUMMYFUNCTION("""COMPUTED_VALUE"""),"")</f>
        <v/>
      </c>
      <c r="W8158" s="16" t="str">
        <f>IFERROR(__xludf.DUMMYFUNCTION("""COMPUTED_VALUE"""),"")</f>
        <v/>
      </c>
      <c r="X8158" s="16" t="str">
        <f>IFERROR(__xludf.DUMMYFUNCTION("""COMPUTED_VALUE"""),"")</f>
        <v/>
      </c>
      <c r="AC8158" s="16" t="str">
        <f>IFERROR(__xludf.DUMMYFUNCTION("""COMPUTED_VALUE"""),"")</f>
        <v/>
      </c>
    </row>
    <row r="8159">
      <c r="A8159" s="16" t="s">
        <v>87</v>
      </c>
      <c r="E8159" s="16" t="str">
        <f>IFERROR(__xludf.DUMMYFUNCTION("""COMPUTED_VALUE"""),"")</f>
        <v/>
      </c>
      <c r="G8159" s="18"/>
      <c r="H8159" s="16" t="s">
        <v>87</v>
      </c>
      <c r="I8159" s="16" t="s">
        <v>87</v>
      </c>
      <c r="J8159" s="19"/>
      <c r="L8159" s="16" t="str">
        <f>IFERROR(__xludf.DUMMYFUNCTION("""COMPUTED_VALUE"""),"")</f>
        <v/>
      </c>
      <c r="M8159" s="16" t="str">
        <f>IFERROR(__xludf.DUMMYFUNCTION("""COMPUTED_VALUE"""),"")</f>
        <v/>
      </c>
      <c r="U8159" s="16" t="s">
        <v>87</v>
      </c>
      <c r="V8159" s="16" t="str">
        <f>IFERROR(__xludf.DUMMYFUNCTION("""COMPUTED_VALUE"""),"")</f>
        <v/>
      </c>
      <c r="W8159" s="16" t="str">
        <f>IFERROR(__xludf.DUMMYFUNCTION("""COMPUTED_VALUE"""),"")</f>
        <v/>
      </c>
      <c r="X8159" s="16" t="str">
        <f>IFERROR(__xludf.DUMMYFUNCTION("""COMPUTED_VALUE"""),"")</f>
        <v/>
      </c>
      <c r="AC8159" s="16" t="str">
        <f>IFERROR(__xludf.DUMMYFUNCTION("""COMPUTED_VALUE"""),"")</f>
        <v/>
      </c>
    </row>
    <row r="8160">
      <c r="A8160" s="16" t="s">
        <v>87</v>
      </c>
      <c r="E8160" s="16" t="str">
        <f>IFERROR(__xludf.DUMMYFUNCTION("""COMPUTED_VALUE"""),"")</f>
        <v/>
      </c>
      <c r="G8160" s="18"/>
      <c r="H8160" s="16" t="s">
        <v>87</v>
      </c>
      <c r="I8160" s="16" t="s">
        <v>87</v>
      </c>
      <c r="J8160" s="19"/>
      <c r="L8160" s="16" t="str">
        <f>IFERROR(__xludf.DUMMYFUNCTION("""COMPUTED_VALUE"""),"")</f>
        <v/>
      </c>
      <c r="M8160" s="16" t="str">
        <f>IFERROR(__xludf.DUMMYFUNCTION("""COMPUTED_VALUE"""),"")</f>
        <v/>
      </c>
      <c r="U8160" s="16" t="s">
        <v>87</v>
      </c>
      <c r="V8160" s="16" t="str">
        <f>IFERROR(__xludf.DUMMYFUNCTION("""COMPUTED_VALUE"""),"")</f>
        <v/>
      </c>
      <c r="W8160" s="16" t="str">
        <f>IFERROR(__xludf.DUMMYFUNCTION("""COMPUTED_VALUE"""),"")</f>
        <v/>
      </c>
      <c r="X8160" s="16" t="str">
        <f>IFERROR(__xludf.DUMMYFUNCTION("""COMPUTED_VALUE"""),"")</f>
        <v/>
      </c>
      <c r="AC8160" s="16" t="str">
        <f>IFERROR(__xludf.DUMMYFUNCTION("""COMPUTED_VALUE"""),"")</f>
        <v/>
      </c>
    </row>
    <row r="8161">
      <c r="A8161" s="16" t="s">
        <v>87</v>
      </c>
      <c r="E8161" s="16" t="str">
        <f>IFERROR(__xludf.DUMMYFUNCTION("""COMPUTED_VALUE"""),"")</f>
        <v/>
      </c>
      <c r="G8161" s="18"/>
      <c r="H8161" s="16" t="s">
        <v>87</v>
      </c>
      <c r="I8161" s="16" t="s">
        <v>87</v>
      </c>
      <c r="J8161" s="19"/>
      <c r="L8161" s="16" t="str">
        <f>IFERROR(__xludf.DUMMYFUNCTION("""COMPUTED_VALUE"""),"")</f>
        <v/>
      </c>
      <c r="M8161" s="16" t="str">
        <f>IFERROR(__xludf.DUMMYFUNCTION("""COMPUTED_VALUE"""),"")</f>
        <v/>
      </c>
      <c r="U8161" s="16" t="s">
        <v>87</v>
      </c>
      <c r="V8161" s="16" t="str">
        <f>IFERROR(__xludf.DUMMYFUNCTION("""COMPUTED_VALUE"""),"")</f>
        <v/>
      </c>
      <c r="W8161" s="16" t="str">
        <f>IFERROR(__xludf.DUMMYFUNCTION("""COMPUTED_VALUE"""),"")</f>
        <v/>
      </c>
      <c r="X8161" s="16" t="str">
        <f>IFERROR(__xludf.DUMMYFUNCTION("""COMPUTED_VALUE"""),"")</f>
        <v/>
      </c>
      <c r="AC8161" s="16" t="str">
        <f>IFERROR(__xludf.DUMMYFUNCTION("""COMPUTED_VALUE"""),"")</f>
        <v/>
      </c>
    </row>
    <row r="8162">
      <c r="A8162" s="16" t="s">
        <v>87</v>
      </c>
      <c r="E8162" s="16" t="str">
        <f>IFERROR(__xludf.DUMMYFUNCTION("""COMPUTED_VALUE"""),"")</f>
        <v/>
      </c>
      <c r="G8162" s="18"/>
      <c r="H8162" s="16" t="s">
        <v>87</v>
      </c>
      <c r="I8162" s="16" t="s">
        <v>87</v>
      </c>
      <c r="J8162" s="19"/>
      <c r="L8162" s="16" t="str">
        <f>IFERROR(__xludf.DUMMYFUNCTION("""COMPUTED_VALUE"""),"")</f>
        <v/>
      </c>
      <c r="M8162" s="16" t="str">
        <f>IFERROR(__xludf.DUMMYFUNCTION("""COMPUTED_VALUE"""),"")</f>
        <v/>
      </c>
      <c r="U8162" s="16" t="s">
        <v>87</v>
      </c>
      <c r="V8162" s="16" t="str">
        <f>IFERROR(__xludf.DUMMYFUNCTION("""COMPUTED_VALUE"""),"")</f>
        <v/>
      </c>
      <c r="W8162" s="16" t="str">
        <f>IFERROR(__xludf.DUMMYFUNCTION("""COMPUTED_VALUE"""),"")</f>
        <v/>
      </c>
      <c r="X8162" s="16" t="str">
        <f>IFERROR(__xludf.DUMMYFUNCTION("""COMPUTED_VALUE"""),"")</f>
        <v/>
      </c>
      <c r="AC8162" s="16" t="str">
        <f>IFERROR(__xludf.DUMMYFUNCTION("""COMPUTED_VALUE"""),"")</f>
        <v/>
      </c>
    </row>
    <row r="8163">
      <c r="A8163" s="16" t="s">
        <v>87</v>
      </c>
      <c r="E8163" s="16" t="str">
        <f>IFERROR(__xludf.DUMMYFUNCTION("""COMPUTED_VALUE"""),"")</f>
        <v/>
      </c>
      <c r="G8163" s="18"/>
      <c r="H8163" s="16" t="s">
        <v>87</v>
      </c>
      <c r="I8163" s="16" t="s">
        <v>87</v>
      </c>
      <c r="J8163" s="19"/>
      <c r="L8163" s="16" t="str">
        <f>IFERROR(__xludf.DUMMYFUNCTION("""COMPUTED_VALUE"""),"")</f>
        <v/>
      </c>
      <c r="M8163" s="16" t="str">
        <f>IFERROR(__xludf.DUMMYFUNCTION("""COMPUTED_VALUE"""),"")</f>
        <v/>
      </c>
      <c r="U8163" s="16" t="s">
        <v>87</v>
      </c>
      <c r="V8163" s="16" t="str">
        <f>IFERROR(__xludf.DUMMYFUNCTION("""COMPUTED_VALUE"""),"")</f>
        <v/>
      </c>
      <c r="W8163" s="16" t="str">
        <f>IFERROR(__xludf.DUMMYFUNCTION("""COMPUTED_VALUE"""),"")</f>
        <v/>
      </c>
      <c r="X8163" s="16" t="str">
        <f>IFERROR(__xludf.DUMMYFUNCTION("""COMPUTED_VALUE"""),"")</f>
        <v/>
      </c>
      <c r="AC8163" s="16" t="str">
        <f>IFERROR(__xludf.DUMMYFUNCTION("""COMPUTED_VALUE"""),"")</f>
        <v/>
      </c>
    </row>
    <row r="8164">
      <c r="A8164" s="16" t="s">
        <v>87</v>
      </c>
      <c r="E8164" s="16" t="str">
        <f>IFERROR(__xludf.DUMMYFUNCTION("""COMPUTED_VALUE"""),"")</f>
        <v/>
      </c>
      <c r="G8164" s="18"/>
      <c r="H8164" s="16" t="s">
        <v>87</v>
      </c>
      <c r="I8164" s="16" t="s">
        <v>87</v>
      </c>
      <c r="J8164" s="19"/>
      <c r="L8164" s="16" t="str">
        <f>IFERROR(__xludf.DUMMYFUNCTION("""COMPUTED_VALUE"""),"")</f>
        <v/>
      </c>
      <c r="M8164" s="16" t="str">
        <f>IFERROR(__xludf.DUMMYFUNCTION("""COMPUTED_VALUE"""),"")</f>
        <v/>
      </c>
      <c r="U8164" s="16" t="s">
        <v>87</v>
      </c>
      <c r="V8164" s="16" t="str">
        <f>IFERROR(__xludf.DUMMYFUNCTION("""COMPUTED_VALUE"""),"")</f>
        <v/>
      </c>
      <c r="W8164" s="16" t="str">
        <f>IFERROR(__xludf.DUMMYFUNCTION("""COMPUTED_VALUE"""),"")</f>
        <v/>
      </c>
      <c r="X8164" s="16" t="str">
        <f>IFERROR(__xludf.DUMMYFUNCTION("""COMPUTED_VALUE"""),"")</f>
        <v/>
      </c>
      <c r="AC8164" s="16" t="str">
        <f>IFERROR(__xludf.DUMMYFUNCTION("""COMPUTED_VALUE"""),"")</f>
        <v/>
      </c>
    </row>
    <row r="8165">
      <c r="A8165" s="16" t="s">
        <v>87</v>
      </c>
      <c r="E8165" s="16" t="str">
        <f>IFERROR(__xludf.DUMMYFUNCTION("""COMPUTED_VALUE"""),"")</f>
        <v/>
      </c>
      <c r="G8165" s="18"/>
      <c r="H8165" s="16" t="s">
        <v>87</v>
      </c>
      <c r="I8165" s="16" t="s">
        <v>87</v>
      </c>
      <c r="J8165" s="19"/>
      <c r="L8165" s="16" t="str">
        <f>IFERROR(__xludf.DUMMYFUNCTION("""COMPUTED_VALUE"""),"")</f>
        <v/>
      </c>
      <c r="M8165" s="16" t="str">
        <f>IFERROR(__xludf.DUMMYFUNCTION("""COMPUTED_VALUE"""),"")</f>
        <v/>
      </c>
      <c r="U8165" s="16" t="s">
        <v>87</v>
      </c>
      <c r="V8165" s="16" t="str">
        <f>IFERROR(__xludf.DUMMYFUNCTION("""COMPUTED_VALUE"""),"")</f>
        <v/>
      </c>
      <c r="W8165" s="16" t="str">
        <f>IFERROR(__xludf.DUMMYFUNCTION("""COMPUTED_VALUE"""),"")</f>
        <v/>
      </c>
      <c r="X8165" s="16" t="str">
        <f>IFERROR(__xludf.DUMMYFUNCTION("""COMPUTED_VALUE"""),"")</f>
        <v/>
      </c>
      <c r="AC8165" s="16" t="str">
        <f>IFERROR(__xludf.DUMMYFUNCTION("""COMPUTED_VALUE"""),"")</f>
        <v/>
      </c>
    </row>
    <row r="8166">
      <c r="A8166" s="16" t="s">
        <v>87</v>
      </c>
      <c r="E8166" s="16" t="str">
        <f>IFERROR(__xludf.DUMMYFUNCTION("""COMPUTED_VALUE"""),"")</f>
        <v/>
      </c>
      <c r="G8166" s="18"/>
      <c r="H8166" s="16" t="s">
        <v>87</v>
      </c>
      <c r="I8166" s="16" t="s">
        <v>87</v>
      </c>
      <c r="J8166" s="19"/>
      <c r="L8166" s="16" t="str">
        <f>IFERROR(__xludf.DUMMYFUNCTION("""COMPUTED_VALUE"""),"")</f>
        <v/>
      </c>
      <c r="M8166" s="16" t="str">
        <f>IFERROR(__xludf.DUMMYFUNCTION("""COMPUTED_VALUE"""),"")</f>
        <v/>
      </c>
      <c r="U8166" s="16" t="s">
        <v>87</v>
      </c>
      <c r="V8166" s="16" t="str">
        <f>IFERROR(__xludf.DUMMYFUNCTION("""COMPUTED_VALUE"""),"")</f>
        <v/>
      </c>
      <c r="W8166" s="16" t="str">
        <f>IFERROR(__xludf.DUMMYFUNCTION("""COMPUTED_VALUE"""),"")</f>
        <v/>
      </c>
      <c r="X8166" s="16" t="str">
        <f>IFERROR(__xludf.DUMMYFUNCTION("""COMPUTED_VALUE"""),"")</f>
        <v/>
      </c>
      <c r="AC8166" s="16" t="str">
        <f>IFERROR(__xludf.DUMMYFUNCTION("""COMPUTED_VALUE"""),"")</f>
        <v/>
      </c>
    </row>
    <row r="8167">
      <c r="A8167" s="16" t="s">
        <v>87</v>
      </c>
      <c r="E8167" s="16" t="str">
        <f>IFERROR(__xludf.DUMMYFUNCTION("""COMPUTED_VALUE"""),"")</f>
        <v/>
      </c>
      <c r="G8167" s="18"/>
      <c r="H8167" s="16" t="s">
        <v>87</v>
      </c>
      <c r="I8167" s="16" t="s">
        <v>87</v>
      </c>
      <c r="J8167" s="19"/>
      <c r="L8167" s="16" t="str">
        <f>IFERROR(__xludf.DUMMYFUNCTION("""COMPUTED_VALUE"""),"")</f>
        <v/>
      </c>
      <c r="M8167" s="16" t="str">
        <f>IFERROR(__xludf.DUMMYFUNCTION("""COMPUTED_VALUE"""),"")</f>
        <v/>
      </c>
      <c r="U8167" s="16" t="s">
        <v>87</v>
      </c>
      <c r="V8167" s="16" t="str">
        <f>IFERROR(__xludf.DUMMYFUNCTION("""COMPUTED_VALUE"""),"")</f>
        <v/>
      </c>
      <c r="W8167" s="16" t="str">
        <f>IFERROR(__xludf.DUMMYFUNCTION("""COMPUTED_VALUE"""),"")</f>
        <v/>
      </c>
      <c r="X8167" s="16" t="str">
        <f>IFERROR(__xludf.DUMMYFUNCTION("""COMPUTED_VALUE"""),"")</f>
        <v/>
      </c>
      <c r="AC8167" s="16" t="str">
        <f>IFERROR(__xludf.DUMMYFUNCTION("""COMPUTED_VALUE"""),"")</f>
        <v/>
      </c>
    </row>
    <row r="8168">
      <c r="A8168" s="16" t="s">
        <v>87</v>
      </c>
      <c r="E8168" s="16" t="str">
        <f>IFERROR(__xludf.DUMMYFUNCTION("""COMPUTED_VALUE"""),"")</f>
        <v/>
      </c>
      <c r="G8168" s="18"/>
      <c r="H8168" s="16" t="s">
        <v>87</v>
      </c>
      <c r="I8168" s="16" t="s">
        <v>87</v>
      </c>
      <c r="J8168" s="19"/>
      <c r="L8168" s="16" t="str">
        <f>IFERROR(__xludf.DUMMYFUNCTION("""COMPUTED_VALUE"""),"")</f>
        <v/>
      </c>
      <c r="M8168" s="16" t="str">
        <f>IFERROR(__xludf.DUMMYFUNCTION("""COMPUTED_VALUE"""),"")</f>
        <v/>
      </c>
      <c r="U8168" s="16" t="s">
        <v>87</v>
      </c>
      <c r="V8168" s="16" t="str">
        <f>IFERROR(__xludf.DUMMYFUNCTION("""COMPUTED_VALUE"""),"")</f>
        <v/>
      </c>
      <c r="W8168" s="16" t="str">
        <f>IFERROR(__xludf.DUMMYFUNCTION("""COMPUTED_VALUE"""),"")</f>
        <v/>
      </c>
      <c r="X8168" s="16" t="str">
        <f>IFERROR(__xludf.DUMMYFUNCTION("""COMPUTED_VALUE"""),"")</f>
        <v/>
      </c>
      <c r="AC8168" s="16" t="str">
        <f>IFERROR(__xludf.DUMMYFUNCTION("""COMPUTED_VALUE"""),"")</f>
        <v/>
      </c>
    </row>
    <row r="8169">
      <c r="A8169" s="16" t="s">
        <v>87</v>
      </c>
      <c r="E8169" s="16" t="str">
        <f>IFERROR(__xludf.DUMMYFUNCTION("""COMPUTED_VALUE"""),"")</f>
        <v/>
      </c>
      <c r="G8169" s="18"/>
      <c r="H8169" s="16" t="s">
        <v>87</v>
      </c>
      <c r="I8169" s="16" t="s">
        <v>87</v>
      </c>
      <c r="J8169" s="19"/>
      <c r="L8169" s="16" t="str">
        <f>IFERROR(__xludf.DUMMYFUNCTION("""COMPUTED_VALUE"""),"")</f>
        <v/>
      </c>
      <c r="M8169" s="16" t="str">
        <f>IFERROR(__xludf.DUMMYFUNCTION("""COMPUTED_VALUE"""),"")</f>
        <v/>
      </c>
      <c r="U8169" s="16" t="s">
        <v>87</v>
      </c>
      <c r="V8169" s="16" t="str">
        <f>IFERROR(__xludf.DUMMYFUNCTION("""COMPUTED_VALUE"""),"")</f>
        <v/>
      </c>
      <c r="W8169" s="16" t="str">
        <f>IFERROR(__xludf.DUMMYFUNCTION("""COMPUTED_VALUE"""),"")</f>
        <v/>
      </c>
      <c r="X8169" s="16" t="str">
        <f>IFERROR(__xludf.DUMMYFUNCTION("""COMPUTED_VALUE"""),"")</f>
        <v/>
      </c>
      <c r="AC8169" s="16" t="str">
        <f>IFERROR(__xludf.DUMMYFUNCTION("""COMPUTED_VALUE"""),"")</f>
        <v/>
      </c>
    </row>
    <row r="8170">
      <c r="A8170" s="16" t="s">
        <v>87</v>
      </c>
      <c r="E8170" s="16" t="str">
        <f>IFERROR(__xludf.DUMMYFUNCTION("""COMPUTED_VALUE"""),"")</f>
        <v/>
      </c>
      <c r="G8170" s="18"/>
      <c r="H8170" s="16" t="s">
        <v>87</v>
      </c>
      <c r="I8170" s="16" t="s">
        <v>87</v>
      </c>
      <c r="J8170" s="19"/>
      <c r="L8170" s="16" t="str">
        <f>IFERROR(__xludf.DUMMYFUNCTION("""COMPUTED_VALUE"""),"")</f>
        <v/>
      </c>
      <c r="M8170" s="16" t="str">
        <f>IFERROR(__xludf.DUMMYFUNCTION("""COMPUTED_VALUE"""),"")</f>
        <v/>
      </c>
      <c r="U8170" s="16" t="s">
        <v>87</v>
      </c>
      <c r="V8170" s="16" t="str">
        <f>IFERROR(__xludf.DUMMYFUNCTION("""COMPUTED_VALUE"""),"")</f>
        <v/>
      </c>
      <c r="W8170" s="16" t="str">
        <f>IFERROR(__xludf.DUMMYFUNCTION("""COMPUTED_VALUE"""),"")</f>
        <v/>
      </c>
      <c r="X8170" s="16" t="str">
        <f>IFERROR(__xludf.DUMMYFUNCTION("""COMPUTED_VALUE"""),"")</f>
        <v/>
      </c>
      <c r="AC8170" s="16" t="str">
        <f>IFERROR(__xludf.DUMMYFUNCTION("""COMPUTED_VALUE"""),"")</f>
        <v/>
      </c>
    </row>
    <row r="8171">
      <c r="A8171" s="16" t="s">
        <v>87</v>
      </c>
      <c r="E8171" s="16" t="str">
        <f>IFERROR(__xludf.DUMMYFUNCTION("""COMPUTED_VALUE"""),"")</f>
        <v/>
      </c>
      <c r="G8171" s="18"/>
      <c r="H8171" s="16" t="s">
        <v>87</v>
      </c>
      <c r="I8171" s="16" t="s">
        <v>87</v>
      </c>
      <c r="J8171" s="19"/>
      <c r="L8171" s="16" t="str">
        <f>IFERROR(__xludf.DUMMYFUNCTION("""COMPUTED_VALUE"""),"")</f>
        <v/>
      </c>
      <c r="M8171" s="16" t="str">
        <f>IFERROR(__xludf.DUMMYFUNCTION("""COMPUTED_VALUE"""),"")</f>
        <v/>
      </c>
      <c r="U8171" s="16" t="s">
        <v>87</v>
      </c>
      <c r="V8171" s="16" t="str">
        <f>IFERROR(__xludf.DUMMYFUNCTION("""COMPUTED_VALUE"""),"")</f>
        <v/>
      </c>
      <c r="W8171" s="16" t="str">
        <f>IFERROR(__xludf.DUMMYFUNCTION("""COMPUTED_VALUE"""),"")</f>
        <v/>
      </c>
      <c r="X8171" s="16" t="str">
        <f>IFERROR(__xludf.DUMMYFUNCTION("""COMPUTED_VALUE"""),"")</f>
        <v/>
      </c>
      <c r="AC8171" s="16" t="str">
        <f>IFERROR(__xludf.DUMMYFUNCTION("""COMPUTED_VALUE"""),"")</f>
        <v/>
      </c>
    </row>
    <row r="8172">
      <c r="A8172" s="16" t="s">
        <v>87</v>
      </c>
      <c r="E8172" s="16" t="str">
        <f>IFERROR(__xludf.DUMMYFUNCTION("""COMPUTED_VALUE"""),"")</f>
        <v/>
      </c>
      <c r="G8172" s="18"/>
      <c r="H8172" s="16" t="s">
        <v>87</v>
      </c>
      <c r="I8172" s="16" t="s">
        <v>87</v>
      </c>
      <c r="J8172" s="19"/>
      <c r="L8172" s="16" t="str">
        <f>IFERROR(__xludf.DUMMYFUNCTION("""COMPUTED_VALUE"""),"")</f>
        <v/>
      </c>
      <c r="M8172" s="16" t="str">
        <f>IFERROR(__xludf.DUMMYFUNCTION("""COMPUTED_VALUE"""),"")</f>
        <v/>
      </c>
      <c r="U8172" s="16" t="s">
        <v>87</v>
      </c>
      <c r="V8172" s="16" t="str">
        <f>IFERROR(__xludf.DUMMYFUNCTION("""COMPUTED_VALUE"""),"")</f>
        <v/>
      </c>
      <c r="W8172" s="16" t="str">
        <f>IFERROR(__xludf.DUMMYFUNCTION("""COMPUTED_VALUE"""),"")</f>
        <v/>
      </c>
      <c r="X8172" s="16" t="str">
        <f>IFERROR(__xludf.DUMMYFUNCTION("""COMPUTED_VALUE"""),"")</f>
        <v/>
      </c>
      <c r="AC8172" s="16" t="str">
        <f>IFERROR(__xludf.DUMMYFUNCTION("""COMPUTED_VALUE"""),"")</f>
        <v/>
      </c>
    </row>
    <row r="8173">
      <c r="A8173" s="16" t="s">
        <v>87</v>
      </c>
      <c r="E8173" s="16" t="str">
        <f>IFERROR(__xludf.DUMMYFUNCTION("""COMPUTED_VALUE"""),"")</f>
        <v/>
      </c>
      <c r="G8173" s="18"/>
      <c r="H8173" s="16" t="s">
        <v>87</v>
      </c>
      <c r="I8173" s="16" t="s">
        <v>87</v>
      </c>
      <c r="J8173" s="19"/>
      <c r="L8173" s="16" t="str">
        <f>IFERROR(__xludf.DUMMYFUNCTION("""COMPUTED_VALUE"""),"")</f>
        <v/>
      </c>
      <c r="M8173" s="16" t="str">
        <f>IFERROR(__xludf.DUMMYFUNCTION("""COMPUTED_VALUE"""),"")</f>
        <v/>
      </c>
      <c r="U8173" s="16" t="s">
        <v>87</v>
      </c>
      <c r="V8173" s="16" t="str">
        <f>IFERROR(__xludf.DUMMYFUNCTION("""COMPUTED_VALUE"""),"")</f>
        <v/>
      </c>
      <c r="W8173" s="16" t="str">
        <f>IFERROR(__xludf.DUMMYFUNCTION("""COMPUTED_VALUE"""),"")</f>
        <v/>
      </c>
      <c r="X8173" s="16" t="str">
        <f>IFERROR(__xludf.DUMMYFUNCTION("""COMPUTED_VALUE"""),"")</f>
        <v/>
      </c>
      <c r="AC8173" s="16" t="str">
        <f>IFERROR(__xludf.DUMMYFUNCTION("""COMPUTED_VALUE"""),"")</f>
        <v/>
      </c>
    </row>
    <row r="8174">
      <c r="A8174" s="16" t="s">
        <v>87</v>
      </c>
      <c r="E8174" s="16" t="str">
        <f>IFERROR(__xludf.DUMMYFUNCTION("""COMPUTED_VALUE"""),"")</f>
        <v/>
      </c>
      <c r="G8174" s="18"/>
      <c r="H8174" s="16" t="s">
        <v>87</v>
      </c>
      <c r="I8174" s="16" t="s">
        <v>87</v>
      </c>
      <c r="J8174" s="19"/>
      <c r="L8174" s="16" t="str">
        <f>IFERROR(__xludf.DUMMYFUNCTION("""COMPUTED_VALUE"""),"")</f>
        <v/>
      </c>
      <c r="M8174" s="16" t="str">
        <f>IFERROR(__xludf.DUMMYFUNCTION("""COMPUTED_VALUE"""),"")</f>
        <v/>
      </c>
      <c r="U8174" s="16" t="s">
        <v>87</v>
      </c>
      <c r="V8174" s="16" t="str">
        <f>IFERROR(__xludf.DUMMYFUNCTION("""COMPUTED_VALUE"""),"")</f>
        <v/>
      </c>
      <c r="W8174" s="16" t="str">
        <f>IFERROR(__xludf.DUMMYFUNCTION("""COMPUTED_VALUE"""),"")</f>
        <v/>
      </c>
      <c r="X8174" s="16" t="str">
        <f>IFERROR(__xludf.DUMMYFUNCTION("""COMPUTED_VALUE"""),"")</f>
        <v/>
      </c>
      <c r="AC8174" s="16" t="str">
        <f>IFERROR(__xludf.DUMMYFUNCTION("""COMPUTED_VALUE"""),"")</f>
        <v/>
      </c>
    </row>
    <row r="8175">
      <c r="A8175" s="16" t="s">
        <v>87</v>
      </c>
      <c r="E8175" s="16" t="str">
        <f>IFERROR(__xludf.DUMMYFUNCTION("""COMPUTED_VALUE"""),"")</f>
        <v/>
      </c>
      <c r="G8175" s="18"/>
      <c r="H8175" s="16" t="s">
        <v>87</v>
      </c>
      <c r="I8175" s="16" t="s">
        <v>87</v>
      </c>
      <c r="J8175" s="19"/>
      <c r="L8175" s="16" t="str">
        <f>IFERROR(__xludf.DUMMYFUNCTION("""COMPUTED_VALUE"""),"")</f>
        <v/>
      </c>
      <c r="M8175" s="16" t="str">
        <f>IFERROR(__xludf.DUMMYFUNCTION("""COMPUTED_VALUE"""),"")</f>
        <v/>
      </c>
      <c r="U8175" s="16" t="s">
        <v>87</v>
      </c>
      <c r="V8175" s="16" t="str">
        <f>IFERROR(__xludf.DUMMYFUNCTION("""COMPUTED_VALUE"""),"")</f>
        <v/>
      </c>
      <c r="W8175" s="16" t="str">
        <f>IFERROR(__xludf.DUMMYFUNCTION("""COMPUTED_VALUE"""),"")</f>
        <v/>
      </c>
      <c r="X8175" s="16" t="str">
        <f>IFERROR(__xludf.DUMMYFUNCTION("""COMPUTED_VALUE"""),"")</f>
        <v/>
      </c>
      <c r="AC8175" s="16" t="str">
        <f>IFERROR(__xludf.DUMMYFUNCTION("""COMPUTED_VALUE"""),"")</f>
        <v/>
      </c>
    </row>
    <row r="8176">
      <c r="A8176" s="16" t="s">
        <v>87</v>
      </c>
      <c r="E8176" s="16" t="str">
        <f>IFERROR(__xludf.DUMMYFUNCTION("""COMPUTED_VALUE"""),"")</f>
        <v/>
      </c>
      <c r="G8176" s="18"/>
      <c r="H8176" s="16" t="s">
        <v>87</v>
      </c>
      <c r="I8176" s="16" t="s">
        <v>87</v>
      </c>
      <c r="J8176" s="19"/>
      <c r="L8176" s="16" t="str">
        <f>IFERROR(__xludf.DUMMYFUNCTION("""COMPUTED_VALUE"""),"")</f>
        <v/>
      </c>
      <c r="M8176" s="16" t="str">
        <f>IFERROR(__xludf.DUMMYFUNCTION("""COMPUTED_VALUE"""),"")</f>
        <v/>
      </c>
      <c r="U8176" s="16" t="s">
        <v>87</v>
      </c>
      <c r="V8176" s="16" t="str">
        <f>IFERROR(__xludf.DUMMYFUNCTION("""COMPUTED_VALUE"""),"")</f>
        <v/>
      </c>
      <c r="W8176" s="16" t="str">
        <f>IFERROR(__xludf.DUMMYFUNCTION("""COMPUTED_VALUE"""),"")</f>
        <v/>
      </c>
      <c r="X8176" s="16" t="str">
        <f>IFERROR(__xludf.DUMMYFUNCTION("""COMPUTED_VALUE"""),"")</f>
        <v/>
      </c>
      <c r="AC8176" s="16" t="str">
        <f>IFERROR(__xludf.DUMMYFUNCTION("""COMPUTED_VALUE"""),"")</f>
        <v/>
      </c>
    </row>
    <row r="8177">
      <c r="A8177" s="16" t="s">
        <v>87</v>
      </c>
      <c r="E8177" s="16" t="str">
        <f>IFERROR(__xludf.DUMMYFUNCTION("""COMPUTED_VALUE"""),"")</f>
        <v/>
      </c>
      <c r="G8177" s="18"/>
      <c r="H8177" s="16" t="s">
        <v>87</v>
      </c>
      <c r="I8177" s="16" t="s">
        <v>87</v>
      </c>
      <c r="J8177" s="19"/>
      <c r="L8177" s="16" t="str">
        <f>IFERROR(__xludf.DUMMYFUNCTION("""COMPUTED_VALUE"""),"")</f>
        <v/>
      </c>
      <c r="M8177" s="16" t="str">
        <f>IFERROR(__xludf.DUMMYFUNCTION("""COMPUTED_VALUE"""),"")</f>
        <v/>
      </c>
      <c r="U8177" s="16" t="s">
        <v>87</v>
      </c>
      <c r="V8177" s="16" t="str">
        <f>IFERROR(__xludf.DUMMYFUNCTION("""COMPUTED_VALUE"""),"")</f>
        <v/>
      </c>
      <c r="W8177" s="16" t="str">
        <f>IFERROR(__xludf.DUMMYFUNCTION("""COMPUTED_VALUE"""),"")</f>
        <v/>
      </c>
      <c r="X8177" s="16" t="str">
        <f>IFERROR(__xludf.DUMMYFUNCTION("""COMPUTED_VALUE"""),"")</f>
        <v/>
      </c>
      <c r="AC8177" s="16" t="str">
        <f>IFERROR(__xludf.DUMMYFUNCTION("""COMPUTED_VALUE"""),"")</f>
        <v/>
      </c>
    </row>
    <row r="8178">
      <c r="A8178" s="16" t="s">
        <v>87</v>
      </c>
      <c r="E8178" s="16" t="str">
        <f>IFERROR(__xludf.DUMMYFUNCTION("""COMPUTED_VALUE"""),"")</f>
        <v/>
      </c>
      <c r="G8178" s="18"/>
      <c r="H8178" s="16" t="s">
        <v>87</v>
      </c>
      <c r="I8178" s="16" t="s">
        <v>87</v>
      </c>
      <c r="J8178" s="19"/>
      <c r="L8178" s="16" t="str">
        <f>IFERROR(__xludf.DUMMYFUNCTION("""COMPUTED_VALUE"""),"")</f>
        <v/>
      </c>
      <c r="M8178" s="16" t="str">
        <f>IFERROR(__xludf.DUMMYFUNCTION("""COMPUTED_VALUE"""),"")</f>
        <v/>
      </c>
      <c r="U8178" s="16" t="s">
        <v>87</v>
      </c>
      <c r="V8178" s="16" t="str">
        <f>IFERROR(__xludf.DUMMYFUNCTION("""COMPUTED_VALUE"""),"")</f>
        <v/>
      </c>
      <c r="W8178" s="16" t="str">
        <f>IFERROR(__xludf.DUMMYFUNCTION("""COMPUTED_VALUE"""),"")</f>
        <v/>
      </c>
      <c r="X8178" s="16" t="str">
        <f>IFERROR(__xludf.DUMMYFUNCTION("""COMPUTED_VALUE"""),"")</f>
        <v/>
      </c>
      <c r="AC8178" s="16" t="str">
        <f>IFERROR(__xludf.DUMMYFUNCTION("""COMPUTED_VALUE"""),"")</f>
        <v/>
      </c>
    </row>
    <row r="8179">
      <c r="A8179" s="16" t="s">
        <v>87</v>
      </c>
      <c r="E8179" s="16" t="str">
        <f>IFERROR(__xludf.DUMMYFUNCTION("""COMPUTED_VALUE"""),"")</f>
        <v/>
      </c>
      <c r="G8179" s="18"/>
      <c r="H8179" s="16" t="s">
        <v>87</v>
      </c>
      <c r="I8179" s="16" t="s">
        <v>87</v>
      </c>
      <c r="J8179" s="19"/>
      <c r="L8179" s="16" t="str">
        <f>IFERROR(__xludf.DUMMYFUNCTION("""COMPUTED_VALUE"""),"")</f>
        <v/>
      </c>
      <c r="M8179" s="16" t="str">
        <f>IFERROR(__xludf.DUMMYFUNCTION("""COMPUTED_VALUE"""),"")</f>
        <v/>
      </c>
      <c r="U8179" s="16" t="s">
        <v>87</v>
      </c>
      <c r="V8179" s="16" t="str">
        <f>IFERROR(__xludf.DUMMYFUNCTION("""COMPUTED_VALUE"""),"")</f>
        <v/>
      </c>
      <c r="W8179" s="16" t="str">
        <f>IFERROR(__xludf.DUMMYFUNCTION("""COMPUTED_VALUE"""),"")</f>
        <v/>
      </c>
      <c r="X8179" s="16" t="str">
        <f>IFERROR(__xludf.DUMMYFUNCTION("""COMPUTED_VALUE"""),"")</f>
        <v/>
      </c>
      <c r="AC8179" s="16" t="str">
        <f>IFERROR(__xludf.DUMMYFUNCTION("""COMPUTED_VALUE"""),"")</f>
        <v/>
      </c>
    </row>
    <row r="8180">
      <c r="A8180" s="16" t="s">
        <v>87</v>
      </c>
      <c r="E8180" s="16" t="str">
        <f>IFERROR(__xludf.DUMMYFUNCTION("""COMPUTED_VALUE"""),"")</f>
        <v/>
      </c>
      <c r="G8180" s="18"/>
      <c r="H8180" s="16" t="s">
        <v>87</v>
      </c>
      <c r="I8180" s="16" t="s">
        <v>87</v>
      </c>
      <c r="J8180" s="19"/>
      <c r="L8180" s="16" t="str">
        <f>IFERROR(__xludf.DUMMYFUNCTION("""COMPUTED_VALUE"""),"")</f>
        <v/>
      </c>
      <c r="M8180" s="16" t="str">
        <f>IFERROR(__xludf.DUMMYFUNCTION("""COMPUTED_VALUE"""),"")</f>
        <v/>
      </c>
      <c r="U8180" s="16" t="s">
        <v>87</v>
      </c>
      <c r="V8180" s="16" t="str">
        <f>IFERROR(__xludf.DUMMYFUNCTION("""COMPUTED_VALUE"""),"")</f>
        <v/>
      </c>
      <c r="W8180" s="16" t="str">
        <f>IFERROR(__xludf.DUMMYFUNCTION("""COMPUTED_VALUE"""),"")</f>
        <v/>
      </c>
      <c r="X8180" s="16" t="str">
        <f>IFERROR(__xludf.DUMMYFUNCTION("""COMPUTED_VALUE"""),"")</f>
        <v/>
      </c>
      <c r="AC8180" s="16" t="str">
        <f>IFERROR(__xludf.DUMMYFUNCTION("""COMPUTED_VALUE"""),"")</f>
        <v/>
      </c>
    </row>
    <row r="8181">
      <c r="A8181" s="16" t="s">
        <v>87</v>
      </c>
      <c r="E8181" s="16" t="str">
        <f>IFERROR(__xludf.DUMMYFUNCTION("""COMPUTED_VALUE"""),"")</f>
        <v/>
      </c>
      <c r="G8181" s="18"/>
      <c r="H8181" s="16" t="s">
        <v>87</v>
      </c>
      <c r="I8181" s="16" t="s">
        <v>87</v>
      </c>
      <c r="J8181" s="19"/>
      <c r="L8181" s="16" t="str">
        <f>IFERROR(__xludf.DUMMYFUNCTION("""COMPUTED_VALUE"""),"")</f>
        <v/>
      </c>
      <c r="M8181" s="16" t="str">
        <f>IFERROR(__xludf.DUMMYFUNCTION("""COMPUTED_VALUE"""),"")</f>
        <v/>
      </c>
      <c r="U8181" s="16" t="s">
        <v>87</v>
      </c>
      <c r="V8181" s="16" t="str">
        <f>IFERROR(__xludf.DUMMYFUNCTION("""COMPUTED_VALUE"""),"")</f>
        <v/>
      </c>
      <c r="W8181" s="16" t="str">
        <f>IFERROR(__xludf.DUMMYFUNCTION("""COMPUTED_VALUE"""),"")</f>
        <v/>
      </c>
      <c r="X8181" s="16" t="str">
        <f>IFERROR(__xludf.DUMMYFUNCTION("""COMPUTED_VALUE"""),"")</f>
        <v/>
      </c>
      <c r="AC8181" s="16" t="str">
        <f>IFERROR(__xludf.DUMMYFUNCTION("""COMPUTED_VALUE"""),"")</f>
        <v/>
      </c>
    </row>
    <row r="8182">
      <c r="A8182" s="16" t="s">
        <v>87</v>
      </c>
      <c r="E8182" s="16" t="str">
        <f>IFERROR(__xludf.DUMMYFUNCTION("""COMPUTED_VALUE"""),"")</f>
        <v/>
      </c>
      <c r="G8182" s="18"/>
      <c r="H8182" s="16" t="s">
        <v>87</v>
      </c>
      <c r="I8182" s="16" t="s">
        <v>87</v>
      </c>
      <c r="J8182" s="19"/>
      <c r="L8182" s="16" t="str">
        <f>IFERROR(__xludf.DUMMYFUNCTION("""COMPUTED_VALUE"""),"")</f>
        <v/>
      </c>
      <c r="M8182" s="16" t="str">
        <f>IFERROR(__xludf.DUMMYFUNCTION("""COMPUTED_VALUE"""),"")</f>
        <v/>
      </c>
      <c r="U8182" s="16" t="s">
        <v>87</v>
      </c>
      <c r="V8182" s="16" t="str">
        <f>IFERROR(__xludf.DUMMYFUNCTION("""COMPUTED_VALUE"""),"")</f>
        <v/>
      </c>
      <c r="W8182" s="16" t="str">
        <f>IFERROR(__xludf.DUMMYFUNCTION("""COMPUTED_VALUE"""),"")</f>
        <v/>
      </c>
      <c r="X8182" s="16" t="str">
        <f>IFERROR(__xludf.DUMMYFUNCTION("""COMPUTED_VALUE"""),"")</f>
        <v/>
      </c>
      <c r="AC8182" s="16" t="str">
        <f>IFERROR(__xludf.DUMMYFUNCTION("""COMPUTED_VALUE"""),"")</f>
        <v/>
      </c>
    </row>
    <row r="8183">
      <c r="A8183" s="16" t="s">
        <v>87</v>
      </c>
      <c r="E8183" s="16" t="str">
        <f>IFERROR(__xludf.DUMMYFUNCTION("""COMPUTED_VALUE"""),"")</f>
        <v/>
      </c>
      <c r="G8183" s="18"/>
      <c r="H8183" s="16" t="s">
        <v>87</v>
      </c>
      <c r="I8183" s="16" t="s">
        <v>87</v>
      </c>
      <c r="J8183" s="19"/>
      <c r="L8183" s="16" t="str">
        <f>IFERROR(__xludf.DUMMYFUNCTION("""COMPUTED_VALUE"""),"")</f>
        <v/>
      </c>
      <c r="M8183" s="16" t="str">
        <f>IFERROR(__xludf.DUMMYFUNCTION("""COMPUTED_VALUE"""),"")</f>
        <v/>
      </c>
      <c r="U8183" s="16" t="s">
        <v>87</v>
      </c>
      <c r="V8183" s="16" t="str">
        <f>IFERROR(__xludf.DUMMYFUNCTION("""COMPUTED_VALUE"""),"")</f>
        <v/>
      </c>
      <c r="W8183" s="16" t="str">
        <f>IFERROR(__xludf.DUMMYFUNCTION("""COMPUTED_VALUE"""),"")</f>
        <v/>
      </c>
      <c r="X8183" s="16" t="str">
        <f>IFERROR(__xludf.DUMMYFUNCTION("""COMPUTED_VALUE"""),"")</f>
        <v/>
      </c>
      <c r="AC8183" s="16" t="str">
        <f>IFERROR(__xludf.DUMMYFUNCTION("""COMPUTED_VALUE"""),"")</f>
        <v/>
      </c>
    </row>
    <row r="8184">
      <c r="A8184" s="16" t="s">
        <v>87</v>
      </c>
      <c r="E8184" s="16" t="str">
        <f>IFERROR(__xludf.DUMMYFUNCTION("""COMPUTED_VALUE"""),"")</f>
        <v/>
      </c>
      <c r="G8184" s="18"/>
      <c r="H8184" s="16" t="s">
        <v>87</v>
      </c>
      <c r="I8184" s="16" t="s">
        <v>87</v>
      </c>
      <c r="J8184" s="19"/>
      <c r="L8184" s="16" t="str">
        <f>IFERROR(__xludf.DUMMYFUNCTION("""COMPUTED_VALUE"""),"")</f>
        <v/>
      </c>
      <c r="M8184" s="16" t="str">
        <f>IFERROR(__xludf.DUMMYFUNCTION("""COMPUTED_VALUE"""),"")</f>
        <v/>
      </c>
      <c r="U8184" s="16" t="s">
        <v>87</v>
      </c>
      <c r="V8184" s="16" t="str">
        <f>IFERROR(__xludf.DUMMYFUNCTION("""COMPUTED_VALUE"""),"")</f>
        <v/>
      </c>
      <c r="W8184" s="16" t="str">
        <f>IFERROR(__xludf.DUMMYFUNCTION("""COMPUTED_VALUE"""),"")</f>
        <v/>
      </c>
      <c r="X8184" s="16" t="str">
        <f>IFERROR(__xludf.DUMMYFUNCTION("""COMPUTED_VALUE"""),"")</f>
        <v/>
      </c>
      <c r="AC8184" s="16" t="str">
        <f>IFERROR(__xludf.DUMMYFUNCTION("""COMPUTED_VALUE"""),"")</f>
        <v/>
      </c>
    </row>
    <row r="8185">
      <c r="A8185" s="16" t="s">
        <v>87</v>
      </c>
      <c r="E8185" s="16" t="str">
        <f>IFERROR(__xludf.DUMMYFUNCTION("""COMPUTED_VALUE"""),"")</f>
        <v/>
      </c>
      <c r="G8185" s="18"/>
      <c r="H8185" s="16" t="s">
        <v>87</v>
      </c>
      <c r="I8185" s="16" t="s">
        <v>87</v>
      </c>
      <c r="J8185" s="19"/>
      <c r="L8185" s="16" t="str">
        <f>IFERROR(__xludf.DUMMYFUNCTION("""COMPUTED_VALUE"""),"")</f>
        <v/>
      </c>
      <c r="M8185" s="16" t="str">
        <f>IFERROR(__xludf.DUMMYFUNCTION("""COMPUTED_VALUE"""),"")</f>
        <v/>
      </c>
      <c r="U8185" s="16" t="s">
        <v>87</v>
      </c>
      <c r="V8185" s="16" t="str">
        <f>IFERROR(__xludf.DUMMYFUNCTION("""COMPUTED_VALUE"""),"")</f>
        <v/>
      </c>
      <c r="W8185" s="16" t="str">
        <f>IFERROR(__xludf.DUMMYFUNCTION("""COMPUTED_VALUE"""),"")</f>
        <v/>
      </c>
      <c r="X8185" s="16" t="str">
        <f>IFERROR(__xludf.DUMMYFUNCTION("""COMPUTED_VALUE"""),"")</f>
        <v/>
      </c>
      <c r="AC8185" s="16" t="str">
        <f>IFERROR(__xludf.DUMMYFUNCTION("""COMPUTED_VALUE"""),"")</f>
        <v/>
      </c>
    </row>
    <row r="8186">
      <c r="A8186" s="16" t="s">
        <v>87</v>
      </c>
      <c r="E8186" s="16" t="str">
        <f>IFERROR(__xludf.DUMMYFUNCTION("""COMPUTED_VALUE"""),"")</f>
        <v/>
      </c>
      <c r="G8186" s="18"/>
      <c r="H8186" s="16" t="s">
        <v>87</v>
      </c>
      <c r="I8186" s="16" t="s">
        <v>87</v>
      </c>
      <c r="J8186" s="19"/>
      <c r="L8186" s="16" t="str">
        <f>IFERROR(__xludf.DUMMYFUNCTION("""COMPUTED_VALUE"""),"")</f>
        <v/>
      </c>
      <c r="M8186" s="16" t="str">
        <f>IFERROR(__xludf.DUMMYFUNCTION("""COMPUTED_VALUE"""),"")</f>
        <v/>
      </c>
      <c r="U8186" s="16" t="s">
        <v>87</v>
      </c>
      <c r="V8186" s="16" t="str">
        <f>IFERROR(__xludf.DUMMYFUNCTION("""COMPUTED_VALUE"""),"")</f>
        <v/>
      </c>
      <c r="W8186" s="16" t="str">
        <f>IFERROR(__xludf.DUMMYFUNCTION("""COMPUTED_VALUE"""),"")</f>
        <v/>
      </c>
      <c r="X8186" s="16" t="str">
        <f>IFERROR(__xludf.DUMMYFUNCTION("""COMPUTED_VALUE"""),"")</f>
        <v/>
      </c>
      <c r="AC8186" s="16" t="str">
        <f>IFERROR(__xludf.DUMMYFUNCTION("""COMPUTED_VALUE"""),"")</f>
        <v/>
      </c>
    </row>
    <row r="8187">
      <c r="A8187" s="16" t="s">
        <v>87</v>
      </c>
      <c r="E8187" s="16" t="str">
        <f>IFERROR(__xludf.DUMMYFUNCTION("""COMPUTED_VALUE"""),"")</f>
        <v/>
      </c>
      <c r="G8187" s="18"/>
      <c r="H8187" s="16" t="s">
        <v>87</v>
      </c>
      <c r="I8187" s="16" t="s">
        <v>87</v>
      </c>
      <c r="J8187" s="19"/>
      <c r="L8187" s="16" t="str">
        <f>IFERROR(__xludf.DUMMYFUNCTION("""COMPUTED_VALUE"""),"")</f>
        <v/>
      </c>
      <c r="M8187" s="16" t="str">
        <f>IFERROR(__xludf.DUMMYFUNCTION("""COMPUTED_VALUE"""),"")</f>
        <v/>
      </c>
      <c r="U8187" s="16" t="s">
        <v>87</v>
      </c>
      <c r="V8187" s="16" t="str">
        <f>IFERROR(__xludf.DUMMYFUNCTION("""COMPUTED_VALUE"""),"")</f>
        <v/>
      </c>
      <c r="W8187" s="16" t="str">
        <f>IFERROR(__xludf.DUMMYFUNCTION("""COMPUTED_VALUE"""),"")</f>
        <v/>
      </c>
      <c r="X8187" s="16" t="str">
        <f>IFERROR(__xludf.DUMMYFUNCTION("""COMPUTED_VALUE"""),"")</f>
        <v/>
      </c>
      <c r="AC8187" s="16" t="str">
        <f>IFERROR(__xludf.DUMMYFUNCTION("""COMPUTED_VALUE"""),"")</f>
        <v/>
      </c>
    </row>
    <row r="8188">
      <c r="A8188" s="16" t="s">
        <v>87</v>
      </c>
      <c r="E8188" s="16" t="str">
        <f>IFERROR(__xludf.DUMMYFUNCTION("""COMPUTED_VALUE"""),"")</f>
        <v/>
      </c>
      <c r="G8188" s="18"/>
      <c r="H8188" s="16" t="s">
        <v>87</v>
      </c>
      <c r="I8188" s="16" t="s">
        <v>87</v>
      </c>
      <c r="J8188" s="19"/>
      <c r="L8188" s="16" t="str">
        <f>IFERROR(__xludf.DUMMYFUNCTION("""COMPUTED_VALUE"""),"")</f>
        <v/>
      </c>
      <c r="M8188" s="16" t="str">
        <f>IFERROR(__xludf.DUMMYFUNCTION("""COMPUTED_VALUE"""),"")</f>
        <v/>
      </c>
      <c r="U8188" s="16" t="s">
        <v>87</v>
      </c>
      <c r="V8188" s="16" t="str">
        <f>IFERROR(__xludf.DUMMYFUNCTION("""COMPUTED_VALUE"""),"")</f>
        <v/>
      </c>
      <c r="W8188" s="16" t="str">
        <f>IFERROR(__xludf.DUMMYFUNCTION("""COMPUTED_VALUE"""),"")</f>
        <v/>
      </c>
      <c r="X8188" s="16" t="str">
        <f>IFERROR(__xludf.DUMMYFUNCTION("""COMPUTED_VALUE"""),"")</f>
        <v/>
      </c>
      <c r="AC8188" s="16" t="str">
        <f>IFERROR(__xludf.DUMMYFUNCTION("""COMPUTED_VALUE"""),"")</f>
        <v/>
      </c>
    </row>
    <row r="8189">
      <c r="A8189" s="16" t="s">
        <v>87</v>
      </c>
      <c r="E8189" s="16" t="str">
        <f>IFERROR(__xludf.DUMMYFUNCTION("""COMPUTED_VALUE"""),"")</f>
        <v/>
      </c>
      <c r="G8189" s="18"/>
      <c r="H8189" s="16" t="s">
        <v>87</v>
      </c>
      <c r="I8189" s="16" t="s">
        <v>87</v>
      </c>
      <c r="J8189" s="19"/>
      <c r="L8189" s="16" t="str">
        <f>IFERROR(__xludf.DUMMYFUNCTION("""COMPUTED_VALUE"""),"")</f>
        <v/>
      </c>
      <c r="M8189" s="16" t="str">
        <f>IFERROR(__xludf.DUMMYFUNCTION("""COMPUTED_VALUE"""),"")</f>
        <v/>
      </c>
      <c r="U8189" s="16" t="s">
        <v>87</v>
      </c>
      <c r="V8189" s="16" t="str">
        <f>IFERROR(__xludf.DUMMYFUNCTION("""COMPUTED_VALUE"""),"")</f>
        <v/>
      </c>
      <c r="W8189" s="16" t="str">
        <f>IFERROR(__xludf.DUMMYFUNCTION("""COMPUTED_VALUE"""),"")</f>
        <v/>
      </c>
      <c r="X8189" s="16" t="str">
        <f>IFERROR(__xludf.DUMMYFUNCTION("""COMPUTED_VALUE"""),"")</f>
        <v/>
      </c>
      <c r="AC8189" s="16" t="str">
        <f>IFERROR(__xludf.DUMMYFUNCTION("""COMPUTED_VALUE"""),"")</f>
        <v/>
      </c>
    </row>
    <row r="8190">
      <c r="A8190" s="16" t="s">
        <v>87</v>
      </c>
      <c r="E8190" s="16" t="str">
        <f>IFERROR(__xludf.DUMMYFUNCTION("""COMPUTED_VALUE"""),"")</f>
        <v/>
      </c>
      <c r="G8190" s="18"/>
      <c r="H8190" s="16" t="s">
        <v>87</v>
      </c>
      <c r="I8190" s="16" t="s">
        <v>87</v>
      </c>
      <c r="J8190" s="19"/>
      <c r="L8190" s="16" t="str">
        <f>IFERROR(__xludf.DUMMYFUNCTION("""COMPUTED_VALUE"""),"")</f>
        <v/>
      </c>
      <c r="M8190" s="16" t="str">
        <f>IFERROR(__xludf.DUMMYFUNCTION("""COMPUTED_VALUE"""),"")</f>
        <v/>
      </c>
      <c r="U8190" s="16" t="s">
        <v>87</v>
      </c>
      <c r="V8190" s="16" t="str">
        <f>IFERROR(__xludf.DUMMYFUNCTION("""COMPUTED_VALUE"""),"")</f>
        <v/>
      </c>
      <c r="W8190" s="16" t="str">
        <f>IFERROR(__xludf.DUMMYFUNCTION("""COMPUTED_VALUE"""),"")</f>
        <v/>
      </c>
      <c r="X8190" s="16" t="str">
        <f>IFERROR(__xludf.DUMMYFUNCTION("""COMPUTED_VALUE"""),"")</f>
        <v/>
      </c>
      <c r="AC8190" s="16" t="str">
        <f>IFERROR(__xludf.DUMMYFUNCTION("""COMPUTED_VALUE"""),"")</f>
        <v/>
      </c>
    </row>
    <row r="8191">
      <c r="A8191" s="16" t="s">
        <v>87</v>
      </c>
      <c r="E8191" s="16" t="str">
        <f>IFERROR(__xludf.DUMMYFUNCTION("""COMPUTED_VALUE"""),"")</f>
        <v/>
      </c>
      <c r="G8191" s="18"/>
      <c r="H8191" s="16" t="s">
        <v>87</v>
      </c>
      <c r="I8191" s="16" t="s">
        <v>87</v>
      </c>
      <c r="J8191" s="19"/>
      <c r="L8191" s="16" t="str">
        <f>IFERROR(__xludf.DUMMYFUNCTION("""COMPUTED_VALUE"""),"")</f>
        <v/>
      </c>
      <c r="M8191" s="16" t="str">
        <f>IFERROR(__xludf.DUMMYFUNCTION("""COMPUTED_VALUE"""),"")</f>
        <v/>
      </c>
      <c r="U8191" s="16" t="s">
        <v>87</v>
      </c>
      <c r="V8191" s="16" t="str">
        <f>IFERROR(__xludf.DUMMYFUNCTION("""COMPUTED_VALUE"""),"")</f>
        <v/>
      </c>
      <c r="W8191" s="16" t="str">
        <f>IFERROR(__xludf.DUMMYFUNCTION("""COMPUTED_VALUE"""),"")</f>
        <v/>
      </c>
      <c r="X8191" s="16" t="str">
        <f>IFERROR(__xludf.DUMMYFUNCTION("""COMPUTED_VALUE"""),"")</f>
        <v/>
      </c>
      <c r="AC8191" s="16" t="str">
        <f>IFERROR(__xludf.DUMMYFUNCTION("""COMPUTED_VALUE"""),"")</f>
        <v/>
      </c>
    </row>
    <row r="8192">
      <c r="A8192" s="16" t="s">
        <v>87</v>
      </c>
      <c r="E8192" s="16" t="str">
        <f>IFERROR(__xludf.DUMMYFUNCTION("""COMPUTED_VALUE"""),"")</f>
        <v/>
      </c>
      <c r="G8192" s="18"/>
      <c r="H8192" s="16" t="s">
        <v>87</v>
      </c>
      <c r="I8192" s="16" t="s">
        <v>87</v>
      </c>
      <c r="J8192" s="19"/>
      <c r="L8192" s="16" t="str">
        <f>IFERROR(__xludf.DUMMYFUNCTION("""COMPUTED_VALUE"""),"")</f>
        <v/>
      </c>
      <c r="M8192" s="16" t="str">
        <f>IFERROR(__xludf.DUMMYFUNCTION("""COMPUTED_VALUE"""),"")</f>
        <v/>
      </c>
      <c r="U8192" s="16" t="s">
        <v>87</v>
      </c>
      <c r="V8192" s="16" t="str">
        <f>IFERROR(__xludf.DUMMYFUNCTION("""COMPUTED_VALUE"""),"")</f>
        <v/>
      </c>
      <c r="W8192" s="16" t="str">
        <f>IFERROR(__xludf.DUMMYFUNCTION("""COMPUTED_VALUE"""),"")</f>
        <v/>
      </c>
      <c r="X8192" s="16" t="str">
        <f>IFERROR(__xludf.DUMMYFUNCTION("""COMPUTED_VALUE"""),"")</f>
        <v/>
      </c>
      <c r="AC8192" s="16" t="str">
        <f>IFERROR(__xludf.DUMMYFUNCTION("""COMPUTED_VALUE"""),"")</f>
        <v/>
      </c>
    </row>
    <row r="8193">
      <c r="A8193" s="16" t="s">
        <v>87</v>
      </c>
      <c r="E8193" s="16" t="str">
        <f>IFERROR(__xludf.DUMMYFUNCTION("""COMPUTED_VALUE"""),"")</f>
        <v/>
      </c>
      <c r="G8193" s="18"/>
      <c r="H8193" s="16" t="s">
        <v>87</v>
      </c>
      <c r="I8193" s="16" t="s">
        <v>87</v>
      </c>
      <c r="J8193" s="19"/>
      <c r="L8193" s="16" t="str">
        <f>IFERROR(__xludf.DUMMYFUNCTION("""COMPUTED_VALUE"""),"")</f>
        <v/>
      </c>
      <c r="M8193" s="16" t="str">
        <f>IFERROR(__xludf.DUMMYFUNCTION("""COMPUTED_VALUE"""),"")</f>
        <v/>
      </c>
      <c r="U8193" s="16" t="s">
        <v>87</v>
      </c>
      <c r="V8193" s="16" t="str">
        <f>IFERROR(__xludf.DUMMYFUNCTION("""COMPUTED_VALUE"""),"")</f>
        <v/>
      </c>
      <c r="W8193" s="16" t="str">
        <f>IFERROR(__xludf.DUMMYFUNCTION("""COMPUTED_VALUE"""),"")</f>
        <v/>
      </c>
      <c r="X8193" s="16" t="str">
        <f>IFERROR(__xludf.DUMMYFUNCTION("""COMPUTED_VALUE"""),"")</f>
        <v/>
      </c>
      <c r="AC8193" s="16" t="str">
        <f>IFERROR(__xludf.DUMMYFUNCTION("""COMPUTED_VALUE"""),"")</f>
        <v/>
      </c>
    </row>
    <row r="8194">
      <c r="A8194" s="16" t="s">
        <v>87</v>
      </c>
      <c r="E8194" s="16" t="str">
        <f>IFERROR(__xludf.DUMMYFUNCTION("""COMPUTED_VALUE"""),"")</f>
        <v/>
      </c>
      <c r="G8194" s="18"/>
      <c r="H8194" s="16" t="s">
        <v>87</v>
      </c>
      <c r="I8194" s="16" t="s">
        <v>87</v>
      </c>
      <c r="J8194" s="19"/>
      <c r="L8194" s="16" t="str">
        <f>IFERROR(__xludf.DUMMYFUNCTION("""COMPUTED_VALUE"""),"")</f>
        <v/>
      </c>
      <c r="M8194" s="16" t="str">
        <f>IFERROR(__xludf.DUMMYFUNCTION("""COMPUTED_VALUE"""),"")</f>
        <v/>
      </c>
      <c r="U8194" s="16" t="s">
        <v>87</v>
      </c>
      <c r="V8194" s="16" t="str">
        <f>IFERROR(__xludf.DUMMYFUNCTION("""COMPUTED_VALUE"""),"")</f>
        <v/>
      </c>
      <c r="W8194" s="16" t="str">
        <f>IFERROR(__xludf.DUMMYFUNCTION("""COMPUTED_VALUE"""),"")</f>
        <v/>
      </c>
      <c r="X8194" s="16" t="str">
        <f>IFERROR(__xludf.DUMMYFUNCTION("""COMPUTED_VALUE"""),"")</f>
        <v/>
      </c>
      <c r="AC8194" s="16" t="str">
        <f>IFERROR(__xludf.DUMMYFUNCTION("""COMPUTED_VALUE"""),"")</f>
        <v/>
      </c>
    </row>
    <row r="8195">
      <c r="A8195" s="16" t="s">
        <v>87</v>
      </c>
      <c r="E8195" s="16" t="str">
        <f>IFERROR(__xludf.DUMMYFUNCTION("""COMPUTED_VALUE"""),"")</f>
        <v/>
      </c>
      <c r="G8195" s="18"/>
      <c r="H8195" s="16" t="s">
        <v>87</v>
      </c>
      <c r="I8195" s="16" t="s">
        <v>87</v>
      </c>
      <c r="J8195" s="19"/>
      <c r="L8195" s="16" t="str">
        <f>IFERROR(__xludf.DUMMYFUNCTION("""COMPUTED_VALUE"""),"")</f>
        <v/>
      </c>
      <c r="M8195" s="16" t="str">
        <f>IFERROR(__xludf.DUMMYFUNCTION("""COMPUTED_VALUE"""),"")</f>
        <v/>
      </c>
      <c r="U8195" s="16" t="s">
        <v>87</v>
      </c>
      <c r="V8195" s="16" t="str">
        <f>IFERROR(__xludf.DUMMYFUNCTION("""COMPUTED_VALUE"""),"")</f>
        <v/>
      </c>
      <c r="W8195" s="16" t="str">
        <f>IFERROR(__xludf.DUMMYFUNCTION("""COMPUTED_VALUE"""),"")</f>
        <v/>
      </c>
      <c r="X8195" s="16" t="str">
        <f>IFERROR(__xludf.DUMMYFUNCTION("""COMPUTED_VALUE"""),"")</f>
        <v/>
      </c>
      <c r="AC8195" s="16" t="str">
        <f>IFERROR(__xludf.DUMMYFUNCTION("""COMPUTED_VALUE"""),"")</f>
        <v/>
      </c>
    </row>
    <row r="8196">
      <c r="A8196" s="16" t="s">
        <v>87</v>
      </c>
      <c r="E8196" s="16" t="str">
        <f>IFERROR(__xludf.DUMMYFUNCTION("""COMPUTED_VALUE"""),"")</f>
        <v/>
      </c>
      <c r="G8196" s="18"/>
      <c r="H8196" s="16" t="s">
        <v>87</v>
      </c>
      <c r="I8196" s="16" t="s">
        <v>87</v>
      </c>
      <c r="J8196" s="19"/>
      <c r="L8196" s="16" t="str">
        <f>IFERROR(__xludf.DUMMYFUNCTION("""COMPUTED_VALUE"""),"")</f>
        <v/>
      </c>
      <c r="M8196" s="16" t="str">
        <f>IFERROR(__xludf.DUMMYFUNCTION("""COMPUTED_VALUE"""),"")</f>
        <v/>
      </c>
      <c r="U8196" s="16" t="s">
        <v>87</v>
      </c>
      <c r="V8196" s="16" t="str">
        <f>IFERROR(__xludf.DUMMYFUNCTION("""COMPUTED_VALUE"""),"")</f>
        <v/>
      </c>
      <c r="W8196" s="16" t="str">
        <f>IFERROR(__xludf.DUMMYFUNCTION("""COMPUTED_VALUE"""),"")</f>
        <v/>
      </c>
      <c r="X8196" s="16" t="str">
        <f>IFERROR(__xludf.DUMMYFUNCTION("""COMPUTED_VALUE"""),"")</f>
        <v/>
      </c>
      <c r="AC8196" s="16" t="str">
        <f>IFERROR(__xludf.DUMMYFUNCTION("""COMPUTED_VALUE"""),"")</f>
        <v/>
      </c>
    </row>
    <row r="8197">
      <c r="A8197" s="16" t="s">
        <v>87</v>
      </c>
      <c r="E8197" s="16" t="str">
        <f>IFERROR(__xludf.DUMMYFUNCTION("""COMPUTED_VALUE"""),"")</f>
        <v/>
      </c>
      <c r="G8197" s="18"/>
      <c r="H8197" s="16" t="s">
        <v>87</v>
      </c>
      <c r="I8197" s="16" t="s">
        <v>87</v>
      </c>
      <c r="J8197" s="19"/>
      <c r="L8197" s="16" t="str">
        <f>IFERROR(__xludf.DUMMYFUNCTION("""COMPUTED_VALUE"""),"")</f>
        <v/>
      </c>
      <c r="M8197" s="16" t="str">
        <f>IFERROR(__xludf.DUMMYFUNCTION("""COMPUTED_VALUE"""),"")</f>
        <v/>
      </c>
      <c r="U8197" s="16" t="s">
        <v>87</v>
      </c>
      <c r="V8197" s="16" t="str">
        <f>IFERROR(__xludf.DUMMYFUNCTION("""COMPUTED_VALUE"""),"")</f>
        <v/>
      </c>
      <c r="W8197" s="16" t="str">
        <f>IFERROR(__xludf.DUMMYFUNCTION("""COMPUTED_VALUE"""),"")</f>
        <v/>
      </c>
      <c r="X8197" s="16" t="str">
        <f>IFERROR(__xludf.DUMMYFUNCTION("""COMPUTED_VALUE"""),"")</f>
        <v/>
      </c>
      <c r="AC8197" s="16" t="str">
        <f>IFERROR(__xludf.DUMMYFUNCTION("""COMPUTED_VALUE"""),"")</f>
        <v/>
      </c>
    </row>
    <row r="8198">
      <c r="A8198" s="16" t="s">
        <v>87</v>
      </c>
      <c r="E8198" s="16" t="str">
        <f>IFERROR(__xludf.DUMMYFUNCTION("""COMPUTED_VALUE"""),"")</f>
        <v/>
      </c>
      <c r="G8198" s="18"/>
      <c r="H8198" s="16" t="s">
        <v>87</v>
      </c>
      <c r="I8198" s="16" t="s">
        <v>87</v>
      </c>
      <c r="J8198" s="19"/>
      <c r="L8198" s="16" t="str">
        <f>IFERROR(__xludf.DUMMYFUNCTION("""COMPUTED_VALUE"""),"")</f>
        <v/>
      </c>
      <c r="M8198" s="16" t="str">
        <f>IFERROR(__xludf.DUMMYFUNCTION("""COMPUTED_VALUE"""),"")</f>
        <v/>
      </c>
      <c r="U8198" s="16" t="s">
        <v>87</v>
      </c>
      <c r="V8198" s="16" t="str">
        <f>IFERROR(__xludf.DUMMYFUNCTION("""COMPUTED_VALUE"""),"")</f>
        <v/>
      </c>
      <c r="W8198" s="16" t="str">
        <f>IFERROR(__xludf.DUMMYFUNCTION("""COMPUTED_VALUE"""),"")</f>
        <v/>
      </c>
      <c r="X8198" s="16" t="str">
        <f>IFERROR(__xludf.DUMMYFUNCTION("""COMPUTED_VALUE"""),"")</f>
        <v/>
      </c>
      <c r="AC8198" s="16" t="str">
        <f>IFERROR(__xludf.DUMMYFUNCTION("""COMPUTED_VALUE"""),"")</f>
        <v/>
      </c>
    </row>
    <row r="8199">
      <c r="A8199" s="16" t="s">
        <v>87</v>
      </c>
      <c r="E8199" s="16" t="str">
        <f>IFERROR(__xludf.DUMMYFUNCTION("""COMPUTED_VALUE"""),"")</f>
        <v/>
      </c>
      <c r="G8199" s="18"/>
      <c r="H8199" s="16" t="s">
        <v>87</v>
      </c>
      <c r="I8199" s="16" t="s">
        <v>87</v>
      </c>
      <c r="J8199" s="19"/>
      <c r="L8199" s="16" t="str">
        <f>IFERROR(__xludf.DUMMYFUNCTION("""COMPUTED_VALUE"""),"")</f>
        <v/>
      </c>
      <c r="M8199" s="16" t="str">
        <f>IFERROR(__xludf.DUMMYFUNCTION("""COMPUTED_VALUE"""),"")</f>
        <v/>
      </c>
      <c r="U8199" s="16" t="s">
        <v>87</v>
      </c>
      <c r="V8199" s="16" t="str">
        <f>IFERROR(__xludf.DUMMYFUNCTION("""COMPUTED_VALUE"""),"")</f>
        <v/>
      </c>
      <c r="W8199" s="16" t="str">
        <f>IFERROR(__xludf.DUMMYFUNCTION("""COMPUTED_VALUE"""),"")</f>
        <v/>
      </c>
      <c r="X8199" s="16" t="str">
        <f>IFERROR(__xludf.DUMMYFUNCTION("""COMPUTED_VALUE"""),"")</f>
        <v/>
      </c>
      <c r="AC8199" s="16" t="str">
        <f>IFERROR(__xludf.DUMMYFUNCTION("""COMPUTED_VALUE"""),"")</f>
        <v/>
      </c>
    </row>
    <row r="8200">
      <c r="A8200" s="16" t="s">
        <v>87</v>
      </c>
      <c r="E8200" s="16" t="str">
        <f>IFERROR(__xludf.DUMMYFUNCTION("""COMPUTED_VALUE"""),"")</f>
        <v/>
      </c>
      <c r="G8200" s="18"/>
      <c r="H8200" s="16" t="s">
        <v>87</v>
      </c>
      <c r="I8200" s="16" t="s">
        <v>87</v>
      </c>
      <c r="J8200" s="19"/>
      <c r="L8200" s="16" t="str">
        <f>IFERROR(__xludf.DUMMYFUNCTION("""COMPUTED_VALUE"""),"")</f>
        <v/>
      </c>
      <c r="M8200" s="16" t="str">
        <f>IFERROR(__xludf.DUMMYFUNCTION("""COMPUTED_VALUE"""),"")</f>
        <v/>
      </c>
      <c r="U8200" s="16" t="s">
        <v>87</v>
      </c>
      <c r="V8200" s="16" t="str">
        <f>IFERROR(__xludf.DUMMYFUNCTION("""COMPUTED_VALUE"""),"")</f>
        <v/>
      </c>
      <c r="W8200" s="16" t="str">
        <f>IFERROR(__xludf.DUMMYFUNCTION("""COMPUTED_VALUE"""),"")</f>
        <v/>
      </c>
      <c r="X8200" s="16" t="str">
        <f>IFERROR(__xludf.DUMMYFUNCTION("""COMPUTED_VALUE"""),"")</f>
        <v/>
      </c>
      <c r="AC8200" s="16" t="str">
        <f>IFERROR(__xludf.DUMMYFUNCTION("""COMPUTED_VALUE"""),"")</f>
        <v/>
      </c>
    </row>
    <row r="8201">
      <c r="A8201" s="16" t="s">
        <v>87</v>
      </c>
      <c r="E8201" s="16" t="str">
        <f>IFERROR(__xludf.DUMMYFUNCTION("""COMPUTED_VALUE"""),"")</f>
        <v/>
      </c>
      <c r="G8201" s="18"/>
      <c r="H8201" s="16" t="s">
        <v>87</v>
      </c>
      <c r="I8201" s="16" t="s">
        <v>87</v>
      </c>
      <c r="J8201" s="19"/>
      <c r="L8201" s="16" t="str">
        <f>IFERROR(__xludf.DUMMYFUNCTION("""COMPUTED_VALUE"""),"")</f>
        <v/>
      </c>
      <c r="M8201" s="16" t="str">
        <f>IFERROR(__xludf.DUMMYFUNCTION("""COMPUTED_VALUE"""),"")</f>
        <v/>
      </c>
      <c r="U8201" s="16" t="s">
        <v>87</v>
      </c>
      <c r="V8201" s="16" t="str">
        <f>IFERROR(__xludf.DUMMYFUNCTION("""COMPUTED_VALUE"""),"")</f>
        <v/>
      </c>
      <c r="W8201" s="16" t="str">
        <f>IFERROR(__xludf.DUMMYFUNCTION("""COMPUTED_VALUE"""),"")</f>
        <v/>
      </c>
      <c r="X8201" s="16" t="str">
        <f>IFERROR(__xludf.DUMMYFUNCTION("""COMPUTED_VALUE"""),"")</f>
        <v/>
      </c>
      <c r="AC8201" s="16" t="str">
        <f>IFERROR(__xludf.DUMMYFUNCTION("""COMPUTED_VALUE"""),"")</f>
        <v/>
      </c>
    </row>
    <row r="8202">
      <c r="A8202" s="16" t="s">
        <v>87</v>
      </c>
      <c r="E8202" s="16" t="str">
        <f>IFERROR(__xludf.DUMMYFUNCTION("""COMPUTED_VALUE"""),"")</f>
        <v/>
      </c>
      <c r="G8202" s="18"/>
      <c r="H8202" s="16" t="s">
        <v>87</v>
      </c>
      <c r="I8202" s="16" t="s">
        <v>87</v>
      </c>
      <c r="J8202" s="19"/>
      <c r="L8202" s="16" t="str">
        <f>IFERROR(__xludf.DUMMYFUNCTION("""COMPUTED_VALUE"""),"")</f>
        <v/>
      </c>
      <c r="M8202" s="16" t="str">
        <f>IFERROR(__xludf.DUMMYFUNCTION("""COMPUTED_VALUE"""),"")</f>
        <v/>
      </c>
      <c r="U8202" s="16" t="s">
        <v>87</v>
      </c>
      <c r="V8202" s="16" t="str">
        <f>IFERROR(__xludf.DUMMYFUNCTION("""COMPUTED_VALUE"""),"")</f>
        <v/>
      </c>
      <c r="W8202" s="16" t="str">
        <f>IFERROR(__xludf.DUMMYFUNCTION("""COMPUTED_VALUE"""),"")</f>
        <v/>
      </c>
      <c r="X8202" s="16" t="str">
        <f>IFERROR(__xludf.DUMMYFUNCTION("""COMPUTED_VALUE"""),"")</f>
        <v/>
      </c>
      <c r="AC8202" s="16" t="str">
        <f>IFERROR(__xludf.DUMMYFUNCTION("""COMPUTED_VALUE"""),"")</f>
        <v/>
      </c>
    </row>
    <row r="8203">
      <c r="A8203" s="16" t="s">
        <v>87</v>
      </c>
      <c r="E8203" s="16" t="str">
        <f>IFERROR(__xludf.DUMMYFUNCTION("""COMPUTED_VALUE"""),"")</f>
        <v/>
      </c>
      <c r="G8203" s="18"/>
      <c r="H8203" s="16" t="s">
        <v>87</v>
      </c>
      <c r="I8203" s="16" t="s">
        <v>87</v>
      </c>
      <c r="J8203" s="19"/>
      <c r="L8203" s="16" t="str">
        <f>IFERROR(__xludf.DUMMYFUNCTION("""COMPUTED_VALUE"""),"")</f>
        <v/>
      </c>
      <c r="M8203" s="16" t="str">
        <f>IFERROR(__xludf.DUMMYFUNCTION("""COMPUTED_VALUE"""),"")</f>
        <v/>
      </c>
      <c r="U8203" s="16" t="s">
        <v>87</v>
      </c>
      <c r="V8203" s="16" t="str">
        <f>IFERROR(__xludf.DUMMYFUNCTION("""COMPUTED_VALUE"""),"")</f>
        <v/>
      </c>
      <c r="W8203" s="16" t="str">
        <f>IFERROR(__xludf.DUMMYFUNCTION("""COMPUTED_VALUE"""),"")</f>
        <v/>
      </c>
      <c r="X8203" s="16" t="str">
        <f>IFERROR(__xludf.DUMMYFUNCTION("""COMPUTED_VALUE"""),"")</f>
        <v/>
      </c>
      <c r="AC8203" s="16" t="str">
        <f>IFERROR(__xludf.DUMMYFUNCTION("""COMPUTED_VALUE"""),"")</f>
        <v/>
      </c>
    </row>
    <row r="8204">
      <c r="A8204" s="16" t="s">
        <v>87</v>
      </c>
      <c r="E8204" s="16" t="str">
        <f>IFERROR(__xludf.DUMMYFUNCTION("""COMPUTED_VALUE"""),"")</f>
        <v/>
      </c>
      <c r="G8204" s="18"/>
      <c r="H8204" s="16" t="s">
        <v>87</v>
      </c>
      <c r="I8204" s="16" t="s">
        <v>87</v>
      </c>
      <c r="J8204" s="19"/>
      <c r="L8204" s="16" t="str">
        <f>IFERROR(__xludf.DUMMYFUNCTION("""COMPUTED_VALUE"""),"")</f>
        <v/>
      </c>
      <c r="M8204" s="16" t="str">
        <f>IFERROR(__xludf.DUMMYFUNCTION("""COMPUTED_VALUE"""),"")</f>
        <v/>
      </c>
      <c r="U8204" s="16" t="s">
        <v>87</v>
      </c>
      <c r="V8204" s="16" t="str">
        <f>IFERROR(__xludf.DUMMYFUNCTION("""COMPUTED_VALUE"""),"")</f>
        <v/>
      </c>
      <c r="W8204" s="16" t="str">
        <f>IFERROR(__xludf.DUMMYFUNCTION("""COMPUTED_VALUE"""),"")</f>
        <v/>
      </c>
      <c r="X8204" s="16" t="str">
        <f>IFERROR(__xludf.DUMMYFUNCTION("""COMPUTED_VALUE"""),"")</f>
        <v/>
      </c>
      <c r="AC8204" s="16" t="str">
        <f>IFERROR(__xludf.DUMMYFUNCTION("""COMPUTED_VALUE"""),"")</f>
        <v/>
      </c>
    </row>
    <row r="8205">
      <c r="A8205" s="16" t="s">
        <v>87</v>
      </c>
      <c r="E8205" s="16" t="str">
        <f>IFERROR(__xludf.DUMMYFUNCTION("""COMPUTED_VALUE"""),"")</f>
        <v/>
      </c>
      <c r="G8205" s="18"/>
      <c r="H8205" s="16" t="s">
        <v>87</v>
      </c>
      <c r="I8205" s="16" t="s">
        <v>87</v>
      </c>
      <c r="J8205" s="19"/>
      <c r="L8205" s="16" t="str">
        <f>IFERROR(__xludf.DUMMYFUNCTION("""COMPUTED_VALUE"""),"")</f>
        <v/>
      </c>
      <c r="M8205" s="16" t="str">
        <f>IFERROR(__xludf.DUMMYFUNCTION("""COMPUTED_VALUE"""),"")</f>
        <v/>
      </c>
      <c r="U8205" s="16" t="s">
        <v>87</v>
      </c>
      <c r="V8205" s="16" t="str">
        <f>IFERROR(__xludf.DUMMYFUNCTION("""COMPUTED_VALUE"""),"")</f>
        <v/>
      </c>
      <c r="W8205" s="16" t="str">
        <f>IFERROR(__xludf.DUMMYFUNCTION("""COMPUTED_VALUE"""),"")</f>
        <v/>
      </c>
      <c r="X8205" s="16" t="str">
        <f>IFERROR(__xludf.DUMMYFUNCTION("""COMPUTED_VALUE"""),"")</f>
        <v/>
      </c>
      <c r="AC8205" s="16" t="str">
        <f>IFERROR(__xludf.DUMMYFUNCTION("""COMPUTED_VALUE"""),"")</f>
        <v/>
      </c>
    </row>
    <row r="8206">
      <c r="A8206" s="16" t="s">
        <v>87</v>
      </c>
      <c r="E8206" s="16" t="str">
        <f>IFERROR(__xludf.DUMMYFUNCTION("""COMPUTED_VALUE"""),"")</f>
        <v/>
      </c>
      <c r="G8206" s="18"/>
      <c r="H8206" s="16" t="s">
        <v>87</v>
      </c>
      <c r="I8206" s="16" t="s">
        <v>87</v>
      </c>
      <c r="J8206" s="19"/>
      <c r="L8206" s="16" t="str">
        <f>IFERROR(__xludf.DUMMYFUNCTION("""COMPUTED_VALUE"""),"")</f>
        <v/>
      </c>
      <c r="M8206" s="16" t="str">
        <f>IFERROR(__xludf.DUMMYFUNCTION("""COMPUTED_VALUE"""),"")</f>
        <v/>
      </c>
      <c r="U8206" s="16" t="s">
        <v>87</v>
      </c>
      <c r="V8206" s="16" t="str">
        <f>IFERROR(__xludf.DUMMYFUNCTION("""COMPUTED_VALUE"""),"")</f>
        <v/>
      </c>
      <c r="W8206" s="16" t="str">
        <f>IFERROR(__xludf.DUMMYFUNCTION("""COMPUTED_VALUE"""),"")</f>
        <v/>
      </c>
      <c r="X8206" s="16" t="str">
        <f>IFERROR(__xludf.DUMMYFUNCTION("""COMPUTED_VALUE"""),"")</f>
        <v/>
      </c>
      <c r="AC8206" s="16" t="str">
        <f>IFERROR(__xludf.DUMMYFUNCTION("""COMPUTED_VALUE"""),"")</f>
        <v/>
      </c>
    </row>
    <row r="8207">
      <c r="A8207" s="16" t="s">
        <v>87</v>
      </c>
      <c r="E8207" s="16" t="str">
        <f>IFERROR(__xludf.DUMMYFUNCTION("""COMPUTED_VALUE"""),"")</f>
        <v/>
      </c>
      <c r="G8207" s="18"/>
      <c r="H8207" s="16" t="s">
        <v>87</v>
      </c>
      <c r="I8207" s="16" t="s">
        <v>87</v>
      </c>
      <c r="J8207" s="19"/>
      <c r="L8207" s="16" t="str">
        <f>IFERROR(__xludf.DUMMYFUNCTION("""COMPUTED_VALUE"""),"")</f>
        <v/>
      </c>
      <c r="M8207" s="16" t="str">
        <f>IFERROR(__xludf.DUMMYFUNCTION("""COMPUTED_VALUE"""),"")</f>
        <v/>
      </c>
      <c r="U8207" s="16" t="s">
        <v>87</v>
      </c>
      <c r="V8207" s="16" t="str">
        <f>IFERROR(__xludf.DUMMYFUNCTION("""COMPUTED_VALUE"""),"")</f>
        <v/>
      </c>
      <c r="W8207" s="16" t="str">
        <f>IFERROR(__xludf.DUMMYFUNCTION("""COMPUTED_VALUE"""),"")</f>
        <v/>
      </c>
      <c r="X8207" s="16" t="str">
        <f>IFERROR(__xludf.DUMMYFUNCTION("""COMPUTED_VALUE"""),"")</f>
        <v/>
      </c>
      <c r="AC8207" s="16" t="str">
        <f>IFERROR(__xludf.DUMMYFUNCTION("""COMPUTED_VALUE"""),"")</f>
        <v/>
      </c>
    </row>
    <row r="8208">
      <c r="A8208" s="16" t="s">
        <v>87</v>
      </c>
      <c r="E8208" s="16" t="str">
        <f>IFERROR(__xludf.DUMMYFUNCTION("""COMPUTED_VALUE"""),"")</f>
        <v/>
      </c>
      <c r="G8208" s="18"/>
      <c r="H8208" s="16" t="s">
        <v>87</v>
      </c>
      <c r="I8208" s="16" t="s">
        <v>87</v>
      </c>
      <c r="J8208" s="19"/>
      <c r="L8208" s="16" t="str">
        <f>IFERROR(__xludf.DUMMYFUNCTION("""COMPUTED_VALUE"""),"")</f>
        <v/>
      </c>
      <c r="M8208" s="16" t="str">
        <f>IFERROR(__xludf.DUMMYFUNCTION("""COMPUTED_VALUE"""),"")</f>
        <v/>
      </c>
      <c r="U8208" s="16" t="s">
        <v>87</v>
      </c>
      <c r="V8208" s="16" t="str">
        <f>IFERROR(__xludf.DUMMYFUNCTION("""COMPUTED_VALUE"""),"")</f>
        <v/>
      </c>
      <c r="W8208" s="16" t="str">
        <f>IFERROR(__xludf.DUMMYFUNCTION("""COMPUTED_VALUE"""),"")</f>
        <v/>
      </c>
      <c r="X8208" s="16" t="str">
        <f>IFERROR(__xludf.DUMMYFUNCTION("""COMPUTED_VALUE"""),"")</f>
        <v/>
      </c>
      <c r="AC8208" s="16" t="str">
        <f>IFERROR(__xludf.DUMMYFUNCTION("""COMPUTED_VALUE"""),"")</f>
        <v/>
      </c>
    </row>
    <row r="8209">
      <c r="A8209" s="16" t="s">
        <v>87</v>
      </c>
      <c r="E8209" s="16" t="str">
        <f>IFERROR(__xludf.DUMMYFUNCTION("""COMPUTED_VALUE"""),"")</f>
        <v/>
      </c>
      <c r="G8209" s="18"/>
      <c r="H8209" s="16" t="s">
        <v>87</v>
      </c>
      <c r="I8209" s="16" t="s">
        <v>87</v>
      </c>
      <c r="J8209" s="19"/>
      <c r="L8209" s="16" t="str">
        <f>IFERROR(__xludf.DUMMYFUNCTION("""COMPUTED_VALUE"""),"")</f>
        <v/>
      </c>
      <c r="M8209" s="16" t="str">
        <f>IFERROR(__xludf.DUMMYFUNCTION("""COMPUTED_VALUE"""),"")</f>
        <v/>
      </c>
      <c r="U8209" s="16" t="s">
        <v>87</v>
      </c>
      <c r="V8209" s="16" t="str">
        <f>IFERROR(__xludf.DUMMYFUNCTION("""COMPUTED_VALUE"""),"")</f>
        <v/>
      </c>
      <c r="W8209" s="16" t="str">
        <f>IFERROR(__xludf.DUMMYFUNCTION("""COMPUTED_VALUE"""),"")</f>
        <v/>
      </c>
      <c r="X8209" s="16" t="str">
        <f>IFERROR(__xludf.DUMMYFUNCTION("""COMPUTED_VALUE"""),"")</f>
        <v/>
      </c>
      <c r="AC8209" s="16" t="str">
        <f>IFERROR(__xludf.DUMMYFUNCTION("""COMPUTED_VALUE"""),"")</f>
        <v/>
      </c>
    </row>
    <row r="8210">
      <c r="A8210" s="16" t="s">
        <v>87</v>
      </c>
      <c r="E8210" s="16" t="str">
        <f>IFERROR(__xludf.DUMMYFUNCTION("""COMPUTED_VALUE"""),"")</f>
        <v/>
      </c>
      <c r="G8210" s="18"/>
      <c r="H8210" s="16" t="s">
        <v>87</v>
      </c>
      <c r="I8210" s="16" t="s">
        <v>87</v>
      </c>
      <c r="J8210" s="19"/>
      <c r="L8210" s="16" t="str">
        <f>IFERROR(__xludf.DUMMYFUNCTION("""COMPUTED_VALUE"""),"")</f>
        <v/>
      </c>
      <c r="M8210" s="16" t="str">
        <f>IFERROR(__xludf.DUMMYFUNCTION("""COMPUTED_VALUE"""),"")</f>
        <v/>
      </c>
      <c r="U8210" s="16" t="s">
        <v>87</v>
      </c>
      <c r="V8210" s="16" t="str">
        <f>IFERROR(__xludf.DUMMYFUNCTION("""COMPUTED_VALUE"""),"")</f>
        <v/>
      </c>
      <c r="W8210" s="16" t="str">
        <f>IFERROR(__xludf.DUMMYFUNCTION("""COMPUTED_VALUE"""),"")</f>
        <v/>
      </c>
      <c r="X8210" s="16" t="str">
        <f>IFERROR(__xludf.DUMMYFUNCTION("""COMPUTED_VALUE"""),"")</f>
        <v/>
      </c>
      <c r="AC8210" s="16" t="str">
        <f>IFERROR(__xludf.DUMMYFUNCTION("""COMPUTED_VALUE"""),"")</f>
        <v/>
      </c>
    </row>
    <row r="8211">
      <c r="A8211" s="16" t="s">
        <v>87</v>
      </c>
      <c r="E8211" s="16" t="str">
        <f>IFERROR(__xludf.DUMMYFUNCTION("""COMPUTED_VALUE"""),"")</f>
        <v/>
      </c>
      <c r="G8211" s="18"/>
      <c r="H8211" s="16" t="s">
        <v>87</v>
      </c>
      <c r="I8211" s="16" t="s">
        <v>87</v>
      </c>
      <c r="J8211" s="19"/>
      <c r="L8211" s="16" t="str">
        <f>IFERROR(__xludf.DUMMYFUNCTION("""COMPUTED_VALUE"""),"")</f>
        <v/>
      </c>
      <c r="M8211" s="16" t="str">
        <f>IFERROR(__xludf.DUMMYFUNCTION("""COMPUTED_VALUE"""),"")</f>
        <v/>
      </c>
      <c r="U8211" s="16" t="s">
        <v>87</v>
      </c>
      <c r="V8211" s="16" t="str">
        <f>IFERROR(__xludf.DUMMYFUNCTION("""COMPUTED_VALUE"""),"")</f>
        <v/>
      </c>
      <c r="W8211" s="16" t="str">
        <f>IFERROR(__xludf.DUMMYFUNCTION("""COMPUTED_VALUE"""),"")</f>
        <v/>
      </c>
      <c r="X8211" s="16" t="str">
        <f>IFERROR(__xludf.DUMMYFUNCTION("""COMPUTED_VALUE"""),"")</f>
        <v/>
      </c>
      <c r="AC8211" s="16" t="str">
        <f>IFERROR(__xludf.DUMMYFUNCTION("""COMPUTED_VALUE"""),"")</f>
        <v/>
      </c>
    </row>
    <row r="8212">
      <c r="A8212" s="16" t="s">
        <v>87</v>
      </c>
      <c r="E8212" s="16" t="str">
        <f>IFERROR(__xludf.DUMMYFUNCTION("""COMPUTED_VALUE"""),"")</f>
        <v/>
      </c>
      <c r="G8212" s="18"/>
      <c r="H8212" s="16" t="s">
        <v>87</v>
      </c>
      <c r="I8212" s="16" t="s">
        <v>87</v>
      </c>
      <c r="J8212" s="19"/>
      <c r="L8212" s="16" t="str">
        <f>IFERROR(__xludf.DUMMYFUNCTION("""COMPUTED_VALUE"""),"")</f>
        <v/>
      </c>
      <c r="M8212" s="16" t="str">
        <f>IFERROR(__xludf.DUMMYFUNCTION("""COMPUTED_VALUE"""),"")</f>
        <v/>
      </c>
      <c r="U8212" s="16" t="s">
        <v>87</v>
      </c>
      <c r="V8212" s="16" t="str">
        <f>IFERROR(__xludf.DUMMYFUNCTION("""COMPUTED_VALUE"""),"")</f>
        <v/>
      </c>
      <c r="W8212" s="16" t="str">
        <f>IFERROR(__xludf.DUMMYFUNCTION("""COMPUTED_VALUE"""),"")</f>
        <v/>
      </c>
      <c r="X8212" s="16" t="str">
        <f>IFERROR(__xludf.DUMMYFUNCTION("""COMPUTED_VALUE"""),"")</f>
        <v/>
      </c>
      <c r="AC8212" s="16" t="str">
        <f>IFERROR(__xludf.DUMMYFUNCTION("""COMPUTED_VALUE"""),"")</f>
        <v/>
      </c>
    </row>
    <row r="8213">
      <c r="A8213" s="16" t="s">
        <v>87</v>
      </c>
      <c r="E8213" s="16" t="str">
        <f>IFERROR(__xludf.DUMMYFUNCTION("""COMPUTED_VALUE"""),"")</f>
        <v/>
      </c>
      <c r="G8213" s="18"/>
      <c r="H8213" s="16" t="s">
        <v>87</v>
      </c>
      <c r="I8213" s="16" t="s">
        <v>87</v>
      </c>
      <c r="J8213" s="19"/>
      <c r="L8213" s="16" t="str">
        <f>IFERROR(__xludf.DUMMYFUNCTION("""COMPUTED_VALUE"""),"")</f>
        <v/>
      </c>
      <c r="M8213" s="16" t="str">
        <f>IFERROR(__xludf.DUMMYFUNCTION("""COMPUTED_VALUE"""),"")</f>
        <v/>
      </c>
      <c r="U8213" s="16" t="s">
        <v>87</v>
      </c>
      <c r="V8213" s="16" t="str">
        <f>IFERROR(__xludf.DUMMYFUNCTION("""COMPUTED_VALUE"""),"")</f>
        <v/>
      </c>
      <c r="W8213" s="16" t="str">
        <f>IFERROR(__xludf.DUMMYFUNCTION("""COMPUTED_VALUE"""),"")</f>
        <v/>
      </c>
      <c r="X8213" s="16" t="str">
        <f>IFERROR(__xludf.DUMMYFUNCTION("""COMPUTED_VALUE"""),"")</f>
        <v/>
      </c>
      <c r="AC8213" s="16" t="str">
        <f>IFERROR(__xludf.DUMMYFUNCTION("""COMPUTED_VALUE"""),"")</f>
        <v/>
      </c>
    </row>
    <row r="8214">
      <c r="A8214" s="16" t="s">
        <v>87</v>
      </c>
      <c r="E8214" s="16" t="str">
        <f>IFERROR(__xludf.DUMMYFUNCTION("""COMPUTED_VALUE"""),"")</f>
        <v/>
      </c>
      <c r="G8214" s="18"/>
      <c r="H8214" s="16" t="s">
        <v>87</v>
      </c>
      <c r="I8214" s="16" t="s">
        <v>87</v>
      </c>
      <c r="J8214" s="19"/>
      <c r="L8214" s="16" t="str">
        <f>IFERROR(__xludf.DUMMYFUNCTION("""COMPUTED_VALUE"""),"")</f>
        <v/>
      </c>
      <c r="M8214" s="16" t="str">
        <f>IFERROR(__xludf.DUMMYFUNCTION("""COMPUTED_VALUE"""),"")</f>
        <v/>
      </c>
      <c r="U8214" s="16" t="s">
        <v>87</v>
      </c>
      <c r="V8214" s="16" t="str">
        <f>IFERROR(__xludf.DUMMYFUNCTION("""COMPUTED_VALUE"""),"")</f>
        <v/>
      </c>
      <c r="W8214" s="16" t="str">
        <f>IFERROR(__xludf.DUMMYFUNCTION("""COMPUTED_VALUE"""),"")</f>
        <v/>
      </c>
      <c r="X8214" s="16" t="str">
        <f>IFERROR(__xludf.DUMMYFUNCTION("""COMPUTED_VALUE"""),"")</f>
        <v/>
      </c>
      <c r="AC8214" s="16" t="str">
        <f>IFERROR(__xludf.DUMMYFUNCTION("""COMPUTED_VALUE"""),"")</f>
        <v/>
      </c>
    </row>
    <row r="8215">
      <c r="A8215" s="16" t="s">
        <v>87</v>
      </c>
      <c r="E8215" s="16" t="str">
        <f>IFERROR(__xludf.DUMMYFUNCTION("""COMPUTED_VALUE"""),"")</f>
        <v/>
      </c>
      <c r="G8215" s="18"/>
      <c r="H8215" s="16" t="s">
        <v>87</v>
      </c>
      <c r="I8215" s="16" t="s">
        <v>87</v>
      </c>
      <c r="J8215" s="19"/>
      <c r="L8215" s="16" t="str">
        <f>IFERROR(__xludf.DUMMYFUNCTION("""COMPUTED_VALUE"""),"")</f>
        <v/>
      </c>
      <c r="M8215" s="16" t="str">
        <f>IFERROR(__xludf.DUMMYFUNCTION("""COMPUTED_VALUE"""),"")</f>
        <v/>
      </c>
      <c r="U8215" s="16" t="s">
        <v>87</v>
      </c>
      <c r="V8215" s="16" t="str">
        <f>IFERROR(__xludf.DUMMYFUNCTION("""COMPUTED_VALUE"""),"")</f>
        <v/>
      </c>
      <c r="W8215" s="16" t="str">
        <f>IFERROR(__xludf.DUMMYFUNCTION("""COMPUTED_VALUE"""),"")</f>
        <v/>
      </c>
      <c r="X8215" s="16" t="str">
        <f>IFERROR(__xludf.DUMMYFUNCTION("""COMPUTED_VALUE"""),"")</f>
        <v/>
      </c>
      <c r="AC8215" s="16" t="str">
        <f>IFERROR(__xludf.DUMMYFUNCTION("""COMPUTED_VALUE"""),"")</f>
        <v/>
      </c>
    </row>
    <row r="8216">
      <c r="A8216" s="16" t="s">
        <v>87</v>
      </c>
      <c r="E8216" s="16" t="str">
        <f>IFERROR(__xludf.DUMMYFUNCTION("""COMPUTED_VALUE"""),"")</f>
        <v/>
      </c>
      <c r="G8216" s="18"/>
      <c r="H8216" s="16" t="s">
        <v>87</v>
      </c>
      <c r="I8216" s="16" t="s">
        <v>87</v>
      </c>
      <c r="J8216" s="19"/>
      <c r="L8216" s="16" t="str">
        <f>IFERROR(__xludf.DUMMYFUNCTION("""COMPUTED_VALUE"""),"")</f>
        <v/>
      </c>
      <c r="M8216" s="16" t="str">
        <f>IFERROR(__xludf.DUMMYFUNCTION("""COMPUTED_VALUE"""),"")</f>
        <v/>
      </c>
      <c r="U8216" s="16" t="s">
        <v>87</v>
      </c>
      <c r="V8216" s="16" t="str">
        <f>IFERROR(__xludf.DUMMYFUNCTION("""COMPUTED_VALUE"""),"")</f>
        <v/>
      </c>
      <c r="W8216" s="16" t="str">
        <f>IFERROR(__xludf.DUMMYFUNCTION("""COMPUTED_VALUE"""),"")</f>
        <v/>
      </c>
      <c r="X8216" s="16" t="str">
        <f>IFERROR(__xludf.DUMMYFUNCTION("""COMPUTED_VALUE"""),"")</f>
        <v/>
      </c>
      <c r="AC8216" s="16" t="str">
        <f>IFERROR(__xludf.DUMMYFUNCTION("""COMPUTED_VALUE"""),"")</f>
        <v/>
      </c>
    </row>
    <row r="8217">
      <c r="A8217" s="16" t="s">
        <v>87</v>
      </c>
      <c r="E8217" s="16" t="str">
        <f>IFERROR(__xludf.DUMMYFUNCTION("""COMPUTED_VALUE"""),"")</f>
        <v/>
      </c>
      <c r="G8217" s="18"/>
      <c r="H8217" s="16" t="s">
        <v>87</v>
      </c>
      <c r="I8217" s="16" t="s">
        <v>87</v>
      </c>
      <c r="J8217" s="19"/>
      <c r="L8217" s="16" t="str">
        <f>IFERROR(__xludf.DUMMYFUNCTION("""COMPUTED_VALUE"""),"")</f>
        <v/>
      </c>
      <c r="M8217" s="16" t="str">
        <f>IFERROR(__xludf.DUMMYFUNCTION("""COMPUTED_VALUE"""),"")</f>
        <v/>
      </c>
      <c r="U8217" s="16" t="s">
        <v>87</v>
      </c>
      <c r="V8217" s="16" t="str">
        <f>IFERROR(__xludf.DUMMYFUNCTION("""COMPUTED_VALUE"""),"")</f>
        <v/>
      </c>
      <c r="W8217" s="16" t="str">
        <f>IFERROR(__xludf.DUMMYFUNCTION("""COMPUTED_VALUE"""),"")</f>
        <v/>
      </c>
      <c r="X8217" s="16" t="str">
        <f>IFERROR(__xludf.DUMMYFUNCTION("""COMPUTED_VALUE"""),"")</f>
        <v/>
      </c>
      <c r="AC8217" s="16" t="str">
        <f>IFERROR(__xludf.DUMMYFUNCTION("""COMPUTED_VALUE"""),"")</f>
        <v/>
      </c>
    </row>
    <row r="8218">
      <c r="A8218" s="16" t="s">
        <v>87</v>
      </c>
      <c r="E8218" s="16" t="str">
        <f>IFERROR(__xludf.DUMMYFUNCTION("""COMPUTED_VALUE"""),"")</f>
        <v/>
      </c>
      <c r="G8218" s="18"/>
      <c r="H8218" s="16" t="s">
        <v>87</v>
      </c>
      <c r="I8218" s="16" t="s">
        <v>87</v>
      </c>
      <c r="J8218" s="19"/>
      <c r="L8218" s="16" t="str">
        <f>IFERROR(__xludf.DUMMYFUNCTION("""COMPUTED_VALUE"""),"")</f>
        <v/>
      </c>
      <c r="M8218" s="16" t="str">
        <f>IFERROR(__xludf.DUMMYFUNCTION("""COMPUTED_VALUE"""),"")</f>
        <v/>
      </c>
      <c r="U8218" s="16" t="s">
        <v>87</v>
      </c>
      <c r="V8218" s="16" t="str">
        <f>IFERROR(__xludf.DUMMYFUNCTION("""COMPUTED_VALUE"""),"")</f>
        <v/>
      </c>
      <c r="W8218" s="16" t="str">
        <f>IFERROR(__xludf.DUMMYFUNCTION("""COMPUTED_VALUE"""),"")</f>
        <v/>
      </c>
      <c r="X8218" s="16" t="str">
        <f>IFERROR(__xludf.DUMMYFUNCTION("""COMPUTED_VALUE"""),"")</f>
        <v/>
      </c>
      <c r="AC8218" s="16" t="str">
        <f>IFERROR(__xludf.DUMMYFUNCTION("""COMPUTED_VALUE"""),"")</f>
        <v/>
      </c>
    </row>
    <row r="8219">
      <c r="A8219" s="16" t="s">
        <v>87</v>
      </c>
      <c r="E8219" s="16" t="str">
        <f>IFERROR(__xludf.DUMMYFUNCTION("""COMPUTED_VALUE"""),"")</f>
        <v/>
      </c>
      <c r="G8219" s="18"/>
      <c r="H8219" s="16" t="s">
        <v>87</v>
      </c>
      <c r="I8219" s="16" t="s">
        <v>87</v>
      </c>
      <c r="J8219" s="19"/>
      <c r="L8219" s="16" t="str">
        <f>IFERROR(__xludf.DUMMYFUNCTION("""COMPUTED_VALUE"""),"")</f>
        <v/>
      </c>
      <c r="M8219" s="16" t="str">
        <f>IFERROR(__xludf.DUMMYFUNCTION("""COMPUTED_VALUE"""),"")</f>
        <v/>
      </c>
      <c r="U8219" s="16" t="s">
        <v>87</v>
      </c>
      <c r="V8219" s="16" t="str">
        <f>IFERROR(__xludf.DUMMYFUNCTION("""COMPUTED_VALUE"""),"")</f>
        <v/>
      </c>
      <c r="W8219" s="16" t="str">
        <f>IFERROR(__xludf.DUMMYFUNCTION("""COMPUTED_VALUE"""),"")</f>
        <v/>
      </c>
      <c r="X8219" s="16" t="str">
        <f>IFERROR(__xludf.DUMMYFUNCTION("""COMPUTED_VALUE"""),"")</f>
        <v/>
      </c>
      <c r="AC8219" s="16" t="str">
        <f>IFERROR(__xludf.DUMMYFUNCTION("""COMPUTED_VALUE"""),"")</f>
        <v/>
      </c>
    </row>
    <row r="8220">
      <c r="A8220" s="16" t="s">
        <v>87</v>
      </c>
      <c r="E8220" s="16" t="str">
        <f>IFERROR(__xludf.DUMMYFUNCTION("""COMPUTED_VALUE"""),"")</f>
        <v/>
      </c>
      <c r="G8220" s="18"/>
      <c r="H8220" s="16" t="s">
        <v>87</v>
      </c>
      <c r="I8220" s="16" t="s">
        <v>87</v>
      </c>
      <c r="J8220" s="19"/>
      <c r="L8220" s="16" t="str">
        <f>IFERROR(__xludf.DUMMYFUNCTION("""COMPUTED_VALUE"""),"")</f>
        <v/>
      </c>
      <c r="M8220" s="16" t="str">
        <f>IFERROR(__xludf.DUMMYFUNCTION("""COMPUTED_VALUE"""),"")</f>
        <v/>
      </c>
      <c r="U8220" s="16" t="s">
        <v>87</v>
      </c>
      <c r="V8220" s="16" t="str">
        <f>IFERROR(__xludf.DUMMYFUNCTION("""COMPUTED_VALUE"""),"")</f>
        <v/>
      </c>
      <c r="W8220" s="16" t="str">
        <f>IFERROR(__xludf.DUMMYFUNCTION("""COMPUTED_VALUE"""),"")</f>
        <v/>
      </c>
      <c r="X8220" s="16" t="str">
        <f>IFERROR(__xludf.DUMMYFUNCTION("""COMPUTED_VALUE"""),"")</f>
        <v/>
      </c>
      <c r="AC8220" s="16" t="str">
        <f>IFERROR(__xludf.DUMMYFUNCTION("""COMPUTED_VALUE"""),"")</f>
        <v/>
      </c>
    </row>
    <row r="8221">
      <c r="A8221" s="16" t="s">
        <v>87</v>
      </c>
      <c r="E8221" s="16" t="str">
        <f>IFERROR(__xludf.DUMMYFUNCTION("""COMPUTED_VALUE"""),"")</f>
        <v/>
      </c>
      <c r="G8221" s="18"/>
      <c r="H8221" s="16" t="s">
        <v>87</v>
      </c>
      <c r="I8221" s="16" t="s">
        <v>87</v>
      </c>
      <c r="J8221" s="19"/>
      <c r="L8221" s="16" t="str">
        <f>IFERROR(__xludf.DUMMYFUNCTION("""COMPUTED_VALUE"""),"")</f>
        <v/>
      </c>
      <c r="M8221" s="16" t="str">
        <f>IFERROR(__xludf.DUMMYFUNCTION("""COMPUTED_VALUE"""),"")</f>
        <v/>
      </c>
      <c r="U8221" s="16" t="s">
        <v>87</v>
      </c>
      <c r="V8221" s="16" t="str">
        <f>IFERROR(__xludf.DUMMYFUNCTION("""COMPUTED_VALUE"""),"")</f>
        <v/>
      </c>
      <c r="W8221" s="16" t="str">
        <f>IFERROR(__xludf.DUMMYFUNCTION("""COMPUTED_VALUE"""),"")</f>
        <v/>
      </c>
      <c r="X8221" s="16" t="str">
        <f>IFERROR(__xludf.DUMMYFUNCTION("""COMPUTED_VALUE"""),"")</f>
        <v/>
      </c>
      <c r="AC8221" s="16" t="str">
        <f>IFERROR(__xludf.DUMMYFUNCTION("""COMPUTED_VALUE"""),"")</f>
        <v/>
      </c>
    </row>
    <row r="8222">
      <c r="A8222" s="16" t="s">
        <v>87</v>
      </c>
      <c r="E8222" s="16" t="str">
        <f>IFERROR(__xludf.DUMMYFUNCTION("""COMPUTED_VALUE"""),"")</f>
        <v/>
      </c>
      <c r="G8222" s="18"/>
      <c r="H8222" s="16" t="s">
        <v>87</v>
      </c>
      <c r="I8222" s="16" t="s">
        <v>87</v>
      </c>
      <c r="J8222" s="19"/>
      <c r="L8222" s="16" t="str">
        <f>IFERROR(__xludf.DUMMYFUNCTION("""COMPUTED_VALUE"""),"")</f>
        <v/>
      </c>
      <c r="M8222" s="16" t="str">
        <f>IFERROR(__xludf.DUMMYFUNCTION("""COMPUTED_VALUE"""),"")</f>
        <v/>
      </c>
      <c r="U8222" s="16" t="s">
        <v>87</v>
      </c>
      <c r="V8222" s="16" t="str">
        <f>IFERROR(__xludf.DUMMYFUNCTION("""COMPUTED_VALUE"""),"")</f>
        <v/>
      </c>
      <c r="W8222" s="16" t="str">
        <f>IFERROR(__xludf.DUMMYFUNCTION("""COMPUTED_VALUE"""),"")</f>
        <v/>
      </c>
      <c r="X8222" s="16" t="str">
        <f>IFERROR(__xludf.DUMMYFUNCTION("""COMPUTED_VALUE"""),"")</f>
        <v/>
      </c>
      <c r="AC8222" s="16" t="str">
        <f>IFERROR(__xludf.DUMMYFUNCTION("""COMPUTED_VALUE"""),"")</f>
        <v/>
      </c>
    </row>
    <row r="8223">
      <c r="A8223" s="16" t="s">
        <v>87</v>
      </c>
      <c r="E8223" s="16" t="str">
        <f>IFERROR(__xludf.DUMMYFUNCTION("""COMPUTED_VALUE"""),"")</f>
        <v/>
      </c>
      <c r="G8223" s="18"/>
      <c r="H8223" s="16" t="s">
        <v>87</v>
      </c>
      <c r="I8223" s="16" t="s">
        <v>87</v>
      </c>
      <c r="J8223" s="19"/>
      <c r="L8223" s="16" t="str">
        <f>IFERROR(__xludf.DUMMYFUNCTION("""COMPUTED_VALUE"""),"")</f>
        <v/>
      </c>
      <c r="M8223" s="16" t="str">
        <f>IFERROR(__xludf.DUMMYFUNCTION("""COMPUTED_VALUE"""),"")</f>
        <v/>
      </c>
      <c r="U8223" s="16" t="s">
        <v>87</v>
      </c>
      <c r="V8223" s="16" t="str">
        <f>IFERROR(__xludf.DUMMYFUNCTION("""COMPUTED_VALUE"""),"")</f>
        <v/>
      </c>
      <c r="W8223" s="16" t="str">
        <f>IFERROR(__xludf.DUMMYFUNCTION("""COMPUTED_VALUE"""),"")</f>
        <v/>
      </c>
      <c r="X8223" s="16" t="str">
        <f>IFERROR(__xludf.DUMMYFUNCTION("""COMPUTED_VALUE"""),"")</f>
        <v/>
      </c>
      <c r="AC8223" s="16" t="str">
        <f>IFERROR(__xludf.DUMMYFUNCTION("""COMPUTED_VALUE"""),"")</f>
        <v/>
      </c>
    </row>
    <row r="8224">
      <c r="A8224" s="16" t="s">
        <v>87</v>
      </c>
      <c r="E8224" s="16" t="str">
        <f>IFERROR(__xludf.DUMMYFUNCTION("""COMPUTED_VALUE"""),"")</f>
        <v/>
      </c>
      <c r="G8224" s="18"/>
      <c r="H8224" s="16" t="s">
        <v>87</v>
      </c>
      <c r="I8224" s="16" t="s">
        <v>87</v>
      </c>
      <c r="J8224" s="19"/>
      <c r="L8224" s="16" t="str">
        <f>IFERROR(__xludf.DUMMYFUNCTION("""COMPUTED_VALUE"""),"")</f>
        <v/>
      </c>
      <c r="M8224" s="16" t="str">
        <f>IFERROR(__xludf.DUMMYFUNCTION("""COMPUTED_VALUE"""),"")</f>
        <v/>
      </c>
      <c r="U8224" s="16" t="s">
        <v>87</v>
      </c>
      <c r="V8224" s="16" t="str">
        <f>IFERROR(__xludf.DUMMYFUNCTION("""COMPUTED_VALUE"""),"")</f>
        <v/>
      </c>
      <c r="W8224" s="16" t="str">
        <f>IFERROR(__xludf.DUMMYFUNCTION("""COMPUTED_VALUE"""),"")</f>
        <v/>
      </c>
      <c r="X8224" s="16" t="str">
        <f>IFERROR(__xludf.DUMMYFUNCTION("""COMPUTED_VALUE"""),"")</f>
        <v/>
      </c>
      <c r="AC8224" s="16" t="str">
        <f>IFERROR(__xludf.DUMMYFUNCTION("""COMPUTED_VALUE"""),"")</f>
        <v/>
      </c>
    </row>
    <row r="8225">
      <c r="A8225" s="16" t="s">
        <v>87</v>
      </c>
      <c r="E8225" s="16" t="str">
        <f>IFERROR(__xludf.DUMMYFUNCTION("""COMPUTED_VALUE"""),"")</f>
        <v/>
      </c>
      <c r="G8225" s="18"/>
      <c r="H8225" s="16" t="s">
        <v>87</v>
      </c>
      <c r="I8225" s="16" t="s">
        <v>87</v>
      </c>
      <c r="J8225" s="19"/>
      <c r="L8225" s="16" t="str">
        <f>IFERROR(__xludf.DUMMYFUNCTION("""COMPUTED_VALUE"""),"")</f>
        <v/>
      </c>
      <c r="M8225" s="16" t="str">
        <f>IFERROR(__xludf.DUMMYFUNCTION("""COMPUTED_VALUE"""),"")</f>
        <v/>
      </c>
      <c r="U8225" s="16" t="s">
        <v>87</v>
      </c>
      <c r="V8225" s="16" t="str">
        <f>IFERROR(__xludf.DUMMYFUNCTION("""COMPUTED_VALUE"""),"")</f>
        <v/>
      </c>
      <c r="W8225" s="16" t="str">
        <f>IFERROR(__xludf.DUMMYFUNCTION("""COMPUTED_VALUE"""),"")</f>
        <v/>
      </c>
      <c r="X8225" s="16" t="str">
        <f>IFERROR(__xludf.DUMMYFUNCTION("""COMPUTED_VALUE"""),"")</f>
        <v/>
      </c>
      <c r="AC8225" s="16" t="str">
        <f>IFERROR(__xludf.DUMMYFUNCTION("""COMPUTED_VALUE"""),"")</f>
        <v/>
      </c>
    </row>
    <row r="8226">
      <c r="A8226" s="16" t="s">
        <v>87</v>
      </c>
      <c r="E8226" s="16" t="str">
        <f>IFERROR(__xludf.DUMMYFUNCTION("""COMPUTED_VALUE"""),"")</f>
        <v/>
      </c>
      <c r="G8226" s="18"/>
      <c r="H8226" s="16" t="s">
        <v>87</v>
      </c>
      <c r="I8226" s="16" t="s">
        <v>87</v>
      </c>
      <c r="J8226" s="19"/>
      <c r="L8226" s="16" t="str">
        <f>IFERROR(__xludf.DUMMYFUNCTION("""COMPUTED_VALUE"""),"")</f>
        <v/>
      </c>
      <c r="M8226" s="16" t="str">
        <f>IFERROR(__xludf.DUMMYFUNCTION("""COMPUTED_VALUE"""),"")</f>
        <v/>
      </c>
      <c r="U8226" s="16" t="s">
        <v>87</v>
      </c>
      <c r="V8226" s="16" t="str">
        <f>IFERROR(__xludf.DUMMYFUNCTION("""COMPUTED_VALUE"""),"")</f>
        <v/>
      </c>
      <c r="W8226" s="16" t="str">
        <f>IFERROR(__xludf.DUMMYFUNCTION("""COMPUTED_VALUE"""),"")</f>
        <v/>
      </c>
      <c r="X8226" s="16" t="str">
        <f>IFERROR(__xludf.DUMMYFUNCTION("""COMPUTED_VALUE"""),"")</f>
        <v/>
      </c>
      <c r="AC8226" s="16" t="str">
        <f>IFERROR(__xludf.DUMMYFUNCTION("""COMPUTED_VALUE"""),"")</f>
        <v/>
      </c>
    </row>
    <row r="8227">
      <c r="A8227" s="16" t="s">
        <v>87</v>
      </c>
      <c r="E8227" s="16" t="str">
        <f>IFERROR(__xludf.DUMMYFUNCTION("""COMPUTED_VALUE"""),"")</f>
        <v/>
      </c>
      <c r="G8227" s="18"/>
      <c r="H8227" s="16" t="s">
        <v>87</v>
      </c>
      <c r="I8227" s="16" t="s">
        <v>87</v>
      </c>
      <c r="J8227" s="19"/>
      <c r="L8227" s="16" t="str">
        <f>IFERROR(__xludf.DUMMYFUNCTION("""COMPUTED_VALUE"""),"")</f>
        <v/>
      </c>
      <c r="M8227" s="16" t="str">
        <f>IFERROR(__xludf.DUMMYFUNCTION("""COMPUTED_VALUE"""),"")</f>
        <v/>
      </c>
      <c r="U8227" s="16" t="s">
        <v>87</v>
      </c>
      <c r="V8227" s="16" t="str">
        <f>IFERROR(__xludf.DUMMYFUNCTION("""COMPUTED_VALUE"""),"")</f>
        <v/>
      </c>
      <c r="W8227" s="16" t="str">
        <f>IFERROR(__xludf.DUMMYFUNCTION("""COMPUTED_VALUE"""),"")</f>
        <v/>
      </c>
      <c r="X8227" s="16" t="str">
        <f>IFERROR(__xludf.DUMMYFUNCTION("""COMPUTED_VALUE"""),"")</f>
        <v/>
      </c>
      <c r="AC8227" s="16" t="str">
        <f>IFERROR(__xludf.DUMMYFUNCTION("""COMPUTED_VALUE"""),"")</f>
        <v/>
      </c>
    </row>
    <row r="8228">
      <c r="A8228" s="16" t="s">
        <v>87</v>
      </c>
      <c r="E8228" s="16" t="str">
        <f>IFERROR(__xludf.DUMMYFUNCTION("""COMPUTED_VALUE"""),"")</f>
        <v/>
      </c>
      <c r="G8228" s="18"/>
      <c r="H8228" s="16" t="s">
        <v>87</v>
      </c>
      <c r="I8228" s="16" t="s">
        <v>87</v>
      </c>
      <c r="J8228" s="19"/>
      <c r="L8228" s="16" t="str">
        <f>IFERROR(__xludf.DUMMYFUNCTION("""COMPUTED_VALUE"""),"")</f>
        <v/>
      </c>
      <c r="M8228" s="16" t="str">
        <f>IFERROR(__xludf.DUMMYFUNCTION("""COMPUTED_VALUE"""),"")</f>
        <v/>
      </c>
      <c r="U8228" s="16" t="s">
        <v>87</v>
      </c>
      <c r="V8228" s="16" t="str">
        <f>IFERROR(__xludf.DUMMYFUNCTION("""COMPUTED_VALUE"""),"")</f>
        <v/>
      </c>
      <c r="W8228" s="16" t="str">
        <f>IFERROR(__xludf.DUMMYFUNCTION("""COMPUTED_VALUE"""),"")</f>
        <v/>
      </c>
      <c r="X8228" s="16" t="str">
        <f>IFERROR(__xludf.DUMMYFUNCTION("""COMPUTED_VALUE"""),"")</f>
        <v/>
      </c>
      <c r="AC8228" s="16" t="str">
        <f>IFERROR(__xludf.DUMMYFUNCTION("""COMPUTED_VALUE"""),"")</f>
        <v/>
      </c>
    </row>
    <row r="8229">
      <c r="A8229" s="16" t="s">
        <v>87</v>
      </c>
      <c r="E8229" s="16" t="str">
        <f>IFERROR(__xludf.DUMMYFUNCTION("""COMPUTED_VALUE"""),"")</f>
        <v/>
      </c>
      <c r="G8229" s="18"/>
      <c r="H8229" s="16" t="s">
        <v>87</v>
      </c>
      <c r="I8229" s="16" t="s">
        <v>87</v>
      </c>
      <c r="J8229" s="19"/>
      <c r="L8229" s="16" t="str">
        <f>IFERROR(__xludf.DUMMYFUNCTION("""COMPUTED_VALUE"""),"")</f>
        <v/>
      </c>
      <c r="M8229" s="16" t="str">
        <f>IFERROR(__xludf.DUMMYFUNCTION("""COMPUTED_VALUE"""),"")</f>
        <v/>
      </c>
      <c r="U8229" s="16" t="s">
        <v>87</v>
      </c>
      <c r="V8229" s="16" t="str">
        <f>IFERROR(__xludf.DUMMYFUNCTION("""COMPUTED_VALUE"""),"")</f>
        <v/>
      </c>
      <c r="W8229" s="16" t="str">
        <f>IFERROR(__xludf.DUMMYFUNCTION("""COMPUTED_VALUE"""),"")</f>
        <v/>
      </c>
      <c r="X8229" s="16" t="str">
        <f>IFERROR(__xludf.DUMMYFUNCTION("""COMPUTED_VALUE"""),"")</f>
        <v/>
      </c>
      <c r="AC8229" s="16" t="str">
        <f>IFERROR(__xludf.DUMMYFUNCTION("""COMPUTED_VALUE"""),"")</f>
        <v/>
      </c>
    </row>
    <row r="8230">
      <c r="A8230" s="16" t="s">
        <v>87</v>
      </c>
      <c r="E8230" s="16" t="str">
        <f>IFERROR(__xludf.DUMMYFUNCTION("""COMPUTED_VALUE"""),"")</f>
        <v/>
      </c>
      <c r="G8230" s="18"/>
      <c r="H8230" s="16" t="s">
        <v>87</v>
      </c>
      <c r="I8230" s="16" t="s">
        <v>87</v>
      </c>
      <c r="J8230" s="19"/>
      <c r="L8230" s="16" t="str">
        <f>IFERROR(__xludf.DUMMYFUNCTION("""COMPUTED_VALUE"""),"")</f>
        <v/>
      </c>
      <c r="M8230" s="16" t="str">
        <f>IFERROR(__xludf.DUMMYFUNCTION("""COMPUTED_VALUE"""),"")</f>
        <v/>
      </c>
      <c r="U8230" s="16" t="s">
        <v>87</v>
      </c>
      <c r="V8230" s="16" t="str">
        <f>IFERROR(__xludf.DUMMYFUNCTION("""COMPUTED_VALUE"""),"")</f>
        <v/>
      </c>
      <c r="W8230" s="16" t="str">
        <f>IFERROR(__xludf.DUMMYFUNCTION("""COMPUTED_VALUE"""),"")</f>
        <v/>
      </c>
      <c r="X8230" s="16" t="str">
        <f>IFERROR(__xludf.DUMMYFUNCTION("""COMPUTED_VALUE"""),"")</f>
        <v/>
      </c>
      <c r="AC8230" s="16" t="str">
        <f>IFERROR(__xludf.DUMMYFUNCTION("""COMPUTED_VALUE"""),"")</f>
        <v/>
      </c>
    </row>
    <row r="8231">
      <c r="A8231" s="16" t="s">
        <v>87</v>
      </c>
      <c r="E8231" s="16" t="str">
        <f>IFERROR(__xludf.DUMMYFUNCTION("""COMPUTED_VALUE"""),"")</f>
        <v/>
      </c>
      <c r="G8231" s="18"/>
      <c r="H8231" s="16" t="s">
        <v>87</v>
      </c>
      <c r="I8231" s="16" t="s">
        <v>87</v>
      </c>
      <c r="J8231" s="19"/>
      <c r="L8231" s="16" t="str">
        <f>IFERROR(__xludf.DUMMYFUNCTION("""COMPUTED_VALUE"""),"")</f>
        <v/>
      </c>
      <c r="M8231" s="16" t="str">
        <f>IFERROR(__xludf.DUMMYFUNCTION("""COMPUTED_VALUE"""),"")</f>
        <v/>
      </c>
      <c r="U8231" s="16" t="s">
        <v>87</v>
      </c>
      <c r="V8231" s="16" t="str">
        <f>IFERROR(__xludf.DUMMYFUNCTION("""COMPUTED_VALUE"""),"")</f>
        <v/>
      </c>
      <c r="W8231" s="16" t="str">
        <f>IFERROR(__xludf.DUMMYFUNCTION("""COMPUTED_VALUE"""),"")</f>
        <v/>
      </c>
      <c r="X8231" s="16" t="str">
        <f>IFERROR(__xludf.DUMMYFUNCTION("""COMPUTED_VALUE"""),"")</f>
        <v/>
      </c>
      <c r="AC8231" s="16" t="str">
        <f>IFERROR(__xludf.DUMMYFUNCTION("""COMPUTED_VALUE"""),"")</f>
        <v/>
      </c>
    </row>
    <row r="8232">
      <c r="A8232" s="16" t="s">
        <v>87</v>
      </c>
      <c r="E8232" s="16" t="str">
        <f>IFERROR(__xludf.DUMMYFUNCTION("""COMPUTED_VALUE"""),"")</f>
        <v/>
      </c>
      <c r="G8232" s="18"/>
      <c r="H8232" s="16" t="s">
        <v>87</v>
      </c>
      <c r="I8232" s="16" t="s">
        <v>87</v>
      </c>
      <c r="J8232" s="19"/>
      <c r="L8232" s="16" t="str">
        <f>IFERROR(__xludf.DUMMYFUNCTION("""COMPUTED_VALUE"""),"")</f>
        <v/>
      </c>
      <c r="M8232" s="16" t="str">
        <f>IFERROR(__xludf.DUMMYFUNCTION("""COMPUTED_VALUE"""),"")</f>
        <v/>
      </c>
      <c r="U8232" s="16" t="s">
        <v>87</v>
      </c>
      <c r="V8232" s="16" t="str">
        <f>IFERROR(__xludf.DUMMYFUNCTION("""COMPUTED_VALUE"""),"")</f>
        <v/>
      </c>
      <c r="W8232" s="16" t="str">
        <f>IFERROR(__xludf.DUMMYFUNCTION("""COMPUTED_VALUE"""),"")</f>
        <v/>
      </c>
      <c r="X8232" s="16" t="str">
        <f>IFERROR(__xludf.DUMMYFUNCTION("""COMPUTED_VALUE"""),"")</f>
        <v/>
      </c>
      <c r="AC8232" s="16" t="str">
        <f>IFERROR(__xludf.DUMMYFUNCTION("""COMPUTED_VALUE"""),"")</f>
        <v/>
      </c>
    </row>
    <row r="8233">
      <c r="A8233" s="16" t="s">
        <v>87</v>
      </c>
      <c r="E8233" s="16" t="str">
        <f>IFERROR(__xludf.DUMMYFUNCTION("""COMPUTED_VALUE"""),"")</f>
        <v/>
      </c>
      <c r="G8233" s="18"/>
      <c r="H8233" s="16" t="s">
        <v>87</v>
      </c>
      <c r="I8233" s="16" t="s">
        <v>87</v>
      </c>
      <c r="J8233" s="19"/>
      <c r="L8233" s="16" t="str">
        <f>IFERROR(__xludf.DUMMYFUNCTION("""COMPUTED_VALUE"""),"")</f>
        <v/>
      </c>
      <c r="M8233" s="16" t="str">
        <f>IFERROR(__xludf.DUMMYFUNCTION("""COMPUTED_VALUE"""),"")</f>
        <v/>
      </c>
      <c r="U8233" s="16" t="s">
        <v>87</v>
      </c>
      <c r="V8233" s="16" t="str">
        <f>IFERROR(__xludf.DUMMYFUNCTION("""COMPUTED_VALUE"""),"")</f>
        <v/>
      </c>
      <c r="W8233" s="16" t="str">
        <f>IFERROR(__xludf.DUMMYFUNCTION("""COMPUTED_VALUE"""),"")</f>
        <v/>
      </c>
      <c r="X8233" s="16" t="str">
        <f>IFERROR(__xludf.DUMMYFUNCTION("""COMPUTED_VALUE"""),"")</f>
        <v/>
      </c>
      <c r="AC8233" s="16" t="str">
        <f>IFERROR(__xludf.DUMMYFUNCTION("""COMPUTED_VALUE"""),"")</f>
        <v/>
      </c>
    </row>
    <row r="8234">
      <c r="A8234" s="16" t="s">
        <v>87</v>
      </c>
      <c r="E8234" s="16" t="str">
        <f>IFERROR(__xludf.DUMMYFUNCTION("""COMPUTED_VALUE"""),"")</f>
        <v/>
      </c>
      <c r="G8234" s="18"/>
      <c r="H8234" s="16" t="s">
        <v>87</v>
      </c>
      <c r="I8234" s="16" t="s">
        <v>87</v>
      </c>
      <c r="J8234" s="19"/>
      <c r="L8234" s="16" t="str">
        <f>IFERROR(__xludf.DUMMYFUNCTION("""COMPUTED_VALUE"""),"")</f>
        <v/>
      </c>
      <c r="M8234" s="16" t="str">
        <f>IFERROR(__xludf.DUMMYFUNCTION("""COMPUTED_VALUE"""),"")</f>
        <v/>
      </c>
      <c r="U8234" s="16" t="s">
        <v>87</v>
      </c>
      <c r="V8234" s="16" t="str">
        <f>IFERROR(__xludf.DUMMYFUNCTION("""COMPUTED_VALUE"""),"")</f>
        <v/>
      </c>
      <c r="W8234" s="16" t="str">
        <f>IFERROR(__xludf.DUMMYFUNCTION("""COMPUTED_VALUE"""),"")</f>
        <v/>
      </c>
      <c r="X8234" s="16" t="str">
        <f>IFERROR(__xludf.DUMMYFUNCTION("""COMPUTED_VALUE"""),"")</f>
        <v/>
      </c>
      <c r="AC8234" s="16" t="str">
        <f>IFERROR(__xludf.DUMMYFUNCTION("""COMPUTED_VALUE"""),"")</f>
        <v/>
      </c>
    </row>
    <row r="8235">
      <c r="A8235" s="16" t="s">
        <v>87</v>
      </c>
      <c r="E8235" s="16" t="str">
        <f>IFERROR(__xludf.DUMMYFUNCTION("""COMPUTED_VALUE"""),"")</f>
        <v/>
      </c>
      <c r="G8235" s="18"/>
      <c r="H8235" s="16" t="s">
        <v>87</v>
      </c>
      <c r="I8235" s="16" t="s">
        <v>87</v>
      </c>
      <c r="J8235" s="19"/>
      <c r="L8235" s="16" t="str">
        <f>IFERROR(__xludf.DUMMYFUNCTION("""COMPUTED_VALUE"""),"")</f>
        <v/>
      </c>
      <c r="M8235" s="16" t="str">
        <f>IFERROR(__xludf.DUMMYFUNCTION("""COMPUTED_VALUE"""),"")</f>
        <v/>
      </c>
      <c r="U8235" s="16" t="s">
        <v>87</v>
      </c>
      <c r="V8235" s="16" t="str">
        <f>IFERROR(__xludf.DUMMYFUNCTION("""COMPUTED_VALUE"""),"")</f>
        <v/>
      </c>
      <c r="W8235" s="16" t="str">
        <f>IFERROR(__xludf.DUMMYFUNCTION("""COMPUTED_VALUE"""),"")</f>
        <v/>
      </c>
      <c r="X8235" s="16" t="str">
        <f>IFERROR(__xludf.DUMMYFUNCTION("""COMPUTED_VALUE"""),"")</f>
        <v/>
      </c>
      <c r="AC8235" s="16" t="str">
        <f>IFERROR(__xludf.DUMMYFUNCTION("""COMPUTED_VALUE"""),"")</f>
        <v/>
      </c>
    </row>
    <row r="8236">
      <c r="A8236" s="16" t="s">
        <v>87</v>
      </c>
      <c r="E8236" s="16" t="str">
        <f>IFERROR(__xludf.DUMMYFUNCTION("""COMPUTED_VALUE"""),"")</f>
        <v/>
      </c>
      <c r="G8236" s="18"/>
      <c r="H8236" s="16" t="s">
        <v>87</v>
      </c>
      <c r="I8236" s="16" t="s">
        <v>87</v>
      </c>
      <c r="J8236" s="19"/>
      <c r="L8236" s="16" t="str">
        <f>IFERROR(__xludf.DUMMYFUNCTION("""COMPUTED_VALUE"""),"")</f>
        <v/>
      </c>
      <c r="M8236" s="16" t="str">
        <f>IFERROR(__xludf.DUMMYFUNCTION("""COMPUTED_VALUE"""),"")</f>
        <v/>
      </c>
      <c r="U8236" s="16" t="s">
        <v>87</v>
      </c>
      <c r="V8236" s="16" t="str">
        <f>IFERROR(__xludf.DUMMYFUNCTION("""COMPUTED_VALUE"""),"")</f>
        <v/>
      </c>
      <c r="W8236" s="16" t="str">
        <f>IFERROR(__xludf.DUMMYFUNCTION("""COMPUTED_VALUE"""),"")</f>
        <v/>
      </c>
      <c r="X8236" s="16" t="str">
        <f>IFERROR(__xludf.DUMMYFUNCTION("""COMPUTED_VALUE"""),"")</f>
        <v/>
      </c>
      <c r="AC8236" s="16" t="str">
        <f>IFERROR(__xludf.DUMMYFUNCTION("""COMPUTED_VALUE"""),"")</f>
        <v/>
      </c>
    </row>
    <row r="8237">
      <c r="A8237" s="16" t="s">
        <v>87</v>
      </c>
      <c r="E8237" s="16" t="str">
        <f>IFERROR(__xludf.DUMMYFUNCTION("""COMPUTED_VALUE"""),"")</f>
        <v/>
      </c>
      <c r="G8237" s="18"/>
      <c r="H8237" s="16" t="s">
        <v>87</v>
      </c>
      <c r="I8237" s="16" t="s">
        <v>87</v>
      </c>
      <c r="J8237" s="19"/>
      <c r="L8237" s="16" t="str">
        <f>IFERROR(__xludf.DUMMYFUNCTION("""COMPUTED_VALUE"""),"")</f>
        <v/>
      </c>
      <c r="M8237" s="16" t="str">
        <f>IFERROR(__xludf.DUMMYFUNCTION("""COMPUTED_VALUE"""),"")</f>
        <v/>
      </c>
      <c r="U8237" s="16" t="s">
        <v>87</v>
      </c>
      <c r="V8237" s="16" t="str">
        <f>IFERROR(__xludf.DUMMYFUNCTION("""COMPUTED_VALUE"""),"")</f>
        <v/>
      </c>
      <c r="W8237" s="16" t="str">
        <f>IFERROR(__xludf.DUMMYFUNCTION("""COMPUTED_VALUE"""),"")</f>
        <v/>
      </c>
      <c r="X8237" s="16" t="str">
        <f>IFERROR(__xludf.DUMMYFUNCTION("""COMPUTED_VALUE"""),"")</f>
        <v/>
      </c>
      <c r="AC8237" s="16" t="str">
        <f>IFERROR(__xludf.DUMMYFUNCTION("""COMPUTED_VALUE"""),"")</f>
        <v/>
      </c>
    </row>
    <row r="8238">
      <c r="A8238" s="16" t="s">
        <v>87</v>
      </c>
      <c r="E8238" s="16" t="str">
        <f>IFERROR(__xludf.DUMMYFUNCTION("""COMPUTED_VALUE"""),"")</f>
        <v/>
      </c>
      <c r="G8238" s="18"/>
      <c r="H8238" s="16" t="s">
        <v>87</v>
      </c>
      <c r="I8238" s="16" t="s">
        <v>87</v>
      </c>
      <c r="J8238" s="19"/>
      <c r="L8238" s="16" t="str">
        <f>IFERROR(__xludf.DUMMYFUNCTION("""COMPUTED_VALUE"""),"")</f>
        <v/>
      </c>
      <c r="M8238" s="16" t="str">
        <f>IFERROR(__xludf.DUMMYFUNCTION("""COMPUTED_VALUE"""),"")</f>
        <v/>
      </c>
      <c r="U8238" s="16" t="s">
        <v>87</v>
      </c>
      <c r="V8238" s="16" t="str">
        <f>IFERROR(__xludf.DUMMYFUNCTION("""COMPUTED_VALUE"""),"")</f>
        <v/>
      </c>
      <c r="W8238" s="16" t="str">
        <f>IFERROR(__xludf.DUMMYFUNCTION("""COMPUTED_VALUE"""),"")</f>
        <v/>
      </c>
      <c r="X8238" s="16" t="str">
        <f>IFERROR(__xludf.DUMMYFUNCTION("""COMPUTED_VALUE"""),"")</f>
        <v/>
      </c>
      <c r="AC8238" s="16" t="str">
        <f>IFERROR(__xludf.DUMMYFUNCTION("""COMPUTED_VALUE"""),"")</f>
        <v/>
      </c>
    </row>
    <row r="8239">
      <c r="A8239" s="16" t="s">
        <v>87</v>
      </c>
      <c r="E8239" s="16" t="str">
        <f>IFERROR(__xludf.DUMMYFUNCTION("""COMPUTED_VALUE"""),"")</f>
        <v/>
      </c>
      <c r="G8239" s="18"/>
      <c r="H8239" s="16" t="s">
        <v>87</v>
      </c>
      <c r="I8239" s="16" t="s">
        <v>87</v>
      </c>
      <c r="J8239" s="19"/>
      <c r="L8239" s="16" t="str">
        <f>IFERROR(__xludf.DUMMYFUNCTION("""COMPUTED_VALUE"""),"")</f>
        <v/>
      </c>
      <c r="M8239" s="16" t="str">
        <f>IFERROR(__xludf.DUMMYFUNCTION("""COMPUTED_VALUE"""),"")</f>
        <v/>
      </c>
      <c r="U8239" s="16" t="s">
        <v>87</v>
      </c>
      <c r="V8239" s="16" t="str">
        <f>IFERROR(__xludf.DUMMYFUNCTION("""COMPUTED_VALUE"""),"")</f>
        <v/>
      </c>
      <c r="W8239" s="16" t="str">
        <f>IFERROR(__xludf.DUMMYFUNCTION("""COMPUTED_VALUE"""),"")</f>
        <v/>
      </c>
      <c r="X8239" s="16" t="str">
        <f>IFERROR(__xludf.DUMMYFUNCTION("""COMPUTED_VALUE"""),"")</f>
        <v/>
      </c>
      <c r="AC8239" s="16" t="str">
        <f>IFERROR(__xludf.DUMMYFUNCTION("""COMPUTED_VALUE"""),"")</f>
        <v/>
      </c>
    </row>
    <row r="8240">
      <c r="A8240" s="16" t="s">
        <v>87</v>
      </c>
      <c r="E8240" s="16" t="str">
        <f>IFERROR(__xludf.DUMMYFUNCTION("""COMPUTED_VALUE"""),"")</f>
        <v/>
      </c>
      <c r="G8240" s="18"/>
      <c r="H8240" s="16" t="s">
        <v>87</v>
      </c>
      <c r="I8240" s="16" t="s">
        <v>87</v>
      </c>
      <c r="J8240" s="19"/>
      <c r="L8240" s="16" t="str">
        <f>IFERROR(__xludf.DUMMYFUNCTION("""COMPUTED_VALUE"""),"")</f>
        <v/>
      </c>
      <c r="M8240" s="16" t="str">
        <f>IFERROR(__xludf.DUMMYFUNCTION("""COMPUTED_VALUE"""),"")</f>
        <v/>
      </c>
      <c r="U8240" s="16" t="s">
        <v>87</v>
      </c>
      <c r="V8240" s="16" t="str">
        <f>IFERROR(__xludf.DUMMYFUNCTION("""COMPUTED_VALUE"""),"")</f>
        <v/>
      </c>
      <c r="W8240" s="16" t="str">
        <f>IFERROR(__xludf.DUMMYFUNCTION("""COMPUTED_VALUE"""),"")</f>
        <v/>
      </c>
      <c r="X8240" s="16" t="str">
        <f>IFERROR(__xludf.DUMMYFUNCTION("""COMPUTED_VALUE"""),"")</f>
        <v/>
      </c>
      <c r="AC8240" s="16" t="str">
        <f>IFERROR(__xludf.DUMMYFUNCTION("""COMPUTED_VALUE"""),"")</f>
        <v/>
      </c>
    </row>
    <row r="8241">
      <c r="A8241" s="16" t="s">
        <v>87</v>
      </c>
      <c r="E8241" s="16" t="str">
        <f>IFERROR(__xludf.DUMMYFUNCTION("""COMPUTED_VALUE"""),"")</f>
        <v/>
      </c>
      <c r="G8241" s="18"/>
      <c r="H8241" s="16" t="s">
        <v>87</v>
      </c>
      <c r="I8241" s="16" t="s">
        <v>87</v>
      </c>
      <c r="J8241" s="19"/>
      <c r="L8241" s="16" t="str">
        <f>IFERROR(__xludf.DUMMYFUNCTION("""COMPUTED_VALUE"""),"")</f>
        <v/>
      </c>
      <c r="M8241" s="16" t="str">
        <f>IFERROR(__xludf.DUMMYFUNCTION("""COMPUTED_VALUE"""),"")</f>
        <v/>
      </c>
      <c r="U8241" s="16" t="s">
        <v>87</v>
      </c>
      <c r="V8241" s="16" t="str">
        <f>IFERROR(__xludf.DUMMYFUNCTION("""COMPUTED_VALUE"""),"")</f>
        <v/>
      </c>
      <c r="W8241" s="16" t="str">
        <f>IFERROR(__xludf.DUMMYFUNCTION("""COMPUTED_VALUE"""),"")</f>
        <v/>
      </c>
      <c r="X8241" s="16" t="str">
        <f>IFERROR(__xludf.DUMMYFUNCTION("""COMPUTED_VALUE"""),"")</f>
        <v/>
      </c>
      <c r="AC8241" s="16" t="str">
        <f>IFERROR(__xludf.DUMMYFUNCTION("""COMPUTED_VALUE"""),"")</f>
        <v/>
      </c>
    </row>
    <row r="8242">
      <c r="A8242" s="16" t="s">
        <v>87</v>
      </c>
      <c r="E8242" s="16" t="str">
        <f>IFERROR(__xludf.DUMMYFUNCTION("""COMPUTED_VALUE"""),"")</f>
        <v/>
      </c>
      <c r="G8242" s="18"/>
      <c r="H8242" s="16" t="s">
        <v>87</v>
      </c>
      <c r="I8242" s="16" t="s">
        <v>87</v>
      </c>
      <c r="J8242" s="19"/>
      <c r="L8242" s="16" t="str">
        <f>IFERROR(__xludf.DUMMYFUNCTION("""COMPUTED_VALUE"""),"")</f>
        <v/>
      </c>
      <c r="M8242" s="16" t="str">
        <f>IFERROR(__xludf.DUMMYFUNCTION("""COMPUTED_VALUE"""),"")</f>
        <v/>
      </c>
      <c r="U8242" s="16" t="s">
        <v>87</v>
      </c>
      <c r="V8242" s="16" t="str">
        <f>IFERROR(__xludf.DUMMYFUNCTION("""COMPUTED_VALUE"""),"")</f>
        <v/>
      </c>
      <c r="W8242" s="16" t="str">
        <f>IFERROR(__xludf.DUMMYFUNCTION("""COMPUTED_VALUE"""),"")</f>
        <v/>
      </c>
      <c r="X8242" s="16" t="str">
        <f>IFERROR(__xludf.DUMMYFUNCTION("""COMPUTED_VALUE"""),"")</f>
        <v/>
      </c>
      <c r="AC8242" s="16" t="str">
        <f>IFERROR(__xludf.DUMMYFUNCTION("""COMPUTED_VALUE"""),"")</f>
        <v/>
      </c>
    </row>
    <row r="8243">
      <c r="A8243" s="16" t="s">
        <v>87</v>
      </c>
      <c r="E8243" s="16" t="str">
        <f>IFERROR(__xludf.DUMMYFUNCTION("""COMPUTED_VALUE"""),"")</f>
        <v/>
      </c>
      <c r="G8243" s="18"/>
      <c r="H8243" s="16" t="s">
        <v>87</v>
      </c>
      <c r="I8243" s="16" t="s">
        <v>87</v>
      </c>
      <c r="J8243" s="19"/>
      <c r="L8243" s="16" t="str">
        <f>IFERROR(__xludf.DUMMYFUNCTION("""COMPUTED_VALUE"""),"")</f>
        <v/>
      </c>
      <c r="M8243" s="16" t="str">
        <f>IFERROR(__xludf.DUMMYFUNCTION("""COMPUTED_VALUE"""),"")</f>
        <v/>
      </c>
      <c r="U8243" s="16" t="s">
        <v>87</v>
      </c>
      <c r="V8243" s="16" t="str">
        <f>IFERROR(__xludf.DUMMYFUNCTION("""COMPUTED_VALUE"""),"")</f>
        <v/>
      </c>
      <c r="W8243" s="16" t="str">
        <f>IFERROR(__xludf.DUMMYFUNCTION("""COMPUTED_VALUE"""),"")</f>
        <v/>
      </c>
      <c r="X8243" s="16" t="str">
        <f>IFERROR(__xludf.DUMMYFUNCTION("""COMPUTED_VALUE"""),"")</f>
        <v/>
      </c>
      <c r="AC8243" s="16" t="str">
        <f>IFERROR(__xludf.DUMMYFUNCTION("""COMPUTED_VALUE"""),"")</f>
        <v/>
      </c>
    </row>
    <row r="8244">
      <c r="A8244" s="16" t="s">
        <v>87</v>
      </c>
      <c r="E8244" s="16" t="str">
        <f>IFERROR(__xludf.DUMMYFUNCTION("""COMPUTED_VALUE"""),"")</f>
        <v/>
      </c>
      <c r="G8244" s="18"/>
      <c r="H8244" s="16" t="s">
        <v>87</v>
      </c>
      <c r="I8244" s="16" t="s">
        <v>87</v>
      </c>
      <c r="J8244" s="19"/>
      <c r="L8244" s="16" t="str">
        <f>IFERROR(__xludf.DUMMYFUNCTION("""COMPUTED_VALUE"""),"")</f>
        <v/>
      </c>
      <c r="M8244" s="16" t="str">
        <f>IFERROR(__xludf.DUMMYFUNCTION("""COMPUTED_VALUE"""),"")</f>
        <v/>
      </c>
      <c r="U8244" s="16" t="s">
        <v>87</v>
      </c>
      <c r="V8244" s="16" t="str">
        <f>IFERROR(__xludf.DUMMYFUNCTION("""COMPUTED_VALUE"""),"")</f>
        <v/>
      </c>
      <c r="W8244" s="16" t="str">
        <f>IFERROR(__xludf.DUMMYFUNCTION("""COMPUTED_VALUE"""),"")</f>
        <v/>
      </c>
      <c r="X8244" s="16" t="str">
        <f>IFERROR(__xludf.DUMMYFUNCTION("""COMPUTED_VALUE"""),"")</f>
        <v/>
      </c>
      <c r="AC8244" s="16" t="str">
        <f>IFERROR(__xludf.DUMMYFUNCTION("""COMPUTED_VALUE"""),"")</f>
        <v/>
      </c>
    </row>
    <row r="8245">
      <c r="A8245" s="16" t="s">
        <v>87</v>
      </c>
      <c r="E8245" s="16" t="str">
        <f>IFERROR(__xludf.DUMMYFUNCTION("""COMPUTED_VALUE"""),"")</f>
        <v/>
      </c>
      <c r="G8245" s="18"/>
      <c r="H8245" s="16" t="s">
        <v>87</v>
      </c>
      <c r="I8245" s="16" t="s">
        <v>87</v>
      </c>
      <c r="J8245" s="19"/>
      <c r="L8245" s="16" t="str">
        <f>IFERROR(__xludf.DUMMYFUNCTION("""COMPUTED_VALUE"""),"")</f>
        <v/>
      </c>
      <c r="M8245" s="16" t="str">
        <f>IFERROR(__xludf.DUMMYFUNCTION("""COMPUTED_VALUE"""),"")</f>
        <v/>
      </c>
      <c r="U8245" s="16" t="s">
        <v>87</v>
      </c>
      <c r="V8245" s="16" t="str">
        <f>IFERROR(__xludf.DUMMYFUNCTION("""COMPUTED_VALUE"""),"")</f>
        <v/>
      </c>
      <c r="W8245" s="16" t="str">
        <f>IFERROR(__xludf.DUMMYFUNCTION("""COMPUTED_VALUE"""),"")</f>
        <v/>
      </c>
      <c r="X8245" s="16" t="str">
        <f>IFERROR(__xludf.DUMMYFUNCTION("""COMPUTED_VALUE"""),"")</f>
        <v/>
      </c>
      <c r="AC8245" s="16" t="str">
        <f>IFERROR(__xludf.DUMMYFUNCTION("""COMPUTED_VALUE"""),"")</f>
        <v/>
      </c>
    </row>
    <row r="8246">
      <c r="A8246" s="16" t="s">
        <v>87</v>
      </c>
      <c r="E8246" s="16" t="str">
        <f>IFERROR(__xludf.DUMMYFUNCTION("""COMPUTED_VALUE"""),"")</f>
        <v/>
      </c>
      <c r="G8246" s="18"/>
      <c r="H8246" s="16" t="s">
        <v>87</v>
      </c>
      <c r="I8246" s="16" t="s">
        <v>87</v>
      </c>
      <c r="J8246" s="19"/>
      <c r="L8246" s="16" t="str">
        <f>IFERROR(__xludf.DUMMYFUNCTION("""COMPUTED_VALUE"""),"")</f>
        <v/>
      </c>
      <c r="M8246" s="16" t="str">
        <f>IFERROR(__xludf.DUMMYFUNCTION("""COMPUTED_VALUE"""),"")</f>
        <v/>
      </c>
      <c r="U8246" s="16" t="s">
        <v>87</v>
      </c>
      <c r="V8246" s="16" t="str">
        <f>IFERROR(__xludf.DUMMYFUNCTION("""COMPUTED_VALUE"""),"")</f>
        <v/>
      </c>
      <c r="W8246" s="16" t="str">
        <f>IFERROR(__xludf.DUMMYFUNCTION("""COMPUTED_VALUE"""),"")</f>
        <v/>
      </c>
      <c r="X8246" s="16" t="str">
        <f>IFERROR(__xludf.DUMMYFUNCTION("""COMPUTED_VALUE"""),"")</f>
        <v/>
      </c>
      <c r="AC8246" s="16" t="str">
        <f>IFERROR(__xludf.DUMMYFUNCTION("""COMPUTED_VALUE"""),"")</f>
        <v/>
      </c>
    </row>
    <row r="8247">
      <c r="A8247" s="16" t="s">
        <v>87</v>
      </c>
      <c r="E8247" s="16" t="str">
        <f>IFERROR(__xludf.DUMMYFUNCTION("""COMPUTED_VALUE"""),"")</f>
        <v/>
      </c>
      <c r="G8247" s="18"/>
      <c r="H8247" s="16" t="s">
        <v>87</v>
      </c>
      <c r="I8247" s="16" t="s">
        <v>87</v>
      </c>
      <c r="J8247" s="19"/>
      <c r="L8247" s="16" t="str">
        <f>IFERROR(__xludf.DUMMYFUNCTION("""COMPUTED_VALUE"""),"")</f>
        <v/>
      </c>
      <c r="M8247" s="16" t="str">
        <f>IFERROR(__xludf.DUMMYFUNCTION("""COMPUTED_VALUE"""),"")</f>
        <v/>
      </c>
      <c r="U8247" s="16" t="s">
        <v>87</v>
      </c>
      <c r="V8247" s="16" t="str">
        <f>IFERROR(__xludf.DUMMYFUNCTION("""COMPUTED_VALUE"""),"")</f>
        <v/>
      </c>
      <c r="W8247" s="16" t="str">
        <f>IFERROR(__xludf.DUMMYFUNCTION("""COMPUTED_VALUE"""),"")</f>
        <v/>
      </c>
      <c r="X8247" s="16" t="str">
        <f>IFERROR(__xludf.DUMMYFUNCTION("""COMPUTED_VALUE"""),"")</f>
        <v/>
      </c>
      <c r="AC8247" s="16" t="str">
        <f>IFERROR(__xludf.DUMMYFUNCTION("""COMPUTED_VALUE"""),"")</f>
        <v/>
      </c>
    </row>
    <row r="8248">
      <c r="A8248" s="16" t="s">
        <v>87</v>
      </c>
      <c r="E8248" s="16" t="str">
        <f>IFERROR(__xludf.DUMMYFUNCTION("""COMPUTED_VALUE"""),"")</f>
        <v/>
      </c>
      <c r="G8248" s="18"/>
      <c r="H8248" s="16" t="s">
        <v>87</v>
      </c>
      <c r="I8248" s="16" t="s">
        <v>87</v>
      </c>
      <c r="J8248" s="19"/>
      <c r="L8248" s="16" t="str">
        <f>IFERROR(__xludf.DUMMYFUNCTION("""COMPUTED_VALUE"""),"")</f>
        <v/>
      </c>
      <c r="M8248" s="16" t="str">
        <f>IFERROR(__xludf.DUMMYFUNCTION("""COMPUTED_VALUE"""),"")</f>
        <v/>
      </c>
      <c r="U8248" s="16" t="s">
        <v>87</v>
      </c>
      <c r="V8248" s="16" t="str">
        <f>IFERROR(__xludf.DUMMYFUNCTION("""COMPUTED_VALUE"""),"")</f>
        <v/>
      </c>
      <c r="W8248" s="16" t="str">
        <f>IFERROR(__xludf.DUMMYFUNCTION("""COMPUTED_VALUE"""),"")</f>
        <v/>
      </c>
      <c r="X8248" s="16" t="str">
        <f>IFERROR(__xludf.DUMMYFUNCTION("""COMPUTED_VALUE"""),"")</f>
        <v/>
      </c>
      <c r="AC8248" s="16" t="str">
        <f>IFERROR(__xludf.DUMMYFUNCTION("""COMPUTED_VALUE"""),"")</f>
        <v/>
      </c>
    </row>
    <row r="8249">
      <c r="A8249" s="16" t="s">
        <v>87</v>
      </c>
      <c r="E8249" s="16" t="str">
        <f>IFERROR(__xludf.DUMMYFUNCTION("""COMPUTED_VALUE"""),"")</f>
        <v/>
      </c>
      <c r="G8249" s="18"/>
      <c r="H8249" s="16" t="s">
        <v>87</v>
      </c>
      <c r="I8249" s="16" t="s">
        <v>87</v>
      </c>
      <c r="J8249" s="19"/>
      <c r="L8249" s="16" t="str">
        <f>IFERROR(__xludf.DUMMYFUNCTION("""COMPUTED_VALUE"""),"")</f>
        <v/>
      </c>
      <c r="M8249" s="16" t="str">
        <f>IFERROR(__xludf.DUMMYFUNCTION("""COMPUTED_VALUE"""),"")</f>
        <v/>
      </c>
      <c r="U8249" s="16" t="s">
        <v>87</v>
      </c>
      <c r="V8249" s="16" t="str">
        <f>IFERROR(__xludf.DUMMYFUNCTION("""COMPUTED_VALUE"""),"")</f>
        <v/>
      </c>
      <c r="W8249" s="16" t="str">
        <f>IFERROR(__xludf.DUMMYFUNCTION("""COMPUTED_VALUE"""),"")</f>
        <v/>
      </c>
      <c r="X8249" s="16" t="str">
        <f>IFERROR(__xludf.DUMMYFUNCTION("""COMPUTED_VALUE"""),"")</f>
        <v/>
      </c>
      <c r="AC8249" s="16" t="str">
        <f>IFERROR(__xludf.DUMMYFUNCTION("""COMPUTED_VALUE"""),"")</f>
        <v/>
      </c>
    </row>
    <row r="8250">
      <c r="A8250" s="16" t="s">
        <v>87</v>
      </c>
      <c r="E8250" s="16" t="str">
        <f>IFERROR(__xludf.DUMMYFUNCTION("""COMPUTED_VALUE"""),"")</f>
        <v/>
      </c>
      <c r="G8250" s="18"/>
      <c r="H8250" s="16" t="s">
        <v>87</v>
      </c>
      <c r="I8250" s="16" t="s">
        <v>87</v>
      </c>
      <c r="J8250" s="19"/>
      <c r="L8250" s="16" t="str">
        <f>IFERROR(__xludf.DUMMYFUNCTION("""COMPUTED_VALUE"""),"")</f>
        <v/>
      </c>
      <c r="M8250" s="16" t="str">
        <f>IFERROR(__xludf.DUMMYFUNCTION("""COMPUTED_VALUE"""),"")</f>
        <v/>
      </c>
      <c r="U8250" s="16" t="s">
        <v>87</v>
      </c>
      <c r="V8250" s="16" t="str">
        <f>IFERROR(__xludf.DUMMYFUNCTION("""COMPUTED_VALUE"""),"")</f>
        <v/>
      </c>
      <c r="W8250" s="16" t="str">
        <f>IFERROR(__xludf.DUMMYFUNCTION("""COMPUTED_VALUE"""),"")</f>
        <v/>
      </c>
      <c r="X8250" s="16" t="str">
        <f>IFERROR(__xludf.DUMMYFUNCTION("""COMPUTED_VALUE"""),"")</f>
        <v/>
      </c>
      <c r="AC8250" s="16" t="str">
        <f>IFERROR(__xludf.DUMMYFUNCTION("""COMPUTED_VALUE"""),"")</f>
        <v/>
      </c>
    </row>
    <row r="8251">
      <c r="A8251" s="16" t="s">
        <v>87</v>
      </c>
      <c r="E8251" s="16" t="str">
        <f>IFERROR(__xludf.DUMMYFUNCTION("""COMPUTED_VALUE"""),"")</f>
        <v/>
      </c>
      <c r="G8251" s="18"/>
      <c r="H8251" s="16" t="s">
        <v>87</v>
      </c>
      <c r="I8251" s="16" t="s">
        <v>87</v>
      </c>
      <c r="J8251" s="19"/>
      <c r="L8251" s="16" t="str">
        <f>IFERROR(__xludf.DUMMYFUNCTION("""COMPUTED_VALUE"""),"")</f>
        <v/>
      </c>
      <c r="M8251" s="16" t="str">
        <f>IFERROR(__xludf.DUMMYFUNCTION("""COMPUTED_VALUE"""),"")</f>
        <v/>
      </c>
      <c r="U8251" s="16" t="s">
        <v>87</v>
      </c>
      <c r="V8251" s="16" t="str">
        <f>IFERROR(__xludf.DUMMYFUNCTION("""COMPUTED_VALUE"""),"")</f>
        <v/>
      </c>
      <c r="W8251" s="16" t="str">
        <f>IFERROR(__xludf.DUMMYFUNCTION("""COMPUTED_VALUE"""),"")</f>
        <v/>
      </c>
      <c r="X8251" s="16" t="str">
        <f>IFERROR(__xludf.DUMMYFUNCTION("""COMPUTED_VALUE"""),"")</f>
        <v/>
      </c>
      <c r="AC8251" s="16" t="str">
        <f>IFERROR(__xludf.DUMMYFUNCTION("""COMPUTED_VALUE"""),"")</f>
        <v/>
      </c>
    </row>
    <row r="8252">
      <c r="A8252" s="16" t="s">
        <v>87</v>
      </c>
      <c r="E8252" s="16" t="str">
        <f>IFERROR(__xludf.DUMMYFUNCTION("""COMPUTED_VALUE"""),"")</f>
        <v/>
      </c>
      <c r="G8252" s="18"/>
      <c r="H8252" s="16" t="s">
        <v>87</v>
      </c>
      <c r="I8252" s="16" t="s">
        <v>87</v>
      </c>
      <c r="J8252" s="19"/>
      <c r="L8252" s="16" t="str">
        <f>IFERROR(__xludf.DUMMYFUNCTION("""COMPUTED_VALUE"""),"")</f>
        <v/>
      </c>
      <c r="M8252" s="16" t="str">
        <f>IFERROR(__xludf.DUMMYFUNCTION("""COMPUTED_VALUE"""),"")</f>
        <v/>
      </c>
      <c r="U8252" s="16" t="s">
        <v>87</v>
      </c>
      <c r="V8252" s="16" t="str">
        <f>IFERROR(__xludf.DUMMYFUNCTION("""COMPUTED_VALUE"""),"")</f>
        <v/>
      </c>
      <c r="W8252" s="16" t="str">
        <f>IFERROR(__xludf.DUMMYFUNCTION("""COMPUTED_VALUE"""),"")</f>
        <v/>
      </c>
      <c r="X8252" s="16" t="str">
        <f>IFERROR(__xludf.DUMMYFUNCTION("""COMPUTED_VALUE"""),"")</f>
        <v/>
      </c>
      <c r="AC8252" s="16" t="str">
        <f>IFERROR(__xludf.DUMMYFUNCTION("""COMPUTED_VALUE"""),"")</f>
        <v/>
      </c>
    </row>
    <row r="8253">
      <c r="A8253" s="16" t="s">
        <v>87</v>
      </c>
      <c r="E8253" s="16" t="str">
        <f>IFERROR(__xludf.DUMMYFUNCTION("""COMPUTED_VALUE"""),"")</f>
        <v/>
      </c>
      <c r="G8253" s="18"/>
      <c r="H8253" s="16" t="s">
        <v>87</v>
      </c>
      <c r="I8253" s="16" t="s">
        <v>87</v>
      </c>
      <c r="J8253" s="19"/>
      <c r="L8253" s="16" t="str">
        <f>IFERROR(__xludf.DUMMYFUNCTION("""COMPUTED_VALUE"""),"")</f>
        <v/>
      </c>
      <c r="M8253" s="16" t="str">
        <f>IFERROR(__xludf.DUMMYFUNCTION("""COMPUTED_VALUE"""),"")</f>
        <v/>
      </c>
      <c r="U8253" s="16" t="s">
        <v>87</v>
      </c>
      <c r="V8253" s="16" t="str">
        <f>IFERROR(__xludf.DUMMYFUNCTION("""COMPUTED_VALUE"""),"")</f>
        <v/>
      </c>
      <c r="W8253" s="16" t="str">
        <f>IFERROR(__xludf.DUMMYFUNCTION("""COMPUTED_VALUE"""),"")</f>
        <v/>
      </c>
      <c r="X8253" s="16" t="str">
        <f>IFERROR(__xludf.DUMMYFUNCTION("""COMPUTED_VALUE"""),"")</f>
        <v/>
      </c>
      <c r="AC8253" s="16" t="str">
        <f>IFERROR(__xludf.DUMMYFUNCTION("""COMPUTED_VALUE"""),"")</f>
        <v/>
      </c>
    </row>
    <row r="8254">
      <c r="A8254" s="16" t="s">
        <v>87</v>
      </c>
      <c r="E8254" s="16" t="str">
        <f>IFERROR(__xludf.DUMMYFUNCTION("""COMPUTED_VALUE"""),"")</f>
        <v/>
      </c>
      <c r="G8254" s="18"/>
      <c r="H8254" s="16" t="s">
        <v>87</v>
      </c>
      <c r="I8254" s="16" t="s">
        <v>87</v>
      </c>
      <c r="J8254" s="19"/>
      <c r="L8254" s="16" t="str">
        <f>IFERROR(__xludf.DUMMYFUNCTION("""COMPUTED_VALUE"""),"")</f>
        <v/>
      </c>
      <c r="M8254" s="16" t="str">
        <f>IFERROR(__xludf.DUMMYFUNCTION("""COMPUTED_VALUE"""),"")</f>
        <v/>
      </c>
      <c r="U8254" s="16" t="s">
        <v>87</v>
      </c>
      <c r="V8254" s="16" t="str">
        <f>IFERROR(__xludf.DUMMYFUNCTION("""COMPUTED_VALUE"""),"")</f>
        <v/>
      </c>
      <c r="W8254" s="16" t="str">
        <f>IFERROR(__xludf.DUMMYFUNCTION("""COMPUTED_VALUE"""),"")</f>
        <v/>
      </c>
      <c r="X8254" s="16" t="str">
        <f>IFERROR(__xludf.DUMMYFUNCTION("""COMPUTED_VALUE"""),"")</f>
        <v/>
      </c>
      <c r="AC8254" s="16" t="str">
        <f>IFERROR(__xludf.DUMMYFUNCTION("""COMPUTED_VALUE"""),"")</f>
        <v/>
      </c>
    </row>
    <row r="8255">
      <c r="A8255" s="16" t="s">
        <v>87</v>
      </c>
      <c r="E8255" s="16" t="str">
        <f>IFERROR(__xludf.DUMMYFUNCTION("""COMPUTED_VALUE"""),"")</f>
        <v/>
      </c>
      <c r="G8255" s="18"/>
      <c r="H8255" s="16" t="s">
        <v>87</v>
      </c>
      <c r="I8255" s="16" t="s">
        <v>87</v>
      </c>
      <c r="J8255" s="19"/>
      <c r="L8255" s="16" t="str">
        <f>IFERROR(__xludf.DUMMYFUNCTION("""COMPUTED_VALUE"""),"")</f>
        <v/>
      </c>
      <c r="M8255" s="16" t="str">
        <f>IFERROR(__xludf.DUMMYFUNCTION("""COMPUTED_VALUE"""),"")</f>
        <v/>
      </c>
      <c r="U8255" s="16" t="s">
        <v>87</v>
      </c>
      <c r="V8255" s="16" t="str">
        <f>IFERROR(__xludf.DUMMYFUNCTION("""COMPUTED_VALUE"""),"")</f>
        <v/>
      </c>
      <c r="W8255" s="16" t="str">
        <f>IFERROR(__xludf.DUMMYFUNCTION("""COMPUTED_VALUE"""),"")</f>
        <v/>
      </c>
      <c r="X8255" s="16" t="str">
        <f>IFERROR(__xludf.DUMMYFUNCTION("""COMPUTED_VALUE"""),"")</f>
        <v/>
      </c>
      <c r="AC8255" s="16" t="str">
        <f>IFERROR(__xludf.DUMMYFUNCTION("""COMPUTED_VALUE"""),"")</f>
        <v/>
      </c>
    </row>
    <row r="8256">
      <c r="A8256" s="16" t="s">
        <v>87</v>
      </c>
      <c r="E8256" s="16" t="str">
        <f>IFERROR(__xludf.DUMMYFUNCTION("""COMPUTED_VALUE"""),"")</f>
        <v/>
      </c>
      <c r="G8256" s="18"/>
      <c r="H8256" s="16" t="s">
        <v>87</v>
      </c>
      <c r="I8256" s="16" t="s">
        <v>87</v>
      </c>
      <c r="J8256" s="19"/>
      <c r="L8256" s="16" t="str">
        <f>IFERROR(__xludf.DUMMYFUNCTION("""COMPUTED_VALUE"""),"")</f>
        <v/>
      </c>
      <c r="M8256" s="16" t="str">
        <f>IFERROR(__xludf.DUMMYFUNCTION("""COMPUTED_VALUE"""),"")</f>
        <v/>
      </c>
      <c r="U8256" s="16" t="s">
        <v>87</v>
      </c>
      <c r="V8256" s="16" t="str">
        <f>IFERROR(__xludf.DUMMYFUNCTION("""COMPUTED_VALUE"""),"")</f>
        <v/>
      </c>
      <c r="W8256" s="16" t="str">
        <f>IFERROR(__xludf.DUMMYFUNCTION("""COMPUTED_VALUE"""),"")</f>
        <v/>
      </c>
      <c r="X8256" s="16" t="str">
        <f>IFERROR(__xludf.DUMMYFUNCTION("""COMPUTED_VALUE"""),"")</f>
        <v/>
      </c>
      <c r="AC8256" s="16" t="str">
        <f>IFERROR(__xludf.DUMMYFUNCTION("""COMPUTED_VALUE"""),"")</f>
        <v/>
      </c>
    </row>
    <row r="8257">
      <c r="A8257" s="16" t="s">
        <v>87</v>
      </c>
      <c r="E8257" s="16" t="str">
        <f>IFERROR(__xludf.DUMMYFUNCTION("""COMPUTED_VALUE"""),"")</f>
        <v/>
      </c>
      <c r="G8257" s="18"/>
      <c r="H8257" s="16" t="s">
        <v>87</v>
      </c>
      <c r="I8257" s="16" t="s">
        <v>87</v>
      </c>
      <c r="J8257" s="19"/>
      <c r="L8257" s="16" t="str">
        <f>IFERROR(__xludf.DUMMYFUNCTION("""COMPUTED_VALUE"""),"")</f>
        <v/>
      </c>
      <c r="M8257" s="16" t="str">
        <f>IFERROR(__xludf.DUMMYFUNCTION("""COMPUTED_VALUE"""),"")</f>
        <v/>
      </c>
      <c r="U8257" s="16" t="s">
        <v>87</v>
      </c>
      <c r="V8257" s="16" t="str">
        <f>IFERROR(__xludf.DUMMYFUNCTION("""COMPUTED_VALUE"""),"")</f>
        <v/>
      </c>
      <c r="W8257" s="16" t="str">
        <f>IFERROR(__xludf.DUMMYFUNCTION("""COMPUTED_VALUE"""),"")</f>
        <v/>
      </c>
      <c r="X8257" s="16" t="str">
        <f>IFERROR(__xludf.DUMMYFUNCTION("""COMPUTED_VALUE"""),"")</f>
        <v/>
      </c>
      <c r="AC8257" s="16" t="str">
        <f>IFERROR(__xludf.DUMMYFUNCTION("""COMPUTED_VALUE"""),"")</f>
        <v/>
      </c>
    </row>
    <row r="8258">
      <c r="A8258" s="16" t="s">
        <v>87</v>
      </c>
      <c r="E8258" s="16" t="str">
        <f>IFERROR(__xludf.DUMMYFUNCTION("""COMPUTED_VALUE"""),"")</f>
        <v/>
      </c>
      <c r="G8258" s="18"/>
      <c r="H8258" s="16" t="s">
        <v>87</v>
      </c>
      <c r="I8258" s="16" t="s">
        <v>87</v>
      </c>
      <c r="J8258" s="19"/>
      <c r="L8258" s="16" t="str">
        <f>IFERROR(__xludf.DUMMYFUNCTION("""COMPUTED_VALUE"""),"")</f>
        <v/>
      </c>
      <c r="M8258" s="16" t="str">
        <f>IFERROR(__xludf.DUMMYFUNCTION("""COMPUTED_VALUE"""),"")</f>
        <v/>
      </c>
      <c r="U8258" s="16" t="s">
        <v>87</v>
      </c>
      <c r="V8258" s="16" t="str">
        <f>IFERROR(__xludf.DUMMYFUNCTION("""COMPUTED_VALUE"""),"")</f>
        <v/>
      </c>
      <c r="W8258" s="16" t="str">
        <f>IFERROR(__xludf.DUMMYFUNCTION("""COMPUTED_VALUE"""),"")</f>
        <v/>
      </c>
      <c r="X8258" s="16" t="str">
        <f>IFERROR(__xludf.DUMMYFUNCTION("""COMPUTED_VALUE"""),"")</f>
        <v/>
      </c>
      <c r="AC8258" s="16" t="str">
        <f>IFERROR(__xludf.DUMMYFUNCTION("""COMPUTED_VALUE"""),"")</f>
        <v/>
      </c>
    </row>
    <row r="8259">
      <c r="A8259" s="16" t="s">
        <v>87</v>
      </c>
      <c r="E8259" s="16" t="str">
        <f>IFERROR(__xludf.DUMMYFUNCTION("""COMPUTED_VALUE"""),"")</f>
        <v/>
      </c>
      <c r="G8259" s="18"/>
      <c r="H8259" s="16" t="s">
        <v>87</v>
      </c>
      <c r="I8259" s="16" t="s">
        <v>87</v>
      </c>
      <c r="J8259" s="19"/>
      <c r="L8259" s="16" t="str">
        <f>IFERROR(__xludf.DUMMYFUNCTION("""COMPUTED_VALUE"""),"")</f>
        <v/>
      </c>
      <c r="M8259" s="16" t="str">
        <f>IFERROR(__xludf.DUMMYFUNCTION("""COMPUTED_VALUE"""),"")</f>
        <v/>
      </c>
      <c r="U8259" s="16" t="s">
        <v>87</v>
      </c>
      <c r="V8259" s="16" t="str">
        <f>IFERROR(__xludf.DUMMYFUNCTION("""COMPUTED_VALUE"""),"")</f>
        <v/>
      </c>
      <c r="W8259" s="16" t="str">
        <f>IFERROR(__xludf.DUMMYFUNCTION("""COMPUTED_VALUE"""),"")</f>
        <v/>
      </c>
      <c r="X8259" s="16" t="str">
        <f>IFERROR(__xludf.DUMMYFUNCTION("""COMPUTED_VALUE"""),"")</f>
        <v/>
      </c>
      <c r="AC8259" s="16" t="str">
        <f>IFERROR(__xludf.DUMMYFUNCTION("""COMPUTED_VALUE"""),"")</f>
        <v/>
      </c>
    </row>
    <row r="8260">
      <c r="A8260" s="16" t="s">
        <v>87</v>
      </c>
      <c r="E8260" s="16" t="str">
        <f>IFERROR(__xludf.DUMMYFUNCTION("""COMPUTED_VALUE"""),"")</f>
        <v/>
      </c>
      <c r="G8260" s="18"/>
      <c r="H8260" s="16" t="s">
        <v>87</v>
      </c>
      <c r="I8260" s="16" t="s">
        <v>87</v>
      </c>
      <c r="J8260" s="19"/>
      <c r="L8260" s="16" t="str">
        <f>IFERROR(__xludf.DUMMYFUNCTION("""COMPUTED_VALUE"""),"")</f>
        <v/>
      </c>
      <c r="M8260" s="16" t="str">
        <f>IFERROR(__xludf.DUMMYFUNCTION("""COMPUTED_VALUE"""),"")</f>
        <v/>
      </c>
      <c r="U8260" s="16" t="s">
        <v>87</v>
      </c>
      <c r="V8260" s="16" t="str">
        <f>IFERROR(__xludf.DUMMYFUNCTION("""COMPUTED_VALUE"""),"")</f>
        <v/>
      </c>
      <c r="W8260" s="16" t="str">
        <f>IFERROR(__xludf.DUMMYFUNCTION("""COMPUTED_VALUE"""),"")</f>
        <v/>
      </c>
      <c r="X8260" s="16" t="str">
        <f>IFERROR(__xludf.DUMMYFUNCTION("""COMPUTED_VALUE"""),"")</f>
        <v/>
      </c>
      <c r="AC8260" s="16" t="str">
        <f>IFERROR(__xludf.DUMMYFUNCTION("""COMPUTED_VALUE"""),"")</f>
        <v/>
      </c>
    </row>
    <row r="8261">
      <c r="A8261" s="16" t="s">
        <v>87</v>
      </c>
      <c r="E8261" s="16" t="str">
        <f>IFERROR(__xludf.DUMMYFUNCTION("""COMPUTED_VALUE"""),"")</f>
        <v/>
      </c>
      <c r="G8261" s="18"/>
      <c r="H8261" s="16" t="s">
        <v>87</v>
      </c>
      <c r="I8261" s="16" t="s">
        <v>87</v>
      </c>
      <c r="J8261" s="19"/>
      <c r="L8261" s="16" t="str">
        <f>IFERROR(__xludf.DUMMYFUNCTION("""COMPUTED_VALUE"""),"")</f>
        <v/>
      </c>
      <c r="M8261" s="16" t="str">
        <f>IFERROR(__xludf.DUMMYFUNCTION("""COMPUTED_VALUE"""),"")</f>
        <v/>
      </c>
      <c r="U8261" s="16" t="s">
        <v>87</v>
      </c>
      <c r="V8261" s="16" t="str">
        <f>IFERROR(__xludf.DUMMYFUNCTION("""COMPUTED_VALUE"""),"")</f>
        <v/>
      </c>
      <c r="W8261" s="16" t="str">
        <f>IFERROR(__xludf.DUMMYFUNCTION("""COMPUTED_VALUE"""),"")</f>
        <v/>
      </c>
      <c r="X8261" s="16" t="str">
        <f>IFERROR(__xludf.DUMMYFUNCTION("""COMPUTED_VALUE"""),"")</f>
        <v/>
      </c>
      <c r="AC8261" s="16" t="str">
        <f>IFERROR(__xludf.DUMMYFUNCTION("""COMPUTED_VALUE"""),"")</f>
        <v/>
      </c>
    </row>
    <row r="8262">
      <c r="A8262" s="16" t="s">
        <v>87</v>
      </c>
      <c r="E8262" s="16" t="str">
        <f>IFERROR(__xludf.DUMMYFUNCTION("""COMPUTED_VALUE"""),"")</f>
        <v/>
      </c>
      <c r="G8262" s="18"/>
      <c r="H8262" s="16" t="s">
        <v>87</v>
      </c>
      <c r="I8262" s="16" t="s">
        <v>87</v>
      </c>
      <c r="J8262" s="19"/>
      <c r="L8262" s="16" t="str">
        <f>IFERROR(__xludf.DUMMYFUNCTION("""COMPUTED_VALUE"""),"")</f>
        <v/>
      </c>
      <c r="M8262" s="16" t="str">
        <f>IFERROR(__xludf.DUMMYFUNCTION("""COMPUTED_VALUE"""),"")</f>
        <v/>
      </c>
      <c r="U8262" s="16" t="s">
        <v>87</v>
      </c>
      <c r="V8262" s="16" t="str">
        <f>IFERROR(__xludf.DUMMYFUNCTION("""COMPUTED_VALUE"""),"")</f>
        <v/>
      </c>
      <c r="W8262" s="16" t="str">
        <f>IFERROR(__xludf.DUMMYFUNCTION("""COMPUTED_VALUE"""),"")</f>
        <v/>
      </c>
      <c r="X8262" s="16" t="str">
        <f>IFERROR(__xludf.DUMMYFUNCTION("""COMPUTED_VALUE"""),"")</f>
        <v/>
      </c>
      <c r="AC8262" s="16" t="str">
        <f>IFERROR(__xludf.DUMMYFUNCTION("""COMPUTED_VALUE"""),"")</f>
        <v/>
      </c>
    </row>
    <row r="8263">
      <c r="A8263" s="16" t="s">
        <v>87</v>
      </c>
      <c r="E8263" s="16" t="str">
        <f>IFERROR(__xludf.DUMMYFUNCTION("""COMPUTED_VALUE"""),"")</f>
        <v/>
      </c>
      <c r="G8263" s="18"/>
      <c r="H8263" s="16" t="s">
        <v>87</v>
      </c>
      <c r="I8263" s="16" t="s">
        <v>87</v>
      </c>
      <c r="J8263" s="19"/>
      <c r="L8263" s="16" t="str">
        <f>IFERROR(__xludf.DUMMYFUNCTION("""COMPUTED_VALUE"""),"")</f>
        <v/>
      </c>
      <c r="M8263" s="16" t="str">
        <f>IFERROR(__xludf.DUMMYFUNCTION("""COMPUTED_VALUE"""),"")</f>
        <v/>
      </c>
      <c r="U8263" s="16" t="s">
        <v>87</v>
      </c>
      <c r="V8263" s="16" t="str">
        <f>IFERROR(__xludf.DUMMYFUNCTION("""COMPUTED_VALUE"""),"")</f>
        <v/>
      </c>
      <c r="W8263" s="16" t="str">
        <f>IFERROR(__xludf.DUMMYFUNCTION("""COMPUTED_VALUE"""),"")</f>
        <v/>
      </c>
      <c r="X8263" s="16" t="str">
        <f>IFERROR(__xludf.DUMMYFUNCTION("""COMPUTED_VALUE"""),"")</f>
        <v/>
      </c>
      <c r="AC8263" s="16" t="str">
        <f>IFERROR(__xludf.DUMMYFUNCTION("""COMPUTED_VALUE"""),"")</f>
        <v/>
      </c>
    </row>
    <row r="8264">
      <c r="A8264" s="16" t="s">
        <v>87</v>
      </c>
      <c r="E8264" s="16" t="str">
        <f>IFERROR(__xludf.DUMMYFUNCTION("""COMPUTED_VALUE"""),"")</f>
        <v/>
      </c>
      <c r="G8264" s="18"/>
      <c r="H8264" s="16" t="s">
        <v>87</v>
      </c>
      <c r="I8264" s="16" t="s">
        <v>87</v>
      </c>
      <c r="J8264" s="19"/>
      <c r="L8264" s="16" t="str">
        <f>IFERROR(__xludf.DUMMYFUNCTION("""COMPUTED_VALUE"""),"")</f>
        <v/>
      </c>
      <c r="M8264" s="16" t="str">
        <f>IFERROR(__xludf.DUMMYFUNCTION("""COMPUTED_VALUE"""),"")</f>
        <v/>
      </c>
      <c r="U8264" s="16" t="s">
        <v>87</v>
      </c>
      <c r="V8264" s="16" t="str">
        <f>IFERROR(__xludf.DUMMYFUNCTION("""COMPUTED_VALUE"""),"")</f>
        <v/>
      </c>
      <c r="W8264" s="16" t="str">
        <f>IFERROR(__xludf.DUMMYFUNCTION("""COMPUTED_VALUE"""),"")</f>
        <v/>
      </c>
      <c r="X8264" s="16" t="str">
        <f>IFERROR(__xludf.DUMMYFUNCTION("""COMPUTED_VALUE"""),"")</f>
        <v/>
      </c>
      <c r="AC8264" s="16" t="str">
        <f>IFERROR(__xludf.DUMMYFUNCTION("""COMPUTED_VALUE"""),"")</f>
        <v/>
      </c>
    </row>
    <row r="8265">
      <c r="A8265" s="16" t="s">
        <v>87</v>
      </c>
      <c r="E8265" s="16" t="str">
        <f>IFERROR(__xludf.DUMMYFUNCTION("""COMPUTED_VALUE"""),"")</f>
        <v/>
      </c>
      <c r="G8265" s="18"/>
      <c r="H8265" s="16" t="s">
        <v>87</v>
      </c>
      <c r="I8265" s="16" t="s">
        <v>87</v>
      </c>
      <c r="J8265" s="19"/>
      <c r="L8265" s="16" t="str">
        <f>IFERROR(__xludf.DUMMYFUNCTION("""COMPUTED_VALUE"""),"")</f>
        <v/>
      </c>
      <c r="M8265" s="16" t="str">
        <f>IFERROR(__xludf.DUMMYFUNCTION("""COMPUTED_VALUE"""),"")</f>
        <v/>
      </c>
      <c r="U8265" s="16" t="s">
        <v>87</v>
      </c>
      <c r="V8265" s="16" t="str">
        <f>IFERROR(__xludf.DUMMYFUNCTION("""COMPUTED_VALUE"""),"")</f>
        <v/>
      </c>
      <c r="W8265" s="16" t="str">
        <f>IFERROR(__xludf.DUMMYFUNCTION("""COMPUTED_VALUE"""),"")</f>
        <v/>
      </c>
      <c r="X8265" s="16" t="str">
        <f>IFERROR(__xludf.DUMMYFUNCTION("""COMPUTED_VALUE"""),"")</f>
        <v/>
      </c>
      <c r="AC8265" s="16" t="str">
        <f>IFERROR(__xludf.DUMMYFUNCTION("""COMPUTED_VALUE"""),"")</f>
        <v/>
      </c>
    </row>
    <row r="8266">
      <c r="A8266" s="16" t="s">
        <v>87</v>
      </c>
      <c r="E8266" s="16" t="str">
        <f>IFERROR(__xludf.DUMMYFUNCTION("""COMPUTED_VALUE"""),"")</f>
        <v/>
      </c>
      <c r="G8266" s="18"/>
      <c r="H8266" s="16" t="s">
        <v>87</v>
      </c>
      <c r="I8266" s="16" t="s">
        <v>87</v>
      </c>
      <c r="J8266" s="19"/>
      <c r="L8266" s="16" t="str">
        <f>IFERROR(__xludf.DUMMYFUNCTION("""COMPUTED_VALUE"""),"")</f>
        <v/>
      </c>
      <c r="M8266" s="16" t="str">
        <f>IFERROR(__xludf.DUMMYFUNCTION("""COMPUTED_VALUE"""),"")</f>
        <v/>
      </c>
      <c r="U8266" s="16" t="s">
        <v>87</v>
      </c>
      <c r="V8266" s="16" t="str">
        <f>IFERROR(__xludf.DUMMYFUNCTION("""COMPUTED_VALUE"""),"")</f>
        <v/>
      </c>
      <c r="W8266" s="16" t="str">
        <f>IFERROR(__xludf.DUMMYFUNCTION("""COMPUTED_VALUE"""),"")</f>
        <v/>
      </c>
      <c r="X8266" s="16" t="str">
        <f>IFERROR(__xludf.DUMMYFUNCTION("""COMPUTED_VALUE"""),"")</f>
        <v/>
      </c>
      <c r="AC8266" s="16" t="str">
        <f>IFERROR(__xludf.DUMMYFUNCTION("""COMPUTED_VALUE"""),"")</f>
        <v/>
      </c>
    </row>
    <row r="8267">
      <c r="A8267" s="16" t="s">
        <v>87</v>
      </c>
      <c r="E8267" s="16" t="str">
        <f>IFERROR(__xludf.DUMMYFUNCTION("""COMPUTED_VALUE"""),"")</f>
        <v/>
      </c>
      <c r="G8267" s="18"/>
      <c r="H8267" s="16" t="s">
        <v>87</v>
      </c>
      <c r="I8267" s="16" t="s">
        <v>87</v>
      </c>
      <c r="J8267" s="19"/>
      <c r="L8267" s="16" t="str">
        <f>IFERROR(__xludf.DUMMYFUNCTION("""COMPUTED_VALUE"""),"")</f>
        <v/>
      </c>
      <c r="M8267" s="16" t="str">
        <f>IFERROR(__xludf.DUMMYFUNCTION("""COMPUTED_VALUE"""),"")</f>
        <v/>
      </c>
      <c r="U8267" s="16" t="s">
        <v>87</v>
      </c>
      <c r="V8267" s="16" t="str">
        <f>IFERROR(__xludf.DUMMYFUNCTION("""COMPUTED_VALUE"""),"")</f>
        <v/>
      </c>
      <c r="W8267" s="16" t="str">
        <f>IFERROR(__xludf.DUMMYFUNCTION("""COMPUTED_VALUE"""),"")</f>
        <v/>
      </c>
      <c r="X8267" s="16" t="str">
        <f>IFERROR(__xludf.DUMMYFUNCTION("""COMPUTED_VALUE"""),"")</f>
        <v/>
      </c>
      <c r="AC8267" s="16" t="str">
        <f>IFERROR(__xludf.DUMMYFUNCTION("""COMPUTED_VALUE"""),"")</f>
        <v/>
      </c>
    </row>
    <row r="8268">
      <c r="A8268" s="16" t="s">
        <v>87</v>
      </c>
      <c r="E8268" s="16" t="str">
        <f>IFERROR(__xludf.DUMMYFUNCTION("""COMPUTED_VALUE"""),"")</f>
        <v/>
      </c>
      <c r="G8268" s="18"/>
      <c r="H8268" s="16" t="s">
        <v>87</v>
      </c>
      <c r="I8268" s="16" t="s">
        <v>87</v>
      </c>
      <c r="J8268" s="19"/>
      <c r="L8268" s="16" t="str">
        <f>IFERROR(__xludf.DUMMYFUNCTION("""COMPUTED_VALUE"""),"")</f>
        <v/>
      </c>
      <c r="M8268" s="16" t="str">
        <f>IFERROR(__xludf.DUMMYFUNCTION("""COMPUTED_VALUE"""),"")</f>
        <v/>
      </c>
      <c r="U8268" s="16" t="s">
        <v>87</v>
      </c>
      <c r="V8268" s="16" t="str">
        <f>IFERROR(__xludf.DUMMYFUNCTION("""COMPUTED_VALUE"""),"")</f>
        <v/>
      </c>
      <c r="W8268" s="16" t="str">
        <f>IFERROR(__xludf.DUMMYFUNCTION("""COMPUTED_VALUE"""),"")</f>
        <v/>
      </c>
      <c r="X8268" s="16" t="str">
        <f>IFERROR(__xludf.DUMMYFUNCTION("""COMPUTED_VALUE"""),"")</f>
        <v/>
      </c>
      <c r="AC8268" s="16" t="str">
        <f>IFERROR(__xludf.DUMMYFUNCTION("""COMPUTED_VALUE"""),"")</f>
        <v/>
      </c>
    </row>
    <row r="8269">
      <c r="A8269" s="16" t="s">
        <v>87</v>
      </c>
      <c r="E8269" s="16" t="str">
        <f>IFERROR(__xludf.DUMMYFUNCTION("""COMPUTED_VALUE"""),"")</f>
        <v/>
      </c>
      <c r="G8269" s="18"/>
      <c r="H8269" s="16" t="s">
        <v>87</v>
      </c>
      <c r="I8269" s="16" t="s">
        <v>87</v>
      </c>
      <c r="J8269" s="19"/>
      <c r="L8269" s="16" t="str">
        <f>IFERROR(__xludf.DUMMYFUNCTION("""COMPUTED_VALUE"""),"")</f>
        <v/>
      </c>
      <c r="M8269" s="16" t="str">
        <f>IFERROR(__xludf.DUMMYFUNCTION("""COMPUTED_VALUE"""),"")</f>
        <v/>
      </c>
      <c r="U8269" s="16" t="s">
        <v>87</v>
      </c>
      <c r="V8269" s="16" t="str">
        <f>IFERROR(__xludf.DUMMYFUNCTION("""COMPUTED_VALUE"""),"")</f>
        <v/>
      </c>
      <c r="W8269" s="16" t="str">
        <f>IFERROR(__xludf.DUMMYFUNCTION("""COMPUTED_VALUE"""),"")</f>
        <v/>
      </c>
      <c r="X8269" s="16" t="str">
        <f>IFERROR(__xludf.DUMMYFUNCTION("""COMPUTED_VALUE"""),"")</f>
        <v/>
      </c>
      <c r="AC8269" s="16" t="str">
        <f>IFERROR(__xludf.DUMMYFUNCTION("""COMPUTED_VALUE"""),"")</f>
        <v/>
      </c>
    </row>
    <row r="8270">
      <c r="A8270" s="16" t="s">
        <v>87</v>
      </c>
      <c r="E8270" s="16" t="str">
        <f>IFERROR(__xludf.DUMMYFUNCTION("""COMPUTED_VALUE"""),"")</f>
        <v/>
      </c>
      <c r="G8270" s="18"/>
      <c r="H8270" s="16" t="s">
        <v>87</v>
      </c>
      <c r="I8270" s="16" t="s">
        <v>87</v>
      </c>
      <c r="J8270" s="19"/>
      <c r="L8270" s="16" t="str">
        <f>IFERROR(__xludf.DUMMYFUNCTION("""COMPUTED_VALUE"""),"")</f>
        <v/>
      </c>
      <c r="M8270" s="16" t="str">
        <f>IFERROR(__xludf.DUMMYFUNCTION("""COMPUTED_VALUE"""),"")</f>
        <v/>
      </c>
      <c r="U8270" s="16" t="s">
        <v>87</v>
      </c>
      <c r="V8270" s="16" t="str">
        <f>IFERROR(__xludf.DUMMYFUNCTION("""COMPUTED_VALUE"""),"")</f>
        <v/>
      </c>
      <c r="W8270" s="16" t="str">
        <f>IFERROR(__xludf.DUMMYFUNCTION("""COMPUTED_VALUE"""),"")</f>
        <v/>
      </c>
      <c r="X8270" s="16" t="str">
        <f>IFERROR(__xludf.DUMMYFUNCTION("""COMPUTED_VALUE"""),"")</f>
        <v/>
      </c>
      <c r="AC8270" s="16" t="str">
        <f>IFERROR(__xludf.DUMMYFUNCTION("""COMPUTED_VALUE"""),"")</f>
        <v/>
      </c>
    </row>
    <row r="8271">
      <c r="A8271" s="16" t="s">
        <v>87</v>
      </c>
      <c r="E8271" s="16" t="str">
        <f>IFERROR(__xludf.DUMMYFUNCTION("""COMPUTED_VALUE"""),"")</f>
        <v/>
      </c>
      <c r="G8271" s="18"/>
      <c r="H8271" s="16" t="s">
        <v>87</v>
      </c>
      <c r="I8271" s="16" t="s">
        <v>87</v>
      </c>
      <c r="J8271" s="19"/>
      <c r="L8271" s="16" t="str">
        <f>IFERROR(__xludf.DUMMYFUNCTION("""COMPUTED_VALUE"""),"")</f>
        <v/>
      </c>
      <c r="M8271" s="16" t="str">
        <f>IFERROR(__xludf.DUMMYFUNCTION("""COMPUTED_VALUE"""),"")</f>
        <v/>
      </c>
      <c r="U8271" s="16" t="s">
        <v>87</v>
      </c>
      <c r="V8271" s="16" t="str">
        <f>IFERROR(__xludf.DUMMYFUNCTION("""COMPUTED_VALUE"""),"")</f>
        <v/>
      </c>
      <c r="W8271" s="16" t="str">
        <f>IFERROR(__xludf.DUMMYFUNCTION("""COMPUTED_VALUE"""),"")</f>
        <v/>
      </c>
      <c r="X8271" s="16" t="str">
        <f>IFERROR(__xludf.DUMMYFUNCTION("""COMPUTED_VALUE"""),"")</f>
        <v/>
      </c>
      <c r="AC8271" s="16" t="str">
        <f>IFERROR(__xludf.DUMMYFUNCTION("""COMPUTED_VALUE"""),"")</f>
        <v/>
      </c>
    </row>
    <row r="8272">
      <c r="A8272" s="16" t="s">
        <v>87</v>
      </c>
      <c r="E8272" s="16" t="str">
        <f>IFERROR(__xludf.DUMMYFUNCTION("""COMPUTED_VALUE"""),"")</f>
        <v/>
      </c>
      <c r="G8272" s="18"/>
      <c r="H8272" s="16" t="s">
        <v>87</v>
      </c>
      <c r="I8272" s="16" t="s">
        <v>87</v>
      </c>
      <c r="J8272" s="19"/>
      <c r="L8272" s="16" t="str">
        <f>IFERROR(__xludf.DUMMYFUNCTION("""COMPUTED_VALUE"""),"")</f>
        <v/>
      </c>
      <c r="M8272" s="16" t="str">
        <f>IFERROR(__xludf.DUMMYFUNCTION("""COMPUTED_VALUE"""),"")</f>
        <v/>
      </c>
      <c r="U8272" s="16" t="s">
        <v>87</v>
      </c>
      <c r="V8272" s="16" t="str">
        <f>IFERROR(__xludf.DUMMYFUNCTION("""COMPUTED_VALUE"""),"")</f>
        <v/>
      </c>
      <c r="W8272" s="16" t="str">
        <f>IFERROR(__xludf.DUMMYFUNCTION("""COMPUTED_VALUE"""),"")</f>
        <v/>
      </c>
      <c r="X8272" s="16" t="str">
        <f>IFERROR(__xludf.DUMMYFUNCTION("""COMPUTED_VALUE"""),"")</f>
        <v/>
      </c>
      <c r="AC8272" s="16" t="str">
        <f>IFERROR(__xludf.DUMMYFUNCTION("""COMPUTED_VALUE"""),"")</f>
        <v/>
      </c>
    </row>
    <row r="8273">
      <c r="A8273" s="16" t="s">
        <v>87</v>
      </c>
      <c r="E8273" s="16" t="str">
        <f>IFERROR(__xludf.DUMMYFUNCTION("""COMPUTED_VALUE"""),"")</f>
        <v/>
      </c>
      <c r="G8273" s="18"/>
      <c r="H8273" s="16" t="s">
        <v>87</v>
      </c>
      <c r="I8273" s="16" t="s">
        <v>87</v>
      </c>
      <c r="J8273" s="19"/>
      <c r="L8273" s="16" t="str">
        <f>IFERROR(__xludf.DUMMYFUNCTION("""COMPUTED_VALUE"""),"")</f>
        <v/>
      </c>
      <c r="M8273" s="16" t="str">
        <f>IFERROR(__xludf.DUMMYFUNCTION("""COMPUTED_VALUE"""),"")</f>
        <v/>
      </c>
      <c r="U8273" s="16" t="s">
        <v>87</v>
      </c>
      <c r="V8273" s="16" t="str">
        <f>IFERROR(__xludf.DUMMYFUNCTION("""COMPUTED_VALUE"""),"")</f>
        <v/>
      </c>
      <c r="W8273" s="16" t="str">
        <f>IFERROR(__xludf.DUMMYFUNCTION("""COMPUTED_VALUE"""),"")</f>
        <v/>
      </c>
      <c r="X8273" s="16" t="str">
        <f>IFERROR(__xludf.DUMMYFUNCTION("""COMPUTED_VALUE"""),"")</f>
        <v/>
      </c>
      <c r="AC8273" s="16" t="str">
        <f>IFERROR(__xludf.DUMMYFUNCTION("""COMPUTED_VALUE"""),"")</f>
        <v/>
      </c>
    </row>
    <row r="8274">
      <c r="A8274" s="16" t="s">
        <v>87</v>
      </c>
      <c r="E8274" s="16" t="str">
        <f>IFERROR(__xludf.DUMMYFUNCTION("""COMPUTED_VALUE"""),"")</f>
        <v/>
      </c>
      <c r="G8274" s="18"/>
      <c r="H8274" s="16" t="s">
        <v>87</v>
      </c>
      <c r="I8274" s="16" t="s">
        <v>87</v>
      </c>
      <c r="J8274" s="19"/>
      <c r="L8274" s="16" t="str">
        <f>IFERROR(__xludf.DUMMYFUNCTION("""COMPUTED_VALUE"""),"")</f>
        <v/>
      </c>
      <c r="M8274" s="16" t="str">
        <f>IFERROR(__xludf.DUMMYFUNCTION("""COMPUTED_VALUE"""),"")</f>
        <v/>
      </c>
      <c r="U8274" s="16" t="s">
        <v>87</v>
      </c>
      <c r="V8274" s="16" t="str">
        <f>IFERROR(__xludf.DUMMYFUNCTION("""COMPUTED_VALUE"""),"")</f>
        <v/>
      </c>
      <c r="W8274" s="16" t="str">
        <f>IFERROR(__xludf.DUMMYFUNCTION("""COMPUTED_VALUE"""),"")</f>
        <v/>
      </c>
      <c r="X8274" s="16" t="str">
        <f>IFERROR(__xludf.DUMMYFUNCTION("""COMPUTED_VALUE"""),"")</f>
        <v/>
      </c>
      <c r="AC8274" s="16" t="str">
        <f>IFERROR(__xludf.DUMMYFUNCTION("""COMPUTED_VALUE"""),"")</f>
        <v/>
      </c>
    </row>
    <row r="8275">
      <c r="A8275" s="16" t="s">
        <v>87</v>
      </c>
      <c r="E8275" s="16" t="str">
        <f>IFERROR(__xludf.DUMMYFUNCTION("""COMPUTED_VALUE"""),"")</f>
        <v/>
      </c>
      <c r="G8275" s="18"/>
      <c r="H8275" s="16" t="s">
        <v>87</v>
      </c>
      <c r="I8275" s="16" t="s">
        <v>87</v>
      </c>
      <c r="J8275" s="19"/>
      <c r="L8275" s="16" t="str">
        <f>IFERROR(__xludf.DUMMYFUNCTION("""COMPUTED_VALUE"""),"")</f>
        <v/>
      </c>
      <c r="M8275" s="16" t="str">
        <f>IFERROR(__xludf.DUMMYFUNCTION("""COMPUTED_VALUE"""),"")</f>
        <v/>
      </c>
      <c r="U8275" s="16" t="s">
        <v>87</v>
      </c>
      <c r="V8275" s="16" t="str">
        <f>IFERROR(__xludf.DUMMYFUNCTION("""COMPUTED_VALUE"""),"")</f>
        <v/>
      </c>
      <c r="W8275" s="16" t="str">
        <f>IFERROR(__xludf.DUMMYFUNCTION("""COMPUTED_VALUE"""),"")</f>
        <v/>
      </c>
      <c r="X8275" s="16" t="str">
        <f>IFERROR(__xludf.DUMMYFUNCTION("""COMPUTED_VALUE"""),"")</f>
        <v/>
      </c>
      <c r="AC8275" s="16" t="str">
        <f>IFERROR(__xludf.DUMMYFUNCTION("""COMPUTED_VALUE"""),"")</f>
        <v/>
      </c>
    </row>
    <row r="8276">
      <c r="A8276" s="16" t="s">
        <v>87</v>
      </c>
      <c r="E8276" s="16" t="str">
        <f>IFERROR(__xludf.DUMMYFUNCTION("""COMPUTED_VALUE"""),"")</f>
        <v/>
      </c>
      <c r="G8276" s="18"/>
      <c r="H8276" s="16" t="s">
        <v>87</v>
      </c>
      <c r="I8276" s="16" t="s">
        <v>87</v>
      </c>
      <c r="J8276" s="19"/>
      <c r="L8276" s="16" t="str">
        <f>IFERROR(__xludf.DUMMYFUNCTION("""COMPUTED_VALUE"""),"")</f>
        <v/>
      </c>
      <c r="M8276" s="16" t="str">
        <f>IFERROR(__xludf.DUMMYFUNCTION("""COMPUTED_VALUE"""),"")</f>
        <v/>
      </c>
      <c r="U8276" s="16" t="s">
        <v>87</v>
      </c>
      <c r="V8276" s="16" t="str">
        <f>IFERROR(__xludf.DUMMYFUNCTION("""COMPUTED_VALUE"""),"")</f>
        <v/>
      </c>
      <c r="W8276" s="16" t="str">
        <f>IFERROR(__xludf.DUMMYFUNCTION("""COMPUTED_VALUE"""),"")</f>
        <v/>
      </c>
      <c r="X8276" s="16" t="str">
        <f>IFERROR(__xludf.DUMMYFUNCTION("""COMPUTED_VALUE"""),"")</f>
        <v/>
      </c>
      <c r="AC8276" s="16" t="str">
        <f>IFERROR(__xludf.DUMMYFUNCTION("""COMPUTED_VALUE"""),"")</f>
        <v/>
      </c>
    </row>
    <row r="8277">
      <c r="A8277" s="16" t="s">
        <v>87</v>
      </c>
      <c r="E8277" s="16" t="str">
        <f>IFERROR(__xludf.DUMMYFUNCTION("""COMPUTED_VALUE"""),"")</f>
        <v/>
      </c>
      <c r="G8277" s="18"/>
      <c r="H8277" s="16" t="s">
        <v>87</v>
      </c>
      <c r="I8277" s="16" t="s">
        <v>87</v>
      </c>
      <c r="J8277" s="19"/>
      <c r="L8277" s="16" t="str">
        <f>IFERROR(__xludf.DUMMYFUNCTION("""COMPUTED_VALUE"""),"")</f>
        <v/>
      </c>
      <c r="M8277" s="16" t="str">
        <f>IFERROR(__xludf.DUMMYFUNCTION("""COMPUTED_VALUE"""),"")</f>
        <v/>
      </c>
      <c r="U8277" s="16" t="s">
        <v>87</v>
      </c>
      <c r="V8277" s="16" t="str">
        <f>IFERROR(__xludf.DUMMYFUNCTION("""COMPUTED_VALUE"""),"")</f>
        <v/>
      </c>
      <c r="W8277" s="16" t="str">
        <f>IFERROR(__xludf.DUMMYFUNCTION("""COMPUTED_VALUE"""),"")</f>
        <v/>
      </c>
      <c r="X8277" s="16" t="str">
        <f>IFERROR(__xludf.DUMMYFUNCTION("""COMPUTED_VALUE"""),"")</f>
        <v/>
      </c>
      <c r="AC8277" s="16" t="str">
        <f>IFERROR(__xludf.DUMMYFUNCTION("""COMPUTED_VALUE"""),"")</f>
        <v/>
      </c>
    </row>
    <row r="8278">
      <c r="A8278" s="16" t="s">
        <v>87</v>
      </c>
      <c r="E8278" s="16" t="str">
        <f>IFERROR(__xludf.DUMMYFUNCTION("""COMPUTED_VALUE"""),"")</f>
        <v/>
      </c>
      <c r="G8278" s="18"/>
      <c r="H8278" s="16" t="s">
        <v>87</v>
      </c>
      <c r="I8278" s="16" t="s">
        <v>87</v>
      </c>
      <c r="J8278" s="19"/>
      <c r="L8278" s="16" t="str">
        <f>IFERROR(__xludf.DUMMYFUNCTION("""COMPUTED_VALUE"""),"")</f>
        <v/>
      </c>
      <c r="M8278" s="16" t="str">
        <f>IFERROR(__xludf.DUMMYFUNCTION("""COMPUTED_VALUE"""),"")</f>
        <v/>
      </c>
      <c r="U8278" s="16" t="s">
        <v>87</v>
      </c>
      <c r="V8278" s="16" t="str">
        <f>IFERROR(__xludf.DUMMYFUNCTION("""COMPUTED_VALUE"""),"")</f>
        <v/>
      </c>
      <c r="W8278" s="16" t="str">
        <f>IFERROR(__xludf.DUMMYFUNCTION("""COMPUTED_VALUE"""),"")</f>
        <v/>
      </c>
      <c r="X8278" s="16" t="str">
        <f>IFERROR(__xludf.DUMMYFUNCTION("""COMPUTED_VALUE"""),"")</f>
        <v/>
      </c>
      <c r="AC8278" s="16" t="str">
        <f>IFERROR(__xludf.DUMMYFUNCTION("""COMPUTED_VALUE"""),"")</f>
        <v/>
      </c>
    </row>
    <row r="8279">
      <c r="A8279" s="16" t="s">
        <v>87</v>
      </c>
      <c r="E8279" s="16" t="str">
        <f>IFERROR(__xludf.DUMMYFUNCTION("""COMPUTED_VALUE"""),"")</f>
        <v/>
      </c>
      <c r="G8279" s="18"/>
      <c r="H8279" s="16" t="s">
        <v>87</v>
      </c>
      <c r="I8279" s="16" t="s">
        <v>87</v>
      </c>
      <c r="J8279" s="19"/>
      <c r="L8279" s="16" t="str">
        <f>IFERROR(__xludf.DUMMYFUNCTION("""COMPUTED_VALUE"""),"")</f>
        <v/>
      </c>
      <c r="M8279" s="16" t="str">
        <f>IFERROR(__xludf.DUMMYFUNCTION("""COMPUTED_VALUE"""),"")</f>
        <v/>
      </c>
      <c r="U8279" s="16" t="s">
        <v>87</v>
      </c>
      <c r="V8279" s="16" t="str">
        <f>IFERROR(__xludf.DUMMYFUNCTION("""COMPUTED_VALUE"""),"")</f>
        <v/>
      </c>
      <c r="W8279" s="16" t="str">
        <f>IFERROR(__xludf.DUMMYFUNCTION("""COMPUTED_VALUE"""),"")</f>
        <v/>
      </c>
      <c r="X8279" s="16" t="str">
        <f>IFERROR(__xludf.DUMMYFUNCTION("""COMPUTED_VALUE"""),"")</f>
        <v/>
      </c>
      <c r="AC8279" s="16" t="str">
        <f>IFERROR(__xludf.DUMMYFUNCTION("""COMPUTED_VALUE"""),"")</f>
        <v/>
      </c>
    </row>
    <row r="8280">
      <c r="A8280" s="16" t="s">
        <v>87</v>
      </c>
      <c r="E8280" s="16" t="str">
        <f>IFERROR(__xludf.DUMMYFUNCTION("""COMPUTED_VALUE"""),"")</f>
        <v/>
      </c>
      <c r="G8280" s="18"/>
      <c r="H8280" s="16" t="s">
        <v>87</v>
      </c>
      <c r="I8280" s="16" t="s">
        <v>87</v>
      </c>
      <c r="J8280" s="19"/>
      <c r="L8280" s="16" t="str">
        <f>IFERROR(__xludf.DUMMYFUNCTION("""COMPUTED_VALUE"""),"")</f>
        <v/>
      </c>
      <c r="M8280" s="16" t="str">
        <f>IFERROR(__xludf.DUMMYFUNCTION("""COMPUTED_VALUE"""),"")</f>
        <v/>
      </c>
      <c r="U8280" s="16" t="s">
        <v>87</v>
      </c>
      <c r="V8280" s="16" t="str">
        <f>IFERROR(__xludf.DUMMYFUNCTION("""COMPUTED_VALUE"""),"")</f>
        <v/>
      </c>
      <c r="W8280" s="16" t="str">
        <f>IFERROR(__xludf.DUMMYFUNCTION("""COMPUTED_VALUE"""),"")</f>
        <v/>
      </c>
      <c r="X8280" s="16" t="str">
        <f>IFERROR(__xludf.DUMMYFUNCTION("""COMPUTED_VALUE"""),"")</f>
        <v/>
      </c>
      <c r="AC8280" s="16" t="str">
        <f>IFERROR(__xludf.DUMMYFUNCTION("""COMPUTED_VALUE"""),"")</f>
        <v/>
      </c>
    </row>
    <row r="8281">
      <c r="A8281" s="16" t="s">
        <v>87</v>
      </c>
      <c r="E8281" s="16" t="str">
        <f>IFERROR(__xludf.DUMMYFUNCTION("""COMPUTED_VALUE"""),"")</f>
        <v/>
      </c>
      <c r="G8281" s="18"/>
      <c r="H8281" s="16" t="s">
        <v>87</v>
      </c>
      <c r="I8281" s="16" t="s">
        <v>87</v>
      </c>
      <c r="J8281" s="19"/>
      <c r="L8281" s="16" t="str">
        <f>IFERROR(__xludf.DUMMYFUNCTION("""COMPUTED_VALUE"""),"")</f>
        <v/>
      </c>
      <c r="M8281" s="16" t="str">
        <f>IFERROR(__xludf.DUMMYFUNCTION("""COMPUTED_VALUE"""),"")</f>
        <v/>
      </c>
      <c r="U8281" s="16" t="s">
        <v>87</v>
      </c>
      <c r="V8281" s="16" t="str">
        <f>IFERROR(__xludf.DUMMYFUNCTION("""COMPUTED_VALUE"""),"")</f>
        <v/>
      </c>
      <c r="W8281" s="16" t="str">
        <f>IFERROR(__xludf.DUMMYFUNCTION("""COMPUTED_VALUE"""),"")</f>
        <v/>
      </c>
      <c r="X8281" s="16" t="str">
        <f>IFERROR(__xludf.DUMMYFUNCTION("""COMPUTED_VALUE"""),"")</f>
        <v/>
      </c>
      <c r="AC8281" s="16" t="str">
        <f>IFERROR(__xludf.DUMMYFUNCTION("""COMPUTED_VALUE"""),"")</f>
        <v/>
      </c>
    </row>
    <row r="8282">
      <c r="A8282" s="16" t="s">
        <v>87</v>
      </c>
      <c r="E8282" s="16" t="str">
        <f>IFERROR(__xludf.DUMMYFUNCTION("""COMPUTED_VALUE"""),"")</f>
        <v/>
      </c>
      <c r="G8282" s="18"/>
      <c r="H8282" s="16" t="s">
        <v>87</v>
      </c>
      <c r="I8282" s="16" t="s">
        <v>87</v>
      </c>
      <c r="J8282" s="19"/>
      <c r="L8282" s="16" t="str">
        <f>IFERROR(__xludf.DUMMYFUNCTION("""COMPUTED_VALUE"""),"")</f>
        <v/>
      </c>
      <c r="M8282" s="16" t="str">
        <f>IFERROR(__xludf.DUMMYFUNCTION("""COMPUTED_VALUE"""),"")</f>
        <v/>
      </c>
      <c r="U8282" s="16" t="s">
        <v>87</v>
      </c>
      <c r="V8282" s="16" t="str">
        <f>IFERROR(__xludf.DUMMYFUNCTION("""COMPUTED_VALUE"""),"")</f>
        <v/>
      </c>
      <c r="W8282" s="16" t="str">
        <f>IFERROR(__xludf.DUMMYFUNCTION("""COMPUTED_VALUE"""),"")</f>
        <v/>
      </c>
      <c r="X8282" s="16" t="str">
        <f>IFERROR(__xludf.DUMMYFUNCTION("""COMPUTED_VALUE"""),"")</f>
        <v/>
      </c>
      <c r="AC8282" s="16" t="str">
        <f>IFERROR(__xludf.DUMMYFUNCTION("""COMPUTED_VALUE"""),"")</f>
        <v/>
      </c>
    </row>
    <row r="8283">
      <c r="A8283" s="16" t="s">
        <v>87</v>
      </c>
      <c r="E8283" s="16" t="str">
        <f>IFERROR(__xludf.DUMMYFUNCTION("""COMPUTED_VALUE"""),"")</f>
        <v/>
      </c>
      <c r="G8283" s="18"/>
      <c r="H8283" s="16" t="s">
        <v>87</v>
      </c>
      <c r="I8283" s="16" t="s">
        <v>87</v>
      </c>
      <c r="J8283" s="19"/>
      <c r="L8283" s="16" t="str">
        <f>IFERROR(__xludf.DUMMYFUNCTION("""COMPUTED_VALUE"""),"")</f>
        <v/>
      </c>
      <c r="M8283" s="16" t="str">
        <f>IFERROR(__xludf.DUMMYFUNCTION("""COMPUTED_VALUE"""),"")</f>
        <v/>
      </c>
      <c r="U8283" s="16" t="s">
        <v>87</v>
      </c>
      <c r="V8283" s="16" t="str">
        <f>IFERROR(__xludf.DUMMYFUNCTION("""COMPUTED_VALUE"""),"")</f>
        <v/>
      </c>
      <c r="W8283" s="16" t="str">
        <f>IFERROR(__xludf.DUMMYFUNCTION("""COMPUTED_VALUE"""),"")</f>
        <v/>
      </c>
      <c r="X8283" s="16" t="str">
        <f>IFERROR(__xludf.DUMMYFUNCTION("""COMPUTED_VALUE"""),"")</f>
        <v/>
      </c>
      <c r="AC8283" s="16" t="str">
        <f>IFERROR(__xludf.DUMMYFUNCTION("""COMPUTED_VALUE"""),"")</f>
        <v/>
      </c>
    </row>
    <row r="8284">
      <c r="A8284" s="16" t="s">
        <v>87</v>
      </c>
      <c r="E8284" s="16" t="str">
        <f>IFERROR(__xludf.DUMMYFUNCTION("""COMPUTED_VALUE"""),"")</f>
        <v/>
      </c>
      <c r="G8284" s="18"/>
      <c r="H8284" s="16" t="s">
        <v>87</v>
      </c>
      <c r="I8284" s="16" t="s">
        <v>87</v>
      </c>
      <c r="J8284" s="19"/>
      <c r="L8284" s="16" t="str">
        <f>IFERROR(__xludf.DUMMYFUNCTION("""COMPUTED_VALUE"""),"")</f>
        <v/>
      </c>
      <c r="M8284" s="16" t="str">
        <f>IFERROR(__xludf.DUMMYFUNCTION("""COMPUTED_VALUE"""),"")</f>
        <v/>
      </c>
      <c r="U8284" s="16" t="s">
        <v>87</v>
      </c>
      <c r="V8284" s="16" t="str">
        <f>IFERROR(__xludf.DUMMYFUNCTION("""COMPUTED_VALUE"""),"")</f>
        <v/>
      </c>
      <c r="W8284" s="16" t="str">
        <f>IFERROR(__xludf.DUMMYFUNCTION("""COMPUTED_VALUE"""),"")</f>
        <v/>
      </c>
      <c r="X8284" s="16" t="str">
        <f>IFERROR(__xludf.DUMMYFUNCTION("""COMPUTED_VALUE"""),"")</f>
        <v/>
      </c>
      <c r="AC8284" s="16" t="str">
        <f>IFERROR(__xludf.DUMMYFUNCTION("""COMPUTED_VALUE"""),"")</f>
        <v/>
      </c>
    </row>
    <row r="8285">
      <c r="A8285" s="16" t="s">
        <v>87</v>
      </c>
      <c r="E8285" s="16" t="str">
        <f>IFERROR(__xludf.DUMMYFUNCTION("""COMPUTED_VALUE"""),"")</f>
        <v/>
      </c>
      <c r="G8285" s="18"/>
      <c r="H8285" s="16" t="s">
        <v>87</v>
      </c>
      <c r="I8285" s="16" t="s">
        <v>87</v>
      </c>
      <c r="J8285" s="19"/>
      <c r="L8285" s="16" t="str">
        <f>IFERROR(__xludf.DUMMYFUNCTION("""COMPUTED_VALUE"""),"")</f>
        <v/>
      </c>
      <c r="M8285" s="16" t="str">
        <f>IFERROR(__xludf.DUMMYFUNCTION("""COMPUTED_VALUE"""),"")</f>
        <v/>
      </c>
      <c r="U8285" s="16" t="s">
        <v>87</v>
      </c>
      <c r="V8285" s="16" t="str">
        <f>IFERROR(__xludf.DUMMYFUNCTION("""COMPUTED_VALUE"""),"")</f>
        <v/>
      </c>
      <c r="W8285" s="16" t="str">
        <f>IFERROR(__xludf.DUMMYFUNCTION("""COMPUTED_VALUE"""),"")</f>
        <v/>
      </c>
      <c r="X8285" s="16" t="str">
        <f>IFERROR(__xludf.DUMMYFUNCTION("""COMPUTED_VALUE"""),"")</f>
        <v/>
      </c>
      <c r="AC8285" s="16" t="str">
        <f>IFERROR(__xludf.DUMMYFUNCTION("""COMPUTED_VALUE"""),"")</f>
        <v/>
      </c>
    </row>
    <row r="8286">
      <c r="A8286" s="16" t="s">
        <v>87</v>
      </c>
      <c r="E8286" s="16" t="str">
        <f>IFERROR(__xludf.DUMMYFUNCTION("""COMPUTED_VALUE"""),"")</f>
        <v/>
      </c>
      <c r="G8286" s="18"/>
      <c r="H8286" s="16" t="s">
        <v>87</v>
      </c>
      <c r="I8286" s="16" t="s">
        <v>87</v>
      </c>
      <c r="J8286" s="19"/>
      <c r="L8286" s="16" t="str">
        <f>IFERROR(__xludf.DUMMYFUNCTION("""COMPUTED_VALUE"""),"")</f>
        <v/>
      </c>
      <c r="M8286" s="16" t="str">
        <f>IFERROR(__xludf.DUMMYFUNCTION("""COMPUTED_VALUE"""),"")</f>
        <v/>
      </c>
      <c r="U8286" s="16" t="s">
        <v>87</v>
      </c>
      <c r="V8286" s="16" t="str">
        <f>IFERROR(__xludf.DUMMYFUNCTION("""COMPUTED_VALUE"""),"")</f>
        <v/>
      </c>
      <c r="W8286" s="16" t="str">
        <f>IFERROR(__xludf.DUMMYFUNCTION("""COMPUTED_VALUE"""),"")</f>
        <v/>
      </c>
      <c r="X8286" s="16" t="str">
        <f>IFERROR(__xludf.DUMMYFUNCTION("""COMPUTED_VALUE"""),"")</f>
        <v/>
      </c>
      <c r="AC8286" s="16" t="str">
        <f>IFERROR(__xludf.DUMMYFUNCTION("""COMPUTED_VALUE"""),"")</f>
        <v/>
      </c>
    </row>
    <row r="8287">
      <c r="A8287" s="16" t="s">
        <v>87</v>
      </c>
      <c r="E8287" s="16" t="str">
        <f>IFERROR(__xludf.DUMMYFUNCTION("""COMPUTED_VALUE"""),"")</f>
        <v/>
      </c>
      <c r="G8287" s="18"/>
      <c r="H8287" s="16" t="s">
        <v>87</v>
      </c>
      <c r="I8287" s="16" t="s">
        <v>87</v>
      </c>
      <c r="J8287" s="19"/>
      <c r="L8287" s="16" t="str">
        <f>IFERROR(__xludf.DUMMYFUNCTION("""COMPUTED_VALUE"""),"")</f>
        <v/>
      </c>
      <c r="M8287" s="16" t="str">
        <f>IFERROR(__xludf.DUMMYFUNCTION("""COMPUTED_VALUE"""),"")</f>
        <v/>
      </c>
      <c r="U8287" s="16" t="s">
        <v>87</v>
      </c>
      <c r="V8287" s="16" t="str">
        <f>IFERROR(__xludf.DUMMYFUNCTION("""COMPUTED_VALUE"""),"")</f>
        <v/>
      </c>
      <c r="W8287" s="16" t="str">
        <f>IFERROR(__xludf.DUMMYFUNCTION("""COMPUTED_VALUE"""),"")</f>
        <v/>
      </c>
      <c r="X8287" s="16" t="str">
        <f>IFERROR(__xludf.DUMMYFUNCTION("""COMPUTED_VALUE"""),"")</f>
        <v/>
      </c>
      <c r="AC8287" s="16" t="str">
        <f>IFERROR(__xludf.DUMMYFUNCTION("""COMPUTED_VALUE"""),"")</f>
        <v/>
      </c>
    </row>
    <row r="8288">
      <c r="A8288" s="16" t="s">
        <v>87</v>
      </c>
      <c r="E8288" s="16" t="str">
        <f>IFERROR(__xludf.DUMMYFUNCTION("""COMPUTED_VALUE"""),"")</f>
        <v/>
      </c>
      <c r="G8288" s="18"/>
      <c r="H8288" s="16" t="s">
        <v>87</v>
      </c>
      <c r="I8288" s="16" t="s">
        <v>87</v>
      </c>
      <c r="J8288" s="19"/>
      <c r="L8288" s="16" t="str">
        <f>IFERROR(__xludf.DUMMYFUNCTION("""COMPUTED_VALUE"""),"")</f>
        <v/>
      </c>
      <c r="M8288" s="16" t="str">
        <f>IFERROR(__xludf.DUMMYFUNCTION("""COMPUTED_VALUE"""),"")</f>
        <v/>
      </c>
      <c r="U8288" s="16" t="s">
        <v>87</v>
      </c>
      <c r="V8288" s="16" t="str">
        <f>IFERROR(__xludf.DUMMYFUNCTION("""COMPUTED_VALUE"""),"")</f>
        <v/>
      </c>
      <c r="W8288" s="16" t="str">
        <f>IFERROR(__xludf.DUMMYFUNCTION("""COMPUTED_VALUE"""),"")</f>
        <v/>
      </c>
      <c r="X8288" s="16" t="str">
        <f>IFERROR(__xludf.DUMMYFUNCTION("""COMPUTED_VALUE"""),"")</f>
        <v/>
      </c>
      <c r="AC8288" s="16" t="str">
        <f>IFERROR(__xludf.DUMMYFUNCTION("""COMPUTED_VALUE"""),"")</f>
        <v/>
      </c>
    </row>
    <row r="8289">
      <c r="A8289" s="16" t="s">
        <v>87</v>
      </c>
      <c r="E8289" s="16" t="str">
        <f>IFERROR(__xludf.DUMMYFUNCTION("""COMPUTED_VALUE"""),"")</f>
        <v/>
      </c>
      <c r="G8289" s="18"/>
      <c r="H8289" s="16" t="s">
        <v>87</v>
      </c>
      <c r="I8289" s="16" t="s">
        <v>87</v>
      </c>
      <c r="J8289" s="19"/>
      <c r="L8289" s="16" t="str">
        <f>IFERROR(__xludf.DUMMYFUNCTION("""COMPUTED_VALUE"""),"")</f>
        <v/>
      </c>
      <c r="M8289" s="16" t="str">
        <f>IFERROR(__xludf.DUMMYFUNCTION("""COMPUTED_VALUE"""),"")</f>
        <v/>
      </c>
      <c r="U8289" s="16" t="s">
        <v>87</v>
      </c>
      <c r="V8289" s="16" t="str">
        <f>IFERROR(__xludf.DUMMYFUNCTION("""COMPUTED_VALUE"""),"")</f>
        <v/>
      </c>
      <c r="W8289" s="16" t="str">
        <f>IFERROR(__xludf.DUMMYFUNCTION("""COMPUTED_VALUE"""),"")</f>
        <v/>
      </c>
      <c r="X8289" s="16" t="str">
        <f>IFERROR(__xludf.DUMMYFUNCTION("""COMPUTED_VALUE"""),"")</f>
        <v/>
      </c>
      <c r="AC8289" s="16" t="str">
        <f>IFERROR(__xludf.DUMMYFUNCTION("""COMPUTED_VALUE"""),"")</f>
        <v/>
      </c>
    </row>
    <row r="8290">
      <c r="A8290" s="16" t="s">
        <v>87</v>
      </c>
      <c r="E8290" s="16" t="str">
        <f>IFERROR(__xludf.DUMMYFUNCTION("""COMPUTED_VALUE"""),"")</f>
        <v/>
      </c>
      <c r="G8290" s="18"/>
      <c r="H8290" s="16" t="s">
        <v>87</v>
      </c>
      <c r="I8290" s="16" t="s">
        <v>87</v>
      </c>
      <c r="J8290" s="19"/>
      <c r="L8290" s="16" t="str">
        <f>IFERROR(__xludf.DUMMYFUNCTION("""COMPUTED_VALUE"""),"")</f>
        <v/>
      </c>
      <c r="M8290" s="16" t="str">
        <f>IFERROR(__xludf.DUMMYFUNCTION("""COMPUTED_VALUE"""),"")</f>
        <v/>
      </c>
      <c r="U8290" s="16" t="s">
        <v>87</v>
      </c>
      <c r="V8290" s="16" t="str">
        <f>IFERROR(__xludf.DUMMYFUNCTION("""COMPUTED_VALUE"""),"")</f>
        <v/>
      </c>
      <c r="W8290" s="16" t="str">
        <f>IFERROR(__xludf.DUMMYFUNCTION("""COMPUTED_VALUE"""),"")</f>
        <v/>
      </c>
      <c r="X8290" s="16" t="str">
        <f>IFERROR(__xludf.DUMMYFUNCTION("""COMPUTED_VALUE"""),"")</f>
        <v/>
      </c>
      <c r="AC8290" s="16" t="str">
        <f>IFERROR(__xludf.DUMMYFUNCTION("""COMPUTED_VALUE"""),"")</f>
        <v/>
      </c>
    </row>
    <row r="8291">
      <c r="A8291" s="16" t="s">
        <v>87</v>
      </c>
      <c r="E8291" s="16" t="str">
        <f>IFERROR(__xludf.DUMMYFUNCTION("""COMPUTED_VALUE"""),"")</f>
        <v/>
      </c>
      <c r="G8291" s="18"/>
      <c r="H8291" s="16" t="s">
        <v>87</v>
      </c>
      <c r="I8291" s="16" t="s">
        <v>87</v>
      </c>
      <c r="J8291" s="19"/>
      <c r="L8291" s="16" t="str">
        <f>IFERROR(__xludf.DUMMYFUNCTION("""COMPUTED_VALUE"""),"")</f>
        <v/>
      </c>
      <c r="M8291" s="16" t="str">
        <f>IFERROR(__xludf.DUMMYFUNCTION("""COMPUTED_VALUE"""),"")</f>
        <v/>
      </c>
      <c r="U8291" s="16" t="s">
        <v>87</v>
      </c>
      <c r="V8291" s="16" t="str">
        <f>IFERROR(__xludf.DUMMYFUNCTION("""COMPUTED_VALUE"""),"")</f>
        <v/>
      </c>
      <c r="W8291" s="16" t="str">
        <f>IFERROR(__xludf.DUMMYFUNCTION("""COMPUTED_VALUE"""),"")</f>
        <v/>
      </c>
      <c r="X8291" s="16" t="str">
        <f>IFERROR(__xludf.DUMMYFUNCTION("""COMPUTED_VALUE"""),"")</f>
        <v/>
      </c>
      <c r="AC8291" s="16" t="str">
        <f>IFERROR(__xludf.DUMMYFUNCTION("""COMPUTED_VALUE"""),"")</f>
        <v/>
      </c>
    </row>
    <row r="8292">
      <c r="A8292" s="16" t="s">
        <v>87</v>
      </c>
      <c r="E8292" s="16" t="str">
        <f>IFERROR(__xludf.DUMMYFUNCTION("""COMPUTED_VALUE"""),"")</f>
        <v/>
      </c>
      <c r="G8292" s="18"/>
      <c r="H8292" s="16" t="s">
        <v>87</v>
      </c>
      <c r="I8292" s="16" t="s">
        <v>87</v>
      </c>
      <c r="J8292" s="19"/>
      <c r="L8292" s="16" t="str">
        <f>IFERROR(__xludf.DUMMYFUNCTION("""COMPUTED_VALUE"""),"")</f>
        <v/>
      </c>
      <c r="M8292" s="16" t="str">
        <f>IFERROR(__xludf.DUMMYFUNCTION("""COMPUTED_VALUE"""),"")</f>
        <v/>
      </c>
      <c r="U8292" s="16" t="s">
        <v>87</v>
      </c>
      <c r="V8292" s="16" t="str">
        <f>IFERROR(__xludf.DUMMYFUNCTION("""COMPUTED_VALUE"""),"")</f>
        <v/>
      </c>
      <c r="W8292" s="16" t="str">
        <f>IFERROR(__xludf.DUMMYFUNCTION("""COMPUTED_VALUE"""),"")</f>
        <v/>
      </c>
      <c r="X8292" s="16" t="str">
        <f>IFERROR(__xludf.DUMMYFUNCTION("""COMPUTED_VALUE"""),"")</f>
        <v/>
      </c>
      <c r="AC8292" s="16" t="str">
        <f>IFERROR(__xludf.DUMMYFUNCTION("""COMPUTED_VALUE"""),"")</f>
        <v/>
      </c>
    </row>
    <row r="8293">
      <c r="A8293" s="16" t="s">
        <v>87</v>
      </c>
      <c r="E8293" s="16" t="str">
        <f>IFERROR(__xludf.DUMMYFUNCTION("""COMPUTED_VALUE"""),"")</f>
        <v/>
      </c>
      <c r="G8293" s="18"/>
      <c r="H8293" s="16" t="s">
        <v>87</v>
      </c>
      <c r="I8293" s="16" t="s">
        <v>87</v>
      </c>
      <c r="J8293" s="19"/>
      <c r="L8293" s="16" t="str">
        <f>IFERROR(__xludf.DUMMYFUNCTION("""COMPUTED_VALUE"""),"")</f>
        <v/>
      </c>
      <c r="M8293" s="16" t="str">
        <f>IFERROR(__xludf.DUMMYFUNCTION("""COMPUTED_VALUE"""),"")</f>
        <v/>
      </c>
      <c r="U8293" s="16" t="s">
        <v>87</v>
      </c>
      <c r="V8293" s="16" t="str">
        <f>IFERROR(__xludf.DUMMYFUNCTION("""COMPUTED_VALUE"""),"")</f>
        <v/>
      </c>
      <c r="W8293" s="16" t="str">
        <f>IFERROR(__xludf.DUMMYFUNCTION("""COMPUTED_VALUE"""),"")</f>
        <v/>
      </c>
      <c r="X8293" s="16" t="str">
        <f>IFERROR(__xludf.DUMMYFUNCTION("""COMPUTED_VALUE"""),"")</f>
        <v/>
      </c>
      <c r="AC8293" s="16" t="str">
        <f>IFERROR(__xludf.DUMMYFUNCTION("""COMPUTED_VALUE"""),"")</f>
        <v/>
      </c>
    </row>
    <row r="8294">
      <c r="A8294" s="16" t="s">
        <v>87</v>
      </c>
      <c r="E8294" s="16" t="str">
        <f>IFERROR(__xludf.DUMMYFUNCTION("""COMPUTED_VALUE"""),"")</f>
        <v/>
      </c>
      <c r="G8294" s="18"/>
      <c r="H8294" s="16" t="s">
        <v>87</v>
      </c>
      <c r="I8294" s="16" t="s">
        <v>87</v>
      </c>
      <c r="J8294" s="19"/>
      <c r="L8294" s="16" t="str">
        <f>IFERROR(__xludf.DUMMYFUNCTION("""COMPUTED_VALUE"""),"")</f>
        <v/>
      </c>
      <c r="M8294" s="16" t="str">
        <f>IFERROR(__xludf.DUMMYFUNCTION("""COMPUTED_VALUE"""),"")</f>
        <v/>
      </c>
      <c r="U8294" s="16" t="s">
        <v>87</v>
      </c>
      <c r="V8294" s="16" t="str">
        <f>IFERROR(__xludf.DUMMYFUNCTION("""COMPUTED_VALUE"""),"")</f>
        <v/>
      </c>
      <c r="W8294" s="16" t="str">
        <f>IFERROR(__xludf.DUMMYFUNCTION("""COMPUTED_VALUE"""),"")</f>
        <v/>
      </c>
      <c r="X8294" s="16" t="str">
        <f>IFERROR(__xludf.DUMMYFUNCTION("""COMPUTED_VALUE"""),"")</f>
        <v/>
      </c>
      <c r="AC8294" s="16" t="str">
        <f>IFERROR(__xludf.DUMMYFUNCTION("""COMPUTED_VALUE"""),"")</f>
        <v/>
      </c>
    </row>
    <row r="8295">
      <c r="A8295" s="16" t="s">
        <v>87</v>
      </c>
      <c r="E8295" s="16" t="str">
        <f>IFERROR(__xludf.DUMMYFUNCTION("""COMPUTED_VALUE"""),"")</f>
        <v/>
      </c>
      <c r="G8295" s="18"/>
      <c r="H8295" s="16" t="s">
        <v>87</v>
      </c>
      <c r="I8295" s="16" t="s">
        <v>87</v>
      </c>
      <c r="J8295" s="19"/>
      <c r="L8295" s="16" t="str">
        <f>IFERROR(__xludf.DUMMYFUNCTION("""COMPUTED_VALUE"""),"")</f>
        <v/>
      </c>
      <c r="M8295" s="16" t="str">
        <f>IFERROR(__xludf.DUMMYFUNCTION("""COMPUTED_VALUE"""),"")</f>
        <v/>
      </c>
      <c r="U8295" s="16" t="s">
        <v>87</v>
      </c>
      <c r="V8295" s="16" t="str">
        <f>IFERROR(__xludf.DUMMYFUNCTION("""COMPUTED_VALUE"""),"")</f>
        <v/>
      </c>
      <c r="W8295" s="16" t="str">
        <f>IFERROR(__xludf.DUMMYFUNCTION("""COMPUTED_VALUE"""),"")</f>
        <v/>
      </c>
      <c r="X8295" s="16" t="str">
        <f>IFERROR(__xludf.DUMMYFUNCTION("""COMPUTED_VALUE"""),"")</f>
        <v/>
      </c>
      <c r="AC8295" s="16" t="str">
        <f>IFERROR(__xludf.DUMMYFUNCTION("""COMPUTED_VALUE"""),"")</f>
        <v/>
      </c>
    </row>
    <row r="8296">
      <c r="A8296" s="16" t="s">
        <v>87</v>
      </c>
      <c r="E8296" s="16" t="str">
        <f>IFERROR(__xludf.DUMMYFUNCTION("""COMPUTED_VALUE"""),"")</f>
        <v/>
      </c>
      <c r="G8296" s="18"/>
      <c r="H8296" s="16" t="s">
        <v>87</v>
      </c>
      <c r="I8296" s="16" t="s">
        <v>87</v>
      </c>
      <c r="J8296" s="19"/>
      <c r="L8296" s="16" t="str">
        <f>IFERROR(__xludf.DUMMYFUNCTION("""COMPUTED_VALUE"""),"")</f>
        <v/>
      </c>
      <c r="M8296" s="16" t="str">
        <f>IFERROR(__xludf.DUMMYFUNCTION("""COMPUTED_VALUE"""),"")</f>
        <v/>
      </c>
      <c r="U8296" s="16" t="s">
        <v>87</v>
      </c>
      <c r="V8296" s="16" t="str">
        <f>IFERROR(__xludf.DUMMYFUNCTION("""COMPUTED_VALUE"""),"")</f>
        <v/>
      </c>
      <c r="W8296" s="16" t="str">
        <f>IFERROR(__xludf.DUMMYFUNCTION("""COMPUTED_VALUE"""),"")</f>
        <v/>
      </c>
      <c r="X8296" s="16" t="str">
        <f>IFERROR(__xludf.DUMMYFUNCTION("""COMPUTED_VALUE"""),"")</f>
        <v/>
      </c>
      <c r="AC8296" s="16" t="str">
        <f>IFERROR(__xludf.DUMMYFUNCTION("""COMPUTED_VALUE"""),"")</f>
        <v/>
      </c>
    </row>
    <row r="8297">
      <c r="A8297" s="16" t="s">
        <v>87</v>
      </c>
      <c r="E8297" s="16" t="str">
        <f>IFERROR(__xludf.DUMMYFUNCTION("""COMPUTED_VALUE"""),"")</f>
        <v/>
      </c>
      <c r="G8297" s="18"/>
      <c r="H8297" s="16" t="s">
        <v>87</v>
      </c>
      <c r="I8297" s="16" t="s">
        <v>87</v>
      </c>
      <c r="J8297" s="19"/>
      <c r="L8297" s="16" t="str">
        <f>IFERROR(__xludf.DUMMYFUNCTION("""COMPUTED_VALUE"""),"")</f>
        <v/>
      </c>
      <c r="M8297" s="16" t="str">
        <f>IFERROR(__xludf.DUMMYFUNCTION("""COMPUTED_VALUE"""),"")</f>
        <v/>
      </c>
      <c r="U8297" s="16" t="s">
        <v>87</v>
      </c>
      <c r="V8297" s="16" t="str">
        <f>IFERROR(__xludf.DUMMYFUNCTION("""COMPUTED_VALUE"""),"")</f>
        <v/>
      </c>
      <c r="W8297" s="16" t="str">
        <f>IFERROR(__xludf.DUMMYFUNCTION("""COMPUTED_VALUE"""),"")</f>
        <v/>
      </c>
      <c r="X8297" s="16" t="str">
        <f>IFERROR(__xludf.DUMMYFUNCTION("""COMPUTED_VALUE"""),"")</f>
        <v/>
      </c>
      <c r="AC8297" s="16" t="str">
        <f>IFERROR(__xludf.DUMMYFUNCTION("""COMPUTED_VALUE"""),"")</f>
        <v/>
      </c>
    </row>
    <row r="8298">
      <c r="A8298" s="16" t="s">
        <v>87</v>
      </c>
      <c r="E8298" s="16" t="str">
        <f>IFERROR(__xludf.DUMMYFUNCTION("""COMPUTED_VALUE"""),"")</f>
        <v/>
      </c>
      <c r="G8298" s="18"/>
      <c r="H8298" s="16" t="s">
        <v>87</v>
      </c>
      <c r="I8298" s="16" t="s">
        <v>87</v>
      </c>
      <c r="J8298" s="19"/>
      <c r="L8298" s="16" t="str">
        <f>IFERROR(__xludf.DUMMYFUNCTION("""COMPUTED_VALUE"""),"")</f>
        <v/>
      </c>
      <c r="M8298" s="16" t="str">
        <f>IFERROR(__xludf.DUMMYFUNCTION("""COMPUTED_VALUE"""),"")</f>
        <v/>
      </c>
      <c r="U8298" s="16" t="s">
        <v>87</v>
      </c>
      <c r="V8298" s="16" t="str">
        <f>IFERROR(__xludf.DUMMYFUNCTION("""COMPUTED_VALUE"""),"")</f>
        <v/>
      </c>
      <c r="W8298" s="16" t="str">
        <f>IFERROR(__xludf.DUMMYFUNCTION("""COMPUTED_VALUE"""),"")</f>
        <v/>
      </c>
      <c r="X8298" s="16" t="str">
        <f>IFERROR(__xludf.DUMMYFUNCTION("""COMPUTED_VALUE"""),"")</f>
        <v/>
      </c>
      <c r="AC8298" s="16" t="str">
        <f>IFERROR(__xludf.DUMMYFUNCTION("""COMPUTED_VALUE"""),"")</f>
        <v/>
      </c>
    </row>
    <row r="8299">
      <c r="A8299" s="16" t="s">
        <v>87</v>
      </c>
      <c r="E8299" s="16" t="str">
        <f>IFERROR(__xludf.DUMMYFUNCTION("""COMPUTED_VALUE"""),"")</f>
        <v/>
      </c>
      <c r="G8299" s="18"/>
      <c r="H8299" s="16" t="s">
        <v>87</v>
      </c>
      <c r="I8299" s="16" t="s">
        <v>87</v>
      </c>
      <c r="J8299" s="19"/>
      <c r="L8299" s="16" t="str">
        <f>IFERROR(__xludf.DUMMYFUNCTION("""COMPUTED_VALUE"""),"")</f>
        <v/>
      </c>
      <c r="M8299" s="16" t="str">
        <f>IFERROR(__xludf.DUMMYFUNCTION("""COMPUTED_VALUE"""),"")</f>
        <v/>
      </c>
      <c r="U8299" s="16" t="s">
        <v>87</v>
      </c>
      <c r="V8299" s="16" t="str">
        <f>IFERROR(__xludf.DUMMYFUNCTION("""COMPUTED_VALUE"""),"")</f>
        <v/>
      </c>
      <c r="W8299" s="16" t="str">
        <f>IFERROR(__xludf.DUMMYFUNCTION("""COMPUTED_VALUE"""),"")</f>
        <v/>
      </c>
      <c r="X8299" s="16" t="str">
        <f>IFERROR(__xludf.DUMMYFUNCTION("""COMPUTED_VALUE"""),"")</f>
        <v/>
      </c>
      <c r="AC8299" s="16" t="str">
        <f>IFERROR(__xludf.DUMMYFUNCTION("""COMPUTED_VALUE"""),"")</f>
        <v/>
      </c>
    </row>
    <row r="8300">
      <c r="A8300" s="16" t="s">
        <v>87</v>
      </c>
      <c r="E8300" s="16" t="str">
        <f>IFERROR(__xludf.DUMMYFUNCTION("""COMPUTED_VALUE"""),"")</f>
        <v/>
      </c>
      <c r="G8300" s="18"/>
      <c r="H8300" s="16" t="s">
        <v>87</v>
      </c>
      <c r="I8300" s="16" t="s">
        <v>87</v>
      </c>
      <c r="J8300" s="19"/>
      <c r="L8300" s="16" t="str">
        <f>IFERROR(__xludf.DUMMYFUNCTION("""COMPUTED_VALUE"""),"")</f>
        <v/>
      </c>
      <c r="M8300" s="16" t="str">
        <f>IFERROR(__xludf.DUMMYFUNCTION("""COMPUTED_VALUE"""),"")</f>
        <v/>
      </c>
      <c r="U8300" s="16" t="s">
        <v>87</v>
      </c>
      <c r="V8300" s="16" t="str">
        <f>IFERROR(__xludf.DUMMYFUNCTION("""COMPUTED_VALUE"""),"")</f>
        <v/>
      </c>
      <c r="W8300" s="16" t="str">
        <f>IFERROR(__xludf.DUMMYFUNCTION("""COMPUTED_VALUE"""),"")</f>
        <v/>
      </c>
      <c r="X8300" s="16" t="str">
        <f>IFERROR(__xludf.DUMMYFUNCTION("""COMPUTED_VALUE"""),"")</f>
        <v/>
      </c>
      <c r="AC8300" s="16" t="str">
        <f>IFERROR(__xludf.DUMMYFUNCTION("""COMPUTED_VALUE"""),"")</f>
        <v/>
      </c>
    </row>
    <row r="8301">
      <c r="A8301" s="16" t="s">
        <v>87</v>
      </c>
      <c r="E8301" s="16" t="str">
        <f>IFERROR(__xludf.DUMMYFUNCTION("""COMPUTED_VALUE"""),"")</f>
        <v/>
      </c>
      <c r="G8301" s="18"/>
      <c r="H8301" s="16" t="s">
        <v>87</v>
      </c>
      <c r="I8301" s="16" t="s">
        <v>87</v>
      </c>
      <c r="J8301" s="19"/>
      <c r="L8301" s="16" t="str">
        <f>IFERROR(__xludf.DUMMYFUNCTION("""COMPUTED_VALUE"""),"")</f>
        <v/>
      </c>
      <c r="M8301" s="16" t="str">
        <f>IFERROR(__xludf.DUMMYFUNCTION("""COMPUTED_VALUE"""),"")</f>
        <v/>
      </c>
      <c r="U8301" s="16" t="s">
        <v>87</v>
      </c>
      <c r="V8301" s="16" t="str">
        <f>IFERROR(__xludf.DUMMYFUNCTION("""COMPUTED_VALUE"""),"")</f>
        <v/>
      </c>
      <c r="W8301" s="16" t="str">
        <f>IFERROR(__xludf.DUMMYFUNCTION("""COMPUTED_VALUE"""),"")</f>
        <v/>
      </c>
      <c r="X8301" s="16" t="str">
        <f>IFERROR(__xludf.DUMMYFUNCTION("""COMPUTED_VALUE"""),"")</f>
        <v/>
      </c>
      <c r="AC8301" s="16" t="str">
        <f>IFERROR(__xludf.DUMMYFUNCTION("""COMPUTED_VALUE"""),"")</f>
        <v/>
      </c>
    </row>
    <row r="8302">
      <c r="A8302" s="16" t="s">
        <v>87</v>
      </c>
      <c r="E8302" s="16" t="str">
        <f>IFERROR(__xludf.DUMMYFUNCTION("""COMPUTED_VALUE"""),"")</f>
        <v/>
      </c>
      <c r="G8302" s="18"/>
      <c r="H8302" s="16" t="s">
        <v>87</v>
      </c>
      <c r="I8302" s="16" t="s">
        <v>87</v>
      </c>
      <c r="J8302" s="19"/>
      <c r="L8302" s="16" t="str">
        <f>IFERROR(__xludf.DUMMYFUNCTION("""COMPUTED_VALUE"""),"")</f>
        <v/>
      </c>
      <c r="M8302" s="16" t="str">
        <f>IFERROR(__xludf.DUMMYFUNCTION("""COMPUTED_VALUE"""),"")</f>
        <v/>
      </c>
      <c r="U8302" s="16" t="s">
        <v>87</v>
      </c>
      <c r="V8302" s="16" t="str">
        <f>IFERROR(__xludf.DUMMYFUNCTION("""COMPUTED_VALUE"""),"")</f>
        <v/>
      </c>
      <c r="W8302" s="16" t="str">
        <f>IFERROR(__xludf.DUMMYFUNCTION("""COMPUTED_VALUE"""),"")</f>
        <v/>
      </c>
      <c r="X8302" s="16" t="str">
        <f>IFERROR(__xludf.DUMMYFUNCTION("""COMPUTED_VALUE"""),"")</f>
        <v/>
      </c>
      <c r="AC8302" s="16" t="str">
        <f>IFERROR(__xludf.DUMMYFUNCTION("""COMPUTED_VALUE"""),"")</f>
        <v/>
      </c>
    </row>
    <row r="8303">
      <c r="A8303" s="16" t="s">
        <v>87</v>
      </c>
      <c r="E8303" s="16" t="str">
        <f>IFERROR(__xludf.DUMMYFUNCTION("""COMPUTED_VALUE"""),"")</f>
        <v/>
      </c>
      <c r="G8303" s="18"/>
      <c r="H8303" s="16" t="s">
        <v>87</v>
      </c>
      <c r="I8303" s="16" t="s">
        <v>87</v>
      </c>
      <c r="J8303" s="19"/>
      <c r="L8303" s="16" t="str">
        <f>IFERROR(__xludf.DUMMYFUNCTION("""COMPUTED_VALUE"""),"")</f>
        <v/>
      </c>
      <c r="M8303" s="16" t="str">
        <f>IFERROR(__xludf.DUMMYFUNCTION("""COMPUTED_VALUE"""),"")</f>
        <v/>
      </c>
      <c r="U8303" s="16" t="s">
        <v>87</v>
      </c>
      <c r="V8303" s="16" t="str">
        <f>IFERROR(__xludf.DUMMYFUNCTION("""COMPUTED_VALUE"""),"")</f>
        <v/>
      </c>
      <c r="W8303" s="16" t="str">
        <f>IFERROR(__xludf.DUMMYFUNCTION("""COMPUTED_VALUE"""),"")</f>
        <v/>
      </c>
      <c r="X8303" s="16" t="str">
        <f>IFERROR(__xludf.DUMMYFUNCTION("""COMPUTED_VALUE"""),"")</f>
        <v/>
      </c>
      <c r="AC8303" s="16" t="str">
        <f>IFERROR(__xludf.DUMMYFUNCTION("""COMPUTED_VALUE"""),"")</f>
        <v/>
      </c>
    </row>
    <row r="8304">
      <c r="A8304" s="16" t="s">
        <v>87</v>
      </c>
      <c r="E8304" s="16" t="str">
        <f>IFERROR(__xludf.DUMMYFUNCTION("""COMPUTED_VALUE"""),"")</f>
        <v/>
      </c>
      <c r="G8304" s="18"/>
      <c r="H8304" s="16" t="s">
        <v>87</v>
      </c>
      <c r="I8304" s="16" t="s">
        <v>87</v>
      </c>
      <c r="J8304" s="19"/>
      <c r="L8304" s="16" t="str">
        <f>IFERROR(__xludf.DUMMYFUNCTION("""COMPUTED_VALUE"""),"")</f>
        <v/>
      </c>
      <c r="M8304" s="16" t="str">
        <f>IFERROR(__xludf.DUMMYFUNCTION("""COMPUTED_VALUE"""),"")</f>
        <v/>
      </c>
      <c r="U8304" s="16" t="s">
        <v>87</v>
      </c>
      <c r="V8304" s="16" t="str">
        <f>IFERROR(__xludf.DUMMYFUNCTION("""COMPUTED_VALUE"""),"")</f>
        <v/>
      </c>
      <c r="W8304" s="16" t="str">
        <f>IFERROR(__xludf.DUMMYFUNCTION("""COMPUTED_VALUE"""),"")</f>
        <v/>
      </c>
      <c r="X8304" s="16" t="str">
        <f>IFERROR(__xludf.DUMMYFUNCTION("""COMPUTED_VALUE"""),"")</f>
        <v/>
      </c>
      <c r="AC8304" s="16" t="str">
        <f>IFERROR(__xludf.DUMMYFUNCTION("""COMPUTED_VALUE"""),"")</f>
        <v/>
      </c>
    </row>
    <row r="8305">
      <c r="A8305" s="16" t="s">
        <v>87</v>
      </c>
      <c r="E8305" s="16" t="str">
        <f>IFERROR(__xludf.DUMMYFUNCTION("""COMPUTED_VALUE"""),"")</f>
        <v/>
      </c>
      <c r="G8305" s="18"/>
      <c r="H8305" s="16" t="s">
        <v>87</v>
      </c>
      <c r="I8305" s="16" t="s">
        <v>87</v>
      </c>
      <c r="J8305" s="19"/>
      <c r="L8305" s="16" t="str">
        <f>IFERROR(__xludf.DUMMYFUNCTION("""COMPUTED_VALUE"""),"")</f>
        <v/>
      </c>
      <c r="M8305" s="16" t="str">
        <f>IFERROR(__xludf.DUMMYFUNCTION("""COMPUTED_VALUE"""),"")</f>
        <v/>
      </c>
      <c r="U8305" s="16" t="s">
        <v>87</v>
      </c>
      <c r="V8305" s="16" t="str">
        <f>IFERROR(__xludf.DUMMYFUNCTION("""COMPUTED_VALUE"""),"")</f>
        <v/>
      </c>
      <c r="W8305" s="16" t="str">
        <f>IFERROR(__xludf.DUMMYFUNCTION("""COMPUTED_VALUE"""),"")</f>
        <v/>
      </c>
      <c r="X8305" s="16" t="str">
        <f>IFERROR(__xludf.DUMMYFUNCTION("""COMPUTED_VALUE"""),"")</f>
        <v/>
      </c>
      <c r="AC8305" s="16" t="str">
        <f>IFERROR(__xludf.DUMMYFUNCTION("""COMPUTED_VALUE"""),"")</f>
        <v/>
      </c>
    </row>
    <row r="8306">
      <c r="A8306" s="16" t="s">
        <v>87</v>
      </c>
      <c r="E8306" s="16" t="str">
        <f>IFERROR(__xludf.DUMMYFUNCTION("""COMPUTED_VALUE"""),"")</f>
        <v/>
      </c>
      <c r="G8306" s="18"/>
      <c r="H8306" s="16" t="s">
        <v>87</v>
      </c>
      <c r="I8306" s="16" t="s">
        <v>87</v>
      </c>
      <c r="J8306" s="19"/>
      <c r="L8306" s="16" t="str">
        <f>IFERROR(__xludf.DUMMYFUNCTION("""COMPUTED_VALUE"""),"")</f>
        <v/>
      </c>
      <c r="M8306" s="16" t="str">
        <f>IFERROR(__xludf.DUMMYFUNCTION("""COMPUTED_VALUE"""),"")</f>
        <v/>
      </c>
      <c r="U8306" s="16" t="s">
        <v>87</v>
      </c>
      <c r="V8306" s="16" t="str">
        <f>IFERROR(__xludf.DUMMYFUNCTION("""COMPUTED_VALUE"""),"")</f>
        <v/>
      </c>
      <c r="W8306" s="16" t="str">
        <f>IFERROR(__xludf.DUMMYFUNCTION("""COMPUTED_VALUE"""),"")</f>
        <v/>
      </c>
      <c r="X8306" s="16" t="str">
        <f>IFERROR(__xludf.DUMMYFUNCTION("""COMPUTED_VALUE"""),"")</f>
        <v/>
      </c>
      <c r="AC8306" s="16" t="str">
        <f>IFERROR(__xludf.DUMMYFUNCTION("""COMPUTED_VALUE"""),"")</f>
        <v/>
      </c>
    </row>
    <row r="8307">
      <c r="A8307" s="16" t="s">
        <v>87</v>
      </c>
      <c r="E8307" s="16" t="str">
        <f>IFERROR(__xludf.DUMMYFUNCTION("""COMPUTED_VALUE"""),"")</f>
        <v/>
      </c>
      <c r="G8307" s="18"/>
      <c r="H8307" s="16" t="s">
        <v>87</v>
      </c>
      <c r="I8307" s="16" t="s">
        <v>87</v>
      </c>
      <c r="J8307" s="19"/>
      <c r="L8307" s="16" t="str">
        <f>IFERROR(__xludf.DUMMYFUNCTION("""COMPUTED_VALUE"""),"")</f>
        <v/>
      </c>
      <c r="M8307" s="16" t="str">
        <f>IFERROR(__xludf.DUMMYFUNCTION("""COMPUTED_VALUE"""),"")</f>
        <v/>
      </c>
      <c r="U8307" s="16" t="s">
        <v>87</v>
      </c>
      <c r="V8307" s="16" t="str">
        <f>IFERROR(__xludf.DUMMYFUNCTION("""COMPUTED_VALUE"""),"")</f>
        <v/>
      </c>
      <c r="W8307" s="16" t="str">
        <f>IFERROR(__xludf.DUMMYFUNCTION("""COMPUTED_VALUE"""),"")</f>
        <v/>
      </c>
      <c r="X8307" s="16" t="str">
        <f>IFERROR(__xludf.DUMMYFUNCTION("""COMPUTED_VALUE"""),"")</f>
        <v/>
      </c>
      <c r="AC8307" s="16" t="str">
        <f>IFERROR(__xludf.DUMMYFUNCTION("""COMPUTED_VALUE"""),"")</f>
        <v/>
      </c>
    </row>
    <row r="8308">
      <c r="A8308" s="16" t="s">
        <v>87</v>
      </c>
      <c r="E8308" s="16" t="str">
        <f>IFERROR(__xludf.DUMMYFUNCTION("""COMPUTED_VALUE"""),"")</f>
        <v/>
      </c>
      <c r="G8308" s="18"/>
      <c r="H8308" s="16" t="s">
        <v>87</v>
      </c>
      <c r="I8308" s="16" t="s">
        <v>87</v>
      </c>
      <c r="J8308" s="19"/>
      <c r="L8308" s="16" t="str">
        <f>IFERROR(__xludf.DUMMYFUNCTION("""COMPUTED_VALUE"""),"")</f>
        <v/>
      </c>
      <c r="M8308" s="16" t="str">
        <f>IFERROR(__xludf.DUMMYFUNCTION("""COMPUTED_VALUE"""),"")</f>
        <v/>
      </c>
      <c r="U8308" s="16" t="s">
        <v>87</v>
      </c>
      <c r="V8308" s="16" t="str">
        <f>IFERROR(__xludf.DUMMYFUNCTION("""COMPUTED_VALUE"""),"")</f>
        <v/>
      </c>
      <c r="W8308" s="16" t="str">
        <f>IFERROR(__xludf.DUMMYFUNCTION("""COMPUTED_VALUE"""),"")</f>
        <v/>
      </c>
      <c r="X8308" s="16" t="str">
        <f>IFERROR(__xludf.DUMMYFUNCTION("""COMPUTED_VALUE"""),"")</f>
        <v/>
      </c>
      <c r="AC8308" s="16" t="str">
        <f>IFERROR(__xludf.DUMMYFUNCTION("""COMPUTED_VALUE"""),"")</f>
        <v/>
      </c>
    </row>
    <row r="8309">
      <c r="A8309" s="16" t="s">
        <v>87</v>
      </c>
      <c r="E8309" s="16" t="str">
        <f>IFERROR(__xludf.DUMMYFUNCTION("""COMPUTED_VALUE"""),"")</f>
        <v/>
      </c>
      <c r="G8309" s="18"/>
      <c r="H8309" s="16" t="s">
        <v>87</v>
      </c>
      <c r="I8309" s="16" t="s">
        <v>87</v>
      </c>
      <c r="J8309" s="19"/>
      <c r="L8309" s="16" t="str">
        <f>IFERROR(__xludf.DUMMYFUNCTION("""COMPUTED_VALUE"""),"")</f>
        <v/>
      </c>
      <c r="M8309" s="16" t="str">
        <f>IFERROR(__xludf.DUMMYFUNCTION("""COMPUTED_VALUE"""),"")</f>
        <v/>
      </c>
      <c r="U8309" s="16" t="s">
        <v>87</v>
      </c>
      <c r="V8309" s="16" t="str">
        <f>IFERROR(__xludf.DUMMYFUNCTION("""COMPUTED_VALUE"""),"")</f>
        <v/>
      </c>
      <c r="W8309" s="16" t="str">
        <f>IFERROR(__xludf.DUMMYFUNCTION("""COMPUTED_VALUE"""),"")</f>
        <v/>
      </c>
      <c r="X8309" s="16" t="str">
        <f>IFERROR(__xludf.DUMMYFUNCTION("""COMPUTED_VALUE"""),"")</f>
        <v/>
      </c>
      <c r="AC8309" s="16" t="str">
        <f>IFERROR(__xludf.DUMMYFUNCTION("""COMPUTED_VALUE"""),"")</f>
        <v/>
      </c>
    </row>
    <row r="8310">
      <c r="A8310" s="16" t="s">
        <v>87</v>
      </c>
      <c r="E8310" s="16" t="str">
        <f>IFERROR(__xludf.DUMMYFUNCTION("""COMPUTED_VALUE"""),"")</f>
        <v/>
      </c>
      <c r="G8310" s="18"/>
      <c r="H8310" s="16" t="s">
        <v>87</v>
      </c>
      <c r="I8310" s="16" t="s">
        <v>87</v>
      </c>
      <c r="J8310" s="19"/>
      <c r="L8310" s="16" t="str">
        <f>IFERROR(__xludf.DUMMYFUNCTION("""COMPUTED_VALUE"""),"")</f>
        <v/>
      </c>
      <c r="M8310" s="16" t="str">
        <f>IFERROR(__xludf.DUMMYFUNCTION("""COMPUTED_VALUE"""),"")</f>
        <v/>
      </c>
      <c r="U8310" s="16" t="s">
        <v>87</v>
      </c>
      <c r="V8310" s="16" t="str">
        <f>IFERROR(__xludf.DUMMYFUNCTION("""COMPUTED_VALUE"""),"")</f>
        <v/>
      </c>
      <c r="W8310" s="16" t="str">
        <f>IFERROR(__xludf.DUMMYFUNCTION("""COMPUTED_VALUE"""),"")</f>
        <v/>
      </c>
      <c r="X8310" s="16" t="str">
        <f>IFERROR(__xludf.DUMMYFUNCTION("""COMPUTED_VALUE"""),"")</f>
        <v/>
      </c>
      <c r="AC8310" s="16" t="str">
        <f>IFERROR(__xludf.DUMMYFUNCTION("""COMPUTED_VALUE"""),"")</f>
        <v/>
      </c>
    </row>
    <row r="8311">
      <c r="A8311" s="16" t="s">
        <v>87</v>
      </c>
      <c r="E8311" s="16" t="str">
        <f>IFERROR(__xludf.DUMMYFUNCTION("""COMPUTED_VALUE"""),"")</f>
        <v/>
      </c>
      <c r="G8311" s="18"/>
      <c r="H8311" s="16" t="s">
        <v>87</v>
      </c>
      <c r="I8311" s="16" t="s">
        <v>87</v>
      </c>
      <c r="J8311" s="19"/>
      <c r="L8311" s="16" t="str">
        <f>IFERROR(__xludf.DUMMYFUNCTION("""COMPUTED_VALUE"""),"")</f>
        <v/>
      </c>
      <c r="M8311" s="16" t="str">
        <f>IFERROR(__xludf.DUMMYFUNCTION("""COMPUTED_VALUE"""),"")</f>
        <v/>
      </c>
      <c r="U8311" s="16" t="s">
        <v>87</v>
      </c>
      <c r="V8311" s="16" t="str">
        <f>IFERROR(__xludf.DUMMYFUNCTION("""COMPUTED_VALUE"""),"")</f>
        <v/>
      </c>
      <c r="W8311" s="16" t="str">
        <f>IFERROR(__xludf.DUMMYFUNCTION("""COMPUTED_VALUE"""),"")</f>
        <v/>
      </c>
      <c r="X8311" s="16" t="str">
        <f>IFERROR(__xludf.DUMMYFUNCTION("""COMPUTED_VALUE"""),"")</f>
        <v/>
      </c>
      <c r="AC8311" s="16" t="str">
        <f>IFERROR(__xludf.DUMMYFUNCTION("""COMPUTED_VALUE"""),"")</f>
        <v/>
      </c>
    </row>
    <row r="8312">
      <c r="A8312" s="16" t="s">
        <v>87</v>
      </c>
      <c r="E8312" s="16" t="str">
        <f>IFERROR(__xludf.DUMMYFUNCTION("""COMPUTED_VALUE"""),"")</f>
        <v/>
      </c>
      <c r="G8312" s="18"/>
      <c r="H8312" s="16" t="s">
        <v>87</v>
      </c>
      <c r="I8312" s="16" t="s">
        <v>87</v>
      </c>
      <c r="J8312" s="19"/>
      <c r="L8312" s="16" t="str">
        <f>IFERROR(__xludf.DUMMYFUNCTION("""COMPUTED_VALUE"""),"")</f>
        <v/>
      </c>
      <c r="M8312" s="16" t="str">
        <f>IFERROR(__xludf.DUMMYFUNCTION("""COMPUTED_VALUE"""),"")</f>
        <v/>
      </c>
      <c r="U8312" s="16" t="s">
        <v>87</v>
      </c>
      <c r="V8312" s="16" t="str">
        <f>IFERROR(__xludf.DUMMYFUNCTION("""COMPUTED_VALUE"""),"")</f>
        <v/>
      </c>
      <c r="W8312" s="16" t="str">
        <f>IFERROR(__xludf.DUMMYFUNCTION("""COMPUTED_VALUE"""),"")</f>
        <v/>
      </c>
      <c r="X8312" s="16" t="str">
        <f>IFERROR(__xludf.DUMMYFUNCTION("""COMPUTED_VALUE"""),"")</f>
        <v/>
      </c>
      <c r="AC8312" s="16" t="str">
        <f>IFERROR(__xludf.DUMMYFUNCTION("""COMPUTED_VALUE"""),"")</f>
        <v/>
      </c>
    </row>
    <row r="8313">
      <c r="A8313" s="16" t="s">
        <v>87</v>
      </c>
      <c r="E8313" s="16" t="str">
        <f>IFERROR(__xludf.DUMMYFUNCTION("""COMPUTED_VALUE"""),"")</f>
        <v/>
      </c>
      <c r="G8313" s="18"/>
      <c r="H8313" s="16" t="s">
        <v>87</v>
      </c>
      <c r="I8313" s="16" t="s">
        <v>87</v>
      </c>
      <c r="J8313" s="19"/>
      <c r="L8313" s="16" t="str">
        <f>IFERROR(__xludf.DUMMYFUNCTION("""COMPUTED_VALUE"""),"")</f>
        <v/>
      </c>
      <c r="M8313" s="16" t="str">
        <f>IFERROR(__xludf.DUMMYFUNCTION("""COMPUTED_VALUE"""),"")</f>
        <v/>
      </c>
      <c r="U8313" s="16" t="s">
        <v>87</v>
      </c>
      <c r="V8313" s="16" t="str">
        <f>IFERROR(__xludf.DUMMYFUNCTION("""COMPUTED_VALUE"""),"")</f>
        <v/>
      </c>
      <c r="W8313" s="16" t="str">
        <f>IFERROR(__xludf.DUMMYFUNCTION("""COMPUTED_VALUE"""),"")</f>
        <v/>
      </c>
      <c r="X8313" s="16" t="str">
        <f>IFERROR(__xludf.DUMMYFUNCTION("""COMPUTED_VALUE"""),"")</f>
        <v/>
      </c>
      <c r="AC8313" s="16" t="str">
        <f>IFERROR(__xludf.DUMMYFUNCTION("""COMPUTED_VALUE"""),"")</f>
        <v/>
      </c>
    </row>
    <row r="8314">
      <c r="A8314" s="16" t="s">
        <v>87</v>
      </c>
      <c r="E8314" s="16" t="str">
        <f>IFERROR(__xludf.DUMMYFUNCTION("""COMPUTED_VALUE"""),"")</f>
        <v/>
      </c>
      <c r="G8314" s="18"/>
      <c r="H8314" s="16" t="s">
        <v>87</v>
      </c>
      <c r="I8314" s="16" t="s">
        <v>87</v>
      </c>
      <c r="J8314" s="19"/>
      <c r="L8314" s="16" t="str">
        <f>IFERROR(__xludf.DUMMYFUNCTION("""COMPUTED_VALUE"""),"")</f>
        <v/>
      </c>
      <c r="M8314" s="16" t="str">
        <f>IFERROR(__xludf.DUMMYFUNCTION("""COMPUTED_VALUE"""),"")</f>
        <v/>
      </c>
      <c r="U8314" s="16" t="s">
        <v>87</v>
      </c>
      <c r="V8314" s="16" t="str">
        <f>IFERROR(__xludf.DUMMYFUNCTION("""COMPUTED_VALUE"""),"")</f>
        <v/>
      </c>
      <c r="W8314" s="16" t="str">
        <f>IFERROR(__xludf.DUMMYFUNCTION("""COMPUTED_VALUE"""),"")</f>
        <v/>
      </c>
      <c r="X8314" s="16" t="str">
        <f>IFERROR(__xludf.DUMMYFUNCTION("""COMPUTED_VALUE"""),"")</f>
        <v/>
      </c>
      <c r="AC8314" s="16" t="str">
        <f>IFERROR(__xludf.DUMMYFUNCTION("""COMPUTED_VALUE"""),"")</f>
        <v/>
      </c>
    </row>
    <row r="8315">
      <c r="A8315" s="16" t="s">
        <v>87</v>
      </c>
      <c r="E8315" s="16" t="str">
        <f>IFERROR(__xludf.DUMMYFUNCTION("""COMPUTED_VALUE"""),"")</f>
        <v/>
      </c>
      <c r="G8315" s="18"/>
      <c r="H8315" s="16" t="s">
        <v>87</v>
      </c>
      <c r="I8315" s="16" t="s">
        <v>87</v>
      </c>
      <c r="J8315" s="19"/>
      <c r="L8315" s="16" t="str">
        <f>IFERROR(__xludf.DUMMYFUNCTION("""COMPUTED_VALUE"""),"")</f>
        <v/>
      </c>
      <c r="M8315" s="16" t="str">
        <f>IFERROR(__xludf.DUMMYFUNCTION("""COMPUTED_VALUE"""),"")</f>
        <v/>
      </c>
      <c r="U8315" s="16" t="s">
        <v>87</v>
      </c>
      <c r="V8315" s="16" t="str">
        <f>IFERROR(__xludf.DUMMYFUNCTION("""COMPUTED_VALUE"""),"")</f>
        <v/>
      </c>
      <c r="W8315" s="16" t="str">
        <f>IFERROR(__xludf.DUMMYFUNCTION("""COMPUTED_VALUE"""),"")</f>
        <v/>
      </c>
      <c r="X8315" s="16" t="str">
        <f>IFERROR(__xludf.DUMMYFUNCTION("""COMPUTED_VALUE"""),"")</f>
        <v/>
      </c>
      <c r="AC8315" s="16" t="str">
        <f>IFERROR(__xludf.DUMMYFUNCTION("""COMPUTED_VALUE"""),"")</f>
        <v/>
      </c>
    </row>
    <row r="8316">
      <c r="A8316" s="16" t="s">
        <v>87</v>
      </c>
      <c r="E8316" s="16" t="str">
        <f>IFERROR(__xludf.DUMMYFUNCTION("""COMPUTED_VALUE"""),"")</f>
        <v/>
      </c>
      <c r="G8316" s="18"/>
      <c r="H8316" s="16" t="s">
        <v>87</v>
      </c>
      <c r="I8316" s="16" t="s">
        <v>87</v>
      </c>
      <c r="J8316" s="19"/>
      <c r="L8316" s="16" t="str">
        <f>IFERROR(__xludf.DUMMYFUNCTION("""COMPUTED_VALUE"""),"")</f>
        <v/>
      </c>
      <c r="M8316" s="16" t="str">
        <f>IFERROR(__xludf.DUMMYFUNCTION("""COMPUTED_VALUE"""),"")</f>
        <v/>
      </c>
      <c r="U8316" s="16" t="s">
        <v>87</v>
      </c>
      <c r="V8316" s="16" t="str">
        <f>IFERROR(__xludf.DUMMYFUNCTION("""COMPUTED_VALUE"""),"")</f>
        <v/>
      </c>
      <c r="W8316" s="16" t="str">
        <f>IFERROR(__xludf.DUMMYFUNCTION("""COMPUTED_VALUE"""),"")</f>
        <v/>
      </c>
      <c r="X8316" s="16" t="str">
        <f>IFERROR(__xludf.DUMMYFUNCTION("""COMPUTED_VALUE"""),"")</f>
        <v/>
      </c>
      <c r="AC8316" s="16" t="str">
        <f>IFERROR(__xludf.DUMMYFUNCTION("""COMPUTED_VALUE"""),"")</f>
        <v/>
      </c>
    </row>
    <row r="8317">
      <c r="A8317" s="16" t="s">
        <v>87</v>
      </c>
      <c r="E8317" s="16" t="str">
        <f>IFERROR(__xludf.DUMMYFUNCTION("""COMPUTED_VALUE"""),"")</f>
        <v/>
      </c>
      <c r="G8317" s="18"/>
      <c r="H8317" s="16" t="s">
        <v>87</v>
      </c>
      <c r="I8317" s="16" t="s">
        <v>87</v>
      </c>
      <c r="J8317" s="19"/>
      <c r="L8317" s="16" t="str">
        <f>IFERROR(__xludf.DUMMYFUNCTION("""COMPUTED_VALUE"""),"")</f>
        <v/>
      </c>
      <c r="M8317" s="16" t="str">
        <f>IFERROR(__xludf.DUMMYFUNCTION("""COMPUTED_VALUE"""),"")</f>
        <v/>
      </c>
      <c r="U8317" s="16" t="s">
        <v>87</v>
      </c>
      <c r="V8317" s="16" t="str">
        <f>IFERROR(__xludf.DUMMYFUNCTION("""COMPUTED_VALUE"""),"")</f>
        <v/>
      </c>
      <c r="W8317" s="16" t="str">
        <f>IFERROR(__xludf.DUMMYFUNCTION("""COMPUTED_VALUE"""),"")</f>
        <v/>
      </c>
      <c r="X8317" s="16" t="str">
        <f>IFERROR(__xludf.DUMMYFUNCTION("""COMPUTED_VALUE"""),"")</f>
        <v/>
      </c>
      <c r="AC8317" s="16" t="str">
        <f>IFERROR(__xludf.DUMMYFUNCTION("""COMPUTED_VALUE"""),"")</f>
        <v/>
      </c>
    </row>
    <row r="8318">
      <c r="A8318" s="16" t="s">
        <v>87</v>
      </c>
      <c r="E8318" s="16" t="str">
        <f>IFERROR(__xludf.DUMMYFUNCTION("""COMPUTED_VALUE"""),"")</f>
        <v/>
      </c>
      <c r="G8318" s="18"/>
      <c r="H8318" s="16" t="s">
        <v>87</v>
      </c>
      <c r="I8318" s="16" t="s">
        <v>87</v>
      </c>
      <c r="J8318" s="19"/>
      <c r="L8318" s="16" t="str">
        <f>IFERROR(__xludf.DUMMYFUNCTION("""COMPUTED_VALUE"""),"")</f>
        <v/>
      </c>
      <c r="M8318" s="16" t="str">
        <f>IFERROR(__xludf.DUMMYFUNCTION("""COMPUTED_VALUE"""),"")</f>
        <v/>
      </c>
      <c r="U8318" s="16" t="s">
        <v>87</v>
      </c>
      <c r="V8318" s="16" t="str">
        <f>IFERROR(__xludf.DUMMYFUNCTION("""COMPUTED_VALUE"""),"")</f>
        <v/>
      </c>
      <c r="W8318" s="16" t="str">
        <f>IFERROR(__xludf.DUMMYFUNCTION("""COMPUTED_VALUE"""),"")</f>
        <v/>
      </c>
      <c r="X8318" s="16" t="str">
        <f>IFERROR(__xludf.DUMMYFUNCTION("""COMPUTED_VALUE"""),"")</f>
        <v/>
      </c>
      <c r="AC8318" s="16" t="str">
        <f>IFERROR(__xludf.DUMMYFUNCTION("""COMPUTED_VALUE"""),"")</f>
        <v/>
      </c>
    </row>
    <row r="8319">
      <c r="A8319" s="16" t="s">
        <v>87</v>
      </c>
      <c r="E8319" s="16" t="str">
        <f>IFERROR(__xludf.DUMMYFUNCTION("""COMPUTED_VALUE"""),"")</f>
        <v/>
      </c>
      <c r="G8319" s="18"/>
      <c r="H8319" s="16" t="s">
        <v>87</v>
      </c>
      <c r="I8319" s="16" t="s">
        <v>87</v>
      </c>
      <c r="J8319" s="19"/>
      <c r="L8319" s="16" t="str">
        <f>IFERROR(__xludf.DUMMYFUNCTION("""COMPUTED_VALUE"""),"")</f>
        <v/>
      </c>
      <c r="M8319" s="16" t="str">
        <f>IFERROR(__xludf.DUMMYFUNCTION("""COMPUTED_VALUE"""),"")</f>
        <v/>
      </c>
      <c r="U8319" s="16" t="s">
        <v>87</v>
      </c>
      <c r="V8319" s="16" t="str">
        <f>IFERROR(__xludf.DUMMYFUNCTION("""COMPUTED_VALUE"""),"")</f>
        <v/>
      </c>
      <c r="W8319" s="16" t="str">
        <f>IFERROR(__xludf.DUMMYFUNCTION("""COMPUTED_VALUE"""),"")</f>
        <v/>
      </c>
      <c r="X8319" s="16" t="str">
        <f>IFERROR(__xludf.DUMMYFUNCTION("""COMPUTED_VALUE"""),"")</f>
        <v/>
      </c>
      <c r="AC8319" s="16" t="str">
        <f>IFERROR(__xludf.DUMMYFUNCTION("""COMPUTED_VALUE"""),"")</f>
        <v/>
      </c>
    </row>
    <row r="8320">
      <c r="A8320" s="16" t="s">
        <v>87</v>
      </c>
      <c r="E8320" s="16" t="str">
        <f>IFERROR(__xludf.DUMMYFUNCTION("""COMPUTED_VALUE"""),"")</f>
        <v/>
      </c>
      <c r="G8320" s="18"/>
      <c r="H8320" s="16" t="s">
        <v>87</v>
      </c>
      <c r="I8320" s="16" t="s">
        <v>87</v>
      </c>
      <c r="J8320" s="19"/>
      <c r="L8320" s="16" t="str">
        <f>IFERROR(__xludf.DUMMYFUNCTION("""COMPUTED_VALUE"""),"")</f>
        <v/>
      </c>
      <c r="M8320" s="16" t="str">
        <f>IFERROR(__xludf.DUMMYFUNCTION("""COMPUTED_VALUE"""),"")</f>
        <v/>
      </c>
      <c r="U8320" s="16" t="s">
        <v>87</v>
      </c>
      <c r="V8320" s="16" t="str">
        <f>IFERROR(__xludf.DUMMYFUNCTION("""COMPUTED_VALUE"""),"")</f>
        <v/>
      </c>
      <c r="W8320" s="16" t="str">
        <f>IFERROR(__xludf.DUMMYFUNCTION("""COMPUTED_VALUE"""),"")</f>
        <v/>
      </c>
      <c r="X8320" s="16" t="str">
        <f>IFERROR(__xludf.DUMMYFUNCTION("""COMPUTED_VALUE"""),"")</f>
        <v/>
      </c>
      <c r="AC8320" s="16" t="str">
        <f>IFERROR(__xludf.DUMMYFUNCTION("""COMPUTED_VALUE"""),"")</f>
        <v/>
      </c>
    </row>
    <row r="8321">
      <c r="A8321" s="16" t="s">
        <v>87</v>
      </c>
      <c r="E8321" s="16" t="str">
        <f>IFERROR(__xludf.DUMMYFUNCTION("""COMPUTED_VALUE"""),"")</f>
        <v/>
      </c>
      <c r="G8321" s="18"/>
      <c r="H8321" s="16" t="s">
        <v>87</v>
      </c>
      <c r="I8321" s="16" t="s">
        <v>87</v>
      </c>
      <c r="J8321" s="19"/>
      <c r="L8321" s="16" t="str">
        <f>IFERROR(__xludf.DUMMYFUNCTION("""COMPUTED_VALUE"""),"")</f>
        <v/>
      </c>
      <c r="M8321" s="16" t="str">
        <f>IFERROR(__xludf.DUMMYFUNCTION("""COMPUTED_VALUE"""),"")</f>
        <v/>
      </c>
      <c r="U8321" s="16" t="s">
        <v>87</v>
      </c>
      <c r="V8321" s="16" t="str">
        <f>IFERROR(__xludf.DUMMYFUNCTION("""COMPUTED_VALUE"""),"")</f>
        <v/>
      </c>
      <c r="W8321" s="16" t="str">
        <f>IFERROR(__xludf.DUMMYFUNCTION("""COMPUTED_VALUE"""),"")</f>
        <v/>
      </c>
      <c r="X8321" s="16" t="str">
        <f>IFERROR(__xludf.DUMMYFUNCTION("""COMPUTED_VALUE"""),"")</f>
        <v/>
      </c>
      <c r="AC8321" s="16" t="str">
        <f>IFERROR(__xludf.DUMMYFUNCTION("""COMPUTED_VALUE"""),"")</f>
        <v/>
      </c>
    </row>
    <row r="8322">
      <c r="A8322" s="16" t="s">
        <v>87</v>
      </c>
      <c r="E8322" s="16" t="str">
        <f>IFERROR(__xludf.DUMMYFUNCTION("""COMPUTED_VALUE"""),"")</f>
        <v/>
      </c>
      <c r="G8322" s="18"/>
      <c r="H8322" s="16" t="s">
        <v>87</v>
      </c>
      <c r="I8322" s="16" t="s">
        <v>87</v>
      </c>
      <c r="J8322" s="19"/>
      <c r="L8322" s="16" t="str">
        <f>IFERROR(__xludf.DUMMYFUNCTION("""COMPUTED_VALUE"""),"")</f>
        <v/>
      </c>
      <c r="M8322" s="16" t="str">
        <f>IFERROR(__xludf.DUMMYFUNCTION("""COMPUTED_VALUE"""),"")</f>
        <v/>
      </c>
      <c r="U8322" s="16" t="s">
        <v>87</v>
      </c>
      <c r="V8322" s="16" t="str">
        <f>IFERROR(__xludf.DUMMYFUNCTION("""COMPUTED_VALUE"""),"")</f>
        <v/>
      </c>
      <c r="W8322" s="16" t="str">
        <f>IFERROR(__xludf.DUMMYFUNCTION("""COMPUTED_VALUE"""),"")</f>
        <v/>
      </c>
      <c r="X8322" s="16" t="str">
        <f>IFERROR(__xludf.DUMMYFUNCTION("""COMPUTED_VALUE"""),"")</f>
        <v/>
      </c>
      <c r="AC8322" s="16" t="str">
        <f>IFERROR(__xludf.DUMMYFUNCTION("""COMPUTED_VALUE"""),"")</f>
        <v/>
      </c>
    </row>
    <row r="8323">
      <c r="A8323" s="16" t="s">
        <v>87</v>
      </c>
      <c r="E8323" s="16" t="str">
        <f>IFERROR(__xludf.DUMMYFUNCTION("""COMPUTED_VALUE"""),"")</f>
        <v/>
      </c>
      <c r="G8323" s="18"/>
      <c r="H8323" s="16" t="s">
        <v>87</v>
      </c>
      <c r="I8323" s="16" t="s">
        <v>87</v>
      </c>
      <c r="J8323" s="19"/>
      <c r="L8323" s="16" t="str">
        <f>IFERROR(__xludf.DUMMYFUNCTION("""COMPUTED_VALUE"""),"")</f>
        <v/>
      </c>
      <c r="M8323" s="16" t="str">
        <f>IFERROR(__xludf.DUMMYFUNCTION("""COMPUTED_VALUE"""),"")</f>
        <v/>
      </c>
      <c r="U8323" s="16" t="s">
        <v>87</v>
      </c>
      <c r="V8323" s="16" t="str">
        <f>IFERROR(__xludf.DUMMYFUNCTION("""COMPUTED_VALUE"""),"")</f>
        <v/>
      </c>
      <c r="W8323" s="16" t="str">
        <f>IFERROR(__xludf.DUMMYFUNCTION("""COMPUTED_VALUE"""),"")</f>
        <v/>
      </c>
      <c r="X8323" s="16" t="str">
        <f>IFERROR(__xludf.DUMMYFUNCTION("""COMPUTED_VALUE"""),"")</f>
        <v/>
      </c>
      <c r="AC8323" s="16" t="str">
        <f>IFERROR(__xludf.DUMMYFUNCTION("""COMPUTED_VALUE"""),"")</f>
        <v/>
      </c>
    </row>
    <row r="8324">
      <c r="A8324" s="16" t="s">
        <v>87</v>
      </c>
      <c r="E8324" s="16" t="str">
        <f>IFERROR(__xludf.DUMMYFUNCTION("""COMPUTED_VALUE"""),"")</f>
        <v/>
      </c>
      <c r="G8324" s="18"/>
      <c r="H8324" s="16" t="s">
        <v>87</v>
      </c>
      <c r="I8324" s="16" t="s">
        <v>87</v>
      </c>
      <c r="J8324" s="19"/>
      <c r="L8324" s="16" t="str">
        <f>IFERROR(__xludf.DUMMYFUNCTION("""COMPUTED_VALUE"""),"")</f>
        <v/>
      </c>
      <c r="M8324" s="16" t="str">
        <f>IFERROR(__xludf.DUMMYFUNCTION("""COMPUTED_VALUE"""),"")</f>
        <v/>
      </c>
      <c r="U8324" s="16" t="s">
        <v>87</v>
      </c>
      <c r="V8324" s="16" t="str">
        <f>IFERROR(__xludf.DUMMYFUNCTION("""COMPUTED_VALUE"""),"")</f>
        <v/>
      </c>
      <c r="W8324" s="16" t="str">
        <f>IFERROR(__xludf.DUMMYFUNCTION("""COMPUTED_VALUE"""),"")</f>
        <v/>
      </c>
      <c r="X8324" s="16" t="str">
        <f>IFERROR(__xludf.DUMMYFUNCTION("""COMPUTED_VALUE"""),"")</f>
        <v/>
      </c>
      <c r="AC8324" s="16" t="str">
        <f>IFERROR(__xludf.DUMMYFUNCTION("""COMPUTED_VALUE"""),"")</f>
        <v/>
      </c>
    </row>
    <row r="8325">
      <c r="A8325" s="16" t="s">
        <v>87</v>
      </c>
      <c r="E8325" s="16" t="str">
        <f>IFERROR(__xludf.DUMMYFUNCTION("""COMPUTED_VALUE"""),"")</f>
        <v/>
      </c>
      <c r="G8325" s="18"/>
      <c r="H8325" s="16" t="s">
        <v>87</v>
      </c>
      <c r="I8325" s="16" t="s">
        <v>87</v>
      </c>
      <c r="J8325" s="19"/>
      <c r="L8325" s="16" t="str">
        <f>IFERROR(__xludf.DUMMYFUNCTION("""COMPUTED_VALUE"""),"")</f>
        <v/>
      </c>
      <c r="M8325" s="16" t="str">
        <f>IFERROR(__xludf.DUMMYFUNCTION("""COMPUTED_VALUE"""),"")</f>
        <v/>
      </c>
      <c r="U8325" s="16" t="s">
        <v>87</v>
      </c>
      <c r="V8325" s="16" t="str">
        <f>IFERROR(__xludf.DUMMYFUNCTION("""COMPUTED_VALUE"""),"")</f>
        <v/>
      </c>
      <c r="W8325" s="16" t="str">
        <f>IFERROR(__xludf.DUMMYFUNCTION("""COMPUTED_VALUE"""),"")</f>
        <v/>
      </c>
      <c r="X8325" s="16" t="str">
        <f>IFERROR(__xludf.DUMMYFUNCTION("""COMPUTED_VALUE"""),"")</f>
        <v/>
      </c>
      <c r="AC8325" s="16" t="str">
        <f>IFERROR(__xludf.DUMMYFUNCTION("""COMPUTED_VALUE"""),"")</f>
        <v/>
      </c>
    </row>
    <row r="8326">
      <c r="A8326" s="16" t="s">
        <v>87</v>
      </c>
      <c r="E8326" s="16" t="str">
        <f>IFERROR(__xludf.DUMMYFUNCTION("""COMPUTED_VALUE"""),"")</f>
        <v/>
      </c>
      <c r="G8326" s="18"/>
      <c r="H8326" s="16" t="s">
        <v>87</v>
      </c>
      <c r="I8326" s="16" t="s">
        <v>87</v>
      </c>
      <c r="J8326" s="19"/>
      <c r="L8326" s="16" t="str">
        <f>IFERROR(__xludf.DUMMYFUNCTION("""COMPUTED_VALUE"""),"")</f>
        <v/>
      </c>
      <c r="M8326" s="16" t="str">
        <f>IFERROR(__xludf.DUMMYFUNCTION("""COMPUTED_VALUE"""),"")</f>
        <v/>
      </c>
      <c r="U8326" s="16" t="s">
        <v>87</v>
      </c>
      <c r="V8326" s="16" t="str">
        <f>IFERROR(__xludf.DUMMYFUNCTION("""COMPUTED_VALUE"""),"")</f>
        <v/>
      </c>
      <c r="W8326" s="16" t="str">
        <f>IFERROR(__xludf.DUMMYFUNCTION("""COMPUTED_VALUE"""),"")</f>
        <v/>
      </c>
      <c r="X8326" s="16" t="str">
        <f>IFERROR(__xludf.DUMMYFUNCTION("""COMPUTED_VALUE"""),"")</f>
        <v/>
      </c>
      <c r="AC8326" s="16" t="str">
        <f>IFERROR(__xludf.DUMMYFUNCTION("""COMPUTED_VALUE"""),"")</f>
        <v/>
      </c>
    </row>
    <row r="8327">
      <c r="A8327" s="16" t="s">
        <v>87</v>
      </c>
      <c r="E8327" s="16" t="str">
        <f>IFERROR(__xludf.DUMMYFUNCTION("""COMPUTED_VALUE"""),"")</f>
        <v/>
      </c>
      <c r="G8327" s="18"/>
      <c r="H8327" s="16" t="s">
        <v>87</v>
      </c>
      <c r="I8327" s="16" t="s">
        <v>87</v>
      </c>
      <c r="J8327" s="19"/>
      <c r="L8327" s="16" t="str">
        <f>IFERROR(__xludf.DUMMYFUNCTION("""COMPUTED_VALUE"""),"")</f>
        <v/>
      </c>
      <c r="M8327" s="16" t="str">
        <f>IFERROR(__xludf.DUMMYFUNCTION("""COMPUTED_VALUE"""),"")</f>
        <v/>
      </c>
      <c r="U8327" s="16" t="s">
        <v>87</v>
      </c>
      <c r="V8327" s="16" t="str">
        <f>IFERROR(__xludf.DUMMYFUNCTION("""COMPUTED_VALUE"""),"")</f>
        <v/>
      </c>
      <c r="W8327" s="16" t="str">
        <f>IFERROR(__xludf.DUMMYFUNCTION("""COMPUTED_VALUE"""),"")</f>
        <v/>
      </c>
      <c r="X8327" s="16" t="str">
        <f>IFERROR(__xludf.DUMMYFUNCTION("""COMPUTED_VALUE"""),"")</f>
        <v/>
      </c>
      <c r="AC8327" s="16" t="str">
        <f>IFERROR(__xludf.DUMMYFUNCTION("""COMPUTED_VALUE"""),"")</f>
        <v/>
      </c>
    </row>
    <row r="8328">
      <c r="A8328" s="16" t="s">
        <v>87</v>
      </c>
      <c r="E8328" s="16" t="str">
        <f>IFERROR(__xludf.DUMMYFUNCTION("""COMPUTED_VALUE"""),"")</f>
        <v/>
      </c>
      <c r="G8328" s="18"/>
      <c r="H8328" s="16" t="s">
        <v>87</v>
      </c>
      <c r="I8328" s="16" t="s">
        <v>87</v>
      </c>
      <c r="J8328" s="19"/>
      <c r="L8328" s="16" t="str">
        <f>IFERROR(__xludf.DUMMYFUNCTION("""COMPUTED_VALUE"""),"")</f>
        <v/>
      </c>
      <c r="M8328" s="16" t="str">
        <f>IFERROR(__xludf.DUMMYFUNCTION("""COMPUTED_VALUE"""),"")</f>
        <v/>
      </c>
      <c r="U8328" s="16" t="s">
        <v>87</v>
      </c>
      <c r="V8328" s="16" t="str">
        <f>IFERROR(__xludf.DUMMYFUNCTION("""COMPUTED_VALUE"""),"")</f>
        <v/>
      </c>
      <c r="W8328" s="16" t="str">
        <f>IFERROR(__xludf.DUMMYFUNCTION("""COMPUTED_VALUE"""),"")</f>
        <v/>
      </c>
      <c r="X8328" s="16" t="str">
        <f>IFERROR(__xludf.DUMMYFUNCTION("""COMPUTED_VALUE"""),"")</f>
        <v/>
      </c>
      <c r="AC8328" s="16" t="str">
        <f>IFERROR(__xludf.DUMMYFUNCTION("""COMPUTED_VALUE"""),"")</f>
        <v/>
      </c>
    </row>
    <row r="8329">
      <c r="A8329" s="16" t="s">
        <v>87</v>
      </c>
      <c r="E8329" s="16" t="str">
        <f>IFERROR(__xludf.DUMMYFUNCTION("""COMPUTED_VALUE"""),"")</f>
        <v/>
      </c>
      <c r="G8329" s="18"/>
      <c r="H8329" s="16" t="s">
        <v>87</v>
      </c>
      <c r="I8329" s="16" t="s">
        <v>87</v>
      </c>
      <c r="J8329" s="19"/>
      <c r="L8329" s="16" t="str">
        <f>IFERROR(__xludf.DUMMYFUNCTION("""COMPUTED_VALUE"""),"")</f>
        <v/>
      </c>
      <c r="M8329" s="16" t="str">
        <f>IFERROR(__xludf.DUMMYFUNCTION("""COMPUTED_VALUE"""),"")</f>
        <v/>
      </c>
      <c r="U8329" s="16" t="s">
        <v>87</v>
      </c>
      <c r="V8329" s="16" t="str">
        <f>IFERROR(__xludf.DUMMYFUNCTION("""COMPUTED_VALUE"""),"")</f>
        <v/>
      </c>
      <c r="W8329" s="16" t="str">
        <f>IFERROR(__xludf.DUMMYFUNCTION("""COMPUTED_VALUE"""),"")</f>
        <v/>
      </c>
      <c r="X8329" s="16" t="str">
        <f>IFERROR(__xludf.DUMMYFUNCTION("""COMPUTED_VALUE"""),"")</f>
        <v/>
      </c>
      <c r="AC8329" s="16" t="str">
        <f>IFERROR(__xludf.DUMMYFUNCTION("""COMPUTED_VALUE"""),"")</f>
        <v/>
      </c>
    </row>
    <row r="8330">
      <c r="A8330" s="16" t="s">
        <v>87</v>
      </c>
      <c r="E8330" s="16" t="str">
        <f>IFERROR(__xludf.DUMMYFUNCTION("""COMPUTED_VALUE"""),"")</f>
        <v/>
      </c>
      <c r="G8330" s="18"/>
      <c r="H8330" s="16" t="s">
        <v>87</v>
      </c>
      <c r="I8330" s="16" t="s">
        <v>87</v>
      </c>
      <c r="J8330" s="19"/>
      <c r="L8330" s="16" t="str">
        <f>IFERROR(__xludf.DUMMYFUNCTION("""COMPUTED_VALUE"""),"")</f>
        <v/>
      </c>
      <c r="M8330" s="16" t="str">
        <f>IFERROR(__xludf.DUMMYFUNCTION("""COMPUTED_VALUE"""),"")</f>
        <v/>
      </c>
      <c r="U8330" s="16" t="s">
        <v>87</v>
      </c>
      <c r="V8330" s="16" t="str">
        <f>IFERROR(__xludf.DUMMYFUNCTION("""COMPUTED_VALUE"""),"")</f>
        <v/>
      </c>
      <c r="W8330" s="16" t="str">
        <f>IFERROR(__xludf.DUMMYFUNCTION("""COMPUTED_VALUE"""),"")</f>
        <v/>
      </c>
      <c r="X8330" s="16" t="str">
        <f>IFERROR(__xludf.DUMMYFUNCTION("""COMPUTED_VALUE"""),"")</f>
        <v/>
      </c>
      <c r="AC8330" s="16" t="str">
        <f>IFERROR(__xludf.DUMMYFUNCTION("""COMPUTED_VALUE"""),"")</f>
        <v/>
      </c>
    </row>
    <row r="8331">
      <c r="A8331" s="16" t="s">
        <v>87</v>
      </c>
      <c r="E8331" s="16" t="str">
        <f>IFERROR(__xludf.DUMMYFUNCTION("""COMPUTED_VALUE"""),"")</f>
        <v/>
      </c>
      <c r="G8331" s="18"/>
      <c r="H8331" s="16" t="s">
        <v>87</v>
      </c>
      <c r="I8331" s="16" t="s">
        <v>87</v>
      </c>
      <c r="J8331" s="19"/>
      <c r="L8331" s="16" t="str">
        <f>IFERROR(__xludf.DUMMYFUNCTION("""COMPUTED_VALUE"""),"")</f>
        <v/>
      </c>
      <c r="M8331" s="16" t="str">
        <f>IFERROR(__xludf.DUMMYFUNCTION("""COMPUTED_VALUE"""),"")</f>
        <v/>
      </c>
      <c r="U8331" s="16" t="s">
        <v>87</v>
      </c>
      <c r="V8331" s="16" t="str">
        <f>IFERROR(__xludf.DUMMYFUNCTION("""COMPUTED_VALUE"""),"")</f>
        <v/>
      </c>
      <c r="W8331" s="16" t="str">
        <f>IFERROR(__xludf.DUMMYFUNCTION("""COMPUTED_VALUE"""),"")</f>
        <v/>
      </c>
      <c r="X8331" s="16" t="str">
        <f>IFERROR(__xludf.DUMMYFUNCTION("""COMPUTED_VALUE"""),"")</f>
        <v/>
      </c>
      <c r="AC8331" s="16" t="str">
        <f>IFERROR(__xludf.DUMMYFUNCTION("""COMPUTED_VALUE"""),"")</f>
        <v/>
      </c>
    </row>
    <row r="8332">
      <c r="A8332" s="16" t="s">
        <v>87</v>
      </c>
      <c r="E8332" s="16" t="str">
        <f>IFERROR(__xludf.DUMMYFUNCTION("""COMPUTED_VALUE"""),"")</f>
        <v/>
      </c>
      <c r="G8332" s="18"/>
      <c r="H8332" s="16" t="s">
        <v>87</v>
      </c>
      <c r="I8332" s="16" t="s">
        <v>87</v>
      </c>
      <c r="J8332" s="19"/>
      <c r="L8332" s="16" t="str">
        <f>IFERROR(__xludf.DUMMYFUNCTION("""COMPUTED_VALUE"""),"")</f>
        <v/>
      </c>
      <c r="M8332" s="16" t="str">
        <f>IFERROR(__xludf.DUMMYFUNCTION("""COMPUTED_VALUE"""),"")</f>
        <v/>
      </c>
      <c r="U8332" s="16" t="s">
        <v>87</v>
      </c>
      <c r="V8332" s="16" t="str">
        <f>IFERROR(__xludf.DUMMYFUNCTION("""COMPUTED_VALUE"""),"")</f>
        <v/>
      </c>
      <c r="W8332" s="16" t="str">
        <f>IFERROR(__xludf.DUMMYFUNCTION("""COMPUTED_VALUE"""),"")</f>
        <v/>
      </c>
      <c r="X8332" s="16" t="str">
        <f>IFERROR(__xludf.DUMMYFUNCTION("""COMPUTED_VALUE"""),"")</f>
        <v/>
      </c>
      <c r="AC8332" s="16" t="str">
        <f>IFERROR(__xludf.DUMMYFUNCTION("""COMPUTED_VALUE"""),"")</f>
        <v/>
      </c>
    </row>
    <row r="8333">
      <c r="A8333" s="16" t="s">
        <v>87</v>
      </c>
      <c r="E8333" s="16" t="str">
        <f>IFERROR(__xludf.DUMMYFUNCTION("""COMPUTED_VALUE"""),"")</f>
        <v/>
      </c>
      <c r="G8333" s="18"/>
      <c r="H8333" s="16" t="s">
        <v>87</v>
      </c>
      <c r="I8333" s="16" t="s">
        <v>87</v>
      </c>
      <c r="J8333" s="19"/>
      <c r="L8333" s="16" t="str">
        <f>IFERROR(__xludf.DUMMYFUNCTION("""COMPUTED_VALUE"""),"")</f>
        <v/>
      </c>
      <c r="M8333" s="16" t="str">
        <f>IFERROR(__xludf.DUMMYFUNCTION("""COMPUTED_VALUE"""),"")</f>
        <v/>
      </c>
      <c r="U8333" s="16" t="s">
        <v>87</v>
      </c>
      <c r="V8333" s="16" t="str">
        <f>IFERROR(__xludf.DUMMYFUNCTION("""COMPUTED_VALUE"""),"")</f>
        <v/>
      </c>
      <c r="W8333" s="16" t="str">
        <f>IFERROR(__xludf.DUMMYFUNCTION("""COMPUTED_VALUE"""),"")</f>
        <v/>
      </c>
      <c r="X8333" s="16" t="str">
        <f>IFERROR(__xludf.DUMMYFUNCTION("""COMPUTED_VALUE"""),"")</f>
        <v/>
      </c>
      <c r="AC8333" s="16" t="str">
        <f>IFERROR(__xludf.DUMMYFUNCTION("""COMPUTED_VALUE"""),"")</f>
        <v/>
      </c>
    </row>
    <row r="8334">
      <c r="A8334" s="16" t="s">
        <v>87</v>
      </c>
      <c r="E8334" s="16" t="str">
        <f>IFERROR(__xludf.DUMMYFUNCTION("""COMPUTED_VALUE"""),"")</f>
        <v/>
      </c>
      <c r="G8334" s="18"/>
      <c r="H8334" s="16" t="s">
        <v>87</v>
      </c>
      <c r="I8334" s="16" t="s">
        <v>87</v>
      </c>
      <c r="J8334" s="19"/>
      <c r="L8334" s="16" t="str">
        <f>IFERROR(__xludf.DUMMYFUNCTION("""COMPUTED_VALUE"""),"")</f>
        <v/>
      </c>
      <c r="M8334" s="16" t="str">
        <f>IFERROR(__xludf.DUMMYFUNCTION("""COMPUTED_VALUE"""),"")</f>
        <v/>
      </c>
      <c r="U8334" s="16" t="s">
        <v>87</v>
      </c>
      <c r="V8334" s="16" t="str">
        <f>IFERROR(__xludf.DUMMYFUNCTION("""COMPUTED_VALUE"""),"")</f>
        <v/>
      </c>
      <c r="W8334" s="16" t="str">
        <f>IFERROR(__xludf.DUMMYFUNCTION("""COMPUTED_VALUE"""),"")</f>
        <v/>
      </c>
      <c r="X8334" s="16" t="str">
        <f>IFERROR(__xludf.DUMMYFUNCTION("""COMPUTED_VALUE"""),"")</f>
        <v/>
      </c>
      <c r="AC8334" s="16" t="str">
        <f>IFERROR(__xludf.DUMMYFUNCTION("""COMPUTED_VALUE"""),"")</f>
        <v/>
      </c>
    </row>
    <row r="8335">
      <c r="A8335" s="16" t="s">
        <v>87</v>
      </c>
      <c r="E8335" s="16" t="str">
        <f>IFERROR(__xludf.DUMMYFUNCTION("""COMPUTED_VALUE"""),"")</f>
        <v/>
      </c>
      <c r="G8335" s="18"/>
      <c r="H8335" s="16" t="s">
        <v>87</v>
      </c>
      <c r="I8335" s="16" t="s">
        <v>87</v>
      </c>
      <c r="J8335" s="19"/>
      <c r="L8335" s="16" t="str">
        <f>IFERROR(__xludf.DUMMYFUNCTION("""COMPUTED_VALUE"""),"")</f>
        <v/>
      </c>
      <c r="M8335" s="16" t="str">
        <f>IFERROR(__xludf.DUMMYFUNCTION("""COMPUTED_VALUE"""),"")</f>
        <v/>
      </c>
      <c r="U8335" s="16" t="s">
        <v>87</v>
      </c>
      <c r="V8335" s="16" t="str">
        <f>IFERROR(__xludf.DUMMYFUNCTION("""COMPUTED_VALUE"""),"")</f>
        <v/>
      </c>
      <c r="W8335" s="16" t="str">
        <f>IFERROR(__xludf.DUMMYFUNCTION("""COMPUTED_VALUE"""),"")</f>
        <v/>
      </c>
      <c r="X8335" s="16" t="str">
        <f>IFERROR(__xludf.DUMMYFUNCTION("""COMPUTED_VALUE"""),"")</f>
        <v/>
      </c>
      <c r="AC8335" s="16" t="str">
        <f>IFERROR(__xludf.DUMMYFUNCTION("""COMPUTED_VALUE"""),"")</f>
        <v/>
      </c>
    </row>
    <row r="8336">
      <c r="A8336" s="16" t="s">
        <v>87</v>
      </c>
      <c r="E8336" s="16" t="str">
        <f>IFERROR(__xludf.DUMMYFUNCTION("""COMPUTED_VALUE"""),"")</f>
        <v/>
      </c>
      <c r="G8336" s="18"/>
      <c r="H8336" s="16" t="s">
        <v>87</v>
      </c>
      <c r="I8336" s="16" t="s">
        <v>87</v>
      </c>
      <c r="J8336" s="19"/>
      <c r="L8336" s="16" t="str">
        <f>IFERROR(__xludf.DUMMYFUNCTION("""COMPUTED_VALUE"""),"")</f>
        <v/>
      </c>
      <c r="M8336" s="16" t="str">
        <f>IFERROR(__xludf.DUMMYFUNCTION("""COMPUTED_VALUE"""),"")</f>
        <v/>
      </c>
      <c r="U8336" s="16" t="s">
        <v>87</v>
      </c>
      <c r="V8336" s="16" t="str">
        <f>IFERROR(__xludf.DUMMYFUNCTION("""COMPUTED_VALUE"""),"")</f>
        <v/>
      </c>
      <c r="W8336" s="16" t="str">
        <f>IFERROR(__xludf.DUMMYFUNCTION("""COMPUTED_VALUE"""),"")</f>
        <v/>
      </c>
      <c r="X8336" s="16" t="str">
        <f>IFERROR(__xludf.DUMMYFUNCTION("""COMPUTED_VALUE"""),"")</f>
        <v/>
      </c>
      <c r="AC8336" s="16" t="str">
        <f>IFERROR(__xludf.DUMMYFUNCTION("""COMPUTED_VALUE"""),"")</f>
        <v/>
      </c>
    </row>
    <row r="8337">
      <c r="A8337" s="16" t="s">
        <v>87</v>
      </c>
      <c r="E8337" s="16" t="str">
        <f>IFERROR(__xludf.DUMMYFUNCTION("""COMPUTED_VALUE"""),"")</f>
        <v/>
      </c>
      <c r="G8337" s="18"/>
      <c r="H8337" s="16" t="s">
        <v>87</v>
      </c>
      <c r="I8337" s="16" t="s">
        <v>87</v>
      </c>
      <c r="J8337" s="19"/>
      <c r="L8337" s="16" t="str">
        <f>IFERROR(__xludf.DUMMYFUNCTION("""COMPUTED_VALUE"""),"")</f>
        <v/>
      </c>
      <c r="M8337" s="16" t="str">
        <f>IFERROR(__xludf.DUMMYFUNCTION("""COMPUTED_VALUE"""),"")</f>
        <v/>
      </c>
      <c r="U8337" s="16" t="s">
        <v>87</v>
      </c>
      <c r="V8337" s="16" t="str">
        <f>IFERROR(__xludf.DUMMYFUNCTION("""COMPUTED_VALUE"""),"")</f>
        <v/>
      </c>
      <c r="W8337" s="16" t="str">
        <f>IFERROR(__xludf.DUMMYFUNCTION("""COMPUTED_VALUE"""),"")</f>
        <v/>
      </c>
      <c r="X8337" s="16" t="str">
        <f>IFERROR(__xludf.DUMMYFUNCTION("""COMPUTED_VALUE"""),"")</f>
        <v/>
      </c>
      <c r="AC8337" s="16" t="str">
        <f>IFERROR(__xludf.DUMMYFUNCTION("""COMPUTED_VALUE"""),"")</f>
        <v/>
      </c>
    </row>
    <row r="8338">
      <c r="A8338" s="16" t="s">
        <v>87</v>
      </c>
      <c r="E8338" s="16" t="str">
        <f>IFERROR(__xludf.DUMMYFUNCTION("""COMPUTED_VALUE"""),"")</f>
        <v/>
      </c>
      <c r="G8338" s="18"/>
      <c r="H8338" s="16" t="s">
        <v>87</v>
      </c>
      <c r="I8338" s="16" t="s">
        <v>87</v>
      </c>
      <c r="J8338" s="19"/>
      <c r="L8338" s="16" t="str">
        <f>IFERROR(__xludf.DUMMYFUNCTION("""COMPUTED_VALUE"""),"")</f>
        <v/>
      </c>
      <c r="M8338" s="16" t="str">
        <f>IFERROR(__xludf.DUMMYFUNCTION("""COMPUTED_VALUE"""),"")</f>
        <v/>
      </c>
      <c r="U8338" s="16" t="s">
        <v>87</v>
      </c>
      <c r="V8338" s="16" t="str">
        <f>IFERROR(__xludf.DUMMYFUNCTION("""COMPUTED_VALUE"""),"")</f>
        <v/>
      </c>
      <c r="W8338" s="16" t="str">
        <f>IFERROR(__xludf.DUMMYFUNCTION("""COMPUTED_VALUE"""),"")</f>
        <v/>
      </c>
      <c r="X8338" s="16" t="str">
        <f>IFERROR(__xludf.DUMMYFUNCTION("""COMPUTED_VALUE"""),"")</f>
        <v/>
      </c>
      <c r="AC8338" s="16" t="str">
        <f>IFERROR(__xludf.DUMMYFUNCTION("""COMPUTED_VALUE"""),"")</f>
        <v/>
      </c>
    </row>
    <row r="8339">
      <c r="A8339" s="16" t="s">
        <v>87</v>
      </c>
      <c r="E8339" s="16" t="str">
        <f>IFERROR(__xludf.DUMMYFUNCTION("""COMPUTED_VALUE"""),"")</f>
        <v/>
      </c>
      <c r="G8339" s="18"/>
      <c r="H8339" s="16" t="s">
        <v>87</v>
      </c>
      <c r="I8339" s="16" t="s">
        <v>87</v>
      </c>
      <c r="J8339" s="19"/>
      <c r="L8339" s="16" t="str">
        <f>IFERROR(__xludf.DUMMYFUNCTION("""COMPUTED_VALUE"""),"")</f>
        <v/>
      </c>
      <c r="M8339" s="16" t="str">
        <f>IFERROR(__xludf.DUMMYFUNCTION("""COMPUTED_VALUE"""),"")</f>
        <v/>
      </c>
      <c r="U8339" s="16" t="s">
        <v>87</v>
      </c>
      <c r="V8339" s="16" t="str">
        <f>IFERROR(__xludf.DUMMYFUNCTION("""COMPUTED_VALUE"""),"")</f>
        <v/>
      </c>
      <c r="W8339" s="16" t="str">
        <f>IFERROR(__xludf.DUMMYFUNCTION("""COMPUTED_VALUE"""),"")</f>
        <v/>
      </c>
      <c r="X8339" s="16" t="str">
        <f>IFERROR(__xludf.DUMMYFUNCTION("""COMPUTED_VALUE"""),"")</f>
        <v/>
      </c>
      <c r="AC8339" s="16" t="str">
        <f>IFERROR(__xludf.DUMMYFUNCTION("""COMPUTED_VALUE"""),"")</f>
        <v/>
      </c>
    </row>
    <row r="8340">
      <c r="A8340" s="16" t="s">
        <v>87</v>
      </c>
      <c r="E8340" s="16" t="str">
        <f>IFERROR(__xludf.DUMMYFUNCTION("""COMPUTED_VALUE"""),"")</f>
        <v/>
      </c>
      <c r="G8340" s="18"/>
      <c r="H8340" s="16" t="s">
        <v>87</v>
      </c>
      <c r="I8340" s="16" t="s">
        <v>87</v>
      </c>
      <c r="J8340" s="19"/>
      <c r="L8340" s="16" t="str">
        <f>IFERROR(__xludf.DUMMYFUNCTION("""COMPUTED_VALUE"""),"")</f>
        <v/>
      </c>
      <c r="M8340" s="16" t="str">
        <f>IFERROR(__xludf.DUMMYFUNCTION("""COMPUTED_VALUE"""),"")</f>
        <v/>
      </c>
      <c r="U8340" s="16" t="s">
        <v>87</v>
      </c>
      <c r="V8340" s="16" t="str">
        <f>IFERROR(__xludf.DUMMYFUNCTION("""COMPUTED_VALUE"""),"")</f>
        <v/>
      </c>
      <c r="W8340" s="16" t="str">
        <f>IFERROR(__xludf.DUMMYFUNCTION("""COMPUTED_VALUE"""),"")</f>
        <v/>
      </c>
      <c r="X8340" s="16" t="str">
        <f>IFERROR(__xludf.DUMMYFUNCTION("""COMPUTED_VALUE"""),"")</f>
        <v/>
      </c>
      <c r="AC8340" s="16" t="str">
        <f>IFERROR(__xludf.DUMMYFUNCTION("""COMPUTED_VALUE"""),"")</f>
        <v/>
      </c>
    </row>
    <row r="8341">
      <c r="A8341" s="16" t="s">
        <v>87</v>
      </c>
      <c r="E8341" s="16" t="str">
        <f>IFERROR(__xludf.DUMMYFUNCTION("""COMPUTED_VALUE"""),"")</f>
        <v/>
      </c>
      <c r="G8341" s="18"/>
      <c r="H8341" s="16" t="s">
        <v>87</v>
      </c>
      <c r="I8341" s="16" t="s">
        <v>87</v>
      </c>
      <c r="J8341" s="19"/>
      <c r="L8341" s="16" t="str">
        <f>IFERROR(__xludf.DUMMYFUNCTION("""COMPUTED_VALUE"""),"")</f>
        <v/>
      </c>
      <c r="M8341" s="16" t="str">
        <f>IFERROR(__xludf.DUMMYFUNCTION("""COMPUTED_VALUE"""),"")</f>
        <v/>
      </c>
      <c r="U8341" s="16" t="s">
        <v>87</v>
      </c>
      <c r="V8341" s="16" t="str">
        <f>IFERROR(__xludf.DUMMYFUNCTION("""COMPUTED_VALUE"""),"")</f>
        <v/>
      </c>
      <c r="W8341" s="16" t="str">
        <f>IFERROR(__xludf.DUMMYFUNCTION("""COMPUTED_VALUE"""),"")</f>
        <v/>
      </c>
      <c r="X8341" s="16" t="str">
        <f>IFERROR(__xludf.DUMMYFUNCTION("""COMPUTED_VALUE"""),"")</f>
        <v/>
      </c>
      <c r="AC8341" s="16" t="str">
        <f>IFERROR(__xludf.DUMMYFUNCTION("""COMPUTED_VALUE"""),"")</f>
        <v/>
      </c>
    </row>
    <row r="8342">
      <c r="A8342" s="16" t="s">
        <v>87</v>
      </c>
      <c r="E8342" s="16" t="str">
        <f>IFERROR(__xludf.DUMMYFUNCTION("""COMPUTED_VALUE"""),"")</f>
        <v/>
      </c>
      <c r="G8342" s="18"/>
      <c r="H8342" s="16" t="s">
        <v>87</v>
      </c>
      <c r="I8342" s="16" t="s">
        <v>87</v>
      </c>
      <c r="J8342" s="19"/>
      <c r="L8342" s="16" t="str">
        <f>IFERROR(__xludf.DUMMYFUNCTION("""COMPUTED_VALUE"""),"")</f>
        <v/>
      </c>
      <c r="M8342" s="16" t="str">
        <f>IFERROR(__xludf.DUMMYFUNCTION("""COMPUTED_VALUE"""),"")</f>
        <v/>
      </c>
      <c r="U8342" s="16" t="s">
        <v>87</v>
      </c>
      <c r="V8342" s="16" t="str">
        <f>IFERROR(__xludf.DUMMYFUNCTION("""COMPUTED_VALUE"""),"")</f>
        <v/>
      </c>
      <c r="W8342" s="16" t="str">
        <f>IFERROR(__xludf.DUMMYFUNCTION("""COMPUTED_VALUE"""),"")</f>
        <v/>
      </c>
      <c r="X8342" s="16" t="str">
        <f>IFERROR(__xludf.DUMMYFUNCTION("""COMPUTED_VALUE"""),"")</f>
        <v/>
      </c>
      <c r="AC8342" s="16" t="str">
        <f>IFERROR(__xludf.DUMMYFUNCTION("""COMPUTED_VALUE"""),"")</f>
        <v/>
      </c>
    </row>
    <row r="8343">
      <c r="A8343" s="16" t="s">
        <v>87</v>
      </c>
      <c r="E8343" s="16" t="str">
        <f>IFERROR(__xludf.DUMMYFUNCTION("""COMPUTED_VALUE"""),"")</f>
        <v/>
      </c>
      <c r="G8343" s="18"/>
      <c r="H8343" s="16" t="s">
        <v>87</v>
      </c>
      <c r="I8343" s="16" t="s">
        <v>87</v>
      </c>
      <c r="J8343" s="19"/>
      <c r="L8343" s="16" t="str">
        <f>IFERROR(__xludf.DUMMYFUNCTION("""COMPUTED_VALUE"""),"")</f>
        <v/>
      </c>
      <c r="M8343" s="16" t="str">
        <f>IFERROR(__xludf.DUMMYFUNCTION("""COMPUTED_VALUE"""),"")</f>
        <v/>
      </c>
      <c r="U8343" s="16" t="s">
        <v>87</v>
      </c>
      <c r="V8343" s="16" t="str">
        <f>IFERROR(__xludf.DUMMYFUNCTION("""COMPUTED_VALUE"""),"")</f>
        <v/>
      </c>
      <c r="W8343" s="16" t="str">
        <f>IFERROR(__xludf.DUMMYFUNCTION("""COMPUTED_VALUE"""),"")</f>
        <v/>
      </c>
      <c r="X8343" s="16" t="str">
        <f>IFERROR(__xludf.DUMMYFUNCTION("""COMPUTED_VALUE"""),"")</f>
        <v/>
      </c>
      <c r="AC8343" s="16" t="str">
        <f>IFERROR(__xludf.DUMMYFUNCTION("""COMPUTED_VALUE"""),"")</f>
        <v/>
      </c>
    </row>
    <row r="8344">
      <c r="A8344" s="16" t="s">
        <v>87</v>
      </c>
      <c r="E8344" s="16" t="str">
        <f>IFERROR(__xludf.DUMMYFUNCTION("""COMPUTED_VALUE"""),"")</f>
        <v/>
      </c>
      <c r="G8344" s="18"/>
      <c r="H8344" s="16" t="s">
        <v>87</v>
      </c>
      <c r="I8344" s="16" t="s">
        <v>87</v>
      </c>
      <c r="J8344" s="19"/>
      <c r="L8344" s="16" t="str">
        <f>IFERROR(__xludf.DUMMYFUNCTION("""COMPUTED_VALUE"""),"")</f>
        <v/>
      </c>
      <c r="M8344" s="16" t="str">
        <f>IFERROR(__xludf.DUMMYFUNCTION("""COMPUTED_VALUE"""),"")</f>
        <v/>
      </c>
      <c r="U8344" s="16" t="s">
        <v>87</v>
      </c>
      <c r="V8344" s="16" t="str">
        <f>IFERROR(__xludf.DUMMYFUNCTION("""COMPUTED_VALUE"""),"")</f>
        <v/>
      </c>
      <c r="W8344" s="16" t="str">
        <f>IFERROR(__xludf.DUMMYFUNCTION("""COMPUTED_VALUE"""),"")</f>
        <v/>
      </c>
      <c r="X8344" s="16" t="str">
        <f>IFERROR(__xludf.DUMMYFUNCTION("""COMPUTED_VALUE"""),"")</f>
        <v/>
      </c>
      <c r="AC8344" s="16" t="str">
        <f>IFERROR(__xludf.DUMMYFUNCTION("""COMPUTED_VALUE"""),"")</f>
        <v/>
      </c>
    </row>
    <row r="8345">
      <c r="A8345" s="16" t="s">
        <v>87</v>
      </c>
      <c r="E8345" s="16" t="str">
        <f>IFERROR(__xludf.DUMMYFUNCTION("""COMPUTED_VALUE"""),"")</f>
        <v/>
      </c>
      <c r="G8345" s="18"/>
      <c r="H8345" s="16" t="s">
        <v>87</v>
      </c>
      <c r="I8345" s="16" t="s">
        <v>87</v>
      </c>
      <c r="J8345" s="19"/>
      <c r="L8345" s="16" t="str">
        <f>IFERROR(__xludf.DUMMYFUNCTION("""COMPUTED_VALUE"""),"")</f>
        <v/>
      </c>
      <c r="M8345" s="16" t="str">
        <f>IFERROR(__xludf.DUMMYFUNCTION("""COMPUTED_VALUE"""),"")</f>
        <v/>
      </c>
      <c r="U8345" s="16" t="s">
        <v>87</v>
      </c>
      <c r="V8345" s="16" t="str">
        <f>IFERROR(__xludf.DUMMYFUNCTION("""COMPUTED_VALUE"""),"")</f>
        <v/>
      </c>
      <c r="W8345" s="16" t="str">
        <f>IFERROR(__xludf.DUMMYFUNCTION("""COMPUTED_VALUE"""),"")</f>
        <v/>
      </c>
      <c r="X8345" s="16" t="str">
        <f>IFERROR(__xludf.DUMMYFUNCTION("""COMPUTED_VALUE"""),"")</f>
        <v/>
      </c>
      <c r="AC8345" s="16" t="str">
        <f>IFERROR(__xludf.DUMMYFUNCTION("""COMPUTED_VALUE"""),"")</f>
        <v/>
      </c>
    </row>
    <row r="8346">
      <c r="A8346" s="16" t="s">
        <v>87</v>
      </c>
      <c r="E8346" s="16" t="str">
        <f>IFERROR(__xludf.DUMMYFUNCTION("""COMPUTED_VALUE"""),"")</f>
        <v/>
      </c>
      <c r="G8346" s="18"/>
      <c r="H8346" s="16" t="s">
        <v>87</v>
      </c>
      <c r="I8346" s="16" t="s">
        <v>87</v>
      </c>
      <c r="J8346" s="19"/>
      <c r="L8346" s="16" t="str">
        <f>IFERROR(__xludf.DUMMYFUNCTION("""COMPUTED_VALUE"""),"")</f>
        <v/>
      </c>
      <c r="M8346" s="16" t="str">
        <f>IFERROR(__xludf.DUMMYFUNCTION("""COMPUTED_VALUE"""),"")</f>
        <v/>
      </c>
      <c r="U8346" s="16" t="s">
        <v>87</v>
      </c>
      <c r="V8346" s="16" t="str">
        <f>IFERROR(__xludf.DUMMYFUNCTION("""COMPUTED_VALUE"""),"")</f>
        <v/>
      </c>
      <c r="W8346" s="16" t="str">
        <f>IFERROR(__xludf.DUMMYFUNCTION("""COMPUTED_VALUE"""),"")</f>
        <v/>
      </c>
      <c r="X8346" s="16" t="str">
        <f>IFERROR(__xludf.DUMMYFUNCTION("""COMPUTED_VALUE"""),"")</f>
        <v/>
      </c>
      <c r="AC8346" s="16" t="str">
        <f>IFERROR(__xludf.DUMMYFUNCTION("""COMPUTED_VALUE"""),"")</f>
        <v/>
      </c>
    </row>
    <row r="8347">
      <c r="A8347" s="16" t="s">
        <v>87</v>
      </c>
      <c r="E8347" s="16" t="str">
        <f>IFERROR(__xludf.DUMMYFUNCTION("""COMPUTED_VALUE"""),"")</f>
        <v/>
      </c>
      <c r="G8347" s="18"/>
      <c r="H8347" s="16" t="s">
        <v>87</v>
      </c>
      <c r="I8347" s="16" t="s">
        <v>87</v>
      </c>
      <c r="J8347" s="19"/>
      <c r="L8347" s="16" t="str">
        <f>IFERROR(__xludf.DUMMYFUNCTION("""COMPUTED_VALUE"""),"")</f>
        <v/>
      </c>
      <c r="M8347" s="16" t="str">
        <f>IFERROR(__xludf.DUMMYFUNCTION("""COMPUTED_VALUE"""),"")</f>
        <v/>
      </c>
      <c r="U8347" s="16" t="s">
        <v>87</v>
      </c>
      <c r="V8347" s="16" t="str">
        <f>IFERROR(__xludf.DUMMYFUNCTION("""COMPUTED_VALUE"""),"")</f>
        <v/>
      </c>
      <c r="W8347" s="16" t="str">
        <f>IFERROR(__xludf.DUMMYFUNCTION("""COMPUTED_VALUE"""),"")</f>
        <v/>
      </c>
      <c r="X8347" s="16" t="str">
        <f>IFERROR(__xludf.DUMMYFUNCTION("""COMPUTED_VALUE"""),"")</f>
        <v/>
      </c>
      <c r="AC8347" s="16" t="str">
        <f>IFERROR(__xludf.DUMMYFUNCTION("""COMPUTED_VALUE"""),"")</f>
        <v/>
      </c>
    </row>
    <row r="8348">
      <c r="A8348" s="16" t="s">
        <v>87</v>
      </c>
      <c r="E8348" s="16" t="str">
        <f>IFERROR(__xludf.DUMMYFUNCTION("""COMPUTED_VALUE"""),"")</f>
        <v/>
      </c>
      <c r="G8348" s="18"/>
      <c r="H8348" s="16" t="s">
        <v>87</v>
      </c>
      <c r="I8348" s="16" t="s">
        <v>87</v>
      </c>
      <c r="J8348" s="19"/>
      <c r="L8348" s="16" t="str">
        <f>IFERROR(__xludf.DUMMYFUNCTION("""COMPUTED_VALUE"""),"")</f>
        <v/>
      </c>
      <c r="M8348" s="16" t="str">
        <f>IFERROR(__xludf.DUMMYFUNCTION("""COMPUTED_VALUE"""),"")</f>
        <v/>
      </c>
      <c r="U8348" s="16" t="s">
        <v>87</v>
      </c>
      <c r="V8348" s="16" t="str">
        <f>IFERROR(__xludf.DUMMYFUNCTION("""COMPUTED_VALUE"""),"")</f>
        <v/>
      </c>
      <c r="W8348" s="16" t="str">
        <f>IFERROR(__xludf.DUMMYFUNCTION("""COMPUTED_VALUE"""),"")</f>
        <v/>
      </c>
      <c r="X8348" s="16" t="str">
        <f>IFERROR(__xludf.DUMMYFUNCTION("""COMPUTED_VALUE"""),"")</f>
        <v/>
      </c>
      <c r="AC8348" s="16" t="str">
        <f>IFERROR(__xludf.DUMMYFUNCTION("""COMPUTED_VALUE"""),"")</f>
        <v/>
      </c>
    </row>
    <row r="8349">
      <c r="A8349" s="16" t="s">
        <v>87</v>
      </c>
      <c r="E8349" s="16" t="str">
        <f>IFERROR(__xludf.DUMMYFUNCTION("""COMPUTED_VALUE"""),"")</f>
        <v/>
      </c>
      <c r="G8349" s="18"/>
      <c r="H8349" s="16" t="s">
        <v>87</v>
      </c>
      <c r="I8349" s="16" t="s">
        <v>87</v>
      </c>
      <c r="J8349" s="19"/>
      <c r="L8349" s="16" t="str">
        <f>IFERROR(__xludf.DUMMYFUNCTION("""COMPUTED_VALUE"""),"")</f>
        <v/>
      </c>
      <c r="M8349" s="16" t="str">
        <f>IFERROR(__xludf.DUMMYFUNCTION("""COMPUTED_VALUE"""),"")</f>
        <v/>
      </c>
      <c r="U8349" s="16" t="s">
        <v>87</v>
      </c>
      <c r="V8349" s="16" t="str">
        <f>IFERROR(__xludf.DUMMYFUNCTION("""COMPUTED_VALUE"""),"")</f>
        <v/>
      </c>
      <c r="W8349" s="16" t="str">
        <f>IFERROR(__xludf.DUMMYFUNCTION("""COMPUTED_VALUE"""),"")</f>
        <v/>
      </c>
      <c r="X8349" s="16" t="str">
        <f>IFERROR(__xludf.DUMMYFUNCTION("""COMPUTED_VALUE"""),"")</f>
        <v/>
      </c>
      <c r="AC8349" s="16" t="str">
        <f>IFERROR(__xludf.DUMMYFUNCTION("""COMPUTED_VALUE"""),"")</f>
        <v/>
      </c>
    </row>
    <row r="8350">
      <c r="A8350" s="16" t="s">
        <v>87</v>
      </c>
      <c r="E8350" s="16" t="str">
        <f>IFERROR(__xludf.DUMMYFUNCTION("""COMPUTED_VALUE"""),"")</f>
        <v/>
      </c>
      <c r="G8350" s="18"/>
      <c r="H8350" s="16" t="s">
        <v>87</v>
      </c>
      <c r="I8350" s="16" t="s">
        <v>87</v>
      </c>
      <c r="J8350" s="19"/>
      <c r="L8350" s="16" t="str">
        <f>IFERROR(__xludf.DUMMYFUNCTION("""COMPUTED_VALUE"""),"")</f>
        <v/>
      </c>
      <c r="M8350" s="16" t="str">
        <f>IFERROR(__xludf.DUMMYFUNCTION("""COMPUTED_VALUE"""),"")</f>
        <v/>
      </c>
      <c r="U8350" s="16" t="s">
        <v>87</v>
      </c>
      <c r="V8350" s="16" t="str">
        <f>IFERROR(__xludf.DUMMYFUNCTION("""COMPUTED_VALUE"""),"")</f>
        <v/>
      </c>
      <c r="W8350" s="16" t="str">
        <f>IFERROR(__xludf.DUMMYFUNCTION("""COMPUTED_VALUE"""),"")</f>
        <v/>
      </c>
      <c r="X8350" s="16" t="str">
        <f>IFERROR(__xludf.DUMMYFUNCTION("""COMPUTED_VALUE"""),"")</f>
        <v/>
      </c>
      <c r="AC8350" s="16" t="str">
        <f>IFERROR(__xludf.DUMMYFUNCTION("""COMPUTED_VALUE"""),"")</f>
        <v/>
      </c>
    </row>
    <row r="8351">
      <c r="A8351" s="16" t="s">
        <v>87</v>
      </c>
      <c r="E8351" s="16" t="str">
        <f>IFERROR(__xludf.DUMMYFUNCTION("""COMPUTED_VALUE"""),"")</f>
        <v/>
      </c>
      <c r="G8351" s="18"/>
      <c r="H8351" s="16" t="s">
        <v>87</v>
      </c>
      <c r="I8351" s="16" t="s">
        <v>87</v>
      </c>
      <c r="J8351" s="19"/>
      <c r="L8351" s="16" t="str">
        <f>IFERROR(__xludf.DUMMYFUNCTION("""COMPUTED_VALUE"""),"")</f>
        <v/>
      </c>
      <c r="M8351" s="16" t="str">
        <f>IFERROR(__xludf.DUMMYFUNCTION("""COMPUTED_VALUE"""),"")</f>
        <v/>
      </c>
      <c r="U8351" s="16" t="s">
        <v>87</v>
      </c>
      <c r="V8351" s="16" t="str">
        <f>IFERROR(__xludf.DUMMYFUNCTION("""COMPUTED_VALUE"""),"")</f>
        <v/>
      </c>
      <c r="W8351" s="16" t="str">
        <f>IFERROR(__xludf.DUMMYFUNCTION("""COMPUTED_VALUE"""),"")</f>
        <v/>
      </c>
      <c r="X8351" s="16" t="str">
        <f>IFERROR(__xludf.DUMMYFUNCTION("""COMPUTED_VALUE"""),"")</f>
        <v/>
      </c>
      <c r="AC8351" s="16" t="str">
        <f>IFERROR(__xludf.DUMMYFUNCTION("""COMPUTED_VALUE"""),"")</f>
        <v/>
      </c>
    </row>
    <row r="8352">
      <c r="A8352" s="16" t="s">
        <v>87</v>
      </c>
      <c r="E8352" s="16" t="str">
        <f>IFERROR(__xludf.DUMMYFUNCTION("""COMPUTED_VALUE"""),"")</f>
        <v/>
      </c>
      <c r="G8352" s="18"/>
      <c r="H8352" s="16" t="s">
        <v>87</v>
      </c>
      <c r="I8352" s="16" t="s">
        <v>87</v>
      </c>
      <c r="J8352" s="19"/>
      <c r="L8352" s="16" t="str">
        <f>IFERROR(__xludf.DUMMYFUNCTION("""COMPUTED_VALUE"""),"")</f>
        <v/>
      </c>
      <c r="M8352" s="16" t="str">
        <f>IFERROR(__xludf.DUMMYFUNCTION("""COMPUTED_VALUE"""),"")</f>
        <v/>
      </c>
      <c r="U8352" s="16" t="s">
        <v>87</v>
      </c>
      <c r="V8352" s="16" t="str">
        <f>IFERROR(__xludf.DUMMYFUNCTION("""COMPUTED_VALUE"""),"")</f>
        <v/>
      </c>
      <c r="W8352" s="16" t="str">
        <f>IFERROR(__xludf.DUMMYFUNCTION("""COMPUTED_VALUE"""),"")</f>
        <v/>
      </c>
      <c r="X8352" s="16" t="str">
        <f>IFERROR(__xludf.DUMMYFUNCTION("""COMPUTED_VALUE"""),"")</f>
        <v/>
      </c>
      <c r="AC8352" s="16" t="str">
        <f>IFERROR(__xludf.DUMMYFUNCTION("""COMPUTED_VALUE"""),"")</f>
        <v/>
      </c>
    </row>
    <row r="8353">
      <c r="A8353" s="16" t="s">
        <v>87</v>
      </c>
      <c r="E8353" s="16" t="str">
        <f>IFERROR(__xludf.DUMMYFUNCTION("""COMPUTED_VALUE"""),"")</f>
        <v/>
      </c>
      <c r="G8353" s="18"/>
      <c r="H8353" s="16" t="s">
        <v>87</v>
      </c>
      <c r="I8353" s="16" t="s">
        <v>87</v>
      </c>
      <c r="J8353" s="19"/>
      <c r="L8353" s="16" t="str">
        <f>IFERROR(__xludf.DUMMYFUNCTION("""COMPUTED_VALUE"""),"")</f>
        <v/>
      </c>
      <c r="M8353" s="16" t="str">
        <f>IFERROR(__xludf.DUMMYFUNCTION("""COMPUTED_VALUE"""),"")</f>
        <v/>
      </c>
      <c r="U8353" s="16" t="s">
        <v>87</v>
      </c>
      <c r="V8353" s="16" t="str">
        <f>IFERROR(__xludf.DUMMYFUNCTION("""COMPUTED_VALUE"""),"")</f>
        <v/>
      </c>
      <c r="W8353" s="16" t="str">
        <f>IFERROR(__xludf.DUMMYFUNCTION("""COMPUTED_VALUE"""),"")</f>
        <v/>
      </c>
      <c r="X8353" s="16" t="str">
        <f>IFERROR(__xludf.DUMMYFUNCTION("""COMPUTED_VALUE"""),"")</f>
        <v/>
      </c>
      <c r="AC8353" s="16" t="str">
        <f>IFERROR(__xludf.DUMMYFUNCTION("""COMPUTED_VALUE"""),"")</f>
        <v/>
      </c>
    </row>
    <row r="8354">
      <c r="A8354" s="16" t="s">
        <v>87</v>
      </c>
      <c r="E8354" s="16" t="str">
        <f>IFERROR(__xludf.DUMMYFUNCTION("""COMPUTED_VALUE"""),"")</f>
        <v/>
      </c>
      <c r="G8354" s="18"/>
      <c r="H8354" s="16" t="s">
        <v>87</v>
      </c>
      <c r="I8354" s="16" t="s">
        <v>87</v>
      </c>
      <c r="J8354" s="19"/>
      <c r="L8354" s="16" t="str">
        <f>IFERROR(__xludf.DUMMYFUNCTION("""COMPUTED_VALUE"""),"")</f>
        <v/>
      </c>
      <c r="M8354" s="16" t="str">
        <f>IFERROR(__xludf.DUMMYFUNCTION("""COMPUTED_VALUE"""),"")</f>
        <v/>
      </c>
      <c r="U8354" s="16" t="s">
        <v>87</v>
      </c>
      <c r="V8354" s="16" t="str">
        <f>IFERROR(__xludf.DUMMYFUNCTION("""COMPUTED_VALUE"""),"")</f>
        <v/>
      </c>
      <c r="W8354" s="16" t="str">
        <f>IFERROR(__xludf.DUMMYFUNCTION("""COMPUTED_VALUE"""),"")</f>
        <v/>
      </c>
      <c r="X8354" s="16" t="str">
        <f>IFERROR(__xludf.DUMMYFUNCTION("""COMPUTED_VALUE"""),"")</f>
        <v/>
      </c>
      <c r="AC8354" s="16" t="str">
        <f>IFERROR(__xludf.DUMMYFUNCTION("""COMPUTED_VALUE"""),"")</f>
        <v/>
      </c>
    </row>
    <row r="8355">
      <c r="A8355" s="16" t="s">
        <v>87</v>
      </c>
      <c r="E8355" s="16" t="str">
        <f>IFERROR(__xludf.DUMMYFUNCTION("""COMPUTED_VALUE"""),"")</f>
        <v/>
      </c>
      <c r="G8355" s="18"/>
      <c r="H8355" s="16" t="s">
        <v>87</v>
      </c>
      <c r="I8355" s="16" t="s">
        <v>87</v>
      </c>
      <c r="J8355" s="19"/>
      <c r="L8355" s="16" t="str">
        <f>IFERROR(__xludf.DUMMYFUNCTION("""COMPUTED_VALUE"""),"")</f>
        <v/>
      </c>
      <c r="M8355" s="16" t="str">
        <f>IFERROR(__xludf.DUMMYFUNCTION("""COMPUTED_VALUE"""),"")</f>
        <v/>
      </c>
      <c r="U8355" s="16" t="s">
        <v>87</v>
      </c>
      <c r="V8355" s="16" t="str">
        <f>IFERROR(__xludf.DUMMYFUNCTION("""COMPUTED_VALUE"""),"")</f>
        <v/>
      </c>
      <c r="W8355" s="16" t="str">
        <f>IFERROR(__xludf.DUMMYFUNCTION("""COMPUTED_VALUE"""),"")</f>
        <v/>
      </c>
      <c r="X8355" s="16" t="str">
        <f>IFERROR(__xludf.DUMMYFUNCTION("""COMPUTED_VALUE"""),"")</f>
        <v/>
      </c>
      <c r="AC8355" s="16" t="str">
        <f>IFERROR(__xludf.DUMMYFUNCTION("""COMPUTED_VALUE"""),"")</f>
        <v/>
      </c>
    </row>
    <row r="8356">
      <c r="A8356" s="16" t="s">
        <v>87</v>
      </c>
      <c r="E8356" s="16" t="str">
        <f>IFERROR(__xludf.DUMMYFUNCTION("""COMPUTED_VALUE"""),"")</f>
        <v/>
      </c>
      <c r="G8356" s="18"/>
      <c r="H8356" s="16" t="s">
        <v>87</v>
      </c>
      <c r="I8356" s="16" t="s">
        <v>87</v>
      </c>
      <c r="J8356" s="19"/>
      <c r="L8356" s="16" t="str">
        <f>IFERROR(__xludf.DUMMYFUNCTION("""COMPUTED_VALUE"""),"")</f>
        <v/>
      </c>
      <c r="M8356" s="16" t="str">
        <f>IFERROR(__xludf.DUMMYFUNCTION("""COMPUTED_VALUE"""),"")</f>
        <v/>
      </c>
      <c r="U8356" s="16" t="s">
        <v>87</v>
      </c>
      <c r="V8356" s="16" t="str">
        <f>IFERROR(__xludf.DUMMYFUNCTION("""COMPUTED_VALUE"""),"")</f>
        <v/>
      </c>
      <c r="W8356" s="16" t="str">
        <f>IFERROR(__xludf.DUMMYFUNCTION("""COMPUTED_VALUE"""),"")</f>
        <v/>
      </c>
      <c r="X8356" s="16" t="str">
        <f>IFERROR(__xludf.DUMMYFUNCTION("""COMPUTED_VALUE"""),"")</f>
        <v/>
      </c>
      <c r="AC8356" s="16" t="str">
        <f>IFERROR(__xludf.DUMMYFUNCTION("""COMPUTED_VALUE"""),"")</f>
        <v/>
      </c>
    </row>
    <row r="8357">
      <c r="A8357" s="16" t="s">
        <v>87</v>
      </c>
      <c r="E8357" s="16" t="str">
        <f>IFERROR(__xludf.DUMMYFUNCTION("""COMPUTED_VALUE"""),"")</f>
        <v/>
      </c>
      <c r="G8357" s="18"/>
      <c r="H8357" s="16" t="s">
        <v>87</v>
      </c>
      <c r="I8357" s="16" t="s">
        <v>87</v>
      </c>
      <c r="J8357" s="19"/>
      <c r="L8357" s="16" t="str">
        <f>IFERROR(__xludf.DUMMYFUNCTION("""COMPUTED_VALUE"""),"")</f>
        <v/>
      </c>
      <c r="M8357" s="16" t="str">
        <f>IFERROR(__xludf.DUMMYFUNCTION("""COMPUTED_VALUE"""),"")</f>
        <v/>
      </c>
      <c r="U8357" s="16" t="s">
        <v>87</v>
      </c>
      <c r="V8357" s="16" t="str">
        <f>IFERROR(__xludf.DUMMYFUNCTION("""COMPUTED_VALUE"""),"")</f>
        <v/>
      </c>
      <c r="W8357" s="16" t="str">
        <f>IFERROR(__xludf.DUMMYFUNCTION("""COMPUTED_VALUE"""),"")</f>
        <v/>
      </c>
      <c r="X8357" s="16" t="str">
        <f>IFERROR(__xludf.DUMMYFUNCTION("""COMPUTED_VALUE"""),"")</f>
        <v/>
      </c>
      <c r="AC8357" s="16" t="str">
        <f>IFERROR(__xludf.DUMMYFUNCTION("""COMPUTED_VALUE"""),"")</f>
        <v/>
      </c>
    </row>
    <row r="8358">
      <c r="A8358" s="16" t="s">
        <v>87</v>
      </c>
      <c r="E8358" s="16" t="str">
        <f>IFERROR(__xludf.DUMMYFUNCTION("""COMPUTED_VALUE"""),"")</f>
        <v/>
      </c>
      <c r="G8358" s="18"/>
      <c r="H8358" s="16" t="s">
        <v>87</v>
      </c>
      <c r="I8358" s="16" t="s">
        <v>87</v>
      </c>
      <c r="J8358" s="19"/>
      <c r="L8358" s="16" t="str">
        <f>IFERROR(__xludf.DUMMYFUNCTION("""COMPUTED_VALUE"""),"")</f>
        <v/>
      </c>
      <c r="M8358" s="16" t="str">
        <f>IFERROR(__xludf.DUMMYFUNCTION("""COMPUTED_VALUE"""),"")</f>
        <v/>
      </c>
      <c r="U8358" s="16" t="s">
        <v>87</v>
      </c>
      <c r="V8358" s="16" t="str">
        <f>IFERROR(__xludf.DUMMYFUNCTION("""COMPUTED_VALUE"""),"")</f>
        <v/>
      </c>
      <c r="W8358" s="16" t="str">
        <f>IFERROR(__xludf.DUMMYFUNCTION("""COMPUTED_VALUE"""),"")</f>
        <v/>
      </c>
      <c r="X8358" s="16" t="str">
        <f>IFERROR(__xludf.DUMMYFUNCTION("""COMPUTED_VALUE"""),"")</f>
        <v/>
      </c>
      <c r="AC8358" s="16" t="str">
        <f>IFERROR(__xludf.DUMMYFUNCTION("""COMPUTED_VALUE"""),"")</f>
        <v/>
      </c>
    </row>
    <row r="8359">
      <c r="A8359" s="16" t="s">
        <v>87</v>
      </c>
      <c r="E8359" s="16" t="str">
        <f>IFERROR(__xludf.DUMMYFUNCTION("""COMPUTED_VALUE"""),"")</f>
        <v/>
      </c>
      <c r="G8359" s="18"/>
      <c r="H8359" s="16" t="s">
        <v>87</v>
      </c>
      <c r="I8359" s="16" t="s">
        <v>87</v>
      </c>
      <c r="J8359" s="19"/>
      <c r="L8359" s="16" t="str">
        <f>IFERROR(__xludf.DUMMYFUNCTION("""COMPUTED_VALUE"""),"")</f>
        <v/>
      </c>
      <c r="M8359" s="16" t="str">
        <f>IFERROR(__xludf.DUMMYFUNCTION("""COMPUTED_VALUE"""),"")</f>
        <v/>
      </c>
      <c r="U8359" s="16" t="s">
        <v>87</v>
      </c>
      <c r="V8359" s="16" t="str">
        <f>IFERROR(__xludf.DUMMYFUNCTION("""COMPUTED_VALUE"""),"")</f>
        <v/>
      </c>
      <c r="W8359" s="16" t="str">
        <f>IFERROR(__xludf.DUMMYFUNCTION("""COMPUTED_VALUE"""),"")</f>
        <v/>
      </c>
      <c r="X8359" s="16" t="str">
        <f>IFERROR(__xludf.DUMMYFUNCTION("""COMPUTED_VALUE"""),"")</f>
        <v/>
      </c>
      <c r="AC8359" s="16" t="str">
        <f>IFERROR(__xludf.DUMMYFUNCTION("""COMPUTED_VALUE"""),"")</f>
        <v/>
      </c>
    </row>
    <row r="8360">
      <c r="A8360" s="16" t="s">
        <v>87</v>
      </c>
      <c r="E8360" s="16" t="str">
        <f>IFERROR(__xludf.DUMMYFUNCTION("""COMPUTED_VALUE"""),"")</f>
        <v/>
      </c>
      <c r="G8360" s="18"/>
      <c r="H8360" s="16" t="s">
        <v>87</v>
      </c>
      <c r="I8360" s="16" t="s">
        <v>87</v>
      </c>
      <c r="J8360" s="19"/>
      <c r="L8360" s="16" t="str">
        <f>IFERROR(__xludf.DUMMYFUNCTION("""COMPUTED_VALUE"""),"")</f>
        <v/>
      </c>
      <c r="M8360" s="16" t="str">
        <f>IFERROR(__xludf.DUMMYFUNCTION("""COMPUTED_VALUE"""),"")</f>
        <v/>
      </c>
      <c r="U8360" s="16" t="s">
        <v>87</v>
      </c>
      <c r="V8360" s="16" t="str">
        <f>IFERROR(__xludf.DUMMYFUNCTION("""COMPUTED_VALUE"""),"")</f>
        <v/>
      </c>
      <c r="W8360" s="16" t="str">
        <f>IFERROR(__xludf.DUMMYFUNCTION("""COMPUTED_VALUE"""),"")</f>
        <v/>
      </c>
      <c r="X8360" s="16" t="str">
        <f>IFERROR(__xludf.DUMMYFUNCTION("""COMPUTED_VALUE"""),"")</f>
        <v/>
      </c>
      <c r="AC8360" s="16" t="str">
        <f>IFERROR(__xludf.DUMMYFUNCTION("""COMPUTED_VALUE"""),"")</f>
        <v/>
      </c>
    </row>
    <row r="8361">
      <c r="A8361" s="16" t="s">
        <v>87</v>
      </c>
      <c r="E8361" s="16" t="str">
        <f>IFERROR(__xludf.DUMMYFUNCTION("""COMPUTED_VALUE"""),"")</f>
        <v/>
      </c>
      <c r="G8361" s="18"/>
      <c r="H8361" s="16" t="s">
        <v>87</v>
      </c>
      <c r="I8361" s="16" t="s">
        <v>87</v>
      </c>
      <c r="J8361" s="19"/>
      <c r="L8361" s="16" t="str">
        <f>IFERROR(__xludf.DUMMYFUNCTION("""COMPUTED_VALUE"""),"")</f>
        <v/>
      </c>
      <c r="M8361" s="16" t="str">
        <f>IFERROR(__xludf.DUMMYFUNCTION("""COMPUTED_VALUE"""),"")</f>
        <v/>
      </c>
      <c r="U8361" s="16" t="s">
        <v>87</v>
      </c>
      <c r="V8361" s="16" t="str">
        <f>IFERROR(__xludf.DUMMYFUNCTION("""COMPUTED_VALUE"""),"")</f>
        <v/>
      </c>
      <c r="W8361" s="16" t="str">
        <f>IFERROR(__xludf.DUMMYFUNCTION("""COMPUTED_VALUE"""),"")</f>
        <v/>
      </c>
      <c r="X8361" s="16" t="str">
        <f>IFERROR(__xludf.DUMMYFUNCTION("""COMPUTED_VALUE"""),"")</f>
        <v/>
      </c>
      <c r="AC8361" s="16" t="str">
        <f>IFERROR(__xludf.DUMMYFUNCTION("""COMPUTED_VALUE"""),"")</f>
        <v/>
      </c>
    </row>
    <row r="8362">
      <c r="A8362" s="16" t="s">
        <v>87</v>
      </c>
      <c r="E8362" s="16" t="str">
        <f>IFERROR(__xludf.DUMMYFUNCTION("""COMPUTED_VALUE"""),"")</f>
        <v/>
      </c>
      <c r="G8362" s="18"/>
      <c r="H8362" s="16" t="s">
        <v>87</v>
      </c>
      <c r="I8362" s="16" t="s">
        <v>87</v>
      </c>
      <c r="J8362" s="19"/>
      <c r="L8362" s="16" t="str">
        <f>IFERROR(__xludf.DUMMYFUNCTION("""COMPUTED_VALUE"""),"")</f>
        <v/>
      </c>
      <c r="M8362" s="16" t="str">
        <f>IFERROR(__xludf.DUMMYFUNCTION("""COMPUTED_VALUE"""),"")</f>
        <v/>
      </c>
      <c r="U8362" s="16" t="s">
        <v>87</v>
      </c>
      <c r="V8362" s="16" t="str">
        <f>IFERROR(__xludf.DUMMYFUNCTION("""COMPUTED_VALUE"""),"")</f>
        <v/>
      </c>
      <c r="W8362" s="16" t="str">
        <f>IFERROR(__xludf.DUMMYFUNCTION("""COMPUTED_VALUE"""),"")</f>
        <v/>
      </c>
      <c r="X8362" s="16" t="str">
        <f>IFERROR(__xludf.DUMMYFUNCTION("""COMPUTED_VALUE"""),"")</f>
        <v/>
      </c>
      <c r="AC8362" s="16" t="str">
        <f>IFERROR(__xludf.DUMMYFUNCTION("""COMPUTED_VALUE"""),"")</f>
        <v/>
      </c>
    </row>
    <row r="8363">
      <c r="A8363" s="16" t="s">
        <v>87</v>
      </c>
      <c r="E8363" s="16" t="str">
        <f>IFERROR(__xludf.DUMMYFUNCTION("""COMPUTED_VALUE"""),"")</f>
        <v/>
      </c>
      <c r="G8363" s="18"/>
      <c r="H8363" s="16" t="s">
        <v>87</v>
      </c>
      <c r="I8363" s="16" t="s">
        <v>87</v>
      </c>
      <c r="J8363" s="19"/>
      <c r="L8363" s="16" t="str">
        <f>IFERROR(__xludf.DUMMYFUNCTION("""COMPUTED_VALUE"""),"")</f>
        <v/>
      </c>
      <c r="M8363" s="16" t="str">
        <f>IFERROR(__xludf.DUMMYFUNCTION("""COMPUTED_VALUE"""),"")</f>
        <v/>
      </c>
      <c r="U8363" s="16" t="s">
        <v>87</v>
      </c>
      <c r="V8363" s="16" t="str">
        <f>IFERROR(__xludf.DUMMYFUNCTION("""COMPUTED_VALUE"""),"")</f>
        <v/>
      </c>
      <c r="W8363" s="16" t="str">
        <f>IFERROR(__xludf.DUMMYFUNCTION("""COMPUTED_VALUE"""),"")</f>
        <v/>
      </c>
      <c r="X8363" s="16" t="str">
        <f>IFERROR(__xludf.DUMMYFUNCTION("""COMPUTED_VALUE"""),"")</f>
        <v/>
      </c>
      <c r="AC8363" s="16" t="str">
        <f>IFERROR(__xludf.DUMMYFUNCTION("""COMPUTED_VALUE"""),"")</f>
        <v/>
      </c>
    </row>
    <row r="8364">
      <c r="A8364" s="16" t="s">
        <v>87</v>
      </c>
      <c r="E8364" s="16" t="str">
        <f>IFERROR(__xludf.DUMMYFUNCTION("""COMPUTED_VALUE"""),"")</f>
        <v/>
      </c>
      <c r="G8364" s="18"/>
      <c r="H8364" s="16" t="s">
        <v>87</v>
      </c>
      <c r="I8364" s="16" t="s">
        <v>87</v>
      </c>
      <c r="J8364" s="19"/>
      <c r="L8364" s="16" t="str">
        <f>IFERROR(__xludf.DUMMYFUNCTION("""COMPUTED_VALUE"""),"")</f>
        <v/>
      </c>
      <c r="M8364" s="16" t="str">
        <f>IFERROR(__xludf.DUMMYFUNCTION("""COMPUTED_VALUE"""),"")</f>
        <v/>
      </c>
      <c r="U8364" s="16" t="s">
        <v>87</v>
      </c>
      <c r="V8364" s="16" t="str">
        <f>IFERROR(__xludf.DUMMYFUNCTION("""COMPUTED_VALUE"""),"")</f>
        <v/>
      </c>
      <c r="W8364" s="16" t="str">
        <f>IFERROR(__xludf.DUMMYFUNCTION("""COMPUTED_VALUE"""),"")</f>
        <v/>
      </c>
      <c r="X8364" s="16" t="str">
        <f>IFERROR(__xludf.DUMMYFUNCTION("""COMPUTED_VALUE"""),"")</f>
        <v/>
      </c>
      <c r="AC8364" s="16" t="str">
        <f>IFERROR(__xludf.DUMMYFUNCTION("""COMPUTED_VALUE"""),"")</f>
        <v/>
      </c>
    </row>
    <row r="8365">
      <c r="A8365" s="16" t="s">
        <v>87</v>
      </c>
      <c r="E8365" s="16" t="str">
        <f>IFERROR(__xludf.DUMMYFUNCTION("""COMPUTED_VALUE"""),"")</f>
        <v/>
      </c>
      <c r="G8365" s="18"/>
      <c r="H8365" s="16" t="s">
        <v>87</v>
      </c>
      <c r="I8365" s="16" t="s">
        <v>87</v>
      </c>
      <c r="J8365" s="19"/>
      <c r="L8365" s="16" t="str">
        <f>IFERROR(__xludf.DUMMYFUNCTION("""COMPUTED_VALUE"""),"")</f>
        <v/>
      </c>
      <c r="M8365" s="16" t="str">
        <f>IFERROR(__xludf.DUMMYFUNCTION("""COMPUTED_VALUE"""),"")</f>
        <v/>
      </c>
      <c r="U8365" s="16" t="s">
        <v>87</v>
      </c>
      <c r="V8365" s="16" t="str">
        <f>IFERROR(__xludf.DUMMYFUNCTION("""COMPUTED_VALUE"""),"")</f>
        <v/>
      </c>
      <c r="W8365" s="16" t="str">
        <f>IFERROR(__xludf.DUMMYFUNCTION("""COMPUTED_VALUE"""),"")</f>
        <v/>
      </c>
      <c r="X8365" s="16" t="str">
        <f>IFERROR(__xludf.DUMMYFUNCTION("""COMPUTED_VALUE"""),"")</f>
        <v/>
      </c>
      <c r="AC8365" s="16" t="str">
        <f>IFERROR(__xludf.DUMMYFUNCTION("""COMPUTED_VALUE"""),"")</f>
        <v/>
      </c>
    </row>
    <row r="8366">
      <c r="A8366" s="16" t="s">
        <v>87</v>
      </c>
      <c r="E8366" s="16" t="str">
        <f>IFERROR(__xludf.DUMMYFUNCTION("""COMPUTED_VALUE"""),"")</f>
        <v/>
      </c>
      <c r="G8366" s="18"/>
      <c r="H8366" s="16" t="s">
        <v>87</v>
      </c>
      <c r="I8366" s="16" t="s">
        <v>87</v>
      </c>
      <c r="J8366" s="19"/>
      <c r="L8366" s="16" t="str">
        <f>IFERROR(__xludf.DUMMYFUNCTION("""COMPUTED_VALUE"""),"")</f>
        <v/>
      </c>
      <c r="M8366" s="16" t="str">
        <f>IFERROR(__xludf.DUMMYFUNCTION("""COMPUTED_VALUE"""),"")</f>
        <v/>
      </c>
      <c r="U8366" s="16" t="s">
        <v>87</v>
      </c>
      <c r="V8366" s="16" t="str">
        <f>IFERROR(__xludf.DUMMYFUNCTION("""COMPUTED_VALUE"""),"")</f>
        <v/>
      </c>
      <c r="W8366" s="16" t="str">
        <f>IFERROR(__xludf.DUMMYFUNCTION("""COMPUTED_VALUE"""),"")</f>
        <v/>
      </c>
      <c r="X8366" s="16" t="str">
        <f>IFERROR(__xludf.DUMMYFUNCTION("""COMPUTED_VALUE"""),"")</f>
        <v/>
      </c>
      <c r="AC8366" s="16" t="str">
        <f>IFERROR(__xludf.DUMMYFUNCTION("""COMPUTED_VALUE"""),"")</f>
        <v/>
      </c>
    </row>
    <row r="8367">
      <c r="A8367" s="16" t="s">
        <v>87</v>
      </c>
      <c r="E8367" s="16" t="str">
        <f>IFERROR(__xludf.DUMMYFUNCTION("""COMPUTED_VALUE"""),"")</f>
        <v/>
      </c>
      <c r="G8367" s="18"/>
      <c r="H8367" s="16" t="s">
        <v>87</v>
      </c>
      <c r="I8367" s="16" t="s">
        <v>87</v>
      </c>
      <c r="J8367" s="19"/>
      <c r="L8367" s="16" t="str">
        <f>IFERROR(__xludf.DUMMYFUNCTION("""COMPUTED_VALUE"""),"")</f>
        <v/>
      </c>
      <c r="M8367" s="16" t="str">
        <f>IFERROR(__xludf.DUMMYFUNCTION("""COMPUTED_VALUE"""),"")</f>
        <v/>
      </c>
      <c r="U8367" s="16" t="s">
        <v>87</v>
      </c>
      <c r="V8367" s="16" t="str">
        <f>IFERROR(__xludf.DUMMYFUNCTION("""COMPUTED_VALUE"""),"")</f>
        <v/>
      </c>
      <c r="W8367" s="16" t="str">
        <f>IFERROR(__xludf.DUMMYFUNCTION("""COMPUTED_VALUE"""),"")</f>
        <v/>
      </c>
      <c r="X8367" s="16" t="str">
        <f>IFERROR(__xludf.DUMMYFUNCTION("""COMPUTED_VALUE"""),"")</f>
        <v/>
      </c>
      <c r="AC8367" s="16" t="str">
        <f>IFERROR(__xludf.DUMMYFUNCTION("""COMPUTED_VALUE"""),"")</f>
        <v/>
      </c>
    </row>
    <row r="8368">
      <c r="A8368" s="16" t="s">
        <v>87</v>
      </c>
      <c r="E8368" s="16" t="str">
        <f>IFERROR(__xludf.DUMMYFUNCTION("""COMPUTED_VALUE"""),"")</f>
        <v/>
      </c>
      <c r="G8368" s="18"/>
      <c r="H8368" s="16" t="s">
        <v>87</v>
      </c>
      <c r="I8368" s="16" t="s">
        <v>87</v>
      </c>
      <c r="J8368" s="19"/>
      <c r="L8368" s="16" t="str">
        <f>IFERROR(__xludf.DUMMYFUNCTION("""COMPUTED_VALUE"""),"")</f>
        <v/>
      </c>
      <c r="M8368" s="16" t="str">
        <f>IFERROR(__xludf.DUMMYFUNCTION("""COMPUTED_VALUE"""),"")</f>
        <v/>
      </c>
      <c r="U8368" s="16" t="s">
        <v>87</v>
      </c>
      <c r="V8368" s="16" t="str">
        <f>IFERROR(__xludf.DUMMYFUNCTION("""COMPUTED_VALUE"""),"")</f>
        <v/>
      </c>
      <c r="W8368" s="16" t="str">
        <f>IFERROR(__xludf.DUMMYFUNCTION("""COMPUTED_VALUE"""),"")</f>
        <v/>
      </c>
      <c r="X8368" s="16" t="str">
        <f>IFERROR(__xludf.DUMMYFUNCTION("""COMPUTED_VALUE"""),"")</f>
        <v/>
      </c>
      <c r="AC8368" s="16" t="str">
        <f>IFERROR(__xludf.DUMMYFUNCTION("""COMPUTED_VALUE"""),"")</f>
        <v/>
      </c>
    </row>
    <row r="8369">
      <c r="A8369" s="16" t="s">
        <v>87</v>
      </c>
      <c r="E8369" s="16" t="str">
        <f>IFERROR(__xludf.DUMMYFUNCTION("""COMPUTED_VALUE"""),"")</f>
        <v/>
      </c>
      <c r="G8369" s="18"/>
      <c r="H8369" s="16" t="s">
        <v>87</v>
      </c>
      <c r="I8369" s="16" t="s">
        <v>87</v>
      </c>
      <c r="J8369" s="19"/>
      <c r="L8369" s="16" t="str">
        <f>IFERROR(__xludf.DUMMYFUNCTION("""COMPUTED_VALUE"""),"")</f>
        <v/>
      </c>
      <c r="M8369" s="16" t="str">
        <f>IFERROR(__xludf.DUMMYFUNCTION("""COMPUTED_VALUE"""),"")</f>
        <v/>
      </c>
      <c r="U8369" s="16" t="s">
        <v>87</v>
      </c>
      <c r="V8369" s="16" t="str">
        <f>IFERROR(__xludf.DUMMYFUNCTION("""COMPUTED_VALUE"""),"")</f>
        <v/>
      </c>
      <c r="W8369" s="16" t="str">
        <f>IFERROR(__xludf.DUMMYFUNCTION("""COMPUTED_VALUE"""),"")</f>
        <v/>
      </c>
      <c r="X8369" s="16" t="str">
        <f>IFERROR(__xludf.DUMMYFUNCTION("""COMPUTED_VALUE"""),"")</f>
        <v/>
      </c>
      <c r="AC8369" s="16" t="str">
        <f>IFERROR(__xludf.DUMMYFUNCTION("""COMPUTED_VALUE"""),"")</f>
        <v/>
      </c>
    </row>
    <row r="8370">
      <c r="A8370" s="16" t="s">
        <v>87</v>
      </c>
      <c r="E8370" s="16" t="str">
        <f>IFERROR(__xludf.DUMMYFUNCTION("""COMPUTED_VALUE"""),"")</f>
        <v/>
      </c>
      <c r="G8370" s="18"/>
      <c r="H8370" s="16" t="s">
        <v>87</v>
      </c>
      <c r="I8370" s="16" t="s">
        <v>87</v>
      </c>
      <c r="J8370" s="19"/>
      <c r="L8370" s="16" t="str">
        <f>IFERROR(__xludf.DUMMYFUNCTION("""COMPUTED_VALUE"""),"")</f>
        <v/>
      </c>
      <c r="M8370" s="16" t="str">
        <f>IFERROR(__xludf.DUMMYFUNCTION("""COMPUTED_VALUE"""),"")</f>
        <v/>
      </c>
      <c r="U8370" s="16" t="s">
        <v>87</v>
      </c>
      <c r="V8370" s="16" t="str">
        <f>IFERROR(__xludf.DUMMYFUNCTION("""COMPUTED_VALUE"""),"")</f>
        <v/>
      </c>
      <c r="W8370" s="16" t="str">
        <f>IFERROR(__xludf.DUMMYFUNCTION("""COMPUTED_VALUE"""),"")</f>
        <v/>
      </c>
      <c r="X8370" s="16" t="str">
        <f>IFERROR(__xludf.DUMMYFUNCTION("""COMPUTED_VALUE"""),"")</f>
        <v/>
      </c>
      <c r="AC8370" s="16" t="str">
        <f>IFERROR(__xludf.DUMMYFUNCTION("""COMPUTED_VALUE"""),"")</f>
        <v/>
      </c>
    </row>
    <row r="8371">
      <c r="A8371" s="16" t="s">
        <v>87</v>
      </c>
      <c r="E8371" s="16" t="str">
        <f>IFERROR(__xludf.DUMMYFUNCTION("""COMPUTED_VALUE"""),"")</f>
        <v/>
      </c>
      <c r="G8371" s="18"/>
      <c r="H8371" s="16" t="s">
        <v>87</v>
      </c>
      <c r="I8371" s="16" t="s">
        <v>87</v>
      </c>
      <c r="J8371" s="19"/>
      <c r="L8371" s="16" t="str">
        <f>IFERROR(__xludf.DUMMYFUNCTION("""COMPUTED_VALUE"""),"")</f>
        <v/>
      </c>
      <c r="M8371" s="16" t="str">
        <f>IFERROR(__xludf.DUMMYFUNCTION("""COMPUTED_VALUE"""),"")</f>
        <v/>
      </c>
      <c r="U8371" s="16" t="s">
        <v>87</v>
      </c>
      <c r="V8371" s="16" t="str">
        <f>IFERROR(__xludf.DUMMYFUNCTION("""COMPUTED_VALUE"""),"")</f>
        <v/>
      </c>
      <c r="W8371" s="16" t="str">
        <f>IFERROR(__xludf.DUMMYFUNCTION("""COMPUTED_VALUE"""),"")</f>
        <v/>
      </c>
      <c r="X8371" s="16" t="str">
        <f>IFERROR(__xludf.DUMMYFUNCTION("""COMPUTED_VALUE"""),"")</f>
        <v/>
      </c>
      <c r="AC8371" s="16" t="str">
        <f>IFERROR(__xludf.DUMMYFUNCTION("""COMPUTED_VALUE"""),"")</f>
        <v/>
      </c>
    </row>
    <row r="8372">
      <c r="A8372" s="16" t="s">
        <v>87</v>
      </c>
      <c r="E8372" s="16" t="str">
        <f>IFERROR(__xludf.DUMMYFUNCTION("""COMPUTED_VALUE"""),"")</f>
        <v/>
      </c>
      <c r="G8372" s="18"/>
      <c r="H8372" s="16" t="s">
        <v>87</v>
      </c>
      <c r="I8372" s="16" t="s">
        <v>87</v>
      </c>
      <c r="J8372" s="19"/>
      <c r="L8372" s="16" t="str">
        <f>IFERROR(__xludf.DUMMYFUNCTION("""COMPUTED_VALUE"""),"")</f>
        <v/>
      </c>
      <c r="M8372" s="16" t="str">
        <f>IFERROR(__xludf.DUMMYFUNCTION("""COMPUTED_VALUE"""),"")</f>
        <v/>
      </c>
      <c r="U8372" s="16" t="s">
        <v>87</v>
      </c>
      <c r="V8372" s="16" t="str">
        <f>IFERROR(__xludf.DUMMYFUNCTION("""COMPUTED_VALUE"""),"")</f>
        <v/>
      </c>
      <c r="W8372" s="16" t="str">
        <f>IFERROR(__xludf.DUMMYFUNCTION("""COMPUTED_VALUE"""),"")</f>
        <v/>
      </c>
      <c r="X8372" s="16" t="str">
        <f>IFERROR(__xludf.DUMMYFUNCTION("""COMPUTED_VALUE"""),"")</f>
        <v/>
      </c>
      <c r="AC8372" s="16" t="str">
        <f>IFERROR(__xludf.DUMMYFUNCTION("""COMPUTED_VALUE"""),"")</f>
        <v/>
      </c>
    </row>
    <row r="8373">
      <c r="A8373" s="16" t="s">
        <v>87</v>
      </c>
      <c r="E8373" s="16" t="str">
        <f>IFERROR(__xludf.DUMMYFUNCTION("""COMPUTED_VALUE"""),"")</f>
        <v/>
      </c>
      <c r="G8373" s="18"/>
      <c r="H8373" s="16" t="s">
        <v>87</v>
      </c>
      <c r="I8373" s="16" t="s">
        <v>87</v>
      </c>
      <c r="J8373" s="19"/>
      <c r="L8373" s="16" t="str">
        <f>IFERROR(__xludf.DUMMYFUNCTION("""COMPUTED_VALUE"""),"")</f>
        <v/>
      </c>
      <c r="M8373" s="16" t="str">
        <f>IFERROR(__xludf.DUMMYFUNCTION("""COMPUTED_VALUE"""),"")</f>
        <v/>
      </c>
      <c r="U8373" s="16" t="s">
        <v>87</v>
      </c>
      <c r="V8373" s="16" t="str">
        <f>IFERROR(__xludf.DUMMYFUNCTION("""COMPUTED_VALUE"""),"")</f>
        <v/>
      </c>
      <c r="W8373" s="16" t="str">
        <f>IFERROR(__xludf.DUMMYFUNCTION("""COMPUTED_VALUE"""),"")</f>
        <v/>
      </c>
      <c r="X8373" s="16" t="str">
        <f>IFERROR(__xludf.DUMMYFUNCTION("""COMPUTED_VALUE"""),"")</f>
        <v/>
      </c>
      <c r="AC8373" s="16" t="str">
        <f>IFERROR(__xludf.DUMMYFUNCTION("""COMPUTED_VALUE"""),"")</f>
        <v/>
      </c>
    </row>
    <row r="8374">
      <c r="A8374" s="16" t="s">
        <v>87</v>
      </c>
      <c r="E8374" s="16" t="str">
        <f>IFERROR(__xludf.DUMMYFUNCTION("""COMPUTED_VALUE"""),"")</f>
        <v/>
      </c>
      <c r="G8374" s="18"/>
      <c r="H8374" s="16" t="s">
        <v>87</v>
      </c>
      <c r="I8374" s="16" t="s">
        <v>87</v>
      </c>
      <c r="J8374" s="19"/>
      <c r="L8374" s="16" t="str">
        <f>IFERROR(__xludf.DUMMYFUNCTION("""COMPUTED_VALUE"""),"")</f>
        <v/>
      </c>
      <c r="M8374" s="16" t="str">
        <f>IFERROR(__xludf.DUMMYFUNCTION("""COMPUTED_VALUE"""),"")</f>
        <v/>
      </c>
      <c r="U8374" s="16" t="s">
        <v>87</v>
      </c>
      <c r="V8374" s="16" t="str">
        <f>IFERROR(__xludf.DUMMYFUNCTION("""COMPUTED_VALUE"""),"")</f>
        <v/>
      </c>
      <c r="W8374" s="16" t="str">
        <f>IFERROR(__xludf.DUMMYFUNCTION("""COMPUTED_VALUE"""),"")</f>
        <v/>
      </c>
      <c r="X8374" s="16" t="str">
        <f>IFERROR(__xludf.DUMMYFUNCTION("""COMPUTED_VALUE"""),"")</f>
        <v/>
      </c>
      <c r="AC8374" s="16" t="str">
        <f>IFERROR(__xludf.DUMMYFUNCTION("""COMPUTED_VALUE"""),"")</f>
        <v/>
      </c>
    </row>
    <row r="8375">
      <c r="A8375" s="16" t="s">
        <v>87</v>
      </c>
      <c r="E8375" s="16" t="str">
        <f>IFERROR(__xludf.DUMMYFUNCTION("""COMPUTED_VALUE"""),"")</f>
        <v/>
      </c>
      <c r="G8375" s="18"/>
      <c r="H8375" s="16" t="s">
        <v>87</v>
      </c>
      <c r="I8375" s="16" t="s">
        <v>87</v>
      </c>
      <c r="J8375" s="19"/>
      <c r="L8375" s="16" t="str">
        <f>IFERROR(__xludf.DUMMYFUNCTION("""COMPUTED_VALUE"""),"")</f>
        <v/>
      </c>
      <c r="M8375" s="16" t="str">
        <f>IFERROR(__xludf.DUMMYFUNCTION("""COMPUTED_VALUE"""),"")</f>
        <v/>
      </c>
      <c r="U8375" s="16" t="s">
        <v>87</v>
      </c>
      <c r="V8375" s="16" t="str">
        <f>IFERROR(__xludf.DUMMYFUNCTION("""COMPUTED_VALUE"""),"")</f>
        <v/>
      </c>
      <c r="W8375" s="16" t="str">
        <f>IFERROR(__xludf.DUMMYFUNCTION("""COMPUTED_VALUE"""),"")</f>
        <v/>
      </c>
      <c r="X8375" s="16" t="str">
        <f>IFERROR(__xludf.DUMMYFUNCTION("""COMPUTED_VALUE"""),"")</f>
        <v/>
      </c>
      <c r="AC8375" s="16" t="str">
        <f>IFERROR(__xludf.DUMMYFUNCTION("""COMPUTED_VALUE"""),"")</f>
        <v/>
      </c>
    </row>
    <row r="8376">
      <c r="A8376" s="16" t="s">
        <v>87</v>
      </c>
      <c r="E8376" s="16" t="str">
        <f>IFERROR(__xludf.DUMMYFUNCTION("""COMPUTED_VALUE"""),"")</f>
        <v/>
      </c>
      <c r="G8376" s="18"/>
      <c r="H8376" s="16" t="s">
        <v>87</v>
      </c>
      <c r="I8376" s="16" t="s">
        <v>87</v>
      </c>
      <c r="J8376" s="19"/>
      <c r="L8376" s="16" t="str">
        <f>IFERROR(__xludf.DUMMYFUNCTION("""COMPUTED_VALUE"""),"")</f>
        <v/>
      </c>
      <c r="M8376" s="16" t="str">
        <f>IFERROR(__xludf.DUMMYFUNCTION("""COMPUTED_VALUE"""),"")</f>
        <v/>
      </c>
      <c r="U8376" s="16" t="s">
        <v>87</v>
      </c>
      <c r="V8376" s="16" t="str">
        <f>IFERROR(__xludf.DUMMYFUNCTION("""COMPUTED_VALUE"""),"")</f>
        <v/>
      </c>
      <c r="W8376" s="16" t="str">
        <f>IFERROR(__xludf.DUMMYFUNCTION("""COMPUTED_VALUE"""),"")</f>
        <v/>
      </c>
      <c r="X8376" s="16" t="str">
        <f>IFERROR(__xludf.DUMMYFUNCTION("""COMPUTED_VALUE"""),"")</f>
        <v/>
      </c>
      <c r="AC8376" s="16" t="str">
        <f>IFERROR(__xludf.DUMMYFUNCTION("""COMPUTED_VALUE"""),"")</f>
        <v/>
      </c>
    </row>
    <row r="8377">
      <c r="A8377" s="16" t="s">
        <v>87</v>
      </c>
      <c r="E8377" s="16" t="str">
        <f>IFERROR(__xludf.DUMMYFUNCTION("""COMPUTED_VALUE"""),"")</f>
        <v/>
      </c>
      <c r="G8377" s="18"/>
      <c r="H8377" s="16" t="s">
        <v>87</v>
      </c>
      <c r="I8377" s="16" t="s">
        <v>87</v>
      </c>
      <c r="J8377" s="19"/>
      <c r="L8377" s="16" t="str">
        <f>IFERROR(__xludf.DUMMYFUNCTION("""COMPUTED_VALUE"""),"")</f>
        <v/>
      </c>
      <c r="M8377" s="16" t="str">
        <f>IFERROR(__xludf.DUMMYFUNCTION("""COMPUTED_VALUE"""),"")</f>
        <v/>
      </c>
      <c r="U8377" s="16" t="s">
        <v>87</v>
      </c>
      <c r="V8377" s="16" t="str">
        <f>IFERROR(__xludf.DUMMYFUNCTION("""COMPUTED_VALUE"""),"")</f>
        <v/>
      </c>
      <c r="W8377" s="16" t="str">
        <f>IFERROR(__xludf.DUMMYFUNCTION("""COMPUTED_VALUE"""),"")</f>
        <v/>
      </c>
      <c r="X8377" s="16" t="str">
        <f>IFERROR(__xludf.DUMMYFUNCTION("""COMPUTED_VALUE"""),"")</f>
        <v/>
      </c>
      <c r="AC8377" s="16" t="str">
        <f>IFERROR(__xludf.DUMMYFUNCTION("""COMPUTED_VALUE"""),"")</f>
        <v/>
      </c>
    </row>
    <row r="8378">
      <c r="A8378" s="16" t="s">
        <v>87</v>
      </c>
      <c r="E8378" s="16" t="str">
        <f>IFERROR(__xludf.DUMMYFUNCTION("""COMPUTED_VALUE"""),"")</f>
        <v/>
      </c>
      <c r="G8378" s="18"/>
      <c r="H8378" s="16" t="s">
        <v>87</v>
      </c>
      <c r="I8378" s="16" t="s">
        <v>87</v>
      </c>
      <c r="J8378" s="19"/>
      <c r="L8378" s="16" t="str">
        <f>IFERROR(__xludf.DUMMYFUNCTION("""COMPUTED_VALUE"""),"")</f>
        <v/>
      </c>
      <c r="M8378" s="16" t="str">
        <f>IFERROR(__xludf.DUMMYFUNCTION("""COMPUTED_VALUE"""),"")</f>
        <v/>
      </c>
      <c r="U8378" s="16" t="s">
        <v>87</v>
      </c>
      <c r="V8378" s="16" t="str">
        <f>IFERROR(__xludf.DUMMYFUNCTION("""COMPUTED_VALUE"""),"")</f>
        <v/>
      </c>
      <c r="W8378" s="16" t="str">
        <f>IFERROR(__xludf.DUMMYFUNCTION("""COMPUTED_VALUE"""),"")</f>
        <v/>
      </c>
      <c r="X8378" s="16" t="str">
        <f>IFERROR(__xludf.DUMMYFUNCTION("""COMPUTED_VALUE"""),"")</f>
        <v/>
      </c>
      <c r="AC8378" s="16" t="str">
        <f>IFERROR(__xludf.DUMMYFUNCTION("""COMPUTED_VALUE"""),"")</f>
        <v/>
      </c>
    </row>
    <row r="8379">
      <c r="A8379" s="16" t="s">
        <v>87</v>
      </c>
      <c r="E8379" s="16" t="str">
        <f>IFERROR(__xludf.DUMMYFUNCTION("""COMPUTED_VALUE"""),"")</f>
        <v/>
      </c>
      <c r="G8379" s="18"/>
      <c r="H8379" s="16" t="s">
        <v>87</v>
      </c>
      <c r="I8379" s="16" t="s">
        <v>87</v>
      </c>
      <c r="J8379" s="19"/>
      <c r="L8379" s="16" t="str">
        <f>IFERROR(__xludf.DUMMYFUNCTION("""COMPUTED_VALUE"""),"")</f>
        <v/>
      </c>
      <c r="M8379" s="16" t="str">
        <f>IFERROR(__xludf.DUMMYFUNCTION("""COMPUTED_VALUE"""),"")</f>
        <v/>
      </c>
      <c r="U8379" s="16" t="s">
        <v>87</v>
      </c>
      <c r="V8379" s="16" t="str">
        <f>IFERROR(__xludf.DUMMYFUNCTION("""COMPUTED_VALUE"""),"")</f>
        <v/>
      </c>
      <c r="W8379" s="16" t="str">
        <f>IFERROR(__xludf.DUMMYFUNCTION("""COMPUTED_VALUE"""),"")</f>
        <v/>
      </c>
      <c r="X8379" s="16" t="str">
        <f>IFERROR(__xludf.DUMMYFUNCTION("""COMPUTED_VALUE"""),"")</f>
        <v/>
      </c>
      <c r="AC8379" s="16" t="str">
        <f>IFERROR(__xludf.DUMMYFUNCTION("""COMPUTED_VALUE"""),"")</f>
        <v/>
      </c>
    </row>
    <row r="8380">
      <c r="A8380" s="16" t="s">
        <v>87</v>
      </c>
      <c r="E8380" s="16" t="str">
        <f>IFERROR(__xludf.DUMMYFUNCTION("""COMPUTED_VALUE"""),"")</f>
        <v/>
      </c>
      <c r="G8380" s="18"/>
      <c r="H8380" s="16" t="s">
        <v>87</v>
      </c>
      <c r="I8380" s="16" t="s">
        <v>87</v>
      </c>
      <c r="J8380" s="19"/>
      <c r="L8380" s="16" t="str">
        <f>IFERROR(__xludf.DUMMYFUNCTION("""COMPUTED_VALUE"""),"")</f>
        <v/>
      </c>
      <c r="M8380" s="16" t="str">
        <f>IFERROR(__xludf.DUMMYFUNCTION("""COMPUTED_VALUE"""),"")</f>
        <v/>
      </c>
      <c r="U8380" s="16" t="s">
        <v>87</v>
      </c>
      <c r="V8380" s="16" t="str">
        <f>IFERROR(__xludf.DUMMYFUNCTION("""COMPUTED_VALUE"""),"")</f>
        <v/>
      </c>
      <c r="W8380" s="16" t="str">
        <f>IFERROR(__xludf.DUMMYFUNCTION("""COMPUTED_VALUE"""),"")</f>
        <v/>
      </c>
      <c r="X8380" s="16" t="str">
        <f>IFERROR(__xludf.DUMMYFUNCTION("""COMPUTED_VALUE"""),"")</f>
        <v/>
      </c>
      <c r="AC8380" s="16" t="str">
        <f>IFERROR(__xludf.DUMMYFUNCTION("""COMPUTED_VALUE"""),"")</f>
        <v/>
      </c>
    </row>
    <row r="8381">
      <c r="A8381" s="16" t="s">
        <v>87</v>
      </c>
      <c r="E8381" s="16" t="str">
        <f>IFERROR(__xludf.DUMMYFUNCTION("""COMPUTED_VALUE"""),"")</f>
        <v/>
      </c>
      <c r="G8381" s="18"/>
      <c r="H8381" s="16" t="s">
        <v>87</v>
      </c>
      <c r="I8381" s="16" t="s">
        <v>87</v>
      </c>
      <c r="J8381" s="19"/>
      <c r="L8381" s="16" t="str">
        <f>IFERROR(__xludf.DUMMYFUNCTION("""COMPUTED_VALUE"""),"")</f>
        <v/>
      </c>
      <c r="M8381" s="16" t="str">
        <f>IFERROR(__xludf.DUMMYFUNCTION("""COMPUTED_VALUE"""),"")</f>
        <v/>
      </c>
      <c r="U8381" s="16" t="s">
        <v>87</v>
      </c>
      <c r="V8381" s="16" t="str">
        <f>IFERROR(__xludf.DUMMYFUNCTION("""COMPUTED_VALUE"""),"")</f>
        <v/>
      </c>
      <c r="W8381" s="16" t="str">
        <f>IFERROR(__xludf.DUMMYFUNCTION("""COMPUTED_VALUE"""),"")</f>
        <v/>
      </c>
      <c r="X8381" s="16" t="str">
        <f>IFERROR(__xludf.DUMMYFUNCTION("""COMPUTED_VALUE"""),"")</f>
        <v/>
      </c>
      <c r="AC8381" s="16" t="str">
        <f>IFERROR(__xludf.DUMMYFUNCTION("""COMPUTED_VALUE"""),"")</f>
        <v/>
      </c>
    </row>
    <row r="8382">
      <c r="A8382" s="16" t="s">
        <v>87</v>
      </c>
      <c r="E8382" s="16" t="str">
        <f>IFERROR(__xludf.DUMMYFUNCTION("""COMPUTED_VALUE"""),"")</f>
        <v/>
      </c>
      <c r="G8382" s="18"/>
      <c r="H8382" s="16" t="s">
        <v>87</v>
      </c>
      <c r="I8382" s="16" t="s">
        <v>87</v>
      </c>
      <c r="J8382" s="19"/>
      <c r="L8382" s="16" t="str">
        <f>IFERROR(__xludf.DUMMYFUNCTION("""COMPUTED_VALUE"""),"")</f>
        <v/>
      </c>
      <c r="M8382" s="16" t="str">
        <f>IFERROR(__xludf.DUMMYFUNCTION("""COMPUTED_VALUE"""),"")</f>
        <v/>
      </c>
      <c r="U8382" s="16" t="s">
        <v>87</v>
      </c>
      <c r="V8382" s="16" t="str">
        <f>IFERROR(__xludf.DUMMYFUNCTION("""COMPUTED_VALUE"""),"")</f>
        <v/>
      </c>
      <c r="W8382" s="16" t="str">
        <f>IFERROR(__xludf.DUMMYFUNCTION("""COMPUTED_VALUE"""),"")</f>
        <v/>
      </c>
      <c r="X8382" s="16" t="str">
        <f>IFERROR(__xludf.DUMMYFUNCTION("""COMPUTED_VALUE"""),"")</f>
        <v/>
      </c>
      <c r="AC8382" s="16" t="str">
        <f>IFERROR(__xludf.DUMMYFUNCTION("""COMPUTED_VALUE"""),"")</f>
        <v/>
      </c>
    </row>
    <row r="8383">
      <c r="A8383" s="16" t="s">
        <v>87</v>
      </c>
      <c r="E8383" s="16" t="str">
        <f>IFERROR(__xludf.DUMMYFUNCTION("""COMPUTED_VALUE"""),"")</f>
        <v/>
      </c>
      <c r="G8383" s="18"/>
      <c r="H8383" s="16" t="s">
        <v>87</v>
      </c>
      <c r="I8383" s="16" t="s">
        <v>87</v>
      </c>
      <c r="J8383" s="19"/>
      <c r="L8383" s="16" t="str">
        <f>IFERROR(__xludf.DUMMYFUNCTION("""COMPUTED_VALUE"""),"")</f>
        <v/>
      </c>
      <c r="M8383" s="16" t="str">
        <f>IFERROR(__xludf.DUMMYFUNCTION("""COMPUTED_VALUE"""),"")</f>
        <v/>
      </c>
      <c r="U8383" s="16" t="s">
        <v>87</v>
      </c>
      <c r="V8383" s="16" t="str">
        <f>IFERROR(__xludf.DUMMYFUNCTION("""COMPUTED_VALUE"""),"")</f>
        <v/>
      </c>
      <c r="W8383" s="16" t="str">
        <f>IFERROR(__xludf.DUMMYFUNCTION("""COMPUTED_VALUE"""),"")</f>
        <v/>
      </c>
      <c r="X8383" s="16" t="str">
        <f>IFERROR(__xludf.DUMMYFUNCTION("""COMPUTED_VALUE"""),"")</f>
        <v/>
      </c>
      <c r="AC8383" s="16" t="str">
        <f>IFERROR(__xludf.DUMMYFUNCTION("""COMPUTED_VALUE"""),"")</f>
        <v/>
      </c>
    </row>
    <row r="8384">
      <c r="A8384" s="16" t="s">
        <v>87</v>
      </c>
      <c r="E8384" s="16" t="str">
        <f>IFERROR(__xludf.DUMMYFUNCTION("""COMPUTED_VALUE"""),"")</f>
        <v/>
      </c>
      <c r="G8384" s="18"/>
      <c r="H8384" s="16" t="s">
        <v>87</v>
      </c>
      <c r="I8384" s="16" t="s">
        <v>87</v>
      </c>
      <c r="J8384" s="19"/>
      <c r="L8384" s="16" t="str">
        <f>IFERROR(__xludf.DUMMYFUNCTION("""COMPUTED_VALUE"""),"")</f>
        <v/>
      </c>
      <c r="M8384" s="16" t="str">
        <f>IFERROR(__xludf.DUMMYFUNCTION("""COMPUTED_VALUE"""),"")</f>
        <v/>
      </c>
      <c r="U8384" s="16" t="s">
        <v>87</v>
      </c>
      <c r="V8384" s="16" t="str">
        <f>IFERROR(__xludf.DUMMYFUNCTION("""COMPUTED_VALUE"""),"")</f>
        <v/>
      </c>
      <c r="W8384" s="16" t="str">
        <f>IFERROR(__xludf.DUMMYFUNCTION("""COMPUTED_VALUE"""),"")</f>
        <v/>
      </c>
      <c r="X8384" s="16" t="str">
        <f>IFERROR(__xludf.DUMMYFUNCTION("""COMPUTED_VALUE"""),"")</f>
        <v/>
      </c>
      <c r="AC8384" s="16" t="str">
        <f>IFERROR(__xludf.DUMMYFUNCTION("""COMPUTED_VALUE"""),"")</f>
        <v/>
      </c>
    </row>
    <row r="8385">
      <c r="A8385" s="16" t="s">
        <v>87</v>
      </c>
      <c r="E8385" s="16" t="str">
        <f>IFERROR(__xludf.DUMMYFUNCTION("""COMPUTED_VALUE"""),"")</f>
        <v/>
      </c>
      <c r="G8385" s="18"/>
      <c r="H8385" s="16" t="s">
        <v>87</v>
      </c>
      <c r="I8385" s="16" t="s">
        <v>87</v>
      </c>
      <c r="J8385" s="19"/>
      <c r="L8385" s="16" t="str">
        <f>IFERROR(__xludf.DUMMYFUNCTION("""COMPUTED_VALUE"""),"")</f>
        <v/>
      </c>
      <c r="M8385" s="16" t="str">
        <f>IFERROR(__xludf.DUMMYFUNCTION("""COMPUTED_VALUE"""),"")</f>
        <v/>
      </c>
      <c r="U8385" s="16" t="s">
        <v>87</v>
      </c>
      <c r="V8385" s="16" t="str">
        <f>IFERROR(__xludf.DUMMYFUNCTION("""COMPUTED_VALUE"""),"")</f>
        <v/>
      </c>
      <c r="W8385" s="16" t="str">
        <f>IFERROR(__xludf.DUMMYFUNCTION("""COMPUTED_VALUE"""),"")</f>
        <v/>
      </c>
      <c r="X8385" s="16" t="str">
        <f>IFERROR(__xludf.DUMMYFUNCTION("""COMPUTED_VALUE"""),"")</f>
        <v/>
      </c>
      <c r="AC8385" s="16" t="str">
        <f>IFERROR(__xludf.DUMMYFUNCTION("""COMPUTED_VALUE"""),"")</f>
        <v/>
      </c>
    </row>
    <row r="8386">
      <c r="A8386" s="16" t="s">
        <v>87</v>
      </c>
      <c r="E8386" s="16" t="str">
        <f>IFERROR(__xludf.DUMMYFUNCTION("""COMPUTED_VALUE"""),"")</f>
        <v/>
      </c>
      <c r="G8386" s="18"/>
      <c r="H8386" s="16" t="s">
        <v>87</v>
      </c>
      <c r="I8386" s="16" t="s">
        <v>87</v>
      </c>
      <c r="J8386" s="19"/>
      <c r="L8386" s="16" t="str">
        <f>IFERROR(__xludf.DUMMYFUNCTION("""COMPUTED_VALUE"""),"")</f>
        <v/>
      </c>
      <c r="M8386" s="16" t="str">
        <f>IFERROR(__xludf.DUMMYFUNCTION("""COMPUTED_VALUE"""),"")</f>
        <v/>
      </c>
      <c r="U8386" s="16" t="s">
        <v>87</v>
      </c>
      <c r="V8386" s="16" t="str">
        <f>IFERROR(__xludf.DUMMYFUNCTION("""COMPUTED_VALUE"""),"")</f>
        <v/>
      </c>
      <c r="W8386" s="16" t="str">
        <f>IFERROR(__xludf.DUMMYFUNCTION("""COMPUTED_VALUE"""),"")</f>
        <v/>
      </c>
      <c r="X8386" s="16" t="str">
        <f>IFERROR(__xludf.DUMMYFUNCTION("""COMPUTED_VALUE"""),"")</f>
        <v/>
      </c>
      <c r="AC8386" s="16" t="str">
        <f>IFERROR(__xludf.DUMMYFUNCTION("""COMPUTED_VALUE"""),"")</f>
        <v/>
      </c>
    </row>
    <row r="8387">
      <c r="A8387" s="16" t="s">
        <v>87</v>
      </c>
      <c r="E8387" s="16" t="str">
        <f>IFERROR(__xludf.DUMMYFUNCTION("""COMPUTED_VALUE"""),"")</f>
        <v/>
      </c>
      <c r="G8387" s="18"/>
      <c r="H8387" s="16" t="s">
        <v>87</v>
      </c>
      <c r="I8387" s="16" t="s">
        <v>87</v>
      </c>
      <c r="J8387" s="19"/>
      <c r="L8387" s="16" t="str">
        <f>IFERROR(__xludf.DUMMYFUNCTION("""COMPUTED_VALUE"""),"")</f>
        <v/>
      </c>
      <c r="M8387" s="16" t="str">
        <f>IFERROR(__xludf.DUMMYFUNCTION("""COMPUTED_VALUE"""),"")</f>
        <v/>
      </c>
      <c r="U8387" s="16" t="s">
        <v>87</v>
      </c>
      <c r="V8387" s="16" t="str">
        <f>IFERROR(__xludf.DUMMYFUNCTION("""COMPUTED_VALUE"""),"")</f>
        <v/>
      </c>
      <c r="W8387" s="16" t="str">
        <f>IFERROR(__xludf.DUMMYFUNCTION("""COMPUTED_VALUE"""),"")</f>
        <v/>
      </c>
      <c r="X8387" s="16" t="str">
        <f>IFERROR(__xludf.DUMMYFUNCTION("""COMPUTED_VALUE"""),"")</f>
        <v/>
      </c>
      <c r="AC8387" s="16" t="str">
        <f>IFERROR(__xludf.DUMMYFUNCTION("""COMPUTED_VALUE"""),"")</f>
        <v/>
      </c>
    </row>
    <row r="8388">
      <c r="A8388" s="16" t="s">
        <v>87</v>
      </c>
      <c r="E8388" s="16" t="str">
        <f>IFERROR(__xludf.DUMMYFUNCTION("""COMPUTED_VALUE"""),"")</f>
        <v/>
      </c>
      <c r="G8388" s="18"/>
      <c r="H8388" s="16" t="s">
        <v>87</v>
      </c>
      <c r="I8388" s="16" t="s">
        <v>87</v>
      </c>
      <c r="J8388" s="19"/>
      <c r="L8388" s="16" t="str">
        <f>IFERROR(__xludf.DUMMYFUNCTION("""COMPUTED_VALUE"""),"")</f>
        <v/>
      </c>
      <c r="M8388" s="16" t="str">
        <f>IFERROR(__xludf.DUMMYFUNCTION("""COMPUTED_VALUE"""),"")</f>
        <v/>
      </c>
      <c r="U8388" s="16" t="s">
        <v>87</v>
      </c>
      <c r="V8388" s="16" t="str">
        <f>IFERROR(__xludf.DUMMYFUNCTION("""COMPUTED_VALUE"""),"")</f>
        <v/>
      </c>
      <c r="W8388" s="16" t="str">
        <f>IFERROR(__xludf.DUMMYFUNCTION("""COMPUTED_VALUE"""),"")</f>
        <v/>
      </c>
      <c r="X8388" s="16" t="str">
        <f>IFERROR(__xludf.DUMMYFUNCTION("""COMPUTED_VALUE"""),"")</f>
        <v/>
      </c>
      <c r="AC8388" s="16" t="str">
        <f>IFERROR(__xludf.DUMMYFUNCTION("""COMPUTED_VALUE"""),"")</f>
        <v/>
      </c>
    </row>
    <row r="8389">
      <c r="A8389" s="16" t="s">
        <v>87</v>
      </c>
      <c r="E8389" s="16" t="str">
        <f>IFERROR(__xludf.DUMMYFUNCTION("""COMPUTED_VALUE"""),"")</f>
        <v/>
      </c>
      <c r="G8389" s="18"/>
      <c r="H8389" s="16" t="s">
        <v>87</v>
      </c>
      <c r="I8389" s="16" t="s">
        <v>87</v>
      </c>
      <c r="J8389" s="19"/>
      <c r="L8389" s="16" t="str">
        <f>IFERROR(__xludf.DUMMYFUNCTION("""COMPUTED_VALUE"""),"")</f>
        <v/>
      </c>
      <c r="M8389" s="16" t="str">
        <f>IFERROR(__xludf.DUMMYFUNCTION("""COMPUTED_VALUE"""),"")</f>
        <v/>
      </c>
      <c r="U8389" s="16" t="s">
        <v>87</v>
      </c>
      <c r="V8389" s="16" t="str">
        <f>IFERROR(__xludf.DUMMYFUNCTION("""COMPUTED_VALUE"""),"")</f>
        <v/>
      </c>
      <c r="W8389" s="16" t="str">
        <f>IFERROR(__xludf.DUMMYFUNCTION("""COMPUTED_VALUE"""),"")</f>
        <v/>
      </c>
      <c r="X8389" s="16" t="str">
        <f>IFERROR(__xludf.DUMMYFUNCTION("""COMPUTED_VALUE"""),"")</f>
        <v/>
      </c>
      <c r="AC8389" s="16" t="str">
        <f>IFERROR(__xludf.DUMMYFUNCTION("""COMPUTED_VALUE"""),"")</f>
        <v/>
      </c>
    </row>
    <row r="8390">
      <c r="A8390" s="16" t="s">
        <v>87</v>
      </c>
      <c r="E8390" s="16" t="str">
        <f>IFERROR(__xludf.DUMMYFUNCTION("""COMPUTED_VALUE"""),"")</f>
        <v/>
      </c>
      <c r="G8390" s="18"/>
      <c r="H8390" s="16" t="s">
        <v>87</v>
      </c>
      <c r="I8390" s="16" t="s">
        <v>87</v>
      </c>
      <c r="J8390" s="19"/>
      <c r="L8390" s="16" t="str">
        <f>IFERROR(__xludf.DUMMYFUNCTION("""COMPUTED_VALUE"""),"")</f>
        <v/>
      </c>
      <c r="M8390" s="16" t="str">
        <f>IFERROR(__xludf.DUMMYFUNCTION("""COMPUTED_VALUE"""),"")</f>
        <v/>
      </c>
      <c r="U8390" s="16" t="s">
        <v>87</v>
      </c>
      <c r="V8390" s="16" t="str">
        <f>IFERROR(__xludf.DUMMYFUNCTION("""COMPUTED_VALUE"""),"")</f>
        <v/>
      </c>
      <c r="W8390" s="16" t="str">
        <f>IFERROR(__xludf.DUMMYFUNCTION("""COMPUTED_VALUE"""),"")</f>
        <v/>
      </c>
      <c r="X8390" s="16" t="str">
        <f>IFERROR(__xludf.DUMMYFUNCTION("""COMPUTED_VALUE"""),"")</f>
        <v/>
      </c>
      <c r="AC8390" s="16" t="str">
        <f>IFERROR(__xludf.DUMMYFUNCTION("""COMPUTED_VALUE"""),"")</f>
        <v/>
      </c>
    </row>
    <row r="8391">
      <c r="A8391" s="16" t="s">
        <v>87</v>
      </c>
      <c r="E8391" s="16" t="str">
        <f>IFERROR(__xludf.DUMMYFUNCTION("""COMPUTED_VALUE"""),"")</f>
        <v/>
      </c>
      <c r="G8391" s="18"/>
      <c r="H8391" s="16" t="s">
        <v>87</v>
      </c>
      <c r="I8391" s="16" t="s">
        <v>87</v>
      </c>
      <c r="J8391" s="19"/>
      <c r="L8391" s="16" t="str">
        <f>IFERROR(__xludf.DUMMYFUNCTION("""COMPUTED_VALUE"""),"")</f>
        <v/>
      </c>
      <c r="M8391" s="16" t="str">
        <f>IFERROR(__xludf.DUMMYFUNCTION("""COMPUTED_VALUE"""),"")</f>
        <v/>
      </c>
      <c r="U8391" s="16" t="s">
        <v>87</v>
      </c>
      <c r="V8391" s="16" t="str">
        <f>IFERROR(__xludf.DUMMYFUNCTION("""COMPUTED_VALUE"""),"")</f>
        <v/>
      </c>
      <c r="W8391" s="16" t="str">
        <f>IFERROR(__xludf.DUMMYFUNCTION("""COMPUTED_VALUE"""),"")</f>
        <v/>
      </c>
      <c r="X8391" s="16" t="str">
        <f>IFERROR(__xludf.DUMMYFUNCTION("""COMPUTED_VALUE"""),"")</f>
        <v/>
      </c>
      <c r="AC8391" s="16" t="str">
        <f>IFERROR(__xludf.DUMMYFUNCTION("""COMPUTED_VALUE"""),"")</f>
        <v/>
      </c>
    </row>
    <row r="8392">
      <c r="A8392" s="16" t="s">
        <v>87</v>
      </c>
      <c r="E8392" s="16" t="str">
        <f>IFERROR(__xludf.DUMMYFUNCTION("""COMPUTED_VALUE"""),"")</f>
        <v/>
      </c>
      <c r="G8392" s="18"/>
      <c r="H8392" s="16" t="s">
        <v>87</v>
      </c>
      <c r="I8392" s="16" t="s">
        <v>87</v>
      </c>
      <c r="J8392" s="19"/>
      <c r="L8392" s="16" t="str">
        <f>IFERROR(__xludf.DUMMYFUNCTION("""COMPUTED_VALUE"""),"")</f>
        <v/>
      </c>
      <c r="M8392" s="16" t="str">
        <f>IFERROR(__xludf.DUMMYFUNCTION("""COMPUTED_VALUE"""),"")</f>
        <v/>
      </c>
      <c r="U8392" s="16" t="s">
        <v>87</v>
      </c>
      <c r="V8392" s="16" t="str">
        <f>IFERROR(__xludf.DUMMYFUNCTION("""COMPUTED_VALUE"""),"")</f>
        <v/>
      </c>
      <c r="W8392" s="16" t="str">
        <f>IFERROR(__xludf.DUMMYFUNCTION("""COMPUTED_VALUE"""),"")</f>
        <v/>
      </c>
      <c r="X8392" s="16" t="str">
        <f>IFERROR(__xludf.DUMMYFUNCTION("""COMPUTED_VALUE"""),"")</f>
        <v/>
      </c>
      <c r="AC8392" s="16" t="str">
        <f>IFERROR(__xludf.DUMMYFUNCTION("""COMPUTED_VALUE"""),"")</f>
        <v/>
      </c>
    </row>
    <row r="8393">
      <c r="A8393" s="16" t="s">
        <v>87</v>
      </c>
      <c r="E8393" s="16" t="str">
        <f>IFERROR(__xludf.DUMMYFUNCTION("""COMPUTED_VALUE"""),"")</f>
        <v/>
      </c>
      <c r="G8393" s="18"/>
      <c r="H8393" s="16" t="s">
        <v>87</v>
      </c>
      <c r="I8393" s="16" t="s">
        <v>87</v>
      </c>
      <c r="J8393" s="19"/>
      <c r="L8393" s="16" t="str">
        <f>IFERROR(__xludf.DUMMYFUNCTION("""COMPUTED_VALUE"""),"")</f>
        <v/>
      </c>
      <c r="M8393" s="16" t="str">
        <f>IFERROR(__xludf.DUMMYFUNCTION("""COMPUTED_VALUE"""),"")</f>
        <v/>
      </c>
      <c r="U8393" s="16" t="s">
        <v>87</v>
      </c>
      <c r="V8393" s="16" t="str">
        <f>IFERROR(__xludf.DUMMYFUNCTION("""COMPUTED_VALUE"""),"")</f>
        <v/>
      </c>
      <c r="W8393" s="16" t="str">
        <f>IFERROR(__xludf.DUMMYFUNCTION("""COMPUTED_VALUE"""),"")</f>
        <v/>
      </c>
      <c r="X8393" s="16" t="str">
        <f>IFERROR(__xludf.DUMMYFUNCTION("""COMPUTED_VALUE"""),"")</f>
        <v/>
      </c>
      <c r="AC8393" s="16" t="str">
        <f>IFERROR(__xludf.DUMMYFUNCTION("""COMPUTED_VALUE"""),"")</f>
        <v/>
      </c>
    </row>
    <row r="8394">
      <c r="A8394" s="16" t="s">
        <v>87</v>
      </c>
      <c r="E8394" s="16" t="str">
        <f>IFERROR(__xludf.DUMMYFUNCTION("""COMPUTED_VALUE"""),"")</f>
        <v/>
      </c>
      <c r="G8394" s="18"/>
      <c r="H8394" s="16" t="s">
        <v>87</v>
      </c>
      <c r="I8394" s="16" t="s">
        <v>87</v>
      </c>
      <c r="J8394" s="19"/>
      <c r="L8394" s="16" t="str">
        <f>IFERROR(__xludf.DUMMYFUNCTION("""COMPUTED_VALUE"""),"")</f>
        <v/>
      </c>
      <c r="M8394" s="16" t="str">
        <f>IFERROR(__xludf.DUMMYFUNCTION("""COMPUTED_VALUE"""),"")</f>
        <v/>
      </c>
      <c r="U8394" s="16" t="s">
        <v>87</v>
      </c>
      <c r="V8394" s="16" t="str">
        <f>IFERROR(__xludf.DUMMYFUNCTION("""COMPUTED_VALUE"""),"")</f>
        <v/>
      </c>
      <c r="W8394" s="16" t="str">
        <f>IFERROR(__xludf.DUMMYFUNCTION("""COMPUTED_VALUE"""),"")</f>
        <v/>
      </c>
      <c r="X8394" s="16" t="str">
        <f>IFERROR(__xludf.DUMMYFUNCTION("""COMPUTED_VALUE"""),"")</f>
        <v/>
      </c>
      <c r="AC8394" s="16" t="str">
        <f>IFERROR(__xludf.DUMMYFUNCTION("""COMPUTED_VALUE"""),"")</f>
        <v/>
      </c>
    </row>
    <row r="8395">
      <c r="A8395" s="16" t="s">
        <v>87</v>
      </c>
      <c r="E8395" s="16" t="str">
        <f>IFERROR(__xludf.DUMMYFUNCTION("""COMPUTED_VALUE"""),"")</f>
        <v/>
      </c>
      <c r="G8395" s="18"/>
      <c r="H8395" s="16" t="s">
        <v>87</v>
      </c>
      <c r="I8395" s="16" t="s">
        <v>87</v>
      </c>
      <c r="J8395" s="19"/>
      <c r="L8395" s="16" t="str">
        <f>IFERROR(__xludf.DUMMYFUNCTION("""COMPUTED_VALUE"""),"")</f>
        <v/>
      </c>
      <c r="M8395" s="16" t="str">
        <f>IFERROR(__xludf.DUMMYFUNCTION("""COMPUTED_VALUE"""),"")</f>
        <v/>
      </c>
      <c r="U8395" s="16" t="s">
        <v>87</v>
      </c>
      <c r="V8395" s="16" t="str">
        <f>IFERROR(__xludf.DUMMYFUNCTION("""COMPUTED_VALUE"""),"")</f>
        <v/>
      </c>
      <c r="W8395" s="16" t="str">
        <f>IFERROR(__xludf.DUMMYFUNCTION("""COMPUTED_VALUE"""),"")</f>
        <v/>
      </c>
      <c r="X8395" s="16" t="str">
        <f>IFERROR(__xludf.DUMMYFUNCTION("""COMPUTED_VALUE"""),"")</f>
        <v/>
      </c>
      <c r="AC8395" s="16" t="str">
        <f>IFERROR(__xludf.DUMMYFUNCTION("""COMPUTED_VALUE"""),"")</f>
        <v/>
      </c>
    </row>
    <row r="8396">
      <c r="A8396" s="16" t="s">
        <v>87</v>
      </c>
      <c r="E8396" s="16" t="str">
        <f>IFERROR(__xludf.DUMMYFUNCTION("""COMPUTED_VALUE"""),"")</f>
        <v/>
      </c>
      <c r="G8396" s="18"/>
      <c r="H8396" s="16" t="s">
        <v>87</v>
      </c>
      <c r="I8396" s="16" t="s">
        <v>87</v>
      </c>
      <c r="J8396" s="19"/>
      <c r="L8396" s="16" t="str">
        <f>IFERROR(__xludf.DUMMYFUNCTION("""COMPUTED_VALUE"""),"")</f>
        <v/>
      </c>
      <c r="M8396" s="16" t="str">
        <f>IFERROR(__xludf.DUMMYFUNCTION("""COMPUTED_VALUE"""),"")</f>
        <v/>
      </c>
      <c r="U8396" s="16" t="s">
        <v>87</v>
      </c>
      <c r="V8396" s="16" t="str">
        <f>IFERROR(__xludf.DUMMYFUNCTION("""COMPUTED_VALUE"""),"")</f>
        <v/>
      </c>
      <c r="W8396" s="16" t="str">
        <f>IFERROR(__xludf.DUMMYFUNCTION("""COMPUTED_VALUE"""),"")</f>
        <v/>
      </c>
      <c r="X8396" s="16" t="str">
        <f>IFERROR(__xludf.DUMMYFUNCTION("""COMPUTED_VALUE"""),"")</f>
        <v/>
      </c>
      <c r="AC8396" s="16" t="str">
        <f>IFERROR(__xludf.DUMMYFUNCTION("""COMPUTED_VALUE"""),"")</f>
        <v/>
      </c>
    </row>
    <row r="8397">
      <c r="A8397" s="16" t="s">
        <v>87</v>
      </c>
      <c r="E8397" s="16" t="str">
        <f>IFERROR(__xludf.DUMMYFUNCTION("""COMPUTED_VALUE"""),"")</f>
        <v/>
      </c>
      <c r="G8397" s="18"/>
      <c r="H8397" s="16" t="s">
        <v>87</v>
      </c>
      <c r="I8397" s="16" t="s">
        <v>87</v>
      </c>
      <c r="J8397" s="19"/>
      <c r="L8397" s="16" t="str">
        <f>IFERROR(__xludf.DUMMYFUNCTION("""COMPUTED_VALUE"""),"")</f>
        <v/>
      </c>
      <c r="M8397" s="16" t="str">
        <f>IFERROR(__xludf.DUMMYFUNCTION("""COMPUTED_VALUE"""),"")</f>
        <v/>
      </c>
      <c r="U8397" s="16" t="s">
        <v>87</v>
      </c>
      <c r="V8397" s="16" t="str">
        <f>IFERROR(__xludf.DUMMYFUNCTION("""COMPUTED_VALUE"""),"")</f>
        <v/>
      </c>
      <c r="W8397" s="16" t="str">
        <f>IFERROR(__xludf.DUMMYFUNCTION("""COMPUTED_VALUE"""),"")</f>
        <v/>
      </c>
      <c r="X8397" s="16" t="str">
        <f>IFERROR(__xludf.DUMMYFUNCTION("""COMPUTED_VALUE"""),"")</f>
        <v/>
      </c>
      <c r="AC8397" s="16" t="str">
        <f>IFERROR(__xludf.DUMMYFUNCTION("""COMPUTED_VALUE"""),"")</f>
        <v/>
      </c>
    </row>
    <row r="8398">
      <c r="A8398" s="16" t="s">
        <v>87</v>
      </c>
      <c r="E8398" s="16" t="str">
        <f>IFERROR(__xludf.DUMMYFUNCTION("""COMPUTED_VALUE"""),"")</f>
        <v/>
      </c>
      <c r="G8398" s="18"/>
      <c r="H8398" s="16" t="s">
        <v>87</v>
      </c>
      <c r="I8398" s="16" t="s">
        <v>87</v>
      </c>
      <c r="J8398" s="19"/>
      <c r="L8398" s="16" t="str">
        <f>IFERROR(__xludf.DUMMYFUNCTION("""COMPUTED_VALUE"""),"")</f>
        <v/>
      </c>
      <c r="M8398" s="16" t="str">
        <f>IFERROR(__xludf.DUMMYFUNCTION("""COMPUTED_VALUE"""),"")</f>
        <v/>
      </c>
      <c r="U8398" s="16" t="s">
        <v>87</v>
      </c>
      <c r="V8398" s="16" t="str">
        <f>IFERROR(__xludf.DUMMYFUNCTION("""COMPUTED_VALUE"""),"")</f>
        <v/>
      </c>
      <c r="W8398" s="16" t="str">
        <f>IFERROR(__xludf.DUMMYFUNCTION("""COMPUTED_VALUE"""),"")</f>
        <v/>
      </c>
      <c r="X8398" s="16" t="str">
        <f>IFERROR(__xludf.DUMMYFUNCTION("""COMPUTED_VALUE"""),"")</f>
        <v/>
      </c>
      <c r="AC8398" s="16" t="str">
        <f>IFERROR(__xludf.DUMMYFUNCTION("""COMPUTED_VALUE"""),"")</f>
        <v/>
      </c>
    </row>
    <row r="8399">
      <c r="A8399" s="16" t="s">
        <v>87</v>
      </c>
      <c r="E8399" s="16" t="str">
        <f>IFERROR(__xludf.DUMMYFUNCTION("""COMPUTED_VALUE"""),"")</f>
        <v/>
      </c>
      <c r="G8399" s="18"/>
      <c r="H8399" s="16" t="s">
        <v>87</v>
      </c>
      <c r="I8399" s="16" t="s">
        <v>87</v>
      </c>
      <c r="J8399" s="19"/>
      <c r="L8399" s="16" t="str">
        <f>IFERROR(__xludf.DUMMYFUNCTION("""COMPUTED_VALUE"""),"")</f>
        <v/>
      </c>
      <c r="M8399" s="16" t="str">
        <f>IFERROR(__xludf.DUMMYFUNCTION("""COMPUTED_VALUE"""),"")</f>
        <v/>
      </c>
      <c r="U8399" s="16" t="s">
        <v>87</v>
      </c>
      <c r="V8399" s="16" t="str">
        <f>IFERROR(__xludf.DUMMYFUNCTION("""COMPUTED_VALUE"""),"")</f>
        <v/>
      </c>
      <c r="W8399" s="16" t="str">
        <f>IFERROR(__xludf.DUMMYFUNCTION("""COMPUTED_VALUE"""),"")</f>
        <v/>
      </c>
      <c r="X8399" s="16" t="str">
        <f>IFERROR(__xludf.DUMMYFUNCTION("""COMPUTED_VALUE"""),"")</f>
        <v/>
      </c>
      <c r="AC8399" s="16" t="str">
        <f>IFERROR(__xludf.DUMMYFUNCTION("""COMPUTED_VALUE"""),"")</f>
        <v/>
      </c>
    </row>
    <row r="8400">
      <c r="A8400" s="16" t="s">
        <v>87</v>
      </c>
      <c r="E8400" s="16" t="str">
        <f>IFERROR(__xludf.DUMMYFUNCTION("""COMPUTED_VALUE"""),"")</f>
        <v/>
      </c>
      <c r="G8400" s="18"/>
      <c r="H8400" s="16" t="s">
        <v>87</v>
      </c>
      <c r="I8400" s="16" t="s">
        <v>87</v>
      </c>
      <c r="J8400" s="19"/>
      <c r="L8400" s="16" t="str">
        <f>IFERROR(__xludf.DUMMYFUNCTION("""COMPUTED_VALUE"""),"")</f>
        <v/>
      </c>
      <c r="M8400" s="16" t="str">
        <f>IFERROR(__xludf.DUMMYFUNCTION("""COMPUTED_VALUE"""),"")</f>
        <v/>
      </c>
      <c r="U8400" s="16" t="s">
        <v>87</v>
      </c>
      <c r="V8400" s="16" t="str">
        <f>IFERROR(__xludf.DUMMYFUNCTION("""COMPUTED_VALUE"""),"")</f>
        <v/>
      </c>
      <c r="W8400" s="16" t="str">
        <f>IFERROR(__xludf.DUMMYFUNCTION("""COMPUTED_VALUE"""),"")</f>
        <v/>
      </c>
      <c r="X8400" s="16" t="str">
        <f>IFERROR(__xludf.DUMMYFUNCTION("""COMPUTED_VALUE"""),"")</f>
        <v/>
      </c>
      <c r="AC8400" s="16" t="str">
        <f>IFERROR(__xludf.DUMMYFUNCTION("""COMPUTED_VALUE"""),"")</f>
        <v/>
      </c>
    </row>
    <row r="8401">
      <c r="A8401" s="16" t="s">
        <v>87</v>
      </c>
      <c r="E8401" s="16" t="str">
        <f>IFERROR(__xludf.DUMMYFUNCTION("""COMPUTED_VALUE"""),"")</f>
        <v/>
      </c>
      <c r="G8401" s="18"/>
      <c r="H8401" s="16" t="s">
        <v>87</v>
      </c>
      <c r="I8401" s="16" t="s">
        <v>87</v>
      </c>
      <c r="J8401" s="19"/>
      <c r="L8401" s="16" t="str">
        <f>IFERROR(__xludf.DUMMYFUNCTION("""COMPUTED_VALUE"""),"")</f>
        <v/>
      </c>
      <c r="M8401" s="16" t="str">
        <f>IFERROR(__xludf.DUMMYFUNCTION("""COMPUTED_VALUE"""),"")</f>
        <v/>
      </c>
      <c r="U8401" s="16" t="s">
        <v>87</v>
      </c>
      <c r="V8401" s="16" t="str">
        <f>IFERROR(__xludf.DUMMYFUNCTION("""COMPUTED_VALUE"""),"")</f>
        <v/>
      </c>
      <c r="W8401" s="16" t="str">
        <f>IFERROR(__xludf.DUMMYFUNCTION("""COMPUTED_VALUE"""),"")</f>
        <v/>
      </c>
      <c r="X8401" s="16" t="str">
        <f>IFERROR(__xludf.DUMMYFUNCTION("""COMPUTED_VALUE"""),"")</f>
        <v/>
      </c>
      <c r="AC8401" s="16" t="str">
        <f>IFERROR(__xludf.DUMMYFUNCTION("""COMPUTED_VALUE"""),"")</f>
        <v/>
      </c>
    </row>
    <row r="8402">
      <c r="A8402" s="16" t="s">
        <v>87</v>
      </c>
      <c r="E8402" s="16" t="str">
        <f>IFERROR(__xludf.DUMMYFUNCTION("""COMPUTED_VALUE"""),"")</f>
        <v/>
      </c>
      <c r="G8402" s="18"/>
      <c r="H8402" s="16" t="s">
        <v>87</v>
      </c>
      <c r="I8402" s="16" t="s">
        <v>87</v>
      </c>
      <c r="J8402" s="19"/>
      <c r="L8402" s="16" t="str">
        <f>IFERROR(__xludf.DUMMYFUNCTION("""COMPUTED_VALUE"""),"")</f>
        <v/>
      </c>
      <c r="M8402" s="16" t="str">
        <f>IFERROR(__xludf.DUMMYFUNCTION("""COMPUTED_VALUE"""),"")</f>
        <v/>
      </c>
      <c r="U8402" s="16" t="s">
        <v>87</v>
      </c>
      <c r="V8402" s="16" t="str">
        <f>IFERROR(__xludf.DUMMYFUNCTION("""COMPUTED_VALUE"""),"")</f>
        <v/>
      </c>
      <c r="W8402" s="16" t="str">
        <f>IFERROR(__xludf.DUMMYFUNCTION("""COMPUTED_VALUE"""),"")</f>
        <v/>
      </c>
      <c r="X8402" s="16" t="str">
        <f>IFERROR(__xludf.DUMMYFUNCTION("""COMPUTED_VALUE"""),"")</f>
        <v/>
      </c>
      <c r="AC8402" s="16" t="str">
        <f>IFERROR(__xludf.DUMMYFUNCTION("""COMPUTED_VALUE"""),"")</f>
        <v/>
      </c>
    </row>
    <row r="8403">
      <c r="A8403" s="16" t="s">
        <v>87</v>
      </c>
      <c r="E8403" s="16" t="str">
        <f>IFERROR(__xludf.DUMMYFUNCTION("""COMPUTED_VALUE"""),"")</f>
        <v/>
      </c>
      <c r="G8403" s="18"/>
      <c r="H8403" s="16" t="s">
        <v>87</v>
      </c>
      <c r="I8403" s="16" t="s">
        <v>87</v>
      </c>
      <c r="J8403" s="19"/>
      <c r="L8403" s="16" t="str">
        <f>IFERROR(__xludf.DUMMYFUNCTION("""COMPUTED_VALUE"""),"")</f>
        <v/>
      </c>
      <c r="M8403" s="16" t="str">
        <f>IFERROR(__xludf.DUMMYFUNCTION("""COMPUTED_VALUE"""),"")</f>
        <v/>
      </c>
      <c r="U8403" s="16" t="s">
        <v>87</v>
      </c>
      <c r="V8403" s="16" t="str">
        <f>IFERROR(__xludf.DUMMYFUNCTION("""COMPUTED_VALUE"""),"")</f>
        <v/>
      </c>
      <c r="W8403" s="16" t="str">
        <f>IFERROR(__xludf.DUMMYFUNCTION("""COMPUTED_VALUE"""),"")</f>
        <v/>
      </c>
      <c r="X8403" s="16" t="str">
        <f>IFERROR(__xludf.DUMMYFUNCTION("""COMPUTED_VALUE"""),"")</f>
        <v/>
      </c>
      <c r="AC8403" s="16" t="str">
        <f>IFERROR(__xludf.DUMMYFUNCTION("""COMPUTED_VALUE"""),"")</f>
        <v/>
      </c>
    </row>
    <row r="8404">
      <c r="A8404" s="16" t="s">
        <v>87</v>
      </c>
      <c r="E8404" s="16" t="str">
        <f>IFERROR(__xludf.DUMMYFUNCTION("""COMPUTED_VALUE"""),"")</f>
        <v/>
      </c>
      <c r="G8404" s="18"/>
      <c r="H8404" s="16" t="s">
        <v>87</v>
      </c>
      <c r="I8404" s="16" t="s">
        <v>87</v>
      </c>
      <c r="J8404" s="19"/>
      <c r="L8404" s="16" t="str">
        <f>IFERROR(__xludf.DUMMYFUNCTION("""COMPUTED_VALUE"""),"")</f>
        <v/>
      </c>
      <c r="M8404" s="16" t="str">
        <f>IFERROR(__xludf.DUMMYFUNCTION("""COMPUTED_VALUE"""),"")</f>
        <v/>
      </c>
      <c r="U8404" s="16" t="s">
        <v>87</v>
      </c>
      <c r="V8404" s="16" t="str">
        <f>IFERROR(__xludf.DUMMYFUNCTION("""COMPUTED_VALUE"""),"")</f>
        <v/>
      </c>
      <c r="W8404" s="16" t="str">
        <f>IFERROR(__xludf.DUMMYFUNCTION("""COMPUTED_VALUE"""),"")</f>
        <v/>
      </c>
      <c r="X8404" s="16" t="str">
        <f>IFERROR(__xludf.DUMMYFUNCTION("""COMPUTED_VALUE"""),"")</f>
        <v/>
      </c>
      <c r="AC8404" s="16" t="str">
        <f>IFERROR(__xludf.DUMMYFUNCTION("""COMPUTED_VALUE"""),"")</f>
        <v/>
      </c>
    </row>
    <row r="8405">
      <c r="A8405" s="16" t="s">
        <v>87</v>
      </c>
      <c r="E8405" s="16" t="str">
        <f>IFERROR(__xludf.DUMMYFUNCTION("""COMPUTED_VALUE"""),"")</f>
        <v/>
      </c>
      <c r="G8405" s="18"/>
      <c r="H8405" s="16" t="s">
        <v>87</v>
      </c>
      <c r="I8405" s="16" t="s">
        <v>87</v>
      </c>
      <c r="J8405" s="19"/>
      <c r="L8405" s="16" t="str">
        <f>IFERROR(__xludf.DUMMYFUNCTION("""COMPUTED_VALUE"""),"")</f>
        <v/>
      </c>
      <c r="M8405" s="16" t="str">
        <f>IFERROR(__xludf.DUMMYFUNCTION("""COMPUTED_VALUE"""),"")</f>
        <v/>
      </c>
      <c r="U8405" s="16" t="s">
        <v>87</v>
      </c>
      <c r="V8405" s="16" t="str">
        <f>IFERROR(__xludf.DUMMYFUNCTION("""COMPUTED_VALUE"""),"")</f>
        <v/>
      </c>
      <c r="W8405" s="16" t="str">
        <f>IFERROR(__xludf.DUMMYFUNCTION("""COMPUTED_VALUE"""),"")</f>
        <v/>
      </c>
      <c r="X8405" s="16" t="str">
        <f>IFERROR(__xludf.DUMMYFUNCTION("""COMPUTED_VALUE"""),"")</f>
        <v/>
      </c>
      <c r="AC8405" s="16" t="str">
        <f>IFERROR(__xludf.DUMMYFUNCTION("""COMPUTED_VALUE"""),"")</f>
        <v/>
      </c>
    </row>
    <row r="8406">
      <c r="A8406" s="16" t="s">
        <v>87</v>
      </c>
      <c r="E8406" s="16" t="str">
        <f>IFERROR(__xludf.DUMMYFUNCTION("""COMPUTED_VALUE"""),"")</f>
        <v/>
      </c>
      <c r="G8406" s="18"/>
      <c r="H8406" s="16" t="s">
        <v>87</v>
      </c>
      <c r="I8406" s="16" t="s">
        <v>87</v>
      </c>
      <c r="J8406" s="19"/>
      <c r="L8406" s="16" t="str">
        <f>IFERROR(__xludf.DUMMYFUNCTION("""COMPUTED_VALUE"""),"")</f>
        <v/>
      </c>
      <c r="M8406" s="16" t="str">
        <f>IFERROR(__xludf.DUMMYFUNCTION("""COMPUTED_VALUE"""),"")</f>
        <v/>
      </c>
      <c r="U8406" s="16" t="s">
        <v>87</v>
      </c>
      <c r="V8406" s="16" t="str">
        <f>IFERROR(__xludf.DUMMYFUNCTION("""COMPUTED_VALUE"""),"")</f>
        <v/>
      </c>
      <c r="W8406" s="16" t="str">
        <f>IFERROR(__xludf.DUMMYFUNCTION("""COMPUTED_VALUE"""),"")</f>
        <v/>
      </c>
      <c r="X8406" s="16" t="str">
        <f>IFERROR(__xludf.DUMMYFUNCTION("""COMPUTED_VALUE"""),"")</f>
        <v/>
      </c>
      <c r="AC8406" s="16" t="str">
        <f>IFERROR(__xludf.DUMMYFUNCTION("""COMPUTED_VALUE"""),"")</f>
        <v/>
      </c>
    </row>
    <row r="8407">
      <c r="A8407" s="16" t="s">
        <v>87</v>
      </c>
      <c r="E8407" s="16" t="str">
        <f>IFERROR(__xludf.DUMMYFUNCTION("""COMPUTED_VALUE"""),"")</f>
        <v/>
      </c>
      <c r="G8407" s="18"/>
      <c r="H8407" s="16" t="s">
        <v>87</v>
      </c>
      <c r="I8407" s="16" t="s">
        <v>87</v>
      </c>
      <c r="J8407" s="19"/>
      <c r="L8407" s="16" t="str">
        <f>IFERROR(__xludf.DUMMYFUNCTION("""COMPUTED_VALUE"""),"")</f>
        <v/>
      </c>
      <c r="M8407" s="16" t="str">
        <f>IFERROR(__xludf.DUMMYFUNCTION("""COMPUTED_VALUE"""),"")</f>
        <v/>
      </c>
      <c r="U8407" s="16" t="s">
        <v>87</v>
      </c>
      <c r="V8407" s="16" t="str">
        <f>IFERROR(__xludf.DUMMYFUNCTION("""COMPUTED_VALUE"""),"")</f>
        <v/>
      </c>
      <c r="W8407" s="16" t="str">
        <f>IFERROR(__xludf.DUMMYFUNCTION("""COMPUTED_VALUE"""),"")</f>
        <v/>
      </c>
      <c r="X8407" s="16" t="str">
        <f>IFERROR(__xludf.DUMMYFUNCTION("""COMPUTED_VALUE"""),"")</f>
        <v/>
      </c>
      <c r="AC8407" s="16" t="str">
        <f>IFERROR(__xludf.DUMMYFUNCTION("""COMPUTED_VALUE"""),"")</f>
        <v/>
      </c>
    </row>
    <row r="8408">
      <c r="A8408" s="16" t="s">
        <v>87</v>
      </c>
      <c r="E8408" s="16" t="str">
        <f>IFERROR(__xludf.DUMMYFUNCTION("""COMPUTED_VALUE"""),"")</f>
        <v/>
      </c>
      <c r="G8408" s="18"/>
      <c r="H8408" s="16" t="s">
        <v>87</v>
      </c>
      <c r="I8408" s="16" t="s">
        <v>87</v>
      </c>
      <c r="J8408" s="19"/>
      <c r="L8408" s="16" t="str">
        <f>IFERROR(__xludf.DUMMYFUNCTION("""COMPUTED_VALUE"""),"")</f>
        <v/>
      </c>
      <c r="M8408" s="16" t="str">
        <f>IFERROR(__xludf.DUMMYFUNCTION("""COMPUTED_VALUE"""),"")</f>
        <v/>
      </c>
      <c r="U8408" s="16" t="s">
        <v>87</v>
      </c>
      <c r="V8408" s="16" t="str">
        <f>IFERROR(__xludf.DUMMYFUNCTION("""COMPUTED_VALUE"""),"")</f>
        <v/>
      </c>
      <c r="W8408" s="16" t="str">
        <f>IFERROR(__xludf.DUMMYFUNCTION("""COMPUTED_VALUE"""),"")</f>
        <v/>
      </c>
      <c r="X8408" s="16" t="str">
        <f>IFERROR(__xludf.DUMMYFUNCTION("""COMPUTED_VALUE"""),"")</f>
        <v/>
      </c>
      <c r="AC8408" s="16" t="str">
        <f>IFERROR(__xludf.DUMMYFUNCTION("""COMPUTED_VALUE"""),"")</f>
        <v/>
      </c>
    </row>
    <row r="8409">
      <c r="A8409" s="16" t="s">
        <v>87</v>
      </c>
      <c r="E8409" s="16" t="str">
        <f>IFERROR(__xludf.DUMMYFUNCTION("""COMPUTED_VALUE"""),"")</f>
        <v/>
      </c>
      <c r="G8409" s="18"/>
      <c r="H8409" s="16" t="s">
        <v>87</v>
      </c>
      <c r="I8409" s="16" t="s">
        <v>87</v>
      </c>
      <c r="J8409" s="19"/>
      <c r="L8409" s="16" t="str">
        <f>IFERROR(__xludf.DUMMYFUNCTION("""COMPUTED_VALUE"""),"")</f>
        <v/>
      </c>
      <c r="M8409" s="16" t="str">
        <f>IFERROR(__xludf.DUMMYFUNCTION("""COMPUTED_VALUE"""),"")</f>
        <v/>
      </c>
      <c r="U8409" s="16" t="s">
        <v>87</v>
      </c>
      <c r="V8409" s="16" t="str">
        <f>IFERROR(__xludf.DUMMYFUNCTION("""COMPUTED_VALUE"""),"")</f>
        <v/>
      </c>
      <c r="W8409" s="16" t="str">
        <f>IFERROR(__xludf.DUMMYFUNCTION("""COMPUTED_VALUE"""),"")</f>
        <v/>
      </c>
      <c r="X8409" s="16" t="str">
        <f>IFERROR(__xludf.DUMMYFUNCTION("""COMPUTED_VALUE"""),"")</f>
        <v/>
      </c>
      <c r="AC8409" s="16" t="str">
        <f>IFERROR(__xludf.DUMMYFUNCTION("""COMPUTED_VALUE"""),"")</f>
        <v/>
      </c>
    </row>
    <row r="8410">
      <c r="A8410" s="16" t="s">
        <v>87</v>
      </c>
      <c r="E8410" s="16" t="str">
        <f>IFERROR(__xludf.DUMMYFUNCTION("""COMPUTED_VALUE"""),"")</f>
        <v/>
      </c>
      <c r="G8410" s="18"/>
      <c r="H8410" s="16" t="s">
        <v>87</v>
      </c>
      <c r="I8410" s="16" t="s">
        <v>87</v>
      </c>
      <c r="J8410" s="19"/>
      <c r="L8410" s="16" t="str">
        <f>IFERROR(__xludf.DUMMYFUNCTION("""COMPUTED_VALUE"""),"")</f>
        <v/>
      </c>
      <c r="M8410" s="16" t="str">
        <f>IFERROR(__xludf.DUMMYFUNCTION("""COMPUTED_VALUE"""),"")</f>
        <v/>
      </c>
      <c r="U8410" s="16" t="s">
        <v>87</v>
      </c>
      <c r="V8410" s="16" t="str">
        <f>IFERROR(__xludf.DUMMYFUNCTION("""COMPUTED_VALUE"""),"")</f>
        <v/>
      </c>
      <c r="W8410" s="16" t="str">
        <f>IFERROR(__xludf.DUMMYFUNCTION("""COMPUTED_VALUE"""),"")</f>
        <v/>
      </c>
      <c r="X8410" s="16" t="str">
        <f>IFERROR(__xludf.DUMMYFUNCTION("""COMPUTED_VALUE"""),"")</f>
        <v/>
      </c>
      <c r="AC8410" s="16" t="str">
        <f>IFERROR(__xludf.DUMMYFUNCTION("""COMPUTED_VALUE"""),"")</f>
        <v/>
      </c>
    </row>
    <row r="8411">
      <c r="A8411" s="16" t="s">
        <v>87</v>
      </c>
      <c r="E8411" s="16" t="str">
        <f>IFERROR(__xludf.DUMMYFUNCTION("""COMPUTED_VALUE"""),"")</f>
        <v/>
      </c>
      <c r="G8411" s="18"/>
      <c r="H8411" s="16" t="s">
        <v>87</v>
      </c>
      <c r="I8411" s="16" t="s">
        <v>87</v>
      </c>
      <c r="J8411" s="19"/>
      <c r="L8411" s="16" t="str">
        <f>IFERROR(__xludf.DUMMYFUNCTION("""COMPUTED_VALUE"""),"")</f>
        <v/>
      </c>
      <c r="M8411" s="16" t="str">
        <f>IFERROR(__xludf.DUMMYFUNCTION("""COMPUTED_VALUE"""),"")</f>
        <v/>
      </c>
      <c r="U8411" s="16" t="s">
        <v>87</v>
      </c>
      <c r="V8411" s="16" t="str">
        <f>IFERROR(__xludf.DUMMYFUNCTION("""COMPUTED_VALUE"""),"")</f>
        <v/>
      </c>
      <c r="W8411" s="16" t="str">
        <f>IFERROR(__xludf.DUMMYFUNCTION("""COMPUTED_VALUE"""),"")</f>
        <v/>
      </c>
      <c r="X8411" s="16" t="str">
        <f>IFERROR(__xludf.DUMMYFUNCTION("""COMPUTED_VALUE"""),"")</f>
        <v/>
      </c>
      <c r="AC8411" s="16" t="str">
        <f>IFERROR(__xludf.DUMMYFUNCTION("""COMPUTED_VALUE"""),"")</f>
        <v/>
      </c>
    </row>
    <row r="8412">
      <c r="A8412" s="16" t="s">
        <v>87</v>
      </c>
      <c r="E8412" s="16" t="str">
        <f>IFERROR(__xludf.DUMMYFUNCTION("""COMPUTED_VALUE"""),"")</f>
        <v/>
      </c>
      <c r="G8412" s="18"/>
      <c r="H8412" s="16" t="s">
        <v>87</v>
      </c>
      <c r="I8412" s="16" t="s">
        <v>87</v>
      </c>
      <c r="J8412" s="19"/>
      <c r="L8412" s="16" t="str">
        <f>IFERROR(__xludf.DUMMYFUNCTION("""COMPUTED_VALUE"""),"")</f>
        <v/>
      </c>
      <c r="M8412" s="16" t="str">
        <f>IFERROR(__xludf.DUMMYFUNCTION("""COMPUTED_VALUE"""),"")</f>
        <v/>
      </c>
      <c r="U8412" s="16" t="s">
        <v>87</v>
      </c>
      <c r="V8412" s="16" t="str">
        <f>IFERROR(__xludf.DUMMYFUNCTION("""COMPUTED_VALUE"""),"")</f>
        <v/>
      </c>
      <c r="W8412" s="16" t="str">
        <f>IFERROR(__xludf.DUMMYFUNCTION("""COMPUTED_VALUE"""),"")</f>
        <v/>
      </c>
      <c r="X8412" s="16" t="str">
        <f>IFERROR(__xludf.DUMMYFUNCTION("""COMPUTED_VALUE"""),"")</f>
        <v/>
      </c>
      <c r="AC8412" s="16" t="str">
        <f>IFERROR(__xludf.DUMMYFUNCTION("""COMPUTED_VALUE"""),"")</f>
        <v/>
      </c>
    </row>
    <row r="8413">
      <c r="A8413" s="16" t="s">
        <v>87</v>
      </c>
      <c r="E8413" s="16" t="str">
        <f>IFERROR(__xludf.DUMMYFUNCTION("""COMPUTED_VALUE"""),"")</f>
        <v/>
      </c>
      <c r="G8413" s="18"/>
      <c r="H8413" s="16" t="s">
        <v>87</v>
      </c>
      <c r="I8413" s="16" t="s">
        <v>87</v>
      </c>
      <c r="J8413" s="19"/>
      <c r="L8413" s="16" t="str">
        <f>IFERROR(__xludf.DUMMYFUNCTION("""COMPUTED_VALUE"""),"")</f>
        <v/>
      </c>
      <c r="M8413" s="16" t="str">
        <f>IFERROR(__xludf.DUMMYFUNCTION("""COMPUTED_VALUE"""),"")</f>
        <v/>
      </c>
      <c r="U8413" s="16" t="s">
        <v>87</v>
      </c>
      <c r="V8413" s="16" t="str">
        <f>IFERROR(__xludf.DUMMYFUNCTION("""COMPUTED_VALUE"""),"")</f>
        <v/>
      </c>
      <c r="W8413" s="16" t="str">
        <f>IFERROR(__xludf.DUMMYFUNCTION("""COMPUTED_VALUE"""),"")</f>
        <v/>
      </c>
      <c r="X8413" s="16" t="str">
        <f>IFERROR(__xludf.DUMMYFUNCTION("""COMPUTED_VALUE"""),"")</f>
        <v/>
      </c>
      <c r="AC8413" s="16" t="str">
        <f>IFERROR(__xludf.DUMMYFUNCTION("""COMPUTED_VALUE"""),"")</f>
        <v/>
      </c>
    </row>
    <row r="8414">
      <c r="A8414" s="16" t="s">
        <v>87</v>
      </c>
      <c r="E8414" s="16" t="str">
        <f>IFERROR(__xludf.DUMMYFUNCTION("""COMPUTED_VALUE"""),"")</f>
        <v/>
      </c>
      <c r="G8414" s="18"/>
      <c r="H8414" s="16" t="s">
        <v>87</v>
      </c>
      <c r="I8414" s="16" t="s">
        <v>87</v>
      </c>
      <c r="J8414" s="19"/>
      <c r="L8414" s="16" t="str">
        <f>IFERROR(__xludf.DUMMYFUNCTION("""COMPUTED_VALUE"""),"")</f>
        <v/>
      </c>
      <c r="M8414" s="16" t="str">
        <f>IFERROR(__xludf.DUMMYFUNCTION("""COMPUTED_VALUE"""),"")</f>
        <v/>
      </c>
      <c r="U8414" s="16" t="s">
        <v>87</v>
      </c>
      <c r="V8414" s="16" t="str">
        <f>IFERROR(__xludf.DUMMYFUNCTION("""COMPUTED_VALUE"""),"")</f>
        <v/>
      </c>
      <c r="W8414" s="16" t="str">
        <f>IFERROR(__xludf.DUMMYFUNCTION("""COMPUTED_VALUE"""),"")</f>
        <v/>
      </c>
      <c r="X8414" s="16" t="str">
        <f>IFERROR(__xludf.DUMMYFUNCTION("""COMPUTED_VALUE"""),"")</f>
        <v/>
      </c>
      <c r="AC8414" s="16" t="str">
        <f>IFERROR(__xludf.DUMMYFUNCTION("""COMPUTED_VALUE"""),"")</f>
        <v/>
      </c>
    </row>
    <row r="8415">
      <c r="A8415" s="16" t="s">
        <v>87</v>
      </c>
      <c r="E8415" s="16" t="str">
        <f>IFERROR(__xludf.DUMMYFUNCTION("""COMPUTED_VALUE"""),"")</f>
        <v/>
      </c>
      <c r="G8415" s="18"/>
      <c r="H8415" s="16" t="s">
        <v>87</v>
      </c>
      <c r="I8415" s="16" t="s">
        <v>87</v>
      </c>
      <c r="J8415" s="19"/>
      <c r="L8415" s="16" t="str">
        <f>IFERROR(__xludf.DUMMYFUNCTION("""COMPUTED_VALUE"""),"")</f>
        <v/>
      </c>
      <c r="M8415" s="16" t="str">
        <f>IFERROR(__xludf.DUMMYFUNCTION("""COMPUTED_VALUE"""),"")</f>
        <v/>
      </c>
      <c r="U8415" s="16" t="s">
        <v>87</v>
      </c>
      <c r="V8415" s="16" t="str">
        <f>IFERROR(__xludf.DUMMYFUNCTION("""COMPUTED_VALUE"""),"")</f>
        <v/>
      </c>
      <c r="W8415" s="16" t="str">
        <f>IFERROR(__xludf.DUMMYFUNCTION("""COMPUTED_VALUE"""),"")</f>
        <v/>
      </c>
      <c r="X8415" s="16" t="str">
        <f>IFERROR(__xludf.DUMMYFUNCTION("""COMPUTED_VALUE"""),"")</f>
        <v/>
      </c>
      <c r="AC8415" s="16" t="str">
        <f>IFERROR(__xludf.DUMMYFUNCTION("""COMPUTED_VALUE"""),"")</f>
        <v/>
      </c>
    </row>
    <row r="8416">
      <c r="A8416" s="16" t="s">
        <v>87</v>
      </c>
      <c r="E8416" s="16" t="str">
        <f>IFERROR(__xludf.DUMMYFUNCTION("""COMPUTED_VALUE"""),"")</f>
        <v/>
      </c>
      <c r="G8416" s="18"/>
      <c r="H8416" s="16" t="s">
        <v>87</v>
      </c>
      <c r="I8416" s="16" t="s">
        <v>87</v>
      </c>
      <c r="J8416" s="19"/>
      <c r="L8416" s="16" t="str">
        <f>IFERROR(__xludf.DUMMYFUNCTION("""COMPUTED_VALUE"""),"")</f>
        <v/>
      </c>
      <c r="M8416" s="16" t="str">
        <f>IFERROR(__xludf.DUMMYFUNCTION("""COMPUTED_VALUE"""),"")</f>
        <v/>
      </c>
      <c r="U8416" s="16" t="s">
        <v>87</v>
      </c>
      <c r="V8416" s="16" t="str">
        <f>IFERROR(__xludf.DUMMYFUNCTION("""COMPUTED_VALUE"""),"")</f>
        <v/>
      </c>
      <c r="W8416" s="16" t="str">
        <f>IFERROR(__xludf.DUMMYFUNCTION("""COMPUTED_VALUE"""),"")</f>
        <v/>
      </c>
      <c r="X8416" s="16" t="str">
        <f>IFERROR(__xludf.DUMMYFUNCTION("""COMPUTED_VALUE"""),"")</f>
        <v/>
      </c>
      <c r="AC8416" s="16" t="str">
        <f>IFERROR(__xludf.DUMMYFUNCTION("""COMPUTED_VALUE"""),"")</f>
        <v/>
      </c>
    </row>
    <row r="8417">
      <c r="A8417" s="16" t="s">
        <v>87</v>
      </c>
      <c r="E8417" s="16" t="str">
        <f>IFERROR(__xludf.DUMMYFUNCTION("""COMPUTED_VALUE"""),"")</f>
        <v/>
      </c>
      <c r="G8417" s="18"/>
      <c r="H8417" s="16" t="s">
        <v>87</v>
      </c>
      <c r="I8417" s="16" t="s">
        <v>87</v>
      </c>
      <c r="J8417" s="19"/>
      <c r="L8417" s="16" t="str">
        <f>IFERROR(__xludf.DUMMYFUNCTION("""COMPUTED_VALUE"""),"")</f>
        <v/>
      </c>
      <c r="M8417" s="16" t="str">
        <f>IFERROR(__xludf.DUMMYFUNCTION("""COMPUTED_VALUE"""),"")</f>
        <v/>
      </c>
      <c r="U8417" s="16" t="s">
        <v>87</v>
      </c>
      <c r="V8417" s="16" t="str">
        <f>IFERROR(__xludf.DUMMYFUNCTION("""COMPUTED_VALUE"""),"")</f>
        <v/>
      </c>
      <c r="W8417" s="16" t="str">
        <f>IFERROR(__xludf.DUMMYFUNCTION("""COMPUTED_VALUE"""),"")</f>
        <v/>
      </c>
      <c r="X8417" s="16" t="str">
        <f>IFERROR(__xludf.DUMMYFUNCTION("""COMPUTED_VALUE"""),"")</f>
        <v/>
      </c>
      <c r="AC8417" s="16" t="str">
        <f>IFERROR(__xludf.DUMMYFUNCTION("""COMPUTED_VALUE"""),"")</f>
        <v/>
      </c>
    </row>
    <row r="8418">
      <c r="A8418" s="16" t="s">
        <v>87</v>
      </c>
      <c r="E8418" s="16" t="str">
        <f>IFERROR(__xludf.DUMMYFUNCTION("""COMPUTED_VALUE"""),"")</f>
        <v/>
      </c>
      <c r="G8418" s="18"/>
      <c r="H8418" s="16" t="s">
        <v>87</v>
      </c>
      <c r="I8418" s="16" t="s">
        <v>87</v>
      </c>
      <c r="J8418" s="19"/>
      <c r="L8418" s="16" t="str">
        <f>IFERROR(__xludf.DUMMYFUNCTION("""COMPUTED_VALUE"""),"")</f>
        <v/>
      </c>
      <c r="M8418" s="16" t="str">
        <f>IFERROR(__xludf.DUMMYFUNCTION("""COMPUTED_VALUE"""),"")</f>
        <v/>
      </c>
      <c r="U8418" s="16" t="s">
        <v>87</v>
      </c>
      <c r="V8418" s="16" t="str">
        <f>IFERROR(__xludf.DUMMYFUNCTION("""COMPUTED_VALUE"""),"")</f>
        <v/>
      </c>
      <c r="W8418" s="16" t="str">
        <f>IFERROR(__xludf.DUMMYFUNCTION("""COMPUTED_VALUE"""),"")</f>
        <v/>
      </c>
      <c r="X8418" s="16" t="str">
        <f>IFERROR(__xludf.DUMMYFUNCTION("""COMPUTED_VALUE"""),"")</f>
        <v/>
      </c>
      <c r="AC8418" s="16" t="str">
        <f>IFERROR(__xludf.DUMMYFUNCTION("""COMPUTED_VALUE"""),"")</f>
        <v/>
      </c>
    </row>
    <row r="8419">
      <c r="A8419" s="16" t="s">
        <v>87</v>
      </c>
      <c r="E8419" s="16" t="str">
        <f>IFERROR(__xludf.DUMMYFUNCTION("""COMPUTED_VALUE"""),"")</f>
        <v/>
      </c>
      <c r="G8419" s="18"/>
      <c r="H8419" s="16" t="s">
        <v>87</v>
      </c>
      <c r="I8419" s="16" t="s">
        <v>87</v>
      </c>
      <c r="J8419" s="19"/>
      <c r="L8419" s="16" t="str">
        <f>IFERROR(__xludf.DUMMYFUNCTION("""COMPUTED_VALUE"""),"")</f>
        <v/>
      </c>
      <c r="M8419" s="16" t="str">
        <f>IFERROR(__xludf.DUMMYFUNCTION("""COMPUTED_VALUE"""),"")</f>
        <v/>
      </c>
      <c r="U8419" s="16" t="s">
        <v>87</v>
      </c>
      <c r="V8419" s="16" t="str">
        <f>IFERROR(__xludf.DUMMYFUNCTION("""COMPUTED_VALUE"""),"")</f>
        <v/>
      </c>
      <c r="W8419" s="16" t="str">
        <f>IFERROR(__xludf.DUMMYFUNCTION("""COMPUTED_VALUE"""),"")</f>
        <v/>
      </c>
      <c r="X8419" s="16" t="str">
        <f>IFERROR(__xludf.DUMMYFUNCTION("""COMPUTED_VALUE"""),"")</f>
        <v/>
      </c>
      <c r="AC8419" s="16" t="str">
        <f>IFERROR(__xludf.DUMMYFUNCTION("""COMPUTED_VALUE"""),"")</f>
        <v/>
      </c>
    </row>
    <row r="8420">
      <c r="A8420" s="16" t="s">
        <v>87</v>
      </c>
      <c r="E8420" s="16" t="str">
        <f>IFERROR(__xludf.DUMMYFUNCTION("""COMPUTED_VALUE"""),"")</f>
        <v/>
      </c>
      <c r="G8420" s="18"/>
      <c r="H8420" s="16" t="s">
        <v>87</v>
      </c>
      <c r="I8420" s="16" t="s">
        <v>87</v>
      </c>
      <c r="J8420" s="19"/>
      <c r="L8420" s="16" t="str">
        <f>IFERROR(__xludf.DUMMYFUNCTION("""COMPUTED_VALUE"""),"")</f>
        <v/>
      </c>
      <c r="M8420" s="16" t="str">
        <f>IFERROR(__xludf.DUMMYFUNCTION("""COMPUTED_VALUE"""),"")</f>
        <v/>
      </c>
      <c r="U8420" s="16" t="s">
        <v>87</v>
      </c>
      <c r="V8420" s="16" t="str">
        <f>IFERROR(__xludf.DUMMYFUNCTION("""COMPUTED_VALUE"""),"")</f>
        <v/>
      </c>
      <c r="W8420" s="16" t="str">
        <f>IFERROR(__xludf.DUMMYFUNCTION("""COMPUTED_VALUE"""),"")</f>
        <v/>
      </c>
      <c r="X8420" s="16" t="str">
        <f>IFERROR(__xludf.DUMMYFUNCTION("""COMPUTED_VALUE"""),"")</f>
        <v/>
      </c>
      <c r="AC8420" s="16" t="str">
        <f>IFERROR(__xludf.DUMMYFUNCTION("""COMPUTED_VALUE"""),"")</f>
        <v/>
      </c>
    </row>
    <row r="8421">
      <c r="A8421" s="16" t="s">
        <v>87</v>
      </c>
      <c r="E8421" s="16" t="str">
        <f>IFERROR(__xludf.DUMMYFUNCTION("""COMPUTED_VALUE"""),"")</f>
        <v/>
      </c>
      <c r="G8421" s="18"/>
      <c r="H8421" s="16" t="s">
        <v>87</v>
      </c>
      <c r="I8421" s="16" t="s">
        <v>87</v>
      </c>
      <c r="J8421" s="19"/>
      <c r="L8421" s="16" t="str">
        <f>IFERROR(__xludf.DUMMYFUNCTION("""COMPUTED_VALUE"""),"")</f>
        <v/>
      </c>
      <c r="M8421" s="16" t="str">
        <f>IFERROR(__xludf.DUMMYFUNCTION("""COMPUTED_VALUE"""),"")</f>
        <v/>
      </c>
      <c r="U8421" s="16" t="s">
        <v>87</v>
      </c>
      <c r="V8421" s="16" t="str">
        <f>IFERROR(__xludf.DUMMYFUNCTION("""COMPUTED_VALUE"""),"")</f>
        <v/>
      </c>
      <c r="W8421" s="16" t="str">
        <f>IFERROR(__xludf.DUMMYFUNCTION("""COMPUTED_VALUE"""),"")</f>
        <v/>
      </c>
      <c r="X8421" s="16" t="str">
        <f>IFERROR(__xludf.DUMMYFUNCTION("""COMPUTED_VALUE"""),"")</f>
        <v/>
      </c>
      <c r="AC8421" s="16" t="str">
        <f>IFERROR(__xludf.DUMMYFUNCTION("""COMPUTED_VALUE"""),"")</f>
        <v/>
      </c>
    </row>
    <row r="8422">
      <c r="A8422" s="16" t="s">
        <v>87</v>
      </c>
      <c r="E8422" s="16" t="str">
        <f>IFERROR(__xludf.DUMMYFUNCTION("""COMPUTED_VALUE"""),"")</f>
        <v/>
      </c>
      <c r="G8422" s="18"/>
      <c r="H8422" s="16" t="s">
        <v>87</v>
      </c>
      <c r="I8422" s="16" t="s">
        <v>87</v>
      </c>
      <c r="J8422" s="19"/>
      <c r="L8422" s="16" t="str">
        <f>IFERROR(__xludf.DUMMYFUNCTION("""COMPUTED_VALUE"""),"")</f>
        <v/>
      </c>
      <c r="M8422" s="16" t="str">
        <f>IFERROR(__xludf.DUMMYFUNCTION("""COMPUTED_VALUE"""),"")</f>
        <v/>
      </c>
      <c r="U8422" s="16" t="s">
        <v>87</v>
      </c>
      <c r="V8422" s="16" t="str">
        <f>IFERROR(__xludf.DUMMYFUNCTION("""COMPUTED_VALUE"""),"")</f>
        <v/>
      </c>
      <c r="W8422" s="16" t="str">
        <f>IFERROR(__xludf.DUMMYFUNCTION("""COMPUTED_VALUE"""),"")</f>
        <v/>
      </c>
      <c r="X8422" s="16" t="str">
        <f>IFERROR(__xludf.DUMMYFUNCTION("""COMPUTED_VALUE"""),"")</f>
        <v/>
      </c>
      <c r="AC8422" s="16" t="str">
        <f>IFERROR(__xludf.DUMMYFUNCTION("""COMPUTED_VALUE"""),"")</f>
        <v/>
      </c>
    </row>
    <row r="8423">
      <c r="A8423" s="16" t="s">
        <v>87</v>
      </c>
      <c r="E8423" s="16" t="str">
        <f>IFERROR(__xludf.DUMMYFUNCTION("""COMPUTED_VALUE"""),"")</f>
        <v/>
      </c>
      <c r="G8423" s="18"/>
      <c r="H8423" s="16" t="s">
        <v>87</v>
      </c>
      <c r="I8423" s="16" t="s">
        <v>87</v>
      </c>
      <c r="J8423" s="19"/>
      <c r="L8423" s="16" t="str">
        <f>IFERROR(__xludf.DUMMYFUNCTION("""COMPUTED_VALUE"""),"")</f>
        <v/>
      </c>
      <c r="M8423" s="16" t="str">
        <f>IFERROR(__xludf.DUMMYFUNCTION("""COMPUTED_VALUE"""),"")</f>
        <v/>
      </c>
      <c r="U8423" s="16" t="s">
        <v>87</v>
      </c>
      <c r="V8423" s="16" t="str">
        <f>IFERROR(__xludf.DUMMYFUNCTION("""COMPUTED_VALUE"""),"")</f>
        <v/>
      </c>
      <c r="W8423" s="16" t="str">
        <f>IFERROR(__xludf.DUMMYFUNCTION("""COMPUTED_VALUE"""),"")</f>
        <v/>
      </c>
      <c r="X8423" s="16" t="str">
        <f>IFERROR(__xludf.DUMMYFUNCTION("""COMPUTED_VALUE"""),"")</f>
        <v/>
      </c>
      <c r="AC8423" s="16" t="str">
        <f>IFERROR(__xludf.DUMMYFUNCTION("""COMPUTED_VALUE"""),"")</f>
        <v/>
      </c>
    </row>
    <row r="8424">
      <c r="A8424" s="16" t="s">
        <v>87</v>
      </c>
      <c r="E8424" s="16" t="str">
        <f>IFERROR(__xludf.DUMMYFUNCTION("""COMPUTED_VALUE"""),"")</f>
        <v/>
      </c>
      <c r="G8424" s="18"/>
      <c r="H8424" s="16" t="s">
        <v>87</v>
      </c>
      <c r="I8424" s="16" t="s">
        <v>87</v>
      </c>
      <c r="J8424" s="19"/>
      <c r="L8424" s="16" t="str">
        <f>IFERROR(__xludf.DUMMYFUNCTION("""COMPUTED_VALUE"""),"")</f>
        <v/>
      </c>
      <c r="M8424" s="16" t="str">
        <f>IFERROR(__xludf.DUMMYFUNCTION("""COMPUTED_VALUE"""),"")</f>
        <v/>
      </c>
      <c r="U8424" s="16" t="s">
        <v>87</v>
      </c>
      <c r="V8424" s="16" t="str">
        <f>IFERROR(__xludf.DUMMYFUNCTION("""COMPUTED_VALUE"""),"")</f>
        <v/>
      </c>
      <c r="W8424" s="16" t="str">
        <f>IFERROR(__xludf.DUMMYFUNCTION("""COMPUTED_VALUE"""),"")</f>
        <v/>
      </c>
      <c r="X8424" s="16" t="str">
        <f>IFERROR(__xludf.DUMMYFUNCTION("""COMPUTED_VALUE"""),"")</f>
        <v/>
      </c>
      <c r="AC8424" s="16" t="str">
        <f>IFERROR(__xludf.DUMMYFUNCTION("""COMPUTED_VALUE"""),"")</f>
        <v/>
      </c>
    </row>
    <row r="8425">
      <c r="A8425" s="16" t="s">
        <v>87</v>
      </c>
      <c r="E8425" s="16" t="str">
        <f>IFERROR(__xludf.DUMMYFUNCTION("""COMPUTED_VALUE"""),"")</f>
        <v/>
      </c>
      <c r="G8425" s="18"/>
      <c r="H8425" s="16" t="s">
        <v>87</v>
      </c>
      <c r="I8425" s="16" t="s">
        <v>87</v>
      </c>
      <c r="J8425" s="19"/>
      <c r="L8425" s="16" t="str">
        <f>IFERROR(__xludf.DUMMYFUNCTION("""COMPUTED_VALUE"""),"")</f>
        <v/>
      </c>
      <c r="M8425" s="16" t="str">
        <f>IFERROR(__xludf.DUMMYFUNCTION("""COMPUTED_VALUE"""),"")</f>
        <v/>
      </c>
      <c r="U8425" s="16" t="s">
        <v>87</v>
      </c>
      <c r="V8425" s="16" t="str">
        <f>IFERROR(__xludf.DUMMYFUNCTION("""COMPUTED_VALUE"""),"")</f>
        <v/>
      </c>
      <c r="W8425" s="16" t="str">
        <f>IFERROR(__xludf.DUMMYFUNCTION("""COMPUTED_VALUE"""),"")</f>
        <v/>
      </c>
      <c r="X8425" s="16" t="str">
        <f>IFERROR(__xludf.DUMMYFUNCTION("""COMPUTED_VALUE"""),"")</f>
        <v/>
      </c>
      <c r="AC8425" s="16" t="str">
        <f>IFERROR(__xludf.DUMMYFUNCTION("""COMPUTED_VALUE"""),"")</f>
        <v/>
      </c>
    </row>
    <row r="8426">
      <c r="A8426" s="16" t="s">
        <v>87</v>
      </c>
      <c r="E8426" s="16" t="str">
        <f>IFERROR(__xludf.DUMMYFUNCTION("""COMPUTED_VALUE"""),"")</f>
        <v/>
      </c>
      <c r="G8426" s="18"/>
      <c r="H8426" s="16" t="s">
        <v>87</v>
      </c>
      <c r="I8426" s="16" t="s">
        <v>87</v>
      </c>
      <c r="J8426" s="19"/>
      <c r="L8426" s="16" t="str">
        <f>IFERROR(__xludf.DUMMYFUNCTION("""COMPUTED_VALUE"""),"")</f>
        <v/>
      </c>
      <c r="M8426" s="16" t="str">
        <f>IFERROR(__xludf.DUMMYFUNCTION("""COMPUTED_VALUE"""),"")</f>
        <v/>
      </c>
      <c r="U8426" s="16" t="s">
        <v>87</v>
      </c>
      <c r="V8426" s="16" t="str">
        <f>IFERROR(__xludf.DUMMYFUNCTION("""COMPUTED_VALUE"""),"")</f>
        <v/>
      </c>
      <c r="W8426" s="16" t="str">
        <f>IFERROR(__xludf.DUMMYFUNCTION("""COMPUTED_VALUE"""),"")</f>
        <v/>
      </c>
      <c r="X8426" s="16" t="str">
        <f>IFERROR(__xludf.DUMMYFUNCTION("""COMPUTED_VALUE"""),"")</f>
        <v/>
      </c>
      <c r="AC8426" s="16" t="str">
        <f>IFERROR(__xludf.DUMMYFUNCTION("""COMPUTED_VALUE"""),"")</f>
        <v/>
      </c>
    </row>
    <row r="8427">
      <c r="A8427" s="16" t="s">
        <v>87</v>
      </c>
      <c r="E8427" s="16" t="str">
        <f>IFERROR(__xludf.DUMMYFUNCTION("""COMPUTED_VALUE"""),"")</f>
        <v/>
      </c>
      <c r="G8427" s="18"/>
      <c r="H8427" s="16" t="s">
        <v>87</v>
      </c>
      <c r="I8427" s="16" t="s">
        <v>87</v>
      </c>
      <c r="J8427" s="19"/>
      <c r="L8427" s="16" t="str">
        <f>IFERROR(__xludf.DUMMYFUNCTION("""COMPUTED_VALUE"""),"")</f>
        <v/>
      </c>
      <c r="M8427" s="16" t="str">
        <f>IFERROR(__xludf.DUMMYFUNCTION("""COMPUTED_VALUE"""),"")</f>
        <v/>
      </c>
      <c r="U8427" s="16" t="s">
        <v>87</v>
      </c>
      <c r="V8427" s="16" t="str">
        <f>IFERROR(__xludf.DUMMYFUNCTION("""COMPUTED_VALUE"""),"")</f>
        <v/>
      </c>
      <c r="W8427" s="16" t="str">
        <f>IFERROR(__xludf.DUMMYFUNCTION("""COMPUTED_VALUE"""),"")</f>
        <v/>
      </c>
      <c r="X8427" s="16" t="str">
        <f>IFERROR(__xludf.DUMMYFUNCTION("""COMPUTED_VALUE"""),"")</f>
        <v/>
      </c>
      <c r="AC8427" s="16" t="str">
        <f>IFERROR(__xludf.DUMMYFUNCTION("""COMPUTED_VALUE"""),"")</f>
        <v/>
      </c>
    </row>
    <row r="8428">
      <c r="A8428" s="16" t="s">
        <v>87</v>
      </c>
      <c r="E8428" s="16" t="str">
        <f>IFERROR(__xludf.DUMMYFUNCTION("""COMPUTED_VALUE"""),"")</f>
        <v/>
      </c>
      <c r="G8428" s="18"/>
      <c r="H8428" s="16" t="s">
        <v>87</v>
      </c>
      <c r="I8428" s="16" t="s">
        <v>87</v>
      </c>
      <c r="J8428" s="19"/>
      <c r="L8428" s="16" t="str">
        <f>IFERROR(__xludf.DUMMYFUNCTION("""COMPUTED_VALUE"""),"")</f>
        <v/>
      </c>
      <c r="M8428" s="16" t="str">
        <f>IFERROR(__xludf.DUMMYFUNCTION("""COMPUTED_VALUE"""),"")</f>
        <v/>
      </c>
      <c r="U8428" s="16" t="s">
        <v>87</v>
      </c>
      <c r="V8428" s="16" t="str">
        <f>IFERROR(__xludf.DUMMYFUNCTION("""COMPUTED_VALUE"""),"")</f>
        <v/>
      </c>
      <c r="W8428" s="16" t="str">
        <f>IFERROR(__xludf.DUMMYFUNCTION("""COMPUTED_VALUE"""),"")</f>
        <v/>
      </c>
      <c r="X8428" s="16" t="str">
        <f>IFERROR(__xludf.DUMMYFUNCTION("""COMPUTED_VALUE"""),"")</f>
        <v/>
      </c>
      <c r="AC8428" s="16" t="str">
        <f>IFERROR(__xludf.DUMMYFUNCTION("""COMPUTED_VALUE"""),"")</f>
        <v/>
      </c>
    </row>
    <row r="8429">
      <c r="A8429" s="16" t="s">
        <v>87</v>
      </c>
      <c r="E8429" s="16" t="str">
        <f>IFERROR(__xludf.DUMMYFUNCTION("""COMPUTED_VALUE"""),"")</f>
        <v/>
      </c>
      <c r="G8429" s="18"/>
      <c r="H8429" s="16" t="s">
        <v>87</v>
      </c>
      <c r="I8429" s="16" t="s">
        <v>87</v>
      </c>
      <c r="J8429" s="19"/>
      <c r="L8429" s="16" t="str">
        <f>IFERROR(__xludf.DUMMYFUNCTION("""COMPUTED_VALUE"""),"")</f>
        <v/>
      </c>
      <c r="M8429" s="16" t="str">
        <f>IFERROR(__xludf.DUMMYFUNCTION("""COMPUTED_VALUE"""),"")</f>
        <v/>
      </c>
      <c r="U8429" s="16" t="s">
        <v>87</v>
      </c>
      <c r="V8429" s="16" t="str">
        <f>IFERROR(__xludf.DUMMYFUNCTION("""COMPUTED_VALUE"""),"")</f>
        <v/>
      </c>
      <c r="W8429" s="16" t="str">
        <f>IFERROR(__xludf.DUMMYFUNCTION("""COMPUTED_VALUE"""),"")</f>
        <v/>
      </c>
      <c r="X8429" s="16" t="str">
        <f>IFERROR(__xludf.DUMMYFUNCTION("""COMPUTED_VALUE"""),"")</f>
        <v/>
      </c>
      <c r="AC8429" s="16" t="str">
        <f>IFERROR(__xludf.DUMMYFUNCTION("""COMPUTED_VALUE"""),"")</f>
        <v/>
      </c>
    </row>
    <row r="8430">
      <c r="A8430" s="16" t="s">
        <v>87</v>
      </c>
      <c r="E8430" s="16" t="str">
        <f>IFERROR(__xludf.DUMMYFUNCTION("""COMPUTED_VALUE"""),"")</f>
        <v/>
      </c>
      <c r="G8430" s="18"/>
      <c r="H8430" s="16" t="s">
        <v>87</v>
      </c>
      <c r="I8430" s="16" t="s">
        <v>87</v>
      </c>
      <c r="J8430" s="19"/>
      <c r="L8430" s="16" t="str">
        <f>IFERROR(__xludf.DUMMYFUNCTION("""COMPUTED_VALUE"""),"")</f>
        <v/>
      </c>
      <c r="M8430" s="16" t="str">
        <f>IFERROR(__xludf.DUMMYFUNCTION("""COMPUTED_VALUE"""),"")</f>
        <v/>
      </c>
      <c r="U8430" s="16" t="s">
        <v>87</v>
      </c>
      <c r="V8430" s="16" t="str">
        <f>IFERROR(__xludf.DUMMYFUNCTION("""COMPUTED_VALUE"""),"")</f>
        <v/>
      </c>
      <c r="W8430" s="16" t="str">
        <f>IFERROR(__xludf.DUMMYFUNCTION("""COMPUTED_VALUE"""),"")</f>
        <v/>
      </c>
      <c r="X8430" s="16" t="str">
        <f>IFERROR(__xludf.DUMMYFUNCTION("""COMPUTED_VALUE"""),"")</f>
        <v/>
      </c>
      <c r="AC8430" s="16" t="str">
        <f>IFERROR(__xludf.DUMMYFUNCTION("""COMPUTED_VALUE"""),"")</f>
        <v/>
      </c>
    </row>
    <row r="8431">
      <c r="A8431" s="16" t="s">
        <v>87</v>
      </c>
      <c r="E8431" s="16" t="str">
        <f>IFERROR(__xludf.DUMMYFUNCTION("""COMPUTED_VALUE"""),"")</f>
        <v/>
      </c>
      <c r="G8431" s="18"/>
      <c r="H8431" s="16" t="s">
        <v>87</v>
      </c>
      <c r="I8431" s="16" t="s">
        <v>87</v>
      </c>
      <c r="J8431" s="19"/>
      <c r="L8431" s="16" t="str">
        <f>IFERROR(__xludf.DUMMYFUNCTION("""COMPUTED_VALUE"""),"")</f>
        <v/>
      </c>
      <c r="M8431" s="16" t="str">
        <f>IFERROR(__xludf.DUMMYFUNCTION("""COMPUTED_VALUE"""),"")</f>
        <v/>
      </c>
      <c r="U8431" s="16" t="s">
        <v>87</v>
      </c>
      <c r="V8431" s="16" t="str">
        <f>IFERROR(__xludf.DUMMYFUNCTION("""COMPUTED_VALUE"""),"")</f>
        <v/>
      </c>
      <c r="W8431" s="16" t="str">
        <f>IFERROR(__xludf.DUMMYFUNCTION("""COMPUTED_VALUE"""),"")</f>
        <v/>
      </c>
      <c r="X8431" s="16" t="str">
        <f>IFERROR(__xludf.DUMMYFUNCTION("""COMPUTED_VALUE"""),"")</f>
        <v/>
      </c>
      <c r="AC8431" s="16" t="str">
        <f>IFERROR(__xludf.DUMMYFUNCTION("""COMPUTED_VALUE"""),"")</f>
        <v/>
      </c>
    </row>
    <row r="8432">
      <c r="A8432" s="16" t="s">
        <v>87</v>
      </c>
      <c r="E8432" s="16" t="str">
        <f>IFERROR(__xludf.DUMMYFUNCTION("""COMPUTED_VALUE"""),"")</f>
        <v/>
      </c>
      <c r="G8432" s="18"/>
      <c r="H8432" s="16" t="s">
        <v>87</v>
      </c>
      <c r="I8432" s="16" t="s">
        <v>87</v>
      </c>
      <c r="J8432" s="19"/>
      <c r="L8432" s="16" t="str">
        <f>IFERROR(__xludf.DUMMYFUNCTION("""COMPUTED_VALUE"""),"")</f>
        <v/>
      </c>
      <c r="M8432" s="16" t="str">
        <f>IFERROR(__xludf.DUMMYFUNCTION("""COMPUTED_VALUE"""),"")</f>
        <v/>
      </c>
      <c r="U8432" s="16" t="s">
        <v>87</v>
      </c>
      <c r="V8432" s="16" t="str">
        <f>IFERROR(__xludf.DUMMYFUNCTION("""COMPUTED_VALUE"""),"")</f>
        <v/>
      </c>
      <c r="W8432" s="16" t="str">
        <f>IFERROR(__xludf.DUMMYFUNCTION("""COMPUTED_VALUE"""),"")</f>
        <v/>
      </c>
      <c r="X8432" s="16" t="str">
        <f>IFERROR(__xludf.DUMMYFUNCTION("""COMPUTED_VALUE"""),"")</f>
        <v/>
      </c>
      <c r="AC8432" s="16" t="str">
        <f>IFERROR(__xludf.DUMMYFUNCTION("""COMPUTED_VALUE"""),"")</f>
        <v/>
      </c>
    </row>
    <row r="8433">
      <c r="A8433" s="16" t="s">
        <v>87</v>
      </c>
      <c r="E8433" s="16" t="str">
        <f>IFERROR(__xludf.DUMMYFUNCTION("""COMPUTED_VALUE"""),"")</f>
        <v/>
      </c>
      <c r="G8433" s="18"/>
      <c r="H8433" s="16" t="s">
        <v>87</v>
      </c>
      <c r="I8433" s="16" t="s">
        <v>87</v>
      </c>
      <c r="J8433" s="19"/>
      <c r="L8433" s="16" t="str">
        <f>IFERROR(__xludf.DUMMYFUNCTION("""COMPUTED_VALUE"""),"")</f>
        <v/>
      </c>
      <c r="M8433" s="16" t="str">
        <f>IFERROR(__xludf.DUMMYFUNCTION("""COMPUTED_VALUE"""),"")</f>
        <v/>
      </c>
      <c r="U8433" s="16" t="s">
        <v>87</v>
      </c>
      <c r="V8433" s="16" t="str">
        <f>IFERROR(__xludf.DUMMYFUNCTION("""COMPUTED_VALUE"""),"")</f>
        <v/>
      </c>
      <c r="W8433" s="16" t="str">
        <f>IFERROR(__xludf.DUMMYFUNCTION("""COMPUTED_VALUE"""),"")</f>
        <v/>
      </c>
      <c r="X8433" s="16" t="str">
        <f>IFERROR(__xludf.DUMMYFUNCTION("""COMPUTED_VALUE"""),"")</f>
        <v/>
      </c>
      <c r="AC8433" s="16" t="str">
        <f>IFERROR(__xludf.DUMMYFUNCTION("""COMPUTED_VALUE"""),"")</f>
        <v/>
      </c>
    </row>
    <row r="8434">
      <c r="A8434" s="16" t="s">
        <v>87</v>
      </c>
      <c r="E8434" s="16" t="str">
        <f>IFERROR(__xludf.DUMMYFUNCTION("""COMPUTED_VALUE"""),"")</f>
        <v/>
      </c>
      <c r="G8434" s="18"/>
      <c r="H8434" s="16" t="s">
        <v>87</v>
      </c>
      <c r="I8434" s="16" t="s">
        <v>87</v>
      </c>
      <c r="J8434" s="19"/>
      <c r="L8434" s="16" t="str">
        <f>IFERROR(__xludf.DUMMYFUNCTION("""COMPUTED_VALUE"""),"")</f>
        <v/>
      </c>
      <c r="M8434" s="16" t="str">
        <f>IFERROR(__xludf.DUMMYFUNCTION("""COMPUTED_VALUE"""),"")</f>
        <v/>
      </c>
      <c r="U8434" s="16" t="s">
        <v>87</v>
      </c>
      <c r="V8434" s="16" t="str">
        <f>IFERROR(__xludf.DUMMYFUNCTION("""COMPUTED_VALUE"""),"")</f>
        <v/>
      </c>
      <c r="W8434" s="16" t="str">
        <f>IFERROR(__xludf.DUMMYFUNCTION("""COMPUTED_VALUE"""),"")</f>
        <v/>
      </c>
      <c r="X8434" s="16" t="str">
        <f>IFERROR(__xludf.DUMMYFUNCTION("""COMPUTED_VALUE"""),"")</f>
        <v/>
      </c>
      <c r="AC8434" s="16" t="str">
        <f>IFERROR(__xludf.DUMMYFUNCTION("""COMPUTED_VALUE"""),"")</f>
        <v/>
      </c>
    </row>
    <row r="8435">
      <c r="A8435" s="16" t="s">
        <v>87</v>
      </c>
      <c r="E8435" s="16" t="str">
        <f>IFERROR(__xludf.DUMMYFUNCTION("""COMPUTED_VALUE"""),"")</f>
        <v/>
      </c>
      <c r="G8435" s="18"/>
      <c r="H8435" s="16" t="s">
        <v>87</v>
      </c>
      <c r="I8435" s="16" t="s">
        <v>87</v>
      </c>
      <c r="J8435" s="19"/>
      <c r="L8435" s="16" t="str">
        <f>IFERROR(__xludf.DUMMYFUNCTION("""COMPUTED_VALUE"""),"")</f>
        <v/>
      </c>
      <c r="M8435" s="16" t="str">
        <f>IFERROR(__xludf.DUMMYFUNCTION("""COMPUTED_VALUE"""),"")</f>
        <v/>
      </c>
      <c r="U8435" s="16" t="s">
        <v>87</v>
      </c>
      <c r="V8435" s="16" t="str">
        <f>IFERROR(__xludf.DUMMYFUNCTION("""COMPUTED_VALUE"""),"")</f>
        <v/>
      </c>
      <c r="W8435" s="16" t="str">
        <f>IFERROR(__xludf.DUMMYFUNCTION("""COMPUTED_VALUE"""),"")</f>
        <v/>
      </c>
      <c r="X8435" s="16" t="str">
        <f>IFERROR(__xludf.DUMMYFUNCTION("""COMPUTED_VALUE"""),"")</f>
        <v/>
      </c>
      <c r="AC8435" s="16" t="str">
        <f>IFERROR(__xludf.DUMMYFUNCTION("""COMPUTED_VALUE"""),"")</f>
        <v/>
      </c>
    </row>
    <row r="8436">
      <c r="A8436" s="16" t="s">
        <v>87</v>
      </c>
      <c r="E8436" s="16" t="str">
        <f>IFERROR(__xludf.DUMMYFUNCTION("""COMPUTED_VALUE"""),"")</f>
        <v/>
      </c>
      <c r="G8436" s="18"/>
      <c r="H8436" s="16" t="s">
        <v>87</v>
      </c>
      <c r="I8436" s="16" t="s">
        <v>87</v>
      </c>
      <c r="J8436" s="19"/>
      <c r="L8436" s="16" t="str">
        <f>IFERROR(__xludf.DUMMYFUNCTION("""COMPUTED_VALUE"""),"")</f>
        <v/>
      </c>
      <c r="M8436" s="16" t="str">
        <f>IFERROR(__xludf.DUMMYFUNCTION("""COMPUTED_VALUE"""),"")</f>
        <v/>
      </c>
      <c r="U8436" s="16" t="s">
        <v>87</v>
      </c>
      <c r="V8436" s="16" t="str">
        <f>IFERROR(__xludf.DUMMYFUNCTION("""COMPUTED_VALUE"""),"")</f>
        <v/>
      </c>
      <c r="W8436" s="16" t="str">
        <f>IFERROR(__xludf.DUMMYFUNCTION("""COMPUTED_VALUE"""),"")</f>
        <v/>
      </c>
      <c r="X8436" s="16" t="str">
        <f>IFERROR(__xludf.DUMMYFUNCTION("""COMPUTED_VALUE"""),"")</f>
        <v/>
      </c>
      <c r="AC8436" s="16" t="str">
        <f>IFERROR(__xludf.DUMMYFUNCTION("""COMPUTED_VALUE"""),"")</f>
        <v/>
      </c>
    </row>
    <row r="8437">
      <c r="A8437" s="16" t="s">
        <v>87</v>
      </c>
      <c r="E8437" s="16" t="str">
        <f>IFERROR(__xludf.DUMMYFUNCTION("""COMPUTED_VALUE"""),"")</f>
        <v/>
      </c>
      <c r="G8437" s="18"/>
      <c r="H8437" s="16" t="s">
        <v>87</v>
      </c>
      <c r="I8437" s="16" t="s">
        <v>87</v>
      </c>
      <c r="J8437" s="19"/>
      <c r="L8437" s="16" t="str">
        <f>IFERROR(__xludf.DUMMYFUNCTION("""COMPUTED_VALUE"""),"")</f>
        <v/>
      </c>
      <c r="M8437" s="16" t="str">
        <f>IFERROR(__xludf.DUMMYFUNCTION("""COMPUTED_VALUE"""),"")</f>
        <v/>
      </c>
      <c r="U8437" s="16" t="s">
        <v>87</v>
      </c>
      <c r="V8437" s="16" t="str">
        <f>IFERROR(__xludf.DUMMYFUNCTION("""COMPUTED_VALUE"""),"")</f>
        <v/>
      </c>
      <c r="W8437" s="16" t="str">
        <f>IFERROR(__xludf.DUMMYFUNCTION("""COMPUTED_VALUE"""),"")</f>
        <v/>
      </c>
      <c r="X8437" s="16" t="str">
        <f>IFERROR(__xludf.DUMMYFUNCTION("""COMPUTED_VALUE"""),"")</f>
        <v/>
      </c>
      <c r="AC8437" s="16" t="str">
        <f>IFERROR(__xludf.DUMMYFUNCTION("""COMPUTED_VALUE"""),"")</f>
        <v/>
      </c>
    </row>
    <row r="8438">
      <c r="A8438" s="16" t="s">
        <v>87</v>
      </c>
      <c r="E8438" s="16" t="str">
        <f>IFERROR(__xludf.DUMMYFUNCTION("""COMPUTED_VALUE"""),"")</f>
        <v/>
      </c>
      <c r="G8438" s="18"/>
      <c r="H8438" s="16" t="s">
        <v>87</v>
      </c>
      <c r="I8438" s="16" t="s">
        <v>87</v>
      </c>
      <c r="J8438" s="19"/>
      <c r="L8438" s="16" t="str">
        <f>IFERROR(__xludf.DUMMYFUNCTION("""COMPUTED_VALUE"""),"")</f>
        <v/>
      </c>
      <c r="M8438" s="16" t="str">
        <f>IFERROR(__xludf.DUMMYFUNCTION("""COMPUTED_VALUE"""),"")</f>
        <v/>
      </c>
      <c r="U8438" s="16" t="s">
        <v>87</v>
      </c>
      <c r="V8438" s="16" t="str">
        <f>IFERROR(__xludf.DUMMYFUNCTION("""COMPUTED_VALUE"""),"")</f>
        <v/>
      </c>
      <c r="W8438" s="16" t="str">
        <f>IFERROR(__xludf.DUMMYFUNCTION("""COMPUTED_VALUE"""),"")</f>
        <v/>
      </c>
      <c r="X8438" s="16" t="str">
        <f>IFERROR(__xludf.DUMMYFUNCTION("""COMPUTED_VALUE"""),"")</f>
        <v/>
      </c>
      <c r="AC8438" s="16" t="str">
        <f>IFERROR(__xludf.DUMMYFUNCTION("""COMPUTED_VALUE"""),"")</f>
        <v/>
      </c>
    </row>
    <row r="8439">
      <c r="A8439" s="16" t="s">
        <v>87</v>
      </c>
      <c r="E8439" s="16" t="str">
        <f>IFERROR(__xludf.DUMMYFUNCTION("""COMPUTED_VALUE"""),"")</f>
        <v/>
      </c>
      <c r="G8439" s="18"/>
      <c r="H8439" s="16" t="s">
        <v>87</v>
      </c>
      <c r="I8439" s="16" t="s">
        <v>87</v>
      </c>
      <c r="J8439" s="19"/>
      <c r="L8439" s="16" t="str">
        <f>IFERROR(__xludf.DUMMYFUNCTION("""COMPUTED_VALUE"""),"")</f>
        <v/>
      </c>
      <c r="M8439" s="16" t="str">
        <f>IFERROR(__xludf.DUMMYFUNCTION("""COMPUTED_VALUE"""),"")</f>
        <v/>
      </c>
      <c r="U8439" s="16" t="s">
        <v>87</v>
      </c>
      <c r="V8439" s="16" t="str">
        <f>IFERROR(__xludf.DUMMYFUNCTION("""COMPUTED_VALUE"""),"")</f>
        <v/>
      </c>
      <c r="W8439" s="16" t="str">
        <f>IFERROR(__xludf.DUMMYFUNCTION("""COMPUTED_VALUE"""),"")</f>
        <v/>
      </c>
      <c r="X8439" s="16" t="str">
        <f>IFERROR(__xludf.DUMMYFUNCTION("""COMPUTED_VALUE"""),"")</f>
        <v/>
      </c>
      <c r="AC8439" s="16" t="str">
        <f>IFERROR(__xludf.DUMMYFUNCTION("""COMPUTED_VALUE"""),"")</f>
        <v/>
      </c>
    </row>
    <row r="8440">
      <c r="A8440" s="16" t="s">
        <v>87</v>
      </c>
      <c r="E8440" s="16" t="str">
        <f>IFERROR(__xludf.DUMMYFUNCTION("""COMPUTED_VALUE"""),"")</f>
        <v/>
      </c>
      <c r="G8440" s="18"/>
      <c r="H8440" s="16" t="s">
        <v>87</v>
      </c>
      <c r="I8440" s="16" t="s">
        <v>87</v>
      </c>
      <c r="J8440" s="19"/>
      <c r="L8440" s="16" t="str">
        <f>IFERROR(__xludf.DUMMYFUNCTION("""COMPUTED_VALUE"""),"")</f>
        <v/>
      </c>
      <c r="M8440" s="16" t="str">
        <f>IFERROR(__xludf.DUMMYFUNCTION("""COMPUTED_VALUE"""),"")</f>
        <v/>
      </c>
      <c r="U8440" s="16" t="s">
        <v>87</v>
      </c>
      <c r="V8440" s="16" t="str">
        <f>IFERROR(__xludf.DUMMYFUNCTION("""COMPUTED_VALUE"""),"")</f>
        <v/>
      </c>
      <c r="W8440" s="16" t="str">
        <f>IFERROR(__xludf.DUMMYFUNCTION("""COMPUTED_VALUE"""),"")</f>
        <v/>
      </c>
      <c r="X8440" s="16" t="str">
        <f>IFERROR(__xludf.DUMMYFUNCTION("""COMPUTED_VALUE"""),"")</f>
        <v/>
      </c>
      <c r="AC8440" s="16" t="str">
        <f>IFERROR(__xludf.DUMMYFUNCTION("""COMPUTED_VALUE"""),"")</f>
        <v/>
      </c>
    </row>
    <row r="8441">
      <c r="A8441" s="16" t="s">
        <v>87</v>
      </c>
      <c r="E8441" s="16" t="str">
        <f>IFERROR(__xludf.DUMMYFUNCTION("""COMPUTED_VALUE"""),"")</f>
        <v/>
      </c>
      <c r="G8441" s="18"/>
      <c r="H8441" s="16" t="s">
        <v>87</v>
      </c>
      <c r="I8441" s="16" t="s">
        <v>87</v>
      </c>
      <c r="J8441" s="19"/>
      <c r="L8441" s="16" t="str">
        <f>IFERROR(__xludf.DUMMYFUNCTION("""COMPUTED_VALUE"""),"")</f>
        <v/>
      </c>
      <c r="M8441" s="16" t="str">
        <f>IFERROR(__xludf.DUMMYFUNCTION("""COMPUTED_VALUE"""),"")</f>
        <v/>
      </c>
      <c r="U8441" s="16" t="s">
        <v>87</v>
      </c>
      <c r="V8441" s="16" t="str">
        <f>IFERROR(__xludf.DUMMYFUNCTION("""COMPUTED_VALUE"""),"")</f>
        <v/>
      </c>
      <c r="W8441" s="16" t="str">
        <f>IFERROR(__xludf.DUMMYFUNCTION("""COMPUTED_VALUE"""),"")</f>
        <v/>
      </c>
      <c r="X8441" s="16" t="str">
        <f>IFERROR(__xludf.DUMMYFUNCTION("""COMPUTED_VALUE"""),"")</f>
        <v/>
      </c>
      <c r="AC8441" s="16" t="str">
        <f>IFERROR(__xludf.DUMMYFUNCTION("""COMPUTED_VALUE"""),"")</f>
        <v/>
      </c>
    </row>
    <row r="8442">
      <c r="A8442" s="16" t="s">
        <v>87</v>
      </c>
      <c r="E8442" s="16" t="str">
        <f>IFERROR(__xludf.DUMMYFUNCTION("""COMPUTED_VALUE"""),"")</f>
        <v/>
      </c>
      <c r="G8442" s="18"/>
      <c r="H8442" s="16" t="s">
        <v>87</v>
      </c>
      <c r="I8442" s="16" t="s">
        <v>87</v>
      </c>
      <c r="J8442" s="19"/>
      <c r="L8442" s="16" t="str">
        <f>IFERROR(__xludf.DUMMYFUNCTION("""COMPUTED_VALUE"""),"")</f>
        <v/>
      </c>
      <c r="M8442" s="16" t="str">
        <f>IFERROR(__xludf.DUMMYFUNCTION("""COMPUTED_VALUE"""),"")</f>
        <v/>
      </c>
      <c r="U8442" s="16" t="s">
        <v>87</v>
      </c>
      <c r="V8442" s="16" t="str">
        <f>IFERROR(__xludf.DUMMYFUNCTION("""COMPUTED_VALUE"""),"")</f>
        <v/>
      </c>
      <c r="W8442" s="16" t="str">
        <f>IFERROR(__xludf.DUMMYFUNCTION("""COMPUTED_VALUE"""),"")</f>
        <v/>
      </c>
      <c r="X8442" s="16" t="str">
        <f>IFERROR(__xludf.DUMMYFUNCTION("""COMPUTED_VALUE"""),"")</f>
        <v/>
      </c>
      <c r="AC8442" s="16" t="str">
        <f>IFERROR(__xludf.DUMMYFUNCTION("""COMPUTED_VALUE"""),"")</f>
        <v/>
      </c>
    </row>
    <row r="8443">
      <c r="A8443" s="16" t="s">
        <v>87</v>
      </c>
      <c r="E8443" s="16" t="str">
        <f>IFERROR(__xludf.DUMMYFUNCTION("""COMPUTED_VALUE"""),"")</f>
        <v/>
      </c>
      <c r="G8443" s="18"/>
      <c r="H8443" s="16" t="s">
        <v>87</v>
      </c>
      <c r="I8443" s="16" t="s">
        <v>87</v>
      </c>
      <c r="J8443" s="19"/>
      <c r="L8443" s="16" t="str">
        <f>IFERROR(__xludf.DUMMYFUNCTION("""COMPUTED_VALUE"""),"")</f>
        <v/>
      </c>
      <c r="M8443" s="16" t="str">
        <f>IFERROR(__xludf.DUMMYFUNCTION("""COMPUTED_VALUE"""),"")</f>
        <v/>
      </c>
      <c r="U8443" s="16" t="s">
        <v>87</v>
      </c>
      <c r="V8443" s="16" t="str">
        <f>IFERROR(__xludf.DUMMYFUNCTION("""COMPUTED_VALUE"""),"")</f>
        <v/>
      </c>
      <c r="W8443" s="16" t="str">
        <f>IFERROR(__xludf.DUMMYFUNCTION("""COMPUTED_VALUE"""),"")</f>
        <v/>
      </c>
      <c r="X8443" s="16" t="str">
        <f>IFERROR(__xludf.DUMMYFUNCTION("""COMPUTED_VALUE"""),"")</f>
        <v/>
      </c>
      <c r="AC8443" s="16" t="str">
        <f>IFERROR(__xludf.DUMMYFUNCTION("""COMPUTED_VALUE"""),"")</f>
        <v/>
      </c>
    </row>
    <row r="8444">
      <c r="A8444" s="16" t="s">
        <v>87</v>
      </c>
      <c r="E8444" s="16" t="str">
        <f>IFERROR(__xludf.DUMMYFUNCTION("""COMPUTED_VALUE"""),"")</f>
        <v/>
      </c>
      <c r="G8444" s="18"/>
      <c r="H8444" s="16" t="s">
        <v>87</v>
      </c>
      <c r="I8444" s="16" t="s">
        <v>87</v>
      </c>
      <c r="J8444" s="19"/>
      <c r="L8444" s="16" t="str">
        <f>IFERROR(__xludf.DUMMYFUNCTION("""COMPUTED_VALUE"""),"")</f>
        <v/>
      </c>
      <c r="M8444" s="16" t="str">
        <f>IFERROR(__xludf.DUMMYFUNCTION("""COMPUTED_VALUE"""),"")</f>
        <v/>
      </c>
      <c r="U8444" s="16" t="s">
        <v>87</v>
      </c>
      <c r="V8444" s="16" t="str">
        <f>IFERROR(__xludf.DUMMYFUNCTION("""COMPUTED_VALUE"""),"")</f>
        <v/>
      </c>
      <c r="W8444" s="16" t="str">
        <f>IFERROR(__xludf.DUMMYFUNCTION("""COMPUTED_VALUE"""),"")</f>
        <v/>
      </c>
      <c r="X8444" s="16" t="str">
        <f>IFERROR(__xludf.DUMMYFUNCTION("""COMPUTED_VALUE"""),"")</f>
        <v/>
      </c>
      <c r="AC8444" s="16" t="str">
        <f>IFERROR(__xludf.DUMMYFUNCTION("""COMPUTED_VALUE"""),"")</f>
        <v/>
      </c>
    </row>
    <row r="8445">
      <c r="A8445" s="16" t="s">
        <v>87</v>
      </c>
      <c r="E8445" s="16" t="str">
        <f>IFERROR(__xludf.DUMMYFUNCTION("""COMPUTED_VALUE"""),"")</f>
        <v/>
      </c>
      <c r="G8445" s="18"/>
      <c r="H8445" s="16" t="s">
        <v>87</v>
      </c>
      <c r="I8445" s="16" t="s">
        <v>87</v>
      </c>
      <c r="J8445" s="19"/>
      <c r="L8445" s="16" t="str">
        <f>IFERROR(__xludf.DUMMYFUNCTION("""COMPUTED_VALUE"""),"")</f>
        <v/>
      </c>
      <c r="M8445" s="16" t="str">
        <f>IFERROR(__xludf.DUMMYFUNCTION("""COMPUTED_VALUE"""),"")</f>
        <v/>
      </c>
      <c r="U8445" s="16" t="s">
        <v>87</v>
      </c>
      <c r="V8445" s="16" t="str">
        <f>IFERROR(__xludf.DUMMYFUNCTION("""COMPUTED_VALUE"""),"")</f>
        <v/>
      </c>
      <c r="W8445" s="16" t="str">
        <f>IFERROR(__xludf.DUMMYFUNCTION("""COMPUTED_VALUE"""),"")</f>
        <v/>
      </c>
      <c r="X8445" s="16" t="str">
        <f>IFERROR(__xludf.DUMMYFUNCTION("""COMPUTED_VALUE"""),"")</f>
        <v/>
      </c>
      <c r="AC8445" s="16" t="str">
        <f>IFERROR(__xludf.DUMMYFUNCTION("""COMPUTED_VALUE"""),"")</f>
        <v/>
      </c>
    </row>
    <row r="8446">
      <c r="A8446" s="16" t="s">
        <v>87</v>
      </c>
      <c r="E8446" s="16" t="str">
        <f>IFERROR(__xludf.DUMMYFUNCTION("""COMPUTED_VALUE"""),"")</f>
        <v/>
      </c>
      <c r="G8446" s="18"/>
      <c r="H8446" s="16" t="s">
        <v>87</v>
      </c>
      <c r="I8446" s="16" t="s">
        <v>87</v>
      </c>
      <c r="J8446" s="19"/>
      <c r="L8446" s="16" t="str">
        <f>IFERROR(__xludf.DUMMYFUNCTION("""COMPUTED_VALUE"""),"")</f>
        <v/>
      </c>
      <c r="M8446" s="16" t="str">
        <f>IFERROR(__xludf.DUMMYFUNCTION("""COMPUTED_VALUE"""),"")</f>
        <v/>
      </c>
      <c r="U8446" s="16" t="s">
        <v>87</v>
      </c>
      <c r="V8446" s="16" t="str">
        <f>IFERROR(__xludf.DUMMYFUNCTION("""COMPUTED_VALUE"""),"")</f>
        <v/>
      </c>
      <c r="W8446" s="16" t="str">
        <f>IFERROR(__xludf.DUMMYFUNCTION("""COMPUTED_VALUE"""),"")</f>
        <v/>
      </c>
      <c r="X8446" s="16" t="str">
        <f>IFERROR(__xludf.DUMMYFUNCTION("""COMPUTED_VALUE"""),"")</f>
        <v/>
      </c>
      <c r="AC8446" s="16" t="str">
        <f>IFERROR(__xludf.DUMMYFUNCTION("""COMPUTED_VALUE"""),"")</f>
        <v/>
      </c>
    </row>
    <row r="8447">
      <c r="A8447" s="16" t="s">
        <v>87</v>
      </c>
      <c r="E8447" s="16" t="str">
        <f>IFERROR(__xludf.DUMMYFUNCTION("""COMPUTED_VALUE"""),"")</f>
        <v/>
      </c>
      <c r="G8447" s="18"/>
      <c r="H8447" s="16" t="s">
        <v>87</v>
      </c>
      <c r="I8447" s="16" t="s">
        <v>87</v>
      </c>
      <c r="J8447" s="19"/>
      <c r="L8447" s="16" t="str">
        <f>IFERROR(__xludf.DUMMYFUNCTION("""COMPUTED_VALUE"""),"")</f>
        <v/>
      </c>
      <c r="M8447" s="16" t="str">
        <f>IFERROR(__xludf.DUMMYFUNCTION("""COMPUTED_VALUE"""),"")</f>
        <v/>
      </c>
      <c r="U8447" s="16" t="s">
        <v>87</v>
      </c>
      <c r="V8447" s="16" t="str">
        <f>IFERROR(__xludf.DUMMYFUNCTION("""COMPUTED_VALUE"""),"")</f>
        <v/>
      </c>
      <c r="W8447" s="16" t="str">
        <f>IFERROR(__xludf.DUMMYFUNCTION("""COMPUTED_VALUE"""),"")</f>
        <v/>
      </c>
      <c r="X8447" s="16" t="str">
        <f>IFERROR(__xludf.DUMMYFUNCTION("""COMPUTED_VALUE"""),"")</f>
        <v/>
      </c>
      <c r="AC8447" s="16" t="str">
        <f>IFERROR(__xludf.DUMMYFUNCTION("""COMPUTED_VALUE"""),"")</f>
        <v/>
      </c>
    </row>
    <row r="8448">
      <c r="A8448" s="16" t="s">
        <v>87</v>
      </c>
      <c r="E8448" s="16" t="str">
        <f>IFERROR(__xludf.DUMMYFUNCTION("""COMPUTED_VALUE"""),"")</f>
        <v/>
      </c>
      <c r="G8448" s="18"/>
      <c r="H8448" s="16" t="s">
        <v>87</v>
      </c>
      <c r="I8448" s="16" t="s">
        <v>87</v>
      </c>
      <c r="J8448" s="19"/>
      <c r="L8448" s="16" t="str">
        <f>IFERROR(__xludf.DUMMYFUNCTION("""COMPUTED_VALUE"""),"")</f>
        <v/>
      </c>
      <c r="M8448" s="16" t="str">
        <f>IFERROR(__xludf.DUMMYFUNCTION("""COMPUTED_VALUE"""),"")</f>
        <v/>
      </c>
      <c r="U8448" s="16" t="s">
        <v>87</v>
      </c>
      <c r="V8448" s="16" t="str">
        <f>IFERROR(__xludf.DUMMYFUNCTION("""COMPUTED_VALUE"""),"")</f>
        <v/>
      </c>
      <c r="W8448" s="16" t="str">
        <f>IFERROR(__xludf.DUMMYFUNCTION("""COMPUTED_VALUE"""),"")</f>
        <v/>
      </c>
      <c r="X8448" s="16" t="str">
        <f>IFERROR(__xludf.DUMMYFUNCTION("""COMPUTED_VALUE"""),"")</f>
        <v/>
      </c>
      <c r="AC8448" s="16" t="str">
        <f>IFERROR(__xludf.DUMMYFUNCTION("""COMPUTED_VALUE"""),"")</f>
        <v/>
      </c>
    </row>
    <row r="8449">
      <c r="A8449" s="16" t="s">
        <v>87</v>
      </c>
      <c r="E8449" s="16" t="str">
        <f>IFERROR(__xludf.DUMMYFUNCTION("""COMPUTED_VALUE"""),"")</f>
        <v/>
      </c>
      <c r="G8449" s="18"/>
      <c r="H8449" s="16" t="s">
        <v>87</v>
      </c>
      <c r="I8449" s="16" t="s">
        <v>87</v>
      </c>
      <c r="J8449" s="19"/>
      <c r="L8449" s="16" t="str">
        <f>IFERROR(__xludf.DUMMYFUNCTION("""COMPUTED_VALUE"""),"")</f>
        <v/>
      </c>
      <c r="M8449" s="16" t="str">
        <f>IFERROR(__xludf.DUMMYFUNCTION("""COMPUTED_VALUE"""),"")</f>
        <v/>
      </c>
      <c r="U8449" s="16" t="s">
        <v>87</v>
      </c>
      <c r="V8449" s="16" t="str">
        <f>IFERROR(__xludf.DUMMYFUNCTION("""COMPUTED_VALUE"""),"")</f>
        <v/>
      </c>
      <c r="W8449" s="16" t="str">
        <f>IFERROR(__xludf.DUMMYFUNCTION("""COMPUTED_VALUE"""),"")</f>
        <v/>
      </c>
      <c r="X8449" s="16" t="str">
        <f>IFERROR(__xludf.DUMMYFUNCTION("""COMPUTED_VALUE"""),"")</f>
        <v/>
      </c>
      <c r="AC8449" s="16" t="str">
        <f>IFERROR(__xludf.DUMMYFUNCTION("""COMPUTED_VALUE"""),"")</f>
        <v/>
      </c>
    </row>
    <row r="8450">
      <c r="A8450" s="16" t="s">
        <v>87</v>
      </c>
      <c r="E8450" s="16" t="str">
        <f>IFERROR(__xludf.DUMMYFUNCTION("""COMPUTED_VALUE"""),"")</f>
        <v/>
      </c>
      <c r="G8450" s="18"/>
      <c r="H8450" s="16" t="s">
        <v>87</v>
      </c>
      <c r="I8450" s="16" t="s">
        <v>87</v>
      </c>
      <c r="J8450" s="19"/>
      <c r="L8450" s="16" t="str">
        <f>IFERROR(__xludf.DUMMYFUNCTION("""COMPUTED_VALUE"""),"")</f>
        <v/>
      </c>
      <c r="M8450" s="16" t="str">
        <f>IFERROR(__xludf.DUMMYFUNCTION("""COMPUTED_VALUE"""),"")</f>
        <v/>
      </c>
      <c r="U8450" s="16" t="s">
        <v>87</v>
      </c>
      <c r="V8450" s="16" t="str">
        <f>IFERROR(__xludf.DUMMYFUNCTION("""COMPUTED_VALUE"""),"")</f>
        <v/>
      </c>
      <c r="W8450" s="16" t="str">
        <f>IFERROR(__xludf.DUMMYFUNCTION("""COMPUTED_VALUE"""),"")</f>
        <v/>
      </c>
      <c r="X8450" s="16" t="str">
        <f>IFERROR(__xludf.DUMMYFUNCTION("""COMPUTED_VALUE"""),"")</f>
        <v/>
      </c>
      <c r="AC8450" s="16" t="str">
        <f>IFERROR(__xludf.DUMMYFUNCTION("""COMPUTED_VALUE"""),"")</f>
        <v/>
      </c>
    </row>
    <row r="8451">
      <c r="A8451" s="16" t="s">
        <v>87</v>
      </c>
      <c r="E8451" s="16" t="str">
        <f>IFERROR(__xludf.DUMMYFUNCTION("""COMPUTED_VALUE"""),"")</f>
        <v/>
      </c>
      <c r="G8451" s="18"/>
      <c r="H8451" s="16" t="s">
        <v>87</v>
      </c>
      <c r="I8451" s="16" t="s">
        <v>87</v>
      </c>
      <c r="J8451" s="19"/>
      <c r="L8451" s="16" t="str">
        <f>IFERROR(__xludf.DUMMYFUNCTION("""COMPUTED_VALUE"""),"")</f>
        <v/>
      </c>
      <c r="M8451" s="16" t="str">
        <f>IFERROR(__xludf.DUMMYFUNCTION("""COMPUTED_VALUE"""),"")</f>
        <v/>
      </c>
      <c r="U8451" s="16" t="s">
        <v>87</v>
      </c>
      <c r="V8451" s="16" t="str">
        <f>IFERROR(__xludf.DUMMYFUNCTION("""COMPUTED_VALUE"""),"")</f>
        <v/>
      </c>
      <c r="W8451" s="16" t="str">
        <f>IFERROR(__xludf.DUMMYFUNCTION("""COMPUTED_VALUE"""),"")</f>
        <v/>
      </c>
      <c r="X8451" s="16" t="str">
        <f>IFERROR(__xludf.DUMMYFUNCTION("""COMPUTED_VALUE"""),"")</f>
        <v/>
      </c>
      <c r="AC8451" s="16" t="str">
        <f>IFERROR(__xludf.DUMMYFUNCTION("""COMPUTED_VALUE"""),"")</f>
        <v/>
      </c>
    </row>
    <row r="8452">
      <c r="A8452" s="16" t="s">
        <v>87</v>
      </c>
      <c r="E8452" s="16" t="str">
        <f>IFERROR(__xludf.DUMMYFUNCTION("""COMPUTED_VALUE"""),"")</f>
        <v/>
      </c>
      <c r="G8452" s="18"/>
      <c r="H8452" s="16" t="s">
        <v>87</v>
      </c>
      <c r="I8452" s="16" t="s">
        <v>87</v>
      </c>
      <c r="J8452" s="19"/>
      <c r="L8452" s="16" t="str">
        <f>IFERROR(__xludf.DUMMYFUNCTION("""COMPUTED_VALUE"""),"")</f>
        <v/>
      </c>
      <c r="M8452" s="16" t="str">
        <f>IFERROR(__xludf.DUMMYFUNCTION("""COMPUTED_VALUE"""),"")</f>
        <v/>
      </c>
      <c r="U8452" s="16" t="s">
        <v>87</v>
      </c>
      <c r="V8452" s="16" t="str">
        <f>IFERROR(__xludf.DUMMYFUNCTION("""COMPUTED_VALUE"""),"")</f>
        <v/>
      </c>
      <c r="W8452" s="16" t="str">
        <f>IFERROR(__xludf.DUMMYFUNCTION("""COMPUTED_VALUE"""),"")</f>
        <v/>
      </c>
      <c r="X8452" s="16" t="str">
        <f>IFERROR(__xludf.DUMMYFUNCTION("""COMPUTED_VALUE"""),"")</f>
        <v/>
      </c>
      <c r="AC8452" s="16" t="str">
        <f>IFERROR(__xludf.DUMMYFUNCTION("""COMPUTED_VALUE"""),"")</f>
        <v/>
      </c>
    </row>
    <row r="8453">
      <c r="A8453" s="16" t="s">
        <v>87</v>
      </c>
      <c r="E8453" s="16" t="str">
        <f>IFERROR(__xludf.DUMMYFUNCTION("""COMPUTED_VALUE"""),"")</f>
        <v/>
      </c>
      <c r="G8453" s="18"/>
      <c r="H8453" s="16" t="s">
        <v>87</v>
      </c>
      <c r="I8453" s="16" t="s">
        <v>87</v>
      </c>
      <c r="J8453" s="19"/>
      <c r="L8453" s="16" t="str">
        <f>IFERROR(__xludf.DUMMYFUNCTION("""COMPUTED_VALUE"""),"")</f>
        <v/>
      </c>
      <c r="M8453" s="16" t="str">
        <f>IFERROR(__xludf.DUMMYFUNCTION("""COMPUTED_VALUE"""),"")</f>
        <v/>
      </c>
      <c r="U8453" s="16" t="s">
        <v>87</v>
      </c>
      <c r="V8453" s="16" t="str">
        <f>IFERROR(__xludf.DUMMYFUNCTION("""COMPUTED_VALUE"""),"")</f>
        <v/>
      </c>
      <c r="W8453" s="16" t="str">
        <f>IFERROR(__xludf.DUMMYFUNCTION("""COMPUTED_VALUE"""),"")</f>
        <v/>
      </c>
      <c r="X8453" s="16" t="str">
        <f>IFERROR(__xludf.DUMMYFUNCTION("""COMPUTED_VALUE"""),"")</f>
        <v/>
      </c>
      <c r="AC8453" s="16" t="str">
        <f>IFERROR(__xludf.DUMMYFUNCTION("""COMPUTED_VALUE"""),"")</f>
        <v/>
      </c>
    </row>
    <row r="8454">
      <c r="A8454" s="16" t="s">
        <v>87</v>
      </c>
      <c r="E8454" s="16" t="str">
        <f>IFERROR(__xludf.DUMMYFUNCTION("""COMPUTED_VALUE"""),"")</f>
        <v/>
      </c>
      <c r="G8454" s="18"/>
      <c r="H8454" s="16" t="s">
        <v>87</v>
      </c>
      <c r="I8454" s="16" t="s">
        <v>87</v>
      </c>
      <c r="J8454" s="19"/>
      <c r="L8454" s="16" t="str">
        <f>IFERROR(__xludf.DUMMYFUNCTION("""COMPUTED_VALUE"""),"")</f>
        <v/>
      </c>
      <c r="M8454" s="16" t="str">
        <f>IFERROR(__xludf.DUMMYFUNCTION("""COMPUTED_VALUE"""),"")</f>
        <v/>
      </c>
      <c r="U8454" s="16" t="s">
        <v>87</v>
      </c>
      <c r="V8454" s="16" t="str">
        <f>IFERROR(__xludf.DUMMYFUNCTION("""COMPUTED_VALUE"""),"")</f>
        <v/>
      </c>
      <c r="W8454" s="16" t="str">
        <f>IFERROR(__xludf.DUMMYFUNCTION("""COMPUTED_VALUE"""),"")</f>
        <v/>
      </c>
      <c r="X8454" s="16" t="str">
        <f>IFERROR(__xludf.DUMMYFUNCTION("""COMPUTED_VALUE"""),"")</f>
        <v/>
      </c>
      <c r="AC8454" s="16" t="str">
        <f>IFERROR(__xludf.DUMMYFUNCTION("""COMPUTED_VALUE"""),"")</f>
        <v/>
      </c>
    </row>
    <row r="8455">
      <c r="A8455" s="16" t="s">
        <v>87</v>
      </c>
      <c r="E8455" s="16" t="str">
        <f>IFERROR(__xludf.DUMMYFUNCTION("""COMPUTED_VALUE"""),"")</f>
        <v/>
      </c>
      <c r="G8455" s="18"/>
      <c r="H8455" s="16" t="s">
        <v>87</v>
      </c>
      <c r="I8455" s="16" t="s">
        <v>87</v>
      </c>
      <c r="J8455" s="19"/>
      <c r="L8455" s="16" t="str">
        <f>IFERROR(__xludf.DUMMYFUNCTION("""COMPUTED_VALUE"""),"")</f>
        <v/>
      </c>
      <c r="M8455" s="16" t="str">
        <f>IFERROR(__xludf.DUMMYFUNCTION("""COMPUTED_VALUE"""),"")</f>
        <v/>
      </c>
      <c r="U8455" s="16" t="s">
        <v>87</v>
      </c>
      <c r="V8455" s="16" t="str">
        <f>IFERROR(__xludf.DUMMYFUNCTION("""COMPUTED_VALUE"""),"")</f>
        <v/>
      </c>
      <c r="W8455" s="16" t="str">
        <f>IFERROR(__xludf.DUMMYFUNCTION("""COMPUTED_VALUE"""),"")</f>
        <v/>
      </c>
      <c r="X8455" s="16" t="str">
        <f>IFERROR(__xludf.DUMMYFUNCTION("""COMPUTED_VALUE"""),"")</f>
        <v/>
      </c>
      <c r="AC8455" s="16" t="str">
        <f>IFERROR(__xludf.DUMMYFUNCTION("""COMPUTED_VALUE"""),"")</f>
        <v/>
      </c>
    </row>
    <row r="8456">
      <c r="A8456" s="16" t="s">
        <v>87</v>
      </c>
      <c r="E8456" s="16" t="str">
        <f>IFERROR(__xludf.DUMMYFUNCTION("""COMPUTED_VALUE"""),"")</f>
        <v/>
      </c>
      <c r="G8456" s="18"/>
      <c r="H8456" s="16" t="s">
        <v>87</v>
      </c>
      <c r="I8456" s="16" t="s">
        <v>87</v>
      </c>
      <c r="J8456" s="19"/>
      <c r="L8456" s="16" t="str">
        <f>IFERROR(__xludf.DUMMYFUNCTION("""COMPUTED_VALUE"""),"")</f>
        <v/>
      </c>
      <c r="M8456" s="16" t="str">
        <f>IFERROR(__xludf.DUMMYFUNCTION("""COMPUTED_VALUE"""),"")</f>
        <v/>
      </c>
      <c r="U8456" s="16" t="s">
        <v>87</v>
      </c>
      <c r="V8456" s="16" t="str">
        <f>IFERROR(__xludf.DUMMYFUNCTION("""COMPUTED_VALUE"""),"")</f>
        <v/>
      </c>
      <c r="W8456" s="16" t="str">
        <f>IFERROR(__xludf.DUMMYFUNCTION("""COMPUTED_VALUE"""),"")</f>
        <v/>
      </c>
      <c r="X8456" s="16" t="str">
        <f>IFERROR(__xludf.DUMMYFUNCTION("""COMPUTED_VALUE"""),"")</f>
        <v/>
      </c>
      <c r="AC8456" s="16" t="str">
        <f>IFERROR(__xludf.DUMMYFUNCTION("""COMPUTED_VALUE"""),"")</f>
        <v/>
      </c>
    </row>
    <row r="8457">
      <c r="A8457" s="16" t="s">
        <v>87</v>
      </c>
      <c r="E8457" s="16" t="str">
        <f>IFERROR(__xludf.DUMMYFUNCTION("""COMPUTED_VALUE"""),"")</f>
        <v/>
      </c>
      <c r="G8457" s="18"/>
      <c r="H8457" s="16" t="s">
        <v>87</v>
      </c>
      <c r="I8457" s="16" t="s">
        <v>87</v>
      </c>
      <c r="J8457" s="19"/>
      <c r="L8457" s="16" t="str">
        <f>IFERROR(__xludf.DUMMYFUNCTION("""COMPUTED_VALUE"""),"")</f>
        <v/>
      </c>
      <c r="M8457" s="16" t="str">
        <f>IFERROR(__xludf.DUMMYFUNCTION("""COMPUTED_VALUE"""),"")</f>
        <v/>
      </c>
      <c r="U8457" s="16" t="s">
        <v>87</v>
      </c>
      <c r="V8457" s="16" t="str">
        <f>IFERROR(__xludf.DUMMYFUNCTION("""COMPUTED_VALUE"""),"")</f>
        <v/>
      </c>
      <c r="W8457" s="16" t="str">
        <f>IFERROR(__xludf.DUMMYFUNCTION("""COMPUTED_VALUE"""),"")</f>
        <v/>
      </c>
      <c r="X8457" s="16" t="str">
        <f>IFERROR(__xludf.DUMMYFUNCTION("""COMPUTED_VALUE"""),"")</f>
        <v/>
      </c>
      <c r="AC8457" s="16" t="str">
        <f>IFERROR(__xludf.DUMMYFUNCTION("""COMPUTED_VALUE"""),"")</f>
        <v/>
      </c>
    </row>
    <row r="8458">
      <c r="A8458" s="16" t="s">
        <v>87</v>
      </c>
      <c r="E8458" s="16" t="str">
        <f>IFERROR(__xludf.DUMMYFUNCTION("""COMPUTED_VALUE"""),"")</f>
        <v/>
      </c>
      <c r="G8458" s="18"/>
      <c r="H8458" s="16" t="s">
        <v>87</v>
      </c>
      <c r="I8458" s="16" t="s">
        <v>87</v>
      </c>
      <c r="J8458" s="19"/>
      <c r="L8458" s="16" t="str">
        <f>IFERROR(__xludf.DUMMYFUNCTION("""COMPUTED_VALUE"""),"")</f>
        <v/>
      </c>
      <c r="M8458" s="16" t="str">
        <f>IFERROR(__xludf.DUMMYFUNCTION("""COMPUTED_VALUE"""),"")</f>
        <v/>
      </c>
      <c r="U8458" s="16" t="s">
        <v>87</v>
      </c>
      <c r="V8458" s="16" t="str">
        <f>IFERROR(__xludf.DUMMYFUNCTION("""COMPUTED_VALUE"""),"")</f>
        <v/>
      </c>
      <c r="W8458" s="16" t="str">
        <f>IFERROR(__xludf.DUMMYFUNCTION("""COMPUTED_VALUE"""),"")</f>
        <v/>
      </c>
      <c r="X8458" s="16" t="str">
        <f>IFERROR(__xludf.DUMMYFUNCTION("""COMPUTED_VALUE"""),"")</f>
        <v/>
      </c>
      <c r="AC8458" s="16" t="str">
        <f>IFERROR(__xludf.DUMMYFUNCTION("""COMPUTED_VALUE"""),"")</f>
        <v/>
      </c>
    </row>
    <row r="8459">
      <c r="A8459" s="16" t="s">
        <v>87</v>
      </c>
      <c r="E8459" s="16" t="str">
        <f>IFERROR(__xludf.DUMMYFUNCTION("""COMPUTED_VALUE"""),"")</f>
        <v/>
      </c>
      <c r="G8459" s="18"/>
      <c r="H8459" s="16" t="s">
        <v>87</v>
      </c>
      <c r="I8459" s="16" t="s">
        <v>87</v>
      </c>
      <c r="J8459" s="19"/>
      <c r="L8459" s="16" t="str">
        <f>IFERROR(__xludf.DUMMYFUNCTION("""COMPUTED_VALUE"""),"")</f>
        <v/>
      </c>
      <c r="M8459" s="16" t="str">
        <f>IFERROR(__xludf.DUMMYFUNCTION("""COMPUTED_VALUE"""),"")</f>
        <v/>
      </c>
      <c r="U8459" s="16" t="s">
        <v>87</v>
      </c>
      <c r="V8459" s="16" t="str">
        <f>IFERROR(__xludf.DUMMYFUNCTION("""COMPUTED_VALUE"""),"")</f>
        <v/>
      </c>
      <c r="W8459" s="16" t="str">
        <f>IFERROR(__xludf.DUMMYFUNCTION("""COMPUTED_VALUE"""),"")</f>
        <v/>
      </c>
      <c r="X8459" s="16" t="str">
        <f>IFERROR(__xludf.DUMMYFUNCTION("""COMPUTED_VALUE"""),"")</f>
        <v/>
      </c>
      <c r="AC8459" s="16" t="str">
        <f>IFERROR(__xludf.DUMMYFUNCTION("""COMPUTED_VALUE"""),"")</f>
        <v/>
      </c>
    </row>
    <row r="8460">
      <c r="A8460" s="16" t="s">
        <v>87</v>
      </c>
      <c r="E8460" s="16" t="str">
        <f>IFERROR(__xludf.DUMMYFUNCTION("""COMPUTED_VALUE"""),"")</f>
        <v/>
      </c>
      <c r="G8460" s="18"/>
      <c r="H8460" s="16" t="s">
        <v>87</v>
      </c>
      <c r="I8460" s="16" t="s">
        <v>87</v>
      </c>
      <c r="J8460" s="19"/>
      <c r="L8460" s="16" t="str">
        <f>IFERROR(__xludf.DUMMYFUNCTION("""COMPUTED_VALUE"""),"")</f>
        <v/>
      </c>
      <c r="M8460" s="16" t="str">
        <f>IFERROR(__xludf.DUMMYFUNCTION("""COMPUTED_VALUE"""),"")</f>
        <v/>
      </c>
      <c r="U8460" s="16" t="s">
        <v>87</v>
      </c>
      <c r="V8460" s="16" t="str">
        <f>IFERROR(__xludf.DUMMYFUNCTION("""COMPUTED_VALUE"""),"")</f>
        <v/>
      </c>
      <c r="W8460" s="16" t="str">
        <f>IFERROR(__xludf.DUMMYFUNCTION("""COMPUTED_VALUE"""),"")</f>
        <v/>
      </c>
      <c r="X8460" s="16" t="str">
        <f>IFERROR(__xludf.DUMMYFUNCTION("""COMPUTED_VALUE"""),"")</f>
        <v/>
      </c>
      <c r="AC8460" s="16" t="str">
        <f>IFERROR(__xludf.DUMMYFUNCTION("""COMPUTED_VALUE"""),"")</f>
        <v/>
      </c>
    </row>
    <row r="8461">
      <c r="A8461" s="16" t="s">
        <v>87</v>
      </c>
      <c r="E8461" s="16" t="str">
        <f>IFERROR(__xludf.DUMMYFUNCTION("""COMPUTED_VALUE"""),"")</f>
        <v/>
      </c>
      <c r="G8461" s="18"/>
      <c r="H8461" s="16" t="s">
        <v>87</v>
      </c>
      <c r="I8461" s="16" t="s">
        <v>87</v>
      </c>
      <c r="J8461" s="19"/>
      <c r="L8461" s="16" t="str">
        <f>IFERROR(__xludf.DUMMYFUNCTION("""COMPUTED_VALUE"""),"")</f>
        <v/>
      </c>
      <c r="M8461" s="16" t="str">
        <f>IFERROR(__xludf.DUMMYFUNCTION("""COMPUTED_VALUE"""),"")</f>
        <v/>
      </c>
      <c r="U8461" s="16" t="s">
        <v>87</v>
      </c>
      <c r="V8461" s="16" t="str">
        <f>IFERROR(__xludf.DUMMYFUNCTION("""COMPUTED_VALUE"""),"")</f>
        <v/>
      </c>
      <c r="W8461" s="16" t="str">
        <f>IFERROR(__xludf.DUMMYFUNCTION("""COMPUTED_VALUE"""),"")</f>
        <v/>
      </c>
      <c r="X8461" s="16" t="str">
        <f>IFERROR(__xludf.DUMMYFUNCTION("""COMPUTED_VALUE"""),"")</f>
        <v/>
      </c>
      <c r="AC8461" s="16" t="str">
        <f>IFERROR(__xludf.DUMMYFUNCTION("""COMPUTED_VALUE"""),"")</f>
        <v/>
      </c>
    </row>
    <row r="8462">
      <c r="A8462" s="16" t="s">
        <v>87</v>
      </c>
      <c r="E8462" s="16" t="str">
        <f>IFERROR(__xludf.DUMMYFUNCTION("""COMPUTED_VALUE"""),"")</f>
        <v/>
      </c>
      <c r="G8462" s="18"/>
      <c r="H8462" s="16" t="s">
        <v>87</v>
      </c>
      <c r="I8462" s="16" t="s">
        <v>87</v>
      </c>
      <c r="J8462" s="19"/>
      <c r="L8462" s="16" t="str">
        <f>IFERROR(__xludf.DUMMYFUNCTION("""COMPUTED_VALUE"""),"")</f>
        <v/>
      </c>
      <c r="M8462" s="16" t="str">
        <f>IFERROR(__xludf.DUMMYFUNCTION("""COMPUTED_VALUE"""),"")</f>
        <v/>
      </c>
      <c r="U8462" s="16" t="s">
        <v>87</v>
      </c>
      <c r="V8462" s="16" t="str">
        <f>IFERROR(__xludf.DUMMYFUNCTION("""COMPUTED_VALUE"""),"")</f>
        <v/>
      </c>
      <c r="W8462" s="16" t="str">
        <f>IFERROR(__xludf.DUMMYFUNCTION("""COMPUTED_VALUE"""),"")</f>
        <v/>
      </c>
      <c r="X8462" s="16" t="str">
        <f>IFERROR(__xludf.DUMMYFUNCTION("""COMPUTED_VALUE"""),"")</f>
        <v/>
      </c>
      <c r="AC8462" s="16" t="str">
        <f>IFERROR(__xludf.DUMMYFUNCTION("""COMPUTED_VALUE"""),"")</f>
        <v/>
      </c>
    </row>
    <row r="8463">
      <c r="A8463" s="16" t="s">
        <v>87</v>
      </c>
      <c r="E8463" s="16" t="str">
        <f>IFERROR(__xludf.DUMMYFUNCTION("""COMPUTED_VALUE"""),"")</f>
        <v/>
      </c>
      <c r="G8463" s="18"/>
      <c r="H8463" s="16" t="s">
        <v>87</v>
      </c>
      <c r="I8463" s="16" t="s">
        <v>87</v>
      </c>
      <c r="J8463" s="19"/>
      <c r="L8463" s="16" t="str">
        <f>IFERROR(__xludf.DUMMYFUNCTION("""COMPUTED_VALUE"""),"")</f>
        <v/>
      </c>
      <c r="M8463" s="16" t="str">
        <f>IFERROR(__xludf.DUMMYFUNCTION("""COMPUTED_VALUE"""),"")</f>
        <v/>
      </c>
      <c r="U8463" s="16" t="s">
        <v>87</v>
      </c>
      <c r="V8463" s="16" t="str">
        <f>IFERROR(__xludf.DUMMYFUNCTION("""COMPUTED_VALUE"""),"")</f>
        <v/>
      </c>
      <c r="W8463" s="16" t="str">
        <f>IFERROR(__xludf.DUMMYFUNCTION("""COMPUTED_VALUE"""),"")</f>
        <v/>
      </c>
      <c r="X8463" s="16" t="str">
        <f>IFERROR(__xludf.DUMMYFUNCTION("""COMPUTED_VALUE"""),"")</f>
        <v/>
      </c>
      <c r="AC8463" s="16" t="str">
        <f>IFERROR(__xludf.DUMMYFUNCTION("""COMPUTED_VALUE"""),"")</f>
        <v/>
      </c>
    </row>
    <row r="8464">
      <c r="A8464" s="16" t="s">
        <v>87</v>
      </c>
      <c r="E8464" s="16" t="str">
        <f>IFERROR(__xludf.DUMMYFUNCTION("""COMPUTED_VALUE"""),"")</f>
        <v/>
      </c>
      <c r="G8464" s="18"/>
      <c r="H8464" s="16" t="s">
        <v>87</v>
      </c>
      <c r="I8464" s="16" t="s">
        <v>87</v>
      </c>
      <c r="J8464" s="19"/>
      <c r="L8464" s="16" t="str">
        <f>IFERROR(__xludf.DUMMYFUNCTION("""COMPUTED_VALUE"""),"")</f>
        <v/>
      </c>
      <c r="M8464" s="16" t="str">
        <f>IFERROR(__xludf.DUMMYFUNCTION("""COMPUTED_VALUE"""),"")</f>
        <v/>
      </c>
      <c r="U8464" s="16" t="s">
        <v>87</v>
      </c>
      <c r="V8464" s="16" t="str">
        <f>IFERROR(__xludf.DUMMYFUNCTION("""COMPUTED_VALUE"""),"")</f>
        <v/>
      </c>
      <c r="W8464" s="16" t="str">
        <f>IFERROR(__xludf.DUMMYFUNCTION("""COMPUTED_VALUE"""),"")</f>
        <v/>
      </c>
      <c r="X8464" s="16" t="str">
        <f>IFERROR(__xludf.DUMMYFUNCTION("""COMPUTED_VALUE"""),"")</f>
        <v/>
      </c>
      <c r="AC8464" s="16" t="str">
        <f>IFERROR(__xludf.DUMMYFUNCTION("""COMPUTED_VALUE"""),"")</f>
        <v/>
      </c>
    </row>
    <row r="8465">
      <c r="A8465" s="16" t="s">
        <v>87</v>
      </c>
      <c r="E8465" s="16" t="str">
        <f>IFERROR(__xludf.DUMMYFUNCTION("""COMPUTED_VALUE"""),"")</f>
        <v/>
      </c>
      <c r="G8465" s="18"/>
      <c r="H8465" s="16" t="s">
        <v>87</v>
      </c>
      <c r="I8465" s="16" t="s">
        <v>87</v>
      </c>
      <c r="J8465" s="19"/>
      <c r="L8465" s="16" t="str">
        <f>IFERROR(__xludf.DUMMYFUNCTION("""COMPUTED_VALUE"""),"")</f>
        <v/>
      </c>
      <c r="M8465" s="16" t="str">
        <f>IFERROR(__xludf.DUMMYFUNCTION("""COMPUTED_VALUE"""),"")</f>
        <v/>
      </c>
      <c r="U8465" s="16" t="s">
        <v>87</v>
      </c>
      <c r="V8465" s="16" t="str">
        <f>IFERROR(__xludf.DUMMYFUNCTION("""COMPUTED_VALUE"""),"")</f>
        <v/>
      </c>
      <c r="W8465" s="16" t="str">
        <f>IFERROR(__xludf.DUMMYFUNCTION("""COMPUTED_VALUE"""),"")</f>
        <v/>
      </c>
      <c r="X8465" s="16" t="str">
        <f>IFERROR(__xludf.DUMMYFUNCTION("""COMPUTED_VALUE"""),"")</f>
        <v/>
      </c>
      <c r="AC8465" s="16" t="str">
        <f>IFERROR(__xludf.DUMMYFUNCTION("""COMPUTED_VALUE"""),"")</f>
        <v/>
      </c>
    </row>
    <row r="8466">
      <c r="A8466" s="16" t="s">
        <v>87</v>
      </c>
      <c r="E8466" s="16" t="str">
        <f>IFERROR(__xludf.DUMMYFUNCTION("""COMPUTED_VALUE"""),"")</f>
        <v/>
      </c>
      <c r="G8466" s="18"/>
      <c r="H8466" s="16" t="s">
        <v>87</v>
      </c>
      <c r="I8466" s="16" t="s">
        <v>87</v>
      </c>
      <c r="J8466" s="19"/>
      <c r="L8466" s="16" t="str">
        <f>IFERROR(__xludf.DUMMYFUNCTION("""COMPUTED_VALUE"""),"")</f>
        <v/>
      </c>
      <c r="M8466" s="16" t="str">
        <f>IFERROR(__xludf.DUMMYFUNCTION("""COMPUTED_VALUE"""),"")</f>
        <v/>
      </c>
      <c r="U8466" s="16" t="s">
        <v>87</v>
      </c>
      <c r="V8466" s="16" t="str">
        <f>IFERROR(__xludf.DUMMYFUNCTION("""COMPUTED_VALUE"""),"")</f>
        <v/>
      </c>
      <c r="W8466" s="16" t="str">
        <f>IFERROR(__xludf.DUMMYFUNCTION("""COMPUTED_VALUE"""),"")</f>
        <v/>
      </c>
      <c r="X8466" s="16" t="str">
        <f>IFERROR(__xludf.DUMMYFUNCTION("""COMPUTED_VALUE"""),"")</f>
        <v/>
      </c>
      <c r="AC8466" s="16" t="str">
        <f>IFERROR(__xludf.DUMMYFUNCTION("""COMPUTED_VALUE"""),"")</f>
        <v/>
      </c>
    </row>
    <row r="8467">
      <c r="A8467" s="16" t="s">
        <v>87</v>
      </c>
      <c r="E8467" s="16" t="str">
        <f>IFERROR(__xludf.DUMMYFUNCTION("""COMPUTED_VALUE"""),"")</f>
        <v/>
      </c>
      <c r="G8467" s="18"/>
      <c r="H8467" s="16" t="s">
        <v>87</v>
      </c>
      <c r="I8467" s="16" t="s">
        <v>87</v>
      </c>
      <c r="J8467" s="19"/>
      <c r="L8467" s="16" t="str">
        <f>IFERROR(__xludf.DUMMYFUNCTION("""COMPUTED_VALUE"""),"")</f>
        <v/>
      </c>
      <c r="M8467" s="16" t="str">
        <f>IFERROR(__xludf.DUMMYFUNCTION("""COMPUTED_VALUE"""),"")</f>
        <v/>
      </c>
      <c r="U8467" s="16" t="s">
        <v>87</v>
      </c>
      <c r="V8467" s="16" t="str">
        <f>IFERROR(__xludf.DUMMYFUNCTION("""COMPUTED_VALUE"""),"")</f>
        <v/>
      </c>
      <c r="W8467" s="16" t="str">
        <f>IFERROR(__xludf.DUMMYFUNCTION("""COMPUTED_VALUE"""),"")</f>
        <v/>
      </c>
      <c r="X8467" s="16" t="str">
        <f>IFERROR(__xludf.DUMMYFUNCTION("""COMPUTED_VALUE"""),"")</f>
        <v/>
      </c>
      <c r="AC8467" s="16" t="str">
        <f>IFERROR(__xludf.DUMMYFUNCTION("""COMPUTED_VALUE"""),"")</f>
        <v/>
      </c>
    </row>
    <row r="8468">
      <c r="A8468" s="16" t="s">
        <v>87</v>
      </c>
      <c r="E8468" s="16" t="str">
        <f>IFERROR(__xludf.DUMMYFUNCTION("""COMPUTED_VALUE"""),"")</f>
        <v/>
      </c>
      <c r="G8468" s="18"/>
      <c r="H8468" s="16" t="s">
        <v>87</v>
      </c>
      <c r="I8468" s="16" t="s">
        <v>87</v>
      </c>
      <c r="J8468" s="19"/>
      <c r="L8468" s="16" t="str">
        <f>IFERROR(__xludf.DUMMYFUNCTION("""COMPUTED_VALUE"""),"")</f>
        <v/>
      </c>
      <c r="M8468" s="16" t="str">
        <f>IFERROR(__xludf.DUMMYFUNCTION("""COMPUTED_VALUE"""),"")</f>
        <v/>
      </c>
      <c r="U8468" s="16" t="s">
        <v>87</v>
      </c>
      <c r="V8468" s="16" t="str">
        <f>IFERROR(__xludf.DUMMYFUNCTION("""COMPUTED_VALUE"""),"")</f>
        <v/>
      </c>
      <c r="W8468" s="16" t="str">
        <f>IFERROR(__xludf.DUMMYFUNCTION("""COMPUTED_VALUE"""),"")</f>
        <v/>
      </c>
      <c r="X8468" s="16" t="str">
        <f>IFERROR(__xludf.DUMMYFUNCTION("""COMPUTED_VALUE"""),"")</f>
        <v/>
      </c>
      <c r="AC8468" s="16" t="str">
        <f>IFERROR(__xludf.DUMMYFUNCTION("""COMPUTED_VALUE"""),"")</f>
        <v/>
      </c>
    </row>
    <row r="8469">
      <c r="A8469" s="16" t="s">
        <v>87</v>
      </c>
      <c r="E8469" s="16" t="str">
        <f>IFERROR(__xludf.DUMMYFUNCTION("""COMPUTED_VALUE"""),"")</f>
        <v/>
      </c>
      <c r="G8469" s="18"/>
      <c r="H8469" s="16" t="s">
        <v>87</v>
      </c>
      <c r="I8469" s="16" t="s">
        <v>87</v>
      </c>
      <c r="J8469" s="19"/>
      <c r="L8469" s="16" t="str">
        <f>IFERROR(__xludf.DUMMYFUNCTION("""COMPUTED_VALUE"""),"")</f>
        <v/>
      </c>
      <c r="M8469" s="16" t="str">
        <f>IFERROR(__xludf.DUMMYFUNCTION("""COMPUTED_VALUE"""),"")</f>
        <v/>
      </c>
      <c r="U8469" s="16" t="s">
        <v>87</v>
      </c>
      <c r="V8469" s="16" t="str">
        <f>IFERROR(__xludf.DUMMYFUNCTION("""COMPUTED_VALUE"""),"")</f>
        <v/>
      </c>
      <c r="W8469" s="16" t="str">
        <f>IFERROR(__xludf.DUMMYFUNCTION("""COMPUTED_VALUE"""),"")</f>
        <v/>
      </c>
      <c r="X8469" s="16" t="str">
        <f>IFERROR(__xludf.DUMMYFUNCTION("""COMPUTED_VALUE"""),"")</f>
        <v/>
      </c>
      <c r="AC8469" s="16" t="str">
        <f>IFERROR(__xludf.DUMMYFUNCTION("""COMPUTED_VALUE"""),"")</f>
        <v/>
      </c>
    </row>
    <row r="8470">
      <c r="A8470" s="16" t="s">
        <v>87</v>
      </c>
      <c r="E8470" s="16" t="str">
        <f>IFERROR(__xludf.DUMMYFUNCTION("""COMPUTED_VALUE"""),"")</f>
        <v/>
      </c>
      <c r="G8470" s="18"/>
      <c r="H8470" s="16" t="s">
        <v>87</v>
      </c>
      <c r="I8470" s="16" t="s">
        <v>87</v>
      </c>
      <c r="J8470" s="19"/>
      <c r="L8470" s="16" t="str">
        <f>IFERROR(__xludf.DUMMYFUNCTION("""COMPUTED_VALUE"""),"")</f>
        <v/>
      </c>
      <c r="M8470" s="16" t="str">
        <f>IFERROR(__xludf.DUMMYFUNCTION("""COMPUTED_VALUE"""),"")</f>
        <v/>
      </c>
      <c r="U8470" s="16" t="s">
        <v>87</v>
      </c>
      <c r="V8470" s="16" t="str">
        <f>IFERROR(__xludf.DUMMYFUNCTION("""COMPUTED_VALUE"""),"")</f>
        <v/>
      </c>
      <c r="W8470" s="16" t="str">
        <f>IFERROR(__xludf.DUMMYFUNCTION("""COMPUTED_VALUE"""),"")</f>
        <v/>
      </c>
      <c r="X8470" s="16" t="str">
        <f>IFERROR(__xludf.DUMMYFUNCTION("""COMPUTED_VALUE"""),"")</f>
        <v/>
      </c>
      <c r="AC8470" s="16" t="str">
        <f>IFERROR(__xludf.DUMMYFUNCTION("""COMPUTED_VALUE"""),"")</f>
        <v/>
      </c>
    </row>
    <row r="8471">
      <c r="A8471" s="16" t="s">
        <v>87</v>
      </c>
      <c r="E8471" s="16" t="str">
        <f>IFERROR(__xludf.DUMMYFUNCTION("""COMPUTED_VALUE"""),"")</f>
        <v/>
      </c>
      <c r="G8471" s="18"/>
      <c r="H8471" s="16" t="s">
        <v>87</v>
      </c>
      <c r="I8471" s="16" t="s">
        <v>87</v>
      </c>
      <c r="J8471" s="19"/>
      <c r="L8471" s="16" t="str">
        <f>IFERROR(__xludf.DUMMYFUNCTION("""COMPUTED_VALUE"""),"")</f>
        <v/>
      </c>
      <c r="M8471" s="16" t="str">
        <f>IFERROR(__xludf.DUMMYFUNCTION("""COMPUTED_VALUE"""),"")</f>
        <v/>
      </c>
      <c r="U8471" s="16" t="s">
        <v>87</v>
      </c>
      <c r="V8471" s="16" t="str">
        <f>IFERROR(__xludf.DUMMYFUNCTION("""COMPUTED_VALUE"""),"")</f>
        <v/>
      </c>
      <c r="W8471" s="16" t="str">
        <f>IFERROR(__xludf.DUMMYFUNCTION("""COMPUTED_VALUE"""),"")</f>
        <v/>
      </c>
      <c r="X8471" s="16" t="str">
        <f>IFERROR(__xludf.DUMMYFUNCTION("""COMPUTED_VALUE"""),"")</f>
        <v/>
      </c>
      <c r="AC8471" s="16" t="str">
        <f>IFERROR(__xludf.DUMMYFUNCTION("""COMPUTED_VALUE"""),"")</f>
        <v/>
      </c>
    </row>
    <row r="8472">
      <c r="A8472" s="16" t="s">
        <v>87</v>
      </c>
      <c r="E8472" s="16" t="str">
        <f>IFERROR(__xludf.DUMMYFUNCTION("""COMPUTED_VALUE"""),"")</f>
        <v/>
      </c>
      <c r="G8472" s="18"/>
      <c r="H8472" s="16" t="s">
        <v>87</v>
      </c>
      <c r="I8472" s="16" t="s">
        <v>87</v>
      </c>
      <c r="J8472" s="19"/>
      <c r="L8472" s="16" t="str">
        <f>IFERROR(__xludf.DUMMYFUNCTION("""COMPUTED_VALUE"""),"")</f>
        <v/>
      </c>
      <c r="M8472" s="16" t="str">
        <f>IFERROR(__xludf.DUMMYFUNCTION("""COMPUTED_VALUE"""),"")</f>
        <v/>
      </c>
      <c r="U8472" s="16" t="s">
        <v>87</v>
      </c>
      <c r="V8472" s="16" t="str">
        <f>IFERROR(__xludf.DUMMYFUNCTION("""COMPUTED_VALUE"""),"")</f>
        <v/>
      </c>
      <c r="W8472" s="16" t="str">
        <f>IFERROR(__xludf.DUMMYFUNCTION("""COMPUTED_VALUE"""),"")</f>
        <v/>
      </c>
      <c r="X8472" s="16" t="str">
        <f>IFERROR(__xludf.DUMMYFUNCTION("""COMPUTED_VALUE"""),"")</f>
        <v/>
      </c>
      <c r="AC8472" s="16" t="str">
        <f>IFERROR(__xludf.DUMMYFUNCTION("""COMPUTED_VALUE"""),"")</f>
        <v/>
      </c>
    </row>
    <row r="8473">
      <c r="A8473" s="16" t="s">
        <v>87</v>
      </c>
      <c r="E8473" s="16" t="str">
        <f>IFERROR(__xludf.DUMMYFUNCTION("""COMPUTED_VALUE"""),"")</f>
        <v/>
      </c>
      <c r="G8473" s="18"/>
      <c r="H8473" s="16" t="s">
        <v>87</v>
      </c>
      <c r="I8473" s="16" t="s">
        <v>87</v>
      </c>
      <c r="J8473" s="19"/>
      <c r="L8473" s="16" t="str">
        <f>IFERROR(__xludf.DUMMYFUNCTION("""COMPUTED_VALUE"""),"")</f>
        <v/>
      </c>
      <c r="M8473" s="16" t="str">
        <f>IFERROR(__xludf.DUMMYFUNCTION("""COMPUTED_VALUE"""),"")</f>
        <v/>
      </c>
      <c r="U8473" s="16" t="s">
        <v>87</v>
      </c>
      <c r="V8473" s="16" t="str">
        <f>IFERROR(__xludf.DUMMYFUNCTION("""COMPUTED_VALUE"""),"")</f>
        <v/>
      </c>
      <c r="W8473" s="16" t="str">
        <f>IFERROR(__xludf.DUMMYFUNCTION("""COMPUTED_VALUE"""),"")</f>
        <v/>
      </c>
      <c r="X8473" s="16" t="str">
        <f>IFERROR(__xludf.DUMMYFUNCTION("""COMPUTED_VALUE"""),"")</f>
        <v/>
      </c>
      <c r="AC8473" s="16" t="str">
        <f>IFERROR(__xludf.DUMMYFUNCTION("""COMPUTED_VALUE"""),"")</f>
        <v/>
      </c>
    </row>
    <row r="8474">
      <c r="A8474" s="16" t="s">
        <v>87</v>
      </c>
      <c r="E8474" s="16" t="str">
        <f>IFERROR(__xludf.DUMMYFUNCTION("""COMPUTED_VALUE"""),"")</f>
        <v/>
      </c>
      <c r="G8474" s="18"/>
      <c r="H8474" s="16" t="s">
        <v>87</v>
      </c>
      <c r="I8474" s="16" t="s">
        <v>87</v>
      </c>
      <c r="J8474" s="19"/>
      <c r="L8474" s="16" t="str">
        <f>IFERROR(__xludf.DUMMYFUNCTION("""COMPUTED_VALUE"""),"")</f>
        <v/>
      </c>
      <c r="M8474" s="16" t="str">
        <f>IFERROR(__xludf.DUMMYFUNCTION("""COMPUTED_VALUE"""),"")</f>
        <v/>
      </c>
      <c r="U8474" s="16" t="s">
        <v>87</v>
      </c>
      <c r="V8474" s="16" t="str">
        <f>IFERROR(__xludf.DUMMYFUNCTION("""COMPUTED_VALUE"""),"")</f>
        <v/>
      </c>
      <c r="W8474" s="16" t="str">
        <f>IFERROR(__xludf.DUMMYFUNCTION("""COMPUTED_VALUE"""),"")</f>
        <v/>
      </c>
      <c r="X8474" s="16" t="str">
        <f>IFERROR(__xludf.DUMMYFUNCTION("""COMPUTED_VALUE"""),"")</f>
        <v/>
      </c>
      <c r="AC8474" s="16" t="str">
        <f>IFERROR(__xludf.DUMMYFUNCTION("""COMPUTED_VALUE"""),"")</f>
        <v/>
      </c>
    </row>
    <row r="8475">
      <c r="A8475" s="16" t="s">
        <v>87</v>
      </c>
      <c r="E8475" s="16" t="str">
        <f>IFERROR(__xludf.DUMMYFUNCTION("""COMPUTED_VALUE"""),"")</f>
        <v/>
      </c>
      <c r="G8475" s="18"/>
      <c r="H8475" s="16" t="s">
        <v>87</v>
      </c>
      <c r="I8475" s="16" t="s">
        <v>87</v>
      </c>
      <c r="J8475" s="19"/>
      <c r="L8475" s="16" t="str">
        <f>IFERROR(__xludf.DUMMYFUNCTION("""COMPUTED_VALUE"""),"")</f>
        <v/>
      </c>
      <c r="M8475" s="16" t="str">
        <f>IFERROR(__xludf.DUMMYFUNCTION("""COMPUTED_VALUE"""),"")</f>
        <v/>
      </c>
      <c r="U8475" s="16" t="s">
        <v>87</v>
      </c>
      <c r="V8475" s="16" t="str">
        <f>IFERROR(__xludf.DUMMYFUNCTION("""COMPUTED_VALUE"""),"")</f>
        <v/>
      </c>
      <c r="W8475" s="16" t="str">
        <f>IFERROR(__xludf.DUMMYFUNCTION("""COMPUTED_VALUE"""),"")</f>
        <v/>
      </c>
      <c r="X8475" s="16" t="str">
        <f>IFERROR(__xludf.DUMMYFUNCTION("""COMPUTED_VALUE"""),"")</f>
        <v/>
      </c>
      <c r="AC8475" s="16" t="str">
        <f>IFERROR(__xludf.DUMMYFUNCTION("""COMPUTED_VALUE"""),"")</f>
        <v/>
      </c>
    </row>
    <row r="8476">
      <c r="A8476" s="16" t="s">
        <v>87</v>
      </c>
      <c r="E8476" s="16" t="str">
        <f>IFERROR(__xludf.DUMMYFUNCTION("""COMPUTED_VALUE"""),"")</f>
        <v/>
      </c>
      <c r="G8476" s="18"/>
      <c r="H8476" s="16" t="s">
        <v>87</v>
      </c>
      <c r="I8476" s="16" t="s">
        <v>87</v>
      </c>
      <c r="J8476" s="19"/>
      <c r="L8476" s="16" t="str">
        <f>IFERROR(__xludf.DUMMYFUNCTION("""COMPUTED_VALUE"""),"")</f>
        <v/>
      </c>
      <c r="M8476" s="16" t="str">
        <f>IFERROR(__xludf.DUMMYFUNCTION("""COMPUTED_VALUE"""),"")</f>
        <v/>
      </c>
      <c r="U8476" s="16" t="s">
        <v>87</v>
      </c>
      <c r="V8476" s="16" t="str">
        <f>IFERROR(__xludf.DUMMYFUNCTION("""COMPUTED_VALUE"""),"")</f>
        <v/>
      </c>
      <c r="W8476" s="16" t="str">
        <f>IFERROR(__xludf.DUMMYFUNCTION("""COMPUTED_VALUE"""),"")</f>
        <v/>
      </c>
      <c r="X8476" s="16" t="str">
        <f>IFERROR(__xludf.DUMMYFUNCTION("""COMPUTED_VALUE"""),"")</f>
        <v/>
      </c>
      <c r="AC8476" s="16" t="str">
        <f>IFERROR(__xludf.DUMMYFUNCTION("""COMPUTED_VALUE"""),"")</f>
        <v/>
      </c>
    </row>
    <row r="8477">
      <c r="A8477" s="16" t="s">
        <v>87</v>
      </c>
      <c r="E8477" s="16" t="str">
        <f>IFERROR(__xludf.DUMMYFUNCTION("""COMPUTED_VALUE"""),"")</f>
        <v/>
      </c>
      <c r="G8477" s="18"/>
      <c r="H8477" s="16" t="s">
        <v>87</v>
      </c>
      <c r="I8477" s="16" t="s">
        <v>87</v>
      </c>
      <c r="J8477" s="19"/>
      <c r="L8477" s="16" t="str">
        <f>IFERROR(__xludf.DUMMYFUNCTION("""COMPUTED_VALUE"""),"")</f>
        <v/>
      </c>
      <c r="M8477" s="16" t="str">
        <f>IFERROR(__xludf.DUMMYFUNCTION("""COMPUTED_VALUE"""),"")</f>
        <v/>
      </c>
      <c r="U8477" s="16" t="s">
        <v>87</v>
      </c>
      <c r="V8477" s="16" t="str">
        <f>IFERROR(__xludf.DUMMYFUNCTION("""COMPUTED_VALUE"""),"")</f>
        <v/>
      </c>
      <c r="W8477" s="16" t="str">
        <f>IFERROR(__xludf.DUMMYFUNCTION("""COMPUTED_VALUE"""),"")</f>
        <v/>
      </c>
      <c r="X8477" s="16" t="str">
        <f>IFERROR(__xludf.DUMMYFUNCTION("""COMPUTED_VALUE"""),"")</f>
        <v/>
      </c>
      <c r="AC8477" s="16" t="str">
        <f>IFERROR(__xludf.DUMMYFUNCTION("""COMPUTED_VALUE"""),"")</f>
        <v/>
      </c>
    </row>
    <row r="8478">
      <c r="A8478" s="16" t="s">
        <v>87</v>
      </c>
      <c r="E8478" s="16" t="str">
        <f>IFERROR(__xludf.DUMMYFUNCTION("""COMPUTED_VALUE"""),"")</f>
        <v/>
      </c>
      <c r="G8478" s="18"/>
      <c r="H8478" s="16" t="s">
        <v>87</v>
      </c>
      <c r="I8478" s="16" t="s">
        <v>87</v>
      </c>
      <c r="J8478" s="19"/>
      <c r="L8478" s="16" t="str">
        <f>IFERROR(__xludf.DUMMYFUNCTION("""COMPUTED_VALUE"""),"")</f>
        <v/>
      </c>
      <c r="M8478" s="16" t="str">
        <f>IFERROR(__xludf.DUMMYFUNCTION("""COMPUTED_VALUE"""),"")</f>
        <v/>
      </c>
      <c r="U8478" s="16" t="s">
        <v>87</v>
      </c>
      <c r="V8478" s="16" t="str">
        <f>IFERROR(__xludf.DUMMYFUNCTION("""COMPUTED_VALUE"""),"")</f>
        <v/>
      </c>
      <c r="W8478" s="16" t="str">
        <f>IFERROR(__xludf.DUMMYFUNCTION("""COMPUTED_VALUE"""),"")</f>
        <v/>
      </c>
      <c r="X8478" s="16" t="str">
        <f>IFERROR(__xludf.DUMMYFUNCTION("""COMPUTED_VALUE"""),"")</f>
        <v/>
      </c>
      <c r="AC8478" s="16" t="str">
        <f>IFERROR(__xludf.DUMMYFUNCTION("""COMPUTED_VALUE"""),"")</f>
        <v/>
      </c>
    </row>
    <row r="8479">
      <c r="A8479" s="16" t="s">
        <v>87</v>
      </c>
      <c r="E8479" s="16" t="str">
        <f>IFERROR(__xludf.DUMMYFUNCTION("""COMPUTED_VALUE"""),"")</f>
        <v/>
      </c>
      <c r="G8479" s="18"/>
      <c r="H8479" s="16" t="s">
        <v>87</v>
      </c>
      <c r="I8479" s="16" t="s">
        <v>87</v>
      </c>
      <c r="J8479" s="19"/>
      <c r="L8479" s="16" t="str">
        <f>IFERROR(__xludf.DUMMYFUNCTION("""COMPUTED_VALUE"""),"")</f>
        <v/>
      </c>
      <c r="M8479" s="16" t="str">
        <f>IFERROR(__xludf.DUMMYFUNCTION("""COMPUTED_VALUE"""),"")</f>
        <v/>
      </c>
      <c r="U8479" s="16" t="s">
        <v>87</v>
      </c>
      <c r="V8479" s="16" t="str">
        <f>IFERROR(__xludf.DUMMYFUNCTION("""COMPUTED_VALUE"""),"")</f>
        <v/>
      </c>
      <c r="W8479" s="16" t="str">
        <f>IFERROR(__xludf.DUMMYFUNCTION("""COMPUTED_VALUE"""),"")</f>
        <v/>
      </c>
      <c r="X8479" s="16" t="str">
        <f>IFERROR(__xludf.DUMMYFUNCTION("""COMPUTED_VALUE"""),"")</f>
        <v/>
      </c>
      <c r="AC8479" s="16" t="str">
        <f>IFERROR(__xludf.DUMMYFUNCTION("""COMPUTED_VALUE"""),"")</f>
        <v/>
      </c>
    </row>
    <row r="8480">
      <c r="A8480" s="16" t="s">
        <v>87</v>
      </c>
      <c r="E8480" s="16" t="str">
        <f>IFERROR(__xludf.DUMMYFUNCTION("""COMPUTED_VALUE"""),"")</f>
        <v/>
      </c>
      <c r="G8480" s="18"/>
      <c r="H8480" s="16" t="s">
        <v>87</v>
      </c>
      <c r="I8480" s="16" t="s">
        <v>87</v>
      </c>
      <c r="J8480" s="19"/>
      <c r="L8480" s="16" t="str">
        <f>IFERROR(__xludf.DUMMYFUNCTION("""COMPUTED_VALUE"""),"")</f>
        <v/>
      </c>
      <c r="M8480" s="16" t="str">
        <f>IFERROR(__xludf.DUMMYFUNCTION("""COMPUTED_VALUE"""),"")</f>
        <v/>
      </c>
      <c r="U8480" s="16" t="s">
        <v>87</v>
      </c>
      <c r="V8480" s="16" t="str">
        <f>IFERROR(__xludf.DUMMYFUNCTION("""COMPUTED_VALUE"""),"")</f>
        <v/>
      </c>
      <c r="W8480" s="16" t="str">
        <f>IFERROR(__xludf.DUMMYFUNCTION("""COMPUTED_VALUE"""),"")</f>
        <v/>
      </c>
      <c r="X8480" s="16" t="str">
        <f>IFERROR(__xludf.DUMMYFUNCTION("""COMPUTED_VALUE"""),"")</f>
        <v/>
      </c>
      <c r="AC8480" s="16" t="str">
        <f>IFERROR(__xludf.DUMMYFUNCTION("""COMPUTED_VALUE"""),"")</f>
        <v/>
      </c>
    </row>
    <row r="8481">
      <c r="A8481" s="16" t="s">
        <v>87</v>
      </c>
      <c r="E8481" s="16" t="str">
        <f>IFERROR(__xludf.DUMMYFUNCTION("""COMPUTED_VALUE"""),"")</f>
        <v/>
      </c>
      <c r="G8481" s="18"/>
      <c r="H8481" s="16" t="s">
        <v>87</v>
      </c>
      <c r="I8481" s="16" t="s">
        <v>87</v>
      </c>
      <c r="J8481" s="19"/>
      <c r="L8481" s="16" t="str">
        <f>IFERROR(__xludf.DUMMYFUNCTION("""COMPUTED_VALUE"""),"")</f>
        <v/>
      </c>
      <c r="M8481" s="16" t="str">
        <f>IFERROR(__xludf.DUMMYFUNCTION("""COMPUTED_VALUE"""),"")</f>
        <v/>
      </c>
      <c r="U8481" s="16" t="s">
        <v>87</v>
      </c>
      <c r="V8481" s="16" t="str">
        <f>IFERROR(__xludf.DUMMYFUNCTION("""COMPUTED_VALUE"""),"")</f>
        <v/>
      </c>
      <c r="W8481" s="16" t="str">
        <f>IFERROR(__xludf.DUMMYFUNCTION("""COMPUTED_VALUE"""),"")</f>
        <v/>
      </c>
      <c r="X8481" s="16" t="str">
        <f>IFERROR(__xludf.DUMMYFUNCTION("""COMPUTED_VALUE"""),"")</f>
        <v/>
      </c>
      <c r="AC8481" s="16" t="str">
        <f>IFERROR(__xludf.DUMMYFUNCTION("""COMPUTED_VALUE"""),"")</f>
        <v/>
      </c>
    </row>
    <row r="8482">
      <c r="A8482" s="16" t="s">
        <v>87</v>
      </c>
      <c r="E8482" s="16" t="str">
        <f>IFERROR(__xludf.DUMMYFUNCTION("""COMPUTED_VALUE"""),"")</f>
        <v/>
      </c>
      <c r="G8482" s="18"/>
      <c r="H8482" s="16" t="s">
        <v>87</v>
      </c>
      <c r="I8482" s="16" t="s">
        <v>87</v>
      </c>
      <c r="J8482" s="19"/>
      <c r="L8482" s="16" t="str">
        <f>IFERROR(__xludf.DUMMYFUNCTION("""COMPUTED_VALUE"""),"")</f>
        <v/>
      </c>
      <c r="M8482" s="16" t="str">
        <f>IFERROR(__xludf.DUMMYFUNCTION("""COMPUTED_VALUE"""),"")</f>
        <v/>
      </c>
      <c r="U8482" s="16" t="s">
        <v>87</v>
      </c>
      <c r="V8482" s="16" t="str">
        <f>IFERROR(__xludf.DUMMYFUNCTION("""COMPUTED_VALUE"""),"")</f>
        <v/>
      </c>
      <c r="W8482" s="16" t="str">
        <f>IFERROR(__xludf.DUMMYFUNCTION("""COMPUTED_VALUE"""),"")</f>
        <v/>
      </c>
      <c r="X8482" s="16" t="str">
        <f>IFERROR(__xludf.DUMMYFUNCTION("""COMPUTED_VALUE"""),"")</f>
        <v/>
      </c>
      <c r="AC8482" s="16" t="str">
        <f>IFERROR(__xludf.DUMMYFUNCTION("""COMPUTED_VALUE"""),"")</f>
        <v/>
      </c>
    </row>
    <row r="8483">
      <c r="A8483" s="16" t="s">
        <v>87</v>
      </c>
      <c r="E8483" s="16" t="str">
        <f>IFERROR(__xludf.DUMMYFUNCTION("""COMPUTED_VALUE"""),"")</f>
        <v/>
      </c>
      <c r="G8483" s="18"/>
      <c r="H8483" s="16" t="s">
        <v>87</v>
      </c>
      <c r="I8483" s="16" t="s">
        <v>87</v>
      </c>
      <c r="J8483" s="19"/>
      <c r="L8483" s="16" t="str">
        <f>IFERROR(__xludf.DUMMYFUNCTION("""COMPUTED_VALUE"""),"")</f>
        <v/>
      </c>
      <c r="M8483" s="16" t="str">
        <f>IFERROR(__xludf.DUMMYFUNCTION("""COMPUTED_VALUE"""),"")</f>
        <v/>
      </c>
      <c r="U8483" s="16" t="s">
        <v>87</v>
      </c>
      <c r="V8483" s="16" t="str">
        <f>IFERROR(__xludf.DUMMYFUNCTION("""COMPUTED_VALUE"""),"")</f>
        <v/>
      </c>
      <c r="W8483" s="16" t="str">
        <f>IFERROR(__xludf.DUMMYFUNCTION("""COMPUTED_VALUE"""),"")</f>
        <v/>
      </c>
      <c r="X8483" s="16" t="str">
        <f>IFERROR(__xludf.DUMMYFUNCTION("""COMPUTED_VALUE"""),"")</f>
        <v/>
      </c>
      <c r="AC8483" s="16" t="str">
        <f>IFERROR(__xludf.DUMMYFUNCTION("""COMPUTED_VALUE"""),"")</f>
        <v/>
      </c>
    </row>
    <row r="8484">
      <c r="A8484" s="16" t="s">
        <v>87</v>
      </c>
      <c r="E8484" s="16" t="str">
        <f>IFERROR(__xludf.DUMMYFUNCTION("""COMPUTED_VALUE"""),"")</f>
        <v/>
      </c>
      <c r="G8484" s="18"/>
      <c r="H8484" s="16" t="s">
        <v>87</v>
      </c>
      <c r="I8484" s="16" t="s">
        <v>87</v>
      </c>
      <c r="J8484" s="19"/>
      <c r="L8484" s="16" t="str">
        <f>IFERROR(__xludf.DUMMYFUNCTION("""COMPUTED_VALUE"""),"")</f>
        <v/>
      </c>
      <c r="M8484" s="16" t="str">
        <f>IFERROR(__xludf.DUMMYFUNCTION("""COMPUTED_VALUE"""),"")</f>
        <v/>
      </c>
      <c r="U8484" s="16" t="s">
        <v>87</v>
      </c>
      <c r="V8484" s="16" t="str">
        <f>IFERROR(__xludf.DUMMYFUNCTION("""COMPUTED_VALUE"""),"")</f>
        <v/>
      </c>
      <c r="W8484" s="16" t="str">
        <f>IFERROR(__xludf.DUMMYFUNCTION("""COMPUTED_VALUE"""),"")</f>
        <v/>
      </c>
      <c r="X8484" s="16" t="str">
        <f>IFERROR(__xludf.DUMMYFUNCTION("""COMPUTED_VALUE"""),"")</f>
        <v/>
      </c>
      <c r="AC8484" s="16" t="str">
        <f>IFERROR(__xludf.DUMMYFUNCTION("""COMPUTED_VALUE"""),"")</f>
        <v/>
      </c>
    </row>
    <row r="8485">
      <c r="A8485" s="16" t="s">
        <v>87</v>
      </c>
      <c r="E8485" s="16" t="str">
        <f>IFERROR(__xludf.DUMMYFUNCTION("""COMPUTED_VALUE"""),"")</f>
        <v/>
      </c>
      <c r="G8485" s="18"/>
      <c r="H8485" s="16" t="s">
        <v>87</v>
      </c>
      <c r="I8485" s="16" t="s">
        <v>87</v>
      </c>
      <c r="J8485" s="19"/>
      <c r="L8485" s="16" t="str">
        <f>IFERROR(__xludf.DUMMYFUNCTION("""COMPUTED_VALUE"""),"")</f>
        <v/>
      </c>
      <c r="M8485" s="16" t="str">
        <f>IFERROR(__xludf.DUMMYFUNCTION("""COMPUTED_VALUE"""),"")</f>
        <v/>
      </c>
      <c r="U8485" s="16" t="s">
        <v>87</v>
      </c>
      <c r="V8485" s="16" t="str">
        <f>IFERROR(__xludf.DUMMYFUNCTION("""COMPUTED_VALUE"""),"")</f>
        <v/>
      </c>
      <c r="W8485" s="16" t="str">
        <f>IFERROR(__xludf.DUMMYFUNCTION("""COMPUTED_VALUE"""),"")</f>
        <v/>
      </c>
      <c r="X8485" s="16" t="str">
        <f>IFERROR(__xludf.DUMMYFUNCTION("""COMPUTED_VALUE"""),"")</f>
        <v/>
      </c>
      <c r="AC8485" s="16" t="str">
        <f>IFERROR(__xludf.DUMMYFUNCTION("""COMPUTED_VALUE"""),"")</f>
        <v/>
      </c>
    </row>
    <row r="8486">
      <c r="A8486" s="16" t="s">
        <v>87</v>
      </c>
      <c r="E8486" s="16" t="str">
        <f>IFERROR(__xludf.DUMMYFUNCTION("""COMPUTED_VALUE"""),"")</f>
        <v/>
      </c>
      <c r="G8486" s="18"/>
      <c r="H8486" s="16" t="s">
        <v>87</v>
      </c>
      <c r="I8486" s="16" t="s">
        <v>87</v>
      </c>
      <c r="J8486" s="19"/>
      <c r="L8486" s="16" t="str">
        <f>IFERROR(__xludf.DUMMYFUNCTION("""COMPUTED_VALUE"""),"")</f>
        <v/>
      </c>
      <c r="M8486" s="16" t="str">
        <f>IFERROR(__xludf.DUMMYFUNCTION("""COMPUTED_VALUE"""),"")</f>
        <v/>
      </c>
      <c r="U8486" s="16" t="s">
        <v>87</v>
      </c>
      <c r="V8486" s="16" t="str">
        <f>IFERROR(__xludf.DUMMYFUNCTION("""COMPUTED_VALUE"""),"")</f>
        <v/>
      </c>
      <c r="W8486" s="16" t="str">
        <f>IFERROR(__xludf.DUMMYFUNCTION("""COMPUTED_VALUE"""),"")</f>
        <v/>
      </c>
      <c r="X8486" s="16" t="str">
        <f>IFERROR(__xludf.DUMMYFUNCTION("""COMPUTED_VALUE"""),"")</f>
        <v/>
      </c>
      <c r="AC8486" s="16" t="str">
        <f>IFERROR(__xludf.DUMMYFUNCTION("""COMPUTED_VALUE"""),"")</f>
        <v/>
      </c>
    </row>
    <row r="8487">
      <c r="A8487" s="16" t="s">
        <v>87</v>
      </c>
      <c r="E8487" s="16" t="str">
        <f>IFERROR(__xludf.DUMMYFUNCTION("""COMPUTED_VALUE"""),"")</f>
        <v/>
      </c>
      <c r="G8487" s="18"/>
      <c r="H8487" s="16" t="s">
        <v>87</v>
      </c>
      <c r="I8487" s="16" t="s">
        <v>87</v>
      </c>
      <c r="J8487" s="19"/>
      <c r="L8487" s="16" t="str">
        <f>IFERROR(__xludf.DUMMYFUNCTION("""COMPUTED_VALUE"""),"")</f>
        <v/>
      </c>
      <c r="M8487" s="16" t="str">
        <f>IFERROR(__xludf.DUMMYFUNCTION("""COMPUTED_VALUE"""),"")</f>
        <v/>
      </c>
      <c r="U8487" s="16" t="s">
        <v>87</v>
      </c>
      <c r="V8487" s="16" t="str">
        <f>IFERROR(__xludf.DUMMYFUNCTION("""COMPUTED_VALUE"""),"")</f>
        <v/>
      </c>
      <c r="W8487" s="16" t="str">
        <f>IFERROR(__xludf.DUMMYFUNCTION("""COMPUTED_VALUE"""),"")</f>
        <v/>
      </c>
      <c r="X8487" s="16" t="str">
        <f>IFERROR(__xludf.DUMMYFUNCTION("""COMPUTED_VALUE"""),"")</f>
        <v/>
      </c>
      <c r="AC8487" s="16" t="str">
        <f>IFERROR(__xludf.DUMMYFUNCTION("""COMPUTED_VALUE"""),"")</f>
        <v/>
      </c>
    </row>
    <row r="8488">
      <c r="A8488" s="16" t="s">
        <v>87</v>
      </c>
      <c r="E8488" s="16" t="str">
        <f>IFERROR(__xludf.DUMMYFUNCTION("""COMPUTED_VALUE"""),"")</f>
        <v/>
      </c>
      <c r="G8488" s="18"/>
      <c r="H8488" s="16" t="s">
        <v>87</v>
      </c>
      <c r="I8488" s="16" t="s">
        <v>87</v>
      </c>
      <c r="J8488" s="19"/>
      <c r="L8488" s="16" t="str">
        <f>IFERROR(__xludf.DUMMYFUNCTION("""COMPUTED_VALUE"""),"")</f>
        <v/>
      </c>
      <c r="M8488" s="16" t="str">
        <f>IFERROR(__xludf.DUMMYFUNCTION("""COMPUTED_VALUE"""),"")</f>
        <v/>
      </c>
      <c r="U8488" s="16" t="s">
        <v>87</v>
      </c>
      <c r="V8488" s="16" t="str">
        <f>IFERROR(__xludf.DUMMYFUNCTION("""COMPUTED_VALUE"""),"")</f>
        <v/>
      </c>
      <c r="W8488" s="16" t="str">
        <f>IFERROR(__xludf.DUMMYFUNCTION("""COMPUTED_VALUE"""),"")</f>
        <v/>
      </c>
      <c r="X8488" s="16" t="str">
        <f>IFERROR(__xludf.DUMMYFUNCTION("""COMPUTED_VALUE"""),"")</f>
        <v/>
      </c>
      <c r="AC8488" s="16" t="str">
        <f>IFERROR(__xludf.DUMMYFUNCTION("""COMPUTED_VALUE"""),"")</f>
        <v/>
      </c>
    </row>
    <row r="8489">
      <c r="A8489" s="16" t="s">
        <v>87</v>
      </c>
      <c r="E8489" s="16" t="str">
        <f>IFERROR(__xludf.DUMMYFUNCTION("""COMPUTED_VALUE"""),"")</f>
        <v/>
      </c>
      <c r="G8489" s="18"/>
      <c r="H8489" s="16" t="s">
        <v>87</v>
      </c>
      <c r="I8489" s="16" t="s">
        <v>87</v>
      </c>
      <c r="J8489" s="19"/>
      <c r="L8489" s="16" t="str">
        <f>IFERROR(__xludf.DUMMYFUNCTION("""COMPUTED_VALUE"""),"")</f>
        <v/>
      </c>
      <c r="M8489" s="16" t="str">
        <f>IFERROR(__xludf.DUMMYFUNCTION("""COMPUTED_VALUE"""),"")</f>
        <v/>
      </c>
      <c r="U8489" s="16" t="s">
        <v>87</v>
      </c>
      <c r="V8489" s="16" t="str">
        <f>IFERROR(__xludf.DUMMYFUNCTION("""COMPUTED_VALUE"""),"")</f>
        <v/>
      </c>
      <c r="W8489" s="16" t="str">
        <f>IFERROR(__xludf.DUMMYFUNCTION("""COMPUTED_VALUE"""),"")</f>
        <v/>
      </c>
      <c r="X8489" s="16" t="str">
        <f>IFERROR(__xludf.DUMMYFUNCTION("""COMPUTED_VALUE"""),"")</f>
        <v/>
      </c>
      <c r="AC8489" s="16" t="str">
        <f>IFERROR(__xludf.DUMMYFUNCTION("""COMPUTED_VALUE"""),"")</f>
        <v/>
      </c>
    </row>
    <row r="8490">
      <c r="A8490" s="16" t="s">
        <v>87</v>
      </c>
      <c r="E8490" s="16" t="str">
        <f>IFERROR(__xludf.DUMMYFUNCTION("""COMPUTED_VALUE"""),"")</f>
        <v/>
      </c>
      <c r="G8490" s="18"/>
      <c r="H8490" s="16" t="s">
        <v>87</v>
      </c>
      <c r="I8490" s="16" t="s">
        <v>87</v>
      </c>
      <c r="J8490" s="19"/>
      <c r="L8490" s="16" t="str">
        <f>IFERROR(__xludf.DUMMYFUNCTION("""COMPUTED_VALUE"""),"")</f>
        <v/>
      </c>
      <c r="M8490" s="16" t="str">
        <f>IFERROR(__xludf.DUMMYFUNCTION("""COMPUTED_VALUE"""),"")</f>
        <v/>
      </c>
      <c r="U8490" s="16" t="s">
        <v>87</v>
      </c>
      <c r="V8490" s="16" t="str">
        <f>IFERROR(__xludf.DUMMYFUNCTION("""COMPUTED_VALUE"""),"")</f>
        <v/>
      </c>
      <c r="W8490" s="16" t="str">
        <f>IFERROR(__xludf.DUMMYFUNCTION("""COMPUTED_VALUE"""),"")</f>
        <v/>
      </c>
      <c r="X8490" s="16" t="str">
        <f>IFERROR(__xludf.DUMMYFUNCTION("""COMPUTED_VALUE"""),"")</f>
        <v/>
      </c>
      <c r="AC8490" s="16" t="str">
        <f>IFERROR(__xludf.DUMMYFUNCTION("""COMPUTED_VALUE"""),"")</f>
        <v/>
      </c>
    </row>
    <row r="8491">
      <c r="A8491" s="16" t="s">
        <v>87</v>
      </c>
      <c r="E8491" s="16" t="str">
        <f>IFERROR(__xludf.DUMMYFUNCTION("""COMPUTED_VALUE"""),"")</f>
        <v/>
      </c>
      <c r="G8491" s="18"/>
      <c r="H8491" s="16" t="s">
        <v>87</v>
      </c>
      <c r="I8491" s="16" t="s">
        <v>87</v>
      </c>
      <c r="J8491" s="19"/>
      <c r="L8491" s="16" t="str">
        <f>IFERROR(__xludf.DUMMYFUNCTION("""COMPUTED_VALUE"""),"")</f>
        <v/>
      </c>
      <c r="M8491" s="16" t="str">
        <f>IFERROR(__xludf.DUMMYFUNCTION("""COMPUTED_VALUE"""),"")</f>
        <v/>
      </c>
      <c r="U8491" s="16" t="s">
        <v>87</v>
      </c>
      <c r="V8491" s="16" t="str">
        <f>IFERROR(__xludf.DUMMYFUNCTION("""COMPUTED_VALUE"""),"")</f>
        <v/>
      </c>
      <c r="W8491" s="16" t="str">
        <f>IFERROR(__xludf.DUMMYFUNCTION("""COMPUTED_VALUE"""),"")</f>
        <v/>
      </c>
      <c r="X8491" s="16" t="str">
        <f>IFERROR(__xludf.DUMMYFUNCTION("""COMPUTED_VALUE"""),"")</f>
        <v/>
      </c>
      <c r="AC8491" s="16" t="str">
        <f>IFERROR(__xludf.DUMMYFUNCTION("""COMPUTED_VALUE"""),"")</f>
        <v/>
      </c>
    </row>
    <row r="8492">
      <c r="A8492" s="16" t="s">
        <v>87</v>
      </c>
      <c r="E8492" s="16" t="str">
        <f>IFERROR(__xludf.DUMMYFUNCTION("""COMPUTED_VALUE"""),"")</f>
        <v/>
      </c>
      <c r="G8492" s="18"/>
      <c r="H8492" s="16" t="s">
        <v>87</v>
      </c>
      <c r="I8492" s="16" t="s">
        <v>87</v>
      </c>
      <c r="J8492" s="19"/>
      <c r="L8492" s="16" t="str">
        <f>IFERROR(__xludf.DUMMYFUNCTION("""COMPUTED_VALUE"""),"")</f>
        <v/>
      </c>
      <c r="M8492" s="16" t="str">
        <f>IFERROR(__xludf.DUMMYFUNCTION("""COMPUTED_VALUE"""),"")</f>
        <v/>
      </c>
      <c r="U8492" s="16" t="s">
        <v>87</v>
      </c>
      <c r="V8492" s="16" t="str">
        <f>IFERROR(__xludf.DUMMYFUNCTION("""COMPUTED_VALUE"""),"")</f>
        <v/>
      </c>
      <c r="W8492" s="16" t="str">
        <f>IFERROR(__xludf.DUMMYFUNCTION("""COMPUTED_VALUE"""),"")</f>
        <v/>
      </c>
      <c r="X8492" s="16" t="str">
        <f>IFERROR(__xludf.DUMMYFUNCTION("""COMPUTED_VALUE"""),"")</f>
        <v/>
      </c>
      <c r="AC8492" s="16" t="str">
        <f>IFERROR(__xludf.DUMMYFUNCTION("""COMPUTED_VALUE"""),"")</f>
        <v/>
      </c>
    </row>
    <row r="8493">
      <c r="A8493" s="16" t="s">
        <v>87</v>
      </c>
      <c r="E8493" s="16" t="str">
        <f>IFERROR(__xludf.DUMMYFUNCTION("""COMPUTED_VALUE"""),"")</f>
        <v/>
      </c>
      <c r="G8493" s="18"/>
      <c r="H8493" s="16" t="s">
        <v>87</v>
      </c>
      <c r="I8493" s="16" t="s">
        <v>87</v>
      </c>
      <c r="J8493" s="19"/>
      <c r="L8493" s="16" t="str">
        <f>IFERROR(__xludf.DUMMYFUNCTION("""COMPUTED_VALUE"""),"")</f>
        <v/>
      </c>
      <c r="M8493" s="16" t="str">
        <f>IFERROR(__xludf.DUMMYFUNCTION("""COMPUTED_VALUE"""),"")</f>
        <v/>
      </c>
      <c r="U8493" s="16" t="s">
        <v>87</v>
      </c>
      <c r="V8493" s="16" t="str">
        <f>IFERROR(__xludf.DUMMYFUNCTION("""COMPUTED_VALUE"""),"")</f>
        <v/>
      </c>
      <c r="W8493" s="16" t="str">
        <f>IFERROR(__xludf.DUMMYFUNCTION("""COMPUTED_VALUE"""),"")</f>
        <v/>
      </c>
      <c r="X8493" s="16" t="str">
        <f>IFERROR(__xludf.DUMMYFUNCTION("""COMPUTED_VALUE"""),"")</f>
        <v/>
      </c>
      <c r="AC8493" s="16" t="str">
        <f>IFERROR(__xludf.DUMMYFUNCTION("""COMPUTED_VALUE"""),"")</f>
        <v/>
      </c>
    </row>
    <row r="8494">
      <c r="A8494" s="16" t="s">
        <v>87</v>
      </c>
      <c r="E8494" s="16" t="str">
        <f>IFERROR(__xludf.DUMMYFUNCTION("""COMPUTED_VALUE"""),"")</f>
        <v/>
      </c>
      <c r="G8494" s="18"/>
      <c r="H8494" s="16" t="s">
        <v>87</v>
      </c>
      <c r="I8494" s="16" t="s">
        <v>87</v>
      </c>
      <c r="J8494" s="19"/>
      <c r="L8494" s="16" t="str">
        <f>IFERROR(__xludf.DUMMYFUNCTION("""COMPUTED_VALUE"""),"")</f>
        <v/>
      </c>
      <c r="M8494" s="16" t="str">
        <f>IFERROR(__xludf.DUMMYFUNCTION("""COMPUTED_VALUE"""),"")</f>
        <v/>
      </c>
      <c r="U8494" s="16" t="s">
        <v>87</v>
      </c>
      <c r="V8494" s="16" t="str">
        <f>IFERROR(__xludf.DUMMYFUNCTION("""COMPUTED_VALUE"""),"")</f>
        <v/>
      </c>
      <c r="W8494" s="16" t="str">
        <f>IFERROR(__xludf.DUMMYFUNCTION("""COMPUTED_VALUE"""),"")</f>
        <v/>
      </c>
      <c r="X8494" s="16" t="str">
        <f>IFERROR(__xludf.DUMMYFUNCTION("""COMPUTED_VALUE"""),"")</f>
        <v/>
      </c>
      <c r="AC8494" s="16" t="str">
        <f>IFERROR(__xludf.DUMMYFUNCTION("""COMPUTED_VALUE"""),"")</f>
        <v/>
      </c>
    </row>
    <row r="8495">
      <c r="A8495" s="16" t="s">
        <v>87</v>
      </c>
      <c r="E8495" s="16" t="str">
        <f>IFERROR(__xludf.DUMMYFUNCTION("""COMPUTED_VALUE"""),"")</f>
        <v/>
      </c>
      <c r="G8495" s="18"/>
      <c r="H8495" s="16" t="s">
        <v>87</v>
      </c>
      <c r="I8495" s="16" t="s">
        <v>87</v>
      </c>
      <c r="J8495" s="19"/>
      <c r="L8495" s="16" t="str">
        <f>IFERROR(__xludf.DUMMYFUNCTION("""COMPUTED_VALUE"""),"")</f>
        <v/>
      </c>
      <c r="M8495" s="16" t="str">
        <f>IFERROR(__xludf.DUMMYFUNCTION("""COMPUTED_VALUE"""),"")</f>
        <v/>
      </c>
      <c r="U8495" s="16" t="s">
        <v>87</v>
      </c>
      <c r="V8495" s="16" t="str">
        <f>IFERROR(__xludf.DUMMYFUNCTION("""COMPUTED_VALUE"""),"")</f>
        <v/>
      </c>
      <c r="W8495" s="16" t="str">
        <f>IFERROR(__xludf.DUMMYFUNCTION("""COMPUTED_VALUE"""),"")</f>
        <v/>
      </c>
      <c r="X8495" s="16" t="str">
        <f>IFERROR(__xludf.DUMMYFUNCTION("""COMPUTED_VALUE"""),"")</f>
        <v/>
      </c>
      <c r="AC8495" s="16" t="str">
        <f>IFERROR(__xludf.DUMMYFUNCTION("""COMPUTED_VALUE"""),"")</f>
        <v/>
      </c>
    </row>
    <row r="8496">
      <c r="A8496" s="16" t="s">
        <v>87</v>
      </c>
      <c r="E8496" s="16" t="str">
        <f>IFERROR(__xludf.DUMMYFUNCTION("""COMPUTED_VALUE"""),"")</f>
        <v/>
      </c>
      <c r="G8496" s="18"/>
      <c r="H8496" s="16" t="s">
        <v>87</v>
      </c>
      <c r="I8496" s="16" t="s">
        <v>87</v>
      </c>
      <c r="J8496" s="19"/>
      <c r="L8496" s="16" t="str">
        <f>IFERROR(__xludf.DUMMYFUNCTION("""COMPUTED_VALUE"""),"")</f>
        <v/>
      </c>
      <c r="M8496" s="16" t="str">
        <f>IFERROR(__xludf.DUMMYFUNCTION("""COMPUTED_VALUE"""),"")</f>
        <v/>
      </c>
      <c r="U8496" s="16" t="s">
        <v>87</v>
      </c>
      <c r="V8496" s="16" t="str">
        <f>IFERROR(__xludf.DUMMYFUNCTION("""COMPUTED_VALUE"""),"")</f>
        <v/>
      </c>
      <c r="W8496" s="16" t="str">
        <f>IFERROR(__xludf.DUMMYFUNCTION("""COMPUTED_VALUE"""),"")</f>
        <v/>
      </c>
      <c r="X8496" s="16" t="str">
        <f>IFERROR(__xludf.DUMMYFUNCTION("""COMPUTED_VALUE"""),"")</f>
        <v/>
      </c>
      <c r="AC8496" s="16" t="str">
        <f>IFERROR(__xludf.DUMMYFUNCTION("""COMPUTED_VALUE"""),"")</f>
        <v/>
      </c>
    </row>
    <row r="8497">
      <c r="A8497" s="16" t="s">
        <v>87</v>
      </c>
      <c r="E8497" s="16" t="str">
        <f>IFERROR(__xludf.DUMMYFUNCTION("""COMPUTED_VALUE"""),"")</f>
        <v/>
      </c>
      <c r="G8497" s="18"/>
      <c r="H8497" s="16" t="s">
        <v>87</v>
      </c>
      <c r="I8497" s="16" t="s">
        <v>87</v>
      </c>
      <c r="J8497" s="19"/>
      <c r="L8497" s="16" t="str">
        <f>IFERROR(__xludf.DUMMYFUNCTION("""COMPUTED_VALUE"""),"")</f>
        <v/>
      </c>
      <c r="M8497" s="16" t="str">
        <f>IFERROR(__xludf.DUMMYFUNCTION("""COMPUTED_VALUE"""),"")</f>
        <v/>
      </c>
      <c r="U8497" s="16" t="s">
        <v>87</v>
      </c>
      <c r="V8497" s="16" t="str">
        <f>IFERROR(__xludf.DUMMYFUNCTION("""COMPUTED_VALUE"""),"")</f>
        <v/>
      </c>
      <c r="W8497" s="16" t="str">
        <f>IFERROR(__xludf.DUMMYFUNCTION("""COMPUTED_VALUE"""),"")</f>
        <v/>
      </c>
      <c r="X8497" s="16" t="str">
        <f>IFERROR(__xludf.DUMMYFUNCTION("""COMPUTED_VALUE"""),"")</f>
        <v/>
      </c>
      <c r="AC8497" s="16" t="str">
        <f>IFERROR(__xludf.DUMMYFUNCTION("""COMPUTED_VALUE"""),"")</f>
        <v/>
      </c>
    </row>
    <row r="8498">
      <c r="A8498" s="16" t="s">
        <v>87</v>
      </c>
      <c r="E8498" s="16" t="str">
        <f>IFERROR(__xludf.DUMMYFUNCTION("""COMPUTED_VALUE"""),"")</f>
        <v/>
      </c>
      <c r="G8498" s="18"/>
      <c r="H8498" s="16" t="s">
        <v>87</v>
      </c>
      <c r="I8498" s="16" t="s">
        <v>87</v>
      </c>
      <c r="J8498" s="19"/>
      <c r="L8498" s="16" t="str">
        <f>IFERROR(__xludf.DUMMYFUNCTION("""COMPUTED_VALUE"""),"")</f>
        <v/>
      </c>
      <c r="M8498" s="16" t="str">
        <f>IFERROR(__xludf.DUMMYFUNCTION("""COMPUTED_VALUE"""),"")</f>
        <v/>
      </c>
      <c r="U8498" s="16" t="s">
        <v>87</v>
      </c>
      <c r="V8498" s="16" t="str">
        <f>IFERROR(__xludf.DUMMYFUNCTION("""COMPUTED_VALUE"""),"")</f>
        <v/>
      </c>
      <c r="W8498" s="16" t="str">
        <f>IFERROR(__xludf.DUMMYFUNCTION("""COMPUTED_VALUE"""),"")</f>
        <v/>
      </c>
      <c r="X8498" s="16" t="str">
        <f>IFERROR(__xludf.DUMMYFUNCTION("""COMPUTED_VALUE"""),"")</f>
        <v/>
      </c>
      <c r="AC8498" s="16" t="str">
        <f>IFERROR(__xludf.DUMMYFUNCTION("""COMPUTED_VALUE"""),"")</f>
        <v/>
      </c>
    </row>
    <row r="8499">
      <c r="A8499" s="16" t="s">
        <v>87</v>
      </c>
      <c r="E8499" s="16" t="str">
        <f>IFERROR(__xludf.DUMMYFUNCTION("""COMPUTED_VALUE"""),"")</f>
        <v/>
      </c>
      <c r="G8499" s="18"/>
      <c r="H8499" s="16" t="s">
        <v>87</v>
      </c>
      <c r="I8499" s="16" t="s">
        <v>87</v>
      </c>
      <c r="J8499" s="19"/>
      <c r="L8499" s="16" t="str">
        <f>IFERROR(__xludf.DUMMYFUNCTION("""COMPUTED_VALUE"""),"")</f>
        <v/>
      </c>
      <c r="M8499" s="16" t="str">
        <f>IFERROR(__xludf.DUMMYFUNCTION("""COMPUTED_VALUE"""),"")</f>
        <v/>
      </c>
      <c r="U8499" s="16" t="s">
        <v>87</v>
      </c>
      <c r="V8499" s="16" t="str">
        <f>IFERROR(__xludf.DUMMYFUNCTION("""COMPUTED_VALUE"""),"")</f>
        <v/>
      </c>
      <c r="W8499" s="16" t="str">
        <f>IFERROR(__xludf.DUMMYFUNCTION("""COMPUTED_VALUE"""),"")</f>
        <v/>
      </c>
      <c r="X8499" s="16" t="str">
        <f>IFERROR(__xludf.DUMMYFUNCTION("""COMPUTED_VALUE"""),"")</f>
        <v/>
      </c>
      <c r="AC8499" s="16" t="str">
        <f>IFERROR(__xludf.DUMMYFUNCTION("""COMPUTED_VALUE"""),"")</f>
        <v/>
      </c>
    </row>
    <row r="8500">
      <c r="A8500" s="16" t="s">
        <v>87</v>
      </c>
      <c r="E8500" s="16" t="str">
        <f>IFERROR(__xludf.DUMMYFUNCTION("""COMPUTED_VALUE"""),"")</f>
        <v/>
      </c>
      <c r="G8500" s="18"/>
      <c r="H8500" s="16" t="s">
        <v>87</v>
      </c>
      <c r="I8500" s="16" t="s">
        <v>87</v>
      </c>
      <c r="J8500" s="19"/>
      <c r="L8500" s="16" t="str">
        <f>IFERROR(__xludf.DUMMYFUNCTION("""COMPUTED_VALUE"""),"")</f>
        <v/>
      </c>
      <c r="M8500" s="16" t="str">
        <f>IFERROR(__xludf.DUMMYFUNCTION("""COMPUTED_VALUE"""),"")</f>
        <v/>
      </c>
      <c r="U8500" s="16" t="s">
        <v>87</v>
      </c>
      <c r="V8500" s="16" t="str">
        <f>IFERROR(__xludf.DUMMYFUNCTION("""COMPUTED_VALUE"""),"")</f>
        <v/>
      </c>
      <c r="W8500" s="16" t="str">
        <f>IFERROR(__xludf.DUMMYFUNCTION("""COMPUTED_VALUE"""),"")</f>
        <v/>
      </c>
      <c r="X8500" s="16" t="str">
        <f>IFERROR(__xludf.DUMMYFUNCTION("""COMPUTED_VALUE"""),"")</f>
        <v/>
      </c>
      <c r="AC8500" s="16" t="str">
        <f>IFERROR(__xludf.DUMMYFUNCTION("""COMPUTED_VALUE"""),"")</f>
        <v/>
      </c>
    </row>
    <row r="8501">
      <c r="A8501" s="16" t="s">
        <v>87</v>
      </c>
      <c r="E8501" s="16" t="str">
        <f>IFERROR(__xludf.DUMMYFUNCTION("""COMPUTED_VALUE"""),"")</f>
        <v/>
      </c>
      <c r="G8501" s="18"/>
      <c r="H8501" s="16" t="s">
        <v>87</v>
      </c>
      <c r="I8501" s="16" t="s">
        <v>87</v>
      </c>
      <c r="J8501" s="19"/>
      <c r="L8501" s="16" t="str">
        <f>IFERROR(__xludf.DUMMYFUNCTION("""COMPUTED_VALUE"""),"")</f>
        <v/>
      </c>
      <c r="M8501" s="16" t="str">
        <f>IFERROR(__xludf.DUMMYFUNCTION("""COMPUTED_VALUE"""),"")</f>
        <v/>
      </c>
      <c r="U8501" s="16" t="s">
        <v>87</v>
      </c>
      <c r="V8501" s="16" t="str">
        <f>IFERROR(__xludf.DUMMYFUNCTION("""COMPUTED_VALUE"""),"")</f>
        <v/>
      </c>
      <c r="W8501" s="16" t="str">
        <f>IFERROR(__xludf.DUMMYFUNCTION("""COMPUTED_VALUE"""),"")</f>
        <v/>
      </c>
      <c r="X8501" s="16" t="str">
        <f>IFERROR(__xludf.DUMMYFUNCTION("""COMPUTED_VALUE"""),"")</f>
        <v/>
      </c>
      <c r="AC8501" s="16" t="str">
        <f>IFERROR(__xludf.DUMMYFUNCTION("""COMPUTED_VALUE"""),"")</f>
        <v/>
      </c>
    </row>
    <row r="8502">
      <c r="A8502" s="16" t="s">
        <v>87</v>
      </c>
      <c r="E8502" s="16" t="str">
        <f>IFERROR(__xludf.DUMMYFUNCTION("""COMPUTED_VALUE"""),"")</f>
        <v/>
      </c>
      <c r="G8502" s="18"/>
      <c r="H8502" s="16" t="s">
        <v>87</v>
      </c>
      <c r="I8502" s="16" t="s">
        <v>87</v>
      </c>
      <c r="J8502" s="19"/>
      <c r="L8502" s="16" t="str">
        <f>IFERROR(__xludf.DUMMYFUNCTION("""COMPUTED_VALUE"""),"")</f>
        <v/>
      </c>
      <c r="M8502" s="16" t="str">
        <f>IFERROR(__xludf.DUMMYFUNCTION("""COMPUTED_VALUE"""),"")</f>
        <v/>
      </c>
      <c r="U8502" s="16" t="s">
        <v>87</v>
      </c>
      <c r="V8502" s="16" t="str">
        <f>IFERROR(__xludf.DUMMYFUNCTION("""COMPUTED_VALUE"""),"")</f>
        <v/>
      </c>
      <c r="W8502" s="16" t="str">
        <f>IFERROR(__xludf.DUMMYFUNCTION("""COMPUTED_VALUE"""),"")</f>
        <v/>
      </c>
      <c r="X8502" s="16" t="str">
        <f>IFERROR(__xludf.DUMMYFUNCTION("""COMPUTED_VALUE"""),"")</f>
        <v/>
      </c>
      <c r="AC8502" s="16" t="str">
        <f>IFERROR(__xludf.DUMMYFUNCTION("""COMPUTED_VALUE"""),"")</f>
        <v/>
      </c>
    </row>
    <row r="8503">
      <c r="A8503" s="16" t="s">
        <v>87</v>
      </c>
      <c r="E8503" s="16" t="str">
        <f>IFERROR(__xludf.DUMMYFUNCTION("""COMPUTED_VALUE"""),"")</f>
        <v/>
      </c>
      <c r="G8503" s="18"/>
      <c r="H8503" s="16" t="s">
        <v>87</v>
      </c>
      <c r="I8503" s="16" t="s">
        <v>87</v>
      </c>
      <c r="J8503" s="19"/>
      <c r="L8503" s="16" t="str">
        <f>IFERROR(__xludf.DUMMYFUNCTION("""COMPUTED_VALUE"""),"")</f>
        <v/>
      </c>
      <c r="M8503" s="16" t="str">
        <f>IFERROR(__xludf.DUMMYFUNCTION("""COMPUTED_VALUE"""),"")</f>
        <v/>
      </c>
      <c r="U8503" s="16" t="s">
        <v>87</v>
      </c>
      <c r="V8503" s="16" t="str">
        <f>IFERROR(__xludf.DUMMYFUNCTION("""COMPUTED_VALUE"""),"")</f>
        <v/>
      </c>
      <c r="W8503" s="16" t="str">
        <f>IFERROR(__xludf.DUMMYFUNCTION("""COMPUTED_VALUE"""),"")</f>
        <v/>
      </c>
      <c r="X8503" s="16" t="str">
        <f>IFERROR(__xludf.DUMMYFUNCTION("""COMPUTED_VALUE"""),"")</f>
        <v/>
      </c>
      <c r="AC8503" s="16" t="str">
        <f>IFERROR(__xludf.DUMMYFUNCTION("""COMPUTED_VALUE"""),"")</f>
        <v/>
      </c>
    </row>
    <row r="8504">
      <c r="A8504" s="16" t="s">
        <v>87</v>
      </c>
      <c r="E8504" s="16" t="str">
        <f>IFERROR(__xludf.DUMMYFUNCTION("""COMPUTED_VALUE"""),"")</f>
        <v/>
      </c>
      <c r="G8504" s="18"/>
      <c r="H8504" s="16" t="s">
        <v>87</v>
      </c>
      <c r="I8504" s="16" t="s">
        <v>87</v>
      </c>
      <c r="J8504" s="19"/>
      <c r="L8504" s="16" t="str">
        <f>IFERROR(__xludf.DUMMYFUNCTION("""COMPUTED_VALUE"""),"")</f>
        <v/>
      </c>
      <c r="M8504" s="16" t="str">
        <f>IFERROR(__xludf.DUMMYFUNCTION("""COMPUTED_VALUE"""),"")</f>
        <v/>
      </c>
      <c r="U8504" s="16" t="s">
        <v>87</v>
      </c>
      <c r="V8504" s="16" t="str">
        <f>IFERROR(__xludf.DUMMYFUNCTION("""COMPUTED_VALUE"""),"")</f>
        <v/>
      </c>
      <c r="W8504" s="16" t="str">
        <f>IFERROR(__xludf.DUMMYFUNCTION("""COMPUTED_VALUE"""),"")</f>
        <v/>
      </c>
      <c r="X8504" s="16" t="str">
        <f>IFERROR(__xludf.DUMMYFUNCTION("""COMPUTED_VALUE"""),"")</f>
        <v/>
      </c>
      <c r="AC8504" s="16" t="str">
        <f>IFERROR(__xludf.DUMMYFUNCTION("""COMPUTED_VALUE"""),"")</f>
        <v/>
      </c>
    </row>
    <row r="8505">
      <c r="A8505" s="16" t="s">
        <v>87</v>
      </c>
      <c r="E8505" s="16" t="str">
        <f>IFERROR(__xludf.DUMMYFUNCTION("""COMPUTED_VALUE"""),"")</f>
        <v/>
      </c>
      <c r="G8505" s="18"/>
      <c r="H8505" s="16" t="s">
        <v>87</v>
      </c>
      <c r="I8505" s="16" t="s">
        <v>87</v>
      </c>
      <c r="J8505" s="19"/>
      <c r="L8505" s="16" t="str">
        <f>IFERROR(__xludf.DUMMYFUNCTION("""COMPUTED_VALUE"""),"")</f>
        <v/>
      </c>
      <c r="M8505" s="16" t="str">
        <f>IFERROR(__xludf.DUMMYFUNCTION("""COMPUTED_VALUE"""),"")</f>
        <v/>
      </c>
      <c r="U8505" s="16" t="s">
        <v>87</v>
      </c>
      <c r="V8505" s="16" t="str">
        <f>IFERROR(__xludf.DUMMYFUNCTION("""COMPUTED_VALUE"""),"")</f>
        <v/>
      </c>
      <c r="W8505" s="16" t="str">
        <f>IFERROR(__xludf.DUMMYFUNCTION("""COMPUTED_VALUE"""),"")</f>
        <v/>
      </c>
      <c r="X8505" s="16" t="str">
        <f>IFERROR(__xludf.DUMMYFUNCTION("""COMPUTED_VALUE"""),"")</f>
        <v/>
      </c>
      <c r="AC8505" s="16" t="str">
        <f>IFERROR(__xludf.DUMMYFUNCTION("""COMPUTED_VALUE"""),"")</f>
        <v/>
      </c>
    </row>
    <row r="8506">
      <c r="A8506" s="16" t="s">
        <v>87</v>
      </c>
      <c r="E8506" s="16" t="str">
        <f>IFERROR(__xludf.DUMMYFUNCTION("""COMPUTED_VALUE"""),"")</f>
        <v/>
      </c>
      <c r="G8506" s="18"/>
      <c r="H8506" s="16" t="s">
        <v>87</v>
      </c>
      <c r="I8506" s="16" t="s">
        <v>87</v>
      </c>
      <c r="J8506" s="19"/>
      <c r="L8506" s="16" t="str">
        <f>IFERROR(__xludf.DUMMYFUNCTION("""COMPUTED_VALUE"""),"")</f>
        <v/>
      </c>
      <c r="M8506" s="16" t="str">
        <f>IFERROR(__xludf.DUMMYFUNCTION("""COMPUTED_VALUE"""),"")</f>
        <v/>
      </c>
      <c r="U8506" s="16" t="s">
        <v>87</v>
      </c>
      <c r="V8506" s="16" t="str">
        <f>IFERROR(__xludf.DUMMYFUNCTION("""COMPUTED_VALUE"""),"")</f>
        <v/>
      </c>
      <c r="W8506" s="16" t="str">
        <f>IFERROR(__xludf.DUMMYFUNCTION("""COMPUTED_VALUE"""),"")</f>
        <v/>
      </c>
      <c r="X8506" s="16" t="str">
        <f>IFERROR(__xludf.DUMMYFUNCTION("""COMPUTED_VALUE"""),"")</f>
        <v/>
      </c>
      <c r="AC8506" s="16" t="str">
        <f>IFERROR(__xludf.DUMMYFUNCTION("""COMPUTED_VALUE"""),"")</f>
        <v/>
      </c>
    </row>
    <row r="8507">
      <c r="A8507" s="16" t="s">
        <v>87</v>
      </c>
      <c r="E8507" s="16" t="str">
        <f>IFERROR(__xludf.DUMMYFUNCTION("""COMPUTED_VALUE"""),"")</f>
        <v/>
      </c>
      <c r="G8507" s="18"/>
      <c r="H8507" s="16" t="s">
        <v>87</v>
      </c>
      <c r="I8507" s="16" t="s">
        <v>87</v>
      </c>
      <c r="J8507" s="19"/>
      <c r="L8507" s="16" t="str">
        <f>IFERROR(__xludf.DUMMYFUNCTION("""COMPUTED_VALUE"""),"")</f>
        <v/>
      </c>
      <c r="M8507" s="16" t="str">
        <f>IFERROR(__xludf.DUMMYFUNCTION("""COMPUTED_VALUE"""),"")</f>
        <v/>
      </c>
      <c r="U8507" s="16" t="s">
        <v>87</v>
      </c>
      <c r="V8507" s="16" t="str">
        <f>IFERROR(__xludf.DUMMYFUNCTION("""COMPUTED_VALUE"""),"")</f>
        <v/>
      </c>
      <c r="W8507" s="16" t="str">
        <f>IFERROR(__xludf.DUMMYFUNCTION("""COMPUTED_VALUE"""),"")</f>
        <v/>
      </c>
      <c r="X8507" s="16" t="str">
        <f>IFERROR(__xludf.DUMMYFUNCTION("""COMPUTED_VALUE"""),"")</f>
        <v/>
      </c>
      <c r="AC8507" s="16" t="str">
        <f>IFERROR(__xludf.DUMMYFUNCTION("""COMPUTED_VALUE"""),"")</f>
        <v/>
      </c>
    </row>
    <row r="8508">
      <c r="A8508" s="16" t="s">
        <v>87</v>
      </c>
      <c r="E8508" s="16" t="str">
        <f>IFERROR(__xludf.DUMMYFUNCTION("""COMPUTED_VALUE"""),"")</f>
        <v/>
      </c>
      <c r="G8508" s="18"/>
      <c r="H8508" s="16" t="s">
        <v>87</v>
      </c>
      <c r="I8508" s="16" t="s">
        <v>87</v>
      </c>
      <c r="J8508" s="19"/>
      <c r="L8508" s="16" t="str">
        <f>IFERROR(__xludf.DUMMYFUNCTION("""COMPUTED_VALUE"""),"")</f>
        <v/>
      </c>
      <c r="M8508" s="16" t="str">
        <f>IFERROR(__xludf.DUMMYFUNCTION("""COMPUTED_VALUE"""),"")</f>
        <v/>
      </c>
      <c r="U8508" s="16" t="s">
        <v>87</v>
      </c>
      <c r="V8508" s="16" t="str">
        <f>IFERROR(__xludf.DUMMYFUNCTION("""COMPUTED_VALUE"""),"")</f>
        <v/>
      </c>
      <c r="W8508" s="16" t="str">
        <f>IFERROR(__xludf.DUMMYFUNCTION("""COMPUTED_VALUE"""),"")</f>
        <v/>
      </c>
      <c r="X8508" s="16" t="str">
        <f>IFERROR(__xludf.DUMMYFUNCTION("""COMPUTED_VALUE"""),"")</f>
        <v/>
      </c>
      <c r="AC8508" s="16" t="str">
        <f>IFERROR(__xludf.DUMMYFUNCTION("""COMPUTED_VALUE"""),"")</f>
        <v/>
      </c>
    </row>
    <row r="8509">
      <c r="A8509" s="16" t="s">
        <v>87</v>
      </c>
      <c r="E8509" s="16" t="str">
        <f>IFERROR(__xludf.DUMMYFUNCTION("""COMPUTED_VALUE"""),"")</f>
        <v/>
      </c>
      <c r="G8509" s="18"/>
      <c r="H8509" s="16" t="s">
        <v>87</v>
      </c>
      <c r="I8509" s="16" t="s">
        <v>87</v>
      </c>
      <c r="J8509" s="19"/>
      <c r="L8509" s="16" t="str">
        <f>IFERROR(__xludf.DUMMYFUNCTION("""COMPUTED_VALUE"""),"")</f>
        <v/>
      </c>
      <c r="M8509" s="16" t="str">
        <f>IFERROR(__xludf.DUMMYFUNCTION("""COMPUTED_VALUE"""),"")</f>
        <v/>
      </c>
      <c r="U8509" s="16" t="s">
        <v>87</v>
      </c>
      <c r="V8509" s="16" t="str">
        <f>IFERROR(__xludf.DUMMYFUNCTION("""COMPUTED_VALUE"""),"")</f>
        <v/>
      </c>
      <c r="W8509" s="16" t="str">
        <f>IFERROR(__xludf.DUMMYFUNCTION("""COMPUTED_VALUE"""),"")</f>
        <v/>
      </c>
      <c r="X8509" s="16" t="str">
        <f>IFERROR(__xludf.DUMMYFUNCTION("""COMPUTED_VALUE"""),"")</f>
        <v/>
      </c>
      <c r="AC8509" s="16" t="str">
        <f>IFERROR(__xludf.DUMMYFUNCTION("""COMPUTED_VALUE"""),"")</f>
        <v/>
      </c>
    </row>
    <row r="8510">
      <c r="A8510" s="16" t="s">
        <v>87</v>
      </c>
      <c r="E8510" s="16" t="str">
        <f>IFERROR(__xludf.DUMMYFUNCTION("""COMPUTED_VALUE"""),"")</f>
        <v/>
      </c>
      <c r="G8510" s="18"/>
      <c r="H8510" s="16" t="s">
        <v>87</v>
      </c>
      <c r="I8510" s="16" t="s">
        <v>87</v>
      </c>
      <c r="J8510" s="19"/>
      <c r="L8510" s="16" t="str">
        <f>IFERROR(__xludf.DUMMYFUNCTION("""COMPUTED_VALUE"""),"")</f>
        <v/>
      </c>
      <c r="M8510" s="16" t="str">
        <f>IFERROR(__xludf.DUMMYFUNCTION("""COMPUTED_VALUE"""),"")</f>
        <v/>
      </c>
      <c r="U8510" s="16" t="s">
        <v>87</v>
      </c>
      <c r="V8510" s="16" t="str">
        <f>IFERROR(__xludf.DUMMYFUNCTION("""COMPUTED_VALUE"""),"")</f>
        <v/>
      </c>
      <c r="W8510" s="16" t="str">
        <f>IFERROR(__xludf.DUMMYFUNCTION("""COMPUTED_VALUE"""),"")</f>
        <v/>
      </c>
      <c r="X8510" s="16" t="str">
        <f>IFERROR(__xludf.DUMMYFUNCTION("""COMPUTED_VALUE"""),"")</f>
        <v/>
      </c>
      <c r="AC8510" s="16" t="str">
        <f>IFERROR(__xludf.DUMMYFUNCTION("""COMPUTED_VALUE"""),"")</f>
        <v/>
      </c>
    </row>
    <row r="8511">
      <c r="A8511" s="16" t="s">
        <v>87</v>
      </c>
      <c r="E8511" s="16" t="str">
        <f>IFERROR(__xludf.DUMMYFUNCTION("""COMPUTED_VALUE"""),"")</f>
        <v/>
      </c>
      <c r="G8511" s="18"/>
      <c r="H8511" s="16" t="s">
        <v>87</v>
      </c>
      <c r="I8511" s="16" t="s">
        <v>87</v>
      </c>
      <c r="J8511" s="19"/>
      <c r="L8511" s="16" t="str">
        <f>IFERROR(__xludf.DUMMYFUNCTION("""COMPUTED_VALUE"""),"")</f>
        <v/>
      </c>
      <c r="M8511" s="16" t="str">
        <f>IFERROR(__xludf.DUMMYFUNCTION("""COMPUTED_VALUE"""),"")</f>
        <v/>
      </c>
      <c r="U8511" s="16" t="s">
        <v>87</v>
      </c>
      <c r="V8511" s="16" t="str">
        <f>IFERROR(__xludf.DUMMYFUNCTION("""COMPUTED_VALUE"""),"")</f>
        <v/>
      </c>
      <c r="W8511" s="16" t="str">
        <f>IFERROR(__xludf.DUMMYFUNCTION("""COMPUTED_VALUE"""),"")</f>
        <v/>
      </c>
      <c r="X8511" s="16" t="str">
        <f>IFERROR(__xludf.DUMMYFUNCTION("""COMPUTED_VALUE"""),"")</f>
        <v/>
      </c>
      <c r="AC8511" s="16" t="str">
        <f>IFERROR(__xludf.DUMMYFUNCTION("""COMPUTED_VALUE"""),"")</f>
        <v/>
      </c>
    </row>
    <row r="8512">
      <c r="A8512" s="16" t="s">
        <v>87</v>
      </c>
      <c r="E8512" s="16" t="str">
        <f>IFERROR(__xludf.DUMMYFUNCTION("""COMPUTED_VALUE"""),"")</f>
        <v/>
      </c>
      <c r="G8512" s="18"/>
      <c r="H8512" s="16" t="s">
        <v>87</v>
      </c>
      <c r="I8512" s="16" t="s">
        <v>87</v>
      </c>
      <c r="J8512" s="19"/>
      <c r="L8512" s="16" t="str">
        <f>IFERROR(__xludf.DUMMYFUNCTION("""COMPUTED_VALUE"""),"")</f>
        <v/>
      </c>
      <c r="M8512" s="16" t="str">
        <f>IFERROR(__xludf.DUMMYFUNCTION("""COMPUTED_VALUE"""),"")</f>
        <v/>
      </c>
      <c r="U8512" s="16" t="s">
        <v>87</v>
      </c>
      <c r="V8512" s="16" t="str">
        <f>IFERROR(__xludf.DUMMYFUNCTION("""COMPUTED_VALUE"""),"")</f>
        <v/>
      </c>
      <c r="W8512" s="16" t="str">
        <f>IFERROR(__xludf.DUMMYFUNCTION("""COMPUTED_VALUE"""),"")</f>
        <v/>
      </c>
      <c r="X8512" s="16" t="str">
        <f>IFERROR(__xludf.DUMMYFUNCTION("""COMPUTED_VALUE"""),"")</f>
        <v/>
      </c>
      <c r="AC8512" s="16" t="str">
        <f>IFERROR(__xludf.DUMMYFUNCTION("""COMPUTED_VALUE"""),"")</f>
        <v/>
      </c>
    </row>
    <row r="8513">
      <c r="A8513" s="16" t="s">
        <v>87</v>
      </c>
      <c r="E8513" s="16" t="str">
        <f>IFERROR(__xludf.DUMMYFUNCTION("""COMPUTED_VALUE"""),"")</f>
        <v/>
      </c>
      <c r="G8513" s="18"/>
      <c r="H8513" s="16" t="s">
        <v>87</v>
      </c>
      <c r="I8513" s="16" t="s">
        <v>87</v>
      </c>
      <c r="J8513" s="19"/>
      <c r="L8513" s="16" t="str">
        <f>IFERROR(__xludf.DUMMYFUNCTION("""COMPUTED_VALUE"""),"")</f>
        <v/>
      </c>
      <c r="M8513" s="16" t="str">
        <f>IFERROR(__xludf.DUMMYFUNCTION("""COMPUTED_VALUE"""),"")</f>
        <v/>
      </c>
      <c r="U8513" s="16" t="s">
        <v>87</v>
      </c>
      <c r="V8513" s="16" t="str">
        <f>IFERROR(__xludf.DUMMYFUNCTION("""COMPUTED_VALUE"""),"")</f>
        <v/>
      </c>
      <c r="W8513" s="16" t="str">
        <f>IFERROR(__xludf.DUMMYFUNCTION("""COMPUTED_VALUE"""),"")</f>
        <v/>
      </c>
      <c r="X8513" s="16" t="str">
        <f>IFERROR(__xludf.DUMMYFUNCTION("""COMPUTED_VALUE"""),"")</f>
        <v/>
      </c>
      <c r="AC8513" s="16" t="str">
        <f>IFERROR(__xludf.DUMMYFUNCTION("""COMPUTED_VALUE"""),"")</f>
        <v/>
      </c>
    </row>
    <row r="8514">
      <c r="A8514" s="16" t="s">
        <v>87</v>
      </c>
      <c r="E8514" s="16" t="str">
        <f>IFERROR(__xludf.DUMMYFUNCTION("""COMPUTED_VALUE"""),"")</f>
        <v/>
      </c>
      <c r="G8514" s="18"/>
      <c r="H8514" s="16" t="s">
        <v>87</v>
      </c>
      <c r="I8514" s="16" t="s">
        <v>87</v>
      </c>
      <c r="J8514" s="19"/>
      <c r="L8514" s="16" t="str">
        <f>IFERROR(__xludf.DUMMYFUNCTION("""COMPUTED_VALUE"""),"")</f>
        <v/>
      </c>
      <c r="M8514" s="16" t="str">
        <f>IFERROR(__xludf.DUMMYFUNCTION("""COMPUTED_VALUE"""),"")</f>
        <v/>
      </c>
      <c r="U8514" s="16" t="s">
        <v>87</v>
      </c>
      <c r="V8514" s="16" t="str">
        <f>IFERROR(__xludf.DUMMYFUNCTION("""COMPUTED_VALUE"""),"")</f>
        <v/>
      </c>
      <c r="W8514" s="16" t="str">
        <f>IFERROR(__xludf.DUMMYFUNCTION("""COMPUTED_VALUE"""),"")</f>
        <v/>
      </c>
      <c r="X8514" s="16" t="str">
        <f>IFERROR(__xludf.DUMMYFUNCTION("""COMPUTED_VALUE"""),"")</f>
        <v/>
      </c>
      <c r="AC8514" s="16" t="str">
        <f>IFERROR(__xludf.DUMMYFUNCTION("""COMPUTED_VALUE"""),"")</f>
        <v/>
      </c>
    </row>
    <row r="8515">
      <c r="A8515" s="16" t="s">
        <v>87</v>
      </c>
      <c r="E8515" s="16" t="str">
        <f>IFERROR(__xludf.DUMMYFUNCTION("""COMPUTED_VALUE"""),"")</f>
        <v/>
      </c>
      <c r="G8515" s="18"/>
      <c r="H8515" s="16" t="s">
        <v>87</v>
      </c>
      <c r="I8515" s="16" t="s">
        <v>87</v>
      </c>
      <c r="J8515" s="19"/>
      <c r="L8515" s="16" t="str">
        <f>IFERROR(__xludf.DUMMYFUNCTION("""COMPUTED_VALUE"""),"")</f>
        <v/>
      </c>
      <c r="M8515" s="16" t="str">
        <f>IFERROR(__xludf.DUMMYFUNCTION("""COMPUTED_VALUE"""),"")</f>
        <v/>
      </c>
      <c r="U8515" s="16" t="s">
        <v>87</v>
      </c>
      <c r="V8515" s="16" t="str">
        <f>IFERROR(__xludf.DUMMYFUNCTION("""COMPUTED_VALUE"""),"")</f>
        <v/>
      </c>
      <c r="W8515" s="16" t="str">
        <f>IFERROR(__xludf.DUMMYFUNCTION("""COMPUTED_VALUE"""),"")</f>
        <v/>
      </c>
      <c r="X8515" s="16" t="str">
        <f>IFERROR(__xludf.DUMMYFUNCTION("""COMPUTED_VALUE"""),"")</f>
        <v/>
      </c>
      <c r="AC8515" s="16" t="str">
        <f>IFERROR(__xludf.DUMMYFUNCTION("""COMPUTED_VALUE"""),"")</f>
        <v/>
      </c>
    </row>
    <row r="8516">
      <c r="A8516" s="16" t="s">
        <v>87</v>
      </c>
      <c r="E8516" s="16" t="str">
        <f>IFERROR(__xludf.DUMMYFUNCTION("""COMPUTED_VALUE"""),"")</f>
        <v/>
      </c>
      <c r="G8516" s="18"/>
      <c r="H8516" s="16" t="s">
        <v>87</v>
      </c>
      <c r="I8516" s="16" t="s">
        <v>87</v>
      </c>
      <c r="J8516" s="19"/>
      <c r="L8516" s="16" t="str">
        <f>IFERROR(__xludf.DUMMYFUNCTION("""COMPUTED_VALUE"""),"")</f>
        <v/>
      </c>
      <c r="M8516" s="16" t="str">
        <f>IFERROR(__xludf.DUMMYFUNCTION("""COMPUTED_VALUE"""),"")</f>
        <v/>
      </c>
      <c r="U8516" s="16" t="s">
        <v>87</v>
      </c>
      <c r="V8516" s="16" t="str">
        <f>IFERROR(__xludf.DUMMYFUNCTION("""COMPUTED_VALUE"""),"")</f>
        <v/>
      </c>
      <c r="W8516" s="16" t="str">
        <f>IFERROR(__xludf.DUMMYFUNCTION("""COMPUTED_VALUE"""),"")</f>
        <v/>
      </c>
      <c r="X8516" s="16" t="str">
        <f>IFERROR(__xludf.DUMMYFUNCTION("""COMPUTED_VALUE"""),"")</f>
        <v/>
      </c>
      <c r="AC8516" s="16" t="str">
        <f>IFERROR(__xludf.DUMMYFUNCTION("""COMPUTED_VALUE"""),"")</f>
        <v/>
      </c>
    </row>
    <row r="8517">
      <c r="A8517" s="16" t="s">
        <v>87</v>
      </c>
      <c r="E8517" s="16" t="str">
        <f>IFERROR(__xludf.DUMMYFUNCTION("""COMPUTED_VALUE"""),"")</f>
        <v/>
      </c>
      <c r="G8517" s="18"/>
      <c r="H8517" s="16" t="s">
        <v>87</v>
      </c>
      <c r="I8517" s="16" t="s">
        <v>87</v>
      </c>
      <c r="J8517" s="19"/>
      <c r="L8517" s="16" t="str">
        <f>IFERROR(__xludf.DUMMYFUNCTION("""COMPUTED_VALUE"""),"")</f>
        <v/>
      </c>
      <c r="M8517" s="16" t="str">
        <f>IFERROR(__xludf.DUMMYFUNCTION("""COMPUTED_VALUE"""),"")</f>
        <v/>
      </c>
      <c r="U8517" s="16" t="s">
        <v>87</v>
      </c>
      <c r="V8517" s="16" t="str">
        <f>IFERROR(__xludf.DUMMYFUNCTION("""COMPUTED_VALUE"""),"")</f>
        <v/>
      </c>
      <c r="W8517" s="16" t="str">
        <f>IFERROR(__xludf.DUMMYFUNCTION("""COMPUTED_VALUE"""),"")</f>
        <v/>
      </c>
      <c r="X8517" s="16" t="str">
        <f>IFERROR(__xludf.DUMMYFUNCTION("""COMPUTED_VALUE"""),"")</f>
        <v/>
      </c>
      <c r="AC8517" s="16" t="str">
        <f>IFERROR(__xludf.DUMMYFUNCTION("""COMPUTED_VALUE"""),"")</f>
        <v/>
      </c>
    </row>
    <row r="8518">
      <c r="A8518" s="16" t="s">
        <v>87</v>
      </c>
      <c r="E8518" s="16" t="str">
        <f>IFERROR(__xludf.DUMMYFUNCTION("""COMPUTED_VALUE"""),"")</f>
        <v/>
      </c>
      <c r="G8518" s="18"/>
      <c r="H8518" s="16" t="s">
        <v>87</v>
      </c>
      <c r="I8518" s="16" t="s">
        <v>87</v>
      </c>
      <c r="J8518" s="19"/>
      <c r="L8518" s="16" t="str">
        <f>IFERROR(__xludf.DUMMYFUNCTION("""COMPUTED_VALUE"""),"")</f>
        <v/>
      </c>
      <c r="M8518" s="16" t="str">
        <f>IFERROR(__xludf.DUMMYFUNCTION("""COMPUTED_VALUE"""),"")</f>
        <v/>
      </c>
      <c r="U8518" s="16" t="s">
        <v>87</v>
      </c>
      <c r="V8518" s="16" t="str">
        <f>IFERROR(__xludf.DUMMYFUNCTION("""COMPUTED_VALUE"""),"")</f>
        <v/>
      </c>
      <c r="W8518" s="16" t="str">
        <f>IFERROR(__xludf.DUMMYFUNCTION("""COMPUTED_VALUE"""),"")</f>
        <v/>
      </c>
      <c r="X8518" s="16" t="str">
        <f>IFERROR(__xludf.DUMMYFUNCTION("""COMPUTED_VALUE"""),"")</f>
        <v/>
      </c>
      <c r="AC8518" s="16" t="str">
        <f>IFERROR(__xludf.DUMMYFUNCTION("""COMPUTED_VALUE"""),"")</f>
        <v/>
      </c>
    </row>
    <row r="8519">
      <c r="A8519" s="16" t="s">
        <v>87</v>
      </c>
      <c r="E8519" s="16" t="str">
        <f>IFERROR(__xludf.DUMMYFUNCTION("""COMPUTED_VALUE"""),"")</f>
        <v/>
      </c>
      <c r="G8519" s="18"/>
      <c r="H8519" s="16" t="s">
        <v>87</v>
      </c>
      <c r="I8519" s="16" t="s">
        <v>87</v>
      </c>
      <c r="J8519" s="19"/>
      <c r="L8519" s="16" t="str">
        <f>IFERROR(__xludf.DUMMYFUNCTION("""COMPUTED_VALUE"""),"")</f>
        <v/>
      </c>
      <c r="M8519" s="16" t="str">
        <f>IFERROR(__xludf.DUMMYFUNCTION("""COMPUTED_VALUE"""),"")</f>
        <v/>
      </c>
      <c r="U8519" s="16" t="s">
        <v>87</v>
      </c>
      <c r="V8519" s="16" t="str">
        <f>IFERROR(__xludf.DUMMYFUNCTION("""COMPUTED_VALUE"""),"")</f>
        <v/>
      </c>
      <c r="W8519" s="16" t="str">
        <f>IFERROR(__xludf.DUMMYFUNCTION("""COMPUTED_VALUE"""),"")</f>
        <v/>
      </c>
      <c r="X8519" s="16" t="str">
        <f>IFERROR(__xludf.DUMMYFUNCTION("""COMPUTED_VALUE"""),"")</f>
        <v/>
      </c>
      <c r="AC8519" s="16" t="str">
        <f>IFERROR(__xludf.DUMMYFUNCTION("""COMPUTED_VALUE"""),"")</f>
        <v/>
      </c>
    </row>
    <row r="8520">
      <c r="A8520" s="16" t="s">
        <v>87</v>
      </c>
      <c r="E8520" s="16" t="str">
        <f>IFERROR(__xludf.DUMMYFUNCTION("""COMPUTED_VALUE"""),"")</f>
        <v/>
      </c>
      <c r="G8520" s="18"/>
      <c r="H8520" s="16" t="s">
        <v>87</v>
      </c>
      <c r="I8520" s="16" t="s">
        <v>87</v>
      </c>
      <c r="J8520" s="19"/>
      <c r="L8520" s="16" t="str">
        <f>IFERROR(__xludf.DUMMYFUNCTION("""COMPUTED_VALUE"""),"")</f>
        <v/>
      </c>
      <c r="M8520" s="16" t="str">
        <f>IFERROR(__xludf.DUMMYFUNCTION("""COMPUTED_VALUE"""),"")</f>
        <v/>
      </c>
      <c r="U8520" s="16" t="s">
        <v>87</v>
      </c>
      <c r="V8520" s="16" t="str">
        <f>IFERROR(__xludf.DUMMYFUNCTION("""COMPUTED_VALUE"""),"")</f>
        <v/>
      </c>
      <c r="W8520" s="16" t="str">
        <f>IFERROR(__xludf.DUMMYFUNCTION("""COMPUTED_VALUE"""),"")</f>
        <v/>
      </c>
      <c r="X8520" s="16" t="str">
        <f>IFERROR(__xludf.DUMMYFUNCTION("""COMPUTED_VALUE"""),"")</f>
        <v/>
      </c>
      <c r="AC8520" s="16" t="str">
        <f>IFERROR(__xludf.DUMMYFUNCTION("""COMPUTED_VALUE"""),"")</f>
        <v/>
      </c>
    </row>
    <row r="8521">
      <c r="A8521" s="16" t="s">
        <v>87</v>
      </c>
      <c r="E8521" s="16" t="str">
        <f>IFERROR(__xludf.DUMMYFUNCTION("""COMPUTED_VALUE"""),"")</f>
        <v/>
      </c>
      <c r="G8521" s="18"/>
      <c r="H8521" s="16" t="s">
        <v>87</v>
      </c>
      <c r="I8521" s="16" t="s">
        <v>87</v>
      </c>
      <c r="J8521" s="19"/>
      <c r="L8521" s="16" t="str">
        <f>IFERROR(__xludf.DUMMYFUNCTION("""COMPUTED_VALUE"""),"")</f>
        <v/>
      </c>
      <c r="M8521" s="16" t="str">
        <f>IFERROR(__xludf.DUMMYFUNCTION("""COMPUTED_VALUE"""),"")</f>
        <v/>
      </c>
      <c r="U8521" s="16" t="s">
        <v>87</v>
      </c>
      <c r="V8521" s="16" t="str">
        <f>IFERROR(__xludf.DUMMYFUNCTION("""COMPUTED_VALUE"""),"")</f>
        <v/>
      </c>
      <c r="W8521" s="16" t="str">
        <f>IFERROR(__xludf.DUMMYFUNCTION("""COMPUTED_VALUE"""),"")</f>
        <v/>
      </c>
      <c r="X8521" s="16" t="str">
        <f>IFERROR(__xludf.DUMMYFUNCTION("""COMPUTED_VALUE"""),"")</f>
        <v/>
      </c>
      <c r="AC8521" s="16" t="str">
        <f>IFERROR(__xludf.DUMMYFUNCTION("""COMPUTED_VALUE"""),"")</f>
        <v/>
      </c>
    </row>
    <row r="8522">
      <c r="A8522" s="16" t="s">
        <v>87</v>
      </c>
      <c r="E8522" s="16" t="str">
        <f>IFERROR(__xludf.DUMMYFUNCTION("""COMPUTED_VALUE"""),"")</f>
        <v/>
      </c>
      <c r="G8522" s="18"/>
      <c r="H8522" s="16" t="s">
        <v>87</v>
      </c>
      <c r="I8522" s="16" t="s">
        <v>87</v>
      </c>
      <c r="J8522" s="19"/>
      <c r="L8522" s="16" t="str">
        <f>IFERROR(__xludf.DUMMYFUNCTION("""COMPUTED_VALUE"""),"")</f>
        <v/>
      </c>
      <c r="M8522" s="16" t="str">
        <f>IFERROR(__xludf.DUMMYFUNCTION("""COMPUTED_VALUE"""),"")</f>
        <v/>
      </c>
      <c r="U8522" s="16" t="s">
        <v>87</v>
      </c>
      <c r="V8522" s="16" t="str">
        <f>IFERROR(__xludf.DUMMYFUNCTION("""COMPUTED_VALUE"""),"")</f>
        <v/>
      </c>
      <c r="W8522" s="16" t="str">
        <f>IFERROR(__xludf.DUMMYFUNCTION("""COMPUTED_VALUE"""),"")</f>
        <v/>
      </c>
      <c r="X8522" s="16" t="str">
        <f>IFERROR(__xludf.DUMMYFUNCTION("""COMPUTED_VALUE"""),"")</f>
        <v/>
      </c>
      <c r="AC8522" s="16" t="str">
        <f>IFERROR(__xludf.DUMMYFUNCTION("""COMPUTED_VALUE"""),"")</f>
        <v/>
      </c>
    </row>
    <row r="8523">
      <c r="A8523" s="16" t="s">
        <v>87</v>
      </c>
      <c r="E8523" s="16" t="str">
        <f>IFERROR(__xludf.DUMMYFUNCTION("""COMPUTED_VALUE"""),"")</f>
        <v/>
      </c>
      <c r="G8523" s="18"/>
      <c r="H8523" s="16" t="s">
        <v>87</v>
      </c>
      <c r="I8523" s="16" t="s">
        <v>87</v>
      </c>
      <c r="J8523" s="19"/>
      <c r="L8523" s="16" t="str">
        <f>IFERROR(__xludf.DUMMYFUNCTION("""COMPUTED_VALUE"""),"")</f>
        <v/>
      </c>
      <c r="M8523" s="16" t="str">
        <f>IFERROR(__xludf.DUMMYFUNCTION("""COMPUTED_VALUE"""),"")</f>
        <v/>
      </c>
      <c r="U8523" s="16" t="s">
        <v>87</v>
      </c>
      <c r="V8523" s="16" t="str">
        <f>IFERROR(__xludf.DUMMYFUNCTION("""COMPUTED_VALUE"""),"")</f>
        <v/>
      </c>
      <c r="W8523" s="16" t="str">
        <f>IFERROR(__xludf.DUMMYFUNCTION("""COMPUTED_VALUE"""),"")</f>
        <v/>
      </c>
      <c r="X8523" s="16" t="str">
        <f>IFERROR(__xludf.DUMMYFUNCTION("""COMPUTED_VALUE"""),"")</f>
        <v/>
      </c>
      <c r="AC8523" s="16" t="str">
        <f>IFERROR(__xludf.DUMMYFUNCTION("""COMPUTED_VALUE"""),"")</f>
        <v/>
      </c>
    </row>
    <row r="8524">
      <c r="A8524" s="16" t="s">
        <v>87</v>
      </c>
      <c r="E8524" s="16" t="str">
        <f>IFERROR(__xludf.DUMMYFUNCTION("""COMPUTED_VALUE"""),"")</f>
        <v/>
      </c>
      <c r="G8524" s="18"/>
      <c r="H8524" s="16" t="s">
        <v>87</v>
      </c>
      <c r="I8524" s="16" t="s">
        <v>87</v>
      </c>
      <c r="J8524" s="19"/>
      <c r="L8524" s="16" t="str">
        <f>IFERROR(__xludf.DUMMYFUNCTION("""COMPUTED_VALUE"""),"")</f>
        <v/>
      </c>
      <c r="M8524" s="16" t="str">
        <f>IFERROR(__xludf.DUMMYFUNCTION("""COMPUTED_VALUE"""),"")</f>
        <v/>
      </c>
      <c r="U8524" s="16" t="s">
        <v>87</v>
      </c>
      <c r="V8524" s="16" t="str">
        <f>IFERROR(__xludf.DUMMYFUNCTION("""COMPUTED_VALUE"""),"")</f>
        <v/>
      </c>
      <c r="W8524" s="16" t="str">
        <f>IFERROR(__xludf.DUMMYFUNCTION("""COMPUTED_VALUE"""),"")</f>
        <v/>
      </c>
      <c r="X8524" s="16" t="str">
        <f>IFERROR(__xludf.DUMMYFUNCTION("""COMPUTED_VALUE"""),"")</f>
        <v/>
      </c>
      <c r="AC8524" s="16" t="str">
        <f>IFERROR(__xludf.DUMMYFUNCTION("""COMPUTED_VALUE"""),"")</f>
        <v/>
      </c>
    </row>
    <row r="8525">
      <c r="A8525" s="16" t="s">
        <v>87</v>
      </c>
      <c r="E8525" s="16" t="str">
        <f>IFERROR(__xludf.DUMMYFUNCTION("""COMPUTED_VALUE"""),"")</f>
        <v/>
      </c>
      <c r="G8525" s="18"/>
      <c r="H8525" s="16" t="s">
        <v>87</v>
      </c>
      <c r="I8525" s="16" t="s">
        <v>87</v>
      </c>
      <c r="J8525" s="19"/>
      <c r="L8525" s="16" t="str">
        <f>IFERROR(__xludf.DUMMYFUNCTION("""COMPUTED_VALUE"""),"")</f>
        <v/>
      </c>
      <c r="M8525" s="16" t="str">
        <f>IFERROR(__xludf.DUMMYFUNCTION("""COMPUTED_VALUE"""),"")</f>
        <v/>
      </c>
      <c r="U8525" s="16" t="s">
        <v>87</v>
      </c>
      <c r="V8525" s="16" t="str">
        <f>IFERROR(__xludf.DUMMYFUNCTION("""COMPUTED_VALUE"""),"")</f>
        <v/>
      </c>
      <c r="W8525" s="16" t="str">
        <f>IFERROR(__xludf.DUMMYFUNCTION("""COMPUTED_VALUE"""),"")</f>
        <v/>
      </c>
      <c r="X8525" s="16" t="str">
        <f>IFERROR(__xludf.DUMMYFUNCTION("""COMPUTED_VALUE"""),"")</f>
        <v/>
      </c>
      <c r="AC8525" s="16" t="str">
        <f>IFERROR(__xludf.DUMMYFUNCTION("""COMPUTED_VALUE"""),"")</f>
        <v/>
      </c>
    </row>
    <row r="8526">
      <c r="A8526" s="16" t="s">
        <v>87</v>
      </c>
      <c r="E8526" s="16" t="str">
        <f>IFERROR(__xludf.DUMMYFUNCTION("""COMPUTED_VALUE"""),"")</f>
        <v/>
      </c>
      <c r="G8526" s="18"/>
      <c r="H8526" s="16" t="s">
        <v>87</v>
      </c>
      <c r="I8526" s="16" t="s">
        <v>87</v>
      </c>
      <c r="J8526" s="19"/>
      <c r="L8526" s="16" t="str">
        <f>IFERROR(__xludf.DUMMYFUNCTION("""COMPUTED_VALUE"""),"")</f>
        <v/>
      </c>
      <c r="M8526" s="16" t="str">
        <f>IFERROR(__xludf.DUMMYFUNCTION("""COMPUTED_VALUE"""),"")</f>
        <v/>
      </c>
      <c r="U8526" s="16" t="s">
        <v>87</v>
      </c>
      <c r="V8526" s="16" t="str">
        <f>IFERROR(__xludf.DUMMYFUNCTION("""COMPUTED_VALUE"""),"")</f>
        <v/>
      </c>
      <c r="W8526" s="16" t="str">
        <f>IFERROR(__xludf.DUMMYFUNCTION("""COMPUTED_VALUE"""),"")</f>
        <v/>
      </c>
      <c r="X8526" s="16" t="str">
        <f>IFERROR(__xludf.DUMMYFUNCTION("""COMPUTED_VALUE"""),"")</f>
        <v/>
      </c>
      <c r="AC8526" s="16" t="str">
        <f>IFERROR(__xludf.DUMMYFUNCTION("""COMPUTED_VALUE"""),"")</f>
        <v/>
      </c>
    </row>
    <row r="8527">
      <c r="A8527" s="16" t="s">
        <v>87</v>
      </c>
      <c r="E8527" s="16" t="str">
        <f>IFERROR(__xludf.DUMMYFUNCTION("""COMPUTED_VALUE"""),"")</f>
        <v/>
      </c>
      <c r="G8527" s="18"/>
      <c r="H8527" s="16" t="s">
        <v>87</v>
      </c>
      <c r="I8527" s="16" t="s">
        <v>87</v>
      </c>
      <c r="J8527" s="19"/>
      <c r="L8527" s="16" t="str">
        <f>IFERROR(__xludf.DUMMYFUNCTION("""COMPUTED_VALUE"""),"")</f>
        <v/>
      </c>
      <c r="M8527" s="16" t="str">
        <f>IFERROR(__xludf.DUMMYFUNCTION("""COMPUTED_VALUE"""),"")</f>
        <v/>
      </c>
      <c r="U8527" s="16" t="s">
        <v>87</v>
      </c>
      <c r="V8527" s="16" t="str">
        <f>IFERROR(__xludf.DUMMYFUNCTION("""COMPUTED_VALUE"""),"")</f>
        <v/>
      </c>
      <c r="W8527" s="16" t="str">
        <f>IFERROR(__xludf.DUMMYFUNCTION("""COMPUTED_VALUE"""),"")</f>
        <v/>
      </c>
      <c r="X8527" s="16" t="str">
        <f>IFERROR(__xludf.DUMMYFUNCTION("""COMPUTED_VALUE"""),"")</f>
        <v/>
      </c>
      <c r="AC8527" s="16" t="str">
        <f>IFERROR(__xludf.DUMMYFUNCTION("""COMPUTED_VALUE"""),"")</f>
        <v/>
      </c>
    </row>
    <row r="8528">
      <c r="A8528" s="16" t="s">
        <v>87</v>
      </c>
      <c r="E8528" s="16" t="str">
        <f>IFERROR(__xludf.DUMMYFUNCTION("""COMPUTED_VALUE"""),"")</f>
        <v/>
      </c>
      <c r="G8528" s="18"/>
      <c r="H8528" s="16" t="s">
        <v>87</v>
      </c>
      <c r="I8528" s="16" t="s">
        <v>87</v>
      </c>
      <c r="J8528" s="19"/>
      <c r="L8528" s="16" t="str">
        <f>IFERROR(__xludf.DUMMYFUNCTION("""COMPUTED_VALUE"""),"")</f>
        <v/>
      </c>
      <c r="M8528" s="16" t="str">
        <f>IFERROR(__xludf.DUMMYFUNCTION("""COMPUTED_VALUE"""),"")</f>
        <v/>
      </c>
      <c r="U8528" s="16" t="s">
        <v>87</v>
      </c>
      <c r="V8528" s="16" t="str">
        <f>IFERROR(__xludf.DUMMYFUNCTION("""COMPUTED_VALUE"""),"")</f>
        <v/>
      </c>
      <c r="W8528" s="16" t="str">
        <f>IFERROR(__xludf.DUMMYFUNCTION("""COMPUTED_VALUE"""),"")</f>
        <v/>
      </c>
      <c r="X8528" s="16" t="str">
        <f>IFERROR(__xludf.DUMMYFUNCTION("""COMPUTED_VALUE"""),"")</f>
        <v/>
      </c>
      <c r="AC8528" s="16" t="str">
        <f>IFERROR(__xludf.DUMMYFUNCTION("""COMPUTED_VALUE"""),"")</f>
        <v/>
      </c>
    </row>
    <row r="8529">
      <c r="A8529" s="16" t="s">
        <v>87</v>
      </c>
      <c r="E8529" s="16" t="str">
        <f>IFERROR(__xludf.DUMMYFUNCTION("""COMPUTED_VALUE"""),"")</f>
        <v/>
      </c>
      <c r="G8529" s="18"/>
      <c r="H8529" s="16" t="s">
        <v>87</v>
      </c>
      <c r="I8529" s="16" t="s">
        <v>87</v>
      </c>
      <c r="J8529" s="19"/>
      <c r="L8529" s="16" t="str">
        <f>IFERROR(__xludf.DUMMYFUNCTION("""COMPUTED_VALUE"""),"")</f>
        <v/>
      </c>
      <c r="M8529" s="16" t="str">
        <f>IFERROR(__xludf.DUMMYFUNCTION("""COMPUTED_VALUE"""),"")</f>
        <v/>
      </c>
      <c r="U8529" s="16" t="s">
        <v>87</v>
      </c>
      <c r="V8529" s="16" t="str">
        <f>IFERROR(__xludf.DUMMYFUNCTION("""COMPUTED_VALUE"""),"")</f>
        <v/>
      </c>
      <c r="W8529" s="16" t="str">
        <f>IFERROR(__xludf.DUMMYFUNCTION("""COMPUTED_VALUE"""),"")</f>
        <v/>
      </c>
      <c r="X8529" s="16" t="str">
        <f>IFERROR(__xludf.DUMMYFUNCTION("""COMPUTED_VALUE"""),"")</f>
        <v/>
      </c>
      <c r="AC8529" s="16" t="str">
        <f>IFERROR(__xludf.DUMMYFUNCTION("""COMPUTED_VALUE"""),"")</f>
        <v/>
      </c>
    </row>
    <row r="8530">
      <c r="A8530" s="16" t="s">
        <v>87</v>
      </c>
      <c r="E8530" s="16" t="str">
        <f>IFERROR(__xludf.DUMMYFUNCTION("""COMPUTED_VALUE"""),"")</f>
        <v/>
      </c>
      <c r="G8530" s="18"/>
      <c r="H8530" s="16" t="s">
        <v>87</v>
      </c>
      <c r="I8530" s="16" t="s">
        <v>87</v>
      </c>
      <c r="J8530" s="19"/>
      <c r="L8530" s="16" t="str">
        <f>IFERROR(__xludf.DUMMYFUNCTION("""COMPUTED_VALUE"""),"")</f>
        <v/>
      </c>
      <c r="M8530" s="16" t="str">
        <f>IFERROR(__xludf.DUMMYFUNCTION("""COMPUTED_VALUE"""),"")</f>
        <v/>
      </c>
      <c r="U8530" s="16" t="s">
        <v>87</v>
      </c>
      <c r="V8530" s="16" t="str">
        <f>IFERROR(__xludf.DUMMYFUNCTION("""COMPUTED_VALUE"""),"")</f>
        <v/>
      </c>
      <c r="W8530" s="16" t="str">
        <f>IFERROR(__xludf.DUMMYFUNCTION("""COMPUTED_VALUE"""),"")</f>
        <v/>
      </c>
      <c r="X8530" s="16" t="str">
        <f>IFERROR(__xludf.DUMMYFUNCTION("""COMPUTED_VALUE"""),"")</f>
        <v/>
      </c>
      <c r="AC8530" s="16" t="str">
        <f>IFERROR(__xludf.DUMMYFUNCTION("""COMPUTED_VALUE"""),"")</f>
        <v/>
      </c>
    </row>
    <row r="8531">
      <c r="A8531" s="16" t="s">
        <v>87</v>
      </c>
      <c r="E8531" s="16" t="str">
        <f>IFERROR(__xludf.DUMMYFUNCTION("""COMPUTED_VALUE"""),"")</f>
        <v/>
      </c>
      <c r="G8531" s="18"/>
      <c r="H8531" s="16" t="s">
        <v>87</v>
      </c>
      <c r="I8531" s="16" t="s">
        <v>87</v>
      </c>
      <c r="J8531" s="19"/>
      <c r="L8531" s="16" t="str">
        <f>IFERROR(__xludf.DUMMYFUNCTION("""COMPUTED_VALUE"""),"")</f>
        <v/>
      </c>
      <c r="M8531" s="16" t="str">
        <f>IFERROR(__xludf.DUMMYFUNCTION("""COMPUTED_VALUE"""),"")</f>
        <v/>
      </c>
      <c r="U8531" s="16" t="s">
        <v>87</v>
      </c>
      <c r="V8531" s="16" t="str">
        <f>IFERROR(__xludf.DUMMYFUNCTION("""COMPUTED_VALUE"""),"")</f>
        <v/>
      </c>
      <c r="W8531" s="16" t="str">
        <f>IFERROR(__xludf.DUMMYFUNCTION("""COMPUTED_VALUE"""),"")</f>
        <v/>
      </c>
      <c r="X8531" s="16" t="str">
        <f>IFERROR(__xludf.DUMMYFUNCTION("""COMPUTED_VALUE"""),"")</f>
        <v/>
      </c>
      <c r="AC8531" s="16" t="str">
        <f>IFERROR(__xludf.DUMMYFUNCTION("""COMPUTED_VALUE"""),"")</f>
        <v/>
      </c>
    </row>
    <row r="8532">
      <c r="A8532" s="16" t="s">
        <v>87</v>
      </c>
      <c r="E8532" s="16" t="str">
        <f>IFERROR(__xludf.DUMMYFUNCTION("""COMPUTED_VALUE"""),"")</f>
        <v/>
      </c>
      <c r="G8532" s="18"/>
      <c r="H8532" s="16" t="s">
        <v>87</v>
      </c>
      <c r="I8532" s="16" t="s">
        <v>87</v>
      </c>
      <c r="J8532" s="19"/>
      <c r="L8532" s="16" t="str">
        <f>IFERROR(__xludf.DUMMYFUNCTION("""COMPUTED_VALUE"""),"")</f>
        <v/>
      </c>
      <c r="M8532" s="16" t="str">
        <f>IFERROR(__xludf.DUMMYFUNCTION("""COMPUTED_VALUE"""),"")</f>
        <v/>
      </c>
      <c r="U8532" s="16" t="s">
        <v>87</v>
      </c>
      <c r="V8532" s="16" t="str">
        <f>IFERROR(__xludf.DUMMYFUNCTION("""COMPUTED_VALUE"""),"")</f>
        <v/>
      </c>
      <c r="W8532" s="16" t="str">
        <f>IFERROR(__xludf.DUMMYFUNCTION("""COMPUTED_VALUE"""),"")</f>
        <v/>
      </c>
      <c r="X8532" s="16" t="str">
        <f>IFERROR(__xludf.DUMMYFUNCTION("""COMPUTED_VALUE"""),"")</f>
        <v/>
      </c>
      <c r="AC8532" s="16" t="str">
        <f>IFERROR(__xludf.DUMMYFUNCTION("""COMPUTED_VALUE"""),"")</f>
        <v/>
      </c>
    </row>
    <row r="8533">
      <c r="A8533" s="16" t="s">
        <v>87</v>
      </c>
      <c r="E8533" s="16" t="str">
        <f>IFERROR(__xludf.DUMMYFUNCTION("""COMPUTED_VALUE"""),"")</f>
        <v/>
      </c>
      <c r="G8533" s="18"/>
      <c r="H8533" s="16" t="s">
        <v>87</v>
      </c>
      <c r="I8533" s="16" t="s">
        <v>87</v>
      </c>
      <c r="J8533" s="19"/>
      <c r="L8533" s="16" t="str">
        <f>IFERROR(__xludf.DUMMYFUNCTION("""COMPUTED_VALUE"""),"")</f>
        <v/>
      </c>
      <c r="M8533" s="16" t="str">
        <f>IFERROR(__xludf.DUMMYFUNCTION("""COMPUTED_VALUE"""),"")</f>
        <v/>
      </c>
      <c r="U8533" s="16" t="s">
        <v>87</v>
      </c>
      <c r="V8533" s="16" t="str">
        <f>IFERROR(__xludf.DUMMYFUNCTION("""COMPUTED_VALUE"""),"")</f>
        <v/>
      </c>
      <c r="W8533" s="16" t="str">
        <f>IFERROR(__xludf.DUMMYFUNCTION("""COMPUTED_VALUE"""),"")</f>
        <v/>
      </c>
      <c r="X8533" s="16" t="str">
        <f>IFERROR(__xludf.DUMMYFUNCTION("""COMPUTED_VALUE"""),"")</f>
        <v/>
      </c>
      <c r="AC8533" s="16" t="str">
        <f>IFERROR(__xludf.DUMMYFUNCTION("""COMPUTED_VALUE"""),"")</f>
        <v/>
      </c>
    </row>
    <row r="8534">
      <c r="A8534" s="16" t="s">
        <v>87</v>
      </c>
      <c r="E8534" s="16" t="str">
        <f>IFERROR(__xludf.DUMMYFUNCTION("""COMPUTED_VALUE"""),"")</f>
        <v/>
      </c>
      <c r="G8534" s="18"/>
      <c r="H8534" s="16" t="s">
        <v>87</v>
      </c>
      <c r="I8534" s="16" t="s">
        <v>87</v>
      </c>
      <c r="J8534" s="19"/>
      <c r="L8534" s="16" t="str">
        <f>IFERROR(__xludf.DUMMYFUNCTION("""COMPUTED_VALUE"""),"")</f>
        <v/>
      </c>
      <c r="M8534" s="16" t="str">
        <f>IFERROR(__xludf.DUMMYFUNCTION("""COMPUTED_VALUE"""),"")</f>
        <v/>
      </c>
      <c r="U8534" s="16" t="s">
        <v>87</v>
      </c>
      <c r="V8534" s="16" t="str">
        <f>IFERROR(__xludf.DUMMYFUNCTION("""COMPUTED_VALUE"""),"")</f>
        <v/>
      </c>
      <c r="W8534" s="16" t="str">
        <f>IFERROR(__xludf.DUMMYFUNCTION("""COMPUTED_VALUE"""),"")</f>
        <v/>
      </c>
      <c r="X8534" s="16" t="str">
        <f>IFERROR(__xludf.DUMMYFUNCTION("""COMPUTED_VALUE"""),"")</f>
        <v/>
      </c>
      <c r="AC8534" s="16" t="str">
        <f>IFERROR(__xludf.DUMMYFUNCTION("""COMPUTED_VALUE"""),"")</f>
        <v/>
      </c>
    </row>
    <row r="8535">
      <c r="A8535" s="16" t="s">
        <v>87</v>
      </c>
      <c r="E8535" s="16" t="str">
        <f>IFERROR(__xludf.DUMMYFUNCTION("""COMPUTED_VALUE"""),"")</f>
        <v/>
      </c>
      <c r="G8535" s="18"/>
      <c r="H8535" s="16" t="s">
        <v>87</v>
      </c>
      <c r="I8535" s="16" t="s">
        <v>87</v>
      </c>
      <c r="J8535" s="19"/>
      <c r="L8535" s="16" t="str">
        <f>IFERROR(__xludf.DUMMYFUNCTION("""COMPUTED_VALUE"""),"")</f>
        <v/>
      </c>
      <c r="M8535" s="16" t="str">
        <f>IFERROR(__xludf.DUMMYFUNCTION("""COMPUTED_VALUE"""),"")</f>
        <v/>
      </c>
      <c r="U8535" s="16" t="s">
        <v>87</v>
      </c>
      <c r="V8535" s="16" t="str">
        <f>IFERROR(__xludf.DUMMYFUNCTION("""COMPUTED_VALUE"""),"")</f>
        <v/>
      </c>
      <c r="W8535" s="16" t="str">
        <f>IFERROR(__xludf.DUMMYFUNCTION("""COMPUTED_VALUE"""),"")</f>
        <v/>
      </c>
      <c r="X8535" s="16" t="str">
        <f>IFERROR(__xludf.DUMMYFUNCTION("""COMPUTED_VALUE"""),"")</f>
        <v/>
      </c>
      <c r="AC8535" s="16" t="str">
        <f>IFERROR(__xludf.DUMMYFUNCTION("""COMPUTED_VALUE"""),"")</f>
        <v/>
      </c>
    </row>
    <row r="8536">
      <c r="A8536" s="16" t="s">
        <v>87</v>
      </c>
      <c r="E8536" s="16" t="str">
        <f>IFERROR(__xludf.DUMMYFUNCTION("""COMPUTED_VALUE"""),"")</f>
        <v/>
      </c>
      <c r="G8536" s="18"/>
      <c r="H8536" s="16" t="s">
        <v>87</v>
      </c>
      <c r="I8536" s="16" t="s">
        <v>87</v>
      </c>
      <c r="J8536" s="19"/>
      <c r="L8536" s="16" t="str">
        <f>IFERROR(__xludf.DUMMYFUNCTION("""COMPUTED_VALUE"""),"")</f>
        <v/>
      </c>
      <c r="M8536" s="16" t="str">
        <f>IFERROR(__xludf.DUMMYFUNCTION("""COMPUTED_VALUE"""),"")</f>
        <v/>
      </c>
      <c r="U8536" s="16" t="s">
        <v>87</v>
      </c>
      <c r="V8536" s="16" t="str">
        <f>IFERROR(__xludf.DUMMYFUNCTION("""COMPUTED_VALUE"""),"")</f>
        <v/>
      </c>
      <c r="W8536" s="16" t="str">
        <f>IFERROR(__xludf.DUMMYFUNCTION("""COMPUTED_VALUE"""),"")</f>
        <v/>
      </c>
      <c r="X8536" s="16" t="str">
        <f>IFERROR(__xludf.DUMMYFUNCTION("""COMPUTED_VALUE"""),"")</f>
        <v/>
      </c>
      <c r="AC8536" s="16" t="str">
        <f>IFERROR(__xludf.DUMMYFUNCTION("""COMPUTED_VALUE"""),"")</f>
        <v/>
      </c>
    </row>
    <row r="8537">
      <c r="A8537" s="16" t="s">
        <v>87</v>
      </c>
      <c r="E8537" s="16" t="str">
        <f>IFERROR(__xludf.DUMMYFUNCTION("""COMPUTED_VALUE"""),"")</f>
        <v/>
      </c>
      <c r="G8537" s="18"/>
      <c r="H8537" s="16" t="s">
        <v>87</v>
      </c>
      <c r="I8537" s="16" t="s">
        <v>87</v>
      </c>
      <c r="J8537" s="19"/>
      <c r="L8537" s="16" t="str">
        <f>IFERROR(__xludf.DUMMYFUNCTION("""COMPUTED_VALUE"""),"")</f>
        <v/>
      </c>
      <c r="M8537" s="16" t="str">
        <f>IFERROR(__xludf.DUMMYFUNCTION("""COMPUTED_VALUE"""),"")</f>
        <v/>
      </c>
      <c r="U8537" s="16" t="s">
        <v>87</v>
      </c>
      <c r="V8537" s="16" t="str">
        <f>IFERROR(__xludf.DUMMYFUNCTION("""COMPUTED_VALUE"""),"")</f>
        <v/>
      </c>
      <c r="W8537" s="16" t="str">
        <f>IFERROR(__xludf.DUMMYFUNCTION("""COMPUTED_VALUE"""),"")</f>
        <v/>
      </c>
      <c r="X8537" s="16" t="str">
        <f>IFERROR(__xludf.DUMMYFUNCTION("""COMPUTED_VALUE"""),"")</f>
        <v/>
      </c>
      <c r="AC8537" s="16" t="str">
        <f>IFERROR(__xludf.DUMMYFUNCTION("""COMPUTED_VALUE"""),"")</f>
        <v/>
      </c>
    </row>
    <row r="8538">
      <c r="A8538" s="16" t="s">
        <v>87</v>
      </c>
      <c r="E8538" s="16" t="str">
        <f>IFERROR(__xludf.DUMMYFUNCTION("""COMPUTED_VALUE"""),"")</f>
        <v/>
      </c>
      <c r="G8538" s="18"/>
      <c r="H8538" s="16" t="s">
        <v>87</v>
      </c>
      <c r="I8538" s="16" t="s">
        <v>87</v>
      </c>
      <c r="J8538" s="19"/>
      <c r="L8538" s="16" t="str">
        <f>IFERROR(__xludf.DUMMYFUNCTION("""COMPUTED_VALUE"""),"")</f>
        <v/>
      </c>
      <c r="M8538" s="16" t="str">
        <f>IFERROR(__xludf.DUMMYFUNCTION("""COMPUTED_VALUE"""),"")</f>
        <v/>
      </c>
      <c r="U8538" s="16" t="s">
        <v>87</v>
      </c>
      <c r="V8538" s="16" t="str">
        <f>IFERROR(__xludf.DUMMYFUNCTION("""COMPUTED_VALUE"""),"")</f>
        <v/>
      </c>
      <c r="W8538" s="16" t="str">
        <f>IFERROR(__xludf.DUMMYFUNCTION("""COMPUTED_VALUE"""),"")</f>
        <v/>
      </c>
      <c r="X8538" s="16" t="str">
        <f>IFERROR(__xludf.DUMMYFUNCTION("""COMPUTED_VALUE"""),"")</f>
        <v/>
      </c>
      <c r="AC8538" s="16" t="str">
        <f>IFERROR(__xludf.DUMMYFUNCTION("""COMPUTED_VALUE"""),"")</f>
        <v/>
      </c>
    </row>
    <row r="8539">
      <c r="A8539" s="16" t="s">
        <v>87</v>
      </c>
      <c r="E8539" s="16" t="str">
        <f>IFERROR(__xludf.DUMMYFUNCTION("""COMPUTED_VALUE"""),"")</f>
        <v/>
      </c>
      <c r="G8539" s="18"/>
      <c r="H8539" s="16" t="s">
        <v>87</v>
      </c>
      <c r="I8539" s="16" t="s">
        <v>87</v>
      </c>
      <c r="J8539" s="19"/>
      <c r="L8539" s="16" t="str">
        <f>IFERROR(__xludf.DUMMYFUNCTION("""COMPUTED_VALUE"""),"")</f>
        <v/>
      </c>
      <c r="M8539" s="16" t="str">
        <f>IFERROR(__xludf.DUMMYFUNCTION("""COMPUTED_VALUE"""),"")</f>
        <v/>
      </c>
      <c r="U8539" s="16" t="s">
        <v>87</v>
      </c>
      <c r="V8539" s="16" t="str">
        <f>IFERROR(__xludf.DUMMYFUNCTION("""COMPUTED_VALUE"""),"")</f>
        <v/>
      </c>
      <c r="W8539" s="16" t="str">
        <f>IFERROR(__xludf.DUMMYFUNCTION("""COMPUTED_VALUE"""),"")</f>
        <v/>
      </c>
      <c r="X8539" s="16" t="str">
        <f>IFERROR(__xludf.DUMMYFUNCTION("""COMPUTED_VALUE"""),"")</f>
        <v/>
      </c>
      <c r="AC8539" s="16" t="str">
        <f>IFERROR(__xludf.DUMMYFUNCTION("""COMPUTED_VALUE"""),"")</f>
        <v/>
      </c>
    </row>
    <row r="8540">
      <c r="A8540" s="16" t="s">
        <v>87</v>
      </c>
      <c r="E8540" s="16" t="str">
        <f>IFERROR(__xludf.DUMMYFUNCTION("""COMPUTED_VALUE"""),"")</f>
        <v/>
      </c>
      <c r="G8540" s="18"/>
      <c r="H8540" s="16" t="s">
        <v>87</v>
      </c>
      <c r="I8540" s="16" t="s">
        <v>87</v>
      </c>
      <c r="J8540" s="19"/>
      <c r="L8540" s="16" t="str">
        <f>IFERROR(__xludf.DUMMYFUNCTION("""COMPUTED_VALUE"""),"")</f>
        <v/>
      </c>
      <c r="M8540" s="16" t="str">
        <f>IFERROR(__xludf.DUMMYFUNCTION("""COMPUTED_VALUE"""),"")</f>
        <v/>
      </c>
      <c r="U8540" s="16" t="s">
        <v>87</v>
      </c>
      <c r="V8540" s="16" t="str">
        <f>IFERROR(__xludf.DUMMYFUNCTION("""COMPUTED_VALUE"""),"")</f>
        <v/>
      </c>
      <c r="W8540" s="16" t="str">
        <f>IFERROR(__xludf.DUMMYFUNCTION("""COMPUTED_VALUE"""),"")</f>
        <v/>
      </c>
      <c r="X8540" s="16" t="str">
        <f>IFERROR(__xludf.DUMMYFUNCTION("""COMPUTED_VALUE"""),"")</f>
        <v/>
      </c>
      <c r="AC8540" s="16" t="str">
        <f>IFERROR(__xludf.DUMMYFUNCTION("""COMPUTED_VALUE"""),"")</f>
        <v/>
      </c>
    </row>
    <row r="8541">
      <c r="A8541" s="16" t="s">
        <v>87</v>
      </c>
      <c r="E8541" s="16" t="str">
        <f>IFERROR(__xludf.DUMMYFUNCTION("""COMPUTED_VALUE"""),"")</f>
        <v/>
      </c>
      <c r="G8541" s="18"/>
      <c r="H8541" s="16" t="s">
        <v>87</v>
      </c>
      <c r="I8541" s="16" t="s">
        <v>87</v>
      </c>
      <c r="J8541" s="19"/>
      <c r="L8541" s="16" t="str">
        <f>IFERROR(__xludf.DUMMYFUNCTION("""COMPUTED_VALUE"""),"")</f>
        <v/>
      </c>
      <c r="M8541" s="16" t="str">
        <f>IFERROR(__xludf.DUMMYFUNCTION("""COMPUTED_VALUE"""),"")</f>
        <v/>
      </c>
      <c r="U8541" s="16" t="s">
        <v>87</v>
      </c>
      <c r="V8541" s="16" t="str">
        <f>IFERROR(__xludf.DUMMYFUNCTION("""COMPUTED_VALUE"""),"")</f>
        <v/>
      </c>
      <c r="W8541" s="16" t="str">
        <f>IFERROR(__xludf.DUMMYFUNCTION("""COMPUTED_VALUE"""),"")</f>
        <v/>
      </c>
      <c r="X8541" s="16" t="str">
        <f>IFERROR(__xludf.DUMMYFUNCTION("""COMPUTED_VALUE"""),"")</f>
        <v/>
      </c>
      <c r="AC8541" s="16" t="str">
        <f>IFERROR(__xludf.DUMMYFUNCTION("""COMPUTED_VALUE"""),"")</f>
        <v/>
      </c>
    </row>
    <row r="8542">
      <c r="A8542" s="16" t="s">
        <v>87</v>
      </c>
      <c r="E8542" s="16" t="str">
        <f>IFERROR(__xludf.DUMMYFUNCTION("""COMPUTED_VALUE"""),"")</f>
        <v/>
      </c>
      <c r="G8542" s="18"/>
      <c r="H8542" s="16" t="s">
        <v>87</v>
      </c>
      <c r="I8542" s="16" t="s">
        <v>87</v>
      </c>
      <c r="J8542" s="19"/>
      <c r="L8542" s="16" t="str">
        <f>IFERROR(__xludf.DUMMYFUNCTION("""COMPUTED_VALUE"""),"")</f>
        <v/>
      </c>
      <c r="M8542" s="16" t="str">
        <f>IFERROR(__xludf.DUMMYFUNCTION("""COMPUTED_VALUE"""),"")</f>
        <v/>
      </c>
      <c r="U8542" s="16" t="s">
        <v>87</v>
      </c>
      <c r="V8542" s="16" t="str">
        <f>IFERROR(__xludf.DUMMYFUNCTION("""COMPUTED_VALUE"""),"")</f>
        <v/>
      </c>
      <c r="W8542" s="16" t="str">
        <f>IFERROR(__xludf.DUMMYFUNCTION("""COMPUTED_VALUE"""),"")</f>
        <v/>
      </c>
      <c r="X8542" s="16" t="str">
        <f>IFERROR(__xludf.DUMMYFUNCTION("""COMPUTED_VALUE"""),"")</f>
        <v/>
      </c>
      <c r="AC8542" s="16" t="str">
        <f>IFERROR(__xludf.DUMMYFUNCTION("""COMPUTED_VALUE"""),"")</f>
        <v/>
      </c>
    </row>
    <row r="8543">
      <c r="A8543" s="16" t="s">
        <v>87</v>
      </c>
      <c r="E8543" s="16" t="str">
        <f>IFERROR(__xludf.DUMMYFUNCTION("""COMPUTED_VALUE"""),"")</f>
        <v/>
      </c>
      <c r="G8543" s="18"/>
      <c r="H8543" s="16" t="s">
        <v>87</v>
      </c>
      <c r="I8543" s="16" t="s">
        <v>87</v>
      </c>
      <c r="J8543" s="19"/>
      <c r="L8543" s="16" t="str">
        <f>IFERROR(__xludf.DUMMYFUNCTION("""COMPUTED_VALUE"""),"")</f>
        <v/>
      </c>
      <c r="M8543" s="16" t="str">
        <f>IFERROR(__xludf.DUMMYFUNCTION("""COMPUTED_VALUE"""),"")</f>
        <v/>
      </c>
      <c r="U8543" s="16" t="s">
        <v>87</v>
      </c>
      <c r="V8543" s="16" t="str">
        <f>IFERROR(__xludf.DUMMYFUNCTION("""COMPUTED_VALUE"""),"")</f>
        <v/>
      </c>
      <c r="W8543" s="16" t="str">
        <f>IFERROR(__xludf.DUMMYFUNCTION("""COMPUTED_VALUE"""),"")</f>
        <v/>
      </c>
      <c r="X8543" s="16" t="str">
        <f>IFERROR(__xludf.DUMMYFUNCTION("""COMPUTED_VALUE"""),"")</f>
        <v/>
      </c>
      <c r="AC8543" s="16" t="str">
        <f>IFERROR(__xludf.DUMMYFUNCTION("""COMPUTED_VALUE"""),"")</f>
        <v/>
      </c>
    </row>
    <row r="8544">
      <c r="A8544" s="16" t="s">
        <v>87</v>
      </c>
      <c r="E8544" s="16" t="str">
        <f>IFERROR(__xludf.DUMMYFUNCTION("""COMPUTED_VALUE"""),"")</f>
        <v/>
      </c>
      <c r="G8544" s="18"/>
      <c r="H8544" s="16" t="s">
        <v>87</v>
      </c>
      <c r="I8544" s="16" t="s">
        <v>87</v>
      </c>
      <c r="J8544" s="19"/>
      <c r="L8544" s="16" t="str">
        <f>IFERROR(__xludf.DUMMYFUNCTION("""COMPUTED_VALUE"""),"")</f>
        <v/>
      </c>
      <c r="M8544" s="16" t="str">
        <f>IFERROR(__xludf.DUMMYFUNCTION("""COMPUTED_VALUE"""),"")</f>
        <v/>
      </c>
      <c r="U8544" s="16" t="s">
        <v>87</v>
      </c>
      <c r="V8544" s="16" t="str">
        <f>IFERROR(__xludf.DUMMYFUNCTION("""COMPUTED_VALUE"""),"")</f>
        <v/>
      </c>
      <c r="W8544" s="16" t="str">
        <f>IFERROR(__xludf.DUMMYFUNCTION("""COMPUTED_VALUE"""),"")</f>
        <v/>
      </c>
      <c r="X8544" s="16" t="str">
        <f>IFERROR(__xludf.DUMMYFUNCTION("""COMPUTED_VALUE"""),"")</f>
        <v/>
      </c>
      <c r="AC8544" s="16" t="str">
        <f>IFERROR(__xludf.DUMMYFUNCTION("""COMPUTED_VALUE"""),"")</f>
        <v/>
      </c>
    </row>
    <row r="8545">
      <c r="A8545" s="16" t="s">
        <v>87</v>
      </c>
      <c r="E8545" s="16" t="str">
        <f>IFERROR(__xludf.DUMMYFUNCTION("""COMPUTED_VALUE"""),"")</f>
        <v/>
      </c>
      <c r="G8545" s="18"/>
      <c r="H8545" s="16" t="s">
        <v>87</v>
      </c>
      <c r="I8545" s="16" t="s">
        <v>87</v>
      </c>
      <c r="J8545" s="19"/>
      <c r="L8545" s="16" t="str">
        <f>IFERROR(__xludf.DUMMYFUNCTION("""COMPUTED_VALUE"""),"")</f>
        <v/>
      </c>
      <c r="M8545" s="16" t="str">
        <f>IFERROR(__xludf.DUMMYFUNCTION("""COMPUTED_VALUE"""),"")</f>
        <v/>
      </c>
      <c r="U8545" s="16" t="s">
        <v>87</v>
      </c>
      <c r="V8545" s="16" t="str">
        <f>IFERROR(__xludf.DUMMYFUNCTION("""COMPUTED_VALUE"""),"")</f>
        <v/>
      </c>
      <c r="W8545" s="16" t="str">
        <f>IFERROR(__xludf.DUMMYFUNCTION("""COMPUTED_VALUE"""),"")</f>
        <v/>
      </c>
      <c r="X8545" s="16" t="str">
        <f>IFERROR(__xludf.DUMMYFUNCTION("""COMPUTED_VALUE"""),"")</f>
        <v/>
      </c>
      <c r="AC8545" s="16" t="str">
        <f>IFERROR(__xludf.DUMMYFUNCTION("""COMPUTED_VALUE"""),"")</f>
        <v/>
      </c>
    </row>
    <row r="8546">
      <c r="A8546" s="16" t="s">
        <v>87</v>
      </c>
      <c r="E8546" s="16" t="str">
        <f>IFERROR(__xludf.DUMMYFUNCTION("""COMPUTED_VALUE"""),"")</f>
        <v/>
      </c>
      <c r="G8546" s="18"/>
      <c r="H8546" s="16" t="s">
        <v>87</v>
      </c>
      <c r="I8546" s="16" t="s">
        <v>87</v>
      </c>
      <c r="J8546" s="19"/>
      <c r="L8546" s="16" t="str">
        <f>IFERROR(__xludf.DUMMYFUNCTION("""COMPUTED_VALUE"""),"")</f>
        <v/>
      </c>
      <c r="M8546" s="16" t="str">
        <f>IFERROR(__xludf.DUMMYFUNCTION("""COMPUTED_VALUE"""),"")</f>
        <v/>
      </c>
      <c r="U8546" s="16" t="s">
        <v>87</v>
      </c>
      <c r="V8546" s="16" t="str">
        <f>IFERROR(__xludf.DUMMYFUNCTION("""COMPUTED_VALUE"""),"")</f>
        <v/>
      </c>
      <c r="W8546" s="16" t="str">
        <f>IFERROR(__xludf.DUMMYFUNCTION("""COMPUTED_VALUE"""),"")</f>
        <v/>
      </c>
      <c r="X8546" s="16" t="str">
        <f>IFERROR(__xludf.DUMMYFUNCTION("""COMPUTED_VALUE"""),"")</f>
        <v/>
      </c>
      <c r="AC8546" s="16" t="str">
        <f>IFERROR(__xludf.DUMMYFUNCTION("""COMPUTED_VALUE"""),"")</f>
        <v/>
      </c>
    </row>
    <row r="8547">
      <c r="A8547" s="16" t="s">
        <v>87</v>
      </c>
      <c r="E8547" s="16" t="str">
        <f>IFERROR(__xludf.DUMMYFUNCTION("""COMPUTED_VALUE"""),"")</f>
        <v/>
      </c>
      <c r="G8547" s="18"/>
      <c r="H8547" s="16" t="s">
        <v>87</v>
      </c>
      <c r="I8547" s="16" t="s">
        <v>87</v>
      </c>
      <c r="J8547" s="19"/>
      <c r="L8547" s="16" t="str">
        <f>IFERROR(__xludf.DUMMYFUNCTION("""COMPUTED_VALUE"""),"")</f>
        <v/>
      </c>
      <c r="M8547" s="16" t="str">
        <f>IFERROR(__xludf.DUMMYFUNCTION("""COMPUTED_VALUE"""),"")</f>
        <v/>
      </c>
      <c r="U8547" s="16" t="s">
        <v>87</v>
      </c>
      <c r="V8547" s="16" t="str">
        <f>IFERROR(__xludf.DUMMYFUNCTION("""COMPUTED_VALUE"""),"")</f>
        <v/>
      </c>
      <c r="W8547" s="16" t="str">
        <f>IFERROR(__xludf.DUMMYFUNCTION("""COMPUTED_VALUE"""),"")</f>
        <v/>
      </c>
      <c r="X8547" s="16" t="str">
        <f>IFERROR(__xludf.DUMMYFUNCTION("""COMPUTED_VALUE"""),"")</f>
        <v/>
      </c>
      <c r="AC8547" s="16" t="str">
        <f>IFERROR(__xludf.DUMMYFUNCTION("""COMPUTED_VALUE"""),"")</f>
        <v/>
      </c>
    </row>
    <row r="8548">
      <c r="A8548" s="16" t="s">
        <v>87</v>
      </c>
      <c r="E8548" s="16" t="str">
        <f>IFERROR(__xludf.DUMMYFUNCTION("""COMPUTED_VALUE"""),"")</f>
        <v/>
      </c>
      <c r="G8548" s="18"/>
      <c r="H8548" s="16" t="s">
        <v>87</v>
      </c>
      <c r="I8548" s="16" t="s">
        <v>87</v>
      </c>
      <c r="J8548" s="19"/>
      <c r="L8548" s="16" t="str">
        <f>IFERROR(__xludf.DUMMYFUNCTION("""COMPUTED_VALUE"""),"")</f>
        <v/>
      </c>
      <c r="M8548" s="16" t="str">
        <f>IFERROR(__xludf.DUMMYFUNCTION("""COMPUTED_VALUE"""),"")</f>
        <v/>
      </c>
      <c r="U8548" s="16" t="s">
        <v>87</v>
      </c>
      <c r="V8548" s="16" t="str">
        <f>IFERROR(__xludf.DUMMYFUNCTION("""COMPUTED_VALUE"""),"")</f>
        <v/>
      </c>
      <c r="W8548" s="16" t="str">
        <f>IFERROR(__xludf.DUMMYFUNCTION("""COMPUTED_VALUE"""),"")</f>
        <v/>
      </c>
      <c r="X8548" s="16" t="str">
        <f>IFERROR(__xludf.DUMMYFUNCTION("""COMPUTED_VALUE"""),"")</f>
        <v/>
      </c>
      <c r="AC8548" s="16" t="str">
        <f>IFERROR(__xludf.DUMMYFUNCTION("""COMPUTED_VALUE"""),"")</f>
        <v/>
      </c>
    </row>
    <row r="8549">
      <c r="A8549" s="16" t="s">
        <v>87</v>
      </c>
      <c r="E8549" s="16" t="str">
        <f>IFERROR(__xludf.DUMMYFUNCTION("""COMPUTED_VALUE"""),"")</f>
        <v/>
      </c>
      <c r="G8549" s="18"/>
      <c r="H8549" s="16" t="s">
        <v>87</v>
      </c>
      <c r="I8549" s="16" t="s">
        <v>87</v>
      </c>
      <c r="J8549" s="19"/>
      <c r="L8549" s="16" t="str">
        <f>IFERROR(__xludf.DUMMYFUNCTION("""COMPUTED_VALUE"""),"")</f>
        <v/>
      </c>
      <c r="M8549" s="16" t="str">
        <f>IFERROR(__xludf.DUMMYFUNCTION("""COMPUTED_VALUE"""),"")</f>
        <v/>
      </c>
      <c r="U8549" s="16" t="s">
        <v>87</v>
      </c>
      <c r="V8549" s="16" t="str">
        <f>IFERROR(__xludf.DUMMYFUNCTION("""COMPUTED_VALUE"""),"")</f>
        <v/>
      </c>
      <c r="W8549" s="16" t="str">
        <f>IFERROR(__xludf.DUMMYFUNCTION("""COMPUTED_VALUE"""),"")</f>
        <v/>
      </c>
      <c r="X8549" s="16" t="str">
        <f>IFERROR(__xludf.DUMMYFUNCTION("""COMPUTED_VALUE"""),"")</f>
        <v/>
      </c>
      <c r="AC8549" s="16" t="str">
        <f>IFERROR(__xludf.DUMMYFUNCTION("""COMPUTED_VALUE"""),"")</f>
        <v/>
      </c>
    </row>
    <row r="8550">
      <c r="A8550" s="16" t="s">
        <v>87</v>
      </c>
      <c r="E8550" s="16" t="str">
        <f>IFERROR(__xludf.DUMMYFUNCTION("""COMPUTED_VALUE"""),"")</f>
        <v/>
      </c>
      <c r="G8550" s="18"/>
      <c r="H8550" s="16" t="s">
        <v>87</v>
      </c>
      <c r="I8550" s="16" t="s">
        <v>87</v>
      </c>
      <c r="J8550" s="19"/>
      <c r="L8550" s="16" t="str">
        <f>IFERROR(__xludf.DUMMYFUNCTION("""COMPUTED_VALUE"""),"")</f>
        <v/>
      </c>
      <c r="M8550" s="16" t="str">
        <f>IFERROR(__xludf.DUMMYFUNCTION("""COMPUTED_VALUE"""),"")</f>
        <v/>
      </c>
      <c r="U8550" s="16" t="s">
        <v>87</v>
      </c>
      <c r="V8550" s="16" t="str">
        <f>IFERROR(__xludf.DUMMYFUNCTION("""COMPUTED_VALUE"""),"")</f>
        <v/>
      </c>
      <c r="W8550" s="16" t="str">
        <f>IFERROR(__xludf.DUMMYFUNCTION("""COMPUTED_VALUE"""),"")</f>
        <v/>
      </c>
      <c r="X8550" s="16" t="str">
        <f>IFERROR(__xludf.DUMMYFUNCTION("""COMPUTED_VALUE"""),"")</f>
        <v/>
      </c>
      <c r="AC8550" s="16" t="str">
        <f>IFERROR(__xludf.DUMMYFUNCTION("""COMPUTED_VALUE"""),"")</f>
        <v/>
      </c>
    </row>
    <row r="8551">
      <c r="A8551" s="16" t="s">
        <v>87</v>
      </c>
      <c r="E8551" s="16" t="str">
        <f>IFERROR(__xludf.DUMMYFUNCTION("""COMPUTED_VALUE"""),"")</f>
        <v/>
      </c>
      <c r="G8551" s="18"/>
      <c r="H8551" s="16" t="s">
        <v>87</v>
      </c>
      <c r="I8551" s="16" t="s">
        <v>87</v>
      </c>
      <c r="J8551" s="19"/>
      <c r="L8551" s="16" t="str">
        <f>IFERROR(__xludf.DUMMYFUNCTION("""COMPUTED_VALUE"""),"")</f>
        <v/>
      </c>
      <c r="M8551" s="16" t="str">
        <f>IFERROR(__xludf.DUMMYFUNCTION("""COMPUTED_VALUE"""),"")</f>
        <v/>
      </c>
      <c r="U8551" s="16" t="s">
        <v>87</v>
      </c>
      <c r="V8551" s="16" t="str">
        <f>IFERROR(__xludf.DUMMYFUNCTION("""COMPUTED_VALUE"""),"")</f>
        <v/>
      </c>
      <c r="W8551" s="16" t="str">
        <f>IFERROR(__xludf.DUMMYFUNCTION("""COMPUTED_VALUE"""),"")</f>
        <v/>
      </c>
      <c r="X8551" s="16" t="str">
        <f>IFERROR(__xludf.DUMMYFUNCTION("""COMPUTED_VALUE"""),"")</f>
        <v/>
      </c>
      <c r="AC8551" s="16" t="str">
        <f>IFERROR(__xludf.DUMMYFUNCTION("""COMPUTED_VALUE"""),"")</f>
        <v/>
      </c>
    </row>
    <row r="8552">
      <c r="A8552" s="16" t="s">
        <v>87</v>
      </c>
      <c r="E8552" s="16" t="str">
        <f>IFERROR(__xludf.DUMMYFUNCTION("""COMPUTED_VALUE"""),"")</f>
        <v/>
      </c>
      <c r="G8552" s="18"/>
      <c r="H8552" s="16" t="s">
        <v>87</v>
      </c>
      <c r="I8552" s="16" t="s">
        <v>87</v>
      </c>
      <c r="J8552" s="19"/>
      <c r="L8552" s="16" t="str">
        <f>IFERROR(__xludf.DUMMYFUNCTION("""COMPUTED_VALUE"""),"")</f>
        <v/>
      </c>
      <c r="M8552" s="16" t="str">
        <f>IFERROR(__xludf.DUMMYFUNCTION("""COMPUTED_VALUE"""),"")</f>
        <v/>
      </c>
      <c r="U8552" s="16" t="s">
        <v>87</v>
      </c>
      <c r="V8552" s="16" t="str">
        <f>IFERROR(__xludf.DUMMYFUNCTION("""COMPUTED_VALUE"""),"")</f>
        <v/>
      </c>
      <c r="W8552" s="16" t="str">
        <f>IFERROR(__xludf.DUMMYFUNCTION("""COMPUTED_VALUE"""),"")</f>
        <v/>
      </c>
      <c r="X8552" s="16" t="str">
        <f>IFERROR(__xludf.DUMMYFUNCTION("""COMPUTED_VALUE"""),"")</f>
        <v/>
      </c>
      <c r="AC8552" s="16" t="str">
        <f>IFERROR(__xludf.DUMMYFUNCTION("""COMPUTED_VALUE"""),"")</f>
        <v/>
      </c>
    </row>
    <row r="8553">
      <c r="A8553" s="16" t="s">
        <v>87</v>
      </c>
      <c r="E8553" s="16" t="str">
        <f>IFERROR(__xludf.DUMMYFUNCTION("""COMPUTED_VALUE"""),"")</f>
        <v/>
      </c>
      <c r="G8553" s="18"/>
      <c r="H8553" s="16" t="s">
        <v>87</v>
      </c>
      <c r="I8553" s="16" t="s">
        <v>87</v>
      </c>
      <c r="J8553" s="19"/>
      <c r="L8553" s="16" t="str">
        <f>IFERROR(__xludf.DUMMYFUNCTION("""COMPUTED_VALUE"""),"")</f>
        <v/>
      </c>
      <c r="M8553" s="16" t="str">
        <f>IFERROR(__xludf.DUMMYFUNCTION("""COMPUTED_VALUE"""),"")</f>
        <v/>
      </c>
      <c r="U8553" s="16" t="s">
        <v>87</v>
      </c>
      <c r="V8553" s="16" t="str">
        <f>IFERROR(__xludf.DUMMYFUNCTION("""COMPUTED_VALUE"""),"")</f>
        <v/>
      </c>
      <c r="W8553" s="16" t="str">
        <f>IFERROR(__xludf.DUMMYFUNCTION("""COMPUTED_VALUE"""),"")</f>
        <v/>
      </c>
      <c r="X8553" s="16" t="str">
        <f>IFERROR(__xludf.DUMMYFUNCTION("""COMPUTED_VALUE"""),"")</f>
        <v/>
      </c>
      <c r="AC8553" s="16" t="str">
        <f>IFERROR(__xludf.DUMMYFUNCTION("""COMPUTED_VALUE"""),"")</f>
        <v/>
      </c>
    </row>
    <row r="8554">
      <c r="A8554" s="16" t="s">
        <v>87</v>
      </c>
      <c r="E8554" s="16" t="str">
        <f>IFERROR(__xludf.DUMMYFUNCTION("""COMPUTED_VALUE"""),"")</f>
        <v/>
      </c>
      <c r="G8554" s="18"/>
      <c r="H8554" s="16" t="s">
        <v>87</v>
      </c>
      <c r="I8554" s="16" t="s">
        <v>87</v>
      </c>
      <c r="J8554" s="19"/>
      <c r="L8554" s="16" t="str">
        <f>IFERROR(__xludf.DUMMYFUNCTION("""COMPUTED_VALUE"""),"")</f>
        <v/>
      </c>
      <c r="M8554" s="16" t="str">
        <f>IFERROR(__xludf.DUMMYFUNCTION("""COMPUTED_VALUE"""),"")</f>
        <v/>
      </c>
      <c r="U8554" s="16" t="s">
        <v>87</v>
      </c>
      <c r="V8554" s="16" t="str">
        <f>IFERROR(__xludf.DUMMYFUNCTION("""COMPUTED_VALUE"""),"")</f>
        <v/>
      </c>
      <c r="W8554" s="16" t="str">
        <f>IFERROR(__xludf.DUMMYFUNCTION("""COMPUTED_VALUE"""),"")</f>
        <v/>
      </c>
      <c r="X8554" s="16" t="str">
        <f>IFERROR(__xludf.DUMMYFUNCTION("""COMPUTED_VALUE"""),"")</f>
        <v/>
      </c>
      <c r="AC8554" s="16" t="str">
        <f>IFERROR(__xludf.DUMMYFUNCTION("""COMPUTED_VALUE"""),"")</f>
        <v/>
      </c>
    </row>
    <row r="8555">
      <c r="A8555" s="16" t="s">
        <v>87</v>
      </c>
      <c r="E8555" s="16" t="str">
        <f>IFERROR(__xludf.DUMMYFUNCTION("""COMPUTED_VALUE"""),"")</f>
        <v/>
      </c>
      <c r="G8555" s="18"/>
      <c r="H8555" s="16" t="s">
        <v>87</v>
      </c>
      <c r="I8555" s="16" t="s">
        <v>87</v>
      </c>
      <c r="J8555" s="19"/>
      <c r="L8555" s="16" t="str">
        <f>IFERROR(__xludf.DUMMYFUNCTION("""COMPUTED_VALUE"""),"")</f>
        <v/>
      </c>
      <c r="M8555" s="16" t="str">
        <f>IFERROR(__xludf.DUMMYFUNCTION("""COMPUTED_VALUE"""),"")</f>
        <v/>
      </c>
      <c r="U8555" s="16" t="s">
        <v>87</v>
      </c>
      <c r="V8555" s="16" t="str">
        <f>IFERROR(__xludf.DUMMYFUNCTION("""COMPUTED_VALUE"""),"")</f>
        <v/>
      </c>
      <c r="W8555" s="16" t="str">
        <f>IFERROR(__xludf.DUMMYFUNCTION("""COMPUTED_VALUE"""),"")</f>
        <v/>
      </c>
      <c r="X8555" s="16" t="str">
        <f>IFERROR(__xludf.DUMMYFUNCTION("""COMPUTED_VALUE"""),"")</f>
        <v/>
      </c>
      <c r="AC8555" s="16" t="str">
        <f>IFERROR(__xludf.DUMMYFUNCTION("""COMPUTED_VALUE"""),"")</f>
        <v/>
      </c>
    </row>
    <row r="8556">
      <c r="A8556" s="16" t="s">
        <v>87</v>
      </c>
      <c r="E8556" s="16" t="str">
        <f>IFERROR(__xludf.DUMMYFUNCTION("""COMPUTED_VALUE"""),"")</f>
        <v/>
      </c>
      <c r="G8556" s="18"/>
      <c r="H8556" s="16" t="s">
        <v>87</v>
      </c>
      <c r="I8556" s="16" t="s">
        <v>87</v>
      </c>
      <c r="J8556" s="19"/>
      <c r="L8556" s="16" t="str">
        <f>IFERROR(__xludf.DUMMYFUNCTION("""COMPUTED_VALUE"""),"")</f>
        <v/>
      </c>
      <c r="M8556" s="16" t="str">
        <f>IFERROR(__xludf.DUMMYFUNCTION("""COMPUTED_VALUE"""),"")</f>
        <v/>
      </c>
      <c r="U8556" s="16" t="s">
        <v>87</v>
      </c>
      <c r="V8556" s="16" t="str">
        <f>IFERROR(__xludf.DUMMYFUNCTION("""COMPUTED_VALUE"""),"")</f>
        <v/>
      </c>
      <c r="W8556" s="16" t="str">
        <f>IFERROR(__xludf.DUMMYFUNCTION("""COMPUTED_VALUE"""),"")</f>
        <v/>
      </c>
      <c r="X8556" s="16" t="str">
        <f>IFERROR(__xludf.DUMMYFUNCTION("""COMPUTED_VALUE"""),"")</f>
        <v/>
      </c>
      <c r="AC8556" s="16" t="str">
        <f>IFERROR(__xludf.DUMMYFUNCTION("""COMPUTED_VALUE"""),"")</f>
        <v/>
      </c>
    </row>
    <row r="8557">
      <c r="A8557" s="16" t="s">
        <v>87</v>
      </c>
      <c r="E8557" s="16" t="str">
        <f>IFERROR(__xludf.DUMMYFUNCTION("""COMPUTED_VALUE"""),"")</f>
        <v/>
      </c>
      <c r="G8557" s="18"/>
      <c r="H8557" s="16" t="s">
        <v>87</v>
      </c>
      <c r="I8557" s="16" t="s">
        <v>87</v>
      </c>
      <c r="J8557" s="19"/>
      <c r="L8557" s="16" t="str">
        <f>IFERROR(__xludf.DUMMYFUNCTION("""COMPUTED_VALUE"""),"")</f>
        <v/>
      </c>
      <c r="M8557" s="16" t="str">
        <f>IFERROR(__xludf.DUMMYFUNCTION("""COMPUTED_VALUE"""),"")</f>
        <v/>
      </c>
      <c r="U8557" s="16" t="s">
        <v>87</v>
      </c>
      <c r="V8557" s="16" t="str">
        <f>IFERROR(__xludf.DUMMYFUNCTION("""COMPUTED_VALUE"""),"")</f>
        <v/>
      </c>
      <c r="W8557" s="16" t="str">
        <f>IFERROR(__xludf.DUMMYFUNCTION("""COMPUTED_VALUE"""),"")</f>
        <v/>
      </c>
      <c r="X8557" s="16" t="str">
        <f>IFERROR(__xludf.DUMMYFUNCTION("""COMPUTED_VALUE"""),"")</f>
        <v/>
      </c>
      <c r="AC8557" s="16" t="str">
        <f>IFERROR(__xludf.DUMMYFUNCTION("""COMPUTED_VALUE"""),"")</f>
        <v/>
      </c>
    </row>
    <row r="8558">
      <c r="A8558" s="16" t="s">
        <v>87</v>
      </c>
      <c r="E8558" s="16" t="str">
        <f>IFERROR(__xludf.DUMMYFUNCTION("""COMPUTED_VALUE"""),"")</f>
        <v/>
      </c>
      <c r="G8558" s="18"/>
      <c r="H8558" s="16" t="s">
        <v>87</v>
      </c>
      <c r="I8558" s="16" t="s">
        <v>87</v>
      </c>
      <c r="J8558" s="19"/>
      <c r="L8558" s="16" t="str">
        <f>IFERROR(__xludf.DUMMYFUNCTION("""COMPUTED_VALUE"""),"")</f>
        <v/>
      </c>
      <c r="M8558" s="16" t="str">
        <f>IFERROR(__xludf.DUMMYFUNCTION("""COMPUTED_VALUE"""),"")</f>
        <v/>
      </c>
      <c r="U8558" s="16" t="s">
        <v>87</v>
      </c>
      <c r="V8558" s="16" t="str">
        <f>IFERROR(__xludf.DUMMYFUNCTION("""COMPUTED_VALUE"""),"")</f>
        <v/>
      </c>
      <c r="W8558" s="16" t="str">
        <f>IFERROR(__xludf.DUMMYFUNCTION("""COMPUTED_VALUE"""),"")</f>
        <v/>
      </c>
      <c r="X8558" s="16" t="str">
        <f>IFERROR(__xludf.DUMMYFUNCTION("""COMPUTED_VALUE"""),"")</f>
        <v/>
      </c>
      <c r="AC8558" s="16" t="str">
        <f>IFERROR(__xludf.DUMMYFUNCTION("""COMPUTED_VALUE"""),"")</f>
        <v/>
      </c>
    </row>
    <row r="8559">
      <c r="A8559" s="16" t="s">
        <v>87</v>
      </c>
      <c r="E8559" s="16" t="str">
        <f>IFERROR(__xludf.DUMMYFUNCTION("""COMPUTED_VALUE"""),"")</f>
        <v/>
      </c>
      <c r="G8559" s="18"/>
      <c r="H8559" s="16" t="s">
        <v>87</v>
      </c>
      <c r="I8559" s="16" t="s">
        <v>87</v>
      </c>
      <c r="J8559" s="19"/>
      <c r="L8559" s="16" t="str">
        <f>IFERROR(__xludf.DUMMYFUNCTION("""COMPUTED_VALUE"""),"")</f>
        <v/>
      </c>
      <c r="M8559" s="16" t="str">
        <f>IFERROR(__xludf.DUMMYFUNCTION("""COMPUTED_VALUE"""),"")</f>
        <v/>
      </c>
      <c r="U8559" s="16" t="s">
        <v>87</v>
      </c>
      <c r="V8559" s="16" t="str">
        <f>IFERROR(__xludf.DUMMYFUNCTION("""COMPUTED_VALUE"""),"")</f>
        <v/>
      </c>
      <c r="W8559" s="16" t="str">
        <f>IFERROR(__xludf.DUMMYFUNCTION("""COMPUTED_VALUE"""),"")</f>
        <v/>
      </c>
      <c r="X8559" s="16" t="str">
        <f>IFERROR(__xludf.DUMMYFUNCTION("""COMPUTED_VALUE"""),"")</f>
        <v/>
      </c>
      <c r="AC8559" s="16" t="str">
        <f>IFERROR(__xludf.DUMMYFUNCTION("""COMPUTED_VALUE"""),"")</f>
        <v/>
      </c>
    </row>
    <row r="8560">
      <c r="A8560" s="16" t="s">
        <v>87</v>
      </c>
      <c r="E8560" s="16" t="str">
        <f>IFERROR(__xludf.DUMMYFUNCTION("""COMPUTED_VALUE"""),"")</f>
        <v/>
      </c>
      <c r="G8560" s="18"/>
      <c r="H8560" s="16" t="s">
        <v>87</v>
      </c>
      <c r="I8560" s="16" t="s">
        <v>87</v>
      </c>
      <c r="J8560" s="19"/>
      <c r="L8560" s="16" t="str">
        <f>IFERROR(__xludf.DUMMYFUNCTION("""COMPUTED_VALUE"""),"")</f>
        <v/>
      </c>
      <c r="M8560" s="16" t="str">
        <f>IFERROR(__xludf.DUMMYFUNCTION("""COMPUTED_VALUE"""),"")</f>
        <v/>
      </c>
      <c r="U8560" s="16" t="s">
        <v>87</v>
      </c>
      <c r="V8560" s="16" t="str">
        <f>IFERROR(__xludf.DUMMYFUNCTION("""COMPUTED_VALUE"""),"")</f>
        <v/>
      </c>
      <c r="W8560" s="16" t="str">
        <f>IFERROR(__xludf.DUMMYFUNCTION("""COMPUTED_VALUE"""),"")</f>
        <v/>
      </c>
      <c r="X8560" s="16" t="str">
        <f>IFERROR(__xludf.DUMMYFUNCTION("""COMPUTED_VALUE"""),"")</f>
        <v/>
      </c>
      <c r="AC8560" s="16" t="str">
        <f>IFERROR(__xludf.DUMMYFUNCTION("""COMPUTED_VALUE"""),"")</f>
        <v/>
      </c>
    </row>
    <row r="8561">
      <c r="A8561" s="16" t="s">
        <v>87</v>
      </c>
      <c r="E8561" s="16" t="str">
        <f>IFERROR(__xludf.DUMMYFUNCTION("""COMPUTED_VALUE"""),"")</f>
        <v/>
      </c>
      <c r="G8561" s="18"/>
      <c r="H8561" s="16" t="s">
        <v>87</v>
      </c>
      <c r="I8561" s="16" t="s">
        <v>87</v>
      </c>
      <c r="J8561" s="19"/>
      <c r="L8561" s="16" t="str">
        <f>IFERROR(__xludf.DUMMYFUNCTION("""COMPUTED_VALUE"""),"")</f>
        <v/>
      </c>
      <c r="M8561" s="16" t="str">
        <f>IFERROR(__xludf.DUMMYFUNCTION("""COMPUTED_VALUE"""),"")</f>
        <v/>
      </c>
      <c r="U8561" s="16" t="s">
        <v>87</v>
      </c>
      <c r="V8561" s="16" t="str">
        <f>IFERROR(__xludf.DUMMYFUNCTION("""COMPUTED_VALUE"""),"")</f>
        <v/>
      </c>
      <c r="W8561" s="16" t="str">
        <f>IFERROR(__xludf.DUMMYFUNCTION("""COMPUTED_VALUE"""),"")</f>
        <v/>
      </c>
      <c r="X8561" s="16" t="str">
        <f>IFERROR(__xludf.DUMMYFUNCTION("""COMPUTED_VALUE"""),"")</f>
        <v/>
      </c>
      <c r="AC8561" s="16" t="str">
        <f>IFERROR(__xludf.DUMMYFUNCTION("""COMPUTED_VALUE"""),"")</f>
        <v/>
      </c>
    </row>
    <row r="8562">
      <c r="A8562" s="16" t="s">
        <v>87</v>
      </c>
      <c r="E8562" s="16" t="str">
        <f>IFERROR(__xludf.DUMMYFUNCTION("""COMPUTED_VALUE"""),"")</f>
        <v/>
      </c>
      <c r="G8562" s="18"/>
      <c r="H8562" s="16" t="s">
        <v>87</v>
      </c>
      <c r="I8562" s="16" t="s">
        <v>87</v>
      </c>
      <c r="J8562" s="19"/>
      <c r="L8562" s="16" t="str">
        <f>IFERROR(__xludf.DUMMYFUNCTION("""COMPUTED_VALUE"""),"")</f>
        <v/>
      </c>
      <c r="M8562" s="16" t="str">
        <f>IFERROR(__xludf.DUMMYFUNCTION("""COMPUTED_VALUE"""),"")</f>
        <v/>
      </c>
      <c r="U8562" s="16" t="s">
        <v>87</v>
      </c>
      <c r="V8562" s="16" t="str">
        <f>IFERROR(__xludf.DUMMYFUNCTION("""COMPUTED_VALUE"""),"")</f>
        <v/>
      </c>
      <c r="W8562" s="16" t="str">
        <f>IFERROR(__xludf.DUMMYFUNCTION("""COMPUTED_VALUE"""),"")</f>
        <v/>
      </c>
      <c r="X8562" s="16" t="str">
        <f>IFERROR(__xludf.DUMMYFUNCTION("""COMPUTED_VALUE"""),"")</f>
        <v/>
      </c>
      <c r="AC8562" s="16" t="str">
        <f>IFERROR(__xludf.DUMMYFUNCTION("""COMPUTED_VALUE"""),"")</f>
        <v/>
      </c>
    </row>
    <row r="8563">
      <c r="A8563" s="16" t="s">
        <v>87</v>
      </c>
      <c r="E8563" s="16" t="str">
        <f>IFERROR(__xludf.DUMMYFUNCTION("""COMPUTED_VALUE"""),"")</f>
        <v/>
      </c>
      <c r="G8563" s="18"/>
      <c r="H8563" s="16" t="s">
        <v>87</v>
      </c>
      <c r="I8563" s="16" t="s">
        <v>87</v>
      </c>
      <c r="J8563" s="19"/>
      <c r="L8563" s="16" t="str">
        <f>IFERROR(__xludf.DUMMYFUNCTION("""COMPUTED_VALUE"""),"")</f>
        <v/>
      </c>
      <c r="M8563" s="16" t="str">
        <f>IFERROR(__xludf.DUMMYFUNCTION("""COMPUTED_VALUE"""),"")</f>
        <v/>
      </c>
      <c r="U8563" s="16" t="s">
        <v>87</v>
      </c>
      <c r="V8563" s="16" t="str">
        <f>IFERROR(__xludf.DUMMYFUNCTION("""COMPUTED_VALUE"""),"")</f>
        <v/>
      </c>
      <c r="W8563" s="16" t="str">
        <f>IFERROR(__xludf.DUMMYFUNCTION("""COMPUTED_VALUE"""),"")</f>
        <v/>
      </c>
      <c r="X8563" s="16" t="str">
        <f>IFERROR(__xludf.DUMMYFUNCTION("""COMPUTED_VALUE"""),"")</f>
        <v/>
      </c>
      <c r="AC8563" s="16" t="str">
        <f>IFERROR(__xludf.DUMMYFUNCTION("""COMPUTED_VALUE"""),"")</f>
        <v/>
      </c>
    </row>
    <row r="8564">
      <c r="A8564" s="16" t="s">
        <v>87</v>
      </c>
      <c r="E8564" s="16" t="str">
        <f>IFERROR(__xludf.DUMMYFUNCTION("""COMPUTED_VALUE"""),"")</f>
        <v/>
      </c>
      <c r="G8564" s="18"/>
      <c r="H8564" s="16" t="s">
        <v>87</v>
      </c>
      <c r="I8564" s="16" t="s">
        <v>87</v>
      </c>
      <c r="J8564" s="19"/>
      <c r="L8564" s="16" t="str">
        <f>IFERROR(__xludf.DUMMYFUNCTION("""COMPUTED_VALUE"""),"")</f>
        <v/>
      </c>
      <c r="M8564" s="16" t="str">
        <f>IFERROR(__xludf.DUMMYFUNCTION("""COMPUTED_VALUE"""),"")</f>
        <v/>
      </c>
      <c r="U8564" s="16" t="s">
        <v>87</v>
      </c>
      <c r="V8564" s="16" t="str">
        <f>IFERROR(__xludf.DUMMYFUNCTION("""COMPUTED_VALUE"""),"")</f>
        <v/>
      </c>
      <c r="W8564" s="16" t="str">
        <f>IFERROR(__xludf.DUMMYFUNCTION("""COMPUTED_VALUE"""),"")</f>
        <v/>
      </c>
      <c r="X8564" s="16" t="str">
        <f>IFERROR(__xludf.DUMMYFUNCTION("""COMPUTED_VALUE"""),"")</f>
        <v/>
      </c>
      <c r="AC8564" s="16" t="str">
        <f>IFERROR(__xludf.DUMMYFUNCTION("""COMPUTED_VALUE"""),"")</f>
        <v/>
      </c>
    </row>
    <row r="8565">
      <c r="A8565" s="16" t="s">
        <v>87</v>
      </c>
      <c r="E8565" s="16" t="str">
        <f>IFERROR(__xludf.DUMMYFUNCTION("""COMPUTED_VALUE"""),"")</f>
        <v/>
      </c>
      <c r="G8565" s="18"/>
      <c r="H8565" s="16" t="s">
        <v>87</v>
      </c>
      <c r="I8565" s="16" t="s">
        <v>87</v>
      </c>
      <c r="J8565" s="19"/>
      <c r="L8565" s="16" t="str">
        <f>IFERROR(__xludf.DUMMYFUNCTION("""COMPUTED_VALUE"""),"")</f>
        <v/>
      </c>
      <c r="M8565" s="16" t="str">
        <f>IFERROR(__xludf.DUMMYFUNCTION("""COMPUTED_VALUE"""),"")</f>
        <v/>
      </c>
      <c r="U8565" s="16" t="s">
        <v>87</v>
      </c>
      <c r="V8565" s="16" t="str">
        <f>IFERROR(__xludf.DUMMYFUNCTION("""COMPUTED_VALUE"""),"")</f>
        <v/>
      </c>
      <c r="W8565" s="16" t="str">
        <f>IFERROR(__xludf.DUMMYFUNCTION("""COMPUTED_VALUE"""),"")</f>
        <v/>
      </c>
      <c r="X8565" s="16" t="str">
        <f>IFERROR(__xludf.DUMMYFUNCTION("""COMPUTED_VALUE"""),"")</f>
        <v/>
      </c>
      <c r="AC8565" s="16" t="str">
        <f>IFERROR(__xludf.DUMMYFUNCTION("""COMPUTED_VALUE"""),"")</f>
        <v/>
      </c>
    </row>
    <row r="8566">
      <c r="A8566" s="16" t="s">
        <v>87</v>
      </c>
      <c r="E8566" s="16" t="str">
        <f>IFERROR(__xludf.DUMMYFUNCTION("""COMPUTED_VALUE"""),"")</f>
        <v/>
      </c>
      <c r="G8566" s="18"/>
      <c r="H8566" s="16" t="s">
        <v>87</v>
      </c>
      <c r="I8566" s="16" t="s">
        <v>87</v>
      </c>
      <c r="J8566" s="19"/>
      <c r="L8566" s="16" t="str">
        <f>IFERROR(__xludf.DUMMYFUNCTION("""COMPUTED_VALUE"""),"")</f>
        <v/>
      </c>
      <c r="M8566" s="16" t="str">
        <f>IFERROR(__xludf.DUMMYFUNCTION("""COMPUTED_VALUE"""),"")</f>
        <v/>
      </c>
      <c r="U8566" s="16" t="s">
        <v>87</v>
      </c>
      <c r="V8566" s="16" t="str">
        <f>IFERROR(__xludf.DUMMYFUNCTION("""COMPUTED_VALUE"""),"")</f>
        <v/>
      </c>
      <c r="W8566" s="16" t="str">
        <f>IFERROR(__xludf.DUMMYFUNCTION("""COMPUTED_VALUE"""),"")</f>
        <v/>
      </c>
      <c r="X8566" s="16" t="str">
        <f>IFERROR(__xludf.DUMMYFUNCTION("""COMPUTED_VALUE"""),"")</f>
        <v/>
      </c>
      <c r="AC8566" s="16" t="str">
        <f>IFERROR(__xludf.DUMMYFUNCTION("""COMPUTED_VALUE"""),"")</f>
        <v/>
      </c>
    </row>
    <row r="8567">
      <c r="A8567" s="16" t="s">
        <v>87</v>
      </c>
      <c r="E8567" s="16" t="str">
        <f>IFERROR(__xludf.DUMMYFUNCTION("""COMPUTED_VALUE"""),"")</f>
        <v/>
      </c>
      <c r="G8567" s="18"/>
      <c r="H8567" s="16" t="s">
        <v>87</v>
      </c>
      <c r="I8567" s="16" t="s">
        <v>87</v>
      </c>
      <c r="J8567" s="19"/>
      <c r="L8567" s="16" t="str">
        <f>IFERROR(__xludf.DUMMYFUNCTION("""COMPUTED_VALUE"""),"")</f>
        <v/>
      </c>
      <c r="M8567" s="16" t="str">
        <f>IFERROR(__xludf.DUMMYFUNCTION("""COMPUTED_VALUE"""),"")</f>
        <v/>
      </c>
      <c r="U8567" s="16" t="s">
        <v>87</v>
      </c>
      <c r="V8567" s="16" t="str">
        <f>IFERROR(__xludf.DUMMYFUNCTION("""COMPUTED_VALUE"""),"")</f>
        <v/>
      </c>
      <c r="W8567" s="16" t="str">
        <f>IFERROR(__xludf.DUMMYFUNCTION("""COMPUTED_VALUE"""),"")</f>
        <v/>
      </c>
      <c r="X8567" s="16" t="str">
        <f>IFERROR(__xludf.DUMMYFUNCTION("""COMPUTED_VALUE"""),"")</f>
        <v/>
      </c>
      <c r="AC8567" s="16" t="str">
        <f>IFERROR(__xludf.DUMMYFUNCTION("""COMPUTED_VALUE"""),"")</f>
        <v/>
      </c>
    </row>
    <row r="8568">
      <c r="A8568" s="16" t="s">
        <v>87</v>
      </c>
      <c r="E8568" s="16" t="str">
        <f>IFERROR(__xludf.DUMMYFUNCTION("""COMPUTED_VALUE"""),"")</f>
        <v/>
      </c>
      <c r="G8568" s="18"/>
      <c r="H8568" s="16" t="s">
        <v>87</v>
      </c>
      <c r="I8568" s="16" t="s">
        <v>87</v>
      </c>
      <c r="J8568" s="19"/>
      <c r="L8568" s="16" t="str">
        <f>IFERROR(__xludf.DUMMYFUNCTION("""COMPUTED_VALUE"""),"")</f>
        <v/>
      </c>
      <c r="M8568" s="16" t="str">
        <f>IFERROR(__xludf.DUMMYFUNCTION("""COMPUTED_VALUE"""),"")</f>
        <v/>
      </c>
      <c r="U8568" s="16" t="s">
        <v>87</v>
      </c>
      <c r="V8568" s="16" t="str">
        <f>IFERROR(__xludf.DUMMYFUNCTION("""COMPUTED_VALUE"""),"")</f>
        <v/>
      </c>
      <c r="W8568" s="16" t="str">
        <f>IFERROR(__xludf.DUMMYFUNCTION("""COMPUTED_VALUE"""),"")</f>
        <v/>
      </c>
      <c r="X8568" s="16" t="str">
        <f>IFERROR(__xludf.DUMMYFUNCTION("""COMPUTED_VALUE"""),"")</f>
        <v/>
      </c>
      <c r="AC8568" s="16" t="str">
        <f>IFERROR(__xludf.DUMMYFUNCTION("""COMPUTED_VALUE"""),"")</f>
        <v/>
      </c>
    </row>
    <row r="8569">
      <c r="A8569" s="16" t="s">
        <v>87</v>
      </c>
      <c r="E8569" s="16" t="str">
        <f>IFERROR(__xludf.DUMMYFUNCTION("""COMPUTED_VALUE"""),"")</f>
        <v/>
      </c>
      <c r="G8569" s="18"/>
      <c r="H8569" s="16" t="s">
        <v>87</v>
      </c>
      <c r="I8569" s="16" t="s">
        <v>87</v>
      </c>
      <c r="J8569" s="19"/>
      <c r="L8569" s="16" t="str">
        <f>IFERROR(__xludf.DUMMYFUNCTION("""COMPUTED_VALUE"""),"")</f>
        <v/>
      </c>
      <c r="M8569" s="16" t="str">
        <f>IFERROR(__xludf.DUMMYFUNCTION("""COMPUTED_VALUE"""),"")</f>
        <v/>
      </c>
      <c r="U8569" s="16" t="s">
        <v>87</v>
      </c>
      <c r="V8569" s="16" t="str">
        <f>IFERROR(__xludf.DUMMYFUNCTION("""COMPUTED_VALUE"""),"")</f>
        <v/>
      </c>
      <c r="W8569" s="16" t="str">
        <f>IFERROR(__xludf.DUMMYFUNCTION("""COMPUTED_VALUE"""),"")</f>
        <v/>
      </c>
      <c r="X8569" s="16" t="str">
        <f>IFERROR(__xludf.DUMMYFUNCTION("""COMPUTED_VALUE"""),"")</f>
        <v/>
      </c>
      <c r="AC8569" s="16" t="str">
        <f>IFERROR(__xludf.DUMMYFUNCTION("""COMPUTED_VALUE"""),"")</f>
        <v/>
      </c>
    </row>
    <row r="8570">
      <c r="A8570" s="16" t="s">
        <v>87</v>
      </c>
      <c r="E8570" s="16" t="str">
        <f>IFERROR(__xludf.DUMMYFUNCTION("""COMPUTED_VALUE"""),"")</f>
        <v/>
      </c>
      <c r="G8570" s="18"/>
      <c r="H8570" s="16" t="s">
        <v>87</v>
      </c>
      <c r="I8570" s="16" t="s">
        <v>87</v>
      </c>
      <c r="J8570" s="19"/>
      <c r="L8570" s="16" t="str">
        <f>IFERROR(__xludf.DUMMYFUNCTION("""COMPUTED_VALUE"""),"")</f>
        <v/>
      </c>
      <c r="M8570" s="16" t="str">
        <f>IFERROR(__xludf.DUMMYFUNCTION("""COMPUTED_VALUE"""),"")</f>
        <v/>
      </c>
      <c r="U8570" s="16" t="s">
        <v>87</v>
      </c>
      <c r="V8570" s="16" t="str">
        <f>IFERROR(__xludf.DUMMYFUNCTION("""COMPUTED_VALUE"""),"")</f>
        <v/>
      </c>
      <c r="W8570" s="16" t="str">
        <f>IFERROR(__xludf.DUMMYFUNCTION("""COMPUTED_VALUE"""),"")</f>
        <v/>
      </c>
      <c r="X8570" s="16" t="str">
        <f>IFERROR(__xludf.DUMMYFUNCTION("""COMPUTED_VALUE"""),"")</f>
        <v/>
      </c>
      <c r="AC8570" s="16" t="str">
        <f>IFERROR(__xludf.DUMMYFUNCTION("""COMPUTED_VALUE"""),"")</f>
        <v/>
      </c>
    </row>
    <row r="8571">
      <c r="A8571" s="16" t="s">
        <v>87</v>
      </c>
      <c r="E8571" s="16" t="str">
        <f>IFERROR(__xludf.DUMMYFUNCTION("""COMPUTED_VALUE"""),"")</f>
        <v/>
      </c>
      <c r="G8571" s="18"/>
      <c r="H8571" s="16" t="s">
        <v>87</v>
      </c>
      <c r="I8571" s="16" t="s">
        <v>87</v>
      </c>
      <c r="J8571" s="19"/>
      <c r="L8571" s="16" t="str">
        <f>IFERROR(__xludf.DUMMYFUNCTION("""COMPUTED_VALUE"""),"")</f>
        <v/>
      </c>
      <c r="M8571" s="16" t="str">
        <f>IFERROR(__xludf.DUMMYFUNCTION("""COMPUTED_VALUE"""),"")</f>
        <v/>
      </c>
      <c r="U8571" s="16" t="s">
        <v>87</v>
      </c>
      <c r="V8571" s="16" t="str">
        <f>IFERROR(__xludf.DUMMYFUNCTION("""COMPUTED_VALUE"""),"")</f>
        <v/>
      </c>
      <c r="W8571" s="16" t="str">
        <f>IFERROR(__xludf.DUMMYFUNCTION("""COMPUTED_VALUE"""),"")</f>
        <v/>
      </c>
      <c r="X8571" s="16" t="str">
        <f>IFERROR(__xludf.DUMMYFUNCTION("""COMPUTED_VALUE"""),"")</f>
        <v/>
      </c>
      <c r="AC8571" s="16" t="str">
        <f>IFERROR(__xludf.DUMMYFUNCTION("""COMPUTED_VALUE"""),"")</f>
        <v/>
      </c>
    </row>
    <row r="8572">
      <c r="A8572" s="16" t="s">
        <v>87</v>
      </c>
      <c r="E8572" s="16" t="str">
        <f>IFERROR(__xludf.DUMMYFUNCTION("""COMPUTED_VALUE"""),"")</f>
        <v/>
      </c>
      <c r="G8572" s="18"/>
      <c r="H8572" s="16" t="s">
        <v>87</v>
      </c>
      <c r="I8572" s="16" t="s">
        <v>87</v>
      </c>
      <c r="J8572" s="19"/>
      <c r="L8572" s="16" t="str">
        <f>IFERROR(__xludf.DUMMYFUNCTION("""COMPUTED_VALUE"""),"")</f>
        <v/>
      </c>
      <c r="M8572" s="16" t="str">
        <f>IFERROR(__xludf.DUMMYFUNCTION("""COMPUTED_VALUE"""),"")</f>
        <v/>
      </c>
      <c r="U8572" s="16" t="s">
        <v>87</v>
      </c>
      <c r="V8572" s="16" t="str">
        <f>IFERROR(__xludf.DUMMYFUNCTION("""COMPUTED_VALUE"""),"")</f>
        <v/>
      </c>
      <c r="W8572" s="16" t="str">
        <f>IFERROR(__xludf.DUMMYFUNCTION("""COMPUTED_VALUE"""),"")</f>
        <v/>
      </c>
      <c r="X8572" s="16" t="str">
        <f>IFERROR(__xludf.DUMMYFUNCTION("""COMPUTED_VALUE"""),"")</f>
        <v/>
      </c>
      <c r="AC8572" s="16" t="str">
        <f>IFERROR(__xludf.DUMMYFUNCTION("""COMPUTED_VALUE"""),"")</f>
        <v/>
      </c>
    </row>
    <row r="8573">
      <c r="A8573" s="16" t="s">
        <v>87</v>
      </c>
      <c r="E8573" s="16" t="str">
        <f>IFERROR(__xludf.DUMMYFUNCTION("""COMPUTED_VALUE"""),"")</f>
        <v/>
      </c>
      <c r="G8573" s="18"/>
      <c r="H8573" s="16" t="s">
        <v>87</v>
      </c>
      <c r="I8573" s="16" t="s">
        <v>87</v>
      </c>
      <c r="J8573" s="19"/>
      <c r="L8573" s="16" t="str">
        <f>IFERROR(__xludf.DUMMYFUNCTION("""COMPUTED_VALUE"""),"")</f>
        <v/>
      </c>
      <c r="M8573" s="16" t="str">
        <f>IFERROR(__xludf.DUMMYFUNCTION("""COMPUTED_VALUE"""),"")</f>
        <v/>
      </c>
      <c r="U8573" s="16" t="s">
        <v>87</v>
      </c>
      <c r="V8573" s="16" t="str">
        <f>IFERROR(__xludf.DUMMYFUNCTION("""COMPUTED_VALUE"""),"")</f>
        <v/>
      </c>
      <c r="W8573" s="16" t="str">
        <f>IFERROR(__xludf.DUMMYFUNCTION("""COMPUTED_VALUE"""),"")</f>
        <v/>
      </c>
      <c r="X8573" s="16" t="str">
        <f>IFERROR(__xludf.DUMMYFUNCTION("""COMPUTED_VALUE"""),"")</f>
        <v/>
      </c>
      <c r="AC8573" s="16" t="str">
        <f>IFERROR(__xludf.DUMMYFUNCTION("""COMPUTED_VALUE"""),"")</f>
        <v/>
      </c>
    </row>
    <row r="8574">
      <c r="A8574" s="16" t="s">
        <v>87</v>
      </c>
      <c r="E8574" s="16" t="str">
        <f>IFERROR(__xludf.DUMMYFUNCTION("""COMPUTED_VALUE"""),"")</f>
        <v/>
      </c>
      <c r="G8574" s="18"/>
      <c r="H8574" s="16" t="s">
        <v>87</v>
      </c>
      <c r="I8574" s="16" t="s">
        <v>87</v>
      </c>
      <c r="J8574" s="19"/>
      <c r="L8574" s="16" t="str">
        <f>IFERROR(__xludf.DUMMYFUNCTION("""COMPUTED_VALUE"""),"")</f>
        <v/>
      </c>
      <c r="M8574" s="16" t="str">
        <f>IFERROR(__xludf.DUMMYFUNCTION("""COMPUTED_VALUE"""),"")</f>
        <v/>
      </c>
      <c r="U8574" s="16" t="s">
        <v>87</v>
      </c>
      <c r="V8574" s="16" t="str">
        <f>IFERROR(__xludf.DUMMYFUNCTION("""COMPUTED_VALUE"""),"")</f>
        <v/>
      </c>
      <c r="W8574" s="16" t="str">
        <f>IFERROR(__xludf.DUMMYFUNCTION("""COMPUTED_VALUE"""),"")</f>
        <v/>
      </c>
      <c r="X8574" s="16" t="str">
        <f>IFERROR(__xludf.DUMMYFUNCTION("""COMPUTED_VALUE"""),"")</f>
        <v/>
      </c>
      <c r="AC8574" s="16" t="str">
        <f>IFERROR(__xludf.DUMMYFUNCTION("""COMPUTED_VALUE"""),"")</f>
        <v/>
      </c>
    </row>
    <row r="8575">
      <c r="A8575" s="16" t="s">
        <v>87</v>
      </c>
      <c r="E8575" s="16" t="str">
        <f>IFERROR(__xludf.DUMMYFUNCTION("""COMPUTED_VALUE"""),"")</f>
        <v/>
      </c>
      <c r="G8575" s="18"/>
      <c r="H8575" s="16" t="s">
        <v>87</v>
      </c>
      <c r="I8575" s="16" t="s">
        <v>87</v>
      </c>
      <c r="J8575" s="19"/>
      <c r="L8575" s="16" t="str">
        <f>IFERROR(__xludf.DUMMYFUNCTION("""COMPUTED_VALUE"""),"")</f>
        <v/>
      </c>
      <c r="M8575" s="16" t="str">
        <f>IFERROR(__xludf.DUMMYFUNCTION("""COMPUTED_VALUE"""),"")</f>
        <v/>
      </c>
      <c r="U8575" s="16" t="s">
        <v>87</v>
      </c>
      <c r="V8575" s="16" t="str">
        <f>IFERROR(__xludf.DUMMYFUNCTION("""COMPUTED_VALUE"""),"")</f>
        <v/>
      </c>
      <c r="W8575" s="16" t="str">
        <f>IFERROR(__xludf.DUMMYFUNCTION("""COMPUTED_VALUE"""),"")</f>
        <v/>
      </c>
      <c r="X8575" s="16" t="str">
        <f>IFERROR(__xludf.DUMMYFUNCTION("""COMPUTED_VALUE"""),"")</f>
        <v/>
      </c>
      <c r="AC8575" s="16" t="str">
        <f>IFERROR(__xludf.DUMMYFUNCTION("""COMPUTED_VALUE"""),"")</f>
        <v/>
      </c>
    </row>
    <row r="8576">
      <c r="A8576" s="16" t="s">
        <v>87</v>
      </c>
      <c r="E8576" s="16" t="str">
        <f>IFERROR(__xludf.DUMMYFUNCTION("""COMPUTED_VALUE"""),"")</f>
        <v/>
      </c>
      <c r="G8576" s="18"/>
      <c r="H8576" s="16" t="s">
        <v>87</v>
      </c>
      <c r="I8576" s="16" t="s">
        <v>87</v>
      </c>
      <c r="J8576" s="19"/>
      <c r="L8576" s="16" t="str">
        <f>IFERROR(__xludf.DUMMYFUNCTION("""COMPUTED_VALUE"""),"")</f>
        <v/>
      </c>
      <c r="M8576" s="16" t="str">
        <f>IFERROR(__xludf.DUMMYFUNCTION("""COMPUTED_VALUE"""),"")</f>
        <v/>
      </c>
      <c r="U8576" s="16" t="s">
        <v>87</v>
      </c>
      <c r="V8576" s="16" t="str">
        <f>IFERROR(__xludf.DUMMYFUNCTION("""COMPUTED_VALUE"""),"")</f>
        <v/>
      </c>
      <c r="W8576" s="16" t="str">
        <f>IFERROR(__xludf.DUMMYFUNCTION("""COMPUTED_VALUE"""),"")</f>
        <v/>
      </c>
      <c r="X8576" s="16" t="str">
        <f>IFERROR(__xludf.DUMMYFUNCTION("""COMPUTED_VALUE"""),"")</f>
        <v/>
      </c>
      <c r="AC8576" s="16" t="str">
        <f>IFERROR(__xludf.DUMMYFUNCTION("""COMPUTED_VALUE"""),"")</f>
        <v/>
      </c>
    </row>
    <row r="8577">
      <c r="A8577" s="16" t="s">
        <v>87</v>
      </c>
      <c r="E8577" s="16" t="str">
        <f>IFERROR(__xludf.DUMMYFUNCTION("""COMPUTED_VALUE"""),"")</f>
        <v/>
      </c>
      <c r="G8577" s="18"/>
      <c r="H8577" s="16" t="s">
        <v>87</v>
      </c>
      <c r="I8577" s="16" t="s">
        <v>87</v>
      </c>
      <c r="J8577" s="19"/>
      <c r="L8577" s="16" t="str">
        <f>IFERROR(__xludf.DUMMYFUNCTION("""COMPUTED_VALUE"""),"")</f>
        <v/>
      </c>
      <c r="M8577" s="16" t="str">
        <f>IFERROR(__xludf.DUMMYFUNCTION("""COMPUTED_VALUE"""),"")</f>
        <v/>
      </c>
      <c r="U8577" s="16" t="s">
        <v>87</v>
      </c>
      <c r="V8577" s="16" t="str">
        <f>IFERROR(__xludf.DUMMYFUNCTION("""COMPUTED_VALUE"""),"")</f>
        <v/>
      </c>
      <c r="W8577" s="16" t="str">
        <f>IFERROR(__xludf.DUMMYFUNCTION("""COMPUTED_VALUE"""),"")</f>
        <v/>
      </c>
      <c r="X8577" s="16" t="str">
        <f>IFERROR(__xludf.DUMMYFUNCTION("""COMPUTED_VALUE"""),"")</f>
        <v/>
      </c>
      <c r="AC8577" s="16" t="str">
        <f>IFERROR(__xludf.DUMMYFUNCTION("""COMPUTED_VALUE"""),"")</f>
        <v/>
      </c>
    </row>
    <row r="8578">
      <c r="A8578" s="16" t="s">
        <v>87</v>
      </c>
      <c r="E8578" s="16" t="str">
        <f>IFERROR(__xludf.DUMMYFUNCTION("""COMPUTED_VALUE"""),"")</f>
        <v/>
      </c>
      <c r="G8578" s="18"/>
      <c r="H8578" s="16" t="s">
        <v>87</v>
      </c>
      <c r="I8578" s="16" t="s">
        <v>87</v>
      </c>
      <c r="J8578" s="19"/>
      <c r="L8578" s="16" t="str">
        <f>IFERROR(__xludf.DUMMYFUNCTION("""COMPUTED_VALUE"""),"")</f>
        <v/>
      </c>
      <c r="M8578" s="16" t="str">
        <f>IFERROR(__xludf.DUMMYFUNCTION("""COMPUTED_VALUE"""),"")</f>
        <v/>
      </c>
      <c r="U8578" s="16" t="s">
        <v>87</v>
      </c>
      <c r="V8578" s="16" t="str">
        <f>IFERROR(__xludf.DUMMYFUNCTION("""COMPUTED_VALUE"""),"")</f>
        <v/>
      </c>
      <c r="W8578" s="16" t="str">
        <f>IFERROR(__xludf.DUMMYFUNCTION("""COMPUTED_VALUE"""),"")</f>
        <v/>
      </c>
      <c r="X8578" s="16" t="str">
        <f>IFERROR(__xludf.DUMMYFUNCTION("""COMPUTED_VALUE"""),"")</f>
        <v/>
      </c>
      <c r="AC8578" s="16" t="str">
        <f>IFERROR(__xludf.DUMMYFUNCTION("""COMPUTED_VALUE"""),"")</f>
        <v/>
      </c>
    </row>
    <row r="8579">
      <c r="A8579" s="16" t="s">
        <v>87</v>
      </c>
      <c r="E8579" s="16" t="str">
        <f>IFERROR(__xludf.DUMMYFUNCTION("""COMPUTED_VALUE"""),"")</f>
        <v/>
      </c>
      <c r="G8579" s="18"/>
      <c r="H8579" s="16" t="s">
        <v>87</v>
      </c>
      <c r="I8579" s="16" t="s">
        <v>87</v>
      </c>
      <c r="J8579" s="19"/>
      <c r="L8579" s="16" t="str">
        <f>IFERROR(__xludf.DUMMYFUNCTION("""COMPUTED_VALUE"""),"")</f>
        <v/>
      </c>
      <c r="M8579" s="16" t="str">
        <f>IFERROR(__xludf.DUMMYFUNCTION("""COMPUTED_VALUE"""),"")</f>
        <v/>
      </c>
      <c r="U8579" s="16" t="s">
        <v>87</v>
      </c>
      <c r="V8579" s="16" t="str">
        <f>IFERROR(__xludf.DUMMYFUNCTION("""COMPUTED_VALUE"""),"")</f>
        <v/>
      </c>
      <c r="W8579" s="16" t="str">
        <f>IFERROR(__xludf.DUMMYFUNCTION("""COMPUTED_VALUE"""),"")</f>
        <v/>
      </c>
      <c r="X8579" s="16" t="str">
        <f>IFERROR(__xludf.DUMMYFUNCTION("""COMPUTED_VALUE"""),"")</f>
        <v/>
      </c>
      <c r="AC8579" s="16" t="str">
        <f>IFERROR(__xludf.DUMMYFUNCTION("""COMPUTED_VALUE"""),"")</f>
        <v/>
      </c>
    </row>
    <row r="8580">
      <c r="A8580" s="16" t="s">
        <v>87</v>
      </c>
      <c r="E8580" s="16" t="str">
        <f>IFERROR(__xludf.DUMMYFUNCTION("""COMPUTED_VALUE"""),"")</f>
        <v/>
      </c>
      <c r="G8580" s="18"/>
      <c r="H8580" s="16" t="s">
        <v>87</v>
      </c>
      <c r="I8580" s="16" t="s">
        <v>87</v>
      </c>
      <c r="J8580" s="19"/>
      <c r="L8580" s="16" t="str">
        <f>IFERROR(__xludf.DUMMYFUNCTION("""COMPUTED_VALUE"""),"")</f>
        <v/>
      </c>
      <c r="M8580" s="16" t="str">
        <f>IFERROR(__xludf.DUMMYFUNCTION("""COMPUTED_VALUE"""),"")</f>
        <v/>
      </c>
      <c r="U8580" s="16" t="s">
        <v>87</v>
      </c>
      <c r="V8580" s="16" t="str">
        <f>IFERROR(__xludf.DUMMYFUNCTION("""COMPUTED_VALUE"""),"")</f>
        <v/>
      </c>
      <c r="W8580" s="16" t="str">
        <f>IFERROR(__xludf.DUMMYFUNCTION("""COMPUTED_VALUE"""),"")</f>
        <v/>
      </c>
      <c r="X8580" s="16" t="str">
        <f>IFERROR(__xludf.DUMMYFUNCTION("""COMPUTED_VALUE"""),"")</f>
        <v/>
      </c>
      <c r="AC8580" s="16" t="str">
        <f>IFERROR(__xludf.DUMMYFUNCTION("""COMPUTED_VALUE"""),"")</f>
        <v/>
      </c>
    </row>
    <row r="8581">
      <c r="A8581" s="16" t="s">
        <v>87</v>
      </c>
      <c r="E8581" s="16" t="str">
        <f>IFERROR(__xludf.DUMMYFUNCTION("""COMPUTED_VALUE"""),"")</f>
        <v/>
      </c>
      <c r="G8581" s="18"/>
      <c r="H8581" s="16" t="s">
        <v>87</v>
      </c>
      <c r="I8581" s="16" t="s">
        <v>87</v>
      </c>
      <c r="J8581" s="19"/>
      <c r="L8581" s="16" t="str">
        <f>IFERROR(__xludf.DUMMYFUNCTION("""COMPUTED_VALUE"""),"")</f>
        <v/>
      </c>
      <c r="M8581" s="16" t="str">
        <f>IFERROR(__xludf.DUMMYFUNCTION("""COMPUTED_VALUE"""),"")</f>
        <v/>
      </c>
      <c r="U8581" s="16" t="s">
        <v>87</v>
      </c>
      <c r="V8581" s="16" t="str">
        <f>IFERROR(__xludf.DUMMYFUNCTION("""COMPUTED_VALUE"""),"")</f>
        <v/>
      </c>
      <c r="W8581" s="16" t="str">
        <f>IFERROR(__xludf.DUMMYFUNCTION("""COMPUTED_VALUE"""),"")</f>
        <v/>
      </c>
      <c r="X8581" s="16" t="str">
        <f>IFERROR(__xludf.DUMMYFUNCTION("""COMPUTED_VALUE"""),"")</f>
        <v/>
      </c>
      <c r="AC8581" s="16" t="str">
        <f>IFERROR(__xludf.DUMMYFUNCTION("""COMPUTED_VALUE"""),"")</f>
        <v/>
      </c>
    </row>
    <row r="8582">
      <c r="A8582" s="16" t="s">
        <v>87</v>
      </c>
      <c r="E8582" s="16" t="str">
        <f>IFERROR(__xludf.DUMMYFUNCTION("""COMPUTED_VALUE"""),"")</f>
        <v/>
      </c>
      <c r="G8582" s="18"/>
      <c r="H8582" s="16" t="s">
        <v>87</v>
      </c>
      <c r="I8582" s="16" t="s">
        <v>87</v>
      </c>
      <c r="J8582" s="19"/>
      <c r="L8582" s="16" t="str">
        <f>IFERROR(__xludf.DUMMYFUNCTION("""COMPUTED_VALUE"""),"")</f>
        <v/>
      </c>
      <c r="M8582" s="16" t="str">
        <f>IFERROR(__xludf.DUMMYFUNCTION("""COMPUTED_VALUE"""),"")</f>
        <v/>
      </c>
      <c r="U8582" s="16" t="s">
        <v>87</v>
      </c>
      <c r="V8582" s="16" t="str">
        <f>IFERROR(__xludf.DUMMYFUNCTION("""COMPUTED_VALUE"""),"")</f>
        <v/>
      </c>
      <c r="W8582" s="16" t="str">
        <f>IFERROR(__xludf.DUMMYFUNCTION("""COMPUTED_VALUE"""),"")</f>
        <v/>
      </c>
      <c r="X8582" s="16" t="str">
        <f>IFERROR(__xludf.DUMMYFUNCTION("""COMPUTED_VALUE"""),"")</f>
        <v/>
      </c>
      <c r="AC8582" s="16" t="str">
        <f>IFERROR(__xludf.DUMMYFUNCTION("""COMPUTED_VALUE"""),"")</f>
        <v/>
      </c>
    </row>
    <row r="8583">
      <c r="A8583" s="16" t="s">
        <v>87</v>
      </c>
      <c r="E8583" s="16" t="str">
        <f>IFERROR(__xludf.DUMMYFUNCTION("""COMPUTED_VALUE"""),"")</f>
        <v/>
      </c>
      <c r="G8583" s="18"/>
      <c r="H8583" s="16" t="s">
        <v>87</v>
      </c>
      <c r="I8583" s="16" t="s">
        <v>87</v>
      </c>
      <c r="J8583" s="19"/>
      <c r="L8583" s="16" t="str">
        <f>IFERROR(__xludf.DUMMYFUNCTION("""COMPUTED_VALUE"""),"")</f>
        <v/>
      </c>
      <c r="M8583" s="16" t="str">
        <f>IFERROR(__xludf.DUMMYFUNCTION("""COMPUTED_VALUE"""),"")</f>
        <v/>
      </c>
      <c r="U8583" s="16" t="s">
        <v>87</v>
      </c>
      <c r="V8583" s="16" t="str">
        <f>IFERROR(__xludf.DUMMYFUNCTION("""COMPUTED_VALUE"""),"")</f>
        <v/>
      </c>
      <c r="W8583" s="16" t="str">
        <f>IFERROR(__xludf.DUMMYFUNCTION("""COMPUTED_VALUE"""),"")</f>
        <v/>
      </c>
      <c r="X8583" s="16" t="str">
        <f>IFERROR(__xludf.DUMMYFUNCTION("""COMPUTED_VALUE"""),"")</f>
        <v/>
      </c>
      <c r="AC8583" s="16" t="str">
        <f>IFERROR(__xludf.DUMMYFUNCTION("""COMPUTED_VALUE"""),"")</f>
        <v/>
      </c>
    </row>
    <row r="8584">
      <c r="A8584" s="16" t="s">
        <v>87</v>
      </c>
      <c r="E8584" s="16" t="str">
        <f>IFERROR(__xludf.DUMMYFUNCTION("""COMPUTED_VALUE"""),"")</f>
        <v/>
      </c>
      <c r="G8584" s="18"/>
      <c r="H8584" s="16" t="s">
        <v>87</v>
      </c>
      <c r="I8584" s="16" t="s">
        <v>87</v>
      </c>
      <c r="J8584" s="19"/>
      <c r="L8584" s="16" t="str">
        <f>IFERROR(__xludf.DUMMYFUNCTION("""COMPUTED_VALUE"""),"")</f>
        <v/>
      </c>
      <c r="M8584" s="16" t="str">
        <f>IFERROR(__xludf.DUMMYFUNCTION("""COMPUTED_VALUE"""),"")</f>
        <v/>
      </c>
      <c r="U8584" s="16" t="s">
        <v>87</v>
      </c>
      <c r="V8584" s="16" t="str">
        <f>IFERROR(__xludf.DUMMYFUNCTION("""COMPUTED_VALUE"""),"")</f>
        <v/>
      </c>
      <c r="W8584" s="16" t="str">
        <f>IFERROR(__xludf.DUMMYFUNCTION("""COMPUTED_VALUE"""),"")</f>
        <v/>
      </c>
      <c r="X8584" s="16" t="str">
        <f>IFERROR(__xludf.DUMMYFUNCTION("""COMPUTED_VALUE"""),"")</f>
        <v/>
      </c>
      <c r="AC8584" s="16" t="str">
        <f>IFERROR(__xludf.DUMMYFUNCTION("""COMPUTED_VALUE"""),"")</f>
        <v/>
      </c>
    </row>
    <row r="8585">
      <c r="A8585" s="16" t="s">
        <v>87</v>
      </c>
      <c r="E8585" s="16" t="str">
        <f>IFERROR(__xludf.DUMMYFUNCTION("""COMPUTED_VALUE"""),"")</f>
        <v/>
      </c>
      <c r="G8585" s="18"/>
      <c r="H8585" s="16" t="s">
        <v>87</v>
      </c>
      <c r="I8585" s="16" t="s">
        <v>87</v>
      </c>
      <c r="J8585" s="19"/>
      <c r="L8585" s="16" t="str">
        <f>IFERROR(__xludf.DUMMYFUNCTION("""COMPUTED_VALUE"""),"")</f>
        <v/>
      </c>
      <c r="M8585" s="16" t="str">
        <f>IFERROR(__xludf.DUMMYFUNCTION("""COMPUTED_VALUE"""),"")</f>
        <v/>
      </c>
      <c r="U8585" s="16" t="s">
        <v>87</v>
      </c>
      <c r="V8585" s="16" t="str">
        <f>IFERROR(__xludf.DUMMYFUNCTION("""COMPUTED_VALUE"""),"")</f>
        <v/>
      </c>
      <c r="W8585" s="16" t="str">
        <f>IFERROR(__xludf.DUMMYFUNCTION("""COMPUTED_VALUE"""),"")</f>
        <v/>
      </c>
      <c r="X8585" s="16" t="str">
        <f>IFERROR(__xludf.DUMMYFUNCTION("""COMPUTED_VALUE"""),"")</f>
        <v/>
      </c>
      <c r="AC8585" s="16" t="str">
        <f>IFERROR(__xludf.DUMMYFUNCTION("""COMPUTED_VALUE"""),"")</f>
        <v/>
      </c>
    </row>
    <row r="8586">
      <c r="A8586" s="16" t="s">
        <v>87</v>
      </c>
      <c r="E8586" s="16" t="str">
        <f>IFERROR(__xludf.DUMMYFUNCTION("""COMPUTED_VALUE"""),"")</f>
        <v/>
      </c>
      <c r="G8586" s="18"/>
      <c r="H8586" s="16" t="s">
        <v>87</v>
      </c>
      <c r="I8586" s="16" t="s">
        <v>87</v>
      </c>
      <c r="J8586" s="19"/>
      <c r="L8586" s="16" t="str">
        <f>IFERROR(__xludf.DUMMYFUNCTION("""COMPUTED_VALUE"""),"")</f>
        <v/>
      </c>
      <c r="M8586" s="16" t="str">
        <f>IFERROR(__xludf.DUMMYFUNCTION("""COMPUTED_VALUE"""),"")</f>
        <v/>
      </c>
      <c r="U8586" s="16" t="s">
        <v>87</v>
      </c>
      <c r="V8586" s="16" t="str">
        <f>IFERROR(__xludf.DUMMYFUNCTION("""COMPUTED_VALUE"""),"")</f>
        <v/>
      </c>
      <c r="W8586" s="16" t="str">
        <f>IFERROR(__xludf.DUMMYFUNCTION("""COMPUTED_VALUE"""),"")</f>
        <v/>
      </c>
      <c r="X8586" s="16" t="str">
        <f>IFERROR(__xludf.DUMMYFUNCTION("""COMPUTED_VALUE"""),"")</f>
        <v/>
      </c>
      <c r="AC8586" s="16" t="str">
        <f>IFERROR(__xludf.DUMMYFUNCTION("""COMPUTED_VALUE"""),"")</f>
        <v/>
      </c>
    </row>
    <row r="8587">
      <c r="A8587" s="16" t="s">
        <v>87</v>
      </c>
      <c r="E8587" s="16" t="str">
        <f>IFERROR(__xludf.DUMMYFUNCTION("""COMPUTED_VALUE"""),"")</f>
        <v/>
      </c>
      <c r="G8587" s="18"/>
      <c r="H8587" s="16" t="s">
        <v>87</v>
      </c>
      <c r="I8587" s="16" t="s">
        <v>87</v>
      </c>
      <c r="J8587" s="19"/>
      <c r="L8587" s="16" t="str">
        <f>IFERROR(__xludf.DUMMYFUNCTION("""COMPUTED_VALUE"""),"")</f>
        <v/>
      </c>
      <c r="M8587" s="16" t="str">
        <f>IFERROR(__xludf.DUMMYFUNCTION("""COMPUTED_VALUE"""),"")</f>
        <v/>
      </c>
      <c r="U8587" s="16" t="s">
        <v>87</v>
      </c>
      <c r="V8587" s="16" t="str">
        <f>IFERROR(__xludf.DUMMYFUNCTION("""COMPUTED_VALUE"""),"")</f>
        <v/>
      </c>
      <c r="W8587" s="16" t="str">
        <f>IFERROR(__xludf.DUMMYFUNCTION("""COMPUTED_VALUE"""),"")</f>
        <v/>
      </c>
      <c r="X8587" s="16" t="str">
        <f>IFERROR(__xludf.DUMMYFUNCTION("""COMPUTED_VALUE"""),"")</f>
        <v/>
      </c>
      <c r="AC8587" s="16" t="str">
        <f>IFERROR(__xludf.DUMMYFUNCTION("""COMPUTED_VALUE"""),"")</f>
        <v/>
      </c>
    </row>
    <row r="8588">
      <c r="A8588" s="16" t="s">
        <v>87</v>
      </c>
      <c r="E8588" s="16" t="str">
        <f>IFERROR(__xludf.DUMMYFUNCTION("""COMPUTED_VALUE"""),"")</f>
        <v/>
      </c>
      <c r="G8588" s="18"/>
      <c r="H8588" s="16" t="s">
        <v>87</v>
      </c>
      <c r="I8588" s="16" t="s">
        <v>87</v>
      </c>
      <c r="J8588" s="19"/>
      <c r="L8588" s="16" t="str">
        <f>IFERROR(__xludf.DUMMYFUNCTION("""COMPUTED_VALUE"""),"")</f>
        <v/>
      </c>
      <c r="M8588" s="16" t="str">
        <f>IFERROR(__xludf.DUMMYFUNCTION("""COMPUTED_VALUE"""),"")</f>
        <v/>
      </c>
      <c r="U8588" s="16" t="s">
        <v>87</v>
      </c>
      <c r="V8588" s="16" t="str">
        <f>IFERROR(__xludf.DUMMYFUNCTION("""COMPUTED_VALUE"""),"")</f>
        <v/>
      </c>
      <c r="W8588" s="16" t="str">
        <f>IFERROR(__xludf.DUMMYFUNCTION("""COMPUTED_VALUE"""),"")</f>
        <v/>
      </c>
      <c r="X8588" s="16" t="str">
        <f>IFERROR(__xludf.DUMMYFUNCTION("""COMPUTED_VALUE"""),"")</f>
        <v/>
      </c>
      <c r="AC8588" s="16" t="str">
        <f>IFERROR(__xludf.DUMMYFUNCTION("""COMPUTED_VALUE"""),"")</f>
        <v/>
      </c>
    </row>
    <row r="8589">
      <c r="A8589" s="16" t="s">
        <v>87</v>
      </c>
      <c r="E8589" s="16" t="str">
        <f>IFERROR(__xludf.DUMMYFUNCTION("""COMPUTED_VALUE"""),"")</f>
        <v/>
      </c>
      <c r="G8589" s="18"/>
      <c r="H8589" s="16" t="s">
        <v>87</v>
      </c>
      <c r="I8589" s="16" t="s">
        <v>87</v>
      </c>
      <c r="J8589" s="19"/>
      <c r="L8589" s="16" t="str">
        <f>IFERROR(__xludf.DUMMYFUNCTION("""COMPUTED_VALUE"""),"")</f>
        <v/>
      </c>
      <c r="M8589" s="16" t="str">
        <f>IFERROR(__xludf.DUMMYFUNCTION("""COMPUTED_VALUE"""),"")</f>
        <v/>
      </c>
      <c r="U8589" s="16" t="s">
        <v>87</v>
      </c>
      <c r="V8589" s="16" t="str">
        <f>IFERROR(__xludf.DUMMYFUNCTION("""COMPUTED_VALUE"""),"")</f>
        <v/>
      </c>
      <c r="W8589" s="16" t="str">
        <f>IFERROR(__xludf.DUMMYFUNCTION("""COMPUTED_VALUE"""),"")</f>
        <v/>
      </c>
      <c r="X8589" s="16" t="str">
        <f>IFERROR(__xludf.DUMMYFUNCTION("""COMPUTED_VALUE"""),"")</f>
        <v/>
      </c>
      <c r="AC8589" s="16" t="str">
        <f>IFERROR(__xludf.DUMMYFUNCTION("""COMPUTED_VALUE"""),"")</f>
        <v/>
      </c>
    </row>
    <row r="8590">
      <c r="A8590" s="16" t="s">
        <v>87</v>
      </c>
      <c r="E8590" s="16" t="str">
        <f>IFERROR(__xludf.DUMMYFUNCTION("""COMPUTED_VALUE"""),"")</f>
        <v/>
      </c>
      <c r="G8590" s="18"/>
      <c r="H8590" s="16" t="s">
        <v>87</v>
      </c>
      <c r="I8590" s="16" t="s">
        <v>87</v>
      </c>
      <c r="J8590" s="19"/>
      <c r="L8590" s="16" t="str">
        <f>IFERROR(__xludf.DUMMYFUNCTION("""COMPUTED_VALUE"""),"")</f>
        <v/>
      </c>
      <c r="M8590" s="16" t="str">
        <f>IFERROR(__xludf.DUMMYFUNCTION("""COMPUTED_VALUE"""),"")</f>
        <v/>
      </c>
      <c r="U8590" s="16" t="s">
        <v>87</v>
      </c>
      <c r="V8590" s="16" t="str">
        <f>IFERROR(__xludf.DUMMYFUNCTION("""COMPUTED_VALUE"""),"")</f>
        <v/>
      </c>
      <c r="W8590" s="16" t="str">
        <f>IFERROR(__xludf.DUMMYFUNCTION("""COMPUTED_VALUE"""),"")</f>
        <v/>
      </c>
      <c r="X8590" s="16" t="str">
        <f>IFERROR(__xludf.DUMMYFUNCTION("""COMPUTED_VALUE"""),"")</f>
        <v/>
      </c>
      <c r="AC8590" s="16" t="str">
        <f>IFERROR(__xludf.DUMMYFUNCTION("""COMPUTED_VALUE"""),"")</f>
        <v/>
      </c>
    </row>
    <row r="8591">
      <c r="A8591" s="16" t="s">
        <v>87</v>
      </c>
      <c r="E8591" s="16" t="str">
        <f>IFERROR(__xludf.DUMMYFUNCTION("""COMPUTED_VALUE"""),"")</f>
        <v/>
      </c>
      <c r="G8591" s="18"/>
      <c r="H8591" s="16" t="s">
        <v>87</v>
      </c>
      <c r="I8591" s="16" t="s">
        <v>87</v>
      </c>
      <c r="J8591" s="19"/>
      <c r="L8591" s="16" t="str">
        <f>IFERROR(__xludf.DUMMYFUNCTION("""COMPUTED_VALUE"""),"")</f>
        <v/>
      </c>
      <c r="M8591" s="16" t="str">
        <f>IFERROR(__xludf.DUMMYFUNCTION("""COMPUTED_VALUE"""),"")</f>
        <v/>
      </c>
      <c r="U8591" s="16" t="s">
        <v>87</v>
      </c>
      <c r="V8591" s="16" t="str">
        <f>IFERROR(__xludf.DUMMYFUNCTION("""COMPUTED_VALUE"""),"")</f>
        <v/>
      </c>
      <c r="W8591" s="16" t="str">
        <f>IFERROR(__xludf.DUMMYFUNCTION("""COMPUTED_VALUE"""),"")</f>
        <v/>
      </c>
      <c r="X8591" s="16" t="str">
        <f>IFERROR(__xludf.DUMMYFUNCTION("""COMPUTED_VALUE"""),"")</f>
        <v/>
      </c>
      <c r="AC8591" s="16" t="str">
        <f>IFERROR(__xludf.DUMMYFUNCTION("""COMPUTED_VALUE"""),"")</f>
        <v/>
      </c>
    </row>
    <row r="8592">
      <c r="A8592" s="16" t="s">
        <v>87</v>
      </c>
      <c r="E8592" s="16" t="str">
        <f>IFERROR(__xludf.DUMMYFUNCTION("""COMPUTED_VALUE"""),"")</f>
        <v/>
      </c>
      <c r="G8592" s="18"/>
      <c r="H8592" s="16" t="s">
        <v>87</v>
      </c>
      <c r="I8592" s="16" t="s">
        <v>87</v>
      </c>
      <c r="J8592" s="19"/>
      <c r="L8592" s="16" t="str">
        <f>IFERROR(__xludf.DUMMYFUNCTION("""COMPUTED_VALUE"""),"")</f>
        <v/>
      </c>
      <c r="M8592" s="16" t="str">
        <f>IFERROR(__xludf.DUMMYFUNCTION("""COMPUTED_VALUE"""),"")</f>
        <v/>
      </c>
      <c r="U8592" s="16" t="s">
        <v>87</v>
      </c>
      <c r="V8592" s="16" t="str">
        <f>IFERROR(__xludf.DUMMYFUNCTION("""COMPUTED_VALUE"""),"")</f>
        <v/>
      </c>
      <c r="W8592" s="16" t="str">
        <f>IFERROR(__xludf.DUMMYFUNCTION("""COMPUTED_VALUE"""),"")</f>
        <v/>
      </c>
      <c r="X8592" s="16" t="str">
        <f>IFERROR(__xludf.DUMMYFUNCTION("""COMPUTED_VALUE"""),"")</f>
        <v/>
      </c>
      <c r="AC8592" s="16" t="str">
        <f>IFERROR(__xludf.DUMMYFUNCTION("""COMPUTED_VALUE"""),"")</f>
        <v/>
      </c>
    </row>
    <row r="8593">
      <c r="A8593" s="16" t="s">
        <v>87</v>
      </c>
      <c r="E8593" s="16" t="str">
        <f>IFERROR(__xludf.DUMMYFUNCTION("""COMPUTED_VALUE"""),"")</f>
        <v/>
      </c>
      <c r="G8593" s="18"/>
      <c r="H8593" s="16" t="s">
        <v>87</v>
      </c>
      <c r="I8593" s="16" t="s">
        <v>87</v>
      </c>
      <c r="J8593" s="19"/>
      <c r="L8593" s="16" t="str">
        <f>IFERROR(__xludf.DUMMYFUNCTION("""COMPUTED_VALUE"""),"")</f>
        <v/>
      </c>
      <c r="M8593" s="16" t="str">
        <f>IFERROR(__xludf.DUMMYFUNCTION("""COMPUTED_VALUE"""),"")</f>
        <v/>
      </c>
      <c r="U8593" s="16" t="s">
        <v>87</v>
      </c>
      <c r="V8593" s="16" t="str">
        <f>IFERROR(__xludf.DUMMYFUNCTION("""COMPUTED_VALUE"""),"")</f>
        <v/>
      </c>
      <c r="W8593" s="16" t="str">
        <f>IFERROR(__xludf.DUMMYFUNCTION("""COMPUTED_VALUE"""),"")</f>
        <v/>
      </c>
      <c r="X8593" s="16" t="str">
        <f>IFERROR(__xludf.DUMMYFUNCTION("""COMPUTED_VALUE"""),"")</f>
        <v/>
      </c>
      <c r="AC8593" s="16" t="str">
        <f>IFERROR(__xludf.DUMMYFUNCTION("""COMPUTED_VALUE"""),"")</f>
        <v/>
      </c>
    </row>
    <row r="8594">
      <c r="A8594" s="16" t="s">
        <v>87</v>
      </c>
      <c r="E8594" s="16" t="str">
        <f>IFERROR(__xludf.DUMMYFUNCTION("""COMPUTED_VALUE"""),"")</f>
        <v/>
      </c>
      <c r="G8594" s="18"/>
      <c r="H8594" s="16" t="s">
        <v>87</v>
      </c>
      <c r="I8594" s="16" t="s">
        <v>87</v>
      </c>
      <c r="J8594" s="19"/>
      <c r="L8594" s="16" t="str">
        <f>IFERROR(__xludf.DUMMYFUNCTION("""COMPUTED_VALUE"""),"")</f>
        <v/>
      </c>
      <c r="M8594" s="16" t="str">
        <f>IFERROR(__xludf.DUMMYFUNCTION("""COMPUTED_VALUE"""),"")</f>
        <v/>
      </c>
      <c r="U8594" s="16" t="s">
        <v>87</v>
      </c>
      <c r="V8594" s="16" t="str">
        <f>IFERROR(__xludf.DUMMYFUNCTION("""COMPUTED_VALUE"""),"")</f>
        <v/>
      </c>
      <c r="W8594" s="16" t="str">
        <f>IFERROR(__xludf.DUMMYFUNCTION("""COMPUTED_VALUE"""),"")</f>
        <v/>
      </c>
      <c r="X8594" s="16" t="str">
        <f>IFERROR(__xludf.DUMMYFUNCTION("""COMPUTED_VALUE"""),"")</f>
        <v/>
      </c>
      <c r="AC8594" s="16" t="str">
        <f>IFERROR(__xludf.DUMMYFUNCTION("""COMPUTED_VALUE"""),"")</f>
        <v/>
      </c>
    </row>
    <row r="8595">
      <c r="A8595" s="16" t="s">
        <v>87</v>
      </c>
      <c r="E8595" s="16" t="str">
        <f>IFERROR(__xludf.DUMMYFUNCTION("""COMPUTED_VALUE"""),"")</f>
        <v/>
      </c>
      <c r="G8595" s="18"/>
      <c r="H8595" s="16" t="s">
        <v>87</v>
      </c>
      <c r="I8595" s="16" t="s">
        <v>87</v>
      </c>
      <c r="J8595" s="19"/>
      <c r="L8595" s="16" t="str">
        <f>IFERROR(__xludf.DUMMYFUNCTION("""COMPUTED_VALUE"""),"")</f>
        <v/>
      </c>
      <c r="M8595" s="16" t="str">
        <f>IFERROR(__xludf.DUMMYFUNCTION("""COMPUTED_VALUE"""),"")</f>
        <v/>
      </c>
      <c r="U8595" s="16" t="s">
        <v>87</v>
      </c>
      <c r="V8595" s="16" t="str">
        <f>IFERROR(__xludf.DUMMYFUNCTION("""COMPUTED_VALUE"""),"")</f>
        <v/>
      </c>
      <c r="W8595" s="16" t="str">
        <f>IFERROR(__xludf.DUMMYFUNCTION("""COMPUTED_VALUE"""),"")</f>
        <v/>
      </c>
      <c r="X8595" s="16" t="str">
        <f>IFERROR(__xludf.DUMMYFUNCTION("""COMPUTED_VALUE"""),"")</f>
        <v/>
      </c>
      <c r="AC8595" s="16" t="str">
        <f>IFERROR(__xludf.DUMMYFUNCTION("""COMPUTED_VALUE"""),"")</f>
        <v/>
      </c>
    </row>
    <row r="8596">
      <c r="A8596" s="16" t="s">
        <v>87</v>
      </c>
      <c r="E8596" s="16" t="str">
        <f>IFERROR(__xludf.DUMMYFUNCTION("""COMPUTED_VALUE"""),"")</f>
        <v/>
      </c>
      <c r="G8596" s="18"/>
      <c r="H8596" s="16" t="s">
        <v>87</v>
      </c>
      <c r="I8596" s="16" t="s">
        <v>87</v>
      </c>
      <c r="J8596" s="19"/>
      <c r="L8596" s="16" t="str">
        <f>IFERROR(__xludf.DUMMYFUNCTION("""COMPUTED_VALUE"""),"")</f>
        <v/>
      </c>
      <c r="M8596" s="16" t="str">
        <f>IFERROR(__xludf.DUMMYFUNCTION("""COMPUTED_VALUE"""),"")</f>
        <v/>
      </c>
      <c r="U8596" s="16" t="s">
        <v>87</v>
      </c>
      <c r="V8596" s="16" t="str">
        <f>IFERROR(__xludf.DUMMYFUNCTION("""COMPUTED_VALUE"""),"")</f>
        <v/>
      </c>
      <c r="W8596" s="16" t="str">
        <f>IFERROR(__xludf.DUMMYFUNCTION("""COMPUTED_VALUE"""),"")</f>
        <v/>
      </c>
      <c r="X8596" s="16" t="str">
        <f>IFERROR(__xludf.DUMMYFUNCTION("""COMPUTED_VALUE"""),"")</f>
        <v/>
      </c>
      <c r="AC8596" s="16" t="str">
        <f>IFERROR(__xludf.DUMMYFUNCTION("""COMPUTED_VALUE"""),"")</f>
        <v/>
      </c>
    </row>
    <row r="8597">
      <c r="A8597" s="16" t="s">
        <v>87</v>
      </c>
      <c r="E8597" s="16" t="str">
        <f>IFERROR(__xludf.DUMMYFUNCTION("""COMPUTED_VALUE"""),"")</f>
        <v/>
      </c>
      <c r="G8597" s="18"/>
      <c r="H8597" s="16" t="s">
        <v>87</v>
      </c>
      <c r="I8597" s="16" t="s">
        <v>87</v>
      </c>
      <c r="J8597" s="19"/>
      <c r="L8597" s="16" t="str">
        <f>IFERROR(__xludf.DUMMYFUNCTION("""COMPUTED_VALUE"""),"")</f>
        <v/>
      </c>
      <c r="M8597" s="16" t="str">
        <f>IFERROR(__xludf.DUMMYFUNCTION("""COMPUTED_VALUE"""),"")</f>
        <v/>
      </c>
      <c r="U8597" s="16" t="s">
        <v>87</v>
      </c>
      <c r="V8597" s="16" t="str">
        <f>IFERROR(__xludf.DUMMYFUNCTION("""COMPUTED_VALUE"""),"")</f>
        <v/>
      </c>
      <c r="W8597" s="16" t="str">
        <f>IFERROR(__xludf.DUMMYFUNCTION("""COMPUTED_VALUE"""),"")</f>
        <v/>
      </c>
      <c r="X8597" s="16" t="str">
        <f>IFERROR(__xludf.DUMMYFUNCTION("""COMPUTED_VALUE"""),"")</f>
        <v/>
      </c>
      <c r="AC8597" s="16" t="str">
        <f>IFERROR(__xludf.DUMMYFUNCTION("""COMPUTED_VALUE"""),"")</f>
        <v/>
      </c>
    </row>
    <row r="8598">
      <c r="A8598" s="16" t="s">
        <v>87</v>
      </c>
      <c r="E8598" s="16" t="str">
        <f>IFERROR(__xludf.DUMMYFUNCTION("""COMPUTED_VALUE"""),"")</f>
        <v/>
      </c>
      <c r="G8598" s="18"/>
      <c r="H8598" s="16" t="s">
        <v>87</v>
      </c>
      <c r="I8598" s="16" t="s">
        <v>87</v>
      </c>
      <c r="J8598" s="19"/>
      <c r="L8598" s="16" t="str">
        <f>IFERROR(__xludf.DUMMYFUNCTION("""COMPUTED_VALUE"""),"")</f>
        <v/>
      </c>
      <c r="M8598" s="16" t="str">
        <f>IFERROR(__xludf.DUMMYFUNCTION("""COMPUTED_VALUE"""),"")</f>
        <v/>
      </c>
      <c r="U8598" s="16" t="s">
        <v>87</v>
      </c>
      <c r="V8598" s="16" t="str">
        <f>IFERROR(__xludf.DUMMYFUNCTION("""COMPUTED_VALUE"""),"")</f>
        <v/>
      </c>
      <c r="W8598" s="16" t="str">
        <f>IFERROR(__xludf.DUMMYFUNCTION("""COMPUTED_VALUE"""),"")</f>
        <v/>
      </c>
      <c r="X8598" s="16" t="str">
        <f>IFERROR(__xludf.DUMMYFUNCTION("""COMPUTED_VALUE"""),"")</f>
        <v/>
      </c>
      <c r="AC8598" s="16" t="str">
        <f>IFERROR(__xludf.DUMMYFUNCTION("""COMPUTED_VALUE"""),"")</f>
        <v/>
      </c>
    </row>
    <row r="8599">
      <c r="A8599" s="16" t="s">
        <v>87</v>
      </c>
      <c r="E8599" s="16" t="str">
        <f>IFERROR(__xludf.DUMMYFUNCTION("""COMPUTED_VALUE"""),"")</f>
        <v/>
      </c>
      <c r="G8599" s="18"/>
      <c r="H8599" s="16" t="s">
        <v>87</v>
      </c>
      <c r="I8599" s="16" t="s">
        <v>87</v>
      </c>
      <c r="J8599" s="19"/>
      <c r="L8599" s="16" t="str">
        <f>IFERROR(__xludf.DUMMYFUNCTION("""COMPUTED_VALUE"""),"")</f>
        <v/>
      </c>
      <c r="M8599" s="16" t="str">
        <f>IFERROR(__xludf.DUMMYFUNCTION("""COMPUTED_VALUE"""),"")</f>
        <v/>
      </c>
      <c r="U8599" s="16" t="s">
        <v>87</v>
      </c>
      <c r="V8599" s="16" t="str">
        <f>IFERROR(__xludf.DUMMYFUNCTION("""COMPUTED_VALUE"""),"")</f>
        <v/>
      </c>
      <c r="W8599" s="16" t="str">
        <f>IFERROR(__xludf.DUMMYFUNCTION("""COMPUTED_VALUE"""),"")</f>
        <v/>
      </c>
      <c r="X8599" s="16" t="str">
        <f>IFERROR(__xludf.DUMMYFUNCTION("""COMPUTED_VALUE"""),"")</f>
        <v/>
      </c>
      <c r="AC8599" s="16" t="str">
        <f>IFERROR(__xludf.DUMMYFUNCTION("""COMPUTED_VALUE"""),"")</f>
        <v/>
      </c>
    </row>
    <row r="8600">
      <c r="A8600" s="16" t="s">
        <v>87</v>
      </c>
      <c r="E8600" s="16" t="str">
        <f>IFERROR(__xludf.DUMMYFUNCTION("""COMPUTED_VALUE"""),"")</f>
        <v/>
      </c>
      <c r="G8600" s="18"/>
      <c r="H8600" s="16" t="s">
        <v>87</v>
      </c>
      <c r="I8600" s="16" t="s">
        <v>87</v>
      </c>
      <c r="J8600" s="19"/>
      <c r="L8600" s="16" t="str">
        <f>IFERROR(__xludf.DUMMYFUNCTION("""COMPUTED_VALUE"""),"")</f>
        <v/>
      </c>
      <c r="M8600" s="16" t="str">
        <f>IFERROR(__xludf.DUMMYFUNCTION("""COMPUTED_VALUE"""),"")</f>
        <v/>
      </c>
      <c r="U8600" s="16" t="s">
        <v>87</v>
      </c>
      <c r="V8600" s="16" t="str">
        <f>IFERROR(__xludf.DUMMYFUNCTION("""COMPUTED_VALUE"""),"")</f>
        <v/>
      </c>
      <c r="W8600" s="16" t="str">
        <f>IFERROR(__xludf.DUMMYFUNCTION("""COMPUTED_VALUE"""),"")</f>
        <v/>
      </c>
      <c r="X8600" s="16" t="str">
        <f>IFERROR(__xludf.DUMMYFUNCTION("""COMPUTED_VALUE"""),"")</f>
        <v/>
      </c>
      <c r="AC8600" s="16" t="str">
        <f>IFERROR(__xludf.DUMMYFUNCTION("""COMPUTED_VALUE"""),"")</f>
        <v/>
      </c>
    </row>
    <row r="8601">
      <c r="A8601" s="16" t="s">
        <v>87</v>
      </c>
      <c r="E8601" s="16" t="str">
        <f>IFERROR(__xludf.DUMMYFUNCTION("""COMPUTED_VALUE"""),"")</f>
        <v/>
      </c>
      <c r="G8601" s="18"/>
      <c r="H8601" s="16" t="s">
        <v>87</v>
      </c>
      <c r="I8601" s="16" t="s">
        <v>87</v>
      </c>
      <c r="J8601" s="19"/>
      <c r="L8601" s="16" t="str">
        <f>IFERROR(__xludf.DUMMYFUNCTION("""COMPUTED_VALUE"""),"")</f>
        <v/>
      </c>
      <c r="M8601" s="16" t="str">
        <f>IFERROR(__xludf.DUMMYFUNCTION("""COMPUTED_VALUE"""),"")</f>
        <v/>
      </c>
      <c r="U8601" s="16" t="s">
        <v>87</v>
      </c>
      <c r="V8601" s="16" t="str">
        <f>IFERROR(__xludf.DUMMYFUNCTION("""COMPUTED_VALUE"""),"")</f>
        <v/>
      </c>
      <c r="W8601" s="16" t="str">
        <f>IFERROR(__xludf.DUMMYFUNCTION("""COMPUTED_VALUE"""),"")</f>
        <v/>
      </c>
      <c r="X8601" s="16" t="str">
        <f>IFERROR(__xludf.DUMMYFUNCTION("""COMPUTED_VALUE"""),"")</f>
        <v/>
      </c>
      <c r="AC8601" s="16" t="str">
        <f>IFERROR(__xludf.DUMMYFUNCTION("""COMPUTED_VALUE"""),"")</f>
        <v/>
      </c>
    </row>
    <row r="8602">
      <c r="A8602" s="16" t="s">
        <v>87</v>
      </c>
      <c r="E8602" s="16" t="str">
        <f>IFERROR(__xludf.DUMMYFUNCTION("""COMPUTED_VALUE"""),"")</f>
        <v/>
      </c>
      <c r="G8602" s="18"/>
      <c r="H8602" s="16" t="s">
        <v>87</v>
      </c>
      <c r="I8602" s="16" t="s">
        <v>87</v>
      </c>
      <c r="J8602" s="19"/>
      <c r="L8602" s="16" t="str">
        <f>IFERROR(__xludf.DUMMYFUNCTION("""COMPUTED_VALUE"""),"")</f>
        <v/>
      </c>
      <c r="M8602" s="16" t="str">
        <f>IFERROR(__xludf.DUMMYFUNCTION("""COMPUTED_VALUE"""),"")</f>
        <v/>
      </c>
      <c r="U8602" s="16" t="s">
        <v>87</v>
      </c>
      <c r="V8602" s="16" t="str">
        <f>IFERROR(__xludf.DUMMYFUNCTION("""COMPUTED_VALUE"""),"")</f>
        <v/>
      </c>
      <c r="W8602" s="16" t="str">
        <f>IFERROR(__xludf.DUMMYFUNCTION("""COMPUTED_VALUE"""),"")</f>
        <v/>
      </c>
      <c r="X8602" s="16" t="str">
        <f>IFERROR(__xludf.DUMMYFUNCTION("""COMPUTED_VALUE"""),"")</f>
        <v/>
      </c>
      <c r="AC8602" s="16" t="str">
        <f>IFERROR(__xludf.DUMMYFUNCTION("""COMPUTED_VALUE"""),"")</f>
        <v/>
      </c>
    </row>
    <row r="8603">
      <c r="A8603" s="16" t="s">
        <v>87</v>
      </c>
      <c r="E8603" s="16" t="str">
        <f>IFERROR(__xludf.DUMMYFUNCTION("""COMPUTED_VALUE"""),"")</f>
        <v/>
      </c>
      <c r="G8603" s="18"/>
      <c r="H8603" s="16" t="s">
        <v>87</v>
      </c>
      <c r="I8603" s="16" t="s">
        <v>87</v>
      </c>
      <c r="J8603" s="19"/>
      <c r="L8603" s="16" t="str">
        <f>IFERROR(__xludf.DUMMYFUNCTION("""COMPUTED_VALUE"""),"")</f>
        <v/>
      </c>
      <c r="M8603" s="16" t="str">
        <f>IFERROR(__xludf.DUMMYFUNCTION("""COMPUTED_VALUE"""),"")</f>
        <v/>
      </c>
      <c r="U8603" s="16" t="s">
        <v>87</v>
      </c>
      <c r="V8603" s="16" t="str">
        <f>IFERROR(__xludf.DUMMYFUNCTION("""COMPUTED_VALUE"""),"")</f>
        <v/>
      </c>
      <c r="W8603" s="16" t="str">
        <f>IFERROR(__xludf.DUMMYFUNCTION("""COMPUTED_VALUE"""),"")</f>
        <v/>
      </c>
      <c r="X8603" s="16" t="str">
        <f>IFERROR(__xludf.DUMMYFUNCTION("""COMPUTED_VALUE"""),"")</f>
        <v/>
      </c>
      <c r="AC8603" s="16" t="str">
        <f>IFERROR(__xludf.DUMMYFUNCTION("""COMPUTED_VALUE"""),"")</f>
        <v/>
      </c>
    </row>
    <row r="8604">
      <c r="A8604" s="16" t="s">
        <v>87</v>
      </c>
      <c r="E8604" s="16" t="str">
        <f>IFERROR(__xludf.DUMMYFUNCTION("""COMPUTED_VALUE"""),"")</f>
        <v/>
      </c>
      <c r="G8604" s="18"/>
      <c r="H8604" s="16" t="s">
        <v>87</v>
      </c>
      <c r="I8604" s="16" t="s">
        <v>87</v>
      </c>
      <c r="J8604" s="19"/>
      <c r="L8604" s="16" t="str">
        <f>IFERROR(__xludf.DUMMYFUNCTION("""COMPUTED_VALUE"""),"")</f>
        <v/>
      </c>
      <c r="M8604" s="16" t="str">
        <f>IFERROR(__xludf.DUMMYFUNCTION("""COMPUTED_VALUE"""),"")</f>
        <v/>
      </c>
      <c r="U8604" s="16" t="s">
        <v>87</v>
      </c>
      <c r="V8604" s="16" t="str">
        <f>IFERROR(__xludf.DUMMYFUNCTION("""COMPUTED_VALUE"""),"")</f>
        <v/>
      </c>
      <c r="W8604" s="16" t="str">
        <f>IFERROR(__xludf.DUMMYFUNCTION("""COMPUTED_VALUE"""),"")</f>
        <v/>
      </c>
      <c r="X8604" s="16" t="str">
        <f>IFERROR(__xludf.DUMMYFUNCTION("""COMPUTED_VALUE"""),"")</f>
        <v/>
      </c>
      <c r="AC8604" s="16" t="str">
        <f>IFERROR(__xludf.DUMMYFUNCTION("""COMPUTED_VALUE"""),"")</f>
        <v/>
      </c>
    </row>
    <row r="8605">
      <c r="A8605" s="16" t="s">
        <v>87</v>
      </c>
      <c r="E8605" s="16" t="str">
        <f>IFERROR(__xludf.DUMMYFUNCTION("""COMPUTED_VALUE"""),"")</f>
        <v/>
      </c>
      <c r="G8605" s="18"/>
      <c r="H8605" s="16" t="s">
        <v>87</v>
      </c>
      <c r="I8605" s="16" t="s">
        <v>87</v>
      </c>
      <c r="J8605" s="19"/>
      <c r="L8605" s="16" t="str">
        <f>IFERROR(__xludf.DUMMYFUNCTION("""COMPUTED_VALUE"""),"")</f>
        <v/>
      </c>
      <c r="M8605" s="16" t="str">
        <f>IFERROR(__xludf.DUMMYFUNCTION("""COMPUTED_VALUE"""),"")</f>
        <v/>
      </c>
      <c r="U8605" s="16" t="s">
        <v>87</v>
      </c>
      <c r="V8605" s="16" t="str">
        <f>IFERROR(__xludf.DUMMYFUNCTION("""COMPUTED_VALUE"""),"")</f>
        <v/>
      </c>
      <c r="W8605" s="16" t="str">
        <f>IFERROR(__xludf.DUMMYFUNCTION("""COMPUTED_VALUE"""),"")</f>
        <v/>
      </c>
      <c r="X8605" s="16" t="str">
        <f>IFERROR(__xludf.DUMMYFUNCTION("""COMPUTED_VALUE"""),"")</f>
        <v/>
      </c>
      <c r="AC8605" s="16" t="str">
        <f>IFERROR(__xludf.DUMMYFUNCTION("""COMPUTED_VALUE"""),"")</f>
        <v/>
      </c>
    </row>
    <row r="8606">
      <c r="A8606" s="16" t="s">
        <v>87</v>
      </c>
      <c r="E8606" s="16" t="str">
        <f>IFERROR(__xludf.DUMMYFUNCTION("""COMPUTED_VALUE"""),"")</f>
        <v/>
      </c>
      <c r="G8606" s="18"/>
      <c r="H8606" s="16" t="s">
        <v>87</v>
      </c>
      <c r="I8606" s="16" t="s">
        <v>87</v>
      </c>
      <c r="J8606" s="19"/>
      <c r="L8606" s="16" t="str">
        <f>IFERROR(__xludf.DUMMYFUNCTION("""COMPUTED_VALUE"""),"")</f>
        <v/>
      </c>
      <c r="M8606" s="16" t="str">
        <f>IFERROR(__xludf.DUMMYFUNCTION("""COMPUTED_VALUE"""),"")</f>
        <v/>
      </c>
      <c r="U8606" s="16" t="s">
        <v>87</v>
      </c>
      <c r="V8606" s="16" t="str">
        <f>IFERROR(__xludf.DUMMYFUNCTION("""COMPUTED_VALUE"""),"")</f>
        <v/>
      </c>
      <c r="W8606" s="16" t="str">
        <f>IFERROR(__xludf.DUMMYFUNCTION("""COMPUTED_VALUE"""),"")</f>
        <v/>
      </c>
      <c r="X8606" s="16" t="str">
        <f>IFERROR(__xludf.DUMMYFUNCTION("""COMPUTED_VALUE"""),"")</f>
        <v/>
      </c>
      <c r="AC8606" s="16" t="str">
        <f>IFERROR(__xludf.DUMMYFUNCTION("""COMPUTED_VALUE"""),"")</f>
        <v/>
      </c>
    </row>
    <row r="8607">
      <c r="A8607" s="16" t="s">
        <v>87</v>
      </c>
      <c r="E8607" s="16" t="str">
        <f>IFERROR(__xludf.DUMMYFUNCTION("""COMPUTED_VALUE"""),"")</f>
        <v/>
      </c>
      <c r="G8607" s="18"/>
      <c r="H8607" s="16" t="s">
        <v>87</v>
      </c>
      <c r="I8607" s="16" t="s">
        <v>87</v>
      </c>
      <c r="J8607" s="19"/>
      <c r="L8607" s="16" t="str">
        <f>IFERROR(__xludf.DUMMYFUNCTION("""COMPUTED_VALUE"""),"")</f>
        <v/>
      </c>
      <c r="M8607" s="16" t="str">
        <f>IFERROR(__xludf.DUMMYFUNCTION("""COMPUTED_VALUE"""),"")</f>
        <v/>
      </c>
      <c r="U8607" s="16" t="s">
        <v>87</v>
      </c>
      <c r="V8607" s="16" t="str">
        <f>IFERROR(__xludf.DUMMYFUNCTION("""COMPUTED_VALUE"""),"")</f>
        <v/>
      </c>
      <c r="W8607" s="16" t="str">
        <f>IFERROR(__xludf.DUMMYFUNCTION("""COMPUTED_VALUE"""),"")</f>
        <v/>
      </c>
      <c r="X8607" s="16" t="str">
        <f>IFERROR(__xludf.DUMMYFUNCTION("""COMPUTED_VALUE"""),"")</f>
        <v/>
      </c>
      <c r="AC8607" s="16" t="str">
        <f>IFERROR(__xludf.DUMMYFUNCTION("""COMPUTED_VALUE"""),"")</f>
        <v/>
      </c>
    </row>
    <row r="8608">
      <c r="A8608" s="16" t="s">
        <v>87</v>
      </c>
      <c r="E8608" s="16" t="str">
        <f>IFERROR(__xludf.DUMMYFUNCTION("""COMPUTED_VALUE"""),"")</f>
        <v/>
      </c>
      <c r="G8608" s="18"/>
      <c r="H8608" s="16" t="s">
        <v>87</v>
      </c>
      <c r="I8608" s="16" t="s">
        <v>87</v>
      </c>
      <c r="J8608" s="19"/>
      <c r="L8608" s="16" t="str">
        <f>IFERROR(__xludf.DUMMYFUNCTION("""COMPUTED_VALUE"""),"")</f>
        <v/>
      </c>
      <c r="M8608" s="16" t="str">
        <f>IFERROR(__xludf.DUMMYFUNCTION("""COMPUTED_VALUE"""),"")</f>
        <v/>
      </c>
      <c r="U8608" s="16" t="s">
        <v>87</v>
      </c>
      <c r="V8608" s="16" t="str">
        <f>IFERROR(__xludf.DUMMYFUNCTION("""COMPUTED_VALUE"""),"")</f>
        <v/>
      </c>
      <c r="W8608" s="16" t="str">
        <f>IFERROR(__xludf.DUMMYFUNCTION("""COMPUTED_VALUE"""),"")</f>
        <v/>
      </c>
      <c r="X8608" s="16" t="str">
        <f>IFERROR(__xludf.DUMMYFUNCTION("""COMPUTED_VALUE"""),"")</f>
        <v/>
      </c>
      <c r="AC8608" s="16" t="str">
        <f>IFERROR(__xludf.DUMMYFUNCTION("""COMPUTED_VALUE"""),"")</f>
        <v/>
      </c>
    </row>
    <row r="8609">
      <c r="A8609" s="16" t="s">
        <v>87</v>
      </c>
      <c r="E8609" s="16" t="str">
        <f>IFERROR(__xludf.DUMMYFUNCTION("""COMPUTED_VALUE"""),"")</f>
        <v/>
      </c>
      <c r="G8609" s="18"/>
      <c r="H8609" s="16" t="s">
        <v>87</v>
      </c>
      <c r="I8609" s="16" t="s">
        <v>87</v>
      </c>
      <c r="J8609" s="19"/>
      <c r="L8609" s="16" t="str">
        <f>IFERROR(__xludf.DUMMYFUNCTION("""COMPUTED_VALUE"""),"")</f>
        <v/>
      </c>
      <c r="M8609" s="16" t="str">
        <f>IFERROR(__xludf.DUMMYFUNCTION("""COMPUTED_VALUE"""),"")</f>
        <v/>
      </c>
      <c r="U8609" s="16" t="s">
        <v>87</v>
      </c>
      <c r="V8609" s="16" t="str">
        <f>IFERROR(__xludf.DUMMYFUNCTION("""COMPUTED_VALUE"""),"")</f>
        <v/>
      </c>
      <c r="W8609" s="16" t="str">
        <f>IFERROR(__xludf.DUMMYFUNCTION("""COMPUTED_VALUE"""),"")</f>
        <v/>
      </c>
      <c r="X8609" s="16" t="str">
        <f>IFERROR(__xludf.DUMMYFUNCTION("""COMPUTED_VALUE"""),"")</f>
        <v/>
      </c>
      <c r="AC8609" s="16" t="str">
        <f>IFERROR(__xludf.DUMMYFUNCTION("""COMPUTED_VALUE"""),"")</f>
        <v/>
      </c>
    </row>
    <row r="8610">
      <c r="A8610" s="16" t="s">
        <v>87</v>
      </c>
      <c r="E8610" s="16" t="str">
        <f>IFERROR(__xludf.DUMMYFUNCTION("""COMPUTED_VALUE"""),"")</f>
        <v/>
      </c>
      <c r="G8610" s="18"/>
      <c r="H8610" s="16" t="s">
        <v>87</v>
      </c>
      <c r="I8610" s="16" t="s">
        <v>87</v>
      </c>
      <c r="J8610" s="19"/>
      <c r="L8610" s="16" t="str">
        <f>IFERROR(__xludf.DUMMYFUNCTION("""COMPUTED_VALUE"""),"")</f>
        <v/>
      </c>
      <c r="M8610" s="16" t="str">
        <f>IFERROR(__xludf.DUMMYFUNCTION("""COMPUTED_VALUE"""),"")</f>
        <v/>
      </c>
      <c r="U8610" s="16" t="s">
        <v>87</v>
      </c>
      <c r="V8610" s="16" t="str">
        <f>IFERROR(__xludf.DUMMYFUNCTION("""COMPUTED_VALUE"""),"")</f>
        <v/>
      </c>
      <c r="W8610" s="16" t="str">
        <f>IFERROR(__xludf.DUMMYFUNCTION("""COMPUTED_VALUE"""),"")</f>
        <v/>
      </c>
      <c r="X8610" s="16" t="str">
        <f>IFERROR(__xludf.DUMMYFUNCTION("""COMPUTED_VALUE"""),"")</f>
        <v/>
      </c>
      <c r="AC8610" s="16" t="str">
        <f>IFERROR(__xludf.DUMMYFUNCTION("""COMPUTED_VALUE"""),"")</f>
        <v/>
      </c>
    </row>
    <row r="8611">
      <c r="A8611" s="16" t="s">
        <v>87</v>
      </c>
      <c r="E8611" s="16" t="str">
        <f>IFERROR(__xludf.DUMMYFUNCTION("""COMPUTED_VALUE"""),"")</f>
        <v/>
      </c>
      <c r="G8611" s="18"/>
      <c r="H8611" s="16" t="s">
        <v>87</v>
      </c>
      <c r="I8611" s="16" t="s">
        <v>87</v>
      </c>
      <c r="J8611" s="19"/>
      <c r="L8611" s="16" t="str">
        <f>IFERROR(__xludf.DUMMYFUNCTION("""COMPUTED_VALUE"""),"")</f>
        <v/>
      </c>
      <c r="M8611" s="16" t="str">
        <f>IFERROR(__xludf.DUMMYFUNCTION("""COMPUTED_VALUE"""),"")</f>
        <v/>
      </c>
      <c r="U8611" s="16" t="s">
        <v>87</v>
      </c>
      <c r="V8611" s="16" t="str">
        <f>IFERROR(__xludf.DUMMYFUNCTION("""COMPUTED_VALUE"""),"")</f>
        <v/>
      </c>
      <c r="W8611" s="16" t="str">
        <f>IFERROR(__xludf.DUMMYFUNCTION("""COMPUTED_VALUE"""),"")</f>
        <v/>
      </c>
      <c r="X8611" s="16" t="str">
        <f>IFERROR(__xludf.DUMMYFUNCTION("""COMPUTED_VALUE"""),"")</f>
        <v/>
      </c>
      <c r="AC8611" s="16" t="str">
        <f>IFERROR(__xludf.DUMMYFUNCTION("""COMPUTED_VALUE"""),"")</f>
        <v/>
      </c>
    </row>
    <row r="8612">
      <c r="A8612" s="16" t="s">
        <v>87</v>
      </c>
      <c r="E8612" s="16" t="str">
        <f>IFERROR(__xludf.DUMMYFUNCTION("""COMPUTED_VALUE"""),"")</f>
        <v/>
      </c>
      <c r="G8612" s="18"/>
      <c r="H8612" s="16" t="s">
        <v>87</v>
      </c>
      <c r="I8612" s="16" t="s">
        <v>87</v>
      </c>
      <c r="J8612" s="19"/>
      <c r="L8612" s="16" t="str">
        <f>IFERROR(__xludf.DUMMYFUNCTION("""COMPUTED_VALUE"""),"")</f>
        <v/>
      </c>
      <c r="M8612" s="16" t="str">
        <f>IFERROR(__xludf.DUMMYFUNCTION("""COMPUTED_VALUE"""),"")</f>
        <v/>
      </c>
      <c r="U8612" s="16" t="s">
        <v>87</v>
      </c>
      <c r="V8612" s="16" t="str">
        <f>IFERROR(__xludf.DUMMYFUNCTION("""COMPUTED_VALUE"""),"")</f>
        <v/>
      </c>
      <c r="W8612" s="16" t="str">
        <f>IFERROR(__xludf.DUMMYFUNCTION("""COMPUTED_VALUE"""),"")</f>
        <v/>
      </c>
      <c r="X8612" s="16" t="str">
        <f>IFERROR(__xludf.DUMMYFUNCTION("""COMPUTED_VALUE"""),"")</f>
        <v/>
      </c>
      <c r="AC8612" s="16" t="str">
        <f>IFERROR(__xludf.DUMMYFUNCTION("""COMPUTED_VALUE"""),"")</f>
        <v/>
      </c>
    </row>
    <row r="8613">
      <c r="A8613" s="16" t="s">
        <v>87</v>
      </c>
      <c r="E8613" s="16" t="str">
        <f>IFERROR(__xludf.DUMMYFUNCTION("""COMPUTED_VALUE"""),"")</f>
        <v/>
      </c>
      <c r="G8613" s="18"/>
      <c r="H8613" s="16" t="s">
        <v>87</v>
      </c>
      <c r="I8613" s="16" t="s">
        <v>87</v>
      </c>
      <c r="J8613" s="19"/>
      <c r="L8613" s="16" t="str">
        <f>IFERROR(__xludf.DUMMYFUNCTION("""COMPUTED_VALUE"""),"")</f>
        <v/>
      </c>
      <c r="M8613" s="16" t="str">
        <f>IFERROR(__xludf.DUMMYFUNCTION("""COMPUTED_VALUE"""),"")</f>
        <v/>
      </c>
      <c r="U8613" s="16" t="s">
        <v>87</v>
      </c>
      <c r="V8613" s="16" t="str">
        <f>IFERROR(__xludf.DUMMYFUNCTION("""COMPUTED_VALUE"""),"")</f>
        <v/>
      </c>
      <c r="W8613" s="16" t="str">
        <f>IFERROR(__xludf.DUMMYFUNCTION("""COMPUTED_VALUE"""),"")</f>
        <v/>
      </c>
      <c r="X8613" s="16" t="str">
        <f>IFERROR(__xludf.DUMMYFUNCTION("""COMPUTED_VALUE"""),"")</f>
        <v/>
      </c>
      <c r="AC8613" s="16" t="str">
        <f>IFERROR(__xludf.DUMMYFUNCTION("""COMPUTED_VALUE"""),"")</f>
        <v/>
      </c>
    </row>
    <row r="8614">
      <c r="A8614" s="16" t="s">
        <v>87</v>
      </c>
      <c r="E8614" s="16" t="str">
        <f>IFERROR(__xludf.DUMMYFUNCTION("""COMPUTED_VALUE"""),"")</f>
        <v/>
      </c>
      <c r="G8614" s="18"/>
      <c r="H8614" s="16" t="s">
        <v>87</v>
      </c>
      <c r="I8614" s="16" t="s">
        <v>87</v>
      </c>
      <c r="J8614" s="19"/>
      <c r="L8614" s="16" t="str">
        <f>IFERROR(__xludf.DUMMYFUNCTION("""COMPUTED_VALUE"""),"")</f>
        <v/>
      </c>
      <c r="M8614" s="16" t="str">
        <f>IFERROR(__xludf.DUMMYFUNCTION("""COMPUTED_VALUE"""),"")</f>
        <v/>
      </c>
      <c r="U8614" s="16" t="s">
        <v>87</v>
      </c>
      <c r="V8614" s="16" t="str">
        <f>IFERROR(__xludf.DUMMYFUNCTION("""COMPUTED_VALUE"""),"")</f>
        <v/>
      </c>
      <c r="W8614" s="16" t="str">
        <f>IFERROR(__xludf.DUMMYFUNCTION("""COMPUTED_VALUE"""),"")</f>
        <v/>
      </c>
      <c r="X8614" s="16" t="str">
        <f>IFERROR(__xludf.DUMMYFUNCTION("""COMPUTED_VALUE"""),"")</f>
        <v/>
      </c>
      <c r="AC8614" s="16" t="str">
        <f>IFERROR(__xludf.DUMMYFUNCTION("""COMPUTED_VALUE"""),"")</f>
        <v/>
      </c>
    </row>
    <row r="8615">
      <c r="A8615" s="16" t="s">
        <v>87</v>
      </c>
      <c r="E8615" s="16" t="str">
        <f>IFERROR(__xludf.DUMMYFUNCTION("""COMPUTED_VALUE"""),"")</f>
        <v/>
      </c>
      <c r="G8615" s="18"/>
      <c r="H8615" s="16" t="s">
        <v>87</v>
      </c>
      <c r="I8615" s="16" t="s">
        <v>87</v>
      </c>
      <c r="J8615" s="19"/>
      <c r="L8615" s="16" t="str">
        <f>IFERROR(__xludf.DUMMYFUNCTION("""COMPUTED_VALUE"""),"")</f>
        <v/>
      </c>
      <c r="M8615" s="16" t="str">
        <f>IFERROR(__xludf.DUMMYFUNCTION("""COMPUTED_VALUE"""),"")</f>
        <v/>
      </c>
      <c r="U8615" s="16" t="s">
        <v>87</v>
      </c>
      <c r="V8615" s="16" t="str">
        <f>IFERROR(__xludf.DUMMYFUNCTION("""COMPUTED_VALUE"""),"")</f>
        <v/>
      </c>
      <c r="W8615" s="16" t="str">
        <f>IFERROR(__xludf.DUMMYFUNCTION("""COMPUTED_VALUE"""),"")</f>
        <v/>
      </c>
      <c r="X8615" s="16" t="str">
        <f>IFERROR(__xludf.DUMMYFUNCTION("""COMPUTED_VALUE"""),"")</f>
        <v/>
      </c>
      <c r="AC8615" s="16" t="str">
        <f>IFERROR(__xludf.DUMMYFUNCTION("""COMPUTED_VALUE"""),"")</f>
        <v/>
      </c>
    </row>
    <row r="8616">
      <c r="A8616" s="16" t="s">
        <v>87</v>
      </c>
      <c r="E8616" s="16" t="str">
        <f>IFERROR(__xludf.DUMMYFUNCTION("""COMPUTED_VALUE"""),"")</f>
        <v/>
      </c>
      <c r="G8616" s="18"/>
      <c r="H8616" s="16" t="s">
        <v>87</v>
      </c>
      <c r="I8616" s="16" t="s">
        <v>87</v>
      </c>
      <c r="J8616" s="19"/>
      <c r="L8616" s="16" t="str">
        <f>IFERROR(__xludf.DUMMYFUNCTION("""COMPUTED_VALUE"""),"")</f>
        <v/>
      </c>
      <c r="M8616" s="16" t="str">
        <f>IFERROR(__xludf.DUMMYFUNCTION("""COMPUTED_VALUE"""),"")</f>
        <v/>
      </c>
      <c r="U8616" s="16" t="s">
        <v>87</v>
      </c>
      <c r="V8616" s="16" t="str">
        <f>IFERROR(__xludf.DUMMYFUNCTION("""COMPUTED_VALUE"""),"")</f>
        <v/>
      </c>
      <c r="W8616" s="16" t="str">
        <f>IFERROR(__xludf.DUMMYFUNCTION("""COMPUTED_VALUE"""),"")</f>
        <v/>
      </c>
      <c r="X8616" s="16" t="str">
        <f>IFERROR(__xludf.DUMMYFUNCTION("""COMPUTED_VALUE"""),"")</f>
        <v/>
      </c>
      <c r="AC8616" s="16" t="str">
        <f>IFERROR(__xludf.DUMMYFUNCTION("""COMPUTED_VALUE"""),"")</f>
        <v/>
      </c>
    </row>
    <row r="8617">
      <c r="A8617" s="16" t="s">
        <v>87</v>
      </c>
      <c r="E8617" s="16" t="str">
        <f>IFERROR(__xludf.DUMMYFUNCTION("""COMPUTED_VALUE"""),"")</f>
        <v/>
      </c>
      <c r="G8617" s="18"/>
      <c r="H8617" s="16" t="s">
        <v>87</v>
      </c>
      <c r="I8617" s="16" t="s">
        <v>87</v>
      </c>
      <c r="J8617" s="19"/>
      <c r="L8617" s="16" t="str">
        <f>IFERROR(__xludf.DUMMYFUNCTION("""COMPUTED_VALUE"""),"")</f>
        <v/>
      </c>
      <c r="M8617" s="16" t="str">
        <f>IFERROR(__xludf.DUMMYFUNCTION("""COMPUTED_VALUE"""),"")</f>
        <v/>
      </c>
      <c r="U8617" s="16" t="s">
        <v>87</v>
      </c>
      <c r="V8617" s="16" t="str">
        <f>IFERROR(__xludf.DUMMYFUNCTION("""COMPUTED_VALUE"""),"")</f>
        <v/>
      </c>
      <c r="W8617" s="16" t="str">
        <f>IFERROR(__xludf.DUMMYFUNCTION("""COMPUTED_VALUE"""),"")</f>
        <v/>
      </c>
      <c r="X8617" s="16" t="str">
        <f>IFERROR(__xludf.DUMMYFUNCTION("""COMPUTED_VALUE"""),"")</f>
        <v/>
      </c>
      <c r="AC8617" s="16" t="str">
        <f>IFERROR(__xludf.DUMMYFUNCTION("""COMPUTED_VALUE"""),"")</f>
        <v/>
      </c>
    </row>
    <row r="8618">
      <c r="A8618" s="16" t="s">
        <v>87</v>
      </c>
      <c r="E8618" s="16" t="str">
        <f>IFERROR(__xludf.DUMMYFUNCTION("""COMPUTED_VALUE"""),"")</f>
        <v/>
      </c>
      <c r="G8618" s="18"/>
      <c r="H8618" s="16" t="s">
        <v>87</v>
      </c>
      <c r="I8618" s="16" t="s">
        <v>87</v>
      </c>
      <c r="J8618" s="19"/>
      <c r="L8618" s="16" t="str">
        <f>IFERROR(__xludf.DUMMYFUNCTION("""COMPUTED_VALUE"""),"")</f>
        <v/>
      </c>
      <c r="M8618" s="16" t="str">
        <f>IFERROR(__xludf.DUMMYFUNCTION("""COMPUTED_VALUE"""),"")</f>
        <v/>
      </c>
      <c r="U8618" s="16" t="s">
        <v>87</v>
      </c>
      <c r="V8618" s="16" t="str">
        <f>IFERROR(__xludf.DUMMYFUNCTION("""COMPUTED_VALUE"""),"")</f>
        <v/>
      </c>
      <c r="W8618" s="16" t="str">
        <f>IFERROR(__xludf.DUMMYFUNCTION("""COMPUTED_VALUE"""),"")</f>
        <v/>
      </c>
      <c r="X8618" s="16" t="str">
        <f>IFERROR(__xludf.DUMMYFUNCTION("""COMPUTED_VALUE"""),"")</f>
        <v/>
      </c>
      <c r="AC8618" s="16" t="str">
        <f>IFERROR(__xludf.DUMMYFUNCTION("""COMPUTED_VALUE"""),"")</f>
        <v/>
      </c>
    </row>
    <row r="8619">
      <c r="A8619" s="16" t="s">
        <v>87</v>
      </c>
      <c r="E8619" s="16" t="str">
        <f>IFERROR(__xludf.DUMMYFUNCTION("""COMPUTED_VALUE"""),"")</f>
        <v/>
      </c>
      <c r="G8619" s="18"/>
      <c r="H8619" s="16" t="s">
        <v>87</v>
      </c>
      <c r="I8619" s="16" t="s">
        <v>87</v>
      </c>
      <c r="J8619" s="19"/>
      <c r="L8619" s="16" t="str">
        <f>IFERROR(__xludf.DUMMYFUNCTION("""COMPUTED_VALUE"""),"")</f>
        <v/>
      </c>
      <c r="M8619" s="16" t="str">
        <f>IFERROR(__xludf.DUMMYFUNCTION("""COMPUTED_VALUE"""),"")</f>
        <v/>
      </c>
      <c r="U8619" s="16" t="s">
        <v>87</v>
      </c>
      <c r="V8619" s="16" t="str">
        <f>IFERROR(__xludf.DUMMYFUNCTION("""COMPUTED_VALUE"""),"")</f>
        <v/>
      </c>
      <c r="W8619" s="16" t="str">
        <f>IFERROR(__xludf.DUMMYFUNCTION("""COMPUTED_VALUE"""),"")</f>
        <v/>
      </c>
      <c r="X8619" s="16" t="str">
        <f>IFERROR(__xludf.DUMMYFUNCTION("""COMPUTED_VALUE"""),"")</f>
        <v/>
      </c>
      <c r="AC8619" s="16" t="str">
        <f>IFERROR(__xludf.DUMMYFUNCTION("""COMPUTED_VALUE"""),"")</f>
        <v/>
      </c>
    </row>
    <row r="8620">
      <c r="A8620" s="16" t="s">
        <v>87</v>
      </c>
      <c r="E8620" s="16" t="str">
        <f>IFERROR(__xludf.DUMMYFUNCTION("""COMPUTED_VALUE"""),"")</f>
        <v/>
      </c>
      <c r="G8620" s="18"/>
      <c r="H8620" s="16" t="s">
        <v>87</v>
      </c>
      <c r="I8620" s="16" t="s">
        <v>87</v>
      </c>
      <c r="J8620" s="19"/>
      <c r="L8620" s="16" t="str">
        <f>IFERROR(__xludf.DUMMYFUNCTION("""COMPUTED_VALUE"""),"")</f>
        <v/>
      </c>
      <c r="M8620" s="16" t="str">
        <f>IFERROR(__xludf.DUMMYFUNCTION("""COMPUTED_VALUE"""),"")</f>
        <v/>
      </c>
      <c r="U8620" s="16" t="s">
        <v>87</v>
      </c>
      <c r="V8620" s="16" t="str">
        <f>IFERROR(__xludf.DUMMYFUNCTION("""COMPUTED_VALUE"""),"")</f>
        <v/>
      </c>
      <c r="W8620" s="16" t="str">
        <f>IFERROR(__xludf.DUMMYFUNCTION("""COMPUTED_VALUE"""),"")</f>
        <v/>
      </c>
      <c r="X8620" s="16" t="str">
        <f>IFERROR(__xludf.DUMMYFUNCTION("""COMPUTED_VALUE"""),"")</f>
        <v/>
      </c>
      <c r="AC8620" s="16" t="str">
        <f>IFERROR(__xludf.DUMMYFUNCTION("""COMPUTED_VALUE"""),"")</f>
        <v/>
      </c>
    </row>
    <row r="8621">
      <c r="A8621" s="16" t="s">
        <v>87</v>
      </c>
      <c r="E8621" s="16" t="str">
        <f>IFERROR(__xludf.DUMMYFUNCTION("""COMPUTED_VALUE"""),"")</f>
        <v/>
      </c>
      <c r="G8621" s="18"/>
      <c r="H8621" s="16" t="s">
        <v>87</v>
      </c>
      <c r="I8621" s="16" t="s">
        <v>87</v>
      </c>
      <c r="J8621" s="19"/>
      <c r="L8621" s="16" t="str">
        <f>IFERROR(__xludf.DUMMYFUNCTION("""COMPUTED_VALUE"""),"")</f>
        <v/>
      </c>
      <c r="M8621" s="16" t="str">
        <f>IFERROR(__xludf.DUMMYFUNCTION("""COMPUTED_VALUE"""),"")</f>
        <v/>
      </c>
      <c r="U8621" s="16" t="s">
        <v>87</v>
      </c>
      <c r="V8621" s="16" t="str">
        <f>IFERROR(__xludf.DUMMYFUNCTION("""COMPUTED_VALUE"""),"")</f>
        <v/>
      </c>
      <c r="W8621" s="16" t="str">
        <f>IFERROR(__xludf.DUMMYFUNCTION("""COMPUTED_VALUE"""),"")</f>
        <v/>
      </c>
      <c r="X8621" s="16" t="str">
        <f>IFERROR(__xludf.DUMMYFUNCTION("""COMPUTED_VALUE"""),"")</f>
        <v/>
      </c>
      <c r="AC8621" s="16" t="str">
        <f>IFERROR(__xludf.DUMMYFUNCTION("""COMPUTED_VALUE"""),"")</f>
        <v/>
      </c>
    </row>
    <row r="8622">
      <c r="A8622" s="16" t="s">
        <v>87</v>
      </c>
      <c r="E8622" s="16" t="str">
        <f>IFERROR(__xludf.DUMMYFUNCTION("""COMPUTED_VALUE"""),"")</f>
        <v/>
      </c>
      <c r="G8622" s="18"/>
      <c r="H8622" s="16" t="s">
        <v>87</v>
      </c>
      <c r="I8622" s="16" t="s">
        <v>87</v>
      </c>
      <c r="J8622" s="19"/>
      <c r="L8622" s="16" t="str">
        <f>IFERROR(__xludf.DUMMYFUNCTION("""COMPUTED_VALUE"""),"")</f>
        <v/>
      </c>
      <c r="M8622" s="16" t="str">
        <f>IFERROR(__xludf.DUMMYFUNCTION("""COMPUTED_VALUE"""),"")</f>
        <v/>
      </c>
      <c r="U8622" s="16" t="s">
        <v>87</v>
      </c>
      <c r="V8622" s="16" t="str">
        <f>IFERROR(__xludf.DUMMYFUNCTION("""COMPUTED_VALUE"""),"")</f>
        <v/>
      </c>
      <c r="W8622" s="16" t="str">
        <f>IFERROR(__xludf.DUMMYFUNCTION("""COMPUTED_VALUE"""),"")</f>
        <v/>
      </c>
      <c r="X8622" s="16" t="str">
        <f>IFERROR(__xludf.DUMMYFUNCTION("""COMPUTED_VALUE"""),"")</f>
        <v/>
      </c>
      <c r="AC8622" s="16" t="str">
        <f>IFERROR(__xludf.DUMMYFUNCTION("""COMPUTED_VALUE"""),"")</f>
        <v/>
      </c>
    </row>
    <row r="8623">
      <c r="A8623" s="16" t="s">
        <v>87</v>
      </c>
      <c r="E8623" s="16" t="str">
        <f>IFERROR(__xludf.DUMMYFUNCTION("""COMPUTED_VALUE"""),"")</f>
        <v/>
      </c>
      <c r="G8623" s="18"/>
      <c r="H8623" s="16" t="s">
        <v>87</v>
      </c>
      <c r="I8623" s="16" t="s">
        <v>87</v>
      </c>
      <c r="J8623" s="19"/>
      <c r="L8623" s="16" t="str">
        <f>IFERROR(__xludf.DUMMYFUNCTION("""COMPUTED_VALUE"""),"")</f>
        <v/>
      </c>
      <c r="M8623" s="16" t="str">
        <f>IFERROR(__xludf.DUMMYFUNCTION("""COMPUTED_VALUE"""),"")</f>
        <v/>
      </c>
      <c r="U8623" s="16" t="s">
        <v>87</v>
      </c>
      <c r="V8623" s="16" t="str">
        <f>IFERROR(__xludf.DUMMYFUNCTION("""COMPUTED_VALUE"""),"")</f>
        <v/>
      </c>
      <c r="W8623" s="16" t="str">
        <f>IFERROR(__xludf.DUMMYFUNCTION("""COMPUTED_VALUE"""),"")</f>
        <v/>
      </c>
      <c r="X8623" s="16" t="str">
        <f>IFERROR(__xludf.DUMMYFUNCTION("""COMPUTED_VALUE"""),"")</f>
        <v/>
      </c>
      <c r="AC8623" s="16" t="str">
        <f>IFERROR(__xludf.DUMMYFUNCTION("""COMPUTED_VALUE"""),"")</f>
        <v/>
      </c>
    </row>
    <row r="8624">
      <c r="A8624" s="16" t="s">
        <v>87</v>
      </c>
      <c r="E8624" s="16" t="str">
        <f>IFERROR(__xludf.DUMMYFUNCTION("""COMPUTED_VALUE"""),"")</f>
        <v/>
      </c>
      <c r="G8624" s="18"/>
      <c r="H8624" s="16" t="s">
        <v>87</v>
      </c>
      <c r="I8624" s="16" t="s">
        <v>87</v>
      </c>
      <c r="J8624" s="19"/>
      <c r="L8624" s="16" t="str">
        <f>IFERROR(__xludf.DUMMYFUNCTION("""COMPUTED_VALUE"""),"")</f>
        <v/>
      </c>
      <c r="M8624" s="16" t="str">
        <f>IFERROR(__xludf.DUMMYFUNCTION("""COMPUTED_VALUE"""),"")</f>
        <v/>
      </c>
      <c r="U8624" s="16" t="s">
        <v>87</v>
      </c>
      <c r="V8624" s="16" t="str">
        <f>IFERROR(__xludf.DUMMYFUNCTION("""COMPUTED_VALUE"""),"")</f>
        <v/>
      </c>
      <c r="W8624" s="16" t="str">
        <f>IFERROR(__xludf.DUMMYFUNCTION("""COMPUTED_VALUE"""),"")</f>
        <v/>
      </c>
      <c r="X8624" s="16" t="str">
        <f>IFERROR(__xludf.DUMMYFUNCTION("""COMPUTED_VALUE"""),"")</f>
        <v/>
      </c>
      <c r="AC8624" s="16" t="str">
        <f>IFERROR(__xludf.DUMMYFUNCTION("""COMPUTED_VALUE"""),"")</f>
        <v/>
      </c>
    </row>
    <row r="8625">
      <c r="A8625" s="16" t="s">
        <v>87</v>
      </c>
      <c r="E8625" s="16" t="str">
        <f>IFERROR(__xludf.DUMMYFUNCTION("""COMPUTED_VALUE"""),"")</f>
        <v/>
      </c>
      <c r="G8625" s="18"/>
      <c r="H8625" s="16" t="s">
        <v>87</v>
      </c>
      <c r="I8625" s="16" t="s">
        <v>87</v>
      </c>
      <c r="J8625" s="19"/>
      <c r="L8625" s="16" t="str">
        <f>IFERROR(__xludf.DUMMYFUNCTION("""COMPUTED_VALUE"""),"")</f>
        <v/>
      </c>
      <c r="M8625" s="16" t="str">
        <f>IFERROR(__xludf.DUMMYFUNCTION("""COMPUTED_VALUE"""),"")</f>
        <v/>
      </c>
      <c r="U8625" s="16" t="s">
        <v>87</v>
      </c>
      <c r="V8625" s="16" t="str">
        <f>IFERROR(__xludf.DUMMYFUNCTION("""COMPUTED_VALUE"""),"")</f>
        <v/>
      </c>
      <c r="W8625" s="16" t="str">
        <f>IFERROR(__xludf.DUMMYFUNCTION("""COMPUTED_VALUE"""),"")</f>
        <v/>
      </c>
      <c r="X8625" s="16" t="str">
        <f>IFERROR(__xludf.DUMMYFUNCTION("""COMPUTED_VALUE"""),"")</f>
        <v/>
      </c>
      <c r="AC8625" s="16" t="str">
        <f>IFERROR(__xludf.DUMMYFUNCTION("""COMPUTED_VALUE"""),"")</f>
        <v/>
      </c>
    </row>
    <row r="8626">
      <c r="A8626" s="16" t="s">
        <v>87</v>
      </c>
      <c r="E8626" s="16" t="str">
        <f>IFERROR(__xludf.DUMMYFUNCTION("""COMPUTED_VALUE"""),"")</f>
        <v/>
      </c>
      <c r="G8626" s="18"/>
      <c r="H8626" s="16" t="s">
        <v>87</v>
      </c>
      <c r="I8626" s="16" t="s">
        <v>87</v>
      </c>
      <c r="J8626" s="19"/>
      <c r="L8626" s="16" t="str">
        <f>IFERROR(__xludf.DUMMYFUNCTION("""COMPUTED_VALUE"""),"")</f>
        <v/>
      </c>
      <c r="M8626" s="16" t="str">
        <f>IFERROR(__xludf.DUMMYFUNCTION("""COMPUTED_VALUE"""),"")</f>
        <v/>
      </c>
      <c r="U8626" s="16" t="s">
        <v>87</v>
      </c>
      <c r="V8626" s="16" t="str">
        <f>IFERROR(__xludf.DUMMYFUNCTION("""COMPUTED_VALUE"""),"")</f>
        <v/>
      </c>
      <c r="W8626" s="16" t="str">
        <f>IFERROR(__xludf.DUMMYFUNCTION("""COMPUTED_VALUE"""),"")</f>
        <v/>
      </c>
      <c r="X8626" s="16" t="str">
        <f>IFERROR(__xludf.DUMMYFUNCTION("""COMPUTED_VALUE"""),"")</f>
        <v/>
      </c>
      <c r="AC8626" s="16" t="str">
        <f>IFERROR(__xludf.DUMMYFUNCTION("""COMPUTED_VALUE"""),"")</f>
        <v/>
      </c>
    </row>
    <row r="8627">
      <c r="A8627" s="16" t="s">
        <v>87</v>
      </c>
      <c r="E8627" s="16" t="str">
        <f>IFERROR(__xludf.DUMMYFUNCTION("""COMPUTED_VALUE"""),"")</f>
        <v/>
      </c>
      <c r="G8627" s="18"/>
      <c r="H8627" s="16" t="s">
        <v>87</v>
      </c>
      <c r="I8627" s="16" t="s">
        <v>87</v>
      </c>
      <c r="J8627" s="19"/>
      <c r="L8627" s="16" t="str">
        <f>IFERROR(__xludf.DUMMYFUNCTION("""COMPUTED_VALUE"""),"")</f>
        <v/>
      </c>
      <c r="M8627" s="16" t="str">
        <f>IFERROR(__xludf.DUMMYFUNCTION("""COMPUTED_VALUE"""),"")</f>
        <v/>
      </c>
      <c r="U8627" s="16" t="s">
        <v>87</v>
      </c>
      <c r="V8627" s="16" t="str">
        <f>IFERROR(__xludf.DUMMYFUNCTION("""COMPUTED_VALUE"""),"")</f>
        <v/>
      </c>
      <c r="W8627" s="16" t="str">
        <f>IFERROR(__xludf.DUMMYFUNCTION("""COMPUTED_VALUE"""),"")</f>
        <v/>
      </c>
      <c r="X8627" s="16" t="str">
        <f>IFERROR(__xludf.DUMMYFUNCTION("""COMPUTED_VALUE"""),"")</f>
        <v/>
      </c>
      <c r="AC8627" s="16" t="str">
        <f>IFERROR(__xludf.DUMMYFUNCTION("""COMPUTED_VALUE"""),"")</f>
        <v/>
      </c>
    </row>
    <row r="8628">
      <c r="A8628" s="16" t="s">
        <v>87</v>
      </c>
      <c r="E8628" s="16" t="str">
        <f>IFERROR(__xludf.DUMMYFUNCTION("""COMPUTED_VALUE"""),"")</f>
        <v/>
      </c>
      <c r="G8628" s="18"/>
      <c r="H8628" s="16" t="s">
        <v>87</v>
      </c>
      <c r="I8628" s="16" t="s">
        <v>87</v>
      </c>
      <c r="J8628" s="19"/>
      <c r="L8628" s="16" t="str">
        <f>IFERROR(__xludf.DUMMYFUNCTION("""COMPUTED_VALUE"""),"")</f>
        <v/>
      </c>
      <c r="M8628" s="16" t="str">
        <f>IFERROR(__xludf.DUMMYFUNCTION("""COMPUTED_VALUE"""),"")</f>
        <v/>
      </c>
      <c r="U8628" s="16" t="s">
        <v>87</v>
      </c>
      <c r="V8628" s="16" t="str">
        <f>IFERROR(__xludf.DUMMYFUNCTION("""COMPUTED_VALUE"""),"")</f>
        <v/>
      </c>
      <c r="W8628" s="16" t="str">
        <f>IFERROR(__xludf.DUMMYFUNCTION("""COMPUTED_VALUE"""),"")</f>
        <v/>
      </c>
      <c r="X8628" s="16" t="str">
        <f>IFERROR(__xludf.DUMMYFUNCTION("""COMPUTED_VALUE"""),"")</f>
        <v/>
      </c>
      <c r="AC8628" s="16" t="str">
        <f>IFERROR(__xludf.DUMMYFUNCTION("""COMPUTED_VALUE"""),"")</f>
        <v/>
      </c>
    </row>
    <row r="8629">
      <c r="A8629" s="16" t="s">
        <v>87</v>
      </c>
      <c r="E8629" s="16" t="str">
        <f>IFERROR(__xludf.DUMMYFUNCTION("""COMPUTED_VALUE"""),"")</f>
        <v/>
      </c>
      <c r="G8629" s="18"/>
      <c r="H8629" s="16" t="s">
        <v>87</v>
      </c>
      <c r="I8629" s="16" t="s">
        <v>87</v>
      </c>
      <c r="J8629" s="19"/>
      <c r="L8629" s="16" t="str">
        <f>IFERROR(__xludf.DUMMYFUNCTION("""COMPUTED_VALUE"""),"")</f>
        <v/>
      </c>
      <c r="M8629" s="16" t="str">
        <f>IFERROR(__xludf.DUMMYFUNCTION("""COMPUTED_VALUE"""),"")</f>
        <v/>
      </c>
      <c r="U8629" s="16" t="s">
        <v>87</v>
      </c>
      <c r="V8629" s="16" t="str">
        <f>IFERROR(__xludf.DUMMYFUNCTION("""COMPUTED_VALUE"""),"")</f>
        <v/>
      </c>
      <c r="W8629" s="16" t="str">
        <f>IFERROR(__xludf.DUMMYFUNCTION("""COMPUTED_VALUE"""),"")</f>
        <v/>
      </c>
      <c r="X8629" s="16" t="str">
        <f>IFERROR(__xludf.DUMMYFUNCTION("""COMPUTED_VALUE"""),"")</f>
        <v/>
      </c>
      <c r="AC8629" s="16" t="str">
        <f>IFERROR(__xludf.DUMMYFUNCTION("""COMPUTED_VALUE"""),"")</f>
        <v/>
      </c>
    </row>
    <row r="8630">
      <c r="A8630" s="16" t="s">
        <v>87</v>
      </c>
      <c r="E8630" s="16" t="str">
        <f>IFERROR(__xludf.DUMMYFUNCTION("""COMPUTED_VALUE"""),"")</f>
        <v/>
      </c>
      <c r="G8630" s="18"/>
      <c r="H8630" s="16" t="s">
        <v>87</v>
      </c>
      <c r="I8630" s="16" t="s">
        <v>87</v>
      </c>
      <c r="J8630" s="19"/>
      <c r="L8630" s="16" t="str">
        <f>IFERROR(__xludf.DUMMYFUNCTION("""COMPUTED_VALUE"""),"")</f>
        <v/>
      </c>
      <c r="M8630" s="16" t="str">
        <f>IFERROR(__xludf.DUMMYFUNCTION("""COMPUTED_VALUE"""),"")</f>
        <v/>
      </c>
      <c r="U8630" s="16" t="s">
        <v>87</v>
      </c>
      <c r="V8630" s="16" t="str">
        <f>IFERROR(__xludf.DUMMYFUNCTION("""COMPUTED_VALUE"""),"")</f>
        <v/>
      </c>
      <c r="W8630" s="16" t="str">
        <f>IFERROR(__xludf.DUMMYFUNCTION("""COMPUTED_VALUE"""),"")</f>
        <v/>
      </c>
      <c r="X8630" s="16" t="str">
        <f>IFERROR(__xludf.DUMMYFUNCTION("""COMPUTED_VALUE"""),"")</f>
        <v/>
      </c>
      <c r="AC8630" s="16" t="str">
        <f>IFERROR(__xludf.DUMMYFUNCTION("""COMPUTED_VALUE"""),"")</f>
        <v/>
      </c>
    </row>
    <row r="8631">
      <c r="A8631" s="16" t="s">
        <v>87</v>
      </c>
      <c r="E8631" s="16" t="str">
        <f>IFERROR(__xludf.DUMMYFUNCTION("""COMPUTED_VALUE"""),"")</f>
        <v/>
      </c>
      <c r="G8631" s="18"/>
      <c r="H8631" s="16" t="s">
        <v>87</v>
      </c>
      <c r="I8631" s="16" t="s">
        <v>87</v>
      </c>
      <c r="J8631" s="19"/>
      <c r="L8631" s="16" t="str">
        <f>IFERROR(__xludf.DUMMYFUNCTION("""COMPUTED_VALUE"""),"")</f>
        <v/>
      </c>
      <c r="M8631" s="16" t="str">
        <f>IFERROR(__xludf.DUMMYFUNCTION("""COMPUTED_VALUE"""),"")</f>
        <v/>
      </c>
      <c r="U8631" s="16" t="s">
        <v>87</v>
      </c>
      <c r="V8631" s="16" t="str">
        <f>IFERROR(__xludf.DUMMYFUNCTION("""COMPUTED_VALUE"""),"")</f>
        <v/>
      </c>
      <c r="W8631" s="16" t="str">
        <f>IFERROR(__xludf.DUMMYFUNCTION("""COMPUTED_VALUE"""),"")</f>
        <v/>
      </c>
      <c r="X8631" s="16" t="str">
        <f>IFERROR(__xludf.DUMMYFUNCTION("""COMPUTED_VALUE"""),"")</f>
        <v/>
      </c>
      <c r="AC8631" s="16" t="str">
        <f>IFERROR(__xludf.DUMMYFUNCTION("""COMPUTED_VALUE"""),"")</f>
        <v/>
      </c>
    </row>
    <row r="8632">
      <c r="A8632" s="16" t="s">
        <v>87</v>
      </c>
      <c r="E8632" s="16" t="str">
        <f>IFERROR(__xludf.DUMMYFUNCTION("""COMPUTED_VALUE"""),"")</f>
        <v/>
      </c>
      <c r="G8632" s="18"/>
      <c r="H8632" s="16" t="s">
        <v>87</v>
      </c>
      <c r="I8632" s="16" t="s">
        <v>87</v>
      </c>
      <c r="J8632" s="19"/>
      <c r="L8632" s="16" t="str">
        <f>IFERROR(__xludf.DUMMYFUNCTION("""COMPUTED_VALUE"""),"")</f>
        <v/>
      </c>
      <c r="M8632" s="16" t="str">
        <f>IFERROR(__xludf.DUMMYFUNCTION("""COMPUTED_VALUE"""),"")</f>
        <v/>
      </c>
      <c r="U8632" s="16" t="s">
        <v>87</v>
      </c>
      <c r="V8632" s="16" t="str">
        <f>IFERROR(__xludf.DUMMYFUNCTION("""COMPUTED_VALUE"""),"")</f>
        <v/>
      </c>
      <c r="W8632" s="16" t="str">
        <f>IFERROR(__xludf.DUMMYFUNCTION("""COMPUTED_VALUE"""),"")</f>
        <v/>
      </c>
      <c r="X8632" s="16" t="str">
        <f>IFERROR(__xludf.DUMMYFUNCTION("""COMPUTED_VALUE"""),"")</f>
        <v/>
      </c>
      <c r="AC8632" s="16" t="str">
        <f>IFERROR(__xludf.DUMMYFUNCTION("""COMPUTED_VALUE"""),"")</f>
        <v/>
      </c>
    </row>
    <row r="8633">
      <c r="A8633" s="16" t="s">
        <v>87</v>
      </c>
      <c r="E8633" s="16" t="str">
        <f>IFERROR(__xludf.DUMMYFUNCTION("""COMPUTED_VALUE"""),"")</f>
        <v/>
      </c>
      <c r="G8633" s="18"/>
      <c r="H8633" s="16" t="s">
        <v>87</v>
      </c>
      <c r="I8633" s="16" t="s">
        <v>87</v>
      </c>
      <c r="J8633" s="19"/>
      <c r="L8633" s="16" t="str">
        <f>IFERROR(__xludf.DUMMYFUNCTION("""COMPUTED_VALUE"""),"")</f>
        <v/>
      </c>
      <c r="M8633" s="16" t="str">
        <f>IFERROR(__xludf.DUMMYFUNCTION("""COMPUTED_VALUE"""),"")</f>
        <v/>
      </c>
      <c r="U8633" s="16" t="s">
        <v>87</v>
      </c>
      <c r="V8633" s="16" t="str">
        <f>IFERROR(__xludf.DUMMYFUNCTION("""COMPUTED_VALUE"""),"")</f>
        <v/>
      </c>
      <c r="W8633" s="16" t="str">
        <f>IFERROR(__xludf.DUMMYFUNCTION("""COMPUTED_VALUE"""),"")</f>
        <v/>
      </c>
      <c r="X8633" s="16" t="str">
        <f>IFERROR(__xludf.DUMMYFUNCTION("""COMPUTED_VALUE"""),"")</f>
        <v/>
      </c>
      <c r="AC8633" s="16" t="str">
        <f>IFERROR(__xludf.DUMMYFUNCTION("""COMPUTED_VALUE"""),"")</f>
        <v/>
      </c>
    </row>
    <row r="8634">
      <c r="A8634" s="16" t="s">
        <v>87</v>
      </c>
      <c r="E8634" s="16" t="str">
        <f>IFERROR(__xludf.DUMMYFUNCTION("""COMPUTED_VALUE"""),"")</f>
        <v/>
      </c>
      <c r="G8634" s="18"/>
      <c r="H8634" s="16" t="s">
        <v>87</v>
      </c>
      <c r="I8634" s="16" t="s">
        <v>87</v>
      </c>
      <c r="J8634" s="19"/>
      <c r="L8634" s="16" t="str">
        <f>IFERROR(__xludf.DUMMYFUNCTION("""COMPUTED_VALUE"""),"")</f>
        <v/>
      </c>
      <c r="M8634" s="16" t="str">
        <f>IFERROR(__xludf.DUMMYFUNCTION("""COMPUTED_VALUE"""),"")</f>
        <v/>
      </c>
      <c r="U8634" s="16" t="s">
        <v>87</v>
      </c>
      <c r="V8634" s="16" t="str">
        <f>IFERROR(__xludf.DUMMYFUNCTION("""COMPUTED_VALUE"""),"")</f>
        <v/>
      </c>
      <c r="W8634" s="16" t="str">
        <f>IFERROR(__xludf.DUMMYFUNCTION("""COMPUTED_VALUE"""),"")</f>
        <v/>
      </c>
      <c r="X8634" s="16" t="str">
        <f>IFERROR(__xludf.DUMMYFUNCTION("""COMPUTED_VALUE"""),"")</f>
        <v/>
      </c>
      <c r="AC8634" s="16" t="str">
        <f>IFERROR(__xludf.DUMMYFUNCTION("""COMPUTED_VALUE"""),"")</f>
        <v/>
      </c>
    </row>
    <row r="8635">
      <c r="A8635" s="16" t="s">
        <v>87</v>
      </c>
      <c r="E8635" s="16" t="str">
        <f>IFERROR(__xludf.DUMMYFUNCTION("""COMPUTED_VALUE"""),"")</f>
        <v/>
      </c>
      <c r="G8635" s="18"/>
      <c r="H8635" s="16" t="s">
        <v>87</v>
      </c>
      <c r="I8635" s="16" t="s">
        <v>87</v>
      </c>
      <c r="J8635" s="19"/>
      <c r="L8635" s="16" t="str">
        <f>IFERROR(__xludf.DUMMYFUNCTION("""COMPUTED_VALUE"""),"")</f>
        <v/>
      </c>
      <c r="M8635" s="16" t="str">
        <f>IFERROR(__xludf.DUMMYFUNCTION("""COMPUTED_VALUE"""),"")</f>
        <v/>
      </c>
      <c r="U8635" s="16" t="s">
        <v>87</v>
      </c>
      <c r="V8635" s="16" t="str">
        <f>IFERROR(__xludf.DUMMYFUNCTION("""COMPUTED_VALUE"""),"")</f>
        <v/>
      </c>
      <c r="W8635" s="16" t="str">
        <f>IFERROR(__xludf.DUMMYFUNCTION("""COMPUTED_VALUE"""),"")</f>
        <v/>
      </c>
      <c r="X8635" s="16" t="str">
        <f>IFERROR(__xludf.DUMMYFUNCTION("""COMPUTED_VALUE"""),"")</f>
        <v/>
      </c>
      <c r="AC8635" s="16" t="str">
        <f>IFERROR(__xludf.DUMMYFUNCTION("""COMPUTED_VALUE"""),"")</f>
        <v/>
      </c>
    </row>
    <row r="8636">
      <c r="A8636" s="16" t="s">
        <v>87</v>
      </c>
      <c r="E8636" s="16" t="str">
        <f>IFERROR(__xludf.DUMMYFUNCTION("""COMPUTED_VALUE"""),"")</f>
        <v/>
      </c>
      <c r="G8636" s="18"/>
      <c r="H8636" s="16" t="s">
        <v>87</v>
      </c>
      <c r="I8636" s="16" t="s">
        <v>87</v>
      </c>
      <c r="J8636" s="19"/>
      <c r="L8636" s="16" t="str">
        <f>IFERROR(__xludf.DUMMYFUNCTION("""COMPUTED_VALUE"""),"")</f>
        <v/>
      </c>
      <c r="M8636" s="16" t="str">
        <f>IFERROR(__xludf.DUMMYFUNCTION("""COMPUTED_VALUE"""),"")</f>
        <v/>
      </c>
      <c r="U8636" s="16" t="s">
        <v>87</v>
      </c>
      <c r="V8636" s="16" t="str">
        <f>IFERROR(__xludf.DUMMYFUNCTION("""COMPUTED_VALUE"""),"")</f>
        <v/>
      </c>
      <c r="W8636" s="16" t="str">
        <f>IFERROR(__xludf.DUMMYFUNCTION("""COMPUTED_VALUE"""),"")</f>
        <v/>
      </c>
      <c r="X8636" s="16" t="str">
        <f>IFERROR(__xludf.DUMMYFUNCTION("""COMPUTED_VALUE"""),"")</f>
        <v/>
      </c>
      <c r="AC8636" s="16" t="str">
        <f>IFERROR(__xludf.DUMMYFUNCTION("""COMPUTED_VALUE"""),"")</f>
        <v/>
      </c>
    </row>
    <row r="8637">
      <c r="A8637" s="16" t="s">
        <v>87</v>
      </c>
      <c r="E8637" s="16" t="str">
        <f>IFERROR(__xludf.DUMMYFUNCTION("""COMPUTED_VALUE"""),"")</f>
        <v/>
      </c>
      <c r="G8637" s="18"/>
      <c r="H8637" s="16" t="s">
        <v>87</v>
      </c>
      <c r="I8637" s="16" t="s">
        <v>87</v>
      </c>
      <c r="J8637" s="19"/>
      <c r="L8637" s="16" t="str">
        <f>IFERROR(__xludf.DUMMYFUNCTION("""COMPUTED_VALUE"""),"")</f>
        <v/>
      </c>
      <c r="M8637" s="16" t="str">
        <f>IFERROR(__xludf.DUMMYFUNCTION("""COMPUTED_VALUE"""),"")</f>
        <v/>
      </c>
      <c r="U8637" s="16" t="s">
        <v>87</v>
      </c>
      <c r="V8637" s="16" t="str">
        <f>IFERROR(__xludf.DUMMYFUNCTION("""COMPUTED_VALUE"""),"")</f>
        <v/>
      </c>
      <c r="W8637" s="16" t="str">
        <f>IFERROR(__xludf.DUMMYFUNCTION("""COMPUTED_VALUE"""),"")</f>
        <v/>
      </c>
      <c r="X8637" s="16" t="str">
        <f>IFERROR(__xludf.DUMMYFUNCTION("""COMPUTED_VALUE"""),"")</f>
        <v/>
      </c>
      <c r="AC8637" s="16" t="str">
        <f>IFERROR(__xludf.DUMMYFUNCTION("""COMPUTED_VALUE"""),"")</f>
        <v/>
      </c>
    </row>
    <row r="8638">
      <c r="A8638" s="16" t="s">
        <v>87</v>
      </c>
      <c r="E8638" s="16" t="str">
        <f>IFERROR(__xludf.DUMMYFUNCTION("""COMPUTED_VALUE"""),"")</f>
        <v/>
      </c>
      <c r="G8638" s="18"/>
      <c r="H8638" s="16" t="s">
        <v>87</v>
      </c>
      <c r="I8638" s="16" t="s">
        <v>87</v>
      </c>
      <c r="J8638" s="19"/>
      <c r="L8638" s="16" t="str">
        <f>IFERROR(__xludf.DUMMYFUNCTION("""COMPUTED_VALUE"""),"")</f>
        <v/>
      </c>
      <c r="M8638" s="16" t="str">
        <f>IFERROR(__xludf.DUMMYFUNCTION("""COMPUTED_VALUE"""),"")</f>
        <v/>
      </c>
      <c r="U8638" s="16" t="s">
        <v>87</v>
      </c>
      <c r="V8638" s="16" t="str">
        <f>IFERROR(__xludf.DUMMYFUNCTION("""COMPUTED_VALUE"""),"")</f>
        <v/>
      </c>
      <c r="W8638" s="16" t="str">
        <f>IFERROR(__xludf.DUMMYFUNCTION("""COMPUTED_VALUE"""),"")</f>
        <v/>
      </c>
      <c r="X8638" s="16" t="str">
        <f>IFERROR(__xludf.DUMMYFUNCTION("""COMPUTED_VALUE"""),"")</f>
        <v/>
      </c>
      <c r="AC8638" s="16" t="str">
        <f>IFERROR(__xludf.DUMMYFUNCTION("""COMPUTED_VALUE"""),"")</f>
        <v/>
      </c>
    </row>
    <row r="8639">
      <c r="A8639" s="16" t="s">
        <v>87</v>
      </c>
      <c r="E8639" s="16" t="str">
        <f>IFERROR(__xludf.DUMMYFUNCTION("""COMPUTED_VALUE"""),"")</f>
        <v/>
      </c>
      <c r="G8639" s="18"/>
      <c r="H8639" s="16" t="s">
        <v>87</v>
      </c>
      <c r="I8639" s="16" t="s">
        <v>87</v>
      </c>
      <c r="J8639" s="19"/>
      <c r="L8639" s="16" t="str">
        <f>IFERROR(__xludf.DUMMYFUNCTION("""COMPUTED_VALUE"""),"")</f>
        <v/>
      </c>
      <c r="M8639" s="16" t="str">
        <f>IFERROR(__xludf.DUMMYFUNCTION("""COMPUTED_VALUE"""),"")</f>
        <v/>
      </c>
      <c r="U8639" s="16" t="s">
        <v>87</v>
      </c>
      <c r="V8639" s="16" t="str">
        <f>IFERROR(__xludf.DUMMYFUNCTION("""COMPUTED_VALUE"""),"")</f>
        <v/>
      </c>
      <c r="W8639" s="16" t="str">
        <f>IFERROR(__xludf.DUMMYFUNCTION("""COMPUTED_VALUE"""),"")</f>
        <v/>
      </c>
      <c r="X8639" s="16" t="str">
        <f>IFERROR(__xludf.DUMMYFUNCTION("""COMPUTED_VALUE"""),"")</f>
        <v/>
      </c>
      <c r="AC8639" s="16" t="str">
        <f>IFERROR(__xludf.DUMMYFUNCTION("""COMPUTED_VALUE"""),"")</f>
        <v/>
      </c>
    </row>
    <row r="8640">
      <c r="A8640" s="16" t="s">
        <v>87</v>
      </c>
      <c r="E8640" s="16" t="str">
        <f>IFERROR(__xludf.DUMMYFUNCTION("""COMPUTED_VALUE"""),"")</f>
        <v/>
      </c>
      <c r="G8640" s="18"/>
      <c r="H8640" s="16" t="s">
        <v>87</v>
      </c>
      <c r="I8640" s="16" t="s">
        <v>87</v>
      </c>
      <c r="J8640" s="19"/>
      <c r="L8640" s="16" t="str">
        <f>IFERROR(__xludf.DUMMYFUNCTION("""COMPUTED_VALUE"""),"")</f>
        <v/>
      </c>
      <c r="M8640" s="16" t="str">
        <f>IFERROR(__xludf.DUMMYFUNCTION("""COMPUTED_VALUE"""),"")</f>
        <v/>
      </c>
      <c r="U8640" s="16" t="s">
        <v>87</v>
      </c>
      <c r="V8640" s="16" t="str">
        <f>IFERROR(__xludf.DUMMYFUNCTION("""COMPUTED_VALUE"""),"")</f>
        <v/>
      </c>
      <c r="W8640" s="16" t="str">
        <f>IFERROR(__xludf.DUMMYFUNCTION("""COMPUTED_VALUE"""),"")</f>
        <v/>
      </c>
      <c r="X8640" s="16" t="str">
        <f>IFERROR(__xludf.DUMMYFUNCTION("""COMPUTED_VALUE"""),"")</f>
        <v/>
      </c>
      <c r="AC8640" s="16" t="str">
        <f>IFERROR(__xludf.DUMMYFUNCTION("""COMPUTED_VALUE"""),"")</f>
        <v/>
      </c>
    </row>
    <row r="8641">
      <c r="A8641" s="16" t="s">
        <v>87</v>
      </c>
      <c r="E8641" s="16" t="str">
        <f>IFERROR(__xludf.DUMMYFUNCTION("""COMPUTED_VALUE"""),"")</f>
        <v/>
      </c>
      <c r="G8641" s="18"/>
      <c r="H8641" s="16" t="s">
        <v>87</v>
      </c>
      <c r="I8641" s="16" t="s">
        <v>87</v>
      </c>
      <c r="J8641" s="19"/>
      <c r="L8641" s="16" t="str">
        <f>IFERROR(__xludf.DUMMYFUNCTION("""COMPUTED_VALUE"""),"")</f>
        <v/>
      </c>
      <c r="M8641" s="16" t="str">
        <f>IFERROR(__xludf.DUMMYFUNCTION("""COMPUTED_VALUE"""),"")</f>
        <v/>
      </c>
      <c r="U8641" s="16" t="s">
        <v>87</v>
      </c>
      <c r="V8641" s="16" t="str">
        <f>IFERROR(__xludf.DUMMYFUNCTION("""COMPUTED_VALUE"""),"")</f>
        <v/>
      </c>
      <c r="W8641" s="16" t="str">
        <f>IFERROR(__xludf.DUMMYFUNCTION("""COMPUTED_VALUE"""),"")</f>
        <v/>
      </c>
      <c r="X8641" s="16" t="str">
        <f>IFERROR(__xludf.DUMMYFUNCTION("""COMPUTED_VALUE"""),"")</f>
        <v/>
      </c>
      <c r="AC8641" s="16" t="str">
        <f>IFERROR(__xludf.DUMMYFUNCTION("""COMPUTED_VALUE"""),"")</f>
        <v/>
      </c>
    </row>
    <row r="8642">
      <c r="A8642" s="16" t="s">
        <v>87</v>
      </c>
      <c r="E8642" s="16" t="str">
        <f>IFERROR(__xludf.DUMMYFUNCTION("""COMPUTED_VALUE"""),"")</f>
        <v/>
      </c>
      <c r="G8642" s="18"/>
      <c r="H8642" s="16" t="s">
        <v>87</v>
      </c>
      <c r="I8642" s="16" t="s">
        <v>87</v>
      </c>
      <c r="J8642" s="19"/>
      <c r="L8642" s="16" t="str">
        <f>IFERROR(__xludf.DUMMYFUNCTION("""COMPUTED_VALUE"""),"")</f>
        <v/>
      </c>
      <c r="M8642" s="16" t="str">
        <f>IFERROR(__xludf.DUMMYFUNCTION("""COMPUTED_VALUE"""),"")</f>
        <v/>
      </c>
      <c r="U8642" s="16" t="s">
        <v>87</v>
      </c>
      <c r="V8642" s="16" t="str">
        <f>IFERROR(__xludf.DUMMYFUNCTION("""COMPUTED_VALUE"""),"")</f>
        <v/>
      </c>
      <c r="W8642" s="16" t="str">
        <f>IFERROR(__xludf.DUMMYFUNCTION("""COMPUTED_VALUE"""),"")</f>
        <v/>
      </c>
      <c r="X8642" s="16" t="str">
        <f>IFERROR(__xludf.DUMMYFUNCTION("""COMPUTED_VALUE"""),"")</f>
        <v/>
      </c>
      <c r="AC8642" s="16" t="str">
        <f>IFERROR(__xludf.DUMMYFUNCTION("""COMPUTED_VALUE"""),"")</f>
        <v/>
      </c>
    </row>
    <row r="8643">
      <c r="A8643" s="16" t="s">
        <v>87</v>
      </c>
      <c r="E8643" s="16" t="str">
        <f>IFERROR(__xludf.DUMMYFUNCTION("""COMPUTED_VALUE"""),"")</f>
        <v/>
      </c>
      <c r="G8643" s="18"/>
      <c r="H8643" s="16" t="s">
        <v>87</v>
      </c>
      <c r="I8643" s="16" t="s">
        <v>87</v>
      </c>
      <c r="J8643" s="19"/>
      <c r="L8643" s="16" t="str">
        <f>IFERROR(__xludf.DUMMYFUNCTION("""COMPUTED_VALUE"""),"")</f>
        <v/>
      </c>
      <c r="M8643" s="16" t="str">
        <f>IFERROR(__xludf.DUMMYFUNCTION("""COMPUTED_VALUE"""),"")</f>
        <v/>
      </c>
      <c r="U8643" s="16" t="s">
        <v>87</v>
      </c>
      <c r="V8643" s="16" t="str">
        <f>IFERROR(__xludf.DUMMYFUNCTION("""COMPUTED_VALUE"""),"")</f>
        <v/>
      </c>
      <c r="W8643" s="16" t="str">
        <f>IFERROR(__xludf.DUMMYFUNCTION("""COMPUTED_VALUE"""),"")</f>
        <v/>
      </c>
      <c r="X8643" s="16" t="str">
        <f>IFERROR(__xludf.DUMMYFUNCTION("""COMPUTED_VALUE"""),"")</f>
        <v/>
      </c>
      <c r="AC8643" s="16" t="str">
        <f>IFERROR(__xludf.DUMMYFUNCTION("""COMPUTED_VALUE"""),"")</f>
        <v/>
      </c>
    </row>
    <row r="8644">
      <c r="A8644" s="16" t="s">
        <v>87</v>
      </c>
      <c r="E8644" s="16" t="str">
        <f>IFERROR(__xludf.DUMMYFUNCTION("""COMPUTED_VALUE"""),"")</f>
        <v/>
      </c>
      <c r="G8644" s="18"/>
      <c r="H8644" s="16" t="s">
        <v>87</v>
      </c>
      <c r="I8644" s="16" t="s">
        <v>87</v>
      </c>
      <c r="J8644" s="19"/>
      <c r="L8644" s="16" t="str">
        <f>IFERROR(__xludf.DUMMYFUNCTION("""COMPUTED_VALUE"""),"")</f>
        <v/>
      </c>
      <c r="M8644" s="16" t="str">
        <f>IFERROR(__xludf.DUMMYFUNCTION("""COMPUTED_VALUE"""),"")</f>
        <v/>
      </c>
      <c r="U8644" s="16" t="s">
        <v>87</v>
      </c>
      <c r="V8644" s="16" t="str">
        <f>IFERROR(__xludf.DUMMYFUNCTION("""COMPUTED_VALUE"""),"")</f>
        <v/>
      </c>
      <c r="W8644" s="16" t="str">
        <f>IFERROR(__xludf.DUMMYFUNCTION("""COMPUTED_VALUE"""),"")</f>
        <v/>
      </c>
      <c r="X8644" s="16" t="str">
        <f>IFERROR(__xludf.DUMMYFUNCTION("""COMPUTED_VALUE"""),"")</f>
        <v/>
      </c>
      <c r="AC8644" s="16" t="str">
        <f>IFERROR(__xludf.DUMMYFUNCTION("""COMPUTED_VALUE"""),"")</f>
        <v/>
      </c>
    </row>
    <row r="8645">
      <c r="A8645" s="16" t="s">
        <v>87</v>
      </c>
      <c r="E8645" s="16" t="str">
        <f>IFERROR(__xludf.DUMMYFUNCTION("""COMPUTED_VALUE"""),"")</f>
        <v/>
      </c>
      <c r="G8645" s="18"/>
      <c r="H8645" s="16" t="s">
        <v>87</v>
      </c>
      <c r="I8645" s="16" t="s">
        <v>87</v>
      </c>
      <c r="J8645" s="19"/>
      <c r="L8645" s="16" t="str">
        <f>IFERROR(__xludf.DUMMYFUNCTION("""COMPUTED_VALUE"""),"")</f>
        <v/>
      </c>
      <c r="M8645" s="16" t="str">
        <f>IFERROR(__xludf.DUMMYFUNCTION("""COMPUTED_VALUE"""),"")</f>
        <v/>
      </c>
      <c r="U8645" s="16" t="s">
        <v>87</v>
      </c>
      <c r="V8645" s="16" t="str">
        <f>IFERROR(__xludf.DUMMYFUNCTION("""COMPUTED_VALUE"""),"")</f>
        <v/>
      </c>
      <c r="W8645" s="16" t="str">
        <f>IFERROR(__xludf.DUMMYFUNCTION("""COMPUTED_VALUE"""),"")</f>
        <v/>
      </c>
      <c r="X8645" s="16" t="str">
        <f>IFERROR(__xludf.DUMMYFUNCTION("""COMPUTED_VALUE"""),"")</f>
        <v/>
      </c>
      <c r="AC8645" s="16" t="str">
        <f>IFERROR(__xludf.DUMMYFUNCTION("""COMPUTED_VALUE"""),"")</f>
        <v/>
      </c>
    </row>
    <row r="8646">
      <c r="A8646" s="16" t="s">
        <v>87</v>
      </c>
      <c r="E8646" s="16" t="str">
        <f>IFERROR(__xludf.DUMMYFUNCTION("""COMPUTED_VALUE"""),"")</f>
        <v/>
      </c>
      <c r="G8646" s="18"/>
      <c r="H8646" s="16" t="s">
        <v>87</v>
      </c>
      <c r="I8646" s="16" t="s">
        <v>87</v>
      </c>
      <c r="J8646" s="19"/>
      <c r="L8646" s="16" t="str">
        <f>IFERROR(__xludf.DUMMYFUNCTION("""COMPUTED_VALUE"""),"")</f>
        <v/>
      </c>
      <c r="M8646" s="16" t="str">
        <f>IFERROR(__xludf.DUMMYFUNCTION("""COMPUTED_VALUE"""),"")</f>
        <v/>
      </c>
      <c r="U8646" s="16" t="s">
        <v>87</v>
      </c>
      <c r="V8646" s="16" t="str">
        <f>IFERROR(__xludf.DUMMYFUNCTION("""COMPUTED_VALUE"""),"")</f>
        <v/>
      </c>
      <c r="W8646" s="16" t="str">
        <f>IFERROR(__xludf.DUMMYFUNCTION("""COMPUTED_VALUE"""),"")</f>
        <v/>
      </c>
      <c r="X8646" s="16" t="str">
        <f>IFERROR(__xludf.DUMMYFUNCTION("""COMPUTED_VALUE"""),"")</f>
        <v/>
      </c>
      <c r="AC8646" s="16" t="str">
        <f>IFERROR(__xludf.DUMMYFUNCTION("""COMPUTED_VALUE"""),"")</f>
        <v/>
      </c>
    </row>
    <row r="8647">
      <c r="A8647" s="16" t="s">
        <v>87</v>
      </c>
      <c r="E8647" s="16" t="str">
        <f>IFERROR(__xludf.DUMMYFUNCTION("""COMPUTED_VALUE"""),"")</f>
        <v/>
      </c>
      <c r="G8647" s="18"/>
      <c r="H8647" s="16" t="s">
        <v>87</v>
      </c>
      <c r="I8647" s="16" t="s">
        <v>87</v>
      </c>
      <c r="J8647" s="19"/>
      <c r="L8647" s="16" t="str">
        <f>IFERROR(__xludf.DUMMYFUNCTION("""COMPUTED_VALUE"""),"")</f>
        <v/>
      </c>
      <c r="M8647" s="16" t="str">
        <f>IFERROR(__xludf.DUMMYFUNCTION("""COMPUTED_VALUE"""),"")</f>
        <v/>
      </c>
      <c r="U8647" s="16" t="s">
        <v>87</v>
      </c>
      <c r="V8647" s="16" t="str">
        <f>IFERROR(__xludf.DUMMYFUNCTION("""COMPUTED_VALUE"""),"")</f>
        <v/>
      </c>
      <c r="W8647" s="16" t="str">
        <f>IFERROR(__xludf.DUMMYFUNCTION("""COMPUTED_VALUE"""),"")</f>
        <v/>
      </c>
      <c r="X8647" s="16" t="str">
        <f>IFERROR(__xludf.DUMMYFUNCTION("""COMPUTED_VALUE"""),"")</f>
        <v/>
      </c>
      <c r="AC8647" s="16" t="str">
        <f>IFERROR(__xludf.DUMMYFUNCTION("""COMPUTED_VALUE"""),"")</f>
        <v/>
      </c>
    </row>
    <row r="8648">
      <c r="A8648" s="16" t="s">
        <v>87</v>
      </c>
      <c r="E8648" s="16" t="str">
        <f>IFERROR(__xludf.DUMMYFUNCTION("""COMPUTED_VALUE"""),"")</f>
        <v/>
      </c>
      <c r="G8648" s="18"/>
      <c r="H8648" s="16" t="s">
        <v>87</v>
      </c>
      <c r="I8648" s="16" t="s">
        <v>87</v>
      </c>
      <c r="J8648" s="19"/>
      <c r="L8648" s="16" t="str">
        <f>IFERROR(__xludf.DUMMYFUNCTION("""COMPUTED_VALUE"""),"")</f>
        <v/>
      </c>
      <c r="M8648" s="16" t="str">
        <f>IFERROR(__xludf.DUMMYFUNCTION("""COMPUTED_VALUE"""),"")</f>
        <v/>
      </c>
      <c r="U8648" s="16" t="s">
        <v>87</v>
      </c>
      <c r="V8648" s="16" t="str">
        <f>IFERROR(__xludf.DUMMYFUNCTION("""COMPUTED_VALUE"""),"")</f>
        <v/>
      </c>
      <c r="W8648" s="16" t="str">
        <f>IFERROR(__xludf.DUMMYFUNCTION("""COMPUTED_VALUE"""),"")</f>
        <v/>
      </c>
      <c r="X8648" s="16" t="str">
        <f>IFERROR(__xludf.DUMMYFUNCTION("""COMPUTED_VALUE"""),"")</f>
        <v/>
      </c>
      <c r="AC8648" s="16" t="str">
        <f>IFERROR(__xludf.DUMMYFUNCTION("""COMPUTED_VALUE"""),"")</f>
        <v/>
      </c>
    </row>
    <row r="8649">
      <c r="A8649" s="16" t="s">
        <v>87</v>
      </c>
      <c r="E8649" s="16" t="str">
        <f>IFERROR(__xludf.DUMMYFUNCTION("""COMPUTED_VALUE"""),"")</f>
        <v/>
      </c>
      <c r="G8649" s="18"/>
      <c r="H8649" s="16" t="s">
        <v>87</v>
      </c>
      <c r="I8649" s="16" t="s">
        <v>87</v>
      </c>
      <c r="J8649" s="19"/>
      <c r="L8649" s="16" t="str">
        <f>IFERROR(__xludf.DUMMYFUNCTION("""COMPUTED_VALUE"""),"")</f>
        <v/>
      </c>
      <c r="M8649" s="16" t="str">
        <f>IFERROR(__xludf.DUMMYFUNCTION("""COMPUTED_VALUE"""),"")</f>
        <v/>
      </c>
      <c r="U8649" s="16" t="s">
        <v>87</v>
      </c>
      <c r="V8649" s="16" t="str">
        <f>IFERROR(__xludf.DUMMYFUNCTION("""COMPUTED_VALUE"""),"")</f>
        <v/>
      </c>
      <c r="W8649" s="16" t="str">
        <f>IFERROR(__xludf.DUMMYFUNCTION("""COMPUTED_VALUE"""),"")</f>
        <v/>
      </c>
      <c r="X8649" s="16" t="str">
        <f>IFERROR(__xludf.DUMMYFUNCTION("""COMPUTED_VALUE"""),"")</f>
        <v/>
      </c>
      <c r="AC8649" s="16" t="str">
        <f>IFERROR(__xludf.DUMMYFUNCTION("""COMPUTED_VALUE"""),"")</f>
        <v/>
      </c>
    </row>
    <row r="8650">
      <c r="A8650" s="16" t="s">
        <v>87</v>
      </c>
      <c r="E8650" s="16" t="str">
        <f>IFERROR(__xludf.DUMMYFUNCTION("""COMPUTED_VALUE"""),"")</f>
        <v/>
      </c>
      <c r="G8650" s="18"/>
      <c r="H8650" s="16" t="s">
        <v>87</v>
      </c>
      <c r="I8650" s="16" t="s">
        <v>87</v>
      </c>
      <c r="J8650" s="19"/>
      <c r="L8650" s="16" t="str">
        <f>IFERROR(__xludf.DUMMYFUNCTION("""COMPUTED_VALUE"""),"")</f>
        <v/>
      </c>
      <c r="M8650" s="16" t="str">
        <f>IFERROR(__xludf.DUMMYFUNCTION("""COMPUTED_VALUE"""),"")</f>
        <v/>
      </c>
      <c r="U8650" s="16" t="s">
        <v>87</v>
      </c>
      <c r="V8650" s="16" t="str">
        <f>IFERROR(__xludf.DUMMYFUNCTION("""COMPUTED_VALUE"""),"")</f>
        <v/>
      </c>
      <c r="W8650" s="16" t="str">
        <f>IFERROR(__xludf.DUMMYFUNCTION("""COMPUTED_VALUE"""),"")</f>
        <v/>
      </c>
      <c r="X8650" s="16" t="str">
        <f>IFERROR(__xludf.DUMMYFUNCTION("""COMPUTED_VALUE"""),"")</f>
        <v/>
      </c>
      <c r="AC8650" s="16" t="str">
        <f>IFERROR(__xludf.DUMMYFUNCTION("""COMPUTED_VALUE"""),"")</f>
        <v/>
      </c>
    </row>
    <row r="8651">
      <c r="A8651" s="16" t="s">
        <v>87</v>
      </c>
      <c r="E8651" s="16" t="str">
        <f>IFERROR(__xludf.DUMMYFUNCTION("""COMPUTED_VALUE"""),"")</f>
        <v/>
      </c>
      <c r="G8651" s="18"/>
      <c r="H8651" s="16" t="s">
        <v>87</v>
      </c>
      <c r="I8651" s="16" t="s">
        <v>87</v>
      </c>
      <c r="J8651" s="19"/>
      <c r="L8651" s="16" t="str">
        <f>IFERROR(__xludf.DUMMYFUNCTION("""COMPUTED_VALUE"""),"")</f>
        <v/>
      </c>
      <c r="M8651" s="16" t="str">
        <f>IFERROR(__xludf.DUMMYFUNCTION("""COMPUTED_VALUE"""),"")</f>
        <v/>
      </c>
      <c r="U8651" s="16" t="s">
        <v>87</v>
      </c>
      <c r="V8651" s="16" t="str">
        <f>IFERROR(__xludf.DUMMYFUNCTION("""COMPUTED_VALUE"""),"")</f>
        <v/>
      </c>
      <c r="W8651" s="16" t="str">
        <f>IFERROR(__xludf.DUMMYFUNCTION("""COMPUTED_VALUE"""),"")</f>
        <v/>
      </c>
      <c r="X8651" s="16" t="str">
        <f>IFERROR(__xludf.DUMMYFUNCTION("""COMPUTED_VALUE"""),"")</f>
        <v/>
      </c>
      <c r="AC8651" s="16" t="str">
        <f>IFERROR(__xludf.DUMMYFUNCTION("""COMPUTED_VALUE"""),"")</f>
        <v/>
      </c>
    </row>
    <row r="8652">
      <c r="A8652" s="16" t="s">
        <v>87</v>
      </c>
      <c r="E8652" s="16" t="str">
        <f>IFERROR(__xludf.DUMMYFUNCTION("""COMPUTED_VALUE"""),"")</f>
        <v/>
      </c>
      <c r="G8652" s="18"/>
      <c r="H8652" s="16" t="s">
        <v>87</v>
      </c>
      <c r="I8652" s="16" t="s">
        <v>87</v>
      </c>
      <c r="J8652" s="19"/>
      <c r="L8652" s="16" t="str">
        <f>IFERROR(__xludf.DUMMYFUNCTION("""COMPUTED_VALUE"""),"")</f>
        <v/>
      </c>
      <c r="M8652" s="16" t="str">
        <f>IFERROR(__xludf.DUMMYFUNCTION("""COMPUTED_VALUE"""),"")</f>
        <v/>
      </c>
      <c r="U8652" s="16" t="s">
        <v>87</v>
      </c>
      <c r="V8652" s="16" t="str">
        <f>IFERROR(__xludf.DUMMYFUNCTION("""COMPUTED_VALUE"""),"")</f>
        <v/>
      </c>
      <c r="W8652" s="16" t="str">
        <f>IFERROR(__xludf.DUMMYFUNCTION("""COMPUTED_VALUE"""),"")</f>
        <v/>
      </c>
      <c r="X8652" s="16" t="str">
        <f>IFERROR(__xludf.DUMMYFUNCTION("""COMPUTED_VALUE"""),"")</f>
        <v/>
      </c>
      <c r="AC8652" s="16" t="str">
        <f>IFERROR(__xludf.DUMMYFUNCTION("""COMPUTED_VALUE"""),"")</f>
        <v/>
      </c>
    </row>
    <row r="8653">
      <c r="A8653" s="16" t="s">
        <v>87</v>
      </c>
      <c r="E8653" s="16" t="str">
        <f>IFERROR(__xludf.DUMMYFUNCTION("""COMPUTED_VALUE"""),"")</f>
        <v/>
      </c>
      <c r="G8653" s="18"/>
      <c r="H8653" s="16" t="s">
        <v>87</v>
      </c>
      <c r="I8653" s="16" t="s">
        <v>87</v>
      </c>
      <c r="J8653" s="19"/>
      <c r="L8653" s="16" t="str">
        <f>IFERROR(__xludf.DUMMYFUNCTION("""COMPUTED_VALUE"""),"")</f>
        <v/>
      </c>
      <c r="M8653" s="16" t="str">
        <f>IFERROR(__xludf.DUMMYFUNCTION("""COMPUTED_VALUE"""),"")</f>
        <v/>
      </c>
      <c r="U8653" s="16" t="s">
        <v>87</v>
      </c>
      <c r="V8653" s="16" t="str">
        <f>IFERROR(__xludf.DUMMYFUNCTION("""COMPUTED_VALUE"""),"")</f>
        <v/>
      </c>
      <c r="W8653" s="16" t="str">
        <f>IFERROR(__xludf.DUMMYFUNCTION("""COMPUTED_VALUE"""),"")</f>
        <v/>
      </c>
      <c r="X8653" s="16" t="str">
        <f>IFERROR(__xludf.DUMMYFUNCTION("""COMPUTED_VALUE"""),"")</f>
        <v/>
      </c>
      <c r="AC8653" s="16" t="str">
        <f>IFERROR(__xludf.DUMMYFUNCTION("""COMPUTED_VALUE"""),"")</f>
        <v/>
      </c>
    </row>
    <row r="8654">
      <c r="A8654" s="16" t="s">
        <v>87</v>
      </c>
      <c r="E8654" s="16" t="str">
        <f>IFERROR(__xludf.DUMMYFUNCTION("""COMPUTED_VALUE"""),"")</f>
        <v/>
      </c>
      <c r="G8654" s="18"/>
      <c r="H8654" s="16" t="s">
        <v>87</v>
      </c>
      <c r="I8654" s="16" t="s">
        <v>87</v>
      </c>
      <c r="J8654" s="19"/>
      <c r="L8654" s="16" t="str">
        <f>IFERROR(__xludf.DUMMYFUNCTION("""COMPUTED_VALUE"""),"")</f>
        <v/>
      </c>
      <c r="M8654" s="16" t="str">
        <f>IFERROR(__xludf.DUMMYFUNCTION("""COMPUTED_VALUE"""),"")</f>
        <v/>
      </c>
      <c r="U8654" s="16" t="s">
        <v>87</v>
      </c>
      <c r="V8654" s="16" t="str">
        <f>IFERROR(__xludf.DUMMYFUNCTION("""COMPUTED_VALUE"""),"")</f>
        <v/>
      </c>
      <c r="W8654" s="16" t="str">
        <f>IFERROR(__xludf.DUMMYFUNCTION("""COMPUTED_VALUE"""),"")</f>
        <v/>
      </c>
      <c r="X8654" s="16" t="str">
        <f>IFERROR(__xludf.DUMMYFUNCTION("""COMPUTED_VALUE"""),"")</f>
        <v/>
      </c>
      <c r="AC8654" s="16" t="str">
        <f>IFERROR(__xludf.DUMMYFUNCTION("""COMPUTED_VALUE"""),"")</f>
        <v/>
      </c>
    </row>
    <row r="8655">
      <c r="A8655" s="16" t="s">
        <v>87</v>
      </c>
      <c r="E8655" s="16" t="str">
        <f>IFERROR(__xludf.DUMMYFUNCTION("""COMPUTED_VALUE"""),"")</f>
        <v/>
      </c>
      <c r="G8655" s="18"/>
      <c r="H8655" s="16" t="s">
        <v>87</v>
      </c>
      <c r="I8655" s="16" t="s">
        <v>87</v>
      </c>
      <c r="J8655" s="19"/>
      <c r="L8655" s="16" t="str">
        <f>IFERROR(__xludf.DUMMYFUNCTION("""COMPUTED_VALUE"""),"")</f>
        <v/>
      </c>
      <c r="M8655" s="16" t="str">
        <f>IFERROR(__xludf.DUMMYFUNCTION("""COMPUTED_VALUE"""),"")</f>
        <v/>
      </c>
      <c r="U8655" s="16" t="s">
        <v>87</v>
      </c>
      <c r="V8655" s="16" t="str">
        <f>IFERROR(__xludf.DUMMYFUNCTION("""COMPUTED_VALUE"""),"")</f>
        <v/>
      </c>
      <c r="W8655" s="16" t="str">
        <f>IFERROR(__xludf.DUMMYFUNCTION("""COMPUTED_VALUE"""),"")</f>
        <v/>
      </c>
      <c r="X8655" s="16" t="str">
        <f>IFERROR(__xludf.DUMMYFUNCTION("""COMPUTED_VALUE"""),"")</f>
        <v/>
      </c>
      <c r="AC8655" s="16" t="str">
        <f>IFERROR(__xludf.DUMMYFUNCTION("""COMPUTED_VALUE"""),"")</f>
        <v/>
      </c>
    </row>
    <row r="8656">
      <c r="A8656" s="16" t="s">
        <v>87</v>
      </c>
      <c r="E8656" s="16" t="str">
        <f>IFERROR(__xludf.DUMMYFUNCTION("""COMPUTED_VALUE"""),"")</f>
        <v/>
      </c>
      <c r="G8656" s="18"/>
      <c r="H8656" s="16" t="s">
        <v>87</v>
      </c>
      <c r="I8656" s="16" t="s">
        <v>87</v>
      </c>
      <c r="J8656" s="19"/>
      <c r="L8656" s="16" t="str">
        <f>IFERROR(__xludf.DUMMYFUNCTION("""COMPUTED_VALUE"""),"")</f>
        <v/>
      </c>
      <c r="M8656" s="16" t="str">
        <f>IFERROR(__xludf.DUMMYFUNCTION("""COMPUTED_VALUE"""),"")</f>
        <v/>
      </c>
      <c r="U8656" s="16" t="s">
        <v>87</v>
      </c>
      <c r="V8656" s="16" t="str">
        <f>IFERROR(__xludf.DUMMYFUNCTION("""COMPUTED_VALUE"""),"")</f>
        <v/>
      </c>
      <c r="W8656" s="16" t="str">
        <f>IFERROR(__xludf.DUMMYFUNCTION("""COMPUTED_VALUE"""),"")</f>
        <v/>
      </c>
      <c r="X8656" s="16" t="str">
        <f>IFERROR(__xludf.DUMMYFUNCTION("""COMPUTED_VALUE"""),"")</f>
        <v/>
      </c>
      <c r="AC8656" s="16" t="str">
        <f>IFERROR(__xludf.DUMMYFUNCTION("""COMPUTED_VALUE"""),"")</f>
        <v/>
      </c>
    </row>
    <row r="8657">
      <c r="A8657" s="16" t="s">
        <v>87</v>
      </c>
      <c r="E8657" s="16" t="str">
        <f>IFERROR(__xludf.DUMMYFUNCTION("""COMPUTED_VALUE"""),"")</f>
        <v/>
      </c>
      <c r="G8657" s="18"/>
      <c r="H8657" s="16" t="s">
        <v>87</v>
      </c>
      <c r="I8657" s="16" t="s">
        <v>87</v>
      </c>
      <c r="J8657" s="19"/>
      <c r="L8657" s="16" t="str">
        <f>IFERROR(__xludf.DUMMYFUNCTION("""COMPUTED_VALUE"""),"")</f>
        <v/>
      </c>
      <c r="M8657" s="16" t="str">
        <f>IFERROR(__xludf.DUMMYFUNCTION("""COMPUTED_VALUE"""),"")</f>
        <v/>
      </c>
      <c r="U8657" s="16" t="s">
        <v>87</v>
      </c>
      <c r="V8657" s="16" t="str">
        <f>IFERROR(__xludf.DUMMYFUNCTION("""COMPUTED_VALUE"""),"")</f>
        <v/>
      </c>
      <c r="W8657" s="16" t="str">
        <f>IFERROR(__xludf.DUMMYFUNCTION("""COMPUTED_VALUE"""),"")</f>
        <v/>
      </c>
      <c r="X8657" s="16" t="str">
        <f>IFERROR(__xludf.DUMMYFUNCTION("""COMPUTED_VALUE"""),"")</f>
        <v/>
      </c>
      <c r="AC8657" s="16" t="str">
        <f>IFERROR(__xludf.DUMMYFUNCTION("""COMPUTED_VALUE"""),"")</f>
        <v/>
      </c>
    </row>
    <row r="8658">
      <c r="A8658" s="16" t="s">
        <v>87</v>
      </c>
      <c r="E8658" s="16" t="str">
        <f>IFERROR(__xludf.DUMMYFUNCTION("""COMPUTED_VALUE"""),"")</f>
        <v/>
      </c>
      <c r="G8658" s="18"/>
      <c r="H8658" s="16" t="s">
        <v>87</v>
      </c>
      <c r="I8658" s="16" t="s">
        <v>87</v>
      </c>
      <c r="J8658" s="19"/>
      <c r="L8658" s="16" t="str">
        <f>IFERROR(__xludf.DUMMYFUNCTION("""COMPUTED_VALUE"""),"")</f>
        <v/>
      </c>
      <c r="M8658" s="16" t="str">
        <f>IFERROR(__xludf.DUMMYFUNCTION("""COMPUTED_VALUE"""),"")</f>
        <v/>
      </c>
      <c r="U8658" s="16" t="s">
        <v>87</v>
      </c>
      <c r="V8658" s="16" t="str">
        <f>IFERROR(__xludf.DUMMYFUNCTION("""COMPUTED_VALUE"""),"")</f>
        <v/>
      </c>
      <c r="W8658" s="16" t="str">
        <f>IFERROR(__xludf.DUMMYFUNCTION("""COMPUTED_VALUE"""),"")</f>
        <v/>
      </c>
      <c r="X8658" s="16" t="str">
        <f>IFERROR(__xludf.DUMMYFUNCTION("""COMPUTED_VALUE"""),"")</f>
        <v/>
      </c>
      <c r="AC8658" s="16" t="str">
        <f>IFERROR(__xludf.DUMMYFUNCTION("""COMPUTED_VALUE"""),"")</f>
        <v/>
      </c>
    </row>
    <row r="8659">
      <c r="A8659" s="16" t="s">
        <v>87</v>
      </c>
      <c r="E8659" s="16" t="str">
        <f>IFERROR(__xludf.DUMMYFUNCTION("""COMPUTED_VALUE"""),"")</f>
        <v/>
      </c>
      <c r="G8659" s="18"/>
      <c r="H8659" s="16" t="s">
        <v>87</v>
      </c>
      <c r="I8659" s="16" t="s">
        <v>87</v>
      </c>
      <c r="J8659" s="19"/>
      <c r="L8659" s="16" t="str">
        <f>IFERROR(__xludf.DUMMYFUNCTION("""COMPUTED_VALUE"""),"")</f>
        <v/>
      </c>
      <c r="M8659" s="16" t="str">
        <f>IFERROR(__xludf.DUMMYFUNCTION("""COMPUTED_VALUE"""),"")</f>
        <v/>
      </c>
      <c r="U8659" s="16" t="s">
        <v>87</v>
      </c>
      <c r="V8659" s="16" t="str">
        <f>IFERROR(__xludf.DUMMYFUNCTION("""COMPUTED_VALUE"""),"")</f>
        <v/>
      </c>
      <c r="W8659" s="16" t="str">
        <f>IFERROR(__xludf.DUMMYFUNCTION("""COMPUTED_VALUE"""),"")</f>
        <v/>
      </c>
      <c r="X8659" s="16" t="str">
        <f>IFERROR(__xludf.DUMMYFUNCTION("""COMPUTED_VALUE"""),"")</f>
        <v/>
      </c>
      <c r="AC8659" s="16" t="str">
        <f>IFERROR(__xludf.DUMMYFUNCTION("""COMPUTED_VALUE"""),"")</f>
        <v/>
      </c>
    </row>
    <row r="8660">
      <c r="A8660" s="16" t="s">
        <v>87</v>
      </c>
      <c r="E8660" s="16" t="str">
        <f>IFERROR(__xludf.DUMMYFUNCTION("""COMPUTED_VALUE"""),"")</f>
        <v/>
      </c>
      <c r="G8660" s="18"/>
      <c r="H8660" s="16" t="s">
        <v>87</v>
      </c>
      <c r="I8660" s="16" t="s">
        <v>87</v>
      </c>
      <c r="J8660" s="19"/>
      <c r="L8660" s="16" t="str">
        <f>IFERROR(__xludf.DUMMYFUNCTION("""COMPUTED_VALUE"""),"")</f>
        <v/>
      </c>
      <c r="M8660" s="16" t="str">
        <f>IFERROR(__xludf.DUMMYFUNCTION("""COMPUTED_VALUE"""),"")</f>
        <v/>
      </c>
      <c r="U8660" s="16" t="s">
        <v>87</v>
      </c>
      <c r="V8660" s="16" t="str">
        <f>IFERROR(__xludf.DUMMYFUNCTION("""COMPUTED_VALUE"""),"")</f>
        <v/>
      </c>
      <c r="W8660" s="16" t="str">
        <f>IFERROR(__xludf.DUMMYFUNCTION("""COMPUTED_VALUE"""),"")</f>
        <v/>
      </c>
      <c r="X8660" s="16" t="str">
        <f>IFERROR(__xludf.DUMMYFUNCTION("""COMPUTED_VALUE"""),"")</f>
        <v/>
      </c>
      <c r="AC8660" s="16" t="str">
        <f>IFERROR(__xludf.DUMMYFUNCTION("""COMPUTED_VALUE"""),"")</f>
        <v/>
      </c>
    </row>
    <row r="8661">
      <c r="A8661" s="16" t="s">
        <v>87</v>
      </c>
      <c r="E8661" s="16" t="str">
        <f>IFERROR(__xludf.DUMMYFUNCTION("""COMPUTED_VALUE"""),"")</f>
        <v/>
      </c>
      <c r="G8661" s="18"/>
      <c r="H8661" s="16" t="s">
        <v>87</v>
      </c>
      <c r="I8661" s="16" t="s">
        <v>87</v>
      </c>
      <c r="J8661" s="19"/>
      <c r="L8661" s="16" t="str">
        <f>IFERROR(__xludf.DUMMYFUNCTION("""COMPUTED_VALUE"""),"")</f>
        <v/>
      </c>
      <c r="M8661" s="16" t="str">
        <f>IFERROR(__xludf.DUMMYFUNCTION("""COMPUTED_VALUE"""),"")</f>
        <v/>
      </c>
      <c r="U8661" s="16" t="s">
        <v>87</v>
      </c>
      <c r="V8661" s="16" t="str">
        <f>IFERROR(__xludf.DUMMYFUNCTION("""COMPUTED_VALUE"""),"")</f>
        <v/>
      </c>
      <c r="W8661" s="16" t="str">
        <f>IFERROR(__xludf.DUMMYFUNCTION("""COMPUTED_VALUE"""),"")</f>
        <v/>
      </c>
      <c r="X8661" s="16" t="str">
        <f>IFERROR(__xludf.DUMMYFUNCTION("""COMPUTED_VALUE"""),"")</f>
        <v/>
      </c>
      <c r="AC8661" s="16" t="str">
        <f>IFERROR(__xludf.DUMMYFUNCTION("""COMPUTED_VALUE"""),"")</f>
        <v/>
      </c>
    </row>
    <row r="8662">
      <c r="A8662" s="16" t="s">
        <v>87</v>
      </c>
      <c r="E8662" s="16" t="str">
        <f>IFERROR(__xludf.DUMMYFUNCTION("""COMPUTED_VALUE"""),"")</f>
        <v/>
      </c>
      <c r="G8662" s="18"/>
      <c r="H8662" s="16" t="s">
        <v>87</v>
      </c>
      <c r="I8662" s="16" t="s">
        <v>87</v>
      </c>
      <c r="J8662" s="19"/>
      <c r="L8662" s="16" t="str">
        <f>IFERROR(__xludf.DUMMYFUNCTION("""COMPUTED_VALUE"""),"")</f>
        <v/>
      </c>
      <c r="M8662" s="16" t="str">
        <f>IFERROR(__xludf.DUMMYFUNCTION("""COMPUTED_VALUE"""),"")</f>
        <v/>
      </c>
      <c r="U8662" s="16" t="s">
        <v>87</v>
      </c>
      <c r="V8662" s="16" t="str">
        <f>IFERROR(__xludf.DUMMYFUNCTION("""COMPUTED_VALUE"""),"")</f>
        <v/>
      </c>
      <c r="W8662" s="16" t="str">
        <f>IFERROR(__xludf.DUMMYFUNCTION("""COMPUTED_VALUE"""),"")</f>
        <v/>
      </c>
      <c r="X8662" s="16" t="str">
        <f>IFERROR(__xludf.DUMMYFUNCTION("""COMPUTED_VALUE"""),"")</f>
        <v/>
      </c>
      <c r="AC8662" s="16" t="str">
        <f>IFERROR(__xludf.DUMMYFUNCTION("""COMPUTED_VALUE"""),"")</f>
        <v/>
      </c>
    </row>
    <row r="8663">
      <c r="A8663" s="16" t="s">
        <v>87</v>
      </c>
      <c r="E8663" s="16" t="str">
        <f>IFERROR(__xludf.DUMMYFUNCTION("""COMPUTED_VALUE"""),"")</f>
        <v/>
      </c>
      <c r="G8663" s="18"/>
      <c r="H8663" s="16" t="s">
        <v>87</v>
      </c>
      <c r="I8663" s="16" t="s">
        <v>87</v>
      </c>
      <c r="J8663" s="19"/>
      <c r="L8663" s="16" t="str">
        <f>IFERROR(__xludf.DUMMYFUNCTION("""COMPUTED_VALUE"""),"")</f>
        <v/>
      </c>
      <c r="M8663" s="16" t="str">
        <f>IFERROR(__xludf.DUMMYFUNCTION("""COMPUTED_VALUE"""),"")</f>
        <v/>
      </c>
      <c r="U8663" s="16" t="s">
        <v>87</v>
      </c>
      <c r="V8663" s="16" t="str">
        <f>IFERROR(__xludf.DUMMYFUNCTION("""COMPUTED_VALUE"""),"")</f>
        <v/>
      </c>
      <c r="W8663" s="16" t="str">
        <f>IFERROR(__xludf.DUMMYFUNCTION("""COMPUTED_VALUE"""),"")</f>
        <v/>
      </c>
      <c r="X8663" s="16" t="str">
        <f>IFERROR(__xludf.DUMMYFUNCTION("""COMPUTED_VALUE"""),"")</f>
        <v/>
      </c>
      <c r="AC8663" s="16" t="str">
        <f>IFERROR(__xludf.DUMMYFUNCTION("""COMPUTED_VALUE"""),"")</f>
        <v/>
      </c>
    </row>
    <row r="8664">
      <c r="A8664" s="16" t="s">
        <v>87</v>
      </c>
      <c r="E8664" s="16" t="str">
        <f>IFERROR(__xludf.DUMMYFUNCTION("""COMPUTED_VALUE"""),"")</f>
        <v/>
      </c>
      <c r="G8664" s="18"/>
      <c r="H8664" s="16" t="s">
        <v>87</v>
      </c>
      <c r="I8664" s="16" t="s">
        <v>87</v>
      </c>
      <c r="J8664" s="19"/>
      <c r="L8664" s="16" t="str">
        <f>IFERROR(__xludf.DUMMYFUNCTION("""COMPUTED_VALUE"""),"")</f>
        <v/>
      </c>
      <c r="M8664" s="16" t="str">
        <f>IFERROR(__xludf.DUMMYFUNCTION("""COMPUTED_VALUE"""),"")</f>
        <v/>
      </c>
      <c r="U8664" s="16" t="s">
        <v>87</v>
      </c>
      <c r="V8664" s="16" t="str">
        <f>IFERROR(__xludf.DUMMYFUNCTION("""COMPUTED_VALUE"""),"")</f>
        <v/>
      </c>
      <c r="W8664" s="16" t="str">
        <f>IFERROR(__xludf.DUMMYFUNCTION("""COMPUTED_VALUE"""),"")</f>
        <v/>
      </c>
      <c r="X8664" s="16" t="str">
        <f>IFERROR(__xludf.DUMMYFUNCTION("""COMPUTED_VALUE"""),"")</f>
        <v/>
      </c>
      <c r="AC8664" s="16" t="str">
        <f>IFERROR(__xludf.DUMMYFUNCTION("""COMPUTED_VALUE"""),"")</f>
        <v/>
      </c>
    </row>
    <row r="8665">
      <c r="A8665" s="16" t="s">
        <v>87</v>
      </c>
      <c r="E8665" s="16" t="str">
        <f>IFERROR(__xludf.DUMMYFUNCTION("""COMPUTED_VALUE"""),"")</f>
        <v/>
      </c>
      <c r="G8665" s="18"/>
      <c r="H8665" s="16" t="s">
        <v>87</v>
      </c>
      <c r="I8665" s="16" t="s">
        <v>87</v>
      </c>
      <c r="J8665" s="19"/>
      <c r="L8665" s="16" t="str">
        <f>IFERROR(__xludf.DUMMYFUNCTION("""COMPUTED_VALUE"""),"")</f>
        <v/>
      </c>
      <c r="M8665" s="16" t="str">
        <f>IFERROR(__xludf.DUMMYFUNCTION("""COMPUTED_VALUE"""),"")</f>
        <v/>
      </c>
      <c r="U8665" s="16" t="s">
        <v>87</v>
      </c>
      <c r="V8665" s="16" t="str">
        <f>IFERROR(__xludf.DUMMYFUNCTION("""COMPUTED_VALUE"""),"")</f>
        <v/>
      </c>
      <c r="W8665" s="16" t="str">
        <f>IFERROR(__xludf.DUMMYFUNCTION("""COMPUTED_VALUE"""),"")</f>
        <v/>
      </c>
      <c r="X8665" s="16" t="str">
        <f>IFERROR(__xludf.DUMMYFUNCTION("""COMPUTED_VALUE"""),"")</f>
        <v/>
      </c>
      <c r="AC8665" s="16" t="str">
        <f>IFERROR(__xludf.DUMMYFUNCTION("""COMPUTED_VALUE"""),"")</f>
        <v/>
      </c>
    </row>
    <row r="8666">
      <c r="A8666" s="16" t="s">
        <v>87</v>
      </c>
      <c r="E8666" s="16" t="str">
        <f>IFERROR(__xludf.DUMMYFUNCTION("""COMPUTED_VALUE"""),"")</f>
        <v/>
      </c>
      <c r="G8666" s="18"/>
      <c r="H8666" s="16" t="s">
        <v>87</v>
      </c>
      <c r="I8666" s="16" t="s">
        <v>87</v>
      </c>
      <c r="J8666" s="19"/>
      <c r="L8666" s="16" t="str">
        <f>IFERROR(__xludf.DUMMYFUNCTION("""COMPUTED_VALUE"""),"")</f>
        <v/>
      </c>
      <c r="M8666" s="16" t="str">
        <f>IFERROR(__xludf.DUMMYFUNCTION("""COMPUTED_VALUE"""),"")</f>
        <v/>
      </c>
      <c r="U8666" s="16" t="s">
        <v>87</v>
      </c>
      <c r="V8666" s="16" t="str">
        <f>IFERROR(__xludf.DUMMYFUNCTION("""COMPUTED_VALUE"""),"")</f>
        <v/>
      </c>
      <c r="W8666" s="16" t="str">
        <f>IFERROR(__xludf.DUMMYFUNCTION("""COMPUTED_VALUE"""),"")</f>
        <v/>
      </c>
      <c r="X8666" s="16" t="str">
        <f>IFERROR(__xludf.DUMMYFUNCTION("""COMPUTED_VALUE"""),"")</f>
        <v/>
      </c>
      <c r="AC8666" s="16" t="str">
        <f>IFERROR(__xludf.DUMMYFUNCTION("""COMPUTED_VALUE"""),"")</f>
        <v/>
      </c>
    </row>
    <row r="8667">
      <c r="A8667" s="16" t="s">
        <v>87</v>
      </c>
      <c r="E8667" s="16" t="str">
        <f>IFERROR(__xludf.DUMMYFUNCTION("""COMPUTED_VALUE"""),"")</f>
        <v/>
      </c>
      <c r="G8667" s="18"/>
      <c r="H8667" s="16" t="s">
        <v>87</v>
      </c>
      <c r="I8667" s="16" t="s">
        <v>87</v>
      </c>
      <c r="J8667" s="19"/>
      <c r="L8667" s="16" t="str">
        <f>IFERROR(__xludf.DUMMYFUNCTION("""COMPUTED_VALUE"""),"")</f>
        <v/>
      </c>
      <c r="M8667" s="16" t="str">
        <f>IFERROR(__xludf.DUMMYFUNCTION("""COMPUTED_VALUE"""),"")</f>
        <v/>
      </c>
      <c r="U8667" s="16" t="s">
        <v>87</v>
      </c>
      <c r="V8667" s="16" t="str">
        <f>IFERROR(__xludf.DUMMYFUNCTION("""COMPUTED_VALUE"""),"")</f>
        <v/>
      </c>
      <c r="W8667" s="16" t="str">
        <f>IFERROR(__xludf.DUMMYFUNCTION("""COMPUTED_VALUE"""),"")</f>
        <v/>
      </c>
      <c r="X8667" s="16" t="str">
        <f>IFERROR(__xludf.DUMMYFUNCTION("""COMPUTED_VALUE"""),"")</f>
        <v/>
      </c>
      <c r="AC8667" s="16" t="str">
        <f>IFERROR(__xludf.DUMMYFUNCTION("""COMPUTED_VALUE"""),"")</f>
        <v/>
      </c>
    </row>
    <row r="8668">
      <c r="A8668" s="16" t="s">
        <v>87</v>
      </c>
      <c r="E8668" s="16" t="str">
        <f>IFERROR(__xludf.DUMMYFUNCTION("""COMPUTED_VALUE"""),"")</f>
        <v/>
      </c>
      <c r="G8668" s="18"/>
      <c r="H8668" s="16" t="s">
        <v>87</v>
      </c>
      <c r="I8668" s="16" t="s">
        <v>87</v>
      </c>
      <c r="J8668" s="19"/>
      <c r="L8668" s="16" t="str">
        <f>IFERROR(__xludf.DUMMYFUNCTION("""COMPUTED_VALUE"""),"")</f>
        <v/>
      </c>
      <c r="M8668" s="16" t="str">
        <f>IFERROR(__xludf.DUMMYFUNCTION("""COMPUTED_VALUE"""),"")</f>
        <v/>
      </c>
      <c r="U8668" s="16" t="s">
        <v>87</v>
      </c>
      <c r="V8668" s="16" t="str">
        <f>IFERROR(__xludf.DUMMYFUNCTION("""COMPUTED_VALUE"""),"")</f>
        <v/>
      </c>
      <c r="W8668" s="16" t="str">
        <f>IFERROR(__xludf.DUMMYFUNCTION("""COMPUTED_VALUE"""),"")</f>
        <v/>
      </c>
      <c r="X8668" s="16" t="str">
        <f>IFERROR(__xludf.DUMMYFUNCTION("""COMPUTED_VALUE"""),"")</f>
        <v/>
      </c>
      <c r="AC8668" s="16" t="str">
        <f>IFERROR(__xludf.DUMMYFUNCTION("""COMPUTED_VALUE"""),"")</f>
        <v/>
      </c>
    </row>
    <row r="8669">
      <c r="A8669" s="16" t="s">
        <v>87</v>
      </c>
      <c r="E8669" s="16" t="str">
        <f>IFERROR(__xludf.DUMMYFUNCTION("""COMPUTED_VALUE"""),"")</f>
        <v/>
      </c>
      <c r="G8669" s="18"/>
      <c r="H8669" s="16" t="s">
        <v>87</v>
      </c>
      <c r="I8669" s="16" t="s">
        <v>87</v>
      </c>
      <c r="J8669" s="19"/>
      <c r="L8669" s="16" t="str">
        <f>IFERROR(__xludf.DUMMYFUNCTION("""COMPUTED_VALUE"""),"")</f>
        <v/>
      </c>
      <c r="M8669" s="16" t="str">
        <f>IFERROR(__xludf.DUMMYFUNCTION("""COMPUTED_VALUE"""),"")</f>
        <v/>
      </c>
      <c r="U8669" s="16" t="s">
        <v>87</v>
      </c>
      <c r="V8669" s="16" t="str">
        <f>IFERROR(__xludf.DUMMYFUNCTION("""COMPUTED_VALUE"""),"")</f>
        <v/>
      </c>
      <c r="W8669" s="16" t="str">
        <f>IFERROR(__xludf.DUMMYFUNCTION("""COMPUTED_VALUE"""),"")</f>
        <v/>
      </c>
      <c r="X8669" s="16" t="str">
        <f>IFERROR(__xludf.DUMMYFUNCTION("""COMPUTED_VALUE"""),"")</f>
        <v/>
      </c>
      <c r="AC8669" s="16" t="str">
        <f>IFERROR(__xludf.DUMMYFUNCTION("""COMPUTED_VALUE"""),"")</f>
        <v/>
      </c>
    </row>
    <row r="8670">
      <c r="A8670" s="16" t="s">
        <v>87</v>
      </c>
      <c r="E8670" s="16" t="str">
        <f>IFERROR(__xludf.DUMMYFUNCTION("""COMPUTED_VALUE"""),"")</f>
        <v/>
      </c>
      <c r="G8670" s="18"/>
      <c r="H8670" s="16" t="s">
        <v>87</v>
      </c>
      <c r="I8670" s="16" t="s">
        <v>87</v>
      </c>
      <c r="J8670" s="19"/>
      <c r="L8670" s="16" t="str">
        <f>IFERROR(__xludf.DUMMYFUNCTION("""COMPUTED_VALUE"""),"")</f>
        <v/>
      </c>
      <c r="M8670" s="16" t="str">
        <f>IFERROR(__xludf.DUMMYFUNCTION("""COMPUTED_VALUE"""),"")</f>
        <v/>
      </c>
      <c r="U8670" s="16" t="s">
        <v>87</v>
      </c>
      <c r="V8670" s="16" t="str">
        <f>IFERROR(__xludf.DUMMYFUNCTION("""COMPUTED_VALUE"""),"")</f>
        <v/>
      </c>
      <c r="W8670" s="16" t="str">
        <f>IFERROR(__xludf.DUMMYFUNCTION("""COMPUTED_VALUE"""),"")</f>
        <v/>
      </c>
      <c r="X8670" s="16" t="str">
        <f>IFERROR(__xludf.DUMMYFUNCTION("""COMPUTED_VALUE"""),"")</f>
        <v/>
      </c>
      <c r="AC8670" s="16" t="str">
        <f>IFERROR(__xludf.DUMMYFUNCTION("""COMPUTED_VALUE"""),"")</f>
        <v/>
      </c>
    </row>
    <row r="8671">
      <c r="A8671" s="16" t="s">
        <v>87</v>
      </c>
      <c r="E8671" s="16" t="str">
        <f>IFERROR(__xludf.DUMMYFUNCTION("""COMPUTED_VALUE"""),"")</f>
        <v/>
      </c>
      <c r="G8671" s="18"/>
      <c r="H8671" s="16" t="s">
        <v>87</v>
      </c>
      <c r="I8671" s="16" t="s">
        <v>87</v>
      </c>
      <c r="J8671" s="19"/>
      <c r="L8671" s="16" t="str">
        <f>IFERROR(__xludf.DUMMYFUNCTION("""COMPUTED_VALUE"""),"")</f>
        <v/>
      </c>
      <c r="M8671" s="16" t="str">
        <f>IFERROR(__xludf.DUMMYFUNCTION("""COMPUTED_VALUE"""),"")</f>
        <v/>
      </c>
      <c r="U8671" s="16" t="s">
        <v>87</v>
      </c>
      <c r="V8671" s="16" t="str">
        <f>IFERROR(__xludf.DUMMYFUNCTION("""COMPUTED_VALUE"""),"")</f>
        <v/>
      </c>
      <c r="W8671" s="16" t="str">
        <f>IFERROR(__xludf.DUMMYFUNCTION("""COMPUTED_VALUE"""),"")</f>
        <v/>
      </c>
      <c r="X8671" s="16" t="str">
        <f>IFERROR(__xludf.DUMMYFUNCTION("""COMPUTED_VALUE"""),"")</f>
        <v/>
      </c>
      <c r="AC8671" s="16" t="str">
        <f>IFERROR(__xludf.DUMMYFUNCTION("""COMPUTED_VALUE"""),"")</f>
        <v/>
      </c>
    </row>
    <row r="8672">
      <c r="A8672" s="16" t="s">
        <v>87</v>
      </c>
      <c r="E8672" s="16" t="str">
        <f>IFERROR(__xludf.DUMMYFUNCTION("""COMPUTED_VALUE"""),"")</f>
        <v/>
      </c>
      <c r="G8672" s="18"/>
      <c r="H8672" s="16" t="s">
        <v>87</v>
      </c>
      <c r="I8672" s="16" t="s">
        <v>87</v>
      </c>
      <c r="J8672" s="19"/>
      <c r="L8672" s="16" t="str">
        <f>IFERROR(__xludf.DUMMYFUNCTION("""COMPUTED_VALUE"""),"")</f>
        <v/>
      </c>
      <c r="M8672" s="16" t="str">
        <f>IFERROR(__xludf.DUMMYFUNCTION("""COMPUTED_VALUE"""),"")</f>
        <v/>
      </c>
      <c r="U8672" s="16" t="s">
        <v>87</v>
      </c>
      <c r="V8672" s="16" t="str">
        <f>IFERROR(__xludf.DUMMYFUNCTION("""COMPUTED_VALUE"""),"")</f>
        <v/>
      </c>
      <c r="W8672" s="16" t="str">
        <f>IFERROR(__xludf.DUMMYFUNCTION("""COMPUTED_VALUE"""),"")</f>
        <v/>
      </c>
      <c r="X8672" s="16" t="str">
        <f>IFERROR(__xludf.DUMMYFUNCTION("""COMPUTED_VALUE"""),"")</f>
        <v/>
      </c>
      <c r="AC8672" s="16" t="str">
        <f>IFERROR(__xludf.DUMMYFUNCTION("""COMPUTED_VALUE"""),"")</f>
        <v/>
      </c>
    </row>
    <row r="8673">
      <c r="A8673" s="16" t="s">
        <v>87</v>
      </c>
      <c r="E8673" s="16" t="str">
        <f>IFERROR(__xludf.DUMMYFUNCTION("""COMPUTED_VALUE"""),"")</f>
        <v/>
      </c>
      <c r="G8673" s="18"/>
      <c r="H8673" s="16" t="s">
        <v>87</v>
      </c>
      <c r="I8673" s="16" t="s">
        <v>87</v>
      </c>
      <c r="J8673" s="19"/>
      <c r="L8673" s="16" t="str">
        <f>IFERROR(__xludf.DUMMYFUNCTION("""COMPUTED_VALUE"""),"")</f>
        <v/>
      </c>
      <c r="M8673" s="16" t="str">
        <f>IFERROR(__xludf.DUMMYFUNCTION("""COMPUTED_VALUE"""),"")</f>
        <v/>
      </c>
      <c r="U8673" s="16" t="s">
        <v>87</v>
      </c>
      <c r="V8673" s="16" t="str">
        <f>IFERROR(__xludf.DUMMYFUNCTION("""COMPUTED_VALUE"""),"")</f>
        <v/>
      </c>
      <c r="W8673" s="16" t="str">
        <f>IFERROR(__xludf.DUMMYFUNCTION("""COMPUTED_VALUE"""),"")</f>
        <v/>
      </c>
      <c r="X8673" s="16" t="str">
        <f>IFERROR(__xludf.DUMMYFUNCTION("""COMPUTED_VALUE"""),"")</f>
        <v/>
      </c>
      <c r="AC8673" s="16" t="str">
        <f>IFERROR(__xludf.DUMMYFUNCTION("""COMPUTED_VALUE"""),"")</f>
        <v/>
      </c>
    </row>
    <row r="8674">
      <c r="A8674" s="16" t="s">
        <v>87</v>
      </c>
      <c r="E8674" s="16" t="str">
        <f>IFERROR(__xludf.DUMMYFUNCTION("""COMPUTED_VALUE"""),"")</f>
        <v/>
      </c>
      <c r="G8674" s="18"/>
      <c r="H8674" s="16" t="s">
        <v>87</v>
      </c>
      <c r="I8674" s="16" t="s">
        <v>87</v>
      </c>
      <c r="J8674" s="19"/>
      <c r="L8674" s="16" t="str">
        <f>IFERROR(__xludf.DUMMYFUNCTION("""COMPUTED_VALUE"""),"")</f>
        <v/>
      </c>
      <c r="M8674" s="16" t="str">
        <f>IFERROR(__xludf.DUMMYFUNCTION("""COMPUTED_VALUE"""),"")</f>
        <v/>
      </c>
      <c r="U8674" s="16" t="s">
        <v>87</v>
      </c>
      <c r="V8674" s="16" t="str">
        <f>IFERROR(__xludf.DUMMYFUNCTION("""COMPUTED_VALUE"""),"")</f>
        <v/>
      </c>
      <c r="W8674" s="16" t="str">
        <f>IFERROR(__xludf.DUMMYFUNCTION("""COMPUTED_VALUE"""),"")</f>
        <v/>
      </c>
      <c r="X8674" s="16" t="str">
        <f>IFERROR(__xludf.DUMMYFUNCTION("""COMPUTED_VALUE"""),"")</f>
        <v/>
      </c>
      <c r="AC8674" s="16" t="str">
        <f>IFERROR(__xludf.DUMMYFUNCTION("""COMPUTED_VALUE"""),"")</f>
        <v/>
      </c>
    </row>
    <row r="8675">
      <c r="A8675" s="16" t="s">
        <v>87</v>
      </c>
      <c r="E8675" s="16" t="str">
        <f>IFERROR(__xludf.DUMMYFUNCTION("""COMPUTED_VALUE"""),"")</f>
        <v/>
      </c>
      <c r="G8675" s="18"/>
      <c r="H8675" s="16" t="s">
        <v>87</v>
      </c>
      <c r="I8675" s="16" t="s">
        <v>87</v>
      </c>
      <c r="J8675" s="19"/>
      <c r="L8675" s="16" t="str">
        <f>IFERROR(__xludf.DUMMYFUNCTION("""COMPUTED_VALUE"""),"")</f>
        <v/>
      </c>
      <c r="M8675" s="16" t="str">
        <f>IFERROR(__xludf.DUMMYFUNCTION("""COMPUTED_VALUE"""),"")</f>
        <v/>
      </c>
      <c r="U8675" s="16" t="s">
        <v>87</v>
      </c>
      <c r="V8675" s="16" t="str">
        <f>IFERROR(__xludf.DUMMYFUNCTION("""COMPUTED_VALUE"""),"")</f>
        <v/>
      </c>
      <c r="W8675" s="16" t="str">
        <f>IFERROR(__xludf.DUMMYFUNCTION("""COMPUTED_VALUE"""),"")</f>
        <v/>
      </c>
      <c r="X8675" s="16" t="str">
        <f>IFERROR(__xludf.DUMMYFUNCTION("""COMPUTED_VALUE"""),"")</f>
        <v/>
      </c>
      <c r="AC8675" s="16" t="str">
        <f>IFERROR(__xludf.DUMMYFUNCTION("""COMPUTED_VALUE"""),"")</f>
        <v/>
      </c>
    </row>
    <row r="8676">
      <c r="A8676" s="16" t="s">
        <v>87</v>
      </c>
      <c r="E8676" s="16" t="str">
        <f>IFERROR(__xludf.DUMMYFUNCTION("""COMPUTED_VALUE"""),"")</f>
        <v/>
      </c>
      <c r="G8676" s="18"/>
      <c r="H8676" s="16" t="s">
        <v>87</v>
      </c>
      <c r="I8676" s="16" t="s">
        <v>87</v>
      </c>
      <c r="J8676" s="19"/>
      <c r="L8676" s="16" t="str">
        <f>IFERROR(__xludf.DUMMYFUNCTION("""COMPUTED_VALUE"""),"")</f>
        <v/>
      </c>
      <c r="M8676" s="16" t="str">
        <f>IFERROR(__xludf.DUMMYFUNCTION("""COMPUTED_VALUE"""),"")</f>
        <v/>
      </c>
      <c r="U8676" s="16" t="s">
        <v>87</v>
      </c>
      <c r="V8676" s="16" t="str">
        <f>IFERROR(__xludf.DUMMYFUNCTION("""COMPUTED_VALUE"""),"")</f>
        <v/>
      </c>
      <c r="W8676" s="16" t="str">
        <f>IFERROR(__xludf.DUMMYFUNCTION("""COMPUTED_VALUE"""),"")</f>
        <v/>
      </c>
      <c r="X8676" s="16" t="str">
        <f>IFERROR(__xludf.DUMMYFUNCTION("""COMPUTED_VALUE"""),"")</f>
        <v/>
      </c>
      <c r="AC8676" s="16" t="str">
        <f>IFERROR(__xludf.DUMMYFUNCTION("""COMPUTED_VALUE"""),"")</f>
        <v/>
      </c>
    </row>
    <row r="8677">
      <c r="A8677" s="16" t="s">
        <v>87</v>
      </c>
      <c r="E8677" s="16" t="str">
        <f>IFERROR(__xludf.DUMMYFUNCTION("""COMPUTED_VALUE"""),"")</f>
        <v/>
      </c>
      <c r="G8677" s="18"/>
      <c r="H8677" s="16" t="s">
        <v>87</v>
      </c>
      <c r="I8677" s="16" t="s">
        <v>87</v>
      </c>
      <c r="J8677" s="19"/>
      <c r="L8677" s="16" t="str">
        <f>IFERROR(__xludf.DUMMYFUNCTION("""COMPUTED_VALUE"""),"")</f>
        <v/>
      </c>
      <c r="M8677" s="16" t="str">
        <f>IFERROR(__xludf.DUMMYFUNCTION("""COMPUTED_VALUE"""),"")</f>
        <v/>
      </c>
      <c r="U8677" s="16" t="s">
        <v>87</v>
      </c>
      <c r="V8677" s="16" t="str">
        <f>IFERROR(__xludf.DUMMYFUNCTION("""COMPUTED_VALUE"""),"")</f>
        <v/>
      </c>
      <c r="W8677" s="16" t="str">
        <f>IFERROR(__xludf.DUMMYFUNCTION("""COMPUTED_VALUE"""),"")</f>
        <v/>
      </c>
      <c r="X8677" s="16" t="str">
        <f>IFERROR(__xludf.DUMMYFUNCTION("""COMPUTED_VALUE"""),"")</f>
        <v/>
      </c>
      <c r="AC8677" s="16" t="str">
        <f>IFERROR(__xludf.DUMMYFUNCTION("""COMPUTED_VALUE"""),"")</f>
        <v/>
      </c>
    </row>
    <row r="8678">
      <c r="A8678" s="16" t="s">
        <v>87</v>
      </c>
      <c r="E8678" s="16" t="str">
        <f>IFERROR(__xludf.DUMMYFUNCTION("""COMPUTED_VALUE"""),"")</f>
        <v/>
      </c>
      <c r="G8678" s="18"/>
      <c r="H8678" s="16" t="s">
        <v>87</v>
      </c>
      <c r="I8678" s="16" t="s">
        <v>87</v>
      </c>
      <c r="J8678" s="19"/>
      <c r="L8678" s="16" t="str">
        <f>IFERROR(__xludf.DUMMYFUNCTION("""COMPUTED_VALUE"""),"")</f>
        <v/>
      </c>
      <c r="M8678" s="16" t="str">
        <f>IFERROR(__xludf.DUMMYFUNCTION("""COMPUTED_VALUE"""),"")</f>
        <v/>
      </c>
      <c r="U8678" s="16" t="s">
        <v>87</v>
      </c>
      <c r="V8678" s="16" t="str">
        <f>IFERROR(__xludf.DUMMYFUNCTION("""COMPUTED_VALUE"""),"")</f>
        <v/>
      </c>
      <c r="W8678" s="16" t="str">
        <f>IFERROR(__xludf.DUMMYFUNCTION("""COMPUTED_VALUE"""),"")</f>
        <v/>
      </c>
      <c r="X8678" s="16" t="str">
        <f>IFERROR(__xludf.DUMMYFUNCTION("""COMPUTED_VALUE"""),"")</f>
        <v/>
      </c>
      <c r="AC8678" s="16" t="str">
        <f>IFERROR(__xludf.DUMMYFUNCTION("""COMPUTED_VALUE"""),"")</f>
        <v/>
      </c>
    </row>
    <row r="8679">
      <c r="A8679" s="16" t="s">
        <v>87</v>
      </c>
      <c r="E8679" s="16" t="str">
        <f>IFERROR(__xludf.DUMMYFUNCTION("""COMPUTED_VALUE"""),"")</f>
        <v/>
      </c>
      <c r="G8679" s="18"/>
      <c r="H8679" s="16" t="s">
        <v>87</v>
      </c>
      <c r="I8679" s="16" t="s">
        <v>87</v>
      </c>
      <c r="J8679" s="19"/>
      <c r="L8679" s="16" t="str">
        <f>IFERROR(__xludf.DUMMYFUNCTION("""COMPUTED_VALUE"""),"")</f>
        <v/>
      </c>
      <c r="M8679" s="16" t="str">
        <f>IFERROR(__xludf.DUMMYFUNCTION("""COMPUTED_VALUE"""),"")</f>
        <v/>
      </c>
      <c r="U8679" s="16" t="s">
        <v>87</v>
      </c>
      <c r="V8679" s="16" t="str">
        <f>IFERROR(__xludf.DUMMYFUNCTION("""COMPUTED_VALUE"""),"")</f>
        <v/>
      </c>
      <c r="W8679" s="16" t="str">
        <f>IFERROR(__xludf.DUMMYFUNCTION("""COMPUTED_VALUE"""),"")</f>
        <v/>
      </c>
      <c r="X8679" s="16" t="str">
        <f>IFERROR(__xludf.DUMMYFUNCTION("""COMPUTED_VALUE"""),"")</f>
        <v/>
      </c>
      <c r="AC8679" s="16" t="str">
        <f>IFERROR(__xludf.DUMMYFUNCTION("""COMPUTED_VALUE"""),"")</f>
        <v/>
      </c>
    </row>
    <row r="8680">
      <c r="A8680" s="16" t="s">
        <v>87</v>
      </c>
      <c r="E8680" s="16" t="str">
        <f>IFERROR(__xludf.DUMMYFUNCTION("""COMPUTED_VALUE"""),"")</f>
        <v/>
      </c>
      <c r="G8680" s="18"/>
      <c r="H8680" s="16" t="s">
        <v>87</v>
      </c>
      <c r="I8680" s="16" t="s">
        <v>87</v>
      </c>
      <c r="J8680" s="19"/>
      <c r="L8680" s="16" t="str">
        <f>IFERROR(__xludf.DUMMYFUNCTION("""COMPUTED_VALUE"""),"")</f>
        <v/>
      </c>
      <c r="M8680" s="16" t="str">
        <f>IFERROR(__xludf.DUMMYFUNCTION("""COMPUTED_VALUE"""),"")</f>
        <v/>
      </c>
      <c r="U8680" s="16" t="s">
        <v>87</v>
      </c>
      <c r="V8680" s="16" t="str">
        <f>IFERROR(__xludf.DUMMYFUNCTION("""COMPUTED_VALUE"""),"")</f>
        <v/>
      </c>
      <c r="W8680" s="16" t="str">
        <f>IFERROR(__xludf.DUMMYFUNCTION("""COMPUTED_VALUE"""),"")</f>
        <v/>
      </c>
      <c r="X8680" s="16" t="str">
        <f>IFERROR(__xludf.DUMMYFUNCTION("""COMPUTED_VALUE"""),"")</f>
        <v/>
      </c>
      <c r="AC8680" s="16" t="str">
        <f>IFERROR(__xludf.DUMMYFUNCTION("""COMPUTED_VALUE"""),"")</f>
        <v/>
      </c>
    </row>
    <row r="8681">
      <c r="A8681" s="16" t="s">
        <v>87</v>
      </c>
      <c r="E8681" s="16" t="str">
        <f>IFERROR(__xludf.DUMMYFUNCTION("""COMPUTED_VALUE"""),"")</f>
        <v/>
      </c>
      <c r="G8681" s="18"/>
      <c r="H8681" s="16" t="s">
        <v>87</v>
      </c>
      <c r="I8681" s="16" t="s">
        <v>87</v>
      </c>
      <c r="J8681" s="19"/>
      <c r="L8681" s="16" t="str">
        <f>IFERROR(__xludf.DUMMYFUNCTION("""COMPUTED_VALUE"""),"")</f>
        <v/>
      </c>
      <c r="M8681" s="16" t="str">
        <f>IFERROR(__xludf.DUMMYFUNCTION("""COMPUTED_VALUE"""),"")</f>
        <v/>
      </c>
      <c r="U8681" s="16" t="s">
        <v>87</v>
      </c>
      <c r="V8681" s="16" t="str">
        <f>IFERROR(__xludf.DUMMYFUNCTION("""COMPUTED_VALUE"""),"")</f>
        <v/>
      </c>
      <c r="W8681" s="16" t="str">
        <f>IFERROR(__xludf.DUMMYFUNCTION("""COMPUTED_VALUE"""),"")</f>
        <v/>
      </c>
      <c r="X8681" s="16" t="str">
        <f>IFERROR(__xludf.DUMMYFUNCTION("""COMPUTED_VALUE"""),"")</f>
        <v/>
      </c>
      <c r="AC8681" s="16" t="str">
        <f>IFERROR(__xludf.DUMMYFUNCTION("""COMPUTED_VALUE"""),"")</f>
        <v/>
      </c>
    </row>
    <row r="8682">
      <c r="A8682" s="16" t="s">
        <v>87</v>
      </c>
      <c r="E8682" s="16" t="str">
        <f>IFERROR(__xludf.DUMMYFUNCTION("""COMPUTED_VALUE"""),"")</f>
        <v/>
      </c>
      <c r="G8682" s="18"/>
      <c r="H8682" s="16" t="s">
        <v>87</v>
      </c>
      <c r="I8682" s="16" t="s">
        <v>87</v>
      </c>
      <c r="J8682" s="19"/>
      <c r="L8682" s="16" t="str">
        <f>IFERROR(__xludf.DUMMYFUNCTION("""COMPUTED_VALUE"""),"")</f>
        <v/>
      </c>
      <c r="M8682" s="16" t="str">
        <f>IFERROR(__xludf.DUMMYFUNCTION("""COMPUTED_VALUE"""),"")</f>
        <v/>
      </c>
      <c r="U8682" s="16" t="s">
        <v>87</v>
      </c>
      <c r="V8682" s="16" t="str">
        <f>IFERROR(__xludf.DUMMYFUNCTION("""COMPUTED_VALUE"""),"")</f>
        <v/>
      </c>
      <c r="W8682" s="16" t="str">
        <f>IFERROR(__xludf.DUMMYFUNCTION("""COMPUTED_VALUE"""),"")</f>
        <v/>
      </c>
      <c r="X8682" s="16" t="str">
        <f>IFERROR(__xludf.DUMMYFUNCTION("""COMPUTED_VALUE"""),"")</f>
        <v/>
      </c>
      <c r="AC8682" s="16" t="str">
        <f>IFERROR(__xludf.DUMMYFUNCTION("""COMPUTED_VALUE"""),"")</f>
        <v/>
      </c>
    </row>
    <row r="8683">
      <c r="A8683" s="16" t="s">
        <v>87</v>
      </c>
      <c r="E8683" s="16" t="str">
        <f>IFERROR(__xludf.DUMMYFUNCTION("""COMPUTED_VALUE"""),"")</f>
        <v/>
      </c>
      <c r="G8683" s="18"/>
      <c r="H8683" s="16" t="s">
        <v>87</v>
      </c>
      <c r="I8683" s="16" t="s">
        <v>87</v>
      </c>
      <c r="J8683" s="19"/>
      <c r="L8683" s="16" t="str">
        <f>IFERROR(__xludf.DUMMYFUNCTION("""COMPUTED_VALUE"""),"")</f>
        <v/>
      </c>
      <c r="M8683" s="16" t="str">
        <f>IFERROR(__xludf.DUMMYFUNCTION("""COMPUTED_VALUE"""),"")</f>
        <v/>
      </c>
      <c r="U8683" s="16" t="s">
        <v>87</v>
      </c>
      <c r="V8683" s="16" t="str">
        <f>IFERROR(__xludf.DUMMYFUNCTION("""COMPUTED_VALUE"""),"")</f>
        <v/>
      </c>
      <c r="W8683" s="16" t="str">
        <f>IFERROR(__xludf.DUMMYFUNCTION("""COMPUTED_VALUE"""),"")</f>
        <v/>
      </c>
      <c r="X8683" s="16" t="str">
        <f>IFERROR(__xludf.DUMMYFUNCTION("""COMPUTED_VALUE"""),"")</f>
        <v/>
      </c>
      <c r="AC8683" s="16" t="str">
        <f>IFERROR(__xludf.DUMMYFUNCTION("""COMPUTED_VALUE"""),"")</f>
        <v/>
      </c>
    </row>
    <row r="8684">
      <c r="A8684" s="16" t="s">
        <v>87</v>
      </c>
      <c r="E8684" s="16" t="str">
        <f>IFERROR(__xludf.DUMMYFUNCTION("""COMPUTED_VALUE"""),"")</f>
        <v/>
      </c>
      <c r="G8684" s="18"/>
      <c r="H8684" s="16" t="s">
        <v>87</v>
      </c>
      <c r="I8684" s="16" t="s">
        <v>87</v>
      </c>
      <c r="J8684" s="19"/>
      <c r="L8684" s="16" t="str">
        <f>IFERROR(__xludf.DUMMYFUNCTION("""COMPUTED_VALUE"""),"")</f>
        <v/>
      </c>
      <c r="M8684" s="16" t="str">
        <f>IFERROR(__xludf.DUMMYFUNCTION("""COMPUTED_VALUE"""),"")</f>
        <v/>
      </c>
      <c r="U8684" s="16" t="s">
        <v>87</v>
      </c>
      <c r="V8684" s="16" t="str">
        <f>IFERROR(__xludf.DUMMYFUNCTION("""COMPUTED_VALUE"""),"")</f>
        <v/>
      </c>
      <c r="W8684" s="16" t="str">
        <f>IFERROR(__xludf.DUMMYFUNCTION("""COMPUTED_VALUE"""),"")</f>
        <v/>
      </c>
      <c r="X8684" s="16" t="str">
        <f>IFERROR(__xludf.DUMMYFUNCTION("""COMPUTED_VALUE"""),"")</f>
        <v/>
      </c>
      <c r="AC8684" s="16" t="str">
        <f>IFERROR(__xludf.DUMMYFUNCTION("""COMPUTED_VALUE"""),"")</f>
        <v/>
      </c>
    </row>
    <row r="8685">
      <c r="A8685" s="16" t="s">
        <v>87</v>
      </c>
      <c r="E8685" s="16" t="str">
        <f>IFERROR(__xludf.DUMMYFUNCTION("""COMPUTED_VALUE"""),"")</f>
        <v/>
      </c>
      <c r="G8685" s="18"/>
      <c r="H8685" s="16" t="s">
        <v>87</v>
      </c>
      <c r="I8685" s="16" t="s">
        <v>87</v>
      </c>
      <c r="J8685" s="19"/>
      <c r="L8685" s="16" t="str">
        <f>IFERROR(__xludf.DUMMYFUNCTION("""COMPUTED_VALUE"""),"")</f>
        <v/>
      </c>
      <c r="M8685" s="16" t="str">
        <f>IFERROR(__xludf.DUMMYFUNCTION("""COMPUTED_VALUE"""),"")</f>
        <v/>
      </c>
      <c r="U8685" s="16" t="s">
        <v>87</v>
      </c>
      <c r="V8685" s="16" t="str">
        <f>IFERROR(__xludf.DUMMYFUNCTION("""COMPUTED_VALUE"""),"")</f>
        <v/>
      </c>
      <c r="W8685" s="16" t="str">
        <f>IFERROR(__xludf.DUMMYFUNCTION("""COMPUTED_VALUE"""),"")</f>
        <v/>
      </c>
      <c r="X8685" s="16" t="str">
        <f>IFERROR(__xludf.DUMMYFUNCTION("""COMPUTED_VALUE"""),"")</f>
        <v/>
      </c>
      <c r="AC8685" s="16" t="str">
        <f>IFERROR(__xludf.DUMMYFUNCTION("""COMPUTED_VALUE"""),"")</f>
        <v/>
      </c>
    </row>
    <row r="8686">
      <c r="A8686" s="16" t="s">
        <v>87</v>
      </c>
      <c r="E8686" s="16" t="str">
        <f>IFERROR(__xludf.DUMMYFUNCTION("""COMPUTED_VALUE"""),"")</f>
        <v/>
      </c>
      <c r="G8686" s="18"/>
      <c r="H8686" s="16" t="s">
        <v>87</v>
      </c>
      <c r="I8686" s="16" t="s">
        <v>87</v>
      </c>
      <c r="J8686" s="19"/>
      <c r="L8686" s="16" t="str">
        <f>IFERROR(__xludf.DUMMYFUNCTION("""COMPUTED_VALUE"""),"")</f>
        <v/>
      </c>
      <c r="M8686" s="16" t="str">
        <f>IFERROR(__xludf.DUMMYFUNCTION("""COMPUTED_VALUE"""),"")</f>
        <v/>
      </c>
      <c r="U8686" s="16" t="s">
        <v>87</v>
      </c>
      <c r="V8686" s="16" t="str">
        <f>IFERROR(__xludf.DUMMYFUNCTION("""COMPUTED_VALUE"""),"")</f>
        <v/>
      </c>
      <c r="W8686" s="16" t="str">
        <f>IFERROR(__xludf.DUMMYFUNCTION("""COMPUTED_VALUE"""),"")</f>
        <v/>
      </c>
      <c r="X8686" s="16" t="str">
        <f>IFERROR(__xludf.DUMMYFUNCTION("""COMPUTED_VALUE"""),"")</f>
        <v/>
      </c>
      <c r="AC8686" s="16" t="str">
        <f>IFERROR(__xludf.DUMMYFUNCTION("""COMPUTED_VALUE"""),"")</f>
        <v/>
      </c>
    </row>
    <row r="8687">
      <c r="A8687" s="16" t="s">
        <v>87</v>
      </c>
      <c r="E8687" s="16" t="str">
        <f>IFERROR(__xludf.DUMMYFUNCTION("""COMPUTED_VALUE"""),"")</f>
        <v/>
      </c>
      <c r="G8687" s="18"/>
      <c r="H8687" s="16" t="s">
        <v>87</v>
      </c>
      <c r="I8687" s="16" t="s">
        <v>87</v>
      </c>
      <c r="J8687" s="19"/>
      <c r="L8687" s="16" t="str">
        <f>IFERROR(__xludf.DUMMYFUNCTION("""COMPUTED_VALUE"""),"")</f>
        <v/>
      </c>
      <c r="M8687" s="16" t="str">
        <f>IFERROR(__xludf.DUMMYFUNCTION("""COMPUTED_VALUE"""),"")</f>
        <v/>
      </c>
      <c r="U8687" s="16" t="s">
        <v>87</v>
      </c>
      <c r="V8687" s="16" t="str">
        <f>IFERROR(__xludf.DUMMYFUNCTION("""COMPUTED_VALUE"""),"")</f>
        <v/>
      </c>
      <c r="W8687" s="16" t="str">
        <f>IFERROR(__xludf.DUMMYFUNCTION("""COMPUTED_VALUE"""),"")</f>
        <v/>
      </c>
      <c r="X8687" s="16" t="str">
        <f>IFERROR(__xludf.DUMMYFUNCTION("""COMPUTED_VALUE"""),"")</f>
        <v/>
      </c>
      <c r="AC8687" s="16" t="str">
        <f>IFERROR(__xludf.DUMMYFUNCTION("""COMPUTED_VALUE"""),"")</f>
        <v/>
      </c>
    </row>
    <row r="8688">
      <c r="A8688" s="16" t="s">
        <v>87</v>
      </c>
      <c r="E8688" s="16" t="str">
        <f>IFERROR(__xludf.DUMMYFUNCTION("""COMPUTED_VALUE"""),"")</f>
        <v/>
      </c>
      <c r="G8688" s="18"/>
      <c r="H8688" s="16" t="s">
        <v>87</v>
      </c>
      <c r="I8688" s="16" t="s">
        <v>87</v>
      </c>
      <c r="J8688" s="19"/>
      <c r="L8688" s="16" t="str">
        <f>IFERROR(__xludf.DUMMYFUNCTION("""COMPUTED_VALUE"""),"")</f>
        <v/>
      </c>
      <c r="M8688" s="16" t="str">
        <f>IFERROR(__xludf.DUMMYFUNCTION("""COMPUTED_VALUE"""),"")</f>
        <v/>
      </c>
      <c r="U8688" s="16" t="s">
        <v>87</v>
      </c>
      <c r="V8688" s="16" t="str">
        <f>IFERROR(__xludf.DUMMYFUNCTION("""COMPUTED_VALUE"""),"")</f>
        <v/>
      </c>
      <c r="W8688" s="16" t="str">
        <f>IFERROR(__xludf.DUMMYFUNCTION("""COMPUTED_VALUE"""),"")</f>
        <v/>
      </c>
      <c r="X8688" s="16" t="str">
        <f>IFERROR(__xludf.DUMMYFUNCTION("""COMPUTED_VALUE"""),"")</f>
        <v/>
      </c>
      <c r="AC8688" s="16" t="str">
        <f>IFERROR(__xludf.DUMMYFUNCTION("""COMPUTED_VALUE"""),"")</f>
        <v/>
      </c>
    </row>
    <row r="8689">
      <c r="A8689" s="16" t="s">
        <v>87</v>
      </c>
      <c r="E8689" s="16" t="str">
        <f>IFERROR(__xludf.DUMMYFUNCTION("""COMPUTED_VALUE"""),"")</f>
        <v/>
      </c>
      <c r="G8689" s="18"/>
      <c r="H8689" s="16" t="s">
        <v>87</v>
      </c>
      <c r="I8689" s="16" t="s">
        <v>87</v>
      </c>
      <c r="J8689" s="19"/>
      <c r="L8689" s="16" t="str">
        <f>IFERROR(__xludf.DUMMYFUNCTION("""COMPUTED_VALUE"""),"")</f>
        <v/>
      </c>
      <c r="M8689" s="16" t="str">
        <f>IFERROR(__xludf.DUMMYFUNCTION("""COMPUTED_VALUE"""),"")</f>
        <v/>
      </c>
      <c r="U8689" s="16" t="s">
        <v>87</v>
      </c>
      <c r="V8689" s="16" t="str">
        <f>IFERROR(__xludf.DUMMYFUNCTION("""COMPUTED_VALUE"""),"")</f>
        <v/>
      </c>
      <c r="W8689" s="16" t="str">
        <f>IFERROR(__xludf.DUMMYFUNCTION("""COMPUTED_VALUE"""),"")</f>
        <v/>
      </c>
      <c r="X8689" s="16" t="str">
        <f>IFERROR(__xludf.DUMMYFUNCTION("""COMPUTED_VALUE"""),"")</f>
        <v/>
      </c>
      <c r="AC8689" s="16" t="str">
        <f>IFERROR(__xludf.DUMMYFUNCTION("""COMPUTED_VALUE"""),"")</f>
        <v/>
      </c>
    </row>
    <row r="8690">
      <c r="A8690" s="16" t="s">
        <v>87</v>
      </c>
      <c r="E8690" s="16" t="str">
        <f>IFERROR(__xludf.DUMMYFUNCTION("""COMPUTED_VALUE"""),"")</f>
        <v/>
      </c>
      <c r="G8690" s="18"/>
      <c r="H8690" s="16" t="s">
        <v>87</v>
      </c>
      <c r="I8690" s="16" t="s">
        <v>87</v>
      </c>
      <c r="J8690" s="19"/>
      <c r="L8690" s="16" t="str">
        <f>IFERROR(__xludf.DUMMYFUNCTION("""COMPUTED_VALUE"""),"")</f>
        <v/>
      </c>
      <c r="M8690" s="16" t="str">
        <f>IFERROR(__xludf.DUMMYFUNCTION("""COMPUTED_VALUE"""),"")</f>
        <v/>
      </c>
      <c r="U8690" s="16" t="s">
        <v>87</v>
      </c>
      <c r="V8690" s="16" t="str">
        <f>IFERROR(__xludf.DUMMYFUNCTION("""COMPUTED_VALUE"""),"")</f>
        <v/>
      </c>
      <c r="W8690" s="16" t="str">
        <f>IFERROR(__xludf.DUMMYFUNCTION("""COMPUTED_VALUE"""),"")</f>
        <v/>
      </c>
      <c r="X8690" s="16" t="str">
        <f>IFERROR(__xludf.DUMMYFUNCTION("""COMPUTED_VALUE"""),"")</f>
        <v/>
      </c>
      <c r="AC8690" s="16" t="str">
        <f>IFERROR(__xludf.DUMMYFUNCTION("""COMPUTED_VALUE"""),"")</f>
        <v/>
      </c>
    </row>
    <row r="8691">
      <c r="A8691" s="16" t="s">
        <v>87</v>
      </c>
      <c r="E8691" s="16" t="str">
        <f>IFERROR(__xludf.DUMMYFUNCTION("""COMPUTED_VALUE"""),"")</f>
        <v/>
      </c>
      <c r="G8691" s="18"/>
      <c r="H8691" s="16" t="s">
        <v>87</v>
      </c>
      <c r="I8691" s="16" t="s">
        <v>87</v>
      </c>
      <c r="J8691" s="19"/>
      <c r="L8691" s="16" t="str">
        <f>IFERROR(__xludf.DUMMYFUNCTION("""COMPUTED_VALUE"""),"")</f>
        <v/>
      </c>
      <c r="M8691" s="16" t="str">
        <f>IFERROR(__xludf.DUMMYFUNCTION("""COMPUTED_VALUE"""),"")</f>
        <v/>
      </c>
      <c r="U8691" s="16" t="s">
        <v>87</v>
      </c>
      <c r="V8691" s="16" t="str">
        <f>IFERROR(__xludf.DUMMYFUNCTION("""COMPUTED_VALUE"""),"")</f>
        <v/>
      </c>
      <c r="W8691" s="16" t="str">
        <f>IFERROR(__xludf.DUMMYFUNCTION("""COMPUTED_VALUE"""),"")</f>
        <v/>
      </c>
      <c r="X8691" s="16" t="str">
        <f>IFERROR(__xludf.DUMMYFUNCTION("""COMPUTED_VALUE"""),"")</f>
        <v/>
      </c>
      <c r="AC8691" s="16" t="str">
        <f>IFERROR(__xludf.DUMMYFUNCTION("""COMPUTED_VALUE"""),"")</f>
        <v/>
      </c>
    </row>
    <row r="8692">
      <c r="A8692" s="16" t="s">
        <v>87</v>
      </c>
      <c r="E8692" s="16" t="str">
        <f>IFERROR(__xludf.DUMMYFUNCTION("""COMPUTED_VALUE"""),"")</f>
        <v/>
      </c>
      <c r="G8692" s="18"/>
      <c r="H8692" s="16" t="s">
        <v>87</v>
      </c>
      <c r="I8692" s="16" t="s">
        <v>87</v>
      </c>
      <c r="J8692" s="19"/>
      <c r="L8692" s="16" t="str">
        <f>IFERROR(__xludf.DUMMYFUNCTION("""COMPUTED_VALUE"""),"")</f>
        <v/>
      </c>
      <c r="M8692" s="16" t="str">
        <f>IFERROR(__xludf.DUMMYFUNCTION("""COMPUTED_VALUE"""),"")</f>
        <v/>
      </c>
      <c r="U8692" s="16" t="s">
        <v>87</v>
      </c>
      <c r="V8692" s="16" t="str">
        <f>IFERROR(__xludf.DUMMYFUNCTION("""COMPUTED_VALUE"""),"")</f>
        <v/>
      </c>
      <c r="W8692" s="16" t="str">
        <f>IFERROR(__xludf.DUMMYFUNCTION("""COMPUTED_VALUE"""),"")</f>
        <v/>
      </c>
      <c r="X8692" s="16" t="str">
        <f>IFERROR(__xludf.DUMMYFUNCTION("""COMPUTED_VALUE"""),"")</f>
        <v/>
      </c>
      <c r="AC8692" s="16" t="str">
        <f>IFERROR(__xludf.DUMMYFUNCTION("""COMPUTED_VALUE"""),"")</f>
        <v/>
      </c>
    </row>
    <row r="8693">
      <c r="A8693" s="16" t="s">
        <v>87</v>
      </c>
      <c r="E8693" s="16" t="str">
        <f>IFERROR(__xludf.DUMMYFUNCTION("""COMPUTED_VALUE"""),"")</f>
        <v/>
      </c>
      <c r="G8693" s="18"/>
      <c r="H8693" s="16" t="s">
        <v>87</v>
      </c>
      <c r="I8693" s="16" t="s">
        <v>87</v>
      </c>
      <c r="J8693" s="19"/>
      <c r="L8693" s="16" t="str">
        <f>IFERROR(__xludf.DUMMYFUNCTION("""COMPUTED_VALUE"""),"")</f>
        <v/>
      </c>
      <c r="M8693" s="16" t="str">
        <f>IFERROR(__xludf.DUMMYFUNCTION("""COMPUTED_VALUE"""),"")</f>
        <v/>
      </c>
      <c r="U8693" s="16" t="s">
        <v>87</v>
      </c>
      <c r="V8693" s="16" t="str">
        <f>IFERROR(__xludf.DUMMYFUNCTION("""COMPUTED_VALUE"""),"")</f>
        <v/>
      </c>
      <c r="W8693" s="16" t="str">
        <f>IFERROR(__xludf.DUMMYFUNCTION("""COMPUTED_VALUE"""),"")</f>
        <v/>
      </c>
      <c r="X8693" s="16" t="str">
        <f>IFERROR(__xludf.DUMMYFUNCTION("""COMPUTED_VALUE"""),"")</f>
        <v/>
      </c>
      <c r="AC8693" s="16" t="str">
        <f>IFERROR(__xludf.DUMMYFUNCTION("""COMPUTED_VALUE"""),"")</f>
        <v/>
      </c>
    </row>
    <row r="8694">
      <c r="A8694" s="16" t="s">
        <v>87</v>
      </c>
      <c r="E8694" s="16" t="str">
        <f>IFERROR(__xludf.DUMMYFUNCTION("""COMPUTED_VALUE"""),"")</f>
        <v/>
      </c>
      <c r="G8694" s="18"/>
      <c r="H8694" s="16" t="s">
        <v>87</v>
      </c>
      <c r="I8694" s="16" t="s">
        <v>87</v>
      </c>
      <c r="J8694" s="19"/>
      <c r="L8694" s="16" t="str">
        <f>IFERROR(__xludf.DUMMYFUNCTION("""COMPUTED_VALUE"""),"")</f>
        <v/>
      </c>
      <c r="M8694" s="16" t="str">
        <f>IFERROR(__xludf.DUMMYFUNCTION("""COMPUTED_VALUE"""),"")</f>
        <v/>
      </c>
      <c r="U8694" s="16" t="s">
        <v>87</v>
      </c>
      <c r="V8694" s="16" t="str">
        <f>IFERROR(__xludf.DUMMYFUNCTION("""COMPUTED_VALUE"""),"")</f>
        <v/>
      </c>
      <c r="W8694" s="16" t="str">
        <f>IFERROR(__xludf.DUMMYFUNCTION("""COMPUTED_VALUE"""),"")</f>
        <v/>
      </c>
      <c r="X8694" s="16" t="str">
        <f>IFERROR(__xludf.DUMMYFUNCTION("""COMPUTED_VALUE"""),"")</f>
        <v/>
      </c>
      <c r="AC8694" s="16" t="str">
        <f>IFERROR(__xludf.DUMMYFUNCTION("""COMPUTED_VALUE"""),"")</f>
        <v/>
      </c>
    </row>
    <row r="8695">
      <c r="A8695" s="16" t="s">
        <v>87</v>
      </c>
      <c r="E8695" s="16" t="str">
        <f>IFERROR(__xludf.DUMMYFUNCTION("""COMPUTED_VALUE"""),"")</f>
        <v/>
      </c>
      <c r="G8695" s="18"/>
      <c r="H8695" s="16" t="s">
        <v>87</v>
      </c>
      <c r="I8695" s="16" t="s">
        <v>87</v>
      </c>
      <c r="J8695" s="19"/>
      <c r="L8695" s="16" t="str">
        <f>IFERROR(__xludf.DUMMYFUNCTION("""COMPUTED_VALUE"""),"")</f>
        <v/>
      </c>
      <c r="M8695" s="16" t="str">
        <f>IFERROR(__xludf.DUMMYFUNCTION("""COMPUTED_VALUE"""),"")</f>
        <v/>
      </c>
      <c r="U8695" s="16" t="s">
        <v>87</v>
      </c>
      <c r="V8695" s="16" t="str">
        <f>IFERROR(__xludf.DUMMYFUNCTION("""COMPUTED_VALUE"""),"")</f>
        <v/>
      </c>
      <c r="W8695" s="16" t="str">
        <f>IFERROR(__xludf.DUMMYFUNCTION("""COMPUTED_VALUE"""),"")</f>
        <v/>
      </c>
      <c r="X8695" s="16" t="str">
        <f>IFERROR(__xludf.DUMMYFUNCTION("""COMPUTED_VALUE"""),"")</f>
        <v/>
      </c>
      <c r="AC8695" s="16" t="str">
        <f>IFERROR(__xludf.DUMMYFUNCTION("""COMPUTED_VALUE"""),"")</f>
        <v/>
      </c>
    </row>
    <row r="8696">
      <c r="A8696" s="16" t="s">
        <v>87</v>
      </c>
      <c r="E8696" s="16" t="str">
        <f>IFERROR(__xludf.DUMMYFUNCTION("""COMPUTED_VALUE"""),"")</f>
        <v/>
      </c>
      <c r="G8696" s="18"/>
      <c r="H8696" s="16" t="s">
        <v>87</v>
      </c>
      <c r="I8696" s="16" t="s">
        <v>87</v>
      </c>
      <c r="J8696" s="19"/>
      <c r="L8696" s="16" t="str">
        <f>IFERROR(__xludf.DUMMYFUNCTION("""COMPUTED_VALUE"""),"")</f>
        <v/>
      </c>
      <c r="M8696" s="16" t="str">
        <f>IFERROR(__xludf.DUMMYFUNCTION("""COMPUTED_VALUE"""),"")</f>
        <v/>
      </c>
      <c r="U8696" s="16" t="s">
        <v>87</v>
      </c>
      <c r="V8696" s="16" t="str">
        <f>IFERROR(__xludf.DUMMYFUNCTION("""COMPUTED_VALUE"""),"")</f>
        <v/>
      </c>
      <c r="W8696" s="16" t="str">
        <f>IFERROR(__xludf.DUMMYFUNCTION("""COMPUTED_VALUE"""),"")</f>
        <v/>
      </c>
      <c r="X8696" s="16" t="str">
        <f>IFERROR(__xludf.DUMMYFUNCTION("""COMPUTED_VALUE"""),"")</f>
        <v/>
      </c>
      <c r="AC8696" s="16" t="str">
        <f>IFERROR(__xludf.DUMMYFUNCTION("""COMPUTED_VALUE"""),"")</f>
        <v/>
      </c>
    </row>
    <row r="8697">
      <c r="A8697" s="16" t="s">
        <v>87</v>
      </c>
      <c r="E8697" s="16" t="str">
        <f>IFERROR(__xludf.DUMMYFUNCTION("""COMPUTED_VALUE"""),"")</f>
        <v/>
      </c>
      <c r="G8697" s="18"/>
      <c r="H8697" s="16" t="s">
        <v>87</v>
      </c>
      <c r="I8697" s="16" t="s">
        <v>87</v>
      </c>
      <c r="J8697" s="19"/>
      <c r="L8697" s="16" t="str">
        <f>IFERROR(__xludf.DUMMYFUNCTION("""COMPUTED_VALUE"""),"")</f>
        <v/>
      </c>
      <c r="M8697" s="16" t="str">
        <f>IFERROR(__xludf.DUMMYFUNCTION("""COMPUTED_VALUE"""),"")</f>
        <v/>
      </c>
      <c r="U8697" s="16" t="s">
        <v>87</v>
      </c>
      <c r="V8697" s="16" t="str">
        <f>IFERROR(__xludf.DUMMYFUNCTION("""COMPUTED_VALUE"""),"")</f>
        <v/>
      </c>
      <c r="W8697" s="16" t="str">
        <f>IFERROR(__xludf.DUMMYFUNCTION("""COMPUTED_VALUE"""),"")</f>
        <v/>
      </c>
      <c r="X8697" s="16" t="str">
        <f>IFERROR(__xludf.DUMMYFUNCTION("""COMPUTED_VALUE"""),"")</f>
        <v/>
      </c>
      <c r="AC8697" s="16" t="str">
        <f>IFERROR(__xludf.DUMMYFUNCTION("""COMPUTED_VALUE"""),"")</f>
        <v/>
      </c>
    </row>
    <row r="8698">
      <c r="A8698" s="16" t="s">
        <v>87</v>
      </c>
      <c r="E8698" s="16" t="str">
        <f>IFERROR(__xludf.DUMMYFUNCTION("""COMPUTED_VALUE"""),"")</f>
        <v/>
      </c>
      <c r="G8698" s="18"/>
      <c r="H8698" s="16" t="s">
        <v>87</v>
      </c>
      <c r="I8698" s="16" t="s">
        <v>87</v>
      </c>
      <c r="J8698" s="19"/>
      <c r="L8698" s="16" t="str">
        <f>IFERROR(__xludf.DUMMYFUNCTION("""COMPUTED_VALUE"""),"")</f>
        <v/>
      </c>
      <c r="M8698" s="16" t="str">
        <f>IFERROR(__xludf.DUMMYFUNCTION("""COMPUTED_VALUE"""),"")</f>
        <v/>
      </c>
      <c r="U8698" s="16" t="s">
        <v>87</v>
      </c>
      <c r="V8698" s="16" t="str">
        <f>IFERROR(__xludf.DUMMYFUNCTION("""COMPUTED_VALUE"""),"")</f>
        <v/>
      </c>
      <c r="W8698" s="16" t="str">
        <f>IFERROR(__xludf.DUMMYFUNCTION("""COMPUTED_VALUE"""),"")</f>
        <v/>
      </c>
      <c r="X8698" s="16" t="str">
        <f>IFERROR(__xludf.DUMMYFUNCTION("""COMPUTED_VALUE"""),"")</f>
        <v/>
      </c>
      <c r="AC8698" s="16" t="str">
        <f>IFERROR(__xludf.DUMMYFUNCTION("""COMPUTED_VALUE"""),"")</f>
        <v/>
      </c>
    </row>
    <row r="8699">
      <c r="A8699" s="16" t="s">
        <v>87</v>
      </c>
      <c r="E8699" s="16" t="str">
        <f>IFERROR(__xludf.DUMMYFUNCTION("""COMPUTED_VALUE"""),"")</f>
        <v/>
      </c>
      <c r="G8699" s="18"/>
      <c r="H8699" s="16" t="s">
        <v>87</v>
      </c>
      <c r="I8699" s="16" t="s">
        <v>87</v>
      </c>
      <c r="J8699" s="19"/>
      <c r="L8699" s="16" t="str">
        <f>IFERROR(__xludf.DUMMYFUNCTION("""COMPUTED_VALUE"""),"")</f>
        <v/>
      </c>
      <c r="M8699" s="16" t="str">
        <f>IFERROR(__xludf.DUMMYFUNCTION("""COMPUTED_VALUE"""),"")</f>
        <v/>
      </c>
      <c r="U8699" s="16" t="s">
        <v>87</v>
      </c>
      <c r="V8699" s="16" t="str">
        <f>IFERROR(__xludf.DUMMYFUNCTION("""COMPUTED_VALUE"""),"")</f>
        <v/>
      </c>
      <c r="W8699" s="16" t="str">
        <f>IFERROR(__xludf.DUMMYFUNCTION("""COMPUTED_VALUE"""),"")</f>
        <v/>
      </c>
      <c r="X8699" s="16" t="str">
        <f>IFERROR(__xludf.DUMMYFUNCTION("""COMPUTED_VALUE"""),"")</f>
        <v/>
      </c>
      <c r="AC8699" s="16" t="str">
        <f>IFERROR(__xludf.DUMMYFUNCTION("""COMPUTED_VALUE"""),"")</f>
        <v/>
      </c>
    </row>
    <row r="8700">
      <c r="A8700" s="16" t="s">
        <v>87</v>
      </c>
      <c r="E8700" s="16" t="str">
        <f>IFERROR(__xludf.DUMMYFUNCTION("""COMPUTED_VALUE"""),"")</f>
        <v/>
      </c>
      <c r="G8700" s="18"/>
      <c r="H8700" s="16" t="s">
        <v>87</v>
      </c>
      <c r="I8700" s="16" t="s">
        <v>87</v>
      </c>
      <c r="J8700" s="19"/>
      <c r="L8700" s="16" t="str">
        <f>IFERROR(__xludf.DUMMYFUNCTION("""COMPUTED_VALUE"""),"")</f>
        <v/>
      </c>
      <c r="M8700" s="16" t="str">
        <f>IFERROR(__xludf.DUMMYFUNCTION("""COMPUTED_VALUE"""),"")</f>
        <v/>
      </c>
      <c r="U8700" s="16" t="s">
        <v>87</v>
      </c>
      <c r="V8700" s="16" t="str">
        <f>IFERROR(__xludf.DUMMYFUNCTION("""COMPUTED_VALUE"""),"")</f>
        <v/>
      </c>
      <c r="W8700" s="16" t="str">
        <f>IFERROR(__xludf.DUMMYFUNCTION("""COMPUTED_VALUE"""),"")</f>
        <v/>
      </c>
      <c r="X8700" s="16" t="str">
        <f>IFERROR(__xludf.DUMMYFUNCTION("""COMPUTED_VALUE"""),"")</f>
        <v/>
      </c>
      <c r="AC8700" s="16" t="str">
        <f>IFERROR(__xludf.DUMMYFUNCTION("""COMPUTED_VALUE"""),"")</f>
        <v/>
      </c>
    </row>
    <row r="8701">
      <c r="A8701" s="16" t="s">
        <v>87</v>
      </c>
      <c r="E8701" s="16" t="str">
        <f>IFERROR(__xludf.DUMMYFUNCTION("""COMPUTED_VALUE"""),"")</f>
        <v/>
      </c>
      <c r="G8701" s="18"/>
      <c r="H8701" s="16" t="s">
        <v>87</v>
      </c>
      <c r="I8701" s="16" t="s">
        <v>87</v>
      </c>
      <c r="J8701" s="19"/>
      <c r="L8701" s="16" t="str">
        <f>IFERROR(__xludf.DUMMYFUNCTION("""COMPUTED_VALUE"""),"")</f>
        <v/>
      </c>
      <c r="M8701" s="16" t="str">
        <f>IFERROR(__xludf.DUMMYFUNCTION("""COMPUTED_VALUE"""),"")</f>
        <v/>
      </c>
      <c r="U8701" s="16" t="s">
        <v>87</v>
      </c>
      <c r="V8701" s="16" t="str">
        <f>IFERROR(__xludf.DUMMYFUNCTION("""COMPUTED_VALUE"""),"")</f>
        <v/>
      </c>
      <c r="W8701" s="16" t="str">
        <f>IFERROR(__xludf.DUMMYFUNCTION("""COMPUTED_VALUE"""),"")</f>
        <v/>
      </c>
      <c r="X8701" s="16" t="str">
        <f>IFERROR(__xludf.DUMMYFUNCTION("""COMPUTED_VALUE"""),"")</f>
        <v/>
      </c>
      <c r="AC8701" s="16" t="str">
        <f>IFERROR(__xludf.DUMMYFUNCTION("""COMPUTED_VALUE"""),"")</f>
        <v/>
      </c>
    </row>
    <row r="8702">
      <c r="A8702" s="16" t="s">
        <v>87</v>
      </c>
      <c r="E8702" s="16" t="str">
        <f>IFERROR(__xludf.DUMMYFUNCTION("""COMPUTED_VALUE"""),"")</f>
        <v/>
      </c>
      <c r="G8702" s="18"/>
      <c r="H8702" s="16" t="s">
        <v>87</v>
      </c>
      <c r="I8702" s="16" t="s">
        <v>87</v>
      </c>
      <c r="J8702" s="19"/>
      <c r="L8702" s="16" t="str">
        <f>IFERROR(__xludf.DUMMYFUNCTION("""COMPUTED_VALUE"""),"")</f>
        <v/>
      </c>
      <c r="M8702" s="16" t="str">
        <f>IFERROR(__xludf.DUMMYFUNCTION("""COMPUTED_VALUE"""),"")</f>
        <v/>
      </c>
      <c r="U8702" s="16" t="s">
        <v>87</v>
      </c>
      <c r="V8702" s="16" t="str">
        <f>IFERROR(__xludf.DUMMYFUNCTION("""COMPUTED_VALUE"""),"")</f>
        <v/>
      </c>
      <c r="W8702" s="16" t="str">
        <f>IFERROR(__xludf.DUMMYFUNCTION("""COMPUTED_VALUE"""),"")</f>
        <v/>
      </c>
      <c r="X8702" s="16" t="str">
        <f>IFERROR(__xludf.DUMMYFUNCTION("""COMPUTED_VALUE"""),"")</f>
        <v/>
      </c>
      <c r="AC8702" s="16" t="str">
        <f>IFERROR(__xludf.DUMMYFUNCTION("""COMPUTED_VALUE"""),"")</f>
        <v/>
      </c>
    </row>
    <row r="8703">
      <c r="A8703" s="16" t="s">
        <v>87</v>
      </c>
      <c r="E8703" s="16" t="str">
        <f>IFERROR(__xludf.DUMMYFUNCTION("""COMPUTED_VALUE"""),"")</f>
        <v/>
      </c>
      <c r="G8703" s="18"/>
      <c r="H8703" s="16" t="s">
        <v>87</v>
      </c>
      <c r="I8703" s="16" t="s">
        <v>87</v>
      </c>
      <c r="J8703" s="19"/>
      <c r="L8703" s="16" t="str">
        <f>IFERROR(__xludf.DUMMYFUNCTION("""COMPUTED_VALUE"""),"")</f>
        <v/>
      </c>
      <c r="M8703" s="16" t="str">
        <f>IFERROR(__xludf.DUMMYFUNCTION("""COMPUTED_VALUE"""),"")</f>
        <v/>
      </c>
      <c r="U8703" s="16" t="s">
        <v>87</v>
      </c>
      <c r="V8703" s="16" t="str">
        <f>IFERROR(__xludf.DUMMYFUNCTION("""COMPUTED_VALUE"""),"")</f>
        <v/>
      </c>
      <c r="W8703" s="16" t="str">
        <f>IFERROR(__xludf.DUMMYFUNCTION("""COMPUTED_VALUE"""),"")</f>
        <v/>
      </c>
      <c r="X8703" s="16" t="str">
        <f>IFERROR(__xludf.DUMMYFUNCTION("""COMPUTED_VALUE"""),"")</f>
        <v/>
      </c>
      <c r="AC8703" s="16" t="str">
        <f>IFERROR(__xludf.DUMMYFUNCTION("""COMPUTED_VALUE"""),"")</f>
        <v/>
      </c>
    </row>
    <row r="8704">
      <c r="A8704" s="16" t="s">
        <v>87</v>
      </c>
      <c r="E8704" s="16" t="str">
        <f>IFERROR(__xludf.DUMMYFUNCTION("""COMPUTED_VALUE"""),"")</f>
        <v/>
      </c>
      <c r="G8704" s="18"/>
      <c r="H8704" s="16" t="s">
        <v>87</v>
      </c>
      <c r="I8704" s="16" t="s">
        <v>87</v>
      </c>
      <c r="J8704" s="19"/>
      <c r="L8704" s="16" t="str">
        <f>IFERROR(__xludf.DUMMYFUNCTION("""COMPUTED_VALUE"""),"")</f>
        <v/>
      </c>
      <c r="M8704" s="16" t="str">
        <f>IFERROR(__xludf.DUMMYFUNCTION("""COMPUTED_VALUE"""),"")</f>
        <v/>
      </c>
      <c r="U8704" s="16" t="s">
        <v>87</v>
      </c>
      <c r="V8704" s="16" t="str">
        <f>IFERROR(__xludf.DUMMYFUNCTION("""COMPUTED_VALUE"""),"")</f>
        <v/>
      </c>
      <c r="W8704" s="16" t="str">
        <f>IFERROR(__xludf.DUMMYFUNCTION("""COMPUTED_VALUE"""),"")</f>
        <v/>
      </c>
      <c r="X8704" s="16" t="str">
        <f>IFERROR(__xludf.DUMMYFUNCTION("""COMPUTED_VALUE"""),"")</f>
        <v/>
      </c>
      <c r="AC8704" s="16" t="str">
        <f>IFERROR(__xludf.DUMMYFUNCTION("""COMPUTED_VALUE"""),"")</f>
        <v/>
      </c>
    </row>
    <row r="8705">
      <c r="A8705" s="16" t="s">
        <v>87</v>
      </c>
      <c r="E8705" s="16" t="str">
        <f>IFERROR(__xludf.DUMMYFUNCTION("""COMPUTED_VALUE"""),"")</f>
        <v/>
      </c>
      <c r="G8705" s="18"/>
      <c r="H8705" s="16" t="s">
        <v>87</v>
      </c>
      <c r="I8705" s="16" t="s">
        <v>87</v>
      </c>
      <c r="J8705" s="19"/>
      <c r="L8705" s="16" t="str">
        <f>IFERROR(__xludf.DUMMYFUNCTION("""COMPUTED_VALUE"""),"")</f>
        <v/>
      </c>
      <c r="M8705" s="16" t="str">
        <f>IFERROR(__xludf.DUMMYFUNCTION("""COMPUTED_VALUE"""),"")</f>
        <v/>
      </c>
      <c r="U8705" s="16" t="s">
        <v>87</v>
      </c>
      <c r="V8705" s="16" t="str">
        <f>IFERROR(__xludf.DUMMYFUNCTION("""COMPUTED_VALUE"""),"")</f>
        <v/>
      </c>
      <c r="W8705" s="16" t="str">
        <f>IFERROR(__xludf.DUMMYFUNCTION("""COMPUTED_VALUE"""),"")</f>
        <v/>
      </c>
      <c r="X8705" s="16" t="str">
        <f>IFERROR(__xludf.DUMMYFUNCTION("""COMPUTED_VALUE"""),"")</f>
        <v/>
      </c>
      <c r="AC8705" s="16" t="str">
        <f>IFERROR(__xludf.DUMMYFUNCTION("""COMPUTED_VALUE"""),"")</f>
        <v/>
      </c>
    </row>
    <row r="8706">
      <c r="A8706" s="16" t="s">
        <v>87</v>
      </c>
      <c r="E8706" s="16" t="str">
        <f>IFERROR(__xludf.DUMMYFUNCTION("""COMPUTED_VALUE"""),"")</f>
        <v/>
      </c>
      <c r="G8706" s="18"/>
      <c r="H8706" s="16" t="s">
        <v>87</v>
      </c>
      <c r="I8706" s="16" t="s">
        <v>87</v>
      </c>
      <c r="J8706" s="19"/>
      <c r="L8706" s="16" t="str">
        <f>IFERROR(__xludf.DUMMYFUNCTION("""COMPUTED_VALUE"""),"")</f>
        <v/>
      </c>
      <c r="M8706" s="16" t="str">
        <f>IFERROR(__xludf.DUMMYFUNCTION("""COMPUTED_VALUE"""),"")</f>
        <v/>
      </c>
      <c r="U8706" s="16" t="s">
        <v>87</v>
      </c>
      <c r="V8706" s="16" t="str">
        <f>IFERROR(__xludf.DUMMYFUNCTION("""COMPUTED_VALUE"""),"")</f>
        <v/>
      </c>
      <c r="W8706" s="16" t="str">
        <f>IFERROR(__xludf.DUMMYFUNCTION("""COMPUTED_VALUE"""),"")</f>
        <v/>
      </c>
      <c r="X8706" s="16" t="str">
        <f>IFERROR(__xludf.DUMMYFUNCTION("""COMPUTED_VALUE"""),"")</f>
        <v/>
      </c>
      <c r="AC8706" s="16" t="str">
        <f>IFERROR(__xludf.DUMMYFUNCTION("""COMPUTED_VALUE"""),"")</f>
        <v/>
      </c>
    </row>
    <row r="8707">
      <c r="A8707" s="16" t="s">
        <v>87</v>
      </c>
      <c r="E8707" s="16" t="str">
        <f>IFERROR(__xludf.DUMMYFUNCTION("""COMPUTED_VALUE"""),"")</f>
        <v/>
      </c>
      <c r="G8707" s="18"/>
      <c r="H8707" s="16" t="s">
        <v>87</v>
      </c>
      <c r="I8707" s="16" t="s">
        <v>87</v>
      </c>
      <c r="J8707" s="19"/>
      <c r="L8707" s="16" t="str">
        <f>IFERROR(__xludf.DUMMYFUNCTION("""COMPUTED_VALUE"""),"")</f>
        <v/>
      </c>
      <c r="M8707" s="16" t="str">
        <f>IFERROR(__xludf.DUMMYFUNCTION("""COMPUTED_VALUE"""),"")</f>
        <v/>
      </c>
      <c r="U8707" s="16" t="s">
        <v>87</v>
      </c>
      <c r="V8707" s="16" t="str">
        <f>IFERROR(__xludf.DUMMYFUNCTION("""COMPUTED_VALUE"""),"")</f>
        <v/>
      </c>
      <c r="W8707" s="16" t="str">
        <f>IFERROR(__xludf.DUMMYFUNCTION("""COMPUTED_VALUE"""),"")</f>
        <v/>
      </c>
      <c r="X8707" s="16" t="str">
        <f>IFERROR(__xludf.DUMMYFUNCTION("""COMPUTED_VALUE"""),"")</f>
        <v/>
      </c>
      <c r="AC8707" s="16" t="str">
        <f>IFERROR(__xludf.DUMMYFUNCTION("""COMPUTED_VALUE"""),"")</f>
        <v/>
      </c>
    </row>
    <row r="8708">
      <c r="A8708" s="16" t="s">
        <v>87</v>
      </c>
      <c r="E8708" s="16" t="str">
        <f>IFERROR(__xludf.DUMMYFUNCTION("""COMPUTED_VALUE"""),"")</f>
        <v/>
      </c>
      <c r="G8708" s="18"/>
      <c r="H8708" s="16" t="s">
        <v>87</v>
      </c>
      <c r="I8708" s="16" t="s">
        <v>87</v>
      </c>
      <c r="J8708" s="19"/>
      <c r="L8708" s="16" t="str">
        <f>IFERROR(__xludf.DUMMYFUNCTION("""COMPUTED_VALUE"""),"")</f>
        <v/>
      </c>
      <c r="M8708" s="16" t="str">
        <f>IFERROR(__xludf.DUMMYFUNCTION("""COMPUTED_VALUE"""),"")</f>
        <v/>
      </c>
      <c r="U8708" s="16" t="s">
        <v>87</v>
      </c>
      <c r="V8708" s="16" t="str">
        <f>IFERROR(__xludf.DUMMYFUNCTION("""COMPUTED_VALUE"""),"")</f>
        <v/>
      </c>
      <c r="W8708" s="16" t="str">
        <f>IFERROR(__xludf.DUMMYFUNCTION("""COMPUTED_VALUE"""),"")</f>
        <v/>
      </c>
      <c r="X8708" s="16" t="str">
        <f>IFERROR(__xludf.DUMMYFUNCTION("""COMPUTED_VALUE"""),"")</f>
        <v/>
      </c>
      <c r="AC8708" s="16" t="str">
        <f>IFERROR(__xludf.DUMMYFUNCTION("""COMPUTED_VALUE"""),"")</f>
        <v/>
      </c>
    </row>
    <row r="8709">
      <c r="A8709" s="16" t="s">
        <v>87</v>
      </c>
      <c r="E8709" s="16" t="str">
        <f>IFERROR(__xludf.DUMMYFUNCTION("""COMPUTED_VALUE"""),"")</f>
        <v/>
      </c>
      <c r="G8709" s="18"/>
      <c r="H8709" s="16" t="s">
        <v>87</v>
      </c>
      <c r="I8709" s="16" t="s">
        <v>87</v>
      </c>
      <c r="J8709" s="19"/>
      <c r="L8709" s="16" t="str">
        <f>IFERROR(__xludf.DUMMYFUNCTION("""COMPUTED_VALUE"""),"")</f>
        <v/>
      </c>
      <c r="M8709" s="16" t="str">
        <f>IFERROR(__xludf.DUMMYFUNCTION("""COMPUTED_VALUE"""),"")</f>
        <v/>
      </c>
      <c r="U8709" s="16" t="s">
        <v>87</v>
      </c>
      <c r="V8709" s="16" t="str">
        <f>IFERROR(__xludf.DUMMYFUNCTION("""COMPUTED_VALUE"""),"")</f>
        <v/>
      </c>
      <c r="W8709" s="16" t="str">
        <f>IFERROR(__xludf.DUMMYFUNCTION("""COMPUTED_VALUE"""),"")</f>
        <v/>
      </c>
      <c r="X8709" s="16" t="str">
        <f>IFERROR(__xludf.DUMMYFUNCTION("""COMPUTED_VALUE"""),"")</f>
        <v/>
      </c>
      <c r="AC8709" s="16" t="str">
        <f>IFERROR(__xludf.DUMMYFUNCTION("""COMPUTED_VALUE"""),"")</f>
        <v/>
      </c>
    </row>
    <row r="8710">
      <c r="A8710" s="16" t="s">
        <v>87</v>
      </c>
      <c r="E8710" s="16" t="str">
        <f>IFERROR(__xludf.DUMMYFUNCTION("""COMPUTED_VALUE"""),"")</f>
        <v/>
      </c>
      <c r="G8710" s="18"/>
      <c r="H8710" s="16" t="s">
        <v>87</v>
      </c>
      <c r="I8710" s="16" t="s">
        <v>87</v>
      </c>
      <c r="J8710" s="19"/>
      <c r="L8710" s="16" t="str">
        <f>IFERROR(__xludf.DUMMYFUNCTION("""COMPUTED_VALUE"""),"")</f>
        <v/>
      </c>
      <c r="M8710" s="16" t="str">
        <f>IFERROR(__xludf.DUMMYFUNCTION("""COMPUTED_VALUE"""),"")</f>
        <v/>
      </c>
      <c r="U8710" s="16" t="s">
        <v>87</v>
      </c>
      <c r="V8710" s="16" t="str">
        <f>IFERROR(__xludf.DUMMYFUNCTION("""COMPUTED_VALUE"""),"")</f>
        <v/>
      </c>
      <c r="W8710" s="16" t="str">
        <f>IFERROR(__xludf.DUMMYFUNCTION("""COMPUTED_VALUE"""),"")</f>
        <v/>
      </c>
      <c r="X8710" s="16" t="str">
        <f>IFERROR(__xludf.DUMMYFUNCTION("""COMPUTED_VALUE"""),"")</f>
        <v/>
      </c>
      <c r="AC8710" s="16" t="str">
        <f>IFERROR(__xludf.DUMMYFUNCTION("""COMPUTED_VALUE"""),"")</f>
        <v/>
      </c>
    </row>
    <row r="8711">
      <c r="A8711" s="16" t="s">
        <v>87</v>
      </c>
      <c r="E8711" s="16" t="str">
        <f>IFERROR(__xludf.DUMMYFUNCTION("""COMPUTED_VALUE"""),"")</f>
        <v/>
      </c>
      <c r="G8711" s="18"/>
      <c r="H8711" s="16" t="s">
        <v>87</v>
      </c>
      <c r="I8711" s="16" t="s">
        <v>87</v>
      </c>
      <c r="J8711" s="19"/>
      <c r="L8711" s="16" t="str">
        <f>IFERROR(__xludf.DUMMYFUNCTION("""COMPUTED_VALUE"""),"")</f>
        <v/>
      </c>
      <c r="M8711" s="16" t="str">
        <f>IFERROR(__xludf.DUMMYFUNCTION("""COMPUTED_VALUE"""),"")</f>
        <v/>
      </c>
      <c r="U8711" s="16" t="s">
        <v>87</v>
      </c>
      <c r="V8711" s="16" t="str">
        <f>IFERROR(__xludf.DUMMYFUNCTION("""COMPUTED_VALUE"""),"")</f>
        <v/>
      </c>
      <c r="W8711" s="16" t="str">
        <f>IFERROR(__xludf.DUMMYFUNCTION("""COMPUTED_VALUE"""),"")</f>
        <v/>
      </c>
      <c r="X8711" s="16" t="str">
        <f>IFERROR(__xludf.DUMMYFUNCTION("""COMPUTED_VALUE"""),"")</f>
        <v/>
      </c>
      <c r="AC8711" s="16" t="str">
        <f>IFERROR(__xludf.DUMMYFUNCTION("""COMPUTED_VALUE"""),"")</f>
        <v/>
      </c>
    </row>
    <row r="8712">
      <c r="A8712" s="16" t="s">
        <v>87</v>
      </c>
      <c r="E8712" s="16" t="str">
        <f>IFERROR(__xludf.DUMMYFUNCTION("""COMPUTED_VALUE"""),"")</f>
        <v/>
      </c>
      <c r="G8712" s="18"/>
      <c r="H8712" s="16" t="s">
        <v>87</v>
      </c>
      <c r="I8712" s="16" t="s">
        <v>87</v>
      </c>
      <c r="J8712" s="19"/>
      <c r="L8712" s="16" t="str">
        <f>IFERROR(__xludf.DUMMYFUNCTION("""COMPUTED_VALUE"""),"")</f>
        <v/>
      </c>
      <c r="M8712" s="16" t="str">
        <f>IFERROR(__xludf.DUMMYFUNCTION("""COMPUTED_VALUE"""),"")</f>
        <v/>
      </c>
      <c r="U8712" s="16" t="s">
        <v>87</v>
      </c>
      <c r="V8712" s="16" t="str">
        <f>IFERROR(__xludf.DUMMYFUNCTION("""COMPUTED_VALUE"""),"")</f>
        <v/>
      </c>
      <c r="W8712" s="16" t="str">
        <f>IFERROR(__xludf.DUMMYFUNCTION("""COMPUTED_VALUE"""),"")</f>
        <v/>
      </c>
      <c r="X8712" s="16" t="str">
        <f>IFERROR(__xludf.DUMMYFUNCTION("""COMPUTED_VALUE"""),"")</f>
        <v/>
      </c>
      <c r="AC8712" s="16" t="str">
        <f>IFERROR(__xludf.DUMMYFUNCTION("""COMPUTED_VALUE"""),"")</f>
        <v/>
      </c>
    </row>
    <row r="8713">
      <c r="A8713" s="16" t="s">
        <v>87</v>
      </c>
      <c r="E8713" s="16" t="str">
        <f>IFERROR(__xludf.DUMMYFUNCTION("""COMPUTED_VALUE"""),"")</f>
        <v/>
      </c>
      <c r="G8713" s="18"/>
      <c r="H8713" s="16" t="s">
        <v>87</v>
      </c>
      <c r="I8713" s="16" t="s">
        <v>87</v>
      </c>
      <c r="J8713" s="19"/>
      <c r="L8713" s="16" t="str">
        <f>IFERROR(__xludf.DUMMYFUNCTION("""COMPUTED_VALUE"""),"")</f>
        <v/>
      </c>
      <c r="M8713" s="16" t="str">
        <f>IFERROR(__xludf.DUMMYFUNCTION("""COMPUTED_VALUE"""),"")</f>
        <v/>
      </c>
      <c r="U8713" s="16" t="s">
        <v>87</v>
      </c>
      <c r="V8713" s="16" t="str">
        <f>IFERROR(__xludf.DUMMYFUNCTION("""COMPUTED_VALUE"""),"")</f>
        <v/>
      </c>
      <c r="W8713" s="16" t="str">
        <f>IFERROR(__xludf.DUMMYFUNCTION("""COMPUTED_VALUE"""),"")</f>
        <v/>
      </c>
      <c r="X8713" s="16" t="str">
        <f>IFERROR(__xludf.DUMMYFUNCTION("""COMPUTED_VALUE"""),"")</f>
        <v/>
      </c>
      <c r="AC8713" s="16" t="str">
        <f>IFERROR(__xludf.DUMMYFUNCTION("""COMPUTED_VALUE"""),"")</f>
        <v/>
      </c>
    </row>
    <row r="8714">
      <c r="A8714" s="16" t="s">
        <v>87</v>
      </c>
      <c r="E8714" s="16" t="str">
        <f>IFERROR(__xludf.DUMMYFUNCTION("""COMPUTED_VALUE"""),"")</f>
        <v/>
      </c>
      <c r="G8714" s="18"/>
      <c r="H8714" s="16" t="s">
        <v>87</v>
      </c>
      <c r="I8714" s="16" t="s">
        <v>87</v>
      </c>
      <c r="J8714" s="19"/>
      <c r="L8714" s="16" t="str">
        <f>IFERROR(__xludf.DUMMYFUNCTION("""COMPUTED_VALUE"""),"")</f>
        <v/>
      </c>
      <c r="M8714" s="16" t="str">
        <f>IFERROR(__xludf.DUMMYFUNCTION("""COMPUTED_VALUE"""),"")</f>
        <v/>
      </c>
      <c r="U8714" s="16" t="s">
        <v>87</v>
      </c>
      <c r="V8714" s="16" t="str">
        <f>IFERROR(__xludf.DUMMYFUNCTION("""COMPUTED_VALUE"""),"")</f>
        <v/>
      </c>
      <c r="W8714" s="16" t="str">
        <f>IFERROR(__xludf.DUMMYFUNCTION("""COMPUTED_VALUE"""),"")</f>
        <v/>
      </c>
      <c r="X8714" s="16" t="str">
        <f>IFERROR(__xludf.DUMMYFUNCTION("""COMPUTED_VALUE"""),"")</f>
        <v/>
      </c>
      <c r="AC8714" s="16" t="str">
        <f>IFERROR(__xludf.DUMMYFUNCTION("""COMPUTED_VALUE"""),"")</f>
        <v/>
      </c>
    </row>
    <row r="8715">
      <c r="A8715" s="16" t="s">
        <v>87</v>
      </c>
      <c r="E8715" s="16" t="str">
        <f>IFERROR(__xludf.DUMMYFUNCTION("""COMPUTED_VALUE"""),"")</f>
        <v/>
      </c>
      <c r="G8715" s="18"/>
      <c r="H8715" s="16" t="s">
        <v>87</v>
      </c>
      <c r="I8715" s="16" t="s">
        <v>87</v>
      </c>
      <c r="J8715" s="19"/>
      <c r="L8715" s="16" t="str">
        <f>IFERROR(__xludf.DUMMYFUNCTION("""COMPUTED_VALUE"""),"")</f>
        <v/>
      </c>
      <c r="M8715" s="16" t="str">
        <f>IFERROR(__xludf.DUMMYFUNCTION("""COMPUTED_VALUE"""),"")</f>
        <v/>
      </c>
      <c r="U8715" s="16" t="s">
        <v>87</v>
      </c>
      <c r="V8715" s="16" t="str">
        <f>IFERROR(__xludf.DUMMYFUNCTION("""COMPUTED_VALUE"""),"")</f>
        <v/>
      </c>
      <c r="W8715" s="16" t="str">
        <f>IFERROR(__xludf.DUMMYFUNCTION("""COMPUTED_VALUE"""),"")</f>
        <v/>
      </c>
      <c r="X8715" s="16" t="str">
        <f>IFERROR(__xludf.DUMMYFUNCTION("""COMPUTED_VALUE"""),"")</f>
        <v/>
      </c>
      <c r="AC8715" s="16" t="str">
        <f>IFERROR(__xludf.DUMMYFUNCTION("""COMPUTED_VALUE"""),"")</f>
        <v/>
      </c>
    </row>
    <row r="8716">
      <c r="A8716" s="16" t="s">
        <v>87</v>
      </c>
      <c r="E8716" s="16" t="str">
        <f>IFERROR(__xludf.DUMMYFUNCTION("""COMPUTED_VALUE"""),"")</f>
        <v/>
      </c>
      <c r="G8716" s="18"/>
      <c r="H8716" s="16" t="s">
        <v>87</v>
      </c>
      <c r="I8716" s="16" t="s">
        <v>87</v>
      </c>
      <c r="J8716" s="19"/>
      <c r="L8716" s="16" t="str">
        <f>IFERROR(__xludf.DUMMYFUNCTION("""COMPUTED_VALUE"""),"")</f>
        <v/>
      </c>
      <c r="M8716" s="16" t="str">
        <f>IFERROR(__xludf.DUMMYFUNCTION("""COMPUTED_VALUE"""),"")</f>
        <v/>
      </c>
      <c r="U8716" s="16" t="s">
        <v>87</v>
      </c>
      <c r="V8716" s="16" t="str">
        <f>IFERROR(__xludf.DUMMYFUNCTION("""COMPUTED_VALUE"""),"")</f>
        <v/>
      </c>
      <c r="W8716" s="16" t="str">
        <f>IFERROR(__xludf.DUMMYFUNCTION("""COMPUTED_VALUE"""),"")</f>
        <v/>
      </c>
      <c r="X8716" s="16" t="str">
        <f>IFERROR(__xludf.DUMMYFUNCTION("""COMPUTED_VALUE"""),"")</f>
        <v/>
      </c>
      <c r="AC8716" s="16" t="str">
        <f>IFERROR(__xludf.DUMMYFUNCTION("""COMPUTED_VALUE"""),"")</f>
        <v/>
      </c>
    </row>
    <row r="8717">
      <c r="A8717" s="16" t="s">
        <v>87</v>
      </c>
      <c r="E8717" s="16" t="str">
        <f>IFERROR(__xludf.DUMMYFUNCTION("""COMPUTED_VALUE"""),"")</f>
        <v/>
      </c>
      <c r="G8717" s="18"/>
      <c r="H8717" s="16" t="s">
        <v>87</v>
      </c>
      <c r="I8717" s="16" t="s">
        <v>87</v>
      </c>
      <c r="J8717" s="19"/>
      <c r="L8717" s="16" t="str">
        <f>IFERROR(__xludf.DUMMYFUNCTION("""COMPUTED_VALUE"""),"")</f>
        <v/>
      </c>
      <c r="M8717" s="16" t="str">
        <f>IFERROR(__xludf.DUMMYFUNCTION("""COMPUTED_VALUE"""),"")</f>
        <v/>
      </c>
      <c r="U8717" s="16" t="s">
        <v>87</v>
      </c>
      <c r="V8717" s="16" t="str">
        <f>IFERROR(__xludf.DUMMYFUNCTION("""COMPUTED_VALUE"""),"")</f>
        <v/>
      </c>
      <c r="W8717" s="16" t="str">
        <f>IFERROR(__xludf.DUMMYFUNCTION("""COMPUTED_VALUE"""),"")</f>
        <v/>
      </c>
      <c r="X8717" s="16" t="str">
        <f>IFERROR(__xludf.DUMMYFUNCTION("""COMPUTED_VALUE"""),"")</f>
        <v/>
      </c>
      <c r="AC8717" s="16" t="str">
        <f>IFERROR(__xludf.DUMMYFUNCTION("""COMPUTED_VALUE"""),"")</f>
        <v/>
      </c>
    </row>
    <row r="8718">
      <c r="A8718" s="16" t="s">
        <v>87</v>
      </c>
      <c r="E8718" s="16" t="str">
        <f>IFERROR(__xludf.DUMMYFUNCTION("""COMPUTED_VALUE"""),"")</f>
        <v/>
      </c>
      <c r="G8718" s="18"/>
      <c r="H8718" s="16" t="s">
        <v>87</v>
      </c>
      <c r="I8718" s="16" t="s">
        <v>87</v>
      </c>
      <c r="J8718" s="19"/>
      <c r="L8718" s="16" t="str">
        <f>IFERROR(__xludf.DUMMYFUNCTION("""COMPUTED_VALUE"""),"")</f>
        <v/>
      </c>
      <c r="M8718" s="16" t="str">
        <f>IFERROR(__xludf.DUMMYFUNCTION("""COMPUTED_VALUE"""),"")</f>
        <v/>
      </c>
      <c r="U8718" s="16" t="s">
        <v>87</v>
      </c>
      <c r="V8718" s="16" t="str">
        <f>IFERROR(__xludf.DUMMYFUNCTION("""COMPUTED_VALUE"""),"")</f>
        <v/>
      </c>
      <c r="W8718" s="16" t="str">
        <f>IFERROR(__xludf.DUMMYFUNCTION("""COMPUTED_VALUE"""),"")</f>
        <v/>
      </c>
      <c r="X8718" s="16" t="str">
        <f>IFERROR(__xludf.DUMMYFUNCTION("""COMPUTED_VALUE"""),"")</f>
        <v/>
      </c>
      <c r="AC8718" s="16" t="str">
        <f>IFERROR(__xludf.DUMMYFUNCTION("""COMPUTED_VALUE"""),"")</f>
        <v/>
      </c>
    </row>
    <row r="8719">
      <c r="A8719" s="16" t="s">
        <v>87</v>
      </c>
      <c r="E8719" s="16" t="str">
        <f>IFERROR(__xludf.DUMMYFUNCTION("""COMPUTED_VALUE"""),"")</f>
        <v/>
      </c>
      <c r="G8719" s="18"/>
      <c r="H8719" s="16" t="s">
        <v>87</v>
      </c>
      <c r="I8719" s="16" t="s">
        <v>87</v>
      </c>
      <c r="J8719" s="19"/>
      <c r="L8719" s="16" t="str">
        <f>IFERROR(__xludf.DUMMYFUNCTION("""COMPUTED_VALUE"""),"")</f>
        <v/>
      </c>
      <c r="M8719" s="16" t="str">
        <f>IFERROR(__xludf.DUMMYFUNCTION("""COMPUTED_VALUE"""),"")</f>
        <v/>
      </c>
      <c r="U8719" s="16" t="s">
        <v>87</v>
      </c>
      <c r="V8719" s="16" t="str">
        <f>IFERROR(__xludf.DUMMYFUNCTION("""COMPUTED_VALUE"""),"")</f>
        <v/>
      </c>
      <c r="W8719" s="16" t="str">
        <f>IFERROR(__xludf.DUMMYFUNCTION("""COMPUTED_VALUE"""),"")</f>
        <v/>
      </c>
      <c r="X8719" s="16" t="str">
        <f>IFERROR(__xludf.DUMMYFUNCTION("""COMPUTED_VALUE"""),"")</f>
        <v/>
      </c>
      <c r="AC8719" s="16" t="str">
        <f>IFERROR(__xludf.DUMMYFUNCTION("""COMPUTED_VALUE"""),"")</f>
        <v/>
      </c>
    </row>
    <row r="8720">
      <c r="A8720" s="16" t="s">
        <v>87</v>
      </c>
      <c r="E8720" s="16" t="str">
        <f>IFERROR(__xludf.DUMMYFUNCTION("""COMPUTED_VALUE"""),"")</f>
        <v/>
      </c>
      <c r="G8720" s="18"/>
      <c r="H8720" s="16" t="s">
        <v>87</v>
      </c>
      <c r="I8720" s="16" t="s">
        <v>87</v>
      </c>
      <c r="J8720" s="19"/>
      <c r="L8720" s="16" t="str">
        <f>IFERROR(__xludf.DUMMYFUNCTION("""COMPUTED_VALUE"""),"")</f>
        <v/>
      </c>
      <c r="M8720" s="16" t="str">
        <f>IFERROR(__xludf.DUMMYFUNCTION("""COMPUTED_VALUE"""),"")</f>
        <v/>
      </c>
      <c r="U8720" s="16" t="s">
        <v>87</v>
      </c>
      <c r="V8720" s="16" t="str">
        <f>IFERROR(__xludf.DUMMYFUNCTION("""COMPUTED_VALUE"""),"")</f>
        <v/>
      </c>
      <c r="W8720" s="16" t="str">
        <f>IFERROR(__xludf.DUMMYFUNCTION("""COMPUTED_VALUE"""),"")</f>
        <v/>
      </c>
      <c r="X8720" s="16" t="str">
        <f>IFERROR(__xludf.DUMMYFUNCTION("""COMPUTED_VALUE"""),"")</f>
        <v/>
      </c>
      <c r="AC8720" s="16" t="str">
        <f>IFERROR(__xludf.DUMMYFUNCTION("""COMPUTED_VALUE"""),"")</f>
        <v/>
      </c>
    </row>
    <row r="8721">
      <c r="A8721" s="16" t="s">
        <v>87</v>
      </c>
      <c r="E8721" s="16" t="str">
        <f>IFERROR(__xludf.DUMMYFUNCTION("""COMPUTED_VALUE"""),"")</f>
        <v/>
      </c>
      <c r="G8721" s="18"/>
      <c r="H8721" s="16" t="s">
        <v>87</v>
      </c>
      <c r="I8721" s="16" t="s">
        <v>87</v>
      </c>
      <c r="J8721" s="19"/>
      <c r="L8721" s="16" t="str">
        <f>IFERROR(__xludf.DUMMYFUNCTION("""COMPUTED_VALUE"""),"")</f>
        <v/>
      </c>
      <c r="M8721" s="16" t="str">
        <f>IFERROR(__xludf.DUMMYFUNCTION("""COMPUTED_VALUE"""),"")</f>
        <v/>
      </c>
      <c r="U8721" s="16" t="s">
        <v>87</v>
      </c>
      <c r="V8721" s="16" t="str">
        <f>IFERROR(__xludf.DUMMYFUNCTION("""COMPUTED_VALUE"""),"")</f>
        <v/>
      </c>
      <c r="W8721" s="16" t="str">
        <f>IFERROR(__xludf.DUMMYFUNCTION("""COMPUTED_VALUE"""),"")</f>
        <v/>
      </c>
      <c r="X8721" s="16" t="str">
        <f>IFERROR(__xludf.DUMMYFUNCTION("""COMPUTED_VALUE"""),"")</f>
        <v/>
      </c>
      <c r="AC8721" s="16" t="str">
        <f>IFERROR(__xludf.DUMMYFUNCTION("""COMPUTED_VALUE"""),"")</f>
        <v/>
      </c>
    </row>
    <row r="8722">
      <c r="A8722" s="16" t="s">
        <v>87</v>
      </c>
      <c r="E8722" s="16" t="str">
        <f>IFERROR(__xludf.DUMMYFUNCTION("""COMPUTED_VALUE"""),"")</f>
        <v/>
      </c>
      <c r="G8722" s="18"/>
      <c r="H8722" s="16" t="s">
        <v>87</v>
      </c>
      <c r="I8722" s="16" t="s">
        <v>87</v>
      </c>
      <c r="J8722" s="19"/>
      <c r="L8722" s="16" t="str">
        <f>IFERROR(__xludf.DUMMYFUNCTION("""COMPUTED_VALUE"""),"")</f>
        <v/>
      </c>
      <c r="M8722" s="16" t="str">
        <f>IFERROR(__xludf.DUMMYFUNCTION("""COMPUTED_VALUE"""),"")</f>
        <v/>
      </c>
      <c r="U8722" s="16" t="s">
        <v>87</v>
      </c>
      <c r="V8722" s="16" t="str">
        <f>IFERROR(__xludf.DUMMYFUNCTION("""COMPUTED_VALUE"""),"")</f>
        <v/>
      </c>
      <c r="W8722" s="16" t="str">
        <f>IFERROR(__xludf.DUMMYFUNCTION("""COMPUTED_VALUE"""),"")</f>
        <v/>
      </c>
      <c r="X8722" s="16" t="str">
        <f>IFERROR(__xludf.DUMMYFUNCTION("""COMPUTED_VALUE"""),"")</f>
        <v/>
      </c>
      <c r="AC8722" s="16" t="str">
        <f>IFERROR(__xludf.DUMMYFUNCTION("""COMPUTED_VALUE"""),"")</f>
        <v/>
      </c>
    </row>
    <row r="8723">
      <c r="A8723" s="16" t="s">
        <v>87</v>
      </c>
      <c r="E8723" s="16" t="str">
        <f>IFERROR(__xludf.DUMMYFUNCTION("""COMPUTED_VALUE"""),"")</f>
        <v/>
      </c>
      <c r="G8723" s="18"/>
      <c r="H8723" s="16" t="s">
        <v>87</v>
      </c>
      <c r="I8723" s="16" t="s">
        <v>87</v>
      </c>
      <c r="J8723" s="19"/>
      <c r="L8723" s="16" t="str">
        <f>IFERROR(__xludf.DUMMYFUNCTION("""COMPUTED_VALUE"""),"")</f>
        <v/>
      </c>
      <c r="M8723" s="16" t="str">
        <f>IFERROR(__xludf.DUMMYFUNCTION("""COMPUTED_VALUE"""),"")</f>
        <v/>
      </c>
      <c r="U8723" s="16" t="s">
        <v>87</v>
      </c>
      <c r="V8723" s="16" t="str">
        <f>IFERROR(__xludf.DUMMYFUNCTION("""COMPUTED_VALUE"""),"")</f>
        <v/>
      </c>
      <c r="W8723" s="16" t="str">
        <f>IFERROR(__xludf.DUMMYFUNCTION("""COMPUTED_VALUE"""),"")</f>
        <v/>
      </c>
      <c r="X8723" s="16" t="str">
        <f>IFERROR(__xludf.DUMMYFUNCTION("""COMPUTED_VALUE"""),"")</f>
        <v/>
      </c>
      <c r="AC8723" s="16" t="str">
        <f>IFERROR(__xludf.DUMMYFUNCTION("""COMPUTED_VALUE"""),"")</f>
        <v/>
      </c>
    </row>
    <row r="8724">
      <c r="A8724" s="16" t="s">
        <v>87</v>
      </c>
      <c r="E8724" s="16" t="str">
        <f>IFERROR(__xludf.DUMMYFUNCTION("""COMPUTED_VALUE"""),"")</f>
        <v/>
      </c>
      <c r="G8724" s="18"/>
      <c r="H8724" s="16" t="s">
        <v>87</v>
      </c>
      <c r="I8724" s="16" t="s">
        <v>87</v>
      </c>
      <c r="J8724" s="19"/>
      <c r="L8724" s="16" t="str">
        <f>IFERROR(__xludf.DUMMYFUNCTION("""COMPUTED_VALUE"""),"")</f>
        <v/>
      </c>
      <c r="M8724" s="16" t="str">
        <f>IFERROR(__xludf.DUMMYFUNCTION("""COMPUTED_VALUE"""),"")</f>
        <v/>
      </c>
      <c r="U8724" s="16" t="s">
        <v>87</v>
      </c>
      <c r="V8724" s="16" t="str">
        <f>IFERROR(__xludf.DUMMYFUNCTION("""COMPUTED_VALUE"""),"")</f>
        <v/>
      </c>
      <c r="W8724" s="16" t="str">
        <f>IFERROR(__xludf.DUMMYFUNCTION("""COMPUTED_VALUE"""),"")</f>
        <v/>
      </c>
      <c r="X8724" s="16" t="str">
        <f>IFERROR(__xludf.DUMMYFUNCTION("""COMPUTED_VALUE"""),"")</f>
        <v/>
      </c>
      <c r="AC8724" s="16" t="str">
        <f>IFERROR(__xludf.DUMMYFUNCTION("""COMPUTED_VALUE"""),"")</f>
        <v/>
      </c>
    </row>
    <row r="8725">
      <c r="A8725" s="16" t="s">
        <v>87</v>
      </c>
      <c r="E8725" s="16" t="str">
        <f>IFERROR(__xludf.DUMMYFUNCTION("""COMPUTED_VALUE"""),"")</f>
        <v/>
      </c>
      <c r="G8725" s="18"/>
      <c r="H8725" s="16" t="s">
        <v>87</v>
      </c>
      <c r="I8725" s="16" t="s">
        <v>87</v>
      </c>
      <c r="J8725" s="19"/>
      <c r="L8725" s="16" t="str">
        <f>IFERROR(__xludf.DUMMYFUNCTION("""COMPUTED_VALUE"""),"")</f>
        <v/>
      </c>
      <c r="M8725" s="16" t="str">
        <f>IFERROR(__xludf.DUMMYFUNCTION("""COMPUTED_VALUE"""),"")</f>
        <v/>
      </c>
      <c r="U8725" s="16" t="s">
        <v>87</v>
      </c>
      <c r="V8725" s="16" t="str">
        <f>IFERROR(__xludf.DUMMYFUNCTION("""COMPUTED_VALUE"""),"")</f>
        <v/>
      </c>
      <c r="W8725" s="16" t="str">
        <f>IFERROR(__xludf.DUMMYFUNCTION("""COMPUTED_VALUE"""),"")</f>
        <v/>
      </c>
      <c r="X8725" s="16" t="str">
        <f>IFERROR(__xludf.DUMMYFUNCTION("""COMPUTED_VALUE"""),"")</f>
        <v/>
      </c>
      <c r="AC8725" s="16" t="str">
        <f>IFERROR(__xludf.DUMMYFUNCTION("""COMPUTED_VALUE"""),"")</f>
        <v/>
      </c>
    </row>
    <row r="8726">
      <c r="A8726" s="16" t="s">
        <v>87</v>
      </c>
      <c r="E8726" s="16" t="str">
        <f>IFERROR(__xludf.DUMMYFUNCTION("""COMPUTED_VALUE"""),"")</f>
        <v/>
      </c>
      <c r="G8726" s="18"/>
      <c r="H8726" s="16" t="s">
        <v>87</v>
      </c>
      <c r="I8726" s="16" t="s">
        <v>87</v>
      </c>
      <c r="J8726" s="19"/>
      <c r="L8726" s="16" t="str">
        <f>IFERROR(__xludf.DUMMYFUNCTION("""COMPUTED_VALUE"""),"")</f>
        <v/>
      </c>
      <c r="M8726" s="16" t="str">
        <f>IFERROR(__xludf.DUMMYFUNCTION("""COMPUTED_VALUE"""),"")</f>
        <v/>
      </c>
      <c r="U8726" s="16" t="s">
        <v>87</v>
      </c>
      <c r="V8726" s="16" t="str">
        <f>IFERROR(__xludf.DUMMYFUNCTION("""COMPUTED_VALUE"""),"")</f>
        <v/>
      </c>
      <c r="W8726" s="16" t="str">
        <f>IFERROR(__xludf.DUMMYFUNCTION("""COMPUTED_VALUE"""),"")</f>
        <v/>
      </c>
      <c r="X8726" s="16" t="str">
        <f>IFERROR(__xludf.DUMMYFUNCTION("""COMPUTED_VALUE"""),"")</f>
        <v/>
      </c>
      <c r="AC8726" s="16" t="str">
        <f>IFERROR(__xludf.DUMMYFUNCTION("""COMPUTED_VALUE"""),"")</f>
        <v/>
      </c>
    </row>
    <row r="8727">
      <c r="A8727" s="16" t="s">
        <v>87</v>
      </c>
      <c r="E8727" s="16" t="str">
        <f>IFERROR(__xludf.DUMMYFUNCTION("""COMPUTED_VALUE"""),"")</f>
        <v/>
      </c>
      <c r="G8727" s="18"/>
      <c r="H8727" s="16" t="s">
        <v>87</v>
      </c>
      <c r="I8727" s="16" t="s">
        <v>87</v>
      </c>
      <c r="J8727" s="19"/>
      <c r="L8727" s="16" t="str">
        <f>IFERROR(__xludf.DUMMYFUNCTION("""COMPUTED_VALUE"""),"")</f>
        <v/>
      </c>
      <c r="M8727" s="16" t="str">
        <f>IFERROR(__xludf.DUMMYFUNCTION("""COMPUTED_VALUE"""),"")</f>
        <v/>
      </c>
      <c r="U8727" s="16" t="s">
        <v>87</v>
      </c>
      <c r="V8727" s="16" t="str">
        <f>IFERROR(__xludf.DUMMYFUNCTION("""COMPUTED_VALUE"""),"")</f>
        <v/>
      </c>
      <c r="W8727" s="16" t="str">
        <f>IFERROR(__xludf.DUMMYFUNCTION("""COMPUTED_VALUE"""),"")</f>
        <v/>
      </c>
      <c r="X8727" s="16" t="str">
        <f>IFERROR(__xludf.DUMMYFUNCTION("""COMPUTED_VALUE"""),"")</f>
        <v/>
      </c>
      <c r="AC8727" s="16" t="str">
        <f>IFERROR(__xludf.DUMMYFUNCTION("""COMPUTED_VALUE"""),"")</f>
        <v/>
      </c>
    </row>
    <row r="8728">
      <c r="A8728" s="16" t="s">
        <v>87</v>
      </c>
      <c r="E8728" s="16" t="str">
        <f>IFERROR(__xludf.DUMMYFUNCTION("""COMPUTED_VALUE"""),"")</f>
        <v/>
      </c>
      <c r="G8728" s="18"/>
      <c r="H8728" s="16" t="s">
        <v>87</v>
      </c>
      <c r="I8728" s="16" t="s">
        <v>87</v>
      </c>
      <c r="J8728" s="19"/>
      <c r="L8728" s="16" t="str">
        <f>IFERROR(__xludf.DUMMYFUNCTION("""COMPUTED_VALUE"""),"")</f>
        <v/>
      </c>
      <c r="M8728" s="16" t="str">
        <f>IFERROR(__xludf.DUMMYFUNCTION("""COMPUTED_VALUE"""),"")</f>
        <v/>
      </c>
      <c r="U8728" s="16" t="s">
        <v>87</v>
      </c>
      <c r="V8728" s="16" t="str">
        <f>IFERROR(__xludf.DUMMYFUNCTION("""COMPUTED_VALUE"""),"")</f>
        <v/>
      </c>
      <c r="W8728" s="16" t="str">
        <f>IFERROR(__xludf.DUMMYFUNCTION("""COMPUTED_VALUE"""),"")</f>
        <v/>
      </c>
      <c r="X8728" s="16" t="str">
        <f>IFERROR(__xludf.DUMMYFUNCTION("""COMPUTED_VALUE"""),"")</f>
        <v/>
      </c>
      <c r="AC8728" s="16" t="str">
        <f>IFERROR(__xludf.DUMMYFUNCTION("""COMPUTED_VALUE"""),"")</f>
        <v/>
      </c>
    </row>
    <row r="8729">
      <c r="A8729" s="16" t="s">
        <v>87</v>
      </c>
      <c r="E8729" s="16" t="str">
        <f>IFERROR(__xludf.DUMMYFUNCTION("""COMPUTED_VALUE"""),"")</f>
        <v/>
      </c>
      <c r="G8729" s="18"/>
      <c r="H8729" s="16" t="s">
        <v>87</v>
      </c>
      <c r="I8729" s="16" t="s">
        <v>87</v>
      </c>
      <c r="J8729" s="19"/>
      <c r="L8729" s="16" t="str">
        <f>IFERROR(__xludf.DUMMYFUNCTION("""COMPUTED_VALUE"""),"")</f>
        <v/>
      </c>
      <c r="M8729" s="16" t="str">
        <f>IFERROR(__xludf.DUMMYFUNCTION("""COMPUTED_VALUE"""),"")</f>
        <v/>
      </c>
      <c r="U8729" s="16" t="s">
        <v>87</v>
      </c>
      <c r="V8729" s="16" t="str">
        <f>IFERROR(__xludf.DUMMYFUNCTION("""COMPUTED_VALUE"""),"")</f>
        <v/>
      </c>
      <c r="W8729" s="16" t="str">
        <f>IFERROR(__xludf.DUMMYFUNCTION("""COMPUTED_VALUE"""),"")</f>
        <v/>
      </c>
      <c r="X8729" s="16" t="str">
        <f>IFERROR(__xludf.DUMMYFUNCTION("""COMPUTED_VALUE"""),"")</f>
        <v/>
      </c>
      <c r="AC8729" s="16" t="str">
        <f>IFERROR(__xludf.DUMMYFUNCTION("""COMPUTED_VALUE"""),"")</f>
        <v/>
      </c>
    </row>
    <row r="8730">
      <c r="A8730" s="16" t="s">
        <v>87</v>
      </c>
      <c r="E8730" s="16" t="str">
        <f>IFERROR(__xludf.DUMMYFUNCTION("""COMPUTED_VALUE"""),"")</f>
        <v/>
      </c>
      <c r="G8730" s="18"/>
      <c r="H8730" s="16" t="s">
        <v>87</v>
      </c>
      <c r="I8730" s="16" t="s">
        <v>87</v>
      </c>
      <c r="J8730" s="19"/>
      <c r="L8730" s="16" t="str">
        <f>IFERROR(__xludf.DUMMYFUNCTION("""COMPUTED_VALUE"""),"")</f>
        <v/>
      </c>
      <c r="M8730" s="16" t="str">
        <f>IFERROR(__xludf.DUMMYFUNCTION("""COMPUTED_VALUE"""),"")</f>
        <v/>
      </c>
      <c r="U8730" s="16" t="s">
        <v>87</v>
      </c>
      <c r="V8730" s="16" t="str">
        <f>IFERROR(__xludf.DUMMYFUNCTION("""COMPUTED_VALUE"""),"")</f>
        <v/>
      </c>
      <c r="W8730" s="16" t="str">
        <f>IFERROR(__xludf.DUMMYFUNCTION("""COMPUTED_VALUE"""),"")</f>
        <v/>
      </c>
      <c r="X8730" s="16" t="str">
        <f>IFERROR(__xludf.DUMMYFUNCTION("""COMPUTED_VALUE"""),"")</f>
        <v/>
      </c>
      <c r="AC8730" s="16" t="str">
        <f>IFERROR(__xludf.DUMMYFUNCTION("""COMPUTED_VALUE"""),"")</f>
        <v/>
      </c>
    </row>
    <row r="8731">
      <c r="A8731" s="16" t="s">
        <v>87</v>
      </c>
      <c r="E8731" s="16" t="str">
        <f>IFERROR(__xludf.DUMMYFUNCTION("""COMPUTED_VALUE"""),"")</f>
        <v/>
      </c>
      <c r="G8731" s="18"/>
      <c r="H8731" s="16" t="s">
        <v>87</v>
      </c>
      <c r="I8731" s="16" t="s">
        <v>87</v>
      </c>
      <c r="J8731" s="19"/>
      <c r="L8731" s="16" t="str">
        <f>IFERROR(__xludf.DUMMYFUNCTION("""COMPUTED_VALUE"""),"")</f>
        <v/>
      </c>
      <c r="M8731" s="16" t="str">
        <f>IFERROR(__xludf.DUMMYFUNCTION("""COMPUTED_VALUE"""),"")</f>
        <v/>
      </c>
      <c r="U8731" s="16" t="s">
        <v>87</v>
      </c>
      <c r="V8731" s="16" t="str">
        <f>IFERROR(__xludf.DUMMYFUNCTION("""COMPUTED_VALUE"""),"")</f>
        <v/>
      </c>
      <c r="W8731" s="16" t="str">
        <f>IFERROR(__xludf.DUMMYFUNCTION("""COMPUTED_VALUE"""),"")</f>
        <v/>
      </c>
      <c r="X8731" s="16" t="str">
        <f>IFERROR(__xludf.DUMMYFUNCTION("""COMPUTED_VALUE"""),"")</f>
        <v/>
      </c>
      <c r="AC8731" s="16" t="str">
        <f>IFERROR(__xludf.DUMMYFUNCTION("""COMPUTED_VALUE"""),"")</f>
        <v/>
      </c>
    </row>
    <row r="8732">
      <c r="A8732" s="16" t="s">
        <v>87</v>
      </c>
      <c r="E8732" s="16" t="str">
        <f>IFERROR(__xludf.DUMMYFUNCTION("""COMPUTED_VALUE"""),"")</f>
        <v/>
      </c>
      <c r="G8732" s="18"/>
      <c r="H8732" s="16" t="s">
        <v>87</v>
      </c>
      <c r="I8732" s="16" t="s">
        <v>87</v>
      </c>
      <c r="J8732" s="19"/>
      <c r="L8732" s="16" t="str">
        <f>IFERROR(__xludf.DUMMYFUNCTION("""COMPUTED_VALUE"""),"")</f>
        <v/>
      </c>
      <c r="M8732" s="16" t="str">
        <f>IFERROR(__xludf.DUMMYFUNCTION("""COMPUTED_VALUE"""),"")</f>
        <v/>
      </c>
      <c r="U8732" s="16" t="s">
        <v>87</v>
      </c>
      <c r="V8732" s="16" t="str">
        <f>IFERROR(__xludf.DUMMYFUNCTION("""COMPUTED_VALUE"""),"")</f>
        <v/>
      </c>
      <c r="W8732" s="16" t="str">
        <f>IFERROR(__xludf.DUMMYFUNCTION("""COMPUTED_VALUE"""),"")</f>
        <v/>
      </c>
      <c r="X8732" s="16" t="str">
        <f>IFERROR(__xludf.DUMMYFUNCTION("""COMPUTED_VALUE"""),"")</f>
        <v/>
      </c>
      <c r="AC8732" s="16" t="str">
        <f>IFERROR(__xludf.DUMMYFUNCTION("""COMPUTED_VALUE"""),"")</f>
        <v/>
      </c>
    </row>
    <row r="8733">
      <c r="A8733" s="16" t="s">
        <v>87</v>
      </c>
      <c r="E8733" s="16" t="str">
        <f>IFERROR(__xludf.DUMMYFUNCTION("""COMPUTED_VALUE"""),"")</f>
        <v/>
      </c>
      <c r="G8733" s="18"/>
      <c r="H8733" s="16" t="s">
        <v>87</v>
      </c>
      <c r="I8733" s="16" t="s">
        <v>87</v>
      </c>
      <c r="J8733" s="19"/>
      <c r="L8733" s="16" t="str">
        <f>IFERROR(__xludf.DUMMYFUNCTION("""COMPUTED_VALUE"""),"")</f>
        <v/>
      </c>
      <c r="M8733" s="16" t="str">
        <f>IFERROR(__xludf.DUMMYFUNCTION("""COMPUTED_VALUE"""),"")</f>
        <v/>
      </c>
      <c r="U8733" s="16" t="s">
        <v>87</v>
      </c>
      <c r="V8733" s="16" t="str">
        <f>IFERROR(__xludf.DUMMYFUNCTION("""COMPUTED_VALUE"""),"")</f>
        <v/>
      </c>
      <c r="W8733" s="16" t="str">
        <f>IFERROR(__xludf.DUMMYFUNCTION("""COMPUTED_VALUE"""),"")</f>
        <v/>
      </c>
      <c r="X8733" s="16" t="str">
        <f>IFERROR(__xludf.DUMMYFUNCTION("""COMPUTED_VALUE"""),"")</f>
        <v/>
      </c>
      <c r="AC8733" s="16" t="str">
        <f>IFERROR(__xludf.DUMMYFUNCTION("""COMPUTED_VALUE"""),"")</f>
        <v/>
      </c>
    </row>
    <row r="8734">
      <c r="A8734" s="16" t="s">
        <v>87</v>
      </c>
      <c r="E8734" s="16" t="str">
        <f>IFERROR(__xludf.DUMMYFUNCTION("""COMPUTED_VALUE"""),"")</f>
        <v/>
      </c>
      <c r="G8734" s="18"/>
      <c r="H8734" s="16" t="s">
        <v>87</v>
      </c>
      <c r="I8734" s="16" t="s">
        <v>87</v>
      </c>
      <c r="J8734" s="19"/>
      <c r="L8734" s="16" t="str">
        <f>IFERROR(__xludf.DUMMYFUNCTION("""COMPUTED_VALUE"""),"")</f>
        <v/>
      </c>
      <c r="M8734" s="16" t="str">
        <f>IFERROR(__xludf.DUMMYFUNCTION("""COMPUTED_VALUE"""),"")</f>
        <v/>
      </c>
      <c r="U8734" s="16" t="s">
        <v>87</v>
      </c>
      <c r="V8734" s="16" t="str">
        <f>IFERROR(__xludf.DUMMYFUNCTION("""COMPUTED_VALUE"""),"")</f>
        <v/>
      </c>
      <c r="W8734" s="16" t="str">
        <f>IFERROR(__xludf.DUMMYFUNCTION("""COMPUTED_VALUE"""),"")</f>
        <v/>
      </c>
      <c r="X8734" s="16" t="str">
        <f>IFERROR(__xludf.DUMMYFUNCTION("""COMPUTED_VALUE"""),"")</f>
        <v/>
      </c>
      <c r="AC8734" s="16" t="str">
        <f>IFERROR(__xludf.DUMMYFUNCTION("""COMPUTED_VALUE"""),"")</f>
        <v/>
      </c>
    </row>
    <row r="8735">
      <c r="A8735" s="16" t="s">
        <v>87</v>
      </c>
      <c r="E8735" s="16" t="str">
        <f>IFERROR(__xludf.DUMMYFUNCTION("""COMPUTED_VALUE"""),"")</f>
        <v/>
      </c>
      <c r="G8735" s="18"/>
      <c r="H8735" s="16" t="s">
        <v>87</v>
      </c>
      <c r="I8735" s="16" t="s">
        <v>87</v>
      </c>
      <c r="J8735" s="19"/>
      <c r="L8735" s="16" t="str">
        <f>IFERROR(__xludf.DUMMYFUNCTION("""COMPUTED_VALUE"""),"")</f>
        <v/>
      </c>
      <c r="M8735" s="16" t="str">
        <f>IFERROR(__xludf.DUMMYFUNCTION("""COMPUTED_VALUE"""),"")</f>
        <v/>
      </c>
      <c r="U8735" s="16" t="s">
        <v>87</v>
      </c>
      <c r="V8735" s="16" t="str">
        <f>IFERROR(__xludf.DUMMYFUNCTION("""COMPUTED_VALUE"""),"")</f>
        <v/>
      </c>
      <c r="W8735" s="16" t="str">
        <f>IFERROR(__xludf.DUMMYFUNCTION("""COMPUTED_VALUE"""),"")</f>
        <v/>
      </c>
      <c r="X8735" s="16" t="str">
        <f>IFERROR(__xludf.DUMMYFUNCTION("""COMPUTED_VALUE"""),"")</f>
        <v/>
      </c>
      <c r="AC8735" s="16" t="str">
        <f>IFERROR(__xludf.DUMMYFUNCTION("""COMPUTED_VALUE"""),"")</f>
        <v/>
      </c>
    </row>
    <row r="8736">
      <c r="A8736" s="16" t="s">
        <v>87</v>
      </c>
      <c r="E8736" s="16" t="str">
        <f>IFERROR(__xludf.DUMMYFUNCTION("""COMPUTED_VALUE"""),"")</f>
        <v/>
      </c>
      <c r="G8736" s="18"/>
      <c r="H8736" s="16" t="s">
        <v>87</v>
      </c>
      <c r="I8736" s="16" t="s">
        <v>87</v>
      </c>
      <c r="J8736" s="19"/>
      <c r="L8736" s="16" t="str">
        <f>IFERROR(__xludf.DUMMYFUNCTION("""COMPUTED_VALUE"""),"")</f>
        <v/>
      </c>
      <c r="M8736" s="16" t="str">
        <f>IFERROR(__xludf.DUMMYFUNCTION("""COMPUTED_VALUE"""),"")</f>
        <v/>
      </c>
      <c r="U8736" s="16" t="s">
        <v>87</v>
      </c>
      <c r="V8736" s="16" t="str">
        <f>IFERROR(__xludf.DUMMYFUNCTION("""COMPUTED_VALUE"""),"")</f>
        <v/>
      </c>
      <c r="W8736" s="16" t="str">
        <f>IFERROR(__xludf.DUMMYFUNCTION("""COMPUTED_VALUE"""),"")</f>
        <v/>
      </c>
      <c r="X8736" s="16" t="str">
        <f>IFERROR(__xludf.DUMMYFUNCTION("""COMPUTED_VALUE"""),"")</f>
        <v/>
      </c>
      <c r="AC8736" s="16" t="str">
        <f>IFERROR(__xludf.DUMMYFUNCTION("""COMPUTED_VALUE"""),"")</f>
        <v/>
      </c>
    </row>
    <row r="8737">
      <c r="A8737" s="16" t="s">
        <v>87</v>
      </c>
      <c r="E8737" s="16" t="str">
        <f>IFERROR(__xludf.DUMMYFUNCTION("""COMPUTED_VALUE"""),"")</f>
        <v/>
      </c>
      <c r="G8737" s="18"/>
      <c r="H8737" s="16" t="s">
        <v>87</v>
      </c>
      <c r="I8737" s="16" t="s">
        <v>87</v>
      </c>
      <c r="J8737" s="19"/>
      <c r="L8737" s="16" t="str">
        <f>IFERROR(__xludf.DUMMYFUNCTION("""COMPUTED_VALUE"""),"")</f>
        <v/>
      </c>
      <c r="M8737" s="16" t="str">
        <f>IFERROR(__xludf.DUMMYFUNCTION("""COMPUTED_VALUE"""),"")</f>
        <v/>
      </c>
      <c r="U8737" s="16" t="s">
        <v>87</v>
      </c>
      <c r="V8737" s="16" t="str">
        <f>IFERROR(__xludf.DUMMYFUNCTION("""COMPUTED_VALUE"""),"")</f>
        <v/>
      </c>
      <c r="W8737" s="16" t="str">
        <f>IFERROR(__xludf.DUMMYFUNCTION("""COMPUTED_VALUE"""),"")</f>
        <v/>
      </c>
      <c r="X8737" s="16" t="str">
        <f>IFERROR(__xludf.DUMMYFUNCTION("""COMPUTED_VALUE"""),"")</f>
        <v/>
      </c>
      <c r="AC8737" s="16" t="str">
        <f>IFERROR(__xludf.DUMMYFUNCTION("""COMPUTED_VALUE"""),"")</f>
        <v/>
      </c>
    </row>
    <row r="8738">
      <c r="A8738" s="16" t="s">
        <v>87</v>
      </c>
      <c r="E8738" s="16" t="str">
        <f>IFERROR(__xludf.DUMMYFUNCTION("""COMPUTED_VALUE"""),"")</f>
        <v/>
      </c>
      <c r="G8738" s="18"/>
      <c r="H8738" s="16" t="s">
        <v>87</v>
      </c>
      <c r="I8738" s="16" t="s">
        <v>87</v>
      </c>
      <c r="J8738" s="19"/>
      <c r="L8738" s="16" t="str">
        <f>IFERROR(__xludf.DUMMYFUNCTION("""COMPUTED_VALUE"""),"")</f>
        <v/>
      </c>
      <c r="M8738" s="16" t="str">
        <f>IFERROR(__xludf.DUMMYFUNCTION("""COMPUTED_VALUE"""),"")</f>
        <v/>
      </c>
      <c r="U8738" s="16" t="s">
        <v>87</v>
      </c>
      <c r="V8738" s="16" t="str">
        <f>IFERROR(__xludf.DUMMYFUNCTION("""COMPUTED_VALUE"""),"")</f>
        <v/>
      </c>
      <c r="W8738" s="16" t="str">
        <f>IFERROR(__xludf.DUMMYFUNCTION("""COMPUTED_VALUE"""),"")</f>
        <v/>
      </c>
      <c r="X8738" s="16" t="str">
        <f>IFERROR(__xludf.DUMMYFUNCTION("""COMPUTED_VALUE"""),"")</f>
        <v/>
      </c>
      <c r="AC8738" s="16" t="str">
        <f>IFERROR(__xludf.DUMMYFUNCTION("""COMPUTED_VALUE"""),"")</f>
        <v/>
      </c>
    </row>
    <row r="8739">
      <c r="A8739" s="16" t="s">
        <v>87</v>
      </c>
      <c r="E8739" s="16" t="str">
        <f>IFERROR(__xludf.DUMMYFUNCTION("""COMPUTED_VALUE"""),"")</f>
        <v/>
      </c>
      <c r="G8739" s="18"/>
      <c r="H8739" s="16" t="s">
        <v>87</v>
      </c>
      <c r="I8739" s="16" t="s">
        <v>87</v>
      </c>
      <c r="J8739" s="19"/>
      <c r="L8739" s="16" t="str">
        <f>IFERROR(__xludf.DUMMYFUNCTION("""COMPUTED_VALUE"""),"")</f>
        <v/>
      </c>
      <c r="M8739" s="16" t="str">
        <f>IFERROR(__xludf.DUMMYFUNCTION("""COMPUTED_VALUE"""),"")</f>
        <v/>
      </c>
      <c r="U8739" s="16" t="s">
        <v>87</v>
      </c>
      <c r="V8739" s="16" t="str">
        <f>IFERROR(__xludf.DUMMYFUNCTION("""COMPUTED_VALUE"""),"")</f>
        <v/>
      </c>
      <c r="W8739" s="16" t="str">
        <f>IFERROR(__xludf.DUMMYFUNCTION("""COMPUTED_VALUE"""),"")</f>
        <v/>
      </c>
      <c r="X8739" s="16" t="str">
        <f>IFERROR(__xludf.DUMMYFUNCTION("""COMPUTED_VALUE"""),"")</f>
        <v/>
      </c>
      <c r="AC8739" s="16" t="str">
        <f>IFERROR(__xludf.DUMMYFUNCTION("""COMPUTED_VALUE"""),"")</f>
        <v/>
      </c>
    </row>
    <row r="8740">
      <c r="A8740" s="16" t="s">
        <v>87</v>
      </c>
      <c r="E8740" s="16" t="str">
        <f>IFERROR(__xludf.DUMMYFUNCTION("""COMPUTED_VALUE"""),"")</f>
        <v/>
      </c>
      <c r="G8740" s="18"/>
      <c r="H8740" s="16" t="s">
        <v>87</v>
      </c>
      <c r="I8740" s="16" t="s">
        <v>87</v>
      </c>
      <c r="J8740" s="19"/>
      <c r="L8740" s="16" t="str">
        <f>IFERROR(__xludf.DUMMYFUNCTION("""COMPUTED_VALUE"""),"")</f>
        <v/>
      </c>
      <c r="M8740" s="16" t="str">
        <f>IFERROR(__xludf.DUMMYFUNCTION("""COMPUTED_VALUE"""),"")</f>
        <v/>
      </c>
      <c r="U8740" s="16" t="s">
        <v>87</v>
      </c>
      <c r="V8740" s="16" t="str">
        <f>IFERROR(__xludf.DUMMYFUNCTION("""COMPUTED_VALUE"""),"")</f>
        <v/>
      </c>
      <c r="W8740" s="16" t="str">
        <f>IFERROR(__xludf.DUMMYFUNCTION("""COMPUTED_VALUE"""),"")</f>
        <v/>
      </c>
      <c r="X8740" s="16" t="str">
        <f>IFERROR(__xludf.DUMMYFUNCTION("""COMPUTED_VALUE"""),"")</f>
        <v/>
      </c>
      <c r="AC8740" s="16" t="str">
        <f>IFERROR(__xludf.DUMMYFUNCTION("""COMPUTED_VALUE"""),"")</f>
        <v/>
      </c>
    </row>
    <row r="8741">
      <c r="A8741" s="16" t="s">
        <v>87</v>
      </c>
      <c r="E8741" s="16" t="str">
        <f>IFERROR(__xludf.DUMMYFUNCTION("""COMPUTED_VALUE"""),"")</f>
        <v/>
      </c>
      <c r="G8741" s="18"/>
      <c r="H8741" s="16" t="s">
        <v>87</v>
      </c>
      <c r="I8741" s="16" t="s">
        <v>87</v>
      </c>
      <c r="J8741" s="19"/>
      <c r="L8741" s="16" t="str">
        <f>IFERROR(__xludf.DUMMYFUNCTION("""COMPUTED_VALUE"""),"")</f>
        <v/>
      </c>
      <c r="M8741" s="16" t="str">
        <f>IFERROR(__xludf.DUMMYFUNCTION("""COMPUTED_VALUE"""),"")</f>
        <v/>
      </c>
      <c r="U8741" s="16" t="s">
        <v>87</v>
      </c>
      <c r="V8741" s="16" t="str">
        <f>IFERROR(__xludf.DUMMYFUNCTION("""COMPUTED_VALUE"""),"")</f>
        <v/>
      </c>
      <c r="W8741" s="16" t="str">
        <f>IFERROR(__xludf.DUMMYFUNCTION("""COMPUTED_VALUE"""),"")</f>
        <v/>
      </c>
      <c r="X8741" s="16" t="str">
        <f>IFERROR(__xludf.DUMMYFUNCTION("""COMPUTED_VALUE"""),"")</f>
        <v/>
      </c>
      <c r="AC8741" s="16" t="str">
        <f>IFERROR(__xludf.DUMMYFUNCTION("""COMPUTED_VALUE"""),"")</f>
        <v/>
      </c>
    </row>
    <row r="8742">
      <c r="A8742" s="16" t="s">
        <v>87</v>
      </c>
      <c r="E8742" s="16" t="str">
        <f>IFERROR(__xludf.DUMMYFUNCTION("""COMPUTED_VALUE"""),"")</f>
        <v/>
      </c>
      <c r="G8742" s="18"/>
      <c r="H8742" s="16" t="s">
        <v>87</v>
      </c>
      <c r="I8742" s="16" t="s">
        <v>87</v>
      </c>
      <c r="J8742" s="19"/>
      <c r="L8742" s="16" t="str">
        <f>IFERROR(__xludf.DUMMYFUNCTION("""COMPUTED_VALUE"""),"")</f>
        <v/>
      </c>
      <c r="M8742" s="16" t="str">
        <f>IFERROR(__xludf.DUMMYFUNCTION("""COMPUTED_VALUE"""),"")</f>
        <v/>
      </c>
      <c r="U8742" s="16" t="s">
        <v>87</v>
      </c>
      <c r="V8742" s="16" t="str">
        <f>IFERROR(__xludf.DUMMYFUNCTION("""COMPUTED_VALUE"""),"")</f>
        <v/>
      </c>
      <c r="W8742" s="16" t="str">
        <f>IFERROR(__xludf.DUMMYFUNCTION("""COMPUTED_VALUE"""),"")</f>
        <v/>
      </c>
      <c r="X8742" s="16" t="str">
        <f>IFERROR(__xludf.DUMMYFUNCTION("""COMPUTED_VALUE"""),"")</f>
        <v/>
      </c>
      <c r="AC8742" s="16" t="str">
        <f>IFERROR(__xludf.DUMMYFUNCTION("""COMPUTED_VALUE"""),"")</f>
        <v/>
      </c>
    </row>
    <row r="8743">
      <c r="A8743" s="16" t="s">
        <v>87</v>
      </c>
      <c r="E8743" s="16" t="str">
        <f>IFERROR(__xludf.DUMMYFUNCTION("""COMPUTED_VALUE"""),"")</f>
        <v/>
      </c>
      <c r="G8743" s="18"/>
      <c r="H8743" s="16" t="s">
        <v>87</v>
      </c>
      <c r="I8743" s="16" t="s">
        <v>87</v>
      </c>
      <c r="J8743" s="19"/>
      <c r="L8743" s="16" t="str">
        <f>IFERROR(__xludf.DUMMYFUNCTION("""COMPUTED_VALUE"""),"")</f>
        <v/>
      </c>
      <c r="M8743" s="16" t="str">
        <f>IFERROR(__xludf.DUMMYFUNCTION("""COMPUTED_VALUE"""),"")</f>
        <v/>
      </c>
      <c r="U8743" s="16" t="s">
        <v>87</v>
      </c>
      <c r="V8743" s="16" t="str">
        <f>IFERROR(__xludf.DUMMYFUNCTION("""COMPUTED_VALUE"""),"")</f>
        <v/>
      </c>
      <c r="W8743" s="16" t="str">
        <f>IFERROR(__xludf.DUMMYFUNCTION("""COMPUTED_VALUE"""),"")</f>
        <v/>
      </c>
      <c r="X8743" s="16" t="str">
        <f>IFERROR(__xludf.DUMMYFUNCTION("""COMPUTED_VALUE"""),"")</f>
        <v/>
      </c>
      <c r="AC8743" s="16" t="str">
        <f>IFERROR(__xludf.DUMMYFUNCTION("""COMPUTED_VALUE"""),"")</f>
        <v/>
      </c>
    </row>
    <row r="8744">
      <c r="A8744" s="16" t="s">
        <v>87</v>
      </c>
      <c r="E8744" s="16" t="str">
        <f>IFERROR(__xludf.DUMMYFUNCTION("""COMPUTED_VALUE"""),"")</f>
        <v/>
      </c>
      <c r="G8744" s="18"/>
      <c r="H8744" s="16" t="s">
        <v>87</v>
      </c>
      <c r="I8744" s="16" t="s">
        <v>87</v>
      </c>
      <c r="J8744" s="19"/>
      <c r="L8744" s="16" t="str">
        <f>IFERROR(__xludf.DUMMYFUNCTION("""COMPUTED_VALUE"""),"")</f>
        <v/>
      </c>
      <c r="M8744" s="16" t="str">
        <f>IFERROR(__xludf.DUMMYFUNCTION("""COMPUTED_VALUE"""),"")</f>
        <v/>
      </c>
      <c r="U8744" s="16" t="s">
        <v>87</v>
      </c>
      <c r="V8744" s="16" t="str">
        <f>IFERROR(__xludf.DUMMYFUNCTION("""COMPUTED_VALUE"""),"")</f>
        <v/>
      </c>
      <c r="W8744" s="16" t="str">
        <f>IFERROR(__xludf.DUMMYFUNCTION("""COMPUTED_VALUE"""),"")</f>
        <v/>
      </c>
      <c r="X8744" s="16" t="str">
        <f>IFERROR(__xludf.DUMMYFUNCTION("""COMPUTED_VALUE"""),"")</f>
        <v/>
      </c>
      <c r="AC8744" s="16" t="str">
        <f>IFERROR(__xludf.DUMMYFUNCTION("""COMPUTED_VALUE"""),"")</f>
        <v/>
      </c>
    </row>
    <row r="8745">
      <c r="A8745" s="16" t="s">
        <v>87</v>
      </c>
      <c r="E8745" s="16" t="str">
        <f>IFERROR(__xludf.DUMMYFUNCTION("""COMPUTED_VALUE"""),"")</f>
        <v/>
      </c>
      <c r="G8745" s="18"/>
      <c r="H8745" s="16" t="s">
        <v>87</v>
      </c>
      <c r="I8745" s="16" t="s">
        <v>87</v>
      </c>
      <c r="J8745" s="19"/>
      <c r="L8745" s="16" t="str">
        <f>IFERROR(__xludf.DUMMYFUNCTION("""COMPUTED_VALUE"""),"")</f>
        <v/>
      </c>
      <c r="M8745" s="16" t="str">
        <f>IFERROR(__xludf.DUMMYFUNCTION("""COMPUTED_VALUE"""),"")</f>
        <v/>
      </c>
      <c r="U8745" s="16" t="s">
        <v>87</v>
      </c>
      <c r="V8745" s="16" t="str">
        <f>IFERROR(__xludf.DUMMYFUNCTION("""COMPUTED_VALUE"""),"")</f>
        <v/>
      </c>
      <c r="W8745" s="16" t="str">
        <f>IFERROR(__xludf.DUMMYFUNCTION("""COMPUTED_VALUE"""),"")</f>
        <v/>
      </c>
      <c r="X8745" s="16" t="str">
        <f>IFERROR(__xludf.DUMMYFUNCTION("""COMPUTED_VALUE"""),"")</f>
        <v/>
      </c>
      <c r="AC8745" s="16" t="str">
        <f>IFERROR(__xludf.DUMMYFUNCTION("""COMPUTED_VALUE"""),"")</f>
        <v/>
      </c>
    </row>
    <row r="8746">
      <c r="A8746" s="16" t="s">
        <v>87</v>
      </c>
      <c r="E8746" s="16" t="str">
        <f>IFERROR(__xludf.DUMMYFUNCTION("""COMPUTED_VALUE"""),"")</f>
        <v/>
      </c>
      <c r="G8746" s="18"/>
      <c r="H8746" s="16" t="s">
        <v>87</v>
      </c>
      <c r="I8746" s="16" t="s">
        <v>87</v>
      </c>
      <c r="J8746" s="19"/>
      <c r="L8746" s="16" t="str">
        <f>IFERROR(__xludf.DUMMYFUNCTION("""COMPUTED_VALUE"""),"")</f>
        <v/>
      </c>
      <c r="M8746" s="16" t="str">
        <f>IFERROR(__xludf.DUMMYFUNCTION("""COMPUTED_VALUE"""),"")</f>
        <v/>
      </c>
      <c r="U8746" s="16" t="s">
        <v>87</v>
      </c>
      <c r="V8746" s="16" t="str">
        <f>IFERROR(__xludf.DUMMYFUNCTION("""COMPUTED_VALUE"""),"")</f>
        <v/>
      </c>
      <c r="W8746" s="16" t="str">
        <f>IFERROR(__xludf.DUMMYFUNCTION("""COMPUTED_VALUE"""),"")</f>
        <v/>
      </c>
      <c r="X8746" s="16" t="str">
        <f>IFERROR(__xludf.DUMMYFUNCTION("""COMPUTED_VALUE"""),"")</f>
        <v/>
      </c>
      <c r="AC8746" s="16" t="str">
        <f>IFERROR(__xludf.DUMMYFUNCTION("""COMPUTED_VALUE"""),"")</f>
        <v/>
      </c>
    </row>
    <row r="8747">
      <c r="A8747" s="16" t="s">
        <v>87</v>
      </c>
      <c r="E8747" s="16" t="str">
        <f>IFERROR(__xludf.DUMMYFUNCTION("""COMPUTED_VALUE"""),"")</f>
        <v/>
      </c>
      <c r="G8747" s="18"/>
      <c r="H8747" s="16" t="s">
        <v>87</v>
      </c>
      <c r="I8747" s="16" t="s">
        <v>87</v>
      </c>
      <c r="J8747" s="19"/>
      <c r="L8747" s="16" t="str">
        <f>IFERROR(__xludf.DUMMYFUNCTION("""COMPUTED_VALUE"""),"")</f>
        <v/>
      </c>
      <c r="M8747" s="16" t="str">
        <f>IFERROR(__xludf.DUMMYFUNCTION("""COMPUTED_VALUE"""),"")</f>
        <v/>
      </c>
      <c r="U8747" s="16" t="s">
        <v>87</v>
      </c>
      <c r="V8747" s="16" t="str">
        <f>IFERROR(__xludf.DUMMYFUNCTION("""COMPUTED_VALUE"""),"")</f>
        <v/>
      </c>
      <c r="W8747" s="16" t="str">
        <f>IFERROR(__xludf.DUMMYFUNCTION("""COMPUTED_VALUE"""),"")</f>
        <v/>
      </c>
      <c r="X8747" s="16" t="str">
        <f>IFERROR(__xludf.DUMMYFUNCTION("""COMPUTED_VALUE"""),"")</f>
        <v/>
      </c>
      <c r="AC8747" s="16" t="str">
        <f>IFERROR(__xludf.DUMMYFUNCTION("""COMPUTED_VALUE"""),"")</f>
        <v/>
      </c>
    </row>
    <row r="8748">
      <c r="A8748" s="16" t="s">
        <v>87</v>
      </c>
      <c r="E8748" s="16" t="str">
        <f>IFERROR(__xludf.DUMMYFUNCTION("""COMPUTED_VALUE"""),"")</f>
        <v/>
      </c>
      <c r="G8748" s="18"/>
      <c r="H8748" s="16" t="s">
        <v>87</v>
      </c>
      <c r="I8748" s="16" t="s">
        <v>87</v>
      </c>
      <c r="J8748" s="19"/>
      <c r="L8748" s="16" t="str">
        <f>IFERROR(__xludf.DUMMYFUNCTION("""COMPUTED_VALUE"""),"")</f>
        <v/>
      </c>
      <c r="M8748" s="16" t="str">
        <f>IFERROR(__xludf.DUMMYFUNCTION("""COMPUTED_VALUE"""),"")</f>
        <v/>
      </c>
      <c r="U8748" s="16" t="s">
        <v>87</v>
      </c>
      <c r="V8748" s="16" t="str">
        <f>IFERROR(__xludf.DUMMYFUNCTION("""COMPUTED_VALUE"""),"")</f>
        <v/>
      </c>
      <c r="W8748" s="16" t="str">
        <f>IFERROR(__xludf.DUMMYFUNCTION("""COMPUTED_VALUE"""),"")</f>
        <v/>
      </c>
      <c r="X8748" s="16" t="str">
        <f>IFERROR(__xludf.DUMMYFUNCTION("""COMPUTED_VALUE"""),"")</f>
        <v/>
      </c>
      <c r="AC8748" s="16" t="str">
        <f>IFERROR(__xludf.DUMMYFUNCTION("""COMPUTED_VALUE"""),"")</f>
        <v/>
      </c>
    </row>
    <row r="8749">
      <c r="A8749" s="16" t="s">
        <v>87</v>
      </c>
      <c r="E8749" s="16" t="str">
        <f>IFERROR(__xludf.DUMMYFUNCTION("""COMPUTED_VALUE"""),"")</f>
        <v/>
      </c>
      <c r="G8749" s="18"/>
      <c r="H8749" s="16" t="s">
        <v>87</v>
      </c>
      <c r="I8749" s="16" t="s">
        <v>87</v>
      </c>
      <c r="J8749" s="19"/>
      <c r="L8749" s="16" t="str">
        <f>IFERROR(__xludf.DUMMYFUNCTION("""COMPUTED_VALUE"""),"")</f>
        <v/>
      </c>
      <c r="M8749" s="16" t="str">
        <f>IFERROR(__xludf.DUMMYFUNCTION("""COMPUTED_VALUE"""),"")</f>
        <v/>
      </c>
      <c r="U8749" s="16" t="s">
        <v>87</v>
      </c>
      <c r="V8749" s="16" t="str">
        <f>IFERROR(__xludf.DUMMYFUNCTION("""COMPUTED_VALUE"""),"")</f>
        <v/>
      </c>
      <c r="W8749" s="16" t="str">
        <f>IFERROR(__xludf.DUMMYFUNCTION("""COMPUTED_VALUE"""),"")</f>
        <v/>
      </c>
      <c r="X8749" s="16" t="str">
        <f>IFERROR(__xludf.DUMMYFUNCTION("""COMPUTED_VALUE"""),"")</f>
        <v/>
      </c>
      <c r="AC8749" s="16" t="str">
        <f>IFERROR(__xludf.DUMMYFUNCTION("""COMPUTED_VALUE"""),"")</f>
        <v/>
      </c>
    </row>
    <row r="8750">
      <c r="A8750" s="16" t="s">
        <v>87</v>
      </c>
      <c r="E8750" s="16" t="str">
        <f>IFERROR(__xludf.DUMMYFUNCTION("""COMPUTED_VALUE"""),"")</f>
        <v/>
      </c>
      <c r="G8750" s="18"/>
      <c r="H8750" s="16" t="s">
        <v>87</v>
      </c>
      <c r="I8750" s="16" t="s">
        <v>87</v>
      </c>
      <c r="J8750" s="19"/>
      <c r="L8750" s="16" t="str">
        <f>IFERROR(__xludf.DUMMYFUNCTION("""COMPUTED_VALUE"""),"")</f>
        <v/>
      </c>
      <c r="M8750" s="16" t="str">
        <f>IFERROR(__xludf.DUMMYFUNCTION("""COMPUTED_VALUE"""),"")</f>
        <v/>
      </c>
      <c r="U8750" s="16" t="s">
        <v>87</v>
      </c>
      <c r="V8750" s="16" t="str">
        <f>IFERROR(__xludf.DUMMYFUNCTION("""COMPUTED_VALUE"""),"")</f>
        <v/>
      </c>
      <c r="W8750" s="16" t="str">
        <f>IFERROR(__xludf.DUMMYFUNCTION("""COMPUTED_VALUE"""),"")</f>
        <v/>
      </c>
      <c r="X8750" s="16" t="str">
        <f>IFERROR(__xludf.DUMMYFUNCTION("""COMPUTED_VALUE"""),"")</f>
        <v/>
      </c>
      <c r="AC8750" s="16" t="str">
        <f>IFERROR(__xludf.DUMMYFUNCTION("""COMPUTED_VALUE"""),"")</f>
        <v/>
      </c>
    </row>
    <row r="8751">
      <c r="A8751" s="16" t="s">
        <v>87</v>
      </c>
      <c r="E8751" s="16" t="str">
        <f>IFERROR(__xludf.DUMMYFUNCTION("""COMPUTED_VALUE"""),"")</f>
        <v/>
      </c>
      <c r="G8751" s="18"/>
      <c r="H8751" s="16" t="s">
        <v>87</v>
      </c>
      <c r="I8751" s="16" t="s">
        <v>87</v>
      </c>
      <c r="J8751" s="19"/>
      <c r="L8751" s="16" t="str">
        <f>IFERROR(__xludf.DUMMYFUNCTION("""COMPUTED_VALUE"""),"")</f>
        <v/>
      </c>
      <c r="M8751" s="16" t="str">
        <f>IFERROR(__xludf.DUMMYFUNCTION("""COMPUTED_VALUE"""),"")</f>
        <v/>
      </c>
      <c r="U8751" s="16" t="s">
        <v>87</v>
      </c>
      <c r="V8751" s="16" t="str">
        <f>IFERROR(__xludf.DUMMYFUNCTION("""COMPUTED_VALUE"""),"")</f>
        <v/>
      </c>
      <c r="W8751" s="16" t="str">
        <f>IFERROR(__xludf.DUMMYFUNCTION("""COMPUTED_VALUE"""),"")</f>
        <v/>
      </c>
      <c r="X8751" s="16" t="str">
        <f>IFERROR(__xludf.DUMMYFUNCTION("""COMPUTED_VALUE"""),"")</f>
        <v/>
      </c>
      <c r="AC8751" s="16" t="str">
        <f>IFERROR(__xludf.DUMMYFUNCTION("""COMPUTED_VALUE"""),"")</f>
        <v/>
      </c>
    </row>
    <row r="8752">
      <c r="A8752" s="16" t="s">
        <v>87</v>
      </c>
      <c r="E8752" s="16" t="str">
        <f>IFERROR(__xludf.DUMMYFUNCTION("""COMPUTED_VALUE"""),"")</f>
        <v/>
      </c>
      <c r="G8752" s="18"/>
      <c r="H8752" s="16" t="s">
        <v>87</v>
      </c>
      <c r="I8752" s="16" t="s">
        <v>87</v>
      </c>
      <c r="J8752" s="19"/>
      <c r="L8752" s="16" t="str">
        <f>IFERROR(__xludf.DUMMYFUNCTION("""COMPUTED_VALUE"""),"")</f>
        <v/>
      </c>
      <c r="M8752" s="16" t="str">
        <f>IFERROR(__xludf.DUMMYFUNCTION("""COMPUTED_VALUE"""),"")</f>
        <v/>
      </c>
      <c r="U8752" s="16" t="s">
        <v>87</v>
      </c>
      <c r="V8752" s="16" t="str">
        <f>IFERROR(__xludf.DUMMYFUNCTION("""COMPUTED_VALUE"""),"")</f>
        <v/>
      </c>
      <c r="W8752" s="16" t="str">
        <f>IFERROR(__xludf.DUMMYFUNCTION("""COMPUTED_VALUE"""),"")</f>
        <v/>
      </c>
      <c r="X8752" s="16" t="str">
        <f>IFERROR(__xludf.DUMMYFUNCTION("""COMPUTED_VALUE"""),"")</f>
        <v/>
      </c>
      <c r="AC8752" s="16" t="str">
        <f>IFERROR(__xludf.DUMMYFUNCTION("""COMPUTED_VALUE"""),"")</f>
        <v/>
      </c>
    </row>
    <row r="8753">
      <c r="A8753" s="16" t="s">
        <v>87</v>
      </c>
      <c r="E8753" s="16" t="str">
        <f>IFERROR(__xludf.DUMMYFUNCTION("""COMPUTED_VALUE"""),"")</f>
        <v/>
      </c>
      <c r="G8753" s="18"/>
      <c r="H8753" s="16" t="s">
        <v>87</v>
      </c>
      <c r="I8753" s="16" t="s">
        <v>87</v>
      </c>
      <c r="J8753" s="19"/>
      <c r="L8753" s="16" t="str">
        <f>IFERROR(__xludf.DUMMYFUNCTION("""COMPUTED_VALUE"""),"")</f>
        <v/>
      </c>
      <c r="M8753" s="16" t="str">
        <f>IFERROR(__xludf.DUMMYFUNCTION("""COMPUTED_VALUE"""),"")</f>
        <v/>
      </c>
      <c r="U8753" s="16" t="s">
        <v>87</v>
      </c>
      <c r="V8753" s="16" t="str">
        <f>IFERROR(__xludf.DUMMYFUNCTION("""COMPUTED_VALUE"""),"")</f>
        <v/>
      </c>
      <c r="W8753" s="16" t="str">
        <f>IFERROR(__xludf.DUMMYFUNCTION("""COMPUTED_VALUE"""),"")</f>
        <v/>
      </c>
      <c r="X8753" s="16" t="str">
        <f>IFERROR(__xludf.DUMMYFUNCTION("""COMPUTED_VALUE"""),"")</f>
        <v/>
      </c>
      <c r="AC8753" s="16" t="str">
        <f>IFERROR(__xludf.DUMMYFUNCTION("""COMPUTED_VALUE"""),"")</f>
        <v/>
      </c>
    </row>
    <row r="8754">
      <c r="A8754" s="16" t="s">
        <v>87</v>
      </c>
      <c r="E8754" s="16" t="str">
        <f>IFERROR(__xludf.DUMMYFUNCTION("""COMPUTED_VALUE"""),"")</f>
        <v/>
      </c>
      <c r="G8754" s="18"/>
      <c r="H8754" s="16" t="s">
        <v>87</v>
      </c>
      <c r="I8754" s="16" t="s">
        <v>87</v>
      </c>
      <c r="J8754" s="19"/>
      <c r="L8754" s="16" t="str">
        <f>IFERROR(__xludf.DUMMYFUNCTION("""COMPUTED_VALUE"""),"")</f>
        <v/>
      </c>
      <c r="M8754" s="16" t="str">
        <f>IFERROR(__xludf.DUMMYFUNCTION("""COMPUTED_VALUE"""),"")</f>
        <v/>
      </c>
      <c r="U8754" s="16" t="s">
        <v>87</v>
      </c>
      <c r="V8754" s="16" t="str">
        <f>IFERROR(__xludf.DUMMYFUNCTION("""COMPUTED_VALUE"""),"")</f>
        <v/>
      </c>
      <c r="W8754" s="16" t="str">
        <f>IFERROR(__xludf.DUMMYFUNCTION("""COMPUTED_VALUE"""),"")</f>
        <v/>
      </c>
      <c r="X8754" s="16" t="str">
        <f>IFERROR(__xludf.DUMMYFUNCTION("""COMPUTED_VALUE"""),"")</f>
        <v/>
      </c>
      <c r="AC8754" s="16" t="str">
        <f>IFERROR(__xludf.DUMMYFUNCTION("""COMPUTED_VALUE"""),"")</f>
        <v/>
      </c>
    </row>
    <row r="8755">
      <c r="A8755" s="16" t="s">
        <v>87</v>
      </c>
      <c r="E8755" s="16" t="str">
        <f>IFERROR(__xludf.DUMMYFUNCTION("""COMPUTED_VALUE"""),"")</f>
        <v/>
      </c>
      <c r="G8755" s="18"/>
      <c r="H8755" s="16" t="s">
        <v>87</v>
      </c>
      <c r="I8755" s="16" t="s">
        <v>87</v>
      </c>
      <c r="J8755" s="19"/>
      <c r="L8755" s="16" t="str">
        <f>IFERROR(__xludf.DUMMYFUNCTION("""COMPUTED_VALUE"""),"")</f>
        <v/>
      </c>
      <c r="M8755" s="16" t="str">
        <f>IFERROR(__xludf.DUMMYFUNCTION("""COMPUTED_VALUE"""),"")</f>
        <v/>
      </c>
      <c r="U8755" s="16" t="s">
        <v>87</v>
      </c>
      <c r="V8755" s="16" t="str">
        <f>IFERROR(__xludf.DUMMYFUNCTION("""COMPUTED_VALUE"""),"")</f>
        <v/>
      </c>
      <c r="W8755" s="16" t="str">
        <f>IFERROR(__xludf.DUMMYFUNCTION("""COMPUTED_VALUE"""),"")</f>
        <v/>
      </c>
      <c r="X8755" s="16" t="str">
        <f>IFERROR(__xludf.DUMMYFUNCTION("""COMPUTED_VALUE"""),"")</f>
        <v/>
      </c>
      <c r="AC8755" s="16" t="str">
        <f>IFERROR(__xludf.DUMMYFUNCTION("""COMPUTED_VALUE"""),"")</f>
        <v/>
      </c>
    </row>
    <row r="8756">
      <c r="A8756" s="16" t="s">
        <v>87</v>
      </c>
      <c r="E8756" s="16" t="str">
        <f>IFERROR(__xludf.DUMMYFUNCTION("""COMPUTED_VALUE"""),"")</f>
        <v/>
      </c>
      <c r="G8756" s="18"/>
      <c r="H8756" s="16" t="s">
        <v>87</v>
      </c>
      <c r="I8756" s="16" t="s">
        <v>87</v>
      </c>
      <c r="J8756" s="19"/>
      <c r="L8756" s="16" t="str">
        <f>IFERROR(__xludf.DUMMYFUNCTION("""COMPUTED_VALUE"""),"")</f>
        <v/>
      </c>
      <c r="M8756" s="16" t="str">
        <f>IFERROR(__xludf.DUMMYFUNCTION("""COMPUTED_VALUE"""),"")</f>
        <v/>
      </c>
      <c r="U8756" s="16" t="s">
        <v>87</v>
      </c>
      <c r="V8756" s="16" t="str">
        <f>IFERROR(__xludf.DUMMYFUNCTION("""COMPUTED_VALUE"""),"")</f>
        <v/>
      </c>
      <c r="W8756" s="16" t="str">
        <f>IFERROR(__xludf.DUMMYFUNCTION("""COMPUTED_VALUE"""),"")</f>
        <v/>
      </c>
      <c r="X8756" s="16" t="str">
        <f>IFERROR(__xludf.DUMMYFUNCTION("""COMPUTED_VALUE"""),"")</f>
        <v/>
      </c>
      <c r="AC8756" s="16" t="str">
        <f>IFERROR(__xludf.DUMMYFUNCTION("""COMPUTED_VALUE"""),"")</f>
        <v/>
      </c>
    </row>
    <row r="8757">
      <c r="A8757" s="16" t="s">
        <v>87</v>
      </c>
      <c r="E8757" s="16" t="str">
        <f>IFERROR(__xludf.DUMMYFUNCTION("""COMPUTED_VALUE"""),"")</f>
        <v/>
      </c>
      <c r="G8757" s="18"/>
      <c r="H8757" s="16" t="s">
        <v>87</v>
      </c>
      <c r="I8757" s="16" t="s">
        <v>87</v>
      </c>
      <c r="J8757" s="19"/>
      <c r="L8757" s="16" t="str">
        <f>IFERROR(__xludf.DUMMYFUNCTION("""COMPUTED_VALUE"""),"")</f>
        <v/>
      </c>
      <c r="M8757" s="16" t="str">
        <f>IFERROR(__xludf.DUMMYFUNCTION("""COMPUTED_VALUE"""),"")</f>
        <v/>
      </c>
      <c r="U8757" s="16" t="s">
        <v>87</v>
      </c>
      <c r="V8757" s="16" t="str">
        <f>IFERROR(__xludf.DUMMYFUNCTION("""COMPUTED_VALUE"""),"")</f>
        <v/>
      </c>
      <c r="W8757" s="16" t="str">
        <f>IFERROR(__xludf.DUMMYFUNCTION("""COMPUTED_VALUE"""),"")</f>
        <v/>
      </c>
      <c r="X8757" s="16" t="str">
        <f>IFERROR(__xludf.DUMMYFUNCTION("""COMPUTED_VALUE"""),"")</f>
        <v/>
      </c>
      <c r="AC8757" s="16" t="str">
        <f>IFERROR(__xludf.DUMMYFUNCTION("""COMPUTED_VALUE"""),"")</f>
        <v/>
      </c>
    </row>
    <row r="8758">
      <c r="A8758" s="16" t="s">
        <v>87</v>
      </c>
      <c r="E8758" s="16" t="str">
        <f>IFERROR(__xludf.DUMMYFUNCTION("""COMPUTED_VALUE"""),"")</f>
        <v/>
      </c>
      <c r="G8758" s="18"/>
      <c r="H8758" s="16" t="s">
        <v>87</v>
      </c>
      <c r="I8758" s="16" t="s">
        <v>87</v>
      </c>
      <c r="J8758" s="19"/>
      <c r="L8758" s="16" t="str">
        <f>IFERROR(__xludf.DUMMYFUNCTION("""COMPUTED_VALUE"""),"")</f>
        <v/>
      </c>
      <c r="M8758" s="16" t="str">
        <f>IFERROR(__xludf.DUMMYFUNCTION("""COMPUTED_VALUE"""),"")</f>
        <v/>
      </c>
      <c r="U8758" s="16" t="s">
        <v>87</v>
      </c>
      <c r="V8758" s="16" t="str">
        <f>IFERROR(__xludf.DUMMYFUNCTION("""COMPUTED_VALUE"""),"")</f>
        <v/>
      </c>
      <c r="W8758" s="16" t="str">
        <f>IFERROR(__xludf.DUMMYFUNCTION("""COMPUTED_VALUE"""),"")</f>
        <v/>
      </c>
      <c r="X8758" s="16" t="str">
        <f>IFERROR(__xludf.DUMMYFUNCTION("""COMPUTED_VALUE"""),"")</f>
        <v/>
      </c>
      <c r="AC8758" s="16" t="str">
        <f>IFERROR(__xludf.DUMMYFUNCTION("""COMPUTED_VALUE"""),"")</f>
        <v/>
      </c>
    </row>
    <row r="8759">
      <c r="A8759" s="16" t="s">
        <v>87</v>
      </c>
      <c r="E8759" s="16" t="str">
        <f>IFERROR(__xludf.DUMMYFUNCTION("""COMPUTED_VALUE"""),"")</f>
        <v/>
      </c>
      <c r="G8759" s="18"/>
      <c r="H8759" s="16" t="s">
        <v>87</v>
      </c>
      <c r="I8759" s="16" t="s">
        <v>87</v>
      </c>
      <c r="J8759" s="19"/>
      <c r="L8759" s="16" t="str">
        <f>IFERROR(__xludf.DUMMYFUNCTION("""COMPUTED_VALUE"""),"")</f>
        <v/>
      </c>
      <c r="M8759" s="16" t="str">
        <f>IFERROR(__xludf.DUMMYFUNCTION("""COMPUTED_VALUE"""),"")</f>
        <v/>
      </c>
      <c r="U8759" s="16" t="s">
        <v>87</v>
      </c>
      <c r="V8759" s="16" t="str">
        <f>IFERROR(__xludf.DUMMYFUNCTION("""COMPUTED_VALUE"""),"")</f>
        <v/>
      </c>
      <c r="W8759" s="16" t="str">
        <f>IFERROR(__xludf.DUMMYFUNCTION("""COMPUTED_VALUE"""),"")</f>
        <v/>
      </c>
      <c r="X8759" s="16" t="str">
        <f>IFERROR(__xludf.DUMMYFUNCTION("""COMPUTED_VALUE"""),"")</f>
        <v/>
      </c>
      <c r="AC8759" s="16" t="str">
        <f>IFERROR(__xludf.DUMMYFUNCTION("""COMPUTED_VALUE"""),"")</f>
        <v/>
      </c>
    </row>
    <row r="8760">
      <c r="A8760" s="16" t="s">
        <v>87</v>
      </c>
      <c r="E8760" s="16" t="str">
        <f>IFERROR(__xludf.DUMMYFUNCTION("""COMPUTED_VALUE"""),"")</f>
        <v/>
      </c>
      <c r="G8760" s="18"/>
      <c r="H8760" s="16" t="s">
        <v>87</v>
      </c>
      <c r="I8760" s="16" t="s">
        <v>87</v>
      </c>
      <c r="J8760" s="19"/>
      <c r="L8760" s="16" t="str">
        <f>IFERROR(__xludf.DUMMYFUNCTION("""COMPUTED_VALUE"""),"")</f>
        <v/>
      </c>
      <c r="M8760" s="16" t="str">
        <f>IFERROR(__xludf.DUMMYFUNCTION("""COMPUTED_VALUE"""),"")</f>
        <v/>
      </c>
      <c r="U8760" s="16" t="s">
        <v>87</v>
      </c>
      <c r="V8760" s="16" t="str">
        <f>IFERROR(__xludf.DUMMYFUNCTION("""COMPUTED_VALUE"""),"")</f>
        <v/>
      </c>
      <c r="W8760" s="16" t="str">
        <f>IFERROR(__xludf.DUMMYFUNCTION("""COMPUTED_VALUE"""),"")</f>
        <v/>
      </c>
      <c r="X8760" s="16" t="str">
        <f>IFERROR(__xludf.DUMMYFUNCTION("""COMPUTED_VALUE"""),"")</f>
        <v/>
      </c>
      <c r="AC8760" s="16" t="str">
        <f>IFERROR(__xludf.DUMMYFUNCTION("""COMPUTED_VALUE"""),"")</f>
        <v/>
      </c>
    </row>
    <row r="8761">
      <c r="A8761" s="16" t="s">
        <v>87</v>
      </c>
      <c r="E8761" s="16" t="str">
        <f>IFERROR(__xludf.DUMMYFUNCTION("""COMPUTED_VALUE"""),"")</f>
        <v/>
      </c>
      <c r="G8761" s="18"/>
      <c r="H8761" s="16" t="s">
        <v>87</v>
      </c>
      <c r="I8761" s="16" t="s">
        <v>87</v>
      </c>
      <c r="J8761" s="19"/>
      <c r="L8761" s="16" t="str">
        <f>IFERROR(__xludf.DUMMYFUNCTION("""COMPUTED_VALUE"""),"")</f>
        <v/>
      </c>
      <c r="M8761" s="16" t="str">
        <f>IFERROR(__xludf.DUMMYFUNCTION("""COMPUTED_VALUE"""),"")</f>
        <v/>
      </c>
      <c r="U8761" s="16" t="s">
        <v>87</v>
      </c>
      <c r="V8761" s="16" t="str">
        <f>IFERROR(__xludf.DUMMYFUNCTION("""COMPUTED_VALUE"""),"")</f>
        <v/>
      </c>
      <c r="W8761" s="16" t="str">
        <f>IFERROR(__xludf.DUMMYFUNCTION("""COMPUTED_VALUE"""),"")</f>
        <v/>
      </c>
      <c r="X8761" s="16" t="str">
        <f>IFERROR(__xludf.DUMMYFUNCTION("""COMPUTED_VALUE"""),"")</f>
        <v/>
      </c>
      <c r="AC8761" s="16" t="str">
        <f>IFERROR(__xludf.DUMMYFUNCTION("""COMPUTED_VALUE"""),"")</f>
        <v/>
      </c>
    </row>
    <row r="8762">
      <c r="A8762" s="16" t="s">
        <v>87</v>
      </c>
      <c r="E8762" s="16" t="str">
        <f>IFERROR(__xludf.DUMMYFUNCTION("""COMPUTED_VALUE"""),"")</f>
        <v/>
      </c>
      <c r="G8762" s="18"/>
      <c r="H8762" s="16" t="s">
        <v>87</v>
      </c>
      <c r="I8762" s="16" t="s">
        <v>87</v>
      </c>
      <c r="J8762" s="19"/>
      <c r="L8762" s="16" t="str">
        <f>IFERROR(__xludf.DUMMYFUNCTION("""COMPUTED_VALUE"""),"")</f>
        <v/>
      </c>
      <c r="M8762" s="16" t="str">
        <f>IFERROR(__xludf.DUMMYFUNCTION("""COMPUTED_VALUE"""),"")</f>
        <v/>
      </c>
      <c r="U8762" s="16" t="s">
        <v>87</v>
      </c>
      <c r="V8762" s="16" t="str">
        <f>IFERROR(__xludf.DUMMYFUNCTION("""COMPUTED_VALUE"""),"")</f>
        <v/>
      </c>
      <c r="W8762" s="16" t="str">
        <f>IFERROR(__xludf.DUMMYFUNCTION("""COMPUTED_VALUE"""),"")</f>
        <v/>
      </c>
      <c r="X8762" s="16" t="str">
        <f>IFERROR(__xludf.DUMMYFUNCTION("""COMPUTED_VALUE"""),"")</f>
        <v/>
      </c>
      <c r="AC8762" s="16" t="str">
        <f>IFERROR(__xludf.DUMMYFUNCTION("""COMPUTED_VALUE"""),"")</f>
        <v/>
      </c>
    </row>
    <row r="8763">
      <c r="A8763" s="16" t="s">
        <v>87</v>
      </c>
      <c r="E8763" s="16" t="str">
        <f>IFERROR(__xludf.DUMMYFUNCTION("""COMPUTED_VALUE"""),"")</f>
        <v/>
      </c>
      <c r="G8763" s="18"/>
      <c r="H8763" s="16" t="s">
        <v>87</v>
      </c>
      <c r="I8763" s="16" t="s">
        <v>87</v>
      </c>
      <c r="J8763" s="19"/>
      <c r="L8763" s="16" t="str">
        <f>IFERROR(__xludf.DUMMYFUNCTION("""COMPUTED_VALUE"""),"")</f>
        <v/>
      </c>
      <c r="M8763" s="16" t="str">
        <f>IFERROR(__xludf.DUMMYFUNCTION("""COMPUTED_VALUE"""),"")</f>
        <v/>
      </c>
      <c r="U8763" s="16" t="s">
        <v>87</v>
      </c>
      <c r="V8763" s="16" t="str">
        <f>IFERROR(__xludf.DUMMYFUNCTION("""COMPUTED_VALUE"""),"")</f>
        <v/>
      </c>
      <c r="W8763" s="16" t="str">
        <f>IFERROR(__xludf.DUMMYFUNCTION("""COMPUTED_VALUE"""),"")</f>
        <v/>
      </c>
      <c r="X8763" s="16" t="str">
        <f>IFERROR(__xludf.DUMMYFUNCTION("""COMPUTED_VALUE"""),"")</f>
        <v/>
      </c>
      <c r="AC8763" s="16" t="str">
        <f>IFERROR(__xludf.DUMMYFUNCTION("""COMPUTED_VALUE"""),"")</f>
        <v/>
      </c>
    </row>
    <row r="8764">
      <c r="A8764" s="16" t="s">
        <v>87</v>
      </c>
      <c r="E8764" s="16" t="str">
        <f>IFERROR(__xludf.DUMMYFUNCTION("""COMPUTED_VALUE"""),"")</f>
        <v/>
      </c>
      <c r="G8764" s="18"/>
      <c r="H8764" s="16" t="s">
        <v>87</v>
      </c>
      <c r="I8764" s="16" t="s">
        <v>87</v>
      </c>
      <c r="J8764" s="19"/>
      <c r="L8764" s="16" t="str">
        <f>IFERROR(__xludf.DUMMYFUNCTION("""COMPUTED_VALUE"""),"")</f>
        <v/>
      </c>
      <c r="M8764" s="16" t="str">
        <f>IFERROR(__xludf.DUMMYFUNCTION("""COMPUTED_VALUE"""),"")</f>
        <v/>
      </c>
      <c r="U8764" s="16" t="s">
        <v>87</v>
      </c>
      <c r="V8764" s="16" t="str">
        <f>IFERROR(__xludf.DUMMYFUNCTION("""COMPUTED_VALUE"""),"")</f>
        <v/>
      </c>
      <c r="W8764" s="16" t="str">
        <f>IFERROR(__xludf.DUMMYFUNCTION("""COMPUTED_VALUE"""),"")</f>
        <v/>
      </c>
      <c r="X8764" s="16" t="str">
        <f>IFERROR(__xludf.DUMMYFUNCTION("""COMPUTED_VALUE"""),"")</f>
        <v/>
      </c>
      <c r="AC8764" s="16" t="str">
        <f>IFERROR(__xludf.DUMMYFUNCTION("""COMPUTED_VALUE"""),"")</f>
        <v/>
      </c>
    </row>
    <row r="8765">
      <c r="A8765" s="16" t="s">
        <v>87</v>
      </c>
      <c r="E8765" s="16" t="str">
        <f>IFERROR(__xludf.DUMMYFUNCTION("""COMPUTED_VALUE"""),"")</f>
        <v/>
      </c>
      <c r="G8765" s="18"/>
      <c r="H8765" s="16" t="s">
        <v>87</v>
      </c>
      <c r="I8765" s="16" t="s">
        <v>87</v>
      </c>
      <c r="J8765" s="19"/>
      <c r="L8765" s="16" t="str">
        <f>IFERROR(__xludf.DUMMYFUNCTION("""COMPUTED_VALUE"""),"")</f>
        <v/>
      </c>
      <c r="M8765" s="16" t="str">
        <f>IFERROR(__xludf.DUMMYFUNCTION("""COMPUTED_VALUE"""),"")</f>
        <v/>
      </c>
      <c r="U8765" s="16" t="s">
        <v>87</v>
      </c>
      <c r="V8765" s="16" t="str">
        <f>IFERROR(__xludf.DUMMYFUNCTION("""COMPUTED_VALUE"""),"")</f>
        <v/>
      </c>
      <c r="W8765" s="16" t="str">
        <f>IFERROR(__xludf.DUMMYFUNCTION("""COMPUTED_VALUE"""),"")</f>
        <v/>
      </c>
      <c r="X8765" s="16" t="str">
        <f>IFERROR(__xludf.DUMMYFUNCTION("""COMPUTED_VALUE"""),"")</f>
        <v/>
      </c>
      <c r="AC8765" s="16" t="str">
        <f>IFERROR(__xludf.DUMMYFUNCTION("""COMPUTED_VALUE"""),"")</f>
        <v/>
      </c>
    </row>
    <row r="8766">
      <c r="A8766" s="16" t="s">
        <v>87</v>
      </c>
      <c r="E8766" s="16" t="str">
        <f>IFERROR(__xludf.DUMMYFUNCTION("""COMPUTED_VALUE"""),"")</f>
        <v/>
      </c>
      <c r="G8766" s="18"/>
      <c r="H8766" s="16" t="s">
        <v>87</v>
      </c>
      <c r="I8766" s="16" t="s">
        <v>87</v>
      </c>
      <c r="J8766" s="19"/>
      <c r="L8766" s="16" t="str">
        <f>IFERROR(__xludf.DUMMYFUNCTION("""COMPUTED_VALUE"""),"")</f>
        <v/>
      </c>
      <c r="M8766" s="16" t="str">
        <f>IFERROR(__xludf.DUMMYFUNCTION("""COMPUTED_VALUE"""),"")</f>
        <v/>
      </c>
      <c r="U8766" s="16" t="s">
        <v>87</v>
      </c>
      <c r="V8766" s="16" t="str">
        <f>IFERROR(__xludf.DUMMYFUNCTION("""COMPUTED_VALUE"""),"")</f>
        <v/>
      </c>
      <c r="W8766" s="16" t="str">
        <f>IFERROR(__xludf.DUMMYFUNCTION("""COMPUTED_VALUE"""),"")</f>
        <v/>
      </c>
      <c r="X8766" s="16" t="str">
        <f>IFERROR(__xludf.DUMMYFUNCTION("""COMPUTED_VALUE"""),"")</f>
        <v/>
      </c>
      <c r="AC8766" s="16" t="str">
        <f>IFERROR(__xludf.DUMMYFUNCTION("""COMPUTED_VALUE"""),"")</f>
        <v/>
      </c>
    </row>
    <row r="8767">
      <c r="A8767" s="16" t="s">
        <v>87</v>
      </c>
      <c r="E8767" s="16" t="str">
        <f>IFERROR(__xludf.DUMMYFUNCTION("""COMPUTED_VALUE"""),"")</f>
        <v/>
      </c>
      <c r="G8767" s="18"/>
      <c r="H8767" s="16" t="s">
        <v>87</v>
      </c>
      <c r="I8767" s="16" t="s">
        <v>87</v>
      </c>
      <c r="J8767" s="19"/>
      <c r="L8767" s="16" t="str">
        <f>IFERROR(__xludf.DUMMYFUNCTION("""COMPUTED_VALUE"""),"")</f>
        <v/>
      </c>
      <c r="M8767" s="16" t="str">
        <f>IFERROR(__xludf.DUMMYFUNCTION("""COMPUTED_VALUE"""),"")</f>
        <v/>
      </c>
      <c r="U8767" s="16" t="s">
        <v>87</v>
      </c>
      <c r="V8767" s="16" t="str">
        <f>IFERROR(__xludf.DUMMYFUNCTION("""COMPUTED_VALUE"""),"")</f>
        <v/>
      </c>
      <c r="W8767" s="16" t="str">
        <f>IFERROR(__xludf.DUMMYFUNCTION("""COMPUTED_VALUE"""),"")</f>
        <v/>
      </c>
      <c r="X8767" s="16" t="str">
        <f>IFERROR(__xludf.DUMMYFUNCTION("""COMPUTED_VALUE"""),"")</f>
        <v/>
      </c>
      <c r="AC8767" s="16" t="str">
        <f>IFERROR(__xludf.DUMMYFUNCTION("""COMPUTED_VALUE"""),"")</f>
        <v/>
      </c>
    </row>
    <row r="8768">
      <c r="A8768" s="16" t="s">
        <v>87</v>
      </c>
      <c r="E8768" s="16" t="str">
        <f>IFERROR(__xludf.DUMMYFUNCTION("""COMPUTED_VALUE"""),"")</f>
        <v/>
      </c>
      <c r="G8768" s="18"/>
      <c r="H8768" s="16" t="s">
        <v>87</v>
      </c>
      <c r="I8768" s="16" t="s">
        <v>87</v>
      </c>
      <c r="J8768" s="19"/>
      <c r="L8768" s="16" t="str">
        <f>IFERROR(__xludf.DUMMYFUNCTION("""COMPUTED_VALUE"""),"")</f>
        <v/>
      </c>
      <c r="M8768" s="16" t="str">
        <f>IFERROR(__xludf.DUMMYFUNCTION("""COMPUTED_VALUE"""),"")</f>
        <v/>
      </c>
      <c r="U8768" s="16" t="s">
        <v>87</v>
      </c>
      <c r="V8768" s="16" t="str">
        <f>IFERROR(__xludf.DUMMYFUNCTION("""COMPUTED_VALUE"""),"")</f>
        <v/>
      </c>
      <c r="W8768" s="16" t="str">
        <f>IFERROR(__xludf.DUMMYFUNCTION("""COMPUTED_VALUE"""),"")</f>
        <v/>
      </c>
      <c r="X8768" s="16" t="str">
        <f>IFERROR(__xludf.DUMMYFUNCTION("""COMPUTED_VALUE"""),"")</f>
        <v/>
      </c>
      <c r="AC8768" s="16" t="str">
        <f>IFERROR(__xludf.DUMMYFUNCTION("""COMPUTED_VALUE"""),"")</f>
        <v/>
      </c>
    </row>
    <row r="8769">
      <c r="A8769" s="16" t="s">
        <v>87</v>
      </c>
      <c r="E8769" s="16" t="str">
        <f>IFERROR(__xludf.DUMMYFUNCTION("""COMPUTED_VALUE"""),"")</f>
        <v/>
      </c>
      <c r="G8769" s="18"/>
      <c r="H8769" s="16" t="s">
        <v>87</v>
      </c>
      <c r="I8769" s="16" t="s">
        <v>87</v>
      </c>
      <c r="J8769" s="19"/>
      <c r="L8769" s="16" t="str">
        <f>IFERROR(__xludf.DUMMYFUNCTION("""COMPUTED_VALUE"""),"")</f>
        <v/>
      </c>
      <c r="M8769" s="16" t="str">
        <f>IFERROR(__xludf.DUMMYFUNCTION("""COMPUTED_VALUE"""),"")</f>
        <v/>
      </c>
      <c r="U8769" s="16" t="s">
        <v>87</v>
      </c>
      <c r="V8769" s="16" t="str">
        <f>IFERROR(__xludf.DUMMYFUNCTION("""COMPUTED_VALUE"""),"")</f>
        <v/>
      </c>
      <c r="W8769" s="16" t="str">
        <f>IFERROR(__xludf.DUMMYFUNCTION("""COMPUTED_VALUE"""),"")</f>
        <v/>
      </c>
      <c r="X8769" s="16" t="str">
        <f>IFERROR(__xludf.DUMMYFUNCTION("""COMPUTED_VALUE"""),"")</f>
        <v/>
      </c>
      <c r="AC8769" s="16" t="str">
        <f>IFERROR(__xludf.DUMMYFUNCTION("""COMPUTED_VALUE"""),"")</f>
        <v/>
      </c>
    </row>
    <row r="8770">
      <c r="A8770" s="16" t="s">
        <v>87</v>
      </c>
      <c r="E8770" s="16" t="str">
        <f>IFERROR(__xludf.DUMMYFUNCTION("""COMPUTED_VALUE"""),"")</f>
        <v/>
      </c>
      <c r="G8770" s="18"/>
      <c r="H8770" s="16" t="s">
        <v>87</v>
      </c>
      <c r="I8770" s="16" t="s">
        <v>87</v>
      </c>
      <c r="J8770" s="19"/>
      <c r="L8770" s="16" t="str">
        <f>IFERROR(__xludf.DUMMYFUNCTION("""COMPUTED_VALUE"""),"")</f>
        <v/>
      </c>
      <c r="M8770" s="16" t="str">
        <f>IFERROR(__xludf.DUMMYFUNCTION("""COMPUTED_VALUE"""),"")</f>
        <v/>
      </c>
      <c r="U8770" s="16" t="s">
        <v>87</v>
      </c>
      <c r="V8770" s="16" t="str">
        <f>IFERROR(__xludf.DUMMYFUNCTION("""COMPUTED_VALUE"""),"")</f>
        <v/>
      </c>
      <c r="W8770" s="16" t="str">
        <f>IFERROR(__xludf.DUMMYFUNCTION("""COMPUTED_VALUE"""),"")</f>
        <v/>
      </c>
      <c r="X8770" s="16" t="str">
        <f>IFERROR(__xludf.DUMMYFUNCTION("""COMPUTED_VALUE"""),"")</f>
        <v/>
      </c>
      <c r="AC8770" s="16" t="str">
        <f>IFERROR(__xludf.DUMMYFUNCTION("""COMPUTED_VALUE"""),"")</f>
        <v/>
      </c>
    </row>
    <row r="8771">
      <c r="A8771" s="16" t="s">
        <v>87</v>
      </c>
      <c r="E8771" s="16" t="str">
        <f>IFERROR(__xludf.DUMMYFUNCTION("""COMPUTED_VALUE"""),"")</f>
        <v/>
      </c>
      <c r="G8771" s="18"/>
      <c r="H8771" s="16" t="s">
        <v>87</v>
      </c>
      <c r="I8771" s="16" t="s">
        <v>87</v>
      </c>
      <c r="J8771" s="19"/>
      <c r="L8771" s="16" t="str">
        <f>IFERROR(__xludf.DUMMYFUNCTION("""COMPUTED_VALUE"""),"")</f>
        <v/>
      </c>
      <c r="M8771" s="16" t="str">
        <f>IFERROR(__xludf.DUMMYFUNCTION("""COMPUTED_VALUE"""),"")</f>
        <v/>
      </c>
      <c r="U8771" s="16" t="s">
        <v>87</v>
      </c>
      <c r="V8771" s="16" t="str">
        <f>IFERROR(__xludf.DUMMYFUNCTION("""COMPUTED_VALUE"""),"")</f>
        <v/>
      </c>
      <c r="W8771" s="16" t="str">
        <f>IFERROR(__xludf.DUMMYFUNCTION("""COMPUTED_VALUE"""),"")</f>
        <v/>
      </c>
      <c r="X8771" s="16" t="str">
        <f>IFERROR(__xludf.DUMMYFUNCTION("""COMPUTED_VALUE"""),"")</f>
        <v/>
      </c>
      <c r="AC8771" s="16" t="str">
        <f>IFERROR(__xludf.DUMMYFUNCTION("""COMPUTED_VALUE"""),"")</f>
        <v/>
      </c>
    </row>
    <row r="8772">
      <c r="A8772" s="16" t="s">
        <v>87</v>
      </c>
      <c r="E8772" s="16" t="str">
        <f>IFERROR(__xludf.DUMMYFUNCTION("""COMPUTED_VALUE"""),"")</f>
        <v/>
      </c>
      <c r="G8772" s="18"/>
      <c r="H8772" s="16" t="s">
        <v>87</v>
      </c>
      <c r="I8772" s="16" t="s">
        <v>87</v>
      </c>
      <c r="J8772" s="19"/>
      <c r="L8772" s="16" t="str">
        <f>IFERROR(__xludf.DUMMYFUNCTION("""COMPUTED_VALUE"""),"")</f>
        <v/>
      </c>
      <c r="M8772" s="16" t="str">
        <f>IFERROR(__xludf.DUMMYFUNCTION("""COMPUTED_VALUE"""),"")</f>
        <v/>
      </c>
      <c r="U8772" s="16" t="s">
        <v>87</v>
      </c>
      <c r="V8772" s="16" t="str">
        <f>IFERROR(__xludf.DUMMYFUNCTION("""COMPUTED_VALUE"""),"")</f>
        <v/>
      </c>
      <c r="W8772" s="16" t="str">
        <f>IFERROR(__xludf.DUMMYFUNCTION("""COMPUTED_VALUE"""),"")</f>
        <v/>
      </c>
      <c r="X8772" s="16" t="str">
        <f>IFERROR(__xludf.DUMMYFUNCTION("""COMPUTED_VALUE"""),"")</f>
        <v/>
      </c>
      <c r="AC8772" s="16" t="str">
        <f>IFERROR(__xludf.DUMMYFUNCTION("""COMPUTED_VALUE"""),"")</f>
        <v/>
      </c>
    </row>
    <row r="8773">
      <c r="A8773" s="16" t="s">
        <v>87</v>
      </c>
      <c r="E8773" s="16" t="str">
        <f>IFERROR(__xludf.DUMMYFUNCTION("""COMPUTED_VALUE"""),"")</f>
        <v/>
      </c>
      <c r="G8773" s="18"/>
      <c r="H8773" s="16" t="s">
        <v>87</v>
      </c>
      <c r="I8773" s="16" t="s">
        <v>87</v>
      </c>
      <c r="J8773" s="19"/>
      <c r="L8773" s="16" t="str">
        <f>IFERROR(__xludf.DUMMYFUNCTION("""COMPUTED_VALUE"""),"")</f>
        <v/>
      </c>
      <c r="M8773" s="16" t="str">
        <f>IFERROR(__xludf.DUMMYFUNCTION("""COMPUTED_VALUE"""),"")</f>
        <v/>
      </c>
      <c r="U8773" s="16" t="s">
        <v>87</v>
      </c>
      <c r="V8773" s="16" t="str">
        <f>IFERROR(__xludf.DUMMYFUNCTION("""COMPUTED_VALUE"""),"")</f>
        <v/>
      </c>
      <c r="W8773" s="16" t="str">
        <f>IFERROR(__xludf.DUMMYFUNCTION("""COMPUTED_VALUE"""),"")</f>
        <v/>
      </c>
      <c r="X8773" s="16" t="str">
        <f>IFERROR(__xludf.DUMMYFUNCTION("""COMPUTED_VALUE"""),"")</f>
        <v/>
      </c>
      <c r="AC8773" s="16" t="str">
        <f>IFERROR(__xludf.DUMMYFUNCTION("""COMPUTED_VALUE"""),"")</f>
        <v/>
      </c>
    </row>
    <row r="8774">
      <c r="A8774" s="16" t="s">
        <v>87</v>
      </c>
      <c r="E8774" s="16" t="str">
        <f>IFERROR(__xludf.DUMMYFUNCTION("""COMPUTED_VALUE"""),"")</f>
        <v/>
      </c>
      <c r="G8774" s="18"/>
      <c r="H8774" s="16" t="s">
        <v>87</v>
      </c>
      <c r="I8774" s="16" t="s">
        <v>87</v>
      </c>
      <c r="J8774" s="19"/>
      <c r="L8774" s="16" t="str">
        <f>IFERROR(__xludf.DUMMYFUNCTION("""COMPUTED_VALUE"""),"")</f>
        <v/>
      </c>
      <c r="M8774" s="16" t="str">
        <f>IFERROR(__xludf.DUMMYFUNCTION("""COMPUTED_VALUE"""),"")</f>
        <v/>
      </c>
      <c r="U8774" s="16" t="s">
        <v>87</v>
      </c>
      <c r="V8774" s="16" t="str">
        <f>IFERROR(__xludf.DUMMYFUNCTION("""COMPUTED_VALUE"""),"")</f>
        <v/>
      </c>
      <c r="W8774" s="16" t="str">
        <f>IFERROR(__xludf.DUMMYFUNCTION("""COMPUTED_VALUE"""),"")</f>
        <v/>
      </c>
      <c r="X8774" s="16" t="str">
        <f>IFERROR(__xludf.DUMMYFUNCTION("""COMPUTED_VALUE"""),"")</f>
        <v/>
      </c>
      <c r="AC8774" s="16" t="str">
        <f>IFERROR(__xludf.DUMMYFUNCTION("""COMPUTED_VALUE"""),"")</f>
        <v/>
      </c>
    </row>
    <row r="8775">
      <c r="A8775" s="16" t="s">
        <v>87</v>
      </c>
      <c r="E8775" s="16" t="str">
        <f>IFERROR(__xludf.DUMMYFUNCTION("""COMPUTED_VALUE"""),"")</f>
        <v/>
      </c>
      <c r="G8775" s="18"/>
      <c r="H8775" s="16" t="s">
        <v>87</v>
      </c>
      <c r="I8775" s="16" t="s">
        <v>87</v>
      </c>
      <c r="J8775" s="19"/>
      <c r="L8775" s="16" t="str">
        <f>IFERROR(__xludf.DUMMYFUNCTION("""COMPUTED_VALUE"""),"")</f>
        <v/>
      </c>
      <c r="M8775" s="16" t="str">
        <f>IFERROR(__xludf.DUMMYFUNCTION("""COMPUTED_VALUE"""),"")</f>
        <v/>
      </c>
      <c r="U8775" s="16" t="s">
        <v>87</v>
      </c>
      <c r="V8775" s="16" t="str">
        <f>IFERROR(__xludf.DUMMYFUNCTION("""COMPUTED_VALUE"""),"")</f>
        <v/>
      </c>
      <c r="W8775" s="16" t="str">
        <f>IFERROR(__xludf.DUMMYFUNCTION("""COMPUTED_VALUE"""),"")</f>
        <v/>
      </c>
      <c r="X8775" s="16" t="str">
        <f>IFERROR(__xludf.DUMMYFUNCTION("""COMPUTED_VALUE"""),"")</f>
        <v/>
      </c>
      <c r="AC8775" s="16" t="str">
        <f>IFERROR(__xludf.DUMMYFUNCTION("""COMPUTED_VALUE"""),"")</f>
        <v/>
      </c>
    </row>
    <row r="8776">
      <c r="A8776" s="16" t="s">
        <v>87</v>
      </c>
      <c r="E8776" s="16" t="str">
        <f>IFERROR(__xludf.DUMMYFUNCTION("""COMPUTED_VALUE"""),"")</f>
        <v/>
      </c>
      <c r="G8776" s="18"/>
      <c r="H8776" s="16" t="s">
        <v>87</v>
      </c>
      <c r="I8776" s="16" t="s">
        <v>87</v>
      </c>
      <c r="J8776" s="19"/>
      <c r="L8776" s="16" t="str">
        <f>IFERROR(__xludf.DUMMYFUNCTION("""COMPUTED_VALUE"""),"")</f>
        <v/>
      </c>
      <c r="M8776" s="16" t="str">
        <f>IFERROR(__xludf.DUMMYFUNCTION("""COMPUTED_VALUE"""),"")</f>
        <v/>
      </c>
      <c r="U8776" s="16" t="s">
        <v>87</v>
      </c>
      <c r="V8776" s="16" t="str">
        <f>IFERROR(__xludf.DUMMYFUNCTION("""COMPUTED_VALUE"""),"")</f>
        <v/>
      </c>
      <c r="W8776" s="16" t="str">
        <f>IFERROR(__xludf.DUMMYFUNCTION("""COMPUTED_VALUE"""),"")</f>
        <v/>
      </c>
      <c r="X8776" s="16" t="str">
        <f>IFERROR(__xludf.DUMMYFUNCTION("""COMPUTED_VALUE"""),"")</f>
        <v/>
      </c>
      <c r="AC8776" s="16" t="str">
        <f>IFERROR(__xludf.DUMMYFUNCTION("""COMPUTED_VALUE"""),"")</f>
        <v/>
      </c>
    </row>
    <row r="8777">
      <c r="A8777" s="16" t="s">
        <v>87</v>
      </c>
      <c r="E8777" s="16" t="str">
        <f>IFERROR(__xludf.DUMMYFUNCTION("""COMPUTED_VALUE"""),"")</f>
        <v/>
      </c>
      <c r="G8777" s="18"/>
      <c r="H8777" s="16" t="s">
        <v>87</v>
      </c>
      <c r="I8777" s="16" t="s">
        <v>87</v>
      </c>
      <c r="J8777" s="19"/>
      <c r="L8777" s="16" t="str">
        <f>IFERROR(__xludf.DUMMYFUNCTION("""COMPUTED_VALUE"""),"")</f>
        <v/>
      </c>
      <c r="M8777" s="16" t="str">
        <f>IFERROR(__xludf.DUMMYFUNCTION("""COMPUTED_VALUE"""),"")</f>
        <v/>
      </c>
      <c r="U8777" s="16" t="s">
        <v>87</v>
      </c>
      <c r="V8777" s="16" t="str">
        <f>IFERROR(__xludf.DUMMYFUNCTION("""COMPUTED_VALUE"""),"")</f>
        <v/>
      </c>
      <c r="W8777" s="16" t="str">
        <f>IFERROR(__xludf.DUMMYFUNCTION("""COMPUTED_VALUE"""),"")</f>
        <v/>
      </c>
      <c r="X8777" s="16" t="str">
        <f>IFERROR(__xludf.DUMMYFUNCTION("""COMPUTED_VALUE"""),"")</f>
        <v/>
      </c>
      <c r="AC8777" s="16" t="str">
        <f>IFERROR(__xludf.DUMMYFUNCTION("""COMPUTED_VALUE"""),"")</f>
        <v/>
      </c>
    </row>
    <row r="8778">
      <c r="A8778" s="16" t="s">
        <v>87</v>
      </c>
      <c r="E8778" s="16" t="str">
        <f>IFERROR(__xludf.DUMMYFUNCTION("""COMPUTED_VALUE"""),"")</f>
        <v/>
      </c>
      <c r="G8778" s="18"/>
      <c r="H8778" s="16" t="s">
        <v>87</v>
      </c>
      <c r="I8778" s="16" t="s">
        <v>87</v>
      </c>
      <c r="J8778" s="19"/>
      <c r="L8778" s="16" t="str">
        <f>IFERROR(__xludf.DUMMYFUNCTION("""COMPUTED_VALUE"""),"")</f>
        <v/>
      </c>
      <c r="M8778" s="16" t="str">
        <f>IFERROR(__xludf.DUMMYFUNCTION("""COMPUTED_VALUE"""),"")</f>
        <v/>
      </c>
      <c r="U8778" s="16" t="s">
        <v>87</v>
      </c>
      <c r="V8778" s="16" t="str">
        <f>IFERROR(__xludf.DUMMYFUNCTION("""COMPUTED_VALUE"""),"")</f>
        <v/>
      </c>
      <c r="W8778" s="16" t="str">
        <f>IFERROR(__xludf.DUMMYFUNCTION("""COMPUTED_VALUE"""),"")</f>
        <v/>
      </c>
      <c r="X8778" s="16" t="str">
        <f>IFERROR(__xludf.DUMMYFUNCTION("""COMPUTED_VALUE"""),"")</f>
        <v/>
      </c>
      <c r="AC8778" s="16" t="str">
        <f>IFERROR(__xludf.DUMMYFUNCTION("""COMPUTED_VALUE"""),"")</f>
        <v/>
      </c>
    </row>
    <row r="8779">
      <c r="A8779" s="16" t="s">
        <v>87</v>
      </c>
      <c r="E8779" s="16" t="str">
        <f>IFERROR(__xludf.DUMMYFUNCTION("""COMPUTED_VALUE"""),"")</f>
        <v/>
      </c>
      <c r="G8779" s="18"/>
      <c r="H8779" s="16" t="s">
        <v>87</v>
      </c>
      <c r="I8779" s="16" t="s">
        <v>87</v>
      </c>
      <c r="J8779" s="19"/>
      <c r="L8779" s="16" t="str">
        <f>IFERROR(__xludf.DUMMYFUNCTION("""COMPUTED_VALUE"""),"")</f>
        <v/>
      </c>
      <c r="M8779" s="16" t="str">
        <f>IFERROR(__xludf.DUMMYFUNCTION("""COMPUTED_VALUE"""),"")</f>
        <v/>
      </c>
      <c r="U8779" s="16" t="s">
        <v>87</v>
      </c>
      <c r="V8779" s="16" t="str">
        <f>IFERROR(__xludf.DUMMYFUNCTION("""COMPUTED_VALUE"""),"")</f>
        <v/>
      </c>
      <c r="W8779" s="16" t="str">
        <f>IFERROR(__xludf.DUMMYFUNCTION("""COMPUTED_VALUE"""),"")</f>
        <v/>
      </c>
      <c r="X8779" s="16" t="str">
        <f>IFERROR(__xludf.DUMMYFUNCTION("""COMPUTED_VALUE"""),"")</f>
        <v/>
      </c>
      <c r="AC8779" s="16" t="str">
        <f>IFERROR(__xludf.DUMMYFUNCTION("""COMPUTED_VALUE"""),"")</f>
        <v/>
      </c>
    </row>
    <row r="8780">
      <c r="A8780" s="16" t="s">
        <v>87</v>
      </c>
      <c r="E8780" s="16" t="str">
        <f>IFERROR(__xludf.DUMMYFUNCTION("""COMPUTED_VALUE"""),"")</f>
        <v/>
      </c>
      <c r="G8780" s="18"/>
      <c r="H8780" s="16" t="s">
        <v>87</v>
      </c>
      <c r="I8780" s="16" t="s">
        <v>87</v>
      </c>
      <c r="J8780" s="19"/>
      <c r="L8780" s="16" t="str">
        <f>IFERROR(__xludf.DUMMYFUNCTION("""COMPUTED_VALUE"""),"")</f>
        <v/>
      </c>
      <c r="M8780" s="16" t="str">
        <f>IFERROR(__xludf.DUMMYFUNCTION("""COMPUTED_VALUE"""),"")</f>
        <v/>
      </c>
      <c r="U8780" s="16" t="s">
        <v>87</v>
      </c>
      <c r="V8780" s="16" t="str">
        <f>IFERROR(__xludf.DUMMYFUNCTION("""COMPUTED_VALUE"""),"")</f>
        <v/>
      </c>
      <c r="W8780" s="16" t="str">
        <f>IFERROR(__xludf.DUMMYFUNCTION("""COMPUTED_VALUE"""),"")</f>
        <v/>
      </c>
      <c r="X8780" s="16" t="str">
        <f>IFERROR(__xludf.DUMMYFUNCTION("""COMPUTED_VALUE"""),"")</f>
        <v/>
      </c>
      <c r="AC8780" s="16" t="str">
        <f>IFERROR(__xludf.DUMMYFUNCTION("""COMPUTED_VALUE"""),"")</f>
        <v/>
      </c>
    </row>
    <row r="8781">
      <c r="A8781" s="16" t="s">
        <v>87</v>
      </c>
      <c r="E8781" s="16" t="str">
        <f>IFERROR(__xludf.DUMMYFUNCTION("""COMPUTED_VALUE"""),"")</f>
        <v/>
      </c>
      <c r="G8781" s="18"/>
      <c r="H8781" s="16" t="s">
        <v>87</v>
      </c>
      <c r="I8781" s="16" t="s">
        <v>87</v>
      </c>
      <c r="J8781" s="19"/>
      <c r="L8781" s="16" t="str">
        <f>IFERROR(__xludf.DUMMYFUNCTION("""COMPUTED_VALUE"""),"")</f>
        <v/>
      </c>
      <c r="M8781" s="16" t="str">
        <f>IFERROR(__xludf.DUMMYFUNCTION("""COMPUTED_VALUE"""),"")</f>
        <v/>
      </c>
      <c r="U8781" s="16" t="s">
        <v>87</v>
      </c>
      <c r="V8781" s="16" t="str">
        <f>IFERROR(__xludf.DUMMYFUNCTION("""COMPUTED_VALUE"""),"")</f>
        <v/>
      </c>
      <c r="W8781" s="16" t="str">
        <f>IFERROR(__xludf.DUMMYFUNCTION("""COMPUTED_VALUE"""),"")</f>
        <v/>
      </c>
      <c r="X8781" s="16" t="str">
        <f>IFERROR(__xludf.DUMMYFUNCTION("""COMPUTED_VALUE"""),"")</f>
        <v/>
      </c>
      <c r="AC8781" s="16" t="str">
        <f>IFERROR(__xludf.DUMMYFUNCTION("""COMPUTED_VALUE"""),"")</f>
        <v/>
      </c>
    </row>
    <row r="8782">
      <c r="A8782" s="16" t="s">
        <v>87</v>
      </c>
      <c r="E8782" s="16" t="str">
        <f>IFERROR(__xludf.DUMMYFUNCTION("""COMPUTED_VALUE"""),"")</f>
        <v/>
      </c>
      <c r="G8782" s="18"/>
      <c r="H8782" s="16" t="s">
        <v>87</v>
      </c>
      <c r="I8782" s="16" t="s">
        <v>87</v>
      </c>
      <c r="J8782" s="19"/>
      <c r="L8782" s="16" t="str">
        <f>IFERROR(__xludf.DUMMYFUNCTION("""COMPUTED_VALUE"""),"")</f>
        <v/>
      </c>
      <c r="M8782" s="16" t="str">
        <f>IFERROR(__xludf.DUMMYFUNCTION("""COMPUTED_VALUE"""),"")</f>
        <v/>
      </c>
      <c r="U8782" s="16" t="s">
        <v>87</v>
      </c>
      <c r="V8782" s="16" t="str">
        <f>IFERROR(__xludf.DUMMYFUNCTION("""COMPUTED_VALUE"""),"")</f>
        <v/>
      </c>
      <c r="W8782" s="16" t="str">
        <f>IFERROR(__xludf.DUMMYFUNCTION("""COMPUTED_VALUE"""),"")</f>
        <v/>
      </c>
      <c r="X8782" s="16" t="str">
        <f>IFERROR(__xludf.DUMMYFUNCTION("""COMPUTED_VALUE"""),"")</f>
        <v/>
      </c>
      <c r="AC8782" s="16" t="str">
        <f>IFERROR(__xludf.DUMMYFUNCTION("""COMPUTED_VALUE"""),"")</f>
        <v/>
      </c>
    </row>
    <row r="8783">
      <c r="A8783" s="16" t="s">
        <v>87</v>
      </c>
      <c r="E8783" s="16" t="str">
        <f>IFERROR(__xludf.DUMMYFUNCTION("""COMPUTED_VALUE"""),"")</f>
        <v/>
      </c>
      <c r="G8783" s="18"/>
      <c r="H8783" s="16" t="s">
        <v>87</v>
      </c>
      <c r="I8783" s="16" t="s">
        <v>87</v>
      </c>
      <c r="J8783" s="19"/>
      <c r="L8783" s="16" t="str">
        <f>IFERROR(__xludf.DUMMYFUNCTION("""COMPUTED_VALUE"""),"")</f>
        <v/>
      </c>
      <c r="M8783" s="16" t="str">
        <f>IFERROR(__xludf.DUMMYFUNCTION("""COMPUTED_VALUE"""),"")</f>
        <v/>
      </c>
      <c r="U8783" s="16" t="s">
        <v>87</v>
      </c>
      <c r="V8783" s="16" t="str">
        <f>IFERROR(__xludf.DUMMYFUNCTION("""COMPUTED_VALUE"""),"")</f>
        <v/>
      </c>
      <c r="W8783" s="16" t="str">
        <f>IFERROR(__xludf.DUMMYFUNCTION("""COMPUTED_VALUE"""),"")</f>
        <v/>
      </c>
      <c r="X8783" s="16" t="str">
        <f>IFERROR(__xludf.DUMMYFUNCTION("""COMPUTED_VALUE"""),"")</f>
        <v/>
      </c>
      <c r="AC8783" s="16" t="str">
        <f>IFERROR(__xludf.DUMMYFUNCTION("""COMPUTED_VALUE"""),"")</f>
        <v/>
      </c>
    </row>
    <row r="8784">
      <c r="A8784" s="16" t="s">
        <v>87</v>
      </c>
      <c r="E8784" s="16" t="str">
        <f>IFERROR(__xludf.DUMMYFUNCTION("""COMPUTED_VALUE"""),"")</f>
        <v/>
      </c>
      <c r="G8784" s="18"/>
      <c r="H8784" s="16" t="s">
        <v>87</v>
      </c>
      <c r="I8784" s="16" t="s">
        <v>87</v>
      </c>
      <c r="J8784" s="19"/>
      <c r="L8784" s="16" t="str">
        <f>IFERROR(__xludf.DUMMYFUNCTION("""COMPUTED_VALUE"""),"")</f>
        <v/>
      </c>
      <c r="M8784" s="16" t="str">
        <f>IFERROR(__xludf.DUMMYFUNCTION("""COMPUTED_VALUE"""),"")</f>
        <v/>
      </c>
      <c r="U8784" s="16" t="s">
        <v>87</v>
      </c>
      <c r="V8784" s="16" t="str">
        <f>IFERROR(__xludf.DUMMYFUNCTION("""COMPUTED_VALUE"""),"")</f>
        <v/>
      </c>
      <c r="W8784" s="16" t="str">
        <f>IFERROR(__xludf.DUMMYFUNCTION("""COMPUTED_VALUE"""),"")</f>
        <v/>
      </c>
      <c r="X8784" s="16" t="str">
        <f>IFERROR(__xludf.DUMMYFUNCTION("""COMPUTED_VALUE"""),"")</f>
        <v/>
      </c>
      <c r="AC8784" s="16" t="str">
        <f>IFERROR(__xludf.DUMMYFUNCTION("""COMPUTED_VALUE"""),"")</f>
        <v/>
      </c>
    </row>
    <row r="8785">
      <c r="A8785" s="16" t="s">
        <v>87</v>
      </c>
      <c r="E8785" s="16" t="str">
        <f>IFERROR(__xludf.DUMMYFUNCTION("""COMPUTED_VALUE"""),"")</f>
        <v/>
      </c>
      <c r="G8785" s="18"/>
      <c r="H8785" s="16" t="s">
        <v>87</v>
      </c>
      <c r="I8785" s="16" t="s">
        <v>87</v>
      </c>
      <c r="J8785" s="19"/>
      <c r="L8785" s="16" t="str">
        <f>IFERROR(__xludf.DUMMYFUNCTION("""COMPUTED_VALUE"""),"")</f>
        <v/>
      </c>
      <c r="M8785" s="16" t="str">
        <f>IFERROR(__xludf.DUMMYFUNCTION("""COMPUTED_VALUE"""),"")</f>
        <v/>
      </c>
      <c r="U8785" s="16" t="s">
        <v>87</v>
      </c>
      <c r="V8785" s="16" t="str">
        <f>IFERROR(__xludf.DUMMYFUNCTION("""COMPUTED_VALUE"""),"")</f>
        <v/>
      </c>
      <c r="W8785" s="16" t="str">
        <f>IFERROR(__xludf.DUMMYFUNCTION("""COMPUTED_VALUE"""),"")</f>
        <v/>
      </c>
      <c r="X8785" s="16" t="str">
        <f>IFERROR(__xludf.DUMMYFUNCTION("""COMPUTED_VALUE"""),"")</f>
        <v/>
      </c>
      <c r="AC8785" s="16" t="str">
        <f>IFERROR(__xludf.DUMMYFUNCTION("""COMPUTED_VALUE"""),"")</f>
        <v/>
      </c>
    </row>
    <row r="8786">
      <c r="A8786" s="16" t="s">
        <v>87</v>
      </c>
      <c r="E8786" s="16" t="str">
        <f>IFERROR(__xludf.DUMMYFUNCTION("""COMPUTED_VALUE"""),"")</f>
        <v/>
      </c>
      <c r="G8786" s="18"/>
      <c r="H8786" s="16" t="s">
        <v>87</v>
      </c>
      <c r="I8786" s="16" t="s">
        <v>87</v>
      </c>
      <c r="J8786" s="19"/>
      <c r="L8786" s="16" t="str">
        <f>IFERROR(__xludf.DUMMYFUNCTION("""COMPUTED_VALUE"""),"")</f>
        <v/>
      </c>
      <c r="M8786" s="16" t="str">
        <f>IFERROR(__xludf.DUMMYFUNCTION("""COMPUTED_VALUE"""),"")</f>
        <v/>
      </c>
      <c r="U8786" s="16" t="s">
        <v>87</v>
      </c>
      <c r="V8786" s="16" t="str">
        <f>IFERROR(__xludf.DUMMYFUNCTION("""COMPUTED_VALUE"""),"")</f>
        <v/>
      </c>
      <c r="W8786" s="16" t="str">
        <f>IFERROR(__xludf.DUMMYFUNCTION("""COMPUTED_VALUE"""),"")</f>
        <v/>
      </c>
      <c r="X8786" s="16" t="str">
        <f>IFERROR(__xludf.DUMMYFUNCTION("""COMPUTED_VALUE"""),"")</f>
        <v/>
      </c>
      <c r="AC8786" s="16" t="str">
        <f>IFERROR(__xludf.DUMMYFUNCTION("""COMPUTED_VALUE"""),"")</f>
        <v/>
      </c>
    </row>
    <row r="8787">
      <c r="A8787" s="16" t="s">
        <v>87</v>
      </c>
      <c r="E8787" s="16" t="str">
        <f>IFERROR(__xludf.DUMMYFUNCTION("""COMPUTED_VALUE"""),"")</f>
        <v/>
      </c>
      <c r="G8787" s="18"/>
      <c r="H8787" s="16" t="s">
        <v>87</v>
      </c>
      <c r="I8787" s="16" t="s">
        <v>87</v>
      </c>
      <c r="J8787" s="19"/>
      <c r="L8787" s="16" t="str">
        <f>IFERROR(__xludf.DUMMYFUNCTION("""COMPUTED_VALUE"""),"")</f>
        <v/>
      </c>
      <c r="M8787" s="16" t="str">
        <f>IFERROR(__xludf.DUMMYFUNCTION("""COMPUTED_VALUE"""),"")</f>
        <v/>
      </c>
      <c r="U8787" s="16" t="s">
        <v>87</v>
      </c>
      <c r="V8787" s="16" t="str">
        <f>IFERROR(__xludf.DUMMYFUNCTION("""COMPUTED_VALUE"""),"")</f>
        <v/>
      </c>
      <c r="W8787" s="16" t="str">
        <f>IFERROR(__xludf.DUMMYFUNCTION("""COMPUTED_VALUE"""),"")</f>
        <v/>
      </c>
      <c r="X8787" s="16" t="str">
        <f>IFERROR(__xludf.DUMMYFUNCTION("""COMPUTED_VALUE"""),"")</f>
        <v/>
      </c>
      <c r="AC8787" s="16" t="str">
        <f>IFERROR(__xludf.DUMMYFUNCTION("""COMPUTED_VALUE"""),"")</f>
        <v/>
      </c>
    </row>
    <row r="8788">
      <c r="A8788" s="16" t="s">
        <v>87</v>
      </c>
      <c r="E8788" s="16" t="str">
        <f>IFERROR(__xludf.DUMMYFUNCTION("""COMPUTED_VALUE"""),"")</f>
        <v/>
      </c>
      <c r="G8788" s="18"/>
      <c r="H8788" s="16" t="s">
        <v>87</v>
      </c>
      <c r="I8788" s="16" t="s">
        <v>87</v>
      </c>
      <c r="J8788" s="19"/>
      <c r="L8788" s="16" t="str">
        <f>IFERROR(__xludf.DUMMYFUNCTION("""COMPUTED_VALUE"""),"")</f>
        <v/>
      </c>
      <c r="M8788" s="16" t="str">
        <f>IFERROR(__xludf.DUMMYFUNCTION("""COMPUTED_VALUE"""),"")</f>
        <v/>
      </c>
      <c r="U8788" s="16" t="s">
        <v>87</v>
      </c>
      <c r="V8788" s="16" t="str">
        <f>IFERROR(__xludf.DUMMYFUNCTION("""COMPUTED_VALUE"""),"")</f>
        <v/>
      </c>
      <c r="W8788" s="16" t="str">
        <f>IFERROR(__xludf.DUMMYFUNCTION("""COMPUTED_VALUE"""),"")</f>
        <v/>
      </c>
      <c r="X8788" s="16" t="str">
        <f>IFERROR(__xludf.DUMMYFUNCTION("""COMPUTED_VALUE"""),"")</f>
        <v/>
      </c>
      <c r="AC8788" s="16" t="str">
        <f>IFERROR(__xludf.DUMMYFUNCTION("""COMPUTED_VALUE"""),"")</f>
        <v/>
      </c>
    </row>
    <row r="8789">
      <c r="A8789" s="16" t="s">
        <v>87</v>
      </c>
      <c r="E8789" s="16" t="str">
        <f>IFERROR(__xludf.DUMMYFUNCTION("""COMPUTED_VALUE"""),"")</f>
        <v/>
      </c>
      <c r="G8789" s="18"/>
      <c r="H8789" s="16" t="s">
        <v>87</v>
      </c>
      <c r="I8789" s="16" t="s">
        <v>87</v>
      </c>
      <c r="J8789" s="19"/>
      <c r="L8789" s="16" t="str">
        <f>IFERROR(__xludf.DUMMYFUNCTION("""COMPUTED_VALUE"""),"")</f>
        <v/>
      </c>
      <c r="M8789" s="16" t="str">
        <f>IFERROR(__xludf.DUMMYFUNCTION("""COMPUTED_VALUE"""),"")</f>
        <v/>
      </c>
      <c r="U8789" s="16" t="s">
        <v>87</v>
      </c>
      <c r="V8789" s="16" t="str">
        <f>IFERROR(__xludf.DUMMYFUNCTION("""COMPUTED_VALUE"""),"")</f>
        <v/>
      </c>
      <c r="W8789" s="16" t="str">
        <f>IFERROR(__xludf.DUMMYFUNCTION("""COMPUTED_VALUE"""),"")</f>
        <v/>
      </c>
      <c r="X8789" s="16" t="str">
        <f>IFERROR(__xludf.DUMMYFUNCTION("""COMPUTED_VALUE"""),"")</f>
        <v/>
      </c>
      <c r="AC8789" s="16" t="str">
        <f>IFERROR(__xludf.DUMMYFUNCTION("""COMPUTED_VALUE"""),"")</f>
        <v/>
      </c>
    </row>
    <row r="8790">
      <c r="A8790" s="16" t="s">
        <v>87</v>
      </c>
      <c r="E8790" s="16" t="str">
        <f>IFERROR(__xludf.DUMMYFUNCTION("""COMPUTED_VALUE"""),"")</f>
        <v/>
      </c>
      <c r="G8790" s="18"/>
      <c r="H8790" s="16" t="s">
        <v>87</v>
      </c>
      <c r="I8790" s="16" t="s">
        <v>87</v>
      </c>
      <c r="J8790" s="19"/>
      <c r="L8790" s="16" t="str">
        <f>IFERROR(__xludf.DUMMYFUNCTION("""COMPUTED_VALUE"""),"")</f>
        <v/>
      </c>
      <c r="M8790" s="16" t="str">
        <f>IFERROR(__xludf.DUMMYFUNCTION("""COMPUTED_VALUE"""),"")</f>
        <v/>
      </c>
      <c r="U8790" s="16" t="s">
        <v>87</v>
      </c>
      <c r="V8790" s="16" t="str">
        <f>IFERROR(__xludf.DUMMYFUNCTION("""COMPUTED_VALUE"""),"")</f>
        <v/>
      </c>
      <c r="W8790" s="16" t="str">
        <f>IFERROR(__xludf.DUMMYFUNCTION("""COMPUTED_VALUE"""),"")</f>
        <v/>
      </c>
      <c r="X8790" s="16" t="str">
        <f>IFERROR(__xludf.DUMMYFUNCTION("""COMPUTED_VALUE"""),"")</f>
        <v/>
      </c>
      <c r="AC8790" s="16" t="str">
        <f>IFERROR(__xludf.DUMMYFUNCTION("""COMPUTED_VALUE"""),"")</f>
        <v/>
      </c>
    </row>
    <row r="8791">
      <c r="A8791" s="16" t="s">
        <v>87</v>
      </c>
      <c r="E8791" s="16" t="str">
        <f>IFERROR(__xludf.DUMMYFUNCTION("""COMPUTED_VALUE"""),"")</f>
        <v/>
      </c>
      <c r="G8791" s="18"/>
      <c r="H8791" s="16" t="s">
        <v>87</v>
      </c>
      <c r="I8791" s="16" t="s">
        <v>87</v>
      </c>
      <c r="J8791" s="19"/>
      <c r="L8791" s="16" t="str">
        <f>IFERROR(__xludf.DUMMYFUNCTION("""COMPUTED_VALUE"""),"")</f>
        <v/>
      </c>
      <c r="M8791" s="16" t="str">
        <f>IFERROR(__xludf.DUMMYFUNCTION("""COMPUTED_VALUE"""),"")</f>
        <v/>
      </c>
      <c r="U8791" s="16" t="s">
        <v>87</v>
      </c>
      <c r="V8791" s="16" t="str">
        <f>IFERROR(__xludf.DUMMYFUNCTION("""COMPUTED_VALUE"""),"")</f>
        <v/>
      </c>
      <c r="W8791" s="16" t="str">
        <f>IFERROR(__xludf.DUMMYFUNCTION("""COMPUTED_VALUE"""),"")</f>
        <v/>
      </c>
      <c r="X8791" s="16" t="str">
        <f>IFERROR(__xludf.DUMMYFUNCTION("""COMPUTED_VALUE"""),"")</f>
        <v/>
      </c>
      <c r="AC8791" s="16" t="str">
        <f>IFERROR(__xludf.DUMMYFUNCTION("""COMPUTED_VALUE"""),"")</f>
        <v/>
      </c>
    </row>
    <row r="8792">
      <c r="A8792" s="16" t="s">
        <v>87</v>
      </c>
      <c r="E8792" s="16" t="str">
        <f>IFERROR(__xludf.DUMMYFUNCTION("""COMPUTED_VALUE"""),"")</f>
        <v/>
      </c>
      <c r="G8792" s="18"/>
      <c r="H8792" s="16" t="s">
        <v>87</v>
      </c>
      <c r="I8792" s="16" t="s">
        <v>87</v>
      </c>
      <c r="J8792" s="19"/>
      <c r="L8792" s="16" t="str">
        <f>IFERROR(__xludf.DUMMYFUNCTION("""COMPUTED_VALUE"""),"")</f>
        <v/>
      </c>
      <c r="M8792" s="16" t="str">
        <f>IFERROR(__xludf.DUMMYFUNCTION("""COMPUTED_VALUE"""),"")</f>
        <v/>
      </c>
      <c r="U8792" s="16" t="s">
        <v>87</v>
      </c>
      <c r="V8792" s="16" t="str">
        <f>IFERROR(__xludf.DUMMYFUNCTION("""COMPUTED_VALUE"""),"")</f>
        <v/>
      </c>
      <c r="W8792" s="16" t="str">
        <f>IFERROR(__xludf.DUMMYFUNCTION("""COMPUTED_VALUE"""),"")</f>
        <v/>
      </c>
      <c r="X8792" s="16" t="str">
        <f>IFERROR(__xludf.DUMMYFUNCTION("""COMPUTED_VALUE"""),"")</f>
        <v/>
      </c>
      <c r="AC8792" s="16" t="str">
        <f>IFERROR(__xludf.DUMMYFUNCTION("""COMPUTED_VALUE"""),"")</f>
        <v/>
      </c>
    </row>
    <row r="8793">
      <c r="A8793" s="16" t="s">
        <v>87</v>
      </c>
      <c r="E8793" s="16" t="str">
        <f>IFERROR(__xludf.DUMMYFUNCTION("""COMPUTED_VALUE"""),"")</f>
        <v/>
      </c>
      <c r="G8793" s="18"/>
      <c r="H8793" s="16" t="s">
        <v>87</v>
      </c>
      <c r="I8793" s="16" t="s">
        <v>87</v>
      </c>
      <c r="J8793" s="19"/>
      <c r="L8793" s="16" t="str">
        <f>IFERROR(__xludf.DUMMYFUNCTION("""COMPUTED_VALUE"""),"")</f>
        <v/>
      </c>
      <c r="M8793" s="16" t="str">
        <f>IFERROR(__xludf.DUMMYFUNCTION("""COMPUTED_VALUE"""),"")</f>
        <v/>
      </c>
      <c r="U8793" s="16" t="s">
        <v>87</v>
      </c>
      <c r="V8793" s="16" t="str">
        <f>IFERROR(__xludf.DUMMYFUNCTION("""COMPUTED_VALUE"""),"")</f>
        <v/>
      </c>
      <c r="W8793" s="16" t="str">
        <f>IFERROR(__xludf.DUMMYFUNCTION("""COMPUTED_VALUE"""),"")</f>
        <v/>
      </c>
      <c r="X8793" s="16" t="str">
        <f>IFERROR(__xludf.DUMMYFUNCTION("""COMPUTED_VALUE"""),"")</f>
        <v/>
      </c>
      <c r="AC8793" s="16" t="str">
        <f>IFERROR(__xludf.DUMMYFUNCTION("""COMPUTED_VALUE"""),"")</f>
        <v/>
      </c>
    </row>
    <row r="8794">
      <c r="A8794" s="16" t="s">
        <v>87</v>
      </c>
      <c r="E8794" s="16" t="str">
        <f>IFERROR(__xludf.DUMMYFUNCTION("""COMPUTED_VALUE"""),"")</f>
        <v/>
      </c>
      <c r="G8794" s="18"/>
      <c r="H8794" s="16" t="s">
        <v>87</v>
      </c>
      <c r="I8794" s="16" t="s">
        <v>87</v>
      </c>
      <c r="J8794" s="19"/>
      <c r="L8794" s="16" t="str">
        <f>IFERROR(__xludf.DUMMYFUNCTION("""COMPUTED_VALUE"""),"")</f>
        <v/>
      </c>
      <c r="M8794" s="16" t="str">
        <f>IFERROR(__xludf.DUMMYFUNCTION("""COMPUTED_VALUE"""),"")</f>
        <v/>
      </c>
      <c r="U8794" s="16" t="s">
        <v>87</v>
      </c>
      <c r="V8794" s="16" t="str">
        <f>IFERROR(__xludf.DUMMYFUNCTION("""COMPUTED_VALUE"""),"")</f>
        <v/>
      </c>
      <c r="W8794" s="16" t="str">
        <f>IFERROR(__xludf.DUMMYFUNCTION("""COMPUTED_VALUE"""),"")</f>
        <v/>
      </c>
      <c r="X8794" s="16" t="str">
        <f>IFERROR(__xludf.DUMMYFUNCTION("""COMPUTED_VALUE"""),"")</f>
        <v/>
      </c>
      <c r="AC8794" s="16" t="str">
        <f>IFERROR(__xludf.DUMMYFUNCTION("""COMPUTED_VALUE"""),"")</f>
        <v/>
      </c>
    </row>
    <row r="8795">
      <c r="A8795" s="16" t="s">
        <v>87</v>
      </c>
      <c r="E8795" s="16" t="str">
        <f>IFERROR(__xludf.DUMMYFUNCTION("""COMPUTED_VALUE"""),"")</f>
        <v/>
      </c>
      <c r="G8795" s="18"/>
      <c r="H8795" s="16" t="s">
        <v>87</v>
      </c>
      <c r="I8795" s="16" t="s">
        <v>87</v>
      </c>
      <c r="J8795" s="19"/>
      <c r="L8795" s="16" t="str">
        <f>IFERROR(__xludf.DUMMYFUNCTION("""COMPUTED_VALUE"""),"")</f>
        <v/>
      </c>
      <c r="M8795" s="16" t="str">
        <f>IFERROR(__xludf.DUMMYFUNCTION("""COMPUTED_VALUE"""),"")</f>
        <v/>
      </c>
      <c r="U8795" s="16" t="s">
        <v>87</v>
      </c>
      <c r="V8795" s="16" t="str">
        <f>IFERROR(__xludf.DUMMYFUNCTION("""COMPUTED_VALUE"""),"")</f>
        <v/>
      </c>
      <c r="W8795" s="16" t="str">
        <f>IFERROR(__xludf.DUMMYFUNCTION("""COMPUTED_VALUE"""),"")</f>
        <v/>
      </c>
      <c r="X8795" s="16" t="str">
        <f>IFERROR(__xludf.DUMMYFUNCTION("""COMPUTED_VALUE"""),"")</f>
        <v/>
      </c>
      <c r="AC8795" s="16" t="str">
        <f>IFERROR(__xludf.DUMMYFUNCTION("""COMPUTED_VALUE"""),"")</f>
        <v/>
      </c>
    </row>
    <row r="8796">
      <c r="A8796" s="16" t="s">
        <v>87</v>
      </c>
      <c r="E8796" s="16" t="str">
        <f>IFERROR(__xludf.DUMMYFUNCTION("""COMPUTED_VALUE"""),"")</f>
        <v/>
      </c>
      <c r="G8796" s="18"/>
      <c r="H8796" s="16" t="s">
        <v>87</v>
      </c>
      <c r="I8796" s="16" t="s">
        <v>87</v>
      </c>
      <c r="J8796" s="19"/>
      <c r="L8796" s="16" t="str">
        <f>IFERROR(__xludf.DUMMYFUNCTION("""COMPUTED_VALUE"""),"")</f>
        <v/>
      </c>
      <c r="M8796" s="16" t="str">
        <f>IFERROR(__xludf.DUMMYFUNCTION("""COMPUTED_VALUE"""),"")</f>
        <v/>
      </c>
      <c r="U8796" s="16" t="s">
        <v>87</v>
      </c>
      <c r="V8796" s="16" t="str">
        <f>IFERROR(__xludf.DUMMYFUNCTION("""COMPUTED_VALUE"""),"")</f>
        <v/>
      </c>
      <c r="W8796" s="16" t="str">
        <f>IFERROR(__xludf.DUMMYFUNCTION("""COMPUTED_VALUE"""),"")</f>
        <v/>
      </c>
      <c r="X8796" s="16" t="str">
        <f>IFERROR(__xludf.DUMMYFUNCTION("""COMPUTED_VALUE"""),"")</f>
        <v/>
      </c>
      <c r="AC8796" s="16" t="str">
        <f>IFERROR(__xludf.DUMMYFUNCTION("""COMPUTED_VALUE"""),"")</f>
        <v/>
      </c>
    </row>
    <row r="8797">
      <c r="A8797" s="16" t="s">
        <v>87</v>
      </c>
      <c r="E8797" s="16" t="str">
        <f>IFERROR(__xludf.DUMMYFUNCTION("""COMPUTED_VALUE"""),"")</f>
        <v/>
      </c>
      <c r="G8797" s="18"/>
      <c r="H8797" s="16" t="s">
        <v>87</v>
      </c>
      <c r="I8797" s="16" t="s">
        <v>87</v>
      </c>
      <c r="J8797" s="19"/>
      <c r="L8797" s="16" t="str">
        <f>IFERROR(__xludf.DUMMYFUNCTION("""COMPUTED_VALUE"""),"")</f>
        <v/>
      </c>
      <c r="M8797" s="16" t="str">
        <f>IFERROR(__xludf.DUMMYFUNCTION("""COMPUTED_VALUE"""),"")</f>
        <v/>
      </c>
      <c r="U8797" s="16" t="s">
        <v>87</v>
      </c>
      <c r="V8797" s="16" t="str">
        <f>IFERROR(__xludf.DUMMYFUNCTION("""COMPUTED_VALUE"""),"")</f>
        <v/>
      </c>
      <c r="W8797" s="16" t="str">
        <f>IFERROR(__xludf.DUMMYFUNCTION("""COMPUTED_VALUE"""),"")</f>
        <v/>
      </c>
      <c r="X8797" s="16" t="str">
        <f>IFERROR(__xludf.DUMMYFUNCTION("""COMPUTED_VALUE"""),"")</f>
        <v/>
      </c>
      <c r="AC8797" s="16" t="str">
        <f>IFERROR(__xludf.DUMMYFUNCTION("""COMPUTED_VALUE"""),"")</f>
        <v/>
      </c>
    </row>
    <row r="8798">
      <c r="A8798" s="16" t="s">
        <v>87</v>
      </c>
      <c r="E8798" s="16" t="str">
        <f>IFERROR(__xludf.DUMMYFUNCTION("""COMPUTED_VALUE"""),"")</f>
        <v/>
      </c>
      <c r="G8798" s="18"/>
      <c r="H8798" s="16" t="s">
        <v>87</v>
      </c>
      <c r="I8798" s="16" t="s">
        <v>87</v>
      </c>
      <c r="J8798" s="19"/>
      <c r="L8798" s="16" t="str">
        <f>IFERROR(__xludf.DUMMYFUNCTION("""COMPUTED_VALUE"""),"")</f>
        <v/>
      </c>
      <c r="M8798" s="16" t="str">
        <f>IFERROR(__xludf.DUMMYFUNCTION("""COMPUTED_VALUE"""),"")</f>
        <v/>
      </c>
      <c r="U8798" s="16" t="s">
        <v>87</v>
      </c>
      <c r="V8798" s="16" t="str">
        <f>IFERROR(__xludf.DUMMYFUNCTION("""COMPUTED_VALUE"""),"")</f>
        <v/>
      </c>
      <c r="W8798" s="16" t="str">
        <f>IFERROR(__xludf.DUMMYFUNCTION("""COMPUTED_VALUE"""),"")</f>
        <v/>
      </c>
      <c r="X8798" s="16" t="str">
        <f>IFERROR(__xludf.DUMMYFUNCTION("""COMPUTED_VALUE"""),"")</f>
        <v/>
      </c>
      <c r="AC8798" s="16" t="str">
        <f>IFERROR(__xludf.DUMMYFUNCTION("""COMPUTED_VALUE"""),"")</f>
        <v/>
      </c>
    </row>
    <row r="8799">
      <c r="A8799" s="16" t="s">
        <v>87</v>
      </c>
      <c r="E8799" s="16" t="str">
        <f>IFERROR(__xludf.DUMMYFUNCTION("""COMPUTED_VALUE"""),"")</f>
        <v/>
      </c>
      <c r="G8799" s="18"/>
      <c r="H8799" s="16" t="s">
        <v>87</v>
      </c>
      <c r="I8799" s="16" t="s">
        <v>87</v>
      </c>
      <c r="J8799" s="19"/>
      <c r="L8799" s="16" t="str">
        <f>IFERROR(__xludf.DUMMYFUNCTION("""COMPUTED_VALUE"""),"")</f>
        <v/>
      </c>
      <c r="M8799" s="16" t="str">
        <f>IFERROR(__xludf.DUMMYFUNCTION("""COMPUTED_VALUE"""),"")</f>
        <v/>
      </c>
      <c r="U8799" s="16" t="s">
        <v>87</v>
      </c>
      <c r="V8799" s="16" t="str">
        <f>IFERROR(__xludf.DUMMYFUNCTION("""COMPUTED_VALUE"""),"")</f>
        <v/>
      </c>
      <c r="W8799" s="16" t="str">
        <f>IFERROR(__xludf.DUMMYFUNCTION("""COMPUTED_VALUE"""),"")</f>
        <v/>
      </c>
      <c r="X8799" s="16" t="str">
        <f>IFERROR(__xludf.DUMMYFUNCTION("""COMPUTED_VALUE"""),"")</f>
        <v/>
      </c>
      <c r="AC8799" s="16" t="str">
        <f>IFERROR(__xludf.DUMMYFUNCTION("""COMPUTED_VALUE"""),"")</f>
        <v/>
      </c>
    </row>
    <row r="8800">
      <c r="A8800" s="16" t="s">
        <v>87</v>
      </c>
      <c r="E8800" s="16" t="str">
        <f>IFERROR(__xludf.DUMMYFUNCTION("""COMPUTED_VALUE"""),"")</f>
        <v/>
      </c>
      <c r="G8800" s="18"/>
      <c r="H8800" s="16" t="s">
        <v>87</v>
      </c>
      <c r="I8800" s="16" t="s">
        <v>87</v>
      </c>
      <c r="J8800" s="19"/>
      <c r="L8800" s="16" t="str">
        <f>IFERROR(__xludf.DUMMYFUNCTION("""COMPUTED_VALUE"""),"")</f>
        <v/>
      </c>
      <c r="M8800" s="16" t="str">
        <f>IFERROR(__xludf.DUMMYFUNCTION("""COMPUTED_VALUE"""),"")</f>
        <v/>
      </c>
      <c r="U8800" s="16" t="s">
        <v>87</v>
      </c>
      <c r="V8800" s="16" t="str">
        <f>IFERROR(__xludf.DUMMYFUNCTION("""COMPUTED_VALUE"""),"")</f>
        <v/>
      </c>
      <c r="W8800" s="16" t="str">
        <f>IFERROR(__xludf.DUMMYFUNCTION("""COMPUTED_VALUE"""),"")</f>
        <v/>
      </c>
      <c r="X8800" s="16" t="str">
        <f>IFERROR(__xludf.DUMMYFUNCTION("""COMPUTED_VALUE"""),"")</f>
        <v/>
      </c>
      <c r="AC8800" s="16" t="str">
        <f>IFERROR(__xludf.DUMMYFUNCTION("""COMPUTED_VALUE"""),"")</f>
        <v/>
      </c>
    </row>
    <row r="8801">
      <c r="A8801" s="16" t="s">
        <v>87</v>
      </c>
      <c r="E8801" s="16" t="str">
        <f>IFERROR(__xludf.DUMMYFUNCTION("""COMPUTED_VALUE"""),"")</f>
        <v/>
      </c>
      <c r="G8801" s="18"/>
      <c r="H8801" s="16" t="s">
        <v>87</v>
      </c>
      <c r="I8801" s="16" t="s">
        <v>87</v>
      </c>
      <c r="J8801" s="19"/>
      <c r="L8801" s="16" t="str">
        <f>IFERROR(__xludf.DUMMYFUNCTION("""COMPUTED_VALUE"""),"")</f>
        <v/>
      </c>
      <c r="M8801" s="16" t="str">
        <f>IFERROR(__xludf.DUMMYFUNCTION("""COMPUTED_VALUE"""),"")</f>
        <v/>
      </c>
      <c r="U8801" s="16" t="s">
        <v>87</v>
      </c>
      <c r="V8801" s="16" t="str">
        <f>IFERROR(__xludf.DUMMYFUNCTION("""COMPUTED_VALUE"""),"")</f>
        <v/>
      </c>
      <c r="W8801" s="16" t="str">
        <f>IFERROR(__xludf.DUMMYFUNCTION("""COMPUTED_VALUE"""),"")</f>
        <v/>
      </c>
      <c r="X8801" s="16" t="str">
        <f>IFERROR(__xludf.DUMMYFUNCTION("""COMPUTED_VALUE"""),"")</f>
        <v/>
      </c>
      <c r="AC8801" s="16" t="str">
        <f>IFERROR(__xludf.DUMMYFUNCTION("""COMPUTED_VALUE"""),"")</f>
        <v/>
      </c>
    </row>
    <row r="8802">
      <c r="A8802" s="16" t="s">
        <v>87</v>
      </c>
      <c r="E8802" s="16" t="str">
        <f>IFERROR(__xludf.DUMMYFUNCTION("""COMPUTED_VALUE"""),"")</f>
        <v/>
      </c>
      <c r="G8802" s="18"/>
      <c r="H8802" s="16" t="s">
        <v>87</v>
      </c>
      <c r="I8802" s="16" t="s">
        <v>87</v>
      </c>
      <c r="J8802" s="19"/>
      <c r="L8802" s="16" t="str">
        <f>IFERROR(__xludf.DUMMYFUNCTION("""COMPUTED_VALUE"""),"")</f>
        <v/>
      </c>
      <c r="M8802" s="16" t="str">
        <f>IFERROR(__xludf.DUMMYFUNCTION("""COMPUTED_VALUE"""),"")</f>
        <v/>
      </c>
      <c r="U8802" s="16" t="s">
        <v>87</v>
      </c>
      <c r="V8802" s="16" t="str">
        <f>IFERROR(__xludf.DUMMYFUNCTION("""COMPUTED_VALUE"""),"")</f>
        <v/>
      </c>
      <c r="W8802" s="16" t="str">
        <f>IFERROR(__xludf.DUMMYFUNCTION("""COMPUTED_VALUE"""),"")</f>
        <v/>
      </c>
      <c r="X8802" s="16" t="str">
        <f>IFERROR(__xludf.DUMMYFUNCTION("""COMPUTED_VALUE"""),"")</f>
        <v/>
      </c>
      <c r="AC8802" s="16" t="str">
        <f>IFERROR(__xludf.DUMMYFUNCTION("""COMPUTED_VALUE"""),"")</f>
        <v/>
      </c>
    </row>
    <row r="8803">
      <c r="A8803" s="16" t="s">
        <v>87</v>
      </c>
      <c r="E8803" s="16" t="str">
        <f>IFERROR(__xludf.DUMMYFUNCTION("""COMPUTED_VALUE"""),"")</f>
        <v/>
      </c>
      <c r="G8803" s="18"/>
      <c r="H8803" s="16" t="s">
        <v>87</v>
      </c>
      <c r="I8803" s="16" t="s">
        <v>87</v>
      </c>
      <c r="J8803" s="19"/>
      <c r="L8803" s="16" t="str">
        <f>IFERROR(__xludf.DUMMYFUNCTION("""COMPUTED_VALUE"""),"")</f>
        <v/>
      </c>
      <c r="M8803" s="16" t="str">
        <f>IFERROR(__xludf.DUMMYFUNCTION("""COMPUTED_VALUE"""),"")</f>
        <v/>
      </c>
      <c r="U8803" s="16" t="s">
        <v>87</v>
      </c>
      <c r="V8803" s="16" t="str">
        <f>IFERROR(__xludf.DUMMYFUNCTION("""COMPUTED_VALUE"""),"")</f>
        <v/>
      </c>
      <c r="W8803" s="16" t="str">
        <f>IFERROR(__xludf.DUMMYFUNCTION("""COMPUTED_VALUE"""),"")</f>
        <v/>
      </c>
      <c r="X8803" s="16" t="str">
        <f>IFERROR(__xludf.DUMMYFUNCTION("""COMPUTED_VALUE"""),"")</f>
        <v/>
      </c>
      <c r="AC8803" s="16" t="str">
        <f>IFERROR(__xludf.DUMMYFUNCTION("""COMPUTED_VALUE"""),"")</f>
        <v/>
      </c>
    </row>
    <row r="8804">
      <c r="A8804" s="16" t="s">
        <v>87</v>
      </c>
      <c r="E8804" s="16" t="str">
        <f>IFERROR(__xludf.DUMMYFUNCTION("""COMPUTED_VALUE"""),"")</f>
        <v/>
      </c>
      <c r="G8804" s="18"/>
      <c r="H8804" s="16" t="s">
        <v>87</v>
      </c>
      <c r="I8804" s="16" t="s">
        <v>87</v>
      </c>
      <c r="J8804" s="19"/>
      <c r="L8804" s="16" t="str">
        <f>IFERROR(__xludf.DUMMYFUNCTION("""COMPUTED_VALUE"""),"")</f>
        <v/>
      </c>
      <c r="M8804" s="16" t="str">
        <f>IFERROR(__xludf.DUMMYFUNCTION("""COMPUTED_VALUE"""),"")</f>
        <v/>
      </c>
      <c r="U8804" s="16" t="s">
        <v>87</v>
      </c>
      <c r="V8804" s="16" t="str">
        <f>IFERROR(__xludf.DUMMYFUNCTION("""COMPUTED_VALUE"""),"")</f>
        <v/>
      </c>
      <c r="W8804" s="16" t="str">
        <f>IFERROR(__xludf.DUMMYFUNCTION("""COMPUTED_VALUE"""),"")</f>
        <v/>
      </c>
      <c r="X8804" s="16" t="str">
        <f>IFERROR(__xludf.DUMMYFUNCTION("""COMPUTED_VALUE"""),"")</f>
        <v/>
      </c>
      <c r="AC8804" s="16" t="str">
        <f>IFERROR(__xludf.DUMMYFUNCTION("""COMPUTED_VALUE"""),"")</f>
        <v/>
      </c>
    </row>
    <row r="8805">
      <c r="A8805" s="16" t="s">
        <v>87</v>
      </c>
      <c r="E8805" s="16" t="str">
        <f>IFERROR(__xludf.DUMMYFUNCTION("""COMPUTED_VALUE"""),"")</f>
        <v/>
      </c>
      <c r="G8805" s="18"/>
      <c r="H8805" s="16" t="s">
        <v>87</v>
      </c>
      <c r="I8805" s="16" t="s">
        <v>87</v>
      </c>
      <c r="J8805" s="19"/>
      <c r="L8805" s="16" t="str">
        <f>IFERROR(__xludf.DUMMYFUNCTION("""COMPUTED_VALUE"""),"")</f>
        <v/>
      </c>
      <c r="M8805" s="16" t="str">
        <f>IFERROR(__xludf.DUMMYFUNCTION("""COMPUTED_VALUE"""),"")</f>
        <v/>
      </c>
      <c r="U8805" s="16" t="s">
        <v>87</v>
      </c>
      <c r="V8805" s="16" t="str">
        <f>IFERROR(__xludf.DUMMYFUNCTION("""COMPUTED_VALUE"""),"")</f>
        <v/>
      </c>
      <c r="W8805" s="16" t="str">
        <f>IFERROR(__xludf.DUMMYFUNCTION("""COMPUTED_VALUE"""),"")</f>
        <v/>
      </c>
      <c r="X8805" s="16" t="str">
        <f>IFERROR(__xludf.DUMMYFUNCTION("""COMPUTED_VALUE"""),"")</f>
        <v/>
      </c>
      <c r="AC8805" s="16" t="str">
        <f>IFERROR(__xludf.DUMMYFUNCTION("""COMPUTED_VALUE"""),"")</f>
        <v/>
      </c>
    </row>
    <row r="8806">
      <c r="A8806" s="16" t="s">
        <v>87</v>
      </c>
      <c r="E8806" s="16" t="str">
        <f>IFERROR(__xludf.DUMMYFUNCTION("""COMPUTED_VALUE"""),"")</f>
        <v/>
      </c>
      <c r="G8806" s="18"/>
      <c r="H8806" s="16" t="s">
        <v>87</v>
      </c>
      <c r="I8806" s="16" t="s">
        <v>87</v>
      </c>
      <c r="J8806" s="19"/>
      <c r="L8806" s="16" t="str">
        <f>IFERROR(__xludf.DUMMYFUNCTION("""COMPUTED_VALUE"""),"")</f>
        <v/>
      </c>
      <c r="M8806" s="16" t="str">
        <f>IFERROR(__xludf.DUMMYFUNCTION("""COMPUTED_VALUE"""),"")</f>
        <v/>
      </c>
      <c r="U8806" s="16" t="s">
        <v>87</v>
      </c>
      <c r="V8806" s="16" t="str">
        <f>IFERROR(__xludf.DUMMYFUNCTION("""COMPUTED_VALUE"""),"")</f>
        <v/>
      </c>
      <c r="W8806" s="16" t="str">
        <f>IFERROR(__xludf.DUMMYFUNCTION("""COMPUTED_VALUE"""),"")</f>
        <v/>
      </c>
      <c r="X8806" s="16" t="str">
        <f>IFERROR(__xludf.DUMMYFUNCTION("""COMPUTED_VALUE"""),"")</f>
        <v/>
      </c>
      <c r="AC8806" s="16" t="str">
        <f>IFERROR(__xludf.DUMMYFUNCTION("""COMPUTED_VALUE"""),"")</f>
        <v/>
      </c>
    </row>
    <row r="8807">
      <c r="A8807" s="16" t="s">
        <v>87</v>
      </c>
      <c r="E8807" s="16" t="str">
        <f>IFERROR(__xludf.DUMMYFUNCTION("""COMPUTED_VALUE"""),"")</f>
        <v/>
      </c>
      <c r="G8807" s="18"/>
      <c r="H8807" s="16" t="s">
        <v>87</v>
      </c>
      <c r="I8807" s="16" t="s">
        <v>87</v>
      </c>
      <c r="J8807" s="19"/>
      <c r="L8807" s="16" t="str">
        <f>IFERROR(__xludf.DUMMYFUNCTION("""COMPUTED_VALUE"""),"")</f>
        <v/>
      </c>
      <c r="M8807" s="16" t="str">
        <f>IFERROR(__xludf.DUMMYFUNCTION("""COMPUTED_VALUE"""),"")</f>
        <v/>
      </c>
      <c r="U8807" s="16" t="s">
        <v>87</v>
      </c>
      <c r="V8807" s="16" t="str">
        <f>IFERROR(__xludf.DUMMYFUNCTION("""COMPUTED_VALUE"""),"")</f>
        <v/>
      </c>
      <c r="W8807" s="16" t="str">
        <f>IFERROR(__xludf.DUMMYFUNCTION("""COMPUTED_VALUE"""),"")</f>
        <v/>
      </c>
      <c r="X8807" s="16" t="str">
        <f>IFERROR(__xludf.DUMMYFUNCTION("""COMPUTED_VALUE"""),"")</f>
        <v/>
      </c>
      <c r="AC8807" s="16" t="str">
        <f>IFERROR(__xludf.DUMMYFUNCTION("""COMPUTED_VALUE"""),"")</f>
        <v/>
      </c>
    </row>
    <row r="8808">
      <c r="A8808" s="16" t="s">
        <v>87</v>
      </c>
      <c r="E8808" s="16" t="str">
        <f>IFERROR(__xludf.DUMMYFUNCTION("""COMPUTED_VALUE"""),"")</f>
        <v/>
      </c>
      <c r="G8808" s="18"/>
      <c r="H8808" s="16" t="s">
        <v>87</v>
      </c>
      <c r="I8808" s="16" t="s">
        <v>87</v>
      </c>
      <c r="J8808" s="19"/>
      <c r="L8808" s="16" t="str">
        <f>IFERROR(__xludf.DUMMYFUNCTION("""COMPUTED_VALUE"""),"")</f>
        <v/>
      </c>
      <c r="M8808" s="16" t="str">
        <f>IFERROR(__xludf.DUMMYFUNCTION("""COMPUTED_VALUE"""),"")</f>
        <v/>
      </c>
      <c r="U8808" s="16" t="s">
        <v>87</v>
      </c>
      <c r="V8808" s="16" t="str">
        <f>IFERROR(__xludf.DUMMYFUNCTION("""COMPUTED_VALUE"""),"")</f>
        <v/>
      </c>
      <c r="W8808" s="16" t="str">
        <f>IFERROR(__xludf.DUMMYFUNCTION("""COMPUTED_VALUE"""),"")</f>
        <v/>
      </c>
      <c r="X8808" s="16" t="str">
        <f>IFERROR(__xludf.DUMMYFUNCTION("""COMPUTED_VALUE"""),"")</f>
        <v/>
      </c>
      <c r="AC8808" s="16" t="str">
        <f>IFERROR(__xludf.DUMMYFUNCTION("""COMPUTED_VALUE"""),"")</f>
        <v/>
      </c>
    </row>
    <row r="8809">
      <c r="A8809" s="16" t="s">
        <v>87</v>
      </c>
      <c r="E8809" s="16" t="str">
        <f>IFERROR(__xludf.DUMMYFUNCTION("""COMPUTED_VALUE"""),"")</f>
        <v/>
      </c>
      <c r="G8809" s="18"/>
      <c r="H8809" s="16" t="s">
        <v>87</v>
      </c>
      <c r="I8809" s="16" t="s">
        <v>87</v>
      </c>
      <c r="J8809" s="19"/>
      <c r="L8809" s="16" t="str">
        <f>IFERROR(__xludf.DUMMYFUNCTION("""COMPUTED_VALUE"""),"")</f>
        <v/>
      </c>
      <c r="M8809" s="16" t="str">
        <f>IFERROR(__xludf.DUMMYFUNCTION("""COMPUTED_VALUE"""),"")</f>
        <v/>
      </c>
      <c r="U8809" s="16" t="s">
        <v>87</v>
      </c>
      <c r="V8809" s="16" t="str">
        <f>IFERROR(__xludf.DUMMYFUNCTION("""COMPUTED_VALUE"""),"")</f>
        <v/>
      </c>
      <c r="W8809" s="16" t="str">
        <f>IFERROR(__xludf.DUMMYFUNCTION("""COMPUTED_VALUE"""),"")</f>
        <v/>
      </c>
      <c r="X8809" s="16" t="str">
        <f>IFERROR(__xludf.DUMMYFUNCTION("""COMPUTED_VALUE"""),"")</f>
        <v/>
      </c>
      <c r="AC8809" s="16" t="str">
        <f>IFERROR(__xludf.DUMMYFUNCTION("""COMPUTED_VALUE"""),"")</f>
        <v/>
      </c>
    </row>
    <row r="8810">
      <c r="A8810" s="16" t="s">
        <v>87</v>
      </c>
      <c r="E8810" s="16" t="str">
        <f>IFERROR(__xludf.DUMMYFUNCTION("""COMPUTED_VALUE"""),"")</f>
        <v/>
      </c>
      <c r="G8810" s="18"/>
      <c r="H8810" s="16" t="s">
        <v>87</v>
      </c>
      <c r="I8810" s="16" t="s">
        <v>87</v>
      </c>
      <c r="J8810" s="19"/>
      <c r="L8810" s="16" t="str">
        <f>IFERROR(__xludf.DUMMYFUNCTION("""COMPUTED_VALUE"""),"")</f>
        <v/>
      </c>
      <c r="M8810" s="16" t="str">
        <f>IFERROR(__xludf.DUMMYFUNCTION("""COMPUTED_VALUE"""),"")</f>
        <v/>
      </c>
      <c r="U8810" s="16" t="s">
        <v>87</v>
      </c>
      <c r="V8810" s="16" t="str">
        <f>IFERROR(__xludf.DUMMYFUNCTION("""COMPUTED_VALUE"""),"")</f>
        <v/>
      </c>
      <c r="W8810" s="16" t="str">
        <f>IFERROR(__xludf.DUMMYFUNCTION("""COMPUTED_VALUE"""),"")</f>
        <v/>
      </c>
      <c r="X8810" s="16" t="str">
        <f>IFERROR(__xludf.DUMMYFUNCTION("""COMPUTED_VALUE"""),"")</f>
        <v/>
      </c>
      <c r="AC8810" s="16" t="str">
        <f>IFERROR(__xludf.DUMMYFUNCTION("""COMPUTED_VALUE"""),"")</f>
        <v/>
      </c>
    </row>
    <row r="8811">
      <c r="A8811" s="16" t="s">
        <v>87</v>
      </c>
      <c r="E8811" s="16" t="str">
        <f>IFERROR(__xludf.DUMMYFUNCTION("""COMPUTED_VALUE"""),"")</f>
        <v/>
      </c>
      <c r="G8811" s="18"/>
      <c r="H8811" s="16" t="s">
        <v>87</v>
      </c>
      <c r="I8811" s="16" t="s">
        <v>87</v>
      </c>
      <c r="J8811" s="19"/>
      <c r="L8811" s="16" t="str">
        <f>IFERROR(__xludf.DUMMYFUNCTION("""COMPUTED_VALUE"""),"")</f>
        <v/>
      </c>
      <c r="M8811" s="16" t="str">
        <f>IFERROR(__xludf.DUMMYFUNCTION("""COMPUTED_VALUE"""),"")</f>
        <v/>
      </c>
      <c r="U8811" s="16" t="s">
        <v>87</v>
      </c>
      <c r="V8811" s="16" t="str">
        <f>IFERROR(__xludf.DUMMYFUNCTION("""COMPUTED_VALUE"""),"")</f>
        <v/>
      </c>
      <c r="W8811" s="16" t="str">
        <f>IFERROR(__xludf.DUMMYFUNCTION("""COMPUTED_VALUE"""),"")</f>
        <v/>
      </c>
      <c r="X8811" s="16" t="str">
        <f>IFERROR(__xludf.DUMMYFUNCTION("""COMPUTED_VALUE"""),"")</f>
        <v/>
      </c>
      <c r="AC8811" s="16" t="str">
        <f>IFERROR(__xludf.DUMMYFUNCTION("""COMPUTED_VALUE"""),"")</f>
        <v/>
      </c>
    </row>
    <row r="8812">
      <c r="A8812" s="16" t="s">
        <v>87</v>
      </c>
      <c r="E8812" s="16" t="str">
        <f>IFERROR(__xludf.DUMMYFUNCTION("""COMPUTED_VALUE"""),"")</f>
        <v/>
      </c>
      <c r="G8812" s="18"/>
      <c r="H8812" s="16" t="s">
        <v>87</v>
      </c>
      <c r="I8812" s="16" t="s">
        <v>87</v>
      </c>
      <c r="J8812" s="19"/>
      <c r="L8812" s="16" t="str">
        <f>IFERROR(__xludf.DUMMYFUNCTION("""COMPUTED_VALUE"""),"")</f>
        <v/>
      </c>
      <c r="M8812" s="16" t="str">
        <f>IFERROR(__xludf.DUMMYFUNCTION("""COMPUTED_VALUE"""),"")</f>
        <v/>
      </c>
      <c r="U8812" s="16" t="s">
        <v>87</v>
      </c>
      <c r="V8812" s="16" t="str">
        <f>IFERROR(__xludf.DUMMYFUNCTION("""COMPUTED_VALUE"""),"")</f>
        <v/>
      </c>
      <c r="W8812" s="16" t="str">
        <f>IFERROR(__xludf.DUMMYFUNCTION("""COMPUTED_VALUE"""),"")</f>
        <v/>
      </c>
      <c r="X8812" s="16" t="str">
        <f>IFERROR(__xludf.DUMMYFUNCTION("""COMPUTED_VALUE"""),"")</f>
        <v/>
      </c>
      <c r="AC8812" s="16" t="str">
        <f>IFERROR(__xludf.DUMMYFUNCTION("""COMPUTED_VALUE"""),"")</f>
        <v/>
      </c>
    </row>
    <row r="8813">
      <c r="A8813" s="16" t="s">
        <v>87</v>
      </c>
      <c r="E8813" s="16" t="str">
        <f>IFERROR(__xludf.DUMMYFUNCTION("""COMPUTED_VALUE"""),"")</f>
        <v/>
      </c>
      <c r="G8813" s="18"/>
      <c r="H8813" s="16" t="s">
        <v>87</v>
      </c>
      <c r="I8813" s="16" t="s">
        <v>87</v>
      </c>
      <c r="J8813" s="19"/>
      <c r="L8813" s="16" t="str">
        <f>IFERROR(__xludf.DUMMYFUNCTION("""COMPUTED_VALUE"""),"")</f>
        <v/>
      </c>
      <c r="M8813" s="16" t="str">
        <f>IFERROR(__xludf.DUMMYFUNCTION("""COMPUTED_VALUE"""),"")</f>
        <v/>
      </c>
      <c r="U8813" s="16" t="s">
        <v>87</v>
      </c>
      <c r="V8813" s="16" t="str">
        <f>IFERROR(__xludf.DUMMYFUNCTION("""COMPUTED_VALUE"""),"")</f>
        <v/>
      </c>
      <c r="W8813" s="16" t="str">
        <f>IFERROR(__xludf.DUMMYFUNCTION("""COMPUTED_VALUE"""),"")</f>
        <v/>
      </c>
      <c r="X8813" s="16" t="str">
        <f>IFERROR(__xludf.DUMMYFUNCTION("""COMPUTED_VALUE"""),"")</f>
        <v/>
      </c>
      <c r="AC8813" s="16" t="str">
        <f>IFERROR(__xludf.DUMMYFUNCTION("""COMPUTED_VALUE"""),"")</f>
        <v/>
      </c>
    </row>
    <row r="8814">
      <c r="A8814" s="16" t="s">
        <v>87</v>
      </c>
      <c r="E8814" s="16" t="str">
        <f>IFERROR(__xludf.DUMMYFUNCTION("""COMPUTED_VALUE"""),"")</f>
        <v/>
      </c>
      <c r="G8814" s="18"/>
      <c r="H8814" s="16" t="s">
        <v>87</v>
      </c>
      <c r="I8814" s="16" t="s">
        <v>87</v>
      </c>
      <c r="J8814" s="19"/>
      <c r="L8814" s="16" t="str">
        <f>IFERROR(__xludf.DUMMYFUNCTION("""COMPUTED_VALUE"""),"")</f>
        <v/>
      </c>
      <c r="M8814" s="16" t="str">
        <f>IFERROR(__xludf.DUMMYFUNCTION("""COMPUTED_VALUE"""),"")</f>
        <v/>
      </c>
      <c r="U8814" s="16" t="s">
        <v>87</v>
      </c>
      <c r="V8814" s="16" t="str">
        <f>IFERROR(__xludf.DUMMYFUNCTION("""COMPUTED_VALUE"""),"")</f>
        <v/>
      </c>
      <c r="W8814" s="16" t="str">
        <f>IFERROR(__xludf.DUMMYFUNCTION("""COMPUTED_VALUE"""),"")</f>
        <v/>
      </c>
      <c r="X8814" s="16" t="str">
        <f>IFERROR(__xludf.DUMMYFUNCTION("""COMPUTED_VALUE"""),"")</f>
        <v/>
      </c>
      <c r="AC8814" s="16" t="str">
        <f>IFERROR(__xludf.DUMMYFUNCTION("""COMPUTED_VALUE"""),"")</f>
        <v/>
      </c>
    </row>
    <row r="8815">
      <c r="A8815" s="16" t="s">
        <v>87</v>
      </c>
      <c r="E8815" s="16" t="str">
        <f>IFERROR(__xludf.DUMMYFUNCTION("""COMPUTED_VALUE"""),"")</f>
        <v/>
      </c>
      <c r="G8815" s="18"/>
      <c r="H8815" s="16" t="s">
        <v>87</v>
      </c>
      <c r="I8815" s="16" t="s">
        <v>87</v>
      </c>
      <c r="J8815" s="19"/>
      <c r="L8815" s="16" t="str">
        <f>IFERROR(__xludf.DUMMYFUNCTION("""COMPUTED_VALUE"""),"")</f>
        <v/>
      </c>
      <c r="M8815" s="16" t="str">
        <f>IFERROR(__xludf.DUMMYFUNCTION("""COMPUTED_VALUE"""),"")</f>
        <v/>
      </c>
      <c r="U8815" s="16" t="s">
        <v>87</v>
      </c>
      <c r="V8815" s="16" t="str">
        <f>IFERROR(__xludf.DUMMYFUNCTION("""COMPUTED_VALUE"""),"")</f>
        <v/>
      </c>
      <c r="W8815" s="16" t="str">
        <f>IFERROR(__xludf.DUMMYFUNCTION("""COMPUTED_VALUE"""),"")</f>
        <v/>
      </c>
      <c r="X8815" s="16" t="str">
        <f>IFERROR(__xludf.DUMMYFUNCTION("""COMPUTED_VALUE"""),"")</f>
        <v/>
      </c>
      <c r="AC8815" s="16" t="str">
        <f>IFERROR(__xludf.DUMMYFUNCTION("""COMPUTED_VALUE"""),"")</f>
        <v/>
      </c>
    </row>
    <row r="8816">
      <c r="A8816" s="16" t="s">
        <v>87</v>
      </c>
      <c r="E8816" s="16" t="str">
        <f>IFERROR(__xludf.DUMMYFUNCTION("""COMPUTED_VALUE"""),"")</f>
        <v/>
      </c>
      <c r="G8816" s="18"/>
      <c r="H8816" s="16" t="s">
        <v>87</v>
      </c>
      <c r="I8816" s="16" t="s">
        <v>87</v>
      </c>
      <c r="J8816" s="19"/>
      <c r="L8816" s="16" t="str">
        <f>IFERROR(__xludf.DUMMYFUNCTION("""COMPUTED_VALUE"""),"")</f>
        <v/>
      </c>
      <c r="M8816" s="16" t="str">
        <f>IFERROR(__xludf.DUMMYFUNCTION("""COMPUTED_VALUE"""),"")</f>
        <v/>
      </c>
      <c r="U8816" s="16" t="s">
        <v>87</v>
      </c>
      <c r="V8816" s="16" t="str">
        <f>IFERROR(__xludf.DUMMYFUNCTION("""COMPUTED_VALUE"""),"")</f>
        <v/>
      </c>
      <c r="W8816" s="16" t="str">
        <f>IFERROR(__xludf.DUMMYFUNCTION("""COMPUTED_VALUE"""),"")</f>
        <v/>
      </c>
      <c r="X8816" s="16" t="str">
        <f>IFERROR(__xludf.DUMMYFUNCTION("""COMPUTED_VALUE"""),"")</f>
        <v/>
      </c>
      <c r="AC8816" s="16" t="str">
        <f>IFERROR(__xludf.DUMMYFUNCTION("""COMPUTED_VALUE"""),"")</f>
        <v/>
      </c>
    </row>
    <row r="8817">
      <c r="A8817" s="16" t="s">
        <v>87</v>
      </c>
      <c r="E8817" s="16" t="str">
        <f>IFERROR(__xludf.DUMMYFUNCTION("""COMPUTED_VALUE"""),"")</f>
        <v/>
      </c>
      <c r="G8817" s="18"/>
      <c r="H8817" s="16" t="s">
        <v>87</v>
      </c>
      <c r="I8817" s="16" t="s">
        <v>87</v>
      </c>
      <c r="J8817" s="19"/>
      <c r="L8817" s="16" t="str">
        <f>IFERROR(__xludf.DUMMYFUNCTION("""COMPUTED_VALUE"""),"")</f>
        <v/>
      </c>
      <c r="M8817" s="16" t="str">
        <f>IFERROR(__xludf.DUMMYFUNCTION("""COMPUTED_VALUE"""),"")</f>
        <v/>
      </c>
      <c r="U8817" s="16" t="s">
        <v>87</v>
      </c>
      <c r="V8817" s="16" t="str">
        <f>IFERROR(__xludf.DUMMYFUNCTION("""COMPUTED_VALUE"""),"")</f>
        <v/>
      </c>
      <c r="W8817" s="16" t="str">
        <f>IFERROR(__xludf.DUMMYFUNCTION("""COMPUTED_VALUE"""),"")</f>
        <v/>
      </c>
      <c r="X8817" s="16" t="str">
        <f>IFERROR(__xludf.DUMMYFUNCTION("""COMPUTED_VALUE"""),"")</f>
        <v/>
      </c>
      <c r="AC8817" s="16" t="str">
        <f>IFERROR(__xludf.DUMMYFUNCTION("""COMPUTED_VALUE"""),"")</f>
        <v/>
      </c>
    </row>
    <row r="8818">
      <c r="A8818" s="16" t="s">
        <v>87</v>
      </c>
      <c r="E8818" s="16" t="str">
        <f>IFERROR(__xludf.DUMMYFUNCTION("""COMPUTED_VALUE"""),"")</f>
        <v/>
      </c>
      <c r="G8818" s="18"/>
      <c r="H8818" s="16" t="s">
        <v>87</v>
      </c>
      <c r="I8818" s="16" t="s">
        <v>87</v>
      </c>
      <c r="J8818" s="19"/>
      <c r="L8818" s="16" t="str">
        <f>IFERROR(__xludf.DUMMYFUNCTION("""COMPUTED_VALUE"""),"")</f>
        <v/>
      </c>
      <c r="M8818" s="16" t="str">
        <f>IFERROR(__xludf.DUMMYFUNCTION("""COMPUTED_VALUE"""),"")</f>
        <v/>
      </c>
      <c r="U8818" s="16" t="s">
        <v>87</v>
      </c>
      <c r="V8818" s="16" t="str">
        <f>IFERROR(__xludf.DUMMYFUNCTION("""COMPUTED_VALUE"""),"")</f>
        <v/>
      </c>
      <c r="W8818" s="16" t="str">
        <f>IFERROR(__xludf.DUMMYFUNCTION("""COMPUTED_VALUE"""),"")</f>
        <v/>
      </c>
      <c r="X8818" s="16" t="str">
        <f>IFERROR(__xludf.DUMMYFUNCTION("""COMPUTED_VALUE"""),"")</f>
        <v/>
      </c>
      <c r="AC8818" s="16" t="str">
        <f>IFERROR(__xludf.DUMMYFUNCTION("""COMPUTED_VALUE"""),"")</f>
        <v/>
      </c>
    </row>
    <row r="8819">
      <c r="A8819" s="16" t="s">
        <v>87</v>
      </c>
      <c r="E8819" s="16" t="str">
        <f>IFERROR(__xludf.DUMMYFUNCTION("""COMPUTED_VALUE"""),"")</f>
        <v/>
      </c>
      <c r="G8819" s="18"/>
      <c r="H8819" s="16" t="s">
        <v>87</v>
      </c>
      <c r="I8819" s="16" t="s">
        <v>87</v>
      </c>
      <c r="J8819" s="19"/>
      <c r="L8819" s="16" t="str">
        <f>IFERROR(__xludf.DUMMYFUNCTION("""COMPUTED_VALUE"""),"")</f>
        <v/>
      </c>
      <c r="M8819" s="16" t="str">
        <f>IFERROR(__xludf.DUMMYFUNCTION("""COMPUTED_VALUE"""),"")</f>
        <v/>
      </c>
      <c r="U8819" s="16" t="s">
        <v>87</v>
      </c>
      <c r="V8819" s="16" t="str">
        <f>IFERROR(__xludf.DUMMYFUNCTION("""COMPUTED_VALUE"""),"")</f>
        <v/>
      </c>
      <c r="W8819" s="16" t="str">
        <f>IFERROR(__xludf.DUMMYFUNCTION("""COMPUTED_VALUE"""),"")</f>
        <v/>
      </c>
      <c r="X8819" s="16" t="str">
        <f>IFERROR(__xludf.DUMMYFUNCTION("""COMPUTED_VALUE"""),"")</f>
        <v/>
      </c>
      <c r="AC8819" s="16" t="str">
        <f>IFERROR(__xludf.DUMMYFUNCTION("""COMPUTED_VALUE"""),"")</f>
        <v/>
      </c>
    </row>
    <row r="8820">
      <c r="A8820" s="16" t="s">
        <v>87</v>
      </c>
      <c r="E8820" s="16" t="str">
        <f>IFERROR(__xludf.DUMMYFUNCTION("""COMPUTED_VALUE"""),"")</f>
        <v/>
      </c>
      <c r="G8820" s="18"/>
      <c r="H8820" s="16" t="s">
        <v>87</v>
      </c>
      <c r="I8820" s="16" t="s">
        <v>87</v>
      </c>
      <c r="J8820" s="19"/>
      <c r="L8820" s="16" t="str">
        <f>IFERROR(__xludf.DUMMYFUNCTION("""COMPUTED_VALUE"""),"")</f>
        <v/>
      </c>
      <c r="M8820" s="16" t="str">
        <f>IFERROR(__xludf.DUMMYFUNCTION("""COMPUTED_VALUE"""),"")</f>
        <v/>
      </c>
      <c r="U8820" s="16" t="s">
        <v>87</v>
      </c>
      <c r="V8820" s="16" t="str">
        <f>IFERROR(__xludf.DUMMYFUNCTION("""COMPUTED_VALUE"""),"")</f>
        <v/>
      </c>
      <c r="W8820" s="16" t="str">
        <f>IFERROR(__xludf.DUMMYFUNCTION("""COMPUTED_VALUE"""),"")</f>
        <v/>
      </c>
      <c r="X8820" s="16" t="str">
        <f>IFERROR(__xludf.DUMMYFUNCTION("""COMPUTED_VALUE"""),"")</f>
        <v/>
      </c>
      <c r="AC8820" s="16" t="str">
        <f>IFERROR(__xludf.DUMMYFUNCTION("""COMPUTED_VALUE"""),"")</f>
        <v/>
      </c>
    </row>
    <row r="8821">
      <c r="A8821" s="16" t="s">
        <v>87</v>
      </c>
      <c r="E8821" s="16" t="str">
        <f>IFERROR(__xludf.DUMMYFUNCTION("""COMPUTED_VALUE"""),"")</f>
        <v/>
      </c>
      <c r="G8821" s="18"/>
      <c r="H8821" s="16" t="s">
        <v>87</v>
      </c>
      <c r="I8821" s="16" t="s">
        <v>87</v>
      </c>
      <c r="J8821" s="19"/>
      <c r="L8821" s="16" t="str">
        <f>IFERROR(__xludf.DUMMYFUNCTION("""COMPUTED_VALUE"""),"")</f>
        <v/>
      </c>
      <c r="M8821" s="16" t="str">
        <f>IFERROR(__xludf.DUMMYFUNCTION("""COMPUTED_VALUE"""),"")</f>
        <v/>
      </c>
      <c r="U8821" s="16" t="s">
        <v>87</v>
      </c>
      <c r="V8821" s="16" t="str">
        <f>IFERROR(__xludf.DUMMYFUNCTION("""COMPUTED_VALUE"""),"")</f>
        <v/>
      </c>
      <c r="W8821" s="16" t="str">
        <f>IFERROR(__xludf.DUMMYFUNCTION("""COMPUTED_VALUE"""),"")</f>
        <v/>
      </c>
      <c r="X8821" s="16" t="str">
        <f>IFERROR(__xludf.DUMMYFUNCTION("""COMPUTED_VALUE"""),"")</f>
        <v/>
      </c>
      <c r="AC8821" s="16" t="str">
        <f>IFERROR(__xludf.DUMMYFUNCTION("""COMPUTED_VALUE"""),"")</f>
        <v/>
      </c>
    </row>
    <row r="8822">
      <c r="A8822" s="16" t="s">
        <v>87</v>
      </c>
      <c r="E8822" s="16" t="str">
        <f>IFERROR(__xludf.DUMMYFUNCTION("""COMPUTED_VALUE"""),"")</f>
        <v/>
      </c>
      <c r="G8822" s="18"/>
      <c r="H8822" s="16" t="s">
        <v>87</v>
      </c>
      <c r="I8822" s="16" t="s">
        <v>87</v>
      </c>
      <c r="J8822" s="19"/>
      <c r="L8822" s="16" t="str">
        <f>IFERROR(__xludf.DUMMYFUNCTION("""COMPUTED_VALUE"""),"")</f>
        <v/>
      </c>
      <c r="M8822" s="16" t="str">
        <f>IFERROR(__xludf.DUMMYFUNCTION("""COMPUTED_VALUE"""),"")</f>
        <v/>
      </c>
      <c r="U8822" s="16" t="s">
        <v>87</v>
      </c>
      <c r="V8822" s="16" t="str">
        <f>IFERROR(__xludf.DUMMYFUNCTION("""COMPUTED_VALUE"""),"")</f>
        <v/>
      </c>
      <c r="W8822" s="16" t="str">
        <f>IFERROR(__xludf.DUMMYFUNCTION("""COMPUTED_VALUE"""),"")</f>
        <v/>
      </c>
      <c r="X8822" s="16" t="str">
        <f>IFERROR(__xludf.DUMMYFUNCTION("""COMPUTED_VALUE"""),"")</f>
        <v/>
      </c>
      <c r="AC8822" s="16" t="str">
        <f>IFERROR(__xludf.DUMMYFUNCTION("""COMPUTED_VALUE"""),"")</f>
        <v/>
      </c>
    </row>
    <row r="8823">
      <c r="A8823" s="16" t="s">
        <v>87</v>
      </c>
      <c r="E8823" s="16" t="str">
        <f>IFERROR(__xludf.DUMMYFUNCTION("""COMPUTED_VALUE"""),"")</f>
        <v/>
      </c>
      <c r="G8823" s="18"/>
      <c r="H8823" s="16" t="s">
        <v>87</v>
      </c>
      <c r="I8823" s="16" t="s">
        <v>87</v>
      </c>
      <c r="J8823" s="19"/>
      <c r="L8823" s="16" t="str">
        <f>IFERROR(__xludf.DUMMYFUNCTION("""COMPUTED_VALUE"""),"")</f>
        <v/>
      </c>
      <c r="M8823" s="16" t="str">
        <f>IFERROR(__xludf.DUMMYFUNCTION("""COMPUTED_VALUE"""),"")</f>
        <v/>
      </c>
      <c r="U8823" s="16" t="s">
        <v>87</v>
      </c>
      <c r="V8823" s="16" t="str">
        <f>IFERROR(__xludf.DUMMYFUNCTION("""COMPUTED_VALUE"""),"")</f>
        <v/>
      </c>
      <c r="W8823" s="16" t="str">
        <f>IFERROR(__xludf.DUMMYFUNCTION("""COMPUTED_VALUE"""),"")</f>
        <v/>
      </c>
      <c r="X8823" s="16" t="str">
        <f>IFERROR(__xludf.DUMMYFUNCTION("""COMPUTED_VALUE"""),"")</f>
        <v/>
      </c>
      <c r="AC8823" s="16" t="str">
        <f>IFERROR(__xludf.DUMMYFUNCTION("""COMPUTED_VALUE"""),"")</f>
        <v/>
      </c>
    </row>
    <row r="8824">
      <c r="A8824" s="16" t="s">
        <v>87</v>
      </c>
      <c r="E8824" s="16" t="str">
        <f>IFERROR(__xludf.DUMMYFUNCTION("""COMPUTED_VALUE"""),"")</f>
        <v/>
      </c>
      <c r="G8824" s="18"/>
      <c r="H8824" s="16" t="s">
        <v>87</v>
      </c>
      <c r="I8824" s="16" t="s">
        <v>87</v>
      </c>
      <c r="J8824" s="19"/>
      <c r="L8824" s="16" t="str">
        <f>IFERROR(__xludf.DUMMYFUNCTION("""COMPUTED_VALUE"""),"")</f>
        <v/>
      </c>
      <c r="M8824" s="16" t="str">
        <f>IFERROR(__xludf.DUMMYFUNCTION("""COMPUTED_VALUE"""),"")</f>
        <v/>
      </c>
      <c r="U8824" s="16" t="s">
        <v>87</v>
      </c>
      <c r="V8824" s="16" t="str">
        <f>IFERROR(__xludf.DUMMYFUNCTION("""COMPUTED_VALUE"""),"")</f>
        <v/>
      </c>
      <c r="W8824" s="16" t="str">
        <f>IFERROR(__xludf.DUMMYFUNCTION("""COMPUTED_VALUE"""),"")</f>
        <v/>
      </c>
      <c r="X8824" s="16" t="str">
        <f>IFERROR(__xludf.DUMMYFUNCTION("""COMPUTED_VALUE"""),"")</f>
        <v/>
      </c>
      <c r="AC8824" s="16" t="str">
        <f>IFERROR(__xludf.DUMMYFUNCTION("""COMPUTED_VALUE"""),"")</f>
        <v/>
      </c>
    </row>
    <row r="8825">
      <c r="A8825" s="16" t="s">
        <v>87</v>
      </c>
      <c r="E8825" s="16" t="str">
        <f>IFERROR(__xludf.DUMMYFUNCTION("""COMPUTED_VALUE"""),"")</f>
        <v/>
      </c>
      <c r="G8825" s="18"/>
      <c r="H8825" s="16" t="s">
        <v>87</v>
      </c>
      <c r="I8825" s="16" t="s">
        <v>87</v>
      </c>
      <c r="J8825" s="19"/>
      <c r="L8825" s="16" t="str">
        <f>IFERROR(__xludf.DUMMYFUNCTION("""COMPUTED_VALUE"""),"")</f>
        <v/>
      </c>
      <c r="M8825" s="16" t="str">
        <f>IFERROR(__xludf.DUMMYFUNCTION("""COMPUTED_VALUE"""),"")</f>
        <v/>
      </c>
      <c r="U8825" s="16" t="s">
        <v>87</v>
      </c>
      <c r="V8825" s="16" t="str">
        <f>IFERROR(__xludf.DUMMYFUNCTION("""COMPUTED_VALUE"""),"")</f>
        <v/>
      </c>
      <c r="W8825" s="16" t="str">
        <f>IFERROR(__xludf.DUMMYFUNCTION("""COMPUTED_VALUE"""),"")</f>
        <v/>
      </c>
      <c r="X8825" s="16" t="str">
        <f>IFERROR(__xludf.DUMMYFUNCTION("""COMPUTED_VALUE"""),"")</f>
        <v/>
      </c>
      <c r="AC8825" s="16" t="str">
        <f>IFERROR(__xludf.DUMMYFUNCTION("""COMPUTED_VALUE"""),"")</f>
        <v/>
      </c>
    </row>
    <row r="8826">
      <c r="A8826" s="16" t="s">
        <v>87</v>
      </c>
      <c r="E8826" s="16" t="str">
        <f>IFERROR(__xludf.DUMMYFUNCTION("""COMPUTED_VALUE"""),"")</f>
        <v/>
      </c>
      <c r="G8826" s="18"/>
      <c r="H8826" s="16" t="s">
        <v>87</v>
      </c>
      <c r="I8826" s="16" t="s">
        <v>87</v>
      </c>
      <c r="J8826" s="19"/>
      <c r="L8826" s="16" t="str">
        <f>IFERROR(__xludf.DUMMYFUNCTION("""COMPUTED_VALUE"""),"")</f>
        <v/>
      </c>
      <c r="M8826" s="16" t="str">
        <f>IFERROR(__xludf.DUMMYFUNCTION("""COMPUTED_VALUE"""),"")</f>
        <v/>
      </c>
      <c r="U8826" s="16" t="s">
        <v>87</v>
      </c>
      <c r="V8826" s="16" t="str">
        <f>IFERROR(__xludf.DUMMYFUNCTION("""COMPUTED_VALUE"""),"")</f>
        <v/>
      </c>
      <c r="W8826" s="16" t="str">
        <f>IFERROR(__xludf.DUMMYFUNCTION("""COMPUTED_VALUE"""),"")</f>
        <v/>
      </c>
      <c r="X8826" s="16" t="str">
        <f>IFERROR(__xludf.DUMMYFUNCTION("""COMPUTED_VALUE"""),"")</f>
        <v/>
      </c>
      <c r="AC8826" s="16" t="str">
        <f>IFERROR(__xludf.DUMMYFUNCTION("""COMPUTED_VALUE"""),"")</f>
        <v/>
      </c>
    </row>
    <row r="8827">
      <c r="A8827" s="16" t="s">
        <v>87</v>
      </c>
      <c r="E8827" s="16" t="str">
        <f>IFERROR(__xludf.DUMMYFUNCTION("""COMPUTED_VALUE"""),"")</f>
        <v/>
      </c>
      <c r="G8827" s="18"/>
      <c r="H8827" s="16" t="s">
        <v>87</v>
      </c>
      <c r="I8827" s="16" t="s">
        <v>87</v>
      </c>
      <c r="J8827" s="19"/>
      <c r="L8827" s="16" t="str">
        <f>IFERROR(__xludf.DUMMYFUNCTION("""COMPUTED_VALUE"""),"")</f>
        <v/>
      </c>
      <c r="M8827" s="16" t="str">
        <f>IFERROR(__xludf.DUMMYFUNCTION("""COMPUTED_VALUE"""),"")</f>
        <v/>
      </c>
      <c r="U8827" s="16" t="s">
        <v>87</v>
      </c>
      <c r="V8827" s="16" t="str">
        <f>IFERROR(__xludf.DUMMYFUNCTION("""COMPUTED_VALUE"""),"")</f>
        <v/>
      </c>
      <c r="W8827" s="16" t="str">
        <f>IFERROR(__xludf.DUMMYFUNCTION("""COMPUTED_VALUE"""),"")</f>
        <v/>
      </c>
      <c r="X8827" s="16" t="str">
        <f>IFERROR(__xludf.DUMMYFUNCTION("""COMPUTED_VALUE"""),"")</f>
        <v/>
      </c>
      <c r="AC8827" s="16" t="str">
        <f>IFERROR(__xludf.DUMMYFUNCTION("""COMPUTED_VALUE"""),"")</f>
        <v/>
      </c>
    </row>
    <row r="8828">
      <c r="A8828" s="16" t="s">
        <v>87</v>
      </c>
      <c r="E8828" s="16" t="str">
        <f>IFERROR(__xludf.DUMMYFUNCTION("""COMPUTED_VALUE"""),"")</f>
        <v/>
      </c>
      <c r="G8828" s="18"/>
      <c r="H8828" s="16" t="s">
        <v>87</v>
      </c>
      <c r="I8828" s="16" t="s">
        <v>87</v>
      </c>
      <c r="J8828" s="19"/>
      <c r="L8828" s="16" t="str">
        <f>IFERROR(__xludf.DUMMYFUNCTION("""COMPUTED_VALUE"""),"")</f>
        <v/>
      </c>
      <c r="M8828" s="16" t="str">
        <f>IFERROR(__xludf.DUMMYFUNCTION("""COMPUTED_VALUE"""),"")</f>
        <v/>
      </c>
      <c r="U8828" s="16" t="s">
        <v>87</v>
      </c>
      <c r="V8828" s="16" t="str">
        <f>IFERROR(__xludf.DUMMYFUNCTION("""COMPUTED_VALUE"""),"")</f>
        <v/>
      </c>
      <c r="W8828" s="16" t="str">
        <f>IFERROR(__xludf.DUMMYFUNCTION("""COMPUTED_VALUE"""),"")</f>
        <v/>
      </c>
      <c r="X8828" s="16" t="str">
        <f>IFERROR(__xludf.DUMMYFUNCTION("""COMPUTED_VALUE"""),"")</f>
        <v/>
      </c>
      <c r="AC8828" s="16" t="str">
        <f>IFERROR(__xludf.DUMMYFUNCTION("""COMPUTED_VALUE"""),"")</f>
        <v/>
      </c>
    </row>
    <row r="8829">
      <c r="A8829" s="16" t="s">
        <v>87</v>
      </c>
      <c r="E8829" s="16" t="str">
        <f>IFERROR(__xludf.DUMMYFUNCTION("""COMPUTED_VALUE"""),"")</f>
        <v/>
      </c>
      <c r="G8829" s="18"/>
      <c r="H8829" s="16" t="s">
        <v>87</v>
      </c>
      <c r="I8829" s="16" t="s">
        <v>87</v>
      </c>
      <c r="J8829" s="19"/>
      <c r="L8829" s="16" t="str">
        <f>IFERROR(__xludf.DUMMYFUNCTION("""COMPUTED_VALUE"""),"")</f>
        <v/>
      </c>
      <c r="M8829" s="16" t="str">
        <f>IFERROR(__xludf.DUMMYFUNCTION("""COMPUTED_VALUE"""),"")</f>
        <v/>
      </c>
      <c r="U8829" s="16" t="s">
        <v>87</v>
      </c>
      <c r="V8829" s="16" t="str">
        <f>IFERROR(__xludf.DUMMYFUNCTION("""COMPUTED_VALUE"""),"")</f>
        <v/>
      </c>
      <c r="W8829" s="16" t="str">
        <f>IFERROR(__xludf.DUMMYFUNCTION("""COMPUTED_VALUE"""),"")</f>
        <v/>
      </c>
      <c r="X8829" s="16" t="str">
        <f>IFERROR(__xludf.DUMMYFUNCTION("""COMPUTED_VALUE"""),"")</f>
        <v/>
      </c>
      <c r="AC8829" s="16" t="str">
        <f>IFERROR(__xludf.DUMMYFUNCTION("""COMPUTED_VALUE"""),"")</f>
        <v/>
      </c>
    </row>
    <row r="8830">
      <c r="A8830" s="16" t="s">
        <v>87</v>
      </c>
      <c r="E8830" s="16" t="str">
        <f>IFERROR(__xludf.DUMMYFUNCTION("""COMPUTED_VALUE"""),"")</f>
        <v/>
      </c>
      <c r="G8830" s="18"/>
      <c r="H8830" s="16" t="s">
        <v>87</v>
      </c>
      <c r="I8830" s="16" t="s">
        <v>87</v>
      </c>
      <c r="J8830" s="19"/>
      <c r="L8830" s="16" t="str">
        <f>IFERROR(__xludf.DUMMYFUNCTION("""COMPUTED_VALUE"""),"")</f>
        <v/>
      </c>
      <c r="M8830" s="16" t="str">
        <f>IFERROR(__xludf.DUMMYFUNCTION("""COMPUTED_VALUE"""),"")</f>
        <v/>
      </c>
      <c r="U8830" s="16" t="s">
        <v>87</v>
      </c>
      <c r="V8830" s="16" t="str">
        <f>IFERROR(__xludf.DUMMYFUNCTION("""COMPUTED_VALUE"""),"")</f>
        <v/>
      </c>
      <c r="W8830" s="16" t="str">
        <f>IFERROR(__xludf.DUMMYFUNCTION("""COMPUTED_VALUE"""),"")</f>
        <v/>
      </c>
      <c r="X8830" s="16" t="str">
        <f>IFERROR(__xludf.DUMMYFUNCTION("""COMPUTED_VALUE"""),"")</f>
        <v/>
      </c>
      <c r="AC8830" s="16" t="str">
        <f>IFERROR(__xludf.DUMMYFUNCTION("""COMPUTED_VALUE"""),"")</f>
        <v/>
      </c>
    </row>
    <row r="8831">
      <c r="A8831" s="16" t="s">
        <v>87</v>
      </c>
      <c r="E8831" s="16" t="str">
        <f>IFERROR(__xludf.DUMMYFUNCTION("""COMPUTED_VALUE"""),"")</f>
        <v/>
      </c>
      <c r="G8831" s="18"/>
      <c r="H8831" s="16" t="s">
        <v>87</v>
      </c>
      <c r="I8831" s="16" t="s">
        <v>87</v>
      </c>
      <c r="J8831" s="19"/>
      <c r="L8831" s="16" t="str">
        <f>IFERROR(__xludf.DUMMYFUNCTION("""COMPUTED_VALUE"""),"")</f>
        <v/>
      </c>
      <c r="M8831" s="16" t="str">
        <f>IFERROR(__xludf.DUMMYFUNCTION("""COMPUTED_VALUE"""),"")</f>
        <v/>
      </c>
      <c r="U8831" s="16" t="s">
        <v>87</v>
      </c>
      <c r="V8831" s="16" t="str">
        <f>IFERROR(__xludf.DUMMYFUNCTION("""COMPUTED_VALUE"""),"")</f>
        <v/>
      </c>
      <c r="W8831" s="16" t="str">
        <f>IFERROR(__xludf.DUMMYFUNCTION("""COMPUTED_VALUE"""),"")</f>
        <v/>
      </c>
      <c r="X8831" s="16" t="str">
        <f>IFERROR(__xludf.DUMMYFUNCTION("""COMPUTED_VALUE"""),"")</f>
        <v/>
      </c>
      <c r="AC8831" s="16" t="str">
        <f>IFERROR(__xludf.DUMMYFUNCTION("""COMPUTED_VALUE"""),"")</f>
        <v/>
      </c>
    </row>
    <row r="8832">
      <c r="A8832" s="16" t="s">
        <v>87</v>
      </c>
      <c r="E8832" s="16" t="str">
        <f>IFERROR(__xludf.DUMMYFUNCTION("""COMPUTED_VALUE"""),"")</f>
        <v/>
      </c>
      <c r="G8832" s="18"/>
      <c r="H8832" s="16" t="s">
        <v>87</v>
      </c>
      <c r="I8832" s="16" t="s">
        <v>87</v>
      </c>
      <c r="J8832" s="19"/>
      <c r="L8832" s="16" t="str">
        <f>IFERROR(__xludf.DUMMYFUNCTION("""COMPUTED_VALUE"""),"")</f>
        <v/>
      </c>
      <c r="M8832" s="16" t="str">
        <f>IFERROR(__xludf.DUMMYFUNCTION("""COMPUTED_VALUE"""),"")</f>
        <v/>
      </c>
      <c r="U8832" s="16" t="s">
        <v>87</v>
      </c>
      <c r="V8832" s="16" t="str">
        <f>IFERROR(__xludf.DUMMYFUNCTION("""COMPUTED_VALUE"""),"")</f>
        <v/>
      </c>
      <c r="W8832" s="16" t="str">
        <f>IFERROR(__xludf.DUMMYFUNCTION("""COMPUTED_VALUE"""),"")</f>
        <v/>
      </c>
      <c r="X8832" s="16" t="str">
        <f>IFERROR(__xludf.DUMMYFUNCTION("""COMPUTED_VALUE"""),"")</f>
        <v/>
      </c>
      <c r="AC8832" s="16" t="str">
        <f>IFERROR(__xludf.DUMMYFUNCTION("""COMPUTED_VALUE"""),"")</f>
        <v/>
      </c>
    </row>
    <row r="8833">
      <c r="A8833" s="16" t="s">
        <v>87</v>
      </c>
      <c r="E8833" s="16" t="str">
        <f>IFERROR(__xludf.DUMMYFUNCTION("""COMPUTED_VALUE"""),"")</f>
        <v/>
      </c>
      <c r="G8833" s="18"/>
      <c r="H8833" s="16" t="s">
        <v>87</v>
      </c>
      <c r="I8833" s="16" t="s">
        <v>87</v>
      </c>
      <c r="J8833" s="19"/>
      <c r="L8833" s="16" t="str">
        <f>IFERROR(__xludf.DUMMYFUNCTION("""COMPUTED_VALUE"""),"")</f>
        <v/>
      </c>
      <c r="M8833" s="16" t="str">
        <f>IFERROR(__xludf.DUMMYFUNCTION("""COMPUTED_VALUE"""),"")</f>
        <v/>
      </c>
      <c r="U8833" s="16" t="s">
        <v>87</v>
      </c>
      <c r="V8833" s="16" t="str">
        <f>IFERROR(__xludf.DUMMYFUNCTION("""COMPUTED_VALUE"""),"")</f>
        <v/>
      </c>
      <c r="W8833" s="16" t="str">
        <f>IFERROR(__xludf.DUMMYFUNCTION("""COMPUTED_VALUE"""),"")</f>
        <v/>
      </c>
      <c r="X8833" s="16" t="str">
        <f>IFERROR(__xludf.DUMMYFUNCTION("""COMPUTED_VALUE"""),"")</f>
        <v/>
      </c>
      <c r="AC8833" s="16" t="str">
        <f>IFERROR(__xludf.DUMMYFUNCTION("""COMPUTED_VALUE"""),"")</f>
        <v/>
      </c>
    </row>
    <row r="8834">
      <c r="A8834" s="16" t="s">
        <v>87</v>
      </c>
      <c r="E8834" s="16" t="str">
        <f>IFERROR(__xludf.DUMMYFUNCTION("""COMPUTED_VALUE"""),"")</f>
        <v/>
      </c>
      <c r="G8834" s="18"/>
      <c r="H8834" s="16" t="s">
        <v>87</v>
      </c>
      <c r="I8834" s="16" t="s">
        <v>87</v>
      </c>
      <c r="J8834" s="19"/>
      <c r="L8834" s="16" t="str">
        <f>IFERROR(__xludf.DUMMYFUNCTION("""COMPUTED_VALUE"""),"")</f>
        <v/>
      </c>
      <c r="M8834" s="16" t="str">
        <f>IFERROR(__xludf.DUMMYFUNCTION("""COMPUTED_VALUE"""),"")</f>
        <v/>
      </c>
      <c r="U8834" s="16" t="s">
        <v>87</v>
      </c>
      <c r="V8834" s="16" t="str">
        <f>IFERROR(__xludf.DUMMYFUNCTION("""COMPUTED_VALUE"""),"")</f>
        <v/>
      </c>
      <c r="W8834" s="16" t="str">
        <f>IFERROR(__xludf.DUMMYFUNCTION("""COMPUTED_VALUE"""),"")</f>
        <v/>
      </c>
      <c r="X8834" s="16" t="str">
        <f>IFERROR(__xludf.DUMMYFUNCTION("""COMPUTED_VALUE"""),"")</f>
        <v/>
      </c>
      <c r="AC8834" s="16" t="str">
        <f>IFERROR(__xludf.DUMMYFUNCTION("""COMPUTED_VALUE"""),"")</f>
        <v/>
      </c>
    </row>
    <row r="8835">
      <c r="A8835" s="16" t="s">
        <v>87</v>
      </c>
      <c r="E8835" s="16" t="str">
        <f>IFERROR(__xludf.DUMMYFUNCTION("""COMPUTED_VALUE"""),"")</f>
        <v/>
      </c>
      <c r="G8835" s="18"/>
      <c r="H8835" s="16" t="s">
        <v>87</v>
      </c>
      <c r="I8835" s="16" t="s">
        <v>87</v>
      </c>
      <c r="J8835" s="19"/>
      <c r="L8835" s="16" t="str">
        <f>IFERROR(__xludf.DUMMYFUNCTION("""COMPUTED_VALUE"""),"")</f>
        <v/>
      </c>
      <c r="M8835" s="16" t="str">
        <f>IFERROR(__xludf.DUMMYFUNCTION("""COMPUTED_VALUE"""),"")</f>
        <v/>
      </c>
      <c r="U8835" s="16" t="s">
        <v>87</v>
      </c>
      <c r="V8835" s="16" t="str">
        <f>IFERROR(__xludf.DUMMYFUNCTION("""COMPUTED_VALUE"""),"")</f>
        <v/>
      </c>
      <c r="W8835" s="16" t="str">
        <f>IFERROR(__xludf.DUMMYFUNCTION("""COMPUTED_VALUE"""),"")</f>
        <v/>
      </c>
      <c r="X8835" s="16" t="str">
        <f>IFERROR(__xludf.DUMMYFUNCTION("""COMPUTED_VALUE"""),"")</f>
        <v/>
      </c>
      <c r="AC8835" s="16" t="str">
        <f>IFERROR(__xludf.DUMMYFUNCTION("""COMPUTED_VALUE"""),"")</f>
        <v/>
      </c>
    </row>
    <row r="8836">
      <c r="A8836" s="16" t="s">
        <v>87</v>
      </c>
      <c r="E8836" s="16" t="str">
        <f>IFERROR(__xludf.DUMMYFUNCTION("""COMPUTED_VALUE"""),"")</f>
        <v/>
      </c>
      <c r="G8836" s="18"/>
      <c r="H8836" s="16" t="s">
        <v>87</v>
      </c>
      <c r="I8836" s="16" t="s">
        <v>87</v>
      </c>
      <c r="J8836" s="19"/>
      <c r="L8836" s="16" t="str">
        <f>IFERROR(__xludf.DUMMYFUNCTION("""COMPUTED_VALUE"""),"")</f>
        <v/>
      </c>
      <c r="M8836" s="16" t="str">
        <f>IFERROR(__xludf.DUMMYFUNCTION("""COMPUTED_VALUE"""),"")</f>
        <v/>
      </c>
      <c r="U8836" s="16" t="s">
        <v>87</v>
      </c>
      <c r="V8836" s="16" t="str">
        <f>IFERROR(__xludf.DUMMYFUNCTION("""COMPUTED_VALUE"""),"")</f>
        <v/>
      </c>
      <c r="W8836" s="16" t="str">
        <f>IFERROR(__xludf.DUMMYFUNCTION("""COMPUTED_VALUE"""),"")</f>
        <v/>
      </c>
      <c r="X8836" s="16" t="str">
        <f>IFERROR(__xludf.DUMMYFUNCTION("""COMPUTED_VALUE"""),"")</f>
        <v/>
      </c>
      <c r="AC8836" s="16" t="str">
        <f>IFERROR(__xludf.DUMMYFUNCTION("""COMPUTED_VALUE"""),"")</f>
        <v/>
      </c>
    </row>
    <row r="8837">
      <c r="A8837" s="16" t="s">
        <v>87</v>
      </c>
      <c r="E8837" s="16" t="str">
        <f>IFERROR(__xludf.DUMMYFUNCTION("""COMPUTED_VALUE"""),"")</f>
        <v/>
      </c>
      <c r="G8837" s="18"/>
      <c r="H8837" s="16" t="s">
        <v>87</v>
      </c>
      <c r="I8837" s="16" t="s">
        <v>87</v>
      </c>
      <c r="J8837" s="19"/>
      <c r="L8837" s="16" t="str">
        <f>IFERROR(__xludf.DUMMYFUNCTION("""COMPUTED_VALUE"""),"")</f>
        <v/>
      </c>
      <c r="M8837" s="16" t="str">
        <f>IFERROR(__xludf.DUMMYFUNCTION("""COMPUTED_VALUE"""),"")</f>
        <v/>
      </c>
      <c r="U8837" s="16" t="s">
        <v>87</v>
      </c>
      <c r="V8837" s="16" t="str">
        <f>IFERROR(__xludf.DUMMYFUNCTION("""COMPUTED_VALUE"""),"")</f>
        <v/>
      </c>
      <c r="W8837" s="16" t="str">
        <f>IFERROR(__xludf.DUMMYFUNCTION("""COMPUTED_VALUE"""),"")</f>
        <v/>
      </c>
      <c r="X8837" s="16" t="str">
        <f>IFERROR(__xludf.DUMMYFUNCTION("""COMPUTED_VALUE"""),"")</f>
        <v/>
      </c>
      <c r="AC8837" s="16" t="str">
        <f>IFERROR(__xludf.DUMMYFUNCTION("""COMPUTED_VALUE"""),"")</f>
        <v/>
      </c>
    </row>
    <row r="8838">
      <c r="A8838" s="16" t="s">
        <v>87</v>
      </c>
      <c r="E8838" s="16" t="str">
        <f>IFERROR(__xludf.DUMMYFUNCTION("""COMPUTED_VALUE"""),"")</f>
        <v/>
      </c>
      <c r="G8838" s="18"/>
      <c r="H8838" s="16" t="s">
        <v>87</v>
      </c>
      <c r="I8838" s="16" t="s">
        <v>87</v>
      </c>
      <c r="J8838" s="19"/>
      <c r="L8838" s="16" t="str">
        <f>IFERROR(__xludf.DUMMYFUNCTION("""COMPUTED_VALUE"""),"")</f>
        <v/>
      </c>
      <c r="M8838" s="16" t="str">
        <f>IFERROR(__xludf.DUMMYFUNCTION("""COMPUTED_VALUE"""),"")</f>
        <v/>
      </c>
      <c r="U8838" s="16" t="s">
        <v>87</v>
      </c>
      <c r="V8838" s="16" t="str">
        <f>IFERROR(__xludf.DUMMYFUNCTION("""COMPUTED_VALUE"""),"")</f>
        <v/>
      </c>
      <c r="W8838" s="16" t="str">
        <f>IFERROR(__xludf.DUMMYFUNCTION("""COMPUTED_VALUE"""),"")</f>
        <v/>
      </c>
      <c r="X8838" s="16" t="str">
        <f>IFERROR(__xludf.DUMMYFUNCTION("""COMPUTED_VALUE"""),"")</f>
        <v/>
      </c>
      <c r="AC8838" s="16" t="str">
        <f>IFERROR(__xludf.DUMMYFUNCTION("""COMPUTED_VALUE"""),"")</f>
        <v/>
      </c>
    </row>
    <row r="8839">
      <c r="A8839" s="16" t="s">
        <v>87</v>
      </c>
      <c r="E8839" s="16" t="str">
        <f>IFERROR(__xludf.DUMMYFUNCTION("""COMPUTED_VALUE"""),"")</f>
        <v/>
      </c>
      <c r="G8839" s="18"/>
      <c r="H8839" s="16" t="s">
        <v>87</v>
      </c>
      <c r="I8839" s="16" t="s">
        <v>87</v>
      </c>
      <c r="J8839" s="19"/>
      <c r="L8839" s="16" t="str">
        <f>IFERROR(__xludf.DUMMYFUNCTION("""COMPUTED_VALUE"""),"")</f>
        <v/>
      </c>
      <c r="M8839" s="16" t="str">
        <f>IFERROR(__xludf.DUMMYFUNCTION("""COMPUTED_VALUE"""),"")</f>
        <v/>
      </c>
      <c r="U8839" s="16" t="s">
        <v>87</v>
      </c>
      <c r="V8839" s="16" t="str">
        <f>IFERROR(__xludf.DUMMYFUNCTION("""COMPUTED_VALUE"""),"")</f>
        <v/>
      </c>
      <c r="W8839" s="16" t="str">
        <f>IFERROR(__xludf.DUMMYFUNCTION("""COMPUTED_VALUE"""),"")</f>
        <v/>
      </c>
      <c r="X8839" s="16" t="str">
        <f>IFERROR(__xludf.DUMMYFUNCTION("""COMPUTED_VALUE"""),"")</f>
        <v/>
      </c>
      <c r="AC8839" s="16" t="str">
        <f>IFERROR(__xludf.DUMMYFUNCTION("""COMPUTED_VALUE"""),"")</f>
        <v/>
      </c>
    </row>
    <row r="8840">
      <c r="A8840" s="16" t="s">
        <v>87</v>
      </c>
      <c r="E8840" s="16" t="str">
        <f>IFERROR(__xludf.DUMMYFUNCTION("""COMPUTED_VALUE"""),"")</f>
        <v/>
      </c>
      <c r="G8840" s="18"/>
      <c r="H8840" s="16" t="s">
        <v>87</v>
      </c>
      <c r="I8840" s="16" t="s">
        <v>87</v>
      </c>
      <c r="J8840" s="19"/>
      <c r="L8840" s="16" t="str">
        <f>IFERROR(__xludf.DUMMYFUNCTION("""COMPUTED_VALUE"""),"")</f>
        <v/>
      </c>
      <c r="M8840" s="16" t="str">
        <f>IFERROR(__xludf.DUMMYFUNCTION("""COMPUTED_VALUE"""),"")</f>
        <v/>
      </c>
      <c r="U8840" s="16" t="s">
        <v>87</v>
      </c>
      <c r="V8840" s="16" t="str">
        <f>IFERROR(__xludf.DUMMYFUNCTION("""COMPUTED_VALUE"""),"")</f>
        <v/>
      </c>
      <c r="W8840" s="16" t="str">
        <f>IFERROR(__xludf.DUMMYFUNCTION("""COMPUTED_VALUE"""),"")</f>
        <v/>
      </c>
      <c r="X8840" s="16" t="str">
        <f>IFERROR(__xludf.DUMMYFUNCTION("""COMPUTED_VALUE"""),"")</f>
        <v/>
      </c>
      <c r="AC8840" s="16" t="str">
        <f>IFERROR(__xludf.DUMMYFUNCTION("""COMPUTED_VALUE"""),"")</f>
        <v/>
      </c>
    </row>
    <row r="8841">
      <c r="A8841" s="16" t="s">
        <v>87</v>
      </c>
      <c r="E8841" s="16" t="str">
        <f>IFERROR(__xludf.DUMMYFUNCTION("""COMPUTED_VALUE"""),"")</f>
        <v/>
      </c>
      <c r="G8841" s="18"/>
      <c r="H8841" s="16" t="s">
        <v>87</v>
      </c>
      <c r="I8841" s="16" t="s">
        <v>87</v>
      </c>
      <c r="J8841" s="19"/>
      <c r="L8841" s="16" t="str">
        <f>IFERROR(__xludf.DUMMYFUNCTION("""COMPUTED_VALUE"""),"")</f>
        <v/>
      </c>
      <c r="M8841" s="16" t="str">
        <f>IFERROR(__xludf.DUMMYFUNCTION("""COMPUTED_VALUE"""),"")</f>
        <v/>
      </c>
      <c r="U8841" s="16" t="s">
        <v>87</v>
      </c>
      <c r="V8841" s="16" t="str">
        <f>IFERROR(__xludf.DUMMYFUNCTION("""COMPUTED_VALUE"""),"")</f>
        <v/>
      </c>
      <c r="W8841" s="16" t="str">
        <f>IFERROR(__xludf.DUMMYFUNCTION("""COMPUTED_VALUE"""),"")</f>
        <v/>
      </c>
      <c r="X8841" s="16" t="str">
        <f>IFERROR(__xludf.DUMMYFUNCTION("""COMPUTED_VALUE"""),"")</f>
        <v/>
      </c>
      <c r="AC8841" s="16" t="str">
        <f>IFERROR(__xludf.DUMMYFUNCTION("""COMPUTED_VALUE"""),"")</f>
        <v/>
      </c>
    </row>
    <row r="8842">
      <c r="A8842" s="16" t="s">
        <v>87</v>
      </c>
      <c r="E8842" s="16" t="str">
        <f>IFERROR(__xludf.DUMMYFUNCTION("""COMPUTED_VALUE"""),"")</f>
        <v/>
      </c>
      <c r="G8842" s="18"/>
      <c r="H8842" s="16" t="s">
        <v>87</v>
      </c>
      <c r="I8842" s="16" t="s">
        <v>87</v>
      </c>
      <c r="J8842" s="19"/>
      <c r="L8842" s="16" t="str">
        <f>IFERROR(__xludf.DUMMYFUNCTION("""COMPUTED_VALUE"""),"")</f>
        <v/>
      </c>
      <c r="M8842" s="16" t="str">
        <f>IFERROR(__xludf.DUMMYFUNCTION("""COMPUTED_VALUE"""),"")</f>
        <v/>
      </c>
      <c r="U8842" s="16" t="s">
        <v>87</v>
      </c>
      <c r="V8842" s="16" t="str">
        <f>IFERROR(__xludf.DUMMYFUNCTION("""COMPUTED_VALUE"""),"")</f>
        <v/>
      </c>
      <c r="W8842" s="16" t="str">
        <f>IFERROR(__xludf.DUMMYFUNCTION("""COMPUTED_VALUE"""),"")</f>
        <v/>
      </c>
      <c r="X8842" s="16" t="str">
        <f>IFERROR(__xludf.DUMMYFUNCTION("""COMPUTED_VALUE"""),"")</f>
        <v/>
      </c>
      <c r="AC8842" s="16" t="str">
        <f>IFERROR(__xludf.DUMMYFUNCTION("""COMPUTED_VALUE"""),"")</f>
        <v/>
      </c>
    </row>
    <row r="8843">
      <c r="A8843" s="16" t="s">
        <v>87</v>
      </c>
      <c r="E8843" s="16" t="str">
        <f>IFERROR(__xludf.DUMMYFUNCTION("""COMPUTED_VALUE"""),"")</f>
        <v/>
      </c>
      <c r="G8843" s="18"/>
      <c r="H8843" s="16" t="s">
        <v>87</v>
      </c>
      <c r="I8843" s="16" t="s">
        <v>87</v>
      </c>
      <c r="J8843" s="19"/>
      <c r="L8843" s="16" t="str">
        <f>IFERROR(__xludf.DUMMYFUNCTION("""COMPUTED_VALUE"""),"")</f>
        <v/>
      </c>
      <c r="M8843" s="16" t="str">
        <f>IFERROR(__xludf.DUMMYFUNCTION("""COMPUTED_VALUE"""),"")</f>
        <v/>
      </c>
      <c r="U8843" s="16" t="s">
        <v>87</v>
      </c>
      <c r="V8843" s="16" t="str">
        <f>IFERROR(__xludf.DUMMYFUNCTION("""COMPUTED_VALUE"""),"")</f>
        <v/>
      </c>
      <c r="W8843" s="16" t="str">
        <f>IFERROR(__xludf.DUMMYFUNCTION("""COMPUTED_VALUE"""),"")</f>
        <v/>
      </c>
      <c r="X8843" s="16" t="str">
        <f>IFERROR(__xludf.DUMMYFUNCTION("""COMPUTED_VALUE"""),"")</f>
        <v/>
      </c>
      <c r="AC8843" s="16" t="str">
        <f>IFERROR(__xludf.DUMMYFUNCTION("""COMPUTED_VALUE"""),"")</f>
        <v/>
      </c>
    </row>
    <row r="8844">
      <c r="A8844" s="16" t="s">
        <v>87</v>
      </c>
      <c r="E8844" s="16" t="str">
        <f>IFERROR(__xludf.DUMMYFUNCTION("""COMPUTED_VALUE"""),"")</f>
        <v/>
      </c>
      <c r="G8844" s="18"/>
      <c r="H8844" s="16" t="s">
        <v>87</v>
      </c>
      <c r="I8844" s="16" t="s">
        <v>87</v>
      </c>
      <c r="J8844" s="19"/>
      <c r="L8844" s="16" t="str">
        <f>IFERROR(__xludf.DUMMYFUNCTION("""COMPUTED_VALUE"""),"")</f>
        <v/>
      </c>
      <c r="M8844" s="16" t="str">
        <f>IFERROR(__xludf.DUMMYFUNCTION("""COMPUTED_VALUE"""),"")</f>
        <v/>
      </c>
      <c r="U8844" s="16" t="s">
        <v>87</v>
      </c>
      <c r="V8844" s="16" t="str">
        <f>IFERROR(__xludf.DUMMYFUNCTION("""COMPUTED_VALUE"""),"")</f>
        <v/>
      </c>
      <c r="W8844" s="16" t="str">
        <f>IFERROR(__xludf.DUMMYFUNCTION("""COMPUTED_VALUE"""),"")</f>
        <v/>
      </c>
      <c r="X8844" s="16" t="str">
        <f>IFERROR(__xludf.DUMMYFUNCTION("""COMPUTED_VALUE"""),"")</f>
        <v/>
      </c>
      <c r="AC8844" s="16" t="str">
        <f>IFERROR(__xludf.DUMMYFUNCTION("""COMPUTED_VALUE"""),"")</f>
        <v/>
      </c>
    </row>
    <row r="8845">
      <c r="A8845" s="16" t="s">
        <v>87</v>
      </c>
      <c r="E8845" s="16" t="str">
        <f>IFERROR(__xludf.DUMMYFUNCTION("""COMPUTED_VALUE"""),"")</f>
        <v/>
      </c>
      <c r="G8845" s="18"/>
      <c r="H8845" s="16" t="s">
        <v>87</v>
      </c>
      <c r="I8845" s="16" t="s">
        <v>87</v>
      </c>
      <c r="J8845" s="19"/>
      <c r="L8845" s="16" t="str">
        <f>IFERROR(__xludf.DUMMYFUNCTION("""COMPUTED_VALUE"""),"")</f>
        <v/>
      </c>
      <c r="M8845" s="16" t="str">
        <f>IFERROR(__xludf.DUMMYFUNCTION("""COMPUTED_VALUE"""),"")</f>
        <v/>
      </c>
      <c r="U8845" s="16" t="s">
        <v>87</v>
      </c>
      <c r="V8845" s="16" t="str">
        <f>IFERROR(__xludf.DUMMYFUNCTION("""COMPUTED_VALUE"""),"")</f>
        <v/>
      </c>
      <c r="W8845" s="16" t="str">
        <f>IFERROR(__xludf.DUMMYFUNCTION("""COMPUTED_VALUE"""),"")</f>
        <v/>
      </c>
      <c r="X8845" s="16" t="str">
        <f>IFERROR(__xludf.DUMMYFUNCTION("""COMPUTED_VALUE"""),"")</f>
        <v/>
      </c>
      <c r="AC8845" s="16" t="str">
        <f>IFERROR(__xludf.DUMMYFUNCTION("""COMPUTED_VALUE"""),"")</f>
        <v/>
      </c>
    </row>
    <row r="8846">
      <c r="A8846" s="16" t="s">
        <v>87</v>
      </c>
      <c r="E8846" s="16" t="str">
        <f>IFERROR(__xludf.DUMMYFUNCTION("""COMPUTED_VALUE"""),"")</f>
        <v/>
      </c>
      <c r="G8846" s="18"/>
      <c r="H8846" s="16" t="s">
        <v>87</v>
      </c>
      <c r="I8846" s="16" t="s">
        <v>87</v>
      </c>
      <c r="J8846" s="19"/>
      <c r="L8846" s="16" t="str">
        <f>IFERROR(__xludf.DUMMYFUNCTION("""COMPUTED_VALUE"""),"")</f>
        <v/>
      </c>
      <c r="M8846" s="16" t="str">
        <f>IFERROR(__xludf.DUMMYFUNCTION("""COMPUTED_VALUE"""),"")</f>
        <v/>
      </c>
      <c r="U8846" s="16" t="s">
        <v>87</v>
      </c>
      <c r="V8846" s="16" t="str">
        <f>IFERROR(__xludf.DUMMYFUNCTION("""COMPUTED_VALUE"""),"")</f>
        <v/>
      </c>
      <c r="W8846" s="16" t="str">
        <f>IFERROR(__xludf.DUMMYFUNCTION("""COMPUTED_VALUE"""),"")</f>
        <v/>
      </c>
      <c r="X8846" s="16" t="str">
        <f>IFERROR(__xludf.DUMMYFUNCTION("""COMPUTED_VALUE"""),"")</f>
        <v/>
      </c>
      <c r="AC8846" s="16" t="str">
        <f>IFERROR(__xludf.DUMMYFUNCTION("""COMPUTED_VALUE"""),"")</f>
        <v/>
      </c>
    </row>
    <row r="8847">
      <c r="A8847" s="16" t="s">
        <v>87</v>
      </c>
      <c r="E8847" s="16" t="str">
        <f>IFERROR(__xludf.DUMMYFUNCTION("""COMPUTED_VALUE"""),"")</f>
        <v/>
      </c>
      <c r="G8847" s="18"/>
      <c r="H8847" s="16" t="s">
        <v>87</v>
      </c>
      <c r="I8847" s="16" t="s">
        <v>87</v>
      </c>
      <c r="J8847" s="19"/>
      <c r="L8847" s="16" t="str">
        <f>IFERROR(__xludf.DUMMYFUNCTION("""COMPUTED_VALUE"""),"")</f>
        <v/>
      </c>
      <c r="M8847" s="16" t="str">
        <f>IFERROR(__xludf.DUMMYFUNCTION("""COMPUTED_VALUE"""),"")</f>
        <v/>
      </c>
      <c r="U8847" s="16" t="s">
        <v>87</v>
      </c>
      <c r="V8847" s="16" t="str">
        <f>IFERROR(__xludf.DUMMYFUNCTION("""COMPUTED_VALUE"""),"")</f>
        <v/>
      </c>
      <c r="W8847" s="16" t="str">
        <f>IFERROR(__xludf.DUMMYFUNCTION("""COMPUTED_VALUE"""),"")</f>
        <v/>
      </c>
      <c r="X8847" s="16" t="str">
        <f>IFERROR(__xludf.DUMMYFUNCTION("""COMPUTED_VALUE"""),"")</f>
        <v/>
      </c>
      <c r="AC8847" s="16" t="str">
        <f>IFERROR(__xludf.DUMMYFUNCTION("""COMPUTED_VALUE"""),"")</f>
        <v/>
      </c>
    </row>
    <row r="8848">
      <c r="A8848" s="16" t="s">
        <v>87</v>
      </c>
      <c r="E8848" s="16" t="str">
        <f>IFERROR(__xludf.DUMMYFUNCTION("""COMPUTED_VALUE"""),"")</f>
        <v/>
      </c>
      <c r="G8848" s="18"/>
      <c r="H8848" s="16" t="s">
        <v>87</v>
      </c>
      <c r="I8848" s="16" t="s">
        <v>87</v>
      </c>
      <c r="J8848" s="19"/>
      <c r="L8848" s="16" t="str">
        <f>IFERROR(__xludf.DUMMYFUNCTION("""COMPUTED_VALUE"""),"")</f>
        <v/>
      </c>
      <c r="M8848" s="16" t="str">
        <f>IFERROR(__xludf.DUMMYFUNCTION("""COMPUTED_VALUE"""),"")</f>
        <v/>
      </c>
      <c r="U8848" s="16" t="s">
        <v>87</v>
      </c>
      <c r="V8848" s="16" t="str">
        <f>IFERROR(__xludf.DUMMYFUNCTION("""COMPUTED_VALUE"""),"")</f>
        <v/>
      </c>
      <c r="W8848" s="16" t="str">
        <f>IFERROR(__xludf.DUMMYFUNCTION("""COMPUTED_VALUE"""),"")</f>
        <v/>
      </c>
      <c r="X8848" s="16" t="str">
        <f>IFERROR(__xludf.DUMMYFUNCTION("""COMPUTED_VALUE"""),"")</f>
        <v/>
      </c>
      <c r="AC8848" s="16" t="str">
        <f>IFERROR(__xludf.DUMMYFUNCTION("""COMPUTED_VALUE"""),"")</f>
        <v/>
      </c>
    </row>
    <row r="8849">
      <c r="A8849" s="16" t="s">
        <v>87</v>
      </c>
      <c r="E8849" s="16" t="str">
        <f>IFERROR(__xludf.DUMMYFUNCTION("""COMPUTED_VALUE"""),"")</f>
        <v/>
      </c>
      <c r="G8849" s="18"/>
      <c r="H8849" s="16" t="s">
        <v>87</v>
      </c>
      <c r="I8849" s="16" t="s">
        <v>87</v>
      </c>
      <c r="J8849" s="19"/>
      <c r="L8849" s="16" t="str">
        <f>IFERROR(__xludf.DUMMYFUNCTION("""COMPUTED_VALUE"""),"")</f>
        <v/>
      </c>
      <c r="M8849" s="16" t="str">
        <f>IFERROR(__xludf.DUMMYFUNCTION("""COMPUTED_VALUE"""),"")</f>
        <v/>
      </c>
      <c r="U8849" s="16" t="s">
        <v>87</v>
      </c>
      <c r="V8849" s="16" t="str">
        <f>IFERROR(__xludf.DUMMYFUNCTION("""COMPUTED_VALUE"""),"")</f>
        <v/>
      </c>
      <c r="W8849" s="16" t="str">
        <f>IFERROR(__xludf.DUMMYFUNCTION("""COMPUTED_VALUE"""),"")</f>
        <v/>
      </c>
      <c r="X8849" s="16" t="str">
        <f>IFERROR(__xludf.DUMMYFUNCTION("""COMPUTED_VALUE"""),"")</f>
        <v/>
      </c>
      <c r="AC8849" s="16" t="str">
        <f>IFERROR(__xludf.DUMMYFUNCTION("""COMPUTED_VALUE"""),"")</f>
        <v/>
      </c>
    </row>
    <row r="8850">
      <c r="A8850" s="16" t="s">
        <v>87</v>
      </c>
      <c r="E8850" s="16" t="str">
        <f>IFERROR(__xludf.DUMMYFUNCTION("""COMPUTED_VALUE"""),"")</f>
        <v/>
      </c>
      <c r="G8850" s="18"/>
      <c r="H8850" s="16" t="s">
        <v>87</v>
      </c>
      <c r="I8850" s="16" t="s">
        <v>87</v>
      </c>
      <c r="J8850" s="19"/>
      <c r="L8850" s="16" t="str">
        <f>IFERROR(__xludf.DUMMYFUNCTION("""COMPUTED_VALUE"""),"")</f>
        <v/>
      </c>
      <c r="M8850" s="16" t="str">
        <f>IFERROR(__xludf.DUMMYFUNCTION("""COMPUTED_VALUE"""),"")</f>
        <v/>
      </c>
      <c r="U8850" s="16" t="s">
        <v>87</v>
      </c>
      <c r="V8850" s="16" t="str">
        <f>IFERROR(__xludf.DUMMYFUNCTION("""COMPUTED_VALUE"""),"")</f>
        <v/>
      </c>
      <c r="W8850" s="16" t="str">
        <f>IFERROR(__xludf.DUMMYFUNCTION("""COMPUTED_VALUE"""),"")</f>
        <v/>
      </c>
      <c r="X8850" s="16" t="str">
        <f>IFERROR(__xludf.DUMMYFUNCTION("""COMPUTED_VALUE"""),"")</f>
        <v/>
      </c>
      <c r="AC8850" s="16" t="str">
        <f>IFERROR(__xludf.DUMMYFUNCTION("""COMPUTED_VALUE"""),"")</f>
        <v/>
      </c>
    </row>
    <row r="8851">
      <c r="A8851" s="16" t="s">
        <v>87</v>
      </c>
      <c r="E8851" s="16" t="str">
        <f>IFERROR(__xludf.DUMMYFUNCTION("""COMPUTED_VALUE"""),"")</f>
        <v/>
      </c>
      <c r="G8851" s="18"/>
      <c r="H8851" s="16" t="s">
        <v>87</v>
      </c>
      <c r="I8851" s="16" t="s">
        <v>87</v>
      </c>
      <c r="J8851" s="19"/>
      <c r="L8851" s="16" t="str">
        <f>IFERROR(__xludf.DUMMYFUNCTION("""COMPUTED_VALUE"""),"")</f>
        <v/>
      </c>
      <c r="M8851" s="16" t="str">
        <f>IFERROR(__xludf.DUMMYFUNCTION("""COMPUTED_VALUE"""),"")</f>
        <v/>
      </c>
      <c r="U8851" s="16" t="s">
        <v>87</v>
      </c>
      <c r="V8851" s="16" t="str">
        <f>IFERROR(__xludf.DUMMYFUNCTION("""COMPUTED_VALUE"""),"")</f>
        <v/>
      </c>
      <c r="W8851" s="16" t="str">
        <f>IFERROR(__xludf.DUMMYFUNCTION("""COMPUTED_VALUE"""),"")</f>
        <v/>
      </c>
      <c r="X8851" s="16" t="str">
        <f>IFERROR(__xludf.DUMMYFUNCTION("""COMPUTED_VALUE"""),"")</f>
        <v/>
      </c>
      <c r="AC8851" s="16" t="str">
        <f>IFERROR(__xludf.DUMMYFUNCTION("""COMPUTED_VALUE"""),"")</f>
        <v/>
      </c>
    </row>
    <row r="8852">
      <c r="A8852" s="16" t="s">
        <v>87</v>
      </c>
      <c r="E8852" s="16" t="str">
        <f>IFERROR(__xludf.DUMMYFUNCTION("""COMPUTED_VALUE"""),"")</f>
        <v/>
      </c>
      <c r="G8852" s="18"/>
      <c r="H8852" s="16" t="s">
        <v>87</v>
      </c>
      <c r="I8852" s="16" t="s">
        <v>87</v>
      </c>
      <c r="J8852" s="19"/>
      <c r="L8852" s="16" t="str">
        <f>IFERROR(__xludf.DUMMYFUNCTION("""COMPUTED_VALUE"""),"")</f>
        <v/>
      </c>
      <c r="M8852" s="16" t="str">
        <f>IFERROR(__xludf.DUMMYFUNCTION("""COMPUTED_VALUE"""),"")</f>
        <v/>
      </c>
      <c r="U8852" s="16" t="s">
        <v>87</v>
      </c>
      <c r="V8852" s="16" t="str">
        <f>IFERROR(__xludf.DUMMYFUNCTION("""COMPUTED_VALUE"""),"")</f>
        <v/>
      </c>
      <c r="W8852" s="16" t="str">
        <f>IFERROR(__xludf.DUMMYFUNCTION("""COMPUTED_VALUE"""),"")</f>
        <v/>
      </c>
      <c r="X8852" s="16" t="str">
        <f>IFERROR(__xludf.DUMMYFUNCTION("""COMPUTED_VALUE"""),"")</f>
        <v/>
      </c>
      <c r="AC8852" s="16" t="str">
        <f>IFERROR(__xludf.DUMMYFUNCTION("""COMPUTED_VALUE"""),"")</f>
        <v/>
      </c>
    </row>
    <row r="8853">
      <c r="A8853" s="16" t="s">
        <v>87</v>
      </c>
      <c r="E8853" s="16" t="str">
        <f>IFERROR(__xludf.DUMMYFUNCTION("""COMPUTED_VALUE"""),"")</f>
        <v/>
      </c>
      <c r="G8853" s="18"/>
      <c r="H8853" s="16" t="s">
        <v>87</v>
      </c>
      <c r="I8853" s="16" t="s">
        <v>87</v>
      </c>
      <c r="J8853" s="19"/>
      <c r="L8853" s="16" t="str">
        <f>IFERROR(__xludf.DUMMYFUNCTION("""COMPUTED_VALUE"""),"")</f>
        <v/>
      </c>
      <c r="M8853" s="16" t="str">
        <f>IFERROR(__xludf.DUMMYFUNCTION("""COMPUTED_VALUE"""),"")</f>
        <v/>
      </c>
      <c r="U8853" s="16" t="s">
        <v>87</v>
      </c>
      <c r="V8853" s="16" t="str">
        <f>IFERROR(__xludf.DUMMYFUNCTION("""COMPUTED_VALUE"""),"")</f>
        <v/>
      </c>
      <c r="W8853" s="16" t="str">
        <f>IFERROR(__xludf.DUMMYFUNCTION("""COMPUTED_VALUE"""),"")</f>
        <v/>
      </c>
      <c r="X8853" s="16" t="str">
        <f>IFERROR(__xludf.DUMMYFUNCTION("""COMPUTED_VALUE"""),"")</f>
        <v/>
      </c>
      <c r="AC8853" s="16" t="str">
        <f>IFERROR(__xludf.DUMMYFUNCTION("""COMPUTED_VALUE"""),"")</f>
        <v/>
      </c>
    </row>
    <row r="8854">
      <c r="A8854" s="16" t="s">
        <v>87</v>
      </c>
      <c r="E8854" s="16" t="str">
        <f>IFERROR(__xludf.DUMMYFUNCTION("""COMPUTED_VALUE"""),"")</f>
        <v/>
      </c>
      <c r="G8854" s="18"/>
      <c r="H8854" s="16" t="s">
        <v>87</v>
      </c>
      <c r="I8854" s="16" t="s">
        <v>87</v>
      </c>
      <c r="J8854" s="19"/>
      <c r="L8854" s="16" t="str">
        <f>IFERROR(__xludf.DUMMYFUNCTION("""COMPUTED_VALUE"""),"")</f>
        <v/>
      </c>
      <c r="M8854" s="16" t="str">
        <f>IFERROR(__xludf.DUMMYFUNCTION("""COMPUTED_VALUE"""),"")</f>
        <v/>
      </c>
      <c r="U8854" s="16" t="s">
        <v>87</v>
      </c>
      <c r="V8854" s="16" t="str">
        <f>IFERROR(__xludf.DUMMYFUNCTION("""COMPUTED_VALUE"""),"")</f>
        <v/>
      </c>
      <c r="W8854" s="16" t="str">
        <f>IFERROR(__xludf.DUMMYFUNCTION("""COMPUTED_VALUE"""),"")</f>
        <v/>
      </c>
      <c r="X8854" s="16" t="str">
        <f>IFERROR(__xludf.DUMMYFUNCTION("""COMPUTED_VALUE"""),"")</f>
        <v/>
      </c>
      <c r="AC8854" s="16" t="str">
        <f>IFERROR(__xludf.DUMMYFUNCTION("""COMPUTED_VALUE"""),"")</f>
        <v/>
      </c>
    </row>
    <row r="8855">
      <c r="A8855" s="16" t="s">
        <v>87</v>
      </c>
      <c r="E8855" s="16" t="str">
        <f>IFERROR(__xludf.DUMMYFUNCTION("""COMPUTED_VALUE"""),"")</f>
        <v/>
      </c>
      <c r="G8855" s="18"/>
      <c r="H8855" s="16" t="s">
        <v>87</v>
      </c>
      <c r="I8855" s="16" t="s">
        <v>87</v>
      </c>
      <c r="J8855" s="19"/>
      <c r="L8855" s="16" t="str">
        <f>IFERROR(__xludf.DUMMYFUNCTION("""COMPUTED_VALUE"""),"")</f>
        <v/>
      </c>
      <c r="M8855" s="16" t="str">
        <f>IFERROR(__xludf.DUMMYFUNCTION("""COMPUTED_VALUE"""),"")</f>
        <v/>
      </c>
      <c r="U8855" s="16" t="s">
        <v>87</v>
      </c>
      <c r="V8855" s="16" t="str">
        <f>IFERROR(__xludf.DUMMYFUNCTION("""COMPUTED_VALUE"""),"")</f>
        <v/>
      </c>
      <c r="W8855" s="16" t="str">
        <f>IFERROR(__xludf.DUMMYFUNCTION("""COMPUTED_VALUE"""),"")</f>
        <v/>
      </c>
      <c r="X8855" s="16" t="str">
        <f>IFERROR(__xludf.DUMMYFUNCTION("""COMPUTED_VALUE"""),"")</f>
        <v/>
      </c>
      <c r="AC8855" s="16" t="str">
        <f>IFERROR(__xludf.DUMMYFUNCTION("""COMPUTED_VALUE"""),"")</f>
        <v/>
      </c>
    </row>
    <row r="8856">
      <c r="A8856" s="16" t="s">
        <v>87</v>
      </c>
      <c r="E8856" s="16" t="str">
        <f>IFERROR(__xludf.DUMMYFUNCTION("""COMPUTED_VALUE"""),"")</f>
        <v/>
      </c>
      <c r="G8856" s="18"/>
      <c r="H8856" s="16" t="s">
        <v>87</v>
      </c>
      <c r="I8856" s="16" t="s">
        <v>87</v>
      </c>
      <c r="J8856" s="19"/>
      <c r="L8856" s="16" t="str">
        <f>IFERROR(__xludf.DUMMYFUNCTION("""COMPUTED_VALUE"""),"")</f>
        <v/>
      </c>
      <c r="M8856" s="16" t="str">
        <f>IFERROR(__xludf.DUMMYFUNCTION("""COMPUTED_VALUE"""),"")</f>
        <v/>
      </c>
      <c r="U8856" s="16" t="s">
        <v>87</v>
      </c>
      <c r="V8856" s="16" t="str">
        <f>IFERROR(__xludf.DUMMYFUNCTION("""COMPUTED_VALUE"""),"")</f>
        <v/>
      </c>
      <c r="W8856" s="16" t="str">
        <f>IFERROR(__xludf.DUMMYFUNCTION("""COMPUTED_VALUE"""),"")</f>
        <v/>
      </c>
      <c r="X8856" s="16" t="str">
        <f>IFERROR(__xludf.DUMMYFUNCTION("""COMPUTED_VALUE"""),"")</f>
        <v/>
      </c>
      <c r="AC8856" s="16" t="str">
        <f>IFERROR(__xludf.DUMMYFUNCTION("""COMPUTED_VALUE"""),"")</f>
        <v/>
      </c>
    </row>
    <row r="8857">
      <c r="A8857" s="16" t="s">
        <v>87</v>
      </c>
      <c r="E8857" s="16" t="str">
        <f>IFERROR(__xludf.DUMMYFUNCTION("""COMPUTED_VALUE"""),"")</f>
        <v/>
      </c>
      <c r="G8857" s="18"/>
      <c r="H8857" s="16" t="s">
        <v>87</v>
      </c>
      <c r="I8857" s="16" t="s">
        <v>87</v>
      </c>
      <c r="J8857" s="19"/>
      <c r="L8857" s="16" t="str">
        <f>IFERROR(__xludf.DUMMYFUNCTION("""COMPUTED_VALUE"""),"")</f>
        <v/>
      </c>
      <c r="M8857" s="16" t="str">
        <f>IFERROR(__xludf.DUMMYFUNCTION("""COMPUTED_VALUE"""),"")</f>
        <v/>
      </c>
      <c r="U8857" s="16" t="s">
        <v>87</v>
      </c>
      <c r="V8857" s="16" t="str">
        <f>IFERROR(__xludf.DUMMYFUNCTION("""COMPUTED_VALUE"""),"")</f>
        <v/>
      </c>
      <c r="W8857" s="16" t="str">
        <f>IFERROR(__xludf.DUMMYFUNCTION("""COMPUTED_VALUE"""),"")</f>
        <v/>
      </c>
      <c r="X8857" s="16" t="str">
        <f>IFERROR(__xludf.DUMMYFUNCTION("""COMPUTED_VALUE"""),"")</f>
        <v/>
      </c>
      <c r="AC8857" s="16" t="str">
        <f>IFERROR(__xludf.DUMMYFUNCTION("""COMPUTED_VALUE"""),"")</f>
        <v/>
      </c>
    </row>
    <row r="8858">
      <c r="A8858" s="16" t="s">
        <v>87</v>
      </c>
      <c r="E8858" s="16" t="str">
        <f>IFERROR(__xludf.DUMMYFUNCTION("""COMPUTED_VALUE"""),"")</f>
        <v/>
      </c>
      <c r="G8858" s="18"/>
      <c r="H8858" s="16" t="s">
        <v>87</v>
      </c>
      <c r="I8858" s="16" t="s">
        <v>87</v>
      </c>
      <c r="J8858" s="19"/>
      <c r="L8858" s="16" t="str">
        <f>IFERROR(__xludf.DUMMYFUNCTION("""COMPUTED_VALUE"""),"")</f>
        <v/>
      </c>
      <c r="M8858" s="16" t="str">
        <f>IFERROR(__xludf.DUMMYFUNCTION("""COMPUTED_VALUE"""),"")</f>
        <v/>
      </c>
      <c r="U8858" s="16" t="s">
        <v>87</v>
      </c>
      <c r="V8858" s="16" t="str">
        <f>IFERROR(__xludf.DUMMYFUNCTION("""COMPUTED_VALUE"""),"")</f>
        <v/>
      </c>
      <c r="W8858" s="16" t="str">
        <f>IFERROR(__xludf.DUMMYFUNCTION("""COMPUTED_VALUE"""),"")</f>
        <v/>
      </c>
      <c r="X8858" s="16" t="str">
        <f>IFERROR(__xludf.DUMMYFUNCTION("""COMPUTED_VALUE"""),"")</f>
        <v/>
      </c>
      <c r="AC8858" s="16" t="str">
        <f>IFERROR(__xludf.DUMMYFUNCTION("""COMPUTED_VALUE"""),"")</f>
        <v/>
      </c>
    </row>
    <row r="8859">
      <c r="A8859" s="16" t="s">
        <v>87</v>
      </c>
      <c r="E8859" s="16" t="str">
        <f>IFERROR(__xludf.DUMMYFUNCTION("""COMPUTED_VALUE"""),"")</f>
        <v/>
      </c>
      <c r="G8859" s="18"/>
      <c r="H8859" s="16" t="s">
        <v>87</v>
      </c>
      <c r="I8859" s="16" t="s">
        <v>87</v>
      </c>
      <c r="J8859" s="19"/>
      <c r="L8859" s="16" t="str">
        <f>IFERROR(__xludf.DUMMYFUNCTION("""COMPUTED_VALUE"""),"")</f>
        <v/>
      </c>
      <c r="M8859" s="16" t="str">
        <f>IFERROR(__xludf.DUMMYFUNCTION("""COMPUTED_VALUE"""),"")</f>
        <v/>
      </c>
      <c r="U8859" s="16" t="s">
        <v>87</v>
      </c>
      <c r="V8859" s="16" t="str">
        <f>IFERROR(__xludf.DUMMYFUNCTION("""COMPUTED_VALUE"""),"")</f>
        <v/>
      </c>
      <c r="W8859" s="16" t="str">
        <f>IFERROR(__xludf.DUMMYFUNCTION("""COMPUTED_VALUE"""),"")</f>
        <v/>
      </c>
      <c r="X8859" s="16" t="str">
        <f>IFERROR(__xludf.DUMMYFUNCTION("""COMPUTED_VALUE"""),"")</f>
        <v/>
      </c>
      <c r="AC8859" s="16" t="str">
        <f>IFERROR(__xludf.DUMMYFUNCTION("""COMPUTED_VALUE"""),"")</f>
        <v/>
      </c>
    </row>
    <row r="8860">
      <c r="A8860" s="16" t="s">
        <v>87</v>
      </c>
      <c r="E8860" s="16" t="str">
        <f>IFERROR(__xludf.DUMMYFUNCTION("""COMPUTED_VALUE"""),"")</f>
        <v/>
      </c>
      <c r="G8860" s="18"/>
      <c r="H8860" s="16" t="s">
        <v>87</v>
      </c>
      <c r="I8860" s="16" t="s">
        <v>87</v>
      </c>
      <c r="J8860" s="19"/>
      <c r="L8860" s="16" t="str">
        <f>IFERROR(__xludf.DUMMYFUNCTION("""COMPUTED_VALUE"""),"")</f>
        <v/>
      </c>
      <c r="M8860" s="16" t="str">
        <f>IFERROR(__xludf.DUMMYFUNCTION("""COMPUTED_VALUE"""),"")</f>
        <v/>
      </c>
      <c r="U8860" s="16" t="s">
        <v>87</v>
      </c>
      <c r="V8860" s="16" t="str">
        <f>IFERROR(__xludf.DUMMYFUNCTION("""COMPUTED_VALUE"""),"")</f>
        <v/>
      </c>
      <c r="W8860" s="16" t="str">
        <f>IFERROR(__xludf.DUMMYFUNCTION("""COMPUTED_VALUE"""),"")</f>
        <v/>
      </c>
      <c r="X8860" s="16" t="str">
        <f>IFERROR(__xludf.DUMMYFUNCTION("""COMPUTED_VALUE"""),"")</f>
        <v/>
      </c>
      <c r="AC8860" s="16" t="str">
        <f>IFERROR(__xludf.DUMMYFUNCTION("""COMPUTED_VALUE"""),"")</f>
        <v/>
      </c>
    </row>
    <row r="8861">
      <c r="A8861" s="16" t="s">
        <v>87</v>
      </c>
      <c r="E8861" s="16" t="str">
        <f>IFERROR(__xludf.DUMMYFUNCTION("""COMPUTED_VALUE"""),"")</f>
        <v/>
      </c>
      <c r="G8861" s="18"/>
      <c r="H8861" s="16" t="s">
        <v>87</v>
      </c>
      <c r="I8861" s="16" t="s">
        <v>87</v>
      </c>
      <c r="J8861" s="19"/>
      <c r="L8861" s="16" t="str">
        <f>IFERROR(__xludf.DUMMYFUNCTION("""COMPUTED_VALUE"""),"")</f>
        <v/>
      </c>
      <c r="M8861" s="16" t="str">
        <f>IFERROR(__xludf.DUMMYFUNCTION("""COMPUTED_VALUE"""),"")</f>
        <v/>
      </c>
      <c r="U8861" s="16" t="s">
        <v>87</v>
      </c>
      <c r="V8861" s="16" t="str">
        <f>IFERROR(__xludf.DUMMYFUNCTION("""COMPUTED_VALUE"""),"")</f>
        <v/>
      </c>
      <c r="W8861" s="16" t="str">
        <f>IFERROR(__xludf.DUMMYFUNCTION("""COMPUTED_VALUE"""),"")</f>
        <v/>
      </c>
      <c r="X8861" s="16" t="str">
        <f>IFERROR(__xludf.DUMMYFUNCTION("""COMPUTED_VALUE"""),"")</f>
        <v/>
      </c>
      <c r="AC8861" s="16" t="str">
        <f>IFERROR(__xludf.DUMMYFUNCTION("""COMPUTED_VALUE"""),"")</f>
        <v/>
      </c>
    </row>
    <row r="8862">
      <c r="A8862" s="16" t="s">
        <v>87</v>
      </c>
      <c r="E8862" s="16" t="str">
        <f>IFERROR(__xludf.DUMMYFUNCTION("""COMPUTED_VALUE"""),"")</f>
        <v/>
      </c>
      <c r="G8862" s="18"/>
      <c r="H8862" s="16" t="s">
        <v>87</v>
      </c>
      <c r="I8862" s="16" t="s">
        <v>87</v>
      </c>
      <c r="J8862" s="19"/>
      <c r="L8862" s="16" t="str">
        <f>IFERROR(__xludf.DUMMYFUNCTION("""COMPUTED_VALUE"""),"")</f>
        <v/>
      </c>
      <c r="M8862" s="16" t="str">
        <f>IFERROR(__xludf.DUMMYFUNCTION("""COMPUTED_VALUE"""),"")</f>
        <v/>
      </c>
      <c r="U8862" s="16" t="s">
        <v>87</v>
      </c>
      <c r="V8862" s="16" t="str">
        <f>IFERROR(__xludf.DUMMYFUNCTION("""COMPUTED_VALUE"""),"")</f>
        <v/>
      </c>
      <c r="W8862" s="16" t="str">
        <f>IFERROR(__xludf.DUMMYFUNCTION("""COMPUTED_VALUE"""),"")</f>
        <v/>
      </c>
      <c r="X8862" s="16" t="str">
        <f>IFERROR(__xludf.DUMMYFUNCTION("""COMPUTED_VALUE"""),"")</f>
        <v/>
      </c>
      <c r="AC8862" s="16" t="str">
        <f>IFERROR(__xludf.DUMMYFUNCTION("""COMPUTED_VALUE"""),"")</f>
        <v/>
      </c>
    </row>
    <row r="8863">
      <c r="A8863" s="16" t="s">
        <v>87</v>
      </c>
      <c r="E8863" s="16" t="str">
        <f>IFERROR(__xludf.DUMMYFUNCTION("""COMPUTED_VALUE"""),"")</f>
        <v/>
      </c>
      <c r="G8863" s="18"/>
      <c r="H8863" s="16" t="s">
        <v>87</v>
      </c>
      <c r="I8863" s="16" t="s">
        <v>87</v>
      </c>
      <c r="J8863" s="19"/>
      <c r="L8863" s="16" t="str">
        <f>IFERROR(__xludf.DUMMYFUNCTION("""COMPUTED_VALUE"""),"")</f>
        <v/>
      </c>
      <c r="M8863" s="16" t="str">
        <f>IFERROR(__xludf.DUMMYFUNCTION("""COMPUTED_VALUE"""),"")</f>
        <v/>
      </c>
      <c r="U8863" s="16" t="s">
        <v>87</v>
      </c>
      <c r="V8863" s="16" t="str">
        <f>IFERROR(__xludf.DUMMYFUNCTION("""COMPUTED_VALUE"""),"")</f>
        <v/>
      </c>
      <c r="W8863" s="16" t="str">
        <f>IFERROR(__xludf.DUMMYFUNCTION("""COMPUTED_VALUE"""),"")</f>
        <v/>
      </c>
      <c r="X8863" s="16" t="str">
        <f>IFERROR(__xludf.DUMMYFUNCTION("""COMPUTED_VALUE"""),"")</f>
        <v/>
      </c>
      <c r="AC8863" s="16" t="str">
        <f>IFERROR(__xludf.DUMMYFUNCTION("""COMPUTED_VALUE"""),"")</f>
        <v/>
      </c>
    </row>
    <row r="8864">
      <c r="A8864" s="16" t="s">
        <v>87</v>
      </c>
      <c r="E8864" s="16" t="str">
        <f>IFERROR(__xludf.DUMMYFUNCTION("""COMPUTED_VALUE"""),"")</f>
        <v/>
      </c>
      <c r="G8864" s="18"/>
      <c r="H8864" s="16" t="s">
        <v>87</v>
      </c>
      <c r="I8864" s="16" t="s">
        <v>87</v>
      </c>
      <c r="J8864" s="19"/>
      <c r="L8864" s="16" t="str">
        <f>IFERROR(__xludf.DUMMYFUNCTION("""COMPUTED_VALUE"""),"")</f>
        <v/>
      </c>
      <c r="M8864" s="16" t="str">
        <f>IFERROR(__xludf.DUMMYFUNCTION("""COMPUTED_VALUE"""),"")</f>
        <v/>
      </c>
      <c r="U8864" s="16" t="s">
        <v>87</v>
      </c>
      <c r="V8864" s="16" t="str">
        <f>IFERROR(__xludf.DUMMYFUNCTION("""COMPUTED_VALUE"""),"")</f>
        <v/>
      </c>
      <c r="W8864" s="16" t="str">
        <f>IFERROR(__xludf.DUMMYFUNCTION("""COMPUTED_VALUE"""),"")</f>
        <v/>
      </c>
      <c r="X8864" s="16" t="str">
        <f>IFERROR(__xludf.DUMMYFUNCTION("""COMPUTED_VALUE"""),"")</f>
        <v/>
      </c>
      <c r="AC8864" s="16" t="str">
        <f>IFERROR(__xludf.DUMMYFUNCTION("""COMPUTED_VALUE"""),"")</f>
        <v/>
      </c>
    </row>
    <row r="8865">
      <c r="A8865" s="16" t="s">
        <v>87</v>
      </c>
      <c r="E8865" s="16" t="str">
        <f>IFERROR(__xludf.DUMMYFUNCTION("""COMPUTED_VALUE"""),"")</f>
        <v/>
      </c>
      <c r="G8865" s="18"/>
      <c r="H8865" s="16" t="s">
        <v>87</v>
      </c>
      <c r="I8865" s="16" t="s">
        <v>87</v>
      </c>
      <c r="J8865" s="19"/>
      <c r="L8865" s="16" t="str">
        <f>IFERROR(__xludf.DUMMYFUNCTION("""COMPUTED_VALUE"""),"")</f>
        <v/>
      </c>
      <c r="M8865" s="16" t="str">
        <f>IFERROR(__xludf.DUMMYFUNCTION("""COMPUTED_VALUE"""),"")</f>
        <v/>
      </c>
      <c r="U8865" s="16" t="s">
        <v>87</v>
      </c>
      <c r="V8865" s="16" t="str">
        <f>IFERROR(__xludf.DUMMYFUNCTION("""COMPUTED_VALUE"""),"")</f>
        <v/>
      </c>
      <c r="W8865" s="16" t="str">
        <f>IFERROR(__xludf.DUMMYFUNCTION("""COMPUTED_VALUE"""),"")</f>
        <v/>
      </c>
      <c r="X8865" s="16" t="str">
        <f>IFERROR(__xludf.DUMMYFUNCTION("""COMPUTED_VALUE"""),"")</f>
        <v/>
      </c>
      <c r="AC8865" s="16" t="str">
        <f>IFERROR(__xludf.DUMMYFUNCTION("""COMPUTED_VALUE"""),"")</f>
        <v/>
      </c>
    </row>
    <row r="8866">
      <c r="A8866" s="16" t="s">
        <v>87</v>
      </c>
      <c r="E8866" s="16" t="str">
        <f>IFERROR(__xludf.DUMMYFUNCTION("""COMPUTED_VALUE"""),"")</f>
        <v/>
      </c>
      <c r="G8866" s="18"/>
      <c r="H8866" s="16" t="s">
        <v>87</v>
      </c>
      <c r="I8866" s="16" t="s">
        <v>87</v>
      </c>
      <c r="J8866" s="19"/>
      <c r="L8866" s="16" t="str">
        <f>IFERROR(__xludf.DUMMYFUNCTION("""COMPUTED_VALUE"""),"")</f>
        <v/>
      </c>
      <c r="M8866" s="16" t="str">
        <f>IFERROR(__xludf.DUMMYFUNCTION("""COMPUTED_VALUE"""),"")</f>
        <v/>
      </c>
      <c r="U8866" s="16" t="s">
        <v>87</v>
      </c>
      <c r="V8866" s="16" t="str">
        <f>IFERROR(__xludf.DUMMYFUNCTION("""COMPUTED_VALUE"""),"")</f>
        <v/>
      </c>
      <c r="W8866" s="16" t="str">
        <f>IFERROR(__xludf.DUMMYFUNCTION("""COMPUTED_VALUE"""),"")</f>
        <v/>
      </c>
      <c r="X8866" s="16" t="str">
        <f>IFERROR(__xludf.DUMMYFUNCTION("""COMPUTED_VALUE"""),"")</f>
        <v/>
      </c>
      <c r="AC8866" s="16" t="str">
        <f>IFERROR(__xludf.DUMMYFUNCTION("""COMPUTED_VALUE"""),"")</f>
        <v/>
      </c>
    </row>
    <row r="8867">
      <c r="A8867" s="16" t="s">
        <v>87</v>
      </c>
      <c r="E8867" s="16" t="str">
        <f>IFERROR(__xludf.DUMMYFUNCTION("""COMPUTED_VALUE"""),"")</f>
        <v/>
      </c>
      <c r="G8867" s="18"/>
      <c r="H8867" s="16" t="s">
        <v>87</v>
      </c>
      <c r="I8867" s="16" t="s">
        <v>87</v>
      </c>
      <c r="J8867" s="19"/>
      <c r="L8867" s="16" t="str">
        <f>IFERROR(__xludf.DUMMYFUNCTION("""COMPUTED_VALUE"""),"")</f>
        <v/>
      </c>
      <c r="M8867" s="16" t="str">
        <f>IFERROR(__xludf.DUMMYFUNCTION("""COMPUTED_VALUE"""),"")</f>
        <v/>
      </c>
      <c r="U8867" s="16" t="s">
        <v>87</v>
      </c>
      <c r="V8867" s="16" t="str">
        <f>IFERROR(__xludf.DUMMYFUNCTION("""COMPUTED_VALUE"""),"")</f>
        <v/>
      </c>
      <c r="W8867" s="16" t="str">
        <f>IFERROR(__xludf.DUMMYFUNCTION("""COMPUTED_VALUE"""),"")</f>
        <v/>
      </c>
      <c r="X8867" s="16" t="str">
        <f>IFERROR(__xludf.DUMMYFUNCTION("""COMPUTED_VALUE"""),"")</f>
        <v/>
      </c>
      <c r="AC8867" s="16" t="str">
        <f>IFERROR(__xludf.DUMMYFUNCTION("""COMPUTED_VALUE"""),"")</f>
        <v/>
      </c>
    </row>
    <row r="8868">
      <c r="A8868" s="16" t="s">
        <v>87</v>
      </c>
      <c r="E8868" s="16" t="str">
        <f>IFERROR(__xludf.DUMMYFUNCTION("""COMPUTED_VALUE"""),"")</f>
        <v/>
      </c>
      <c r="G8868" s="18"/>
      <c r="H8868" s="16" t="s">
        <v>87</v>
      </c>
      <c r="I8868" s="16" t="s">
        <v>87</v>
      </c>
      <c r="J8868" s="19"/>
      <c r="L8868" s="16" t="str">
        <f>IFERROR(__xludf.DUMMYFUNCTION("""COMPUTED_VALUE"""),"")</f>
        <v/>
      </c>
      <c r="M8868" s="16" t="str">
        <f>IFERROR(__xludf.DUMMYFUNCTION("""COMPUTED_VALUE"""),"")</f>
        <v/>
      </c>
      <c r="U8868" s="16" t="s">
        <v>87</v>
      </c>
      <c r="V8868" s="16" t="str">
        <f>IFERROR(__xludf.DUMMYFUNCTION("""COMPUTED_VALUE"""),"")</f>
        <v/>
      </c>
      <c r="W8868" s="16" t="str">
        <f>IFERROR(__xludf.DUMMYFUNCTION("""COMPUTED_VALUE"""),"")</f>
        <v/>
      </c>
      <c r="X8868" s="16" t="str">
        <f>IFERROR(__xludf.DUMMYFUNCTION("""COMPUTED_VALUE"""),"")</f>
        <v/>
      </c>
      <c r="AC8868" s="16" t="str">
        <f>IFERROR(__xludf.DUMMYFUNCTION("""COMPUTED_VALUE"""),"")</f>
        <v/>
      </c>
    </row>
    <row r="8869">
      <c r="A8869" s="16" t="s">
        <v>87</v>
      </c>
      <c r="E8869" s="16" t="str">
        <f>IFERROR(__xludf.DUMMYFUNCTION("""COMPUTED_VALUE"""),"")</f>
        <v/>
      </c>
      <c r="G8869" s="18"/>
      <c r="H8869" s="16" t="s">
        <v>87</v>
      </c>
      <c r="I8869" s="16" t="s">
        <v>87</v>
      </c>
      <c r="J8869" s="19"/>
      <c r="L8869" s="16" t="str">
        <f>IFERROR(__xludf.DUMMYFUNCTION("""COMPUTED_VALUE"""),"")</f>
        <v/>
      </c>
      <c r="M8869" s="16" t="str">
        <f>IFERROR(__xludf.DUMMYFUNCTION("""COMPUTED_VALUE"""),"")</f>
        <v/>
      </c>
      <c r="U8869" s="16" t="s">
        <v>87</v>
      </c>
      <c r="V8869" s="16" t="str">
        <f>IFERROR(__xludf.DUMMYFUNCTION("""COMPUTED_VALUE"""),"")</f>
        <v/>
      </c>
      <c r="W8869" s="16" t="str">
        <f>IFERROR(__xludf.DUMMYFUNCTION("""COMPUTED_VALUE"""),"")</f>
        <v/>
      </c>
      <c r="X8869" s="16" t="str">
        <f>IFERROR(__xludf.DUMMYFUNCTION("""COMPUTED_VALUE"""),"")</f>
        <v/>
      </c>
      <c r="AC8869" s="16" t="str">
        <f>IFERROR(__xludf.DUMMYFUNCTION("""COMPUTED_VALUE"""),"")</f>
        <v/>
      </c>
    </row>
    <row r="8870">
      <c r="A8870" s="16" t="s">
        <v>87</v>
      </c>
      <c r="E8870" s="16" t="str">
        <f>IFERROR(__xludf.DUMMYFUNCTION("""COMPUTED_VALUE"""),"")</f>
        <v/>
      </c>
      <c r="G8870" s="18"/>
      <c r="H8870" s="16" t="s">
        <v>87</v>
      </c>
      <c r="I8870" s="16" t="s">
        <v>87</v>
      </c>
      <c r="J8870" s="19"/>
      <c r="L8870" s="16" t="str">
        <f>IFERROR(__xludf.DUMMYFUNCTION("""COMPUTED_VALUE"""),"")</f>
        <v/>
      </c>
      <c r="M8870" s="16" t="str">
        <f>IFERROR(__xludf.DUMMYFUNCTION("""COMPUTED_VALUE"""),"")</f>
        <v/>
      </c>
      <c r="U8870" s="16" t="s">
        <v>87</v>
      </c>
      <c r="V8870" s="16" t="str">
        <f>IFERROR(__xludf.DUMMYFUNCTION("""COMPUTED_VALUE"""),"")</f>
        <v/>
      </c>
      <c r="W8870" s="16" t="str">
        <f>IFERROR(__xludf.DUMMYFUNCTION("""COMPUTED_VALUE"""),"")</f>
        <v/>
      </c>
      <c r="X8870" s="16" t="str">
        <f>IFERROR(__xludf.DUMMYFUNCTION("""COMPUTED_VALUE"""),"")</f>
        <v/>
      </c>
      <c r="AC8870" s="16" t="str">
        <f>IFERROR(__xludf.DUMMYFUNCTION("""COMPUTED_VALUE"""),"")</f>
        <v/>
      </c>
    </row>
    <row r="8871">
      <c r="A8871" s="16" t="s">
        <v>87</v>
      </c>
      <c r="E8871" s="16" t="str">
        <f>IFERROR(__xludf.DUMMYFUNCTION("""COMPUTED_VALUE"""),"")</f>
        <v/>
      </c>
      <c r="G8871" s="18"/>
      <c r="H8871" s="16" t="s">
        <v>87</v>
      </c>
      <c r="I8871" s="16" t="s">
        <v>87</v>
      </c>
      <c r="J8871" s="19"/>
      <c r="L8871" s="16" t="str">
        <f>IFERROR(__xludf.DUMMYFUNCTION("""COMPUTED_VALUE"""),"")</f>
        <v/>
      </c>
      <c r="M8871" s="16" t="str">
        <f>IFERROR(__xludf.DUMMYFUNCTION("""COMPUTED_VALUE"""),"")</f>
        <v/>
      </c>
      <c r="U8871" s="16" t="s">
        <v>87</v>
      </c>
      <c r="V8871" s="16" t="str">
        <f>IFERROR(__xludf.DUMMYFUNCTION("""COMPUTED_VALUE"""),"")</f>
        <v/>
      </c>
      <c r="W8871" s="16" t="str">
        <f>IFERROR(__xludf.DUMMYFUNCTION("""COMPUTED_VALUE"""),"")</f>
        <v/>
      </c>
      <c r="X8871" s="16" t="str">
        <f>IFERROR(__xludf.DUMMYFUNCTION("""COMPUTED_VALUE"""),"")</f>
        <v/>
      </c>
      <c r="AC8871" s="16" t="str">
        <f>IFERROR(__xludf.DUMMYFUNCTION("""COMPUTED_VALUE"""),"")</f>
        <v/>
      </c>
    </row>
    <row r="8872">
      <c r="A8872" s="16" t="s">
        <v>87</v>
      </c>
      <c r="E8872" s="16" t="str">
        <f>IFERROR(__xludf.DUMMYFUNCTION("""COMPUTED_VALUE"""),"")</f>
        <v/>
      </c>
      <c r="G8872" s="18"/>
      <c r="H8872" s="16" t="s">
        <v>87</v>
      </c>
      <c r="I8872" s="16" t="s">
        <v>87</v>
      </c>
      <c r="J8872" s="19"/>
      <c r="L8872" s="16" t="str">
        <f>IFERROR(__xludf.DUMMYFUNCTION("""COMPUTED_VALUE"""),"")</f>
        <v/>
      </c>
      <c r="M8872" s="16" t="str">
        <f>IFERROR(__xludf.DUMMYFUNCTION("""COMPUTED_VALUE"""),"")</f>
        <v/>
      </c>
      <c r="U8872" s="16" t="s">
        <v>87</v>
      </c>
      <c r="V8872" s="16" t="str">
        <f>IFERROR(__xludf.DUMMYFUNCTION("""COMPUTED_VALUE"""),"")</f>
        <v/>
      </c>
      <c r="W8872" s="16" t="str">
        <f>IFERROR(__xludf.DUMMYFUNCTION("""COMPUTED_VALUE"""),"")</f>
        <v/>
      </c>
      <c r="X8872" s="16" t="str">
        <f>IFERROR(__xludf.DUMMYFUNCTION("""COMPUTED_VALUE"""),"")</f>
        <v/>
      </c>
      <c r="AC8872" s="16" t="str">
        <f>IFERROR(__xludf.DUMMYFUNCTION("""COMPUTED_VALUE"""),"")</f>
        <v/>
      </c>
    </row>
    <row r="8873">
      <c r="A8873" s="16" t="s">
        <v>87</v>
      </c>
      <c r="E8873" s="16" t="str">
        <f>IFERROR(__xludf.DUMMYFUNCTION("""COMPUTED_VALUE"""),"")</f>
        <v/>
      </c>
      <c r="G8873" s="18"/>
      <c r="H8873" s="16" t="s">
        <v>87</v>
      </c>
      <c r="I8873" s="16" t="s">
        <v>87</v>
      </c>
      <c r="J8873" s="19"/>
      <c r="L8873" s="16" t="str">
        <f>IFERROR(__xludf.DUMMYFUNCTION("""COMPUTED_VALUE"""),"")</f>
        <v/>
      </c>
      <c r="M8873" s="16" t="str">
        <f>IFERROR(__xludf.DUMMYFUNCTION("""COMPUTED_VALUE"""),"")</f>
        <v/>
      </c>
      <c r="U8873" s="16" t="s">
        <v>87</v>
      </c>
      <c r="V8873" s="16" t="str">
        <f>IFERROR(__xludf.DUMMYFUNCTION("""COMPUTED_VALUE"""),"")</f>
        <v/>
      </c>
      <c r="W8873" s="16" t="str">
        <f>IFERROR(__xludf.DUMMYFUNCTION("""COMPUTED_VALUE"""),"")</f>
        <v/>
      </c>
      <c r="X8873" s="16" t="str">
        <f>IFERROR(__xludf.DUMMYFUNCTION("""COMPUTED_VALUE"""),"")</f>
        <v/>
      </c>
      <c r="AC8873" s="16" t="str">
        <f>IFERROR(__xludf.DUMMYFUNCTION("""COMPUTED_VALUE"""),"")</f>
        <v/>
      </c>
    </row>
    <row r="8874">
      <c r="A8874" s="16" t="s">
        <v>87</v>
      </c>
      <c r="E8874" s="16" t="str">
        <f>IFERROR(__xludf.DUMMYFUNCTION("""COMPUTED_VALUE"""),"")</f>
        <v/>
      </c>
      <c r="G8874" s="18"/>
      <c r="H8874" s="16" t="s">
        <v>87</v>
      </c>
      <c r="I8874" s="16" t="s">
        <v>87</v>
      </c>
      <c r="J8874" s="19"/>
      <c r="L8874" s="16" t="str">
        <f>IFERROR(__xludf.DUMMYFUNCTION("""COMPUTED_VALUE"""),"")</f>
        <v/>
      </c>
      <c r="M8874" s="16" t="str">
        <f>IFERROR(__xludf.DUMMYFUNCTION("""COMPUTED_VALUE"""),"")</f>
        <v/>
      </c>
      <c r="U8874" s="16" t="s">
        <v>87</v>
      </c>
      <c r="V8874" s="16" t="str">
        <f>IFERROR(__xludf.DUMMYFUNCTION("""COMPUTED_VALUE"""),"")</f>
        <v/>
      </c>
      <c r="W8874" s="16" t="str">
        <f>IFERROR(__xludf.DUMMYFUNCTION("""COMPUTED_VALUE"""),"")</f>
        <v/>
      </c>
      <c r="X8874" s="16" t="str">
        <f>IFERROR(__xludf.DUMMYFUNCTION("""COMPUTED_VALUE"""),"")</f>
        <v/>
      </c>
      <c r="AC8874" s="16" t="str">
        <f>IFERROR(__xludf.DUMMYFUNCTION("""COMPUTED_VALUE"""),"")</f>
        <v/>
      </c>
    </row>
    <row r="8875">
      <c r="A8875" s="16" t="s">
        <v>87</v>
      </c>
      <c r="E8875" s="16" t="str">
        <f>IFERROR(__xludf.DUMMYFUNCTION("""COMPUTED_VALUE"""),"")</f>
        <v/>
      </c>
      <c r="G8875" s="18"/>
      <c r="H8875" s="16" t="s">
        <v>87</v>
      </c>
      <c r="I8875" s="16" t="s">
        <v>87</v>
      </c>
      <c r="J8875" s="19"/>
      <c r="L8875" s="16" t="str">
        <f>IFERROR(__xludf.DUMMYFUNCTION("""COMPUTED_VALUE"""),"")</f>
        <v/>
      </c>
      <c r="M8875" s="16" t="str">
        <f>IFERROR(__xludf.DUMMYFUNCTION("""COMPUTED_VALUE"""),"")</f>
        <v/>
      </c>
      <c r="U8875" s="16" t="s">
        <v>87</v>
      </c>
      <c r="V8875" s="16" t="str">
        <f>IFERROR(__xludf.DUMMYFUNCTION("""COMPUTED_VALUE"""),"")</f>
        <v/>
      </c>
      <c r="W8875" s="16" t="str">
        <f>IFERROR(__xludf.DUMMYFUNCTION("""COMPUTED_VALUE"""),"")</f>
        <v/>
      </c>
      <c r="X8875" s="16" t="str">
        <f>IFERROR(__xludf.DUMMYFUNCTION("""COMPUTED_VALUE"""),"")</f>
        <v/>
      </c>
      <c r="AC8875" s="16" t="str">
        <f>IFERROR(__xludf.DUMMYFUNCTION("""COMPUTED_VALUE"""),"")</f>
        <v/>
      </c>
    </row>
    <row r="8876">
      <c r="A8876" s="16" t="s">
        <v>87</v>
      </c>
      <c r="E8876" s="16" t="str">
        <f>IFERROR(__xludf.DUMMYFUNCTION("""COMPUTED_VALUE"""),"")</f>
        <v/>
      </c>
      <c r="G8876" s="18"/>
      <c r="H8876" s="16" t="s">
        <v>87</v>
      </c>
      <c r="I8876" s="16" t="s">
        <v>87</v>
      </c>
      <c r="J8876" s="19"/>
      <c r="L8876" s="16" t="str">
        <f>IFERROR(__xludf.DUMMYFUNCTION("""COMPUTED_VALUE"""),"")</f>
        <v/>
      </c>
      <c r="M8876" s="16" t="str">
        <f>IFERROR(__xludf.DUMMYFUNCTION("""COMPUTED_VALUE"""),"")</f>
        <v/>
      </c>
      <c r="U8876" s="16" t="s">
        <v>87</v>
      </c>
      <c r="V8876" s="16" t="str">
        <f>IFERROR(__xludf.DUMMYFUNCTION("""COMPUTED_VALUE"""),"")</f>
        <v/>
      </c>
      <c r="W8876" s="16" t="str">
        <f>IFERROR(__xludf.DUMMYFUNCTION("""COMPUTED_VALUE"""),"")</f>
        <v/>
      </c>
      <c r="X8876" s="16" t="str">
        <f>IFERROR(__xludf.DUMMYFUNCTION("""COMPUTED_VALUE"""),"")</f>
        <v/>
      </c>
      <c r="AC8876" s="16" t="str">
        <f>IFERROR(__xludf.DUMMYFUNCTION("""COMPUTED_VALUE"""),"")</f>
        <v/>
      </c>
    </row>
    <row r="8877">
      <c r="A8877" s="16" t="s">
        <v>87</v>
      </c>
      <c r="E8877" s="16" t="str">
        <f>IFERROR(__xludf.DUMMYFUNCTION("""COMPUTED_VALUE"""),"")</f>
        <v/>
      </c>
      <c r="G8877" s="18"/>
      <c r="H8877" s="16" t="s">
        <v>87</v>
      </c>
      <c r="I8877" s="16" t="s">
        <v>87</v>
      </c>
      <c r="J8877" s="19"/>
      <c r="L8877" s="16" t="str">
        <f>IFERROR(__xludf.DUMMYFUNCTION("""COMPUTED_VALUE"""),"")</f>
        <v/>
      </c>
      <c r="M8877" s="16" t="str">
        <f>IFERROR(__xludf.DUMMYFUNCTION("""COMPUTED_VALUE"""),"")</f>
        <v/>
      </c>
      <c r="U8877" s="16" t="s">
        <v>87</v>
      </c>
      <c r="V8877" s="16" t="str">
        <f>IFERROR(__xludf.DUMMYFUNCTION("""COMPUTED_VALUE"""),"")</f>
        <v/>
      </c>
      <c r="W8877" s="16" t="str">
        <f>IFERROR(__xludf.DUMMYFUNCTION("""COMPUTED_VALUE"""),"")</f>
        <v/>
      </c>
      <c r="X8877" s="16" t="str">
        <f>IFERROR(__xludf.DUMMYFUNCTION("""COMPUTED_VALUE"""),"")</f>
        <v/>
      </c>
      <c r="AC8877" s="16" t="str">
        <f>IFERROR(__xludf.DUMMYFUNCTION("""COMPUTED_VALUE"""),"")</f>
        <v/>
      </c>
    </row>
    <row r="8878">
      <c r="A8878" s="16" t="s">
        <v>87</v>
      </c>
      <c r="E8878" s="16" t="str">
        <f>IFERROR(__xludf.DUMMYFUNCTION("""COMPUTED_VALUE"""),"")</f>
        <v/>
      </c>
      <c r="G8878" s="18"/>
      <c r="H8878" s="16" t="s">
        <v>87</v>
      </c>
      <c r="I8878" s="16" t="s">
        <v>87</v>
      </c>
      <c r="J8878" s="19"/>
      <c r="L8878" s="16" t="str">
        <f>IFERROR(__xludf.DUMMYFUNCTION("""COMPUTED_VALUE"""),"")</f>
        <v/>
      </c>
      <c r="M8878" s="16" t="str">
        <f>IFERROR(__xludf.DUMMYFUNCTION("""COMPUTED_VALUE"""),"")</f>
        <v/>
      </c>
      <c r="U8878" s="16" t="s">
        <v>87</v>
      </c>
      <c r="V8878" s="16" t="str">
        <f>IFERROR(__xludf.DUMMYFUNCTION("""COMPUTED_VALUE"""),"")</f>
        <v/>
      </c>
      <c r="W8878" s="16" t="str">
        <f>IFERROR(__xludf.DUMMYFUNCTION("""COMPUTED_VALUE"""),"")</f>
        <v/>
      </c>
      <c r="X8878" s="16" t="str">
        <f>IFERROR(__xludf.DUMMYFUNCTION("""COMPUTED_VALUE"""),"")</f>
        <v/>
      </c>
      <c r="AC8878" s="16" t="str">
        <f>IFERROR(__xludf.DUMMYFUNCTION("""COMPUTED_VALUE"""),"")</f>
        <v/>
      </c>
    </row>
    <row r="8879">
      <c r="A8879" s="16" t="s">
        <v>87</v>
      </c>
      <c r="E8879" s="16" t="str">
        <f>IFERROR(__xludf.DUMMYFUNCTION("""COMPUTED_VALUE"""),"")</f>
        <v/>
      </c>
      <c r="G8879" s="18"/>
      <c r="H8879" s="16" t="s">
        <v>87</v>
      </c>
      <c r="I8879" s="16" t="s">
        <v>87</v>
      </c>
      <c r="J8879" s="19"/>
      <c r="L8879" s="16" t="str">
        <f>IFERROR(__xludf.DUMMYFUNCTION("""COMPUTED_VALUE"""),"")</f>
        <v/>
      </c>
      <c r="M8879" s="16" t="str">
        <f>IFERROR(__xludf.DUMMYFUNCTION("""COMPUTED_VALUE"""),"")</f>
        <v/>
      </c>
      <c r="U8879" s="16" t="s">
        <v>87</v>
      </c>
      <c r="V8879" s="16" t="str">
        <f>IFERROR(__xludf.DUMMYFUNCTION("""COMPUTED_VALUE"""),"")</f>
        <v/>
      </c>
      <c r="W8879" s="16" t="str">
        <f>IFERROR(__xludf.DUMMYFUNCTION("""COMPUTED_VALUE"""),"")</f>
        <v/>
      </c>
      <c r="X8879" s="16" t="str">
        <f>IFERROR(__xludf.DUMMYFUNCTION("""COMPUTED_VALUE"""),"")</f>
        <v/>
      </c>
      <c r="AC8879" s="16" t="str">
        <f>IFERROR(__xludf.DUMMYFUNCTION("""COMPUTED_VALUE"""),"")</f>
        <v/>
      </c>
    </row>
    <row r="8880">
      <c r="A8880" s="16" t="s">
        <v>87</v>
      </c>
      <c r="E8880" s="16" t="str">
        <f>IFERROR(__xludf.DUMMYFUNCTION("""COMPUTED_VALUE"""),"")</f>
        <v/>
      </c>
      <c r="G8880" s="18"/>
      <c r="H8880" s="16" t="s">
        <v>87</v>
      </c>
      <c r="I8880" s="16" t="s">
        <v>87</v>
      </c>
      <c r="J8880" s="19"/>
      <c r="L8880" s="16" t="str">
        <f>IFERROR(__xludf.DUMMYFUNCTION("""COMPUTED_VALUE"""),"")</f>
        <v/>
      </c>
      <c r="M8880" s="16" t="str">
        <f>IFERROR(__xludf.DUMMYFUNCTION("""COMPUTED_VALUE"""),"")</f>
        <v/>
      </c>
      <c r="U8880" s="16" t="s">
        <v>87</v>
      </c>
      <c r="V8880" s="16" t="str">
        <f>IFERROR(__xludf.DUMMYFUNCTION("""COMPUTED_VALUE"""),"")</f>
        <v/>
      </c>
      <c r="W8880" s="16" t="str">
        <f>IFERROR(__xludf.DUMMYFUNCTION("""COMPUTED_VALUE"""),"")</f>
        <v/>
      </c>
      <c r="X8880" s="16" t="str">
        <f>IFERROR(__xludf.DUMMYFUNCTION("""COMPUTED_VALUE"""),"")</f>
        <v/>
      </c>
      <c r="AC8880" s="16" t="str">
        <f>IFERROR(__xludf.DUMMYFUNCTION("""COMPUTED_VALUE"""),"")</f>
        <v/>
      </c>
    </row>
    <row r="8881">
      <c r="A8881" s="16" t="s">
        <v>87</v>
      </c>
      <c r="E8881" s="16" t="str">
        <f>IFERROR(__xludf.DUMMYFUNCTION("""COMPUTED_VALUE"""),"")</f>
        <v/>
      </c>
      <c r="G8881" s="18"/>
      <c r="H8881" s="16" t="s">
        <v>87</v>
      </c>
      <c r="I8881" s="16" t="s">
        <v>87</v>
      </c>
      <c r="J8881" s="19"/>
      <c r="L8881" s="16" t="str">
        <f>IFERROR(__xludf.DUMMYFUNCTION("""COMPUTED_VALUE"""),"")</f>
        <v/>
      </c>
      <c r="M8881" s="16" t="str">
        <f>IFERROR(__xludf.DUMMYFUNCTION("""COMPUTED_VALUE"""),"")</f>
        <v/>
      </c>
      <c r="U8881" s="16" t="s">
        <v>87</v>
      </c>
      <c r="V8881" s="16" t="str">
        <f>IFERROR(__xludf.DUMMYFUNCTION("""COMPUTED_VALUE"""),"")</f>
        <v/>
      </c>
      <c r="W8881" s="16" t="str">
        <f>IFERROR(__xludf.DUMMYFUNCTION("""COMPUTED_VALUE"""),"")</f>
        <v/>
      </c>
      <c r="X8881" s="16" t="str">
        <f>IFERROR(__xludf.DUMMYFUNCTION("""COMPUTED_VALUE"""),"")</f>
        <v/>
      </c>
      <c r="AC8881" s="16" t="str">
        <f>IFERROR(__xludf.DUMMYFUNCTION("""COMPUTED_VALUE"""),"")</f>
        <v/>
      </c>
    </row>
    <row r="8882">
      <c r="A8882" s="16" t="s">
        <v>87</v>
      </c>
      <c r="E8882" s="16" t="str">
        <f>IFERROR(__xludf.DUMMYFUNCTION("""COMPUTED_VALUE"""),"")</f>
        <v/>
      </c>
      <c r="G8882" s="18"/>
      <c r="H8882" s="16" t="s">
        <v>87</v>
      </c>
      <c r="I8882" s="16" t="s">
        <v>87</v>
      </c>
      <c r="J8882" s="19"/>
      <c r="L8882" s="16" t="str">
        <f>IFERROR(__xludf.DUMMYFUNCTION("""COMPUTED_VALUE"""),"")</f>
        <v/>
      </c>
      <c r="M8882" s="16" t="str">
        <f>IFERROR(__xludf.DUMMYFUNCTION("""COMPUTED_VALUE"""),"")</f>
        <v/>
      </c>
      <c r="U8882" s="16" t="s">
        <v>87</v>
      </c>
      <c r="V8882" s="16" t="str">
        <f>IFERROR(__xludf.DUMMYFUNCTION("""COMPUTED_VALUE"""),"")</f>
        <v/>
      </c>
      <c r="W8882" s="16" t="str">
        <f>IFERROR(__xludf.DUMMYFUNCTION("""COMPUTED_VALUE"""),"")</f>
        <v/>
      </c>
      <c r="X8882" s="16" t="str">
        <f>IFERROR(__xludf.DUMMYFUNCTION("""COMPUTED_VALUE"""),"")</f>
        <v/>
      </c>
      <c r="AC8882" s="16" t="str">
        <f>IFERROR(__xludf.DUMMYFUNCTION("""COMPUTED_VALUE"""),"")</f>
        <v/>
      </c>
    </row>
    <row r="8883">
      <c r="A8883" s="16" t="s">
        <v>87</v>
      </c>
      <c r="E8883" s="16" t="str">
        <f>IFERROR(__xludf.DUMMYFUNCTION("""COMPUTED_VALUE"""),"")</f>
        <v/>
      </c>
      <c r="G8883" s="18"/>
      <c r="H8883" s="16" t="s">
        <v>87</v>
      </c>
      <c r="I8883" s="16" t="s">
        <v>87</v>
      </c>
      <c r="J8883" s="19"/>
      <c r="L8883" s="16" t="str">
        <f>IFERROR(__xludf.DUMMYFUNCTION("""COMPUTED_VALUE"""),"")</f>
        <v/>
      </c>
      <c r="M8883" s="16" t="str">
        <f>IFERROR(__xludf.DUMMYFUNCTION("""COMPUTED_VALUE"""),"")</f>
        <v/>
      </c>
      <c r="U8883" s="16" t="s">
        <v>87</v>
      </c>
      <c r="V8883" s="16" t="str">
        <f>IFERROR(__xludf.DUMMYFUNCTION("""COMPUTED_VALUE"""),"")</f>
        <v/>
      </c>
      <c r="W8883" s="16" t="str">
        <f>IFERROR(__xludf.DUMMYFUNCTION("""COMPUTED_VALUE"""),"")</f>
        <v/>
      </c>
      <c r="X8883" s="16" t="str">
        <f>IFERROR(__xludf.DUMMYFUNCTION("""COMPUTED_VALUE"""),"")</f>
        <v/>
      </c>
      <c r="AC8883" s="16" t="str">
        <f>IFERROR(__xludf.DUMMYFUNCTION("""COMPUTED_VALUE"""),"")</f>
        <v/>
      </c>
    </row>
    <row r="8884">
      <c r="A8884" s="16" t="s">
        <v>87</v>
      </c>
      <c r="E8884" s="16" t="str">
        <f>IFERROR(__xludf.DUMMYFUNCTION("""COMPUTED_VALUE"""),"")</f>
        <v/>
      </c>
      <c r="G8884" s="18"/>
      <c r="H8884" s="16" t="s">
        <v>87</v>
      </c>
      <c r="I8884" s="16" t="s">
        <v>87</v>
      </c>
      <c r="J8884" s="19"/>
      <c r="L8884" s="16" t="str">
        <f>IFERROR(__xludf.DUMMYFUNCTION("""COMPUTED_VALUE"""),"")</f>
        <v/>
      </c>
      <c r="M8884" s="16" t="str">
        <f>IFERROR(__xludf.DUMMYFUNCTION("""COMPUTED_VALUE"""),"")</f>
        <v/>
      </c>
      <c r="U8884" s="16" t="s">
        <v>87</v>
      </c>
      <c r="V8884" s="16" t="str">
        <f>IFERROR(__xludf.DUMMYFUNCTION("""COMPUTED_VALUE"""),"")</f>
        <v/>
      </c>
      <c r="W8884" s="16" t="str">
        <f>IFERROR(__xludf.DUMMYFUNCTION("""COMPUTED_VALUE"""),"")</f>
        <v/>
      </c>
      <c r="X8884" s="16" t="str">
        <f>IFERROR(__xludf.DUMMYFUNCTION("""COMPUTED_VALUE"""),"")</f>
        <v/>
      </c>
      <c r="AC8884" s="16" t="str">
        <f>IFERROR(__xludf.DUMMYFUNCTION("""COMPUTED_VALUE"""),"")</f>
        <v/>
      </c>
    </row>
    <row r="8885">
      <c r="A8885" s="16" t="s">
        <v>87</v>
      </c>
      <c r="E8885" s="16" t="str">
        <f>IFERROR(__xludf.DUMMYFUNCTION("""COMPUTED_VALUE"""),"")</f>
        <v/>
      </c>
      <c r="G8885" s="18"/>
      <c r="H8885" s="16" t="s">
        <v>87</v>
      </c>
      <c r="I8885" s="16" t="s">
        <v>87</v>
      </c>
      <c r="J8885" s="19"/>
      <c r="L8885" s="16" t="str">
        <f>IFERROR(__xludf.DUMMYFUNCTION("""COMPUTED_VALUE"""),"")</f>
        <v/>
      </c>
      <c r="M8885" s="16" t="str">
        <f>IFERROR(__xludf.DUMMYFUNCTION("""COMPUTED_VALUE"""),"")</f>
        <v/>
      </c>
      <c r="U8885" s="16" t="s">
        <v>87</v>
      </c>
      <c r="V8885" s="16" t="str">
        <f>IFERROR(__xludf.DUMMYFUNCTION("""COMPUTED_VALUE"""),"")</f>
        <v/>
      </c>
      <c r="W8885" s="16" t="str">
        <f>IFERROR(__xludf.DUMMYFUNCTION("""COMPUTED_VALUE"""),"")</f>
        <v/>
      </c>
      <c r="X8885" s="16" t="str">
        <f>IFERROR(__xludf.DUMMYFUNCTION("""COMPUTED_VALUE"""),"")</f>
        <v/>
      </c>
      <c r="AC8885" s="16" t="str">
        <f>IFERROR(__xludf.DUMMYFUNCTION("""COMPUTED_VALUE"""),"")</f>
        <v/>
      </c>
    </row>
    <row r="8886">
      <c r="A8886" s="16" t="s">
        <v>87</v>
      </c>
      <c r="E8886" s="16" t="str">
        <f>IFERROR(__xludf.DUMMYFUNCTION("""COMPUTED_VALUE"""),"")</f>
        <v/>
      </c>
      <c r="G8886" s="18"/>
      <c r="H8886" s="16" t="s">
        <v>87</v>
      </c>
      <c r="I8886" s="16" t="s">
        <v>87</v>
      </c>
      <c r="J8886" s="19"/>
      <c r="L8886" s="16" t="str">
        <f>IFERROR(__xludf.DUMMYFUNCTION("""COMPUTED_VALUE"""),"")</f>
        <v/>
      </c>
      <c r="M8886" s="16" t="str">
        <f>IFERROR(__xludf.DUMMYFUNCTION("""COMPUTED_VALUE"""),"")</f>
        <v/>
      </c>
      <c r="U8886" s="16" t="s">
        <v>87</v>
      </c>
      <c r="V8886" s="16" t="str">
        <f>IFERROR(__xludf.DUMMYFUNCTION("""COMPUTED_VALUE"""),"")</f>
        <v/>
      </c>
      <c r="W8886" s="16" t="str">
        <f>IFERROR(__xludf.DUMMYFUNCTION("""COMPUTED_VALUE"""),"")</f>
        <v/>
      </c>
      <c r="X8886" s="16" t="str">
        <f>IFERROR(__xludf.DUMMYFUNCTION("""COMPUTED_VALUE"""),"")</f>
        <v/>
      </c>
      <c r="AC8886" s="16" t="str">
        <f>IFERROR(__xludf.DUMMYFUNCTION("""COMPUTED_VALUE"""),"")</f>
        <v/>
      </c>
    </row>
    <row r="8887">
      <c r="A8887" s="16" t="s">
        <v>87</v>
      </c>
      <c r="E8887" s="16" t="str">
        <f>IFERROR(__xludf.DUMMYFUNCTION("""COMPUTED_VALUE"""),"")</f>
        <v/>
      </c>
      <c r="G8887" s="18"/>
      <c r="H8887" s="16" t="s">
        <v>87</v>
      </c>
      <c r="I8887" s="16" t="s">
        <v>87</v>
      </c>
      <c r="J8887" s="19"/>
      <c r="L8887" s="16" t="str">
        <f>IFERROR(__xludf.DUMMYFUNCTION("""COMPUTED_VALUE"""),"")</f>
        <v/>
      </c>
      <c r="M8887" s="16" t="str">
        <f>IFERROR(__xludf.DUMMYFUNCTION("""COMPUTED_VALUE"""),"")</f>
        <v/>
      </c>
      <c r="U8887" s="16" t="s">
        <v>87</v>
      </c>
      <c r="V8887" s="16" t="str">
        <f>IFERROR(__xludf.DUMMYFUNCTION("""COMPUTED_VALUE"""),"")</f>
        <v/>
      </c>
      <c r="W8887" s="16" t="str">
        <f>IFERROR(__xludf.DUMMYFUNCTION("""COMPUTED_VALUE"""),"")</f>
        <v/>
      </c>
      <c r="X8887" s="16" t="str">
        <f>IFERROR(__xludf.DUMMYFUNCTION("""COMPUTED_VALUE"""),"")</f>
        <v/>
      </c>
      <c r="AC8887" s="16" t="str">
        <f>IFERROR(__xludf.DUMMYFUNCTION("""COMPUTED_VALUE"""),"")</f>
        <v/>
      </c>
    </row>
    <row r="8888">
      <c r="A8888" s="16" t="s">
        <v>87</v>
      </c>
      <c r="E8888" s="16" t="str">
        <f>IFERROR(__xludf.DUMMYFUNCTION("""COMPUTED_VALUE"""),"")</f>
        <v/>
      </c>
      <c r="G8888" s="18"/>
      <c r="H8888" s="16" t="s">
        <v>87</v>
      </c>
      <c r="I8888" s="16" t="s">
        <v>87</v>
      </c>
      <c r="J8888" s="19"/>
      <c r="L8888" s="16" t="str">
        <f>IFERROR(__xludf.DUMMYFUNCTION("""COMPUTED_VALUE"""),"")</f>
        <v/>
      </c>
      <c r="M8888" s="16" t="str">
        <f>IFERROR(__xludf.DUMMYFUNCTION("""COMPUTED_VALUE"""),"")</f>
        <v/>
      </c>
      <c r="U8888" s="16" t="s">
        <v>87</v>
      </c>
      <c r="V8888" s="16" t="str">
        <f>IFERROR(__xludf.DUMMYFUNCTION("""COMPUTED_VALUE"""),"")</f>
        <v/>
      </c>
      <c r="W8888" s="16" t="str">
        <f>IFERROR(__xludf.DUMMYFUNCTION("""COMPUTED_VALUE"""),"")</f>
        <v/>
      </c>
      <c r="X8888" s="16" t="str">
        <f>IFERROR(__xludf.DUMMYFUNCTION("""COMPUTED_VALUE"""),"")</f>
        <v/>
      </c>
      <c r="AC8888" s="16" t="str">
        <f>IFERROR(__xludf.DUMMYFUNCTION("""COMPUTED_VALUE"""),"")</f>
        <v/>
      </c>
    </row>
    <row r="8889">
      <c r="A8889" s="16" t="s">
        <v>87</v>
      </c>
      <c r="E8889" s="16" t="str">
        <f>IFERROR(__xludf.DUMMYFUNCTION("""COMPUTED_VALUE"""),"")</f>
        <v/>
      </c>
      <c r="G8889" s="18"/>
      <c r="H8889" s="16" t="s">
        <v>87</v>
      </c>
      <c r="I8889" s="16" t="s">
        <v>87</v>
      </c>
      <c r="J8889" s="19"/>
      <c r="L8889" s="16" t="str">
        <f>IFERROR(__xludf.DUMMYFUNCTION("""COMPUTED_VALUE"""),"")</f>
        <v/>
      </c>
      <c r="M8889" s="16" t="str">
        <f>IFERROR(__xludf.DUMMYFUNCTION("""COMPUTED_VALUE"""),"")</f>
        <v/>
      </c>
      <c r="U8889" s="16" t="s">
        <v>87</v>
      </c>
      <c r="V8889" s="16" t="str">
        <f>IFERROR(__xludf.DUMMYFUNCTION("""COMPUTED_VALUE"""),"")</f>
        <v/>
      </c>
      <c r="W8889" s="16" t="str">
        <f>IFERROR(__xludf.DUMMYFUNCTION("""COMPUTED_VALUE"""),"")</f>
        <v/>
      </c>
      <c r="X8889" s="16" t="str">
        <f>IFERROR(__xludf.DUMMYFUNCTION("""COMPUTED_VALUE"""),"")</f>
        <v/>
      </c>
      <c r="AC8889" s="16" t="str">
        <f>IFERROR(__xludf.DUMMYFUNCTION("""COMPUTED_VALUE"""),"")</f>
        <v/>
      </c>
    </row>
    <row r="8890">
      <c r="A8890" s="16" t="s">
        <v>87</v>
      </c>
      <c r="E8890" s="16" t="str">
        <f>IFERROR(__xludf.DUMMYFUNCTION("""COMPUTED_VALUE"""),"")</f>
        <v/>
      </c>
      <c r="G8890" s="18"/>
      <c r="H8890" s="16" t="s">
        <v>87</v>
      </c>
      <c r="I8890" s="16" t="s">
        <v>87</v>
      </c>
      <c r="J8890" s="19"/>
      <c r="L8890" s="16" t="str">
        <f>IFERROR(__xludf.DUMMYFUNCTION("""COMPUTED_VALUE"""),"")</f>
        <v/>
      </c>
      <c r="M8890" s="16" t="str">
        <f>IFERROR(__xludf.DUMMYFUNCTION("""COMPUTED_VALUE"""),"")</f>
        <v/>
      </c>
      <c r="U8890" s="16" t="s">
        <v>87</v>
      </c>
      <c r="V8890" s="16" t="str">
        <f>IFERROR(__xludf.DUMMYFUNCTION("""COMPUTED_VALUE"""),"")</f>
        <v/>
      </c>
      <c r="W8890" s="16" t="str">
        <f>IFERROR(__xludf.DUMMYFUNCTION("""COMPUTED_VALUE"""),"")</f>
        <v/>
      </c>
      <c r="X8890" s="16" t="str">
        <f>IFERROR(__xludf.DUMMYFUNCTION("""COMPUTED_VALUE"""),"")</f>
        <v/>
      </c>
      <c r="AC8890" s="16" t="str">
        <f>IFERROR(__xludf.DUMMYFUNCTION("""COMPUTED_VALUE"""),"")</f>
        <v/>
      </c>
    </row>
    <row r="8891">
      <c r="A8891" s="16" t="s">
        <v>87</v>
      </c>
      <c r="E8891" s="16" t="str">
        <f>IFERROR(__xludf.DUMMYFUNCTION("""COMPUTED_VALUE"""),"")</f>
        <v/>
      </c>
      <c r="G8891" s="18"/>
      <c r="H8891" s="16" t="s">
        <v>87</v>
      </c>
      <c r="I8891" s="16" t="s">
        <v>87</v>
      </c>
      <c r="J8891" s="19"/>
      <c r="L8891" s="16" t="str">
        <f>IFERROR(__xludf.DUMMYFUNCTION("""COMPUTED_VALUE"""),"")</f>
        <v/>
      </c>
      <c r="M8891" s="16" t="str">
        <f>IFERROR(__xludf.DUMMYFUNCTION("""COMPUTED_VALUE"""),"")</f>
        <v/>
      </c>
      <c r="U8891" s="16" t="s">
        <v>87</v>
      </c>
      <c r="V8891" s="16" t="str">
        <f>IFERROR(__xludf.DUMMYFUNCTION("""COMPUTED_VALUE"""),"")</f>
        <v/>
      </c>
      <c r="W8891" s="16" t="str">
        <f>IFERROR(__xludf.DUMMYFUNCTION("""COMPUTED_VALUE"""),"")</f>
        <v/>
      </c>
      <c r="X8891" s="16" t="str">
        <f>IFERROR(__xludf.DUMMYFUNCTION("""COMPUTED_VALUE"""),"")</f>
        <v/>
      </c>
      <c r="AC8891" s="16" t="str">
        <f>IFERROR(__xludf.DUMMYFUNCTION("""COMPUTED_VALUE"""),"")</f>
        <v/>
      </c>
    </row>
    <row r="8892">
      <c r="A8892" s="16" t="s">
        <v>87</v>
      </c>
      <c r="E8892" s="16" t="str">
        <f>IFERROR(__xludf.DUMMYFUNCTION("""COMPUTED_VALUE"""),"")</f>
        <v/>
      </c>
      <c r="G8892" s="18"/>
      <c r="H8892" s="16" t="s">
        <v>87</v>
      </c>
      <c r="I8892" s="16" t="s">
        <v>87</v>
      </c>
      <c r="J8892" s="19"/>
      <c r="L8892" s="16" t="str">
        <f>IFERROR(__xludf.DUMMYFUNCTION("""COMPUTED_VALUE"""),"")</f>
        <v/>
      </c>
      <c r="M8892" s="16" t="str">
        <f>IFERROR(__xludf.DUMMYFUNCTION("""COMPUTED_VALUE"""),"")</f>
        <v/>
      </c>
      <c r="U8892" s="16" t="s">
        <v>87</v>
      </c>
      <c r="V8892" s="16" t="str">
        <f>IFERROR(__xludf.DUMMYFUNCTION("""COMPUTED_VALUE"""),"")</f>
        <v/>
      </c>
      <c r="W8892" s="16" t="str">
        <f>IFERROR(__xludf.DUMMYFUNCTION("""COMPUTED_VALUE"""),"")</f>
        <v/>
      </c>
      <c r="X8892" s="16" t="str">
        <f>IFERROR(__xludf.DUMMYFUNCTION("""COMPUTED_VALUE"""),"")</f>
        <v/>
      </c>
      <c r="AC8892" s="16" t="str">
        <f>IFERROR(__xludf.DUMMYFUNCTION("""COMPUTED_VALUE"""),"")</f>
        <v/>
      </c>
    </row>
    <row r="8893">
      <c r="A8893" s="16" t="s">
        <v>87</v>
      </c>
      <c r="E8893" s="16" t="str">
        <f>IFERROR(__xludf.DUMMYFUNCTION("""COMPUTED_VALUE"""),"")</f>
        <v/>
      </c>
      <c r="G8893" s="18"/>
      <c r="H8893" s="16" t="s">
        <v>87</v>
      </c>
      <c r="I8893" s="16" t="s">
        <v>87</v>
      </c>
      <c r="J8893" s="19"/>
      <c r="L8893" s="16" t="str">
        <f>IFERROR(__xludf.DUMMYFUNCTION("""COMPUTED_VALUE"""),"")</f>
        <v/>
      </c>
      <c r="M8893" s="16" t="str">
        <f>IFERROR(__xludf.DUMMYFUNCTION("""COMPUTED_VALUE"""),"")</f>
        <v/>
      </c>
      <c r="U8893" s="16" t="s">
        <v>87</v>
      </c>
      <c r="V8893" s="16" t="str">
        <f>IFERROR(__xludf.DUMMYFUNCTION("""COMPUTED_VALUE"""),"")</f>
        <v/>
      </c>
      <c r="W8893" s="16" t="str">
        <f>IFERROR(__xludf.DUMMYFUNCTION("""COMPUTED_VALUE"""),"")</f>
        <v/>
      </c>
      <c r="X8893" s="16" t="str">
        <f>IFERROR(__xludf.DUMMYFUNCTION("""COMPUTED_VALUE"""),"")</f>
        <v/>
      </c>
      <c r="AC8893" s="16" t="str">
        <f>IFERROR(__xludf.DUMMYFUNCTION("""COMPUTED_VALUE"""),"")</f>
        <v/>
      </c>
    </row>
    <row r="8894">
      <c r="A8894" s="16" t="s">
        <v>87</v>
      </c>
      <c r="E8894" s="16" t="str">
        <f>IFERROR(__xludf.DUMMYFUNCTION("""COMPUTED_VALUE"""),"")</f>
        <v/>
      </c>
      <c r="G8894" s="18"/>
      <c r="H8894" s="16" t="s">
        <v>87</v>
      </c>
      <c r="I8894" s="16" t="s">
        <v>87</v>
      </c>
      <c r="J8894" s="19"/>
      <c r="L8894" s="16" t="str">
        <f>IFERROR(__xludf.DUMMYFUNCTION("""COMPUTED_VALUE"""),"")</f>
        <v/>
      </c>
      <c r="M8894" s="16" t="str">
        <f>IFERROR(__xludf.DUMMYFUNCTION("""COMPUTED_VALUE"""),"")</f>
        <v/>
      </c>
      <c r="U8894" s="16" t="s">
        <v>87</v>
      </c>
      <c r="V8894" s="16" t="str">
        <f>IFERROR(__xludf.DUMMYFUNCTION("""COMPUTED_VALUE"""),"")</f>
        <v/>
      </c>
      <c r="W8894" s="16" t="str">
        <f>IFERROR(__xludf.DUMMYFUNCTION("""COMPUTED_VALUE"""),"")</f>
        <v/>
      </c>
      <c r="X8894" s="16" t="str">
        <f>IFERROR(__xludf.DUMMYFUNCTION("""COMPUTED_VALUE"""),"")</f>
        <v/>
      </c>
      <c r="AC8894" s="16" t="str">
        <f>IFERROR(__xludf.DUMMYFUNCTION("""COMPUTED_VALUE"""),"")</f>
        <v/>
      </c>
    </row>
    <row r="8895">
      <c r="A8895" s="16" t="s">
        <v>87</v>
      </c>
      <c r="E8895" s="16" t="str">
        <f>IFERROR(__xludf.DUMMYFUNCTION("""COMPUTED_VALUE"""),"")</f>
        <v/>
      </c>
      <c r="G8895" s="18"/>
      <c r="H8895" s="16" t="s">
        <v>87</v>
      </c>
      <c r="I8895" s="16" t="s">
        <v>87</v>
      </c>
      <c r="J8895" s="19"/>
      <c r="L8895" s="16" t="str">
        <f>IFERROR(__xludf.DUMMYFUNCTION("""COMPUTED_VALUE"""),"")</f>
        <v/>
      </c>
      <c r="M8895" s="16" t="str">
        <f>IFERROR(__xludf.DUMMYFUNCTION("""COMPUTED_VALUE"""),"")</f>
        <v/>
      </c>
      <c r="U8895" s="16" t="s">
        <v>87</v>
      </c>
      <c r="V8895" s="16" t="str">
        <f>IFERROR(__xludf.DUMMYFUNCTION("""COMPUTED_VALUE"""),"")</f>
        <v/>
      </c>
      <c r="W8895" s="16" t="str">
        <f>IFERROR(__xludf.DUMMYFUNCTION("""COMPUTED_VALUE"""),"")</f>
        <v/>
      </c>
      <c r="X8895" s="16" t="str">
        <f>IFERROR(__xludf.DUMMYFUNCTION("""COMPUTED_VALUE"""),"")</f>
        <v/>
      </c>
      <c r="AC8895" s="16" t="str">
        <f>IFERROR(__xludf.DUMMYFUNCTION("""COMPUTED_VALUE"""),"")</f>
        <v/>
      </c>
    </row>
    <row r="8896">
      <c r="A8896" s="16" t="s">
        <v>87</v>
      </c>
      <c r="E8896" s="16" t="str">
        <f>IFERROR(__xludf.DUMMYFUNCTION("""COMPUTED_VALUE"""),"")</f>
        <v/>
      </c>
      <c r="G8896" s="18"/>
      <c r="H8896" s="16" t="s">
        <v>87</v>
      </c>
      <c r="I8896" s="16" t="s">
        <v>87</v>
      </c>
      <c r="J8896" s="19"/>
      <c r="L8896" s="16" t="str">
        <f>IFERROR(__xludf.DUMMYFUNCTION("""COMPUTED_VALUE"""),"")</f>
        <v/>
      </c>
      <c r="M8896" s="16" t="str">
        <f>IFERROR(__xludf.DUMMYFUNCTION("""COMPUTED_VALUE"""),"")</f>
        <v/>
      </c>
      <c r="U8896" s="16" t="s">
        <v>87</v>
      </c>
      <c r="V8896" s="16" t="str">
        <f>IFERROR(__xludf.DUMMYFUNCTION("""COMPUTED_VALUE"""),"")</f>
        <v/>
      </c>
      <c r="W8896" s="16" t="str">
        <f>IFERROR(__xludf.DUMMYFUNCTION("""COMPUTED_VALUE"""),"")</f>
        <v/>
      </c>
      <c r="X8896" s="16" t="str">
        <f>IFERROR(__xludf.DUMMYFUNCTION("""COMPUTED_VALUE"""),"")</f>
        <v/>
      </c>
      <c r="AC8896" s="16" t="str">
        <f>IFERROR(__xludf.DUMMYFUNCTION("""COMPUTED_VALUE"""),"")</f>
        <v/>
      </c>
    </row>
    <row r="8897">
      <c r="A8897" s="16" t="s">
        <v>87</v>
      </c>
      <c r="E8897" s="16" t="str">
        <f>IFERROR(__xludf.DUMMYFUNCTION("""COMPUTED_VALUE"""),"")</f>
        <v/>
      </c>
      <c r="G8897" s="18"/>
      <c r="H8897" s="16" t="s">
        <v>87</v>
      </c>
      <c r="I8897" s="16" t="s">
        <v>87</v>
      </c>
      <c r="J8897" s="19"/>
      <c r="L8897" s="16" t="str">
        <f>IFERROR(__xludf.DUMMYFUNCTION("""COMPUTED_VALUE"""),"")</f>
        <v/>
      </c>
      <c r="M8897" s="16" t="str">
        <f>IFERROR(__xludf.DUMMYFUNCTION("""COMPUTED_VALUE"""),"")</f>
        <v/>
      </c>
      <c r="U8897" s="16" t="s">
        <v>87</v>
      </c>
      <c r="V8897" s="16" t="str">
        <f>IFERROR(__xludf.DUMMYFUNCTION("""COMPUTED_VALUE"""),"")</f>
        <v/>
      </c>
      <c r="W8897" s="16" t="str">
        <f>IFERROR(__xludf.DUMMYFUNCTION("""COMPUTED_VALUE"""),"")</f>
        <v/>
      </c>
      <c r="X8897" s="16" t="str">
        <f>IFERROR(__xludf.DUMMYFUNCTION("""COMPUTED_VALUE"""),"")</f>
        <v/>
      </c>
      <c r="AC8897" s="16" t="str">
        <f>IFERROR(__xludf.DUMMYFUNCTION("""COMPUTED_VALUE"""),"")</f>
        <v/>
      </c>
    </row>
    <row r="8898">
      <c r="A8898" s="16" t="s">
        <v>87</v>
      </c>
      <c r="E8898" s="16" t="str">
        <f>IFERROR(__xludf.DUMMYFUNCTION("""COMPUTED_VALUE"""),"")</f>
        <v/>
      </c>
      <c r="G8898" s="18"/>
      <c r="H8898" s="16" t="s">
        <v>87</v>
      </c>
      <c r="I8898" s="16" t="s">
        <v>87</v>
      </c>
      <c r="J8898" s="19"/>
      <c r="L8898" s="16" t="str">
        <f>IFERROR(__xludf.DUMMYFUNCTION("""COMPUTED_VALUE"""),"")</f>
        <v/>
      </c>
      <c r="M8898" s="16" t="str">
        <f>IFERROR(__xludf.DUMMYFUNCTION("""COMPUTED_VALUE"""),"")</f>
        <v/>
      </c>
      <c r="U8898" s="16" t="s">
        <v>87</v>
      </c>
      <c r="V8898" s="16" t="str">
        <f>IFERROR(__xludf.DUMMYFUNCTION("""COMPUTED_VALUE"""),"")</f>
        <v/>
      </c>
      <c r="W8898" s="16" t="str">
        <f>IFERROR(__xludf.DUMMYFUNCTION("""COMPUTED_VALUE"""),"")</f>
        <v/>
      </c>
      <c r="X8898" s="16" t="str">
        <f>IFERROR(__xludf.DUMMYFUNCTION("""COMPUTED_VALUE"""),"")</f>
        <v/>
      </c>
      <c r="AC8898" s="16" t="str">
        <f>IFERROR(__xludf.DUMMYFUNCTION("""COMPUTED_VALUE"""),"")</f>
        <v/>
      </c>
    </row>
    <row r="8899">
      <c r="A8899" s="16" t="s">
        <v>87</v>
      </c>
      <c r="E8899" s="16" t="str">
        <f>IFERROR(__xludf.DUMMYFUNCTION("""COMPUTED_VALUE"""),"")</f>
        <v/>
      </c>
      <c r="G8899" s="18"/>
      <c r="H8899" s="16" t="s">
        <v>87</v>
      </c>
      <c r="I8899" s="16" t="s">
        <v>87</v>
      </c>
      <c r="J8899" s="19"/>
      <c r="L8899" s="16" t="str">
        <f>IFERROR(__xludf.DUMMYFUNCTION("""COMPUTED_VALUE"""),"")</f>
        <v/>
      </c>
      <c r="M8899" s="16" t="str">
        <f>IFERROR(__xludf.DUMMYFUNCTION("""COMPUTED_VALUE"""),"")</f>
        <v/>
      </c>
      <c r="U8899" s="16" t="s">
        <v>87</v>
      </c>
      <c r="V8899" s="16" t="str">
        <f>IFERROR(__xludf.DUMMYFUNCTION("""COMPUTED_VALUE"""),"")</f>
        <v/>
      </c>
      <c r="W8899" s="16" t="str">
        <f>IFERROR(__xludf.DUMMYFUNCTION("""COMPUTED_VALUE"""),"")</f>
        <v/>
      </c>
      <c r="X8899" s="16" t="str">
        <f>IFERROR(__xludf.DUMMYFUNCTION("""COMPUTED_VALUE"""),"")</f>
        <v/>
      </c>
      <c r="AC8899" s="16" t="str">
        <f>IFERROR(__xludf.DUMMYFUNCTION("""COMPUTED_VALUE"""),"")</f>
        <v/>
      </c>
    </row>
    <row r="8900">
      <c r="A8900" s="16" t="s">
        <v>87</v>
      </c>
      <c r="E8900" s="16" t="str">
        <f>IFERROR(__xludf.DUMMYFUNCTION("""COMPUTED_VALUE"""),"")</f>
        <v/>
      </c>
      <c r="G8900" s="18"/>
      <c r="H8900" s="16" t="s">
        <v>87</v>
      </c>
      <c r="I8900" s="16" t="s">
        <v>87</v>
      </c>
      <c r="J8900" s="19"/>
      <c r="L8900" s="16" t="str">
        <f>IFERROR(__xludf.DUMMYFUNCTION("""COMPUTED_VALUE"""),"")</f>
        <v/>
      </c>
      <c r="M8900" s="16" t="str">
        <f>IFERROR(__xludf.DUMMYFUNCTION("""COMPUTED_VALUE"""),"")</f>
        <v/>
      </c>
      <c r="U8900" s="16" t="s">
        <v>87</v>
      </c>
      <c r="V8900" s="16" t="str">
        <f>IFERROR(__xludf.DUMMYFUNCTION("""COMPUTED_VALUE"""),"")</f>
        <v/>
      </c>
      <c r="W8900" s="16" t="str">
        <f>IFERROR(__xludf.DUMMYFUNCTION("""COMPUTED_VALUE"""),"")</f>
        <v/>
      </c>
      <c r="X8900" s="16" t="str">
        <f>IFERROR(__xludf.DUMMYFUNCTION("""COMPUTED_VALUE"""),"")</f>
        <v/>
      </c>
      <c r="AC8900" s="16" t="str">
        <f>IFERROR(__xludf.DUMMYFUNCTION("""COMPUTED_VALUE"""),"")</f>
        <v/>
      </c>
    </row>
    <row r="8901">
      <c r="A8901" s="16" t="s">
        <v>87</v>
      </c>
      <c r="E8901" s="16" t="str">
        <f>IFERROR(__xludf.DUMMYFUNCTION("""COMPUTED_VALUE"""),"")</f>
        <v/>
      </c>
      <c r="G8901" s="18"/>
      <c r="H8901" s="16" t="s">
        <v>87</v>
      </c>
      <c r="I8901" s="16" t="s">
        <v>87</v>
      </c>
      <c r="J8901" s="19"/>
      <c r="L8901" s="16" t="str">
        <f>IFERROR(__xludf.DUMMYFUNCTION("""COMPUTED_VALUE"""),"")</f>
        <v/>
      </c>
      <c r="M8901" s="16" t="str">
        <f>IFERROR(__xludf.DUMMYFUNCTION("""COMPUTED_VALUE"""),"")</f>
        <v/>
      </c>
      <c r="U8901" s="16" t="s">
        <v>87</v>
      </c>
      <c r="V8901" s="16" t="str">
        <f>IFERROR(__xludf.DUMMYFUNCTION("""COMPUTED_VALUE"""),"")</f>
        <v/>
      </c>
      <c r="W8901" s="16" t="str">
        <f>IFERROR(__xludf.DUMMYFUNCTION("""COMPUTED_VALUE"""),"")</f>
        <v/>
      </c>
      <c r="X8901" s="16" t="str">
        <f>IFERROR(__xludf.DUMMYFUNCTION("""COMPUTED_VALUE"""),"")</f>
        <v/>
      </c>
      <c r="AC8901" s="16" t="str">
        <f>IFERROR(__xludf.DUMMYFUNCTION("""COMPUTED_VALUE"""),"")</f>
        <v/>
      </c>
    </row>
    <row r="8902">
      <c r="A8902" s="16" t="s">
        <v>87</v>
      </c>
      <c r="E8902" s="16" t="str">
        <f>IFERROR(__xludf.DUMMYFUNCTION("""COMPUTED_VALUE"""),"")</f>
        <v/>
      </c>
      <c r="G8902" s="18"/>
      <c r="H8902" s="16" t="s">
        <v>87</v>
      </c>
      <c r="I8902" s="16" t="s">
        <v>87</v>
      </c>
      <c r="J8902" s="19"/>
      <c r="L8902" s="16" t="str">
        <f>IFERROR(__xludf.DUMMYFUNCTION("""COMPUTED_VALUE"""),"")</f>
        <v/>
      </c>
      <c r="M8902" s="16" t="str">
        <f>IFERROR(__xludf.DUMMYFUNCTION("""COMPUTED_VALUE"""),"")</f>
        <v/>
      </c>
      <c r="U8902" s="16" t="s">
        <v>87</v>
      </c>
      <c r="V8902" s="16" t="str">
        <f>IFERROR(__xludf.DUMMYFUNCTION("""COMPUTED_VALUE"""),"")</f>
        <v/>
      </c>
      <c r="W8902" s="16" t="str">
        <f>IFERROR(__xludf.DUMMYFUNCTION("""COMPUTED_VALUE"""),"")</f>
        <v/>
      </c>
      <c r="X8902" s="16" t="str">
        <f>IFERROR(__xludf.DUMMYFUNCTION("""COMPUTED_VALUE"""),"")</f>
        <v/>
      </c>
      <c r="AC8902" s="16" t="str">
        <f>IFERROR(__xludf.DUMMYFUNCTION("""COMPUTED_VALUE"""),"")</f>
        <v/>
      </c>
    </row>
    <row r="8903">
      <c r="A8903" s="16" t="s">
        <v>87</v>
      </c>
      <c r="E8903" s="16" t="str">
        <f>IFERROR(__xludf.DUMMYFUNCTION("""COMPUTED_VALUE"""),"")</f>
        <v/>
      </c>
      <c r="G8903" s="18"/>
      <c r="H8903" s="16" t="s">
        <v>87</v>
      </c>
      <c r="I8903" s="16" t="s">
        <v>87</v>
      </c>
      <c r="J8903" s="19"/>
      <c r="L8903" s="16" t="str">
        <f>IFERROR(__xludf.DUMMYFUNCTION("""COMPUTED_VALUE"""),"")</f>
        <v/>
      </c>
      <c r="M8903" s="16" t="str">
        <f>IFERROR(__xludf.DUMMYFUNCTION("""COMPUTED_VALUE"""),"")</f>
        <v/>
      </c>
      <c r="U8903" s="16" t="s">
        <v>87</v>
      </c>
      <c r="V8903" s="16" t="str">
        <f>IFERROR(__xludf.DUMMYFUNCTION("""COMPUTED_VALUE"""),"")</f>
        <v/>
      </c>
      <c r="W8903" s="16" t="str">
        <f>IFERROR(__xludf.DUMMYFUNCTION("""COMPUTED_VALUE"""),"")</f>
        <v/>
      </c>
      <c r="X8903" s="16" t="str">
        <f>IFERROR(__xludf.DUMMYFUNCTION("""COMPUTED_VALUE"""),"")</f>
        <v/>
      </c>
      <c r="AC8903" s="16" t="str">
        <f>IFERROR(__xludf.DUMMYFUNCTION("""COMPUTED_VALUE"""),"")</f>
        <v/>
      </c>
    </row>
    <row r="8904">
      <c r="A8904" s="16" t="s">
        <v>87</v>
      </c>
      <c r="E8904" s="16" t="str">
        <f>IFERROR(__xludf.DUMMYFUNCTION("""COMPUTED_VALUE"""),"")</f>
        <v/>
      </c>
      <c r="G8904" s="18"/>
      <c r="H8904" s="16" t="s">
        <v>87</v>
      </c>
      <c r="I8904" s="16" t="s">
        <v>87</v>
      </c>
      <c r="J8904" s="19"/>
      <c r="L8904" s="16" t="str">
        <f>IFERROR(__xludf.DUMMYFUNCTION("""COMPUTED_VALUE"""),"")</f>
        <v/>
      </c>
      <c r="M8904" s="16" t="str">
        <f>IFERROR(__xludf.DUMMYFUNCTION("""COMPUTED_VALUE"""),"")</f>
        <v/>
      </c>
      <c r="U8904" s="16" t="s">
        <v>87</v>
      </c>
      <c r="V8904" s="16" t="str">
        <f>IFERROR(__xludf.DUMMYFUNCTION("""COMPUTED_VALUE"""),"")</f>
        <v/>
      </c>
      <c r="W8904" s="16" t="str">
        <f>IFERROR(__xludf.DUMMYFUNCTION("""COMPUTED_VALUE"""),"")</f>
        <v/>
      </c>
      <c r="X8904" s="16" t="str">
        <f>IFERROR(__xludf.DUMMYFUNCTION("""COMPUTED_VALUE"""),"")</f>
        <v/>
      </c>
      <c r="AC8904" s="16" t="str">
        <f>IFERROR(__xludf.DUMMYFUNCTION("""COMPUTED_VALUE"""),"")</f>
        <v/>
      </c>
    </row>
    <row r="8905">
      <c r="A8905" s="16" t="s">
        <v>87</v>
      </c>
      <c r="E8905" s="16" t="str">
        <f>IFERROR(__xludf.DUMMYFUNCTION("""COMPUTED_VALUE"""),"")</f>
        <v/>
      </c>
      <c r="G8905" s="18"/>
      <c r="H8905" s="16" t="s">
        <v>87</v>
      </c>
      <c r="I8905" s="16" t="s">
        <v>87</v>
      </c>
      <c r="J8905" s="19"/>
      <c r="L8905" s="16" t="str">
        <f>IFERROR(__xludf.DUMMYFUNCTION("""COMPUTED_VALUE"""),"")</f>
        <v/>
      </c>
      <c r="M8905" s="16" t="str">
        <f>IFERROR(__xludf.DUMMYFUNCTION("""COMPUTED_VALUE"""),"")</f>
        <v/>
      </c>
      <c r="U8905" s="16" t="s">
        <v>87</v>
      </c>
      <c r="V8905" s="16" t="str">
        <f>IFERROR(__xludf.DUMMYFUNCTION("""COMPUTED_VALUE"""),"")</f>
        <v/>
      </c>
      <c r="W8905" s="16" t="str">
        <f>IFERROR(__xludf.DUMMYFUNCTION("""COMPUTED_VALUE"""),"")</f>
        <v/>
      </c>
      <c r="X8905" s="16" t="str">
        <f>IFERROR(__xludf.DUMMYFUNCTION("""COMPUTED_VALUE"""),"")</f>
        <v/>
      </c>
      <c r="AC8905" s="16" t="str">
        <f>IFERROR(__xludf.DUMMYFUNCTION("""COMPUTED_VALUE"""),"")</f>
        <v/>
      </c>
    </row>
    <row r="8906">
      <c r="A8906" s="16" t="s">
        <v>87</v>
      </c>
      <c r="E8906" s="16" t="str">
        <f>IFERROR(__xludf.DUMMYFUNCTION("""COMPUTED_VALUE"""),"")</f>
        <v/>
      </c>
      <c r="G8906" s="18"/>
      <c r="H8906" s="16" t="s">
        <v>87</v>
      </c>
      <c r="I8906" s="16" t="s">
        <v>87</v>
      </c>
      <c r="J8906" s="19"/>
      <c r="L8906" s="16" t="str">
        <f>IFERROR(__xludf.DUMMYFUNCTION("""COMPUTED_VALUE"""),"")</f>
        <v/>
      </c>
      <c r="M8906" s="16" t="str">
        <f>IFERROR(__xludf.DUMMYFUNCTION("""COMPUTED_VALUE"""),"")</f>
        <v/>
      </c>
      <c r="U8906" s="16" t="s">
        <v>87</v>
      </c>
      <c r="V8906" s="16" t="str">
        <f>IFERROR(__xludf.DUMMYFUNCTION("""COMPUTED_VALUE"""),"")</f>
        <v/>
      </c>
      <c r="W8906" s="16" t="str">
        <f>IFERROR(__xludf.DUMMYFUNCTION("""COMPUTED_VALUE"""),"")</f>
        <v/>
      </c>
      <c r="X8906" s="16" t="str">
        <f>IFERROR(__xludf.DUMMYFUNCTION("""COMPUTED_VALUE"""),"")</f>
        <v/>
      </c>
      <c r="AC8906" s="16" t="str">
        <f>IFERROR(__xludf.DUMMYFUNCTION("""COMPUTED_VALUE"""),"")</f>
        <v/>
      </c>
    </row>
    <row r="8907">
      <c r="A8907" s="16" t="s">
        <v>87</v>
      </c>
      <c r="E8907" s="16" t="str">
        <f>IFERROR(__xludf.DUMMYFUNCTION("""COMPUTED_VALUE"""),"")</f>
        <v/>
      </c>
      <c r="G8907" s="18"/>
      <c r="H8907" s="16" t="s">
        <v>87</v>
      </c>
      <c r="I8907" s="16" t="s">
        <v>87</v>
      </c>
      <c r="J8907" s="19"/>
      <c r="L8907" s="16" t="str">
        <f>IFERROR(__xludf.DUMMYFUNCTION("""COMPUTED_VALUE"""),"")</f>
        <v/>
      </c>
      <c r="M8907" s="16" t="str">
        <f>IFERROR(__xludf.DUMMYFUNCTION("""COMPUTED_VALUE"""),"")</f>
        <v/>
      </c>
      <c r="U8907" s="16" t="s">
        <v>87</v>
      </c>
      <c r="V8907" s="16" t="str">
        <f>IFERROR(__xludf.DUMMYFUNCTION("""COMPUTED_VALUE"""),"")</f>
        <v/>
      </c>
      <c r="W8907" s="16" t="str">
        <f>IFERROR(__xludf.DUMMYFUNCTION("""COMPUTED_VALUE"""),"")</f>
        <v/>
      </c>
      <c r="X8907" s="16" t="str">
        <f>IFERROR(__xludf.DUMMYFUNCTION("""COMPUTED_VALUE"""),"")</f>
        <v/>
      </c>
      <c r="AC8907" s="16" t="str">
        <f>IFERROR(__xludf.DUMMYFUNCTION("""COMPUTED_VALUE"""),"")</f>
        <v/>
      </c>
    </row>
    <row r="8908">
      <c r="A8908" s="16" t="s">
        <v>87</v>
      </c>
      <c r="E8908" s="16" t="str">
        <f>IFERROR(__xludf.DUMMYFUNCTION("""COMPUTED_VALUE"""),"")</f>
        <v/>
      </c>
      <c r="G8908" s="18"/>
      <c r="H8908" s="16" t="s">
        <v>87</v>
      </c>
      <c r="I8908" s="16" t="s">
        <v>87</v>
      </c>
      <c r="J8908" s="19"/>
      <c r="L8908" s="16" t="str">
        <f>IFERROR(__xludf.DUMMYFUNCTION("""COMPUTED_VALUE"""),"")</f>
        <v/>
      </c>
      <c r="M8908" s="16" t="str">
        <f>IFERROR(__xludf.DUMMYFUNCTION("""COMPUTED_VALUE"""),"")</f>
        <v/>
      </c>
      <c r="U8908" s="16" t="s">
        <v>87</v>
      </c>
      <c r="V8908" s="16" t="str">
        <f>IFERROR(__xludf.DUMMYFUNCTION("""COMPUTED_VALUE"""),"")</f>
        <v/>
      </c>
      <c r="W8908" s="16" t="str">
        <f>IFERROR(__xludf.DUMMYFUNCTION("""COMPUTED_VALUE"""),"")</f>
        <v/>
      </c>
      <c r="X8908" s="16" t="str">
        <f>IFERROR(__xludf.DUMMYFUNCTION("""COMPUTED_VALUE"""),"")</f>
        <v/>
      </c>
      <c r="AC8908" s="16" t="str">
        <f>IFERROR(__xludf.DUMMYFUNCTION("""COMPUTED_VALUE"""),"")</f>
        <v/>
      </c>
    </row>
    <row r="8909">
      <c r="A8909" s="16" t="s">
        <v>87</v>
      </c>
      <c r="E8909" s="16" t="str">
        <f>IFERROR(__xludf.DUMMYFUNCTION("""COMPUTED_VALUE"""),"")</f>
        <v/>
      </c>
      <c r="G8909" s="18"/>
      <c r="H8909" s="16" t="s">
        <v>87</v>
      </c>
      <c r="I8909" s="16" t="s">
        <v>87</v>
      </c>
      <c r="J8909" s="19"/>
      <c r="L8909" s="16" t="str">
        <f>IFERROR(__xludf.DUMMYFUNCTION("""COMPUTED_VALUE"""),"")</f>
        <v/>
      </c>
      <c r="M8909" s="16" t="str">
        <f>IFERROR(__xludf.DUMMYFUNCTION("""COMPUTED_VALUE"""),"")</f>
        <v/>
      </c>
      <c r="U8909" s="16" t="s">
        <v>87</v>
      </c>
      <c r="V8909" s="16" t="str">
        <f>IFERROR(__xludf.DUMMYFUNCTION("""COMPUTED_VALUE"""),"")</f>
        <v/>
      </c>
      <c r="W8909" s="16" t="str">
        <f>IFERROR(__xludf.DUMMYFUNCTION("""COMPUTED_VALUE"""),"")</f>
        <v/>
      </c>
      <c r="X8909" s="16" t="str">
        <f>IFERROR(__xludf.DUMMYFUNCTION("""COMPUTED_VALUE"""),"")</f>
        <v/>
      </c>
      <c r="AC8909" s="16" t="str">
        <f>IFERROR(__xludf.DUMMYFUNCTION("""COMPUTED_VALUE"""),"")</f>
        <v/>
      </c>
    </row>
    <row r="8910">
      <c r="A8910" s="16" t="s">
        <v>87</v>
      </c>
      <c r="E8910" s="16" t="str">
        <f>IFERROR(__xludf.DUMMYFUNCTION("""COMPUTED_VALUE"""),"")</f>
        <v/>
      </c>
      <c r="G8910" s="18"/>
      <c r="H8910" s="16" t="s">
        <v>87</v>
      </c>
      <c r="I8910" s="16" t="s">
        <v>87</v>
      </c>
      <c r="J8910" s="19"/>
      <c r="L8910" s="16" t="str">
        <f>IFERROR(__xludf.DUMMYFUNCTION("""COMPUTED_VALUE"""),"")</f>
        <v/>
      </c>
      <c r="M8910" s="16" t="str">
        <f>IFERROR(__xludf.DUMMYFUNCTION("""COMPUTED_VALUE"""),"")</f>
        <v/>
      </c>
      <c r="U8910" s="16" t="s">
        <v>87</v>
      </c>
      <c r="V8910" s="16" t="str">
        <f>IFERROR(__xludf.DUMMYFUNCTION("""COMPUTED_VALUE"""),"")</f>
        <v/>
      </c>
      <c r="W8910" s="16" t="str">
        <f>IFERROR(__xludf.DUMMYFUNCTION("""COMPUTED_VALUE"""),"")</f>
        <v/>
      </c>
      <c r="X8910" s="16" t="str">
        <f>IFERROR(__xludf.DUMMYFUNCTION("""COMPUTED_VALUE"""),"")</f>
        <v/>
      </c>
      <c r="AC8910" s="16" t="str">
        <f>IFERROR(__xludf.DUMMYFUNCTION("""COMPUTED_VALUE"""),"")</f>
        <v/>
      </c>
    </row>
    <row r="8911">
      <c r="A8911" s="16" t="s">
        <v>87</v>
      </c>
      <c r="E8911" s="16" t="str">
        <f>IFERROR(__xludf.DUMMYFUNCTION("""COMPUTED_VALUE"""),"")</f>
        <v/>
      </c>
      <c r="G8911" s="18"/>
      <c r="H8911" s="16" t="s">
        <v>87</v>
      </c>
      <c r="I8911" s="16" t="s">
        <v>87</v>
      </c>
      <c r="J8911" s="19"/>
      <c r="L8911" s="16" t="str">
        <f>IFERROR(__xludf.DUMMYFUNCTION("""COMPUTED_VALUE"""),"")</f>
        <v/>
      </c>
      <c r="M8911" s="16" t="str">
        <f>IFERROR(__xludf.DUMMYFUNCTION("""COMPUTED_VALUE"""),"")</f>
        <v/>
      </c>
      <c r="U8911" s="16" t="s">
        <v>87</v>
      </c>
      <c r="V8911" s="16" t="str">
        <f>IFERROR(__xludf.DUMMYFUNCTION("""COMPUTED_VALUE"""),"")</f>
        <v/>
      </c>
      <c r="W8911" s="16" t="str">
        <f>IFERROR(__xludf.DUMMYFUNCTION("""COMPUTED_VALUE"""),"")</f>
        <v/>
      </c>
      <c r="X8911" s="16" t="str">
        <f>IFERROR(__xludf.DUMMYFUNCTION("""COMPUTED_VALUE"""),"")</f>
        <v/>
      </c>
      <c r="AC8911" s="16" t="str">
        <f>IFERROR(__xludf.DUMMYFUNCTION("""COMPUTED_VALUE"""),"")</f>
        <v/>
      </c>
    </row>
    <row r="8912">
      <c r="A8912" s="16" t="s">
        <v>87</v>
      </c>
      <c r="E8912" s="16" t="str">
        <f>IFERROR(__xludf.DUMMYFUNCTION("""COMPUTED_VALUE"""),"")</f>
        <v/>
      </c>
      <c r="G8912" s="18"/>
      <c r="H8912" s="16" t="s">
        <v>87</v>
      </c>
      <c r="I8912" s="16" t="s">
        <v>87</v>
      </c>
      <c r="J8912" s="19"/>
      <c r="L8912" s="16" t="str">
        <f>IFERROR(__xludf.DUMMYFUNCTION("""COMPUTED_VALUE"""),"")</f>
        <v/>
      </c>
      <c r="M8912" s="16" t="str">
        <f>IFERROR(__xludf.DUMMYFUNCTION("""COMPUTED_VALUE"""),"")</f>
        <v/>
      </c>
      <c r="U8912" s="16" t="s">
        <v>87</v>
      </c>
      <c r="V8912" s="16" t="str">
        <f>IFERROR(__xludf.DUMMYFUNCTION("""COMPUTED_VALUE"""),"")</f>
        <v/>
      </c>
      <c r="W8912" s="16" t="str">
        <f>IFERROR(__xludf.DUMMYFUNCTION("""COMPUTED_VALUE"""),"")</f>
        <v/>
      </c>
      <c r="X8912" s="16" t="str">
        <f>IFERROR(__xludf.DUMMYFUNCTION("""COMPUTED_VALUE"""),"")</f>
        <v/>
      </c>
      <c r="AC8912" s="16" t="str">
        <f>IFERROR(__xludf.DUMMYFUNCTION("""COMPUTED_VALUE"""),"")</f>
        <v/>
      </c>
    </row>
    <row r="8913">
      <c r="A8913" s="16" t="s">
        <v>87</v>
      </c>
      <c r="E8913" s="16" t="str">
        <f>IFERROR(__xludf.DUMMYFUNCTION("""COMPUTED_VALUE"""),"")</f>
        <v/>
      </c>
      <c r="G8913" s="18"/>
      <c r="H8913" s="16" t="s">
        <v>87</v>
      </c>
      <c r="I8913" s="16" t="s">
        <v>87</v>
      </c>
      <c r="J8913" s="19"/>
      <c r="L8913" s="16" t="str">
        <f>IFERROR(__xludf.DUMMYFUNCTION("""COMPUTED_VALUE"""),"")</f>
        <v/>
      </c>
      <c r="M8913" s="16" t="str">
        <f>IFERROR(__xludf.DUMMYFUNCTION("""COMPUTED_VALUE"""),"")</f>
        <v/>
      </c>
      <c r="U8913" s="16" t="s">
        <v>87</v>
      </c>
      <c r="V8913" s="16" t="str">
        <f>IFERROR(__xludf.DUMMYFUNCTION("""COMPUTED_VALUE"""),"")</f>
        <v/>
      </c>
      <c r="W8913" s="16" t="str">
        <f>IFERROR(__xludf.DUMMYFUNCTION("""COMPUTED_VALUE"""),"")</f>
        <v/>
      </c>
      <c r="X8913" s="16" t="str">
        <f>IFERROR(__xludf.DUMMYFUNCTION("""COMPUTED_VALUE"""),"")</f>
        <v/>
      </c>
      <c r="AC8913" s="16" t="str">
        <f>IFERROR(__xludf.DUMMYFUNCTION("""COMPUTED_VALUE"""),"")</f>
        <v/>
      </c>
    </row>
    <row r="8914">
      <c r="A8914" s="16" t="s">
        <v>87</v>
      </c>
      <c r="E8914" s="16" t="str">
        <f>IFERROR(__xludf.DUMMYFUNCTION("""COMPUTED_VALUE"""),"")</f>
        <v/>
      </c>
      <c r="G8914" s="18"/>
      <c r="H8914" s="16" t="s">
        <v>87</v>
      </c>
      <c r="I8914" s="16" t="s">
        <v>87</v>
      </c>
      <c r="J8914" s="19"/>
      <c r="L8914" s="16" t="str">
        <f>IFERROR(__xludf.DUMMYFUNCTION("""COMPUTED_VALUE"""),"")</f>
        <v/>
      </c>
      <c r="M8914" s="16" t="str">
        <f>IFERROR(__xludf.DUMMYFUNCTION("""COMPUTED_VALUE"""),"")</f>
        <v/>
      </c>
      <c r="U8914" s="16" t="s">
        <v>87</v>
      </c>
      <c r="V8914" s="16" t="str">
        <f>IFERROR(__xludf.DUMMYFUNCTION("""COMPUTED_VALUE"""),"")</f>
        <v/>
      </c>
      <c r="W8914" s="16" t="str">
        <f>IFERROR(__xludf.DUMMYFUNCTION("""COMPUTED_VALUE"""),"")</f>
        <v/>
      </c>
      <c r="X8914" s="16" t="str">
        <f>IFERROR(__xludf.DUMMYFUNCTION("""COMPUTED_VALUE"""),"")</f>
        <v/>
      </c>
      <c r="AC8914" s="16" t="str">
        <f>IFERROR(__xludf.DUMMYFUNCTION("""COMPUTED_VALUE"""),"")</f>
        <v/>
      </c>
    </row>
    <row r="8915">
      <c r="A8915" s="16" t="s">
        <v>87</v>
      </c>
      <c r="E8915" s="16" t="str">
        <f>IFERROR(__xludf.DUMMYFUNCTION("""COMPUTED_VALUE"""),"")</f>
        <v/>
      </c>
      <c r="G8915" s="18"/>
      <c r="H8915" s="16" t="s">
        <v>87</v>
      </c>
      <c r="I8915" s="16" t="s">
        <v>87</v>
      </c>
      <c r="J8915" s="19"/>
      <c r="L8915" s="16" t="str">
        <f>IFERROR(__xludf.DUMMYFUNCTION("""COMPUTED_VALUE"""),"")</f>
        <v/>
      </c>
      <c r="M8915" s="16" t="str">
        <f>IFERROR(__xludf.DUMMYFUNCTION("""COMPUTED_VALUE"""),"")</f>
        <v/>
      </c>
      <c r="U8915" s="16" t="s">
        <v>87</v>
      </c>
      <c r="V8915" s="16" t="str">
        <f>IFERROR(__xludf.DUMMYFUNCTION("""COMPUTED_VALUE"""),"")</f>
        <v/>
      </c>
      <c r="W8915" s="16" t="str">
        <f>IFERROR(__xludf.DUMMYFUNCTION("""COMPUTED_VALUE"""),"")</f>
        <v/>
      </c>
      <c r="X8915" s="16" t="str">
        <f>IFERROR(__xludf.DUMMYFUNCTION("""COMPUTED_VALUE"""),"")</f>
        <v/>
      </c>
      <c r="AC8915" s="16" t="str">
        <f>IFERROR(__xludf.DUMMYFUNCTION("""COMPUTED_VALUE"""),"")</f>
        <v/>
      </c>
    </row>
    <row r="8916">
      <c r="A8916" s="16" t="s">
        <v>87</v>
      </c>
      <c r="E8916" s="16" t="str">
        <f>IFERROR(__xludf.DUMMYFUNCTION("""COMPUTED_VALUE"""),"")</f>
        <v/>
      </c>
      <c r="G8916" s="18"/>
      <c r="H8916" s="16" t="s">
        <v>87</v>
      </c>
      <c r="I8916" s="16" t="s">
        <v>87</v>
      </c>
      <c r="J8916" s="19"/>
      <c r="L8916" s="16" t="str">
        <f>IFERROR(__xludf.DUMMYFUNCTION("""COMPUTED_VALUE"""),"")</f>
        <v/>
      </c>
      <c r="M8916" s="16" t="str">
        <f>IFERROR(__xludf.DUMMYFUNCTION("""COMPUTED_VALUE"""),"")</f>
        <v/>
      </c>
      <c r="U8916" s="16" t="s">
        <v>87</v>
      </c>
      <c r="V8916" s="16" t="str">
        <f>IFERROR(__xludf.DUMMYFUNCTION("""COMPUTED_VALUE"""),"")</f>
        <v/>
      </c>
      <c r="W8916" s="16" t="str">
        <f>IFERROR(__xludf.DUMMYFUNCTION("""COMPUTED_VALUE"""),"")</f>
        <v/>
      </c>
      <c r="X8916" s="16" t="str">
        <f>IFERROR(__xludf.DUMMYFUNCTION("""COMPUTED_VALUE"""),"")</f>
        <v/>
      </c>
      <c r="AC8916" s="16" t="str">
        <f>IFERROR(__xludf.DUMMYFUNCTION("""COMPUTED_VALUE"""),"")</f>
        <v/>
      </c>
    </row>
    <row r="8917">
      <c r="A8917" s="16" t="s">
        <v>87</v>
      </c>
      <c r="E8917" s="16" t="str">
        <f>IFERROR(__xludf.DUMMYFUNCTION("""COMPUTED_VALUE"""),"")</f>
        <v/>
      </c>
      <c r="G8917" s="18"/>
      <c r="H8917" s="16" t="s">
        <v>87</v>
      </c>
      <c r="I8917" s="16" t="s">
        <v>87</v>
      </c>
      <c r="J8917" s="19"/>
      <c r="L8917" s="16" t="str">
        <f>IFERROR(__xludf.DUMMYFUNCTION("""COMPUTED_VALUE"""),"")</f>
        <v/>
      </c>
      <c r="M8917" s="16" t="str">
        <f>IFERROR(__xludf.DUMMYFUNCTION("""COMPUTED_VALUE"""),"")</f>
        <v/>
      </c>
      <c r="U8917" s="16" t="s">
        <v>87</v>
      </c>
      <c r="V8917" s="16" t="str">
        <f>IFERROR(__xludf.DUMMYFUNCTION("""COMPUTED_VALUE"""),"")</f>
        <v/>
      </c>
      <c r="W8917" s="16" t="str">
        <f>IFERROR(__xludf.DUMMYFUNCTION("""COMPUTED_VALUE"""),"")</f>
        <v/>
      </c>
      <c r="X8917" s="16" t="str">
        <f>IFERROR(__xludf.DUMMYFUNCTION("""COMPUTED_VALUE"""),"")</f>
        <v/>
      </c>
      <c r="AC8917" s="16" t="str">
        <f>IFERROR(__xludf.DUMMYFUNCTION("""COMPUTED_VALUE"""),"")</f>
        <v/>
      </c>
    </row>
    <row r="8918">
      <c r="A8918" s="16" t="s">
        <v>87</v>
      </c>
      <c r="E8918" s="16" t="str">
        <f>IFERROR(__xludf.DUMMYFUNCTION("""COMPUTED_VALUE"""),"")</f>
        <v/>
      </c>
      <c r="G8918" s="18"/>
      <c r="H8918" s="16" t="s">
        <v>87</v>
      </c>
      <c r="I8918" s="16" t="s">
        <v>87</v>
      </c>
      <c r="J8918" s="19"/>
      <c r="L8918" s="16" t="str">
        <f>IFERROR(__xludf.DUMMYFUNCTION("""COMPUTED_VALUE"""),"")</f>
        <v/>
      </c>
      <c r="M8918" s="16" t="str">
        <f>IFERROR(__xludf.DUMMYFUNCTION("""COMPUTED_VALUE"""),"")</f>
        <v/>
      </c>
      <c r="U8918" s="16" t="s">
        <v>87</v>
      </c>
      <c r="V8918" s="16" t="str">
        <f>IFERROR(__xludf.DUMMYFUNCTION("""COMPUTED_VALUE"""),"")</f>
        <v/>
      </c>
      <c r="W8918" s="16" t="str">
        <f>IFERROR(__xludf.DUMMYFUNCTION("""COMPUTED_VALUE"""),"")</f>
        <v/>
      </c>
      <c r="X8918" s="16" t="str">
        <f>IFERROR(__xludf.DUMMYFUNCTION("""COMPUTED_VALUE"""),"")</f>
        <v/>
      </c>
      <c r="AC8918" s="16" t="str">
        <f>IFERROR(__xludf.DUMMYFUNCTION("""COMPUTED_VALUE"""),"")</f>
        <v/>
      </c>
    </row>
    <row r="8919">
      <c r="A8919" s="16" t="s">
        <v>87</v>
      </c>
      <c r="E8919" s="16" t="str">
        <f>IFERROR(__xludf.DUMMYFUNCTION("""COMPUTED_VALUE"""),"")</f>
        <v/>
      </c>
      <c r="G8919" s="18"/>
      <c r="H8919" s="16" t="s">
        <v>87</v>
      </c>
      <c r="I8919" s="16" t="s">
        <v>87</v>
      </c>
      <c r="J8919" s="19"/>
      <c r="L8919" s="16" t="str">
        <f>IFERROR(__xludf.DUMMYFUNCTION("""COMPUTED_VALUE"""),"")</f>
        <v/>
      </c>
      <c r="M8919" s="16" t="str">
        <f>IFERROR(__xludf.DUMMYFUNCTION("""COMPUTED_VALUE"""),"")</f>
        <v/>
      </c>
      <c r="U8919" s="16" t="s">
        <v>87</v>
      </c>
      <c r="V8919" s="16" t="str">
        <f>IFERROR(__xludf.DUMMYFUNCTION("""COMPUTED_VALUE"""),"")</f>
        <v/>
      </c>
      <c r="W8919" s="16" t="str">
        <f>IFERROR(__xludf.DUMMYFUNCTION("""COMPUTED_VALUE"""),"")</f>
        <v/>
      </c>
      <c r="X8919" s="16" t="str">
        <f>IFERROR(__xludf.DUMMYFUNCTION("""COMPUTED_VALUE"""),"")</f>
        <v/>
      </c>
      <c r="AC8919" s="16" t="str">
        <f>IFERROR(__xludf.DUMMYFUNCTION("""COMPUTED_VALUE"""),"")</f>
        <v/>
      </c>
    </row>
    <row r="8920">
      <c r="A8920" s="16" t="s">
        <v>87</v>
      </c>
      <c r="E8920" s="16" t="str">
        <f>IFERROR(__xludf.DUMMYFUNCTION("""COMPUTED_VALUE"""),"")</f>
        <v/>
      </c>
      <c r="G8920" s="18"/>
      <c r="H8920" s="16" t="s">
        <v>87</v>
      </c>
      <c r="I8920" s="16" t="s">
        <v>87</v>
      </c>
      <c r="J8920" s="19"/>
      <c r="L8920" s="16" t="str">
        <f>IFERROR(__xludf.DUMMYFUNCTION("""COMPUTED_VALUE"""),"")</f>
        <v/>
      </c>
      <c r="M8920" s="16" t="str">
        <f>IFERROR(__xludf.DUMMYFUNCTION("""COMPUTED_VALUE"""),"")</f>
        <v/>
      </c>
      <c r="U8920" s="16" t="s">
        <v>87</v>
      </c>
      <c r="V8920" s="16" t="str">
        <f>IFERROR(__xludf.DUMMYFUNCTION("""COMPUTED_VALUE"""),"")</f>
        <v/>
      </c>
      <c r="W8920" s="16" t="str">
        <f>IFERROR(__xludf.DUMMYFUNCTION("""COMPUTED_VALUE"""),"")</f>
        <v/>
      </c>
      <c r="X8920" s="16" t="str">
        <f>IFERROR(__xludf.DUMMYFUNCTION("""COMPUTED_VALUE"""),"")</f>
        <v/>
      </c>
      <c r="AC8920" s="16" t="str">
        <f>IFERROR(__xludf.DUMMYFUNCTION("""COMPUTED_VALUE"""),"")</f>
        <v/>
      </c>
    </row>
    <row r="8921">
      <c r="A8921" s="16" t="s">
        <v>87</v>
      </c>
      <c r="E8921" s="16" t="str">
        <f>IFERROR(__xludf.DUMMYFUNCTION("""COMPUTED_VALUE"""),"")</f>
        <v/>
      </c>
      <c r="G8921" s="18"/>
      <c r="H8921" s="16" t="s">
        <v>87</v>
      </c>
      <c r="I8921" s="16" t="s">
        <v>87</v>
      </c>
      <c r="J8921" s="19"/>
      <c r="L8921" s="16" t="str">
        <f>IFERROR(__xludf.DUMMYFUNCTION("""COMPUTED_VALUE"""),"")</f>
        <v/>
      </c>
      <c r="M8921" s="16" t="str">
        <f>IFERROR(__xludf.DUMMYFUNCTION("""COMPUTED_VALUE"""),"")</f>
        <v/>
      </c>
      <c r="U8921" s="16" t="s">
        <v>87</v>
      </c>
      <c r="V8921" s="16" t="str">
        <f>IFERROR(__xludf.DUMMYFUNCTION("""COMPUTED_VALUE"""),"")</f>
        <v/>
      </c>
      <c r="W8921" s="16" t="str">
        <f>IFERROR(__xludf.DUMMYFUNCTION("""COMPUTED_VALUE"""),"")</f>
        <v/>
      </c>
      <c r="X8921" s="16" t="str">
        <f>IFERROR(__xludf.DUMMYFUNCTION("""COMPUTED_VALUE"""),"")</f>
        <v/>
      </c>
      <c r="AC8921" s="16" t="str">
        <f>IFERROR(__xludf.DUMMYFUNCTION("""COMPUTED_VALUE"""),"")</f>
        <v/>
      </c>
    </row>
    <row r="8922">
      <c r="A8922" s="16" t="s">
        <v>87</v>
      </c>
      <c r="E8922" s="16" t="str">
        <f>IFERROR(__xludf.DUMMYFUNCTION("""COMPUTED_VALUE"""),"")</f>
        <v/>
      </c>
      <c r="G8922" s="18"/>
      <c r="H8922" s="16" t="s">
        <v>87</v>
      </c>
      <c r="I8922" s="16" t="s">
        <v>87</v>
      </c>
      <c r="J8922" s="19"/>
      <c r="L8922" s="16" t="str">
        <f>IFERROR(__xludf.DUMMYFUNCTION("""COMPUTED_VALUE"""),"")</f>
        <v/>
      </c>
      <c r="M8922" s="16" t="str">
        <f>IFERROR(__xludf.DUMMYFUNCTION("""COMPUTED_VALUE"""),"")</f>
        <v/>
      </c>
      <c r="U8922" s="16" t="s">
        <v>87</v>
      </c>
      <c r="V8922" s="16" t="str">
        <f>IFERROR(__xludf.DUMMYFUNCTION("""COMPUTED_VALUE"""),"")</f>
        <v/>
      </c>
      <c r="W8922" s="16" t="str">
        <f>IFERROR(__xludf.DUMMYFUNCTION("""COMPUTED_VALUE"""),"")</f>
        <v/>
      </c>
      <c r="X8922" s="16" t="str">
        <f>IFERROR(__xludf.DUMMYFUNCTION("""COMPUTED_VALUE"""),"")</f>
        <v/>
      </c>
      <c r="AC8922" s="16" t="str">
        <f>IFERROR(__xludf.DUMMYFUNCTION("""COMPUTED_VALUE"""),"")</f>
        <v/>
      </c>
    </row>
    <row r="8923">
      <c r="A8923" s="16" t="s">
        <v>87</v>
      </c>
      <c r="E8923" s="16" t="str">
        <f>IFERROR(__xludf.DUMMYFUNCTION("""COMPUTED_VALUE"""),"")</f>
        <v/>
      </c>
      <c r="G8923" s="18"/>
      <c r="H8923" s="16" t="s">
        <v>87</v>
      </c>
      <c r="I8923" s="16" t="s">
        <v>87</v>
      </c>
      <c r="J8923" s="19"/>
      <c r="L8923" s="16" t="str">
        <f>IFERROR(__xludf.DUMMYFUNCTION("""COMPUTED_VALUE"""),"")</f>
        <v/>
      </c>
      <c r="M8923" s="16" t="str">
        <f>IFERROR(__xludf.DUMMYFUNCTION("""COMPUTED_VALUE"""),"")</f>
        <v/>
      </c>
      <c r="U8923" s="16" t="s">
        <v>87</v>
      </c>
      <c r="V8923" s="16" t="str">
        <f>IFERROR(__xludf.DUMMYFUNCTION("""COMPUTED_VALUE"""),"")</f>
        <v/>
      </c>
      <c r="W8923" s="16" t="str">
        <f>IFERROR(__xludf.DUMMYFUNCTION("""COMPUTED_VALUE"""),"")</f>
        <v/>
      </c>
      <c r="X8923" s="16" t="str">
        <f>IFERROR(__xludf.DUMMYFUNCTION("""COMPUTED_VALUE"""),"")</f>
        <v/>
      </c>
      <c r="AC8923" s="16" t="str">
        <f>IFERROR(__xludf.DUMMYFUNCTION("""COMPUTED_VALUE"""),"")</f>
        <v/>
      </c>
    </row>
    <row r="8924">
      <c r="A8924" s="16" t="s">
        <v>87</v>
      </c>
      <c r="E8924" s="16" t="str">
        <f>IFERROR(__xludf.DUMMYFUNCTION("""COMPUTED_VALUE"""),"")</f>
        <v/>
      </c>
      <c r="G8924" s="18"/>
      <c r="H8924" s="16" t="s">
        <v>87</v>
      </c>
      <c r="I8924" s="16" t="s">
        <v>87</v>
      </c>
      <c r="J8924" s="19"/>
      <c r="L8924" s="16" t="str">
        <f>IFERROR(__xludf.DUMMYFUNCTION("""COMPUTED_VALUE"""),"")</f>
        <v/>
      </c>
      <c r="M8924" s="16" t="str">
        <f>IFERROR(__xludf.DUMMYFUNCTION("""COMPUTED_VALUE"""),"")</f>
        <v/>
      </c>
      <c r="U8924" s="16" t="s">
        <v>87</v>
      </c>
      <c r="V8924" s="16" t="str">
        <f>IFERROR(__xludf.DUMMYFUNCTION("""COMPUTED_VALUE"""),"")</f>
        <v/>
      </c>
      <c r="W8924" s="16" t="str">
        <f>IFERROR(__xludf.DUMMYFUNCTION("""COMPUTED_VALUE"""),"")</f>
        <v/>
      </c>
      <c r="X8924" s="16" t="str">
        <f>IFERROR(__xludf.DUMMYFUNCTION("""COMPUTED_VALUE"""),"")</f>
        <v/>
      </c>
      <c r="AC8924" s="16" t="str">
        <f>IFERROR(__xludf.DUMMYFUNCTION("""COMPUTED_VALUE"""),"")</f>
        <v/>
      </c>
    </row>
    <row r="8925">
      <c r="A8925" s="16" t="s">
        <v>87</v>
      </c>
      <c r="E8925" s="16" t="str">
        <f>IFERROR(__xludf.DUMMYFUNCTION("""COMPUTED_VALUE"""),"")</f>
        <v/>
      </c>
      <c r="G8925" s="18"/>
      <c r="H8925" s="16" t="s">
        <v>87</v>
      </c>
      <c r="I8925" s="16" t="s">
        <v>87</v>
      </c>
      <c r="J8925" s="19"/>
      <c r="L8925" s="16" t="str">
        <f>IFERROR(__xludf.DUMMYFUNCTION("""COMPUTED_VALUE"""),"")</f>
        <v/>
      </c>
      <c r="M8925" s="16" t="str">
        <f>IFERROR(__xludf.DUMMYFUNCTION("""COMPUTED_VALUE"""),"")</f>
        <v/>
      </c>
      <c r="U8925" s="16" t="s">
        <v>87</v>
      </c>
      <c r="V8925" s="16" t="str">
        <f>IFERROR(__xludf.DUMMYFUNCTION("""COMPUTED_VALUE"""),"")</f>
        <v/>
      </c>
      <c r="W8925" s="16" t="str">
        <f>IFERROR(__xludf.DUMMYFUNCTION("""COMPUTED_VALUE"""),"")</f>
        <v/>
      </c>
      <c r="X8925" s="16" t="str">
        <f>IFERROR(__xludf.DUMMYFUNCTION("""COMPUTED_VALUE"""),"")</f>
        <v/>
      </c>
      <c r="AC8925" s="16" t="str">
        <f>IFERROR(__xludf.DUMMYFUNCTION("""COMPUTED_VALUE"""),"")</f>
        <v/>
      </c>
    </row>
    <row r="8926">
      <c r="A8926" s="16" t="s">
        <v>87</v>
      </c>
      <c r="E8926" s="16" t="str">
        <f>IFERROR(__xludf.DUMMYFUNCTION("""COMPUTED_VALUE"""),"")</f>
        <v/>
      </c>
      <c r="G8926" s="18"/>
      <c r="H8926" s="16" t="s">
        <v>87</v>
      </c>
      <c r="I8926" s="16" t="s">
        <v>87</v>
      </c>
      <c r="J8926" s="19"/>
      <c r="L8926" s="16" t="str">
        <f>IFERROR(__xludf.DUMMYFUNCTION("""COMPUTED_VALUE"""),"")</f>
        <v/>
      </c>
      <c r="M8926" s="16" t="str">
        <f>IFERROR(__xludf.DUMMYFUNCTION("""COMPUTED_VALUE"""),"")</f>
        <v/>
      </c>
      <c r="U8926" s="16" t="s">
        <v>87</v>
      </c>
      <c r="V8926" s="16" t="str">
        <f>IFERROR(__xludf.DUMMYFUNCTION("""COMPUTED_VALUE"""),"")</f>
        <v/>
      </c>
      <c r="W8926" s="16" t="str">
        <f>IFERROR(__xludf.DUMMYFUNCTION("""COMPUTED_VALUE"""),"")</f>
        <v/>
      </c>
      <c r="X8926" s="16" t="str">
        <f>IFERROR(__xludf.DUMMYFUNCTION("""COMPUTED_VALUE"""),"")</f>
        <v/>
      </c>
      <c r="AC8926" s="16" t="str">
        <f>IFERROR(__xludf.DUMMYFUNCTION("""COMPUTED_VALUE"""),"")</f>
        <v/>
      </c>
    </row>
    <row r="8927">
      <c r="A8927" s="16" t="s">
        <v>87</v>
      </c>
      <c r="E8927" s="16" t="str">
        <f>IFERROR(__xludf.DUMMYFUNCTION("""COMPUTED_VALUE"""),"")</f>
        <v/>
      </c>
      <c r="G8927" s="18"/>
      <c r="H8927" s="16" t="s">
        <v>87</v>
      </c>
      <c r="I8927" s="16" t="s">
        <v>87</v>
      </c>
      <c r="J8927" s="19"/>
      <c r="L8927" s="16" t="str">
        <f>IFERROR(__xludf.DUMMYFUNCTION("""COMPUTED_VALUE"""),"")</f>
        <v/>
      </c>
      <c r="M8927" s="16" t="str">
        <f>IFERROR(__xludf.DUMMYFUNCTION("""COMPUTED_VALUE"""),"")</f>
        <v/>
      </c>
      <c r="U8927" s="16" t="s">
        <v>87</v>
      </c>
      <c r="V8927" s="16" t="str">
        <f>IFERROR(__xludf.DUMMYFUNCTION("""COMPUTED_VALUE"""),"")</f>
        <v/>
      </c>
      <c r="W8927" s="16" t="str">
        <f>IFERROR(__xludf.DUMMYFUNCTION("""COMPUTED_VALUE"""),"")</f>
        <v/>
      </c>
      <c r="X8927" s="16" t="str">
        <f>IFERROR(__xludf.DUMMYFUNCTION("""COMPUTED_VALUE"""),"")</f>
        <v/>
      </c>
      <c r="AC8927" s="16" t="str">
        <f>IFERROR(__xludf.DUMMYFUNCTION("""COMPUTED_VALUE"""),"")</f>
        <v/>
      </c>
    </row>
    <row r="8928">
      <c r="A8928" s="16" t="s">
        <v>87</v>
      </c>
      <c r="E8928" s="16" t="str">
        <f>IFERROR(__xludf.DUMMYFUNCTION("""COMPUTED_VALUE"""),"")</f>
        <v/>
      </c>
      <c r="G8928" s="18"/>
      <c r="H8928" s="16" t="s">
        <v>87</v>
      </c>
      <c r="I8928" s="16" t="s">
        <v>87</v>
      </c>
      <c r="J8928" s="19"/>
      <c r="L8928" s="16" t="str">
        <f>IFERROR(__xludf.DUMMYFUNCTION("""COMPUTED_VALUE"""),"")</f>
        <v/>
      </c>
      <c r="M8928" s="16" t="str">
        <f>IFERROR(__xludf.DUMMYFUNCTION("""COMPUTED_VALUE"""),"")</f>
        <v/>
      </c>
      <c r="U8928" s="16" t="s">
        <v>87</v>
      </c>
      <c r="V8928" s="16" t="str">
        <f>IFERROR(__xludf.DUMMYFUNCTION("""COMPUTED_VALUE"""),"")</f>
        <v/>
      </c>
      <c r="W8928" s="16" t="str">
        <f>IFERROR(__xludf.DUMMYFUNCTION("""COMPUTED_VALUE"""),"")</f>
        <v/>
      </c>
      <c r="X8928" s="16" t="str">
        <f>IFERROR(__xludf.DUMMYFUNCTION("""COMPUTED_VALUE"""),"")</f>
        <v/>
      </c>
      <c r="AC8928" s="16" t="str">
        <f>IFERROR(__xludf.DUMMYFUNCTION("""COMPUTED_VALUE"""),"")</f>
        <v/>
      </c>
    </row>
    <row r="8929">
      <c r="A8929" s="16" t="s">
        <v>87</v>
      </c>
      <c r="E8929" s="16" t="str">
        <f>IFERROR(__xludf.DUMMYFUNCTION("""COMPUTED_VALUE"""),"")</f>
        <v/>
      </c>
      <c r="G8929" s="18"/>
      <c r="H8929" s="16" t="s">
        <v>87</v>
      </c>
      <c r="I8929" s="16" t="s">
        <v>87</v>
      </c>
      <c r="J8929" s="19"/>
      <c r="L8929" s="16" t="str">
        <f>IFERROR(__xludf.DUMMYFUNCTION("""COMPUTED_VALUE"""),"")</f>
        <v/>
      </c>
      <c r="M8929" s="16" t="str">
        <f>IFERROR(__xludf.DUMMYFUNCTION("""COMPUTED_VALUE"""),"")</f>
        <v/>
      </c>
      <c r="U8929" s="16" t="s">
        <v>87</v>
      </c>
      <c r="V8929" s="16" t="str">
        <f>IFERROR(__xludf.DUMMYFUNCTION("""COMPUTED_VALUE"""),"")</f>
        <v/>
      </c>
      <c r="W8929" s="16" t="str">
        <f>IFERROR(__xludf.DUMMYFUNCTION("""COMPUTED_VALUE"""),"")</f>
        <v/>
      </c>
      <c r="X8929" s="16" t="str">
        <f>IFERROR(__xludf.DUMMYFUNCTION("""COMPUTED_VALUE"""),"")</f>
        <v/>
      </c>
      <c r="AC8929" s="16" t="str">
        <f>IFERROR(__xludf.DUMMYFUNCTION("""COMPUTED_VALUE"""),"")</f>
        <v/>
      </c>
    </row>
    <row r="8930">
      <c r="A8930" s="16" t="s">
        <v>87</v>
      </c>
      <c r="E8930" s="16" t="str">
        <f>IFERROR(__xludf.DUMMYFUNCTION("""COMPUTED_VALUE"""),"")</f>
        <v/>
      </c>
      <c r="G8930" s="18"/>
      <c r="H8930" s="16" t="s">
        <v>87</v>
      </c>
      <c r="I8930" s="16" t="s">
        <v>87</v>
      </c>
      <c r="J8930" s="19"/>
      <c r="L8930" s="16" t="str">
        <f>IFERROR(__xludf.DUMMYFUNCTION("""COMPUTED_VALUE"""),"")</f>
        <v/>
      </c>
      <c r="M8930" s="16" t="str">
        <f>IFERROR(__xludf.DUMMYFUNCTION("""COMPUTED_VALUE"""),"")</f>
        <v/>
      </c>
      <c r="U8930" s="16" t="s">
        <v>87</v>
      </c>
      <c r="V8930" s="16" t="str">
        <f>IFERROR(__xludf.DUMMYFUNCTION("""COMPUTED_VALUE"""),"")</f>
        <v/>
      </c>
      <c r="W8930" s="16" t="str">
        <f>IFERROR(__xludf.DUMMYFUNCTION("""COMPUTED_VALUE"""),"")</f>
        <v/>
      </c>
      <c r="X8930" s="16" t="str">
        <f>IFERROR(__xludf.DUMMYFUNCTION("""COMPUTED_VALUE"""),"")</f>
        <v/>
      </c>
      <c r="AC8930" s="16" t="str">
        <f>IFERROR(__xludf.DUMMYFUNCTION("""COMPUTED_VALUE"""),"")</f>
        <v/>
      </c>
    </row>
    <row r="8931">
      <c r="A8931" s="16" t="s">
        <v>87</v>
      </c>
      <c r="E8931" s="16" t="str">
        <f>IFERROR(__xludf.DUMMYFUNCTION("""COMPUTED_VALUE"""),"")</f>
        <v/>
      </c>
      <c r="G8931" s="18"/>
      <c r="H8931" s="16" t="s">
        <v>87</v>
      </c>
      <c r="I8931" s="16" t="s">
        <v>87</v>
      </c>
      <c r="J8931" s="19"/>
      <c r="L8931" s="16" t="str">
        <f>IFERROR(__xludf.DUMMYFUNCTION("""COMPUTED_VALUE"""),"")</f>
        <v/>
      </c>
      <c r="M8931" s="16" t="str">
        <f>IFERROR(__xludf.DUMMYFUNCTION("""COMPUTED_VALUE"""),"")</f>
        <v/>
      </c>
      <c r="U8931" s="16" t="s">
        <v>87</v>
      </c>
      <c r="V8931" s="16" t="str">
        <f>IFERROR(__xludf.DUMMYFUNCTION("""COMPUTED_VALUE"""),"")</f>
        <v/>
      </c>
      <c r="W8931" s="16" t="str">
        <f>IFERROR(__xludf.DUMMYFUNCTION("""COMPUTED_VALUE"""),"")</f>
        <v/>
      </c>
      <c r="X8931" s="16" t="str">
        <f>IFERROR(__xludf.DUMMYFUNCTION("""COMPUTED_VALUE"""),"")</f>
        <v/>
      </c>
      <c r="AC8931" s="16" t="str">
        <f>IFERROR(__xludf.DUMMYFUNCTION("""COMPUTED_VALUE"""),"")</f>
        <v/>
      </c>
    </row>
    <row r="8932">
      <c r="A8932" s="16" t="s">
        <v>87</v>
      </c>
      <c r="E8932" s="16" t="str">
        <f>IFERROR(__xludf.DUMMYFUNCTION("""COMPUTED_VALUE"""),"")</f>
        <v/>
      </c>
      <c r="G8932" s="18"/>
      <c r="H8932" s="16" t="s">
        <v>87</v>
      </c>
      <c r="I8932" s="16" t="s">
        <v>87</v>
      </c>
      <c r="J8932" s="19"/>
      <c r="L8932" s="16" t="str">
        <f>IFERROR(__xludf.DUMMYFUNCTION("""COMPUTED_VALUE"""),"")</f>
        <v/>
      </c>
      <c r="M8932" s="16" t="str">
        <f>IFERROR(__xludf.DUMMYFUNCTION("""COMPUTED_VALUE"""),"")</f>
        <v/>
      </c>
      <c r="U8932" s="16" t="s">
        <v>87</v>
      </c>
      <c r="V8932" s="16" t="str">
        <f>IFERROR(__xludf.DUMMYFUNCTION("""COMPUTED_VALUE"""),"")</f>
        <v/>
      </c>
      <c r="W8932" s="16" t="str">
        <f>IFERROR(__xludf.DUMMYFUNCTION("""COMPUTED_VALUE"""),"")</f>
        <v/>
      </c>
      <c r="X8932" s="16" t="str">
        <f>IFERROR(__xludf.DUMMYFUNCTION("""COMPUTED_VALUE"""),"")</f>
        <v/>
      </c>
      <c r="AC8932" s="16" t="str">
        <f>IFERROR(__xludf.DUMMYFUNCTION("""COMPUTED_VALUE"""),"")</f>
        <v/>
      </c>
    </row>
    <row r="8933">
      <c r="A8933" s="16" t="s">
        <v>87</v>
      </c>
      <c r="E8933" s="16" t="str">
        <f>IFERROR(__xludf.DUMMYFUNCTION("""COMPUTED_VALUE"""),"")</f>
        <v/>
      </c>
      <c r="G8933" s="18"/>
      <c r="H8933" s="16" t="s">
        <v>87</v>
      </c>
      <c r="I8933" s="16" t="s">
        <v>87</v>
      </c>
      <c r="J8933" s="19"/>
      <c r="L8933" s="16" t="str">
        <f>IFERROR(__xludf.DUMMYFUNCTION("""COMPUTED_VALUE"""),"")</f>
        <v/>
      </c>
      <c r="M8933" s="16" t="str">
        <f>IFERROR(__xludf.DUMMYFUNCTION("""COMPUTED_VALUE"""),"")</f>
        <v/>
      </c>
      <c r="U8933" s="16" t="s">
        <v>87</v>
      </c>
      <c r="V8933" s="16" t="str">
        <f>IFERROR(__xludf.DUMMYFUNCTION("""COMPUTED_VALUE"""),"")</f>
        <v/>
      </c>
      <c r="W8933" s="16" t="str">
        <f>IFERROR(__xludf.DUMMYFUNCTION("""COMPUTED_VALUE"""),"")</f>
        <v/>
      </c>
      <c r="X8933" s="16" t="str">
        <f>IFERROR(__xludf.DUMMYFUNCTION("""COMPUTED_VALUE"""),"")</f>
        <v/>
      </c>
      <c r="AC8933" s="16" t="str">
        <f>IFERROR(__xludf.DUMMYFUNCTION("""COMPUTED_VALUE"""),"")</f>
        <v/>
      </c>
    </row>
    <row r="8934">
      <c r="A8934" s="16" t="s">
        <v>87</v>
      </c>
      <c r="E8934" s="16" t="str">
        <f>IFERROR(__xludf.DUMMYFUNCTION("""COMPUTED_VALUE"""),"")</f>
        <v/>
      </c>
      <c r="G8934" s="18"/>
      <c r="H8934" s="16" t="s">
        <v>87</v>
      </c>
      <c r="I8934" s="16" t="s">
        <v>87</v>
      </c>
      <c r="J8934" s="19"/>
      <c r="L8934" s="16" t="str">
        <f>IFERROR(__xludf.DUMMYFUNCTION("""COMPUTED_VALUE"""),"")</f>
        <v/>
      </c>
      <c r="M8934" s="16" t="str">
        <f>IFERROR(__xludf.DUMMYFUNCTION("""COMPUTED_VALUE"""),"")</f>
        <v/>
      </c>
      <c r="U8934" s="16" t="s">
        <v>87</v>
      </c>
      <c r="V8934" s="16" t="str">
        <f>IFERROR(__xludf.DUMMYFUNCTION("""COMPUTED_VALUE"""),"")</f>
        <v/>
      </c>
      <c r="W8934" s="16" t="str">
        <f>IFERROR(__xludf.DUMMYFUNCTION("""COMPUTED_VALUE"""),"")</f>
        <v/>
      </c>
      <c r="X8934" s="16" t="str">
        <f>IFERROR(__xludf.DUMMYFUNCTION("""COMPUTED_VALUE"""),"")</f>
        <v/>
      </c>
      <c r="AC8934" s="16" t="str">
        <f>IFERROR(__xludf.DUMMYFUNCTION("""COMPUTED_VALUE"""),"")</f>
        <v/>
      </c>
    </row>
    <row r="8935">
      <c r="A8935" s="16" t="s">
        <v>87</v>
      </c>
      <c r="E8935" s="16" t="str">
        <f>IFERROR(__xludf.DUMMYFUNCTION("""COMPUTED_VALUE"""),"")</f>
        <v/>
      </c>
      <c r="G8935" s="18"/>
      <c r="H8935" s="16" t="s">
        <v>87</v>
      </c>
      <c r="I8935" s="16" t="s">
        <v>87</v>
      </c>
      <c r="J8935" s="19"/>
      <c r="L8935" s="16" t="str">
        <f>IFERROR(__xludf.DUMMYFUNCTION("""COMPUTED_VALUE"""),"")</f>
        <v/>
      </c>
      <c r="M8935" s="16" t="str">
        <f>IFERROR(__xludf.DUMMYFUNCTION("""COMPUTED_VALUE"""),"")</f>
        <v/>
      </c>
      <c r="U8935" s="16" t="s">
        <v>87</v>
      </c>
      <c r="V8935" s="16" t="str">
        <f>IFERROR(__xludf.DUMMYFUNCTION("""COMPUTED_VALUE"""),"")</f>
        <v/>
      </c>
      <c r="W8935" s="16" t="str">
        <f>IFERROR(__xludf.DUMMYFUNCTION("""COMPUTED_VALUE"""),"")</f>
        <v/>
      </c>
      <c r="X8935" s="16" t="str">
        <f>IFERROR(__xludf.DUMMYFUNCTION("""COMPUTED_VALUE"""),"")</f>
        <v/>
      </c>
      <c r="AC8935" s="16" t="str">
        <f>IFERROR(__xludf.DUMMYFUNCTION("""COMPUTED_VALUE"""),"")</f>
        <v/>
      </c>
    </row>
    <row r="8936">
      <c r="A8936" s="16" t="s">
        <v>87</v>
      </c>
      <c r="E8936" s="16" t="str">
        <f>IFERROR(__xludf.DUMMYFUNCTION("""COMPUTED_VALUE"""),"")</f>
        <v/>
      </c>
      <c r="G8936" s="18"/>
      <c r="H8936" s="16" t="s">
        <v>87</v>
      </c>
      <c r="I8936" s="16" t="s">
        <v>87</v>
      </c>
      <c r="J8936" s="19"/>
      <c r="L8936" s="16" t="str">
        <f>IFERROR(__xludf.DUMMYFUNCTION("""COMPUTED_VALUE"""),"")</f>
        <v/>
      </c>
      <c r="M8936" s="16" t="str">
        <f>IFERROR(__xludf.DUMMYFUNCTION("""COMPUTED_VALUE"""),"")</f>
        <v/>
      </c>
      <c r="U8936" s="16" t="s">
        <v>87</v>
      </c>
      <c r="V8936" s="16" t="str">
        <f>IFERROR(__xludf.DUMMYFUNCTION("""COMPUTED_VALUE"""),"")</f>
        <v/>
      </c>
      <c r="W8936" s="16" t="str">
        <f>IFERROR(__xludf.DUMMYFUNCTION("""COMPUTED_VALUE"""),"")</f>
        <v/>
      </c>
      <c r="X8936" s="16" t="str">
        <f>IFERROR(__xludf.DUMMYFUNCTION("""COMPUTED_VALUE"""),"")</f>
        <v/>
      </c>
      <c r="AC8936" s="16" t="str">
        <f>IFERROR(__xludf.DUMMYFUNCTION("""COMPUTED_VALUE"""),"")</f>
        <v/>
      </c>
    </row>
    <row r="8937">
      <c r="A8937" s="16" t="s">
        <v>87</v>
      </c>
      <c r="E8937" s="16" t="str">
        <f>IFERROR(__xludf.DUMMYFUNCTION("""COMPUTED_VALUE"""),"")</f>
        <v/>
      </c>
      <c r="G8937" s="18"/>
      <c r="H8937" s="16" t="s">
        <v>87</v>
      </c>
      <c r="I8937" s="16" t="s">
        <v>87</v>
      </c>
      <c r="J8937" s="19"/>
      <c r="L8937" s="16" t="str">
        <f>IFERROR(__xludf.DUMMYFUNCTION("""COMPUTED_VALUE"""),"")</f>
        <v/>
      </c>
      <c r="M8937" s="16" t="str">
        <f>IFERROR(__xludf.DUMMYFUNCTION("""COMPUTED_VALUE"""),"")</f>
        <v/>
      </c>
      <c r="U8937" s="16" t="s">
        <v>87</v>
      </c>
      <c r="V8937" s="16" t="str">
        <f>IFERROR(__xludf.DUMMYFUNCTION("""COMPUTED_VALUE"""),"")</f>
        <v/>
      </c>
      <c r="W8937" s="16" t="str">
        <f>IFERROR(__xludf.DUMMYFUNCTION("""COMPUTED_VALUE"""),"")</f>
        <v/>
      </c>
      <c r="X8937" s="16" t="str">
        <f>IFERROR(__xludf.DUMMYFUNCTION("""COMPUTED_VALUE"""),"")</f>
        <v/>
      </c>
      <c r="AC8937" s="16" t="str">
        <f>IFERROR(__xludf.DUMMYFUNCTION("""COMPUTED_VALUE"""),"")</f>
        <v/>
      </c>
    </row>
    <row r="8938">
      <c r="A8938" s="16" t="s">
        <v>87</v>
      </c>
      <c r="E8938" s="16" t="str">
        <f>IFERROR(__xludf.DUMMYFUNCTION("""COMPUTED_VALUE"""),"")</f>
        <v/>
      </c>
      <c r="G8938" s="18"/>
      <c r="H8938" s="16" t="s">
        <v>87</v>
      </c>
      <c r="I8938" s="16" t="s">
        <v>87</v>
      </c>
      <c r="J8938" s="19"/>
      <c r="L8938" s="16" t="str">
        <f>IFERROR(__xludf.DUMMYFUNCTION("""COMPUTED_VALUE"""),"")</f>
        <v/>
      </c>
      <c r="M8938" s="16" t="str">
        <f>IFERROR(__xludf.DUMMYFUNCTION("""COMPUTED_VALUE"""),"")</f>
        <v/>
      </c>
      <c r="U8938" s="16" t="s">
        <v>87</v>
      </c>
      <c r="V8938" s="16" t="str">
        <f>IFERROR(__xludf.DUMMYFUNCTION("""COMPUTED_VALUE"""),"")</f>
        <v/>
      </c>
      <c r="W8938" s="16" t="str">
        <f>IFERROR(__xludf.DUMMYFUNCTION("""COMPUTED_VALUE"""),"")</f>
        <v/>
      </c>
      <c r="X8938" s="16" t="str">
        <f>IFERROR(__xludf.DUMMYFUNCTION("""COMPUTED_VALUE"""),"")</f>
        <v/>
      </c>
      <c r="AC8938" s="16" t="str">
        <f>IFERROR(__xludf.DUMMYFUNCTION("""COMPUTED_VALUE"""),"")</f>
        <v/>
      </c>
    </row>
    <row r="8939">
      <c r="A8939" s="16" t="s">
        <v>87</v>
      </c>
      <c r="E8939" s="16" t="str">
        <f>IFERROR(__xludf.DUMMYFUNCTION("""COMPUTED_VALUE"""),"")</f>
        <v/>
      </c>
      <c r="G8939" s="18"/>
      <c r="H8939" s="16" t="s">
        <v>87</v>
      </c>
      <c r="I8939" s="16" t="s">
        <v>87</v>
      </c>
      <c r="J8939" s="19"/>
      <c r="L8939" s="16" t="str">
        <f>IFERROR(__xludf.DUMMYFUNCTION("""COMPUTED_VALUE"""),"")</f>
        <v/>
      </c>
      <c r="M8939" s="16" t="str">
        <f>IFERROR(__xludf.DUMMYFUNCTION("""COMPUTED_VALUE"""),"")</f>
        <v/>
      </c>
      <c r="U8939" s="16" t="s">
        <v>87</v>
      </c>
      <c r="V8939" s="16" t="str">
        <f>IFERROR(__xludf.DUMMYFUNCTION("""COMPUTED_VALUE"""),"")</f>
        <v/>
      </c>
      <c r="W8939" s="16" t="str">
        <f>IFERROR(__xludf.DUMMYFUNCTION("""COMPUTED_VALUE"""),"")</f>
        <v/>
      </c>
      <c r="X8939" s="16" t="str">
        <f>IFERROR(__xludf.DUMMYFUNCTION("""COMPUTED_VALUE"""),"")</f>
        <v/>
      </c>
      <c r="AC8939" s="16" t="str">
        <f>IFERROR(__xludf.DUMMYFUNCTION("""COMPUTED_VALUE"""),"")</f>
        <v/>
      </c>
    </row>
    <row r="8940">
      <c r="A8940" s="16" t="s">
        <v>87</v>
      </c>
      <c r="E8940" s="16" t="str">
        <f>IFERROR(__xludf.DUMMYFUNCTION("""COMPUTED_VALUE"""),"")</f>
        <v/>
      </c>
      <c r="G8940" s="18"/>
      <c r="H8940" s="16" t="s">
        <v>87</v>
      </c>
      <c r="I8940" s="16" t="s">
        <v>87</v>
      </c>
      <c r="J8940" s="19"/>
      <c r="L8940" s="16" t="str">
        <f>IFERROR(__xludf.DUMMYFUNCTION("""COMPUTED_VALUE"""),"")</f>
        <v/>
      </c>
      <c r="M8940" s="16" t="str">
        <f>IFERROR(__xludf.DUMMYFUNCTION("""COMPUTED_VALUE"""),"")</f>
        <v/>
      </c>
      <c r="U8940" s="16" t="s">
        <v>87</v>
      </c>
      <c r="V8940" s="16" t="str">
        <f>IFERROR(__xludf.DUMMYFUNCTION("""COMPUTED_VALUE"""),"")</f>
        <v/>
      </c>
      <c r="W8940" s="16" t="str">
        <f>IFERROR(__xludf.DUMMYFUNCTION("""COMPUTED_VALUE"""),"")</f>
        <v/>
      </c>
      <c r="X8940" s="16" t="str">
        <f>IFERROR(__xludf.DUMMYFUNCTION("""COMPUTED_VALUE"""),"")</f>
        <v/>
      </c>
      <c r="AC8940" s="16" t="str">
        <f>IFERROR(__xludf.DUMMYFUNCTION("""COMPUTED_VALUE"""),"")</f>
        <v/>
      </c>
    </row>
    <row r="8941">
      <c r="A8941" s="16" t="s">
        <v>87</v>
      </c>
      <c r="E8941" s="16" t="str">
        <f>IFERROR(__xludf.DUMMYFUNCTION("""COMPUTED_VALUE"""),"")</f>
        <v/>
      </c>
      <c r="G8941" s="18"/>
      <c r="H8941" s="16" t="s">
        <v>87</v>
      </c>
      <c r="I8941" s="16" t="s">
        <v>87</v>
      </c>
      <c r="J8941" s="19"/>
      <c r="L8941" s="16" t="str">
        <f>IFERROR(__xludf.DUMMYFUNCTION("""COMPUTED_VALUE"""),"")</f>
        <v/>
      </c>
      <c r="M8941" s="16" t="str">
        <f>IFERROR(__xludf.DUMMYFUNCTION("""COMPUTED_VALUE"""),"")</f>
        <v/>
      </c>
      <c r="U8941" s="16" t="s">
        <v>87</v>
      </c>
      <c r="V8941" s="16" t="str">
        <f>IFERROR(__xludf.DUMMYFUNCTION("""COMPUTED_VALUE"""),"")</f>
        <v/>
      </c>
      <c r="W8941" s="16" t="str">
        <f>IFERROR(__xludf.DUMMYFUNCTION("""COMPUTED_VALUE"""),"")</f>
        <v/>
      </c>
      <c r="X8941" s="16" t="str">
        <f>IFERROR(__xludf.DUMMYFUNCTION("""COMPUTED_VALUE"""),"")</f>
        <v/>
      </c>
      <c r="AC8941" s="16" t="str">
        <f>IFERROR(__xludf.DUMMYFUNCTION("""COMPUTED_VALUE"""),"")</f>
        <v/>
      </c>
    </row>
    <row r="8942">
      <c r="A8942" s="16" t="s">
        <v>87</v>
      </c>
      <c r="E8942" s="16" t="str">
        <f>IFERROR(__xludf.DUMMYFUNCTION("""COMPUTED_VALUE"""),"")</f>
        <v/>
      </c>
      <c r="G8942" s="18"/>
      <c r="H8942" s="16" t="s">
        <v>87</v>
      </c>
      <c r="I8942" s="16" t="s">
        <v>87</v>
      </c>
      <c r="J8942" s="19"/>
      <c r="L8942" s="16" t="str">
        <f>IFERROR(__xludf.DUMMYFUNCTION("""COMPUTED_VALUE"""),"")</f>
        <v/>
      </c>
      <c r="M8942" s="16" t="str">
        <f>IFERROR(__xludf.DUMMYFUNCTION("""COMPUTED_VALUE"""),"")</f>
        <v/>
      </c>
      <c r="U8942" s="16" t="s">
        <v>87</v>
      </c>
      <c r="V8942" s="16" t="str">
        <f>IFERROR(__xludf.DUMMYFUNCTION("""COMPUTED_VALUE"""),"")</f>
        <v/>
      </c>
      <c r="W8942" s="16" t="str">
        <f>IFERROR(__xludf.DUMMYFUNCTION("""COMPUTED_VALUE"""),"")</f>
        <v/>
      </c>
      <c r="X8942" s="16" t="str">
        <f>IFERROR(__xludf.DUMMYFUNCTION("""COMPUTED_VALUE"""),"")</f>
        <v/>
      </c>
      <c r="AC8942" s="16" t="str">
        <f>IFERROR(__xludf.DUMMYFUNCTION("""COMPUTED_VALUE"""),"")</f>
        <v/>
      </c>
    </row>
    <row r="8943">
      <c r="A8943" s="16" t="s">
        <v>87</v>
      </c>
      <c r="E8943" s="16" t="str">
        <f>IFERROR(__xludf.DUMMYFUNCTION("""COMPUTED_VALUE"""),"")</f>
        <v/>
      </c>
      <c r="G8943" s="18"/>
      <c r="H8943" s="16" t="s">
        <v>87</v>
      </c>
      <c r="I8943" s="16" t="s">
        <v>87</v>
      </c>
      <c r="J8943" s="19"/>
      <c r="L8943" s="16" t="str">
        <f>IFERROR(__xludf.DUMMYFUNCTION("""COMPUTED_VALUE"""),"")</f>
        <v/>
      </c>
      <c r="M8943" s="16" t="str">
        <f>IFERROR(__xludf.DUMMYFUNCTION("""COMPUTED_VALUE"""),"")</f>
        <v/>
      </c>
      <c r="U8943" s="16" t="s">
        <v>87</v>
      </c>
      <c r="V8943" s="16" t="str">
        <f>IFERROR(__xludf.DUMMYFUNCTION("""COMPUTED_VALUE"""),"")</f>
        <v/>
      </c>
      <c r="W8943" s="16" t="str">
        <f>IFERROR(__xludf.DUMMYFUNCTION("""COMPUTED_VALUE"""),"")</f>
        <v/>
      </c>
      <c r="X8943" s="16" t="str">
        <f>IFERROR(__xludf.DUMMYFUNCTION("""COMPUTED_VALUE"""),"")</f>
        <v/>
      </c>
      <c r="AC8943" s="16" t="str">
        <f>IFERROR(__xludf.DUMMYFUNCTION("""COMPUTED_VALUE"""),"")</f>
        <v/>
      </c>
    </row>
    <row r="8944">
      <c r="A8944" s="16" t="s">
        <v>87</v>
      </c>
      <c r="E8944" s="16" t="str">
        <f>IFERROR(__xludf.DUMMYFUNCTION("""COMPUTED_VALUE"""),"")</f>
        <v/>
      </c>
      <c r="G8944" s="18"/>
      <c r="H8944" s="16" t="s">
        <v>87</v>
      </c>
      <c r="I8944" s="16" t="s">
        <v>87</v>
      </c>
      <c r="J8944" s="19"/>
      <c r="L8944" s="16" t="str">
        <f>IFERROR(__xludf.DUMMYFUNCTION("""COMPUTED_VALUE"""),"")</f>
        <v/>
      </c>
      <c r="M8944" s="16" t="str">
        <f>IFERROR(__xludf.DUMMYFUNCTION("""COMPUTED_VALUE"""),"")</f>
        <v/>
      </c>
      <c r="U8944" s="16" t="s">
        <v>87</v>
      </c>
      <c r="V8944" s="16" t="str">
        <f>IFERROR(__xludf.DUMMYFUNCTION("""COMPUTED_VALUE"""),"")</f>
        <v/>
      </c>
      <c r="W8944" s="16" t="str">
        <f>IFERROR(__xludf.DUMMYFUNCTION("""COMPUTED_VALUE"""),"")</f>
        <v/>
      </c>
      <c r="X8944" s="16" t="str">
        <f>IFERROR(__xludf.DUMMYFUNCTION("""COMPUTED_VALUE"""),"")</f>
        <v/>
      </c>
      <c r="AC8944" s="16" t="str">
        <f>IFERROR(__xludf.DUMMYFUNCTION("""COMPUTED_VALUE"""),"")</f>
        <v/>
      </c>
    </row>
    <row r="8945">
      <c r="A8945" s="16" t="s">
        <v>87</v>
      </c>
      <c r="E8945" s="16" t="str">
        <f>IFERROR(__xludf.DUMMYFUNCTION("""COMPUTED_VALUE"""),"")</f>
        <v/>
      </c>
      <c r="G8945" s="18"/>
      <c r="H8945" s="16" t="s">
        <v>87</v>
      </c>
      <c r="I8945" s="16" t="s">
        <v>87</v>
      </c>
      <c r="J8945" s="19"/>
      <c r="L8945" s="16" t="str">
        <f>IFERROR(__xludf.DUMMYFUNCTION("""COMPUTED_VALUE"""),"")</f>
        <v/>
      </c>
      <c r="M8945" s="16" t="str">
        <f>IFERROR(__xludf.DUMMYFUNCTION("""COMPUTED_VALUE"""),"")</f>
        <v/>
      </c>
      <c r="U8945" s="16" t="s">
        <v>87</v>
      </c>
      <c r="V8945" s="16" t="str">
        <f>IFERROR(__xludf.DUMMYFUNCTION("""COMPUTED_VALUE"""),"")</f>
        <v/>
      </c>
      <c r="W8945" s="16" t="str">
        <f>IFERROR(__xludf.DUMMYFUNCTION("""COMPUTED_VALUE"""),"")</f>
        <v/>
      </c>
      <c r="X8945" s="16" t="str">
        <f>IFERROR(__xludf.DUMMYFUNCTION("""COMPUTED_VALUE"""),"")</f>
        <v/>
      </c>
      <c r="AC8945" s="16" t="str">
        <f>IFERROR(__xludf.DUMMYFUNCTION("""COMPUTED_VALUE"""),"")</f>
        <v/>
      </c>
    </row>
    <row r="8946">
      <c r="A8946" s="16" t="s">
        <v>87</v>
      </c>
      <c r="E8946" s="16" t="str">
        <f>IFERROR(__xludf.DUMMYFUNCTION("""COMPUTED_VALUE"""),"")</f>
        <v/>
      </c>
      <c r="G8946" s="18"/>
      <c r="H8946" s="16" t="s">
        <v>87</v>
      </c>
      <c r="I8946" s="16" t="s">
        <v>87</v>
      </c>
      <c r="J8946" s="19"/>
      <c r="L8946" s="16" t="str">
        <f>IFERROR(__xludf.DUMMYFUNCTION("""COMPUTED_VALUE"""),"")</f>
        <v/>
      </c>
      <c r="M8946" s="16" t="str">
        <f>IFERROR(__xludf.DUMMYFUNCTION("""COMPUTED_VALUE"""),"")</f>
        <v/>
      </c>
      <c r="U8946" s="16" t="s">
        <v>87</v>
      </c>
      <c r="V8946" s="16" t="str">
        <f>IFERROR(__xludf.DUMMYFUNCTION("""COMPUTED_VALUE"""),"")</f>
        <v/>
      </c>
      <c r="W8946" s="16" t="str">
        <f>IFERROR(__xludf.DUMMYFUNCTION("""COMPUTED_VALUE"""),"")</f>
        <v/>
      </c>
      <c r="X8946" s="16" t="str">
        <f>IFERROR(__xludf.DUMMYFUNCTION("""COMPUTED_VALUE"""),"")</f>
        <v/>
      </c>
      <c r="AC8946" s="16" t="str">
        <f>IFERROR(__xludf.DUMMYFUNCTION("""COMPUTED_VALUE"""),"")</f>
        <v/>
      </c>
    </row>
    <row r="8947">
      <c r="A8947" s="16" t="s">
        <v>87</v>
      </c>
      <c r="E8947" s="16" t="str">
        <f>IFERROR(__xludf.DUMMYFUNCTION("""COMPUTED_VALUE"""),"")</f>
        <v/>
      </c>
      <c r="G8947" s="18"/>
      <c r="H8947" s="16" t="s">
        <v>87</v>
      </c>
      <c r="I8947" s="16" t="s">
        <v>87</v>
      </c>
      <c r="J8947" s="19"/>
      <c r="L8947" s="16" t="str">
        <f>IFERROR(__xludf.DUMMYFUNCTION("""COMPUTED_VALUE"""),"")</f>
        <v/>
      </c>
      <c r="M8947" s="16" t="str">
        <f>IFERROR(__xludf.DUMMYFUNCTION("""COMPUTED_VALUE"""),"")</f>
        <v/>
      </c>
      <c r="U8947" s="16" t="s">
        <v>87</v>
      </c>
      <c r="V8947" s="16" t="str">
        <f>IFERROR(__xludf.DUMMYFUNCTION("""COMPUTED_VALUE"""),"")</f>
        <v/>
      </c>
      <c r="W8947" s="16" t="str">
        <f>IFERROR(__xludf.DUMMYFUNCTION("""COMPUTED_VALUE"""),"")</f>
        <v/>
      </c>
      <c r="X8947" s="16" t="str">
        <f>IFERROR(__xludf.DUMMYFUNCTION("""COMPUTED_VALUE"""),"")</f>
        <v/>
      </c>
      <c r="AC8947" s="16" t="str">
        <f>IFERROR(__xludf.DUMMYFUNCTION("""COMPUTED_VALUE"""),"")</f>
        <v/>
      </c>
    </row>
    <row r="8948">
      <c r="A8948" s="16" t="s">
        <v>87</v>
      </c>
      <c r="E8948" s="16" t="str">
        <f>IFERROR(__xludf.DUMMYFUNCTION("""COMPUTED_VALUE"""),"")</f>
        <v/>
      </c>
      <c r="G8948" s="18"/>
      <c r="H8948" s="16" t="s">
        <v>87</v>
      </c>
      <c r="I8948" s="16" t="s">
        <v>87</v>
      </c>
      <c r="J8948" s="19"/>
      <c r="L8948" s="16" t="str">
        <f>IFERROR(__xludf.DUMMYFUNCTION("""COMPUTED_VALUE"""),"")</f>
        <v/>
      </c>
      <c r="M8948" s="16" t="str">
        <f>IFERROR(__xludf.DUMMYFUNCTION("""COMPUTED_VALUE"""),"")</f>
        <v/>
      </c>
      <c r="U8948" s="16" t="s">
        <v>87</v>
      </c>
      <c r="V8948" s="16" t="str">
        <f>IFERROR(__xludf.DUMMYFUNCTION("""COMPUTED_VALUE"""),"")</f>
        <v/>
      </c>
      <c r="W8948" s="16" t="str">
        <f>IFERROR(__xludf.DUMMYFUNCTION("""COMPUTED_VALUE"""),"")</f>
        <v/>
      </c>
      <c r="X8948" s="16" t="str">
        <f>IFERROR(__xludf.DUMMYFUNCTION("""COMPUTED_VALUE"""),"")</f>
        <v/>
      </c>
      <c r="AC8948" s="16" t="str">
        <f>IFERROR(__xludf.DUMMYFUNCTION("""COMPUTED_VALUE"""),"")</f>
        <v/>
      </c>
    </row>
    <row r="8949">
      <c r="A8949" s="16" t="s">
        <v>87</v>
      </c>
      <c r="E8949" s="16" t="str">
        <f>IFERROR(__xludf.DUMMYFUNCTION("""COMPUTED_VALUE"""),"")</f>
        <v/>
      </c>
      <c r="G8949" s="18"/>
      <c r="H8949" s="16" t="s">
        <v>87</v>
      </c>
      <c r="I8949" s="16" t="s">
        <v>87</v>
      </c>
      <c r="J8949" s="19"/>
      <c r="L8949" s="16" t="str">
        <f>IFERROR(__xludf.DUMMYFUNCTION("""COMPUTED_VALUE"""),"")</f>
        <v/>
      </c>
      <c r="M8949" s="16" t="str">
        <f>IFERROR(__xludf.DUMMYFUNCTION("""COMPUTED_VALUE"""),"")</f>
        <v/>
      </c>
      <c r="U8949" s="16" t="s">
        <v>87</v>
      </c>
      <c r="V8949" s="16" t="str">
        <f>IFERROR(__xludf.DUMMYFUNCTION("""COMPUTED_VALUE"""),"")</f>
        <v/>
      </c>
      <c r="W8949" s="16" t="str">
        <f>IFERROR(__xludf.DUMMYFUNCTION("""COMPUTED_VALUE"""),"")</f>
        <v/>
      </c>
      <c r="X8949" s="16" t="str">
        <f>IFERROR(__xludf.DUMMYFUNCTION("""COMPUTED_VALUE"""),"")</f>
        <v/>
      </c>
      <c r="AC8949" s="16" t="str">
        <f>IFERROR(__xludf.DUMMYFUNCTION("""COMPUTED_VALUE"""),"")</f>
        <v/>
      </c>
    </row>
    <row r="8950">
      <c r="A8950" s="16" t="s">
        <v>87</v>
      </c>
      <c r="E8950" s="16" t="str">
        <f>IFERROR(__xludf.DUMMYFUNCTION("""COMPUTED_VALUE"""),"")</f>
        <v/>
      </c>
      <c r="G8950" s="18"/>
      <c r="H8950" s="16" t="s">
        <v>87</v>
      </c>
      <c r="I8950" s="16" t="s">
        <v>87</v>
      </c>
      <c r="J8950" s="19"/>
      <c r="L8950" s="16" t="str">
        <f>IFERROR(__xludf.DUMMYFUNCTION("""COMPUTED_VALUE"""),"")</f>
        <v/>
      </c>
      <c r="M8950" s="16" t="str">
        <f>IFERROR(__xludf.DUMMYFUNCTION("""COMPUTED_VALUE"""),"")</f>
        <v/>
      </c>
      <c r="U8950" s="16" t="s">
        <v>87</v>
      </c>
      <c r="V8950" s="16" t="str">
        <f>IFERROR(__xludf.DUMMYFUNCTION("""COMPUTED_VALUE"""),"")</f>
        <v/>
      </c>
      <c r="W8950" s="16" t="str">
        <f>IFERROR(__xludf.DUMMYFUNCTION("""COMPUTED_VALUE"""),"")</f>
        <v/>
      </c>
      <c r="X8950" s="16" t="str">
        <f>IFERROR(__xludf.DUMMYFUNCTION("""COMPUTED_VALUE"""),"")</f>
        <v/>
      </c>
      <c r="AC8950" s="16" t="str">
        <f>IFERROR(__xludf.DUMMYFUNCTION("""COMPUTED_VALUE"""),"")</f>
        <v/>
      </c>
    </row>
    <row r="8951">
      <c r="A8951" s="16" t="s">
        <v>87</v>
      </c>
      <c r="E8951" s="16" t="str">
        <f>IFERROR(__xludf.DUMMYFUNCTION("""COMPUTED_VALUE"""),"")</f>
        <v/>
      </c>
      <c r="G8951" s="18"/>
      <c r="H8951" s="16" t="s">
        <v>87</v>
      </c>
      <c r="I8951" s="16" t="s">
        <v>87</v>
      </c>
      <c r="J8951" s="19"/>
      <c r="L8951" s="16" t="str">
        <f>IFERROR(__xludf.DUMMYFUNCTION("""COMPUTED_VALUE"""),"")</f>
        <v/>
      </c>
      <c r="M8951" s="16" t="str">
        <f>IFERROR(__xludf.DUMMYFUNCTION("""COMPUTED_VALUE"""),"")</f>
        <v/>
      </c>
      <c r="U8951" s="16" t="s">
        <v>87</v>
      </c>
      <c r="V8951" s="16" t="str">
        <f>IFERROR(__xludf.DUMMYFUNCTION("""COMPUTED_VALUE"""),"")</f>
        <v/>
      </c>
      <c r="W8951" s="16" t="str">
        <f>IFERROR(__xludf.DUMMYFUNCTION("""COMPUTED_VALUE"""),"")</f>
        <v/>
      </c>
      <c r="X8951" s="16" t="str">
        <f>IFERROR(__xludf.DUMMYFUNCTION("""COMPUTED_VALUE"""),"")</f>
        <v/>
      </c>
      <c r="AC8951" s="16" t="str">
        <f>IFERROR(__xludf.DUMMYFUNCTION("""COMPUTED_VALUE"""),"")</f>
        <v/>
      </c>
    </row>
    <row r="8952">
      <c r="A8952" s="16" t="s">
        <v>87</v>
      </c>
      <c r="E8952" s="16" t="str">
        <f>IFERROR(__xludf.DUMMYFUNCTION("""COMPUTED_VALUE"""),"")</f>
        <v/>
      </c>
      <c r="G8952" s="18"/>
      <c r="H8952" s="16" t="s">
        <v>87</v>
      </c>
      <c r="I8952" s="16" t="s">
        <v>87</v>
      </c>
      <c r="J8952" s="19"/>
      <c r="L8952" s="16" t="str">
        <f>IFERROR(__xludf.DUMMYFUNCTION("""COMPUTED_VALUE"""),"")</f>
        <v/>
      </c>
      <c r="M8952" s="16" t="str">
        <f>IFERROR(__xludf.DUMMYFUNCTION("""COMPUTED_VALUE"""),"")</f>
        <v/>
      </c>
      <c r="U8952" s="16" t="s">
        <v>87</v>
      </c>
      <c r="V8952" s="16" t="str">
        <f>IFERROR(__xludf.DUMMYFUNCTION("""COMPUTED_VALUE"""),"")</f>
        <v/>
      </c>
      <c r="W8952" s="16" t="str">
        <f>IFERROR(__xludf.DUMMYFUNCTION("""COMPUTED_VALUE"""),"")</f>
        <v/>
      </c>
      <c r="X8952" s="16" t="str">
        <f>IFERROR(__xludf.DUMMYFUNCTION("""COMPUTED_VALUE"""),"")</f>
        <v/>
      </c>
      <c r="AC8952" s="16" t="str">
        <f>IFERROR(__xludf.DUMMYFUNCTION("""COMPUTED_VALUE"""),"")</f>
        <v/>
      </c>
    </row>
    <row r="8953">
      <c r="A8953" s="16" t="s">
        <v>87</v>
      </c>
      <c r="E8953" s="16" t="str">
        <f>IFERROR(__xludf.DUMMYFUNCTION("""COMPUTED_VALUE"""),"")</f>
        <v/>
      </c>
      <c r="G8953" s="18"/>
      <c r="H8953" s="16" t="s">
        <v>87</v>
      </c>
      <c r="I8953" s="16" t="s">
        <v>87</v>
      </c>
      <c r="J8953" s="19"/>
      <c r="L8953" s="16" t="str">
        <f>IFERROR(__xludf.DUMMYFUNCTION("""COMPUTED_VALUE"""),"")</f>
        <v/>
      </c>
      <c r="M8953" s="16" t="str">
        <f>IFERROR(__xludf.DUMMYFUNCTION("""COMPUTED_VALUE"""),"")</f>
        <v/>
      </c>
      <c r="U8953" s="16" t="s">
        <v>87</v>
      </c>
      <c r="V8953" s="16" t="str">
        <f>IFERROR(__xludf.DUMMYFUNCTION("""COMPUTED_VALUE"""),"")</f>
        <v/>
      </c>
      <c r="W8953" s="16" t="str">
        <f>IFERROR(__xludf.DUMMYFUNCTION("""COMPUTED_VALUE"""),"")</f>
        <v/>
      </c>
      <c r="X8953" s="16" t="str">
        <f>IFERROR(__xludf.DUMMYFUNCTION("""COMPUTED_VALUE"""),"")</f>
        <v/>
      </c>
      <c r="AC8953" s="16" t="str">
        <f>IFERROR(__xludf.DUMMYFUNCTION("""COMPUTED_VALUE"""),"")</f>
        <v/>
      </c>
    </row>
    <row r="8954">
      <c r="A8954" s="16" t="s">
        <v>87</v>
      </c>
      <c r="E8954" s="16" t="str">
        <f>IFERROR(__xludf.DUMMYFUNCTION("""COMPUTED_VALUE"""),"")</f>
        <v/>
      </c>
      <c r="G8954" s="18"/>
      <c r="H8954" s="16" t="s">
        <v>87</v>
      </c>
      <c r="I8954" s="16" t="s">
        <v>87</v>
      </c>
      <c r="J8954" s="19"/>
      <c r="L8954" s="16" t="str">
        <f>IFERROR(__xludf.DUMMYFUNCTION("""COMPUTED_VALUE"""),"")</f>
        <v/>
      </c>
      <c r="M8954" s="16" t="str">
        <f>IFERROR(__xludf.DUMMYFUNCTION("""COMPUTED_VALUE"""),"")</f>
        <v/>
      </c>
      <c r="U8954" s="16" t="s">
        <v>87</v>
      </c>
      <c r="V8954" s="16" t="str">
        <f>IFERROR(__xludf.DUMMYFUNCTION("""COMPUTED_VALUE"""),"")</f>
        <v/>
      </c>
      <c r="W8954" s="16" t="str">
        <f>IFERROR(__xludf.DUMMYFUNCTION("""COMPUTED_VALUE"""),"")</f>
        <v/>
      </c>
      <c r="X8954" s="16" t="str">
        <f>IFERROR(__xludf.DUMMYFUNCTION("""COMPUTED_VALUE"""),"")</f>
        <v/>
      </c>
      <c r="AC8954" s="16" t="str">
        <f>IFERROR(__xludf.DUMMYFUNCTION("""COMPUTED_VALUE"""),"")</f>
        <v/>
      </c>
    </row>
    <row r="8955">
      <c r="A8955" s="16" t="s">
        <v>87</v>
      </c>
      <c r="E8955" s="16" t="str">
        <f>IFERROR(__xludf.DUMMYFUNCTION("""COMPUTED_VALUE"""),"")</f>
        <v/>
      </c>
      <c r="G8955" s="18"/>
      <c r="H8955" s="16" t="s">
        <v>87</v>
      </c>
      <c r="I8955" s="16" t="s">
        <v>87</v>
      </c>
      <c r="J8955" s="19"/>
      <c r="L8955" s="16" t="str">
        <f>IFERROR(__xludf.DUMMYFUNCTION("""COMPUTED_VALUE"""),"")</f>
        <v/>
      </c>
      <c r="M8955" s="16" t="str">
        <f>IFERROR(__xludf.DUMMYFUNCTION("""COMPUTED_VALUE"""),"")</f>
        <v/>
      </c>
      <c r="U8955" s="16" t="s">
        <v>87</v>
      </c>
      <c r="V8955" s="16" t="str">
        <f>IFERROR(__xludf.DUMMYFUNCTION("""COMPUTED_VALUE"""),"")</f>
        <v/>
      </c>
      <c r="W8955" s="16" t="str">
        <f>IFERROR(__xludf.DUMMYFUNCTION("""COMPUTED_VALUE"""),"")</f>
        <v/>
      </c>
      <c r="X8955" s="16" t="str">
        <f>IFERROR(__xludf.DUMMYFUNCTION("""COMPUTED_VALUE"""),"")</f>
        <v/>
      </c>
      <c r="AC8955" s="16" t="str">
        <f>IFERROR(__xludf.DUMMYFUNCTION("""COMPUTED_VALUE"""),"")</f>
        <v/>
      </c>
    </row>
    <row r="8956">
      <c r="A8956" s="16" t="s">
        <v>87</v>
      </c>
      <c r="E8956" s="16" t="str">
        <f>IFERROR(__xludf.DUMMYFUNCTION("""COMPUTED_VALUE"""),"")</f>
        <v/>
      </c>
      <c r="G8956" s="18"/>
      <c r="H8956" s="16" t="s">
        <v>87</v>
      </c>
      <c r="I8956" s="16" t="s">
        <v>87</v>
      </c>
      <c r="J8956" s="19"/>
      <c r="L8956" s="16" t="str">
        <f>IFERROR(__xludf.DUMMYFUNCTION("""COMPUTED_VALUE"""),"")</f>
        <v/>
      </c>
      <c r="M8956" s="16" t="str">
        <f>IFERROR(__xludf.DUMMYFUNCTION("""COMPUTED_VALUE"""),"")</f>
        <v/>
      </c>
      <c r="U8956" s="16" t="s">
        <v>87</v>
      </c>
      <c r="V8956" s="16" t="str">
        <f>IFERROR(__xludf.DUMMYFUNCTION("""COMPUTED_VALUE"""),"")</f>
        <v/>
      </c>
      <c r="W8956" s="16" t="str">
        <f>IFERROR(__xludf.DUMMYFUNCTION("""COMPUTED_VALUE"""),"")</f>
        <v/>
      </c>
      <c r="X8956" s="16" t="str">
        <f>IFERROR(__xludf.DUMMYFUNCTION("""COMPUTED_VALUE"""),"")</f>
        <v/>
      </c>
      <c r="AC8956" s="16" t="str">
        <f>IFERROR(__xludf.DUMMYFUNCTION("""COMPUTED_VALUE"""),"")</f>
        <v/>
      </c>
    </row>
    <row r="8957">
      <c r="A8957" s="16" t="s">
        <v>87</v>
      </c>
      <c r="E8957" s="16" t="str">
        <f>IFERROR(__xludf.DUMMYFUNCTION("""COMPUTED_VALUE"""),"")</f>
        <v/>
      </c>
      <c r="G8957" s="18"/>
      <c r="H8957" s="16" t="s">
        <v>87</v>
      </c>
      <c r="I8957" s="16" t="s">
        <v>87</v>
      </c>
      <c r="J8957" s="19"/>
      <c r="L8957" s="16" t="str">
        <f>IFERROR(__xludf.DUMMYFUNCTION("""COMPUTED_VALUE"""),"")</f>
        <v/>
      </c>
      <c r="M8957" s="16" t="str">
        <f>IFERROR(__xludf.DUMMYFUNCTION("""COMPUTED_VALUE"""),"")</f>
        <v/>
      </c>
      <c r="U8957" s="16" t="s">
        <v>87</v>
      </c>
      <c r="V8957" s="16" t="str">
        <f>IFERROR(__xludf.DUMMYFUNCTION("""COMPUTED_VALUE"""),"")</f>
        <v/>
      </c>
      <c r="W8957" s="16" t="str">
        <f>IFERROR(__xludf.DUMMYFUNCTION("""COMPUTED_VALUE"""),"")</f>
        <v/>
      </c>
      <c r="X8957" s="16" t="str">
        <f>IFERROR(__xludf.DUMMYFUNCTION("""COMPUTED_VALUE"""),"")</f>
        <v/>
      </c>
      <c r="AC8957" s="16" t="str">
        <f>IFERROR(__xludf.DUMMYFUNCTION("""COMPUTED_VALUE"""),"")</f>
        <v/>
      </c>
    </row>
    <row r="8958">
      <c r="A8958" s="16" t="s">
        <v>87</v>
      </c>
      <c r="E8958" s="16" t="str">
        <f>IFERROR(__xludf.DUMMYFUNCTION("""COMPUTED_VALUE"""),"")</f>
        <v/>
      </c>
      <c r="G8958" s="18"/>
      <c r="H8958" s="16" t="s">
        <v>87</v>
      </c>
      <c r="I8958" s="16" t="s">
        <v>87</v>
      </c>
      <c r="J8958" s="19"/>
      <c r="L8958" s="16" t="str">
        <f>IFERROR(__xludf.DUMMYFUNCTION("""COMPUTED_VALUE"""),"")</f>
        <v/>
      </c>
      <c r="M8958" s="16" t="str">
        <f>IFERROR(__xludf.DUMMYFUNCTION("""COMPUTED_VALUE"""),"")</f>
        <v/>
      </c>
      <c r="U8958" s="16" t="s">
        <v>87</v>
      </c>
      <c r="V8958" s="16" t="str">
        <f>IFERROR(__xludf.DUMMYFUNCTION("""COMPUTED_VALUE"""),"")</f>
        <v/>
      </c>
      <c r="W8958" s="16" t="str">
        <f>IFERROR(__xludf.DUMMYFUNCTION("""COMPUTED_VALUE"""),"")</f>
        <v/>
      </c>
      <c r="X8958" s="16" t="str">
        <f>IFERROR(__xludf.DUMMYFUNCTION("""COMPUTED_VALUE"""),"")</f>
        <v/>
      </c>
      <c r="AC8958" s="16" t="str">
        <f>IFERROR(__xludf.DUMMYFUNCTION("""COMPUTED_VALUE"""),"")</f>
        <v/>
      </c>
    </row>
    <row r="8959">
      <c r="A8959" s="16" t="s">
        <v>87</v>
      </c>
      <c r="E8959" s="16" t="str">
        <f>IFERROR(__xludf.DUMMYFUNCTION("""COMPUTED_VALUE"""),"")</f>
        <v/>
      </c>
      <c r="G8959" s="18"/>
      <c r="H8959" s="16" t="s">
        <v>87</v>
      </c>
      <c r="I8959" s="16" t="s">
        <v>87</v>
      </c>
      <c r="J8959" s="19"/>
      <c r="L8959" s="16" t="str">
        <f>IFERROR(__xludf.DUMMYFUNCTION("""COMPUTED_VALUE"""),"")</f>
        <v/>
      </c>
      <c r="M8959" s="16" t="str">
        <f>IFERROR(__xludf.DUMMYFUNCTION("""COMPUTED_VALUE"""),"")</f>
        <v/>
      </c>
      <c r="U8959" s="16" t="s">
        <v>87</v>
      </c>
      <c r="V8959" s="16" t="str">
        <f>IFERROR(__xludf.DUMMYFUNCTION("""COMPUTED_VALUE"""),"")</f>
        <v/>
      </c>
      <c r="W8959" s="16" t="str">
        <f>IFERROR(__xludf.DUMMYFUNCTION("""COMPUTED_VALUE"""),"")</f>
        <v/>
      </c>
      <c r="X8959" s="16" t="str">
        <f>IFERROR(__xludf.DUMMYFUNCTION("""COMPUTED_VALUE"""),"")</f>
        <v/>
      </c>
      <c r="AC8959" s="16" t="str">
        <f>IFERROR(__xludf.DUMMYFUNCTION("""COMPUTED_VALUE"""),"")</f>
        <v/>
      </c>
    </row>
    <row r="8960">
      <c r="A8960" s="16" t="s">
        <v>87</v>
      </c>
      <c r="E8960" s="16" t="str">
        <f>IFERROR(__xludf.DUMMYFUNCTION("""COMPUTED_VALUE"""),"")</f>
        <v/>
      </c>
      <c r="G8960" s="18"/>
      <c r="H8960" s="16" t="s">
        <v>87</v>
      </c>
      <c r="I8960" s="16" t="s">
        <v>87</v>
      </c>
      <c r="J8960" s="19"/>
      <c r="L8960" s="16" t="str">
        <f>IFERROR(__xludf.DUMMYFUNCTION("""COMPUTED_VALUE"""),"")</f>
        <v/>
      </c>
      <c r="M8960" s="16" t="str">
        <f>IFERROR(__xludf.DUMMYFUNCTION("""COMPUTED_VALUE"""),"")</f>
        <v/>
      </c>
      <c r="U8960" s="16" t="s">
        <v>87</v>
      </c>
      <c r="V8960" s="16" t="str">
        <f>IFERROR(__xludf.DUMMYFUNCTION("""COMPUTED_VALUE"""),"")</f>
        <v/>
      </c>
      <c r="W8960" s="16" t="str">
        <f>IFERROR(__xludf.DUMMYFUNCTION("""COMPUTED_VALUE"""),"")</f>
        <v/>
      </c>
      <c r="X8960" s="16" t="str">
        <f>IFERROR(__xludf.DUMMYFUNCTION("""COMPUTED_VALUE"""),"")</f>
        <v/>
      </c>
      <c r="AC8960" s="16" t="str">
        <f>IFERROR(__xludf.DUMMYFUNCTION("""COMPUTED_VALUE"""),"")</f>
        <v/>
      </c>
    </row>
    <row r="8961">
      <c r="A8961" s="16" t="s">
        <v>87</v>
      </c>
      <c r="E8961" s="16" t="str">
        <f>IFERROR(__xludf.DUMMYFUNCTION("""COMPUTED_VALUE"""),"")</f>
        <v/>
      </c>
      <c r="G8961" s="18"/>
      <c r="H8961" s="16" t="s">
        <v>87</v>
      </c>
      <c r="I8961" s="16" t="s">
        <v>87</v>
      </c>
      <c r="J8961" s="19"/>
      <c r="L8961" s="16" t="str">
        <f>IFERROR(__xludf.DUMMYFUNCTION("""COMPUTED_VALUE"""),"")</f>
        <v/>
      </c>
      <c r="M8961" s="16" t="str">
        <f>IFERROR(__xludf.DUMMYFUNCTION("""COMPUTED_VALUE"""),"")</f>
        <v/>
      </c>
      <c r="U8961" s="16" t="s">
        <v>87</v>
      </c>
      <c r="V8961" s="16" t="str">
        <f>IFERROR(__xludf.DUMMYFUNCTION("""COMPUTED_VALUE"""),"")</f>
        <v/>
      </c>
      <c r="W8961" s="16" t="str">
        <f>IFERROR(__xludf.DUMMYFUNCTION("""COMPUTED_VALUE"""),"")</f>
        <v/>
      </c>
      <c r="X8961" s="16" t="str">
        <f>IFERROR(__xludf.DUMMYFUNCTION("""COMPUTED_VALUE"""),"")</f>
        <v/>
      </c>
      <c r="AC8961" s="16" t="str">
        <f>IFERROR(__xludf.DUMMYFUNCTION("""COMPUTED_VALUE"""),"")</f>
        <v/>
      </c>
    </row>
    <row r="8962">
      <c r="A8962" s="16" t="s">
        <v>87</v>
      </c>
      <c r="E8962" s="16" t="str">
        <f>IFERROR(__xludf.DUMMYFUNCTION("""COMPUTED_VALUE"""),"")</f>
        <v/>
      </c>
      <c r="G8962" s="18"/>
      <c r="H8962" s="16" t="s">
        <v>87</v>
      </c>
      <c r="I8962" s="16" t="s">
        <v>87</v>
      </c>
      <c r="J8962" s="19"/>
      <c r="L8962" s="16" t="str">
        <f>IFERROR(__xludf.DUMMYFUNCTION("""COMPUTED_VALUE"""),"")</f>
        <v/>
      </c>
      <c r="M8962" s="16" t="str">
        <f>IFERROR(__xludf.DUMMYFUNCTION("""COMPUTED_VALUE"""),"")</f>
        <v/>
      </c>
      <c r="U8962" s="16" t="s">
        <v>87</v>
      </c>
      <c r="V8962" s="16" t="str">
        <f>IFERROR(__xludf.DUMMYFUNCTION("""COMPUTED_VALUE"""),"")</f>
        <v/>
      </c>
      <c r="W8962" s="16" t="str">
        <f>IFERROR(__xludf.DUMMYFUNCTION("""COMPUTED_VALUE"""),"")</f>
        <v/>
      </c>
      <c r="X8962" s="16" t="str">
        <f>IFERROR(__xludf.DUMMYFUNCTION("""COMPUTED_VALUE"""),"")</f>
        <v/>
      </c>
      <c r="AC8962" s="16" t="str">
        <f>IFERROR(__xludf.DUMMYFUNCTION("""COMPUTED_VALUE"""),"")</f>
        <v/>
      </c>
    </row>
    <row r="8963">
      <c r="A8963" s="16" t="s">
        <v>87</v>
      </c>
      <c r="E8963" s="16" t="str">
        <f>IFERROR(__xludf.DUMMYFUNCTION("""COMPUTED_VALUE"""),"")</f>
        <v/>
      </c>
      <c r="G8963" s="18"/>
      <c r="H8963" s="16" t="s">
        <v>87</v>
      </c>
      <c r="I8963" s="16" t="s">
        <v>87</v>
      </c>
      <c r="J8963" s="19"/>
      <c r="L8963" s="16" t="str">
        <f>IFERROR(__xludf.DUMMYFUNCTION("""COMPUTED_VALUE"""),"")</f>
        <v/>
      </c>
      <c r="M8963" s="16" t="str">
        <f>IFERROR(__xludf.DUMMYFUNCTION("""COMPUTED_VALUE"""),"")</f>
        <v/>
      </c>
      <c r="U8963" s="16" t="s">
        <v>87</v>
      </c>
      <c r="V8963" s="16" t="str">
        <f>IFERROR(__xludf.DUMMYFUNCTION("""COMPUTED_VALUE"""),"")</f>
        <v/>
      </c>
      <c r="W8963" s="16" t="str">
        <f>IFERROR(__xludf.DUMMYFUNCTION("""COMPUTED_VALUE"""),"")</f>
        <v/>
      </c>
      <c r="X8963" s="16" t="str">
        <f>IFERROR(__xludf.DUMMYFUNCTION("""COMPUTED_VALUE"""),"")</f>
        <v/>
      </c>
      <c r="AC8963" s="16" t="str">
        <f>IFERROR(__xludf.DUMMYFUNCTION("""COMPUTED_VALUE"""),"")</f>
        <v/>
      </c>
    </row>
    <row r="8964">
      <c r="A8964" s="16" t="s">
        <v>87</v>
      </c>
      <c r="E8964" s="16" t="str">
        <f>IFERROR(__xludf.DUMMYFUNCTION("""COMPUTED_VALUE"""),"")</f>
        <v/>
      </c>
      <c r="G8964" s="18"/>
      <c r="H8964" s="16" t="s">
        <v>87</v>
      </c>
      <c r="I8964" s="16" t="s">
        <v>87</v>
      </c>
      <c r="J8964" s="19"/>
      <c r="L8964" s="16" t="str">
        <f>IFERROR(__xludf.DUMMYFUNCTION("""COMPUTED_VALUE"""),"")</f>
        <v/>
      </c>
      <c r="M8964" s="16" t="str">
        <f>IFERROR(__xludf.DUMMYFUNCTION("""COMPUTED_VALUE"""),"")</f>
        <v/>
      </c>
      <c r="U8964" s="16" t="s">
        <v>87</v>
      </c>
      <c r="V8964" s="16" t="str">
        <f>IFERROR(__xludf.DUMMYFUNCTION("""COMPUTED_VALUE"""),"")</f>
        <v/>
      </c>
      <c r="W8964" s="16" t="str">
        <f>IFERROR(__xludf.DUMMYFUNCTION("""COMPUTED_VALUE"""),"")</f>
        <v/>
      </c>
      <c r="X8964" s="16" t="str">
        <f>IFERROR(__xludf.DUMMYFUNCTION("""COMPUTED_VALUE"""),"")</f>
        <v/>
      </c>
      <c r="AC8964" s="16" t="str">
        <f>IFERROR(__xludf.DUMMYFUNCTION("""COMPUTED_VALUE"""),"")</f>
        <v/>
      </c>
    </row>
    <row r="8965">
      <c r="A8965" s="16" t="s">
        <v>87</v>
      </c>
      <c r="E8965" s="16" t="str">
        <f>IFERROR(__xludf.DUMMYFUNCTION("""COMPUTED_VALUE"""),"")</f>
        <v/>
      </c>
      <c r="G8965" s="18"/>
      <c r="H8965" s="16" t="s">
        <v>87</v>
      </c>
      <c r="I8965" s="16" t="s">
        <v>87</v>
      </c>
      <c r="J8965" s="19"/>
      <c r="L8965" s="16" t="str">
        <f>IFERROR(__xludf.DUMMYFUNCTION("""COMPUTED_VALUE"""),"")</f>
        <v/>
      </c>
      <c r="M8965" s="16" t="str">
        <f>IFERROR(__xludf.DUMMYFUNCTION("""COMPUTED_VALUE"""),"")</f>
        <v/>
      </c>
      <c r="U8965" s="16" t="s">
        <v>87</v>
      </c>
      <c r="V8965" s="16" t="str">
        <f>IFERROR(__xludf.DUMMYFUNCTION("""COMPUTED_VALUE"""),"")</f>
        <v/>
      </c>
      <c r="W8965" s="16" t="str">
        <f>IFERROR(__xludf.DUMMYFUNCTION("""COMPUTED_VALUE"""),"")</f>
        <v/>
      </c>
      <c r="X8965" s="16" t="str">
        <f>IFERROR(__xludf.DUMMYFUNCTION("""COMPUTED_VALUE"""),"")</f>
        <v/>
      </c>
      <c r="AC8965" s="16" t="str">
        <f>IFERROR(__xludf.DUMMYFUNCTION("""COMPUTED_VALUE"""),"")</f>
        <v/>
      </c>
    </row>
    <row r="8966">
      <c r="A8966" s="16" t="s">
        <v>87</v>
      </c>
      <c r="E8966" s="16" t="str">
        <f>IFERROR(__xludf.DUMMYFUNCTION("""COMPUTED_VALUE"""),"")</f>
        <v/>
      </c>
      <c r="G8966" s="18"/>
      <c r="H8966" s="16" t="s">
        <v>87</v>
      </c>
      <c r="I8966" s="16" t="s">
        <v>87</v>
      </c>
      <c r="J8966" s="19"/>
      <c r="L8966" s="16" t="str">
        <f>IFERROR(__xludf.DUMMYFUNCTION("""COMPUTED_VALUE"""),"")</f>
        <v/>
      </c>
      <c r="M8966" s="16" t="str">
        <f>IFERROR(__xludf.DUMMYFUNCTION("""COMPUTED_VALUE"""),"")</f>
        <v/>
      </c>
      <c r="U8966" s="16" t="s">
        <v>87</v>
      </c>
      <c r="V8966" s="16" t="str">
        <f>IFERROR(__xludf.DUMMYFUNCTION("""COMPUTED_VALUE"""),"")</f>
        <v/>
      </c>
      <c r="W8966" s="16" t="str">
        <f>IFERROR(__xludf.DUMMYFUNCTION("""COMPUTED_VALUE"""),"")</f>
        <v/>
      </c>
      <c r="X8966" s="16" t="str">
        <f>IFERROR(__xludf.DUMMYFUNCTION("""COMPUTED_VALUE"""),"")</f>
        <v/>
      </c>
      <c r="AC8966" s="16" t="str">
        <f>IFERROR(__xludf.DUMMYFUNCTION("""COMPUTED_VALUE"""),"")</f>
        <v/>
      </c>
    </row>
    <row r="8967">
      <c r="A8967" s="16" t="s">
        <v>87</v>
      </c>
      <c r="E8967" s="16" t="str">
        <f>IFERROR(__xludf.DUMMYFUNCTION("""COMPUTED_VALUE"""),"")</f>
        <v/>
      </c>
      <c r="G8967" s="18"/>
      <c r="H8967" s="16" t="s">
        <v>87</v>
      </c>
      <c r="I8967" s="16" t="s">
        <v>87</v>
      </c>
      <c r="J8967" s="19"/>
      <c r="L8967" s="16" t="str">
        <f>IFERROR(__xludf.DUMMYFUNCTION("""COMPUTED_VALUE"""),"")</f>
        <v/>
      </c>
      <c r="M8967" s="16" t="str">
        <f>IFERROR(__xludf.DUMMYFUNCTION("""COMPUTED_VALUE"""),"")</f>
        <v/>
      </c>
      <c r="U8967" s="16" t="s">
        <v>87</v>
      </c>
      <c r="V8967" s="16" t="str">
        <f>IFERROR(__xludf.DUMMYFUNCTION("""COMPUTED_VALUE"""),"")</f>
        <v/>
      </c>
      <c r="W8967" s="16" t="str">
        <f>IFERROR(__xludf.DUMMYFUNCTION("""COMPUTED_VALUE"""),"")</f>
        <v/>
      </c>
      <c r="X8967" s="16" t="str">
        <f>IFERROR(__xludf.DUMMYFUNCTION("""COMPUTED_VALUE"""),"")</f>
        <v/>
      </c>
      <c r="AC8967" s="16" t="str">
        <f>IFERROR(__xludf.DUMMYFUNCTION("""COMPUTED_VALUE"""),"")</f>
        <v/>
      </c>
    </row>
    <row r="8968">
      <c r="A8968" s="16" t="s">
        <v>87</v>
      </c>
      <c r="E8968" s="16" t="str">
        <f>IFERROR(__xludf.DUMMYFUNCTION("""COMPUTED_VALUE"""),"")</f>
        <v/>
      </c>
      <c r="G8968" s="18"/>
      <c r="H8968" s="16" t="s">
        <v>87</v>
      </c>
      <c r="I8968" s="16" t="s">
        <v>87</v>
      </c>
      <c r="J8968" s="19"/>
      <c r="L8968" s="16" t="str">
        <f>IFERROR(__xludf.DUMMYFUNCTION("""COMPUTED_VALUE"""),"")</f>
        <v/>
      </c>
      <c r="M8968" s="16" t="str">
        <f>IFERROR(__xludf.DUMMYFUNCTION("""COMPUTED_VALUE"""),"")</f>
        <v/>
      </c>
      <c r="U8968" s="16" t="s">
        <v>87</v>
      </c>
      <c r="V8968" s="16" t="str">
        <f>IFERROR(__xludf.DUMMYFUNCTION("""COMPUTED_VALUE"""),"")</f>
        <v/>
      </c>
      <c r="W8968" s="16" t="str">
        <f>IFERROR(__xludf.DUMMYFUNCTION("""COMPUTED_VALUE"""),"")</f>
        <v/>
      </c>
      <c r="X8968" s="16" t="str">
        <f>IFERROR(__xludf.DUMMYFUNCTION("""COMPUTED_VALUE"""),"")</f>
        <v/>
      </c>
      <c r="AC8968" s="16" t="str">
        <f>IFERROR(__xludf.DUMMYFUNCTION("""COMPUTED_VALUE"""),"")</f>
        <v/>
      </c>
    </row>
    <row r="8969">
      <c r="A8969" s="16" t="s">
        <v>87</v>
      </c>
      <c r="E8969" s="16" t="str">
        <f>IFERROR(__xludf.DUMMYFUNCTION("""COMPUTED_VALUE"""),"")</f>
        <v/>
      </c>
      <c r="G8969" s="18"/>
      <c r="H8969" s="16" t="s">
        <v>87</v>
      </c>
      <c r="I8969" s="16" t="s">
        <v>87</v>
      </c>
      <c r="J8969" s="19"/>
      <c r="L8969" s="16" t="str">
        <f>IFERROR(__xludf.DUMMYFUNCTION("""COMPUTED_VALUE"""),"")</f>
        <v/>
      </c>
      <c r="M8969" s="16" t="str">
        <f>IFERROR(__xludf.DUMMYFUNCTION("""COMPUTED_VALUE"""),"")</f>
        <v/>
      </c>
      <c r="U8969" s="16" t="s">
        <v>87</v>
      </c>
      <c r="V8969" s="16" t="str">
        <f>IFERROR(__xludf.DUMMYFUNCTION("""COMPUTED_VALUE"""),"")</f>
        <v/>
      </c>
      <c r="W8969" s="16" t="str">
        <f>IFERROR(__xludf.DUMMYFUNCTION("""COMPUTED_VALUE"""),"")</f>
        <v/>
      </c>
      <c r="X8969" s="16" t="str">
        <f>IFERROR(__xludf.DUMMYFUNCTION("""COMPUTED_VALUE"""),"")</f>
        <v/>
      </c>
      <c r="AC8969" s="16" t="str">
        <f>IFERROR(__xludf.DUMMYFUNCTION("""COMPUTED_VALUE"""),"")</f>
        <v/>
      </c>
    </row>
    <row r="8970">
      <c r="A8970" s="16" t="s">
        <v>87</v>
      </c>
      <c r="E8970" s="16" t="str">
        <f>IFERROR(__xludf.DUMMYFUNCTION("""COMPUTED_VALUE"""),"")</f>
        <v/>
      </c>
      <c r="G8970" s="18"/>
      <c r="H8970" s="16" t="s">
        <v>87</v>
      </c>
      <c r="I8970" s="16" t="s">
        <v>87</v>
      </c>
      <c r="J8970" s="19"/>
      <c r="L8970" s="16" t="str">
        <f>IFERROR(__xludf.DUMMYFUNCTION("""COMPUTED_VALUE"""),"")</f>
        <v/>
      </c>
      <c r="M8970" s="16" t="str">
        <f>IFERROR(__xludf.DUMMYFUNCTION("""COMPUTED_VALUE"""),"")</f>
        <v/>
      </c>
      <c r="U8970" s="16" t="s">
        <v>87</v>
      </c>
      <c r="V8970" s="16" t="str">
        <f>IFERROR(__xludf.DUMMYFUNCTION("""COMPUTED_VALUE"""),"")</f>
        <v/>
      </c>
      <c r="W8970" s="16" t="str">
        <f>IFERROR(__xludf.DUMMYFUNCTION("""COMPUTED_VALUE"""),"")</f>
        <v/>
      </c>
      <c r="X8970" s="16" t="str">
        <f>IFERROR(__xludf.DUMMYFUNCTION("""COMPUTED_VALUE"""),"")</f>
        <v/>
      </c>
      <c r="AC8970" s="16" t="str">
        <f>IFERROR(__xludf.DUMMYFUNCTION("""COMPUTED_VALUE"""),"")</f>
        <v/>
      </c>
    </row>
    <row r="8971">
      <c r="A8971" s="16" t="s">
        <v>87</v>
      </c>
      <c r="E8971" s="16" t="str">
        <f>IFERROR(__xludf.DUMMYFUNCTION("""COMPUTED_VALUE"""),"")</f>
        <v/>
      </c>
      <c r="G8971" s="18"/>
      <c r="H8971" s="16" t="s">
        <v>87</v>
      </c>
      <c r="I8971" s="16" t="s">
        <v>87</v>
      </c>
      <c r="J8971" s="19"/>
      <c r="L8971" s="16" t="str">
        <f>IFERROR(__xludf.DUMMYFUNCTION("""COMPUTED_VALUE"""),"")</f>
        <v/>
      </c>
      <c r="M8971" s="16" t="str">
        <f>IFERROR(__xludf.DUMMYFUNCTION("""COMPUTED_VALUE"""),"")</f>
        <v/>
      </c>
      <c r="U8971" s="16" t="s">
        <v>87</v>
      </c>
      <c r="V8971" s="16" t="str">
        <f>IFERROR(__xludf.DUMMYFUNCTION("""COMPUTED_VALUE"""),"")</f>
        <v/>
      </c>
      <c r="W8971" s="16" t="str">
        <f>IFERROR(__xludf.DUMMYFUNCTION("""COMPUTED_VALUE"""),"")</f>
        <v/>
      </c>
      <c r="X8971" s="16" t="str">
        <f>IFERROR(__xludf.DUMMYFUNCTION("""COMPUTED_VALUE"""),"")</f>
        <v/>
      </c>
      <c r="AC8971" s="16" t="str">
        <f>IFERROR(__xludf.DUMMYFUNCTION("""COMPUTED_VALUE"""),"")</f>
        <v/>
      </c>
    </row>
    <row r="8972">
      <c r="A8972" s="16" t="s">
        <v>87</v>
      </c>
      <c r="E8972" s="16" t="str">
        <f>IFERROR(__xludf.DUMMYFUNCTION("""COMPUTED_VALUE"""),"")</f>
        <v/>
      </c>
      <c r="G8972" s="18"/>
      <c r="H8972" s="16" t="s">
        <v>87</v>
      </c>
      <c r="I8972" s="16" t="s">
        <v>87</v>
      </c>
      <c r="J8972" s="19"/>
      <c r="L8972" s="16" t="str">
        <f>IFERROR(__xludf.DUMMYFUNCTION("""COMPUTED_VALUE"""),"")</f>
        <v/>
      </c>
      <c r="M8972" s="16" t="str">
        <f>IFERROR(__xludf.DUMMYFUNCTION("""COMPUTED_VALUE"""),"")</f>
        <v/>
      </c>
      <c r="U8972" s="16" t="s">
        <v>87</v>
      </c>
      <c r="V8972" s="16" t="str">
        <f>IFERROR(__xludf.DUMMYFUNCTION("""COMPUTED_VALUE"""),"")</f>
        <v/>
      </c>
      <c r="W8972" s="16" t="str">
        <f>IFERROR(__xludf.DUMMYFUNCTION("""COMPUTED_VALUE"""),"")</f>
        <v/>
      </c>
      <c r="X8972" s="16" t="str">
        <f>IFERROR(__xludf.DUMMYFUNCTION("""COMPUTED_VALUE"""),"")</f>
        <v/>
      </c>
      <c r="AC8972" s="16" t="str">
        <f>IFERROR(__xludf.DUMMYFUNCTION("""COMPUTED_VALUE"""),"")</f>
        <v/>
      </c>
    </row>
    <row r="8973">
      <c r="A8973" s="16" t="s">
        <v>87</v>
      </c>
      <c r="E8973" s="16" t="str">
        <f>IFERROR(__xludf.DUMMYFUNCTION("""COMPUTED_VALUE"""),"")</f>
        <v/>
      </c>
      <c r="G8973" s="18"/>
      <c r="H8973" s="16" t="s">
        <v>87</v>
      </c>
      <c r="I8973" s="16" t="s">
        <v>87</v>
      </c>
      <c r="J8973" s="19"/>
      <c r="L8973" s="16" t="str">
        <f>IFERROR(__xludf.DUMMYFUNCTION("""COMPUTED_VALUE"""),"")</f>
        <v/>
      </c>
      <c r="M8973" s="16" t="str">
        <f>IFERROR(__xludf.DUMMYFUNCTION("""COMPUTED_VALUE"""),"")</f>
        <v/>
      </c>
      <c r="U8973" s="16" t="s">
        <v>87</v>
      </c>
      <c r="V8973" s="16" t="str">
        <f>IFERROR(__xludf.DUMMYFUNCTION("""COMPUTED_VALUE"""),"")</f>
        <v/>
      </c>
      <c r="W8973" s="16" t="str">
        <f>IFERROR(__xludf.DUMMYFUNCTION("""COMPUTED_VALUE"""),"")</f>
        <v/>
      </c>
      <c r="X8973" s="16" t="str">
        <f>IFERROR(__xludf.DUMMYFUNCTION("""COMPUTED_VALUE"""),"")</f>
        <v/>
      </c>
      <c r="AC8973" s="16" t="str">
        <f>IFERROR(__xludf.DUMMYFUNCTION("""COMPUTED_VALUE"""),"")</f>
        <v/>
      </c>
    </row>
    <row r="8974">
      <c r="A8974" s="16" t="s">
        <v>87</v>
      </c>
      <c r="E8974" s="16" t="str">
        <f>IFERROR(__xludf.DUMMYFUNCTION("""COMPUTED_VALUE"""),"")</f>
        <v/>
      </c>
      <c r="G8974" s="18"/>
      <c r="H8974" s="16" t="s">
        <v>87</v>
      </c>
      <c r="I8974" s="16" t="s">
        <v>87</v>
      </c>
      <c r="J8974" s="19"/>
      <c r="L8974" s="16" t="str">
        <f>IFERROR(__xludf.DUMMYFUNCTION("""COMPUTED_VALUE"""),"")</f>
        <v/>
      </c>
      <c r="M8974" s="16" t="str">
        <f>IFERROR(__xludf.DUMMYFUNCTION("""COMPUTED_VALUE"""),"")</f>
        <v/>
      </c>
      <c r="U8974" s="16" t="s">
        <v>87</v>
      </c>
      <c r="V8974" s="16" t="str">
        <f>IFERROR(__xludf.DUMMYFUNCTION("""COMPUTED_VALUE"""),"")</f>
        <v/>
      </c>
      <c r="W8974" s="16" t="str">
        <f>IFERROR(__xludf.DUMMYFUNCTION("""COMPUTED_VALUE"""),"")</f>
        <v/>
      </c>
      <c r="X8974" s="16" t="str">
        <f>IFERROR(__xludf.DUMMYFUNCTION("""COMPUTED_VALUE"""),"")</f>
        <v/>
      </c>
      <c r="AC8974" s="16" t="str">
        <f>IFERROR(__xludf.DUMMYFUNCTION("""COMPUTED_VALUE"""),"")</f>
        <v/>
      </c>
    </row>
    <row r="8975">
      <c r="A8975" s="16" t="s">
        <v>87</v>
      </c>
      <c r="E8975" s="16" t="str">
        <f>IFERROR(__xludf.DUMMYFUNCTION("""COMPUTED_VALUE"""),"")</f>
        <v/>
      </c>
      <c r="G8975" s="18"/>
      <c r="H8975" s="16" t="s">
        <v>87</v>
      </c>
      <c r="I8975" s="16" t="s">
        <v>87</v>
      </c>
      <c r="J8975" s="19"/>
      <c r="L8975" s="16" t="str">
        <f>IFERROR(__xludf.DUMMYFUNCTION("""COMPUTED_VALUE"""),"")</f>
        <v/>
      </c>
      <c r="M8975" s="16" t="str">
        <f>IFERROR(__xludf.DUMMYFUNCTION("""COMPUTED_VALUE"""),"")</f>
        <v/>
      </c>
      <c r="U8975" s="16" t="s">
        <v>87</v>
      </c>
      <c r="V8975" s="16" t="str">
        <f>IFERROR(__xludf.DUMMYFUNCTION("""COMPUTED_VALUE"""),"")</f>
        <v/>
      </c>
      <c r="W8975" s="16" t="str">
        <f>IFERROR(__xludf.DUMMYFUNCTION("""COMPUTED_VALUE"""),"")</f>
        <v/>
      </c>
      <c r="X8975" s="16" t="str">
        <f>IFERROR(__xludf.DUMMYFUNCTION("""COMPUTED_VALUE"""),"")</f>
        <v/>
      </c>
      <c r="AC8975" s="16" t="str">
        <f>IFERROR(__xludf.DUMMYFUNCTION("""COMPUTED_VALUE"""),"")</f>
        <v/>
      </c>
    </row>
    <row r="8976">
      <c r="A8976" s="16" t="s">
        <v>87</v>
      </c>
      <c r="E8976" s="16" t="str">
        <f>IFERROR(__xludf.DUMMYFUNCTION("""COMPUTED_VALUE"""),"")</f>
        <v/>
      </c>
      <c r="G8976" s="18"/>
      <c r="H8976" s="16" t="s">
        <v>87</v>
      </c>
      <c r="I8976" s="16" t="s">
        <v>87</v>
      </c>
      <c r="J8976" s="19"/>
      <c r="L8976" s="16" t="str">
        <f>IFERROR(__xludf.DUMMYFUNCTION("""COMPUTED_VALUE"""),"")</f>
        <v/>
      </c>
      <c r="M8976" s="16" t="str">
        <f>IFERROR(__xludf.DUMMYFUNCTION("""COMPUTED_VALUE"""),"")</f>
        <v/>
      </c>
      <c r="U8976" s="16" t="s">
        <v>87</v>
      </c>
      <c r="V8976" s="16" t="str">
        <f>IFERROR(__xludf.DUMMYFUNCTION("""COMPUTED_VALUE"""),"")</f>
        <v/>
      </c>
      <c r="W8976" s="16" t="str">
        <f>IFERROR(__xludf.DUMMYFUNCTION("""COMPUTED_VALUE"""),"")</f>
        <v/>
      </c>
      <c r="X8976" s="16" t="str">
        <f>IFERROR(__xludf.DUMMYFUNCTION("""COMPUTED_VALUE"""),"")</f>
        <v/>
      </c>
      <c r="AC8976" s="16" t="str">
        <f>IFERROR(__xludf.DUMMYFUNCTION("""COMPUTED_VALUE"""),"")</f>
        <v/>
      </c>
    </row>
    <row r="8977">
      <c r="A8977" s="16" t="s">
        <v>87</v>
      </c>
      <c r="E8977" s="16" t="str">
        <f>IFERROR(__xludf.DUMMYFUNCTION("""COMPUTED_VALUE"""),"")</f>
        <v/>
      </c>
      <c r="G8977" s="18"/>
      <c r="H8977" s="16" t="s">
        <v>87</v>
      </c>
      <c r="I8977" s="16" t="s">
        <v>87</v>
      </c>
      <c r="J8977" s="19"/>
      <c r="L8977" s="16" t="str">
        <f>IFERROR(__xludf.DUMMYFUNCTION("""COMPUTED_VALUE"""),"")</f>
        <v/>
      </c>
      <c r="M8977" s="16" t="str">
        <f>IFERROR(__xludf.DUMMYFUNCTION("""COMPUTED_VALUE"""),"")</f>
        <v/>
      </c>
      <c r="U8977" s="16" t="s">
        <v>87</v>
      </c>
      <c r="V8977" s="16" t="str">
        <f>IFERROR(__xludf.DUMMYFUNCTION("""COMPUTED_VALUE"""),"")</f>
        <v/>
      </c>
      <c r="W8977" s="16" t="str">
        <f>IFERROR(__xludf.DUMMYFUNCTION("""COMPUTED_VALUE"""),"")</f>
        <v/>
      </c>
      <c r="X8977" s="16" t="str">
        <f>IFERROR(__xludf.DUMMYFUNCTION("""COMPUTED_VALUE"""),"")</f>
        <v/>
      </c>
      <c r="AC8977" s="16" t="str">
        <f>IFERROR(__xludf.DUMMYFUNCTION("""COMPUTED_VALUE"""),"")</f>
        <v/>
      </c>
    </row>
    <row r="8978">
      <c r="A8978" s="16" t="s">
        <v>87</v>
      </c>
      <c r="E8978" s="16" t="str">
        <f>IFERROR(__xludf.DUMMYFUNCTION("""COMPUTED_VALUE"""),"")</f>
        <v/>
      </c>
      <c r="G8978" s="18"/>
      <c r="H8978" s="16" t="s">
        <v>87</v>
      </c>
      <c r="I8978" s="16" t="s">
        <v>87</v>
      </c>
      <c r="J8978" s="19"/>
      <c r="L8978" s="16" t="str">
        <f>IFERROR(__xludf.DUMMYFUNCTION("""COMPUTED_VALUE"""),"")</f>
        <v/>
      </c>
      <c r="M8978" s="16" t="str">
        <f>IFERROR(__xludf.DUMMYFUNCTION("""COMPUTED_VALUE"""),"")</f>
        <v/>
      </c>
      <c r="U8978" s="16" t="s">
        <v>87</v>
      </c>
      <c r="V8978" s="16" t="str">
        <f>IFERROR(__xludf.DUMMYFUNCTION("""COMPUTED_VALUE"""),"")</f>
        <v/>
      </c>
      <c r="W8978" s="16" t="str">
        <f>IFERROR(__xludf.DUMMYFUNCTION("""COMPUTED_VALUE"""),"")</f>
        <v/>
      </c>
      <c r="X8978" s="16" t="str">
        <f>IFERROR(__xludf.DUMMYFUNCTION("""COMPUTED_VALUE"""),"")</f>
        <v/>
      </c>
      <c r="AC8978" s="16" t="str">
        <f>IFERROR(__xludf.DUMMYFUNCTION("""COMPUTED_VALUE"""),"")</f>
        <v/>
      </c>
    </row>
    <row r="8979">
      <c r="A8979" s="16" t="s">
        <v>87</v>
      </c>
      <c r="E8979" s="16" t="str">
        <f>IFERROR(__xludf.DUMMYFUNCTION("""COMPUTED_VALUE"""),"")</f>
        <v/>
      </c>
      <c r="G8979" s="18"/>
      <c r="H8979" s="16" t="s">
        <v>87</v>
      </c>
      <c r="I8979" s="16" t="s">
        <v>87</v>
      </c>
      <c r="J8979" s="19"/>
      <c r="L8979" s="16" t="str">
        <f>IFERROR(__xludf.DUMMYFUNCTION("""COMPUTED_VALUE"""),"")</f>
        <v/>
      </c>
      <c r="M8979" s="16" t="str">
        <f>IFERROR(__xludf.DUMMYFUNCTION("""COMPUTED_VALUE"""),"")</f>
        <v/>
      </c>
      <c r="U8979" s="16" t="s">
        <v>87</v>
      </c>
      <c r="V8979" s="16" t="str">
        <f>IFERROR(__xludf.DUMMYFUNCTION("""COMPUTED_VALUE"""),"")</f>
        <v/>
      </c>
      <c r="W8979" s="16" t="str">
        <f>IFERROR(__xludf.DUMMYFUNCTION("""COMPUTED_VALUE"""),"")</f>
        <v/>
      </c>
      <c r="X8979" s="16" t="str">
        <f>IFERROR(__xludf.DUMMYFUNCTION("""COMPUTED_VALUE"""),"")</f>
        <v/>
      </c>
      <c r="AC8979" s="16" t="str">
        <f>IFERROR(__xludf.DUMMYFUNCTION("""COMPUTED_VALUE"""),"")</f>
        <v/>
      </c>
    </row>
    <row r="8980">
      <c r="A8980" s="16" t="s">
        <v>87</v>
      </c>
      <c r="E8980" s="16" t="str">
        <f>IFERROR(__xludf.DUMMYFUNCTION("""COMPUTED_VALUE"""),"")</f>
        <v/>
      </c>
      <c r="G8980" s="18"/>
      <c r="H8980" s="16" t="s">
        <v>87</v>
      </c>
      <c r="I8980" s="16" t="s">
        <v>87</v>
      </c>
      <c r="J8980" s="19"/>
      <c r="L8980" s="16" t="str">
        <f>IFERROR(__xludf.DUMMYFUNCTION("""COMPUTED_VALUE"""),"")</f>
        <v/>
      </c>
      <c r="M8980" s="16" t="str">
        <f>IFERROR(__xludf.DUMMYFUNCTION("""COMPUTED_VALUE"""),"")</f>
        <v/>
      </c>
      <c r="U8980" s="16" t="s">
        <v>87</v>
      </c>
      <c r="V8980" s="16" t="str">
        <f>IFERROR(__xludf.DUMMYFUNCTION("""COMPUTED_VALUE"""),"")</f>
        <v/>
      </c>
      <c r="W8980" s="16" t="str">
        <f>IFERROR(__xludf.DUMMYFUNCTION("""COMPUTED_VALUE"""),"")</f>
        <v/>
      </c>
      <c r="X8980" s="16" t="str">
        <f>IFERROR(__xludf.DUMMYFUNCTION("""COMPUTED_VALUE"""),"")</f>
        <v/>
      </c>
      <c r="AC8980" s="16" t="str">
        <f>IFERROR(__xludf.DUMMYFUNCTION("""COMPUTED_VALUE"""),"")</f>
        <v/>
      </c>
    </row>
    <row r="8981">
      <c r="A8981" s="16" t="s">
        <v>87</v>
      </c>
      <c r="E8981" s="16" t="str">
        <f>IFERROR(__xludf.DUMMYFUNCTION("""COMPUTED_VALUE"""),"")</f>
        <v/>
      </c>
      <c r="G8981" s="18"/>
      <c r="H8981" s="16" t="s">
        <v>87</v>
      </c>
      <c r="I8981" s="16" t="s">
        <v>87</v>
      </c>
      <c r="J8981" s="19"/>
      <c r="L8981" s="16" t="str">
        <f>IFERROR(__xludf.DUMMYFUNCTION("""COMPUTED_VALUE"""),"")</f>
        <v/>
      </c>
      <c r="M8981" s="16" t="str">
        <f>IFERROR(__xludf.DUMMYFUNCTION("""COMPUTED_VALUE"""),"")</f>
        <v/>
      </c>
      <c r="U8981" s="16" t="s">
        <v>87</v>
      </c>
      <c r="V8981" s="16" t="str">
        <f>IFERROR(__xludf.DUMMYFUNCTION("""COMPUTED_VALUE"""),"")</f>
        <v/>
      </c>
      <c r="W8981" s="16" t="str">
        <f>IFERROR(__xludf.DUMMYFUNCTION("""COMPUTED_VALUE"""),"")</f>
        <v/>
      </c>
      <c r="X8981" s="16" t="str">
        <f>IFERROR(__xludf.DUMMYFUNCTION("""COMPUTED_VALUE"""),"")</f>
        <v/>
      </c>
      <c r="AC8981" s="16" t="str">
        <f>IFERROR(__xludf.DUMMYFUNCTION("""COMPUTED_VALUE"""),"")</f>
        <v/>
      </c>
    </row>
    <row r="8982">
      <c r="A8982" s="16" t="s">
        <v>87</v>
      </c>
      <c r="E8982" s="16" t="str">
        <f>IFERROR(__xludf.DUMMYFUNCTION("""COMPUTED_VALUE"""),"")</f>
        <v/>
      </c>
      <c r="G8982" s="18"/>
      <c r="H8982" s="16" t="s">
        <v>87</v>
      </c>
      <c r="I8982" s="16" t="s">
        <v>87</v>
      </c>
      <c r="J8982" s="19"/>
      <c r="L8982" s="16" t="str">
        <f>IFERROR(__xludf.DUMMYFUNCTION("""COMPUTED_VALUE"""),"")</f>
        <v/>
      </c>
      <c r="M8982" s="16" t="str">
        <f>IFERROR(__xludf.DUMMYFUNCTION("""COMPUTED_VALUE"""),"")</f>
        <v/>
      </c>
      <c r="U8982" s="16" t="s">
        <v>87</v>
      </c>
      <c r="V8982" s="16" t="str">
        <f>IFERROR(__xludf.DUMMYFUNCTION("""COMPUTED_VALUE"""),"")</f>
        <v/>
      </c>
      <c r="W8982" s="16" t="str">
        <f>IFERROR(__xludf.DUMMYFUNCTION("""COMPUTED_VALUE"""),"")</f>
        <v/>
      </c>
      <c r="X8982" s="16" t="str">
        <f>IFERROR(__xludf.DUMMYFUNCTION("""COMPUTED_VALUE"""),"")</f>
        <v/>
      </c>
      <c r="AC8982" s="16" t="str">
        <f>IFERROR(__xludf.DUMMYFUNCTION("""COMPUTED_VALUE"""),"")</f>
        <v/>
      </c>
    </row>
    <row r="8983">
      <c r="A8983" s="16" t="s">
        <v>87</v>
      </c>
      <c r="E8983" s="16" t="str">
        <f>IFERROR(__xludf.DUMMYFUNCTION("""COMPUTED_VALUE"""),"")</f>
        <v/>
      </c>
      <c r="G8983" s="18"/>
      <c r="H8983" s="16" t="s">
        <v>87</v>
      </c>
      <c r="I8983" s="16" t="s">
        <v>87</v>
      </c>
      <c r="J8983" s="19"/>
      <c r="L8983" s="16" t="str">
        <f>IFERROR(__xludf.DUMMYFUNCTION("""COMPUTED_VALUE"""),"")</f>
        <v/>
      </c>
      <c r="M8983" s="16" t="str">
        <f>IFERROR(__xludf.DUMMYFUNCTION("""COMPUTED_VALUE"""),"")</f>
        <v/>
      </c>
      <c r="U8983" s="16" t="s">
        <v>87</v>
      </c>
      <c r="V8983" s="16" t="str">
        <f>IFERROR(__xludf.DUMMYFUNCTION("""COMPUTED_VALUE"""),"")</f>
        <v/>
      </c>
      <c r="W8983" s="16" t="str">
        <f>IFERROR(__xludf.DUMMYFUNCTION("""COMPUTED_VALUE"""),"")</f>
        <v/>
      </c>
      <c r="X8983" s="16" t="str">
        <f>IFERROR(__xludf.DUMMYFUNCTION("""COMPUTED_VALUE"""),"")</f>
        <v/>
      </c>
      <c r="AC8983" s="16" t="str">
        <f>IFERROR(__xludf.DUMMYFUNCTION("""COMPUTED_VALUE"""),"")</f>
        <v/>
      </c>
    </row>
    <row r="8984">
      <c r="A8984" s="16" t="s">
        <v>87</v>
      </c>
      <c r="E8984" s="16" t="str">
        <f>IFERROR(__xludf.DUMMYFUNCTION("""COMPUTED_VALUE"""),"")</f>
        <v/>
      </c>
      <c r="G8984" s="18"/>
      <c r="H8984" s="16" t="s">
        <v>87</v>
      </c>
      <c r="I8984" s="16" t="s">
        <v>87</v>
      </c>
      <c r="J8984" s="19"/>
      <c r="L8984" s="16" t="str">
        <f>IFERROR(__xludf.DUMMYFUNCTION("""COMPUTED_VALUE"""),"")</f>
        <v/>
      </c>
      <c r="M8984" s="16" t="str">
        <f>IFERROR(__xludf.DUMMYFUNCTION("""COMPUTED_VALUE"""),"")</f>
        <v/>
      </c>
      <c r="U8984" s="16" t="s">
        <v>87</v>
      </c>
      <c r="V8984" s="16" t="str">
        <f>IFERROR(__xludf.DUMMYFUNCTION("""COMPUTED_VALUE"""),"")</f>
        <v/>
      </c>
      <c r="W8984" s="16" t="str">
        <f>IFERROR(__xludf.DUMMYFUNCTION("""COMPUTED_VALUE"""),"")</f>
        <v/>
      </c>
      <c r="X8984" s="16" t="str">
        <f>IFERROR(__xludf.DUMMYFUNCTION("""COMPUTED_VALUE"""),"")</f>
        <v/>
      </c>
      <c r="AC8984" s="16" t="str">
        <f>IFERROR(__xludf.DUMMYFUNCTION("""COMPUTED_VALUE"""),"")</f>
        <v/>
      </c>
    </row>
    <row r="8985">
      <c r="A8985" s="16" t="s">
        <v>87</v>
      </c>
      <c r="E8985" s="16" t="str">
        <f>IFERROR(__xludf.DUMMYFUNCTION("""COMPUTED_VALUE"""),"")</f>
        <v/>
      </c>
      <c r="G8985" s="18"/>
      <c r="H8985" s="16" t="s">
        <v>87</v>
      </c>
      <c r="I8985" s="16" t="s">
        <v>87</v>
      </c>
      <c r="J8985" s="19"/>
      <c r="L8985" s="16" t="str">
        <f>IFERROR(__xludf.DUMMYFUNCTION("""COMPUTED_VALUE"""),"")</f>
        <v/>
      </c>
      <c r="M8985" s="16" t="str">
        <f>IFERROR(__xludf.DUMMYFUNCTION("""COMPUTED_VALUE"""),"")</f>
        <v/>
      </c>
      <c r="U8985" s="16" t="s">
        <v>87</v>
      </c>
      <c r="V8985" s="16" t="str">
        <f>IFERROR(__xludf.DUMMYFUNCTION("""COMPUTED_VALUE"""),"")</f>
        <v/>
      </c>
      <c r="W8985" s="16" t="str">
        <f>IFERROR(__xludf.DUMMYFUNCTION("""COMPUTED_VALUE"""),"")</f>
        <v/>
      </c>
      <c r="X8985" s="16" t="str">
        <f>IFERROR(__xludf.DUMMYFUNCTION("""COMPUTED_VALUE"""),"")</f>
        <v/>
      </c>
      <c r="AC8985" s="16" t="str">
        <f>IFERROR(__xludf.DUMMYFUNCTION("""COMPUTED_VALUE"""),"")</f>
        <v/>
      </c>
    </row>
    <row r="8986">
      <c r="A8986" s="16" t="s">
        <v>87</v>
      </c>
      <c r="E8986" s="16" t="str">
        <f>IFERROR(__xludf.DUMMYFUNCTION("""COMPUTED_VALUE"""),"")</f>
        <v/>
      </c>
      <c r="G8986" s="18"/>
      <c r="H8986" s="16" t="s">
        <v>87</v>
      </c>
      <c r="I8986" s="16" t="s">
        <v>87</v>
      </c>
      <c r="J8986" s="19"/>
      <c r="L8986" s="16" t="str">
        <f>IFERROR(__xludf.DUMMYFUNCTION("""COMPUTED_VALUE"""),"")</f>
        <v/>
      </c>
      <c r="M8986" s="16" t="str">
        <f>IFERROR(__xludf.DUMMYFUNCTION("""COMPUTED_VALUE"""),"")</f>
        <v/>
      </c>
      <c r="U8986" s="16" t="s">
        <v>87</v>
      </c>
      <c r="V8986" s="16" t="str">
        <f>IFERROR(__xludf.DUMMYFUNCTION("""COMPUTED_VALUE"""),"")</f>
        <v/>
      </c>
      <c r="W8986" s="16" t="str">
        <f>IFERROR(__xludf.DUMMYFUNCTION("""COMPUTED_VALUE"""),"")</f>
        <v/>
      </c>
      <c r="X8986" s="16" t="str">
        <f>IFERROR(__xludf.DUMMYFUNCTION("""COMPUTED_VALUE"""),"")</f>
        <v/>
      </c>
      <c r="AC8986" s="16" t="str">
        <f>IFERROR(__xludf.DUMMYFUNCTION("""COMPUTED_VALUE"""),"")</f>
        <v/>
      </c>
    </row>
    <row r="8987">
      <c r="A8987" s="16" t="s">
        <v>87</v>
      </c>
      <c r="E8987" s="16" t="str">
        <f>IFERROR(__xludf.DUMMYFUNCTION("""COMPUTED_VALUE"""),"")</f>
        <v/>
      </c>
      <c r="G8987" s="18"/>
      <c r="H8987" s="16" t="s">
        <v>87</v>
      </c>
      <c r="I8987" s="16" t="s">
        <v>87</v>
      </c>
      <c r="J8987" s="19"/>
      <c r="L8987" s="16" t="str">
        <f>IFERROR(__xludf.DUMMYFUNCTION("""COMPUTED_VALUE"""),"")</f>
        <v/>
      </c>
      <c r="M8987" s="16" t="str">
        <f>IFERROR(__xludf.DUMMYFUNCTION("""COMPUTED_VALUE"""),"")</f>
        <v/>
      </c>
      <c r="U8987" s="16" t="s">
        <v>87</v>
      </c>
      <c r="V8987" s="16" t="str">
        <f>IFERROR(__xludf.DUMMYFUNCTION("""COMPUTED_VALUE"""),"")</f>
        <v/>
      </c>
      <c r="W8987" s="16" t="str">
        <f>IFERROR(__xludf.DUMMYFUNCTION("""COMPUTED_VALUE"""),"")</f>
        <v/>
      </c>
      <c r="X8987" s="16" t="str">
        <f>IFERROR(__xludf.DUMMYFUNCTION("""COMPUTED_VALUE"""),"")</f>
        <v/>
      </c>
      <c r="AC8987" s="16" t="str">
        <f>IFERROR(__xludf.DUMMYFUNCTION("""COMPUTED_VALUE"""),"")</f>
        <v/>
      </c>
    </row>
    <row r="8988">
      <c r="A8988" s="16" t="s">
        <v>87</v>
      </c>
      <c r="E8988" s="16" t="str">
        <f>IFERROR(__xludf.DUMMYFUNCTION("""COMPUTED_VALUE"""),"")</f>
        <v/>
      </c>
      <c r="G8988" s="18"/>
      <c r="H8988" s="16" t="s">
        <v>87</v>
      </c>
      <c r="I8988" s="16" t="s">
        <v>87</v>
      </c>
      <c r="J8988" s="19"/>
      <c r="L8988" s="16" t="str">
        <f>IFERROR(__xludf.DUMMYFUNCTION("""COMPUTED_VALUE"""),"")</f>
        <v/>
      </c>
      <c r="M8988" s="16" t="str">
        <f>IFERROR(__xludf.DUMMYFUNCTION("""COMPUTED_VALUE"""),"")</f>
        <v/>
      </c>
      <c r="U8988" s="16" t="s">
        <v>87</v>
      </c>
      <c r="V8988" s="16" t="str">
        <f>IFERROR(__xludf.DUMMYFUNCTION("""COMPUTED_VALUE"""),"")</f>
        <v/>
      </c>
      <c r="W8988" s="16" t="str">
        <f>IFERROR(__xludf.DUMMYFUNCTION("""COMPUTED_VALUE"""),"")</f>
        <v/>
      </c>
      <c r="X8988" s="16" t="str">
        <f>IFERROR(__xludf.DUMMYFUNCTION("""COMPUTED_VALUE"""),"")</f>
        <v/>
      </c>
      <c r="AC8988" s="16" t="str">
        <f>IFERROR(__xludf.DUMMYFUNCTION("""COMPUTED_VALUE"""),"")</f>
        <v/>
      </c>
    </row>
    <row r="8989">
      <c r="A8989" s="16" t="s">
        <v>87</v>
      </c>
      <c r="E8989" s="16" t="str">
        <f>IFERROR(__xludf.DUMMYFUNCTION("""COMPUTED_VALUE"""),"")</f>
        <v/>
      </c>
      <c r="G8989" s="18"/>
      <c r="H8989" s="16" t="s">
        <v>87</v>
      </c>
      <c r="I8989" s="16" t="s">
        <v>87</v>
      </c>
      <c r="J8989" s="19"/>
      <c r="L8989" s="16" t="str">
        <f>IFERROR(__xludf.DUMMYFUNCTION("""COMPUTED_VALUE"""),"")</f>
        <v/>
      </c>
      <c r="M8989" s="16" t="str">
        <f>IFERROR(__xludf.DUMMYFUNCTION("""COMPUTED_VALUE"""),"")</f>
        <v/>
      </c>
      <c r="U8989" s="16" t="s">
        <v>87</v>
      </c>
      <c r="V8989" s="16" t="str">
        <f>IFERROR(__xludf.DUMMYFUNCTION("""COMPUTED_VALUE"""),"")</f>
        <v/>
      </c>
      <c r="W8989" s="16" t="str">
        <f>IFERROR(__xludf.DUMMYFUNCTION("""COMPUTED_VALUE"""),"")</f>
        <v/>
      </c>
      <c r="X8989" s="16" t="str">
        <f>IFERROR(__xludf.DUMMYFUNCTION("""COMPUTED_VALUE"""),"")</f>
        <v/>
      </c>
      <c r="AC8989" s="16" t="str">
        <f>IFERROR(__xludf.DUMMYFUNCTION("""COMPUTED_VALUE"""),"")</f>
        <v/>
      </c>
    </row>
    <row r="8990">
      <c r="A8990" s="16" t="s">
        <v>87</v>
      </c>
      <c r="E8990" s="16" t="str">
        <f>IFERROR(__xludf.DUMMYFUNCTION("""COMPUTED_VALUE"""),"")</f>
        <v/>
      </c>
      <c r="G8990" s="18"/>
      <c r="H8990" s="16" t="s">
        <v>87</v>
      </c>
      <c r="I8990" s="16" t="s">
        <v>87</v>
      </c>
      <c r="J8990" s="19"/>
      <c r="L8990" s="16" t="str">
        <f>IFERROR(__xludf.DUMMYFUNCTION("""COMPUTED_VALUE"""),"")</f>
        <v/>
      </c>
      <c r="M8990" s="16" t="str">
        <f>IFERROR(__xludf.DUMMYFUNCTION("""COMPUTED_VALUE"""),"")</f>
        <v/>
      </c>
      <c r="U8990" s="16" t="s">
        <v>87</v>
      </c>
      <c r="V8990" s="16" t="str">
        <f>IFERROR(__xludf.DUMMYFUNCTION("""COMPUTED_VALUE"""),"")</f>
        <v/>
      </c>
      <c r="W8990" s="16" t="str">
        <f>IFERROR(__xludf.DUMMYFUNCTION("""COMPUTED_VALUE"""),"")</f>
        <v/>
      </c>
      <c r="X8990" s="16" t="str">
        <f>IFERROR(__xludf.DUMMYFUNCTION("""COMPUTED_VALUE"""),"")</f>
        <v/>
      </c>
      <c r="AC8990" s="16" t="str">
        <f>IFERROR(__xludf.DUMMYFUNCTION("""COMPUTED_VALUE"""),"")</f>
        <v/>
      </c>
    </row>
    <row r="8991">
      <c r="A8991" s="16" t="s">
        <v>87</v>
      </c>
      <c r="E8991" s="16" t="str">
        <f>IFERROR(__xludf.DUMMYFUNCTION("""COMPUTED_VALUE"""),"")</f>
        <v/>
      </c>
      <c r="G8991" s="18"/>
      <c r="H8991" s="16" t="s">
        <v>87</v>
      </c>
      <c r="I8991" s="16" t="s">
        <v>87</v>
      </c>
      <c r="J8991" s="19"/>
      <c r="L8991" s="16" t="str">
        <f>IFERROR(__xludf.DUMMYFUNCTION("""COMPUTED_VALUE"""),"")</f>
        <v/>
      </c>
      <c r="M8991" s="16" t="str">
        <f>IFERROR(__xludf.DUMMYFUNCTION("""COMPUTED_VALUE"""),"")</f>
        <v/>
      </c>
      <c r="U8991" s="16" t="s">
        <v>87</v>
      </c>
      <c r="V8991" s="16" t="str">
        <f>IFERROR(__xludf.DUMMYFUNCTION("""COMPUTED_VALUE"""),"")</f>
        <v/>
      </c>
      <c r="W8991" s="16" t="str">
        <f>IFERROR(__xludf.DUMMYFUNCTION("""COMPUTED_VALUE"""),"")</f>
        <v/>
      </c>
      <c r="X8991" s="16" t="str">
        <f>IFERROR(__xludf.DUMMYFUNCTION("""COMPUTED_VALUE"""),"")</f>
        <v/>
      </c>
      <c r="AC8991" s="16" t="str">
        <f>IFERROR(__xludf.DUMMYFUNCTION("""COMPUTED_VALUE"""),"")</f>
        <v/>
      </c>
    </row>
    <row r="8992">
      <c r="A8992" s="16" t="s">
        <v>87</v>
      </c>
      <c r="E8992" s="16" t="str">
        <f>IFERROR(__xludf.DUMMYFUNCTION("""COMPUTED_VALUE"""),"")</f>
        <v/>
      </c>
      <c r="G8992" s="18"/>
      <c r="H8992" s="16" t="s">
        <v>87</v>
      </c>
      <c r="I8992" s="16" t="s">
        <v>87</v>
      </c>
      <c r="J8992" s="19"/>
      <c r="L8992" s="16" t="str">
        <f>IFERROR(__xludf.DUMMYFUNCTION("""COMPUTED_VALUE"""),"")</f>
        <v/>
      </c>
      <c r="M8992" s="16" t="str">
        <f>IFERROR(__xludf.DUMMYFUNCTION("""COMPUTED_VALUE"""),"")</f>
        <v/>
      </c>
      <c r="U8992" s="16" t="s">
        <v>87</v>
      </c>
      <c r="V8992" s="16" t="str">
        <f>IFERROR(__xludf.DUMMYFUNCTION("""COMPUTED_VALUE"""),"")</f>
        <v/>
      </c>
      <c r="W8992" s="16" t="str">
        <f>IFERROR(__xludf.DUMMYFUNCTION("""COMPUTED_VALUE"""),"")</f>
        <v/>
      </c>
      <c r="X8992" s="16" t="str">
        <f>IFERROR(__xludf.DUMMYFUNCTION("""COMPUTED_VALUE"""),"")</f>
        <v/>
      </c>
      <c r="AC8992" s="16" t="str">
        <f>IFERROR(__xludf.DUMMYFUNCTION("""COMPUTED_VALUE"""),"")</f>
        <v/>
      </c>
    </row>
    <row r="8993">
      <c r="A8993" s="16" t="s">
        <v>87</v>
      </c>
      <c r="E8993" s="16" t="str">
        <f>IFERROR(__xludf.DUMMYFUNCTION("""COMPUTED_VALUE"""),"")</f>
        <v/>
      </c>
      <c r="G8993" s="18"/>
      <c r="H8993" s="16" t="s">
        <v>87</v>
      </c>
      <c r="I8993" s="16" t="s">
        <v>87</v>
      </c>
      <c r="J8993" s="19"/>
      <c r="L8993" s="16" t="str">
        <f>IFERROR(__xludf.DUMMYFUNCTION("""COMPUTED_VALUE"""),"")</f>
        <v/>
      </c>
      <c r="M8993" s="16" t="str">
        <f>IFERROR(__xludf.DUMMYFUNCTION("""COMPUTED_VALUE"""),"")</f>
        <v/>
      </c>
      <c r="U8993" s="16" t="s">
        <v>87</v>
      </c>
      <c r="V8993" s="16" t="str">
        <f>IFERROR(__xludf.DUMMYFUNCTION("""COMPUTED_VALUE"""),"")</f>
        <v/>
      </c>
      <c r="W8993" s="16" t="str">
        <f>IFERROR(__xludf.DUMMYFUNCTION("""COMPUTED_VALUE"""),"")</f>
        <v/>
      </c>
      <c r="X8993" s="16" t="str">
        <f>IFERROR(__xludf.DUMMYFUNCTION("""COMPUTED_VALUE"""),"")</f>
        <v/>
      </c>
      <c r="AC8993" s="16" t="str">
        <f>IFERROR(__xludf.DUMMYFUNCTION("""COMPUTED_VALUE"""),"")</f>
        <v/>
      </c>
    </row>
    <row r="8994">
      <c r="A8994" s="16" t="s">
        <v>87</v>
      </c>
      <c r="E8994" s="16" t="str">
        <f>IFERROR(__xludf.DUMMYFUNCTION("""COMPUTED_VALUE"""),"")</f>
        <v/>
      </c>
      <c r="G8994" s="18"/>
      <c r="H8994" s="16" t="s">
        <v>87</v>
      </c>
      <c r="I8994" s="16" t="s">
        <v>87</v>
      </c>
      <c r="J8994" s="19"/>
      <c r="L8994" s="16" t="str">
        <f>IFERROR(__xludf.DUMMYFUNCTION("""COMPUTED_VALUE"""),"")</f>
        <v/>
      </c>
      <c r="M8994" s="16" t="str">
        <f>IFERROR(__xludf.DUMMYFUNCTION("""COMPUTED_VALUE"""),"")</f>
        <v/>
      </c>
      <c r="U8994" s="16" t="s">
        <v>87</v>
      </c>
      <c r="V8994" s="16" t="str">
        <f>IFERROR(__xludf.DUMMYFUNCTION("""COMPUTED_VALUE"""),"")</f>
        <v/>
      </c>
      <c r="W8994" s="16" t="str">
        <f>IFERROR(__xludf.DUMMYFUNCTION("""COMPUTED_VALUE"""),"")</f>
        <v/>
      </c>
      <c r="X8994" s="16" t="str">
        <f>IFERROR(__xludf.DUMMYFUNCTION("""COMPUTED_VALUE"""),"")</f>
        <v/>
      </c>
      <c r="AC8994" s="16" t="str">
        <f>IFERROR(__xludf.DUMMYFUNCTION("""COMPUTED_VALUE"""),"")</f>
        <v/>
      </c>
    </row>
    <row r="8995">
      <c r="A8995" s="16" t="s">
        <v>87</v>
      </c>
      <c r="E8995" s="16" t="str">
        <f>IFERROR(__xludf.DUMMYFUNCTION("""COMPUTED_VALUE"""),"")</f>
        <v/>
      </c>
      <c r="G8995" s="18"/>
      <c r="H8995" s="16" t="s">
        <v>87</v>
      </c>
      <c r="I8995" s="16" t="s">
        <v>87</v>
      </c>
      <c r="J8995" s="19"/>
      <c r="L8995" s="16" t="str">
        <f>IFERROR(__xludf.DUMMYFUNCTION("""COMPUTED_VALUE"""),"")</f>
        <v/>
      </c>
      <c r="M8995" s="16" t="str">
        <f>IFERROR(__xludf.DUMMYFUNCTION("""COMPUTED_VALUE"""),"")</f>
        <v/>
      </c>
      <c r="U8995" s="16" t="s">
        <v>87</v>
      </c>
      <c r="V8995" s="16" t="str">
        <f>IFERROR(__xludf.DUMMYFUNCTION("""COMPUTED_VALUE"""),"")</f>
        <v/>
      </c>
      <c r="W8995" s="16" t="str">
        <f>IFERROR(__xludf.DUMMYFUNCTION("""COMPUTED_VALUE"""),"")</f>
        <v/>
      </c>
      <c r="X8995" s="16" t="str">
        <f>IFERROR(__xludf.DUMMYFUNCTION("""COMPUTED_VALUE"""),"")</f>
        <v/>
      </c>
      <c r="AC8995" s="16" t="str">
        <f>IFERROR(__xludf.DUMMYFUNCTION("""COMPUTED_VALUE"""),"")</f>
        <v/>
      </c>
    </row>
    <row r="8996">
      <c r="A8996" s="16" t="s">
        <v>87</v>
      </c>
      <c r="E8996" s="16" t="str">
        <f>IFERROR(__xludf.DUMMYFUNCTION("""COMPUTED_VALUE"""),"")</f>
        <v/>
      </c>
      <c r="G8996" s="18"/>
      <c r="H8996" s="16" t="s">
        <v>87</v>
      </c>
      <c r="I8996" s="16" t="s">
        <v>87</v>
      </c>
      <c r="J8996" s="19"/>
      <c r="L8996" s="16" t="str">
        <f>IFERROR(__xludf.DUMMYFUNCTION("""COMPUTED_VALUE"""),"")</f>
        <v/>
      </c>
      <c r="M8996" s="16" t="str">
        <f>IFERROR(__xludf.DUMMYFUNCTION("""COMPUTED_VALUE"""),"")</f>
        <v/>
      </c>
      <c r="U8996" s="16" t="s">
        <v>87</v>
      </c>
      <c r="V8996" s="16" t="str">
        <f>IFERROR(__xludf.DUMMYFUNCTION("""COMPUTED_VALUE"""),"")</f>
        <v/>
      </c>
      <c r="W8996" s="16" t="str">
        <f>IFERROR(__xludf.DUMMYFUNCTION("""COMPUTED_VALUE"""),"")</f>
        <v/>
      </c>
      <c r="X8996" s="16" t="str">
        <f>IFERROR(__xludf.DUMMYFUNCTION("""COMPUTED_VALUE"""),"")</f>
        <v/>
      </c>
      <c r="AC8996" s="16" t="str">
        <f>IFERROR(__xludf.DUMMYFUNCTION("""COMPUTED_VALUE"""),"")</f>
        <v/>
      </c>
    </row>
    <row r="8997">
      <c r="A8997" s="16" t="s">
        <v>87</v>
      </c>
      <c r="E8997" s="16" t="str">
        <f>IFERROR(__xludf.DUMMYFUNCTION("""COMPUTED_VALUE"""),"")</f>
        <v/>
      </c>
      <c r="G8997" s="18"/>
      <c r="H8997" s="16" t="s">
        <v>87</v>
      </c>
      <c r="I8997" s="16" t="s">
        <v>87</v>
      </c>
      <c r="J8997" s="19"/>
      <c r="L8997" s="16" t="str">
        <f>IFERROR(__xludf.DUMMYFUNCTION("""COMPUTED_VALUE"""),"")</f>
        <v/>
      </c>
      <c r="M8997" s="16" t="str">
        <f>IFERROR(__xludf.DUMMYFUNCTION("""COMPUTED_VALUE"""),"")</f>
        <v/>
      </c>
      <c r="U8997" s="16" t="s">
        <v>87</v>
      </c>
      <c r="V8997" s="16" t="str">
        <f>IFERROR(__xludf.DUMMYFUNCTION("""COMPUTED_VALUE"""),"")</f>
        <v/>
      </c>
      <c r="W8997" s="16" t="str">
        <f>IFERROR(__xludf.DUMMYFUNCTION("""COMPUTED_VALUE"""),"")</f>
        <v/>
      </c>
      <c r="X8997" s="16" t="str">
        <f>IFERROR(__xludf.DUMMYFUNCTION("""COMPUTED_VALUE"""),"")</f>
        <v/>
      </c>
      <c r="AC8997" s="16" t="str">
        <f>IFERROR(__xludf.DUMMYFUNCTION("""COMPUTED_VALUE"""),"")</f>
        <v/>
      </c>
    </row>
    <row r="8998">
      <c r="A8998" s="16" t="s">
        <v>87</v>
      </c>
      <c r="E8998" s="16" t="str">
        <f>IFERROR(__xludf.DUMMYFUNCTION("""COMPUTED_VALUE"""),"")</f>
        <v/>
      </c>
      <c r="G8998" s="18"/>
      <c r="H8998" s="16" t="s">
        <v>87</v>
      </c>
      <c r="I8998" s="16" t="s">
        <v>87</v>
      </c>
      <c r="J8998" s="19"/>
      <c r="L8998" s="16" t="str">
        <f>IFERROR(__xludf.DUMMYFUNCTION("""COMPUTED_VALUE"""),"")</f>
        <v/>
      </c>
      <c r="M8998" s="16" t="str">
        <f>IFERROR(__xludf.DUMMYFUNCTION("""COMPUTED_VALUE"""),"")</f>
        <v/>
      </c>
      <c r="U8998" s="16" t="s">
        <v>87</v>
      </c>
      <c r="V8998" s="16" t="str">
        <f>IFERROR(__xludf.DUMMYFUNCTION("""COMPUTED_VALUE"""),"")</f>
        <v/>
      </c>
      <c r="W8998" s="16" t="str">
        <f>IFERROR(__xludf.DUMMYFUNCTION("""COMPUTED_VALUE"""),"")</f>
        <v/>
      </c>
      <c r="X8998" s="16" t="str">
        <f>IFERROR(__xludf.DUMMYFUNCTION("""COMPUTED_VALUE"""),"")</f>
        <v/>
      </c>
      <c r="AC8998" s="16" t="str">
        <f>IFERROR(__xludf.DUMMYFUNCTION("""COMPUTED_VALUE"""),"")</f>
        <v/>
      </c>
    </row>
    <row r="8999">
      <c r="A8999" s="16" t="s">
        <v>87</v>
      </c>
      <c r="E8999" s="16" t="str">
        <f>IFERROR(__xludf.DUMMYFUNCTION("""COMPUTED_VALUE"""),"")</f>
        <v/>
      </c>
      <c r="G8999" s="18"/>
      <c r="H8999" s="16" t="s">
        <v>87</v>
      </c>
      <c r="I8999" s="16" t="s">
        <v>87</v>
      </c>
      <c r="J8999" s="19"/>
      <c r="L8999" s="16" t="str">
        <f>IFERROR(__xludf.DUMMYFUNCTION("""COMPUTED_VALUE"""),"")</f>
        <v/>
      </c>
      <c r="M8999" s="16" t="str">
        <f>IFERROR(__xludf.DUMMYFUNCTION("""COMPUTED_VALUE"""),"")</f>
        <v/>
      </c>
      <c r="U8999" s="16" t="s">
        <v>87</v>
      </c>
      <c r="V8999" s="16" t="str">
        <f>IFERROR(__xludf.DUMMYFUNCTION("""COMPUTED_VALUE"""),"")</f>
        <v/>
      </c>
      <c r="W8999" s="16" t="str">
        <f>IFERROR(__xludf.DUMMYFUNCTION("""COMPUTED_VALUE"""),"")</f>
        <v/>
      </c>
      <c r="X8999" s="16" t="str">
        <f>IFERROR(__xludf.DUMMYFUNCTION("""COMPUTED_VALUE"""),"")</f>
        <v/>
      </c>
      <c r="AC8999" s="16" t="str">
        <f>IFERROR(__xludf.DUMMYFUNCTION("""COMPUTED_VALUE"""),"")</f>
        <v/>
      </c>
    </row>
    <row r="9000">
      <c r="A9000" s="16" t="s">
        <v>87</v>
      </c>
      <c r="E9000" s="16" t="str">
        <f>IFERROR(__xludf.DUMMYFUNCTION("""COMPUTED_VALUE"""),"")</f>
        <v/>
      </c>
      <c r="G9000" s="18"/>
      <c r="H9000" s="16" t="s">
        <v>87</v>
      </c>
      <c r="I9000" s="16" t="s">
        <v>87</v>
      </c>
      <c r="J9000" s="19"/>
      <c r="L9000" s="16" t="str">
        <f>IFERROR(__xludf.DUMMYFUNCTION("""COMPUTED_VALUE"""),"")</f>
        <v/>
      </c>
      <c r="M9000" s="16" t="str">
        <f>IFERROR(__xludf.DUMMYFUNCTION("""COMPUTED_VALUE"""),"")</f>
        <v/>
      </c>
      <c r="U9000" s="16" t="s">
        <v>87</v>
      </c>
      <c r="V9000" s="16" t="str">
        <f>IFERROR(__xludf.DUMMYFUNCTION("""COMPUTED_VALUE"""),"")</f>
        <v/>
      </c>
      <c r="W9000" s="16" t="str">
        <f>IFERROR(__xludf.DUMMYFUNCTION("""COMPUTED_VALUE"""),"")</f>
        <v/>
      </c>
      <c r="X9000" s="16" t="str">
        <f>IFERROR(__xludf.DUMMYFUNCTION("""COMPUTED_VALUE"""),"")</f>
        <v/>
      </c>
      <c r="AC9000" s="16" t="str">
        <f>IFERROR(__xludf.DUMMYFUNCTION("""COMPUTED_VALUE"""),"")</f>
        <v/>
      </c>
    </row>
    <row r="9001">
      <c r="A9001" s="16" t="s">
        <v>87</v>
      </c>
      <c r="E9001" s="16" t="str">
        <f>IFERROR(__xludf.DUMMYFUNCTION("""COMPUTED_VALUE"""),"")</f>
        <v/>
      </c>
      <c r="G9001" s="18"/>
      <c r="H9001" s="16" t="s">
        <v>87</v>
      </c>
      <c r="I9001" s="16" t="s">
        <v>87</v>
      </c>
      <c r="J9001" s="19"/>
      <c r="L9001" s="16" t="str">
        <f>IFERROR(__xludf.DUMMYFUNCTION("""COMPUTED_VALUE"""),"")</f>
        <v/>
      </c>
      <c r="M9001" s="16" t="str">
        <f>IFERROR(__xludf.DUMMYFUNCTION("""COMPUTED_VALUE"""),"")</f>
        <v/>
      </c>
      <c r="U9001" s="16" t="s">
        <v>87</v>
      </c>
      <c r="V9001" s="16" t="str">
        <f>IFERROR(__xludf.DUMMYFUNCTION("""COMPUTED_VALUE"""),"")</f>
        <v/>
      </c>
      <c r="W9001" s="16" t="str">
        <f>IFERROR(__xludf.DUMMYFUNCTION("""COMPUTED_VALUE"""),"")</f>
        <v/>
      </c>
      <c r="X9001" s="16" t="str">
        <f>IFERROR(__xludf.DUMMYFUNCTION("""COMPUTED_VALUE"""),"")</f>
        <v/>
      </c>
      <c r="AC9001" s="16" t="str">
        <f>IFERROR(__xludf.DUMMYFUNCTION("""COMPUTED_VALUE"""),"")</f>
        <v/>
      </c>
    </row>
    <row r="9002">
      <c r="A9002" s="16" t="s">
        <v>87</v>
      </c>
      <c r="E9002" s="16" t="str">
        <f>IFERROR(__xludf.DUMMYFUNCTION("""COMPUTED_VALUE"""),"")</f>
        <v/>
      </c>
      <c r="G9002" s="18"/>
      <c r="H9002" s="16" t="s">
        <v>87</v>
      </c>
      <c r="I9002" s="16" t="s">
        <v>87</v>
      </c>
      <c r="J9002" s="19"/>
      <c r="L9002" s="16" t="str">
        <f>IFERROR(__xludf.DUMMYFUNCTION("""COMPUTED_VALUE"""),"")</f>
        <v/>
      </c>
      <c r="M9002" s="16" t="str">
        <f>IFERROR(__xludf.DUMMYFUNCTION("""COMPUTED_VALUE"""),"")</f>
        <v/>
      </c>
      <c r="U9002" s="16" t="s">
        <v>87</v>
      </c>
      <c r="V9002" s="16" t="str">
        <f>IFERROR(__xludf.DUMMYFUNCTION("""COMPUTED_VALUE"""),"")</f>
        <v/>
      </c>
      <c r="W9002" s="16" t="str">
        <f>IFERROR(__xludf.DUMMYFUNCTION("""COMPUTED_VALUE"""),"")</f>
        <v/>
      </c>
      <c r="X9002" s="16" t="str">
        <f>IFERROR(__xludf.DUMMYFUNCTION("""COMPUTED_VALUE"""),"")</f>
        <v/>
      </c>
      <c r="AC9002" s="16" t="str">
        <f>IFERROR(__xludf.DUMMYFUNCTION("""COMPUTED_VALUE"""),"")</f>
        <v/>
      </c>
    </row>
    <row r="9003">
      <c r="A9003" s="16" t="s">
        <v>87</v>
      </c>
      <c r="E9003" s="16" t="str">
        <f>IFERROR(__xludf.DUMMYFUNCTION("""COMPUTED_VALUE"""),"")</f>
        <v/>
      </c>
      <c r="G9003" s="18"/>
      <c r="H9003" s="16" t="s">
        <v>87</v>
      </c>
      <c r="I9003" s="16" t="s">
        <v>87</v>
      </c>
      <c r="J9003" s="19"/>
      <c r="L9003" s="16" t="str">
        <f>IFERROR(__xludf.DUMMYFUNCTION("""COMPUTED_VALUE"""),"")</f>
        <v/>
      </c>
      <c r="M9003" s="16" t="str">
        <f>IFERROR(__xludf.DUMMYFUNCTION("""COMPUTED_VALUE"""),"")</f>
        <v/>
      </c>
      <c r="U9003" s="16" t="s">
        <v>87</v>
      </c>
      <c r="V9003" s="16" t="str">
        <f>IFERROR(__xludf.DUMMYFUNCTION("""COMPUTED_VALUE"""),"")</f>
        <v/>
      </c>
      <c r="W9003" s="16" t="str">
        <f>IFERROR(__xludf.DUMMYFUNCTION("""COMPUTED_VALUE"""),"")</f>
        <v/>
      </c>
      <c r="X9003" s="16" t="str">
        <f>IFERROR(__xludf.DUMMYFUNCTION("""COMPUTED_VALUE"""),"")</f>
        <v/>
      </c>
      <c r="AC9003" s="16" t="str">
        <f>IFERROR(__xludf.DUMMYFUNCTION("""COMPUTED_VALUE"""),"")</f>
        <v/>
      </c>
    </row>
    <row r="9004">
      <c r="A9004" s="16" t="s">
        <v>87</v>
      </c>
      <c r="E9004" s="16" t="str">
        <f>IFERROR(__xludf.DUMMYFUNCTION("""COMPUTED_VALUE"""),"")</f>
        <v/>
      </c>
      <c r="G9004" s="18"/>
      <c r="H9004" s="16" t="s">
        <v>87</v>
      </c>
      <c r="I9004" s="16" t="s">
        <v>87</v>
      </c>
      <c r="J9004" s="19"/>
      <c r="L9004" s="16" t="str">
        <f>IFERROR(__xludf.DUMMYFUNCTION("""COMPUTED_VALUE"""),"")</f>
        <v/>
      </c>
      <c r="M9004" s="16" t="str">
        <f>IFERROR(__xludf.DUMMYFUNCTION("""COMPUTED_VALUE"""),"")</f>
        <v/>
      </c>
      <c r="U9004" s="16" t="s">
        <v>87</v>
      </c>
      <c r="V9004" s="16" t="str">
        <f>IFERROR(__xludf.DUMMYFUNCTION("""COMPUTED_VALUE"""),"")</f>
        <v/>
      </c>
      <c r="W9004" s="16" t="str">
        <f>IFERROR(__xludf.DUMMYFUNCTION("""COMPUTED_VALUE"""),"")</f>
        <v/>
      </c>
      <c r="X9004" s="16" t="str">
        <f>IFERROR(__xludf.DUMMYFUNCTION("""COMPUTED_VALUE"""),"")</f>
        <v/>
      </c>
      <c r="AC9004" s="16" t="str">
        <f>IFERROR(__xludf.DUMMYFUNCTION("""COMPUTED_VALUE"""),"")</f>
        <v/>
      </c>
    </row>
    <row r="9005">
      <c r="A9005" s="16" t="s">
        <v>87</v>
      </c>
      <c r="E9005" s="16" t="str">
        <f>IFERROR(__xludf.DUMMYFUNCTION("""COMPUTED_VALUE"""),"")</f>
        <v/>
      </c>
      <c r="G9005" s="18"/>
      <c r="H9005" s="16" t="s">
        <v>87</v>
      </c>
      <c r="I9005" s="16" t="s">
        <v>87</v>
      </c>
      <c r="J9005" s="19"/>
      <c r="L9005" s="16" t="str">
        <f>IFERROR(__xludf.DUMMYFUNCTION("""COMPUTED_VALUE"""),"")</f>
        <v/>
      </c>
      <c r="M9005" s="16" t="str">
        <f>IFERROR(__xludf.DUMMYFUNCTION("""COMPUTED_VALUE"""),"")</f>
        <v/>
      </c>
      <c r="U9005" s="16" t="s">
        <v>87</v>
      </c>
      <c r="V9005" s="16" t="str">
        <f>IFERROR(__xludf.DUMMYFUNCTION("""COMPUTED_VALUE"""),"")</f>
        <v/>
      </c>
      <c r="W9005" s="16" t="str">
        <f>IFERROR(__xludf.DUMMYFUNCTION("""COMPUTED_VALUE"""),"")</f>
        <v/>
      </c>
      <c r="X9005" s="16" t="str">
        <f>IFERROR(__xludf.DUMMYFUNCTION("""COMPUTED_VALUE"""),"")</f>
        <v/>
      </c>
      <c r="AC9005" s="16" t="str">
        <f>IFERROR(__xludf.DUMMYFUNCTION("""COMPUTED_VALUE"""),"")</f>
        <v/>
      </c>
    </row>
    <row r="9006">
      <c r="A9006" s="16" t="s">
        <v>87</v>
      </c>
      <c r="E9006" s="16" t="str">
        <f>IFERROR(__xludf.DUMMYFUNCTION("""COMPUTED_VALUE"""),"")</f>
        <v/>
      </c>
      <c r="G9006" s="18"/>
      <c r="H9006" s="16" t="s">
        <v>87</v>
      </c>
      <c r="I9006" s="16" t="s">
        <v>87</v>
      </c>
      <c r="J9006" s="19"/>
      <c r="L9006" s="16" t="str">
        <f>IFERROR(__xludf.DUMMYFUNCTION("""COMPUTED_VALUE"""),"")</f>
        <v/>
      </c>
      <c r="M9006" s="16" t="str">
        <f>IFERROR(__xludf.DUMMYFUNCTION("""COMPUTED_VALUE"""),"")</f>
        <v/>
      </c>
      <c r="U9006" s="16" t="s">
        <v>87</v>
      </c>
      <c r="V9006" s="16" t="str">
        <f>IFERROR(__xludf.DUMMYFUNCTION("""COMPUTED_VALUE"""),"")</f>
        <v/>
      </c>
      <c r="W9006" s="16" t="str">
        <f>IFERROR(__xludf.DUMMYFUNCTION("""COMPUTED_VALUE"""),"")</f>
        <v/>
      </c>
      <c r="X9006" s="16" t="str">
        <f>IFERROR(__xludf.DUMMYFUNCTION("""COMPUTED_VALUE"""),"")</f>
        <v/>
      </c>
      <c r="AC9006" s="16" t="str">
        <f>IFERROR(__xludf.DUMMYFUNCTION("""COMPUTED_VALUE"""),"")</f>
        <v/>
      </c>
    </row>
    <row r="9007">
      <c r="A9007" s="16" t="s">
        <v>87</v>
      </c>
      <c r="E9007" s="16" t="str">
        <f>IFERROR(__xludf.DUMMYFUNCTION("""COMPUTED_VALUE"""),"")</f>
        <v/>
      </c>
      <c r="G9007" s="18"/>
      <c r="H9007" s="16" t="s">
        <v>87</v>
      </c>
      <c r="I9007" s="16" t="s">
        <v>87</v>
      </c>
      <c r="J9007" s="19"/>
      <c r="L9007" s="16" t="str">
        <f>IFERROR(__xludf.DUMMYFUNCTION("""COMPUTED_VALUE"""),"")</f>
        <v/>
      </c>
      <c r="M9007" s="16" t="str">
        <f>IFERROR(__xludf.DUMMYFUNCTION("""COMPUTED_VALUE"""),"")</f>
        <v/>
      </c>
      <c r="U9007" s="16" t="s">
        <v>87</v>
      </c>
      <c r="V9007" s="16" t="str">
        <f>IFERROR(__xludf.DUMMYFUNCTION("""COMPUTED_VALUE"""),"")</f>
        <v/>
      </c>
      <c r="W9007" s="16" t="str">
        <f>IFERROR(__xludf.DUMMYFUNCTION("""COMPUTED_VALUE"""),"")</f>
        <v/>
      </c>
      <c r="X9007" s="16" t="str">
        <f>IFERROR(__xludf.DUMMYFUNCTION("""COMPUTED_VALUE"""),"")</f>
        <v/>
      </c>
      <c r="AC9007" s="16" t="str">
        <f>IFERROR(__xludf.DUMMYFUNCTION("""COMPUTED_VALUE"""),"")</f>
        <v/>
      </c>
    </row>
    <row r="9008">
      <c r="A9008" s="16" t="s">
        <v>87</v>
      </c>
      <c r="E9008" s="16" t="str">
        <f>IFERROR(__xludf.DUMMYFUNCTION("""COMPUTED_VALUE"""),"")</f>
        <v/>
      </c>
      <c r="G9008" s="18"/>
      <c r="H9008" s="16" t="s">
        <v>87</v>
      </c>
      <c r="I9008" s="16" t="s">
        <v>87</v>
      </c>
      <c r="J9008" s="19"/>
      <c r="L9008" s="16" t="str">
        <f>IFERROR(__xludf.DUMMYFUNCTION("""COMPUTED_VALUE"""),"")</f>
        <v/>
      </c>
      <c r="M9008" s="16" t="str">
        <f>IFERROR(__xludf.DUMMYFUNCTION("""COMPUTED_VALUE"""),"")</f>
        <v/>
      </c>
      <c r="U9008" s="16" t="s">
        <v>87</v>
      </c>
      <c r="V9008" s="16" t="str">
        <f>IFERROR(__xludf.DUMMYFUNCTION("""COMPUTED_VALUE"""),"")</f>
        <v/>
      </c>
      <c r="W9008" s="16" t="str">
        <f>IFERROR(__xludf.DUMMYFUNCTION("""COMPUTED_VALUE"""),"")</f>
        <v/>
      </c>
      <c r="X9008" s="16" t="str">
        <f>IFERROR(__xludf.DUMMYFUNCTION("""COMPUTED_VALUE"""),"")</f>
        <v/>
      </c>
      <c r="AC9008" s="16" t="str">
        <f>IFERROR(__xludf.DUMMYFUNCTION("""COMPUTED_VALUE"""),"")</f>
        <v/>
      </c>
    </row>
    <row r="9009">
      <c r="A9009" s="16" t="s">
        <v>87</v>
      </c>
      <c r="E9009" s="16" t="str">
        <f>IFERROR(__xludf.DUMMYFUNCTION("""COMPUTED_VALUE"""),"")</f>
        <v/>
      </c>
      <c r="G9009" s="18"/>
      <c r="H9009" s="16" t="s">
        <v>87</v>
      </c>
      <c r="I9009" s="16" t="s">
        <v>87</v>
      </c>
      <c r="J9009" s="19"/>
      <c r="L9009" s="16" t="str">
        <f>IFERROR(__xludf.DUMMYFUNCTION("""COMPUTED_VALUE"""),"")</f>
        <v/>
      </c>
      <c r="M9009" s="16" t="str">
        <f>IFERROR(__xludf.DUMMYFUNCTION("""COMPUTED_VALUE"""),"")</f>
        <v/>
      </c>
      <c r="U9009" s="16" t="s">
        <v>87</v>
      </c>
      <c r="V9009" s="16" t="str">
        <f>IFERROR(__xludf.DUMMYFUNCTION("""COMPUTED_VALUE"""),"")</f>
        <v/>
      </c>
      <c r="W9009" s="16" t="str">
        <f>IFERROR(__xludf.DUMMYFUNCTION("""COMPUTED_VALUE"""),"")</f>
        <v/>
      </c>
      <c r="X9009" s="16" t="str">
        <f>IFERROR(__xludf.DUMMYFUNCTION("""COMPUTED_VALUE"""),"")</f>
        <v/>
      </c>
      <c r="AC9009" s="16" t="str">
        <f>IFERROR(__xludf.DUMMYFUNCTION("""COMPUTED_VALUE"""),"")</f>
        <v/>
      </c>
    </row>
    <row r="9010">
      <c r="A9010" s="16" t="s">
        <v>87</v>
      </c>
      <c r="E9010" s="16" t="str">
        <f>IFERROR(__xludf.DUMMYFUNCTION("""COMPUTED_VALUE"""),"")</f>
        <v/>
      </c>
      <c r="G9010" s="18"/>
      <c r="H9010" s="16" t="s">
        <v>87</v>
      </c>
      <c r="I9010" s="16" t="s">
        <v>87</v>
      </c>
      <c r="J9010" s="19"/>
      <c r="L9010" s="16" t="str">
        <f>IFERROR(__xludf.DUMMYFUNCTION("""COMPUTED_VALUE"""),"")</f>
        <v/>
      </c>
      <c r="M9010" s="16" t="str">
        <f>IFERROR(__xludf.DUMMYFUNCTION("""COMPUTED_VALUE"""),"")</f>
        <v/>
      </c>
      <c r="U9010" s="16" t="s">
        <v>87</v>
      </c>
      <c r="V9010" s="16" t="str">
        <f>IFERROR(__xludf.DUMMYFUNCTION("""COMPUTED_VALUE"""),"")</f>
        <v/>
      </c>
      <c r="W9010" s="16" t="str">
        <f>IFERROR(__xludf.DUMMYFUNCTION("""COMPUTED_VALUE"""),"")</f>
        <v/>
      </c>
      <c r="X9010" s="16" t="str">
        <f>IFERROR(__xludf.DUMMYFUNCTION("""COMPUTED_VALUE"""),"")</f>
        <v/>
      </c>
      <c r="AC9010" s="16" t="str">
        <f>IFERROR(__xludf.DUMMYFUNCTION("""COMPUTED_VALUE"""),"")</f>
        <v/>
      </c>
    </row>
    <row r="9011">
      <c r="A9011" s="16" t="s">
        <v>87</v>
      </c>
      <c r="E9011" s="16" t="str">
        <f>IFERROR(__xludf.DUMMYFUNCTION("""COMPUTED_VALUE"""),"")</f>
        <v/>
      </c>
      <c r="G9011" s="18"/>
      <c r="H9011" s="16" t="s">
        <v>87</v>
      </c>
      <c r="I9011" s="16" t="s">
        <v>87</v>
      </c>
      <c r="J9011" s="19"/>
      <c r="L9011" s="16" t="str">
        <f>IFERROR(__xludf.DUMMYFUNCTION("""COMPUTED_VALUE"""),"")</f>
        <v/>
      </c>
      <c r="M9011" s="16" t="str">
        <f>IFERROR(__xludf.DUMMYFUNCTION("""COMPUTED_VALUE"""),"")</f>
        <v/>
      </c>
      <c r="U9011" s="16" t="s">
        <v>87</v>
      </c>
      <c r="V9011" s="16" t="str">
        <f>IFERROR(__xludf.DUMMYFUNCTION("""COMPUTED_VALUE"""),"")</f>
        <v/>
      </c>
      <c r="W9011" s="16" t="str">
        <f>IFERROR(__xludf.DUMMYFUNCTION("""COMPUTED_VALUE"""),"")</f>
        <v/>
      </c>
      <c r="X9011" s="16" t="str">
        <f>IFERROR(__xludf.DUMMYFUNCTION("""COMPUTED_VALUE"""),"")</f>
        <v/>
      </c>
      <c r="AC9011" s="16" t="str">
        <f>IFERROR(__xludf.DUMMYFUNCTION("""COMPUTED_VALUE"""),"")</f>
        <v/>
      </c>
    </row>
    <row r="9012">
      <c r="A9012" s="16" t="s">
        <v>87</v>
      </c>
      <c r="E9012" s="16" t="str">
        <f>IFERROR(__xludf.DUMMYFUNCTION("""COMPUTED_VALUE"""),"")</f>
        <v/>
      </c>
      <c r="G9012" s="18"/>
      <c r="H9012" s="16" t="s">
        <v>87</v>
      </c>
      <c r="I9012" s="16" t="s">
        <v>87</v>
      </c>
      <c r="J9012" s="19"/>
      <c r="L9012" s="16" t="str">
        <f>IFERROR(__xludf.DUMMYFUNCTION("""COMPUTED_VALUE"""),"")</f>
        <v/>
      </c>
      <c r="M9012" s="16" t="str">
        <f>IFERROR(__xludf.DUMMYFUNCTION("""COMPUTED_VALUE"""),"")</f>
        <v/>
      </c>
      <c r="U9012" s="16" t="s">
        <v>87</v>
      </c>
      <c r="V9012" s="16" t="str">
        <f>IFERROR(__xludf.DUMMYFUNCTION("""COMPUTED_VALUE"""),"")</f>
        <v/>
      </c>
      <c r="W9012" s="16" t="str">
        <f>IFERROR(__xludf.DUMMYFUNCTION("""COMPUTED_VALUE"""),"")</f>
        <v/>
      </c>
      <c r="X9012" s="16" t="str">
        <f>IFERROR(__xludf.DUMMYFUNCTION("""COMPUTED_VALUE"""),"")</f>
        <v/>
      </c>
      <c r="AC9012" s="16" t="str">
        <f>IFERROR(__xludf.DUMMYFUNCTION("""COMPUTED_VALUE"""),"")</f>
        <v/>
      </c>
    </row>
    <row r="9013">
      <c r="A9013" s="16" t="s">
        <v>87</v>
      </c>
      <c r="E9013" s="16" t="str">
        <f>IFERROR(__xludf.DUMMYFUNCTION("""COMPUTED_VALUE"""),"")</f>
        <v/>
      </c>
      <c r="G9013" s="18"/>
      <c r="H9013" s="16" t="s">
        <v>87</v>
      </c>
      <c r="I9013" s="16" t="s">
        <v>87</v>
      </c>
      <c r="J9013" s="19"/>
      <c r="L9013" s="16" t="str">
        <f>IFERROR(__xludf.DUMMYFUNCTION("""COMPUTED_VALUE"""),"")</f>
        <v/>
      </c>
      <c r="M9013" s="16" t="str">
        <f>IFERROR(__xludf.DUMMYFUNCTION("""COMPUTED_VALUE"""),"")</f>
        <v/>
      </c>
      <c r="U9013" s="16" t="s">
        <v>87</v>
      </c>
      <c r="V9013" s="16" t="str">
        <f>IFERROR(__xludf.DUMMYFUNCTION("""COMPUTED_VALUE"""),"")</f>
        <v/>
      </c>
      <c r="W9013" s="16" t="str">
        <f>IFERROR(__xludf.DUMMYFUNCTION("""COMPUTED_VALUE"""),"")</f>
        <v/>
      </c>
      <c r="X9013" s="16" t="str">
        <f>IFERROR(__xludf.DUMMYFUNCTION("""COMPUTED_VALUE"""),"")</f>
        <v/>
      </c>
      <c r="AC9013" s="16" t="str">
        <f>IFERROR(__xludf.DUMMYFUNCTION("""COMPUTED_VALUE"""),"")</f>
        <v/>
      </c>
    </row>
    <row r="9014">
      <c r="A9014" s="16" t="s">
        <v>87</v>
      </c>
      <c r="E9014" s="16" t="str">
        <f>IFERROR(__xludf.DUMMYFUNCTION("""COMPUTED_VALUE"""),"")</f>
        <v/>
      </c>
      <c r="G9014" s="18"/>
      <c r="H9014" s="16" t="s">
        <v>87</v>
      </c>
      <c r="I9014" s="16" t="s">
        <v>87</v>
      </c>
      <c r="J9014" s="19"/>
      <c r="L9014" s="16" t="str">
        <f>IFERROR(__xludf.DUMMYFUNCTION("""COMPUTED_VALUE"""),"")</f>
        <v/>
      </c>
      <c r="M9014" s="16" t="str">
        <f>IFERROR(__xludf.DUMMYFUNCTION("""COMPUTED_VALUE"""),"")</f>
        <v/>
      </c>
      <c r="U9014" s="16" t="s">
        <v>87</v>
      </c>
      <c r="V9014" s="16" t="str">
        <f>IFERROR(__xludf.DUMMYFUNCTION("""COMPUTED_VALUE"""),"")</f>
        <v/>
      </c>
      <c r="W9014" s="16" t="str">
        <f>IFERROR(__xludf.DUMMYFUNCTION("""COMPUTED_VALUE"""),"")</f>
        <v/>
      </c>
      <c r="X9014" s="16" t="str">
        <f>IFERROR(__xludf.DUMMYFUNCTION("""COMPUTED_VALUE"""),"")</f>
        <v/>
      </c>
      <c r="AC9014" s="16" t="str">
        <f>IFERROR(__xludf.DUMMYFUNCTION("""COMPUTED_VALUE"""),"")</f>
        <v/>
      </c>
    </row>
    <row r="9015">
      <c r="A9015" s="16" t="s">
        <v>87</v>
      </c>
      <c r="E9015" s="16" t="str">
        <f>IFERROR(__xludf.DUMMYFUNCTION("""COMPUTED_VALUE"""),"")</f>
        <v/>
      </c>
      <c r="G9015" s="18"/>
      <c r="H9015" s="16" t="s">
        <v>87</v>
      </c>
      <c r="I9015" s="16" t="s">
        <v>87</v>
      </c>
      <c r="J9015" s="19"/>
      <c r="L9015" s="16" t="str">
        <f>IFERROR(__xludf.DUMMYFUNCTION("""COMPUTED_VALUE"""),"")</f>
        <v/>
      </c>
      <c r="M9015" s="16" t="str">
        <f>IFERROR(__xludf.DUMMYFUNCTION("""COMPUTED_VALUE"""),"")</f>
        <v/>
      </c>
      <c r="U9015" s="16" t="s">
        <v>87</v>
      </c>
      <c r="V9015" s="16" t="str">
        <f>IFERROR(__xludf.DUMMYFUNCTION("""COMPUTED_VALUE"""),"")</f>
        <v/>
      </c>
      <c r="W9015" s="16" t="str">
        <f>IFERROR(__xludf.DUMMYFUNCTION("""COMPUTED_VALUE"""),"")</f>
        <v/>
      </c>
      <c r="X9015" s="16" t="str">
        <f>IFERROR(__xludf.DUMMYFUNCTION("""COMPUTED_VALUE"""),"")</f>
        <v/>
      </c>
      <c r="AC9015" s="16" t="str">
        <f>IFERROR(__xludf.DUMMYFUNCTION("""COMPUTED_VALUE"""),"")</f>
        <v/>
      </c>
    </row>
    <row r="9016">
      <c r="A9016" s="16" t="s">
        <v>87</v>
      </c>
      <c r="E9016" s="16" t="str">
        <f>IFERROR(__xludf.DUMMYFUNCTION("""COMPUTED_VALUE"""),"")</f>
        <v/>
      </c>
      <c r="G9016" s="18"/>
      <c r="H9016" s="16" t="s">
        <v>87</v>
      </c>
      <c r="I9016" s="16" t="s">
        <v>87</v>
      </c>
      <c r="J9016" s="19"/>
      <c r="L9016" s="16" t="str">
        <f>IFERROR(__xludf.DUMMYFUNCTION("""COMPUTED_VALUE"""),"")</f>
        <v/>
      </c>
      <c r="M9016" s="16" t="str">
        <f>IFERROR(__xludf.DUMMYFUNCTION("""COMPUTED_VALUE"""),"")</f>
        <v/>
      </c>
      <c r="U9016" s="16" t="s">
        <v>87</v>
      </c>
      <c r="V9016" s="16" t="str">
        <f>IFERROR(__xludf.DUMMYFUNCTION("""COMPUTED_VALUE"""),"")</f>
        <v/>
      </c>
      <c r="W9016" s="16" t="str">
        <f>IFERROR(__xludf.DUMMYFUNCTION("""COMPUTED_VALUE"""),"")</f>
        <v/>
      </c>
      <c r="X9016" s="16" t="str">
        <f>IFERROR(__xludf.DUMMYFUNCTION("""COMPUTED_VALUE"""),"")</f>
        <v/>
      </c>
      <c r="AC9016" s="16" t="str">
        <f>IFERROR(__xludf.DUMMYFUNCTION("""COMPUTED_VALUE"""),"")</f>
        <v/>
      </c>
    </row>
    <row r="9017">
      <c r="A9017" s="16" t="s">
        <v>87</v>
      </c>
      <c r="E9017" s="16" t="str">
        <f>IFERROR(__xludf.DUMMYFUNCTION("""COMPUTED_VALUE"""),"")</f>
        <v/>
      </c>
      <c r="G9017" s="18"/>
      <c r="H9017" s="16" t="s">
        <v>87</v>
      </c>
      <c r="I9017" s="16" t="s">
        <v>87</v>
      </c>
      <c r="J9017" s="19"/>
      <c r="L9017" s="16" t="str">
        <f>IFERROR(__xludf.DUMMYFUNCTION("""COMPUTED_VALUE"""),"")</f>
        <v/>
      </c>
      <c r="M9017" s="16" t="str">
        <f>IFERROR(__xludf.DUMMYFUNCTION("""COMPUTED_VALUE"""),"")</f>
        <v/>
      </c>
      <c r="U9017" s="16" t="s">
        <v>87</v>
      </c>
      <c r="V9017" s="16" t="str">
        <f>IFERROR(__xludf.DUMMYFUNCTION("""COMPUTED_VALUE"""),"")</f>
        <v/>
      </c>
      <c r="W9017" s="16" t="str">
        <f>IFERROR(__xludf.DUMMYFUNCTION("""COMPUTED_VALUE"""),"")</f>
        <v/>
      </c>
      <c r="X9017" s="16" t="str">
        <f>IFERROR(__xludf.DUMMYFUNCTION("""COMPUTED_VALUE"""),"")</f>
        <v/>
      </c>
      <c r="AC9017" s="16" t="str">
        <f>IFERROR(__xludf.DUMMYFUNCTION("""COMPUTED_VALUE"""),"")</f>
        <v/>
      </c>
    </row>
    <row r="9018">
      <c r="A9018" s="16" t="s">
        <v>87</v>
      </c>
      <c r="E9018" s="16" t="str">
        <f>IFERROR(__xludf.DUMMYFUNCTION("""COMPUTED_VALUE"""),"")</f>
        <v/>
      </c>
      <c r="G9018" s="18"/>
      <c r="H9018" s="16" t="s">
        <v>87</v>
      </c>
      <c r="I9018" s="16" t="s">
        <v>87</v>
      </c>
      <c r="J9018" s="19"/>
      <c r="L9018" s="16" t="str">
        <f>IFERROR(__xludf.DUMMYFUNCTION("""COMPUTED_VALUE"""),"")</f>
        <v/>
      </c>
      <c r="M9018" s="16" t="str">
        <f>IFERROR(__xludf.DUMMYFUNCTION("""COMPUTED_VALUE"""),"")</f>
        <v/>
      </c>
      <c r="U9018" s="16" t="s">
        <v>87</v>
      </c>
      <c r="V9018" s="16" t="str">
        <f>IFERROR(__xludf.DUMMYFUNCTION("""COMPUTED_VALUE"""),"")</f>
        <v/>
      </c>
      <c r="W9018" s="16" t="str">
        <f>IFERROR(__xludf.DUMMYFUNCTION("""COMPUTED_VALUE"""),"")</f>
        <v/>
      </c>
      <c r="X9018" s="16" t="str">
        <f>IFERROR(__xludf.DUMMYFUNCTION("""COMPUTED_VALUE"""),"")</f>
        <v/>
      </c>
      <c r="AC9018" s="16" t="str">
        <f>IFERROR(__xludf.DUMMYFUNCTION("""COMPUTED_VALUE"""),"")</f>
        <v/>
      </c>
    </row>
    <row r="9019">
      <c r="A9019" s="16" t="s">
        <v>87</v>
      </c>
      <c r="E9019" s="16" t="str">
        <f>IFERROR(__xludf.DUMMYFUNCTION("""COMPUTED_VALUE"""),"")</f>
        <v/>
      </c>
      <c r="G9019" s="18"/>
      <c r="H9019" s="16" t="s">
        <v>87</v>
      </c>
      <c r="I9019" s="16" t="s">
        <v>87</v>
      </c>
      <c r="J9019" s="19"/>
      <c r="L9019" s="16" t="str">
        <f>IFERROR(__xludf.DUMMYFUNCTION("""COMPUTED_VALUE"""),"")</f>
        <v/>
      </c>
      <c r="M9019" s="16" t="str">
        <f>IFERROR(__xludf.DUMMYFUNCTION("""COMPUTED_VALUE"""),"")</f>
        <v/>
      </c>
      <c r="U9019" s="16" t="s">
        <v>87</v>
      </c>
      <c r="V9019" s="16" t="str">
        <f>IFERROR(__xludf.DUMMYFUNCTION("""COMPUTED_VALUE"""),"")</f>
        <v/>
      </c>
      <c r="W9019" s="16" t="str">
        <f>IFERROR(__xludf.DUMMYFUNCTION("""COMPUTED_VALUE"""),"")</f>
        <v/>
      </c>
      <c r="X9019" s="16" t="str">
        <f>IFERROR(__xludf.DUMMYFUNCTION("""COMPUTED_VALUE"""),"")</f>
        <v/>
      </c>
      <c r="AC9019" s="16" t="str">
        <f>IFERROR(__xludf.DUMMYFUNCTION("""COMPUTED_VALUE"""),"")</f>
        <v/>
      </c>
    </row>
    <row r="9020">
      <c r="A9020" s="16" t="s">
        <v>87</v>
      </c>
      <c r="E9020" s="16" t="str">
        <f>IFERROR(__xludf.DUMMYFUNCTION("""COMPUTED_VALUE"""),"")</f>
        <v/>
      </c>
      <c r="G9020" s="18"/>
      <c r="H9020" s="16" t="s">
        <v>87</v>
      </c>
      <c r="I9020" s="16" t="s">
        <v>87</v>
      </c>
      <c r="J9020" s="19"/>
      <c r="L9020" s="16" t="str">
        <f>IFERROR(__xludf.DUMMYFUNCTION("""COMPUTED_VALUE"""),"")</f>
        <v/>
      </c>
      <c r="M9020" s="16" t="str">
        <f>IFERROR(__xludf.DUMMYFUNCTION("""COMPUTED_VALUE"""),"")</f>
        <v/>
      </c>
      <c r="U9020" s="16" t="s">
        <v>87</v>
      </c>
      <c r="V9020" s="16" t="str">
        <f>IFERROR(__xludf.DUMMYFUNCTION("""COMPUTED_VALUE"""),"")</f>
        <v/>
      </c>
      <c r="W9020" s="16" t="str">
        <f>IFERROR(__xludf.DUMMYFUNCTION("""COMPUTED_VALUE"""),"")</f>
        <v/>
      </c>
      <c r="X9020" s="16" t="str">
        <f>IFERROR(__xludf.DUMMYFUNCTION("""COMPUTED_VALUE"""),"")</f>
        <v/>
      </c>
      <c r="AC9020" s="16" t="str">
        <f>IFERROR(__xludf.DUMMYFUNCTION("""COMPUTED_VALUE"""),"")</f>
        <v/>
      </c>
    </row>
    <row r="9021">
      <c r="A9021" s="16" t="s">
        <v>87</v>
      </c>
      <c r="E9021" s="16" t="str">
        <f>IFERROR(__xludf.DUMMYFUNCTION("""COMPUTED_VALUE"""),"")</f>
        <v/>
      </c>
      <c r="G9021" s="18"/>
      <c r="H9021" s="16" t="s">
        <v>87</v>
      </c>
      <c r="I9021" s="16" t="s">
        <v>87</v>
      </c>
      <c r="J9021" s="19"/>
      <c r="L9021" s="16" t="str">
        <f>IFERROR(__xludf.DUMMYFUNCTION("""COMPUTED_VALUE"""),"")</f>
        <v/>
      </c>
      <c r="M9021" s="16" t="str">
        <f>IFERROR(__xludf.DUMMYFUNCTION("""COMPUTED_VALUE"""),"")</f>
        <v/>
      </c>
      <c r="U9021" s="16" t="s">
        <v>87</v>
      </c>
      <c r="V9021" s="16" t="str">
        <f>IFERROR(__xludf.DUMMYFUNCTION("""COMPUTED_VALUE"""),"")</f>
        <v/>
      </c>
      <c r="W9021" s="16" t="str">
        <f>IFERROR(__xludf.DUMMYFUNCTION("""COMPUTED_VALUE"""),"")</f>
        <v/>
      </c>
      <c r="X9021" s="16" t="str">
        <f>IFERROR(__xludf.DUMMYFUNCTION("""COMPUTED_VALUE"""),"")</f>
        <v/>
      </c>
      <c r="AC9021" s="16" t="str">
        <f>IFERROR(__xludf.DUMMYFUNCTION("""COMPUTED_VALUE"""),"")</f>
        <v/>
      </c>
    </row>
    <row r="9022">
      <c r="A9022" s="16" t="s">
        <v>87</v>
      </c>
      <c r="E9022" s="16" t="str">
        <f>IFERROR(__xludf.DUMMYFUNCTION("""COMPUTED_VALUE"""),"")</f>
        <v/>
      </c>
      <c r="G9022" s="18"/>
      <c r="H9022" s="16" t="s">
        <v>87</v>
      </c>
      <c r="I9022" s="16" t="s">
        <v>87</v>
      </c>
      <c r="J9022" s="19"/>
      <c r="L9022" s="16" t="str">
        <f>IFERROR(__xludf.DUMMYFUNCTION("""COMPUTED_VALUE"""),"")</f>
        <v/>
      </c>
      <c r="M9022" s="16" t="str">
        <f>IFERROR(__xludf.DUMMYFUNCTION("""COMPUTED_VALUE"""),"")</f>
        <v/>
      </c>
      <c r="U9022" s="16" t="s">
        <v>87</v>
      </c>
      <c r="V9022" s="16" t="str">
        <f>IFERROR(__xludf.DUMMYFUNCTION("""COMPUTED_VALUE"""),"")</f>
        <v/>
      </c>
      <c r="W9022" s="16" t="str">
        <f>IFERROR(__xludf.DUMMYFUNCTION("""COMPUTED_VALUE"""),"")</f>
        <v/>
      </c>
      <c r="X9022" s="16" t="str">
        <f>IFERROR(__xludf.DUMMYFUNCTION("""COMPUTED_VALUE"""),"")</f>
        <v/>
      </c>
      <c r="AC9022" s="16" t="str">
        <f>IFERROR(__xludf.DUMMYFUNCTION("""COMPUTED_VALUE"""),"")</f>
        <v/>
      </c>
    </row>
    <row r="9023">
      <c r="A9023" s="16" t="s">
        <v>87</v>
      </c>
      <c r="E9023" s="16" t="str">
        <f>IFERROR(__xludf.DUMMYFUNCTION("""COMPUTED_VALUE"""),"")</f>
        <v/>
      </c>
      <c r="G9023" s="18"/>
      <c r="H9023" s="16" t="s">
        <v>87</v>
      </c>
      <c r="I9023" s="16" t="s">
        <v>87</v>
      </c>
      <c r="J9023" s="19"/>
      <c r="L9023" s="16" t="str">
        <f>IFERROR(__xludf.DUMMYFUNCTION("""COMPUTED_VALUE"""),"")</f>
        <v/>
      </c>
      <c r="M9023" s="16" t="str">
        <f>IFERROR(__xludf.DUMMYFUNCTION("""COMPUTED_VALUE"""),"")</f>
        <v/>
      </c>
      <c r="U9023" s="16" t="s">
        <v>87</v>
      </c>
      <c r="V9023" s="16" t="str">
        <f>IFERROR(__xludf.DUMMYFUNCTION("""COMPUTED_VALUE"""),"")</f>
        <v/>
      </c>
      <c r="W9023" s="16" t="str">
        <f>IFERROR(__xludf.DUMMYFUNCTION("""COMPUTED_VALUE"""),"")</f>
        <v/>
      </c>
      <c r="X9023" s="16" t="str">
        <f>IFERROR(__xludf.DUMMYFUNCTION("""COMPUTED_VALUE"""),"")</f>
        <v/>
      </c>
      <c r="AC9023" s="16" t="str">
        <f>IFERROR(__xludf.DUMMYFUNCTION("""COMPUTED_VALUE"""),"")</f>
        <v/>
      </c>
    </row>
    <row r="9024">
      <c r="A9024" s="16" t="s">
        <v>87</v>
      </c>
      <c r="E9024" s="16" t="str">
        <f>IFERROR(__xludf.DUMMYFUNCTION("""COMPUTED_VALUE"""),"")</f>
        <v/>
      </c>
      <c r="G9024" s="18"/>
      <c r="H9024" s="16" t="s">
        <v>87</v>
      </c>
      <c r="I9024" s="16" t="s">
        <v>87</v>
      </c>
      <c r="J9024" s="19"/>
      <c r="L9024" s="16" t="str">
        <f>IFERROR(__xludf.DUMMYFUNCTION("""COMPUTED_VALUE"""),"")</f>
        <v/>
      </c>
      <c r="M9024" s="16" t="str">
        <f>IFERROR(__xludf.DUMMYFUNCTION("""COMPUTED_VALUE"""),"")</f>
        <v/>
      </c>
      <c r="U9024" s="16" t="s">
        <v>87</v>
      </c>
      <c r="V9024" s="16" t="str">
        <f>IFERROR(__xludf.DUMMYFUNCTION("""COMPUTED_VALUE"""),"")</f>
        <v/>
      </c>
      <c r="W9024" s="16" t="str">
        <f>IFERROR(__xludf.DUMMYFUNCTION("""COMPUTED_VALUE"""),"")</f>
        <v/>
      </c>
      <c r="X9024" s="16" t="str">
        <f>IFERROR(__xludf.DUMMYFUNCTION("""COMPUTED_VALUE"""),"")</f>
        <v/>
      </c>
      <c r="AC9024" s="16" t="str">
        <f>IFERROR(__xludf.DUMMYFUNCTION("""COMPUTED_VALUE"""),"")</f>
        <v/>
      </c>
    </row>
    <row r="9025">
      <c r="A9025" s="16" t="s">
        <v>87</v>
      </c>
      <c r="E9025" s="16" t="str">
        <f>IFERROR(__xludf.DUMMYFUNCTION("""COMPUTED_VALUE"""),"")</f>
        <v/>
      </c>
      <c r="G9025" s="18"/>
      <c r="H9025" s="16" t="s">
        <v>87</v>
      </c>
      <c r="I9025" s="16" t="s">
        <v>87</v>
      </c>
      <c r="J9025" s="19"/>
      <c r="L9025" s="16" t="str">
        <f>IFERROR(__xludf.DUMMYFUNCTION("""COMPUTED_VALUE"""),"")</f>
        <v/>
      </c>
      <c r="M9025" s="16" t="str">
        <f>IFERROR(__xludf.DUMMYFUNCTION("""COMPUTED_VALUE"""),"")</f>
        <v/>
      </c>
      <c r="U9025" s="16" t="s">
        <v>87</v>
      </c>
      <c r="V9025" s="16" t="str">
        <f>IFERROR(__xludf.DUMMYFUNCTION("""COMPUTED_VALUE"""),"")</f>
        <v/>
      </c>
      <c r="W9025" s="16" t="str">
        <f>IFERROR(__xludf.DUMMYFUNCTION("""COMPUTED_VALUE"""),"")</f>
        <v/>
      </c>
      <c r="X9025" s="16" t="str">
        <f>IFERROR(__xludf.DUMMYFUNCTION("""COMPUTED_VALUE"""),"")</f>
        <v/>
      </c>
      <c r="AC9025" s="16" t="str">
        <f>IFERROR(__xludf.DUMMYFUNCTION("""COMPUTED_VALUE"""),"")</f>
        <v/>
      </c>
    </row>
    <row r="9026">
      <c r="A9026" s="16" t="s">
        <v>87</v>
      </c>
      <c r="E9026" s="16" t="str">
        <f>IFERROR(__xludf.DUMMYFUNCTION("""COMPUTED_VALUE"""),"")</f>
        <v/>
      </c>
      <c r="G9026" s="18"/>
      <c r="H9026" s="16" t="s">
        <v>87</v>
      </c>
      <c r="I9026" s="16" t="s">
        <v>87</v>
      </c>
      <c r="J9026" s="19"/>
      <c r="L9026" s="16" t="str">
        <f>IFERROR(__xludf.DUMMYFUNCTION("""COMPUTED_VALUE"""),"")</f>
        <v/>
      </c>
      <c r="M9026" s="16" t="str">
        <f>IFERROR(__xludf.DUMMYFUNCTION("""COMPUTED_VALUE"""),"")</f>
        <v/>
      </c>
      <c r="U9026" s="16" t="s">
        <v>87</v>
      </c>
      <c r="V9026" s="16" t="str">
        <f>IFERROR(__xludf.DUMMYFUNCTION("""COMPUTED_VALUE"""),"")</f>
        <v/>
      </c>
      <c r="W9026" s="16" t="str">
        <f>IFERROR(__xludf.DUMMYFUNCTION("""COMPUTED_VALUE"""),"")</f>
        <v/>
      </c>
      <c r="X9026" s="16" t="str">
        <f>IFERROR(__xludf.DUMMYFUNCTION("""COMPUTED_VALUE"""),"")</f>
        <v/>
      </c>
      <c r="AC9026" s="16" t="str">
        <f>IFERROR(__xludf.DUMMYFUNCTION("""COMPUTED_VALUE"""),"")</f>
        <v/>
      </c>
    </row>
    <row r="9027">
      <c r="A9027" s="16" t="s">
        <v>87</v>
      </c>
      <c r="E9027" s="16" t="str">
        <f>IFERROR(__xludf.DUMMYFUNCTION("""COMPUTED_VALUE"""),"")</f>
        <v/>
      </c>
      <c r="G9027" s="18"/>
      <c r="H9027" s="16" t="s">
        <v>87</v>
      </c>
      <c r="I9027" s="16" t="s">
        <v>87</v>
      </c>
      <c r="J9027" s="19"/>
      <c r="L9027" s="16" t="str">
        <f>IFERROR(__xludf.DUMMYFUNCTION("""COMPUTED_VALUE"""),"")</f>
        <v/>
      </c>
      <c r="M9027" s="16" t="str">
        <f>IFERROR(__xludf.DUMMYFUNCTION("""COMPUTED_VALUE"""),"")</f>
        <v/>
      </c>
      <c r="U9027" s="16" t="s">
        <v>87</v>
      </c>
      <c r="V9027" s="16" t="str">
        <f>IFERROR(__xludf.DUMMYFUNCTION("""COMPUTED_VALUE"""),"")</f>
        <v/>
      </c>
      <c r="W9027" s="16" t="str">
        <f>IFERROR(__xludf.DUMMYFUNCTION("""COMPUTED_VALUE"""),"")</f>
        <v/>
      </c>
      <c r="X9027" s="16" t="str">
        <f>IFERROR(__xludf.DUMMYFUNCTION("""COMPUTED_VALUE"""),"")</f>
        <v/>
      </c>
      <c r="AC9027" s="16" t="str">
        <f>IFERROR(__xludf.DUMMYFUNCTION("""COMPUTED_VALUE"""),"")</f>
        <v/>
      </c>
    </row>
    <row r="9028">
      <c r="A9028" s="16" t="s">
        <v>87</v>
      </c>
      <c r="E9028" s="16" t="str">
        <f>IFERROR(__xludf.DUMMYFUNCTION("""COMPUTED_VALUE"""),"")</f>
        <v/>
      </c>
      <c r="G9028" s="18"/>
      <c r="H9028" s="16" t="s">
        <v>87</v>
      </c>
      <c r="I9028" s="16" t="s">
        <v>87</v>
      </c>
      <c r="J9028" s="19"/>
      <c r="L9028" s="16" t="str">
        <f>IFERROR(__xludf.DUMMYFUNCTION("""COMPUTED_VALUE"""),"")</f>
        <v/>
      </c>
      <c r="M9028" s="16" t="str">
        <f>IFERROR(__xludf.DUMMYFUNCTION("""COMPUTED_VALUE"""),"")</f>
        <v/>
      </c>
      <c r="U9028" s="16" t="s">
        <v>87</v>
      </c>
      <c r="V9028" s="16" t="str">
        <f>IFERROR(__xludf.DUMMYFUNCTION("""COMPUTED_VALUE"""),"")</f>
        <v/>
      </c>
      <c r="W9028" s="16" t="str">
        <f>IFERROR(__xludf.DUMMYFUNCTION("""COMPUTED_VALUE"""),"")</f>
        <v/>
      </c>
      <c r="X9028" s="16" t="str">
        <f>IFERROR(__xludf.DUMMYFUNCTION("""COMPUTED_VALUE"""),"")</f>
        <v/>
      </c>
      <c r="AC9028" s="16" t="str">
        <f>IFERROR(__xludf.DUMMYFUNCTION("""COMPUTED_VALUE"""),"")</f>
        <v/>
      </c>
    </row>
    <row r="9029">
      <c r="A9029" s="16" t="s">
        <v>87</v>
      </c>
      <c r="E9029" s="16" t="str">
        <f>IFERROR(__xludf.DUMMYFUNCTION("""COMPUTED_VALUE"""),"")</f>
        <v/>
      </c>
      <c r="G9029" s="18"/>
      <c r="H9029" s="16" t="s">
        <v>87</v>
      </c>
      <c r="I9029" s="16" t="s">
        <v>87</v>
      </c>
      <c r="J9029" s="19"/>
      <c r="L9029" s="16" t="str">
        <f>IFERROR(__xludf.DUMMYFUNCTION("""COMPUTED_VALUE"""),"")</f>
        <v/>
      </c>
      <c r="M9029" s="16" t="str">
        <f>IFERROR(__xludf.DUMMYFUNCTION("""COMPUTED_VALUE"""),"")</f>
        <v/>
      </c>
      <c r="U9029" s="16" t="s">
        <v>87</v>
      </c>
      <c r="V9029" s="16" t="str">
        <f>IFERROR(__xludf.DUMMYFUNCTION("""COMPUTED_VALUE"""),"")</f>
        <v/>
      </c>
      <c r="W9029" s="16" t="str">
        <f>IFERROR(__xludf.DUMMYFUNCTION("""COMPUTED_VALUE"""),"")</f>
        <v/>
      </c>
      <c r="X9029" s="16" t="str">
        <f>IFERROR(__xludf.DUMMYFUNCTION("""COMPUTED_VALUE"""),"")</f>
        <v/>
      </c>
      <c r="AC9029" s="16" t="str">
        <f>IFERROR(__xludf.DUMMYFUNCTION("""COMPUTED_VALUE"""),"")</f>
        <v/>
      </c>
    </row>
    <row r="9030">
      <c r="A9030" s="16" t="s">
        <v>87</v>
      </c>
      <c r="E9030" s="16" t="str">
        <f>IFERROR(__xludf.DUMMYFUNCTION("""COMPUTED_VALUE"""),"")</f>
        <v/>
      </c>
      <c r="G9030" s="18"/>
      <c r="H9030" s="16" t="s">
        <v>87</v>
      </c>
      <c r="I9030" s="16" t="s">
        <v>87</v>
      </c>
      <c r="J9030" s="19"/>
      <c r="L9030" s="16" t="str">
        <f>IFERROR(__xludf.DUMMYFUNCTION("""COMPUTED_VALUE"""),"")</f>
        <v/>
      </c>
      <c r="M9030" s="16" t="str">
        <f>IFERROR(__xludf.DUMMYFUNCTION("""COMPUTED_VALUE"""),"")</f>
        <v/>
      </c>
      <c r="U9030" s="16" t="s">
        <v>87</v>
      </c>
      <c r="V9030" s="16" t="str">
        <f>IFERROR(__xludf.DUMMYFUNCTION("""COMPUTED_VALUE"""),"")</f>
        <v/>
      </c>
      <c r="W9030" s="16" t="str">
        <f>IFERROR(__xludf.DUMMYFUNCTION("""COMPUTED_VALUE"""),"")</f>
        <v/>
      </c>
      <c r="X9030" s="16" t="str">
        <f>IFERROR(__xludf.DUMMYFUNCTION("""COMPUTED_VALUE"""),"")</f>
        <v/>
      </c>
      <c r="AC9030" s="16" t="str">
        <f>IFERROR(__xludf.DUMMYFUNCTION("""COMPUTED_VALUE"""),"")</f>
        <v/>
      </c>
    </row>
    <row r="9031">
      <c r="A9031" s="16" t="s">
        <v>87</v>
      </c>
      <c r="E9031" s="16" t="str">
        <f>IFERROR(__xludf.DUMMYFUNCTION("""COMPUTED_VALUE"""),"")</f>
        <v/>
      </c>
      <c r="G9031" s="18"/>
      <c r="H9031" s="16" t="s">
        <v>87</v>
      </c>
      <c r="I9031" s="16" t="s">
        <v>87</v>
      </c>
      <c r="J9031" s="19"/>
      <c r="L9031" s="16" t="str">
        <f>IFERROR(__xludf.DUMMYFUNCTION("""COMPUTED_VALUE"""),"")</f>
        <v/>
      </c>
      <c r="M9031" s="16" t="str">
        <f>IFERROR(__xludf.DUMMYFUNCTION("""COMPUTED_VALUE"""),"")</f>
        <v/>
      </c>
      <c r="U9031" s="16" t="s">
        <v>87</v>
      </c>
      <c r="V9031" s="16" t="str">
        <f>IFERROR(__xludf.DUMMYFUNCTION("""COMPUTED_VALUE"""),"")</f>
        <v/>
      </c>
      <c r="W9031" s="16" t="str">
        <f>IFERROR(__xludf.DUMMYFUNCTION("""COMPUTED_VALUE"""),"")</f>
        <v/>
      </c>
      <c r="X9031" s="16" t="str">
        <f>IFERROR(__xludf.DUMMYFUNCTION("""COMPUTED_VALUE"""),"")</f>
        <v/>
      </c>
      <c r="AC9031" s="16" t="str">
        <f>IFERROR(__xludf.DUMMYFUNCTION("""COMPUTED_VALUE"""),"")</f>
        <v/>
      </c>
    </row>
    <row r="9032">
      <c r="A9032" s="16" t="s">
        <v>87</v>
      </c>
      <c r="E9032" s="16" t="str">
        <f>IFERROR(__xludf.DUMMYFUNCTION("""COMPUTED_VALUE"""),"")</f>
        <v/>
      </c>
      <c r="G9032" s="18"/>
      <c r="H9032" s="16" t="s">
        <v>87</v>
      </c>
      <c r="I9032" s="16" t="s">
        <v>87</v>
      </c>
      <c r="J9032" s="19"/>
      <c r="L9032" s="16" t="str">
        <f>IFERROR(__xludf.DUMMYFUNCTION("""COMPUTED_VALUE"""),"")</f>
        <v/>
      </c>
      <c r="M9032" s="16" t="str">
        <f>IFERROR(__xludf.DUMMYFUNCTION("""COMPUTED_VALUE"""),"")</f>
        <v/>
      </c>
      <c r="U9032" s="16" t="s">
        <v>87</v>
      </c>
      <c r="V9032" s="16" t="str">
        <f>IFERROR(__xludf.DUMMYFUNCTION("""COMPUTED_VALUE"""),"")</f>
        <v/>
      </c>
      <c r="W9032" s="16" t="str">
        <f>IFERROR(__xludf.DUMMYFUNCTION("""COMPUTED_VALUE"""),"")</f>
        <v/>
      </c>
      <c r="X9032" s="16" t="str">
        <f>IFERROR(__xludf.DUMMYFUNCTION("""COMPUTED_VALUE"""),"")</f>
        <v/>
      </c>
      <c r="AC9032" s="16" t="str">
        <f>IFERROR(__xludf.DUMMYFUNCTION("""COMPUTED_VALUE"""),"")</f>
        <v/>
      </c>
    </row>
    <row r="9033">
      <c r="A9033" s="16" t="s">
        <v>87</v>
      </c>
      <c r="E9033" s="16" t="str">
        <f>IFERROR(__xludf.DUMMYFUNCTION("""COMPUTED_VALUE"""),"")</f>
        <v/>
      </c>
      <c r="G9033" s="18"/>
      <c r="H9033" s="16" t="s">
        <v>87</v>
      </c>
      <c r="I9033" s="16" t="s">
        <v>87</v>
      </c>
      <c r="J9033" s="19"/>
      <c r="L9033" s="16" t="str">
        <f>IFERROR(__xludf.DUMMYFUNCTION("""COMPUTED_VALUE"""),"")</f>
        <v/>
      </c>
      <c r="M9033" s="16" t="str">
        <f>IFERROR(__xludf.DUMMYFUNCTION("""COMPUTED_VALUE"""),"")</f>
        <v/>
      </c>
      <c r="U9033" s="16" t="s">
        <v>87</v>
      </c>
      <c r="V9033" s="16" t="str">
        <f>IFERROR(__xludf.DUMMYFUNCTION("""COMPUTED_VALUE"""),"")</f>
        <v/>
      </c>
      <c r="W9033" s="16" t="str">
        <f>IFERROR(__xludf.DUMMYFUNCTION("""COMPUTED_VALUE"""),"")</f>
        <v/>
      </c>
      <c r="X9033" s="16" t="str">
        <f>IFERROR(__xludf.DUMMYFUNCTION("""COMPUTED_VALUE"""),"")</f>
        <v/>
      </c>
      <c r="AC9033" s="16" t="str">
        <f>IFERROR(__xludf.DUMMYFUNCTION("""COMPUTED_VALUE"""),"")</f>
        <v/>
      </c>
    </row>
    <row r="9034">
      <c r="A9034" s="16" t="s">
        <v>87</v>
      </c>
      <c r="E9034" s="16" t="str">
        <f>IFERROR(__xludf.DUMMYFUNCTION("""COMPUTED_VALUE"""),"")</f>
        <v/>
      </c>
      <c r="G9034" s="18"/>
      <c r="H9034" s="16" t="s">
        <v>87</v>
      </c>
      <c r="I9034" s="16" t="s">
        <v>87</v>
      </c>
      <c r="J9034" s="19"/>
      <c r="L9034" s="16" t="str">
        <f>IFERROR(__xludf.DUMMYFUNCTION("""COMPUTED_VALUE"""),"")</f>
        <v/>
      </c>
      <c r="M9034" s="16" t="str">
        <f>IFERROR(__xludf.DUMMYFUNCTION("""COMPUTED_VALUE"""),"")</f>
        <v/>
      </c>
      <c r="U9034" s="16" t="s">
        <v>87</v>
      </c>
      <c r="V9034" s="16" t="str">
        <f>IFERROR(__xludf.DUMMYFUNCTION("""COMPUTED_VALUE"""),"")</f>
        <v/>
      </c>
      <c r="W9034" s="16" t="str">
        <f>IFERROR(__xludf.DUMMYFUNCTION("""COMPUTED_VALUE"""),"")</f>
        <v/>
      </c>
      <c r="X9034" s="16" t="str">
        <f>IFERROR(__xludf.DUMMYFUNCTION("""COMPUTED_VALUE"""),"")</f>
        <v/>
      </c>
      <c r="AC9034" s="16" t="str">
        <f>IFERROR(__xludf.DUMMYFUNCTION("""COMPUTED_VALUE"""),"")</f>
        <v/>
      </c>
    </row>
    <row r="9035">
      <c r="A9035" s="16" t="s">
        <v>87</v>
      </c>
      <c r="E9035" s="16" t="str">
        <f>IFERROR(__xludf.DUMMYFUNCTION("""COMPUTED_VALUE"""),"")</f>
        <v/>
      </c>
      <c r="G9035" s="18"/>
      <c r="H9035" s="16" t="s">
        <v>87</v>
      </c>
      <c r="I9035" s="16" t="s">
        <v>87</v>
      </c>
      <c r="J9035" s="19"/>
      <c r="L9035" s="16" t="str">
        <f>IFERROR(__xludf.DUMMYFUNCTION("""COMPUTED_VALUE"""),"")</f>
        <v/>
      </c>
      <c r="M9035" s="16" t="str">
        <f>IFERROR(__xludf.DUMMYFUNCTION("""COMPUTED_VALUE"""),"")</f>
        <v/>
      </c>
      <c r="U9035" s="16" t="s">
        <v>87</v>
      </c>
      <c r="V9035" s="16" t="str">
        <f>IFERROR(__xludf.DUMMYFUNCTION("""COMPUTED_VALUE"""),"")</f>
        <v/>
      </c>
      <c r="W9035" s="16" t="str">
        <f>IFERROR(__xludf.DUMMYFUNCTION("""COMPUTED_VALUE"""),"")</f>
        <v/>
      </c>
      <c r="X9035" s="16" t="str">
        <f>IFERROR(__xludf.DUMMYFUNCTION("""COMPUTED_VALUE"""),"")</f>
        <v/>
      </c>
      <c r="AC9035" s="16" t="str">
        <f>IFERROR(__xludf.DUMMYFUNCTION("""COMPUTED_VALUE"""),"")</f>
        <v/>
      </c>
    </row>
    <row r="9036">
      <c r="A9036" s="16" t="s">
        <v>87</v>
      </c>
      <c r="E9036" s="16" t="str">
        <f>IFERROR(__xludf.DUMMYFUNCTION("""COMPUTED_VALUE"""),"")</f>
        <v/>
      </c>
      <c r="G9036" s="18"/>
      <c r="H9036" s="16" t="s">
        <v>87</v>
      </c>
      <c r="I9036" s="16" t="s">
        <v>87</v>
      </c>
      <c r="J9036" s="19"/>
      <c r="L9036" s="16" t="str">
        <f>IFERROR(__xludf.DUMMYFUNCTION("""COMPUTED_VALUE"""),"")</f>
        <v/>
      </c>
      <c r="M9036" s="16" t="str">
        <f>IFERROR(__xludf.DUMMYFUNCTION("""COMPUTED_VALUE"""),"")</f>
        <v/>
      </c>
      <c r="U9036" s="16" t="s">
        <v>87</v>
      </c>
      <c r="V9036" s="16" t="str">
        <f>IFERROR(__xludf.DUMMYFUNCTION("""COMPUTED_VALUE"""),"")</f>
        <v/>
      </c>
      <c r="W9036" s="16" t="str">
        <f>IFERROR(__xludf.DUMMYFUNCTION("""COMPUTED_VALUE"""),"")</f>
        <v/>
      </c>
      <c r="X9036" s="16" t="str">
        <f>IFERROR(__xludf.DUMMYFUNCTION("""COMPUTED_VALUE"""),"")</f>
        <v/>
      </c>
      <c r="AC9036" s="16" t="str">
        <f>IFERROR(__xludf.DUMMYFUNCTION("""COMPUTED_VALUE"""),"")</f>
        <v/>
      </c>
    </row>
    <row r="9037">
      <c r="A9037" s="16" t="s">
        <v>87</v>
      </c>
      <c r="E9037" s="16" t="str">
        <f>IFERROR(__xludf.DUMMYFUNCTION("""COMPUTED_VALUE"""),"")</f>
        <v/>
      </c>
      <c r="G9037" s="18"/>
      <c r="H9037" s="16" t="s">
        <v>87</v>
      </c>
      <c r="I9037" s="16" t="s">
        <v>87</v>
      </c>
      <c r="J9037" s="19"/>
      <c r="L9037" s="16" t="str">
        <f>IFERROR(__xludf.DUMMYFUNCTION("""COMPUTED_VALUE"""),"")</f>
        <v/>
      </c>
      <c r="M9037" s="16" t="str">
        <f>IFERROR(__xludf.DUMMYFUNCTION("""COMPUTED_VALUE"""),"")</f>
        <v/>
      </c>
      <c r="U9037" s="16" t="s">
        <v>87</v>
      </c>
      <c r="V9037" s="16" t="str">
        <f>IFERROR(__xludf.DUMMYFUNCTION("""COMPUTED_VALUE"""),"")</f>
        <v/>
      </c>
      <c r="W9037" s="16" t="str">
        <f>IFERROR(__xludf.DUMMYFUNCTION("""COMPUTED_VALUE"""),"")</f>
        <v/>
      </c>
      <c r="X9037" s="16" t="str">
        <f>IFERROR(__xludf.DUMMYFUNCTION("""COMPUTED_VALUE"""),"")</f>
        <v/>
      </c>
      <c r="AC9037" s="16" t="str">
        <f>IFERROR(__xludf.DUMMYFUNCTION("""COMPUTED_VALUE"""),"")</f>
        <v/>
      </c>
    </row>
    <row r="9038">
      <c r="A9038" s="16" t="s">
        <v>87</v>
      </c>
      <c r="E9038" s="16" t="str">
        <f>IFERROR(__xludf.DUMMYFUNCTION("""COMPUTED_VALUE"""),"")</f>
        <v/>
      </c>
      <c r="G9038" s="18"/>
      <c r="H9038" s="16" t="s">
        <v>87</v>
      </c>
      <c r="I9038" s="16" t="s">
        <v>87</v>
      </c>
      <c r="J9038" s="19"/>
      <c r="L9038" s="16" t="str">
        <f>IFERROR(__xludf.DUMMYFUNCTION("""COMPUTED_VALUE"""),"")</f>
        <v/>
      </c>
      <c r="M9038" s="16" t="str">
        <f>IFERROR(__xludf.DUMMYFUNCTION("""COMPUTED_VALUE"""),"")</f>
        <v/>
      </c>
      <c r="U9038" s="16" t="s">
        <v>87</v>
      </c>
      <c r="V9038" s="16" t="str">
        <f>IFERROR(__xludf.DUMMYFUNCTION("""COMPUTED_VALUE"""),"")</f>
        <v/>
      </c>
      <c r="W9038" s="16" t="str">
        <f>IFERROR(__xludf.DUMMYFUNCTION("""COMPUTED_VALUE"""),"")</f>
        <v/>
      </c>
      <c r="X9038" s="16" t="str">
        <f>IFERROR(__xludf.DUMMYFUNCTION("""COMPUTED_VALUE"""),"")</f>
        <v/>
      </c>
      <c r="AC9038" s="16" t="str">
        <f>IFERROR(__xludf.DUMMYFUNCTION("""COMPUTED_VALUE"""),"")</f>
        <v/>
      </c>
    </row>
    <row r="9039">
      <c r="A9039" s="16" t="s">
        <v>87</v>
      </c>
      <c r="E9039" s="16" t="str">
        <f>IFERROR(__xludf.DUMMYFUNCTION("""COMPUTED_VALUE"""),"")</f>
        <v/>
      </c>
      <c r="G9039" s="18"/>
      <c r="H9039" s="16" t="s">
        <v>87</v>
      </c>
      <c r="I9039" s="16" t="s">
        <v>87</v>
      </c>
      <c r="J9039" s="19"/>
      <c r="L9039" s="16" t="str">
        <f>IFERROR(__xludf.DUMMYFUNCTION("""COMPUTED_VALUE"""),"")</f>
        <v/>
      </c>
      <c r="M9039" s="16" t="str">
        <f>IFERROR(__xludf.DUMMYFUNCTION("""COMPUTED_VALUE"""),"")</f>
        <v/>
      </c>
      <c r="U9039" s="16" t="s">
        <v>87</v>
      </c>
      <c r="V9039" s="16" t="str">
        <f>IFERROR(__xludf.DUMMYFUNCTION("""COMPUTED_VALUE"""),"")</f>
        <v/>
      </c>
      <c r="W9039" s="16" t="str">
        <f>IFERROR(__xludf.DUMMYFUNCTION("""COMPUTED_VALUE"""),"")</f>
        <v/>
      </c>
      <c r="X9039" s="16" t="str">
        <f>IFERROR(__xludf.DUMMYFUNCTION("""COMPUTED_VALUE"""),"")</f>
        <v/>
      </c>
      <c r="AC9039" s="16" t="str">
        <f>IFERROR(__xludf.DUMMYFUNCTION("""COMPUTED_VALUE"""),"")</f>
        <v/>
      </c>
    </row>
    <row r="9040">
      <c r="A9040" s="16" t="s">
        <v>87</v>
      </c>
      <c r="E9040" s="16" t="str">
        <f>IFERROR(__xludf.DUMMYFUNCTION("""COMPUTED_VALUE"""),"")</f>
        <v/>
      </c>
      <c r="G9040" s="18"/>
      <c r="H9040" s="16" t="s">
        <v>87</v>
      </c>
      <c r="I9040" s="16" t="s">
        <v>87</v>
      </c>
      <c r="J9040" s="19"/>
      <c r="L9040" s="16" t="str">
        <f>IFERROR(__xludf.DUMMYFUNCTION("""COMPUTED_VALUE"""),"")</f>
        <v/>
      </c>
      <c r="M9040" s="16" t="str">
        <f>IFERROR(__xludf.DUMMYFUNCTION("""COMPUTED_VALUE"""),"")</f>
        <v/>
      </c>
      <c r="U9040" s="16" t="s">
        <v>87</v>
      </c>
      <c r="V9040" s="16" t="str">
        <f>IFERROR(__xludf.DUMMYFUNCTION("""COMPUTED_VALUE"""),"")</f>
        <v/>
      </c>
      <c r="W9040" s="16" t="str">
        <f>IFERROR(__xludf.DUMMYFUNCTION("""COMPUTED_VALUE"""),"")</f>
        <v/>
      </c>
      <c r="X9040" s="16" t="str">
        <f>IFERROR(__xludf.DUMMYFUNCTION("""COMPUTED_VALUE"""),"")</f>
        <v/>
      </c>
      <c r="AC9040" s="16" t="str">
        <f>IFERROR(__xludf.DUMMYFUNCTION("""COMPUTED_VALUE"""),"")</f>
        <v/>
      </c>
    </row>
    <row r="9041">
      <c r="A9041" s="16" t="s">
        <v>87</v>
      </c>
      <c r="E9041" s="16" t="str">
        <f>IFERROR(__xludf.DUMMYFUNCTION("""COMPUTED_VALUE"""),"")</f>
        <v/>
      </c>
      <c r="G9041" s="18"/>
      <c r="H9041" s="16" t="s">
        <v>87</v>
      </c>
      <c r="I9041" s="16" t="s">
        <v>87</v>
      </c>
      <c r="J9041" s="19"/>
      <c r="L9041" s="16" t="str">
        <f>IFERROR(__xludf.DUMMYFUNCTION("""COMPUTED_VALUE"""),"")</f>
        <v/>
      </c>
      <c r="M9041" s="16" t="str">
        <f>IFERROR(__xludf.DUMMYFUNCTION("""COMPUTED_VALUE"""),"")</f>
        <v/>
      </c>
      <c r="U9041" s="16" t="s">
        <v>87</v>
      </c>
      <c r="V9041" s="16" t="str">
        <f>IFERROR(__xludf.DUMMYFUNCTION("""COMPUTED_VALUE"""),"")</f>
        <v/>
      </c>
      <c r="W9041" s="16" t="str">
        <f>IFERROR(__xludf.DUMMYFUNCTION("""COMPUTED_VALUE"""),"")</f>
        <v/>
      </c>
      <c r="X9041" s="16" t="str">
        <f>IFERROR(__xludf.DUMMYFUNCTION("""COMPUTED_VALUE"""),"")</f>
        <v/>
      </c>
      <c r="AC9041" s="16" t="str">
        <f>IFERROR(__xludf.DUMMYFUNCTION("""COMPUTED_VALUE"""),"")</f>
        <v/>
      </c>
    </row>
    <row r="9042">
      <c r="A9042" s="16" t="s">
        <v>87</v>
      </c>
      <c r="E9042" s="16" t="str">
        <f>IFERROR(__xludf.DUMMYFUNCTION("""COMPUTED_VALUE"""),"")</f>
        <v/>
      </c>
      <c r="G9042" s="18"/>
      <c r="H9042" s="16" t="s">
        <v>87</v>
      </c>
      <c r="I9042" s="16" t="s">
        <v>87</v>
      </c>
      <c r="J9042" s="19"/>
      <c r="L9042" s="16" t="str">
        <f>IFERROR(__xludf.DUMMYFUNCTION("""COMPUTED_VALUE"""),"")</f>
        <v/>
      </c>
      <c r="M9042" s="16" t="str">
        <f>IFERROR(__xludf.DUMMYFUNCTION("""COMPUTED_VALUE"""),"")</f>
        <v/>
      </c>
      <c r="U9042" s="16" t="s">
        <v>87</v>
      </c>
      <c r="V9042" s="16" t="str">
        <f>IFERROR(__xludf.DUMMYFUNCTION("""COMPUTED_VALUE"""),"")</f>
        <v/>
      </c>
      <c r="W9042" s="16" t="str">
        <f>IFERROR(__xludf.DUMMYFUNCTION("""COMPUTED_VALUE"""),"")</f>
        <v/>
      </c>
      <c r="X9042" s="16" t="str">
        <f>IFERROR(__xludf.DUMMYFUNCTION("""COMPUTED_VALUE"""),"")</f>
        <v/>
      </c>
      <c r="AC9042" s="16" t="str">
        <f>IFERROR(__xludf.DUMMYFUNCTION("""COMPUTED_VALUE"""),"")</f>
        <v/>
      </c>
    </row>
    <row r="9043">
      <c r="A9043" s="16" t="s">
        <v>87</v>
      </c>
      <c r="E9043" s="16" t="str">
        <f>IFERROR(__xludf.DUMMYFUNCTION("""COMPUTED_VALUE"""),"")</f>
        <v/>
      </c>
      <c r="G9043" s="18"/>
      <c r="H9043" s="16" t="s">
        <v>87</v>
      </c>
      <c r="I9043" s="16" t="s">
        <v>87</v>
      </c>
      <c r="J9043" s="19"/>
      <c r="L9043" s="16" t="str">
        <f>IFERROR(__xludf.DUMMYFUNCTION("""COMPUTED_VALUE"""),"")</f>
        <v/>
      </c>
      <c r="M9043" s="16" t="str">
        <f>IFERROR(__xludf.DUMMYFUNCTION("""COMPUTED_VALUE"""),"")</f>
        <v/>
      </c>
      <c r="U9043" s="16" t="s">
        <v>87</v>
      </c>
      <c r="V9043" s="16" t="str">
        <f>IFERROR(__xludf.DUMMYFUNCTION("""COMPUTED_VALUE"""),"")</f>
        <v/>
      </c>
      <c r="W9043" s="16" t="str">
        <f>IFERROR(__xludf.DUMMYFUNCTION("""COMPUTED_VALUE"""),"")</f>
        <v/>
      </c>
      <c r="X9043" s="16" t="str">
        <f>IFERROR(__xludf.DUMMYFUNCTION("""COMPUTED_VALUE"""),"")</f>
        <v/>
      </c>
      <c r="AC9043" s="16" t="str">
        <f>IFERROR(__xludf.DUMMYFUNCTION("""COMPUTED_VALUE"""),"")</f>
        <v/>
      </c>
    </row>
    <row r="9044">
      <c r="A9044" s="16" t="s">
        <v>87</v>
      </c>
      <c r="E9044" s="16" t="str">
        <f>IFERROR(__xludf.DUMMYFUNCTION("""COMPUTED_VALUE"""),"")</f>
        <v/>
      </c>
      <c r="G9044" s="18"/>
      <c r="H9044" s="16" t="s">
        <v>87</v>
      </c>
      <c r="I9044" s="16" t="s">
        <v>87</v>
      </c>
      <c r="J9044" s="19"/>
      <c r="L9044" s="16" t="str">
        <f>IFERROR(__xludf.DUMMYFUNCTION("""COMPUTED_VALUE"""),"")</f>
        <v/>
      </c>
      <c r="M9044" s="16" t="str">
        <f>IFERROR(__xludf.DUMMYFUNCTION("""COMPUTED_VALUE"""),"")</f>
        <v/>
      </c>
      <c r="U9044" s="16" t="s">
        <v>87</v>
      </c>
      <c r="V9044" s="16" t="str">
        <f>IFERROR(__xludf.DUMMYFUNCTION("""COMPUTED_VALUE"""),"")</f>
        <v/>
      </c>
      <c r="W9044" s="16" t="str">
        <f>IFERROR(__xludf.DUMMYFUNCTION("""COMPUTED_VALUE"""),"")</f>
        <v/>
      </c>
      <c r="X9044" s="16" t="str">
        <f>IFERROR(__xludf.DUMMYFUNCTION("""COMPUTED_VALUE"""),"")</f>
        <v/>
      </c>
      <c r="AC9044" s="16" t="str">
        <f>IFERROR(__xludf.DUMMYFUNCTION("""COMPUTED_VALUE"""),"")</f>
        <v/>
      </c>
    </row>
    <row r="9045">
      <c r="A9045" s="16" t="s">
        <v>87</v>
      </c>
      <c r="E9045" s="16" t="str">
        <f>IFERROR(__xludf.DUMMYFUNCTION("""COMPUTED_VALUE"""),"")</f>
        <v/>
      </c>
      <c r="G9045" s="18"/>
      <c r="H9045" s="16" t="s">
        <v>87</v>
      </c>
      <c r="I9045" s="16" t="s">
        <v>87</v>
      </c>
      <c r="J9045" s="19"/>
      <c r="L9045" s="16" t="str">
        <f>IFERROR(__xludf.DUMMYFUNCTION("""COMPUTED_VALUE"""),"")</f>
        <v/>
      </c>
      <c r="M9045" s="16" t="str">
        <f>IFERROR(__xludf.DUMMYFUNCTION("""COMPUTED_VALUE"""),"")</f>
        <v/>
      </c>
      <c r="U9045" s="16" t="s">
        <v>87</v>
      </c>
      <c r="V9045" s="16" t="str">
        <f>IFERROR(__xludf.DUMMYFUNCTION("""COMPUTED_VALUE"""),"")</f>
        <v/>
      </c>
      <c r="W9045" s="16" t="str">
        <f>IFERROR(__xludf.DUMMYFUNCTION("""COMPUTED_VALUE"""),"")</f>
        <v/>
      </c>
      <c r="X9045" s="16" t="str">
        <f>IFERROR(__xludf.DUMMYFUNCTION("""COMPUTED_VALUE"""),"")</f>
        <v/>
      </c>
      <c r="AC9045" s="16" t="str">
        <f>IFERROR(__xludf.DUMMYFUNCTION("""COMPUTED_VALUE"""),"")</f>
        <v/>
      </c>
    </row>
    <row r="9046">
      <c r="A9046" s="16" t="s">
        <v>87</v>
      </c>
      <c r="E9046" s="16" t="str">
        <f>IFERROR(__xludf.DUMMYFUNCTION("""COMPUTED_VALUE"""),"")</f>
        <v/>
      </c>
      <c r="G9046" s="18"/>
      <c r="H9046" s="16" t="s">
        <v>87</v>
      </c>
      <c r="I9046" s="16" t="s">
        <v>87</v>
      </c>
      <c r="J9046" s="19"/>
      <c r="L9046" s="16" t="str">
        <f>IFERROR(__xludf.DUMMYFUNCTION("""COMPUTED_VALUE"""),"")</f>
        <v/>
      </c>
      <c r="M9046" s="16" t="str">
        <f>IFERROR(__xludf.DUMMYFUNCTION("""COMPUTED_VALUE"""),"")</f>
        <v/>
      </c>
      <c r="U9046" s="16" t="s">
        <v>87</v>
      </c>
      <c r="V9046" s="16" t="str">
        <f>IFERROR(__xludf.DUMMYFUNCTION("""COMPUTED_VALUE"""),"")</f>
        <v/>
      </c>
      <c r="W9046" s="16" t="str">
        <f>IFERROR(__xludf.DUMMYFUNCTION("""COMPUTED_VALUE"""),"")</f>
        <v/>
      </c>
      <c r="X9046" s="16" t="str">
        <f>IFERROR(__xludf.DUMMYFUNCTION("""COMPUTED_VALUE"""),"")</f>
        <v/>
      </c>
      <c r="AC9046" s="16" t="str">
        <f>IFERROR(__xludf.DUMMYFUNCTION("""COMPUTED_VALUE"""),"")</f>
        <v/>
      </c>
    </row>
    <row r="9047">
      <c r="A9047" s="16" t="s">
        <v>87</v>
      </c>
      <c r="E9047" s="16" t="str">
        <f>IFERROR(__xludf.DUMMYFUNCTION("""COMPUTED_VALUE"""),"")</f>
        <v/>
      </c>
      <c r="G9047" s="18"/>
      <c r="H9047" s="16" t="s">
        <v>87</v>
      </c>
      <c r="I9047" s="16" t="s">
        <v>87</v>
      </c>
      <c r="J9047" s="19"/>
      <c r="L9047" s="16" t="str">
        <f>IFERROR(__xludf.DUMMYFUNCTION("""COMPUTED_VALUE"""),"")</f>
        <v/>
      </c>
      <c r="M9047" s="16" t="str">
        <f>IFERROR(__xludf.DUMMYFUNCTION("""COMPUTED_VALUE"""),"")</f>
        <v/>
      </c>
      <c r="U9047" s="16" t="s">
        <v>87</v>
      </c>
      <c r="V9047" s="16" t="str">
        <f>IFERROR(__xludf.DUMMYFUNCTION("""COMPUTED_VALUE"""),"")</f>
        <v/>
      </c>
      <c r="W9047" s="16" t="str">
        <f>IFERROR(__xludf.DUMMYFUNCTION("""COMPUTED_VALUE"""),"")</f>
        <v/>
      </c>
      <c r="X9047" s="16" t="str">
        <f>IFERROR(__xludf.DUMMYFUNCTION("""COMPUTED_VALUE"""),"")</f>
        <v/>
      </c>
      <c r="AC9047" s="16" t="str">
        <f>IFERROR(__xludf.DUMMYFUNCTION("""COMPUTED_VALUE"""),"")</f>
        <v/>
      </c>
    </row>
    <row r="9048">
      <c r="A9048" s="16" t="s">
        <v>87</v>
      </c>
      <c r="E9048" s="16" t="str">
        <f>IFERROR(__xludf.DUMMYFUNCTION("""COMPUTED_VALUE"""),"")</f>
        <v/>
      </c>
      <c r="G9048" s="18"/>
      <c r="H9048" s="16" t="s">
        <v>87</v>
      </c>
      <c r="I9048" s="16" t="s">
        <v>87</v>
      </c>
      <c r="J9048" s="19"/>
      <c r="L9048" s="16" t="str">
        <f>IFERROR(__xludf.DUMMYFUNCTION("""COMPUTED_VALUE"""),"")</f>
        <v/>
      </c>
      <c r="M9048" s="16" t="str">
        <f>IFERROR(__xludf.DUMMYFUNCTION("""COMPUTED_VALUE"""),"")</f>
        <v/>
      </c>
      <c r="U9048" s="16" t="s">
        <v>87</v>
      </c>
      <c r="V9048" s="16" t="str">
        <f>IFERROR(__xludf.DUMMYFUNCTION("""COMPUTED_VALUE"""),"")</f>
        <v/>
      </c>
      <c r="W9048" s="16" t="str">
        <f>IFERROR(__xludf.DUMMYFUNCTION("""COMPUTED_VALUE"""),"")</f>
        <v/>
      </c>
      <c r="X9048" s="16" t="str">
        <f>IFERROR(__xludf.DUMMYFUNCTION("""COMPUTED_VALUE"""),"")</f>
        <v/>
      </c>
      <c r="AC9048" s="16" t="str">
        <f>IFERROR(__xludf.DUMMYFUNCTION("""COMPUTED_VALUE"""),"")</f>
        <v/>
      </c>
    </row>
    <row r="9049">
      <c r="A9049" s="16" t="s">
        <v>87</v>
      </c>
      <c r="E9049" s="16" t="str">
        <f>IFERROR(__xludf.DUMMYFUNCTION("""COMPUTED_VALUE"""),"")</f>
        <v/>
      </c>
      <c r="G9049" s="18"/>
      <c r="H9049" s="16" t="s">
        <v>87</v>
      </c>
      <c r="I9049" s="16" t="s">
        <v>87</v>
      </c>
      <c r="J9049" s="19"/>
      <c r="L9049" s="16" t="str">
        <f>IFERROR(__xludf.DUMMYFUNCTION("""COMPUTED_VALUE"""),"")</f>
        <v/>
      </c>
      <c r="M9049" s="16" t="str">
        <f>IFERROR(__xludf.DUMMYFUNCTION("""COMPUTED_VALUE"""),"")</f>
        <v/>
      </c>
      <c r="U9049" s="16" t="s">
        <v>87</v>
      </c>
      <c r="V9049" s="16" t="str">
        <f>IFERROR(__xludf.DUMMYFUNCTION("""COMPUTED_VALUE"""),"")</f>
        <v/>
      </c>
      <c r="W9049" s="16" t="str">
        <f>IFERROR(__xludf.DUMMYFUNCTION("""COMPUTED_VALUE"""),"")</f>
        <v/>
      </c>
      <c r="X9049" s="16" t="str">
        <f>IFERROR(__xludf.DUMMYFUNCTION("""COMPUTED_VALUE"""),"")</f>
        <v/>
      </c>
      <c r="AC9049" s="16" t="str">
        <f>IFERROR(__xludf.DUMMYFUNCTION("""COMPUTED_VALUE"""),"")</f>
        <v/>
      </c>
    </row>
    <row r="9050">
      <c r="A9050" s="16" t="s">
        <v>87</v>
      </c>
      <c r="E9050" s="16" t="str">
        <f>IFERROR(__xludf.DUMMYFUNCTION("""COMPUTED_VALUE"""),"")</f>
        <v/>
      </c>
      <c r="G9050" s="18"/>
      <c r="H9050" s="16" t="s">
        <v>87</v>
      </c>
      <c r="I9050" s="16" t="s">
        <v>87</v>
      </c>
      <c r="J9050" s="19"/>
      <c r="L9050" s="16" t="str">
        <f>IFERROR(__xludf.DUMMYFUNCTION("""COMPUTED_VALUE"""),"")</f>
        <v/>
      </c>
      <c r="M9050" s="16" t="str">
        <f>IFERROR(__xludf.DUMMYFUNCTION("""COMPUTED_VALUE"""),"")</f>
        <v/>
      </c>
      <c r="U9050" s="16" t="s">
        <v>87</v>
      </c>
      <c r="V9050" s="16" t="str">
        <f>IFERROR(__xludf.DUMMYFUNCTION("""COMPUTED_VALUE"""),"")</f>
        <v/>
      </c>
      <c r="W9050" s="16" t="str">
        <f>IFERROR(__xludf.DUMMYFUNCTION("""COMPUTED_VALUE"""),"")</f>
        <v/>
      </c>
      <c r="X9050" s="16" t="str">
        <f>IFERROR(__xludf.DUMMYFUNCTION("""COMPUTED_VALUE"""),"")</f>
        <v/>
      </c>
      <c r="AC9050" s="16" t="str">
        <f>IFERROR(__xludf.DUMMYFUNCTION("""COMPUTED_VALUE"""),"")</f>
        <v/>
      </c>
    </row>
    <row r="9051">
      <c r="A9051" s="16" t="s">
        <v>87</v>
      </c>
      <c r="E9051" s="16" t="str">
        <f>IFERROR(__xludf.DUMMYFUNCTION("""COMPUTED_VALUE"""),"")</f>
        <v/>
      </c>
      <c r="G9051" s="18"/>
      <c r="H9051" s="16" t="s">
        <v>87</v>
      </c>
      <c r="I9051" s="16" t="s">
        <v>87</v>
      </c>
      <c r="J9051" s="19"/>
      <c r="L9051" s="16" t="str">
        <f>IFERROR(__xludf.DUMMYFUNCTION("""COMPUTED_VALUE"""),"")</f>
        <v/>
      </c>
      <c r="M9051" s="16" t="str">
        <f>IFERROR(__xludf.DUMMYFUNCTION("""COMPUTED_VALUE"""),"")</f>
        <v/>
      </c>
      <c r="U9051" s="16" t="s">
        <v>87</v>
      </c>
      <c r="V9051" s="16" t="str">
        <f>IFERROR(__xludf.DUMMYFUNCTION("""COMPUTED_VALUE"""),"")</f>
        <v/>
      </c>
      <c r="W9051" s="16" t="str">
        <f>IFERROR(__xludf.DUMMYFUNCTION("""COMPUTED_VALUE"""),"")</f>
        <v/>
      </c>
      <c r="X9051" s="16" t="str">
        <f>IFERROR(__xludf.DUMMYFUNCTION("""COMPUTED_VALUE"""),"")</f>
        <v/>
      </c>
      <c r="AC9051" s="16" t="str">
        <f>IFERROR(__xludf.DUMMYFUNCTION("""COMPUTED_VALUE"""),"")</f>
        <v/>
      </c>
    </row>
    <row r="9052">
      <c r="A9052" s="16" t="s">
        <v>87</v>
      </c>
      <c r="E9052" s="16" t="str">
        <f>IFERROR(__xludf.DUMMYFUNCTION("""COMPUTED_VALUE"""),"")</f>
        <v/>
      </c>
      <c r="G9052" s="18"/>
      <c r="H9052" s="16" t="s">
        <v>87</v>
      </c>
      <c r="I9052" s="16" t="s">
        <v>87</v>
      </c>
      <c r="J9052" s="19"/>
      <c r="L9052" s="16" t="str">
        <f>IFERROR(__xludf.DUMMYFUNCTION("""COMPUTED_VALUE"""),"")</f>
        <v/>
      </c>
      <c r="M9052" s="16" t="str">
        <f>IFERROR(__xludf.DUMMYFUNCTION("""COMPUTED_VALUE"""),"")</f>
        <v/>
      </c>
      <c r="U9052" s="16" t="s">
        <v>87</v>
      </c>
      <c r="V9052" s="16" t="str">
        <f>IFERROR(__xludf.DUMMYFUNCTION("""COMPUTED_VALUE"""),"")</f>
        <v/>
      </c>
      <c r="W9052" s="16" t="str">
        <f>IFERROR(__xludf.DUMMYFUNCTION("""COMPUTED_VALUE"""),"")</f>
        <v/>
      </c>
      <c r="X9052" s="16" t="str">
        <f>IFERROR(__xludf.DUMMYFUNCTION("""COMPUTED_VALUE"""),"")</f>
        <v/>
      </c>
      <c r="AC9052" s="16" t="str">
        <f>IFERROR(__xludf.DUMMYFUNCTION("""COMPUTED_VALUE"""),"")</f>
        <v/>
      </c>
    </row>
    <row r="9053">
      <c r="A9053" s="16" t="s">
        <v>87</v>
      </c>
      <c r="E9053" s="16" t="str">
        <f>IFERROR(__xludf.DUMMYFUNCTION("""COMPUTED_VALUE"""),"")</f>
        <v/>
      </c>
      <c r="G9053" s="18"/>
      <c r="H9053" s="16" t="s">
        <v>87</v>
      </c>
      <c r="I9053" s="16" t="s">
        <v>87</v>
      </c>
      <c r="J9053" s="19"/>
      <c r="L9053" s="16" t="str">
        <f>IFERROR(__xludf.DUMMYFUNCTION("""COMPUTED_VALUE"""),"")</f>
        <v/>
      </c>
      <c r="M9053" s="16" t="str">
        <f>IFERROR(__xludf.DUMMYFUNCTION("""COMPUTED_VALUE"""),"")</f>
        <v/>
      </c>
      <c r="U9053" s="16" t="s">
        <v>87</v>
      </c>
      <c r="V9053" s="16" t="str">
        <f>IFERROR(__xludf.DUMMYFUNCTION("""COMPUTED_VALUE"""),"")</f>
        <v/>
      </c>
      <c r="W9053" s="16" t="str">
        <f>IFERROR(__xludf.DUMMYFUNCTION("""COMPUTED_VALUE"""),"")</f>
        <v/>
      </c>
      <c r="X9053" s="16" t="str">
        <f>IFERROR(__xludf.DUMMYFUNCTION("""COMPUTED_VALUE"""),"")</f>
        <v/>
      </c>
      <c r="AC9053" s="16" t="str">
        <f>IFERROR(__xludf.DUMMYFUNCTION("""COMPUTED_VALUE"""),"")</f>
        <v/>
      </c>
    </row>
    <row r="9054">
      <c r="A9054" s="16" t="s">
        <v>87</v>
      </c>
      <c r="E9054" s="16" t="str">
        <f>IFERROR(__xludf.DUMMYFUNCTION("""COMPUTED_VALUE"""),"")</f>
        <v/>
      </c>
      <c r="G9054" s="18"/>
      <c r="H9054" s="16" t="s">
        <v>87</v>
      </c>
      <c r="I9054" s="16" t="s">
        <v>87</v>
      </c>
      <c r="J9054" s="19"/>
      <c r="L9054" s="16" t="str">
        <f>IFERROR(__xludf.DUMMYFUNCTION("""COMPUTED_VALUE"""),"")</f>
        <v/>
      </c>
      <c r="M9054" s="16" t="str">
        <f>IFERROR(__xludf.DUMMYFUNCTION("""COMPUTED_VALUE"""),"")</f>
        <v/>
      </c>
      <c r="U9054" s="16" t="s">
        <v>87</v>
      </c>
      <c r="V9054" s="16" t="str">
        <f>IFERROR(__xludf.DUMMYFUNCTION("""COMPUTED_VALUE"""),"")</f>
        <v/>
      </c>
      <c r="W9054" s="16" t="str">
        <f>IFERROR(__xludf.DUMMYFUNCTION("""COMPUTED_VALUE"""),"")</f>
        <v/>
      </c>
      <c r="X9054" s="16" t="str">
        <f>IFERROR(__xludf.DUMMYFUNCTION("""COMPUTED_VALUE"""),"")</f>
        <v/>
      </c>
      <c r="AC9054" s="16" t="str">
        <f>IFERROR(__xludf.DUMMYFUNCTION("""COMPUTED_VALUE"""),"")</f>
        <v/>
      </c>
    </row>
    <row r="9055">
      <c r="A9055" s="16" t="s">
        <v>87</v>
      </c>
      <c r="E9055" s="16" t="str">
        <f>IFERROR(__xludf.DUMMYFUNCTION("""COMPUTED_VALUE"""),"")</f>
        <v/>
      </c>
      <c r="G9055" s="18"/>
      <c r="H9055" s="16" t="s">
        <v>87</v>
      </c>
      <c r="I9055" s="16" t="s">
        <v>87</v>
      </c>
      <c r="J9055" s="19"/>
      <c r="L9055" s="16" t="str">
        <f>IFERROR(__xludf.DUMMYFUNCTION("""COMPUTED_VALUE"""),"")</f>
        <v/>
      </c>
      <c r="M9055" s="16" t="str">
        <f>IFERROR(__xludf.DUMMYFUNCTION("""COMPUTED_VALUE"""),"")</f>
        <v/>
      </c>
      <c r="U9055" s="16" t="s">
        <v>87</v>
      </c>
      <c r="V9055" s="16" t="str">
        <f>IFERROR(__xludf.DUMMYFUNCTION("""COMPUTED_VALUE"""),"")</f>
        <v/>
      </c>
      <c r="W9055" s="16" t="str">
        <f>IFERROR(__xludf.DUMMYFUNCTION("""COMPUTED_VALUE"""),"")</f>
        <v/>
      </c>
      <c r="X9055" s="16" t="str">
        <f>IFERROR(__xludf.DUMMYFUNCTION("""COMPUTED_VALUE"""),"")</f>
        <v/>
      </c>
      <c r="AC9055" s="16" t="str">
        <f>IFERROR(__xludf.DUMMYFUNCTION("""COMPUTED_VALUE"""),"")</f>
        <v/>
      </c>
    </row>
    <row r="9056">
      <c r="A9056" s="16" t="s">
        <v>87</v>
      </c>
      <c r="E9056" s="16" t="str">
        <f>IFERROR(__xludf.DUMMYFUNCTION("""COMPUTED_VALUE"""),"")</f>
        <v/>
      </c>
      <c r="G9056" s="18"/>
      <c r="H9056" s="16" t="s">
        <v>87</v>
      </c>
      <c r="I9056" s="16" t="s">
        <v>87</v>
      </c>
      <c r="J9056" s="19"/>
      <c r="L9056" s="16" t="str">
        <f>IFERROR(__xludf.DUMMYFUNCTION("""COMPUTED_VALUE"""),"")</f>
        <v/>
      </c>
      <c r="M9056" s="16" t="str">
        <f>IFERROR(__xludf.DUMMYFUNCTION("""COMPUTED_VALUE"""),"")</f>
        <v/>
      </c>
      <c r="U9056" s="16" t="s">
        <v>87</v>
      </c>
      <c r="V9056" s="16" t="str">
        <f>IFERROR(__xludf.DUMMYFUNCTION("""COMPUTED_VALUE"""),"")</f>
        <v/>
      </c>
      <c r="W9056" s="16" t="str">
        <f>IFERROR(__xludf.DUMMYFUNCTION("""COMPUTED_VALUE"""),"")</f>
        <v/>
      </c>
      <c r="X9056" s="16" t="str">
        <f>IFERROR(__xludf.DUMMYFUNCTION("""COMPUTED_VALUE"""),"")</f>
        <v/>
      </c>
      <c r="AC9056" s="16" t="str">
        <f>IFERROR(__xludf.DUMMYFUNCTION("""COMPUTED_VALUE"""),"")</f>
        <v/>
      </c>
    </row>
    <row r="9057">
      <c r="A9057" s="16" t="s">
        <v>87</v>
      </c>
      <c r="E9057" s="16" t="str">
        <f>IFERROR(__xludf.DUMMYFUNCTION("""COMPUTED_VALUE"""),"")</f>
        <v/>
      </c>
      <c r="G9057" s="18"/>
      <c r="H9057" s="16" t="s">
        <v>87</v>
      </c>
      <c r="I9057" s="16" t="s">
        <v>87</v>
      </c>
      <c r="J9057" s="19"/>
      <c r="L9057" s="16" t="str">
        <f>IFERROR(__xludf.DUMMYFUNCTION("""COMPUTED_VALUE"""),"")</f>
        <v/>
      </c>
      <c r="M9057" s="16" t="str">
        <f>IFERROR(__xludf.DUMMYFUNCTION("""COMPUTED_VALUE"""),"")</f>
        <v/>
      </c>
      <c r="U9057" s="16" t="s">
        <v>87</v>
      </c>
      <c r="V9057" s="16" t="str">
        <f>IFERROR(__xludf.DUMMYFUNCTION("""COMPUTED_VALUE"""),"")</f>
        <v/>
      </c>
      <c r="W9057" s="16" t="str">
        <f>IFERROR(__xludf.DUMMYFUNCTION("""COMPUTED_VALUE"""),"")</f>
        <v/>
      </c>
      <c r="X9057" s="16" t="str">
        <f>IFERROR(__xludf.DUMMYFUNCTION("""COMPUTED_VALUE"""),"")</f>
        <v/>
      </c>
      <c r="AC9057" s="16" t="str">
        <f>IFERROR(__xludf.DUMMYFUNCTION("""COMPUTED_VALUE"""),"")</f>
        <v/>
      </c>
    </row>
    <row r="9058">
      <c r="A9058" s="16" t="s">
        <v>87</v>
      </c>
      <c r="E9058" s="16" t="str">
        <f>IFERROR(__xludf.DUMMYFUNCTION("""COMPUTED_VALUE"""),"")</f>
        <v/>
      </c>
      <c r="G9058" s="18"/>
      <c r="H9058" s="16" t="s">
        <v>87</v>
      </c>
      <c r="I9058" s="16" t="s">
        <v>87</v>
      </c>
      <c r="J9058" s="19"/>
      <c r="L9058" s="16" t="str">
        <f>IFERROR(__xludf.DUMMYFUNCTION("""COMPUTED_VALUE"""),"")</f>
        <v/>
      </c>
      <c r="M9058" s="16" t="str">
        <f>IFERROR(__xludf.DUMMYFUNCTION("""COMPUTED_VALUE"""),"")</f>
        <v/>
      </c>
      <c r="U9058" s="16" t="s">
        <v>87</v>
      </c>
      <c r="V9058" s="16" t="str">
        <f>IFERROR(__xludf.DUMMYFUNCTION("""COMPUTED_VALUE"""),"")</f>
        <v/>
      </c>
      <c r="W9058" s="16" t="str">
        <f>IFERROR(__xludf.DUMMYFUNCTION("""COMPUTED_VALUE"""),"")</f>
        <v/>
      </c>
      <c r="X9058" s="16" t="str">
        <f>IFERROR(__xludf.DUMMYFUNCTION("""COMPUTED_VALUE"""),"")</f>
        <v/>
      </c>
      <c r="AC9058" s="16" t="str">
        <f>IFERROR(__xludf.DUMMYFUNCTION("""COMPUTED_VALUE"""),"")</f>
        <v/>
      </c>
    </row>
    <row r="9059">
      <c r="A9059" s="16" t="s">
        <v>87</v>
      </c>
      <c r="E9059" s="16" t="str">
        <f>IFERROR(__xludf.DUMMYFUNCTION("""COMPUTED_VALUE"""),"")</f>
        <v/>
      </c>
      <c r="G9059" s="18"/>
      <c r="H9059" s="16" t="s">
        <v>87</v>
      </c>
      <c r="I9059" s="16" t="s">
        <v>87</v>
      </c>
      <c r="J9059" s="19"/>
      <c r="L9059" s="16" t="str">
        <f>IFERROR(__xludf.DUMMYFUNCTION("""COMPUTED_VALUE"""),"")</f>
        <v/>
      </c>
      <c r="M9059" s="16" t="str">
        <f>IFERROR(__xludf.DUMMYFUNCTION("""COMPUTED_VALUE"""),"")</f>
        <v/>
      </c>
      <c r="U9059" s="16" t="s">
        <v>87</v>
      </c>
      <c r="V9059" s="16" t="str">
        <f>IFERROR(__xludf.DUMMYFUNCTION("""COMPUTED_VALUE"""),"")</f>
        <v/>
      </c>
      <c r="W9059" s="16" t="str">
        <f>IFERROR(__xludf.DUMMYFUNCTION("""COMPUTED_VALUE"""),"")</f>
        <v/>
      </c>
      <c r="X9059" s="16" t="str">
        <f>IFERROR(__xludf.DUMMYFUNCTION("""COMPUTED_VALUE"""),"")</f>
        <v/>
      </c>
      <c r="AC9059" s="16" t="str">
        <f>IFERROR(__xludf.DUMMYFUNCTION("""COMPUTED_VALUE"""),"")</f>
        <v/>
      </c>
    </row>
    <row r="9060">
      <c r="A9060" s="16" t="s">
        <v>87</v>
      </c>
      <c r="E9060" s="16" t="str">
        <f>IFERROR(__xludf.DUMMYFUNCTION("""COMPUTED_VALUE"""),"")</f>
        <v/>
      </c>
      <c r="G9060" s="18"/>
      <c r="H9060" s="16" t="s">
        <v>87</v>
      </c>
      <c r="I9060" s="16" t="s">
        <v>87</v>
      </c>
      <c r="J9060" s="19"/>
      <c r="L9060" s="16" t="str">
        <f>IFERROR(__xludf.DUMMYFUNCTION("""COMPUTED_VALUE"""),"")</f>
        <v/>
      </c>
      <c r="M9060" s="16" t="str">
        <f>IFERROR(__xludf.DUMMYFUNCTION("""COMPUTED_VALUE"""),"")</f>
        <v/>
      </c>
      <c r="U9060" s="16" t="s">
        <v>87</v>
      </c>
      <c r="V9060" s="16" t="str">
        <f>IFERROR(__xludf.DUMMYFUNCTION("""COMPUTED_VALUE"""),"")</f>
        <v/>
      </c>
      <c r="W9060" s="16" t="str">
        <f>IFERROR(__xludf.DUMMYFUNCTION("""COMPUTED_VALUE"""),"")</f>
        <v/>
      </c>
      <c r="X9060" s="16" t="str">
        <f>IFERROR(__xludf.DUMMYFUNCTION("""COMPUTED_VALUE"""),"")</f>
        <v/>
      </c>
      <c r="AC9060" s="16" t="str">
        <f>IFERROR(__xludf.DUMMYFUNCTION("""COMPUTED_VALUE"""),"")</f>
        <v/>
      </c>
    </row>
    <row r="9061">
      <c r="A9061" s="16" t="s">
        <v>87</v>
      </c>
      <c r="E9061" s="16" t="str">
        <f>IFERROR(__xludf.DUMMYFUNCTION("""COMPUTED_VALUE"""),"")</f>
        <v/>
      </c>
      <c r="G9061" s="18"/>
      <c r="H9061" s="16" t="s">
        <v>87</v>
      </c>
      <c r="I9061" s="16" t="s">
        <v>87</v>
      </c>
      <c r="J9061" s="19"/>
      <c r="L9061" s="16" t="str">
        <f>IFERROR(__xludf.DUMMYFUNCTION("""COMPUTED_VALUE"""),"")</f>
        <v/>
      </c>
      <c r="M9061" s="16" t="str">
        <f>IFERROR(__xludf.DUMMYFUNCTION("""COMPUTED_VALUE"""),"")</f>
        <v/>
      </c>
      <c r="U9061" s="16" t="s">
        <v>87</v>
      </c>
      <c r="V9061" s="16" t="str">
        <f>IFERROR(__xludf.DUMMYFUNCTION("""COMPUTED_VALUE"""),"")</f>
        <v/>
      </c>
      <c r="W9061" s="16" t="str">
        <f>IFERROR(__xludf.DUMMYFUNCTION("""COMPUTED_VALUE"""),"")</f>
        <v/>
      </c>
      <c r="X9061" s="16" t="str">
        <f>IFERROR(__xludf.DUMMYFUNCTION("""COMPUTED_VALUE"""),"")</f>
        <v/>
      </c>
      <c r="AC9061" s="16" t="str">
        <f>IFERROR(__xludf.DUMMYFUNCTION("""COMPUTED_VALUE"""),"")</f>
        <v/>
      </c>
    </row>
    <row r="9062">
      <c r="A9062" s="16" t="s">
        <v>87</v>
      </c>
      <c r="E9062" s="16" t="str">
        <f>IFERROR(__xludf.DUMMYFUNCTION("""COMPUTED_VALUE"""),"")</f>
        <v/>
      </c>
      <c r="G9062" s="18"/>
      <c r="H9062" s="16" t="s">
        <v>87</v>
      </c>
      <c r="I9062" s="16" t="s">
        <v>87</v>
      </c>
      <c r="J9062" s="19"/>
      <c r="L9062" s="16" t="str">
        <f>IFERROR(__xludf.DUMMYFUNCTION("""COMPUTED_VALUE"""),"")</f>
        <v/>
      </c>
      <c r="M9062" s="16" t="str">
        <f>IFERROR(__xludf.DUMMYFUNCTION("""COMPUTED_VALUE"""),"")</f>
        <v/>
      </c>
      <c r="U9062" s="16" t="s">
        <v>87</v>
      </c>
      <c r="V9062" s="16" t="str">
        <f>IFERROR(__xludf.DUMMYFUNCTION("""COMPUTED_VALUE"""),"")</f>
        <v/>
      </c>
      <c r="W9062" s="16" t="str">
        <f>IFERROR(__xludf.DUMMYFUNCTION("""COMPUTED_VALUE"""),"")</f>
        <v/>
      </c>
      <c r="X9062" s="16" t="str">
        <f>IFERROR(__xludf.DUMMYFUNCTION("""COMPUTED_VALUE"""),"")</f>
        <v/>
      </c>
      <c r="AC9062" s="16" t="str">
        <f>IFERROR(__xludf.DUMMYFUNCTION("""COMPUTED_VALUE"""),"")</f>
        <v/>
      </c>
    </row>
    <row r="9063">
      <c r="A9063" s="16" t="s">
        <v>87</v>
      </c>
      <c r="E9063" s="16" t="str">
        <f>IFERROR(__xludf.DUMMYFUNCTION("""COMPUTED_VALUE"""),"")</f>
        <v/>
      </c>
      <c r="G9063" s="18"/>
      <c r="H9063" s="16" t="s">
        <v>87</v>
      </c>
      <c r="I9063" s="16" t="s">
        <v>87</v>
      </c>
      <c r="J9063" s="19"/>
      <c r="L9063" s="16" t="str">
        <f>IFERROR(__xludf.DUMMYFUNCTION("""COMPUTED_VALUE"""),"")</f>
        <v/>
      </c>
      <c r="M9063" s="16" t="str">
        <f>IFERROR(__xludf.DUMMYFUNCTION("""COMPUTED_VALUE"""),"")</f>
        <v/>
      </c>
      <c r="U9063" s="16" t="s">
        <v>87</v>
      </c>
      <c r="V9063" s="16" t="str">
        <f>IFERROR(__xludf.DUMMYFUNCTION("""COMPUTED_VALUE"""),"")</f>
        <v/>
      </c>
      <c r="W9063" s="16" t="str">
        <f>IFERROR(__xludf.DUMMYFUNCTION("""COMPUTED_VALUE"""),"")</f>
        <v/>
      </c>
      <c r="X9063" s="16" t="str">
        <f>IFERROR(__xludf.DUMMYFUNCTION("""COMPUTED_VALUE"""),"")</f>
        <v/>
      </c>
      <c r="AC9063" s="16" t="str">
        <f>IFERROR(__xludf.DUMMYFUNCTION("""COMPUTED_VALUE"""),"")</f>
        <v/>
      </c>
    </row>
    <row r="9064">
      <c r="A9064" s="16" t="s">
        <v>87</v>
      </c>
      <c r="E9064" s="16" t="str">
        <f>IFERROR(__xludf.DUMMYFUNCTION("""COMPUTED_VALUE"""),"")</f>
        <v/>
      </c>
      <c r="G9064" s="18"/>
      <c r="H9064" s="16" t="s">
        <v>87</v>
      </c>
      <c r="I9064" s="16" t="s">
        <v>87</v>
      </c>
      <c r="J9064" s="19"/>
      <c r="L9064" s="16" t="str">
        <f>IFERROR(__xludf.DUMMYFUNCTION("""COMPUTED_VALUE"""),"")</f>
        <v/>
      </c>
      <c r="M9064" s="16" t="str">
        <f>IFERROR(__xludf.DUMMYFUNCTION("""COMPUTED_VALUE"""),"")</f>
        <v/>
      </c>
      <c r="U9064" s="16" t="s">
        <v>87</v>
      </c>
      <c r="V9064" s="16" t="str">
        <f>IFERROR(__xludf.DUMMYFUNCTION("""COMPUTED_VALUE"""),"")</f>
        <v/>
      </c>
      <c r="W9064" s="16" t="str">
        <f>IFERROR(__xludf.DUMMYFUNCTION("""COMPUTED_VALUE"""),"")</f>
        <v/>
      </c>
      <c r="X9064" s="16" t="str">
        <f>IFERROR(__xludf.DUMMYFUNCTION("""COMPUTED_VALUE"""),"")</f>
        <v/>
      </c>
      <c r="AC9064" s="16" t="str">
        <f>IFERROR(__xludf.DUMMYFUNCTION("""COMPUTED_VALUE"""),"")</f>
        <v/>
      </c>
    </row>
    <row r="9065">
      <c r="A9065" s="16" t="s">
        <v>87</v>
      </c>
      <c r="E9065" s="16" t="str">
        <f>IFERROR(__xludf.DUMMYFUNCTION("""COMPUTED_VALUE"""),"")</f>
        <v/>
      </c>
      <c r="G9065" s="18"/>
      <c r="H9065" s="16" t="s">
        <v>87</v>
      </c>
      <c r="I9065" s="16" t="s">
        <v>87</v>
      </c>
      <c r="J9065" s="19"/>
      <c r="L9065" s="16" t="str">
        <f>IFERROR(__xludf.DUMMYFUNCTION("""COMPUTED_VALUE"""),"")</f>
        <v/>
      </c>
      <c r="M9065" s="16" t="str">
        <f>IFERROR(__xludf.DUMMYFUNCTION("""COMPUTED_VALUE"""),"")</f>
        <v/>
      </c>
      <c r="U9065" s="16" t="s">
        <v>87</v>
      </c>
      <c r="V9065" s="16" t="str">
        <f>IFERROR(__xludf.DUMMYFUNCTION("""COMPUTED_VALUE"""),"")</f>
        <v/>
      </c>
      <c r="W9065" s="16" t="str">
        <f>IFERROR(__xludf.DUMMYFUNCTION("""COMPUTED_VALUE"""),"")</f>
        <v/>
      </c>
      <c r="X9065" s="16" t="str">
        <f>IFERROR(__xludf.DUMMYFUNCTION("""COMPUTED_VALUE"""),"")</f>
        <v/>
      </c>
      <c r="AC9065" s="16" t="str">
        <f>IFERROR(__xludf.DUMMYFUNCTION("""COMPUTED_VALUE"""),"")</f>
        <v/>
      </c>
    </row>
    <row r="9066">
      <c r="A9066" s="16" t="s">
        <v>87</v>
      </c>
      <c r="E9066" s="16" t="str">
        <f>IFERROR(__xludf.DUMMYFUNCTION("""COMPUTED_VALUE"""),"")</f>
        <v/>
      </c>
      <c r="G9066" s="18"/>
      <c r="H9066" s="16" t="s">
        <v>87</v>
      </c>
      <c r="I9066" s="16" t="s">
        <v>87</v>
      </c>
      <c r="J9066" s="19"/>
      <c r="L9066" s="16" t="str">
        <f>IFERROR(__xludf.DUMMYFUNCTION("""COMPUTED_VALUE"""),"")</f>
        <v/>
      </c>
      <c r="M9066" s="16" t="str">
        <f>IFERROR(__xludf.DUMMYFUNCTION("""COMPUTED_VALUE"""),"")</f>
        <v/>
      </c>
      <c r="U9066" s="16" t="s">
        <v>87</v>
      </c>
      <c r="V9066" s="16" t="str">
        <f>IFERROR(__xludf.DUMMYFUNCTION("""COMPUTED_VALUE"""),"")</f>
        <v/>
      </c>
      <c r="W9066" s="16" t="str">
        <f>IFERROR(__xludf.DUMMYFUNCTION("""COMPUTED_VALUE"""),"")</f>
        <v/>
      </c>
      <c r="X9066" s="16" t="str">
        <f>IFERROR(__xludf.DUMMYFUNCTION("""COMPUTED_VALUE"""),"")</f>
        <v/>
      </c>
      <c r="AC9066" s="16" t="str">
        <f>IFERROR(__xludf.DUMMYFUNCTION("""COMPUTED_VALUE"""),"")</f>
        <v/>
      </c>
    </row>
    <row r="9067">
      <c r="A9067" s="16" t="s">
        <v>87</v>
      </c>
      <c r="E9067" s="16" t="str">
        <f>IFERROR(__xludf.DUMMYFUNCTION("""COMPUTED_VALUE"""),"")</f>
        <v/>
      </c>
      <c r="G9067" s="18"/>
      <c r="H9067" s="16" t="s">
        <v>87</v>
      </c>
      <c r="I9067" s="16" t="s">
        <v>87</v>
      </c>
      <c r="J9067" s="19"/>
      <c r="L9067" s="16" t="str">
        <f>IFERROR(__xludf.DUMMYFUNCTION("""COMPUTED_VALUE"""),"")</f>
        <v/>
      </c>
      <c r="M9067" s="16" t="str">
        <f>IFERROR(__xludf.DUMMYFUNCTION("""COMPUTED_VALUE"""),"")</f>
        <v/>
      </c>
      <c r="U9067" s="16" t="s">
        <v>87</v>
      </c>
      <c r="V9067" s="16" t="str">
        <f>IFERROR(__xludf.DUMMYFUNCTION("""COMPUTED_VALUE"""),"")</f>
        <v/>
      </c>
      <c r="W9067" s="16" t="str">
        <f>IFERROR(__xludf.DUMMYFUNCTION("""COMPUTED_VALUE"""),"")</f>
        <v/>
      </c>
      <c r="X9067" s="16" t="str">
        <f>IFERROR(__xludf.DUMMYFUNCTION("""COMPUTED_VALUE"""),"")</f>
        <v/>
      </c>
      <c r="AC9067" s="16" t="str">
        <f>IFERROR(__xludf.DUMMYFUNCTION("""COMPUTED_VALUE"""),"")</f>
        <v/>
      </c>
    </row>
    <row r="9068">
      <c r="A9068" s="16" t="s">
        <v>87</v>
      </c>
      <c r="E9068" s="16" t="str">
        <f>IFERROR(__xludf.DUMMYFUNCTION("""COMPUTED_VALUE"""),"")</f>
        <v/>
      </c>
      <c r="G9068" s="18"/>
      <c r="H9068" s="16" t="s">
        <v>87</v>
      </c>
      <c r="I9068" s="16" t="s">
        <v>87</v>
      </c>
      <c r="J9068" s="19"/>
      <c r="L9068" s="16" t="str">
        <f>IFERROR(__xludf.DUMMYFUNCTION("""COMPUTED_VALUE"""),"")</f>
        <v/>
      </c>
      <c r="M9068" s="16" t="str">
        <f>IFERROR(__xludf.DUMMYFUNCTION("""COMPUTED_VALUE"""),"")</f>
        <v/>
      </c>
      <c r="U9068" s="16" t="s">
        <v>87</v>
      </c>
      <c r="V9068" s="16" t="str">
        <f>IFERROR(__xludf.DUMMYFUNCTION("""COMPUTED_VALUE"""),"")</f>
        <v/>
      </c>
      <c r="W9068" s="16" t="str">
        <f>IFERROR(__xludf.DUMMYFUNCTION("""COMPUTED_VALUE"""),"")</f>
        <v/>
      </c>
      <c r="X9068" s="16" t="str">
        <f>IFERROR(__xludf.DUMMYFUNCTION("""COMPUTED_VALUE"""),"")</f>
        <v/>
      </c>
      <c r="AC9068" s="16" t="str">
        <f>IFERROR(__xludf.DUMMYFUNCTION("""COMPUTED_VALUE"""),"")</f>
        <v/>
      </c>
    </row>
    <row r="9069">
      <c r="A9069" s="16" t="s">
        <v>87</v>
      </c>
      <c r="E9069" s="16" t="str">
        <f>IFERROR(__xludf.DUMMYFUNCTION("""COMPUTED_VALUE"""),"")</f>
        <v/>
      </c>
      <c r="G9069" s="18"/>
      <c r="H9069" s="16" t="s">
        <v>87</v>
      </c>
      <c r="I9069" s="16" t="s">
        <v>87</v>
      </c>
      <c r="J9069" s="19"/>
      <c r="L9069" s="16" t="str">
        <f>IFERROR(__xludf.DUMMYFUNCTION("""COMPUTED_VALUE"""),"")</f>
        <v/>
      </c>
      <c r="M9069" s="16" t="str">
        <f>IFERROR(__xludf.DUMMYFUNCTION("""COMPUTED_VALUE"""),"")</f>
        <v/>
      </c>
      <c r="U9069" s="16" t="s">
        <v>87</v>
      </c>
      <c r="V9069" s="16" t="str">
        <f>IFERROR(__xludf.DUMMYFUNCTION("""COMPUTED_VALUE"""),"")</f>
        <v/>
      </c>
      <c r="W9069" s="16" t="str">
        <f>IFERROR(__xludf.DUMMYFUNCTION("""COMPUTED_VALUE"""),"")</f>
        <v/>
      </c>
      <c r="X9069" s="16" t="str">
        <f>IFERROR(__xludf.DUMMYFUNCTION("""COMPUTED_VALUE"""),"")</f>
        <v/>
      </c>
      <c r="AC9069" s="16" t="str">
        <f>IFERROR(__xludf.DUMMYFUNCTION("""COMPUTED_VALUE"""),"")</f>
        <v/>
      </c>
    </row>
    <row r="9070">
      <c r="A9070" s="16" t="s">
        <v>87</v>
      </c>
      <c r="E9070" s="16" t="str">
        <f>IFERROR(__xludf.DUMMYFUNCTION("""COMPUTED_VALUE"""),"")</f>
        <v/>
      </c>
      <c r="G9070" s="18"/>
      <c r="H9070" s="16" t="s">
        <v>87</v>
      </c>
      <c r="I9070" s="16" t="s">
        <v>87</v>
      </c>
      <c r="J9070" s="19"/>
      <c r="L9070" s="16" t="str">
        <f>IFERROR(__xludf.DUMMYFUNCTION("""COMPUTED_VALUE"""),"")</f>
        <v/>
      </c>
      <c r="M9070" s="16" t="str">
        <f>IFERROR(__xludf.DUMMYFUNCTION("""COMPUTED_VALUE"""),"")</f>
        <v/>
      </c>
      <c r="U9070" s="16" t="s">
        <v>87</v>
      </c>
      <c r="V9070" s="16" t="str">
        <f>IFERROR(__xludf.DUMMYFUNCTION("""COMPUTED_VALUE"""),"")</f>
        <v/>
      </c>
      <c r="W9070" s="16" t="str">
        <f>IFERROR(__xludf.DUMMYFUNCTION("""COMPUTED_VALUE"""),"")</f>
        <v/>
      </c>
      <c r="X9070" s="16" t="str">
        <f>IFERROR(__xludf.DUMMYFUNCTION("""COMPUTED_VALUE"""),"")</f>
        <v/>
      </c>
      <c r="AC9070" s="16" t="str">
        <f>IFERROR(__xludf.DUMMYFUNCTION("""COMPUTED_VALUE"""),"")</f>
        <v/>
      </c>
    </row>
    <row r="9071">
      <c r="A9071" s="16" t="s">
        <v>87</v>
      </c>
      <c r="E9071" s="16" t="str">
        <f>IFERROR(__xludf.DUMMYFUNCTION("""COMPUTED_VALUE"""),"")</f>
        <v/>
      </c>
      <c r="G9071" s="18"/>
      <c r="H9071" s="16" t="s">
        <v>87</v>
      </c>
      <c r="I9071" s="16" t="s">
        <v>87</v>
      </c>
      <c r="J9071" s="19"/>
      <c r="L9071" s="16" t="str">
        <f>IFERROR(__xludf.DUMMYFUNCTION("""COMPUTED_VALUE"""),"")</f>
        <v/>
      </c>
      <c r="M9071" s="16" t="str">
        <f>IFERROR(__xludf.DUMMYFUNCTION("""COMPUTED_VALUE"""),"")</f>
        <v/>
      </c>
      <c r="U9071" s="16" t="s">
        <v>87</v>
      </c>
      <c r="V9071" s="16" t="str">
        <f>IFERROR(__xludf.DUMMYFUNCTION("""COMPUTED_VALUE"""),"")</f>
        <v/>
      </c>
      <c r="W9071" s="16" t="str">
        <f>IFERROR(__xludf.DUMMYFUNCTION("""COMPUTED_VALUE"""),"")</f>
        <v/>
      </c>
      <c r="X9071" s="16" t="str">
        <f>IFERROR(__xludf.DUMMYFUNCTION("""COMPUTED_VALUE"""),"")</f>
        <v/>
      </c>
      <c r="AC9071" s="16" t="str">
        <f>IFERROR(__xludf.DUMMYFUNCTION("""COMPUTED_VALUE"""),"")</f>
        <v/>
      </c>
    </row>
    <row r="9072">
      <c r="A9072" s="16" t="s">
        <v>87</v>
      </c>
      <c r="E9072" s="16" t="str">
        <f>IFERROR(__xludf.DUMMYFUNCTION("""COMPUTED_VALUE"""),"")</f>
        <v/>
      </c>
      <c r="G9072" s="18"/>
      <c r="H9072" s="16" t="s">
        <v>87</v>
      </c>
      <c r="I9072" s="16" t="s">
        <v>87</v>
      </c>
      <c r="J9072" s="19"/>
      <c r="L9072" s="16" t="str">
        <f>IFERROR(__xludf.DUMMYFUNCTION("""COMPUTED_VALUE"""),"")</f>
        <v/>
      </c>
      <c r="M9072" s="16" t="str">
        <f>IFERROR(__xludf.DUMMYFUNCTION("""COMPUTED_VALUE"""),"")</f>
        <v/>
      </c>
      <c r="U9072" s="16" t="s">
        <v>87</v>
      </c>
      <c r="V9072" s="16" t="str">
        <f>IFERROR(__xludf.DUMMYFUNCTION("""COMPUTED_VALUE"""),"")</f>
        <v/>
      </c>
      <c r="W9072" s="16" t="str">
        <f>IFERROR(__xludf.DUMMYFUNCTION("""COMPUTED_VALUE"""),"")</f>
        <v/>
      </c>
      <c r="X9072" s="16" t="str">
        <f>IFERROR(__xludf.DUMMYFUNCTION("""COMPUTED_VALUE"""),"")</f>
        <v/>
      </c>
      <c r="AC9072" s="16" t="str">
        <f>IFERROR(__xludf.DUMMYFUNCTION("""COMPUTED_VALUE"""),"")</f>
        <v/>
      </c>
    </row>
    <row r="9073">
      <c r="A9073" s="16" t="s">
        <v>87</v>
      </c>
      <c r="E9073" s="16" t="str">
        <f>IFERROR(__xludf.DUMMYFUNCTION("""COMPUTED_VALUE"""),"")</f>
        <v/>
      </c>
      <c r="G9073" s="18"/>
      <c r="H9073" s="16" t="s">
        <v>87</v>
      </c>
      <c r="I9073" s="16" t="s">
        <v>87</v>
      </c>
      <c r="J9073" s="19"/>
      <c r="L9073" s="16" t="str">
        <f>IFERROR(__xludf.DUMMYFUNCTION("""COMPUTED_VALUE"""),"")</f>
        <v/>
      </c>
      <c r="M9073" s="16" t="str">
        <f>IFERROR(__xludf.DUMMYFUNCTION("""COMPUTED_VALUE"""),"")</f>
        <v/>
      </c>
      <c r="U9073" s="16" t="s">
        <v>87</v>
      </c>
      <c r="V9073" s="16" t="str">
        <f>IFERROR(__xludf.DUMMYFUNCTION("""COMPUTED_VALUE"""),"")</f>
        <v/>
      </c>
      <c r="W9073" s="16" t="str">
        <f>IFERROR(__xludf.DUMMYFUNCTION("""COMPUTED_VALUE"""),"")</f>
        <v/>
      </c>
      <c r="X9073" s="16" t="str">
        <f>IFERROR(__xludf.DUMMYFUNCTION("""COMPUTED_VALUE"""),"")</f>
        <v/>
      </c>
      <c r="AC9073" s="16" t="str">
        <f>IFERROR(__xludf.DUMMYFUNCTION("""COMPUTED_VALUE"""),"")</f>
        <v/>
      </c>
    </row>
    <row r="9074">
      <c r="A9074" s="16" t="s">
        <v>87</v>
      </c>
      <c r="E9074" s="16" t="str">
        <f>IFERROR(__xludf.DUMMYFUNCTION("""COMPUTED_VALUE"""),"")</f>
        <v/>
      </c>
      <c r="G9074" s="18"/>
      <c r="H9074" s="16" t="s">
        <v>87</v>
      </c>
      <c r="I9074" s="16" t="s">
        <v>87</v>
      </c>
      <c r="J9074" s="19"/>
      <c r="L9074" s="16" t="str">
        <f>IFERROR(__xludf.DUMMYFUNCTION("""COMPUTED_VALUE"""),"")</f>
        <v/>
      </c>
      <c r="M9074" s="16" t="str">
        <f>IFERROR(__xludf.DUMMYFUNCTION("""COMPUTED_VALUE"""),"")</f>
        <v/>
      </c>
      <c r="U9074" s="16" t="s">
        <v>87</v>
      </c>
      <c r="V9074" s="16" t="str">
        <f>IFERROR(__xludf.DUMMYFUNCTION("""COMPUTED_VALUE"""),"")</f>
        <v/>
      </c>
      <c r="W9074" s="16" t="str">
        <f>IFERROR(__xludf.DUMMYFUNCTION("""COMPUTED_VALUE"""),"")</f>
        <v/>
      </c>
      <c r="X9074" s="16" t="str">
        <f>IFERROR(__xludf.DUMMYFUNCTION("""COMPUTED_VALUE"""),"")</f>
        <v/>
      </c>
      <c r="AC9074" s="16" t="str">
        <f>IFERROR(__xludf.DUMMYFUNCTION("""COMPUTED_VALUE"""),"")</f>
        <v/>
      </c>
    </row>
    <row r="9075">
      <c r="A9075" s="16" t="s">
        <v>87</v>
      </c>
      <c r="E9075" s="16" t="str">
        <f>IFERROR(__xludf.DUMMYFUNCTION("""COMPUTED_VALUE"""),"")</f>
        <v/>
      </c>
      <c r="G9075" s="18"/>
      <c r="H9075" s="16" t="s">
        <v>87</v>
      </c>
      <c r="I9075" s="16" t="s">
        <v>87</v>
      </c>
      <c r="J9075" s="19"/>
      <c r="L9075" s="16" t="str">
        <f>IFERROR(__xludf.DUMMYFUNCTION("""COMPUTED_VALUE"""),"")</f>
        <v/>
      </c>
      <c r="M9075" s="16" t="str">
        <f>IFERROR(__xludf.DUMMYFUNCTION("""COMPUTED_VALUE"""),"")</f>
        <v/>
      </c>
      <c r="U9075" s="16" t="s">
        <v>87</v>
      </c>
      <c r="V9075" s="16" t="str">
        <f>IFERROR(__xludf.DUMMYFUNCTION("""COMPUTED_VALUE"""),"")</f>
        <v/>
      </c>
      <c r="W9075" s="16" t="str">
        <f>IFERROR(__xludf.DUMMYFUNCTION("""COMPUTED_VALUE"""),"")</f>
        <v/>
      </c>
      <c r="X9075" s="16" t="str">
        <f>IFERROR(__xludf.DUMMYFUNCTION("""COMPUTED_VALUE"""),"")</f>
        <v/>
      </c>
      <c r="AC9075" s="16" t="str">
        <f>IFERROR(__xludf.DUMMYFUNCTION("""COMPUTED_VALUE"""),"")</f>
        <v/>
      </c>
    </row>
    <row r="9076">
      <c r="A9076" s="16" t="s">
        <v>87</v>
      </c>
      <c r="E9076" s="16" t="str">
        <f>IFERROR(__xludf.DUMMYFUNCTION("""COMPUTED_VALUE"""),"")</f>
        <v/>
      </c>
      <c r="G9076" s="18"/>
      <c r="H9076" s="16" t="s">
        <v>87</v>
      </c>
      <c r="I9076" s="16" t="s">
        <v>87</v>
      </c>
      <c r="J9076" s="19"/>
      <c r="L9076" s="16" t="str">
        <f>IFERROR(__xludf.DUMMYFUNCTION("""COMPUTED_VALUE"""),"")</f>
        <v/>
      </c>
      <c r="M9076" s="16" t="str">
        <f>IFERROR(__xludf.DUMMYFUNCTION("""COMPUTED_VALUE"""),"")</f>
        <v/>
      </c>
      <c r="U9076" s="16" t="s">
        <v>87</v>
      </c>
      <c r="V9076" s="16" t="str">
        <f>IFERROR(__xludf.DUMMYFUNCTION("""COMPUTED_VALUE"""),"")</f>
        <v/>
      </c>
      <c r="W9076" s="16" t="str">
        <f>IFERROR(__xludf.DUMMYFUNCTION("""COMPUTED_VALUE"""),"")</f>
        <v/>
      </c>
      <c r="X9076" s="16" t="str">
        <f>IFERROR(__xludf.DUMMYFUNCTION("""COMPUTED_VALUE"""),"")</f>
        <v/>
      </c>
      <c r="AC9076" s="16" t="str">
        <f>IFERROR(__xludf.DUMMYFUNCTION("""COMPUTED_VALUE"""),"")</f>
        <v/>
      </c>
    </row>
    <row r="9077">
      <c r="A9077" s="16" t="s">
        <v>87</v>
      </c>
      <c r="E9077" s="16" t="str">
        <f>IFERROR(__xludf.DUMMYFUNCTION("""COMPUTED_VALUE"""),"")</f>
        <v/>
      </c>
      <c r="G9077" s="18"/>
      <c r="H9077" s="16" t="s">
        <v>87</v>
      </c>
      <c r="I9077" s="16" t="s">
        <v>87</v>
      </c>
      <c r="J9077" s="19"/>
      <c r="L9077" s="16" t="str">
        <f>IFERROR(__xludf.DUMMYFUNCTION("""COMPUTED_VALUE"""),"")</f>
        <v/>
      </c>
      <c r="M9077" s="16" t="str">
        <f>IFERROR(__xludf.DUMMYFUNCTION("""COMPUTED_VALUE"""),"")</f>
        <v/>
      </c>
      <c r="U9077" s="16" t="s">
        <v>87</v>
      </c>
      <c r="V9077" s="16" t="str">
        <f>IFERROR(__xludf.DUMMYFUNCTION("""COMPUTED_VALUE"""),"")</f>
        <v/>
      </c>
      <c r="W9077" s="16" t="str">
        <f>IFERROR(__xludf.DUMMYFUNCTION("""COMPUTED_VALUE"""),"")</f>
        <v/>
      </c>
      <c r="X9077" s="16" t="str">
        <f>IFERROR(__xludf.DUMMYFUNCTION("""COMPUTED_VALUE"""),"")</f>
        <v/>
      </c>
      <c r="AC9077" s="16" t="str">
        <f>IFERROR(__xludf.DUMMYFUNCTION("""COMPUTED_VALUE"""),"")</f>
        <v/>
      </c>
    </row>
    <row r="9078">
      <c r="A9078" s="16" t="s">
        <v>87</v>
      </c>
      <c r="E9078" s="16" t="str">
        <f>IFERROR(__xludf.DUMMYFUNCTION("""COMPUTED_VALUE"""),"")</f>
        <v/>
      </c>
      <c r="G9078" s="18"/>
      <c r="H9078" s="16" t="s">
        <v>87</v>
      </c>
      <c r="I9078" s="16" t="s">
        <v>87</v>
      </c>
      <c r="J9078" s="19"/>
      <c r="L9078" s="16" t="str">
        <f>IFERROR(__xludf.DUMMYFUNCTION("""COMPUTED_VALUE"""),"")</f>
        <v/>
      </c>
      <c r="M9078" s="16" t="str">
        <f>IFERROR(__xludf.DUMMYFUNCTION("""COMPUTED_VALUE"""),"")</f>
        <v/>
      </c>
      <c r="U9078" s="16" t="s">
        <v>87</v>
      </c>
      <c r="V9078" s="16" t="str">
        <f>IFERROR(__xludf.DUMMYFUNCTION("""COMPUTED_VALUE"""),"")</f>
        <v/>
      </c>
      <c r="W9078" s="16" t="str">
        <f>IFERROR(__xludf.DUMMYFUNCTION("""COMPUTED_VALUE"""),"")</f>
        <v/>
      </c>
      <c r="X9078" s="16" t="str">
        <f>IFERROR(__xludf.DUMMYFUNCTION("""COMPUTED_VALUE"""),"")</f>
        <v/>
      </c>
      <c r="AC9078" s="16" t="str">
        <f>IFERROR(__xludf.DUMMYFUNCTION("""COMPUTED_VALUE"""),"")</f>
        <v/>
      </c>
    </row>
    <row r="9079">
      <c r="A9079" s="16" t="s">
        <v>87</v>
      </c>
      <c r="E9079" s="16" t="str">
        <f>IFERROR(__xludf.DUMMYFUNCTION("""COMPUTED_VALUE"""),"")</f>
        <v/>
      </c>
      <c r="G9079" s="18"/>
      <c r="H9079" s="16" t="s">
        <v>87</v>
      </c>
      <c r="I9079" s="16" t="s">
        <v>87</v>
      </c>
      <c r="J9079" s="19"/>
      <c r="L9079" s="16" t="str">
        <f>IFERROR(__xludf.DUMMYFUNCTION("""COMPUTED_VALUE"""),"")</f>
        <v/>
      </c>
      <c r="M9079" s="16" t="str">
        <f>IFERROR(__xludf.DUMMYFUNCTION("""COMPUTED_VALUE"""),"")</f>
        <v/>
      </c>
      <c r="U9079" s="16" t="s">
        <v>87</v>
      </c>
      <c r="V9079" s="16" t="str">
        <f>IFERROR(__xludf.DUMMYFUNCTION("""COMPUTED_VALUE"""),"")</f>
        <v/>
      </c>
      <c r="W9079" s="16" t="str">
        <f>IFERROR(__xludf.DUMMYFUNCTION("""COMPUTED_VALUE"""),"")</f>
        <v/>
      </c>
      <c r="X9079" s="16" t="str">
        <f>IFERROR(__xludf.DUMMYFUNCTION("""COMPUTED_VALUE"""),"")</f>
        <v/>
      </c>
      <c r="AC9079" s="16" t="str">
        <f>IFERROR(__xludf.DUMMYFUNCTION("""COMPUTED_VALUE"""),"")</f>
        <v/>
      </c>
    </row>
    <row r="9080">
      <c r="A9080" s="16" t="s">
        <v>87</v>
      </c>
      <c r="E9080" s="16" t="str">
        <f>IFERROR(__xludf.DUMMYFUNCTION("""COMPUTED_VALUE"""),"")</f>
        <v/>
      </c>
      <c r="G9080" s="18"/>
      <c r="H9080" s="16" t="s">
        <v>87</v>
      </c>
      <c r="I9080" s="16" t="s">
        <v>87</v>
      </c>
      <c r="J9080" s="19"/>
      <c r="L9080" s="16" t="str">
        <f>IFERROR(__xludf.DUMMYFUNCTION("""COMPUTED_VALUE"""),"")</f>
        <v/>
      </c>
      <c r="M9080" s="16" t="str">
        <f>IFERROR(__xludf.DUMMYFUNCTION("""COMPUTED_VALUE"""),"")</f>
        <v/>
      </c>
      <c r="U9080" s="16" t="s">
        <v>87</v>
      </c>
      <c r="V9080" s="16" t="str">
        <f>IFERROR(__xludf.DUMMYFUNCTION("""COMPUTED_VALUE"""),"")</f>
        <v/>
      </c>
      <c r="W9080" s="16" t="str">
        <f>IFERROR(__xludf.DUMMYFUNCTION("""COMPUTED_VALUE"""),"")</f>
        <v/>
      </c>
      <c r="X9080" s="16" t="str">
        <f>IFERROR(__xludf.DUMMYFUNCTION("""COMPUTED_VALUE"""),"")</f>
        <v/>
      </c>
      <c r="AC9080" s="16" t="str">
        <f>IFERROR(__xludf.DUMMYFUNCTION("""COMPUTED_VALUE"""),"")</f>
        <v/>
      </c>
    </row>
    <row r="9081">
      <c r="A9081" s="16" t="s">
        <v>87</v>
      </c>
      <c r="E9081" s="16" t="str">
        <f>IFERROR(__xludf.DUMMYFUNCTION("""COMPUTED_VALUE"""),"")</f>
        <v/>
      </c>
      <c r="G9081" s="18"/>
      <c r="H9081" s="16" t="s">
        <v>87</v>
      </c>
      <c r="I9081" s="16" t="s">
        <v>87</v>
      </c>
      <c r="J9081" s="19"/>
      <c r="L9081" s="16" t="str">
        <f>IFERROR(__xludf.DUMMYFUNCTION("""COMPUTED_VALUE"""),"")</f>
        <v/>
      </c>
      <c r="M9081" s="16" t="str">
        <f>IFERROR(__xludf.DUMMYFUNCTION("""COMPUTED_VALUE"""),"")</f>
        <v/>
      </c>
      <c r="U9081" s="16" t="s">
        <v>87</v>
      </c>
      <c r="V9081" s="16" t="str">
        <f>IFERROR(__xludf.DUMMYFUNCTION("""COMPUTED_VALUE"""),"")</f>
        <v/>
      </c>
      <c r="W9081" s="16" t="str">
        <f>IFERROR(__xludf.DUMMYFUNCTION("""COMPUTED_VALUE"""),"")</f>
        <v/>
      </c>
      <c r="X9081" s="16" t="str">
        <f>IFERROR(__xludf.DUMMYFUNCTION("""COMPUTED_VALUE"""),"")</f>
        <v/>
      </c>
      <c r="AC9081" s="16" t="str">
        <f>IFERROR(__xludf.DUMMYFUNCTION("""COMPUTED_VALUE"""),"")</f>
        <v/>
      </c>
    </row>
    <row r="9082">
      <c r="A9082" s="16" t="s">
        <v>87</v>
      </c>
      <c r="E9082" s="16" t="str">
        <f>IFERROR(__xludf.DUMMYFUNCTION("""COMPUTED_VALUE"""),"")</f>
        <v/>
      </c>
      <c r="G9082" s="18"/>
      <c r="H9082" s="16" t="s">
        <v>87</v>
      </c>
      <c r="I9082" s="16" t="s">
        <v>87</v>
      </c>
      <c r="J9082" s="19"/>
      <c r="L9082" s="16" t="str">
        <f>IFERROR(__xludf.DUMMYFUNCTION("""COMPUTED_VALUE"""),"")</f>
        <v/>
      </c>
      <c r="M9082" s="16" t="str">
        <f>IFERROR(__xludf.DUMMYFUNCTION("""COMPUTED_VALUE"""),"")</f>
        <v/>
      </c>
      <c r="U9082" s="16" t="s">
        <v>87</v>
      </c>
      <c r="V9082" s="16" t="str">
        <f>IFERROR(__xludf.DUMMYFUNCTION("""COMPUTED_VALUE"""),"")</f>
        <v/>
      </c>
      <c r="W9082" s="16" t="str">
        <f>IFERROR(__xludf.DUMMYFUNCTION("""COMPUTED_VALUE"""),"")</f>
        <v/>
      </c>
      <c r="X9082" s="16" t="str">
        <f>IFERROR(__xludf.DUMMYFUNCTION("""COMPUTED_VALUE"""),"")</f>
        <v/>
      </c>
      <c r="AC9082" s="16" t="str">
        <f>IFERROR(__xludf.DUMMYFUNCTION("""COMPUTED_VALUE"""),"")</f>
        <v/>
      </c>
    </row>
    <row r="9083">
      <c r="A9083" s="16" t="s">
        <v>87</v>
      </c>
      <c r="E9083" s="16" t="str">
        <f>IFERROR(__xludf.DUMMYFUNCTION("""COMPUTED_VALUE"""),"")</f>
        <v/>
      </c>
      <c r="G9083" s="18"/>
      <c r="H9083" s="16" t="s">
        <v>87</v>
      </c>
      <c r="I9083" s="16" t="s">
        <v>87</v>
      </c>
      <c r="J9083" s="19"/>
      <c r="L9083" s="16" t="str">
        <f>IFERROR(__xludf.DUMMYFUNCTION("""COMPUTED_VALUE"""),"")</f>
        <v/>
      </c>
      <c r="M9083" s="16" t="str">
        <f>IFERROR(__xludf.DUMMYFUNCTION("""COMPUTED_VALUE"""),"")</f>
        <v/>
      </c>
      <c r="U9083" s="16" t="s">
        <v>87</v>
      </c>
      <c r="V9083" s="16" t="str">
        <f>IFERROR(__xludf.DUMMYFUNCTION("""COMPUTED_VALUE"""),"")</f>
        <v/>
      </c>
      <c r="W9083" s="16" t="str">
        <f>IFERROR(__xludf.DUMMYFUNCTION("""COMPUTED_VALUE"""),"")</f>
        <v/>
      </c>
      <c r="X9083" s="16" t="str">
        <f>IFERROR(__xludf.DUMMYFUNCTION("""COMPUTED_VALUE"""),"")</f>
        <v/>
      </c>
      <c r="AC9083" s="16" t="str">
        <f>IFERROR(__xludf.DUMMYFUNCTION("""COMPUTED_VALUE"""),"")</f>
        <v/>
      </c>
    </row>
    <row r="9084">
      <c r="A9084" s="16" t="s">
        <v>87</v>
      </c>
      <c r="E9084" s="16" t="str">
        <f>IFERROR(__xludf.DUMMYFUNCTION("""COMPUTED_VALUE"""),"")</f>
        <v/>
      </c>
      <c r="G9084" s="18"/>
      <c r="H9084" s="16" t="s">
        <v>87</v>
      </c>
      <c r="I9084" s="16" t="s">
        <v>87</v>
      </c>
      <c r="J9084" s="19"/>
      <c r="L9084" s="16" t="str">
        <f>IFERROR(__xludf.DUMMYFUNCTION("""COMPUTED_VALUE"""),"")</f>
        <v/>
      </c>
      <c r="M9084" s="16" t="str">
        <f>IFERROR(__xludf.DUMMYFUNCTION("""COMPUTED_VALUE"""),"")</f>
        <v/>
      </c>
      <c r="U9084" s="16" t="s">
        <v>87</v>
      </c>
      <c r="V9084" s="16" t="str">
        <f>IFERROR(__xludf.DUMMYFUNCTION("""COMPUTED_VALUE"""),"")</f>
        <v/>
      </c>
      <c r="W9084" s="16" t="str">
        <f>IFERROR(__xludf.DUMMYFUNCTION("""COMPUTED_VALUE"""),"")</f>
        <v/>
      </c>
      <c r="X9084" s="16" t="str">
        <f>IFERROR(__xludf.DUMMYFUNCTION("""COMPUTED_VALUE"""),"")</f>
        <v/>
      </c>
      <c r="AC9084" s="16" t="str">
        <f>IFERROR(__xludf.DUMMYFUNCTION("""COMPUTED_VALUE"""),"")</f>
        <v/>
      </c>
    </row>
    <row r="9085">
      <c r="A9085" s="16" t="s">
        <v>87</v>
      </c>
      <c r="E9085" s="16" t="str">
        <f>IFERROR(__xludf.DUMMYFUNCTION("""COMPUTED_VALUE"""),"")</f>
        <v/>
      </c>
      <c r="G9085" s="18"/>
      <c r="H9085" s="16" t="s">
        <v>87</v>
      </c>
      <c r="I9085" s="16" t="s">
        <v>87</v>
      </c>
      <c r="J9085" s="19"/>
      <c r="L9085" s="16" t="str">
        <f>IFERROR(__xludf.DUMMYFUNCTION("""COMPUTED_VALUE"""),"")</f>
        <v/>
      </c>
      <c r="M9085" s="16" t="str">
        <f>IFERROR(__xludf.DUMMYFUNCTION("""COMPUTED_VALUE"""),"")</f>
        <v/>
      </c>
      <c r="U9085" s="16" t="s">
        <v>87</v>
      </c>
      <c r="V9085" s="16" t="str">
        <f>IFERROR(__xludf.DUMMYFUNCTION("""COMPUTED_VALUE"""),"")</f>
        <v/>
      </c>
      <c r="W9085" s="16" t="str">
        <f>IFERROR(__xludf.DUMMYFUNCTION("""COMPUTED_VALUE"""),"")</f>
        <v/>
      </c>
      <c r="X9085" s="16" t="str">
        <f>IFERROR(__xludf.DUMMYFUNCTION("""COMPUTED_VALUE"""),"")</f>
        <v/>
      </c>
      <c r="AC9085" s="16" t="str">
        <f>IFERROR(__xludf.DUMMYFUNCTION("""COMPUTED_VALUE"""),"")</f>
        <v/>
      </c>
    </row>
    <row r="9086">
      <c r="A9086" s="16" t="s">
        <v>87</v>
      </c>
      <c r="E9086" s="16" t="str">
        <f>IFERROR(__xludf.DUMMYFUNCTION("""COMPUTED_VALUE"""),"")</f>
        <v/>
      </c>
      <c r="G9086" s="18"/>
      <c r="H9086" s="16" t="s">
        <v>87</v>
      </c>
      <c r="I9086" s="16" t="s">
        <v>87</v>
      </c>
      <c r="J9086" s="19"/>
      <c r="L9086" s="16" t="str">
        <f>IFERROR(__xludf.DUMMYFUNCTION("""COMPUTED_VALUE"""),"")</f>
        <v/>
      </c>
      <c r="M9086" s="16" t="str">
        <f>IFERROR(__xludf.DUMMYFUNCTION("""COMPUTED_VALUE"""),"")</f>
        <v/>
      </c>
      <c r="U9086" s="16" t="s">
        <v>87</v>
      </c>
      <c r="V9086" s="16" t="str">
        <f>IFERROR(__xludf.DUMMYFUNCTION("""COMPUTED_VALUE"""),"")</f>
        <v/>
      </c>
      <c r="W9086" s="16" t="str">
        <f>IFERROR(__xludf.DUMMYFUNCTION("""COMPUTED_VALUE"""),"")</f>
        <v/>
      </c>
      <c r="X9086" s="16" t="str">
        <f>IFERROR(__xludf.DUMMYFUNCTION("""COMPUTED_VALUE"""),"")</f>
        <v/>
      </c>
      <c r="AC9086" s="16" t="str">
        <f>IFERROR(__xludf.DUMMYFUNCTION("""COMPUTED_VALUE"""),"")</f>
        <v/>
      </c>
    </row>
    <row r="9087">
      <c r="A9087" s="16" t="s">
        <v>87</v>
      </c>
      <c r="E9087" s="16" t="str">
        <f>IFERROR(__xludf.DUMMYFUNCTION("""COMPUTED_VALUE"""),"")</f>
        <v/>
      </c>
      <c r="G9087" s="18"/>
      <c r="H9087" s="16" t="s">
        <v>87</v>
      </c>
      <c r="I9087" s="16" t="s">
        <v>87</v>
      </c>
      <c r="J9087" s="19"/>
      <c r="L9087" s="16" t="str">
        <f>IFERROR(__xludf.DUMMYFUNCTION("""COMPUTED_VALUE"""),"")</f>
        <v/>
      </c>
      <c r="M9087" s="16" t="str">
        <f>IFERROR(__xludf.DUMMYFUNCTION("""COMPUTED_VALUE"""),"")</f>
        <v/>
      </c>
      <c r="U9087" s="16" t="s">
        <v>87</v>
      </c>
      <c r="V9087" s="16" t="str">
        <f>IFERROR(__xludf.DUMMYFUNCTION("""COMPUTED_VALUE"""),"")</f>
        <v/>
      </c>
      <c r="W9087" s="16" t="str">
        <f>IFERROR(__xludf.DUMMYFUNCTION("""COMPUTED_VALUE"""),"")</f>
        <v/>
      </c>
      <c r="X9087" s="16" t="str">
        <f>IFERROR(__xludf.DUMMYFUNCTION("""COMPUTED_VALUE"""),"")</f>
        <v/>
      </c>
      <c r="AC9087" s="16" t="str">
        <f>IFERROR(__xludf.DUMMYFUNCTION("""COMPUTED_VALUE"""),"")</f>
        <v/>
      </c>
    </row>
    <row r="9088">
      <c r="A9088" s="16" t="s">
        <v>87</v>
      </c>
      <c r="E9088" s="16" t="str">
        <f>IFERROR(__xludf.DUMMYFUNCTION("""COMPUTED_VALUE"""),"")</f>
        <v/>
      </c>
      <c r="G9088" s="18"/>
      <c r="H9088" s="16" t="s">
        <v>87</v>
      </c>
      <c r="I9088" s="16" t="s">
        <v>87</v>
      </c>
      <c r="J9088" s="19"/>
      <c r="L9088" s="16" t="str">
        <f>IFERROR(__xludf.DUMMYFUNCTION("""COMPUTED_VALUE"""),"")</f>
        <v/>
      </c>
      <c r="M9088" s="16" t="str">
        <f>IFERROR(__xludf.DUMMYFUNCTION("""COMPUTED_VALUE"""),"")</f>
        <v/>
      </c>
      <c r="U9088" s="16" t="s">
        <v>87</v>
      </c>
      <c r="V9088" s="16" t="str">
        <f>IFERROR(__xludf.DUMMYFUNCTION("""COMPUTED_VALUE"""),"")</f>
        <v/>
      </c>
      <c r="W9088" s="16" t="str">
        <f>IFERROR(__xludf.DUMMYFUNCTION("""COMPUTED_VALUE"""),"")</f>
        <v/>
      </c>
      <c r="X9088" s="16" t="str">
        <f>IFERROR(__xludf.DUMMYFUNCTION("""COMPUTED_VALUE"""),"")</f>
        <v/>
      </c>
      <c r="AC9088" s="16" t="str">
        <f>IFERROR(__xludf.DUMMYFUNCTION("""COMPUTED_VALUE"""),"")</f>
        <v/>
      </c>
    </row>
    <row r="9089">
      <c r="A9089" s="16" t="s">
        <v>87</v>
      </c>
      <c r="E9089" s="16" t="str">
        <f>IFERROR(__xludf.DUMMYFUNCTION("""COMPUTED_VALUE"""),"")</f>
        <v/>
      </c>
      <c r="G9089" s="18"/>
      <c r="H9089" s="16" t="s">
        <v>87</v>
      </c>
      <c r="I9089" s="16" t="s">
        <v>87</v>
      </c>
      <c r="J9089" s="19"/>
      <c r="L9089" s="16" t="str">
        <f>IFERROR(__xludf.DUMMYFUNCTION("""COMPUTED_VALUE"""),"")</f>
        <v/>
      </c>
      <c r="M9089" s="16" t="str">
        <f>IFERROR(__xludf.DUMMYFUNCTION("""COMPUTED_VALUE"""),"")</f>
        <v/>
      </c>
      <c r="U9089" s="16" t="s">
        <v>87</v>
      </c>
      <c r="V9089" s="16" t="str">
        <f>IFERROR(__xludf.DUMMYFUNCTION("""COMPUTED_VALUE"""),"")</f>
        <v/>
      </c>
      <c r="W9089" s="16" t="str">
        <f>IFERROR(__xludf.DUMMYFUNCTION("""COMPUTED_VALUE"""),"")</f>
        <v/>
      </c>
      <c r="X9089" s="16" t="str">
        <f>IFERROR(__xludf.DUMMYFUNCTION("""COMPUTED_VALUE"""),"")</f>
        <v/>
      </c>
      <c r="AC9089" s="16" t="str">
        <f>IFERROR(__xludf.DUMMYFUNCTION("""COMPUTED_VALUE"""),"")</f>
        <v/>
      </c>
    </row>
    <row r="9090">
      <c r="A9090" s="16" t="s">
        <v>87</v>
      </c>
      <c r="E9090" s="16" t="str">
        <f>IFERROR(__xludf.DUMMYFUNCTION("""COMPUTED_VALUE"""),"")</f>
        <v/>
      </c>
      <c r="G9090" s="18"/>
      <c r="H9090" s="16" t="s">
        <v>87</v>
      </c>
      <c r="I9090" s="16" t="s">
        <v>87</v>
      </c>
      <c r="J9090" s="19"/>
      <c r="L9090" s="16" t="str">
        <f>IFERROR(__xludf.DUMMYFUNCTION("""COMPUTED_VALUE"""),"")</f>
        <v/>
      </c>
      <c r="M9090" s="16" t="str">
        <f>IFERROR(__xludf.DUMMYFUNCTION("""COMPUTED_VALUE"""),"")</f>
        <v/>
      </c>
      <c r="U9090" s="16" t="s">
        <v>87</v>
      </c>
      <c r="V9090" s="16" t="str">
        <f>IFERROR(__xludf.DUMMYFUNCTION("""COMPUTED_VALUE"""),"")</f>
        <v/>
      </c>
      <c r="W9090" s="16" t="str">
        <f>IFERROR(__xludf.DUMMYFUNCTION("""COMPUTED_VALUE"""),"")</f>
        <v/>
      </c>
      <c r="X9090" s="16" t="str">
        <f>IFERROR(__xludf.DUMMYFUNCTION("""COMPUTED_VALUE"""),"")</f>
        <v/>
      </c>
      <c r="AC9090" s="16" t="str">
        <f>IFERROR(__xludf.DUMMYFUNCTION("""COMPUTED_VALUE"""),"")</f>
        <v/>
      </c>
    </row>
    <row r="9091">
      <c r="A9091" s="16" t="s">
        <v>87</v>
      </c>
      <c r="E9091" s="16" t="str">
        <f>IFERROR(__xludf.DUMMYFUNCTION("""COMPUTED_VALUE"""),"")</f>
        <v/>
      </c>
      <c r="G9091" s="18"/>
      <c r="H9091" s="16" t="s">
        <v>87</v>
      </c>
      <c r="I9091" s="16" t="s">
        <v>87</v>
      </c>
      <c r="J9091" s="19"/>
      <c r="L9091" s="16" t="str">
        <f>IFERROR(__xludf.DUMMYFUNCTION("""COMPUTED_VALUE"""),"")</f>
        <v/>
      </c>
      <c r="M9091" s="16" t="str">
        <f>IFERROR(__xludf.DUMMYFUNCTION("""COMPUTED_VALUE"""),"")</f>
        <v/>
      </c>
      <c r="U9091" s="16" t="s">
        <v>87</v>
      </c>
      <c r="V9091" s="16" t="str">
        <f>IFERROR(__xludf.DUMMYFUNCTION("""COMPUTED_VALUE"""),"")</f>
        <v/>
      </c>
      <c r="W9091" s="16" t="str">
        <f>IFERROR(__xludf.DUMMYFUNCTION("""COMPUTED_VALUE"""),"")</f>
        <v/>
      </c>
      <c r="X9091" s="16" t="str">
        <f>IFERROR(__xludf.DUMMYFUNCTION("""COMPUTED_VALUE"""),"")</f>
        <v/>
      </c>
      <c r="AC9091" s="16" t="str">
        <f>IFERROR(__xludf.DUMMYFUNCTION("""COMPUTED_VALUE"""),"")</f>
        <v/>
      </c>
    </row>
    <row r="9092">
      <c r="A9092" s="16" t="s">
        <v>87</v>
      </c>
      <c r="E9092" s="16" t="str">
        <f>IFERROR(__xludf.DUMMYFUNCTION("""COMPUTED_VALUE"""),"")</f>
        <v/>
      </c>
      <c r="G9092" s="18"/>
      <c r="H9092" s="16" t="s">
        <v>87</v>
      </c>
      <c r="I9092" s="16" t="s">
        <v>87</v>
      </c>
      <c r="J9092" s="19"/>
      <c r="L9092" s="16" t="str">
        <f>IFERROR(__xludf.DUMMYFUNCTION("""COMPUTED_VALUE"""),"")</f>
        <v/>
      </c>
      <c r="M9092" s="16" t="str">
        <f>IFERROR(__xludf.DUMMYFUNCTION("""COMPUTED_VALUE"""),"")</f>
        <v/>
      </c>
      <c r="U9092" s="16" t="s">
        <v>87</v>
      </c>
      <c r="V9092" s="16" t="str">
        <f>IFERROR(__xludf.DUMMYFUNCTION("""COMPUTED_VALUE"""),"")</f>
        <v/>
      </c>
      <c r="W9092" s="16" t="str">
        <f>IFERROR(__xludf.DUMMYFUNCTION("""COMPUTED_VALUE"""),"")</f>
        <v/>
      </c>
      <c r="X9092" s="16" t="str">
        <f>IFERROR(__xludf.DUMMYFUNCTION("""COMPUTED_VALUE"""),"")</f>
        <v/>
      </c>
      <c r="AC9092" s="16" t="str">
        <f>IFERROR(__xludf.DUMMYFUNCTION("""COMPUTED_VALUE"""),"")</f>
        <v/>
      </c>
    </row>
    <row r="9093">
      <c r="A9093" s="16" t="s">
        <v>87</v>
      </c>
      <c r="E9093" s="16" t="str">
        <f>IFERROR(__xludf.DUMMYFUNCTION("""COMPUTED_VALUE"""),"")</f>
        <v/>
      </c>
      <c r="G9093" s="18"/>
      <c r="H9093" s="16" t="s">
        <v>87</v>
      </c>
      <c r="I9093" s="16" t="s">
        <v>87</v>
      </c>
      <c r="J9093" s="19"/>
      <c r="L9093" s="16" t="str">
        <f>IFERROR(__xludf.DUMMYFUNCTION("""COMPUTED_VALUE"""),"")</f>
        <v/>
      </c>
      <c r="M9093" s="16" t="str">
        <f>IFERROR(__xludf.DUMMYFUNCTION("""COMPUTED_VALUE"""),"")</f>
        <v/>
      </c>
      <c r="U9093" s="16" t="s">
        <v>87</v>
      </c>
      <c r="V9093" s="16" t="str">
        <f>IFERROR(__xludf.DUMMYFUNCTION("""COMPUTED_VALUE"""),"")</f>
        <v/>
      </c>
      <c r="W9093" s="16" t="str">
        <f>IFERROR(__xludf.DUMMYFUNCTION("""COMPUTED_VALUE"""),"")</f>
        <v/>
      </c>
      <c r="X9093" s="16" t="str">
        <f>IFERROR(__xludf.DUMMYFUNCTION("""COMPUTED_VALUE"""),"")</f>
        <v/>
      </c>
      <c r="AC9093" s="16" t="str">
        <f>IFERROR(__xludf.DUMMYFUNCTION("""COMPUTED_VALUE"""),"")</f>
        <v/>
      </c>
    </row>
    <row r="9094">
      <c r="A9094" s="16" t="s">
        <v>87</v>
      </c>
      <c r="E9094" s="16" t="str">
        <f>IFERROR(__xludf.DUMMYFUNCTION("""COMPUTED_VALUE"""),"")</f>
        <v/>
      </c>
      <c r="G9094" s="18"/>
      <c r="H9094" s="16" t="s">
        <v>87</v>
      </c>
      <c r="I9094" s="16" t="s">
        <v>87</v>
      </c>
      <c r="J9094" s="19"/>
      <c r="L9094" s="16" t="str">
        <f>IFERROR(__xludf.DUMMYFUNCTION("""COMPUTED_VALUE"""),"")</f>
        <v/>
      </c>
      <c r="M9094" s="16" t="str">
        <f>IFERROR(__xludf.DUMMYFUNCTION("""COMPUTED_VALUE"""),"")</f>
        <v/>
      </c>
      <c r="U9094" s="16" t="s">
        <v>87</v>
      </c>
      <c r="V9094" s="16" t="str">
        <f>IFERROR(__xludf.DUMMYFUNCTION("""COMPUTED_VALUE"""),"")</f>
        <v/>
      </c>
      <c r="W9094" s="16" t="str">
        <f>IFERROR(__xludf.DUMMYFUNCTION("""COMPUTED_VALUE"""),"")</f>
        <v/>
      </c>
      <c r="X9094" s="16" t="str">
        <f>IFERROR(__xludf.DUMMYFUNCTION("""COMPUTED_VALUE"""),"")</f>
        <v/>
      </c>
      <c r="AC9094" s="16" t="str">
        <f>IFERROR(__xludf.DUMMYFUNCTION("""COMPUTED_VALUE"""),"")</f>
        <v/>
      </c>
    </row>
    <row r="9095">
      <c r="A9095" s="16" t="s">
        <v>87</v>
      </c>
      <c r="E9095" s="16" t="str">
        <f>IFERROR(__xludf.DUMMYFUNCTION("""COMPUTED_VALUE"""),"")</f>
        <v/>
      </c>
      <c r="G9095" s="18"/>
      <c r="H9095" s="16" t="s">
        <v>87</v>
      </c>
      <c r="I9095" s="16" t="s">
        <v>87</v>
      </c>
      <c r="J9095" s="19"/>
      <c r="L9095" s="16" t="str">
        <f>IFERROR(__xludf.DUMMYFUNCTION("""COMPUTED_VALUE"""),"")</f>
        <v/>
      </c>
      <c r="M9095" s="16" t="str">
        <f>IFERROR(__xludf.DUMMYFUNCTION("""COMPUTED_VALUE"""),"")</f>
        <v/>
      </c>
      <c r="U9095" s="16" t="s">
        <v>87</v>
      </c>
      <c r="V9095" s="16" t="str">
        <f>IFERROR(__xludf.DUMMYFUNCTION("""COMPUTED_VALUE"""),"")</f>
        <v/>
      </c>
      <c r="W9095" s="16" t="str">
        <f>IFERROR(__xludf.DUMMYFUNCTION("""COMPUTED_VALUE"""),"")</f>
        <v/>
      </c>
      <c r="X9095" s="16" t="str">
        <f>IFERROR(__xludf.DUMMYFUNCTION("""COMPUTED_VALUE"""),"")</f>
        <v/>
      </c>
      <c r="AC9095" s="16" t="str">
        <f>IFERROR(__xludf.DUMMYFUNCTION("""COMPUTED_VALUE"""),"")</f>
        <v/>
      </c>
    </row>
    <row r="9096">
      <c r="A9096" s="16" t="s">
        <v>87</v>
      </c>
      <c r="E9096" s="16" t="str">
        <f>IFERROR(__xludf.DUMMYFUNCTION("""COMPUTED_VALUE"""),"")</f>
        <v/>
      </c>
      <c r="G9096" s="18"/>
      <c r="H9096" s="16" t="s">
        <v>87</v>
      </c>
      <c r="I9096" s="16" t="s">
        <v>87</v>
      </c>
      <c r="J9096" s="19"/>
      <c r="L9096" s="16" t="str">
        <f>IFERROR(__xludf.DUMMYFUNCTION("""COMPUTED_VALUE"""),"")</f>
        <v/>
      </c>
      <c r="M9096" s="16" t="str">
        <f>IFERROR(__xludf.DUMMYFUNCTION("""COMPUTED_VALUE"""),"")</f>
        <v/>
      </c>
      <c r="U9096" s="16" t="s">
        <v>87</v>
      </c>
      <c r="V9096" s="16" t="str">
        <f>IFERROR(__xludf.DUMMYFUNCTION("""COMPUTED_VALUE"""),"")</f>
        <v/>
      </c>
      <c r="W9096" s="16" t="str">
        <f>IFERROR(__xludf.DUMMYFUNCTION("""COMPUTED_VALUE"""),"")</f>
        <v/>
      </c>
      <c r="X9096" s="16" t="str">
        <f>IFERROR(__xludf.DUMMYFUNCTION("""COMPUTED_VALUE"""),"")</f>
        <v/>
      </c>
      <c r="AC9096" s="16" t="str">
        <f>IFERROR(__xludf.DUMMYFUNCTION("""COMPUTED_VALUE"""),"")</f>
        <v/>
      </c>
    </row>
    <row r="9097">
      <c r="A9097" s="16" t="s">
        <v>87</v>
      </c>
      <c r="E9097" s="16" t="str">
        <f>IFERROR(__xludf.DUMMYFUNCTION("""COMPUTED_VALUE"""),"")</f>
        <v/>
      </c>
      <c r="G9097" s="18"/>
      <c r="H9097" s="16" t="s">
        <v>87</v>
      </c>
      <c r="I9097" s="16" t="s">
        <v>87</v>
      </c>
      <c r="J9097" s="19"/>
      <c r="L9097" s="16" t="str">
        <f>IFERROR(__xludf.DUMMYFUNCTION("""COMPUTED_VALUE"""),"")</f>
        <v/>
      </c>
      <c r="M9097" s="16" t="str">
        <f>IFERROR(__xludf.DUMMYFUNCTION("""COMPUTED_VALUE"""),"")</f>
        <v/>
      </c>
      <c r="U9097" s="16" t="s">
        <v>87</v>
      </c>
      <c r="V9097" s="16" t="str">
        <f>IFERROR(__xludf.DUMMYFUNCTION("""COMPUTED_VALUE"""),"")</f>
        <v/>
      </c>
      <c r="W9097" s="16" t="str">
        <f>IFERROR(__xludf.DUMMYFUNCTION("""COMPUTED_VALUE"""),"")</f>
        <v/>
      </c>
      <c r="X9097" s="16" t="str">
        <f>IFERROR(__xludf.DUMMYFUNCTION("""COMPUTED_VALUE"""),"")</f>
        <v/>
      </c>
      <c r="AC9097" s="16" t="str">
        <f>IFERROR(__xludf.DUMMYFUNCTION("""COMPUTED_VALUE"""),"")</f>
        <v/>
      </c>
    </row>
    <row r="9098">
      <c r="A9098" s="16" t="s">
        <v>87</v>
      </c>
      <c r="E9098" s="16" t="str">
        <f>IFERROR(__xludf.DUMMYFUNCTION("""COMPUTED_VALUE"""),"")</f>
        <v/>
      </c>
      <c r="G9098" s="18"/>
      <c r="H9098" s="16" t="s">
        <v>87</v>
      </c>
      <c r="I9098" s="16" t="s">
        <v>87</v>
      </c>
      <c r="J9098" s="19"/>
      <c r="L9098" s="16" t="str">
        <f>IFERROR(__xludf.DUMMYFUNCTION("""COMPUTED_VALUE"""),"")</f>
        <v/>
      </c>
      <c r="M9098" s="16" t="str">
        <f>IFERROR(__xludf.DUMMYFUNCTION("""COMPUTED_VALUE"""),"")</f>
        <v/>
      </c>
      <c r="U9098" s="16" t="s">
        <v>87</v>
      </c>
      <c r="V9098" s="16" t="str">
        <f>IFERROR(__xludf.DUMMYFUNCTION("""COMPUTED_VALUE"""),"")</f>
        <v/>
      </c>
      <c r="W9098" s="16" t="str">
        <f>IFERROR(__xludf.DUMMYFUNCTION("""COMPUTED_VALUE"""),"")</f>
        <v/>
      </c>
      <c r="X9098" s="16" t="str">
        <f>IFERROR(__xludf.DUMMYFUNCTION("""COMPUTED_VALUE"""),"")</f>
        <v/>
      </c>
      <c r="AC9098" s="16" t="str">
        <f>IFERROR(__xludf.DUMMYFUNCTION("""COMPUTED_VALUE"""),"")</f>
        <v/>
      </c>
    </row>
    <row r="9099">
      <c r="A9099" s="16" t="s">
        <v>87</v>
      </c>
      <c r="E9099" s="16" t="str">
        <f>IFERROR(__xludf.DUMMYFUNCTION("""COMPUTED_VALUE"""),"")</f>
        <v/>
      </c>
      <c r="G9099" s="18"/>
      <c r="H9099" s="16" t="s">
        <v>87</v>
      </c>
      <c r="I9099" s="16" t="s">
        <v>87</v>
      </c>
      <c r="J9099" s="19"/>
      <c r="L9099" s="16" t="str">
        <f>IFERROR(__xludf.DUMMYFUNCTION("""COMPUTED_VALUE"""),"")</f>
        <v/>
      </c>
      <c r="M9099" s="16" t="str">
        <f>IFERROR(__xludf.DUMMYFUNCTION("""COMPUTED_VALUE"""),"")</f>
        <v/>
      </c>
      <c r="U9099" s="16" t="s">
        <v>87</v>
      </c>
      <c r="V9099" s="16" t="str">
        <f>IFERROR(__xludf.DUMMYFUNCTION("""COMPUTED_VALUE"""),"")</f>
        <v/>
      </c>
      <c r="W9099" s="16" t="str">
        <f>IFERROR(__xludf.DUMMYFUNCTION("""COMPUTED_VALUE"""),"")</f>
        <v/>
      </c>
      <c r="X9099" s="16" t="str">
        <f>IFERROR(__xludf.DUMMYFUNCTION("""COMPUTED_VALUE"""),"")</f>
        <v/>
      </c>
      <c r="AC9099" s="16" t="str">
        <f>IFERROR(__xludf.DUMMYFUNCTION("""COMPUTED_VALUE"""),"")</f>
        <v/>
      </c>
    </row>
    <row r="9100">
      <c r="A9100" s="16" t="s">
        <v>87</v>
      </c>
      <c r="E9100" s="16" t="str">
        <f>IFERROR(__xludf.DUMMYFUNCTION("""COMPUTED_VALUE"""),"")</f>
        <v/>
      </c>
      <c r="G9100" s="18"/>
      <c r="H9100" s="16" t="s">
        <v>87</v>
      </c>
      <c r="I9100" s="16" t="s">
        <v>87</v>
      </c>
      <c r="J9100" s="19"/>
      <c r="L9100" s="16" t="str">
        <f>IFERROR(__xludf.DUMMYFUNCTION("""COMPUTED_VALUE"""),"")</f>
        <v/>
      </c>
      <c r="M9100" s="16" t="str">
        <f>IFERROR(__xludf.DUMMYFUNCTION("""COMPUTED_VALUE"""),"")</f>
        <v/>
      </c>
      <c r="U9100" s="16" t="s">
        <v>87</v>
      </c>
      <c r="V9100" s="16" t="str">
        <f>IFERROR(__xludf.DUMMYFUNCTION("""COMPUTED_VALUE"""),"")</f>
        <v/>
      </c>
      <c r="W9100" s="16" t="str">
        <f>IFERROR(__xludf.DUMMYFUNCTION("""COMPUTED_VALUE"""),"")</f>
        <v/>
      </c>
      <c r="X9100" s="16" t="str">
        <f>IFERROR(__xludf.DUMMYFUNCTION("""COMPUTED_VALUE"""),"")</f>
        <v/>
      </c>
      <c r="AC9100" s="16" t="str">
        <f>IFERROR(__xludf.DUMMYFUNCTION("""COMPUTED_VALUE"""),"")</f>
        <v/>
      </c>
    </row>
    <row r="9101">
      <c r="A9101" s="16" t="s">
        <v>87</v>
      </c>
      <c r="E9101" s="16" t="str">
        <f>IFERROR(__xludf.DUMMYFUNCTION("""COMPUTED_VALUE"""),"")</f>
        <v/>
      </c>
      <c r="G9101" s="18"/>
      <c r="H9101" s="16" t="s">
        <v>87</v>
      </c>
      <c r="I9101" s="16" t="s">
        <v>87</v>
      </c>
      <c r="J9101" s="19"/>
      <c r="L9101" s="16" t="str">
        <f>IFERROR(__xludf.DUMMYFUNCTION("""COMPUTED_VALUE"""),"")</f>
        <v/>
      </c>
      <c r="M9101" s="16" t="str">
        <f>IFERROR(__xludf.DUMMYFUNCTION("""COMPUTED_VALUE"""),"")</f>
        <v/>
      </c>
      <c r="U9101" s="16" t="s">
        <v>87</v>
      </c>
      <c r="V9101" s="16" t="str">
        <f>IFERROR(__xludf.DUMMYFUNCTION("""COMPUTED_VALUE"""),"")</f>
        <v/>
      </c>
      <c r="W9101" s="16" t="str">
        <f>IFERROR(__xludf.DUMMYFUNCTION("""COMPUTED_VALUE"""),"")</f>
        <v/>
      </c>
      <c r="X9101" s="16" t="str">
        <f>IFERROR(__xludf.DUMMYFUNCTION("""COMPUTED_VALUE"""),"")</f>
        <v/>
      </c>
      <c r="AC9101" s="16" t="str">
        <f>IFERROR(__xludf.DUMMYFUNCTION("""COMPUTED_VALUE"""),"")</f>
        <v/>
      </c>
    </row>
    <row r="9102">
      <c r="A9102" s="16" t="s">
        <v>87</v>
      </c>
      <c r="E9102" s="16" t="str">
        <f>IFERROR(__xludf.DUMMYFUNCTION("""COMPUTED_VALUE"""),"")</f>
        <v/>
      </c>
      <c r="G9102" s="18"/>
      <c r="H9102" s="16" t="s">
        <v>87</v>
      </c>
      <c r="I9102" s="16" t="s">
        <v>87</v>
      </c>
      <c r="J9102" s="19"/>
      <c r="L9102" s="16" t="str">
        <f>IFERROR(__xludf.DUMMYFUNCTION("""COMPUTED_VALUE"""),"")</f>
        <v/>
      </c>
      <c r="M9102" s="16" t="str">
        <f>IFERROR(__xludf.DUMMYFUNCTION("""COMPUTED_VALUE"""),"")</f>
        <v/>
      </c>
      <c r="U9102" s="16" t="s">
        <v>87</v>
      </c>
      <c r="V9102" s="16" t="str">
        <f>IFERROR(__xludf.DUMMYFUNCTION("""COMPUTED_VALUE"""),"")</f>
        <v/>
      </c>
      <c r="W9102" s="16" t="str">
        <f>IFERROR(__xludf.DUMMYFUNCTION("""COMPUTED_VALUE"""),"")</f>
        <v/>
      </c>
      <c r="X9102" s="16" t="str">
        <f>IFERROR(__xludf.DUMMYFUNCTION("""COMPUTED_VALUE"""),"")</f>
        <v/>
      </c>
      <c r="AC9102" s="16" t="str">
        <f>IFERROR(__xludf.DUMMYFUNCTION("""COMPUTED_VALUE"""),"")</f>
        <v/>
      </c>
    </row>
    <row r="9103">
      <c r="A9103" s="16" t="s">
        <v>87</v>
      </c>
      <c r="E9103" s="16" t="str">
        <f>IFERROR(__xludf.DUMMYFUNCTION("""COMPUTED_VALUE"""),"")</f>
        <v/>
      </c>
      <c r="G9103" s="18"/>
      <c r="H9103" s="16" t="s">
        <v>87</v>
      </c>
      <c r="I9103" s="16" t="s">
        <v>87</v>
      </c>
      <c r="J9103" s="19"/>
      <c r="L9103" s="16" t="str">
        <f>IFERROR(__xludf.DUMMYFUNCTION("""COMPUTED_VALUE"""),"")</f>
        <v/>
      </c>
      <c r="M9103" s="16" t="str">
        <f>IFERROR(__xludf.DUMMYFUNCTION("""COMPUTED_VALUE"""),"")</f>
        <v/>
      </c>
      <c r="U9103" s="16" t="s">
        <v>87</v>
      </c>
      <c r="V9103" s="16" t="str">
        <f>IFERROR(__xludf.DUMMYFUNCTION("""COMPUTED_VALUE"""),"")</f>
        <v/>
      </c>
      <c r="W9103" s="16" t="str">
        <f>IFERROR(__xludf.DUMMYFUNCTION("""COMPUTED_VALUE"""),"")</f>
        <v/>
      </c>
      <c r="X9103" s="16" t="str">
        <f>IFERROR(__xludf.DUMMYFUNCTION("""COMPUTED_VALUE"""),"")</f>
        <v/>
      </c>
      <c r="AC9103" s="16" t="str">
        <f>IFERROR(__xludf.DUMMYFUNCTION("""COMPUTED_VALUE"""),"")</f>
        <v/>
      </c>
    </row>
    <row r="9104">
      <c r="A9104" s="16" t="s">
        <v>87</v>
      </c>
      <c r="E9104" s="16" t="str">
        <f>IFERROR(__xludf.DUMMYFUNCTION("""COMPUTED_VALUE"""),"")</f>
        <v/>
      </c>
      <c r="G9104" s="18"/>
      <c r="H9104" s="16" t="s">
        <v>87</v>
      </c>
      <c r="I9104" s="16" t="s">
        <v>87</v>
      </c>
      <c r="J9104" s="19"/>
      <c r="L9104" s="16" t="str">
        <f>IFERROR(__xludf.DUMMYFUNCTION("""COMPUTED_VALUE"""),"")</f>
        <v/>
      </c>
      <c r="M9104" s="16" t="str">
        <f>IFERROR(__xludf.DUMMYFUNCTION("""COMPUTED_VALUE"""),"")</f>
        <v/>
      </c>
      <c r="U9104" s="16" t="s">
        <v>87</v>
      </c>
      <c r="V9104" s="16" t="str">
        <f>IFERROR(__xludf.DUMMYFUNCTION("""COMPUTED_VALUE"""),"")</f>
        <v/>
      </c>
      <c r="W9104" s="16" t="str">
        <f>IFERROR(__xludf.DUMMYFUNCTION("""COMPUTED_VALUE"""),"")</f>
        <v/>
      </c>
      <c r="X9104" s="16" t="str">
        <f>IFERROR(__xludf.DUMMYFUNCTION("""COMPUTED_VALUE"""),"")</f>
        <v/>
      </c>
      <c r="AC9104" s="16" t="str">
        <f>IFERROR(__xludf.DUMMYFUNCTION("""COMPUTED_VALUE"""),"")</f>
        <v/>
      </c>
    </row>
    <row r="9105">
      <c r="A9105" s="16" t="s">
        <v>87</v>
      </c>
      <c r="E9105" s="16" t="str">
        <f>IFERROR(__xludf.DUMMYFUNCTION("""COMPUTED_VALUE"""),"")</f>
        <v/>
      </c>
      <c r="G9105" s="18"/>
      <c r="H9105" s="16" t="s">
        <v>87</v>
      </c>
      <c r="I9105" s="16" t="s">
        <v>87</v>
      </c>
      <c r="J9105" s="19"/>
      <c r="L9105" s="16" t="str">
        <f>IFERROR(__xludf.DUMMYFUNCTION("""COMPUTED_VALUE"""),"")</f>
        <v/>
      </c>
      <c r="M9105" s="16" t="str">
        <f>IFERROR(__xludf.DUMMYFUNCTION("""COMPUTED_VALUE"""),"")</f>
        <v/>
      </c>
      <c r="U9105" s="16" t="s">
        <v>87</v>
      </c>
      <c r="V9105" s="16" t="str">
        <f>IFERROR(__xludf.DUMMYFUNCTION("""COMPUTED_VALUE"""),"")</f>
        <v/>
      </c>
      <c r="W9105" s="16" t="str">
        <f>IFERROR(__xludf.DUMMYFUNCTION("""COMPUTED_VALUE"""),"")</f>
        <v/>
      </c>
      <c r="X9105" s="16" t="str">
        <f>IFERROR(__xludf.DUMMYFUNCTION("""COMPUTED_VALUE"""),"")</f>
        <v/>
      </c>
      <c r="AC9105" s="16" t="str">
        <f>IFERROR(__xludf.DUMMYFUNCTION("""COMPUTED_VALUE"""),"")</f>
        <v/>
      </c>
    </row>
    <row r="9106">
      <c r="A9106" s="16" t="s">
        <v>87</v>
      </c>
      <c r="E9106" s="16" t="str">
        <f>IFERROR(__xludf.DUMMYFUNCTION("""COMPUTED_VALUE"""),"")</f>
        <v/>
      </c>
      <c r="G9106" s="18"/>
      <c r="H9106" s="16" t="s">
        <v>87</v>
      </c>
      <c r="I9106" s="16" t="s">
        <v>87</v>
      </c>
      <c r="J9106" s="19"/>
      <c r="L9106" s="16" t="str">
        <f>IFERROR(__xludf.DUMMYFUNCTION("""COMPUTED_VALUE"""),"")</f>
        <v/>
      </c>
      <c r="M9106" s="16" t="str">
        <f>IFERROR(__xludf.DUMMYFUNCTION("""COMPUTED_VALUE"""),"")</f>
        <v/>
      </c>
      <c r="U9106" s="16" t="s">
        <v>87</v>
      </c>
      <c r="V9106" s="16" t="str">
        <f>IFERROR(__xludf.DUMMYFUNCTION("""COMPUTED_VALUE"""),"")</f>
        <v/>
      </c>
      <c r="W9106" s="16" t="str">
        <f>IFERROR(__xludf.DUMMYFUNCTION("""COMPUTED_VALUE"""),"")</f>
        <v/>
      </c>
      <c r="X9106" s="16" t="str">
        <f>IFERROR(__xludf.DUMMYFUNCTION("""COMPUTED_VALUE"""),"")</f>
        <v/>
      </c>
      <c r="AC9106" s="16" t="str">
        <f>IFERROR(__xludf.DUMMYFUNCTION("""COMPUTED_VALUE"""),"")</f>
        <v/>
      </c>
    </row>
    <row r="9107">
      <c r="A9107" s="16" t="s">
        <v>87</v>
      </c>
      <c r="E9107" s="16" t="str">
        <f>IFERROR(__xludf.DUMMYFUNCTION("""COMPUTED_VALUE"""),"")</f>
        <v/>
      </c>
      <c r="G9107" s="18"/>
      <c r="H9107" s="16" t="s">
        <v>87</v>
      </c>
      <c r="I9107" s="16" t="s">
        <v>87</v>
      </c>
      <c r="J9107" s="19"/>
      <c r="L9107" s="16" t="str">
        <f>IFERROR(__xludf.DUMMYFUNCTION("""COMPUTED_VALUE"""),"")</f>
        <v/>
      </c>
      <c r="M9107" s="16" t="str">
        <f>IFERROR(__xludf.DUMMYFUNCTION("""COMPUTED_VALUE"""),"")</f>
        <v/>
      </c>
      <c r="U9107" s="16" t="s">
        <v>87</v>
      </c>
      <c r="V9107" s="16" t="str">
        <f>IFERROR(__xludf.DUMMYFUNCTION("""COMPUTED_VALUE"""),"")</f>
        <v/>
      </c>
      <c r="W9107" s="16" t="str">
        <f>IFERROR(__xludf.DUMMYFUNCTION("""COMPUTED_VALUE"""),"")</f>
        <v/>
      </c>
      <c r="X9107" s="16" t="str">
        <f>IFERROR(__xludf.DUMMYFUNCTION("""COMPUTED_VALUE"""),"")</f>
        <v/>
      </c>
      <c r="AC9107" s="16" t="str">
        <f>IFERROR(__xludf.DUMMYFUNCTION("""COMPUTED_VALUE"""),"")</f>
        <v/>
      </c>
    </row>
    <row r="9108">
      <c r="A9108" s="16" t="s">
        <v>87</v>
      </c>
      <c r="E9108" s="16" t="str">
        <f>IFERROR(__xludf.DUMMYFUNCTION("""COMPUTED_VALUE"""),"")</f>
        <v/>
      </c>
      <c r="G9108" s="18"/>
      <c r="H9108" s="16" t="s">
        <v>87</v>
      </c>
      <c r="I9108" s="16" t="s">
        <v>87</v>
      </c>
      <c r="J9108" s="19"/>
      <c r="L9108" s="16" t="str">
        <f>IFERROR(__xludf.DUMMYFUNCTION("""COMPUTED_VALUE"""),"")</f>
        <v/>
      </c>
      <c r="M9108" s="16" t="str">
        <f>IFERROR(__xludf.DUMMYFUNCTION("""COMPUTED_VALUE"""),"")</f>
        <v/>
      </c>
      <c r="U9108" s="16" t="s">
        <v>87</v>
      </c>
      <c r="V9108" s="16" t="str">
        <f>IFERROR(__xludf.DUMMYFUNCTION("""COMPUTED_VALUE"""),"")</f>
        <v/>
      </c>
      <c r="W9108" s="16" t="str">
        <f>IFERROR(__xludf.DUMMYFUNCTION("""COMPUTED_VALUE"""),"")</f>
        <v/>
      </c>
      <c r="X9108" s="16" t="str">
        <f>IFERROR(__xludf.DUMMYFUNCTION("""COMPUTED_VALUE"""),"")</f>
        <v/>
      </c>
      <c r="AC9108" s="16" t="str">
        <f>IFERROR(__xludf.DUMMYFUNCTION("""COMPUTED_VALUE"""),"")</f>
        <v/>
      </c>
    </row>
    <row r="9109">
      <c r="A9109" s="16" t="s">
        <v>87</v>
      </c>
      <c r="E9109" s="16" t="str">
        <f>IFERROR(__xludf.DUMMYFUNCTION("""COMPUTED_VALUE"""),"")</f>
        <v/>
      </c>
      <c r="G9109" s="18"/>
      <c r="H9109" s="16" t="s">
        <v>87</v>
      </c>
      <c r="I9109" s="16" t="s">
        <v>87</v>
      </c>
      <c r="J9109" s="19"/>
      <c r="L9109" s="16" t="str">
        <f>IFERROR(__xludf.DUMMYFUNCTION("""COMPUTED_VALUE"""),"")</f>
        <v/>
      </c>
      <c r="M9109" s="16" t="str">
        <f>IFERROR(__xludf.DUMMYFUNCTION("""COMPUTED_VALUE"""),"")</f>
        <v/>
      </c>
      <c r="U9109" s="16" t="s">
        <v>87</v>
      </c>
      <c r="V9109" s="16" t="str">
        <f>IFERROR(__xludf.DUMMYFUNCTION("""COMPUTED_VALUE"""),"")</f>
        <v/>
      </c>
      <c r="W9109" s="16" t="str">
        <f>IFERROR(__xludf.DUMMYFUNCTION("""COMPUTED_VALUE"""),"")</f>
        <v/>
      </c>
      <c r="X9109" s="16" t="str">
        <f>IFERROR(__xludf.DUMMYFUNCTION("""COMPUTED_VALUE"""),"")</f>
        <v/>
      </c>
      <c r="AC9109" s="16" t="str">
        <f>IFERROR(__xludf.DUMMYFUNCTION("""COMPUTED_VALUE"""),"")</f>
        <v/>
      </c>
    </row>
    <row r="9110">
      <c r="A9110" s="16" t="s">
        <v>87</v>
      </c>
      <c r="E9110" s="16" t="str">
        <f>IFERROR(__xludf.DUMMYFUNCTION("""COMPUTED_VALUE"""),"")</f>
        <v/>
      </c>
      <c r="G9110" s="18"/>
      <c r="H9110" s="16" t="s">
        <v>87</v>
      </c>
      <c r="I9110" s="16" t="s">
        <v>87</v>
      </c>
      <c r="J9110" s="19"/>
      <c r="L9110" s="16" t="str">
        <f>IFERROR(__xludf.DUMMYFUNCTION("""COMPUTED_VALUE"""),"")</f>
        <v/>
      </c>
      <c r="M9110" s="16" t="str">
        <f>IFERROR(__xludf.DUMMYFUNCTION("""COMPUTED_VALUE"""),"")</f>
        <v/>
      </c>
      <c r="U9110" s="16" t="s">
        <v>87</v>
      </c>
      <c r="V9110" s="16" t="str">
        <f>IFERROR(__xludf.DUMMYFUNCTION("""COMPUTED_VALUE"""),"")</f>
        <v/>
      </c>
      <c r="W9110" s="16" t="str">
        <f>IFERROR(__xludf.DUMMYFUNCTION("""COMPUTED_VALUE"""),"")</f>
        <v/>
      </c>
      <c r="X9110" s="16" t="str">
        <f>IFERROR(__xludf.DUMMYFUNCTION("""COMPUTED_VALUE"""),"")</f>
        <v/>
      </c>
      <c r="AC9110" s="16" t="str">
        <f>IFERROR(__xludf.DUMMYFUNCTION("""COMPUTED_VALUE"""),"")</f>
        <v/>
      </c>
    </row>
    <row r="9111">
      <c r="A9111" s="16" t="s">
        <v>87</v>
      </c>
      <c r="E9111" s="16" t="str">
        <f>IFERROR(__xludf.DUMMYFUNCTION("""COMPUTED_VALUE"""),"")</f>
        <v/>
      </c>
      <c r="G9111" s="18"/>
      <c r="H9111" s="16" t="s">
        <v>87</v>
      </c>
      <c r="I9111" s="16" t="s">
        <v>87</v>
      </c>
      <c r="J9111" s="19"/>
      <c r="L9111" s="16" t="str">
        <f>IFERROR(__xludf.DUMMYFUNCTION("""COMPUTED_VALUE"""),"")</f>
        <v/>
      </c>
      <c r="M9111" s="16" t="str">
        <f>IFERROR(__xludf.DUMMYFUNCTION("""COMPUTED_VALUE"""),"")</f>
        <v/>
      </c>
      <c r="U9111" s="16" t="s">
        <v>87</v>
      </c>
      <c r="V9111" s="16" t="str">
        <f>IFERROR(__xludf.DUMMYFUNCTION("""COMPUTED_VALUE"""),"")</f>
        <v/>
      </c>
      <c r="W9111" s="16" t="str">
        <f>IFERROR(__xludf.DUMMYFUNCTION("""COMPUTED_VALUE"""),"")</f>
        <v/>
      </c>
      <c r="X9111" s="16" t="str">
        <f>IFERROR(__xludf.DUMMYFUNCTION("""COMPUTED_VALUE"""),"")</f>
        <v/>
      </c>
      <c r="AC9111" s="16" t="str">
        <f>IFERROR(__xludf.DUMMYFUNCTION("""COMPUTED_VALUE"""),"")</f>
        <v/>
      </c>
    </row>
    <row r="9112">
      <c r="A9112" s="16" t="s">
        <v>87</v>
      </c>
      <c r="E9112" s="16" t="str">
        <f>IFERROR(__xludf.DUMMYFUNCTION("""COMPUTED_VALUE"""),"")</f>
        <v/>
      </c>
      <c r="G9112" s="18"/>
      <c r="H9112" s="16" t="s">
        <v>87</v>
      </c>
      <c r="I9112" s="16" t="s">
        <v>87</v>
      </c>
      <c r="J9112" s="19"/>
      <c r="L9112" s="16" t="str">
        <f>IFERROR(__xludf.DUMMYFUNCTION("""COMPUTED_VALUE"""),"")</f>
        <v/>
      </c>
      <c r="M9112" s="16" t="str">
        <f>IFERROR(__xludf.DUMMYFUNCTION("""COMPUTED_VALUE"""),"")</f>
        <v/>
      </c>
      <c r="U9112" s="16" t="s">
        <v>87</v>
      </c>
      <c r="V9112" s="16" t="str">
        <f>IFERROR(__xludf.DUMMYFUNCTION("""COMPUTED_VALUE"""),"")</f>
        <v/>
      </c>
      <c r="W9112" s="16" t="str">
        <f>IFERROR(__xludf.DUMMYFUNCTION("""COMPUTED_VALUE"""),"")</f>
        <v/>
      </c>
      <c r="X9112" s="16" t="str">
        <f>IFERROR(__xludf.DUMMYFUNCTION("""COMPUTED_VALUE"""),"")</f>
        <v/>
      </c>
      <c r="AC9112" s="16" t="str">
        <f>IFERROR(__xludf.DUMMYFUNCTION("""COMPUTED_VALUE"""),"")</f>
        <v/>
      </c>
    </row>
    <row r="9113">
      <c r="A9113" s="16" t="s">
        <v>87</v>
      </c>
      <c r="E9113" s="16" t="str">
        <f>IFERROR(__xludf.DUMMYFUNCTION("""COMPUTED_VALUE"""),"")</f>
        <v/>
      </c>
      <c r="G9113" s="18"/>
      <c r="H9113" s="16" t="s">
        <v>87</v>
      </c>
      <c r="I9113" s="16" t="s">
        <v>87</v>
      </c>
      <c r="J9113" s="19"/>
      <c r="L9113" s="16" t="str">
        <f>IFERROR(__xludf.DUMMYFUNCTION("""COMPUTED_VALUE"""),"")</f>
        <v/>
      </c>
      <c r="M9113" s="16" t="str">
        <f>IFERROR(__xludf.DUMMYFUNCTION("""COMPUTED_VALUE"""),"")</f>
        <v/>
      </c>
      <c r="U9113" s="16" t="s">
        <v>87</v>
      </c>
      <c r="V9113" s="16" t="str">
        <f>IFERROR(__xludf.DUMMYFUNCTION("""COMPUTED_VALUE"""),"")</f>
        <v/>
      </c>
      <c r="W9113" s="16" t="str">
        <f>IFERROR(__xludf.DUMMYFUNCTION("""COMPUTED_VALUE"""),"")</f>
        <v/>
      </c>
      <c r="X9113" s="16" t="str">
        <f>IFERROR(__xludf.DUMMYFUNCTION("""COMPUTED_VALUE"""),"")</f>
        <v/>
      </c>
      <c r="AC9113" s="16" t="str">
        <f>IFERROR(__xludf.DUMMYFUNCTION("""COMPUTED_VALUE"""),"")</f>
        <v/>
      </c>
    </row>
    <row r="9114">
      <c r="A9114" s="16" t="s">
        <v>87</v>
      </c>
      <c r="E9114" s="16" t="str">
        <f>IFERROR(__xludf.DUMMYFUNCTION("""COMPUTED_VALUE"""),"")</f>
        <v/>
      </c>
      <c r="G9114" s="18"/>
      <c r="H9114" s="16" t="s">
        <v>87</v>
      </c>
      <c r="I9114" s="16" t="s">
        <v>87</v>
      </c>
      <c r="J9114" s="19"/>
      <c r="L9114" s="16" t="str">
        <f>IFERROR(__xludf.DUMMYFUNCTION("""COMPUTED_VALUE"""),"")</f>
        <v/>
      </c>
      <c r="M9114" s="16" t="str">
        <f>IFERROR(__xludf.DUMMYFUNCTION("""COMPUTED_VALUE"""),"")</f>
        <v/>
      </c>
      <c r="U9114" s="16" t="s">
        <v>87</v>
      </c>
      <c r="V9114" s="16" t="str">
        <f>IFERROR(__xludf.DUMMYFUNCTION("""COMPUTED_VALUE"""),"")</f>
        <v/>
      </c>
      <c r="W9114" s="16" t="str">
        <f>IFERROR(__xludf.DUMMYFUNCTION("""COMPUTED_VALUE"""),"")</f>
        <v/>
      </c>
      <c r="X9114" s="16" t="str">
        <f>IFERROR(__xludf.DUMMYFUNCTION("""COMPUTED_VALUE"""),"")</f>
        <v/>
      </c>
      <c r="AC9114" s="16" t="str">
        <f>IFERROR(__xludf.DUMMYFUNCTION("""COMPUTED_VALUE"""),"")</f>
        <v/>
      </c>
    </row>
    <row r="9115">
      <c r="A9115" s="16" t="s">
        <v>87</v>
      </c>
      <c r="E9115" s="16" t="str">
        <f>IFERROR(__xludf.DUMMYFUNCTION("""COMPUTED_VALUE"""),"")</f>
        <v/>
      </c>
      <c r="G9115" s="18"/>
      <c r="H9115" s="16" t="s">
        <v>87</v>
      </c>
      <c r="I9115" s="16" t="s">
        <v>87</v>
      </c>
      <c r="J9115" s="19"/>
      <c r="L9115" s="16" t="str">
        <f>IFERROR(__xludf.DUMMYFUNCTION("""COMPUTED_VALUE"""),"")</f>
        <v/>
      </c>
      <c r="M9115" s="16" t="str">
        <f>IFERROR(__xludf.DUMMYFUNCTION("""COMPUTED_VALUE"""),"")</f>
        <v/>
      </c>
      <c r="U9115" s="16" t="s">
        <v>87</v>
      </c>
      <c r="V9115" s="16" t="str">
        <f>IFERROR(__xludf.DUMMYFUNCTION("""COMPUTED_VALUE"""),"")</f>
        <v/>
      </c>
      <c r="W9115" s="16" t="str">
        <f>IFERROR(__xludf.DUMMYFUNCTION("""COMPUTED_VALUE"""),"")</f>
        <v/>
      </c>
      <c r="X9115" s="16" t="str">
        <f>IFERROR(__xludf.DUMMYFUNCTION("""COMPUTED_VALUE"""),"")</f>
        <v/>
      </c>
      <c r="AC9115" s="16" t="str">
        <f>IFERROR(__xludf.DUMMYFUNCTION("""COMPUTED_VALUE"""),"")</f>
        <v/>
      </c>
    </row>
    <row r="9116">
      <c r="A9116" s="16" t="s">
        <v>87</v>
      </c>
      <c r="E9116" s="16" t="str">
        <f>IFERROR(__xludf.DUMMYFUNCTION("""COMPUTED_VALUE"""),"")</f>
        <v/>
      </c>
      <c r="G9116" s="18"/>
      <c r="H9116" s="16" t="s">
        <v>87</v>
      </c>
      <c r="I9116" s="16" t="s">
        <v>87</v>
      </c>
      <c r="J9116" s="19"/>
      <c r="L9116" s="16" t="str">
        <f>IFERROR(__xludf.DUMMYFUNCTION("""COMPUTED_VALUE"""),"")</f>
        <v/>
      </c>
      <c r="M9116" s="16" t="str">
        <f>IFERROR(__xludf.DUMMYFUNCTION("""COMPUTED_VALUE"""),"")</f>
        <v/>
      </c>
      <c r="U9116" s="16" t="s">
        <v>87</v>
      </c>
      <c r="V9116" s="16" t="str">
        <f>IFERROR(__xludf.DUMMYFUNCTION("""COMPUTED_VALUE"""),"")</f>
        <v/>
      </c>
      <c r="W9116" s="16" t="str">
        <f>IFERROR(__xludf.DUMMYFUNCTION("""COMPUTED_VALUE"""),"")</f>
        <v/>
      </c>
      <c r="X9116" s="16" t="str">
        <f>IFERROR(__xludf.DUMMYFUNCTION("""COMPUTED_VALUE"""),"")</f>
        <v/>
      </c>
      <c r="AC9116" s="16" t="str">
        <f>IFERROR(__xludf.DUMMYFUNCTION("""COMPUTED_VALUE"""),"")</f>
        <v/>
      </c>
    </row>
    <row r="9117">
      <c r="A9117" s="16" t="s">
        <v>87</v>
      </c>
      <c r="E9117" s="16" t="str">
        <f>IFERROR(__xludf.DUMMYFUNCTION("""COMPUTED_VALUE"""),"")</f>
        <v/>
      </c>
      <c r="G9117" s="18"/>
      <c r="H9117" s="16" t="s">
        <v>87</v>
      </c>
      <c r="I9117" s="16" t="s">
        <v>87</v>
      </c>
      <c r="J9117" s="19"/>
      <c r="L9117" s="16" t="str">
        <f>IFERROR(__xludf.DUMMYFUNCTION("""COMPUTED_VALUE"""),"")</f>
        <v/>
      </c>
      <c r="M9117" s="16" t="str">
        <f>IFERROR(__xludf.DUMMYFUNCTION("""COMPUTED_VALUE"""),"")</f>
        <v/>
      </c>
      <c r="U9117" s="16" t="s">
        <v>87</v>
      </c>
      <c r="V9117" s="16" t="str">
        <f>IFERROR(__xludf.DUMMYFUNCTION("""COMPUTED_VALUE"""),"")</f>
        <v/>
      </c>
      <c r="W9117" s="16" t="str">
        <f>IFERROR(__xludf.DUMMYFUNCTION("""COMPUTED_VALUE"""),"")</f>
        <v/>
      </c>
      <c r="X9117" s="16" t="str">
        <f>IFERROR(__xludf.DUMMYFUNCTION("""COMPUTED_VALUE"""),"")</f>
        <v/>
      </c>
      <c r="AC9117" s="16" t="str">
        <f>IFERROR(__xludf.DUMMYFUNCTION("""COMPUTED_VALUE"""),"")</f>
        <v/>
      </c>
    </row>
    <row r="9118">
      <c r="A9118" s="16" t="s">
        <v>87</v>
      </c>
      <c r="E9118" s="16" t="str">
        <f>IFERROR(__xludf.DUMMYFUNCTION("""COMPUTED_VALUE"""),"")</f>
        <v/>
      </c>
      <c r="G9118" s="18"/>
      <c r="H9118" s="16" t="s">
        <v>87</v>
      </c>
      <c r="I9118" s="16" t="s">
        <v>87</v>
      </c>
      <c r="J9118" s="19"/>
      <c r="L9118" s="16" t="str">
        <f>IFERROR(__xludf.DUMMYFUNCTION("""COMPUTED_VALUE"""),"")</f>
        <v/>
      </c>
      <c r="M9118" s="16" t="str">
        <f>IFERROR(__xludf.DUMMYFUNCTION("""COMPUTED_VALUE"""),"")</f>
        <v/>
      </c>
      <c r="U9118" s="16" t="s">
        <v>87</v>
      </c>
      <c r="V9118" s="16" t="str">
        <f>IFERROR(__xludf.DUMMYFUNCTION("""COMPUTED_VALUE"""),"")</f>
        <v/>
      </c>
      <c r="W9118" s="16" t="str">
        <f>IFERROR(__xludf.DUMMYFUNCTION("""COMPUTED_VALUE"""),"")</f>
        <v/>
      </c>
      <c r="X9118" s="16" t="str">
        <f>IFERROR(__xludf.DUMMYFUNCTION("""COMPUTED_VALUE"""),"")</f>
        <v/>
      </c>
      <c r="AC9118" s="16" t="str">
        <f>IFERROR(__xludf.DUMMYFUNCTION("""COMPUTED_VALUE"""),"")</f>
        <v/>
      </c>
    </row>
    <row r="9119">
      <c r="A9119" s="16" t="s">
        <v>87</v>
      </c>
      <c r="E9119" s="16" t="str">
        <f>IFERROR(__xludf.DUMMYFUNCTION("""COMPUTED_VALUE"""),"")</f>
        <v/>
      </c>
      <c r="G9119" s="18"/>
      <c r="H9119" s="16" t="s">
        <v>87</v>
      </c>
      <c r="I9119" s="16" t="s">
        <v>87</v>
      </c>
      <c r="J9119" s="19"/>
      <c r="L9119" s="16" t="str">
        <f>IFERROR(__xludf.DUMMYFUNCTION("""COMPUTED_VALUE"""),"")</f>
        <v/>
      </c>
      <c r="M9119" s="16" t="str">
        <f>IFERROR(__xludf.DUMMYFUNCTION("""COMPUTED_VALUE"""),"")</f>
        <v/>
      </c>
      <c r="U9119" s="16" t="s">
        <v>87</v>
      </c>
      <c r="V9119" s="16" t="str">
        <f>IFERROR(__xludf.DUMMYFUNCTION("""COMPUTED_VALUE"""),"")</f>
        <v/>
      </c>
      <c r="W9119" s="16" t="str">
        <f>IFERROR(__xludf.DUMMYFUNCTION("""COMPUTED_VALUE"""),"")</f>
        <v/>
      </c>
      <c r="X9119" s="16" t="str">
        <f>IFERROR(__xludf.DUMMYFUNCTION("""COMPUTED_VALUE"""),"")</f>
        <v/>
      </c>
      <c r="AC9119" s="16" t="str">
        <f>IFERROR(__xludf.DUMMYFUNCTION("""COMPUTED_VALUE"""),"")</f>
        <v/>
      </c>
    </row>
    <row r="9120">
      <c r="A9120" s="16" t="s">
        <v>87</v>
      </c>
      <c r="E9120" s="16" t="str">
        <f>IFERROR(__xludf.DUMMYFUNCTION("""COMPUTED_VALUE"""),"")</f>
        <v/>
      </c>
      <c r="G9120" s="18"/>
      <c r="H9120" s="16" t="s">
        <v>87</v>
      </c>
      <c r="I9120" s="16" t="s">
        <v>87</v>
      </c>
      <c r="J9120" s="19"/>
      <c r="L9120" s="16" t="str">
        <f>IFERROR(__xludf.DUMMYFUNCTION("""COMPUTED_VALUE"""),"")</f>
        <v/>
      </c>
      <c r="M9120" s="16" t="str">
        <f>IFERROR(__xludf.DUMMYFUNCTION("""COMPUTED_VALUE"""),"")</f>
        <v/>
      </c>
      <c r="U9120" s="16" t="s">
        <v>87</v>
      </c>
      <c r="V9120" s="16" t="str">
        <f>IFERROR(__xludf.DUMMYFUNCTION("""COMPUTED_VALUE"""),"")</f>
        <v/>
      </c>
      <c r="W9120" s="16" t="str">
        <f>IFERROR(__xludf.DUMMYFUNCTION("""COMPUTED_VALUE"""),"")</f>
        <v/>
      </c>
      <c r="X9120" s="16" t="str">
        <f>IFERROR(__xludf.DUMMYFUNCTION("""COMPUTED_VALUE"""),"")</f>
        <v/>
      </c>
      <c r="AC9120" s="16" t="str">
        <f>IFERROR(__xludf.DUMMYFUNCTION("""COMPUTED_VALUE"""),"")</f>
        <v/>
      </c>
    </row>
    <row r="9121">
      <c r="A9121" s="16" t="s">
        <v>87</v>
      </c>
      <c r="E9121" s="16" t="str">
        <f>IFERROR(__xludf.DUMMYFUNCTION("""COMPUTED_VALUE"""),"")</f>
        <v/>
      </c>
      <c r="G9121" s="18"/>
      <c r="H9121" s="16" t="s">
        <v>87</v>
      </c>
      <c r="I9121" s="16" t="s">
        <v>87</v>
      </c>
      <c r="J9121" s="19"/>
      <c r="L9121" s="16" t="str">
        <f>IFERROR(__xludf.DUMMYFUNCTION("""COMPUTED_VALUE"""),"")</f>
        <v/>
      </c>
      <c r="M9121" s="16" t="str">
        <f>IFERROR(__xludf.DUMMYFUNCTION("""COMPUTED_VALUE"""),"")</f>
        <v/>
      </c>
      <c r="U9121" s="16" t="s">
        <v>87</v>
      </c>
      <c r="V9121" s="16" t="str">
        <f>IFERROR(__xludf.DUMMYFUNCTION("""COMPUTED_VALUE"""),"")</f>
        <v/>
      </c>
      <c r="W9121" s="16" t="str">
        <f>IFERROR(__xludf.DUMMYFUNCTION("""COMPUTED_VALUE"""),"")</f>
        <v/>
      </c>
      <c r="X9121" s="16" t="str">
        <f>IFERROR(__xludf.DUMMYFUNCTION("""COMPUTED_VALUE"""),"")</f>
        <v/>
      </c>
      <c r="AC9121" s="16" t="str">
        <f>IFERROR(__xludf.DUMMYFUNCTION("""COMPUTED_VALUE"""),"")</f>
        <v/>
      </c>
    </row>
    <row r="9122">
      <c r="A9122" s="16" t="s">
        <v>87</v>
      </c>
      <c r="E9122" s="16" t="str">
        <f>IFERROR(__xludf.DUMMYFUNCTION("""COMPUTED_VALUE"""),"")</f>
        <v/>
      </c>
      <c r="G9122" s="18"/>
      <c r="H9122" s="16" t="s">
        <v>87</v>
      </c>
      <c r="I9122" s="16" t="s">
        <v>87</v>
      </c>
      <c r="J9122" s="19"/>
      <c r="L9122" s="16" t="str">
        <f>IFERROR(__xludf.DUMMYFUNCTION("""COMPUTED_VALUE"""),"")</f>
        <v/>
      </c>
      <c r="M9122" s="16" t="str">
        <f>IFERROR(__xludf.DUMMYFUNCTION("""COMPUTED_VALUE"""),"")</f>
        <v/>
      </c>
      <c r="U9122" s="16" t="s">
        <v>87</v>
      </c>
      <c r="V9122" s="16" t="str">
        <f>IFERROR(__xludf.DUMMYFUNCTION("""COMPUTED_VALUE"""),"")</f>
        <v/>
      </c>
      <c r="W9122" s="16" t="str">
        <f>IFERROR(__xludf.DUMMYFUNCTION("""COMPUTED_VALUE"""),"")</f>
        <v/>
      </c>
      <c r="X9122" s="16" t="str">
        <f>IFERROR(__xludf.DUMMYFUNCTION("""COMPUTED_VALUE"""),"")</f>
        <v/>
      </c>
      <c r="AC9122" s="16" t="str">
        <f>IFERROR(__xludf.DUMMYFUNCTION("""COMPUTED_VALUE"""),"")</f>
        <v/>
      </c>
    </row>
    <row r="9123">
      <c r="A9123" s="16" t="s">
        <v>87</v>
      </c>
      <c r="E9123" s="16" t="str">
        <f>IFERROR(__xludf.DUMMYFUNCTION("""COMPUTED_VALUE"""),"")</f>
        <v/>
      </c>
      <c r="G9123" s="18"/>
      <c r="H9123" s="16" t="s">
        <v>87</v>
      </c>
      <c r="I9123" s="16" t="s">
        <v>87</v>
      </c>
      <c r="J9123" s="19"/>
      <c r="L9123" s="16" t="str">
        <f>IFERROR(__xludf.DUMMYFUNCTION("""COMPUTED_VALUE"""),"")</f>
        <v/>
      </c>
      <c r="M9123" s="16" t="str">
        <f>IFERROR(__xludf.DUMMYFUNCTION("""COMPUTED_VALUE"""),"")</f>
        <v/>
      </c>
      <c r="U9123" s="16" t="s">
        <v>87</v>
      </c>
      <c r="V9123" s="16" t="str">
        <f>IFERROR(__xludf.DUMMYFUNCTION("""COMPUTED_VALUE"""),"")</f>
        <v/>
      </c>
      <c r="W9123" s="16" t="str">
        <f>IFERROR(__xludf.DUMMYFUNCTION("""COMPUTED_VALUE"""),"")</f>
        <v/>
      </c>
      <c r="X9123" s="16" t="str">
        <f>IFERROR(__xludf.DUMMYFUNCTION("""COMPUTED_VALUE"""),"")</f>
        <v/>
      </c>
      <c r="AC9123" s="16" t="str">
        <f>IFERROR(__xludf.DUMMYFUNCTION("""COMPUTED_VALUE"""),"")</f>
        <v/>
      </c>
    </row>
    <row r="9124">
      <c r="A9124" s="16" t="s">
        <v>87</v>
      </c>
      <c r="E9124" s="16" t="str">
        <f>IFERROR(__xludf.DUMMYFUNCTION("""COMPUTED_VALUE"""),"")</f>
        <v/>
      </c>
      <c r="G9124" s="18"/>
      <c r="H9124" s="16" t="s">
        <v>87</v>
      </c>
      <c r="I9124" s="16" t="s">
        <v>87</v>
      </c>
      <c r="J9124" s="19"/>
      <c r="L9124" s="16" t="str">
        <f>IFERROR(__xludf.DUMMYFUNCTION("""COMPUTED_VALUE"""),"")</f>
        <v/>
      </c>
      <c r="M9124" s="16" t="str">
        <f>IFERROR(__xludf.DUMMYFUNCTION("""COMPUTED_VALUE"""),"")</f>
        <v/>
      </c>
      <c r="U9124" s="16" t="s">
        <v>87</v>
      </c>
      <c r="V9124" s="16" t="str">
        <f>IFERROR(__xludf.DUMMYFUNCTION("""COMPUTED_VALUE"""),"")</f>
        <v/>
      </c>
      <c r="W9124" s="16" t="str">
        <f>IFERROR(__xludf.DUMMYFUNCTION("""COMPUTED_VALUE"""),"")</f>
        <v/>
      </c>
      <c r="X9124" s="16" t="str">
        <f>IFERROR(__xludf.DUMMYFUNCTION("""COMPUTED_VALUE"""),"")</f>
        <v/>
      </c>
      <c r="AC9124" s="16" t="str">
        <f>IFERROR(__xludf.DUMMYFUNCTION("""COMPUTED_VALUE"""),"")</f>
        <v/>
      </c>
    </row>
    <row r="9125">
      <c r="A9125" s="16" t="s">
        <v>87</v>
      </c>
      <c r="E9125" s="16" t="str">
        <f>IFERROR(__xludf.DUMMYFUNCTION("""COMPUTED_VALUE"""),"")</f>
        <v/>
      </c>
      <c r="G9125" s="18"/>
      <c r="H9125" s="16" t="s">
        <v>87</v>
      </c>
      <c r="I9125" s="16" t="s">
        <v>87</v>
      </c>
      <c r="J9125" s="19"/>
      <c r="L9125" s="16" t="str">
        <f>IFERROR(__xludf.DUMMYFUNCTION("""COMPUTED_VALUE"""),"")</f>
        <v/>
      </c>
      <c r="M9125" s="16" t="str">
        <f>IFERROR(__xludf.DUMMYFUNCTION("""COMPUTED_VALUE"""),"")</f>
        <v/>
      </c>
      <c r="U9125" s="16" t="s">
        <v>87</v>
      </c>
      <c r="V9125" s="16" t="str">
        <f>IFERROR(__xludf.DUMMYFUNCTION("""COMPUTED_VALUE"""),"")</f>
        <v/>
      </c>
      <c r="W9125" s="16" t="str">
        <f>IFERROR(__xludf.DUMMYFUNCTION("""COMPUTED_VALUE"""),"")</f>
        <v/>
      </c>
      <c r="X9125" s="16" t="str">
        <f>IFERROR(__xludf.DUMMYFUNCTION("""COMPUTED_VALUE"""),"")</f>
        <v/>
      </c>
      <c r="AC9125" s="16" t="str">
        <f>IFERROR(__xludf.DUMMYFUNCTION("""COMPUTED_VALUE"""),"")</f>
        <v/>
      </c>
    </row>
    <row r="9126">
      <c r="A9126" s="16" t="s">
        <v>87</v>
      </c>
      <c r="E9126" s="16" t="str">
        <f>IFERROR(__xludf.DUMMYFUNCTION("""COMPUTED_VALUE"""),"")</f>
        <v/>
      </c>
      <c r="G9126" s="18"/>
      <c r="H9126" s="16" t="s">
        <v>87</v>
      </c>
      <c r="I9126" s="16" t="s">
        <v>87</v>
      </c>
      <c r="J9126" s="19"/>
      <c r="L9126" s="16" t="str">
        <f>IFERROR(__xludf.DUMMYFUNCTION("""COMPUTED_VALUE"""),"")</f>
        <v/>
      </c>
      <c r="M9126" s="16" t="str">
        <f>IFERROR(__xludf.DUMMYFUNCTION("""COMPUTED_VALUE"""),"")</f>
        <v/>
      </c>
      <c r="U9126" s="16" t="s">
        <v>87</v>
      </c>
      <c r="V9126" s="16" t="str">
        <f>IFERROR(__xludf.DUMMYFUNCTION("""COMPUTED_VALUE"""),"")</f>
        <v/>
      </c>
      <c r="W9126" s="16" t="str">
        <f>IFERROR(__xludf.DUMMYFUNCTION("""COMPUTED_VALUE"""),"")</f>
        <v/>
      </c>
      <c r="X9126" s="16" t="str">
        <f>IFERROR(__xludf.DUMMYFUNCTION("""COMPUTED_VALUE"""),"")</f>
        <v/>
      </c>
      <c r="AC9126" s="16" t="str">
        <f>IFERROR(__xludf.DUMMYFUNCTION("""COMPUTED_VALUE"""),"")</f>
        <v/>
      </c>
    </row>
    <row r="9127">
      <c r="A9127" s="16" t="s">
        <v>87</v>
      </c>
      <c r="E9127" s="16" t="str">
        <f>IFERROR(__xludf.DUMMYFUNCTION("""COMPUTED_VALUE"""),"")</f>
        <v/>
      </c>
      <c r="G9127" s="18"/>
      <c r="H9127" s="16" t="s">
        <v>87</v>
      </c>
      <c r="I9127" s="16" t="s">
        <v>87</v>
      </c>
      <c r="J9127" s="19"/>
      <c r="L9127" s="16" t="str">
        <f>IFERROR(__xludf.DUMMYFUNCTION("""COMPUTED_VALUE"""),"")</f>
        <v/>
      </c>
      <c r="M9127" s="16" t="str">
        <f>IFERROR(__xludf.DUMMYFUNCTION("""COMPUTED_VALUE"""),"")</f>
        <v/>
      </c>
      <c r="U9127" s="16" t="s">
        <v>87</v>
      </c>
      <c r="V9127" s="16" t="str">
        <f>IFERROR(__xludf.DUMMYFUNCTION("""COMPUTED_VALUE"""),"")</f>
        <v/>
      </c>
      <c r="W9127" s="16" t="str">
        <f>IFERROR(__xludf.DUMMYFUNCTION("""COMPUTED_VALUE"""),"")</f>
        <v/>
      </c>
      <c r="X9127" s="16" t="str">
        <f>IFERROR(__xludf.DUMMYFUNCTION("""COMPUTED_VALUE"""),"")</f>
        <v/>
      </c>
      <c r="AC9127" s="16" t="str">
        <f>IFERROR(__xludf.DUMMYFUNCTION("""COMPUTED_VALUE"""),"")</f>
        <v/>
      </c>
    </row>
    <row r="9128">
      <c r="A9128" s="16" t="s">
        <v>87</v>
      </c>
      <c r="E9128" s="16" t="str">
        <f>IFERROR(__xludf.DUMMYFUNCTION("""COMPUTED_VALUE"""),"")</f>
        <v/>
      </c>
      <c r="G9128" s="18"/>
      <c r="H9128" s="16" t="s">
        <v>87</v>
      </c>
      <c r="I9128" s="16" t="s">
        <v>87</v>
      </c>
      <c r="J9128" s="19"/>
      <c r="L9128" s="16" t="str">
        <f>IFERROR(__xludf.DUMMYFUNCTION("""COMPUTED_VALUE"""),"")</f>
        <v/>
      </c>
      <c r="M9128" s="16" t="str">
        <f>IFERROR(__xludf.DUMMYFUNCTION("""COMPUTED_VALUE"""),"")</f>
        <v/>
      </c>
      <c r="U9128" s="16" t="s">
        <v>87</v>
      </c>
      <c r="V9128" s="16" t="str">
        <f>IFERROR(__xludf.DUMMYFUNCTION("""COMPUTED_VALUE"""),"")</f>
        <v/>
      </c>
      <c r="W9128" s="16" t="str">
        <f>IFERROR(__xludf.DUMMYFUNCTION("""COMPUTED_VALUE"""),"")</f>
        <v/>
      </c>
      <c r="X9128" s="16" t="str">
        <f>IFERROR(__xludf.DUMMYFUNCTION("""COMPUTED_VALUE"""),"")</f>
        <v/>
      </c>
      <c r="AC9128" s="16" t="str">
        <f>IFERROR(__xludf.DUMMYFUNCTION("""COMPUTED_VALUE"""),"")</f>
        <v/>
      </c>
    </row>
    <row r="9129">
      <c r="A9129" s="16" t="s">
        <v>87</v>
      </c>
      <c r="E9129" s="16" t="str">
        <f>IFERROR(__xludf.DUMMYFUNCTION("""COMPUTED_VALUE"""),"")</f>
        <v/>
      </c>
      <c r="G9129" s="18"/>
      <c r="H9129" s="16" t="s">
        <v>87</v>
      </c>
      <c r="I9129" s="16" t="s">
        <v>87</v>
      </c>
      <c r="J9129" s="19"/>
      <c r="L9129" s="16" t="str">
        <f>IFERROR(__xludf.DUMMYFUNCTION("""COMPUTED_VALUE"""),"")</f>
        <v/>
      </c>
      <c r="M9129" s="16" t="str">
        <f>IFERROR(__xludf.DUMMYFUNCTION("""COMPUTED_VALUE"""),"")</f>
        <v/>
      </c>
      <c r="U9129" s="16" t="s">
        <v>87</v>
      </c>
      <c r="V9129" s="16" t="str">
        <f>IFERROR(__xludf.DUMMYFUNCTION("""COMPUTED_VALUE"""),"")</f>
        <v/>
      </c>
      <c r="W9129" s="16" t="str">
        <f>IFERROR(__xludf.DUMMYFUNCTION("""COMPUTED_VALUE"""),"")</f>
        <v/>
      </c>
      <c r="X9129" s="16" t="str">
        <f>IFERROR(__xludf.DUMMYFUNCTION("""COMPUTED_VALUE"""),"")</f>
        <v/>
      </c>
      <c r="AC9129" s="16" t="str">
        <f>IFERROR(__xludf.DUMMYFUNCTION("""COMPUTED_VALUE"""),"")</f>
        <v/>
      </c>
    </row>
    <row r="9130">
      <c r="A9130" s="16" t="s">
        <v>87</v>
      </c>
      <c r="E9130" s="16" t="str">
        <f>IFERROR(__xludf.DUMMYFUNCTION("""COMPUTED_VALUE"""),"")</f>
        <v/>
      </c>
      <c r="G9130" s="18"/>
      <c r="H9130" s="16" t="s">
        <v>87</v>
      </c>
      <c r="I9130" s="16" t="s">
        <v>87</v>
      </c>
      <c r="J9130" s="19"/>
      <c r="L9130" s="16" t="str">
        <f>IFERROR(__xludf.DUMMYFUNCTION("""COMPUTED_VALUE"""),"")</f>
        <v/>
      </c>
      <c r="M9130" s="16" t="str">
        <f>IFERROR(__xludf.DUMMYFUNCTION("""COMPUTED_VALUE"""),"")</f>
        <v/>
      </c>
      <c r="U9130" s="16" t="s">
        <v>87</v>
      </c>
      <c r="V9130" s="16" t="str">
        <f>IFERROR(__xludf.DUMMYFUNCTION("""COMPUTED_VALUE"""),"")</f>
        <v/>
      </c>
      <c r="W9130" s="16" t="str">
        <f>IFERROR(__xludf.DUMMYFUNCTION("""COMPUTED_VALUE"""),"")</f>
        <v/>
      </c>
      <c r="X9130" s="16" t="str">
        <f>IFERROR(__xludf.DUMMYFUNCTION("""COMPUTED_VALUE"""),"")</f>
        <v/>
      </c>
      <c r="AC9130" s="16" t="str">
        <f>IFERROR(__xludf.DUMMYFUNCTION("""COMPUTED_VALUE"""),"")</f>
        <v/>
      </c>
    </row>
    <row r="9131">
      <c r="A9131" s="16" t="s">
        <v>87</v>
      </c>
      <c r="E9131" s="16" t="str">
        <f>IFERROR(__xludf.DUMMYFUNCTION("""COMPUTED_VALUE"""),"")</f>
        <v/>
      </c>
      <c r="G9131" s="18"/>
      <c r="H9131" s="16" t="s">
        <v>87</v>
      </c>
      <c r="I9131" s="16" t="s">
        <v>87</v>
      </c>
      <c r="J9131" s="19"/>
      <c r="L9131" s="16" t="str">
        <f>IFERROR(__xludf.DUMMYFUNCTION("""COMPUTED_VALUE"""),"")</f>
        <v/>
      </c>
      <c r="M9131" s="16" t="str">
        <f>IFERROR(__xludf.DUMMYFUNCTION("""COMPUTED_VALUE"""),"")</f>
        <v/>
      </c>
      <c r="U9131" s="16" t="s">
        <v>87</v>
      </c>
      <c r="V9131" s="16" t="str">
        <f>IFERROR(__xludf.DUMMYFUNCTION("""COMPUTED_VALUE"""),"")</f>
        <v/>
      </c>
      <c r="W9131" s="16" t="str">
        <f>IFERROR(__xludf.DUMMYFUNCTION("""COMPUTED_VALUE"""),"")</f>
        <v/>
      </c>
      <c r="X9131" s="16" t="str">
        <f>IFERROR(__xludf.DUMMYFUNCTION("""COMPUTED_VALUE"""),"")</f>
        <v/>
      </c>
      <c r="AC9131" s="16" t="str">
        <f>IFERROR(__xludf.DUMMYFUNCTION("""COMPUTED_VALUE"""),"")</f>
        <v/>
      </c>
    </row>
    <row r="9132">
      <c r="A9132" s="16" t="s">
        <v>87</v>
      </c>
      <c r="E9132" s="16" t="str">
        <f>IFERROR(__xludf.DUMMYFUNCTION("""COMPUTED_VALUE"""),"")</f>
        <v/>
      </c>
      <c r="G9132" s="18"/>
      <c r="H9132" s="16" t="s">
        <v>87</v>
      </c>
      <c r="I9132" s="16" t="s">
        <v>87</v>
      </c>
      <c r="J9132" s="19"/>
      <c r="L9132" s="16" t="str">
        <f>IFERROR(__xludf.DUMMYFUNCTION("""COMPUTED_VALUE"""),"")</f>
        <v/>
      </c>
      <c r="M9132" s="16" t="str">
        <f>IFERROR(__xludf.DUMMYFUNCTION("""COMPUTED_VALUE"""),"")</f>
        <v/>
      </c>
      <c r="U9132" s="16" t="s">
        <v>87</v>
      </c>
      <c r="V9132" s="16" t="str">
        <f>IFERROR(__xludf.DUMMYFUNCTION("""COMPUTED_VALUE"""),"")</f>
        <v/>
      </c>
      <c r="W9132" s="16" t="str">
        <f>IFERROR(__xludf.DUMMYFUNCTION("""COMPUTED_VALUE"""),"")</f>
        <v/>
      </c>
      <c r="X9132" s="16" t="str">
        <f>IFERROR(__xludf.DUMMYFUNCTION("""COMPUTED_VALUE"""),"")</f>
        <v/>
      </c>
      <c r="AC9132" s="16" t="str">
        <f>IFERROR(__xludf.DUMMYFUNCTION("""COMPUTED_VALUE"""),"")</f>
        <v/>
      </c>
    </row>
    <row r="9133">
      <c r="A9133" s="16" t="s">
        <v>87</v>
      </c>
      <c r="E9133" s="16" t="str">
        <f>IFERROR(__xludf.DUMMYFUNCTION("""COMPUTED_VALUE"""),"")</f>
        <v/>
      </c>
      <c r="G9133" s="18"/>
      <c r="H9133" s="16" t="s">
        <v>87</v>
      </c>
      <c r="I9133" s="16" t="s">
        <v>87</v>
      </c>
      <c r="J9133" s="19"/>
      <c r="L9133" s="16" t="str">
        <f>IFERROR(__xludf.DUMMYFUNCTION("""COMPUTED_VALUE"""),"")</f>
        <v/>
      </c>
      <c r="M9133" s="16" t="str">
        <f>IFERROR(__xludf.DUMMYFUNCTION("""COMPUTED_VALUE"""),"")</f>
        <v/>
      </c>
      <c r="U9133" s="16" t="s">
        <v>87</v>
      </c>
      <c r="V9133" s="16" t="str">
        <f>IFERROR(__xludf.DUMMYFUNCTION("""COMPUTED_VALUE"""),"")</f>
        <v/>
      </c>
      <c r="W9133" s="16" t="str">
        <f>IFERROR(__xludf.DUMMYFUNCTION("""COMPUTED_VALUE"""),"")</f>
        <v/>
      </c>
      <c r="X9133" s="16" t="str">
        <f>IFERROR(__xludf.DUMMYFUNCTION("""COMPUTED_VALUE"""),"")</f>
        <v/>
      </c>
      <c r="AC9133" s="16" t="str">
        <f>IFERROR(__xludf.DUMMYFUNCTION("""COMPUTED_VALUE"""),"")</f>
        <v/>
      </c>
    </row>
    <row r="9134">
      <c r="A9134" s="16" t="s">
        <v>87</v>
      </c>
      <c r="E9134" s="16" t="str">
        <f>IFERROR(__xludf.DUMMYFUNCTION("""COMPUTED_VALUE"""),"")</f>
        <v/>
      </c>
      <c r="G9134" s="18"/>
      <c r="H9134" s="16" t="s">
        <v>87</v>
      </c>
      <c r="I9134" s="16" t="s">
        <v>87</v>
      </c>
      <c r="J9134" s="19"/>
      <c r="L9134" s="16" t="str">
        <f>IFERROR(__xludf.DUMMYFUNCTION("""COMPUTED_VALUE"""),"")</f>
        <v/>
      </c>
      <c r="M9134" s="16" t="str">
        <f>IFERROR(__xludf.DUMMYFUNCTION("""COMPUTED_VALUE"""),"")</f>
        <v/>
      </c>
      <c r="U9134" s="16" t="s">
        <v>87</v>
      </c>
      <c r="V9134" s="16" t="str">
        <f>IFERROR(__xludf.DUMMYFUNCTION("""COMPUTED_VALUE"""),"")</f>
        <v/>
      </c>
      <c r="W9134" s="16" t="str">
        <f>IFERROR(__xludf.DUMMYFUNCTION("""COMPUTED_VALUE"""),"")</f>
        <v/>
      </c>
      <c r="X9134" s="16" t="str">
        <f>IFERROR(__xludf.DUMMYFUNCTION("""COMPUTED_VALUE"""),"")</f>
        <v/>
      </c>
      <c r="AC9134" s="16" t="str">
        <f>IFERROR(__xludf.DUMMYFUNCTION("""COMPUTED_VALUE"""),"")</f>
        <v/>
      </c>
    </row>
    <row r="9135">
      <c r="A9135" s="16" t="s">
        <v>87</v>
      </c>
      <c r="E9135" s="16" t="str">
        <f>IFERROR(__xludf.DUMMYFUNCTION("""COMPUTED_VALUE"""),"")</f>
        <v/>
      </c>
      <c r="G9135" s="18"/>
      <c r="H9135" s="16" t="s">
        <v>87</v>
      </c>
      <c r="I9135" s="16" t="s">
        <v>87</v>
      </c>
      <c r="J9135" s="19"/>
      <c r="L9135" s="16" t="str">
        <f>IFERROR(__xludf.DUMMYFUNCTION("""COMPUTED_VALUE"""),"")</f>
        <v/>
      </c>
      <c r="M9135" s="16" t="str">
        <f>IFERROR(__xludf.DUMMYFUNCTION("""COMPUTED_VALUE"""),"")</f>
        <v/>
      </c>
      <c r="U9135" s="16" t="s">
        <v>87</v>
      </c>
      <c r="V9135" s="16" t="str">
        <f>IFERROR(__xludf.DUMMYFUNCTION("""COMPUTED_VALUE"""),"")</f>
        <v/>
      </c>
      <c r="W9135" s="16" t="str">
        <f>IFERROR(__xludf.DUMMYFUNCTION("""COMPUTED_VALUE"""),"")</f>
        <v/>
      </c>
      <c r="X9135" s="16" t="str">
        <f>IFERROR(__xludf.DUMMYFUNCTION("""COMPUTED_VALUE"""),"")</f>
        <v/>
      </c>
      <c r="AC9135" s="16" t="str">
        <f>IFERROR(__xludf.DUMMYFUNCTION("""COMPUTED_VALUE"""),"")</f>
        <v/>
      </c>
    </row>
    <row r="9136">
      <c r="A9136" s="16" t="s">
        <v>87</v>
      </c>
      <c r="E9136" s="16" t="str">
        <f>IFERROR(__xludf.DUMMYFUNCTION("""COMPUTED_VALUE"""),"")</f>
        <v/>
      </c>
      <c r="G9136" s="18"/>
      <c r="H9136" s="16" t="s">
        <v>87</v>
      </c>
      <c r="I9136" s="16" t="s">
        <v>87</v>
      </c>
      <c r="J9136" s="19"/>
      <c r="L9136" s="16" t="str">
        <f>IFERROR(__xludf.DUMMYFUNCTION("""COMPUTED_VALUE"""),"")</f>
        <v/>
      </c>
      <c r="M9136" s="16" t="str">
        <f>IFERROR(__xludf.DUMMYFUNCTION("""COMPUTED_VALUE"""),"")</f>
        <v/>
      </c>
      <c r="U9136" s="16" t="s">
        <v>87</v>
      </c>
      <c r="V9136" s="16" t="str">
        <f>IFERROR(__xludf.DUMMYFUNCTION("""COMPUTED_VALUE"""),"")</f>
        <v/>
      </c>
      <c r="W9136" s="16" t="str">
        <f>IFERROR(__xludf.DUMMYFUNCTION("""COMPUTED_VALUE"""),"")</f>
        <v/>
      </c>
      <c r="X9136" s="16" t="str">
        <f>IFERROR(__xludf.DUMMYFUNCTION("""COMPUTED_VALUE"""),"")</f>
        <v/>
      </c>
      <c r="AC9136" s="16" t="str">
        <f>IFERROR(__xludf.DUMMYFUNCTION("""COMPUTED_VALUE"""),"")</f>
        <v/>
      </c>
    </row>
    <row r="9137">
      <c r="A9137" s="16" t="s">
        <v>87</v>
      </c>
      <c r="E9137" s="16" t="str">
        <f>IFERROR(__xludf.DUMMYFUNCTION("""COMPUTED_VALUE"""),"")</f>
        <v/>
      </c>
      <c r="G9137" s="18"/>
      <c r="H9137" s="16" t="s">
        <v>87</v>
      </c>
      <c r="I9137" s="16" t="s">
        <v>87</v>
      </c>
      <c r="J9137" s="19"/>
      <c r="L9137" s="16" t="str">
        <f>IFERROR(__xludf.DUMMYFUNCTION("""COMPUTED_VALUE"""),"")</f>
        <v/>
      </c>
      <c r="M9137" s="16" t="str">
        <f>IFERROR(__xludf.DUMMYFUNCTION("""COMPUTED_VALUE"""),"")</f>
        <v/>
      </c>
      <c r="U9137" s="16" t="s">
        <v>87</v>
      </c>
      <c r="V9137" s="16" t="str">
        <f>IFERROR(__xludf.DUMMYFUNCTION("""COMPUTED_VALUE"""),"")</f>
        <v/>
      </c>
      <c r="W9137" s="16" t="str">
        <f>IFERROR(__xludf.DUMMYFUNCTION("""COMPUTED_VALUE"""),"")</f>
        <v/>
      </c>
      <c r="X9137" s="16" t="str">
        <f>IFERROR(__xludf.DUMMYFUNCTION("""COMPUTED_VALUE"""),"")</f>
        <v/>
      </c>
      <c r="AC9137" s="16" t="str">
        <f>IFERROR(__xludf.DUMMYFUNCTION("""COMPUTED_VALUE"""),"")</f>
        <v/>
      </c>
    </row>
    <row r="9138">
      <c r="A9138" s="16" t="s">
        <v>87</v>
      </c>
      <c r="E9138" s="16" t="str">
        <f>IFERROR(__xludf.DUMMYFUNCTION("""COMPUTED_VALUE"""),"")</f>
        <v/>
      </c>
      <c r="G9138" s="18"/>
      <c r="H9138" s="16" t="s">
        <v>87</v>
      </c>
      <c r="I9138" s="16" t="s">
        <v>87</v>
      </c>
      <c r="J9138" s="19"/>
      <c r="L9138" s="16" t="str">
        <f>IFERROR(__xludf.DUMMYFUNCTION("""COMPUTED_VALUE"""),"")</f>
        <v/>
      </c>
      <c r="M9138" s="16" t="str">
        <f>IFERROR(__xludf.DUMMYFUNCTION("""COMPUTED_VALUE"""),"")</f>
        <v/>
      </c>
      <c r="U9138" s="16" t="s">
        <v>87</v>
      </c>
      <c r="V9138" s="16" t="str">
        <f>IFERROR(__xludf.DUMMYFUNCTION("""COMPUTED_VALUE"""),"")</f>
        <v/>
      </c>
      <c r="W9138" s="16" t="str">
        <f>IFERROR(__xludf.DUMMYFUNCTION("""COMPUTED_VALUE"""),"")</f>
        <v/>
      </c>
      <c r="X9138" s="16" t="str">
        <f>IFERROR(__xludf.DUMMYFUNCTION("""COMPUTED_VALUE"""),"")</f>
        <v/>
      </c>
      <c r="AC9138" s="16" t="str">
        <f>IFERROR(__xludf.DUMMYFUNCTION("""COMPUTED_VALUE"""),"")</f>
        <v/>
      </c>
    </row>
    <row r="9139">
      <c r="A9139" s="16" t="s">
        <v>87</v>
      </c>
      <c r="E9139" s="16" t="str">
        <f>IFERROR(__xludf.DUMMYFUNCTION("""COMPUTED_VALUE"""),"")</f>
        <v/>
      </c>
      <c r="G9139" s="18"/>
      <c r="H9139" s="16" t="s">
        <v>87</v>
      </c>
      <c r="I9139" s="16" t="s">
        <v>87</v>
      </c>
      <c r="J9139" s="19"/>
      <c r="L9139" s="16" t="str">
        <f>IFERROR(__xludf.DUMMYFUNCTION("""COMPUTED_VALUE"""),"")</f>
        <v/>
      </c>
      <c r="M9139" s="16" t="str">
        <f>IFERROR(__xludf.DUMMYFUNCTION("""COMPUTED_VALUE"""),"")</f>
        <v/>
      </c>
      <c r="U9139" s="16" t="s">
        <v>87</v>
      </c>
      <c r="V9139" s="16" t="str">
        <f>IFERROR(__xludf.DUMMYFUNCTION("""COMPUTED_VALUE"""),"")</f>
        <v/>
      </c>
      <c r="W9139" s="16" t="str">
        <f>IFERROR(__xludf.DUMMYFUNCTION("""COMPUTED_VALUE"""),"")</f>
        <v/>
      </c>
      <c r="X9139" s="16" t="str">
        <f>IFERROR(__xludf.DUMMYFUNCTION("""COMPUTED_VALUE"""),"")</f>
        <v/>
      </c>
      <c r="AC9139" s="16" t="str">
        <f>IFERROR(__xludf.DUMMYFUNCTION("""COMPUTED_VALUE"""),"")</f>
        <v/>
      </c>
    </row>
    <row r="9140">
      <c r="A9140" s="16" t="s">
        <v>87</v>
      </c>
      <c r="E9140" s="16" t="str">
        <f>IFERROR(__xludf.DUMMYFUNCTION("""COMPUTED_VALUE"""),"")</f>
        <v/>
      </c>
      <c r="G9140" s="18"/>
      <c r="H9140" s="16" t="s">
        <v>87</v>
      </c>
      <c r="I9140" s="16" t="s">
        <v>87</v>
      </c>
      <c r="J9140" s="19"/>
      <c r="L9140" s="16" t="str">
        <f>IFERROR(__xludf.DUMMYFUNCTION("""COMPUTED_VALUE"""),"")</f>
        <v/>
      </c>
      <c r="M9140" s="16" t="str">
        <f>IFERROR(__xludf.DUMMYFUNCTION("""COMPUTED_VALUE"""),"")</f>
        <v/>
      </c>
      <c r="U9140" s="16" t="s">
        <v>87</v>
      </c>
      <c r="V9140" s="16" t="str">
        <f>IFERROR(__xludf.DUMMYFUNCTION("""COMPUTED_VALUE"""),"")</f>
        <v/>
      </c>
      <c r="W9140" s="16" t="str">
        <f>IFERROR(__xludf.DUMMYFUNCTION("""COMPUTED_VALUE"""),"")</f>
        <v/>
      </c>
      <c r="X9140" s="16" t="str">
        <f>IFERROR(__xludf.DUMMYFUNCTION("""COMPUTED_VALUE"""),"")</f>
        <v/>
      </c>
      <c r="AC9140" s="16" t="str">
        <f>IFERROR(__xludf.DUMMYFUNCTION("""COMPUTED_VALUE"""),"")</f>
        <v/>
      </c>
    </row>
    <row r="9141">
      <c r="A9141" s="16" t="s">
        <v>87</v>
      </c>
      <c r="E9141" s="16" t="str">
        <f>IFERROR(__xludf.DUMMYFUNCTION("""COMPUTED_VALUE"""),"")</f>
        <v/>
      </c>
      <c r="G9141" s="18"/>
      <c r="H9141" s="16" t="s">
        <v>87</v>
      </c>
      <c r="I9141" s="16" t="s">
        <v>87</v>
      </c>
      <c r="J9141" s="19"/>
      <c r="L9141" s="16" t="str">
        <f>IFERROR(__xludf.DUMMYFUNCTION("""COMPUTED_VALUE"""),"")</f>
        <v/>
      </c>
      <c r="M9141" s="16" t="str">
        <f>IFERROR(__xludf.DUMMYFUNCTION("""COMPUTED_VALUE"""),"")</f>
        <v/>
      </c>
      <c r="U9141" s="16" t="s">
        <v>87</v>
      </c>
      <c r="V9141" s="16" t="str">
        <f>IFERROR(__xludf.DUMMYFUNCTION("""COMPUTED_VALUE"""),"")</f>
        <v/>
      </c>
      <c r="W9141" s="16" t="str">
        <f>IFERROR(__xludf.DUMMYFUNCTION("""COMPUTED_VALUE"""),"")</f>
        <v/>
      </c>
      <c r="X9141" s="16" t="str">
        <f>IFERROR(__xludf.DUMMYFUNCTION("""COMPUTED_VALUE"""),"")</f>
        <v/>
      </c>
      <c r="AC9141" s="16" t="str">
        <f>IFERROR(__xludf.DUMMYFUNCTION("""COMPUTED_VALUE"""),"")</f>
        <v/>
      </c>
    </row>
    <row r="9142">
      <c r="A9142" s="16" t="s">
        <v>87</v>
      </c>
      <c r="E9142" s="16" t="str">
        <f>IFERROR(__xludf.DUMMYFUNCTION("""COMPUTED_VALUE"""),"")</f>
        <v/>
      </c>
      <c r="G9142" s="18"/>
      <c r="H9142" s="16" t="s">
        <v>87</v>
      </c>
      <c r="I9142" s="16" t="s">
        <v>87</v>
      </c>
      <c r="J9142" s="19"/>
      <c r="L9142" s="16" t="str">
        <f>IFERROR(__xludf.DUMMYFUNCTION("""COMPUTED_VALUE"""),"")</f>
        <v/>
      </c>
      <c r="M9142" s="16" t="str">
        <f>IFERROR(__xludf.DUMMYFUNCTION("""COMPUTED_VALUE"""),"")</f>
        <v/>
      </c>
      <c r="U9142" s="16" t="s">
        <v>87</v>
      </c>
      <c r="V9142" s="16" t="str">
        <f>IFERROR(__xludf.DUMMYFUNCTION("""COMPUTED_VALUE"""),"")</f>
        <v/>
      </c>
      <c r="W9142" s="16" t="str">
        <f>IFERROR(__xludf.DUMMYFUNCTION("""COMPUTED_VALUE"""),"")</f>
        <v/>
      </c>
      <c r="X9142" s="16" t="str">
        <f>IFERROR(__xludf.DUMMYFUNCTION("""COMPUTED_VALUE"""),"")</f>
        <v/>
      </c>
      <c r="AC9142" s="16" t="str">
        <f>IFERROR(__xludf.DUMMYFUNCTION("""COMPUTED_VALUE"""),"")</f>
        <v/>
      </c>
    </row>
    <row r="9143">
      <c r="A9143" s="16" t="s">
        <v>87</v>
      </c>
      <c r="E9143" s="16" t="str">
        <f>IFERROR(__xludf.DUMMYFUNCTION("""COMPUTED_VALUE"""),"")</f>
        <v/>
      </c>
      <c r="G9143" s="18"/>
      <c r="H9143" s="16" t="s">
        <v>87</v>
      </c>
      <c r="I9143" s="16" t="s">
        <v>87</v>
      </c>
      <c r="J9143" s="19"/>
      <c r="L9143" s="16" t="str">
        <f>IFERROR(__xludf.DUMMYFUNCTION("""COMPUTED_VALUE"""),"")</f>
        <v/>
      </c>
      <c r="M9143" s="16" t="str">
        <f>IFERROR(__xludf.DUMMYFUNCTION("""COMPUTED_VALUE"""),"")</f>
        <v/>
      </c>
      <c r="U9143" s="16" t="s">
        <v>87</v>
      </c>
      <c r="V9143" s="16" t="str">
        <f>IFERROR(__xludf.DUMMYFUNCTION("""COMPUTED_VALUE"""),"")</f>
        <v/>
      </c>
      <c r="W9143" s="16" t="str">
        <f>IFERROR(__xludf.DUMMYFUNCTION("""COMPUTED_VALUE"""),"")</f>
        <v/>
      </c>
      <c r="X9143" s="16" t="str">
        <f>IFERROR(__xludf.DUMMYFUNCTION("""COMPUTED_VALUE"""),"")</f>
        <v/>
      </c>
      <c r="AC9143" s="16" t="str">
        <f>IFERROR(__xludf.DUMMYFUNCTION("""COMPUTED_VALUE"""),"")</f>
        <v/>
      </c>
    </row>
    <row r="9144">
      <c r="A9144" s="16" t="s">
        <v>87</v>
      </c>
      <c r="E9144" s="16" t="str">
        <f>IFERROR(__xludf.DUMMYFUNCTION("""COMPUTED_VALUE"""),"")</f>
        <v/>
      </c>
      <c r="G9144" s="18"/>
      <c r="H9144" s="16" t="s">
        <v>87</v>
      </c>
      <c r="I9144" s="16" t="s">
        <v>87</v>
      </c>
      <c r="J9144" s="19"/>
      <c r="L9144" s="16" t="str">
        <f>IFERROR(__xludf.DUMMYFUNCTION("""COMPUTED_VALUE"""),"")</f>
        <v/>
      </c>
      <c r="M9144" s="16" t="str">
        <f>IFERROR(__xludf.DUMMYFUNCTION("""COMPUTED_VALUE"""),"")</f>
        <v/>
      </c>
      <c r="U9144" s="16" t="s">
        <v>87</v>
      </c>
      <c r="V9144" s="16" t="str">
        <f>IFERROR(__xludf.DUMMYFUNCTION("""COMPUTED_VALUE"""),"")</f>
        <v/>
      </c>
      <c r="W9144" s="16" t="str">
        <f>IFERROR(__xludf.DUMMYFUNCTION("""COMPUTED_VALUE"""),"")</f>
        <v/>
      </c>
      <c r="X9144" s="16" t="str">
        <f>IFERROR(__xludf.DUMMYFUNCTION("""COMPUTED_VALUE"""),"")</f>
        <v/>
      </c>
      <c r="AC9144" s="16" t="str">
        <f>IFERROR(__xludf.DUMMYFUNCTION("""COMPUTED_VALUE"""),"")</f>
        <v/>
      </c>
    </row>
    <row r="9145">
      <c r="A9145" s="16" t="s">
        <v>87</v>
      </c>
      <c r="E9145" s="16" t="str">
        <f>IFERROR(__xludf.DUMMYFUNCTION("""COMPUTED_VALUE"""),"")</f>
        <v/>
      </c>
      <c r="G9145" s="18"/>
      <c r="H9145" s="16" t="s">
        <v>87</v>
      </c>
      <c r="I9145" s="16" t="s">
        <v>87</v>
      </c>
      <c r="J9145" s="19"/>
      <c r="L9145" s="16" t="str">
        <f>IFERROR(__xludf.DUMMYFUNCTION("""COMPUTED_VALUE"""),"")</f>
        <v/>
      </c>
      <c r="M9145" s="16" t="str">
        <f>IFERROR(__xludf.DUMMYFUNCTION("""COMPUTED_VALUE"""),"")</f>
        <v/>
      </c>
      <c r="U9145" s="16" t="s">
        <v>87</v>
      </c>
      <c r="V9145" s="16" t="str">
        <f>IFERROR(__xludf.DUMMYFUNCTION("""COMPUTED_VALUE"""),"")</f>
        <v/>
      </c>
      <c r="W9145" s="16" t="str">
        <f>IFERROR(__xludf.DUMMYFUNCTION("""COMPUTED_VALUE"""),"")</f>
        <v/>
      </c>
      <c r="X9145" s="16" t="str">
        <f>IFERROR(__xludf.DUMMYFUNCTION("""COMPUTED_VALUE"""),"")</f>
        <v/>
      </c>
      <c r="AC9145" s="16" t="str">
        <f>IFERROR(__xludf.DUMMYFUNCTION("""COMPUTED_VALUE"""),"")</f>
        <v/>
      </c>
    </row>
    <row r="9146">
      <c r="A9146" s="16" t="s">
        <v>87</v>
      </c>
      <c r="E9146" s="16" t="str">
        <f>IFERROR(__xludf.DUMMYFUNCTION("""COMPUTED_VALUE"""),"")</f>
        <v/>
      </c>
      <c r="G9146" s="18"/>
      <c r="H9146" s="16" t="s">
        <v>87</v>
      </c>
      <c r="I9146" s="16" t="s">
        <v>87</v>
      </c>
      <c r="J9146" s="19"/>
      <c r="L9146" s="16" t="str">
        <f>IFERROR(__xludf.DUMMYFUNCTION("""COMPUTED_VALUE"""),"")</f>
        <v/>
      </c>
      <c r="M9146" s="16" t="str">
        <f>IFERROR(__xludf.DUMMYFUNCTION("""COMPUTED_VALUE"""),"")</f>
        <v/>
      </c>
      <c r="U9146" s="16" t="s">
        <v>87</v>
      </c>
      <c r="V9146" s="16" t="str">
        <f>IFERROR(__xludf.DUMMYFUNCTION("""COMPUTED_VALUE"""),"")</f>
        <v/>
      </c>
      <c r="W9146" s="16" t="str">
        <f>IFERROR(__xludf.DUMMYFUNCTION("""COMPUTED_VALUE"""),"")</f>
        <v/>
      </c>
      <c r="X9146" s="16" t="str">
        <f>IFERROR(__xludf.DUMMYFUNCTION("""COMPUTED_VALUE"""),"")</f>
        <v/>
      </c>
      <c r="AC9146" s="16" t="str">
        <f>IFERROR(__xludf.DUMMYFUNCTION("""COMPUTED_VALUE"""),"")</f>
        <v/>
      </c>
    </row>
    <row r="9147">
      <c r="A9147" s="16" t="s">
        <v>87</v>
      </c>
      <c r="E9147" s="16" t="str">
        <f>IFERROR(__xludf.DUMMYFUNCTION("""COMPUTED_VALUE"""),"")</f>
        <v/>
      </c>
      <c r="G9147" s="18"/>
      <c r="H9147" s="16" t="s">
        <v>87</v>
      </c>
      <c r="I9147" s="16" t="s">
        <v>87</v>
      </c>
      <c r="J9147" s="19"/>
      <c r="L9147" s="16" t="str">
        <f>IFERROR(__xludf.DUMMYFUNCTION("""COMPUTED_VALUE"""),"")</f>
        <v/>
      </c>
      <c r="M9147" s="16" t="str">
        <f>IFERROR(__xludf.DUMMYFUNCTION("""COMPUTED_VALUE"""),"")</f>
        <v/>
      </c>
      <c r="U9147" s="16" t="s">
        <v>87</v>
      </c>
      <c r="V9147" s="16" t="str">
        <f>IFERROR(__xludf.DUMMYFUNCTION("""COMPUTED_VALUE"""),"")</f>
        <v/>
      </c>
      <c r="W9147" s="16" t="str">
        <f>IFERROR(__xludf.DUMMYFUNCTION("""COMPUTED_VALUE"""),"")</f>
        <v/>
      </c>
      <c r="X9147" s="16" t="str">
        <f>IFERROR(__xludf.DUMMYFUNCTION("""COMPUTED_VALUE"""),"")</f>
        <v/>
      </c>
      <c r="AC9147" s="16" t="str">
        <f>IFERROR(__xludf.DUMMYFUNCTION("""COMPUTED_VALUE"""),"")</f>
        <v/>
      </c>
    </row>
    <row r="9148">
      <c r="A9148" s="16" t="s">
        <v>87</v>
      </c>
      <c r="E9148" s="16" t="str">
        <f>IFERROR(__xludf.DUMMYFUNCTION("""COMPUTED_VALUE"""),"")</f>
        <v/>
      </c>
      <c r="G9148" s="18"/>
      <c r="H9148" s="16" t="s">
        <v>87</v>
      </c>
      <c r="I9148" s="16" t="s">
        <v>87</v>
      </c>
      <c r="J9148" s="19"/>
      <c r="L9148" s="16" t="str">
        <f>IFERROR(__xludf.DUMMYFUNCTION("""COMPUTED_VALUE"""),"")</f>
        <v/>
      </c>
      <c r="M9148" s="16" t="str">
        <f>IFERROR(__xludf.DUMMYFUNCTION("""COMPUTED_VALUE"""),"")</f>
        <v/>
      </c>
      <c r="U9148" s="16" t="s">
        <v>87</v>
      </c>
      <c r="V9148" s="16" t="str">
        <f>IFERROR(__xludf.DUMMYFUNCTION("""COMPUTED_VALUE"""),"")</f>
        <v/>
      </c>
      <c r="W9148" s="16" t="str">
        <f>IFERROR(__xludf.DUMMYFUNCTION("""COMPUTED_VALUE"""),"")</f>
        <v/>
      </c>
      <c r="X9148" s="16" t="str">
        <f>IFERROR(__xludf.DUMMYFUNCTION("""COMPUTED_VALUE"""),"")</f>
        <v/>
      </c>
      <c r="AC9148" s="16" t="str">
        <f>IFERROR(__xludf.DUMMYFUNCTION("""COMPUTED_VALUE"""),"")</f>
        <v/>
      </c>
    </row>
    <row r="9149">
      <c r="A9149" s="16" t="s">
        <v>87</v>
      </c>
      <c r="E9149" s="16" t="str">
        <f>IFERROR(__xludf.DUMMYFUNCTION("""COMPUTED_VALUE"""),"")</f>
        <v/>
      </c>
      <c r="G9149" s="18"/>
      <c r="H9149" s="16" t="s">
        <v>87</v>
      </c>
      <c r="I9149" s="16" t="s">
        <v>87</v>
      </c>
      <c r="J9149" s="19"/>
      <c r="L9149" s="16" t="str">
        <f>IFERROR(__xludf.DUMMYFUNCTION("""COMPUTED_VALUE"""),"")</f>
        <v/>
      </c>
      <c r="M9149" s="16" t="str">
        <f>IFERROR(__xludf.DUMMYFUNCTION("""COMPUTED_VALUE"""),"")</f>
        <v/>
      </c>
      <c r="U9149" s="16" t="s">
        <v>87</v>
      </c>
      <c r="V9149" s="16" t="str">
        <f>IFERROR(__xludf.DUMMYFUNCTION("""COMPUTED_VALUE"""),"")</f>
        <v/>
      </c>
      <c r="W9149" s="16" t="str">
        <f>IFERROR(__xludf.DUMMYFUNCTION("""COMPUTED_VALUE"""),"")</f>
        <v/>
      </c>
      <c r="X9149" s="16" t="str">
        <f>IFERROR(__xludf.DUMMYFUNCTION("""COMPUTED_VALUE"""),"")</f>
        <v/>
      </c>
      <c r="AC9149" s="16" t="str">
        <f>IFERROR(__xludf.DUMMYFUNCTION("""COMPUTED_VALUE"""),"")</f>
        <v/>
      </c>
    </row>
    <row r="9150">
      <c r="A9150" s="16" t="s">
        <v>87</v>
      </c>
      <c r="E9150" s="16" t="str">
        <f>IFERROR(__xludf.DUMMYFUNCTION("""COMPUTED_VALUE"""),"")</f>
        <v/>
      </c>
      <c r="G9150" s="18"/>
      <c r="H9150" s="16" t="s">
        <v>87</v>
      </c>
      <c r="I9150" s="16" t="s">
        <v>87</v>
      </c>
      <c r="J9150" s="19"/>
      <c r="L9150" s="16" t="str">
        <f>IFERROR(__xludf.DUMMYFUNCTION("""COMPUTED_VALUE"""),"")</f>
        <v/>
      </c>
      <c r="M9150" s="16" t="str">
        <f>IFERROR(__xludf.DUMMYFUNCTION("""COMPUTED_VALUE"""),"")</f>
        <v/>
      </c>
      <c r="U9150" s="16" t="s">
        <v>87</v>
      </c>
      <c r="V9150" s="16" t="str">
        <f>IFERROR(__xludf.DUMMYFUNCTION("""COMPUTED_VALUE"""),"")</f>
        <v/>
      </c>
      <c r="W9150" s="16" t="str">
        <f>IFERROR(__xludf.DUMMYFUNCTION("""COMPUTED_VALUE"""),"")</f>
        <v/>
      </c>
      <c r="X9150" s="16" t="str">
        <f>IFERROR(__xludf.DUMMYFUNCTION("""COMPUTED_VALUE"""),"")</f>
        <v/>
      </c>
      <c r="AC9150" s="16" t="str">
        <f>IFERROR(__xludf.DUMMYFUNCTION("""COMPUTED_VALUE"""),"")</f>
        <v/>
      </c>
    </row>
    <row r="9151">
      <c r="A9151" s="16" t="s">
        <v>87</v>
      </c>
      <c r="E9151" s="16" t="str">
        <f>IFERROR(__xludf.DUMMYFUNCTION("""COMPUTED_VALUE"""),"")</f>
        <v/>
      </c>
      <c r="G9151" s="18"/>
      <c r="H9151" s="16" t="s">
        <v>87</v>
      </c>
      <c r="I9151" s="16" t="s">
        <v>87</v>
      </c>
      <c r="J9151" s="19"/>
      <c r="L9151" s="16" t="str">
        <f>IFERROR(__xludf.DUMMYFUNCTION("""COMPUTED_VALUE"""),"")</f>
        <v/>
      </c>
      <c r="M9151" s="16" t="str">
        <f>IFERROR(__xludf.DUMMYFUNCTION("""COMPUTED_VALUE"""),"")</f>
        <v/>
      </c>
      <c r="U9151" s="16" t="s">
        <v>87</v>
      </c>
      <c r="V9151" s="16" t="str">
        <f>IFERROR(__xludf.DUMMYFUNCTION("""COMPUTED_VALUE"""),"")</f>
        <v/>
      </c>
      <c r="W9151" s="16" t="str">
        <f>IFERROR(__xludf.DUMMYFUNCTION("""COMPUTED_VALUE"""),"")</f>
        <v/>
      </c>
      <c r="X9151" s="16" t="str">
        <f>IFERROR(__xludf.DUMMYFUNCTION("""COMPUTED_VALUE"""),"")</f>
        <v/>
      </c>
      <c r="AC9151" s="16" t="str">
        <f>IFERROR(__xludf.DUMMYFUNCTION("""COMPUTED_VALUE"""),"")</f>
        <v/>
      </c>
    </row>
    <row r="9152">
      <c r="A9152" s="16" t="s">
        <v>87</v>
      </c>
      <c r="E9152" s="16" t="str">
        <f>IFERROR(__xludf.DUMMYFUNCTION("""COMPUTED_VALUE"""),"")</f>
        <v/>
      </c>
      <c r="G9152" s="18"/>
      <c r="H9152" s="16" t="s">
        <v>87</v>
      </c>
      <c r="I9152" s="16" t="s">
        <v>87</v>
      </c>
      <c r="J9152" s="19"/>
      <c r="L9152" s="16" t="str">
        <f>IFERROR(__xludf.DUMMYFUNCTION("""COMPUTED_VALUE"""),"")</f>
        <v/>
      </c>
      <c r="M9152" s="16" t="str">
        <f>IFERROR(__xludf.DUMMYFUNCTION("""COMPUTED_VALUE"""),"")</f>
        <v/>
      </c>
      <c r="U9152" s="16" t="s">
        <v>87</v>
      </c>
      <c r="V9152" s="16" t="str">
        <f>IFERROR(__xludf.DUMMYFUNCTION("""COMPUTED_VALUE"""),"")</f>
        <v/>
      </c>
      <c r="W9152" s="16" t="str">
        <f>IFERROR(__xludf.DUMMYFUNCTION("""COMPUTED_VALUE"""),"")</f>
        <v/>
      </c>
      <c r="X9152" s="16" t="str">
        <f>IFERROR(__xludf.DUMMYFUNCTION("""COMPUTED_VALUE"""),"")</f>
        <v/>
      </c>
      <c r="AC9152" s="16" t="str">
        <f>IFERROR(__xludf.DUMMYFUNCTION("""COMPUTED_VALUE"""),"")</f>
        <v/>
      </c>
    </row>
    <row r="9153">
      <c r="A9153" s="16" t="s">
        <v>87</v>
      </c>
      <c r="E9153" s="16" t="str">
        <f>IFERROR(__xludf.DUMMYFUNCTION("""COMPUTED_VALUE"""),"")</f>
        <v/>
      </c>
      <c r="G9153" s="18"/>
      <c r="H9153" s="16" t="s">
        <v>87</v>
      </c>
      <c r="I9153" s="16" t="s">
        <v>87</v>
      </c>
      <c r="J9153" s="19"/>
      <c r="L9153" s="16" t="str">
        <f>IFERROR(__xludf.DUMMYFUNCTION("""COMPUTED_VALUE"""),"")</f>
        <v/>
      </c>
      <c r="M9153" s="16" t="str">
        <f>IFERROR(__xludf.DUMMYFUNCTION("""COMPUTED_VALUE"""),"")</f>
        <v/>
      </c>
      <c r="U9153" s="16" t="s">
        <v>87</v>
      </c>
      <c r="V9153" s="16" t="str">
        <f>IFERROR(__xludf.DUMMYFUNCTION("""COMPUTED_VALUE"""),"")</f>
        <v/>
      </c>
      <c r="W9153" s="16" t="str">
        <f>IFERROR(__xludf.DUMMYFUNCTION("""COMPUTED_VALUE"""),"")</f>
        <v/>
      </c>
      <c r="X9153" s="16" t="str">
        <f>IFERROR(__xludf.DUMMYFUNCTION("""COMPUTED_VALUE"""),"")</f>
        <v/>
      </c>
      <c r="AC9153" s="16" t="str">
        <f>IFERROR(__xludf.DUMMYFUNCTION("""COMPUTED_VALUE"""),"")</f>
        <v/>
      </c>
    </row>
    <row r="9154">
      <c r="A9154" s="16" t="s">
        <v>87</v>
      </c>
      <c r="E9154" s="16" t="str">
        <f>IFERROR(__xludf.DUMMYFUNCTION("""COMPUTED_VALUE"""),"")</f>
        <v/>
      </c>
      <c r="G9154" s="18"/>
      <c r="H9154" s="16" t="s">
        <v>87</v>
      </c>
      <c r="I9154" s="16" t="s">
        <v>87</v>
      </c>
      <c r="J9154" s="19"/>
      <c r="L9154" s="16" t="str">
        <f>IFERROR(__xludf.DUMMYFUNCTION("""COMPUTED_VALUE"""),"")</f>
        <v/>
      </c>
      <c r="M9154" s="16" t="str">
        <f>IFERROR(__xludf.DUMMYFUNCTION("""COMPUTED_VALUE"""),"")</f>
        <v/>
      </c>
      <c r="U9154" s="16" t="s">
        <v>87</v>
      </c>
      <c r="V9154" s="16" t="str">
        <f>IFERROR(__xludf.DUMMYFUNCTION("""COMPUTED_VALUE"""),"")</f>
        <v/>
      </c>
      <c r="W9154" s="16" t="str">
        <f>IFERROR(__xludf.DUMMYFUNCTION("""COMPUTED_VALUE"""),"")</f>
        <v/>
      </c>
      <c r="X9154" s="16" t="str">
        <f>IFERROR(__xludf.DUMMYFUNCTION("""COMPUTED_VALUE"""),"")</f>
        <v/>
      </c>
      <c r="AC9154" s="16" t="str">
        <f>IFERROR(__xludf.DUMMYFUNCTION("""COMPUTED_VALUE"""),"")</f>
        <v/>
      </c>
    </row>
    <row r="9155">
      <c r="A9155" s="16" t="s">
        <v>87</v>
      </c>
      <c r="E9155" s="16" t="str">
        <f>IFERROR(__xludf.DUMMYFUNCTION("""COMPUTED_VALUE"""),"")</f>
        <v/>
      </c>
      <c r="G9155" s="18"/>
      <c r="H9155" s="16" t="s">
        <v>87</v>
      </c>
      <c r="I9155" s="16" t="s">
        <v>87</v>
      </c>
      <c r="J9155" s="19"/>
      <c r="L9155" s="16" t="str">
        <f>IFERROR(__xludf.DUMMYFUNCTION("""COMPUTED_VALUE"""),"")</f>
        <v/>
      </c>
      <c r="M9155" s="16" t="str">
        <f>IFERROR(__xludf.DUMMYFUNCTION("""COMPUTED_VALUE"""),"")</f>
        <v/>
      </c>
      <c r="U9155" s="16" t="s">
        <v>87</v>
      </c>
      <c r="V9155" s="16" t="str">
        <f>IFERROR(__xludf.DUMMYFUNCTION("""COMPUTED_VALUE"""),"")</f>
        <v/>
      </c>
      <c r="W9155" s="16" t="str">
        <f>IFERROR(__xludf.DUMMYFUNCTION("""COMPUTED_VALUE"""),"")</f>
        <v/>
      </c>
      <c r="X9155" s="16" t="str">
        <f>IFERROR(__xludf.DUMMYFUNCTION("""COMPUTED_VALUE"""),"")</f>
        <v/>
      </c>
      <c r="AC9155" s="16" t="str">
        <f>IFERROR(__xludf.DUMMYFUNCTION("""COMPUTED_VALUE"""),"")</f>
        <v/>
      </c>
    </row>
    <row r="9156">
      <c r="A9156" s="16" t="s">
        <v>87</v>
      </c>
      <c r="E9156" s="16" t="str">
        <f>IFERROR(__xludf.DUMMYFUNCTION("""COMPUTED_VALUE"""),"")</f>
        <v/>
      </c>
      <c r="G9156" s="18"/>
      <c r="H9156" s="16" t="s">
        <v>87</v>
      </c>
      <c r="I9156" s="16" t="s">
        <v>87</v>
      </c>
      <c r="J9156" s="19"/>
      <c r="L9156" s="16" t="str">
        <f>IFERROR(__xludf.DUMMYFUNCTION("""COMPUTED_VALUE"""),"")</f>
        <v/>
      </c>
      <c r="M9156" s="16" t="str">
        <f>IFERROR(__xludf.DUMMYFUNCTION("""COMPUTED_VALUE"""),"")</f>
        <v/>
      </c>
      <c r="U9156" s="16" t="s">
        <v>87</v>
      </c>
      <c r="V9156" s="16" t="str">
        <f>IFERROR(__xludf.DUMMYFUNCTION("""COMPUTED_VALUE"""),"")</f>
        <v/>
      </c>
      <c r="W9156" s="16" t="str">
        <f>IFERROR(__xludf.DUMMYFUNCTION("""COMPUTED_VALUE"""),"")</f>
        <v/>
      </c>
      <c r="X9156" s="16" t="str">
        <f>IFERROR(__xludf.DUMMYFUNCTION("""COMPUTED_VALUE"""),"")</f>
        <v/>
      </c>
      <c r="AC9156" s="16" t="str">
        <f>IFERROR(__xludf.DUMMYFUNCTION("""COMPUTED_VALUE"""),"")</f>
        <v/>
      </c>
    </row>
    <row r="9157">
      <c r="A9157" s="16" t="s">
        <v>87</v>
      </c>
      <c r="E9157" s="16" t="str">
        <f>IFERROR(__xludf.DUMMYFUNCTION("""COMPUTED_VALUE"""),"")</f>
        <v/>
      </c>
      <c r="G9157" s="18"/>
      <c r="H9157" s="16" t="s">
        <v>87</v>
      </c>
      <c r="I9157" s="16" t="s">
        <v>87</v>
      </c>
      <c r="J9157" s="19"/>
      <c r="L9157" s="16" t="str">
        <f>IFERROR(__xludf.DUMMYFUNCTION("""COMPUTED_VALUE"""),"")</f>
        <v/>
      </c>
      <c r="M9157" s="16" t="str">
        <f>IFERROR(__xludf.DUMMYFUNCTION("""COMPUTED_VALUE"""),"")</f>
        <v/>
      </c>
      <c r="U9157" s="16" t="s">
        <v>87</v>
      </c>
      <c r="V9157" s="16" t="str">
        <f>IFERROR(__xludf.DUMMYFUNCTION("""COMPUTED_VALUE"""),"")</f>
        <v/>
      </c>
      <c r="W9157" s="16" t="str">
        <f>IFERROR(__xludf.DUMMYFUNCTION("""COMPUTED_VALUE"""),"")</f>
        <v/>
      </c>
      <c r="X9157" s="16" t="str">
        <f>IFERROR(__xludf.DUMMYFUNCTION("""COMPUTED_VALUE"""),"")</f>
        <v/>
      </c>
      <c r="AC9157" s="16" t="str">
        <f>IFERROR(__xludf.DUMMYFUNCTION("""COMPUTED_VALUE"""),"")</f>
        <v/>
      </c>
    </row>
    <row r="9158">
      <c r="A9158" s="16" t="s">
        <v>87</v>
      </c>
      <c r="E9158" s="16" t="str">
        <f>IFERROR(__xludf.DUMMYFUNCTION("""COMPUTED_VALUE"""),"")</f>
        <v/>
      </c>
      <c r="G9158" s="18"/>
      <c r="H9158" s="16" t="s">
        <v>87</v>
      </c>
      <c r="I9158" s="16" t="s">
        <v>87</v>
      </c>
      <c r="J9158" s="19"/>
      <c r="L9158" s="16" t="str">
        <f>IFERROR(__xludf.DUMMYFUNCTION("""COMPUTED_VALUE"""),"")</f>
        <v/>
      </c>
      <c r="M9158" s="16" t="str">
        <f>IFERROR(__xludf.DUMMYFUNCTION("""COMPUTED_VALUE"""),"")</f>
        <v/>
      </c>
      <c r="U9158" s="16" t="s">
        <v>87</v>
      </c>
      <c r="V9158" s="16" t="str">
        <f>IFERROR(__xludf.DUMMYFUNCTION("""COMPUTED_VALUE"""),"")</f>
        <v/>
      </c>
      <c r="W9158" s="16" t="str">
        <f>IFERROR(__xludf.DUMMYFUNCTION("""COMPUTED_VALUE"""),"")</f>
        <v/>
      </c>
      <c r="X9158" s="16" t="str">
        <f>IFERROR(__xludf.DUMMYFUNCTION("""COMPUTED_VALUE"""),"")</f>
        <v/>
      </c>
      <c r="AC9158" s="16" t="str">
        <f>IFERROR(__xludf.DUMMYFUNCTION("""COMPUTED_VALUE"""),"")</f>
        <v/>
      </c>
    </row>
    <row r="9159">
      <c r="A9159" s="16" t="s">
        <v>87</v>
      </c>
      <c r="E9159" s="16" t="str">
        <f>IFERROR(__xludf.DUMMYFUNCTION("""COMPUTED_VALUE"""),"")</f>
        <v/>
      </c>
      <c r="G9159" s="18"/>
      <c r="H9159" s="16" t="s">
        <v>87</v>
      </c>
      <c r="I9159" s="16" t="s">
        <v>87</v>
      </c>
      <c r="J9159" s="19"/>
      <c r="L9159" s="16" t="str">
        <f>IFERROR(__xludf.DUMMYFUNCTION("""COMPUTED_VALUE"""),"")</f>
        <v/>
      </c>
      <c r="M9159" s="16" t="str">
        <f>IFERROR(__xludf.DUMMYFUNCTION("""COMPUTED_VALUE"""),"")</f>
        <v/>
      </c>
      <c r="U9159" s="16" t="s">
        <v>87</v>
      </c>
      <c r="V9159" s="16" t="str">
        <f>IFERROR(__xludf.DUMMYFUNCTION("""COMPUTED_VALUE"""),"")</f>
        <v/>
      </c>
      <c r="W9159" s="16" t="str">
        <f>IFERROR(__xludf.DUMMYFUNCTION("""COMPUTED_VALUE"""),"")</f>
        <v/>
      </c>
      <c r="X9159" s="16" t="str">
        <f>IFERROR(__xludf.DUMMYFUNCTION("""COMPUTED_VALUE"""),"")</f>
        <v/>
      </c>
      <c r="AC9159" s="16" t="str">
        <f>IFERROR(__xludf.DUMMYFUNCTION("""COMPUTED_VALUE"""),"")</f>
        <v/>
      </c>
    </row>
    <row r="9160">
      <c r="A9160" s="16" t="s">
        <v>87</v>
      </c>
      <c r="E9160" s="16" t="str">
        <f>IFERROR(__xludf.DUMMYFUNCTION("""COMPUTED_VALUE"""),"")</f>
        <v/>
      </c>
      <c r="G9160" s="18"/>
      <c r="H9160" s="16" t="s">
        <v>87</v>
      </c>
      <c r="I9160" s="16" t="s">
        <v>87</v>
      </c>
      <c r="J9160" s="19"/>
      <c r="L9160" s="16" t="str">
        <f>IFERROR(__xludf.DUMMYFUNCTION("""COMPUTED_VALUE"""),"")</f>
        <v/>
      </c>
      <c r="M9160" s="16" t="str">
        <f>IFERROR(__xludf.DUMMYFUNCTION("""COMPUTED_VALUE"""),"")</f>
        <v/>
      </c>
      <c r="U9160" s="16" t="s">
        <v>87</v>
      </c>
      <c r="V9160" s="16" t="str">
        <f>IFERROR(__xludf.DUMMYFUNCTION("""COMPUTED_VALUE"""),"")</f>
        <v/>
      </c>
      <c r="W9160" s="16" t="str">
        <f>IFERROR(__xludf.DUMMYFUNCTION("""COMPUTED_VALUE"""),"")</f>
        <v/>
      </c>
      <c r="X9160" s="16" t="str">
        <f>IFERROR(__xludf.DUMMYFUNCTION("""COMPUTED_VALUE"""),"")</f>
        <v/>
      </c>
      <c r="AC9160" s="16" t="str">
        <f>IFERROR(__xludf.DUMMYFUNCTION("""COMPUTED_VALUE"""),"")</f>
        <v/>
      </c>
    </row>
    <row r="9161">
      <c r="A9161" s="16" t="s">
        <v>87</v>
      </c>
      <c r="E9161" s="16" t="str">
        <f>IFERROR(__xludf.DUMMYFUNCTION("""COMPUTED_VALUE"""),"")</f>
        <v/>
      </c>
      <c r="G9161" s="18"/>
      <c r="H9161" s="16" t="s">
        <v>87</v>
      </c>
      <c r="I9161" s="16" t="s">
        <v>87</v>
      </c>
      <c r="J9161" s="19"/>
      <c r="L9161" s="16" t="str">
        <f>IFERROR(__xludf.DUMMYFUNCTION("""COMPUTED_VALUE"""),"")</f>
        <v/>
      </c>
      <c r="M9161" s="16" t="str">
        <f>IFERROR(__xludf.DUMMYFUNCTION("""COMPUTED_VALUE"""),"")</f>
        <v/>
      </c>
      <c r="U9161" s="16" t="s">
        <v>87</v>
      </c>
      <c r="V9161" s="16" t="str">
        <f>IFERROR(__xludf.DUMMYFUNCTION("""COMPUTED_VALUE"""),"")</f>
        <v/>
      </c>
      <c r="W9161" s="16" t="str">
        <f>IFERROR(__xludf.DUMMYFUNCTION("""COMPUTED_VALUE"""),"")</f>
        <v/>
      </c>
      <c r="X9161" s="16" t="str">
        <f>IFERROR(__xludf.DUMMYFUNCTION("""COMPUTED_VALUE"""),"")</f>
        <v/>
      </c>
      <c r="AC9161" s="16" t="str">
        <f>IFERROR(__xludf.DUMMYFUNCTION("""COMPUTED_VALUE"""),"")</f>
        <v/>
      </c>
    </row>
    <row r="9162">
      <c r="A9162" s="16" t="s">
        <v>87</v>
      </c>
      <c r="E9162" s="16" t="str">
        <f>IFERROR(__xludf.DUMMYFUNCTION("""COMPUTED_VALUE"""),"")</f>
        <v/>
      </c>
      <c r="G9162" s="18"/>
      <c r="H9162" s="16" t="s">
        <v>87</v>
      </c>
      <c r="I9162" s="16" t="s">
        <v>87</v>
      </c>
      <c r="J9162" s="19"/>
      <c r="L9162" s="16" t="str">
        <f>IFERROR(__xludf.DUMMYFUNCTION("""COMPUTED_VALUE"""),"")</f>
        <v/>
      </c>
      <c r="M9162" s="16" t="str">
        <f>IFERROR(__xludf.DUMMYFUNCTION("""COMPUTED_VALUE"""),"")</f>
        <v/>
      </c>
      <c r="U9162" s="16" t="s">
        <v>87</v>
      </c>
      <c r="V9162" s="16" t="str">
        <f>IFERROR(__xludf.DUMMYFUNCTION("""COMPUTED_VALUE"""),"")</f>
        <v/>
      </c>
      <c r="W9162" s="16" t="str">
        <f>IFERROR(__xludf.DUMMYFUNCTION("""COMPUTED_VALUE"""),"")</f>
        <v/>
      </c>
      <c r="X9162" s="16" t="str">
        <f>IFERROR(__xludf.DUMMYFUNCTION("""COMPUTED_VALUE"""),"")</f>
        <v/>
      </c>
      <c r="AC9162" s="16" t="str">
        <f>IFERROR(__xludf.DUMMYFUNCTION("""COMPUTED_VALUE"""),"")</f>
        <v/>
      </c>
    </row>
    <row r="9163">
      <c r="A9163" s="16" t="s">
        <v>87</v>
      </c>
      <c r="E9163" s="16" t="str">
        <f>IFERROR(__xludf.DUMMYFUNCTION("""COMPUTED_VALUE"""),"")</f>
        <v/>
      </c>
      <c r="G9163" s="18"/>
      <c r="H9163" s="16" t="s">
        <v>87</v>
      </c>
      <c r="I9163" s="16" t="s">
        <v>87</v>
      </c>
      <c r="J9163" s="19"/>
      <c r="L9163" s="16" t="str">
        <f>IFERROR(__xludf.DUMMYFUNCTION("""COMPUTED_VALUE"""),"")</f>
        <v/>
      </c>
      <c r="M9163" s="16" t="str">
        <f>IFERROR(__xludf.DUMMYFUNCTION("""COMPUTED_VALUE"""),"")</f>
        <v/>
      </c>
      <c r="U9163" s="16" t="s">
        <v>87</v>
      </c>
      <c r="V9163" s="16" t="str">
        <f>IFERROR(__xludf.DUMMYFUNCTION("""COMPUTED_VALUE"""),"")</f>
        <v/>
      </c>
      <c r="W9163" s="16" t="str">
        <f>IFERROR(__xludf.DUMMYFUNCTION("""COMPUTED_VALUE"""),"")</f>
        <v/>
      </c>
      <c r="X9163" s="16" t="str">
        <f>IFERROR(__xludf.DUMMYFUNCTION("""COMPUTED_VALUE"""),"")</f>
        <v/>
      </c>
      <c r="AC9163" s="16" t="str">
        <f>IFERROR(__xludf.DUMMYFUNCTION("""COMPUTED_VALUE"""),"")</f>
        <v/>
      </c>
    </row>
    <row r="9164">
      <c r="A9164" s="16" t="s">
        <v>87</v>
      </c>
      <c r="E9164" s="16" t="str">
        <f>IFERROR(__xludf.DUMMYFUNCTION("""COMPUTED_VALUE"""),"")</f>
        <v/>
      </c>
      <c r="G9164" s="18"/>
      <c r="H9164" s="16" t="s">
        <v>87</v>
      </c>
      <c r="I9164" s="16" t="s">
        <v>87</v>
      </c>
      <c r="J9164" s="19"/>
      <c r="L9164" s="16" t="str">
        <f>IFERROR(__xludf.DUMMYFUNCTION("""COMPUTED_VALUE"""),"")</f>
        <v/>
      </c>
      <c r="M9164" s="16" t="str">
        <f>IFERROR(__xludf.DUMMYFUNCTION("""COMPUTED_VALUE"""),"")</f>
        <v/>
      </c>
      <c r="U9164" s="16" t="s">
        <v>87</v>
      </c>
      <c r="V9164" s="16" t="str">
        <f>IFERROR(__xludf.DUMMYFUNCTION("""COMPUTED_VALUE"""),"")</f>
        <v/>
      </c>
      <c r="W9164" s="16" t="str">
        <f>IFERROR(__xludf.DUMMYFUNCTION("""COMPUTED_VALUE"""),"")</f>
        <v/>
      </c>
      <c r="X9164" s="16" t="str">
        <f>IFERROR(__xludf.DUMMYFUNCTION("""COMPUTED_VALUE"""),"")</f>
        <v/>
      </c>
      <c r="AC9164" s="16" t="str">
        <f>IFERROR(__xludf.DUMMYFUNCTION("""COMPUTED_VALUE"""),"")</f>
        <v/>
      </c>
    </row>
    <row r="9165">
      <c r="A9165" s="16" t="s">
        <v>87</v>
      </c>
      <c r="E9165" s="16" t="str">
        <f>IFERROR(__xludf.DUMMYFUNCTION("""COMPUTED_VALUE"""),"")</f>
        <v/>
      </c>
      <c r="G9165" s="18"/>
      <c r="H9165" s="16" t="s">
        <v>87</v>
      </c>
      <c r="I9165" s="16" t="s">
        <v>87</v>
      </c>
      <c r="J9165" s="19"/>
      <c r="L9165" s="16" t="str">
        <f>IFERROR(__xludf.DUMMYFUNCTION("""COMPUTED_VALUE"""),"")</f>
        <v/>
      </c>
      <c r="M9165" s="16" t="str">
        <f>IFERROR(__xludf.DUMMYFUNCTION("""COMPUTED_VALUE"""),"")</f>
        <v/>
      </c>
      <c r="U9165" s="16" t="s">
        <v>87</v>
      </c>
      <c r="V9165" s="16" t="str">
        <f>IFERROR(__xludf.DUMMYFUNCTION("""COMPUTED_VALUE"""),"")</f>
        <v/>
      </c>
      <c r="W9165" s="16" t="str">
        <f>IFERROR(__xludf.DUMMYFUNCTION("""COMPUTED_VALUE"""),"")</f>
        <v/>
      </c>
      <c r="X9165" s="16" t="str">
        <f>IFERROR(__xludf.DUMMYFUNCTION("""COMPUTED_VALUE"""),"")</f>
        <v/>
      </c>
      <c r="AC9165" s="16" t="str">
        <f>IFERROR(__xludf.DUMMYFUNCTION("""COMPUTED_VALUE"""),"")</f>
        <v/>
      </c>
    </row>
    <row r="9166">
      <c r="A9166" s="16" t="s">
        <v>87</v>
      </c>
      <c r="E9166" s="16" t="str">
        <f>IFERROR(__xludf.DUMMYFUNCTION("""COMPUTED_VALUE"""),"")</f>
        <v/>
      </c>
      <c r="G9166" s="18"/>
      <c r="H9166" s="16" t="s">
        <v>87</v>
      </c>
      <c r="I9166" s="16" t="s">
        <v>87</v>
      </c>
      <c r="J9166" s="19"/>
      <c r="L9166" s="16" t="str">
        <f>IFERROR(__xludf.DUMMYFUNCTION("""COMPUTED_VALUE"""),"")</f>
        <v/>
      </c>
      <c r="M9166" s="16" t="str">
        <f>IFERROR(__xludf.DUMMYFUNCTION("""COMPUTED_VALUE"""),"")</f>
        <v/>
      </c>
      <c r="U9166" s="16" t="s">
        <v>87</v>
      </c>
      <c r="V9166" s="16" t="str">
        <f>IFERROR(__xludf.DUMMYFUNCTION("""COMPUTED_VALUE"""),"")</f>
        <v/>
      </c>
      <c r="W9166" s="16" t="str">
        <f>IFERROR(__xludf.DUMMYFUNCTION("""COMPUTED_VALUE"""),"")</f>
        <v/>
      </c>
      <c r="X9166" s="16" t="str">
        <f>IFERROR(__xludf.DUMMYFUNCTION("""COMPUTED_VALUE"""),"")</f>
        <v/>
      </c>
      <c r="AC9166" s="16" t="str">
        <f>IFERROR(__xludf.DUMMYFUNCTION("""COMPUTED_VALUE"""),"")</f>
        <v/>
      </c>
    </row>
    <row r="9167">
      <c r="A9167" s="16" t="s">
        <v>87</v>
      </c>
      <c r="E9167" s="16" t="str">
        <f>IFERROR(__xludf.DUMMYFUNCTION("""COMPUTED_VALUE"""),"")</f>
        <v/>
      </c>
      <c r="G9167" s="18"/>
      <c r="H9167" s="16" t="s">
        <v>87</v>
      </c>
      <c r="I9167" s="16" t="s">
        <v>87</v>
      </c>
      <c r="J9167" s="19"/>
      <c r="L9167" s="16" t="str">
        <f>IFERROR(__xludf.DUMMYFUNCTION("""COMPUTED_VALUE"""),"")</f>
        <v/>
      </c>
      <c r="M9167" s="16" t="str">
        <f>IFERROR(__xludf.DUMMYFUNCTION("""COMPUTED_VALUE"""),"")</f>
        <v/>
      </c>
      <c r="U9167" s="16" t="s">
        <v>87</v>
      </c>
      <c r="V9167" s="16" t="str">
        <f>IFERROR(__xludf.DUMMYFUNCTION("""COMPUTED_VALUE"""),"")</f>
        <v/>
      </c>
      <c r="W9167" s="16" t="str">
        <f>IFERROR(__xludf.DUMMYFUNCTION("""COMPUTED_VALUE"""),"")</f>
        <v/>
      </c>
      <c r="X9167" s="16" t="str">
        <f>IFERROR(__xludf.DUMMYFUNCTION("""COMPUTED_VALUE"""),"")</f>
        <v/>
      </c>
      <c r="AC9167" s="16" t="str">
        <f>IFERROR(__xludf.DUMMYFUNCTION("""COMPUTED_VALUE"""),"")</f>
        <v/>
      </c>
    </row>
    <row r="9168">
      <c r="A9168" s="16" t="s">
        <v>87</v>
      </c>
      <c r="E9168" s="16" t="str">
        <f>IFERROR(__xludf.DUMMYFUNCTION("""COMPUTED_VALUE"""),"")</f>
        <v/>
      </c>
      <c r="G9168" s="18"/>
      <c r="H9168" s="16" t="s">
        <v>87</v>
      </c>
      <c r="I9168" s="16" t="s">
        <v>87</v>
      </c>
      <c r="J9168" s="19"/>
      <c r="L9168" s="16" t="str">
        <f>IFERROR(__xludf.DUMMYFUNCTION("""COMPUTED_VALUE"""),"")</f>
        <v/>
      </c>
      <c r="M9168" s="16" t="str">
        <f>IFERROR(__xludf.DUMMYFUNCTION("""COMPUTED_VALUE"""),"")</f>
        <v/>
      </c>
      <c r="U9168" s="16" t="s">
        <v>87</v>
      </c>
      <c r="V9168" s="16" t="str">
        <f>IFERROR(__xludf.DUMMYFUNCTION("""COMPUTED_VALUE"""),"")</f>
        <v/>
      </c>
      <c r="W9168" s="16" t="str">
        <f>IFERROR(__xludf.DUMMYFUNCTION("""COMPUTED_VALUE"""),"")</f>
        <v/>
      </c>
      <c r="X9168" s="16" t="str">
        <f>IFERROR(__xludf.DUMMYFUNCTION("""COMPUTED_VALUE"""),"")</f>
        <v/>
      </c>
      <c r="AC9168" s="16" t="str">
        <f>IFERROR(__xludf.DUMMYFUNCTION("""COMPUTED_VALUE"""),"")</f>
        <v/>
      </c>
    </row>
    <row r="9169">
      <c r="A9169" s="16" t="s">
        <v>87</v>
      </c>
      <c r="E9169" s="16" t="str">
        <f>IFERROR(__xludf.DUMMYFUNCTION("""COMPUTED_VALUE"""),"")</f>
        <v/>
      </c>
      <c r="G9169" s="18"/>
      <c r="H9169" s="16" t="s">
        <v>87</v>
      </c>
      <c r="I9169" s="16" t="s">
        <v>87</v>
      </c>
      <c r="J9169" s="19"/>
      <c r="L9169" s="16" t="str">
        <f>IFERROR(__xludf.DUMMYFUNCTION("""COMPUTED_VALUE"""),"")</f>
        <v/>
      </c>
      <c r="M9169" s="16" t="str">
        <f>IFERROR(__xludf.DUMMYFUNCTION("""COMPUTED_VALUE"""),"")</f>
        <v/>
      </c>
      <c r="U9169" s="16" t="s">
        <v>87</v>
      </c>
      <c r="V9169" s="16" t="str">
        <f>IFERROR(__xludf.DUMMYFUNCTION("""COMPUTED_VALUE"""),"")</f>
        <v/>
      </c>
      <c r="W9169" s="16" t="str">
        <f>IFERROR(__xludf.DUMMYFUNCTION("""COMPUTED_VALUE"""),"")</f>
        <v/>
      </c>
      <c r="X9169" s="16" t="str">
        <f>IFERROR(__xludf.DUMMYFUNCTION("""COMPUTED_VALUE"""),"")</f>
        <v/>
      </c>
      <c r="AC9169" s="16" t="str">
        <f>IFERROR(__xludf.DUMMYFUNCTION("""COMPUTED_VALUE"""),"")</f>
        <v/>
      </c>
    </row>
    <row r="9170">
      <c r="A9170" s="16" t="s">
        <v>87</v>
      </c>
      <c r="E9170" s="16" t="str">
        <f>IFERROR(__xludf.DUMMYFUNCTION("""COMPUTED_VALUE"""),"")</f>
        <v/>
      </c>
      <c r="G9170" s="18"/>
      <c r="H9170" s="16" t="s">
        <v>87</v>
      </c>
      <c r="I9170" s="16" t="s">
        <v>87</v>
      </c>
      <c r="J9170" s="19"/>
      <c r="L9170" s="16" t="str">
        <f>IFERROR(__xludf.DUMMYFUNCTION("""COMPUTED_VALUE"""),"")</f>
        <v/>
      </c>
      <c r="M9170" s="16" t="str">
        <f>IFERROR(__xludf.DUMMYFUNCTION("""COMPUTED_VALUE"""),"")</f>
        <v/>
      </c>
      <c r="U9170" s="16" t="s">
        <v>87</v>
      </c>
      <c r="V9170" s="16" t="str">
        <f>IFERROR(__xludf.DUMMYFUNCTION("""COMPUTED_VALUE"""),"")</f>
        <v/>
      </c>
      <c r="W9170" s="16" t="str">
        <f>IFERROR(__xludf.DUMMYFUNCTION("""COMPUTED_VALUE"""),"")</f>
        <v/>
      </c>
      <c r="X9170" s="16" t="str">
        <f>IFERROR(__xludf.DUMMYFUNCTION("""COMPUTED_VALUE"""),"")</f>
        <v/>
      </c>
      <c r="AC9170" s="16" t="str">
        <f>IFERROR(__xludf.DUMMYFUNCTION("""COMPUTED_VALUE"""),"")</f>
        <v/>
      </c>
    </row>
    <row r="9171">
      <c r="A9171" s="16" t="s">
        <v>87</v>
      </c>
      <c r="E9171" s="16" t="str">
        <f>IFERROR(__xludf.DUMMYFUNCTION("""COMPUTED_VALUE"""),"")</f>
        <v/>
      </c>
      <c r="G9171" s="18"/>
      <c r="H9171" s="16" t="s">
        <v>87</v>
      </c>
      <c r="I9171" s="16" t="s">
        <v>87</v>
      </c>
      <c r="J9171" s="19"/>
      <c r="L9171" s="16" t="str">
        <f>IFERROR(__xludf.DUMMYFUNCTION("""COMPUTED_VALUE"""),"")</f>
        <v/>
      </c>
      <c r="M9171" s="16" t="str">
        <f>IFERROR(__xludf.DUMMYFUNCTION("""COMPUTED_VALUE"""),"")</f>
        <v/>
      </c>
      <c r="U9171" s="16" t="s">
        <v>87</v>
      </c>
      <c r="V9171" s="16" t="str">
        <f>IFERROR(__xludf.DUMMYFUNCTION("""COMPUTED_VALUE"""),"")</f>
        <v/>
      </c>
      <c r="W9171" s="16" t="str">
        <f>IFERROR(__xludf.DUMMYFUNCTION("""COMPUTED_VALUE"""),"")</f>
        <v/>
      </c>
      <c r="X9171" s="16" t="str">
        <f>IFERROR(__xludf.DUMMYFUNCTION("""COMPUTED_VALUE"""),"")</f>
        <v/>
      </c>
      <c r="AC9171" s="16" t="str">
        <f>IFERROR(__xludf.DUMMYFUNCTION("""COMPUTED_VALUE"""),"")</f>
        <v/>
      </c>
    </row>
    <row r="9172">
      <c r="A9172" s="16" t="s">
        <v>87</v>
      </c>
      <c r="E9172" s="16" t="str">
        <f>IFERROR(__xludf.DUMMYFUNCTION("""COMPUTED_VALUE"""),"")</f>
        <v/>
      </c>
      <c r="G9172" s="18"/>
      <c r="H9172" s="16" t="s">
        <v>87</v>
      </c>
      <c r="I9172" s="16" t="s">
        <v>87</v>
      </c>
      <c r="J9172" s="19"/>
      <c r="L9172" s="16" t="str">
        <f>IFERROR(__xludf.DUMMYFUNCTION("""COMPUTED_VALUE"""),"")</f>
        <v/>
      </c>
      <c r="M9172" s="16" t="str">
        <f>IFERROR(__xludf.DUMMYFUNCTION("""COMPUTED_VALUE"""),"")</f>
        <v/>
      </c>
      <c r="U9172" s="16" t="s">
        <v>87</v>
      </c>
      <c r="V9172" s="16" t="str">
        <f>IFERROR(__xludf.DUMMYFUNCTION("""COMPUTED_VALUE"""),"")</f>
        <v/>
      </c>
      <c r="W9172" s="16" t="str">
        <f>IFERROR(__xludf.DUMMYFUNCTION("""COMPUTED_VALUE"""),"")</f>
        <v/>
      </c>
      <c r="X9172" s="16" t="str">
        <f>IFERROR(__xludf.DUMMYFUNCTION("""COMPUTED_VALUE"""),"")</f>
        <v/>
      </c>
      <c r="AC9172" s="16" t="str">
        <f>IFERROR(__xludf.DUMMYFUNCTION("""COMPUTED_VALUE"""),"")</f>
        <v/>
      </c>
    </row>
    <row r="9173">
      <c r="A9173" s="16" t="s">
        <v>87</v>
      </c>
      <c r="E9173" s="16" t="str">
        <f>IFERROR(__xludf.DUMMYFUNCTION("""COMPUTED_VALUE"""),"")</f>
        <v/>
      </c>
      <c r="G9173" s="18"/>
      <c r="H9173" s="16" t="s">
        <v>87</v>
      </c>
      <c r="I9173" s="16" t="s">
        <v>87</v>
      </c>
      <c r="J9173" s="19"/>
      <c r="L9173" s="16" t="str">
        <f>IFERROR(__xludf.DUMMYFUNCTION("""COMPUTED_VALUE"""),"")</f>
        <v/>
      </c>
      <c r="M9173" s="16" t="str">
        <f>IFERROR(__xludf.DUMMYFUNCTION("""COMPUTED_VALUE"""),"")</f>
        <v/>
      </c>
      <c r="U9173" s="16" t="s">
        <v>87</v>
      </c>
      <c r="V9173" s="16" t="str">
        <f>IFERROR(__xludf.DUMMYFUNCTION("""COMPUTED_VALUE"""),"")</f>
        <v/>
      </c>
      <c r="W9173" s="16" t="str">
        <f>IFERROR(__xludf.DUMMYFUNCTION("""COMPUTED_VALUE"""),"")</f>
        <v/>
      </c>
      <c r="X9173" s="16" t="str">
        <f>IFERROR(__xludf.DUMMYFUNCTION("""COMPUTED_VALUE"""),"")</f>
        <v/>
      </c>
      <c r="AC9173" s="16" t="str">
        <f>IFERROR(__xludf.DUMMYFUNCTION("""COMPUTED_VALUE"""),"")</f>
        <v/>
      </c>
    </row>
    <row r="9174">
      <c r="A9174" s="16" t="s">
        <v>87</v>
      </c>
      <c r="E9174" s="16" t="str">
        <f>IFERROR(__xludf.DUMMYFUNCTION("""COMPUTED_VALUE"""),"")</f>
        <v/>
      </c>
      <c r="G9174" s="18"/>
      <c r="H9174" s="16" t="s">
        <v>87</v>
      </c>
      <c r="I9174" s="16" t="s">
        <v>87</v>
      </c>
      <c r="J9174" s="19"/>
      <c r="L9174" s="16" t="str">
        <f>IFERROR(__xludf.DUMMYFUNCTION("""COMPUTED_VALUE"""),"")</f>
        <v/>
      </c>
      <c r="M9174" s="16" t="str">
        <f>IFERROR(__xludf.DUMMYFUNCTION("""COMPUTED_VALUE"""),"")</f>
        <v/>
      </c>
      <c r="U9174" s="16" t="s">
        <v>87</v>
      </c>
      <c r="V9174" s="16" t="str">
        <f>IFERROR(__xludf.DUMMYFUNCTION("""COMPUTED_VALUE"""),"")</f>
        <v/>
      </c>
      <c r="W9174" s="16" t="str">
        <f>IFERROR(__xludf.DUMMYFUNCTION("""COMPUTED_VALUE"""),"")</f>
        <v/>
      </c>
      <c r="X9174" s="16" t="str">
        <f>IFERROR(__xludf.DUMMYFUNCTION("""COMPUTED_VALUE"""),"")</f>
        <v/>
      </c>
      <c r="AC9174" s="16" t="str">
        <f>IFERROR(__xludf.DUMMYFUNCTION("""COMPUTED_VALUE"""),"")</f>
        <v/>
      </c>
    </row>
    <row r="9175">
      <c r="A9175" s="16" t="s">
        <v>87</v>
      </c>
      <c r="E9175" s="16" t="str">
        <f>IFERROR(__xludf.DUMMYFUNCTION("""COMPUTED_VALUE"""),"")</f>
        <v/>
      </c>
      <c r="G9175" s="18"/>
      <c r="H9175" s="16" t="s">
        <v>87</v>
      </c>
      <c r="I9175" s="16" t="s">
        <v>87</v>
      </c>
      <c r="J9175" s="19"/>
      <c r="L9175" s="16" t="str">
        <f>IFERROR(__xludf.DUMMYFUNCTION("""COMPUTED_VALUE"""),"")</f>
        <v/>
      </c>
      <c r="M9175" s="16" t="str">
        <f>IFERROR(__xludf.DUMMYFUNCTION("""COMPUTED_VALUE"""),"")</f>
        <v/>
      </c>
      <c r="U9175" s="16" t="s">
        <v>87</v>
      </c>
      <c r="V9175" s="16" t="str">
        <f>IFERROR(__xludf.DUMMYFUNCTION("""COMPUTED_VALUE"""),"")</f>
        <v/>
      </c>
      <c r="W9175" s="16" t="str">
        <f>IFERROR(__xludf.DUMMYFUNCTION("""COMPUTED_VALUE"""),"")</f>
        <v/>
      </c>
      <c r="X9175" s="16" t="str">
        <f>IFERROR(__xludf.DUMMYFUNCTION("""COMPUTED_VALUE"""),"")</f>
        <v/>
      </c>
      <c r="AC9175" s="16" t="str">
        <f>IFERROR(__xludf.DUMMYFUNCTION("""COMPUTED_VALUE"""),"")</f>
        <v/>
      </c>
    </row>
    <row r="9176">
      <c r="A9176" s="16" t="s">
        <v>87</v>
      </c>
      <c r="E9176" s="16" t="str">
        <f>IFERROR(__xludf.DUMMYFUNCTION("""COMPUTED_VALUE"""),"")</f>
        <v/>
      </c>
      <c r="G9176" s="18"/>
      <c r="H9176" s="16" t="s">
        <v>87</v>
      </c>
      <c r="I9176" s="16" t="s">
        <v>87</v>
      </c>
      <c r="J9176" s="19"/>
      <c r="L9176" s="16" t="str">
        <f>IFERROR(__xludf.DUMMYFUNCTION("""COMPUTED_VALUE"""),"")</f>
        <v/>
      </c>
      <c r="M9176" s="16" t="str">
        <f>IFERROR(__xludf.DUMMYFUNCTION("""COMPUTED_VALUE"""),"")</f>
        <v/>
      </c>
      <c r="U9176" s="16" t="s">
        <v>87</v>
      </c>
      <c r="V9176" s="16" t="str">
        <f>IFERROR(__xludf.DUMMYFUNCTION("""COMPUTED_VALUE"""),"")</f>
        <v/>
      </c>
      <c r="W9176" s="16" t="str">
        <f>IFERROR(__xludf.DUMMYFUNCTION("""COMPUTED_VALUE"""),"")</f>
        <v/>
      </c>
      <c r="X9176" s="16" t="str">
        <f>IFERROR(__xludf.DUMMYFUNCTION("""COMPUTED_VALUE"""),"")</f>
        <v/>
      </c>
      <c r="AC9176" s="16" t="str">
        <f>IFERROR(__xludf.DUMMYFUNCTION("""COMPUTED_VALUE"""),"")</f>
        <v/>
      </c>
    </row>
    <row r="9177">
      <c r="A9177" s="16" t="s">
        <v>87</v>
      </c>
      <c r="E9177" s="16" t="str">
        <f>IFERROR(__xludf.DUMMYFUNCTION("""COMPUTED_VALUE"""),"")</f>
        <v/>
      </c>
      <c r="G9177" s="18"/>
      <c r="H9177" s="16" t="s">
        <v>87</v>
      </c>
      <c r="I9177" s="16" t="s">
        <v>87</v>
      </c>
      <c r="J9177" s="19"/>
      <c r="L9177" s="16" t="str">
        <f>IFERROR(__xludf.DUMMYFUNCTION("""COMPUTED_VALUE"""),"")</f>
        <v/>
      </c>
      <c r="M9177" s="16" t="str">
        <f>IFERROR(__xludf.DUMMYFUNCTION("""COMPUTED_VALUE"""),"")</f>
        <v/>
      </c>
      <c r="U9177" s="16" t="s">
        <v>87</v>
      </c>
      <c r="V9177" s="16" t="str">
        <f>IFERROR(__xludf.DUMMYFUNCTION("""COMPUTED_VALUE"""),"")</f>
        <v/>
      </c>
      <c r="W9177" s="16" t="str">
        <f>IFERROR(__xludf.DUMMYFUNCTION("""COMPUTED_VALUE"""),"")</f>
        <v/>
      </c>
      <c r="X9177" s="16" t="str">
        <f>IFERROR(__xludf.DUMMYFUNCTION("""COMPUTED_VALUE"""),"")</f>
        <v/>
      </c>
      <c r="AC9177" s="16" t="str">
        <f>IFERROR(__xludf.DUMMYFUNCTION("""COMPUTED_VALUE"""),"")</f>
        <v/>
      </c>
    </row>
    <row r="9178">
      <c r="A9178" s="16" t="s">
        <v>87</v>
      </c>
      <c r="E9178" s="16" t="str">
        <f>IFERROR(__xludf.DUMMYFUNCTION("""COMPUTED_VALUE"""),"")</f>
        <v/>
      </c>
      <c r="G9178" s="18"/>
      <c r="H9178" s="16" t="s">
        <v>87</v>
      </c>
      <c r="I9178" s="16" t="s">
        <v>87</v>
      </c>
      <c r="J9178" s="19"/>
      <c r="L9178" s="16" t="str">
        <f>IFERROR(__xludf.DUMMYFUNCTION("""COMPUTED_VALUE"""),"")</f>
        <v/>
      </c>
      <c r="M9178" s="16" t="str">
        <f>IFERROR(__xludf.DUMMYFUNCTION("""COMPUTED_VALUE"""),"")</f>
        <v/>
      </c>
      <c r="U9178" s="16" t="s">
        <v>87</v>
      </c>
      <c r="V9178" s="16" t="str">
        <f>IFERROR(__xludf.DUMMYFUNCTION("""COMPUTED_VALUE"""),"")</f>
        <v/>
      </c>
      <c r="W9178" s="16" t="str">
        <f>IFERROR(__xludf.DUMMYFUNCTION("""COMPUTED_VALUE"""),"")</f>
        <v/>
      </c>
      <c r="X9178" s="16" t="str">
        <f>IFERROR(__xludf.DUMMYFUNCTION("""COMPUTED_VALUE"""),"")</f>
        <v/>
      </c>
      <c r="AC9178" s="16" t="str">
        <f>IFERROR(__xludf.DUMMYFUNCTION("""COMPUTED_VALUE"""),"")</f>
        <v/>
      </c>
    </row>
    <row r="9179">
      <c r="A9179" s="16" t="s">
        <v>87</v>
      </c>
      <c r="E9179" s="16" t="str">
        <f>IFERROR(__xludf.DUMMYFUNCTION("""COMPUTED_VALUE"""),"")</f>
        <v/>
      </c>
      <c r="G9179" s="18"/>
      <c r="H9179" s="16" t="s">
        <v>87</v>
      </c>
      <c r="I9179" s="16" t="s">
        <v>87</v>
      </c>
      <c r="J9179" s="19"/>
      <c r="L9179" s="16" t="str">
        <f>IFERROR(__xludf.DUMMYFUNCTION("""COMPUTED_VALUE"""),"")</f>
        <v/>
      </c>
      <c r="M9179" s="16" t="str">
        <f>IFERROR(__xludf.DUMMYFUNCTION("""COMPUTED_VALUE"""),"")</f>
        <v/>
      </c>
      <c r="U9179" s="16" t="s">
        <v>87</v>
      </c>
      <c r="V9179" s="16" t="str">
        <f>IFERROR(__xludf.DUMMYFUNCTION("""COMPUTED_VALUE"""),"")</f>
        <v/>
      </c>
      <c r="W9179" s="16" t="str">
        <f>IFERROR(__xludf.DUMMYFUNCTION("""COMPUTED_VALUE"""),"")</f>
        <v/>
      </c>
      <c r="X9179" s="16" t="str">
        <f>IFERROR(__xludf.DUMMYFUNCTION("""COMPUTED_VALUE"""),"")</f>
        <v/>
      </c>
      <c r="AC9179" s="16" t="str">
        <f>IFERROR(__xludf.DUMMYFUNCTION("""COMPUTED_VALUE"""),"")</f>
        <v/>
      </c>
    </row>
    <row r="9180">
      <c r="A9180" s="16" t="s">
        <v>87</v>
      </c>
      <c r="E9180" s="16" t="str">
        <f>IFERROR(__xludf.DUMMYFUNCTION("""COMPUTED_VALUE"""),"")</f>
        <v/>
      </c>
      <c r="G9180" s="18"/>
      <c r="H9180" s="16" t="s">
        <v>87</v>
      </c>
      <c r="I9180" s="16" t="s">
        <v>87</v>
      </c>
      <c r="J9180" s="19"/>
      <c r="L9180" s="16" t="str">
        <f>IFERROR(__xludf.DUMMYFUNCTION("""COMPUTED_VALUE"""),"")</f>
        <v/>
      </c>
      <c r="M9180" s="16" t="str">
        <f>IFERROR(__xludf.DUMMYFUNCTION("""COMPUTED_VALUE"""),"")</f>
        <v/>
      </c>
      <c r="U9180" s="16" t="s">
        <v>87</v>
      </c>
      <c r="V9180" s="16" t="str">
        <f>IFERROR(__xludf.DUMMYFUNCTION("""COMPUTED_VALUE"""),"")</f>
        <v/>
      </c>
      <c r="W9180" s="16" t="str">
        <f>IFERROR(__xludf.DUMMYFUNCTION("""COMPUTED_VALUE"""),"")</f>
        <v/>
      </c>
      <c r="X9180" s="16" t="str">
        <f>IFERROR(__xludf.DUMMYFUNCTION("""COMPUTED_VALUE"""),"")</f>
        <v/>
      </c>
      <c r="AC9180" s="16" t="str">
        <f>IFERROR(__xludf.DUMMYFUNCTION("""COMPUTED_VALUE"""),"")</f>
        <v/>
      </c>
    </row>
    <row r="9181">
      <c r="A9181" s="16" t="s">
        <v>87</v>
      </c>
      <c r="E9181" s="16" t="str">
        <f>IFERROR(__xludf.DUMMYFUNCTION("""COMPUTED_VALUE"""),"")</f>
        <v/>
      </c>
      <c r="G9181" s="18"/>
      <c r="H9181" s="16" t="s">
        <v>87</v>
      </c>
      <c r="I9181" s="16" t="s">
        <v>87</v>
      </c>
      <c r="J9181" s="19"/>
      <c r="L9181" s="16" t="str">
        <f>IFERROR(__xludf.DUMMYFUNCTION("""COMPUTED_VALUE"""),"")</f>
        <v/>
      </c>
      <c r="M9181" s="16" t="str">
        <f>IFERROR(__xludf.DUMMYFUNCTION("""COMPUTED_VALUE"""),"")</f>
        <v/>
      </c>
      <c r="U9181" s="16" t="s">
        <v>87</v>
      </c>
      <c r="V9181" s="16" t="str">
        <f>IFERROR(__xludf.DUMMYFUNCTION("""COMPUTED_VALUE"""),"")</f>
        <v/>
      </c>
      <c r="W9181" s="16" t="str">
        <f>IFERROR(__xludf.DUMMYFUNCTION("""COMPUTED_VALUE"""),"")</f>
        <v/>
      </c>
      <c r="X9181" s="16" t="str">
        <f>IFERROR(__xludf.DUMMYFUNCTION("""COMPUTED_VALUE"""),"")</f>
        <v/>
      </c>
      <c r="AC9181" s="16" t="str">
        <f>IFERROR(__xludf.DUMMYFUNCTION("""COMPUTED_VALUE"""),"")</f>
        <v/>
      </c>
    </row>
    <row r="9182">
      <c r="A9182" s="16" t="s">
        <v>87</v>
      </c>
      <c r="E9182" s="16" t="str">
        <f>IFERROR(__xludf.DUMMYFUNCTION("""COMPUTED_VALUE"""),"")</f>
        <v/>
      </c>
      <c r="G9182" s="18"/>
      <c r="H9182" s="16" t="s">
        <v>87</v>
      </c>
      <c r="I9182" s="16" t="s">
        <v>87</v>
      </c>
      <c r="J9182" s="19"/>
      <c r="L9182" s="16" t="str">
        <f>IFERROR(__xludf.DUMMYFUNCTION("""COMPUTED_VALUE"""),"")</f>
        <v/>
      </c>
      <c r="M9182" s="16" t="str">
        <f>IFERROR(__xludf.DUMMYFUNCTION("""COMPUTED_VALUE"""),"")</f>
        <v/>
      </c>
      <c r="U9182" s="16" t="s">
        <v>87</v>
      </c>
      <c r="V9182" s="16" t="str">
        <f>IFERROR(__xludf.DUMMYFUNCTION("""COMPUTED_VALUE"""),"")</f>
        <v/>
      </c>
      <c r="W9182" s="16" t="str">
        <f>IFERROR(__xludf.DUMMYFUNCTION("""COMPUTED_VALUE"""),"")</f>
        <v/>
      </c>
      <c r="X9182" s="16" t="str">
        <f>IFERROR(__xludf.DUMMYFUNCTION("""COMPUTED_VALUE"""),"")</f>
        <v/>
      </c>
      <c r="AC9182" s="16" t="str">
        <f>IFERROR(__xludf.DUMMYFUNCTION("""COMPUTED_VALUE"""),"")</f>
        <v/>
      </c>
    </row>
    <row r="9183">
      <c r="A9183" s="16" t="s">
        <v>87</v>
      </c>
      <c r="E9183" s="16" t="str">
        <f>IFERROR(__xludf.DUMMYFUNCTION("""COMPUTED_VALUE"""),"")</f>
        <v/>
      </c>
      <c r="G9183" s="18"/>
      <c r="H9183" s="16" t="s">
        <v>87</v>
      </c>
      <c r="I9183" s="16" t="s">
        <v>87</v>
      </c>
      <c r="J9183" s="19"/>
      <c r="L9183" s="16" t="str">
        <f>IFERROR(__xludf.DUMMYFUNCTION("""COMPUTED_VALUE"""),"")</f>
        <v/>
      </c>
      <c r="M9183" s="16" t="str">
        <f>IFERROR(__xludf.DUMMYFUNCTION("""COMPUTED_VALUE"""),"")</f>
        <v/>
      </c>
      <c r="U9183" s="16" t="s">
        <v>87</v>
      </c>
      <c r="V9183" s="16" t="str">
        <f>IFERROR(__xludf.DUMMYFUNCTION("""COMPUTED_VALUE"""),"")</f>
        <v/>
      </c>
      <c r="W9183" s="16" t="str">
        <f>IFERROR(__xludf.DUMMYFUNCTION("""COMPUTED_VALUE"""),"")</f>
        <v/>
      </c>
      <c r="X9183" s="16" t="str">
        <f>IFERROR(__xludf.DUMMYFUNCTION("""COMPUTED_VALUE"""),"")</f>
        <v/>
      </c>
      <c r="AC9183" s="16" t="str">
        <f>IFERROR(__xludf.DUMMYFUNCTION("""COMPUTED_VALUE"""),"")</f>
        <v/>
      </c>
    </row>
    <row r="9184">
      <c r="A9184" s="16" t="s">
        <v>87</v>
      </c>
      <c r="E9184" s="16" t="str">
        <f>IFERROR(__xludf.DUMMYFUNCTION("""COMPUTED_VALUE"""),"")</f>
        <v/>
      </c>
      <c r="G9184" s="18"/>
      <c r="H9184" s="16" t="s">
        <v>87</v>
      </c>
      <c r="I9184" s="16" t="s">
        <v>87</v>
      </c>
      <c r="J9184" s="19"/>
      <c r="L9184" s="16" t="str">
        <f>IFERROR(__xludf.DUMMYFUNCTION("""COMPUTED_VALUE"""),"")</f>
        <v/>
      </c>
      <c r="M9184" s="16" t="str">
        <f>IFERROR(__xludf.DUMMYFUNCTION("""COMPUTED_VALUE"""),"")</f>
        <v/>
      </c>
      <c r="U9184" s="16" t="s">
        <v>87</v>
      </c>
      <c r="V9184" s="16" t="str">
        <f>IFERROR(__xludf.DUMMYFUNCTION("""COMPUTED_VALUE"""),"")</f>
        <v/>
      </c>
      <c r="W9184" s="16" t="str">
        <f>IFERROR(__xludf.DUMMYFUNCTION("""COMPUTED_VALUE"""),"")</f>
        <v/>
      </c>
      <c r="X9184" s="16" t="str">
        <f>IFERROR(__xludf.DUMMYFUNCTION("""COMPUTED_VALUE"""),"")</f>
        <v/>
      </c>
      <c r="AC9184" s="16" t="str">
        <f>IFERROR(__xludf.DUMMYFUNCTION("""COMPUTED_VALUE"""),"")</f>
        <v/>
      </c>
    </row>
    <row r="9185">
      <c r="A9185" s="16" t="s">
        <v>87</v>
      </c>
      <c r="E9185" s="16" t="str">
        <f>IFERROR(__xludf.DUMMYFUNCTION("""COMPUTED_VALUE"""),"")</f>
        <v/>
      </c>
      <c r="G9185" s="18"/>
      <c r="H9185" s="16" t="s">
        <v>87</v>
      </c>
      <c r="I9185" s="16" t="s">
        <v>87</v>
      </c>
      <c r="J9185" s="19"/>
      <c r="L9185" s="16" t="str">
        <f>IFERROR(__xludf.DUMMYFUNCTION("""COMPUTED_VALUE"""),"")</f>
        <v/>
      </c>
      <c r="M9185" s="16" t="str">
        <f>IFERROR(__xludf.DUMMYFUNCTION("""COMPUTED_VALUE"""),"")</f>
        <v/>
      </c>
      <c r="U9185" s="16" t="s">
        <v>87</v>
      </c>
      <c r="V9185" s="16" t="str">
        <f>IFERROR(__xludf.DUMMYFUNCTION("""COMPUTED_VALUE"""),"")</f>
        <v/>
      </c>
      <c r="W9185" s="16" t="str">
        <f>IFERROR(__xludf.DUMMYFUNCTION("""COMPUTED_VALUE"""),"")</f>
        <v/>
      </c>
      <c r="X9185" s="16" t="str">
        <f>IFERROR(__xludf.DUMMYFUNCTION("""COMPUTED_VALUE"""),"")</f>
        <v/>
      </c>
      <c r="AC9185" s="16" t="str">
        <f>IFERROR(__xludf.DUMMYFUNCTION("""COMPUTED_VALUE"""),"")</f>
        <v/>
      </c>
    </row>
    <row r="9186">
      <c r="A9186" s="16" t="s">
        <v>87</v>
      </c>
      <c r="E9186" s="16" t="str">
        <f>IFERROR(__xludf.DUMMYFUNCTION("""COMPUTED_VALUE"""),"")</f>
        <v/>
      </c>
      <c r="G9186" s="18"/>
      <c r="H9186" s="16" t="s">
        <v>87</v>
      </c>
      <c r="I9186" s="16" t="s">
        <v>87</v>
      </c>
      <c r="J9186" s="19"/>
      <c r="L9186" s="16" t="str">
        <f>IFERROR(__xludf.DUMMYFUNCTION("""COMPUTED_VALUE"""),"")</f>
        <v/>
      </c>
      <c r="M9186" s="16" t="str">
        <f>IFERROR(__xludf.DUMMYFUNCTION("""COMPUTED_VALUE"""),"")</f>
        <v/>
      </c>
      <c r="U9186" s="16" t="s">
        <v>87</v>
      </c>
      <c r="V9186" s="16" t="str">
        <f>IFERROR(__xludf.DUMMYFUNCTION("""COMPUTED_VALUE"""),"")</f>
        <v/>
      </c>
      <c r="W9186" s="16" t="str">
        <f>IFERROR(__xludf.DUMMYFUNCTION("""COMPUTED_VALUE"""),"")</f>
        <v/>
      </c>
      <c r="X9186" s="16" t="str">
        <f>IFERROR(__xludf.DUMMYFUNCTION("""COMPUTED_VALUE"""),"")</f>
        <v/>
      </c>
      <c r="AC9186" s="16" t="str">
        <f>IFERROR(__xludf.DUMMYFUNCTION("""COMPUTED_VALUE"""),"")</f>
        <v/>
      </c>
    </row>
    <row r="9187">
      <c r="A9187" s="16" t="s">
        <v>87</v>
      </c>
      <c r="E9187" s="16" t="str">
        <f>IFERROR(__xludf.DUMMYFUNCTION("""COMPUTED_VALUE"""),"")</f>
        <v/>
      </c>
      <c r="G9187" s="18"/>
      <c r="H9187" s="16" t="s">
        <v>87</v>
      </c>
      <c r="I9187" s="16" t="s">
        <v>87</v>
      </c>
      <c r="J9187" s="19"/>
      <c r="L9187" s="16" t="str">
        <f>IFERROR(__xludf.DUMMYFUNCTION("""COMPUTED_VALUE"""),"")</f>
        <v/>
      </c>
      <c r="M9187" s="16" t="str">
        <f>IFERROR(__xludf.DUMMYFUNCTION("""COMPUTED_VALUE"""),"")</f>
        <v/>
      </c>
      <c r="U9187" s="16" t="s">
        <v>87</v>
      </c>
      <c r="V9187" s="16" t="str">
        <f>IFERROR(__xludf.DUMMYFUNCTION("""COMPUTED_VALUE"""),"")</f>
        <v/>
      </c>
      <c r="W9187" s="16" t="str">
        <f>IFERROR(__xludf.DUMMYFUNCTION("""COMPUTED_VALUE"""),"")</f>
        <v/>
      </c>
      <c r="X9187" s="16" t="str">
        <f>IFERROR(__xludf.DUMMYFUNCTION("""COMPUTED_VALUE"""),"")</f>
        <v/>
      </c>
      <c r="AC9187" s="16" t="str">
        <f>IFERROR(__xludf.DUMMYFUNCTION("""COMPUTED_VALUE"""),"")</f>
        <v/>
      </c>
    </row>
    <row r="9188">
      <c r="A9188" s="16" t="s">
        <v>87</v>
      </c>
      <c r="E9188" s="16" t="str">
        <f>IFERROR(__xludf.DUMMYFUNCTION("""COMPUTED_VALUE"""),"")</f>
        <v/>
      </c>
      <c r="G9188" s="18"/>
      <c r="H9188" s="16" t="s">
        <v>87</v>
      </c>
      <c r="I9188" s="16" t="s">
        <v>87</v>
      </c>
      <c r="J9188" s="19"/>
      <c r="L9188" s="16" t="str">
        <f>IFERROR(__xludf.DUMMYFUNCTION("""COMPUTED_VALUE"""),"")</f>
        <v/>
      </c>
      <c r="M9188" s="16" t="str">
        <f>IFERROR(__xludf.DUMMYFUNCTION("""COMPUTED_VALUE"""),"")</f>
        <v/>
      </c>
      <c r="U9188" s="16" t="s">
        <v>87</v>
      </c>
      <c r="V9188" s="16" t="str">
        <f>IFERROR(__xludf.DUMMYFUNCTION("""COMPUTED_VALUE"""),"")</f>
        <v/>
      </c>
      <c r="W9188" s="16" t="str">
        <f>IFERROR(__xludf.DUMMYFUNCTION("""COMPUTED_VALUE"""),"")</f>
        <v/>
      </c>
      <c r="X9188" s="16" t="str">
        <f>IFERROR(__xludf.DUMMYFUNCTION("""COMPUTED_VALUE"""),"")</f>
        <v/>
      </c>
      <c r="AC9188" s="16" t="str">
        <f>IFERROR(__xludf.DUMMYFUNCTION("""COMPUTED_VALUE"""),"")</f>
        <v/>
      </c>
    </row>
    <row r="9189">
      <c r="A9189" s="16" t="s">
        <v>87</v>
      </c>
      <c r="E9189" s="16" t="str">
        <f>IFERROR(__xludf.DUMMYFUNCTION("""COMPUTED_VALUE"""),"")</f>
        <v/>
      </c>
      <c r="G9189" s="18"/>
      <c r="H9189" s="16" t="s">
        <v>87</v>
      </c>
      <c r="I9189" s="16" t="s">
        <v>87</v>
      </c>
      <c r="J9189" s="19"/>
      <c r="L9189" s="16" t="str">
        <f>IFERROR(__xludf.DUMMYFUNCTION("""COMPUTED_VALUE"""),"")</f>
        <v/>
      </c>
      <c r="M9189" s="16" t="str">
        <f>IFERROR(__xludf.DUMMYFUNCTION("""COMPUTED_VALUE"""),"")</f>
        <v/>
      </c>
      <c r="U9189" s="16" t="s">
        <v>87</v>
      </c>
      <c r="V9189" s="16" t="str">
        <f>IFERROR(__xludf.DUMMYFUNCTION("""COMPUTED_VALUE"""),"")</f>
        <v/>
      </c>
      <c r="W9189" s="16" t="str">
        <f>IFERROR(__xludf.DUMMYFUNCTION("""COMPUTED_VALUE"""),"")</f>
        <v/>
      </c>
      <c r="X9189" s="16" t="str">
        <f>IFERROR(__xludf.DUMMYFUNCTION("""COMPUTED_VALUE"""),"")</f>
        <v/>
      </c>
      <c r="AC9189" s="16" t="str">
        <f>IFERROR(__xludf.DUMMYFUNCTION("""COMPUTED_VALUE"""),"")</f>
        <v/>
      </c>
    </row>
    <row r="9190">
      <c r="A9190" s="16" t="s">
        <v>87</v>
      </c>
      <c r="E9190" s="16" t="str">
        <f>IFERROR(__xludf.DUMMYFUNCTION("""COMPUTED_VALUE"""),"")</f>
        <v/>
      </c>
      <c r="G9190" s="18"/>
      <c r="H9190" s="16" t="s">
        <v>87</v>
      </c>
      <c r="I9190" s="16" t="s">
        <v>87</v>
      </c>
      <c r="J9190" s="19"/>
      <c r="L9190" s="16" t="str">
        <f>IFERROR(__xludf.DUMMYFUNCTION("""COMPUTED_VALUE"""),"")</f>
        <v/>
      </c>
      <c r="M9190" s="16" t="str">
        <f>IFERROR(__xludf.DUMMYFUNCTION("""COMPUTED_VALUE"""),"")</f>
        <v/>
      </c>
      <c r="U9190" s="16" t="s">
        <v>87</v>
      </c>
      <c r="V9190" s="16" t="str">
        <f>IFERROR(__xludf.DUMMYFUNCTION("""COMPUTED_VALUE"""),"")</f>
        <v/>
      </c>
      <c r="W9190" s="16" t="str">
        <f>IFERROR(__xludf.DUMMYFUNCTION("""COMPUTED_VALUE"""),"")</f>
        <v/>
      </c>
      <c r="X9190" s="16" t="str">
        <f>IFERROR(__xludf.DUMMYFUNCTION("""COMPUTED_VALUE"""),"")</f>
        <v/>
      </c>
      <c r="AC9190" s="16" t="str">
        <f>IFERROR(__xludf.DUMMYFUNCTION("""COMPUTED_VALUE"""),"")</f>
        <v/>
      </c>
    </row>
    <row r="9191">
      <c r="A9191" s="16" t="s">
        <v>87</v>
      </c>
      <c r="E9191" s="16" t="str">
        <f>IFERROR(__xludf.DUMMYFUNCTION("""COMPUTED_VALUE"""),"")</f>
        <v/>
      </c>
      <c r="G9191" s="18"/>
      <c r="H9191" s="16" t="s">
        <v>87</v>
      </c>
      <c r="I9191" s="16" t="s">
        <v>87</v>
      </c>
      <c r="J9191" s="19"/>
      <c r="L9191" s="16" t="str">
        <f>IFERROR(__xludf.DUMMYFUNCTION("""COMPUTED_VALUE"""),"")</f>
        <v/>
      </c>
      <c r="M9191" s="16" t="str">
        <f>IFERROR(__xludf.DUMMYFUNCTION("""COMPUTED_VALUE"""),"")</f>
        <v/>
      </c>
      <c r="U9191" s="16" t="s">
        <v>87</v>
      </c>
      <c r="V9191" s="16" t="str">
        <f>IFERROR(__xludf.DUMMYFUNCTION("""COMPUTED_VALUE"""),"")</f>
        <v/>
      </c>
      <c r="W9191" s="16" t="str">
        <f>IFERROR(__xludf.DUMMYFUNCTION("""COMPUTED_VALUE"""),"")</f>
        <v/>
      </c>
      <c r="X9191" s="16" t="str">
        <f>IFERROR(__xludf.DUMMYFUNCTION("""COMPUTED_VALUE"""),"")</f>
        <v/>
      </c>
      <c r="AC9191" s="16" t="str">
        <f>IFERROR(__xludf.DUMMYFUNCTION("""COMPUTED_VALUE"""),"")</f>
        <v/>
      </c>
    </row>
    <row r="9192">
      <c r="A9192" s="16" t="s">
        <v>87</v>
      </c>
      <c r="E9192" s="16" t="str">
        <f>IFERROR(__xludf.DUMMYFUNCTION("""COMPUTED_VALUE"""),"")</f>
        <v/>
      </c>
      <c r="G9192" s="18"/>
      <c r="H9192" s="16" t="s">
        <v>87</v>
      </c>
      <c r="I9192" s="16" t="s">
        <v>87</v>
      </c>
      <c r="J9192" s="19"/>
      <c r="L9192" s="16" t="str">
        <f>IFERROR(__xludf.DUMMYFUNCTION("""COMPUTED_VALUE"""),"")</f>
        <v/>
      </c>
      <c r="M9192" s="16" t="str">
        <f>IFERROR(__xludf.DUMMYFUNCTION("""COMPUTED_VALUE"""),"")</f>
        <v/>
      </c>
      <c r="U9192" s="16" t="s">
        <v>87</v>
      </c>
      <c r="V9192" s="16" t="str">
        <f>IFERROR(__xludf.DUMMYFUNCTION("""COMPUTED_VALUE"""),"")</f>
        <v/>
      </c>
      <c r="W9192" s="16" t="str">
        <f>IFERROR(__xludf.DUMMYFUNCTION("""COMPUTED_VALUE"""),"")</f>
        <v/>
      </c>
      <c r="X9192" s="16" t="str">
        <f>IFERROR(__xludf.DUMMYFUNCTION("""COMPUTED_VALUE"""),"")</f>
        <v/>
      </c>
      <c r="AC9192" s="16" t="str">
        <f>IFERROR(__xludf.DUMMYFUNCTION("""COMPUTED_VALUE"""),"")</f>
        <v/>
      </c>
    </row>
    <row r="9193">
      <c r="A9193" s="16" t="s">
        <v>87</v>
      </c>
      <c r="E9193" s="16" t="str">
        <f>IFERROR(__xludf.DUMMYFUNCTION("""COMPUTED_VALUE"""),"")</f>
        <v/>
      </c>
      <c r="G9193" s="18"/>
      <c r="H9193" s="16" t="s">
        <v>87</v>
      </c>
      <c r="I9193" s="16" t="s">
        <v>87</v>
      </c>
      <c r="J9193" s="19"/>
      <c r="L9193" s="16" t="str">
        <f>IFERROR(__xludf.DUMMYFUNCTION("""COMPUTED_VALUE"""),"")</f>
        <v/>
      </c>
      <c r="M9193" s="16" t="str">
        <f>IFERROR(__xludf.DUMMYFUNCTION("""COMPUTED_VALUE"""),"")</f>
        <v/>
      </c>
      <c r="U9193" s="16" t="s">
        <v>87</v>
      </c>
      <c r="V9193" s="16" t="str">
        <f>IFERROR(__xludf.DUMMYFUNCTION("""COMPUTED_VALUE"""),"")</f>
        <v/>
      </c>
      <c r="W9193" s="16" t="str">
        <f>IFERROR(__xludf.DUMMYFUNCTION("""COMPUTED_VALUE"""),"")</f>
        <v/>
      </c>
      <c r="X9193" s="16" t="str">
        <f>IFERROR(__xludf.DUMMYFUNCTION("""COMPUTED_VALUE"""),"")</f>
        <v/>
      </c>
      <c r="AC9193" s="16" t="str">
        <f>IFERROR(__xludf.DUMMYFUNCTION("""COMPUTED_VALUE"""),"")</f>
        <v/>
      </c>
    </row>
    <row r="9194">
      <c r="A9194" s="16" t="s">
        <v>87</v>
      </c>
      <c r="E9194" s="16" t="str">
        <f>IFERROR(__xludf.DUMMYFUNCTION("""COMPUTED_VALUE"""),"")</f>
        <v/>
      </c>
      <c r="G9194" s="18"/>
      <c r="H9194" s="16" t="s">
        <v>87</v>
      </c>
      <c r="I9194" s="16" t="s">
        <v>87</v>
      </c>
      <c r="J9194" s="19"/>
      <c r="L9194" s="16" t="str">
        <f>IFERROR(__xludf.DUMMYFUNCTION("""COMPUTED_VALUE"""),"")</f>
        <v/>
      </c>
      <c r="M9194" s="16" t="str">
        <f>IFERROR(__xludf.DUMMYFUNCTION("""COMPUTED_VALUE"""),"")</f>
        <v/>
      </c>
      <c r="U9194" s="16" t="s">
        <v>87</v>
      </c>
      <c r="V9194" s="16" t="str">
        <f>IFERROR(__xludf.DUMMYFUNCTION("""COMPUTED_VALUE"""),"")</f>
        <v/>
      </c>
      <c r="W9194" s="16" t="str">
        <f>IFERROR(__xludf.DUMMYFUNCTION("""COMPUTED_VALUE"""),"")</f>
        <v/>
      </c>
      <c r="X9194" s="16" t="str">
        <f>IFERROR(__xludf.DUMMYFUNCTION("""COMPUTED_VALUE"""),"")</f>
        <v/>
      </c>
      <c r="AC9194" s="16" t="str">
        <f>IFERROR(__xludf.DUMMYFUNCTION("""COMPUTED_VALUE"""),"")</f>
        <v/>
      </c>
    </row>
    <row r="9195">
      <c r="A9195" s="16" t="s">
        <v>87</v>
      </c>
      <c r="E9195" s="16" t="str">
        <f>IFERROR(__xludf.DUMMYFUNCTION("""COMPUTED_VALUE"""),"")</f>
        <v/>
      </c>
      <c r="G9195" s="18"/>
      <c r="H9195" s="16" t="s">
        <v>87</v>
      </c>
      <c r="I9195" s="16" t="s">
        <v>87</v>
      </c>
      <c r="J9195" s="19"/>
      <c r="L9195" s="16" t="str">
        <f>IFERROR(__xludf.DUMMYFUNCTION("""COMPUTED_VALUE"""),"")</f>
        <v/>
      </c>
      <c r="M9195" s="16" t="str">
        <f>IFERROR(__xludf.DUMMYFUNCTION("""COMPUTED_VALUE"""),"")</f>
        <v/>
      </c>
      <c r="U9195" s="16" t="s">
        <v>87</v>
      </c>
      <c r="V9195" s="16" t="str">
        <f>IFERROR(__xludf.DUMMYFUNCTION("""COMPUTED_VALUE"""),"")</f>
        <v/>
      </c>
      <c r="W9195" s="16" t="str">
        <f>IFERROR(__xludf.DUMMYFUNCTION("""COMPUTED_VALUE"""),"")</f>
        <v/>
      </c>
      <c r="X9195" s="16" t="str">
        <f>IFERROR(__xludf.DUMMYFUNCTION("""COMPUTED_VALUE"""),"")</f>
        <v/>
      </c>
      <c r="AC9195" s="16" t="str">
        <f>IFERROR(__xludf.DUMMYFUNCTION("""COMPUTED_VALUE"""),"")</f>
        <v/>
      </c>
    </row>
    <row r="9196">
      <c r="A9196" s="16" t="s">
        <v>87</v>
      </c>
      <c r="E9196" s="16" t="str">
        <f>IFERROR(__xludf.DUMMYFUNCTION("""COMPUTED_VALUE"""),"")</f>
        <v/>
      </c>
      <c r="G9196" s="18"/>
      <c r="H9196" s="16" t="s">
        <v>87</v>
      </c>
      <c r="I9196" s="16" t="s">
        <v>87</v>
      </c>
      <c r="J9196" s="19"/>
      <c r="L9196" s="16" t="str">
        <f>IFERROR(__xludf.DUMMYFUNCTION("""COMPUTED_VALUE"""),"")</f>
        <v/>
      </c>
      <c r="M9196" s="16" t="str">
        <f>IFERROR(__xludf.DUMMYFUNCTION("""COMPUTED_VALUE"""),"")</f>
        <v/>
      </c>
      <c r="U9196" s="16" t="s">
        <v>87</v>
      </c>
      <c r="V9196" s="16" t="str">
        <f>IFERROR(__xludf.DUMMYFUNCTION("""COMPUTED_VALUE"""),"")</f>
        <v/>
      </c>
      <c r="W9196" s="16" t="str">
        <f>IFERROR(__xludf.DUMMYFUNCTION("""COMPUTED_VALUE"""),"")</f>
        <v/>
      </c>
      <c r="X9196" s="16" t="str">
        <f>IFERROR(__xludf.DUMMYFUNCTION("""COMPUTED_VALUE"""),"")</f>
        <v/>
      </c>
      <c r="AC9196" s="16" t="str">
        <f>IFERROR(__xludf.DUMMYFUNCTION("""COMPUTED_VALUE"""),"")</f>
        <v/>
      </c>
    </row>
    <row r="9197">
      <c r="A9197" s="16" t="s">
        <v>87</v>
      </c>
      <c r="E9197" s="16" t="str">
        <f>IFERROR(__xludf.DUMMYFUNCTION("""COMPUTED_VALUE"""),"")</f>
        <v/>
      </c>
      <c r="G9197" s="18"/>
      <c r="H9197" s="16" t="s">
        <v>87</v>
      </c>
      <c r="I9197" s="16" t="s">
        <v>87</v>
      </c>
      <c r="J9197" s="19"/>
      <c r="L9197" s="16" t="str">
        <f>IFERROR(__xludf.DUMMYFUNCTION("""COMPUTED_VALUE"""),"")</f>
        <v/>
      </c>
      <c r="M9197" s="16" t="str">
        <f>IFERROR(__xludf.DUMMYFUNCTION("""COMPUTED_VALUE"""),"")</f>
        <v/>
      </c>
      <c r="U9197" s="16" t="s">
        <v>87</v>
      </c>
      <c r="V9197" s="16" t="str">
        <f>IFERROR(__xludf.DUMMYFUNCTION("""COMPUTED_VALUE"""),"")</f>
        <v/>
      </c>
      <c r="W9197" s="16" t="str">
        <f>IFERROR(__xludf.DUMMYFUNCTION("""COMPUTED_VALUE"""),"")</f>
        <v/>
      </c>
      <c r="X9197" s="16" t="str">
        <f>IFERROR(__xludf.DUMMYFUNCTION("""COMPUTED_VALUE"""),"")</f>
        <v/>
      </c>
      <c r="AC9197" s="16" t="str">
        <f>IFERROR(__xludf.DUMMYFUNCTION("""COMPUTED_VALUE"""),"")</f>
        <v/>
      </c>
    </row>
    <row r="9198">
      <c r="A9198" s="16" t="s">
        <v>87</v>
      </c>
      <c r="E9198" s="16" t="str">
        <f>IFERROR(__xludf.DUMMYFUNCTION("""COMPUTED_VALUE"""),"")</f>
        <v/>
      </c>
      <c r="G9198" s="18"/>
      <c r="H9198" s="16" t="s">
        <v>87</v>
      </c>
      <c r="I9198" s="16" t="s">
        <v>87</v>
      </c>
      <c r="J9198" s="19"/>
      <c r="L9198" s="16" t="str">
        <f>IFERROR(__xludf.DUMMYFUNCTION("""COMPUTED_VALUE"""),"")</f>
        <v/>
      </c>
      <c r="M9198" s="16" t="str">
        <f>IFERROR(__xludf.DUMMYFUNCTION("""COMPUTED_VALUE"""),"")</f>
        <v/>
      </c>
      <c r="U9198" s="16" t="s">
        <v>87</v>
      </c>
      <c r="V9198" s="16" t="str">
        <f>IFERROR(__xludf.DUMMYFUNCTION("""COMPUTED_VALUE"""),"")</f>
        <v/>
      </c>
      <c r="W9198" s="16" t="str">
        <f>IFERROR(__xludf.DUMMYFUNCTION("""COMPUTED_VALUE"""),"")</f>
        <v/>
      </c>
      <c r="X9198" s="16" t="str">
        <f>IFERROR(__xludf.DUMMYFUNCTION("""COMPUTED_VALUE"""),"")</f>
        <v/>
      </c>
      <c r="AC9198" s="16" t="str">
        <f>IFERROR(__xludf.DUMMYFUNCTION("""COMPUTED_VALUE"""),"")</f>
        <v/>
      </c>
    </row>
    <row r="9199">
      <c r="A9199" s="16" t="s">
        <v>87</v>
      </c>
      <c r="E9199" s="16" t="str">
        <f>IFERROR(__xludf.DUMMYFUNCTION("""COMPUTED_VALUE"""),"")</f>
        <v/>
      </c>
      <c r="G9199" s="18"/>
      <c r="H9199" s="16" t="s">
        <v>87</v>
      </c>
      <c r="I9199" s="16" t="s">
        <v>87</v>
      </c>
      <c r="J9199" s="19"/>
      <c r="L9199" s="16" t="str">
        <f>IFERROR(__xludf.DUMMYFUNCTION("""COMPUTED_VALUE"""),"")</f>
        <v/>
      </c>
      <c r="M9199" s="16" t="str">
        <f>IFERROR(__xludf.DUMMYFUNCTION("""COMPUTED_VALUE"""),"")</f>
        <v/>
      </c>
      <c r="U9199" s="16" t="s">
        <v>87</v>
      </c>
      <c r="V9199" s="16" t="str">
        <f>IFERROR(__xludf.DUMMYFUNCTION("""COMPUTED_VALUE"""),"")</f>
        <v/>
      </c>
      <c r="W9199" s="16" t="str">
        <f>IFERROR(__xludf.DUMMYFUNCTION("""COMPUTED_VALUE"""),"")</f>
        <v/>
      </c>
      <c r="X9199" s="16" t="str">
        <f>IFERROR(__xludf.DUMMYFUNCTION("""COMPUTED_VALUE"""),"")</f>
        <v/>
      </c>
      <c r="AC9199" s="16" t="str">
        <f>IFERROR(__xludf.DUMMYFUNCTION("""COMPUTED_VALUE"""),"")</f>
        <v/>
      </c>
    </row>
    <row r="9200">
      <c r="A9200" s="16" t="s">
        <v>87</v>
      </c>
      <c r="E9200" s="16" t="str">
        <f>IFERROR(__xludf.DUMMYFUNCTION("""COMPUTED_VALUE"""),"")</f>
        <v/>
      </c>
      <c r="G9200" s="18"/>
      <c r="H9200" s="16" t="s">
        <v>87</v>
      </c>
      <c r="I9200" s="16" t="s">
        <v>87</v>
      </c>
      <c r="J9200" s="19"/>
      <c r="L9200" s="16" t="str">
        <f>IFERROR(__xludf.DUMMYFUNCTION("""COMPUTED_VALUE"""),"")</f>
        <v/>
      </c>
      <c r="M9200" s="16" t="str">
        <f>IFERROR(__xludf.DUMMYFUNCTION("""COMPUTED_VALUE"""),"")</f>
        <v/>
      </c>
      <c r="U9200" s="16" t="s">
        <v>87</v>
      </c>
      <c r="V9200" s="16" t="str">
        <f>IFERROR(__xludf.DUMMYFUNCTION("""COMPUTED_VALUE"""),"")</f>
        <v/>
      </c>
      <c r="W9200" s="16" t="str">
        <f>IFERROR(__xludf.DUMMYFUNCTION("""COMPUTED_VALUE"""),"")</f>
        <v/>
      </c>
      <c r="X9200" s="16" t="str">
        <f>IFERROR(__xludf.DUMMYFUNCTION("""COMPUTED_VALUE"""),"")</f>
        <v/>
      </c>
      <c r="AC9200" s="16" t="str">
        <f>IFERROR(__xludf.DUMMYFUNCTION("""COMPUTED_VALUE"""),"")</f>
        <v/>
      </c>
    </row>
    <row r="9201">
      <c r="A9201" s="16" t="s">
        <v>87</v>
      </c>
      <c r="E9201" s="16" t="str">
        <f>IFERROR(__xludf.DUMMYFUNCTION("""COMPUTED_VALUE"""),"")</f>
        <v/>
      </c>
      <c r="G9201" s="18"/>
      <c r="H9201" s="16" t="s">
        <v>87</v>
      </c>
      <c r="I9201" s="16" t="s">
        <v>87</v>
      </c>
      <c r="J9201" s="19"/>
      <c r="L9201" s="16" t="str">
        <f>IFERROR(__xludf.DUMMYFUNCTION("""COMPUTED_VALUE"""),"")</f>
        <v/>
      </c>
      <c r="M9201" s="16" t="str">
        <f>IFERROR(__xludf.DUMMYFUNCTION("""COMPUTED_VALUE"""),"")</f>
        <v/>
      </c>
      <c r="U9201" s="16" t="s">
        <v>87</v>
      </c>
      <c r="V9201" s="16" t="str">
        <f>IFERROR(__xludf.DUMMYFUNCTION("""COMPUTED_VALUE"""),"")</f>
        <v/>
      </c>
      <c r="W9201" s="16" t="str">
        <f>IFERROR(__xludf.DUMMYFUNCTION("""COMPUTED_VALUE"""),"")</f>
        <v/>
      </c>
      <c r="X9201" s="16" t="str">
        <f>IFERROR(__xludf.DUMMYFUNCTION("""COMPUTED_VALUE"""),"")</f>
        <v/>
      </c>
      <c r="AC9201" s="16" t="str">
        <f>IFERROR(__xludf.DUMMYFUNCTION("""COMPUTED_VALUE"""),"")</f>
        <v/>
      </c>
    </row>
    <row r="9202">
      <c r="A9202" s="16" t="s">
        <v>87</v>
      </c>
      <c r="E9202" s="16" t="str">
        <f>IFERROR(__xludf.DUMMYFUNCTION("""COMPUTED_VALUE"""),"")</f>
        <v/>
      </c>
      <c r="G9202" s="18"/>
      <c r="H9202" s="16" t="s">
        <v>87</v>
      </c>
      <c r="I9202" s="16" t="s">
        <v>87</v>
      </c>
      <c r="J9202" s="19"/>
      <c r="L9202" s="16" t="str">
        <f>IFERROR(__xludf.DUMMYFUNCTION("""COMPUTED_VALUE"""),"")</f>
        <v/>
      </c>
      <c r="M9202" s="16" t="str">
        <f>IFERROR(__xludf.DUMMYFUNCTION("""COMPUTED_VALUE"""),"")</f>
        <v/>
      </c>
      <c r="U9202" s="16" t="s">
        <v>87</v>
      </c>
      <c r="V9202" s="16" t="str">
        <f>IFERROR(__xludf.DUMMYFUNCTION("""COMPUTED_VALUE"""),"")</f>
        <v/>
      </c>
      <c r="W9202" s="16" t="str">
        <f>IFERROR(__xludf.DUMMYFUNCTION("""COMPUTED_VALUE"""),"")</f>
        <v/>
      </c>
      <c r="X9202" s="16" t="str">
        <f>IFERROR(__xludf.DUMMYFUNCTION("""COMPUTED_VALUE"""),"")</f>
        <v/>
      </c>
      <c r="AC9202" s="16" t="str">
        <f>IFERROR(__xludf.DUMMYFUNCTION("""COMPUTED_VALUE"""),"")</f>
        <v/>
      </c>
    </row>
    <row r="9203">
      <c r="A9203" s="16" t="s">
        <v>87</v>
      </c>
      <c r="E9203" s="16" t="str">
        <f>IFERROR(__xludf.DUMMYFUNCTION("""COMPUTED_VALUE"""),"")</f>
        <v/>
      </c>
      <c r="G9203" s="18"/>
      <c r="H9203" s="16" t="s">
        <v>87</v>
      </c>
      <c r="I9203" s="16" t="s">
        <v>87</v>
      </c>
      <c r="J9203" s="19"/>
      <c r="L9203" s="16" t="str">
        <f>IFERROR(__xludf.DUMMYFUNCTION("""COMPUTED_VALUE"""),"")</f>
        <v/>
      </c>
      <c r="M9203" s="16" t="str">
        <f>IFERROR(__xludf.DUMMYFUNCTION("""COMPUTED_VALUE"""),"")</f>
        <v/>
      </c>
      <c r="U9203" s="16" t="s">
        <v>87</v>
      </c>
      <c r="V9203" s="16" t="str">
        <f>IFERROR(__xludf.DUMMYFUNCTION("""COMPUTED_VALUE"""),"")</f>
        <v/>
      </c>
      <c r="W9203" s="16" t="str">
        <f>IFERROR(__xludf.DUMMYFUNCTION("""COMPUTED_VALUE"""),"")</f>
        <v/>
      </c>
      <c r="X9203" s="16" t="str">
        <f>IFERROR(__xludf.DUMMYFUNCTION("""COMPUTED_VALUE"""),"")</f>
        <v/>
      </c>
      <c r="AC9203" s="16" t="str">
        <f>IFERROR(__xludf.DUMMYFUNCTION("""COMPUTED_VALUE"""),"")</f>
        <v/>
      </c>
    </row>
    <row r="9204">
      <c r="A9204" s="16" t="s">
        <v>87</v>
      </c>
      <c r="E9204" s="16" t="str">
        <f>IFERROR(__xludf.DUMMYFUNCTION("""COMPUTED_VALUE"""),"")</f>
        <v/>
      </c>
      <c r="G9204" s="18"/>
      <c r="H9204" s="16" t="s">
        <v>87</v>
      </c>
      <c r="I9204" s="16" t="s">
        <v>87</v>
      </c>
      <c r="J9204" s="19"/>
      <c r="L9204" s="16" t="str">
        <f>IFERROR(__xludf.DUMMYFUNCTION("""COMPUTED_VALUE"""),"")</f>
        <v/>
      </c>
      <c r="M9204" s="16" t="str">
        <f>IFERROR(__xludf.DUMMYFUNCTION("""COMPUTED_VALUE"""),"")</f>
        <v/>
      </c>
      <c r="U9204" s="16" t="s">
        <v>87</v>
      </c>
      <c r="V9204" s="16" t="str">
        <f>IFERROR(__xludf.DUMMYFUNCTION("""COMPUTED_VALUE"""),"")</f>
        <v/>
      </c>
      <c r="W9204" s="16" t="str">
        <f>IFERROR(__xludf.DUMMYFUNCTION("""COMPUTED_VALUE"""),"")</f>
        <v/>
      </c>
      <c r="X9204" s="16" t="str">
        <f>IFERROR(__xludf.DUMMYFUNCTION("""COMPUTED_VALUE"""),"")</f>
        <v/>
      </c>
      <c r="AC9204" s="16" t="str">
        <f>IFERROR(__xludf.DUMMYFUNCTION("""COMPUTED_VALUE"""),"")</f>
        <v/>
      </c>
    </row>
    <row r="9205">
      <c r="A9205" s="16" t="s">
        <v>87</v>
      </c>
      <c r="E9205" s="16" t="str">
        <f>IFERROR(__xludf.DUMMYFUNCTION("""COMPUTED_VALUE"""),"")</f>
        <v/>
      </c>
      <c r="G9205" s="18"/>
      <c r="H9205" s="16" t="s">
        <v>87</v>
      </c>
      <c r="I9205" s="16" t="s">
        <v>87</v>
      </c>
      <c r="J9205" s="19"/>
      <c r="L9205" s="16" t="str">
        <f>IFERROR(__xludf.DUMMYFUNCTION("""COMPUTED_VALUE"""),"")</f>
        <v/>
      </c>
      <c r="M9205" s="16" t="str">
        <f>IFERROR(__xludf.DUMMYFUNCTION("""COMPUTED_VALUE"""),"")</f>
        <v/>
      </c>
      <c r="U9205" s="16" t="s">
        <v>87</v>
      </c>
      <c r="V9205" s="16" t="str">
        <f>IFERROR(__xludf.DUMMYFUNCTION("""COMPUTED_VALUE"""),"")</f>
        <v/>
      </c>
      <c r="W9205" s="16" t="str">
        <f>IFERROR(__xludf.DUMMYFUNCTION("""COMPUTED_VALUE"""),"")</f>
        <v/>
      </c>
      <c r="X9205" s="16" t="str">
        <f>IFERROR(__xludf.DUMMYFUNCTION("""COMPUTED_VALUE"""),"")</f>
        <v/>
      </c>
      <c r="AC9205" s="16" t="str">
        <f>IFERROR(__xludf.DUMMYFUNCTION("""COMPUTED_VALUE"""),"")</f>
        <v/>
      </c>
    </row>
    <row r="9206">
      <c r="A9206" s="16" t="s">
        <v>87</v>
      </c>
      <c r="E9206" s="16" t="str">
        <f>IFERROR(__xludf.DUMMYFUNCTION("""COMPUTED_VALUE"""),"")</f>
        <v/>
      </c>
      <c r="G9206" s="18"/>
      <c r="H9206" s="16" t="s">
        <v>87</v>
      </c>
      <c r="I9206" s="16" t="s">
        <v>87</v>
      </c>
      <c r="J9206" s="19"/>
      <c r="L9206" s="16" t="str">
        <f>IFERROR(__xludf.DUMMYFUNCTION("""COMPUTED_VALUE"""),"")</f>
        <v/>
      </c>
      <c r="M9206" s="16" t="str">
        <f>IFERROR(__xludf.DUMMYFUNCTION("""COMPUTED_VALUE"""),"")</f>
        <v/>
      </c>
      <c r="U9206" s="16" t="s">
        <v>87</v>
      </c>
      <c r="V9206" s="16" t="str">
        <f>IFERROR(__xludf.DUMMYFUNCTION("""COMPUTED_VALUE"""),"")</f>
        <v/>
      </c>
      <c r="W9206" s="16" t="str">
        <f>IFERROR(__xludf.DUMMYFUNCTION("""COMPUTED_VALUE"""),"")</f>
        <v/>
      </c>
      <c r="X9206" s="16" t="str">
        <f>IFERROR(__xludf.DUMMYFUNCTION("""COMPUTED_VALUE"""),"")</f>
        <v/>
      </c>
      <c r="AC9206" s="16" t="str">
        <f>IFERROR(__xludf.DUMMYFUNCTION("""COMPUTED_VALUE"""),"")</f>
        <v/>
      </c>
    </row>
    <row r="9207">
      <c r="A9207" s="16" t="s">
        <v>87</v>
      </c>
      <c r="E9207" s="16" t="str">
        <f>IFERROR(__xludf.DUMMYFUNCTION("""COMPUTED_VALUE"""),"")</f>
        <v/>
      </c>
      <c r="G9207" s="18"/>
      <c r="H9207" s="16" t="s">
        <v>87</v>
      </c>
      <c r="I9207" s="16" t="s">
        <v>87</v>
      </c>
      <c r="J9207" s="19"/>
      <c r="L9207" s="16" t="str">
        <f>IFERROR(__xludf.DUMMYFUNCTION("""COMPUTED_VALUE"""),"")</f>
        <v/>
      </c>
      <c r="M9207" s="16" t="str">
        <f>IFERROR(__xludf.DUMMYFUNCTION("""COMPUTED_VALUE"""),"")</f>
        <v/>
      </c>
      <c r="U9207" s="16" t="s">
        <v>87</v>
      </c>
      <c r="V9207" s="16" t="str">
        <f>IFERROR(__xludf.DUMMYFUNCTION("""COMPUTED_VALUE"""),"")</f>
        <v/>
      </c>
      <c r="W9207" s="16" t="str">
        <f>IFERROR(__xludf.DUMMYFUNCTION("""COMPUTED_VALUE"""),"")</f>
        <v/>
      </c>
      <c r="X9207" s="16" t="str">
        <f>IFERROR(__xludf.DUMMYFUNCTION("""COMPUTED_VALUE"""),"")</f>
        <v/>
      </c>
      <c r="AC9207" s="16" t="str">
        <f>IFERROR(__xludf.DUMMYFUNCTION("""COMPUTED_VALUE"""),"")</f>
        <v/>
      </c>
    </row>
    <row r="9208">
      <c r="A9208" s="16" t="s">
        <v>87</v>
      </c>
      <c r="E9208" s="16" t="str">
        <f>IFERROR(__xludf.DUMMYFUNCTION("""COMPUTED_VALUE"""),"")</f>
        <v/>
      </c>
      <c r="G9208" s="18"/>
      <c r="H9208" s="16" t="s">
        <v>87</v>
      </c>
      <c r="I9208" s="16" t="s">
        <v>87</v>
      </c>
      <c r="J9208" s="19"/>
      <c r="L9208" s="16" t="str">
        <f>IFERROR(__xludf.DUMMYFUNCTION("""COMPUTED_VALUE"""),"")</f>
        <v/>
      </c>
      <c r="M9208" s="16" t="str">
        <f>IFERROR(__xludf.DUMMYFUNCTION("""COMPUTED_VALUE"""),"")</f>
        <v/>
      </c>
      <c r="U9208" s="16" t="s">
        <v>87</v>
      </c>
      <c r="V9208" s="16" t="str">
        <f>IFERROR(__xludf.DUMMYFUNCTION("""COMPUTED_VALUE"""),"")</f>
        <v/>
      </c>
      <c r="W9208" s="16" t="str">
        <f>IFERROR(__xludf.DUMMYFUNCTION("""COMPUTED_VALUE"""),"")</f>
        <v/>
      </c>
      <c r="X9208" s="16" t="str">
        <f>IFERROR(__xludf.DUMMYFUNCTION("""COMPUTED_VALUE"""),"")</f>
        <v/>
      </c>
      <c r="AC9208" s="16" t="str">
        <f>IFERROR(__xludf.DUMMYFUNCTION("""COMPUTED_VALUE"""),"")</f>
        <v/>
      </c>
    </row>
    <row r="9209">
      <c r="A9209" s="16" t="s">
        <v>87</v>
      </c>
      <c r="E9209" s="16" t="str">
        <f>IFERROR(__xludf.DUMMYFUNCTION("""COMPUTED_VALUE"""),"")</f>
        <v/>
      </c>
      <c r="G9209" s="18"/>
      <c r="H9209" s="16" t="s">
        <v>87</v>
      </c>
      <c r="I9209" s="16" t="s">
        <v>87</v>
      </c>
      <c r="J9209" s="19"/>
      <c r="L9209" s="16" t="str">
        <f>IFERROR(__xludf.DUMMYFUNCTION("""COMPUTED_VALUE"""),"")</f>
        <v/>
      </c>
      <c r="M9209" s="16" t="str">
        <f>IFERROR(__xludf.DUMMYFUNCTION("""COMPUTED_VALUE"""),"")</f>
        <v/>
      </c>
      <c r="U9209" s="16" t="s">
        <v>87</v>
      </c>
      <c r="V9209" s="16" t="str">
        <f>IFERROR(__xludf.DUMMYFUNCTION("""COMPUTED_VALUE"""),"")</f>
        <v/>
      </c>
      <c r="W9209" s="16" t="str">
        <f>IFERROR(__xludf.DUMMYFUNCTION("""COMPUTED_VALUE"""),"")</f>
        <v/>
      </c>
      <c r="X9209" s="16" t="str">
        <f>IFERROR(__xludf.DUMMYFUNCTION("""COMPUTED_VALUE"""),"")</f>
        <v/>
      </c>
      <c r="AC9209" s="16" t="str">
        <f>IFERROR(__xludf.DUMMYFUNCTION("""COMPUTED_VALUE"""),"")</f>
        <v/>
      </c>
    </row>
    <row r="9210">
      <c r="A9210" s="16" t="s">
        <v>87</v>
      </c>
      <c r="E9210" s="16" t="str">
        <f>IFERROR(__xludf.DUMMYFUNCTION("""COMPUTED_VALUE"""),"")</f>
        <v/>
      </c>
      <c r="G9210" s="18"/>
      <c r="H9210" s="16" t="s">
        <v>87</v>
      </c>
      <c r="I9210" s="16" t="s">
        <v>87</v>
      </c>
      <c r="J9210" s="19"/>
      <c r="L9210" s="16" t="str">
        <f>IFERROR(__xludf.DUMMYFUNCTION("""COMPUTED_VALUE"""),"")</f>
        <v/>
      </c>
      <c r="M9210" s="16" t="str">
        <f>IFERROR(__xludf.DUMMYFUNCTION("""COMPUTED_VALUE"""),"")</f>
        <v/>
      </c>
      <c r="U9210" s="16" t="s">
        <v>87</v>
      </c>
      <c r="V9210" s="16" t="str">
        <f>IFERROR(__xludf.DUMMYFUNCTION("""COMPUTED_VALUE"""),"")</f>
        <v/>
      </c>
      <c r="W9210" s="16" t="str">
        <f>IFERROR(__xludf.DUMMYFUNCTION("""COMPUTED_VALUE"""),"")</f>
        <v/>
      </c>
      <c r="X9210" s="16" t="str">
        <f>IFERROR(__xludf.DUMMYFUNCTION("""COMPUTED_VALUE"""),"")</f>
        <v/>
      </c>
      <c r="AC9210" s="16" t="str">
        <f>IFERROR(__xludf.DUMMYFUNCTION("""COMPUTED_VALUE"""),"")</f>
        <v/>
      </c>
    </row>
    <row r="9211">
      <c r="A9211" s="16" t="s">
        <v>87</v>
      </c>
      <c r="E9211" s="16" t="str">
        <f>IFERROR(__xludf.DUMMYFUNCTION("""COMPUTED_VALUE"""),"")</f>
        <v/>
      </c>
      <c r="G9211" s="18"/>
      <c r="H9211" s="16" t="s">
        <v>87</v>
      </c>
      <c r="I9211" s="16" t="s">
        <v>87</v>
      </c>
      <c r="J9211" s="19"/>
      <c r="L9211" s="16" t="str">
        <f>IFERROR(__xludf.DUMMYFUNCTION("""COMPUTED_VALUE"""),"")</f>
        <v/>
      </c>
      <c r="M9211" s="16" t="str">
        <f>IFERROR(__xludf.DUMMYFUNCTION("""COMPUTED_VALUE"""),"")</f>
        <v/>
      </c>
      <c r="U9211" s="16" t="s">
        <v>87</v>
      </c>
      <c r="V9211" s="16" t="str">
        <f>IFERROR(__xludf.DUMMYFUNCTION("""COMPUTED_VALUE"""),"")</f>
        <v/>
      </c>
      <c r="W9211" s="16" t="str">
        <f>IFERROR(__xludf.DUMMYFUNCTION("""COMPUTED_VALUE"""),"")</f>
        <v/>
      </c>
      <c r="X9211" s="16" t="str">
        <f>IFERROR(__xludf.DUMMYFUNCTION("""COMPUTED_VALUE"""),"")</f>
        <v/>
      </c>
      <c r="AC9211" s="16" t="str">
        <f>IFERROR(__xludf.DUMMYFUNCTION("""COMPUTED_VALUE"""),"")</f>
        <v/>
      </c>
    </row>
    <row r="9212">
      <c r="A9212" s="16" t="s">
        <v>87</v>
      </c>
      <c r="E9212" s="16" t="str">
        <f>IFERROR(__xludf.DUMMYFUNCTION("""COMPUTED_VALUE"""),"")</f>
        <v/>
      </c>
      <c r="G9212" s="18"/>
      <c r="H9212" s="16" t="s">
        <v>87</v>
      </c>
      <c r="I9212" s="16" t="s">
        <v>87</v>
      </c>
      <c r="J9212" s="19"/>
      <c r="L9212" s="16" t="str">
        <f>IFERROR(__xludf.DUMMYFUNCTION("""COMPUTED_VALUE"""),"")</f>
        <v/>
      </c>
      <c r="M9212" s="16" t="str">
        <f>IFERROR(__xludf.DUMMYFUNCTION("""COMPUTED_VALUE"""),"")</f>
        <v/>
      </c>
      <c r="U9212" s="16" t="s">
        <v>87</v>
      </c>
      <c r="V9212" s="16" t="str">
        <f>IFERROR(__xludf.DUMMYFUNCTION("""COMPUTED_VALUE"""),"")</f>
        <v/>
      </c>
      <c r="W9212" s="16" t="str">
        <f>IFERROR(__xludf.DUMMYFUNCTION("""COMPUTED_VALUE"""),"")</f>
        <v/>
      </c>
      <c r="X9212" s="16" t="str">
        <f>IFERROR(__xludf.DUMMYFUNCTION("""COMPUTED_VALUE"""),"")</f>
        <v/>
      </c>
      <c r="AC9212" s="16" t="str">
        <f>IFERROR(__xludf.DUMMYFUNCTION("""COMPUTED_VALUE"""),"")</f>
        <v/>
      </c>
    </row>
    <row r="9213">
      <c r="A9213" s="16" t="s">
        <v>87</v>
      </c>
      <c r="E9213" s="16" t="str">
        <f>IFERROR(__xludf.DUMMYFUNCTION("""COMPUTED_VALUE"""),"")</f>
        <v/>
      </c>
      <c r="G9213" s="18"/>
      <c r="H9213" s="16" t="s">
        <v>87</v>
      </c>
      <c r="I9213" s="16" t="s">
        <v>87</v>
      </c>
      <c r="J9213" s="19"/>
      <c r="L9213" s="16" t="str">
        <f>IFERROR(__xludf.DUMMYFUNCTION("""COMPUTED_VALUE"""),"")</f>
        <v/>
      </c>
      <c r="M9213" s="16" t="str">
        <f>IFERROR(__xludf.DUMMYFUNCTION("""COMPUTED_VALUE"""),"")</f>
        <v/>
      </c>
      <c r="U9213" s="16" t="s">
        <v>87</v>
      </c>
      <c r="V9213" s="16" t="str">
        <f>IFERROR(__xludf.DUMMYFUNCTION("""COMPUTED_VALUE"""),"")</f>
        <v/>
      </c>
      <c r="W9213" s="16" t="str">
        <f>IFERROR(__xludf.DUMMYFUNCTION("""COMPUTED_VALUE"""),"")</f>
        <v/>
      </c>
      <c r="X9213" s="16" t="str">
        <f>IFERROR(__xludf.DUMMYFUNCTION("""COMPUTED_VALUE"""),"")</f>
        <v/>
      </c>
      <c r="AC9213" s="16" t="str">
        <f>IFERROR(__xludf.DUMMYFUNCTION("""COMPUTED_VALUE"""),"")</f>
        <v/>
      </c>
    </row>
    <row r="9214">
      <c r="A9214" s="16" t="s">
        <v>87</v>
      </c>
      <c r="E9214" s="16" t="str">
        <f>IFERROR(__xludf.DUMMYFUNCTION("""COMPUTED_VALUE"""),"")</f>
        <v/>
      </c>
      <c r="G9214" s="18"/>
      <c r="H9214" s="16" t="s">
        <v>87</v>
      </c>
      <c r="I9214" s="16" t="s">
        <v>87</v>
      </c>
      <c r="J9214" s="19"/>
      <c r="L9214" s="16" t="str">
        <f>IFERROR(__xludf.DUMMYFUNCTION("""COMPUTED_VALUE"""),"")</f>
        <v/>
      </c>
      <c r="M9214" s="16" t="str">
        <f>IFERROR(__xludf.DUMMYFUNCTION("""COMPUTED_VALUE"""),"")</f>
        <v/>
      </c>
      <c r="U9214" s="16" t="s">
        <v>87</v>
      </c>
      <c r="V9214" s="16" t="str">
        <f>IFERROR(__xludf.DUMMYFUNCTION("""COMPUTED_VALUE"""),"")</f>
        <v/>
      </c>
      <c r="W9214" s="16" t="str">
        <f>IFERROR(__xludf.DUMMYFUNCTION("""COMPUTED_VALUE"""),"")</f>
        <v/>
      </c>
      <c r="X9214" s="16" t="str">
        <f>IFERROR(__xludf.DUMMYFUNCTION("""COMPUTED_VALUE"""),"")</f>
        <v/>
      </c>
      <c r="AC9214" s="16" t="str">
        <f>IFERROR(__xludf.DUMMYFUNCTION("""COMPUTED_VALUE"""),"")</f>
        <v/>
      </c>
    </row>
    <row r="9215">
      <c r="A9215" s="16" t="s">
        <v>87</v>
      </c>
      <c r="E9215" s="16" t="str">
        <f>IFERROR(__xludf.DUMMYFUNCTION("""COMPUTED_VALUE"""),"")</f>
        <v/>
      </c>
      <c r="G9215" s="18"/>
      <c r="H9215" s="16" t="s">
        <v>87</v>
      </c>
      <c r="I9215" s="16" t="s">
        <v>87</v>
      </c>
      <c r="J9215" s="19"/>
      <c r="L9215" s="16" t="str">
        <f>IFERROR(__xludf.DUMMYFUNCTION("""COMPUTED_VALUE"""),"")</f>
        <v/>
      </c>
      <c r="M9215" s="16" t="str">
        <f>IFERROR(__xludf.DUMMYFUNCTION("""COMPUTED_VALUE"""),"")</f>
        <v/>
      </c>
      <c r="U9215" s="16" t="s">
        <v>87</v>
      </c>
      <c r="V9215" s="16" t="str">
        <f>IFERROR(__xludf.DUMMYFUNCTION("""COMPUTED_VALUE"""),"")</f>
        <v/>
      </c>
      <c r="W9215" s="16" t="str">
        <f>IFERROR(__xludf.DUMMYFUNCTION("""COMPUTED_VALUE"""),"")</f>
        <v/>
      </c>
      <c r="X9215" s="16" t="str">
        <f>IFERROR(__xludf.DUMMYFUNCTION("""COMPUTED_VALUE"""),"")</f>
        <v/>
      </c>
      <c r="AC9215" s="16" t="str">
        <f>IFERROR(__xludf.DUMMYFUNCTION("""COMPUTED_VALUE"""),"")</f>
        <v/>
      </c>
    </row>
    <row r="9216">
      <c r="A9216" s="16" t="s">
        <v>87</v>
      </c>
      <c r="E9216" s="16" t="str">
        <f>IFERROR(__xludf.DUMMYFUNCTION("""COMPUTED_VALUE"""),"")</f>
        <v/>
      </c>
      <c r="G9216" s="18"/>
      <c r="H9216" s="16" t="s">
        <v>87</v>
      </c>
      <c r="I9216" s="16" t="s">
        <v>87</v>
      </c>
      <c r="J9216" s="19"/>
      <c r="L9216" s="16" t="str">
        <f>IFERROR(__xludf.DUMMYFUNCTION("""COMPUTED_VALUE"""),"")</f>
        <v/>
      </c>
      <c r="M9216" s="16" t="str">
        <f>IFERROR(__xludf.DUMMYFUNCTION("""COMPUTED_VALUE"""),"")</f>
        <v/>
      </c>
      <c r="U9216" s="16" t="s">
        <v>87</v>
      </c>
      <c r="V9216" s="16" t="str">
        <f>IFERROR(__xludf.DUMMYFUNCTION("""COMPUTED_VALUE"""),"")</f>
        <v/>
      </c>
      <c r="W9216" s="16" t="str">
        <f>IFERROR(__xludf.DUMMYFUNCTION("""COMPUTED_VALUE"""),"")</f>
        <v/>
      </c>
      <c r="X9216" s="16" t="str">
        <f>IFERROR(__xludf.DUMMYFUNCTION("""COMPUTED_VALUE"""),"")</f>
        <v/>
      </c>
      <c r="AC9216" s="16" t="str">
        <f>IFERROR(__xludf.DUMMYFUNCTION("""COMPUTED_VALUE"""),"")</f>
        <v/>
      </c>
    </row>
    <row r="9217">
      <c r="A9217" s="16" t="s">
        <v>87</v>
      </c>
      <c r="E9217" s="16" t="str">
        <f>IFERROR(__xludf.DUMMYFUNCTION("""COMPUTED_VALUE"""),"")</f>
        <v/>
      </c>
      <c r="G9217" s="18"/>
      <c r="H9217" s="16" t="s">
        <v>87</v>
      </c>
      <c r="I9217" s="16" t="s">
        <v>87</v>
      </c>
      <c r="J9217" s="19"/>
      <c r="L9217" s="16" t="str">
        <f>IFERROR(__xludf.DUMMYFUNCTION("""COMPUTED_VALUE"""),"")</f>
        <v/>
      </c>
      <c r="M9217" s="16" t="str">
        <f>IFERROR(__xludf.DUMMYFUNCTION("""COMPUTED_VALUE"""),"")</f>
        <v/>
      </c>
      <c r="U9217" s="16" t="s">
        <v>87</v>
      </c>
      <c r="V9217" s="16" t="str">
        <f>IFERROR(__xludf.DUMMYFUNCTION("""COMPUTED_VALUE"""),"")</f>
        <v/>
      </c>
      <c r="W9217" s="16" t="str">
        <f>IFERROR(__xludf.DUMMYFUNCTION("""COMPUTED_VALUE"""),"")</f>
        <v/>
      </c>
      <c r="X9217" s="16" t="str">
        <f>IFERROR(__xludf.DUMMYFUNCTION("""COMPUTED_VALUE"""),"")</f>
        <v/>
      </c>
      <c r="AC9217" s="16" t="str">
        <f>IFERROR(__xludf.DUMMYFUNCTION("""COMPUTED_VALUE"""),"")</f>
        <v/>
      </c>
    </row>
    <row r="9218">
      <c r="A9218" s="16" t="s">
        <v>87</v>
      </c>
      <c r="E9218" s="16" t="str">
        <f>IFERROR(__xludf.DUMMYFUNCTION("""COMPUTED_VALUE"""),"")</f>
        <v/>
      </c>
      <c r="G9218" s="18"/>
      <c r="H9218" s="16" t="s">
        <v>87</v>
      </c>
      <c r="I9218" s="16" t="s">
        <v>87</v>
      </c>
      <c r="J9218" s="19"/>
      <c r="L9218" s="16" t="str">
        <f>IFERROR(__xludf.DUMMYFUNCTION("""COMPUTED_VALUE"""),"")</f>
        <v/>
      </c>
      <c r="M9218" s="16" t="str">
        <f>IFERROR(__xludf.DUMMYFUNCTION("""COMPUTED_VALUE"""),"")</f>
        <v/>
      </c>
      <c r="U9218" s="16" t="s">
        <v>87</v>
      </c>
      <c r="V9218" s="16" t="str">
        <f>IFERROR(__xludf.DUMMYFUNCTION("""COMPUTED_VALUE"""),"")</f>
        <v/>
      </c>
      <c r="W9218" s="16" t="str">
        <f>IFERROR(__xludf.DUMMYFUNCTION("""COMPUTED_VALUE"""),"")</f>
        <v/>
      </c>
      <c r="X9218" s="16" t="str">
        <f>IFERROR(__xludf.DUMMYFUNCTION("""COMPUTED_VALUE"""),"")</f>
        <v/>
      </c>
      <c r="AC9218" s="16" t="str">
        <f>IFERROR(__xludf.DUMMYFUNCTION("""COMPUTED_VALUE"""),"")</f>
        <v/>
      </c>
    </row>
    <row r="9219">
      <c r="A9219" s="16" t="s">
        <v>87</v>
      </c>
      <c r="E9219" s="16" t="str">
        <f>IFERROR(__xludf.DUMMYFUNCTION("""COMPUTED_VALUE"""),"")</f>
        <v/>
      </c>
      <c r="G9219" s="18"/>
      <c r="H9219" s="16" t="s">
        <v>87</v>
      </c>
      <c r="I9219" s="16" t="s">
        <v>87</v>
      </c>
      <c r="J9219" s="19"/>
      <c r="L9219" s="16" t="str">
        <f>IFERROR(__xludf.DUMMYFUNCTION("""COMPUTED_VALUE"""),"")</f>
        <v/>
      </c>
      <c r="M9219" s="16" t="str">
        <f>IFERROR(__xludf.DUMMYFUNCTION("""COMPUTED_VALUE"""),"")</f>
        <v/>
      </c>
      <c r="U9219" s="16" t="s">
        <v>87</v>
      </c>
      <c r="V9219" s="16" t="str">
        <f>IFERROR(__xludf.DUMMYFUNCTION("""COMPUTED_VALUE"""),"")</f>
        <v/>
      </c>
      <c r="W9219" s="16" t="str">
        <f>IFERROR(__xludf.DUMMYFUNCTION("""COMPUTED_VALUE"""),"")</f>
        <v/>
      </c>
      <c r="X9219" s="16" t="str">
        <f>IFERROR(__xludf.DUMMYFUNCTION("""COMPUTED_VALUE"""),"")</f>
        <v/>
      </c>
      <c r="AC9219" s="16" t="str">
        <f>IFERROR(__xludf.DUMMYFUNCTION("""COMPUTED_VALUE"""),"")</f>
        <v/>
      </c>
    </row>
    <row r="9220">
      <c r="A9220" s="16" t="s">
        <v>87</v>
      </c>
      <c r="E9220" s="16" t="str">
        <f>IFERROR(__xludf.DUMMYFUNCTION("""COMPUTED_VALUE"""),"")</f>
        <v/>
      </c>
      <c r="G9220" s="18"/>
      <c r="H9220" s="16" t="s">
        <v>87</v>
      </c>
      <c r="I9220" s="16" t="s">
        <v>87</v>
      </c>
      <c r="J9220" s="19"/>
      <c r="L9220" s="16" t="str">
        <f>IFERROR(__xludf.DUMMYFUNCTION("""COMPUTED_VALUE"""),"")</f>
        <v/>
      </c>
      <c r="M9220" s="16" t="str">
        <f>IFERROR(__xludf.DUMMYFUNCTION("""COMPUTED_VALUE"""),"")</f>
        <v/>
      </c>
      <c r="U9220" s="16" t="s">
        <v>87</v>
      </c>
      <c r="V9220" s="16" t="str">
        <f>IFERROR(__xludf.DUMMYFUNCTION("""COMPUTED_VALUE"""),"")</f>
        <v/>
      </c>
      <c r="W9220" s="16" t="str">
        <f>IFERROR(__xludf.DUMMYFUNCTION("""COMPUTED_VALUE"""),"")</f>
        <v/>
      </c>
      <c r="X9220" s="16" t="str">
        <f>IFERROR(__xludf.DUMMYFUNCTION("""COMPUTED_VALUE"""),"")</f>
        <v/>
      </c>
      <c r="AC9220" s="16" t="str">
        <f>IFERROR(__xludf.DUMMYFUNCTION("""COMPUTED_VALUE"""),"")</f>
        <v/>
      </c>
    </row>
    <row r="9221">
      <c r="A9221" s="16" t="s">
        <v>87</v>
      </c>
      <c r="E9221" s="16" t="str">
        <f>IFERROR(__xludf.DUMMYFUNCTION("""COMPUTED_VALUE"""),"")</f>
        <v/>
      </c>
      <c r="G9221" s="18"/>
      <c r="H9221" s="16" t="s">
        <v>87</v>
      </c>
      <c r="I9221" s="16" t="s">
        <v>87</v>
      </c>
      <c r="J9221" s="19"/>
      <c r="L9221" s="16" t="str">
        <f>IFERROR(__xludf.DUMMYFUNCTION("""COMPUTED_VALUE"""),"")</f>
        <v/>
      </c>
      <c r="M9221" s="16" t="str">
        <f>IFERROR(__xludf.DUMMYFUNCTION("""COMPUTED_VALUE"""),"")</f>
        <v/>
      </c>
      <c r="U9221" s="16" t="s">
        <v>87</v>
      </c>
      <c r="V9221" s="16" t="str">
        <f>IFERROR(__xludf.DUMMYFUNCTION("""COMPUTED_VALUE"""),"")</f>
        <v/>
      </c>
      <c r="W9221" s="16" t="str">
        <f>IFERROR(__xludf.DUMMYFUNCTION("""COMPUTED_VALUE"""),"")</f>
        <v/>
      </c>
      <c r="X9221" s="16" t="str">
        <f>IFERROR(__xludf.DUMMYFUNCTION("""COMPUTED_VALUE"""),"")</f>
        <v/>
      </c>
      <c r="AC9221" s="16" t="str">
        <f>IFERROR(__xludf.DUMMYFUNCTION("""COMPUTED_VALUE"""),"")</f>
        <v/>
      </c>
    </row>
    <row r="9222">
      <c r="A9222" s="16" t="s">
        <v>87</v>
      </c>
      <c r="E9222" s="16" t="str">
        <f>IFERROR(__xludf.DUMMYFUNCTION("""COMPUTED_VALUE"""),"")</f>
        <v/>
      </c>
      <c r="G9222" s="18"/>
      <c r="H9222" s="16" t="s">
        <v>87</v>
      </c>
      <c r="I9222" s="16" t="s">
        <v>87</v>
      </c>
      <c r="J9222" s="19"/>
      <c r="L9222" s="16" t="str">
        <f>IFERROR(__xludf.DUMMYFUNCTION("""COMPUTED_VALUE"""),"")</f>
        <v/>
      </c>
      <c r="M9222" s="16" t="str">
        <f>IFERROR(__xludf.DUMMYFUNCTION("""COMPUTED_VALUE"""),"")</f>
        <v/>
      </c>
      <c r="U9222" s="16" t="s">
        <v>87</v>
      </c>
      <c r="V9222" s="16" t="str">
        <f>IFERROR(__xludf.DUMMYFUNCTION("""COMPUTED_VALUE"""),"")</f>
        <v/>
      </c>
      <c r="W9222" s="16" t="str">
        <f>IFERROR(__xludf.DUMMYFUNCTION("""COMPUTED_VALUE"""),"")</f>
        <v/>
      </c>
      <c r="X9222" s="16" t="str">
        <f>IFERROR(__xludf.DUMMYFUNCTION("""COMPUTED_VALUE"""),"")</f>
        <v/>
      </c>
      <c r="AC9222" s="16" t="str">
        <f>IFERROR(__xludf.DUMMYFUNCTION("""COMPUTED_VALUE"""),"")</f>
        <v/>
      </c>
    </row>
    <row r="9223">
      <c r="A9223" s="16" t="s">
        <v>87</v>
      </c>
      <c r="E9223" s="16" t="str">
        <f>IFERROR(__xludf.DUMMYFUNCTION("""COMPUTED_VALUE"""),"")</f>
        <v/>
      </c>
      <c r="G9223" s="18"/>
      <c r="H9223" s="16" t="s">
        <v>87</v>
      </c>
      <c r="I9223" s="16" t="s">
        <v>87</v>
      </c>
      <c r="J9223" s="19"/>
      <c r="L9223" s="16" t="str">
        <f>IFERROR(__xludf.DUMMYFUNCTION("""COMPUTED_VALUE"""),"")</f>
        <v/>
      </c>
      <c r="M9223" s="16" t="str">
        <f>IFERROR(__xludf.DUMMYFUNCTION("""COMPUTED_VALUE"""),"")</f>
        <v/>
      </c>
      <c r="U9223" s="16" t="s">
        <v>87</v>
      </c>
      <c r="V9223" s="16" t="str">
        <f>IFERROR(__xludf.DUMMYFUNCTION("""COMPUTED_VALUE"""),"")</f>
        <v/>
      </c>
      <c r="W9223" s="16" t="str">
        <f>IFERROR(__xludf.DUMMYFUNCTION("""COMPUTED_VALUE"""),"")</f>
        <v/>
      </c>
      <c r="X9223" s="16" t="str">
        <f>IFERROR(__xludf.DUMMYFUNCTION("""COMPUTED_VALUE"""),"")</f>
        <v/>
      </c>
      <c r="AC9223" s="16" t="str">
        <f>IFERROR(__xludf.DUMMYFUNCTION("""COMPUTED_VALUE"""),"")</f>
        <v/>
      </c>
    </row>
    <row r="9224">
      <c r="A9224" s="16" t="s">
        <v>87</v>
      </c>
      <c r="E9224" s="16" t="str">
        <f>IFERROR(__xludf.DUMMYFUNCTION("""COMPUTED_VALUE"""),"")</f>
        <v/>
      </c>
      <c r="G9224" s="18"/>
      <c r="H9224" s="16" t="s">
        <v>87</v>
      </c>
      <c r="I9224" s="16" t="s">
        <v>87</v>
      </c>
      <c r="J9224" s="19"/>
      <c r="L9224" s="16" t="str">
        <f>IFERROR(__xludf.DUMMYFUNCTION("""COMPUTED_VALUE"""),"")</f>
        <v/>
      </c>
      <c r="M9224" s="16" t="str">
        <f>IFERROR(__xludf.DUMMYFUNCTION("""COMPUTED_VALUE"""),"")</f>
        <v/>
      </c>
      <c r="U9224" s="16" t="s">
        <v>87</v>
      </c>
      <c r="V9224" s="16" t="str">
        <f>IFERROR(__xludf.DUMMYFUNCTION("""COMPUTED_VALUE"""),"")</f>
        <v/>
      </c>
      <c r="W9224" s="16" t="str">
        <f>IFERROR(__xludf.DUMMYFUNCTION("""COMPUTED_VALUE"""),"")</f>
        <v/>
      </c>
      <c r="X9224" s="16" t="str">
        <f>IFERROR(__xludf.DUMMYFUNCTION("""COMPUTED_VALUE"""),"")</f>
        <v/>
      </c>
      <c r="AC9224" s="16" t="str">
        <f>IFERROR(__xludf.DUMMYFUNCTION("""COMPUTED_VALUE"""),"")</f>
        <v/>
      </c>
    </row>
    <row r="9225">
      <c r="A9225" s="16" t="s">
        <v>87</v>
      </c>
      <c r="E9225" s="16" t="str">
        <f>IFERROR(__xludf.DUMMYFUNCTION("""COMPUTED_VALUE"""),"")</f>
        <v/>
      </c>
      <c r="G9225" s="18"/>
      <c r="H9225" s="16" t="s">
        <v>87</v>
      </c>
      <c r="I9225" s="16" t="s">
        <v>87</v>
      </c>
      <c r="J9225" s="19"/>
      <c r="L9225" s="16" t="str">
        <f>IFERROR(__xludf.DUMMYFUNCTION("""COMPUTED_VALUE"""),"")</f>
        <v/>
      </c>
      <c r="M9225" s="16" t="str">
        <f>IFERROR(__xludf.DUMMYFUNCTION("""COMPUTED_VALUE"""),"")</f>
        <v/>
      </c>
      <c r="U9225" s="16" t="s">
        <v>87</v>
      </c>
      <c r="V9225" s="16" t="str">
        <f>IFERROR(__xludf.DUMMYFUNCTION("""COMPUTED_VALUE"""),"")</f>
        <v/>
      </c>
      <c r="W9225" s="16" t="str">
        <f>IFERROR(__xludf.DUMMYFUNCTION("""COMPUTED_VALUE"""),"")</f>
        <v/>
      </c>
      <c r="X9225" s="16" t="str">
        <f>IFERROR(__xludf.DUMMYFUNCTION("""COMPUTED_VALUE"""),"")</f>
        <v/>
      </c>
      <c r="AC9225" s="16" t="str">
        <f>IFERROR(__xludf.DUMMYFUNCTION("""COMPUTED_VALUE"""),"")</f>
        <v/>
      </c>
    </row>
    <row r="9226">
      <c r="A9226" s="16" t="s">
        <v>87</v>
      </c>
      <c r="E9226" s="16" t="str">
        <f>IFERROR(__xludf.DUMMYFUNCTION("""COMPUTED_VALUE"""),"")</f>
        <v/>
      </c>
      <c r="G9226" s="18"/>
      <c r="H9226" s="16" t="s">
        <v>87</v>
      </c>
      <c r="I9226" s="16" t="s">
        <v>87</v>
      </c>
      <c r="J9226" s="19"/>
      <c r="L9226" s="16" t="str">
        <f>IFERROR(__xludf.DUMMYFUNCTION("""COMPUTED_VALUE"""),"")</f>
        <v/>
      </c>
      <c r="M9226" s="16" t="str">
        <f>IFERROR(__xludf.DUMMYFUNCTION("""COMPUTED_VALUE"""),"")</f>
        <v/>
      </c>
      <c r="U9226" s="16" t="s">
        <v>87</v>
      </c>
      <c r="V9226" s="16" t="str">
        <f>IFERROR(__xludf.DUMMYFUNCTION("""COMPUTED_VALUE"""),"")</f>
        <v/>
      </c>
      <c r="W9226" s="16" t="str">
        <f>IFERROR(__xludf.DUMMYFUNCTION("""COMPUTED_VALUE"""),"")</f>
        <v/>
      </c>
      <c r="X9226" s="16" t="str">
        <f>IFERROR(__xludf.DUMMYFUNCTION("""COMPUTED_VALUE"""),"")</f>
        <v/>
      </c>
      <c r="AC9226" s="16" t="str">
        <f>IFERROR(__xludf.DUMMYFUNCTION("""COMPUTED_VALUE"""),"")</f>
        <v/>
      </c>
    </row>
    <row r="9227">
      <c r="A9227" s="16" t="s">
        <v>87</v>
      </c>
      <c r="E9227" s="16" t="str">
        <f>IFERROR(__xludf.DUMMYFUNCTION("""COMPUTED_VALUE"""),"")</f>
        <v/>
      </c>
      <c r="G9227" s="18"/>
      <c r="H9227" s="16" t="s">
        <v>87</v>
      </c>
      <c r="I9227" s="16" t="s">
        <v>87</v>
      </c>
      <c r="J9227" s="19"/>
      <c r="L9227" s="16" t="str">
        <f>IFERROR(__xludf.DUMMYFUNCTION("""COMPUTED_VALUE"""),"")</f>
        <v/>
      </c>
      <c r="M9227" s="16" t="str">
        <f>IFERROR(__xludf.DUMMYFUNCTION("""COMPUTED_VALUE"""),"")</f>
        <v/>
      </c>
      <c r="U9227" s="16" t="s">
        <v>87</v>
      </c>
      <c r="V9227" s="16" t="str">
        <f>IFERROR(__xludf.DUMMYFUNCTION("""COMPUTED_VALUE"""),"")</f>
        <v/>
      </c>
      <c r="W9227" s="16" t="str">
        <f>IFERROR(__xludf.DUMMYFUNCTION("""COMPUTED_VALUE"""),"")</f>
        <v/>
      </c>
      <c r="X9227" s="16" t="str">
        <f>IFERROR(__xludf.DUMMYFUNCTION("""COMPUTED_VALUE"""),"")</f>
        <v/>
      </c>
      <c r="AC9227" s="16" t="str">
        <f>IFERROR(__xludf.DUMMYFUNCTION("""COMPUTED_VALUE"""),"")</f>
        <v/>
      </c>
    </row>
    <row r="9228">
      <c r="A9228" s="16" t="s">
        <v>87</v>
      </c>
      <c r="E9228" s="16" t="str">
        <f>IFERROR(__xludf.DUMMYFUNCTION("""COMPUTED_VALUE"""),"")</f>
        <v/>
      </c>
      <c r="G9228" s="18"/>
      <c r="H9228" s="16" t="s">
        <v>87</v>
      </c>
      <c r="I9228" s="16" t="s">
        <v>87</v>
      </c>
      <c r="J9228" s="19"/>
      <c r="L9228" s="16" t="str">
        <f>IFERROR(__xludf.DUMMYFUNCTION("""COMPUTED_VALUE"""),"")</f>
        <v/>
      </c>
      <c r="M9228" s="16" t="str">
        <f>IFERROR(__xludf.DUMMYFUNCTION("""COMPUTED_VALUE"""),"")</f>
        <v/>
      </c>
      <c r="U9228" s="16" t="s">
        <v>87</v>
      </c>
      <c r="V9228" s="16" t="str">
        <f>IFERROR(__xludf.DUMMYFUNCTION("""COMPUTED_VALUE"""),"")</f>
        <v/>
      </c>
      <c r="W9228" s="16" t="str">
        <f>IFERROR(__xludf.DUMMYFUNCTION("""COMPUTED_VALUE"""),"")</f>
        <v/>
      </c>
      <c r="X9228" s="16" t="str">
        <f>IFERROR(__xludf.DUMMYFUNCTION("""COMPUTED_VALUE"""),"")</f>
        <v/>
      </c>
      <c r="AC9228" s="16" t="str">
        <f>IFERROR(__xludf.DUMMYFUNCTION("""COMPUTED_VALUE"""),"")</f>
        <v/>
      </c>
    </row>
    <row r="9229">
      <c r="A9229" s="16" t="s">
        <v>87</v>
      </c>
      <c r="E9229" s="16" t="str">
        <f>IFERROR(__xludf.DUMMYFUNCTION("""COMPUTED_VALUE"""),"")</f>
        <v/>
      </c>
      <c r="G9229" s="18"/>
      <c r="H9229" s="16" t="s">
        <v>87</v>
      </c>
      <c r="I9229" s="16" t="s">
        <v>87</v>
      </c>
      <c r="J9229" s="19"/>
      <c r="L9229" s="16" t="str">
        <f>IFERROR(__xludf.DUMMYFUNCTION("""COMPUTED_VALUE"""),"")</f>
        <v/>
      </c>
      <c r="M9229" s="16" t="str">
        <f>IFERROR(__xludf.DUMMYFUNCTION("""COMPUTED_VALUE"""),"")</f>
        <v/>
      </c>
      <c r="U9229" s="16" t="s">
        <v>87</v>
      </c>
      <c r="V9229" s="16" t="str">
        <f>IFERROR(__xludf.DUMMYFUNCTION("""COMPUTED_VALUE"""),"")</f>
        <v/>
      </c>
      <c r="W9229" s="16" t="str">
        <f>IFERROR(__xludf.DUMMYFUNCTION("""COMPUTED_VALUE"""),"")</f>
        <v/>
      </c>
      <c r="X9229" s="16" t="str">
        <f>IFERROR(__xludf.DUMMYFUNCTION("""COMPUTED_VALUE"""),"")</f>
        <v/>
      </c>
      <c r="AC9229" s="16" t="str">
        <f>IFERROR(__xludf.DUMMYFUNCTION("""COMPUTED_VALUE"""),"")</f>
        <v/>
      </c>
    </row>
    <row r="9230">
      <c r="A9230" s="16" t="s">
        <v>87</v>
      </c>
      <c r="E9230" s="16" t="str">
        <f>IFERROR(__xludf.DUMMYFUNCTION("""COMPUTED_VALUE"""),"")</f>
        <v/>
      </c>
      <c r="G9230" s="18"/>
      <c r="H9230" s="16" t="s">
        <v>87</v>
      </c>
      <c r="I9230" s="16" t="s">
        <v>87</v>
      </c>
      <c r="J9230" s="19"/>
      <c r="L9230" s="16" t="str">
        <f>IFERROR(__xludf.DUMMYFUNCTION("""COMPUTED_VALUE"""),"")</f>
        <v/>
      </c>
      <c r="M9230" s="16" t="str">
        <f>IFERROR(__xludf.DUMMYFUNCTION("""COMPUTED_VALUE"""),"")</f>
        <v/>
      </c>
      <c r="U9230" s="16" t="s">
        <v>87</v>
      </c>
      <c r="V9230" s="16" t="str">
        <f>IFERROR(__xludf.DUMMYFUNCTION("""COMPUTED_VALUE"""),"")</f>
        <v/>
      </c>
      <c r="W9230" s="16" t="str">
        <f>IFERROR(__xludf.DUMMYFUNCTION("""COMPUTED_VALUE"""),"")</f>
        <v/>
      </c>
      <c r="X9230" s="16" t="str">
        <f>IFERROR(__xludf.DUMMYFUNCTION("""COMPUTED_VALUE"""),"")</f>
        <v/>
      </c>
      <c r="AC9230" s="16" t="str">
        <f>IFERROR(__xludf.DUMMYFUNCTION("""COMPUTED_VALUE"""),"")</f>
        <v/>
      </c>
    </row>
    <row r="9231">
      <c r="A9231" s="16" t="s">
        <v>87</v>
      </c>
      <c r="E9231" s="16" t="str">
        <f>IFERROR(__xludf.DUMMYFUNCTION("""COMPUTED_VALUE"""),"")</f>
        <v/>
      </c>
      <c r="G9231" s="18"/>
      <c r="H9231" s="16" t="s">
        <v>87</v>
      </c>
      <c r="I9231" s="16" t="s">
        <v>87</v>
      </c>
      <c r="J9231" s="19"/>
      <c r="L9231" s="16" t="str">
        <f>IFERROR(__xludf.DUMMYFUNCTION("""COMPUTED_VALUE"""),"")</f>
        <v/>
      </c>
      <c r="M9231" s="16" t="str">
        <f>IFERROR(__xludf.DUMMYFUNCTION("""COMPUTED_VALUE"""),"")</f>
        <v/>
      </c>
      <c r="U9231" s="16" t="s">
        <v>87</v>
      </c>
      <c r="V9231" s="16" t="str">
        <f>IFERROR(__xludf.DUMMYFUNCTION("""COMPUTED_VALUE"""),"")</f>
        <v/>
      </c>
      <c r="W9231" s="16" t="str">
        <f>IFERROR(__xludf.DUMMYFUNCTION("""COMPUTED_VALUE"""),"")</f>
        <v/>
      </c>
      <c r="X9231" s="16" t="str">
        <f>IFERROR(__xludf.DUMMYFUNCTION("""COMPUTED_VALUE"""),"")</f>
        <v/>
      </c>
      <c r="AC9231" s="16" t="str">
        <f>IFERROR(__xludf.DUMMYFUNCTION("""COMPUTED_VALUE"""),"")</f>
        <v/>
      </c>
    </row>
    <row r="9232">
      <c r="A9232" s="16" t="s">
        <v>87</v>
      </c>
      <c r="E9232" s="16" t="str">
        <f>IFERROR(__xludf.DUMMYFUNCTION("""COMPUTED_VALUE"""),"")</f>
        <v/>
      </c>
      <c r="G9232" s="18"/>
      <c r="H9232" s="16" t="s">
        <v>87</v>
      </c>
      <c r="I9232" s="16" t="s">
        <v>87</v>
      </c>
      <c r="J9232" s="19"/>
      <c r="L9232" s="16" t="str">
        <f>IFERROR(__xludf.DUMMYFUNCTION("""COMPUTED_VALUE"""),"")</f>
        <v/>
      </c>
      <c r="M9232" s="16" t="str">
        <f>IFERROR(__xludf.DUMMYFUNCTION("""COMPUTED_VALUE"""),"")</f>
        <v/>
      </c>
      <c r="U9232" s="16" t="s">
        <v>87</v>
      </c>
      <c r="V9232" s="16" t="str">
        <f>IFERROR(__xludf.DUMMYFUNCTION("""COMPUTED_VALUE"""),"")</f>
        <v/>
      </c>
      <c r="W9232" s="16" t="str">
        <f>IFERROR(__xludf.DUMMYFUNCTION("""COMPUTED_VALUE"""),"")</f>
        <v/>
      </c>
      <c r="X9232" s="16" t="str">
        <f>IFERROR(__xludf.DUMMYFUNCTION("""COMPUTED_VALUE"""),"")</f>
        <v/>
      </c>
      <c r="AC9232" s="16" t="str">
        <f>IFERROR(__xludf.DUMMYFUNCTION("""COMPUTED_VALUE"""),"")</f>
        <v/>
      </c>
    </row>
    <row r="9233">
      <c r="A9233" s="16" t="s">
        <v>87</v>
      </c>
      <c r="E9233" s="16" t="str">
        <f>IFERROR(__xludf.DUMMYFUNCTION("""COMPUTED_VALUE"""),"")</f>
        <v/>
      </c>
      <c r="G9233" s="18"/>
      <c r="H9233" s="16" t="s">
        <v>87</v>
      </c>
      <c r="I9233" s="16" t="s">
        <v>87</v>
      </c>
      <c r="J9233" s="19"/>
      <c r="L9233" s="16" t="str">
        <f>IFERROR(__xludf.DUMMYFUNCTION("""COMPUTED_VALUE"""),"")</f>
        <v/>
      </c>
      <c r="M9233" s="16" t="str">
        <f>IFERROR(__xludf.DUMMYFUNCTION("""COMPUTED_VALUE"""),"")</f>
        <v/>
      </c>
      <c r="U9233" s="16" t="s">
        <v>87</v>
      </c>
      <c r="V9233" s="16" t="str">
        <f>IFERROR(__xludf.DUMMYFUNCTION("""COMPUTED_VALUE"""),"")</f>
        <v/>
      </c>
      <c r="W9233" s="16" t="str">
        <f>IFERROR(__xludf.DUMMYFUNCTION("""COMPUTED_VALUE"""),"")</f>
        <v/>
      </c>
      <c r="X9233" s="16" t="str">
        <f>IFERROR(__xludf.DUMMYFUNCTION("""COMPUTED_VALUE"""),"")</f>
        <v/>
      </c>
      <c r="AC9233" s="16" t="str">
        <f>IFERROR(__xludf.DUMMYFUNCTION("""COMPUTED_VALUE"""),"")</f>
        <v/>
      </c>
    </row>
    <row r="9234">
      <c r="A9234" s="16" t="s">
        <v>87</v>
      </c>
      <c r="E9234" s="16" t="str">
        <f>IFERROR(__xludf.DUMMYFUNCTION("""COMPUTED_VALUE"""),"")</f>
        <v/>
      </c>
      <c r="G9234" s="18"/>
      <c r="H9234" s="16" t="s">
        <v>87</v>
      </c>
      <c r="I9234" s="16" t="s">
        <v>87</v>
      </c>
      <c r="J9234" s="19"/>
      <c r="L9234" s="16" t="str">
        <f>IFERROR(__xludf.DUMMYFUNCTION("""COMPUTED_VALUE"""),"")</f>
        <v/>
      </c>
      <c r="M9234" s="16" t="str">
        <f>IFERROR(__xludf.DUMMYFUNCTION("""COMPUTED_VALUE"""),"")</f>
        <v/>
      </c>
      <c r="U9234" s="16" t="s">
        <v>87</v>
      </c>
      <c r="V9234" s="16" t="str">
        <f>IFERROR(__xludf.DUMMYFUNCTION("""COMPUTED_VALUE"""),"")</f>
        <v/>
      </c>
      <c r="W9234" s="16" t="str">
        <f>IFERROR(__xludf.DUMMYFUNCTION("""COMPUTED_VALUE"""),"")</f>
        <v/>
      </c>
      <c r="X9234" s="16" t="str">
        <f>IFERROR(__xludf.DUMMYFUNCTION("""COMPUTED_VALUE"""),"")</f>
        <v/>
      </c>
      <c r="AC9234" s="16" t="str">
        <f>IFERROR(__xludf.DUMMYFUNCTION("""COMPUTED_VALUE"""),"")</f>
        <v/>
      </c>
    </row>
    <row r="9235">
      <c r="A9235" s="16" t="s">
        <v>87</v>
      </c>
      <c r="E9235" s="16" t="str">
        <f>IFERROR(__xludf.DUMMYFUNCTION("""COMPUTED_VALUE"""),"")</f>
        <v/>
      </c>
      <c r="G9235" s="18"/>
      <c r="H9235" s="16" t="s">
        <v>87</v>
      </c>
      <c r="I9235" s="16" t="s">
        <v>87</v>
      </c>
      <c r="J9235" s="19"/>
      <c r="L9235" s="16" t="str">
        <f>IFERROR(__xludf.DUMMYFUNCTION("""COMPUTED_VALUE"""),"")</f>
        <v/>
      </c>
      <c r="M9235" s="16" t="str">
        <f>IFERROR(__xludf.DUMMYFUNCTION("""COMPUTED_VALUE"""),"")</f>
        <v/>
      </c>
      <c r="U9235" s="16" t="s">
        <v>87</v>
      </c>
      <c r="V9235" s="16" t="str">
        <f>IFERROR(__xludf.DUMMYFUNCTION("""COMPUTED_VALUE"""),"")</f>
        <v/>
      </c>
      <c r="W9235" s="16" t="str">
        <f>IFERROR(__xludf.DUMMYFUNCTION("""COMPUTED_VALUE"""),"")</f>
        <v/>
      </c>
      <c r="X9235" s="16" t="str">
        <f>IFERROR(__xludf.DUMMYFUNCTION("""COMPUTED_VALUE"""),"")</f>
        <v/>
      </c>
      <c r="AC9235" s="16" t="str">
        <f>IFERROR(__xludf.DUMMYFUNCTION("""COMPUTED_VALUE"""),"")</f>
        <v/>
      </c>
    </row>
    <row r="9236">
      <c r="A9236" s="16" t="s">
        <v>87</v>
      </c>
      <c r="E9236" s="16" t="str">
        <f>IFERROR(__xludf.DUMMYFUNCTION("""COMPUTED_VALUE"""),"")</f>
        <v/>
      </c>
      <c r="G9236" s="18"/>
      <c r="H9236" s="16" t="s">
        <v>87</v>
      </c>
      <c r="I9236" s="16" t="s">
        <v>87</v>
      </c>
      <c r="J9236" s="19"/>
      <c r="L9236" s="16" t="str">
        <f>IFERROR(__xludf.DUMMYFUNCTION("""COMPUTED_VALUE"""),"")</f>
        <v/>
      </c>
      <c r="M9236" s="16" t="str">
        <f>IFERROR(__xludf.DUMMYFUNCTION("""COMPUTED_VALUE"""),"")</f>
        <v/>
      </c>
      <c r="U9236" s="16" t="s">
        <v>87</v>
      </c>
      <c r="V9236" s="16" t="str">
        <f>IFERROR(__xludf.DUMMYFUNCTION("""COMPUTED_VALUE"""),"")</f>
        <v/>
      </c>
      <c r="W9236" s="16" t="str">
        <f>IFERROR(__xludf.DUMMYFUNCTION("""COMPUTED_VALUE"""),"")</f>
        <v/>
      </c>
      <c r="X9236" s="16" t="str">
        <f>IFERROR(__xludf.DUMMYFUNCTION("""COMPUTED_VALUE"""),"")</f>
        <v/>
      </c>
      <c r="AC9236" s="16" t="str">
        <f>IFERROR(__xludf.DUMMYFUNCTION("""COMPUTED_VALUE"""),"")</f>
        <v/>
      </c>
    </row>
    <row r="9237">
      <c r="A9237" s="16" t="s">
        <v>87</v>
      </c>
      <c r="E9237" s="16" t="str">
        <f>IFERROR(__xludf.DUMMYFUNCTION("""COMPUTED_VALUE"""),"")</f>
        <v/>
      </c>
      <c r="G9237" s="18"/>
      <c r="H9237" s="16" t="s">
        <v>87</v>
      </c>
      <c r="I9237" s="16" t="s">
        <v>87</v>
      </c>
      <c r="J9237" s="19"/>
      <c r="L9237" s="16" t="str">
        <f>IFERROR(__xludf.DUMMYFUNCTION("""COMPUTED_VALUE"""),"")</f>
        <v/>
      </c>
      <c r="M9237" s="16" t="str">
        <f>IFERROR(__xludf.DUMMYFUNCTION("""COMPUTED_VALUE"""),"")</f>
        <v/>
      </c>
      <c r="U9237" s="16" t="s">
        <v>87</v>
      </c>
      <c r="V9237" s="16" t="str">
        <f>IFERROR(__xludf.DUMMYFUNCTION("""COMPUTED_VALUE"""),"")</f>
        <v/>
      </c>
      <c r="W9237" s="16" t="str">
        <f>IFERROR(__xludf.DUMMYFUNCTION("""COMPUTED_VALUE"""),"")</f>
        <v/>
      </c>
      <c r="X9237" s="16" t="str">
        <f>IFERROR(__xludf.DUMMYFUNCTION("""COMPUTED_VALUE"""),"")</f>
        <v/>
      </c>
      <c r="AC9237" s="16" t="str">
        <f>IFERROR(__xludf.DUMMYFUNCTION("""COMPUTED_VALUE"""),"")</f>
        <v/>
      </c>
    </row>
    <row r="9238">
      <c r="A9238" s="16" t="s">
        <v>87</v>
      </c>
      <c r="E9238" s="16" t="str">
        <f>IFERROR(__xludf.DUMMYFUNCTION("""COMPUTED_VALUE"""),"")</f>
        <v/>
      </c>
      <c r="G9238" s="18"/>
      <c r="H9238" s="16" t="s">
        <v>87</v>
      </c>
      <c r="I9238" s="16" t="s">
        <v>87</v>
      </c>
      <c r="J9238" s="19"/>
      <c r="L9238" s="16" t="str">
        <f>IFERROR(__xludf.DUMMYFUNCTION("""COMPUTED_VALUE"""),"")</f>
        <v/>
      </c>
      <c r="M9238" s="16" t="str">
        <f>IFERROR(__xludf.DUMMYFUNCTION("""COMPUTED_VALUE"""),"")</f>
        <v/>
      </c>
      <c r="U9238" s="16" t="s">
        <v>87</v>
      </c>
      <c r="V9238" s="16" t="str">
        <f>IFERROR(__xludf.DUMMYFUNCTION("""COMPUTED_VALUE"""),"")</f>
        <v/>
      </c>
      <c r="W9238" s="16" t="str">
        <f>IFERROR(__xludf.DUMMYFUNCTION("""COMPUTED_VALUE"""),"")</f>
        <v/>
      </c>
      <c r="X9238" s="16" t="str">
        <f>IFERROR(__xludf.DUMMYFUNCTION("""COMPUTED_VALUE"""),"")</f>
        <v/>
      </c>
      <c r="AC9238" s="16" t="str">
        <f>IFERROR(__xludf.DUMMYFUNCTION("""COMPUTED_VALUE"""),"")</f>
        <v/>
      </c>
    </row>
    <row r="9239">
      <c r="A9239" s="16" t="s">
        <v>87</v>
      </c>
      <c r="E9239" s="16" t="str">
        <f>IFERROR(__xludf.DUMMYFUNCTION("""COMPUTED_VALUE"""),"")</f>
        <v/>
      </c>
      <c r="G9239" s="18"/>
      <c r="H9239" s="16" t="s">
        <v>87</v>
      </c>
      <c r="I9239" s="16" t="s">
        <v>87</v>
      </c>
      <c r="J9239" s="19"/>
      <c r="L9239" s="16" t="str">
        <f>IFERROR(__xludf.DUMMYFUNCTION("""COMPUTED_VALUE"""),"")</f>
        <v/>
      </c>
      <c r="M9239" s="16" t="str">
        <f>IFERROR(__xludf.DUMMYFUNCTION("""COMPUTED_VALUE"""),"")</f>
        <v/>
      </c>
      <c r="U9239" s="16" t="s">
        <v>87</v>
      </c>
      <c r="V9239" s="16" t="str">
        <f>IFERROR(__xludf.DUMMYFUNCTION("""COMPUTED_VALUE"""),"")</f>
        <v/>
      </c>
      <c r="W9239" s="16" t="str">
        <f>IFERROR(__xludf.DUMMYFUNCTION("""COMPUTED_VALUE"""),"")</f>
        <v/>
      </c>
      <c r="X9239" s="16" t="str">
        <f>IFERROR(__xludf.DUMMYFUNCTION("""COMPUTED_VALUE"""),"")</f>
        <v/>
      </c>
      <c r="AC9239" s="16" t="str">
        <f>IFERROR(__xludf.DUMMYFUNCTION("""COMPUTED_VALUE"""),"")</f>
        <v/>
      </c>
    </row>
    <row r="9240">
      <c r="A9240" s="16" t="s">
        <v>87</v>
      </c>
      <c r="E9240" s="16" t="str">
        <f>IFERROR(__xludf.DUMMYFUNCTION("""COMPUTED_VALUE"""),"")</f>
        <v/>
      </c>
      <c r="G9240" s="18"/>
      <c r="H9240" s="16" t="s">
        <v>87</v>
      </c>
      <c r="I9240" s="16" t="s">
        <v>87</v>
      </c>
      <c r="J9240" s="19"/>
      <c r="L9240" s="16" t="str">
        <f>IFERROR(__xludf.DUMMYFUNCTION("""COMPUTED_VALUE"""),"")</f>
        <v/>
      </c>
      <c r="M9240" s="16" t="str">
        <f>IFERROR(__xludf.DUMMYFUNCTION("""COMPUTED_VALUE"""),"")</f>
        <v/>
      </c>
      <c r="U9240" s="16" t="s">
        <v>87</v>
      </c>
      <c r="V9240" s="16" t="str">
        <f>IFERROR(__xludf.DUMMYFUNCTION("""COMPUTED_VALUE"""),"")</f>
        <v/>
      </c>
      <c r="W9240" s="16" t="str">
        <f>IFERROR(__xludf.DUMMYFUNCTION("""COMPUTED_VALUE"""),"")</f>
        <v/>
      </c>
      <c r="X9240" s="16" t="str">
        <f>IFERROR(__xludf.DUMMYFUNCTION("""COMPUTED_VALUE"""),"")</f>
        <v/>
      </c>
      <c r="AC9240" s="16" t="str">
        <f>IFERROR(__xludf.DUMMYFUNCTION("""COMPUTED_VALUE"""),"")</f>
        <v/>
      </c>
    </row>
    <row r="9241">
      <c r="A9241" s="16" t="s">
        <v>87</v>
      </c>
      <c r="E9241" s="16" t="str">
        <f>IFERROR(__xludf.DUMMYFUNCTION("""COMPUTED_VALUE"""),"")</f>
        <v/>
      </c>
      <c r="G9241" s="18"/>
      <c r="H9241" s="16" t="s">
        <v>87</v>
      </c>
      <c r="I9241" s="16" t="s">
        <v>87</v>
      </c>
      <c r="J9241" s="19"/>
      <c r="L9241" s="16" t="str">
        <f>IFERROR(__xludf.DUMMYFUNCTION("""COMPUTED_VALUE"""),"")</f>
        <v/>
      </c>
      <c r="M9241" s="16" t="str">
        <f>IFERROR(__xludf.DUMMYFUNCTION("""COMPUTED_VALUE"""),"")</f>
        <v/>
      </c>
      <c r="U9241" s="16" t="s">
        <v>87</v>
      </c>
      <c r="V9241" s="16" t="str">
        <f>IFERROR(__xludf.DUMMYFUNCTION("""COMPUTED_VALUE"""),"")</f>
        <v/>
      </c>
      <c r="W9241" s="16" t="str">
        <f>IFERROR(__xludf.DUMMYFUNCTION("""COMPUTED_VALUE"""),"")</f>
        <v/>
      </c>
      <c r="X9241" s="16" t="str">
        <f>IFERROR(__xludf.DUMMYFUNCTION("""COMPUTED_VALUE"""),"")</f>
        <v/>
      </c>
      <c r="AC9241" s="16" t="str">
        <f>IFERROR(__xludf.DUMMYFUNCTION("""COMPUTED_VALUE"""),"")</f>
        <v/>
      </c>
    </row>
    <row r="9242">
      <c r="A9242" s="16" t="s">
        <v>87</v>
      </c>
      <c r="E9242" s="16" t="str">
        <f>IFERROR(__xludf.DUMMYFUNCTION("""COMPUTED_VALUE"""),"")</f>
        <v/>
      </c>
      <c r="G9242" s="18"/>
      <c r="H9242" s="16" t="s">
        <v>87</v>
      </c>
      <c r="I9242" s="16" t="s">
        <v>87</v>
      </c>
      <c r="J9242" s="19"/>
      <c r="L9242" s="16" t="str">
        <f>IFERROR(__xludf.DUMMYFUNCTION("""COMPUTED_VALUE"""),"")</f>
        <v/>
      </c>
      <c r="M9242" s="16" t="str">
        <f>IFERROR(__xludf.DUMMYFUNCTION("""COMPUTED_VALUE"""),"")</f>
        <v/>
      </c>
      <c r="U9242" s="16" t="s">
        <v>87</v>
      </c>
      <c r="V9242" s="16" t="str">
        <f>IFERROR(__xludf.DUMMYFUNCTION("""COMPUTED_VALUE"""),"")</f>
        <v/>
      </c>
      <c r="W9242" s="16" t="str">
        <f>IFERROR(__xludf.DUMMYFUNCTION("""COMPUTED_VALUE"""),"")</f>
        <v/>
      </c>
      <c r="X9242" s="16" t="str">
        <f>IFERROR(__xludf.DUMMYFUNCTION("""COMPUTED_VALUE"""),"")</f>
        <v/>
      </c>
      <c r="AC9242" s="16" t="str">
        <f>IFERROR(__xludf.DUMMYFUNCTION("""COMPUTED_VALUE"""),"")</f>
        <v/>
      </c>
    </row>
    <row r="9243">
      <c r="A9243" s="16" t="s">
        <v>87</v>
      </c>
      <c r="E9243" s="16" t="str">
        <f>IFERROR(__xludf.DUMMYFUNCTION("""COMPUTED_VALUE"""),"")</f>
        <v/>
      </c>
      <c r="G9243" s="18"/>
      <c r="H9243" s="16" t="s">
        <v>87</v>
      </c>
      <c r="I9243" s="16" t="s">
        <v>87</v>
      </c>
      <c r="J9243" s="19"/>
      <c r="L9243" s="16" t="str">
        <f>IFERROR(__xludf.DUMMYFUNCTION("""COMPUTED_VALUE"""),"")</f>
        <v/>
      </c>
      <c r="M9243" s="16" t="str">
        <f>IFERROR(__xludf.DUMMYFUNCTION("""COMPUTED_VALUE"""),"")</f>
        <v/>
      </c>
      <c r="U9243" s="16" t="s">
        <v>87</v>
      </c>
      <c r="V9243" s="16" t="str">
        <f>IFERROR(__xludf.DUMMYFUNCTION("""COMPUTED_VALUE"""),"")</f>
        <v/>
      </c>
      <c r="W9243" s="16" t="str">
        <f>IFERROR(__xludf.DUMMYFUNCTION("""COMPUTED_VALUE"""),"")</f>
        <v/>
      </c>
      <c r="X9243" s="16" t="str">
        <f>IFERROR(__xludf.DUMMYFUNCTION("""COMPUTED_VALUE"""),"")</f>
        <v/>
      </c>
      <c r="AC9243" s="16" t="str">
        <f>IFERROR(__xludf.DUMMYFUNCTION("""COMPUTED_VALUE"""),"")</f>
        <v/>
      </c>
    </row>
    <row r="9244">
      <c r="A9244" s="16" t="s">
        <v>87</v>
      </c>
      <c r="E9244" s="16" t="str">
        <f>IFERROR(__xludf.DUMMYFUNCTION("""COMPUTED_VALUE"""),"")</f>
        <v/>
      </c>
      <c r="G9244" s="18"/>
      <c r="H9244" s="16" t="s">
        <v>87</v>
      </c>
      <c r="I9244" s="16" t="s">
        <v>87</v>
      </c>
      <c r="J9244" s="19"/>
      <c r="L9244" s="16" t="str">
        <f>IFERROR(__xludf.DUMMYFUNCTION("""COMPUTED_VALUE"""),"")</f>
        <v/>
      </c>
      <c r="M9244" s="16" t="str">
        <f>IFERROR(__xludf.DUMMYFUNCTION("""COMPUTED_VALUE"""),"")</f>
        <v/>
      </c>
      <c r="U9244" s="16" t="s">
        <v>87</v>
      </c>
      <c r="V9244" s="16" t="str">
        <f>IFERROR(__xludf.DUMMYFUNCTION("""COMPUTED_VALUE"""),"")</f>
        <v/>
      </c>
      <c r="W9244" s="16" t="str">
        <f>IFERROR(__xludf.DUMMYFUNCTION("""COMPUTED_VALUE"""),"")</f>
        <v/>
      </c>
      <c r="X9244" s="16" t="str">
        <f>IFERROR(__xludf.DUMMYFUNCTION("""COMPUTED_VALUE"""),"")</f>
        <v/>
      </c>
      <c r="AC9244" s="16" t="str">
        <f>IFERROR(__xludf.DUMMYFUNCTION("""COMPUTED_VALUE"""),"")</f>
        <v/>
      </c>
    </row>
    <row r="9245">
      <c r="A9245" s="16" t="s">
        <v>87</v>
      </c>
      <c r="E9245" s="16" t="str">
        <f>IFERROR(__xludf.DUMMYFUNCTION("""COMPUTED_VALUE"""),"")</f>
        <v/>
      </c>
      <c r="G9245" s="18"/>
      <c r="H9245" s="16" t="s">
        <v>87</v>
      </c>
      <c r="I9245" s="16" t="s">
        <v>87</v>
      </c>
      <c r="J9245" s="19"/>
      <c r="L9245" s="16" t="str">
        <f>IFERROR(__xludf.DUMMYFUNCTION("""COMPUTED_VALUE"""),"")</f>
        <v/>
      </c>
      <c r="M9245" s="16" t="str">
        <f>IFERROR(__xludf.DUMMYFUNCTION("""COMPUTED_VALUE"""),"")</f>
        <v/>
      </c>
      <c r="U9245" s="16" t="s">
        <v>87</v>
      </c>
      <c r="V9245" s="16" t="str">
        <f>IFERROR(__xludf.DUMMYFUNCTION("""COMPUTED_VALUE"""),"")</f>
        <v/>
      </c>
      <c r="W9245" s="16" t="str">
        <f>IFERROR(__xludf.DUMMYFUNCTION("""COMPUTED_VALUE"""),"")</f>
        <v/>
      </c>
      <c r="X9245" s="16" t="str">
        <f>IFERROR(__xludf.DUMMYFUNCTION("""COMPUTED_VALUE"""),"")</f>
        <v/>
      </c>
      <c r="AC9245" s="16" t="str">
        <f>IFERROR(__xludf.DUMMYFUNCTION("""COMPUTED_VALUE"""),"")</f>
        <v/>
      </c>
    </row>
    <row r="9246">
      <c r="A9246" s="16" t="s">
        <v>87</v>
      </c>
      <c r="E9246" s="16" t="str">
        <f>IFERROR(__xludf.DUMMYFUNCTION("""COMPUTED_VALUE"""),"")</f>
        <v/>
      </c>
      <c r="G9246" s="18"/>
      <c r="H9246" s="16" t="s">
        <v>87</v>
      </c>
      <c r="I9246" s="16" t="s">
        <v>87</v>
      </c>
      <c r="J9246" s="19"/>
      <c r="L9246" s="16" t="str">
        <f>IFERROR(__xludf.DUMMYFUNCTION("""COMPUTED_VALUE"""),"")</f>
        <v/>
      </c>
      <c r="M9246" s="16" t="str">
        <f>IFERROR(__xludf.DUMMYFUNCTION("""COMPUTED_VALUE"""),"")</f>
        <v/>
      </c>
      <c r="U9246" s="16" t="s">
        <v>87</v>
      </c>
      <c r="V9246" s="16" t="str">
        <f>IFERROR(__xludf.DUMMYFUNCTION("""COMPUTED_VALUE"""),"")</f>
        <v/>
      </c>
      <c r="W9246" s="16" t="str">
        <f>IFERROR(__xludf.DUMMYFUNCTION("""COMPUTED_VALUE"""),"")</f>
        <v/>
      </c>
      <c r="X9246" s="16" t="str">
        <f>IFERROR(__xludf.DUMMYFUNCTION("""COMPUTED_VALUE"""),"")</f>
        <v/>
      </c>
      <c r="AC9246" s="16" t="str">
        <f>IFERROR(__xludf.DUMMYFUNCTION("""COMPUTED_VALUE"""),"")</f>
        <v/>
      </c>
    </row>
    <row r="9247">
      <c r="A9247" s="16" t="s">
        <v>87</v>
      </c>
      <c r="E9247" s="16" t="str">
        <f>IFERROR(__xludf.DUMMYFUNCTION("""COMPUTED_VALUE"""),"")</f>
        <v/>
      </c>
      <c r="G9247" s="18"/>
      <c r="H9247" s="16" t="s">
        <v>87</v>
      </c>
      <c r="I9247" s="16" t="s">
        <v>87</v>
      </c>
      <c r="J9247" s="19"/>
      <c r="L9247" s="16" t="str">
        <f>IFERROR(__xludf.DUMMYFUNCTION("""COMPUTED_VALUE"""),"")</f>
        <v/>
      </c>
      <c r="M9247" s="16" t="str">
        <f>IFERROR(__xludf.DUMMYFUNCTION("""COMPUTED_VALUE"""),"")</f>
        <v/>
      </c>
      <c r="U9247" s="16" t="s">
        <v>87</v>
      </c>
      <c r="V9247" s="16" t="str">
        <f>IFERROR(__xludf.DUMMYFUNCTION("""COMPUTED_VALUE"""),"")</f>
        <v/>
      </c>
      <c r="W9247" s="16" t="str">
        <f>IFERROR(__xludf.DUMMYFUNCTION("""COMPUTED_VALUE"""),"")</f>
        <v/>
      </c>
      <c r="X9247" s="16" t="str">
        <f>IFERROR(__xludf.DUMMYFUNCTION("""COMPUTED_VALUE"""),"")</f>
        <v/>
      </c>
      <c r="AC9247" s="16" t="str">
        <f>IFERROR(__xludf.DUMMYFUNCTION("""COMPUTED_VALUE"""),"")</f>
        <v/>
      </c>
    </row>
    <row r="9248">
      <c r="A9248" s="16" t="s">
        <v>87</v>
      </c>
      <c r="E9248" s="16" t="str">
        <f>IFERROR(__xludf.DUMMYFUNCTION("""COMPUTED_VALUE"""),"")</f>
        <v/>
      </c>
      <c r="G9248" s="18"/>
      <c r="H9248" s="16" t="s">
        <v>87</v>
      </c>
      <c r="I9248" s="16" t="s">
        <v>87</v>
      </c>
      <c r="J9248" s="19"/>
      <c r="L9248" s="16" t="str">
        <f>IFERROR(__xludf.DUMMYFUNCTION("""COMPUTED_VALUE"""),"")</f>
        <v/>
      </c>
      <c r="M9248" s="16" t="str">
        <f>IFERROR(__xludf.DUMMYFUNCTION("""COMPUTED_VALUE"""),"")</f>
        <v/>
      </c>
      <c r="U9248" s="16" t="s">
        <v>87</v>
      </c>
      <c r="V9248" s="16" t="str">
        <f>IFERROR(__xludf.DUMMYFUNCTION("""COMPUTED_VALUE"""),"")</f>
        <v/>
      </c>
      <c r="W9248" s="16" t="str">
        <f>IFERROR(__xludf.DUMMYFUNCTION("""COMPUTED_VALUE"""),"")</f>
        <v/>
      </c>
      <c r="X9248" s="16" t="str">
        <f>IFERROR(__xludf.DUMMYFUNCTION("""COMPUTED_VALUE"""),"")</f>
        <v/>
      </c>
      <c r="AC9248" s="16" t="str">
        <f>IFERROR(__xludf.DUMMYFUNCTION("""COMPUTED_VALUE"""),"")</f>
        <v/>
      </c>
    </row>
    <row r="9249">
      <c r="A9249" s="16" t="s">
        <v>87</v>
      </c>
      <c r="E9249" s="16" t="str">
        <f>IFERROR(__xludf.DUMMYFUNCTION("""COMPUTED_VALUE"""),"")</f>
        <v/>
      </c>
      <c r="G9249" s="18"/>
      <c r="H9249" s="16" t="s">
        <v>87</v>
      </c>
      <c r="I9249" s="16" t="s">
        <v>87</v>
      </c>
      <c r="J9249" s="19"/>
      <c r="L9249" s="16" t="str">
        <f>IFERROR(__xludf.DUMMYFUNCTION("""COMPUTED_VALUE"""),"")</f>
        <v/>
      </c>
      <c r="M9249" s="16" t="str">
        <f>IFERROR(__xludf.DUMMYFUNCTION("""COMPUTED_VALUE"""),"")</f>
        <v/>
      </c>
      <c r="U9249" s="16" t="s">
        <v>87</v>
      </c>
      <c r="V9249" s="16" t="str">
        <f>IFERROR(__xludf.DUMMYFUNCTION("""COMPUTED_VALUE"""),"")</f>
        <v/>
      </c>
      <c r="W9249" s="16" t="str">
        <f>IFERROR(__xludf.DUMMYFUNCTION("""COMPUTED_VALUE"""),"")</f>
        <v/>
      </c>
      <c r="X9249" s="16" t="str">
        <f>IFERROR(__xludf.DUMMYFUNCTION("""COMPUTED_VALUE"""),"")</f>
        <v/>
      </c>
      <c r="AC9249" s="16" t="str">
        <f>IFERROR(__xludf.DUMMYFUNCTION("""COMPUTED_VALUE"""),"")</f>
        <v/>
      </c>
    </row>
    <row r="9250">
      <c r="A9250" s="16" t="s">
        <v>87</v>
      </c>
      <c r="E9250" s="16" t="str">
        <f>IFERROR(__xludf.DUMMYFUNCTION("""COMPUTED_VALUE"""),"")</f>
        <v/>
      </c>
      <c r="G9250" s="18"/>
      <c r="H9250" s="16" t="s">
        <v>87</v>
      </c>
      <c r="I9250" s="16" t="s">
        <v>87</v>
      </c>
      <c r="J9250" s="19"/>
      <c r="L9250" s="16" t="str">
        <f>IFERROR(__xludf.DUMMYFUNCTION("""COMPUTED_VALUE"""),"")</f>
        <v/>
      </c>
      <c r="M9250" s="16" t="str">
        <f>IFERROR(__xludf.DUMMYFUNCTION("""COMPUTED_VALUE"""),"")</f>
        <v/>
      </c>
      <c r="U9250" s="16" t="s">
        <v>87</v>
      </c>
      <c r="V9250" s="16" t="str">
        <f>IFERROR(__xludf.DUMMYFUNCTION("""COMPUTED_VALUE"""),"")</f>
        <v/>
      </c>
      <c r="W9250" s="16" t="str">
        <f>IFERROR(__xludf.DUMMYFUNCTION("""COMPUTED_VALUE"""),"")</f>
        <v/>
      </c>
      <c r="X9250" s="16" t="str">
        <f>IFERROR(__xludf.DUMMYFUNCTION("""COMPUTED_VALUE"""),"")</f>
        <v/>
      </c>
      <c r="AC9250" s="16" t="str">
        <f>IFERROR(__xludf.DUMMYFUNCTION("""COMPUTED_VALUE"""),"")</f>
        <v/>
      </c>
    </row>
    <row r="9251">
      <c r="A9251" s="16" t="s">
        <v>87</v>
      </c>
      <c r="E9251" s="16" t="str">
        <f>IFERROR(__xludf.DUMMYFUNCTION("""COMPUTED_VALUE"""),"")</f>
        <v/>
      </c>
      <c r="G9251" s="18"/>
      <c r="H9251" s="16" t="s">
        <v>87</v>
      </c>
      <c r="I9251" s="16" t="s">
        <v>87</v>
      </c>
      <c r="J9251" s="19"/>
      <c r="L9251" s="16" t="str">
        <f>IFERROR(__xludf.DUMMYFUNCTION("""COMPUTED_VALUE"""),"")</f>
        <v/>
      </c>
      <c r="M9251" s="16" t="str">
        <f>IFERROR(__xludf.DUMMYFUNCTION("""COMPUTED_VALUE"""),"")</f>
        <v/>
      </c>
      <c r="U9251" s="16" t="s">
        <v>87</v>
      </c>
      <c r="V9251" s="16" t="str">
        <f>IFERROR(__xludf.DUMMYFUNCTION("""COMPUTED_VALUE"""),"")</f>
        <v/>
      </c>
      <c r="W9251" s="16" t="str">
        <f>IFERROR(__xludf.DUMMYFUNCTION("""COMPUTED_VALUE"""),"")</f>
        <v/>
      </c>
      <c r="X9251" s="16" t="str">
        <f>IFERROR(__xludf.DUMMYFUNCTION("""COMPUTED_VALUE"""),"")</f>
        <v/>
      </c>
      <c r="AC9251" s="16" t="str">
        <f>IFERROR(__xludf.DUMMYFUNCTION("""COMPUTED_VALUE"""),"")</f>
        <v/>
      </c>
    </row>
    <row r="9252">
      <c r="A9252" s="16" t="s">
        <v>87</v>
      </c>
      <c r="E9252" s="16" t="str">
        <f>IFERROR(__xludf.DUMMYFUNCTION("""COMPUTED_VALUE"""),"")</f>
        <v/>
      </c>
      <c r="G9252" s="18"/>
      <c r="H9252" s="16" t="s">
        <v>87</v>
      </c>
      <c r="I9252" s="16" t="s">
        <v>87</v>
      </c>
      <c r="J9252" s="19"/>
      <c r="L9252" s="16" t="str">
        <f>IFERROR(__xludf.DUMMYFUNCTION("""COMPUTED_VALUE"""),"")</f>
        <v/>
      </c>
      <c r="M9252" s="16" t="str">
        <f>IFERROR(__xludf.DUMMYFUNCTION("""COMPUTED_VALUE"""),"")</f>
        <v/>
      </c>
      <c r="U9252" s="16" t="s">
        <v>87</v>
      </c>
      <c r="V9252" s="16" t="str">
        <f>IFERROR(__xludf.DUMMYFUNCTION("""COMPUTED_VALUE"""),"")</f>
        <v/>
      </c>
      <c r="W9252" s="16" t="str">
        <f>IFERROR(__xludf.DUMMYFUNCTION("""COMPUTED_VALUE"""),"")</f>
        <v/>
      </c>
      <c r="X9252" s="16" t="str">
        <f>IFERROR(__xludf.DUMMYFUNCTION("""COMPUTED_VALUE"""),"")</f>
        <v/>
      </c>
      <c r="AC9252" s="16" t="str">
        <f>IFERROR(__xludf.DUMMYFUNCTION("""COMPUTED_VALUE"""),"")</f>
        <v/>
      </c>
    </row>
    <row r="9253">
      <c r="A9253" s="16" t="s">
        <v>87</v>
      </c>
      <c r="E9253" s="16" t="str">
        <f>IFERROR(__xludf.DUMMYFUNCTION("""COMPUTED_VALUE"""),"")</f>
        <v/>
      </c>
      <c r="G9253" s="18"/>
      <c r="H9253" s="16" t="s">
        <v>87</v>
      </c>
      <c r="I9253" s="16" t="s">
        <v>87</v>
      </c>
      <c r="J9253" s="19"/>
      <c r="L9253" s="16" t="str">
        <f>IFERROR(__xludf.DUMMYFUNCTION("""COMPUTED_VALUE"""),"")</f>
        <v/>
      </c>
      <c r="M9253" s="16" t="str">
        <f>IFERROR(__xludf.DUMMYFUNCTION("""COMPUTED_VALUE"""),"")</f>
        <v/>
      </c>
      <c r="U9253" s="16" t="s">
        <v>87</v>
      </c>
      <c r="V9253" s="16" t="str">
        <f>IFERROR(__xludf.DUMMYFUNCTION("""COMPUTED_VALUE"""),"")</f>
        <v/>
      </c>
      <c r="W9253" s="16" t="str">
        <f>IFERROR(__xludf.DUMMYFUNCTION("""COMPUTED_VALUE"""),"")</f>
        <v/>
      </c>
      <c r="X9253" s="16" t="str">
        <f>IFERROR(__xludf.DUMMYFUNCTION("""COMPUTED_VALUE"""),"")</f>
        <v/>
      </c>
      <c r="AC9253" s="16" t="str">
        <f>IFERROR(__xludf.DUMMYFUNCTION("""COMPUTED_VALUE"""),"")</f>
        <v/>
      </c>
    </row>
    <row r="9254">
      <c r="A9254" s="16" t="s">
        <v>87</v>
      </c>
      <c r="E9254" s="16" t="str">
        <f>IFERROR(__xludf.DUMMYFUNCTION("""COMPUTED_VALUE"""),"")</f>
        <v/>
      </c>
      <c r="G9254" s="18"/>
      <c r="H9254" s="16" t="s">
        <v>87</v>
      </c>
      <c r="I9254" s="16" t="s">
        <v>87</v>
      </c>
      <c r="J9254" s="19"/>
      <c r="L9254" s="16" t="str">
        <f>IFERROR(__xludf.DUMMYFUNCTION("""COMPUTED_VALUE"""),"")</f>
        <v/>
      </c>
      <c r="M9254" s="16" t="str">
        <f>IFERROR(__xludf.DUMMYFUNCTION("""COMPUTED_VALUE"""),"")</f>
        <v/>
      </c>
      <c r="U9254" s="16" t="s">
        <v>87</v>
      </c>
      <c r="V9254" s="16" t="str">
        <f>IFERROR(__xludf.DUMMYFUNCTION("""COMPUTED_VALUE"""),"")</f>
        <v/>
      </c>
      <c r="W9254" s="16" t="str">
        <f>IFERROR(__xludf.DUMMYFUNCTION("""COMPUTED_VALUE"""),"")</f>
        <v/>
      </c>
      <c r="X9254" s="16" t="str">
        <f>IFERROR(__xludf.DUMMYFUNCTION("""COMPUTED_VALUE"""),"")</f>
        <v/>
      </c>
      <c r="AC9254" s="16" t="str">
        <f>IFERROR(__xludf.DUMMYFUNCTION("""COMPUTED_VALUE"""),"")</f>
        <v/>
      </c>
    </row>
    <row r="9255">
      <c r="A9255" s="16" t="s">
        <v>87</v>
      </c>
      <c r="E9255" s="16" t="str">
        <f>IFERROR(__xludf.DUMMYFUNCTION("""COMPUTED_VALUE"""),"")</f>
        <v/>
      </c>
      <c r="G9255" s="18"/>
      <c r="H9255" s="16" t="s">
        <v>87</v>
      </c>
      <c r="I9255" s="16" t="s">
        <v>87</v>
      </c>
      <c r="J9255" s="19"/>
      <c r="L9255" s="16" t="str">
        <f>IFERROR(__xludf.DUMMYFUNCTION("""COMPUTED_VALUE"""),"")</f>
        <v/>
      </c>
      <c r="M9255" s="16" t="str">
        <f>IFERROR(__xludf.DUMMYFUNCTION("""COMPUTED_VALUE"""),"")</f>
        <v/>
      </c>
      <c r="U9255" s="16" t="s">
        <v>87</v>
      </c>
      <c r="V9255" s="16" t="str">
        <f>IFERROR(__xludf.DUMMYFUNCTION("""COMPUTED_VALUE"""),"")</f>
        <v/>
      </c>
      <c r="W9255" s="16" t="str">
        <f>IFERROR(__xludf.DUMMYFUNCTION("""COMPUTED_VALUE"""),"")</f>
        <v/>
      </c>
      <c r="X9255" s="16" t="str">
        <f>IFERROR(__xludf.DUMMYFUNCTION("""COMPUTED_VALUE"""),"")</f>
        <v/>
      </c>
      <c r="AC9255" s="16" t="str">
        <f>IFERROR(__xludf.DUMMYFUNCTION("""COMPUTED_VALUE"""),"")</f>
        <v/>
      </c>
    </row>
    <row r="9256">
      <c r="A9256" s="16" t="s">
        <v>87</v>
      </c>
      <c r="E9256" s="16" t="str">
        <f>IFERROR(__xludf.DUMMYFUNCTION("""COMPUTED_VALUE"""),"")</f>
        <v/>
      </c>
      <c r="G9256" s="18"/>
      <c r="H9256" s="16" t="s">
        <v>87</v>
      </c>
      <c r="I9256" s="16" t="s">
        <v>87</v>
      </c>
      <c r="J9256" s="19"/>
      <c r="L9256" s="16" t="str">
        <f>IFERROR(__xludf.DUMMYFUNCTION("""COMPUTED_VALUE"""),"")</f>
        <v/>
      </c>
      <c r="M9256" s="16" t="str">
        <f>IFERROR(__xludf.DUMMYFUNCTION("""COMPUTED_VALUE"""),"")</f>
        <v/>
      </c>
      <c r="U9256" s="16" t="s">
        <v>87</v>
      </c>
      <c r="V9256" s="16" t="str">
        <f>IFERROR(__xludf.DUMMYFUNCTION("""COMPUTED_VALUE"""),"")</f>
        <v/>
      </c>
      <c r="W9256" s="16" t="str">
        <f>IFERROR(__xludf.DUMMYFUNCTION("""COMPUTED_VALUE"""),"")</f>
        <v/>
      </c>
      <c r="X9256" s="16" t="str">
        <f>IFERROR(__xludf.DUMMYFUNCTION("""COMPUTED_VALUE"""),"")</f>
        <v/>
      </c>
      <c r="AC9256" s="16" t="str">
        <f>IFERROR(__xludf.DUMMYFUNCTION("""COMPUTED_VALUE"""),"")</f>
        <v/>
      </c>
    </row>
    <row r="9257">
      <c r="A9257" s="16" t="s">
        <v>87</v>
      </c>
      <c r="E9257" s="16" t="str">
        <f>IFERROR(__xludf.DUMMYFUNCTION("""COMPUTED_VALUE"""),"")</f>
        <v/>
      </c>
      <c r="G9257" s="18"/>
      <c r="H9257" s="16" t="s">
        <v>87</v>
      </c>
      <c r="I9257" s="16" t="s">
        <v>87</v>
      </c>
      <c r="J9257" s="19"/>
      <c r="L9257" s="16" t="str">
        <f>IFERROR(__xludf.DUMMYFUNCTION("""COMPUTED_VALUE"""),"")</f>
        <v/>
      </c>
      <c r="M9257" s="16" t="str">
        <f>IFERROR(__xludf.DUMMYFUNCTION("""COMPUTED_VALUE"""),"")</f>
        <v/>
      </c>
      <c r="U9257" s="16" t="s">
        <v>87</v>
      </c>
      <c r="V9257" s="16" t="str">
        <f>IFERROR(__xludf.DUMMYFUNCTION("""COMPUTED_VALUE"""),"")</f>
        <v/>
      </c>
      <c r="W9257" s="16" t="str">
        <f>IFERROR(__xludf.DUMMYFUNCTION("""COMPUTED_VALUE"""),"")</f>
        <v/>
      </c>
      <c r="X9257" s="16" t="str">
        <f>IFERROR(__xludf.DUMMYFUNCTION("""COMPUTED_VALUE"""),"")</f>
        <v/>
      </c>
      <c r="AC9257" s="16" t="str">
        <f>IFERROR(__xludf.DUMMYFUNCTION("""COMPUTED_VALUE"""),"")</f>
        <v/>
      </c>
    </row>
    <row r="9258">
      <c r="A9258" s="16" t="s">
        <v>87</v>
      </c>
      <c r="E9258" s="16" t="str">
        <f>IFERROR(__xludf.DUMMYFUNCTION("""COMPUTED_VALUE"""),"")</f>
        <v/>
      </c>
      <c r="G9258" s="18"/>
      <c r="H9258" s="16" t="s">
        <v>87</v>
      </c>
      <c r="I9258" s="16" t="s">
        <v>87</v>
      </c>
      <c r="J9258" s="19"/>
      <c r="L9258" s="16" t="str">
        <f>IFERROR(__xludf.DUMMYFUNCTION("""COMPUTED_VALUE"""),"")</f>
        <v/>
      </c>
      <c r="M9258" s="16" t="str">
        <f>IFERROR(__xludf.DUMMYFUNCTION("""COMPUTED_VALUE"""),"")</f>
        <v/>
      </c>
      <c r="U9258" s="16" t="s">
        <v>87</v>
      </c>
      <c r="V9258" s="16" t="str">
        <f>IFERROR(__xludf.DUMMYFUNCTION("""COMPUTED_VALUE"""),"")</f>
        <v/>
      </c>
      <c r="W9258" s="16" t="str">
        <f>IFERROR(__xludf.DUMMYFUNCTION("""COMPUTED_VALUE"""),"")</f>
        <v/>
      </c>
      <c r="X9258" s="16" t="str">
        <f>IFERROR(__xludf.DUMMYFUNCTION("""COMPUTED_VALUE"""),"")</f>
        <v/>
      </c>
      <c r="AC9258" s="16" t="str">
        <f>IFERROR(__xludf.DUMMYFUNCTION("""COMPUTED_VALUE"""),"")</f>
        <v/>
      </c>
    </row>
    <row r="9259">
      <c r="A9259" s="16" t="s">
        <v>87</v>
      </c>
      <c r="E9259" s="16" t="str">
        <f>IFERROR(__xludf.DUMMYFUNCTION("""COMPUTED_VALUE"""),"")</f>
        <v/>
      </c>
      <c r="G9259" s="18"/>
      <c r="H9259" s="16" t="s">
        <v>87</v>
      </c>
      <c r="I9259" s="16" t="s">
        <v>87</v>
      </c>
      <c r="J9259" s="19"/>
      <c r="L9259" s="16" t="str">
        <f>IFERROR(__xludf.DUMMYFUNCTION("""COMPUTED_VALUE"""),"")</f>
        <v/>
      </c>
      <c r="M9259" s="16" t="str">
        <f>IFERROR(__xludf.DUMMYFUNCTION("""COMPUTED_VALUE"""),"")</f>
        <v/>
      </c>
      <c r="U9259" s="16" t="s">
        <v>87</v>
      </c>
      <c r="V9259" s="16" t="str">
        <f>IFERROR(__xludf.DUMMYFUNCTION("""COMPUTED_VALUE"""),"")</f>
        <v/>
      </c>
      <c r="W9259" s="16" t="str">
        <f>IFERROR(__xludf.DUMMYFUNCTION("""COMPUTED_VALUE"""),"")</f>
        <v/>
      </c>
      <c r="X9259" s="16" t="str">
        <f>IFERROR(__xludf.DUMMYFUNCTION("""COMPUTED_VALUE"""),"")</f>
        <v/>
      </c>
      <c r="AC9259" s="16" t="str">
        <f>IFERROR(__xludf.DUMMYFUNCTION("""COMPUTED_VALUE"""),"")</f>
        <v/>
      </c>
    </row>
    <row r="9260">
      <c r="A9260" s="16" t="s">
        <v>87</v>
      </c>
      <c r="E9260" s="16" t="str">
        <f>IFERROR(__xludf.DUMMYFUNCTION("""COMPUTED_VALUE"""),"")</f>
        <v/>
      </c>
      <c r="G9260" s="18"/>
      <c r="H9260" s="16" t="s">
        <v>87</v>
      </c>
      <c r="I9260" s="16" t="s">
        <v>87</v>
      </c>
      <c r="J9260" s="19"/>
      <c r="L9260" s="16" t="str">
        <f>IFERROR(__xludf.DUMMYFUNCTION("""COMPUTED_VALUE"""),"")</f>
        <v/>
      </c>
      <c r="M9260" s="16" t="str">
        <f>IFERROR(__xludf.DUMMYFUNCTION("""COMPUTED_VALUE"""),"")</f>
        <v/>
      </c>
      <c r="U9260" s="16" t="s">
        <v>87</v>
      </c>
      <c r="V9260" s="16" t="str">
        <f>IFERROR(__xludf.DUMMYFUNCTION("""COMPUTED_VALUE"""),"")</f>
        <v/>
      </c>
      <c r="W9260" s="16" t="str">
        <f>IFERROR(__xludf.DUMMYFUNCTION("""COMPUTED_VALUE"""),"")</f>
        <v/>
      </c>
      <c r="X9260" s="16" t="str">
        <f>IFERROR(__xludf.DUMMYFUNCTION("""COMPUTED_VALUE"""),"")</f>
        <v/>
      </c>
      <c r="AC9260" s="16" t="str">
        <f>IFERROR(__xludf.DUMMYFUNCTION("""COMPUTED_VALUE"""),"")</f>
        <v/>
      </c>
    </row>
    <row r="9261">
      <c r="A9261" s="16" t="s">
        <v>87</v>
      </c>
      <c r="E9261" s="16" t="str">
        <f>IFERROR(__xludf.DUMMYFUNCTION("""COMPUTED_VALUE"""),"")</f>
        <v/>
      </c>
      <c r="G9261" s="18"/>
      <c r="H9261" s="16" t="s">
        <v>87</v>
      </c>
      <c r="I9261" s="16" t="s">
        <v>87</v>
      </c>
      <c r="J9261" s="19"/>
      <c r="L9261" s="16" t="str">
        <f>IFERROR(__xludf.DUMMYFUNCTION("""COMPUTED_VALUE"""),"")</f>
        <v/>
      </c>
      <c r="M9261" s="16" t="str">
        <f>IFERROR(__xludf.DUMMYFUNCTION("""COMPUTED_VALUE"""),"")</f>
        <v/>
      </c>
      <c r="U9261" s="16" t="s">
        <v>87</v>
      </c>
      <c r="V9261" s="16" t="str">
        <f>IFERROR(__xludf.DUMMYFUNCTION("""COMPUTED_VALUE"""),"")</f>
        <v/>
      </c>
      <c r="W9261" s="16" t="str">
        <f>IFERROR(__xludf.DUMMYFUNCTION("""COMPUTED_VALUE"""),"")</f>
        <v/>
      </c>
      <c r="X9261" s="16" t="str">
        <f>IFERROR(__xludf.DUMMYFUNCTION("""COMPUTED_VALUE"""),"")</f>
        <v/>
      </c>
      <c r="AC9261" s="16" t="str">
        <f>IFERROR(__xludf.DUMMYFUNCTION("""COMPUTED_VALUE"""),"")</f>
        <v/>
      </c>
    </row>
    <row r="9262">
      <c r="A9262" s="16" t="s">
        <v>87</v>
      </c>
      <c r="E9262" s="16" t="str">
        <f>IFERROR(__xludf.DUMMYFUNCTION("""COMPUTED_VALUE"""),"")</f>
        <v/>
      </c>
      <c r="G9262" s="18"/>
      <c r="H9262" s="16" t="s">
        <v>87</v>
      </c>
      <c r="I9262" s="16" t="s">
        <v>87</v>
      </c>
      <c r="J9262" s="19"/>
      <c r="L9262" s="16" t="str">
        <f>IFERROR(__xludf.DUMMYFUNCTION("""COMPUTED_VALUE"""),"")</f>
        <v/>
      </c>
      <c r="M9262" s="16" t="str">
        <f>IFERROR(__xludf.DUMMYFUNCTION("""COMPUTED_VALUE"""),"")</f>
        <v/>
      </c>
      <c r="U9262" s="16" t="s">
        <v>87</v>
      </c>
      <c r="V9262" s="16" t="str">
        <f>IFERROR(__xludf.DUMMYFUNCTION("""COMPUTED_VALUE"""),"")</f>
        <v/>
      </c>
      <c r="W9262" s="16" t="str">
        <f>IFERROR(__xludf.DUMMYFUNCTION("""COMPUTED_VALUE"""),"")</f>
        <v/>
      </c>
      <c r="X9262" s="16" t="str">
        <f>IFERROR(__xludf.DUMMYFUNCTION("""COMPUTED_VALUE"""),"")</f>
        <v/>
      </c>
      <c r="AC9262" s="16" t="str">
        <f>IFERROR(__xludf.DUMMYFUNCTION("""COMPUTED_VALUE"""),"")</f>
        <v/>
      </c>
    </row>
    <row r="9263">
      <c r="A9263" s="16" t="s">
        <v>87</v>
      </c>
      <c r="E9263" s="16" t="str">
        <f>IFERROR(__xludf.DUMMYFUNCTION("""COMPUTED_VALUE"""),"")</f>
        <v/>
      </c>
      <c r="G9263" s="18"/>
      <c r="H9263" s="16" t="s">
        <v>87</v>
      </c>
      <c r="I9263" s="16" t="s">
        <v>87</v>
      </c>
      <c r="J9263" s="19"/>
      <c r="L9263" s="16" t="str">
        <f>IFERROR(__xludf.DUMMYFUNCTION("""COMPUTED_VALUE"""),"")</f>
        <v/>
      </c>
      <c r="M9263" s="16" t="str">
        <f>IFERROR(__xludf.DUMMYFUNCTION("""COMPUTED_VALUE"""),"")</f>
        <v/>
      </c>
      <c r="U9263" s="16" t="s">
        <v>87</v>
      </c>
      <c r="V9263" s="16" t="str">
        <f>IFERROR(__xludf.DUMMYFUNCTION("""COMPUTED_VALUE"""),"")</f>
        <v/>
      </c>
      <c r="W9263" s="16" t="str">
        <f>IFERROR(__xludf.DUMMYFUNCTION("""COMPUTED_VALUE"""),"")</f>
        <v/>
      </c>
      <c r="X9263" s="16" t="str">
        <f>IFERROR(__xludf.DUMMYFUNCTION("""COMPUTED_VALUE"""),"")</f>
        <v/>
      </c>
      <c r="AC9263" s="16" t="str">
        <f>IFERROR(__xludf.DUMMYFUNCTION("""COMPUTED_VALUE"""),"")</f>
        <v/>
      </c>
    </row>
    <row r="9264">
      <c r="A9264" s="16" t="s">
        <v>87</v>
      </c>
      <c r="E9264" s="16" t="str">
        <f>IFERROR(__xludf.DUMMYFUNCTION("""COMPUTED_VALUE"""),"")</f>
        <v/>
      </c>
      <c r="G9264" s="18"/>
      <c r="H9264" s="16" t="s">
        <v>87</v>
      </c>
      <c r="I9264" s="16" t="s">
        <v>87</v>
      </c>
      <c r="J9264" s="19"/>
      <c r="L9264" s="16" t="str">
        <f>IFERROR(__xludf.DUMMYFUNCTION("""COMPUTED_VALUE"""),"")</f>
        <v/>
      </c>
      <c r="M9264" s="16" t="str">
        <f>IFERROR(__xludf.DUMMYFUNCTION("""COMPUTED_VALUE"""),"")</f>
        <v/>
      </c>
      <c r="U9264" s="16" t="s">
        <v>87</v>
      </c>
      <c r="V9264" s="16" t="str">
        <f>IFERROR(__xludf.DUMMYFUNCTION("""COMPUTED_VALUE"""),"")</f>
        <v/>
      </c>
      <c r="W9264" s="16" t="str">
        <f>IFERROR(__xludf.DUMMYFUNCTION("""COMPUTED_VALUE"""),"")</f>
        <v/>
      </c>
      <c r="X9264" s="16" t="str">
        <f>IFERROR(__xludf.DUMMYFUNCTION("""COMPUTED_VALUE"""),"")</f>
        <v/>
      </c>
      <c r="AC9264" s="16" t="str">
        <f>IFERROR(__xludf.DUMMYFUNCTION("""COMPUTED_VALUE"""),"")</f>
        <v/>
      </c>
    </row>
    <row r="9265">
      <c r="A9265" s="16" t="s">
        <v>87</v>
      </c>
      <c r="E9265" s="16" t="str">
        <f>IFERROR(__xludf.DUMMYFUNCTION("""COMPUTED_VALUE"""),"")</f>
        <v/>
      </c>
      <c r="G9265" s="18"/>
      <c r="H9265" s="16" t="s">
        <v>87</v>
      </c>
      <c r="I9265" s="16" t="s">
        <v>87</v>
      </c>
      <c r="J9265" s="19"/>
      <c r="L9265" s="16" t="str">
        <f>IFERROR(__xludf.DUMMYFUNCTION("""COMPUTED_VALUE"""),"")</f>
        <v/>
      </c>
      <c r="M9265" s="16" t="str">
        <f>IFERROR(__xludf.DUMMYFUNCTION("""COMPUTED_VALUE"""),"")</f>
        <v/>
      </c>
      <c r="U9265" s="16" t="s">
        <v>87</v>
      </c>
      <c r="V9265" s="16" t="str">
        <f>IFERROR(__xludf.DUMMYFUNCTION("""COMPUTED_VALUE"""),"")</f>
        <v/>
      </c>
      <c r="W9265" s="16" t="str">
        <f>IFERROR(__xludf.DUMMYFUNCTION("""COMPUTED_VALUE"""),"")</f>
        <v/>
      </c>
      <c r="X9265" s="16" t="str">
        <f>IFERROR(__xludf.DUMMYFUNCTION("""COMPUTED_VALUE"""),"")</f>
        <v/>
      </c>
      <c r="AC9265" s="16" t="str">
        <f>IFERROR(__xludf.DUMMYFUNCTION("""COMPUTED_VALUE"""),"")</f>
        <v/>
      </c>
    </row>
    <row r="9266">
      <c r="A9266" s="16" t="s">
        <v>87</v>
      </c>
      <c r="E9266" s="16" t="str">
        <f>IFERROR(__xludf.DUMMYFUNCTION("""COMPUTED_VALUE"""),"")</f>
        <v/>
      </c>
      <c r="G9266" s="18"/>
      <c r="H9266" s="16" t="s">
        <v>87</v>
      </c>
      <c r="I9266" s="16" t="s">
        <v>87</v>
      </c>
      <c r="J9266" s="19"/>
      <c r="L9266" s="16" t="str">
        <f>IFERROR(__xludf.DUMMYFUNCTION("""COMPUTED_VALUE"""),"")</f>
        <v/>
      </c>
      <c r="M9266" s="16" t="str">
        <f>IFERROR(__xludf.DUMMYFUNCTION("""COMPUTED_VALUE"""),"")</f>
        <v/>
      </c>
      <c r="U9266" s="16" t="s">
        <v>87</v>
      </c>
      <c r="V9266" s="16" t="str">
        <f>IFERROR(__xludf.DUMMYFUNCTION("""COMPUTED_VALUE"""),"")</f>
        <v/>
      </c>
      <c r="W9266" s="16" t="str">
        <f>IFERROR(__xludf.DUMMYFUNCTION("""COMPUTED_VALUE"""),"")</f>
        <v/>
      </c>
      <c r="X9266" s="16" t="str">
        <f>IFERROR(__xludf.DUMMYFUNCTION("""COMPUTED_VALUE"""),"")</f>
        <v/>
      </c>
      <c r="AC9266" s="16" t="str">
        <f>IFERROR(__xludf.DUMMYFUNCTION("""COMPUTED_VALUE"""),"")</f>
        <v/>
      </c>
    </row>
    <row r="9267">
      <c r="A9267" s="16" t="s">
        <v>87</v>
      </c>
      <c r="E9267" s="16" t="str">
        <f>IFERROR(__xludf.DUMMYFUNCTION("""COMPUTED_VALUE"""),"")</f>
        <v/>
      </c>
      <c r="G9267" s="18"/>
      <c r="H9267" s="16" t="s">
        <v>87</v>
      </c>
      <c r="I9267" s="16" t="s">
        <v>87</v>
      </c>
      <c r="J9267" s="19"/>
      <c r="L9267" s="16" t="str">
        <f>IFERROR(__xludf.DUMMYFUNCTION("""COMPUTED_VALUE"""),"")</f>
        <v/>
      </c>
      <c r="M9267" s="16" t="str">
        <f>IFERROR(__xludf.DUMMYFUNCTION("""COMPUTED_VALUE"""),"")</f>
        <v/>
      </c>
      <c r="U9267" s="16" t="s">
        <v>87</v>
      </c>
      <c r="V9267" s="16" t="str">
        <f>IFERROR(__xludf.DUMMYFUNCTION("""COMPUTED_VALUE"""),"")</f>
        <v/>
      </c>
      <c r="W9267" s="16" t="str">
        <f>IFERROR(__xludf.DUMMYFUNCTION("""COMPUTED_VALUE"""),"")</f>
        <v/>
      </c>
      <c r="X9267" s="16" t="str">
        <f>IFERROR(__xludf.DUMMYFUNCTION("""COMPUTED_VALUE"""),"")</f>
        <v/>
      </c>
      <c r="AC9267" s="16" t="str">
        <f>IFERROR(__xludf.DUMMYFUNCTION("""COMPUTED_VALUE"""),"")</f>
        <v/>
      </c>
    </row>
    <row r="9268">
      <c r="A9268" s="16" t="s">
        <v>87</v>
      </c>
      <c r="E9268" s="16" t="str">
        <f>IFERROR(__xludf.DUMMYFUNCTION("""COMPUTED_VALUE"""),"")</f>
        <v/>
      </c>
      <c r="G9268" s="18"/>
      <c r="H9268" s="16" t="s">
        <v>87</v>
      </c>
      <c r="I9268" s="16" t="s">
        <v>87</v>
      </c>
      <c r="J9268" s="19"/>
      <c r="L9268" s="16" t="str">
        <f>IFERROR(__xludf.DUMMYFUNCTION("""COMPUTED_VALUE"""),"")</f>
        <v/>
      </c>
      <c r="M9268" s="16" t="str">
        <f>IFERROR(__xludf.DUMMYFUNCTION("""COMPUTED_VALUE"""),"")</f>
        <v/>
      </c>
      <c r="U9268" s="16" t="s">
        <v>87</v>
      </c>
      <c r="V9268" s="16" t="str">
        <f>IFERROR(__xludf.DUMMYFUNCTION("""COMPUTED_VALUE"""),"")</f>
        <v/>
      </c>
      <c r="W9268" s="16" t="str">
        <f>IFERROR(__xludf.DUMMYFUNCTION("""COMPUTED_VALUE"""),"")</f>
        <v/>
      </c>
      <c r="X9268" s="16" t="str">
        <f>IFERROR(__xludf.DUMMYFUNCTION("""COMPUTED_VALUE"""),"")</f>
        <v/>
      </c>
      <c r="AC9268" s="16" t="str">
        <f>IFERROR(__xludf.DUMMYFUNCTION("""COMPUTED_VALUE"""),"")</f>
        <v/>
      </c>
    </row>
    <row r="9269">
      <c r="A9269" s="16" t="s">
        <v>87</v>
      </c>
      <c r="E9269" s="16" t="str">
        <f>IFERROR(__xludf.DUMMYFUNCTION("""COMPUTED_VALUE"""),"")</f>
        <v/>
      </c>
      <c r="G9269" s="18"/>
      <c r="H9269" s="16" t="s">
        <v>87</v>
      </c>
      <c r="I9269" s="16" t="s">
        <v>87</v>
      </c>
      <c r="J9269" s="19"/>
      <c r="L9269" s="16" t="str">
        <f>IFERROR(__xludf.DUMMYFUNCTION("""COMPUTED_VALUE"""),"")</f>
        <v/>
      </c>
      <c r="M9269" s="16" t="str">
        <f>IFERROR(__xludf.DUMMYFUNCTION("""COMPUTED_VALUE"""),"")</f>
        <v/>
      </c>
      <c r="U9269" s="16" t="s">
        <v>87</v>
      </c>
      <c r="V9269" s="16" t="str">
        <f>IFERROR(__xludf.DUMMYFUNCTION("""COMPUTED_VALUE"""),"")</f>
        <v/>
      </c>
      <c r="W9269" s="16" t="str">
        <f>IFERROR(__xludf.DUMMYFUNCTION("""COMPUTED_VALUE"""),"")</f>
        <v/>
      </c>
      <c r="X9269" s="16" t="str">
        <f>IFERROR(__xludf.DUMMYFUNCTION("""COMPUTED_VALUE"""),"")</f>
        <v/>
      </c>
      <c r="AC9269" s="16" t="str">
        <f>IFERROR(__xludf.DUMMYFUNCTION("""COMPUTED_VALUE"""),"")</f>
        <v/>
      </c>
    </row>
    <row r="9270">
      <c r="A9270" s="16" t="s">
        <v>87</v>
      </c>
      <c r="E9270" s="16" t="str">
        <f>IFERROR(__xludf.DUMMYFUNCTION("""COMPUTED_VALUE"""),"")</f>
        <v/>
      </c>
      <c r="G9270" s="18"/>
      <c r="H9270" s="16" t="s">
        <v>87</v>
      </c>
      <c r="I9270" s="16" t="s">
        <v>87</v>
      </c>
      <c r="J9270" s="19"/>
      <c r="L9270" s="16" t="str">
        <f>IFERROR(__xludf.DUMMYFUNCTION("""COMPUTED_VALUE"""),"")</f>
        <v/>
      </c>
      <c r="M9270" s="16" t="str">
        <f>IFERROR(__xludf.DUMMYFUNCTION("""COMPUTED_VALUE"""),"")</f>
        <v/>
      </c>
      <c r="U9270" s="16" t="s">
        <v>87</v>
      </c>
      <c r="V9270" s="16" t="str">
        <f>IFERROR(__xludf.DUMMYFUNCTION("""COMPUTED_VALUE"""),"")</f>
        <v/>
      </c>
      <c r="W9270" s="16" t="str">
        <f>IFERROR(__xludf.DUMMYFUNCTION("""COMPUTED_VALUE"""),"")</f>
        <v/>
      </c>
      <c r="X9270" s="16" t="str">
        <f>IFERROR(__xludf.DUMMYFUNCTION("""COMPUTED_VALUE"""),"")</f>
        <v/>
      </c>
      <c r="AC9270" s="16" t="str">
        <f>IFERROR(__xludf.DUMMYFUNCTION("""COMPUTED_VALUE"""),"")</f>
        <v/>
      </c>
    </row>
    <row r="9271">
      <c r="A9271" s="16" t="s">
        <v>87</v>
      </c>
      <c r="E9271" s="16" t="str">
        <f>IFERROR(__xludf.DUMMYFUNCTION("""COMPUTED_VALUE"""),"")</f>
        <v/>
      </c>
      <c r="G9271" s="18"/>
      <c r="H9271" s="16" t="s">
        <v>87</v>
      </c>
      <c r="I9271" s="16" t="s">
        <v>87</v>
      </c>
      <c r="J9271" s="19"/>
      <c r="L9271" s="16" t="str">
        <f>IFERROR(__xludf.DUMMYFUNCTION("""COMPUTED_VALUE"""),"")</f>
        <v/>
      </c>
      <c r="M9271" s="16" t="str">
        <f>IFERROR(__xludf.DUMMYFUNCTION("""COMPUTED_VALUE"""),"")</f>
        <v/>
      </c>
      <c r="U9271" s="16" t="s">
        <v>87</v>
      </c>
      <c r="V9271" s="16" t="str">
        <f>IFERROR(__xludf.DUMMYFUNCTION("""COMPUTED_VALUE"""),"")</f>
        <v/>
      </c>
      <c r="W9271" s="16" t="str">
        <f>IFERROR(__xludf.DUMMYFUNCTION("""COMPUTED_VALUE"""),"")</f>
        <v/>
      </c>
      <c r="X9271" s="16" t="str">
        <f>IFERROR(__xludf.DUMMYFUNCTION("""COMPUTED_VALUE"""),"")</f>
        <v/>
      </c>
      <c r="AC9271" s="16" t="str">
        <f>IFERROR(__xludf.DUMMYFUNCTION("""COMPUTED_VALUE"""),"")</f>
        <v/>
      </c>
    </row>
    <row r="9272">
      <c r="A9272" s="16" t="s">
        <v>87</v>
      </c>
      <c r="E9272" s="16" t="str">
        <f>IFERROR(__xludf.DUMMYFUNCTION("""COMPUTED_VALUE"""),"")</f>
        <v/>
      </c>
      <c r="G9272" s="18"/>
      <c r="H9272" s="16" t="s">
        <v>87</v>
      </c>
      <c r="I9272" s="16" t="s">
        <v>87</v>
      </c>
      <c r="J9272" s="19"/>
      <c r="L9272" s="16" t="str">
        <f>IFERROR(__xludf.DUMMYFUNCTION("""COMPUTED_VALUE"""),"")</f>
        <v/>
      </c>
      <c r="M9272" s="16" t="str">
        <f>IFERROR(__xludf.DUMMYFUNCTION("""COMPUTED_VALUE"""),"")</f>
        <v/>
      </c>
      <c r="U9272" s="16" t="s">
        <v>87</v>
      </c>
      <c r="V9272" s="16" t="str">
        <f>IFERROR(__xludf.DUMMYFUNCTION("""COMPUTED_VALUE"""),"")</f>
        <v/>
      </c>
      <c r="W9272" s="16" t="str">
        <f>IFERROR(__xludf.DUMMYFUNCTION("""COMPUTED_VALUE"""),"")</f>
        <v/>
      </c>
      <c r="X9272" s="16" t="str">
        <f>IFERROR(__xludf.DUMMYFUNCTION("""COMPUTED_VALUE"""),"")</f>
        <v/>
      </c>
      <c r="AC9272" s="16" t="str">
        <f>IFERROR(__xludf.DUMMYFUNCTION("""COMPUTED_VALUE"""),"")</f>
        <v/>
      </c>
    </row>
    <row r="9273">
      <c r="A9273" s="16" t="s">
        <v>87</v>
      </c>
      <c r="E9273" s="16" t="str">
        <f>IFERROR(__xludf.DUMMYFUNCTION("""COMPUTED_VALUE"""),"")</f>
        <v/>
      </c>
      <c r="G9273" s="18"/>
      <c r="H9273" s="16" t="s">
        <v>87</v>
      </c>
      <c r="I9273" s="16" t="s">
        <v>87</v>
      </c>
      <c r="J9273" s="19"/>
      <c r="L9273" s="16" t="str">
        <f>IFERROR(__xludf.DUMMYFUNCTION("""COMPUTED_VALUE"""),"")</f>
        <v/>
      </c>
      <c r="M9273" s="16" t="str">
        <f>IFERROR(__xludf.DUMMYFUNCTION("""COMPUTED_VALUE"""),"")</f>
        <v/>
      </c>
      <c r="U9273" s="16" t="s">
        <v>87</v>
      </c>
      <c r="V9273" s="16" t="str">
        <f>IFERROR(__xludf.DUMMYFUNCTION("""COMPUTED_VALUE"""),"")</f>
        <v/>
      </c>
      <c r="W9273" s="16" t="str">
        <f>IFERROR(__xludf.DUMMYFUNCTION("""COMPUTED_VALUE"""),"")</f>
        <v/>
      </c>
      <c r="X9273" s="16" t="str">
        <f>IFERROR(__xludf.DUMMYFUNCTION("""COMPUTED_VALUE"""),"")</f>
        <v/>
      </c>
      <c r="AC9273" s="16" t="str">
        <f>IFERROR(__xludf.DUMMYFUNCTION("""COMPUTED_VALUE"""),"")</f>
        <v/>
      </c>
    </row>
    <row r="9274">
      <c r="A9274" s="16" t="s">
        <v>87</v>
      </c>
      <c r="E9274" s="16" t="str">
        <f>IFERROR(__xludf.DUMMYFUNCTION("""COMPUTED_VALUE"""),"")</f>
        <v/>
      </c>
      <c r="G9274" s="18"/>
      <c r="H9274" s="16" t="s">
        <v>87</v>
      </c>
      <c r="I9274" s="16" t="s">
        <v>87</v>
      </c>
      <c r="J9274" s="19"/>
      <c r="L9274" s="16" t="str">
        <f>IFERROR(__xludf.DUMMYFUNCTION("""COMPUTED_VALUE"""),"")</f>
        <v/>
      </c>
      <c r="M9274" s="16" t="str">
        <f>IFERROR(__xludf.DUMMYFUNCTION("""COMPUTED_VALUE"""),"")</f>
        <v/>
      </c>
      <c r="U9274" s="16" t="s">
        <v>87</v>
      </c>
      <c r="V9274" s="16" t="str">
        <f>IFERROR(__xludf.DUMMYFUNCTION("""COMPUTED_VALUE"""),"")</f>
        <v/>
      </c>
      <c r="W9274" s="16" t="str">
        <f>IFERROR(__xludf.DUMMYFUNCTION("""COMPUTED_VALUE"""),"")</f>
        <v/>
      </c>
      <c r="X9274" s="16" t="str">
        <f>IFERROR(__xludf.DUMMYFUNCTION("""COMPUTED_VALUE"""),"")</f>
        <v/>
      </c>
      <c r="AC9274" s="16" t="str">
        <f>IFERROR(__xludf.DUMMYFUNCTION("""COMPUTED_VALUE"""),"")</f>
        <v/>
      </c>
    </row>
    <row r="9275">
      <c r="A9275" s="16" t="s">
        <v>87</v>
      </c>
      <c r="E9275" s="16" t="str">
        <f>IFERROR(__xludf.DUMMYFUNCTION("""COMPUTED_VALUE"""),"")</f>
        <v/>
      </c>
      <c r="G9275" s="18"/>
      <c r="H9275" s="16" t="s">
        <v>87</v>
      </c>
      <c r="I9275" s="16" t="s">
        <v>87</v>
      </c>
      <c r="J9275" s="19"/>
      <c r="L9275" s="16" t="str">
        <f>IFERROR(__xludf.DUMMYFUNCTION("""COMPUTED_VALUE"""),"")</f>
        <v/>
      </c>
      <c r="M9275" s="16" t="str">
        <f>IFERROR(__xludf.DUMMYFUNCTION("""COMPUTED_VALUE"""),"")</f>
        <v/>
      </c>
      <c r="U9275" s="16" t="s">
        <v>87</v>
      </c>
      <c r="V9275" s="16" t="str">
        <f>IFERROR(__xludf.DUMMYFUNCTION("""COMPUTED_VALUE"""),"")</f>
        <v/>
      </c>
      <c r="W9275" s="16" t="str">
        <f>IFERROR(__xludf.DUMMYFUNCTION("""COMPUTED_VALUE"""),"")</f>
        <v/>
      </c>
      <c r="X9275" s="16" t="str">
        <f>IFERROR(__xludf.DUMMYFUNCTION("""COMPUTED_VALUE"""),"")</f>
        <v/>
      </c>
      <c r="AC9275" s="16" t="str">
        <f>IFERROR(__xludf.DUMMYFUNCTION("""COMPUTED_VALUE"""),"")</f>
        <v/>
      </c>
    </row>
    <row r="9276">
      <c r="A9276" s="16" t="s">
        <v>87</v>
      </c>
      <c r="E9276" s="16" t="str">
        <f>IFERROR(__xludf.DUMMYFUNCTION("""COMPUTED_VALUE"""),"")</f>
        <v/>
      </c>
      <c r="G9276" s="18"/>
      <c r="H9276" s="16" t="s">
        <v>87</v>
      </c>
      <c r="I9276" s="16" t="s">
        <v>87</v>
      </c>
      <c r="J9276" s="19"/>
      <c r="L9276" s="16" t="str">
        <f>IFERROR(__xludf.DUMMYFUNCTION("""COMPUTED_VALUE"""),"")</f>
        <v/>
      </c>
      <c r="M9276" s="16" t="str">
        <f>IFERROR(__xludf.DUMMYFUNCTION("""COMPUTED_VALUE"""),"")</f>
        <v/>
      </c>
      <c r="U9276" s="16" t="s">
        <v>87</v>
      </c>
      <c r="V9276" s="16" t="str">
        <f>IFERROR(__xludf.DUMMYFUNCTION("""COMPUTED_VALUE"""),"")</f>
        <v/>
      </c>
      <c r="W9276" s="16" t="str">
        <f>IFERROR(__xludf.DUMMYFUNCTION("""COMPUTED_VALUE"""),"")</f>
        <v/>
      </c>
      <c r="X9276" s="16" t="str">
        <f>IFERROR(__xludf.DUMMYFUNCTION("""COMPUTED_VALUE"""),"")</f>
        <v/>
      </c>
      <c r="AC9276" s="16" t="str">
        <f>IFERROR(__xludf.DUMMYFUNCTION("""COMPUTED_VALUE"""),"")</f>
        <v/>
      </c>
    </row>
    <row r="9277">
      <c r="A9277" s="16" t="s">
        <v>87</v>
      </c>
      <c r="E9277" s="16" t="str">
        <f>IFERROR(__xludf.DUMMYFUNCTION("""COMPUTED_VALUE"""),"")</f>
        <v/>
      </c>
      <c r="G9277" s="18"/>
      <c r="H9277" s="16" t="s">
        <v>87</v>
      </c>
      <c r="I9277" s="16" t="s">
        <v>87</v>
      </c>
      <c r="J9277" s="19"/>
      <c r="L9277" s="16" t="str">
        <f>IFERROR(__xludf.DUMMYFUNCTION("""COMPUTED_VALUE"""),"")</f>
        <v/>
      </c>
      <c r="M9277" s="16" t="str">
        <f>IFERROR(__xludf.DUMMYFUNCTION("""COMPUTED_VALUE"""),"")</f>
        <v/>
      </c>
      <c r="U9277" s="16" t="s">
        <v>87</v>
      </c>
      <c r="V9277" s="16" t="str">
        <f>IFERROR(__xludf.DUMMYFUNCTION("""COMPUTED_VALUE"""),"")</f>
        <v/>
      </c>
      <c r="W9277" s="16" t="str">
        <f>IFERROR(__xludf.DUMMYFUNCTION("""COMPUTED_VALUE"""),"")</f>
        <v/>
      </c>
      <c r="X9277" s="16" t="str">
        <f>IFERROR(__xludf.DUMMYFUNCTION("""COMPUTED_VALUE"""),"")</f>
        <v/>
      </c>
      <c r="AC9277" s="16" t="str">
        <f>IFERROR(__xludf.DUMMYFUNCTION("""COMPUTED_VALUE"""),"")</f>
        <v/>
      </c>
    </row>
    <row r="9278">
      <c r="A9278" s="16" t="s">
        <v>87</v>
      </c>
      <c r="E9278" s="16" t="str">
        <f>IFERROR(__xludf.DUMMYFUNCTION("""COMPUTED_VALUE"""),"")</f>
        <v/>
      </c>
      <c r="G9278" s="18"/>
      <c r="H9278" s="16" t="s">
        <v>87</v>
      </c>
      <c r="I9278" s="16" t="s">
        <v>87</v>
      </c>
      <c r="J9278" s="19"/>
      <c r="L9278" s="16" t="str">
        <f>IFERROR(__xludf.DUMMYFUNCTION("""COMPUTED_VALUE"""),"")</f>
        <v/>
      </c>
      <c r="M9278" s="16" t="str">
        <f>IFERROR(__xludf.DUMMYFUNCTION("""COMPUTED_VALUE"""),"")</f>
        <v/>
      </c>
      <c r="U9278" s="16" t="s">
        <v>87</v>
      </c>
      <c r="V9278" s="16" t="str">
        <f>IFERROR(__xludf.DUMMYFUNCTION("""COMPUTED_VALUE"""),"")</f>
        <v/>
      </c>
      <c r="W9278" s="16" t="str">
        <f>IFERROR(__xludf.DUMMYFUNCTION("""COMPUTED_VALUE"""),"")</f>
        <v/>
      </c>
      <c r="X9278" s="16" t="str">
        <f>IFERROR(__xludf.DUMMYFUNCTION("""COMPUTED_VALUE"""),"")</f>
        <v/>
      </c>
      <c r="AC9278" s="16" t="str">
        <f>IFERROR(__xludf.DUMMYFUNCTION("""COMPUTED_VALUE"""),"")</f>
        <v/>
      </c>
    </row>
    <row r="9279">
      <c r="A9279" s="16" t="s">
        <v>87</v>
      </c>
      <c r="E9279" s="16" t="str">
        <f>IFERROR(__xludf.DUMMYFUNCTION("""COMPUTED_VALUE"""),"")</f>
        <v/>
      </c>
      <c r="G9279" s="18"/>
      <c r="H9279" s="16" t="s">
        <v>87</v>
      </c>
      <c r="I9279" s="16" t="s">
        <v>87</v>
      </c>
      <c r="J9279" s="19"/>
      <c r="L9279" s="16" t="str">
        <f>IFERROR(__xludf.DUMMYFUNCTION("""COMPUTED_VALUE"""),"")</f>
        <v/>
      </c>
      <c r="M9279" s="16" t="str">
        <f>IFERROR(__xludf.DUMMYFUNCTION("""COMPUTED_VALUE"""),"")</f>
        <v/>
      </c>
      <c r="U9279" s="16" t="s">
        <v>87</v>
      </c>
      <c r="V9279" s="16" t="str">
        <f>IFERROR(__xludf.DUMMYFUNCTION("""COMPUTED_VALUE"""),"")</f>
        <v/>
      </c>
      <c r="W9279" s="16" t="str">
        <f>IFERROR(__xludf.DUMMYFUNCTION("""COMPUTED_VALUE"""),"")</f>
        <v/>
      </c>
      <c r="X9279" s="16" t="str">
        <f>IFERROR(__xludf.DUMMYFUNCTION("""COMPUTED_VALUE"""),"")</f>
        <v/>
      </c>
      <c r="AC9279" s="16" t="str">
        <f>IFERROR(__xludf.DUMMYFUNCTION("""COMPUTED_VALUE"""),"")</f>
        <v/>
      </c>
    </row>
    <row r="9280">
      <c r="A9280" s="16" t="s">
        <v>87</v>
      </c>
      <c r="E9280" s="16" t="str">
        <f>IFERROR(__xludf.DUMMYFUNCTION("""COMPUTED_VALUE"""),"")</f>
        <v/>
      </c>
      <c r="G9280" s="18"/>
      <c r="H9280" s="16" t="s">
        <v>87</v>
      </c>
      <c r="I9280" s="16" t="s">
        <v>87</v>
      </c>
      <c r="J9280" s="19"/>
      <c r="L9280" s="16" t="str">
        <f>IFERROR(__xludf.DUMMYFUNCTION("""COMPUTED_VALUE"""),"")</f>
        <v/>
      </c>
      <c r="M9280" s="16" t="str">
        <f>IFERROR(__xludf.DUMMYFUNCTION("""COMPUTED_VALUE"""),"")</f>
        <v/>
      </c>
      <c r="U9280" s="16" t="s">
        <v>87</v>
      </c>
      <c r="V9280" s="16" t="str">
        <f>IFERROR(__xludf.DUMMYFUNCTION("""COMPUTED_VALUE"""),"")</f>
        <v/>
      </c>
      <c r="W9280" s="16" t="str">
        <f>IFERROR(__xludf.DUMMYFUNCTION("""COMPUTED_VALUE"""),"")</f>
        <v/>
      </c>
      <c r="X9280" s="16" t="str">
        <f>IFERROR(__xludf.DUMMYFUNCTION("""COMPUTED_VALUE"""),"")</f>
        <v/>
      </c>
      <c r="AC9280" s="16" t="str">
        <f>IFERROR(__xludf.DUMMYFUNCTION("""COMPUTED_VALUE"""),"")</f>
        <v/>
      </c>
    </row>
    <row r="9281">
      <c r="A9281" s="16" t="s">
        <v>87</v>
      </c>
      <c r="E9281" s="16" t="str">
        <f>IFERROR(__xludf.DUMMYFUNCTION("""COMPUTED_VALUE"""),"")</f>
        <v/>
      </c>
      <c r="G9281" s="18"/>
      <c r="H9281" s="16" t="s">
        <v>87</v>
      </c>
      <c r="I9281" s="16" t="s">
        <v>87</v>
      </c>
      <c r="J9281" s="19"/>
      <c r="L9281" s="16" t="str">
        <f>IFERROR(__xludf.DUMMYFUNCTION("""COMPUTED_VALUE"""),"")</f>
        <v/>
      </c>
      <c r="M9281" s="16" t="str">
        <f>IFERROR(__xludf.DUMMYFUNCTION("""COMPUTED_VALUE"""),"")</f>
        <v/>
      </c>
      <c r="U9281" s="16" t="s">
        <v>87</v>
      </c>
      <c r="V9281" s="16" t="str">
        <f>IFERROR(__xludf.DUMMYFUNCTION("""COMPUTED_VALUE"""),"")</f>
        <v/>
      </c>
      <c r="W9281" s="16" t="str">
        <f>IFERROR(__xludf.DUMMYFUNCTION("""COMPUTED_VALUE"""),"")</f>
        <v/>
      </c>
      <c r="X9281" s="16" t="str">
        <f>IFERROR(__xludf.DUMMYFUNCTION("""COMPUTED_VALUE"""),"")</f>
        <v/>
      </c>
      <c r="AC9281" s="16" t="str">
        <f>IFERROR(__xludf.DUMMYFUNCTION("""COMPUTED_VALUE"""),"")</f>
        <v/>
      </c>
    </row>
    <row r="9282">
      <c r="A9282" s="16" t="s">
        <v>87</v>
      </c>
      <c r="E9282" s="16" t="str">
        <f>IFERROR(__xludf.DUMMYFUNCTION("""COMPUTED_VALUE"""),"")</f>
        <v/>
      </c>
      <c r="G9282" s="18"/>
      <c r="H9282" s="16" t="s">
        <v>87</v>
      </c>
      <c r="I9282" s="16" t="s">
        <v>87</v>
      </c>
      <c r="J9282" s="19"/>
      <c r="L9282" s="16" t="str">
        <f>IFERROR(__xludf.DUMMYFUNCTION("""COMPUTED_VALUE"""),"")</f>
        <v/>
      </c>
      <c r="M9282" s="16" t="str">
        <f>IFERROR(__xludf.DUMMYFUNCTION("""COMPUTED_VALUE"""),"")</f>
        <v/>
      </c>
      <c r="U9282" s="16" t="s">
        <v>87</v>
      </c>
      <c r="V9282" s="16" t="str">
        <f>IFERROR(__xludf.DUMMYFUNCTION("""COMPUTED_VALUE"""),"")</f>
        <v/>
      </c>
      <c r="W9282" s="16" t="str">
        <f>IFERROR(__xludf.DUMMYFUNCTION("""COMPUTED_VALUE"""),"")</f>
        <v/>
      </c>
      <c r="X9282" s="16" t="str">
        <f>IFERROR(__xludf.DUMMYFUNCTION("""COMPUTED_VALUE"""),"")</f>
        <v/>
      </c>
      <c r="AC9282" s="16" t="str">
        <f>IFERROR(__xludf.DUMMYFUNCTION("""COMPUTED_VALUE"""),"")</f>
        <v/>
      </c>
    </row>
    <row r="9283">
      <c r="A9283" s="16" t="s">
        <v>87</v>
      </c>
      <c r="E9283" s="16" t="str">
        <f>IFERROR(__xludf.DUMMYFUNCTION("""COMPUTED_VALUE"""),"")</f>
        <v/>
      </c>
      <c r="G9283" s="18"/>
      <c r="H9283" s="16" t="s">
        <v>87</v>
      </c>
      <c r="I9283" s="16" t="s">
        <v>87</v>
      </c>
      <c r="J9283" s="19"/>
      <c r="L9283" s="16" t="str">
        <f>IFERROR(__xludf.DUMMYFUNCTION("""COMPUTED_VALUE"""),"")</f>
        <v/>
      </c>
      <c r="M9283" s="16" t="str">
        <f>IFERROR(__xludf.DUMMYFUNCTION("""COMPUTED_VALUE"""),"")</f>
        <v/>
      </c>
      <c r="U9283" s="16" t="s">
        <v>87</v>
      </c>
      <c r="V9283" s="16" t="str">
        <f>IFERROR(__xludf.DUMMYFUNCTION("""COMPUTED_VALUE"""),"")</f>
        <v/>
      </c>
      <c r="W9283" s="16" t="str">
        <f>IFERROR(__xludf.DUMMYFUNCTION("""COMPUTED_VALUE"""),"")</f>
        <v/>
      </c>
      <c r="X9283" s="16" t="str">
        <f>IFERROR(__xludf.DUMMYFUNCTION("""COMPUTED_VALUE"""),"")</f>
        <v/>
      </c>
      <c r="AC9283" s="16" t="str">
        <f>IFERROR(__xludf.DUMMYFUNCTION("""COMPUTED_VALUE"""),"")</f>
        <v/>
      </c>
    </row>
    <row r="9284">
      <c r="A9284" s="16" t="s">
        <v>87</v>
      </c>
      <c r="E9284" s="16" t="str">
        <f>IFERROR(__xludf.DUMMYFUNCTION("""COMPUTED_VALUE"""),"")</f>
        <v/>
      </c>
      <c r="G9284" s="18"/>
      <c r="H9284" s="16" t="s">
        <v>87</v>
      </c>
      <c r="I9284" s="16" t="s">
        <v>87</v>
      </c>
      <c r="J9284" s="19"/>
      <c r="L9284" s="16" t="str">
        <f>IFERROR(__xludf.DUMMYFUNCTION("""COMPUTED_VALUE"""),"")</f>
        <v/>
      </c>
      <c r="M9284" s="16" t="str">
        <f>IFERROR(__xludf.DUMMYFUNCTION("""COMPUTED_VALUE"""),"")</f>
        <v/>
      </c>
      <c r="U9284" s="16" t="s">
        <v>87</v>
      </c>
      <c r="V9284" s="16" t="str">
        <f>IFERROR(__xludf.DUMMYFUNCTION("""COMPUTED_VALUE"""),"")</f>
        <v/>
      </c>
      <c r="W9284" s="16" t="str">
        <f>IFERROR(__xludf.DUMMYFUNCTION("""COMPUTED_VALUE"""),"")</f>
        <v/>
      </c>
      <c r="X9284" s="16" t="str">
        <f>IFERROR(__xludf.DUMMYFUNCTION("""COMPUTED_VALUE"""),"")</f>
        <v/>
      </c>
      <c r="AC9284" s="16" t="str">
        <f>IFERROR(__xludf.DUMMYFUNCTION("""COMPUTED_VALUE"""),"")</f>
        <v/>
      </c>
    </row>
    <row r="9285">
      <c r="A9285" s="16" t="s">
        <v>87</v>
      </c>
      <c r="E9285" s="16" t="str">
        <f>IFERROR(__xludf.DUMMYFUNCTION("""COMPUTED_VALUE"""),"")</f>
        <v/>
      </c>
      <c r="G9285" s="18"/>
      <c r="H9285" s="16" t="s">
        <v>87</v>
      </c>
      <c r="I9285" s="16" t="s">
        <v>87</v>
      </c>
      <c r="J9285" s="19"/>
      <c r="L9285" s="16" t="str">
        <f>IFERROR(__xludf.DUMMYFUNCTION("""COMPUTED_VALUE"""),"")</f>
        <v/>
      </c>
      <c r="M9285" s="16" t="str">
        <f>IFERROR(__xludf.DUMMYFUNCTION("""COMPUTED_VALUE"""),"")</f>
        <v/>
      </c>
      <c r="U9285" s="16" t="s">
        <v>87</v>
      </c>
      <c r="V9285" s="16" t="str">
        <f>IFERROR(__xludf.DUMMYFUNCTION("""COMPUTED_VALUE"""),"")</f>
        <v/>
      </c>
      <c r="W9285" s="16" t="str">
        <f>IFERROR(__xludf.DUMMYFUNCTION("""COMPUTED_VALUE"""),"")</f>
        <v/>
      </c>
      <c r="X9285" s="16" t="str">
        <f>IFERROR(__xludf.DUMMYFUNCTION("""COMPUTED_VALUE"""),"")</f>
        <v/>
      </c>
      <c r="AC9285" s="16" t="str">
        <f>IFERROR(__xludf.DUMMYFUNCTION("""COMPUTED_VALUE"""),"")</f>
        <v/>
      </c>
    </row>
    <row r="9286">
      <c r="A9286" s="16" t="s">
        <v>87</v>
      </c>
      <c r="E9286" s="16" t="str">
        <f>IFERROR(__xludf.DUMMYFUNCTION("""COMPUTED_VALUE"""),"")</f>
        <v/>
      </c>
      <c r="G9286" s="18"/>
      <c r="H9286" s="16" t="s">
        <v>87</v>
      </c>
      <c r="I9286" s="16" t="s">
        <v>87</v>
      </c>
      <c r="J9286" s="19"/>
      <c r="L9286" s="16" t="str">
        <f>IFERROR(__xludf.DUMMYFUNCTION("""COMPUTED_VALUE"""),"")</f>
        <v/>
      </c>
      <c r="M9286" s="16" t="str">
        <f>IFERROR(__xludf.DUMMYFUNCTION("""COMPUTED_VALUE"""),"")</f>
        <v/>
      </c>
      <c r="U9286" s="16" t="s">
        <v>87</v>
      </c>
      <c r="V9286" s="16" t="str">
        <f>IFERROR(__xludf.DUMMYFUNCTION("""COMPUTED_VALUE"""),"")</f>
        <v/>
      </c>
      <c r="W9286" s="16" t="str">
        <f>IFERROR(__xludf.DUMMYFUNCTION("""COMPUTED_VALUE"""),"")</f>
        <v/>
      </c>
      <c r="X9286" s="16" t="str">
        <f>IFERROR(__xludf.DUMMYFUNCTION("""COMPUTED_VALUE"""),"")</f>
        <v/>
      </c>
      <c r="AC9286" s="16" t="str">
        <f>IFERROR(__xludf.DUMMYFUNCTION("""COMPUTED_VALUE"""),"")</f>
        <v/>
      </c>
    </row>
    <row r="9287">
      <c r="A9287" s="16" t="s">
        <v>87</v>
      </c>
      <c r="E9287" s="16" t="str">
        <f>IFERROR(__xludf.DUMMYFUNCTION("""COMPUTED_VALUE"""),"")</f>
        <v/>
      </c>
      <c r="G9287" s="18"/>
      <c r="H9287" s="16" t="s">
        <v>87</v>
      </c>
      <c r="I9287" s="16" t="s">
        <v>87</v>
      </c>
      <c r="J9287" s="19"/>
      <c r="L9287" s="16" t="str">
        <f>IFERROR(__xludf.DUMMYFUNCTION("""COMPUTED_VALUE"""),"")</f>
        <v/>
      </c>
      <c r="M9287" s="16" t="str">
        <f>IFERROR(__xludf.DUMMYFUNCTION("""COMPUTED_VALUE"""),"")</f>
        <v/>
      </c>
      <c r="U9287" s="16" t="s">
        <v>87</v>
      </c>
      <c r="V9287" s="16" t="str">
        <f>IFERROR(__xludf.DUMMYFUNCTION("""COMPUTED_VALUE"""),"")</f>
        <v/>
      </c>
      <c r="W9287" s="16" t="str">
        <f>IFERROR(__xludf.DUMMYFUNCTION("""COMPUTED_VALUE"""),"")</f>
        <v/>
      </c>
      <c r="X9287" s="16" t="str">
        <f>IFERROR(__xludf.DUMMYFUNCTION("""COMPUTED_VALUE"""),"")</f>
        <v/>
      </c>
      <c r="AC9287" s="16" t="str">
        <f>IFERROR(__xludf.DUMMYFUNCTION("""COMPUTED_VALUE"""),"")</f>
        <v/>
      </c>
    </row>
    <row r="9288">
      <c r="A9288" s="16" t="s">
        <v>87</v>
      </c>
      <c r="E9288" s="16" t="str">
        <f>IFERROR(__xludf.DUMMYFUNCTION("""COMPUTED_VALUE"""),"")</f>
        <v/>
      </c>
      <c r="G9288" s="18"/>
      <c r="H9288" s="16" t="s">
        <v>87</v>
      </c>
      <c r="I9288" s="16" t="s">
        <v>87</v>
      </c>
      <c r="J9288" s="19"/>
      <c r="L9288" s="16" t="str">
        <f>IFERROR(__xludf.DUMMYFUNCTION("""COMPUTED_VALUE"""),"")</f>
        <v/>
      </c>
      <c r="M9288" s="16" t="str">
        <f>IFERROR(__xludf.DUMMYFUNCTION("""COMPUTED_VALUE"""),"")</f>
        <v/>
      </c>
      <c r="U9288" s="16" t="s">
        <v>87</v>
      </c>
      <c r="V9288" s="16" t="str">
        <f>IFERROR(__xludf.DUMMYFUNCTION("""COMPUTED_VALUE"""),"")</f>
        <v/>
      </c>
      <c r="W9288" s="16" t="str">
        <f>IFERROR(__xludf.DUMMYFUNCTION("""COMPUTED_VALUE"""),"")</f>
        <v/>
      </c>
      <c r="X9288" s="16" t="str">
        <f>IFERROR(__xludf.DUMMYFUNCTION("""COMPUTED_VALUE"""),"")</f>
        <v/>
      </c>
      <c r="AC9288" s="16" t="str">
        <f>IFERROR(__xludf.DUMMYFUNCTION("""COMPUTED_VALUE"""),"")</f>
        <v/>
      </c>
    </row>
    <row r="9289">
      <c r="A9289" s="16" t="s">
        <v>87</v>
      </c>
      <c r="E9289" s="16" t="str">
        <f>IFERROR(__xludf.DUMMYFUNCTION("""COMPUTED_VALUE"""),"")</f>
        <v/>
      </c>
      <c r="G9289" s="18"/>
      <c r="H9289" s="16" t="s">
        <v>87</v>
      </c>
      <c r="I9289" s="16" t="s">
        <v>87</v>
      </c>
      <c r="J9289" s="19"/>
      <c r="L9289" s="16" t="str">
        <f>IFERROR(__xludf.DUMMYFUNCTION("""COMPUTED_VALUE"""),"")</f>
        <v/>
      </c>
      <c r="M9289" s="16" t="str">
        <f>IFERROR(__xludf.DUMMYFUNCTION("""COMPUTED_VALUE"""),"")</f>
        <v/>
      </c>
      <c r="U9289" s="16" t="s">
        <v>87</v>
      </c>
      <c r="V9289" s="16" t="str">
        <f>IFERROR(__xludf.DUMMYFUNCTION("""COMPUTED_VALUE"""),"")</f>
        <v/>
      </c>
      <c r="W9289" s="16" t="str">
        <f>IFERROR(__xludf.DUMMYFUNCTION("""COMPUTED_VALUE"""),"")</f>
        <v/>
      </c>
      <c r="X9289" s="16" t="str">
        <f>IFERROR(__xludf.DUMMYFUNCTION("""COMPUTED_VALUE"""),"")</f>
        <v/>
      </c>
      <c r="AC9289" s="16" t="str">
        <f>IFERROR(__xludf.DUMMYFUNCTION("""COMPUTED_VALUE"""),"")</f>
        <v/>
      </c>
    </row>
    <row r="9290">
      <c r="A9290" s="16" t="s">
        <v>87</v>
      </c>
      <c r="E9290" s="16" t="str">
        <f>IFERROR(__xludf.DUMMYFUNCTION("""COMPUTED_VALUE"""),"")</f>
        <v/>
      </c>
      <c r="G9290" s="18"/>
      <c r="H9290" s="16" t="s">
        <v>87</v>
      </c>
      <c r="I9290" s="16" t="s">
        <v>87</v>
      </c>
      <c r="J9290" s="19"/>
      <c r="L9290" s="16" t="str">
        <f>IFERROR(__xludf.DUMMYFUNCTION("""COMPUTED_VALUE"""),"")</f>
        <v/>
      </c>
      <c r="M9290" s="16" t="str">
        <f>IFERROR(__xludf.DUMMYFUNCTION("""COMPUTED_VALUE"""),"")</f>
        <v/>
      </c>
      <c r="U9290" s="16" t="s">
        <v>87</v>
      </c>
      <c r="V9290" s="16" t="str">
        <f>IFERROR(__xludf.DUMMYFUNCTION("""COMPUTED_VALUE"""),"")</f>
        <v/>
      </c>
      <c r="W9290" s="16" t="str">
        <f>IFERROR(__xludf.DUMMYFUNCTION("""COMPUTED_VALUE"""),"")</f>
        <v/>
      </c>
      <c r="X9290" s="16" t="str">
        <f>IFERROR(__xludf.DUMMYFUNCTION("""COMPUTED_VALUE"""),"")</f>
        <v/>
      </c>
      <c r="AC9290" s="16" t="str">
        <f>IFERROR(__xludf.DUMMYFUNCTION("""COMPUTED_VALUE"""),"")</f>
        <v/>
      </c>
    </row>
    <row r="9291">
      <c r="A9291" s="16" t="s">
        <v>87</v>
      </c>
      <c r="E9291" s="16" t="str">
        <f>IFERROR(__xludf.DUMMYFUNCTION("""COMPUTED_VALUE"""),"")</f>
        <v/>
      </c>
      <c r="G9291" s="18"/>
      <c r="H9291" s="16" t="s">
        <v>87</v>
      </c>
      <c r="I9291" s="16" t="s">
        <v>87</v>
      </c>
      <c r="J9291" s="19"/>
      <c r="L9291" s="16" t="str">
        <f>IFERROR(__xludf.DUMMYFUNCTION("""COMPUTED_VALUE"""),"")</f>
        <v/>
      </c>
      <c r="M9291" s="16" t="str">
        <f>IFERROR(__xludf.DUMMYFUNCTION("""COMPUTED_VALUE"""),"")</f>
        <v/>
      </c>
      <c r="U9291" s="16" t="s">
        <v>87</v>
      </c>
      <c r="V9291" s="16" t="str">
        <f>IFERROR(__xludf.DUMMYFUNCTION("""COMPUTED_VALUE"""),"")</f>
        <v/>
      </c>
      <c r="W9291" s="16" t="str">
        <f>IFERROR(__xludf.DUMMYFUNCTION("""COMPUTED_VALUE"""),"")</f>
        <v/>
      </c>
      <c r="X9291" s="16" t="str">
        <f>IFERROR(__xludf.DUMMYFUNCTION("""COMPUTED_VALUE"""),"")</f>
        <v/>
      </c>
      <c r="AC9291" s="16" t="str">
        <f>IFERROR(__xludf.DUMMYFUNCTION("""COMPUTED_VALUE"""),"")</f>
        <v/>
      </c>
    </row>
    <row r="9292">
      <c r="A9292" s="16" t="s">
        <v>87</v>
      </c>
      <c r="E9292" s="16" t="str">
        <f>IFERROR(__xludf.DUMMYFUNCTION("""COMPUTED_VALUE"""),"")</f>
        <v/>
      </c>
      <c r="G9292" s="18"/>
      <c r="H9292" s="16" t="s">
        <v>87</v>
      </c>
      <c r="I9292" s="16" t="s">
        <v>87</v>
      </c>
      <c r="J9292" s="19"/>
      <c r="L9292" s="16" t="str">
        <f>IFERROR(__xludf.DUMMYFUNCTION("""COMPUTED_VALUE"""),"")</f>
        <v/>
      </c>
      <c r="M9292" s="16" t="str">
        <f>IFERROR(__xludf.DUMMYFUNCTION("""COMPUTED_VALUE"""),"")</f>
        <v/>
      </c>
      <c r="U9292" s="16" t="s">
        <v>87</v>
      </c>
      <c r="V9292" s="16" t="str">
        <f>IFERROR(__xludf.DUMMYFUNCTION("""COMPUTED_VALUE"""),"")</f>
        <v/>
      </c>
      <c r="W9292" s="16" t="str">
        <f>IFERROR(__xludf.DUMMYFUNCTION("""COMPUTED_VALUE"""),"")</f>
        <v/>
      </c>
      <c r="X9292" s="16" t="str">
        <f>IFERROR(__xludf.DUMMYFUNCTION("""COMPUTED_VALUE"""),"")</f>
        <v/>
      </c>
      <c r="AC9292" s="16" t="str">
        <f>IFERROR(__xludf.DUMMYFUNCTION("""COMPUTED_VALUE"""),"")</f>
        <v/>
      </c>
    </row>
    <row r="9293">
      <c r="A9293" s="16" t="s">
        <v>87</v>
      </c>
      <c r="E9293" s="16" t="str">
        <f>IFERROR(__xludf.DUMMYFUNCTION("""COMPUTED_VALUE"""),"")</f>
        <v/>
      </c>
      <c r="G9293" s="18"/>
      <c r="H9293" s="16" t="s">
        <v>87</v>
      </c>
      <c r="I9293" s="16" t="s">
        <v>87</v>
      </c>
      <c r="J9293" s="19"/>
      <c r="L9293" s="16" t="str">
        <f>IFERROR(__xludf.DUMMYFUNCTION("""COMPUTED_VALUE"""),"")</f>
        <v/>
      </c>
      <c r="M9293" s="16" t="str">
        <f>IFERROR(__xludf.DUMMYFUNCTION("""COMPUTED_VALUE"""),"")</f>
        <v/>
      </c>
      <c r="U9293" s="16" t="s">
        <v>87</v>
      </c>
      <c r="V9293" s="16" t="str">
        <f>IFERROR(__xludf.DUMMYFUNCTION("""COMPUTED_VALUE"""),"")</f>
        <v/>
      </c>
      <c r="W9293" s="16" t="str">
        <f>IFERROR(__xludf.DUMMYFUNCTION("""COMPUTED_VALUE"""),"")</f>
        <v/>
      </c>
      <c r="X9293" s="16" t="str">
        <f>IFERROR(__xludf.DUMMYFUNCTION("""COMPUTED_VALUE"""),"")</f>
        <v/>
      </c>
      <c r="AC9293" s="16" t="str">
        <f>IFERROR(__xludf.DUMMYFUNCTION("""COMPUTED_VALUE"""),"")</f>
        <v/>
      </c>
    </row>
    <row r="9294">
      <c r="A9294" s="16" t="s">
        <v>87</v>
      </c>
      <c r="E9294" s="16" t="str">
        <f>IFERROR(__xludf.DUMMYFUNCTION("""COMPUTED_VALUE"""),"")</f>
        <v/>
      </c>
      <c r="G9294" s="18"/>
      <c r="H9294" s="16" t="s">
        <v>87</v>
      </c>
      <c r="I9294" s="16" t="s">
        <v>87</v>
      </c>
      <c r="J9294" s="19"/>
      <c r="L9294" s="16" t="str">
        <f>IFERROR(__xludf.DUMMYFUNCTION("""COMPUTED_VALUE"""),"")</f>
        <v/>
      </c>
      <c r="M9294" s="16" t="str">
        <f>IFERROR(__xludf.DUMMYFUNCTION("""COMPUTED_VALUE"""),"")</f>
        <v/>
      </c>
      <c r="U9294" s="16" t="s">
        <v>87</v>
      </c>
      <c r="V9294" s="16" t="str">
        <f>IFERROR(__xludf.DUMMYFUNCTION("""COMPUTED_VALUE"""),"")</f>
        <v/>
      </c>
      <c r="W9294" s="16" t="str">
        <f>IFERROR(__xludf.DUMMYFUNCTION("""COMPUTED_VALUE"""),"")</f>
        <v/>
      </c>
      <c r="X9294" s="16" t="str">
        <f>IFERROR(__xludf.DUMMYFUNCTION("""COMPUTED_VALUE"""),"")</f>
        <v/>
      </c>
      <c r="AC9294" s="16" t="str">
        <f>IFERROR(__xludf.DUMMYFUNCTION("""COMPUTED_VALUE"""),"")</f>
        <v/>
      </c>
    </row>
    <row r="9295">
      <c r="A9295" s="16" t="s">
        <v>87</v>
      </c>
      <c r="E9295" s="16" t="str">
        <f>IFERROR(__xludf.DUMMYFUNCTION("""COMPUTED_VALUE"""),"")</f>
        <v/>
      </c>
      <c r="G9295" s="18"/>
      <c r="H9295" s="16" t="s">
        <v>87</v>
      </c>
      <c r="I9295" s="16" t="s">
        <v>87</v>
      </c>
      <c r="J9295" s="19"/>
      <c r="L9295" s="16" t="str">
        <f>IFERROR(__xludf.DUMMYFUNCTION("""COMPUTED_VALUE"""),"")</f>
        <v/>
      </c>
      <c r="M9295" s="16" t="str">
        <f>IFERROR(__xludf.DUMMYFUNCTION("""COMPUTED_VALUE"""),"")</f>
        <v/>
      </c>
      <c r="U9295" s="16" t="s">
        <v>87</v>
      </c>
      <c r="V9295" s="16" t="str">
        <f>IFERROR(__xludf.DUMMYFUNCTION("""COMPUTED_VALUE"""),"")</f>
        <v/>
      </c>
      <c r="W9295" s="16" t="str">
        <f>IFERROR(__xludf.DUMMYFUNCTION("""COMPUTED_VALUE"""),"")</f>
        <v/>
      </c>
      <c r="X9295" s="16" t="str">
        <f>IFERROR(__xludf.DUMMYFUNCTION("""COMPUTED_VALUE"""),"")</f>
        <v/>
      </c>
      <c r="AC9295" s="16" t="str">
        <f>IFERROR(__xludf.DUMMYFUNCTION("""COMPUTED_VALUE"""),"")</f>
        <v/>
      </c>
    </row>
    <row r="9296">
      <c r="A9296" s="16" t="s">
        <v>87</v>
      </c>
      <c r="E9296" s="16" t="str">
        <f>IFERROR(__xludf.DUMMYFUNCTION("""COMPUTED_VALUE"""),"")</f>
        <v/>
      </c>
      <c r="G9296" s="18"/>
      <c r="H9296" s="16" t="s">
        <v>87</v>
      </c>
      <c r="I9296" s="16" t="s">
        <v>87</v>
      </c>
      <c r="J9296" s="19"/>
      <c r="L9296" s="16" t="str">
        <f>IFERROR(__xludf.DUMMYFUNCTION("""COMPUTED_VALUE"""),"")</f>
        <v/>
      </c>
      <c r="M9296" s="16" t="str">
        <f>IFERROR(__xludf.DUMMYFUNCTION("""COMPUTED_VALUE"""),"")</f>
        <v/>
      </c>
      <c r="U9296" s="16" t="s">
        <v>87</v>
      </c>
      <c r="V9296" s="16" t="str">
        <f>IFERROR(__xludf.DUMMYFUNCTION("""COMPUTED_VALUE"""),"")</f>
        <v/>
      </c>
      <c r="W9296" s="16" t="str">
        <f>IFERROR(__xludf.DUMMYFUNCTION("""COMPUTED_VALUE"""),"")</f>
        <v/>
      </c>
      <c r="X9296" s="16" t="str">
        <f>IFERROR(__xludf.DUMMYFUNCTION("""COMPUTED_VALUE"""),"")</f>
        <v/>
      </c>
      <c r="AC9296" s="16" t="str">
        <f>IFERROR(__xludf.DUMMYFUNCTION("""COMPUTED_VALUE"""),"")</f>
        <v/>
      </c>
    </row>
    <row r="9297">
      <c r="A9297" s="16" t="s">
        <v>87</v>
      </c>
      <c r="E9297" s="16" t="str">
        <f>IFERROR(__xludf.DUMMYFUNCTION("""COMPUTED_VALUE"""),"")</f>
        <v/>
      </c>
      <c r="G9297" s="18"/>
      <c r="H9297" s="16" t="s">
        <v>87</v>
      </c>
      <c r="I9297" s="16" t="s">
        <v>87</v>
      </c>
      <c r="J9297" s="19"/>
      <c r="L9297" s="16" t="str">
        <f>IFERROR(__xludf.DUMMYFUNCTION("""COMPUTED_VALUE"""),"")</f>
        <v/>
      </c>
      <c r="M9297" s="16" t="str">
        <f>IFERROR(__xludf.DUMMYFUNCTION("""COMPUTED_VALUE"""),"")</f>
        <v/>
      </c>
      <c r="U9297" s="16" t="s">
        <v>87</v>
      </c>
      <c r="V9297" s="16" t="str">
        <f>IFERROR(__xludf.DUMMYFUNCTION("""COMPUTED_VALUE"""),"")</f>
        <v/>
      </c>
      <c r="W9297" s="16" t="str">
        <f>IFERROR(__xludf.DUMMYFUNCTION("""COMPUTED_VALUE"""),"")</f>
        <v/>
      </c>
      <c r="X9297" s="16" t="str">
        <f>IFERROR(__xludf.DUMMYFUNCTION("""COMPUTED_VALUE"""),"")</f>
        <v/>
      </c>
      <c r="AC9297" s="16" t="str">
        <f>IFERROR(__xludf.DUMMYFUNCTION("""COMPUTED_VALUE"""),"")</f>
        <v/>
      </c>
    </row>
    <row r="9298">
      <c r="A9298" s="16" t="s">
        <v>87</v>
      </c>
      <c r="E9298" s="16" t="str">
        <f>IFERROR(__xludf.DUMMYFUNCTION("""COMPUTED_VALUE"""),"")</f>
        <v/>
      </c>
      <c r="G9298" s="18"/>
      <c r="H9298" s="16" t="s">
        <v>87</v>
      </c>
      <c r="I9298" s="16" t="s">
        <v>87</v>
      </c>
      <c r="J9298" s="19"/>
      <c r="L9298" s="16" t="str">
        <f>IFERROR(__xludf.DUMMYFUNCTION("""COMPUTED_VALUE"""),"")</f>
        <v/>
      </c>
      <c r="M9298" s="16" t="str">
        <f>IFERROR(__xludf.DUMMYFUNCTION("""COMPUTED_VALUE"""),"")</f>
        <v/>
      </c>
      <c r="U9298" s="16" t="s">
        <v>87</v>
      </c>
      <c r="V9298" s="16" t="str">
        <f>IFERROR(__xludf.DUMMYFUNCTION("""COMPUTED_VALUE"""),"")</f>
        <v/>
      </c>
      <c r="W9298" s="16" t="str">
        <f>IFERROR(__xludf.DUMMYFUNCTION("""COMPUTED_VALUE"""),"")</f>
        <v/>
      </c>
      <c r="X9298" s="16" t="str">
        <f>IFERROR(__xludf.DUMMYFUNCTION("""COMPUTED_VALUE"""),"")</f>
        <v/>
      </c>
      <c r="AC9298" s="16" t="str">
        <f>IFERROR(__xludf.DUMMYFUNCTION("""COMPUTED_VALUE"""),"")</f>
        <v/>
      </c>
    </row>
    <row r="9299">
      <c r="A9299" s="16" t="s">
        <v>87</v>
      </c>
      <c r="E9299" s="16" t="str">
        <f>IFERROR(__xludf.DUMMYFUNCTION("""COMPUTED_VALUE"""),"")</f>
        <v/>
      </c>
      <c r="G9299" s="18"/>
      <c r="H9299" s="16" t="s">
        <v>87</v>
      </c>
      <c r="I9299" s="16" t="s">
        <v>87</v>
      </c>
      <c r="J9299" s="19"/>
      <c r="L9299" s="16" t="str">
        <f>IFERROR(__xludf.DUMMYFUNCTION("""COMPUTED_VALUE"""),"")</f>
        <v/>
      </c>
      <c r="M9299" s="16" t="str">
        <f>IFERROR(__xludf.DUMMYFUNCTION("""COMPUTED_VALUE"""),"")</f>
        <v/>
      </c>
      <c r="U9299" s="16" t="s">
        <v>87</v>
      </c>
      <c r="V9299" s="16" t="str">
        <f>IFERROR(__xludf.DUMMYFUNCTION("""COMPUTED_VALUE"""),"")</f>
        <v/>
      </c>
      <c r="W9299" s="16" t="str">
        <f>IFERROR(__xludf.DUMMYFUNCTION("""COMPUTED_VALUE"""),"")</f>
        <v/>
      </c>
      <c r="X9299" s="16" t="str">
        <f>IFERROR(__xludf.DUMMYFUNCTION("""COMPUTED_VALUE"""),"")</f>
        <v/>
      </c>
      <c r="AC9299" s="16" t="str">
        <f>IFERROR(__xludf.DUMMYFUNCTION("""COMPUTED_VALUE"""),"")</f>
        <v/>
      </c>
    </row>
    <row r="9300">
      <c r="A9300" s="16" t="s">
        <v>87</v>
      </c>
      <c r="E9300" s="16" t="str">
        <f>IFERROR(__xludf.DUMMYFUNCTION("""COMPUTED_VALUE"""),"")</f>
        <v/>
      </c>
      <c r="G9300" s="18"/>
      <c r="H9300" s="16" t="s">
        <v>87</v>
      </c>
      <c r="I9300" s="16" t="s">
        <v>87</v>
      </c>
      <c r="J9300" s="19"/>
      <c r="L9300" s="16" t="str">
        <f>IFERROR(__xludf.DUMMYFUNCTION("""COMPUTED_VALUE"""),"")</f>
        <v/>
      </c>
      <c r="M9300" s="16" t="str">
        <f>IFERROR(__xludf.DUMMYFUNCTION("""COMPUTED_VALUE"""),"")</f>
        <v/>
      </c>
      <c r="U9300" s="16" t="s">
        <v>87</v>
      </c>
      <c r="V9300" s="16" t="str">
        <f>IFERROR(__xludf.DUMMYFUNCTION("""COMPUTED_VALUE"""),"")</f>
        <v/>
      </c>
      <c r="W9300" s="16" t="str">
        <f>IFERROR(__xludf.DUMMYFUNCTION("""COMPUTED_VALUE"""),"")</f>
        <v/>
      </c>
      <c r="X9300" s="16" t="str">
        <f>IFERROR(__xludf.DUMMYFUNCTION("""COMPUTED_VALUE"""),"")</f>
        <v/>
      </c>
      <c r="AC9300" s="16" t="str">
        <f>IFERROR(__xludf.DUMMYFUNCTION("""COMPUTED_VALUE"""),"")</f>
        <v/>
      </c>
    </row>
    <row r="9301">
      <c r="A9301" s="16" t="s">
        <v>87</v>
      </c>
      <c r="E9301" s="16" t="str">
        <f>IFERROR(__xludf.DUMMYFUNCTION("""COMPUTED_VALUE"""),"")</f>
        <v/>
      </c>
      <c r="G9301" s="18"/>
      <c r="H9301" s="16" t="s">
        <v>87</v>
      </c>
      <c r="I9301" s="16" t="s">
        <v>87</v>
      </c>
      <c r="J9301" s="19"/>
      <c r="L9301" s="16" t="str">
        <f>IFERROR(__xludf.DUMMYFUNCTION("""COMPUTED_VALUE"""),"")</f>
        <v/>
      </c>
      <c r="M9301" s="16" t="str">
        <f>IFERROR(__xludf.DUMMYFUNCTION("""COMPUTED_VALUE"""),"")</f>
        <v/>
      </c>
      <c r="U9301" s="16" t="s">
        <v>87</v>
      </c>
      <c r="V9301" s="16" t="str">
        <f>IFERROR(__xludf.DUMMYFUNCTION("""COMPUTED_VALUE"""),"")</f>
        <v/>
      </c>
      <c r="W9301" s="16" t="str">
        <f>IFERROR(__xludf.DUMMYFUNCTION("""COMPUTED_VALUE"""),"")</f>
        <v/>
      </c>
      <c r="X9301" s="16" t="str">
        <f>IFERROR(__xludf.DUMMYFUNCTION("""COMPUTED_VALUE"""),"")</f>
        <v/>
      </c>
      <c r="AC9301" s="16" t="str">
        <f>IFERROR(__xludf.DUMMYFUNCTION("""COMPUTED_VALUE"""),"")</f>
        <v/>
      </c>
    </row>
    <row r="9302">
      <c r="A9302" s="16" t="s">
        <v>87</v>
      </c>
      <c r="E9302" s="16" t="str">
        <f>IFERROR(__xludf.DUMMYFUNCTION("""COMPUTED_VALUE"""),"")</f>
        <v/>
      </c>
      <c r="G9302" s="18"/>
      <c r="H9302" s="16" t="s">
        <v>87</v>
      </c>
      <c r="I9302" s="16" t="s">
        <v>87</v>
      </c>
      <c r="J9302" s="19"/>
      <c r="L9302" s="16" t="str">
        <f>IFERROR(__xludf.DUMMYFUNCTION("""COMPUTED_VALUE"""),"")</f>
        <v/>
      </c>
      <c r="M9302" s="16" t="str">
        <f>IFERROR(__xludf.DUMMYFUNCTION("""COMPUTED_VALUE"""),"")</f>
        <v/>
      </c>
      <c r="U9302" s="16" t="s">
        <v>87</v>
      </c>
      <c r="V9302" s="16" t="str">
        <f>IFERROR(__xludf.DUMMYFUNCTION("""COMPUTED_VALUE"""),"")</f>
        <v/>
      </c>
      <c r="W9302" s="16" t="str">
        <f>IFERROR(__xludf.DUMMYFUNCTION("""COMPUTED_VALUE"""),"")</f>
        <v/>
      </c>
      <c r="X9302" s="16" t="str">
        <f>IFERROR(__xludf.DUMMYFUNCTION("""COMPUTED_VALUE"""),"")</f>
        <v/>
      </c>
      <c r="AC9302" s="16" t="str">
        <f>IFERROR(__xludf.DUMMYFUNCTION("""COMPUTED_VALUE"""),"")</f>
        <v/>
      </c>
    </row>
    <row r="9303">
      <c r="A9303" s="16" t="s">
        <v>87</v>
      </c>
      <c r="E9303" s="16" t="str">
        <f>IFERROR(__xludf.DUMMYFUNCTION("""COMPUTED_VALUE"""),"")</f>
        <v/>
      </c>
      <c r="G9303" s="18"/>
      <c r="H9303" s="16" t="s">
        <v>87</v>
      </c>
      <c r="I9303" s="16" t="s">
        <v>87</v>
      </c>
      <c r="J9303" s="19"/>
      <c r="L9303" s="16" t="str">
        <f>IFERROR(__xludf.DUMMYFUNCTION("""COMPUTED_VALUE"""),"")</f>
        <v/>
      </c>
      <c r="M9303" s="16" t="str">
        <f>IFERROR(__xludf.DUMMYFUNCTION("""COMPUTED_VALUE"""),"")</f>
        <v/>
      </c>
      <c r="U9303" s="16" t="s">
        <v>87</v>
      </c>
      <c r="V9303" s="16" t="str">
        <f>IFERROR(__xludf.DUMMYFUNCTION("""COMPUTED_VALUE"""),"")</f>
        <v/>
      </c>
      <c r="W9303" s="16" t="str">
        <f>IFERROR(__xludf.DUMMYFUNCTION("""COMPUTED_VALUE"""),"")</f>
        <v/>
      </c>
      <c r="X9303" s="16" t="str">
        <f>IFERROR(__xludf.DUMMYFUNCTION("""COMPUTED_VALUE"""),"")</f>
        <v/>
      </c>
      <c r="AC9303" s="16" t="str">
        <f>IFERROR(__xludf.DUMMYFUNCTION("""COMPUTED_VALUE"""),"")</f>
        <v/>
      </c>
    </row>
    <row r="9304">
      <c r="A9304" s="16" t="s">
        <v>87</v>
      </c>
      <c r="E9304" s="16" t="str">
        <f>IFERROR(__xludf.DUMMYFUNCTION("""COMPUTED_VALUE"""),"")</f>
        <v/>
      </c>
      <c r="G9304" s="18"/>
      <c r="H9304" s="16" t="s">
        <v>87</v>
      </c>
      <c r="I9304" s="16" t="s">
        <v>87</v>
      </c>
      <c r="J9304" s="19"/>
      <c r="L9304" s="16" t="str">
        <f>IFERROR(__xludf.DUMMYFUNCTION("""COMPUTED_VALUE"""),"")</f>
        <v/>
      </c>
      <c r="M9304" s="16" t="str">
        <f>IFERROR(__xludf.DUMMYFUNCTION("""COMPUTED_VALUE"""),"")</f>
        <v/>
      </c>
      <c r="U9304" s="16" t="s">
        <v>87</v>
      </c>
      <c r="V9304" s="16" t="str">
        <f>IFERROR(__xludf.DUMMYFUNCTION("""COMPUTED_VALUE"""),"")</f>
        <v/>
      </c>
      <c r="W9304" s="16" t="str">
        <f>IFERROR(__xludf.DUMMYFUNCTION("""COMPUTED_VALUE"""),"")</f>
        <v/>
      </c>
      <c r="X9304" s="16" t="str">
        <f>IFERROR(__xludf.DUMMYFUNCTION("""COMPUTED_VALUE"""),"")</f>
        <v/>
      </c>
      <c r="AC9304" s="16" t="str">
        <f>IFERROR(__xludf.DUMMYFUNCTION("""COMPUTED_VALUE"""),"")</f>
        <v/>
      </c>
    </row>
    <row r="9305">
      <c r="A9305" s="16" t="s">
        <v>87</v>
      </c>
      <c r="E9305" s="16" t="str">
        <f>IFERROR(__xludf.DUMMYFUNCTION("""COMPUTED_VALUE"""),"")</f>
        <v/>
      </c>
      <c r="G9305" s="18"/>
      <c r="H9305" s="16" t="s">
        <v>87</v>
      </c>
      <c r="I9305" s="16" t="s">
        <v>87</v>
      </c>
      <c r="J9305" s="19"/>
      <c r="L9305" s="16" t="str">
        <f>IFERROR(__xludf.DUMMYFUNCTION("""COMPUTED_VALUE"""),"")</f>
        <v/>
      </c>
      <c r="M9305" s="16" t="str">
        <f>IFERROR(__xludf.DUMMYFUNCTION("""COMPUTED_VALUE"""),"")</f>
        <v/>
      </c>
      <c r="U9305" s="16" t="s">
        <v>87</v>
      </c>
      <c r="V9305" s="16" t="str">
        <f>IFERROR(__xludf.DUMMYFUNCTION("""COMPUTED_VALUE"""),"")</f>
        <v/>
      </c>
      <c r="W9305" s="16" t="str">
        <f>IFERROR(__xludf.DUMMYFUNCTION("""COMPUTED_VALUE"""),"")</f>
        <v/>
      </c>
      <c r="X9305" s="16" t="str">
        <f>IFERROR(__xludf.DUMMYFUNCTION("""COMPUTED_VALUE"""),"")</f>
        <v/>
      </c>
      <c r="AC9305" s="16" t="str">
        <f>IFERROR(__xludf.DUMMYFUNCTION("""COMPUTED_VALUE"""),"")</f>
        <v/>
      </c>
    </row>
    <row r="9306">
      <c r="A9306" s="16" t="s">
        <v>87</v>
      </c>
      <c r="E9306" s="16" t="str">
        <f>IFERROR(__xludf.DUMMYFUNCTION("""COMPUTED_VALUE"""),"")</f>
        <v/>
      </c>
      <c r="G9306" s="18"/>
      <c r="H9306" s="16" t="s">
        <v>87</v>
      </c>
      <c r="I9306" s="16" t="s">
        <v>87</v>
      </c>
      <c r="J9306" s="19"/>
      <c r="L9306" s="16" t="str">
        <f>IFERROR(__xludf.DUMMYFUNCTION("""COMPUTED_VALUE"""),"")</f>
        <v/>
      </c>
      <c r="M9306" s="16" t="str">
        <f>IFERROR(__xludf.DUMMYFUNCTION("""COMPUTED_VALUE"""),"")</f>
        <v/>
      </c>
      <c r="U9306" s="16" t="s">
        <v>87</v>
      </c>
      <c r="V9306" s="16" t="str">
        <f>IFERROR(__xludf.DUMMYFUNCTION("""COMPUTED_VALUE"""),"")</f>
        <v/>
      </c>
      <c r="W9306" s="16" t="str">
        <f>IFERROR(__xludf.DUMMYFUNCTION("""COMPUTED_VALUE"""),"")</f>
        <v/>
      </c>
      <c r="X9306" s="16" t="str">
        <f>IFERROR(__xludf.DUMMYFUNCTION("""COMPUTED_VALUE"""),"")</f>
        <v/>
      </c>
      <c r="AC9306" s="16" t="str">
        <f>IFERROR(__xludf.DUMMYFUNCTION("""COMPUTED_VALUE"""),"")</f>
        <v/>
      </c>
    </row>
    <row r="9307">
      <c r="A9307" s="16" t="s">
        <v>87</v>
      </c>
      <c r="E9307" s="16" t="str">
        <f>IFERROR(__xludf.DUMMYFUNCTION("""COMPUTED_VALUE"""),"")</f>
        <v/>
      </c>
      <c r="G9307" s="18"/>
      <c r="H9307" s="16" t="s">
        <v>87</v>
      </c>
      <c r="I9307" s="16" t="s">
        <v>87</v>
      </c>
      <c r="J9307" s="19"/>
      <c r="L9307" s="16" t="str">
        <f>IFERROR(__xludf.DUMMYFUNCTION("""COMPUTED_VALUE"""),"")</f>
        <v/>
      </c>
      <c r="M9307" s="16" t="str">
        <f>IFERROR(__xludf.DUMMYFUNCTION("""COMPUTED_VALUE"""),"")</f>
        <v/>
      </c>
      <c r="U9307" s="16" t="s">
        <v>87</v>
      </c>
      <c r="V9307" s="16" t="str">
        <f>IFERROR(__xludf.DUMMYFUNCTION("""COMPUTED_VALUE"""),"")</f>
        <v/>
      </c>
      <c r="W9307" s="16" t="str">
        <f>IFERROR(__xludf.DUMMYFUNCTION("""COMPUTED_VALUE"""),"")</f>
        <v/>
      </c>
      <c r="X9307" s="16" t="str">
        <f>IFERROR(__xludf.DUMMYFUNCTION("""COMPUTED_VALUE"""),"")</f>
        <v/>
      </c>
      <c r="AC9307" s="16" t="str">
        <f>IFERROR(__xludf.DUMMYFUNCTION("""COMPUTED_VALUE"""),"")</f>
        <v/>
      </c>
    </row>
    <row r="9308">
      <c r="A9308" s="16" t="s">
        <v>87</v>
      </c>
      <c r="E9308" s="16" t="str">
        <f>IFERROR(__xludf.DUMMYFUNCTION("""COMPUTED_VALUE"""),"")</f>
        <v/>
      </c>
      <c r="G9308" s="18"/>
      <c r="H9308" s="16" t="s">
        <v>87</v>
      </c>
      <c r="I9308" s="16" t="s">
        <v>87</v>
      </c>
      <c r="J9308" s="19"/>
      <c r="L9308" s="16" t="str">
        <f>IFERROR(__xludf.DUMMYFUNCTION("""COMPUTED_VALUE"""),"")</f>
        <v/>
      </c>
      <c r="M9308" s="16" t="str">
        <f>IFERROR(__xludf.DUMMYFUNCTION("""COMPUTED_VALUE"""),"")</f>
        <v/>
      </c>
      <c r="U9308" s="16" t="s">
        <v>87</v>
      </c>
      <c r="V9308" s="16" t="str">
        <f>IFERROR(__xludf.DUMMYFUNCTION("""COMPUTED_VALUE"""),"")</f>
        <v/>
      </c>
      <c r="W9308" s="16" t="str">
        <f>IFERROR(__xludf.DUMMYFUNCTION("""COMPUTED_VALUE"""),"")</f>
        <v/>
      </c>
      <c r="X9308" s="16" t="str">
        <f>IFERROR(__xludf.DUMMYFUNCTION("""COMPUTED_VALUE"""),"")</f>
        <v/>
      </c>
      <c r="AC9308" s="16" t="str">
        <f>IFERROR(__xludf.DUMMYFUNCTION("""COMPUTED_VALUE"""),"")</f>
        <v/>
      </c>
    </row>
    <row r="9309">
      <c r="A9309" s="16" t="s">
        <v>87</v>
      </c>
      <c r="E9309" s="16" t="str">
        <f>IFERROR(__xludf.DUMMYFUNCTION("""COMPUTED_VALUE"""),"")</f>
        <v/>
      </c>
      <c r="G9309" s="18"/>
      <c r="H9309" s="16" t="s">
        <v>87</v>
      </c>
      <c r="I9309" s="16" t="s">
        <v>87</v>
      </c>
      <c r="J9309" s="19"/>
      <c r="L9309" s="16" t="str">
        <f>IFERROR(__xludf.DUMMYFUNCTION("""COMPUTED_VALUE"""),"")</f>
        <v/>
      </c>
      <c r="M9309" s="16" t="str">
        <f>IFERROR(__xludf.DUMMYFUNCTION("""COMPUTED_VALUE"""),"")</f>
        <v/>
      </c>
      <c r="U9309" s="16" t="s">
        <v>87</v>
      </c>
      <c r="V9309" s="16" t="str">
        <f>IFERROR(__xludf.DUMMYFUNCTION("""COMPUTED_VALUE"""),"")</f>
        <v/>
      </c>
      <c r="W9309" s="16" t="str">
        <f>IFERROR(__xludf.DUMMYFUNCTION("""COMPUTED_VALUE"""),"")</f>
        <v/>
      </c>
      <c r="X9309" s="16" t="str">
        <f>IFERROR(__xludf.DUMMYFUNCTION("""COMPUTED_VALUE"""),"")</f>
        <v/>
      </c>
      <c r="AC9309" s="16" t="str">
        <f>IFERROR(__xludf.DUMMYFUNCTION("""COMPUTED_VALUE"""),"")</f>
        <v/>
      </c>
    </row>
    <row r="9310">
      <c r="A9310" s="16" t="s">
        <v>87</v>
      </c>
      <c r="E9310" s="16" t="str">
        <f>IFERROR(__xludf.DUMMYFUNCTION("""COMPUTED_VALUE"""),"")</f>
        <v/>
      </c>
      <c r="G9310" s="18"/>
      <c r="H9310" s="16" t="s">
        <v>87</v>
      </c>
      <c r="I9310" s="16" t="s">
        <v>87</v>
      </c>
      <c r="J9310" s="19"/>
      <c r="L9310" s="16" t="str">
        <f>IFERROR(__xludf.DUMMYFUNCTION("""COMPUTED_VALUE"""),"")</f>
        <v/>
      </c>
      <c r="M9310" s="16" t="str">
        <f>IFERROR(__xludf.DUMMYFUNCTION("""COMPUTED_VALUE"""),"")</f>
        <v/>
      </c>
      <c r="U9310" s="16" t="s">
        <v>87</v>
      </c>
      <c r="V9310" s="16" t="str">
        <f>IFERROR(__xludf.DUMMYFUNCTION("""COMPUTED_VALUE"""),"")</f>
        <v/>
      </c>
      <c r="W9310" s="16" t="str">
        <f>IFERROR(__xludf.DUMMYFUNCTION("""COMPUTED_VALUE"""),"")</f>
        <v/>
      </c>
      <c r="X9310" s="16" t="str">
        <f>IFERROR(__xludf.DUMMYFUNCTION("""COMPUTED_VALUE"""),"")</f>
        <v/>
      </c>
      <c r="AC9310" s="16" t="str">
        <f>IFERROR(__xludf.DUMMYFUNCTION("""COMPUTED_VALUE"""),"")</f>
        <v/>
      </c>
    </row>
    <row r="9311">
      <c r="A9311" s="16" t="s">
        <v>87</v>
      </c>
      <c r="E9311" s="16" t="str">
        <f>IFERROR(__xludf.DUMMYFUNCTION("""COMPUTED_VALUE"""),"")</f>
        <v/>
      </c>
      <c r="G9311" s="18"/>
      <c r="H9311" s="16" t="s">
        <v>87</v>
      </c>
      <c r="I9311" s="16" t="s">
        <v>87</v>
      </c>
      <c r="J9311" s="19"/>
      <c r="L9311" s="16" t="str">
        <f>IFERROR(__xludf.DUMMYFUNCTION("""COMPUTED_VALUE"""),"")</f>
        <v/>
      </c>
      <c r="M9311" s="16" t="str">
        <f>IFERROR(__xludf.DUMMYFUNCTION("""COMPUTED_VALUE"""),"")</f>
        <v/>
      </c>
      <c r="U9311" s="16" t="s">
        <v>87</v>
      </c>
      <c r="V9311" s="16" t="str">
        <f>IFERROR(__xludf.DUMMYFUNCTION("""COMPUTED_VALUE"""),"")</f>
        <v/>
      </c>
      <c r="W9311" s="16" t="str">
        <f>IFERROR(__xludf.DUMMYFUNCTION("""COMPUTED_VALUE"""),"")</f>
        <v/>
      </c>
      <c r="X9311" s="16" t="str">
        <f>IFERROR(__xludf.DUMMYFUNCTION("""COMPUTED_VALUE"""),"")</f>
        <v/>
      </c>
      <c r="AC9311" s="16" t="str">
        <f>IFERROR(__xludf.DUMMYFUNCTION("""COMPUTED_VALUE"""),"")</f>
        <v/>
      </c>
    </row>
    <row r="9312">
      <c r="A9312" s="16" t="s">
        <v>87</v>
      </c>
      <c r="E9312" s="16" t="str">
        <f>IFERROR(__xludf.DUMMYFUNCTION("""COMPUTED_VALUE"""),"")</f>
        <v/>
      </c>
      <c r="G9312" s="18"/>
      <c r="H9312" s="16" t="s">
        <v>87</v>
      </c>
      <c r="I9312" s="16" t="s">
        <v>87</v>
      </c>
      <c r="J9312" s="19"/>
      <c r="L9312" s="16" t="str">
        <f>IFERROR(__xludf.DUMMYFUNCTION("""COMPUTED_VALUE"""),"")</f>
        <v/>
      </c>
      <c r="M9312" s="16" t="str">
        <f>IFERROR(__xludf.DUMMYFUNCTION("""COMPUTED_VALUE"""),"")</f>
        <v/>
      </c>
      <c r="U9312" s="16" t="s">
        <v>87</v>
      </c>
      <c r="V9312" s="16" t="str">
        <f>IFERROR(__xludf.DUMMYFUNCTION("""COMPUTED_VALUE"""),"")</f>
        <v/>
      </c>
      <c r="W9312" s="16" t="str">
        <f>IFERROR(__xludf.DUMMYFUNCTION("""COMPUTED_VALUE"""),"")</f>
        <v/>
      </c>
      <c r="X9312" s="16" t="str">
        <f>IFERROR(__xludf.DUMMYFUNCTION("""COMPUTED_VALUE"""),"")</f>
        <v/>
      </c>
      <c r="AC9312" s="16" t="str">
        <f>IFERROR(__xludf.DUMMYFUNCTION("""COMPUTED_VALUE"""),"")</f>
        <v/>
      </c>
    </row>
    <row r="9313">
      <c r="A9313" s="16" t="s">
        <v>87</v>
      </c>
      <c r="E9313" s="16" t="str">
        <f>IFERROR(__xludf.DUMMYFUNCTION("""COMPUTED_VALUE"""),"")</f>
        <v/>
      </c>
      <c r="G9313" s="18"/>
      <c r="H9313" s="16" t="s">
        <v>87</v>
      </c>
      <c r="I9313" s="16" t="s">
        <v>87</v>
      </c>
      <c r="J9313" s="19"/>
      <c r="L9313" s="16" t="str">
        <f>IFERROR(__xludf.DUMMYFUNCTION("""COMPUTED_VALUE"""),"")</f>
        <v/>
      </c>
      <c r="M9313" s="16" t="str">
        <f>IFERROR(__xludf.DUMMYFUNCTION("""COMPUTED_VALUE"""),"")</f>
        <v/>
      </c>
      <c r="U9313" s="16" t="s">
        <v>87</v>
      </c>
      <c r="V9313" s="16" t="str">
        <f>IFERROR(__xludf.DUMMYFUNCTION("""COMPUTED_VALUE"""),"")</f>
        <v/>
      </c>
      <c r="W9313" s="16" t="str">
        <f>IFERROR(__xludf.DUMMYFUNCTION("""COMPUTED_VALUE"""),"")</f>
        <v/>
      </c>
      <c r="X9313" s="16" t="str">
        <f>IFERROR(__xludf.DUMMYFUNCTION("""COMPUTED_VALUE"""),"")</f>
        <v/>
      </c>
      <c r="AC9313" s="16" t="str">
        <f>IFERROR(__xludf.DUMMYFUNCTION("""COMPUTED_VALUE"""),"")</f>
        <v/>
      </c>
    </row>
    <row r="9314">
      <c r="A9314" s="16" t="s">
        <v>87</v>
      </c>
      <c r="E9314" s="16" t="str">
        <f>IFERROR(__xludf.DUMMYFUNCTION("""COMPUTED_VALUE"""),"")</f>
        <v/>
      </c>
      <c r="G9314" s="18"/>
      <c r="H9314" s="16" t="s">
        <v>87</v>
      </c>
      <c r="I9314" s="16" t="s">
        <v>87</v>
      </c>
      <c r="J9314" s="19"/>
      <c r="L9314" s="16" t="str">
        <f>IFERROR(__xludf.DUMMYFUNCTION("""COMPUTED_VALUE"""),"")</f>
        <v/>
      </c>
      <c r="M9314" s="16" t="str">
        <f>IFERROR(__xludf.DUMMYFUNCTION("""COMPUTED_VALUE"""),"")</f>
        <v/>
      </c>
      <c r="U9314" s="16" t="s">
        <v>87</v>
      </c>
      <c r="V9314" s="16" t="str">
        <f>IFERROR(__xludf.DUMMYFUNCTION("""COMPUTED_VALUE"""),"")</f>
        <v/>
      </c>
      <c r="W9314" s="16" t="str">
        <f>IFERROR(__xludf.DUMMYFUNCTION("""COMPUTED_VALUE"""),"")</f>
        <v/>
      </c>
      <c r="X9314" s="16" t="str">
        <f>IFERROR(__xludf.DUMMYFUNCTION("""COMPUTED_VALUE"""),"")</f>
        <v/>
      </c>
      <c r="AC9314" s="16" t="str">
        <f>IFERROR(__xludf.DUMMYFUNCTION("""COMPUTED_VALUE"""),"")</f>
        <v/>
      </c>
    </row>
    <row r="9315">
      <c r="A9315" s="16" t="s">
        <v>87</v>
      </c>
      <c r="E9315" s="16" t="str">
        <f>IFERROR(__xludf.DUMMYFUNCTION("""COMPUTED_VALUE"""),"")</f>
        <v/>
      </c>
      <c r="G9315" s="18"/>
      <c r="H9315" s="16" t="s">
        <v>87</v>
      </c>
      <c r="I9315" s="16" t="s">
        <v>87</v>
      </c>
      <c r="J9315" s="19"/>
      <c r="L9315" s="16" t="str">
        <f>IFERROR(__xludf.DUMMYFUNCTION("""COMPUTED_VALUE"""),"")</f>
        <v/>
      </c>
      <c r="M9315" s="16" t="str">
        <f>IFERROR(__xludf.DUMMYFUNCTION("""COMPUTED_VALUE"""),"")</f>
        <v/>
      </c>
      <c r="U9315" s="16" t="s">
        <v>87</v>
      </c>
      <c r="V9315" s="16" t="str">
        <f>IFERROR(__xludf.DUMMYFUNCTION("""COMPUTED_VALUE"""),"")</f>
        <v/>
      </c>
      <c r="W9315" s="16" t="str">
        <f>IFERROR(__xludf.DUMMYFUNCTION("""COMPUTED_VALUE"""),"")</f>
        <v/>
      </c>
      <c r="X9315" s="16" t="str">
        <f>IFERROR(__xludf.DUMMYFUNCTION("""COMPUTED_VALUE"""),"")</f>
        <v/>
      </c>
      <c r="AC9315" s="16" t="str">
        <f>IFERROR(__xludf.DUMMYFUNCTION("""COMPUTED_VALUE"""),"")</f>
        <v/>
      </c>
    </row>
    <row r="9316">
      <c r="A9316" s="16" t="s">
        <v>87</v>
      </c>
      <c r="E9316" s="16" t="str">
        <f>IFERROR(__xludf.DUMMYFUNCTION("""COMPUTED_VALUE"""),"")</f>
        <v/>
      </c>
      <c r="G9316" s="18"/>
      <c r="H9316" s="16" t="s">
        <v>87</v>
      </c>
      <c r="I9316" s="16" t="s">
        <v>87</v>
      </c>
      <c r="J9316" s="19"/>
      <c r="L9316" s="16" t="str">
        <f>IFERROR(__xludf.DUMMYFUNCTION("""COMPUTED_VALUE"""),"")</f>
        <v/>
      </c>
      <c r="M9316" s="16" t="str">
        <f>IFERROR(__xludf.DUMMYFUNCTION("""COMPUTED_VALUE"""),"")</f>
        <v/>
      </c>
      <c r="U9316" s="16" t="s">
        <v>87</v>
      </c>
      <c r="V9316" s="16" t="str">
        <f>IFERROR(__xludf.DUMMYFUNCTION("""COMPUTED_VALUE"""),"")</f>
        <v/>
      </c>
      <c r="W9316" s="16" t="str">
        <f>IFERROR(__xludf.DUMMYFUNCTION("""COMPUTED_VALUE"""),"")</f>
        <v/>
      </c>
      <c r="X9316" s="16" t="str">
        <f>IFERROR(__xludf.DUMMYFUNCTION("""COMPUTED_VALUE"""),"")</f>
        <v/>
      </c>
      <c r="AC9316" s="16" t="str">
        <f>IFERROR(__xludf.DUMMYFUNCTION("""COMPUTED_VALUE"""),"")</f>
        <v/>
      </c>
    </row>
    <row r="9317">
      <c r="A9317" s="16" t="s">
        <v>87</v>
      </c>
      <c r="E9317" s="16" t="str">
        <f>IFERROR(__xludf.DUMMYFUNCTION("""COMPUTED_VALUE"""),"")</f>
        <v/>
      </c>
      <c r="G9317" s="18"/>
      <c r="H9317" s="16" t="s">
        <v>87</v>
      </c>
      <c r="I9317" s="16" t="s">
        <v>87</v>
      </c>
      <c r="J9317" s="19"/>
      <c r="L9317" s="16" t="str">
        <f>IFERROR(__xludf.DUMMYFUNCTION("""COMPUTED_VALUE"""),"")</f>
        <v/>
      </c>
      <c r="M9317" s="16" t="str">
        <f>IFERROR(__xludf.DUMMYFUNCTION("""COMPUTED_VALUE"""),"")</f>
        <v/>
      </c>
      <c r="U9317" s="16" t="s">
        <v>87</v>
      </c>
      <c r="V9317" s="16" t="str">
        <f>IFERROR(__xludf.DUMMYFUNCTION("""COMPUTED_VALUE"""),"")</f>
        <v/>
      </c>
      <c r="W9317" s="16" t="str">
        <f>IFERROR(__xludf.DUMMYFUNCTION("""COMPUTED_VALUE"""),"")</f>
        <v/>
      </c>
      <c r="X9317" s="16" t="str">
        <f>IFERROR(__xludf.DUMMYFUNCTION("""COMPUTED_VALUE"""),"")</f>
        <v/>
      </c>
      <c r="AC9317" s="16" t="str">
        <f>IFERROR(__xludf.DUMMYFUNCTION("""COMPUTED_VALUE"""),"")</f>
        <v/>
      </c>
    </row>
    <row r="9318">
      <c r="A9318" s="16" t="s">
        <v>87</v>
      </c>
      <c r="E9318" s="16" t="str">
        <f>IFERROR(__xludf.DUMMYFUNCTION("""COMPUTED_VALUE"""),"")</f>
        <v/>
      </c>
      <c r="G9318" s="18"/>
      <c r="H9318" s="16" t="s">
        <v>87</v>
      </c>
      <c r="I9318" s="16" t="s">
        <v>87</v>
      </c>
      <c r="J9318" s="19"/>
      <c r="L9318" s="16" t="str">
        <f>IFERROR(__xludf.DUMMYFUNCTION("""COMPUTED_VALUE"""),"")</f>
        <v/>
      </c>
      <c r="M9318" s="16" t="str">
        <f>IFERROR(__xludf.DUMMYFUNCTION("""COMPUTED_VALUE"""),"")</f>
        <v/>
      </c>
      <c r="U9318" s="16" t="s">
        <v>87</v>
      </c>
      <c r="V9318" s="16" t="str">
        <f>IFERROR(__xludf.DUMMYFUNCTION("""COMPUTED_VALUE"""),"")</f>
        <v/>
      </c>
      <c r="W9318" s="16" t="str">
        <f>IFERROR(__xludf.DUMMYFUNCTION("""COMPUTED_VALUE"""),"")</f>
        <v/>
      </c>
      <c r="X9318" s="16" t="str">
        <f>IFERROR(__xludf.DUMMYFUNCTION("""COMPUTED_VALUE"""),"")</f>
        <v/>
      </c>
      <c r="AC9318" s="16" t="str">
        <f>IFERROR(__xludf.DUMMYFUNCTION("""COMPUTED_VALUE"""),"")</f>
        <v/>
      </c>
    </row>
    <row r="9319">
      <c r="A9319" s="16" t="s">
        <v>87</v>
      </c>
      <c r="E9319" s="16" t="str">
        <f>IFERROR(__xludf.DUMMYFUNCTION("""COMPUTED_VALUE"""),"")</f>
        <v/>
      </c>
      <c r="G9319" s="18"/>
      <c r="H9319" s="16" t="s">
        <v>87</v>
      </c>
      <c r="I9319" s="16" t="s">
        <v>87</v>
      </c>
      <c r="J9319" s="19"/>
      <c r="L9319" s="16" t="str">
        <f>IFERROR(__xludf.DUMMYFUNCTION("""COMPUTED_VALUE"""),"")</f>
        <v/>
      </c>
      <c r="M9319" s="16" t="str">
        <f>IFERROR(__xludf.DUMMYFUNCTION("""COMPUTED_VALUE"""),"")</f>
        <v/>
      </c>
      <c r="U9319" s="16" t="s">
        <v>87</v>
      </c>
      <c r="V9319" s="16" t="str">
        <f>IFERROR(__xludf.DUMMYFUNCTION("""COMPUTED_VALUE"""),"")</f>
        <v/>
      </c>
      <c r="W9319" s="16" t="str">
        <f>IFERROR(__xludf.DUMMYFUNCTION("""COMPUTED_VALUE"""),"")</f>
        <v/>
      </c>
      <c r="X9319" s="16" t="str">
        <f>IFERROR(__xludf.DUMMYFUNCTION("""COMPUTED_VALUE"""),"")</f>
        <v/>
      </c>
      <c r="AC9319" s="16" t="str">
        <f>IFERROR(__xludf.DUMMYFUNCTION("""COMPUTED_VALUE"""),"")</f>
        <v/>
      </c>
    </row>
    <row r="9320">
      <c r="A9320" s="16" t="s">
        <v>87</v>
      </c>
      <c r="E9320" s="16" t="str">
        <f>IFERROR(__xludf.DUMMYFUNCTION("""COMPUTED_VALUE"""),"")</f>
        <v/>
      </c>
      <c r="G9320" s="18"/>
      <c r="H9320" s="16" t="s">
        <v>87</v>
      </c>
      <c r="I9320" s="16" t="s">
        <v>87</v>
      </c>
      <c r="J9320" s="19"/>
      <c r="L9320" s="16" t="str">
        <f>IFERROR(__xludf.DUMMYFUNCTION("""COMPUTED_VALUE"""),"")</f>
        <v/>
      </c>
      <c r="M9320" s="16" t="str">
        <f>IFERROR(__xludf.DUMMYFUNCTION("""COMPUTED_VALUE"""),"")</f>
        <v/>
      </c>
      <c r="U9320" s="16" t="s">
        <v>87</v>
      </c>
      <c r="V9320" s="16" t="str">
        <f>IFERROR(__xludf.DUMMYFUNCTION("""COMPUTED_VALUE"""),"")</f>
        <v/>
      </c>
      <c r="W9320" s="16" t="str">
        <f>IFERROR(__xludf.DUMMYFUNCTION("""COMPUTED_VALUE"""),"")</f>
        <v/>
      </c>
      <c r="X9320" s="16" t="str">
        <f>IFERROR(__xludf.DUMMYFUNCTION("""COMPUTED_VALUE"""),"")</f>
        <v/>
      </c>
      <c r="AC9320" s="16" t="str">
        <f>IFERROR(__xludf.DUMMYFUNCTION("""COMPUTED_VALUE"""),"")</f>
        <v/>
      </c>
    </row>
    <row r="9321">
      <c r="A9321" s="16" t="s">
        <v>87</v>
      </c>
      <c r="E9321" s="16" t="str">
        <f>IFERROR(__xludf.DUMMYFUNCTION("""COMPUTED_VALUE"""),"")</f>
        <v/>
      </c>
      <c r="G9321" s="18"/>
      <c r="H9321" s="16" t="s">
        <v>87</v>
      </c>
      <c r="I9321" s="16" t="s">
        <v>87</v>
      </c>
      <c r="J9321" s="19"/>
      <c r="L9321" s="16" t="str">
        <f>IFERROR(__xludf.DUMMYFUNCTION("""COMPUTED_VALUE"""),"")</f>
        <v/>
      </c>
      <c r="M9321" s="16" t="str">
        <f>IFERROR(__xludf.DUMMYFUNCTION("""COMPUTED_VALUE"""),"")</f>
        <v/>
      </c>
      <c r="U9321" s="16" t="s">
        <v>87</v>
      </c>
      <c r="V9321" s="16" t="str">
        <f>IFERROR(__xludf.DUMMYFUNCTION("""COMPUTED_VALUE"""),"")</f>
        <v/>
      </c>
      <c r="W9321" s="16" t="str">
        <f>IFERROR(__xludf.DUMMYFUNCTION("""COMPUTED_VALUE"""),"")</f>
        <v/>
      </c>
      <c r="X9321" s="16" t="str">
        <f>IFERROR(__xludf.DUMMYFUNCTION("""COMPUTED_VALUE"""),"")</f>
        <v/>
      </c>
      <c r="AC9321" s="16" t="str">
        <f>IFERROR(__xludf.DUMMYFUNCTION("""COMPUTED_VALUE"""),"")</f>
        <v/>
      </c>
    </row>
    <row r="9322">
      <c r="A9322" s="16" t="s">
        <v>87</v>
      </c>
      <c r="E9322" s="16" t="str">
        <f>IFERROR(__xludf.DUMMYFUNCTION("""COMPUTED_VALUE"""),"")</f>
        <v/>
      </c>
      <c r="G9322" s="18"/>
      <c r="H9322" s="16" t="s">
        <v>87</v>
      </c>
      <c r="I9322" s="16" t="s">
        <v>87</v>
      </c>
      <c r="J9322" s="19"/>
      <c r="L9322" s="16" t="str">
        <f>IFERROR(__xludf.DUMMYFUNCTION("""COMPUTED_VALUE"""),"")</f>
        <v/>
      </c>
      <c r="M9322" s="16" t="str">
        <f>IFERROR(__xludf.DUMMYFUNCTION("""COMPUTED_VALUE"""),"")</f>
        <v/>
      </c>
      <c r="U9322" s="16" t="s">
        <v>87</v>
      </c>
      <c r="V9322" s="16" t="str">
        <f>IFERROR(__xludf.DUMMYFUNCTION("""COMPUTED_VALUE"""),"")</f>
        <v/>
      </c>
      <c r="W9322" s="16" t="str">
        <f>IFERROR(__xludf.DUMMYFUNCTION("""COMPUTED_VALUE"""),"")</f>
        <v/>
      </c>
      <c r="X9322" s="16" t="str">
        <f>IFERROR(__xludf.DUMMYFUNCTION("""COMPUTED_VALUE"""),"")</f>
        <v/>
      </c>
      <c r="AC9322" s="16" t="str">
        <f>IFERROR(__xludf.DUMMYFUNCTION("""COMPUTED_VALUE"""),"")</f>
        <v/>
      </c>
    </row>
    <row r="9323">
      <c r="A9323" s="16" t="s">
        <v>87</v>
      </c>
      <c r="E9323" s="16" t="str">
        <f>IFERROR(__xludf.DUMMYFUNCTION("""COMPUTED_VALUE"""),"")</f>
        <v/>
      </c>
      <c r="G9323" s="18"/>
      <c r="H9323" s="16" t="s">
        <v>87</v>
      </c>
      <c r="I9323" s="16" t="s">
        <v>87</v>
      </c>
      <c r="J9323" s="19"/>
      <c r="L9323" s="16" t="str">
        <f>IFERROR(__xludf.DUMMYFUNCTION("""COMPUTED_VALUE"""),"")</f>
        <v/>
      </c>
      <c r="M9323" s="16" t="str">
        <f>IFERROR(__xludf.DUMMYFUNCTION("""COMPUTED_VALUE"""),"")</f>
        <v/>
      </c>
      <c r="U9323" s="16" t="s">
        <v>87</v>
      </c>
      <c r="V9323" s="16" t="str">
        <f>IFERROR(__xludf.DUMMYFUNCTION("""COMPUTED_VALUE"""),"")</f>
        <v/>
      </c>
      <c r="W9323" s="16" t="str">
        <f>IFERROR(__xludf.DUMMYFUNCTION("""COMPUTED_VALUE"""),"")</f>
        <v/>
      </c>
      <c r="X9323" s="16" t="str">
        <f>IFERROR(__xludf.DUMMYFUNCTION("""COMPUTED_VALUE"""),"")</f>
        <v/>
      </c>
      <c r="AC9323" s="16" t="str">
        <f>IFERROR(__xludf.DUMMYFUNCTION("""COMPUTED_VALUE"""),"")</f>
        <v/>
      </c>
    </row>
    <row r="9324">
      <c r="A9324" s="16" t="s">
        <v>87</v>
      </c>
      <c r="E9324" s="16" t="str">
        <f>IFERROR(__xludf.DUMMYFUNCTION("""COMPUTED_VALUE"""),"")</f>
        <v/>
      </c>
      <c r="G9324" s="18"/>
      <c r="H9324" s="16" t="s">
        <v>87</v>
      </c>
      <c r="I9324" s="16" t="s">
        <v>87</v>
      </c>
      <c r="J9324" s="19"/>
      <c r="L9324" s="16" t="str">
        <f>IFERROR(__xludf.DUMMYFUNCTION("""COMPUTED_VALUE"""),"")</f>
        <v/>
      </c>
      <c r="M9324" s="16" t="str">
        <f>IFERROR(__xludf.DUMMYFUNCTION("""COMPUTED_VALUE"""),"")</f>
        <v/>
      </c>
      <c r="U9324" s="16" t="s">
        <v>87</v>
      </c>
      <c r="V9324" s="16" t="str">
        <f>IFERROR(__xludf.DUMMYFUNCTION("""COMPUTED_VALUE"""),"")</f>
        <v/>
      </c>
      <c r="W9324" s="16" t="str">
        <f>IFERROR(__xludf.DUMMYFUNCTION("""COMPUTED_VALUE"""),"")</f>
        <v/>
      </c>
      <c r="X9324" s="16" t="str">
        <f>IFERROR(__xludf.DUMMYFUNCTION("""COMPUTED_VALUE"""),"")</f>
        <v/>
      </c>
      <c r="AC9324" s="16" t="str">
        <f>IFERROR(__xludf.DUMMYFUNCTION("""COMPUTED_VALUE"""),"")</f>
        <v/>
      </c>
    </row>
    <row r="9325">
      <c r="A9325" s="16" t="s">
        <v>87</v>
      </c>
      <c r="E9325" s="16" t="str">
        <f>IFERROR(__xludf.DUMMYFUNCTION("""COMPUTED_VALUE"""),"")</f>
        <v/>
      </c>
      <c r="G9325" s="18"/>
      <c r="H9325" s="16" t="s">
        <v>87</v>
      </c>
      <c r="I9325" s="16" t="s">
        <v>87</v>
      </c>
      <c r="J9325" s="19"/>
      <c r="L9325" s="16" t="str">
        <f>IFERROR(__xludf.DUMMYFUNCTION("""COMPUTED_VALUE"""),"")</f>
        <v/>
      </c>
      <c r="M9325" s="16" t="str">
        <f>IFERROR(__xludf.DUMMYFUNCTION("""COMPUTED_VALUE"""),"")</f>
        <v/>
      </c>
      <c r="U9325" s="16" t="s">
        <v>87</v>
      </c>
      <c r="V9325" s="16" t="str">
        <f>IFERROR(__xludf.DUMMYFUNCTION("""COMPUTED_VALUE"""),"")</f>
        <v/>
      </c>
      <c r="W9325" s="16" t="str">
        <f>IFERROR(__xludf.DUMMYFUNCTION("""COMPUTED_VALUE"""),"")</f>
        <v/>
      </c>
      <c r="X9325" s="16" t="str">
        <f>IFERROR(__xludf.DUMMYFUNCTION("""COMPUTED_VALUE"""),"")</f>
        <v/>
      </c>
      <c r="AC9325" s="16" t="str">
        <f>IFERROR(__xludf.DUMMYFUNCTION("""COMPUTED_VALUE"""),"")</f>
        <v/>
      </c>
    </row>
    <row r="9326">
      <c r="A9326" s="16" t="s">
        <v>87</v>
      </c>
      <c r="E9326" s="16" t="str">
        <f>IFERROR(__xludf.DUMMYFUNCTION("""COMPUTED_VALUE"""),"")</f>
        <v/>
      </c>
      <c r="G9326" s="18"/>
      <c r="H9326" s="16" t="s">
        <v>87</v>
      </c>
      <c r="I9326" s="16" t="s">
        <v>87</v>
      </c>
      <c r="J9326" s="19"/>
      <c r="L9326" s="16" t="str">
        <f>IFERROR(__xludf.DUMMYFUNCTION("""COMPUTED_VALUE"""),"")</f>
        <v/>
      </c>
      <c r="M9326" s="16" t="str">
        <f>IFERROR(__xludf.DUMMYFUNCTION("""COMPUTED_VALUE"""),"")</f>
        <v/>
      </c>
      <c r="U9326" s="16" t="s">
        <v>87</v>
      </c>
      <c r="V9326" s="16" t="str">
        <f>IFERROR(__xludf.DUMMYFUNCTION("""COMPUTED_VALUE"""),"")</f>
        <v/>
      </c>
      <c r="W9326" s="16" t="str">
        <f>IFERROR(__xludf.DUMMYFUNCTION("""COMPUTED_VALUE"""),"")</f>
        <v/>
      </c>
      <c r="X9326" s="16" t="str">
        <f>IFERROR(__xludf.DUMMYFUNCTION("""COMPUTED_VALUE"""),"")</f>
        <v/>
      </c>
      <c r="AC9326" s="16" t="str">
        <f>IFERROR(__xludf.DUMMYFUNCTION("""COMPUTED_VALUE"""),"")</f>
        <v/>
      </c>
    </row>
    <row r="9327">
      <c r="A9327" s="16" t="s">
        <v>87</v>
      </c>
      <c r="E9327" s="16" t="str">
        <f>IFERROR(__xludf.DUMMYFUNCTION("""COMPUTED_VALUE"""),"")</f>
        <v/>
      </c>
      <c r="G9327" s="18"/>
      <c r="H9327" s="16" t="s">
        <v>87</v>
      </c>
      <c r="I9327" s="16" t="s">
        <v>87</v>
      </c>
      <c r="J9327" s="19"/>
      <c r="L9327" s="16" t="str">
        <f>IFERROR(__xludf.DUMMYFUNCTION("""COMPUTED_VALUE"""),"")</f>
        <v/>
      </c>
      <c r="M9327" s="16" t="str">
        <f>IFERROR(__xludf.DUMMYFUNCTION("""COMPUTED_VALUE"""),"")</f>
        <v/>
      </c>
      <c r="U9327" s="16" t="s">
        <v>87</v>
      </c>
      <c r="V9327" s="16" t="str">
        <f>IFERROR(__xludf.DUMMYFUNCTION("""COMPUTED_VALUE"""),"")</f>
        <v/>
      </c>
      <c r="W9327" s="16" t="str">
        <f>IFERROR(__xludf.DUMMYFUNCTION("""COMPUTED_VALUE"""),"")</f>
        <v/>
      </c>
      <c r="X9327" s="16" t="str">
        <f>IFERROR(__xludf.DUMMYFUNCTION("""COMPUTED_VALUE"""),"")</f>
        <v/>
      </c>
      <c r="AC9327" s="16" t="str">
        <f>IFERROR(__xludf.DUMMYFUNCTION("""COMPUTED_VALUE"""),"")</f>
        <v/>
      </c>
    </row>
    <row r="9328">
      <c r="A9328" s="16" t="s">
        <v>87</v>
      </c>
      <c r="E9328" s="16" t="str">
        <f>IFERROR(__xludf.DUMMYFUNCTION("""COMPUTED_VALUE"""),"")</f>
        <v/>
      </c>
      <c r="G9328" s="18"/>
      <c r="H9328" s="16" t="s">
        <v>87</v>
      </c>
      <c r="I9328" s="16" t="s">
        <v>87</v>
      </c>
      <c r="J9328" s="19"/>
      <c r="L9328" s="16" t="str">
        <f>IFERROR(__xludf.DUMMYFUNCTION("""COMPUTED_VALUE"""),"")</f>
        <v/>
      </c>
      <c r="M9328" s="16" t="str">
        <f>IFERROR(__xludf.DUMMYFUNCTION("""COMPUTED_VALUE"""),"")</f>
        <v/>
      </c>
      <c r="U9328" s="16" t="s">
        <v>87</v>
      </c>
      <c r="V9328" s="16" t="str">
        <f>IFERROR(__xludf.DUMMYFUNCTION("""COMPUTED_VALUE"""),"")</f>
        <v/>
      </c>
      <c r="W9328" s="16" t="str">
        <f>IFERROR(__xludf.DUMMYFUNCTION("""COMPUTED_VALUE"""),"")</f>
        <v/>
      </c>
      <c r="X9328" s="16" t="str">
        <f>IFERROR(__xludf.DUMMYFUNCTION("""COMPUTED_VALUE"""),"")</f>
        <v/>
      </c>
      <c r="AC9328" s="16" t="str">
        <f>IFERROR(__xludf.DUMMYFUNCTION("""COMPUTED_VALUE"""),"")</f>
        <v/>
      </c>
    </row>
    <row r="9329">
      <c r="A9329" s="16" t="s">
        <v>87</v>
      </c>
      <c r="E9329" s="16" t="str">
        <f>IFERROR(__xludf.DUMMYFUNCTION("""COMPUTED_VALUE"""),"")</f>
        <v/>
      </c>
      <c r="G9329" s="18"/>
      <c r="H9329" s="16" t="s">
        <v>87</v>
      </c>
      <c r="I9329" s="16" t="s">
        <v>87</v>
      </c>
      <c r="J9329" s="19"/>
      <c r="L9329" s="16" t="str">
        <f>IFERROR(__xludf.DUMMYFUNCTION("""COMPUTED_VALUE"""),"")</f>
        <v/>
      </c>
      <c r="M9329" s="16" t="str">
        <f>IFERROR(__xludf.DUMMYFUNCTION("""COMPUTED_VALUE"""),"")</f>
        <v/>
      </c>
      <c r="U9329" s="16" t="s">
        <v>87</v>
      </c>
      <c r="V9329" s="16" t="str">
        <f>IFERROR(__xludf.DUMMYFUNCTION("""COMPUTED_VALUE"""),"")</f>
        <v/>
      </c>
      <c r="W9329" s="16" t="str">
        <f>IFERROR(__xludf.DUMMYFUNCTION("""COMPUTED_VALUE"""),"")</f>
        <v/>
      </c>
      <c r="X9329" s="16" t="str">
        <f>IFERROR(__xludf.DUMMYFUNCTION("""COMPUTED_VALUE"""),"")</f>
        <v/>
      </c>
      <c r="AC9329" s="16" t="str">
        <f>IFERROR(__xludf.DUMMYFUNCTION("""COMPUTED_VALUE"""),"")</f>
        <v/>
      </c>
    </row>
    <row r="9330">
      <c r="A9330" s="16" t="s">
        <v>87</v>
      </c>
      <c r="E9330" s="16" t="str">
        <f>IFERROR(__xludf.DUMMYFUNCTION("""COMPUTED_VALUE"""),"")</f>
        <v/>
      </c>
      <c r="G9330" s="18"/>
      <c r="H9330" s="16" t="s">
        <v>87</v>
      </c>
      <c r="I9330" s="16" t="s">
        <v>87</v>
      </c>
      <c r="J9330" s="19"/>
      <c r="L9330" s="16" t="str">
        <f>IFERROR(__xludf.DUMMYFUNCTION("""COMPUTED_VALUE"""),"")</f>
        <v/>
      </c>
      <c r="M9330" s="16" t="str">
        <f>IFERROR(__xludf.DUMMYFUNCTION("""COMPUTED_VALUE"""),"")</f>
        <v/>
      </c>
      <c r="U9330" s="16" t="s">
        <v>87</v>
      </c>
      <c r="V9330" s="16" t="str">
        <f>IFERROR(__xludf.DUMMYFUNCTION("""COMPUTED_VALUE"""),"")</f>
        <v/>
      </c>
      <c r="W9330" s="16" t="str">
        <f>IFERROR(__xludf.DUMMYFUNCTION("""COMPUTED_VALUE"""),"")</f>
        <v/>
      </c>
      <c r="X9330" s="16" t="str">
        <f>IFERROR(__xludf.DUMMYFUNCTION("""COMPUTED_VALUE"""),"")</f>
        <v/>
      </c>
      <c r="AC9330" s="16" t="str">
        <f>IFERROR(__xludf.DUMMYFUNCTION("""COMPUTED_VALUE"""),"")</f>
        <v/>
      </c>
    </row>
    <row r="9331">
      <c r="A9331" s="16" t="s">
        <v>87</v>
      </c>
      <c r="E9331" s="16" t="str">
        <f>IFERROR(__xludf.DUMMYFUNCTION("""COMPUTED_VALUE"""),"")</f>
        <v/>
      </c>
      <c r="G9331" s="18"/>
      <c r="H9331" s="16" t="s">
        <v>87</v>
      </c>
      <c r="I9331" s="16" t="s">
        <v>87</v>
      </c>
      <c r="J9331" s="19"/>
      <c r="L9331" s="16" t="str">
        <f>IFERROR(__xludf.DUMMYFUNCTION("""COMPUTED_VALUE"""),"")</f>
        <v/>
      </c>
      <c r="M9331" s="16" t="str">
        <f>IFERROR(__xludf.DUMMYFUNCTION("""COMPUTED_VALUE"""),"")</f>
        <v/>
      </c>
      <c r="U9331" s="16" t="s">
        <v>87</v>
      </c>
      <c r="V9331" s="16" t="str">
        <f>IFERROR(__xludf.DUMMYFUNCTION("""COMPUTED_VALUE"""),"")</f>
        <v/>
      </c>
      <c r="W9331" s="16" t="str">
        <f>IFERROR(__xludf.DUMMYFUNCTION("""COMPUTED_VALUE"""),"")</f>
        <v/>
      </c>
      <c r="X9331" s="16" t="str">
        <f>IFERROR(__xludf.DUMMYFUNCTION("""COMPUTED_VALUE"""),"")</f>
        <v/>
      </c>
      <c r="AC9331" s="16" t="str">
        <f>IFERROR(__xludf.DUMMYFUNCTION("""COMPUTED_VALUE"""),"")</f>
        <v/>
      </c>
    </row>
    <row r="9332">
      <c r="A9332" s="16" t="s">
        <v>87</v>
      </c>
      <c r="E9332" s="16" t="str">
        <f>IFERROR(__xludf.DUMMYFUNCTION("""COMPUTED_VALUE"""),"")</f>
        <v/>
      </c>
      <c r="G9332" s="18"/>
      <c r="H9332" s="16" t="s">
        <v>87</v>
      </c>
      <c r="I9332" s="16" t="s">
        <v>87</v>
      </c>
      <c r="J9332" s="19"/>
      <c r="L9332" s="16" t="str">
        <f>IFERROR(__xludf.DUMMYFUNCTION("""COMPUTED_VALUE"""),"")</f>
        <v/>
      </c>
      <c r="M9332" s="16" t="str">
        <f>IFERROR(__xludf.DUMMYFUNCTION("""COMPUTED_VALUE"""),"")</f>
        <v/>
      </c>
      <c r="U9332" s="16" t="s">
        <v>87</v>
      </c>
      <c r="V9332" s="16" t="str">
        <f>IFERROR(__xludf.DUMMYFUNCTION("""COMPUTED_VALUE"""),"")</f>
        <v/>
      </c>
      <c r="W9332" s="16" t="str">
        <f>IFERROR(__xludf.DUMMYFUNCTION("""COMPUTED_VALUE"""),"")</f>
        <v/>
      </c>
      <c r="X9332" s="16" t="str">
        <f>IFERROR(__xludf.DUMMYFUNCTION("""COMPUTED_VALUE"""),"")</f>
        <v/>
      </c>
      <c r="AC9332" s="16" t="str">
        <f>IFERROR(__xludf.DUMMYFUNCTION("""COMPUTED_VALUE"""),"")</f>
        <v/>
      </c>
    </row>
    <row r="9333">
      <c r="A9333" s="16" t="s">
        <v>87</v>
      </c>
      <c r="E9333" s="16" t="str">
        <f>IFERROR(__xludf.DUMMYFUNCTION("""COMPUTED_VALUE"""),"")</f>
        <v/>
      </c>
      <c r="G9333" s="18"/>
      <c r="H9333" s="16" t="s">
        <v>87</v>
      </c>
      <c r="I9333" s="16" t="s">
        <v>87</v>
      </c>
      <c r="J9333" s="19"/>
      <c r="L9333" s="16" t="str">
        <f>IFERROR(__xludf.DUMMYFUNCTION("""COMPUTED_VALUE"""),"")</f>
        <v/>
      </c>
      <c r="M9333" s="16" t="str">
        <f>IFERROR(__xludf.DUMMYFUNCTION("""COMPUTED_VALUE"""),"")</f>
        <v/>
      </c>
      <c r="U9333" s="16" t="s">
        <v>87</v>
      </c>
      <c r="V9333" s="16" t="str">
        <f>IFERROR(__xludf.DUMMYFUNCTION("""COMPUTED_VALUE"""),"")</f>
        <v/>
      </c>
      <c r="W9333" s="16" t="str">
        <f>IFERROR(__xludf.DUMMYFUNCTION("""COMPUTED_VALUE"""),"")</f>
        <v/>
      </c>
      <c r="X9333" s="16" t="str">
        <f>IFERROR(__xludf.DUMMYFUNCTION("""COMPUTED_VALUE"""),"")</f>
        <v/>
      </c>
      <c r="AC9333" s="16" t="str">
        <f>IFERROR(__xludf.DUMMYFUNCTION("""COMPUTED_VALUE"""),"")</f>
        <v/>
      </c>
    </row>
    <row r="9334">
      <c r="A9334" s="16" t="s">
        <v>87</v>
      </c>
      <c r="E9334" s="16" t="str">
        <f>IFERROR(__xludf.DUMMYFUNCTION("""COMPUTED_VALUE"""),"")</f>
        <v/>
      </c>
      <c r="G9334" s="18"/>
      <c r="H9334" s="16" t="s">
        <v>87</v>
      </c>
      <c r="I9334" s="16" t="s">
        <v>87</v>
      </c>
      <c r="J9334" s="19"/>
      <c r="L9334" s="16" t="str">
        <f>IFERROR(__xludf.DUMMYFUNCTION("""COMPUTED_VALUE"""),"")</f>
        <v/>
      </c>
      <c r="M9334" s="16" t="str">
        <f>IFERROR(__xludf.DUMMYFUNCTION("""COMPUTED_VALUE"""),"")</f>
        <v/>
      </c>
      <c r="U9334" s="16" t="s">
        <v>87</v>
      </c>
      <c r="V9334" s="16" t="str">
        <f>IFERROR(__xludf.DUMMYFUNCTION("""COMPUTED_VALUE"""),"")</f>
        <v/>
      </c>
      <c r="W9334" s="16" t="str">
        <f>IFERROR(__xludf.DUMMYFUNCTION("""COMPUTED_VALUE"""),"")</f>
        <v/>
      </c>
      <c r="X9334" s="16" t="str">
        <f>IFERROR(__xludf.DUMMYFUNCTION("""COMPUTED_VALUE"""),"")</f>
        <v/>
      </c>
      <c r="AC9334" s="16" t="str">
        <f>IFERROR(__xludf.DUMMYFUNCTION("""COMPUTED_VALUE"""),"")</f>
        <v/>
      </c>
    </row>
    <row r="9335">
      <c r="A9335" s="16" t="s">
        <v>87</v>
      </c>
      <c r="E9335" s="16" t="str">
        <f>IFERROR(__xludf.DUMMYFUNCTION("""COMPUTED_VALUE"""),"")</f>
        <v/>
      </c>
      <c r="G9335" s="18"/>
      <c r="H9335" s="16" t="s">
        <v>87</v>
      </c>
      <c r="I9335" s="16" t="s">
        <v>87</v>
      </c>
      <c r="J9335" s="19"/>
      <c r="L9335" s="16" t="str">
        <f>IFERROR(__xludf.DUMMYFUNCTION("""COMPUTED_VALUE"""),"")</f>
        <v/>
      </c>
      <c r="M9335" s="16" t="str">
        <f>IFERROR(__xludf.DUMMYFUNCTION("""COMPUTED_VALUE"""),"")</f>
        <v/>
      </c>
      <c r="U9335" s="16" t="s">
        <v>87</v>
      </c>
      <c r="V9335" s="16" t="str">
        <f>IFERROR(__xludf.DUMMYFUNCTION("""COMPUTED_VALUE"""),"")</f>
        <v/>
      </c>
      <c r="W9335" s="16" t="str">
        <f>IFERROR(__xludf.DUMMYFUNCTION("""COMPUTED_VALUE"""),"")</f>
        <v/>
      </c>
      <c r="X9335" s="16" t="str">
        <f>IFERROR(__xludf.DUMMYFUNCTION("""COMPUTED_VALUE"""),"")</f>
        <v/>
      </c>
      <c r="AC9335" s="16" t="str">
        <f>IFERROR(__xludf.DUMMYFUNCTION("""COMPUTED_VALUE"""),"")</f>
        <v/>
      </c>
    </row>
    <row r="9336">
      <c r="A9336" s="16" t="s">
        <v>87</v>
      </c>
      <c r="E9336" s="16" t="str">
        <f>IFERROR(__xludf.DUMMYFUNCTION("""COMPUTED_VALUE"""),"")</f>
        <v/>
      </c>
      <c r="G9336" s="18"/>
      <c r="H9336" s="16" t="s">
        <v>87</v>
      </c>
      <c r="I9336" s="16" t="s">
        <v>87</v>
      </c>
      <c r="J9336" s="19"/>
      <c r="L9336" s="16" t="str">
        <f>IFERROR(__xludf.DUMMYFUNCTION("""COMPUTED_VALUE"""),"")</f>
        <v/>
      </c>
      <c r="M9336" s="16" t="str">
        <f>IFERROR(__xludf.DUMMYFUNCTION("""COMPUTED_VALUE"""),"")</f>
        <v/>
      </c>
      <c r="U9336" s="16" t="s">
        <v>87</v>
      </c>
      <c r="V9336" s="16" t="str">
        <f>IFERROR(__xludf.DUMMYFUNCTION("""COMPUTED_VALUE"""),"")</f>
        <v/>
      </c>
      <c r="W9336" s="16" t="str">
        <f>IFERROR(__xludf.DUMMYFUNCTION("""COMPUTED_VALUE"""),"")</f>
        <v/>
      </c>
      <c r="X9336" s="16" t="str">
        <f>IFERROR(__xludf.DUMMYFUNCTION("""COMPUTED_VALUE"""),"")</f>
        <v/>
      </c>
      <c r="AC9336" s="16" t="str">
        <f>IFERROR(__xludf.DUMMYFUNCTION("""COMPUTED_VALUE"""),"")</f>
        <v/>
      </c>
    </row>
    <row r="9337">
      <c r="A9337" s="16" t="s">
        <v>87</v>
      </c>
      <c r="E9337" s="16" t="str">
        <f>IFERROR(__xludf.DUMMYFUNCTION("""COMPUTED_VALUE"""),"")</f>
        <v/>
      </c>
      <c r="G9337" s="18"/>
      <c r="H9337" s="16" t="s">
        <v>87</v>
      </c>
      <c r="I9337" s="16" t="s">
        <v>87</v>
      </c>
      <c r="J9337" s="19"/>
      <c r="L9337" s="16" t="str">
        <f>IFERROR(__xludf.DUMMYFUNCTION("""COMPUTED_VALUE"""),"")</f>
        <v/>
      </c>
      <c r="M9337" s="16" t="str">
        <f>IFERROR(__xludf.DUMMYFUNCTION("""COMPUTED_VALUE"""),"")</f>
        <v/>
      </c>
      <c r="U9337" s="16" t="s">
        <v>87</v>
      </c>
      <c r="V9337" s="16" t="str">
        <f>IFERROR(__xludf.DUMMYFUNCTION("""COMPUTED_VALUE"""),"")</f>
        <v/>
      </c>
      <c r="W9337" s="16" t="str">
        <f>IFERROR(__xludf.DUMMYFUNCTION("""COMPUTED_VALUE"""),"")</f>
        <v/>
      </c>
      <c r="X9337" s="16" t="str">
        <f>IFERROR(__xludf.DUMMYFUNCTION("""COMPUTED_VALUE"""),"")</f>
        <v/>
      </c>
      <c r="AC9337" s="16" t="str">
        <f>IFERROR(__xludf.DUMMYFUNCTION("""COMPUTED_VALUE"""),"")</f>
        <v/>
      </c>
    </row>
    <row r="9338">
      <c r="A9338" s="16" t="s">
        <v>87</v>
      </c>
      <c r="E9338" s="16" t="str">
        <f>IFERROR(__xludf.DUMMYFUNCTION("""COMPUTED_VALUE"""),"")</f>
        <v/>
      </c>
      <c r="G9338" s="18"/>
      <c r="H9338" s="16" t="s">
        <v>87</v>
      </c>
      <c r="I9338" s="16" t="s">
        <v>87</v>
      </c>
      <c r="J9338" s="19"/>
      <c r="L9338" s="16" t="str">
        <f>IFERROR(__xludf.DUMMYFUNCTION("""COMPUTED_VALUE"""),"")</f>
        <v/>
      </c>
      <c r="M9338" s="16" t="str">
        <f>IFERROR(__xludf.DUMMYFUNCTION("""COMPUTED_VALUE"""),"")</f>
        <v/>
      </c>
      <c r="U9338" s="16" t="s">
        <v>87</v>
      </c>
      <c r="V9338" s="16" t="str">
        <f>IFERROR(__xludf.DUMMYFUNCTION("""COMPUTED_VALUE"""),"")</f>
        <v/>
      </c>
      <c r="W9338" s="16" t="str">
        <f>IFERROR(__xludf.DUMMYFUNCTION("""COMPUTED_VALUE"""),"")</f>
        <v/>
      </c>
      <c r="X9338" s="16" t="str">
        <f>IFERROR(__xludf.DUMMYFUNCTION("""COMPUTED_VALUE"""),"")</f>
        <v/>
      </c>
      <c r="AC9338" s="16" t="str">
        <f>IFERROR(__xludf.DUMMYFUNCTION("""COMPUTED_VALUE"""),"")</f>
        <v/>
      </c>
    </row>
    <row r="9339">
      <c r="A9339" s="16" t="s">
        <v>87</v>
      </c>
      <c r="E9339" s="16" t="str">
        <f>IFERROR(__xludf.DUMMYFUNCTION("""COMPUTED_VALUE"""),"")</f>
        <v/>
      </c>
      <c r="G9339" s="18"/>
      <c r="H9339" s="16" t="s">
        <v>87</v>
      </c>
      <c r="I9339" s="16" t="s">
        <v>87</v>
      </c>
      <c r="J9339" s="19"/>
      <c r="L9339" s="16" t="str">
        <f>IFERROR(__xludf.DUMMYFUNCTION("""COMPUTED_VALUE"""),"")</f>
        <v/>
      </c>
      <c r="M9339" s="16" t="str">
        <f>IFERROR(__xludf.DUMMYFUNCTION("""COMPUTED_VALUE"""),"")</f>
        <v/>
      </c>
      <c r="U9339" s="16" t="s">
        <v>87</v>
      </c>
      <c r="V9339" s="16" t="str">
        <f>IFERROR(__xludf.DUMMYFUNCTION("""COMPUTED_VALUE"""),"")</f>
        <v/>
      </c>
      <c r="W9339" s="16" t="str">
        <f>IFERROR(__xludf.DUMMYFUNCTION("""COMPUTED_VALUE"""),"")</f>
        <v/>
      </c>
      <c r="X9339" s="16" t="str">
        <f>IFERROR(__xludf.DUMMYFUNCTION("""COMPUTED_VALUE"""),"")</f>
        <v/>
      </c>
      <c r="AC9339" s="16" t="str">
        <f>IFERROR(__xludf.DUMMYFUNCTION("""COMPUTED_VALUE"""),"")</f>
        <v/>
      </c>
    </row>
    <row r="9340">
      <c r="A9340" s="16" t="s">
        <v>87</v>
      </c>
      <c r="E9340" s="16" t="str">
        <f>IFERROR(__xludf.DUMMYFUNCTION("""COMPUTED_VALUE"""),"")</f>
        <v/>
      </c>
      <c r="G9340" s="18"/>
      <c r="H9340" s="16" t="s">
        <v>87</v>
      </c>
      <c r="I9340" s="16" t="s">
        <v>87</v>
      </c>
      <c r="J9340" s="19"/>
      <c r="L9340" s="16" t="str">
        <f>IFERROR(__xludf.DUMMYFUNCTION("""COMPUTED_VALUE"""),"")</f>
        <v/>
      </c>
      <c r="M9340" s="16" t="str">
        <f>IFERROR(__xludf.DUMMYFUNCTION("""COMPUTED_VALUE"""),"")</f>
        <v/>
      </c>
      <c r="U9340" s="16" t="s">
        <v>87</v>
      </c>
      <c r="V9340" s="16" t="str">
        <f>IFERROR(__xludf.DUMMYFUNCTION("""COMPUTED_VALUE"""),"")</f>
        <v/>
      </c>
      <c r="W9340" s="16" t="str">
        <f>IFERROR(__xludf.DUMMYFUNCTION("""COMPUTED_VALUE"""),"")</f>
        <v/>
      </c>
      <c r="X9340" s="16" t="str">
        <f>IFERROR(__xludf.DUMMYFUNCTION("""COMPUTED_VALUE"""),"")</f>
        <v/>
      </c>
      <c r="AC9340" s="16" t="str">
        <f>IFERROR(__xludf.DUMMYFUNCTION("""COMPUTED_VALUE"""),"")</f>
        <v/>
      </c>
    </row>
    <row r="9341">
      <c r="A9341" s="16" t="s">
        <v>87</v>
      </c>
      <c r="E9341" s="16" t="str">
        <f>IFERROR(__xludf.DUMMYFUNCTION("""COMPUTED_VALUE"""),"")</f>
        <v/>
      </c>
      <c r="G9341" s="18"/>
      <c r="H9341" s="16" t="s">
        <v>87</v>
      </c>
      <c r="I9341" s="16" t="s">
        <v>87</v>
      </c>
      <c r="J9341" s="19"/>
      <c r="L9341" s="16" t="str">
        <f>IFERROR(__xludf.DUMMYFUNCTION("""COMPUTED_VALUE"""),"")</f>
        <v/>
      </c>
      <c r="M9341" s="16" t="str">
        <f>IFERROR(__xludf.DUMMYFUNCTION("""COMPUTED_VALUE"""),"")</f>
        <v/>
      </c>
      <c r="U9341" s="16" t="s">
        <v>87</v>
      </c>
      <c r="V9341" s="16" t="str">
        <f>IFERROR(__xludf.DUMMYFUNCTION("""COMPUTED_VALUE"""),"")</f>
        <v/>
      </c>
      <c r="W9341" s="16" t="str">
        <f>IFERROR(__xludf.DUMMYFUNCTION("""COMPUTED_VALUE"""),"")</f>
        <v/>
      </c>
      <c r="X9341" s="16" t="str">
        <f>IFERROR(__xludf.DUMMYFUNCTION("""COMPUTED_VALUE"""),"")</f>
        <v/>
      </c>
      <c r="AC9341" s="16" t="str">
        <f>IFERROR(__xludf.DUMMYFUNCTION("""COMPUTED_VALUE"""),"")</f>
        <v/>
      </c>
    </row>
    <row r="9342">
      <c r="A9342" s="16" t="s">
        <v>87</v>
      </c>
      <c r="E9342" s="16" t="str">
        <f>IFERROR(__xludf.DUMMYFUNCTION("""COMPUTED_VALUE"""),"")</f>
        <v/>
      </c>
      <c r="G9342" s="18"/>
      <c r="H9342" s="16" t="s">
        <v>87</v>
      </c>
      <c r="I9342" s="16" t="s">
        <v>87</v>
      </c>
      <c r="J9342" s="19"/>
      <c r="L9342" s="16" t="str">
        <f>IFERROR(__xludf.DUMMYFUNCTION("""COMPUTED_VALUE"""),"")</f>
        <v/>
      </c>
      <c r="M9342" s="16" t="str">
        <f>IFERROR(__xludf.DUMMYFUNCTION("""COMPUTED_VALUE"""),"")</f>
        <v/>
      </c>
      <c r="U9342" s="16" t="s">
        <v>87</v>
      </c>
      <c r="V9342" s="16" t="str">
        <f>IFERROR(__xludf.DUMMYFUNCTION("""COMPUTED_VALUE"""),"")</f>
        <v/>
      </c>
      <c r="W9342" s="16" t="str">
        <f>IFERROR(__xludf.DUMMYFUNCTION("""COMPUTED_VALUE"""),"")</f>
        <v/>
      </c>
      <c r="X9342" s="16" t="str">
        <f>IFERROR(__xludf.DUMMYFUNCTION("""COMPUTED_VALUE"""),"")</f>
        <v/>
      </c>
      <c r="AC9342" s="16" t="str">
        <f>IFERROR(__xludf.DUMMYFUNCTION("""COMPUTED_VALUE"""),"")</f>
        <v/>
      </c>
    </row>
    <row r="9343">
      <c r="A9343" s="16" t="s">
        <v>87</v>
      </c>
      <c r="E9343" s="16" t="str">
        <f>IFERROR(__xludf.DUMMYFUNCTION("""COMPUTED_VALUE"""),"")</f>
        <v/>
      </c>
      <c r="G9343" s="18"/>
      <c r="H9343" s="16" t="s">
        <v>87</v>
      </c>
      <c r="I9343" s="16" t="s">
        <v>87</v>
      </c>
      <c r="J9343" s="19"/>
      <c r="L9343" s="16" t="str">
        <f>IFERROR(__xludf.DUMMYFUNCTION("""COMPUTED_VALUE"""),"")</f>
        <v/>
      </c>
      <c r="M9343" s="16" t="str">
        <f>IFERROR(__xludf.DUMMYFUNCTION("""COMPUTED_VALUE"""),"")</f>
        <v/>
      </c>
      <c r="U9343" s="16" t="s">
        <v>87</v>
      </c>
      <c r="V9343" s="16" t="str">
        <f>IFERROR(__xludf.DUMMYFUNCTION("""COMPUTED_VALUE"""),"")</f>
        <v/>
      </c>
      <c r="W9343" s="16" t="str">
        <f>IFERROR(__xludf.DUMMYFUNCTION("""COMPUTED_VALUE"""),"")</f>
        <v/>
      </c>
      <c r="X9343" s="16" t="str">
        <f>IFERROR(__xludf.DUMMYFUNCTION("""COMPUTED_VALUE"""),"")</f>
        <v/>
      </c>
      <c r="AC9343" s="16" t="str">
        <f>IFERROR(__xludf.DUMMYFUNCTION("""COMPUTED_VALUE"""),"")</f>
        <v/>
      </c>
    </row>
    <row r="9344">
      <c r="A9344" s="16" t="s">
        <v>87</v>
      </c>
      <c r="E9344" s="16" t="str">
        <f>IFERROR(__xludf.DUMMYFUNCTION("""COMPUTED_VALUE"""),"")</f>
        <v/>
      </c>
      <c r="G9344" s="18"/>
      <c r="H9344" s="16" t="s">
        <v>87</v>
      </c>
      <c r="I9344" s="16" t="s">
        <v>87</v>
      </c>
      <c r="J9344" s="19"/>
      <c r="L9344" s="16" t="str">
        <f>IFERROR(__xludf.DUMMYFUNCTION("""COMPUTED_VALUE"""),"")</f>
        <v/>
      </c>
      <c r="M9344" s="16" t="str">
        <f>IFERROR(__xludf.DUMMYFUNCTION("""COMPUTED_VALUE"""),"")</f>
        <v/>
      </c>
      <c r="U9344" s="16" t="s">
        <v>87</v>
      </c>
      <c r="V9344" s="16" t="str">
        <f>IFERROR(__xludf.DUMMYFUNCTION("""COMPUTED_VALUE"""),"")</f>
        <v/>
      </c>
      <c r="W9344" s="16" t="str">
        <f>IFERROR(__xludf.DUMMYFUNCTION("""COMPUTED_VALUE"""),"")</f>
        <v/>
      </c>
      <c r="X9344" s="16" t="str">
        <f>IFERROR(__xludf.DUMMYFUNCTION("""COMPUTED_VALUE"""),"")</f>
        <v/>
      </c>
      <c r="AC9344" s="16" t="str">
        <f>IFERROR(__xludf.DUMMYFUNCTION("""COMPUTED_VALUE"""),"")</f>
        <v/>
      </c>
    </row>
    <row r="9345">
      <c r="A9345" s="16" t="s">
        <v>87</v>
      </c>
      <c r="E9345" s="16" t="str">
        <f>IFERROR(__xludf.DUMMYFUNCTION("""COMPUTED_VALUE"""),"")</f>
        <v/>
      </c>
      <c r="G9345" s="18"/>
      <c r="H9345" s="16" t="s">
        <v>87</v>
      </c>
      <c r="I9345" s="16" t="s">
        <v>87</v>
      </c>
      <c r="J9345" s="19"/>
      <c r="L9345" s="16" t="str">
        <f>IFERROR(__xludf.DUMMYFUNCTION("""COMPUTED_VALUE"""),"")</f>
        <v/>
      </c>
      <c r="M9345" s="16" t="str">
        <f>IFERROR(__xludf.DUMMYFUNCTION("""COMPUTED_VALUE"""),"")</f>
        <v/>
      </c>
      <c r="U9345" s="16" t="s">
        <v>87</v>
      </c>
      <c r="V9345" s="16" t="str">
        <f>IFERROR(__xludf.DUMMYFUNCTION("""COMPUTED_VALUE"""),"")</f>
        <v/>
      </c>
      <c r="W9345" s="16" t="str">
        <f>IFERROR(__xludf.DUMMYFUNCTION("""COMPUTED_VALUE"""),"")</f>
        <v/>
      </c>
      <c r="X9345" s="16" t="str">
        <f>IFERROR(__xludf.DUMMYFUNCTION("""COMPUTED_VALUE"""),"")</f>
        <v/>
      </c>
      <c r="AC9345" s="16" t="str">
        <f>IFERROR(__xludf.DUMMYFUNCTION("""COMPUTED_VALUE"""),"")</f>
        <v/>
      </c>
    </row>
    <row r="9346">
      <c r="A9346" s="16" t="s">
        <v>87</v>
      </c>
      <c r="E9346" s="16" t="str">
        <f>IFERROR(__xludf.DUMMYFUNCTION("""COMPUTED_VALUE"""),"")</f>
        <v/>
      </c>
      <c r="G9346" s="18"/>
      <c r="H9346" s="16" t="s">
        <v>87</v>
      </c>
      <c r="I9346" s="16" t="s">
        <v>87</v>
      </c>
      <c r="J9346" s="19"/>
      <c r="L9346" s="16" t="str">
        <f>IFERROR(__xludf.DUMMYFUNCTION("""COMPUTED_VALUE"""),"")</f>
        <v/>
      </c>
      <c r="M9346" s="16" t="str">
        <f>IFERROR(__xludf.DUMMYFUNCTION("""COMPUTED_VALUE"""),"")</f>
        <v/>
      </c>
      <c r="U9346" s="16" t="s">
        <v>87</v>
      </c>
      <c r="V9346" s="16" t="str">
        <f>IFERROR(__xludf.DUMMYFUNCTION("""COMPUTED_VALUE"""),"")</f>
        <v/>
      </c>
      <c r="W9346" s="16" t="str">
        <f>IFERROR(__xludf.DUMMYFUNCTION("""COMPUTED_VALUE"""),"")</f>
        <v/>
      </c>
      <c r="X9346" s="16" t="str">
        <f>IFERROR(__xludf.DUMMYFUNCTION("""COMPUTED_VALUE"""),"")</f>
        <v/>
      </c>
      <c r="AC9346" s="16" t="str">
        <f>IFERROR(__xludf.DUMMYFUNCTION("""COMPUTED_VALUE"""),"")</f>
        <v/>
      </c>
    </row>
    <row r="9347">
      <c r="A9347" s="16" t="s">
        <v>87</v>
      </c>
      <c r="E9347" s="16" t="str">
        <f>IFERROR(__xludf.DUMMYFUNCTION("""COMPUTED_VALUE"""),"")</f>
        <v/>
      </c>
      <c r="G9347" s="18"/>
      <c r="H9347" s="16" t="s">
        <v>87</v>
      </c>
      <c r="I9347" s="16" t="s">
        <v>87</v>
      </c>
      <c r="J9347" s="19"/>
      <c r="L9347" s="16" t="str">
        <f>IFERROR(__xludf.DUMMYFUNCTION("""COMPUTED_VALUE"""),"")</f>
        <v/>
      </c>
      <c r="M9347" s="16" t="str">
        <f>IFERROR(__xludf.DUMMYFUNCTION("""COMPUTED_VALUE"""),"")</f>
        <v/>
      </c>
      <c r="U9347" s="16" t="s">
        <v>87</v>
      </c>
      <c r="V9347" s="16" t="str">
        <f>IFERROR(__xludf.DUMMYFUNCTION("""COMPUTED_VALUE"""),"")</f>
        <v/>
      </c>
      <c r="W9347" s="16" t="str">
        <f>IFERROR(__xludf.DUMMYFUNCTION("""COMPUTED_VALUE"""),"")</f>
        <v/>
      </c>
      <c r="X9347" s="16" t="str">
        <f>IFERROR(__xludf.DUMMYFUNCTION("""COMPUTED_VALUE"""),"")</f>
        <v/>
      </c>
      <c r="AC9347" s="16" t="str">
        <f>IFERROR(__xludf.DUMMYFUNCTION("""COMPUTED_VALUE"""),"")</f>
        <v/>
      </c>
    </row>
    <row r="9348">
      <c r="A9348" s="16" t="s">
        <v>87</v>
      </c>
      <c r="E9348" s="16" t="str">
        <f>IFERROR(__xludf.DUMMYFUNCTION("""COMPUTED_VALUE"""),"")</f>
        <v/>
      </c>
      <c r="G9348" s="18"/>
      <c r="H9348" s="16" t="s">
        <v>87</v>
      </c>
      <c r="I9348" s="16" t="s">
        <v>87</v>
      </c>
      <c r="J9348" s="19"/>
      <c r="L9348" s="16" t="str">
        <f>IFERROR(__xludf.DUMMYFUNCTION("""COMPUTED_VALUE"""),"")</f>
        <v/>
      </c>
      <c r="M9348" s="16" t="str">
        <f>IFERROR(__xludf.DUMMYFUNCTION("""COMPUTED_VALUE"""),"")</f>
        <v/>
      </c>
      <c r="U9348" s="16" t="s">
        <v>87</v>
      </c>
      <c r="V9348" s="16" t="str">
        <f>IFERROR(__xludf.DUMMYFUNCTION("""COMPUTED_VALUE"""),"")</f>
        <v/>
      </c>
      <c r="W9348" s="16" t="str">
        <f>IFERROR(__xludf.DUMMYFUNCTION("""COMPUTED_VALUE"""),"")</f>
        <v/>
      </c>
      <c r="X9348" s="16" t="str">
        <f>IFERROR(__xludf.DUMMYFUNCTION("""COMPUTED_VALUE"""),"")</f>
        <v/>
      </c>
      <c r="AC9348" s="16" t="str">
        <f>IFERROR(__xludf.DUMMYFUNCTION("""COMPUTED_VALUE"""),"")</f>
        <v/>
      </c>
    </row>
    <row r="9349">
      <c r="A9349" s="16" t="s">
        <v>87</v>
      </c>
      <c r="E9349" s="16" t="str">
        <f>IFERROR(__xludf.DUMMYFUNCTION("""COMPUTED_VALUE"""),"")</f>
        <v/>
      </c>
      <c r="G9349" s="18"/>
      <c r="H9349" s="16" t="s">
        <v>87</v>
      </c>
      <c r="I9349" s="16" t="s">
        <v>87</v>
      </c>
      <c r="J9349" s="19"/>
      <c r="L9349" s="16" t="str">
        <f>IFERROR(__xludf.DUMMYFUNCTION("""COMPUTED_VALUE"""),"")</f>
        <v/>
      </c>
      <c r="M9349" s="16" t="str">
        <f>IFERROR(__xludf.DUMMYFUNCTION("""COMPUTED_VALUE"""),"")</f>
        <v/>
      </c>
      <c r="U9349" s="16" t="s">
        <v>87</v>
      </c>
      <c r="V9349" s="16" t="str">
        <f>IFERROR(__xludf.DUMMYFUNCTION("""COMPUTED_VALUE"""),"")</f>
        <v/>
      </c>
      <c r="W9349" s="16" t="str">
        <f>IFERROR(__xludf.DUMMYFUNCTION("""COMPUTED_VALUE"""),"")</f>
        <v/>
      </c>
      <c r="X9349" s="16" t="str">
        <f>IFERROR(__xludf.DUMMYFUNCTION("""COMPUTED_VALUE"""),"")</f>
        <v/>
      </c>
      <c r="AC9349" s="16" t="str">
        <f>IFERROR(__xludf.DUMMYFUNCTION("""COMPUTED_VALUE"""),"")</f>
        <v/>
      </c>
    </row>
    <row r="9350">
      <c r="A9350" s="16" t="s">
        <v>87</v>
      </c>
      <c r="E9350" s="16" t="str">
        <f>IFERROR(__xludf.DUMMYFUNCTION("""COMPUTED_VALUE"""),"")</f>
        <v/>
      </c>
      <c r="G9350" s="18"/>
      <c r="H9350" s="16" t="s">
        <v>87</v>
      </c>
      <c r="I9350" s="16" t="s">
        <v>87</v>
      </c>
      <c r="J9350" s="19"/>
      <c r="L9350" s="16" t="str">
        <f>IFERROR(__xludf.DUMMYFUNCTION("""COMPUTED_VALUE"""),"")</f>
        <v/>
      </c>
      <c r="M9350" s="16" t="str">
        <f>IFERROR(__xludf.DUMMYFUNCTION("""COMPUTED_VALUE"""),"")</f>
        <v/>
      </c>
      <c r="U9350" s="16" t="s">
        <v>87</v>
      </c>
      <c r="V9350" s="16" t="str">
        <f>IFERROR(__xludf.DUMMYFUNCTION("""COMPUTED_VALUE"""),"")</f>
        <v/>
      </c>
      <c r="W9350" s="16" t="str">
        <f>IFERROR(__xludf.DUMMYFUNCTION("""COMPUTED_VALUE"""),"")</f>
        <v/>
      </c>
      <c r="X9350" s="16" t="str">
        <f>IFERROR(__xludf.DUMMYFUNCTION("""COMPUTED_VALUE"""),"")</f>
        <v/>
      </c>
      <c r="AC9350" s="16" t="str">
        <f>IFERROR(__xludf.DUMMYFUNCTION("""COMPUTED_VALUE"""),"")</f>
        <v/>
      </c>
    </row>
    <row r="9351">
      <c r="A9351" s="16" t="s">
        <v>87</v>
      </c>
      <c r="E9351" s="16" t="str">
        <f>IFERROR(__xludf.DUMMYFUNCTION("""COMPUTED_VALUE"""),"")</f>
        <v/>
      </c>
      <c r="G9351" s="18"/>
      <c r="H9351" s="16" t="s">
        <v>87</v>
      </c>
      <c r="I9351" s="16" t="s">
        <v>87</v>
      </c>
      <c r="J9351" s="19"/>
      <c r="L9351" s="16" t="str">
        <f>IFERROR(__xludf.DUMMYFUNCTION("""COMPUTED_VALUE"""),"")</f>
        <v/>
      </c>
      <c r="M9351" s="16" t="str">
        <f>IFERROR(__xludf.DUMMYFUNCTION("""COMPUTED_VALUE"""),"")</f>
        <v/>
      </c>
      <c r="U9351" s="16" t="s">
        <v>87</v>
      </c>
      <c r="V9351" s="16" t="str">
        <f>IFERROR(__xludf.DUMMYFUNCTION("""COMPUTED_VALUE"""),"")</f>
        <v/>
      </c>
      <c r="W9351" s="16" t="str">
        <f>IFERROR(__xludf.DUMMYFUNCTION("""COMPUTED_VALUE"""),"")</f>
        <v/>
      </c>
      <c r="X9351" s="16" t="str">
        <f>IFERROR(__xludf.DUMMYFUNCTION("""COMPUTED_VALUE"""),"")</f>
        <v/>
      </c>
      <c r="AC9351" s="16" t="str">
        <f>IFERROR(__xludf.DUMMYFUNCTION("""COMPUTED_VALUE"""),"")</f>
        <v/>
      </c>
    </row>
    <row r="9352">
      <c r="A9352" s="16" t="s">
        <v>87</v>
      </c>
      <c r="E9352" s="16" t="str">
        <f>IFERROR(__xludf.DUMMYFUNCTION("""COMPUTED_VALUE"""),"")</f>
        <v/>
      </c>
      <c r="G9352" s="18"/>
      <c r="H9352" s="16" t="s">
        <v>87</v>
      </c>
      <c r="I9352" s="16" t="s">
        <v>87</v>
      </c>
      <c r="J9352" s="19"/>
      <c r="L9352" s="16" t="str">
        <f>IFERROR(__xludf.DUMMYFUNCTION("""COMPUTED_VALUE"""),"")</f>
        <v/>
      </c>
      <c r="M9352" s="16" t="str">
        <f>IFERROR(__xludf.DUMMYFUNCTION("""COMPUTED_VALUE"""),"")</f>
        <v/>
      </c>
      <c r="U9352" s="16" t="s">
        <v>87</v>
      </c>
      <c r="V9352" s="16" t="str">
        <f>IFERROR(__xludf.DUMMYFUNCTION("""COMPUTED_VALUE"""),"")</f>
        <v/>
      </c>
      <c r="W9352" s="16" t="str">
        <f>IFERROR(__xludf.DUMMYFUNCTION("""COMPUTED_VALUE"""),"")</f>
        <v/>
      </c>
      <c r="X9352" s="16" t="str">
        <f>IFERROR(__xludf.DUMMYFUNCTION("""COMPUTED_VALUE"""),"")</f>
        <v/>
      </c>
      <c r="AC9352" s="16" t="str">
        <f>IFERROR(__xludf.DUMMYFUNCTION("""COMPUTED_VALUE"""),"")</f>
        <v/>
      </c>
    </row>
    <row r="9353">
      <c r="A9353" s="16" t="s">
        <v>87</v>
      </c>
      <c r="E9353" s="16" t="str">
        <f>IFERROR(__xludf.DUMMYFUNCTION("""COMPUTED_VALUE"""),"")</f>
        <v/>
      </c>
      <c r="G9353" s="18"/>
      <c r="H9353" s="16" t="s">
        <v>87</v>
      </c>
      <c r="I9353" s="16" t="s">
        <v>87</v>
      </c>
      <c r="J9353" s="19"/>
      <c r="L9353" s="16" t="str">
        <f>IFERROR(__xludf.DUMMYFUNCTION("""COMPUTED_VALUE"""),"")</f>
        <v/>
      </c>
      <c r="M9353" s="16" t="str">
        <f>IFERROR(__xludf.DUMMYFUNCTION("""COMPUTED_VALUE"""),"")</f>
        <v/>
      </c>
      <c r="U9353" s="16" t="s">
        <v>87</v>
      </c>
      <c r="V9353" s="16" t="str">
        <f>IFERROR(__xludf.DUMMYFUNCTION("""COMPUTED_VALUE"""),"")</f>
        <v/>
      </c>
      <c r="W9353" s="16" t="str">
        <f>IFERROR(__xludf.DUMMYFUNCTION("""COMPUTED_VALUE"""),"")</f>
        <v/>
      </c>
      <c r="X9353" s="16" t="str">
        <f>IFERROR(__xludf.DUMMYFUNCTION("""COMPUTED_VALUE"""),"")</f>
        <v/>
      </c>
      <c r="AC9353" s="16" t="str">
        <f>IFERROR(__xludf.DUMMYFUNCTION("""COMPUTED_VALUE"""),"")</f>
        <v/>
      </c>
    </row>
    <row r="9354">
      <c r="A9354" s="16" t="s">
        <v>87</v>
      </c>
      <c r="E9354" s="16" t="str">
        <f>IFERROR(__xludf.DUMMYFUNCTION("""COMPUTED_VALUE"""),"")</f>
        <v/>
      </c>
      <c r="G9354" s="18"/>
      <c r="H9354" s="16" t="s">
        <v>87</v>
      </c>
      <c r="I9354" s="16" t="s">
        <v>87</v>
      </c>
      <c r="J9354" s="19"/>
      <c r="L9354" s="16" t="str">
        <f>IFERROR(__xludf.DUMMYFUNCTION("""COMPUTED_VALUE"""),"")</f>
        <v/>
      </c>
      <c r="M9354" s="16" t="str">
        <f>IFERROR(__xludf.DUMMYFUNCTION("""COMPUTED_VALUE"""),"")</f>
        <v/>
      </c>
      <c r="U9354" s="16" t="s">
        <v>87</v>
      </c>
      <c r="V9354" s="16" t="str">
        <f>IFERROR(__xludf.DUMMYFUNCTION("""COMPUTED_VALUE"""),"")</f>
        <v/>
      </c>
      <c r="W9354" s="16" t="str">
        <f>IFERROR(__xludf.DUMMYFUNCTION("""COMPUTED_VALUE"""),"")</f>
        <v/>
      </c>
      <c r="X9354" s="16" t="str">
        <f>IFERROR(__xludf.DUMMYFUNCTION("""COMPUTED_VALUE"""),"")</f>
        <v/>
      </c>
      <c r="AC9354" s="16" t="str">
        <f>IFERROR(__xludf.DUMMYFUNCTION("""COMPUTED_VALUE"""),"")</f>
        <v/>
      </c>
    </row>
    <row r="9355">
      <c r="A9355" s="16" t="s">
        <v>87</v>
      </c>
      <c r="E9355" s="16" t="str">
        <f>IFERROR(__xludf.DUMMYFUNCTION("""COMPUTED_VALUE"""),"")</f>
        <v/>
      </c>
      <c r="G9355" s="18"/>
      <c r="H9355" s="16" t="s">
        <v>87</v>
      </c>
      <c r="I9355" s="16" t="s">
        <v>87</v>
      </c>
      <c r="J9355" s="19"/>
      <c r="L9355" s="16" t="str">
        <f>IFERROR(__xludf.DUMMYFUNCTION("""COMPUTED_VALUE"""),"")</f>
        <v/>
      </c>
      <c r="M9355" s="16" t="str">
        <f>IFERROR(__xludf.DUMMYFUNCTION("""COMPUTED_VALUE"""),"")</f>
        <v/>
      </c>
      <c r="U9355" s="16" t="s">
        <v>87</v>
      </c>
      <c r="V9355" s="16" t="str">
        <f>IFERROR(__xludf.DUMMYFUNCTION("""COMPUTED_VALUE"""),"")</f>
        <v/>
      </c>
      <c r="W9355" s="16" t="str">
        <f>IFERROR(__xludf.DUMMYFUNCTION("""COMPUTED_VALUE"""),"")</f>
        <v/>
      </c>
      <c r="X9355" s="16" t="str">
        <f>IFERROR(__xludf.DUMMYFUNCTION("""COMPUTED_VALUE"""),"")</f>
        <v/>
      </c>
      <c r="AC9355" s="16" t="str">
        <f>IFERROR(__xludf.DUMMYFUNCTION("""COMPUTED_VALUE"""),"")</f>
        <v/>
      </c>
    </row>
    <row r="9356">
      <c r="A9356" s="16" t="s">
        <v>87</v>
      </c>
      <c r="E9356" s="16" t="str">
        <f>IFERROR(__xludf.DUMMYFUNCTION("""COMPUTED_VALUE"""),"")</f>
        <v/>
      </c>
      <c r="G9356" s="18"/>
      <c r="H9356" s="16" t="s">
        <v>87</v>
      </c>
      <c r="I9356" s="16" t="s">
        <v>87</v>
      </c>
      <c r="J9356" s="19"/>
      <c r="L9356" s="16" t="str">
        <f>IFERROR(__xludf.DUMMYFUNCTION("""COMPUTED_VALUE"""),"")</f>
        <v/>
      </c>
      <c r="M9356" s="16" t="str">
        <f>IFERROR(__xludf.DUMMYFUNCTION("""COMPUTED_VALUE"""),"")</f>
        <v/>
      </c>
      <c r="U9356" s="16" t="s">
        <v>87</v>
      </c>
      <c r="V9356" s="16" t="str">
        <f>IFERROR(__xludf.DUMMYFUNCTION("""COMPUTED_VALUE"""),"")</f>
        <v/>
      </c>
      <c r="W9356" s="16" t="str">
        <f>IFERROR(__xludf.DUMMYFUNCTION("""COMPUTED_VALUE"""),"")</f>
        <v/>
      </c>
      <c r="X9356" s="16" t="str">
        <f>IFERROR(__xludf.DUMMYFUNCTION("""COMPUTED_VALUE"""),"")</f>
        <v/>
      </c>
      <c r="AC9356" s="16" t="str">
        <f>IFERROR(__xludf.DUMMYFUNCTION("""COMPUTED_VALUE"""),"")</f>
        <v/>
      </c>
    </row>
    <row r="9357">
      <c r="A9357" s="16" t="s">
        <v>87</v>
      </c>
      <c r="E9357" s="16" t="str">
        <f>IFERROR(__xludf.DUMMYFUNCTION("""COMPUTED_VALUE"""),"")</f>
        <v/>
      </c>
      <c r="G9357" s="18"/>
      <c r="H9357" s="16" t="s">
        <v>87</v>
      </c>
      <c r="I9357" s="16" t="s">
        <v>87</v>
      </c>
      <c r="J9357" s="19"/>
      <c r="L9357" s="16" t="str">
        <f>IFERROR(__xludf.DUMMYFUNCTION("""COMPUTED_VALUE"""),"")</f>
        <v/>
      </c>
      <c r="M9357" s="16" t="str">
        <f>IFERROR(__xludf.DUMMYFUNCTION("""COMPUTED_VALUE"""),"")</f>
        <v/>
      </c>
      <c r="U9357" s="16" t="s">
        <v>87</v>
      </c>
      <c r="V9357" s="16" t="str">
        <f>IFERROR(__xludf.DUMMYFUNCTION("""COMPUTED_VALUE"""),"")</f>
        <v/>
      </c>
      <c r="W9357" s="16" t="str">
        <f>IFERROR(__xludf.DUMMYFUNCTION("""COMPUTED_VALUE"""),"")</f>
        <v/>
      </c>
      <c r="X9357" s="16" t="str">
        <f>IFERROR(__xludf.DUMMYFUNCTION("""COMPUTED_VALUE"""),"")</f>
        <v/>
      </c>
      <c r="AC9357" s="16" t="str">
        <f>IFERROR(__xludf.DUMMYFUNCTION("""COMPUTED_VALUE"""),"")</f>
        <v/>
      </c>
    </row>
    <row r="9358">
      <c r="A9358" s="16" t="s">
        <v>87</v>
      </c>
      <c r="E9358" s="16" t="str">
        <f>IFERROR(__xludf.DUMMYFUNCTION("""COMPUTED_VALUE"""),"")</f>
        <v/>
      </c>
      <c r="G9358" s="18"/>
      <c r="H9358" s="16" t="s">
        <v>87</v>
      </c>
      <c r="I9358" s="16" t="s">
        <v>87</v>
      </c>
      <c r="J9358" s="19"/>
      <c r="L9358" s="16" t="str">
        <f>IFERROR(__xludf.DUMMYFUNCTION("""COMPUTED_VALUE"""),"")</f>
        <v/>
      </c>
      <c r="M9358" s="16" t="str">
        <f>IFERROR(__xludf.DUMMYFUNCTION("""COMPUTED_VALUE"""),"")</f>
        <v/>
      </c>
      <c r="U9358" s="16" t="s">
        <v>87</v>
      </c>
      <c r="V9358" s="16" t="str">
        <f>IFERROR(__xludf.DUMMYFUNCTION("""COMPUTED_VALUE"""),"")</f>
        <v/>
      </c>
      <c r="W9358" s="16" t="str">
        <f>IFERROR(__xludf.DUMMYFUNCTION("""COMPUTED_VALUE"""),"")</f>
        <v/>
      </c>
      <c r="X9358" s="16" t="str">
        <f>IFERROR(__xludf.DUMMYFUNCTION("""COMPUTED_VALUE"""),"")</f>
        <v/>
      </c>
      <c r="AC9358" s="16" t="str">
        <f>IFERROR(__xludf.DUMMYFUNCTION("""COMPUTED_VALUE"""),"")</f>
        <v/>
      </c>
    </row>
    <row r="9359">
      <c r="A9359" s="16" t="s">
        <v>87</v>
      </c>
      <c r="E9359" s="16" t="str">
        <f>IFERROR(__xludf.DUMMYFUNCTION("""COMPUTED_VALUE"""),"")</f>
        <v/>
      </c>
      <c r="G9359" s="18"/>
      <c r="H9359" s="16" t="s">
        <v>87</v>
      </c>
      <c r="I9359" s="16" t="s">
        <v>87</v>
      </c>
      <c r="J9359" s="19"/>
      <c r="L9359" s="16" t="str">
        <f>IFERROR(__xludf.DUMMYFUNCTION("""COMPUTED_VALUE"""),"")</f>
        <v/>
      </c>
      <c r="M9359" s="16" t="str">
        <f>IFERROR(__xludf.DUMMYFUNCTION("""COMPUTED_VALUE"""),"")</f>
        <v/>
      </c>
      <c r="U9359" s="16" t="s">
        <v>87</v>
      </c>
      <c r="V9359" s="16" t="str">
        <f>IFERROR(__xludf.DUMMYFUNCTION("""COMPUTED_VALUE"""),"")</f>
        <v/>
      </c>
      <c r="W9359" s="16" t="str">
        <f>IFERROR(__xludf.DUMMYFUNCTION("""COMPUTED_VALUE"""),"")</f>
        <v/>
      </c>
      <c r="X9359" s="16" t="str">
        <f>IFERROR(__xludf.DUMMYFUNCTION("""COMPUTED_VALUE"""),"")</f>
        <v/>
      </c>
      <c r="AC9359" s="16" t="str">
        <f>IFERROR(__xludf.DUMMYFUNCTION("""COMPUTED_VALUE"""),"")</f>
        <v/>
      </c>
    </row>
    <row r="9360">
      <c r="A9360" s="16" t="s">
        <v>87</v>
      </c>
      <c r="E9360" s="16" t="str">
        <f>IFERROR(__xludf.DUMMYFUNCTION("""COMPUTED_VALUE"""),"")</f>
        <v/>
      </c>
      <c r="G9360" s="18"/>
      <c r="H9360" s="16" t="s">
        <v>87</v>
      </c>
      <c r="I9360" s="16" t="s">
        <v>87</v>
      </c>
      <c r="J9360" s="19"/>
      <c r="L9360" s="16" t="str">
        <f>IFERROR(__xludf.DUMMYFUNCTION("""COMPUTED_VALUE"""),"")</f>
        <v/>
      </c>
      <c r="M9360" s="16" t="str">
        <f>IFERROR(__xludf.DUMMYFUNCTION("""COMPUTED_VALUE"""),"")</f>
        <v/>
      </c>
      <c r="U9360" s="16" t="s">
        <v>87</v>
      </c>
      <c r="V9360" s="16" t="str">
        <f>IFERROR(__xludf.DUMMYFUNCTION("""COMPUTED_VALUE"""),"")</f>
        <v/>
      </c>
      <c r="W9360" s="16" t="str">
        <f>IFERROR(__xludf.DUMMYFUNCTION("""COMPUTED_VALUE"""),"")</f>
        <v/>
      </c>
      <c r="X9360" s="16" t="str">
        <f>IFERROR(__xludf.DUMMYFUNCTION("""COMPUTED_VALUE"""),"")</f>
        <v/>
      </c>
      <c r="AC9360" s="16" t="str">
        <f>IFERROR(__xludf.DUMMYFUNCTION("""COMPUTED_VALUE"""),"")</f>
        <v/>
      </c>
    </row>
    <row r="9361">
      <c r="A9361" s="16" t="s">
        <v>87</v>
      </c>
      <c r="E9361" s="16" t="str">
        <f>IFERROR(__xludf.DUMMYFUNCTION("""COMPUTED_VALUE"""),"")</f>
        <v/>
      </c>
      <c r="G9361" s="18"/>
      <c r="H9361" s="16" t="s">
        <v>87</v>
      </c>
      <c r="I9361" s="16" t="s">
        <v>87</v>
      </c>
      <c r="J9361" s="19"/>
      <c r="L9361" s="16" t="str">
        <f>IFERROR(__xludf.DUMMYFUNCTION("""COMPUTED_VALUE"""),"")</f>
        <v/>
      </c>
      <c r="M9361" s="16" t="str">
        <f>IFERROR(__xludf.DUMMYFUNCTION("""COMPUTED_VALUE"""),"")</f>
        <v/>
      </c>
      <c r="U9361" s="16" t="s">
        <v>87</v>
      </c>
      <c r="V9361" s="16" t="str">
        <f>IFERROR(__xludf.DUMMYFUNCTION("""COMPUTED_VALUE"""),"")</f>
        <v/>
      </c>
      <c r="W9361" s="16" t="str">
        <f>IFERROR(__xludf.DUMMYFUNCTION("""COMPUTED_VALUE"""),"")</f>
        <v/>
      </c>
      <c r="X9361" s="16" t="str">
        <f>IFERROR(__xludf.DUMMYFUNCTION("""COMPUTED_VALUE"""),"")</f>
        <v/>
      </c>
      <c r="AC9361" s="16" t="str">
        <f>IFERROR(__xludf.DUMMYFUNCTION("""COMPUTED_VALUE"""),"")</f>
        <v/>
      </c>
    </row>
    <row r="9362">
      <c r="A9362" s="16" t="s">
        <v>87</v>
      </c>
      <c r="E9362" s="16" t="str">
        <f>IFERROR(__xludf.DUMMYFUNCTION("""COMPUTED_VALUE"""),"")</f>
        <v/>
      </c>
      <c r="G9362" s="18"/>
      <c r="H9362" s="16" t="s">
        <v>87</v>
      </c>
      <c r="I9362" s="16" t="s">
        <v>87</v>
      </c>
      <c r="J9362" s="19"/>
      <c r="L9362" s="16" t="str">
        <f>IFERROR(__xludf.DUMMYFUNCTION("""COMPUTED_VALUE"""),"")</f>
        <v/>
      </c>
      <c r="M9362" s="16" t="str">
        <f>IFERROR(__xludf.DUMMYFUNCTION("""COMPUTED_VALUE"""),"")</f>
        <v/>
      </c>
      <c r="U9362" s="16" t="s">
        <v>87</v>
      </c>
      <c r="V9362" s="16" t="str">
        <f>IFERROR(__xludf.DUMMYFUNCTION("""COMPUTED_VALUE"""),"")</f>
        <v/>
      </c>
      <c r="W9362" s="16" t="str">
        <f>IFERROR(__xludf.DUMMYFUNCTION("""COMPUTED_VALUE"""),"")</f>
        <v/>
      </c>
      <c r="X9362" s="16" t="str">
        <f>IFERROR(__xludf.DUMMYFUNCTION("""COMPUTED_VALUE"""),"")</f>
        <v/>
      </c>
      <c r="AC9362" s="16" t="str">
        <f>IFERROR(__xludf.DUMMYFUNCTION("""COMPUTED_VALUE"""),"")</f>
        <v/>
      </c>
    </row>
    <row r="9363">
      <c r="A9363" s="16" t="s">
        <v>87</v>
      </c>
      <c r="E9363" s="16" t="str">
        <f>IFERROR(__xludf.DUMMYFUNCTION("""COMPUTED_VALUE"""),"")</f>
        <v/>
      </c>
      <c r="G9363" s="18"/>
      <c r="H9363" s="16" t="s">
        <v>87</v>
      </c>
      <c r="I9363" s="16" t="s">
        <v>87</v>
      </c>
      <c r="J9363" s="19"/>
      <c r="L9363" s="16" t="str">
        <f>IFERROR(__xludf.DUMMYFUNCTION("""COMPUTED_VALUE"""),"")</f>
        <v/>
      </c>
      <c r="M9363" s="16" t="str">
        <f>IFERROR(__xludf.DUMMYFUNCTION("""COMPUTED_VALUE"""),"")</f>
        <v/>
      </c>
      <c r="U9363" s="16" t="s">
        <v>87</v>
      </c>
      <c r="V9363" s="16" t="str">
        <f>IFERROR(__xludf.DUMMYFUNCTION("""COMPUTED_VALUE"""),"")</f>
        <v/>
      </c>
      <c r="W9363" s="16" t="str">
        <f>IFERROR(__xludf.DUMMYFUNCTION("""COMPUTED_VALUE"""),"")</f>
        <v/>
      </c>
      <c r="X9363" s="16" t="str">
        <f>IFERROR(__xludf.DUMMYFUNCTION("""COMPUTED_VALUE"""),"")</f>
        <v/>
      </c>
      <c r="AC9363" s="16" t="str">
        <f>IFERROR(__xludf.DUMMYFUNCTION("""COMPUTED_VALUE"""),"")</f>
        <v/>
      </c>
    </row>
    <row r="9364">
      <c r="A9364" s="16" t="s">
        <v>87</v>
      </c>
      <c r="E9364" s="16" t="str">
        <f>IFERROR(__xludf.DUMMYFUNCTION("""COMPUTED_VALUE"""),"")</f>
        <v/>
      </c>
      <c r="G9364" s="18"/>
      <c r="H9364" s="16" t="s">
        <v>87</v>
      </c>
      <c r="I9364" s="16" t="s">
        <v>87</v>
      </c>
      <c r="J9364" s="19"/>
      <c r="L9364" s="16" t="str">
        <f>IFERROR(__xludf.DUMMYFUNCTION("""COMPUTED_VALUE"""),"")</f>
        <v/>
      </c>
      <c r="M9364" s="16" t="str">
        <f>IFERROR(__xludf.DUMMYFUNCTION("""COMPUTED_VALUE"""),"")</f>
        <v/>
      </c>
      <c r="U9364" s="16" t="s">
        <v>87</v>
      </c>
      <c r="V9364" s="16" t="str">
        <f>IFERROR(__xludf.DUMMYFUNCTION("""COMPUTED_VALUE"""),"")</f>
        <v/>
      </c>
      <c r="W9364" s="16" t="str">
        <f>IFERROR(__xludf.DUMMYFUNCTION("""COMPUTED_VALUE"""),"")</f>
        <v/>
      </c>
      <c r="X9364" s="16" t="str">
        <f>IFERROR(__xludf.DUMMYFUNCTION("""COMPUTED_VALUE"""),"")</f>
        <v/>
      </c>
      <c r="AC9364" s="16" t="str">
        <f>IFERROR(__xludf.DUMMYFUNCTION("""COMPUTED_VALUE"""),"")</f>
        <v/>
      </c>
    </row>
    <row r="9365">
      <c r="A9365" s="16" t="s">
        <v>87</v>
      </c>
      <c r="E9365" s="16" t="str">
        <f>IFERROR(__xludf.DUMMYFUNCTION("""COMPUTED_VALUE"""),"")</f>
        <v/>
      </c>
      <c r="G9365" s="18"/>
      <c r="H9365" s="16" t="s">
        <v>87</v>
      </c>
      <c r="I9365" s="16" t="s">
        <v>87</v>
      </c>
      <c r="J9365" s="19"/>
      <c r="L9365" s="16" t="str">
        <f>IFERROR(__xludf.DUMMYFUNCTION("""COMPUTED_VALUE"""),"")</f>
        <v/>
      </c>
      <c r="M9365" s="16" t="str">
        <f>IFERROR(__xludf.DUMMYFUNCTION("""COMPUTED_VALUE"""),"")</f>
        <v/>
      </c>
      <c r="U9365" s="16" t="s">
        <v>87</v>
      </c>
      <c r="V9365" s="16" t="str">
        <f>IFERROR(__xludf.DUMMYFUNCTION("""COMPUTED_VALUE"""),"")</f>
        <v/>
      </c>
      <c r="W9365" s="16" t="str">
        <f>IFERROR(__xludf.DUMMYFUNCTION("""COMPUTED_VALUE"""),"")</f>
        <v/>
      </c>
      <c r="X9365" s="16" t="str">
        <f>IFERROR(__xludf.DUMMYFUNCTION("""COMPUTED_VALUE"""),"")</f>
        <v/>
      </c>
      <c r="AC9365" s="16" t="str">
        <f>IFERROR(__xludf.DUMMYFUNCTION("""COMPUTED_VALUE"""),"")</f>
        <v/>
      </c>
    </row>
    <row r="9366">
      <c r="A9366" s="16" t="s">
        <v>87</v>
      </c>
      <c r="E9366" s="16" t="str">
        <f>IFERROR(__xludf.DUMMYFUNCTION("""COMPUTED_VALUE"""),"")</f>
        <v/>
      </c>
      <c r="G9366" s="18"/>
      <c r="H9366" s="16" t="s">
        <v>87</v>
      </c>
      <c r="I9366" s="16" t="s">
        <v>87</v>
      </c>
      <c r="J9366" s="19"/>
      <c r="L9366" s="16" t="str">
        <f>IFERROR(__xludf.DUMMYFUNCTION("""COMPUTED_VALUE"""),"")</f>
        <v/>
      </c>
      <c r="M9366" s="16" t="str">
        <f>IFERROR(__xludf.DUMMYFUNCTION("""COMPUTED_VALUE"""),"")</f>
        <v/>
      </c>
      <c r="U9366" s="16" t="s">
        <v>87</v>
      </c>
      <c r="V9366" s="16" t="str">
        <f>IFERROR(__xludf.DUMMYFUNCTION("""COMPUTED_VALUE"""),"")</f>
        <v/>
      </c>
      <c r="W9366" s="16" t="str">
        <f>IFERROR(__xludf.DUMMYFUNCTION("""COMPUTED_VALUE"""),"")</f>
        <v/>
      </c>
      <c r="X9366" s="16" t="str">
        <f>IFERROR(__xludf.DUMMYFUNCTION("""COMPUTED_VALUE"""),"")</f>
        <v/>
      </c>
      <c r="AC9366" s="16" t="str">
        <f>IFERROR(__xludf.DUMMYFUNCTION("""COMPUTED_VALUE"""),"")</f>
        <v/>
      </c>
    </row>
    <row r="9367">
      <c r="A9367" s="16" t="s">
        <v>87</v>
      </c>
      <c r="E9367" s="16" t="str">
        <f>IFERROR(__xludf.DUMMYFUNCTION("""COMPUTED_VALUE"""),"")</f>
        <v/>
      </c>
      <c r="G9367" s="18"/>
      <c r="H9367" s="16" t="s">
        <v>87</v>
      </c>
      <c r="I9367" s="16" t="s">
        <v>87</v>
      </c>
      <c r="J9367" s="19"/>
      <c r="L9367" s="16" t="str">
        <f>IFERROR(__xludf.DUMMYFUNCTION("""COMPUTED_VALUE"""),"")</f>
        <v/>
      </c>
      <c r="M9367" s="16" t="str">
        <f>IFERROR(__xludf.DUMMYFUNCTION("""COMPUTED_VALUE"""),"")</f>
        <v/>
      </c>
      <c r="U9367" s="16" t="s">
        <v>87</v>
      </c>
      <c r="V9367" s="16" t="str">
        <f>IFERROR(__xludf.DUMMYFUNCTION("""COMPUTED_VALUE"""),"")</f>
        <v/>
      </c>
      <c r="W9367" s="16" t="str">
        <f>IFERROR(__xludf.DUMMYFUNCTION("""COMPUTED_VALUE"""),"")</f>
        <v/>
      </c>
      <c r="X9367" s="16" t="str">
        <f>IFERROR(__xludf.DUMMYFUNCTION("""COMPUTED_VALUE"""),"")</f>
        <v/>
      </c>
      <c r="AC9367" s="16" t="str">
        <f>IFERROR(__xludf.DUMMYFUNCTION("""COMPUTED_VALUE"""),"")</f>
        <v/>
      </c>
    </row>
    <row r="9368">
      <c r="A9368" s="16" t="s">
        <v>87</v>
      </c>
      <c r="E9368" s="16" t="str">
        <f>IFERROR(__xludf.DUMMYFUNCTION("""COMPUTED_VALUE"""),"")</f>
        <v/>
      </c>
      <c r="G9368" s="18"/>
      <c r="H9368" s="16" t="s">
        <v>87</v>
      </c>
      <c r="I9368" s="16" t="s">
        <v>87</v>
      </c>
      <c r="J9368" s="19"/>
      <c r="L9368" s="16" t="str">
        <f>IFERROR(__xludf.DUMMYFUNCTION("""COMPUTED_VALUE"""),"")</f>
        <v/>
      </c>
      <c r="M9368" s="16" t="str">
        <f>IFERROR(__xludf.DUMMYFUNCTION("""COMPUTED_VALUE"""),"")</f>
        <v/>
      </c>
      <c r="U9368" s="16" t="s">
        <v>87</v>
      </c>
      <c r="V9368" s="16" t="str">
        <f>IFERROR(__xludf.DUMMYFUNCTION("""COMPUTED_VALUE"""),"")</f>
        <v/>
      </c>
      <c r="W9368" s="16" t="str">
        <f>IFERROR(__xludf.DUMMYFUNCTION("""COMPUTED_VALUE"""),"")</f>
        <v/>
      </c>
      <c r="X9368" s="16" t="str">
        <f>IFERROR(__xludf.DUMMYFUNCTION("""COMPUTED_VALUE"""),"")</f>
        <v/>
      </c>
      <c r="AC9368" s="16" t="str">
        <f>IFERROR(__xludf.DUMMYFUNCTION("""COMPUTED_VALUE"""),"")</f>
        <v/>
      </c>
    </row>
    <row r="9369">
      <c r="A9369" s="16" t="s">
        <v>87</v>
      </c>
      <c r="E9369" s="16" t="str">
        <f>IFERROR(__xludf.DUMMYFUNCTION("""COMPUTED_VALUE"""),"")</f>
        <v/>
      </c>
      <c r="G9369" s="18"/>
      <c r="H9369" s="16" t="s">
        <v>87</v>
      </c>
      <c r="I9369" s="16" t="s">
        <v>87</v>
      </c>
      <c r="J9369" s="19"/>
      <c r="L9369" s="16" t="str">
        <f>IFERROR(__xludf.DUMMYFUNCTION("""COMPUTED_VALUE"""),"")</f>
        <v/>
      </c>
      <c r="M9369" s="16" t="str">
        <f>IFERROR(__xludf.DUMMYFUNCTION("""COMPUTED_VALUE"""),"")</f>
        <v/>
      </c>
      <c r="U9369" s="16" t="s">
        <v>87</v>
      </c>
      <c r="V9369" s="16" t="str">
        <f>IFERROR(__xludf.DUMMYFUNCTION("""COMPUTED_VALUE"""),"")</f>
        <v/>
      </c>
      <c r="W9369" s="16" t="str">
        <f>IFERROR(__xludf.DUMMYFUNCTION("""COMPUTED_VALUE"""),"")</f>
        <v/>
      </c>
      <c r="X9369" s="16" t="str">
        <f>IFERROR(__xludf.DUMMYFUNCTION("""COMPUTED_VALUE"""),"")</f>
        <v/>
      </c>
      <c r="AC9369" s="16" t="str">
        <f>IFERROR(__xludf.DUMMYFUNCTION("""COMPUTED_VALUE"""),"")</f>
        <v/>
      </c>
    </row>
    <row r="9370">
      <c r="A9370" s="16" t="s">
        <v>87</v>
      </c>
      <c r="E9370" s="16" t="str">
        <f>IFERROR(__xludf.DUMMYFUNCTION("""COMPUTED_VALUE"""),"")</f>
        <v/>
      </c>
      <c r="G9370" s="18"/>
      <c r="H9370" s="16" t="s">
        <v>87</v>
      </c>
      <c r="I9370" s="16" t="s">
        <v>87</v>
      </c>
      <c r="J9370" s="19"/>
      <c r="L9370" s="16" t="str">
        <f>IFERROR(__xludf.DUMMYFUNCTION("""COMPUTED_VALUE"""),"")</f>
        <v/>
      </c>
      <c r="M9370" s="16" t="str">
        <f>IFERROR(__xludf.DUMMYFUNCTION("""COMPUTED_VALUE"""),"")</f>
        <v/>
      </c>
      <c r="U9370" s="16" t="s">
        <v>87</v>
      </c>
      <c r="V9370" s="16" t="str">
        <f>IFERROR(__xludf.DUMMYFUNCTION("""COMPUTED_VALUE"""),"")</f>
        <v/>
      </c>
      <c r="W9370" s="16" t="str">
        <f>IFERROR(__xludf.DUMMYFUNCTION("""COMPUTED_VALUE"""),"")</f>
        <v/>
      </c>
      <c r="X9370" s="16" t="str">
        <f>IFERROR(__xludf.DUMMYFUNCTION("""COMPUTED_VALUE"""),"")</f>
        <v/>
      </c>
      <c r="AC9370" s="16" t="str">
        <f>IFERROR(__xludf.DUMMYFUNCTION("""COMPUTED_VALUE"""),"")</f>
        <v/>
      </c>
    </row>
    <row r="9371">
      <c r="A9371" s="16" t="s">
        <v>87</v>
      </c>
      <c r="E9371" s="16" t="str">
        <f>IFERROR(__xludf.DUMMYFUNCTION("""COMPUTED_VALUE"""),"")</f>
        <v/>
      </c>
      <c r="G9371" s="18"/>
      <c r="H9371" s="16" t="s">
        <v>87</v>
      </c>
      <c r="I9371" s="16" t="s">
        <v>87</v>
      </c>
      <c r="J9371" s="19"/>
      <c r="L9371" s="16" t="str">
        <f>IFERROR(__xludf.DUMMYFUNCTION("""COMPUTED_VALUE"""),"")</f>
        <v/>
      </c>
      <c r="M9371" s="16" t="str">
        <f>IFERROR(__xludf.DUMMYFUNCTION("""COMPUTED_VALUE"""),"")</f>
        <v/>
      </c>
      <c r="U9371" s="16" t="s">
        <v>87</v>
      </c>
      <c r="V9371" s="16" t="str">
        <f>IFERROR(__xludf.DUMMYFUNCTION("""COMPUTED_VALUE"""),"")</f>
        <v/>
      </c>
      <c r="W9371" s="16" t="str">
        <f>IFERROR(__xludf.DUMMYFUNCTION("""COMPUTED_VALUE"""),"")</f>
        <v/>
      </c>
      <c r="X9371" s="16" t="str">
        <f>IFERROR(__xludf.DUMMYFUNCTION("""COMPUTED_VALUE"""),"")</f>
        <v/>
      </c>
      <c r="AC9371" s="16" t="str">
        <f>IFERROR(__xludf.DUMMYFUNCTION("""COMPUTED_VALUE"""),"")</f>
        <v/>
      </c>
    </row>
    <row r="9372">
      <c r="A9372" s="16" t="s">
        <v>87</v>
      </c>
      <c r="E9372" s="16" t="str">
        <f>IFERROR(__xludf.DUMMYFUNCTION("""COMPUTED_VALUE"""),"")</f>
        <v/>
      </c>
      <c r="G9372" s="18"/>
      <c r="H9372" s="16" t="s">
        <v>87</v>
      </c>
      <c r="I9372" s="16" t="s">
        <v>87</v>
      </c>
      <c r="J9372" s="19"/>
      <c r="L9372" s="16" t="str">
        <f>IFERROR(__xludf.DUMMYFUNCTION("""COMPUTED_VALUE"""),"")</f>
        <v/>
      </c>
      <c r="M9372" s="16" t="str">
        <f>IFERROR(__xludf.DUMMYFUNCTION("""COMPUTED_VALUE"""),"")</f>
        <v/>
      </c>
      <c r="U9372" s="16" t="s">
        <v>87</v>
      </c>
      <c r="V9372" s="16" t="str">
        <f>IFERROR(__xludf.DUMMYFUNCTION("""COMPUTED_VALUE"""),"")</f>
        <v/>
      </c>
      <c r="W9372" s="16" t="str">
        <f>IFERROR(__xludf.DUMMYFUNCTION("""COMPUTED_VALUE"""),"")</f>
        <v/>
      </c>
      <c r="X9372" s="16" t="str">
        <f>IFERROR(__xludf.DUMMYFUNCTION("""COMPUTED_VALUE"""),"")</f>
        <v/>
      </c>
      <c r="AC9372" s="16" t="str">
        <f>IFERROR(__xludf.DUMMYFUNCTION("""COMPUTED_VALUE"""),"")</f>
        <v/>
      </c>
    </row>
    <row r="9373">
      <c r="A9373" s="16" t="s">
        <v>87</v>
      </c>
      <c r="E9373" s="16" t="str">
        <f>IFERROR(__xludf.DUMMYFUNCTION("""COMPUTED_VALUE"""),"")</f>
        <v/>
      </c>
      <c r="G9373" s="18"/>
      <c r="H9373" s="16" t="s">
        <v>87</v>
      </c>
      <c r="I9373" s="16" t="s">
        <v>87</v>
      </c>
      <c r="J9373" s="19"/>
      <c r="L9373" s="16" t="str">
        <f>IFERROR(__xludf.DUMMYFUNCTION("""COMPUTED_VALUE"""),"")</f>
        <v/>
      </c>
      <c r="M9373" s="16" t="str">
        <f>IFERROR(__xludf.DUMMYFUNCTION("""COMPUTED_VALUE"""),"")</f>
        <v/>
      </c>
      <c r="U9373" s="16" t="s">
        <v>87</v>
      </c>
      <c r="V9373" s="16" t="str">
        <f>IFERROR(__xludf.DUMMYFUNCTION("""COMPUTED_VALUE"""),"")</f>
        <v/>
      </c>
      <c r="W9373" s="16" t="str">
        <f>IFERROR(__xludf.DUMMYFUNCTION("""COMPUTED_VALUE"""),"")</f>
        <v/>
      </c>
      <c r="X9373" s="16" t="str">
        <f>IFERROR(__xludf.DUMMYFUNCTION("""COMPUTED_VALUE"""),"")</f>
        <v/>
      </c>
      <c r="AC9373" s="16" t="str">
        <f>IFERROR(__xludf.DUMMYFUNCTION("""COMPUTED_VALUE"""),"")</f>
        <v/>
      </c>
    </row>
    <row r="9374">
      <c r="A9374" s="16" t="s">
        <v>87</v>
      </c>
      <c r="E9374" s="16" t="str">
        <f>IFERROR(__xludf.DUMMYFUNCTION("""COMPUTED_VALUE"""),"")</f>
        <v/>
      </c>
      <c r="G9374" s="18"/>
      <c r="H9374" s="16" t="s">
        <v>87</v>
      </c>
      <c r="I9374" s="16" t="s">
        <v>87</v>
      </c>
      <c r="J9374" s="19"/>
      <c r="L9374" s="16" t="str">
        <f>IFERROR(__xludf.DUMMYFUNCTION("""COMPUTED_VALUE"""),"")</f>
        <v/>
      </c>
      <c r="M9374" s="16" t="str">
        <f>IFERROR(__xludf.DUMMYFUNCTION("""COMPUTED_VALUE"""),"")</f>
        <v/>
      </c>
      <c r="U9374" s="16" t="s">
        <v>87</v>
      </c>
      <c r="V9374" s="16" t="str">
        <f>IFERROR(__xludf.DUMMYFUNCTION("""COMPUTED_VALUE"""),"")</f>
        <v/>
      </c>
      <c r="W9374" s="16" t="str">
        <f>IFERROR(__xludf.DUMMYFUNCTION("""COMPUTED_VALUE"""),"")</f>
        <v/>
      </c>
      <c r="X9374" s="16" t="str">
        <f>IFERROR(__xludf.DUMMYFUNCTION("""COMPUTED_VALUE"""),"")</f>
        <v/>
      </c>
      <c r="AC9374" s="16" t="str">
        <f>IFERROR(__xludf.DUMMYFUNCTION("""COMPUTED_VALUE"""),"")</f>
        <v/>
      </c>
    </row>
    <row r="9375">
      <c r="A9375" s="16" t="s">
        <v>87</v>
      </c>
      <c r="E9375" s="16" t="str">
        <f>IFERROR(__xludf.DUMMYFUNCTION("""COMPUTED_VALUE"""),"")</f>
        <v/>
      </c>
      <c r="G9375" s="18"/>
      <c r="H9375" s="16" t="s">
        <v>87</v>
      </c>
      <c r="I9375" s="16" t="s">
        <v>87</v>
      </c>
      <c r="J9375" s="19"/>
      <c r="L9375" s="16" t="str">
        <f>IFERROR(__xludf.DUMMYFUNCTION("""COMPUTED_VALUE"""),"")</f>
        <v/>
      </c>
      <c r="M9375" s="16" t="str">
        <f>IFERROR(__xludf.DUMMYFUNCTION("""COMPUTED_VALUE"""),"")</f>
        <v/>
      </c>
      <c r="U9375" s="16" t="s">
        <v>87</v>
      </c>
      <c r="V9375" s="16" t="str">
        <f>IFERROR(__xludf.DUMMYFUNCTION("""COMPUTED_VALUE"""),"")</f>
        <v/>
      </c>
      <c r="W9375" s="16" t="str">
        <f>IFERROR(__xludf.DUMMYFUNCTION("""COMPUTED_VALUE"""),"")</f>
        <v/>
      </c>
      <c r="X9375" s="16" t="str">
        <f>IFERROR(__xludf.DUMMYFUNCTION("""COMPUTED_VALUE"""),"")</f>
        <v/>
      </c>
      <c r="AC9375" s="16" t="str">
        <f>IFERROR(__xludf.DUMMYFUNCTION("""COMPUTED_VALUE"""),"")</f>
        <v/>
      </c>
    </row>
    <row r="9376">
      <c r="A9376" s="16" t="s">
        <v>87</v>
      </c>
      <c r="E9376" s="16" t="str">
        <f>IFERROR(__xludf.DUMMYFUNCTION("""COMPUTED_VALUE"""),"")</f>
        <v/>
      </c>
      <c r="G9376" s="18"/>
      <c r="H9376" s="16" t="s">
        <v>87</v>
      </c>
      <c r="I9376" s="16" t="s">
        <v>87</v>
      </c>
      <c r="J9376" s="19"/>
      <c r="L9376" s="16" t="str">
        <f>IFERROR(__xludf.DUMMYFUNCTION("""COMPUTED_VALUE"""),"")</f>
        <v/>
      </c>
      <c r="M9376" s="16" t="str">
        <f>IFERROR(__xludf.DUMMYFUNCTION("""COMPUTED_VALUE"""),"")</f>
        <v/>
      </c>
      <c r="U9376" s="16" t="s">
        <v>87</v>
      </c>
      <c r="V9376" s="16" t="str">
        <f>IFERROR(__xludf.DUMMYFUNCTION("""COMPUTED_VALUE"""),"")</f>
        <v/>
      </c>
      <c r="W9376" s="16" t="str">
        <f>IFERROR(__xludf.DUMMYFUNCTION("""COMPUTED_VALUE"""),"")</f>
        <v/>
      </c>
      <c r="X9376" s="16" t="str">
        <f>IFERROR(__xludf.DUMMYFUNCTION("""COMPUTED_VALUE"""),"")</f>
        <v/>
      </c>
      <c r="AC9376" s="16" t="str">
        <f>IFERROR(__xludf.DUMMYFUNCTION("""COMPUTED_VALUE"""),"")</f>
        <v/>
      </c>
    </row>
    <row r="9377">
      <c r="A9377" s="16" t="s">
        <v>87</v>
      </c>
      <c r="E9377" s="16" t="str">
        <f>IFERROR(__xludf.DUMMYFUNCTION("""COMPUTED_VALUE"""),"")</f>
        <v/>
      </c>
      <c r="G9377" s="18"/>
      <c r="H9377" s="16" t="s">
        <v>87</v>
      </c>
      <c r="I9377" s="16" t="s">
        <v>87</v>
      </c>
      <c r="J9377" s="19"/>
      <c r="L9377" s="16" t="str">
        <f>IFERROR(__xludf.DUMMYFUNCTION("""COMPUTED_VALUE"""),"")</f>
        <v/>
      </c>
      <c r="M9377" s="16" t="str">
        <f>IFERROR(__xludf.DUMMYFUNCTION("""COMPUTED_VALUE"""),"")</f>
        <v/>
      </c>
      <c r="U9377" s="16" t="s">
        <v>87</v>
      </c>
      <c r="V9377" s="16" t="str">
        <f>IFERROR(__xludf.DUMMYFUNCTION("""COMPUTED_VALUE"""),"")</f>
        <v/>
      </c>
      <c r="W9377" s="16" t="str">
        <f>IFERROR(__xludf.DUMMYFUNCTION("""COMPUTED_VALUE"""),"")</f>
        <v/>
      </c>
      <c r="X9377" s="16" t="str">
        <f>IFERROR(__xludf.DUMMYFUNCTION("""COMPUTED_VALUE"""),"")</f>
        <v/>
      </c>
      <c r="AC9377" s="16" t="str">
        <f>IFERROR(__xludf.DUMMYFUNCTION("""COMPUTED_VALUE"""),"")</f>
        <v/>
      </c>
    </row>
    <row r="9378">
      <c r="A9378" s="16" t="s">
        <v>87</v>
      </c>
      <c r="E9378" s="16" t="str">
        <f>IFERROR(__xludf.DUMMYFUNCTION("""COMPUTED_VALUE"""),"")</f>
        <v/>
      </c>
      <c r="G9378" s="18"/>
      <c r="H9378" s="16" t="s">
        <v>87</v>
      </c>
      <c r="I9378" s="16" t="s">
        <v>87</v>
      </c>
      <c r="J9378" s="19"/>
      <c r="L9378" s="16" t="str">
        <f>IFERROR(__xludf.DUMMYFUNCTION("""COMPUTED_VALUE"""),"")</f>
        <v/>
      </c>
      <c r="M9378" s="16" t="str">
        <f>IFERROR(__xludf.DUMMYFUNCTION("""COMPUTED_VALUE"""),"")</f>
        <v/>
      </c>
      <c r="U9378" s="16" t="s">
        <v>87</v>
      </c>
      <c r="V9378" s="16" t="str">
        <f>IFERROR(__xludf.DUMMYFUNCTION("""COMPUTED_VALUE"""),"")</f>
        <v/>
      </c>
      <c r="W9378" s="16" t="str">
        <f>IFERROR(__xludf.DUMMYFUNCTION("""COMPUTED_VALUE"""),"")</f>
        <v/>
      </c>
      <c r="X9378" s="16" t="str">
        <f>IFERROR(__xludf.DUMMYFUNCTION("""COMPUTED_VALUE"""),"")</f>
        <v/>
      </c>
      <c r="AC9378" s="16" t="str">
        <f>IFERROR(__xludf.DUMMYFUNCTION("""COMPUTED_VALUE"""),"")</f>
        <v/>
      </c>
    </row>
    <row r="9379">
      <c r="A9379" s="16" t="s">
        <v>87</v>
      </c>
      <c r="E9379" s="16" t="str">
        <f>IFERROR(__xludf.DUMMYFUNCTION("""COMPUTED_VALUE"""),"")</f>
        <v/>
      </c>
      <c r="G9379" s="18"/>
      <c r="H9379" s="16" t="s">
        <v>87</v>
      </c>
      <c r="I9379" s="16" t="s">
        <v>87</v>
      </c>
      <c r="J9379" s="19"/>
      <c r="L9379" s="16" t="str">
        <f>IFERROR(__xludf.DUMMYFUNCTION("""COMPUTED_VALUE"""),"")</f>
        <v/>
      </c>
      <c r="M9379" s="16" t="str">
        <f>IFERROR(__xludf.DUMMYFUNCTION("""COMPUTED_VALUE"""),"")</f>
        <v/>
      </c>
      <c r="U9379" s="16" t="s">
        <v>87</v>
      </c>
      <c r="V9379" s="16" t="str">
        <f>IFERROR(__xludf.DUMMYFUNCTION("""COMPUTED_VALUE"""),"")</f>
        <v/>
      </c>
      <c r="W9379" s="16" t="str">
        <f>IFERROR(__xludf.DUMMYFUNCTION("""COMPUTED_VALUE"""),"")</f>
        <v/>
      </c>
      <c r="X9379" s="16" t="str">
        <f>IFERROR(__xludf.DUMMYFUNCTION("""COMPUTED_VALUE"""),"")</f>
        <v/>
      </c>
      <c r="AC9379" s="16" t="str">
        <f>IFERROR(__xludf.DUMMYFUNCTION("""COMPUTED_VALUE"""),"")</f>
        <v/>
      </c>
    </row>
    <row r="9380">
      <c r="A9380" s="16" t="s">
        <v>87</v>
      </c>
      <c r="E9380" s="16" t="str">
        <f>IFERROR(__xludf.DUMMYFUNCTION("""COMPUTED_VALUE"""),"")</f>
        <v/>
      </c>
      <c r="G9380" s="18"/>
      <c r="H9380" s="16" t="s">
        <v>87</v>
      </c>
      <c r="I9380" s="16" t="s">
        <v>87</v>
      </c>
      <c r="J9380" s="19"/>
      <c r="L9380" s="16" t="str">
        <f>IFERROR(__xludf.DUMMYFUNCTION("""COMPUTED_VALUE"""),"")</f>
        <v/>
      </c>
      <c r="M9380" s="16" t="str">
        <f>IFERROR(__xludf.DUMMYFUNCTION("""COMPUTED_VALUE"""),"")</f>
        <v/>
      </c>
      <c r="U9380" s="16" t="s">
        <v>87</v>
      </c>
      <c r="V9380" s="16" t="str">
        <f>IFERROR(__xludf.DUMMYFUNCTION("""COMPUTED_VALUE"""),"")</f>
        <v/>
      </c>
      <c r="W9380" s="16" t="str">
        <f>IFERROR(__xludf.DUMMYFUNCTION("""COMPUTED_VALUE"""),"")</f>
        <v/>
      </c>
      <c r="X9380" s="16" t="str">
        <f>IFERROR(__xludf.DUMMYFUNCTION("""COMPUTED_VALUE"""),"")</f>
        <v/>
      </c>
      <c r="AC9380" s="16" t="str">
        <f>IFERROR(__xludf.DUMMYFUNCTION("""COMPUTED_VALUE"""),"")</f>
        <v/>
      </c>
    </row>
    <row r="9381">
      <c r="A9381" s="16" t="s">
        <v>87</v>
      </c>
      <c r="E9381" s="16" t="str">
        <f>IFERROR(__xludf.DUMMYFUNCTION("""COMPUTED_VALUE"""),"")</f>
        <v/>
      </c>
      <c r="G9381" s="18"/>
      <c r="H9381" s="16" t="s">
        <v>87</v>
      </c>
      <c r="I9381" s="16" t="s">
        <v>87</v>
      </c>
      <c r="J9381" s="19"/>
      <c r="L9381" s="16" t="str">
        <f>IFERROR(__xludf.DUMMYFUNCTION("""COMPUTED_VALUE"""),"")</f>
        <v/>
      </c>
      <c r="M9381" s="16" t="str">
        <f>IFERROR(__xludf.DUMMYFUNCTION("""COMPUTED_VALUE"""),"")</f>
        <v/>
      </c>
      <c r="U9381" s="16" t="s">
        <v>87</v>
      </c>
      <c r="V9381" s="16" t="str">
        <f>IFERROR(__xludf.DUMMYFUNCTION("""COMPUTED_VALUE"""),"")</f>
        <v/>
      </c>
      <c r="W9381" s="16" t="str">
        <f>IFERROR(__xludf.DUMMYFUNCTION("""COMPUTED_VALUE"""),"")</f>
        <v/>
      </c>
      <c r="X9381" s="16" t="str">
        <f>IFERROR(__xludf.DUMMYFUNCTION("""COMPUTED_VALUE"""),"")</f>
        <v/>
      </c>
      <c r="AC9381" s="16" t="str">
        <f>IFERROR(__xludf.DUMMYFUNCTION("""COMPUTED_VALUE"""),"")</f>
        <v/>
      </c>
    </row>
    <row r="9382">
      <c r="A9382" s="16" t="s">
        <v>87</v>
      </c>
      <c r="E9382" s="16" t="str">
        <f>IFERROR(__xludf.DUMMYFUNCTION("""COMPUTED_VALUE"""),"")</f>
        <v/>
      </c>
      <c r="G9382" s="18"/>
      <c r="H9382" s="16" t="s">
        <v>87</v>
      </c>
      <c r="I9382" s="16" t="s">
        <v>87</v>
      </c>
      <c r="J9382" s="19"/>
      <c r="L9382" s="16" t="str">
        <f>IFERROR(__xludf.DUMMYFUNCTION("""COMPUTED_VALUE"""),"")</f>
        <v/>
      </c>
      <c r="M9382" s="16" t="str">
        <f>IFERROR(__xludf.DUMMYFUNCTION("""COMPUTED_VALUE"""),"")</f>
        <v/>
      </c>
      <c r="U9382" s="16" t="s">
        <v>87</v>
      </c>
      <c r="V9382" s="16" t="str">
        <f>IFERROR(__xludf.DUMMYFUNCTION("""COMPUTED_VALUE"""),"")</f>
        <v/>
      </c>
      <c r="W9382" s="16" t="str">
        <f>IFERROR(__xludf.DUMMYFUNCTION("""COMPUTED_VALUE"""),"")</f>
        <v/>
      </c>
      <c r="X9382" s="16" t="str">
        <f>IFERROR(__xludf.DUMMYFUNCTION("""COMPUTED_VALUE"""),"")</f>
        <v/>
      </c>
      <c r="AC9382" s="16" t="str">
        <f>IFERROR(__xludf.DUMMYFUNCTION("""COMPUTED_VALUE"""),"")</f>
        <v/>
      </c>
    </row>
    <row r="9383">
      <c r="A9383" s="16" t="s">
        <v>87</v>
      </c>
      <c r="E9383" s="16" t="str">
        <f>IFERROR(__xludf.DUMMYFUNCTION("""COMPUTED_VALUE"""),"")</f>
        <v/>
      </c>
      <c r="G9383" s="18"/>
      <c r="H9383" s="16" t="s">
        <v>87</v>
      </c>
      <c r="I9383" s="16" t="s">
        <v>87</v>
      </c>
      <c r="J9383" s="19"/>
      <c r="L9383" s="16" t="str">
        <f>IFERROR(__xludf.DUMMYFUNCTION("""COMPUTED_VALUE"""),"")</f>
        <v/>
      </c>
      <c r="M9383" s="16" t="str">
        <f>IFERROR(__xludf.DUMMYFUNCTION("""COMPUTED_VALUE"""),"")</f>
        <v/>
      </c>
      <c r="U9383" s="16" t="s">
        <v>87</v>
      </c>
      <c r="V9383" s="16" t="str">
        <f>IFERROR(__xludf.DUMMYFUNCTION("""COMPUTED_VALUE"""),"")</f>
        <v/>
      </c>
      <c r="W9383" s="16" t="str">
        <f>IFERROR(__xludf.DUMMYFUNCTION("""COMPUTED_VALUE"""),"")</f>
        <v/>
      </c>
      <c r="X9383" s="16" t="str">
        <f>IFERROR(__xludf.DUMMYFUNCTION("""COMPUTED_VALUE"""),"")</f>
        <v/>
      </c>
      <c r="AC9383" s="16" t="str">
        <f>IFERROR(__xludf.DUMMYFUNCTION("""COMPUTED_VALUE"""),"")</f>
        <v/>
      </c>
    </row>
    <row r="9384">
      <c r="A9384" s="16" t="s">
        <v>87</v>
      </c>
      <c r="E9384" s="16" t="str">
        <f>IFERROR(__xludf.DUMMYFUNCTION("""COMPUTED_VALUE"""),"")</f>
        <v/>
      </c>
      <c r="G9384" s="18"/>
      <c r="H9384" s="16" t="s">
        <v>87</v>
      </c>
      <c r="I9384" s="16" t="s">
        <v>87</v>
      </c>
      <c r="J9384" s="19"/>
      <c r="L9384" s="16" t="str">
        <f>IFERROR(__xludf.DUMMYFUNCTION("""COMPUTED_VALUE"""),"")</f>
        <v/>
      </c>
      <c r="M9384" s="16" t="str">
        <f>IFERROR(__xludf.DUMMYFUNCTION("""COMPUTED_VALUE"""),"")</f>
        <v/>
      </c>
      <c r="U9384" s="16" t="s">
        <v>87</v>
      </c>
      <c r="V9384" s="16" t="str">
        <f>IFERROR(__xludf.DUMMYFUNCTION("""COMPUTED_VALUE"""),"")</f>
        <v/>
      </c>
      <c r="W9384" s="16" t="str">
        <f>IFERROR(__xludf.DUMMYFUNCTION("""COMPUTED_VALUE"""),"")</f>
        <v/>
      </c>
      <c r="X9384" s="16" t="str">
        <f>IFERROR(__xludf.DUMMYFUNCTION("""COMPUTED_VALUE"""),"")</f>
        <v/>
      </c>
      <c r="AC9384" s="16" t="str">
        <f>IFERROR(__xludf.DUMMYFUNCTION("""COMPUTED_VALUE"""),"")</f>
        <v/>
      </c>
    </row>
    <row r="9385">
      <c r="A9385" s="16" t="s">
        <v>87</v>
      </c>
      <c r="E9385" s="16" t="str">
        <f>IFERROR(__xludf.DUMMYFUNCTION("""COMPUTED_VALUE"""),"")</f>
        <v/>
      </c>
      <c r="G9385" s="18"/>
      <c r="H9385" s="16" t="s">
        <v>87</v>
      </c>
      <c r="I9385" s="16" t="s">
        <v>87</v>
      </c>
      <c r="J9385" s="19"/>
      <c r="L9385" s="16" t="str">
        <f>IFERROR(__xludf.DUMMYFUNCTION("""COMPUTED_VALUE"""),"")</f>
        <v/>
      </c>
      <c r="M9385" s="16" t="str">
        <f>IFERROR(__xludf.DUMMYFUNCTION("""COMPUTED_VALUE"""),"")</f>
        <v/>
      </c>
      <c r="U9385" s="16" t="s">
        <v>87</v>
      </c>
      <c r="V9385" s="16" t="str">
        <f>IFERROR(__xludf.DUMMYFUNCTION("""COMPUTED_VALUE"""),"")</f>
        <v/>
      </c>
      <c r="W9385" s="16" t="str">
        <f>IFERROR(__xludf.DUMMYFUNCTION("""COMPUTED_VALUE"""),"")</f>
        <v/>
      </c>
      <c r="X9385" s="16" t="str">
        <f>IFERROR(__xludf.DUMMYFUNCTION("""COMPUTED_VALUE"""),"")</f>
        <v/>
      </c>
      <c r="AC9385" s="16" t="str">
        <f>IFERROR(__xludf.DUMMYFUNCTION("""COMPUTED_VALUE"""),"")</f>
        <v/>
      </c>
    </row>
    <row r="9386">
      <c r="A9386" s="16" t="s">
        <v>87</v>
      </c>
      <c r="E9386" s="16" t="str">
        <f>IFERROR(__xludf.DUMMYFUNCTION("""COMPUTED_VALUE"""),"")</f>
        <v/>
      </c>
      <c r="G9386" s="18"/>
      <c r="H9386" s="16" t="s">
        <v>87</v>
      </c>
      <c r="I9386" s="16" t="s">
        <v>87</v>
      </c>
      <c r="J9386" s="19"/>
      <c r="L9386" s="16" t="str">
        <f>IFERROR(__xludf.DUMMYFUNCTION("""COMPUTED_VALUE"""),"")</f>
        <v/>
      </c>
      <c r="M9386" s="16" t="str">
        <f>IFERROR(__xludf.DUMMYFUNCTION("""COMPUTED_VALUE"""),"")</f>
        <v/>
      </c>
      <c r="U9386" s="16" t="s">
        <v>87</v>
      </c>
      <c r="V9386" s="16" t="str">
        <f>IFERROR(__xludf.DUMMYFUNCTION("""COMPUTED_VALUE"""),"")</f>
        <v/>
      </c>
      <c r="W9386" s="16" t="str">
        <f>IFERROR(__xludf.DUMMYFUNCTION("""COMPUTED_VALUE"""),"")</f>
        <v/>
      </c>
      <c r="X9386" s="16" t="str">
        <f>IFERROR(__xludf.DUMMYFUNCTION("""COMPUTED_VALUE"""),"")</f>
        <v/>
      </c>
      <c r="AC9386" s="16" t="str">
        <f>IFERROR(__xludf.DUMMYFUNCTION("""COMPUTED_VALUE"""),"")</f>
        <v/>
      </c>
    </row>
    <row r="9387">
      <c r="A9387" s="16" t="s">
        <v>87</v>
      </c>
      <c r="E9387" s="16" t="str">
        <f>IFERROR(__xludf.DUMMYFUNCTION("""COMPUTED_VALUE"""),"")</f>
        <v/>
      </c>
      <c r="G9387" s="18"/>
      <c r="H9387" s="16" t="s">
        <v>87</v>
      </c>
      <c r="I9387" s="16" t="s">
        <v>87</v>
      </c>
      <c r="J9387" s="19"/>
      <c r="L9387" s="16" t="str">
        <f>IFERROR(__xludf.DUMMYFUNCTION("""COMPUTED_VALUE"""),"")</f>
        <v/>
      </c>
      <c r="M9387" s="16" t="str">
        <f>IFERROR(__xludf.DUMMYFUNCTION("""COMPUTED_VALUE"""),"")</f>
        <v/>
      </c>
      <c r="U9387" s="16" t="s">
        <v>87</v>
      </c>
      <c r="V9387" s="16" t="str">
        <f>IFERROR(__xludf.DUMMYFUNCTION("""COMPUTED_VALUE"""),"")</f>
        <v/>
      </c>
      <c r="W9387" s="16" t="str">
        <f>IFERROR(__xludf.DUMMYFUNCTION("""COMPUTED_VALUE"""),"")</f>
        <v/>
      </c>
      <c r="X9387" s="16" t="str">
        <f>IFERROR(__xludf.DUMMYFUNCTION("""COMPUTED_VALUE"""),"")</f>
        <v/>
      </c>
      <c r="AC9387" s="16" t="str">
        <f>IFERROR(__xludf.DUMMYFUNCTION("""COMPUTED_VALUE"""),"")</f>
        <v/>
      </c>
    </row>
    <row r="9388">
      <c r="A9388" s="16" t="s">
        <v>87</v>
      </c>
      <c r="E9388" s="16" t="str">
        <f>IFERROR(__xludf.DUMMYFUNCTION("""COMPUTED_VALUE"""),"")</f>
        <v/>
      </c>
      <c r="G9388" s="18"/>
      <c r="H9388" s="16" t="s">
        <v>87</v>
      </c>
      <c r="I9388" s="16" t="s">
        <v>87</v>
      </c>
      <c r="J9388" s="19"/>
      <c r="L9388" s="16" t="str">
        <f>IFERROR(__xludf.DUMMYFUNCTION("""COMPUTED_VALUE"""),"")</f>
        <v/>
      </c>
      <c r="M9388" s="16" t="str">
        <f>IFERROR(__xludf.DUMMYFUNCTION("""COMPUTED_VALUE"""),"")</f>
        <v/>
      </c>
      <c r="U9388" s="16" t="s">
        <v>87</v>
      </c>
      <c r="V9388" s="16" t="str">
        <f>IFERROR(__xludf.DUMMYFUNCTION("""COMPUTED_VALUE"""),"")</f>
        <v/>
      </c>
      <c r="W9388" s="16" t="str">
        <f>IFERROR(__xludf.DUMMYFUNCTION("""COMPUTED_VALUE"""),"")</f>
        <v/>
      </c>
      <c r="X9388" s="16" t="str">
        <f>IFERROR(__xludf.DUMMYFUNCTION("""COMPUTED_VALUE"""),"")</f>
        <v/>
      </c>
      <c r="AC9388" s="16" t="str">
        <f>IFERROR(__xludf.DUMMYFUNCTION("""COMPUTED_VALUE"""),"")</f>
        <v/>
      </c>
    </row>
    <row r="9389">
      <c r="A9389" s="16" t="s">
        <v>87</v>
      </c>
      <c r="E9389" s="16" t="str">
        <f>IFERROR(__xludf.DUMMYFUNCTION("""COMPUTED_VALUE"""),"")</f>
        <v/>
      </c>
      <c r="G9389" s="18"/>
      <c r="H9389" s="16" t="s">
        <v>87</v>
      </c>
      <c r="I9389" s="16" t="s">
        <v>87</v>
      </c>
      <c r="J9389" s="19"/>
      <c r="L9389" s="16" t="str">
        <f>IFERROR(__xludf.DUMMYFUNCTION("""COMPUTED_VALUE"""),"")</f>
        <v/>
      </c>
      <c r="M9389" s="16" t="str">
        <f>IFERROR(__xludf.DUMMYFUNCTION("""COMPUTED_VALUE"""),"")</f>
        <v/>
      </c>
      <c r="U9389" s="16" t="s">
        <v>87</v>
      </c>
      <c r="V9389" s="16" t="str">
        <f>IFERROR(__xludf.DUMMYFUNCTION("""COMPUTED_VALUE"""),"")</f>
        <v/>
      </c>
      <c r="W9389" s="16" t="str">
        <f>IFERROR(__xludf.DUMMYFUNCTION("""COMPUTED_VALUE"""),"")</f>
        <v/>
      </c>
      <c r="X9389" s="16" t="str">
        <f>IFERROR(__xludf.DUMMYFUNCTION("""COMPUTED_VALUE"""),"")</f>
        <v/>
      </c>
      <c r="AC9389" s="16" t="str">
        <f>IFERROR(__xludf.DUMMYFUNCTION("""COMPUTED_VALUE"""),"")</f>
        <v/>
      </c>
    </row>
    <row r="9390">
      <c r="A9390" s="16" t="s">
        <v>87</v>
      </c>
      <c r="E9390" s="16" t="str">
        <f>IFERROR(__xludf.DUMMYFUNCTION("""COMPUTED_VALUE"""),"")</f>
        <v/>
      </c>
      <c r="G9390" s="18"/>
      <c r="H9390" s="16" t="s">
        <v>87</v>
      </c>
      <c r="I9390" s="16" t="s">
        <v>87</v>
      </c>
      <c r="J9390" s="19"/>
      <c r="L9390" s="16" t="str">
        <f>IFERROR(__xludf.DUMMYFUNCTION("""COMPUTED_VALUE"""),"")</f>
        <v/>
      </c>
      <c r="M9390" s="16" t="str">
        <f>IFERROR(__xludf.DUMMYFUNCTION("""COMPUTED_VALUE"""),"")</f>
        <v/>
      </c>
      <c r="U9390" s="16" t="s">
        <v>87</v>
      </c>
      <c r="V9390" s="16" t="str">
        <f>IFERROR(__xludf.DUMMYFUNCTION("""COMPUTED_VALUE"""),"")</f>
        <v/>
      </c>
      <c r="W9390" s="16" t="str">
        <f>IFERROR(__xludf.DUMMYFUNCTION("""COMPUTED_VALUE"""),"")</f>
        <v/>
      </c>
      <c r="X9390" s="16" t="str">
        <f>IFERROR(__xludf.DUMMYFUNCTION("""COMPUTED_VALUE"""),"")</f>
        <v/>
      </c>
      <c r="AC9390" s="16" t="str">
        <f>IFERROR(__xludf.DUMMYFUNCTION("""COMPUTED_VALUE"""),"")</f>
        <v/>
      </c>
    </row>
    <row r="9391">
      <c r="A9391" s="16" t="s">
        <v>87</v>
      </c>
      <c r="E9391" s="16" t="str">
        <f>IFERROR(__xludf.DUMMYFUNCTION("""COMPUTED_VALUE"""),"")</f>
        <v/>
      </c>
      <c r="G9391" s="18"/>
      <c r="H9391" s="16" t="s">
        <v>87</v>
      </c>
      <c r="I9391" s="16" t="s">
        <v>87</v>
      </c>
      <c r="J9391" s="19"/>
      <c r="L9391" s="16" t="str">
        <f>IFERROR(__xludf.DUMMYFUNCTION("""COMPUTED_VALUE"""),"")</f>
        <v/>
      </c>
      <c r="M9391" s="16" t="str">
        <f>IFERROR(__xludf.DUMMYFUNCTION("""COMPUTED_VALUE"""),"")</f>
        <v/>
      </c>
      <c r="U9391" s="16" t="s">
        <v>87</v>
      </c>
      <c r="V9391" s="16" t="str">
        <f>IFERROR(__xludf.DUMMYFUNCTION("""COMPUTED_VALUE"""),"")</f>
        <v/>
      </c>
      <c r="W9391" s="16" t="str">
        <f>IFERROR(__xludf.DUMMYFUNCTION("""COMPUTED_VALUE"""),"")</f>
        <v/>
      </c>
      <c r="X9391" s="16" t="str">
        <f>IFERROR(__xludf.DUMMYFUNCTION("""COMPUTED_VALUE"""),"")</f>
        <v/>
      </c>
      <c r="AC9391" s="16" t="str">
        <f>IFERROR(__xludf.DUMMYFUNCTION("""COMPUTED_VALUE"""),"")</f>
        <v/>
      </c>
    </row>
    <row r="9392">
      <c r="A9392" s="16" t="s">
        <v>87</v>
      </c>
      <c r="E9392" s="16" t="str">
        <f>IFERROR(__xludf.DUMMYFUNCTION("""COMPUTED_VALUE"""),"")</f>
        <v/>
      </c>
      <c r="G9392" s="18"/>
      <c r="H9392" s="16" t="s">
        <v>87</v>
      </c>
      <c r="I9392" s="16" t="s">
        <v>87</v>
      </c>
      <c r="J9392" s="19"/>
      <c r="L9392" s="16" t="str">
        <f>IFERROR(__xludf.DUMMYFUNCTION("""COMPUTED_VALUE"""),"")</f>
        <v/>
      </c>
      <c r="M9392" s="16" t="str">
        <f>IFERROR(__xludf.DUMMYFUNCTION("""COMPUTED_VALUE"""),"")</f>
        <v/>
      </c>
      <c r="U9392" s="16" t="s">
        <v>87</v>
      </c>
      <c r="V9392" s="16" t="str">
        <f>IFERROR(__xludf.DUMMYFUNCTION("""COMPUTED_VALUE"""),"")</f>
        <v/>
      </c>
      <c r="W9392" s="16" t="str">
        <f>IFERROR(__xludf.DUMMYFUNCTION("""COMPUTED_VALUE"""),"")</f>
        <v/>
      </c>
      <c r="X9392" s="16" t="str">
        <f>IFERROR(__xludf.DUMMYFUNCTION("""COMPUTED_VALUE"""),"")</f>
        <v/>
      </c>
      <c r="AC9392" s="16" t="str">
        <f>IFERROR(__xludf.DUMMYFUNCTION("""COMPUTED_VALUE"""),"")</f>
        <v/>
      </c>
    </row>
    <row r="9393">
      <c r="A9393" s="16" t="s">
        <v>87</v>
      </c>
      <c r="E9393" s="16" t="str">
        <f>IFERROR(__xludf.DUMMYFUNCTION("""COMPUTED_VALUE"""),"")</f>
        <v/>
      </c>
      <c r="G9393" s="18"/>
      <c r="H9393" s="16" t="s">
        <v>87</v>
      </c>
      <c r="I9393" s="16" t="s">
        <v>87</v>
      </c>
      <c r="J9393" s="19"/>
      <c r="L9393" s="16" t="str">
        <f>IFERROR(__xludf.DUMMYFUNCTION("""COMPUTED_VALUE"""),"")</f>
        <v/>
      </c>
      <c r="M9393" s="16" t="str">
        <f>IFERROR(__xludf.DUMMYFUNCTION("""COMPUTED_VALUE"""),"")</f>
        <v/>
      </c>
      <c r="U9393" s="16" t="s">
        <v>87</v>
      </c>
      <c r="V9393" s="16" t="str">
        <f>IFERROR(__xludf.DUMMYFUNCTION("""COMPUTED_VALUE"""),"")</f>
        <v/>
      </c>
      <c r="W9393" s="16" t="str">
        <f>IFERROR(__xludf.DUMMYFUNCTION("""COMPUTED_VALUE"""),"")</f>
        <v/>
      </c>
      <c r="X9393" s="16" t="str">
        <f>IFERROR(__xludf.DUMMYFUNCTION("""COMPUTED_VALUE"""),"")</f>
        <v/>
      </c>
      <c r="AC9393" s="16" t="str">
        <f>IFERROR(__xludf.DUMMYFUNCTION("""COMPUTED_VALUE"""),"")</f>
        <v/>
      </c>
    </row>
    <row r="9394">
      <c r="A9394" s="16" t="s">
        <v>87</v>
      </c>
      <c r="E9394" s="16" t="str">
        <f>IFERROR(__xludf.DUMMYFUNCTION("""COMPUTED_VALUE"""),"")</f>
        <v/>
      </c>
      <c r="G9394" s="18"/>
      <c r="H9394" s="16" t="s">
        <v>87</v>
      </c>
      <c r="I9394" s="16" t="s">
        <v>87</v>
      </c>
      <c r="J9394" s="19"/>
      <c r="L9394" s="16" t="str">
        <f>IFERROR(__xludf.DUMMYFUNCTION("""COMPUTED_VALUE"""),"")</f>
        <v/>
      </c>
      <c r="M9394" s="16" t="str">
        <f>IFERROR(__xludf.DUMMYFUNCTION("""COMPUTED_VALUE"""),"")</f>
        <v/>
      </c>
      <c r="U9394" s="16" t="s">
        <v>87</v>
      </c>
      <c r="V9394" s="16" t="str">
        <f>IFERROR(__xludf.DUMMYFUNCTION("""COMPUTED_VALUE"""),"")</f>
        <v/>
      </c>
      <c r="W9394" s="16" t="str">
        <f>IFERROR(__xludf.DUMMYFUNCTION("""COMPUTED_VALUE"""),"")</f>
        <v/>
      </c>
      <c r="X9394" s="16" t="str">
        <f>IFERROR(__xludf.DUMMYFUNCTION("""COMPUTED_VALUE"""),"")</f>
        <v/>
      </c>
      <c r="AC9394" s="16" t="str">
        <f>IFERROR(__xludf.DUMMYFUNCTION("""COMPUTED_VALUE"""),"")</f>
        <v/>
      </c>
    </row>
    <row r="9395">
      <c r="A9395" s="16" t="s">
        <v>87</v>
      </c>
      <c r="E9395" s="16" t="str">
        <f>IFERROR(__xludf.DUMMYFUNCTION("""COMPUTED_VALUE"""),"")</f>
        <v/>
      </c>
      <c r="G9395" s="18"/>
      <c r="H9395" s="16" t="s">
        <v>87</v>
      </c>
      <c r="I9395" s="16" t="s">
        <v>87</v>
      </c>
      <c r="J9395" s="19"/>
      <c r="L9395" s="16" t="str">
        <f>IFERROR(__xludf.DUMMYFUNCTION("""COMPUTED_VALUE"""),"")</f>
        <v/>
      </c>
      <c r="M9395" s="16" t="str">
        <f>IFERROR(__xludf.DUMMYFUNCTION("""COMPUTED_VALUE"""),"")</f>
        <v/>
      </c>
      <c r="U9395" s="16" t="s">
        <v>87</v>
      </c>
      <c r="V9395" s="16" t="str">
        <f>IFERROR(__xludf.DUMMYFUNCTION("""COMPUTED_VALUE"""),"")</f>
        <v/>
      </c>
      <c r="W9395" s="16" t="str">
        <f>IFERROR(__xludf.DUMMYFUNCTION("""COMPUTED_VALUE"""),"")</f>
        <v/>
      </c>
      <c r="X9395" s="16" t="str">
        <f>IFERROR(__xludf.DUMMYFUNCTION("""COMPUTED_VALUE"""),"")</f>
        <v/>
      </c>
      <c r="AC9395" s="16" t="str">
        <f>IFERROR(__xludf.DUMMYFUNCTION("""COMPUTED_VALUE"""),"")</f>
        <v/>
      </c>
    </row>
    <row r="9396">
      <c r="A9396" s="16" t="s">
        <v>87</v>
      </c>
      <c r="E9396" s="16" t="str">
        <f>IFERROR(__xludf.DUMMYFUNCTION("""COMPUTED_VALUE"""),"")</f>
        <v/>
      </c>
      <c r="G9396" s="18"/>
      <c r="H9396" s="16" t="s">
        <v>87</v>
      </c>
      <c r="I9396" s="16" t="s">
        <v>87</v>
      </c>
      <c r="J9396" s="19"/>
      <c r="L9396" s="16" t="str">
        <f>IFERROR(__xludf.DUMMYFUNCTION("""COMPUTED_VALUE"""),"")</f>
        <v/>
      </c>
      <c r="M9396" s="16" t="str">
        <f>IFERROR(__xludf.DUMMYFUNCTION("""COMPUTED_VALUE"""),"")</f>
        <v/>
      </c>
      <c r="U9396" s="16" t="s">
        <v>87</v>
      </c>
      <c r="V9396" s="16" t="str">
        <f>IFERROR(__xludf.DUMMYFUNCTION("""COMPUTED_VALUE"""),"")</f>
        <v/>
      </c>
      <c r="W9396" s="16" t="str">
        <f>IFERROR(__xludf.DUMMYFUNCTION("""COMPUTED_VALUE"""),"")</f>
        <v/>
      </c>
      <c r="X9396" s="16" t="str">
        <f>IFERROR(__xludf.DUMMYFUNCTION("""COMPUTED_VALUE"""),"")</f>
        <v/>
      </c>
      <c r="AC9396" s="16" t="str">
        <f>IFERROR(__xludf.DUMMYFUNCTION("""COMPUTED_VALUE"""),"")</f>
        <v/>
      </c>
    </row>
    <row r="9397">
      <c r="A9397" s="16" t="s">
        <v>87</v>
      </c>
      <c r="E9397" s="16" t="str">
        <f>IFERROR(__xludf.DUMMYFUNCTION("""COMPUTED_VALUE"""),"")</f>
        <v/>
      </c>
      <c r="G9397" s="18"/>
      <c r="H9397" s="16" t="s">
        <v>87</v>
      </c>
      <c r="I9397" s="16" t="s">
        <v>87</v>
      </c>
      <c r="J9397" s="19"/>
      <c r="L9397" s="16" t="str">
        <f>IFERROR(__xludf.DUMMYFUNCTION("""COMPUTED_VALUE"""),"")</f>
        <v/>
      </c>
      <c r="M9397" s="16" t="str">
        <f>IFERROR(__xludf.DUMMYFUNCTION("""COMPUTED_VALUE"""),"")</f>
        <v/>
      </c>
      <c r="U9397" s="16" t="s">
        <v>87</v>
      </c>
      <c r="V9397" s="16" t="str">
        <f>IFERROR(__xludf.DUMMYFUNCTION("""COMPUTED_VALUE"""),"")</f>
        <v/>
      </c>
      <c r="W9397" s="16" t="str">
        <f>IFERROR(__xludf.DUMMYFUNCTION("""COMPUTED_VALUE"""),"")</f>
        <v/>
      </c>
      <c r="X9397" s="16" t="str">
        <f>IFERROR(__xludf.DUMMYFUNCTION("""COMPUTED_VALUE"""),"")</f>
        <v/>
      </c>
      <c r="AC9397" s="16" t="str">
        <f>IFERROR(__xludf.DUMMYFUNCTION("""COMPUTED_VALUE"""),"")</f>
        <v/>
      </c>
    </row>
    <row r="9398">
      <c r="A9398" s="16" t="s">
        <v>87</v>
      </c>
      <c r="E9398" s="16" t="str">
        <f>IFERROR(__xludf.DUMMYFUNCTION("""COMPUTED_VALUE"""),"")</f>
        <v/>
      </c>
      <c r="G9398" s="18"/>
      <c r="H9398" s="16" t="s">
        <v>87</v>
      </c>
      <c r="I9398" s="16" t="s">
        <v>87</v>
      </c>
      <c r="J9398" s="19"/>
      <c r="L9398" s="16" t="str">
        <f>IFERROR(__xludf.DUMMYFUNCTION("""COMPUTED_VALUE"""),"")</f>
        <v/>
      </c>
      <c r="M9398" s="16" t="str">
        <f>IFERROR(__xludf.DUMMYFUNCTION("""COMPUTED_VALUE"""),"")</f>
        <v/>
      </c>
      <c r="U9398" s="16" t="s">
        <v>87</v>
      </c>
      <c r="V9398" s="16" t="str">
        <f>IFERROR(__xludf.DUMMYFUNCTION("""COMPUTED_VALUE"""),"")</f>
        <v/>
      </c>
      <c r="W9398" s="16" t="str">
        <f>IFERROR(__xludf.DUMMYFUNCTION("""COMPUTED_VALUE"""),"")</f>
        <v/>
      </c>
      <c r="X9398" s="16" t="str">
        <f>IFERROR(__xludf.DUMMYFUNCTION("""COMPUTED_VALUE"""),"")</f>
        <v/>
      </c>
      <c r="AC9398" s="16" t="str">
        <f>IFERROR(__xludf.DUMMYFUNCTION("""COMPUTED_VALUE"""),"")</f>
        <v/>
      </c>
    </row>
    <row r="9399">
      <c r="A9399" s="16" t="s">
        <v>87</v>
      </c>
      <c r="E9399" s="16" t="str">
        <f>IFERROR(__xludf.DUMMYFUNCTION("""COMPUTED_VALUE"""),"")</f>
        <v/>
      </c>
      <c r="G9399" s="18"/>
      <c r="H9399" s="16" t="s">
        <v>87</v>
      </c>
      <c r="I9399" s="16" t="s">
        <v>87</v>
      </c>
      <c r="J9399" s="19"/>
      <c r="L9399" s="16" t="str">
        <f>IFERROR(__xludf.DUMMYFUNCTION("""COMPUTED_VALUE"""),"")</f>
        <v/>
      </c>
      <c r="M9399" s="16" t="str">
        <f>IFERROR(__xludf.DUMMYFUNCTION("""COMPUTED_VALUE"""),"")</f>
        <v/>
      </c>
      <c r="U9399" s="16" t="s">
        <v>87</v>
      </c>
      <c r="V9399" s="16" t="str">
        <f>IFERROR(__xludf.DUMMYFUNCTION("""COMPUTED_VALUE"""),"")</f>
        <v/>
      </c>
      <c r="W9399" s="16" t="str">
        <f>IFERROR(__xludf.DUMMYFUNCTION("""COMPUTED_VALUE"""),"")</f>
        <v/>
      </c>
      <c r="X9399" s="16" t="str">
        <f>IFERROR(__xludf.DUMMYFUNCTION("""COMPUTED_VALUE"""),"")</f>
        <v/>
      </c>
      <c r="AC9399" s="16" t="str">
        <f>IFERROR(__xludf.DUMMYFUNCTION("""COMPUTED_VALUE"""),"")</f>
        <v/>
      </c>
    </row>
    <row r="9400">
      <c r="A9400" s="16" t="s">
        <v>87</v>
      </c>
      <c r="E9400" s="16" t="str">
        <f>IFERROR(__xludf.DUMMYFUNCTION("""COMPUTED_VALUE"""),"")</f>
        <v/>
      </c>
      <c r="G9400" s="18"/>
      <c r="H9400" s="16" t="s">
        <v>87</v>
      </c>
      <c r="I9400" s="16" t="s">
        <v>87</v>
      </c>
      <c r="J9400" s="19"/>
      <c r="L9400" s="16" t="str">
        <f>IFERROR(__xludf.DUMMYFUNCTION("""COMPUTED_VALUE"""),"")</f>
        <v/>
      </c>
      <c r="M9400" s="16" t="str">
        <f>IFERROR(__xludf.DUMMYFUNCTION("""COMPUTED_VALUE"""),"")</f>
        <v/>
      </c>
      <c r="U9400" s="16" t="s">
        <v>87</v>
      </c>
      <c r="V9400" s="16" t="str">
        <f>IFERROR(__xludf.DUMMYFUNCTION("""COMPUTED_VALUE"""),"")</f>
        <v/>
      </c>
      <c r="W9400" s="16" t="str">
        <f>IFERROR(__xludf.DUMMYFUNCTION("""COMPUTED_VALUE"""),"")</f>
        <v/>
      </c>
      <c r="X9400" s="16" t="str">
        <f>IFERROR(__xludf.DUMMYFUNCTION("""COMPUTED_VALUE"""),"")</f>
        <v/>
      </c>
      <c r="AC9400" s="16" t="str">
        <f>IFERROR(__xludf.DUMMYFUNCTION("""COMPUTED_VALUE"""),"")</f>
        <v/>
      </c>
    </row>
    <row r="9401">
      <c r="A9401" s="16" t="s">
        <v>87</v>
      </c>
      <c r="E9401" s="16" t="str">
        <f>IFERROR(__xludf.DUMMYFUNCTION("""COMPUTED_VALUE"""),"")</f>
        <v/>
      </c>
      <c r="G9401" s="18"/>
      <c r="H9401" s="16" t="s">
        <v>87</v>
      </c>
      <c r="I9401" s="16" t="s">
        <v>87</v>
      </c>
      <c r="J9401" s="19"/>
      <c r="L9401" s="16" t="str">
        <f>IFERROR(__xludf.DUMMYFUNCTION("""COMPUTED_VALUE"""),"")</f>
        <v/>
      </c>
      <c r="M9401" s="16" t="str">
        <f>IFERROR(__xludf.DUMMYFUNCTION("""COMPUTED_VALUE"""),"")</f>
        <v/>
      </c>
      <c r="U9401" s="16" t="s">
        <v>87</v>
      </c>
      <c r="V9401" s="16" t="str">
        <f>IFERROR(__xludf.DUMMYFUNCTION("""COMPUTED_VALUE"""),"")</f>
        <v/>
      </c>
      <c r="W9401" s="16" t="str">
        <f>IFERROR(__xludf.DUMMYFUNCTION("""COMPUTED_VALUE"""),"")</f>
        <v/>
      </c>
      <c r="X9401" s="16" t="str">
        <f>IFERROR(__xludf.DUMMYFUNCTION("""COMPUTED_VALUE"""),"")</f>
        <v/>
      </c>
      <c r="AC9401" s="16" t="str">
        <f>IFERROR(__xludf.DUMMYFUNCTION("""COMPUTED_VALUE"""),"")</f>
        <v/>
      </c>
    </row>
    <row r="9402">
      <c r="A9402" s="16" t="s">
        <v>87</v>
      </c>
      <c r="E9402" s="16" t="str">
        <f>IFERROR(__xludf.DUMMYFUNCTION("""COMPUTED_VALUE"""),"")</f>
        <v/>
      </c>
      <c r="G9402" s="18"/>
      <c r="H9402" s="16" t="s">
        <v>87</v>
      </c>
      <c r="I9402" s="16" t="s">
        <v>87</v>
      </c>
      <c r="J9402" s="19"/>
      <c r="L9402" s="16" t="str">
        <f>IFERROR(__xludf.DUMMYFUNCTION("""COMPUTED_VALUE"""),"")</f>
        <v/>
      </c>
      <c r="M9402" s="16" t="str">
        <f>IFERROR(__xludf.DUMMYFUNCTION("""COMPUTED_VALUE"""),"")</f>
        <v/>
      </c>
      <c r="U9402" s="16" t="s">
        <v>87</v>
      </c>
      <c r="V9402" s="16" t="str">
        <f>IFERROR(__xludf.DUMMYFUNCTION("""COMPUTED_VALUE"""),"")</f>
        <v/>
      </c>
      <c r="W9402" s="16" t="str">
        <f>IFERROR(__xludf.DUMMYFUNCTION("""COMPUTED_VALUE"""),"")</f>
        <v/>
      </c>
      <c r="X9402" s="16" t="str">
        <f>IFERROR(__xludf.DUMMYFUNCTION("""COMPUTED_VALUE"""),"")</f>
        <v/>
      </c>
      <c r="AC9402" s="16" t="str">
        <f>IFERROR(__xludf.DUMMYFUNCTION("""COMPUTED_VALUE"""),"")</f>
        <v/>
      </c>
    </row>
    <row r="9403">
      <c r="A9403" s="16" t="s">
        <v>87</v>
      </c>
      <c r="E9403" s="16" t="str">
        <f>IFERROR(__xludf.DUMMYFUNCTION("""COMPUTED_VALUE"""),"")</f>
        <v/>
      </c>
      <c r="G9403" s="18"/>
      <c r="H9403" s="16" t="s">
        <v>87</v>
      </c>
      <c r="I9403" s="16" t="s">
        <v>87</v>
      </c>
      <c r="J9403" s="19"/>
      <c r="L9403" s="16" t="str">
        <f>IFERROR(__xludf.DUMMYFUNCTION("""COMPUTED_VALUE"""),"")</f>
        <v/>
      </c>
      <c r="M9403" s="16" t="str">
        <f>IFERROR(__xludf.DUMMYFUNCTION("""COMPUTED_VALUE"""),"")</f>
        <v/>
      </c>
      <c r="U9403" s="16" t="s">
        <v>87</v>
      </c>
      <c r="V9403" s="16" t="str">
        <f>IFERROR(__xludf.DUMMYFUNCTION("""COMPUTED_VALUE"""),"")</f>
        <v/>
      </c>
      <c r="W9403" s="16" t="str">
        <f>IFERROR(__xludf.DUMMYFUNCTION("""COMPUTED_VALUE"""),"")</f>
        <v/>
      </c>
      <c r="X9403" s="16" t="str">
        <f>IFERROR(__xludf.DUMMYFUNCTION("""COMPUTED_VALUE"""),"")</f>
        <v/>
      </c>
      <c r="AC9403" s="16" t="str">
        <f>IFERROR(__xludf.DUMMYFUNCTION("""COMPUTED_VALUE"""),"")</f>
        <v/>
      </c>
    </row>
    <row r="9404">
      <c r="A9404" s="16" t="s">
        <v>87</v>
      </c>
      <c r="E9404" s="16" t="str">
        <f>IFERROR(__xludf.DUMMYFUNCTION("""COMPUTED_VALUE"""),"")</f>
        <v/>
      </c>
      <c r="G9404" s="18"/>
      <c r="H9404" s="16" t="s">
        <v>87</v>
      </c>
      <c r="I9404" s="16" t="s">
        <v>87</v>
      </c>
      <c r="J9404" s="19"/>
      <c r="L9404" s="16" t="str">
        <f>IFERROR(__xludf.DUMMYFUNCTION("""COMPUTED_VALUE"""),"")</f>
        <v/>
      </c>
      <c r="M9404" s="16" t="str">
        <f>IFERROR(__xludf.DUMMYFUNCTION("""COMPUTED_VALUE"""),"")</f>
        <v/>
      </c>
      <c r="U9404" s="16" t="s">
        <v>87</v>
      </c>
      <c r="V9404" s="16" t="str">
        <f>IFERROR(__xludf.DUMMYFUNCTION("""COMPUTED_VALUE"""),"")</f>
        <v/>
      </c>
      <c r="W9404" s="16" t="str">
        <f>IFERROR(__xludf.DUMMYFUNCTION("""COMPUTED_VALUE"""),"")</f>
        <v/>
      </c>
      <c r="X9404" s="16" t="str">
        <f>IFERROR(__xludf.DUMMYFUNCTION("""COMPUTED_VALUE"""),"")</f>
        <v/>
      </c>
      <c r="AC9404" s="16" t="str">
        <f>IFERROR(__xludf.DUMMYFUNCTION("""COMPUTED_VALUE"""),"")</f>
        <v/>
      </c>
    </row>
    <row r="9405">
      <c r="A9405" s="16" t="s">
        <v>87</v>
      </c>
      <c r="E9405" s="16" t="str">
        <f>IFERROR(__xludf.DUMMYFUNCTION("""COMPUTED_VALUE"""),"")</f>
        <v/>
      </c>
      <c r="G9405" s="18"/>
      <c r="H9405" s="16" t="s">
        <v>87</v>
      </c>
      <c r="I9405" s="16" t="s">
        <v>87</v>
      </c>
      <c r="J9405" s="19"/>
      <c r="L9405" s="16" t="str">
        <f>IFERROR(__xludf.DUMMYFUNCTION("""COMPUTED_VALUE"""),"")</f>
        <v/>
      </c>
      <c r="M9405" s="16" t="str">
        <f>IFERROR(__xludf.DUMMYFUNCTION("""COMPUTED_VALUE"""),"")</f>
        <v/>
      </c>
      <c r="U9405" s="16" t="s">
        <v>87</v>
      </c>
      <c r="V9405" s="16" t="str">
        <f>IFERROR(__xludf.DUMMYFUNCTION("""COMPUTED_VALUE"""),"")</f>
        <v/>
      </c>
      <c r="W9405" s="16" t="str">
        <f>IFERROR(__xludf.DUMMYFUNCTION("""COMPUTED_VALUE"""),"")</f>
        <v/>
      </c>
      <c r="X9405" s="16" t="str">
        <f>IFERROR(__xludf.DUMMYFUNCTION("""COMPUTED_VALUE"""),"")</f>
        <v/>
      </c>
      <c r="AC9405" s="16" t="str">
        <f>IFERROR(__xludf.DUMMYFUNCTION("""COMPUTED_VALUE"""),"")</f>
        <v/>
      </c>
    </row>
    <row r="9406">
      <c r="A9406" s="16" t="s">
        <v>87</v>
      </c>
      <c r="E9406" s="16" t="str">
        <f>IFERROR(__xludf.DUMMYFUNCTION("""COMPUTED_VALUE"""),"")</f>
        <v/>
      </c>
      <c r="G9406" s="18"/>
      <c r="H9406" s="16" t="s">
        <v>87</v>
      </c>
      <c r="I9406" s="16" t="s">
        <v>87</v>
      </c>
      <c r="J9406" s="19"/>
      <c r="L9406" s="16" t="str">
        <f>IFERROR(__xludf.DUMMYFUNCTION("""COMPUTED_VALUE"""),"")</f>
        <v/>
      </c>
      <c r="M9406" s="16" t="str">
        <f>IFERROR(__xludf.DUMMYFUNCTION("""COMPUTED_VALUE"""),"")</f>
        <v/>
      </c>
      <c r="U9406" s="16" t="s">
        <v>87</v>
      </c>
      <c r="V9406" s="16" t="str">
        <f>IFERROR(__xludf.DUMMYFUNCTION("""COMPUTED_VALUE"""),"")</f>
        <v/>
      </c>
      <c r="W9406" s="16" t="str">
        <f>IFERROR(__xludf.DUMMYFUNCTION("""COMPUTED_VALUE"""),"")</f>
        <v/>
      </c>
      <c r="X9406" s="16" t="str">
        <f>IFERROR(__xludf.DUMMYFUNCTION("""COMPUTED_VALUE"""),"")</f>
        <v/>
      </c>
      <c r="AC9406" s="16" t="str">
        <f>IFERROR(__xludf.DUMMYFUNCTION("""COMPUTED_VALUE"""),"")</f>
        <v/>
      </c>
    </row>
    <row r="9407">
      <c r="A9407" s="16" t="s">
        <v>87</v>
      </c>
      <c r="E9407" s="16" t="str">
        <f>IFERROR(__xludf.DUMMYFUNCTION("""COMPUTED_VALUE"""),"")</f>
        <v/>
      </c>
      <c r="G9407" s="18"/>
      <c r="H9407" s="16" t="s">
        <v>87</v>
      </c>
      <c r="I9407" s="16" t="s">
        <v>87</v>
      </c>
      <c r="J9407" s="19"/>
      <c r="L9407" s="16" t="str">
        <f>IFERROR(__xludf.DUMMYFUNCTION("""COMPUTED_VALUE"""),"")</f>
        <v/>
      </c>
      <c r="M9407" s="16" t="str">
        <f>IFERROR(__xludf.DUMMYFUNCTION("""COMPUTED_VALUE"""),"")</f>
        <v/>
      </c>
      <c r="U9407" s="16" t="s">
        <v>87</v>
      </c>
      <c r="V9407" s="16" t="str">
        <f>IFERROR(__xludf.DUMMYFUNCTION("""COMPUTED_VALUE"""),"")</f>
        <v/>
      </c>
      <c r="W9407" s="16" t="str">
        <f>IFERROR(__xludf.DUMMYFUNCTION("""COMPUTED_VALUE"""),"")</f>
        <v/>
      </c>
      <c r="X9407" s="16" t="str">
        <f>IFERROR(__xludf.DUMMYFUNCTION("""COMPUTED_VALUE"""),"")</f>
        <v/>
      </c>
      <c r="AC9407" s="16" t="str">
        <f>IFERROR(__xludf.DUMMYFUNCTION("""COMPUTED_VALUE"""),"")</f>
        <v/>
      </c>
    </row>
    <row r="9408">
      <c r="A9408" s="16" t="s">
        <v>87</v>
      </c>
      <c r="E9408" s="16" t="str">
        <f>IFERROR(__xludf.DUMMYFUNCTION("""COMPUTED_VALUE"""),"")</f>
        <v/>
      </c>
      <c r="G9408" s="18"/>
      <c r="H9408" s="16" t="s">
        <v>87</v>
      </c>
      <c r="I9408" s="16" t="s">
        <v>87</v>
      </c>
      <c r="J9408" s="19"/>
      <c r="L9408" s="16" t="str">
        <f>IFERROR(__xludf.DUMMYFUNCTION("""COMPUTED_VALUE"""),"")</f>
        <v/>
      </c>
      <c r="M9408" s="16" t="str">
        <f>IFERROR(__xludf.DUMMYFUNCTION("""COMPUTED_VALUE"""),"")</f>
        <v/>
      </c>
      <c r="U9408" s="16" t="s">
        <v>87</v>
      </c>
      <c r="V9408" s="16" t="str">
        <f>IFERROR(__xludf.DUMMYFUNCTION("""COMPUTED_VALUE"""),"")</f>
        <v/>
      </c>
      <c r="W9408" s="16" t="str">
        <f>IFERROR(__xludf.DUMMYFUNCTION("""COMPUTED_VALUE"""),"")</f>
        <v/>
      </c>
      <c r="X9408" s="16" t="str">
        <f>IFERROR(__xludf.DUMMYFUNCTION("""COMPUTED_VALUE"""),"")</f>
        <v/>
      </c>
      <c r="AC9408" s="16" t="str">
        <f>IFERROR(__xludf.DUMMYFUNCTION("""COMPUTED_VALUE"""),"")</f>
        <v/>
      </c>
    </row>
    <row r="9409">
      <c r="A9409" s="16" t="s">
        <v>87</v>
      </c>
      <c r="E9409" s="16" t="str">
        <f>IFERROR(__xludf.DUMMYFUNCTION("""COMPUTED_VALUE"""),"")</f>
        <v/>
      </c>
      <c r="G9409" s="18"/>
      <c r="H9409" s="16" t="s">
        <v>87</v>
      </c>
      <c r="I9409" s="16" t="s">
        <v>87</v>
      </c>
      <c r="J9409" s="19"/>
      <c r="L9409" s="16" t="str">
        <f>IFERROR(__xludf.DUMMYFUNCTION("""COMPUTED_VALUE"""),"")</f>
        <v/>
      </c>
      <c r="M9409" s="16" t="str">
        <f>IFERROR(__xludf.DUMMYFUNCTION("""COMPUTED_VALUE"""),"")</f>
        <v/>
      </c>
      <c r="U9409" s="16" t="s">
        <v>87</v>
      </c>
      <c r="V9409" s="16" t="str">
        <f>IFERROR(__xludf.DUMMYFUNCTION("""COMPUTED_VALUE"""),"")</f>
        <v/>
      </c>
      <c r="W9409" s="16" t="str">
        <f>IFERROR(__xludf.DUMMYFUNCTION("""COMPUTED_VALUE"""),"")</f>
        <v/>
      </c>
      <c r="X9409" s="16" t="str">
        <f>IFERROR(__xludf.DUMMYFUNCTION("""COMPUTED_VALUE"""),"")</f>
        <v/>
      </c>
      <c r="AC9409" s="16" t="str">
        <f>IFERROR(__xludf.DUMMYFUNCTION("""COMPUTED_VALUE"""),"")</f>
        <v/>
      </c>
    </row>
    <row r="9410">
      <c r="A9410" s="16" t="s">
        <v>87</v>
      </c>
      <c r="E9410" s="16" t="str">
        <f>IFERROR(__xludf.DUMMYFUNCTION("""COMPUTED_VALUE"""),"")</f>
        <v/>
      </c>
      <c r="G9410" s="18"/>
      <c r="H9410" s="16" t="s">
        <v>87</v>
      </c>
      <c r="I9410" s="16" t="s">
        <v>87</v>
      </c>
      <c r="J9410" s="19"/>
      <c r="L9410" s="16" t="str">
        <f>IFERROR(__xludf.DUMMYFUNCTION("""COMPUTED_VALUE"""),"")</f>
        <v/>
      </c>
      <c r="M9410" s="16" t="str">
        <f>IFERROR(__xludf.DUMMYFUNCTION("""COMPUTED_VALUE"""),"")</f>
        <v/>
      </c>
      <c r="U9410" s="16" t="s">
        <v>87</v>
      </c>
      <c r="V9410" s="16" t="str">
        <f>IFERROR(__xludf.DUMMYFUNCTION("""COMPUTED_VALUE"""),"")</f>
        <v/>
      </c>
      <c r="W9410" s="16" t="str">
        <f>IFERROR(__xludf.DUMMYFUNCTION("""COMPUTED_VALUE"""),"")</f>
        <v/>
      </c>
      <c r="X9410" s="16" t="str">
        <f>IFERROR(__xludf.DUMMYFUNCTION("""COMPUTED_VALUE"""),"")</f>
        <v/>
      </c>
      <c r="AC9410" s="16" t="str">
        <f>IFERROR(__xludf.DUMMYFUNCTION("""COMPUTED_VALUE"""),"")</f>
        <v/>
      </c>
    </row>
    <row r="9411">
      <c r="A9411" s="16" t="s">
        <v>87</v>
      </c>
      <c r="E9411" s="16" t="str">
        <f>IFERROR(__xludf.DUMMYFUNCTION("""COMPUTED_VALUE"""),"")</f>
        <v/>
      </c>
      <c r="G9411" s="18"/>
      <c r="H9411" s="16" t="s">
        <v>87</v>
      </c>
      <c r="I9411" s="16" t="s">
        <v>87</v>
      </c>
      <c r="J9411" s="19"/>
      <c r="L9411" s="16" t="str">
        <f>IFERROR(__xludf.DUMMYFUNCTION("""COMPUTED_VALUE"""),"")</f>
        <v/>
      </c>
      <c r="M9411" s="16" t="str">
        <f>IFERROR(__xludf.DUMMYFUNCTION("""COMPUTED_VALUE"""),"")</f>
        <v/>
      </c>
      <c r="U9411" s="16" t="s">
        <v>87</v>
      </c>
      <c r="V9411" s="16" t="str">
        <f>IFERROR(__xludf.DUMMYFUNCTION("""COMPUTED_VALUE"""),"")</f>
        <v/>
      </c>
      <c r="W9411" s="16" t="str">
        <f>IFERROR(__xludf.DUMMYFUNCTION("""COMPUTED_VALUE"""),"")</f>
        <v/>
      </c>
      <c r="X9411" s="16" t="str">
        <f>IFERROR(__xludf.DUMMYFUNCTION("""COMPUTED_VALUE"""),"")</f>
        <v/>
      </c>
      <c r="AC9411" s="16" t="str">
        <f>IFERROR(__xludf.DUMMYFUNCTION("""COMPUTED_VALUE"""),"")</f>
        <v/>
      </c>
    </row>
    <row r="9412">
      <c r="A9412" s="16" t="s">
        <v>87</v>
      </c>
      <c r="E9412" s="16" t="str">
        <f>IFERROR(__xludf.DUMMYFUNCTION("""COMPUTED_VALUE"""),"")</f>
        <v/>
      </c>
      <c r="G9412" s="18"/>
      <c r="H9412" s="16" t="s">
        <v>87</v>
      </c>
      <c r="I9412" s="16" t="s">
        <v>87</v>
      </c>
      <c r="J9412" s="19"/>
      <c r="L9412" s="16" t="str">
        <f>IFERROR(__xludf.DUMMYFUNCTION("""COMPUTED_VALUE"""),"")</f>
        <v/>
      </c>
      <c r="M9412" s="16" t="str">
        <f>IFERROR(__xludf.DUMMYFUNCTION("""COMPUTED_VALUE"""),"")</f>
        <v/>
      </c>
      <c r="U9412" s="16" t="s">
        <v>87</v>
      </c>
      <c r="V9412" s="16" t="str">
        <f>IFERROR(__xludf.DUMMYFUNCTION("""COMPUTED_VALUE"""),"")</f>
        <v/>
      </c>
      <c r="W9412" s="16" t="str">
        <f>IFERROR(__xludf.DUMMYFUNCTION("""COMPUTED_VALUE"""),"")</f>
        <v/>
      </c>
      <c r="X9412" s="16" t="str">
        <f>IFERROR(__xludf.DUMMYFUNCTION("""COMPUTED_VALUE"""),"")</f>
        <v/>
      </c>
      <c r="AC9412" s="16" t="str">
        <f>IFERROR(__xludf.DUMMYFUNCTION("""COMPUTED_VALUE"""),"")</f>
        <v/>
      </c>
    </row>
    <row r="9413">
      <c r="A9413" s="16" t="s">
        <v>87</v>
      </c>
      <c r="E9413" s="16" t="str">
        <f>IFERROR(__xludf.DUMMYFUNCTION("""COMPUTED_VALUE"""),"")</f>
        <v/>
      </c>
      <c r="G9413" s="18"/>
      <c r="H9413" s="16" t="s">
        <v>87</v>
      </c>
      <c r="I9413" s="16" t="s">
        <v>87</v>
      </c>
      <c r="J9413" s="19"/>
      <c r="L9413" s="16" t="str">
        <f>IFERROR(__xludf.DUMMYFUNCTION("""COMPUTED_VALUE"""),"")</f>
        <v/>
      </c>
      <c r="M9413" s="16" t="str">
        <f>IFERROR(__xludf.DUMMYFUNCTION("""COMPUTED_VALUE"""),"")</f>
        <v/>
      </c>
      <c r="U9413" s="16" t="s">
        <v>87</v>
      </c>
      <c r="V9413" s="16" t="str">
        <f>IFERROR(__xludf.DUMMYFUNCTION("""COMPUTED_VALUE"""),"")</f>
        <v/>
      </c>
      <c r="W9413" s="16" t="str">
        <f>IFERROR(__xludf.DUMMYFUNCTION("""COMPUTED_VALUE"""),"")</f>
        <v/>
      </c>
      <c r="X9413" s="16" t="str">
        <f>IFERROR(__xludf.DUMMYFUNCTION("""COMPUTED_VALUE"""),"")</f>
        <v/>
      </c>
      <c r="AC9413" s="16" t="str">
        <f>IFERROR(__xludf.DUMMYFUNCTION("""COMPUTED_VALUE"""),"")</f>
        <v/>
      </c>
    </row>
    <row r="9414">
      <c r="A9414" s="16" t="s">
        <v>87</v>
      </c>
      <c r="E9414" s="16" t="str">
        <f>IFERROR(__xludf.DUMMYFUNCTION("""COMPUTED_VALUE"""),"")</f>
        <v/>
      </c>
      <c r="G9414" s="18"/>
      <c r="H9414" s="16" t="s">
        <v>87</v>
      </c>
      <c r="I9414" s="16" t="s">
        <v>87</v>
      </c>
      <c r="J9414" s="19"/>
      <c r="L9414" s="16" t="str">
        <f>IFERROR(__xludf.DUMMYFUNCTION("""COMPUTED_VALUE"""),"")</f>
        <v/>
      </c>
      <c r="M9414" s="16" t="str">
        <f>IFERROR(__xludf.DUMMYFUNCTION("""COMPUTED_VALUE"""),"")</f>
        <v/>
      </c>
      <c r="U9414" s="16" t="s">
        <v>87</v>
      </c>
      <c r="V9414" s="16" t="str">
        <f>IFERROR(__xludf.DUMMYFUNCTION("""COMPUTED_VALUE"""),"")</f>
        <v/>
      </c>
      <c r="W9414" s="16" t="str">
        <f>IFERROR(__xludf.DUMMYFUNCTION("""COMPUTED_VALUE"""),"")</f>
        <v/>
      </c>
      <c r="X9414" s="16" t="str">
        <f>IFERROR(__xludf.DUMMYFUNCTION("""COMPUTED_VALUE"""),"")</f>
        <v/>
      </c>
      <c r="AC9414" s="16" t="str">
        <f>IFERROR(__xludf.DUMMYFUNCTION("""COMPUTED_VALUE"""),"")</f>
        <v/>
      </c>
    </row>
    <row r="9415">
      <c r="A9415" s="16" t="s">
        <v>87</v>
      </c>
      <c r="E9415" s="16" t="str">
        <f>IFERROR(__xludf.DUMMYFUNCTION("""COMPUTED_VALUE"""),"")</f>
        <v/>
      </c>
      <c r="G9415" s="18"/>
      <c r="H9415" s="16" t="s">
        <v>87</v>
      </c>
      <c r="I9415" s="16" t="s">
        <v>87</v>
      </c>
      <c r="J9415" s="19"/>
      <c r="L9415" s="16" t="str">
        <f>IFERROR(__xludf.DUMMYFUNCTION("""COMPUTED_VALUE"""),"")</f>
        <v/>
      </c>
      <c r="M9415" s="16" t="str">
        <f>IFERROR(__xludf.DUMMYFUNCTION("""COMPUTED_VALUE"""),"")</f>
        <v/>
      </c>
      <c r="U9415" s="16" t="s">
        <v>87</v>
      </c>
      <c r="V9415" s="16" t="str">
        <f>IFERROR(__xludf.DUMMYFUNCTION("""COMPUTED_VALUE"""),"")</f>
        <v/>
      </c>
      <c r="W9415" s="16" t="str">
        <f>IFERROR(__xludf.DUMMYFUNCTION("""COMPUTED_VALUE"""),"")</f>
        <v/>
      </c>
      <c r="X9415" s="16" t="str">
        <f>IFERROR(__xludf.DUMMYFUNCTION("""COMPUTED_VALUE"""),"")</f>
        <v/>
      </c>
      <c r="AC9415" s="16" t="str">
        <f>IFERROR(__xludf.DUMMYFUNCTION("""COMPUTED_VALUE"""),"")</f>
        <v/>
      </c>
    </row>
    <row r="9416">
      <c r="A9416" s="16" t="s">
        <v>87</v>
      </c>
      <c r="E9416" s="16" t="str">
        <f>IFERROR(__xludf.DUMMYFUNCTION("""COMPUTED_VALUE"""),"")</f>
        <v/>
      </c>
      <c r="G9416" s="18"/>
      <c r="H9416" s="16" t="s">
        <v>87</v>
      </c>
      <c r="I9416" s="16" t="s">
        <v>87</v>
      </c>
      <c r="J9416" s="19"/>
      <c r="L9416" s="16" t="str">
        <f>IFERROR(__xludf.DUMMYFUNCTION("""COMPUTED_VALUE"""),"")</f>
        <v/>
      </c>
      <c r="M9416" s="16" t="str">
        <f>IFERROR(__xludf.DUMMYFUNCTION("""COMPUTED_VALUE"""),"")</f>
        <v/>
      </c>
      <c r="U9416" s="16" t="s">
        <v>87</v>
      </c>
      <c r="V9416" s="16" t="str">
        <f>IFERROR(__xludf.DUMMYFUNCTION("""COMPUTED_VALUE"""),"")</f>
        <v/>
      </c>
      <c r="W9416" s="16" t="str">
        <f>IFERROR(__xludf.DUMMYFUNCTION("""COMPUTED_VALUE"""),"")</f>
        <v/>
      </c>
      <c r="X9416" s="16" t="str">
        <f>IFERROR(__xludf.DUMMYFUNCTION("""COMPUTED_VALUE"""),"")</f>
        <v/>
      </c>
      <c r="AC9416" s="16" t="str">
        <f>IFERROR(__xludf.DUMMYFUNCTION("""COMPUTED_VALUE"""),"")</f>
        <v/>
      </c>
    </row>
    <row r="9417">
      <c r="A9417" s="16" t="s">
        <v>87</v>
      </c>
      <c r="E9417" s="16" t="str">
        <f>IFERROR(__xludf.DUMMYFUNCTION("""COMPUTED_VALUE"""),"")</f>
        <v/>
      </c>
      <c r="G9417" s="18"/>
      <c r="H9417" s="16" t="s">
        <v>87</v>
      </c>
      <c r="I9417" s="16" t="s">
        <v>87</v>
      </c>
      <c r="J9417" s="19"/>
      <c r="L9417" s="16" t="str">
        <f>IFERROR(__xludf.DUMMYFUNCTION("""COMPUTED_VALUE"""),"")</f>
        <v/>
      </c>
      <c r="M9417" s="16" t="str">
        <f>IFERROR(__xludf.DUMMYFUNCTION("""COMPUTED_VALUE"""),"")</f>
        <v/>
      </c>
      <c r="U9417" s="16" t="s">
        <v>87</v>
      </c>
      <c r="V9417" s="16" t="str">
        <f>IFERROR(__xludf.DUMMYFUNCTION("""COMPUTED_VALUE"""),"")</f>
        <v/>
      </c>
      <c r="W9417" s="16" t="str">
        <f>IFERROR(__xludf.DUMMYFUNCTION("""COMPUTED_VALUE"""),"")</f>
        <v/>
      </c>
      <c r="X9417" s="16" t="str">
        <f>IFERROR(__xludf.DUMMYFUNCTION("""COMPUTED_VALUE"""),"")</f>
        <v/>
      </c>
      <c r="AC9417" s="16" t="str">
        <f>IFERROR(__xludf.DUMMYFUNCTION("""COMPUTED_VALUE"""),"")</f>
        <v/>
      </c>
    </row>
    <row r="9418">
      <c r="A9418" s="16" t="s">
        <v>87</v>
      </c>
      <c r="E9418" s="16" t="str">
        <f>IFERROR(__xludf.DUMMYFUNCTION("""COMPUTED_VALUE"""),"")</f>
        <v/>
      </c>
      <c r="G9418" s="18"/>
      <c r="H9418" s="16" t="s">
        <v>87</v>
      </c>
      <c r="I9418" s="16" t="s">
        <v>87</v>
      </c>
      <c r="J9418" s="19"/>
      <c r="L9418" s="16" t="str">
        <f>IFERROR(__xludf.DUMMYFUNCTION("""COMPUTED_VALUE"""),"")</f>
        <v/>
      </c>
      <c r="M9418" s="16" t="str">
        <f>IFERROR(__xludf.DUMMYFUNCTION("""COMPUTED_VALUE"""),"")</f>
        <v/>
      </c>
      <c r="U9418" s="16" t="s">
        <v>87</v>
      </c>
      <c r="V9418" s="16" t="str">
        <f>IFERROR(__xludf.DUMMYFUNCTION("""COMPUTED_VALUE"""),"")</f>
        <v/>
      </c>
      <c r="W9418" s="16" t="str">
        <f>IFERROR(__xludf.DUMMYFUNCTION("""COMPUTED_VALUE"""),"")</f>
        <v/>
      </c>
      <c r="X9418" s="16" t="str">
        <f>IFERROR(__xludf.DUMMYFUNCTION("""COMPUTED_VALUE"""),"")</f>
        <v/>
      </c>
      <c r="AC9418" s="16" t="str">
        <f>IFERROR(__xludf.DUMMYFUNCTION("""COMPUTED_VALUE"""),"")</f>
        <v/>
      </c>
    </row>
    <row r="9419">
      <c r="A9419" s="16" t="s">
        <v>87</v>
      </c>
      <c r="E9419" s="16" t="str">
        <f>IFERROR(__xludf.DUMMYFUNCTION("""COMPUTED_VALUE"""),"")</f>
        <v/>
      </c>
      <c r="G9419" s="18"/>
      <c r="H9419" s="16" t="s">
        <v>87</v>
      </c>
      <c r="I9419" s="16" t="s">
        <v>87</v>
      </c>
      <c r="J9419" s="19"/>
      <c r="L9419" s="16" t="str">
        <f>IFERROR(__xludf.DUMMYFUNCTION("""COMPUTED_VALUE"""),"")</f>
        <v/>
      </c>
      <c r="M9419" s="16" t="str">
        <f>IFERROR(__xludf.DUMMYFUNCTION("""COMPUTED_VALUE"""),"")</f>
        <v/>
      </c>
      <c r="U9419" s="16" t="s">
        <v>87</v>
      </c>
      <c r="V9419" s="16" t="str">
        <f>IFERROR(__xludf.DUMMYFUNCTION("""COMPUTED_VALUE"""),"")</f>
        <v/>
      </c>
      <c r="W9419" s="16" t="str">
        <f>IFERROR(__xludf.DUMMYFUNCTION("""COMPUTED_VALUE"""),"")</f>
        <v/>
      </c>
      <c r="X9419" s="16" t="str">
        <f>IFERROR(__xludf.DUMMYFUNCTION("""COMPUTED_VALUE"""),"")</f>
        <v/>
      </c>
      <c r="AC9419" s="16" t="str">
        <f>IFERROR(__xludf.DUMMYFUNCTION("""COMPUTED_VALUE"""),"")</f>
        <v/>
      </c>
    </row>
    <row r="9420">
      <c r="A9420" s="16" t="s">
        <v>87</v>
      </c>
      <c r="E9420" s="16" t="str">
        <f>IFERROR(__xludf.DUMMYFUNCTION("""COMPUTED_VALUE"""),"")</f>
        <v/>
      </c>
      <c r="G9420" s="18"/>
      <c r="H9420" s="16" t="s">
        <v>87</v>
      </c>
      <c r="I9420" s="16" t="s">
        <v>87</v>
      </c>
      <c r="J9420" s="19"/>
      <c r="L9420" s="16" t="str">
        <f>IFERROR(__xludf.DUMMYFUNCTION("""COMPUTED_VALUE"""),"")</f>
        <v/>
      </c>
      <c r="M9420" s="16" t="str">
        <f>IFERROR(__xludf.DUMMYFUNCTION("""COMPUTED_VALUE"""),"")</f>
        <v/>
      </c>
      <c r="U9420" s="16" t="s">
        <v>87</v>
      </c>
      <c r="V9420" s="16" t="str">
        <f>IFERROR(__xludf.DUMMYFUNCTION("""COMPUTED_VALUE"""),"")</f>
        <v/>
      </c>
      <c r="W9420" s="16" t="str">
        <f>IFERROR(__xludf.DUMMYFUNCTION("""COMPUTED_VALUE"""),"")</f>
        <v/>
      </c>
      <c r="X9420" s="16" t="str">
        <f>IFERROR(__xludf.DUMMYFUNCTION("""COMPUTED_VALUE"""),"")</f>
        <v/>
      </c>
      <c r="AC9420" s="16" t="str">
        <f>IFERROR(__xludf.DUMMYFUNCTION("""COMPUTED_VALUE"""),"")</f>
        <v/>
      </c>
    </row>
    <row r="9421">
      <c r="A9421" s="16" t="s">
        <v>87</v>
      </c>
      <c r="E9421" s="16" t="str">
        <f>IFERROR(__xludf.DUMMYFUNCTION("""COMPUTED_VALUE"""),"")</f>
        <v/>
      </c>
      <c r="G9421" s="18"/>
      <c r="H9421" s="16" t="s">
        <v>87</v>
      </c>
      <c r="I9421" s="16" t="s">
        <v>87</v>
      </c>
      <c r="J9421" s="19"/>
      <c r="L9421" s="16" t="str">
        <f>IFERROR(__xludf.DUMMYFUNCTION("""COMPUTED_VALUE"""),"")</f>
        <v/>
      </c>
      <c r="M9421" s="16" t="str">
        <f>IFERROR(__xludf.DUMMYFUNCTION("""COMPUTED_VALUE"""),"")</f>
        <v/>
      </c>
      <c r="U9421" s="16" t="s">
        <v>87</v>
      </c>
      <c r="V9421" s="16" t="str">
        <f>IFERROR(__xludf.DUMMYFUNCTION("""COMPUTED_VALUE"""),"")</f>
        <v/>
      </c>
      <c r="W9421" s="16" t="str">
        <f>IFERROR(__xludf.DUMMYFUNCTION("""COMPUTED_VALUE"""),"")</f>
        <v/>
      </c>
      <c r="X9421" s="16" t="str">
        <f>IFERROR(__xludf.DUMMYFUNCTION("""COMPUTED_VALUE"""),"")</f>
        <v/>
      </c>
      <c r="AC9421" s="16" t="str">
        <f>IFERROR(__xludf.DUMMYFUNCTION("""COMPUTED_VALUE"""),"")</f>
        <v/>
      </c>
    </row>
    <row r="9422">
      <c r="A9422" s="16" t="s">
        <v>87</v>
      </c>
      <c r="E9422" s="16" t="str">
        <f>IFERROR(__xludf.DUMMYFUNCTION("""COMPUTED_VALUE"""),"")</f>
        <v/>
      </c>
      <c r="G9422" s="18"/>
      <c r="H9422" s="16" t="s">
        <v>87</v>
      </c>
      <c r="I9422" s="16" t="s">
        <v>87</v>
      </c>
      <c r="J9422" s="19"/>
      <c r="L9422" s="16" t="str">
        <f>IFERROR(__xludf.DUMMYFUNCTION("""COMPUTED_VALUE"""),"")</f>
        <v/>
      </c>
      <c r="M9422" s="16" t="str">
        <f>IFERROR(__xludf.DUMMYFUNCTION("""COMPUTED_VALUE"""),"")</f>
        <v/>
      </c>
      <c r="U9422" s="16" t="s">
        <v>87</v>
      </c>
      <c r="V9422" s="16" t="str">
        <f>IFERROR(__xludf.DUMMYFUNCTION("""COMPUTED_VALUE"""),"")</f>
        <v/>
      </c>
      <c r="W9422" s="16" t="str">
        <f>IFERROR(__xludf.DUMMYFUNCTION("""COMPUTED_VALUE"""),"")</f>
        <v/>
      </c>
      <c r="X9422" s="16" t="str">
        <f>IFERROR(__xludf.DUMMYFUNCTION("""COMPUTED_VALUE"""),"")</f>
        <v/>
      </c>
      <c r="AC9422" s="16" t="str">
        <f>IFERROR(__xludf.DUMMYFUNCTION("""COMPUTED_VALUE"""),"")</f>
        <v/>
      </c>
    </row>
    <row r="9423">
      <c r="A9423" s="16" t="s">
        <v>87</v>
      </c>
      <c r="E9423" s="16" t="str">
        <f>IFERROR(__xludf.DUMMYFUNCTION("""COMPUTED_VALUE"""),"")</f>
        <v/>
      </c>
      <c r="G9423" s="18"/>
      <c r="H9423" s="16" t="s">
        <v>87</v>
      </c>
      <c r="I9423" s="16" t="s">
        <v>87</v>
      </c>
      <c r="J9423" s="19"/>
      <c r="L9423" s="16" t="str">
        <f>IFERROR(__xludf.DUMMYFUNCTION("""COMPUTED_VALUE"""),"")</f>
        <v/>
      </c>
      <c r="M9423" s="16" t="str">
        <f>IFERROR(__xludf.DUMMYFUNCTION("""COMPUTED_VALUE"""),"")</f>
        <v/>
      </c>
      <c r="U9423" s="16" t="s">
        <v>87</v>
      </c>
      <c r="V9423" s="16" t="str">
        <f>IFERROR(__xludf.DUMMYFUNCTION("""COMPUTED_VALUE"""),"")</f>
        <v/>
      </c>
      <c r="W9423" s="16" t="str">
        <f>IFERROR(__xludf.DUMMYFUNCTION("""COMPUTED_VALUE"""),"")</f>
        <v/>
      </c>
      <c r="X9423" s="16" t="str">
        <f>IFERROR(__xludf.DUMMYFUNCTION("""COMPUTED_VALUE"""),"")</f>
        <v/>
      </c>
      <c r="AC9423" s="16" t="str">
        <f>IFERROR(__xludf.DUMMYFUNCTION("""COMPUTED_VALUE"""),"")</f>
        <v/>
      </c>
    </row>
    <row r="9424">
      <c r="A9424" s="16" t="s">
        <v>87</v>
      </c>
      <c r="E9424" s="16" t="str">
        <f>IFERROR(__xludf.DUMMYFUNCTION("""COMPUTED_VALUE"""),"")</f>
        <v/>
      </c>
      <c r="G9424" s="18"/>
      <c r="H9424" s="16" t="s">
        <v>87</v>
      </c>
      <c r="I9424" s="16" t="s">
        <v>87</v>
      </c>
      <c r="J9424" s="19"/>
      <c r="L9424" s="16" t="str">
        <f>IFERROR(__xludf.DUMMYFUNCTION("""COMPUTED_VALUE"""),"")</f>
        <v/>
      </c>
      <c r="M9424" s="16" t="str">
        <f>IFERROR(__xludf.DUMMYFUNCTION("""COMPUTED_VALUE"""),"")</f>
        <v/>
      </c>
      <c r="U9424" s="16" t="s">
        <v>87</v>
      </c>
      <c r="V9424" s="16" t="str">
        <f>IFERROR(__xludf.DUMMYFUNCTION("""COMPUTED_VALUE"""),"")</f>
        <v/>
      </c>
      <c r="W9424" s="16" t="str">
        <f>IFERROR(__xludf.DUMMYFUNCTION("""COMPUTED_VALUE"""),"")</f>
        <v/>
      </c>
      <c r="X9424" s="16" t="str">
        <f>IFERROR(__xludf.DUMMYFUNCTION("""COMPUTED_VALUE"""),"")</f>
        <v/>
      </c>
      <c r="AC9424" s="16" t="str">
        <f>IFERROR(__xludf.DUMMYFUNCTION("""COMPUTED_VALUE"""),"")</f>
        <v/>
      </c>
    </row>
    <row r="9425">
      <c r="A9425" s="16" t="s">
        <v>87</v>
      </c>
      <c r="E9425" s="16" t="str">
        <f>IFERROR(__xludf.DUMMYFUNCTION("""COMPUTED_VALUE"""),"")</f>
        <v/>
      </c>
      <c r="G9425" s="18"/>
      <c r="H9425" s="16" t="s">
        <v>87</v>
      </c>
      <c r="I9425" s="16" t="s">
        <v>87</v>
      </c>
      <c r="J9425" s="19"/>
      <c r="L9425" s="16" t="str">
        <f>IFERROR(__xludf.DUMMYFUNCTION("""COMPUTED_VALUE"""),"")</f>
        <v/>
      </c>
      <c r="M9425" s="16" t="str">
        <f>IFERROR(__xludf.DUMMYFUNCTION("""COMPUTED_VALUE"""),"")</f>
        <v/>
      </c>
      <c r="U9425" s="16" t="s">
        <v>87</v>
      </c>
      <c r="V9425" s="16" t="str">
        <f>IFERROR(__xludf.DUMMYFUNCTION("""COMPUTED_VALUE"""),"")</f>
        <v/>
      </c>
      <c r="W9425" s="16" t="str">
        <f>IFERROR(__xludf.DUMMYFUNCTION("""COMPUTED_VALUE"""),"")</f>
        <v/>
      </c>
      <c r="X9425" s="16" t="str">
        <f>IFERROR(__xludf.DUMMYFUNCTION("""COMPUTED_VALUE"""),"")</f>
        <v/>
      </c>
      <c r="AC9425" s="16" t="str">
        <f>IFERROR(__xludf.DUMMYFUNCTION("""COMPUTED_VALUE"""),"")</f>
        <v/>
      </c>
    </row>
    <row r="9426">
      <c r="A9426" s="16" t="s">
        <v>87</v>
      </c>
      <c r="E9426" s="16" t="str">
        <f>IFERROR(__xludf.DUMMYFUNCTION("""COMPUTED_VALUE"""),"")</f>
        <v/>
      </c>
      <c r="G9426" s="18"/>
      <c r="H9426" s="16" t="s">
        <v>87</v>
      </c>
      <c r="I9426" s="16" t="s">
        <v>87</v>
      </c>
      <c r="J9426" s="19"/>
      <c r="L9426" s="16" t="str">
        <f>IFERROR(__xludf.DUMMYFUNCTION("""COMPUTED_VALUE"""),"")</f>
        <v/>
      </c>
      <c r="M9426" s="16" t="str">
        <f>IFERROR(__xludf.DUMMYFUNCTION("""COMPUTED_VALUE"""),"")</f>
        <v/>
      </c>
      <c r="U9426" s="16" t="s">
        <v>87</v>
      </c>
      <c r="V9426" s="16" t="str">
        <f>IFERROR(__xludf.DUMMYFUNCTION("""COMPUTED_VALUE"""),"")</f>
        <v/>
      </c>
      <c r="W9426" s="16" t="str">
        <f>IFERROR(__xludf.DUMMYFUNCTION("""COMPUTED_VALUE"""),"")</f>
        <v/>
      </c>
      <c r="X9426" s="16" t="str">
        <f>IFERROR(__xludf.DUMMYFUNCTION("""COMPUTED_VALUE"""),"")</f>
        <v/>
      </c>
      <c r="AC9426" s="16" t="str">
        <f>IFERROR(__xludf.DUMMYFUNCTION("""COMPUTED_VALUE"""),"")</f>
        <v/>
      </c>
    </row>
    <row r="9427">
      <c r="A9427" s="16" t="s">
        <v>87</v>
      </c>
      <c r="E9427" s="16" t="str">
        <f>IFERROR(__xludf.DUMMYFUNCTION("""COMPUTED_VALUE"""),"")</f>
        <v/>
      </c>
      <c r="G9427" s="18"/>
      <c r="H9427" s="16" t="s">
        <v>87</v>
      </c>
      <c r="I9427" s="16" t="s">
        <v>87</v>
      </c>
      <c r="J9427" s="19"/>
      <c r="L9427" s="16" t="str">
        <f>IFERROR(__xludf.DUMMYFUNCTION("""COMPUTED_VALUE"""),"")</f>
        <v/>
      </c>
      <c r="M9427" s="16" t="str">
        <f>IFERROR(__xludf.DUMMYFUNCTION("""COMPUTED_VALUE"""),"")</f>
        <v/>
      </c>
      <c r="U9427" s="16" t="s">
        <v>87</v>
      </c>
      <c r="V9427" s="16" t="str">
        <f>IFERROR(__xludf.DUMMYFUNCTION("""COMPUTED_VALUE"""),"")</f>
        <v/>
      </c>
      <c r="W9427" s="16" t="str">
        <f>IFERROR(__xludf.DUMMYFUNCTION("""COMPUTED_VALUE"""),"")</f>
        <v/>
      </c>
      <c r="X9427" s="16" t="str">
        <f>IFERROR(__xludf.DUMMYFUNCTION("""COMPUTED_VALUE"""),"")</f>
        <v/>
      </c>
      <c r="AC9427" s="16" t="str">
        <f>IFERROR(__xludf.DUMMYFUNCTION("""COMPUTED_VALUE"""),"")</f>
        <v/>
      </c>
    </row>
    <row r="9428">
      <c r="A9428" s="16" t="s">
        <v>87</v>
      </c>
      <c r="E9428" s="16" t="str">
        <f>IFERROR(__xludf.DUMMYFUNCTION("""COMPUTED_VALUE"""),"")</f>
        <v/>
      </c>
      <c r="G9428" s="18"/>
      <c r="H9428" s="16" t="s">
        <v>87</v>
      </c>
      <c r="I9428" s="16" t="s">
        <v>87</v>
      </c>
      <c r="J9428" s="19"/>
      <c r="L9428" s="16" t="str">
        <f>IFERROR(__xludf.DUMMYFUNCTION("""COMPUTED_VALUE"""),"")</f>
        <v/>
      </c>
      <c r="M9428" s="16" t="str">
        <f>IFERROR(__xludf.DUMMYFUNCTION("""COMPUTED_VALUE"""),"")</f>
        <v/>
      </c>
      <c r="U9428" s="16" t="s">
        <v>87</v>
      </c>
      <c r="V9428" s="16" t="str">
        <f>IFERROR(__xludf.DUMMYFUNCTION("""COMPUTED_VALUE"""),"")</f>
        <v/>
      </c>
      <c r="W9428" s="16" t="str">
        <f>IFERROR(__xludf.DUMMYFUNCTION("""COMPUTED_VALUE"""),"")</f>
        <v/>
      </c>
      <c r="X9428" s="16" t="str">
        <f>IFERROR(__xludf.DUMMYFUNCTION("""COMPUTED_VALUE"""),"")</f>
        <v/>
      </c>
      <c r="AC9428" s="16" t="str">
        <f>IFERROR(__xludf.DUMMYFUNCTION("""COMPUTED_VALUE"""),"")</f>
        <v/>
      </c>
    </row>
    <row r="9429">
      <c r="A9429" s="16" t="s">
        <v>87</v>
      </c>
      <c r="E9429" s="16" t="str">
        <f>IFERROR(__xludf.DUMMYFUNCTION("""COMPUTED_VALUE"""),"")</f>
        <v/>
      </c>
      <c r="G9429" s="18"/>
      <c r="H9429" s="16" t="s">
        <v>87</v>
      </c>
      <c r="I9429" s="16" t="s">
        <v>87</v>
      </c>
      <c r="J9429" s="19"/>
      <c r="L9429" s="16" t="str">
        <f>IFERROR(__xludf.DUMMYFUNCTION("""COMPUTED_VALUE"""),"")</f>
        <v/>
      </c>
      <c r="M9429" s="16" t="str">
        <f>IFERROR(__xludf.DUMMYFUNCTION("""COMPUTED_VALUE"""),"")</f>
        <v/>
      </c>
      <c r="U9429" s="16" t="s">
        <v>87</v>
      </c>
      <c r="V9429" s="16" t="str">
        <f>IFERROR(__xludf.DUMMYFUNCTION("""COMPUTED_VALUE"""),"")</f>
        <v/>
      </c>
      <c r="W9429" s="16" t="str">
        <f>IFERROR(__xludf.DUMMYFUNCTION("""COMPUTED_VALUE"""),"")</f>
        <v/>
      </c>
      <c r="X9429" s="16" t="str">
        <f>IFERROR(__xludf.DUMMYFUNCTION("""COMPUTED_VALUE"""),"")</f>
        <v/>
      </c>
      <c r="AC9429" s="16" t="str">
        <f>IFERROR(__xludf.DUMMYFUNCTION("""COMPUTED_VALUE"""),"")</f>
        <v/>
      </c>
    </row>
    <row r="9430">
      <c r="A9430" s="16" t="s">
        <v>87</v>
      </c>
      <c r="E9430" s="16" t="str">
        <f>IFERROR(__xludf.DUMMYFUNCTION("""COMPUTED_VALUE"""),"")</f>
        <v/>
      </c>
      <c r="G9430" s="18"/>
      <c r="H9430" s="16" t="s">
        <v>87</v>
      </c>
      <c r="I9430" s="16" t="s">
        <v>87</v>
      </c>
      <c r="J9430" s="19"/>
      <c r="L9430" s="16" t="str">
        <f>IFERROR(__xludf.DUMMYFUNCTION("""COMPUTED_VALUE"""),"")</f>
        <v/>
      </c>
      <c r="M9430" s="16" t="str">
        <f>IFERROR(__xludf.DUMMYFUNCTION("""COMPUTED_VALUE"""),"")</f>
        <v/>
      </c>
      <c r="U9430" s="16" t="s">
        <v>87</v>
      </c>
      <c r="V9430" s="16" t="str">
        <f>IFERROR(__xludf.DUMMYFUNCTION("""COMPUTED_VALUE"""),"")</f>
        <v/>
      </c>
      <c r="W9430" s="16" t="str">
        <f>IFERROR(__xludf.DUMMYFUNCTION("""COMPUTED_VALUE"""),"")</f>
        <v/>
      </c>
      <c r="X9430" s="16" t="str">
        <f>IFERROR(__xludf.DUMMYFUNCTION("""COMPUTED_VALUE"""),"")</f>
        <v/>
      </c>
      <c r="AC9430" s="16" t="str">
        <f>IFERROR(__xludf.DUMMYFUNCTION("""COMPUTED_VALUE"""),"")</f>
        <v/>
      </c>
    </row>
    <row r="9431">
      <c r="A9431" s="16" t="s">
        <v>87</v>
      </c>
      <c r="E9431" s="16" t="str">
        <f>IFERROR(__xludf.DUMMYFUNCTION("""COMPUTED_VALUE"""),"")</f>
        <v/>
      </c>
      <c r="G9431" s="18"/>
      <c r="H9431" s="16" t="s">
        <v>87</v>
      </c>
      <c r="I9431" s="16" t="s">
        <v>87</v>
      </c>
      <c r="J9431" s="19"/>
      <c r="L9431" s="16" t="str">
        <f>IFERROR(__xludf.DUMMYFUNCTION("""COMPUTED_VALUE"""),"")</f>
        <v/>
      </c>
      <c r="M9431" s="16" t="str">
        <f>IFERROR(__xludf.DUMMYFUNCTION("""COMPUTED_VALUE"""),"")</f>
        <v/>
      </c>
      <c r="U9431" s="16" t="s">
        <v>87</v>
      </c>
      <c r="V9431" s="16" t="str">
        <f>IFERROR(__xludf.DUMMYFUNCTION("""COMPUTED_VALUE"""),"")</f>
        <v/>
      </c>
      <c r="W9431" s="16" t="str">
        <f>IFERROR(__xludf.DUMMYFUNCTION("""COMPUTED_VALUE"""),"")</f>
        <v/>
      </c>
      <c r="X9431" s="16" t="str">
        <f>IFERROR(__xludf.DUMMYFUNCTION("""COMPUTED_VALUE"""),"")</f>
        <v/>
      </c>
      <c r="AC9431" s="16" t="str">
        <f>IFERROR(__xludf.DUMMYFUNCTION("""COMPUTED_VALUE"""),"")</f>
        <v/>
      </c>
    </row>
    <row r="9432">
      <c r="A9432" s="16" t="s">
        <v>87</v>
      </c>
      <c r="E9432" s="16" t="str">
        <f>IFERROR(__xludf.DUMMYFUNCTION("""COMPUTED_VALUE"""),"")</f>
        <v/>
      </c>
      <c r="G9432" s="18"/>
      <c r="H9432" s="16" t="s">
        <v>87</v>
      </c>
      <c r="I9432" s="16" t="s">
        <v>87</v>
      </c>
      <c r="J9432" s="19"/>
      <c r="L9432" s="16" t="str">
        <f>IFERROR(__xludf.DUMMYFUNCTION("""COMPUTED_VALUE"""),"")</f>
        <v/>
      </c>
      <c r="M9432" s="16" t="str">
        <f>IFERROR(__xludf.DUMMYFUNCTION("""COMPUTED_VALUE"""),"")</f>
        <v/>
      </c>
      <c r="U9432" s="16" t="s">
        <v>87</v>
      </c>
      <c r="V9432" s="16" t="str">
        <f>IFERROR(__xludf.DUMMYFUNCTION("""COMPUTED_VALUE"""),"")</f>
        <v/>
      </c>
      <c r="W9432" s="16" t="str">
        <f>IFERROR(__xludf.DUMMYFUNCTION("""COMPUTED_VALUE"""),"")</f>
        <v/>
      </c>
      <c r="X9432" s="16" t="str">
        <f>IFERROR(__xludf.DUMMYFUNCTION("""COMPUTED_VALUE"""),"")</f>
        <v/>
      </c>
      <c r="AC9432" s="16" t="str">
        <f>IFERROR(__xludf.DUMMYFUNCTION("""COMPUTED_VALUE"""),"")</f>
        <v/>
      </c>
    </row>
    <row r="9433">
      <c r="A9433" s="16" t="s">
        <v>87</v>
      </c>
      <c r="E9433" s="16" t="str">
        <f>IFERROR(__xludf.DUMMYFUNCTION("""COMPUTED_VALUE"""),"")</f>
        <v/>
      </c>
      <c r="G9433" s="18"/>
      <c r="H9433" s="16" t="s">
        <v>87</v>
      </c>
      <c r="I9433" s="16" t="s">
        <v>87</v>
      </c>
      <c r="J9433" s="19"/>
      <c r="L9433" s="16" t="str">
        <f>IFERROR(__xludf.DUMMYFUNCTION("""COMPUTED_VALUE"""),"")</f>
        <v/>
      </c>
      <c r="M9433" s="16" t="str">
        <f>IFERROR(__xludf.DUMMYFUNCTION("""COMPUTED_VALUE"""),"")</f>
        <v/>
      </c>
      <c r="U9433" s="16" t="s">
        <v>87</v>
      </c>
      <c r="V9433" s="16" t="str">
        <f>IFERROR(__xludf.DUMMYFUNCTION("""COMPUTED_VALUE"""),"")</f>
        <v/>
      </c>
      <c r="W9433" s="16" t="str">
        <f>IFERROR(__xludf.DUMMYFUNCTION("""COMPUTED_VALUE"""),"")</f>
        <v/>
      </c>
      <c r="X9433" s="16" t="str">
        <f>IFERROR(__xludf.DUMMYFUNCTION("""COMPUTED_VALUE"""),"")</f>
        <v/>
      </c>
      <c r="AC9433" s="16" t="str">
        <f>IFERROR(__xludf.DUMMYFUNCTION("""COMPUTED_VALUE"""),"")</f>
        <v/>
      </c>
    </row>
    <row r="9434">
      <c r="A9434" s="16" t="s">
        <v>87</v>
      </c>
      <c r="E9434" s="16" t="str">
        <f>IFERROR(__xludf.DUMMYFUNCTION("""COMPUTED_VALUE"""),"")</f>
        <v/>
      </c>
      <c r="G9434" s="18"/>
      <c r="H9434" s="16" t="s">
        <v>87</v>
      </c>
      <c r="I9434" s="16" t="s">
        <v>87</v>
      </c>
      <c r="J9434" s="19"/>
      <c r="L9434" s="16" t="str">
        <f>IFERROR(__xludf.DUMMYFUNCTION("""COMPUTED_VALUE"""),"")</f>
        <v/>
      </c>
      <c r="M9434" s="16" t="str">
        <f>IFERROR(__xludf.DUMMYFUNCTION("""COMPUTED_VALUE"""),"")</f>
        <v/>
      </c>
      <c r="U9434" s="16" t="s">
        <v>87</v>
      </c>
      <c r="V9434" s="16" t="str">
        <f>IFERROR(__xludf.DUMMYFUNCTION("""COMPUTED_VALUE"""),"")</f>
        <v/>
      </c>
      <c r="W9434" s="16" t="str">
        <f>IFERROR(__xludf.DUMMYFUNCTION("""COMPUTED_VALUE"""),"")</f>
        <v/>
      </c>
      <c r="X9434" s="16" t="str">
        <f>IFERROR(__xludf.DUMMYFUNCTION("""COMPUTED_VALUE"""),"")</f>
        <v/>
      </c>
      <c r="AC9434" s="16" t="str">
        <f>IFERROR(__xludf.DUMMYFUNCTION("""COMPUTED_VALUE"""),"")</f>
        <v/>
      </c>
    </row>
    <row r="9435">
      <c r="A9435" s="16" t="s">
        <v>87</v>
      </c>
      <c r="E9435" s="16" t="str">
        <f>IFERROR(__xludf.DUMMYFUNCTION("""COMPUTED_VALUE"""),"")</f>
        <v/>
      </c>
      <c r="G9435" s="18"/>
      <c r="H9435" s="16" t="s">
        <v>87</v>
      </c>
      <c r="I9435" s="16" t="s">
        <v>87</v>
      </c>
      <c r="J9435" s="19"/>
      <c r="L9435" s="16" t="str">
        <f>IFERROR(__xludf.DUMMYFUNCTION("""COMPUTED_VALUE"""),"")</f>
        <v/>
      </c>
      <c r="M9435" s="16" t="str">
        <f>IFERROR(__xludf.DUMMYFUNCTION("""COMPUTED_VALUE"""),"")</f>
        <v/>
      </c>
      <c r="U9435" s="16" t="s">
        <v>87</v>
      </c>
      <c r="V9435" s="16" t="str">
        <f>IFERROR(__xludf.DUMMYFUNCTION("""COMPUTED_VALUE"""),"")</f>
        <v/>
      </c>
      <c r="W9435" s="16" t="str">
        <f>IFERROR(__xludf.DUMMYFUNCTION("""COMPUTED_VALUE"""),"")</f>
        <v/>
      </c>
      <c r="X9435" s="16" t="str">
        <f>IFERROR(__xludf.DUMMYFUNCTION("""COMPUTED_VALUE"""),"")</f>
        <v/>
      </c>
      <c r="AC9435" s="16" t="str">
        <f>IFERROR(__xludf.DUMMYFUNCTION("""COMPUTED_VALUE"""),"")</f>
        <v/>
      </c>
    </row>
    <row r="9436">
      <c r="A9436" s="16" t="s">
        <v>87</v>
      </c>
      <c r="E9436" s="16" t="str">
        <f>IFERROR(__xludf.DUMMYFUNCTION("""COMPUTED_VALUE"""),"")</f>
        <v/>
      </c>
      <c r="G9436" s="18"/>
      <c r="H9436" s="16" t="s">
        <v>87</v>
      </c>
      <c r="I9436" s="16" t="s">
        <v>87</v>
      </c>
      <c r="J9436" s="19"/>
      <c r="L9436" s="16" t="str">
        <f>IFERROR(__xludf.DUMMYFUNCTION("""COMPUTED_VALUE"""),"")</f>
        <v/>
      </c>
      <c r="M9436" s="16" t="str">
        <f>IFERROR(__xludf.DUMMYFUNCTION("""COMPUTED_VALUE"""),"")</f>
        <v/>
      </c>
      <c r="U9436" s="16" t="s">
        <v>87</v>
      </c>
      <c r="V9436" s="16" t="str">
        <f>IFERROR(__xludf.DUMMYFUNCTION("""COMPUTED_VALUE"""),"")</f>
        <v/>
      </c>
      <c r="W9436" s="16" t="str">
        <f>IFERROR(__xludf.DUMMYFUNCTION("""COMPUTED_VALUE"""),"")</f>
        <v/>
      </c>
      <c r="X9436" s="16" t="str">
        <f>IFERROR(__xludf.DUMMYFUNCTION("""COMPUTED_VALUE"""),"")</f>
        <v/>
      </c>
      <c r="AC9436" s="16" t="str">
        <f>IFERROR(__xludf.DUMMYFUNCTION("""COMPUTED_VALUE"""),"")</f>
        <v/>
      </c>
    </row>
    <row r="9437">
      <c r="A9437" s="16" t="s">
        <v>87</v>
      </c>
      <c r="E9437" s="16" t="str">
        <f>IFERROR(__xludf.DUMMYFUNCTION("""COMPUTED_VALUE"""),"")</f>
        <v/>
      </c>
      <c r="G9437" s="18"/>
      <c r="H9437" s="16" t="s">
        <v>87</v>
      </c>
      <c r="I9437" s="16" t="s">
        <v>87</v>
      </c>
      <c r="J9437" s="19"/>
      <c r="L9437" s="16" t="str">
        <f>IFERROR(__xludf.DUMMYFUNCTION("""COMPUTED_VALUE"""),"")</f>
        <v/>
      </c>
      <c r="M9437" s="16" t="str">
        <f>IFERROR(__xludf.DUMMYFUNCTION("""COMPUTED_VALUE"""),"")</f>
        <v/>
      </c>
      <c r="U9437" s="16" t="s">
        <v>87</v>
      </c>
      <c r="V9437" s="16" t="str">
        <f>IFERROR(__xludf.DUMMYFUNCTION("""COMPUTED_VALUE"""),"")</f>
        <v/>
      </c>
      <c r="W9437" s="16" t="str">
        <f>IFERROR(__xludf.DUMMYFUNCTION("""COMPUTED_VALUE"""),"")</f>
        <v/>
      </c>
      <c r="X9437" s="16" t="str">
        <f>IFERROR(__xludf.DUMMYFUNCTION("""COMPUTED_VALUE"""),"")</f>
        <v/>
      </c>
      <c r="AC9437" s="16" t="str">
        <f>IFERROR(__xludf.DUMMYFUNCTION("""COMPUTED_VALUE"""),"")</f>
        <v/>
      </c>
    </row>
    <row r="9438">
      <c r="A9438" s="16" t="s">
        <v>87</v>
      </c>
      <c r="E9438" s="16" t="str">
        <f>IFERROR(__xludf.DUMMYFUNCTION("""COMPUTED_VALUE"""),"")</f>
        <v/>
      </c>
      <c r="G9438" s="18"/>
      <c r="H9438" s="16" t="s">
        <v>87</v>
      </c>
      <c r="I9438" s="16" t="s">
        <v>87</v>
      </c>
      <c r="J9438" s="19"/>
      <c r="L9438" s="16" t="str">
        <f>IFERROR(__xludf.DUMMYFUNCTION("""COMPUTED_VALUE"""),"")</f>
        <v/>
      </c>
      <c r="M9438" s="16" t="str">
        <f>IFERROR(__xludf.DUMMYFUNCTION("""COMPUTED_VALUE"""),"")</f>
        <v/>
      </c>
      <c r="U9438" s="16" t="s">
        <v>87</v>
      </c>
      <c r="V9438" s="16" t="str">
        <f>IFERROR(__xludf.DUMMYFUNCTION("""COMPUTED_VALUE"""),"")</f>
        <v/>
      </c>
      <c r="W9438" s="16" t="str">
        <f>IFERROR(__xludf.DUMMYFUNCTION("""COMPUTED_VALUE"""),"")</f>
        <v/>
      </c>
      <c r="X9438" s="16" t="str">
        <f>IFERROR(__xludf.DUMMYFUNCTION("""COMPUTED_VALUE"""),"")</f>
        <v/>
      </c>
      <c r="AC9438" s="16" t="str">
        <f>IFERROR(__xludf.DUMMYFUNCTION("""COMPUTED_VALUE"""),"")</f>
        <v/>
      </c>
    </row>
    <row r="9439">
      <c r="A9439" s="16" t="s">
        <v>87</v>
      </c>
      <c r="E9439" s="16" t="str">
        <f>IFERROR(__xludf.DUMMYFUNCTION("""COMPUTED_VALUE"""),"")</f>
        <v/>
      </c>
      <c r="G9439" s="18"/>
      <c r="H9439" s="16" t="s">
        <v>87</v>
      </c>
      <c r="I9439" s="16" t="s">
        <v>87</v>
      </c>
      <c r="J9439" s="19"/>
      <c r="L9439" s="16" t="str">
        <f>IFERROR(__xludf.DUMMYFUNCTION("""COMPUTED_VALUE"""),"")</f>
        <v/>
      </c>
      <c r="M9439" s="16" t="str">
        <f>IFERROR(__xludf.DUMMYFUNCTION("""COMPUTED_VALUE"""),"")</f>
        <v/>
      </c>
      <c r="U9439" s="16" t="s">
        <v>87</v>
      </c>
      <c r="V9439" s="16" t="str">
        <f>IFERROR(__xludf.DUMMYFUNCTION("""COMPUTED_VALUE"""),"")</f>
        <v/>
      </c>
      <c r="W9439" s="16" t="str">
        <f>IFERROR(__xludf.DUMMYFUNCTION("""COMPUTED_VALUE"""),"")</f>
        <v/>
      </c>
      <c r="X9439" s="16" t="str">
        <f>IFERROR(__xludf.DUMMYFUNCTION("""COMPUTED_VALUE"""),"")</f>
        <v/>
      </c>
      <c r="AC9439" s="16" t="str">
        <f>IFERROR(__xludf.DUMMYFUNCTION("""COMPUTED_VALUE"""),"")</f>
        <v/>
      </c>
    </row>
    <row r="9440">
      <c r="A9440" s="16" t="s">
        <v>87</v>
      </c>
      <c r="E9440" s="16" t="str">
        <f>IFERROR(__xludf.DUMMYFUNCTION("""COMPUTED_VALUE"""),"")</f>
        <v/>
      </c>
      <c r="G9440" s="18"/>
      <c r="H9440" s="16" t="s">
        <v>87</v>
      </c>
      <c r="I9440" s="16" t="s">
        <v>87</v>
      </c>
      <c r="J9440" s="19"/>
      <c r="L9440" s="16" t="str">
        <f>IFERROR(__xludf.DUMMYFUNCTION("""COMPUTED_VALUE"""),"")</f>
        <v/>
      </c>
      <c r="M9440" s="16" t="str">
        <f>IFERROR(__xludf.DUMMYFUNCTION("""COMPUTED_VALUE"""),"")</f>
        <v/>
      </c>
      <c r="U9440" s="16" t="s">
        <v>87</v>
      </c>
      <c r="V9440" s="16" t="str">
        <f>IFERROR(__xludf.DUMMYFUNCTION("""COMPUTED_VALUE"""),"")</f>
        <v/>
      </c>
      <c r="W9440" s="16" t="str">
        <f>IFERROR(__xludf.DUMMYFUNCTION("""COMPUTED_VALUE"""),"")</f>
        <v/>
      </c>
      <c r="X9440" s="16" t="str">
        <f>IFERROR(__xludf.DUMMYFUNCTION("""COMPUTED_VALUE"""),"")</f>
        <v/>
      </c>
      <c r="AC9440" s="16" t="str">
        <f>IFERROR(__xludf.DUMMYFUNCTION("""COMPUTED_VALUE"""),"")</f>
        <v/>
      </c>
    </row>
    <row r="9441">
      <c r="A9441" s="16" t="s">
        <v>87</v>
      </c>
      <c r="E9441" s="16" t="str">
        <f>IFERROR(__xludf.DUMMYFUNCTION("""COMPUTED_VALUE"""),"")</f>
        <v/>
      </c>
      <c r="G9441" s="18"/>
      <c r="H9441" s="16" t="s">
        <v>87</v>
      </c>
      <c r="I9441" s="16" t="s">
        <v>87</v>
      </c>
      <c r="J9441" s="19"/>
      <c r="L9441" s="16" t="str">
        <f>IFERROR(__xludf.DUMMYFUNCTION("""COMPUTED_VALUE"""),"")</f>
        <v/>
      </c>
      <c r="M9441" s="16" t="str">
        <f>IFERROR(__xludf.DUMMYFUNCTION("""COMPUTED_VALUE"""),"")</f>
        <v/>
      </c>
      <c r="U9441" s="16" t="s">
        <v>87</v>
      </c>
      <c r="V9441" s="16" t="str">
        <f>IFERROR(__xludf.DUMMYFUNCTION("""COMPUTED_VALUE"""),"")</f>
        <v/>
      </c>
      <c r="W9441" s="16" t="str">
        <f>IFERROR(__xludf.DUMMYFUNCTION("""COMPUTED_VALUE"""),"")</f>
        <v/>
      </c>
      <c r="X9441" s="16" t="str">
        <f>IFERROR(__xludf.DUMMYFUNCTION("""COMPUTED_VALUE"""),"")</f>
        <v/>
      </c>
      <c r="AC9441" s="16" t="str">
        <f>IFERROR(__xludf.DUMMYFUNCTION("""COMPUTED_VALUE"""),"")</f>
        <v/>
      </c>
    </row>
    <row r="9442">
      <c r="A9442" s="16" t="s">
        <v>87</v>
      </c>
      <c r="E9442" s="16" t="str">
        <f>IFERROR(__xludf.DUMMYFUNCTION("""COMPUTED_VALUE"""),"")</f>
        <v/>
      </c>
      <c r="G9442" s="18"/>
      <c r="H9442" s="16" t="s">
        <v>87</v>
      </c>
      <c r="I9442" s="16" t="s">
        <v>87</v>
      </c>
      <c r="J9442" s="19"/>
      <c r="L9442" s="16" t="str">
        <f>IFERROR(__xludf.DUMMYFUNCTION("""COMPUTED_VALUE"""),"")</f>
        <v/>
      </c>
      <c r="M9442" s="16" t="str">
        <f>IFERROR(__xludf.DUMMYFUNCTION("""COMPUTED_VALUE"""),"")</f>
        <v/>
      </c>
      <c r="U9442" s="16" t="s">
        <v>87</v>
      </c>
      <c r="V9442" s="16" t="str">
        <f>IFERROR(__xludf.DUMMYFUNCTION("""COMPUTED_VALUE"""),"")</f>
        <v/>
      </c>
      <c r="W9442" s="16" t="str">
        <f>IFERROR(__xludf.DUMMYFUNCTION("""COMPUTED_VALUE"""),"")</f>
        <v/>
      </c>
      <c r="X9442" s="16" t="str">
        <f>IFERROR(__xludf.DUMMYFUNCTION("""COMPUTED_VALUE"""),"")</f>
        <v/>
      </c>
      <c r="AC9442" s="16" t="str">
        <f>IFERROR(__xludf.DUMMYFUNCTION("""COMPUTED_VALUE"""),"")</f>
        <v/>
      </c>
    </row>
    <row r="9443">
      <c r="A9443" s="16" t="s">
        <v>87</v>
      </c>
      <c r="E9443" s="16" t="str">
        <f>IFERROR(__xludf.DUMMYFUNCTION("""COMPUTED_VALUE"""),"")</f>
        <v/>
      </c>
      <c r="G9443" s="18"/>
      <c r="H9443" s="16" t="s">
        <v>87</v>
      </c>
      <c r="I9443" s="16" t="s">
        <v>87</v>
      </c>
      <c r="J9443" s="19"/>
      <c r="L9443" s="16" t="str">
        <f>IFERROR(__xludf.DUMMYFUNCTION("""COMPUTED_VALUE"""),"")</f>
        <v/>
      </c>
      <c r="M9443" s="16" t="str">
        <f>IFERROR(__xludf.DUMMYFUNCTION("""COMPUTED_VALUE"""),"")</f>
        <v/>
      </c>
      <c r="U9443" s="16" t="s">
        <v>87</v>
      </c>
      <c r="V9443" s="16" t="str">
        <f>IFERROR(__xludf.DUMMYFUNCTION("""COMPUTED_VALUE"""),"")</f>
        <v/>
      </c>
      <c r="W9443" s="16" t="str">
        <f>IFERROR(__xludf.DUMMYFUNCTION("""COMPUTED_VALUE"""),"")</f>
        <v/>
      </c>
      <c r="X9443" s="16" t="str">
        <f>IFERROR(__xludf.DUMMYFUNCTION("""COMPUTED_VALUE"""),"")</f>
        <v/>
      </c>
      <c r="AC9443" s="16" t="str">
        <f>IFERROR(__xludf.DUMMYFUNCTION("""COMPUTED_VALUE"""),"")</f>
        <v/>
      </c>
    </row>
    <row r="9444">
      <c r="A9444" s="16" t="s">
        <v>87</v>
      </c>
      <c r="E9444" s="16" t="str">
        <f>IFERROR(__xludf.DUMMYFUNCTION("""COMPUTED_VALUE"""),"")</f>
        <v/>
      </c>
      <c r="G9444" s="18"/>
      <c r="H9444" s="16" t="s">
        <v>87</v>
      </c>
      <c r="I9444" s="16" t="s">
        <v>87</v>
      </c>
      <c r="J9444" s="19"/>
      <c r="L9444" s="16" t="str">
        <f>IFERROR(__xludf.DUMMYFUNCTION("""COMPUTED_VALUE"""),"")</f>
        <v/>
      </c>
      <c r="M9444" s="16" t="str">
        <f>IFERROR(__xludf.DUMMYFUNCTION("""COMPUTED_VALUE"""),"")</f>
        <v/>
      </c>
      <c r="U9444" s="16" t="s">
        <v>87</v>
      </c>
      <c r="V9444" s="16" t="str">
        <f>IFERROR(__xludf.DUMMYFUNCTION("""COMPUTED_VALUE"""),"")</f>
        <v/>
      </c>
      <c r="W9444" s="16" t="str">
        <f>IFERROR(__xludf.DUMMYFUNCTION("""COMPUTED_VALUE"""),"")</f>
        <v/>
      </c>
      <c r="X9444" s="16" t="str">
        <f>IFERROR(__xludf.DUMMYFUNCTION("""COMPUTED_VALUE"""),"")</f>
        <v/>
      </c>
      <c r="AC9444" s="16" t="str">
        <f>IFERROR(__xludf.DUMMYFUNCTION("""COMPUTED_VALUE"""),"")</f>
        <v/>
      </c>
    </row>
    <row r="9445">
      <c r="A9445" s="16" t="s">
        <v>87</v>
      </c>
      <c r="E9445" s="16" t="str">
        <f>IFERROR(__xludf.DUMMYFUNCTION("""COMPUTED_VALUE"""),"")</f>
        <v/>
      </c>
      <c r="G9445" s="18"/>
      <c r="H9445" s="16" t="s">
        <v>87</v>
      </c>
      <c r="I9445" s="16" t="s">
        <v>87</v>
      </c>
      <c r="J9445" s="19"/>
      <c r="L9445" s="16" t="str">
        <f>IFERROR(__xludf.DUMMYFUNCTION("""COMPUTED_VALUE"""),"")</f>
        <v/>
      </c>
      <c r="M9445" s="16" t="str">
        <f>IFERROR(__xludf.DUMMYFUNCTION("""COMPUTED_VALUE"""),"")</f>
        <v/>
      </c>
      <c r="U9445" s="16" t="s">
        <v>87</v>
      </c>
      <c r="V9445" s="16" t="str">
        <f>IFERROR(__xludf.DUMMYFUNCTION("""COMPUTED_VALUE"""),"")</f>
        <v/>
      </c>
      <c r="W9445" s="16" t="str">
        <f>IFERROR(__xludf.DUMMYFUNCTION("""COMPUTED_VALUE"""),"")</f>
        <v/>
      </c>
      <c r="X9445" s="16" t="str">
        <f>IFERROR(__xludf.DUMMYFUNCTION("""COMPUTED_VALUE"""),"")</f>
        <v/>
      </c>
      <c r="AC9445" s="16" t="str">
        <f>IFERROR(__xludf.DUMMYFUNCTION("""COMPUTED_VALUE"""),"")</f>
        <v/>
      </c>
    </row>
    <row r="9446">
      <c r="A9446" s="16" t="s">
        <v>87</v>
      </c>
      <c r="E9446" s="16" t="str">
        <f>IFERROR(__xludf.DUMMYFUNCTION("""COMPUTED_VALUE"""),"")</f>
        <v/>
      </c>
      <c r="G9446" s="18"/>
      <c r="H9446" s="16" t="s">
        <v>87</v>
      </c>
      <c r="I9446" s="16" t="s">
        <v>87</v>
      </c>
      <c r="J9446" s="19"/>
      <c r="L9446" s="16" t="str">
        <f>IFERROR(__xludf.DUMMYFUNCTION("""COMPUTED_VALUE"""),"")</f>
        <v/>
      </c>
      <c r="M9446" s="16" t="str">
        <f>IFERROR(__xludf.DUMMYFUNCTION("""COMPUTED_VALUE"""),"")</f>
        <v/>
      </c>
      <c r="U9446" s="16" t="s">
        <v>87</v>
      </c>
      <c r="V9446" s="16" t="str">
        <f>IFERROR(__xludf.DUMMYFUNCTION("""COMPUTED_VALUE"""),"")</f>
        <v/>
      </c>
      <c r="W9446" s="16" t="str">
        <f>IFERROR(__xludf.DUMMYFUNCTION("""COMPUTED_VALUE"""),"")</f>
        <v/>
      </c>
      <c r="X9446" s="16" t="str">
        <f>IFERROR(__xludf.DUMMYFUNCTION("""COMPUTED_VALUE"""),"")</f>
        <v/>
      </c>
      <c r="AC9446" s="16" t="str">
        <f>IFERROR(__xludf.DUMMYFUNCTION("""COMPUTED_VALUE"""),"")</f>
        <v/>
      </c>
    </row>
    <row r="9447">
      <c r="A9447" s="16" t="s">
        <v>87</v>
      </c>
      <c r="E9447" s="16" t="str">
        <f>IFERROR(__xludf.DUMMYFUNCTION("""COMPUTED_VALUE"""),"")</f>
        <v/>
      </c>
      <c r="G9447" s="18"/>
      <c r="H9447" s="16" t="s">
        <v>87</v>
      </c>
      <c r="I9447" s="16" t="s">
        <v>87</v>
      </c>
      <c r="J9447" s="19"/>
      <c r="L9447" s="16" t="str">
        <f>IFERROR(__xludf.DUMMYFUNCTION("""COMPUTED_VALUE"""),"")</f>
        <v/>
      </c>
      <c r="M9447" s="16" t="str">
        <f>IFERROR(__xludf.DUMMYFUNCTION("""COMPUTED_VALUE"""),"")</f>
        <v/>
      </c>
      <c r="U9447" s="16" t="s">
        <v>87</v>
      </c>
      <c r="V9447" s="16" t="str">
        <f>IFERROR(__xludf.DUMMYFUNCTION("""COMPUTED_VALUE"""),"")</f>
        <v/>
      </c>
      <c r="W9447" s="16" t="str">
        <f>IFERROR(__xludf.DUMMYFUNCTION("""COMPUTED_VALUE"""),"")</f>
        <v/>
      </c>
      <c r="X9447" s="16" t="str">
        <f>IFERROR(__xludf.DUMMYFUNCTION("""COMPUTED_VALUE"""),"")</f>
        <v/>
      </c>
      <c r="AC9447" s="16" t="str">
        <f>IFERROR(__xludf.DUMMYFUNCTION("""COMPUTED_VALUE"""),"")</f>
        <v/>
      </c>
    </row>
    <row r="9448">
      <c r="A9448" s="16" t="s">
        <v>87</v>
      </c>
      <c r="E9448" s="16" t="str">
        <f>IFERROR(__xludf.DUMMYFUNCTION("""COMPUTED_VALUE"""),"")</f>
        <v/>
      </c>
      <c r="G9448" s="18"/>
      <c r="H9448" s="16" t="s">
        <v>87</v>
      </c>
      <c r="I9448" s="16" t="s">
        <v>87</v>
      </c>
      <c r="J9448" s="19"/>
      <c r="L9448" s="16" t="str">
        <f>IFERROR(__xludf.DUMMYFUNCTION("""COMPUTED_VALUE"""),"")</f>
        <v/>
      </c>
      <c r="M9448" s="16" t="str">
        <f>IFERROR(__xludf.DUMMYFUNCTION("""COMPUTED_VALUE"""),"")</f>
        <v/>
      </c>
      <c r="U9448" s="16" t="s">
        <v>87</v>
      </c>
      <c r="V9448" s="16" t="str">
        <f>IFERROR(__xludf.DUMMYFUNCTION("""COMPUTED_VALUE"""),"")</f>
        <v/>
      </c>
      <c r="W9448" s="16" t="str">
        <f>IFERROR(__xludf.DUMMYFUNCTION("""COMPUTED_VALUE"""),"")</f>
        <v/>
      </c>
      <c r="X9448" s="16" t="str">
        <f>IFERROR(__xludf.DUMMYFUNCTION("""COMPUTED_VALUE"""),"")</f>
        <v/>
      </c>
      <c r="AC9448" s="16" t="str">
        <f>IFERROR(__xludf.DUMMYFUNCTION("""COMPUTED_VALUE"""),"")</f>
        <v/>
      </c>
    </row>
    <row r="9449">
      <c r="A9449" s="16" t="s">
        <v>87</v>
      </c>
      <c r="E9449" s="16" t="str">
        <f>IFERROR(__xludf.DUMMYFUNCTION("""COMPUTED_VALUE"""),"")</f>
        <v/>
      </c>
      <c r="G9449" s="18"/>
      <c r="H9449" s="16" t="s">
        <v>87</v>
      </c>
      <c r="I9449" s="16" t="s">
        <v>87</v>
      </c>
      <c r="J9449" s="19"/>
      <c r="L9449" s="16" t="str">
        <f>IFERROR(__xludf.DUMMYFUNCTION("""COMPUTED_VALUE"""),"")</f>
        <v/>
      </c>
      <c r="M9449" s="16" t="str">
        <f>IFERROR(__xludf.DUMMYFUNCTION("""COMPUTED_VALUE"""),"")</f>
        <v/>
      </c>
      <c r="U9449" s="16" t="s">
        <v>87</v>
      </c>
      <c r="V9449" s="16" t="str">
        <f>IFERROR(__xludf.DUMMYFUNCTION("""COMPUTED_VALUE"""),"")</f>
        <v/>
      </c>
      <c r="W9449" s="16" t="str">
        <f>IFERROR(__xludf.DUMMYFUNCTION("""COMPUTED_VALUE"""),"")</f>
        <v/>
      </c>
      <c r="X9449" s="16" t="str">
        <f>IFERROR(__xludf.DUMMYFUNCTION("""COMPUTED_VALUE"""),"")</f>
        <v/>
      </c>
      <c r="AC9449" s="16" t="str">
        <f>IFERROR(__xludf.DUMMYFUNCTION("""COMPUTED_VALUE"""),"")</f>
        <v/>
      </c>
    </row>
    <row r="9450">
      <c r="A9450" s="16" t="s">
        <v>87</v>
      </c>
      <c r="E9450" s="16" t="str">
        <f>IFERROR(__xludf.DUMMYFUNCTION("""COMPUTED_VALUE"""),"")</f>
        <v/>
      </c>
      <c r="G9450" s="18"/>
      <c r="H9450" s="16" t="s">
        <v>87</v>
      </c>
      <c r="I9450" s="16" t="s">
        <v>87</v>
      </c>
      <c r="J9450" s="19"/>
      <c r="L9450" s="16" t="str">
        <f>IFERROR(__xludf.DUMMYFUNCTION("""COMPUTED_VALUE"""),"")</f>
        <v/>
      </c>
      <c r="M9450" s="16" t="str">
        <f>IFERROR(__xludf.DUMMYFUNCTION("""COMPUTED_VALUE"""),"")</f>
        <v/>
      </c>
      <c r="U9450" s="16" t="s">
        <v>87</v>
      </c>
      <c r="V9450" s="16" t="str">
        <f>IFERROR(__xludf.DUMMYFUNCTION("""COMPUTED_VALUE"""),"")</f>
        <v/>
      </c>
      <c r="W9450" s="16" t="str">
        <f>IFERROR(__xludf.DUMMYFUNCTION("""COMPUTED_VALUE"""),"")</f>
        <v/>
      </c>
      <c r="X9450" s="16" t="str">
        <f>IFERROR(__xludf.DUMMYFUNCTION("""COMPUTED_VALUE"""),"")</f>
        <v/>
      </c>
      <c r="AC9450" s="16" t="str">
        <f>IFERROR(__xludf.DUMMYFUNCTION("""COMPUTED_VALUE"""),"")</f>
        <v/>
      </c>
    </row>
    <row r="9451">
      <c r="A9451" s="16" t="s">
        <v>87</v>
      </c>
      <c r="E9451" s="16" t="str">
        <f>IFERROR(__xludf.DUMMYFUNCTION("""COMPUTED_VALUE"""),"")</f>
        <v/>
      </c>
      <c r="G9451" s="18"/>
      <c r="H9451" s="16" t="s">
        <v>87</v>
      </c>
      <c r="I9451" s="16" t="s">
        <v>87</v>
      </c>
      <c r="J9451" s="19"/>
      <c r="L9451" s="16" t="str">
        <f>IFERROR(__xludf.DUMMYFUNCTION("""COMPUTED_VALUE"""),"")</f>
        <v/>
      </c>
      <c r="M9451" s="16" t="str">
        <f>IFERROR(__xludf.DUMMYFUNCTION("""COMPUTED_VALUE"""),"")</f>
        <v/>
      </c>
      <c r="U9451" s="16" t="s">
        <v>87</v>
      </c>
      <c r="V9451" s="16" t="str">
        <f>IFERROR(__xludf.DUMMYFUNCTION("""COMPUTED_VALUE"""),"")</f>
        <v/>
      </c>
      <c r="W9451" s="16" t="str">
        <f>IFERROR(__xludf.DUMMYFUNCTION("""COMPUTED_VALUE"""),"")</f>
        <v/>
      </c>
      <c r="X9451" s="16" t="str">
        <f>IFERROR(__xludf.DUMMYFUNCTION("""COMPUTED_VALUE"""),"")</f>
        <v/>
      </c>
      <c r="AC9451" s="16" t="str">
        <f>IFERROR(__xludf.DUMMYFUNCTION("""COMPUTED_VALUE"""),"")</f>
        <v/>
      </c>
    </row>
    <row r="9452">
      <c r="A9452" s="16" t="s">
        <v>87</v>
      </c>
      <c r="E9452" s="16" t="str">
        <f>IFERROR(__xludf.DUMMYFUNCTION("""COMPUTED_VALUE"""),"")</f>
        <v/>
      </c>
      <c r="G9452" s="18"/>
      <c r="H9452" s="16" t="s">
        <v>87</v>
      </c>
      <c r="I9452" s="16" t="s">
        <v>87</v>
      </c>
      <c r="J9452" s="19"/>
      <c r="L9452" s="16" t="str">
        <f>IFERROR(__xludf.DUMMYFUNCTION("""COMPUTED_VALUE"""),"")</f>
        <v/>
      </c>
      <c r="M9452" s="16" t="str">
        <f>IFERROR(__xludf.DUMMYFUNCTION("""COMPUTED_VALUE"""),"")</f>
        <v/>
      </c>
      <c r="U9452" s="16" t="s">
        <v>87</v>
      </c>
      <c r="V9452" s="16" t="str">
        <f>IFERROR(__xludf.DUMMYFUNCTION("""COMPUTED_VALUE"""),"")</f>
        <v/>
      </c>
      <c r="W9452" s="16" t="str">
        <f>IFERROR(__xludf.DUMMYFUNCTION("""COMPUTED_VALUE"""),"")</f>
        <v/>
      </c>
      <c r="X9452" s="16" t="str">
        <f>IFERROR(__xludf.DUMMYFUNCTION("""COMPUTED_VALUE"""),"")</f>
        <v/>
      </c>
      <c r="AC9452" s="16" t="str">
        <f>IFERROR(__xludf.DUMMYFUNCTION("""COMPUTED_VALUE"""),"")</f>
        <v/>
      </c>
    </row>
    <row r="9453">
      <c r="A9453" s="16" t="s">
        <v>87</v>
      </c>
      <c r="E9453" s="16" t="str">
        <f>IFERROR(__xludf.DUMMYFUNCTION("""COMPUTED_VALUE"""),"")</f>
        <v/>
      </c>
      <c r="G9453" s="18"/>
      <c r="H9453" s="16" t="s">
        <v>87</v>
      </c>
      <c r="I9453" s="16" t="s">
        <v>87</v>
      </c>
      <c r="J9453" s="19"/>
      <c r="L9453" s="16" t="str">
        <f>IFERROR(__xludf.DUMMYFUNCTION("""COMPUTED_VALUE"""),"")</f>
        <v/>
      </c>
      <c r="M9453" s="16" t="str">
        <f>IFERROR(__xludf.DUMMYFUNCTION("""COMPUTED_VALUE"""),"")</f>
        <v/>
      </c>
      <c r="U9453" s="16" t="s">
        <v>87</v>
      </c>
      <c r="V9453" s="16" t="str">
        <f>IFERROR(__xludf.DUMMYFUNCTION("""COMPUTED_VALUE"""),"")</f>
        <v/>
      </c>
      <c r="W9453" s="16" t="str">
        <f>IFERROR(__xludf.DUMMYFUNCTION("""COMPUTED_VALUE"""),"")</f>
        <v/>
      </c>
      <c r="X9453" s="16" t="str">
        <f>IFERROR(__xludf.DUMMYFUNCTION("""COMPUTED_VALUE"""),"")</f>
        <v/>
      </c>
      <c r="AC9453" s="16" t="str">
        <f>IFERROR(__xludf.DUMMYFUNCTION("""COMPUTED_VALUE"""),"")</f>
        <v/>
      </c>
    </row>
    <row r="9454">
      <c r="A9454" s="16" t="s">
        <v>87</v>
      </c>
      <c r="E9454" s="16" t="str">
        <f>IFERROR(__xludf.DUMMYFUNCTION("""COMPUTED_VALUE"""),"")</f>
        <v/>
      </c>
      <c r="G9454" s="18"/>
      <c r="H9454" s="16" t="s">
        <v>87</v>
      </c>
      <c r="I9454" s="16" t="s">
        <v>87</v>
      </c>
      <c r="J9454" s="19"/>
      <c r="L9454" s="16" t="str">
        <f>IFERROR(__xludf.DUMMYFUNCTION("""COMPUTED_VALUE"""),"")</f>
        <v/>
      </c>
      <c r="M9454" s="16" t="str">
        <f>IFERROR(__xludf.DUMMYFUNCTION("""COMPUTED_VALUE"""),"")</f>
        <v/>
      </c>
      <c r="U9454" s="16" t="s">
        <v>87</v>
      </c>
      <c r="V9454" s="16" t="str">
        <f>IFERROR(__xludf.DUMMYFUNCTION("""COMPUTED_VALUE"""),"")</f>
        <v/>
      </c>
      <c r="W9454" s="16" t="str">
        <f>IFERROR(__xludf.DUMMYFUNCTION("""COMPUTED_VALUE"""),"")</f>
        <v/>
      </c>
      <c r="X9454" s="16" t="str">
        <f>IFERROR(__xludf.DUMMYFUNCTION("""COMPUTED_VALUE"""),"")</f>
        <v/>
      </c>
      <c r="AC9454" s="16" t="str">
        <f>IFERROR(__xludf.DUMMYFUNCTION("""COMPUTED_VALUE"""),"")</f>
        <v/>
      </c>
    </row>
    <row r="9455">
      <c r="A9455" s="16" t="s">
        <v>87</v>
      </c>
      <c r="E9455" s="16" t="str">
        <f>IFERROR(__xludf.DUMMYFUNCTION("""COMPUTED_VALUE"""),"")</f>
        <v/>
      </c>
      <c r="G9455" s="18"/>
      <c r="H9455" s="16" t="s">
        <v>87</v>
      </c>
      <c r="I9455" s="16" t="s">
        <v>87</v>
      </c>
      <c r="J9455" s="19"/>
      <c r="L9455" s="16" t="str">
        <f>IFERROR(__xludf.DUMMYFUNCTION("""COMPUTED_VALUE"""),"")</f>
        <v/>
      </c>
      <c r="M9455" s="16" t="str">
        <f>IFERROR(__xludf.DUMMYFUNCTION("""COMPUTED_VALUE"""),"")</f>
        <v/>
      </c>
      <c r="U9455" s="16" t="s">
        <v>87</v>
      </c>
      <c r="V9455" s="16" t="str">
        <f>IFERROR(__xludf.DUMMYFUNCTION("""COMPUTED_VALUE"""),"")</f>
        <v/>
      </c>
      <c r="W9455" s="16" t="str">
        <f>IFERROR(__xludf.DUMMYFUNCTION("""COMPUTED_VALUE"""),"")</f>
        <v/>
      </c>
      <c r="X9455" s="16" t="str">
        <f>IFERROR(__xludf.DUMMYFUNCTION("""COMPUTED_VALUE"""),"")</f>
        <v/>
      </c>
      <c r="AC9455" s="16" t="str">
        <f>IFERROR(__xludf.DUMMYFUNCTION("""COMPUTED_VALUE"""),"")</f>
        <v/>
      </c>
    </row>
    <row r="9456">
      <c r="A9456" s="16" t="s">
        <v>87</v>
      </c>
      <c r="E9456" s="16" t="str">
        <f>IFERROR(__xludf.DUMMYFUNCTION("""COMPUTED_VALUE"""),"")</f>
        <v/>
      </c>
      <c r="G9456" s="18"/>
      <c r="H9456" s="16" t="s">
        <v>87</v>
      </c>
      <c r="I9456" s="16" t="s">
        <v>87</v>
      </c>
      <c r="J9456" s="19"/>
      <c r="L9456" s="16" t="str">
        <f>IFERROR(__xludf.DUMMYFUNCTION("""COMPUTED_VALUE"""),"")</f>
        <v/>
      </c>
      <c r="M9456" s="16" t="str">
        <f>IFERROR(__xludf.DUMMYFUNCTION("""COMPUTED_VALUE"""),"")</f>
        <v/>
      </c>
      <c r="U9456" s="16" t="s">
        <v>87</v>
      </c>
      <c r="V9456" s="16" t="str">
        <f>IFERROR(__xludf.DUMMYFUNCTION("""COMPUTED_VALUE"""),"")</f>
        <v/>
      </c>
      <c r="W9456" s="16" t="str">
        <f>IFERROR(__xludf.DUMMYFUNCTION("""COMPUTED_VALUE"""),"")</f>
        <v/>
      </c>
      <c r="X9456" s="16" t="str">
        <f>IFERROR(__xludf.DUMMYFUNCTION("""COMPUTED_VALUE"""),"")</f>
        <v/>
      </c>
      <c r="AC9456" s="16" t="str">
        <f>IFERROR(__xludf.DUMMYFUNCTION("""COMPUTED_VALUE"""),"")</f>
        <v/>
      </c>
    </row>
    <row r="9457">
      <c r="A9457" s="16" t="s">
        <v>87</v>
      </c>
      <c r="E9457" s="16" t="str">
        <f>IFERROR(__xludf.DUMMYFUNCTION("""COMPUTED_VALUE"""),"")</f>
        <v/>
      </c>
      <c r="G9457" s="18"/>
      <c r="H9457" s="16" t="s">
        <v>87</v>
      </c>
      <c r="I9457" s="16" t="s">
        <v>87</v>
      </c>
      <c r="J9457" s="19"/>
      <c r="L9457" s="16" t="str">
        <f>IFERROR(__xludf.DUMMYFUNCTION("""COMPUTED_VALUE"""),"")</f>
        <v/>
      </c>
      <c r="M9457" s="16" t="str">
        <f>IFERROR(__xludf.DUMMYFUNCTION("""COMPUTED_VALUE"""),"")</f>
        <v/>
      </c>
      <c r="U9457" s="16" t="s">
        <v>87</v>
      </c>
      <c r="V9457" s="16" t="str">
        <f>IFERROR(__xludf.DUMMYFUNCTION("""COMPUTED_VALUE"""),"")</f>
        <v/>
      </c>
      <c r="W9457" s="16" t="str">
        <f>IFERROR(__xludf.DUMMYFUNCTION("""COMPUTED_VALUE"""),"")</f>
        <v/>
      </c>
      <c r="X9457" s="16" t="str">
        <f>IFERROR(__xludf.DUMMYFUNCTION("""COMPUTED_VALUE"""),"")</f>
        <v/>
      </c>
      <c r="AC9457" s="16" t="str">
        <f>IFERROR(__xludf.DUMMYFUNCTION("""COMPUTED_VALUE"""),"")</f>
        <v/>
      </c>
    </row>
    <row r="9458">
      <c r="A9458" s="16" t="s">
        <v>87</v>
      </c>
      <c r="E9458" s="16" t="str">
        <f>IFERROR(__xludf.DUMMYFUNCTION("""COMPUTED_VALUE"""),"")</f>
        <v/>
      </c>
      <c r="G9458" s="18"/>
      <c r="H9458" s="16" t="s">
        <v>87</v>
      </c>
      <c r="I9458" s="16" t="s">
        <v>87</v>
      </c>
      <c r="J9458" s="19"/>
      <c r="L9458" s="16" t="str">
        <f>IFERROR(__xludf.DUMMYFUNCTION("""COMPUTED_VALUE"""),"")</f>
        <v/>
      </c>
      <c r="M9458" s="16" t="str">
        <f>IFERROR(__xludf.DUMMYFUNCTION("""COMPUTED_VALUE"""),"")</f>
        <v/>
      </c>
      <c r="U9458" s="16" t="s">
        <v>87</v>
      </c>
      <c r="V9458" s="16" t="str">
        <f>IFERROR(__xludf.DUMMYFUNCTION("""COMPUTED_VALUE"""),"")</f>
        <v/>
      </c>
      <c r="W9458" s="16" t="str">
        <f>IFERROR(__xludf.DUMMYFUNCTION("""COMPUTED_VALUE"""),"")</f>
        <v/>
      </c>
      <c r="X9458" s="16" t="str">
        <f>IFERROR(__xludf.DUMMYFUNCTION("""COMPUTED_VALUE"""),"")</f>
        <v/>
      </c>
      <c r="AC9458" s="16" t="str">
        <f>IFERROR(__xludf.DUMMYFUNCTION("""COMPUTED_VALUE"""),"")</f>
        <v/>
      </c>
    </row>
    <row r="9459">
      <c r="A9459" s="16" t="s">
        <v>87</v>
      </c>
      <c r="E9459" s="16" t="str">
        <f>IFERROR(__xludf.DUMMYFUNCTION("""COMPUTED_VALUE"""),"")</f>
        <v/>
      </c>
      <c r="G9459" s="18"/>
      <c r="H9459" s="16" t="s">
        <v>87</v>
      </c>
      <c r="I9459" s="16" t="s">
        <v>87</v>
      </c>
      <c r="J9459" s="19"/>
      <c r="L9459" s="16" t="str">
        <f>IFERROR(__xludf.DUMMYFUNCTION("""COMPUTED_VALUE"""),"")</f>
        <v/>
      </c>
      <c r="M9459" s="16" t="str">
        <f>IFERROR(__xludf.DUMMYFUNCTION("""COMPUTED_VALUE"""),"")</f>
        <v/>
      </c>
      <c r="U9459" s="16" t="s">
        <v>87</v>
      </c>
      <c r="V9459" s="16" t="str">
        <f>IFERROR(__xludf.DUMMYFUNCTION("""COMPUTED_VALUE"""),"")</f>
        <v/>
      </c>
      <c r="W9459" s="16" t="str">
        <f>IFERROR(__xludf.DUMMYFUNCTION("""COMPUTED_VALUE"""),"")</f>
        <v/>
      </c>
      <c r="X9459" s="16" t="str">
        <f>IFERROR(__xludf.DUMMYFUNCTION("""COMPUTED_VALUE"""),"")</f>
        <v/>
      </c>
      <c r="AC9459" s="16" t="str">
        <f>IFERROR(__xludf.DUMMYFUNCTION("""COMPUTED_VALUE"""),"")</f>
        <v/>
      </c>
    </row>
    <row r="9460">
      <c r="A9460" s="16" t="s">
        <v>87</v>
      </c>
      <c r="E9460" s="16" t="str">
        <f>IFERROR(__xludf.DUMMYFUNCTION("""COMPUTED_VALUE"""),"")</f>
        <v/>
      </c>
      <c r="G9460" s="18"/>
      <c r="H9460" s="16" t="s">
        <v>87</v>
      </c>
      <c r="I9460" s="16" t="s">
        <v>87</v>
      </c>
      <c r="J9460" s="19"/>
      <c r="L9460" s="16" t="str">
        <f>IFERROR(__xludf.DUMMYFUNCTION("""COMPUTED_VALUE"""),"")</f>
        <v/>
      </c>
      <c r="M9460" s="16" t="str">
        <f>IFERROR(__xludf.DUMMYFUNCTION("""COMPUTED_VALUE"""),"")</f>
        <v/>
      </c>
      <c r="U9460" s="16" t="s">
        <v>87</v>
      </c>
      <c r="V9460" s="16" t="str">
        <f>IFERROR(__xludf.DUMMYFUNCTION("""COMPUTED_VALUE"""),"")</f>
        <v/>
      </c>
      <c r="W9460" s="16" t="str">
        <f>IFERROR(__xludf.DUMMYFUNCTION("""COMPUTED_VALUE"""),"")</f>
        <v/>
      </c>
      <c r="X9460" s="16" t="str">
        <f>IFERROR(__xludf.DUMMYFUNCTION("""COMPUTED_VALUE"""),"")</f>
        <v/>
      </c>
      <c r="AC9460" s="16" t="str">
        <f>IFERROR(__xludf.DUMMYFUNCTION("""COMPUTED_VALUE"""),"")</f>
        <v/>
      </c>
    </row>
    <row r="9461">
      <c r="A9461" s="16" t="s">
        <v>87</v>
      </c>
      <c r="E9461" s="16" t="str">
        <f>IFERROR(__xludf.DUMMYFUNCTION("""COMPUTED_VALUE"""),"")</f>
        <v/>
      </c>
      <c r="G9461" s="18"/>
      <c r="H9461" s="16" t="s">
        <v>87</v>
      </c>
      <c r="I9461" s="16" t="s">
        <v>87</v>
      </c>
      <c r="J9461" s="19"/>
      <c r="L9461" s="16" t="str">
        <f>IFERROR(__xludf.DUMMYFUNCTION("""COMPUTED_VALUE"""),"")</f>
        <v/>
      </c>
      <c r="M9461" s="16" t="str">
        <f>IFERROR(__xludf.DUMMYFUNCTION("""COMPUTED_VALUE"""),"")</f>
        <v/>
      </c>
      <c r="U9461" s="16" t="s">
        <v>87</v>
      </c>
      <c r="V9461" s="16" t="str">
        <f>IFERROR(__xludf.DUMMYFUNCTION("""COMPUTED_VALUE"""),"")</f>
        <v/>
      </c>
      <c r="W9461" s="16" t="str">
        <f>IFERROR(__xludf.DUMMYFUNCTION("""COMPUTED_VALUE"""),"")</f>
        <v/>
      </c>
      <c r="X9461" s="16" t="str">
        <f>IFERROR(__xludf.DUMMYFUNCTION("""COMPUTED_VALUE"""),"")</f>
        <v/>
      </c>
      <c r="AC9461" s="16" t="str">
        <f>IFERROR(__xludf.DUMMYFUNCTION("""COMPUTED_VALUE"""),"")</f>
        <v/>
      </c>
    </row>
    <row r="9462">
      <c r="A9462" s="16" t="s">
        <v>87</v>
      </c>
      <c r="E9462" s="16" t="str">
        <f>IFERROR(__xludf.DUMMYFUNCTION("""COMPUTED_VALUE"""),"")</f>
        <v/>
      </c>
      <c r="G9462" s="18"/>
      <c r="H9462" s="16" t="s">
        <v>87</v>
      </c>
      <c r="I9462" s="16" t="s">
        <v>87</v>
      </c>
      <c r="J9462" s="19"/>
      <c r="L9462" s="16" t="str">
        <f>IFERROR(__xludf.DUMMYFUNCTION("""COMPUTED_VALUE"""),"")</f>
        <v/>
      </c>
      <c r="M9462" s="16" t="str">
        <f>IFERROR(__xludf.DUMMYFUNCTION("""COMPUTED_VALUE"""),"")</f>
        <v/>
      </c>
      <c r="U9462" s="16" t="s">
        <v>87</v>
      </c>
      <c r="V9462" s="16" t="str">
        <f>IFERROR(__xludf.DUMMYFUNCTION("""COMPUTED_VALUE"""),"")</f>
        <v/>
      </c>
      <c r="W9462" s="16" t="str">
        <f>IFERROR(__xludf.DUMMYFUNCTION("""COMPUTED_VALUE"""),"")</f>
        <v/>
      </c>
      <c r="X9462" s="16" t="str">
        <f>IFERROR(__xludf.DUMMYFUNCTION("""COMPUTED_VALUE"""),"")</f>
        <v/>
      </c>
      <c r="AC9462" s="16" t="str">
        <f>IFERROR(__xludf.DUMMYFUNCTION("""COMPUTED_VALUE"""),"")</f>
        <v/>
      </c>
    </row>
    <row r="9463">
      <c r="A9463" s="16" t="s">
        <v>87</v>
      </c>
      <c r="E9463" s="16" t="str">
        <f>IFERROR(__xludf.DUMMYFUNCTION("""COMPUTED_VALUE"""),"")</f>
        <v/>
      </c>
      <c r="G9463" s="18"/>
      <c r="H9463" s="16" t="s">
        <v>87</v>
      </c>
      <c r="I9463" s="16" t="s">
        <v>87</v>
      </c>
      <c r="J9463" s="19"/>
      <c r="L9463" s="16" t="str">
        <f>IFERROR(__xludf.DUMMYFUNCTION("""COMPUTED_VALUE"""),"")</f>
        <v/>
      </c>
      <c r="M9463" s="16" t="str">
        <f>IFERROR(__xludf.DUMMYFUNCTION("""COMPUTED_VALUE"""),"")</f>
        <v/>
      </c>
      <c r="U9463" s="16" t="s">
        <v>87</v>
      </c>
      <c r="V9463" s="16" t="str">
        <f>IFERROR(__xludf.DUMMYFUNCTION("""COMPUTED_VALUE"""),"")</f>
        <v/>
      </c>
      <c r="W9463" s="16" t="str">
        <f>IFERROR(__xludf.DUMMYFUNCTION("""COMPUTED_VALUE"""),"")</f>
        <v/>
      </c>
      <c r="X9463" s="16" t="str">
        <f>IFERROR(__xludf.DUMMYFUNCTION("""COMPUTED_VALUE"""),"")</f>
        <v/>
      </c>
      <c r="AC9463" s="16" t="str">
        <f>IFERROR(__xludf.DUMMYFUNCTION("""COMPUTED_VALUE"""),"")</f>
        <v/>
      </c>
    </row>
    <row r="9464">
      <c r="A9464" s="16" t="s">
        <v>87</v>
      </c>
      <c r="E9464" s="16" t="str">
        <f>IFERROR(__xludf.DUMMYFUNCTION("""COMPUTED_VALUE"""),"")</f>
        <v/>
      </c>
      <c r="G9464" s="18"/>
      <c r="H9464" s="16" t="s">
        <v>87</v>
      </c>
      <c r="I9464" s="16" t="s">
        <v>87</v>
      </c>
      <c r="J9464" s="19"/>
      <c r="L9464" s="16" t="str">
        <f>IFERROR(__xludf.DUMMYFUNCTION("""COMPUTED_VALUE"""),"")</f>
        <v/>
      </c>
      <c r="M9464" s="16" t="str">
        <f>IFERROR(__xludf.DUMMYFUNCTION("""COMPUTED_VALUE"""),"")</f>
        <v/>
      </c>
      <c r="U9464" s="16" t="s">
        <v>87</v>
      </c>
      <c r="V9464" s="16" t="str">
        <f>IFERROR(__xludf.DUMMYFUNCTION("""COMPUTED_VALUE"""),"")</f>
        <v/>
      </c>
      <c r="W9464" s="16" t="str">
        <f>IFERROR(__xludf.DUMMYFUNCTION("""COMPUTED_VALUE"""),"")</f>
        <v/>
      </c>
      <c r="X9464" s="16" t="str">
        <f>IFERROR(__xludf.DUMMYFUNCTION("""COMPUTED_VALUE"""),"")</f>
        <v/>
      </c>
      <c r="AC9464" s="16" t="str">
        <f>IFERROR(__xludf.DUMMYFUNCTION("""COMPUTED_VALUE"""),"")</f>
        <v/>
      </c>
    </row>
    <row r="9465">
      <c r="A9465" s="16" t="s">
        <v>87</v>
      </c>
      <c r="E9465" s="16" t="str">
        <f>IFERROR(__xludf.DUMMYFUNCTION("""COMPUTED_VALUE"""),"")</f>
        <v/>
      </c>
      <c r="G9465" s="18"/>
      <c r="H9465" s="16" t="s">
        <v>87</v>
      </c>
      <c r="I9465" s="16" t="s">
        <v>87</v>
      </c>
      <c r="J9465" s="19"/>
      <c r="L9465" s="16" t="str">
        <f>IFERROR(__xludf.DUMMYFUNCTION("""COMPUTED_VALUE"""),"")</f>
        <v/>
      </c>
      <c r="M9465" s="16" t="str">
        <f>IFERROR(__xludf.DUMMYFUNCTION("""COMPUTED_VALUE"""),"")</f>
        <v/>
      </c>
      <c r="U9465" s="16" t="s">
        <v>87</v>
      </c>
      <c r="V9465" s="16" t="str">
        <f>IFERROR(__xludf.DUMMYFUNCTION("""COMPUTED_VALUE"""),"")</f>
        <v/>
      </c>
      <c r="W9465" s="16" t="str">
        <f>IFERROR(__xludf.DUMMYFUNCTION("""COMPUTED_VALUE"""),"")</f>
        <v/>
      </c>
      <c r="X9465" s="16" t="str">
        <f>IFERROR(__xludf.DUMMYFUNCTION("""COMPUTED_VALUE"""),"")</f>
        <v/>
      </c>
      <c r="AC9465" s="16" t="str">
        <f>IFERROR(__xludf.DUMMYFUNCTION("""COMPUTED_VALUE"""),"")</f>
        <v/>
      </c>
    </row>
    <row r="9466">
      <c r="A9466" s="16" t="s">
        <v>87</v>
      </c>
      <c r="E9466" s="16" t="str">
        <f>IFERROR(__xludf.DUMMYFUNCTION("""COMPUTED_VALUE"""),"")</f>
        <v/>
      </c>
      <c r="G9466" s="18"/>
      <c r="H9466" s="16" t="s">
        <v>87</v>
      </c>
      <c r="I9466" s="16" t="s">
        <v>87</v>
      </c>
      <c r="J9466" s="19"/>
      <c r="L9466" s="16" t="str">
        <f>IFERROR(__xludf.DUMMYFUNCTION("""COMPUTED_VALUE"""),"")</f>
        <v/>
      </c>
      <c r="M9466" s="16" t="str">
        <f>IFERROR(__xludf.DUMMYFUNCTION("""COMPUTED_VALUE"""),"")</f>
        <v/>
      </c>
      <c r="U9466" s="16" t="s">
        <v>87</v>
      </c>
      <c r="V9466" s="16" t="str">
        <f>IFERROR(__xludf.DUMMYFUNCTION("""COMPUTED_VALUE"""),"")</f>
        <v/>
      </c>
      <c r="W9466" s="16" t="str">
        <f>IFERROR(__xludf.DUMMYFUNCTION("""COMPUTED_VALUE"""),"")</f>
        <v/>
      </c>
      <c r="X9466" s="16" t="str">
        <f>IFERROR(__xludf.DUMMYFUNCTION("""COMPUTED_VALUE"""),"")</f>
        <v/>
      </c>
      <c r="AC9466" s="16" t="str">
        <f>IFERROR(__xludf.DUMMYFUNCTION("""COMPUTED_VALUE"""),"")</f>
        <v/>
      </c>
    </row>
    <row r="9467">
      <c r="A9467" s="16" t="s">
        <v>87</v>
      </c>
      <c r="E9467" s="16" t="str">
        <f>IFERROR(__xludf.DUMMYFUNCTION("""COMPUTED_VALUE"""),"")</f>
        <v/>
      </c>
      <c r="G9467" s="18"/>
      <c r="H9467" s="16" t="s">
        <v>87</v>
      </c>
      <c r="I9467" s="16" t="s">
        <v>87</v>
      </c>
      <c r="J9467" s="19"/>
      <c r="L9467" s="16" t="str">
        <f>IFERROR(__xludf.DUMMYFUNCTION("""COMPUTED_VALUE"""),"")</f>
        <v/>
      </c>
      <c r="M9467" s="16" t="str">
        <f>IFERROR(__xludf.DUMMYFUNCTION("""COMPUTED_VALUE"""),"")</f>
        <v/>
      </c>
      <c r="U9467" s="16" t="s">
        <v>87</v>
      </c>
      <c r="V9467" s="16" t="str">
        <f>IFERROR(__xludf.DUMMYFUNCTION("""COMPUTED_VALUE"""),"")</f>
        <v/>
      </c>
      <c r="W9467" s="16" t="str">
        <f>IFERROR(__xludf.DUMMYFUNCTION("""COMPUTED_VALUE"""),"")</f>
        <v/>
      </c>
      <c r="X9467" s="16" t="str">
        <f>IFERROR(__xludf.DUMMYFUNCTION("""COMPUTED_VALUE"""),"")</f>
        <v/>
      </c>
      <c r="AC9467" s="16" t="str">
        <f>IFERROR(__xludf.DUMMYFUNCTION("""COMPUTED_VALUE"""),"")</f>
        <v/>
      </c>
    </row>
    <row r="9468">
      <c r="A9468" s="16" t="s">
        <v>87</v>
      </c>
      <c r="E9468" s="16" t="str">
        <f>IFERROR(__xludf.DUMMYFUNCTION("""COMPUTED_VALUE"""),"")</f>
        <v/>
      </c>
      <c r="G9468" s="18"/>
      <c r="H9468" s="16" t="s">
        <v>87</v>
      </c>
      <c r="I9468" s="16" t="s">
        <v>87</v>
      </c>
      <c r="J9468" s="19"/>
      <c r="L9468" s="16" t="str">
        <f>IFERROR(__xludf.DUMMYFUNCTION("""COMPUTED_VALUE"""),"")</f>
        <v/>
      </c>
      <c r="M9468" s="16" t="str">
        <f>IFERROR(__xludf.DUMMYFUNCTION("""COMPUTED_VALUE"""),"")</f>
        <v/>
      </c>
      <c r="U9468" s="16" t="s">
        <v>87</v>
      </c>
      <c r="V9468" s="16" t="str">
        <f>IFERROR(__xludf.DUMMYFUNCTION("""COMPUTED_VALUE"""),"")</f>
        <v/>
      </c>
      <c r="W9468" s="16" t="str">
        <f>IFERROR(__xludf.DUMMYFUNCTION("""COMPUTED_VALUE"""),"")</f>
        <v/>
      </c>
      <c r="X9468" s="16" t="str">
        <f>IFERROR(__xludf.DUMMYFUNCTION("""COMPUTED_VALUE"""),"")</f>
        <v/>
      </c>
      <c r="AC9468" s="16" t="str">
        <f>IFERROR(__xludf.DUMMYFUNCTION("""COMPUTED_VALUE"""),"")</f>
        <v/>
      </c>
    </row>
    <row r="9469">
      <c r="A9469" s="16" t="s">
        <v>87</v>
      </c>
      <c r="E9469" s="16" t="str">
        <f>IFERROR(__xludf.DUMMYFUNCTION("""COMPUTED_VALUE"""),"")</f>
        <v/>
      </c>
      <c r="G9469" s="18"/>
      <c r="H9469" s="16" t="s">
        <v>87</v>
      </c>
      <c r="I9469" s="16" t="s">
        <v>87</v>
      </c>
      <c r="J9469" s="19"/>
      <c r="L9469" s="16" t="str">
        <f>IFERROR(__xludf.DUMMYFUNCTION("""COMPUTED_VALUE"""),"")</f>
        <v/>
      </c>
      <c r="M9469" s="16" t="str">
        <f>IFERROR(__xludf.DUMMYFUNCTION("""COMPUTED_VALUE"""),"")</f>
        <v/>
      </c>
      <c r="U9469" s="16" t="s">
        <v>87</v>
      </c>
      <c r="V9469" s="16" t="str">
        <f>IFERROR(__xludf.DUMMYFUNCTION("""COMPUTED_VALUE"""),"")</f>
        <v/>
      </c>
      <c r="W9469" s="16" t="str">
        <f>IFERROR(__xludf.DUMMYFUNCTION("""COMPUTED_VALUE"""),"")</f>
        <v/>
      </c>
      <c r="X9469" s="16" t="str">
        <f>IFERROR(__xludf.DUMMYFUNCTION("""COMPUTED_VALUE"""),"")</f>
        <v/>
      </c>
      <c r="AC9469" s="16" t="str">
        <f>IFERROR(__xludf.DUMMYFUNCTION("""COMPUTED_VALUE"""),"")</f>
        <v/>
      </c>
    </row>
    <row r="9470">
      <c r="A9470" s="16" t="s">
        <v>87</v>
      </c>
      <c r="E9470" s="16" t="str">
        <f>IFERROR(__xludf.DUMMYFUNCTION("""COMPUTED_VALUE"""),"")</f>
        <v/>
      </c>
      <c r="G9470" s="18"/>
      <c r="H9470" s="16" t="s">
        <v>87</v>
      </c>
      <c r="I9470" s="16" t="s">
        <v>87</v>
      </c>
      <c r="J9470" s="19"/>
      <c r="L9470" s="16" t="str">
        <f>IFERROR(__xludf.DUMMYFUNCTION("""COMPUTED_VALUE"""),"")</f>
        <v/>
      </c>
      <c r="M9470" s="16" t="str">
        <f>IFERROR(__xludf.DUMMYFUNCTION("""COMPUTED_VALUE"""),"")</f>
        <v/>
      </c>
      <c r="U9470" s="16" t="s">
        <v>87</v>
      </c>
      <c r="V9470" s="16" t="str">
        <f>IFERROR(__xludf.DUMMYFUNCTION("""COMPUTED_VALUE"""),"")</f>
        <v/>
      </c>
      <c r="W9470" s="16" t="str">
        <f>IFERROR(__xludf.DUMMYFUNCTION("""COMPUTED_VALUE"""),"")</f>
        <v/>
      </c>
      <c r="X9470" s="16" t="str">
        <f>IFERROR(__xludf.DUMMYFUNCTION("""COMPUTED_VALUE"""),"")</f>
        <v/>
      </c>
      <c r="AC9470" s="16" t="str">
        <f>IFERROR(__xludf.DUMMYFUNCTION("""COMPUTED_VALUE"""),"")</f>
        <v/>
      </c>
    </row>
    <row r="9471">
      <c r="A9471" s="16" t="s">
        <v>87</v>
      </c>
      <c r="E9471" s="16" t="str">
        <f>IFERROR(__xludf.DUMMYFUNCTION("""COMPUTED_VALUE"""),"")</f>
        <v/>
      </c>
      <c r="G9471" s="18"/>
      <c r="H9471" s="16" t="s">
        <v>87</v>
      </c>
      <c r="I9471" s="16" t="s">
        <v>87</v>
      </c>
      <c r="J9471" s="19"/>
      <c r="L9471" s="16" t="str">
        <f>IFERROR(__xludf.DUMMYFUNCTION("""COMPUTED_VALUE"""),"")</f>
        <v/>
      </c>
      <c r="M9471" s="16" t="str">
        <f>IFERROR(__xludf.DUMMYFUNCTION("""COMPUTED_VALUE"""),"")</f>
        <v/>
      </c>
      <c r="U9471" s="16" t="s">
        <v>87</v>
      </c>
      <c r="V9471" s="16" t="str">
        <f>IFERROR(__xludf.DUMMYFUNCTION("""COMPUTED_VALUE"""),"")</f>
        <v/>
      </c>
      <c r="W9471" s="16" t="str">
        <f>IFERROR(__xludf.DUMMYFUNCTION("""COMPUTED_VALUE"""),"")</f>
        <v/>
      </c>
      <c r="X9471" s="16" t="str">
        <f>IFERROR(__xludf.DUMMYFUNCTION("""COMPUTED_VALUE"""),"")</f>
        <v/>
      </c>
      <c r="AC9471" s="16" t="str">
        <f>IFERROR(__xludf.DUMMYFUNCTION("""COMPUTED_VALUE"""),"")</f>
        <v/>
      </c>
    </row>
    <row r="9472">
      <c r="A9472" s="16" t="s">
        <v>87</v>
      </c>
      <c r="E9472" s="16" t="str">
        <f>IFERROR(__xludf.DUMMYFUNCTION("""COMPUTED_VALUE"""),"")</f>
        <v/>
      </c>
      <c r="G9472" s="18"/>
      <c r="H9472" s="16" t="s">
        <v>87</v>
      </c>
      <c r="I9472" s="16" t="s">
        <v>87</v>
      </c>
      <c r="J9472" s="19"/>
      <c r="L9472" s="16" t="str">
        <f>IFERROR(__xludf.DUMMYFUNCTION("""COMPUTED_VALUE"""),"")</f>
        <v/>
      </c>
      <c r="M9472" s="16" t="str">
        <f>IFERROR(__xludf.DUMMYFUNCTION("""COMPUTED_VALUE"""),"")</f>
        <v/>
      </c>
      <c r="U9472" s="16" t="s">
        <v>87</v>
      </c>
      <c r="V9472" s="16" t="str">
        <f>IFERROR(__xludf.DUMMYFUNCTION("""COMPUTED_VALUE"""),"")</f>
        <v/>
      </c>
      <c r="W9472" s="16" t="str">
        <f>IFERROR(__xludf.DUMMYFUNCTION("""COMPUTED_VALUE"""),"")</f>
        <v/>
      </c>
      <c r="X9472" s="16" t="str">
        <f>IFERROR(__xludf.DUMMYFUNCTION("""COMPUTED_VALUE"""),"")</f>
        <v/>
      </c>
      <c r="AC9472" s="16" t="str">
        <f>IFERROR(__xludf.DUMMYFUNCTION("""COMPUTED_VALUE"""),"")</f>
        <v/>
      </c>
    </row>
    <row r="9473">
      <c r="A9473" s="16" t="s">
        <v>87</v>
      </c>
      <c r="E9473" s="16" t="str">
        <f>IFERROR(__xludf.DUMMYFUNCTION("""COMPUTED_VALUE"""),"")</f>
        <v/>
      </c>
      <c r="G9473" s="18"/>
      <c r="H9473" s="16" t="s">
        <v>87</v>
      </c>
      <c r="I9473" s="16" t="s">
        <v>87</v>
      </c>
      <c r="J9473" s="19"/>
      <c r="L9473" s="16" t="str">
        <f>IFERROR(__xludf.DUMMYFUNCTION("""COMPUTED_VALUE"""),"")</f>
        <v/>
      </c>
      <c r="M9473" s="16" t="str">
        <f>IFERROR(__xludf.DUMMYFUNCTION("""COMPUTED_VALUE"""),"")</f>
        <v/>
      </c>
      <c r="U9473" s="16" t="s">
        <v>87</v>
      </c>
      <c r="V9473" s="16" t="str">
        <f>IFERROR(__xludf.DUMMYFUNCTION("""COMPUTED_VALUE"""),"")</f>
        <v/>
      </c>
      <c r="W9473" s="16" t="str">
        <f>IFERROR(__xludf.DUMMYFUNCTION("""COMPUTED_VALUE"""),"")</f>
        <v/>
      </c>
      <c r="X9473" s="16" t="str">
        <f>IFERROR(__xludf.DUMMYFUNCTION("""COMPUTED_VALUE"""),"")</f>
        <v/>
      </c>
      <c r="AC9473" s="16" t="str">
        <f>IFERROR(__xludf.DUMMYFUNCTION("""COMPUTED_VALUE"""),"")</f>
        <v/>
      </c>
    </row>
    <row r="9474">
      <c r="A9474" s="16" t="s">
        <v>87</v>
      </c>
      <c r="E9474" s="16" t="str">
        <f>IFERROR(__xludf.DUMMYFUNCTION("""COMPUTED_VALUE"""),"")</f>
        <v/>
      </c>
      <c r="G9474" s="18"/>
      <c r="H9474" s="16" t="s">
        <v>87</v>
      </c>
      <c r="I9474" s="16" t="s">
        <v>87</v>
      </c>
      <c r="J9474" s="19"/>
      <c r="L9474" s="16" t="str">
        <f>IFERROR(__xludf.DUMMYFUNCTION("""COMPUTED_VALUE"""),"")</f>
        <v/>
      </c>
      <c r="M9474" s="16" t="str">
        <f>IFERROR(__xludf.DUMMYFUNCTION("""COMPUTED_VALUE"""),"")</f>
        <v/>
      </c>
      <c r="U9474" s="16" t="s">
        <v>87</v>
      </c>
      <c r="V9474" s="16" t="str">
        <f>IFERROR(__xludf.DUMMYFUNCTION("""COMPUTED_VALUE"""),"")</f>
        <v/>
      </c>
      <c r="W9474" s="16" t="str">
        <f>IFERROR(__xludf.DUMMYFUNCTION("""COMPUTED_VALUE"""),"")</f>
        <v/>
      </c>
      <c r="X9474" s="16" t="str">
        <f>IFERROR(__xludf.DUMMYFUNCTION("""COMPUTED_VALUE"""),"")</f>
        <v/>
      </c>
      <c r="AC9474" s="16" t="str">
        <f>IFERROR(__xludf.DUMMYFUNCTION("""COMPUTED_VALUE"""),"")</f>
        <v/>
      </c>
    </row>
    <row r="9475">
      <c r="A9475" s="16" t="s">
        <v>87</v>
      </c>
      <c r="E9475" s="16" t="str">
        <f>IFERROR(__xludf.DUMMYFUNCTION("""COMPUTED_VALUE"""),"")</f>
        <v/>
      </c>
      <c r="G9475" s="18"/>
      <c r="H9475" s="16" t="s">
        <v>87</v>
      </c>
      <c r="I9475" s="16" t="s">
        <v>87</v>
      </c>
      <c r="J9475" s="19"/>
      <c r="L9475" s="16" t="str">
        <f>IFERROR(__xludf.DUMMYFUNCTION("""COMPUTED_VALUE"""),"")</f>
        <v/>
      </c>
      <c r="M9475" s="16" t="str">
        <f>IFERROR(__xludf.DUMMYFUNCTION("""COMPUTED_VALUE"""),"")</f>
        <v/>
      </c>
      <c r="U9475" s="16" t="s">
        <v>87</v>
      </c>
      <c r="V9475" s="16" t="str">
        <f>IFERROR(__xludf.DUMMYFUNCTION("""COMPUTED_VALUE"""),"")</f>
        <v/>
      </c>
      <c r="W9475" s="16" t="str">
        <f>IFERROR(__xludf.DUMMYFUNCTION("""COMPUTED_VALUE"""),"")</f>
        <v/>
      </c>
      <c r="X9475" s="16" t="str">
        <f>IFERROR(__xludf.DUMMYFUNCTION("""COMPUTED_VALUE"""),"")</f>
        <v/>
      </c>
      <c r="AC9475" s="16" t="str">
        <f>IFERROR(__xludf.DUMMYFUNCTION("""COMPUTED_VALUE"""),"")</f>
        <v/>
      </c>
    </row>
    <row r="9476">
      <c r="A9476" s="16" t="s">
        <v>87</v>
      </c>
      <c r="E9476" s="16" t="str">
        <f>IFERROR(__xludf.DUMMYFUNCTION("""COMPUTED_VALUE"""),"")</f>
        <v/>
      </c>
      <c r="G9476" s="18"/>
      <c r="H9476" s="16" t="s">
        <v>87</v>
      </c>
      <c r="I9476" s="16" t="s">
        <v>87</v>
      </c>
      <c r="J9476" s="19"/>
      <c r="L9476" s="16" t="str">
        <f>IFERROR(__xludf.DUMMYFUNCTION("""COMPUTED_VALUE"""),"")</f>
        <v/>
      </c>
      <c r="M9476" s="16" t="str">
        <f>IFERROR(__xludf.DUMMYFUNCTION("""COMPUTED_VALUE"""),"")</f>
        <v/>
      </c>
      <c r="U9476" s="16" t="s">
        <v>87</v>
      </c>
      <c r="V9476" s="16" t="str">
        <f>IFERROR(__xludf.DUMMYFUNCTION("""COMPUTED_VALUE"""),"")</f>
        <v/>
      </c>
      <c r="W9476" s="16" t="str">
        <f>IFERROR(__xludf.DUMMYFUNCTION("""COMPUTED_VALUE"""),"")</f>
        <v/>
      </c>
      <c r="X9476" s="16" t="str">
        <f>IFERROR(__xludf.DUMMYFUNCTION("""COMPUTED_VALUE"""),"")</f>
        <v/>
      </c>
      <c r="AC9476" s="16" t="str">
        <f>IFERROR(__xludf.DUMMYFUNCTION("""COMPUTED_VALUE"""),"")</f>
        <v/>
      </c>
    </row>
    <row r="9477">
      <c r="A9477" s="16" t="s">
        <v>87</v>
      </c>
      <c r="E9477" s="16" t="str">
        <f>IFERROR(__xludf.DUMMYFUNCTION("""COMPUTED_VALUE"""),"")</f>
        <v/>
      </c>
      <c r="G9477" s="18"/>
      <c r="H9477" s="16" t="s">
        <v>87</v>
      </c>
      <c r="I9477" s="16" t="s">
        <v>87</v>
      </c>
      <c r="J9477" s="19"/>
      <c r="L9477" s="16" t="str">
        <f>IFERROR(__xludf.DUMMYFUNCTION("""COMPUTED_VALUE"""),"")</f>
        <v/>
      </c>
      <c r="M9477" s="16" t="str">
        <f>IFERROR(__xludf.DUMMYFUNCTION("""COMPUTED_VALUE"""),"")</f>
        <v/>
      </c>
      <c r="U9477" s="16" t="s">
        <v>87</v>
      </c>
      <c r="V9477" s="16" t="str">
        <f>IFERROR(__xludf.DUMMYFUNCTION("""COMPUTED_VALUE"""),"")</f>
        <v/>
      </c>
      <c r="W9477" s="16" t="str">
        <f>IFERROR(__xludf.DUMMYFUNCTION("""COMPUTED_VALUE"""),"")</f>
        <v/>
      </c>
      <c r="X9477" s="16" t="str">
        <f>IFERROR(__xludf.DUMMYFUNCTION("""COMPUTED_VALUE"""),"")</f>
        <v/>
      </c>
      <c r="AC9477" s="16" t="str">
        <f>IFERROR(__xludf.DUMMYFUNCTION("""COMPUTED_VALUE"""),"")</f>
        <v/>
      </c>
    </row>
    <row r="9478">
      <c r="A9478" s="16" t="s">
        <v>87</v>
      </c>
      <c r="E9478" s="16" t="str">
        <f>IFERROR(__xludf.DUMMYFUNCTION("""COMPUTED_VALUE"""),"")</f>
        <v/>
      </c>
      <c r="G9478" s="18"/>
      <c r="H9478" s="16" t="s">
        <v>87</v>
      </c>
      <c r="I9478" s="16" t="s">
        <v>87</v>
      </c>
      <c r="J9478" s="19"/>
      <c r="L9478" s="16" t="str">
        <f>IFERROR(__xludf.DUMMYFUNCTION("""COMPUTED_VALUE"""),"")</f>
        <v/>
      </c>
      <c r="M9478" s="16" t="str">
        <f>IFERROR(__xludf.DUMMYFUNCTION("""COMPUTED_VALUE"""),"")</f>
        <v/>
      </c>
      <c r="U9478" s="16" t="s">
        <v>87</v>
      </c>
      <c r="V9478" s="16" t="str">
        <f>IFERROR(__xludf.DUMMYFUNCTION("""COMPUTED_VALUE"""),"")</f>
        <v/>
      </c>
      <c r="W9478" s="16" t="str">
        <f>IFERROR(__xludf.DUMMYFUNCTION("""COMPUTED_VALUE"""),"")</f>
        <v/>
      </c>
      <c r="X9478" s="16" t="str">
        <f>IFERROR(__xludf.DUMMYFUNCTION("""COMPUTED_VALUE"""),"")</f>
        <v/>
      </c>
      <c r="AC9478" s="16" t="str">
        <f>IFERROR(__xludf.DUMMYFUNCTION("""COMPUTED_VALUE"""),"")</f>
        <v/>
      </c>
    </row>
    <row r="9479">
      <c r="A9479" s="16" t="s">
        <v>87</v>
      </c>
      <c r="E9479" s="16" t="str">
        <f>IFERROR(__xludf.DUMMYFUNCTION("""COMPUTED_VALUE"""),"")</f>
        <v/>
      </c>
      <c r="G9479" s="18"/>
      <c r="H9479" s="16" t="s">
        <v>87</v>
      </c>
      <c r="I9479" s="16" t="s">
        <v>87</v>
      </c>
      <c r="J9479" s="19"/>
      <c r="L9479" s="16" t="str">
        <f>IFERROR(__xludf.DUMMYFUNCTION("""COMPUTED_VALUE"""),"")</f>
        <v/>
      </c>
      <c r="M9479" s="16" t="str">
        <f>IFERROR(__xludf.DUMMYFUNCTION("""COMPUTED_VALUE"""),"")</f>
        <v/>
      </c>
      <c r="U9479" s="16" t="s">
        <v>87</v>
      </c>
      <c r="V9479" s="16" t="str">
        <f>IFERROR(__xludf.DUMMYFUNCTION("""COMPUTED_VALUE"""),"")</f>
        <v/>
      </c>
      <c r="W9479" s="16" t="str">
        <f>IFERROR(__xludf.DUMMYFUNCTION("""COMPUTED_VALUE"""),"")</f>
        <v/>
      </c>
      <c r="X9479" s="16" t="str">
        <f>IFERROR(__xludf.DUMMYFUNCTION("""COMPUTED_VALUE"""),"")</f>
        <v/>
      </c>
      <c r="AC9479" s="16" t="str">
        <f>IFERROR(__xludf.DUMMYFUNCTION("""COMPUTED_VALUE"""),"")</f>
        <v/>
      </c>
    </row>
    <row r="9480">
      <c r="A9480" s="16" t="s">
        <v>87</v>
      </c>
      <c r="E9480" s="16" t="str">
        <f>IFERROR(__xludf.DUMMYFUNCTION("""COMPUTED_VALUE"""),"")</f>
        <v/>
      </c>
      <c r="G9480" s="18"/>
      <c r="H9480" s="16" t="s">
        <v>87</v>
      </c>
      <c r="I9480" s="16" t="s">
        <v>87</v>
      </c>
      <c r="J9480" s="19"/>
      <c r="L9480" s="16" t="str">
        <f>IFERROR(__xludf.DUMMYFUNCTION("""COMPUTED_VALUE"""),"")</f>
        <v/>
      </c>
      <c r="M9480" s="16" t="str">
        <f>IFERROR(__xludf.DUMMYFUNCTION("""COMPUTED_VALUE"""),"")</f>
        <v/>
      </c>
      <c r="U9480" s="16" t="s">
        <v>87</v>
      </c>
      <c r="V9480" s="16" t="str">
        <f>IFERROR(__xludf.DUMMYFUNCTION("""COMPUTED_VALUE"""),"")</f>
        <v/>
      </c>
      <c r="W9480" s="16" t="str">
        <f>IFERROR(__xludf.DUMMYFUNCTION("""COMPUTED_VALUE"""),"")</f>
        <v/>
      </c>
      <c r="X9480" s="16" t="str">
        <f>IFERROR(__xludf.DUMMYFUNCTION("""COMPUTED_VALUE"""),"")</f>
        <v/>
      </c>
      <c r="AC9480" s="16" t="str">
        <f>IFERROR(__xludf.DUMMYFUNCTION("""COMPUTED_VALUE"""),"")</f>
        <v/>
      </c>
    </row>
    <row r="9481">
      <c r="A9481" s="16" t="s">
        <v>87</v>
      </c>
      <c r="E9481" s="16" t="str">
        <f>IFERROR(__xludf.DUMMYFUNCTION("""COMPUTED_VALUE"""),"")</f>
        <v/>
      </c>
      <c r="G9481" s="18"/>
      <c r="H9481" s="16" t="s">
        <v>87</v>
      </c>
      <c r="I9481" s="16" t="s">
        <v>87</v>
      </c>
      <c r="J9481" s="19"/>
      <c r="L9481" s="16" t="str">
        <f>IFERROR(__xludf.DUMMYFUNCTION("""COMPUTED_VALUE"""),"")</f>
        <v/>
      </c>
      <c r="M9481" s="16" t="str">
        <f>IFERROR(__xludf.DUMMYFUNCTION("""COMPUTED_VALUE"""),"")</f>
        <v/>
      </c>
      <c r="U9481" s="16" t="s">
        <v>87</v>
      </c>
      <c r="V9481" s="16" t="str">
        <f>IFERROR(__xludf.DUMMYFUNCTION("""COMPUTED_VALUE"""),"")</f>
        <v/>
      </c>
      <c r="W9481" s="16" t="str">
        <f>IFERROR(__xludf.DUMMYFUNCTION("""COMPUTED_VALUE"""),"")</f>
        <v/>
      </c>
      <c r="X9481" s="16" t="str">
        <f>IFERROR(__xludf.DUMMYFUNCTION("""COMPUTED_VALUE"""),"")</f>
        <v/>
      </c>
      <c r="AC9481" s="16" t="str">
        <f>IFERROR(__xludf.DUMMYFUNCTION("""COMPUTED_VALUE"""),"")</f>
        <v/>
      </c>
    </row>
    <row r="9482">
      <c r="A9482" s="16" t="s">
        <v>87</v>
      </c>
      <c r="E9482" s="16" t="str">
        <f>IFERROR(__xludf.DUMMYFUNCTION("""COMPUTED_VALUE"""),"")</f>
        <v/>
      </c>
      <c r="G9482" s="18"/>
      <c r="H9482" s="16" t="s">
        <v>87</v>
      </c>
      <c r="I9482" s="16" t="s">
        <v>87</v>
      </c>
      <c r="J9482" s="19"/>
      <c r="L9482" s="16" t="str">
        <f>IFERROR(__xludf.DUMMYFUNCTION("""COMPUTED_VALUE"""),"")</f>
        <v/>
      </c>
      <c r="M9482" s="16" t="str">
        <f>IFERROR(__xludf.DUMMYFUNCTION("""COMPUTED_VALUE"""),"")</f>
        <v/>
      </c>
      <c r="U9482" s="16" t="s">
        <v>87</v>
      </c>
      <c r="V9482" s="16" t="str">
        <f>IFERROR(__xludf.DUMMYFUNCTION("""COMPUTED_VALUE"""),"")</f>
        <v/>
      </c>
      <c r="W9482" s="16" t="str">
        <f>IFERROR(__xludf.DUMMYFUNCTION("""COMPUTED_VALUE"""),"")</f>
        <v/>
      </c>
      <c r="X9482" s="16" t="str">
        <f>IFERROR(__xludf.DUMMYFUNCTION("""COMPUTED_VALUE"""),"")</f>
        <v/>
      </c>
      <c r="AC9482" s="16" t="str">
        <f>IFERROR(__xludf.DUMMYFUNCTION("""COMPUTED_VALUE"""),"")</f>
        <v/>
      </c>
    </row>
    <row r="9483">
      <c r="A9483" s="16" t="s">
        <v>87</v>
      </c>
      <c r="E9483" s="16" t="str">
        <f>IFERROR(__xludf.DUMMYFUNCTION("""COMPUTED_VALUE"""),"")</f>
        <v/>
      </c>
      <c r="G9483" s="18"/>
      <c r="H9483" s="16" t="s">
        <v>87</v>
      </c>
      <c r="I9483" s="16" t="s">
        <v>87</v>
      </c>
      <c r="J9483" s="19"/>
      <c r="L9483" s="16" t="str">
        <f>IFERROR(__xludf.DUMMYFUNCTION("""COMPUTED_VALUE"""),"")</f>
        <v/>
      </c>
      <c r="M9483" s="16" t="str">
        <f>IFERROR(__xludf.DUMMYFUNCTION("""COMPUTED_VALUE"""),"")</f>
        <v/>
      </c>
      <c r="U9483" s="16" t="s">
        <v>87</v>
      </c>
      <c r="V9483" s="16" t="str">
        <f>IFERROR(__xludf.DUMMYFUNCTION("""COMPUTED_VALUE"""),"")</f>
        <v/>
      </c>
      <c r="W9483" s="16" t="str">
        <f>IFERROR(__xludf.DUMMYFUNCTION("""COMPUTED_VALUE"""),"")</f>
        <v/>
      </c>
      <c r="X9483" s="16" t="str">
        <f>IFERROR(__xludf.DUMMYFUNCTION("""COMPUTED_VALUE"""),"")</f>
        <v/>
      </c>
      <c r="AC9483" s="16" t="str">
        <f>IFERROR(__xludf.DUMMYFUNCTION("""COMPUTED_VALUE"""),"")</f>
        <v/>
      </c>
    </row>
    <row r="9484">
      <c r="A9484" s="16" t="s">
        <v>87</v>
      </c>
      <c r="E9484" s="16" t="str">
        <f>IFERROR(__xludf.DUMMYFUNCTION("""COMPUTED_VALUE"""),"")</f>
        <v/>
      </c>
      <c r="G9484" s="18"/>
      <c r="H9484" s="16" t="s">
        <v>87</v>
      </c>
      <c r="I9484" s="16" t="s">
        <v>87</v>
      </c>
      <c r="J9484" s="19"/>
      <c r="L9484" s="16" t="str">
        <f>IFERROR(__xludf.DUMMYFUNCTION("""COMPUTED_VALUE"""),"")</f>
        <v/>
      </c>
      <c r="M9484" s="16" t="str">
        <f>IFERROR(__xludf.DUMMYFUNCTION("""COMPUTED_VALUE"""),"")</f>
        <v/>
      </c>
      <c r="U9484" s="16" t="s">
        <v>87</v>
      </c>
      <c r="V9484" s="16" t="str">
        <f>IFERROR(__xludf.DUMMYFUNCTION("""COMPUTED_VALUE"""),"")</f>
        <v/>
      </c>
      <c r="W9484" s="16" t="str">
        <f>IFERROR(__xludf.DUMMYFUNCTION("""COMPUTED_VALUE"""),"")</f>
        <v/>
      </c>
      <c r="X9484" s="16" t="str">
        <f>IFERROR(__xludf.DUMMYFUNCTION("""COMPUTED_VALUE"""),"")</f>
        <v/>
      </c>
      <c r="AC9484" s="16" t="str">
        <f>IFERROR(__xludf.DUMMYFUNCTION("""COMPUTED_VALUE"""),"")</f>
        <v/>
      </c>
    </row>
    <row r="9485">
      <c r="A9485" s="16" t="s">
        <v>87</v>
      </c>
      <c r="E9485" s="16" t="str">
        <f>IFERROR(__xludf.DUMMYFUNCTION("""COMPUTED_VALUE"""),"")</f>
        <v/>
      </c>
      <c r="G9485" s="18"/>
      <c r="H9485" s="16" t="s">
        <v>87</v>
      </c>
      <c r="I9485" s="16" t="s">
        <v>87</v>
      </c>
      <c r="J9485" s="19"/>
      <c r="L9485" s="16" t="str">
        <f>IFERROR(__xludf.DUMMYFUNCTION("""COMPUTED_VALUE"""),"")</f>
        <v/>
      </c>
      <c r="M9485" s="16" t="str">
        <f>IFERROR(__xludf.DUMMYFUNCTION("""COMPUTED_VALUE"""),"")</f>
        <v/>
      </c>
      <c r="U9485" s="16" t="s">
        <v>87</v>
      </c>
      <c r="V9485" s="16" t="str">
        <f>IFERROR(__xludf.DUMMYFUNCTION("""COMPUTED_VALUE"""),"")</f>
        <v/>
      </c>
      <c r="W9485" s="16" t="str">
        <f>IFERROR(__xludf.DUMMYFUNCTION("""COMPUTED_VALUE"""),"")</f>
        <v/>
      </c>
      <c r="X9485" s="16" t="str">
        <f>IFERROR(__xludf.DUMMYFUNCTION("""COMPUTED_VALUE"""),"")</f>
        <v/>
      </c>
      <c r="AC9485" s="16" t="str">
        <f>IFERROR(__xludf.DUMMYFUNCTION("""COMPUTED_VALUE"""),"")</f>
        <v/>
      </c>
    </row>
    <row r="9486">
      <c r="A9486" s="16" t="s">
        <v>87</v>
      </c>
      <c r="E9486" s="16" t="str">
        <f>IFERROR(__xludf.DUMMYFUNCTION("""COMPUTED_VALUE"""),"")</f>
        <v/>
      </c>
      <c r="G9486" s="18"/>
      <c r="H9486" s="16" t="s">
        <v>87</v>
      </c>
      <c r="I9486" s="16" t="s">
        <v>87</v>
      </c>
      <c r="J9486" s="19"/>
      <c r="L9486" s="16" t="str">
        <f>IFERROR(__xludf.DUMMYFUNCTION("""COMPUTED_VALUE"""),"")</f>
        <v/>
      </c>
      <c r="M9486" s="16" t="str">
        <f>IFERROR(__xludf.DUMMYFUNCTION("""COMPUTED_VALUE"""),"")</f>
        <v/>
      </c>
      <c r="U9486" s="16" t="s">
        <v>87</v>
      </c>
      <c r="V9486" s="16" t="str">
        <f>IFERROR(__xludf.DUMMYFUNCTION("""COMPUTED_VALUE"""),"")</f>
        <v/>
      </c>
      <c r="W9486" s="16" t="str">
        <f>IFERROR(__xludf.DUMMYFUNCTION("""COMPUTED_VALUE"""),"")</f>
        <v/>
      </c>
      <c r="X9486" s="16" t="str">
        <f>IFERROR(__xludf.DUMMYFUNCTION("""COMPUTED_VALUE"""),"")</f>
        <v/>
      </c>
      <c r="AC9486" s="16" t="str">
        <f>IFERROR(__xludf.DUMMYFUNCTION("""COMPUTED_VALUE"""),"")</f>
        <v/>
      </c>
    </row>
    <row r="9487">
      <c r="A9487" s="16" t="s">
        <v>87</v>
      </c>
      <c r="E9487" s="16" t="str">
        <f>IFERROR(__xludf.DUMMYFUNCTION("""COMPUTED_VALUE"""),"")</f>
        <v/>
      </c>
      <c r="G9487" s="18"/>
      <c r="H9487" s="16" t="s">
        <v>87</v>
      </c>
      <c r="I9487" s="16" t="s">
        <v>87</v>
      </c>
      <c r="J9487" s="19"/>
      <c r="L9487" s="16" t="str">
        <f>IFERROR(__xludf.DUMMYFUNCTION("""COMPUTED_VALUE"""),"")</f>
        <v/>
      </c>
      <c r="M9487" s="16" t="str">
        <f>IFERROR(__xludf.DUMMYFUNCTION("""COMPUTED_VALUE"""),"")</f>
        <v/>
      </c>
      <c r="U9487" s="16" t="s">
        <v>87</v>
      </c>
      <c r="V9487" s="16" t="str">
        <f>IFERROR(__xludf.DUMMYFUNCTION("""COMPUTED_VALUE"""),"")</f>
        <v/>
      </c>
      <c r="W9487" s="16" t="str">
        <f>IFERROR(__xludf.DUMMYFUNCTION("""COMPUTED_VALUE"""),"")</f>
        <v/>
      </c>
      <c r="X9487" s="16" t="str">
        <f>IFERROR(__xludf.DUMMYFUNCTION("""COMPUTED_VALUE"""),"")</f>
        <v/>
      </c>
      <c r="AC9487" s="16" t="str">
        <f>IFERROR(__xludf.DUMMYFUNCTION("""COMPUTED_VALUE"""),"")</f>
        <v/>
      </c>
    </row>
    <row r="9488">
      <c r="A9488" s="16" t="s">
        <v>87</v>
      </c>
      <c r="E9488" s="16" t="str">
        <f>IFERROR(__xludf.DUMMYFUNCTION("""COMPUTED_VALUE"""),"")</f>
        <v/>
      </c>
      <c r="G9488" s="18"/>
      <c r="H9488" s="16" t="s">
        <v>87</v>
      </c>
      <c r="I9488" s="16" t="s">
        <v>87</v>
      </c>
      <c r="J9488" s="19"/>
      <c r="L9488" s="16" t="str">
        <f>IFERROR(__xludf.DUMMYFUNCTION("""COMPUTED_VALUE"""),"")</f>
        <v/>
      </c>
      <c r="M9488" s="16" t="str">
        <f>IFERROR(__xludf.DUMMYFUNCTION("""COMPUTED_VALUE"""),"")</f>
        <v/>
      </c>
      <c r="U9488" s="16" t="s">
        <v>87</v>
      </c>
      <c r="V9488" s="16" t="str">
        <f>IFERROR(__xludf.DUMMYFUNCTION("""COMPUTED_VALUE"""),"")</f>
        <v/>
      </c>
      <c r="W9488" s="16" t="str">
        <f>IFERROR(__xludf.DUMMYFUNCTION("""COMPUTED_VALUE"""),"")</f>
        <v/>
      </c>
      <c r="X9488" s="16" t="str">
        <f>IFERROR(__xludf.DUMMYFUNCTION("""COMPUTED_VALUE"""),"")</f>
        <v/>
      </c>
      <c r="AC9488" s="16" t="str">
        <f>IFERROR(__xludf.DUMMYFUNCTION("""COMPUTED_VALUE"""),"")</f>
        <v/>
      </c>
    </row>
    <row r="9489">
      <c r="A9489" s="16" t="s">
        <v>87</v>
      </c>
      <c r="E9489" s="16" t="str">
        <f>IFERROR(__xludf.DUMMYFUNCTION("""COMPUTED_VALUE"""),"")</f>
        <v/>
      </c>
      <c r="G9489" s="18"/>
      <c r="H9489" s="16" t="s">
        <v>87</v>
      </c>
      <c r="I9489" s="16" t="s">
        <v>87</v>
      </c>
      <c r="J9489" s="19"/>
      <c r="L9489" s="16" t="str">
        <f>IFERROR(__xludf.DUMMYFUNCTION("""COMPUTED_VALUE"""),"")</f>
        <v/>
      </c>
      <c r="M9489" s="16" t="str">
        <f>IFERROR(__xludf.DUMMYFUNCTION("""COMPUTED_VALUE"""),"")</f>
        <v/>
      </c>
      <c r="U9489" s="16" t="s">
        <v>87</v>
      </c>
      <c r="V9489" s="16" t="str">
        <f>IFERROR(__xludf.DUMMYFUNCTION("""COMPUTED_VALUE"""),"")</f>
        <v/>
      </c>
      <c r="W9489" s="16" t="str">
        <f>IFERROR(__xludf.DUMMYFUNCTION("""COMPUTED_VALUE"""),"")</f>
        <v/>
      </c>
      <c r="X9489" s="16" t="str">
        <f>IFERROR(__xludf.DUMMYFUNCTION("""COMPUTED_VALUE"""),"")</f>
        <v/>
      </c>
      <c r="AC9489" s="16" t="str">
        <f>IFERROR(__xludf.DUMMYFUNCTION("""COMPUTED_VALUE"""),"")</f>
        <v/>
      </c>
    </row>
    <row r="9490">
      <c r="A9490" s="16" t="s">
        <v>87</v>
      </c>
      <c r="E9490" s="16" t="str">
        <f>IFERROR(__xludf.DUMMYFUNCTION("""COMPUTED_VALUE"""),"")</f>
        <v/>
      </c>
      <c r="G9490" s="18"/>
      <c r="H9490" s="16" t="s">
        <v>87</v>
      </c>
      <c r="I9490" s="16" t="s">
        <v>87</v>
      </c>
      <c r="J9490" s="19"/>
      <c r="L9490" s="16" t="str">
        <f>IFERROR(__xludf.DUMMYFUNCTION("""COMPUTED_VALUE"""),"")</f>
        <v/>
      </c>
      <c r="M9490" s="16" t="str">
        <f>IFERROR(__xludf.DUMMYFUNCTION("""COMPUTED_VALUE"""),"")</f>
        <v/>
      </c>
      <c r="U9490" s="16" t="s">
        <v>87</v>
      </c>
      <c r="V9490" s="16" t="str">
        <f>IFERROR(__xludf.DUMMYFUNCTION("""COMPUTED_VALUE"""),"")</f>
        <v/>
      </c>
      <c r="W9490" s="16" t="str">
        <f>IFERROR(__xludf.DUMMYFUNCTION("""COMPUTED_VALUE"""),"")</f>
        <v/>
      </c>
      <c r="X9490" s="16" t="str">
        <f>IFERROR(__xludf.DUMMYFUNCTION("""COMPUTED_VALUE"""),"")</f>
        <v/>
      </c>
      <c r="AC9490" s="16" t="str">
        <f>IFERROR(__xludf.DUMMYFUNCTION("""COMPUTED_VALUE"""),"")</f>
        <v/>
      </c>
    </row>
    <row r="9491">
      <c r="A9491" s="16" t="s">
        <v>87</v>
      </c>
      <c r="E9491" s="16" t="str">
        <f>IFERROR(__xludf.DUMMYFUNCTION("""COMPUTED_VALUE"""),"")</f>
        <v/>
      </c>
      <c r="G9491" s="18"/>
      <c r="H9491" s="16" t="s">
        <v>87</v>
      </c>
      <c r="I9491" s="16" t="s">
        <v>87</v>
      </c>
      <c r="J9491" s="19"/>
      <c r="L9491" s="16" t="str">
        <f>IFERROR(__xludf.DUMMYFUNCTION("""COMPUTED_VALUE"""),"")</f>
        <v/>
      </c>
      <c r="M9491" s="16" t="str">
        <f>IFERROR(__xludf.DUMMYFUNCTION("""COMPUTED_VALUE"""),"")</f>
        <v/>
      </c>
      <c r="U9491" s="16" t="s">
        <v>87</v>
      </c>
      <c r="V9491" s="16" t="str">
        <f>IFERROR(__xludf.DUMMYFUNCTION("""COMPUTED_VALUE"""),"")</f>
        <v/>
      </c>
      <c r="W9491" s="16" t="str">
        <f>IFERROR(__xludf.DUMMYFUNCTION("""COMPUTED_VALUE"""),"")</f>
        <v/>
      </c>
      <c r="X9491" s="16" t="str">
        <f>IFERROR(__xludf.DUMMYFUNCTION("""COMPUTED_VALUE"""),"")</f>
        <v/>
      </c>
      <c r="AC9491" s="16" t="str">
        <f>IFERROR(__xludf.DUMMYFUNCTION("""COMPUTED_VALUE"""),"")</f>
        <v/>
      </c>
    </row>
    <row r="9492">
      <c r="A9492" s="16" t="s">
        <v>87</v>
      </c>
      <c r="E9492" s="16" t="str">
        <f>IFERROR(__xludf.DUMMYFUNCTION("""COMPUTED_VALUE"""),"")</f>
        <v/>
      </c>
      <c r="G9492" s="18"/>
      <c r="H9492" s="16" t="s">
        <v>87</v>
      </c>
      <c r="I9492" s="16" t="s">
        <v>87</v>
      </c>
      <c r="J9492" s="19"/>
      <c r="L9492" s="16" t="str">
        <f>IFERROR(__xludf.DUMMYFUNCTION("""COMPUTED_VALUE"""),"")</f>
        <v/>
      </c>
      <c r="M9492" s="16" t="str">
        <f>IFERROR(__xludf.DUMMYFUNCTION("""COMPUTED_VALUE"""),"")</f>
        <v/>
      </c>
      <c r="U9492" s="16" t="s">
        <v>87</v>
      </c>
      <c r="V9492" s="16" t="str">
        <f>IFERROR(__xludf.DUMMYFUNCTION("""COMPUTED_VALUE"""),"")</f>
        <v/>
      </c>
      <c r="W9492" s="16" t="str">
        <f>IFERROR(__xludf.DUMMYFUNCTION("""COMPUTED_VALUE"""),"")</f>
        <v/>
      </c>
      <c r="X9492" s="16" t="str">
        <f>IFERROR(__xludf.DUMMYFUNCTION("""COMPUTED_VALUE"""),"")</f>
        <v/>
      </c>
      <c r="AC9492" s="16" t="str">
        <f>IFERROR(__xludf.DUMMYFUNCTION("""COMPUTED_VALUE"""),"")</f>
        <v/>
      </c>
    </row>
    <row r="9493">
      <c r="A9493" s="16" t="s">
        <v>87</v>
      </c>
      <c r="E9493" s="16" t="str">
        <f>IFERROR(__xludf.DUMMYFUNCTION("""COMPUTED_VALUE"""),"")</f>
        <v/>
      </c>
      <c r="G9493" s="18"/>
      <c r="H9493" s="16" t="s">
        <v>87</v>
      </c>
      <c r="I9493" s="16" t="s">
        <v>87</v>
      </c>
      <c r="J9493" s="19"/>
      <c r="L9493" s="16" t="str">
        <f>IFERROR(__xludf.DUMMYFUNCTION("""COMPUTED_VALUE"""),"")</f>
        <v/>
      </c>
      <c r="M9493" s="16" t="str">
        <f>IFERROR(__xludf.DUMMYFUNCTION("""COMPUTED_VALUE"""),"")</f>
        <v/>
      </c>
      <c r="U9493" s="16" t="s">
        <v>87</v>
      </c>
      <c r="V9493" s="16" t="str">
        <f>IFERROR(__xludf.DUMMYFUNCTION("""COMPUTED_VALUE"""),"")</f>
        <v/>
      </c>
      <c r="W9493" s="16" t="str">
        <f>IFERROR(__xludf.DUMMYFUNCTION("""COMPUTED_VALUE"""),"")</f>
        <v/>
      </c>
      <c r="X9493" s="16" t="str">
        <f>IFERROR(__xludf.DUMMYFUNCTION("""COMPUTED_VALUE"""),"")</f>
        <v/>
      </c>
      <c r="AC9493" s="16" t="str">
        <f>IFERROR(__xludf.DUMMYFUNCTION("""COMPUTED_VALUE"""),"")</f>
        <v/>
      </c>
    </row>
    <row r="9494">
      <c r="A9494" s="16" t="s">
        <v>87</v>
      </c>
      <c r="E9494" s="16" t="str">
        <f>IFERROR(__xludf.DUMMYFUNCTION("""COMPUTED_VALUE"""),"")</f>
        <v/>
      </c>
      <c r="G9494" s="18"/>
      <c r="H9494" s="16" t="s">
        <v>87</v>
      </c>
      <c r="I9494" s="16" t="s">
        <v>87</v>
      </c>
      <c r="J9494" s="19"/>
      <c r="L9494" s="16" t="str">
        <f>IFERROR(__xludf.DUMMYFUNCTION("""COMPUTED_VALUE"""),"")</f>
        <v/>
      </c>
      <c r="M9494" s="16" t="str">
        <f>IFERROR(__xludf.DUMMYFUNCTION("""COMPUTED_VALUE"""),"")</f>
        <v/>
      </c>
      <c r="U9494" s="16" t="s">
        <v>87</v>
      </c>
      <c r="V9494" s="16" t="str">
        <f>IFERROR(__xludf.DUMMYFUNCTION("""COMPUTED_VALUE"""),"")</f>
        <v/>
      </c>
      <c r="W9494" s="16" t="str">
        <f>IFERROR(__xludf.DUMMYFUNCTION("""COMPUTED_VALUE"""),"")</f>
        <v/>
      </c>
      <c r="X9494" s="16" t="str">
        <f>IFERROR(__xludf.DUMMYFUNCTION("""COMPUTED_VALUE"""),"")</f>
        <v/>
      </c>
      <c r="AC9494" s="16" t="str">
        <f>IFERROR(__xludf.DUMMYFUNCTION("""COMPUTED_VALUE"""),"")</f>
        <v/>
      </c>
    </row>
    <row r="9495">
      <c r="A9495" s="16" t="s">
        <v>87</v>
      </c>
      <c r="E9495" s="16" t="str">
        <f>IFERROR(__xludf.DUMMYFUNCTION("""COMPUTED_VALUE"""),"")</f>
        <v/>
      </c>
      <c r="G9495" s="18"/>
      <c r="H9495" s="16" t="s">
        <v>87</v>
      </c>
      <c r="I9495" s="16" t="s">
        <v>87</v>
      </c>
      <c r="J9495" s="19"/>
      <c r="L9495" s="16" t="str">
        <f>IFERROR(__xludf.DUMMYFUNCTION("""COMPUTED_VALUE"""),"")</f>
        <v/>
      </c>
      <c r="M9495" s="16" t="str">
        <f>IFERROR(__xludf.DUMMYFUNCTION("""COMPUTED_VALUE"""),"")</f>
        <v/>
      </c>
      <c r="U9495" s="16" t="s">
        <v>87</v>
      </c>
      <c r="V9495" s="16" t="str">
        <f>IFERROR(__xludf.DUMMYFUNCTION("""COMPUTED_VALUE"""),"")</f>
        <v/>
      </c>
      <c r="W9495" s="16" t="str">
        <f>IFERROR(__xludf.DUMMYFUNCTION("""COMPUTED_VALUE"""),"")</f>
        <v/>
      </c>
      <c r="X9495" s="16" t="str">
        <f>IFERROR(__xludf.DUMMYFUNCTION("""COMPUTED_VALUE"""),"")</f>
        <v/>
      </c>
      <c r="AC9495" s="16" t="str">
        <f>IFERROR(__xludf.DUMMYFUNCTION("""COMPUTED_VALUE"""),"")</f>
        <v/>
      </c>
    </row>
    <row r="9496">
      <c r="A9496" s="16" t="s">
        <v>87</v>
      </c>
      <c r="E9496" s="16" t="str">
        <f>IFERROR(__xludf.DUMMYFUNCTION("""COMPUTED_VALUE"""),"")</f>
        <v/>
      </c>
      <c r="G9496" s="18"/>
      <c r="H9496" s="16" t="s">
        <v>87</v>
      </c>
      <c r="I9496" s="16" t="s">
        <v>87</v>
      </c>
      <c r="J9496" s="19"/>
      <c r="L9496" s="16" t="str">
        <f>IFERROR(__xludf.DUMMYFUNCTION("""COMPUTED_VALUE"""),"")</f>
        <v/>
      </c>
      <c r="M9496" s="16" t="str">
        <f>IFERROR(__xludf.DUMMYFUNCTION("""COMPUTED_VALUE"""),"")</f>
        <v/>
      </c>
      <c r="U9496" s="16" t="s">
        <v>87</v>
      </c>
      <c r="V9496" s="16" t="str">
        <f>IFERROR(__xludf.DUMMYFUNCTION("""COMPUTED_VALUE"""),"")</f>
        <v/>
      </c>
      <c r="W9496" s="16" t="str">
        <f>IFERROR(__xludf.DUMMYFUNCTION("""COMPUTED_VALUE"""),"")</f>
        <v/>
      </c>
      <c r="X9496" s="16" t="str">
        <f>IFERROR(__xludf.DUMMYFUNCTION("""COMPUTED_VALUE"""),"")</f>
        <v/>
      </c>
      <c r="AC9496" s="16" t="str">
        <f>IFERROR(__xludf.DUMMYFUNCTION("""COMPUTED_VALUE"""),"")</f>
        <v/>
      </c>
    </row>
    <row r="9497">
      <c r="A9497" s="16" t="s">
        <v>87</v>
      </c>
      <c r="E9497" s="16" t="str">
        <f>IFERROR(__xludf.DUMMYFUNCTION("""COMPUTED_VALUE"""),"")</f>
        <v/>
      </c>
      <c r="G9497" s="18"/>
      <c r="H9497" s="16" t="s">
        <v>87</v>
      </c>
      <c r="I9497" s="16" t="s">
        <v>87</v>
      </c>
      <c r="J9497" s="19"/>
      <c r="L9497" s="16" t="str">
        <f>IFERROR(__xludf.DUMMYFUNCTION("""COMPUTED_VALUE"""),"")</f>
        <v/>
      </c>
      <c r="M9497" s="16" t="str">
        <f>IFERROR(__xludf.DUMMYFUNCTION("""COMPUTED_VALUE"""),"")</f>
        <v/>
      </c>
      <c r="U9497" s="16" t="s">
        <v>87</v>
      </c>
      <c r="V9497" s="16" t="str">
        <f>IFERROR(__xludf.DUMMYFUNCTION("""COMPUTED_VALUE"""),"")</f>
        <v/>
      </c>
      <c r="W9497" s="16" t="str">
        <f>IFERROR(__xludf.DUMMYFUNCTION("""COMPUTED_VALUE"""),"")</f>
        <v/>
      </c>
      <c r="X9497" s="16" t="str">
        <f>IFERROR(__xludf.DUMMYFUNCTION("""COMPUTED_VALUE"""),"")</f>
        <v/>
      </c>
      <c r="AC9497" s="16" t="str">
        <f>IFERROR(__xludf.DUMMYFUNCTION("""COMPUTED_VALUE"""),"")</f>
        <v/>
      </c>
    </row>
    <row r="9498">
      <c r="A9498" s="16" t="s">
        <v>87</v>
      </c>
      <c r="E9498" s="16" t="str">
        <f>IFERROR(__xludf.DUMMYFUNCTION("""COMPUTED_VALUE"""),"")</f>
        <v/>
      </c>
      <c r="G9498" s="18"/>
      <c r="H9498" s="16" t="s">
        <v>87</v>
      </c>
      <c r="I9498" s="16" t="s">
        <v>87</v>
      </c>
      <c r="J9498" s="19"/>
      <c r="L9498" s="16" t="str">
        <f>IFERROR(__xludf.DUMMYFUNCTION("""COMPUTED_VALUE"""),"")</f>
        <v/>
      </c>
      <c r="M9498" s="16" t="str">
        <f>IFERROR(__xludf.DUMMYFUNCTION("""COMPUTED_VALUE"""),"")</f>
        <v/>
      </c>
      <c r="U9498" s="16" t="s">
        <v>87</v>
      </c>
      <c r="V9498" s="16" t="str">
        <f>IFERROR(__xludf.DUMMYFUNCTION("""COMPUTED_VALUE"""),"")</f>
        <v/>
      </c>
      <c r="W9498" s="16" t="str">
        <f>IFERROR(__xludf.DUMMYFUNCTION("""COMPUTED_VALUE"""),"")</f>
        <v/>
      </c>
      <c r="X9498" s="16" t="str">
        <f>IFERROR(__xludf.DUMMYFUNCTION("""COMPUTED_VALUE"""),"")</f>
        <v/>
      </c>
      <c r="AC9498" s="16" t="str">
        <f>IFERROR(__xludf.DUMMYFUNCTION("""COMPUTED_VALUE"""),"")</f>
        <v/>
      </c>
    </row>
    <row r="9499">
      <c r="A9499" s="16" t="s">
        <v>87</v>
      </c>
      <c r="E9499" s="16" t="str">
        <f>IFERROR(__xludf.DUMMYFUNCTION("""COMPUTED_VALUE"""),"")</f>
        <v/>
      </c>
      <c r="G9499" s="18"/>
      <c r="H9499" s="16" t="s">
        <v>87</v>
      </c>
      <c r="I9499" s="16" t="s">
        <v>87</v>
      </c>
      <c r="J9499" s="19"/>
      <c r="L9499" s="16" t="str">
        <f>IFERROR(__xludf.DUMMYFUNCTION("""COMPUTED_VALUE"""),"")</f>
        <v/>
      </c>
      <c r="M9499" s="16" t="str">
        <f>IFERROR(__xludf.DUMMYFUNCTION("""COMPUTED_VALUE"""),"")</f>
        <v/>
      </c>
      <c r="U9499" s="16" t="s">
        <v>87</v>
      </c>
      <c r="V9499" s="16" t="str">
        <f>IFERROR(__xludf.DUMMYFUNCTION("""COMPUTED_VALUE"""),"")</f>
        <v/>
      </c>
      <c r="W9499" s="16" t="str">
        <f>IFERROR(__xludf.DUMMYFUNCTION("""COMPUTED_VALUE"""),"")</f>
        <v/>
      </c>
      <c r="X9499" s="16" t="str">
        <f>IFERROR(__xludf.DUMMYFUNCTION("""COMPUTED_VALUE"""),"")</f>
        <v/>
      </c>
      <c r="AC9499" s="16" t="str">
        <f>IFERROR(__xludf.DUMMYFUNCTION("""COMPUTED_VALUE"""),"")</f>
        <v/>
      </c>
    </row>
    <row r="9500">
      <c r="A9500" s="16" t="s">
        <v>87</v>
      </c>
      <c r="E9500" s="16" t="str">
        <f>IFERROR(__xludf.DUMMYFUNCTION("""COMPUTED_VALUE"""),"")</f>
        <v/>
      </c>
      <c r="G9500" s="18"/>
      <c r="H9500" s="16" t="s">
        <v>87</v>
      </c>
      <c r="I9500" s="16" t="s">
        <v>87</v>
      </c>
      <c r="J9500" s="19"/>
      <c r="L9500" s="16" t="str">
        <f>IFERROR(__xludf.DUMMYFUNCTION("""COMPUTED_VALUE"""),"")</f>
        <v/>
      </c>
      <c r="M9500" s="16" t="str">
        <f>IFERROR(__xludf.DUMMYFUNCTION("""COMPUTED_VALUE"""),"")</f>
        <v/>
      </c>
      <c r="U9500" s="16" t="s">
        <v>87</v>
      </c>
      <c r="V9500" s="16" t="str">
        <f>IFERROR(__xludf.DUMMYFUNCTION("""COMPUTED_VALUE"""),"")</f>
        <v/>
      </c>
      <c r="W9500" s="16" t="str">
        <f>IFERROR(__xludf.DUMMYFUNCTION("""COMPUTED_VALUE"""),"")</f>
        <v/>
      </c>
      <c r="X9500" s="16" t="str">
        <f>IFERROR(__xludf.DUMMYFUNCTION("""COMPUTED_VALUE"""),"")</f>
        <v/>
      </c>
      <c r="AC9500" s="16" t="str">
        <f>IFERROR(__xludf.DUMMYFUNCTION("""COMPUTED_VALUE"""),"")</f>
        <v/>
      </c>
    </row>
    <row r="9501">
      <c r="A9501" s="16" t="s">
        <v>87</v>
      </c>
      <c r="E9501" s="16" t="str">
        <f>IFERROR(__xludf.DUMMYFUNCTION("""COMPUTED_VALUE"""),"")</f>
        <v/>
      </c>
      <c r="G9501" s="18"/>
      <c r="H9501" s="16" t="s">
        <v>87</v>
      </c>
      <c r="I9501" s="16" t="s">
        <v>87</v>
      </c>
      <c r="J9501" s="19"/>
      <c r="L9501" s="16" t="str">
        <f>IFERROR(__xludf.DUMMYFUNCTION("""COMPUTED_VALUE"""),"")</f>
        <v/>
      </c>
      <c r="M9501" s="16" t="str">
        <f>IFERROR(__xludf.DUMMYFUNCTION("""COMPUTED_VALUE"""),"")</f>
        <v/>
      </c>
      <c r="U9501" s="16" t="s">
        <v>87</v>
      </c>
      <c r="V9501" s="16" t="str">
        <f>IFERROR(__xludf.DUMMYFUNCTION("""COMPUTED_VALUE"""),"")</f>
        <v/>
      </c>
      <c r="W9501" s="16" t="str">
        <f>IFERROR(__xludf.DUMMYFUNCTION("""COMPUTED_VALUE"""),"")</f>
        <v/>
      </c>
      <c r="X9501" s="16" t="str">
        <f>IFERROR(__xludf.DUMMYFUNCTION("""COMPUTED_VALUE"""),"")</f>
        <v/>
      </c>
      <c r="AC9501" s="16" t="str">
        <f>IFERROR(__xludf.DUMMYFUNCTION("""COMPUTED_VALUE"""),"")</f>
        <v/>
      </c>
    </row>
    <row r="9502">
      <c r="A9502" s="16" t="s">
        <v>87</v>
      </c>
      <c r="E9502" s="16" t="str">
        <f>IFERROR(__xludf.DUMMYFUNCTION("""COMPUTED_VALUE"""),"")</f>
        <v/>
      </c>
      <c r="G9502" s="18"/>
      <c r="H9502" s="16" t="s">
        <v>87</v>
      </c>
      <c r="I9502" s="16" t="s">
        <v>87</v>
      </c>
      <c r="J9502" s="19"/>
      <c r="L9502" s="16" t="str">
        <f>IFERROR(__xludf.DUMMYFUNCTION("""COMPUTED_VALUE"""),"")</f>
        <v/>
      </c>
      <c r="M9502" s="16" t="str">
        <f>IFERROR(__xludf.DUMMYFUNCTION("""COMPUTED_VALUE"""),"")</f>
        <v/>
      </c>
      <c r="U9502" s="16" t="s">
        <v>87</v>
      </c>
      <c r="V9502" s="16" t="str">
        <f>IFERROR(__xludf.DUMMYFUNCTION("""COMPUTED_VALUE"""),"")</f>
        <v/>
      </c>
      <c r="W9502" s="16" t="str">
        <f>IFERROR(__xludf.DUMMYFUNCTION("""COMPUTED_VALUE"""),"")</f>
        <v/>
      </c>
      <c r="X9502" s="16" t="str">
        <f>IFERROR(__xludf.DUMMYFUNCTION("""COMPUTED_VALUE"""),"")</f>
        <v/>
      </c>
      <c r="AC9502" s="16" t="str">
        <f>IFERROR(__xludf.DUMMYFUNCTION("""COMPUTED_VALUE"""),"")</f>
        <v/>
      </c>
    </row>
    <row r="9503">
      <c r="A9503" s="16" t="s">
        <v>87</v>
      </c>
      <c r="E9503" s="16" t="str">
        <f>IFERROR(__xludf.DUMMYFUNCTION("""COMPUTED_VALUE"""),"")</f>
        <v/>
      </c>
      <c r="G9503" s="18"/>
      <c r="H9503" s="16" t="s">
        <v>87</v>
      </c>
      <c r="I9503" s="16" t="s">
        <v>87</v>
      </c>
      <c r="J9503" s="19"/>
      <c r="L9503" s="16" t="str">
        <f>IFERROR(__xludf.DUMMYFUNCTION("""COMPUTED_VALUE"""),"")</f>
        <v/>
      </c>
      <c r="M9503" s="16" t="str">
        <f>IFERROR(__xludf.DUMMYFUNCTION("""COMPUTED_VALUE"""),"")</f>
        <v/>
      </c>
      <c r="U9503" s="16" t="s">
        <v>87</v>
      </c>
      <c r="V9503" s="16" t="str">
        <f>IFERROR(__xludf.DUMMYFUNCTION("""COMPUTED_VALUE"""),"")</f>
        <v/>
      </c>
      <c r="W9503" s="16" t="str">
        <f>IFERROR(__xludf.DUMMYFUNCTION("""COMPUTED_VALUE"""),"")</f>
        <v/>
      </c>
      <c r="X9503" s="16" t="str">
        <f>IFERROR(__xludf.DUMMYFUNCTION("""COMPUTED_VALUE"""),"")</f>
        <v/>
      </c>
      <c r="AC9503" s="16" t="str">
        <f>IFERROR(__xludf.DUMMYFUNCTION("""COMPUTED_VALUE"""),"")</f>
        <v/>
      </c>
    </row>
    <row r="9504">
      <c r="A9504" s="16" t="s">
        <v>87</v>
      </c>
      <c r="E9504" s="16" t="str">
        <f>IFERROR(__xludf.DUMMYFUNCTION("""COMPUTED_VALUE"""),"")</f>
        <v/>
      </c>
      <c r="G9504" s="18"/>
      <c r="H9504" s="16" t="s">
        <v>87</v>
      </c>
      <c r="I9504" s="16" t="s">
        <v>87</v>
      </c>
      <c r="J9504" s="19"/>
      <c r="L9504" s="16" t="str">
        <f>IFERROR(__xludf.DUMMYFUNCTION("""COMPUTED_VALUE"""),"")</f>
        <v/>
      </c>
      <c r="M9504" s="16" t="str">
        <f>IFERROR(__xludf.DUMMYFUNCTION("""COMPUTED_VALUE"""),"")</f>
        <v/>
      </c>
      <c r="U9504" s="16" t="s">
        <v>87</v>
      </c>
      <c r="V9504" s="16" t="str">
        <f>IFERROR(__xludf.DUMMYFUNCTION("""COMPUTED_VALUE"""),"")</f>
        <v/>
      </c>
      <c r="W9504" s="16" t="str">
        <f>IFERROR(__xludf.DUMMYFUNCTION("""COMPUTED_VALUE"""),"")</f>
        <v/>
      </c>
      <c r="X9504" s="16" t="str">
        <f>IFERROR(__xludf.DUMMYFUNCTION("""COMPUTED_VALUE"""),"")</f>
        <v/>
      </c>
      <c r="AC9504" s="16" t="str">
        <f>IFERROR(__xludf.DUMMYFUNCTION("""COMPUTED_VALUE"""),"")</f>
        <v/>
      </c>
    </row>
    <row r="9505">
      <c r="A9505" s="16" t="s">
        <v>87</v>
      </c>
      <c r="E9505" s="16" t="str">
        <f>IFERROR(__xludf.DUMMYFUNCTION("""COMPUTED_VALUE"""),"")</f>
        <v/>
      </c>
      <c r="G9505" s="18"/>
      <c r="H9505" s="16" t="s">
        <v>87</v>
      </c>
      <c r="I9505" s="16" t="s">
        <v>87</v>
      </c>
      <c r="J9505" s="19"/>
      <c r="L9505" s="16" t="str">
        <f>IFERROR(__xludf.DUMMYFUNCTION("""COMPUTED_VALUE"""),"")</f>
        <v/>
      </c>
      <c r="M9505" s="16" t="str">
        <f>IFERROR(__xludf.DUMMYFUNCTION("""COMPUTED_VALUE"""),"")</f>
        <v/>
      </c>
      <c r="U9505" s="16" t="s">
        <v>87</v>
      </c>
      <c r="V9505" s="16" t="str">
        <f>IFERROR(__xludf.DUMMYFUNCTION("""COMPUTED_VALUE"""),"")</f>
        <v/>
      </c>
      <c r="W9505" s="16" t="str">
        <f>IFERROR(__xludf.DUMMYFUNCTION("""COMPUTED_VALUE"""),"")</f>
        <v/>
      </c>
      <c r="X9505" s="16" t="str">
        <f>IFERROR(__xludf.DUMMYFUNCTION("""COMPUTED_VALUE"""),"")</f>
        <v/>
      </c>
      <c r="AC9505" s="16" t="str">
        <f>IFERROR(__xludf.DUMMYFUNCTION("""COMPUTED_VALUE"""),"")</f>
        <v/>
      </c>
    </row>
    <row r="9506">
      <c r="A9506" s="16" t="s">
        <v>87</v>
      </c>
      <c r="E9506" s="16" t="str">
        <f>IFERROR(__xludf.DUMMYFUNCTION("""COMPUTED_VALUE"""),"")</f>
        <v/>
      </c>
      <c r="G9506" s="18"/>
      <c r="H9506" s="16" t="s">
        <v>87</v>
      </c>
      <c r="I9506" s="16" t="s">
        <v>87</v>
      </c>
      <c r="J9506" s="19"/>
      <c r="L9506" s="16" t="str">
        <f>IFERROR(__xludf.DUMMYFUNCTION("""COMPUTED_VALUE"""),"")</f>
        <v/>
      </c>
      <c r="M9506" s="16" t="str">
        <f>IFERROR(__xludf.DUMMYFUNCTION("""COMPUTED_VALUE"""),"")</f>
        <v/>
      </c>
      <c r="U9506" s="16" t="s">
        <v>87</v>
      </c>
      <c r="V9506" s="16" t="str">
        <f>IFERROR(__xludf.DUMMYFUNCTION("""COMPUTED_VALUE"""),"")</f>
        <v/>
      </c>
      <c r="W9506" s="16" t="str">
        <f>IFERROR(__xludf.DUMMYFUNCTION("""COMPUTED_VALUE"""),"")</f>
        <v/>
      </c>
      <c r="X9506" s="16" t="str">
        <f>IFERROR(__xludf.DUMMYFUNCTION("""COMPUTED_VALUE"""),"")</f>
        <v/>
      </c>
      <c r="AC9506" s="16" t="str">
        <f>IFERROR(__xludf.DUMMYFUNCTION("""COMPUTED_VALUE"""),"")</f>
        <v/>
      </c>
    </row>
    <row r="9507">
      <c r="A9507" s="16" t="s">
        <v>87</v>
      </c>
      <c r="E9507" s="16" t="str">
        <f>IFERROR(__xludf.DUMMYFUNCTION("""COMPUTED_VALUE"""),"")</f>
        <v/>
      </c>
      <c r="G9507" s="18"/>
      <c r="H9507" s="16" t="s">
        <v>87</v>
      </c>
      <c r="I9507" s="16" t="s">
        <v>87</v>
      </c>
      <c r="J9507" s="19"/>
      <c r="L9507" s="16" t="str">
        <f>IFERROR(__xludf.DUMMYFUNCTION("""COMPUTED_VALUE"""),"")</f>
        <v/>
      </c>
      <c r="M9507" s="16" t="str">
        <f>IFERROR(__xludf.DUMMYFUNCTION("""COMPUTED_VALUE"""),"")</f>
        <v/>
      </c>
      <c r="U9507" s="16" t="s">
        <v>87</v>
      </c>
      <c r="V9507" s="16" t="str">
        <f>IFERROR(__xludf.DUMMYFUNCTION("""COMPUTED_VALUE"""),"")</f>
        <v/>
      </c>
      <c r="W9507" s="16" t="str">
        <f>IFERROR(__xludf.DUMMYFUNCTION("""COMPUTED_VALUE"""),"")</f>
        <v/>
      </c>
      <c r="X9507" s="16" t="str">
        <f>IFERROR(__xludf.DUMMYFUNCTION("""COMPUTED_VALUE"""),"")</f>
        <v/>
      </c>
      <c r="AC9507" s="16" t="str">
        <f>IFERROR(__xludf.DUMMYFUNCTION("""COMPUTED_VALUE"""),"")</f>
        <v/>
      </c>
    </row>
    <row r="9508">
      <c r="A9508" s="16" t="s">
        <v>87</v>
      </c>
      <c r="E9508" s="16" t="str">
        <f>IFERROR(__xludf.DUMMYFUNCTION("""COMPUTED_VALUE"""),"")</f>
        <v/>
      </c>
      <c r="G9508" s="18"/>
      <c r="H9508" s="16" t="s">
        <v>87</v>
      </c>
      <c r="I9508" s="16" t="s">
        <v>87</v>
      </c>
      <c r="J9508" s="19"/>
      <c r="L9508" s="16" t="str">
        <f>IFERROR(__xludf.DUMMYFUNCTION("""COMPUTED_VALUE"""),"")</f>
        <v/>
      </c>
      <c r="M9508" s="16" t="str">
        <f>IFERROR(__xludf.DUMMYFUNCTION("""COMPUTED_VALUE"""),"")</f>
        <v/>
      </c>
      <c r="U9508" s="16" t="s">
        <v>87</v>
      </c>
      <c r="V9508" s="16" t="str">
        <f>IFERROR(__xludf.DUMMYFUNCTION("""COMPUTED_VALUE"""),"")</f>
        <v/>
      </c>
      <c r="W9508" s="16" t="str">
        <f>IFERROR(__xludf.DUMMYFUNCTION("""COMPUTED_VALUE"""),"")</f>
        <v/>
      </c>
      <c r="X9508" s="16" t="str">
        <f>IFERROR(__xludf.DUMMYFUNCTION("""COMPUTED_VALUE"""),"")</f>
        <v/>
      </c>
      <c r="AC9508" s="16" t="str">
        <f>IFERROR(__xludf.DUMMYFUNCTION("""COMPUTED_VALUE"""),"")</f>
        <v/>
      </c>
    </row>
    <row r="9509">
      <c r="A9509" s="16" t="s">
        <v>87</v>
      </c>
      <c r="E9509" s="16" t="str">
        <f>IFERROR(__xludf.DUMMYFUNCTION("""COMPUTED_VALUE"""),"")</f>
        <v/>
      </c>
      <c r="G9509" s="18"/>
      <c r="H9509" s="16" t="s">
        <v>87</v>
      </c>
      <c r="I9509" s="16" t="s">
        <v>87</v>
      </c>
      <c r="J9509" s="19"/>
      <c r="L9509" s="16" t="str">
        <f>IFERROR(__xludf.DUMMYFUNCTION("""COMPUTED_VALUE"""),"")</f>
        <v/>
      </c>
      <c r="M9509" s="16" t="str">
        <f>IFERROR(__xludf.DUMMYFUNCTION("""COMPUTED_VALUE"""),"")</f>
        <v/>
      </c>
      <c r="U9509" s="16" t="s">
        <v>87</v>
      </c>
      <c r="V9509" s="16" t="str">
        <f>IFERROR(__xludf.DUMMYFUNCTION("""COMPUTED_VALUE"""),"")</f>
        <v/>
      </c>
      <c r="W9509" s="16" t="str">
        <f>IFERROR(__xludf.DUMMYFUNCTION("""COMPUTED_VALUE"""),"")</f>
        <v/>
      </c>
      <c r="X9509" s="16" t="str">
        <f>IFERROR(__xludf.DUMMYFUNCTION("""COMPUTED_VALUE"""),"")</f>
        <v/>
      </c>
      <c r="AC9509" s="16" t="str">
        <f>IFERROR(__xludf.DUMMYFUNCTION("""COMPUTED_VALUE"""),"")</f>
        <v/>
      </c>
    </row>
    <row r="9510">
      <c r="A9510" s="16" t="s">
        <v>87</v>
      </c>
      <c r="E9510" s="16" t="str">
        <f>IFERROR(__xludf.DUMMYFUNCTION("""COMPUTED_VALUE"""),"")</f>
        <v/>
      </c>
      <c r="G9510" s="18"/>
      <c r="H9510" s="16" t="s">
        <v>87</v>
      </c>
      <c r="I9510" s="16" t="s">
        <v>87</v>
      </c>
      <c r="J9510" s="19"/>
      <c r="L9510" s="16" t="str">
        <f>IFERROR(__xludf.DUMMYFUNCTION("""COMPUTED_VALUE"""),"")</f>
        <v/>
      </c>
      <c r="M9510" s="16" t="str">
        <f>IFERROR(__xludf.DUMMYFUNCTION("""COMPUTED_VALUE"""),"")</f>
        <v/>
      </c>
      <c r="U9510" s="16" t="s">
        <v>87</v>
      </c>
      <c r="V9510" s="16" t="str">
        <f>IFERROR(__xludf.DUMMYFUNCTION("""COMPUTED_VALUE"""),"")</f>
        <v/>
      </c>
      <c r="W9510" s="16" t="str">
        <f>IFERROR(__xludf.DUMMYFUNCTION("""COMPUTED_VALUE"""),"")</f>
        <v/>
      </c>
      <c r="X9510" s="16" t="str">
        <f>IFERROR(__xludf.DUMMYFUNCTION("""COMPUTED_VALUE"""),"")</f>
        <v/>
      </c>
      <c r="AC9510" s="16" t="str">
        <f>IFERROR(__xludf.DUMMYFUNCTION("""COMPUTED_VALUE"""),"")</f>
        <v/>
      </c>
    </row>
    <row r="9511">
      <c r="A9511" s="16" t="s">
        <v>87</v>
      </c>
      <c r="E9511" s="16" t="str">
        <f>IFERROR(__xludf.DUMMYFUNCTION("""COMPUTED_VALUE"""),"")</f>
        <v/>
      </c>
      <c r="G9511" s="18"/>
      <c r="H9511" s="16" t="s">
        <v>87</v>
      </c>
      <c r="I9511" s="16" t="s">
        <v>87</v>
      </c>
      <c r="J9511" s="19"/>
      <c r="L9511" s="16" t="str">
        <f>IFERROR(__xludf.DUMMYFUNCTION("""COMPUTED_VALUE"""),"")</f>
        <v/>
      </c>
      <c r="M9511" s="16" t="str">
        <f>IFERROR(__xludf.DUMMYFUNCTION("""COMPUTED_VALUE"""),"")</f>
        <v/>
      </c>
      <c r="U9511" s="16" t="s">
        <v>87</v>
      </c>
      <c r="V9511" s="16" t="str">
        <f>IFERROR(__xludf.DUMMYFUNCTION("""COMPUTED_VALUE"""),"")</f>
        <v/>
      </c>
      <c r="W9511" s="16" t="str">
        <f>IFERROR(__xludf.DUMMYFUNCTION("""COMPUTED_VALUE"""),"")</f>
        <v/>
      </c>
      <c r="X9511" s="16" t="str">
        <f>IFERROR(__xludf.DUMMYFUNCTION("""COMPUTED_VALUE"""),"")</f>
        <v/>
      </c>
      <c r="AC9511" s="16" t="str">
        <f>IFERROR(__xludf.DUMMYFUNCTION("""COMPUTED_VALUE"""),"")</f>
        <v/>
      </c>
    </row>
    <row r="9512">
      <c r="A9512" s="16" t="s">
        <v>87</v>
      </c>
      <c r="E9512" s="16" t="str">
        <f>IFERROR(__xludf.DUMMYFUNCTION("""COMPUTED_VALUE"""),"")</f>
        <v/>
      </c>
      <c r="G9512" s="18"/>
      <c r="H9512" s="16" t="s">
        <v>87</v>
      </c>
      <c r="I9512" s="16" t="s">
        <v>87</v>
      </c>
      <c r="J9512" s="19"/>
      <c r="L9512" s="16" t="str">
        <f>IFERROR(__xludf.DUMMYFUNCTION("""COMPUTED_VALUE"""),"")</f>
        <v/>
      </c>
      <c r="M9512" s="16" t="str">
        <f>IFERROR(__xludf.DUMMYFUNCTION("""COMPUTED_VALUE"""),"")</f>
        <v/>
      </c>
      <c r="U9512" s="16" t="s">
        <v>87</v>
      </c>
      <c r="V9512" s="16" t="str">
        <f>IFERROR(__xludf.DUMMYFUNCTION("""COMPUTED_VALUE"""),"")</f>
        <v/>
      </c>
      <c r="W9512" s="16" t="str">
        <f>IFERROR(__xludf.DUMMYFUNCTION("""COMPUTED_VALUE"""),"")</f>
        <v/>
      </c>
      <c r="X9512" s="16" t="str">
        <f>IFERROR(__xludf.DUMMYFUNCTION("""COMPUTED_VALUE"""),"")</f>
        <v/>
      </c>
      <c r="AC9512" s="16" t="str">
        <f>IFERROR(__xludf.DUMMYFUNCTION("""COMPUTED_VALUE"""),"")</f>
        <v/>
      </c>
    </row>
    <row r="9513">
      <c r="A9513" s="16" t="s">
        <v>87</v>
      </c>
      <c r="E9513" s="16" t="str">
        <f>IFERROR(__xludf.DUMMYFUNCTION("""COMPUTED_VALUE"""),"")</f>
        <v/>
      </c>
      <c r="G9513" s="18"/>
      <c r="H9513" s="16" t="s">
        <v>87</v>
      </c>
      <c r="I9513" s="16" t="s">
        <v>87</v>
      </c>
      <c r="J9513" s="19"/>
      <c r="L9513" s="16" t="str">
        <f>IFERROR(__xludf.DUMMYFUNCTION("""COMPUTED_VALUE"""),"")</f>
        <v/>
      </c>
      <c r="M9513" s="16" t="str">
        <f>IFERROR(__xludf.DUMMYFUNCTION("""COMPUTED_VALUE"""),"")</f>
        <v/>
      </c>
      <c r="U9513" s="16" t="s">
        <v>87</v>
      </c>
      <c r="V9513" s="16" t="str">
        <f>IFERROR(__xludf.DUMMYFUNCTION("""COMPUTED_VALUE"""),"")</f>
        <v/>
      </c>
      <c r="W9513" s="16" t="str">
        <f>IFERROR(__xludf.DUMMYFUNCTION("""COMPUTED_VALUE"""),"")</f>
        <v/>
      </c>
      <c r="X9513" s="16" t="str">
        <f>IFERROR(__xludf.DUMMYFUNCTION("""COMPUTED_VALUE"""),"")</f>
        <v/>
      </c>
      <c r="AC9513" s="16" t="str">
        <f>IFERROR(__xludf.DUMMYFUNCTION("""COMPUTED_VALUE"""),"")</f>
        <v/>
      </c>
    </row>
    <row r="9514">
      <c r="A9514" s="16" t="s">
        <v>87</v>
      </c>
      <c r="E9514" s="16" t="str">
        <f>IFERROR(__xludf.DUMMYFUNCTION("""COMPUTED_VALUE"""),"")</f>
        <v/>
      </c>
      <c r="G9514" s="18"/>
      <c r="H9514" s="16" t="s">
        <v>87</v>
      </c>
      <c r="I9514" s="16" t="s">
        <v>87</v>
      </c>
      <c r="J9514" s="19"/>
      <c r="L9514" s="16" t="str">
        <f>IFERROR(__xludf.DUMMYFUNCTION("""COMPUTED_VALUE"""),"")</f>
        <v/>
      </c>
      <c r="M9514" s="16" t="str">
        <f>IFERROR(__xludf.DUMMYFUNCTION("""COMPUTED_VALUE"""),"")</f>
        <v/>
      </c>
      <c r="U9514" s="16" t="s">
        <v>87</v>
      </c>
      <c r="V9514" s="16" t="str">
        <f>IFERROR(__xludf.DUMMYFUNCTION("""COMPUTED_VALUE"""),"")</f>
        <v/>
      </c>
      <c r="W9514" s="16" t="str">
        <f>IFERROR(__xludf.DUMMYFUNCTION("""COMPUTED_VALUE"""),"")</f>
        <v/>
      </c>
      <c r="X9514" s="16" t="str">
        <f>IFERROR(__xludf.DUMMYFUNCTION("""COMPUTED_VALUE"""),"")</f>
        <v/>
      </c>
      <c r="AC9514" s="16" t="str">
        <f>IFERROR(__xludf.DUMMYFUNCTION("""COMPUTED_VALUE"""),"")</f>
        <v/>
      </c>
    </row>
    <row r="9515">
      <c r="A9515" s="16" t="s">
        <v>87</v>
      </c>
      <c r="E9515" s="16" t="str">
        <f>IFERROR(__xludf.DUMMYFUNCTION("""COMPUTED_VALUE"""),"")</f>
        <v/>
      </c>
      <c r="G9515" s="18"/>
      <c r="H9515" s="16" t="s">
        <v>87</v>
      </c>
      <c r="I9515" s="16" t="s">
        <v>87</v>
      </c>
      <c r="J9515" s="19"/>
      <c r="L9515" s="16" t="str">
        <f>IFERROR(__xludf.DUMMYFUNCTION("""COMPUTED_VALUE"""),"")</f>
        <v/>
      </c>
      <c r="M9515" s="16" t="str">
        <f>IFERROR(__xludf.DUMMYFUNCTION("""COMPUTED_VALUE"""),"")</f>
        <v/>
      </c>
      <c r="U9515" s="16" t="s">
        <v>87</v>
      </c>
      <c r="V9515" s="16" t="str">
        <f>IFERROR(__xludf.DUMMYFUNCTION("""COMPUTED_VALUE"""),"")</f>
        <v/>
      </c>
      <c r="W9515" s="16" t="str">
        <f>IFERROR(__xludf.DUMMYFUNCTION("""COMPUTED_VALUE"""),"")</f>
        <v/>
      </c>
      <c r="X9515" s="16" t="str">
        <f>IFERROR(__xludf.DUMMYFUNCTION("""COMPUTED_VALUE"""),"")</f>
        <v/>
      </c>
      <c r="AC9515" s="16" t="str">
        <f>IFERROR(__xludf.DUMMYFUNCTION("""COMPUTED_VALUE"""),"")</f>
        <v/>
      </c>
    </row>
    <row r="9516">
      <c r="A9516" s="16" t="s">
        <v>87</v>
      </c>
      <c r="E9516" s="16" t="str">
        <f>IFERROR(__xludf.DUMMYFUNCTION("""COMPUTED_VALUE"""),"")</f>
        <v/>
      </c>
      <c r="G9516" s="18"/>
      <c r="H9516" s="16" t="s">
        <v>87</v>
      </c>
      <c r="I9516" s="16" t="s">
        <v>87</v>
      </c>
      <c r="J9516" s="19"/>
      <c r="L9516" s="16" t="str">
        <f>IFERROR(__xludf.DUMMYFUNCTION("""COMPUTED_VALUE"""),"")</f>
        <v/>
      </c>
      <c r="M9516" s="16" t="str">
        <f>IFERROR(__xludf.DUMMYFUNCTION("""COMPUTED_VALUE"""),"")</f>
        <v/>
      </c>
      <c r="U9516" s="16" t="s">
        <v>87</v>
      </c>
      <c r="V9516" s="16" t="str">
        <f>IFERROR(__xludf.DUMMYFUNCTION("""COMPUTED_VALUE"""),"")</f>
        <v/>
      </c>
      <c r="W9516" s="16" t="str">
        <f>IFERROR(__xludf.DUMMYFUNCTION("""COMPUTED_VALUE"""),"")</f>
        <v/>
      </c>
      <c r="X9516" s="16" t="str">
        <f>IFERROR(__xludf.DUMMYFUNCTION("""COMPUTED_VALUE"""),"")</f>
        <v/>
      </c>
      <c r="AC9516" s="16" t="str">
        <f>IFERROR(__xludf.DUMMYFUNCTION("""COMPUTED_VALUE"""),"")</f>
        <v/>
      </c>
    </row>
    <row r="9517">
      <c r="A9517" s="16" t="s">
        <v>87</v>
      </c>
      <c r="E9517" s="16" t="str">
        <f>IFERROR(__xludf.DUMMYFUNCTION("""COMPUTED_VALUE"""),"")</f>
        <v/>
      </c>
      <c r="G9517" s="18"/>
      <c r="H9517" s="16" t="s">
        <v>87</v>
      </c>
      <c r="I9517" s="16" t="s">
        <v>87</v>
      </c>
      <c r="J9517" s="19"/>
      <c r="L9517" s="16" t="str">
        <f>IFERROR(__xludf.DUMMYFUNCTION("""COMPUTED_VALUE"""),"")</f>
        <v/>
      </c>
      <c r="M9517" s="16" t="str">
        <f>IFERROR(__xludf.DUMMYFUNCTION("""COMPUTED_VALUE"""),"")</f>
        <v/>
      </c>
      <c r="U9517" s="16" t="s">
        <v>87</v>
      </c>
      <c r="V9517" s="16" t="str">
        <f>IFERROR(__xludf.DUMMYFUNCTION("""COMPUTED_VALUE"""),"")</f>
        <v/>
      </c>
      <c r="W9517" s="16" t="str">
        <f>IFERROR(__xludf.DUMMYFUNCTION("""COMPUTED_VALUE"""),"")</f>
        <v/>
      </c>
      <c r="X9517" s="16" t="str">
        <f>IFERROR(__xludf.DUMMYFUNCTION("""COMPUTED_VALUE"""),"")</f>
        <v/>
      </c>
      <c r="AC9517" s="16" t="str">
        <f>IFERROR(__xludf.DUMMYFUNCTION("""COMPUTED_VALUE"""),"")</f>
        <v/>
      </c>
    </row>
    <row r="9518">
      <c r="A9518" s="16" t="s">
        <v>87</v>
      </c>
      <c r="E9518" s="16" t="str">
        <f>IFERROR(__xludf.DUMMYFUNCTION("""COMPUTED_VALUE"""),"")</f>
        <v/>
      </c>
      <c r="G9518" s="18"/>
      <c r="H9518" s="16" t="s">
        <v>87</v>
      </c>
      <c r="I9518" s="16" t="s">
        <v>87</v>
      </c>
      <c r="J9518" s="19"/>
      <c r="L9518" s="16" t="str">
        <f>IFERROR(__xludf.DUMMYFUNCTION("""COMPUTED_VALUE"""),"")</f>
        <v/>
      </c>
      <c r="M9518" s="16" t="str">
        <f>IFERROR(__xludf.DUMMYFUNCTION("""COMPUTED_VALUE"""),"")</f>
        <v/>
      </c>
      <c r="U9518" s="16" t="s">
        <v>87</v>
      </c>
      <c r="V9518" s="16" t="str">
        <f>IFERROR(__xludf.DUMMYFUNCTION("""COMPUTED_VALUE"""),"")</f>
        <v/>
      </c>
      <c r="W9518" s="16" t="str">
        <f>IFERROR(__xludf.DUMMYFUNCTION("""COMPUTED_VALUE"""),"")</f>
        <v/>
      </c>
      <c r="X9518" s="16" t="str">
        <f>IFERROR(__xludf.DUMMYFUNCTION("""COMPUTED_VALUE"""),"")</f>
        <v/>
      </c>
      <c r="AC9518" s="16" t="str">
        <f>IFERROR(__xludf.DUMMYFUNCTION("""COMPUTED_VALUE"""),"")</f>
        <v/>
      </c>
    </row>
    <row r="9519">
      <c r="A9519" s="16" t="s">
        <v>87</v>
      </c>
      <c r="E9519" s="16" t="str">
        <f>IFERROR(__xludf.DUMMYFUNCTION("""COMPUTED_VALUE"""),"")</f>
        <v/>
      </c>
      <c r="G9519" s="18"/>
      <c r="H9519" s="16" t="s">
        <v>87</v>
      </c>
      <c r="I9519" s="16" t="s">
        <v>87</v>
      </c>
      <c r="J9519" s="19"/>
      <c r="L9519" s="16" t="str">
        <f>IFERROR(__xludf.DUMMYFUNCTION("""COMPUTED_VALUE"""),"")</f>
        <v/>
      </c>
      <c r="M9519" s="16" t="str">
        <f>IFERROR(__xludf.DUMMYFUNCTION("""COMPUTED_VALUE"""),"")</f>
        <v/>
      </c>
      <c r="U9519" s="16" t="s">
        <v>87</v>
      </c>
      <c r="V9519" s="16" t="str">
        <f>IFERROR(__xludf.DUMMYFUNCTION("""COMPUTED_VALUE"""),"")</f>
        <v/>
      </c>
      <c r="W9519" s="16" t="str">
        <f>IFERROR(__xludf.DUMMYFUNCTION("""COMPUTED_VALUE"""),"")</f>
        <v/>
      </c>
      <c r="X9519" s="16" t="str">
        <f>IFERROR(__xludf.DUMMYFUNCTION("""COMPUTED_VALUE"""),"")</f>
        <v/>
      </c>
      <c r="AC9519" s="16" t="str">
        <f>IFERROR(__xludf.DUMMYFUNCTION("""COMPUTED_VALUE"""),"")</f>
        <v/>
      </c>
    </row>
    <row r="9520">
      <c r="A9520" s="16" t="s">
        <v>87</v>
      </c>
      <c r="E9520" s="16" t="str">
        <f>IFERROR(__xludf.DUMMYFUNCTION("""COMPUTED_VALUE"""),"")</f>
        <v/>
      </c>
      <c r="G9520" s="18"/>
      <c r="H9520" s="16" t="s">
        <v>87</v>
      </c>
      <c r="I9520" s="16" t="s">
        <v>87</v>
      </c>
      <c r="J9520" s="19"/>
      <c r="L9520" s="16" t="str">
        <f>IFERROR(__xludf.DUMMYFUNCTION("""COMPUTED_VALUE"""),"")</f>
        <v/>
      </c>
      <c r="M9520" s="16" t="str">
        <f>IFERROR(__xludf.DUMMYFUNCTION("""COMPUTED_VALUE"""),"")</f>
        <v/>
      </c>
      <c r="U9520" s="16" t="s">
        <v>87</v>
      </c>
      <c r="V9520" s="16" t="str">
        <f>IFERROR(__xludf.DUMMYFUNCTION("""COMPUTED_VALUE"""),"")</f>
        <v/>
      </c>
      <c r="W9520" s="16" t="str">
        <f>IFERROR(__xludf.DUMMYFUNCTION("""COMPUTED_VALUE"""),"")</f>
        <v/>
      </c>
      <c r="X9520" s="16" t="str">
        <f>IFERROR(__xludf.DUMMYFUNCTION("""COMPUTED_VALUE"""),"")</f>
        <v/>
      </c>
      <c r="AC9520" s="16" t="str">
        <f>IFERROR(__xludf.DUMMYFUNCTION("""COMPUTED_VALUE"""),"")</f>
        <v/>
      </c>
    </row>
    <row r="9521">
      <c r="A9521" s="16" t="s">
        <v>87</v>
      </c>
      <c r="E9521" s="16" t="str">
        <f>IFERROR(__xludf.DUMMYFUNCTION("""COMPUTED_VALUE"""),"")</f>
        <v/>
      </c>
      <c r="G9521" s="18"/>
      <c r="H9521" s="16" t="s">
        <v>87</v>
      </c>
      <c r="I9521" s="16" t="s">
        <v>87</v>
      </c>
      <c r="J9521" s="19"/>
      <c r="L9521" s="16" t="str">
        <f>IFERROR(__xludf.DUMMYFUNCTION("""COMPUTED_VALUE"""),"")</f>
        <v/>
      </c>
      <c r="M9521" s="16" t="str">
        <f>IFERROR(__xludf.DUMMYFUNCTION("""COMPUTED_VALUE"""),"")</f>
        <v/>
      </c>
      <c r="U9521" s="16" t="s">
        <v>87</v>
      </c>
      <c r="V9521" s="16" t="str">
        <f>IFERROR(__xludf.DUMMYFUNCTION("""COMPUTED_VALUE"""),"")</f>
        <v/>
      </c>
      <c r="W9521" s="16" t="str">
        <f>IFERROR(__xludf.DUMMYFUNCTION("""COMPUTED_VALUE"""),"")</f>
        <v/>
      </c>
      <c r="X9521" s="16" t="str">
        <f>IFERROR(__xludf.DUMMYFUNCTION("""COMPUTED_VALUE"""),"")</f>
        <v/>
      </c>
      <c r="AC9521" s="16" t="str">
        <f>IFERROR(__xludf.DUMMYFUNCTION("""COMPUTED_VALUE"""),"")</f>
        <v/>
      </c>
    </row>
    <row r="9522">
      <c r="A9522" s="16" t="s">
        <v>87</v>
      </c>
      <c r="E9522" s="16" t="str">
        <f>IFERROR(__xludf.DUMMYFUNCTION("""COMPUTED_VALUE"""),"")</f>
        <v/>
      </c>
      <c r="G9522" s="18"/>
      <c r="H9522" s="16" t="s">
        <v>87</v>
      </c>
      <c r="I9522" s="16" t="s">
        <v>87</v>
      </c>
      <c r="J9522" s="19"/>
      <c r="L9522" s="16" t="str">
        <f>IFERROR(__xludf.DUMMYFUNCTION("""COMPUTED_VALUE"""),"")</f>
        <v/>
      </c>
      <c r="M9522" s="16" t="str">
        <f>IFERROR(__xludf.DUMMYFUNCTION("""COMPUTED_VALUE"""),"")</f>
        <v/>
      </c>
      <c r="U9522" s="16" t="s">
        <v>87</v>
      </c>
      <c r="V9522" s="16" t="str">
        <f>IFERROR(__xludf.DUMMYFUNCTION("""COMPUTED_VALUE"""),"")</f>
        <v/>
      </c>
      <c r="W9522" s="16" t="str">
        <f>IFERROR(__xludf.DUMMYFUNCTION("""COMPUTED_VALUE"""),"")</f>
        <v/>
      </c>
      <c r="X9522" s="16" t="str">
        <f>IFERROR(__xludf.DUMMYFUNCTION("""COMPUTED_VALUE"""),"")</f>
        <v/>
      </c>
      <c r="AC9522" s="16" t="str">
        <f>IFERROR(__xludf.DUMMYFUNCTION("""COMPUTED_VALUE"""),"")</f>
        <v/>
      </c>
    </row>
    <row r="9523">
      <c r="A9523" s="16" t="s">
        <v>87</v>
      </c>
      <c r="E9523" s="16" t="str">
        <f>IFERROR(__xludf.DUMMYFUNCTION("""COMPUTED_VALUE"""),"")</f>
        <v/>
      </c>
      <c r="G9523" s="18"/>
      <c r="H9523" s="16" t="s">
        <v>87</v>
      </c>
      <c r="I9523" s="16" t="s">
        <v>87</v>
      </c>
      <c r="J9523" s="19"/>
      <c r="L9523" s="16" t="str">
        <f>IFERROR(__xludf.DUMMYFUNCTION("""COMPUTED_VALUE"""),"")</f>
        <v/>
      </c>
      <c r="M9523" s="16" t="str">
        <f>IFERROR(__xludf.DUMMYFUNCTION("""COMPUTED_VALUE"""),"")</f>
        <v/>
      </c>
      <c r="U9523" s="16" t="s">
        <v>87</v>
      </c>
      <c r="V9523" s="16" t="str">
        <f>IFERROR(__xludf.DUMMYFUNCTION("""COMPUTED_VALUE"""),"")</f>
        <v/>
      </c>
      <c r="W9523" s="16" t="str">
        <f>IFERROR(__xludf.DUMMYFUNCTION("""COMPUTED_VALUE"""),"")</f>
        <v/>
      </c>
      <c r="X9523" s="16" t="str">
        <f>IFERROR(__xludf.DUMMYFUNCTION("""COMPUTED_VALUE"""),"")</f>
        <v/>
      </c>
      <c r="AC9523" s="16" t="str">
        <f>IFERROR(__xludf.DUMMYFUNCTION("""COMPUTED_VALUE"""),"")</f>
        <v/>
      </c>
    </row>
    <row r="9524">
      <c r="A9524" s="16" t="s">
        <v>87</v>
      </c>
      <c r="E9524" s="16" t="str">
        <f>IFERROR(__xludf.DUMMYFUNCTION("""COMPUTED_VALUE"""),"")</f>
        <v/>
      </c>
      <c r="G9524" s="18"/>
      <c r="H9524" s="16" t="s">
        <v>87</v>
      </c>
      <c r="I9524" s="16" t="s">
        <v>87</v>
      </c>
      <c r="J9524" s="19"/>
      <c r="L9524" s="16" t="str">
        <f>IFERROR(__xludf.DUMMYFUNCTION("""COMPUTED_VALUE"""),"")</f>
        <v/>
      </c>
      <c r="M9524" s="16" t="str">
        <f>IFERROR(__xludf.DUMMYFUNCTION("""COMPUTED_VALUE"""),"")</f>
        <v/>
      </c>
      <c r="U9524" s="16" t="s">
        <v>87</v>
      </c>
      <c r="V9524" s="16" t="str">
        <f>IFERROR(__xludf.DUMMYFUNCTION("""COMPUTED_VALUE"""),"")</f>
        <v/>
      </c>
      <c r="W9524" s="16" t="str">
        <f>IFERROR(__xludf.DUMMYFUNCTION("""COMPUTED_VALUE"""),"")</f>
        <v/>
      </c>
      <c r="X9524" s="16" t="str">
        <f>IFERROR(__xludf.DUMMYFUNCTION("""COMPUTED_VALUE"""),"")</f>
        <v/>
      </c>
      <c r="AC9524" s="16" t="str">
        <f>IFERROR(__xludf.DUMMYFUNCTION("""COMPUTED_VALUE"""),"")</f>
        <v/>
      </c>
    </row>
    <row r="9525">
      <c r="A9525" s="16" t="s">
        <v>87</v>
      </c>
      <c r="E9525" s="16" t="str">
        <f>IFERROR(__xludf.DUMMYFUNCTION("""COMPUTED_VALUE"""),"")</f>
        <v/>
      </c>
      <c r="G9525" s="18"/>
      <c r="H9525" s="16" t="s">
        <v>87</v>
      </c>
      <c r="I9525" s="16" t="s">
        <v>87</v>
      </c>
      <c r="J9525" s="19"/>
      <c r="L9525" s="16" t="str">
        <f>IFERROR(__xludf.DUMMYFUNCTION("""COMPUTED_VALUE"""),"")</f>
        <v/>
      </c>
      <c r="M9525" s="16" t="str">
        <f>IFERROR(__xludf.DUMMYFUNCTION("""COMPUTED_VALUE"""),"")</f>
        <v/>
      </c>
      <c r="U9525" s="16" t="s">
        <v>87</v>
      </c>
      <c r="V9525" s="16" t="str">
        <f>IFERROR(__xludf.DUMMYFUNCTION("""COMPUTED_VALUE"""),"")</f>
        <v/>
      </c>
      <c r="W9525" s="16" t="str">
        <f>IFERROR(__xludf.DUMMYFUNCTION("""COMPUTED_VALUE"""),"")</f>
        <v/>
      </c>
      <c r="X9525" s="16" t="str">
        <f>IFERROR(__xludf.DUMMYFUNCTION("""COMPUTED_VALUE"""),"")</f>
        <v/>
      </c>
      <c r="AC9525" s="16" t="str">
        <f>IFERROR(__xludf.DUMMYFUNCTION("""COMPUTED_VALUE"""),"")</f>
        <v/>
      </c>
    </row>
    <row r="9526">
      <c r="A9526" s="16" t="s">
        <v>87</v>
      </c>
      <c r="E9526" s="16" t="str">
        <f>IFERROR(__xludf.DUMMYFUNCTION("""COMPUTED_VALUE"""),"")</f>
        <v/>
      </c>
      <c r="G9526" s="18"/>
      <c r="H9526" s="16" t="s">
        <v>87</v>
      </c>
      <c r="I9526" s="16" t="s">
        <v>87</v>
      </c>
      <c r="J9526" s="19"/>
      <c r="L9526" s="16" t="str">
        <f>IFERROR(__xludf.DUMMYFUNCTION("""COMPUTED_VALUE"""),"")</f>
        <v/>
      </c>
      <c r="M9526" s="16" t="str">
        <f>IFERROR(__xludf.DUMMYFUNCTION("""COMPUTED_VALUE"""),"")</f>
        <v/>
      </c>
      <c r="U9526" s="16" t="s">
        <v>87</v>
      </c>
      <c r="V9526" s="16" t="str">
        <f>IFERROR(__xludf.DUMMYFUNCTION("""COMPUTED_VALUE"""),"")</f>
        <v/>
      </c>
      <c r="W9526" s="16" t="str">
        <f>IFERROR(__xludf.DUMMYFUNCTION("""COMPUTED_VALUE"""),"")</f>
        <v/>
      </c>
      <c r="X9526" s="16" t="str">
        <f>IFERROR(__xludf.DUMMYFUNCTION("""COMPUTED_VALUE"""),"")</f>
        <v/>
      </c>
      <c r="AC9526" s="16" t="str">
        <f>IFERROR(__xludf.DUMMYFUNCTION("""COMPUTED_VALUE"""),"")</f>
        <v/>
      </c>
    </row>
    <row r="9527">
      <c r="A9527" s="16" t="s">
        <v>87</v>
      </c>
      <c r="E9527" s="16" t="str">
        <f>IFERROR(__xludf.DUMMYFUNCTION("""COMPUTED_VALUE"""),"")</f>
        <v/>
      </c>
      <c r="G9527" s="18"/>
      <c r="H9527" s="16" t="s">
        <v>87</v>
      </c>
      <c r="I9527" s="16" t="s">
        <v>87</v>
      </c>
      <c r="J9527" s="19"/>
      <c r="L9527" s="16" t="str">
        <f>IFERROR(__xludf.DUMMYFUNCTION("""COMPUTED_VALUE"""),"")</f>
        <v/>
      </c>
      <c r="M9527" s="16" t="str">
        <f>IFERROR(__xludf.DUMMYFUNCTION("""COMPUTED_VALUE"""),"")</f>
        <v/>
      </c>
      <c r="U9527" s="16" t="s">
        <v>87</v>
      </c>
      <c r="V9527" s="16" t="str">
        <f>IFERROR(__xludf.DUMMYFUNCTION("""COMPUTED_VALUE"""),"")</f>
        <v/>
      </c>
      <c r="W9527" s="16" t="str">
        <f>IFERROR(__xludf.DUMMYFUNCTION("""COMPUTED_VALUE"""),"")</f>
        <v/>
      </c>
      <c r="X9527" s="16" t="str">
        <f>IFERROR(__xludf.DUMMYFUNCTION("""COMPUTED_VALUE"""),"")</f>
        <v/>
      </c>
      <c r="AC9527" s="16" t="str">
        <f>IFERROR(__xludf.DUMMYFUNCTION("""COMPUTED_VALUE"""),"")</f>
        <v/>
      </c>
    </row>
    <row r="9528">
      <c r="A9528" s="16" t="s">
        <v>87</v>
      </c>
      <c r="E9528" s="16" t="str">
        <f>IFERROR(__xludf.DUMMYFUNCTION("""COMPUTED_VALUE"""),"")</f>
        <v/>
      </c>
      <c r="G9528" s="18"/>
      <c r="H9528" s="16" t="s">
        <v>87</v>
      </c>
      <c r="I9528" s="16" t="s">
        <v>87</v>
      </c>
      <c r="J9528" s="19"/>
      <c r="L9528" s="16" t="str">
        <f>IFERROR(__xludf.DUMMYFUNCTION("""COMPUTED_VALUE"""),"")</f>
        <v/>
      </c>
      <c r="M9528" s="16" t="str">
        <f>IFERROR(__xludf.DUMMYFUNCTION("""COMPUTED_VALUE"""),"")</f>
        <v/>
      </c>
      <c r="U9528" s="16" t="s">
        <v>87</v>
      </c>
      <c r="V9528" s="16" t="str">
        <f>IFERROR(__xludf.DUMMYFUNCTION("""COMPUTED_VALUE"""),"")</f>
        <v/>
      </c>
      <c r="W9528" s="16" t="str">
        <f>IFERROR(__xludf.DUMMYFUNCTION("""COMPUTED_VALUE"""),"")</f>
        <v/>
      </c>
      <c r="X9528" s="16" t="str">
        <f>IFERROR(__xludf.DUMMYFUNCTION("""COMPUTED_VALUE"""),"")</f>
        <v/>
      </c>
      <c r="AC9528" s="16" t="str">
        <f>IFERROR(__xludf.DUMMYFUNCTION("""COMPUTED_VALUE"""),"")</f>
        <v/>
      </c>
    </row>
    <row r="9529">
      <c r="A9529" s="16" t="s">
        <v>87</v>
      </c>
      <c r="E9529" s="16" t="str">
        <f>IFERROR(__xludf.DUMMYFUNCTION("""COMPUTED_VALUE"""),"")</f>
        <v/>
      </c>
      <c r="G9529" s="18"/>
      <c r="H9529" s="16" t="s">
        <v>87</v>
      </c>
      <c r="I9529" s="16" t="s">
        <v>87</v>
      </c>
      <c r="J9529" s="19"/>
      <c r="L9529" s="16" t="str">
        <f>IFERROR(__xludf.DUMMYFUNCTION("""COMPUTED_VALUE"""),"")</f>
        <v/>
      </c>
      <c r="M9529" s="16" t="str">
        <f>IFERROR(__xludf.DUMMYFUNCTION("""COMPUTED_VALUE"""),"")</f>
        <v/>
      </c>
      <c r="U9529" s="16" t="s">
        <v>87</v>
      </c>
      <c r="V9529" s="16" t="str">
        <f>IFERROR(__xludf.DUMMYFUNCTION("""COMPUTED_VALUE"""),"")</f>
        <v/>
      </c>
      <c r="W9529" s="16" t="str">
        <f>IFERROR(__xludf.DUMMYFUNCTION("""COMPUTED_VALUE"""),"")</f>
        <v/>
      </c>
      <c r="X9529" s="16" t="str">
        <f>IFERROR(__xludf.DUMMYFUNCTION("""COMPUTED_VALUE"""),"")</f>
        <v/>
      </c>
      <c r="AC9529" s="16" t="str">
        <f>IFERROR(__xludf.DUMMYFUNCTION("""COMPUTED_VALUE"""),"")</f>
        <v/>
      </c>
    </row>
    <row r="9530">
      <c r="A9530" s="16" t="s">
        <v>87</v>
      </c>
      <c r="E9530" s="16" t="str">
        <f>IFERROR(__xludf.DUMMYFUNCTION("""COMPUTED_VALUE"""),"")</f>
        <v/>
      </c>
      <c r="G9530" s="18"/>
      <c r="H9530" s="16" t="s">
        <v>87</v>
      </c>
      <c r="I9530" s="16" t="s">
        <v>87</v>
      </c>
      <c r="J9530" s="19"/>
      <c r="L9530" s="16" t="str">
        <f>IFERROR(__xludf.DUMMYFUNCTION("""COMPUTED_VALUE"""),"")</f>
        <v/>
      </c>
      <c r="M9530" s="16" t="str">
        <f>IFERROR(__xludf.DUMMYFUNCTION("""COMPUTED_VALUE"""),"")</f>
        <v/>
      </c>
      <c r="U9530" s="16" t="s">
        <v>87</v>
      </c>
      <c r="V9530" s="16" t="str">
        <f>IFERROR(__xludf.DUMMYFUNCTION("""COMPUTED_VALUE"""),"")</f>
        <v/>
      </c>
      <c r="W9530" s="16" t="str">
        <f>IFERROR(__xludf.DUMMYFUNCTION("""COMPUTED_VALUE"""),"")</f>
        <v/>
      </c>
      <c r="X9530" s="16" t="str">
        <f>IFERROR(__xludf.DUMMYFUNCTION("""COMPUTED_VALUE"""),"")</f>
        <v/>
      </c>
      <c r="AC9530" s="16" t="str">
        <f>IFERROR(__xludf.DUMMYFUNCTION("""COMPUTED_VALUE"""),"")</f>
        <v/>
      </c>
    </row>
    <row r="9531">
      <c r="A9531" s="16" t="s">
        <v>87</v>
      </c>
      <c r="E9531" s="16" t="str">
        <f>IFERROR(__xludf.DUMMYFUNCTION("""COMPUTED_VALUE"""),"")</f>
        <v/>
      </c>
      <c r="G9531" s="18"/>
      <c r="H9531" s="16" t="s">
        <v>87</v>
      </c>
      <c r="I9531" s="16" t="s">
        <v>87</v>
      </c>
      <c r="J9531" s="19"/>
      <c r="L9531" s="16" t="str">
        <f>IFERROR(__xludf.DUMMYFUNCTION("""COMPUTED_VALUE"""),"")</f>
        <v/>
      </c>
      <c r="M9531" s="16" t="str">
        <f>IFERROR(__xludf.DUMMYFUNCTION("""COMPUTED_VALUE"""),"")</f>
        <v/>
      </c>
      <c r="U9531" s="16" t="s">
        <v>87</v>
      </c>
      <c r="V9531" s="16" t="str">
        <f>IFERROR(__xludf.DUMMYFUNCTION("""COMPUTED_VALUE"""),"")</f>
        <v/>
      </c>
      <c r="W9531" s="16" t="str">
        <f>IFERROR(__xludf.DUMMYFUNCTION("""COMPUTED_VALUE"""),"")</f>
        <v/>
      </c>
      <c r="X9531" s="16" t="str">
        <f>IFERROR(__xludf.DUMMYFUNCTION("""COMPUTED_VALUE"""),"")</f>
        <v/>
      </c>
      <c r="AC9531" s="16" t="str">
        <f>IFERROR(__xludf.DUMMYFUNCTION("""COMPUTED_VALUE"""),"")</f>
        <v/>
      </c>
    </row>
    <row r="9532">
      <c r="A9532" s="16" t="s">
        <v>87</v>
      </c>
      <c r="E9532" s="16" t="str">
        <f>IFERROR(__xludf.DUMMYFUNCTION("""COMPUTED_VALUE"""),"")</f>
        <v/>
      </c>
      <c r="G9532" s="18"/>
      <c r="H9532" s="16" t="s">
        <v>87</v>
      </c>
      <c r="I9532" s="16" t="s">
        <v>87</v>
      </c>
      <c r="J9532" s="19"/>
      <c r="L9532" s="16" t="str">
        <f>IFERROR(__xludf.DUMMYFUNCTION("""COMPUTED_VALUE"""),"")</f>
        <v/>
      </c>
      <c r="M9532" s="16" t="str">
        <f>IFERROR(__xludf.DUMMYFUNCTION("""COMPUTED_VALUE"""),"")</f>
        <v/>
      </c>
      <c r="U9532" s="16" t="s">
        <v>87</v>
      </c>
      <c r="V9532" s="16" t="str">
        <f>IFERROR(__xludf.DUMMYFUNCTION("""COMPUTED_VALUE"""),"")</f>
        <v/>
      </c>
      <c r="W9532" s="16" t="str">
        <f>IFERROR(__xludf.DUMMYFUNCTION("""COMPUTED_VALUE"""),"")</f>
        <v/>
      </c>
      <c r="X9532" s="16" t="str">
        <f>IFERROR(__xludf.DUMMYFUNCTION("""COMPUTED_VALUE"""),"")</f>
        <v/>
      </c>
      <c r="AC9532" s="16" t="str">
        <f>IFERROR(__xludf.DUMMYFUNCTION("""COMPUTED_VALUE"""),"")</f>
        <v/>
      </c>
    </row>
    <row r="9533">
      <c r="A9533" s="16" t="s">
        <v>87</v>
      </c>
      <c r="E9533" s="16" t="str">
        <f>IFERROR(__xludf.DUMMYFUNCTION("""COMPUTED_VALUE"""),"")</f>
        <v/>
      </c>
      <c r="G9533" s="18"/>
      <c r="H9533" s="16" t="s">
        <v>87</v>
      </c>
      <c r="I9533" s="16" t="s">
        <v>87</v>
      </c>
      <c r="J9533" s="19"/>
      <c r="L9533" s="16" t="str">
        <f>IFERROR(__xludf.DUMMYFUNCTION("""COMPUTED_VALUE"""),"")</f>
        <v/>
      </c>
      <c r="M9533" s="16" t="str">
        <f>IFERROR(__xludf.DUMMYFUNCTION("""COMPUTED_VALUE"""),"")</f>
        <v/>
      </c>
      <c r="U9533" s="16" t="s">
        <v>87</v>
      </c>
      <c r="V9533" s="16" t="str">
        <f>IFERROR(__xludf.DUMMYFUNCTION("""COMPUTED_VALUE"""),"")</f>
        <v/>
      </c>
      <c r="W9533" s="16" t="str">
        <f>IFERROR(__xludf.DUMMYFUNCTION("""COMPUTED_VALUE"""),"")</f>
        <v/>
      </c>
      <c r="X9533" s="16" t="str">
        <f>IFERROR(__xludf.DUMMYFUNCTION("""COMPUTED_VALUE"""),"")</f>
        <v/>
      </c>
      <c r="AC9533" s="16" t="str">
        <f>IFERROR(__xludf.DUMMYFUNCTION("""COMPUTED_VALUE"""),"")</f>
        <v/>
      </c>
    </row>
    <row r="9534">
      <c r="A9534" s="16" t="s">
        <v>87</v>
      </c>
      <c r="E9534" s="16" t="str">
        <f>IFERROR(__xludf.DUMMYFUNCTION("""COMPUTED_VALUE"""),"")</f>
        <v/>
      </c>
      <c r="G9534" s="18"/>
      <c r="H9534" s="16" t="s">
        <v>87</v>
      </c>
      <c r="I9534" s="16" t="s">
        <v>87</v>
      </c>
      <c r="J9534" s="19"/>
      <c r="L9534" s="16" t="str">
        <f>IFERROR(__xludf.DUMMYFUNCTION("""COMPUTED_VALUE"""),"")</f>
        <v/>
      </c>
      <c r="M9534" s="16" t="str">
        <f>IFERROR(__xludf.DUMMYFUNCTION("""COMPUTED_VALUE"""),"")</f>
        <v/>
      </c>
      <c r="U9534" s="16" t="s">
        <v>87</v>
      </c>
      <c r="V9534" s="16" t="str">
        <f>IFERROR(__xludf.DUMMYFUNCTION("""COMPUTED_VALUE"""),"")</f>
        <v/>
      </c>
      <c r="W9534" s="16" t="str">
        <f>IFERROR(__xludf.DUMMYFUNCTION("""COMPUTED_VALUE"""),"")</f>
        <v/>
      </c>
      <c r="X9534" s="16" t="str">
        <f>IFERROR(__xludf.DUMMYFUNCTION("""COMPUTED_VALUE"""),"")</f>
        <v/>
      </c>
      <c r="AC9534" s="16" t="str">
        <f>IFERROR(__xludf.DUMMYFUNCTION("""COMPUTED_VALUE"""),"")</f>
        <v/>
      </c>
    </row>
    <row r="9535">
      <c r="A9535" s="16" t="s">
        <v>87</v>
      </c>
      <c r="E9535" s="16" t="str">
        <f>IFERROR(__xludf.DUMMYFUNCTION("""COMPUTED_VALUE"""),"")</f>
        <v/>
      </c>
      <c r="G9535" s="18"/>
      <c r="H9535" s="16" t="s">
        <v>87</v>
      </c>
      <c r="I9535" s="16" t="s">
        <v>87</v>
      </c>
      <c r="J9535" s="19"/>
      <c r="L9535" s="16" t="str">
        <f>IFERROR(__xludf.DUMMYFUNCTION("""COMPUTED_VALUE"""),"")</f>
        <v/>
      </c>
      <c r="M9535" s="16" t="str">
        <f>IFERROR(__xludf.DUMMYFUNCTION("""COMPUTED_VALUE"""),"")</f>
        <v/>
      </c>
      <c r="U9535" s="16" t="s">
        <v>87</v>
      </c>
      <c r="V9535" s="16" t="str">
        <f>IFERROR(__xludf.DUMMYFUNCTION("""COMPUTED_VALUE"""),"")</f>
        <v/>
      </c>
      <c r="W9535" s="16" t="str">
        <f>IFERROR(__xludf.DUMMYFUNCTION("""COMPUTED_VALUE"""),"")</f>
        <v/>
      </c>
      <c r="X9535" s="16" t="str">
        <f>IFERROR(__xludf.DUMMYFUNCTION("""COMPUTED_VALUE"""),"")</f>
        <v/>
      </c>
      <c r="AC9535" s="16" t="str">
        <f>IFERROR(__xludf.DUMMYFUNCTION("""COMPUTED_VALUE"""),"")</f>
        <v/>
      </c>
    </row>
    <row r="9536">
      <c r="A9536" s="16" t="s">
        <v>87</v>
      </c>
      <c r="E9536" s="16" t="str">
        <f>IFERROR(__xludf.DUMMYFUNCTION("""COMPUTED_VALUE"""),"")</f>
        <v/>
      </c>
      <c r="G9536" s="18"/>
      <c r="H9536" s="16" t="s">
        <v>87</v>
      </c>
      <c r="I9536" s="16" t="s">
        <v>87</v>
      </c>
      <c r="J9536" s="19"/>
      <c r="L9536" s="16" t="str">
        <f>IFERROR(__xludf.DUMMYFUNCTION("""COMPUTED_VALUE"""),"")</f>
        <v/>
      </c>
      <c r="M9536" s="16" t="str">
        <f>IFERROR(__xludf.DUMMYFUNCTION("""COMPUTED_VALUE"""),"")</f>
        <v/>
      </c>
      <c r="U9536" s="16" t="s">
        <v>87</v>
      </c>
      <c r="V9536" s="16" t="str">
        <f>IFERROR(__xludf.DUMMYFUNCTION("""COMPUTED_VALUE"""),"")</f>
        <v/>
      </c>
      <c r="W9536" s="16" t="str">
        <f>IFERROR(__xludf.DUMMYFUNCTION("""COMPUTED_VALUE"""),"")</f>
        <v/>
      </c>
      <c r="X9536" s="16" t="str">
        <f>IFERROR(__xludf.DUMMYFUNCTION("""COMPUTED_VALUE"""),"")</f>
        <v/>
      </c>
      <c r="AC9536" s="16" t="str">
        <f>IFERROR(__xludf.DUMMYFUNCTION("""COMPUTED_VALUE"""),"")</f>
        <v/>
      </c>
    </row>
    <row r="9537">
      <c r="A9537" s="16" t="s">
        <v>87</v>
      </c>
      <c r="E9537" s="16" t="str">
        <f>IFERROR(__xludf.DUMMYFUNCTION("""COMPUTED_VALUE"""),"")</f>
        <v/>
      </c>
      <c r="G9537" s="18"/>
      <c r="H9537" s="16" t="s">
        <v>87</v>
      </c>
      <c r="I9537" s="16" t="s">
        <v>87</v>
      </c>
      <c r="J9537" s="19"/>
      <c r="L9537" s="16" t="str">
        <f>IFERROR(__xludf.DUMMYFUNCTION("""COMPUTED_VALUE"""),"")</f>
        <v/>
      </c>
      <c r="M9537" s="16" t="str">
        <f>IFERROR(__xludf.DUMMYFUNCTION("""COMPUTED_VALUE"""),"")</f>
        <v/>
      </c>
      <c r="U9537" s="16" t="s">
        <v>87</v>
      </c>
      <c r="V9537" s="16" t="str">
        <f>IFERROR(__xludf.DUMMYFUNCTION("""COMPUTED_VALUE"""),"")</f>
        <v/>
      </c>
      <c r="W9537" s="16" t="str">
        <f>IFERROR(__xludf.DUMMYFUNCTION("""COMPUTED_VALUE"""),"")</f>
        <v/>
      </c>
      <c r="X9537" s="16" t="str">
        <f>IFERROR(__xludf.DUMMYFUNCTION("""COMPUTED_VALUE"""),"")</f>
        <v/>
      </c>
      <c r="AC9537" s="16" t="str">
        <f>IFERROR(__xludf.DUMMYFUNCTION("""COMPUTED_VALUE"""),"")</f>
        <v/>
      </c>
    </row>
    <row r="9538">
      <c r="A9538" s="16" t="s">
        <v>87</v>
      </c>
      <c r="E9538" s="16" t="str">
        <f>IFERROR(__xludf.DUMMYFUNCTION("""COMPUTED_VALUE"""),"")</f>
        <v/>
      </c>
      <c r="G9538" s="18"/>
      <c r="H9538" s="16" t="s">
        <v>87</v>
      </c>
      <c r="I9538" s="16" t="s">
        <v>87</v>
      </c>
      <c r="J9538" s="19"/>
      <c r="L9538" s="16" t="str">
        <f>IFERROR(__xludf.DUMMYFUNCTION("""COMPUTED_VALUE"""),"")</f>
        <v/>
      </c>
      <c r="M9538" s="16" t="str">
        <f>IFERROR(__xludf.DUMMYFUNCTION("""COMPUTED_VALUE"""),"")</f>
        <v/>
      </c>
      <c r="U9538" s="16" t="s">
        <v>87</v>
      </c>
      <c r="V9538" s="16" t="str">
        <f>IFERROR(__xludf.DUMMYFUNCTION("""COMPUTED_VALUE"""),"")</f>
        <v/>
      </c>
      <c r="W9538" s="16" t="str">
        <f>IFERROR(__xludf.DUMMYFUNCTION("""COMPUTED_VALUE"""),"")</f>
        <v/>
      </c>
      <c r="X9538" s="16" t="str">
        <f>IFERROR(__xludf.DUMMYFUNCTION("""COMPUTED_VALUE"""),"")</f>
        <v/>
      </c>
      <c r="AC9538" s="16" t="str">
        <f>IFERROR(__xludf.DUMMYFUNCTION("""COMPUTED_VALUE"""),"")</f>
        <v/>
      </c>
    </row>
    <row r="9539">
      <c r="A9539" s="16" t="s">
        <v>87</v>
      </c>
      <c r="E9539" s="16" t="str">
        <f>IFERROR(__xludf.DUMMYFUNCTION("""COMPUTED_VALUE"""),"")</f>
        <v/>
      </c>
      <c r="G9539" s="18"/>
      <c r="H9539" s="16" t="s">
        <v>87</v>
      </c>
      <c r="I9539" s="16" t="s">
        <v>87</v>
      </c>
      <c r="J9539" s="19"/>
      <c r="L9539" s="16" t="str">
        <f>IFERROR(__xludf.DUMMYFUNCTION("""COMPUTED_VALUE"""),"")</f>
        <v/>
      </c>
      <c r="M9539" s="16" t="str">
        <f>IFERROR(__xludf.DUMMYFUNCTION("""COMPUTED_VALUE"""),"")</f>
        <v/>
      </c>
      <c r="U9539" s="16" t="s">
        <v>87</v>
      </c>
      <c r="V9539" s="16" t="str">
        <f>IFERROR(__xludf.DUMMYFUNCTION("""COMPUTED_VALUE"""),"")</f>
        <v/>
      </c>
      <c r="W9539" s="16" t="str">
        <f>IFERROR(__xludf.DUMMYFUNCTION("""COMPUTED_VALUE"""),"")</f>
        <v/>
      </c>
      <c r="X9539" s="16" t="str">
        <f>IFERROR(__xludf.DUMMYFUNCTION("""COMPUTED_VALUE"""),"")</f>
        <v/>
      </c>
      <c r="AC9539" s="16" t="str">
        <f>IFERROR(__xludf.DUMMYFUNCTION("""COMPUTED_VALUE"""),"")</f>
        <v/>
      </c>
    </row>
    <row r="9540">
      <c r="A9540" s="16" t="s">
        <v>87</v>
      </c>
      <c r="E9540" s="16" t="str">
        <f>IFERROR(__xludf.DUMMYFUNCTION("""COMPUTED_VALUE"""),"")</f>
        <v/>
      </c>
      <c r="G9540" s="18"/>
      <c r="H9540" s="16" t="s">
        <v>87</v>
      </c>
      <c r="I9540" s="16" t="s">
        <v>87</v>
      </c>
      <c r="J9540" s="19"/>
      <c r="L9540" s="16" t="str">
        <f>IFERROR(__xludf.DUMMYFUNCTION("""COMPUTED_VALUE"""),"")</f>
        <v/>
      </c>
      <c r="M9540" s="16" t="str">
        <f>IFERROR(__xludf.DUMMYFUNCTION("""COMPUTED_VALUE"""),"")</f>
        <v/>
      </c>
      <c r="U9540" s="16" t="s">
        <v>87</v>
      </c>
      <c r="V9540" s="16" t="str">
        <f>IFERROR(__xludf.DUMMYFUNCTION("""COMPUTED_VALUE"""),"")</f>
        <v/>
      </c>
      <c r="W9540" s="16" t="str">
        <f>IFERROR(__xludf.DUMMYFUNCTION("""COMPUTED_VALUE"""),"")</f>
        <v/>
      </c>
      <c r="X9540" s="16" t="str">
        <f>IFERROR(__xludf.DUMMYFUNCTION("""COMPUTED_VALUE"""),"")</f>
        <v/>
      </c>
      <c r="AC9540" s="16" t="str">
        <f>IFERROR(__xludf.DUMMYFUNCTION("""COMPUTED_VALUE"""),"")</f>
        <v/>
      </c>
    </row>
    <row r="9541">
      <c r="A9541" s="16" t="s">
        <v>87</v>
      </c>
      <c r="E9541" s="16" t="str">
        <f>IFERROR(__xludf.DUMMYFUNCTION("""COMPUTED_VALUE"""),"")</f>
        <v/>
      </c>
      <c r="G9541" s="18"/>
      <c r="H9541" s="16" t="s">
        <v>87</v>
      </c>
      <c r="I9541" s="16" t="s">
        <v>87</v>
      </c>
      <c r="J9541" s="19"/>
      <c r="L9541" s="16" t="str">
        <f>IFERROR(__xludf.DUMMYFUNCTION("""COMPUTED_VALUE"""),"")</f>
        <v/>
      </c>
      <c r="M9541" s="16" t="str">
        <f>IFERROR(__xludf.DUMMYFUNCTION("""COMPUTED_VALUE"""),"")</f>
        <v/>
      </c>
      <c r="U9541" s="16" t="s">
        <v>87</v>
      </c>
      <c r="V9541" s="16" t="str">
        <f>IFERROR(__xludf.DUMMYFUNCTION("""COMPUTED_VALUE"""),"")</f>
        <v/>
      </c>
      <c r="W9541" s="16" t="str">
        <f>IFERROR(__xludf.DUMMYFUNCTION("""COMPUTED_VALUE"""),"")</f>
        <v/>
      </c>
      <c r="X9541" s="16" t="str">
        <f>IFERROR(__xludf.DUMMYFUNCTION("""COMPUTED_VALUE"""),"")</f>
        <v/>
      </c>
      <c r="AC9541" s="16" t="str">
        <f>IFERROR(__xludf.DUMMYFUNCTION("""COMPUTED_VALUE"""),"")</f>
        <v/>
      </c>
    </row>
    <row r="9542">
      <c r="A9542" s="16" t="s">
        <v>87</v>
      </c>
      <c r="E9542" s="16" t="str">
        <f>IFERROR(__xludf.DUMMYFUNCTION("""COMPUTED_VALUE"""),"")</f>
        <v/>
      </c>
      <c r="G9542" s="18"/>
      <c r="H9542" s="16" t="s">
        <v>87</v>
      </c>
      <c r="I9542" s="16" t="s">
        <v>87</v>
      </c>
      <c r="J9542" s="19"/>
      <c r="L9542" s="16" t="str">
        <f>IFERROR(__xludf.DUMMYFUNCTION("""COMPUTED_VALUE"""),"")</f>
        <v/>
      </c>
      <c r="M9542" s="16" t="str">
        <f>IFERROR(__xludf.DUMMYFUNCTION("""COMPUTED_VALUE"""),"")</f>
        <v/>
      </c>
      <c r="U9542" s="16" t="s">
        <v>87</v>
      </c>
      <c r="V9542" s="16" t="str">
        <f>IFERROR(__xludf.DUMMYFUNCTION("""COMPUTED_VALUE"""),"")</f>
        <v/>
      </c>
      <c r="W9542" s="16" t="str">
        <f>IFERROR(__xludf.DUMMYFUNCTION("""COMPUTED_VALUE"""),"")</f>
        <v/>
      </c>
      <c r="X9542" s="16" t="str">
        <f>IFERROR(__xludf.DUMMYFUNCTION("""COMPUTED_VALUE"""),"")</f>
        <v/>
      </c>
      <c r="AC9542" s="16" t="str">
        <f>IFERROR(__xludf.DUMMYFUNCTION("""COMPUTED_VALUE"""),"")</f>
        <v/>
      </c>
    </row>
    <row r="9543">
      <c r="A9543" s="16" t="s">
        <v>87</v>
      </c>
      <c r="E9543" s="16" t="str">
        <f>IFERROR(__xludf.DUMMYFUNCTION("""COMPUTED_VALUE"""),"")</f>
        <v/>
      </c>
      <c r="G9543" s="18"/>
      <c r="H9543" s="16" t="s">
        <v>87</v>
      </c>
      <c r="I9543" s="16" t="s">
        <v>87</v>
      </c>
      <c r="J9543" s="19"/>
      <c r="L9543" s="16" t="str">
        <f>IFERROR(__xludf.DUMMYFUNCTION("""COMPUTED_VALUE"""),"")</f>
        <v/>
      </c>
      <c r="M9543" s="16" t="str">
        <f>IFERROR(__xludf.DUMMYFUNCTION("""COMPUTED_VALUE"""),"")</f>
        <v/>
      </c>
      <c r="U9543" s="16" t="s">
        <v>87</v>
      </c>
      <c r="V9543" s="16" t="str">
        <f>IFERROR(__xludf.DUMMYFUNCTION("""COMPUTED_VALUE"""),"")</f>
        <v/>
      </c>
      <c r="W9543" s="16" t="str">
        <f>IFERROR(__xludf.DUMMYFUNCTION("""COMPUTED_VALUE"""),"")</f>
        <v/>
      </c>
      <c r="X9543" s="16" t="str">
        <f>IFERROR(__xludf.DUMMYFUNCTION("""COMPUTED_VALUE"""),"")</f>
        <v/>
      </c>
      <c r="AC9543" s="16" t="str">
        <f>IFERROR(__xludf.DUMMYFUNCTION("""COMPUTED_VALUE"""),"")</f>
        <v/>
      </c>
    </row>
    <row r="9544">
      <c r="A9544" s="16" t="s">
        <v>87</v>
      </c>
      <c r="E9544" s="16" t="str">
        <f>IFERROR(__xludf.DUMMYFUNCTION("""COMPUTED_VALUE"""),"")</f>
        <v/>
      </c>
      <c r="G9544" s="18"/>
      <c r="H9544" s="16" t="s">
        <v>87</v>
      </c>
      <c r="I9544" s="16" t="s">
        <v>87</v>
      </c>
      <c r="J9544" s="19"/>
      <c r="L9544" s="16" t="str">
        <f>IFERROR(__xludf.DUMMYFUNCTION("""COMPUTED_VALUE"""),"")</f>
        <v/>
      </c>
      <c r="M9544" s="16" t="str">
        <f>IFERROR(__xludf.DUMMYFUNCTION("""COMPUTED_VALUE"""),"")</f>
        <v/>
      </c>
      <c r="U9544" s="16" t="s">
        <v>87</v>
      </c>
      <c r="V9544" s="16" t="str">
        <f>IFERROR(__xludf.DUMMYFUNCTION("""COMPUTED_VALUE"""),"")</f>
        <v/>
      </c>
      <c r="W9544" s="16" t="str">
        <f>IFERROR(__xludf.DUMMYFUNCTION("""COMPUTED_VALUE"""),"")</f>
        <v/>
      </c>
      <c r="X9544" s="16" t="str">
        <f>IFERROR(__xludf.DUMMYFUNCTION("""COMPUTED_VALUE"""),"")</f>
        <v/>
      </c>
      <c r="AC9544" s="16" t="str">
        <f>IFERROR(__xludf.DUMMYFUNCTION("""COMPUTED_VALUE"""),"")</f>
        <v/>
      </c>
    </row>
    <row r="9545">
      <c r="A9545" s="16" t="s">
        <v>87</v>
      </c>
      <c r="E9545" s="16" t="str">
        <f>IFERROR(__xludf.DUMMYFUNCTION("""COMPUTED_VALUE"""),"")</f>
        <v/>
      </c>
      <c r="G9545" s="18"/>
      <c r="H9545" s="16" t="s">
        <v>87</v>
      </c>
      <c r="I9545" s="16" t="s">
        <v>87</v>
      </c>
      <c r="J9545" s="19"/>
      <c r="L9545" s="16" t="str">
        <f>IFERROR(__xludf.DUMMYFUNCTION("""COMPUTED_VALUE"""),"")</f>
        <v/>
      </c>
      <c r="M9545" s="16" t="str">
        <f>IFERROR(__xludf.DUMMYFUNCTION("""COMPUTED_VALUE"""),"")</f>
        <v/>
      </c>
      <c r="U9545" s="16" t="s">
        <v>87</v>
      </c>
      <c r="V9545" s="16" t="str">
        <f>IFERROR(__xludf.DUMMYFUNCTION("""COMPUTED_VALUE"""),"")</f>
        <v/>
      </c>
      <c r="W9545" s="16" t="str">
        <f>IFERROR(__xludf.DUMMYFUNCTION("""COMPUTED_VALUE"""),"")</f>
        <v/>
      </c>
      <c r="X9545" s="16" t="str">
        <f>IFERROR(__xludf.DUMMYFUNCTION("""COMPUTED_VALUE"""),"")</f>
        <v/>
      </c>
      <c r="AC9545" s="16" t="str">
        <f>IFERROR(__xludf.DUMMYFUNCTION("""COMPUTED_VALUE"""),"")</f>
        <v/>
      </c>
    </row>
    <row r="9546">
      <c r="A9546" s="16" t="s">
        <v>87</v>
      </c>
      <c r="E9546" s="16" t="str">
        <f>IFERROR(__xludf.DUMMYFUNCTION("""COMPUTED_VALUE"""),"")</f>
        <v/>
      </c>
      <c r="G9546" s="18"/>
      <c r="H9546" s="16" t="s">
        <v>87</v>
      </c>
      <c r="I9546" s="16" t="s">
        <v>87</v>
      </c>
      <c r="J9546" s="19"/>
      <c r="L9546" s="16" t="str">
        <f>IFERROR(__xludf.DUMMYFUNCTION("""COMPUTED_VALUE"""),"")</f>
        <v/>
      </c>
      <c r="M9546" s="16" t="str">
        <f>IFERROR(__xludf.DUMMYFUNCTION("""COMPUTED_VALUE"""),"")</f>
        <v/>
      </c>
      <c r="U9546" s="16" t="s">
        <v>87</v>
      </c>
      <c r="V9546" s="16" t="str">
        <f>IFERROR(__xludf.DUMMYFUNCTION("""COMPUTED_VALUE"""),"")</f>
        <v/>
      </c>
      <c r="W9546" s="16" t="str">
        <f>IFERROR(__xludf.DUMMYFUNCTION("""COMPUTED_VALUE"""),"")</f>
        <v/>
      </c>
      <c r="X9546" s="16" t="str">
        <f>IFERROR(__xludf.DUMMYFUNCTION("""COMPUTED_VALUE"""),"")</f>
        <v/>
      </c>
      <c r="AC9546" s="16" t="str">
        <f>IFERROR(__xludf.DUMMYFUNCTION("""COMPUTED_VALUE"""),"")</f>
        <v/>
      </c>
    </row>
    <row r="9547">
      <c r="A9547" s="16" t="s">
        <v>87</v>
      </c>
      <c r="E9547" s="16" t="str">
        <f>IFERROR(__xludf.DUMMYFUNCTION("""COMPUTED_VALUE"""),"")</f>
        <v/>
      </c>
      <c r="G9547" s="18"/>
      <c r="H9547" s="16" t="s">
        <v>87</v>
      </c>
      <c r="I9547" s="16" t="s">
        <v>87</v>
      </c>
      <c r="J9547" s="19"/>
      <c r="L9547" s="16" t="str">
        <f>IFERROR(__xludf.DUMMYFUNCTION("""COMPUTED_VALUE"""),"")</f>
        <v/>
      </c>
      <c r="M9547" s="16" t="str">
        <f>IFERROR(__xludf.DUMMYFUNCTION("""COMPUTED_VALUE"""),"")</f>
        <v/>
      </c>
      <c r="U9547" s="16" t="s">
        <v>87</v>
      </c>
      <c r="V9547" s="16" t="str">
        <f>IFERROR(__xludf.DUMMYFUNCTION("""COMPUTED_VALUE"""),"")</f>
        <v/>
      </c>
      <c r="W9547" s="16" t="str">
        <f>IFERROR(__xludf.DUMMYFUNCTION("""COMPUTED_VALUE"""),"")</f>
        <v/>
      </c>
      <c r="X9547" s="16" t="str">
        <f>IFERROR(__xludf.DUMMYFUNCTION("""COMPUTED_VALUE"""),"")</f>
        <v/>
      </c>
      <c r="AC9547" s="16" t="str">
        <f>IFERROR(__xludf.DUMMYFUNCTION("""COMPUTED_VALUE"""),"")</f>
        <v/>
      </c>
    </row>
    <row r="9548">
      <c r="A9548" s="16" t="s">
        <v>87</v>
      </c>
      <c r="E9548" s="16" t="str">
        <f>IFERROR(__xludf.DUMMYFUNCTION("""COMPUTED_VALUE"""),"")</f>
        <v/>
      </c>
      <c r="G9548" s="18"/>
      <c r="H9548" s="16" t="s">
        <v>87</v>
      </c>
      <c r="I9548" s="16" t="s">
        <v>87</v>
      </c>
      <c r="J9548" s="19"/>
      <c r="L9548" s="16" t="str">
        <f>IFERROR(__xludf.DUMMYFUNCTION("""COMPUTED_VALUE"""),"")</f>
        <v/>
      </c>
      <c r="M9548" s="16" t="str">
        <f>IFERROR(__xludf.DUMMYFUNCTION("""COMPUTED_VALUE"""),"")</f>
        <v/>
      </c>
      <c r="U9548" s="16" t="s">
        <v>87</v>
      </c>
      <c r="V9548" s="16" t="str">
        <f>IFERROR(__xludf.DUMMYFUNCTION("""COMPUTED_VALUE"""),"")</f>
        <v/>
      </c>
      <c r="W9548" s="16" t="str">
        <f>IFERROR(__xludf.DUMMYFUNCTION("""COMPUTED_VALUE"""),"")</f>
        <v/>
      </c>
      <c r="X9548" s="16" t="str">
        <f>IFERROR(__xludf.DUMMYFUNCTION("""COMPUTED_VALUE"""),"")</f>
        <v/>
      </c>
      <c r="AC9548" s="16" t="str">
        <f>IFERROR(__xludf.DUMMYFUNCTION("""COMPUTED_VALUE"""),"")</f>
        <v/>
      </c>
    </row>
    <row r="9549">
      <c r="A9549" s="16" t="s">
        <v>87</v>
      </c>
      <c r="E9549" s="16" t="str">
        <f>IFERROR(__xludf.DUMMYFUNCTION("""COMPUTED_VALUE"""),"")</f>
        <v/>
      </c>
      <c r="G9549" s="18"/>
      <c r="H9549" s="16" t="s">
        <v>87</v>
      </c>
      <c r="I9549" s="16" t="s">
        <v>87</v>
      </c>
      <c r="J9549" s="19"/>
      <c r="L9549" s="16" t="str">
        <f>IFERROR(__xludf.DUMMYFUNCTION("""COMPUTED_VALUE"""),"")</f>
        <v/>
      </c>
      <c r="M9549" s="16" t="str">
        <f>IFERROR(__xludf.DUMMYFUNCTION("""COMPUTED_VALUE"""),"")</f>
        <v/>
      </c>
      <c r="U9549" s="16" t="s">
        <v>87</v>
      </c>
      <c r="V9549" s="16" t="str">
        <f>IFERROR(__xludf.DUMMYFUNCTION("""COMPUTED_VALUE"""),"")</f>
        <v/>
      </c>
      <c r="W9549" s="16" t="str">
        <f>IFERROR(__xludf.DUMMYFUNCTION("""COMPUTED_VALUE"""),"")</f>
        <v/>
      </c>
      <c r="X9549" s="16" t="str">
        <f>IFERROR(__xludf.DUMMYFUNCTION("""COMPUTED_VALUE"""),"")</f>
        <v/>
      </c>
      <c r="AC9549" s="16" t="str">
        <f>IFERROR(__xludf.DUMMYFUNCTION("""COMPUTED_VALUE"""),"")</f>
        <v/>
      </c>
    </row>
    <row r="9550">
      <c r="A9550" s="16" t="s">
        <v>87</v>
      </c>
      <c r="E9550" s="16" t="str">
        <f>IFERROR(__xludf.DUMMYFUNCTION("""COMPUTED_VALUE"""),"")</f>
        <v/>
      </c>
      <c r="G9550" s="18"/>
      <c r="H9550" s="16" t="s">
        <v>87</v>
      </c>
      <c r="I9550" s="16" t="s">
        <v>87</v>
      </c>
      <c r="J9550" s="19"/>
      <c r="L9550" s="16" t="str">
        <f>IFERROR(__xludf.DUMMYFUNCTION("""COMPUTED_VALUE"""),"")</f>
        <v/>
      </c>
      <c r="M9550" s="16" t="str">
        <f>IFERROR(__xludf.DUMMYFUNCTION("""COMPUTED_VALUE"""),"")</f>
        <v/>
      </c>
      <c r="U9550" s="16" t="s">
        <v>87</v>
      </c>
      <c r="V9550" s="16" t="str">
        <f>IFERROR(__xludf.DUMMYFUNCTION("""COMPUTED_VALUE"""),"")</f>
        <v/>
      </c>
      <c r="W9550" s="16" t="str">
        <f>IFERROR(__xludf.DUMMYFUNCTION("""COMPUTED_VALUE"""),"")</f>
        <v/>
      </c>
      <c r="X9550" s="16" t="str">
        <f>IFERROR(__xludf.DUMMYFUNCTION("""COMPUTED_VALUE"""),"")</f>
        <v/>
      </c>
      <c r="AC9550" s="16" t="str">
        <f>IFERROR(__xludf.DUMMYFUNCTION("""COMPUTED_VALUE"""),"")</f>
        <v/>
      </c>
    </row>
    <row r="9551">
      <c r="A9551" s="16" t="s">
        <v>87</v>
      </c>
      <c r="E9551" s="16" t="str">
        <f>IFERROR(__xludf.DUMMYFUNCTION("""COMPUTED_VALUE"""),"")</f>
        <v/>
      </c>
      <c r="G9551" s="18"/>
      <c r="H9551" s="16" t="s">
        <v>87</v>
      </c>
      <c r="I9551" s="16" t="s">
        <v>87</v>
      </c>
      <c r="J9551" s="19"/>
      <c r="L9551" s="16" t="str">
        <f>IFERROR(__xludf.DUMMYFUNCTION("""COMPUTED_VALUE"""),"")</f>
        <v/>
      </c>
      <c r="M9551" s="16" t="str">
        <f>IFERROR(__xludf.DUMMYFUNCTION("""COMPUTED_VALUE"""),"")</f>
        <v/>
      </c>
      <c r="U9551" s="16" t="s">
        <v>87</v>
      </c>
      <c r="V9551" s="16" t="str">
        <f>IFERROR(__xludf.DUMMYFUNCTION("""COMPUTED_VALUE"""),"")</f>
        <v/>
      </c>
      <c r="W9551" s="16" t="str">
        <f>IFERROR(__xludf.DUMMYFUNCTION("""COMPUTED_VALUE"""),"")</f>
        <v/>
      </c>
      <c r="X9551" s="16" t="str">
        <f>IFERROR(__xludf.DUMMYFUNCTION("""COMPUTED_VALUE"""),"")</f>
        <v/>
      </c>
      <c r="AC9551" s="16" t="str">
        <f>IFERROR(__xludf.DUMMYFUNCTION("""COMPUTED_VALUE"""),"")</f>
        <v/>
      </c>
    </row>
    <row r="9552">
      <c r="A9552" s="16" t="s">
        <v>87</v>
      </c>
      <c r="E9552" s="16" t="str">
        <f>IFERROR(__xludf.DUMMYFUNCTION("""COMPUTED_VALUE"""),"")</f>
        <v/>
      </c>
      <c r="G9552" s="18"/>
      <c r="H9552" s="16" t="s">
        <v>87</v>
      </c>
      <c r="I9552" s="16" t="s">
        <v>87</v>
      </c>
      <c r="J9552" s="19"/>
      <c r="L9552" s="16" t="str">
        <f>IFERROR(__xludf.DUMMYFUNCTION("""COMPUTED_VALUE"""),"")</f>
        <v/>
      </c>
      <c r="M9552" s="16" t="str">
        <f>IFERROR(__xludf.DUMMYFUNCTION("""COMPUTED_VALUE"""),"")</f>
        <v/>
      </c>
      <c r="U9552" s="16" t="s">
        <v>87</v>
      </c>
      <c r="V9552" s="16" t="str">
        <f>IFERROR(__xludf.DUMMYFUNCTION("""COMPUTED_VALUE"""),"")</f>
        <v/>
      </c>
      <c r="W9552" s="16" t="str">
        <f>IFERROR(__xludf.DUMMYFUNCTION("""COMPUTED_VALUE"""),"")</f>
        <v/>
      </c>
      <c r="X9552" s="16" t="str">
        <f>IFERROR(__xludf.DUMMYFUNCTION("""COMPUTED_VALUE"""),"")</f>
        <v/>
      </c>
      <c r="AC9552" s="16" t="str">
        <f>IFERROR(__xludf.DUMMYFUNCTION("""COMPUTED_VALUE"""),"")</f>
        <v/>
      </c>
    </row>
    <row r="9553">
      <c r="A9553" s="16" t="s">
        <v>87</v>
      </c>
      <c r="E9553" s="16" t="str">
        <f>IFERROR(__xludf.DUMMYFUNCTION("""COMPUTED_VALUE"""),"")</f>
        <v/>
      </c>
      <c r="G9553" s="18"/>
      <c r="H9553" s="16" t="s">
        <v>87</v>
      </c>
      <c r="I9553" s="16" t="s">
        <v>87</v>
      </c>
      <c r="J9553" s="19"/>
      <c r="L9553" s="16" t="str">
        <f>IFERROR(__xludf.DUMMYFUNCTION("""COMPUTED_VALUE"""),"")</f>
        <v/>
      </c>
      <c r="M9553" s="16" t="str">
        <f>IFERROR(__xludf.DUMMYFUNCTION("""COMPUTED_VALUE"""),"")</f>
        <v/>
      </c>
      <c r="U9553" s="16" t="s">
        <v>87</v>
      </c>
      <c r="V9553" s="16" t="str">
        <f>IFERROR(__xludf.DUMMYFUNCTION("""COMPUTED_VALUE"""),"")</f>
        <v/>
      </c>
      <c r="W9553" s="16" t="str">
        <f>IFERROR(__xludf.DUMMYFUNCTION("""COMPUTED_VALUE"""),"")</f>
        <v/>
      </c>
      <c r="X9553" s="16" t="str">
        <f>IFERROR(__xludf.DUMMYFUNCTION("""COMPUTED_VALUE"""),"")</f>
        <v/>
      </c>
      <c r="AC9553" s="16" t="str">
        <f>IFERROR(__xludf.DUMMYFUNCTION("""COMPUTED_VALUE"""),"")</f>
        <v/>
      </c>
    </row>
    <row r="9554">
      <c r="A9554" s="16" t="s">
        <v>87</v>
      </c>
      <c r="E9554" s="16" t="str">
        <f>IFERROR(__xludf.DUMMYFUNCTION("""COMPUTED_VALUE"""),"")</f>
        <v/>
      </c>
      <c r="G9554" s="18"/>
      <c r="H9554" s="16" t="s">
        <v>87</v>
      </c>
      <c r="I9554" s="16" t="s">
        <v>87</v>
      </c>
      <c r="J9554" s="19"/>
      <c r="L9554" s="16" t="str">
        <f>IFERROR(__xludf.DUMMYFUNCTION("""COMPUTED_VALUE"""),"")</f>
        <v/>
      </c>
      <c r="M9554" s="16" t="str">
        <f>IFERROR(__xludf.DUMMYFUNCTION("""COMPUTED_VALUE"""),"")</f>
        <v/>
      </c>
      <c r="U9554" s="16" t="s">
        <v>87</v>
      </c>
      <c r="V9554" s="16" t="str">
        <f>IFERROR(__xludf.DUMMYFUNCTION("""COMPUTED_VALUE"""),"")</f>
        <v/>
      </c>
      <c r="W9554" s="16" t="str">
        <f>IFERROR(__xludf.DUMMYFUNCTION("""COMPUTED_VALUE"""),"")</f>
        <v/>
      </c>
      <c r="X9554" s="16" t="str">
        <f>IFERROR(__xludf.DUMMYFUNCTION("""COMPUTED_VALUE"""),"")</f>
        <v/>
      </c>
      <c r="AC9554" s="16" t="str">
        <f>IFERROR(__xludf.DUMMYFUNCTION("""COMPUTED_VALUE"""),"")</f>
        <v/>
      </c>
    </row>
    <row r="9555">
      <c r="A9555" s="16" t="s">
        <v>87</v>
      </c>
      <c r="E9555" s="16" t="str">
        <f>IFERROR(__xludf.DUMMYFUNCTION("""COMPUTED_VALUE"""),"")</f>
        <v/>
      </c>
      <c r="G9555" s="18"/>
      <c r="H9555" s="16" t="s">
        <v>87</v>
      </c>
      <c r="I9555" s="16" t="s">
        <v>87</v>
      </c>
      <c r="J9555" s="19"/>
      <c r="L9555" s="16" t="str">
        <f>IFERROR(__xludf.DUMMYFUNCTION("""COMPUTED_VALUE"""),"")</f>
        <v/>
      </c>
      <c r="M9555" s="16" t="str">
        <f>IFERROR(__xludf.DUMMYFUNCTION("""COMPUTED_VALUE"""),"")</f>
        <v/>
      </c>
      <c r="U9555" s="16" t="s">
        <v>87</v>
      </c>
      <c r="V9555" s="16" t="str">
        <f>IFERROR(__xludf.DUMMYFUNCTION("""COMPUTED_VALUE"""),"")</f>
        <v/>
      </c>
      <c r="W9555" s="16" t="str">
        <f>IFERROR(__xludf.DUMMYFUNCTION("""COMPUTED_VALUE"""),"")</f>
        <v/>
      </c>
      <c r="X9555" s="16" t="str">
        <f>IFERROR(__xludf.DUMMYFUNCTION("""COMPUTED_VALUE"""),"")</f>
        <v/>
      </c>
      <c r="AC9555" s="16" t="str">
        <f>IFERROR(__xludf.DUMMYFUNCTION("""COMPUTED_VALUE"""),"")</f>
        <v/>
      </c>
    </row>
    <row r="9556">
      <c r="A9556" s="16" t="s">
        <v>87</v>
      </c>
      <c r="E9556" s="16" t="str">
        <f>IFERROR(__xludf.DUMMYFUNCTION("""COMPUTED_VALUE"""),"")</f>
        <v/>
      </c>
      <c r="G9556" s="18"/>
      <c r="H9556" s="16" t="s">
        <v>87</v>
      </c>
      <c r="I9556" s="16" t="s">
        <v>87</v>
      </c>
      <c r="J9556" s="19"/>
      <c r="L9556" s="16" t="str">
        <f>IFERROR(__xludf.DUMMYFUNCTION("""COMPUTED_VALUE"""),"")</f>
        <v/>
      </c>
      <c r="M9556" s="16" t="str">
        <f>IFERROR(__xludf.DUMMYFUNCTION("""COMPUTED_VALUE"""),"")</f>
        <v/>
      </c>
      <c r="U9556" s="16" t="s">
        <v>87</v>
      </c>
      <c r="V9556" s="16" t="str">
        <f>IFERROR(__xludf.DUMMYFUNCTION("""COMPUTED_VALUE"""),"")</f>
        <v/>
      </c>
      <c r="W9556" s="16" t="str">
        <f>IFERROR(__xludf.DUMMYFUNCTION("""COMPUTED_VALUE"""),"")</f>
        <v/>
      </c>
      <c r="X9556" s="16" t="str">
        <f>IFERROR(__xludf.DUMMYFUNCTION("""COMPUTED_VALUE"""),"")</f>
        <v/>
      </c>
      <c r="AC9556" s="16" t="str">
        <f>IFERROR(__xludf.DUMMYFUNCTION("""COMPUTED_VALUE"""),"")</f>
        <v/>
      </c>
    </row>
    <row r="9557">
      <c r="A9557" s="16" t="s">
        <v>87</v>
      </c>
      <c r="E9557" s="16" t="str">
        <f>IFERROR(__xludf.DUMMYFUNCTION("""COMPUTED_VALUE"""),"")</f>
        <v/>
      </c>
      <c r="G9557" s="18"/>
      <c r="H9557" s="16" t="s">
        <v>87</v>
      </c>
      <c r="I9557" s="16" t="s">
        <v>87</v>
      </c>
      <c r="J9557" s="19"/>
      <c r="L9557" s="16" t="str">
        <f>IFERROR(__xludf.DUMMYFUNCTION("""COMPUTED_VALUE"""),"")</f>
        <v/>
      </c>
      <c r="M9557" s="16" t="str">
        <f>IFERROR(__xludf.DUMMYFUNCTION("""COMPUTED_VALUE"""),"")</f>
        <v/>
      </c>
      <c r="U9557" s="16" t="s">
        <v>87</v>
      </c>
      <c r="V9557" s="16" t="str">
        <f>IFERROR(__xludf.DUMMYFUNCTION("""COMPUTED_VALUE"""),"")</f>
        <v/>
      </c>
      <c r="W9557" s="16" t="str">
        <f>IFERROR(__xludf.DUMMYFUNCTION("""COMPUTED_VALUE"""),"")</f>
        <v/>
      </c>
      <c r="X9557" s="16" t="str">
        <f>IFERROR(__xludf.DUMMYFUNCTION("""COMPUTED_VALUE"""),"")</f>
        <v/>
      </c>
      <c r="AC9557" s="16" t="str">
        <f>IFERROR(__xludf.DUMMYFUNCTION("""COMPUTED_VALUE"""),"")</f>
        <v/>
      </c>
    </row>
    <row r="9558">
      <c r="A9558" s="16" t="s">
        <v>87</v>
      </c>
      <c r="E9558" s="16" t="str">
        <f>IFERROR(__xludf.DUMMYFUNCTION("""COMPUTED_VALUE"""),"")</f>
        <v/>
      </c>
      <c r="G9558" s="18"/>
      <c r="H9558" s="16" t="s">
        <v>87</v>
      </c>
      <c r="I9558" s="16" t="s">
        <v>87</v>
      </c>
      <c r="J9558" s="19"/>
      <c r="L9558" s="16" t="str">
        <f>IFERROR(__xludf.DUMMYFUNCTION("""COMPUTED_VALUE"""),"")</f>
        <v/>
      </c>
      <c r="M9558" s="16" t="str">
        <f>IFERROR(__xludf.DUMMYFUNCTION("""COMPUTED_VALUE"""),"")</f>
        <v/>
      </c>
      <c r="U9558" s="16" t="s">
        <v>87</v>
      </c>
      <c r="V9558" s="16" t="str">
        <f>IFERROR(__xludf.DUMMYFUNCTION("""COMPUTED_VALUE"""),"")</f>
        <v/>
      </c>
      <c r="W9558" s="16" t="str">
        <f>IFERROR(__xludf.DUMMYFUNCTION("""COMPUTED_VALUE"""),"")</f>
        <v/>
      </c>
      <c r="X9558" s="16" t="str">
        <f>IFERROR(__xludf.DUMMYFUNCTION("""COMPUTED_VALUE"""),"")</f>
        <v/>
      </c>
      <c r="AC9558" s="16" t="str">
        <f>IFERROR(__xludf.DUMMYFUNCTION("""COMPUTED_VALUE"""),"")</f>
        <v/>
      </c>
    </row>
    <row r="9559">
      <c r="A9559" s="16" t="s">
        <v>87</v>
      </c>
      <c r="E9559" s="16" t="str">
        <f>IFERROR(__xludf.DUMMYFUNCTION("""COMPUTED_VALUE"""),"")</f>
        <v/>
      </c>
      <c r="G9559" s="18"/>
      <c r="H9559" s="16" t="s">
        <v>87</v>
      </c>
      <c r="I9559" s="16" t="s">
        <v>87</v>
      </c>
      <c r="J9559" s="19"/>
      <c r="L9559" s="16" t="str">
        <f>IFERROR(__xludf.DUMMYFUNCTION("""COMPUTED_VALUE"""),"")</f>
        <v/>
      </c>
      <c r="M9559" s="16" t="str">
        <f>IFERROR(__xludf.DUMMYFUNCTION("""COMPUTED_VALUE"""),"")</f>
        <v/>
      </c>
      <c r="U9559" s="16" t="s">
        <v>87</v>
      </c>
      <c r="V9559" s="16" t="str">
        <f>IFERROR(__xludf.DUMMYFUNCTION("""COMPUTED_VALUE"""),"")</f>
        <v/>
      </c>
      <c r="W9559" s="16" t="str">
        <f>IFERROR(__xludf.DUMMYFUNCTION("""COMPUTED_VALUE"""),"")</f>
        <v/>
      </c>
      <c r="X9559" s="16" t="str">
        <f>IFERROR(__xludf.DUMMYFUNCTION("""COMPUTED_VALUE"""),"")</f>
        <v/>
      </c>
      <c r="AC9559" s="16" t="str">
        <f>IFERROR(__xludf.DUMMYFUNCTION("""COMPUTED_VALUE"""),"")</f>
        <v/>
      </c>
    </row>
    <row r="9560">
      <c r="A9560" s="16" t="s">
        <v>87</v>
      </c>
      <c r="E9560" s="16" t="str">
        <f>IFERROR(__xludf.DUMMYFUNCTION("""COMPUTED_VALUE"""),"")</f>
        <v/>
      </c>
      <c r="G9560" s="18"/>
      <c r="H9560" s="16" t="s">
        <v>87</v>
      </c>
      <c r="I9560" s="16" t="s">
        <v>87</v>
      </c>
      <c r="J9560" s="19"/>
      <c r="L9560" s="16" t="str">
        <f>IFERROR(__xludf.DUMMYFUNCTION("""COMPUTED_VALUE"""),"")</f>
        <v/>
      </c>
      <c r="M9560" s="16" t="str">
        <f>IFERROR(__xludf.DUMMYFUNCTION("""COMPUTED_VALUE"""),"")</f>
        <v/>
      </c>
      <c r="U9560" s="16" t="s">
        <v>87</v>
      </c>
      <c r="V9560" s="16" t="str">
        <f>IFERROR(__xludf.DUMMYFUNCTION("""COMPUTED_VALUE"""),"")</f>
        <v/>
      </c>
      <c r="W9560" s="16" t="str">
        <f>IFERROR(__xludf.DUMMYFUNCTION("""COMPUTED_VALUE"""),"")</f>
        <v/>
      </c>
      <c r="X9560" s="16" t="str">
        <f>IFERROR(__xludf.DUMMYFUNCTION("""COMPUTED_VALUE"""),"")</f>
        <v/>
      </c>
      <c r="AC9560" s="16" t="str">
        <f>IFERROR(__xludf.DUMMYFUNCTION("""COMPUTED_VALUE"""),"")</f>
        <v/>
      </c>
    </row>
    <row r="9561">
      <c r="A9561" s="16" t="s">
        <v>87</v>
      </c>
      <c r="E9561" s="16" t="str">
        <f>IFERROR(__xludf.DUMMYFUNCTION("""COMPUTED_VALUE"""),"")</f>
        <v/>
      </c>
      <c r="G9561" s="18"/>
      <c r="H9561" s="16" t="s">
        <v>87</v>
      </c>
      <c r="I9561" s="16" t="s">
        <v>87</v>
      </c>
      <c r="J9561" s="19"/>
      <c r="L9561" s="16" t="str">
        <f>IFERROR(__xludf.DUMMYFUNCTION("""COMPUTED_VALUE"""),"")</f>
        <v/>
      </c>
      <c r="M9561" s="16" t="str">
        <f>IFERROR(__xludf.DUMMYFUNCTION("""COMPUTED_VALUE"""),"")</f>
        <v/>
      </c>
      <c r="U9561" s="16" t="s">
        <v>87</v>
      </c>
      <c r="V9561" s="16" t="str">
        <f>IFERROR(__xludf.DUMMYFUNCTION("""COMPUTED_VALUE"""),"")</f>
        <v/>
      </c>
      <c r="W9561" s="16" t="str">
        <f>IFERROR(__xludf.DUMMYFUNCTION("""COMPUTED_VALUE"""),"")</f>
        <v/>
      </c>
      <c r="X9561" s="16" t="str">
        <f>IFERROR(__xludf.DUMMYFUNCTION("""COMPUTED_VALUE"""),"")</f>
        <v/>
      </c>
      <c r="AC9561" s="16" t="str">
        <f>IFERROR(__xludf.DUMMYFUNCTION("""COMPUTED_VALUE"""),"")</f>
        <v/>
      </c>
    </row>
    <row r="9562">
      <c r="A9562" s="16" t="s">
        <v>87</v>
      </c>
      <c r="E9562" s="16" t="str">
        <f>IFERROR(__xludf.DUMMYFUNCTION("""COMPUTED_VALUE"""),"")</f>
        <v/>
      </c>
      <c r="G9562" s="18"/>
      <c r="H9562" s="16" t="s">
        <v>87</v>
      </c>
      <c r="I9562" s="16" t="s">
        <v>87</v>
      </c>
      <c r="J9562" s="19"/>
      <c r="L9562" s="16" t="str">
        <f>IFERROR(__xludf.DUMMYFUNCTION("""COMPUTED_VALUE"""),"")</f>
        <v/>
      </c>
      <c r="M9562" s="16" t="str">
        <f>IFERROR(__xludf.DUMMYFUNCTION("""COMPUTED_VALUE"""),"")</f>
        <v/>
      </c>
      <c r="U9562" s="16" t="s">
        <v>87</v>
      </c>
      <c r="V9562" s="16" t="str">
        <f>IFERROR(__xludf.DUMMYFUNCTION("""COMPUTED_VALUE"""),"")</f>
        <v/>
      </c>
      <c r="W9562" s="16" t="str">
        <f>IFERROR(__xludf.DUMMYFUNCTION("""COMPUTED_VALUE"""),"")</f>
        <v/>
      </c>
      <c r="X9562" s="16" t="str">
        <f>IFERROR(__xludf.DUMMYFUNCTION("""COMPUTED_VALUE"""),"")</f>
        <v/>
      </c>
      <c r="AC9562" s="16" t="str">
        <f>IFERROR(__xludf.DUMMYFUNCTION("""COMPUTED_VALUE"""),"")</f>
        <v/>
      </c>
    </row>
    <row r="9563">
      <c r="A9563" s="16" t="s">
        <v>87</v>
      </c>
      <c r="E9563" s="16" t="str">
        <f>IFERROR(__xludf.DUMMYFUNCTION("""COMPUTED_VALUE"""),"")</f>
        <v/>
      </c>
      <c r="G9563" s="18"/>
      <c r="H9563" s="16" t="s">
        <v>87</v>
      </c>
      <c r="I9563" s="16" t="s">
        <v>87</v>
      </c>
      <c r="J9563" s="19"/>
      <c r="L9563" s="16" t="str">
        <f>IFERROR(__xludf.DUMMYFUNCTION("""COMPUTED_VALUE"""),"")</f>
        <v/>
      </c>
      <c r="M9563" s="16" t="str">
        <f>IFERROR(__xludf.DUMMYFUNCTION("""COMPUTED_VALUE"""),"")</f>
        <v/>
      </c>
      <c r="U9563" s="16" t="s">
        <v>87</v>
      </c>
      <c r="V9563" s="16" t="str">
        <f>IFERROR(__xludf.DUMMYFUNCTION("""COMPUTED_VALUE"""),"")</f>
        <v/>
      </c>
      <c r="W9563" s="16" t="str">
        <f>IFERROR(__xludf.DUMMYFUNCTION("""COMPUTED_VALUE"""),"")</f>
        <v/>
      </c>
      <c r="X9563" s="16" t="str">
        <f>IFERROR(__xludf.DUMMYFUNCTION("""COMPUTED_VALUE"""),"")</f>
        <v/>
      </c>
      <c r="AC9563" s="16" t="str">
        <f>IFERROR(__xludf.DUMMYFUNCTION("""COMPUTED_VALUE"""),"")</f>
        <v/>
      </c>
    </row>
    <row r="9564">
      <c r="A9564" s="16" t="s">
        <v>87</v>
      </c>
      <c r="E9564" s="16" t="str">
        <f>IFERROR(__xludf.DUMMYFUNCTION("""COMPUTED_VALUE"""),"")</f>
        <v/>
      </c>
      <c r="G9564" s="18"/>
      <c r="H9564" s="16" t="s">
        <v>87</v>
      </c>
      <c r="I9564" s="16" t="s">
        <v>87</v>
      </c>
      <c r="J9564" s="19"/>
      <c r="L9564" s="16" t="str">
        <f>IFERROR(__xludf.DUMMYFUNCTION("""COMPUTED_VALUE"""),"")</f>
        <v/>
      </c>
      <c r="M9564" s="16" t="str">
        <f>IFERROR(__xludf.DUMMYFUNCTION("""COMPUTED_VALUE"""),"")</f>
        <v/>
      </c>
      <c r="U9564" s="16" t="s">
        <v>87</v>
      </c>
      <c r="V9564" s="16" t="str">
        <f>IFERROR(__xludf.DUMMYFUNCTION("""COMPUTED_VALUE"""),"")</f>
        <v/>
      </c>
      <c r="W9564" s="16" t="str">
        <f>IFERROR(__xludf.DUMMYFUNCTION("""COMPUTED_VALUE"""),"")</f>
        <v/>
      </c>
      <c r="X9564" s="16" t="str">
        <f>IFERROR(__xludf.DUMMYFUNCTION("""COMPUTED_VALUE"""),"")</f>
        <v/>
      </c>
      <c r="AC9564" s="16" t="str">
        <f>IFERROR(__xludf.DUMMYFUNCTION("""COMPUTED_VALUE"""),"")</f>
        <v/>
      </c>
    </row>
    <row r="9565">
      <c r="A9565" s="16" t="s">
        <v>87</v>
      </c>
      <c r="E9565" s="16" t="str">
        <f>IFERROR(__xludf.DUMMYFUNCTION("""COMPUTED_VALUE"""),"")</f>
        <v/>
      </c>
      <c r="G9565" s="18"/>
      <c r="H9565" s="16" t="s">
        <v>87</v>
      </c>
      <c r="I9565" s="16" t="s">
        <v>87</v>
      </c>
      <c r="J9565" s="19"/>
      <c r="L9565" s="16" t="str">
        <f>IFERROR(__xludf.DUMMYFUNCTION("""COMPUTED_VALUE"""),"")</f>
        <v/>
      </c>
      <c r="M9565" s="16" t="str">
        <f>IFERROR(__xludf.DUMMYFUNCTION("""COMPUTED_VALUE"""),"")</f>
        <v/>
      </c>
      <c r="U9565" s="16" t="s">
        <v>87</v>
      </c>
      <c r="V9565" s="16" t="str">
        <f>IFERROR(__xludf.DUMMYFUNCTION("""COMPUTED_VALUE"""),"")</f>
        <v/>
      </c>
      <c r="W9565" s="16" t="str">
        <f>IFERROR(__xludf.DUMMYFUNCTION("""COMPUTED_VALUE"""),"")</f>
        <v/>
      </c>
      <c r="X9565" s="16" t="str">
        <f>IFERROR(__xludf.DUMMYFUNCTION("""COMPUTED_VALUE"""),"")</f>
        <v/>
      </c>
      <c r="AC9565" s="16" t="str">
        <f>IFERROR(__xludf.DUMMYFUNCTION("""COMPUTED_VALUE"""),"")</f>
        <v/>
      </c>
    </row>
    <row r="9566">
      <c r="A9566" s="16" t="s">
        <v>87</v>
      </c>
      <c r="E9566" s="16" t="str">
        <f>IFERROR(__xludf.DUMMYFUNCTION("""COMPUTED_VALUE"""),"")</f>
        <v/>
      </c>
      <c r="G9566" s="18"/>
      <c r="H9566" s="16" t="s">
        <v>87</v>
      </c>
      <c r="I9566" s="16" t="s">
        <v>87</v>
      </c>
      <c r="J9566" s="19"/>
      <c r="L9566" s="16" t="str">
        <f>IFERROR(__xludf.DUMMYFUNCTION("""COMPUTED_VALUE"""),"")</f>
        <v/>
      </c>
      <c r="M9566" s="16" t="str">
        <f>IFERROR(__xludf.DUMMYFUNCTION("""COMPUTED_VALUE"""),"")</f>
        <v/>
      </c>
      <c r="U9566" s="16" t="s">
        <v>87</v>
      </c>
      <c r="V9566" s="16" t="str">
        <f>IFERROR(__xludf.DUMMYFUNCTION("""COMPUTED_VALUE"""),"")</f>
        <v/>
      </c>
      <c r="W9566" s="16" t="str">
        <f>IFERROR(__xludf.DUMMYFUNCTION("""COMPUTED_VALUE"""),"")</f>
        <v/>
      </c>
      <c r="X9566" s="16" t="str">
        <f>IFERROR(__xludf.DUMMYFUNCTION("""COMPUTED_VALUE"""),"")</f>
        <v/>
      </c>
      <c r="AC9566" s="16" t="str">
        <f>IFERROR(__xludf.DUMMYFUNCTION("""COMPUTED_VALUE"""),"")</f>
        <v/>
      </c>
    </row>
    <row r="9567">
      <c r="A9567" s="16" t="s">
        <v>87</v>
      </c>
      <c r="E9567" s="16" t="str">
        <f>IFERROR(__xludf.DUMMYFUNCTION("""COMPUTED_VALUE"""),"")</f>
        <v/>
      </c>
      <c r="G9567" s="18"/>
      <c r="H9567" s="16" t="s">
        <v>87</v>
      </c>
      <c r="I9567" s="16" t="s">
        <v>87</v>
      </c>
      <c r="J9567" s="19"/>
      <c r="L9567" s="16" t="str">
        <f>IFERROR(__xludf.DUMMYFUNCTION("""COMPUTED_VALUE"""),"")</f>
        <v/>
      </c>
      <c r="M9567" s="16" t="str">
        <f>IFERROR(__xludf.DUMMYFUNCTION("""COMPUTED_VALUE"""),"")</f>
        <v/>
      </c>
      <c r="U9567" s="16" t="s">
        <v>87</v>
      </c>
      <c r="V9567" s="16" t="str">
        <f>IFERROR(__xludf.DUMMYFUNCTION("""COMPUTED_VALUE"""),"")</f>
        <v/>
      </c>
      <c r="W9567" s="16" t="str">
        <f>IFERROR(__xludf.DUMMYFUNCTION("""COMPUTED_VALUE"""),"")</f>
        <v/>
      </c>
      <c r="X9567" s="16" t="str">
        <f>IFERROR(__xludf.DUMMYFUNCTION("""COMPUTED_VALUE"""),"")</f>
        <v/>
      </c>
      <c r="AC9567" s="16" t="str">
        <f>IFERROR(__xludf.DUMMYFUNCTION("""COMPUTED_VALUE"""),"")</f>
        <v/>
      </c>
    </row>
    <row r="9568">
      <c r="A9568" s="16" t="s">
        <v>87</v>
      </c>
      <c r="E9568" s="16" t="str">
        <f>IFERROR(__xludf.DUMMYFUNCTION("""COMPUTED_VALUE"""),"")</f>
        <v/>
      </c>
      <c r="G9568" s="18"/>
      <c r="H9568" s="16" t="s">
        <v>87</v>
      </c>
      <c r="I9568" s="16" t="s">
        <v>87</v>
      </c>
      <c r="J9568" s="19"/>
      <c r="L9568" s="16" t="str">
        <f>IFERROR(__xludf.DUMMYFUNCTION("""COMPUTED_VALUE"""),"")</f>
        <v/>
      </c>
      <c r="M9568" s="16" t="str">
        <f>IFERROR(__xludf.DUMMYFUNCTION("""COMPUTED_VALUE"""),"")</f>
        <v/>
      </c>
      <c r="U9568" s="16" t="s">
        <v>87</v>
      </c>
      <c r="V9568" s="16" t="str">
        <f>IFERROR(__xludf.DUMMYFUNCTION("""COMPUTED_VALUE"""),"")</f>
        <v/>
      </c>
      <c r="W9568" s="16" t="str">
        <f>IFERROR(__xludf.DUMMYFUNCTION("""COMPUTED_VALUE"""),"")</f>
        <v/>
      </c>
      <c r="X9568" s="16" t="str">
        <f>IFERROR(__xludf.DUMMYFUNCTION("""COMPUTED_VALUE"""),"")</f>
        <v/>
      </c>
      <c r="AC9568" s="16" t="str">
        <f>IFERROR(__xludf.DUMMYFUNCTION("""COMPUTED_VALUE"""),"")</f>
        <v/>
      </c>
    </row>
    <row r="9569">
      <c r="A9569" s="16" t="s">
        <v>87</v>
      </c>
      <c r="E9569" s="16" t="str">
        <f>IFERROR(__xludf.DUMMYFUNCTION("""COMPUTED_VALUE"""),"")</f>
        <v/>
      </c>
      <c r="G9569" s="18"/>
      <c r="H9569" s="16" t="s">
        <v>87</v>
      </c>
      <c r="I9569" s="16" t="s">
        <v>87</v>
      </c>
      <c r="J9569" s="19"/>
      <c r="L9569" s="16" t="str">
        <f>IFERROR(__xludf.DUMMYFUNCTION("""COMPUTED_VALUE"""),"")</f>
        <v/>
      </c>
      <c r="M9569" s="16" t="str">
        <f>IFERROR(__xludf.DUMMYFUNCTION("""COMPUTED_VALUE"""),"")</f>
        <v/>
      </c>
      <c r="U9569" s="16" t="s">
        <v>87</v>
      </c>
      <c r="V9569" s="16" t="str">
        <f>IFERROR(__xludf.DUMMYFUNCTION("""COMPUTED_VALUE"""),"")</f>
        <v/>
      </c>
      <c r="W9569" s="16" t="str">
        <f>IFERROR(__xludf.DUMMYFUNCTION("""COMPUTED_VALUE"""),"")</f>
        <v/>
      </c>
      <c r="X9569" s="16" t="str">
        <f>IFERROR(__xludf.DUMMYFUNCTION("""COMPUTED_VALUE"""),"")</f>
        <v/>
      </c>
      <c r="AC9569" s="16" t="str">
        <f>IFERROR(__xludf.DUMMYFUNCTION("""COMPUTED_VALUE"""),"")</f>
        <v/>
      </c>
    </row>
    <row r="9570">
      <c r="A9570" s="16" t="s">
        <v>87</v>
      </c>
      <c r="E9570" s="16" t="str">
        <f>IFERROR(__xludf.DUMMYFUNCTION("""COMPUTED_VALUE"""),"")</f>
        <v/>
      </c>
      <c r="G9570" s="18"/>
      <c r="H9570" s="16" t="s">
        <v>87</v>
      </c>
      <c r="I9570" s="16" t="s">
        <v>87</v>
      </c>
      <c r="J9570" s="19"/>
      <c r="L9570" s="16" t="str">
        <f>IFERROR(__xludf.DUMMYFUNCTION("""COMPUTED_VALUE"""),"")</f>
        <v/>
      </c>
      <c r="M9570" s="16" t="str">
        <f>IFERROR(__xludf.DUMMYFUNCTION("""COMPUTED_VALUE"""),"")</f>
        <v/>
      </c>
      <c r="U9570" s="16" t="s">
        <v>87</v>
      </c>
      <c r="V9570" s="16" t="str">
        <f>IFERROR(__xludf.DUMMYFUNCTION("""COMPUTED_VALUE"""),"")</f>
        <v/>
      </c>
      <c r="W9570" s="16" t="str">
        <f>IFERROR(__xludf.DUMMYFUNCTION("""COMPUTED_VALUE"""),"")</f>
        <v/>
      </c>
      <c r="X9570" s="16" t="str">
        <f>IFERROR(__xludf.DUMMYFUNCTION("""COMPUTED_VALUE"""),"")</f>
        <v/>
      </c>
      <c r="AC9570" s="16" t="str">
        <f>IFERROR(__xludf.DUMMYFUNCTION("""COMPUTED_VALUE"""),"")</f>
        <v/>
      </c>
    </row>
    <row r="9571">
      <c r="A9571" s="16" t="s">
        <v>87</v>
      </c>
      <c r="E9571" s="16" t="str">
        <f>IFERROR(__xludf.DUMMYFUNCTION("""COMPUTED_VALUE"""),"")</f>
        <v/>
      </c>
      <c r="G9571" s="18"/>
      <c r="H9571" s="16" t="s">
        <v>87</v>
      </c>
      <c r="I9571" s="16" t="s">
        <v>87</v>
      </c>
      <c r="J9571" s="19"/>
      <c r="L9571" s="16" t="str">
        <f>IFERROR(__xludf.DUMMYFUNCTION("""COMPUTED_VALUE"""),"")</f>
        <v/>
      </c>
      <c r="M9571" s="16" t="str">
        <f>IFERROR(__xludf.DUMMYFUNCTION("""COMPUTED_VALUE"""),"")</f>
        <v/>
      </c>
      <c r="U9571" s="16" t="s">
        <v>87</v>
      </c>
      <c r="V9571" s="16" t="str">
        <f>IFERROR(__xludf.DUMMYFUNCTION("""COMPUTED_VALUE"""),"")</f>
        <v/>
      </c>
      <c r="W9571" s="16" t="str">
        <f>IFERROR(__xludf.DUMMYFUNCTION("""COMPUTED_VALUE"""),"")</f>
        <v/>
      </c>
      <c r="X9571" s="16" t="str">
        <f>IFERROR(__xludf.DUMMYFUNCTION("""COMPUTED_VALUE"""),"")</f>
        <v/>
      </c>
      <c r="AC9571" s="16" t="str">
        <f>IFERROR(__xludf.DUMMYFUNCTION("""COMPUTED_VALUE"""),"")</f>
        <v/>
      </c>
    </row>
    <row r="9572">
      <c r="A9572" s="16" t="s">
        <v>87</v>
      </c>
      <c r="E9572" s="16" t="str">
        <f>IFERROR(__xludf.DUMMYFUNCTION("""COMPUTED_VALUE"""),"")</f>
        <v/>
      </c>
      <c r="G9572" s="18"/>
      <c r="H9572" s="16" t="s">
        <v>87</v>
      </c>
      <c r="I9572" s="16" t="s">
        <v>87</v>
      </c>
      <c r="J9572" s="19"/>
      <c r="L9572" s="16" t="str">
        <f>IFERROR(__xludf.DUMMYFUNCTION("""COMPUTED_VALUE"""),"")</f>
        <v/>
      </c>
      <c r="M9572" s="16" t="str">
        <f>IFERROR(__xludf.DUMMYFUNCTION("""COMPUTED_VALUE"""),"")</f>
        <v/>
      </c>
      <c r="U9572" s="16" t="s">
        <v>87</v>
      </c>
      <c r="V9572" s="16" t="str">
        <f>IFERROR(__xludf.DUMMYFUNCTION("""COMPUTED_VALUE"""),"")</f>
        <v/>
      </c>
      <c r="W9572" s="16" t="str">
        <f>IFERROR(__xludf.DUMMYFUNCTION("""COMPUTED_VALUE"""),"")</f>
        <v/>
      </c>
      <c r="X9572" s="16" t="str">
        <f>IFERROR(__xludf.DUMMYFUNCTION("""COMPUTED_VALUE"""),"")</f>
        <v/>
      </c>
      <c r="AC9572" s="16" t="str">
        <f>IFERROR(__xludf.DUMMYFUNCTION("""COMPUTED_VALUE"""),"")</f>
        <v/>
      </c>
    </row>
    <row r="9573">
      <c r="A9573" s="16" t="s">
        <v>87</v>
      </c>
      <c r="E9573" s="16" t="str">
        <f>IFERROR(__xludf.DUMMYFUNCTION("""COMPUTED_VALUE"""),"")</f>
        <v/>
      </c>
      <c r="G9573" s="18"/>
      <c r="H9573" s="16" t="s">
        <v>87</v>
      </c>
      <c r="I9573" s="16" t="s">
        <v>87</v>
      </c>
      <c r="J9573" s="19"/>
      <c r="L9573" s="16" t="str">
        <f>IFERROR(__xludf.DUMMYFUNCTION("""COMPUTED_VALUE"""),"")</f>
        <v/>
      </c>
      <c r="M9573" s="16" t="str">
        <f>IFERROR(__xludf.DUMMYFUNCTION("""COMPUTED_VALUE"""),"")</f>
        <v/>
      </c>
      <c r="U9573" s="16" t="s">
        <v>87</v>
      </c>
      <c r="V9573" s="16" t="str">
        <f>IFERROR(__xludf.DUMMYFUNCTION("""COMPUTED_VALUE"""),"")</f>
        <v/>
      </c>
      <c r="W9573" s="16" t="str">
        <f>IFERROR(__xludf.DUMMYFUNCTION("""COMPUTED_VALUE"""),"")</f>
        <v/>
      </c>
      <c r="X9573" s="16" t="str">
        <f>IFERROR(__xludf.DUMMYFUNCTION("""COMPUTED_VALUE"""),"")</f>
        <v/>
      </c>
      <c r="AC9573" s="16" t="str">
        <f>IFERROR(__xludf.DUMMYFUNCTION("""COMPUTED_VALUE"""),"")</f>
        <v/>
      </c>
    </row>
    <row r="9574">
      <c r="A9574" s="16" t="s">
        <v>87</v>
      </c>
      <c r="E9574" s="16" t="str">
        <f>IFERROR(__xludf.DUMMYFUNCTION("""COMPUTED_VALUE"""),"")</f>
        <v/>
      </c>
      <c r="G9574" s="18"/>
      <c r="H9574" s="16" t="s">
        <v>87</v>
      </c>
      <c r="I9574" s="16" t="s">
        <v>87</v>
      </c>
      <c r="J9574" s="19"/>
      <c r="L9574" s="16" t="str">
        <f>IFERROR(__xludf.DUMMYFUNCTION("""COMPUTED_VALUE"""),"")</f>
        <v/>
      </c>
      <c r="M9574" s="16" t="str">
        <f>IFERROR(__xludf.DUMMYFUNCTION("""COMPUTED_VALUE"""),"")</f>
        <v/>
      </c>
      <c r="U9574" s="16" t="s">
        <v>87</v>
      </c>
      <c r="V9574" s="16" t="str">
        <f>IFERROR(__xludf.DUMMYFUNCTION("""COMPUTED_VALUE"""),"")</f>
        <v/>
      </c>
      <c r="W9574" s="16" t="str">
        <f>IFERROR(__xludf.DUMMYFUNCTION("""COMPUTED_VALUE"""),"")</f>
        <v/>
      </c>
      <c r="X9574" s="16" t="str">
        <f>IFERROR(__xludf.DUMMYFUNCTION("""COMPUTED_VALUE"""),"")</f>
        <v/>
      </c>
      <c r="AC9574" s="16" t="str">
        <f>IFERROR(__xludf.DUMMYFUNCTION("""COMPUTED_VALUE"""),"")</f>
        <v/>
      </c>
    </row>
    <row r="9575">
      <c r="A9575" s="16" t="s">
        <v>87</v>
      </c>
      <c r="E9575" s="16" t="str">
        <f>IFERROR(__xludf.DUMMYFUNCTION("""COMPUTED_VALUE"""),"")</f>
        <v/>
      </c>
      <c r="G9575" s="18"/>
      <c r="H9575" s="16" t="s">
        <v>87</v>
      </c>
      <c r="I9575" s="16" t="s">
        <v>87</v>
      </c>
      <c r="J9575" s="19"/>
      <c r="L9575" s="16" t="str">
        <f>IFERROR(__xludf.DUMMYFUNCTION("""COMPUTED_VALUE"""),"")</f>
        <v/>
      </c>
      <c r="M9575" s="16" t="str">
        <f>IFERROR(__xludf.DUMMYFUNCTION("""COMPUTED_VALUE"""),"")</f>
        <v/>
      </c>
      <c r="U9575" s="16" t="s">
        <v>87</v>
      </c>
      <c r="V9575" s="16" t="str">
        <f>IFERROR(__xludf.DUMMYFUNCTION("""COMPUTED_VALUE"""),"")</f>
        <v/>
      </c>
      <c r="W9575" s="16" t="str">
        <f>IFERROR(__xludf.DUMMYFUNCTION("""COMPUTED_VALUE"""),"")</f>
        <v/>
      </c>
      <c r="X9575" s="16" t="str">
        <f>IFERROR(__xludf.DUMMYFUNCTION("""COMPUTED_VALUE"""),"")</f>
        <v/>
      </c>
      <c r="AC9575" s="16" t="str">
        <f>IFERROR(__xludf.DUMMYFUNCTION("""COMPUTED_VALUE"""),"")</f>
        <v/>
      </c>
    </row>
    <row r="9576">
      <c r="A9576" s="16" t="s">
        <v>87</v>
      </c>
      <c r="E9576" s="16" t="str">
        <f>IFERROR(__xludf.DUMMYFUNCTION("""COMPUTED_VALUE"""),"")</f>
        <v/>
      </c>
      <c r="G9576" s="18"/>
      <c r="H9576" s="16" t="s">
        <v>87</v>
      </c>
      <c r="I9576" s="16" t="s">
        <v>87</v>
      </c>
      <c r="J9576" s="19"/>
      <c r="L9576" s="16" t="str">
        <f>IFERROR(__xludf.DUMMYFUNCTION("""COMPUTED_VALUE"""),"")</f>
        <v/>
      </c>
      <c r="M9576" s="16" t="str">
        <f>IFERROR(__xludf.DUMMYFUNCTION("""COMPUTED_VALUE"""),"")</f>
        <v/>
      </c>
      <c r="U9576" s="16" t="s">
        <v>87</v>
      </c>
      <c r="V9576" s="16" t="str">
        <f>IFERROR(__xludf.DUMMYFUNCTION("""COMPUTED_VALUE"""),"")</f>
        <v/>
      </c>
      <c r="W9576" s="16" t="str">
        <f>IFERROR(__xludf.DUMMYFUNCTION("""COMPUTED_VALUE"""),"")</f>
        <v/>
      </c>
      <c r="X9576" s="16" t="str">
        <f>IFERROR(__xludf.DUMMYFUNCTION("""COMPUTED_VALUE"""),"")</f>
        <v/>
      </c>
      <c r="AC9576" s="16" t="str">
        <f>IFERROR(__xludf.DUMMYFUNCTION("""COMPUTED_VALUE"""),"")</f>
        <v/>
      </c>
    </row>
    <row r="9577">
      <c r="A9577" s="16" t="s">
        <v>87</v>
      </c>
      <c r="E9577" s="16" t="str">
        <f>IFERROR(__xludf.DUMMYFUNCTION("""COMPUTED_VALUE"""),"")</f>
        <v/>
      </c>
      <c r="G9577" s="18"/>
      <c r="H9577" s="16" t="s">
        <v>87</v>
      </c>
      <c r="I9577" s="16" t="s">
        <v>87</v>
      </c>
      <c r="J9577" s="19"/>
      <c r="L9577" s="16" t="str">
        <f>IFERROR(__xludf.DUMMYFUNCTION("""COMPUTED_VALUE"""),"")</f>
        <v/>
      </c>
      <c r="M9577" s="16" t="str">
        <f>IFERROR(__xludf.DUMMYFUNCTION("""COMPUTED_VALUE"""),"")</f>
        <v/>
      </c>
      <c r="U9577" s="16" t="s">
        <v>87</v>
      </c>
      <c r="V9577" s="16" t="str">
        <f>IFERROR(__xludf.DUMMYFUNCTION("""COMPUTED_VALUE"""),"")</f>
        <v/>
      </c>
      <c r="W9577" s="16" t="str">
        <f>IFERROR(__xludf.DUMMYFUNCTION("""COMPUTED_VALUE"""),"")</f>
        <v/>
      </c>
      <c r="X9577" s="16" t="str">
        <f>IFERROR(__xludf.DUMMYFUNCTION("""COMPUTED_VALUE"""),"")</f>
        <v/>
      </c>
      <c r="AC9577" s="16" t="str">
        <f>IFERROR(__xludf.DUMMYFUNCTION("""COMPUTED_VALUE"""),"")</f>
        <v/>
      </c>
    </row>
    <row r="9578">
      <c r="A9578" s="16" t="s">
        <v>87</v>
      </c>
      <c r="E9578" s="16" t="str">
        <f>IFERROR(__xludf.DUMMYFUNCTION("""COMPUTED_VALUE"""),"")</f>
        <v/>
      </c>
      <c r="G9578" s="18"/>
      <c r="H9578" s="16" t="s">
        <v>87</v>
      </c>
      <c r="I9578" s="16" t="s">
        <v>87</v>
      </c>
      <c r="J9578" s="19"/>
      <c r="L9578" s="16" t="str">
        <f>IFERROR(__xludf.DUMMYFUNCTION("""COMPUTED_VALUE"""),"")</f>
        <v/>
      </c>
      <c r="M9578" s="16" t="str">
        <f>IFERROR(__xludf.DUMMYFUNCTION("""COMPUTED_VALUE"""),"")</f>
        <v/>
      </c>
      <c r="U9578" s="16" t="s">
        <v>87</v>
      </c>
      <c r="V9578" s="16" t="str">
        <f>IFERROR(__xludf.DUMMYFUNCTION("""COMPUTED_VALUE"""),"")</f>
        <v/>
      </c>
      <c r="W9578" s="16" t="str">
        <f>IFERROR(__xludf.DUMMYFUNCTION("""COMPUTED_VALUE"""),"")</f>
        <v/>
      </c>
      <c r="X9578" s="16" t="str">
        <f>IFERROR(__xludf.DUMMYFUNCTION("""COMPUTED_VALUE"""),"")</f>
        <v/>
      </c>
      <c r="AC9578" s="16" t="str">
        <f>IFERROR(__xludf.DUMMYFUNCTION("""COMPUTED_VALUE"""),"")</f>
        <v/>
      </c>
    </row>
    <row r="9579">
      <c r="A9579" s="16" t="s">
        <v>87</v>
      </c>
      <c r="E9579" s="16" t="str">
        <f>IFERROR(__xludf.DUMMYFUNCTION("""COMPUTED_VALUE"""),"")</f>
        <v/>
      </c>
      <c r="G9579" s="18"/>
      <c r="H9579" s="16" t="s">
        <v>87</v>
      </c>
      <c r="I9579" s="16" t="s">
        <v>87</v>
      </c>
      <c r="J9579" s="19"/>
      <c r="L9579" s="16" t="str">
        <f>IFERROR(__xludf.DUMMYFUNCTION("""COMPUTED_VALUE"""),"")</f>
        <v/>
      </c>
      <c r="M9579" s="16" t="str">
        <f>IFERROR(__xludf.DUMMYFUNCTION("""COMPUTED_VALUE"""),"")</f>
        <v/>
      </c>
      <c r="U9579" s="16" t="s">
        <v>87</v>
      </c>
      <c r="V9579" s="16" t="str">
        <f>IFERROR(__xludf.DUMMYFUNCTION("""COMPUTED_VALUE"""),"")</f>
        <v/>
      </c>
      <c r="W9579" s="16" t="str">
        <f>IFERROR(__xludf.DUMMYFUNCTION("""COMPUTED_VALUE"""),"")</f>
        <v/>
      </c>
      <c r="X9579" s="16" t="str">
        <f>IFERROR(__xludf.DUMMYFUNCTION("""COMPUTED_VALUE"""),"")</f>
        <v/>
      </c>
      <c r="AC9579" s="16" t="str">
        <f>IFERROR(__xludf.DUMMYFUNCTION("""COMPUTED_VALUE"""),"")</f>
        <v/>
      </c>
    </row>
    <row r="9580">
      <c r="A9580" s="16" t="s">
        <v>87</v>
      </c>
      <c r="E9580" s="16" t="str">
        <f>IFERROR(__xludf.DUMMYFUNCTION("""COMPUTED_VALUE"""),"")</f>
        <v/>
      </c>
      <c r="G9580" s="18"/>
      <c r="H9580" s="16" t="s">
        <v>87</v>
      </c>
      <c r="I9580" s="16" t="s">
        <v>87</v>
      </c>
      <c r="J9580" s="19"/>
      <c r="L9580" s="16" t="str">
        <f>IFERROR(__xludf.DUMMYFUNCTION("""COMPUTED_VALUE"""),"")</f>
        <v/>
      </c>
      <c r="M9580" s="16" t="str">
        <f>IFERROR(__xludf.DUMMYFUNCTION("""COMPUTED_VALUE"""),"")</f>
        <v/>
      </c>
      <c r="U9580" s="16" t="s">
        <v>87</v>
      </c>
      <c r="V9580" s="16" t="str">
        <f>IFERROR(__xludf.DUMMYFUNCTION("""COMPUTED_VALUE"""),"")</f>
        <v/>
      </c>
      <c r="W9580" s="16" t="str">
        <f>IFERROR(__xludf.DUMMYFUNCTION("""COMPUTED_VALUE"""),"")</f>
        <v/>
      </c>
      <c r="X9580" s="16" t="str">
        <f>IFERROR(__xludf.DUMMYFUNCTION("""COMPUTED_VALUE"""),"")</f>
        <v/>
      </c>
      <c r="AC9580" s="16" t="str">
        <f>IFERROR(__xludf.DUMMYFUNCTION("""COMPUTED_VALUE"""),"")</f>
        <v/>
      </c>
    </row>
    <row r="9581">
      <c r="A9581" s="16" t="s">
        <v>87</v>
      </c>
      <c r="E9581" s="16" t="str">
        <f>IFERROR(__xludf.DUMMYFUNCTION("""COMPUTED_VALUE"""),"")</f>
        <v/>
      </c>
      <c r="G9581" s="18"/>
      <c r="H9581" s="16" t="s">
        <v>87</v>
      </c>
      <c r="I9581" s="16" t="s">
        <v>87</v>
      </c>
      <c r="J9581" s="19"/>
      <c r="L9581" s="16" t="str">
        <f>IFERROR(__xludf.DUMMYFUNCTION("""COMPUTED_VALUE"""),"")</f>
        <v/>
      </c>
      <c r="M9581" s="16" t="str">
        <f>IFERROR(__xludf.DUMMYFUNCTION("""COMPUTED_VALUE"""),"")</f>
        <v/>
      </c>
      <c r="U9581" s="16" t="s">
        <v>87</v>
      </c>
      <c r="V9581" s="16" t="str">
        <f>IFERROR(__xludf.DUMMYFUNCTION("""COMPUTED_VALUE"""),"")</f>
        <v/>
      </c>
      <c r="W9581" s="16" t="str">
        <f>IFERROR(__xludf.DUMMYFUNCTION("""COMPUTED_VALUE"""),"")</f>
        <v/>
      </c>
      <c r="X9581" s="16" t="str">
        <f>IFERROR(__xludf.DUMMYFUNCTION("""COMPUTED_VALUE"""),"")</f>
        <v/>
      </c>
      <c r="AC9581" s="16" t="str">
        <f>IFERROR(__xludf.DUMMYFUNCTION("""COMPUTED_VALUE"""),"")</f>
        <v/>
      </c>
    </row>
    <row r="9582">
      <c r="A9582" s="16" t="s">
        <v>87</v>
      </c>
      <c r="E9582" s="16" t="str">
        <f>IFERROR(__xludf.DUMMYFUNCTION("""COMPUTED_VALUE"""),"")</f>
        <v/>
      </c>
      <c r="G9582" s="18"/>
      <c r="H9582" s="16" t="s">
        <v>87</v>
      </c>
      <c r="I9582" s="16" t="s">
        <v>87</v>
      </c>
      <c r="J9582" s="19"/>
      <c r="L9582" s="16" t="str">
        <f>IFERROR(__xludf.DUMMYFUNCTION("""COMPUTED_VALUE"""),"")</f>
        <v/>
      </c>
      <c r="M9582" s="16" t="str">
        <f>IFERROR(__xludf.DUMMYFUNCTION("""COMPUTED_VALUE"""),"")</f>
        <v/>
      </c>
      <c r="U9582" s="16" t="s">
        <v>87</v>
      </c>
      <c r="V9582" s="16" t="str">
        <f>IFERROR(__xludf.DUMMYFUNCTION("""COMPUTED_VALUE"""),"")</f>
        <v/>
      </c>
      <c r="W9582" s="16" t="str">
        <f>IFERROR(__xludf.DUMMYFUNCTION("""COMPUTED_VALUE"""),"")</f>
        <v/>
      </c>
      <c r="X9582" s="16" t="str">
        <f>IFERROR(__xludf.DUMMYFUNCTION("""COMPUTED_VALUE"""),"")</f>
        <v/>
      </c>
      <c r="AC9582" s="16" t="str">
        <f>IFERROR(__xludf.DUMMYFUNCTION("""COMPUTED_VALUE"""),"")</f>
        <v/>
      </c>
    </row>
    <row r="9583">
      <c r="A9583" s="16" t="s">
        <v>87</v>
      </c>
      <c r="E9583" s="16" t="str">
        <f>IFERROR(__xludf.DUMMYFUNCTION("""COMPUTED_VALUE"""),"")</f>
        <v/>
      </c>
      <c r="G9583" s="18"/>
      <c r="H9583" s="16" t="s">
        <v>87</v>
      </c>
      <c r="I9583" s="16" t="s">
        <v>87</v>
      </c>
      <c r="J9583" s="19"/>
      <c r="L9583" s="16" t="str">
        <f>IFERROR(__xludf.DUMMYFUNCTION("""COMPUTED_VALUE"""),"")</f>
        <v/>
      </c>
      <c r="M9583" s="16" t="str">
        <f>IFERROR(__xludf.DUMMYFUNCTION("""COMPUTED_VALUE"""),"")</f>
        <v/>
      </c>
      <c r="U9583" s="16" t="s">
        <v>87</v>
      </c>
      <c r="V9583" s="16" t="str">
        <f>IFERROR(__xludf.DUMMYFUNCTION("""COMPUTED_VALUE"""),"")</f>
        <v/>
      </c>
      <c r="W9583" s="16" t="str">
        <f>IFERROR(__xludf.DUMMYFUNCTION("""COMPUTED_VALUE"""),"")</f>
        <v/>
      </c>
      <c r="X9583" s="16" t="str">
        <f>IFERROR(__xludf.DUMMYFUNCTION("""COMPUTED_VALUE"""),"")</f>
        <v/>
      </c>
      <c r="AC9583" s="16" t="str">
        <f>IFERROR(__xludf.DUMMYFUNCTION("""COMPUTED_VALUE"""),"")</f>
        <v/>
      </c>
    </row>
    <row r="9584">
      <c r="A9584" s="16" t="s">
        <v>87</v>
      </c>
      <c r="E9584" s="16" t="str">
        <f>IFERROR(__xludf.DUMMYFUNCTION("""COMPUTED_VALUE"""),"")</f>
        <v/>
      </c>
      <c r="G9584" s="18"/>
      <c r="H9584" s="16" t="s">
        <v>87</v>
      </c>
      <c r="I9584" s="16" t="s">
        <v>87</v>
      </c>
      <c r="J9584" s="19"/>
      <c r="L9584" s="16" t="str">
        <f>IFERROR(__xludf.DUMMYFUNCTION("""COMPUTED_VALUE"""),"")</f>
        <v/>
      </c>
      <c r="M9584" s="16" t="str">
        <f>IFERROR(__xludf.DUMMYFUNCTION("""COMPUTED_VALUE"""),"")</f>
        <v/>
      </c>
      <c r="U9584" s="16" t="s">
        <v>87</v>
      </c>
      <c r="V9584" s="16" t="str">
        <f>IFERROR(__xludf.DUMMYFUNCTION("""COMPUTED_VALUE"""),"")</f>
        <v/>
      </c>
      <c r="W9584" s="16" t="str">
        <f>IFERROR(__xludf.DUMMYFUNCTION("""COMPUTED_VALUE"""),"")</f>
        <v/>
      </c>
      <c r="X9584" s="16" t="str">
        <f>IFERROR(__xludf.DUMMYFUNCTION("""COMPUTED_VALUE"""),"")</f>
        <v/>
      </c>
      <c r="AC9584" s="16" t="str">
        <f>IFERROR(__xludf.DUMMYFUNCTION("""COMPUTED_VALUE"""),"")</f>
        <v/>
      </c>
    </row>
    <row r="9585">
      <c r="A9585" s="16" t="s">
        <v>87</v>
      </c>
      <c r="E9585" s="16" t="str">
        <f>IFERROR(__xludf.DUMMYFUNCTION("""COMPUTED_VALUE"""),"")</f>
        <v/>
      </c>
      <c r="G9585" s="18"/>
      <c r="H9585" s="16" t="s">
        <v>87</v>
      </c>
      <c r="I9585" s="16" t="s">
        <v>87</v>
      </c>
      <c r="J9585" s="19"/>
      <c r="L9585" s="16" t="str">
        <f>IFERROR(__xludf.DUMMYFUNCTION("""COMPUTED_VALUE"""),"")</f>
        <v/>
      </c>
      <c r="M9585" s="16" t="str">
        <f>IFERROR(__xludf.DUMMYFUNCTION("""COMPUTED_VALUE"""),"")</f>
        <v/>
      </c>
      <c r="U9585" s="16" t="s">
        <v>87</v>
      </c>
      <c r="V9585" s="16" t="str">
        <f>IFERROR(__xludf.DUMMYFUNCTION("""COMPUTED_VALUE"""),"")</f>
        <v/>
      </c>
      <c r="W9585" s="16" t="str">
        <f>IFERROR(__xludf.DUMMYFUNCTION("""COMPUTED_VALUE"""),"")</f>
        <v/>
      </c>
      <c r="X9585" s="16" t="str">
        <f>IFERROR(__xludf.DUMMYFUNCTION("""COMPUTED_VALUE"""),"")</f>
        <v/>
      </c>
      <c r="AC9585" s="16" t="str">
        <f>IFERROR(__xludf.DUMMYFUNCTION("""COMPUTED_VALUE"""),"")</f>
        <v/>
      </c>
    </row>
    <row r="9586">
      <c r="A9586" s="16" t="s">
        <v>87</v>
      </c>
      <c r="E9586" s="16" t="str">
        <f>IFERROR(__xludf.DUMMYFUNCTION("""COMPUTED_VALUE"""),"")</f>
        <v/>
      </c>
      <c r="G9586" s="18"/>
      <c r="H9586" s="16" t="s">
        <v>87</v>
      </c>
      <c r="I9586" s="16" t="s">
        <v>87</v>
      </c>
      <c r="J9586" s="19"/>
      <c r="L9586" s="16" t="str">
        <f>IFERROR(__xludf.DUMMYFUNCTION("""COMPUTED_VALUE"""),"")</f>
        <v/>
      </c>
      <c r="M9586" s="16" t="str">
        <f>IFERROR(__xludf.DUMMYFUNCTION("""COMPUTED_VALUE"""),"")</f>
        <v/>
      </c>
      <c r="U9586" s="16" t="s">
        <v>87</v>
      </c>
      <c r="V9586" s="16" t="str">
        <f>IFERROR(__xludf.DUMMYFUNCTION("""COMPUTED_VALUE"""),"")</f>
        <v/>
      </c>
      <c r="W9586" s="16" t="str">
        <f>IFERROR(__xludf.DUMMYFUNCTION("""COMPUTED_VALUE"""),"")</f>
        <v/>
      </c>
      <c r="X9586" s="16" t="str">
        <f>IFERROR(__xludf.DUMMYFUNCTION("""COMPUTED_VALUE"""),"")</f>
        <v/>
      </c>
      <c r="AC9586" s="16" t="str">
        <f>IFERROR(__xludf.DUMMYFUNCTION("""COMPUTED_VALUE"""),"")</f>
        <v/>
      </c>
    </row>
    <row r="9587">
      <c r="A9587" s="16" t="s">
        <v>87</v>
      </c>
      <c r="E9587" s="16" t="str">
        <f>IFERROR(__xludf.DUMMYFUNCTION("""COMPUTED_VALUE"""),"")</f>
        <v/>
      </c>
      <c r="G9587" s="18"/>
      <c r="H9587" s="16" t="s">
        <v>87</v>
      </c>
      <c r="I9587" s="16" t="s">
        <v>87</v>
      </c>
      <c r="J9587" s="19"/>
      <c r="L9587" s="16" t="str">
        <f>IFERROR(__xludf.DUMMYFUNCTION("""COMPUTED_VALUE"""),"")</f>
        <v/>
      </c>
      <c r="M9587" s="16" t="str">
        <f>IFERROR(__xludf.DUMMYFUNCTION("""COMPUTED_VALUE"""),"")</f>
        <v/>
      </c>
      <c r="U9587" s="16" t="s">
        <v>87</v>
      </c>
      <c r="V9587" s="16" t="str">
        <f>IFERROR(__xludf.DUMMYFUNCTION("""COMPUTED_VALUE"""),"")</f>
        <v/>
      </c>
      <c r="W9587" s="16" t="str">
        <f>IFERROR(__xludf.DUMMYFUNCTION("""COMPUTED_VALUE"""),"")</f>
        <v/>
      </c>
      <c r="X9587" s="16" t="str">
        <f>IFERROR(__xludf.DUMMYFUNCTION("""COMPUTED_VALUE"""),"")</f>
        <v/>
      </c>
      <c r="AC9587" s="16" t="str">
        <f>IFERROR(__xludf.DUMMYFUNCTION("""COMPUTED_VALUE"""),"")</f>
        <v/>
      </c>
    </row>
    <row r="9588">
      <c r="A9588" s="16" t="s">
        <v>87</v>
      </c>
      <c r="E9588" s="16" t="str">
        <f>IFERROR(__xludf.DUMMYFUNCTION("""COMPUTED_VALUE"""),"")</f>
        <v/>
      </c>
      <c r="G9588" s="18"/>
      <c r="H9588" s="16" t="s">
        <v>87</v>
      </c>
      <c r="I9588" s="16" t="s">
        <v>87</v>
      </c>
      <c r="J9588" s="19"/>
      <c r="L9588" s="16" t="str">
        <f>IFERROR(__xludf.DUMMYFUNCTION("""COMPUTED_VALUE"""),"")</f>
        <v/>
      </c>
      <c r="M9588" s="16" t="str">
        <f>IFERROR(__xludf.DUMMYFUNCTION("""COMPUTED_VALUE"""),"")</f>
        <v/>
      </c>
      <c r="U9588" s="16" t="s">
        <v>87</v>
      </c>
      <c r="V9588" s="16" t="str">
        <f>IFERROR(__xludf.DUMMYFUNCTION("""COMPUTED_VALUE"""),"")</f>
        <v/>
      </c>
      <c r="W9588" s="16" t="str">
        <f>IFERROR(__xludf.DUMMYFUNCTION("""COMPUTED_VALUE"""),"")</f>
        <v/>
      </c>
      <c r="X9588" s="16" t="str">
        <f>IFERROR(__xludf.DUMMYFUNCTION("""COMPUTED_VALUE"""),"")</f>
        <v/>
      </c>
      <c r="AC9588" s="16" t="str">
        <f>IFERROR(__xludf.DUMMYFUNCTION("""COMPUTED_VALUE"""),"")</f>
        <v/>
      </c>
    </row>
    <row r="9589">
      <c r="A9589" s="16" t="s">
        <v>87</v>
      </c>
      <c r="E9589" s="16" t="str">
        <f>IFERROR(__xludf.DUMMYFUNCTION("""COMPUTED_VALUE"""),"")</f>
        <v/>
      </c>
      <c r="G9589" s="18"/>
      <c r="H9589" s="16" t="s">
        <v>87</v>
      </c>
      <c r="I9589" s="16" t="s">
        <v>87</v>
      </c>
      <c r="J9589" s="19"/>
      <c r="L9589" s="16" t="str">
        <f>IFERROR(__xludf.DUMMYFUNCTION("""COMPUTED_VALUE"""),"")</f>
        <v/>
      </c>
      <c r="M9589" s="16" t="str">
        <f>IFERROR(__xludf.DUMMYFUNCTION("""COMPUTED_VALUE"""),"")</f>
        <v/>
      </c>
      <c r="U9589" s="16" t="s">
        <v>87</v>
      </c>
      <c r="V9589" s="16" t="str">
        <f>IFERROR(__xludf.DUMMYFUNCTION("""COMPUTED_VALUE"""),"")</f>
        <v/>
      </c>
      <c r="W9589" s="16" t="str">
        <f>IFERROR(__xludf.DUMMYFUNCTION("""COMPUTED_VALUE"""),"")</f>
        <v/>
      </c>
      <c r="X9589" s="16" t="str">
        <f>IFERROR(__xludf.DUMMYFUNCTION("""COMPUTED_VALUE"""),"")</f>
        <v/>
      </c>
      <c r="AC9589" s="16" t="str">
        <f>IFERROR(__xludf.DUMMYFUNCTION("""COMPUTED_VALUE"""),"")</f>
        <v/>
      </c>
    </row>
    <row r="9590">
      <c r="A9590" s="16" t="s">
        <v>87</v>
      </c>
      <c r="E9590" s="16" t="str">
        <f>IFERROR(__xludf.DUMMYFUNCTION("""COMPUTED_VALUE"""),"")</f>
        <v/>
      </c>
      <c r="G9590" s="18"/>
      <c r="H9590" s="16" t="s">
        <v>87</v>
      </c>
      <c r="I9590" s="16" t="s">
        <v>87</v>
      </c>
      <c r="J9590" s="19"/>
      <c r="L9590" s="16" t="str">
        <f>IFERROR(__xludf.DUMMYFUNCTION("""COMPUTED_VALUE"""),"")</f>
        <v/>
      </c>
      <c r="M9590" s="16" t="str">
        <f>IFERROR(__xludf.DUMMYFUNCTION("""COMPUTED_VALUE"""),"")</f>
        <v/>
      </c>
      <c r="U9590" s="16" t="s">
        <v>87</v>
      </c>
      <c r="V9590" s="16" t="str">
        <f>IFERROR(__xludf.DUMMYFUNCTION("""COMPUTED_VALUE"""),"")</f>
        <v/>
      </c>
      <c r="W9590" s="16" t="str">
        <f>IFERROR(__xludf.DUMMYFUNCTION("""COMPUTED_VALUE"""),"")</f>
        <v/>
      </c>
      <c r="X9590" s="16" t="str">
        <f>IFERROR(__xludf.DUMMYFUNCTION("""COMPUTED_VALUE"""),"")</f>
        <v/>
      </c>
      <c r="AC9590" s="16" t="str">
        <f>IFERROR(__xludf.DUMMYFUNCTION("""COMPUTED_VALUE"""),"")</f>
        <v/>
      </c>
    </row>
    <row r="9591">
      <c r="A9591" s="16" t="s">
        <v>87</v>
      </c>
      <c r="E9591" s="16" t="str">
        <f>IFERROR(__xludf.DUMMYFUNCTION("""COMPUTED_VALUE"""),"")</f>
        <v/>
      </c>
      <c r="G9591" s="18"/>
      <c r="H9591" s="16" t="s">
        <v>87</v>
      </c>
      <c r="I9591" s="16" t="s">
        <v>87</v>
      </c>
      <c r="J9591" s="19"/>
      <c r="L9591" s="16" t="str">
        <f>IFERROR(__xludf.DUMMYFUNCTION("""COMPUTED_VALUE"""),"")</f>
        <v/>
      </c>
      <c r="M9591" s="16" t="str">
        <f>IFERROR(__xludf.DUMMYFUNCTION("""COMPUTED_VALUE"""),"")</f>
        <v/>
      </c>
      <c r="U9591" s="16" t="s">
        <v>87</v>
      </c>
      <c r="V9591" s="16" t="str">
        <f>IFERROR(__xludf.DUMMYFUNCTION("""COMPUTED_VALUE"""),"")</f>
        <v/>
      </c>
      <c r="W9591" s="16" t="str">
        <f>IFERROR(__xludf.DUMMYFUNCTION("""COMPUTED_VALUE"""),"")</f>
        <v/>
      </c>
      <c r="X9591" s="16" t="str">
        <f>IFERROR(__xludf.DUMMYFUNCTION("""COMPUTED_VALUE"""),"")</f>
        <v/>
      </c>
      <c r="AC9591" s="16" t="str">
        <f>IFERROR(__xludf.DUMMYFUNCTION("""COMPUTED_VALUE"""),"")</f>
        <v/>
      </c>
    </row>
    <row r="9592">
      <c r="A9592" s="16" t="s">
        <v>87</v>
      </c>
      <c r="E9592" s="16" t="str">
        <f>IFERROR(__xludf.DUMMYFUNCTION("""COMPUTED_VALUE"""),"")</f>
        <v/>
      </c>
      <c r="G9592" s="18"/>
      <c r="H9592" s="16" t="s">
        <v>87</v>
      </c>
      <c r="I9592" s="16" t="s">
        <v>87</v>
      </c>
      <c r="J9592" s="19"/>
      <c r="L9592" s="16" t="str">
        <f>IFERROR(__xludf.DUMMYFUNCTION("""COMPUTED_VALUE"""),"")</f>
        <v/>
      </c>
      <c r="M9592" s="16" t="str">
        <f>IFERROR(__xludf.DUMMYFUNCTION("""COMPUTED_VALUE"""),"")</f>
        <v/>
      </c>
      <c r="U9592" s="16" t="s">
        <v>87</v>
      </c>
      <c r="V9592" s="16" t="str">
        <f>IFERROR(__xludf.DUMMYFUNCTION("""COMPUTED_VALUE"""),"")</f>
        <v/>
      </c>
      <c r="W9592" s="16" t="str">
        <f>IFERROR(__xludf.DUMMYFUNCTION("""COMPUTED_VALUE"""),"")</f>
        <v/>
      </c>
      <c r="X9592" s="16" t="str">
        <f>IFERROR(__xludf.DUMMYFUNCTION("""COMPUTED_VALUE"""),"")</f>
        <v/>
      </c>
      <c r="AC9592" s="16" t="str">
        <f>IFERROR(__xludf.DUMMYFUNCTION("""COMPUTED_VALUE"""),"")</f>
        <v/>
      </c>
    </row>
    <row r="9593">
      <c r="A9593" s="16" t="s">
        <v>87</v>
      </c>
      <c r="E9593" s="16" t="str">
        <f>IFERROR(__xludf.DUMMYFUNCTION("""COMPUTED_VALUE"""),"")</f>
        <v/>
      </c>
      <c r="G9593" s="18"/>
      <c r="H9593" s="16" t="s">
        <v>87</v>
      </c>
      <c r="I9593" s="16" t="s">
        <v>87</v>
      </c>
      <c r="J9593" s="19"/>
      <c r="L9593" s="16" t="str">
        <f>IFERROR(__xludf.DUMMYFUNCTION("""COMPUTED_VALUE"""),"")</f>
        <v/>
      </c>
      <c r="M9593" s="16" t="str">
        <f>IFERROR(__xludf.DUMMYFUNCTION("""COMPUTED_VALUE"""),"")</f>
        <v/>
      </c>
      <c r="U9593" s="16" t="s">
        <v>87</v>
      </c>
      <c r="V9593" s="16" t="str">
        <f>IFERROR(__xludf.DUMMYFUNCTION("""COMPUTED_VALUE"""),"")</f>
        <v/>
      </c>
      <c r="W9593" s="16" t="str">
        <f>IFERROR(__xludf.DUMMYFUNCTION("""COMPUTED_VALUE"""),"")</f>
        <v/>
      </c>
      <c r="X9593" s="16" t="str">
        <f>IFERROR(__xludf.DUMMYFUNCTION("""COMPUTED_VALUE"""),"")</f>
        <v/>
      </c>
      <c r="AC9593" s="16" t="str">
        <f>IFERROR(__xludf.DUMMYFUNCTION("""COMPUTED_VALUE"""),"")</f>
        <v/>
      </c>
    </row>
    <row r="9594">
      <c r="A9594" s="16" t="s">
        <v>87</v>
      </c>
      <c r="E9594" s="16" t="str">
        <f>IFERROR(__xludf.DUMMYFUNCTION("""COMPUTED_VALUE"""),"")</f>
        <v/>
      </c>
      <c r="G9594" s="18"/>
      <c r="H9594" s="16" t="s">
        <v>87</v>
      </c>
      <c r="I9594" s="16" t="s">
        <v>87</v>
      </c>
      <c r="J9594" s="19"/>
      <c r="L9594" s="16" t="str">
        <f>IFERROR(__xludf.DUMMYFUNCTION("""COMPUTED_VALUE"""),"")</f>
        <v/>
      </c>
      <c r="M9594" s="16" t="str">
        <f>IFERROR(__xludf.DUMMYFUNCTION("""COMPUTED_VALUE"""),"")</f>
        <v/>
      </c>
      <c r="U9594" s="16" t="s">
        <v>87</v>
      </c>
      <c r="V9594" s="16" t="str">
        <f>IFERROR(__xludf.DUMMYFUNCTION("""COMPUTED_VALUE"""),"")</f>
        <v/>
      </c>
      <c r="W9594" s="16" t="str">
        <f>IFERROR(__xludf.DUMMYFUNCTION("""COMPUTED_VALUE"""),"")</f>
        <v/>
      </c>
      <c r="X9594" s="16" t="str">
        <f>IFERROR(__xludf.DUMMYFUNCTION("""COMPUTED_VALUE"""),"")</f>
        <v/>
      </c>
      <c r="AC9594" s="16" t="str">
        <f>IFERROR(__xludf.DUMMYFUNCTION("""COMPUTED_VALUE"""),"")</f>
        <v/>
      </c>
    </row>
    <row r="9595">
      <c r="A9595" s="16" t="s">
        <v>87</v>
      </c>
      <c r="E9595" s="16" t="str">
        <f>IFERROR(__xludf.DUMMYFUNCTION("""COMPUTED_VALUE"""),"")</f>
        <v/>
      </c>
      <c r="G9595" s="18"/>
      <c r="H9595" s="16" t="s">
        <v>87</v>
      </c>
      <c r="I9595" s="16" t="s">
        <v>87</v>
      </c>
      <c r="J9595" s="19"/>
      <c r="L9595" s="16" t="str">
        <f>IFERROR(__xludf.DUMMYFUNCTION("""COMPUTED_VALUE"""),"")</f>
        <v/>
      </c>
      <c r="M9595" s="16" t="str">
        <f>IFERROR(__xludf.DUMMYFUNCTION("""COMPUTED_VALUE"""),"")</f>
        <v/>
      </c>
      <c r="U9595" s="16" t="s">
        <v>87</v>
      </c>
      <c r="V9595" s="16" t="str">
        <f>IFERROR(__xludf.DUMMYFUNCTION("""COMPUTED_VALUE"""),"")</f>
        <v/>
      </c>
      <c r="W9595" s="16" t="str">
        <f>IFERROR(__xludf.DUMMYFUNCTION("""COMPUTED_VALUE"""),"")</f>
        <v/>
      </c>
      <c r="X9595" s="16" t="str">
        <f>IFERROR(__xludf.DUMMYFUNCTION("""COMPUTED_VALUE"""),"")</f>
        <v/>
      </c>
      <c r="AC9595" s="16" t="str">
        <f>IFERROR(__xludf.DUMMYFUNCTION("""COMPUTED_VALUE"""),"")</f>
        <v/>
      </c>
    </row>
    <row r="9596">
      <c r="A9596" s="16" t="s">
        <v>87</v>
      </c>
      <c r="E9596" s="16" t="str">
        <f>IFERROR(__xludf.DUMMYFUNCTION("""COMPUTED_VALUE"""),"")</f>
        <v/>
      </c>
      <c r="G9596" s="18"/>
      <c r="H9596" s="16" t="s">
        <v>87</v>
      </c>
      <c r="I9596" s="16" t="s">
        <v>87</v>
      </c>
      <c r="J9596" s="19"/>
      <c r="L9596" s="16" t="str">
        <f>IFERROR(__xludf.DUMMYFUNCTION("""COMPUTED_VALUE"""),"")</f>
        <v/>
      </c>
      <c r="M9596" s="16" t="str">
        <f>IFERROR(__xludf.DUMMYFUNCTION("""COMPUTED_VALUE"""),"")</f>
        <v/>
      </c>
      <c r="U9596" s="16" t="s">
        <v>87</v>
      </c>
      <c r="V9596" s="16" t="str">
        <f>IFERROR(__xludf.DUMMYFUNCTION("""COMPUTED_VALUE"""),"")</f>
        <v/>
      </c>
      <c r="W9596" s="16" t="str">
        <f>IFERROR(__xludf.DUMMYFUNCTION("""COMPUTED_VALUE"""),"")</f>
        <v/>
      </c>
      <c r="X9596" s="16" t="str">
        <f>IFERROR(__xludf.DUMMYFUNCTION("""COMPUTED_VALUE"""),"")</f>
        <v/>
      </c>
      <c r="AC9596" s="16" t="str">
        <f>IFERROR(__xludf.DUMMYFUNCTION("""COMPUTED_VALUE"""),"")</f>
        <v/>
      </c>
    </row>
    <row r="9597">
      <c r="A9597" s="16" t="s">
        <v>87</v>
      </c>
      <c r="E9597" s="16" t="str">
        <f>IFERROR(__xludf.DUMMYFUNCTION("""COMPUTED_VALUE"""),"")</f>
        <v/>
      </c>
      <c r="G9597" s="18"/>
      <c r="H9597" s="16" t="s">
        <v>87</v>
      </c>
      <c r="I9597" s="16" t="s">
        <v>87</v>
      </c>
      <c r="J9597" s="19"/>
      <c r="L9597" s="16" t="str">
        <f>IFERROR(__xludf.DUMMYFUNCTION("""COMPUTED_VALUE"""),"")</f>
        <v/>
      </c>
      <c r="M9597" s="16" t="str">
        <f>IFERROR(__xludf.DUMMYFUNCTION("""COMPUTED_VALUE"""),"")</f>
        <v/>
      </c>
      <c r="U9597" s="16" t="s">
        <v>87</v>
      </c>
      <c r="V9597" s="16" t="str">
        <f>IFERROR(__xludf.DUMMYFUNCTION("""COMPUTED_VALUE"""),"")</f>
        <v/>
      </c>
      <c r="W9597" s="16" t="str">
        <f>IFERROR(__xludf.DUMMYFUNCTION("""COMPUTED_VALUE"""),"")</f>
        <v/>
      </c>
      <c r="X9597" s="16" t="str">
        <f>IFERROR(__xludf.DUMMYFUNCTION("""COMPUTED_VALUE"""),"")</f>
        <v/>
      </c>
      <c r="AC9597" s="16" t="str">
        <f>IFERROR(__xludf.DUMMYFUNCTION("""COMPUTED_VALUE"""),"")</f>
        <v/>
      </c>
    </row>
    <row r="9598">
      <c r="A9598" s="16" t="s">
        <v>87</v>
      </c>
      <c r="E9598" s="16" t="str">
        <f>IFERROR(__xludf.DUMMYFUNCTION("""COMPUTED_VALUE"""),"")</f>
        <v/>
      </c>
      <c r="G9598" s="18"/>
      <c r="H9598" s="16" t="s">
        <v>87</v>
      </c>
      <c r="I9598" s="16" t="s">
        <v>87</v>
      </c>
      <c r="J9598" s="19"/>
      <c r="L9598" s="16" t="str">
        <f>IFERROR(__xludf.DUMMYFUNCTION("""COMPUTED_VALUE"""),"")</f>
        <v/>
      </c>
      <c r="M9598" s="16" t="str">
        <f>IFERROR(__xludf.DUMMYFUNCTION("""COMPUTED_VALUE"""),"")</f>
        <v/>
      </c>
      <c r="U9598" s="16" t="s">
        <v>87</v>
      </c>
      <c r="V9598" s="16" t="str">
        <f>IFERROR(__xludf.DUMMYFUNCTION("""COMPUTED_VALUE"""),"")</f>
        <v/>
      </c>
      <c r="W9598" s="16" t="str">
        <f>IFERROR(__xludf.DUMMYFUNCTION("""COMPUTED_VALUE"""),"")</f>
        <v/>
      </c>
      <c r="X9598" s="16" t="str">
        <f>IFERROR(__xludf.DUMMYFUNCTION("""COMPUTED_VALUE"""),"")</f>
        <v/>
      </c>
      <c r="AC9598" s="16" t="str">
        <f>IFERROR(__xludf.DUMMYFUNCTION("""COMPUTED_VALUE"""),"")</f>
        <v/>
      </c>
    </row>
    <row r="9599">
      <c r="A9599" s="16" t="s">
        <v>87</v>
      </c>
      <c r="E9599" s="16" t="str">
        <f>IFERROR(__xludf.DUMMYFUNCTION("""COMPUTED_VALUE"""),"")</f>
        <v/>
      </c>
      <c r="G9599" s="18"/>
      <c r="H9599" s="16" t="s">
        <v>87</v>
      </c>
      <c r="I9599" s="16" t="s">
        <v>87</v>
      </c>
      <c r="J9599" s="19"/>
      <c r="L9599" s="16" t="str">
        <f>IFERROR(__xludf.DUMMYFUNCTION("""COMPUTED_VALUE"""),"")</f>
        <v/>
      </c>
      <c r="M9599" s="16" t="str">
        <f>IFERROR(__xludf.DUMMYFUNCTION("""COMPUTED_VALUE"""),"")</f>
        <v/>
      </c>
      <c r="U9599" s="16" t="s">
        <v>87</v>
      </c>
      <c r="V9599" s="16" t="str">
        <f>IFERROR(__xludf.DUMMYFUNCTION("""COMPUTED_VALUE"""),"")</f>
        <v/>
      </c>
      <c r="W9599" s="16" t="str">
        <f>IFERROR(__xludf.DUMMYFUNCTION("""COMPUTED_VALUE"""),"")</f>
        <v/>
      </c>
      <c r="X9599" s="16" t="str">
        <f>IFERROR(__xludf.DUMMYFUNCTION("""COMPUTED_VALUE"""),"")</f>
        <v/>
      </c>
      <c r="AC9599" s="16" t="str">
        <f>IFERROR(__xludf.DUMMYFUNCTION("""COMPUTED_VALUE"""),"")</f>
        <v/>
      </c>
    </row>
    <row r="9600">
      <c r="A9600" s="16" t="s">
        <v>87</v>
      </c>
      <c r="E9600" s="16" t="str">
        <f>IFERROR(__xludf.DUMMYFUNCTION("""COMPUTED_VALUE"""),"")</f>
        <v/>
      </c>
      <c r="G9600" s="18"/>
      <c r="H9600" s="16" t="s">
        <v>87</v>
      </c>
      <c r="I9600" s="16" t="s">
        <v>87</v>
      </c>
      <c r="J9600" s="19"/>
      <c r="L9600" s="16" t="str">
        <f>IFERROR(__xludf.DUMMYFUNCTION("""COMPUTED_VALUE"""),"")</f>
        <v/>
      </c>
      <c r="M9600" s="16" t="str">
        <f>IFERROR(__xludf.DUMMYFUNCTION("""COMPUTED_VALUE"""),"")</f>
        <v/>
      </c>
      <c r="U9600" s="16" t="s">
        <v>87</v>
      </c>
      <c r="V9600" s="16" t="str">
        <f>IFERROR(__xludf.DUMMYFUNCTION("""COMPUTED_VALUE"""),"")</f>
        <v/>
      </c>
      <c r="W9600" s="16" t="str">
        <f>IFERROR(__xludf.DUMMYFUNCTION("""COMPUTED_VALUE"""),"")</f>
        <v/>
      </c>
      <c r="X9600" s="16" t="str">
        <f>IFERROR(__xludf.DUMMYFUNCTION("""COMPUTED_VALUE"""),"")</f>
        <v/>
      </c>
      <c r="AC9600" s="16" t="str">
        <f>IFERROR(__xludf.DUMMYFUNCTION("""COMPUTED_VALUE"""),"")</f>
        <v/>
      </c>
    </row>
    <row r="9601">
      <c r="A9601" s="16" t="s">
        <v>87</v>
      </c>
      <c r="E9601" s="16" t="str">
        <f>IFERROR(__xludf.DUMMYFUNCTION("""COMPUTED_VALUE"""),"")</f>
        <v/>
      </c>
      <c r="G9601" s="18"/>
      <c r="H9601" s="16" t="s">
        <v>87</v>
      </c>
      <c r="I9601" s="16" t="s">
        <v>87</v>
      </c>
      <c r="J9601" s="19"/>
      <c r="L9601" s="16" t="str">
        <f>IFERROR(__xludf.DUMMYFUNCTION("""COMPUTED_VALUE"""),"")</f>
        <v/>
      </c>
      <c r="M9601" s="16" t="str">
        <f>IFERROR(__xludf.DUMMYFUNCTION("""COMPUTED_VALUE"""),"")</f>
        <v/>
      </c>
      <c r="U9601" s="16" t="s">
        <v>87</v>
      </c>
      <c r="V9601" s="16" t="str">
        <f>IFERROR(__xludf.DUMMYFUNCTION("""COMPUTED_VALUE"""),"")</f>
        <v/>
      </c>
      <c r="W9601" s="16" t="str">
        <f>IFERROR(__xludf.DUMMYFUNCTION("""COMPUTED_VALUE"""),"")</f>
        <v/>
      </c>
      <c r="X9601" s="16" t="str">
        <f>IFERROR(__xludf.DUMMYFUNCTION("""COMPUTED_VALUE"""),"")</f>
        <v/>
      </c>
      <c r="AC9601" s="16" t="str">
        <f>IFERROR(__xludf.DUMMYFUNCTION("""COMPUTED_VALUE"""),"")</f>
        <v/>
      </c>
    </row>
    <row r="9602">
      <c r="A9602" s="16" t="s">
        <v>87</v>
      </c>
      <c r="E9602" s="16" t="str">
        <f>IFERROR(__xludf.DUMMYFUNCTION("""COMPUTED_VALUE"""),"")</f>
        <v/>
      </c>
      <c r="G9602" s="18"/>
      <c r="H9602" s="16" t="s">
        <v>87</v>
      </c>
      <c r="I9602" s="16" t="s">
        <v>87</v>
      </c>
      <c r="J9602" s="19"/>
      <c r="L9602" s="16" t="str">
        <f>IFERROR(__xludf.DUMMYFUNCTION("""COMPUTED_VALUE"""),"")</f>
        <v/>
      </c>
      <c r="M9602" s="16" t="str">
        <f>IFERROR(__xludf.DUMMYFUNCTION("""COMPUTED_VALUE"""),"")</f>
        <v/>
      </c>
      <c r="U9602" s="16" t="s">
        <v>87</v>
      </c>
      <c r="V9602" s="16" t="str">
        <f>IFERROR(__xludf.DUMMYFUNCTION("""COMPUTED_VALUE"""),"")</f>
        <v/>
      </c>
      <c r="W9602" s="16" t="str">
        <f>IFERROR(__xludf.DUMMYFUNCTION("""COMPUTED_VALUE"""),"")</f>
        <v/>
      </c>
      <c r="X9602" s="16" t="str">
        <f>IFERROR(__xludf.DUMMYFUNCTION("""COMPUTED_VALUE"""),"")</f>
        <v/>
      </c>
      <c r="AC9602" s="16" t="str">
        <f>IFERROR(__xludf.DUMMYFUNCTION("""COMPUTED_VALUE"""),"")</f>
        <v/>
      </c>
    </row>
    <row r="9603">
      <c r="A9603" s="16" t="s">
        <v>87</v>
      </c>
      <c r="E9603" s="16" t="str">
        <f>IFERROR(__xludf.DUMMYFUNCTION("""COMPUTED_VALUE"""),"")</f>
        <v/>
      </c>
      <c r="G9603" s="18"/>
      <c r="H9603" s="16" t="s">
        <v>87</v>
      </c>
      <c r="I9603" s="16" t="s">
        <v>87</v>
      </c>
      <c r="J9603" s="19"/>
      <c r="L9603" s="16" t="str">
        <f>IFERROR(__xludf.DUMMYFUNCTION("""COMPUTED_VALUE"""),"")</f>
        <v/>
      </c>
      <c r="M9603" s="16" t="str">
        <f>IFERROR(__xludf.DUMMYFUNCTION("""COMPUTED_VALUE"""),"")</f>
        <v/>
      </c>
      <c r="U9603" s="16" t="s">
        <v>87</v>
      </c>
      <c r="V9603" s="16" t="str">
        <f>IFERROR(__xludf.DUMMYFUNCTION("""COMPUTED_VALUE"""),"")</f>
        <v/>
      </c>
      <c r="W9603" s="16" t="str">
        <f>IFERROR(__xludf.DUMMYFUNCTION("""COMPUTED_VALUE"""),"")</f>
        <v/>
      </c>
      <c r="X9603" s="16" t="str">
        <f>IFERROR(__xludf.DUMMYFUNCTION("""COMPUTED_VALUE"""),"")</f>
        <v/>
      </c>
      <c r="AC9603" s="16" t="str">
        <f>IFERROR(__xludf.DUMMYFUNCTION("""COMPUTED_VALUE"""),"")</f>
        <v/>
      </c>
    </row>
    <row r="9604">
      <c r="A9604" s="16" t="s">
        <v>87</v>
      </c>
      <c r="E9604" s="16" t="str">
        <f>IFERROR(__xludf.DUMMYFUNCTION("""COMPUTED_VALUE"""),"")</f>
        <v/>
      </c>
      <c r="G9604" s="18"/>
      <c r="H9604" s="16" t="s">
        <v>87</v>
      </c>
      <c r="I9604" s="16" t="s">
        <v>87</v>
      </c>
      <c r="J9604" s="19"/>
      <c r="L9604" s="16" t="str">
        <f>IFERROR(__xludf.DUMMYFUNCTION("""COMPUTED_VALUE"""),"")</f>
        <v/>
      </c>
      <c r="M9604" s="16" t="str">
        <f>IFERROR(__xludf.DUMMYFUNCTION("""COMPUTED_VALUE"""),"")</f>
        <v/>
      </c>
      <c r="U9604" s="16" t="s">
        <v>87</v>
      </c>
      <c r="V9604" s="16" t="str">
        <f>IFERROR(__xludf.DUMMYFUNCTION("""COMPUTED_VALUE"""),"")</f>
        <v/>
      </c>
      <c r="W9604" s="16" t="str">
        <f>IFERROR(__xludf.DUMMYFUNCTION("""COMPUTED_VALUE"""),"")</f>
        <v/>
      </c>
      <c r="X9604" s="16" t="str">
        <f>IFERROR(__xludf.DUMMYFUNCTION("""COMPUTED_VALUE"""),"")</f>
        <v/>
      </c>
      <c r="AC9604" s="16" t="str">
        <f>IFERROR(__xludf.DUMMYFUNCTION("""COMPUTED_VALUE"""),"")</f>
        <v/>
      </c>
    </row>
    <row r="9605">
      <c r="A9605" s="16" t="s">
        <v>87</v>
      </c>
      <c r="E9605" s="16" t="str">
        <f>IFERROR(__xludf.DUMMYFUNCTION("""COMPUTED_VALUE"""),"")</f>
        <v/>
      </c>
      <c r="G9605" s="18"/>
      <c r="H9605" s="16" t="s">
        <v>87</v>
      </c>
      <c r="I9605" s="16" t="s">
        <v>87</v>
      </c>
      <c r="J9605" s="19"/>
      <c r="L9605" s="16" t="str">
        <f>IFERROR(__xludf.DUMMYFUNCTION("""COMPUTED_VALUE"""),"")</f>
        <v/>
      </c>
      <c r="M9605" s="16" t="str">
        <f>IFERROR(__xludf.DUMMYFUNCTION("""COMPUTED_VALUE"""),"")</f>
        <v/>
      </c>
      <c r="U9605" s="16" t="s">
        <v>87</v>
      </c>
      <c r="V9605" s="16" t="str">
        <f>IFERROR(__xludf.DUMMYFUNCTION("""COMPUTED_VALUE"""),"")</f>
        <v/>
      </c>
      <c r="W9605" s="16" t="str">
        <f>IFERROR(__xludf.DUMMYFUNCTION("""COMPUTED_VALUE"""),"")</f>
        <v/>
      </c>
      <c r="X9605" s="16" t="str">
        <f>IFERROR(__xludf.DUMMYFUNCTION("""COMPUTED_VALUE"""),"")</f>
        <v/>
      </c>
      <c r="AC9605" s="16" t="str">
        <f>IFERROR(__xludf.DUMMYFUNCTION("""COMPUTED_VALUE"""),"")</f>
        <v/>
      </c>
    </row>
    <row r="9606">
      <c r="A9606" s="16" t="s">
        <v>87</v>
      </c>
      <c r="E9606" s="16" t="str">
        <f>IFERROR(__xludf.DUMMYFUNCTION("""COMPUTED_VALUE"""),"")</f>
        <v/>
      </c>
      <c r="G9606" s="18"/>
      <c r="H9606" s="16" t="s">
        <v>87</v>
      </c>
      <c r="I9606" s="16" t="s">
        <v>87</v>
      </c>
      <c r="J9606" s="19"/>
      <c r="L9606" s="16" t="str">
        <f>IFERROR(__xludf.DUMMYFUNCTION("""COMPUTED_VALUE"""),"")</f>
        <v/>
      </c>
      <c r="M9606" s="16" t="str">
        <f>IFERROR(__xludf.DUMMYFUNCTION("""COMPUTED_VALUE"""),"")</f>
        <v/>
      </c>
      <c r="U9606" s="16" t="s">
        <v>87</v>
      </c>
      <c r="V9606" s="16" t="str">
        <f>IFERROR(__xludf.DUMMYFUNCTION("""COMPUTED_VALUE"""),"")</f>
        <v/>
      </c>
      <c r="W9606" s="16" t="str">
        <f>IFERROR(__xludf.DUMMYFUNCTION("""COMPUTED_VALUE"""),"")</f>
        <v/>
      </c>
      <c r="X9606" s="16" t="str">
        <f>IFERROR(__xludf.DUMMYFUNCTION("""COMPUTED_VALUE"""),"")</f>
        <v/>
      </c>
      <c r="AC9606" s="16" t="str">
        <f>IFERROR(__xludf.DUMMYFUNCTION("""COMPUTED_VALUE"""),"")</f>
        <v/>
      </c>
    </row>
    <row r="9607">
      <c r="A9607" s="16" t="s">
        <v>87</v>
      </c>
      <c r="E9607" s="16" t="str">
        <f>IFERROR(__xludf.DUMMYFUNCTION("""COMPUTED_VALUE"""),"")</f>
        <v/>
      </c>
      <c r="G9607" s="18"/>
      <c r="H9607" s="16" t="s">
        <v>87</v>
      </c>
      <c r="I9607" s="16" t="s">
        <v>87</v>
      </c>
      <c r="J9607" s="19"/>
      <c r="L9607" s="16" t="str">
        <f>IFERROR(__xludf.DUMMYFUNCTION("""COMPUTED_VALUE"""),"")</f>
        <v/>
      </c>
      <c r="M9607" s="16" t="str">
        <f>IFERROR(__xludf.DUMMYFUNCTION("""COMPUTED_VALUE"""),"")</f>
        <v/>
      </c>
      <c r="U9607" s="16" t="s">
        <v>87</v>
      </c>
      <c r="V9607" s="16" t="str">
        <f>IFERROR(__xludf.DUMMYFUNCTION("""COMPUTED_VALUE"""),"")</f>
        <v/>
      </c>
      <c r="W9607" s="16" t="str">
        <f>IFERROR(__xludf.DUMMYFUNCTION("""COMPUTED_VALUE"""),"")</f>
        <v/>
      </c>
      <c r="X9607" s="16" t="str">
        <f>IFERROR(__xludf.DUMMYFUNCTION("""COMPUTED_VALUE"""),"")</f>
        <v/>
      </c>
      <c r="AC9607" s="16" t="str">
        <f>IFERROR(__xludf.DUMMYFUNCTION("""COMPUTED_VALUE"""),"")</f>
        <v/>
      </c>
    </row>
    <row r="9608">
      <c r="A9608" s="16" t="s">
        <v>87</v>
      </c>
      <c r="E9608" s="16" t="str">
        <f>IFERROR(__xludf.DUMMYFUNCTION("""COMPUTED_VALUE"""),"")</f>
        <v/>
      </c>
      <c r="G9608" s="18"/>
      <c r="H9608" s="16" t="s">
        <v>87</v>
      </c>
      <c r="I9608" s="16" t="s">
        <v>87</v>
      </c>
      <c r="J9608" s="19"/>
      <c r="L9608" s="16" t="str">
        <f>IFERROR(__xludf.DUMMYFUNCTION("""COMPUTED_VALUE"""),"")</f>
        <v/>
      </c>
      <c r="M9608" s="16" t="str">
        <f>IFERROR(__xludf.DUMMYFUNCTION("""COMPUTED_VALUE"""),"")</f>
        <v/>
      </c>
      <c r="U9608" s="16" t="s">
        <v>87</v>
      </c>
      <c r="V9608" s="16" t="str">
        <f>IFERROR(__xludf.DUMMYFUNCTION("""COMPUTED_VALUE"""),"")</f>
        <v/>
      </c>
      <c r="W9608" s="16" t="str">
        <f>IFERROR(__xludf.DUMMYFUNCTION("""COMPUTED_VALUE"""),"")</f>
        <v/>
      </c>
      <c r="X9608" s="16" t="str">
        <f>IFERROR(__xludf.DUMMYFUNCTION("""COMPUTED_VALUE"""),"")</f>
        <v/>
      </c>
      <c r="AC9608" s="16" t="str">
        <f>IFERROR(__xludf.DUMMYFUNCTION("""COMPUTED_VALUE"""),"")</f>
        <v/>
      </c>
    </row>
    <row r="9609">
      <c r="A9609" s="16" t="s">
        <v>87</v>
      </c>
      <c r="E9609" s="16" t="str">
        <f>IFERROR(__xludf.DUMMYFUNCTION("""COMPUTED_VALUE"""),"")</f>
        <v/>
      </c>
      <c r="G9609" s="18"/>
      <c r="H9609" s="16" t="s">
        <v>87</v>
      </c>
      <c r="I9609" s="16" t="s">
        <v>87</v>
      </c>
      <c r="J9609" s="19"/>
      <c r="L9609" s="16" t="str">
        <f>IFERROR(__xludf.DUMMYFUNCTION("""COMPUTED_VALUE"""),"")</f>
        <v/>
      </c>
      <c r="M9609" s="16" t="str">
        <f>IFERROR(__xludf.DUMMYFUNCTION("""COMPUTED_VALUE"""),"")</f>
        <v/>
      </c>
      <c r="U9609" s="16" t="s">
        <v>87</v>
      </c>
      <c r="V9609" s="16" t="str">
        <f>IFERROR(__xludf.DUMMYFUNCTION("""COMPUTED_VALUE"""),"")</f>
        <v/>
      </c>
      <c r="W9609" s="16" t="str">
        <f>IFERROR(__xludf.DUMMYFUNCTION("""COMPUTED_VALUE"""),"")</f>
        <v/>
      </c>
      <c r="X9609" s="16" t="str">
        <f>IFERROR(__xludf.DUMMYFUNCTION("""COMPUTED_VALUE"""),"")</f>
        <v/>
      </c>
      <c r="AC9609" s="16" t="str">
        <f>IFERROR(__xludf.DUMMYFUNCTION("""COMPUTED_VALUE"""),"")</f>
        <v/>
      </c>
    </row>
    <row r="9610">
      <c r="A9610" s="16" t="s">
        <v>87</v>
      </c>
      <c r="E9610" s="16" t="str">
        <f>IFERROR(__xludf.DUMMYFUNCTION("""COMPUTED_VALUE"""),"")</f>
        <v/>
      </c>
      <c r="G9610" s="18"/>
      <c r="H9610" s="16" t="s">
        <v>87</v>
      </c>
      <c r="I9610" s="16" t="s">
        <v>87</v>
      </c>
      <c r="J9610" s="19"/>
      <c r="L9610" s="16" t="str">
        <f>IFERROR(__xludf.DUMMYFUNCTION("""COMPUTED_VALUE"""),"")</f>
        <v/>
      </c>
      <c r="M9610" s="16" t="str">
        <f>IFERROR(__xludf.DUMMYFUNCTION("""COMPUTED_VALUE"""),"")</f>
        <v/>
      </c>
      <c r="U9610" s="16" t="s">
        <v>87</v>
      </c>
      <c r="V9610" s="16" t="str">
        <f>IFERROR(__xludf.DUMMYFUNCTION("""COMPUTED_VALUE"""),"")</f>
        <v/>
      </c>
      <c r="W9610" s="16" t="str">
        <f>IFERROR(__xludf.DUMMYFUNCTION("""COMPUTED_VALUE"""),"")</f>
        <v/>
      </c>
      <c r="X9610" s="16" t="str">
        <f>IFERROR(__xludf.DUMMYFUNCTION("""COMPUTED_VALUE"""),"")</f>
        <v/>
      </c>
      <c r="AC9610" s="16" t="str">
        <f>IFERROR(__xludf.DUMMYFUNCTION("""COMPUTED_VALUE"""),"")</f>
        <v/>
      </c>
    </row>
    <row r="9611">
      <c r="A9611" s="16" t="s">
        <v>87</v>
      </c>
      <c r="E9611" s="16" t="str">
        <f>IFERROR(__xludf.DUMMYFUNCTION("""COMPUTED_VALUE"""),"")</f>
        <v/>
      </c>
      <c r="G9611" s="18"/>
      <c r="H9611" s="16" t="s">
        <v>87</v>
      </c>
      <c r="I9611" s="16" t="s">
        <v>87</v>
      </c>
      <c r="J9611" s="19"/>
      <c r="L9611" s="16" t="str">
        <f>IFERROR(__xludf.DUMMYFUNCTION("""COMPUTED_VALUE"""),"")</f>
        <v/>
      </c>
      <c r="M9611" s="16" t="str">
        <f>IFERROR(__xludf.DUMMYFUNCTION("""COMPUTED_VALUE"""),"")</f>
        <v/>
      </c>
      <c r="U9611" s="16" t="s">
        <v>87</v>
      </c>
      <c r="V9611" s="16" t="str">
        <f>IFERROR(__xludf.DUMMYFUNCTION("""COMPUTED_VALUE"""),"")</f>
        <v/>
      </c>
      <c r="W9611" s="16" t="str">
        <f>IFERROR(__xludf.DUMMYFUNCTION("""COMPUTED_VALUE"""),"")</f>
        <v/>
      </c>
      <c r="X9611" s="16" t="str">
        <f>IFERROR(__xludf.DUMMYFUNCTION("""COMPUTED_VALUE"""),"")</f>
        <v/>
      </c>
      <c r="AC9611" s="16" t="str">
        <f>IFERROR(__xludf.DUMMYFUNCTION("""COMPUTED_VALUE"""),"")</f>
        <v/>
      </c>
    </row>
    <row r="9612">
      <c r="A9612" s="16" t="s">
        <v>87</v>
      </c>
      <c r="E9612" s="16" t="str">
        <f>IFERROR(__xludf.DUMMYFUNCTION("""COMPUTED_VALUE"""),"")</f>
        <v/>
      </c>
      <c r="G9612" s="18"/>
      <c r="H9612" s="16" t="s">
        <v>87</v>
      </c>
      <c r="I9612" s="16" t="s">
        <v>87</v>
      </c>
      <c r="J9612" s="19"/>
      <c r="L9612" s="16" t="str">
        <f>IFERROR(__xludf.DUMMYFUNCTION("""COMPUTED_VALUE"""),"")</f>
        <v/>
      </c>
      <c r="M9612" s="16" t="str">
        <f>IFERROR(__xludf.DUMMYFUNCTION("""COMPUTED_VALUE"""),"")</f>
        <v/>
      </c>
      <c r="U9612" s="16" t="s">
        <v>87</v>
      </c>
      <c r="V9612" s="16" t="str">
        <f>IFERROR(__xludf.DUMMYFUNCTION("""COMPUTED_VALUE"""),"")</f>
        <v/>
      </c>
      <c r="W9612" s="16" t="str">
        <f>IFERROR(__xludf.DUMMYFUNCTION("""COMPUTED_VALUE"""),"")</f>
        <v/>
      </c>
      <c r="X9612" s="16" t="str">
        <f>IFERROR(__xludf.DUMMYFUNCTION("""COMPUTED_VALUE"""),"")</f>
        <v/>
      </c>
      <c r="AC9612" s="16" t="str">
        <f>IFERROR(__xludf.DUMMYFUNCTION("""COMPUTED_VALUE"""),"")</f>
        <v/>
      </c>
    </row>
    <row r="9613">
      <c r="A9613" s="16" t="s">
        <v>87</v>
      </c>
      <c r="E9613" s="16" t="str">
        <f>IFERROR(__xludf.DUMMYFUNCTION("""COMPUTED_VALUE"""),"")</f>
        <v/>
      </c>
      <c r="G9613" s="18"/>
      <c r="H9613" s="16" t="s">
        <v>87</v>
      </c>
      <c r="I9613" s="16" t="s">
        <v>87</v>
      </c>
      <c r="J9613" s="19"/>
      <c r="L9613" s="16" t="str">
        <f>IFERROR(__xludf.DUMMYFUNCTION("""COMPUTED_VALUE"""),"")</f>
        <v/>
      </c>
      <c r="M9613" s="16" t="str">
        <f>IFERROR(__xludf.DUMMYFUNCTION("""COMPUTED_VALUE"""),"")</f>
        <v/>
      </c>
      <c r="U9613" s="16" t="s">
        <v>87</v>
      </c>
      <c r="V9613" s="16" t="str">
        <f>IFERROR(__xludf.DUMMYFUNCTION("""COMPUTED_VALUE"""),"")</f>
        <v/>
      </c>
      <c r="W9613" s="16" t="str">
        <f>IFERROR(__xludf.DUMMYFUNCTION("""COMPUTED_VALUE"""),"")</f>
        <v/>
      </c>
      <c r="X9613" s="16" t="str">
        <f>IFERROR(__xludf.DUMMYFUNCTION("""COMPUTED_VALUE"""),"")</f>
        <v/>
      </c>
      <c r="AC9613" s="16" t="str">
        <f>IFERROR(__xludf.DUMMYFUNCTION("""COMPUTED_VALUE"""),"")</f>
        <v/>
      </c>
    </row>
    <row r="9614">
      <c r="A9614" s="16" t="s">
        <v>87</v>
      </c>
      <c r="E9614" s="16" t="str">
        <f>IFERROR(__xludf.DUMMYFUNCTION("""COMPUTED_VALUE"""),"")</f>
        <v/>
      </c>
      <c r="G9614" s="18"/>
      <c r="H9614" s="16" t="s">
        <v>87</v>
      </c>
      <c r="I9614" s="16" t="s">
        <v>87</v>
      </c>
      <c r="J9614" s="19"/>
      <c r="L9614" s="16" t="str">
        <f>IFERROR(__xludf.DUMMYFUNCTION("""COMPUTED_VALUE"""),"")</f>
        <v/>
      </c>
      <c r="M9614" s="16" t="str">
        <f>IFERROR(__xludf.DUMMYFUNCTION("""COMPUTED_VALUE"""),"")</f>
        <v/>
      </c>
      <c r="U9614" s="16" t="s">
        <v>87</v>
      </c>
      <c r="V9614" s="16" t="str">
        <f>IFERROR(__xludf.DUMMYFUNCTION("""COMPUTED_VALUE"""),"")</f>
        <v/>
      </c>
      <c r="W9614" s="16" t="str">
        <f>IFERROR(__xludf.DUMMYFUNCTION("""COMPUTED_VALUE"""),"")</f>
        <v/>
      </c>
      <c r="X9614" s="16" t="str">
        <f>IFERROR(__xludf.DUMMYFUNCTION("""COMPUTED_VALUE"""),"")</f>
        <v/>
      </c>
      <c r="AC9614" s="16" t="str">
        <f>IFERROR(__xludf.DUMMYFUNCTION("""COMPUTED_VALUE"""),"")</f>
        <v/>
      </c>
    </row>
    <row r="9615">
      <c r="A9615" s="16" t="s">
        <v>87</v>
      </c>
      <c r="E9615" s="16" t="str">
        <f>IFERROR(__xludf.DUMMYFUNCTION("""COMPUTED_VALUE"""),"")</f>
        <v/>
      </c>
      <c r="G9615" s="18"/>
      <c r="H9615" s="16" t="s">
        <v>87</v>
      </c>
      <c r="I9615" s="16" t="s">
        <v>87</v>
      </c>
      <c r="J9615" s="19"/>
      <c r="L9615" s="16" t="str">
        <f>IFERROR(__xludf.DUMMYFUNCTION("""COMPUTED_VALUE"""),"")</f>
        <v/>
      </c>
      <c r="M9615" s="16" t="str">
        <f>IFERROR(__xludf.DUMMYFUNCTION("""COMPUTED_VALUE"""),"")</f>
        <v/>
      </c>
      <c r="U9615" s="16" t="s">
        <v>87</v>
      </c>
      <c r="V9615" s="16" t="str">
        <f>IFERROR(__xludf.DUMMYFUNCTION("""COMPUTED_VALUE"""),"")</f>
        <v/>
      </c>
      <c r="W9615" s="16" t="str">
        <f>IFERROR(__xludf.DUMMYFUNCTION("""COMPUTED_VALUE"""),"")</f>
        <v/>
      </c>
      <c r="X9615" s="16" t="str">
        <f>IFERROR(__xludf.DUMMYFUNCTION("""COMPUTED_VALUE"""),"")</f>
        <v/>
      </c>
      <c r="AC9615" s="16" t="str">
        <f>IFERROR(__xludf.DUMMYFUNCTION("""COMPUTED_VALUE"""),"")</f>
        <v/>
      </c>
    </row>
    <row r="9616">
      <c r="A9616" s="16" t="s">
        <v>87</v>
      </c>
      <c r="E9616" s="16" t="str">
        <f>IFERROR(__xludf.DUMMYFUNCTION("""COMPUTED_VALUE"""),"")</f>
        <v/>
      </c>
      <c r="G9616" s="18"/>
      <c r="H9616" s="16" t="s">
        <v>87</v>
      </c>
      <c r="I9616" s="16" t="s">
        <v>87</v>
      </c>
      <c r="J9616" s="19"/>
      <c r="L9616" s="16" t="str">
        <f>IFERROR(__xludf.DUMMYFUNCTION("""COMPUTED_VALUE"""),"")</f>
        <v/>
      </c>
      <c r="M9616" s="16" t="str">
        <f>IFERROR(__xludf.DUMMYFUNCTION("""COMPUTED_VALUE"""),"")</f>
        <v/>
      </c>
      <c r="U9616" s="16" t="s">
        <v>87</v>
      </c>
      <c r="V9616" s="16" t="str">
        <f>IFERROR(__xludf.DUMMYFUNCTION("""COMPUTED_VALUE"""),"")</f>
        <v/>
      </c>
      <c r="W9616" s="16" t="str">
        <f>IFERROR(__xludf.DUMMYFUNCTION("""COMPUTED_VALUE"""),"")</f>
        <v/>
      </c>
      <c r="X9616" s="16" t="str">
        <f>IFERROR(__xludf.DUMMYFUNCTION("""COMPUTED_VALUE"""),"")</f>
        <v/>
      </c>
      <c r="AC9616" s="16" t="str">
        <f>IFERROR(__xludf.DUMMYFUNCTION("""COMPUTED_VALUE"""),"")</f>
        <v/>
      </c>
    </row>
    <row r="9617">
      <c r="A9617" s="16" t="s">
        <v>87</v>
      </c>
      <c r="E9617" s="16" t="str">
        <f>IFERROR(__xludf.DUMMYFUNCTION("""COMPUTED_VALUE"""),"")</f>
        <v/>
      </c>
      <c r="G9617" s="18"/>
      <c r="H9617" s="16" t="s">
        <v>87</v>
      </c>
      <c r="I9617" s="16" t="s">
        <v>87</v>
      </c>
      <c r="J9617" s="19"/>
      <c r="L9617" s="16" t="str">
        <f>IFERROR(__xludf.DUMMYFUNCTION("""COMPUTED_VALUE"""),"")</f>
        <v/>
      </c>
      <c r="M9617" s="16" t="str">
        <f>IFERROR(__xludf.DUMMYFUNCTION("""COMPUTED_VALUE"""),"")</f>
        <v/>
      </c>
      <c r="U9617" s="16" t="s">
        <v>87</v>
      </c>
      <c r="V9617" s="16" t="str">
        <f>IFERROR(__xludf.DUMMYFUNCTION("""COMPUTED_VALUE"""),"")</f>
        <v/>
      </c>
      <c r="W9617" s="16" t="str">
        <f>IFERROR(__xludf.DUMMYFUNCTION("""COMPUTED_VALUE"""),"")</f>
        <v/>
      </c>
      <c r="X9617" s="16" t="str">
        <f>IFERROR(__xludf.DUMMYFUNCTION("""COMPUTED_VALUE"""),"")</f>
        <v/>
      </c>
      <c r="AC9617" s="16" t="str">
        <f>IFERROR(__xludf.DUMMYFUNCTION("""COMPUTED_VALUE"""),"")</f>
        <v/>
      </c>
    </row>
    <row r="9618">
      <c r="A9618" s="16" t="s">
        <v>87</v>
      </c>
      <c r="E9618" s="16" t="str">
        <f>IFERROR(__xludf.DUMMYFUNCTION("""COMPUTED_VALUE"""),"")</f>
        <v/>
      </c>
      <c r="G9618" s="18"/>
      <c r="H9618" s="16" t="s">
        <v>87</v>
      </c>
      <c r="I9618" s="16" t="s">
        <v>87</v>
      </c>
      <c r="J9618" s="19"/>
      <c r="L9618" s="16" t="str">
        <f>IFERROR(__xludf.DUMMYFUNCTION("""COMPUTED_VALUE"""),"")</f>
        <v/>
      </c>
      <c r="M9618" s="16" t="str">
        <f>IFERROR(__xludf.DUMMYFUNCTION("""COMPUTED_VALUE"""),"")</f>
        <v/>
      </c>
      <c r="U9618" s="16" t="s">
        <v>87</v>
      </c>
      <c r="V9618" s="16" t="str">
        <f>IFERROR(__xludf.DUMMYFUNCTION("""COMPUTED_VALUE"""),"")</f>
        <v/>
      </c>
      <c r="W9618" s="16" t="str">
        <f>IFERROR(__xludf.DUMMYFUNCTION("""COMPUTED_VALUE"""),"")</f>
        <v/>
      </c>
      <c r="X9618" s="16" t="str">
        <f>IFERROR(__xludf.DUMMYFUNCTION("""COMPUTED_VALUE"""),"")</f>
        <v/>
      </c>
      <c r="AC9618" s="16" t="str">
        <f>IFERROR(__xludf.DUMMYFUNCTION("""COMPUTED_VALUE"""),"")</f>
        <v/>
      </c>
    </row>
    <row r="9619">
      <c r="A9619" s="16" t="s">
        <v>87</v>
      </c>
      <c r="E9619" s="16" t="str">
        <f>IFERROR(__xludf.DUMMYFUNCTION("""COMPUTED_VALUE"""),"")</f>
        <v/>
      </c>
      <c r="G9619" s="18"/>
      <c r="H9619" s="16" t="s">
        <v>87</v>
      </c>
      <c r="I9619" s="16" t="s">
        <v>87</v>
      </c>
      <c r="J9619" s="19"/>
      <c r="L9619" s="16" t="str">
        <f>IFERROR(__xludf.DUMMYFUNCTION("""COMPUTED_VALUE"""),"")</f>
        <v/>
      </c>
      <c r="M9619" s="16" t="str">
        <f>IFERROR(__xludf.DUMMYFUNCTION("""COMPUTED_VALUE"""),"")</f>
        <v/>
      </c>
      <c r="U9619" s="16" t="s">
        <v>87</v>
      </c>
      <c r="V9619" s="16" t="str">
        <f>IFERROR(__xludf.DUMMYFUNCTION("""COMPUTED_VALUE"""),"")</f>
        <v/>
      </c>
      <c r="W9619" s="16" t="str">
        <f>IFERROR(__xludf.DUMMYFUNCTION("""COMPUTED_VALUE"""),"")</f>
        <v/>
      </c>
      <c r="X9619" s="16" t="str">
        <f>IFERROR(__xludf.DUMMYFUNCTION("""COMPUTED_VALUE"""),"")</f>
        <v/>
      </c>
      <c r="AC9619" s="16" t="str">
        <f>IFERROR(__xludf.DUMMYFUNCTION("""COMPUTED_VALUE"""),"")</f>
        <v/>
      </c>
    </row>
    <row r="9620">
      <c r="A9620" s="16" t="s">
        <v>87</v>
      </c>
      <c r="E9620" s="16" t="str">
        <f>IFERROR(__xludf.DUMMYFUNCTION("""COMPUTED_VALUE"""),"")</f>
        <v/>
      </c>
      <c r="G9620" s="18"/>
      <c r="H9620" s="16" t="s">
        <v>87</v>
      </c>
      <c r="I9620" s="16" t="s">
        <v>87</v>
      </c>
      <c r="J9620" s="19"/>
      <c r="L9620" s="16" t="str">
        <f>IFERROR(__xludf.DUMMYFUNCTION("""COMPUTED_VALUE"""),"")</f>
        <v/>
      </c>
      <c r="M9620" s="16" t="str">
        <f>IFERROR(__xludf.DUMMYFUNCTION("""COMPUTED_VALUE"""),"")</f>
        <v/>
      </c>
      <c r="U9620" s="16" t="s">
        <v>87</v>
      </c>
      <c r="V9620" s="16" t="str">
        <f>IFERROR(__xludf.DUMMYFUNCTION("""COMPUTED_VALUE"""),"")</f>
        <v/>
      </c>
      <c r="W9620" s="16" t="str">
        <f>IFERROR(__xludf.DUMMYFUNCTION("""COMPUTED_VALUE"""),"")</f>
        <v/>
      </c>
      <c r="X9620" s="16" t="str">
        <f>IFERROR(__xludf.DUMMYFUNCTION("""COMPUTED_VALUE"""),"")</f>
        <v/>
      </c>
      <c r="AC9620" s="16" t="str">
        <f>IFERROR(__xludf.DUMMYFUNCTION("""COMPUTED_VALUE"""),"")</f>
        <v/>
      </c>
    </row>
    <row r="9621">
      <c r="A9621" s="16" t="s">
        <v>87</v>
      </c>
      <c r="E9621" s="16" t="str">
        <f>IFERROR(__xludf.DUMMYFUNCTION("""COMPUTED_VALUE"""),"")</f>
        <v/>
      </c>
      <c r="G9621" s="18"/>
      <c r="H9621" s="16" t="s">
        <v>87</v>
      </c>
      <c r="I9621" s="16" t="s">
        <v>87</v>
      </c>
      <c r="J9621" s="19"/>
      <c r="L9621" s="16" t="str">
        <f>IFERROR(__xludf.DUMMYFUNCTION("""COMPUTED_VALUE"""),"")</f>
        <v/>
      </c>
      <c r="M9621" s="16" t="str">
        <f>IFERROR(__xludf.DUMMYFUNCTION("""COMPUTED_VALUE"""),"")</f>
        <v/>
      </c>
      <c r="U9621" s="16" t="s">
        <v>87</v>
      </c>
      <c r="V9621" s="16" t="str">
        <f>IFERROR(__xludf.DUMMYFUNCTION("""COMPUTED_VALUE"""),"")</f>
        <v/>
      </c>
      <c r="W9621" s="16" t="str">
        <f>IFERROR(__xludf.DUMMYFUNCTION("""COMPUTED_VALUE"""),"")</f>
        <v/>
      </c>
      <c r="X9621" s="16" t="str">
        <f>IFERROR(__xludf.DUMMYFUNCTION("""COMPUTED_VALUE"""),"")</f>
        <v/>
      </c>
      <c r="AC9621" s="16" t="str">
        <f>IFERROR(__xludf.DUMMYFUNCTION("""COMPUTED_VALUE"""),"")</f>
        <v/>
      </c>
    </row>
    <row r="9622">
      <c r="A9622" s="16" t="s">
        <v>87</v>
      </c>
      <c r="E9622" s="16" t="str">
        <f>IFERROR(__xludf.DUMMYFUNCTION("""COMPUTED_VALUE"""),"")</f>
        <v/>
      </c>
      <c r="G9622" s="18"/>
      <c r="H9622" s="16" t="s">
        <v>87</v>
      </c>
      <c r="I9622" s="16" t="s">
        <v>87</v>
      </c>
      <c r="J9622" s="19"/>
      <c r="L9622" s="16" t="str">
        <f>IFERROR(__xludf.DUMMYFUNCTION("""COMPUTED_VALUE"""),"")</f>
        <v/>
      </c>
      <c r="M9622" s="16" t="str">
        <f>IFERROR(__xludf.DUMMYFUNCTION("""COMPUTED_VALUE"""),"")</f>
        <v/>
      </c>
      <c r="U9622" s="16" t="s">
        <v>87</v>
      </c>
      <c r="V9622" s="16" t="str">
        <f>IFERROR(__xludf.DUMMYFUNCTION("""COMPUTED_VALUE"""),"")</f>
        <v/>
      </c>
      <c r="W9622" s="16" t="str">
        <f>IFERROR(__xludf.DUMMYFUNCTION("""COMPUTED_VALUE"""),"")</f>
        <v/>
      </c>
      <c r="X9622" s="16" t="str">
        <f>IFERROR(__xludf.DUMMYFUNCTION("""COMPUTED_VALUE"""),"")</f>
        <v/>
      </c>
      <c r="AC9622" s="16" t="str">
        <f>IFERROR(__xludf.DUMMYFUNCTION("""COMPUTED_VALUE"""),"")</f>
        <v/>
      </c>
    </row>
    <row r="9623">
      <c r="A9623" s="16" t="s">
        <v>87</v>
      </c>
      <c r="E9623" s="16" t="str">
        <f>IFERROR(__xludf.DUMMYFUNCTION("""COMPUTED_VALUE"""),"")</f>
        <v/>
      </c>
      <c r="G9623" s="18"/>
      <c r="H9623" s="16" t="s">
        <v>87</v>
      </c>
      <c r="I9623" s="16" t="s">
        <v>87</v>
      </c>
      <c r="J9623" s="19"/>
      <c r="L9623" s="16" t="str">
        <f>IFERROR(__xludf.DUMMYFUNCTION("""COMPUTED_VALUE"""),"")</f>
        <v/>
      </c>
      <c r="M9623" s="16" t="str">
        <f>IFERROR(__xludf.DUMMYFUNCTION("""COMPUTED_VALUE"""),"")</f>
        <v/>
      </c>
      <c r="U9623" s="16" t="s">
        <v>87</v>
      </c>
      <c r="V9623" s="16" t="str">
        <f>IFERROR(__xludf.DUMMYFUNCTION("""COMPUTED_VALUE"""),"")</f>
        <v/>
      </c>
      <c r="W9623" s="16" t="str">
        <f>IFERROR(__xludf.DUMMYFUNCTION("""COMPUTED_VALUE"""),"")</f>
        <v/>
      </c>
      <c r="X9623" s="16" t="str">
        <f>IFERROR(__xludf.DUMMYFUNCTION("""COMPUTED_VALUE"""),"")</f>
        <v/>
      </c>
      <c r="AC9623" s="16" t="str">
        <f>IFERROR(__xludf.DUMMYFUNCTION("""COMPUTED_VALUE"""),"")</f>
        <v/>
      </c>
    </row>
    <row r="9624">
      <c r="A9624" s="16" t="s">
        <v>87</v>
      </c>
      <c r="E9624" s="16" t="str">
        <f>IFERROR(__xludf.DUMMYFUNCTION("""COMPUTED_VALUE"""),"")</f>
        <v/>
      </c>
      <c r="G9624" s="18"/>
      <c r="H9624" s="16" t="s">
        <v>87</v>
      </c>
      <c r="I9624" s="16" t="s">
        <v>87</v>
      </c>
      <c r="J9624" s="19"/>
      <c r="L9624" s="16" t="str">
        <f>IFERROR(__xludf.DUMMYFUNCTION("""COMPUTED_VALUE"""),"")</f>
        <v/>
      </c>
      <c r="M9624" s="16" t="str">
        <f>IFERROR(__xludf.DUMMYFUNCTION("""COMPUTED_VALUE"""),"")</f>
        <v/>
      </c>
      <c r="U9624" s="16" t="s">
        <v>87</v>
      </c>
      <c r="V9624" s="16" t="str">
        <f>IFERROR(__xludf.DUMMYFUNCTION("""COMPUTED_VALUE"""),"")</f>
        <v/>
      </c>
      <c r="W9624" s="16" t="str">
        <f>IFERROR(__xludf.DUMMYFUNCTION("""COMPUTED_VALUE"""),"")</f>
        <v/>
      </c>
      <c r="X9624" s="16" t="str">
        <f>IFERROR(__xludf.DUMMYFUNCTION("""COMPUTED_VALUE"""),"")</f>
        <v/>
      </c>
      <c r="AC9624" s="16" t="str">
        <f>IFERROR(__xludf.DUMMYFUNCTION("""COMPUTED_VALUE"""),"")</f>
        <v/>
      </c>
    </row>
    <row r="9625">
      <c r="A9625" s="16" t="s">
        <v>87</v>
      </c>
      <c r="E9625" s="16" t="str">
        <f>IFERROR(__xludf.DUMMYFUNCTION("""COMPUTED_VALUE"""),"")</f>
        <v/>
      </c>
      <c r="G9625" s="18"/>
      <c r="H9625" s="16" t="s">
        <v>87</v>
      </c>
      <c r="I9625" s="16" t="s">
        <v>87</v>
      </c>
      <c r="J9625" s="19"/>
      <c r="L9625" s="16" t="str">
        <f>IFERROR(__xludf.DUMMYFUNCTION("""COMPUTED_VALUE"""),"")</f>
        <v/>
      </c>
      <c r="M9625" s="16" t="str">
        <f>IFERROR(__xludf.DUMMYFUNCTION("""COMPUTED_VALUE"""),"")</f>
        <v/>
      </c>
      <c r="U9625" s="16" t="s">
        <v>87</v>
      </c>
      <c r="V9625" s="16" t="str">
        <f>IFERROR(__xludf.DUMMYFUNCTION("""COMPUTED_VALUE"""),"")</f>
        <v/>
      </c>
      <c r="W9625" s="16" t="str">
        <f>IFERROR(__xludf.DUMMYFUNCTION("""COMPUTED_VALUE"""),"")</f>
        <v/>
      </c>
      <c r="X9625" s="16" t="str">
        <f>IFERROR(__xludf.DUMMYFUNCTION("""COMPUTED_VALUE"""),"")</f>
        <v/>
      </c>
      <c r="AC9625" s="16" t="str">
        <f>IFERROR(__xludf.DUMMYFUNCTION("""COMPUTED_VALUE"""),"")</f>
        <v/>
      </c>
    </row>
    <row r="9626">
      <c r="A9626" s="16" t="s">
        <v>87</v>
      </c>
      <c r="E9626" s="16" t="str">
        <f>IFERROR(__xludf.DUMMYFUNCTION("""COMPUTED_VALUE"""),"")</f>
        <v/>
      </c>
      <c r="G9626" s="18"/>
      <c r="H9626" s="16" t="s">
        <v>87</v>
      </c>
      <c r="I9626" s="16" t="s">
        <v>87</v>
      </c>
      <c r="J9626" s="19"/>
      <c r="L9626" s="16" t="str">
        <f>IFERROR(__xludf.DUMMYFUNCTION("""COMPUTED_VALUE"""),"")</f>
        <v/>
      </c>
      <c r="M9626" s="16" t="str">
        <f>IFERROR(__xludf.DUMMYFUNCTION("""COMPUTED_VALUE"""),"")</f>
        <v/>
      </c>
      <c r="U9626" s="16" t="s">
        <v>87</v>
      </c>
      <c r="V9626" s="16" t="str">
        <f>IFERROR(__xludf.DUMMYFUNCTION("""COMPUTED_VALUE"""),"")</f>
        <v/>
      </c>
      <c r="W9626" s="16" t="str">
        <f>IFERROR(__xludf.DUMMYFUNCTION("""COMPUTED_VALUE"""),"")</f>
        <v/>
      </c>
      <c r="X9626" s="16" t="str">
        <f>IFERROR(__xludf.DUMMYFUNCTION("""COMPUTED_VALUE"""),"")</f>
        <v/>
      </c>
      <c r="AC9626" s="16" t="str">
        <f>IFERROR(__xludf.DUMMYFUNCTION("""COMPUTED_VALUE"""),"")</f>
        <v/>
      </c>
    </row>
    <row r="9627">
      <c r="A9627" s="16" t="s">
        <v>87</v>
      </c>
      <c r="E9627" s="16" t="str">
        <f>IFERROR(__xludf.DUMMYFUNCTION("""COMPUTED_VALUE"""),"")</f>
        <v/>
      </c>
      <c r="G9627" s="18"/>
      <c r="H9627" s="16" t="s">
        <v>87</v>
      </c>
      <c r="I9627" s="16" t="s">
        <v>87</v>
      </c>
      <c r="J9627" s="19"/>
      <c r="L9627" s="16" t="str">
        <f>IFERROR(__xludf.DUMMYFUNCTION("""COMPUTED_VALUE"""),"")</f>
        <v/>
      </c>
      <c r="M9627" s="16" t="str">
        <f>IFERROR(__xludf.DUMMYFUNCTION("""COMPUTED_VALUE"""),"")</f>
        <v/>
      </c>
      <c r="U9627" s="16" t="s">
        <v>87</v>
      </c>
      <c r="V9627" s="16" t="str">
        <f>IFERROR(__xludf.DUMMYFUNCTION("""COMPUTED_VALUE"""),"")</f>
        <v/>
      </c>
      <c r="W9627" s="16" t="str">
        <f>IFERROR(__xludf.DUMMYFUNCTION("""COMPUTED_VALUE"""),"")</f>
        <v/>
      </c>
      <c r="X9627" s="16" t="str">
        <f>IFERROR(__xludf.DUMMYFUNCTION("""COMPUTED_VALUE"""),"")</f>
        <v/>
      </c>
      <c r="AC9627" s="16" t="str">
        <f>IFERROR(__xludf.DUMMYFUNCTION("""COMPUTED_VALUE"""),"")</f>
        <v/>
      </c>
    </row>
    <row r="9628">
      <c r="A9628" s="16" t="s">
        <v>87</v>
      </c>
      <c r="E9628" s="16" t="str">
        <f>IFERROR(__xludf.DUMMYFUNCTION("""COMPUTED_VALUE"""),"")</f>
        <v/>
      </c>
      <c r="G9628" s="18"/>
      <c r="H9628" s="16" t="s">
        <v>87</v>
      </c>
      <c r="I9628" s="16" t="s">
        <v>87</v>
      </c>
      <c r="J9628" s="19"/>
      <c r="L9628" s="16" t="str">
        <f>IFERROR(__xludf.DUMMYFUNCTION("""COMPUTED_VALUE"""),"")</f>
        <v/>
      </c>
      <c r="M9628" s="16" t="str">
        <f>IFERROR(__xludf.DUMMYFUNCTION("""COMPUTED_VALUE"""),"")</f>
        <v/>
      </c>
      <c r="U9628" s="16" t="s">
        <v>87</v>
      </c>
      <c r="V9628" s="16" t="str">
        <f>IFERROR(__xludf.DUMMYFUNCTION("""COMPUTED_VALUE"""),"")</f>
        <v/>
      </c>
      <c r="W9628" s="16" t="str">
        <f>IFERROR(__xludf.DUMMYFUNCTION("""COMPUTED_VALUE"""),"")</f>
        <v/>
      </c>
      <c r="X9628" s="16" t="str">
        <f>IFERROR(__xludf.DUMMYFUNCTION("""COMPUTED_VALUE"""),"")</f>
        <v/>
      </c>
      <c r="AC9628" s="16" t="str">
        <f>IFERROR(__xludf.DUMMYFUNCTION("""COMPUTED_VALUE"""),"")</f>
        <v/>
      </c>
    </row>
    <row r="9629">
      <c r="A9629" s="16" t="s">
        <v>87</v>
      </c>
      <c r="E9629" s="16" t="str">
        <f>IFERROR(__xludf.DUMMYFUNCTION("""COMPUTED_VALUE"""),"")</f>
        <v/>
      </c>
      <c r="G9629" s="18"/>
      <c r="H9629" s="16" t="s">
        <v>87</v>
      </c>
      <c r="I9629" s="16" t="s">
        <v>87</v>
      </c>
      <c r="J9629" s="19"/>
      <c r="L9629" s="16" t="str">
        <f>IFERROR(__xludf.DUMMYFUNCTION("""COMPUTED_VALUE"""),"")</f>
        <v/>
      </c>
      <c r="M9629" s="16" t="str">
        <f>IFERROR(__xludf.DUMMYFUNCTION("""COMPUTED_VALUE"""),"")</f>
        <v/>
      </c>
      <c r="U9629" s="16" t="s">
        <v>87</v>
      </c>
      <c r="V9629" s="16" t="str">
        <f>IFERROR(__xludf.DUMMYFUNCTION("""COMPUTED_VALUE"""),"")</f>
        <v/>
      </c>
      <c r="W9629" s="16" t="str">
        <f>IFERROR(__xludf.DUMMYFUNCTION("""COMPUTED_VALUE"""),"")</f>
        <v/>
      </c>
      <c r="X9629" s="16" t="str">
        <f>IFERROR(__xludf.DUMMYFUNCTION("""COMPUTED_VALUE"""),"")</f>
        <v/>
      </c>
      <c r="AC9629" s="16" t="str">
        <f>IFERROR(__xludf.DUMMYFUNCTION("""COMPUTED_VALUE"""),"")</f>
        <v/>
      </c>
    </row>
    <row r="9630">
      <c r="A9630" s="16" t="s">
        <v>87</v>
      </c>
      <c r="E9630" s="16" t="str">
        <f>IFERROR(__xludf.DUMMYFUNCTION("""COMPUTED_VALUE"""),"")</f>
        <v/>
      </c>
      <c r="G9630" s="18"/>
      <c r="H9630" s="16" t="s">
        <v>87</v>
      </c>
      <c r="I9630" s="16" t="s">
        <v>87</v>
      </c>
      <c r="J9630" s="19"/>
      <c r="L9630" s="16" t="str">
        <f>IFERROR(__xludf.DUMMYFUNCTION("""COMPUTED_VALUE"""),"")</f>
        <v/>
      </c>
      <c r="M9630" s="16" t="str">
        <f>IFERROR(__xludf.DUMMYFUNCTION("""COMPUTED_VALUE"""),"")</f>
        <v/>
      </c>
      <c r="U9630" s="16" t="s">
        <v>87</v>
      </c>
      <c r="V9630" s="16" t="str">
        <f>IFERROR(__xludf.DUMMYFUNCTION("""COMPUTED_VALUE"""),"")</f>
        <v/>
      </c>
      <c r="W9630" s="16" t="str">
        <f>IFERROR(__xludf.DUMMYFUNCTION("""COMPUTED_VALUE"""),"")</f>
        <v/>
      </c>
      <c r="X9630" s="16" t="str">
        <f>IFERROR(__xludf.DUMMYFUNCTION("""COMPUTED_VALUE"""),"")</f>
        <v/>
      </c>
      <c r="AC9630" s="16" t="str">
        <f>IFERROR(__xludf.DUMMYFUNCTION("""COMPUTED_VALUE"""),"")</f>
        <v/>
      </c>
    </row>
    <row r="9631">
      <c r="A9631" s="16" t="s">
        <v>87</v>
      </c>
      <c r="E9631" s="16" t="str">
        <f>IFERROR(__xludf.DUMMYFUNCTION("""COMPUTED_VALUE"""),"")</f>
        <v/>
      </c>
      <c r="G9631" s="18"/>
      <c r="H9631" s="16" t="s">
        <v>87</v>
      </c>
      <c r="I9631" s="16" t="s">
        <v>87</v>
      </c>
      <c r="J9631" s="19"/>
      <c r="L9631" s="16" t="str">
        <f>IFERROR(__xludf.DUMMYFUNCTION("""COMPUTED_VALUE"""),"")</f>
        <v/>
      </c>
      <c r="M9631" s="16" t="str">
        <f>IFERROR(__xludf.DUMMYFUNCTION("""COMPUTED_VALUE"""),"")</f>
        <v/>
      </c>
      <c r="U9631" s="16" t="s">
        <v>87</v>
      </c>
      <c r="V9631" s="16" t="str">
        <f>IFERROR(__xludf.DUMMYFUNCTION("""COMPUTED_VALUE"""),"")</f>
        <v/>
      </c>
      <c r="W9631" s="16" t="str">
        <f>IFERROR(__xludf.DUMMYFUNCTION("""COMPUTED_VALUE"""),"")</f>
        <v/>
      </c>
      <c r="X9631" s="16" t="str">
        <f>IFERROR(__xludf.DUMMYFUNCTION("""COMPUTED_VALUE"""),"")</f>
        <v/>
      </c>
      <c r="AC9631" s="16" t="str">
        <f>IFERROR(__xludf.DUMMYFUNCTION("""COMPUTED_VALUE"""),"")</f>
        <v/>
      </c>
    </row>
    <row r="9632">
      <c r="A9632" s="16" t="s">
        <v>87</v>
      </c>
      <c r="E9632" s="16" t="str">
        <f>IFERROR(__xludf.DUMMYFUNCTION("""COMPUTED_VALUE"""),"")</f>
        <v/>
      </c>
      <c r="G9632" s="18"/>
      <c r="H9632" s="16" t="s">
        <v>87</v>
      </c>
      <c r="I9632" s="16" t="s">
        <v>87</v>
      </c>
      <c r="J9632" s="19"/>
      <c r="L9632" s="16" t="str">
        <f>IFERROR(__xludf.DUMMYFUNCTION("""COMPUTED_VALUE"""),"")</f>
        <v/>
      </c>
      <c r="M9632" s="16" t="str">
        <f>IFERROR(__xludf.DUMMYFUNCTION("""COMPUTED_VALUE"""),"")</f>
        <v/>
      </c>
      <c r="U9632" s="16" t="s">
        <v>87</v>
      </c>
      <c r="V9632" s="16" t="str">
        <f>IFERROR(__xludf.DUMMYFUNCTION("""COMPUTED_VALUE"""),"")</f>
        <v/>
      </c>
      <c r="W9632" s="16" t="str">
        <f>IFERROR(__xludf.DUMMYFUNCTION("""COMPUTED_VALUE"""),"")</f>
        <v/>
      </c>
      <c r="X9632" s="16" t="str">
        <f>IFERROR(__xludf.DUMMYFUNCTION("""COMPUTED_VALUE"""),"")</f>
        <v/>
      </c>
      <c r="AC9632" s="16" t="str">
        <f>IFERROR(__xludf.DUMMYFUNCTION("""COMPUTED_VALUE"""),"")</f>
        <v/>
      </c>
    </row>
    <row r="9633">
      <c r="A9633" s="16" t="s">
        <v>87</v>
      </c>
      <c r="E9633" s="16" t="str">
        <f>IFERROR(__xludf.DUMMYFUNCTION("""COMPUTED_VALUE"""),"")</f>
        <v/>
      </c>
      <c r="G9633" s="18"/>
      <c r="H9633" s="16" t="s">
        <v>87</v>
      </c>
      <c r="I9633" s="16" t="s">
        <v>87</v>
      </c>
      <c r="J9633" s="19"/>
      <c r="L9633" s="16" t="str">
        <f>IFERROR(__xludf.DUMMYFUNCTION("""COMPUTED_VALUE"""),"")</f>
        <v/>
      </c>
      <c r="M9633" s="16" t="str">
        <f>IFERROR(__xludf.DUMMYFUNCTION("""COMPUTED_VALUE"""),"")</f>
        <v/>
      </c>
      <c r="U9633" s="16" t="s">
        <v>87</v>
      </c>
      <c r="V9633" s="16" t="str">
        <f>IFERROR(__xludf.DUMMYFUNCTION("""COMPUTED_VALUE"""),"")</f>
        <v/>
      </c>
      <c r="W9633" s="16" t="str">
        <f>IFERROR(__xludf.DUMMYFUNCTION("""COMPUTED_VALUE"""),"")</f>
        <v/>
      </c>
      <c r="X9633" s="16" t="str">
        <f>IFERROR(__xludf.DUMMYFUNCTION("""COMPUTED_VALUE"""),"")</f>
        <v/>
      </c>
      <c r="AC9633" s="16" t="str">
        <f>IFERROR(__xludf.DUMMYFUNCTION("""COMPUTED_VALUE"""),"")</f>
        <v/>
      </c>
    </row>
    <row r="9634">
      <c r="A9634" s="16" t="s">
        <v>87</v>
      </c>
      <c r="E9634" s="16" t="str">
        <f>IFERROR(__xludf.DUMMYFUNCTION("""COMPUTED_VALUE"""),"")</f>
        <v/>
      </c>
      <c r="G9634" s="18"/>
      <c r="H9634" s="16" t="s">
        <v>87</v>
      </c>
      <c r="I9634" s="16" t="s">
        <v>87</v>
      </c>
      <c r="J9634" s="19"/>
      <c r="L9634" s="16" t="str">
        <f>IFERROR(__xludf.DUMMYFUNCTION("""COMPUTED_VALUE"""),"")</f>
        <v/>
      </c>
      <c r="M9634" s="16" t="str">
        <f>IFERROR(__xludf.DUMMYFUNCTION("""COMPUTED_VALUE"""),"")</f>
        <v/>
      </c>
      <c r="U9634" s="16" t="s">
        <v>87</v>
      </c>
      <c r="V9634" s="16" t="str">
        <f>IFERROR(__xludf.DUMMYFUNCTION("""COMPUTED_VALUE"""),"")</f>
        <v/>
      </c>
      <c r="W9634" s="16" t="str">
        <f>IFERROR(__xludf.DUMMYFUNCTION("""COMPUTED_VALUE"""),"")</f>
        <v/>
      </c>
      <c r="X9634" s="16" t="str">
        <f>IFERROR(__xludf.DUMMYFUNCTION("""COMPUTED_VALUE"""),"")</f>
        <v/>
      </c>
      <c r="AC9634" s="16" t="str">
        <f>IFERROR(__xludf.DUMMYFUNCTION("""COMPUTED_VALUE"""),"")</f>
        <v/>
      </c>
    </row>
    <row r="9635">
      <c r="A9635" s="16" t="s">
        <v>87</v>
      </c>
      <c r="E9635" s="16" t="str">
        <f>IFERROR(__xludf.DUMMYFUNCTION("""COMPUTED_VALUE"""),"")</f>
        <v/>
      </c>
      <c r="G9635" s="18"/>
      <c r="H9635" s="16" t="s">
        <v>87</v>
      </c>
      <c r="I9635" s="16" t="s">
        <v>87</v>
      </c>
      <c r="J9635" s="19"/>
      <c r="L9635" s="16" t="str">
        <f>IFERROR(__xludf.DUMMYFUNCTION("""COMPUTED_VALUE"""),"")</f>
        <v/>
      </c>
      <c r="M9635" s="16" t="str">
        <f>IFERROR(__xludf.DUMMYFUNCTION("""COMPUTED_VALUE"""),"")</f>
        <v/>
      </c>
      <c r="U9635" s="16" t="s">
        <v>87</v>
      </c>
      <c r="V9635" s="16" t="str">
        <f>IFERROR(__xludf.DUMMYFUNCTION("""COMPUTED_VALUE"""),"")</f>
        <v/>
      </c>
      <c r="W9635" s="16" t="str">
        <f>IFERROR(__xludf.DUMMYFUNCTION("""COMPUTED_VALUE"""),"")</f>
        <v/>
      </c>
      <c r="X9635" s="16" t="str">
        <f>IFERROR(__xludf.DUMMYFUNCTION("""COMPUTED_VALUE"""),"")</f>
        <v/>
      </c>
      <c r="AC9635" s="16" t="str">
        <f>IFERROR(__xludf.DUMMYFUNCTION("""COMPUTED_VALUE"""),"")</f>
        <v/>
      </c>
    </row>
    <row r="9636">
      <c r="A9636" s="16" t="s">
        <v>87</v>
      </c>
      <c r="E9636" s="16" t="str">
        <f>IFERROR(__xludf.DUMMYFUNCTION("""COMPUTED_VALUE"""),"")</f>
        <v/>
      </c>
      <c r="G9636" s="18"/>
      <c r="H9636" s="16" t="s">
        <v>87</v>
      </c>
      <c r="I9636" s="16" t="s">
        <v>87</v>
      </c>
      <c r="J9636" s="19"/>
      <c r="L9636" s="16" t="str">
        <f>IFERROR(__xludf.DUMMYFUNCTION("""COMPUTED_VALUE"""),"")</f>
        <v/>
      </c>
      <c r="M9636" s="16" t="str">
        <f>IFERROR(__xludf.DUMMYFUNCTION("""COMPUTED_VALUE"""),"")</f>
        <v/>
      </c>
      <c r="U9636" s="16" t="s">
        <v>87</v>
      </c>
      <c r="V9636" s="16" t="str">
        <f>IFERROR(__xludf.DUMMYFUNCTION("""COMPUTED_VALUE"""),"")</f>
        <v/>
      </c>
      <c r="W9636" s="16" t="str">
        <f>IFERROR(__xludf.DUMMYFUNCTION("""COMPUTED_VALUE"""),"")</f>
        <v/>
      </c>
      <c r="X9636" s="16" t="str">
        <f>IFERROR(__xludf.DUMMYFUNCTION("""COMPUTED_VALUE"""),"")</f>
        <v/>
      </c>
      <c r="AC9636" s="16" t="str">
        <f>IFERROR(__xludf.DUMMYFUNCTION("""COMPUTED_VALUE"""),"")</f>
        <v/>
      </c>
    </row>
    <row r="9637">
      <c r="A9637" s="16" t="s">
        <v>87</v>
      </c>
      <c r="E9637" s="16" t="str">
        <f>IFERROR(__xludf.DUMMYFUNCTION("""COMPUTED_VALUE"""),"")</f>
        <v/>
      </c>
      <c r="G9637" s="18"/>
      <c r="H9637" s="16" t="s">
        <v>87</v>
      </c>
      <c r="I9637" s="16" t="s">
        <v>87</v>
      </c>
      <c r="J9637" s="19"/>
      <c r="L9637" s="16" t="str">
        <f>IFERROR(__xludf.DUMMYFUNCTION("""COMPUTED_VALUE"""),"")</f>
        <v/>
      </c>
      <c r="M9637" s="16" t="str">
        <f>IFERROR(__xludf.DUMMYFUNCTION("""COMPUTED_VALUE"""),"")</f>
        <v/>
      </c>
      <c r="U9637" s="16" t="s">
        <v>87</v>
      </c>
      <c r="V9637" s="16" t="str">
        <f>IFERROR(__xludf.DUMMYFUNCTION("""COMPUTED_VALUE"""),"")</f>
        <v/>
      </c>
      <c r="W9637" s="16" t="str">
        <f>IFERROR(__xludf.DUMMYFUNCTION("""COMPUTED_VALUE"""),"")</f>
        <v/>
      </c>
      <c r="X9637" s="16" t="str">
        <f>IFERROR(__xludf.DUMMYFUNCTION("""COMPUTED_VALUE"""),"")</f>
        <v/>
      </c>
      <c r="AC9637" s="16" t="str">
        <f>IFERROR(__xludf.DUMMYFUNCTION("""COMPUTED_VALUE"""),"")</f>
        <v/>
      </c>
    </row>
    <row r="9638">
      <c r="A9638" s="16" t="s">
        <v>87</v>
      </c>
      <c r="E9638" s="16" t="str">
        <f>IFERROR(__xludf.DUMMYFUNCTION("""COMPUTED_VALUE"""),"")</f>
        <v/>
      </c>
      <c r="G9638" s="18"/>
      <c r="H9638" s="16" t="s">
        <v>87</v>
      </c>
      <c r="I9638" s="16" t="s">
        <v>87</v>
      </c>
      <c r="J9638" s="19"/>
      <c r="L9638" s="16" t="str">
        <f>IFERROR(__xludf.DUMMYFUNCTION("""COMPUTED_VALUE"""),"")</f>
        <v/>
      </c>
      <c r="M9638" s="16" t="str">
        <f>IFERROR(__xludf.DUMMYFUNCTION("""COMPUTED_VALUE"""),"")</f>
        <v/>
      </c>
      <c r="U9638" s="16" t="s">
        <v>87</v>
      </c>
      <c r="V9638" s="16" t="str">
        <f>IFERROR(__xludf.DUMMYFUNCTION("""COMPUTED_VALUE"""),"")</f>
        <v/>
      </c>
      <c r="W9638" s="16" t="str">
        <f>IFERROR(__xludf.DUMMYFUNCTION("""COMPUTED_VALUE"""),"")</f>
        <v/>
      </c>
      <c r="X9638" s="16" t="str">
        <f>IFERROR(__xludf.DUMMYFUNCTION("""COMPUTED_VALUE"""),"")</f>
        <v/>
      </c>
      <c r="AC9638" s="16" t="str">
        <f>IFERROR(__xludf.DUMMYFUNCTION("""COMPUTED_VALUE"""),"")</f>
        <v/>
      </c>
    </row>
    <row r="9639">
      <c r="A9639" s="16" t="s">
        <v>87</v>
      </c>
      <c r="E9639" s="16" t="str">
        <f>IFERROR(__xludf.DUMMYFUNCTION("""COMPUTED_VALUE"""),"")</f>
        <v/>
      </c>
      <c r="G9639" s="18"/>
      <c r="H9639" s="16" t="s">
        <v>87</v>
      </c>
      <c r="I9639" s="16" t="s">
        <v>87</v>
      </c>
      <c r="J9639" s="19"/>
      <c r="L9639" s="16" t="str">
        <f>IFERROR(__xludf.DUMMYFUNCTION("""COMPUTED_VALUE"""),"")</f>
        <v/>
      </c>
      <c r="M9639" s="16" t="str">
        <f>IFERROR(__xludf.DUMMYFUNCTION("""COMPUTED_VALUE"""),"")</f>
        <v/>
      </c>
      <c r="U9639" s="16" t="s">
        <v>87</v>
      </c>
      <c r="V9639" s="16" t="str">
        <f>IFERROR(__xludf.DUMMYFUNCTION("""COMPUTED_VALUE"""),"")</f>
        <v/>
      </c>
      <c r="W9639" s="16" t="str">
        <f>IFERROR(__xludf.DUMMYFUNCTION("""COMPUTED_VALUE"""),"")</f>
        <v/>
      </c>
      <c r="X9639" s="16" t="str">
        <f>IFERROR(__xludf.DUMMYFUNCTION("""COMPUTED_VALUE"""),"")</f>
        <v/>
      </c>
      <c r="AC9639" s="16" t="str">
        <f>IFERROR(__xludf.DUMMYFUNCTION("""COMPUTED_VALUE"""),"")</f>
        <v/>
      </c>
    </row>
    <row r="9640">
      <c r="A9640" s="16" t="s">
        <v>87</v>
      </c>
      <c r="E9640" s="16" t="str">
        <f>IFERROR(__xludf.DUMMYFUNCTION("""COMPUTED_VALUE"""),"")</f>
        <v/>
      </c>
      <c r="G9640" s="18"/>
      <c r="H9640" s="16" t="s">
        <v>87</v>
      </c>
      <c r="I9640" s="16" t="s">
        <v>87</v>
      </c>
      <c r="J9640" s="19"/>
      <c r="L9640" s="16" t="str">
        <f>IFERROR(__xludf.DUMMYFUNCTION("""COMPUTED_VALUE"""),"")</f>
        <v/>
      </c>
      <c r="M9640" s="16" t="str">
        <f>IFERROR(__xludf.DUMMYFUNCTION("""COMPUTED_VALUE"""),"")</f>
        <v/>
      </c>
      <c r="U9640" s="16" t="s">
        <v>87</v>
      </c>
      <c r="V9640" s="16" t="str">
        <f>IFERROR(__xludf.DUMMYFUNCTION("""COMPUTED_VALUE"""),"")</f>
        <v/>
      </c>
      <c r="W9640" s="16" t="str">
        <f>IFERROR(__xludf.DUMMYFUNCTION("""COMPUTED_VALUE"""),"")</f>
        <v/>
      </c>
      <c r="X9640" s="16" t="str">
        <f>IFERROR(__xludf.DUMMYFUNCTION("""COMPUTED_VALUE"""),"")</f>
        <v/>
      </c>
      <c r="AC9640" s="16" t="str">
        <f>IFERROR(__xludf.DUMMYFUNCTION("""COMPUTED_VALUE"""),"")</f>
        <v/>
      </c>
    </row>
    <row r="9641">
      <c r="A9641" s="16" t="s">
        <v>87</v>
      </c>
      <c r="E9641" s="16" t="str">
        <f>IFERROR(__xludf.DUMMYFUNCTION("""COMPUTED_VALUE"""),"")</f>
        <v/>
      </c>
      <c r="G9641" s="18"/>
      <c r="H9641" s="16" t="s">
        <v>87</v>
      </c>
      <c r="I9641" s="16" t="s">
        <v>87</v>
      </c>
      <c r="J9641" s="19"/>
      <c r="L9641" s="16" t="str">
        <f>IFERROR(__xludf.DUMMYFUNCTION("""COMPUTED_VALUE"""),"")</f>
        <v/>
      </c>
      <c r="M9641" s="16" t="str">
        <f>IFERROR(__xludf.DUMMYFUNCTION("""COMPUTED_VALUE"""),"")</f>
        <v/>
      </c>
      <c r="U9641" s="16" t="s">
        <v>87</v>
      </c>
      <c r="V9641" s="16" t="str">
        <f>IFERROR(__xludf.DUMMYFUNCTION("""COMPUTED_VALUE"""),"")</f>
        <v/>
      </c>
      <c r="W9641" s="16" t="str">
        <f>IFERROR(__xludf.DUMMYFUNCTION("""COMPUTED_VALUE"""),"")</f>
        <v/>
      </c>
      <c r="X9641" s="16" t="str">
        <f>IFERROR(__xludf.DUMMYFUNCTION("""COMPUTED_VALUE"""),"")</f>
        <v/>
      </c>
      <c r="AC9641" s="16" t="str">
        <f>IFERROR(__xludf.DUMMYFUNCTION("""COMPUTED_VALUE"""),"")</f>
        <v/>
      </c>
    </row>
    <row r="9642">
      <c r="A9642" s="16" t="s">
        <v>87</v>
      </c>
      <c r="E9642" s="16" t="str">
        <f>IFERROR(__xludf.DUMMYFUNCTION("""COMPUTED_VALUE"""),"")</f>
        <v/>
      </c>
      <c r="G9642" s="18"/>
      <c r="H9642" s="16" t="s">
        <v>87</v>
      </c>
      <c r="I9642" s="16" t="s">
        <v>87</v>
      </c>
      <c r="J9642" s="19"/>
      <c r="L9642" s="16" t="str">
        <f>IFERROR(__xludf.DUMMYFUNCTION("""COMPUTED_VALUE"""),"")</f>
        <v/>
      </c>
      <c r="M9642" s="16" t="str">
        <f>IFERROR(__xludf.DUMMYFUNCTION("""COMPUTED_VALUE"""),"")</f>
        <v/>
      </c>
      <c r="U9642" s="16" t="s">
        <v>87</v>
      </c>
      <c r="V9642" s="16" t="str">
        <f>IFERROR(__xludf.DUMMYFUNCTION("""COMPUTED_VALUE"""),"")</f>
        <v/>
      </c>
      <c r="W9642" s="16" t="str">
        <f>IFERROR(__xludf.DUMMYFUNCTION("""COMPUTED_VALUE"""),"")</f>
        <v/>
      </c>
      <c r="X9642" s="16" t="str">
        <f>IFERROR(__xludf.DUMMYFUNCTION("""COMPUTED_VALUE"""),"")</f>
        <v/>
      </c>
      <c r="AC9642" s="16" t="str">
        <f>IFERROR(__xludf.DUMMYFUNCTION("""COMPUTED_VALUE"""),"")</f>
        <v/>
      </c>
    </row>
    <row r="9643">
      <c r="A9643" s="16" t="s">
        <v>87</v>
      </c>
      <c r="E9643" s="16" t="str">
        <f>IFERROR(__xludf.DUMMYFUNCTION("""COMPUTED_VALUE"""),"")</f>
        <v/>
      </c>
      <c r="G9643" s="18"/>
      <c r="H9643" s="16" t="s">
        <v>87</v>
      </c>
      <c r="I9643" s="16" t="s">
        <v>87</v>
      </c>
      <c r="J9643" s="19"/>
      <c r="L9643" s="16" t="str">
        <f>IFERROR(__xludf.DUMMYFUNCTION("""COMPUTED_VALUE"""),"")</f>
        <v/>
      </c>
      <c r="M9643" s="16" t="str">
        <f>IFERROR(__xludf.DUMMYFUNCTION("""COMPUTED_VALUE"""),"")</f>
        <v/>
      </c>
      <c r="U9643" s="16" t="s">
        <v>87</v>
      </c>
      <c r="V9643" s="16" t="str">
        <f>IFERROR(__xludf.DUMMYFUNCTION("""COMPUTED_VALUE"""),"")</f>
        <v/>
      </c>
      <c r="W9643" s="16" t="str">
        <f>IFERROR(__xludf.DUMMYFUNCTION("""COMPUTED_VALUE"""),"")</f>
        <v/>
      </c>
      <c r="X9643" s="16" t="str">
        <f>IFERROR(__xludf.DUMMYFUNCTION("""COMPUTED_VALUE"""),"")</f>
        <v/>
      </c>
      <c r="AC9643" s="16" t="str">
        <f>IFERROR(__xludf.DUMMYFUNCTION("""COMPUTED_VALUE"""),"")</f>
        <v/>
      </c>
    </row>
    <row r="9644">
      <c r="A9644" s="16" t="s">
        <v>87</v>
      </c>
      <c r="E9644" s="16" t="str">
        <f>IFERROR(__xludf.DUMMYFUNCTION("""COMPUTED_VALUE"""),"")</f>
        <v/>
      </c>
      <c r="G9644" s="18"/>
      <c r="H9644" s="16" t="s">
        <v>87</v>
      </c>
      <c r="I9644" s="16" t="s">
        <v>87</v>
      </c>
      <c r="J9644" s="19"/>
      <c r="L9644" s="16" t="str">
        <f>IFERROR(__xludf.DUMMYFUNCTION("""COMPUTED_VALUE"""),"")</f>
        <v/>
      </c>
      <c r="M9644" s="16" t="str">
        <f>IFERROR(__xludf.DUMMYFUNCTION("""COMPUTED_VALUE"""),"")</f>
        <v/>
      </c>
      <c r="U9644" s="16" t="s">
        <v>87</v>
      </c>
      <c r="V9644" s="16" t="str">
        <f>IFERROR(__xludf.DUMMYFUNCTION("""COMPUTED_VALUE"""),"")</f>
        <v/>
      </c>
      <c r="W9644" s="16" t="str">
        <f>IFERROR(__xludf.DUMMYFUNCTION("""COMPUTED_VALUE"""),"")</f>
        <v/>
      </c>
      <c r="X9644" s="16" t="str">
        <f>IFERROR(__xludf.DUMMYFUNCTION("""COMPUTED_VALUE"""),"")</f>
        <v/>
      </c>
      <c r="AC9644" s="16" t="str">
        <f>IFERROR(__xludf.DUMMYFUNCTION("""COMPUTED_VALUE"""),"")</f>
        <v/>
      </c>
    </row>
    <row r="9645">
      <c r="A9645" s="16" t="s">
        <v>87</v>
      </c>
      <c r="E9645" s="16" t="str">
        <f>IFERROR(__xludf.DUMMYFUNCTION("""COMPUTED_VALUE"""),"")</f>
        <v/>
      </c>
      <c r="G9645" s="18"/>
      <c r="H9645" s="16" t="s">
        <v>87</v>
      </c>
      <c r="I9645" s="16" t="s">
        <v>87</v>
      </c>
      <c r="J9645" s="19"/>
      <c r="L9645" s="16" t="str">
        <f>IFERROR(__xludf.DUMMYFUNCTION("""COMPUTED_VALUE"""),"")</f>
        <v/>
      </c>
      <c r="M9645" s="16" t="str">
        <f>IFERROR(__xludf.DUMMYFUNCTION("""COMPUTED_VALUE"""),"")</f>
        <v/>
      </c>
      <c r="U9645" s="16" t="s">
        <v>87</v>
      </c>
      <c r="V9645" s="16" t="str">
        <f>IFERROR(__xludf.DUMMYFUNCTION("""COMPUTED_VALUE"""),"")</f>
        <v/>
      </c>
      <c r="W9645" s="16" t="str">
        <f>IFERROR(__xludf.DUMMYFUNCTION("""COMPUTED_VALUE"""),"")</f>
        <v/>
      </c>
      <c r="X9645" s="16" t="str">
        <f>IFERROR(__xludf.DUMMYFUNCTION("""COMPUTED_VALUE"""),"")</f>
        <v/>
      </c>
      <c r="AC9645" s="16" t="str">
        <f>IFERROR(__xludf.DUMMYFUNCTION("""COMPUTED_VALUE"""),"")</f>
        <v/>
      </c>
    </row>
    <row r="9646">
      <c r="A9646" s="16" t="s">
        <v>87</v>
      </c>
      <c r="E9646" s="16" t="str">
        <f>IFERROR(__xludf.DUMMYFUNCTION("""COMPUTED_VALUE"""),"")</f>
        <v/>
      </c>
      <c r="G9646" s="18"/>
      <c r="H9646" s="16" t="s">
        <v>87</v>
      </c>
      <c r="I9646" s="16" t="s">
        <v>87</v>
      </c>
      <c r="J9646" s="19"/>
      <c r="L9646" s="16" t="str">
        <f>IFERROR(__xludf.DUMMYFUNCTION("""COMPUTED_VALUE"""),"")</f>
        <v/>
      </c>
      <c r="M9646" s="16" t="str">
        <f>IFERROR(__xludf.DUMMYFUNCTION("""COMPUTED_VALUE"""),"")</f>
        <v/>
      </c>
      <c r="U9646" s="16" t="s">
        <v>87</v>
      </c>
      <c r="V9646" s="16" t="str">
        <f>IFERROR(__xludf.DUMMYFUNCTION("""COMPUTED_VALUE"""),"")</f>
        <v/>
      </c>
      <c r="W9646" s="16" t="str">
        <f>IFERROR(__xludf.DUMMYFUNCTION("""COMPUTED_VALUE"""),"")</f>
        <v/>
      </c>
      <c r="X9646" s="16" t="str">
        <f>IFERROR(__xludf.DUMMYFUNCTION("""COMPUTED_VALUE"""),"")</f>
        <v/>
      </c>
      <c r="AC9646" s="16" t="str">
        <f>IFERROR(__xludf.DUMMYFUNCTION("""COMPUTED_VALUE"""),"")</f>
        <v/>
      </c>
    </row>
    <row r="9647">
      <c r="A9647" s="16" t="s">
        <v>87</v>
      </c>
      <c r="E9647" s="16" t="str">
        <f>IFERROR(__xludf.DUMMYFUNCTION("""COMPUTED_VALUE"""),"")</f>
        <v/>
      </c>
      <c r="G9647" s="18"/>
      <c r="H9647" s="16" t="s">
        <v>87</v>
      </c>
      <c r="I9647" s="16" t="s">
        <v>87</v>
      </c>
      <c r="J9647" s="19"/>
      <c r="L9647" s="16" t="str">
        <f>IFERROR(__xludf.DUMMYFUNCTION("""COMPUTED_VALUE"""),"")</f>
        <v/>
      </c>
      <c r="M9647" s="16" t="str">
        <f>IFERROR(__xludf.DUMMYFUNCTION("""COMPUTED_VALUE"""),"")</f>
        <v/>
      </c>
      <c r="U9647" s="16" t="s">
        <v>87</v>
      </c>
      <c r="V9647" s="16" t="str">
        <f>IFERROR(__xludf.DUMMYFUNCTION("""COMPUTED_VALUE"""),"")</f>
        <v/>
      </c>
      <c r="W9647" s="16" t="str">
        <f>IFERROR(__xludf.DUMMYFUNCTION("""COMPUTED_VALUE"""),"")</f>
        <v/>
      </c>
      <c r="X9647" s="16" t="str">
        <f>IFERROR(__xludf.DUMMYFUNCTION("""COMPUTED_VALUE"""),"")</f>
        <v/>
      </c>
      <c r="AC9647" s="16" t="str">
        <f>IFERROR(__xludf.DUMMYFUNCTION("""COMPUTED_VALUE"""),"")</f>
        <v/>
      </c>
    </row>
    <row r="9648">
      <c r="A9648" s="16" t="s">
        <v>87</v>
      </c>
      <c r="E9648" s="16" t="str">
        <f>IFERROR(__xludf.DUMMYFUNCTION("""COMPUTED_VALUE"""),"")</f>
        <v/>
      </c>
      <c r="G9648" s="18"/>
      <c r="H9648" s="16" t="s">
        <v>87</v>
      </c>
      <c r="I9648" s="16" t="s">
        <v>87</v>
      </c>
      <c r="J9648" s="19"/>
      <c r="L9648" s="16" t="str">
        <f>IFERROR(__xludf.DUMMYFUNCTION("""COMPUTED_VALUE"""),"")</f>
        <v/>
      </c>
      <c r="M9648" s="16" t="str">
        <f>IFERROR(__xludf.DUMMYFUNCTION("""COMPUTED_VALUE"""),"")</f>
        <v/>
      </c>
      <c r="U9648" s="16" t="s">
        <v>87</v>
      </c>
      <c r="V9648" s="16" t="str">
        <f>IFERROR(__xludf.DUMMYFUNCTION("""COMPUTED_VALUE"""),"")</f>
        <v/>
      </c>
      <c r="W9648" s="16" t="str">
        <f>IFERROR(__xludf.DUMMYFUNCTION("""COMPUTED_VALUE"""),"")</f>
        <v/>
      </c>
      <c r="X9648" s="16" t="str">
        <f>IFERROR(__xludf.DUMMYFUNCTION("""COMPUTED_VALUE"""),"")</f>
        <v/>
      </c>
      <c r="AC9648" s="16" t="str">
        <f>IFERROR(__xludf.DUMMYFUNCTION("""COMPUTED_VALUE"""),"")</f>
        <v/>
      </c>
    </row>
    <row r="9649">
      <c r="A9649" s="16" t="s">
        <v>87</v>
      </c>
      <c r="E9649" s="16" t="str">
        <f>IFERROR(__xludf.DUMMYFUNCTION("""COMPUTED_VALUE"""),"")</f>
        <v/>
      </c>
      <c r="G9649" s="18"/>
      <c r="H9649" s="16" t="s">
        <v>87</v>
      </c>
      <c r="I9649" s="16" t="s">
        <v>87</v>
      </c>
      <c r="J9649" s="19"/>
      <c r="L9649" s="16" t="str">
        <f>IFERROR(__xludf.DUMMYFUNCTION("""COMPUTED_VALUE"""),"")</f>
        <v/>
      </c>
      <c r="M9649" s="16" t="str">
        <f>IFERROR(__xludf.DUMMYFUNCTION("""COMPUTED_VALUE"""),"")</f>
        <v/>
      </c>
      <c r="U9649" s="16" t="s">
        <v>87</v>
      </c>
      <c r="V9649" s="16" t="str">
        <f>IFERROR(__xludf.DUMMYFUNCTION("""COMPUTED_VALUE"""),"")</f>
        <v/>
      </c>
      <c r="W9649" s="16" t="str">
        <f>IFERROR(__xludf.DUMMYFUNCTION("""COMPUTED_VALUE"""),"")</f>
        <v/>
      </c>
      <c r="X9649" s="16" t="str">
        <f>IFERROR(__xludf.DUMMYFUNCTION("""COMPUTED_VALUE"""),"")</f>
        <v/>
      </c>
      <c r="AC9649" s="16" t="str">
        <f>IFERROR(__xludf.DUMMYFUNCTION("""COMPUTED_VALUE"""),"")</f>
        <v/>
      </c>
    </row>
    <row r="9650">
      <c r="A9650" s="16" t="s">
        <v>87</v>
      </c>
      <c r="E9650" s="16" t="str">
        <f>IFERROR(__xludf.DUMMYFUNCTION("""COMPUTED_VALUE"""),"")</f>
        <v/>
      </c>
      <c r="G9650" s="18"/>
      <c r="H9650" s="16" t="s">
        <v>87</v>
      </c>
      <c r="I9650" s="16" t="s">
        <v>87</v>
      </c>
      <c r="J9650" s="19"/>
      <c r="L9650" s="16" t="str">
        <f>IFERROR(__xludf.DUMMYFUNCTION("""COMPUTED_VALUE"""),"")</f>
        <v/>
      </c>
      <c r="M9650" s="16" t="str">
        <f>IFERROR(__xludf.DUMMYFUNCTION("""COMPUTED_VALUE"""),"")</f>
        <v/>
      </c>
      <c r="U9650" s="16" t="s">
        <v>87</v>
      </c>
      <c r="V9650" s="16" t="str">
        <f>IFERROR(__xludf.DUMMYFUNCTION("""COMPUTED_VALUE"""),"")</f>
        <v/>
      </c>
      <c r="W9650" s="16" t="str">
        <f>IFERROR(__xludf.DUMMYFUNCTION("""COMPUTED_VALUE"""),"")</f>
        <v/>
      </c>
      <c r="X9650" s="16" t="str">
        <f>IFERROR(__xludf.DUMMYFUNCTION("""COMPUTED_VALUE"""),"")</f>
        <v/>
      </c>
      <c r="AC9650" s="16" t="str">
        <f>IFERROR(__xludf.DUMMYFUNCTION("""COMPUTED_VALUE"""),"")</f>
        <v/>
      </c>
    </row>
    <row r="9651">
      <c r="A9651" s="16" t="s">
        <v>87</v>
      </c>
      <c r="E9651" s="16" t="str">
        <f>IFERROR(__xludf.DUMMYFUNCTION("""COMPUTED_VALUE"""),"")</f>
        <v/>
      </c>
      <c r="G9651" s="18"/>
      <c r="H9651" s="16" t="s">
        <v>87</v>
      </c>
      <c r="I9651" s="16" t="s">
        <v>87</v>
      </c>
      <c r="J9651" s="19"/>
      <c r="L9651" s="16" t="str">
        <f>IFERROR(__xludf.DUMMYFUNCTION("""COMPUTED_VALUE"""),"")</f>
        <v/>
      </c>
      <c r="M9651" s="16" t="str">
        <f>IFERROR(__xludf.DUMMYFUNCTION("""COMPUTED_VALUE"""),"")</f>
        <v/>
      </c>
      <c r="U9651" s="16" t="s">
        <v>87</v>
      </c>
      <c r="V9651" s="16" t="str">
        <f>IFERROR(__xludf.DUMMYFUNCTION("""COMPUTED_VALUE"""),"")</f>
        <v/>
      </c>
      <c r="W9651" s="16" t="str">
        <f>IFERROR(__xludf.DUMMYFUNCTION("""COMPUTED_VALUE"""),"")</f>
        <v/>
      </c>
      <c r="X9651" s="16" t="str">
        <f>IFERROR(__xludf.DUMMYFUNCTION("""COMPUTED_VALUE"""),"")</f>
        <v/>
      </c>
      <c r="AC9651" s="16" t="str">
        <f>IFERROR(__xludf.DUMMYFUNCTION("""COMPUTED_VALUE"""),"")</f>
        <v/>
      </c>
    </row>
    <row r="9652">
      <c r="A9652" s="16" t="s">
        <v>87</v>
      </c>
      <c r="E9652" s="16" t="str">
        <f>IFERROR(__xludf.DUMMYFUNCTION("""COMPUTED_VALUE"""),"")</f>
        <v/>
      </c>
      <c r="G9652" s="18"/>
      <c r="H9652" s="16" t="s">
        <v>87</v>
      </c>
      <c r="I9652" s="16" t="s">
        <v>87</v>
      </c>
      <c r="J9652" s="19"/>
      <c r="L9652" s="16" t="str">
        <f>IFERROR(__xludf.DUMMYFUNCTION("""COMPUTED_VALUE"""),"")</f>
        <v/>
      </c>
      <c r="M9652" s="16" t="str">
        <f>IFERROR(__xludf.DUMMYFUNCTION("""COMPUTED_VALUE"""),"")</f>
        <v/>
      </c>
      <c r="U9652" s="16" t="s">
        <v>87</v>
      </c>
      <c r="V9652" s="16" t="str">
        <f>IFERROR(__xludf.DUMMYFUNCTION("""COMPUTED_VALUE"""),"")</f>
        <v/>
      </c>
      <c r="W9652" s="16" t="str">
        <f>IFERROR(__xludf.DUMMYFUNCTION("""COMPUTED_VALUE"""),"")</f>
        <v/>
      </c>
      <c r="X9652" s="16" t="str">
        <f>IFERROR(__xludf.DUMMYFUNCTION("""COMPUTED_VALUE"""),"")</f>
        <v/>
      </c>
      <c r="AC9652" s="16" t="str">
        <f>IFERROR(__xludf.DUMMYFUNCTION("""COMPUTED_VALUE"""),"")</f>
        <v/>
      </c>
    </row>
    <row r="9653">
      <c r="A9653" s="16" t="s">
        <v>87</v>
      </c>
      <c r="E9653" s="16" t="str">
        <f>IFERROR(__xludf.DUMMYFUNCTION("""COMPUTED_VALUE"""),"")</f>
        <v/>
      </c>
      <c r="G9653" s="18"/>
      <c r="H9653" s="16" t="s">
        <v>87</v>
      </c>
      <c r="I9653" s="16" t="s">
        <v>87</v>
      </c>
      <c r="J9653" s="19"/>
      <c r="L9653" s="16" t="str">
        <f>IFERROR(__xludf.DUMMYFUNCTION("""COMPUTED_VALUE"""),"")</f>
        <v/>
      </c>
      <c r="M9653" s="16" t="str">
        <f>IFERROR(__xludf.DUMMYFUNCTION("""COMPUTED_VALUE"""),"")</f>
        <v/>
      </c>
      <c r="U9653" s="16" t="s">
        <v>87</v>
      </c>
      <c r="V9653" s="16" t="str">
        <f>IFERROR(__xludf.DUMMYFUNCTION("""COMPUTED_VALUE"""),"")</f>
        <v/>
      </c>
      <c r="W9653" s="16" t="str">
        <f>IFERROR(__xludf.DUMMYFUNCTION("""COMPUTED_VALUE"""),"")</f>
        <v/>
      </c>
      <c r="X9653" s="16" t="str">
        <f>IFERROR(__xludf.DUMMYFUNCTION("""COMPUTED_VALUE"""),"")</f>
        <v/>
      </c>
      <c r="AC9653" s="16" t="str">
        <f>IFERROR(__xludf.DUMMYFUNCTION("""COMPUTED_VALUE"""),"")</f>
        <v/>
      </c>
    </row>
    <row r="9654">
      <c r="A9654" s="16" t="s">
        <v>87</v>
      </c>
      <c r="E9654" s="16" t="str">
        <f>IFERROR(__xludf.DUMMYFUNCTION("""COMPUTED_VALUE"""),"")</f>
        <v/>
      </c>
      <c r="G9654" s="18"/>
      <c r="H9654" s="16" t="s">
        <v>87</v>
      </c>
      <c r="I9654" s="16" t="s">
        <v>87</v>
      </c>
      <c r="J9654" s="19"/>
      <c r="L9654" s="16" t="str">
        <f>IFERROR(__xludf.DUMMYFUNCTION("""COMPUTED_VALUE"""),"")</f>
        <v/>
      </c>
      <c r="M9654" s="16" t="str">
        <f>IFERROR(__xludf.DUMMYFUNCTION("""COMPUTED_VALUE"""),"")</f>
        <v/>
      </c>
      <c r="U9654" s="16" t="s">
        <v>87</v>
      </c>
      <c r="V9654" s="16" t="str">
        <f>IFERROR(__xludf.DUMMYFUNCTION("""COMPUTED_VALUE"""),"")</f>
        <v/>
      </c>
      <c r="W9654" s="16" t="str">
        <f>IFERROR(__xludf.DUMMYFUNCTION("""COMPUTED_VALUE"""),"")</f>
        <v/>
      </c>
      <c r="X9654" s="16" t="str">
        <f>IFERROR(__xludf.DUMMYFUNCTION("""COMPUTED_VALUE"""),"")</f>
        <v/>
      </c>
      <c r="AC9654" s="16" t="str">
        <f>IFERROR(__xludf.DUMMYFUNCTION("""COMPUTED_VALUE"""),"")</f>
        <v/>
      </c>
    </row>
    <row r="9655">
      <c r="A9655" s="16" t="s">
        <v>87</v>
      </c>
      <c r="E9655" s="16" t="str">
        <f>IFERROR(__xludf.DUMMYFUNCTION("""COMPUTED_VALUE"""),"")</f>
        <v/>
      </c>
      <c r="G9655" s="18"/>
      <c r="H9655" s="16" t="s">
        <v>87</v>
      </c>
      <c r="I9655" s="16" t="s">
        <v>87</v>
      </c>
      <c r="J9655" s="19"/>
      <c r="L9655" s="16" t="str">
        <f>IFERROR(__xludf.DUMMYFUNCTION("""COMPUTED_VALUE"""),"")</f>
        <v/>
      </c>
      <c r="M9655" s="16" t="str">
        <f>IFERROR(__xludf.DUMMYFUNCTION("""COMPUTED_VALUE"""),"")</f>
        <v/>
      </c>
      <c r="U9655" s="16" t="s">
        <v>87</v>
      </c>
      <c r="V9655" s="16" t="str">
        <f>IFERROR(__xludf.DUMMYFUNCTION("""COMPUTED_VALUE"""),"")</f>
        <v/>
      </c>
      <c r="W9655" s="16" t="str">
        <f>IFERROR(__xludf.DUMMYFUNCTION("""COMPUTED_VALUE"""),"")</f>
        <v/>
      </c>
      <c r="X9655" s="16" t="str">
        <f>IFERROR(__xludf.DUMMYFUNCTION("""COMPUTED_VALUE"""),"")</f>
        <v/>
      </c>
      <c r="AC9655" s="16" t="str">
        <f>IFERROR(__xludf.DUMMYFUNCTION("""COMPUTED_VALUE"""),"")</f>
        <v/>
      </c>
    </row>
    <row r="9656">
      <c r="A9656" s="16" t="s">
        <v>87</v>
      </c>
      <c r="E9656" s="16" t="str">
        <f>IFERROR(__xludf.DUMMYFUNCTION("""COMPUTED_VALUE"""),"")</f>
        <v/>
      </c>
      <c r="G9656" s="18"/>
      <c r="H9656" s="16" t="s">
        <v>87</v>
      </c>
      <c r="I9656" s="16" t="s">
        <v>87</v>
      </c>
      <c r="J9656" s="19"/>
      <c r="L9656" s="16" t="str">
        <f>IFERROR(__xludf.DUMMYFUNCTION("""COMPUTED_VALUE"""),"")</f>
        <v/>
      </c>
      <c r="M9656" s="16" t="str">
        <f>IFERROR(__xludf.DUMMYFUNCTION("""COMPUTED_VALUE"""),"")</f>
        <v/>
      </c>
      <c r="U9656" s="16" t="s">
        <v>87</v>
      </c>
      <c r="V9656" s="16" t="str">
        <f>IFERROR(__xludf.DUMMYFUNCTION("""COMPUTED_VALUE"""),"")</f>
        <v/>
      </c>
      <c r="W9656" s="16" t="str">
        <f>IFERROR(__xludf.DUMMYFUNCTION("""COMPUTED_VALUE"""),"")</f>
        <v/>
      </c>
      <c r="X9656" s="16" t="str">
        <f>IFERROR(__xludf.DUMMYFUNCTION("""COMPUTED_VALUE"""),"")</f>
        <v/>
      </c>
      <c r="AC9656" s="16" t="str">
        <f>IFERROR(__xludf.DUMMYFUNCTION("""COMPUTED_VALUE"""),"")</f>
        <v/>
      </c>
    </row>
    <row r="9657">
      <c r="A9657" s="16" t="s">
        <v>87</v>
      </c>
      <c r="E9657" s="16" t="str">
        <f>IFERROR(__xludf.DUMMYFUNCTION("""COMPUTED_VALUE"""),"")</f>
        <v/>
      </c>
      <c r="G9657" s="18"/>
      <c r="H9657" s="16" t="s">
        <v>87</v>
      </c>
      <c r="I9657" s="16" t="s">
        <v>87</v>
      </c>
      <c r="J9657" s="19"/>
      <c r="L9657" s="16" t="str">
        <f>IFERROR(__xludf.DUMMYFUNCTION("""COMPUTED_VALUE"""),"")</f>
        <v/>
      </c>
      <c r="M9657" s="16" t="str">
        <f>IFERROR(__xludf.DUMMYFUNCTION("""COMPUTED_VALUE"""),"")</f>
        <v/>
      </c>
      <c r="U9657" s="16" t="s">
        <v>87</v>
      </c>
      <c r="V9657" s="16" t="str">
        <f>IFERROR(__xludf.DUMMYFUNCTION("""COMPUTED_VALUE"""),"")</f>
        <v/>
      </c>
      <c r="W9657" s="16" t="str">
        <f>IFERROR(__xludf.DUMMYFUNCTION("""COMPUTED_VALUE"""),"")</f>
        <v/>
      </c>
      <c r="X9657" s="16" t="str">
        <f>IFERROR(__xludf.DUMMYFUNCTION("""COMPUTED_VALUE"""),"")</f>
        <v/>
      </c>
      <c r="AC9657" s="16" t="str">
        <f>IFERROR(__xludf.DUMMYFUNCTION("""COMPUTED_VALUE"""),"")</f>
        <v/>
      </c>
    </row>
    <row r="9658">
      <c r="A9658" s="16" t="s">
        <v>87</v>
      </c>
      <c r="E9658" s="16" t="str">
        <f>IFERROR(__xludf.DUMMYFUNCTION("""COMPUTED_VALUE"""),"")</f>
        <v/>
      </c>
      <c r="G9658" s="18"/>
      <c r="H9658" s="16" t="s">
        <v>87</v>
      </c>
      <c r="I9658" s="16" t="s">
        <v>87</v>
      </c>
      <c r="J9658" s="19"/>
      <c r="L9658" s="16" t="str">
        <f>IFERROR(__xludf.DUMMYFUNCTION("""COMPUTED_VALUE"""),"")</f>
        <v/>
      </c>
      <c r="M9658" s="16" t="str">
        <f>IFERROR(__xludf.DUMMYFUNCTION("""COMPUTED_VALUE"""),"")</f>
        <v/>
      </c>
      <c r="U9658" s="16" t="s">
        <v>87</v>
      </c>
      <c r="V9658" s="16" t="str">
        <f>IFERROR(__xludf.DUMMYFUNCTION("""COMPUTED_VALUE"""),"")</f>
        <v/>
      </c>
      <c r="W9658" s="16" t="str">
        <f>IFERROR(__xludf.DUMMYFUNCTION("""COMPUTED_VALUE"""),"")</f>
        <v/>
      </c>
      <c r="X9658" s="16" t="str">
        <f>IFERROR(__xludf.DUMMYFUNCTION("""COMPUTED_VALUE"""),"")</f>
        <v/>
      </c>
      <c r="AC9658" s="16" t="str">
        <f>IFERROR(__xludf.DUMMYFUNCTION("""COMPUTED_VALUE"""),"")</f>
        <v/>
      </c>
    </row>
    <row r="9659">
      <c r="A9659" s="16" t="s">
        <v>87</v>
      </c>
      <c r="E9659" s="16" t="str">
        <f>IFERROR(__xludf.DUMMYFUNCTION("""COMPUTED_VALUE"""),"")</f>
        <v/>
      </c>
      <c r="G9659" s="18"/>
      <c r="H9659" s="16" t="s">
        <v>87</v>
      </c>
      <c r="I9659" s="16" t="s">
        <v>87</v>
      </c>
      <c r="J9659" s="19"/>
      <c r="L9659" s="16" t="str">
        <f>IFERROR(__xludf.DUMMYFUNCTION("""COMPUTED_VALUE"""),"")</f>
        <v/>
      </c>
      <c r="M9659" s="16" t="str">
        <f>IFERROR(__xludf.DUMMYFUNCTION("""COMPUTED_VALUE"""),"")</f>
        <v/>
      </c>
      <c r="U9659" s="16" t="s">
        <v>87</v>
      </c>
      <c r="V9659" s="16" t="str">
        <f>IFERROR(__xludf.DUMMYFUNCTION("""COMPUTED_VALUE"""),"")</f>
        <v/>
      </c>
      <c r="W9659" s="16" t="str">
        <f>IFERROR(__xludf.DUMMYFUNCTION("""COMPUTED_VALUE"""),"")</f>
        <v/>
      </c>
      <c r="X9659" s="16" t="str">
        <f>IFERROR(__xludf.DUMMYFUNCTION("""COMPUTED_VALUE"""),"")</f>
        <v/>
      </c>
      <c r="AC9659" s="16" t="str">
        <f>IFERROR(__xludf.DUMMYFUNCTION("""COMPUTED_VALUE"""),"")</f>
        <v/>
      </c>
    </row>
    <row r="9660">
      <c r="A9660" s="16" t="s">
        <v>87</v>
      </c>
      <c r="E9660" s="16" t="str">
        <f>IFERROR(__xludf.DUMMYFUNCTION("""COMPUTED_VALUE"""),"")</f>
        <v/>
      </c>
      <c r="G9660" s="18"/>
      <c r="H9660" s="16" t="s">
        <v>87</v>
      </c>
      <c r="I9660" s="16" t="s">
        <v>87</v>
      </c>
      <c r="J9660" s="19"/>
      <c r="L9660" s="16" t="str">
        <f>IFERROR(__xludf.DUMMYFUNCTION("""COMPUTED_VALUE"""),"")</f>
        <v/>
      </c>
      <c r="M9660" s="16" t="str">
        <f>IFERROR(__xludf.DUMMYFUNCTION("""COMPUTED_VALUE"""),"")</f>
        <v/>
      </c>
      <c r="U9660" s="16" t="s">
        <v>87</v>
      </c>
      <c r="V9660" s="16" t="str">
        <f>IFERROR(__xludf.DUMMYFUNCTION("""COMPUTED_VALUE"""),"")</f>
        <v/>
      </c>
      <c r="W9660" s="16" t="str">
        <f>IFERROR(__xludf.DUMMYFUNCTION("""COMPUTED_VALUE"""),"")</f>
        <v/>
      </c>
      <c r="X9660" s="16" t="str">
        <f>IFERROR(__xludf.DUMMYFUNCTION("""COMPUTED_VALUE"""),"")</f>
        <v/>
      </c>
      <c r="AC9660" s="16" t="str">
        <f>IFERROR(__xludf.DUMMYFUNCTION("""COMPUTED_VALUE"""),"")</f>
        <v/>
      </c>
    </row>
    <row r="9661">
      <c r="A9661" s="16" t="s">
        <v>87</v>
      </c>
      <c r="E9661" s="16" t="str">
        <f>IFERROR(__xludf.DUMMYFUNCTION("""COMPUTED_VALUE"""),"")</f>
        <v/>
      </c>
      <c r="G9661" s="18"/>
      <c r="H9661" s="16" t="s">
        <v>87</v>
      </c>
      <c r="I9661" s="16" t="s">
        <v>87</v>
      </c>
      <c r="J9661" s="19"/>
      <c r="L9661" s="16" t="str">
        <f>IFERROR(__xludf.DUMMYFUNCTION("""COMPUTED_VALUE"""),"")</f>
        <v/>
      </c>
      <c r="M9661" s="16" t="str">
        <f>IFERROR(__xludf.DUMMYFUNCTION("""COMPUTED_VALUE"""),"")</f>
        <v/>
      </c>
      <c r="U9661" s="16" t="s">
        <v>87</v>
      </c>
      <c r="V9661" s="16" t="str">
        <f>IFERROR(__xludf.DUMMYFUNCTION("""COMPUTED_VALUE"""),"")</f>
        <v/>
      </c>
      <c r="W9661" s="16" t="str">
        <f>IFERROR(__xludf.DUMMYFUNCTION("""COMPUTED_VALUE"""),"")</f>
        <v/>
      </c>
      <c r="X9661" s="16" t="str">
        <f>IFERROR(__xludf.DUMMYFUNCTION("""COMPUTED_VALUE"""),"")</f>
        <v/>
      </c>
      <c r="AC9661" s="16" t="str">
        <f>IFERROR(__xludf.DUMMYFUNCTION("""COMPUTED_VALUE"""),"")</f>
        <v/>
      </c>
    </row>
    <row r="9662">
      <c r="A9662" s="16" t="s">
        <v>87</v>
      </c>
      <c r="E9662" s="16" t="str">
        <f>IFERROR(__xludf.DUMMYFUNCTION("""COMPUTED_VALUE"""),"")</f>
        <v/>
      </c>
      <c r="G9662" s="18"/>
      <c r="H9662" s="16" t="s">
        <v>87</v>
      </c>
      <c r="I9662" s="16" t="s">
        <v>87</v>
      </c>
      <c r="J9662" s="19"/>
      <c r="L9662" s="16" t="str">
        <f>IFERROR(__xludf.DUMMYFUNCTION("""COMPUTED_VALUE"""),"")</f>
        <v/>
      </c>
      <c r="M9662" s="16" t="str">
        <f>IFERROR(__xludf.DUMMYFUNCTION("""COMPUTED_VALUE"""),"")</f>
        <v/>
      </c>
      <c r="U9662" s="16" t="s">
        <v>87</v>
      </c>
      <c r="V9662" s="16" t="str">
        <f>IFERROR(__xludf.DUMMYFUNCTION("""COMPUTED_VALUE"""),"")</f>
        <v/>
      </c>
      <c r="W9662" s="16" t="str">
        <f>IFERROR(__xludf.DUMMYFUNCTION("""COMPUTED_VALUE"""),"")</f>
        <v/>
      </c>
      <c r="X9662" s="16" t="str">
        <f>IFERROR(__xludf.DUMMYFUNCTION("""COMPUTED_VALUE"""),"")</f>
        <v/>
      </c>
      <c r="AC9662" s="16" t="str">
        <f>IFERROR(__xludf.DUMMYFUNCTION("""COMPUTED_VALUE"""),"")</f>
        <v/>
      </c>
    </row>
    <row r="9663">
      <c r="A9663" s="16" t="s">
        <v>87</v>
      </c>
      <c r="E9663" s="16" t="str">
        <f>IFERROR(__xludf.DUMMYFUNCTION("""COMPUTED_VALUE"""),"")</f>
        <v/>
      </c>
      <c r="G9663" s="18"/>
      <c r="H9663" s="16" t="s">
        <v>87</v>
      </c>
      <c r="I9663" s="16" t="s">
        <v>87</v>
      </c>
      <c r="J9663" s="19"/>
      <c r="L9663" s="16" t="str">
        <f>IFERROR(__xludf.DUMMYFUNCTION("""COMPUTED_VALUE"""),"")</f>
        <v/>
      </c>
      <c r="M9663" s="16" t="str">
        <f>IFERROR(__xludf.DUMMYFUNCTION("""COMPUTED_VALUE"""),"")</f>
        <v/>
      </c>
      <c r="U9663" s="16" t="s">
        <v>87</v>
      </c>
      <c r="V9663" s="16" t="str">
        <f>IFERROR(__xludf.DUMMYFUNCTION("""COMPUTED_VALUE"""),"")</f>
        <v/>
      </c>
      <c r="W9663" s="16" t="str">
        <f>IFERROR(__xludf.DUMMYFUNCTION("""COMPUTED_VALUE"""),"")</f>
        <v/>
      </c>
      <c r="X9663" s="16" t="str">
        <f>IFERROR(__xludf.DUMMYFUNCTION("""COMPUTED_VALUE"""),"")</f>
        <v/>
      </c>
      <c r="AC9663" s="16" t="str">
        <f>IFERROR(__xludf.DUMMYFUNCTION("""COMPUTED_VALUE"""),"")</f>
        <v/>
      </c>
    </row>
    <row r="9664">
      <c r="A9664" s="16" t="s">
        <v>87</v>
      </c>
      <c r="E9664" s="16" t="str">
        <f>IFERROR(__xludf.DUMMYFUNCTION("""COMPUTED_VALUE"""),"")</f>
        <v/>
      </c>
      <c r="G9664" s="18"/>
      <c r="H9664" s="16" t="s">
        <v>87</v>
      </c>
      <c r="I9664" s="16" t="s">
        <v>87</v>
      </c>
      <c r="J9664" s="19"/>
      <c r="L9664" s="16" t="str">
        <f>IFERROR(__xludf.DUMMYFUNCTION("""COMPUTED_VALUE"""),"")</f>
        <v/>
      </c>
      <c r="M9664" s="16" t="str">
        <f>IFERROR(__xludf.DUMMYFUNCTION("""COMPUTED_VALUE"""),"")</f>
        <v/>
      </c>
      <c r="U9664" s="16" t="s">
        <v>87</v>
      </c>
      <c r="V9664" s="16" t="str">
        <f>IFERROR(__xludf.DUMMYFUNCTION("""COMPUTED_VALUE"""),"")</f>
        <v/>
      </c>
      <c r="W9664" s="16" t="str">
        <f>IFERROR(__xludf.DUMMYFUNCTION("""COMPUTED_VALUE"""),"")</f>
        <v/>
      </c>
      <c r="X9664" s="16" t="str">
        <f>IFERROR(__xludf.DUMMYFUNCTION("""COMPUTED_VALUE"""),"")</f>
        <v/>
      </c>
      <c r="AC9664" s="16" t="str">
        <f>IFERROR(__xludf.DUMMYFUNCTION("""COMPUTED_VALUE"""),"")</f>
        <v/>
      </c>
    </row>
    <row r="9665">
      <c r="A9665" s="16" t="s">
        <v>87</v>
      </c>
      <c r="E9665" s="16" t="str">
        <f>IFERROR(__xludf.DUMMYFUNCTION("""COMPUTED_VALUE"""),"")</f>
        <v/>
      </c>
      <c r="G9665" s="18"/>
      <c r="H9665" s="16" t="s">
        <v>87</v>
      </c>
      <c r="I9665" s="16" t="s">
        <v>87</v>
      </c>
      <c r="J9665" s="19"/>
      <c r="L9665" s="16" t="str">
        <f>IFERROR(__xludf.DUMMYFUNCTION("""COMPUTED_VALUE"""),"")</f>
        <v/>
      </c>
      <c r="M9665" s="16" t="str">
        <f>IFERROR(__xludf.DUMMYFUNCTION("""COMPUTED_VALUE"""),"")</f>
        <v/>
      </c>
      <c r="U9665" s="16" t="s">
        <v>87</v>
      </c>
      <c r="V9665" s="16" t="str">
        <f>IFERROR(__xludf.DUMMYFUNCTION("""COMPUTED_VALUE"""),"")</f>
        <v/>
      </c>
      <c r="W9665" s="16" t="str">
        <f>IFERROR(__xludf.DUMMYFUNCTION("""COMPUTED_VALUE"""),"")</f>
        <v/>
      </c>
      <c r="X9665" s="16" t="str">
        <f>IFERROR(__xludf.DUMMYFUNCTION("""COMPUTED_VALUE"""),"")</f>
        <v/>
      </c>
      <c r="AC9665" s="16" t="str">
        <f>IFERROR(__xludf.DUMMYFUNCTION("""COMPUTED_VALUE"""),"")</f>
        <v/>
      </c>
    </row>
    <row r="9666">
      <c r="A9666" s="16" t="s">
        <v>87</v>
      </c>
      <c r="E9666" s="16" t="str">
        <f>IFERROR(__xludf.DUMMYFUNCTION("""COMPUTED_VALUE"""),"")</f>
        <v/>
      </c>
      <c r="G9666" s="18"/>
      <c r="H9666" s="16" t="s">
        <v>87</v>
      </c>
      <c r="I9666" s="16" t="s">
        <v>87</v>
      </c>
      <c r="J9666" s="19"/>
      <c r="L9666" s="16" t="str">
        <f>IFERROR(__xludf.DUMMYFUNCTION("""COMPUTED_VALUE"""),"")</f>
        <v/>
      </c>
      <c r="M9666" s="16" t="str">
        <f>IFERROR(__xludf.DUMMYFUNCTION("""COMPUTED_VALUE"""),"")</f>
        <v/>
      </c>
      <c r="U9666" s="16" t="s">
        <v>87</v>
      </c>
      <c r="V9666" s="16" t="str">
        <f>IFERROR(__xludf.DUMMYFUNCTION("""COMPUTED_VALUE"""),"")</f>
        <v/>
      </c>
      <c r="W9666" s="16" t="str">
        <f>IFERROR(__xludf.DUMMYFUNCTION("""COMPUTED_VALUE"""),"")</f>
        <v/>
      </c>
      <c r="X9666" s="16" t="str">
        <f>IFERROR(__xludf.DUMMYFUNCTION("""COMPUTED_VALUE"""),"")</f>
        <v/>
      </c>
      <c r="AC9666" s="16" t="str">
        <f>IFERROR(__xludf.DUMMYFUNCTION("""COMPUTED_VALUE"""),"")</f>
        <v/>
      </c>
    </row>
    <row r="9667">
      <c r="A9667" s="16" t="s">
        <v>87</v>
      </c>
      <c r="E9667" s="16" t="str">
        <f>IFERROR(__xludf.DUMMYFUNCTION("""COMPUTED_VALUE"""),"")</f>
        <v/>
      </c>
      <c r="G9667" s="18"/>
      <c r="H9667" s="16" t="s">
        <v>87</v>
      </c>
      <c r="I9667" s="16" t="s">
        <v>87</v>
      </c>
      <c r="J9667" s="19"/>
      <c r="L9667" s="16" t="str">
        <f>IFERROR(__xludf.DUMMYFUNCTION("""COMPUTED_VALUE"""),"")</f>
        <v/>
      </c>
      <c r="M9667" s="16" t="str">
        <f>IFERROR(__xludf.DUMMYFUNCTION("""COMPUTED_VALUE"""),"")</f>
        <v/>
      </c>
      <c r="U9667" s="16" t="s">
        <v>87</v>
      </c>
      <c r="V9667" s="16" t="str">
        <f>IFERROR(__xludf.DUMMYFUNCTION("""COMPUTED_VALUE"""),"")</f>
        <v/>
      </c>
      <c r="W9667" s="16" t="str">
        <f>IFERROR(__xludf.DUMMYFUNCTION("""COMPUTED_VALUE"""),"")</f>
        <v/>
      </c>
      <c r="X9667" s="16" t="str">
        <f>IFERROR(__xludf.DUMMYFUNCTION("""COMPUTED_VALUE"""),"")</f>
        <v/>
      </c>
      <c r="AC9667" s="16" t="str">
        <f>IFERROR(__xludf.DUMMYFUNCTION("""COMPUTED_VALUE"""),"")</f>
        <v/>
      </c>
    </row>
    <row r="9668">
      <c r="A9668" s="16" t="s">
        <v>87</v>
      </c>
      <c r="E9668" s="16" t="str">
        <f>IFERROR(__xludf.DUMMYFUNCTION("""COMPUTED_VALUE"""),"")</f>
        <v/>
      </c>
      <c r="G9668" s="18"/>
      <c r="H9668" s="16" t="s">
        <v>87</v>
      </c>
      <c r="I9668" s="16" t="s">
        <v>87</v>
      </c>
      <c r="J9668" s="19"/>
      <c r="L9668" s="16" t="str">
        <f>IFERROR(__xludf.DUMMYFUNCTION("""COMPUTED_VALUE"""),"")</f>
        <v/>
      </c>
      <c r="M9668" s="16" t="str">
        <f>IFERROR(__xludf.DUMMYFUNCTION("""COMPUTED_VALUE"""),"")</f>
        <v/>
      </c>
      <c r="U9668" s="16" t="s">
        <v>87</v>
      </c>
      <c r="V9668" s="16" t="str">
        <f>IFERROR(__xludf.DUMMYFUNCTION("""COMPUTED_VALUE"""),"")</f>
        <v/>
      </c>
      <c r="W9668" s="16" t="str">
        <f>IFERROR(__xludf.DUMMYFUNCTION("""COMPUTED_VALUE"""),"")</f>
        <v/>
      </c>
      <c r="X9668" s="16" t="str">
        <f>IFERROR(__xludf.DUMMYFUNCTION("""COMPUTED_VALUE"""),"")</f>
        <v/>
      </c>
      <c r="AC9668" s="16" t="str">
        <f>IFERROR(__xludf.DUMMYFUNCTION("""COMPUTED_VALUE"""),"")</f>
        <v/>
      </c>
    </row>
    <row r="9669">
      <c r="A9669" s="16" t="s">
        <v>87</v>
      </c>
      <c r="E9669" s="16" t="str">
        <f>IFERROR(__xludf.DUMMYFUNCTION("""COMPUTED_VALUE"""),"")</f>
        <v/>
      </c>
      <c r="G9669" s="18"/>
      <c r="H9669" s="16" t="s">
        <v>87</v>
      </c>
      <c r="I9669" s="16" t="s">
        <v>87</v>
      </c>
      <c r="J9669" s="19"/>
      <c r="L9669" s="16" t="str">
        <f>IFERROR(__xludf.DUMMYFUNCTION("""COMPUTED_VALUE"""),"")</f>
        <v/>
      </c>
      <c r="M9669" s="16" t="str">
        <f>IFERROR(__xludf.DUMMYFUNCTION("""COMPUTED_VALUE"""),"")</f>
        <v/>
      </c>
      <c r="U9669" s="16" t="s">
        <v>87</v>
      </c>
      <c r="V9669" s="16" t="str">
        <f>IFERROR(__xludf.DUMMYFUNCTION("""COMPUTED_VALUE"""),"")</f>
        <v/>
      </c>
      <c r="W9669" s="16" t="str">
        <f>IFERROR(__xludf.DUMMYFUNCTION("""COMPUTED_VALUE"""),"")</f>
        <v/>
      </c>
      <c r="X9669" s="16" t="str">
        <f>IFERROR(__xludf.DUMMYFUNCTION("""COMPUTED_VALUE"""),"")</f>
        <v/>
      </c>
      <c r="AC9669" s="16" t="str">
        <f>IFERROR(__xludf.DUMMYFUNCTION("""COMPUTED_VALUE"""),"")</f>
        <v/>
      </c>
    </row>
    <row r="9670">
      <c r="A9670" s="16" t="s">
        <v>87</v>
      </c>
      <c r="E9670" s="16" t="str">
        <f>IFERROR(__xludf.DUMMYFUNCTION("""COMPUTED_VALUE"""),"")</f>
        <v/>
      </c>
      <c r="G9670" s="18"/>
      <c r="H9670" s="16" t="s">
        <v>87</v>
      </c>
      <c r="I9670" s="16" t="s">
        <v>87</v>
      </c>
      <c r="J9670" s="19"/>
      <c r="L9670" s="16" t="str">
        <f>IFERROR(__xludf.DUMMYFUNCTION("""COMPUTED_VALUE"""),"")</f>
        <v/>
      </c>
      <c r="M9670" s="16" t="str">
        <f>IFERROR(__xludf.DUMMYFUNCTION("""COMPUTED_VALUE"""),"")</f>
        <v/>
      </c>
      <c r="U9670" s="16" t="s">
        <v>87</v>
      </c>
      <c r="V9670" s="16" t="str">
        <f>IFERROR(__xludf.DUMMYFUNCTION("""COMPUTED_VALUE"""),"")</f>
        <v/>
      </c>
      <c r="W9670" s="16" t="str">
        <f>IFERROR(__xludf.DUMMYFUNCTION("""COMPUTED_VALUE"""),"")</f>
        <v/>
      </c>
      <c r="X9670" s="16" t="str">
        <f>IFERROR(__xludf.DUMMYFUNCTION("""COMPUTED_VALUE"""),"")</f>
        <v/>
      </c>
      <c r="AC9670" s="16" t="str">
        <f>IFERROR(__xludf.DUMMYFUNCTION("""COMPUTED_VALUE"""),"")</f>
        <v/>
      </c>
    </row>
    <row r="9671">
      <c r="A9671" s="16" t="s">
        <v>87</v>
      </c>
      <c r="E9671" s="16" t="str">
        <f>IFERROR(__xludf.DUMMYFUNCTION("""COMPUTED_VALUE"""),"")</f>
        <v/>
      </c>
      <c r="G9671" s="18"/>
      <c r="H9671" s="16" t="s">
        <v>87</v>
      </c>
      <c r="I9671" s="16" t="s">
        <v>87</v>
      </c>
      <c r="J9671" s="19"/>
      <c r="L9671" s="16" t="str">
        <f>IFERROR(__xludf.DUMMYFUNCTION("""COMPUTED_VALUE"""),"")</f>
        <v/>
      </c>
      <c r="M9671" s="16" t="str">
        <f>IFERROR(__xludf.DUMMYFUNCTION("""COMPUTED_VALUE"""),"")</f>
        <v/>
      </c>
      <c r="U9671" s="16" t="s">
        <v>87</v>
      </c>
      <c r="V9671" s="16" t="str">
        <f>IFERROR(__xludf.DUMMYFUNCTION("""COMPUTED_VALUE"""),"")</f>
        <v/>
      </c>
      <c r="W9671" s="16" t="str">
        <f>IFERROR(__xludf.DUMMYFUNCTION("""COMPUTED_VALUE"""),"")</f>
        <v/>
      </c>
      <c r="X9671" s="16" t="str">
        <f>IFERROR(__xludf.DUMMYFUNCTION("""COMPUTED_VALUE"""),"")</f>
        <v/>
      </c>
      <c r="AC9671" s="16" t="str">
        <f>IFERROR(__xludf.DUMMYFUNCTION("""COMPUTED_VALUE"""),"")</f>
        <v/>
      </c>
    </row>
    <row r="9672">
      <c r="A9672" s="16" t="s">
        <v>87</v>
      </c>
      <c r="E9672" s="16" t="str">
        <f>IFERROR(__xludf.DUMMYFUNCTION("""COMPUTED_VALUE"""),"")</f>
        <v/>
      </c>
      <c r="G9672" s="18"/>
      <c r="H9672" s="16" t="s">
        <v>87</v>
      </c>
      <c r="I9672" s="16" t="s">
        <v>87</v>
      </c>
      <c r="J9672" s="19"/>
      <c r="L9672" s="16" t="str">
        <f>IFERROR(__xludf.DUMMYFUNCTION("""COMPUTED_VALUE"""),"")</f>
        <v/>
      </c>
      <c r="M9672" s="16" t="str">
        <f>IFERROR(__xludf.DUMMYFUNCTION("""COMPUTED_VALUE"""),"")</f>
        <v/>
      </c>
      <c r="U9672" s="16" t="s">
        <v>87</v>
      </c>
      <c r="V9672" s="16" t="str">
        <f>IFERROR(__xludf.DUMMYFUNCTION("""COMPUTED_VALUE"""),"")</f>
        <v/>
      </c>
      <c r="W9672" s="16" t="str">
        <f>IFERROR(__xludf.DUMMYFUNCTION("""COMPUTED_VALUE"""),"")</f>
        <v/>
      </c>
      <c r="X9672" s="16" t="str">
        <f>IFERROR(__xludf.DUMMYFUNCTION("""COMPUTED_VALUE"""),"")</f>
        <v/>
      </c>
      <c r="AC9672" s="16" t="str">
        <f>IFERROR(__xludf.DUMMYFUNCTION("""COMPUTED_VALUE"""),"")</f>
        <v/>
      </c>
    </row>
    <row r="9673">
      <c r="A9673" s="16" t="s">
        <v>87</v>
      </c>
      <c r="E9673" s="16" t="str">
        <f>IFERROR(__xludf.DUMMYFUNCTION("""COMPUTED_VALUE"""),"")</f>
        <v/>
      </c>
      <c r="G9673" s="18"/>
      <c r="H9673" s="16" t="s">
        <v>87</v>
      </c>
      <c r="I9673" s="16" t="s">
        <v>87</v>
      </c>
      <c r="J9673" s="19"/>
      <c r="L9673" s="16" t="str">
        <f>IFERROR(__xludf.DUMMYFUNCTION("""COMPUTED_VALUE"""),"")</f>
        <v/>
      </c>
      <c r="M9673" s="16" t="str">
        <f>IFERROR(__xludf.DUMMYFUNCTION("""COMPUTED_VALUE"""),"")</f>
        <v/>
      </c>
      <c r="U9673" s="16" t="s">
        <v>87</v>
      </c>
      <c r="V9673" s="16" t="str">
        <f>IFERROR(__xludf.DUMMYFUNCTION("""COMPUTED_VALUE"""),"")</f>
        <v/>
      </c>
      <c r="W9673" s="16" t="str">
        <f>IFERROR(__xludf.DUMMYFUNCTION("""COMPUTED_VALUE"""),"")</f>
        <v/>
      </c>
      <c r="X9673" s="16" t="str">
        <f>IFERROR(__xludf.DUMMYFUNCTION("""COMPUTED_VALUE"""),"")</f>
        <v/>
      </c>
      <c r="AC9673" s="16" t="str">
        <f>IFERROR(__xludf.DUMMYFUNCTION("""COMPUTED_VALUE"""),"")</f>
        <v/>
      </c>
    </row>
    <row r="9674">
      <c r="A9674" s="16" t="s">
        <v>87</v>
      </c>
      <c r="E9674" s="16" t="str">
        <f>IFERROR(__xludf.DUMMYFUNCTION("""COMPUTED_VALUE"""),"")</f>
        <v/>
      </c>
      <c r="G9674" s="18"/>
      <c r="H9674" s="16" t="s">
        <v>87</v>
      </c>
      <c r="I9674" s="16" t="s">
        <v>87</v>
      </c>
      <c r="J9674" s="19"/>
      <c r="L9674" s="16" t="str">
        <f>IFERROR(__xludf.DUMMYFUNCTION("""COMPUTED_VALUE"""),"")</f>
        <v/>
      </c>
      <c r="M9674" s="16" t="str">
        <f>IFERROR(__xludf.DUMMYFUNCTION("""COMPUTED_VALUE"""),"")</f>
        <v/>
      </c>
      <c r="U9674" s="16" t="s">
        <v>87</v>
      </c>
      <c r="V9674" s="16" t="str">
        <f>IFERROR(__xludf.DUMMYFUNCTION("""COMPUTED_VALUE"""),"")</f>
        <v/>
      </c>
      <c r="W9674" s="16" t="str">
        <f>IFERROR(__xludf.DUMMYFUNCTION("""COMPUTED_VALUE"""),"")</f>
        <v/>
      </c>
      <c r="X9674" s="16" t="str">
        <f>IFERROR(__xludf.DUMMYFUNCTION("""COMPUTED_VALUE"""),"")</f>
        <v/>
      </c>
      <c r="AC9674" s="16" t="str">
        <f>IFERROR(__xludf.DUMMYFUNCTION("""COMPUTED_VALUE"""),"")</f>
        <v/>
      </c>
    </row>
    <row r="9675">
      <c r="A9675" s="16" t="s">
        <v>87</v>
      </c>
      <c r="E9675" s="16" t="str">
        <f>IFERROR(__xludf.DUMMYFUNCTION("""COMPUTED_VALUE"""),"")</f>
        <v/>
      </c>
      <c r="G9675" s="18"/>
      <c r="H9675" s="16" t="s">
        <v>87</v>
      </c>
      <c r="I9675" s="16" t="s">
        <v>87</v>
      </c>
      <c r="J9675" s="19"/>
      <c r="L9675" s="16" t="str">
        <f>IFERROR(__xludf.DUMMYFUNCTION("""COMPUTED_VALUE"""),"")</f>
        <v/>
      </c>
      <c r="M9675" s="16" t="str">
        <f>IFERROR(__xludf.DUMMYFUNCTION("""COMPUTED_VALUE"""),"")</f>
        <v/>
      </c>
      <c r="U9675" s="16" t="s">
        <v>87</v>
      </c>
      <c r="V9675" s="16" t="str">
        <f>IFERROR(__xludf.DUMMYFUNCTION("""COMPUTED_VALUE"""),"")</f>
        <v/>
      </c>
      <c r="W9675" s="16" t="str">
        <f>IFERROR(__xludf.DUMMYFUNCTION("""COMPUTED_VALUE"""),"")</f>
        <v/>
      </c>
      <c r="X9675" s="16" t="str">
        <f>IFERROR(__xludf.DUMMYFUNCTION("""COMPUTED_VALUE"""),"")</f>
        <v/>
      </c>
      <c r="AC9675" s="16" t="str">
        <f>IFERROR(__xludf.DUMMYFUNCTION("""COMPUTED_VALUE"""),"")</f>
        <v/>
      </c>
    </row>
    <row r="9676">
      <c r="A9676" s="16" t="s">
        <v>87</v>
      </c>
      <c r="E9676" s="16" t="str">
        <f>IFERROR(__xludf.DUMMYFUNCTION("""COMPUTED_VALUE"""),"")</f>
        <v/>
      </c>
      <c r="G9676" s="18"/>
      <c r="H9676" s="16" t="s">
        <v>87</v>
      </c>
      <c r="I9676" s="16" t="s">
        <v>87</v>
      </c>
      <c r="J9676" s="19"/>
      <c r="L9676" s="16" t="str">
        <f>IFERROR(__xludf.DUMMYFUNCTION("""COMPUTED_VALUE"""),"")</f>
        <v/>
      </c>
      <c r="M9676" s="16" t="str">
        <f>IFERROR(__xludf.DUMMYFUNCTION("""COMPUTED_VALUE"""),"")</f>
        <v/>
      </c>
      <c r="U9676" s="16" t="s">
        <v>87</v>
      </c>
      <c r="V9676" s="16" t="str">
        <f>IFERROR(__xludf.DUMMYFUNCTION("""COMPUTED_VALUE"""),"")</f>
        <v/>
      </c>
      <c r="W9676" s="16" t="str">
        <f>IFERROR(__xludf.DUMMYFUNCTION("""COMPUTED_VALUE"""),"")</f>
        <v/>
      </c>
      <c r="X9676" s="16" t="str">
        <f>IFERROR(__xludf.DUMMYFUNCTION("""COMPUTED_VALUE"""),"")</f>
        <v/>
      </c>
      <c r="AC9676" s="16" t="str">
        <f>IFERROR(__xludf.DUMMYFUNCTION("""COMPUTED_VALUE"""),"")</f>
        <v/>
      </c>
    </row>
    <row r="9677">
      <c r="A9677" s="16" t="s">
        <v>87</v>
      </c>
      <c r="E9677" s="16" t="str">
        <f>IFERROR(__xludf.DUMMYFUNCTION("""COMPUTED_VALUE"""),"")</f>
        <v/>
      </c>
      <c r="G9677" s="18"/>
      <c r="H9677" s="16" t="s">
        <v>87</v>
      </c>
      <c r="I9677" s="16" t="s">
        <v>87</v>
      </c>
      <c r="J9677" s="19"/>
      <c r="L9677" s="16" t="str">
        <f>IFERROR(__xludf.DUMMYFUNCTION("""COMPUTED_VALUE"""),"")</f>
        <v/>
      </c>
      <c r="M9677" s="16" t="str">
        <f>IFERROR(__xludf.DUMMYFUNCTION("""COMPUTED_VALUE"""),"")</f>
        <v/>
      </c>
      <c r="U9677" s="16" t="s">
        <v>87</v>
      </c>
      <c r="V9677" s="16" t="str">
        <f>IFERROR(__xludf.DUMMYFUNCTION("""COMPUTED_VALUE"""),"")</f>
        <v/>
      </c>
      <c r="W9677" s="16" t="str">
        <f>IFERROR(__xludf.DUMMYFUNCTION("""COMPUTED_VALUE"""),"")</f>
        <v/>
      </c>
      <c r="X9677" s="16" t="str">
        <f>IFERROR(__xludf.DUMMYFUNCTION("""COMPUTED_VALUE"""),"")</f>
        <v/>
      </c>
      <c r="AC9677" s="16" t="str">
        <f>IFERROR(__xludf.DUMMYFUNCTION("""COMPUTED_VALUE"""),"")</f>
        <v/>
      </c>
    </row>
    <row r="9678">
      <c r="A9678" s="16" t="s">
        <v>87</v>
      </c>
      <c r="E9678" s="16" t="str">
        <f>IFERROR(__xludf.DUMMYFUNCTION("""COMPUTED_VALUE"""),"")</f>
        <v/>
      </c>
      <c r="G9678" s="18"/>
      <c r="H9678" s="16" t="s">
        <v>87</v>
      </c>
      <c r="I9678" s="16" t="s">
        <v>87</v>
      </c>
      <c r="J9678" s="19"/>
      <c r="L9678" s="16" t="str">
        <f>IFERROR(__xludf.DUMMYFUNCTION("""COMPUTED_VALUE"""),"")</f>
        <v/>
      </c>
      <c r="M9678" s="16" t="str">
        <f>IFERROR(__xludf.DUMMYFUNCTION("""COMPUTED_VALUE"""),"")</f>
        <v/>
      </c>
      <c r="U9678" s="16" t="s">
        <v>87</v>
      </c>
      <c r="V9678" s="16" t="str">
        <f>IFERROR(__xludf.DUMMYFUNCTION("""COMPUTED_VALUE"""),"")</f>
        <v/>
      </c>
      <c r="W9678" s="16" t="str">
        <f>IFERROR(__xludf.DUMMYFUNCTION("""COMPUTED_VALUE"""),"")</f>
        <v/>
      </c>
      <c r="X9678" s="16" t="str">
        <f>IFERROR(__xludf.DUMMYFUNCTION("""COMPUTED_VALUE"""),"")</f>
        <v/>
      </c>
      <c r="AC9678" s="16" t="str">
        <f>IFERROR(__xludf.DUMMYFUNCTION("""COMPUTED_VALUE"""),"")</f>
        <v/>
      </c>
    </row>
    <row r="9679">
      <c r="A9679" s="16" t="s">
        <v>87</v>
      </c>
      <c r="E9679" s="16" t="str">
        <f>IFERROR(__xludf.DUMMYFUNCTION("""COMPUTED_VALUE"""),"")</f>
        <v/>
      </c>
      <c r="G9679" s="18"/>
      <c r="H9679" s="16" t="s">
        <v>87</v>
      </c>
      <c r="I9679" s="16" t="s">
        <v>87</v>
      </c>
      <c r="J9679" s="19"/>
      <c r="L9679" s="16" t="str">
        <f>IFERROR(__xludf.DUMMYFUNCTION("""COMPUTED_VALUE"""),"")</f>
        <v/>
      </c>
      <c r="M9679" s="16" t="str">
        <f>IFERROR(__xludf.DUMMYFUNCTION("""COMPUTED_VALUE"""),"")</f>
        <v/>
      </c>
      <c r="U9679" s="16" t="s">
        <v>87</v>
      </c>
      <c r="V9679" s="16" t="str">
        <f>IFERROR(__xludf.DUMMYFUNCTION("""COMPUTED_VALUE"""),"")</f>
        <v/>
      </c>
      <c r="W9679" s="16" t="str">
        <f>IFERROR(__xludf.DUMMYFUNCTION("""COMPUTED_VALUE"""),"")</f>
        <v/>
      </c>
      <c r="X9679" s="16" t="str">
        <f>IFERROR(__xludf.DUMMYFUNCTION("""COMPUTED_VALUE"""),"")</f>
        <v/>
      </c>
      <c r="AC9679" s="16" t="str">
        <f>IFERROR(__xludf.DUMMYFUNCTION("""COMPUTED_VALUE"""),"")</f>
        <v/>
      </c>
    </row>
    <row r="9680">
      <c r="A9680" s="16" t="s">
        <v>87</v>
      </c>
      <c r="E9680" s="16" t="str">
        <f>IFERROR(__xludf.DUMMYFUNCTION("""COMPUTED_VALUE"""),"")</f>
        <v/>
      </c>
      <c r="G9680" s="18"/>
      <c r="H9680" s="16" t="s">
        <v>87</v>
      </c>
      <c r="I9680" s="16" t="s">
        <v>87</v>
      </c>
      <c r="J9680" s="19"/>
      <c r="L9680" s="16" t="str">
        <f>IFERROR(__xludf.DUMMYFUNCTION("""COMPUTED_VALUE"""),"")</f>
        <v/>
      </c>
      <c r="M9680" s="16" t="str">
        <f>IFERROR(__xludf.DUMMYFUNCTION("""COMPUTED_VALUE"""),"")</f>
        <v/>
      </c>
      <c r="U9680" s="16" t="s">
        <v>87</v>
      </c>
      <c r="V9680" s="16" t="str">
        <f>IFERROR(__xludf.DUMMYFUNCTION("""COMPUTED_VALUE"""),"")</f>
        <v/>
      </c>
      <c r="W9680" s="16" t="str">
        <f>IFERROR(__xludf.DUMMYFUNCTION("""COMPUTED_VALUE"""),"")</f>
        <v/>
      </c>
      <c r="X9680" s="16" t="str">
        <f>IFERROR(__xludf.DUMMYFUNCTION("""COMPUTED_VALUE"""),"")</f>
        <v/>
      </c>
      <c r="AC9680" s="16" t="str">
        <f>IFERROR(__xludf.DUMMYFUNCTION("""COMPUTED_VALUE"""),"")</f>
        <v/>
      </c>
    </row>
    <row r="9681">
      <c r="A9681" s="16" t="s">
        <v>87</v>
      </c>
      <c r="E9681" s="16" t="str">
        <f>IFERROR(__xludf.DUMMYFUNCTION("""COMPUTED_VALUE"""),"")</f>
        <v/>
      </c>
      <c r="G9681" s="18"/>
      <c r="H9681" s="16" t="s">
        <v>87</v>
      </c>
      <c r="I9681" s="16" t="s">
        <v>87</v>
      </c>
      <c r="J9681" s="19"/>
      <c r="L9681" s="16" t="str">
        <f>IFERROR(__xludf.DUMMYFUNCTION("""COMPUTED_VALUE"""),"")</f>
        <v/>
      </c>
      <c r="M9681" s="16" t="str">
        <f>IFERROR(__xludf.DUMMYFUNCTION("""COMPUTED_VALUE"""),"")</f>
        <v/>
      </c>
      <c r="U9681" s="16" t="s">
        <v>87</v>
      </c>
      <c r="V9681" s="16" t="str">
        <f>IFERROR(__xludf.DUMMYFUNCTION("""COMPUTED_VALUE"""),"")</f>
        <v/>
      </c>
      <c r="W9681" s="16" t="str">
        <f>IFERROR(__xludf.DUMMYFUNCTION("""COMPUTED_VALUE"""),"")</f>
        <v/>
      </c>
      <c r="X9681" s="16" t="str">
        <f>IFERROR(__xludf.DUMMYFUNCTION("""COMPUTED_VALUE"""),"")</f>
        <v/>
      </c>
      <c r="AC9681" s="16" t="str">
        <f>IFERROR(__xludf.DUMMYFUNCTION("""COMPUTED_VALUE"""),"")</f>
        <v/>
      </c>
    </row>
    <row r="9682">
      <c r="A9682" s="16" t="s">
        <v>87</v>
      </c>
      <c r="E9682" s="16" t="str">
        <f>IFERROR(__xludf.DUMMYFUNCTION("""COMPUTED_VALUE"""),"")</f>
        <v/>
      </c>
      <c r="G9682" s="18"/>
      <c r="H9682" s="16" t="s">
        <v>87</v>
      </c>
      <c r="I9682" s="16" t="s">
        <v>87</v>
      </c>
      <c r="J9682" s="19"/>
      <c r="L9682" s="16" t="str">
        <f>IFERROR(__xludf.DUMMYFUNCTION("""COMPUTED_VALUE"""),"")</f>
        <v/>
      </c>
      <c r="M9682" s="16" t="str">
        <f>IFERROR(__xludf.DUMMYFUNCTION("""COMPUTED_VALUE"""),"")</f>
        <v/>
      </c>
      <c r="U9682" s="16" t="s">
        <v>87</v>
      </c>
      <c r="V9682" s="16" t="str">
        <f>IFERROR(__xludf.DUMMYFUNCTION("""COMPUTED_VALUE"""),"")</f>
        <v/>
      </c>
      <c r="W9682" s="16" t="str">
        <f>IFERROR(__xludf.DUMMYFUNCTION("""COMPUTED_VALUE"""),"")</f>
        <v/>
      </c>
      <c r="X9682" s="16" t="str">
        <f>IFERROR(__xludf.DUMMYFUNCTION("""COMPUTED_VALUE"""),"")</f>
        <v/>
      </c>
      <c r="AC9682" s="16" t="str">
        <f>IFERROR(__xludf.DUMMYFUNCTION("""COMPUTED_VALUE"""),"")</f>
        <v/>
      </c>
    </row>
    <row r="9683">
      <c r="A9683" s="16" t="s">
        <v>87</v>
      </c>
      <c r="E9683" s="16" t="str">
        <f>IFERROR(__xludf.DUMMYFUNCTION("""COMPUTED_VALUE"""),"")</f>
        <v/>
      </c>
      <c r="G9683" s="18"/>
      <c r="H9683" s="16" t="s">
        <v>87</v>
      </c>
      <c r="I9683" s="16" t="s">
        <v>87</v>
      </c>
      <c r="J9683" s="19"/>
      <c r="L9683" s="16" t="str">
        <f>IFERROR(__xludf.DUMMYFUNCTION("""COMPUTED_VALUE"""),"")</f>
        <v/>
      </c>
      <c r="M9683" s="16" t="str">
        <f>IFERROR(__xludf.DUMMYFUNCTION("""COMPUTED_VALUE"""),"")</f>
        <v/>
      </c>
      <c r="U9683" s="16" t="s">
        <v>87</v>
      </c>
      <c r="V9683" s="16" t="str">
        <f>IFERROR(__xludf.DUMMYFUNCTION("""COMPUTED_VALUE"""),"")</f>
        <v/>
      </c>
      <c r="W9683" s="16" t="str">
        <f>IFERROR(__xludf.DUMMYFUNCTION("""COMPUTED_VALUE"""),"")</f>
        <v/>
      </c>
      <c r="X9683" s="16" t="str">
        <f>IFERROR(__xludf.DUMMYFUNCTION("""COMPUTED_VALUE"""),"")</f>
        <v/>
      </c>
      <c r="AC9683" s="16" t="str">
        <f>IFERROR(__xludf.DUMMYFUNCTION("""COMPUTED_VALUE"""),"")</f>
        <v/>
      </c>
    </row>
    <row r="9684">
      <c r="A9684" s="16" t="s">
        <v>87</v>
      </c>
      <c r="E9684" s="16" t="str">
        <f>IFERROR(__xludf.DUMMYFUNCTION("""COMPUTED_VALUE"""),"")</f>
        <v/>
      </c>
      <c r="G9684" s="18"/>
      <c r="H9684" s="16" t="s">
        <v>87</v>
      </c>
      <c r="I9684" s="16" t="s">
        <v>87</v>
      </c>
      <c r="J9684" s="19"/>
      <c r="L9684" s="16" t="str">
        <f>IFERROR(__xludf.DUMMYFUNCTION("""COMPUTED_VALUE"""),"")</f>
        <v/>
      </c>
      <c r="M9684" s="16" t="str">
        <f>IFERROR(__xludf.DUMMYFUNCTION("""COMPUTED_VALUE"""),"")</f>
        <v/>
      </c>
      <c r="U9684" s="16" t="s">
        <v>87</v>
      </c>
      <c r="V9684" s="16" t="str">
        <f>IFERROR(__xludf.DUMMYFUNCTION("""COMPUTED_VALUE"""),"")</f>
        <v/>
      </c>
      <c r="W9684" s="16" t="str">
        <f>IFERROR(__xludf.DUMMYFUNCTION("""COMPUTED_VALUE"""),"")</f>
        <v/>
      </c>
      <c r="X9684" s="16" t="str">
        <f>IFERROR(__xludf.DUMMYFUNCTION("""COMPUTED_VALUE"""),"")</f>
        <v/>
      </c>
      <c r="AC9684" s="16" t="str">
        <f>IFERROR(__xludf.DUMMYFUNCTION("""COMPUTED_VALUE"""),"")</f>
        <v/>
      </c>
    </row>
    <row r="9685">
      <c r="A9685" s="16" t="s">
        <v>87</v>
      </c>
      <c r="E9685" s="16" t="str">
        <f>IFERROR(__xludf.DUMMYFUNCTION("""COMPUTED_VALUE"""),"")</f>
        <v/>
      </c>
      <c r="G9685" s="18"/>
      <c r="H9685" s="16" t="s">
        <v>87</v>
      </c>
      <c r="I9685" s="16" t="s">
        <v>87</v>
      </c>
      <c r="J9685" s="19"/>
      <c r="L9685" s="16" t="str">
        <f>IFERROR(__xludf.DUMMYFUNCTION("""COMPUTED_VALUE"""),"")</f>
        <v/>
      </c>
      <c r="M9685" s="16" t="str">
        <f>IFERROR(__xludf.DUMMYFUNCTION("""COMPUTED_VALUE"""),"")</f>
        <v/>
      </c>
      <c r="U9685" s="16" t="s">
        <v>87</v>
      </c>
      <c r="V9685" s="16" t="str">
        <f>IFERROR(__xludf.DUMMYFUNCTION("""COMPUTED_VALUE"""),"")</f>
        <v/>
      </c>
      <c r="W9685" s="16" t="str">
        <f>IFERROR(__xludf.DUMMYFUNCTION("""COMPUTED_VALUE"""),"")</f>
        <v/>
      </c>
      <c r="X9685" s="16" t="str">
        <f>IFERROR(__xludf.DUMMYFUNCTION("""COMPUTED_VALUE"""),"")</f>
        <v/>
      </c>
      <c r="AC9685" s="16" t="str">
        <f>IFERROR(__xludf.DUMMYFUNCTION("""COMPUTED_VALUE"""),"")</f>
        <v/>
      </c>
    </row>
    <row r="9686">
      <c r="A9686" s="16" t="s">
        <v>87</v>
      </c>
      <c r="E9686" s="16" t="str">
        <f>IFERROR(__xludf.DUMMYFUNCTION("""COMPUTED_VALUE"""),"")</f>
        <v/>
      </c>
      <c r="G9686" s="18"/>
      <c r="H9686" s="16" t="s">
        <v>87</v>
      </c>
      <c r="I9686" s="16" t="s">
        <v>87</v>
      </c>
      <c r="J9686" s="19"/>
      <c r="L9686" s="16" t="str">
        <f>IFERROR(__xludf.DUMMYFUNCTION("""COMPUTED_VALUE"""),"")</f>
        <v/>
      </c>
      <c r="M9686" s="16" t="str">
        <f>IFERROR(__xludf.DUMMYFUNCTION("""COMPUTED_VALUE"""),"")</f>
        <v/>
      </c>
      <c r="U9686" s="16" t="s">
        <v>87</v>
      </c>
      <c r="V9686" s="16" t="str">
        <f>IFERROR(__xludf.DUMMYFUNCTION("""COMPUTED_VALUE"""),"")</f>
        <v/>
      </c>
      <c r="W9686" s="16" t="str">
        <f>IFERROR(__xludf.DUMMYFUNCTION("""COMPUTED_VALUE"""),"")</f>
        <v/>
      </c>
      <c r="X9686" s="16" t="str">
        <f>IFERROR(__xludf.DUMMYFUNCTION("""COMPUTED_VALUE"""),"")</f>
        <v/>
      </c>
      <c r="AC9686" s="16" t="str">
        <f>IFERROR(__xludf.DUMMYFUNCTION("""COMPUTED_VALUE"""),"")</f>
        <v/>
      </c>
    </row>
    <row r="9687">
      <c r="A9687" s="16" t="s">
        <v>87</v>
      </c>
      <c r="E9687" s="16" t="str">
        <f>IFERROR(__xludf.DUMMYFUNCTION("""COMPUTED_VALUE"""),"")</f>
        <v/>
      </c>
      <c r="G9687" s="18"/>
      <c r="H9687" s="16" t="s">
        <v>87</v>
      </c>
      <c r="I9687" s="16" t="s">
        <v>87</v>
      </c>
      <c r="J9687" s="19"/>
      <c r="L9687" s="16" t="str">
        <f>IFERROR(__xludf.DUMMYFUNCTION("""COMPUTED_VALUE"""),"")</f>
        <v/>
      </c>
      <c r="M9687" s="16" t="str">
        <f>IFERROR(__xludf.DUMMYFUNCTION("""COMPUTED_VALUE"""),"")</f>
        <v/>
      </c>
      <c r="U9687" s="16" t="s">
        <v>87</v>
      </c>
      <c r="V9687" s="16" t="str">
        <f>IFERROR(__xludf.DUMMYFUNCTION("""COMPUTED_VALUE"""),"")</f>
        <v/>
      </c>
      <c r="W9687" s="16" t="str">
        <f>IFERROR(__xludf.DUMMYFUNCTION("""COMPUTED_VALUE"""),"")</f>
        <v/>
      </c>
      <c r="X9687" s="16" t="str">
        <f>IFERROR(__xludf.DUMMYFUNCTION("""COMPUTED_VALUE"""),"")</f>
        <v/>
      </c>
      <c r="AC9687" s="16" t="str">
        <f>IFERROR(__xludf.DUMMYFUNCTION("""COMPUTED_VALUE"""),"")</f>
        <v/>
      </c>
    </row>
    <row r="9688">
      <c r="A9688" s="16" t="s">
        <v>87</v>
      </c>
      <c r="E9688" s="16" t="str">
        <f>IFERROR(__xludf.DUMMYFUNCTION("""COMPUTED_VALUE"""),"")</f>
        <v/>
      </c>
      <c r="G9688" s="18"/>
      <c r="H9688" s="16" t="s">
        <v>87</v>
      </c>
      <c r="I9688" s="16" t="s">
        <v>87</v>
      </c>
      <c r="J9688" s="19"/>
      <c r="L9688" s="16" t="str">
        <f>IFERROR(__xludf.DUMMYFUNCTION("""COMPUTED_VALUE"""),"")</f>
        <v/>
      </c>
      <c r="M9688" s="16" t="str">
        <f>IFERROR(__xludf.DUMMYFUNCTION("""COMPUTED_VALUE"""),"")</f>
        <v/>
      </c>
      <c r="U9688" s="16" t="s">
        <v>87</v>
      </c>
      <c r="V9688" s="16" t="str">
        <f>IFERROR(__xludf.DUMMYFUNCTION("""COMPUTED_VALUE"""),"")</f>
        <v/>
      </c>
      <c r="W9688" s="16" t="str">
        <f>IFERROR(__xludf.DUMMYFUNCTION("""COMPUTED_VALUE"""),"")</f>
        <v/>
      </c>
      <c r="X9688" s="16" t="str">
        <f>IFERROR(__xludf.DUMMYFUNCTION("""COMPUTED_VALUE"""),"")</f>
        <v/>
      </c>
      <c r="AC9688" s="16" t="str">
        <f>IFERROR(__xludf.DUMMYFUNCTION("""COMPUTED_VALUE"""),"")</f>
        <v/>
      </c>
    </row>
    <row r="9689">
      <c r="A9689" s="16" t="s">
        <v>87</v>
      </c>
      <c r="E9689" s="16" t="str">
        <f>IFERROR(__xludf.DUMMYFUNCTION("""COMPUTED_VALUE"""),"")</f>
        <v/>
      </c>
      <c r="G9689" s="18"/>
      <c r="H9689" s="16" t="s">
        <v>87</v>
      </c>
      <c r="I9689" s="16" t="s">
        <v>87</v>
      </c>
      <c r="J9689" s="19"/>
      <c r="L9689" s="16" t="str">
        <f>IFERROR(__xludf.DUMMYFUNCTION("""COMPUTED_VALUE"""),"")</f>
        <v/>
      </c>
      <c r="M9689" s="16" t="str">
        <f>IFERROR(__xludf.DUMMYFUNCTION("""COMPUTED_VALUE"""),"")</f>
        <v/>
      </c>
      <c r="U9689" s="16" t="s">
        <v>87</v>
      </c>
      <c r="V9689" s="16" t="str">
        <f>IFERROR(__xludf.DUMMYFUNCTION("""COMPUTED_VALUE"""),"")</f>
        <v/>
      </c>
      <c r="W9689" s="16" t="str">
        <f>IFERROR(__xludf.DUMMYFUNCTION("""COMPUTED_VALUE"""),"")</f>
        <v/>
      </c>
      <c r="X9689" s="16" t="str">
        <f>IFERROR(__xludf.DUMMYFUNCTION("""COMPUTED_VALUE"""),"")</f>
        <v/>
      </c>
      <c r="AC9689" s="16" t="str">
        <f>IFERROR(__xludf.DUMMYFUNCTION("""COMPUTED_VALUE"""),"")</f>
        <v/>
      </c>
    </row>
    <row r="9690">
      <c r="A9690" s="16" t="s">
        <v>87</v>
      </c>
      <c r="E9690" s="16" t="str">
        <f>IFERROR(__xludf.DUMMYFUNCTION("""COMPUTED_VALUE"""),"")</f>
        <v/>
      </c>
      <c r="G9690" s="18"/>
      <c r="H9690" s="16" t="s">
        <v>87</v>
      </c>
      <c r="I9690" s="16" t="s">
        <v>87</v>
      </c>
      <c r="J9690" s="19"/>
      <c r="L9690" s="16" t="str">
        <f>IFERROR(__xludf.DUMMYFUNCTION("""COMPUTED_VALUE"""),"")</f>
        <v/>
      </c>
      <c r="M9690" s="16" t="str">
        <f>IFERROR(__xludf.DUMMYFUNCTION("""COMPUTED_VALUE"""),"")</f>
        <v/>
      </c>
      <c r="U9690" s="16" t="s">
        <v>87</v>
      </c>
      <c r="V9690" s="16" t="str">
        <f>IFERROR(__xludf.DUMMYFUNCTION("""COMPUTED_VALUE"""),"")</f>
        <v/>
      </c>
      <c r="W9690" s="16" t="str">
        <f>IFERROR(__xludf.DUMMYFUNCTION("""COMPUTED_VALUE"""),"")</f>
        <v/>
      </c>
      <c r="X9690" s="16" t="str">
        <f>IFERROR(__xludf.DUMMYFUNCTION("""COMPUTED_VALUE"""),"")</f>
        <v/>
      </c>
      <c r="AC9690" s="16" t="str">
        <f>IFERROR(__xludf.DUMMYFUNCTION("""COMPUTED_VALUE"""),"")</f>
        <v/>
      </c>
    </row>
    <row r="9691">
      <c r="A9691" s="16" t="s">
        <v>87</v>
      </c>
      <c r="E9691" s="16" t="str">
        <f>IFERROR(__xludf.DUMMYFUNCTION("""COMPUTED_VALUE"""),"")</f>
        <v/>
      </c>
      <c r="G9691" s="18"/>
      <c r="H9691" s="16" t="s">
        <v>87</v>
      </c>
      <c r="I9691" s="16" t="s">
        <v>87</v>
      </c>
      <c r="J9691" s="19"/>
      <c r="L9691" s="16" t="str">
        <f>IFERROR(__xludf.DUMMYFUNCTION("""COMPUTED_VALUE"""),"")</f>
        <v/>
      </c>
      <c r="M9691" s="16" t="str">
        <f>IFERROR(__xludf.DUMMYFUNCTION("""COMPUTED_VALUE"""),"")</f>
        <v/>
      </c>
      <c r="U9691" s="16" t="s">
        <v>87</v>
      </c>
      <c r="V9691" s="16" t="str">
        <f>IFERROR(__xludf.DUMMYFUNCTION("""COMPUTED_VALUE"""),"")</f>
        <v/>
      </c>
      <c r="W9691" s="16" t="str">
        <f>IFERROR(__xludf.DUMMYFUNCTION("""COMPUTED_VALUE"""),"")</f>
        <v/>
      </c>
      <c r="X9691" s="16" t="str">
        <f>IFERROR(__xludf.DUMMYFUNCTION("""COMPUTED_VALUE"""),"")</f>
        <v/>
      </c>
      <c r="AC9691" s="16" t="str">
        <f>IFERROR(__xludf.DUMMYFUNCTION("""COMPUTED_VALUE"""),"")</f>
        <v/>
      </c>
    </row>
    <row r="9692">
      <c r="A9692" s="16" t="s">
        <v>87</v>
      </c>
      <c r="E9692" s="16" t="str">
        <f>IFERROR(__xludf.DUMMYFUNCTION("""COMPUTED_VALUE"""),"")</f>
        <v/>
      </c>
      <c r="G9692" s="18"/>
      <c r="H9692" s="16" t="s">
        <v>87</v>
      </c>
      <c r="I9692" s="16" t="s">
        <v>87</v>
      </c>
      <c r="J9692" s="19"/>
      <c r="L9692" s="16" t="str">
        <f>IFERROR(__xludf.DUMMYFUNCTION("""COMPUTED_VALUE"""),"")</f>
        <v/>
      </c>
      <c r="M9692" s="16" t="str">
        <f>IFERROR(__xludf.DUMMYFUNCTION("""COMPUTED_VALUE"""),"")</f>
        <v/>
      </c>
      <c r="U9692" s="16" t="s">
        <v>87</v>
      </c>
      <c r="V9692" s="16" t="str">
        <f>IFERROR(__xludf.DUMMYFUNCTION("""COMPUTED_VALUE"""),"")</f>
        <v/>
      </c>
      <c r="W9692" s="16" t="str">
        <f>IFERROR(__xludf.DUMMYFUNCTION("""COMPUTED_VALUE"""),"")</f>
        <v/>
      </c>
      <c r="X9692" s="16" t="str">
        <f>IFERROR(__xludf.DUMMYFUNCTION("""COMPUTED_VALUE"""),"")</f>
        <v/>
      </c>
      <c r="AC9692" s="16" t="str">
        <f>IFERROR(__xludf.DUMMYFUNCTION("""COMPUTED_VALUE"""),"")</f>
        <v/>
      </c>
    </row>
    <row r="9693">
      <c r="A9693" s="16" t="s">
        <v>87</v>
      </c>
      <c r="E9693" s="16" t="str">
        <f>IFERROR(__xludf.DUMMYFUNCTION("""COMPUTED_VALUE"""),"")</f>
        <v/>
      </c>
      <c r="G9693" s="18"/>
      <c r="H9693" s="16" t="s">
        <v>87</v>
      </c>
      <c r="I9693" s="16" t="s">
        <v>87</v>
      </c>
      <c r="J9693" s="19"/>
      <c r="L9693" s="16" t="str">
        <f>IFERROR(__xludf.DUMMYFUNCTION("""COMPUTED_VALUE"""),"")</f>
        <v/>
      </c>
      <c r="M9693" s="16" t="str">
        <f>IFERROR(__xludf.DUMMYFUNCTION("""COMPUTED_VALUE"""),"")</f>
        <v/>
      </c>
      <c r="U9693" s="16" t="s">
        <v>87</v>
      </c>
      <c r="V9693" s="16" t="str">
        <f>IFERROR(__xludf.DUMMYFUNCTION("""COMPUTED_VALUE"""),"")</f>
        <v/>
      </c>
      <c r="W9693" s="16" t="str">
        <f>IFERROR(__xludf.DUMMYFUNCTION("""COMPUTED_VALUE"""),"")</f>
        <v/>
      </c>
      <c r="X9693" s="16" t="str">
        <f>IFERROR(__xludf.DUMMYFUNCTION("""COMPUTED_VALUE"""),"")</f>
        <v/>
      </c>
      <c r="AC9693" s="16" t="str">
        <f>IFERROR(__xludf.DUMMYFUNCTION("""COMPUTED_VALUE"""),"")</f>
        <v/>
      </c>
    </row>
    <row r="9694">
      <c r="A9694" s="16" t="s">
        <v>87</v>
      </c>
      <c r="E9694" s="16" t="str">
        <f>IFERROR(__xludf.DUMMYFUNCTION("""COMPUTED_VALUE"""),"")</f>
        <v/>
      </c>
      <c r="G9694" s="18"/>
      <c r="H9694" s="16" t="s">
        <v>87</v>
      </c>
      <c r="I9694" s="16" t="s">
        <v>87</v>
      </c>
      <c r="J9694" s="19"/>
      <c r="L9694" s="16" t="str">
        <f>IFERROR(__xludf.DUMMYFUNCTION("""COMPUTED_VALUE"""),"")</f>
        <v/>
      </c>
      <c r="M9694" s="16" t="str">
        <f>IFERROR(__xludf.DUMMYFUNCTION("""COMPUTED_VALUE"""),"")</f>
        <v/>
      </c>
      <c r="U9694" s="16" t="s">
        <v>87</v>
      </c>
      <c r="V9694" s="16" t="str">
        <f>IFERROR(__xludf.DUMMYFUNCTION("""COMPUTED_VALUE"""),"")</f>
        <v/>
      </c>
      <c r="W9694" s="16" t="str">
        <f>IFERROR(__xludf.DUMMYFUNCTION("""COMPUTED_VALUE"""),"")</f>
        <v/>
      </c>
      <c r="X9694" s="16" t="str">
        <f>IFERROR(__xludf.DUMMYFUNCTION("""COMPUTED_VALUE"""),"")</f>
        <v/>
      </c>
      <c r="AC9694" s="16" t="str">
        <f>IFERROR(__xludf.DUMMYFUNCTION("""COMPUTED_VALUE"""),"")</f>
        <v/>
      </c>
    </row>
    <row r="9695">
      <c r="A9695" s="16" t="s">
        <v>87</v>
      </c>
      <c r="E9695" s="16" t="str">
        <f>IFERROR(__xludf.DUMMYFUNCTION("""COMPUTED_VALUE"""),"")</f>
        <v/>
      </c>
      <c r="G9695" s="18"/>
      <c r="H9695" s="16" t="s">
        <v>87</v>
      </c>
      <c r="I9695" s="16" t="s">
        <v>87</v>
      </c>
      <c r="J9695" s="19"/>
      <c r="L9695" s="16" t="str">
        <f>IFERROR(__xludf.DUMMYFUNCTION("""COMPUTED_VALUE"""),"")</f>
        <v/>
      </c>
      <c r="M9695" s="16" t="str">
        <f>IFERROR(__xludf.DUMMYFUNCTION("""COMPUTED_VALUE"""),"")</f>
        <v/>
      </c>
      <c r="U9695" s="16" t="s">
        <v>87</v>
      </c>
      <c r="V9695" s="16" t="str">
        <f>IFERROR(__xludf.DUMMYFUNCTION("""COMPUTED_VALUE"""),"")</f>
        <v/>
      </c>
      <c r="W9695" s="16" t="str">
        <f>IFERROR(__xludf.DUMMYFUNCTION("""COMPUTED_VALUE"""),"")</f>
        <v/>
      </c>
      <c r="X9695" s="16" t="str">
        <f>IFERROR(__xludf.DUMMYFUNCTION("""COMPUTED_VALUE"""),"")</f>
        <v/>
      </c>
      <c r="AC9695" s="16" t="str">
        <f>IFERROR(__xludf.DUMMYFUNCTION("""COMPUTED_VALUE"""),"")</f>
        <v/>
      </c>
    </row>
    <row r="9696">
      <c r="A9696" s="16" t="s">
        <v>87</v>
      </c>
      <c r="E9696" s="16" t="str">
        <f>IFERROR(__xludf.DUMMYFUNCTION("""COMPUTED_VALUE"""),"")</f>
        <v/>
      </c>
      <c r="G9696" s="18"/>
      <c r="H9696" s="16" t="s">
        <v>87</v>
      </c>
      <c r="I9696" s="16" t="s">
        <v>87</v>
      </c>
      <c r="J9696" s="19"/>
      <c r="L9696" s="16" t="str">
        <f>IFERROR(__xludf.DUMMYFUNCTION("""COMPUTED_VALUE"""),"")</f>
        <v/>
      </c>
      <c r="M9696" s="16" t="str">
        <f>IFERROR(__xludf.DUMMYFUNCTION("""COMPUTED_VALUE"""),"")</f>
        <v/>
      </c>
      <c r="U9696" s="16" t="s">
        <v>87</v>
      </c>
      <c r="V9696" s="16" t="str">
        <f>IFERROR(__xludf.DUMMYFUNCTION("""COMPUTED_VALUE"""),"")</f>
        <v/>
      </c>
      <c r="W9696" s="16" t="str">
        <f>IFERROR(__xludf.DUMMYFUNCTION("""COMPUTED_VALUE"""),"")</f>
        <v/>
      </c>
      <c r="X9696" s="16" t="str">
        <f>IFERROR(__xludf.DUMMYFUNCTION("""COMPUTED_VALUE"""),"")</f>
        <v/>
      </c>
      <c r="AC9696" s="16" t="str">
        <f>IFERROR(__xludf.DUMMYFUNCTION("""COMPUTED_VALUE"""),"")</f>
        <v/>
      </c>
    </row>
    <row r="9697">
      <c r="A9697" s="16" t="s">
        <v>87</v>
      </c>
      <c r="E9697" s="16" t="str">
        <f>IFERROR(__xludf.DUMMYFUNCTION("""COMPUTED_VALUE"""),"")</f>
        <v/>
      </c>
      <c r="G9697" s="18"/>
      <c r="H9697" s="16" t="s">
        <v>87</v>
      </c>
      <c r="I9697" s="16" t="s">
        <v>87</v>
      </c>
      <c r="J9697" s="19"/>
      <c r="L9697" s="16" t="str">
        <f>IFERROR(__xludf.DUMMYFUNCTION("""COMPUTED_VALUE"""),"")</f>
        <v/>
      </c>
      <c r="M9697" s="16" t="str">
        <f>IFERROR(__xludf.DUMMYFUNCTION("""COMPUTED_VALUE"""),"")</f>
        <v/>
      </c>
      <c r="U9697" s="16" t="s">
        <v>87</v>
      </c>
      <c r="V9697" s="16" t="str">
        <f>IFERROR(__xludf.DUMMYFUNCTION("""COMPUTED_VALUE"""),"")</f>
        <v/>
      </c>
      <c r="W9697" s="16" t="str">
        <f>IFERROR(__xludf.DUMMYFUNCTION("""COMPUTED_VALUE"""),"")</f>
        <v/>
      </c>
      <c r="X9697" s="16" t="str">
        <f>IFERROR(__xludf.DUMMYFUNCTION("""COMPUTED_VALUE"""),"")</f>
        <v/>
      </c>
      <c r="AC9697" s="16" t="str">
        <f>IFERROR(__xludf.DUMMYFUNCTION("""COMPUTED_VALUE"""),"")</f>
        <v/>
      </c>
    </row>
    <row r="9698">
      <c r="A9698" s="16" t="s">
        <v>87</v>
      </c>
      <c r="E9698" s="16" t="str">
        <f>IFERROR(__xludf.DUMMYFUNCTION("""COMPUTED_VALUE"""),"")</f>
        <v/>
      </c>
      <c r="G9698" s="18"/>
      <c r="H9698" s="16" t="s">
        <v>87</v>
      </c>
      <c r="I9698" s="16" t="s">
        <v>87</v>
      </c>
      <c r="J9698" s="19"/>
      <c r="L9698" s="16" t="str">
        <f>IFERROR(__xludf.DUMMYFUNCTION("""COMPUTED_VALUE"""),"")</f>
        <v/>
      </c>
      <c r="M9698" s="16" t="str">
        <f>IFERROR(__xludf.DUMMYFUNCTION("""COMPUTED_VALUE"""),"")</f>
        <v/>
      </c>
      <c r="U9698" s="16" t="s">
        <v>87</v>
      </c>
      <c r="V9698" s="16" t="str">
        <f>IFERROR(__xludf.DUMMYFUNCTION("""COMPUTED_VALUE"""),"")</f>
        <v/>
      </c>
      <c r="W9698" s="16" t="str">
        <f>IFERROR(__xludf.DUMMYFUNCTION("""COMPUTED_VALUE"""),"")</f>
        <v/>
      </c>
      <c r="X9698" s="16" t="str">
        <f>IFERROR(__xludf.DUMMYFUNCTION("""COMPUTED_VALUE"""),"")</f>
        <v/>
      </c>
      <c r="AC9698" s="16" t="str">
        <f>IFERROR(__xludf.DUMMYFUNCTION("""COMPUTED_VALUE"""),"")</f>
        <v/>
      </c>
    </row>
    <row r="9699">
      <c r="A9699" s="16" t="s">
        <v>87</v>
      </c>
      <c r="E9699" s="16" t="str">
        <f>IFERROR(__xludf.DUMMYFUNCTION("""COMPUTED_VALUE"""),"")</f>
        <v/>
      </c>
      <c r="G9699" s="18"/>
      <c r="H9699" s="16" t="s">
        <v>87</v>
      </c>
      <c r="I9699" s="16" t="s">
        <v>87</v>
      </c>
      <c r="J9699" s="19"/>
      <c r="L9699" s="16" t="str">
        <f>IFERROR(__xludf.DUMMYFUNCTION("""COMPUTED_VALUE"""),"")</f>
        <v/>
      </c>
      <c r="M9699" s="16" t="str">
        <f>IFERROR(__xludf.DUMMYFUNCTION("""COMPUTED_VALUE"""),"")</f>
        <v/>
      </c>
      <c r="U9699" s="16" t="s">
        <v>87</v>
      </c>
      <c r="V9699" s="16" t="str">
        <f>IFERROR(__xludf.DUMMYFUNCTION("""COMPUTED_VALUE"""),"")</f>
        <v/>
      </c>
      <c r="W9699" s="16" t="str">
        <f>IFERROR(__xludf.DUMMYFUNCTION("""COMPUTED_VALUE"""),"")</f>
        <v/>
      </c>
      <c r="X9699" s="16" t="str">
        <f>IFERROR(__xludf.DUMMYFUNCTION("""COMPUTED_VALUE"""),"")</f>
        <v/>
      </c>
      <c r="AC9699" s="16" t="str">
        <f>IFERROR(__xludf.DUMMYFUNCTION("""COMPUTED_VALUE"""),"")</f>
        <v/>
      </c>
    </row>
    <row r="9700">
      <c r="A9700" s="16" t="s">
        <v>87</v>
      </c>
      <c r="E9700" s="16" t="str">
        <f>IFERROR(__xludf.DUMMYFUNCTION("""COMPUTED_VALUE"""),"")</f>
        <v/>
      </c>
      <c r="G9700" s="18"/>
      <c r="H9700" s="16" t="s">
        <v>87</v>
      </c>
      <c r="I9700" s="16" t="s">
        <v>87</v>
      </c>
      <c r="J9700" s="19"/>
      <c r="L9700" s="16" t="str">
        <f>IFERROR(__xludf.DUMMYFUNCTION("""COMPUTED_VALUE"""),"")</f>
        <v/>
      </c>
      <c r="M9700" s="16" t="str">
        <f>IFERROR(__xludf.DUMMYFUNCTION("""COMPUTED_VALUE"""),"")</f>
        <v/>
      </c>
      <c r="U9700" s="16" t="s">
        <v>87</v>
      </c>
      <c r="V9700" s="16" t="str">
        <f>IFERROR(__xludf.DUMMYFUNCTION("""COMPUTED_VALUE"""),"")</f>
        <v/>
      </c>
      <c r="W9700" s="16" t="str">
        <f>IFERROR(__xludf.DUMMYFUNCTION("""COMPUTED_VALUE"""),"")</f>
        <v/>
      </c>
      <c r="X9700" s="16" t="str">
        <f>IFERROR(__xludf.DUMMYFUNCTION("""COMPUTED_VALUE"""),"")</f>
        <v/>
      </c>
      <c r="AC9700" s="16" t="str">
        <f>IFERROR(__xludf.DUMMYFUNCTION("""COMPUTED_VALUE"""),"")</f>
        <v/>
      </c>
    </row>
    <row r="9701">
      <c r="A9701" s="16" t="s">
        <v>87</v>
      </c>
      <c r="E9701" s="16" t="str">
        <f>IFERROR(__xludf.DUMMYFUNCTION("""COMPUTED_VALUE"""),"")</f>
        <v/>
      </c>
      <c r="G9701" s="18"/>
      <c r="H9701" s="16" t="s">
        <v>87</v>
      </c>
      <c r="I9701" s="16" t="s">
        <v>87</v>
      </c>
      <c r="J9701" s="19"/>
      <c r="L9701" s="16" t="str">
        <f>IFERROR(__xludf.DUMMYFUNCTION("""COMPUTED_VALUE"""),"")</f>
        <v/>
      </c>
      <c r="M9701" s="16" t="str">
        <f>IFERROR(__xludf.DUMMYFUNCTION("""COMPUTED_VALUE"""),"")</f>
        <v/>
      </c>
      <c r="U9701" s="16" t="s">
        <v>87</v>
      </c>
      <c r="V9701" s="16" t="str">
        <f>IFERROR(__xludf.DUMMYFUNCTION("""COMPUTED_VALUE"""),"")</f>
        <v/>
      </c>
      <c r="W9701" s="16" t="str">
        <f>IFERROR(__xludf.DUMMYFUNCTION("""COMPUTED_VALUE"""),"")</f>
        <v/>
      </c>
      <c r="X9701" s="16" t="str">
        <f>IFERROR(__xludf.DUMMYFUNCTION("""COMPUTED_VALUE"""),"")</f>
        <v/>
      </c>
      <c r="AC9701" s="16" t="str">
        <f>IFERROR(__xludf.DUMMYFUNCTION("""COMPUTED_VALUE"""),"")</f>
        <v/>
      </c>
    </row>
    <row r="9702">
      <c r="A9702" s="16" t="s">
        <v>87</v>
      </c>
      <c r="E9702" s="16" t="str">
        <f>IFERROR(__xludf.DUMMYFUNCTION("""COMPUTED_VALUE"""),"")</f>
        <v/>
      </c>
      <c r="G9702" s="18"/>
      <c r="H9702" s="16" t="s">
        <v>87</v>
      </c>
      <c r="I9702" s="16" t="s">
        <v>87</v>
      </c>
      <c r="J9702" s="19"/>
      <c r="L9702" s="16" t="str">
        <f>IFERROR(__xludf.DUMMYFUNCTION("""COMPUTED_VALUE"""),"")</f>
        <v/>
      </c>
      <c r="M9702" s="16" t="str">
        <f>IFERROR(__xludf.DUMMYFUNCTION("""COMPUTED_VALUE"""),"")</f>
        <v/>
      </c>
      <c r="U9702" s="16" t="s">
        <v>87</v>
      </c>
      <c r="V9702" s="16" t="str">
        <f>IFERROR(__xludf.DUMMYFUNCTION("""COMPUTED_VALUE"""),"")</f>
        <v/>
      </c>
      <c r="W9702" s="16" t="str">
        <f>IFERROR(__xludf.DUMMYFUNCTION("""COMPUTED_VALUE"""),"")</f>
        <v/>
      </c>
      <c r="X9702" s="16" t="str">
        <f>IFERROR(__xludf.DUMMYFUNCTION("""COMPUTED_VALUE"""),"")</f>
        <v/>
      </c>
      <c r="AC9702" s="16" t="str">
        <f>IFERROR(__xludf.DUMMYFUNCTION("""COMPUTED_VALUE"""),"")</f>
        <v/>
      </c>
    </row>
    <row r="9703">
      <c r="A9703" s="16" t="s">
        <v>87</v>
      </c>
      <c r="E9703" s="16" t="str">
        <f>IFERROR(__xludf.DUMMYFUNCTION("""COMPUTED_VALUE"""),"")</f>
        <v/>
      </c>
      <c r="G9703" s="18"/>
      <c r="H9703" s="16" t="s">
        <v>87</v>
      </c>
      <c r="I9703" s="16" t="s">
        <v>87</v>
      </c>
      <c r="J9703" s="19"/>
      <c r="L9703" s="16" t="str">
        <f>IFERROR(__xludf.DUMMYFUNCTION("""COMPUTED_VALUE"""),"")</f>
        <v/>
      </c>
      <c r="M9703" s="16" t="str">
        <f>IFERROR(__xludf.DUMMYFUNCTION("""COMPUTED_VALUE"""),"")</f>
        <v/>
      </c>
      <c r="U9703" s="16" t="s">
        <v>87</v>
      </c>
      <c r="V9703" s="16" t="str">
        <f>IFERROR(__xludf.DUMMYFUNCTION("""COMPUTED_VALUE"""),"")</f>
        <v/>
      </c>
      <c r="W9703" s="16" t="str">
        <f>IFERROR(__xludf.DUMMYFUNCTION("""COMPUTED_VALUE"""),"")</f>
        <v/>
      </c>
      <c r="X9703" s="16" t="str">
        <f>IFERROR(__xludf.DUMMYFUNCTION("""COMPUTED_VALUE"""),"")</f>
        <v/>
      </c>
      <c r="AC9703" s="16" t="str">
        <f>IFERROR(__xludf.DUMMYFUNCTION("""COMPUTED_VALUE"""),"")</f>
        <v/>
      </c>
    </row>
    <row r="9704">
      <c r="A9704" s="16" t="s">
        <v>87</v>
      </c>
      <c r="E9704" s="16" t="str">
        <f>IFERROR(__xludf.DUMMYFUNCTION("""COMPUTED_VALUE"""),"")</f>
        <v/>
      </c>
      <c r="G9704" s="18"/>
      <c r="H9704" s="16" t="s">
        <v>87</v>
      </c>
      <c r="I9704" s="16" t="s">
        <v>87</v>
      </c>
      <c r="J9704" s="19"/>
      <c r="L9704" s="16" t="str">
        <f>IFERROR(__xludf.DUMMYFUNCTION("""COMPUTED_VALUE"""),"")</f>
        <v/>
      </c>
      <c r="M9704" s="16" t="str">
        <f>IFERROR(__xludf.DUMMYFUNCTION("""COMPUTED_VALUE"""),"")</f>
        <v/>
      </c>
      <c r="U9704" s="16" t="s">
        <v>87</v>
      </c>
      <c r="V9704" s="16" t="str">
        <f>IFERROR(__xludf.DUMMYFUNCTION("""COMPUTED_VALUE"""),"")</f>
        <v/>
      </c>
      <c r="W9704" s="16" t="str">
        <f>IFERROR(__xludf.DUMMYFUNCTION("""COMPUTED_VALUE"""),"")</f>
        <v/>
      </c>
      <c r="X9704" s="16" t="str">
        <f>IFERROR(__xludf.DUMMYFUNCTION("""COMPUTED_VALUE"""),"")</f>
        <v/>
      </c>
      <c r="AC9704" s="16" t="str">
        <f>IFERROR(__xludf.DUMMYFUNCTION("""COMPUTED_VALUE"""),"")</f>
        <v/>
      </c>
    </row>
    <row r="9705">
      <c r="A9705" s="16" t="s">
        <v>87</v>
      </c>
      <c r="E9705" s="16" t="str">
        <f>IFERROR(__xludf.DUMMYFUNCTION("""COMPUTED_VALUE"""),"")</f>
        <v/>
      </c>
      <c r="G9705" s="18"/>
      <c r="H9705" s="16" t="s">
        <v>87</v>
      </c>
      <c r="I9705" s="16" t="s">
        <v>87</v>
      </c>
      <c r="J9705" s="19"/>
      <c r="L9705" s="16" t="str">
        <f>IFERROR(__xludf.DUMMYFUNCTION("""COMPUTED_VALUE"""),"")</f>
        <v/>
      </c>
      <c r="M9705" s="16" t="str">
        <f>IFERROR(__xludf.DUMMYFUNCTION("""COMPUTED_VALUE"""),"")</f>
        <v/>
      </c>
      <c r="U9705" s="16" t="s">
        <v>87</v>
      </c>
      <c r="V9705" s="16" t="str">
        <f>IFERROR(__xludf.DUMMYFUNCTION("""COMPUTED_VALUE"""),"")</f>
        <v/>
      </c>
      <c r="W9705" s="16" t="str">
        <f>IFERROR(__xludf.DUMMYFUNCTION("""COMPUTED_VALUE"""),"")</f>
        <v/>
      </c>
      <c r="X9705" s="16" t="str">
        <f>IFERROR(__xludf.DUMMYFUNCTION("""COMPUTED_VALUE"""),"")</f>
        <v/>
      </c>
      <c r="AC9705" s="16" t="str">
        <f>IFERROR(__xludf.DUMMYFUNCTION("""COMPUTED_VALUE"""),"")</f>
        <v/>
      </c>
    </row>
    <row r="9706">
      <c r="A9706" s="16" t="s">
        <v>87</v>
      </c>
      <c r="E9706" s="16" t="str">
        <f>IFERROR(__xludf.DUMMYFUNCTION("""COMPUTED_VALUE"""),"")</f>
        <v/>
      </c>
      <c r="G9706" s="18"/>
      <c r="H9706" s="16" t="s">
        <v>87</v>
      </c>
      <c r="I9706" s="16" t="s">
        <v>87</v>
      </c>
      <c r="J9706" s="19"/>
      <c r="L9706" s="16" t="str">
        <f>IFERROR(__xludf.DUMMYFUNCTION("""COMPUTED_VALUE"""),"")</f>
        <v/>
      </c>
      <c r="M9706" s="16" t="str">
        <f>IFERROR(__xludf.DUMMYFUNCTION("""COMPUTED_VALUE"""),"")</f>
        <v/>
      </c>
      <c r="U9706" s="16" t="s">
        <v>87</v>
      </c>
      <c r="V9706" s="16" t="str">
        <f>IFERROR(__xludf.DUMMYFUNCTION("""COMPUTED_VALUE"""),"")</f>
        <v/>
      </c>
      <c r="W9706" s="16" t="str">
        <f>IFERROR(__xludf.DUMMYFUNCTION("""COMPUTED_VALUE"""),"")</f>
        <v/>
      </c>
      <c r="X9706" s="16" t="str">
        <f>IFERROR(__xludf.DUMMYFUNCTION("""COMPUTED_VALUE"""),"")</f>
        <v/>
      </c>
      <c r="AC9706" s="16" t="str">
        <f>IFERROR(__xludf.DUMMYFUNCTION("""COMPUTED_VALUE"""),"")</f>
        <v/>
      </c>
    </row>
    <row r="9707">
      <c r="A9707" s="16" t="s">
        <v>87</v>
      </c>
      <c r="E9707" s="16" t="str">
        <f>IFERROR(__xludf.DUMMYFUNCTION("""COMPUTED_VALUE"""),"")</f>
        <v/>
      </c>
      <c r="G9707" s="18"/>
      <c r="H9707" s="16" t="s">
        <v>87</v>
      </c>
      <c r="I9707" s="16" t="s">
        <v>87</v>
      </c>
      <c r="J9707" s="19"/>
      <c r="L9707" s="16" t="str">
        <f>IFERROR(__xludf.DUMMYFUNCTION("""COMPUTED_VALUE"""),"")</f>
        <v/>
      </c>
      <c r="M9707" s="16" t="str">
        <f>IFERROR(__xludf.DUMMYFUNCTION("""COMPUTED_VALUE"""),"")</f>
        <v/>
      </c>
      <c r="U9707" s="16" t="s">
        <v>87</v>
      </c>
      <c r="V9707" s="16" t="str">
        <f>IFERROR(__xludf.DUMMYFUNCTION("""COMPUTED_VALUE"""),"")</f>
        <v/>
      </c>
      <c r="W9707" s="16" t="str">
        <f>IFERROR(__xludf.DUMMYFUNCTION("""COMPUTED_VALUE"""),"")</f>
        <v/>
      </c>
      <c r="X9707" s="16" t="str">
        <f>IFERROR(__xludf.DUMMYFUNCTION("""COMPUTED_VALUE"""),"")</f>
        <v/>
      </c>
      <c r="AC9707" s="16" t="str">
        <f>IFERROR(__xludf.DUMMYFUNCTION("""COMPUTED_VALUE"""),"")</f>
        <v/>
      </c>
    </row>
    <row r="9708">
      <c r="A9708" s="16" t="s">
        <v>87</v>
      </c>
      <c r="E9708" s="16" t="str">
        <f>IFERROR(__xludf.DUMMYFUNCTION("""COMPUTED_VALUE"""),"")</f>
        <v/>
      </c>
      <c r="G9708" s="18"/>
      <c r="H9708" s="16" t="s">
        <v>87</v>
      </c>
      <c r="I9708" s="16" t="s">
        <v>87</v>
      </c>
      <c r="J9708" s="19"/>
      <c r="L9708" s="16" t="str">
        <f>IFERROR(__xludf.DUMMYFUNCTION("""COMPUTED_VALUE"""),"")</f>
        <v/>
      </c>
      <c r="M9708" s="16" t="str">
        <f>IFERROR(__xludf.DUMMYFUNCTION("""COMPUTED_VALUE"""),"")</f>
        <v/>
      </c>
      <c r="U9708" s="16" t="s">
        <v>87</v>
      </c>
      <c r="V9708" s="16" t="str">
        <f>IFERROR(__xludf.DUMMYFUNCTION("""COMPUTED_VALUE"""),"")</f>
        <v/>
      </c>
      <c r="W9708" s="16" t="str">
        <f>IFERROR(__xludf.DUMMYFUNCTION("""COMPUTED_VALUE"""),"")</f>
        <v/>
      </c>
      <c r="X9708" s="16" t="str">
        <f>IFERROR(__xludf.DUMMYFUNCTION("""COMPUTED_VALUE"""),"")</f>
        <v/>
      </c>
      <c r="AC9708" s="16" t="str">
        <f>IFERROR(__xludf.DUMMYFUNCTION("""COMPUTED_VALUE"""),"")</f>
        <v/>
      </c>
    </row>
    <row r="9709">
      <c r="A9709" s="16" t="s">
        <v>87</v>
      </c>
      <c r="E9709" s="16" t="str">
        <f>IFERROR(__xludf.DUMMYFUNCTION("""COMPUTED_VALUE"""),"")</f>
        <v/>
      </c>
      <c r="G9709" s="18"/>
      <c r="H9709" s="16" t="s">
        <v>87</v>
      </c>
      <c r="I9709" s="16" t="s">
        <v>87</v>
      </c>
      <c r="J9709" s="19"/>
      <c r="L9709" s="16" t="str">
        <f>IFERROR(__xludf.DUMMYFUNCTION("""COMPUTED_VALUE"""),"")</f>
        <v/>
      </c>
      <c r="M9709" s="16" t="str">
        <f>IFERROR(__xludf.DUMMYFUNCTION("""COMPUTED_VALUE"""),"")</f>
        <v/>
      </c>
      <c r="U9709" s="16" t="s">
        <v>87</v>
      </c>
      <c r="V9709" s="16" t="str">
        <f>IFERROR(__xludf.DUMMYFUNCTION("""COMPUTED_VALUE"""),"")</f>
        <v/>
      </c>
      <c r="W9709" s="16" t="str">
        <f>IFERROR(__xludf.DUMMYFUNCTION("""COMPUTED_VALUE"""),"")</f>
        <v/>
      </c>
      <c r="X9709" s="16" t="str">
        <f>IFERROR(__xludf.DUMMYFUNCTION("""COMPUTED_VALUE"""),"")</f>
        <v/>
      </c>
      <c r="AC9709" s="16" t="str">
        <f>IFERROR(__xludf.DUMMYFUNCTION("""COMPUTED_VALUE"""),"")</f>
        <v/>
      </c>
    </row>
    <row r="9710">
      <c r="A9710" s="16" t="s">
        <v>87</v>
      </c>
      <c r="E9710" s="16" t="str">
        <f>IFERROR(__xludf.DUMMYFUNCTION("""COMPUTED_VALUE"""),"")</f>
        <v/>
      </c>
      <c r="G9710" s="18"/>
      <c r="H9710" s="16" t="s">
        <v>87</v>
      </c>
      <c r="I9710" s="16" t="s">
        <v>87</v>
      </c>
      <c r="J9710" s="19"/>
      <c r="L9710" s="16" t="str">
        <f>IFERROR(__xludf.DUMMYFUNCTION("""COMPUTED_VALUE"""),"")</f>
        <v/>
      </c>
      <c r="M9710" s="16" t="str">
        <f>IFERROR(__xludf.DUMMYFUNCTION("""COMPUTED_VALUE"""),"")</f>
        <v/>
      </c>
      <c r="U9710" s="16" t="s">
        <v>87</v>
      </c>
      <c r="V9710" s="16" t="str">
        <f>IFERROR(__xludf.DUMMYFUNCTION("""COMPUTED_VALUE"""),"")</f>
        <v/>
      </c>
      <c r="W9710" s="16" t="str">
        <f>IFERROR(__xludf.DUMMYFUNCTION("""COMPUTED_VALUE"""),"")</f>
        <v/>
      </c>
      <c r="X9710" s="16" t="str">
        <f>IFERROR(__xludf.DUMMYFUNCTION("""COMPUTED_VALUE"""),"")</f>
        <v/>
      </c>
      <c r="AC9710" s="16" t="str">
        <f>IFERROR(__xludf.DUMMYFUNCTION("""COMPUTED_VALUE"""),"")</f>
        <v/>
      </c>
    </row>
    <row r="9711">
      <c r="A9711" s="16" t="s">
        <v>87</v>
      </c>
      <c r="E9711" s="16" t="str">
        <f>IFERROR(__xludf.DUMMYFUNCTION("""COMPUTED_VALUE"""),"")</f>
        <v/>
      </c>
      <c r="G9711" s="18"/>
      <c r="H9711" s="16" t="s">
        <v>87</v>
      </c>
      <c r="I9711" s="16" t="s">
        <v>87</v>
      </c>
      <c r="J9711" s="19"/>
      <c r="L9711" s="16" t="str">
        <f>IFERROR(__xludf.DUMMYFUNCTION("""COMPUTED_VALUE"""),"")</f>
        <v/>
      </c>
      <c r="M9711" s="16" t="str">
        <f>IFERROR(__xludf.DUMMYFUNCTION("""COMPUTED_VALUE"""),"")</f>
        <v/>
      </c>
      <c r="U9711" s="16" t="s">
        <v>87</v>
      </c>
      <c r="V9711" s="16" t="str">
        <f>IFERROR(__xludf.DUMMYFUNCTION("""COMPUTED_VALUE"""),"")</f>
        <v/>
      </c>
      <c r="W9711" s="16" t="str">
        <f>IFERROR(__xludf.DUMMYFUNCTION("""COMPUTED_VALUE"""),"")</f>
        <v/>
      </c>
      <c r="X9711" s="16" t="str">
        <f>IFERROR(__xludf.DUMMYFUNCTION("""COMPUTED_VALUE"""),"")</f>
        <v/>
      </c>
      <c r="AC9711" s="16" t="str">
        <f>IFERROR(__xludf.DUMMYFUNCTION("""COMPUTED_VALUE"""),"")</f>
        <v/>
      </c>
    </row>
    <row r="9712">
      <c r="A9712" s="16" t="s">
        <v>87</v>
      </c>
      <c r="E9712" s="16" t="str">
        <f>IFERROR(__xludf.DUMMYFUNCTION("""COMPUTED_VALUE"""),"")</f>
        <v/>
      </c>
      <c r="G9712" s="18"/>
      <c r="H9712" s="16" t="s">
        <v>87</v>
      </c>
      <c r="I9712" s="16" t="s">
        <v>87</v>
      </c>
      <c r="J9712" s="19"/>
      <c r="L9712" s="16" t="str">
        <f>IFERROR(__xludf.DUMMYFUNCTION("""COMPUTED_VALUE"""),"")</f>
        <v/>
      </c>
      <c r="M9712" s="16" t="str">
        <f>IFERROR(__xludf.DUMMYFUNCTION("""COMPUTED_VALUE"""),"")</f>
        <v/>
      </c>
      <c r="U9712" s="16" t="s">
        <v>87</v>
      </c>
      <c r="V9712" s="16" t="str">
        <f>IFERROR(__xludf.DUMMYFUNCTION("""COMPUTED_VALUE"""),"")</f>
        <v/>
      </c>
      <c r="W9712" s="16" t="str">
        <f>IFERROR(__xludf.DUMMYFUNCTION("""COMPUTED_VALUE"""),"")</f>
        <v/>
      </c>
      <c r="X9712" s="16" t="str">
        <f>IFERROR(__xludf.DUMMYFUNCTION("""COMPUTED_VALUE"""),"")</f>
        <v/>
      </c>
      <c r="AC9712" s="16" t="str">
        <f>IFERROR(__xludf.DUMMYFUNCTION("""COMPUTED_VALUE"""),"")</f>
        <v/>
      </c>
    </row>
    <row r="9713">
      <c r="A9713" s="16" t="s">
        <v>87</v>
      </c>
      <c r="E9713" s="16" t="str">
        <f>IFERROR(__xludf.DUMMYFUNCTION("""COMPUTED_VALUE"""),"")</f>
        <v/>
      </c>
      <c r="G9713" s="18"/>
      <c r="H9713" s="16" t="s">
        <v>87</v>
      </c>
      <c r="I9713" s="16" t="s">
        <v>87</v>
      </c>
      <c r="J9713" s="19"/>
      <c r="L9713" s="16" t="str">
        <f>IFERROR(__xludf.DUMMYFUNCTION("""COMPUTED_VALUE"""),"")</f>
        <v/>
      </c>
      <c r="M9713" s="16" t="str">
        <f>IFERROR(__xludf.DUMMYFUNCTION("""COMPUTED_VALUE"""),"")</f>
        <v/>
      </c>
      <c r="U9713" s="16" t="s">
        <v>87</v>
      </c>
      <c r="V9713" s="16" t="str">
        <f>IFERROR(__xludf.DUMMYFUNCTION("""COMPUTED_VALUE"""),"")</f>
        <v/>
      </c>
      <c r="W9713" s="16" t="str">
        <f>IFERROR(__xludf.DUMMYFUNCTION("""COMPUTED_VALUE"""),"")</f>
        <v/>
      </c>
      <c r="X9713" s="16" t="str">
        <f>IFERROR(__xludf.DUMMYFUNCTION("""COMPUTED_VALUE"""),"")</f>
        <v/>
      </c>
      <c r="AC9713" s="16" t="str">
        <f>IFERROR(__xludf.DUMMYFUNCTION("""COMPUTED_VALUE"""),"")</f>
        <v/>
      </c>
    </row>
    <row r="9714">
      <c r="A9714" s="16" t="s">
        <v>87</v>
      </c>
      <c r="E9714" s="16" t="str">
        <f>IFERROR(__xludf.DUMMYFUNCTION("""COMPUTED_VALUE"""),"")</f>
        <v/>
      </c>
      <c r="G9714" s="18"/>
      <c r="H9714" s="16" t="s">
        <v>87</v>
      </c>
      <c r="I9714" s="16" t="s">
        <v>87</v>
      </c>
      <c r="J9714" s="19"/>
      <c r="L9714" s="16" t="str">
        <f>IFERROR(__xludf.DUMMYFUNCTION("""COMPUTED_VALUE"""),"")</f>
        <v/>
      </c>
      <c r="M9714" s="16" t="str">
        <f>IFERROR(__xludf.DUMMYFUNCTION("""COMPUTED_VALUE"""),"")</f>
        <v/>
      </c>
      <c r="U9714" s="16" t="s">
        <v>87</v>
      </c>
      <c r="V9714" s="16" t="str">
        <f>IFERROR(__xludf.DUMMYFUNCTION("""COMPUTED_VALUE"""),"")</f>
        <v/>
      </c>
      <c r="W9714" s="16" t="str">
        <f>IFERROR(__xludf.DUMMYFUNCTION("""COMPUTED_VALUE"""),"")</f>
        <v/>
      </c>
      <c r="X9714" s="16" t="str">
        <f>IFERROR(__xludf.DUMMYFUNCTION("""COMPUTED_VALUE"""),"")</f>
        <v/>
      </c>
      <c r="AC9714" s="16" t="str">
        <f>IFERROR(__xludf.DUMMYFUNCTION("""COMPUTED_VALUE"""),"")</f>
        <v/>
      </c>
    </row>
    <row r="9715">
      <c r="A9715" s="16" t="s">
        <v>87</v>
      </c>
      <c r="E9715" s="16" t="str">
        <f>IFERROR(__xludf.DUMMYFUNCTION("""COMPUTED_VALUE"""),"")</f>
        <v/>
      </c>
      <c r="G9715" s="18"/>
      <c r="H9715" s="16" t="s">
        <v>87</v>
      </c>
      <c r="I9715" s="16" t="s">
        <v>87</v>
      </c>
      <c r="J9715" s="19"/>
      <c r="L9715" s="16" t="str">
        <f>IFERROR(__xludf.DUMMYFUNCTION("""COMPUTED_VALUE"""),"")</f>
        <v/>
      </c>
      <c r="M9715" s="16" t="str">
        <f>IFERROR(__xludf.DUMMYFUNCTION("""COMPUTED_VALUE"""),"")</f>
        <v/>
      </c>
      <c r="U9715" s="16" t="s">
        <v>87</v>
      </c>
      <c r="V9715" s="16" t="str">
        <f>IFERROR(__xludf.DUMMYFUNCTION("""COMPUTED_VALUE"""),"")</f>
        <v/>
      </c>
      <c r="W9715" s="16" t="str">
        <f>IFERROR(__xludf.DUMMYFUNCTION("""COMPUTED_VALUE"""),"")</f>
        <v/>
      </c>
      <c r="X9715" s="16" t="str">
        <f>IFERROR(__xludf.DUMMYFUNCTION("""COMPUTED_VALUE"""),"")</f>
        <v/>
      </c>
      <c r="AC9715" s="16" t="str">
        <f>IFERROR(__xludf.DUMMYFUNCTION("""COMPUTED_VALUE"""),"")</f>
        <v/>
      </c>
    </row>
    <row r="9716">
      <c r="A9716" s="16" t="s">
        <v>87</v>
      </c>
      <c r="E9716" s="16" t="str">
        <f>IFERROR(__xludf.DUMMYFUNCTION("""COMPUTED_VALUE"""),"")</f>
        <v/>
      </c>
      <c r="G9716" s="18"/>
      <c r="H9716" s="16" t="s">
        <v>87</v>
      </c>
      <c r="I9716" s="16" t="s">
        <v>87</v>
      </c>
      <c r="J9716" s="19"/>
      <c r="L9716" s="16" t="str">
        <f>IFERROR(__xludf.DUMMYFUNCTION("""COMPUTED_VALUE"""),"")</f>
        <v/>
      </c>
      <c r="M9716" s="16" t="str">
        <f>IFERROR(__xludf.DUMMYFUNCTION("""COMPUTED_VALUE"""),"")</f>
        <v/>
      </c>
      <c r="U9716" s="16" t="s">
        <v>87</v>
      </c>
      <c r="V9716" s="16" t="str">
        <f>IFERROR(__xludf.DUMMYFUNCTION("""COMPUTED_VALUE"""),"")</f>
        <v/>
      </c>
      <c r="W9716" s="16" t="str">
        <f>IFERROR(__xludf.DUMMYFUNCTION("""COMPUTED_VALUE"""),"")</f>
        <v/>
      </c>
      <c r="X9716" s="16" t="str">
        <f>IFERROR(__xludf.DUMMYFUNCTION("""COMPUTED_VALUE"""),"")</f>
        <v/>
      </c>
      <c r="AC9716" s="16" t="str">
        <f>IFERROR(__xludf.DUMMYFUNCTION("""COMPUTED_VALUE"""),"")</f>
        <v/>
      </c>
    </row>
    <row r="9717">
      <c r="A9717" s="16" t="s">
        <v>87</v>
      </c>
      <c r="E9717" s="16" t="str">
        <f>IFERROR(__xludf.DUMMYFUNCTION("""COMPUTED_VALUE"""),"")</f>
        <v/>
      </c>
      <c r="G9717" s="18"/>
      <c r="H9717" s="16" t="s">
        <v>87</v>
      </c>
      <c r="I9717" s="16" t="s">
        <v>87</v>
      </c>
      <c r="J9717" s="19"/>
      <c r="L9717" s="16" t="str">
        <f>IFERROR(__xludf.DUMMYFUNCTION("""COMPUTED_VALUE"""),"")</f>
        <v/>
      </c>
      <c r="M9717" s="16" t="str">
        <f>IFERROR(__xludf.DUMMYFUNCTION("""COMPUTED_VALUE"""),"")</f>
        <v/>
      </c>
      <c r="U9717" s="16" t="s">
        <v>87</v>
      </c>
      <c r="V9717" s="16" t="str">
        <f>IFERROR(__xludf.DUMMYFUNCTION("""COMPUTED_VALUE"""),"")</f>
        <v/>
      </c>
      <c r="W9717" s="16" t="str">
        <f>IFERROR(__xludf.DUMMYFUNCTION("""COMPUTED_VALUE"""),"")</f>
        <v/>
      </c>
      <c r="X9717" s="16" t="str">
        <f>IFERROR(__xludf.DUMMYFUNCTION("""COMPUTED_VALUE"""),"")</f>
        <v/>
      </c>
      <c r="AC9717" s="16" t="str">
        <f>IFERROR(__xludf.DUMMYFUNCTION("""COMPUTED_VALUE"""),"")</f>
        <v/>
      </c>
    </row>
    <row r="9718">
      <c r="A9718" s="16" t="s">
        <v>87</v>
      </c>
      <c r="E9718" s="16" t="str">
        <f>IFERROR(__xludf.DUMMYFUNCTION("""COMPUTED_VALUE"""),"")</f>
        <v/>
      </c>
      <c r="G9718" s="18"/>
      <c r="H9718" s="16" t="s">
        <v>87</v>
      </c>
      <c r="I9718" s="16" t="s">
        <v>87</v>
      </c>
      <c r="J9718" s="19"/>
      <c r="L9718" s="16" t="str">
        <f>IFERROR(__xludf.DUMMYFUNCTION("""COMPUTED_VALUE"""),"")</f>
        <v/>
      </c>
      <c r="M9718" s="16" t="str">
        <f>IFERROR(__xludf.DUMMYFUNCTION("""COMPUTED_VALUE"""),"")</f>
        <v/>
      </c>
      <c r="U9718" s="16" t="s">
        <v>87</v>
      </c>
      <c r="V9718" s="16" t="str">
        <f>IFERROR(__xludf.DUMMYFUNCTION("""COMPUTED_VALUE"""),"")</f>
        <v/>
      </c>
      <c r="W9718" s="16" t="str">
        <f>IFERROR(__xludf.DUMMYFUNCTION("""COMPUTED_VALUE"""),"")</f>
        <v/>
      </c>
      <c r="X9718" s="16" t="str">
        <f>IFERROR(__xludf.DUMMYFUNCTION("""COMPUTED_VALUE"""),"")</f>
        <v/>
      </c>
      <c r="AC9718" s="16" t="str">
        <f>IFERROR(__xludf.DUMMYFUNCTION("""COMPUTED_VALUE"""),"")</f>
        <v/>
      </c>
    </row>
    <row r="9719">
      <c r="A9719" s="16" t="s">
        <v>87</v>
      </c>
      <c r="E9719" s="16" t="str">
        <f>IFERROR(__xludf.DUMMYFUNCTION("""COMPUTED_VALUE"""),"")</f>
        <v/>
      </c>
      <c r="G9719" s="18"/>
      <c r="H9719" s="16" t="s">
        <v>87</v>
      </c>
      <c r="I9719" s="16" t="s">
        <v>87</v>
      </c>
      <c r="J9719" s="19"/>
      <c r="L9719" s="16" t="str">
        <f>IFERROR(__xludf.DUMMYFUNCTION("""COMPUTED_VALUE"""),"")</f>
        <v/>
      </c>
      <c r="M9719" s="16" t="str">
        <f>IFERROR(__xludf.DUMMYFUNCTION("""COMPUTED_VALUE"""),"")</f>
        <v/>
      </c>
      <c r="U9719" s="16" t="s">
        <v>87</v>
      </c>
      <c r="V9719" s="16" t="str">
        <f>IFERROR(__xludf.DUMMYFUNCTION("""COMPUTED_VALUE"""),"")</f>
        <v/>
      </c>
      <c r="W9719" s="16" t="str">
        <f>IFERROR(__xludf.DUMMYFUNCTION("""COMPUTED_VALUE"""),"")</f>
        <v/>
      </c>
      <c r="X9719" s="16" t="str">
        <f>IFERROR(__xludf.DUMMYFUNCTION("""COMPUTED_VALUE"""),"")</f>
        <v/>
      </c>
      <c r="AC9719" s="16" t="str">
        <f>IFERROR(__xludf.DUMMYFUNCTION("""COMPUTED_VALUE"""),"")</f>
        <v/>
      </c>
    </row>
    <row r="9720">
      <c r="A9720" s="16" t="s">
        <v>87</v>
      </c>
      <c r="E9720" s="16" t="str">
        <f>IFERROR(__xludf.DUMMYFUNCTION("""COMPUTED_VALUE"""),"")</f>
        <v/>
      </c>
      <c r="G9720" s="18"/>
      <c r="H9720" s="16" t="s">
        <v>87</v>
      </c>
      <c r="I9720" s="16" t="s">
        <v>87</v>
      </c>
      <c r="J9720" s="19"/>
      <c r="L9720" s="16" t="str">
        <f>IFERROR(__xludf.DUMMYFUNCTION("""COMPUTED_VALUE"""),"")</f>
        <v/>
      </c>
      <c r="M9720" s="16" t="str">
        <f>IFERROR(__xludf.DUMMYFUNCTION("""COMPUTED_VALUE"""),"")</f>
        <v/>
      </c>
      <c r="U9720" s="16" t="s">
        <v>87</v>
      </c>
      <c r="V9720" s="16" t="str">
        <f>IFERROR(__xludf.DUMMYFUNCTION("""COMPUTED_VALUE"""),"")</f>
        <v/>
      </c>
      <c r="W9720" s="16" t="str">
        <f>IFERROR(__xludf.DUMMYFUNCTION("""COMPUTED_VALUE"""),"")</f>
        <v/>
      </c>
      <c r="X9720" s="16" t="str">
        <f>IFERROR(__xludf.DUMMYFUNCTION("""COMPUTED_VALUE"""),"")</f>
        <v/>
      </c>
      <c r="AC9720" s="16" t="str">
        <f>IFERROR(__xludf.DUMMYFUNCTION("""COMPUTED_VALUE"""),"")</f>
        <v/>
      </c>
    </row>
    <row r="9721">
      <c r="A9721" s="16" t="s">
        <v>87</v>
      </c>
      <c r="E9721" s="16" t="str">
        <f>IFERROR(__xludf.DUMMYFUNCTION("""COMPUTED_VALUE"""),"")</f>
        <v/>
      </c>
      <c r="G9721" s="18"/>
      <c r="H9721" s="16" t="s">
        <v>87</v>
      </c>
      <c r="I9721" s="16" t="s">
        <v>87</v>
      </c>
      <c r="J9721" s="19"/>
      <c r="L9721" s="16" t="str">
        <f>IFERROR(__xludf.DUMMYFUNCTION("""COMPUTED_VALUE"""),"")</f>
        <v/>
      </c>
      <c r="M9721" s="16" t="str">
        <f>IFERROR(__xludf.DUMMYFUNCTION("""COMPUTED_VALUE"""),"")</f>
        <v/>
      </c>
      <c r="U9721" s="16" t="s">
        <v>87</v>
      </c>
      <c r="V9721" s="16" t="str">
        <f>IFERROR(__xludf.DUMMYFUNCTION("""COMPUTED_VALUE"""),"")</f>
        <v/>
      </c>
      <c r="W9721" s="16" t="str">
        <f>IFERROR(__xludf.DUMMYFUNCTION("""COMPUTED_VALUE"""),"")</f>
        <v/>
      </c>
      <c r="X9721" s="16" t="str">
        <f>IFERROR(__xludf.DUMMYFUNCTION("""COMPUTED_VALUE"""),"")</f>
        <v/>
      </c>
      <c r="AC9721" s="16" t="str">
        <f>IFERROR(__xludf.DUMMYFUNCTION("""COMPUTED_VALUE"""),"")</f>
        <v/>
      </c>
    </row>
    <row r="9722">
      <c r="A9722" s="16" t="s">
        <v>87</v>
      </c>
      <c r="E9722" s="16" t="str">
        <f>IFERROR(__xludf.DUMMYFUNCTION("""COMPUTED_VALUE"""),"")</f>
        <v/>
      </c>
      <c r="G9722" s="18"/>
      <c r="H9722" s="16" t="s">
        <v>87</v>
      </c>
      <c r="I9722" s="16" t="s">
        <v>87</v>
      </c>
      <c r="J9722" s="19"/>
      <c r="L9722" s="16" t="str">
        <f>IFERROR(__xludf.DUMMYFUNCTION("""COMPUTED_VALUE"""),"")</f>
        <v/>
      </c>
      <c r="M9722" s="16" t="str">
        <f>IFERROR(__xludf.DUMMYFUNCTION("""COMPUTED_VALUE"""),"")</f>
        <v/>
      </c>
      <c r="U9722" s="16" t="s">
        <v>87</v>
      </c>
      <c r="V9722" s="16" t="str">
        <f>IFERROR(__xludf.DUMMYFUNCTION("""COMPUTED_VALUE"""),"")</f>
        <v/>
      </c>
      <c r="W9722" s="16" t="str">
        <f>IFERROR(__xludf.DUMMYFUNCTION("""COMPUTED_VALUE"""),"")</f>
        <v/>
      </c>
      <c r="X9722" s="16" t="str">
        <f>IFERROR(__xludf.DUMMYFUNCTION("""COMPUTED_VALUE"""),"")</f>
        <v/>
      </c>
      <c r="AC9722" s="16" t="str">
        <f>IFERROR(__xludf.DUMMYFUNCTION("""COMPUTED_VALUE"""),"")</f>
        <v/>
      </c>
    </row>
    <row r="9723">
      <c r="A9723" s="16" t="s">
        <v>87</v>
      </c>
      <c r="E9723" s="16" t="str">
        <f>IFERROR(__xludf.DUMMYFUNCTION("""COMPUTED_VALUE"""),"")</f>
        <v/>
      </c>
      <c r="G9723" s="18"/>
      <c r="H9723" s="16" t="s">
        <v>87</v>
      </c>
      <c r="I9723" s="16" t="s">
        <v>87</v>
      </c>
      <c r="J9723" s="19"/>
      <c r="L9723" s="16" t="str">
        <f>IFERROR(__xludf.DUMMYFUNCTION("""COMPUTED_VALUE"""),"")</f>
        <v/>
      </c>
      <c r="M9723" s="16" t="str">
        <f>IFERROR(__xludf.DUMMYFUNCTION("""COMPUTED_VALUE"""),"")</f>
        <v/>
      </c>
      <c r="U9723" s="16" t="s">
        <v>87</v>
      </c>
      <c r="V9723" s="16" t="str">
        <f>IFERROR(__xludf.DUMMYFUNCTION("""COMPUTED_VALUE"""),"")</f>
        <v/>
      </c>
      <c r="W9723" s="16" t="str">
        <f>IFERROR(__xludf.DUMMYFUNCTION("""COMPUTED_VALUE"""),"")</f>
        <v/>
      </c>
      <c r="X9723" s="16" t="str">
        <f>IFERROR(__xludf.DUMMYFUNCTION("""COMPUTED_VALUE"""),"")</f>
        <v/>
      </c>
      <c r="AC9723" s="16" t="str">
        <f>IFERROR(__xludf.DUMMYFUNCTION("""COMPUTED_VALUE"""),"")</f>
        <v/>
      </c>
    </row>
    <row r="9724">
      <c r="A9724" s="16" t="s">
        <v>87</v>
      </c>
      <c r="E9724" s="16" t="str">
        <f>IFERROR(__xludf.DUMMYFUNCTION("""COMPUTED_VALUE"""),"")</f>
        <v/>
      </c>
      <c r="G9724" s="18"/>
      <c r="H9724" s="16" t="s">
        <v>87</v>
      </c>
      <c r="I9724" s="16" t="s">
        <v>87</v>
      </c>
      <c r="J9724" s="19"/>
      <c r="L9724" s="16" t="str">
        <f>IFERROR(__xludf.DUMMYFUNCTION("""COMPUTED_VALUE"""),"")</f>
        <v/>
      </c>
      <c r="M9724" s="16" t="str">
        <f>IFERROR(__xludf.DUMMYFUNCTION("""COMPUTED_VALUE"""),"")</f>
        <v/>
      </c>
      <c r="U9724" s="16" t="s">
        <v>87</v>
      </c>
      <c r="V9724" s="16" t="str">
        <f>IFERROR(__xludf.DUMMYFUNCTION("""COMPUTED_VALUE"""),"")</f>
        <v/>
      </c>
      <c r="W9724" s="16" t="str">
        <f>IFERROR(__xludf.DUMMYFUNCTION("""COMPUTED_VALUE"""),"")</f>
        <v/>
      </c>
      <c r="X9724" s="16" t="str">
        <f>IFERROR(__xludf.DUMMYFUNCTION("""COMPUTED_VALUE"""),"")</f>
        <v/>
      </c>
      <c r="AC9724" s="16" t="str">
        <f>IFERROR(__xludf.DUMMYFUNCTION("""COMPUTED_VALUE"""),"")</f>
        <v/>
      </c>
    </row>
    <row r="9725">
      <c r="A9725" s="16" t="s">
        <v>87</v>
      </c>
      <c r="E9725" s="16" t="str">
        <f>IFERROR(__xludf.DUMMYFUNCTION("""COMPUTED_VALUE"""),"")</f>
        <v/>
      </c>
      <c r="G9725" s="18"/>
      <c r="H9725" s="16" t="s">
        <v>87</v>
      </c>
      <c r="I9725" s="16" t="s">
        <v>87</v>
      </c>
      <c r="J9725" s="19"/>
      <c r="L9725" s="16" t="str">
        <f>IFERROR(__xludf.DUMMYFUNCTION("""COMPUTED_VALUE"""),"")</f>
        <v/>
      </c>
      <c r="M9725" s="16" t="str">
        <f>IFERROR(__xludf.DUMMYFUNCTION("""COMPUTED_VALUE"""),"")</f>
        <v/>
      </c>
      <c r="U9725" s="16" t="s">
        <v>87</v>
      </c>
      <c r="V9725" s="16" t="str">
        <f>IFERROR(__xludf.DUMMYFUNCTION("""COMPUTED_VALUE"""),"")</f>
        <v/>
      </c>
      <c r="W9725" s="16" t="str">
        <f>IFERROR(__xludf.DUMMYFUNCTION("""COMPUTED_VALUE"""),"")</f>
        <v/>
      </c>
      <c r="X9725" s="16" t="str">
        <f>IFERROR(__xludf.DUMMYFUNCTION("""COMPUTED_VALUE"""),"")</f>
        <v/>
      </c>
      <c r="AC9725" s="16" t="str">
        <f>IFERROR(__xludf.DUMMYFUNCTION("""COMPUTED_VALUE"""),"")</f>
        <v/>
      </c>
    </row>
    <row r="9726">
      <c r="A9726" s="16" t="s">
        <v>87</v>
      </c>
      <c r="E9726" s="16" t="str">
        <f>IFERROR(__xludf.DUMMYFUNCTION("""COMPUTED_VALUE"""),"")</f>
        <v/>
      </c>
      <c r="G9726" s="18"/>
      <c r="H9726" s="16" t="s">
        <v>87</v>
      </c>
      <c r="I9726" s="16" t="s">
        <v>87</v>
      </c>
      <c r="J9726" s="19"/>
      <c r="L9726" s="16" t="str">
        <f>IFERROR(__xludf.DUMMYFUNCTION("""COMPUTED_VALUE"""),"")</f>
        <v/>
      </c>
      <c r="M9726" s="16" t="str">
        <f>IFERROR(__xludf.DUMMYFUNCTION("""COMPUTED_VALUE"""),"")</f>
        <v/>
      </c>
      <c r="U9726" s="16" t="s">
        <v>87</v>
      </c>
      <c r="V9726" s="16" t="str">
        <f>IFERROR(__xludf.DUMMYFUNCTION("""COMPUTED_VALUE"""),"")</f>
        <v/>
      </c>
      <c r="W9726" s="16" t="str">
        <f>IFERROR(__xludf.DUMMYFUNCTION("""COMPUTED_VALUE"""),"")</f>
        <v/>
      </c>
      <c r="X9726" s="16" t="str">
        <f>IFERROR(__xludf.DUMMYFUNCTION("""COMPUTED_VALUE"""),"")</f>
        <v/>
      </c>
      <c r="AC9726" s="16" t="str">
        <f>IFERROR(__xludf.DUMMYFUNCTION("""COMPUTED_VALUE"""),"")</f>
        <v/>
      </c>
    </row>
    <row r="9727">
      <c r="A9727" s="16" t="s">
        <v>87</v>
      </c>
      <c r="E9727" s="16" t="str">
        <f>IFERROR(__xludf.DUMMYFUNCTION("""COMPUTED_VALUE"""),"")</f>
        <v/>
      </c>
      <c r="G9727" s="18"/>
      <c r="H9727" s="16" t="s">
        <v>87</v>
      </c>
      <c r="I9727" s="16" t="s">
        <v>87</v>
      </c>
      <c r="J9727" s="19"/>
      <c r="L9727" s="16" t="str">
        <f>IFERROR(__xludf.DUMMYFUNCTION("""COMPUTED_VALUE"""),"")</f>
        <v/>
      </c>
      <c r="M9727" s="16" t="str">
        <f>IFERROR(__xludf.DUMMYFUNCTION("""COMPUTED_VALUE"""),"")</f>
        <v/>
      </c>
      <c r="U9727" s="16" t="s">
        <v>87</v>
      </c>
      <c r="V9727" s="16" t="str">
        <f>IFERROR(__xludf.DUMMYFUNCTION("""COMPUTED_VALUE"""),"")</f>
        <v/>
      </c>
      <c r="W9727" s="16" t="str">
        <f>IFERROR(__xludf.DUMMYFUNCTION("""COMPUTED_VALUE"""),"")</f>
        <v/>
      </c>
      <c r="X9727" s="16" t="str">
        <f>IFERROR(__xludf.DUMMYFUNCTION("""COMPUTED_VALUE"""),"")</f>
        <v/>
      </c>
      <c r="AC9727" s="16" t="str">
        <f>IFERROR(__xludf.DUMMYFUNCTION("""COMPUTED_VALUE"""),"")</f>
        <v/>
      </c>
    </row>
    <row r="9728">
      <c r="A9728" s="16" t="s">
        <v>87</v>
      </c>
      <c r="E9728" s="16" t="str">
        <f>IFERROR(__xludf.DUMMYFUNCTION("""COMPUTED_VALUE"""),"")</f>
        <v/>
      </c>
      <c r="G9728" s="18"/>
      <c r="H9728" s="16" t="s">
        <v>87</v>
      </c>
      <c r="I9728" s="16" t="s">
        <v>87</v>
      </c>
      <c r="J9728" s="19"/>
      <c r="L9728" s="16" t="str">
        <f>IFERROR(__xludf.DUMMYFUNCTION("""COMPUTED_VALUE"""),"")</f>
        <v/>
      </c>
      <c r="M9728" s="16" t="str">
        <f>IFERROR(__xludf.DUMMYFUNCTION("""COMPUTED_VALUE"""),"")</f>
        <v/>
      </c>
      <c r="U9728" s="16" t="s">
        <v>87</v>
      </c>
      <c r="V9728" s="16" t="str">
        <f>IFERROR(__xludf.DUMMYFUNCTION("""COMPUTED_VALUE"""),"")</f>
        <v/>
      </c>
      <c r="W9728" s="16" t="str">
        <f>IFERROR(__xludf.DUMMYFUNCTION("""COMPUTED_VALUE"""),"")</f>
        <v/>
      </c>
      <c r="X9728" s="16" t="str">
        <f>IFERROR(__xludf.DUMMYFUNCTION("""COMPUTED_VALUE"""),"")</f>
        <v/>
      </c>
      <c r="AC9728" s="16" t="str">
        <f>IFERROR(__xludf.DUMMYFUNCTION("""COMPUTED_VALUE"""),"")</f>
        <v/>
      </c>
    </row>
    <row r="9729">
      <c r="A9729" s="16" t="s">
        <v>87</v>
      </c>
      <c r="E9729" s="16" t="str">
        <f>IFERROR(__xludf.DUMMYFUNCTION("""COMPUTED_VALUE"""),"")</f>
        <v/>
      </c>
      <c r="G9729" s="18"/>
      <c r="H9729" s="16" t="s">
        <v>87</v>
      </c>
      <c r="I9729" s="16" t="s">
        <v>87</v>
      </c>
      <c r="J9729" s="19"/>
      <c r="L9729" s="16" t="str">
        <f>IFERROR(__xludf.DUMMYFUNCTION("""COMPUTED_VALUE"""),"")</f>
        <v/>
      </c>
      <c r="M9729" s="16" t="str">
        <f>IFERROR(__xludf.DUMMYFUNCTION("""COMPUTED_VALUE"""),"")</f>
        <v/>
      </c>
      <c r="U9729" s="16" t="s">
        <v>87</v>
      </c>
      <c r="V9729" s="16" t="str">
        <f>IFERROR(__xludf.DUMMYFUNCTION("""COMPUTED_VALUE"""),"")</f>
        <v/>
      </c>
      <c r="W9729" s="16" t="str">
        <f>IFERROR(__xludf.DUMMYFUNCTION("""COMPUTED_VALUE"""),"")</f>
        <v/>
      </c>
      <c r="X9729" s="16" t="str">
        <f>IFERROR(__xludf.DUMMYFUNCTION("""COMPUTED_VALUE"""),"")</f>
        <v/>
      </c>
      <c r="AC9729" s="16" t="str">
        <f>IFERROR(__xludf.DUMMYFUNCTION("""COMPUTED_VALUE"""),"")</f>
        <v/>
      </c>
    </row>
    <row r="9730">
      <c r="A9730" s="16" t="s">
        <v>87</v>
      </c>
      <c r="E9730" s="16" t="str">
        <f>IFERROR(__xludf.DUMMYFUNCTION("""COMPUTED_VALUE"""),"")</f>
        <v/>
      </c>
      <c r="G9730" s="18"/>
      <c r="H9730" s="16" t="s">
        <v>87</v>
      </c>
      <c r="I9730" s="16" t="s">
        <v>87</v>
      </c>
      <c r="J9730" s="19"/>
      <c r="L9730" s="16" t="str">
        <f>IFERROR(__xludf.DUMMYFUNCTION("""COMPUTED_VALUE"""),"")</f>
        <v/>
      </c>
      <c r="M9730" s="16" t="str">
        <f>IFERROR(__xludf.DUMMYFUNCTION("""COMPUTED_VALUE"""),"")</f>
        <v/>
      </c>
      <c r="U9730" s="16" t="s">
        <v>87</v>
      </c>
      <c r="V9730" s="16" t="str">
        <f>IFERROR(__xludf.DUMMYFUNCTION("""COMPUTED_VALUE"""),"")</f>
        <v/>
      </c>
      <c r="W9730" s="16" t="str">
        <f>IFERROR(__xludf.DUMMYFUNCTION("""COMPUTED_VALUE"""),"")</f>
        <v/>
      </c>
      <c r="X9730" s="16" t="str">
        <f>IFERROR(__xludf.DUMMYFUNCTION("""COMPUTED_VALUE"""),"")</f>
        <v/>
      </c>
      <c r="AC9730" s="16" t="str">
        <f>IFERROR(__xludf.DUMMYFUNCTION("""COMPUTED_VALUE"""),"")</f>
        <v/>
      </c>
    </row>
    <row r="9731">
      <c r="A9731" s="16" t="s">
        <v>87</v>
      </c>
      <c r="E9731" s="16" t="str">
        <f>IFERROR(__xludf.DUMMYFUNCTION("""COMPUTED_VALUE"""),"")</f>
        <v/>
      </c>
      <c r="G9731" s="18"/>
      <c r="H9731" s="16" t="s">
        <v>87</v>
      </c>
      <c r="I9731" s="16" t="s">
        <v>87</v>
      </c>
      <c r="J9731" s="19"/>
      <c r="L9731" s="16" t="str">
        <f>IFERROR(__xludf.DUMMYFUNCTION("""COMPUTED_VALUE"""),"")</f>
        <v/>
      </c>
      <c r="M9731" s="16" t="str">
        <f>IFERROR(__xludf.DUMMYFUNCTION("""COMPUTED_VALUE"""),"")</f>
        <v/>
      </c>
      <c r="U9731" s="16" t="s">
        <v>87</v>
      </c>
      <c r="V9731" s="16" t="str">
        <f>IFERROR(__xludf.DUMMYFUNCTION("""COMPUTED_VALUE"""),"")</f>
        <v/>
      </c>
      <c r="W9731" s="16" t="str">
        <f>IFERROR(__xludf.DUMMYFUNCTION("""COMPUTED_VALUE"""),"")</f>
        <v/>
      </c>
      <c r="X9731" s="16" t="str">
        <f>IFERROR(__xludf.DUMMYFUNCTION("""COMPUTED_VALUE"""),"")</f>
        <v/>
      </c>
      <c r="AC9731" s="16" t="str">
        <f>IFERROR(__xludf.DUMMYFUNCTION("""COMPUTED_VALUE"""),"")</f>
        <v/>
      </c>
    </row>
    <row r="9732">
      <c r="A9732" s="16" t="s">
        <v>87</v>
      </c>
      <c r="E9732" s="16" t="str">
        <f>IFERROR(__xludf.DUMMYFUNCTION("""COMPUTED_VALUE"""),"")</f>
        <v/>
      </c>
      <c r="G9732" s="18"/>
      <c r="H9732" s="16" t="s">
        <v>87</v>
      </c>
      <c r="I9732" s="16" t="s">
        <v>87</v>
      </c>
      <c r="J9732" s="19"/>
      <c r="L9732" s="16" t="str">
        <f>IFERROR(__xludf.DUMMYFUNCTION("""COMPUTED_VALUE"""),"")</f>
        <v/>
      </c>
      <c r="M9732" s="16" t="str">
        <f>IFERROR(__xludf.DUMMYFUNCTION("""COMPUTED_VALUE"""),"")</f>
        <v/>
      </c>
      <c r="U9732" s="16" t="s">
        <v>87</v>
      </c>
      <c r="V9732" s="16" t="str">
        <f>IFERROR(__xludf.DUMMYFUNCTION("""COMPUTED_VALUE"""),"")</f>
        <v/>
      </c>
      <c r="W9732" s="16" t="str">
        <f>IFERROR(__xludf.DUMMYFUNCTION("""COMPUTED_VALUE"""),"")</f>
        <v/>
      </c>
      <c r="X9732" s="16" t="str">
        <f>IFERROR(__xludf.DUMMYFUNCTION("""COMPUTED_VALUE"""),"")</f>
        <v/>
      </c>
      <c r="AC9732" s="16" t="str">
        <f>IFERROR(__xludf.DUMMYFUNCTION("""COMPUTED_VALUE"""),"")</f>
        <v/>
      </c>
    </row>
    <row r="9733">
      <c r="A9733" s="16" t="s">
        <v>87</v>
      </c>
      <c r="E9733" s="16" t="str">
        <f>IFERROR(__xludf.DUMMYFUNCTION("""COMPUTED_VALUE"""),"")</f>
        <v/>
      </c>
      <c r="G9733" s="18"/>
      <c r="H9733" s="16" t="s">
        <v>87</v>
      </c>
      <c r="I9733" s="16" t="s">
        <v>87</v>
      </c>
      <c r="J9733" s="19"/>
      <c r="L9733" s="16" t="str">
        <f>IFERROR(__xludf.DUMMYFUNCTION("""COMPUTED_VALUE"""),"")</f>
        <v/>
      </c>
      <c r="M9733" s="16" t="str">
        <f>IFERROR(__xludf.DUMMYFUNCTION("""COMPUTED_VALUE"""),"")</f>
        <v/>
      </c>
      <c r="U9733" s="16" t="s">
        <v>87</v>
      </c>
      <c r="V9733" s="16" t="str">
        <f>IFERROR(__xludf.DUMMYFUNCTION("""COMPUTED_VALUE"""),"")</f>
        <v/>
      </c>
      <c r="W9733" s="16" t="str">
        <f>IFERROR(__xludf.DUMMYFUNCTION("""COMPUTED_VALUE"""),"")</f>
        <v/>
      </c>
      <c r="X9733" s="16" t="str">
        <f>IFERROR(__xludf.DUMMYFUNCTION("""COMPUTED_VALUE"""),"")</f>
        <v/>
      </c>
      <c r="AC9733" s="16" t="str">
        <f>IFERROR(__xludf.DUMMYFUNCTION("""COMPUTED_VALUE"""),"")</f>
        <v/>
      </c>
    </row>
    <row r="9734">
      <c r="A9734" s="16" t="s">
        <v>87</v>
      </c>
      <c r="E9734" s="16" t="str">
        <f>IFERROR(__xludf.DUMMYFUNCTION("""COMPUTED_VALUE"""),"")</f>
        <v/>
      </c>
      <c r="G9734" s="18"/>
      <c r="H9734" s="16" t="s">
        <v>87</v>
      </c>
      <c r="I9734" s="16" t="s">
        <v>87</v>
      </c>
      <c r="J9734" s="19"/>
      <c r="L9734" s="16" t="str">
        <f>IFERROR(__xludf.DUMMYFUNCTION("""COMPUTED_VALUE"""),"")</f>
        <v/>
      </c>
      <c r="M9734" s="16" t="str">
        <f>IFERROR(__xludf.DUMMYFUNCTION("""COMPUTED_VALUE"""),"")</f>
        <v/>
      </c>
      <c r="U9734" s="16" t="s">
        <v>87</v>
      </c>
      <c r="V9734" s="16" t="str">
        <f>IFERROR(__xludf.DUMMYFUNCTION("""COMPUTED_VALUE"""),"")</f>
        <v/>
      </c>
      <c r="W9734" s="16" t="str">
        <f>IFERROR(__xludf.DUMMYFUNCTION("""COMPUTED_VALUE"""),"")</f>
        <v/>
      </c>
      <c r="X9734" s="16" t="str">
        <f>IFERROR(__xludf.DUMMYFUNCTION("""COMPUTED_VALUE"""),"")</f>
        <v/>
      </c>
      <c r="AC9734" s="16" t="str">
        <f>IFERROR(__xludf.DUMMYFUNCTION("""COMPUTED_VALUE"""),"")</f>
        <v/>
      </c>
    </row>
    <row r="9735">
      <c r="A9735" s="16" t="s">
        <v>87</v>
      </c>
      <c r="E9735" s="16" t="str">
        <f>IFERROR(__xludf.DUMMYFUNCTION("""COMPUTED_VALUE"""),"")</f>
        <v/>
      </c>
      <c r="G9735" s="18"/>
      <c r="H9735" s="16" t="s">
        <v>87</v>
      </c>
      <c r="I9735" s="16" t="s">
        <v>87</v>
      </c>
      <c r="J9735" s="19"/>
      <c r="L9735" s="16" t="str">
        <f>IFERROR(__xludf.DUMMYFUNCTION("""COMPUTED_VALUE"""),"")</f>
        <v/>
      </c>
      <c r="M9735" s="16" t="str">
        <f>IFERROR(__xludf.DUMMYFUNCTION("""COMPUTED_VALUE"""),"")</f>
        <v/>
      </c>
      <c r="U9735" s="16" t="s">
        <v>87</v>
      </c>
      <c r="V9735" s="16" t="str">
        <f>IFERROR(__xludf.DUMMYFUNCTION("""COMPUTED_VALUE"""),"")</f>
        <v/>
      </c>
      <c r="W9735" s="16" t="str">
        <f>IFERROR(__xludf.DUMMYFUNCTION("""COMPUTED_VALUE"""),"")</f>
        <v/>
      </c>
      <c r="X9735" s="16" t="str">
        <f>IFERROR(__xludf.DUMMYFUNCTION("""COMPUTED_VALUE"""),"")</f>
        <v/>
      </c>
      <c r="AC9735" s="16" t="str">
        <f>IFERROR(__xludf.DUMMYFUNCTION("""COMPUTED_VALUE"""),"")</f>
        <v/>
      </c>
    </row>
    <row r="9736">
      <c r="A9736" s="16" t="s">
        <v>87</v>
      </c>
      <c r="E9736" s="16" t="str">
        <f>IFERROR(__xludf.DUMMYFUNCTION("""COMPUTED_VALUE"""),"")</f>
        <v/>
      </c>
      <c r="G9736" s="18"/>
      <c r="H9736" s="16" t="s">
        <v>87</v>
      </c>
      <c r="I9736" s="16" t="s">
        <v>87</v>
      </c>
      <c r="J9736" s="19"/>
      <c r="L9736" s="16" t="str">
        <f>IFERROR(__xludf.DUMMYFUNCTION("""COMPUTED_VALUE"""),"")</f>
        <v/>
      </c>
      <c r="M9736" s="16" t="str">
        <f>IFERROR(__xludf.DUMMYFUNCTION("""COMPUTED_VALUE"""),"")</f>
        <v/>
      </c>
      <c r="U9736" s="16" t="s">
        <v>87</v>
      </c>
      <c r="V9736" s="16" t="str">
        <f>IFERROR(__xludf.DUMMYFUNCTION("""COMPUTED_VALUE"""),"")</f>
        <v/>
      </c>
      <c r="W9736" s="16" t="str">
        <f>IFERROR(__xludf.DUMMYFUNCTION("""COMPUTED_VALUE"""),"")</f>
        <v/>
      </c>
      <c r="X9736" s="16" t="str">
        <f>IFERROR(__xludf.DUMMYFUNCTION("""COMPUTED_VALUE"""),"")</f>
        <v/>
      </c>
      <c r="AC9736" s="16" t="str">
        <f>IFERROR(__xludf.DUMMYFUNCTION("""COMPUTED_VALUE"""),"")</f>
        <v/>
      </c>
    </row>
    <row r="9737">
      <c r="A9737" s="16" t="s">
        <v>87</v>
      </c>
      <c r="E9737" s="16" t="str">
        <f>IFERROR(__xludf.DUMMYFUNCTION("""COMPUTED_VALUE"""),"")</f>
        <v/>
      </c>
      <c r="G9737" s="18"/>
      <c r="H9737" s="16" t="s">
        <v>87</v>
      </c>
      <c r="I9737" s="16" t="s">
        <v>87</v>
      </c>
      <c r="J9737" s="19"/>
      <c r="L9737" s="16" t="str">
        <f>IFERROR(__xludf.DUMMYFUNCTION("""COMPUTED_VALUE"""),"")</f>
        <v/>
      </c>
      <c r="M9737" s="16" t="str">
        <f>IFERROR(__xludf.DUMMYFUNCTION("""COMPUTED_VALUE"""),"")</f>
        <v/>
      </c>
      <c r="U9737" s="16" t="s">
        <v>87</v>
      </c>
      <c r="V9737" s="16" t="str">
        <f>IFERROR(__xludf.DUMMYFUNCTION("""COMPUTED_VALUE"""),"")</f>
        <v/>
      </c>
      <c r="W9737" s="16" t="str">
        <f>IFERROR(__xludf.DUMMYFUNCTION("""COMPUTED_VALUE"""),"")</f>
        <v/>
      </c>
      <c r="X9737" s="16" t="str">
        <f>IFERROR(__xludf.DUMMYFUNCTION("""COMPUTED_VALUE"""),"")</f>
        <v/>
      </c>
      <c r="AC9737" s="16" t="str">
        <f>IFERROR(__xludf.DUMMYFUNCTION("""COMPUTED_VALUE"""),"")</f>
        <v/>
      </c>
    </row>
    <row r="9738">
      <c r="A9738" s="16" t="s">
        <v>87</v>
      </c>
      <c r="E9738" s="16" t="str">
        <f>IFERROR(__xludf.DUMMYFUNCTION("""COMPUTED_VALUE"""),"")</f>
        <v/>
      </c>
      <c r="G9738" s="18"/>
      <c r="H9738" s="16" t="s">
        <v>87</v>
      </c>
      <c r="I9738" s="16" t="s">
        <v>87</v>
      </c>
      <c r="J9738" s="19"/>
      <c r="L9738" s="16" t="str">
        <f>IFERROR(__xludf.DUMMYFUNCTION("""COMPUTED_VALUE"""),"")</f>
        <v/>
      </c>
      <c r="M9738" s="16" t="str">
        <f>IFERROR(__xludf.DUMMYFUNCTION("""COMPUTED_VALUE"""),"")</f>
        <v/>
      </c>
      <c r="U9738" s="16" t="s">
        <v>87</v>
      </c>
      <c r="V9738" s="16" t="str">
        <f>IFERROR(__xludf.DUMMYFUNCTION("""COMPUTED_VALUE"""),"")</f>
        <v/>
      </c>
      <c r="W9738" s="16" t="str">
        <f>IFERROR(__xludf.DUMMYFUNCTION("""COMPUTED_VALUE"""),"")</f>
        <v/>
      </c>
      <c r="X9738" s="16" t="str">
        <f>IFERROR(__xludf.DUMMYFUNCTION("""COMPUTED_VALUE"""),"")</f>
        <v/>
      </c>
      <c r="AC9738" s="16" t="str">
        <f>IFERROR(__xludf.DUMMYFUNCTION("""COMPUTED_VALUE"""),"")</f>
        <v/>
      </c>
    </row>
    <row r="9739">
      <c r="A9739" s="16" t="s">
        <v>87</v>
      </c>
      <c r="E9739" s="16" t="str">
        <f>IFERROR(__xludf.DUMMYFUNCTION("""COMPUTED_VALUE"""),"")</f>
        <v/>
      </c>
      <c r="G9739" s="18"/>
      <c r="H9739" s="16" t="s">
        <v>87</v>
      </c>
      <c r="I9739" s="16" t="s">
        <v>87</v>
      </c>
      <c r="J9739" s="19"/>
      <c r="L9739" s="16" t="str">
        <f>IFERROR(__xludf.DUMMYFUNCTION("""COMPUTED_VALUE"""),"")</f>
        <v/>
      </c>
      <c r="M9739" s="16" t="str">
        <f>IFERROR(__xludf.DUMMYFUNCTION("""COMPUTED_VALUE"""),"")</f>
        <v/>
      </c>
      <c r="U9739" s="16" t="s">
        <v>87</v>
      </c>
      <c r="V9739" s="16" t="str">
        <f>IFERROR(__xludf.DUMMYFUNCTION("""COMPUTED_VALUE"""),"")</f>
        <v/>
      </c>
      <c r="W9739" s="16" t="str">
        <f>IFERROR(__xludf.DUMMYFUNCTION("""COMPUTED_VALUE"""),"")</f>
        <v/>
      </c>
      <c r="X9739" s="16" t="str">
        <f>IFERROR(__xludf.DUMMYFUNCTION("""COMPUTED_VALUE"""),"")</f>
        <v/>
      </c>
      <c r="AC9739" s="16" t="str">
        <f>IFERROR(__xludf.DUMMYFUNCTION("""COMPUTED_VALUE"""),"")</f>
        <v/>
      </c>
    </row>
    <row r="9740">
      <c r="A9740" s="16" t="s">
        <v>87</v>
      </c>
      <c r="E9740" s="16" t="str">
        <f>IFERROR(__xludf.DUMMYFUNCTION("""COMPUTED_VALUE"""),"")</f>
        <v/>
      </c>
      <c r="G9740" s="18"/>
      <c r="H9740" s="16" t="s">
        <v>87</v>
      </c>
      <c r="I9740" s="16" t="s">
        <v>87</v>
      </c>
      <c r="J9740" s="19"/>
      <c r="L9740" s="16" t="str">
        <f>IFERROR(__xludf.DUMMYFUNCTION("""COMPUTED_VALUE"""),"")</f>
        <v/>
      </c>
      <c r="M9740" s="16" t="str">
        <f>IFERROR(__xludf.DUMMYFUNCTION("""COMPUTED_VALUE"""),"")</f>
        <v/>
      </c>
      <c r="U9740" s="16" t="s">
        <v>87</v>
      </c>
      <c r="V9740" s="16" t="str">
        <f>IFERROR(__xludf.DUMMYFUNCTION("""COMPUTED_VALUE"""),"")</f>
        <v/>
      </c>
      <c r="W9740" s="16" t="str">
        <f>IFERROR(__xludf.DUMMYFUNCTION("""COMPUTED_VALUE"""),"")</f>
        <v/>
      </c>
      <c r="X9740" s="16" t="str">
        <f>IFERROR(__xludf.DUMMYFUNCTION("""COMPUTED_VALUE"""),"")</f>
        <v/>
      </c>
      <c r="AC9740" s="16" t="str">
        <f>IFERROR(__xludf.DUMMYFUNCTION("""COMPUTED_VALUE"""),"")</f>
        <v/>
      </c>
    </row>
    <row r="9741">
      <c r="A9741" s="16" t="s">
        <v>87</v>
      </c>
      <c r="E9741" s="16" t="str">
        <f>IFERROR(__xludf.DUMMYFUNCTION("""COMPUTED_VALUE"""),"")</f>
        <v/>
      </c>
      <c r="G9741" s="18"/>
      <c r="H9741" s="16" t="s">
        <v>87</v>
      </c>
      <c r="I9741" s="16" t="s">
        <v>87</v>
      </c>
      <c r="J9741" s="19"/>
      <c r="L9741" s="16" t="str">
        <f>IFERROR(__xludf.DUMMYFUNCTION("""COMPUTED_VALUE"""),"")</f>
        <v/>
      </c>
      <c r="M9741" s="16" t="str">
        <f>IFERROR(__xludf.DUMMYFUNCTION("""COMPUTED_VALUE"""),"")</f>
        <v/>
      </c>
      <c r="U9741" s="16" t="s">
        <v>87</v>
      </c>
      <c r="V9741" s="16" t="str">
        <f>IFERROR(__xludf.DUMMYFUNCTION("""COMPUTED_VALUE"""),"")</f>
        <v/>
      </c>
      <c r="W9741" s="16" t="str">
        <f>IFERROR(__xludf.DUMMYFUNCTION("""COMPUTED_VALUE"""),"")</f>
        <v/>
      </c>
      <c r="X9741" s="16" t="str">
        <f>IFERROR(__xludf.DUMMYFUNCTION("""COMPUTED_VALUE"""),"")</f>
        <v/>
      </c>
      <c r="AC9741" s="16" t="str">
        <f>IFERROR(__xludf.DUMMYFUNCTION("""COMPUTED_VALUE"""),"")</f>
        <v/>
      </c>
    </row>
    <row r="9742">
      <c r="A9742" s="16" t="s">
        <v>87</v>
      </c>
      <c r="E9742" s="16" t="str">
        <f>IFERROR(__xludf.DUMMYFUNCTION("""COMPUTED_VALUE"""),"")</f>
        <v/>
      </c>
      <c r="G9742" s="18"/>
      <c r="H9742" s="16" t="s">
        <v>87</v>
      </c>
      <c r="I9742" s="16" t="s">
        <v>87</v>
      </c>
      <c r="J9742" s="19"/>
      <c r="L9742" s="16" t="str">
        <f>IFERROR(__xludf.DUMMYFUNCTION("""COMPUTED_VALUE"""),"")</f>
        <v/>
      </c>
      <c r="M9742" s="16" t="str">
        <f>IFERROR(__xludf.DUMMYFUNCTION("""COMPUTED_VALUE"""),"")</f>
        <v/>
      </c>
      <c r="U9742" s="16" t="s">
        <v>87</v>
      </c>
      <c r="V9742" s="16" t="str">
        <f>IFERROR(__xludf.DUMMYFUNCTION("""COMPUTED_VALUE"""),"")</f>
        <v/>
      </c>
      <c r="W9742" s="16" t="str">
        <f>IFERROR(__xludf.DUMMYFUNCTION("""COMPUTED_VALUE"""),"")</f>
        <v/>
      </c>
      <c r="X9742" s="16" t="str">
        <f>IFERROR(__xludf.DUMMYFUNCTION("""COMPUTED_VALUE"""),"")</f>
        <v/>
      </c>
      <c r="AC9742" s="16" t="str">
        <f>IFERROR(__xludf.DUMMYFUNCTION("""COMPUTED_VALUE"""),"")</f>
        <v/>
      </c>
    </row>
    <row r="9743">
      <c r="A9743" s="16" t="s">
        <v>87</v>
      </c>
      <c r="E9743" s="16" t="str">
        <f>IFERROR(__xludf.DUMMYFUNCTION("""COMPUTED_VALUE"""),"")</f>
        <v/>
      </c>
      <c r="G9743" s="18"/>
      <c r="H9743" s="16" t="s">
        <v>87</v>
      </c>
      <c r="I9743" s="16" t="s">
        <v>87</v>
      </c>
      <c r="J9743" s="19"/>
      <c r="L9743" s="16" t="str">
        <f>IFERROR(__xludf.DUMMYFUNCTION("""COMPUTED_VALUE"""),"")</f>
        <v/>
      </c>
      <c r="M9743" s="16" t="str">
        <f>IFERROR(__xludf.DUMMYFUNCTION("""COMPUTED_VALUE"""),"")</f>
        <v/>
      </c>
      <c r="U9743" s="16" t="s">
        <v>87</v>
      </c>
      <c r="V9743" s="16" t="str">
        <f>IFERROR(__xludf.DUMMYFUNCTION("""COMPUTED_VALUE"""),"")</f>
        <v/>
      </c>
      <c r="W9743" s="16" t="str">
        <f>IFERROR(__xludf.DUMMYFUNCTION("""COMPUTED_VALUE"""),"")</f>
        <v/>
      </c>
      <c r="X9743" s="16" t="str">
        <f>IFERROR(__xludf.DUMMYFUNCTION("""COMPUTED_VALUE"""),"")</f>
        <v/>
      </c>
      <c r="AC9743" s="16" t="str">
        <f>IFERROR(__xludf.DUMMYFUNCTION("""COMPUTED_VALUE"""),"")</f>
        <v/>
      </c>
    </row>
    <row r="9744">
      <c r="A9744" s="16" t="s">
        <v>87</v>
      </c>
      <c r="E9744" s="16" t="str">
        <f>IFERROR(__xludf.DUMMYFUNCTION("""COMPUTED_VALUE"""),"")</f>
        <v/>
      </c>
      <c r="G9744" s="18"/>
      <c r="H9744" s="16" t="s">
        <v>87</v>
      </c>
      <c r="I9744" s="16" t="s">
        <v>87</v>
      </c>
      <c r="J9744" s="19"/>
      <c r="L9744" s="16" t="str">
        <f>IFERROR(__xludf.DUMMYFUNCTION("""COMPUTED_VALUE"""),"")</f>
        <v/>
      </c>
      <c r="M9744" s="16" t="str">
        <f>IFERROR(__xludf.DUMMYFUNCTION("""COMPUTED_VALUE"""),"")</f>
        <v/>
      </c>
      <c r="U9744" s="16" t="s">
        <v>87</v>
      </c>
      <c r="V9744" s="16" t="str">
        <f>IFERROR(__xludf.DUMMYFUNCTION("""COMPUTED_VALUE"""),"")</f>
        <v/>
      </c>
      <c r="W9744" s="16" t="str">
        <f>IFERROR(__xludf.DUMMYFUNCTION("""COMPUTED_VALUE"""),"")</f>
        <v/>
      </c>
      <c r="X9744" s="16" t="str">
        <f>IFERROR(__xludf.DUMMYFUNCTION("""COMPUTED_VALUE"""),"")</f>
        <v/>
      </c>
      <c r="AC9744" s="16" t="str">
        <f>IFERROR(__xludf.DUMMYFUNCTION("""COMPUTED_VALUE"""),"")</f>
        <v/>
      </c>
    </row>
    <row r="9745">
      <c r="A9745" s="16" t="s">
        <v>87</v>
      </c>
      <c r="E9745" s="16" t="str">
        <f>IFERROR(__xludf.DUMMYFUNCTION("""COMPUTED_VALUE"""),"")</f>
        <v/>
      </c>
      <c r="G9745" s="18"/>
      <c r="H9745" s="16" t="s">
        <v>87</v>
      </c>
      <c r="I9745" s="16" t="s">
        <v>87</v>
      </c>
      <c r="J9745" s="19"/>
      <c r="L9745" s="16" t="str">
        <f>IFERROR(__xludf.DUMMYFUNCTION("""COMPUTED_VALUE"""),"")</f>
        <v/>
      </c>
      <c r="M9745" s="16" t="str">
        <f>IFERROR(__xludf.DUMMYFUNCTION("""COMPUTED_VALUE"""),"")</f>
        <v/>
      </c>
      <c r="U9745" s="16" t="s">
        <v>87</v>
      </c>
      <c r="V9745" s="16" t="str">
        <f>IFERROR(__xludf.DUMMYFUNCTION("""COMPUTED_VALUE"""),"")</f>
        <v/>
      </c>
      <c r="W9745" s="16" t="str">
        <f>IFERROR(__xludf.DUMMYFUNCTION("""COMPUTED_VALUE"""),"")</f>
        <v/>
      </c>
      <c r="X9745" s="16" t="str">
        <f>IFERROR(__xludf.DUMMYFUNCTION("""COMPUTED_VALUE"""),"")</f>
        <v/>
      </c>
      <c r="AC9745" s="16" t="str">
        <f>IFERROR(__xludf.DUMMYFUNCTION("""COMPUTED_VALUE"""),"")</f>
        <v/>
      </c>
    </row>
    <row r="9746">
      <c r="A9746" s="16" t="s">
        <v>87</v>
      </c>
      <c r="E9746" s="16" t="str">
        <f>IFERROR(__xludf.DUMMYFUNCTION("""COMPUTED_VALUE"""),"")</f>
        <v/>
      </c>
      <c r="G9746" s="18"/>
      <c r="H9746" s="16" t="s">
        <v>87</v>
      </c>
      <c r="I9746" s="16" t="s">
        <v>87</v>
      </c>
      <c r="J9746" s="19"/>
      <c r="L9746" s="16" t="str">
        <f>IFERROR(__xludf.DUMMYFUNCTION("""COMPUTED_VALUE"""),"")</f>
        <v/>
      </c>
      <c r="M9746" s="16" t="str">
        <f>IFERROR(__xludf.DUMMYFUNCTION("""COMPUTED_VALUE"""),"")</f>
        <v/>
      </c>
      <c r="U9746" s="16" t="s">
        <v>87</v>
      </c>
      <c r="V9746" s="16" t="str">
        <f>IFERROR(__xludf.DUMMYFUNCTION("""COMPUTED_VALUE"""),"")</f>
        <v/>
      </c>
      <c r="W9746" s="16" t="str">
        <f>IFERROR(__xludf.DUMMYFUNCTION("""COMPUTED_VALUE"""),"")</f>
        <v/>
      </c>
      <c r="X9746" s="16" t="str">
        <f>IFERROR(__xludf.DUMMYFUNCTION("""COMPUTED_VALUE"""),"")</f>
        <v/>
      </c>
      <c r="AC9746" s="16" t="str">
        <f>IFERROR(__xludf.DUMMYFUNCTION("""COMPUTED_VALUE"""),"")</f>
        <v/>
      </c>
    </row>
    <row r="9747">
      <c r="A9747" s="16" t="s">
        <v>87</v>
      </c>
      <c r="E9747" s="16" t="str">
        <f>IFERROR(__xludf.DUMMYFUNCTION("""COMPUTED_VALUE"""),"")</f>
        <v/>
      </c>
      <c r="G9747" s="18"/>
      <c r="H9747" s="16" t="s">
        <v>87</v>
      </c>
      <c r="I9747" s="16" t="s">
        <v>87</v>
      </c>
      <c r="J9747" s="19"/>
      <c r="L9747" s="16" t="str">
        <f>IFERROR(__xludf.DUMMYFUNCTION("""COMPUTED_VALUE"""),"")</f>
        <v/>
      </c>
      <c r="M9747" s="16" t="str">
        <f>IFERROR(__xludf.DUMMYFUNCTION("""COMPUTED_VALUE"""),"")</f>
        <v/>
      </c>
      <c r="U9747" s="16" t="s">
        <v>87</v>
      </c>
      <c r="V9747" s="16" t="str">
        <f>IFERROR(__xludf.DUMMYFUNCTION("""COMPUTED_VALUE"""),"")</f>
        <v/>
      </c>
      <c r="W9747" s="16" t="str">
        <f>IFERROR(__xludf.DUMMYFUNCTION("""COMPUTED_VALUE"""),"")</f>
        <v/>
      </c>
      <c r="X9747" s="16" t="str">
        <f>IFERROR(__xludf.DUMMYFUNCTION("""COMPUTED_VALUE"""),"")</f>
        <v/>
      </c>
      <c r="AC9747" s="16" t="str">
        <f>IFERROR(__xludf.DUMMYFUNCTION("""COMPUTED_VALUE"""),"")</f>
        <v/>
      </c>
    </row>
    <row r="9748">
      <c r="A9748" s="16" t="s">
        <v>87</v>
      </c>
      <c r="E9748" s="16" t="str">
        <f>IFERROR(__xludf.DUMMYFUNCTION("""COMPUTED_VALUE"""),"")</f>
        <v/>
      </c>
      <c r="G9748" s="18"/>
      <c r="H9748" s="16" t="s">
        <v>87</v>
      </c>
      <c r="I9748" s="16" t="s">
        <v>87</v>
      </c>
      <c r="J9748" s="19"/>
      <c r="L9748" s="16" t="str">
        <f>IFERROR(__xludf.DUMMYFUNCTION("""COMPUTED_VALUE"""),"")</f>
        <v/>
      </c>
      <c r="M9748" s="16" t="str">
        <f>IFERROR(__xludf.DUMMYFUNCTION("""COMPUTED_VALUE"""),"")</f>
        <v/>
      </c>
      <c r="U9748" s="16" t="s">
        <v>87</v>
      </c>
      <c r="V9748" s="16" t="str">
        <f>IFERROR(__xludf.DUMMYFUNCTION("""COMPUTED_VALUE"""),"")</f>
        <v/>
      </c>
      <c r="W9748" s="16" t="str">
        <f>IFERROR(__xludf.DUMMYFUNCTION("""COMPUTED_VALUE"""),"")</f>
        <v/>
      </c>
      <c r="X9748" s="16" t="str">
        <f>IFERROR(__xludf.DUMMYFUNCTION("""COMPUTED_VALUE"""),"")</f>
        <v/>
      </c>
      <c r="AC9748" s="16" t="str">
        <f>IFERROR(__xludf.DUMMYFUNCTION("""COMPUTED_VALUE"""),"")</f>
        <v/>
      </c>
    </row>
    <row r="9749">
      <c r="A9749" s="16" t="s">
        <v>87</v>
      </c>
      <c r="E9749" s="16" t="str">
        <f>IFERROR(__xludf.DUMMYFUNCTION("""COMPUTED_VALUE"""),"")</f>
        <v/>
      </c>
      <c r="G9749" s="18"/>
      <c r="H9749" s="16" t="s">
        <v>87</v>
      </c>
      <c r="I9749" s="16" t="s">
        <v>87</v>
      </c>
      <c r="J9749" s="19"/>
      <c r="L9749" s="16" t="str">
        <f>IFERROR(__xludf.DUMMYFUNCTION("""COMPUTED_VALUE"""),"")</f>
        <v/>
      </c>
      <c r="M9749" s="16" t="str">
        <f>IFERROR(__xludf.DUMMYFUNCTION("""COMPUTED_VALUE"""),"")</f>
        <v/>
      </c>
      <c r="U9749" s="16" t="s">
        <v>87</v>
      </c>
      <c r="V9749" s="16" t="str">
        <f>IFERROR(__xludf.DUMMYFUNCTION("""COMPUTED_VALUE"""),"")</f>
        <v/>
      </c>
      <c r="W9749" s="16" t="str">
        <f>IFERROR(__xludf.DUMMYFUNCTION("""COMPUTED_VALUE"""),"")</f>
        <v/>
      </c>
      <c r="X9749" s="16" t="str">
        <f>IFERROR(__xludf.DUMMYFUNCTION("""COMPUTED_VALUE"""),"")</f>
        <v/>
      </c>
      <c r="AC9749" s="16" t="str">
        <f>IFERROR(__xludf.DUMMYFUNCTION("""COMPUTED_VALUE"""),"")</f>
        <v/>
      </c>
    </row>
    <row r="9750">
      <c r="A9750" s="16" t="s">
        <v>87</v>
      </c>
      <c r="E9750" s="16" t="str">
        <f>IFERROR(__xludf.DUMMYFUNCTION("""COMPUTED_VALUE"""),"")</f>
        <v/>
      </c>
      <c r="G9750" s="18"/>
      <c r="H9750" s="16" t="s">
        <v>87</v>
      </c>
      <c r="I9750" s="16" t="s">
        <v>87</v>
      </c>
      <c r="J9750" s="19"/>
      <c r="L9750" s="16" t="str">
        <f>IFERROR(__xludf.DUMMYFUNCTION("""COMPUTED_VALUE"""),"")</f>
        <v/>
      </c>
      <c r="M9750" s="16" t="str">
        <f>IFERROR(__xludf.DUMMYFUNCTION("""COMPUTED_VALUE"""),"")</f>
        <v/>
      </c>
      <c r="U9750" s="16" t="s">
        <v>87</v>
      </c>
      <c r="V9750" s="16" t="str">
        <f>IFERROR(__xludf.DUMMYFUNCTION("""COMPUTED_VALUE"""),"")</f>
        <v/>
      </c>
      <c r="W9750" s="16" t="str">
        <f>IFERROR(__xludf.DUMMYFUNCTION("""COMPUTED_VALUE"""),"")</f>
        <v/>
      </c>
      <c r="X9750" s="16" t="str">
        <f>IFERROR(__xludf.DUMMYFUNCTION("""COMPUTED_VALUE"""),"")</f>
        <v/>
      </c>
      <c r="AC9750" s="16" t="str">
        <f>IFERROR(__xludf.DUMMYFUNCTION("""COMPUTED_VALUE"""),"")</f>
        <v/>
      </c>
    </row>
    <row r="9751">
      <c r="A9751" s="16" t="s">
        <v>87</v>
      </c>
      <c r="E9751" s="16" t="str">
        <f>IFERROR(__xludf.DUMMYFUNCTION("""COMPUTED_VALUE"""),"")</f>
        <v/>
      </c>
      <c r="G9751" s="18"/>
      <c r="H9751" s="16" t="s">
        <v>87</v>
      </c>
      <c r="I9751" s="16" t="s">
        <v>87</v>
      </c>
      <c r="J9751" s="19"/>
      <c r="L9751" s="16" t="str">
        <f>IFERROR(__xludf.DUMMYFUNCTION("""COMPUTED_VALUE"""),"")</f>
        <v/>
      </c>
      <c r="M9751" s="16" t="str">
        <f>IFERROR(__xludf.DUMMYFUNCTION("""COMPUTED_VALUE"""),"")</f>
        <v/>
      </c>
      <c r="U9751" s="16" t="s">
        <v>87</v>
      </c>
      <c r="V9751" s="16" t="str">
        <f>IFERROR(__xludf.DUMMYFUNCTION("""COMPUTED_VALUE"""),"")</f>
        <v/>
      </c>
      <c r="W9751" s="16" t="str">
        <f>IFERROR(__xludf.DUMMYFUNCTION("""COMPUTED_VALUE"""),"")</f>
        <v/>
      </c>
      <c r="X9751" s="16" t="str">
        <f>IFERROR(__xludf.DUMMYFUNCTION("""COMPUTED_VALUE"""),"")</f>
        <v/>
      </c>
      <c r="AC9751" s="16" t="str">
        <f>IFERROR(__xludf.DUMMYFUNCTION("""COMPUTED_VALUE"""),"")</f>
        <v/>
      </c>
    </row>
    <row r="9752">
      <c r="A9752" s="16" t="s">
        <v>87</v>
      </c>
      <c r="E9752" s="16" t="str">
        <f>IFERROR(__xludf.DUMMYFUNCTION("""COMPUTED_VALUE"""),"")</f>
        <v/>
      </c>
      <c r="G9752" s="18"/>
      <c r="H9752" s="16" t="s">
        <v>87</v>
      </c>
      <c r="I9752" s="16" t="s">
        <v>87</v>
      </c>
      <c r="J9752" s="19"/>
      <c r="L9752" s="16" t="str">
        <f>IFERROR(__xludf.DUMMYFUNCTION("""COMPUTED_VALUE"""),"")</f>
        <v/>
      </c>
      <c r="M9752" s="16" t="str">
        <f>IFERROR(__xludf.DUMMYFUNCTION("""COMPUTED_VALUE"""),"")</f>
        <v/>
      </c>
      <c r="U9752" s="16" t="s">
        <v>87</v>
      </c>
      <c r="V9752" s="16" t="str">
        <f>IFERROR(__xludf.DUMMYFUNCTION("""COMPUTED_VALUE"""),"")</f>
        <v/>
      </c>
      <c r="W9752" s="16" t="str">
        <f>IFERROR(__xludf.DUMMYFUNCTION("""COMPUTED_VALUE"""),"")</f>
        <v/>
      </c>
      <c r="X9752" s="16" t="str">
        <f>IFERROR(__xludf.DUMMYFUNCTION("""COMPUTED_VALUE"""),"")</f>
        <v/>
      </c>
      <c r="AC9752" s="16" t="str">
        <f>IFERROR(__xludf.DUMMYFUNCTION("""COMPUTED_VALUE"""),"")</f>
        <v/>
      </c>
    </row>
    <row r="9753">
      <c r="A9753" s="16" t="s">
        <v>87</v>
      </c>
      <c r="E9753" s="16" t="str">
        <f>IFERROR(__xludf.DUMMYFUNCTION("""COMPUTED_VALUE"""),"")</f>
        <v/>
      </c>
      <c r="G9753" s="18"/>
      <c r="H9753" s="16" t="s">
        <v>87</v>
      </c>
      <c r="I9753" s="16" t="s">
        <v>87</v>
      </c>
      <c r="J9753" s="19"/>
      <c r="L9753" s="16" t="str">
        <f>IFERROR(__xludf.DUMMYFUNCTION("""COMPUTED_VALUE"""),"")</f>
        <v/>
      </c>
      <c r="M9753" s="16" t="str">
        <f>IFERROR(__xludf.DUMMYFUNCTION("""COMPUTED_VALUE"""),"")</f>
        <v/>
      </c>
      <c r="U9753" s="16" t="s">
        <v>87</v>
      </c>
      <c r="V9753" s="16" t="str">
        <f>IFERROR(__xludf.DUMMYFUNCTION("""COMPUTED_VALUE"""),"")</f>
        <v/>
      </c>
      <c r="W9753" s="16" t="str">
        <f>IFERROR(__xludf.DUMMYFUNCTION("""COMPUTED_VALUE"""),"")</f>
        <v/>
      </c>
      <c r="X9753" s="16" t="str">
        <f>IFERROR(__xludf.DUMMYFUNCTION("""COMPUTED_VALUE"""),"")</f>
        <v/>
      </c>
      <c r="AC9753" s="16" t="str">
        <f>IFERROR(__xludf.DUMMYFUNCTION("""COMPUTED_VALUE"""),"")</f>
        <v/>
      </c>
    </row>
    <row r="9754">
      <c r="A9754" s="16" t="s">
        <v>87</v>
      </c>
      <c r="E9754" s="16" t="str">
        <f>IFERROR(__xludf.DUMMYFUNCTION("""COMPUTED_VALUE"""),"")</f>
        <v/>
      </c>
      <c r="G9754" s="18"/>
      <c r="H9754" s="16" t="s">
        <v>87</v>
      </c>
      <c r="I9754" s="16" t="s">
        <v>87</v>
      </c>
      <c r="J9754" s="19"/>
      <c r="L9754" s="16" t="str">
        <f>IFERROR(__xludf.DUMMYFUNCTION("""COMPUTED_VALUE"""),"")</f>
        <v/>
      </c>
      <c r="M9754" s="16" t="str">
        <f>IFERROR(__xludf.DUMMYFUNCTION("""COMPUTED_VALUE"""),"")</f>
        <v/>
      </c>
      <c r="U9754" s="16" t="s">
        <v>87</v>
      </c>
      <c r="V9754" s="16" t="str">
        <f>IFERROR(__xludf.DUMMYFUNCTION("""COMPUTED_VALUE"""),"")</f>
        <v/>
      </c>
      <c r="W9754" s="16" t="str">
        <f>IFERROR(__xludf.DUMMYFUNCTION("""COMPUTED_VALUE"""),"")</f>
        <v/>
      </c>
      <c r="X9754" s="16" t="str">
        <f>IFERROR(__xludf.DUMMYFUNCTION("""COMPUTED_VALUE"""),"")</f>
        <v/>
      </c>
      <c r="AC9754" s="16" t="str">
        <f>IFERROR(__xludf.DUMMYFUNCTION("""COMPUTED_VALUE"""),"")</f>
        <v/>
      </c>
    </row>
    <row r="9755">
      <c r="A9755" s="16" t="s">
        <v>87</v>
      </c>
      <c r="E9755" s="16" t="str">
        <f>IFERROR(__xludf.DUMMYFUNCTION("""COMPUTED_VALUE"""),"")</f>
        <v/>
      </c>
      <c r="G9755" s="18"/>
      <c r="H9755" s="16" t="s">
        <v>87</v>
      </c>
      <c r="I9755" s="16" t="s">
        <v>87</v>
      </c>
      <c r="J9755" s="19"/>
      <c r="L9755" s="16" t="str">
        <f>IFERROR(__xludf.DUMMYFUNCTION("""COMPUTED_VALUE"""),"")</f>
        <v/>
      </c>
      <c r="M9755" s="16" t="str">
        <f>IFERROR(__xludf.DUMMYFUNCTION("""COMPUTED_VALUE"""),"")</f>
        <v/>
      </c>
      <c r="U9755" s="16" t="s">
        <v>87</v>
      </c>
      <c r="V9755" s="16" t="str">
        <f>IFERROR(__xludf.DUMMYFUNCTION("""COMPUTED_VALUE"""),"")</f>
        <v/>
      </c>
      <c r="W9755" s="16" t="str">
        <f>IFERROR(__xludf.DUMMYFUNCTION("""COMPUTED_VALUE"""),"")</f>
        <v/>
      </c>
      <c r="X9755" s="16" t="str">
        <f>IFERROR(__xludf.DUMMYFUNCTION("""COMPUTED_VALUE"""),"")</f>
        <v/>
      </c>
      <c r="AC9755" s="16" t="str">
        <f>IFERROR(__xludf.DUMMYFUNCTION("""COMPUTED_VALUE"""),"")</f>
        <v/>
      </c>
    </row>
    <row r="9756">
      <c r="A9756" s="16" t="s">
        <v>87</v>
      </c>
      <c r="E9756" s="16" t="str">
        <f>IFERROR(__xludf.DUMMYFUNCTION("""COMPUTED_VALUE"""),"")</f>
        <v/>
      </c>
      <c r="G9756" s="18"/>
      <c r="H9756" s="16" t="s">
        <v>87</v>
      </c>
      <c r="I9756" s="16" t="s">
        <v>87</v>
      </c>
      <c r="J9756" s="19"/>
      <c r="L9756" s="16" t="str">
        <f>IFERROR(__xludf.DUMMYFUNCTION("""COMPUTED_VALUE"""),"")</f>
        <v/>
      </c>
      <c r="M9756" s="16" t="str">
        <f>IFERROR(__xludf.DUMMYFUNCTION("""COMPUTED_VALUE"""),"")</f>
        <v/>
      </c>
      <c r="U9756" s="16" t="s">
        <v>87</v>
      </c>
      <c r="V9756" s="16" t="str">
        <f>IFERROR(__xludf.DUMMYFUNCTION("""COMPUTED_VALUE"""),"")</f>
        <v/>
      </c>
      <c r="W9756" s="16" t="str">
        <f>IFERROR(__xludf.DUMMYFUNCTION("""COMPUTED_VALUE"""),"")</f>
        <v/>
      </c>
      <c r="X9756" s="16" t="str">
        <f>IFERROR(__xludf.DUMMYFUNCTION("""COMPUTED_VALUE"""),"")</f>
        <v/>
      </c>
      <c r="AC9756" s="16" t="str">
        <f>IFERROR(__xludf.DUMMYFUNCTION("""COMPUTED_VALUE"""),"")</f>
        <v/>
      </c>
    </row>
    <row r="9757">
      <c r="A9757" s="16" t="s">
        <v>87</v>
      </c>
      <c r="E9757" s="16" t="str">
        <f>IFERROR(__xludf.DUMMYFUNCTION("""COMPUTED_VALUE"""),"")</f>
        <v/>
      </c>
      <c r="G9757" s="18"/>
      <c r="H9757" s="16" t="s">
        <v>87</v>
      </c>
      <c r="I9757" s="16" t="s">
        <v>87</v>
      </c>
      <c r="J9757" s="19"/>
      <c r="L9757" s="16" t="str">
        <f>IFERROR(__xludf.DUMMYFUNCTION("""COMPUTED_VALUE"""),"")</f>
        <v/>
      </c>
      <c r="M9757" s="16" t="str">
        <f>IFERROR(__xludf.DUMMYFUNCTION("""COMPUTED_VALUE"""),"")</f>
        <v/>
      </c>
      <c r="U9757" s="16" t="s">
        <v>87</v>
      </c>
      <c r="V9757" s="16" t="str">
        <f>IFERROR(__xludf.DUMMYFUNCTION("""COMPUTED_VALUE"""),"")</f>
        <v/>
      </c>
      <c r="W9757" s="16" t="str">
        <f>IFERROR(__xludf.DUMMYFUNCTION("""COMPUTED_VALUE"""),"")</f>
        <v/>
      </c>
      <c r="X9757" s="16" t="str">
        <f>IFERROR(__xludf.DUMMYFUNCTION("""COMPUTED_VALUE"""),"")</f>
        <v/>
      </c>
      <c r="AC9757" s="16" t="str">
        <f>IFERROR(__xludf.DUMMYFUNCTION("""COMPUTED_VALUE"""),"")</f>
        <v/>
      </c>
    </row>
    <row r="9758">
      <c r="A9758" s="16" t="s">
        <v>87</v>
      </c>
      <c r="E9758" s="16" t="str">
        <f>IFERROR(__xludf.DUMMYFUNCTION("""COMPUTED_VALUE"""),"")</f>
        <v/>
      </c>
      <c r="G9758" s="18"/>
      <c r="H9758" s="16" t="s">
        <v>87</v>
      </c>
      <c r="I9758" s="16" t="s">
        <v>87</v>
      </c>
      <c r="J9758" s="19"/>
      <c r="L9758" s="16" t="str">
        <f>IFERROR(__xludf.DUMMYFUNCTION("""COMPUTED_VALUE"""),"")</f>
        <v/>
      </c>
      <c r="M9758" s="16" t="str">
        <f>IFERROR(__xludf.DUMMYFUNCTION("""COMPUTED_VALUE"""),"")</f>
        <v/>
      </c>
      <c r="U9758" s="16" t="s">
        <v>87</v>
      </c>
      <c r="V9758" s="16" t="str">
        <f>IFERROR(__xludf.DUMMYFUNCTION("""COMPUTED_VALUE"""),"")</f>
        <v/>
      </c>
      <c r="W9758" s="16" t="str">
        <f>IFERROR(__xludf.DUMMYFUNCTION("""COMPUTED_VALUE"""),"")</f>
        <v/>
      </c>
      <c r="X9758" s="16" t="str">
        <f>IFERROR(__xludf.DUMMYFUNCTION("""COMPUTED_VALUE"""),"")</f>
        <v/>
      </c>
      <c r="AC9758" s="16" t="str">
        <f>IFERROR(__xludf.DUMMYFUNCTION("""COMPUTED_VALUE"""),"")</f>
        <v/>
      </c>
    </row>
    <row r="9759">
      <c r="A9759" s="16" t="s">
        <v>87</v>
      </c>
      <c r="E9759" s="16" t="str">
        <f>IFERROR(__xludf.DUMMYFUNCTION("""COMPUTED_VALUE"""),"")</f>
        <v/>
      </c>
      <c r="G9759" s="18"/>
      <c r="H9759" s="16" t="s">
        <v>87</v>
      </c>
      <c r="I9759" s="16" t="s">
        <v>87</v>
      </c>
      <c r="J9759" s="19"/>
      <c r="L9759" s="16" t="str">
        <f>IFERROR(__xludf.DUMMYFUNCTION("""COMPUTED_VALUE"""),"")</f>
        <v/>
      </c>
      <c r="M9759" s="16" t="str">
        <f>IFERROR(__xludf.DUMMYFUNCTION("""COMPUTED_VALUE"""),"")</f>
        <v/>
      </c>
      <c r="U9759" s="16" t="s">
        <v>87</v>
      </c>
      <c r="V9759" s="16" t="str">
        <f>IFERROR(__xludf.DUMMYFUNCTION("""COMPUTED_VALUE"""),"")</f>
        <v/>
      </c>
      <c r="W9759" s="16" t="str">
        <f>IFERROR(__xludf.DUMMYFUNCTION("""COMPUTED_VALUE"""),"")</f>
        <v/>
      </c>
      <c r="X9759" s="16" t="str">
        <f>IFERROR(__xludf.DUMMYFUNCTION("""COMPUTED_VALUE"""),"")</f>
        <v/>
      </c>
      <c r="AC9759" s="16" t="str">
        <f>IFERROR(__xludf.DUMMYFUNCTION("""COMPUTED_VALUE"""),"")</f>
        <v/>
      </c>
    </row>
    <row r="9760">
      <c r="A9760" s="16" t="s">
        <v>87</v>
      </c>
      <c r="E9760" s="16" t="str">
        <f>IFERROR(__xludf.DUMMYFUNCTION("""COMPUTED_VALUE"""),"")</f>
        <v/>
      </c>
      <c r="G9760" s="18"/>
      <c r="H9760" s="16" t="s">
        <v>87</v>
      </c>
      <c r="I9760" s="16" t="s">
        <v>87</v>
      </c>
      <c r="J9760" s="19"/>
      <c r="L9760" s="16" t="str">
        <f>IFERROR(__xludf.DUMMYFUNCTION("""COMPUTED_VALUE"""),"")</f>
        <v/>
      </c>
      <c r="M9760" s="16" t="str">
        <f>IFERROR(__xludf.DUMMYFUNCTION("""COMPUTED_VALUE"""),"")</f>
        <v/>
      </c>
      <c r="U9760" s="16" t="s">
        <v>87</v>
      </c>
      <c r="V9760" s="16" t="str">
        <f>IFERROR(__xludf.DUMMYFUNCTION("""COMPUTED_VALUE"""),"")</f>
        <v/>
      </c>
      <c r="W9760" s="16" t="str">
        <f>IFERROR(__xludf.DUMMYFUNCTION("""COMPUTED_VALUE"""),"")</f>
        <v/>
      </c>
      <c r="X9760" s="16" t="str">
        <f>IFERROR(__xludf.DUMMYFUNCTION("""COMPUTED_VALUE"""),"")</f>
        <v/>
      </c>
      <c r="AC9760" s="16" t="str">
        <f>IFERROR(__xludf.DUMMYFUNCTION("""COMPUTED_VALUE"""),"")</f>
        <v/>
      </c>
    </row>
    <row r="9761">
      <c r="A9761" s="16" t="s">
        <v>87</v>
      </c>
      <c r="E9761" s="16" t="str">
        <f>IFERROR(__xludf.DUMMYFUNCTION("""COMPUTED_VALUE"""),"")</f>
        <v/>
      </c>
      <c r="G9761" s="18"/>
      <c r="H9761" s="16" t="s">
        <v>87</v>
      </c>
      <c r="I9761" s="16" t="s">
        <v>87</v>
      </c>
      <c r="J9761" s="19"/>
      <c r="L9761" s="16" t="str">
        <f>IFERROR(__xludf.DUMMYFUNCTION("""COMPUTED_VALUE"""),"")</f>
        <v/>
      </c>
      <c r="M9761" s="16" t="str">
        <f>IFERROR(__xludf.DUMMYFUNCTION("""COMPUTED_VALUE"""),"")</f>
        <v/>
      </c>
      <c r="U9761" s="16" t="s">
        <v>87</v>
      </c>
      <c r="V9761" s="16" t="str">
        <f>IFERROR(__xludf.DUMMYFUNCTION("""COMPUTED_VALUE"""),"")</f>
        <v/>
      </c>
      <c r="W9761" s="16" t="str">
        <f>IFERROR(__xludf.DUMMYFUNCTION("""COMPUTED_VALUE"""),"")</f>
        <v/>
      </c>
      <c r="X9761" s="16" t="str">
        <f>IFERROR(__xludf.DUMMYFUNCTION("""COMPUTED_VALUE"""),"")</f>
        <v/>
      </c>
      <c r="AC9761" s="16" t="str">
        <f>IFERROR(__xludf.DUMMYFUNCTION("""COMPUTED_VALUE"""),"")</f>
        <v/>
      </c>
    </row>
    <row r="9762">
      <c r="A9762" s="16" t="s">
        <v>87</v>
      </c>
      <c r="E9762" s="16" t="str">
        <f>IFERROR(__xludf.DUMMYFUNCTION("""COMPUTED_VALUE"""),"")</f>
        <v/>
      </c>
      <c r="G9762" s="18"/>
      <c r="H9762" s="16" t="s">
        <v>87</v>
      </c>
      <c r="I9762" s="16" t="s">
        <v>87</v>
      </c>
      <c r="J9762" s="19"/>
      <c r="L9762" s="16" t="str">
        <f>IFERROR(__xludf.DUMMYFUNCTION("""COMPUTED_VALUE"""),"")</f>
        <v/>
      </c>
      <c r="M9762" s="16" t="str">
        <f>IFERROR(__xludf.DUMMYFUNCTION("""COMPUTED_VALUE"""),"")</f>
        <v/>
      </c>
      <c r="U9762" s="16" t="s">
        <v>87</v>
      </c>
      <c r="V9762" s="16" t="str">
        <f>IFERROR(__xludf.DUMMYFUNCTION("""COMPUTED_VALUE"""),"")</f>
        <v/>
      </c>
      <c r="W9762" s="16" t="str">
        <f>IFERROR(__xludf.DUMMYFUNCTION("""COMPUTED_VALUE"""),"")</f>
        <v/>
      </c>
      <c r="X9762" s="16" t="str">
        <f>IFERROR(__xludf.DUMMYFUNCTION("""COMPUTED_VALUE"""),"")</f>
        <v/>
      </c>
      <c r="AC9762" s="16" t="str">
        <f>IFERROR(__xludf.DUMMYFUNCTION("""COMPUTED_VALUE"""),"")</f>
        <v/>
      </c>
    </row>
    <row r="9763">
      <c r="A9763" s="16" t="s">
        <v>87</v>
      </c>
      <c r="E9763" s="16" t="str">
        <f>IFERROR(__xludf.DUMMYFUNCTION("""COMPUTED_VALUE"""),"")</f>
        <v/>
      </c>
      <c r="G9763" s="18"/>
      <c r="H9763" s="16" t="s">
        <v>87</v>
      </c>
      <c r="I9763" s="16" t="s">
        <v>87</v>
      </c>
      <c r="J9763" s="19"/>
      <c r="L9763" s="16" t="str">
        <f>IFERROR(__xludf.DUMMYFUNCTION("""COMPUTED_VALUE"""),"")</f>
        <v/>
      </c>
      <c r="M9763" s="16" t="str">
        <f>IFERROR(__xludf.DUMMYFUNCTION("""COMPUTED_VALUE"""),"")</f>
        <v/>
      </c>
      <c r="U9763" s="16" t="s">
        <v>87</v>
      </c>
      <c r="V9763" s="16" t="str">
        <f>IFERROR(__xludf.DUMMYFUNCTION("""COMPUTED_VALUE"""),"")</f>
        <v/>
      </c>
      <c r="W9763" s="16" t="str">
        <f>IFERROR(__xludf.DUMMYFUNCTION("""COMPUTED_VALUE"""),"")</f>
        <v/>
      </c>
      <c r="X9763" s="16" t="str">
        <f>IFERROR(__xludf.DUMMYFUNCTION("""COMPUTED_VALUE"""),"")</f>
        <v/>
      </c>
      <c r="AC9763" s="16" t="str">
        <f>IFERROR(__xludf.DUMMYFUNCTION("""COMPUTED_VALUE"""),"")</f>
        <v/>
      </c>
    </row>
    <row r="9764">
      <c r="A9764" s="16" t="s">
        <v>87</v>
      </c>
      <c r="E9764" s="16" t="str">
        <f>IFERROR(__xludf.DUMMYFUNCTION("""COMPUTED_VALUE"""),"")</f>
        <v/>
      </c>
      <c r="G9764" s="18"/>
      <c r="H9764" s="16" t="s">
        <v>87</v>
      </c>
      <c r="I9764" s="16" t="s">
        <v>87</v>
      </c>
      <c r="J9764" s="19"/>
      <c r="L9764" s="16" t="str">
        <f>IFERROR(__xludf.DUMMYFUNCTION("""COMPUTED_VALUE"""),"")</f>
        <v/>
      </c>
      <c r="M9764" s="16" t="str">
        <f>IFERROR(__xludf.DUMMYFUNCTION("""COMPUTED_VALUE"""),"")</f>
        <v/>
      </c>
      <c r="U9764" s="16" t="s">
        <v>87</v>
      </c>
      <c r="V9764" s="16" t="str">
        <f>IFERROR(__xludf.DUMMYFUNCTION("""COMPUTED_VALUE"""),"")</f>
        <v/>
      </c>
      <c r="W9764" s="16" t="str">
        <f>IFERROR(__xludf.DUMMYFUNCTION("""COMPUTED_VALUE"""),"")</f>
        <v/>
      </c>
      <c r="X9764" s="16" t="str">
        <f>IFERROR(__xludf.DUMMYFUNCTION("""COMPUTED_VALUE"""),"")</f>
        <v/>
      </c>
      <c r="AC9764" s="16" t="str">
        <f>IFERROR(__xludf.DUMMYFUNCTION("""COMPUTED_VALUE"""),"")</f>
        <v/>
      </c>
    </row>
    <row r="9765">
      <c r="A9765" s="16" t="s">
        <v>87</v>
      </c>
      <c r="E9765" s="16" t="str">
        <f>IFERROR(__xludf.DUMMYFUNCTION("""COMPUTED_VALUE"""),"")</f>
        <v/>
      </c>
      <c r="G9765" s="18"/>
      <c r="H9765" s="16" t="s">
        <v>87</v>
      </c>
      <c r="I9765" s="16" t="s">
        <v>87</v>
      </c>
      <c r="J9765" s="19"/>
      <c r="L9765" s="16" t="str">
        <f>IFERROR(__xludf.DUMMYFUNCTION("""COMPUTED_VALUE"""),"")</f>
        <v/>
      </c>
      <c r="M9765" s="16" t="str">
        <f>IFERROR(__xludf.DUMMYFUNCTION("""COMPUTED_VALUE"""),"")</f>
        <v/>
      </c>
      <c r="U9765" s="16" t="s">
        <v>87</v>
      </c>
      <c r="V9765" s="16" t="str">
        <f>IFERROR(__xludf.DUMMYFUNCTION("""COMPUTED_VALUE"""),"")</f>
        <v/>
      </c>
      <c r="W9765" s="16" t="str">
        <f>IFERROR(__xludf.DUMMYFUNCTION("""COMPUTED_VALUE"""),"")</f>
        <v/>
      </c>
      <c r="X9765" s="16" t="str">
        <f>IFERROR(__xludf.DUMMYFUNCTION("""COMPUTED_VALUE"""),"")</f>
        <v/>
      </c>
      <c r="AC9765" s="16" t="str">
        <f>IFERROR(__xludf.DUMMYFUNCTION("""COMPUTED_VALUE"""),"")</f>
        <v/>
      </c>
    </row>
    <row r="9766">
      <c r="A9766" s="16" t="s">
        <v>87</v>
      </c>
      <c r="E9766" s="16" t="str">
        <f>IFERROR(__xludf.DUMMYFUNCTION("""COMPUTED_VALUE"""),"")</f>
        <v/>
      </c>
      <c r="G9766" s="18"/>
      <c r="H9766" s="16" t="s">
        <v>87</v>
      </c>
      <c r="I9766" s="16" t="s">
        <v>87</v>
      </c>
      <c r="J9766" s="19"/>
      <c r="L9766" s="16" t="str">
        <f>IFERROR(__xludf.DUMMYFUNCTION("""COMPUTED_VALUE"""),"")</f>
        <v/>
      </c>
      <c r="M9766" s="16" t="str">
        <f>IFERROR(__xludf.DUMMYFUNCTION("""COMPUTED_VALUE"""),"")</f>
        <v/>
      </c>
      <c r="U9766" s="16" t="s">
        <v>87</v>
      </c>
      <c r="V9766" s="16" t="str">
        <f>IFERROR(__xludf.DUMMYFUNCTION("""COMPUTED_VALUE"""),"")</f>
        <v/>
      </c>
      <c r="W9766" s="16" t="str">
        <f>IFERROR(__xludf.DUMMYFUNCTION("""COMPUTED_VALUE"""),"")</f>
        <v/>
      </c>
      <c r="X9766" s="16" t="str">
        <f>IFERROR(__xludf.DUMMYFUNCTION("""COMPUTED_VALUE"""),"")</f>
        <v/>
      </c>
      <c r="AC9766" s="16" t="str">
        <f>IFERROR(__xludf.DUMMYFUNCTION("""COMPUTED_VALUE"""),"")</f>
        <v/>
      </c>
    </row>
    <row r="9767">
      <c r="A9767" s="16" t="s">
        <v>87</v>
      </c>
      <c r="E9767" s="16" t="str">
        <f>IFERROR(__xludf.DUMMYFUNCTION("""COMPUTED_VALUE"""),"")</f>
        <v/>
      </c>
      <c r="G9767" s="18"/>
      <c r="H9767" s="16" t="s">
        <v>87</v>
      </c>
      <c r="I9767" s="16" t="s">
        <v>87</v>
      </c>
      <c r="J9767" s="19"/>
      <c r="L9767" s="16" t="str">
        <f>IFERROR(__xludf.DUMMYFUNCTION("""COMPUTED_VALUE"""),"")</f>
        <v/>
      </c>
      <c r="M9767" s="16" t="str">
        <f>IFERROR(__xludf.DUMMYFUNCTION("""COMPUTED_VALUE"""),"")</f>
        <v/>
      </c>
      <c r="U9767" s="16" t="s">
        <v>87</v>
      </c>
      <c r="V9767" s="16" t="str">
        <f>IFERROR(__xludf.DUMMYFUNCTION("""COMPUTED_VALUE"""),"")</f>
        <v/>
      </c>
      <c r="W9767" s="16" t="str">
        <f>IFERROR(__xludf.DUMMYFUNCTION("""COMPUTED_VALUE"""),"")</f>
        <v/>
      </c>
      <c r="X9767" s="16" t="str">
        <f>IFERROR(__xludf.DUMMYFUNCTION("""COMPUTED_VALUE"""),"")</f>
        <v/>
      </c>
      <c r="AC9767" s="16" t="str">
        <f>IFERROR(__xludf.DUMMYFUNCTION("""COMPUTED_VALUE"""),"")</f>
        <v/>
      </c>
    </row>
    <row r="9768">
      <c r="A9768" s="16" t="s">
        <v>87</v>
      </c>
      <c r="E9768" s="16" t="str">
        <f>IFERROR(__xludf.DUMMYFUNCTION("""COMPUTED_VALUE"""),"")</f>
        <v/>
      </c>
      <c r="G9768" s="18"/>
      <c r="H9768" s="16" t="s">
        <v>87</v>
      </c>
      <c r="I9768" s="16" t="s">
        <v>87</v>
      </c>
      <c r="J9768" s="19"/>
      <c r="L9768" s="16" t="str">
        <f>IFERROR(__xludf.DUMMYFUNCTION("""COMPUTED_VALUE"""),"")</f>
        <v/>
      </c>
      <c r="M9768" s="16" t="str">
        <f>IFERROR(__xludf.DUMMYFUNCTION("""COMPUTED_VALUE"""),"")</f>
        <v/>
      </c>
      <c r="U9768" s="16" t="s">
        <v>87</v>
      </c>
      <c r="V9768" s="16" t="str">
        <f>IFERROR(__xludf.DUMMYFUNCTION("""COMPUTED_VALUE"""),"")</f>
        <v/>
      </c>
      <c r="W9768" s="16" t="str">
        <f>IFERROR(__xludf.DUMMYFUNCTION("""COMPUTED_VALUE"""),"")</f>
        <v/>
      </c>
      <c r="X9768" s="16" t="str">
        <f>IFERROR(__xludf.DUMMYFUNCTION("""COMPUTED_VALUE"""),"")</f>
        <v/>
      </c>
      <c r="AC9768" s="16" t="str">
        <f>IFERROR(__xludf.DUMMYFUNCTION("""COMPUTED_VALUE"""),"")</f>
        <v/>
      </c>
    </row>
    <row r="9769">
      <c r="A9769" s="16" t="s">
        <v>87</v>
      </c>
      <c r="E9769" s="16" t="str">
        <f>IFERROR(__xludf.DUMMYFUNCTION("""COMPUTED_VALUE"""),"")</f>
        <v/>
      </c>
      <c r="G9769" s="18"/>
      <c r="H9769" s="16" t="s">
        <v>87</v>
      </c>
      <c r="I9769" s="16" t="s">
        <v>87</v>
      </c>
      <c r="J9769" s="19"/>
      <c r="L9769" s="16" t="str">
        <f>IFERROR(__xludf.DUMMYFUNCTION("""COMPUTED_VALUE"""),"")</f>
        <v/>
      </c>
      <c r="M9769" s="16" t="str">
        <f>IFERROR(__xludf.DUMMYFUNCTION("""COMPUTED_VALUE"""),"")</f>
        <v/>
      </c>
      <c r="U9769" s="16" t="s">
        <v>87</v>
      </c>
      <c r="V9769" s="16" t="str">
        <f>IFERROR(__xludf.DUMMYFUNCTION("""COMPUTED_VALUE"""),"")</f>
        <v/>
      </c>
      <c r="W9769" s="16" t="str">
        <f>IFERROR(__xludf.DUMMYFUNCTION("""COMPUTED_VALUE"""),"")</f>
        <v/>
      </c>
      <c r="X9769" s="16" t="str">
        <f>IFERROR(__xludf.DUMMYFUNCTION("""COMPUTED_VALUE"""),"")</f>
        <v/>
      </c>
      <c r="AC9769" s="16" t="str">
        <f>IFERROR(__xludf.DUMMYFUNCTION("""COMPUTED_VALUE"""),"")</f>
        <v/>
      </c>
    </row>
    <row r="9770">
      <c r="A9770" s="16" t="s">
        <v>87</v>
      </c>
      <c r="E9770" s="16" t="str">
        <f>IFERROR(__xludf.DUMMYFUNCTION("""COMPUTED_VALUE"""),"")</f>
        <v/>
      </c>
      <c r="G9770" s="18"/>
      <c r="H9770" s="16" t="s">
        <v>87</v>
      </c>
      <c r="I9770" s="16" t="s">
        <v>87</v>
      </c>
      <c r="J9770" s="19"/>
      <c r="L9770" s="16" t="str">
        <f>IFERROR(__xludf.DUMMYFUNCTION("""COMPUTED_VALUE"""),"")</f>
        <v/>
      </c>
      <c r="M9770" s="16" t="str">
        <f>IFERROR(__xludf.DUMMYFUNCTION("""COMPUTED_VALUE"""),"")</f>
        <v/>
      </c>
      <c r="U9770" s="16" t="s">
        <v>87</v>
      </c>
      <c r="V9770" s="16" t="str">
        <f>IFERROR(__xludf.DUMMYFUNCTION("""COMPUTED_VALUE"""),"")</f>
        <v/>
      </c>
      <c r="W9770" s="16" t="str">
        <f>IFERROR(__xludf.DUMMYFUNCTION("""COMPUTED_VALUE"""),"")</f>
        <v/>
      </c>
      <c r="X9770" s="16" t="str">
        <f>IFERROR(__xludf.DUMMYFUNCTION("""COMPUTED_VALUE"""),"")</f>
        <v/>
      </c>
      <c r="AC9770" s="16" t="str">
        <f>IFERROR(__xludf.DUMMYFUNCTION("""COMPUTED_VALUE"""),"")</f>
        <v/>
      </c>
    </row>
    <row r="9771">
      <c r="A9771" s="16" t="s">
        <v>87</v>
      </c>
      <c r="E9771" s="16" t="str">
        <f>IFERROR(__xludf.DUMMYFUNCTION("""COMPUTED_VALUE"""),"")</f>
        <v/>
      </c>
      <c r="G9771" s="18"/>
      <c r="H9771" s="16" t="s">
        <v>87</v>
      </c>
      <c r="I9771" s="16" t="s">
        <v>87</v>
      </c>
      <c r="J9771" s="19"/>
      <c r="L9771" s="16" t="str">
        <f>IFERROR(__xludf.DUMMYFUNCTION("""COMPUTED_VALUE"""),"")</f>
        <v/>
      </c>
      <c r="M9771" s="16" t="str">
        <f>IFERROR(__xludf.DUMMYFUNCTION("""COMPUTED_VALUE"""),"")</f>
        <v/>
      </c>
      <c r="U9771" s="16" t="s">
        <v>87</v>
      </c>
      <c r="V9771" s="16" t="str">
        <f>IFERROR(__xludf.DUMMYFUNCTION("""COMPUTED_VALUE"""),"")</f>
        <v/>
      </c>
      <c r="W9771" s="16" t="str">
        <f>IFERROR(__xludf.DUMMYFUNCTION("""COMPUTED_VALUE"""),"")</f>
        <v/>
      </c>
      <c r="X9771" s="16" t="str">
        <f>IFERROR(__xludf.DUMMYFUNCTION("""COMPUTED_VALUE"""),"")</f>
        <v/>
      </c>
      <c r="AC9771" s="16" t="str">
        <f>IFERROR(__xludf.DUMMYFUNCTION("""COMPUTED_VALUE"""),"")</f>
        <v/>
      </c>
    </row>
    <row r="9772">
      <c r="A9772" s="16" t="s">
        <v>87</v>
      </c>
      <c r="E9772" s="16" t="str">
        <f>IFERROR(__xludf.DUMMYFUNCTION("""COMPUTED_VALUE"""),"")</f>
        <v/>
      </c>
      <c r="G9772" s="18"/>
      <c r="H9772" s="16" t="s">
        <v>87</v>
      </c>
      <c r="I9772" s="16" t="s">
        <v>87</v>
      </c>
      <c r="J9772" s="19"/>
      <c r="L9772" s="16" t="str">
        <f>IFERROR(__xludf.DUMMYFUNCTION("""COMPUTED_VALUE"""),"")</f>
        <v/>
      </c>
      <c r="M9772" s="16" t="str">
        <f>IFERROR(__xludf.DUMMYFUNCTION("""COMPUTED_VALUE"""),"")</f>
        <v/>
      </c>
      <c r="U9772" s="16" t="s">
        <v>87</v>
      </c>
      <c r="V9772" s="16" t="str">
        <f>IFERROR(__xludf.DUMMYFUNCTION("""COMPUTED_VALUE"""),"")</f>
        <v/>
      </c>
      <c r="W9772" s="16" t="str">
        <f>IFERROR(__xludf.DUMMYFUNCTION("""COMPUTED_VALUE"""),"")</f>
        <v/>
      </c>
      <c r="X9772" s="16" t="str">
        <f>IFERROR(__xludf.DUMMYFUNCTION("""COMPUTED_VALUE"""),"")</f>
        <v/>
      </c>
      <c r="AC9772" s="16" t="str">
        <f>IFERROR(__xludf.DUMMYFUNCTION("""COMPUTED_VALUE"""),"")</f>
        <v/>
      </c>
    </row>
    <row r="9773">
      <c r="A9773" s="16" t="s">
        <v>87</v>
      </c>
      <c r="E9773" s="16" t="str">
        <f>IFERROR(__xludf.DUMMYFUNCTION("""COMPUTED_VALUE"""),"")</f>
        <v/>
      </c>
      <c r="G9773" s="18"/>
      <c r="H9773" s="16" t="s">
        <v>87</v>
      </c>
      <c r="I9773" s="16" t="s">
        <v>87</v>
      </c>
      <c r="J9773" s="19"/>
      <c r="L9773" s="16" t="str">
        <f>IFERROR(__xludf.DUMMYFUNCTION("""COMPUTED_VALUE"""),"")</f>
        <v/>
      </c>
      <c r="M9773" s="16" t="str">
        <f>IFERROR(__xludf.DUMMYFUNCTION("""COMPUTED_VALUE"""),"")</f>
        <v/>
      </c>
      <c r="U9773" s="16" t="s">
        <v>87</v>
      </c>
      <c r="V9773" s="16" t="str">
        <f>IFERROR(__xludf.DUMMYFUNCTION("""COMPUTED_VALUE"""),"")</f>
        <v/>
      </c>
      <c r="W9773" s="16" t="str">
        <f>IFERROR(__xludf.DUMMYFUNCTION("""COMPUTED_VALUE"""),"")</f>
        <v/>
      </c>
      <c r="X9773" s="16" t="str">
        <f>IFERROR(__xludf.DUMMYFUNCTION("""COMPUTED_VALUE"""),"")</f>
        <v/>
      </c>
      <c r="AC9773" s="16" t="str">
        <f>IFERROR(__xludf.DUMMYFUNCTION("""COMPUTED_VALUE"""),"")</f>
        <v/>
      </c>
    </row>
    <row r="9774">
      <c r="A9774" s="16" t="s">
        <v>87</v>
      </c>
      <c r="E9774" s="16" t="str">
        <f>IFERROR(__xludf.DUMMYFUNCTION("""COMPUTED_VALUE"""),"")</f>
        <v/>
      </c>
      <c r="G9774" s="18"/>
      <c r="H9774" s="16" t="s">
        <v>87</v>
      </c>
      <c r="I9774" s="16" t="s">
        <v>87</v>
      </c>
      <c r="J9774" s="19"/>
      <c r="L9774" s="16" t="str">
        <f>IFERROR(__xludf.DUMMYFUNCTION("""COMPUTED_VALUE"""),"")</f>
        <v/>
      </c>
      <c r="M9774" s="16" t="str">
        <f>IFERROR(__xludf.DUMMYFUNCTION("""COMPUTED_VALUE"""),"")</f>
        <v/>
      </c>
      <c r="U9774" s="16" t="s">
        <v>87</v>
      </c>
      <c r="V9774" s="16" t="str">
        <f>IFERROR(__xludf.DUMMYFUNCTION("""COMPUTED_VALUE"""),"")</f>
        <v/>
      </c>
      <c r="W9774" s="16" t="str">
        <f>IFERROR(__xludf.DUMMYFUNCTION("""COMPUTED_VALUE"""),"")</f>
        <v/>
      </c>
      <c r="X9774" s="16" t="str">
        <f>IFERROR(__xludf.DUMMYFUNCTION("""COMPUTED_VALUE"""),"")</f>
        <v/>
      </c>
      <c r="AC9774" s="16" t="str">
        <f>IFERROR(__xludf.DUMMYFUNCTION("""COMPUTED_VALUE"""),"")</f>
        <v/>
      </c>
    </row>
    <row r="9775">
      <c r="A9775" s="16" t="s">
        <v>87</v>
      </c>
      <c r="E9775" s="16" t="str">
        <f>IFERROR(__xludf.DUMMYFUNCTION("""COMPUTED_VALUE"""),"")</f>
        <v/>
      </c>
      <c r="G9775" s="18"/>
      <c r="H9775" s="16" t="s">
        <v>87</v>
      </c>
      <c r="I9775" s="16" t="s">
        <v>87</v>
      </c>
      <c r="J9775" s="19"/>
      <c r="L9775" s="16" t="str">
        <f>IFERROR(__xludf.DUMMYFUNCTION("""COMPUTED_VALUE"""),"")</f>
        <v/>
      </c>
      <c r="M9775" s="16" t="str">
        <f>IFERROR(__xludf.DUMMYFUNCTION("""COMPUTED_VALUE"""),"")</f>
        <v/>
      </c>
      <c r="U9775" s="16" t="s">
        <v>87</v>
      </c>
      <c r="V9775" s="16" t="str">
        <f>IFERROR(__xludf.DUMMYFUNCTION("""COMPUTED_VALUE"""),"")</f>
        <v/>
      </c>
      <c r="W9775" s="16" t="str">
        <f>IFERROR(__xludf.DUMMYFUNCTION("""COMPUTED_VALUE"""),"")</f>
        <v/>
      </c>
      <c r="X9775" s="16" t="str">
        <f>IFERROR(__xludf.DUMMYFUNCTION("""COMPUTED_VALUE"""),"")</f>
        <v/>
      </c>
      <c r="AC9775" s="16" t="str">
        <f>IFERROR(__xludf.DUMMYFUNCTION("""COMPUTED_VALUE"""),"")</f>
        <v/>
      </c>
    </row>
    <row r="9776">
      <c r="A9776" s="16" t="s">
        <v>87</v>
      </c>
      <c r="E9776" s="16" t="str">
        <f>IFERROR(__xludf.DUMMYFUNCTION("""COMPUTED_VALUE"""),"")</f>
        <v/>
      </c>
      <c r="G9776" s="18"/>
      <c r="H9776" s="16" t="s">
        <v>87</v>
      </c>
      <c r="I9776" s="16" t="s">
        <v>87</v>
      </c>
      <c r="J9776" s="19"/>
      <c r="L9776" s="16" t="str">
        <f>IFERROR(__xludf.DUMMYFUNCTION("""COMPUTED_VALUE"""),"")</f>
        <v/>
      </c>
      <c r="M9776" s="16" t="str">
        <f>IFERROR(__xludf.DUMMYFUNCTION("""COMPUTED_VALUE"""),"")</f>
        <v/>
      </c>
      <c r="U9776" s="16" t="s">
        <v>87</v>
      </c>
      <c r="V9776" s="16" t="str">
        <f>IFERROR(__xludf.DUMMYFUNCTION("""COMPUTED_VALUE"""),"")</f>
        <v/>
      </c>
      <c r="W9776" s="16" t="str">
        <f>IFERROR(__xludf.DUMMYFUNCTION("""COMPUTED_VALUE"""),"")</f>
        <v/>
      </c>
      <c r="X9776" s="16" t="str">
        <f>IFERROR(__xludf.DUMMYFUNCTION("""COMPUTED_VALUE"""),"")</f>
        <v/>
      </c>
      <c r="AC9776" s="16" t="str">
        <f>IFERROR(__xludf.DUMMYFUNCTION("""COMPUTED_VALUE"""),"")</f>
        <v/>
      </c>
    </row>
    <row r="9777">
      <c r="A9777" s="16" t="s">
        <v>87</v>
      </c>
      <c r="E9777" s="16" t="str">
        <f>IFERROR(__xludf.DUMMYFUNCTION("""COMPUTED_VALUE"""),"")</f>
        <v/>
      </c>
      <c r="G9777" s="18"/>
      <c r="H9777" s="16" t="s">
        <v>87</v>
      </c>
      <c r="I9777" s="16" t="s">
        <v>87</v>
      </c>
      <c r="J9777" s="19"/>
      <c r="L9777" s="16" t="str">
        <f>IFERROR(__xludf.DUMMYFUNCTION("""COMPUTED_VALUE"""),"")</f>
        <v/>
      </c>
      <c r="M9777" s="16" t="str">
        <f>IFERROR(__xludf.DUMMYFUNCTION("""COMPUTED_VALUE"""),"")</f>
        <v/>
      </c>
      <c r="U9777" s="16" t="s">
        <v>87</v>
      </c>
      <c r="V9777" s="16" t="str">
        <f>IFERROR(__xludf.DUMMYFUNCTION("""COMPUTED_VALUE"""),"")</f>
        <v/>
      </c>
      <c r="W9777" s="16" t="str">
        <f>IFERROR(__xludf.DUMMYFUNCTION("""COMPUTED_VALUE"""),"")</f>
        <v/>
      </c>
      <c r="X9777" s="16" t="str">
        <f>IFERROR(__xludf.DUMMYFUNCTION("""COMPUTED_VALUE"""),"")</f>
        <v/>
      </c>
      <c r="AC9777" s="16" t="str">
        <f>IFERROR(__xludf.DUMMYFUNCTION("""COMPUTED_VALUE"""),"")</f>
        <v/>
      </c>
    </row>
    <row r="9778">
      <c r="A9778" s="16" t="s">
        <v>87</v>
      </c>
      <c r="E9778" s="16" t="str">
        <f>IFERROR(__xludf.DUMMYFUNCTION("""COMPUTED_VALUE"""),"")</f>
        <v/>
      </c>
      <c r="G9778" s="18"/>
      <c r="H9778" s="16" t="s">
        <v>87</v>
      </c>
      <c r="I9778" s="16" t="s">
        <v>87</v>
      </c>
      <c r="J9778" s="19"/>
      <c r="L9778" s="16" t="str">
        <f>IFERROR(__xludf.DUMMYFUNCTION("""COMPUTED_VALUE"""),"")</f>
        <v/>
      </c>
      <c r="M9778" s="16" t="str">
        <f>IFERROR(__xludf.DUMMYFUNCTION("""COMPUTED_VALUE"""),"")</f>
        <v/>
      </c>
      <c r="U9778" s="16" t="s">
        <v>87</v>
      </c>
      <c r="V9778" s="16" t="str">
        <f>IFERROR(__xludf.DUMMYFUNCTION("""COMPUTED_VALUE"""),"")</f>
        <v/>
      </c>
      <c r="W9778" s="16" t="str">
        <f>IFERROR(__xludf.DUMMYFUNCTION("""COMPUTED_VALUE"""),"")</f>
        <v/>
      </c>
      <c r="X9778" s="16" t="str">
        <f>IFERROR(__xludf.DUMMYFUNCTION("""COMPUTED_VALUE"""),"")</f>
        <v/>
      </c>
      <c r="AC9778" s="16" t="str">
        <f>IFERROR(__xludf.DUMMYFUNCTION("""COMPUTED_VALUE"""),"")</f>
        <v/>
      </c>
    </row>
    <row r="9779">
      <c r="A9779" s="16" t="s">
        <v>87</v>
      </c>
      <c r="E9779" s="16" t="str">
        <f>IFERROR(__xludf.DUMMYFUNCTION("""COMPUTED_VALUE"""),"")</f>
        <v/>
      </c>
      <c r="G9779" s="18"/>
      <c r="H9779" s="16" t="s">
        <v>87</v>
      </c>
      <c r="I9779" s="16" t="s">
        <v>87</v>
      </c>
      <c r="J9779" s="19"/>
      <c r="L9779" s="16" t="str">
        <f>IFERROR(__xludf.DUMMYFUNCTION("""COMPUTED_VALUE"""),"")</f>
        <v/>
      </c>
      <c r="M9779" s="16" t="str">
        <f>IFERROR(__xludf.DUMMYFUNCTION("""COMPUTED_VALUE"""),"")</f>
        <v/>
      </c>
      <c r="U9779" s="16" t="s">
        <v>87</v>
      </c>
      <c r="V9779" s="16" t="str">
        <f>IFERROR(__xludf.DUMMYFUNCTION("""COMPUTED_VALUE"""),"")</f>
        <v/>
      </c>
      <c r="W9779" s="16" t="str">
        <f>IFERROR(__xludf.DUMMYFUNCTION("""COMPUTED_VALUE"""),"")</f>
        <v/>
      </c>
      <c r="X9779" s="16" t="str">
        <f>IFERROR(__xludf.DUMMYFUNCTION("""COMPUTED_VALUE"""),"")</f>
        <v/>
      </c>
      <c r="AC9779" s="16" t="str">
        <f>IFERROR(__xludf.DUMMYFUNCTION("""COMPUTED_VALUE"""),"")</f>
        <v/>
      </c>
    </row>
    <row r="9780">
      <c r="A9780" s="16" t="s">
        <v>87</v>
      </c>
      <c r="E9780" s="16" t="str">
        <f>IFERROR(__xludf.DUMMYFUNCTION("""COMPUTED_VALUE"""),"")</f>
        <v/>
      </c>
      <c r="G9780" s="18"/>
      <c r="H9780" s="16" t="s">
        <v>87</v>
      </c>
      <c r="I9780" s="16" t="s">
        <v>87</v>
      </c>
      <c r="J9780" s="19"/>
      <c r="L9780" s="16" t="str">
        <f>IFERROR(__xludf.DUMMYFUNCTION("""COMPUTED_VALUE"""),"")</f>
        <v/>
      </c>
      <c r="M9780" s="16" t="str">
        <f>IFERROR(__xludf.DUMMYFUNCTION("""COMPUTED_VALUE"""),"")</f>
        <v/>
      </c>
      <c r="U9780" s="16" t="s">
        <v>87</v>
      </c>
      <c r="V9780" s="16" t="str">
        <f>IFERROR(__xludf.DUMMYFUNCTION("""COMPUTED_VALUE"""),"")</f>
        <v/>
      </c>
      <c r="W9780" s="16" t="str">
        <f>IFERROR(__xludf.DUMMYFUNCTION("""COMPUTED_VALUE"""),"")</f>
        <v/>
      </c>
      <c r="X9780" s="16" t="str">
        <f>IFERROR(__xludf.DUMMYFUNCTION("""COMPUTED_VALUE"""),"")</f>
        <v/>
      </c>
      <c r="AC9780" s="16" t="str">
        <f>IFERROR(__xludf.DUMMYFUNCTION("""COMPUTED_VALUE"""),"")</f>
        <v/>
      </c>
    </row>
    <row r="9781">
      <c r="A9781" s="16" t="s">
        <v>87</v>
      </c>
      <c r="E9781" s="16" t="str">
        <f>IFERROR(__xludf.DUMMYFUNCTION("""COMPUTED_VALUE"""),"")</f>
        <v/>
      </c>
      <c r="G9781" s="18"/>
      <c r="H9781" s="16" t="s">
        <v>87</v>
      </c>
      <c r="I9781" s="16" t="s">
        <v>87</v>
      </c>
      <c r="J9781" s="19"/>
      <c r="L9781" s="16" t="str">
        <f>IFERROR(__xludf.DUMMYFUNCTION("""COMPUTED_VALUE"""),"")</f>
        <v/>
      </c>
      <c r="M9781" s="16" t="str">
        <f>IFERROR(__xludf.DUMMYFUNCTION("""COMPUTED_VALUE"""),"")</f>
        <v/>
      </c>
      <c r="U9781" s="16" t="s">
        <v>87</v>
      </c>
      <c r="V9781" s="16" t="str">
        <f>IFERROR(__xludf.DUMMYFUNCTION("""COMPUTED_VALUE"""),"")</f>
        <v/>
      </c>
      <c r="W9781" s="16" t="str">
        <f>IFERROR(__xludf.DUMMYFUNCTION("""COMPUTED_VALUE"""),"")</f>
        <v/>
      </c>
      <c r="X9781" s="16" t="str">
        <f>IFERROR(__xludf.DUMMYFUNCTION("""COMPUTED_VALUE"""),"")</f>
        <v/>
      </c>
      <c r="AC9781" s="16" t="str">
        <f>IFERROR(__xludf.DUMMYFUNCTION("""COMPUTED_VALUE"""),"")</f>
        <v/>
      </c>
    </row>
    <row r="9782">
      <c r="A9782" s="16" t="s">
        <v>87</v>
      </c>
      <c r="E9782" s="16" t="str">
        <f>IFERROR(__xludf.DUMMYFUNCTION("""COMPUTED_VALUE"""),"")</f>
        <v/>
      </c>
      <c r="G9782" s="18"/>
      <c r="H9782" s="16" t="s">
        <v>87</v>
      </c>
      <c r="I9782" s="16" t="s">
        <v>87</v>
      </c>
      <c r="J9782" s="19"/>
      <c r="L9782" s="16" t="str">
        <f>IFERROR(__xludf.DUMMYFUNCTION("""COMPUTED_VALUE"""),"")</f>
        <v/>
      </c>
      <c r="M9782" s="16" t="str">
        <f>IFERROR(__xludf.DUMMYFUNCTION("""COMPUTED_VALUE"""),"")</f>
        <v/>
      </c>
      <c r="U9782" s="16" t="s">
        <v>87</v>
      </c>
      <c r="V9782" s="16" t="str">
        <f>IFERROR(__xludf.DUMMYFUNCTION("""COMPUTED_VALUE"""),"")</f>
        <v/>
      </c>
      <c r="W9782" s="16" t="str">
        <f>IFERROR(__xludf.DUMMYFUNCTION("""COMPUTED_VALUE"""),"")</f>
        <v/>
      </c>
      <c r="X9782" s="16" t="str">
        <f>IFERROR(__xludf.DUMMYFUNCTION("""COMPUTED_VALUE"""),"")</f>
        <v/>
      </c>
      <c r="AC9782" s="16" t="str">
        <f>IFERROR(__xludf.DUMMYFUNCTION("""COMPUTED_VALUE"""),"")</f>
        <v/>
      </c>
    </row>
    <row r="9783">
      <c r="A9783" s="16" t="s">
        <v>87</v>
      </c>
      <c r="E9783" s="16" t="str">
        <f>IFERROR(__xludf.DUMMYFUNCTION("""COMPUTED_VALUE"""),"")</f>
        <v/>
      </c>
      <c r="G9783" s="18"/>
      <c r="H9783" s="16" t="s">
        <v>87</v>
      </c>
      <c r="I9783" s="16" t="s">
        <v>87</v>
      </c>
      <c r="J9783" s="19"/>
      <c r="L9783" s="16" t="str">
        <f>IFERROR(__xludf.DUMMYFUNCTION("""COMPUTED_VALUE"""),"")</f>
        <v/>
      </c>
      <c r="M9783" s="16" t="str">
        <f>IFERROR(__xludf.DUMMYFUNCTION("""COMPUTED_VALUE"""),"")</f>
        <v/>
      </c>
      <c r="U9783" s="16" t="s">
        <v>87</v>
      </c>
      <c r="V9783" s="16" t="str">
        <f>IFERROR(__xludf.DUMMYFUNCTION("""COMPUTED_VALUE"""),"")</f>
        <v/>
      </c>
      <c r="W9783" s="16" t="str">
        <f>IFERROR(__xludf.DUMMYFUNCTION("""COMPUTED_VALUE"""),"")</f>
        <v/>
      </c>
      <c r="X9783" s="16" t="str">
        <f>IFERROR(__xludf.DUMMYFUNCTION("""COMPUTED_VALUE"""),"")</f>
        <v/>
      </c>
      <c r="AC9783" s="16" t="str">
        <f>IFERROR(__xludf.DUMMYFUNCTION("""COMPUTED_VALUE"""),"")</f>
        <v/>
      </c>
    </row>
    <row r="9784">
      <c r="A9784" s="16" t="s">
        <v>87</v>
      </c>
      <c r="E9784" s="16" t="str">
        <f>IFERROR(__xludf.DUMMYFUNCTION("""COMPUTED_VALUE"""),"")</f>
        <v/>
      </c>
      <c r="G9784" s="18"/>
      <c r="H9784" s="16" t="s">
        <v>87</v>
      </c>
      <c r="I9784" s="16" t="s">
        <v>87</v>
      </c>
      <c r="J9784" s="19"/>
      <c r="L9784" s="16" t="str">
        <f>IFERROR(__xludf.DUMMYFUNCTION("""COMPUTED_VALUE"""),"")</f>
        <v/>
      </c>
      <c r="M9784" s="16" t="str">
        <f>IFERROR(__xludf.DUMMYFUNCTION("""COMPUTED_VALUE"""),"")</f>
        <v/>
      </c>
      <c r="U9784" s="16" t="s">
        <v>87</v>
      </c>
      <c r="V9784" s="16" t="str">
        <f>IFERROR(__xludf.DUMMYFUNCTION("""COMPUTED_VALUE"""),"")</f>
        <v/>
      </c>
      <c r="W9784" s="16" t="str">
        <f>IFERROR(__xludf.DUMMYFUNCTION("""COMPUTED_VALUE"""),"")</f>
        <v/>
      </c>
      <c r="X9784" s="16" t="str">
        <f>IFERROR(__xludf.DUMMYFUNCTION("""COMPUTED_VALUE"""),"")</f>
        <v/>
      </c>
      <c r="AC9784" s="16" t="str">
        <f>IFERROR(__xludf.DUMMYFUNCTION("""COMPUTED_VALUE"""),"")</f>
        <v/>
      </c>
    </row>
    <row r="9785">
      <c r="A9785" s="16" t="s">
        <v>87</v>
      </c>
      <c r="E9785" s="16" t="str">
        <f>IFERROR(__xludf.DUMMYFUNCTION("""COMPUTED_VALUE"""),"")</f>
        <v/>
      </c>
      <c r="G9785" s="18"/>
      <c r="H9785" s="16" t="s">
        <v>87</v>
      </c>
      <c r="I9785" s="16" t="s">
        <v>87</v>
      </c>
      <c r="J9785" s="19"/>
      <c r="L9785" s="16" t="str">
        <f>IFERROR(__xludf.DUMMYFUNCTION("""COMPUTED_VALUE"""),"")</f>
        <v/>
      </c>
      <c r="M9785" s="16" t="str">
        <f>IFERROR(__xludf.DUMMYFUNCTION("""COMPUTED_VALUE"""),"")</f>
        <v/>
      </c>
      <c r="U9785" s="16" t="s">
        <v>87</v>
      </c>
      <c r="V9785" s="16" t="str">
        <f>IFERROR(__xludf.DUMMYFUNCTION("""COMPUTED_VALUE"""),"")</f>
        <v/>
      </c>
      <c r="W9785" s="16" t="str">
        <f>IFERROR(__xludf.DUMMYFUNCTION("""COMPUTED_VALUE"""),"")</f>
        <v/>
      </c>
      <c r="X9785" s="16" t="str">
        <f>IFERROR(__xludf.DUMMYFUNCTION("""COMPUTED_VALUE"""),"")</f>
        <v/>
      </c>
      <c r="AC9785" s="16" t="str">
        <f>IFERROR(__xludf.DUMMYFUNCTION("""COMPUTED_VALUE"""),"")</f>
        <v/>
      </c>
    </row>
    <row r="9786">
      <c r="A9786" s="16" t="s">
        <v>87</v>
      </c>
      <c r="E9786" s="16" t="str">
        <f>IFERROR(__xludf.DUMMYFUNCTION("""COMPUTED_VALUE"""),"")</f>
        <v/>
      </c>
      <c r="G9786" s="18"/>
      <c r="H9786" s="16" t="s">
        <v>87</v>
      </c>
      <c r="I9786" s="16" t="s">
        <v>87</v>
      </c>
      <c r="J9786" s="19"/>
      <c r="L9786" s="16" t="str">
        <f>IFERROR(__xludf.DUMMYFUNCTION("""COMPUTED_VALUE"""),"")</f>
        <v/>
      </c>
      <c r="M9786" s="16" t="str">
        <f>IFERROR(__xludf.DUMMYFUNCTION("""COMPUTED_VALUE"""),"")</f>
        <v/>
      </c>
      <c r="U9786" s="16" t="s">
        <v>87</v>
      </c>
      <c r="V9786" s="16" t="str">
        <f>IFERROR(__xludf.DUMMYFUNCTION("""COMPUTED_VALUE"""),"")</f>
        <v/>
      </c>
      <c r="W9786" s="16" t="str">
        <f>IFERROR(__xludf.DUMMYFUNCTION("""COMPUTED_VALUE"""),"")</f>
        <v/>
      </c>
      <c r="X9786" s="16" t="str">
        <f>IFERROR(__xludf.DUMMYFUNCTION("""COMPUTED_VALUE"""),"")</f>
        <v/>
      </c>
      <c r="AC9786" s="16" t="str">
        <f>IFERROR(__xludf.DUMMYFUNCTION("""COMPUTED_VALUE"""),"")</f>
        <v/>
      </c>
    </row>
    <row r="9787">
      <c r="A9787" s="16" t="s">
        <v>87</v>
      </c>
      <c r="E9787" s="16" t="str">
        <f>IFERROR(__xludf.DUMMYFUNCTION("""COMPUTED_VALUE"""),"")</f>
        <v/>
      </c>
      <c r="G9787" s="18"/>
      <c r="H9787" s="16" t="s">
        <v>87</v>
      </c>
      <c r="I9787" s="16" t="s">
        <v>87</v>
      </c>
      <c r="J9787" s="19"/>
      <c r="L9787" s="16" t="str">
        <f>IFERROR(__xludf.DUMMYFUNCTION("""COMPUTED_VALUE"""),"")</f>
        <v/>
      </c>
      <c r="M9787" s="16" t="str">
        <f>IFERROR(__xludf.DUMMYFUNCTION("""COMPUTED_VALUE"""),"")</f>
        <v/>
      </c>
      <c r="U9787" s="16" t="s">
        <v>87</v>
      </c>
      <c r="V9787" s="16" t="str">
        <f>IFERROR(__xludf.DUMMYFUNCTION("""COMPUTED_VALUE"""),"")</f>
        <v/>
      </c>
      <c r="W9787" s="16" t="str">
        <f>IFERROR(__xludf.DUMMYFUNCTION("""COMPUTED_VALUE"""),"")</f>
        <v/>
      </c>
      <c r="X9787" s="16" t="str">
        <f>IFERROR(__xludf.DUMMYFUNCTION("""COMPUTED_VALUE"""),"")</f>
        <v/>
      </c>
      <c r="AC9787" s="16" t="str">
        <f>IFERROR(__xludf.DUMMYFUNCTION("""COMPUTED_VALUE"""),"")</f>
        <v/>
      </c>
    </row>
    <row r="9788">
      <c r="A9788" s="16" t="s">
        <v>87</v>
      </c>
      <c r="E9788" s="16" t="str">
        <f>IFERROR(__xludf.DUMMYFUNCTION("""COMPUTED_VALUE"""),"")</f>
        <v/>
      </c>
      <c r="G9788" s="18"/>
      <c r="H9788" s="16" t="s">
        <v>87</v>
      </c>
      <c r="I9788" s="16" t="s">
        <v>87</v>
      </c>
      <c r="J9788" s="19"/>
      <c r="L9788" s="16" t="str">
        <f>IFERROR(__xludf.DUMMYFUNCTION("""COMPUTED_VALUE"""),"")</f>
        <v/>
      </c>
      <c r="M9788" s="16" t="str">
        <f>IFERROR(__xludf.DUMMYFUNCTION("""COMPUTED_VALUE"""),"")</f>
        <v/>
      </c>
      <c r="U9788" s="16" t="s">
        <v>87</v>
      </c>
      <c r="V9788" s="16" t="str">
        <f>IFERROR(__xludf.DUMMYFUNCTION("""COMPUTED_VALUE"""),"")</f>
        <v/>
      </c>
      <c r="W9788" s="16" t="str">
        <f>IFERROR(__xludf.DUMMYFUNCTION("""COMPUTED_VALUE"""),"")</f>
        <v/>
      </c>
      <c r="X9788" s="16" t="str">
        <f>IFERROR(__xludf.DUMMYFUNCTION("""COMPUTED_VALUE"""),"")</f>
        <v/>
      </c>
      <c r="AC9788" s="16" t="str">
        <f>IFERROR(__xludf.DUMMYFUNCTION("""COMPUTED_VALUE"""),"")</f>
        <v/>
      </c>
    </row>
    <row r="9789">
      <c r="A9789" s="16" t="s">
        <v>87</v>
      </c>
      <c r="E9789" s="16" t="str">
        <f>IFERROR(__xludf.DUMMYFUNCTION("""COMPUTED_VALUE"""),"")</f>
        <v/>
      </c>
      <c r="G9789" s="18"/>
      <c r="H9789" s="16" t="s">
        <v>87</v>
      </c>
      <c r="I9789" s="16" t="s">
        <v>87</v>
      </c>
      <c r="J9789" s="19"/>
      <c r="L9789" s="16" t="str">
        <f>IFERROR(__xludf.DUMMYFUNCTION("""COMPUTED_VALUE"""),"")</f>
        <v/>
      </c>
      <c r="M9789" s="16" t="str">
        <f>IFERROR(__xludf.DUMMYFUNCTION("""COMPUTED_VALUE"""),"")</f>
        <v/>
      </c>
      <c r="U9789" s="16" t="s">
        <v>87</v>
      </c>
      <c r="V9789" s="16" t="str">
        <f>IFERROR(__xludf.DUMMYFUNCTION("""COMPUTED_VALUE"""),"")</f>
        <v/>
      </c>
      <c r="W9789" s="16" t="str">
        <f>IFERROR(__xludf.DUMMYFUNCTION("""COMPUTED_VALUE"""),"")</f>
        <v/>
      </c>
      <c r="X9789" s="16" t="str">
        <f>IFERROR(__xludf.DUMMYFUNCTION("""COMPUTED_VALUE"""),"")</f>
        <v/>
      </c>
      <c r="AC9789" s="16" t="str">
        <f>IFERROR(__xludf.DUMMYFUNCTION("""COMPUTED_VALUE"""),"")</f>
        <v/>
      </c>
    </row>
    <row r="9790">
      <c r="A9790" s="16" t="s">
        <v>87</v>
      </c>
      <c r="E9790" s="16" t="str">
        <f>IFERROR(__xludf.DUMMYFUNCTION("""COMPUTED_VALUE"""),"")</f>
        <v/>
      </c>
      <c r="G9790" s="18"/>
      <c r="H9790" s="16" t="s">
        <v>87</v>
      </c>
      <c r="I9790" s="16" t="s">
        <v>87</v>
      </c>
      <c r="J9790" s="19"/>
      <c r="L9790" s="16" t="str">
        <f>IFERROR(__xludf.DUMMYFUNCTION("""COMPUTED_VALUE"""),"")</f>
        <v/>
      </c>
      <c r="M9790" s="16" t="str">
        <f>IFERROR(__xludf.DUMMYFUNCTION("""COMPUTED_VALUE"""),"")</f>
        <v/>
      </c>
      <c r="U9790" s="16" t="s">
        <v>87</v>
      </c>
      <c r="V9790" s="16" t="str">
        <f>IFERROR(__xludf.DUMMYFUNCTION("""COMPUTED_VALUE"""),"")</f>
        <v/>
      </c>
      <c r="W9790" s="16" t="str">
        <f>IFERROR(__xludf.DUMMYFUNCTION("""COMPUTED_VALUE"""),"")</f>
        <v/>
      </c>
      <c r="X9790" s="16" t="str">
        <f>IFERROR(__xludf.DUMMYFUNCTION("""COMPUTED_VALUE"""),"")</f>
        <v/>
      </c>
      <c r="AC9790" s="16" t="str">
        <f>IFERROR(__xludf.DUMMYFUNCTION("""COMPUTED_VALUE"""),"")</f>
        <v/>
      </c>
    </row>
    <row r="9791">
      <c r="A9791" s="16" t="s">
        <v>87</v>
      </c>
      <c r="E9791" s="16" t="str">
        <f>IFERROR(__xludf.DUMMYFUNCTION("""COMPUTED_VALUE"""),"")</f>
        <v/>
      </c>
      <c r="G9791" s="18"/>
      <c r="H9791" s="16" t="s">
        <v>87</v>
      </c>
      <c r="I9791" s="16" t="s">
        <v>87</v>
      </c>
      <c r="J9791" s="19"/>
      <c r="L9791" s="16" t="str">
        <f>IFERROR(__xludf.DUMMYFUNCTION("""COMPUTED_VALUE"""),"")</f>
        <v/>
      </c>
      <c r="M9791" s="16" t="str">
        <f>IFERROR(__xludf.DUMMYFUNCTION("""COMPUTED_VALUE"""),"")</f>
        <v/>
      </c>
      <c r="U9791" s="16" t="s">
        <v>87</v>
      </c>
      <c r="V9791" s="16" t="str">
        <f>IFERROR(__xludf.DUMMYFUNCTION("""COMPUTED_VALUE"""),"")</f>
        <v/>
      </c>
      <c r="W9791" s="16" t="str">
        <f>IFERROR(__xludf.DUMMYFUNCTION("""COMPUTED_VALUE"""),"")</f>
        <v/>
      </c>
      <c r="X9791" s="16" t="str">
        <f>IFERROR(__xludf.DUMMYFUNCTION("""COMPUTED_VALUE"""),"")</f>
        <v/>
      </c>
      <c r="AC9791" s="16" t="str">
        <f>IFERROR(__xludf.DUMMYFUNCTION("""COMPUTED_VALUE"""),"")</f>
        <v/>
      </c>
    </row>
    <row r="9792">
      <c r="A9792" s="16" t="s">
        <v>87</v>
      </c>
      <c r="E9792" s="16" t="str">
        <f>IFERROR(__xludf.DUMMYFUNCTION("""COMPUTED_VALUE"""),"")</f>
        <v/>
      </c>
      <c r="G9792" s="18"/>
      <c r="H9792" s="16" t="s">
        <v>87</v>
      </c>
      <c r="I9792" s="16" t="s">
        <v>87</v>
      </c>
      <c r="J9792" s="19"/>
      <c r="L9792" s="16" t="str">
        <f>IFERROR(__xludf.DUMMYFUNCTION("""COMPUTED_VALUE"""),"")</f>
        <v/>
      </c>
      <c r="M9792" s="16" t="str">
        <f>IFERROR(__xludf.DUMMYFUNCTION("""COMPUTED_VALUE"""),"")</f>
        <v/>
      </c>
      <c r="U9792" s="16" t="s">
        <v>87</v>
      </c>
      <c r="V9792" s="16" t="str">
        <f>IFERROR(__xludf.DUMMYFUNCTION("""COMPUTED_VALUE"""),"")</f>
        <v/>
      </c>
      <c r="W9792" s="16" t="str">
        <f>IFERROR(__xludf.DUMMYFUNCTION("""COMPUTED_VALUE"""),"")</f>
        <v/>
      </c>
      <c r="X9792" s="16" t="str">
        <f>IFERROR(__xludf.DUMMYFUNCTION("""COMPUTED_VALUE"""),"")</f>
        <v/>
      </c>
      <c r="AC9792" s="16" t="str">
        <f>IFERROR(__xludf.DUMMYFUNCTION("""COMPUTED_VALUE"""),"")</f>
        <v/>
      </c>
    </row>
    <row r="9793">
      <c r="A9793" s="16" t="s">
        <v>87</v>
      </c>
      <c r="E9793" s="16" t="str">
        <f>IFERROR(__xludf.DUMMYFUNCTION("""COMPUTED_VALUE"""),"")</f>
        <v/>
      </c>
      <c r="G9793" s="18"/>
      <c r="H9793" s="16" t="s">
        <v>87</v>
      </c>
      <c r="I9793" s="16" t="s">
        <v>87</v>
      </c>
      <c r="J9793" s="19"/>
      <c r="L9793" s="16" t="str">
        <f>IFERROR(__xludf.DUMMYFUNCTION("""COMPUTED_VALUE"""),"")</f>
        <v/>
      </c>
      <c r="M9793" s="16" t="str">
        <f>IFERROR(__xludf.DUMMYFUNCTION("""COMPUTED_VALUE"""),"")</f>
        <v/>
      </c>
      <c r="U9793" s="16" t="s">
        <v>87</v>
      </c>
      <c r="V9793" s="16" t="str">
        <f>IFERROR(__xludf.DUMMYFUNCTION("""COMPUTED_VALUE"""),"")</f>
        <v/>
      </c>
      <c r="W9793" s="16" t="str">
        <f>IFERROR(__xludf.DUMMYFUNCTION("""COMPUTED_VALUE"""),"")</f>
        <v/>
      </c>
      <c r="X9793" s="16" t="str">
        <f>IFERROR(__xludf.DUMMYFUNCTION("""COMPUTED_VALUE"""),"")</f>
        <v/>
      </c>
      <c r="AC9793" s="16" t="str">
        <f>IFERROR(__xludf.DUMMYFUNCTION("""COMPUTED_VALUE"""),"")</f>
        <v/>
      </c>
    </row>
    <row r="9794">
      <c r="A9794" s="16" t="s">
        <v>87</v>
      </c>
      <c r="E9794" s="16" t="str">
        <f>IFERROR(__xludf.DUMMYFUNCTION("""COMPUTED_VALUE"""),"")</f>
        <v/>
      </c>
      <c r="G9794" s="18"/>
      <c r="H9794" s="16" t="s">
        <v>87</v>
      </c>
      <c r="I9794" s="16" t="s">
        <v>87</v>
      </c>
      <c r="J9794" s="19"/>
      <c r="L9794" s="16" t="str">
        <f>IFERROR(__xludf.DUMMYFUNCTION("""COMPUTED_VALUE"""),"")</f>
        <v/>
      </c>
      <c r="M9794" s="16" t="str">
        <f>IFERROR(__xludf.DUMMYFUNCTION("""COMPUTED_VALUE"""),"")</f>
        <v/>
      </c>
      <c r="U9794" s="16" t="s">
        <v>87</v>
      </c>
      <c r="V9794" s="16" t="str">
        <f>IFERROR(__xludf.DUMMYFUNCTION("""COMPUTED_VALUE"""),"")</f>
        <v/>
      </c>
      <c r="W9794" s="16" t="str">
        <f>IFERROR(__xludf.DUMMYFUNCTION("""COMPUTED_VALUE"""),"")</f>
        <v/>
      </c>
      <c r="X9794" s="16" t="str">
        <f>IFERROR(__xludf.DUMMYFUNCTION("""COMPUTED_VALUE"""),"")</f>
        <v/>
      </c>
      <c r="AC9794" s="16" t="str">
        <f>IFERROR(__xludf.DUMMYFUNCTION("""COMPUTED_VALUE"""),"")</f>
        <v/>
      </c>
    </row>
    <row r="9795">
      <c r="A9795" s="16" t="s">
        <v>87</v>
      </c>
      <c r="E9795" s="16" t="str">
        <f>IFERROR(__xludf.DUMMYFUNCTION("""COMPUTED_VALUE"""),"")</f>
        <v/>
      </c>
      <c r="G9795" s="18"/>
      <c r="H9795" s="16" t="s">
        <v>87</v>
      </c>
      <c r="I9795" s="16" t="s">
        <v>87</v>
      </c>
      <c r="J9795" s="19"/>
      <c r="L9795" s="16" t="str">
        <f>IFERROR(__xludf.DUMMYFUNCTION("""COMPUTED_VALUE"""),"")</f>
        <v/>
      </c>
      <c r="M9795" s="16" t="str">
        <f>IFERROR(__xludf.DUMMYFUNCTION("""COMPUTED_VALUE"""),"")</f>
        <v/>
      </c>
      <c r="U9795" s="16" t="s">
        <v>87</v>
      </c>
      <c r="V9795" s="16" t="str">
        <f>IFERROR(__xludf.DUMMYFUNCTION("""COMPUTED_VALUE"""),"")</f>
        <v/>
      </c>
      <c r="W9795" s="16" t="str">
        <f>IFERROR(__xludf.DUMMYFUNCTION("""COMPUTED_VALUE"""),"")</f>
        <v/>
      </c>
      <c r="X9795" s="16" t="str">
        <f>IFERROR(__xludf.DUMMYFUNCTION("""COMPUTED_VALUE"""),"")</f>
        <v/>
      </c>
      <c r="AC9795" s="16" t="str">
        <f>IFERROR(__xludf.DUMMYFUNCTION("""COMPUTED_VALUE"""),"")</f>
        <v/>
      </c>
    </row>
    <row r="9796">
      <c r="A9796" s="16" t="s">
        <v>87</v>
      </c>
      <c r="E9796" s="16" t="str">
        <f>IFERROR(__xludf.DUMMYFUNCTION("""COMPUTED_VALUE"""),"")</f>
        <v/>
      </c>
      <c r="G9796" s="18"/>
      <c r="H9796" s="16" t="s">
        <v>87</v>
      </c>
      <c r="I9796" s="16" t="s">
        <v>87</v>
      </c>
      <c r="J9796" s="19"/>
      <c r="L9796" s="16" t="str">
        <f>IFERROR(__xludf.DUMMYFUNCTION("""COMPUTED_VALUE"""),"")</f>
        <v/>
      </c>
      <c r="M9796" s="16" t="str">
        <f>IFERROR(__xludf.DUMMYFUNCTION("""COMPUTED_VALUE"""),"")</f>
        <v/>
      </c>
      <c r="U9796" s="16" t="s">
        <v>87</v>
      </c>
      <c r="V9796" s="16" t="str">
        <f>IFERROR(__xludf.DUMMYFUNCTION("""COMPUTED_VALUE"""),"")</f>
        <v/>
      </c>
      <c r="W9796" s="16" t="str">
        <f>IFERROR(__xludf.DUMMYFUNCTION("""COMPUTED_VALUE"""),"")</f>
        <v/>
      </c>
      <c r="X9796" s="16" t="str">
        <f>IFERROR(__xludf.DUMMYFUNCTION("""COMPUTED_VALUE"""),"")</f>
        <v/>
      </c>
      <c r="AC9796" s="16" t="str">
        <f>IFERROR(__xludf.DUMMYFUNCTION("""COMPUTED_VALUE"""),"")</f>
        <v/>
      </c>
    </row>
    <row r="9797">
      <c r="A9797" s="16" t="s">
        <v>87</v>
      </c>
      <c r="E9797" s="16" t="str">
        <f>IFERROR(__xludf.DUMMYFUNCTION("""COMPUTED_VALUE"""),"")</f>
        <v/>
      </c>
      <c r="G9797" s="18"/>
      <c r="H9797" s="16" t="s">
        <v>87</v>
      </c>
      <c r="I9797" s="16" t="s">
        <v>87</v>
      </c>
      <c r="J9797" s="19"/>
      <c r="L9797" s="16" t="str">
        <f>IFERROR(__xludf.DUMMYFUNCTION("""COMPUTED_VALUE"""),"")</f>
        <v/>
      </c>
      <c r="M9797" s="16" t="str">
        <f>IFERROR(__xludf.DUMMYFUNCTION("""COMPUTED_VALUE"""),"")</f>
        <v/>
      </c>
      <c r="U9797" s="16" t="s">
        <v>87</v>
      </c>
      <c r="V9797" s="16" t="str">
        <f>IFERROR(__xludf.DUMMYFUNCTION("""COMPUTED_VALUE"""),"")</f>
        <v/>
      </c>
      <c r="W9797" s="16" t="str">
        <f>IFERROR(__xludf.DUMMYFUNCTION("""COMPUTED_VALUE"""),"")</f>
        <v/>
      </c>
      <c r="X9797" s="16" t="str">
        <f>IFERROR(__xludf.DUMMYFUNCTION("""COMPUTED_VALUE"""),"")</f>
        <v/>
      </c>
      <c r="AC9797" s="16" t="str">
        <f>IFERROR(__xludf.DUMMYFUNCTION("""COMPUTED_VALUE"""),"")</f>
        <v/>
      </c>
    </row>
    <row r="9798">
      <c r="A9798" s="16" t="s">
        <v>87</v>
      </c>
      <c r="E9798" s="16" t="str">
        <f>IFERROR(__xludf.DUMMYFUNCTION("""COMPUTED_VALUE"""),"")</f>
        <v/>
      </c>
      <c r="G9798" s="18"/>
      <c r="H9798" s="16" t="s">
        <v>87</v>
      </c>
      <c r="I9798" s="16" t="s">
        <v>87</v>
      </c>
      <c r="J9798" s="19"/>
      <c r="L9798" s="16" t="str">
        <f>IFERROR(__xludf.DUMMYFUNCTION("""COMPUTED_VALUE"""),"")</f>
        <v/>
      </c>
      <c r="M9798" s="16" t="str">
        <f>IFERROR(__xludf.DUMMYFUNCTION("""COMPUTED_VALUE"""),"")</f>
        <v/>
      </c>
      <c r="U9798" s="16" t="s">
        <v>87</v>
      </c>
      <c r="V9798" s="16" t="str">
        <f>IFERROR(__xludf.DUMMYFUNCTION("""COMPUTED_VALUE"""),"")</f>
        <v/>
      </c>
      <c r="W9798" s="16" t="str">
        <f>IFERROR(__xludf.DUMMYFUNCTION("""COMPUTED_VALUE"""),"")</f>
        <v/>
      </c>
      <c r="X9798" s="16" t="str">
        <f>IFERROR(__xludf.DUMMYFUNCTION("""COMPUTED_VALUE"""),"")</f>
        <v/>
      </c>
      <c r="AC9798" s="16" t="str">
        <f>IFERROR(__xludf.DUMMYFUNCTION("""COMPUTED_VALUE"""),"")</f>
        <v/>
      </c>
    </row>
    <row r="9799">
      <c r="A9799" s="16" t="s">
        <v>87</v>
      </c>
      <c r="E9799" s="16" t="str">
        <f>IFERROR(__xludf.DUMMYFUNCTION("""COMPUTED_VALUE"""),"")</f>
        <v/>
      </c>
      <c r="G9799" s="18"/>
      <c r="H9799" s="16" t="s">
        <v>87</v>
      </c>
      <c r="I9799" s="16" t="s">
        <v>87</v>
      </c>
      <c r="J9799" s="19"/>
      <c r="L9799" s="16" t="str">
        <f>IFERROR(__xludf.DUMMYFUNCTION("""COMPUTED_VALUE"""),"")</f>
        <v/>
      </c>
      <c r="M9799" s="16" t="str">
        <f>IFERROR(__xludf.DUMMYFUNCTION("""COMPUTED_VALUE"""),"")</f>
        <v/>
      </c>
      <c r="U9799" s="16" t="s">
        <v>87</v>
      </c>
      <c r="V9799" s="16" t="str">
        <f>IFERROR(__xludf.DUMMYFUNCTION("""COMPUTED_VALUE"""),"")</f>
        <v/>
      </c>
      <c r="W9799" s="16" t="str">
        <f>IFERROR(__xludf.DUMMYFUNCTION("""COMPUTED_VALUE"""),"")</f>
        <v/>
      </c>
      <c r="X9799" s="16" t="str">
        <f>IFERROR(__xludf.DUMMYFUNCTION("""COMPUTED_VALUE"""),"")</f>
        <v/>
      </c>
      <c r="AC9799" s="16" t="str">
        <f>IFERROR(__xludf.DUMMYFUNCTION("""COMPUTED_VALUE"""),"")</f>
        <v/>
      </c>
    </row>
    <row r="9800">
      <c r="A9800" s="16" t="s">
        <v>87</v>
      </c>
      <c r="E9800" s="16" t="str">
        <f>IFERROR(__xludf.DUMMYFUNCTION("""COMPUTED_VALUE"""),"")</f>
        <v/>
      </c>
      <c r="G9800" s="18"/>
      <c r="H9800" s="16" t="s">
        <v>87</v>
      </c>
      <c r="I9800" s="16" t="s">
        <v>87</v>
      </c>
      <c r="J9800" s="19"/>
      <c r="L9800" s="16" t="str">
        <f>IFERROR(__xludf.DUMMYFUNCTION("""COMPUTED_VALUE"""),"")</f>
        <v/>
      </c>
      <c r="M9800" s="16" t="str">
        <f>IFERROR(__xludf.DUMMYFUNCTION("""COMPUTED_VALUE"""),"")</f>
        <v/>
      </c>
      <c r="U9800" s="16" t="s">
        <v>87</v>
      </c>
      <c r="V9800" s="16" t="str">
        <f>IFERROR(__xludf.DUMMYFUNCTION("""COMPUTED_VALUE"""),"")</f>
        <v/>
      </c>
      <c r="W9800" s="16" t="str">
        <f>IFERROR(__xludf.DUMMYFUNCTION("""COMPUTED_VALUE"""),"")</f>
        <v/>
      </c>
      <c r="X9800" s="16" t="str">
        <f>IFERROR(__xludf.DUMMYFUNCTION("""COMPUTED_VALUE"""),"")</f>
        <v/>
      </c>
      <c r="AC9800" s="16" t="str">
        <f>IFERROR(__xludf.DUMMYFUNCTION("""COMPUTED_VALUE"""),"")</f>
        <v/>
      </c>
    </row>
    <row r="9801">
      <c r="A9801" s="16" t="s">
        <v>87</v>
      </c>
      <c r="E9801" s="16" t="str">
        <f>IFERROR(__xludf.DUMMYFUNCTION("""COMPUTED_VALUE"""),"")</f>
        <v/>
      </c>
      <c r="G9801" s="18"/>
      <c r="H9801" s="16" t="s">
        <v>87</v>
      </c>
      <c r="I9801" s="16" t="s">
        <v>87</v>
      </c>
      <c r="J9801" s="19"/>
      <c r="L9801" s="16" t="str">
        <f>IFERROR(__xludf.DUMMYFUNCTION("""COMPUTED_VALUE"""),"")</f>
        <v/>
      </c>
      <c r="M9801" s="16" t="str">
        <f>IFERROR(__xludf.DUMMYFUNCTION("""COMPUTED_VALUE"""),"")</f>
        <v/>
      </c>
      <c r="U9801" s="16" t="s">
        <v>87</v>
      </c>
      <c r="V9801" s="16" t="str">
        <f>IFERROR(__xludf.DUMMYFUNCTION("""COMPUTED_VALUE"""),"")</f>
        <v/>
      </c>
      <c r="W9801" s="16" t="str">
        <f>IFERROR(__xludf.DUMMYFUNCTION("""COMPUTED_VALUE"""),"")</f>
        <v/>
      </c>
      <c r="X9801" s="16" t="str">
        <f>IFERROR(__xludf.DUMMYFUNCTION("""COMPUTED_VALUE"""),"")</f>
        <v/>
      </c>
      <c r="AC9801" s="16" t="str">
        <f>IFERROR(__xludf.DUMMYFUNCTION("""COMPUTED_VALUE"""),"")</f>
        <v/>
      </c>
    </row>
    <row r="9802">
      <c r="A9802" s="16" t="s">
        <v>87</v>
      </c>
      <c r="E9802" s="16" t="str">
        <f>IFERROR(__xludf.DUMMYFUNCTION("""COMPUTED_VALUE"""),"")</f>
        <v/>
      </c>
      <c r="G9802" s="18"/>
      <c r="H9802" s="16" t="s">
        <v>87</v>
      </c>
      <c r="I9802" s="16" t="s">
        <v>87</v>
      </c>
      <c r="J9802" s="19"/>
      <c r="L9802" s="16" t="str">
        <f>IFERROR(__xludf.DUMMYFUNCTION("""COMPUTED_VALUE"""),"")</f>
        <v/>
      </c>
      <c r="M9802" s="16" t="str">
        <f>IFERROR(__xludf.DUMMYFUNCTION("""COMPUTED_VALUE"""),"")</f>
        <v/>
      </c>
      <c r="U9802" s="16" t="s">
        <v>87</v>
      </c>
      <c r="V9802" s="16" t="str">
        <f>IFERROR(__xludf.DUMMYFUNCTION("""COMPUTED_VALUE"""),"")</f>
        <v/>
      </c>
      <c r="W9802" s="16" t="str">
        <f>IFERROR(__xludf.DUMMYFUNCTION("""COMPUTED_VALUE"""),"")</f>
        <v/>
      </c>
      <c r="X9802" s="16" t="str">
        <f>IFERROR(__xludf.DUMMYFUNCTION("""COMPUTED_VALUE"""),"")</f>
        <v/>
      </c>
      <c r="AC9802" s="16" t="str">
        <f>IFERROR(__xludf.DUMMYFUNCTION("""COMPUTED_VALUE"""),"")</f>
        <v/>
      </c>
    </row>
    <row r="9803">
      <c r="A9803" s="16" t="s">
        <v>87</v>
      </c>
      <c r="E9803" s="16" t="str">
        <f>IFERROR(__xludf.DUMMYFUNCTION("""COMPUTED_VALUE"""),"")</f>
        <v/>
      </c>
      <c r="G9803" s="18"/>
      <c r="H9803" s="16" t="s">
        <v>87</v>
      </c>
      <c r="I9803" s="16" t="s">
        <v>87</v>
      </c>
      <c r="J9803" s="19"/>
      <c r="L9803" s="16" t="str">
        <f>IFERROR(__xludf.DUMMYFUNCTION("""COMPUTED_VALUE"""),"")</f>
        <v/>
      </c>
      <c r="M9803" s="16" t="str">
        <f>IFERROR(__xludf.DUMMYFUNCTION("""COMPUTED_VALUE"""),"")</f>
        <v/>
      </c>
      <c r="U9803" s="16" t="s">
        <v>87</v>
      </c>
      <c r="V9803" s="16" t="str">
        <f>IFERROR(__xludf.DUMMYFUNCTION("""COMPUTED_VALUE"""),"")</f>
        <v/>
      </c>
      <c r="W9803" s="16" t="str">
        <f>IFERROR(__xludf.DUMMYFUNCTION("""COMPUTED_VALUE"""),"")</f>
        <v/>
      </c>
      <c r="X9803" s="16" t="str">
        <f>IFERROR(__xludf.DUMMYFUNCTION("""COMPUTED_VALUE"""),"")</f>
        <v/>
      </c>
      <c r="AC9803" s="16" t="str">
        <f>IFERROR(__xludf.DUMMYFUNCTION("""COMPUTED_VALUE"""),"")</f>
        <v/>
      </c>
    </row>
    <row r="9804">
      <c r="A9804" s="16" t="s">
        <v>87</v>
      </c>
      <c r="E9804" s="16" t="str">
        <f>IFERROR(__xludf.DUMMYFUNCTION("""COMPUTED_VALUE"""),"")</f>
        <v/>
      </c>
      <c r="G9804" s="18"/>
      <c r="H9804" s="16" t="s">
        <v>87</v>
      </c>
      <c r="I9804" s="16" t="s">
        <v>87</v>
      </c>
      <c r="J9804" s="19"/>
      <c r="L9804" s="16" t="str">
        <f>IFERROR(__xludf.DUMMYFUNCTION("""COMPUTED_VALUE"""),"")</f>
        <v/>
      </c>
      <c r="M9804" s="16" t="str">
        <f>IFERROR(__xludf.DUMMYFUNCTION("""COMPUTED_VALUE"""),"")</f>
        <v/>
      </c>
      <c r="U9804" s="16" t="s">
        <v>87</v>
      </c>
      <c r="V9804" s="16" t="str">
        <f>IFERROR(__xludf.DUMMYFUNCTION("""COMPUTED_VALUE"""),"")</f>
        <v/>
      </c>
      <c r="W9804" s="16" t="str">
        <f>IFERROR(__xludf.DUMMYFUNCTION("""COMPUTED_VALUE"""),"")</f>
        <v/>
      </c>
      <c r="X9804" s="16" t="str">
        <f>IFERROR(__xludf.DUMMYFUNCTION("""COMPUTED_VALUE"""),"")</f>
        <v/>
      </c>
      <c r="AC9804" s="16" t="str">
        <f>IFERROR(__xludf.DUMMYFUNCTION("""COMPUTED_VALUE"""),"")</f>
        <v/>
      </c>
    </row>
    <row r="9805">
      <c r="A9805" s="16" t="s">
        <v>87</v>
      </c>
      <c r="E9805" s="16" t="str">
        <f>IFERROR(__xludf.DUMMYFUNCTION("""COMPUTED_VALUE"""),"")</f>
        <v/>
      </c>
      <c r="G9805" s="18"/>
      <c r="H9805" s="16" t="s">
        <v>87</v>
      </c>
      <c r="I9805" s="16" t="s">
        <v>87</v>
      </c>
      <c r="J9805" s="19"/>
      <c r="L9805" s="16" t="str">
        <f>IFERROR(__xludf.DUMMYFUNCTION("""COMPUTED_VALUE"""),"")</f>
        <v/>
      </c>
      <c r="M9805" s="16" t="str">
        <f>IFERROR(__xludf.DUMMYFUNCTION("""COMPUTED_VALUE"""),"")</f>
        <v/>
      </c>
      <c r="U9805" s="16" t="s">
        <v>87</v>
      </c>
      <c r="V9805" s="16" t="str">
        <f>IFERROR(__xludf.DUMMYFUNCTION("""COMPUTED_VALUE"""),"")</f>
        <v/>
      </c>
      <c r="W9805" s="16" t="str">
        <f>IFERROR(__xludf.DUMMYFUNCTION("""COMPUTED_VALUE"""),"")</f>
        <v/>
      </c>
      <c r="X9805" s="16" t="str">
        <f>IFERROR(__xludf.DUMMYFUNCTION("""COMPUTED_VALUE"""),"")</f>
        <v/>
      </c>
      <c r="AC9805" s="16" t="str">
        <f>IFERROR(__xludf.DUMMYFUNCTION("""COMPUTED_VALUE"""),"")</f>
        <v/>
      </c>
    </row>
    <row r="9806">
      <c r="A9806" s="16" t="s">
        <v>87</v>
      </c>
      <c r="E9806" s="16" t="str">
        <f>IFERROR(__xludf.DUMMYFUNCTION("""COMPUTED_VALUE"""),"")</f>
        <v/>
      </c>
      <c r="G9806" s="18"/>
      <c r="H9806" s="16" t="s">
        <v>87</v>
      </c>
      <c r="I9806" s="16" t="s">
        <v>87</v>
      </c>
      <c r="J9806" s="19"/>
      <c r="L9806" s="16" t="str">
        <f>IFERROR(__xludf.DUMMYFUNCTION("""COMPUTED_VALUE"""),"")</f>
        <v/>
      </c>
      <c r="M9806" s="16" t="str">
        <f>IFERROR(__xludf.DUMMYFUNCTION("""COMPUTED_VALUE"""),"")</f>
        <v/>
      </c>
      <c r="U9806" s="16" t="s">
        <v>87</v>
      </c>
      <c r="V9806" s="16" t="str">
        <f>IFERROR(__xludf.DUMMYFUNCTION("""COMPUTED_VALUE"""),"")</f>
        <v/>
      </c>
      <c r="W9806" s="16" t="str">
        <f>IFERROR(__xludf.DUMMYFUNCTION("""COMPUTED_VALUE"""),"")</f>
        <v/>
      </c>
      <c r="X9806" s="16" t="str">
        <f>IFERROR(__xludf.DUMMYFUNCTION("""COMPUTED_VALUE"""),"")</f>
        <v/>
      </c>
      <c r="AC9806" s="16" t="str">
        <f>IFERROR(__xludf.DUMMYFUNCTION("""COMPUTED_VALUE"""),"")</f>
        <v/>
      </c>
    </row>
    <row r="9807">
      <c r="A9807" s="16" t="s">
        <v>87</v>
      </c>
      <c r="E9807" s="16" t="str">
        <f>IFERROR(__xludf.DUMMYFUNCTION("""COMPUTED_VALUE"""),"")</f>
        <v/>
      </c>
      <c r="G9807" s="18"/>
      <c r="H9807" s="16" t="s">
        <v>87</v>
      </c>
      <c r="I9807" s="16" t="s">
        <v>87</v>
      </c>
      <c r="J9807" s="19"/>
      <c r="L9807" s="16" t="str">
        <f>IFERROR(__xludf.DUMMYFUNCTION("""COMPUTED_VALUE"""),"")</f>
        <v/>
      </c>
      <c r="M9807" s="16" t="str">
        <f>IFERROR(__xludf.DUMMYFUNCTION("""COMPUTED_VALUE"""),"")</f>
        <v/>
      </c>
      <c r="U9807" s="16" t="s">
        <v>87</v>
      </c>
      <c r="V9807" s="16" t="str">
        <f>IFERROR(__xludf.DUMMYFUNCTION("""COMPUTED_VALUE"""),"")</f>
        <v/>
      </c>
      <c r="W9807" s="16" t="str">
        <f>IFERROR(__xludf.DUMMYFUNCTION("""COMPUTED_VALUE"""),"")</f>
        <v/>
      </c>
      <c r="X9807" s="16" t="str">
        <f>IFERROR(__xludf.DUMMYFUNCTION("""COMPUTED_VALUE"""),"")</f>
        <v/>
      </c>
      <c r="AC9807" s="16" t="str">
        <f>IFERROR(__xludf.DUMMYFUNCTION("""COMPUTED_VALUE"""),"")</f>
        <v/>
      </c>
    </row>
    <row r="9808">
      <c r="A9808" s="16" t="s">
        <v>87</v>
      </c>
      <c r="E9808" s="16" t="str">
        <f>IFERROR(__xludf.DUMMYFUNCTION("""COMPUTED_VALUE"""),"")</f>
        <v/>
      </c>
      <c r="G9808" s="18"/>
      <c r="H9808" s="16" t="s">
        <v>87</v>
      </c>
      <c r="I9808" s="16" t="s">
        <v>87</v>
      </c>
      <c r="J9808" s="19"/>
      <c r="L9808" s="16" t="str">
        <f>IFERROR(__xludf.DUMMYFUNCTION("""COMPUTED_VALUE"""),"")</f>
        <v/>
      </c>
      <c r="M9808" s="16" t="str">
        <f>IFERROR(__xludf.DUMMYFUNCTION("""COMPUTED_VALUE"""),"")</f>
        <v/>
      </c>
      <c r="U9808" s="16" t="s">
        <v>87</v>
      </c>
      <c r="V9808" s="16" t="str">
        <f>IFERROR(__xludf.DUMMYFUNCTION("""COMPUTED_VALUE"""),"")</f>
        <v/>
      </c>
      <c r="W9808" s="16" t="str">
        <f>IFERROR(__xludf.DUMMYFUNCTION("""COMPUTED_VALUE"""),"")</f>
        <v/>
      </c>
      <c r="X9808" s="16" t="str">
        <f>IFERROR(__xludf.DUMMYFUNCTION("""COMPUTED_VALUE"""),"")</f>
        <v/>
      </c>
      <c r="AC9808" s="16" t="str">
        <f>IFERROR(__xludf.DUMMYFUNCTION("""COMPUTED_VALUE"""),"")</f>
        <v/>
      </c>
    </row>
    <row r="9809">
      <c r="A9809" s="16" t="s">
        <v>87</v>
      </c>
      <c r="E9809" s="16" t="str">
        <f>IFERROR(__xludf.DUMMYFUNCTION("""COMPUTED_VALUE"""),"")</f>
        <v/>
      </c>
      <c r="G9809" s="18"/>
      <c r="H9809" s="16" t="s">
        <v>87</v>
      </c>
      <c r="I9809" s="16" t="s">
        <v>87</v>
      </c>
      <c r="J9809" s="19"/>
      <c r="L9809" s="16" t="str">
        <f>IFERROR(__xludf.DUMMYFUNCTION("""COMPUTED_VALUE"""),"")</f>
        <v/>
      </c>
      <c r="M9809" s="16" t="str">
        <f>IFERROR(__xludf.DUMMYFUNCTION("""COMPUTED_VALUE"""),"")</f>
        <v/>
      </c>
      <c r="U9809" s="16" t="s">
        <v>87</v>
      </c>
      <c r="V9809" s="16" t="str">
        <f>IFERROR(__xludf.DUMMYFUNCTION("""COMPUTED_VALUE"""),"")</f>
        <v/>
      </c>
      <c r="W9809" s="16" t="str">
        <f>IFERROR(__xludf.DUMMYFUNCTION("""COMPUTED_VALUE"""),"")</f>
        <v/>
      </c>
      <c r="X9809" s="16" t="str">
        <f>IFERROR(__xludf.DUMMYFUNCTION("""COMPUTED_VALUE"""),"")</f>
        <v/>
      </c>
      <c r="AC9809" s="16" t="str">
        <f>IFERROR(__xludf.DUMMYFUNCTION("""COMPUTED_VALUE"""),"")</f>
        <v/>
      </c>
    </row>
    <row r="9810">
      <c r="A9810" s="16" t="s">
        <v>87</v>
      </c>
      <c r="E9810" s="16" t="str">
        <f>IFERROR(__xludf.DUMMYFUNCTION("""COMPUTED_VALUE"""),"")</f>
        <v/>
      </c>
      <c r="G9810" s="18"/>
      <c r="H9810" s="16" t="s">
        <v>87</v>
      </c>
      <c r="I9810" s="16" t="s">
        <v>87</v>
      </c>
      <c r="J9810" s="19"/>
      <c r="L9810" s="16" t="str">
        <f>IFERROR(__xludf.DUMMYFUNCTION("""COMPUTED_VALUE"""),"")</f>
        <v/>
      </c>
      <c r="M9810" s="16" t="str">
        <f>IFERROR(__xludf.DUMMYFUNCTION("""COMPUTED_VALUE"""),"")</f>
        <v/>
      </c>
      <c r="U9810" s="16" t="s">
        <v>87</v>
      </c>
      <c r="V9810" s="16" t="str">
        <f>IFERROR(__xludf.DUMMYFUNCTION("""COMPUTED_VALUE"""),"")</f>
        <v/>
      </c>
      <c r="W9810" s="16" t="str">
        <f>IFERROR(__xludf.DUMMYFUNCTION("""COMPUTED_VALUE"""),"")</f>
        <v/>
      </c>
      <c r="X9810" s="16" t="str">
        <f>IFERROR(__xludf.DUMMYFUNCTION("""COMPUTED_VALUE"""),"")</f>
        <v/>
      </c>
      <c r="AC9810" s="16" t="str">
        <f>IFERROR(__xludf.DUMMYFUNCTION("""COMPUTED_VALUE"""),"")</f>
        <v/>
      </c>
    </row>
    <row r="9811">
      <c r="A9811" s="16" t="s">
        <v>87</v>
      </c>
      <c r="E9811" s="16" t="str">
        <f>IFERROR(__xludf.DUMMYFUNCTION("""COMPUTED_VALUE"""),"")</f>
        <v/>
      </c>
      <c r="G9811" s="18"/>
      <c r="H9811" s="16" t="s">
        <v>87</v>
      </c>
      <c r="I9811" s="16" t="s">
        <v>87</v>
      </c>
      <c r="J9811" s="19"/>
      <c r="L9811" s="16" t="str">
        <f>IFERROR(__xludf.DUMMYFUNCTION("""COMPUTED_VALUE"""),"")</f>
        <v/>
      </c>
      <c r="M9811" s="16" t="str">
        <f>IFERROR(__xludf.DUMMYFUNCTION("""COMPUTED_VALUE"""),"")</f>
        <v/>
      </c>
      <c r="U9811" s="16" t="s">
        <v>87</v>
      </c>
      <c r="V9811" s="16" t="str">
        <f>IFERROR(__xludf.DUMMYFUNCTION("""COMPUTED_VALUE"""),"")</f>
        <v/>
      </c>
      <c r="W9811" s="16" t="str">
        <f>IFERROR(__xludf.DUMMYFUNCTION("""COMPUTED_VALUE"""),"")</f>
        <v/>
      </c>
      <c r="X9811" s="16" t="str">
        <f>IFERROR(__xludf.DUMMYFUNCTION("""COMPUTED_VALUE"""),"")</f>
        <v/>
      </c>
      <c r="AC9811" s="16" t="str">
        <f>IFERROR(__xludf.DUMMYFUNCTION("""COMPUTED_VALUE"""),"")</f>
        <v/>
      </c>
    </row>
    <row r="9812">
      <c r="A9812" s="16" t="s">
        <v>87</v>
      </c>
      <c r="E9812" s="16" t="str">
        <f>IFERROR(__xludf.DUMMYFUNCTION("""COMPUTED_VALUE"""),"")</f>
        <v/>
      </c>
      <c r="G9812" s="18"/>
      <c r="H9812" s="16" t="s">
        <v>87</v>
      </c>
      <c r="I9812" s="16" t="s">
        <v>87</v>
      </c>
      <c r="J9812" s="19"/>
      <c r="L9812" s="16" t="str">
        <f>IFERROR(__xludf.DUMMYFUNCTION("""COMPUTED_VALUE"""),"")</f>
        <v/>
      </c>
      <c r="M9812" s="16" t="str">
        <f>IFERROR(__xludf.DUMMYFUNCTION("""COMPUTED_VALUE"""),"")</f>
        <v/>
      </c>
      <c r="U9812" s="16" t="s">
        <v>87</v>
      </c>
      <c r="V9812" s="16" t="str">
        <f>IFERROR(__xludf.DUMMYFUNCTION("""COMPUTED_VALUE"""),"")</f>
        <v/>
      </c>
      <c r="W9812" s="16" t="str">
        <f>IFERROR(__xludf.DUMMYFUNCTION("""COMPUTED_VALUE"""),"")</f>
        <v/>
      </c>
      <c r="X9812" s="16" t="str">
        <f>IFERROR(__xludf.DUMMYFUNCTION("""COMPUTED_VALUE"""),"")</f>
        <v/>
      </c>
      <c r="AC9812" s="16" t="str">
        <f>IFERROR(__xludf.DUMMYFUNCTION("""COMPUTED_VALUE"""),"")</f>
        <v/>
      </c>
    </row>
    <row r="9813">
      <c r="A9813" s="16" t="s">
        <v>87</v>
      </c>
      <c r="E9813" s="16" t="str">
        <f>IFERROR(__xludf.DUMMYFUNCTION("""COMPUTED_VALUE"""),"")</f>
        <v/>
      </c>
      <c r="G9813" s="18"/>
      <c r="H9813" s="16" t="s">
        <v>87</v>
      </c>
      <c r="I9813" s="16" t="s">
        <v>87</v>
      </c>
      <c r="J9813" s="19"/>
      <c r="L9813" s="16" t="str">
        <f>IFERROR(__xludf.DUMMYFUNCTION("""COMPUTED_VALUE"""),"")</f>
        <v/>
      </c>
      <c r="M9813" s="16" t="str">
        <f>IFERROR(__xludf.DUMMYFUNCTION("""COMPUTED_VALUE"""),"")</f>
        <v/>
      </c>
      <c r="U9813" s="16" t="s">
        <v>87</v>
      </c>
      <c r="V9813" s="16" t="str">
        <f>IFERROR(__xludf.DUMMYFUNCTION("""COMPUTED_VALUE"""),"")</f>
        <v/>
      </c>
      <c r="W9813" s="16" t="str">
        <f>IFERROR(__xludf.DUMMYFUNCTION("""COMPUTED_VALUE"""),"")</f>
        <v/>
      </c>
      <c r="X9813" s="16" t="str">
        <f>IFERROR(__xludf.DUMMYFUNCTION("""COMPUTED_VALUE"""),"")</f>
        <v/>
      </c>
      <c r="AC9813" s="16" t="str">
        <f>IFERROR(__xludf.DUMMYFUNCTION("""COMPUTED_VALUE"""),"")</f>
        <v/>
      </c>
    </row>
    <row r="9814">
      <c r="A9814" s="16" t="s">
        <v>87</v>
      </c>
      <c r="E9814" s="16" t="str">
        <f>IFERROR(__xludf.DUMMYFUNCTION("""COMPUTED_VALUE"""),"")</f>
        <v/>
      </c>
      <c r="G9814" s="18"/>
      <c r="H9814" s="16" t="s">
        <v>87</v>
      </c>
      <c r="I9814" s="16" t="s">
        <v>87</v>
      </c>
      <c r="J9814" s="19"/>
      <c r="L9814" s="16" t="str">
        <f>IFERROR(__xludf.DUMMYFUNCTION("""COMPUTED_VALUE"""),"")</f>
        <v/>
      </c>
      <c r="M9814" s="16" t="str">
        <f>IFERROR(__xludf.DUMMYFUNCTION("""COMPUTED_VALUE"""),"")</f>
        <v/>
      </c>
      <c r="U9814" s="16" t="s">
        <v>87</v>
      </c>
      <c r="V9814" s="16" t="str">
        <f>IFERROR(__xludf.DUMMYFUNCTION("""COMPUTED_VALUE"""),"")</f>
        <v/>
      </c>
      <c r="W9814" s="16" t="str">
        <f>IFERROR(__xludf.DUMMYFUNCTION("""COMPUTED_VALUE"""),"")</f>
        <v/>
      </c>
      <c r="X9814" s="16" t="str">
        <f>IFERROR(__xludf.DUMMYFUNCTION("""COMPUTED_VALUE"""),"")</f>
        <v/>
      </c>
      <c r="AC9814" s="16" t="str">
        <f>IFERROR(__xludf.DUMMYFUNCTION("""COMPUTED_VALUE"""),"")</f>
        <v/>
      </c>
    </row>
    <row r="9815">
      <c r="A9815" s="16" t="s">
        <v>87</v>
      </c>
      <c r="E9815" s="16" t="str">
        <f>IFERROR(__xludf.DUMMYFUNCTION("""COMPUTED_VALUE"""),"")</f>
        <v/>
      </c>
      <c r="G9815" s="18"/>
      <c r="H9815" s="16" t="s">
        <v>87</v>
      </c>
      <c r="I9815" s="16" t="s">
        <v>87</v>
      </c>
      <c r="J9815" s="19"/>
      <c r="L9815" s="16" t="str">
        <f>IFERROR(__xludf.DUMMYFUNCTION("""COMPUTED_VALUE"""),"")</f>
        <v/>
      </c>
      <c r="M9815" s="16" t="str">
        <f>IFERROR(__xludf.DUMMYFUNCTION("""COMPUTED_VALUE"""),"")</f>
        <v/>
      </c>
      <c r="U9815" s="16" t="s">
        <v>87</v>
      </c>
      <c r="V9815" s="16" t="str">
        <f>IFERROR(__xludf.DUMMYFUNCTION("""COMPUTED_VALUE"""),"")</f>
        <v/>
      </c>
      <c r="W9815" s="16" t="str">
        <f>IFERROR(__xludf.DUMMYFUNCTION("""COMPUTED_VALUE"""),"")</f>
        <v/>
      </c>
      <c r="X9815" s="16" t="str">
        <f>IFERROR(__xludf.DUMMYFUNCTION("""COMPUTED_VALUE"""),"")</f>
        <v/>
      </c>
      <c r="AC9815" s="16" t="str">
        <f>IFERROR(__xludf.DUMMYFUNCTION("""COMPUTED_VALUE"""),"")</f>
        <v/>
      </c>
    </row>
    <row r="9816">
      <c r="A9816" s="16" t="s">
        <v>87</v>
      </c>
      <c r="E9816" s="16" t="str">
        <f>IFERROR(__xludf.DUMMYFUNCTION("""COMPUTED_VALUE"""),"")</f>
        <v/>
      </c>
      <c r="G9816" s="18"/>
      <c r="H9816" s="16" t="s">
        <v>87</v>
      </c>
      <c r="I9816" s="16" t="s">
        <v>87</v>
      </c>
      <c r="J9816" s="19"/>
      <c r="L9816" s="16" t="str">
        <f>IFERROR(__xludf.DUMMYFUNCTION("""COMPUTED_VALUE"""),"")</f>
        <v/>
      </c>
      <c r="M9816" s="16" t="str">
        <f>IFERROR(__xludf.DUMMYFUNCTION("""COMPUTED_VALUE"""),"")</f>
        <v/>
      </c>
      <c r="U9816" s="16" t="s">
        <v>87</v>
      </c>
      <c r="V9816" s="16" t="str">
        <f>IFERROR(__xludf.DUMMYFUNCTION("""COMPUTED_VALUE"""),"")</f>
        <v/>
      </c>
      <c r="W9816" s="16" t="str">
        <f>IFERROR(__xludf.DUMMYFUNCTION("""COMPUTED_VALUE"""),"")</f>
        <v/>
      </c>
      <c r="X9816" s="16" t="str">
        <f>IFERROR(__xludf.DUMMYFUNCTION("""COMPUTED_VALUE"""),"")</f>
        <v/>
      </c>
      <c r="AC9816" s="16" t="str">
        <f>IFERROR(__xludf.DUMMYFUNCTION("""COMPUTED_VALUE"""),"")</f>
        <v/>
      </c>
    </row>
    <row r="9817">
      <c r="A9817" s="16" t="s">
        <v>87</v>
      </c>
      <c r="E9817" s="16" t="str">
        <f>IFERROR(__xludf.DUMMYFUNCTION("""COMPUTED_VALUE"""),"")</f>
        <v/>
      </c>
      <c r="G9817" s="18"/>
      <c r="H9817" s="16" t="s">
        <v>87</v>
      </c>
      <c r="I9817" s="16" t="s">
        <v>87</v>
      </c>
      <c r="J9817" s="19"/>
      <c r="L9817" s="16" t="str">
        <f>IFERROR(__xludf.DUMMYFUNCTION("""COMPUTED_VALUE"""),"")</f>
        <v/>
      </c>
      <c r="M9817" s="16" t="str">
        <f>IFERROR(__xludf.DUMMYFUNCTION("""COMPUTED_VALUE"""),"")</f>
        <v/>
      </c>
      <c r="U9817" s="16" t="s">
        <v>87</v>
      </c>
      <c r="V9817" s="16" t="str">
        <f>IFERROR(__xludf.DUMMYFUNCTION("""COMPUTED_VALUE"""),"")</f>
        <v/>
      </c>
      <c r="W9817" s="16" t="str">
        <f>IFERROR(__xludf.DUMMYFUNCTION("""COMPUTED_VALUE"""),"")</f>
        <v/>
      </c>
      <c r="X9817" s="16" t="str">
        <f>IFERROR(__xludf.DUMMYFUNCTION("""COMPUTED_VALUE"""),"")</f>
        <v/>
      </c>
      <c r="AC9817" s="16" t="str">
        <f>IFERROR(__xludf.DUMMYFUNCTION("""COMPUTED_VALUE"""),"")</f>
        <v/>
      </c>
    </row>
    <row r="9818">
      <c r="A9818" s="16" t="s">
        <v>87</v>
      </c>
      <c r="E9818" s="16" t="str">
        <f>IFERROR(__xludf.DUMMYFUNCTION("""COMPUTED_VALUE"""),"")</f>
        <v/>
      </c>
      <c r="G9818" s="18"/>
      <c r="H9818" s="16" t="s">
        <v>87</v>
      </c>
      <c r="I9818" s="16" t="s">
        <v>87</v>
      </c>
      <c r="J9818" s="19"/>
      <c r="L9818" s="16" t="str">
        <f>IFERROR(__xludf.DUMMYFUNCTION("""COMPUTED_VALUE"""),"")</f>
        <v/>
      </c>
      <c r="M9818" s="16" t="str">
        <f>IFERROR(__xludf.DUMMYFUNCTION("""COMPUTED_VALUE"""),"")</f>
        <v/>
      </c>
      <c r="U9818" s="16" t="s">
        <v>87</v>
      </c>
      <c r="V9818" s="16" t="str">
        <f>IFERROR(__xludf.DUMMYFUNCTION("""COMPUTED_VALUE"""),"")</f>
        <v/>
      </c>
      <c r="W9818" s="16" t="str">
        <f>IFERROR(__xludf.DUMMYFUNCTION("""COMPUTED_VALUE"""),"")</f>
        <v/>
      </c>
      <c r="X9818" s="16" t="str">
        <f>IFERROR(__xludf.DUMMYFUNCTION("""COMPUTED_VALUE"""),"")</f>
        <v/>
      </c>
      <c r="AC9818" s="16" t="str">
        <f>IFERROR(__xludf.DUMMYFUNCTION("""COMPUTED_VALUE"""),"")</f>
        <v/>
      </c>
    </row>
    <row r="9819">
      <c r="A9819" s="16" t="s">
        <v>87</v>
      </c>
      <c r="E9819" s="16" t="str">
        <f>IFERROR(__xludf.DUMMYFUNCTION("""COMPUTED_VALUE"""),"")</f>
        <v/>
      </c>
      <c r="G9819" s="18"/>
      <c r="H9819" s="16" t="s">
        <v>87</v>
      </c>
      <c r="I9819" s="16" t="s">
        <v>87</v>
      </c>
      <c r="J9819" s="19"/>
      <c r="L9819" s="16" t="str">
        <f>IFERROR(__xludf.DUMMYFUNCTION("""COMPUTED_VALUE"""),"")</f>
        <v/>
      </c>
      <c r="M9819" s="16" t="str">
        <f>IFERROR(__xludf.DUMMYFUNCTION("""COMPUTED_VALUE"""),"")</f>
        <v/>
      </c>
      <c r="U9819" s="16" t="s">
        <v>87</v>
      </c>
      <c r="V9819" s="16" t="str">
        <f>IFERROR(__xludf.DUMMYFUNCTION("""COMPUTED_VALUE"""),"")</f>
        <v/>
      </c>
      <c r="W9819" s="16" t="str">
        <f>IFERROR(__xludf.DUMMYFUNCTION("""COMPUTED_VALUE"""),"")</f>
        <v/>
      </c>
      <c r="X9819" s="16" t="str">
        <f>IFERROR(__xludf.DUMMYFUNCTION("""COMPUTED_VALUE"""),"")</f>
        <v/>
      </c>
      <c r="AC9819" s="16" t="str">
        <f>IFERROR(__xludf.DUMMYFUNCTION("""COMPUTED_VALUE"""),"")</f>
        <v/>
      </c>
    </row>
    <row r="9820">
      <c r="A9820" s="16" t="s">
        <v>87</v>
      </c>
      <c r="E9820" s="16" t="str">
        <f>IFERROR(__xludf.DUMMYFUNCTION("""COMPUTED_VALUE"""),"")</f>
        <v/>
      </c>
      <c r="G9820" s="18"/>
      <c r="H9820" s="16" t="s">
        <v>87</v>
      </c>
      <c r="I9820" s="16" t="s">
        <v>87</v>
      </c>
      <c r="J9820" s="19"/>
      <c r="L9820" s="16" t="str">
        <f>IFERROR(__xludf.DUMMYFUNCTION("""COMPUTED_VALUE"""),"")</f>
        <v/>
      </c>
      <c r="M9820" s="16" t="str">
        <f>IFERROR(__xludf.DUMMYFUNCTION("""COMPUTED_VALUE"""),"")</f>
        <v/>
      </c>
      <c r="U9820" s="16" t="s">
        <v>87</v>
      </c>
      <c r="V9820" s="16" t="str">
        <f>IFERROR(__xludf.DUMMYFUNCTION("""COMPUTED_VALUE"""),"")</f>
        <v/>
      </c>
      <c r="W9820" s="16" t="str">
        <f>IFERROR(__xludf.DUMMYFUNCTION("""COMPUTED_VALUE"""),"")</f>
        <v/>
      </c>
      <c r="X9820" s="16" t="str">
        <f>IFERROR(__xludf.DUMMYFUNCTION("""COMPUTED_VALUE"""),"")</f>
        <v/>
      </c>
      <c r="AC9820" s="16" t="str">
        <f>IFERROR(__xludf.DUMMYFUNCTION("""COMPUTED_VALUE"""),"")</f>
        <v/>
      </c>
    </row>
    <row r="9821">
      <c r="A9821" s="16" t="s">
        <v>87</v>
      </c>
      <c r="E9821" s="16" t="str">
        <f>IFERROR(__xludf.DUMMYFUNCTION("""COMPUTED_VALUE"""),"")</f>
        <v/>
      </c>
      <c r="G9821" s="18"/>
      <c r="H9821" s="16" t="s">
        <v>87</v>
      </c>
      <c r="I9821" s="16" t="s">
        <v>87</v>
      </c>
      <c r="J9821" s="19"/>
      <c r="L9821" s="16" t="str">
        <f>IFERROR(__xludf.DUMMYFUNCTION("""COMPUTED_VALUE"""),"")</f>
        <v/>
      </c>
      <c r="M9821" s="16" t="str">
        <f>IFERROR(__xludf.DUMMYFUNCTION("""COMPUTED_VALUE"""),"")</f>
        <v/>
      </c>
      <c r="U9821" s="16" t="s">
        <v>87</v>
      </c>
      <c r="V9821" s="16" t="str">
        <f>IFERROR(__xludf.DUMMYFUNCTION("""COMPUTED_VALUE"""),"")</f>
        <v/>
      </c>
      <c r="W9821" s="16" t="str">
        <f>IFERROR(__xludf.DUMMYFUNCTION("""COMPUTED_VALUE"""),"")</f>
        <v/>
      </c>
      <c r="X9821" s="16" t="str">
        <f>IFERROR(__xludf.DUMMYFUNCTION("""COMPUTED_VALUE"""),"")</f>
        <v/>
      </c>
      <c r="AC9821" s="16" t="str">
        <f>IFERROR(__xludf.DUMMYFUNCTION("""COMPUTED_VALUE"""),"")</f>
        <v/>
      </c>
    </row>
    <row r="9822">
      <c r="A9822" s="16" t="s">
        <v>87</v>
      </c>
      <c r="E9822" s="16" t="str">
        <f>IFERROR(__xludf.DUMMYFUNCTION("""COMPUTED_VALUE"""),"")</f>
        <v/>
      </c>
      <c r="G9822" s="18"/>
      <c r="H9822" s="16" t="s">
        <v>87</v>
      </c>
      <c r="I9822" s="16" t="s">
        <v>87</v>
      </c>
      <c r="J9822" s="19"/>
      <c r="L9822" s="16" t="str">
        <f>IFERROR(__xludf.DUMMYFUNCTION("""COMPUTED_VALUE"""),"")</f>
        <v/>
      </c>
      <c r="M9822" s="16" t="str">
        <f>IFERROR(__xludf.DUMMYFUNCTION("""COMPUTED_VALUE"""),"")</f>
        <v/>
      </c>
      <c r="U9822" s="16" t="s">
        <v>87</v>
      </c>
      <c r="V9822" s="16" t="str">
        <f>IFERROR(__xludf.DUMMYFUNCTION("""COMPUTED_VALUE"""),"")</f>
        <v/>
      </c>
      <c r="W9822" s="16" t="str">
        <f>IFERROR(__xludf.DUMMYFUNCTION("""COMPUTED_VALUE"""),"")</f>
        <v/>
      </c>
      <c r="X9822" s="16" t="str">
        <f>IFERROR(__xludf.DUMMYFUNCTION("""COMPUTED_VALUE"""),"")</f>
        <v/>
      </c>
      <c r="AC9822" s="16" t="str">
        <f>IFERROR(__xludf.DUMMYFUNCTION("""COMPUTED_VALUE"""),"")</f>
        <v/>
      </c>
    </row>
    <row r="9823">
      <c r="A9823" s="16" t="s">
        <v>87</v>
      </c>
      <c r="E9823" s="16" t="str">
        <f>IFERROR(__xludf.DUMMYFUNCTION("""COMPUTED_VALUE"""),"")</f>
        <v/>
      </c>
      <c r="G9823" s="18"/>
      <c r="H9823" s="16" t="s">
        <v>87</v>
      </c>
      <c r="I9823" s="16" t="s">
        <v>87</v>
      </c>
      <c r="J9823" s="19"/>
      <c r="L9823" s="16" t="str">
        <f>IFERROR(__xludf.DUMMYFUNCTION("""COMPUTED_VALUE"""),"")</f>
        <v/>
      </c>
      <c r="M9823" s="16" t="str">
        <f>IFERROR(__xludf.DUMMYFUNCTION("""COMPUTED_VALUE"""),"")</f>
        <v/>
      </c>
      <c r="U9823" s="16" t="s">
        <v>87</v>
      </c>
      <c r="V9823" s="16" t="str">
        <f>IFERROR(__xludf.DUMMYFUNCTION("""COMPUTED_VALUE"""),"")</f>
        <v/>
      </c>
      <c r="W9823" s="16" t="str">
        <f>IFERROR(__xludf.DUMMYFUNCTION("""COMPUTED_VALUE"""),"")</f>
        <v/>
      </c>
      <c r="X9823" s="16" t="str">
        <f>IFERROR(__xludf.DUMMYFUNCTION("""COMPUTED_VALUE"""),"")</f>
        <v/>
      </c>
      <c r="AC9823" s="16" t="str">
        <f>IFERROR(__xludf.DUMMYFUNCTION("""COMPUTED_VALUE"""),"")</f>
        <v/>
      </c>
    </row>
    <row r="9824">
      <c r="A9824" s="16" t="s">
        <v>87</v>
      </c>
      <c r="E9824" s="16" t="str">
        <f>IFERROR(__xludf.DUMMYFUNCTION("""COMPUTED_VALUE"""),"")</f>
        <v/>
      </c>
      <c r="G9824" s="18"/>
      <c r="H9824" s="16" t="s">
        <v>87</v>
      </c>
      <c r="I9824" s="16" t="s">
        <v>87</v>
      </c>
      <c r="J9824" s="19"/>
      <c r="L9824" s="16" t="str">
        <f>IFERROR(__xludf.DUMMYFUNCTION("""COMPUTED_VALUE"""),"")</f>
        <v/>
      </c>
      <c r="M9824" s="16" t="str">
        <f>IFERROR(__xludf.DUMMYFUNCTION("""COMPUTED_VALUE"""),"")</f>
        <v/>
      </c>
      <c r="U9824" s="16" t="s">
        <v>87</v>
      </c>
      <c r="V9824" s="16" t="str">
        <f>IFERROR(__xludf.DUMMYFUNCTION("""COMPUTED_VALUE"""),"")</f>
        <v/>
      </c>
      <c r="W9824" s="16" t="str">
        <f>IFERROR(__xludf.DUMMYFUNCTION("""COMPUTED_VALUE"""),"")</f>
        <v/>
      </c>
      <c r="X9824" s="16" t="str">
        <f>IFERROR(__xludf.DUMMYFUNCTION("""COMPUTED_VALUE"""),"")</f>
        <v/>
      </c>
      <c r="AC9824" s="16" t="str">
        <f>IFERROR(__xludf.DUMMYFUNCTION("""COMPUTED_VALUE"""),"")</f>
        <v/>
      </c>
    </row>
    <row r="9825">
      <c r="A9825" s="16" t="s">
        <v>87</v>
      </c>
      <c r="E9825" s="16" t="str">
        <f>IFERROR(__xludf.DUMMYFUNCTION("""COMPUTED_VALUE"""),"")</f>
        <v/>
      </c>
      <c r="G9825" s="18"/>
      <c r="H9825" s="16" t="s">
        <v>87</v>
      </c>
      <c r="I9825" s="16" t="s">
        <v>87</v>
      </c>
      <c r="J9825" s="19"/>
      <c r="L9825" s="16" t="str">
        <f>IFERROR(__xludf.DUMMYFUNCTION("""COMPUTED_VALUE"""),"")</f>
        <v/>
      </c>
      <c r="M9825" s="16" t="str">
        <f>IFERROR(__xludf.DUMMYFUNCTION("""COMPUTED_VALUE"""),"")</f>
        <v/>
      </c>
      <c r="U9825" s="16" t="s">
        <v>87</v>
      </c>
      <c r="V9825" s="16" t="str">
        <f>IFERROR(__xludf.DUMMYFUNCTION("""COMPUTED_VALUE"""),"")</f>
        <v/>
      </c>
      <c r="W9825" s="16" t="str">
        <f>IFERROR(__xludf.DUMMYFUNCTION("""COMPUTED_VALUE"""),"")</f>
        <v/>
      </c>
      <c r="X9825" s="16" t="str">
        <f>IFERROR(__xludf.DUMMYFUNCTION("""COMPUTED_VALUE"""),"")</f>
        <v/>
      </c>
      <c r="AC9825" s="16" t="str">
        <f>IFERROR(__xludf.DUMMYFUNCTION("""COMPUTED_VALUE"""),"")</f>
        <v/>
      </c>
    </row>
    <row r="9826">
      <c r="A9826" s="16" t="s">
        <v>87</v>
      </c>
      <c r="E9826" s="16" t="str">
        <f>IFERROR(__xludf.DUMMYFUNCTION("""COMPUTED_VALUE"""),"")</f>
        <v/>
      </c>
      <c r="G9826" s="18"/>
      <c r="H9826" s="16" t="s">
        <v>87</v>
      </c>
      <c r="I9826" s="16" t="s">
        <v>87</v>
      </c>
      <c r="J9826" s="19"/>
      <c r="L9826" s="16" t="str">
        <f>IFERROR(__xludf.DUMMYFUNCTION("""COMPUTED_VALUE"""),"")</f>
        <v/>
      </c>
      <c r="M9826" s="16" t="str">
        <f>IFERROR(__xludf.DUMMYFUNCTION("""COMPUTED_VALUE"""),"")</f>
        <v/>
      </c>
      <c r="U9826" s="16" t="s">
        <v>87</v>
      </c>
      <c r="V9826" s="16" t="str">
        <f>IFERROR(__xludf.DUMMYFUNCTION("""COMPUTED_VALUE"""),"")</f>
        <v/>
      </c>
      <c r="W9826" s="16" t="str">
        <f>IFERROR(__xludf.DUMMYFUNCTION("""COMPUTED_VALUE"""),"")</f>
        <v/>
      </c>
      <c r="X9826" s="16" t="str">
        <f>IFERROR(__xludf.DUMMYFUNCTION("""COMPUTED_VALUE"""),"")</f>
        <v/>
      </c>
      <c r="AC9826" s="16" t="str">
        <f>IFERROR(__xludf.DUMMYFUNCTION("""COMPUTED_VALUE"""),"")</f>
        <v/>
      </c>
    </row>
    <row r="9827">
      <c r="A9827" s="16" t="s">
        <v>87</v>
      </c>
      <c r="E9827" s="16" t="str">
        <f>IFERROR(__xludf.DUMMYFUNCTION("""COMPUTED_VALUE"""),"")</f>
        <v/>
      </c>
      <c r="G9827" s="18"/>
      <c r="H9827" s="16" t="s">
        <v>87</v>
      </c>
      <c r="I9827" s="16" t="s">
        <v>87</v>
      </c>
      <c r="J9827" s="19"/>
      <c r="L9827" s="16" t="str">
        <f>IFERROR(__xludf.DUMMYFUNCTION("""COMPUTED_VALUE"""),"")</f>
        <v/>
      </c>
      <c r="M9827" s="16" t="str">
        <f>IFERROR(__xludf.DUMMYFUNCTION("""COMPUTED_VALUE"""),"")</f>
        <v/>
      </c>
      <c r="U9827" s="16" t="s">
        <v>87</v>
      </c>
      <c r="V9827" s="16" t="str">
        <f>IFERROR(__xludf.DUMMYFUNCTION("""COMPUTED_VALUE"""),"")</f>
        <v/>
      </c>
      <c r="W9827" s="16" t="str">
        <f>IFERROR(__xludf.DUMMYFUNCTION("""COMPUTED_VALUE"""),"")</f>
        <v/>
      </c>
      <c r="X9827" s="16" t="str">
        <f>IFERROR(__xludf.DUMMYFUNCTION("""COMPUTED_VALUE"""),"")</f>
        <v/>
      </c>
      <c r="AC9827" s="16" t="str">
        <f>IFERROR(__xludf.DUMMYFUNCTION("""COMPUTED_VALUE"""),"")</f>
        <v/>
      </c>
    </row>
    <row r="9828">
      <c r="A9828" s="16" t="s">
        <v>87</v>
      </c>
      <c r="E9828" s="16" t="str">
        <f>IFERROR(__xludf.DUMMYFUNCTION("""COMPUTED_VALUE"""),"")</f>
        <v/>
      </c>
      <c r="G9828" s="18"/>
      <c r="H9828" s="16" t="s">
        <v>87</v>
      </c>
      <c r="I9828" s="16" t="s">
        <v>87</v>
      </c>
      <c r="J9828" s="19"/>
      <c r="L9828" s="16" t="str">
        <f>IFERROR(__xludf.DUMMYFUNCTION("""COMPUTED_VALUE"""),"")</f>
        <v/>
      </c>
      <c r="M9828" s="16" t="str">
        <f>IFERROR(__xludf.DUMMYFUNCTION("""COMPUTED_VALUE"""),"")</f>
        <v/>
      </c>
      <c r="U9828" s="16" t="s">
        <v>87</v>
      </c>
      <c r="V9828" s="16" t="str">
        <f>IFERROR(__xludf.DUMMYFUNCTION("""COMPUTED_VALUE"""),"")</f>
        <v/>
      </c>
      <c r="W9828" s="16" t="str">
        <f>IFERROR(__xludf.DUMMYFUNCTION("""COMPUTED_VALUE"""),"")</f>
        <v/>
      </c>
      <c r="X9828" s="16" t="str">
        <f>IFERROR(__xludf.DUMMYFUNCTION("""COMPUTED_VALUE"""),"")</f>
        <v/>
      </c>
      <c r="AC9828" s="16" t="str">
        <f>IFERROR(__xludf.DUMMYFUNCTION("""COMPUTED_VALUE"""),"")</f>
        <v/>
      </c>
    </row>
    <row r="9829">
      <c r="A9829" s="16" t="s">
        <v>87</v>
      </c>
      <c r="E9829" s="16" t="str">
        <f>IFERROR(__xludf.DUMMYFUNCTION("""COMPUTED_VALUE"""),"")</f>
        <v/>
      </c>
      <c r="G9829" s="18"/>
      <c r="H9829" s="16" t="s">
        <v>87</v>
      </c>
      <c r="I9829" s="16" t="s">
        <v>87</v>
      </c>
      <c r="J9829" s="19"/>
      <c r="L9829" s="16" t="str">
        <f>IFERROR(__xludf.DUMMYFUNCTION("""COMPUTED_VALUE"""),"")</f>
        <v/>
      </c>
      <c r="M9829" s="16" t="str">
        <f>IFERROR(__xludf.DUMMYFUNCTION("""COMPUTED_VALUE"""),"")</f>
        <v/>
      </c>
      <c r="U9829" s="16" t="s">
        <v>87</v>
      </c>
      <c r="V9829" s="16" t="str">
        <f>IFERROR(__xludf.DUMMYFUNCTION("""COMPUTED_VALUE"""),"")</f>
        <v/>
      </c>
      <c r="W9829" s="16" t="str">
        <f>IFERROR(__xludf.DUMMYFUNCTION("""COMPUTED_VALUE"""),"")</f>
        <v/>
      </c>
      <c r="X9829" s="16" t="str">
        <f>IFERROR(__xludf.DUMMYFUNCTION("""COMPUTED_VALUE"""),"")</f>
        <v/>
      </c>
      <c r="AC9829" s="16" t="str">
        <f>IFERROR(__xludf.DUMMYFUNCTION("""COMPUTED_VALUE"""),"")</f>
        <v/>
      </c>
    </row>
    <row r="9830">
      <c r="A9830" s="16" t="s">
        <v>87</v>
      </c>
      <c r="E9830" s="16" t="str">
        <f>IFERROR(__xludf.DUMMYFUNCTION("""COMPUTED_VALUE"""),"")</f>
        <v/>
      </c>
      <c r="G9830" s="18"/>
      <c r="H9830" s="16" t="s">
        <v>87</v>
      </c>
      <c r="I9830" s="16" t="s">
        <v>87</v>
      </c>
      <c r="J9830" s="19"/>
      <c r="L9830" s="16" t="str">
        <f>IFERROR(__xludf.DUMMYFUNCTION("""COMPUTED_VALUE"""),"")</f>
        <v/>
      </c>
      <c r="M9830" s="16" t="str">
        <f>IFERROR(__xludf.DUMMYFUNCTION("""COMPUTED_VALUE"""),"")</f>
        <v/>
      </c>
      <c r="U9830" s="16" t="s">
        <v>87</v>
      </c>
      <c r="V9830" s="16" t="str">
        <f>IFERROR(__xludf.DUMMYFUNCTION("""COMPUTED_VALUE"""),"")</f>
        <v/>
      </c>
      <c r="W9830" s="16" t="str">
        <f>IFERROR(__xludf.DUMMYFUNCTION("""COMPUTED_VALUE"""),"")</f>
        <v/>
      </c>
      <c r="X9830" s="16" t="str">
        <f>IFERROR(__xludf.DUMMYFUNCTION("""COMPUTED_VALUE"""),"")</f>
        <v/>
      </c>
      <c r="AC9830" s="16" t="str">
        <f>IFERROR(__xludf.DUMMYFUNCTION("""COMPUTED_VALUE"""),"")</f>
        <v/>
      </c>
    </row>
    <row r="9831">
      <c r="A9831" s="16" t="s">
        <v>87</v>
      </c>
      <c r="E9831" s="16" t="str">
        <f>IFERROR(__xludf.DUMMYFUNCTION("""COMPUTED_VALUE"""),"")</f>
        <v/>
      </c>
      <c r="G9831" s="18"/>
      <c r="H9831" s="16" t="s">
        <v>87</v>
      </c>
      <c r="I9831" s="16" t="s">
        <v>87</v>
      </c>
      <c r="J9831" s="19"/>
      <c r="L9831" s="16" t="str">
        <f>IFERROR(__xludf.DUMMYFUNCTION("""COMPUTED_VALUE"""),"")</f>
        <v/>
      </c>
      <c r="M9831" s="16" t="str">
        <f>IFERROR(__xludf.DUMMYFUNCTION("""COMPUTED_VALUE"""),"")</f>
        <v/>
      </c>
      <c r="U9831" s="16" t="s">
        <v>87</v>
      </c>
      <c r="V9831" s="16" t="str">
        <f>IFERROR(__xludf.DUMMYFUNCTION("""COMPUTED_VALUE"""),"")</f>
        <v/>
      </c>
      <c r="W9831" s="16" t="str">
        <f>IFERROR(__xludf.DUMMYFUNCTION("""COMPUTED_VALUE"""),"")</f>
        <v/>
      </c>
      <c r="X9831" s="16" t="str">
        <f>IFERROR(__xludf.DUMMYFUNCTION("""COMPUTED_VALUE"""),"")</f>
        <v/>
      </c>
      <c r="AC9831" s="16" t="str">
        <f>IFERROR(__xludf.DUMMYFUNCTION("""COMPUTED_VALUE"""),"")</f>
        <v/>
      </c>
    </row>
    <row r="9832">
      <c r="A9832" s="16" t="s">
        <v>87</v>
      </c>
      <c r="E9832" s="16" t="str">
        <f>IFERROR(__xludf.DUMMYFUNCTION("""COMPUTED_VALUE"""),"")</f>
        <v/>
      </c>
      <c r="G9832" s="18"/>
      <c r="H9832" s="16" t="s">
        <v>87</v>
      </c>
      <c r="I9832" s="16" t="s">
        <v>87</v>
      </c>
      <c r="J9832" s="19"/>
      <c r="L9832" s="16" t="str">
        <f>IFERROR(__xludf.DUMMYFUNCTION("""COMPUTED_VALUE"""),"")</f>
        <v/>
      </c>
      <c r="M9832" s="16" t="str">
        <f>IFERROR(__xludf.DUMMYFUNCTION("""COMPUTED_VALUE"""),"")</f>
        <v/>
      </c>
      <c r="U9832" s="16" t="s">
        <v>87</v>
      </c>
      <c r="V9832" s="16" t="str">
        <f>IFERROR(__xludf.DUMMYFUNCTION("""COMPUTED_VALUE"""),"")</f>
        <v/>
      </c>
      <c r="W9832" s="16" t="str">
        <f>IFERROR(__xludf.DUMMYFUNCTION("""COMPUTED_VALUE"""),"")</f>
        <v/>
      </c>
      <c r="X9832" s="16" t="str">
        <f>IFERROR(__xludf.DUMMYFUNCTION("""COMPUTED_VALUE"""),"")</f>
        <v/>
      </c>
      <c r="AC9832" s="16" t="str">
        <f>IFERROR(__xludf.DUMMYFUNCTION("""COMPUTED_VALUE"""),"")</f>
        <v/>
      </c>
    </row>
    <row r="9833">
      <c r="A9833" s="16" t="s">
        <v>87</v>
      </c>
      <c r="E9833" s="16" t="str">
        <f>IFERROR(__xludf.DUMMYFUNCTION("""COMPUTED_VALUE"""),"")</f>
        <v/>
      </c>
      <c r="G9833" s="18"/>
      <c r="H9833" s="16" t="s">
        <v>87</v>
      </c>
      <c r="I9833" s="16" t="s">
        <v>87</v>
      </c>
      <c r="J9833" s="19"/>
      <c r="L9833" s="16" t="str">
        <f>IFERROR(__xludf.DUMMYFUNCTION("""COMPUTED_VALUE"""),"")</f>
        <v/>
      </c>
      <c r="M9833" s="16" t="str">
        <f>IFERROR(__xludf.DUMMYFUNCTION("""COMPUTED_VALUE"""),"")</f>
        <v/>
      </c>
      <c r="U9833" s="16" t="s">
        <v>87</v>
      </c>
      <c r="V9833" s="16" t="str">
        <f>IFERROR(__xludf.DUMMYFUNCTION("""COMPUTED_VALUE"""),"")</f>
        <v/>
      </c>
      <c r="W9833" s="16" t="str">
        <f>IFERROR(__xludf.DUMMYFUNCTION("""COMPUTED_VALUE"""),"")</f>
        <v/>
      </c>
      <c r="X9833" s="16" t="str">
        <f>IFERROR(__xludf.DUMMYFUNCTION("""COMPUTED_VALUE"""),"")</f>
        <v/>
      </c>
      <c r="AC9833" s="16" t="str">
        <f>IFERROR(__xludf.DUMMYFUNCTION("""COMPUTED_VALUE"""),"")</f>
        <v/>
      </c>
    </row>
    <row r="9834">
      <c r="A9834" s="16" t="s">
        <v>87</v>
      </c>
      <c r="E9834" s="16" t="str">
        <f>IFERROR(__xludf.DUMMYFUNCTION("""COMPUTED_VALUE"""),"")</f>
        <v/>
      </c>
      <c r="G9834" s="18"/>
      <c r="H9834" s="16" t="s">
        <v>87</v>
      </c>
      <c r="I9834" s="16" t="s">
        <v>87</v>
      </c>
      <c r="J9834" s="19"/>
      <c r="L9834" s="16" t="str">
        <f>IFERROR(__xludf.DUMMYFUNCTION("""COMPUTED_VALUE"""),"")</f>
        <v/>
      </c>
      <c r="M9834" s="16" t="str">
        <f>IFERROR(__xludf.DUMMYFUNCTION("""COMPUTED_VALUE"""),"")</f>
        <v/>
      </c>
      <c r="U9834" s="16" t="s">
        <v>87</v>
      </c>
      <c r="V9834" s="16" t="str">
        <f>IFERROR(__xludf.DUMMYFUNCTION("""COMPUTED_VALUE"""),"")</f>
        <v/>
      </c>
      <c r="W9834" s="16" t="str">
        <f>IFERROR(__xludf.DUMMYFUNCTION("""COMPUTED_VALUE"""),"")</f>
        <v/>
      </c>
      <c r="X9834" s="16" t="str">
        <f>IFERROR(__xludf.DUMMYFUNCTION("""COMPUTED_VALUE"""),"")</f>
        <v/>
      </c>
      <c r="AC9834" s="16" t="str">
        <f>IFERROR(__xludf.DUMMYFUNCTION("""COMPUTED_VALUE"""),"")</f>
        <v/>
      </c>
    </row>
    <row r="9835">
      <c r="A9835" s="16" t="s">
        <v>87</v>
      </c>
      <c r="E9835" s="16" t="str">
        <f>IFERROR(__xludf.DUMMYFUNCTION("""COMPUTED_VALUE"""),"")</f>
        <v/>
      </c>
      <c r="G9835" s="18"/>
      <c r="H9835" s="16" t="s">
        <v>87</v>
      </c>
      <c r="I9835" s="16" t="s">
        <v>87</v>
      </c>
      <c r="J9835" s="19"/>
      <c r="L9835" s="16" t="str">
        <f>IFERROR(__xludf.DUMMYFUNCTION("""COMPUTED_VALUE"""),"")</f>
        <v/>
      </c>
      <c r="M9835" s="16" t="str">
        <f>IFERROR(__xludf.DUMMYFUNCTION("""COMPUTED_VALUE"""),"")</f>
        <v/>
      </c>
      <c r="U9835" s="16" t="s">
        <v>87</v>
      </c>
      <c r="V9835" s="16" t="str">
        <f>IFERROR(__xludf.DUMMYFUNCTION("""COMPUTED_VALUE"""),"")</f>
        <v/>
      </c>
      <c r="W9835" s="16" t="str">
        <f>IFERROR(__xludf.DUMMYFUNCTION("""COMPUTED_VALUE"""),"")</f>
        <v/>
      </c>
      <c r="X9835" s="16" t="str">
        <f>IFERROR(__xludf.DUMMYFUNCTION("""COMPUTED_VALUE"""),"")</f>
        <v/>
      </c>
      <c r="AC9835" s="16" t="str">
        <f>IFERROR(__xludf.DUMMYFUNCTION("""COMPUTED_VALUE"""),"")</f>
        <v/>
      </c>
    </row>
    <row r="9836">
      <c r="A9836" s="16" t="s">
        <v>87</v>
      </c>
      <c r="E9836" s="16" t="str">
        <f>IFERROR(__xludf.DUMMYFUNCTION("""COMPUTED_VALUE"""),"")</f>
        <v/>
      </c>
      <c r="G9836" s="18"/>
      <c r="H9836" s="16" t="s">
        <v>87</v>
      </c>
      <c r="I9836" s="16" t="s">
        <v>87</v>
      </c>
      <c r="J9836" s="19"/>
      <c r="L9836" s="16" t="str">
        <f>IFERROR(__xludf.DUMMYFUNCTION("""COMPUTED_VALUE"""),"")</f>
        <v/>
      </c>
      <c r="M9836" s="16" t="str">
        <f>IFERROR(__xludf.DUMMYFUNCTION("""COMPUTED_VALUE"""),"")</f>
        <v/>
      </c>
      <c r="U9836" s="16" t="s">
        <v>87</v>
      </c>
      <c r="V9836" s="16" t="str">
        <f>IFERROR(__xludf.DUMMYFUNCTION("""COMPUTED_VALUE"""),"")</f>
        <v/>
      </c>
      <c r="W9836" s="16" t="str">
        <f>IFERROR(__xludf.DUMMYFUNCTION("""COMPUTED_VALUE"""),"")</f>
        <v/>
      </c>
      <c r="X9836" s="16" t="str">
        <f>IFERROR(__xludf.DUMMYFUNCTION("""COMPUTED_VALUE"""),"")</f>
        <v/>
      </c>
      <c r="AC9836" s="16" t="str">
        <f>IFERROR(__xludf.DUMMYFUNCTION("""COMPUTED_VALUE"""),"")</f>
        <v/>
      </c>
    </row>
    <row r="9837">
      <c r="A9837" s="16" t="s">
        <v>87</v>
      </c>
      <c r="E9837" s="16" t="str">
        <f>IFERROR(__xludf.DUMMYFUNCTION("""COMPUTED_VALUE"""),"")</f>
        <v/>
      </c>
      <c r="G9837" s="18"/>
      <c r="H9837" s="16" t="s">
        <v>87</v>
      </c>
      <c r="I9837" s="16" t="s">
        <v>87</v>
      </c>
      <c r="J9837" s="19"/>
      <c r="L9837" s="16" t="str">
        <f>IFERROR(__xludf.DUMMYFUNCTION("""COMPUTED_VALUE"""),"")</f>
        <v/>
      </c>
      <c r="M9837" s="16" t="str">
        <f>IFERROR(__xludf.DUMMYFUNCTION("""COMPUTED_VALUE"""),"")</f>
        <v/>
      </c>
      <c r="U9837" s="16" t="s">
        <v>87</v>
      </c>
      <c r="V9837" s="16" t="str">
        <f>IFERROR(__xludf.DUMMYFUNCTION("""COMPUTED_VALUE"""),"")</f>
        <v/>
      </c>
      <c r="W9837" s="16" t="str">
        <f>IFERROR(__xludf.DUMMYFUNCTION("""COMPUTED_VALUE"""),"")</f>
        <v/>
      </c>
      <c r="X9837" s="16" t="str">
        <f>IFERROR(__xludf.DUMMYFUNCTION("""COMPUTED_VALUE"""),"")</f>
        <v/>
      </c>
      <c r="AC9837" s="16" t="str">
        <f>IFERROR(__xludf.DUMMYFUNCTION("""COMPUTED_VALUE"""),"")</f>
        <v/>
      </c>
    </row>
    <row r="9838">
      <c r="A9838" s="16" t="s">
        <v>87</v>
      </c>
      <c r="E9838" s="16" t="str">
        <f>IFERROR(__xludf.DUMMYFUNCTION("""COMPUTED_VALUE"""),"")</f>
        <v/>
      </c>
      <c r="G9838" s="18"/>
      <c r="H9838" s="16" t="s">
        <v>87</v>
      </c>
      <c r="I9838" s="16" t="s">
        <v>87</v>
      </c>
      <c r="J9838" s="19"/>
      <c r="L9838" s="16" t="str">
        <f>IFERROR(__xludf.DUMMYFUNCTION("""COMPUTED_VALUE"""),"")</f>
        <v/>
      </c>
      <c r="M9838" s="16" t="str">
        <f>IFERROR(__xludf.DUMMYFUNCTION("""COMPUTED_VALUE"""),"")</f>
        <v/>
      </c>
      <c r="U9838" s="16" t="s">
        <v>87</v>
      </c>
      <c r="V9838" s="16" t="str">
        <f>IFERROR(__xludf.DUMMYFUNCTION("""COMPUTED_VALUE"""),"")</f>
        <v/>
      </c>
      <c r="W9838" s="16" t="str">
        <f>IFERROR(__xludf.DUMMYFUNCTION("""COMPUTED_VALUE"""),"")</f>
        <v/>
      </c>
      <c r="X9838" s="16" t="str">
        <f>IFERROR(__xludf.DUMMYFUNCTION("""COMPUTED_VALUE"""),"")</f>
        <v/>
      </c>
      <c r="AC9838" s="16" t="str">
        <f>IFERROR(__xludf.DUMMYFUNCTION("""COMPUTED_VALUE"""),"")</f>
        <v/>
      </c>
    </row>
    <row r="9839">
      <c r="A9839" s="16" t="s">
        <v>87</v>
      </c>
      <c r="E9839" s="16" t="str">
        <f>IFERROR(__xludf.DUMMYFUNCTION("""COMPUTED_VALUE"""),"")</f>
        <v/>
      </c>
      <c r="G9839" s="18"/>
      <c r="H9839" s="16" t="s">
        <v>87</v>
      </c>
      <c r="I9839" s="16" t="s">
        <v>87</v>
      </c>
      <c r="J9839" s="19"/>
      <c r="L9839" s="16" t="str">
        <f>IFERROR(__xludf.DUMMYFUNCTION("""COMPUTED_VALUE"""),"")</f>
        <v/>
      </c>
      <c r="M9839" s="16" t="str">
        <f>IFERROR(__xludf.DUMMYFUNCTION("""COMPUTED_VALUE"""),"")</f>
        <v/>
      </c>
      <c r="U9839" s="16" t="s">
        <v>87</v>
      </c>
      <c r="V9839" s="16" t="str">
        <f>IFERROR(__xludf.DUMMYFUNCTION("""COMPUTED_VALUE"""),"")</f>
        <v/>
      </c>
      <c r="W9839" s="16" t="str">
        <f>IFERROR(__xludf.DUMMYFUNCTION("""COMPUTED_VALUE"""),"")</f>
        <v/>
      </c>
      <c r="X9839" s="16" t="str">
        <f>IFERROR(__xludf.DUMMYFUNCTION("""COMPUTED_VALUE"""),"")</f>
        <v/>
      </c>
      <c r="AC9839" s="16" t="str">
        <f>IFERROR(__xludf.DUMMYFUNCTION("""COMPUTED_VALUE"""),"")</f>
        <v/>
      </c>
    </row>
    <row r="9840">
      <c r="A9840" s="16" t="s">
        <v>87</v>
      </c>
      <c r="E9840" s="16" t="str">
        <f>IFERROR(__xludf.DUMMYFUNCTION("""COMPUTED_VALUE"""),"")</f>
        <v/>
      </c>
      <c r="G9840" s="18"/>
      <c r="H9840" s="16" t="s">
        <v>87</v>
      </c>
      <c r="I9840" s="16" t="s">
        <v>87</v>
      </c>
      <c r="J9840" s="19"/>
      <c r="L9840" s="16" t="str">
        <f>IFERROR(__xludf.DUMMYFUNCTION("""COMPUTED_VALUE"""),"")</f>
        <v/>
      </c>
      <c r="M9840" s="16" t="str">
        <f>IFERROR(__xludf.DUMMYFUNCTION("""COMPUTED_VALUE"""),"")</f>
        <v/>
      </c>
      <c r="U9840" s="16" t="s">
        <v>87</v>
      </c>
      <c r="V9840" s="16" t="str">
        <f>IFERROR(__xludf.DUMMYFUNCTION("""COMPUTED_VALUE"""),"")</f>
        <v/>
      </c>
      <c r="W9840" s="16" t="str">
        <f>IFERROR(__xludf.DUMMYFUNCTION("""COMPUTED_VALUE"""),"")</f>
        <v/>
      </c>
      <c r="X9840" s="16" t="str">
        <f>IFERROR(__xludf.DUMMYFUNCTION("""COMPUTED_VALUE"""),"")</f>
        <v/>
      </c>
      <c r="AC9840" s="16" t="str">
        <f>IFERROR(__xludf.DUMMYFUNCTION("""COMPUTED_VALUE"""),"")</f>
        <v/>
      </c>
    </row>
    <row r="9841">
      <c r="A9841" s="16" t="s">
        <v>87</v>
      </c>
      <c r="E9841" s="16" t="str">
        <f>IFERROR(__xludf.DUMMYFUNCTION("""COMPUTED_VALUE"""),"")</f>
        <v/>
      </c>
      <c r="G9841" s="18"/>
      <c r="H9841" s="16" t="s">
        <v>87</v>
      </c>
      <c r="I9841" s="16" t="s">
        <v>87</v>
      </c>
      <c r="J9841" s="19"/>
      <c r="L9841" s="16" t="str">
        <f>IFERROR(__xludf.DUMMYFUNCTION("""COMPUTED_VALUE"""),"")</f>
        <v/>
      </c>
      <c r="M9841" s="16" t="str">
        <f>IFERROR(__xludf.DUMMYFUNCTION("""COMPUTED_VALUE"""),"")</f>
        <v/>
      </c>
      <c r="U9841" s="16" t="s">
        <v>87</v>
      </c>
      <c r="V9841" s="16" t="str">
        <f>IFERROR(__xludf.DUMMYFUNCTION("""COMPUTED_VALUE"""),"")</f>
        <v/>
      </c>
      <c r="W9841" s="16" t="str">
        <f>IFERROR(__xludf.DUMMYFUNCTION("""COMPUTED_VALUE"""),"")</f>
        <v/>
      </c>
      <c r="X9841" s="16" t="str">
        <f>IFERROR(__xludf.DUMMYFUNCTION("""COMPUTED_VALUE"""),"")</f>
        <v/>
      </c>
      <c r="AC9841" s="16" t="str">
        <f>IFERROR(__xludf.DUMMYFUNCTION("""COMPUTED_VALUE"""),"")</f>
        <v/>
      </c>
    </row>
    <row r="9842">
      <c r="A9842" s="16" t="s">
        <v>87</v>
      </c>
      <c r="E9842" s="16" t="str">
        <f>IFERROR(__xludf.DUMMYFUNCTION("""COMPUTED_VALUE"""),"")</f>
        <v/>
      </c>
      <c r="G9842" s="18"/>
      <c r="H9842" s="16" t="s">
        <v>87</v>
      </c>
      <c r="I9842" s="16" t="s">
        <v>87</v>
      </c>
      <c r="J9842" s="19"/>
      <c r="L9842" s="16" t="str">
        <f>IFERROR(__xludf.DUMMYFUNCTION("""COMPUTED_VALUE"""),"")</f>
        <v/>
      </c>
      <c r="M9842" s="16" t="str">
        <f>IFERROR(__xludf.DUMMYFUNCTION("""COMPUTED_VALUE"""),"")</f>
        <v/>
      </c>
      <c r="U9842" s="16" t="s">
        <v>87</v>
      </c>
      <c r="V9842" s="16" t="str">
        <f>IFERROR(__xludf.DUMMYFUNCTION("""COMPUTED_VALUE"""),"")</f>
        <v/>
      </c>
      <c r="W9842" s="16" t="str">
        <f>IFERROR(__xludf.DUMMYFUNCTION("""COMPUTED_VALUE"""),"")</f>
        <v/>
      </c>
      <c r="X9842" s="16" t="str">
        <f>IFERROR(__xludf.DUMMYFUNCTION("""COMPUTED_VALUE"""),"")</f>
        <v/>
      </c>
      <c r="AC9842" s="16" t="str">
        <f>IFERROR(__xludf.DUMMYFUNCTION("""COMPUTED_VALUE"""),"")</f>
        <v/>
      </c>
    </row>
    <row r="9843">
      <c r="A9843" s="16" t="s">
        <v>87</v>
      </c>
      <c r="E9843" s="16" t="str">
        <f>IFERROR(__xludf.DUMMYFUNCTION("""COMPUTED_VALUE"""),"")</f>
        <v/>
      </c>
      <c r="G9843" s="18"/>
      <c r="H9843" s="16" t="s">
        <v>87</v>
      </c>
      <c r="I9843" s="16" t="s">
        <v>87</v>
      </c>
      <c r="J9843" s="19"/>
      <c r="L9843" s="16" t="str">
        <f>IFERROR(__xludf.DUMMYFUNCTION("""COMPUTED_VALUE"""),"")</f>
        <v/>
      </c>
      <c r="M9843" s="16" t="str">
        <f>IFERROR(__xludf.DUMMYFUNCTION("""COMPUTED_VALUE"""),"")</f>
        <v/>
      </c>
      <c r="U9843" s="16" t="s">
        <v>87</v>
      </c>
      <c r="V9843" s="16" t="str">
        <f>IFERROR(__xludf.DUMMYFUNCTION("""COMPUTED_VALUE"""),"")</f>
        <v/>
      </c>
      <c r="W9843" s="16" t="str">
        <f>IFERROR(__xludf.DUMMYFUNCTION("""COMPUTED_VALUE"""),"")</f>
        <v/>
      </c>
      <c r="X9843" s="16" t="str">
        <f>IFERROR(__xludf.DUMMYFUNCTION("""COMPUTED_VALUE"""),"")</f>
        <v/>
      </c>
      <c r="AC9843" s="16" t="str">
        <f>IFERROR(__xludf.DUMMYFUNCTION("""COMPUTED_VALUE"""),"")</f>
        <v/>
      </c>
    </row>
    <row r="9844">
      <c r="A9844" s="16" t="s">
        <v>87</v>
      </c>
      <c r="E9844" s="16" t="str">
        <f>IFERROR(__xludf.DUMMYFUNCTION("""COMPUTED_VALUE"""),"")</f>
        <v/>
      </c>
      <c r="G9844" s="18"/>
      <c r="H9844" s="16" t="s">
        <v>87</v>
      </c>
      <c r="I9844" s="16" t="s">
        <v>87</v>
      </c>
      <c r="J9844" s="19"/>
      <c r="L9844" s="16" t="str">
        <f>IFERROR(__xludf.DUMMYFUNCTION("""COMPUTED_VALUE"""),"")</f>
        <v/>
      </c>
      <c r="M9844" s="16" t="str">
        <f>IFERROR(__xludf.DUMMYFUNCTION("""COMPUTED_VALUE"""),"")</f>
        <v/>
      </c>
      <c r="U9844" s="16" t="s">
        <v>87</v>
      </c>
      <c r="V9844" s="16" t="str">
        <f>IFERROR(__xludf.DUMMYFUNCTION("""COMPUTED_VALUE"""),"")</f>
        <v/>
      </c>
      <c r="W9844" s="16" t="str">
        <f>IFERROR(__xludf.DUMMYFUNCTION("""COMPUTED_VALUE"""),"")</f>
        <v/>
      </c>
      <c r="X9844" s="16" t="str">
        <f>IFERROR(__xludf.DUMMYFUNCTION("""COMPUTED_VALUE"""),"")</f>
        <v/>
      </c>
      <c r="AC9844" s="16" t="str">
        <f>IFERROR(__xludf.DUMMYFUNCTION("""COMPUTED_VALUE"""),"")</f>
        <v/>
      </c>
    </row>
    <row r="9845">
      <c r="A9845" s="16" t="s">
        <v>87</v>
      </c>
      <c r="E9845" s="16" t="str">
        <f>IFERROR(__xludf.DUMMYFUNCTION("""COMPUTED_VALUE"""),"")</f>
        <v/>
      </c>
      <c r="G9845" s="18"/>
      <c r="H9845" s="16" t="s">
        <v>87</v>
      </c>
      <c r="I9845" s="16" t="s">
        <v>87</v>
      </c>
      <c r="J9845" s="19"/>
      <c r="L9845" s="16" t="str">
        <f>IFERROR(__xludf.DUMMYFUNCTION("""COMPUTED_VALUE"""),"")</f>
        <v/>
      </c>
      <c r="M9845" s="16" t="str">
        <f>IFERROR(__xludf.DUMMYFUNCTION("""COMPUTED_VALUE"""),"")</f>
        <v/>
      </c>
      <c r="U9845" s="16" t="s">
        <v>87</v>
      </c>
      <c r="V9845" s="16" t="str">
        <f>IFERROR(__xludf.DUMMYFUNCTION("""COMPUTED_VALUE"""),"")</f>
        <v/>
      </c>
      <c r="W9845" s="16" t="str">
        <f>IFERROR(__xludf.DUMMYFUNCTION("""COMPUTED_VALUE"""),"")</f>
        <v/>
      </c>
      <c r="X9845" s="16" t="str">
        <f>IFERROR(__xludf.DUMMYFUNCTION("""COMPUTED_VALUE"""),"")</f>
        <v/>
      </c>
      <c r="AC9845" s="16" t="str">
        <f>IFERROR(__xludf.DUMMYFUNCTION("""COMPUTED_VALUE"""),"")</f>
        <v/>
      </c>
    </row>
    <row r="9846">
      <c r="A9846" s="16" t="s">
        <v>87</v>
      </c>
      <c r="E9846" s="16" t="str">
        <f>IFERROR(__xludf.DUMMYFUNCTION("""COMPUTED_VALUE"""),"")</f>
        <v/>
      </c>
      <c r="G9846" s="18"/>
      <c r="H9846" s="16" t="s">
        <v>87</v>
      </c>
      <c r="I9846" s="16" t="s">
        <v>87</v>
      </c>
      <c r="J9846" s="19"/>
      <c r="L9846" s="16" t="str">
        <f>IFERROR(__xludf.DUMMYFUNCTION("""COMPUTED_VALUE"""),"")</f>
        <v/>
      </c>
      <c r="M9846" s="16" t="str">
        <f>IFERROR(__xludf.DUMMYFUNCTION("""COMPUTED_VALUE"""),"")</f>
        <v/>
      </c>
      <c r="U9846" s="16" t="s">
        <v>87</v>
      </c>
      <c r="V9846" s="16" t="str">
        <f>IFERROR(__xludf.DUMMYFUNCTION("""COMPUTED_VALUE"""),"")</f>
        <v/>
      </c>
      <c r="W9846" s="16" t="str">
        <f>IFERROR(__xludf.DUMMYFUNCTION("""COMPUTED_VALUE"""),"")</f>
        <v/>
      </c>
      <c r="X9846" s="16" t="str">
        <f>IFERROR(__xludf.DUMMYFUNCTION("""COMPUTED_VALUE"""),"")</f>
        <v/>
      </c>
      <c r="AC9846" s="16" t="str">
        <f>IFERROR(__xludf.DUMMYFUNCTION("""COMPUTED_VALUE"""),"")</f>
        <v/>
      </c>
    </row>
    <row r="9847">
      <c r="A9847" s="16" t="s">
        <v>87</v>
      </c>
      <c r="E9847" s="16" t="str">
        <f>IFERROR(__xludf.DUMMYFUNCTION("""COMPUTED_VALUE"""),"")</f>
        <v/>
      </c>
      <c r="G9847" s="18"/>
      <c r="H9847" s="16" t="s">
        <v>87</v>
      </c>
      <c r="I9847" s="16" t="s">
        <v>87</v>
      </c>
      <c r="J9847" s="19"/>
      <c r="L9847" s="16" t="str">
        <f>IFERROR(__xludf.DUMMYFUNCTION("""COMPUTED_VALUE"""),"")</f>
        <v/>
      </c>
      <c r="M9847" s="16" t="str">
        <f>IFERROR(__xludf.DUMMYFUNCTION("""COMPUTED_VALUE"""),"")</f>
        <v/>
      </c>
      <c r="U9847" s="16" t="s">
        <v>87</v>
      </c>
      <c r="V9847" s="16" t="str">
        <f>IFERROR(__xludf.DUMMYFUNCTION("""COMPUTED_VALUE"""),"")</f>
        <v/>
      </c>
      <c r="W9847" s="16" t="str">
        <f>IFERROR(__xludf.DUMMYFUNCTION("""COMPUTED_VALUE"""),"")</f>
        <v/>
      </c>
      <c r="X9847" s="16" t="str">
        <f>IFERROR(__xludf.DUMMYFUNCTION("""COMPUTED_VALUE"""),"")</f>
        <v/>
      </c>
      <c r="AC9847" s="16" t="str">
        <f>IFERROR(__xludf.DUMMYFUNCTION("""COMPUTED_VALUE"""),"")</f>
        <v/>
      </c>
    </row>
    <row r="9848">
      <c r="A9848" s="16" t="s">
        <v>87</v>
      </c>
      <c r="E9848" s="16" t="str">
        <f>IFERROR(__xludf.DUMMYFUNCTION("""COMPUTED_VALUE"""),"")</f>
        <v/>
      </c>
      <c r="G9848" s="18"/>
      <c r="H9848" s="16" t="s">
        <v>87</v>
      </c>
      <c r="I9848" s="16" t="s">
        <v>87</v>
      </c>
      <c r="J9848" s="19"/>
      <c r="L9848" s="16" t="str">
        <f>IFERROR(__xludf.DUMMYFUNCTION("""COMPUTED_VALUE"""),"")</f>
        <v/>
      </c>
      <c r="M9848" s="16" t="str">
        <f>IFERROR(__xludf.DUMMYFUNCTION("""COMPUTED_VALUE"""),"")</f>
        <v/>
      </c>
      <c r="U9848" s="16" t="s">
        <v>87</v>
      </c>
      <c r="V9848" s="16" t="str">
        <f>IFERROR(__xludf.DUMMYFUNCTION("""COMPUTED_VALUE"""),"")</f>
        <v/>
      </c>
      <c r="W9848" s="16" t="str">
        <f>IFERROR(__xludf.DUMMYFUNCTION("""COMPUTED_VALUE"""),"")</f>
        <v/>
      </c>
      <c r="X9848" s="16" t="str">
        <f>IFERROR(__xludf.DUMMYFUNCTION("""COMPUTED_VALUE"""),"")</f>
        <v/>
      </c>
      <c r="AC9848" s="16" t="str">
        <f>IFERROR(__xludf.DUMMYFUNCTION("""COMPUTED_VALUE"""),"")</f>
        <v/>
      </c>
    </row>
    <row r="9849">
      <c r="A9849" s="16" t="s">
        <v>87</v>
      </c>
      <c r="E9849" s="16" t="str">
        <f>IFERROR(__xludf.DUMMYFUNCTION("""COMPUTED_VALUE"""),"")</f>
        <v/>
      </c>
      <c r="G9849" s="18"/>
      <c r="H9849" s="16" t="s">
        <v>87</v>
      </c>
      <c r="I9849" s="16" t="s">
        <v>87</v>
      </c>
      <c r="J9849" s="19"/>
      <c r="L9849" s="16" t="str">
        <f>IFERROR(__xludf.DUMMYFUNCTION("""COMPUTED_VALUE"""),"")</f>
        <v/>
      </c>
      <c r="M9849" s="16" t="str">
        <f>IFERROR(__xludf.DUMMYFUNCTION("""COMPUTED_VALUE"""),"")</f>
        <v/>
      </c>
      <c r="U9849" s="16" t="s">
        <v>87</v>
      </c>
      <c r="V9849" s="16" t="str">
        <f>IFERROR(__xludf.DUMMYFUNCTION("""COMPUTED_VALUE"""),"")</f>
        <v/>
      </c>
      <c r="W9849" s="16" t="str">
        <f>IFERROR(__xludf.DUMMYFUNCTION("""COMPUTED_VALUE"""),"")</f>
        <v/>
      </c>
      <c r="X9849" s="16" t="str">
        <f>IFERROR(__xludf.DUMMYFUNCTION("""COMPUTED_VALUE"""),"")</f>
        <v/>
      </c>
      <c r="AC9849" s="16" t="str">
        <f>IFERROR(__xludf.DUMMYFUNCTION("""COMPUTED_VALUE"""),"")</f>
        <v/>
      </c>
    </row>
    <row r="9850">
      <c r="A9850" s="16" t="s">
        <v>87</v>
      </c>
      <c r="E9850" s="16" t="str">
        <f>IFERROR(__xludf.DUMMYFUNCTION("""COMPUTED_VALUE"""),"")</f>
        <v/>
      </c>
      <c r="G9850" s="18"/>
      <c r="H9850" s="16" t="s">
        <v>87</v>
      </c>
      <c r="I9850" s="16" t="s">
        <v>87</v>
      </c>
      <c r="J9850" s="19"/>
      <c r="L9850" s="16" t="str">
        <f>IFERROR(__xludf.DUMMYFUNCTION("""COMPUTED_VALUE"""),"")</f>
        <v/>
      </c>
      <c r="M9850" s="16" t="str">
        <f>IFERROR(__xludf.DUMMYFUNCTION("""COMPUTED_VALUE"""),"")</f>
        <v/>
      </c>
      <c r="U9850" s="16" t="s">
        <v>87</v>
      </c>
      <c r="V9850" s="16" t="str">
        <f>IFERROR(__xludf.DUMMYFUNCTION("""COMPUTED_VALUE"""),"")</f>
        <v/>
      </c>
      <c r="W9850" s="16" t="str">
        <f>IFERROR(__xludf.DUMMYFUNCTION("""COMPUTED_VALUE"""),"")</f>
        <v/>
      </c>
      <c r="X9850" s="16" t="str">
        <f>IFERROR(__xludf.DUMMYFUNCTION("""COMPUTED_VALUE"""),"")</f>
        <v/>
      </c>
      <c r="AC9850" s="16" t="str">
        <f>IFERROR(__xludf.DUMMYFUNCTION("""COMPUTED_VALUE"""),"")</f>
        <v/>
      </c>
    </row>
    <row r="9851">
      <c r="A9851" s="16" t="s">
        <v>87</v>
      </c>
      <c r="E9851" s="16" t="str">
        <f>IFERROR(__xludf.DUMMYFUNCTION("""COMPUTED_VALUE"""),"")</f>
        <v/>
      </c>
      <c r="G9851" s="18"/>
      <c r="H9851" s="16" t="s">
        <v>87</v>
      </c>
      <c r="I9851" s="16" t="s">
        <v>87</v>
      </c>
      <c r="J9851" s="19"/>
      <c r="L9851" s="16" t="str">
        <f>IFERROR(__xludf.DUMMYFUNCTION("""COMPUTED_VALUE"""),"")</f>
        <v/>
      </c>
      <c r="M9851" s="16" t="str">
        <f>IFERROR(__xludf.DUMMYFUNCTION("""COMPUTED_VALUE"""),"")</f>
        <v/>
      </c>
      <c r="U9851" s="16" t="s">
        <v>87</v>
      </c>
      <c r="V9851" s="16" t="str">
        <f>IFERROR(__xludf.DUMMYFUNCTION("""COMPUTED_VALUE"""),"")</f>
        <v/>
      </c>
      <c r="W9851" s="16" t="str">
        <f>IFERROR(__xludf.DUMMYFUNCTION("""COMPUTED_VALUE"""),"")</f>
        <v/>
      </c>
      <c r="X9851" s="16" t="str">
        <f>IFERROR(__xludf.DUMMYFUNCTION("""COMPUTED_VALUE"""),"")</f>
        <v/>
      </c>
      <c r="AC9851" s="16" t="str">
        <f>IFERROR(__xludf.DUMMYFUNCTION("""COMPUTED_VALUE"""),"")</f>
        <v/>
      </c>
    </row>
    <row r="9852">
      <c r="A9852" s="16" t="s">
        <v>87</v>
      </c>
      <c r="E9852" s="16" t="str">
        <f>IFERROR(__xludf.DUMMYFUNCTION("""COMPUTED_VALUE"""),"")</f>
        <v/>
      </c>
      <c r="G9852" s="18"/>
      <c r="H9852" s="16" t="s">
        <v>87</v>
      </c>
      <c r="I9852" s="16" t="s">
        <v>87</v>
      </c>
      <c r="J9852" s="19"/>
      <c r="L9852" s="16" t="str">
        <f>IFERROR(__xludf.DUMMYFUNCTION("""COMPUTED_VALUE"""),"")</f>
        <v/>
      </c>
      <c r="M9852" s="16" t="str">
        <f>IFERROR(__xludf.DUMMYFUNCTION("""COMPUTED_VALUE"""),"")</f>
        <v/>
      </c>
      <c r="U9852" s="16" t="s">
        <v>87</v>
      </c>
      <c r="V9852" s="16" t="str">
        <f>IFERROR(__xludf.DUMMYFUNCTION("""COMPUTED_VALUE"""),"")</f>
        <v/>
      </c>
      <c r="W9852" s="16" t="str">
        <f>IFERROR(__xludf.DUMMYFUNCTION("""COMPUTED_VALUE"""),"")</f>
        <v/>
      </c>
      <c r="X9852" s="16" t="str">
        <f>IFERROR(__xludf.DUMMYFUNCTION("""COMPUTED_VALUE"""),"")</f>
        <v/>
      </c>
      <c r="AC9852" s="16" t="str">
        <f>IFERROR(__xludf.DUMMYFUNCTION("""COMPUTED_VALUE"""),"")</f>
        <v/>
      </c>
    </row>
    <row r="9853">
      <c r="A9853" s="16" t="s">
        <v>87</v>
      </c>
      <c r="E9853" s="16" t="str">
        <f>IFERROR(__xludf.DUMMYFUNCTION("""COMPUTED_VALUE"""),"")</f>
        <v/>
      </c>
      <c r="G9853" s="18"/>
      <c r="H9853" s="16" t="s">
        <v>87</v>
      </c>
      <c r="I9853" s="16" t="s">
        <v>87</v>
      </c>
      <c r="J9853" s="19"/>
      <c r="L9853" s="16" t="str">
        <f>IFERROR(__xludf.DUMMYFUNCTION("""COMPUTED_VALUE"""),"")</f>
        <v/>
      </c>
      <c r="M9853" s="16" t="str">
        <f>IFERROR(__xludf.DUMMYFUNCTION("""COMPUTED_VALUE"""),"")</f>
        <v/>
      </c>
      <c r="U9853" s="16" t="s">
        <v>87</v>
      </c>
      <c r="V9853" s="16" t="str">
        <f>IFERROR(__xludf.DUMMYFUNCTION("""COMPUTED_VALUE"""),"")</f>
        <v/>
      </c>
      <c r="W9853" s="16" t="str">
        <f>IFERROR(__xludf.DUMMYFUNCTION("""COMPUTED_VALUE"""),"")</f>
        <v/>
      </c>
      <c r="X9853" s="16" t="str">
        <f>IFERROR(__xludf.DUMMYFUNCTION("""COMPUTED_VALUE"""),"")</f>
        <v/>
      </c>
      <c r="AC9853" s="16" t="str">
        <f>IFERROR(__xludf.DUMMYFUNCTION("""COMPUTED_VALUE"""),"")</f>
        <v/>
      </c>
    </row>
    <row r="9854">
      <c r="A9854" s="16" t="s">
        <v>87</v>
      </c>
      <c r="E9854" s="16" t="str">
        <f>IFERROR(__xludf.DUMMYFUNCTION("""COMPUTED_VALUE"""),"")</f>
        <v/>
      </c>
      <c r="G9854" s="18"/>
      <c r="H9854" s="16" t="s">
        <v>87</v>
      </c>
      <c r="I9854" s="16" t="s">
        <v>87</v>
      </c>
      <c r="J9854" s="19"/>
      <c r="L9854" s="16" t="str">
        <f>IFERROR(__xludf.DUMMYFUNCTION("""COMPUTED_VALUE"""),"")</f>
        <v/>
      </c>
      <c r="M9854" s="16" t="str">
        <f>IFERROR(__xludf.DUMMYFUNCTION("""COMPUTED_VALUE"""),"")</f>
        <v/>
      </c>
      <c r="U9854" s="16" t="s">
        <v>87</v>
      </c>
      <c r="V9854" s="16" t="str">
        <f>IFERROR(__xludf.DUMMYFUNCTION("""COMPUTED_VALUE"""),"")</f>
        <v/>
      </c>
      <c r="W9854" s="16" t="str">
        <f>IFERROR(__xludf.DUMMYFUNCTION("""COMPUTED_VALUE"""),"")</f>
        <v/>
      </c>
      <c r="X9854" s="16" t="str">
        <f>IFERROR(__xludf.DUMMYFUNCTION("""COMPUTED_VALUE"""),"")</f>
        <v/>
      </c>
      <c r="AC9854" s="16" t="str">
        <f>IFERROR(__xludf.DUMMYFUNCTION("""COMPUTED_VALUE"""),"")</f>
        <v/>
      </c>
    </row>
    <row r="9855">
      <c r="A9855" s="16" t="s">
        <v>87</v>
      </c>
      <c r="E9855" s="16" t="str">
        <f>IFERROR(__xludf.DUMMYFUNCTION("""COMPUTED_VALUE"""),"")</f>
        <v/>
      </c>
      <c r="G9855" s="18"/>
      <c r="H9855" s="16" t="s">
        <v>87</v>
      </c>
      <c r="I9855" s="16" t="s">
        <v>87</v>
      </c>
      <c r="J9855" s="19"/>
      <c r="L9855" s="16" t="str">
        <f>IFERROR(__xludf.DUMMYFUNCTION("""COMPUTED_VALUE"""),"")</f>
        <v/>
      </c>
      <c r="M9855" s="16" t="str">
        <f>IFERROR(__xludf.DUMMYFUNCTION("""COMPUTED_VALUE"""),"")</f>
        <v/>
      </c>
      <c r="U9855" s="16" t="s">
        <v>87</v>
      </c>
      <c r="V9855" s="16" t="str">
        <f>IFERROR(__xludf.DUMMYFUNCTION("""COMPUTED_VALUE"""),"")</f>
        <v/>
      </c>
      <c r="W9855" s="16" t="str">
        <f>IFERROR(__xludf.DUMMYFUNCTION("""COMPUTED_VALUE"""),"")</f>
        <v/>
      </c>
      <c r="X9855" s="16" t="str">
        <f>IFERROR(__xludf.DUMMYFUNCTION("""COMPUTED_VALUE"""),"")</f>
        <v/>
      </c>
      <c r="AC9855" s="16" t="str">
        <f>IFERROR(__xludf.DUMMYFUNCTION("""COMPUTED_VALUE"""),"")</f>
        <v/>
      </c>
    </row>
    <row r="9856">
      <c r="A9856" s="16" t="s">
        <v>87</v>
      </c>
      <c r="E9856" s="16" t="str">
        <f>IFERROR(__xludf.DUMMYFUNCTION("""COMPUTED_VALUE"""),"")</f>
        <v/>
      </c>
      <c r="G9856" s="18"/>
      <c r="H9856" s="16" t="s">
        <v>87</v>
      </c>
      <c r="I9856" s="16" t="s">
        <v>87</v>
      </c>
      <c r="J9856" s="19"/>
      <c r="L9856" s="16" t="str">
        <f>IFERROR(__xludf.DUMMYFUNCTION("""COMPUTED_VALUE"""),"")</f>
        <v/>
      </c>
      <c r="M9856" s="16" t="str">
        <f>IFERROR(__xludf.DUMMYFUNCTION("""COMPUTED_VALUE"""),"")</f>
        <v/>
      </c>
      <c r="U9856" s="16" t="s">
        <v>87</v>
      </c>
      <c r="V9856" s="16" t="str">
        <f>IFERROR(__xludf.DUMMYFUNCTION("""COMPUTED_VALUE"""),"")</f>
        <v/>
      </c>
      <c r="W9856" s="16" t="str">
        <f>IFERROR(__xludf.DUMMYFUNCTION("""COMPUTED_VALUE"""),"")</f>
        <v/>
      </c>
      <c r="X9856" s="16" t="str">
        <f>IFERROR(__xludf.DUMMYFUNCTION("""COMPUTED_VALUE"""),"")</f>
        <v/>
      </c>
      <c r="AC9856" s="16" t="str">
        <f>IFERROR(__xludf.DUMMYFUNCTION("""COMPUTED_VALUE"""),"")</f>
        <v/>
      </c>
    </row>
    <row r="9857">
      <c r="A9857" s="16" t="s">
        <v>87</v>
      </c>
      <c r="E9857" s="16" t="str">
        <f>IFERROR(__xludf.DUMMYFUNCTION("""COMPUTED_VALUE"""),"")</f>
        <v/>
      </c>
      <c r="G9857" s="18"/>
      <c r="H9857" s="16" t="s">
        <v>87</v>
      </c>
      <c r="I9857" s="16" t="s">
        <v>87</v>
      </c>
      <c r="J9857" s="19"/>
      <c r="L9857" s="16" t="str">
        <f>IFERROR(__xludf.DUMMYFUNCTION("""COMPUTED_VALUE"""),"")</f>
        <v/>
      </c>
      <c r="M9857" s="16" t="str">
        <f>IFERROR(__xludf.DUMMYFUNCTION("""COMPUTED_VALUE"""),"")</f>
        <v/>
      </c>
      <c r="U9857" s="16" t="s">
        <v>87</v>
      </c>
      <c r="V9857" s="16" t="str">
        <f>IFERROR(__xludf.DUMMYFUNCTION("""COMPUTED_VALUE"""),"")</f>
        <v/>
      </c>
      <c r="W9857" s="16" t="str">
        <f>IFERROR(__xludf.DUMMYFUNCTION("""COMPUTED_VALUE"""),"")</f>
        <v/>
      </c>
      <c r="X9857" s="16" t="str">
        <f>IFERROR(__xludf.DUMMYFUNCTION("""COMPUTED_VALUE"""),"")</f>
        <v/>
      </c>
      <c r="AC9857" s="16" t="str">
        <f>IFERROR(__xludf.DUMMYFUNCTION("""COMPUTED_VALUE"""),"")</f>
        <v/>
      </c>
    </row>
    <row r="9858">
      <c r="A9858" s="16" t="s">
        <v>87</v>
      </c>
      <c r="E9858" s="16" t="str">
        <f>IFERROR(__xludf.DUMMYFUNCTION("""COMPUTED_VALUE"""),"")</f>
        <v/>
      </c>
      <c r="G9858" s="18"/>
      <c r="H9858" s="16" t="s">
        <v>87</v>
      </c>
      <c r="I9858" s="16" t="s">
        <v>87</v>
      </c>
      <c r="J9858" s="19"/>
      <c r="L9858" s="16" t="str">
        <f>IFERROR(__xludf.DUMMYFUNCTION("""COMPUTED_VALUE"""),"")</f>
        <v/>
      </c>
      <c r="M9858" s="16" t="str">
        <f>IFERROR(__xludf.DUMMYFUNCTION("""COMPUTED_VALUE"""),"")</f>
        <v/>
      </c>
      <c r="U9858" s="16" t="s">
        <v>87</v>
      </c>
      <c r="V9858" s="16" t="str">
        <f>IFERROR(__xludf.DUMMYFUNCTION("""COMPUTED_VALUE"""),"")</f>
        <v/>
      </c>
      <c r="W9858" s="16" t="str">
        <f>IFERROR(__xludf.DUMMYFUNCTION("""COMPUTED_VALUE"""),"")</f>
        <v/>
      </c>
      <c r="X9858" s="16" t="str">
        <f>IFERROR(__xludf.DUMMYFUNCTION("""COMPUTED_VALUE"""),"")</f>
        <v/>
      </c>
      <c r="AC9858" s="16" t="str">
        <f>IFERROR(__xludf.DUMMYFUNCTION("""COMPUTED_VALUE"""),"")</f>
        <v/>
      </c>
    </row>
    <row r="9859">
      <c r="A9859" s="16" t="s">
        <v>87</v>
      </c>
      <c r="E9859" s="16" t="str">
        <f>IFERROR(__xludf.DUMMYFUNCTION("""COMPUTED_VALUE"""),"")</f>
        <v/>
      </c>
      <c r="G9859" s="18"/>
      <c r="H9859" s="16" t="s">
        <v>87</v>
      </c>
      <c r="I9859" s="16" t="s">
        <v>87</v>
      </c>
      <c r="J9859" s="19"/>
      <c r="L9859" s="16" t="str">
        <f>IFERROR(__xludf.DUMMYFUNCTION("""COMPUTED_VALUE"""),"")</f>
        <v/>
      </c>
      <c r="M9859" s="16" t="str">
        <f>IFERROR(__xludf.DUMMYFUNCTION("""COMPUTED_VALUE"""),"")</f>
        <v/>
      </c>
      <c r="U9859" s="16" t="s">
        <v>87</v>
      </c>
      <c r="V9859" s="16" t="str">
        <f>IFERROR(__xludf.DUMMYFUNCTION("""COMPUTED_VALUE"""),"")</f>
        <v/>
      </c>
      <c r="W9859" s="16" t="str">
        <f>IFERROR(__xludf.DUMMYFUNCTION("""COMPUTED_VALUE"""),"")</f>
        <v/>
      </c>
      <c r="X9859" s="16" t="str">
        <f>IFERROR(__xludf.DUMMYFUNCTION("""COMPUTED_VALUE"""),"")</f>
        <v/>
      </c>
      <c r="AC9859" s="16" t="str">
        <f>IFERROR(__xludf.DUMMYFUNCTION("""COMPUTED_VALUE"""),"")</f>
        <v/>
      </c>
    </row>
    <row r="9860">
      <c r="A9860" s="16" t="s">
        <v>87</v>
      </c>
      <c r="E9860" s="16" t="str">
        <f>IFERROR(__xludf.DUMMYFUNCTION("""COMPUTED_VALUE"""),"")</f>
        <v/>
      </c>
      <c r="G9860" s="18"/>
      <c r="H9860" s="16" t="s">
        <v>87</v>
      </c>
      <c r="I9860" s="16" t="s">
        <v>87</v>
      </c>
      <c r="J9860" s="19"/>
      <c r="L9860" s="16" t="str">
        <f>IFERROR(__xludf.DUMMYFUNCTION("""COMPUTED_VALUE"""),"")</f>
        <v/>
      </c>
      <c r="M9860" s="16" t="str">
        <f>IFERROR(__xludf.DUMMYFUNCTION("""COMPUTED_VALUE"""),"")</f>
        <v/>
      </c>
      <c r="U9860" s="16" t="s">
        <v>87</v>
      </c>
      <c r="V9860" s="16" t="str">
        <f>IFERROR(__xludf.DUMMYFUNCTION("""COMPUTED_VALUE"""),"")</f>
        <v/>
      </c>
      <c r="W9860" s="16" t="str">
        <f>IFERROR(__xludf.DUMMYFUNCTION("""COMPUTED_VALUE"""),"")</f>
        <v/>
      </c>
      <c r="X9860" s="16" t="str">
        <f>IFERROR(__xludf.DUMMYFUNCTION("""COMPUTED_VALUE"""),"")</f>
        <v/>
      </c>
      <c r="AC9860" s="16" t="str">
        <f>IFERROR(__xludf.DUMMYFUNCTION("""COMPUTED_VALUE"""),"")</f>
        <v/>
      </c>
    </row>
    <row r="9861">
      <c r="A9861" s="16" t="s">
        <v>87</v>
      </c>
      <c r="E9861" s="16" t="str">
        <f>IFERROR(__xludf.DUMMYFUNCTION("""COMPUTED_VALUE"""),"")</f>
        <v/>
      </c>
      <c r="G9861" s="18"/>
      <c r="H9861" s="16" t="s">
        <v>87</v>
      </c>
      <c r="I9861" s="16" t="s">
        <v>87</v>
      </c>
      <c r="J9861" s="19"/>
      <c r="L9861" s="16" t="str">
        <f>IFERROR(__xludf.DUMMYFUNCTION("""COMPUTED_VALUE"""),"")</f>
        <v/>
      </c>
      <c r="M9861" s="16" t="str">
        <f>IFERROR(__xludf.DUMMYFUNCTION("""COMPUTED_VALUE"""),"")</f>
        <v/>
      </c>
      <c r="U9861" s="16" t="s">
        <v>87</v>
      </c>
      <c r="V9861" s="16" t="str">
        <f>IFERROR(__xludf.DUMMYFUNCTION("""COMPUTED_VALUE"""),"")</f>
        <v/>
      </c>
      <c r="W9861" s="16" t="str">
        <f>IFERROR(__xludf.DUMMYFUNCTION("""COMPUTED_VALUE"""),"")</f>
        <v/>
      </c>
      <c r="X9861" s="16" t="str">
        <f>IFERROR(__xludf.DUMMYFUNCTION("""COMPUTED_VALUE"""),"")</f>
        <v/>
      </c>
      <c r="AC9861" s="16" t="str">
        <f>IFERROR(__xludf.DUMMYFUNCTION("""COMPUTED_VALUE"""),"")</f>
        <v/>
      </c>
    </row>
    <row r="9862">
      <c r="A9862" s="16" t="s">
        <v>87</v>
      </c>
      <c r="E9862" s="16" t="str">
        <f>IFERROR(__xludf.DUMMYFUNCTION("""COMPUTED_VALUE"""),"")</f>
        <v/>
      </c>
      <c r="G9862" s="18"/>
      <c r="H9862" s="16" t="s">
        <v>87</v>
      </c>
      <c r="I9862" s="16" t="s">
        <v>87</v>
      </c>
      <c r="J9862" s="19"/>
      <c r="L9862" s="16" t="str">
        <f>IFERROR(__xludf.DUMMYFUNCTION("""COMPUTED_VALUE"""),"")</f>
        <v/>
      </c>
      <c r="M9862" s="16" t="str">
        <f>IFERROR(__xludf.DUMMYFUNCTION("""COMPUTED_VALUE"""),"")</f>
        <v/>
      </c>
      <c r="U9862" s="16" t="s">
        <v>87</v>
      </c>
      <c r="V9862" s="16" t="str">
        <f>IFERROR(__xludf.DUMMYFUNCTION("""COMPUTED_VALUE"""),"")</f>
        <v/>
      </c>
      <c r="W9862" s="16" t="str">
        <f>IFERROR(__xludf.DUMMYFUNCTION("""COMPUTED_VALUE"""),"")</f>
        <v/>
      </c>
      <c r="X9862" s="16" t="str">
        <f>IFERROR(__xludf.DUMMYFUNCTION("""COMPUTED_VALUE"""),"")</f>
        <v/>
      </c>
      <c r="AC9862" s="16" t="str">
        <f>IFERROR(__xludf.DUMMYFUNCTION("""COMPUTED_VALUE"""),"")</f>
        <v/>
      </c>
    </row>
    <row r="9863">
      <c r="A9863" s="16" t="s">
        <v>87</v>
      </c>
      <c r="E9863" s="16" t="str">
        <f>IFERROR(__xludf.DUMMYFUNCTION("""COMPUTED_VALUE"""),"")</f>
        <v/>
      </c>
      <c r="G9863" s="18"/>
      <c r="H9863" s="16" t="s">
        <v>87</v>
      </c>
      <c r="I9863" s="16" t="s">
        <v>87</v>
      </c>
      <c r="J9863" s="19"/>
      <c r="L9863" s="16" t="str">
        <f>IFERROR(__xludf.DUMMYFUNCTION("""COMPUTED_VALUE"""),"")</f>
        <v/>
      </c>
      <c r="M9863" s="16" t="str">
        <f>IFERROR(__xludf.DUMMYFUNCTION("""COMPUTED_VALUE"""),"")</f>
        <v/>
      </c>
      <c r="U9863" s="16" t="s">
        <v>87</v>
      </c>
      <c r="V9863" s="16" t="str">
        <f>IFERROR(__xludf.DUMMYFUNCTION("""COMPUTED_VALUE"""),"")</f>
        <v/>
      </c>
      <c r="W9863" s="16" t="str">
        <f>IFERROR(__xludf.DUMMYFUNCTION("""COMPUTED_VALUE"""),"")</f>
        <v/>
      </c>
      <c r="X9863" s="16" t="str">
        <f>IFERROR(__xludf.DUMMYFUNCTION("""COMPUTED_VALUE"""),"")</f>
        <v/>
      </c>
      <c r="AC9863" s="16" t="str">
        <f>IFERROR(__xludf.DUMMYFUNCTION("""COMPUTED_VALUE"""),"")</f>
        <v/>
      </c>
    </row>
    <row r="9864">
      <c r="A9864" s="16" t="s">
        <v>87</v>
      </c>
      <c r="E9864" s="16" t="str">
        <f>IFERROR(__xludf.DUMMYFUNCTION("""COMPUTED_VALUE"""),"")</f>
        <v/>
      </c>
      <c r="G9864" s="18"/>
      <c r="H9864" s="16" t="s">
        <v>87</v>
      </c>
      <c r="I9864" s="16" t="s">
        <v>87</v>
      </c>
      <c r="J9864" s="19"/>
      <c r="L9864" s="16" t="str">
        <f>IFERROR(__xludf.DUMMYFUNCTION("""COMPUTED_VALUE"""),"")</f>
        <v/>
      </c>
      <c r="M9864" s="16" t="str">
        <f>IFERROR(__xludf.DUMMYFUNCTION("""COMPUTED_VALUE"""),"")</f>
        <v/>
      </c>
      <c r="U9864" s="16" t="s">
        <v>87</v>
      </c>
      <c r="V9864" s="16" t="str">
        <f>IFERROR(__xludf.DUMMYFUNCTION("""COMPUTED_VALUE"""),"")</f>
        <v/>
      </c>
      <c r="W9864" s="16" t="str">
        <f>IFERROR(__xludf.DUMMYFUNCTION("""COMPUTED_VALUE"""),"")</f>
        <v/>
      </c>
      <c r="X9864" s="16" t="str">
        <f>IFERROR(__xludf.DUMMYFUNCTION("""COMPUTED_VALUE"""),"")</f>
        <v/>
      </c>
      <c r="AC9864" s="16" t="str">
        <f>IFERROR(__xludf.DUMMYFUNCTION("""COMPUTED_VALUE"""),"")</f>
        <v/>
      </c>
    </row>
    <row r="9865">
      <c r="A9865" s="16" t="s">
        <v>87</v>
      </c>
      <c r="E9865" s="16" t="str">
        <f>IFERROR(__xludf.DUMMYFUNCTION("""COMPUTED_VALUE"""),"")</f>
        <v/>
      </c>
      <c r="G9865" s="18"/>
      <c r="H9865" s="16" t="s">
        <v>87</v>
      </c>
      <c r="I9865" s="16" t="s">
        <v>87</v>
      </c>
      <c r="J9865" s="19"/>
      <c r="L9865" s="16" t="str">
        <f>IFERROR(__xludf.DUMMYFUNCTION("""COMPUTED_VALUE"""),"")</f>
        <v/>
      </c>
      <c r="M9865" s="16" t="str">
        <f>IFERROR(__xludf.DUMMYFUNCTION("""COMPUTED_VALUE"""),"")</f>
        <v/>
      </c>
      <c r="U9865" s="16" t="s">
        <v>87</v>
      </c>
      <c r="V9865" s="16" t="str">
        <f>IFERROR(__xludf.DUMMYFUNCTION("""COMPUTED_VALUE"""),"")</f>
        <v/>
      </c>
      <c r="W9865" s="16" t="str">
        <f>IFERROR(__xludf.DUMMYFUNCTION("""COMPUTED_VALUE"""),"")</f>
        <v/>
      </c>
      <c r="X9865" s="16" t="str">
        <f>IFERROR(__xludf.DUMMYFUNCTION("""COMPUTED_VALUE"""),"")</f>
        <v/>
      </c>
      <c r="AC9865" s="16" t="str">
        <f>IFERROR(__xludf.DUMMYFUNCTION("""COMPUTED_VALUE"""),"")</f>
        <v/>
      </c>
    </row>
    <row r="9866">
      <c r="A9866" s="16" t="s">
        <v>87</v>
      </c>
      <c r="E9866" s="16" t="str">
        <f>IFERROR(__xludf.DUMMYFUNCTION("""COMPUTED_VALUE"""),"")</f>
        <v/>
      </c>
      <c r="G9866" s="18"/>
      <c r="H9866" s="16" t="s">
        <v>87</v>
      </c>
      <c r="I9866" s="16" t="s">
        <v>87</v>
      </c>
      <c r="J9866" s="19"/>
      <c r="L9866" s="16" t="str">
        <f>IFERROR(__xludf.DUMMYFUNCTION("""COMPUTED_VALUE"""),"")</f>
        <v/>
      </c>
      <c r="M9866" s="16" t="str">
        <f>IFERROR(__xludf.DUMMYFUNCTION("""COMPUTED_VALUE"""),"")</f>
        <v/>
      </c>
      <c r="U9866" s="16" t="s">
        <v>87</v>
      </c>
      <c r="V9866" s="16" t="str">
        <f>IFERROR(__xludf.DUMMYFUNCTION("""COMPUTED_VALUE"""),"")</f>
        <v/>
      </c>
      <c r="W9866" s="16" t="str">
        <f>IFERROR(__xludf.DUMMYFUNCTION("""COMPUTED_VALUE"""),"")</f>
        <v/>
      </c>
      <c r="X9866" s="16" t="str">
        <f>IFERROR(__xludf.DUMMYFUNCTION("""COMPUTED_VALUE"""),"")</f>
        <v/>
      </c>
      <c r="AC9866" s="16" t="str">
        <f>IFERROR(__xludf.DUMMYFUNCTION("""COMPUTED_VALUE"""),"")</f>
        <v/>
      </c>
    </row>
    <row r="9867">
      <c r="A9867" s="16" t="s">
        <v>87</v>
      </c>
      <c r="E9867" s="16" t="str">
        <f>IFERROR(__xludf.DUMMYFUNCTION("""COMPUTED_VALUE"""),"")</f>
        <v/>
      </c>
      <c r="G9867" s="18"/>
      <c r="H9867" s="16" t="s">
        <v>87</v>
      </c>
      <c r="I9867" s="16" t="s">
        <v>87</v>
      </c>
      <c r="J9867" s="19"/>
      <c r="L9867" s="16" t="str">
        <f>IFERROR(__xludf.DUMMYFUNCTION("""COMPUTED_VALUE"""),"")</f>
        <v/>
      </c>
      <c r="M9867" s="16" t="str">
        <f>IFERROR(__xludf.DUMMYFUNCTION("""COMPUTED_VALUE"""),"")</f>
        <v/>
      </c>
      <c r="U9867" s="16" t="s">
        <v>87</v>
      </c>
      <c r="V9867" s="16" t="str">
        <f>IFERROR(__xludf.DUMMYFUNCTION("""COMPUTED_VALUE"""),"")</f>
        <v/>
      </c>
      <c r="W9867" s="16" t="str">
        <f>IFERROR(__xludf.DUMMYFUNCTION("""COMPUTED_VALUE"""),"")</f>
        <v/>
      </c>
      <c r="X9867" s="16" t="str">
        <f>IFERROR(__xludf.DUMMYFUNCTION("""COMPUTED_VALUE"""),"")</f>
        <v/>
      </c>
      <c r="AC9867" s="16" t="str">
        <f>IFERROR(__xludf.DUMMYFUNCTION("""COMPUTED_VALUE"""),"")</f>
        <v/>
      </c>
    </row>
    <row r="9868">
      <c r="A9868" s="16" t="s">
        <v>87</v>
      </c>
      <c r="E9868" s="16" t="str">
        <f>IFERROR(__xludf.DUMMYFUNCTION("""COMPUTED_VALUE"""),"")</f>
        <v/>
      </c>
      <c r="G9868" s="18"/>
      <c r="H9868" s="16" t="s">
        <v>87</v>
      </c>
      <c r="I9868" s="16" t="s">
        <v>87</v>
      </c>
      <c r="J9868" s="19"/>
      <c r="L9868" s="16" t="str">
        <f>IFERROR(__xludf.DUMMYFUNCTION("""COMPUTED_VALUE"""),"")</f>
        <v/>
      </c>
      <c r="M9868" s="16" t="str">
        <f>IFERROR(__xludf.DUMMYFUNCTION("""COMPUTED_VALUE"""),"")</f>
        <v/>
      </c>
      <c r="U9868" s="16" t="s">
        <v>87</v>
      </c>
      <c r="V9868" s="16" t="str">
        <f>IFERROR(__xludf.DUMMYFUNCTION("""COMPUTED_VALUE"""),"")</f>
        <v/>
      </c>
      <c r="W9868" s="16" t="str">
        <f>IFERROR(__xludf.DUMMYFUNCTION("""COMPUTED_VALUE"""),"")</f>
        <v/>
      </c>
      <c r="X9868" s="16" t="str">
        <f>IFERROR(__xludf.DUMMYFUNCTION("""COMPUTED_VALUE"""),"")</f>
        <v/>
      </c>
      <c r="AC9868" s="16" t="str">
        <f>IFERROR(__xludf.DUMMYFUNCTION("""COMPUTED_VALUE"""),"")</f>
        <v/>
      </c>
    </row>
    <row r="9869">
      <c r="A9869" s="16" t="s">
        <v>87</v>
      </c>
      <c r="E9869" s="16" t="str">
        <f>IFERROR(__xludf.DUMMYFUNCTION("""COMPUTED_VALUE"""),"")</f>
        <v/>
      </c>
      <c r="G9869" s="18"/>
      <c r="H9869" s="16" t="s">
        <v>87</v>
      </c>
      <c r="I9869" s="16" t="s">
        <v>87</v>
      </c>
      <c r="J9869" s="19"/>
      <c r="L9869" s="16" t="str">
        <f>IFERROR(__xludf.DUMMYFUNCTION("""COMPUTED_VALUE"""),"")</f>
        <v/>
      </c>
      <c r="M9869" s="16" t="str">
        <f>IFERROR(__xludf.DUMMYFUNCTION("""COMPUTED_VALUE"""),"")</f>
        <v/>
      </c>
      <c r="U9869" s="16" t="s">
        <v>87</v>
      </c>
      <c r="V9869" s="16" t="str">
        <f>IFERROR(__xludf.DUMMYFUNCTION("""COMPUTED_VALUE"""),"")</f>
        <v/>
      </c>
      <c r="W9869" s="16" t="str">
        <f>IFERROR(__xludf.DUMMYFUNCTION("""COMPUTED_VALUE"""),"")</f>
        <v/>
      </c>
      <c r="X9869" s="16" t="str">
        <f>IFERROR(__xludf.DUMMYFUNCTION("""COMPUTED_VALUE"""),"")</f>
        <v/>
      </c>
      <c r="AC9869" s="16" t="str">
        <f>IFERROR(__xludf.DUMMYFUNCTION("""COMPUTED_VALUE"""),"")</f>
        <v/>
      </c>
    </row>
    <row r="9870">
      <c r="A9870" s="16" t="s">
        <v>87</v>
      </c>
      <c r="E9870" s="16" t="str">
        <f>IFERROR(__xludf.DUMMYFUNCTION("""COMPUTED_VALUE"""),"")</f>
        <v/>
      </c>
      <c r="G9870" s="18"/>
      <c r="H9870" s="16" t="s">
        <v>87</v>
      </c>
      <c r="I9870" s="16" t="s">
        <v>87</v>
      </c>
      <c r="J9870" s="19"/>
      <c r="L9870" s="16" t="str">
        <f>IFERROR(__xludf.DUMMYFUNCTION("""COMPUTED_VALUE"""),"")</f>
        <v/>
      </c>
      <c r="M9870" s="16" t="str">
        <f>IFERROR(__xludf.DUMMYFUNCTION("""COMPUTED_VALUE"""),"")</f>
        <v/>
      </c>
      <c r="U9870" s="16" t="s">
        <v>87</v>
      </c>
      <c r="V9870" s="16" t="str">
        <f>IFERROR(__xludf.DUMMYFUNCTION("""COMPUTED_VALUE"""),"")</f>
        <v/>
      </c>
      <c r="W9870" s="16" t="str">
        <f>IFERROR(__xludf.DUMMYFUNCTION("""COMPUTED_VALUE"""),"")</f>
        <v/>
      </c>
      <c r="X9870" s="16" t="str">
        <f>IFERROR(__xludf.DUMMYFUNCTION("""COMPUTED_VALUE"""),"")</f>
        <v/>
      </c>
      <c r="AC9870" s="16" t="str">
        <f>IFERROR(__xludf.DUMMYFUNCTION("""COMPUTED_VALUE"""),"")</f>
        <v/>
      </c>
    </row>
    <row r="9871">
      <c r="A9871" s="16" t="s">
        <v>87</v>
      </c>
      <c r="E9871" s="16" t="str">
        <f>IFERROR(__xludf.DUMMYFUNCTION("""COMPUTED_VALUE"""),"")</f>
        <v/>
      </c>
      <c r="G9871" s="18"/>
      <c r="H9871" s="16" t="s">
        <v>87</v>
      </c>
      <c r="I9871" s="16" t="s">
        <v>87</v>
      </c>
      <c r="J9871" s="19"/>
      <c r="L9871" s="16" t="str">
        <f>IFERROR(__xludf.DUMMYFUNCTION("""COMPUTED_VALUE"""),"")</f>
        <v/>
      </c>
      <c r="M9871" s="16" t="str">
        <f>IFERROR(__xludf.DUMMYFUNCTION("""COMPUTED_VALUE"""),"")</f>
        <v/>
      </c>
      <c r="U9871" s="16" t="s">
        <v>87</v>
      </c>
      <c r="V9871" s="16" t="str">
        <f>IFERROR(__xludf.DUMMYFUNCTION("""COMPUTED_VALUE"""),"")</f>
        <v/>
      </c>
      <c r="W9871" s="16" t="str">
        <f>IFERROR(__xludf.DUMMYFUNCTION("""COMPUTED_VALUE"""),"")</f>
        <v/>
      </c>
      <c r="X9871" s="16" t="str">
        <f>IFERROR(__xludf.DUMMYFUNCTION("""COMPUTED_VALUE"""),"")</f>
        <v/>
      </c>
      <c r="AC9871" s="16" t="str">
        <f>IFERROR(__xludf.DUMMYFUNCTION("""COMPUTED_VALUE"""),"")</f>
        <v/>
      </c>
    </row>
    <row r="9872">
      <c r="A9872" s="16" t="s">
        <v>87</v>
      </c>
      <c r="E9872" s="16" t="str">
        <f>IFERROR(__xludf.DUMMYFUNCTION("""COMPUTED_VALUE"""),"")</f>
        <v/>
      </c>
      <c r="G9872" s="18"/>
      <c r="H9872" s="16" t="s">
        <v>87</v>
      </c>
      <c r="I9872" s="16" t="s">
        <v>87</v>
      </c>
      <c r="J9872" s="19"/>
      <c r="L9872" s="16" t="str">
        <f>IFERROR(__xludf.DUMMYFUNCTION("""COMPUTED_VALUE"""),"")</f>
        <v/>
      </c>
      <c r="M9872" s="16" t="str">
        <f>IFERROR(__xludf.DUMMYFUNCTION("""COMPUTED_VALUE"""),"")</f>
        <v/>
      </c>
      <c r="U9872" s="16" t="s">
        <v>87</v>
      </c>
      <c r="V9872" s="16" t="str">
        <f>IFERROR(__xludf.DUMMYFUNCTION("""COMPUTED_VALUE"""),"")</f>
        <v/>
      </c>
      <c r="W9872" s="16" t="str">
        <f>IFERROR(__xludf.DUMMYFUNCTION("""COMPUTED_VALUE"""),"")</f>
        <v/>
      </c>
      <c r="X9872" s="16" t="str">
        <f>IFERROR(__xludf.DUMMYFUNCTION("""COMPUTED_VALUE"""),"")</f>
        <v/>
      </c>
      <c r="AC9872" s="16" t="str">
        <f>IFERROR(__xludf.DUMMYFUNCTION("""COMPUTED_VALUE"""),"")</f>
        <v/>
      </c>
    </row>
    <row r="9873">
      <c r="A9873" s="16" t="s">
        <v>87</v>
      </c>
      <c r="E9873" s="16" t="str">
        <f>IFERROR(__xludf.DUMMYFUNCTION("""COMPUTED_VALUE"""),"")</f>
        <v/>
      </c>
      <c r="G9873" s="18"/>
      <c r="H9873" s="16" t="s">
        <v>87</v>
      </c>
      <c r="I9873" s="16" t="s">
        <v>87</v>
      </c>
      <c r="J9873" s="19"/>
      <c r="L9873" s="16" t="str">
        <f>IFERROR(__xludf.DUMMYFUNCTION("""COMPUTED_VALUE"""),"")</f>
        <v/>
      </c>
      <c r="M9873" s="16" t="str">
        <f>IFERROR(__xludf.DUMMYFUNCTION("""COMPUTED_VALUE"""),"")</f>
        <v/>
      </c>
      <c r="U9873" s="16" t="s">
        <v>87</v>
      </c>
      <c r="V9873" s="16" t="str">
        <f>IFERROR(__xludf.DUMMYFUNCTION("""COMPUTED_VALUE"""),"")</f>
        <v/>
      </c>
      <c r="W9873" s="16" t="str">
        <f>IFERROR(__xludf.DUMMYFUNCTION("""COMPUTED_VALUE"""),"")</f>
        <v/>
      </c>
      <c r="X9873" s="16" t="str">
        <f>IFERROR(__xludf.DUMMYFUNCTION("""COMPUTED_VALUE"""),"")</f>
        <v/>
      </c>
      <c r="AC9873" s="16" t="str">
        <f>IFERROR(__xludf.DUMMYFUNCTION("""COMPUTED_VALUE"""),"")</f>
        <v/>
      </c>
    </row>
    <row r="9874">
      <c r="A9874" s="16" t="s">
        <v>87</v>
      </c>
      <c r="E9874" s="16" t="str">
        <f>IFERROR(__xludf.DUMMYFUNCTION("""COMPUTED_VALUE"""),"")</f>
        <v/>
      </c>
      <c r="G9874" s="18"/>
      <c r="H9874" s="16" t="s">
        <v>87</v>
      </c>
      <c r="I9874" s="16" t="s">
        <v>87</v>
      </c>
      <c r="J9874" s="19"/>
      <c r="L9874" s="16" t="str">
        <f>IFERROR(__xludf.DUMMYFUNCTION("""COMPUTED_VALUE"""),"")</f>
        <v/>
      </c>
      <c r="M9874" s="16" t="str">
        <f>IFERROR(__xludf.DUMMYFUNCTION("""COMPUTED_VALUE"""),"")</f>
        <v/>
      </c>
      <c r="U9874" s="16" t="s">
        <v>87</v>
      </c>
      <c r="V9874" s="16" t="str">
        <f>IFERROR(__xludf.DUMMYFUNCTION("""COMPUTED_VALUE"""),"")</f>
        <v/>
      </c>
      <c r="W9874" s="16" t="str">
        <f>IFERROR(__xludf.DUMMYFUNCTION("""COMPUTED_VALUE"""),"")</f>
        <v/>
      </c>
      <c r="X9874" s="16" t="str">
        <f>IFERROR(__xludf.DUMMYFUNCTION("""COMPUTED_VALUE"""),"")</f>
        <v/>
      </c>
      <c r="AC9874" s="16" t="str">
        <f>IFERROR(__xludf.DUMMYFUNCTION("""COMPUTED_VALUE"""),"")</f>
        <v/>
      </c>
    </row>
    <row r="9875">
      <c r="A9875" s="16" t="s">
        <v>87</v>
      </c>
      <c r="E9875" s="16" t="str">
        <f>IFERROR(__xludf.DUMMYFUNCTION("""COMPUTED_VALUE"""),"")</f>
        <v/>
      </c>
      <c r="G9875" s="18"/>
      <c r="H9875" s="16" t="s">
        <v>87</v>
      </c>
      <c r="I9875" s="16" t="s">
        <v>87</v>
      </c>
      <c r="J9875" s="19"/>
      <c r="L9875" s="16" t="str">
        <f>IFERROR(__xludf.DUMMYFUNCTION("""COMPUTED_VALUE"""),"")</f>
        <v/>
      </c>
      <c r="M9875" s="16" t="str">
        <f>IFERROR(__xludf.DUMMYFUNCTION("""COMPUTED_VALUE"""),"")</f>
        <v/>
      </c>
      <c r="U9875" s="16" t="s">
        <v>87</v>
      </c>
      <c r="V9875" s="16" t="str">
        <f>IFERROR(__xludf.DUMMYFUNCTION("""COMPUTED_VALUE"""),"")</f>
        <v/>
      </c>
      <c r="W9875" s="16" t="str">
        <f>IFERROR(__xludf.DUMMYFUNCTION("""COMPUTED_VALUE"""),"")</f>
        <v/>
      </c>
      <c r="X9875" s="16" t="str">
        <f>IFERROR(__xludf.DUMMYFUNCTION("""COMPUTED_VALUE"""),"")</f>
        <v/>
      </c>
      <c r="AC9875" s="16" t="str">
        <f>IFERROR(__xludf.DUMMYFUNCTION("""COMPUTED_VALUE"""),"")</f>
        <v/>
      </c>
    </row>
    <row r="9876">
      <c r="A9876" s="16" t="s">
        <v>87</v>
      </c>
      <c r="E9876" s="16" t="str">
        <f>IFERROR(__xludf.DUMMYFUNCTION("""COMPUTED_VALUE"""),"")</f>
        <v/>
      </c>
      <c r="G9876" s="18"/>
      <c r="H9876" s="16" t="s">
        <v>87</v>
      </c>
      <c r="I9876" s="16" t="s">
        <v>87</v>
      </c>
      <c r="J9876" s="19"/>
      <c r="L9876" s="16" t="str">
        <f>IFERROR(__xludf.DUMMYFUNCTION("""COMPUTED_VALUE"""),"")</f>
        <v/>
      </c>
      <c r="M9876" s="16" t="str">
        <f>IFERROR(__xludf.DUMMYFUNCTION("""COMPUTED_VALUE"""),"")</f>
        <v/>
      </c>
      <c r="U9876" s="16" t="s">
        <v>87</v>
      </c>
      <c r="V9876" s="16" t="str">
        <f>IFERROR(__xludf.DUMMYFUNCTION("""COMPUTED_VALUE"""),"")</f>
        <v/>
      </c>
      <c r="W9876" s="16" t="str">
        <f>IFERROR(__xludf.DUMMYFUNCTION("""COMPUTED_VALUE"""),"")</f>
        <v/>
      </c>
      <c r="X9876" s="16" t="str">
        <f>IFERROR(__xludf.DUMMYFUNCTION("""COMPUTED_VALUE"""),"")</f>
        <v/>
      </c>
      <c r="AC9876" s="16" t="str">
        <f>IFERROR(__xludf.DUMMYFUNCTION("""COMPUTED_VALUE"""),"")</f>
        <v/>
      </c>
    </row>
    <row r="9877">
      <c r="A9877" s="16" t="s">
        <v>87</v>
      </c>
      <c r="E9877" s="16" t="str">
        <f>IFERROR(__xludf.DUMMYFUNCTION("""COMPUTED_VALUE"""),"")</f>
        <v/>
      </c>
      <c r="G9877" s="18"/>
      <c r="H9877" s="16" t="s">
        <v>87</v>
      </c>
      <c r="I9877" s="16" t="s">
        <v>87</v>
      </c>
      <c r="J9877" s="19"/>
      <c r="L9877" s="16" t="str">
        <f>IFERROR(__xludf.DUMMYFUNCTION("""COMPUTED_VALUE"""),"")</f>
        <v/>
      </c>
      <c r="M9877" s="16" t="str">
        <f>IFERROR(__xludf.DUMMYFUNCTION("""COMPUTED_VALUE"""),"")</f>
        <v/>
      </c>
      <c r="U9877" s="16" t="s">
        <v>87</v>
      </c>
      <c r="V9877" s="16" t="str">
        <f>IFERROR(__xludf.DUMMYFUNCTION("""COMPUTED_VALUE"""),"")</f>
        <v/>
      </c>
      <c r="W9877" s="16" t="str">
        <f>IFERROR(__xludf.DUMMYFUNCTION("""COMPUTED_VALUE"""),"")</f>
        <v/>
      </c>
      <c r="X9877" s="16" t="str">
        <f>IFERROR(__xludf.DUMMYFUNCTION("""COMPUTED_VALUE"""),"")</f>
        <v/>
      </c>
      <c r="AC9877" s="16" t="str">
        <f>IFERROR(__xludf.DUMMYFUNCTION("""COMPUTED_VALUE"""),"")</f>
        <v/>
      </c>
    </row>
    <row r="9878">
      <c r="A9878" s="16" t="s">
        <v>87</v>
      </c>
      <c r="E9878" s="16" t="str">
        <f>IFERROR(__xludf.DUMMYFUNCTION("""COMPUTED_VALUE"""),"")</f>
        <v/>
      </c>
      <c r="G9878" s="18"/>
      <c r="H9878" s="16" t="s">
        <v>87</v>
      </c>
      <c r="I9878" s="16" t="s">
        <v>87</v>
      </c>
      <c r="J9878" s="19"/>
      <c r="L9878" s="16" t="str">
        <f>IFERROR(__xludf.DUMMYFUNCTION("""COMPUTED_VALUE"""),"")</f>
        <v/>
      </c>
      <c r="M9878" s="16" t="str">
        <f>IFERROR(__xludf.DUMMYFUNCTION("""COMPUTED_VALUE"""),"")</f>
        <v/>
      </c>
      <c r="U9878" s="16" t="s">
        <v>87</v>
      </c>
      <c r="V9878" s="16" t="str">
        <f>IFERROR(__xludf.DUMMYFUNCTION("""COMPUTED_VALUE"""),"")</f>
        <v/>
      </c>
      <c r="W9878" s="16" t="str">
        <f>IFERROR(__xludf.DUMMYFUNCTION("""COMPUTED_VALUE"""),"")</f>
        <v/>
      </c>
      <c r="X9878" s="16" t="str">
        <f>IFERROR(__xludf.DUMMYFUNCTION("""COMPUTED_VALUE"""),"")</f>
        <v/>
      </c>
      <c r="AC9878" s="16" t="str">
        <f>IFERROR(__xludf.DUMMYFUNCTION("""COMPUTED_VALUE"""),"")</f>
        <v/>
      </c>
    </row>
    <row r="9879">
      <c r="A9879" s="16" t="s">
        <v>87</v>
      </c>
      <c r="E9879" s="16" t="str">
        <f>IFERROR(__xludf.DUMMYFUNCTION("""COMPUTED_VALUE"""),"")</f>
        <v/>
      </c>
      <c r="G9879" s="18"/>
      <c r="H9879" s="16" t="s">
        <v>87</v>
      </c>
      <c r="I9879" s="16" t="s">
        <v>87</v>
      </c>
      <c r="J9879" s="19"/>
      <c r="L9879" s="16" t="str">
        <f>IFERROR(__xludf.DUMMYFUNCTION("""COMPUTED_VALUE"""),"")</f>
        <v/>
      </c>
      <c r="M9879" s="16" t="str">
        <f>IFERROR(__xludf.DUMMYFUNCTION("""COMPUTED_VALUE"""),"")</f>
        <v/>
      </c>
      <c r="U9879" s="16" t="s">
        <v>87</v>
      </c>
      <c r="V9879" s="16" t="str">
        <f>IFERROR(__xludf.DUMMYFUNCTION("""COMPUTED_VALUE"""),"")</f>
        <v/>
      </c>
      <c r="W9879" s="16" t="str">
        <f>IFERROR(__xludf.DUMMYFUNCTION("""COMPUTED_VALUE"""),"")</f>
        <v/>
      </c>
      <c r="X9879" s="16" t="str">
        <f>IFERROR(__xludf.DUMMYFUNCTION("""COMPUTED_VALUE"""),"")</f>
        <v/>
      </c>
      <c r="AC9879" s="16" t="str">
        <f>IFERROR(__xludf.DUMMYFUNCTION("""COMPUTED_VALUE"""),"")</f>
        <v/>
      </c>
    </row>
    <row r="9880">
      <c r="A9880" s="16" t="s">
        <v>87</v>
      </c>
      <c r="E9880" s="16" t="str">
        <f>IFERROR(__xludf.DUMMYFUNCTION("""COMPUTED_VALUE"""),"")</f>
        <v/>
      </c>
      <c r="G9880" s="18"/>
      <c r="H9880" s="16" t="s">
        <v>87</v>
      </c>
      <c r="I9880" s="16" t="s">
        <v>87</v>
      </c>
      <c r="J9880" s="19"/>
      <c r="L9880" s="16" t="str">
        <f>IFERROR(__xludf.DUMMYFUNCTION("""COMPUTED_VALUE"""),"")</f>
        <v/>
      </c>
      <c r="M9880" s="16" t="str">
        <f>IFERROR(__xludf.DUMMYFUNCTION("""COMPUTED_VALUE"""),"")</f>
        <v/>
      </c>
      <c r="U9880" s="16" t="s">
        <v>87</v>
      </c>
      <c r="V9880" s="16" t="str">
        <f>IFERROR(__xludf.DUMMYFUNCTION("""COMPUTED_VALUE"""),"")</f>
        <v/>
      </c>
      <c r="W9880" s="16" t="str">
        <f>IFERROR(__xludf.DUMMYFUNCTION("""COMPUTED_VALUE"""),"")</f>
        <v/>
      </c>
      <c r="X9880" s="16" t="str">
        <f>IFERROR(__xludf.DUMMYFUNCTION("""COMPUTED_VALUE"""),"")</f>
        <v/>
      </c>
      <c r="AC9880" s="16" t="str">
        <f>IFERROR(__xludf.DUMMYFUNCTION("""COMPUTED_VALUE"""),"")</f>
        <v/>
      </c>
    </row>
    <row r="9881">
      <c r="A9881" s="16" t="s">
        <v>87</v>
      </c>
      <c r="E9881" s="16" t="str">
        <f>IFERROR(__xludf.DUMMYFUNCTION("""COMPUTED_VALUE"""),"")</f>
        <v/>
      </c>
      <c r="G9881" s="18"/>
      <c r="H9881" s="16" t="s">
        <v>87</v>
      </c>
      <c r="I9881" s="16" t="s">
        <v>87</v>
      </c>
      <c r="J9881" s="19"/>
      <c r="L9881" s="16" t="str">
        <f>IFERROR(__xludf.DUMMYFUNCTION("""COMPUTED_VALUE"""),"")</f>
        <v/>
      </c>
      <c r="M9881" s="16" t="str">
        <f>IFERROR(__xludf.DUMMYFUNCTION("""COMPUTED_VALUE"""),"")</f>
        <v/>
      </c>
      <c r="U9881" s="16" t="s">
        <v>87</v>
      </c>
      <c r="V9881" s="16" t="str">
        <f>IFERROR(__xludf.DUMMYFUNCTION("""COMPUTED_VALUE"""),"")</f>
        <v/>
      </c>
      <c r="W9881" s="16" t="str">
        <f>IFERROR(__xludf.DUMMYFUNCTION("""COMPUTED_VALUE"""),"")</f>
        <v/>
      </c>
      <c r="X9881" s="16" t="str">
        <f>IFERROR(__xludf.DUMMYFUNCTION("""COMPUTED_VALUE"""),"")</f>
        <v/>
      </c>
      <c r="AC9881" s="16" t="str">
        <f>IFERROR(__xludf.DUMMYFUNCTION("""COMPUTED_VALUE"""),"")</f>
        <v/>
      </c>
    </row>
    <row r="9882">
      <c r="A9882" s="16" t="s">
        <v>87</v>
      </c>
      <c r="E9882" s="16" t="str">
        <f>IFERROR(__xludf.DUMMYFUNCTION("""COMPUTED_VALUE"""),"")</f>
        <v/>
      </c>
      <c r="G9882" s="18"/>
      <c r="H9882" s="16" t="s">
        <v>87</v>
      </c>
      <c r="I9882" s="16" t="s">
        <v>87</v>
      </c>
      <c r="J9882" s="19"/>
      <c r="L9882" s="16" t="str">
        <f>IFERROR(__xludf.DUMMYFUNCTION("""COMPUTED_VALUE"""),"")</f>
        <v/>
      </c>
      <c r="M9882" s="16" t="str">
        <f>IFERROR(__xludf.DUMMYFUNCTION("""COMPUTED_VALUE"""),"")</f>
        <v/>
      </c>
      <c r="U9882" s="16" t="s">
        <v>87</v>
      </c>
      <c r="V9882" s="16" t="str">
        <f>IFERROR(__xludf.DUMMYFUNCTION("""COMPUTED_VALUE"""),"")</f>
        <v/>
      </c>
      <c r="W9882" s="16" t="str">
        <f>IFERROR(__xludf.DUMMYFUNCTION("""COMPUTED_VALUE"""),"")</f>
        <v/>
      </c>
      <c r="X9882" s="16" t="str">
        <f>IFERROR(__xludf.DUMMYFUNCTION("""COMPUTED_VALUE"""),"")</f>
        <v/>
      </c>
      <c r="AC9882" s="16" t="str">
        <f>IFERROR(__xludf.DUMMYFUNCTION("""COMPUTED_VALUE"""),"")</f>
        <v/>
      </c>
    </row>
    <row r="9883">
      <c r="A9883" s="16" t="s">
        <v>87</v>
      </c>
      <c r="E9883" s="16" t="str">
        <f>IFERROR(__xludf.DUMMYFUNCTION("""COMPUTED_VALUE"""),"")</f>
        <v/>
      </c>
      <c r="G9883" s="18"/>
      <c r="H9883" s="16" t="s">
        <v>87</v>
      </c>
      <c r="I9883" s="16" t="s">
        <v>87</v>
      </c>
      <c r="J9883" s="19"/>
      <c r="L9883" s="16" t="str">
        <f>IFERROR(__xludf.DUMMYFUNCTION("""COMPUTED_VALUE"""),"")</f>
        <v/>
      </c>
      <c r="M9883" s="16" t="str">
        <f>IFERROR(__xludf.DUMMYFUNCTION("""COMPUTED_VALUE"""),"")</f>
        <v/>
      </c>
      <c r="U9883" s="16" t="s">
        <v>87</v>
      </c>
      <c r="V9883" s="16" t="str">
        <f>IFERROR(__xludf.DUMMYFUNCTION("""COMPUTED_VALUE"""),"")</f>
        <v/>
      </c>
      <c r="W9883" s="16" t="str">
        <f>IFERROR(__xludf.DUMMYFUNCTION("""COMPUTED_VALUE"""),"")</f>
        <v/>
      </c>
      <c r="X9883" s="16" t="str">
        <f>IFERROR(__xludf.DUMMYFUNCTION("""COMPUTED_VALUE"""),"")</f>
        <v/>
      </c>
      <c r="AC9883" s="16" t="str">
        <f>IFERROR(__xludf.DUMMYFUNCTION("""COMPUTED_VALUE"""),"")</f>
        <v/>
      </c>
    </row>
    <row r="9884">
      <c r="A9884" s="16" t="s">
        <v>87</v>
      </c>
      <c r="E9884" s="16" t="str">
        <f>IFERROR(__xludf.DUMMYFUNCTION("""COMPUTED_VALUE"""),"")</f>
        <v/>
      </c>
      <c r="G9884" s="18"/>
      <c r="H9884" s="16" t="s">
        <v>87</v>
      </c>
      <c r="I9884" s="16" t="s">
        <v>87</v>
      </c>
      <c r="J9884" s="19"/>
      <c r="L9884" s="16" t="str">
        <f>IFERROR(__xludf.DUMMYFUNCTION("""COMPUTED_VALUE"""),"")</f>
        <v/>
      </c>
      <c r="M9884" s="16" t="str">
        <f>IFERROR(__xludf.DUMMYFUNCTION("""COMPUTED_VALUE"""),"")</f>
        <v/>
      </c>
      <c r="U9884" s="16" t="s">
        <v>87</v>
      </c>
      <c r="V9884" s="16" t="str">
        <f>IFERROR(__xludf.DUMMYFUNCTION("""COMPUTED_VALUE"""),"")</f>
        <v/>
      </c>
      <c r="W9884" s="16" t="str">
        <f>IFERROR(__xludf.DUMMYFUNCTION("""COMPUTED_VALUE"""),"")</f>
        <v/>
      </c>
      <c r="X9884" s="16" t="str">
        <f>IFERROR(__xludf.DUMMYFUNCTION("""COMPUTED_VALUE"""),"")</f>
        <v/>
      </c>
      <c r="AC9884" s="16" t="str">
        <f>IFERROR(__xludf.DUMMYFUNCTION("""COMPUTED_VALUE"""),"")</f>
        <v/>
      </c>
    </row>
    <row r="9885">
      <c r="A9885" s="16" t="s">
        <v>87</v>
      </c>
      <c r="E9885" s="16" t="str">
        <f>IFERROR(__xludf.DUMMYFUNCTION("""COMPUTED_VALUE"""),"")</f>
        <v/>
      </c>
      <c r="G9885" s="18"/>
      <c r="H9885" s="16" t="s">
        <v>87</v>
      </c>
      <c r="I9885" s="16" t="s">
        <v>87</v>
      </c>
      <c r="J9885" s="19"/>
      <c r="L9885" s="16" t="str">
        <f>IFERROR(__xludf.DUMMYFUNCTION("""COMPUTED_VALUE"""),"")</f>
        <v/>
      </c>
      <c r="M9885" s="16" t="str">
        <f>IFERROR(__xludf.DUMMYFUNCTION("""COMPUTED_VALUE"""),"")</f>
        <v/>
      </c>
      <c r="U9885" s="16" t="s">
        <v>87</v>
      </c>
      <c r="V9885" s="16" t="str">
        <f>IFERROR(__xludf.DUMMYFUNCTION("""COMPUTED_VALUE"""),"")</f>
        <v/>
      </c>
      <c r="W9885" s="16" t="str">
        <f>IFERROR(__xludf.DUMMYFUNCTION("""COMPUTED_VALUE"""),"")</f>
        <v/>
      </c>
      <c r="X9885" s="16" t="str">
        <f>IFERROR(__xludf.DUMMYFUNCTION("""COMPUTED_VALUE"""),"")</f>
        <v/>
      </c>
      <c r="AC9885" s="16" t="str">
        <f>IFERROR(__xludf.DUMMYFUNCTION("""COMPUTED_VALUE"""),"")</f>
        <v/>
      </c>
    </row>
    <row r="9886">
      <c r="A9886" s="16" t="s">
        <v>87</v>
      </c>
      <c r="E9886" s="16" t="str">
        <f>IFERROR(__xludf.DUMMYFUNCTION("""COMPUTED_VALUE"""),"")</f>
        <v/>
      </c>
      <c r="G9886" s="18"/>
      <c r="H9886" s="16" t="s">
        <v>87</v>
      </c>
      <c r="I9886" s="16" t="s">
        <v>87</v>
      </c>
      <c r="J9886" s="19"/>
      <c r="L9886" s="16" t="str">
        <f>IFERROR(__xludf.DUMMYFUNCTION("""COMPUTED_VALUE"""),"")</f>
        <v/>
      </c>
      <c r="M9886" s="16" t="str">
        <f>IFERROR(__xludf.DUMMYFUNCTION("""COMPUTED_VALUE"""),"")</f>
        <v/>
      </c>
      <c r="U9886" s="16" t="s">
        <v>87</v>
      </c>
      <c r="V9886" s="16" t="str">
        <f>IFERROR(__xludf.DUMMYFUNCTION("""COMPUTED_VALUE"""),"")</f>
        <v/>
      </c>
      <c r="W9886" s="16" t="str">
        <f>IFERROR(__xludf.DUMMYFUNCTION("""COMPUTED_VALUE"""),"")</f>
        <v/>
      </c>
      <c r="X9886" s="16" t="str">
        <f>IFERROR(__xludf.DUMMYFUNCTION("""COMPUTED_VALUE"""),"")</f>
        <v/>
      </c>
      <c r="AC9886" s="16" t="str">
        <f>IFERROR(__xludf.DUMMYFUNCTION("""COMPUTED_VALUE"""),"")</f>
        <v/>
      </c>
    </row>
    <row r="9887">
      <c r="A9887" s="16" t="s">
        <v>87</v>
      </c>
      <c r="E9887" s="16" t="str">
        <f>IFERROR(__xludf.DUMMYFUNCTION("""COMPUTED_VALUE"""),"")</f>
        <v/>
      </c>
      <c r="G9887" s="18"/>
      <c r="H9887" s="16" t="s">
        <v>87</v>
      </c>
      <c r="I9887" s="16" t="s">
        <v>87</v>
      </c>
      <c r="J9887" s="19"/>
      <c r="L9887" s="16" t="str">
        <f>IFERROR(__xludf.DUMMYFUNCTION("""COMPUTED_VALUE"""),"")</f>
        <v/>
      </c>
      <c r="M9887" s="16" t="str">
        <f>IFERROR(__xludf.DUMMYFUNCTION("""COMPUTED_VALUE"""),"")</f>
        <v/>
      </c>
      <c r="U9887" s="16" t="s">
        <v>87</v>
      </c>
      <c r="V9887" s="16" t="str">
        <f>IFERROR(__xludf.DUMMYFUNCTION("""COMPUTED_VALUE"""),"")</f>
        <v/>
      </c>
      <c r="W9887" s="16" t="str">
        <f>IFERROR(__xludf.DUMMYFUNCTION("""COMPUTED_VALUE"""),"")</f>
        <v/>
      </c>
      <c r="X9887" s="16" t="str">
        <f>IFERROR(__xludf.DUMMYFUNCTION("""COMPUTED_VALUE"""),"")</f>
        <v/>
      </c>
      <c r="AC9887" s="16" t="str">
        <f>IFERROR(__xludf.DUMMYFUNCTION("""COMPUTED_VALUE"""),"")</f>
        <v/>
      </c>
    </row>
    <row r="9888">
      <c r="A9888" s="16" t="s">
        <v>87</v>
      </c>
      <c r="E9888" s="16" t="str">
        <f>IFERROR(__xludf.DUMMYFUNCTION("""COMPUTED_VALUE"""),"")</f>
        <v/>
      </c>
      <c r="G9888" s="18"/>
      <c r="H9888" s="16" t="s">
        <v>87</v>
      </c>
      <c r="I9888" s="16" t="s">
        <v>87</v>
      </c>
      <c r="J9888" s="19"/>
      <c r="L9888" s="16" t="str">
        <f>IFERROR(__xludf.DUMMYFUNCTION("""COMPUTED_VALUE"""),"")</f>
        <v/>
      </c>
      <c r="M9888" s="16" t="str">
        <f>IFERROR(__xludf.DUMMYFUNCTION("""COMPUTED_VALUE"""),"")</f>
        <v/>
      </c>
      <c r="U9888" s="16" t="s">
        <v>87</v>
      </c>
      <c r="V9888" s="16" t="str">
        <f>IFERROR(__xludf.DUMMYFUNCTION("""COMPUTED_VALUE"""),"")</f>
        <v/>
      </c>
      <c r="W9888" s="16" t="str">
        <f>IFERROR(__xludf.DUMMYFUNCTION("""COMPUTED_VALUE"""),"")</f>
        <v/>
      </c>
      <c r="X9888" s="16" t="str">
        <f>IFERROR(__xludf.DUMMYFUNCTION("""COMPUTED_VALUE"""),"")</f>
        <v/>
      </c>
      <c r="AC9888" s="16" t="str">
        <f>IFERROR(__xludf.DUMMYFUNCTION("""COMPUTED_VALUE"""),"")</f>
        <v/>
      </c>
    </row>
    <row r="9889">
      <c r="A9889" s="16" t="s">
        <v>87</v>
      </c>
      <c r="E9889" s="16" t="str">
        <f>IFERROR(__xludf.DUMMYFUNCTION("""COMPUTED_VALUE"""),"")</f>
        <v/>
      </c>
      <c r="G9889" s="18"/>
      <c r="H9889" s="16" t="s">
        <v>87</v>
      </c>
      <c r="I9889" s="16" t="s">
        <v>87</v>
      </c>
      <c r="J9889" s="19"/>
      <c r="L9889" s="16" t="str">
        <f>IFERROR(__xludf.DUMMYFUNCTION("""COMPUTED_VALUE"""),"")</f>
        <v/>
      </c>
      <c r="M9889" s="16" t="str">
        <f>IFERROR(__xludf.DUMMYFUNCTION("""COMPUTED_VALUE"""),"")</f>
        <v/>
      </c>
      <c r="U9889" s="16" t="s">
        <v>87</v>
      </c>
      <c r="V9889" s="16" t="str">
        <f>IFERROR(__xludf.DUMMYFUNCTION("""COMPUTED_VALUE"""),"")</f>
        <v/>
      </c>
      <c r="W9889" s="16" t="str">
        <f>IFERROR(__xludf.DUMMYFUNCTION("""COMPUTED_VALUE"""),"")</f>
        <v/>
      </c>
      <c r="X9889" s="16" t="str">
        <f>IFERROR(__xludf.DUMMYFUNCTION("""COMPUTED_VALUE"""),"")</f>
        <v/>
      </c>
      <c r="AC9889" s="16" t="str">
        <f>IFERROR(__xludf.DUMMYFUNCTION("""COMPUTED_VALUE"""),"")</f>
        <v/>
      </c>
    </row>
    <row r="9890">
      <c r="A9890" s="16" t="s">
        <v>87</v>
      </c>
      <c r="E9890" s="16" t="str">
        <f>IFERROR(__xludf.DUMMYFUNCTION("""COMPUTED_VALUE"""),"")</f>
        <v/>
      </c>
      <c r="G9890" s="18"/>
      <c r="H9890" s="16" t="s">
        <v>87</v>
      </c>
      <c r="I9890" s="16" t="s">
        <v>87</v>
      </c>
      <c r="J9890" s="19"/>
      <c r="L9890" s="16" t="str">
        <f>IFERROR(__xludf.DUMMYFUNCTION("""COMPUTED_VALUE"""),"")</f>
        <v/>
      </c>
      <c r="M9890" s="16" t="str">
        <f>IFERROR(__xludf.DUMMYFUNCTION("""COMPUTED_VALUE"""),"")</f>
        <v/>
      </c>
      <c r="U9890" s="16" t="s">
        <v>87</v>
      </c>
      <c r="V9890" s="16" t="str">
        <f>IFERROR(__xludf.DUMMYFUNCTION("""COMPUTED_VALUE"""),"")</f>
        <v/>
      </c>
      <c r="W9890" s="16" t="str">
        <f>IFERROR(__xludf.DUMMYFUNCTION("""COMPUTED_VALUE"""),"")</f>
        <v/>
      </c>
      <c r="X9890" s="16" t="str">
        <f>IFERROR(__xludf.DUMMYFUNCTION("""COMPUTED_VALUE"""),"")</f>
        <v/>
      </c>
      <c r="AC9890" s="16" t="str">
        <f>IFERROR(__xludf.DUMMYFUNCTION("""COMPUTED_VALUE"""),"")</f>
        <v/>
      </c>
    </row>
    <row r="9891">
      <c r="A9891" s="16" t="s">
        <v>87</v>
      </c>
      <c r="E9891" s="16" t="str">
        <f>IFERROR(__xludf.DUMMYFUNCTION("""COMPUTED_VALUE"""),"")</f>
        <v/>
      </c>
      <c r="G9891" s="18"/>
      <c r="H9891" s="16" t="s">
        <v>87</v>
      </c>
      <c r="I9891" s="16" t="s">
        <v>87</v>
      </c>
      <c r="J9891" s="19"/>
      <c r="L9891" s="16" t="str">
        <f>IFERROR(__xludf.DUMMYFUNCTION("""COMPUTED_VALUE"""),"")</f>
        <v/>
      </c>
      <c r="M9891" s="16" t="str">
        <f>IFERROR(__xludf.DUMMYFUNCTION("""COMPUTED_VALUE"""),"")</f>
        <v/>
      </c>
      <c r="U9891" s="16" t="s">
        <v>87</v>
      </c>
      <c r="V9891" s="16" t="str">
        <f>IFERROR(__xludf.DUMMYFUNCTION("""COMPUTED_VALUE"""),"")</f>
        <v/>
      </c>
      <c r="W9891" s="16" t="str">
        <f>IFERROR(__xludf.DUMMYFUNCTION("""COMPUTED_VALUE"""),"")</f>
        <v/>
      </c>
      <c r="X9891" s="16" t="str">
        <f>IFERROR(__xludf.DUMMYFUNCTION("""COMPUTED_VALUE"""),"")</f>
        <v/>
      </c>
      <c r="AC9891" s="16" t="str">
        <f>IFERROR(__xludf.DUMMYFUNCTION("""COMPUTED_VALUE"""),"")</f>
        <v/>
      </c>
    </row>
    <row r="9892">
      <c r="A9892" s="16" t="s">
        <v>87</v>
      </c>
      <c r="E9892" s="16" t="str">
        <f>IFERROR(__xludf.DUMMYFUNCTION("""COMPUTED_VALUE"""),"")</f>
        <v/>
      </c>
      <c r="G9892" s="18"/>
      <c r="H9892" s="16" t="s">
        <v>87</v>
      </c>
      <c r="I9892" s="16" t="s">
        <v>87</v>
      </c>
      <c r="J9892" s="19"/>
      <c r="L9892" s="16" t="str">
        <f>IFERROR(__xludf.DUMMYFUNCTION("""COMPUTED_VALUE"""),"")</f>
        <v/>
      </c>
      <c r="M9892" s="16" t="str">
        <f>IFERROR(__xludf.DUMMYFUNCTION("""COMPUTED_VALUE"""),"")</f>
        <v/>
      </c>
      <c r="U9892" s="16" t="s">
        <v>87</v>
      </c>
      <c r="V9892" s="16" t="str">
        <f>IFERROR(__xludf.DUMMYFUNCTION("""COMPUTED_VALUE"""),"")</f>
        <v/>
      </c>
      <c r="W9892" s="16" t="str">
        <f>IFERROR(__xludf.DUMMYFUNCTION("""COMPUTED_VALUE"""),"")</f>
        <v/>
      </c>
      <c r="X9892" s="16" t="str">
        <f>IFERROR(__xludf.DUMMYFUNCTION("""COMPUTED_VALUE"""),"")</f>
        <v/>
      </c>
      <c r="AC9892" s="16" t="str">
        <f>IFERROR(__xludf.DUMMYFUNCTION("""COMPUTED_VALUE"""),"")</f>
        <v/>
      </c>
    </row>
    <row r="9893">
      <c r="A9893" s="16" t="s">
        <v>87</v>
      </c>
      <c r="E9893" s="16" t="str">
        <f>IFERROR(__xludf.DUMMYFUNCTION("""COMPUTED_VALUE"""),"")</f>
        <v/>
      </c>
      <c r="G9893" s="18"/>
      <c r="H9893" s="16" t="s">
        <v>87</v>
      </c>
      <c r="I9893" s="16" t="s">
        <v>87</v>
      </c>
      <c r="J9893" s="19"/>
      <c r="L9893" s="16" t="str">
        <f>IFERROR(__xludf.DUMMYFUNCTION("""COMPUTED_VALUE"""),"")</f>
        <v/>
      </c>
      <c r="M9893" s="16" t="str">
        <f>IFERROR(__xludf.DUMMYFUNCTION("""COMPUTED_VALUE"""),"")</f>
        <v/>
      </c>
      <c r="U9893" s="16" t="s">
        <v>87</v>
      </c>
      <c r="V9893" s="16" t="str">
        <f>IFERROR(__xludf.DUMMYFUNCTION("""COMPUTED_VALUE"""),"")</f>
        <v/>
      </c>
      <c r="W9893" s="16" t="str">
        <f>IFERROR(__xludf.DUMMYFUNCTION("""COMPUTED_VALUE"""),"")</f>
        <v/>
      </c>
      <c r="X9893" s="16" t="str">
        <f>IFERROR(__xludf.DUMMYFUNCTION("""COMPUTED_VALUE"""),"")</f>
        <v/>
      </c>
      <c r="AC9893" s="16" t="str">
        <f>IFERROR(__xludf.DUMMYFUNCTION("""COMPUTED_VALUE"""),"")</f>
        <v/>
      </c>
    </row>
    <row r="9894">
      <c r="A9894" s="16" t="s">
        <v>87</v>
      </c>
      <c r="E9894" s="16" t="str">
        <f>IFERROR(__xludf.DUMMYFUNCTION("""COMPUTED_VALUE"""),"")</f>
        <v/>
      </c>
      <c r="G9894" s="18"/>
      <c r="H9894" s="16" t="s">
        <v>87</v>
      </c>
      <c r="I9894" s="16" t="s">
        <v>87</v>
      </c>
      <c r="J9894" s="19"/>
      <c r="L9894" s="16" t="str">
        <f>IFERROR(__xludf.DUMMYFUNCTION("""COMPUTED_VALUE"""),"")</f>
        <v/>
      </c>
      <c r="M9894" s="16" t="str">
        <f>IFERROR(__xludf.DUMMYFUNCTION("""COMPUTED_VALUE"""),"")</f>
        <v/>
      </c>
      <c r="U9894" s="16" t="s">
        <v>87</v>
      </c>
      <c r="V9894" s="16" t="str">
        <f>IFERROR(__xludf.DUMMYFUNCTION("""COMPUTED_VALUE"""),"")</f>
        <v/>
      </c>
      <c r="W9894" s="16" t="str">
        <f>IFERROR(__xludf.DUMMYFUNCTION("""COMPUTED_VALUE"""),"")</f>
        <v/>
      </c>
      <c r="X9894" s="16" t="str">
        <f>IFERROR(__xludf.DUMMYFUNCTION("""COMPUTED_VALUE"""),"")</f>
        <v/>
      </c>
      <c r="AC9894" s="16" t="str">
        <f>IFERROR(__xludf.DUMMYFUNCTION("""COMPUTED_VALUE"""),"")</f>
        <v/>
      </c>
    </row>
    <row r="9895">
      <c r="A9895" s="16" t="s">
        <v>87</v>
      </c>
      <c r="E9895" s="16" t="str">
        <f>IFERROR(__xludf.DUMMYFUNCTION("""COMPUTED_VALUE"""),"")</f>
        <v/>
      </c>
      <c r="G9895" s="18"/>
      <c r="H9895" s="16" t="s">
        <v>87</v>
      </c>
      <c r="I9895" s="16" t="s">
        <v>87</v>
      </c>
      <c r="J9895" s="19"/>
      <c r="L9895" s="16" t="str">
        <f>IFERROR(__xludf.DUMMYFUNCTION("""COMPUTED_VALUE"""),"")</f>
        <v/>
      </c>
      <c r="M9895" s="16" t="str">
        <f>IFERROR(__xludf.DUMMYFUNCTION("""COMPUTED_VALUE"""),"")</f>
        <v/>
      </c>
      <c r="U9895" s="16" t="s">
        <v>87</v>
      </c>
      <c r="V9895" s="16" t="str">
        <f>IFERROR(__xludf.DUMMYFUNCTION("""COMPUTED_VALUE"""),"")</f>
        <v/>
      </c>
      <c r="W9895" s="16" t="str">
        <f>IFERROR(__xludf.DUMMYFUNCTION("""COMPUTED_VALUE"""),"")</f>
        <v/>
      </c>
      <c r="X9895" s="16" t="str">
        <f>IFERROR(__xludf.DUMMYFUNCTION("""COMPUTED_VALUE"""),"")</f>
        <v/>
      </c>
      <c r="AC9895" s="16" t="str">
        <f>IFERROR(__xludf.DUMMYFUNCTION("""COMPUTED_VALUE"""),"")</f>
        <v/>
      </c>
    </row>
    <row r="9896">
      <c r="A9896" s="16" t="s">
        <v>87</v>
      </c>
      <c r="E9896" s="16" t="str">
        <f>IFERROR(__xludf.DUMMYFUNCTION("""COMPUTED_VALUE"""),"")</f>
        <v/>
      </c>
      <c r="G9896" s="18"/>
      <c r="H9896" s="16" t="s">
        <v>87</v>
      </c>
      <c r="I9896" s="16" t="s">
        <v>87</v>
      </c>
      <c r="J9896" s="19"/>
      <c r="L9896" s="16" t="str">
        <f>IFERROR(__xludf.DUMMYFUNCTION("""COMPUTED_VALUE"""),"")</f>
        <v/>
      </c>
      <c r="M9896" s="16" t="str">
        <f>IFERROR(__xludf.DUMMYFUNCTION("""COMPUTED_VALUE"""),"")</f>
        <v/>
      </c>
      <c r="U9896" s="16" t="s">
        <v>87</v>
      </c>
      <c r="V9896" s="16" t="str">
        <f>IFERROR(__xludf.DUMMYFUNCTION("""COMPUTED_VALUE"""),"")</f>
        <v/>
      </c>
      <c r="W9896" s="16" t="str">
        <f>IFERROR(__xludf.DUMMYFUNCTION("""COMPUTED_VALUE"""),"")</f>
        <v/>
      </c>
      <c r="X9896" s="16" t="str">
        <f>IFERROR(__xludf.DUMMYFUNCTION("""COMPUTED_VALUE"""),"")</f>
        <v/>
      </c>
      <c r="AC9896" s="16" t="str">
        <f>IFERROR(__xludf.DUMMYFUNCTION("""COMPUTED_VALUE"""),"")</f>
        <v/>
      </c>
    </row>
    <row r="9897">
      <c r="A9897" s="16" t="s">
        <v>87</v>
      </c>
      <c r="E9897" s="16" t="str">
        <f>IFERROR(__xludf.DUMMYFUNCTION("""COMPUTED_VALUE"""),"")</f>
        <v/>
      </c>
      <c r="G9897" s="18"/>
      <c r="H9897" s="16" t="s">
        <v>87</v>
      </c>
      <c r="I9897" s="16" t="s">
        <v>87</v>
      </c>
      <c r="J9897" s="19"/>
      <c r="L9897" s="16" t="str">
        <f>IFERROR(__xludf.DUMMYFUNCTION("""COMPUTED_VALUE"""),"")</f>
        <v/>
      </c>
      <c r="M9897" s="16" t="str">
        <f>IFERROR(__xludf.DUMMYFUNCTION("""COMPUTED_VALUE"""),"")</f>
        <v/>
      </c>
      <c r="U9897" s="16" t="s">
        <v>87</v>
      </c>
      <c r="V9897" s="16" t="str">
        <f>IFERROR(__xludf.DUMMYFUNCTION("""COMPUTED_VALUE"""),"")</f>
        <v/>
      </c>
      <c r="W9897" s="16" t="str">
        <f>IFERROR(__xludf.DUMMYFUNCTION("""COMPUTED_VALUE"""),"")</f>
        <v/>
      </c>
      <c r="X9897" s="16" t="str">
        <f>IFERROR(__xludf.DUMMYFUNCTION("""COMPUTED_VALUE"""),"")</f>
        <v/>
      </c>
      <c r="AC9897" s="16" t="str">
        <f>IFERROR(__xludf.DUMMYFUNCTION("""COMPUTED_VALUE"""),"")</f>
        <v/>
      </c>
    </row>
    <row r="9898">
      <c r="A9898" s="16" t="s">
        <v>87</v>
      </c>
      <c r="E9898" s="16" t="str">
        <f>IFERROR(__xludf.DUMMYFUNCTION("""COMPUTED_VALUE"""),"")</f>
        <v/>
      </c>
      <c r="G9898" s="18"/>
      <c r="H9898" s="16" t="s">
        <v>87</v>
      </c>
      <c r="I9898" s="16" t="s">
        <v>87</v>
      </c>
      <c r="J9898" s="19"/>
      <c r="L9898" s="16" t="str">
        <f>IFERROR(__xludf.DUMMYFUNCTION("""COMPUTED_VALUE"""),"")</f>
        <v/>
      </c>
      <c r="M9898" s="16" t="str">
        <f>IFERROR(__xludf.DUMMYFUNCTION("""COMPUTED_VALUE"""),"")</f>
        <v/>
      </c>
      <c r="U9898" s="16" t="s">
        <v>87</v>
      </c>
      <c r="V9898" s="16" t="str">
        <f>IFERROR(__xludf.DUMMYFUNCTION("""COMPUTED_VALUE"""),"")</f>
        <v/>
      </c>
      <c r="W9898" s="16" t="str">
        <f>IFERROR(__xludf.DUMMYFUNCTION("""COMPUTED_VALUE"""),"")</f>
        <v/>
      </c>
      <c r="X9898" s="16" t="str">
        <f>IFERROR(__xludf.DUMMYFUNCTION("""COMPUTED_VALUE"""),"")</f>
        <v/>
      </c>
      <c r="AC9898" s="16" t="str">
        <f>IFERROR(__xludf.DUMMYFUNCTION("""COMPUTED_VALUE"""),"")</f>
        <v/>
      </c>
    </row>
    <row r="9899">
      <c r="A9899" s="16" t="s">
        <v>87</v>
      </c>
      <c r="E9899" s="16" t="str">
        <f>IFERROR(__xludf.DUMMYFUNCTION("""COMPUTED_VALUE"""),"")</f>
        <v/>
      </c>
      <c r="G9899" s="18"/>
      <c r="H9899" s="16" t="s">
        <v>87</v>
      </c>
      <c r="I9899" s="16" t="s">
        <v>87</v>
      </c>
      <c r="J9899" s="19"/>
      <c r="L9899" s="16" t="str">
        <f>IFERROR(__xludf.DUMMYFUNCTION("""COMPUTED_VALUE"""),"")</f>
        <v/>
      </c>
      <c r="M9899" s="16" t="str">
        <f>IFERROR(__xludf.DUMMYFUNCTION("""COMPUTED_VALUE"""),"")</f>
        <v/>
      </c>
      <c r="U9899" s="16" t="s">
        <v>87</v>
      </c>
      <c r="V9899" s="16" t="str">
        <f>IFERROR(__xludf.DUMMYFUNCTION("""COMPUTED_VALUE"""),"")</f>
        <v/>
      </c>
      <c r="W9899" s="16" t="str">
        <f>IFERROR(__xludf.DUMMYFUNCTION("""COMPUTED_VALUE"""),"")</f>
        <v/>
      </c>
      <c r="X9899" s="16" t="str">
        <f>IFERROR(__xludf.DUMMYFUNCTION("""COMPUTED_VALUE"""),"")</f>
        <v/>
      </c>
      <c r="AC9899" s="16" t="str">
        <f>IFERROR(__xludf.DUMMYFUNCTION("""COMPUTED_VALUE"""),"")</f>
        <v/>
      </c>
    </row>
    <row r="9900">
      <c r="A9900" s="16" t="s">
        <v>87</v>
      </c>
      <c r="E9900" s="16" t="str">
        <f>IFERROR(__xludf.DUMMYFUNCTION("""COMPUTED_VALUE"""),"")</f>
        <v/>
      </c>
      <c r="G9900" s="18"/>
      <c r="H9900" s="16" t="s">
        <v>87</v>
      </c>
      <c r="I9900" s="16" t="s">
        <v>87</v>
      </c>
      <c r="J9900" s="19"/>
      <c r="L9900" s="16" t="str">
        <f>IFERROR(__xludf.DUMMYFUNCTION("""COMPUTED_VALUE"""),"")</f>
        <v/>
      </c>
      <c r="M9900" s="16" t="str">
        <f>IFERROR(__xludf.DUMMYFUNCTION("""COMPUTED_VALUE"""),"")</f>
        <v/>
      </c>
      <c r="U9900" s="16" t="s">
        <v>87</v>
      </c>
      <c r="V9900" s="16" t="str">
        <f>IFERROR(__xludf.DUMMYFUNCTION("""COMPUTED_VALUE"""),"")</f>
        <v/>
      </c>
      <c r="W9900" s="16" t="str">
        <f>IFERROR(__xludf.DUMMYFUNCTION("""COMPUTED_VALUE"""),"")</f>
        <v/>
      </c>
      <c r="X9900" s="16" t="str">
        <f>IFERROR(__xludf.DUMMYFUNCTION("""COMPUTED_VALUE"""),"")</f>
        <v/>
      </c>
      <c r="AC9900" s="16" t="str">
        <f>IFERROR(__xludf.DUMMYFUNCTION("""COMPUTED_VALUE"""),"")</f>
        <v/>
      </c>
    </row>
    <row r="9901">
      <c r="A9901" s="16" t="s">
        <v>87</v>
      </c>
      <c r="E9901" s="16" t="str">
        <f>IFERROR(__xludf.DUMMYFUNCTION("""COMPUTED_VALUE"""),"")</f>
        <v/>
      </c>
      <c r="G9901" s="18"/>
      <c r="H9901" s="16" t="s">
        <v>87</v>
      </c>
      <c r="I9901" s="16" t="s">
        <v>87</v>
      </c>
      <c r="J9901" s="19"/>
      <c r="L9901" s="16" t="str">
        <f>IFERROR(__xludf.DUMMYFUNCTION("""COMPUTED_VALUE"""),"")</f>
        <v/>
      </c>
      <c r="M9901" s="16" t="str">
        <f>IFERROR(__xludf.DUMMYFUNCTION("""COMPUTED_VALUE"""),"")</f>
        <v/>
      </c>
      <c r="U9901" s="16" t="s">
        <v>87</v>
      </c>
      <c r="V9901" s="16" t="str">
        <f>IFERROR(__xludf.DUMMYFUNCTION("""COMPUTED_VALUE"""),"")</f>
        <v/>
      </c>
      <c r="W9901" s="16" t="str">
        <f>IFERROR(__xludf.DUMMYFUNCTION("""COMPUTED_VALUE"""),"")</f>
        <v/>
      </c>
      <c r="X9901" s="16" t="str">
        <f>IFERROR(__xludf.DUMMYFUNCTION("""COMPUTED_VALUE"""),"")</f>
        <v/>
      </c>
      <c r="AC9901" s="16" t="str">
        <f>IFERROR(__xludf.DUMMYFUNCTION("""COMPUTED_VALUE"""),"")</f>
        <v/>
      </c>
    </row>
    <row r="9902">
      <c r="A9902" s="16" t="s">
        <v>87</v>
      </c>
      <c r="E9902" s="16" t="str">
        <f>IFERROR(__xludf.DUMMYFUNCTION("""COMPUTED_VALUE"""),"")</f>
        <v/>
      </c>
      <c r="G9902" s="18"/>
      <c r="H9902" s="16" t="s">
        <v>87</v>
      </c>
      <c r="I9902" s="16" t="s">
        <v>87</v>
      </c>
      <c r="J9902" s="19"/>
      <c r="L9902" s="16" t="str">
        <f>IFERROR(__xludf.DUMMYFUNCTION("""COMPUTED_VALUE"""),"")</f>
        <v/>
      </c>
      <c r="M9902" s="16" t="str">
        <f>IFERROR(__xludf.DUMMYFUNCTION("""COMPUTED_VALUE"""),"")</f>
        <v/>
      </c>
      <c r="U9902" s="16" t="s">
        <v>87</v>
      </c>
      <c r="V9902" s="16" t="str">
        <f>IFERROR(__xludf.DUMMYFUNCTION("""COMPUTED_VALUE"""),"")</f>
        <v/>
      </c>
      <c r="W9902" s="16" t="str">
        <f>IFERROR(__xludf.DUMMYFUNCTION("""COMPUTED_VALUE"""),"")</f>
        <v/>
      </c>
      <c r="X9902" s="16" t="str">
        <f>IFERROR(__xludf.DUMMYFUNCTION("""COMPUTED_VALUE"""),"")</f>
        <v/>
      </c>
      <c r="AC9902" s="16" t="str">
        <f>IFERROR(__xludf.DUMMYFUNCTION("""COMPUTED_VALUE"""),"")</f>
        <v/>
      </c>
    </row>
    <row r="9903">
      <c r="A9903" s="16" t="s">
        <v>87</v>
      </c>
      <c r="E9903" s="16" t="str">
        <f>IFERROR(__xludf.DUMMYFUNCTION("""COMPUTED_VALUE"""),"")</f>
        <v/>
      </c>
      <c r="G9903" s="18"/>
      <c r="H9903" s="16" t="s">
        <v>87</v>
      </c>
      <c r="I9903" s="16" t="s">
        <v>87</v>
      </c>
      <c r="J9903" s="19"/>
      <c r="L9903" s="16" t="str">
        <f>IFERROR(__xludf.DUMMYFUNCTION("""COMPUTED_VALUE"""),"")</f>
        <v/>
      </c>
      <c r="M9903" s="16" t="str">
        <f>IFERROR(__xludf.DUMMYFUNCTION("""COMPUTED_VALUE"""),"")</f>
        <v/>
      </c>
      <c r="U9903" s="16" t="s">
        <v>87</v>
      </c>
      <c r="V9903" s="16" t="str">
        <f>IFERROR(__xludf.DUMMYFUNCTION("""COMPUTED_VALUE"""),"")</f>
        <v/>
      </c>
      <c r="W9903" s="16" t="str">
        <f>IFERROR(__xludf.DUMMYFUNCTION("""COMPUTED_VALUE"""),"")</f>
        <v/>
      </c>
      <c r="X9903" s="16" t="str">
        <f>IFERROR(__xludf.DUMMYFUNCTION("""COMPUTED_VALUE"""),"")</f>
        <v/>
      </c>
      <c r="AC9903" s="16" t="str">
        <f>IFERROR(__xludf.DUMMYFUNCTION("""COMPUTED_VALUE"""),"")</f>
        <v/>
      </c>
    </row>
    <row r="9904">
      <c r="A9904" s="16" t="s">
        <v>87</v>
      </c>
      <c r="E9904" s="16" t="str">
        <f>IFERROR(__xludf.DUMMYFUNCTION("""COMPUTED_VALUE"""),"")</f>
        <v/>
      </c>
      <c r="G9904" s="18"/>
      <c r="H9904" s="16" t="s">
        <v>87</v>
      </c>
      <c r="I9904" s="16" t="s">
        <v>87</v>
      </c>
      <c r="J9904" s="19"/>
      <c r="L9904" s="16" t="str">
        <f>IFERROR(__xludf.DUMMYFUNCTION("""COMPUTED_VALUE"""),"")</f>
        <v/>
      </c>
      <c r="M9904" s="16" t="str">
        <f>IFERROR(__xludf.DUMMYFUNCTION("""COMPUTED_VALUE"""),"")</f>
        <v/>
      </c>
      <c r="U9904" s="16" t="s">
        <v>87</v>
      </c>
      <c r="V9904" s="16" t="str">
        <f>IFERROR(__xludf.DUMMYFUNCTION("""COMPUTED_VALUE"""),"")</f>
        <v/>
      </c>
      <c r="W9904" s="16" t="str">
        <f>IFERROR(__xludf.DUMMYFUNCTION("""COMPUTED_VALUE"""),"")</f>
        <v/>
      </c>
      <c r="X9904" s="16" t="str">
        <f>IFERROR(__xludf.DUMMYFUNCTION("""COMPUTED_VALUE"""),"")</f>
        <v/>
      </c>
      <c r="AC9904" s="16" t="str">
        <f>IFERROR(__xludf.DUMMYFUNCTION("""COMPUTED_VALUE"""),"")</f>
        <v/>
      </c>
    </row>
    <row r="9905">
      <c r="A9905" s="16" t="s">
        <v>87</v>
      </c>
      <c r="E9905" s="16" t="str">
        <f>IFERROR(__xludf.DUMMYFUNCTION("""COMPUTED_VALUE"""),"")</f>
        <v/>
      </c>
      <c r="G9905" s="18"/>
      <c r="H9905" s="16" t="s">
        <v>87</v>
      </c>
      <c r="I9905" s="16" t="s">
        <v>87</v>
      </c>
      <c r="J9905" s="19"/>
      <c r="L9905" s="16" t="str">
        <f>IFERROR(__xludf.DUMMYFUNCTION("""COMPUTED_VALUE"""),"")</f>
        <v/>
      </c>
      <c r="M9905" s="16" t="str">
        <f>IFERROR(__xludf.DUMMYFUNCTION("""COMPUTED_VALUE"""),"")</f>
        <v/>
      </c>
      <c r="U9905" s="16" t="s">
        <v>87</v>
      </c>
      <c r="V9905" s="16" t="str">
        <f>IFERROR(__xludf.DUMMYFUNCTION("""COMPUTED_VALUE"""),"")</f>
        <v/>
      </c>
      <c r="W9905" s="16" t="str">
        <f>IFERROR(__xludf.DUMMYFUNCTION("""COMPUTED_VALUE"""),"")</f>
        <v/>
      </c>
      <c r="X9905" s="16" t="str">
        <f>IFERROR(__xludf.DUMMYFUNCTION("""COMPUTED_VALUE"""),"")</f>
        <v/>
      </c>
      <c r="AC9905" s="16" t="str">
        <f>IFERROR(__xludf.DUMMYFUNCTION("""COMPUTED_VALUE"""),"")</f>
        <v/>
      </c>
    </row>
    <row r="9906">
      <c r="A9906" s="16" t="s">
        <v>87</v>
      </c>
      <c r="E9906" s="16" t="str">
        <f>IFERROR(__xludf.DUMMYFUNCTION("""COMPUTED_VALUE"""),"")</f>
        <v/>
      </c>
      <c r="G9906" s="18"/>
      <c r="H9906" s="16" t="s">
        <v>87</v>
      </c>
      <c r="I9906" s="16" t="s">
        <v>87</v>
      </c>
      <c r="J9906" s="19"/>
      <c r="L9906" s="16" t="str">
        <f>IFERROR(__xludf.DUMMYFUNCTION("""COMPUTED_VALUE"""),"")</f>
        <v/>
      </c>
      <c r="M9906" s="16" t="str">
        <f>IFERROR(__xludf.DUMMYFUNCTION("""COMPUTED_VALUE"""),"")</f>
        <v/>
      </c>
      <c r="U9906" s="16" t="s">
        <v>87</v>
      </c>
      <c r="V9906" s="16" t="str">
        <f>IFERROR(__xludf.DUMMYFUNCTION("""COMPUTED_VALUE"""),"")</f>
        <v/>
      </c>
      <c r="W9906" s="16" t="str">
        <f>IFERROR(__xludf.DUMMYFUNCTION("""COMPUTED_VALUE"""),"")</f>
        <v/>
      </c>
      <c r="X9906" s="16" t="str">
        <f>IFERROR(__xludf.DUMMYFUNCTION("""COMPUTED_VALUE"""),"")</f>
        <v/>
      </c>
      <c r="AC9906" s="16" t="str">
        <f>IFERROR(__xludf.DUMMYFUNCTION("""COMPUTED_VALUE"""),"")</f>
        <v/>
      </c>
    </row>
    <row r="9907">
      <c r="A9907" s="16" t="s">
        <v>87</v>
      </c>
      <c r="E9907" s="16" t="str">
        <f>IFERROR(__xludf.DUMMYFUNCTION("""COMPUTED_VALUE"""),"")</f>
        <v/>
      </c>
      <c r="G9907" s="18"/>
      <c r="H9907" s="16" t="s">
        <v>87</v>
      </c>
      <c r="I9907" s="16" t="s">
        <v>87</v>
      </c>
      <c r="J9907" s="19"/>
      <c r="L9907" s="16" t="str">
        <f>IFERROR(__xludf.DUMMYFUNCTION("""COMPUTED_VALUE"""),"")</f>
        <v/>
      </c>
      <c r="M9907" s="16" t="str">
        <f>IFERROR(__xludf.DUMMYFUNCTION("""COMPUTED_VALUE"""),"")</f>
        <v/>
      </c>
      <c r="U9907" s="16" t="s">
        <v>87</v>
      </c>
      <c r="V9907" s="16" t="str">
        <f>IFERROR(__xludf.DUMMYFUNCTION("""COMPUTED_VALUE"""),"")</f>
        <v/>
      </c>
      <c r="W9907" s="16" t="str">
        <f>IFERROR(__xludf.DUMMYFUNCTION("""COMPUTED_VALUE"""),"")</f>
        <v/>
      </c>
      <c r="X9907" s="16" t="str">
        <f>IFERROR(__xludf.DUMMYFUNCTION("""COMPUTED_VALUE"""),"")</f>
        <v/>
      </c>
      <c r="AC9907" s="16" t="str">
        <f>IFERROR(__xludf.DUMMYFUNCTION("""COMPUTED_VALUE"""),"")</f>
        <v/>
      </c>
    </row>
    <row r="9908">
      <c r="A9908" s="16" t="s">
        <v>87</v>
      </c>
      <c r="E9908" s="16" t="str">
        <f>IFERROR(__xludf.DUMMYFUNCTION("""COMPUTED_VALUE"""),"")</f>
        <v/>
      </c>
      <c r="G9908" s="18"/>
      <c r="H9908" s="16" t="s">
        <v>87</v>
      </c>
      <c r="I9908" s="16" t="s">
        <v>87</v>
      </c>
      <c r="J9908" s="19"/>
      <c r="L9908" s="16" t="str">
        <f>IFERROR(__xludf.DUMMYFUNCTION("""COMPUTED_VALUE"""),"")</f>
        <v/>
      </c>
      <c r="M9908" s="16" t="str">
        <f>IFERROR(__xludf.DUMMYFUNCTION("""COMPUTED_VALUE"""),"")</f>
        <v/>
      </c>
      <c r="U9908" s="16" t="s">
        <v>87</v>
      </c>
      <c r="V9908" s="16" t="str">
        <f>IFERROR(__xludf.DUMMYFUNCTION("""COMPUTED_VALUE"""),"")</f>
        <v/>
      </c>
      <c r="W9908" s="16" t="str">
        <f>IFERROR(__xludf.DUMMYFUNCTION("""COMPUTED_VALUE"""),"")</f>
        <v/>
      </c>
      <c r="X9908" s="16" t="str">
        <f>IFERROR(__xludf.DUMMYFUNCTION("""COMPUTED_VALUE"""),"")</f>
        <v/>
      </c>
      <c r="AC9908" s="16" t="str">
        <f>IFERROR(__xludf.DUMMYFUNCTION("""COMPUTED_VALUE"""),"")</f>
        <v/>
      </c>
    </row>
    <row r="9909">
      <c r="A9909" s="16" t="s">
        <v>87</v>
      </c>
      <c r="E9909" s="16" t="str">
        <f>IFERROR(__xludf.DUMMYFUNCTION("""COMPUTED_VALUE"""),"")</f>
        <v/>
      </c>
      <c r="G9909" s="18"/>
      <c r="H9909" s="16" t="s">
        <v>87</v>
      </c>
      <c r="I9909" s="16" t="s">
        <v>87</v>
      </c>
      <c r="J9909" s="19"/>
      <c r="L9909" s="16" t="str">
        <f>IFERROR(__xludf.DUMMYFUNCTION("""COMPUTED_VALUE"""),"")</f>
        <v/>
      </c>
      <c r="M9909" s="16" t="str">
        <f>IFERROR(__xludf.DUMMYFUNCTION("""COMPUTED_VALUE"""),"")</f>
        <v/>
      </c>
      <c r="U9909" s="16" t="s">
        <v>87</v>
      </c>
      <c r="V9909" s="16" t="str">
        <f>IFERROR(__xludf.DUMMYFUNCTION("""COMPUTED_VALUE"""),"")</f>
        <v/>
      </c>
      <c r="W9909" s="16" t="str">
        <f>IFERROR(__xludf.DUMMYFUNCTION("""COMPUTED_VALUE"""),"")</f>
        <v/>
      </c>
      <c r="X9909" s="16" t="str">
        <f>IFERROR(__xludf.DUMMYFUNCTION("""COMPUTED_VALUE"""),"")</f>
        <v/>
      </c>
      <c r="AC9909" s="16" t="str">
        <f>IFERROR(__xludf.DUMMYFUNCTION("""COMPUTED_VALUE"""),"")</f>
        <v/>
      </c>
    </row>
    <row r="9910">
      <c r="A9910" s="16" t="s">
        <v>87</v>
      </c>
      <c r="E9910" s="16" t="str">
        <f>IFERROR(__xludf.DUMMYFUNCTION("""COMPUTED_VALUE"""),"")</f>
        <v/>
      </c>
      <c r="G9910" s="18"/>
      <c r="H9910" s="16" t="s">
        <v>87</v>
      </c>
      <c r="I9910" s="16" t="s">
        <v>87</v>
      </c>
      <c r="J9910" s="19"/>
      <c r="L9910" s="16" t="str">
        <f>IFERROR(__xludf.DUMMYFUNCTION("""COMPUTED_VALUE"""),"")</f>
        <v/>
      </c>
      <c r="M9910" s="16" t="str">
        <f>IFERROR(__xludf.DUMMYFUNCTION("""COMPUTED_VALUE"""),"")</f>
        <v/>
      </c>
      <c r="U9910" s="16" t="s">
        <v>87</v>
      </c>
      <c r="V9910" s="16" t="str">
        <f>IFERROR(__xludf.DUMMYFUNCTION("""COMPUTED_VALUE"""),"")</f>
        <v/>
      </c>
      <c r="W9910" s="16" t="str">
        <f>IFERROR(__xludf.DUMMYFUNCTION("""COMPUTED_VALUE"""),"")</f>
        <v/>
      </c>
      <c r="X9910" s="16" t="str">
        <f>IFERROR(__xludf.DUMMYFUNCTION("""COMPUTED_VALUE"""),"")</f>
        <v/>
      </c>
      <c r="AC9910" s="16" t="str">
        <f>IFERROR(__xludf.DUMMYFUNCTION("""COMPUTED_VALUE"""),"")</f>
        <v/>
      </c>
    </row>
    <row r="9911">
      <c r="A9911" s="16" t="s">
        <v>87</v>
      </c>
      <c r="E9911" s="16" t="str">
        <f>IFERROR(__xludf.DUMMYFUNCTION("""COMPUTED_VALUE"""),"")</f>
        <v/>
      </c>
      <c r="G9911" s="18"/>
      <c r="H9911" s="16" t="s">
        <v>87</v>
      </c>
      <c r="I9911" s="16" t="s">
        <v>87</v>
      </c>
      <c r="J9911" s="19"/>
      <c r="L9911" s="16" t="str">
        <f>IFERROR(__xludf.DUMMYFUNCTION("""COMPUTED_VALUE"""),"")</f>
        <v/>
      </c>
      <c r="M9911" s="16" t="str">
        <f>IFERROR(__xludf.DUMMYFUNCTION("""COMPUTED_VALUE"""),"")</f>
        <v/>
      </c>
      <c r="U9911" s="16" t="s">
        <v>87</v>
      </c>
      <c r="V9911" s="16" t="str">
        <f>IFERROR(__xludf.DUMMYFUNCTION("""COMPUTED_VALUE"""),"")</f>
        <v/>
      </c>
      <c r="W9911" s="16" t="str">
        <f>IFERROR(__xludf.DUMMYFUNCTION("""COMPUTED_VALUE"""),"")</f>
        <v/>
      </c>
      <c r="X9911" s="16" t="str">
        <f>IFERROR(__xludf.DUMMYFUNCTION("""COMPUTED_VALUE"""),"")</f>
        <v/>
      </c>
      <c r="AC9911" s="16" t="str">
        <f>IFERROR(__xludf.DUMMYFUNCTION("""COMPUTED_VALUE"""),"")</f>
        <v/>
      </c>
    </row>
    <row r="9912">
      <c r="A9912" s="16" t="s">
        <v>87</v>
      </c>
      <c r="E9912" s="16" t="str">
        <f>IFERROR(__xludf.DUMMYFUNCTION("""COMPUTED_VALUE"""),"")</f>
        <v/>
      </c>
      <c r="G9912" s="18"/>
      <c r="H9912" s="16" t="s">
        <v>87</v>
      </c>
      <c r="I9912" s="16" t="s">
        <v>87</v>
      </c>
      <c r="J9912" s="19"/>
      <c r="L9912" s="16" t="str">
        <f>IFERROR(__xludf.DUMMYFUNCTION("""COMPUTED_VALUE"""),"")</f>
        <v/>
      </c>
      <c r="M9912" s="16" t="str">
        <f>IFERROR(__xludf.DUMMYFUNCTION("""COMPUTED_VALUE"""),"")</f>
        <v/>
      </c>
      <c r="U9912" s="16" t="s">
        <v>87</v>
      </c>
      <c r="V9912" s="16" t="str">
        <f>IFERROR(__xludf.DUMMYFUNCTION("""COMPUTED_VALUE"""),"")</f>
        <v/>
      </c>
      <c r="W9912" s="16" t="str">
        <f>IFERROR(__xludf.DUMMYFUNCTION("""COMPUTED_VALUE"""),"")</f>
        <v/>
      </c>
      <c r="X9912" s="16" t="str">
        <f>IFERROR(__xludf.DUMMYFUNCTION("""COMPUTED_VALUE"""),"")</f>
        <v/>
      </c>
      <c r="AC9912" s="16" t="str">
        <f>IFERROR(__xludf.DUMMYFUNCTION("""COMPUTED_VALUE"""),"")</f>
        <v/>
      </c>
    </row>
    <row r="9913">
      <c r="A9913" s="16" t="s">
        <v>87</v>
      </c>
      <c r="E9913" s="16" t="str">
        <f>IFERROR(__xludf.DUMMYFUNCTION("""COMPUTED_VALUE"""),"")</f>
        <v/>
      </c>
      <c r="G9913" s="18"/>
      <c r="H9913" s="16" t="s">
        <v>87</v>
      </c>
      <c r="I9913" s="16" t="s">
        <v>87</v>
      </c>
      <c r="J9913" s="19"/>
      <c r="L9913" s="16" t="str">
        <f>IFERROR(__xludf.DUMMYFUNCTION("""COMPUTED_VALUE"""),"")</f>
        <v/>
      </c>
      <c r="M9913" s="16" t="str">
        <f>IFERROR(__xludf.DUMMYFUNCTION("""COMPUTED_VALUE"""),"")</f>
        <v/>
      </c>
      <c r="U9913" s="16" t="s">
        <v>87</v>
      </c>
      <c r="V9913" s="16" t="str">
        <f>IFERROR(__xludf.DUMMYFUNCTION("""COMPUTED_VALUE"""),"")</f>
        <v/>
      </c>
      <c r="W9913" s="16" t="str">
        <f>IFERROR(__xludf.DUMMYFUNCTION("""COMPUTED_VALUE"""),"")</f>
        <v/>
      </c>
      <c r="X9913" s="16" t="str">
        <f>IFERROR(__xludf.DUMMYFUNCTION("""COMPUTED_VALUE"""),"")</f>
        <v/>
      </c>
      <c r="AC9913" s="16" t="str">
        <f>IFERROR(__xludf.DUMMYFUNCTION("""COMPUTED_VALUE"""),"")</f>
        <v/>
      </c>
    </row>
    <row r="9914">
      <c r="A9914" s="16" t="s">
        <v>87</v>
      </c>
      <c r="E9914" s="16" t="str">
        <f>IFERROR(__xludf.DUMMYFUNCTION("""COMPUTED_VALUE"""),"")</f>
        <v/>
      </c>
      <c r="G9914" s="18"/>
      <c r="H9914" s="16" t="s">
        <v>87</v>
      </c>
      <c r="I9914" s="16" t="s">
        <v>87</v>
      </c>
      <c r="J9914" s="19"/>
      <c r="L9914" s="16" t="str">
        <f>IFERROR(__xludf.DUMMYFUNCTION("""COMPUTED_VALUE"""),"")</f>
        <v/>
      </c>
      <c r="M9914" s="16" t="str">
        <f>IFERROR(__xludf.DUMMYFUNCTION("""COMPUTED_VALUE"""),"")</f>
        <v/>
      </c>
      <c r="U9914" s="16" t="s">
        <v>87</v>
      </c>
      <c r="V9914" s="16" t="str">
        <f>IFERROR(__xludf.DUMMYFUNCTION("""COMPUTED_VALUE"""),"")</f>
        <v/>
      </c>
      <c r="W9914" s="16" t="str">
        <f>IFERROR(__xludf.DUMMYFUNCTION("""COMPUTED_VALUE"""),"")</f>
        <v/>
      </c>
      <c r="X9914" s="16" t="str">
        <f>IFERROR(__xludf.DUMMYFUNCTION("""COMPUTED_VALUE"""),"")</f>
        <v/>
      </c>
      <c r="AC9914" s="16" t="str">
        <f>IFERROR(__xludf.DUMMYFUNCTION("""COMPUTED_VALUE"""),"")</f>
        <v/>
      </c>
    </row>
    <row r="9915">
      <c r="A9915" s="16" t="s">
        <v>87</v>
      </c>
      <c r="E9915" s="16" t="str">
        <f>IFERROR(__xludf.DUMMYFUNCTION("""COMPUTED_VALUE"""),"")</f>
        <v/>
      </c>
      <c r="G9915" s="18"/>
      <c r="H9915" s="16" t="s">
        <v>87</v>
      </c>
      <c r="I9915" s="16" t="s">
        <v>87</v>
      </c>
      <c r="J9915" s="19"/>
      <c r="L9915" s="16" t="str">
        <f>IFERROR(__xludf.DUMMYFUNCTION("""COMPUTED_VALUE"""),"")</f>
        <v/>
      </c>
      <c r="M9915" s="16" t="str">
        <f>IFERROR(__xludf.DUMMYFUNCTION("""COMPUTED_VALUE"""),"")</f>
        <v/>
      </c>
      <c r="U9915" s="16" t="s">
        <v>87</v>
      </c>
      <c r="V9915" s="16" t="str">
        <f>IFERROR(__xludf.DUMMYFUNCTION("""COMPUTED_VALUE"""),"")</f>
        <v/>
      </c>
      <c r="W9915" s="16" t="str">
        <f>IFERROR(__xludf.DUMMYFUNCTION("""COMPUTED_VALUE"""),"")</f>
        <v/>
      </c>
      <c r="X9915" s="16" t="str">
        <f>IFERROR(__xludf.DUMMYFUNCTION("""COMPUTED_VALUE"""),"")</f>
        <v/>
      </c>
      <c r="AC9915" s="16" t="str">
        <f>IFERROR(__xludf.DUMMYFUNCTION("""COMPUTED_VALUE"""),"")</f>
        <v/>
      </c>
    </row>
    <row r="9916">
      <c r="A9916" s="16" t="s">
        <v>87</v>
      </c>
      <c r="E9916" s="16" t="str">
        <f>IFERROR(__xludf.DUMMYFUNCTION("""COMPUTED_VALUE"""),"")</f>
        <v/>
      </c>
      <c r="G9916" s="18"/>
      <c r="H9916" s="16" t="s">
        <v>87</v>
      </c>
      <c r="I9916" s="16" t="s">
        <v>87</v>
      </c>
      <c r="J9916" s="19"/>
      <c r="L9916" s="16" t="str">
        <f>IFERROR(__xludf.DUMMYFUNCTION("""COMPUTED_VALUE"""),"")</f>
        <v/>
      </c>
      <c r="M9916" s="16" t="str">
        <f>IFERROR(__xludf.DUMMYFUNCTION("""COMPUTED_VALUE"""),"")</f>
        <v/>
      </c>
      <c r="U9916" s="16" t="s">
        <v>87</v>
      </c>
      <c r="V9916" s="16" t="str">
        <f>IFERROR(__xludf.DUMMYFUNCTION("""COMPUTED_VALUE"""),"")</f>
        <v/>
      </c>
      <c r="W9916" s="16" t="str">
        <f>IFERROR(__xludf.DUMMYFUNCTION("""COMPUTED_VALUE"""),"")</f>
        <v/>
      </c>
      <c r="X9916" s="16" t="str">
        <f>IFERROR(__xludf.DUMMYFUNCTION("""COMPUTED_VALUE"""),"")</f>
        <v/>
      </c>
      <c r="AC9916" s="16" t="str">
        <f>IFERROR(__xludf.DUMMYFUNCTION("""COMPUTED_VALUE"""),"")</f>
        <v/>
      </c>
    </row>
    <row r="9917">
      <c r="A9917" s="16" t="s">
        <v>87</v>
      </c>
      <c r="E9917" s="16" t="str">
        <f>IFERROR(__xludf.DUMMYFUNCTION("""COMPUTED_VALUE"""),"")</f>
        <v/>
      </c>
      <c r="G9917" s="18"/>
      <c r="H9917" s="16" t="s">
        <v>87</v>
      </c>
      <c r="I9917" s="16" t="s">
        <v>87</v>
      </c>
      <c r="J9917" s="19"/>
      <c r="L9917" s="16" t="str">
        <f>IFERROR(__xludf.DUMMYFUNCTION("""COMPUTED_VALUE"""),"")</f>
        <v/>
      </c>
      <c r="M9917" s="16" t="str">
        <f>IFERROR(__xludf.DUMMYFUNCTION("""COMPUTED_VALUE"""),"")</f>
        <v/>
      </c>
      <c r="U9917" s="16" t="s">
        <v>87</v>
      </c>
      <c r="V9917" s="16" t="str">
        <f>IFERROR(__xludf.DUMMYFUNCTION("""COMPUTED_VALUE"""),"")</f>
        <v/>
      </c>
      <c r="W9917" s="16" t="str">
        <f>IFERROR(__xludf.DUMMYFUNCTION("""COMPUTED_VALUE"""),"")</f>
        <v/>
      </c>
      <c r="X9917" s="16" t="str">
        <f>IFERROR(__xludf.DUMMYFUNCTION("""COMPUTED_VALUE"""),"")</f>
        <v/>
      </c>
      <c r="AC9917" s="16" t="str">
        <f>IFERROR(__xludf.DUMMYFUNCTION("""COMPUTED_VALUE"""),"")</f>
        <v/>
      </c>
    </row>
    <row r="9918">
      <c r="A9918" s="16" t="s">
        <v>87</v>
      </c>
      <c r="E9918" s="16" t="str">
        <f>IFERROR(__xludf.DUMMYFUNCTION("""COMPUTED_VALUE"""),"")</f>
        <v/>
      </c>
      <c r="G9918" s="18"/>
      <c r="H9918" s="16" t="s">
        <v>87</v>
      </c>
      <c r="I9918" s="16" t="s">
        <v>87</v>
      </c>
      <c r="J9918" s="19"/>
      <c r="L9918" s="16" t="str">
        <f>IFERROR(__xludf.DUMMYFUNCTION("""COMPUTED_VALUE"""),"")</f>
        <v/>
      </c>
      <c r="M9918" s="16" t="str">
        <f>IFERROR(__xludf.DUMMYFUNCTION("""COMPUTED_VALUE"""),"")</f>
        <v/>
      </c>
      <c r="U9918" s="16" t="s">
        <v>87</v>
      </c>
      <c r="V9918" s="16" t="str">
        <f>IFERROR(__xludf.DUMMYFUNCTION("""COMPUTED_VALUE"""),"")</f>
        <v/>
      </c>
      <c r="W9918" s="16" t="str">
        <f>IFERROR(__xludf.DUMMYFUNCTION("""COMPUTED_VALUE"""),"")</f>
        <v/>
      </c>
      <c r="X9918" s="16" t="str">
        <f>IFERROR(__xludf.DUMMYFUNCTION("""COMPUTED_VALUE"""),"")</f>
        <v/>
      </c>
      <c r="AC9918" s="16" t="str">
        <f>IFERROR(__xludf.DUMMYFUNCTION("""COMPUTED_VALUE"""),"")</f>
        <v/>
      </c>
    </row>
    <row r="9919">
      <c r="A9919" s="16" t="s">
        <v>87</v>
      </c>
      <c r="E9919" s="16" t="str">
        <f>IFERROR(__xludf.DUMMYFUNCTION("""COMPUTED_VALUE"""),"")</f>
        <v/>
      </c>
      <c r="G9919" s="18"/>
      <c r="H9919" s="16" t="s">
        <v>87</v>
      </c>
      <c r="I9919" s="16" t="s">
        <v>87</v>
      </c>
      <c r="J9919" s="19"/>
      <c r="L9919" s="16" t="str">
        <f>IFERROR(__xludf.DUMMYFUNCTION("""COMPUTED_VALUE"""),"")</f>
        <v/>
      </c>
      <c r="M9919" s="16" t="str">
        <f>IFERROR(__xludf.DUMMYFUNCTION("""COMPUTED_VALUE"""),"")</f>
        <v/>
      </c>
      <c r="U9919" s="16" t="s">
        <v>87</v>
      </c>
      <c r="V9919" s="16" t="str">
        <f>IFERROR(__xludf.DUMMYFUNCTION("""COMPUTED_VALUE"""),"")</f>
        <v/>
      </c>
      <c r="W9919" s="16" t="str">
        <f>IFERROR(__xludf.DUMMYFUNCTION("""COMPUTED_VALUE"""),"")</f>
        <v/>
      </c>
      <c r="X9919" s="16" t="str">
        <f>IFERROR(__xludf.DUMMYFUNCTION("""COMPUTED_VALUE"""),"")</f>
        <v/>
      </c>
      <c r="AC9919" s="16" t="str">
        <f>IFERROR(__xludf.DUMMYFUNCTION("""COMPUTED_VALUE"""),"")</f>
        <v/>
      </c>
    </row>
    <row r="9920">
      <c r="A9920" s="16" t="s">
        <v>87</v>
      </c>
      <c r="E9920" s="16" t="str">
        <f>IFERROR(__xludf.DUMMYFUNCTION("""COMPUTED_VALUE"""),"")</f>
        <v/>
      </c>
      <c r="G9920" s="18"/>
      <c r="H9920" s="16" t="s">
        <v>87</v>
      </c>
      <c r="I9920" s="16" t="s">
        <v>87</v>
      </c>
      <c r="J9920" s="19"/>
      <c r="L9920" s="16" t="str">
        <f>IFERROR(__xludf.DUMMYFUNCTION("""COMPUTED_VALUE"""),"")</f>
        <v/>
      </c>
      <c r="M9920" s="16" t="str">
        <f>IFERROR(__xludf.DUMMYFUNCTION("""COMPUTED_VALUE"""),"")</f>
        <v/>
      </c>
      <c r="U9920" s="16" t="s">
        <v>87</v>
      </c>
      <c r="V9920" s="16" t="str">
        <f>IFERROR(__xludf.DUMMYFUNCTION("""COMPUTED_VALUE"""),"")</f>
        <v/>
      </c>
      <c r="W9920" s="16" t="str">
        <f>IFERROR(__xludf.DUMMYFUNCTION("""COMPUTED_VALUE"""),"")</f>
        <v/>
      </c>
      <c r="X9920" s="16" t="str">
        <f>IFERROR(__xludf.DUMMYFUNCTION("""COMPUTED_VALUE"""),"")</f>
        <v/>
      </c>
      <c r="AC9920" s="16" t="str">
        <f>IFERROR(__xludf.DUMMYFUNCTION("""COMPUTED_VALUE"""),"")</f>
        <v/>
      </c>
    </row>
    <row r="9921">
      <c r="A9921" s="16" t="s">
        <v>87</v>
      </c>
      <c r="E9921" s="16" t="str">
        <f>IFERROR(__xludf.DUMMYFUNCTION("""COMPUTED_VALUE"""),"")</f>
        <v/>
      </c>
      <c r="G9921" s="18"/>
      <c r="H9921" s="16" t="s">
        <v>87</v>
      </c>
      <c r="I9921" s="16" t="s">
        <v>87</v>
      </c>
      <c r="J9921" s="19"/>
      <c r="L9921" s="16" t="str">
        <f>IFERROR(__xludf.DUMMYFUNCTION("""COMPUTED_VALUE"""),"")</f>
        <v/>
      </c>
      <c r="M9921" s="16" t="str">
        <f>IFERROR(__xludf.DUMMYFUNCTION("""COMPUTED_VALUE"""),"")</f>
        <v/>
      </c>
      <c r="U9921" s="16" t="s">
        <v>87</v>
      </c>
      <c r="V9921" s="16" t="str">
        <f>IFERROR(__xludf.DUMMYFUNCTION("""COMPUTED_VALUE"""),"")</f>
        <v/>
      </c>
      <c r="W9921" s="16" t="str">
        <f>IFERROR(__xludf.DUMMYFUNCTION("""COMPUTED_VALUE"""),"")</f>
        <v/>
      </c>
      <c r="X9921" s="16" t="str">
        <f>IFERROR(__xludf.DUMMYFUNCTION("""COMPUTED_VALUE"""),"")</f>
        <v/>
      </c>
      <c r="AC9921" s="16" t="str">
        <f>IFERROR(__xludf.DUMMYFUNCTION("""COMPUTED_VALUE"""),"")</f>
        <v/>
      </c>
    </row>
    <row r="9922">
      <c r="A9922" s="16" t="s">
        <v>87</v>
      </c>
      <c r="E9922" s="16" t="str">
        <f>IFERROR(__xludf.DUMMYFUNCTION("""COMPUTED_VALUE"""),"")</f>
        <v/>
      </c>
      <c r="G9922" s="18"/>
      <c r="H9922" s="16" t="s">
        <v>87</v>
      </c>
      <c r="I9922" s="16" t="s">
        <v>87</v>
      </c>
      <c r="J9922" s="19"/>
      <c r="L9922" s="16" t="str">
        <f>IFERROR(__xludf.DUMMYFUNCTION("""COMPUTED_VALUE"""),"")</f>
        <v/>
      </c>
      <c r="M9922" s="16" t="str">
        <f>IFERROR(__xludf.DUMMYFUNCTION("""COMPUTED_VALUE"""),"")</f>
        <v/>
      </c>
      <c r="U9922" s="16" t="s">
        <v>87</v>
      </c>
      <c r="V9922" s="16" t="str">
        <f>IFERROR(__xludf.DUMMYFUNCTION("""COMPUTED_VALUE"""),"")</f>
        <v/>
      </c>
      <c r="W9922" s="16" t="str">
        <f>IFERROR(__xludf.DUMMYFUNCTION("""COMPUTED_VALUE"""),"")</f>
        <v/>
      </c>
      <c r="X9922" s="16" t="str">
        <f>IFERROR(__xludf.DUMMYFUNCTION("""COMPUTED_VALUE"""),"")</f>
        <v/>
      </c>
      <c r="AC9922" s="16" t="str">
        <f>IFERROR(__xludf.DUMMYFUNCTION("""COMPUTED_VALUE"""),"")</f>
        <v/>
      </c>
    </row>
    <row r="9923">
      <c r="A9923" s="16" t="s">
        <v>87</v>
      </c>
      <c r="E9923" s="16" t="str">
        <f>IFERROR(__xludf.DUMMYFUNCTION("""COMPUTED_VALUE"""),"")</f>
        <v/>
      </c>
      <c r="G9923" s="18"/>
      <c r="H9923" s="16" t="s">
        <v>87</v>
      </c>
      <c r="I9923" s="16" t="s">
        <v>87</v>
      </c>
      <c r="J9923" s="19"/>
      <c r="L9923" s="16" t="str">
        <f>IFERROR(__xludf.DUMMYFUNCTION("""COMPUTED_VALUE"""),"")</f>
        <v/>
      </c>
      <c r="M9923" s="16" t="str">
        <f>IFERROR(__xludf.DUMMYFUNCTION("""COMPUTED_VALUE"""),"")</f>
        <v/>
      </c>
      <c r="U9923" s="16" t="s">
        <v>87</v>
      </c>
      <c r="V9923" s="16" t="str">
        <f>IFERROR(__xludf.DUMMYFUNCTION("""COMPUTED_VALUE"""),"")</f>
        <v/>
      </c>
      <c r="W9923" s="16" t="str">
        <f>IFERROR(__xludf.DUMMYFUNCTION("""COMPUTED_VALUE"""),"")</f>
        <v/>
      </c>
      <c r="X9923" s="16" t="str">
        <f>IFERROR(__xludf.DUMMYFUNCTION("""COMPUTED_VALUE"""),"")</f>
        <v/>
      </c>
      <c r="AC9923" s="16" t="str">
        <f>IFERROR(__xludf.DUMMYFUNCTION("""COMPUTED_VALUE"""),"")</f>
        <v/>
      </c>
    </row>
    <row r="9924">
      <c r="A9924" s="16" t="s">
        <v>87</v>
      </c>
      <c r="E9924" s="16" t="str">
        <f>IFERROR(__xludf.DUMMYFUNCTION("""COMPUTED_VALUE"""),"")</f>
        <v/>
      </c>
      <c r="G9924" s="18"/>
      <c r="H9924" s="16" t="s">
        <v>87</v>
      </c>
      <c r="I9924" s="16" t="s">
        <v>87</v>
      </c>
      <c r="J9924" s="19"/>
      <c r="L9924" s="16" t="str">
        <f>IFERROR(__xludf.DUMMYFUNCTION("""COMPUTED_VALUE"""),"")</f>
        <v/>
      </c>
      <c r="M9924" s="16" t="str">
        <f>IFERROR(__xludf.DUMMYFUNCTION("""COMPUTED_VALUE"""),"")</f>
        <v/>
      </c>
      <c r="U9924" s="16" t="s">
        <v>87</v>
      </c>
      <c r="V9924" s="16" t="str">
        <f>IFERROR(__xludf.DUMMYFUNCTION("""COMPUTED_VALUE"""),"")</f>
        <v/>
      </c>
      <c r="W9924" s="16" t="str">
        <f>IFERROR(__xludf.DUMMYFUNCTION("""COMPUTED_VALUE"""),"")</f>
        <v/>
      </c>
      <c r="X9924" s="16" t="str">
        <f>IFERROR(__xludf.DUMMYFUNCTION("""COMPUTED_VALUE"""),"")</f>
        <v/>
      </c>
      <c r="AC9924" s="16" t="str">
        <f>IFERROR(__xludf.DUMMYFUNCTION("""COMPUTED_VALUE"""),"")</f>
        <v/>
      </c>
    </row>
    <row r="9925">
      <c r="A9925" s="16" t="s">
        <v>87</v>
      </c>
      <c r="E9925" s="16" t="str">
        <f>IFERROR(__xludf.DUMMYFUNCTION("""COMPUTED_VALUE"""),"")</f>
        <v/>
      </c>
      <c r="G9925" s="18"/>
      <c r="H9925" s="16" t="s">
        <v>87</v>
      </c>
      <c r="I9925" s="16" t="s">
        <v>87</v>
      </c>
      <c r="J9925" s="19"/>
      <c r="L9925" s="16" t="str">
        <f>IFERROR(__xludf.DUMMYFUNCTION("""COMPUTED_VALUE"""),"")</f>
        <v/>
      </c>
      <c r="M9925" s="16" t="str">
        <f>IFERROR(__xludf.DUMMYFUNCTION("""COMPUTED_VALUE"""),"")</f>
        <v/>
      </c>
      <c r="U9925" s="16" t="s">
        <v>87</v>
      </c>
      <c r="V9925" s="16" t="str">
        <f>IFERROR(__xludf.DUMMYFUNCTION("""COMPUTED_VALUE"""),"")</f>
        <v/>
      </c>
      <c r="W9925" s="16" t="str">
        <f>IFERROR(__xludf.DUMMYFUNCTION("""COMPUTED_VALUE"""),"")</f>
        <v/>
      </c>
      <c r="X9925" s="16" t="str">
        <f>IFERROR(__xludf.DUMMYFUNCTION("""COMPUTED_VALUE"""),"")</f>
        <v/>
      </c>
      <c r="AC9925" s="16" t="str">
        <f>IFERROR(__xludf.DUMMYFUNCTION("""COMPUTED_VALUE"""),"")</f>
        <v/>
      </c>
    </row>
    <row r="9926">
      <c r="A9926" s="16" t="s">
        <v>87</v>
      </c>
      <c r="E9926" s="16" t="str">
        <f>IFERROR(__xludf.DUMMYFUNCTION("""COMPUTED_VALUE"""),"")</f>
        <v/>
      </c>
      <c r="G9926" s="18"/>
      <c r="H9926" s="16" t="s">
        <v>87</v>
      </c>
      <c r="I9926" s="16" t="s">
        <v>87</v>
      </c>
      <c r="J9926" s="19"/>
      <c r="L9926" s="16" t="str">
        <f>IFERROR(__xludf.DUMMYFUNCTION("""COMPUTED_VALUE"""),"")</f>
        <v/>
      </c>
      <c r="M9926" s="16" t="str">
        <f>IFERROR(__xludf.DUMMYFUNCTION("""COMPUTED_VALUE"""),"")</f>
        <v/>
      </c>
      <c r="U9926" s="16" t="s">
        <v>87</v>
      </c>
      <c r="V9926" s="16" t="str">
        <f>IFERROR(__xludf.DUMMYFUNCTION("""COMPUTED_VALUE"""),"")</f>
        <v/>
      </c>
      <c r="W9926" s="16" t="str">
        <f>IFERROR(__xludf.DUMMYFUNCTION("""COMPUTED_VALUE"""),"")</f>
        <v/>
      </c>
      <c r="X9926" s="16" t="str">
        <f>IFERROR(__xludf.DUMMYFUNCTION("""COMPUTED_VALUE"""),"")</f>
        <v/>
      </c>
      <c r="AC9926" s="16" t="str">
        <f>IFERROR(__xludf.DUMMYFUNCTION("""COMPUTED_VALUE"""),"")</f>
        <v/>
      </c>
    </row>
    <row r="9927">
      <c r="A9927" s="16" t="s">
        <v>87</v>
      </c>
      <c r="E9927" s="16" t="str">
        <f>IFERROR(__xludf.DUMMYFUNCTION("""COMPUTED_VALUE"""),"")</f>
        <v/>
      </c>
      <c r="G9927" s="18"/>
      <c r="H9927" s="16" t="s">
        <v>87</v>
      </c>
      <c r="I9927" s="16" t="s">
        <v>87</v>
      </c>
      <c r="J9927" s="19"/>
      <c r="L9927" s="16" t="str">
        <f>IFERROR(__xludf.DUMMYFUNCTION("""COMPUTED_VALUE"""),"")</f>
        <v/>
      </c>
      <c r="M9927" s="16" t="str">
        <f>IFERROR(__xludf.DUMMYFUNCTION("""COMPUTED_VALUE"""),"")</f>
        <v/>
      </c>
      <c r="U9927" s="16" t="s">
        <v>87</v>
      </c>
      <c r="V9927" s="16" t="str">
        <f>IFERROR(__xludf.DUMMYFUNCTION("""COMPUTED_VALUE"""),"")</f>
        <v/>
      </c>
      <c r="W9927" s="16" t="str">
        <f>IFERROR(__xludf.DUMMYFUNCTION("""COMPUTED_VALUE"""),"")</f>
        <v/>
      </c>
      <c r="X9927" s="16" t="str">
        <f>IFERROR(__xludf.DUMMYFUNCTION("""COMPUTED_VALUE"""),"")</f>
        <v/>
      </c>
      <c r="AC9927" s="16" t="str">
        <f>IFERROR(__xludf.DUMMYFUNCTION("""COMPUTED_VALUE"""),"")</f>
        <v/>
      </c>
    </row>
    <row r="9928">
      <c r="A9928" s="16" t="s">
        <v>87</v>
      </c>
      <c r="E9928" s="16" t="str">
        <f>IFERROR(__xludf.DUMMYFUNCTION("""COMPUTED_VALUE"""),"")</f>
        <v/>
      </c>
      <c r="G9928" s="18"/>
      <c r="H9928" s="16" t="s">
        <v>87</v>
      </c>
      <c r="I9928" s="16" t="s">
        <v>87</v>
      </c>
      <c r="J9928" s="19"/>
      <c r="L9928" s="16" t="str">
        <f>IFERROR(__xludf.DUMMYFUNCTION("""COMPUTED_VALUE"""),"")</f>
        <v/>
      </c>
      <c r="M9928" s="16" t="str">
        <f>IFERROR(__xludf.DUMMYFUNCTION("""COMPUTED_VALUE"""),"")</f>
        <v/>
      </c>
      <c r="U9928" s="16" t="s">
        <v>87</v>
      </c>
      <c r="V9928" s="16" t="str">
        <f>IFERROR(__xludf.DUMMYFUNCTION("""COMPUTED_VALUE"""),"")</f>
        <v/>
      </c>
      <c r="W9928" s="16" t="str">
        <f>IFERROR(__xludf.DUMMYFUNCTION("""COMPUTED_VALUE"""),"")</f>
        <v/>
      </c>
      <c r="X9928" s="16" t="str">
        <f>IFERROR(__xludf.DUMMYFUNCTION("""COMPUTED_VALUE"""),"")</f>
        <v/>
      </c>
      <c r="AC9928" s="16" t="str">
        <f>IFERROR(__xludf.DUMMYFUNCTION("""COMPUTED_VALUE"""),"")</f>
        <v/>
      </c>
    </row>
    <row r="9929">
      <c r="A9929" s="16" t="s">
        <v>87</v>
      </c>
      <c r="E9929" s="16" t="str">
        <f>IFERROR(__xludf.DUMMYFUNCTION("""COMPUTED_VALUE"""),"")</f>
        <v/>
      </c>
      <c r="G9929" s="18"/>
      <c r="H9929" s="16" t="s">
        <v>87</v>
      </c>
      <c r="I9929" s="16" t="s">
        <v>87</v>
      </c>
      <c r="J9929" s="19"/>
      <c r="L9929" s="16" t="str">
        <f>IFERROR(__xludf.DUMMYFUNCTION("""COMPUTED_VALUE"""),"")</f>
        <v/>
      </c>
      <c r="M9929" s="16" t="str">
        <f>IFERROR(__xludf.DUMMYFUNCTION("""COMPUTED_VALUE"""),"")</f>
        <v/>
      </c>
      <c r="U9929" s="16" t="s">
        <v>87</v>
      </c>
      <c r="V9929" s="16" t="str">
        <f>IFERROR(__xludf.DUMMYFUNCTION("""COMPUTED_VALUE"""),"")</f>
        <v/>
      </c>
      <c r="W9929" s="16" t="str">
        <f>IFERROR(__xludf.DUMMYFUNCTION("""COMPUTED_VALUE"""),"")</f>
        <v/>
      </c>
      <c r="X9929" s="16" t="str">
        <f>IFERROR(__xludf.DUMMYFUNCTION("""COMPUTED_VALUE"""),"")</f>
        <v/>
      </c>
      <c r="AC9929" s="16" t="str">
        <f>IFERROR(__xludf.DUMMYFUNCTION("""COMPUTED_VALUE"""),"")</f>
        <v/>
      </c>
    </row>
    <row r="9930">
      <c r="A9930" s="16" t="s">
        <v>87</v>
      </c>
      <c r="E9930" s="16" t="str">
        <f>IFERROR(__xludf.DUMMYFUNCTION("""COMPUTED_VALUE"""),"")</f>
        <v/>
      </c>
      <c r="G9930" s="18"/>
      <c r="H9930" s="16" t="s">
        <v>87</v>
      </c>
      <c r="I9930" s="16" t="s">
        <v>87</v>
      </c>
      <c r="J9930" s="19"/>
      <c r="L9930" s="16" t="str">
        <f>IFERROR(__xludf.DUMMYFUNCTION("""COMPUTED_VALUE"""),"")</f>
        <v/>
      </c>
      <c r="M9930" s="16" t="str">
        <f>IFERROR(__xludf.DUMMYFUNCTION("""COMPUTED_VALUE"""),"")</f>
        <v/>
      </c>
      <c r="U9930" s="16" t="s">
        <v>87</v>
      </c>
      <c r="V9930" s="16" t="str">
        <f>IFERROR(__xludf.DUMMYFUNCTION("""COMPUTED_VALUE"""),"")</f>
        <v/>
      </c>
      <c r="W9930" s="16" t="str">
        <f>IFERROR(__xludf.DUMMYFUNCTION("""COMPUTED_VALUE"""),"")</f>
        <v/>
      </c>
      <c r="X9930" s="16" t="str">
        <f>IFERROR(__xludf.DUMMYFUNCTION("""COMPUTED_VALUE"""),"")</f>
        <v/>
      </c>
      <c r="AC9930" s="16" t="str">
        <f>IFERROR(__xludf.DUMMYFUNCTION("""COMPUTED_VALUE"""),"")</f>
        <v/>
      </c>
    </row>
    <row r="9931">
      <c r="A9931" s="16" t="s">
        <v>87</v>
      </c>
      <c r="E9931" s="16" t="str">
        <f>IFERROR(__xludf.DUMMYFUNCTION("""COMPUTED_VALUE"""),"")</f>
        <v/>
      </c>
      <c r="G9931" s="18"/>
      <c r="H9931" s="16" t="s">
        <v>87</v>
      </c>
      <c r="I9931" s="16" t="s">
        <v>87</v>
      </c>
      <c r="J9931" s="19"/>
      <c r="L9931" s="16" t="str">
        <f>IFERROR(__xludf.DUMMYFUNCTION("""COMPUTED_VALUE"""),"")</f>
        <v/>
      </c>
      <c r="M9931" s="16" t="str">
        <f>IFERROR(__xludf.DUMMYFUNCTION("""COMPUTED_VALUE"""),"")</f>
        <v/>
      </c>
      <c r="U9931" s="16" t="s">
        <v>87</v>
      </c>
      <c r="V9931" s="16" t="str">
        <f>IFERROR(__xludf.DUMMYFUNCTION("""COMPUTED_VALUE"""),"")</f>
        <v/>
      </c>
      <c r="W9931" s="16" t="str">
        <f>IFERROR(__xludf.DUMMYFUNCTION("""COMPUTED_VALUE"""),"")</f>
        <v/>
      </c>
      <c r="X9931" s="16" t="str">
        <f>IFERROR(__xludf.DUMMYFUNCTION("""COMPUTED_VALUE"""),"")</f>
        <v/>
      </c>
      <c r="AC9931" s="16" t="str">
        <f>IFERROR(__xludf.DUMMYFUNCTION("""COMPUTED_VALUE"""),"")</f>
        <v/>
      </c>
    </row>
    <row r="9932">
      <c r="A9932" s="16" t="s">
        <v>87</v>
      </c>
      <c r="E9932" s="16" t="str">
        <f>IFERROR(__xludf.DUMMYFUNCTION("""COMPUTED_VALUE"""),"")</f>
        <v/>
      </c>
      <c r="G9932" s="18"/>
      <c r="H9932" s="16" t="s">
        <v>87</v>
      </c>
      <c r="I9932" s="16" t="s">
        <v>87</v>
      </c>
      <c r="J9932" s="19"/>
      <c r="L9932" s="16" t="str">
        <f>IFERROR(__xludf.DUMMYFUNCTION("""COMPUTED_VALUE"""),"")</f>
        <v/>
      </c>
      <c r="M9932" s="16" t="str">
        <f>IFERROR(__xludf.DUMMYFUNCTION("""COMPUTED_VALUE"""),"")</f>
        <v/>
      </c>
      <c r="U9932" s="16" t="s">
        <v>87</v>
      </c>
      <c r="V9932" s="16" t="str">
        <f>IFERROR(__xludf.DUMMYFUNCTION("""COMPUTED_VALUE"""),"")</f>
        <v/>
      </c>
      <c r="W9932" s="16" t="str">
        <f>IFERROR(__xludf.DUMMYFUNCTION("""COMPUTED_VALUE"""),"")</f>
        <v/>
      </c>
      <c r="X9932" s="16" t="str">
        <f>IFERROR(__xludf.DUMMYFUNCTION("""COMPUTED_VALUE"""),"")</f>
        <v/>
      </c>
      <c r="AC9932" s="16" t="str">
        <f>IFERROR(__xludf.DUMMYFUNCTION("""COMPUTED_VALUE"""),"")</f>
        <v/>
      </c>
    </row>
    <row r="9933">
      <c r="A9933" s="16" t="s">
        <v>87</v>
      </c>
      <c r="E9933" s="16" t="str">
        <f>IFERROR(__xludf.DUMMYFUNCTION("""COMPUTED_VALUE"""),"")</f>
        <v/>
      </c>
      <c r="G9933" s="18"/>
      <c r="H9933" s="16" t="s">
        <v>87</v>
      </c>
      <c r="I9933" s="16" t="s">
        <v>87</v>
      </c>
      <c r="J9933" s="19"/>
      <c r="L9933" s="16" t="str">
        <f>IFERROR(__xludf.DUMMYFUNCTION("""COMPUTED_VALUE"""),"")</f>
        <v/>
      </c>
      <c r="M9933" s="16" t="str">
        <f>IFERROR(__xludf.DUMMYFUNCTION("""COMPUTED_VALUE"""),"")</f>
        <v/>
      </c>
      <c r="U9933" s="16" t="s">
        <v>87</v>
      </c>
      <c r="V9933" s="16" t="str">
        <f>IFERROR(__xludf.DUMMYFUNCTION("""COMPUTED_VALUE"""),"")</f>
        <v/>
      </c>
      <c r="W9933" s="16" t="str">
        <f>IFERROR(__xludf.DUMMYFUNCTION("""COMPUTED_VALUE"""),"")</f>
        <v/>
      </c>
      <c r="X9933" s="16" t="str">
        <f>IFERROR(__xludf.DUMMYFUNCTION("""COMPUTED_VALUE"""),"")</f>
        <v/>
      </c>
      <c r="AC9933" s="16" t="str">
        <f>IFERROR(__xludf.DUMMYFUNCTION("""COMPUTED_VALUE"""),"")</f>
        <v/>
      </c>
    </row>
    <row r="9934">
      <c r="A9934" s="16" t="s">
        <v>87</v>
      </c>
      <c r="E9934" s="16" t="str">
        <f>IFERROR(__xludf.DUMMYFUNCTION("""COMPUTED_VALUE"""),"")</f>
        <v/>
      </c>
      <c r="G9934" s="18"/>
      <c r="H9934" s="16" t="s">
        <v>87</v>
      </c>
      <c r="I9934" s="16" t="s">
        <v>87</v>
      </c>
      <c r="J9934" s="19"/>
      <c r="L9934" s="16" t="str">
        <f>IFERROR(__xludf.DUMMYFUNCTION("""COMPUTED_VALUE"""),"")</f>
        <v/>
      </c>
      <c r="M9934" s="16" t="str">
        <f>IFERROR(__xludf.DUMMYFUNCTION("""COMPUTED_VALUE"""),"")</f>
        <v/>
      </c>
      <c r="U9934" s="16" t="s">
        <v>87</v>
      </c>
      <c r="V9934" s="16" t="str">
        <f>IFERROR(__xludf.DUMMYFUNCTION("""COMPUTED_VALUE"""),"")</f>
        <v/>
      </c>
      <c r="W9934" s="16" t="str">
        <f>IFERROR(__xludf.DUMMYFUNCTION("""COMPUTED_VALUE"""),"")</f>
        <v/>
      </c>
      <c r="X9934" s="16" t="str">
        <f>IFERROR(__xludf.DUMMYFUNCTION("""COMPUTED_VALUE"""),"")</f>
        <v/>
      </c>
      <c r="AC9934" s="16" t="str">
        <f>IFERROR(__xludf.DUMMYFUNCTION("""COMPUTED_VALUE"""),"")</f>
        <v/>
      </c>
    </row>
    <row r="9935">
      <c r="A9935" s="16" t="s">
        <v>87</v>
      </c>
      <c r="E9935" s="16" t="str">
        <f>IFERROR(__xludf.DUMMYFUNCTION("""COMPUTED_VALUE"""),"")</f>
        <v/>
      </c>
      <c r="G9935" s="18"/>
      <c r="H9935" s="16" t="s">
        <v>87</v>
      </c>
      <c r="I9935" s="16" t="s">
        <v>87</v>
      </c>
      <c r="J9935" s="19"/>
      <c r="L9935" s="16" t="str">
        <f>IFERROR(__xludf.DUMMYFUNCTION("""COMPUTED_VALUE"""),"")</f>
        <v/>
      </c>
      <c r="M9935" s="16" t="str">
        <f>IFERROR(__xludf.DUMMYFUNCTION("""COMPUTED_VALUE"""),"")</f>
        <v/>
      </c>
      <c r="U9935" s="16" t="s">
        <v>87</v>
      </c>
      <c r="V9935" s="16" t="str">
        <f>IFERROR(__xludf.DUMMYFUNCTION("""COMPUTED_VALUE"""),"")</f>
        <v/>
      </c>
      <c r="W9935" s="16" t="str">
        <f>IFERROR(__xludf.DUMMYFUNCTION("""COMPUTED_VALUE"""),"")</f>
        <v/>
      </c>
      <c r="X9935" s="16" t="str">
        <f>IFERROR(__xludf.DUMMYFUNCTION("""COMPUTED_VALUE"""),"")</f>
        <v/>
      </c>
      <c r="AC9935" s="16" t="str">
        <f>IFERROR(__xludf.DUMMYFUNCTION("""COMPUTED_VALUE"""),"")</f>
        <v/>
      </c>
    </row>
    <row r="9936">
      <c r="A9936" s="16" t="s">
        <v>87</v>
      </c>
      <c r="E9936" s="16" t="str">
        <f>IFERROR(__xludf.DUMMYFUNCTION("""COMPUTED_VALUE"""),"")</f>
        <v/>
      </c>
      <c r="G9936" s="18"/>
      <c r="H9936" s="16" t="s">
        <v>87</v>
      </c>
      <c r="I9936" s="16" t="s">
        <v>87</v>
      </c>
      <c r="J9936" s="19"/>
      <c r="L9936" s="16" t="str">
        <f>IFERROR(__xludf.DUMMYFUNCTION("""COMPUTED_VALUE"""),"")</f>
        <v/>
      </c>
      <c r="M9936" s="16" t="str">
        <f>IFERROR(__xludf.DUMMYFUNCTION("""COMPUTED_VALUE"""),"")</f>
        <v/>
      </c>
      <c r="U9936" s="16" t="s">
        <v>87</v>
      </c>
      <c r="V9936" s="16" t="str">
        <f>IFERROR(__xludf.DUMMYFUNCTION("""COMPUTED_VALUE"""),"")</f>
        <v/>
      </c>
      <c r="W9936" s="16" t="str">
        <f>IFERROR(__xludf.DUMMYFUNCTION("""COMPUTED_VALUE"""),"")</f>
        <v/>
      </c>
      <c r="X9936" s="16" t="str">
        <f>IFERROR(__xludf.DUMMYFUNCTION("""COMPUTED_VALUE"""),"")</f>
        <v/>
      </c>
      <c r="AC9936" s="16" t="str">
        <f>IFERROR(__xludf.DUMMYFUNCTION("""COMPUTED_VALUE"""),"")</f>
        <v/>
      </c>
    </row>
    <row r="9937">
      <c r="A9937" s="16" t="s">
        <v>87</v>
      </c>
      <c r="E9937" s="16" t="str">
        <f>IFERROR(__xludf.DUMMYFUNCTION("""COMPUTED_VALUE"""),"")</f>
        <v/>
      </c>
      <c r="G9937" s="18"/>
      <c r="H9937" s="16" t="s">
        <v>87</v>
      </c>
      <c r="I9937" s="16" t="s">
        <v>87</v>
      </c>
      <c r="J9937" s="19"/>
      <c r="L9937" s="16" t="str">
        <f>IFERROR(__xludf.DUMMYFUNCTION("""COMPUTED_VALUE"""),"")</f>
        <v/>
      </c>
      <c r="M9937" s="16" t="str">
        <f>IFERROR(__xludf.DUMMYFUNCTION("""COMPUTED_VALUE"""),"")</f>
        <v/>
      </c>
      <c r="U9937" s="16" t="s">
        <v>87</v>
      </c>
      <c r="V9937" s="16" t="str">
        <f>IFERROR(__xludf.DUMMYFUNCTION("""COMPUTED_VALUE"""),"")</f>
        <v/>
      </c>
      <c r="W9937" s="16" t="str">
        <f>IFERROR(__xludf.DUMMYFUNCTION("""COMPUTED_VALUE"""),"")</f>
        <v/>
      </c>
      <c r="X9937" s="16" t="str">
        <f>IFERROR(__xludf.DUMMYFUNCTION("""COMPUTED_VALUE"""),"")</f>
        <v/>
      </c>
      <c r="AC9937" s="16" t="str">
        <f>IFERROR(__xludf.DUMMYFUNCTION("""COMPUTED_VALUE"""),"")</f>
        <v/>
      </c>
    </row>
    <row r="9938">
      <c r="A9938" s="16" t="s">
        <v>87</v>
      </c>
      <c r="E9938" s="16" t="str">
        <f>IFERROR(__xludf.DUMMYFUNCTION("""COMPUTED_VALUE"""),"")</f>
        <v/>
      </c>
      <c r="G9938" s="18"/>
      <c r="H9938" s="16" t="s">
        <v>87</v>
      </c>
      <c r="I9938" s="16" t="s">
        <v>87</v>
      </c>
      <c r="J9938" s="19"/>
      <c r="L9938" s="16" t="str">
        <f>IFERROR(__xludf.DUMMYFUNCTION("""COMPUTED_VALUE"""),"")</f>
        <v/>
      </c>
      <c r="M9938" s="16" t="str">
        <f>IFERROR(__xludf.DUMMYFUNCTION("""COMPUTED_VALUE"""),"")</f>
        <v/>
      </c>
      <c r="U9938" s="16" t="s">
        <v>87</v>
      </c>
      <c r="V9938" s="16" t="str">
        <f>IFERROR(__xludf.DUMMYFUNCTION("""COMPUTED_VALUE"""),"")</f>
        <v/>
      </c>
      <c r="W9938" s="16" t="str">
        <f>IFERROR(__xludf.DUMMYFUNCTION("""COMPUTED_VALUE"""),"")</f>
        <v/>
      </c>
      <c r="X9938" s="16" t="str">
        <f>IFERROR(__xludf.DUMMYFUNCTION("""COMPUTED_VALUE"""),"")</f>
        <v/>
      </c>
      <c r="AC9938" s="16" t="str">
        <f>IFERROR(__xludf.DUMMYFUNCTION("""COMPUTED_VALUE"""),"")</f>
        <v/>
      </c>
    </row>
    <row r="9939">
      <c r="A9939" s="16" t="s">
        <v>87</v>
      </c>
      <c r="E9939" s="16" t="str">
        <f>IFERROR(__xludf.DUMMYFUNCTION("""COMPUTED_VALUE"""),"")</f>
        <v/>
      </c>
      <c r="G9939" s="18"/>
      <c r="H9939" s="16" t="s">
        <v>87</v>
      </c>
      <c r="I9939" s="16" t="s">
        <v>87</v>
      </c>
      <c r="J9939" s="19"/>
      <c r="L9939" s="16" t="str">
        <f>IFERROR(__xludf.DUMMYFUNCTION("""COMPUTED_VALUE"""),"")</f>
        <v/>
      </c>
      <c r="M9939" s="16" t="str">
        <f>IFERROR(__xludf.DUMMYFUNCTION("""COMPUTED_VALUE"""),"")</f>
        <v/>
      </c>
      <c r="U9939" s="16" t="s">
        <v>87</v>
      </c>
      <c r="V9939" s="16" t="str">
        <f>IFERROR(__xludf.DUMMYFUNCTION("""COMPUTED_VALUE"""),"")</f>
        <v/>
      </c>
      <c r="W9939" s="16" t="str">
        <f>IFERROR(__xludf.DUMMYFUNCTION("""COMPUTED_VALUE"""),"")</f>
        <v/>
      </c>
      <c r="X9939" s="16" t="str">
        <f>IFERROR(__xludf.DUMMYFUNCTION("""COMPUTED_VALUE"""),"")</f>
        <v/>
      </c>
      <c r="AC9939" s="16" t="str">
        <f>IFERROR(__xludf.DUMMYFUNCTION("""COMPUTED_VALUE"""),"")</f>
        <v/>
      </c>
    </row>
    <row r="9940">
      <c r="A9940" s="16" t="s">
        <v>87</v>
      </c>
      <c r="E9940" s="16" t="str">
        <f>IFERROR(__xludf.DUMMYFUNCTION("""COMPUTED_VALUE"""),"")</f>
        <v/>
      </c>
      <c r="G9940" s="18"/>
      <c r="H9940" s="16" t="s">
        <v>87</v>
      </c>
      <c r="I9940" s="16" t="s">
        <v>87</v>
      </c>
      <c r="J9940" s="19"/>
      <c r="L9940" s="16" t="str">
        <f>IFERROR(__xludf.DUMMYFUNCTION("""COMPUTED_VALUE"""),"")</f>
        <v/>
      </c>
      <c r="M9940" s="16" t="str">
        <f>IFERROR(__xludf.DUMMYFUNCTION("""COMPUTED_VALUE"""),"")</f>
        <v/>
      </c>
      <c r="U9940" s="16" t="s">
        <v>87</v>
      </c>
      <c r="V9940" s="16" t="str">
        <f>IFERROR(__xludf.DUMMYFUNCTION("""COMPUTED_VALUE"""),"")</f>
        <v/>
      </c>
      <c r="W9940" s="16" t="str">
        <f>IFERROR(__xludf.DUMMYFUNCTION("""COMPUTED_VALUE"""),"")</f>
        <v/>
      </c>
      <c r="X9940" s="16" t="str">
        <f>IFERROR(__xludf.DUMMYFUNCTION("""COMPUTED_VALUE"""),"")</f>
        <v/>
      </c>
      <c r="AC9940" s="16" t="str">
        <f>IFERROR(__xludf.DUMMYFUNCTION("""COMPUTED_VALUE"""),"")</f>
        <v/>
      </c>
    </row>
    <row r="9941">
      <c r="A9941" s="16" t="s">
        <v>87</v>
      </c>
      <c r="E9941" s="16" t="str">
        <f>IFERROR(__xludf.DUMMYFUNCTION("""COMPUTED_VALUE"""),"")</f>
        <v/>
      </c>
      <c r="G9941" s="18"/>
      <c r="H9941" s="16" t="s">
        <v>87</v>
      </c>
      <c r="I9941" s="16" t="s">
        <v>87</v>
      </c>
      <c r="J9941" s="19"/>
      <c r="L9941" s="16" t="str">
        <f>IFERROR(__xludf.DUMMYFUNCTION("""COMPUTED_VALUE"""),"")</f>
        <v/>
      </c>
      <c r="M9941" s="16" t="str">
        <f>IFERROR(__xludf.DUMMYFUNCTION("""COMPUTED_VALUE"""),"")</f>
        <v/>
      </c>
      <c r="U9941" s="16" t="s">
        <v>87</v>
      </c>
      <c r="V9941" s="16" t="str">
        <f>IFERROR(__xludf.DUMMYFUNCTION("""COMPUTED_VALUE"""),"")</f>
        <v/>
      </c>
      <c r="W9941" s="16" t="str">
        <f>IFERROR(__xludf.DUMMYFUNCTION("""COMPUTED_VALUE"""),"")</f>
        <v/>
      </c>
      <c r="X9941" s="16" t="str">
        <f>IFERROR(__xludf.DUMMYFUNCTION("""COMPUTED_VALUE"""),"")</f>
        <v/>
      </c>
      <c r="AC9941" s="16" t="str">
        <f>IFERROR(__xludf.DUMMYFUNCTION("""COMPUTED_VALUE"""),"")</f>
        <v/>
      </c>
    </row>
    <row r="9942">
      <c r="A9942" s="16" t="s">
        <v>87</v>
      </c>
      <c r="E9942" s="16" t="str">
        <f>IFERROR(__xludf.DUMMYFUNCTION("""COMPUTED_VALUE"""),"")</f>
        <v/>
      </c>
      <c r="G9942" s="18"/>
      <c r="H9942" s="16" t="s">
        <v>87</v>
      </c>
      <c r="I9942" s="16" t="s">
        <v>87</v>
      </c>
      <c r="J9942" s="19"/>
      <c r="L9942" s="16" t="str">
        <f>IFERROR(__xludf.DUMMYFUNCTION("""COMPUTED_VALUE"""),"")</f>
        <v/>
      </c>
      <c r="M9942" s="16" t="str">
        <f>IFERROR(__xludf.DUMMYFUNCTION("""COMPUTED_VALUE"""),"")</f>
        <v/>
      </c>
      <c r="U9942" s="16" t="s">
        <v>87</v>
      </c>
      <c r="V9942" s="16" t="str">
        <f>IFERROR(__xludf.DUMMYFUNCTION("""COMPUTED_VALUE"""),"")</f>
        <v/>
      </c>
      <c r="W9942" s="16" t="str">
        <f>IFERROR(__xludf.DUMMYFUNCTION("""COMPUTED_VALUE"""),"")</f>
        <v/>
      </c>
      <c r="X9942" s="16" t="str">
        <f>IFERROR(__xludf.DUMMYFUNCTION("""COMPUTED_VALUE"""),"")</f>
        <v/>
      </c>
      <c r="AC9942" s="16" t="str">
        <f>IFERROR(__xludf.DUMMYFUNCTION("""COMPUTED_VALUE"""),"")</f>
        <v/>
      </c>
    </row>
    <row r="9943">
      <c r="A9943" s="16" t="s">
        <v>87</v>
      </c>
      <c r="E9943" s="16" t="str">
        <f>IFERROR(__xludf.DUMMYFUNCTION("""COMPUTED_VALUE"""),"")</f>
        <v/>
      </c>
      <c r="G9943" s="18"/>
      <c r="H9943" s="16" t="s">
        <v>87</v>
      </c>
      <c r="I9943" s="16" t="s">
        <v>87</v>
      </c>
      <c r="J9943" s="19"/>
      <c r="L9943" s="16" t="str">
        <f>IFERROR(__xludf.DUMMYFUNCTION("""COMPUTED_VALUE"""),"")</f>
        <v/>
      </c>
      <c r="M9943" s="16" t="str">
        <f>IFERROR(__xludf.DUMMYFUNCTION("""COMPUTED_VALUE"""),"")</f>
        <v/>
      </c>
      <c r="U9943" s="16" t="s">
        <v>87</v>
      </c>
      <c r="V9943" s="16" t="str">
        <f>IFERROR(__xludf.DUMMYFUNCTION("""COMPUTED_VALUE"""),"")</f>
        <v/>
      </c>
      <c r="W9943" s="16" t="str">
        <f>IFERROR(__xludf.DUMMYFUNCTION("""COMPUTED_VALUE"""),"")</f>
        <v/>
      </c>
      <c r="X9943" s="16" t="str">
        <f>IFERROR(__xludf.DUMMYFUNCTION("""COMPUTED_VALUE"""),"")</f>
        <v/>
      </c>
      <c r="AC9943" s="16" t="str">
        <f>IFERROR(__xludf.DUMMYFUNCTION("""COMPUTED_VALUE"""),"")</f>
        <v/>
      </c>
    </row>
    <row r="9944">
      <c r="A9944" s="16" t="s">
        <v>87</v>
      </c>
      <c r="E9944" s="16" t="str">
        <f>IFERROR(__xludf.DUMMYFUNCTION("""COMPUTED_VALUE"""),"")</f>
        <v/>
      </c>
      <c r="G9944" s="18"/>
      <c r="H9944" s="16" t="s">
        <v>87</v>
      </c>
      <c r="I9944" s="16" t="s">
        <v>87</v>
      </c>
      <c r="J9944" s="19"/>
      <c r="L9944" s="16" t="str">
        <f>IFERROR(__xludf.DUMMYFUNCTION("""COMPUTED_VALUE"""),"")</f>
        <v/>
      </c>
      <c r="M9944" s="16" t="str">
        <f>IFERROR(__xludf.DUMMYFUNCTION("""COMPUTED_VALUE"""),"")</f>
        <v/>
      </c>
      <c r="U9944" s="16" t="s">
        <v>87</v>
      </c>
      <c r="V9944" s="16" t="str">
        <f>IFERROR(__xludf.DUMMYFUNCTION("""COMPUTED_VALUE"""),"")</f>
        <v/>
      </c>
      <c r="W9944" s="16" t="str">
        <f>IFERROR(__xludf.DUMMYFUNCTION("""COMPUTED_VALUE"""),"")</f>
        <v/>
      </c>
      <c r="X9944" s="16" t="str">
        <f>IFERROR(__xludf.DUMMYFUNCTION("""COMPUTED_VALUE"""),"")</f>
        <v/>
      </c>
      <c r="AC9944" s="16" t="str">
        <f>IFERROR(__xludf.DUMMYFUNCTION("""COMPUTED_VALUE"""),"")</f>
        <v/>
      </c>
    </row>
    <row r="9945">
      <c r="A9945" s="16" t="s">
        <v>87</v>
      </c>
      <c r="E9945" s="16" t="str">
        <f>IFERROR(__xludf.DUMMYFUNCTION("""COMPUTED_VALUE"""),"")</f>
        <v/>
      </c>
      <c r="G9945" s="18"/>
      <c r="H9945" s="16" t="s">
        <v>87</v>
      </c>
      <c r="I9945" s="16" t="s">
        <v>87</v>
      </c>
      <c r="J9945" s="19"/>
      <c r="L9945" s="16" t="str">
        <f>IFERROR(__xludf.DUMMYFUNCTION("""COMPUTED_VALUE"""),"")</f>
        <v/>
      </c>
      <c r="M9945" s="16" t="str">
        <f>IFERROR(__xludf.DUMMYFUNCTION("""COMPUTED_VALUE"""),"")</f>
        <v/>
      </c>
      <c r="U9945" s="16" t="s">
        <v>87</v>
      </c>
      <c r="V9945" s="16" t="str">
        <f>IFERROR(__xludf.DUMMYFUNCTION("""COMPUTED_VALUE"""),"")</f>
        <v/>
      </c>
      <c r="W9945" s="16" t="str">
        <f>IFERROR(__xludf.DUMMYFUNCTION("""COMPUTED_VALUE"""),"")</f>
        <v/>
      </c>
      <c r="X9945" s="16" t="str">
        <f>IFERROR(__xludf.DUMMYFUNCTION("""COMPUTED_VALUE"""),"")</f>
        <v/>
      </c>
      <c r="AC9945" s="16" t="str">
        <f>IFERROR(__xludf.DUMMYFUNCTION("""COMPUTED_VALUE"""),"")</f>
        <v/>
      </c>
    </row>
    <row r="9946">
      <c r="A9946" s="16" t="s">
        <v>87</v>
      </c>
      <c r="E9946" s="16" t="str">
        <f>IFERROR(__xludf.DUMMYFUNCTION("""COMPUTED_VALUE"""),"")</f>
        <v/>
      </c>
      <c r="G9946" s="18"/>
      <c r="H9946" s="16" t="s">
        <v>87</v>
      </c>
      <c r="I9946" s="16" t="s">
        <v>87</v>
      </c>
      <c r="J9946" s="19"/>
      <c r="L9946" s="16" t="str">
        <f>IFERROR(__xludf.DUMMYFUNCTION("""COMPUTED_VALUE"""),"")</f>
        <v/>
      </c>
      <c r="M9946" s="16" t="str">
        <f>IFERROR(__xludf.DUMMYFUNCTION("""COMPUTED_VALUE"""),"")</f>
        <v/>
      </c>
      <c r="U9946" s="16" t="s">
        <v>87</v>
      </c>
      <c r="V9946" s="16" t="str">
        <f>IFERROR(__xludf.DUMMYFUNCTION("""COMPUTED_VALUE"""),"")</f>
        <v/>
      </c>
      <c r="W9946" s="16" t="str">
        <f>IFERROR(__xludf.DUMMYFUNCTION("""COMPUTED_VALUE"""),"")</f>
        <v/>
      </c>
      <c r="X9946" s="16" t="str">
        <f>IFERROR(__xludf.DUMMYFUNCTION("""COMPUTED_VALUE"""),"")</f>
        <v/>
      </c>
      <c r="AC9946" s="16" t="str">
        <f>IFERROR(__xludf.DUMMYFUNCTION("""COMPUTED_VALUE"""),"")</f>
        <v/>
      </c>
    </row>
    <row r="9947">
      <c r="A9947" s="16" t="s">
        <v>87</v>
      </c>
      <c r="E9947" s="16" t="str">
        <f>IFERROR(__xludf.DUMMYFUNCTION("""COMPUTED_VALUE"""),"")</f>
        <v/>
      </c>
      <c r="G9947" s="18"/>
      <c r="H9947" s="16" t="s">
        <v>87</v>
      </c>
      <c r="I9947" s="16" t="s">
        <v>87</v>
      </c>
      <c r="J9947" s="19"/>
      <c r="L9947" s="16" t="str">
        <f>IFERROR(__xludf.DUMMYFUNCTION("""COMPUTED_VALUE"""),"")</f>
        <v/>
      </c>
      <c r="M9947" s="16" t="str">
        <f>IFERROR(__xludf.DUMMYFUNCTION("""COMPUTED_VALUE"""),"")</f>
        <v/>
      </c>
      <c r="U9947" s="16" t="s">
        <v>87</v>
      </c>
      <c r="V9947" s="16" t="str">
        <f>IFERROR(__xludf.DUMMYFUNCTION("""COMPUTED_VALUE"""),"")</f>
        <v/>
      </c>
      <c r="W9947" s="16" t="str">
        <f>IFERROR(__xludf.DUMMYFUNCTION("""COMPUTED_VALUE"""),"")</f>
        <v/>
      </c>
      <c r="X9947" s="16" t="str">
        <f>IFERROR(__xludf.DUMMYFUNCTION("""COMPUTED_VALUE"""),"")</f>
        <v/>
      </c>
      <c r="AC9947" s="16" t="str">
        <f>IFERROR(__xludf.DUMMYFUNCTION("""COMPUTED_VALUE"""),"")</f>
        <v/>
      </c>
    </row>
    <row r="9948">
      <c r="A9948" s="16" t="s">
        <v>87</v>
      </c>
      <c r="E9948" s="16" t="str">
        <f>IFERROR(__xludf.DUMMYFUNCTION("""COMPUTED_VALUE"""),"")</f>
        <v/>
      </c>
      <c r="G9948" s="18"/>
      <c r="H9948" s="16" t="s">
        <v>87</v>
      </c>
      <c r="I9948" s="16" t="s">
        <v>87</v>
      </c>
      <c r="J9948" s="19"/>
      <c r="L9948" s="16" t="str">
        <f>IFERROR(__xludf.DUMMYFUNCTION("""COMPUTED_VALUE"""),"")</f>
        <v/>
      </c>
      <c r="M9948" s="16" t="str">
        <f>IFERROR(__xludf.DUMMYFUNCTION("""COMPUTED_VALUE"""),"")</f>
        <v/>
      </c>
      <c r="U9948" s="16" t="s">
        <v>87</v>
      </c>
      <c r="V9948" s="16" t="str">
        <f>IFERROR(__xludf.DUMMYFUNCTION("""COMPUTED_VALUE"""),"")</f>
        <v/>
      </c>
      <c r="W9948" s="16" t="str">
        <f>IFERROR(__xludf.DUMMYFUNCTION("""COMPUTED_VALUE"""),"")</f>
        <v/>
      </c>
      <c r="X9948" s="16" t="str">
        <f>IFERROR(__xludf.DUMMYFUNCTION("""COMPUTED_VALUE"""),"")</f>
        <v/>
      </c>
      <c r="AC9948" s="16" t="str">
        <f>IFERROR(__xludf.DUMMYFUNCTION("""COMPUTED_VALUE"""),"")</f>
        <v/>
      </c>
    </row>
    <row r="9949">
      <c r="A9949" s="16" t="s">
        <v>87</v>
      </c>
      <c r="E9949" s="16" t="str">
        <f>IFERROR(__xludf.DUMMYFUNCTION("""COMPUTED_VALUE"""),"")</f>
        <v/>
      </c>
      <c r="G9949" s="18"/>
      <c r="H9949" s="16" t="s">
        <v>87</v>
      </c>
      <c r="I9949" s="16" t="s">
        <v>87</v>
      </c>
      <c r="J9949" s="19"/>
      <c r="L9949" s="16" t="str">
        <f>IFERROR(__xludf.DUMMYFUNCTION("""COMPUTED_VALUE"""),"")</f>
        <v/>
      </c>
      <c r="M9949" s="16" t="str">
        <f>IFERROR(__xludf.DUMMYFUNCTION("""COMPUTED_VALUE"""),"")</f>
        <v/>
      </c>
      <c r="U9949" s="16" t="s">
        <v>87</v>
      </c>
      <c r="V9949" s="16" t="str">
        <f>IFERROR(__xludf.DUMMYFUNCTION("""COMPUTED_VALUE"""),"")</f>
        <v/>
      </c>
      <c r="W9949" s="16" t="str">
        <f>IFERROR(__xludf.DUMMYFUNCTION("""COMPUTED_VALUE"""),"")</f>
        <v/>
      </c>
      <c r="X9949" s="16" t="str">
        <f>IFERROR(__xludf.DUMMYFUNCTION("""COMPUTED_VALUE"""),"")</f>
        <v/>
      </c>
      <c r="AC9949" s="16" t="str">
        <f>IFERROR(__xludf.DUMMYFUNCTION("""COMPUTED_VALUE"""),"")</f>
        <v/>
      </c>
    </row>
    <row r="9950">
      <c r="A9950" s="16" t="s">
        <v>87</v>
      </c>
      <c r="E9950" s="16" t="str">
        <f>IFERROR(__xludf.DUMMYFUNCTION("""COMPUTED_VALUE"""),"")</f>
        <v/>
      </c>
      <c r="G9950" s="18"/>
      <c r="H9950" s="16" t="s">
        <v>87</v>
      </c>
      <c r="I9950" s="16" t="s">
        <v>87</v>
      </c>
      <c r="J9950" s="19"/>
      <c r="L9950" s="16" t="str">
        <f>IFERROR(__xludf.DUMMYFUNCTION("""COMPUTED_VALUE"""),"")</f>
        <v/>
      </c>
      <c r="M9950" s="16" t="str">
        <f>IFERROR(__xludf.DUMMYFUNCTION("""COMPUTED_VALUE"""),"")</f>
        <v/>
      </c>
      <c r="U9950" s="16" t="s">
        <v>87</v>
      </c>
      <c r="V9950" s="16" t="str">
        <f>IFERROR(__xludf.DUMMYFUNCTION("""COMPUTED_VALUE"""),"")</f>
        <v/>
      </c>
      <c r="W9950" s="16" t="str">
        <f>IFERROR(__xludf.DUMMYFUNCTION("""COMPUTED_VALUE"""),"")</f>
        <v/>
      </c>
      <c r="X9950" s="16" t="str">
        <f>IFERROR(__xludf.DUMMYFUNCTION("""COMPUTED_VALUE"""),"")</f>
        <v/>
      </c>
      <c r="AC9950" s="16" t="str">
        <f>IFERROR(__xludf.DUMMYFUNCTION("""COMPUTED_VALUE"""),"")</f>
        <v/>
      </c>
    </row>
    <row r="9951">
      <c r="A9951" s="16" t="s">
        <v>87</v>
      </c>
      <c r="E9951" s="16" t="str">
        <f>IFERROR(__xludf.DUMMYFUNCTION("""COMPUTED_VALUE"""),"")</f>
        <v/>
      </c>
      <c r="G9951" s="18"/>
      <c r="H9951" s="16" t="s">
        <v>87</v>
      </c>
      <c r="I9951" s="16" t="s">
        <v>87</v>
      </c>
      <c r="J9951" s="19"/>
      <c r="L9951" s="16" t="str">
        <f>IFERROR(__xludf.DUMMYFUNCTION("""COMPUTED_VALUE"""),"")</f>
        <v/>
      </c>
      <c r="M9951" s="16" t="str">
        <f>IFERROR(__xludf.DUMMYFUNCTION("""COMPUTED_VALUE"""),"")</f>
        <v/>
      </c>
      <c r="U9951" s="16" t="s">
        <v>87</v>
      </c>
      <c r="V9951" s="16" t="str">
        <f>IFERROR(__xludf.DUMMYFUNCTION("""COMPUTED_VALUE"""),"")</f>
        <v/>
      </c>
      <c r="W9951" s="16" t="str">
        <f>IFERROR(__xludf.DUMMYFUNCTION("""COMPUTED_VALUE"""),"")</f>
        <v/>
      </c>
      <c r="X9951" s="16" t="str">
        <f>IFERROR(__xludf.DUMMYFUNCTION("""COMPUTED_VALUE"""),"")</f>
        <v/>
      </c>
      <c r="AC9951" s="16" t="str">
        <f>IFERROR(__xludf.DUMMYFUNCTION("""COMPUTED_VALUE"""),"")</f>
        <v/>
      </c>
    </row>
    <row r="9952">
      <c r="A9952" s="16" t="s">
        <v>87</v>
      </c>
      <c r="E9952" s="16" t="str">
        <f>IFERROR(__xludf.DUMMYFUNCTION("""COMPUTED_VALUE"""),"")</f>
        <v/>
      </c>
      <c r="G9952" s="18"/>
      <c r="H9952" s="16" t="s">
        <v>87</v>
      </c>
      <c r="I9952" s="16" t="s">
        <v>87</v>
      </c>
      <c r="J9952" s="19"/>
      <c r="L9952" s="16" t="str">
        <f>IFERROR(__xludf.DUMMYFUNCTION("""COMPUTED_VALUE"""),"")</f>
        <v/>
      </c>
      <c r="M9952" s="16" t="str">
        <f>IFERROR(__xludf.DUMMYFUNCTION("""COMPUTED_VALUE"""),"")</f>
        <v/>
      </c>
      <c r="U9952" s="16" t="s">
        <v>87</v>
      </c>
      <c r="V9952" s="16" t="str">
        <f>IFERROR(__xludf.DUMMYFUNCTION("""COMPUTED_VALUE"""),"")</f>
        <v/>
      </c>
      <c r="W9952" s="16" t="str">
        <f>IFERROR(__xludf.DUMMYFUNCTION("""COMPUTED_VALUE"""),"")</f>
        <v/>
      </c>
      <c r="X9952" s="16" t="str">
        <f>IFERROR(__xludf.DUMMYFUNCTION("""COMPUTED_VALUE"""),"")</f>
        <v/>
      </c>
      <c r="AC9952" s="16" t="str">
        <f>IFERROR(__xludf.DUMMYFUNCTION("""COMPUTED_VALUE"""),"")</f>
        <v/>
      </c>
    </row>
    <row r="9953">
      <c r="A9953" s="16" t="s">
        <v>87</v>
      </c>
      <c r="E9953" s="16" t="str">
        <f>IFERROR(__xludf.DUMMYFUNCTION("""COMPUTED_VALUE"""),"")</f>
        <v/>
      </c>
      <c r="G9953" s="18"/>
      <c r="H9953" s="16" t="s">
        <v>87</v>
      </c>
      <c r="I9953" s="16" t="s">
        <v>87</v>
      </c>
      <c r="J9953" s="19"/>
      <c r="L9953" s="16" t="str">
        <f>IFERROR(__xludf.DUMMYFUNCTION("""COMPUTED_VALUE"""),"")</f>
        <v/>
      </c>
      <c r="M9953" s="16" t="str">
        <f>IFERROR(__xludf.DUMMYFUNCTION("""COMPUTED_VALUE"""),"")</f>
        <v/>
      </c>
      <c r="U9953" s="16" t="s">
        <v>87</v>
      </c>
      <c r="V9953" s="16" t="str">
        <f>IFERROR(__xludf.DUMMYFUNCTION("""COMPUTED_VALUE"""),"")</f>
        <v/>
      </c>
      <c r="W9953" s="16" t="str">
        <f>IFERROR(__xludf.DUMMYFUNCTION("""COMPUTED_VALUE"""),"")</f>
        <v/>
      </c>
      <c r="X9953" s="16" t="str">
        <f>IFERROR(__xludf.DUMMYFUNCTION("""COMPUTED_VALUE"""),"")</f>
        <v/>
      </c>
      <c r="AC9953" s="16" t="str">
        <f>IFERROR(__xludf.DUMMYFUNCTION("""COMPUTED_VALUE"""),"")</f>
        <v/>
      </c>
    </row>
    <row r="9954">
      <c r="A9954" s="16" t="s">
        <v>87</v>
      </c>
      <c r="E9954" s="16" t="str">
        <f>IFERROR(__xludf.DUMMYFUNCTION("""COMPUTED_VALUE"""),"")</f>
        <v/>
      </c>
      <c r="G9954" s="18"/>
      <c r="H9954" s="16" t="s">
        <v>87</v>
      </c>
      <c r="I9954" s="16" t="s">
        <v>87</v>
      </c>
      <c r="J9954" s="19"/>
      <c r="L9954" s="16" t="str">
        <f>IFERROR(__xludf.DUMMYFUNCTION("""COMPUTED_VALUE"""),"")</f>
        <v/>
      </c>
      <c r="M9954" s="16" t="str">
        <f>IFERROR(__xludf.DUMMYFUNCTION("""COMPUTED_VALUE"""),"")</f>
        <v/>
      </c>
      <c r="U9954" s="16" t="s">
        <v>87</v>
      </c>
      <c r="V9954" s="16" t="str">
        <f>IFERROR(__xludf.DUMMYFUNCTION("""COMPUTED_VALUE"""),"")</f>
        <v/>
      </c>
      <c r="W9954" s="16" t="str">
        <f>IFERROR(__xludf.DUMMYFUNCTION("""COMPUTED_VALUE"""),"")</f>
        <v/>
      </c>
      <c r="X9954" s="16" t="str">
        <f>IFERROR(__xludf.DUMMYFUNCTION("""COMPUTED_VALUE"""),"")</f>
        <v/>
      </c>
      <c r="AC9954" s="16" t="str">
        <f>IFERROR(__xludf.DUMMYFUNCTION("""COMPUTED_VALUE"""),"")</f>
        <v/>
      </c>
    </row>
    <row r="9955">
      <c r="A9955" s="16" t="s">
        <v>87</v>
      </c>
      <c r="E9955" s="16" t="str">
        <f>IFERROR(__xludf.DUMMYFUNCTION("""COMPUTED_VALUE"""),"")</f>
        <v/>
      </c>
      <c r="G9955" s="18"/>
      <c r="H9955" s="16" t="s">
        <v>87</v>
      </c>
      <c r="I9955" s="16" t="s">
        <v>87</v>
      </c>
      <c r="J9955" s="19"/>
      <c r="L9955" s="16" t="str">
        <f>IFERROR(__xludf.DUMMYFUNCTION("""COMPUTED_VALUE"""),"")</f>
        <v/>
      </c>
      <c r="M9955" s="16" t="str">
        <f>IFERROR(__xludf.DUMMYFUNCTION("""COMPUTED_VALUE"""),"")</f>
        <v/>
      </c>
      <c r="U9955" s="16" t="s">
        <v>87</v>
      </c>
      <c r="V9955" s="16" t="str">
        <f>IFERROR(__xludf.DUMMYFUNCTION("""COMPUTED_VALUE"""),"")</f>
        <v/>
      </c>
      <c r="W9955" s="16" t="str">
        <f>IFERROR(__xludf.DUMMYFUNCTION("""COMPUTED_VALUE"""),"")</f>
        <v/>
      </c>
      <c r="X9955" s="16" t="str">
        <f>IFERROR(__xludf.DUMMYFUNCTION("""COMPUTED_VALUE"""),"")</f>
        <v/>
      </c>
      <c r="AC9955" s="16" t="str">
        <f>IFERROR(__xludf.DUMMYFUNCTION("""COMPUTED_VALUE"""),"")</f>
        <v/>
      </c>
    </row>
    <row r="9956">
      <c r="A9956" s="16" t="s">
        <v>87</v>
      </c>
      <c r="E9956" s="16" t="str">
        <f>IFERROR(__xludf.DUMMYFUNCTION("""COMPUTED_VALUE"""),"")</f>
        <v/>
      </c>
      <c r="G9956" s="18"/>
      <c r="H9956" s="16" t="s">
        <v>87</v>
      </c>
      <c r="I9956" s="16" t="s">
        <v>87</v>
      </c>
      <c r="J9956" s="19"/>
      <c r="L9956" s="16" t="str">
        <f>IFERROR(__xludf.DUMMYFUNCTION("""COMPUTED_VALUE"""),"")</f>
        <v/>
      </c>
      <c r="M9956" s="16" t="str">
        <f>IFERROR(__xludf.DUMMYFUNCTION("""COMPUTED_VALUE"""),"")</f>
        <v/>
      </c>
      <c r="U9956" s="16" t="s">
        <v>87</v>
      </c>
      <c r="V9956" s="16" t="str">
        <f>IFERROR(__xludf.DUMMYFUNCTION("""COMPUTED_VALUE"""),"")</f>
        <v/>
      </c>
      <c r="W9956" s="16" t="str">
        <f>IFERROR(__xludf.DUMMYFUNCTION("""COMPUTED_VALUE"""),"")</f>
        <v/>
      </c>
      <c r="X9956" s="16" t="str">
        <f>IFERROR(__xludf.DUMMYFUNCTION("""COMPUTED_VALUE"""),"")</f>
        <v/>
      </c>
      <c r="AC9956" s="16" t="str">
        <f>IFERROR(__xludf.DUMMYFUNCTION("""COMPUTED_VALUE"""),"")</f>
        <v/>
      </c>
    </row>
    <row r="9957">
      <c r="A9957" s="16" t="s">
        <v>87</v>
      </c>
      <c r="E9957" s="16" t="str">
        <f>IFERROR(__xludf.DUMMYFUNCTION("""COMPUTED_VALUE"""),"")</f>
        <v/>
      </c>
      <c r="G9957" s="18"/>
      <c r="H9957" s="16" t="s">
        <v>87</v>
      </c>
      <c r="I9957" s="16" t="s">
        <v>87</v>
      </c>
      <c r="J9957" s="19"/>
      <c r="L9957" s="16" t="str">
        <f>IFERROR(__xludf.DUMMYFUNCTION("""COMPUTED_VALUE"""),"")</f>
        <v/>
      </c>
      <c r="M9957" s="16" t="str">
        <f>IFERROR(__xludf.DUMMYFUNCTION("""COMPUTED_VALUE"""),"")</f>
        <v/>
      </c>
      <c r="U9957" s="16" t="s">
        <v>87</v>
      </c>
      <c r="V9957" s="16" t="str">
        <f>IFERROR(__xludf.DUMMYFUNCTION("""COMPUTED_VALUE"""),"")</f>
        <v/>
      </c>
      <c r="W9957" s="16" t="str">
        <f>IFERROR(__xludf.DUMMYFUNCTION("""COMPUTED_VALUE"""),"")</f>
        <v/>
      </c>
      <c r="X9957" s="16" t="str">
        <f>IFERROR(__xludf.DUMMYFUNCTION("""COMPUTED_VALUE"""),"")</f>
        <v/>
      </c>
      <c r="AC9957" s="16" t="str">
        <f>IFERROR(__xludf.DUMMYFUNCTION("""COMPUTED_VALUE"""),"")</f>
        <v/>
      </c>
    </row>
    <row r="9958">
      <c r="A9958" s="16" t="s">
        <v>87</v>
      </c>
      <c r="E9958" s="16" t="str">
        <f>IFERROR(__xludf.DUMMYFUNCTION("""COMPUTED_VALUE"""),"")</f>
        <v/>
      </c>
      <c r="G9958" s="18"/>
      <c r="H9958" s="16" t="s">
        <v>87</v>
      </c>
      <c r="I9958" s="16" t="s">
        <v>87</v>
      </c>
      <c r="J9958" s="19"/>
      <c r="L9958" s="16" t="str">
        <f>IFERROR(__xludf.DUMMYFUNCTION("""COMPUTED_VALUE"""),"")</f>
        <v/>
      </c>
      <c r="M9958" s="16" t="str">
        <f>IFERROR(__xludf.DUMMYFUNCTION("""COMPUTED_VALUE"""),"")</f>
        <v/>
      </c>
      <c r="U9958" s="16" t="s">
        <v>87</v>
      </c>
      <c r="V9958" s="16" t="str">
        <f>IFERROR(__xludf.DUMMYFUNCTION("""COMPUTED_VALUE"""),"")</f>
        <v/>
      </c>
      <c r="W9958" s="16" t="str">
        <f>IFERROR(__xludf.DUMMYFUNCTION("""COMPUTED_VALUE"""),"")</f>
        <v/>
      </c>
      <c r="X9958" s="16" t="str">
        <f>IFERROR(__xludf.DUMMYFUNCTION("""COMPUTED_VALUE"""),"")</f>
        <v/>
      </c>
      <c r="AC9958" s="16" t="str">
        <f>IFERROR(__xludf.DUMMYFUNCTION("""COMPUTED_VALUE"""),"")</f>
        <v/>
      </c>
    </row>
    <row r="9959">
      <c r="A9959" s="16" t="s">
        <v>87</v>
      </c>
      <c r="E9959" s="16" t="str">
        <f>IFERROR(__xludf.DUMMYFUNCTION("""COMPUTED_VALUE"""),"")</f>
        <v/>
      </c>
      <c r="G9959" s="18"/>
      <c r="H9959" s="16" t="s">
        <v>87</v>
      </c>
      <c r="I9959" s="16" t="s">
        <v>87</v>
      </c>
      <c r="J9959" s="19"/>
      <c r="L9959" s="16" t="str">
        <f>IFERROR(__xludf.DUMMYFUNCTION("""COMPUTED_VALUE"""),"")</f>
        <v/>
      </c>
      <c r="M9959" s="16" t="str">
        <f>IFERROR(__xludf.DUMMYFUNCTION("""COMPUTED_VALUE"""),"")</f>
        <v/>
      </c>
      <c r="U9959" s="16" t="s">
        <v>87</v>
      </c>
      <c r="V9959" s="16" t="str">
        <f>IFERROR(__xludf.DUMMYFUNCTION("""COMPUTED_VALUE"""),"")</f>
        <v/>
      </c>
      <c r="W9959" s="16" t="str">
        <f>IFERROR(__xludf.DUMMYFUNCTION("""COMPUTED_VALUE"""),"")</f>
        <v/>
      </c>
      <c r="X9959" s="16" t="str">
        <f>IFERROR(__xludf.DUMMYFUNCTION("""COMPUTED_VALUE"""),"")</f>
        <v/>
      </c>
      <c r="AC9959" s="16" t="str">
        <f>IFERROR(__xludf.DUMMYFUNCTION("""COMPUTED_VALUE"""),"")</f>
        <v/>
      </c>
    </row>
    <row r="9960">
      <c r="A9960" s="16" t="s">
        <v>87</v>
      </c>
      <c r="E9960" s="16" t="str">
        <f>IFERROR(__xludf.DUMMYFUNCTION("""COMPUTED_VALUE"""),"")</f>
        <v/>
      </c>
      <c r="G9960" s="18"/>
      <c r="H9960" s="16" t="s">
        <v>87</v>
      </c>
      <c r="I9960" s="16" t="s">
        <v>87</v>
      </c>
      <c r="J9960" s="19"/>
      <c r="L9960" s="16" t="str">
        <f>IFERROR(__xludf.DUMMYFUNCTION("""COMPUTED_VALUE"""),"")</f>
        <v/>
      </c>
      <c r="M9960" s="16" t="str">
        <f>IFERROR(__xludf.DUMMYFUNCTION("""COMPUTED_VALUE"""),"")</f>
        <v/>
      </c>
      <c r="U9960" s="16" t="s">
        <v>87</v>
      </c>
      <c r="V9960" s="16" t="str">
        <f>IFERROR(__xludf.DUMMYFUNCTION("""COMPUTED_VALUE"""),"")</f>
        <v/>
      </c>
      <c r="W9960" s="16" t="str">
        <f>IFERROR(__xludf.DUMMYFUNCTION("""COMPUTED_VALUE"""),"")</f>
        <v/>
      </c>
      <c r="X9960" s="16" t="str">
        <f>IFERROR(__xludf.DUMMYFUNCTION("""COMPUTED_VALUE"""),"")</f>
        <v/>
      </c>
      <c r="AC9960" s="16" t="str">
        <f>IFERROR(__xludf.DUMMYFUNCTION("""COMPUTED_VALUE"""),"")</f>
        <v/>
      </c>
    </row>
    <row r="9961">
      <c r="A9961" s="16" t="s">
        <v>87</v>
      </c>
      <c r="E9961" s="16" t="str">
        <f>IFERROR(__xludf.DUMMYFUNCTION("""COMPUTED_VALUE"""),"")</f>
        <v/>
      </c>
      <c r="G9961" s="18"/>
      <c r="H9961" s="16" t="s">
        <v>87</v>
      </c>
      <c r="I9961" s="16" t="s">
        <v>87</v>
      </c>
      <c r="J9961" s="19"/>
      <c r="L9961" s="16" t="str">
        <f>IFERROR(__xludf.DUMMYFUNCTION("""COMPUTED_VALUE"""),"")</f>
        <v/>
      </c>
      <c r="M9961" s="16" t="str">
        <f>IFERROR(__xludf.DUMMYFUNCTION("""COMPUTED_VALUE"""),"")</f>
        <v/>
      </c>
      <c r="U9961" s="16" t="s">
        <v>87</v>
      </c>
      <c r="V9961" s="16" t="str">
        <f>IFERROR(__xludf.DUMMYFUNCTION("""COMPUTED_VALUE"""),"")</f>
        <v/>
      </c>
      <c r="W9961" s="16" t="str">
        <f>IFERROR(__xludf.DUMMYFUNCTION("""COMPUTED_VALUE"""),"")</f>
        <v/>
      </c>
      <c r="X9961" s="16" t="str">
        <f>IFERROR(__xludf.DUMMYFUNCTION("""COMPUTED_VALUE"""),"")</f>
        <v/>
      </c>
      <c r="AC9961" s="16" t="str">
        <f>IFERROR(__xludf.DUMMYFUNCTION("""COMPUTED_VALUE"""),"")</f>
        <v/>
      </c>
    </row>
    <row r="9962">
      <c r="A9962" s="16" t="s">
        <v>87</v>
      </c>
      <c r="E9962" s="16" t="str">
        <f>IFERROR(__xludf.DUMMYFUNCTION("""COMPUTED_VALUE"""),"")</f>
        <v/>
      </c>
      <c r="G9962" s="18"/>
      <c r="H9962" s="16" t="s">
        <v>87</v>
      </c>
      <c r="I9962" s="16" t="s">
        <v>87</v>
      </c>
      <c r="J9962" s="19"/>
      <c r="L9962" s="16" t="str">
        <f>IFERROR(__xludf.DUMMYFUNCTION("""COMPUTED_VALUE"""),"")</f>
        <v/>
      </c>
      <c r="M9962" s="16" t="str">
        <f>IFERROR(__xludf.DUMMYFUNCTION("""COMPUTED_VALUE"""),"")</f>
        <v/>
      </c>
      <c r="U9962" s="16" t="s">
        <v>87</v>
      </c>
      <c r="V9962" s="16" t="str">
        <f>IFERROR(__xludf.DUMMYFUNCTION("""COMPUTED_VALUE"""),"")</f>
        <v/>
      </c>
      <c r="W9962" s="16" t="str">
        <f>IFERROR(__xludf.DUMMYFUNCTION("""COMPUTED_VALUE"""),"")</f>
        <v/>
      </c>
      <c r="X9962" s="16" t="str">
        <f>IFERROR(__xludf.DUMMYFUNCTION("""COMPUTED_VALUE"""),"")</f>
        <v/>
      </c>
      <c r="AC9962" s="16" t="str">
        <f>IFERROR(__xludf.DUMMYFUNCTION("""COMPUTED_VALUE"""),"")</f>
        <v/>
      </c>
    </row>
    <row r="9963">
      <c r="A9963" s="16" t="s">
        <v>87</v>
      </c>
      <c r="E9963" s="16" t="str">
        <f>IFERROR(__xludf.DUMMYFUNCTION("""COMPUTED_VALUE"""),"")</f>
        <v/>
      </c>
      <c r="G9963" s="18"/>
      <c r="H9963" s="16" t="s">
        <v>87</v>
      </c>
      <c r="I9963" s="16" t="s">
        <v>87</v>
      </c>
      <c r="J9963" s="19"/>
      <c r="L9963" s="16" t="str">
        <f>IFERROR(__xludf.DUMMYFUNCTION("""COMPUTED_VALUE"""),"")</f>
        <v/>
      </c>
      <c r="M9963" s="16" t="str">
        <f>IFERROR(__xludf.DUMMYFUNCTION("""COMPUTED_VALUE"""),"")</f>
        <v/>
      </c>
      <c r="U9963" s="16" t="s">
        <v>87</v>
      </c>
      <c r="V9963" s="16" t="str">
        <f>IFERROR(__xludf.DUMMYFUNCTION("""COMPUTED_VALUE"""),"")</f>
        <v/>
      </c>
      <c r="W9963" s="16" t="str">
        <f>IFERROR(__xludf.DUMMYFUNCTION("""COMPUTED_VALUE"""),"")</f>
        <v/>
      </c>
      <c r="X9963" s="16" t="str">
        <f>IFERROR(__xludf.DUMMYFUNCTION("""COMPUTED_VALUE"""),"")</f>
        <v/>
      </c>
      <c r="AC9963" s="16" t="str">
        <f>IFERROR(__xludf.DUMMYFUNCTION("""COMPUTED_VALUE"""),"")</f>
        <v/>
      </c>
    </row>
    <row r="9964">
      <c r="A9964" s="16" t="s">
        <v>87</v>
      </c>
      <c r="E9964" s="16" t="str">
        <f>IFERROR(__xludf.DUMMYFUNCTION("""COMPUTED_VALUE"""),"")</f>
        <v/>
      </c>
      <c r="G9964" s="18"/>
      <c r="H9964" s="16" t="s">
        <v>87</v>
      </c>
      <c r="I9964" s="16" t="s">
        <v>87</v>
      </c>
      <c r="J9964" s="19"/>
      <c r="L9964" s="16" t="str">
        <f>IFERROR(__xludf.DUMMYFUNCTION("""COMPUTED_VALUE"""),"")</f>
        <v/>
      </c>
      <c r="M9964" s="16" t="str">
        <f>IFERROR(__xludf.DUMMYFUNCTION("""COMPUTED_VALUE"""),"")</f>
        <v/>
      </c>
      <c r="U9964" s="16" t="s">
        <v>87</v>
      </c>
      <c r="V9964" s="16" t="str">
        <f>IFERROR(__xludf.DUMMYFUNCTION("""COMPUTED_VALUE"""),"")</f>
        <v/>
      </c>
      <c r="W9964" s="16" t="str">
        <f>IFERROR(__xludf.DUMMYFUNCTION("""COMPUTED_VALUE"""),"")</f>
        <v/>
      </c>
      <c r="X9964" s="16" t="str">
        <f>IFERROR(__xludf.DUMMYFUNCTION("""COMPUTED_VALUE"""),"")</f>
        <v/>
      </c>
      <c r="AC9964" s="16" t="str">
        <f>IFERROR(__xludf.DUMMYFUNCTION("""COMPUTED_VALUE"""),"")</f>
        <v/>
      </c>
    </row>
    <row r="9965">
      <c r="A9965" s="16" t="s">
        <v>87</v>
      </c>
      <c r="E9965" s="16" t="str">
        <f>IFERROR(__xludf.DUMMYFUNCTION("""COMPUTED_VALUE"""),"")</f>
        <v/>
      </c>
      <c r="G9965" s="18"/>
      <c r="H9965" s="16" t="s">
        <v>87</v>
      </c>
      <c r="I9965" s="16" t="s">
        <v>87</v>
      </c>
      <c r="J9965" s="19"/>
      <c r="L9965" s="16" t="str">
        <f>IFERROR(__xludf.DUMMYFUNCTION("""COMPUTED_VALUE"""),"")</f>
        <v/>
      </c>
      <c r="M9965" s="16" t="str">
        <f>IFERROR(__xludf.DUMMYFUNCTION("""COMPUTED_VALUE"""),"")</f>
        <v/>
      </c>
      <c r="U9965" s="16" t="s">
        <v>87</v>
      </c>
      <c r="V9965" s="16" t="str">
        <f>IFERROR(__xludf.DUMMYFUNCTION("""COMPUTED_VALUE"""),"")</f>
        <v/>
      </c>
      <c r="W9965" s="16" t="str">
        <f>IFERROR(__xludf.DUMMYFUNCTION("""COMPUTED_VALUE"""),"")</f>
        <v/>
      </c>
      <c r="X9965" s="16" t="str">
        <f>IFERROR(__xludf.DUMMYFUNCTION("""COMPUTED_VALUE"""),"")</f>
        <v/>
      </c>
      <c r="AC9965" s="16" t="str">
        <f>IFERROR(__xludf.DUMMYFUNCTION("""COMPUTED_VALUE"""),"")</f>
        <v/>
      </c>
    </row>
    <row r="9966">
      <c r="A9966" s="16" t="s">
        <v>87</v>
      </c>
      <c r="E9966" s="16" t="str">
        <f>IFERROR(__xludf.DUMMYFUNCTION("""COMPUTED_VALUE"""),"")</f>
        <v/>
      </c>
      <c r="G9966" s="18"/>
      <c r="H9966" s="16" t="s">
        <v>87</v>
      </c>
      <c r="I9966" s="16" t="s">
        <v>87</v>
      </c>
      <c r="J9966" s="19"/>
      <c r="L9966" s="16" t="str">
        <f>IFERROR(__xludf.DUMMYFUNCTION("""COMPUTED_VALUE"""),"")</f>
        <v/>
      </c>
      <c r="M9966" s="16" t="str">
        <f>IFERROR(__xludf.DUMMYFUNCTION("""COMPUTED_VALUE"""),"")</f>
        <v/>
      </c>
      <c r="U9966" s="16" t="s">
        <v>87</v>
      </c>
      <c r="V9966" s="16" t="str">
        <f>IFERROR(__xludf.DUMMYFUNCTION("""COMPUTED_VALUE"""),"")</f>
        <v/>
      </c>
      <c r="W9966" s="16" t="str">
        <f>IFERROR(__xludf.DUMMYFUNCTION("""COMPUTED_VALUE"""),"")</f>
        <v/>
      </c>
      <c r="X9966" s="16" t="str">
        <f>IFERROR(__xludf.DUMMYFUNCTION("""COMPUTED_VALUE"""),"")</f>
        <v/>
      </c>
      <c r="AC9966" s="16" t="str">
        <f>IFERROR(__xludf.DUMMYFUNCTION("""COMPUTED_VALUE"""),"")</f>
        <v/>
      </c>
    </row>
    <row r="9967">
      <c r="A9967" s="16" t="s">
        <v>87</v>
      </c>
      <c r="E9967" s="16" t="str">
        <f>IFERROR(__xludf.DUMMYFUNCTION("""COMPUTED_VALUE"""),"")</f>
        <v/>
      </c>
      <c r="G9967" s="18"/>
      <c r="H9967" s="16" t="s">
        <v>87</v>
      </c>
      <c r="I9967" s="16" t="s">
        <v>87</v>
      </c>
      <c r="J9967" s="19"/>
      <c r="L9967" s="16" t="str">
        <f>IFERROR(__xludf.DUMMYFUNCTION("""COMPUTED_VALUE"""),"")</f>
        <v/>
      </c>
      <c r="M9967" s="16" t="str">
        <f>IFERROR(__xludf.DUMMYFUNCTION("""COMPUTED_VALUE"""),"")</f>
        <v/>
      </c>
      <c r="U9967" s="16" t="s">
        <v>87</v>
      </c>
      <c r="V9967" s="16" t="str">
        <f>IFERROR(__xludf.DUMMYFUNCTION("""COMPUTED_VALUE"""),"")</f>
        <v/>
      </c>
      <c r="W9967" s="16" t="str">
        <f>IFERROR(__xludf.DUMMYFUNCTION("""COMPUTED_VALUE"""),"")</f>
        <v/>
      </c>
      <c r="X9967" s="16" t="str">
        <f>IFERROR(__xludf.DUMMYFUNCTION("""COMPUTED_VALUE"""),"")</f>
        <v/>
      </c>
      <c r="AC9967" s="16" t="str">
        <f>IFERROR(__xludf.DUMMYFUNCTION("""COMPUTED_VALUE"""),"")</f>
        <v/>
      </c>
    </row>
    <row r="9968">
      <c r="A9968" s="16" t="s">
        <v>87</v>
      </c>
      <c r="E9968" s="16" t="str">
        <f>IFERROR(__xludf.DUMMYFUNCTION("""COMPUTED_VALUE"""),"")</f>
        <v/>
      </c>
      <c r="G9968" s="18"/>
      <c r="H9968" s="16" t="s">
        <v>87</v>
      </c>
      <c r="I9968" s="16" t="s">
        <v>87</v>
      </c>
      <c r="J9968" s="19"/>
      <c r="L9968" s="16" t="str">
        <f>IFERROR(__xludf.DUMMYFUNCTION("""COMPUTED_VALUE"""),"")</f>
        <v/>
      </c>
      <c r="M9968" s="16" t="str">
        <f>IFERROR(__xludf.DUMMYFUNCTION("""COMPUTED_VALUE"""),"")</f>
        <v/>
      </c>
      <c r="U9968" s="16" t="s">
        <v>87</v>
      </c>
      <c r="V9968" s="16" t="str">
        <f>IFERROR(__xludf.DUMMYFUNCTION("""COMPUTED_VALUE"""),"")</f>
        <v/>
      </c>
      <c r="W9968" s="16" t="str">
        <f>IFERROR(__xludf.DUMMYFUNCTION("""COMPUTED_VALUE"""),"")</f>
        <v/>
      </c>
      <c r="X9968" s="16" t="str">
        <f>IFERROR(__xludf.DUMMYFUNCTION("""COMPUTED_VALUE"""),"")</f>
        <v/>
      </c>
      <c r="AC9968" s="16" t="str">
        <f>IFERROR(__xludf.DUMMYFUNCTION("""COMPUTED_VALUE"""),"")</f>
        <v/>
      </c>
    </row>
    <row r="9969">
      <c r="A9969" s="16" t="s">
        <v>87</v>
      </c>
      <c r="E9969" s="16" t="str">
        <f>IFERROR(__xludf.DUMMYFUNCTION("""COMPUTED_VALUE"""),"")</f>
        <v/>
      </c>
      <c r="G9969" s="18"/>
      <c r="H9969" s="16" t="s">
        <v>87</v>
      </c>
      <c r="I9969" s="16" t="s">
        <v>87</v>
      </c>
      <c r="J9969" s="19"/>
      <c r="L9969" s="16" t="str">
        <f>IFERROR(__xludf.DUMMYFUNCTION("""COMPUTED_VALUE"""),"")</f>
        <v/>
      </c>
      <c r="M9969" s="16" t="str">
        <f>IFERROR(__xludf.DUMMYFUNCTION("""COMPUTED_VALUE"""),"")</f>
        <v/>
      </c>
      <c r="U9969" s="16" t="s">
        <v>87</v>
      </c>
      <c r="V9969" s="16" t="str">
        <f>IFERROR(__xludf.DUMMYFUNCTION("""COMPUTED_VALUE"""),"")</f>
        <v/>
      </c>
      <c r="W9969" s="16" t="str">
        <f>IFERROR(__xludf.DUMMYFUNCTION("""COMPUTED_VALUE"""),"")</f>
        <v/>
      </c>
      <c r="X9969" s="16" t="str">
        <f>IFERROR(__xludf.DUMMYFUNCTION("""COMPUTED_VALUE"""),"")</f>
        <v/>
      </c>
      <c r="AC9969" s="16" t="str">
        <f>IFERROR(__xludf.DUMMYFUNCTION("""COMPUTED_VALUE"""),"")</f>
        <v/>
      </c>
    </row>
    <row r="9970">
      <c r="A9970" s="16" t="s">
        <v>87</v>
      </c>
      <c r="E9970" s="16" t="str">
        <f>IFERROR(__xludf.DUMMYFUNCTION("""COMPUTED_VALUE"""),"")</f>
        <v/>
      </c>
      <c r="G9970" s="18"/>
      <c r="H9970" s="16" t="s">
        <v>87</v>
      </c>
      <c r="I9970" s="16" t="s">
        <v>87</v>
      </c>
      <c r="J9970" s="19"/>
      <c r="L9970" s="16" t="str">
        <f>IFERROR(__xludf.DUMMYFUNCTION("""COMPUTED_VALUE"""),"")</f>
        <v/>
      </c>
      <c r="M9970" s="16" t="str">
        <f>IFERROR(__xludf.DUMMYFUNCTION("""COMPUTED_VALUE"""),"")</f>
        <v/>
      </c>
      <c r="U9970" s="16" t="s">
        <v>87</v>
      </c>
      <c r="V9970" s="16" t="str">
        <f>IFERROR(__xludf.DUMMYFUNCTION("""COMPUTED_VALUE"""),"")</f>
        <v/>
      </c>
      <c r="W9970" s="16" t="str">
        <f>IFERROR(__xludf.DUMMYFUNCTION("""COMPUTED_VALUE"""),"")</f>
        <v/>
      </c>
      <c r="X9970" s="16" t="str">
        <f>IFERROR(__xludf.DUMMYFUNCTION("""COMPUTED_VALUE"""),"")</f>
        <v/>
      </c>
      <c r="AC9970" s="16" t="str">
        <f>IFERROR(__xludf.DUMMYFUNCTION("""COMPUTED_VALUE"""),"")</f>
        <v/>
      </c>
    </row>
    <row r="9971">
      <c r="A9971" s="16" t="s">
        <v>87</v>
      </c>
      <c r="E9971" s="16" t="str">
        <f>IFERROR(__xludf.DUMMYFUNCTION("""COMPUTED_VALUE"""),"")</f>
        <v/>
      </c>
      <c r="G9971" s="18"/>
      <c r="H9971" s="16" t="s">
        <v>87</v>
      </c>
      <c r="I9971" s="16" t="s">
        <v>87</v>
      </c>
      <c r="J9971" s="19"/>
      <c r="L9971" s="16" t="str">
        <f>IFERROR(__xludf.DUMMYFUNCTION("""COMPUTED_VALUE"""),"")</f>
        <v/>
      </c>
      <c r="M9971" s="16" t="str">
        <f>IFERROR(__xludf.DUMMYFUNCTION("""COMPUTED_VALUE"""),"")</f>
        <v/>
      </c>
      <c r="U9971" s="16" t="s">
        <v>87</v>
      </c>
      <c r="V9971" s="16" t="str">
        <f>IFERROR(__xludf.DUMMYFUNCTION("""COMPUTED_VALUE"""),"")</f>
        <v/>
      </c>
      <c r="W9971" s="16" t="str">
        <f>IFERROR(__xludf.DUMMYFUNCTION("""COMPUTED_VALUE"""),"")</f>
        <v/>
      </c>
      <c r="X9971" s="16" t="str">
        <f>IFERROR(__xludf.DUMMYFUNCTION("""COMPUTED_VALUE"""),"")</f>
        <v/>
      </c>
      <c r="AC9971" s="16" t="str">
        <f>IFERROR(__xludf.DUMMYFUNCTION("""COMPUTED_VALUE"""),"")</f>
        <v/>
      </c>
    </row>
    <row r="9972">
      <c r="A9972" s="16" t="s">
        <v>87</v>
      </c>
      <c r="E9972" s="16" t="str">
        <f>IFERROR(__xludf.DUMMYFUNCTION("""COMPUTED_VALUE"""),"")</f>
        <v/>
      </c>
      <c r="G9972" s="18"/>
      <c r="H9972" s="16" t="s">
        <v>87</v>
      </c>
      <c r="I9972" s="16" t="s">
        <v>87</v>
      </c>
      <c r="J9972" s="19"/>
      <c r="L9972" s="16" t="str">
        <f>IFERROR(__xludf.DUMMYFUNCTION("""COMPUTED_VALUE"""),"")</f>
        <v/>
      </c>
      <c r="M9972" s="16" t="str">
        <f>IFERROR(__xludf.DUMMYFUNCTION("""COMPUTED_VALUE"""),"")</f>
        <v/>
      </c>
      <c r="U9972" s="16" t="s">
        <v>87</v>
      </c>
      <c r="V9972" s="16" t="str">
        <f>IFERROR(__xludf.DUMMYFUNCTION("""COMPUTED_VALUE"""),"")</f>
        <v/>
      </c>
      <c r="W9972" s="16" t="str">
        <f>IFERROR(__xludf.DUMMYFUNCTION("""COMPUTED_VALUE"""),"")</f>
        <v/>
      </c>
      <c r="X9972" s="16" t="str">
        <f>IFERROR(__xludf.DUMMYFUNCTION("""COMPUTED_VALUE"""),"")</f>
        <v/>
      </c>
      <c r="AC9972" s="16" t="str">
        <f>IFERROR(__xludf.DUMMYFUNCTION("""COMPUTED_VALUE"""),"")</f>
        <v/>
      </c>
    </row>
    <row r="9973">
      <c r="A9973" s="16" t="s">
        <v>87</v>
      </c>
      <c r="E9973" s="16" t="str">
        <f>IFERROR(__xludf.DUMMYFUNCTION("""COMPUTED_VALUE"""),"")</f>
        <v/>
      </c>
      <c r="G9973" s="18"/>
      <c r="H9973" s="16" t="s">
        <v>87</v>
      </c>
      <c r="I9973" s="16" t="s">
        <v>87</v>
      </c>
      <c r="J9973" s="19"/>
      <c r="L9973" s="16" t="str">
        <f>IFERROR(__xludf.DUMMYFUNCTION("""COMPUTED_VALUE"""),"")</f>
        <v/>
      </c>
      <c r="M9973" s="16" t="str">
        <f>IFERROR(__xludf.DUMMYFUNCTION("""COMPUTED_VALUE"""),"")</f>
        <v/>
      </c>
      <c r="U9973" s="16" t="s">
        <v>87</v>
      </c>
      <c r="V9973" s="16" t="str">
        <f>IFERROR(__xludf.DUMMYFUNCTION("""COMPUTED_VALUE"""),"")</f>
        <v/>
      </c>
      <c r="W9973" s="16" t="str">
        <f>IFERROR(__xludf.DUMMYFUNCTION("""COMPUTED_VALUE"""),"")</f>
        <v/>
      </c>
      <c r="X9973" s="16" t="str">
        <f>IFERROR(__xludf.DUMMYFUNCTION("""COMPUTED_VALUE"""),"")</f>
        <v/>
      </c>
      <c r="AC9973" s="16" t="str">
        <f>IFERROR(__xludf.DUMMYFUNCTION("""COMPUTED_VALUE"""),"")</f>
        <v/>
      </c>
    </row>
    <row r="9974">
      <c r="A9974" s="16" t="s">
        <v>87</v>
      </c>
      <c r="E9974" s="16" t="str">
        <f>IFERROR(__xludf.DUMMYFUNCTION("""COMPUTED_VALUE"""),"")</f>
        <v/>
      </c>
      <c r="G9974" s="18"/>
      <c r="H9974" s="16" t="s">
        <v>87</v>
      </c>
      <c r="I9974" s="16" t="s">
        <v>87</v>
      </c>
      <c r="J9974" s="19"/>
      <c r="L9974" s="16" t="str">
        <f>IFERROR(__xludf.DUMMYFUNCTION("""COMPUTED_VALUE"""),"")</f>
        <v/>
      </c>
      <c r="M9974" s="16" t="str">
        <f>IFERROR(__xludf.DUMMYFUNCTION("""COMPUTED_VALUE"""),"")</f>
        <v/>
      </c>
      <c r="U9974" s="16" t="s">
        <v>87</v>
      </c>
      <c r="V9974" s="16" t="str">
        <f>IFERROR(__xludf.DUMMYFUNCTION("""COMPUTED_VALUE"""),"")</f>
        <v/>
      </c>
      <c r="W9974" s="16" t="str">
        <f>IFERROR(__xludf.DUMMYFUNCTION("""COMPUTED_VALUE"""),"")</f>
        <v/>
      </c>
      <c r="X9974" s="16" t="str">
        <f>IFERROR(__xludf.DUMMYFUNCTION("""COMPUTED_VALUE"""),"")</f>
        <v/>
      </c>
      <c r="AC9974" s="16" t="str">
        <f>IFERROR(__xludf.DUMMYFUNCTION("""COMPUTED_VALUE"""),"")</f>
        <v/>
      </c>
    </row>
    <row r="9975">
      <c r="A9975" s="16" t="s">
        <v>87</v>
      </c>
      <c r="E9975" s="16" t="str">
        <f>IFERROR(__xludf.DUMMYFUNCTION("""COMPUTED_VALUE"""),"")</f>
        <v/>
      </c>
      <c r="G9975" s="18"/>
      <c r="H9975" s="16" t="s">
        <v>87</v>
      </c>
      <c r="I9975" s="16" t="s">
        <v>87</v>
      </c>
      <c r="J9975" s="19"/>
      <c r="L9975" s="16" t="str">
        <f>IFERROR(__xludf.DUMMYFUNCTION("""COMPUTED_VALUE"""),"")</f>
        <v/>
      </c>
      <c r="M9975" s="16" t="str">
        <f>IFERROR(__xludf.DUMMYFUNCTION("""COMPUTED_VALUE"""),"")</f>
        <v/>
      </c>
      <c r="U9975" s="16" t="s">
        <v>87</v>
      </c>
      <c r="V9975" s="16" t="str">
        <f>IFERROR(__xludf.DUMMYFUNCTION("""COMPUTED_VALUE"""),"")</f>
        <v/>
      </c>
      <c r="W9975" s="16" t="str">
        <f>IFERROR(__xludf.DUMMYFUNCTION("""COMPUTED_VALUE"""),"")</f>
        <v/>
      </c>
      <c r="X9975" s="16" t="str">
        <f>IFERROR(__xludf.DUMMYFUNCTION("""COMPUTED_VALUE"""),"")</f>
        <v/>
      </c>
      <c r="AC9975" s="16" t="str">
        <f>IFERROR(__xludf.DUMMYFUNCTION("""COMPUTED_VALUE"""),"")</f>
        <v/>
      </c>
    </row>
    <row r="9976">
      <c r="A9976" s="16" t="s">
        <v>87</v>
      </c>
      <c r="E9976" s="16" t="str">
        <f>IFERROR(__xludf.DUMMYFUNCTION("""COMPUTED_VALUE"""),"")</f>
        <v/>
      </c>
      <c r="G9976" s="18"/>
      <c r="H9976" s="16" t="s">
        <v>87</v>
      </c>
      <c r="I9976" s="16" t="s">
        <v>87</v>
      </c>
      <c r="J9976" s="19"/>
      <c r="L9976" s="16" t="str">
        <f>IFERROR(__xludf.DUMMYFUNCTION("""COMPUTED_VALUE"""),"")</f>
        <v/>
      </c>
      <c r="M9976" s="16" t="str">
        <f>IFERROR(__xludf.DUMMYFUNCTION("""COMPUTED_VALUE"""),"")</f>
        <v/>
      </c>
      <c r="U9976" s="16" t="s">
        <v>87</v>
      </c>
      <c r="V9976" s="16" t="str">
        <f>IFERROR(__xludf.DUMMYFUNCTION("""COMPUTED_VALUE"""),"")</f>
        <v/>
      </c>
      <c r="W9976" s="16" t="str">
        <f>IFERROR(__xludf.DUMMYFUNCTION("""COMPUTED_VALUE"""),"")</f>
        <v/>
      </c>
      <c r="X9976" s="16" t="str">
        <f>IFERROR(__xludf.DUMMYFUNCTION("""COMPUTED_VALUE"""),"")</f>
        <v/>
      </c>
      <c r="AC9976" s="16" t="str">
        <f>IFERROR(__xludf.DUMMYFUNCTION("""COMPUTED_VALUE"""),"")</f>
        <v/>
      </c>
    </row>
    <row r="9977">
      <c r="A9977" s="16" t="s">
        <v>87</v>
      </c>
      <c r="E9977" s="16" t="str">
        <f>IFERROR(__xludf.DUMMYFUNCTION("""COMPUTED_VALUE"""),"")</f>
        <v/>
      </c>
      <c r="G9977" s="18"/>
      <c r="H9977" s="16" t="s">
        <v>87</v>
      </c>
      <c r="I9977" s="16" t="s">
        <v>87</v>
      </c>
      <c r="J9977" s="19"/>
      <c r="L9977" s="16" t="str">
        <f>IFERROR(__xludf.DUMMYFUNCTION("""COMPUTED_VALUE"""),"")</f>
        <v/>
      </c>
      <c r="M9977" s="16" t="str">
        <f>IFERROR(__xludf.DUMMYFUNCTION("""COMPUTED_VALUE"""),"")</f>
        <v/>
      </c>
      <c r="U9977" s="16" t="s">
        <v>87</v>
      </c>
      <c r="V9977" s="16" t="str">
        <f>IFERROR(__xludf.DUMMYFUNCTION("""COMPUTED_VALUE"""),"")</f>
        <v/>
      </c>
      <c r="W9977" s="16" t="str">
        <f>IFERROR(__xludf.DUMMYFUNCTION("""COMPUTED_VALUE"""),"")</f>
        <v/>
      </c>
      <c r="X9977" s="16" t="str">
        <f>IFERROR(__xludf.DUMMYFUNCTION("""COMPUTED_VALUE"""),"")</f>
        <v/>
      </c>
      <c r="AC9977" s="16" t="str">
        <f>IFERROR(__xludf.DUMMYFUNCTION("""COMPUTED_VALUE"""),"")</f>
        <v/>
      </c>
    </row>
    <row r="9978">
      <c r="A9978" s="16" t="s">
        <v>87</v>
      </c>
      <c r="E9978" s="16" t="str">
        <f>IFERROR(__xludf.DUMMYFUNCTION("""COMPUTED_VALUE"""),"")</f>
        <v/>
      </c>
      <c r="G9978" s="18"/>
      <c r="H9978" s="16" t="s">
        <v>87</v>
      </c>
      <c r="I9978" s="16" t="s">
        <v>87</v>
      </c>
      <c r="J9978" s="19"/>
      <c r="L9978" s="16" t="str">
        <f>IFERROR(__xludf.DUMMYFUNCTION("""COMPUTED_VALUE"""),"")</f>
        <v/>
      </c>
      <c r="M9978" s="16" t="str">
        <f>IFERROR(__xludf.DUMMYFUNCTION("""COMPUTED_VALUE"""),"")</f>
        <v/>
      </c>
      <c r="U9978" s="16" t="s">
        <v>87</v>
      </c>
      <c r="V9978" s="16" t="str">
        <f>IFERROR(__xludf.DUMMYFUNCTION("""COMPUTED_VALUE"""),"")</f>
        <v/>
      </c>
      <c r="W9978" s="16" t="str">
        <f>IFERROR(__xludf.DUMMYFUNCTION("""COMPUTED_VALUE"""),"")</f>
        <v/>
      </c>
      <c r="X9978" s="16" t="str">
        <f>IFERROR(__xludf.DUMMYFUNCTION("""COMPUTED_VALUE"""),"")</f>
        <v/>
      </c>
      <c r="AC9978" s="16" t="str">
        <f>IFERROR(__xludf.DUMMYFUNCTION("""COMPUTED_VALUE"""),"")</f>
        <v/>
      </c>
    </row>
    <row r="9979">
      <c r="A9979" s="16" t="s">
        <v>87</v>
      </c>
      <c r="E9979" s="16" t="str">
        <f>IFERROR(__xludf.DUMMYFUNCTION("""COMPUTED_VALUE"""),"")</f>
        <v/>
      </c>
      <c r="G9979" s="18"/>
      <c r="H9979" s="16" t="s">
        <v>87</v>
      </c>
      <c r="I9979" s="16" t="s">
        <v>87</v>
      </c>
      <c r="J9979" s="19"/>
      <c r="L9979" s="16" t="str">
        <f>IFERROR(__xludf.DUMMYFUNCTION("""COMPUTED_VALUE"""),"")</f>
        <v/>
      </c>
      <c r="M9979" s="16" t="str">
        <f>IFERROR(__xludf.DUMMYFUNCTION("""COMPUTED_VALUE"""),"")</f>
        <v/>
      </c>
      <c r="U9979" s="16" t="s">
        <v>87</v>
      </c>
      <c r="V9979" s="16" t="str">
        <f>IFERROR(__xludf.DUMMYFUNCTION("""COMPUTED_VALUE"""),"")</f>
        <v/>
      </c>
      <c r="W9979" s="16" t="str">
        <f>IFERROR(__xludf.DUMMYFUNCTION("""COMPUTED_VALUE"""),"")</f>
        <v/>
      </c>
      <c r="X9979" s="16" t="str">
        <f>IFERROR(__xludf.DUMMYFUNCTION("""COMPUTED_VALUE"""),"")</f>
        <v/>
      </c>
      <c r="AC9979" s="16" t="str">
        <f>IFERROR(__xludf.DUMMYFUNCTION("""COMPUTED_VALUE"""),"")</f>
        <v/>
      </c>
    </row>
    <row r="9980">
      <c r="A9980" s="16" t="s">
        <v>87</v>
      </c>
      <c r="E9980" s="16" t="str">
        <f>IFERROR(__xludf.DUMMYFUNCTION("""COMPUTED_VALUE"""),"")</f>
        <v/>
      </c>
      <c r="G9980" s="18"/>
      <c r="H9980" s="16" t="s">
        <v>87</v>
      </c>
      <c r="I9980" s="16" t="s">
        <v>87</v>
      </c>
      <c r="J9980" s="19"/>
      <c r="L9980" s="16" t="str">
        <f>IFERROR(__xludf.DUMMYFUNCTION("""COMPUTED_VALUE"""),"")</f>
        <v/>
      </c>
      <c r="M9980" s="16" t="str">
        <f>IFERROR(__xludf.DUMMYFUNCTION("""COMPUTED_VALUE"""),"")</f>
        <v/>
      </c>
      <c r="U9980" s="16" t="s">
        <v>87</v>
      </c>
      <c r="V9980" s="16" t="str">
        <f>IFERROR(__xludf.DUMMYFUNCTION("""COMPUTED_VALUE"""),"")</f>
        <v/>
      </c>
      <c r="W9980" s="16" t="str">
        <f>IFERROR(__xludf.DUMMYFUNCTION("""COMPUTED_VALUE"""),"")</f>
        <v/>
      </c>
      <c r="X9980" s="16" t="str">
        <f>IFERROR(__xludf.DUMMYFUNCTION("""COMPUTED_VALUE"""),"")</f>
        <v/>
      </c>
      <c r="AC9980" s="16" t="str">
        <f>IFERROR(__xludf.DUMMYFUNCTION("""COMPUTED_VALUE"""),"")</f>
        <v/>
      </c>
    </row>
    <row r="9981">
      <c r="A9981" s="16" t="s">
        <v>87</v>
      </c>
      <c r="E9981" s="16" t="str">
        <f>IFERROR(__xludf.DUMMYFUNCTION("""COMPUTED_VALUE"""),"")</f>
        <v/>
      </c>
      <c r="G9981" s="18"/>
      <c r="H9981" s="16" t="s">
        <v>87</v>
      </c>
      <c r="I9981" s="16" t="s">
        <v>87</v>
      </c>
      <c r="J9981" s="19"/>
      <c r="L9981" s="16" t="str">
        <f>IFERROR(__xludf.DUMMYFUNCTION("""COMPUTED_VALUE"""),"")</f>
        <v/>
      </c>
      <c r="M9981" s="16" t="str">
        <f>IFERROR(__xludf.DUMMYFUNCTION("""COMPUTED_VALUE"""),"")</f>
        <v/>
      </c>
      <c r="U9981" s="16" t="s">
        <v>87</v>
      </c>
      <c r="V9981" s="16" t="str">
        <f>IFERROR(__xludf.DUMMYFUNCTION("""COMPUTED_VALUE"""),"")</f>
        <v/>
      </c>
      <c r="W9981" s="16" t="str">
        <f>IFERROR(__xludf.DUMMYFUNCTION("""COMPUTED_VALUE"""),"")</f>
        <v/>
      </c>
      <c r="X9981" s="16" t="str">
        <f>IFERROR(__xludf.DUMMYFUNCTION("""COMPUTED_VALUE"""),"")</f>
        <v/>
      </c>
      <c r="AC9981" s="16" t="str">
        <f>IFERROR(__xludf.DUMMYFUNCTION("""COMPUTED_VALUE"""),"")</f>
        <v/>
      </c>
    </row>
    <row r="9982">
      <c r="A9982" s="16" t="s">
        <v>87</v>
      </c>
      <c r="E9982" s="16" t="str">
        <f>IFERROR(__xludf.DUMMYFUNCTION("""COMPUTED_VALUE"""),"")</f>
        <v/>
      </c>
      <c r="G9982" s="18"/>
      <c r="H9982" s="16" t="s">
        <v>87</v>
      </c>
      <c r="I9982" s="16" t="s">
        <v>87</v>
      </c>
      <c r="J9982" s="19"/>
      <c r="L9982" s="16" t="str">
        <f>IFERROR(__xludf.DUMMYFUNCTION("""COMPUTED_VALUE"""),"")</f>
        <v/>
      </c>
      <c r="M9982" s="16" t="str">
        <f>IFERROR(__xludf.DUMMYFUNCTION("""COMPUTED_VALUE"""),"")</f>
        <v/>
      </c>
      <c r="U9982" s="16" t="s">
        <v>87</v>
      </c>
      <c r="V9982" s="16" t="str">
        <f>IFERROR(__xludf.DUMMYFUNCTION("""COMPUTED_VALUE"""),"")</f>
        <v/>
      </c>
      <c r="W9982" s="16" t="str">
        <f>IFERROR(__xludf.DUMMYFUNCTION("""COMPUTED_VALUE"""),"")</f>
        <v/>
      </c>
      <c r="X9982" s="16" t="str">
        <f>IFERROR(__xludf.DUMMYFUNCTION("""COMPUTED_VALUE"""),"")</f>
        <v/>
      </c>
      <c r="AC9982" s="16" t="str">
        <f>IFERROR(__xludf.DUMMYFUNCTION("""COMPUTED_VALUE"""),"")</f>
        <v/>
      </c>
    </row>
    <row r="9983">
      <c r="A9983" s="16" t="s">
        <v>87</v>
      </c>
      <c r="E9983" s="16" t="str">
        <f>IFERROR(__xludf.DUMMYFUNCTION("""COMPUTED_VALUE"""),"")</f>
        <v/>
      </c>
      <c r="G9983" s="18"/>
      <c r="H9983" s="16" t="s">
        <v>87</v>
      </c>
      <c r="I9983" s="16" t="s">
        <v>87</v>
      </c>
      <c r="J9983" s="19"/>
      <c r="L9983" s="16" t="str">
        <f>IFERROR(__xludf.DUMMYFUNCTION("""COMPUTED_VALUE"""),"")</f>
        <v/>
      </c>
      <c r="M9983" s="16" t="str">
        <f>IFERROR(__xludf.DUMMYFUNCTION("""COMPUTED_VALUE"""),"")</f>
        <v/>
      </c>
      <c r="U9983" s="16" t="s">
        <v>87</v>
      </c>
      <c r="V9983" s="16" t="str">
        <f>IFERROR(__xludf.DUMMYFUNCTION("""COMPUTED_VALUE"""),"")</f>
        <v/>
      </c>
      <c r="W9983" s="16" t="str">
        <f>IFERROR(__xludf.DUMMYFUNCTION("""COMPUTED_VALUE"""),"")</f>
        <v/>
      </c>
      <c r="X9983" s="16" t="str">
        <f>IFERROR(__xludf.DUMMYFUNCTION("""COMPUTED_VALUE"""),"")</f>
        <v/>
      </c>
      <c r="AC9983" s="16" t="str">
        <f>IFERROR(__xludf.DUMMYFUNCTION("""COMPUTED_VALUE"""),"")</f>
        <v/>
      </c>
    </row>
    <row r="9984">
      <c r="A9984" s="16" t="s">
        <v>87</v>
      </c>
      <c r="E9984" s="16" t="str">
        <f>IFERROR(__xludf.DUMMYFUNCTION("""COMPUTED_VALUE"""),"")</f>
        <v/>
      </c>
      <c r="G9984" s="18"/>
      <c r="H9984" s="16" t="s">
        <v>87</v>
      </c>
      <c r="I9984" s="16" t="s">
        <v>87</v>
      </c>
      <c r="J9984" s="19"/>
      <c r="L9984" s="16" t="str">
        <f>IFERROR(__xludf.DUMMYFUNCTION("""COMPUTED_VALUE"""),"")</f>
        <v/>
      </c>
      <c r="M9984" s="16" t="str">
        <f>IFERROR(__xludf.DUMMYFUNCTION("""COMPUTED_VALUE"""),"")</f>
        <v/>
      </c>
      <c r="U9984" s="16" t="s">
        <v>87</v>
      </c>
      <c r="V9984" s="16" t="str">
        <f>IFERROR(__xludf.DUMMYFUNCTION("""COMPUTED_VALUE"""),"")</f>
        <v/>
      </c>
      <c r="W9984" s="16" t="str">
        <f>IFERROR(__xludf.DUMMYFUNCTION("""COMPUTED_VALUE"""),"")</f>
        <v/>
      </c>
      <c r="X9984" s="16" t="str">
        <f>IFERROR(__xludf.DUMMYFUNCTION("""COMPUTED_VALUE"""),"")</f>
        <v/>
      </c>
      <c r="AC9984" s="16" t="str">
        <f>IFERROR(__xludf.DUMMYFUNCTION("""COMPUTED_VALUE"""),"")</f>
        <v/>
      </c>
    </row>
    <row r="9985">
      <c r="A9985" s="16" t="s">
        <v>87</v>
      </c>
      <c r="E9985" s="16" t="str">
        <f>IFERROR(__xludf.DUMMYFUNCTION("""COMPUTED_VALUE"""),"")</f>
        <v/>
      </c>
      <c r="G9985" s="18"/>
      <c r="H9985" s="16" t="s">
        <v>87</v>
      </c>
      <c r="I9985" s="16" t="s">
        <v>87</v>
      </c>
      <c r="J9985" s="19"/>
      <c r="L9985" s="16" t="str">
        <f>IFERROR(__xludf.DUMMYFUNCTION("""COMPUTED_VALUE"""),"")</f>
        <v/>
      </c>
      <c r="M9985" s="16" t="str">
        <f>IFERROR(__xludf.DUMMYFUNCTION("""COMPUTED_VALUE"""),"")</f>
        <v/>
      </c>
      <c r="U9985" s="16" t="s">
        <v>87</v>
      </c>
      <c r="V9985" s="16" t="str">
        <f>IFERROR(__xludf.DUMMYFUNCTION("""COMPUTED_VALUE"""),"")</f>
        <v/>
      </c>
      <c r="W9985" s="16" t="str">
        <f>IFERROR(__xludf.DUMMYFUNCTION("""COMPUTED_VALUE"""),"")</f>
        <v/>
      </c>
      <c r="X9985" s="16" t="str">
        <f>IFERROR(__xludf.DUMMYFUNCTION("""COMPUTED_VALUE"""),"")</f>
        <v/>
      </c>
      <c r="AC9985" s="16" t="str">
        <f>IFERROR(__xludf.DUMMYFUNCTION("""COMPUTED_VALUE"""),"")</f>
        <v/>
      </c>
    </row>
    <row r="9986">
      <c r="A9986" s="16" t="s">
        <v>87</v>
      </c>
      <c r="E9986" s="16" t="str">
        <f>IFERROR(__xludf.DUMMYFUNCTION("""COMPUTED_VALUE"""),"")</f>
        <v/>
      </c>
      <c r="G9986" s="18"/>
      <c r="H9986" s="16" t="s">
        <v>87</v>
      </c>
      <c r="I9986" s="16" t="s">
        <v>87</v>
      </c>
      <c r="J9986" s="19"/>
      <c r="L9986" s="16" t="str">
        <f>IFERROR(__xludf.DUMMYFUNCTION("""COMPUTED_VALUE"""),"")</f>
        <v/>
      </c>
      <c r="M9986" s="16" t="str">
        <f>IFERROR(__xludf.DUMMYFUNCTION("""COMPUTED_VALUE"""),"")</f>
        <v/>
      </c>
      <c r="U9986" s="16" t="s">
        <v>87</v>
      </c>
      <c r="V9986" s="16" t="str">
        <f>IFERROR(__xludf.DUMMYFUNCTION("""COMPUTED_VALUE"""),"")</f>
        <v/>
      </c>
      <c r="W9986" s="16" t="str">
        <f>IFERROR(__xludf.DUMMYFUNCTION("""COMPUTED_VALUE"""),"")</f>
        <v/>
      </c>
      <c r="X9986" s="16" t="str">
        <f>IFERROR(__xludf.DUMMYFUNCTION("""COMPUTED_VALUE"""),"")</f>
        <v/>
      </c>
      <c r="AC9986" s="16" t="str">
        <f>IFERROR(__xludf.DUMMYFUNCTION("""COMPUTED_VALUE"""),"")</f>
        <v/>
      </c>
    </row>
    <row r="9987">
      <c r="A9987" s="16" t="s">
        <v>87</v>
      </c>
      <c r="E9987" s="16" t="str">
        <f>IFERROR(__xludf.DUMMYFUNCTION("""COMPUTED_VALUE"""),"")</f>
        <v/>
      </c>
      <c r="G9987" s="18"/>
      <c r="H9987" s="16" t="s">
        <v>87</v>
      </c>
      <c r="I9987" s="16" t="s">
        <v>87</v>
      </c>
      <c r="J9987" s="19"/>
      <c r="L9987" s="16" t="str">
        <f>IFERROR(__xludf.DUMMYFUNCTION("""COMPUTED_VALUE"""),"")</f>
        <v/>
      </c>
      <c r="M9987" s="16" t="str">
        <f>IFERROR(__xludf.DUMMYFUNCTION("""COMPUTED_VALUE"""),"")</f>
        <v/>
      </c>
      <c r="U9987" s="16" t="s">
        <v>87</v>
      </c>
      <c r="V9987" s="16" t="str">
        <f>IFERROR(__xludf.DUMMYFUNCTION("""COMPUTED_VALUE"""),"")</f>
        <v/>
      </c>
      <c r="W9987" s="16" t="str">
        <f>IFERROR(__xludf.DUMMYFUNCTION("""COMPUTED_VALUE"""),"")</f>
        <v/>
      </c>
      <c r="X9987" s="16" t="str">
        <f>IFERROR(__xludf.DUMMYFUNCTION("""COMPUTED_VALUE"""),"")</f>
        <v/>
      </c>
      <c r="AC9987" s="16" t="str">
        <f>IFERROR(__xludf.DUMMYFUNCTION("""COMPUTED_VALUE"""),"")</f>
        <v/>
      </c>
    </row>
    <row r="9988">
      <c r="A9988" s="16" t="s">
        <v>87</v>
      </c>
      <c r="E9988" s="16" t="str">
        <f>IFERROR(__xludf.DUMMYFUNCTION("""COMPUTED_VALUE"""),"")</f>
        <v/>
      </c>
      <c r="G9988" s="18"/>
      <c r="H9988" s="16" t="s">
        <v>87</v>
      </c>
      <c r="I9988" s="16" t="s">
        <v>87</v>
      </c>
      <c r="J9988" s="19"/>
      <c r="L9988" s="16" t="str">
        <f>IFERROR(__xludf.DUMMYFUNCTION("""COMPUTED_VALUE"""),"")</f>
        <v/>
      </c>
      <c r="M9988" s="16" t="str">
        <f>IFERROR(__xludf.DUMMYFUNCTION("""COMPUTED_VALUE"""),"")</f>
        <v/>
      </c>
      <c r="U9988" s="16" t="s">
        <v>87</v>
      </c>
      <c r="V9988" s="16" t="str">
        <f>IFERROR(__xludf.DUMMYFUNCTION("""COMPUTED_VALUE"""),"")</f>
        <v/>
      </c>
      <c r="W9988" s="16" t="str">
        <f>IFERROR(__xludf.DUMMYFUNCTION("""COMPUTED_VALUE"""),"")</f>
        <v/>
      </c>
      <c r="X9988" s="16" t="str">
        <f>IFERROR(__xludf.DUMMYFUNCTION("""COMPUTED_VALUE"""),"")</f>
        <v/>
      </c>
      <c r="AC9988" s="16" t="str">
        <f>IFERROR(__xludf.DUMMYFUNCTION("""COMPUTED_VALUE"""),"")</f>
        <v/>
      </c>
    </row>
    <row r="9989">
      <c r="A9989" s="16" t="s">
        <v>87</v>
      </c>
      <c r="E9989" s="16" t="str">
        <f>IFERROR(__xludf.DUMMYFUNCTION("""COMPUTED_VALUE"""),"")</f>
        <v/>
      </c>
      <c r="G9989" s="18"/>
      <c r="H9989" s="16" t="s">
        <v>87</v>
      </c>
      <c r="I9989" s="16" t="s">
        <v>87</v>
      </c>
      <c r="J9989" s="19"/>
      <c r="L9989" s="16" t="str">
        <f>IFERROR(__xludf.DUMMYFUNCTION("""COMPUTED_VALUE"""),"")</f>
        <v/>
      </c>
      <c r="M9989" s="16" t="str">
        <f>IFERROR(__xludf.DUMMYFUNCTION("""COMPUTED_VALUE"""),"")</f>
        <v/>
      </c>
      <c r="U9989" s="16" t="s">
        <v>87</v>
      </c>
      <c r="V9989" s="16" t="str">
        <f>IFERROR(__xludf.DUMMYFUNCTION("""COMPUTED_VALUE"""),"")</f>
        <v/>
      </c>
      <c r="W9989" s="16" t="str">
        <f>IFERROR(__xludf.DUMMYFUNCTION("""COMPUTED_VALUE"""),"")</f>
        <v/>
      </c>
      <c r="X9989" s="16" t="str">
        <f>IFERROR(__xludf.DUMMYFUNCTION("""COMPUTED_VALUE"""),"")</f>
        <v/>
      </c>
      <c r="AC9989" s="16" t="str">
        <f>IFERROR(__xludf.DUMMYFUNCTION("""COMPUTED_VALUE"""),"")</f>
        <v/>
      </c>
    </row>
    <row r="9990">
      <c r="A9990" s="16" t="s">
        <v>87</v>
      </c>
      <c r="E9990" s="16" t="str">
        <f>IFERROR(__xludf.DUMMYFUNCTION("""COMPUTED_VALUE"""),"")</f>
        <v/>
      </c>
      <c r="G9990" s="18"/>
      <c r="H9990" s="16" t="s">
        <v>87</v>
      </c>
      <c r="I9990" s="16" t="s">
        <v>87</v>
      </c>
      <c r="J9990" s="19"/>
      <c r="L9990" s="16" t="str">
        <f>IFERROR(__xludf.DUMMYFUNCTION("""COMPUTED_VALUE"""),"")</f>
        <v/>
      </c>
      <c r="M9990" s="16" t="str">
        <f>IFERROR(__xludf.DUMMYFUNCTION("""COMPUTED_VALUE"""),"")</f>
        <v/>
      </c>
      <c r="U9990" s="16" t="s">
        <v>87</v>
      </c>
      <c r="V9990" s="16" t="str">
        <f>IFERROR(__xludf.DUMMYFUNCTION("""COMPUTED_VALUE"""),"")</f>
        <v/>
      </c>
      <c r="W9990" s="16" t="str">
        <f>IFERROR(__xludf.DUMMYFUNCTION("""COMPUTED_VALUE"""),"")</f>
        <v/>
      </c>
      <c r="X9990" s="16" t="str">
        <f>IFERROR(__xludf.DUMMYFUNCTION("""COMPUTED_VALUE"""),"")</f>
        <v/>
      </c>
      <c r="AC9990" s="16" t="str">
        <f>IFERROR(__xludf.DUMMYFUNCTION("""COMPUTED_VALUE"""),"")</f>
        <v/>
      </c>
    </row>
    <row r="9991">
      <c r="A9991" s="16" t="s">
        <v>87</v>
      </c>
      <c r="E9991" s="16" t="str">
        <f>IFERROR(__xludf.DUMMYFUNCTION("""COMPUTED_VALUE"""),"")</f>
        <v/>
      </c>
      <c r="G9991" s="18"/>
      <c r="H9991" s="16" t="s">
        <v>87</v>
      </c>
      <c r="I9991" s="16" t="s">
        <v>87</v>
      </c>
      <c r="J9991" s="19"/>
      <c r="L9991" s="16" t="str">
        <f>IFERROR(__xludf.DUMMYFUNCTION("""COMPUTED_VALUE"""),"")</f>
        <v/>
      </c>
      <c r="M9991" s="16" t="str">
        <f>IFERROR(__xludf.DUMMYFUNCTION("""COMPUTED_VALUE"""),"")</f>
        <v/>
      </c>
      <c r="U9991" s="16" t="s">
        <v>87</v>
      </c>
      <c r="V9991" s="16" t="str">
        <f>IFERROR(__xludf.DUMMYFUNCTION("""COMPUTED_VALUE"""),"")</f>
        <v/>
      </c>
      <c r="W9991" s="16" t="str">
        <f>IFERROR(__xludf.DUMMYFUNCTION("""COMPUTED_VALUE"""),"")</f>
        <v/>
      </c>
      <c r="X9991" s="16" t="str">
        <f>IFERROR(__xludf.DUMMYFUNCTION("""COMPUTED_VALUE"""),"")</f>
        <v/>
      </c>
      <c r="AC9991" s="16" t="str">
        <f>IFERROR(__xludf.DUMMYFUNCTION("""COMPUTED_VALUE"""),"")</f>
        <v/>
      </c>
    </row>
    <row r="9992">
      <c r="A9992" s="16" t="s">
        <v>87</v>
      </c>
      <c r="E9992" s="16" t="str">
        <f>IFERROR(__xludf.DUMMYFUNCTION("""COMPUTED_VALUE"""),"")</f>
        <v/>
      </c>
      <c r="G9992" s="18"/>
      <c r="H9992" s="16" t="s">
        <v>87</v>
      </c>
      <c r="I9992" s="16" t="s">
        <v>87</v>
      </c>
      <c r="J9992" s="19"/>
      <c r="L9992" s="16" t="str">
        <f>IFERROR(__xludf.DUMMYFUNCTION("""COMPUTED_VALUE"""),"")</f>
        <v/>
      </c>
      <c r="M9992" s="16" t="str">
        <f>IFERROR(__xludf.DUMMYFUNCTION("""COMPUTED_VALUE"""),"")</f>
        <v/>
      </c>
      <c r="U9992" s="16" t="s">
        <v>87</v>
      </c>
      <c r="V9992" s="16" t="str">
        <f>IFERROR(__xludf.DUMMYFUNCTION("""COMPUTED_VALUE"""),"")</f>
        <v/>
      </c>
      <c r="W9992" s="16" t="str">
        <f>IFERROR(__xludf.DUMMYFUNCTION("""COMPUTED_VALUE"""),"")</f>
        <v/>
      </c>
      <c r="X9992" s="16" t="str">
        <f>IFERROR(__xludf.DUMMYFUNCTION("""COMPUTED_VALUE"""),"")</f>
        <v/>
      </c>
      <c r="AC9992" s="16" t="str">
        <f>IFERROR(__xludf.DUMMYFUNCTION("""COMPUTED_VALUE"""),"")</f>
        <v/>
      </c>
    </row>
    <row r="9993">
      <c r="A9993" s="16" t="s">
        <v>87</v>
      </c>
      <c r="E9993" s="16" t="str">
        <f>IFERROR(__xludf.DUMMYFUNCTION("""COMPUTED_VALUE"""),"")</f>
        <v/>
      </c>
      <c r="G9993" s="18"/>
      <c r="H9993" s="16" t="s">
        <v>87</v>
      </c>
      <c r="I9993" s="16" t="s">
        <v>87</v>
      </c>
      <c r="J9993" s="19"/>
      <c r="L9993" s="16" t="str">
        <f>IFERROR(__xludf.DUMMYFUNCTION("""COMPUTED_VALUE"""),"")</f>
        <v/>
      </c>
      <c r="M9993" s="16" t="str">
        <f>IFERROR(__xludf.DUMMYFUNCTION("""COMPUTED_VALUE"""),"")</f>
        <v/>
      </c>
      <c r="U9993" s="16" t="s">
        <v>87</v>
      </c>
      <c r="V9993" s="16" t="str">
        <f>IFERROR(__xludf.DUMMYFUNCTION("""COMPUTED_VALUE"""),"")</f>
        <v/>
      </c>
      <c r="W9993" s="16" t="str">
        <f>IFERROR(__xludf.DUMMYFUNCTION("""COMPUTED_VALUE"""),"")</f>
        <v/>
      </c>
      <c r="X9993" s="16" t="str">
        <f>IFERROR(__xludf.DUMMYFUNCTION("""COMPUTED_VALUE"""),"")</f>
        <v/>
      </c>
      <c r="AC9993" s="16" t="str">
        <f>IFERROR(__xludf.DUMMYFUNCTION("""COMPUTED_VALUE"""),"")</f>
        <v/>
      </c>
    </row>
    <row r="9994">
      <c r="A9994" s="16" t="s">
        <v>87</v>
      </c>
      <c r="E9994" s="16" t="str">
        <f>IFERROR(__xludf.DUMMYFUNCTION("""COMPUTED_VALUE"""),"")</f>
        <v/>
      </c>
      <c r="G9994" s="18"/>
      <c r="H9994" s="16" t="s">
        <v>87</v>
      </c>
      <c r="I9994" s="16" t="s">
        <v>87</v>
      </c>
      <c r="J9994" s="19"/>
      <c r="L9994" s="16" t="str">
        <f>IFERROR(__xludf.DUMMYFUNCTION("""COMPUTED_VALUE"""),"")</f>
        <v/>
      </c>
      <c r="M9994" s="16" t="str">
        <f>IFERROR(__xludf.DUMMYFUNCTION("""COMPUTED_VALUE"""),"")</f>
        <v/>
      </c>
      <c r="U9994" s="16" t="s">
        <v>87</v>
      </c>
      <c r="V9994" s="16" t="str">
        <f>IFERROR(__xludf.DUMMYFUNCTION("""COMPUTED_VALUE"""),"")</f>
        <v/>
      </c>
      <c r="W9994" s="16" t="str">
        <f>IFERROR(__xludf.DUMMYFUNCTION("""COMPUTED_VALUE"""),"")</f>
        <v/>
      </c>
      <c r="X9994" s="16" t="str">
        <f>IFERROR(__xludf.DUMMYFUNCTION("""COMPUTED_VALUE"""),"")</f>
        <v/>
      </c>
      <c r="AC9994" s="16" t="str">
        <f>IFERROR(__xludf.DUMMYFUNCTION("""COMPUTED_VALUE"""),"")</f>
        <v/>
      </c>
    </row>
    <row r="9995">
      <c r="A9995" s="16" t="s">
        <v>87</v>
      </c>
      <c r="E9995" s="16" t="str">
        <f>IFERROR(__xludf.DUMMYFUNCTION("""COMPUTED_VALUE"""),"")</f>
        <v/>
      </c>
      <c r="G9995" s="18"/>
      <c r="H9995" s="16" t="s">
        <v>87</v>
      </c>
      <c r="I9995" s="16" t="s">
        <v>87</v>
      </c>
      <c r="J9995" s="19"/>
      <c r="L9995" s="16" t="str">
        <f>IFERROR(__xludf.DUMMYFUNCTION("""COMPUTED_VALUE"""),"")</f>
        <v/>
      </c>
      <c r="M9995" s="16" t="str">
        <f>IFERROR(__xludf.DUMMYFUNCTION("""COMPUTED_VALUE"""),"")</f>
        <v/>
      </c>
      <c r="U9995" s="16" t="s">
        <v>87</v>
      </c>
      <c r="V9995" s="16" t="str">
        <f>IFERROR(__xludf.DUMMYFUNCTION("""COMPUTED_VALUE"""),"")</f>
        <v/>
      </c>
      <c r="W9995" s="16" t="str">
        <f>IFERROR(__xludf.DUMMYFUNCTION("""COMPUTED_VALUE"""),"")</f>
        <v/>
      </c>
      <c r="X9995" s="16" t="str">
        <f>IFERROR(__xludf.DUMMYFUNCTION("""COMPUTED_VALUE"""),"")</f>
        <v/>
      </c>
      <c r="AC9995" s="16" t="str">
        <f>IFERROR(__xludf.DUMMYFUNCTION("""COMPUTED_VALUE"""),"")</f>
        <v/>
      </c>
    </row>
    <row r="9996">
      <c r="A9996" s="16" t="s">
        <v>87</v>
      </c>
      <c r="E9996" s="16" t="str">
        <f>IFERROR(__xludf.DUMMYFUNCTION("""COMPUTED_VALUE"""),"")</f>
        <v/>
      </c>
      <c r="G9996" s="18"/>
      <c r="H9996" s="16" t="s">
        <v>87</v>
      </c>
      <c r="I9996" s="16" t="s">
        <v>87</v>
      </c>
      <c r="J9996" s="19"/>
      <c r="L9996" s="16" t="str">
        <f>IFERROR(__xludf.DUMMYFUNCTION("""COMPUTED_VALUE"""),"")</f>
        <v/>
      </c>
      <c r="M9996" s="16" t="str">
        <f>IFERROR(__xludf.DUMMYFUNCTION("""COMPUTED_VALUE"""),"")</f>
        <v/>
      </c>
      <c r="U9996" s="16" t="s">
        <v>87</v>
      </c>
      <c r="V9996" s="16" t="str">
        <f>IFERROR(__xludf.DUMMYFUNCTION("""COMPUTED_VALUE"""),"")</f>
        <v/>
      </c>
      <c r="W9996" s="16" t="str">
        <f>IFERROR(__xludf.DUMMYFUNCTION("""COMPUTED_VALUE"""),"")</f>
        <v/>
      </c>
      <c r="X9996" s="16" t="str">
        <f>IFERROR(__xludf.DUMMYFUNCTION("""COMPUTED_VALUE"""),"")</f>
        <v/>
      </c>
      <c r="AC9996" s="16" t="str">
        <f>IFERROR(__xludf.DUMMYFUNCTION("""COMPUTED_VALUE"""),"")</f>
        <v/>
      </c>
    </row>
    <row r="9997">
      <c r="A9997" s="16" t="s">
        <v>87</v>
      </c>
      <c r="E9997" s="16" t="str">
        <f>IFERROR(__xludf.DUMMYFUNCTION("""COMPUTED_VALUE"""),"")</f>
        <v/>
      </c>
      <c r="G9997" s="18"/>
      <c r="H9997" s="16" t="s">
        <v>87</v>
      </c>
      <c r="I9997" s="16" t="s">
        <v>87</v>
      </c>
      <c r="J9997" s="19"/>
      <c r="L9997" s="16" t="str">
        <f>IFERROR(__xludf.DUMMYFUNCTION("""COMPUTED_VALUE"""),"")</f>
        <v/>
      </c>
      <c r="M9997" s="16" t="str">
        <f>IFERROR(__xludf.DUMMYFUNCTION("""COMPUTED_VALUE"""),"")</f>
        <v/>
      </c>
      <c r="U9997" s="16" t="s">
        <v>87</v>
      </c>
      <c r="V9997" s="16" t="str">
        <f>IFERROR(__xludf.DUMMYFUNCTION("""COMPUTED_VALUE"""),"")</f>
        <v/>
      </c>
      <c r="W9997" s="16" t="str">
        <f>IFERROR(__xludf.DUMMYFUNCTION("""COMPUTED_VALUE"""),"")</f>
        <v/>
      </c>
      <c r="X9997" s="16" t="str">
        <f>IFERROR(__xludf.DUMMYFUNCTION("""COMPUTED_VALUE"""),"")</f>
        <v/>
      </c>
      <c r="AC9997" s="16" t="str">
        <f>IFERROR(__xludf.DUMMYFUNCTION("""COMPUTED_VALUE"""),"")</f>
        <v/>
      </c>
    </row>
    <row r="9998">
      <c r="A9998" s="16" t="s">
        <v>87</v>
      </c>
      <c r="E9998" s="16" t="str">
        <f>IFERROR(__xludf.DUMMYFUNCTION("""COMPUTED_VALUE"""),"")</f>
        <v/>
      </c>
      <c r="G9998" s="18"/>
      <c r="H9998" s="16" t="s">
        <v>87</v>
      </c>
      <c r="I9998" s="16" t="s">
        <v>87</v>
      </c>
      <c r="J9998" s="19"/>
      <c r="L9998" s="16" t="str">
        <f>IFERROR(__xludf.DUMMYFUNCTION("""COMPUTED_VALUE"""),"")</f>
        <v/>
      </c>
      <c r="M9998" s="16" t="str">
        <f>IFERROR(__xludf.DUMMYFUNCTION("""COMPUTED_VALUE"""),"")</f>
        <v/>
      </c>
      <c r="U9998" s="16" t="s">
        <v>87</v>
      </c>
      <c r="V9998" s="16" t="str">
        <f>IFERROR(__xludf.DUMMYFUNCTION("""COMPUTED_VALUE"""),"")</f>
        <v/>
      </c>
      <c r="W9998" s="16" t="str">
        <f>IFERROR(__xludf.DUMMYFUNCTION("""COMPUTED_VALUE"""),"")</f>
        <v/>
      </c>
      <c r="X9998" s="16" t="str">
        <f>IFERROR(__xludf.DUMMYFUNCTION("""COMPUTED_VALUE"""),"")</f>
        <v/>
      </c>
      <c r="AC9998" s="16" t="str">
        <f>IFERROR(__xludf.DUMMYFUNCTION("""COMPUTED_VALUE"""),"")</f>
        <v/>
      </c>
    </row>
    <row r="9999">
      <c r="A9999" s="16" t="s">
        <v>87</v>
      </c>
      <c r="E9999" s="16" t="str">
        <f>IFERROR(__xludf.DUMMYFUNCTION("""COMPUTED_VALUE"""),"")</f>
        <v/>
      </c>
      <c r="G9999" s="18"/>
      <c r="H9999" s="16" t="s">
        <v>87</v>
      </c>
      <c r="I9999" s="16" t="s">
        <v>87</v>
      </c>
      <c r="J9999" s="19"/>
      <c r="L9999" s="16" t="str">
        <f>IFERROR(__xludf.DUMMYFUNCTION("""COMPUTED_VALUE"""),"")</f>
        <v/>
      </c>
      <c r="M9999" s="16" t="str">
        <f>IFERROR(__xludf.DUMMYFUNCTION("""COMPUTED_VALUE"""),"")</f>
        <v/>
      </c>
      <c r="U9999" s="16" t="s">
        <v>87</v>
      </c>
      <c r="V9999" s="16" t="str">
        <f>IFERROR(__xludf.DUMMYFUNCTION("""COMPUTED_VALUE"""),"")</f>
        <v/>
      </c>
      <c r="W9999" s="16" t="str">
        <f>IFERROR(__xludf.DUMMYFUNCTION("""COMPUTED_VALUE"""),"")</f>
        <v/>
      </c>
      <c r="X9999" s="16" t="str">
        <f>IFERROR(__xludf.DUMMYFUNCTION("""COMPUTED_VALUE"""),"")</f>
        <v/>
      </c>
      <c r="AC9999" s="16" t="str">
        <f>IFERROR(__xludf.DUMMYFUNCTION("""COMPUTED_VALUE"""),"")</f>
        <v/>
      </c>
    </row>
    <row r="10000">
      <c r="A10000" s="16" t="s">
        <v>87</v>
      </c>
      <c r="E10000" s="16" t="str">
        <f>IFERROR(__xludf.DUMMYFUNCTION("""COMPUTED_VALUE"""),"")</f>
        <v/>
      </c>
      <c r="G10000" s="18"/>
      <c r="H10000" s="16" t="s">
        <v>87</v>
      </c>
      <c r="I10000" s="16" t="s">
        <v>87</v>
      </c>
      <c r="J10000" s="19"/>
      <c r="L10000" s="16" t="str">
        <f>IFERROR(__xludf.DUMMYFUNCTION("""COMPUTED_VALUE"""),"")</f>
        <v/>
      </c>
      <c r="M10000" s="16" t="str">
        <f>IFERROR(__xludf.DUMMYFUNCTION("""COMPUTED_VALUE"""),"")</f>
        <v/>
      </c>
      <c r="U10000" s="16" t="s">
        <v>87</v>
      </c>
      <c r="V10000" s="16" t="str">
        <f>IFERROR(__xludf.DUMMYFUNCTION("""COMPUTED_VALUE"""),"")</f>
        <v/>
      </c>
      <c r="W10000" s="16" t="str">
        <f>IFERROR(__xludf.DUMMYFUNCTION("""COMPUTED_VALUE"""),"")</f>
        <v/>
      </c>
      <c r="X10000" s="16" t="str">
        <f>IFERROR(__xludf.DUMMYFUNCTION("""COMPUTED_VALUE"""),"")</f>
        <v/>
      </c>
      <c r="AC10000" s="16" t="str">
        <f>IFERROR(__xludf.DUMMYFUNCTION("""COMPUTED_VALUE"""),"")</f>
        <v/>
      </c>
    </row>
    <row r="10001">
      <c r="A10001" s="16" t="s">
        <v>87</v>
      </c>
      <c r="E10001" s="16" t="str">
        <f>IFERROR(__xludf.DUMMYFUNCTION("""COMPUTED_VALUE"""),"")</f>
        <v/>
      </c>
      <c r="G10001" s="18"/>
      <c r="H10001" s="16" t="s">
        <v>87</v>
      </c>
      <c r="I10001" s="16" t="s">
        <v>87</v>
      </c>
      <c r="J10001" s="19"/>
      <c r="L10001" s="16" t="str">
        <f>IFERROR(__xludf.DUMMYFUNCTION("""COMPUTED_VALUE"""),"")</f>
        <v/>
      </c>
      <c r="M10001" s="16" t="str">
        <f>IFERROR(__xludf.DUMMYFUNCTION("""COMPUTED_VALUE"""),"")</f>
        <v/>
      </c>
      <c r="U10001" s="16" t="s">
        <v>87</v>
      </c>
      <c r="V10001" s="16" t="str">
        <f>IFERROR(__xludf.DUMMYFUNCTION("""COMPUTED_VALUE"""),"")</f>
        <v/>
      </c>
      <c r="W10001" s="16" t="str">
        <f>IFERROR(__xludf.DUMMYFUNCTION("""COMPUTED_VALUE"""),"")</f>
        <v/>
      </c>
      <c r="X10001" s="16" t="str">
        <f>IFERROR(__xludf.DUMMYFUNCTION("""COMPUTED_VALUE"""),"")</f>
        <v/>
      </c>
      <c r="AC10001" s="16" t="str">
        <f>IFERROR(__xludf.DUMMYFUNCTION("""COMPUTED_VALUE"""),"")</f>
        <v/>
      </c>
    </row>
    <row r="10002">
      <c r="A10002" s="16" t="s">
        <v>87</v>
      </c>
      <c r="E10002" s="16" t="str">
        <f>IFERROR(__xludf.DUMMYFUNCTION("""COMPUTED_VALUE"""),"")</f>
        <v/>
      </c>
      <c r="G10002" s="18"/>
      <c r="H10002" s="16" t="s">
        <v>87</v>
      </c>
      <c r="I10002" s="16" t="s">
        <v>87</v>
      </c>
      <c r="J10002" s="19"/>
      <c r="L10002" s="16" t="str">
        <f>IFERROR(__xludf.DUMMYFUNCTION("""COMPUTED_VALUE"""),"")</f>
        <v/>
      </c>
      <c r="M10002" s="16" t="str">
        <f>IFERROR(__xludf.DUMMYFUNCTION("""COMPUTED_VALUE"""),"")</f>
        <v/>
      </c>
      <c r="U10002" s="16" t="s">
        <v>87</v>
      </c>
      <c r="V10002" s="16" t="str">
        <f>IFERROR(__xludf.DUMMYFUNCTION("""COMPUTED_VALUE"""),"")</f>
        <v/>
      </c>
      <c r="W10002" s="16" t="str">
        <f>IFERROR(__xludf.DUMMYFUNCTION("""COMPUTED_VALUE"""),"")</f>
        <v/>
      </c>
      <c r="X10002" s="16" t="str">
        <f>IFERROR(__xludf.DUMMYFUNCTION("""COMPUTED_VALUE"""),"")</f>
        <v/>
      </c>
      <c r="AC10002" s="16" t="str">
        <f>IFERROR(__xludf.DUMMYFUNCTION("""COMPUTED_VALUE"""),"")</f>
        <v/>
      </c>
    </row>
    <row r="10003">
      <c r="A10003" s="16" t="s">
        <v>87</v>
      </c>
      <c r="E10003" s="16" t="str">
        <f>IFERROR(__xludf.DUMMYFUNCTION("""COMPUTED_VALUE"""),"")</f>
        <v/>
      </c>
      <c r="G10003" s="18"/>
      <c r="H10003" s="16" t="s">
        <v>87</v>
      </c>
      <c r="I10003" s="16" t="s">
        <v>87</v>
      </c>
      <c r="J10003" s="19"/>
      <c r="L10003" s="16" t="str">
        <f>IFERROR(__xludf.DUMMYFUNCTION("""COMPUTED_VALUE"""),"")</f>
        <v/>
      </c>
      <c r="M10003" s="16" t="str">
        <f>IFERROR(__xludf.DUMMYFUNCTION("""COMPUTED_VALUE"""),"")</f>
        <v/>
      </c>
      <c r="U10003" s="16" t="s">
        <v>87</v>
      </c>
      <c r="V10003" s="16" t="str">
        <f>IFERROR(__xludf.DUMMYFUNCTION("""COMPUTED_VALUE"""),"")</f>
        <v/>
      </c>
      <c r="W10003" s="16" t="str">
        <f>IFERROR(__xludf.DUMMYFUNCTION("""COMPUTED_VALUE"""),"")</f>
        <v/>
      </c>
      <c r="X10003" s="16" t="str">
        <f>IFERROR(__xludf.DUMMYFUNCTION("""COMPUTED_VALUE"""),"")</f>
        <v/>
      </c>
      <c r="AC10003" s="16" t="str">
        <f>IFERROR(__xludf.DUMMYFUNCTION("""COMPUTED_VALUE"""),"")</f>
        <v/>
      </c>
    </row>
    <row r="10004">
      <c r="A10004" s="16" t="s">
        <v>87</v>
      </c>
      <c r="E10004" s="16" t="str">
        <f>IFERROR(__xludf.DUMMYFUNCTION("""COMPUTED_VALUE"""),"")</f>
        <v/>
      </c>
      <c r="G10004" s="18"/>
      <c r="H10004" s="16" t="s">
        <v>87</v>
      </c>
      <c r="I10004" s="16" t="s">
        <v>87</v>
      </c>
      <c r="J10004" s="19"/>
      <c r="L10004" s="16" t="str">
        <f>IFERROR(__xludf.DUMMYFUNCTION("""COMPUTED_VALUE"""),"")</f>
        <v/>
      </c>
      <c r="M10004" s="16" t="str">
        <f>IFERROR(__xludf.DUMMYFUNCTION("""COMPUTED_VALUE"""),"")</f>
        <v/>
      </c>
      <c r="U10004" s="16" t="s">
        <v>87</v>
      </c>
      <c r="V10004" s="16" t="str">
        <f>IFERROR(__xludf.DUMMYFUNCTION("""COMPUTED_VALUE"""),"")</f>
        <v/>
      </c>
      <c r="W10004" s="16" t="str">
        <f>IFERROR(__xludf.DUMMYFUNCTION("""COMPUTED_VALUE"""),"")</f>
        <v/>
      </c>
      <c r="X10004" s="16" t="str">
        <f>IFERROR(__xludf.DUMMYFUNCTION("""COMPUTED_VALUE"""),"")</f>
        <v/>
      </c>
      <c r="AC10004" s="16" t="str">
        <f>IFERROR(__xludf.DUMMYFUNCTION("""COMPUTED_VALUE"""),"")</f>
        <v/>
      </c>
    </row>
    <row r="10005">
      <c r="A10005" s="16" t="s">
        <v>87</v>
      </c>
      <c r="E10005" s="16" t="str">
        <f>IFERROR(__xludf.DUMMYFUNCTION("""COMPUTED_VALUE"""),"")</f>
        <v/>
      </c>
      <c r="G10005" s="18"/>
      <c r="H10005" s="16" t="s">
        <v>87</v>
      </c>
      <c r="I10005" s="16" t="s">
        <v>87</v>
      </c>
      <c r="J10005" s="19"/>
      <c r="L10005" s="16" t="str">
        <f>IFERROR(__xludf.DUMMYFUNCTION("""COMPUTED_VALUE"""),"")</f>
        <v/>
      </c>
      <c r="M10005" s="16" t="str">
        <f>IFERROR(__xludf.DUMMYFUNCTION("""COMPUTED_VALUE"""),"")</f>
        <v/>
      </c>
      <c r="U10005" s="16" t="s">
        <v>87</v>
      </c>
      <c r="V10005" s="16" t="str">
        <f>IFERROR(__xludf.DUMMYFUNCTION("""COMPUTED_VALUE"""),"")</f>
        <v/>
      </c>
      <c r="W10005" s="16" t="str">
        <f>IFERROR(__xludf.DUMMYFUNCTION("""COMPUTED_VALUE"""),"")</f>
        <v/>
      </c>
      <c r="X10005" s="16" t="str">
        <f>IFERROR(__xludf.DUMMYFUNCTION("""COMPUTED_VALUE"""),"")</f>
        <v/>
      </c>
      <c r="AC10005" s="16" t="str">
        <f>IFERROR(__xludf.DUMMYFUNCTION("""COMPUTED_VALUE"""),"")</f>
        <v/>
      </c>
    </row>
    <row r="10006">
      <c r="A10006" s="16" t="s">
        <v>87</v>
      </c>
      <c r="E10006" s="16" t="str">
        <f>IFERROR(__xludf.DUMMYFUNCTION("""COMPUTED_VALUE"""),"")</f>
        <v/>
      </c>
      <c r="G10006" s="18"/>
      <c r="H10006" s="16" t="s">
        <v>87</v>
      </c>
      <c r="I10006" s="16" t="s">
        <v>87</v>
      </c>
      <c r="J10006" s="19"/>
      <c r="L10006" s="16" t="str">
        <f>IFERROR(__xludf.DUMMYFUNCTION("""COMPUTED_VALUE"""),"")</f>
        <v/>
      </c>
      <c r="M10006" s="16" t="str">
        <f>IFERROR(__xludf.DUMMYFUNCTION("""COMPUTED_VALUE"""),"")</f>
        <v/>
      </c>
      <c r="U10006" s="16" t="s">
        <v>87</v>
      </c>
      <c r="V10006" s="16" t="str">
        <f>IFERROR(__xludf.DUMMYFUNCTION("""COMPUTED_VALUE"""),"")</f>
        <v/>
      </c>
      <c r="W10006" s="16" t="str">
        <f>IFERROR(__xludf.DUMMYFUNCTION("""COMPUTED_VALUE"""),"")</f>
        <v/>
      </c>
      <c r="X10006" s="16" t="str">
        <f>IFERROR(__xludf.DUMMYFUNCTION("""COMPUTED_VALUE"""),"")</f>
        <v/>
      </c>
      <c r="AC10006" s="16" t="str">
        <f>IFERROR(__xludf.DUMMYFUNCTION("""COMPUTED_VALUE"""),"")</f>
        <v/>
      </c>
    </row>
    <row r="10007">
      <c r="A10007" s="16" t="s">
        <v>87</v>
      </c>
      <c r="E10007" s="16" t="str">
        <f>IFERROR(__xludf.DUMMYFUNCTION("""COMPUTED_VALUE"""),"")</f>
        <v/>
      </c>
      <c r="G10007" s="18"/>
      <c r="H10007" s="16" t="s">
        <v>87</v>
      </c>
      <c r="I10007" s="16" t="s">
        <v>87</v>
      </c>
      <c r="J10007" s="19"/>
      <c r="L10007" s="16" t="str">
        <f>IFERROR(__xludf.DUMMYFUNCTION("""COMPUTED_VALUE"""),"")</f>
        <v/>
      </c>
      <c r="M10007" s="16" t="str">
        <f>IFERROR(__xludf.DUMMYFUNCTION("""COMPUTED_VALUE"""),"")</f>
        <v/>
      </c>
      <c r="U10007" s="16" t="s">
        <v>87</v>
      </c>
      <c r="V10007" s="16" t="str">
        <f>IFERROR(__xludf.DUMMYFUNCTION("""COMPUTED_VALUE"""),"")</f>
        <v/>
      </c>
      <c r="W10007" s="16" t="str">
        <f>IFERROR(__xludf.DUMMYFUNCTION("""COMPUTED_VALUE"""),"")</f>
        <v/>
      </c>
      <c r="X10007" s="16" t="str">
        <f>IFERROR(__xludf.DUMMYFUNCTION("""COMPUTED_VALUE"""),"")</f>
        <v/>
      </c>
      <c r="AC10007" s="16" t="str">
        <f>IFERROR(__xludf.DUMMYFUNCTION("""COMPUTED_VALUE"""),"")</f>
        <v/>
      </c>
    </row>
    <row r="10008">
      <c r="A10008" s="16" t="s">
        <v>87</v>
      </c>
      <c r="E10008" s="16" t="str">
        <f>IFERROR(__xludf.DUMMYFUNCTION("""COMPUTED_VALUE"""),"")</f>
        <v/>
      </c>
      <c r="G10008" s="18"/>
      <c r="H10008" s="16" t="s">
        <v>87</v>
      </c>
      <c r="I10008" s="16" t="s">
        <v>87</v>
      </c>
      <c r="J10008" s="19"/>
      <c r="L10008" s="16" t="str">
        <f>IFERROR(__xludf.DUMMYFUNCTION("""COMPUTED_VALUE"""),"")</f>
        <v/>
      </c>
      <c r="M10008" s="16" t="str">
        <f>IFERROR(__xludf.DUMMYFUNCTION("""COMPUTED_VALUE"""),"")</f>
        <v/>
      </c>
      <c r="U10008" s="16" t="s">
        <v>87</v>
      </c>
      <c r="V10008" s="16" t="str">
        <f>IFERROR(__xludf.DUMMYFUNCTION("""COMPUTED_VALUE"""),"")</f>
        <v/>
      </c>
      <c r="W10008" s="16" t="str">
        <f>IFERROR(__xludf.DUMMYFUNCTION("""COMPUTED_VALUE"""),"")</f>
        <v/>
      </c>
      <c r="X10008" s="16" t="str">
        <f>IFERROR(__xludf.DUMMYFUNCTION("""COMPUTED_VALUE"""),"")</f>
        <v/>
      </c>
      <c r="AC10008" s="16" t="str">
        <f>IFERROR(__xludf.DUMMYFUNCTION("""COMPUTED_VALUE"""),"")</f>
        <v/>
      </c>
    </row>
    <row r="10009">
      <c r="A10009" s="16" t="s">
        <v>87</v>
      </c>
      <c r="E10009" s="16" t="str">
        <f>IFERROR(__xludf.DUMMYFUNCTION("""COMPUTED_VALUE"""),"")</f>
        <v/>
      </c>
      <c r="G10009" s="18"/>
      <c r="H10009" s="16" t="s">
        <v>87</v>
      </c>
      <c r="I10009" s="16" t="s">
        <v>87</v>
      </c>
      <c r="J10009" s="19"/>
      <c r="L10009" s="16" t="str">
        <f>IFERROR(__xludf.DUMMYFUNCTION("""COMPUTED_VALUE"""),"")</f>
        <v/>
      </c>
      <c r="M10009" s="16" t="str">
        <f>IFERROR(__xludf.DUMMYFUNCTION("""COMPUTED_VALUE"""),"")</f>
        <v/>
      </c>
      <c r="U10009" s="16" t="s">
        <v>87</v>
      </c>
      <c r="V10009" s="16" t="str">
        <f>IFERROR(__xludf.DUMMYFUNCTION("""COMPUTED_VALUE"""),"")</f>
        <v/>
      </c>
      <c r="W10009" s="16" t="str">
        <f>IFERROR(__xludf.DUMMYFUNCTION("""COMPUTED_VALUE"""),"")</f>
        <v/>
      </c>
      <c r="X10009" s="16" t="str">
        <f>IFERROR(__xludf.DUMMYFUNCTION("""COMPUTED_VALUE"""),"")</f>
        <v/>
      </c>
      <c r="AC10009" s="16" t="str">
        <f>IFERROR(__xludf.DUMMYFUNCTION("""COMPUTED_VALUE"""),"")</f>
        <v/>
      </c>
    </row>
    <row r="10010">
      <c r="A10010" s="16" t="s">
        <v>87</v>
      </c>
      <c r="E10010" s="16" t="str">
        <f>IFERROR(__xludf.DUMMYFUNCTION("""COMPUTED_VALUE"""),"")</f>
        <v/>
      </c>
      <c r="G10010" s="18"/>
      <c r="H10010" s="16" t="s">
        <v>87</v>
      </c>
      <c r="I10010" s="16" t="s">
        <v>87</v>
      </c>
      <c r="J10010" s="19"/>
      <c r="L10010" s="16" t="str">
        <f>IFERROR(__xludf.DUMMYFUNCTION("""COMPUTED_VALUE"""),"")</f>
        <v/>
      </c>
      <c r="M10010" s="16" t="str">
        <f>IFERROR(__xludf.DUMMYFUNCTION("""COMPUTED_VALUE"""),"")</f>
        <v/>
      </c>
      <c r="U10010" s="16" t="s">
        <v>87</v>
      </c>
      <c r="V10010" s="16" t="str">
        <f>IFERROR(__xludf.DUMMYFUNCTION("""COMPUTED_VALUE"""),"")</f>
        <v/>
      </c>
      <c r="W10010" s="16" t="str">
        <f>IFERROR(__xludf.DUMMYFUNCTION("""COMPUTED_VALUE"""),"")</f>
        <v/>
      </c>
      <c r="X10010" s="16" t="str">
        <f>IFERROR(__xludf.DUMMYFUNCTION("""COMPUTED_VALUE"""),"")</f>
        <v/>
      </c>
      <c r="AC10010" s="16" t="str">
        <f>IFERROR(__xludf.DUMMYFUNCTION("""COMPUTED_VALUE"""),"")</f>
        <v/>
      </c>
    </row>
    <row r="10011">
      <c r="A10011" s="16" t="s">
        <v>87</v>
      </c>
      <c r="E10011" s="16" t="str">
        <f>IFERROR(__xludf.DUMMYFUNCTION("""COMPUTED_VALUE"""),"")</f>
        <v/>
      </c>
      <c r="G10011" s="18"/>
      <c r="H10011" s="16" t="s">
        <v>87</v>
      </c>
      <c r="I10011" s="16" t="s">
        <v>87</v>
      </c>
      <c r="J10011" s="19"/>
      <c r="L10011" s="16" t="str">
        <f>IFERROR(__xludf.DUMMYFUNCTION("""COMPUTED_VALUE"""),"")</f>
        <v/>
      </c>
      <c r="M10011" s="16" t="str">
        <f>IFERROR(__xludf.DUMMYFUNCTION("""COMPUTED_VALUE"""),"")</f>
        <v/>
      </c>
      <c r="U10011" s="16" t="s">
        <v>87</v>
      </c>
      <c r="V10011" s="16" t="str">
        <f>IFERROR(__xludf.DUMMYFUNCTION("""COMPUTED_VALUE"""),"")</f>
        <v/>
      </c>
      <c r="W10011" s="16" t="str">
        <f>IFERROR(__xludf.DUMMYFUNCTION("""COMPUTED_VALUE"""),"")</f>
        <v/>
      </c>
      <c r="X10011" s="16" t="str">
        <f>IFERROR(__xludf.DUMMYFUNCTION("""COMPUTED_VALUE"""),"")</f>
        <v/>
      </c>
      <c r="AC10011" s="16" t="str">
        <f>IFERROR(__xludf.DUMMYFUNCTION("""COMPUTED_VALUE"""),"")</f>
        <v/>
      </c>
    </row>
    <row r="10012">
      <c r="A10012" s="16" t="s">
        <v>87</v>
      </c>
      <c r="E10012" s="16" t="str">
        <f>IFERROR(__xludf.DUMMYFUNCTION("""COMPUTED_VALUE"""),"")</f>
        <v/>
      </c>
      <c r="G10012" s="18"/>
      <c r="H10012" s="16" t="s">
        <v>87</v>
      </c>
      <c r="I10012" s="16" t="s">
        <v>87</v>
      </c>
      <c r="J10012" s="19"/>
      <c r="L10012" s="16" t="str">
        <f>IFERROR(__xludf.DUMMYFUNCTION("""COMPUTED_VALUE"""),"")</f>
        <v/>
      </c>
      <c r="M10012" s="16" t="str">
        <f>IFERROR(__xludf.DUMMYFUNCTION("""COMPUTED_VALUE"""),"")</f>
        <v/>
      </c>
      <c r="U10012" s="16" t="s">
        <v>87</v>
      </c>
      <c r="V10012" s="16" t="str">
        <f>IFERROR(__xludf.DUMMYFUNCTION("""COMPUTED_VALUE"""),"")</f>
        <v/>
      </c>
      <c r="W10012" s="16" t="str">
        <f>IFERROR(__xludf.DUMMYFUNCTION("""COMPUTED_VALUE"""),"")</f>
        <v/>
      </c>
      <c r="X10012" s="16" t="str">
        <f>IFERROR(__xludf.DUMMYFUNCTION("""COMPUTED_VALUE"""),"")</f>
        <v/>
      </c>
      <c r="AC10012" s="16" t="str">
        <f>IFERROR(__xludf.DUMMYFUNCTION("""COMPUTED_VALUE"""),"")</f>
        <v/>
      </c>
    </row>
    <row r="10013">
      <c r="A10013" s="16" t="s">
        <v>87</v>
      </c>
      <c r="E10013" s="16" t="str">
        <f>IFERROR(__xludf.DUMMYFUNCTION("""COMPUTED_VALUE"""),"")</f>
        <v/>
      </c>
      <c r="G10013" s="18"/>
      <c r="H10013" s="16" t="s">
        <v>87</v>
      </c>
      <c r="I10013" s="16" t="s">
        <v>87</v>
      </c>
      <c r="J10013" s="19"/>
      <c r="L10013" s="16" t="str">
        <f>IFERROR(__xludf.DUMMYFUNCTION("""COMPUTED_VALUE"""),"")</f>
        <v/>
      </c>
      <c r="M10013" s="16" t="str">
        <f>IFERROR(__xludf.DUMMYFUNCTION("""COMPUTED_VALUE"""),"")</f>
        <v/>
      </c>
      <c r="U10013" s="16" t="s">
        <v>87</v>
      </c>
      <c r="V10013" s="16" t="str">
        <f>IFERROR(__xludf.DUMMYFUNCTION("""COMPUTED_VALUE"""),"")</f>
        <v/>
      </c>
      <c r="W10013" s="16" t="str">
        <f>IFERROR(__xludf.DUMMYFUNCTION("""COMPUTED_VALUE"""),"")</f>
        <v/>
      </c>
      <c r="X10013" s="16" t="str">
        <f>IFERROR(__xludf.DUMMYFUNCTION("""COMPUTED_VALUE"""),"")</f>
        <v/>
      </c>
      <c r="AC10013" s="16" t="str">
        <f>IFERROR(__xludf.DUMMYFUNCTION("""COMPUTED_VALUE"""),"")</f>
        <v/>
      </c>
    </row>
    <row r="10014">
      <c r="A10014" s="16" t="s">
        <v>87</v>
      </c>
      <c r="E10014" s="16" t="str">
        <f>IFERROR(__xludf.DUMMYFUNCTION("""COMPUTED_VALUE"""),"")</f>
        <v/>
      </c>
      <c r="G10014" s="18"/>
      <c r="H10014" s="16" t="s">
        <v>87</v>
      </c>
      <c r="I10014" s="16" t="s">
        <v>87</v>
      </c>
      <c r="J10014" s="19"/>
      <c r="L10014" s="16" t="str">
        <f>IFERROR(__xludf.DUMMYFUNCTION("""COMPUTED_VALUE"""),"")</f>
        <v/>
      </c>
      <c r="M10014" s="16" t="str">
        <f>IFERROR(__xludf.DUMMYFUNCTION("""COMPUTED_VALUE"""),"")</f>
        <v/>
      </c>
      <c r="U10014" s="16" t="s">
        <v>87</v>
      </c>
      <c r="V10014" s="16" t="str">
        <f>IFERROR(__xludf.DUMMYFUNCTION("""COMPUTED_VALUE"""),"")</f>
        <v/>
      </c>
      <c r="W10014" s="16" t="str">
        <f>IFERROR(__xludf.DUMMYFUNCTION("""COMPUTED_VALUE"""),"")</f>
        <v/>
      </c>
      <c r="X10014" s="16" t="str">
        <f>IFERROR(__xludf.DUMMYFUNCTION("""COMPUTED_VALUE"""),"")</f>
        <v/>
      </c>
      <c r="AC10014" s="16" t="str">
        <f>IFERROR(__xludf.DUMMYFUNCTION("""COMPUTED_VALUE"""),"")</f>
        <v/>
      </c>
    </row>
    <row r="10015">
      <c r="A10015" s="16" t="s">
        <v>87</v>
      </c>
      <c r="E10015" s="16" t="str">
        <f>IFERROR(__xludf.DUMMYFUNCTION("""COMPUTED_VALUE"""),"")</f>
        <v/>
      </c>
      <c r="G10015" s="18"/>
      <c r="H10015" s="16" t="s">
        <v>87</v>
      </c>
      <c r="I10015" s="16" t="s">
        <v>87</v>
      </c>
      <c r="J10015" s="19"/>
      <c r="L10015" s="16" t="str">
        <f>IFERROR(__xludf.DUMMYFUNCTION("""COMPUTED_VALUE"""),"")</f>
        <v/>
      </c>
      <c r="M10015" s="16" t="str">
        <f>IFERROR(__xludf.DUMMYFUNCTION("""COMPUTED_VALUE"""),"")</f>
        <v/>
      </c>
      <c r="U10015" s="16" t="s">
        <v>87</v>
      </c>
      <c r="V10015" s="16" t="str">
        <f>IFERROR(__xludf.DUMMYFUNCTION("""COMPUTED_VALUE"""),"")</f>
        <v/>
      </c>
      <c r="W10015" s="16" t="str">
        <f>IFERROR(__xludf.DUMMYFUNCTION("""COMPUTED_VALUE"""),"")</f>
        <v/>
      </c>
      <c r="X10015" s="16" t="str">
        <f>IFERROR(__xludf.DUMMYFUNCTION("""COMPUTED_VALUE"""),"")</f>
        <v/>
      </c>
      <c r="AC10015" s="16" t="str">
        <f>IFERROR(__xludf.DUMMYFUNCTION("""COMPUTED_VALUE"""),"")</f>
        <v/>
      </c>
    </row>
    <row r="10016">
      <c r="A10016" s="16" t="s">
        <v>87</v>
      </c>
      <c r="E10016" s="16" t="str">
        <f>IFERROR(__xludf.DUMMYFUNCTION("""COMPUTED_VALUE"""),"")</f>
        <v/>
      </c>
      <c r="G10016" s="18"/>
      <c r="H10016" s="16" t="s">
        <v>87</v>
      </c>
      <c r="I10016" s="16" t="s">
        <v>87</v>
      </c>
      <c r="J10016" s="19"/>
      <c r="L10016" s="16" t="str">
        <f>IFERROR(__xludf.DUMMYFUNCTION("""COMPUTED_VALUE"""),"")</f>
        <v/>
      </c>
      <c r="M10016" s="16" t="str">
        <f>IFERROR(__xludf.DUMMYFUNCTION("""COMPUTED_VALUE"""),"")</f>
        <v/>
      </c>
      <c r="U10016" s="16" t="s">
        <v>87</v>
      </c>
      <c r="V10016" s="16" t="str">
        <f>IFERROR(__xludf.DUMMYFUNCTION("""COMPUTED_VALUE"""),"")</f>
        <v/>
      </c>
      <c r="W10016" s="16" t="str">
        <f>IFERROR(__xludf.DUMMYFUNCTION("""COMPUTED_VALUE"""),"")</f>
        <v/>
      </c>
      <c r="X10016" s="16" t="str">
        <f>IFERROR(__xludf.DUMMYFUNCTION("""COMPUTED_VALUE"""),"")</f>
        <v/>
      </c>
      <c r="AC10016" s="16" t="str">
        <f>IFERROR(__xludf.DUMMYFUNCTION("""COMPUTED_VALUE"""),"")</f>
        <v/>
      </c>
    </row>
    <row r="10017">
      <c r="A10017" s="16" t="s">
        <v>87</v>
      </c>
      <c r="E10017" s="16" t="str">
        <f>IFERROR(__xludf.DUMMYFUNCTION("""COMPUTED_VALUE"""),"")</f>
        <v/>
      </c>
      <c r="G10017" s="18"/>
      <c r="H10017" s="16" t="s">
        <v>87</v>
      </c>
      <c r="I10017" s="16" t="s">
        <v>87</v>
      </c>
      <c r="J10017" s="19"/>
      <c r="L10017" s="16" t="str">
        <f>IFERROR(__xludf.DUMMYFUNCTION("""COMPUTED_VALUE"""),"")</f>
        <v/>
      </c>
      <c r="M10017" s="16" t="str">
        <f>IFERROR(__xludf.DUMMYFUNCTION("""COMPUTED_VALUE"""),"")</f>
        <v/>
      </c>
      <c r="U10017" s="16" t="s">
        <v>87</v>
      </c>
      <c r="V10017" s="16" t="str">
        <f>IFERROR(__xludf.DUMMYFUNCTION("""COMPUTED_VALUE"""),"")</f>
        <v/>
      </c>
      <c r="W10017" s="16" t="str">
        <f>IFERROR(__xludf.DUMMYFUNCTION("""COMPUTED_VALUE"""),"")</f>
        <v/>
      </c>
      <c r="X10017" s="16" t="str">
        <f>IFERROR(__xludf.DUMMYFUNCTION("""COMPUTED_VALUE"""),"")</f>
        <v/>
      </c>
      <c r="AC10017" s="16" t="str">
        <f>IFERROR(__xludf.DUMMYFUNCTION("""COMPUTED_VALUE"""),"")</f>
        <v/>
      </c>
    </row>
    <row r="10018">
      <c r="A10018" s="16" t="s">
        <v>87</v>
      </c>
      <c r="E10018" s="16" t="str">
        <f>IFERROR(__xludf.DUMMYFUNCTION("""COMPUTED_VALUE"""),"")</f>
        <v/>
      </c>
      <c r="G10018" s="18"/>
      <c r="H10018" s="16" t="s">
        <v>87</v>
      </c>
      <c r="I10018" s="16" t="s">
        <v>87</v>
      </c>
      <c r="J10018" s="19"/>
      <c r="L10018" s="16" t="str">
        <f>IFERROR(__xludf.DUMMYFUNCTION("""COMPUTED_VALUE"""),"")</f>
        <v/>
      </c>
      <c r="M10018" s="16" t="str">
        <f>IFERROR(__xludf.DUMMYFUNCTION("""COMPUTED_VALUE"""),"")</f>
        <v/>
      </c>
      <c r="U10018" s="16" t="s">
        <v>87</v>
      </c>
      <c r="V10018" s="16" t="str">
        <f>IFERROR(__xludf.DUMMYFUNCTION("""COMPUTED_VALUE"""),"")</f>
        <v/>
      </c>
      <c r="W10018" s="16" t="str">
        <f>IFERROR(__xludf.DUMMYFUNCTION("""COMPUTED_VALUE"""),"")</f>
        <v/>
      </c>
      <c r="X10018" s="16" t="str">
        <f>IFERROR(__xludf.DUMMYFUNCTION("""COMPUTED_VALUE"""),"")</f>
        <v/>
      </c>
      <c r="AC10018" s="16" t="str">
        <f>IFERROR(__xludf.DUMMYFUNCTION("""COMPUTED_VALUE"""),"")</f>
        <v/>
      </c>
    </row>
    <row r="10019">
      <c r="A10019" s="16" t="s">
        <v>87</v>
      </c>
      <c r="E10019" s="16" t="str">
        <f>IFERROR(__xludf.DUMMYFUNCTION("""COMPUTED_VALUE"""),"")</f>
        <v/>
      </c>
      <c r="G10019" s="18"/>
      <c r="H10019" s="16" t="s">
        <v>87</v>
      </c>
      <c r="I10019" s="16" t="s">
        <v>87</v>
      </c>
      <c r="J10019" s="19"/>
      <c r="L10019" s="16" t="str">
        <f>IFERROR(__xludf.DUMMYFUNCTION("""COMPUTED_VALUE"""),"")</f>
        <v/>
      </c>
      <c r="M10019" s="16" t="str">
        <f>IFERROR(__xludf.DUMMYFUNCTION("""COMPUTED_VALUE"""),"")</f>
        <v/>
      </c>
      <c r="U10019" s="16" t="s">
        <v>87</v>
      </c>
      <c r="V10019" s="16" t="str">
        <f>IFERROR(__xludf.DUMMYFUNCTION("""COMPUTED_VALUE"""),"")</f>
        <v/>
      </c>
      <c r="W10019" s="16" t="str">
        <f>IFERROR(__xludf.DUMMYFUNCTION("""COMPUTED_VALUE"""),"")</f>
        <v/>
      </c>
      <c r="X10019" s="16" t="str">
        <f>IFERROR(__xludf.DUMMYFUNCTION("""COMPUTED_VALUE"""),"")</f>
        <v/>
      </c>
      <c r="AC10019" s="16" t="str">
        <f>IFERROR(__xludf.DUMMYFUNCTION("""COMPUTED_VALUE"""),"")</f>
        <v/>
      </c>
    </row>
    <row r="10020">
      <c r="A10020" s="16" t="s">
        <v>87</v>
      </c>
      <c r="E10020" s="16" t="str">
        <f>IFERROR(__xludf.DUMMYFUNCTION("""COMPUTED_VALUE"""),"")</f>
        <v/>
      </c>
      <c r="G10020" s="18"/>
      <c r="H10020" s="16" t="s">
        <v>87</v>
      </c>
      <c r="I10020" s="16" t="s">
        <v>87</v>
      </c>
      <c r="J10020" s="19"/>
      <c r="L10020" s="16" t="str">
        <f>IFERROR(__xludf.DUMMYFUNCTION("""COMPUTED_VALUE"""),"")</f>
        <v/>
      </c>
      <c r="M10020" s="16" t="str">
        <f>IFERROR(__xludf.DUMMYFUNCTION("""COMPUTED_VALUE"""),"")</f>
        <v/>
      </c>
      <c r="U10020" s="16" t="s">
        <v>87</v>
      </c>
      <c r="V10020" s="16" t="str">
        <f>IFERROR(__xludf.DUMMYFUNCTION("""COMPUTED_VALUE"""),"")</f>
        <v/>
      </c>
      <c r="W10020" s="16" t="str">
        <f>IFERROR(__xludf.DUMMYFUNCTION("""COMPUTED_VALUE"""),"")</f>
        <v/>
      </c>
      <c r="X10020" s="16" t="str">
        <f>IFERROR(__xludf.DUMMYFUNCTION("""COMPUTED_VALUE"""),"")</f>
        <v/>
      </c>
      <c r="AC10020" s="16" t="str">
        <f>IFERROR(__xludf.DUMMYFUNCTION("""COMPUTED_VALUE"""),"")</f>
        <v/>
      </c>
    </row>
    <row r="10021">
      <c r="A10021" s="16" t="s">
        <v>87</v>
      </c>
      <c r="E10021" s="16" t="str">
        <f>IFERROR(__xludf.DUMMYFUNCTION("""COMPUTED_VALUE"""),"")</f>
        <v/>
      </c>
      <c r="G10021" s="18"/>
      <c r="H10021" s="16" t="s">
        <v>87</v>
      </c>
      <c r="I10021" s="16" t="s">
        <v>87</v>
      </c>
      <c r="J10021" s="19"/>
      <c r="L10021" s="16" t="str">
        <f>IFERROR(__xludf.DUMMYFUNCTION("""COMPUTED_VALUE"""),"")</f>
        <v/>
      </c>
      <c r="M10021" s="16" t="str">
        <f>IFERROR(__xludf.DUMMYFUNCTION("""COMPUTED_VALUE"""),"")</f>
        <v/>
      </c>
      <c r="U10021" s="16" t="s">
        <v>87</v>
      </c>
      <c r="V10021" s="16" t="str">
        <f>IFERROR(__xludf.DUMMYFUNCTION("""COMPUTED_VALUE"""),"")</f>
        <v/>
      </c>
      <c r="W10021" s="16" t="str">
        <f>IFERROR(__xludf.DUMMYFUNCTION("""COMPUTED_VALUE"""),"")</f>
        <v/>
      </c>
      <c r="X10021" s="16" t="str">
        <f>IFERROR(__xludf.DUMMYFUNCTION("""COMPUTED_VALUE"""),"")</f>
        <v/>
      </c>
      <c r="AC10021" s="16" t="str">
        <f>IFERROR(__xludf.DUMMYFUNCTION("""COMPUTED_VALUE"""),"")</f>
        <v/>
      </c>
    </row>
    <row r="10022">
      <c r="A10022" s="16" t="s">
        <v>87</v>
      </c>
      <c r="E10022" s="16" t="str">
        <f>IFERROR(__xludf.DUMMYFUNCTION("""COMPUTED_VALUE"""),"")</f>
        <v/>
      </c>
      <c r="G10022" s="18"/>
      <c r="H10022" s="16" t="s">
        <v>87</v>
      </c>
      <c r="I10022" s="16" t="s">
        <v>87</v>
      </c>
      <c r="J10022" s="19"/>
      <c r="L10022" s="16" t="str">
        <f>IFERROR(__xludf.DUMMYFUNCTION("""COMPUTED_VALUE"""),"")</f>
        <v/>
      </c>
      <c r="M10022" s="16" t="str">
        <f>IFERROR(__xludf.DUMMYFUNCTION("""COMPUTED_VALUE"""),"")</f>
        <v/>
      </c>
      <c r="U10022" s="16" t="s">
        <v>87</v>
      </c>
      <c r="V10022" s="16" t="str">
        <f>IFERROR(__xludf.DUMMYFUNCTION("""COMPUTED_VALUE"""),"")</f>
        <v/>
      </c>
      <c r="W10022" s="16" t="str">
        <f>IFERROR(__xludf.DUMMYFUNCTION("""COMPUTED_VALUE"""),"")</f>
        <v/>
      </c>
      <c r="X10022" s="16" t="str">
        <f>IFERROR(__xludf.DUMMYFUNCTION("""COMPUTED_VALUE"""),"")</f>
        <v/>
      </c>
      <c r="AC10022" s="16" t="str">
        <f>IFERROR(__xludf.DUMMYFUNCTION("""COMPUTED_VALUE"""),"")</f>
        <v/>
      </c>
    </row>
    <row r="10023">
      <c r="A10023" s="16" t="s">
        <v>87</v>
      </c>
      <c r="E10023" s="16" t="str">
        <f>IFERROR(__xludf.DUMMYFUNCTION("""COMPUTED_VALUE"""),"")</f>
        <v/>
      </c>
      <c r="G10023" s="18"/>
      <c r="H10023" s="16" t="s">
        <v>87</v>
      </c>
      <c r="I10023" s="16" t="s">
        <v>87</v>
      </c>
      <c r="J10023" s="19"/>
      <c r="L10023" s="16" t="str">
        <f>IFERROR(__xludf.DUMMYFUNCTION("""COMPUTED_VALUE"""),"")</f>
        <v/>
      </c>
      <c r="M10023" s="16" t="str">
        <f>IFERROR(__xludf.DUMMYFUNCTION("""COMPUTED_VALUE"""),"")</f>
        <v/>
      </c>
      <c r="U10023" s="16" t="s">
        <v>87</v>
      </c>
      <c r="V10023" s="16" t="str">
        <f>IFERROR(__xludf.DUMMYFUNCTION("""COMPUTED_VALUE"""),"")</f>
        <v/>
      </c>
      <c r="W10023" s="16" t="str">
        <f>IFERROR(__xludf.DUMMYFUNCTION("""COMPUTED_VALUE"""),"")</f>
        <v/>
      </c>
      <c r="X10023" s="16" t="str">
        <f>IFERROR(__xludf.DUMMYFUNCTION("""COMPUTED_VALUE"""),"")</f>
        <v/>
      </c>
      <c r="AC10023" s="16" t="str">
        <f>IFERROR(__xludf.DUMMYFUNCTION("""COMPUTED_VALUE"""),"")</f>
        <v/>
      </c>
    </row>
    <row r="10024">
      <c r="A10024" s="16" t="s">
        <v>87</v>
      </c>
      <c r="E10024" s="16" t="str">
        <f>IFERROR(__xludf.DUMMYFUNCTION("""COMPUTED_VALUE"""),"")</f>
        <v/>
      </c>
      <c r="G10024" s="18"/>
      <c r="H10024" s="16" t="s">
        <v>87</v>
      </c>
      <c r="I10024" s="16" t="s">
        <v>87</v>
      </c>
      <c r="J10024" s="19"/>
      <c r="L10024" s="16" t="str">
        <f>IFERROR(__xludf.DUMMYFUNCTION("""COMPUTED_VALUE"""),"")</f>
        <v/>
      </c>
      <c r="M10024" s="16" t="str">
        <f>IFERROR(__xludf.DUMMYFUNCTION("""COMPUTED_VALUE"""),"")</f>
        <v/>
      </c>
      <c r="U10024" s="16" t="s">
        <v>87</v>
      </c>
      <c r="V10024" s="16" t="str">
        <f>IFERROR(__xludf.DUMMYFUNCTION("""COMPUTED_VALUE"""),"")</f>
        <v/>
      </c>
      <c r="W10024" s="16" t="str">
        <f>IFERROR(__xludf.DUMMYFUNCTION("""COMPUTED_VALUE"""),"")</f>
        <v/>
      </c>
      <c r="X10024" s="16" t="str">
        <f>IFERROR(__xludf.DUMMYFUNCTION("""COMPUTED_VALUE"""),"")</f>
        <v/>
      </c>
      <c r="AC10024" s="16" t="str">
        <f>IFERROR(__xludf.DUMMYFUNCTION("""COMPUTED_VALUE"""),"")</f>
        <v/>
      </c>
    </row>
    <row r="10025">
      <c r="A10025" s="16" t="s">
        <v>87</v>
      </c>
      <c r="E10025" s="16" t="str">
        <f>IFERROR(__xludf.DUMMYFUNCTION("""COMPUTED_VALUE"""),"")</f>
        <v/>
      </c>
      <c r="G10025" s="18"/>
      <c r="H10025" s="16" t="s">
        <v>87</v>
      </c>
      <c r="I10025" s="16" t="s">
        <v>87</v>
      </c>
      <c r="J10025" s="19"/>
      <c r="L10025" s="16" t="str">
        <f>IFERROR(__xludf.DUMMYFUNCTION("""COMPUTED_VALUE"""),"")</f>
        <v/>
      </c>
      <c r="M10025" s="16" t="str">
        <f>IFERROR(__xludf.DUMMYFUNCTION("""COMPUTED_VALUE"""),"")</f>
        <v/>
      </c>
      <c r="U10025" s="16" t="s">
        <v>87</v>
      </c>
      <c r="V10025" s="16" t="str">
        <f>IFERROR(__xludf.DUMMYFUNCTION("""COMPUTED_VALUE"""),"")</f>
        <v/>
      </c>
      <c r="W10025" s="16" t="str">
        <f>IFERROR(__xludf.DUMMYFUNCTION("""COMPUTED_VALUE"""),"")</f>
        <v/>
      </c>
      <c r="X10025" s="16" t="str">
        <f>IFERROR(__xludf.DUMMYFUNCTION("""COMPUTED_VALUE"""),"")</f>
        <v/>
      </c>
      <c r="AC10025" s="16" t="str">
        <f>IFERROR(__xludf.DUMMYFUNCTION("""COMPUTED_VALUE"""),"")</f>
        <v/>
      </c>
    </row>
    <row r="10026">
      <c r="A10026" s="16" t="s">
        <v>87</v>
      </c>
      <c r="E10026" s="16" t="str">
        <f>IFERROR(__xludf.DUMMYFUNCTION("""COMPUTED_VALUE"""),"")</f>
        <v/>
      </c>
      <c r="G10026" s="18"/>
      <c r="H10026" s="16" t="s">
        <v>87</v>
      </c>
      <c r="I10026" s="16" t="s">
        <v>87</v>
      </c>
      <c r="J10026" s="19"/>
      <c r="L10026" s="16" t="str">
        <f>IFERROR(__xludf.DUMMYFUNCTION("""COMPUTED_VALUE"""),"")</f>
        <v/>
      </c>
      <c r="M10026" s="16" t="str">
        <f>IFERROR(__xludf.DUMMYFUNCTION("""COMPUTED_VALUE"""),"")</f>
        <v/>
      </c>
      <c r="U10026" s="16" t="s">
        <v>87</v>
      </c>
      <c r="V10026" s="16" t="str">
        <f>IFERROR(__xludf.DUMMYFUNCTION("""COMPUTED_VALUE"""),"")</f>
        <v/>
      </c>
      <c r="W10026" s="16" t="str">
        <f>IFERROR(__xludf.DUMMYFUNCTION("""COMPUTED_VALUE"""),"")</f>
        <v/>
      </c>
      <c r="X10026" s="16" t="str">
        <f>IFERROR(__xludf.DUMMYFUNCTION("""COMPUTED_VALUE"""),"")</f>
        <v/>
      </c>
      <c r="AC10026" s="16" t="str">
        <f>IFERROR(__xludf.DUMMYFUNCTION("""COMPUTED_VALUE"""),"")</f>
        <v/>
      </c>
    </row>
    <row r="10027">
      <c r="A10027" s="16" t="s">
        <v>87</v>
      </c>
      <c r="E10027" s="16" t="str">
        <f>IFERROR(__xludf.DUMMYFUNCTION("""COMPUTED_VALUE"""),"")</f>
        <v/>
      </c>
      <c r="G10027" s="18"/>
      <c r="H10027" s="16" t="s">
        <v>87</v>
      </c>
      <c r="I10027" s="16" t="s">
        <v>87</v>
      </c>
      <c r="J10027" s="19"/>
      <c r="L10027" s="16" t="str">
        <f>IFERROR(__xludf.DUMMYFUNCTION("""COMPUTED_VALUE"""),"")</f>
        <v/>
      </c>
      <c r="M10027" s="16" t="str">
        <f>IFERROR(__xludf.DUMMYFUNCTION("""COMPUTED_VALUE"""),"")</f>
        <v/>
      </c>
      <c r="U10027" s="16" t="s">
        <v>87</v>
      </c>
      <c r="V10027" s="16" t="str">
        <f>IFERROR(__xludf.DUMMYFUNCTION("""COMPUTED_VALUE"""),"")</f>
        <v/>
      </c>
      <c r="W10027" s="16" t="str">
        <f>IFERROR(__xludf.DUMMYFUNCTION("""COMPUTED_VALUE"""),"")</f>
        <v/>
      </c>
      <c r="X10027" s="16" t="str">
        <f>IFERROR(__xludf.DUMMYFUNCTION("""COMPUTED_VALUE"""),"")</f>
        <v/>
      </c>
      <c r="AC10027" s="16" t="str">
        <f>IFERROR(__xludf.DUMMYFUNCTION("""COMPUTED_VALUE"""),"")</f>
        <v/>
      </c>
    </row>
    <row r="10028">
      <c r="A10028" s="16" t="s">
        <v>87</v>
      </c>
      <c r="E10028" s="16" t="str">
        <f>IFERROR(__xludf.DUMMYFUNCTION("""COMPUTED_VALUE"""),"")</f>
        <v/>
      </c>
      <c r="G10028" s="18"/>
      <c r="H10028" s="16" t="s">
        <v>87</v>
      </c>
      <c r="I10028" s="16" t="s">
        <v>87</v>
      </c>
      <c r="J10028" s="19"/>
      <c r="L10028" s="16" t="str">
        <f>IFERROR(__xludf.DUMMYFUNCTION("""COMPUTED_VALUE"""),"")</f>
        <v/>
      </c>
      <c r="M10028" s="16" t="str">
        <f>IFERROR(__xludf.DUMMYFUNCTION("""COMPUTED_VALUE"""),"")</f>
        <v/>
      </c>
      <c r="U10028" s="16" t="s">
        <v>87</v>
      </c>
      <c r="V10028" s="16" t="str">
        <f>IFERROR(__xludf.DUMMYFUNCTION("""COMPUTED_VALUE"""),"")</f>
        <v/>
      </c>
      <c r="W10028" s="16" t="str">
        <f>IFERROR(__xludf.DUMMYFUNCTION("""COMPUTED_VALUE"""),"")</f>
        <v/>
      </c>
      <c r="X10028" s="16" t="str">
        <f>IFERROR(__xludf.DUMMYFUNCTION("""COMPUTED_VALUE"""),"")</f>
        <v/>
      </c>
      <c r="AC10028" s="16" t="str">
        <f>IFERROR(__xludf.DUMMYFUNCTION("""COMPUTED_VALUE"""),"")</f>
        <v/>
      </c>
    </row>
    <row r="10029">
      <c r="A10029" s="16" t="s">
        <v>87</v>
      </c>
      <c r="E10029" s="16" t="str">
        <f>IFERROR(__xludf.DUMMYFUNCTION("""COMPUTED_VALUE"""),"")</f>
        <v/>
      </c>
      <c r="G10029" s="18"/>
      <c r="H10029" s="16" t="s">
        <v>87</v>
      </c>
      <c r="I10029" s="16" t="s">
        <v>87</v>
      </c>
      <c r="J10029" s="19"/>
      <c r="L10029" s="16" t="str">
        <f>IFERROR(__xludf.DUMMYFUNCTION("""COMPUTED_VALUE"""),"")</f>
        <v/>
      </c>
      <c r="M10029" s="16" t="str">
        <f>IFERROR(__xludf.DUMMYFUNCTION("""COMPUTED_VALUE"""),"")</f>
        <v/>
      </c>
      <c r="U10029" s="16" t="s">
        <v>87</v>
      </c>
      <c r="V10029" s="16" t="str">
        <f>IFERROR(__xludf.DUMMYFUNCTION("""COMPUTED_VALUE"""),"")</f>
        <v/>
      </c>
      <c r="W10029" s="16" t="str">
        <f>IFERROR(__xludf.DUMMYFUNCTION("""COMPUTED_VALUE"""),"")</f>
        <v/>
      </c>
      <c r="X10029" s="16" t="str">
        <f>IFERROR(__xludf.DUMMYFUNCTION("""COMPUTED_VALUE"""),"")</f>
        <v/>
      </c>
      <c r="AC10029" s="16" t="str">
        <f>IFERROR(__xludf.DUMMYFUNCTION("""COMPUTED_VALUE"""),"")</f>
        <v/>
      </c>
    </row>
    <row r="10030">
      <c r="A10030" s="16" t="s">
        <v>87</v>
      </c>
      <c r="E10030" s="16" t="str">
        <f>IFERROR(__xludf.DUMMYFUNCTION("""COMPUTED_VALUE"""),"")</f>
        <v/>
      </c>
      <c r="G10030" s="18"/>
      <c r="H10030" s="16" t="s">
        <v>87</v>
      </c>
      <c r="I10030" s="16" t="s">
        <v>87</v>
      </c>
      <c r="J10030" s="19"/>
      <c r="L10030" s="16" t="str">
        <f>IFERROR(__xludf.DUMMYFUNCTION("""COMPUTED_VALUE"""),"")</f>
        <v/>
      </c>
      <c r="M10030" s="16" t="str">
        <f>IFERROR(__xludf.DUMMYFUNCTION("""COMPUTED_VALUE"""),"")</f>
        <v/>
      </c>
      <c r="U10030" s="16" t="s">
        <v>87</v>
      </c>
      <c r="V10030" s="16" t="str">
        <f>IFERROR(__xludf.DUMMYFUNCTION("""COMPUTED_VALUE"""),"")</f>
        <v/>
      </c>
      <c r="W10030" s="16" t="str">
        <f>IFERROR(__xludf.DUMMYFUNCTION("""COMPUTED_VALUE"""),"")</f>
        <v/>
      </c>
      <c r="X10030" s="16" t="str">
        <f>IFERROR(__xludf.DUMMYFUNCTION("""COMPUTED_VALUE"""),"")</f>
        <v/>
      </c>
      <c r="AC10030" s="16" t="str">
        <f>IFERROR(__xludf.DUMMYFUNCTION("""COMPUTED_VALUE"""),"")</f>
        <v/>
      </c>
    </row>
    <row r="10031">
      <c r="A10031" s="16" t="s">
        <v>87</v>
      </c>
      <c r="E10031" s="16" t="str">
        <f>IFERROR(__xludf.DUMMYFUNCTION("""COMPUTED_VALUE"""),"")</f>
        <v/>
      </c>
      <c r="G10031" s="18"/>
      <c r="H10031" s="16" t="s">
        <v>87</v>
      </c>
      <c r="I10031" s="16" t="s">
        <v>87</v>
      </c>
      <c r="J10031" s="19"/>
      <c r="L10031" s="16" t="str">
        <f>IFERROR(__xludf.DUMMYFUNCTION("""COMPUTED_VALUE"""),"")</f>
        <v/>
      </c>
      <c r="M10031" s="16" t="str">
        <f>IFERROR(__xludf.DUMMYFUNCTION("""COMPUTED_VALUE"""),"")</f>
        <v/>
      </c>
      <c r="U10031" s="16" t="s">
        <v>87</v>
      </c>
      <c r="V10031" s="16" t="str">
        <f>IFERROR(__xludf.DUMMYFUNCTION("""COMPUTED_VALUE"""),"")</f>
        <v/>
      </c>
      <c r="W10031" s="16" t="str">
        <f>IFERROR(__xludf.DUMMYFUNCTION("""COMPUTED_VALUE"""),"")</f>
        <v/>
      </c>
      <c r="X10031" s="16" t="str">
        <f>IFERROR(__xludf.DUMMYFUNCTION("""COMPUTED_VALUE"""),"")</f>
        <v/>
      </c>
      <c r="AC10031" s="16" t="str">
        <f>IFERROR(__xludf.DUMMYFUNCTION("""COMPUTED_VALUE"""),"")</f>
        <v/>
      </c>
    </row>
    <row r="10032">
      <c r="A10032" s="16" t="s">
        <v>87</v>
      </c>
      <c r="E10032" s="16" t="str">
        <f>IFERROR(__xludf.DUMMYFUNCTION("""COMPUTED_VALUE"""),"")</f>
        <v/>
      </c>
      <c r="G10032" s="18"/>
      <c r="H10032" s="16" t="s">
        <v>87</v>
      </c>
      <c r="I10032" s="16" t="s">
        <v>87</v>
      </c>
      <c r="J10032" s="19"/>
      <c r="L10032" s="16" t="str">
        <f>IFERROR(__xludf.DUMMYFUNCTION("""COMPUTED_VALUE"""),"")</f>
        <v/>
      </c>
      <c r="M10032" s="16" t="str">
        <f>IFERROR(__xludf.DUMMYFUNCTION("""COMPUTED_VALUE"""),"")</f>
        <v/>
      </c>
      <c r="U10032" s="16" t="s">
        <v>87</v>
      </c>
      <c r="V10032" s="16" t="str">
        <f>IFERROR(__xludf.DUMMYFUNCTION("""COMPUTED_VALUE"""),"")</f>
        <v/>
      </c>
      <c r="W10032" s="16" t="str">
        <f>IFERROR(__xludf.DUMMYFUNCTION("""COMPUTED_VALUE"""),"")</f>
        <v/>
      </c>
      <c r="X10032" s="16" t="str">
        <f>IFERROR(__xludf.DUMMYFUNCTION("""COMPUTED_VALUE"""),"")</f>
        <v/>
      </c>
      <c r="AC10032" s="16" t="str">
        <f>IFERROR(__xludf.DUMMYFUNCTION("""COMPUTED_VALUE"""),"")</f>
        <v/>
      </c>
    </row>
    <row r="10033">
      <c r="A10033" s="16" t="s">
        <v>87</v>
      </c>
      <c r="E10033" s="16" t="str">
        <f>IFERROR(__xludf.DUMMYFUNCTION("""COMPUTED_VALUE"""),"")</f>
        <v/>
      </c>
      <c r="G10033" s="18"/>
      <c r="H10033" s="16" t="s">
        <v>87</v>
      </c>
      <c r="I10033" s="16" t="s">
        <v>87</v>
      </c>
      <c r="J10033" s="19"/>
      <c r="L10033" s="16" t="str">
        <f>IFERROR(__xludf.DUMMYFUNCTION("""COMPUTED_VALUE"""),"")</f>
        <v/>
      </c>
      <c r="M10033" s="16" t="str">
        <f>IFERROR(__xludf.DUMMYFUNCTION("""COMPUTED_VALUE"""),"")</f>
        <v/>
      </c>
      <c r="U10033" s="16" t="s">
        <v>87</v>
      </c>
      <c r="V10033" s="16" t="str">
        <f>IFERROR(__xludf.DUMMYFUNCTION("""COMPUTED_VALUE"""),"")</f>
        <v/>
      </c>
      <c r="W10033" s="16" t="str">
        <f>IFERROR(__xludf.DUMMYFUNCTION("""COMPUTED_VALUE"""),"")</f>
        <v/>
      </c>
      <c r="X10033" s="16" t="str">
        <f>IFERROR(__xludf.DUMMYFUNCTION("""COMPUTED_VALUE"""),"")</f>
        <v/>
      </c>
      <c r="AC10033" s="16" t="str">
        <f>IFERROR(__xludf.DUMMYFUNCTION("""COMPUTED_VALUE"""),"")</f>
        <v/>
      </c>
    </row>
    <row r="10034">
      <c r="A10034" s="16" t="s">
        <v>87</v>
      </c>
      <c r="E10034" s="16" t="str">
        <f>IFERROR(__xludf.DUMMYFUNCTION("""COMPUTED_VALUE"""),"")</f>
        <v/>
      </c>
      <c r="G10034" s="18"/>
      <c r="H10034" s="16" t="s">
        <v>87</v>
      </c>
      <c r="I10034" s="16" t="s">
        <v>87</v>
      </c>
      <c r="J10034" s="19"/>
      <c r="L10034" s="16" t="str">
        <f>IFERROR(__xludf.DUMMYFUNCTION("""COMPUTED_VALUE"""),"")</f>
        <v/>
      </c>
      <c r="M10034" s="16" t="str">
        <f>IFERROR(__xludf.DUMMYFUNCTION("""COMPUTED_VALUE"""),"")</f>
        <v/>
      </c>
      <c r="U10034" s="16" t="s">
        <v>87</v>
      </c>
      <c r="V10034" s="16" t="str">
        <f>IFERROR(__xludf.DUMMYFUNCTION("""COMPUTED_VALUE"""),"")</f>
        <v/>
      </c>
      <c r="W10034" s="16" t="str">
        <f>IFERROR(__xludf.DUMMYFUNCTION("""COMPUTED_VALUE"""),"")</f>
        <v/>
      </c>
      <c r="X10034" s="16" t="str">
        <f>IFERROR(__xludf.DUMMYFUNCTION("""COMPUTED_VALUE"""),"")</f>
        <v/>
      </c>
      <c r="AC10034" s="16" t="str">
        <f>IFERROR(__xludf.DUMMYFUNCTION("""COMPUTED_VALUE"""),"")</f>
        <v/>
      </c>
    </row>
    <row r="10035">
      <c r="A10035" s="16" t="s">
        <v>87</v>
      </c>
      <c r="E10035" s="16" t="str">
        <f>IFERROR(__xludf.DUMMYFUNCTION("""COMPUTED_VALUE"""),"")</f>
        <v/>
      </c>
      <c r="G10035" s="18"/>
      <c r="H10035" s="16" t="s">
        <v>87</v>
      </c>
      <c r="I10035" s="16" t="s">
        <v>87</v>
      </c>
      <c r="J10035" s="19"/>
      <c r="L10035" s="16" t="str">
        <f>IFERROR(__xludf.DUMMYFUNCTION("""COMPUTED_VALUE"""),"")</f>
        <v/>
      </c>
      <c r="M10035" s="16" t="str">
        <f>IFERROR(__xludf.DUMMYFUNCTION("""COMPUTED_VALUE"""),"")</f>
        <v/>
      </c>
      <c r="U10035" s="16" t="s">
        <v>87</v>
      </c>
      <c r="V10035" s="16" t="str">
        <f>IFERROR(__xludf.DUMMYFUNCTION("""COMPUTED_VALUE"""),"")</f>
        <v/>
      </c>
      <c r="W10035" s="16" t="str">
        <f>IFERROR(__xludf.DUMMYFUNCTION("""COMPUTED_VALUE"""),"")</f>
        <v/>
      </c>
      <c r="X10035" s="16" t="str">
        <f>IFERROR(__xludf.DUMMYFUNCTION("""COMPUTED_VALUE"""),"")</f>
        <v/>
      </c>
      <c r="AC10035" s="16" t="str">
        <f>IFERROR(__xludf.DUMMYFUNCTION("""COMPUTED_VALUE"""),"")</f>
        <v/>
      </c>
    </row>
    <row r="10036">
      <c r="A10036" s="16" t="s">
        <v>87</v>
      </c>
      <c r="E10036" s="16" t="str">
        <f>IFERROR(__xludf.DUMMYFUNCTION("""COMPUTED_VALUE"""),"")</f>
        <v/>
      </c>
      <c r="G10036" s="18"/>
      <c r="H10036" s="16" t="s">
        <v>87</v>
      </c>
      <c r="I10036" s="16" t="s">
        <v>87</v>
      </c>
      <c r="J10036" s="19"/>
      <c r="L10036" s="16" t="str">
        <f>IFERROR(__xludf.DUMMYFUNCTION("""COMPUTED_VALUE"""),"")</f>
        <v/>
      </c>
      <c r="M10036" s="16" t="str">
        <f>IFERROR(__xludf.DUMMYFUNCTION("""COMPUTED_VALUE"""),"")</f>
        <v/>
      </c>
      <c r="U10036" s="16" t="s">
        <v>87</v>
      </c>
      <c r="V10036" s="16" t="str">
        <f>IFERROR(__xludf.DUMMYFUNCTION("""COMPUTED_VALUE"""),"")</f>
        <v/>
      </c>
      <c r="W10036" s="16" t="str">
        <f>IFERROR(__xludf.DUMMYFUNCTION("""COMPUTED_VALUE"""),"")</f>
        <v/>
      </c>
      <c r="X10036" s="16" t="str">
        <f>IFERROR(__xludf.DUMMYFUNCTION("""COMPUTED_VALUE"""),"")</f>
        <v/>
      </c>
      <c r="AC10036" s="16" t="str">
        <f>IFERROR(__xludf.DUMMYFUNCTION("""COMPUTED_VALUE"""),"")</f>
        <v/>
      </c>
    </row>
    <row r="10037">
      <c r="A10037" s="16" t="s">
        <v>87</v>
      </c>
      <c r="E10037" s="16" t="str">
        <f>IFERROR(__xludf.DUMMYFUNCTION("""COMPUTED_VALUE"""),"")</f>
        <v/>
      </c>
      <c r="G10037" s="18"/>
      <c r="H10037" s="16" t="s">
        <v>87</v>
      </c>
      <c r="I10037" s="16" t="s">
        <v>87</v>
      </c>
      <c r="J10037" s="19"/>
      <c r="L10037" s="16" t="str">
        <f>IFERROR(__xludf.DUMMYFUNCTION("""COMPUTED_VALUE"""),"")</f>
        <v/>
      </c>
      <c r="M10037" s="16" t="str">
        <f>IFERROR(__xludf.DUMMYFUNCTION("""COMPUTED_VALUE"""),"")</f>
        <v/>
      </c>
      <c r="U10037" s="16" t="s">
        <v>87</v>
      </c>
      <c r="V10037" s="16" t="str">
        <f>IFERROR(__xludf.DUMMYFUNCTION("""COMPUTED_VALUE"""),"")</f>
        <v/>
      </c>
      <c r="W10037" s="16" t="str">
        <f>IFERROR(__xludf.DUMMYFUNCTION("""COMPUTED_VALUE"""),"")</f>
        <v/>
      </c>
      <c r="X10037" s="16" t="str">
        <f>IFERROR(__xludf.DUMMYFUNCTION("""COMPUTED_VALUE"""),"")</f>
        <v/>
      </c>
      <c r="AC10037" s="16" t="str">
        <f>IFERROR(__xludf.DUMMYFUNCTION("""COMPUTED_VALUE"""),"")</f>
        <v/>
      </c>
    </row>
    <row r="10038">
      <c r="A10038" s="16" t="s">
        <v>87</v>
      </c>
      <c r="E10038" s="16" t="str">
        <f>IFERROR(__xludf.DUMMYFUNCTION("""COMPUTED_VALUE"""),"")</f>
        <v/>
      </c>
      <c r="G10038" s="18"/>
      <c r="H10038" s="16" t="s">
        <v>87</v>
      </c>
      <c r="I10038" s="16" t="s">
        <v>87</v>
      </c>
      <c r="J10038" s="19"/>
      <c r="L10038" s="16" t="str">
        <f>IFERROR(__xludf.DUMMYFUNCTION("""COMPUTED_VALUE"""),"")</f>
        <v/>
      </c>
      <c r="M10038" s="16" t="str">
        <f>IFERROR(__xludf.DUMMYFUNCTION("""COMPUTED_VALUE"""),"")</f>
        <v/>
      </c>
      <c r="U10038" s="16" t="s">
        <v>87</v>
      </c>
      <c r="V10038" s="16" t="str">
        <f>IFERROR(__xludf.DUMMYFUNCTION("""COMPUTED_VALUE"""),"")</f>
        <v/>
      </c>
      <c r="W10038" s="16" t="str">
        <f>IFERROR(__xludf.DUMMYFUNCTION("""COMPUTED_VALUE"""),"")</f>
        <v/>
      </c>
      <c r="X10038" s="16" t="str">
        <f>IFERROR(__xludf.DUMMYFUNCTION("""COMPUTED_VALUE"""),"")</f>
        <v/>
      </c>
      <c r="AC10038" s="16" t="str">
        <f>IFERROR(__xludf.DUMMYFUNCTION("""COMPUTED_VALUE"""),"")</f>
        <v/>
      </c>
    </row>
    <row r="10039">
      <c r="A10039" s="16" t="s">
        <v>87</v>
      </c>
      <c r="E10039" s="16" t="str">
        <f>IFERROR(__xludf.DUMMYFUNCTION("""COMPUTED_VALUE"""),"")</f>
        <v/>
      </c>
      <c r="G10039" s="18"/>
      <c r="H10039" s="16" t="s">
        <v>87</v>
      </c>
      <c r="I10039" s="16" t="s">
        <v>87</v>
      </c>
      <c r="J10039" s="19"/>
      <c r="L10039" s="16" t="str">
        <f>IFERROR(__xludf.DUMMYFUNCTION("""COMPUTED_VALUE"""),"")</f>
        <v/>
      </c>
      <c r="M10039" s="16" t="str">
        <f>IFERROR(__xludf.DUMMYFUNCTION("""COMPUTED_VALUE"""),"")</f>
        <v/>
      </c>
      <c r="U10039" s="16" t="s">
        <v>87</v>
      </c>
      <c r="V10039" s="16" t="str">
        <f>IFERROR(__xludf.DUMMYFUNCTION("""COMPUTED_VALUE"""),"")</f>
        <v/>
      </c>
      <c r="W10039" s="16" t="str">
        <f>IFERROR(__xludf.DUMMYFUNCTION("""COMPUTED_VALUE"""),"")</f>
        <v/>
      </c>
      <c r="X10039" s="16" t="str">
        <f>IFERROR(__xludf.DUMMYFUNCTION("""COMPUTED_VALUE"""),"")</f>
        <v/>
      </c>
      <c r="AC10039" s="16" t="str">
        <f>IFERROR(__xludf.DUMMYFUNCTION("""COMPUTED_VALUE"""),"")</f>
        <v/>
      </c>
    </row>
    <row r="10040">
      <c r="A10040" s="16" t="s">
        <v>87</v>
      </c>
      <c r="E10040" s="16" t="str">
        <f>IFERROR(__xludf.DUMMYFUNCTION("""COMPUTED_VALUE"""),"")</f>
        <v/>
      </c>
      <c r="G10040" s="18"/>
      <c r="H10040" s="16" t="s">
        <v>87</v>
      </c>
      <c r="I10040" s="16" t="s">
        <v>87</v>
      </c>
      <c r="J10040" s="19"/>
      <c r="L10040" s="16" t="str">
        <f>IFERROR(__xludf.DUMMYFUNCTION("""COMPUTED_VALUE"""),"")</f>
        <v/>
      </c>
      <c r="M10040" s="16" t="str">
        <f>IFERROR(__xludf.DUMMYFUNCTION("""COMPUTED_VALUE"""),"")</f>
        <v/>
      </c>
      <c r="U10040" s="16" t="s">
        <v>87</v>
      </c>
      <c r="V10040" s="16" t="str">
        <f>IFERROR(__xludf.DUMMYFUNCTION("""COMPUTED_VALUE"""),"")</f>
        <v/>
      </c>
      <c r="W10040" s="16" t="str">
        <f>IFERROR(__xludf.DUMMYFUNCTION("""COMPUTED_VALUE"""),"")</f>
        <v/>
      </c>
      <c r="X10040" s="16" t="str">
        <f>IFERROR(__xludf.DUMMYFUNCTION("""COMPUTED_VALUE"""),"")</f>
        <v/>
      </c>
      <c r="AC10040" s="16" t="str">
        <f>IFERROR(__xludf.DUMMYFUNCTION("""COMPUTED_VALUE"""),"")</f>
        <v/>
      </c>
    </row>
    <row r="10041">
      <c r="A10041" s="16" t="s">
        <v>87</v>
      </c>
      <c r="E10041" s="16" t="str">
        <f>IFERROR(__xludf.DUMMYFUNCTION("""COMPUTED_VALUE"""),"")</f>
        <v/>
      </c>
      <c r="G10041" s="18"/>
      <c r="H10041" s="16" t="s">
        <v>87</v>
      </c>
      <c r="I10041" s="16" t="s">
        <v>87</v>
      </c>
      <c r="J10041" s="19"/>
      <c r="L10041" s="16" t="str">
        <f>IFERROR(__xludf.DUMMYFUNCTION("""COMPUTED_VALUE"""),"")</f>
        <v/>
      </c>
      <c r="M10041" s="16" t="str">
        <f>IFERROR(__xludf.DUMMYFUNCTION("""COMPUTED_VALUE"""),"")</f>
        <v/>
      </c>
      <c r="U10041" s="16" t="s">
        <v>87</v>
      </c>
      <c r="V10041" s="16" t="str">
        <f>IFERROR(__xludf.DUMMYFUNCTION("""COMPUTED_VALUE"""),"")</f>
        <v/>
      </c>
      <c r="W10041" s="16" t="str">
        <f>IFERROR(__xludf.DUMMYFUNCTION("""COMPUTED_VALUE"""),"")</f>
        <v/>
      </c>
      <c r="X10041" s="16" t="str">
        <f>IFERROR(__xludf.DUMMYFUNCTION("""COMPUTED_VALUE"""),"")</f>
        <v/>
      </c>
      <c r="AC10041" s="16" t="str">
        <f>IFERROR(__xludf.DUMMYFUNCTION("""COMPUTED_VALUE"""),"")</f>
        <v/>
      </c>
    </row>
    <row r="10042">
      <c r="A10042" s="16" t="s">
        <v>87</v>
      </c>
      <c r="E10042" s="16" t="str">
        <f>IFERROR(__xludf.DUMMYFUNCTION("""COMPUTED_VALUE"""),"")</f>
        <v/>
      </c>
      <c r="G10042" s="18"/>
      <c r="H10042" s="16" t="s">
        <v>87</v>
      </c>
      <c r="I10042" s="16" t="s">
        <v>87</v>
      </c>
      <c r="J10042" s="19"/>
      <c r="L10042" s="16" t="str">
        <f>IFERROR(__xludf.DUMMYFUNCTION("""COMPUTED_VALUE"""),"")</f>
        <v/>
      </c>
      <c r="M10042" s="16" t="str">
        <f>IFERROR(__xludf.DUMMYFUNCTION("""COMPUTED_VALUE"""),"")</f>
        <v/>
      </c>
      <c r="U10042" s="16" t="s">
        <v>87</v>
      </c>
      <c r="V10042" s="16" t="str">
        <f>IFERROR(__xludf.DUMMYFUNCTION("""COMPUTED_VALUE"""),"")</f>
        <v/>
      </c>
      <c r="W10042" s="16" t="str">
        <f>IFERROR(__xludf.DUMMYFUNCTION("""COMPUTED_VALUE"""),"")</f>
        <v/>
      </c>
      <c r="X10042" s="16" t="str">
        <f>IFERROR(__xludf.DUMMYFUNCTION("""COMPUTED_VALUE"""),"")</f>
        <v/>
      </c>
      <c r="AC10042" s="16" t="str">
        <f>IFERROR(__xludf.DUMMYFUNCTION("""COMPUTED_VALUE"""),"")</f>
        <v/>
      </c>
    </row>
    <row r="10043">
      <c r="A10043" s="16" t="s">
        <v>87</v>
      </c>
      <c r="E10043" s="16" t="str">
        <f>IFERROR(__xludf.DUMMYFUNCTION("""COMPUTED_VALUE"""),"")</f>
        <v/>
      </c>
      <c r="G10043" s="18"/>
      <c r="H10043" s="16" t="s">
        <v>87</v>
      </c>
      <c r="I10043" s="16" t="s">
        <v>87</v>
      </c>
      <c r="J10043" s="19"/>
      <c r="L10043" s="16" t="str">
        <f>IFERROR(__xludf.DUMMYFUNCTION("""COMPUTED_VALUE"""),"")</f>
        <v/>
      </c>
      <c r="M10043" s="16" t="str">
        <f>IFERROR(__xludf.DUMMYFUNCTION("""COMPUTED_VALUE"""),"")</f>
        <v/>
      </c>
      <c r="U10043" s="16" t="s">
        <v>87</v>
      </c>
      <c r="V10043" s="16" t="str">
        <f>IFERROR(__xludf.DUMMYFUNCTION("""COMPUTED_VALUE"""),"")</f>
        <v/>
      </c>
      <c r="W10043" s="16" t="str">
        <f>IFERROR(__xludf.DUMMYFUNCTION("""COMPUTED_VALUE"""),"")</f>
        <v/>
      </c>
      <c r="X10043" s="16" t="str">
        <f>IFERROR(__xludf.DUMMYFUNCTION("""COMPUTED_VALUE"""),"")</f>
        <v/>
      </c>
      <c r="AC10043" s="16" t="str">
        <f>IFERROR(__xludf.DUMMYFUNCTION("""COMPUTED_VALUE"""),"")</f>
        <v/>
      </c>
    </row>
    <row r="10044">
      <c r="A10044" s="16" t="s">
        <v>87</v>
      </c>
      <c r="E10044" s="16" t="str">
        <f>IFERROR(__xludf.DUMMYFUNCTION("""COMPUTED_VALUE"""),"")</f>
        <v/>
      </c>
      <c r="G10044" s="18"/>
      <c r="H10044" s="16" t="s">
        <v>87</v>
      </c>
      <c r="I10044" s="16" t="s">
        <v>87</v>
      </c>
      <c r="J10044" s="19"/>
      <c r="L10044" s="16" t="str">
        <f>IFERROR(__xludf.DUMMYFUNCTION("""COMPUTED_VALUE"""),"")</f>
        <v/>
      </c>
      <c r="M10044" s="16" t="str">
        <f>IFERROR(__xludf.DUMMYFUNCTION("""COMPUTED_VALUE"""),"")</f>
        <v/>
      </c>
      <c r="U10044" s="16" t="s">
        <v>87</v>
      </c>
      <c r="V10044" s="16" t="str">
        <f>IFERROR(__xludf.DUMMYFUNCTION("""COMPUTED_VALUE"""),"")</f>
        <v/>
      </c>
      <c r="W10044" s="16" t="str">
        <f>IFERROR(__xludf.DUMMYFUNCTION("""COMPUTED_VALUE"""),"")</f>
        <v/>
      </c>
      <c r="X10044" s="16" t="str">
        <f>IFERROR(__xludf.DUMMYFUNCTION("""COMPUTED_VALUE"""),"")</f>
        <v/>
      </c>
      <c r="AC10044" s="16" t="str">
        <f>IFERROR(__xludf.DUMMYFUNCTION("""COMPUTED_VALUE"""),"")</f>
        <v/>
      </c>
    </row>
    <row r="10045">
      <c r="A10045" s="16" t="s">
        <v>87</v>
      </c>
      <c r="E10045" s="16" t="str">
        <f>IFERROR(__xludf.DUMMYFUNCTION("""COMPUTED_VALUE"""),"")</f>
        <v/>
      </c>
      <c r="G10045" s="18"/>
      <c r="H10045" s="16" t="s">
        <v>87</v>
      </c>
      <c r="I10045" s="16" t="s">
        <v>87</v>
      </c>
      <c r="J10045" s="19"/>
      <c r="L10045" s="16" t="str">
        <f>IFERROR(__xludf.DUMMYFUNCTION("""COMPUTED_VALUE"""),"")</f>
        <v/>
      </c>
      <c r="M10045" s="16" t="str">
        <f>IFERROR(__xludf.DUMMYFUNCTION("""COMPUTED_VALUE"""),"")</f>
        <v/>
      </c>
      <c r="U10045" s="16" t="s">
        <v>87</v>
      </c>
      <c r="V10045" s="16" t="str">
        <f>IFERROR(__xludf.DUMMYFUNCTION("""COMPUTED_VALUE"""),"")</f>
        <v/>
      </c>
      <c r="W10045" s="16" t="str">
        <f>IFERROR(__xludf.DUMMYFUNCTION("""COMPUTED_VALUE"""),"")</f>
        <v/>
      </c>
      <c r="X10045" s="16" t="str">
        <f>IFERROR(__xludf.DUMMYFUNCTION("""COMPUTED_VALUE"""),"")</f>
        <v/>
      </c>
      <c r="AC10045" s="16" t="str">
        <f>IFERROR(__xludf.DUMMYFUNCTION("""COMPUTED_VALUE"""),"")</f>
        <v/>
      </c>
    </row>
    <row r="10046">
      <c r="A10046" s="16" t="s">
        <v>87</v>
      </c>
      <c r="E10046" s="16" t="str">
        <f>IFERROR(__xludf.DUMMYFUNCTION("""COMPUTED_VALUE"""),"")</f>
        <v/>
      </c>
      <c r="G10046" s="18"/>
      <c r="H10046" s="16" t="s">
        <v>87</v>
      </c>
      <c r="I10046" s="16" t="s">
        <v>87</v>
      </c>
      <c r="J10046" s="19"/>
      <c r="L10046" s="16" t="str">
        <f>IFERROR(__xludf.DUMMYFUNCTION("""COMPUTED_VALUE"""),"")</f>
        <v/>
      </c>
      <c r="M10046" s="16" t="str">
        <f>IFERROR(__xludf.DUMMYFUNCTION("""COMPUTED_VALUE"""),"")</f>
        <v/>
      </c>
      <c r="U10046" s="16" t="s">
        <v>87</v>
      </c>
      <c r="V10046" s="16" t="str">
        <f>IFERROR(__xludf.DUMMYFUNCTION("""COMPUTED_VALUE"""),"")</f>
        <v/>
      </c>
      <c r="W10046" s="16" t="str">
        <f>IFERROR(__xludf.DUMMYFUNCTION("""COMPUTED_VALUE"""),"")</f>
        <v/>
      </c>
      <c r="X10046" s="16" t="str">
        <f>IFERROR(__xludf.DUMMYFUNCTION("""COMPUTED_VALUE"""),"")</f>
        <v/>
      </c>
      <c r="AC10046" s="16" t="str">
        <f>IFERROR(__xludf.DUMMYFUNCTION("""COMPUTED_VALUE"""),"")</f>
        <v/>
      </c>
    </row>
    <row r="10047">
      <c r="A10047" s="16" t="s">
        <v>87</v>
      </c>
      <c r="E10047" s="16" t="str">
        <f>IFERROR(__xludf.DUMMYFUNCTION("""COMPUTED_VALUE"""),"")</f>
        <v/>
      </c>
      <c r="G10047" s="18"/>
      <c r="H10047" s="16" t="s">
        <v>87</v>
      </c>
      <c r="I10047" s="16" t="s">
        <v>87</v>
      </c>
      <c r="J10047" s="19"/>
      <c r="L10047" s="16" t="str">
        <f>IFERROR(__xludf.DUMMYFUNCTION("""COMPUTED_VALUE"""),"")</f>
        <v/>
      </c>
      <c r="M10047" s="16" t="str">
        <f>IFERROR(__xludf.DUMMYFUNCTION("""COMPUTED_VALUE"""),"")</f>
        <v/>
      </c>
      <c r="U10047" s="16" t="s">
        <v>87</v>
      </c>
      <c r="V10047" s="16" t="str">
        <f>IFERROR(__xludf.DUMMYFUNCTION("""COMPUTED_VALUE"""),"")</f>
        <v/>
      </c>
      <c r="W10047" s="16" t="str">
        <f>IFERROR(__xludf.DUMMYFUNCTION("""COMPUTED_VALUE"""),"")</f>
        <v/>
      </c>
      <c r="X10047" s="16" t="str">
        <f>IFERROR(__xludf.DUMMYFUNCTION("""COMPUTED_VALUE"""),"")</f>
        <v/>
      </c>
      <c r="AC10047" s="16" t="str">
        <f>IFERROR(__xludf.DUMMYFUNCTION("""COMPUTED_VALUE"""),"")</f>
        <v/>
      </c>
    </row>
    <row r="10048">
      <c r="A10048" s="16" t="s">
        <v>87</v>
      </c>
      <c r="E10048" s="16" t="str">
        <f>IFERROR(__xludf.DUMMYFUNCTION("""COMPUTED_VALUE"""),"")</f>
        <v/>
      </c>
      <c r="G10048" s="18"/>
      <c r="H10048" s="16" t="s">
        <v>87</v>
      </c>
      <c r="I10048" s="16" t="s">
        <v>87</v>
      </c>
      <c r="J10048" s="19"/>
      <c r="L10048" s="16" t="str">
        <f>IFERROR(__xludf.DUMMYFUNCTION("""COMPUTED_VALUE"""),"")</f>
        <v/>
      </c>
      <c r="M10048" s="16" t="str">
        <f>IFERROR(__xludf.DUMMYFUNCTION("""COMPUTED_VALUE"""),"")</f>
        <v/>
      </c>
      <c r="U10048" s="16" t="s">
        <v>87</v>
      </c>
      <c r="V10048" s="16" t="str">
        <f>IFERROR(__xludf.DUMMYFUNCTION("""COMPUTED_VALUE"""),"")</f>
        <v/>
      </c>
      <c r="W10048" s="16" t="str">
        <f>IFERROR(__xludf.DUMMYFUNCTION("""COMPUTED_VALUE"""),"")</f>
        <v/>
      </c>
      <c r="X10048" s="16" t="str">
        <f>IFERROR(__xludf.DUMMYFUNCTION("""COMPUTED_VALUE"""),"")</f>
        <v/>
      </c>
      <c r="AC10048" s="16" t="str">
        <f>IFERROR(__xludf.DUMMYFUNCTION("""COMPUTED_VALUE"""),"")</f>
        <v/>
      </c>
    </row>
    <row r="10049">
      <c r="A10049" s="16" t="s">
        <v>87</v>
      </c>
      <c r="E10049" s="16" t="str">
        <f>IFERROR(__xludf.DUMMYFUNCTION("""COMPUTED_VALUE"""),"")</f>
        <v/>
      </c>
      <c r="G10049" s="18"/>
      <c r="H10049" s="16" t="s">
        <v>87</v>
      </c>
      <c r="I10049" s="16" t="s">
        <v>87</v>
      </c>
      <c r="J10049" s="19"/>
      <c r="L10049" s="16" t="str">
        <f>IFERROR(__xludf.DUMMYFUNCTION("""COMPUTED_VALUE"""),"")</f>
        <v/>
      </c>
      <c r="M10049" s="16" t="str">
        <f>IFERROR(__xludf.DUMMYFUNCTION("""COMPUTED_VALUE"""),"")</f>
        <v/>
      </c>
      <c r="U10049" s="16" t="s">
        <v>87</v>
      </c>
      <c r="V10049" s="16" t="str">
        <f>IFERROR(__xludf.DUMMYFUNCTION("""COMPUTED_VALUE"""),"")</f>
        <v/>
      </c>
      <c r="W10049" s="16" t="str">
        <f>IFERROR(__xludf.DUMMYFUNCTION("""COMPUTED_VALUE"""),"")</f>
        <v/>
      </c>
      <c r="X10049" s="16" t="str">
        <f>IFERROR(__xludf.DUMMYFUNCTION("""COMPUTED_VALUE"""),"")</f>
        <v/>
      </c>
      <c r="AC10049" s="16" t="str">
        <f>IFERROR(__xludf.DUMMYFUNCTION("""COMPUTED_VALUE"""),"")</f>
        <v/>
      </c>
    </row>
    <row r="10050">
      <c r="A10050" s="16" t="s">
        <v>87</v>
      </c>
      <c r="E10050" s="16" t="str">
        <f>IFERROR(__xludf.DUMMYFUNCTION("""COMPUTED_VALUE"""),"")</f>
        <v/>
      </c>
      <c r="G10050" s="18"/>
      <c r="H10050" s="16" t="s">
        <v>87</v>
      </c>
      <c r="I10050" s="16" t="s">
        <v>87</v>
      </c>
      <c r="J10050" s="19"/>
      <c r="L10050" s="16" t="str">
        <f>IFERROR(__xludf.DUMMYFUNCTION("""COMPUTED_VALUE"""),"")</f>
        <v/>
      </c>
      <c r="M10050" s="16" t="str">
        <f>IFERROR(__xludf.DUMMYFUNCTION("""COMPUTED_VALUE"""),"")</f>
        <v/>
      </c>
      <c r="U10050" s="16" t="s">
        <v>87</v>
      </c>
      <c r="V10050" s="16" t="str">
        <f>IFERROR(__xludf.DUMMYFUNCTION("""COMPUTED_VALUE"""),"")</f>
        <v/>
      </c>
      <c r="W10050" s="16" t="str">
        <f>IFERROR(__xludf.DUMMYFUNCTION("""COMPUTED_VALUE"""),"")</f>
        <v/>
      </c>
      <c r="X10050" s="16" t="str">
        <f>IFERROR(__xludf.DUMMYFUNCTION("""COMPUTED_VALUE"""),"")</f>
        <v/>
      </c>
      <c r="AC10050" s="16" t="str">
        <f>IFERROR(__xludf.DUMMYFUNCTION("""COMPUTED_VALUE"""),"")</f>
        <v/>
      </c>
    </row>
    <row r="10051">
      <c r="A10051" s="16" t="s">
        <v>87</v>
      </c>
      <c r="E10051" s="16" t="str">
        <f>IFERROR(__xludf.DUMMYFUNCTION("""COMPUTED_VALUE"""),"")</f>
        <v/>
      </c>
      <c r="G10051" s="18"/>
      <c r="H10051" s="16" t="s">
        <v>87</v>
      </c>
      <c r="I10051" s="16" t="s">
        <v>87</v>
      </c>
      <c r="J10051" s="19"/>
      <c r="L10051" s="16" t="str">
        <f>IFERROR(__xludf.DUMMYFUNCTION("""COMPUTED_VALUE"""),"")</f>
        <v/>
      </c>
      <c r="M10051" s="16" t="str">
        <f>IFERROR(__xludf.DUMMYFUNCTION("""COMPUTED_VALUE"""),"")</f>
        <v/>
      </c>
      <c r="U10051" s="16" t="s">
        <v>87</v>
      </c>
      <c r="V10051" s="16" t="str">
        <f>IFERROR(__xludf.DUMMYFUNCTION("""COMPUTED_VALUE"""),"")</f>
        <v/>
      </c>
      <c r="W10051" s="16" t="str">
        <f>IFERROR(__xludf.DUMMYFUNCTION("""COMPUTED_VALUE"""),"")</f>
        <v/>
      </c>
      <c r="X10051" s="16" t="str">
        <f>IFERROR(__xludf.DUMMYFUNCTION("""COMPUTED_VALUE"""),"")</f>
        <v/>
      </c>
      <c r="AC10051" s="16" t="str">
        <f>IFERROR(__xludf.DUMMYFUNCTION("""COMPUTED_VALUE"""),"")</f>
        <v/>
      </c>
    </row>
    <row r="10052">
      <c r="A10052" s="16" t="s">
        <v>87</v>
      </c>
      <c r="E10052" s="16" t="str">
        <f>IFERROR(__xludf.DUMMYFUNCTION("""COMPUTED_VALUE"""),"")</f>
        <v/>
      </c>
      <c r="G10052" s="18"/>
      <c r="H10052" s="16" t="s">
        <v>87</v>
      </c>
      <c r="I10052" s="16" t="s">
        <v>87</v>
      </c>
      <c r="J10052" s="19"/>
      <c r="L10052" s="16" t="str">
        <f>IFERROR(__xludf.DUMMYFUNCTION("""COMPUTED_VALUE"""),"")</f>
        <v/>
      </c>
      <c r="M10052" s="16" t="str">
        <f>IFERROR(__xludf.DUMMYFUNCTION("""COMPUTED_VALUE"""),"")</f>
        <v/>
      </c>
      <c r="U10052" s="16" t="s">
        <v>87</v>
      </c>
      <c r="V10052" s="16" t="str">
        <f>IFERROR(__xludf.DUMMYFUNCTION("""COMPUTED_VALUE"""),"")</f>
        <v/>
      </c>
      <c r="W10052" s="16" t="str">
        <f>IFERROR(__xludf.DUMMYFUNCTION("""COMPUTED_VALUE"""),"")</f>
        <v/>
      </c>
      <c r="X10052" s="16" t="str">
        <f>IFERROR(__xludf.DUMMYFUNCTION("""COMPUTED_VALUE"""),"")</f>
        <v/>
      </c>
      <c r="AC10052" s="16" t="str">
        <f>IFERROR(__xludf.DUMMYFUNCTION("""COMPUTED_VALUE"""),"")</f>
        <v/>
      </c>
    </row>
    <row r="10053">
      <c r="A10053" s="16" t="s">
        <v>87</v>
      </c>
      <c r="E10053" s="16" t="str">
        <f>IFERROR(__xludf.DUMMYFUNCTION("""COMPUTED_VALUE"""),"")</f>
        <v/>
      </c>
      <c r="G10053" s="18"/>
      <c r="H10053" s="16" t="s">
        <v>87</v>
      </c>
      <c r="I10053" s="16" t="s">
        <v>87</v>
      </c>
      <c r="J10053" s="19"/>
      <c r="L10053" s="16" t="str">
        <f>IFERROR(__xludf.DUMMYFUNCTION("""COMPUTED_VALUE"""),"")</f>
        <v/>
      </c>
      <c r="M10053" s="16" t="str">
        <f>IFERROR(__xludf.DUMMYFUNCTION("""COMPUTED_VALUE"""),"")</f>
        <v/>
      </c>
      <c r="U10053" s="16" t="s">
        <v>87</v>
      </c>
      <c r="V10053" s="16" t="str">
        <f>IFERROR(__xludf.DUMMYFUNCTION("""COMPUTED_VALUE"""),"")</f>
        <v/>
      </c>
      <c r="W10053" s="16" t="str">
        <f>IFERROR(__xludf.DUMMYFUNCTION("""COMPUTED_VALUE"""),"")</f>
        <v/>
      </c>
      <c r="X10053" s="16" t="str">
        <f>IFERROR(__xludf.DUMMYFUNCTION("""COMPUTED_VALUE"""),"")</f>
        <v/>
      </c>
      <c r="AC10053" s="16" t="str">
        <f>IFERROR(__xludf.DUMMYFUNCTION("""COMPUTED_VALUE"""),"")</f>
        <v/>
      </c>
    </row>
    <row r="10054">
      <c r="A10054" s="16" t="s">
        <v>87</v>
      </c>
      <c r="E10054" s="16" t="str">
        <f>IFERROR(__xludf.DUMMYFUNCTION("""COMPUTED_VALUE"""),"")</f>
        <v/>
      </c>
      <c r="G10054" s="18"/>
      <c r="H10054" s="16" t="s">
        <v>87</v>
      </c>
      <c r="I10054" s="16" t="s">
        <v>87</v>
      </c>
      <c r="J10054" s="19"/>
      <c r="L10054" s="16" t="str">
        <f>IFERROR(__xludf.DUMMYFUNCTION("""COMPUTED_VALUE"""),"")</f>
        <v/>
      </c>
      <c r="M10054" s="16" t="str">
        <f>IFERROR(__xludf.DUMMYFUNCTION("""COMPUTED_VALUE"""),"")</f>
        <v/>
      </c>
      <c r="U10054" s="16" t="s">
        <v>87</v>
      </c>
      <c r="V10054" s="16" t="str">
        <f>IFERROR(__xludf.DUMMYFUNCTION("""COMPUTED_VALUE"""),"")</f>
        <v/>
      </c>
      <c r="W10054" s="16" t="str">
        <f>IFERROR(__xludf.DUMMYFUNCTION("""COMPUTED_VALUE"""),"")</f>
        <v/>
      </c>
      <c r="X10054" s="16" t="str">
        <f>IFERROR(__xludf.DUMMYFUNCTION("""COMPUTED_VALUE"""),"")</f>
        <v/>
      </c>
      <c r="AC10054" s="16" t="str">
        <f>IFERROR(__xludf.DUMMYFUNCTION("""COMPUTED_VALUE"""),"")</f>
        <v/>
      </c>
    </row>
    <row r="10055">
      <c r="A10055" s="16" t="s">
        <v>87</v>
      </c>
      <c r="E10055" s="16" t="str">
        <f>IFERROR(__xludf.DUMMYFUNCTION("""COMPUTED_VALUE"""),"")</f>
        <v/>
      </c>
      <c r="G10055" s="18"/>
      <c r="H10055" s="16" t="s">
        <v>87</v>
      </c>
      <c r="I10055" s="16" t="s">
        <v>87</v>
      </c>
      <c r="J10055" s="19"/>
      <c r="L10055" s="16" t="str">
        <f>IFERROR(__xludf.DUMMYFUNCTION("""COMPUTED_VALUE"""),"")</f>
        <v/>
      </c>
      <c r="M10055" s="16" t="str">
        <f>IFERROR(__xludf.DUMMYFUNCTION("""COMPUTED_VALUE"""),"")</f>
        <v/>
      </c>
      <c r="U10055" s="16" t="s">
        <v>87</v>
      </c>
      <c r="V10055" s="16" t="str">
        <f>IFERROR(__xludf.DUMMYFUNCTION("""COMPUTED_VALUE"""),"")</f>
        <v/>
      </c>
      <c r="W10055" s="16" t="str">
        <f>IFERROR(__xludf.DUMMYFUNCTION("""COMPUTED_VALUE"""),"")</f>
        <v/>
      </c>
      <c r="X10055" s="16" t="str">
        <f>IFERROR(__xludf.DUMMYFUNCTION("""COMPUTED_VALUE"""),"")</f>
        <v/>
      </c>
      <c r="AC10055" s="16" t="str">
        <f>IFERROR(__xludf.DUMMYFUNCTION("""COMPUTED_VALUE"""),"")</f>
        <v/>
      </c>
    </row>
    <row r="10056">
      <c r="A10056" s="16" t="s">
        <v>87</v>
      </c>
      <c r="E10056" s="16" t="str">
        <f>IFERROR(__xludf.DUMMYFUNCTION("""COMPUTED_VALUE"""),"")</f>
        <v/>
      </c>
      <c r="G10056" s="18"/>
      <c r="H10056" s="16" t="s">
        <v>87</v>
      </c>
      <c r="I10056" s="16" t="s">
        <v>87</v>
      </c>
      <c r="J10056" s="19"/>
      <c r="L10056" s="16" t="str">
        <f>IFERROR(__xludf.DUMMYFUNCTION("""COMPUTED_VALUE"""),"")</f>
        <v/>
      </c>
      <c r="M10056" s="16" t="str">
        <f>IFERROR(__xludf.DUMMYFUNCTION("""COMPUTED_VALUE"""),"")</f>
        <v/>
      </c>
      <c r="U10056" s="16" t="s">
        <v>87</v>
      </c>
      <c r="V10056" s="16" t="str">
        <f>IFERROR(__xludf.DUMMYFUNCTION("""COMPUTED_VALUE"""),"")</f>
        <v/>
      </c>
      <c r="W10056" s="16" t="str">
        <f>IFERROR(__xludf.DUMMYFUNCTION("""COMPUTED_VALUE"""),"")</f>
        <v/>
      </c>
      <c r="X10056" s="16" t="str">
        <f>IFERROR(__xludf.DUMMYFUNCTION("""COMPUTED_VALUE"""),"")</f>
        <v/>
      </c>
      <c r="AC10056" s="16" t="str">
        <f>IFERROR(__xludf.DUMMYFUNCTION("""COMPUTED_VALUE"""),"")</f>
        <v/>
      </c>
    </row>
    <row r="10057">
      <c r="A10057" s="16" t="s">
        <v>87</v>
      </c>
      <c r="E10057" s="16" t="str">
        <f>IFERROR(__xludf.DUMMYFUNCTION("""COMPUTED_VALUE"""),"")</f>
        <v/>
      </c>
      <c r="G10057" s="18"/>
      <c r="H10057" s="16" t="s">
        <v>87</v>
      </c>
      <c r="I10057" s="16" t="s">
        <v>87</v>
      </c>
      <c r="J10057" s="19"/>
      <c r="L10057" s="16" t="str">
        <f>IFERROR(__xludf.DUMMYFUNCTION("""COMPUTED_VALUE"""),"")</f>
        <v/>
      </c>
      <c r="M10057" s="16" t="str">
        <f>IFERROR(__xludf.DUMMYFUNCTION("""COMPUTED_VALUE"""),"")</f>
        <v/>
      </c>
      <c r="U10057" s="16" t="s">
        <v>87</v>
      </c>
      <c r="V10057" s="16" t="str">
        <f>IFERROR(__xludf.DUMMYFUNCTION("""COMPUTED_VALUE"""),"")</f>
        <v/>
      </c>
      <c r="W10057" s="16" t="str">
        <f>IFERROR(__xludf.DUMMYFUNCTION("""COMPUTED_VALUE"""),"")</f>
        <v/>
      </c>
      <c r="X10057" s="16" t="str">
        <f>IFERROR(__xludf.DUMMYFUNCTION("""COMPUTED_VALUE"""),"")</f>
        <v/>
      </c>
      <c r="AC10057" s="16" t="str">
        <f>IFERROR(__xludf.DUMMYFUNCTION("""COMPUTED_VALUE"""),"")</f>
        <v/>
      </c>
    </row>
    <row r="10058">
      <c r="A10058" s="16" t="s">
        <v>87</v>
      </c>
      <c r="E10058" s="16" t="str">
        <f>IFERROR(__xludf.DUMMYFUNCTION("""COMPUTED_VALUE"""),"")</f>
        <v/>
      </c>
      <c r="G10058" s="18"/>
      <c r="H10058" s="16" t="s">
        <v>87</v>
      </c>
      <c r="I10058" s="16" t="s">
        <v>87</v>
      </c>
      <c r="J10058" s="19"/>
      <c r="L10058" s="16" t="str">
        <f>IFERROR(__xludf.DUMMYFUNCTION("""COMPUTED_VALUE"""),"")</f>
        <v/>
      </c>
      <c r="M10058" s="16" t="str">
        <f>IFERROR(__xludf.DUMMYFUNCTION("""COMPUTED_VALUE"""),"")</f>
        <v/>
      </c>
      <c r="U10058" s="16" t="s">
        <v>87</v>
      </c>
      <c r="V10058" s="16" t="str">
        <f>IFERROR(__xludf.DUMMYFUNCTION("""COMPUTED_VALUE"""),"")</f>
        <v/>
      </c>
      <c r="W10058" s="16" t="str">
        <f>IFERROR(__xludf.DUMMYFUNCTION("""COMPUTED_VALUE"""),"")</f>
        <v/>
      </c>
      <c r="X10058" s="16" t="str">
        <f>IFERROR(__xludf.DUMMYFUNCTION("""COMPUTED_VALUE"""),"")</f>
        <v/>
      </c>
      <c r="AC10058" s="16" t="str">
        <f>IFERROR(__xludf.DUMMYFUNCTION("""COMPUTED_VALUE"""),"")</f>
        <v/>
      </c>
    </row>
    <row r="10059">
      <c r="A10059" s="16" t="s">
        <v>87</v>
      </c>
      <c r="E10059" s="16" t="str">
        <f>IFERROR(__xludf.DUMMYFUNCTION("""COMPUTED_VALUE"""),"")</f>
        <v/>
      </c>
      <c r="G10059" s="18"/>
      <c r="H10059" s="16" t="s">
        <v>87</v>
      </c>
      <c r="I10059" s="16" t="s">
        <v>87</v>
      </c>
      <c r="J10059" s="19"/>
      <c r="L10059" s="16" t="str">
        <f>IFERROR(__xludf.DUMMYFUNCTION("""COMPUTED_VALUE"""),"")</f>
        <v/>
      </c>
      <c r="M10059" s="16" t="str">
        <f>IFERROR(__xludf.DUMMYFUNCTION("""COMPUTED_VALUE"""),"")</f>
        <v/>
      </c>
      <c r="U10059" s="16" t="s">
        <v>87</v>
      </c>
      <c r="V10059" s="16" t="str">
        <f>IFERROR(__xludf.DUMMYFUNCTION("""COMPUTED_VALUE"""),"")</f>
        <v/>
      </c>
      <c r="W10059" s="16" t="str">
        <f>IFERROR(__xludf.DUMMYFUNCTION("""COMPUTED_VALUE"""),"")</f>
        <v/>
      </c>
      <c r="X10059" s="16" t="str">
        <f>IFERROR(__xludf.DUMMYFUNCTION("""COMPUTED_VALUE"""),"")</f>
        <v/>
      </c>
      <c r="AC10059" s="16" t="str">
        <f>IFERROR(__xludf.DUMMYFUNCTION("""COMPUTED_VALUE"""),"")</f>
        <v/>
      </c>
    </row>
    <row r="10060">
      <c r="A10060" s="16" t="s">
        <v>87</v>
      </c>
      <c r="E10060" s="16" t="str">
        <f>IFERROR(__xludf.DUMMYFUNCTION("""COMPUTED_VALUE"""),"")</f>
        <v/>
      </c>
      <c r="G10060" s="18"/>
      <c r="H10060" s="16" t="s">
        <v>87</v>
      </c>
      <c r="I10060" s="16" t="s">
        <v>87</v>
      </c>
      <c r="J10060" s="19"/>
      <c r="L10060" s="16" t="str">
        <f>IFERROR(__xludf.DUMMYFUNCTION("""COMPUTED_VALUE"""),"")</f>
        <v/>
      </c>
      <c r="M10060" s="16" t="str">
        <f>IFERROR(__xludf.DUMMYFUNCTION("""COMPUTED_VALUE"""),"")</f>
        <v/>
      </c>
      <c r="U10060" s="16" t="s">
        <v>87</v>
      </c>
      <c r="V10060" s="16" t="str">
        <f>IFERROR(__xludf.DUMMYFUNCTION("""COMPUTED_VALUE"""),"")</f>
        <v/>
      </c>
      <c r="W10060" s="16" t="str">
        <f>IFERROR(__xludf.DUMMYFUNCTION("""COMPUTED_VALUE"""),"")</f>
        <v/>
      </c>
      <c r="X10060" s="16" t="str">
        <f>IFERROR(__xludf.DUMMYFUNCTION("""COMPUTED_VALUE"""),"")</f>
        <v/>
      </c>
      <c r="AC10060" s="16" t="str">
        <f>IFERROR(__xludf.DUMMYFUNCTION("""COMPUTED_VALUE"""),"")</f>
        <v/>
      </c>
    </row>
    <row r="10061">
      <c r="A10061" s="16" t="s">
        <v>87</v>
      </c>
      <c r="E10061" s="16" t="str">
        <f>IFERROR(__xludf.DUMMYFUNCTION("""COMPUTED_VALUE"""),"")</f>
        <v/>
      </c>
      <c r="G10061" s="18"/>
      <c r="H10061" s="16" t="s">
        <v>87</v>
      </c>
      <c r="I10061" s="16" t="s">
        <v>87</v>
      </c>
      <c r="J10061" s="19"/>
      <c r="L10061" s="16" t="str">
        <f>IFERROR(__xludf.DUMMYFUNCTION("""COMPUTED_VALUE"""),"")</f>
        <v/>
      </c>
      <c r="M10061" s="16" t="str">
        <f>IFERROR(__xludf.DUMMYFUNCTION("""COMPUTED_VALUE"""),"")</f>
        <v/>
      </c>
      <c r="U10061" s="16" t="s">
        <v>87</v>
      </c>
      <c r="V10061" s="16" t="str">
        <f>IFERROR(__xludf.DUMMYFUNCTION("""COMPUTED_VALUE"""),"")</f>
        <v/>
      </c>
      <c r="W10061" s="16" t="str">
        <f>IFERROR(__xludf.DUMMYFUNCTION("""COMPUTED_VALUE"""),"")</f>
        <v/>
      </c>
      <c r="X10061" s="16" t="str">
        <f>IFERROR(__xludf.DUMMYFUNCTION("""COMPUTED_VALUE"""),"")</f>
        <v/>
      </c>
      <c r="AC10061" s="16" t="str">
        <f>IFERROR(__xludf.DUMMYFUNCTION("""COMPUTED_VALUE"""),"")</f>
        <v/>
      </c>
    </row>
    <row r="10062">
      <c r="A10062" s="16" t="s">
        <v>87</v>
      </c>
      <c r="E10062" s="16" t="str">
        <f>IFERROR(__xludf.DUMMYFUNCTION("""COMPUTED_VALUE"""),"")</f>
        <v/>
      </c>
      <c r="G10062" s="18"/>
      <c r="H10062" s="16" t="s">
        <v>87</v>
      </c>
      <c r="I10062" s="16" t="s">
        <v>87</v>
      </c>
      <c r="J10062" s="19"/>
      <c r="L10062" s="16" t="str">
        <f>IFERROR(__xludf.DUMMYFUNCTION("""COMPUTED_VALUE"""),"")</f>
        <v/>
      </c>
      <c r="M10062" s="16" t="str">
        <f>IFERROR(__xludf.DUMMYFUNCTION("""COMPUTED_VALUE"""),"")</f>
        <v/>
      </c>
      <c r="U10062" s="16" t="s">
        <v>87</v>
      </c>
      <c r="V10062" s="16" t="str">
        <f>IFERROR(__xludf.DUMMYFUNCTION("""COMPUTED_VALUE"""),"")</f>
        <v/>
      </c>
      <c r="W10062" s="16" t="str">
        <f>IFERROR(__xludf.DUMMYFUNCTION("""COMPUTED_VALUE"""),"")</f>
        <v/>
      </c>
      <c r="X10062" s="16" t="str">
        <f>IFERROR(__xludf.DUMMYFUNCTION("""COMPUTED_VALUE"""),"")</f>
        <v/>
      </c>
      <c r="AC10062" s="16" t="str">
        <f>IFERROR(__xludf.DUMMYFUNCTION("""COMPUTED_VALUE"""),"")</f>
        <v/>
      </c>
    </row>
    <row r="10063">
      <c r="A10063" s="16" t="s">
        <v>87</v>
      </c>
      <c r="E10063" s="16" t="str">
        <f>IFERROR(__xludf.DUMMYFUNCTION("""COMPUTED_VALUE"""),"")</f>
        <v/>
      </c>
      <c r="G10063" s="18"/>
      <c r="H10063" s="16" t="s">
        <v>87</v>
      </c>
      <c r="I10063" s="16" t="s">
        <v>87</v>
      </c>
      <c r="J10063" s="19"/>
      <c r="L10063" s="16" t="str">
        <f>IFERROR(__xludf.DUMMYFUNCTION("""COMPUTED_VALUE"""),"")</f>
        <v/>
      </c>
      <c r="M10063" s="16" t="str">
        <f>IFERROR(__xludf.DUMMYFUNCTION("""COMPUTED_VALUE"""),"")</f>
        <v/>
      </c>
      <c r="U10063" s="16" t="s">
        <v>87</v>
      </c>
      <c r="V10063" s="16" t="str">
        <f>IFERROR(__xludf.DUMMYFUNCTION("""COMPUTED_VALUE"""),"")</f>
        <v/>
      </c>
      <c r="W10063" s="16" t="str">
        <f>IFERROR(__xludf.DUMMYFUNCTION("""COMPUTED_VALUE"""),"")</f>
        <v/>
      </c>
      <c r="X10063" s="16" t="str">
        <f>IFERROR(__xludf.DUMMYFUNCTION("""COMPUTED_VALUE"""),"")</f>
        <v/>
      </c>
      <c r="AC10063" s="16" t="str">
        <f>IFERROR(__xludf.DUMMYFUNCTION("""COMPUTED_VALUE"""),"")</f>
        <v/>
      </c>
    </row>
    <row r="10064">
      <c r="A10064" s="16" t="s">
        <v>87</v>
      </c>
      <c r="E10064" s="16" t="str">
        <f>IFERROR(__xludf.DUMMYFUNCTION("""COMPUTED_VALUE"""),"")</f>
        <v/>
      </c>
      <c r="G10064" s="18"/>
      <c r="H10064" s="16" t="s">
        <v>87</v>
      </c>
      <c r="I10064" s="16" t="s">
        <v>87</v>
      </c>
      <c r="J10064" s="19"/>
      <c r="L10064" s="16" t="str">
        <f>IFERROR(__xludf.DUMMYFUNCTION("""COMPUTED_VALUE"""),"")</f>
        <v/>
      </c>
      <c r="M10064" s="16" t="str">
        <f>IFERROR(__xludf.DUMMYFUNCTION("""COMPUTED_VALUE"""),"")</f>
        <v/>
      </c>
      <c r="U10064" s="16" t="s">
        <v>87</v>
      </c>
      <c r="V10064" s="16" t="str">
        <f>IFERROR(__xludf.DUMMYFUNCTION("""COMPUTED_VALUE"""),"")</f>
        <v/>
      </c>
      <c r="W10064" s="16" t="str">
        <f>IFERROR(__xludf.DUMMYFUNCTION("""COMPUTED_VALUE"""),"")</f>
        <v/>
      </c>
      <c r="X10064" s="16" t="str">
        <f>IFERROR(__xludf.DUMMYFUNCTION("""COMPUTED_VALUE"""),"")</f>
        <v/>
      </c>
      <c r="AC10064" s="16" t="str">
        <f>IFERROR(__xludf.DUMMYFUNCTION("""COMPUTED_VALUE"""),"")</f>
        <v/>
      </c>
    </row>
    <row r="10065">
      <c r="A10065" s="16" t="s">
        <v>87</v>
      </c>
      <c r="E10065" s="16" t="str">
        <f>IFERROR(__xludf.DUMMYFUNCTION("""COMPUTED_VALUE"""),"")</f>
        <v/>
      </c>
      <c r="G10065" s="18"/>
      <c r="H10065" s="16" t="s">
        <v>87</v>
      </c>
      <c r="I10065" s="16" t="s">
        <v>87</v>
      </c>
      <c r="J10065" s="19"/>
      <c r="L10065" s="16" t="str">
        <f>IFERROR(__xludf.DUMMYFUNCTION("""COMPUTED_VALUE"""),"")</f>
        <v/>
      </c>
      <c r="M10065" s="16" t="str">
        <f>IFERROR(__xludf.DUMMYFUNCTION("""COMPUTED_VALUE"""),"")</f>
        <v/>
      </c>
      <c r="U10065" s="16" t="s">
        <v>87</v>
      </c>
      <c r="V10065" s="16" t="str">
        <f>IFERROR(__xludf.DUMMYFUNCTION("""COMPUTED_VALUE"""),"")</f>
        <v/>
      </c>
      <c r="W10065" s="16" t="str">
        <f>IFERROR(__xludf.DUMMYFUNCTION("""COMPUTED_VALUE"""),"")</f>
        <v/>
      </c>
      <c r="X10065" s="16" t="str">
        <f>IFERROR(__xludf.DUMMYFUNCTION("""COMPUTED_VALUE"""),"")</f>
        <v/>
      </c>
      <c r="AC10065" s="16" t="str">
        <f>IFERROR(__xludf.DUMMYFUNCTION("""COMPUTED_VALUE"""),"")</f>
        <v/>
      </c>
    </row>
    <row r="10066">
      <c r="A10066" s="16" t="s">
        <v>87</v>
      </c>
      <c r="E10066" s="16" t="str">
        <f>IFERROR(__xludf.DUMMYFUNCTION("""COMPUTED_VALUE"""),"")</f>
        <v/>
      </c>
      <c r="G10066" s="18"/>
      <c r="H10066" s="16" t="s">
        <v>87</v>
      </c>
      <c r="I10066" s="16" t="s">
        <v>87</v>
      </c>
      <c r="J10066" s="19"/>
      <c r="L10066" s="16" t="str">
        <f>IFERROR(__xludf.DUMMYFUNCTION("""COMPUTED_VALUE"""),"")</f>
        <v/>
      </c>
      <c r="M10066" s="16" t="str">
        <f>IFERROR(__xludf.DUMMYFUNCTION("""COMPUTED_VALUE"""),"")</f>
        <v/>
      </c>
      <c r="U10066" s="16" t="s">
        <v>87</v>
      </c>
      <c r="V10066" s="16" t="str">
        <f>IFERROR(__xludf.DUMMYFUNCTION("""COMPUTED_VALUE"""),"")</f>
        <v/>
      </c>
      <c r="W10066" s="16" t="str">
        <f>IFERROR(__xludf.DUMMYFUNCTION("""COMPUTED_VALUE"""),"")</f>
        <v/>
      </c>
      <c r="X10066" s="16" t="str">
        <f>IFERROR(__xludf.DUMMYFUNCTION("""COMPUTED_VALUE"""),"")</f>
        <v/>
      </c>
      <c r="AC10066" s="16" t="str">
        <f>IFERROR(__xludf.DUMMYFUNCTION("""COMPUTED_VALUE"""),"")</f>
        <v/>
      </c>
    </row>
    <row r="10067">
      <c r="A10067" s="16" t="s">
        <v>87</v>
      </c>
      <c r="E10067" s="16" t="str">
        <f>IFERROR(__xludf.DUMMYFUNCTION("""COMPUTED_VALUE"""),"")</f>
        <v/>
      </c>
      <c r="G10067" s="18"/>
      <c r="H10067" s="16" t="s">
        <v>87</v>
      </c>
      <c r="I10067" s="16" t="s">
        <v>87</v>
      </c>
      <c r="J10067" s="19"/>
      <c r="L10067" s="16" t="str">
        <f>IFERROR(__xludf.DUMMYFUNCTION("""COMPUTED_VALUE"""),"")</f>
        <v/>
      </c>
      <c r="M10067" s="16" t="str">
        <f>IFERROR(__xludf.DUMMYFUNCTION("""COMPUTED_VALUE"""),"")</f>
        <v/>
      </c>
      <c r="U10067" s="16" t="s">
        <v>87</v>
      </c>
      <c r="V10067" s="16" t="str">
        <f>IFERROR(__xludf.DUMMYFUNCTION("""COMPUTED_VALUE"""),"")</f>
        <v/>
      </c>
      <c r="W10067" s="16" t="str">
        <f>IFERROR(__xludf.DUMMYFUNCTION("""COMPUTED_VALUE"""),"")</f>
        <v/>
      </c>
      <c r="X10067" s="16" t="str">
        <f>IFERROR(__xludf.DUMMYFUNCTION("""COMPUTED_VALUE"""),"")</f>
        <v/>
      </c>
      <c r="AC10067" s="16" t="str">
        <f>IFERROR(__xludf.DUMMYFUNCTION("""COMPUTED_VALUE"""),"")</f>
        <v/>
      </c>
    </row>
    <row r="10068">
      <c r="A10068" s="16" t="s">
        <v>87</v>
      </c>
      <c r="E10068" s="16" t="str">
        <f>IFERROR(__xludf.DUMMYFUNCTION("""COMPUTED_VALUE"""),"")</f>
        <v/>
      </c>
      <c r="G10068" s="18"/>
      <c r="H10068" s="16" t="s">
        <v>87</v>
      </c>
      <c r="I10068" s="16" t="s">
        <v>87</v>
      </c>
      <c r="J10068" s="19"/>
      <c r="L10068" s="16" t="str">
        <f>IFERROR(__xludf.DUMMYFUNCTION("""COMPUTED_VALUE"""),"")</f>
        <v/>
      </c>
      <c r="M10068" s="16" t="str">
        <f>IFERROR(__xludf.DUMMYFUNCTION("""COMPUTED_VALUE"""),"")</f>
        <v/>
      </c>
      <c r="U10068" s="16" t="s">
        <v>87</v>
      </c>
      <c r="V10068" s="16" t="str">
        <f>IFERROR(__xludf.DUMMYFUNCTION("""COMPUTED_VALUE"""),"")</f>
        <v/>
      </c>
      <c r="W10068" s="16" t="str">
        <f>IFERROR(__xludf.DUMMYFUNCTION("""COMPUTED_VALUE"""),"")</f>
        <v/>
      </c>
      <c r="X10068" s="16" t="str">
        <f>IFERROR(__xludf.DUMMYFUNCTION("""COMPUTED_VALUE"""),"")</f>
        <v/>
      </c>
      <c r="AC10068" s="16" t="str">
        <f>IFERROR(__xludf.DUMMYFUNCTION("""COMPUTED_VALUE"""),"")</f>
        <v/>
      </c>
    </row>
    <row r="10069">
      <c r="A10069" s="16" t="s">
        <v>87</v>
      </c>
      <c r="E10069" s="16" t="str">
        <f>IFERROR(__xludf.DUMMYFUNCTION("""COMPUTED_VALUE"""),"")</f>
        <v/>
      </c>
      <c r="G10069" s="18"/>
      <c r="H10069" s="16" t="s">
        <v>87</v>
      </c>
      <c r="I10069" s="16" t="s">
        <v>87</v>
      </c>
      <c r="J10069" s="19"/>
      <c r="L10069" s="16" t="str">
        <f>IFERROR(__xludf.DUMMYFUNCTION("""COMPUTED_VALUE"""),"")</f>
        <v/>
      </c>
      <c r="M10069" s="16" t="str">
        <f>IFERROR(__xludf.DUMMYFUNCTION("""COMPUTED_VALUE"""),"")</f>
        <v/>
      </c>
      <c r="U10069" s="16" t="s">
        <v>87</v>
      </c>
      <c r="V10069" s="16" t="str">
        <f>IFERROR(__xludf.DUMMYFUNCTION("""COMPUTED_VALUE"""),"")</f>
        <v/>
      </c>
      <c r="W10069" s="16" t="str">
        <f>IFERROR(__xludf.DUMMYFUNCTION("""COMPUTED_VALUE"""),"")</f>
        <v/>
      </c>
      <c r="X10069" s="16" t="str">
        <f>IFERROR(__xludf.DUMMYFUNCTION("""COMPUTED_VALUE"""),"")</f>
        <v/>
      </c>
      <c r="AC10069" s="16" t="str">
        <f>IFERROR(__xludf.DUMMYFUNCTION("""COMPUTED_VALUE"""),"")</f>
        <v/>
      </c>
    </row>
    <row r="10070">
      <c r="A10070" s="16" t="s">
        <v>87</v>
      </c>
      <c r="E10070" s="16" t="str">
        <f>IFERROR(__xludf.DUMMYFUNCTION("""COMPUTED_VALUE"""),"")</f>
        <v/>
      </c>
      <c r="G10070" s="18"/>
      <c r="H10070" s="16" t="s">
        <v>87</v>
      </c>
      <c r="I10070" s="16" t="s">
        <v>87</v>
      </c>
      <c r="J10070" s="19"/>
      <c r="L10070" s="16" t="str">
        <f>IFERROR(__xludf.DUMMYFUNCTION("""COMPUTED_VALUE"""),"")</f>
        <v/>
      </c>
      <c r="M10070" s="16" t="str">
        <f>IFERROR(__xludf.DUMMYFUNCTION("""COMPUTED_VALUE"""),"")</f>
        <v/>
      </c>
      <c r="U10070" s="16" t="s">
        <v>87</v>
      </c>
      <c r="V10070" s="16" t="str">
        <f>IFERROR(__xludf.DUMMYFUNCTION("""COMPUTED_VALUE"""),"")</f>
        <v/>
      </c>
      <c r="W10070" s="16" t="str">
        <f>IFERROR(__xludf.DUMMYFUNCTION("""COMPUTED_VALUE"""),"")</f>
        <v/>
      </c>
      <c r="X10070" s="16" t="str">
        <f>IFERROR(__xludf.DUMMYFUNCTION("""COMPUTED_VALUE"""),"")</f>
        <v/>
      </c>
      <c r="AC10070" s="16" t="str">
        <f>IFERROR(__xludf.DUMMYFUNCTION("""COMPUTED_VALUE"""),"")</f>
        <v/>
      </c>
    </row>
    <row r="10071">
      <c r="A10071" s="16" t="s">
        <v>87</v>
      </c>
      <c r="E10071" s="16" t="str">
        <f>IFERROR(__xludf.DUMMYFUNCTION("""COMPUTED_VALUE"""),"")</f>
        <v/>
      </c>
      <c r="G10071" s="18"/>
      <c r="H10071" s="16" t="s">
        <v>87</v>
      </c>
      <c r="I10071" s="16" t="s">
        <v>87</v>
      </c>
      <c r="J10071" s="19"/>
      <c r="L10071" s="16" t="str">
        <f>IFERROR(__xludf.DUMMYFUNCTION("""COMPUTED_VALUE"""),"")</f>
        <v/>
      </c>
      <c r="M10071" s="16" t="str">
        <f>IFERROR(__xludf.DUMMYFUNCTION("""COMPUTED_VALUE"""),"")</f>
        <v/>
      </c>
      <c r="U10071" s="16" t="s">
        <v>87</v>
      </c>
      <c r="V10071" s="16" t="str">
        <f>IFERROR(__xludf.DUMMYFUNCTION("""COMPUTED_VALUE"""),"")</f>
        <v/>
      </c>
      <c r="W10071" s="16" t="str">
        <f>IFERROR(__xludf.DUMMYFUNCTION("""COMPUTED_VALUE"""),"")</f>
        <v/>
      </c>
      <c r="X10071" s="16" t="str">
        <f>IFERROR(__xludf.DUMMYFUNCTION("""COMPUTED_VALUE"""),"")</f>
        <v/>
      </c>
      <c r="AC10071" s="16" t="str">
        <f>IFERROR(__xludf.DUMMYFUNCTION("""COMPUTED_VALUE"""),"")</f>
        <v/>
      </c>
    </row>
    <row r="10072">
      <c r="A10072" s="16" t="s">
        <v>87</v>
      </c>
      <c r="E10072" s="16" t="str">
        <f>IFERROR(__xludf.DUMMYFUNCTION("""COMPUTED_VALUE"""),"")</f>
        <v/>
      </c>
      <c r="G10072" s="18"/>
      <c r="H10072" s="16" t="s">
        <v>87</v>
      </c>
      <c r="I10072" s="16" t="s">
        <v>87</v>
      </c>
      <c r="J10072" s="19"/>
      <c r="L10072" s="16" t="str">
        <f>IFERROR(__xludf.DUMMYFUNCTION("""COMPUTED_VALUE"""),"")</f>
        <v/>
      </c>
      <c r="M10072" s="16" t="str">
        <f>IFERROR(__xludf.DUMMYFUNCTION("""COMPUTED_VALUE"""),"")</f>
        <v/>
      </c>
      <c r="U10072" s="16" t="s">
        <v>87</v>
      </c>
      <c r="V10072" s="16" t="str">
        <f>IFERROR(__xludf.DUMMYFUNCTION("""COMPUTED_VALUE"""),"")</f>
        <v/>
      </c>
      <c r="W10072" s="16" t="str">
        <f>IFERROR(__xludf.DUMMYFUNCTION("""COMPUTED_VALUE"""),"")</f>
        <v/>
      </c>
      <c r="X10072" s="16" t="str">
        <f>IFERROR(__xludf.DUMMYFUNCTION("""COMPUTED_VALUE"""),"")</f>
        <v/>
      </c>
      <c r="AC10072" s="16" t="str">
        <f>IFERROR(__xludf.DUMMYFUNCTION("""COMPUTED_VALUE"""),"")</f>
        <v/>
      </c>
    </row>
    <row r="10073">
      <c r="A10073" s="16" t="s">
        <v>87</v>
      </c>
      <c r="E10073" s="16" t="str">
        <f>IFERROR(__xludf.DUMMYFUNCTION("""COMPUTED_VALUE"""),"")</f>
        <v/>
      </c>
      <c r="G10073" s="18"/>
      <c r="H10073" s="16" t="s">
        <v>87</v>
      </c>
      <c r="I10073" s="16" t="s">
        <v>87</v>
      </c>
      <c r="J10073" s="19"/>
      <c r="L10073" s="16" t="str">
        <f>IFERROR(__xludf.DUMMYFUNCTION("""COMPUTED_VALUE"""),"")</f>
        <v/>
      </c>
      <c r="M10073" s="16" t="str">
        <f>IFERROR(__xludf.DUMMYFUNCTION("""COMPUTED_VALUE"""),"")</f>
        <v/>
      </c>
      <c r="U10073" s="16" t="s">
        <v>87</v>
      </c>
      <c r="V10073" s="16" t="str">
        <f>IFERROR(__xludf.DUMMYFUNCTION("""COMPUTED_VALUE"""),"")</f>
        <v/>
      </c>
      <c r="W10073" s="16" t="str">
        <f>IFERROR(__xludf.DUMMYFUNCTION("""COMPUTED_VALUE"""),"")</f>
        <v/>
      </c>
      <c r="X10073" s="16" t="str">
        <f>IFERROR(__xludf.DUMMYFUNCTION("""COMPUTED_VALUE"""),"")</f>
        <v/>
      </c>
      <c r="AC10073" s="16" t="str">
        <f>IFERROR(__xludf.DUMMYFUNCTION("""COMPUTED_VALUE"""),"")</f>
        <v/>
      </c>
    </row>
    <row r="10074">
      <c r="A10074" s="16" t="s">
        <v>87</v>
      </c>
      <c r="E10074" s="16" t="str">
        <f>IFERROR(__xludf.DUMMYFUNCTION("""COMPUTED_VALUE"""),"")</f>
        <v/>
      </c>
      <c r="G10074" s="18"/>
      <c r="H10074" s="16" t="s">
        <v>87</v>
      </c>
      <c r="I10074" s="16" t="s">
        <v>87</v>
      </c>
      <c r="J10074" s="19"/>
      <c r="L10074" s="16" t="str">
        <f>IFERROR(__xludf.DUMMYFUNCTION("""COMPUTED_VALUE"""),"")</f>
        <v/>
      </c>
      <c r="M10074" s="16" t="str">
        <f>IFERROR(__xludf.DUMMYFUNCTION("""COMPUTED_VALUE"""),"")</f>
        <v/>
      </c>
      <c r="U10074" s="16" t="s">
        <v>87</v>
      </c>
      <c r="V10074" s="16" t="str">
        <f>IFERROR(__xludf.DUMMYFUNCTION("""COMPUTED_VALUE"""),"")</f>
        <v/>
      </c>
      <c r="W10074" s="16" t="str">
        <f>IFERROR(__xludf.DUMMYFUNCTION("""COMPUTED_VALUE"""),"")</f>
        <v/>
      </c>
      <c r="X10074" s="16" t="str">
        <f>IFERROR(__xludf.DUMMYFUNCTION("""COMPUTED_VALUE"""),"")</f>
        <v/>
      </c>
      <c r="AC10074" s="16" t="str">
        <f>IFERROR(__xludf.DUMMYFUNCTION("""COMPUTED_VALUE"""),"")</f>
        <v/>
      </c>
    </row>
    <row r="10075">
      <c r="A10075" s="16" t="s">
        <v>87</v>
      </c>
      <c r="E10075" s="16" t="str">
        <f>IFERROR(__xludf.DUMMYFUNCTION("""COMPUTED_VALUE"""),"")</f>
        <v/>
      </c>
      <c r="G10075" s="18"/>
      <c r="H10075" s="16" t="s">
        <v>87</v>
      </c>
      <c r="I10075" s="16" t="s">
        <v>87</v>
      </c>
      <c r="J10075" s="19"/>
      <c r="L10075" s="16" t="str">
        <f>IFERROR(__xludf.DUMMYFUNCTION("""COMPUTED_VALUE"""),"")</f>
        <v/>
      </c>
      <c r="M10075" s="16" t="str">
        <f>IFERROR(__xludf.DUMMYFUNCTION("""COMPUTED_VALUE"""),"")</f>
        <v/>
      </c>
      <c r="U10075" s="16" t="s">
        <v>87</v>
      </c>
      <c r="V10075" s="16" t="str">
        <f>IFERROR(__xludf.DUMMYFUNCTION("""COMPUTED_VALUE"""),"")</f>
        <v/>
      </c>
      <c r="W10075" s="16" t="str">
        <f>IFERROR(__xludf.DUMMYFUNCTION("""COMPUTED_VALUE"""),"")</f>
        <v/>
      </c>
      <c r="X10075" s="16" t="str">
        <f>IFERROR(__xludf.DUMMYFUNCTION("""COMPUTED_VALUE"""),"")</f>
        <v/>
      </c>
      <c r="AC10075" s="16" t="str">
        <f>IFERROR(__xludf.DUMMYFUNCTION("""COMPUTED_VALUE"""),"")</f>
        <v/>
      </c>
    </row>
    <row r="10076">
      <c r="A10076" s="16" t="s">
        <v>87</v>
      </c>
      <c r="E10076" s="16" t="str">
        <f>IFERROR(__xludf.DUMMYFUNCTION("""COMPUTED_VALUE"""),"")</f>
        <v/>
      </c>
      <c r="G10076" s="18"/>
      <c r="H10076" s="16" t="s">
        <v>87</v>
      </c>
      <c r="I10076" s="16" t="s">
        <v>87</v>
      </c>
      <c r="J10076" s="19"/>
      <c r="L10076" s="16" t="str">
        <f>IFERROR(__xludf.DUMMYFUNCTION("""COMPUTED_VALUE"""),"")</f>
        <v/>
      </c>
      <c r="M10076" s="16" t="str">
        <f>IFERROR(__xludf.DUMMYFUNCTION("""COMPUTED_VALUE"""),"")</f>
        <v/>
      </c>
      <c r="U10076" s="16" t="s">
        <v>87</v>
      </c>
      <c r="V10076" s="16" t="str">
        <f>IFERROR(__xludf.DUMMYFUNCTION("""COMPUTED_VALUE"""),"")</f>
        <v/>
      </c>
      <c r="W10076" s="16" t="str">
        <f>IFERROR(__xludf.DUMMYFUNCTION("""COMPUTED_VALUE"""),"")</f>
        <v/>
      </c>
      <c r="X10076" s="16" t="str">
        <f>IFERROR(__xludf.DUMMYFUNCTION("""COMPUTED_VALUE"""),"")</f>
        <v/>
      </c>
      <c r="AC10076" s="16" t="str">
        <f>IFERROR(__xludf.DUMMYFUNCTION("""COMPUTED_VALUE"""),"")</f>
        <v/>
      </c>
    </row>
    <row r="10077">
      <c r="A10077" s="16" t="s">
        <v>87</v>
      </c>
      <c r="E10077" s="16" t="str">
        <f>IFERROR(__xludf.DUMMYFUNCTION("""COMPUTED_VALUE"""),"")</f>
        <v/>
      </c>
      <c r="G10077" s="18"/>
      <c r="H10077" s="16" t="s">
        <v>87</v>
      </c>
      <c r="I10077" s="16" t="s">
        <v>87</v>
      </c>
      <c r="J10077" s="19"/>
      <c r="L10077" s="16" t="str">
        <f>IFERROR(__xludf.DUMMYFUNCTION("""COMPUTED_VALUE"""),"")</f>
        <v/>
      </c>
      <c r="M10077" s="16" t="str">
        <f>IFERROR(__xludf.DUMMYFUNCTION("""COMPUTED_VALUE"""),"")</f>
        <v/>
      </c>
      <c r="U10077" s="16" t="s">
        <v>87</v>
      </c>
      <c r="V10077" s="16" t="str">
        <f>IFERROR(__xludf.DUMMYFUNCTION("""COMPUTED_VALUE"""),"")</f>
        <v/>
      </c>
      <c r="W10077" s="16" t="str">
        <f>IFERROR(__xludf.DUMMYFUNCTION("""COMPUTED_VALUE"""),"")</f>
        <v/>
      </c>
      <c r="X10077" s="16" t="str">
        <f>IFERROR(__xludf.DUMMYFUNCTION("""COMPUTED_VALUE"""),"")</f>
        <v/>
      </c>
      <c r="AC10077" s="16" t="str">
        <f>IFERROR(__xludf.DUMMYFUNCTION("""COMPUTED_VALUE"""),"")</f>
        <v/>
      </c>
    </row>
    <row r="10078">
      <c r="A10078" s="16" t="s">
        <v>87</v>
      </c>
      <c r="E10078" s="16" t="str">
        <f>IFERROR(__xludf.DUMMYFUNCTION("""COMPUTED_VALUE"""),"")</f>
        <v/>
      </c>
      <c r="G10078" s="18"/>
      <c r="H10078" s="16" t="s">
        <v>87</v>
      </c>
      <c r="I10078" s="16" t="s">
        <v>87</v>
      </c>
      <c r="J10078" s="19"/>
      <c r="L10078" s="16" t="str">
        <f>IFERROR(__xludf.DUMMYFUNCTION("""COMPUTED_VALUE"""),"")</f>
        <v/>
      </c>
      <c r="M10078" s="16" t="str">
        <f>IFERROR(__xludf.DUMMYFUNCTION("""COMPUTED_VALUE"""),"")</f>
        <v/>
      </c>
      <c r="U10078" s="16" t="s">
        <v>87</v>
      </c>
      <c r="V10078" s="16" t="str">
        <f>IFERROR(__xludf.DUMMYFUNCTION("""COMPUTED_VALUE"""),"")</f>
        <v/>
      </c>
      <c r="W10078" s="16" t="str">
        <f>IFERROR(__xludf.DUMMYFUNCTION("""COMPUTED_VALUE"""),"")</f>
        <v/>
      </c>
      <c r="X10078" s="16" t="str">
        <f>IFERROR(__xludf.DUMMYFUNCTION("""COMPUTED_VALUE"""),"")</f>
        <v/>
      </c>
      <c r="AC10078" s="16" t="str">
        <f>IFERROR(__xludf.DUMMYFUNCTION("""COMPUTED_VALUE"""),"")</f>
        <v/>
      </c>
    </row>
    <row r="10079">
      <c r="A10079" s="16" t="s">
        <v>87</v>
      </c>
      <c r="E10079" s="16" t="str">
        <f>IFERROR(__xludf.DUMMYFUNCTION("""COMPUTED_VALUE"""),"")</f>
        <v/>
      </c>
      <c r="G10079" s="18"/>
      <c r="H10079" s="16" t="s">
        <v>87</v>
      </c>
      <c r="I10079" s="16" t="s">
        <v>87</v>
      </c>
      <c r="J10079" s="19"/>
      <c r="L10079" s="16" t="str">
        <f>IFERROR(__xludf.DUMMYFUNCTION("""COMPUTED_VALUE"""),"")</f>
        <v/>
      </c>
      <c r="M10079" s="16" t="str">
        <f>IFERROR(__xludf.DUMMYFUNCTION("""COMPUTED_VALUE"""),"")</f>
        <v/>
      </c>
      <c r="U10079" s="16" t="s">
        <v>87</v>
      </c>
      <c r="V10079" s="16" t="str">
        <f>IFERROR(__xludf.DUMMYFUNCTION("""COMPUTED_VALUE"""),"")</f>
        <v/>
      </c>
      <c r="W10079" s="16" t="str">
        <f>IFERROR(__xludf.DUMMYFUNCTION("""COMPUTED_VALUE"""),"")</f>
        <v/>
      </c>
      <c r="X10079" s="16" t="str">
        <f>IFERROR(__xludf.DUMMYFUNCTION("""COMPUTED_VALUE"""),"")</f>
        <v/>
      </c>
      <c r="AC10079" s="16" t="str">
        <f>IFERROR(__xludf.DUMMYFUNCTION("""COMPUTED_VALUE"""),"")</f>
        <v/>
      </c>
    </row>
    <row r="10080">
      <c r="A10080" s="16" t="s">
        <v>87</v>
      </c>
      <c r="E10080" s="16" t="str">
        <f>IFERROR(__xludf.DUMMYFUNCTION("""COMPUTED_VALUE"""),"")</f>
        <v/>
      </c>
      <c r="G10080" s="18"/>
      <c r="H10080" s="16" t="s">
        <v>87</v>
      </c>
      <c r="I10080" s="16" t="s">
        <v>87</v>
      </c>
      <c r="J10080" s="19"/>
      <c r="L10080" s="16" t="str">
        <f>IFERROR(__xludf.DUMMYFUNCTION("""COMPUTED_VALUE"""),"")</f>
        <v/>
      </c>
      <c r="M10080" s="16" t="str">
        <f>IFERROR(__xludf.DUMMYFUNCTION("""COMPUTED_VALUE"""),"")</f>
        <v/>
      </c>
      <c r="U10080" s="16" t="s">
        <v>87</v>
      </c>
      <c r="V10080" s="16" t="str">
        <f>IFERROR(__xludf.DUMMYFUNCTION("""COMPUTED_VALUE"""),"")</f>
        <v/>
      </c>
      <c r="W10080" s="16" t="str">
        <f>IFERROR(__xludf.DUMMYFUNCTION("""COMPUTED_VALUE"""),"")</f>
        <v/>
      </c>
      <c r="X10080" s="16" t="str">
        <f>IFERROR(__xludf.DUMMYFUNCTION("""COMPUTED_VALUE"""),"")</f>
        <v/>
      </c>
      <c r="AC10080" s="16" t="str">
        <f>IFERROR(__xludf.DUMMYFUNCTION("""COMPUTED_VALUE"""),"")</f>
        <v/>
      </c>
    </row>
    <row r="10081">
      <c r="A10081" s="16" t="s">
        <v>87</v>
      </c>
      <c r="E10081" s="16" t="str">
        <f>IFERROR(__xludf.DUMMYFUNCTION("""COMPUTED_VALUE"""),"")</f>
        <v/>
      </c>
      <c r="G10081" s="18"/>
      <c r="H10081" s="16" t="s">
        <v>87</v>
      </c>
      <c r="I10081" s="16" t="s">
        <v>87</v>
      </c>
      <c r="J10081" s="19"/>
      <c r="L10081" s="16" t="str">
        <f>IFERROR(__xludf.DUMMYFUNCTION("""COMPUTED_VALUE"""),"")</f>
        <v/>
      </c>
      <c r="M10081" s="16" t="str">
        <f>IFERROR(__xludf.DUMMYFUNCTION("""COMPUTED_VALUE"""),"")</f>
        <v/>
      </c>
      <c r="U10081" s="16" t="s">
        <v>87</v>
      </c>
      <c r="V10081" s="16" t="str">
        <f>IFERROR(__xludf.DUMMYFUNCTION("""COMPUTED_VALUE"""),"")</f>
        <v/>
      </c>
      <c r="W10081" s="16" t="str">
        <f>IFERROR(__xludf.DUMMYFUNCTION("""COMPUTED_VALUE"""),"")</f>
        <v/>
      </c>
      <c r="X10081" s="16" t="str">
        <f>IFERROR(__xludf.DUMMYFUNCTION("""COMPUTED_VALUE"""),"")</f>
        <v/>
      </c>
      <c r="AC10081" s="16" t="str">
        <f>IFERROR(__xludf.DUMMYFUNCTION("""COMPUTED_VALUE"""),"")</f>
        <v/>
      </c>
    </row>
    <row r="10082">
      <c r="A10082" s="16" t="s">
        <v>87</v>
      </c>
      <c r="E10082" s="16" t="str">
        <f>IFERROR(__xludf.DUMMYFUNCTION("""COMPUTED_VALUE"""),"")</f>
        <v/>
      </c>
      <c r="G10082" s="18"/>
      <c r="H10082" s="16" t="s">
        <v>87</v>
      </c>
      <c r="I10082" s="16" t="s">
        <v>87</v>
      </c>
      <c r="J10082" s="19"/>
      <c r="L10082" s="16" t="str">
        <f>IFERROR(__xludf.DUMMYFUNCTION("""COMPUTED_VALUE"""),"")</f>
        <v/>
      </c>
      <c r="M10082" s="16" t="str">
        <f>IFERROR(__xludf.DUMMYFUNCTION("""COMPUTED_VALUE"""),"")</f>
        <v/>
      </c>
      <c r="U10082" s="16" t="s">
        <v>87</v>
      </c>
      <c r="V10082" s="16" t="str">
        <f>IFERROR(__xludf.DUMMYFUNCTION("""COMPUTED_VALUE"""),"")</f>
        <v/>
      </c>
      <c r="W10082" s="16" t="str">
        <f>IFERROR(__xludf.DUMMYFUNCTION("""COMPUTED_VALUE"""),"")</f>
        <v/>
      </c>
      <c r="X10082" s="16" t="str">
        <f>IFERROR(__xludf.DUMMYFUNCTION("""COMPUTED_VALUE"""),"")</f>
        <v/>
      </c>
      <c r="AC10082" s="16" t="str">
        <f>IFERROR(__xludf.DUMMYFUNCTION("""COMPUTED_VALUE"""),"")</f>
        <v/>
      </c>
    </row>
    <row r="10083">
      <c r="A10083" s="16" t="s">
        <v>87</v>
      </c>
      <c r="E10083" s="16" t="str">
        <f>IFERROR(__xludf.DUMMYFUNCTION("""COMPUTED_VALUE"""),"")</f>
        <v/>
      </c>
      <c r="G10083" s="18"/>
      <c r="H10083" s="16" t="s">
        <v>87</v>
      </c>
      <c r="I10083" s="16" t="s">
        <v>87</v>
      </c>
      <c r="J10083" s="19"/>
      <c r="L10083" s="16" t="str">
        <f>IFERROR(__xludf.DUMMYFUNCTION("""COMPUTED_VALUE"""),"")</f>
        <v/>
      </c>
      <c r="M10083" s="16" t="str">
        <f>IFERROR(__xludf.DUMMYFUNCTION("""COMPUTED_VALUE"""),"")</f>
        <v/>
      </c>
      <c r="U10083" s="16" t="s">
        <v>87</v>
      </c>
      <c r="V10083" s="16" t="str">
        <f>IFERROR(__xludf.DUMMYFUNCTION("""COMPUTED_VALUE"""),"")</f>
        <v/>
      </c>
      <c r="W10083" s="16" t="str">
        <f>IFERROR(__xludf.DUMMYFUNCTION("""COMPUTED_VALUE"""),"")</f>
        <v/>
      </c>
      <c r="X10083" s="16" t="str">
        <f>IFERROR(__xludf.DUMMYFUNCTION("""COMPUTED_VALUE"""),"")</f>
        <v/>
      </c>
      <c r="AC10083" s="16" t="str">
        <f>IFERROR(__xludf.DUMMYFUNCTION("""COMPUTED_VALUE"""),"")</f>
        <v/>
      </c>
    </row>
    <row r="10084">
      <c r="A10084" s="16" t="s">
        <v>87</v>
      </c>
      <c r="E10084" s="16" t="str">
        <f>IFERROR(__xludf.DUMMYFUNCTION("""COMPUTED_VALUE"""),"")</f>
        <v/>
      </c>
      <c r="G10084" s="18"/>
      <c r="H10084" s="16" t="s">
        <v>87</v>
      </c>
      <c r="I10084" s="16" t="s">
        <v>87</v>
      </c>
      <c r="J10084" s="19"/>
      <c r="L10084" s="16" t="str">
        <f>IFERROR(__xludf.DUMMYFUNCTION("""COMPUTED_VALUE"""),"")</f>
        <v/>
      </c>
      <c r="M10084" s="16" t="str">
        <f>IFERROR(__xludf.DUMMYFUNCTION("""COMPUTED_VALUE"""),"")</f>
        <v/>
      </c>
      <c r="U10084" s="16" t="s">
        <v>87</v>
      </c>
      <c r="V10084" s="16" t="str">
        <f>IFERROR(__xludf.DUMMYFUNCTION("""COMPUTED_VALUE"""),"")</f>
        <v/>
      </c>
      <c r="W10084" s="16" t="str">
        <f>IFERROR(__xludf.DUMMYFUNCTION("""COMPUTED_VALUE"""),"")</f>
        <v/>
      </c>
      <c r="X10084" s="16" t="str">
        <f>IFERROR(__xludf.DUMMYFUNCTION("""COMPUTED_VALUE"""),"")</f>
        <v/>
      </c>
      <c r="AC10084" s="16" t="str">
        <f>IFERROR(__xludf.DUMMYFUNCTION("""COMPUTED_VALUE"""),"")</f>
        <v/>
      </c>
    </row>
    <row r="10085">
      <c r="A10085" s="16" t="s">
        <v>87</v>
      </c>
      <c r="E10085" s="16" t="str">
        <f>IFERROR(__xludf.DUMMYFUNCTION("""COMPUTED_VALUE"""),"")</f>
        <v/>
      </c>
      <c r="G10085" s="18"/>
      <c r="H10085" s="16" t="s">
        <v>87</v>
      </c>
      <c r="I10085" s="16" t="s">
        <v>87</v>
      </c>
      <c r="J10085" s="19"/>
      <c r="L10085" s="16" t="str">
        <f>IFERROR(__xludf.DUMMYFUNCTION("""COMPUTED_VALUE"""),"")</f>
        <v/>
      </c>
      <c r="M10085" s="16" t="str">
        <f>IFERROR(__xludf.DUMMYFUNCTION("""COMPUTED_VALUE"""),"")</f>
        <v/>
      </c>
      <c r="U10085" s="16" t="s">
        <v>87</v>
      </c>
      <c r="V10085" s="16" t="str">
        <f>IFERROR(__xludf.DUMMYFUNCTION("""COMPUTED_VALUE"""),"")</f>
        <v/>
      </c>
      <c r="W10085" s="16" t="str">
        <f>IFERROR(__xludf.DUMMYFUNCTION("""COMPUTED_VALUE"""),"")</f>
        <v/>
      </c>
      <c r="X10085" s="16" t="str">
        <f>IFERROR(__xludf.DUMMYFUNCTION("""COMPUTED_VALUE"""),"")</f>
        <v/>
      </c>
      <c r="AC10085" s="16" t="str">
        <f>IFERROR(__xludf.DUMMYFUNCTION("""COMPUTED_VALUE"""),"")</f>
        <v/>
      </c>
    </row>
    <row r="10086">
      <c r="A10086" s="16" t="s">
        <v>87</v>
      </c>
      <c r="E10086" s="16" t="str">
        <f>IFERROR(__xludf.DUMMYFUNCTION("""COMPUTED_VALUE"""),"")</f>
        <v/>
      </c>
      <c r="G10086" s="18"/>
      <c r="H10086" s="16" t="s">
        <v>87</v>
      </c>
      <c r="I10086" s="16" t="s">
        <v>87</v>
      </c>
      <c r="J10086" s="19"/>
      <c r="L10086" s="16" t="str">
        <f>IFERROR(__xludf.DUMMYFUNCTION("""COMPUTED_VALUE"""),"")</f>
        <v/>
      </c>
      <c r="M10086" s="16" t="str">
        <f>IFERROR(__xludf.DUMMYFUNCTION("""COMPUTED_VALUE"""),"")</f>
        <v/>
      </c>
      <c r="U10086" s="16" t="s">
        <v>87</v>
      </c>
      <c r="V10086" s="16" t="str">
        <f>IFERROR(__xludf.DUMMYFUNCTION("""COMPUTED_VALUE"""),"")</f>
        <v/>
      </c>
      <c r="W10086" s="16" t="str">
        <f>IFERROR(__xludf.DUMMYFUNCTION("""COMPUTED_VALUE"""),"")</f>
        <v/>
      </c>
      <c r="X10086" s="16" t="str">
        <f>IFERROR(__xludf.DUMMYFUNCTION("""COMPUTED_VALUE"""),"")</f>
        <v/>
      </c>
      <c r="AC10086" s="16" t="str">
        <f>IFERROR(__xludf.DUMMYFUNCTION("""COMPUTED_VALUE"""),"")</f>
        <v/>
      </c>
    </row>
    <row r="10087">
      <c r="A10087" s="16" t="s">
        <v>87</v>
      </c>
      <c r="E10087" s="16" t="str">
        <f>IFERROR(__xludf.DUMMYFUNCTION("""COMPUTED_VALUE"""),"")</f>
        <v/>
      </c>
      <c r="G10087" s="18"/>
      <c r="H10087" s="16" t="s">
        <v>87</v>
      </c>
      <c r="I10087" s="16" t="s">
        <v>87</v>
      </c>
      <c r="J10087" s="19"/>
      <c r="L10087" s="16" t="str">
        <f>IFERROR(__xludf.DUMMYFUNCTION("""COMPUTED_VALUE"""),"")</f>
        <v/>
      </c>
      <c r="M10087" s="16" t="str">
        <f>IFERROR(__xludf.DUMMYFUNCTION("""COMPUTED_VALUE"""),"")</f>
        <v/>
      </c>
      <c r="U10087" s="16" t="s">
        <v>87</v>
      </c>
      <c r="V10087" s="16" t="str">
        <f>IFERROR(__xludf.DUMMYFUNCTION("""COMPUTED_VALUE"""),"")</f>
        <v/>
      </c>
      <c r="W10087" s="16" t="str">
        <f>IFERROR(__xludf.DUMMYFUNCTION("""COMPUTED_VALUE"""),"")</f>
        <v/>
      </c>
      <c r="X10087" s="16" t="str">
        <f>IFERROR(__xludf.DUMMYFUNCTION("""COMPUTED_VALUE"""),"")</f>
        <v/>
      </c>
      <c r="AC10087" s="16" t="str">
        <f>IFERROR(__xludf.DUMMYFUNCTION("""COMPUTED_VALUE"""),"")</f>
        <v/>
      </c>
    </row>
    <row r="10088">
      <c r="A10088" s="16" t="s">
        <v>87</v>
      </c>
      <c r="E10088" s="16" t="str">
        <f>IFERROR(__xludf.DUMMYFUNCTION("""COMPUTED_VALUE"""),"")</f>
        <v/>
      </c>
      <c r="G10088" s="18"/>
      <c r="H10088" s="16" t="s">
        <v>87</v>
      </c>
      <c r="I10088" s="16" t="s">
        <v>87</v>
      </c>
      <c r="J10088" s="19"/>
      <c r="L10088" s="16" t="str">
        <f>IFERROR(__xludf.DUMMYFUNCTION("""COMPUTED_VALUE"""),"")</f>
        <v/>
      </c>
      <c r="M10088" s="16" t="str">
        <f>IFERROR(__xludf.DUMMYFUNCTION("""COMPUTED_VALUE"""),"")</f>
        <v/>
      </c>
      <c r="U10088" s="16" t="s">
        <v>87</v>
      </c>
      <c r="V10088" s="16" t="str">
        <f>IFERROR(__xludf.DUMMYFUNCTION("""COMPUTED_VALUE"""),"")</f>
        <v/>
      </c>
      <c r="W10088" s="16" t="str">
        <f>IFERROR(__xludf.DUMMYFUNCTION("""COMPUTED_VALUE"""),"")</f>
        <v/>
      </c>
      <c r="X10088" s="16" t="str">
        <f>IFERROR(__xludf.DUMMYFUNCTION("""COMPUTED_VALUE"""),"")</f>
        <v/>
      </c>
      <c r="AC10088" s="16" t="str">
        <f>IFERROR(__xludf.DUMMYFUNCTION("""COMPUTED_VALUE"""),"")</f>
        <v/>
      </c>
    </row>
    <row r="10089">
      <c r="A10089" s="16" t="s">
        <v>87</v>
      </c>
      <c r="E10089" s="16" t="str">
        <f>IFERROR(__xludf.DUMMYFUNCTION("""COMPUTED_VALUE"""),"")</f>
        <v/>
      </c>
      <c r="G10089" s="18"/>
      <c r="H10089" s="16" t="s">
        <v>87</v>
      </c>
      <c r="I10089" s="16" t="s">
        <v>87</v>
      </c>
      <c r="J10089" s="19"/>
      <c r="L10089" s="16" t="str">
        <f>IFERROR(__xludf.DUMMYFUNCTION("""COMPUTED_VALUE"""),"")</f>
        <v/>
      </c>
      <c r="M10089" s="16" t="str">
        <f>IFERROR(__xludf.DUMMYFUNCTION("""COMPUTED_VALUE"""),"")</f>
        <v/>
      </c>
      <c r="U10089" s="16" t="s">
        <v>87</v>
      </c>
      <c r="V10089" s="16" t="str">
        <f>IFERROR(__xludf.DUMMYFUNCTION("""COMPUTED_VALUE"""),"")</f>
        <v/>
      </c>
      <c r="W10089" s="16" t="str">
        <f>IFERROR(__xludf.DUMMYFUNCTION("""COMPUTED_VALUE"""),"")</f>
        <v/>
      </c>
      <c r="X10089" s="16" t="str">
        <f>IFERROR(__xludf.DUMMYFUNCTION("""COMPUTED_VALUE"""),"")</f>
        <v/>
      </c>
      <c r="AC10089" s="16" t="str">
        <f>IFERROR(__xludf.DUMMYFUNCTION("""COMPUTED_VALUE"""),"")</f>
        <v/>
      </c>
    </row>
    <row r="10090">
      <c r="A10090" s="16" t="s">
        <v>87</v>
      </c>
      <c r="E10090" s="16" t="str">
        <f>IFERROR(__xludf.DUMMYFUNCTION("""COMPUTED_VALUE"""),"")</f>
        <v/>
      </c>
      <c r="G10090" s="18"/>
      <c r="H10090" s="16" t="s">
        <v>87</v>
      </c>
      <c r="I10090" s="16" t="s">
        <v>87</v>
      </c>
      <c r="J10090" s="19"/>
      <c r="L10090" s="16" t="str">
        <f>IFERROR(__xludf.DUMMYFUNCTION("""COMPUTED_VALUE"""),"")</f>
        <v/>
      </c>
      <c r="M10090" s="16" t="str">
        <f>IFERROR(__xludf.DUMMYFUNCTION("""COMPUTED_VALUE"""),"")</f>
        <v/>
      </c>
      <c r="U10090" s="16" t="s">
        <v>87</v>
      </c>
      <c r="V10090" s="16" t="str">
        <f>IFERROR(__xludf.DUMMYFUNCTION("""COMPUTED_VALUE"""),"")</f>
        <v/>
      </c>
      <c r="W10090" s="16" t="str">
        <f>IFERROR(__xludf.DUMMYFUNCTION("""COMPUTED_VALUE"""),"")</f>
        <v/>
      </c>
      <c r="X10090" s="16" t="str">
        <f>IFERROR(__xludf.DUMMYFUNCTION("""COMPUTED_VALUE"""),"")</f>
        <v/>
      </c>
      <c r="AC10090" s="16" t="str">
        <f>IFERROR(__xludf.DUMMYFUNCTION("""COMPUTED_VALUE"""),"")</f>
        <v/>
      </c>
    </row>
    <row r="10091">
      <c r="A10091" s="16" t="s">
        <v>87</v>
      </c>
      <c r="E10091" s="16" t="str">
        <f>IFERROR(__xludf.DUMMYFUNCTION("""COMPUTED_VALUE"""),"")</f>
        <v/>
      </c>
      <c r="G10091" s="18"/>
      <c r="H10091" s="16" t="s">
        <v>87</v>
      </c>
      <c r="I10091" s="16" t="s">
        <v>87</v>
      </c>
      <c r="J10091" s="19"/>
      <c r="L10091" s="16" t="str">
        <f>IFERROR(__xludf.DUMMYFUNCTION("""COMPUTED_VALUE"""),"")</f>
        <v/>
      </c>
      <c r="M10091" s="16" t="str">
        <f>IFERROR(__xludf.DUMMYFUNCTION("""COMPUTED_VALUE"""),"")</f>
        <v/>
      </c>
      <c r="U10091" s="16" t="s">
        <v>87</v>
      </c>
      <c r="V10091" s="16" t="str">
        <f>IFERROR(__xludf.DUMMYFUNCTION("""COMPUTED_VALUE"""),"")</f>
        <v/>
      </c>
      <c r="W10091" s="16" t="str">
        <f>IFERROR(__xludf.DUMMYFUNCTION("""COMPUTED_VALUE"""),"")</f>
        <v/>
      </c>
      <c r="X10091" s="16" t="str">
        <f>IFERROR(__xludf.DUMMYFUNCTION("""COMPUTED_VALUE"""),"")</f>
        <v/>
      </c>
      <c r="AC10091" s="16" t="str">
        <f>IFERROR(__xludf.DUMMYFUNCTION("""COMPUTED_VALUE"""),"")</f>
        <v/>
      </c>
    </row>
    <row r="10092">
      <c r="A10092" s="16" t="s">
        <v>87</v>
      </c>
      <c r="E10092" s="16" t="str">
        <f>IFERROR(__xludf.DUMMYFUNCTION("""COMPUTED_VALUE"""),"")</f>
        <v/>
      </c>
      <c r="G10092" s="18"/>
      <c r="H10092" s="16" t="s">
        <v>87</v>
      </c>
      <c r="I10092" s="16" t="s">
        <v>87</v>
      </c>
      <c r="J10092" s="19"/>
      <c r="L10092" s="16" t="str">
        <f>IFERROR(__xludf.DUMMYFUNCTION("""COMPUTED_VALUE"""),"")</f>
        <v/>
      </c>
      <c r="M10092" s="16" t="str">
        <f>IFERROR(__xludf.DUMMYFUNCTION("""COMPUTED_VALUE"""),"")</f>
        <v/>
      </c>
      <c r="U10092" s="16" t="s">
        <v>87</v>
      </c>
      <c r="V10092" s="16" t="str">
        <f>IFERROR(__xludf.DUMMYFUNCTION("""COMPUTED_VALUE"""),"")</f>
        <v/>
      </c>
      <c r="W10092" s="16" t="str">
        <f>IFERROR(__xludf.DUMMYFUNCTION("""COMPUTED_VALUE"""),"")</f>
        <v/>
      </c>
      <c r="X10092" s="16" t="str">
        <f>IFERROR(__xludf.DUMMYFUNCTION("""COMPUTED_VALUE"""),"")</f>
        <v/>
      </c>
      <c r="AC10092" s="16" t="str">
        <f>IFERROR(__xludf.DUMMYFUNCTION("""COMPUTED_VALUE"""),"")</f>
        <v/>
      </c>
    </row>
    <row r="10093">
      <c r="A10093" s="16" t="s">
        <v>87</v>
      </c>
      <c r="E10093" s="16" t="str">
        <f>IFERROR(__xludf.DUMMYFUNCTION("""COMPUTED_VALUE"""),"")</f>
        <v/>
      </c>
      <c r="G10093" s="18"/>
      <c r="H10093" s="16" t="s">
        <v>87</v>
      </c>
      <c r="I10093" s="16" t="s">
        <v>87</v>
      </c>
      <c r="J10093" s="19"/>
      <c r="L10093" s="16" t="str">
        <f>IFERROR(__xludf.DUMMYFUNCTION("""COMPUTED_VALUE"""),"")</f>
        <v/>
      </c>
      <c r="M10093" s="16" t="str">
        <f>IFERROR(__xludf.DUMMYFUNCTION("""COMPUTED_VALUE"""),"")</f>
        <v/>
      </c>
      <c r="U10093" s="16" t="s">
        <v>87</v>
      </c>
      <c r="V10093" s="16" t="str">
        <f>IFERROR(__xludf.DUMMYFUNCTION("""COMPUTED_VALUE"""),"")</f>
        <v/>
      </c>
      <c r="W10093" s="16" t="str">
        <f>IFERROR(__xludf.DUMMYFUNCTION("""COMPUTED_VALUE"""),"")</f>
        <v/>
      </c>
      <c r="X10093" s="16" t="str">
        <f>IFERROR(__xludf.DUMMYFUNCTION("""COMPUTED_VALUE"""),"")</f>
        <v/>
      </c>
      <c r="AC10093" s="16" t="str">
        <f>IFERROR(__xludf.DUMMYFUNCTION("""COMPUTED_VALUE"""),"")</f>
        <v/>
      </c>
    </row>
    <row r="10094">
      <c r="A10094" s="16" t="s">
        <v>87</v>
      </c>
      <c r="E10094" s="16" t="str">
        <f>IFERROR(__xludf.DUMMYFUNCTION("""COMPUTED_VALUE"""),"")</f>
        <v/>
      </c>
      <c r="G10094" s="18"/>
      <c r="H10094" s="16" t="s">
        <v>87</v>
      </c>
      <c r="I10094" s="16" t="s">
        <v>87</v>
      </c>
      <c r="J10094" s="19"/>
      <c r="L10094" s="16" t="str">
        <f>IFERROR(__xludf.DUMMYFUNCTION("""COMPUTED_VALUE"""),"")</f>
        <v/>
      </c>
      <c r="M10094" s="16" t="str">
        <f>IFERROR(__xludf.DUMMYFUNCTION("""COMPUTED_VALUE"""),"")</f>
        <v/>
      </c>
      <c r="U10094" s="16" t="s">
        <v>87</v>
      </c>
      <c r="V10094" s="16" t="str">
        <f>IFERROR(__xludf.DUMMYFUNCTION("""COMPUTED_VALUE"""),"")</f>
        <v/>
      </c>
      <c r="W10094" s="16" t="str">
        <f>IFERROR(__xludf.DUMMYFUNCTION("""COMPUTED_VALUE"""),"")</f>
        <v/>
      </c>
      <c r="X10094" s="16" t="str">
        <f>IFERROR(__xludf.DUMMYFUNCTION("""COMPUTED_VALUE"""),"")</f>
        <v/>
      </c>
      <c r="AC10094" s="16" t="str">
        <f>IFERROR(__xludf.DUMMYFUNCTION("""COMPUTED_VALUE"""),"")</f>
        <v/>
      </c>
    </row>
    <row r="10095">
      <c r="A10095" s="16" t="s">
        <v>87</v>
      </c>
      <c r="E10095" s="16" t="str">
        <f>IFERROR(__xludf.DUMMYFUNCTION("""COMPUTED_VALUE"""),"")</f>
        <v/>
      </c>
      <c r="G10095" s="18"/>
      <c r="H10095" s="16" t="s">
        <v>87</v>
      </c>
      <c r="I10095" s="16" t="s">
        <v>87</v>
      </c>
      <c r="J10095" s="19"/>
      <c r="L10095" s="16" t="str">
        <f>IFERROR(__xludf.DUMMYFUNCTION("""COMPUTED_VALUE"""),"")</f>
        <v/>
      </c>
      <c r="M10095" s="16" t="str">
        <f>IFERROR(__xludf.DUMMYFUNCTION("""COMPUTED_VALUE"""),"")</f>
        <v/>
      </c>
      <c r="U10095" s="16" t="s">
        <v>87</v>
      </c>
      <c r="V10095" s="16" t="str">
        <f>IFERROR(__xludf.DUMMYFUNCTION("""COMPUTED_VALUE"""),"")</f>
        <v/>
      </c>
      <c r="W10095" s="16" t="str">
        <f>IFERROR(__xludf.DUMMYFUNCTION("""COMPUTED_VALUE"""),"")</f>
        <v/>
      </c>
      <c r="X10095" s="16" t="str">
        <f>IFERROR(__xludf.DUMMYFUNCTION("""COMPUTED_VALUE"""),"")</f>
        <v/>
      </c>
      <c r="AC10095" s="16" t="str">
        <f>IFERROR(__xludf.DUMMYFUNCTION("""COMPUTED_VALUE"""),"")</f>
        <v/>
      </c>
    </row>
    <row r="10096">
      <c r="A10096" s="16" t="s">
        <v>87</v>
      </c>
      <c r="E10096" s="16" t="str">
        <f>IFERROR(__xludf.DUMMYFUNCTION("""COMPUTED_VALUE"""),"")</f>
        <v/>
      </c>
      <c r="G10096" s="18"/>
      <c r="H10096" s="16" t="s">
        <v>87</v>
      </c>
      <c r="I10096" s="16" t="s">
        <v>87</v>
      </c>
      <c r="J10096" s="19"/>
      <c r="L10096" s="16" t="str">
        <f>IFERROR(__xludf.DUMMYFUNCTION("""COMPUTED_VALUE"""),"")</f>
        <v/>
      </c>
      <c r="M10096" s="16" t="str">
        <f>IFERROR(__xludf.DUMMYFUNCTION("""COMPUTED_VALUE"""),"")</f>
        <v/>
      </c>
      <c r="U10096" s="16" t="s">
        <v>87</v>
      </c>
      <c r="V10096" s="16" t="str">
        <f>IFERROR(__xludf.DUMMYFUNCTION("""COMPUTED_VALUE"""),"")</f>
        <v/>
      </c>
      <c r="W10096" s="16" t="str">
        <f>IFERROR(__xludf.DUMMYFUNCTION("""COMPUTED_VALUE"""),"")</f>
        <v/>
      </c>
      <c r="X10096" s="16" t="str">
        <f>IFERROR(__xludf.DUMMYFUNCTION("""COMPUTED_VALUE"""),"")</f>
        <v/>
      </c>
      <c r="AC10096" s="16" t="str">
        <f>IFERROR(__xludf.DUMMYFUNCTION("""COMPUTED_VALUE"""),"")</f>
        <v/>
      </c>
    </row>
    <row r="10097">
      <c r="A10097" s="16" t="s">
        <v>87</v>
      </c>
      <c r="E10097" s="16" t="str">
        <f>IFERROR(__xludf.DUMMYFUNCTION("""COMPUTED_VALUE"""),"")</f>
        <v/>
      </c>
      <c r="G10097" s="18"/>
      <c r="H10097" s="16" t="s">
        <v>87</v>
      </c>
      <c r="I10097" s="16" t="s">
        <v>87</v>
      </c>
      <c r="J10097" s="19"/>
      <c r="L10097" s="16" t="str">
        <f>IFERROR(__xludf.DUMMYFUNCTION("""COMPUTED_VALUE"""),"")</f>
        <v/>
      </c>
      <c r="M10097" s="16" t="str">
        <f>IFERROR(__xludf.DUMMYFUNCTION("""COMPUTED_VALUE"""),"")</f>
        <v/>
      </c>
      <c r="U10097" s="16" t="s">
        <v>87</v>
      </c>
      <c r="V10097" s="16" t="str">
        <f>IFERROR(__xludf.DUMMYFUNCTION("""COMPUTED_VALUE"""),"")</f>
        <v/>
      </c>
      <c r="W10097" s="16" t="str">
        <f>IFERROR(__xludf.DUMMYFUNCTION("""COMPUTED_VALUE"""),"")</f>
        <v/>
      </c>
      <c r="X10097" s="16" t="str">
        <f>IFERROR(__xludf.DUMMYFUNCTION("""COMPUTED_VALUE"""),"")</f>
        <v/>
      </c>
      <c r="AC10097" s="16" t="str">
        <f>IFERROR(__xludf.DUMMYFUNCTION("""COMPUTED_VALUE"""),"")</f>
        <v/>
      </c>
    </row>
    <row r="10098">
      <c r="A10098" s="16" t="s">
        <v>87</v>
      </c>
      <c r="E10098" s="16" t="str">
        <f>IFERROR(__xludf.DUMMYFUNCTION("""COMPUTED_VALUE"""),"")</f>
        <v/>
      </c>
      <c r="G10098" s="18"/>
      <c r="H10098" s="16" t="s">
        <v>87</v>
      </c>
      <c r="I10098" s="16" t="s">
        <v>87</v>
      </c>
      <c r="J10098" s="19"/>
      <c r="L10098" s="16" t="str">
        <f>IFERROR(__xludf.DUMMYFUNCTION("""COMPUTED_VALUE"""),"")</f>
        <v/>
      </c>
      <c r="M10098" s="16" t="str">
        <f>IFERROR(__xludf.DUMMYFUNCTION("""COMPUTED_VALUE"""),"")</f>
        <v/>
      </c>
      <c r="U10098" s="16" t="s">
        <v>87</v>
      </c>
      <c r="V10098" s="16" t="str">
        <f>IFERROR(__xludf.DUMMYFUNCTION("""COMPUTED_VALUE"""),"")</f>
        <v/>
      </c>
      <c r="W10098" s="16" t="str">
        <f>IFERROR(__xludf.DUMMYFUNCTION("""COMPUTED_VALUE"""),"")</f>
        <v/>
      </c>
      <c r="X10098" s="16" t="str">
        <f>IFERROR(__xludf.DUMMYFUNCTION("""COMPUTED_VALUE"""),"")</f>
        <v/>
      </c>
      <c r="AC10098" s="16" t="str">
        <f>IFERROR(__xludf.DUMMYFUNCTION("""COMPUTED_VALUE"""),"")</f>
        <v/>
      </c>
    </row>
    <row r="10099">
      <c r="A10099" s="16" t="s">
        <v>87</v>
      </c>
      <c r="E10099" s="16" t="str">
        <f>IFERROR(__xludf.DUMMYFUNCTION("""COMPUTED_VALUE"""),"")</f>
        <v/>
      </c>
      <c r="G10099" s="18"/>
      <c r="H10099" s="16" t="s">
        <v>87</v>
      </c>
      <c r="I10099" s="16" t="s">
        <v>87</v>
      </c>
      <c r="J10099" s="19"/>
      <c r="L10099" s="16" t="str">
        <f>IFERROR(__xludf.DUMMYFUNCTION("""COMPUTED_VALUE"""),"")</f>
        <v/>
      </c>
      <c r="M10099" s="16" t="str">
        <f>IFERROR(__xludf.DUMMYFUNCTION("""COMPUTED_VALUE"""),"")</f>
        <v/>
      </c>
      <c r="U10099" s="16" t="s">
        <v>87</v>
      </c>
      <c r="V10099" s="16" t="str">
        <f>IFERROR(__xludf.DUMMYFUNCTION("""COMPUTED_VALUE"""),"")</f>
        <v/>
      </c>
      <c r="W10099" s="16" t="str">
        <f>IFERROR(__xludf.DUMMYFUNCTION("""COMPUTED_VALUE"""),"")</f>
        <v/>
      </c>
      <c r="X10099" s="16" t="str">
        <f>IFERROR(__xludf.DUMMYFUNCTION("""COMPUTED_VALUE"""),"")</f>
        <v/>
      </c>
      <c r="AC10099" s="16" t="str">
        <f>IFERROR(__xludf.DUMMYFUNCTION("""COMPUTED_VALUE"""),"")</f>
        <v/>
      </c>
    </row>
    <row r="10100">
      <c r="A10100" s="16" t="s">
        <v>87</v>
      </c>
      <c r="E10100" s="16" t="str">
        <f>IFERROR(__xludf.DUMMYFUNCTION("""COMPUTED_VALUE"""),"")</f>
        <v/>
      </c>
      <c r="G10100" s="18"/>
      <c r="H10100" s="16" t="s">
        <v>87</v>
      </c>
      <c r="I10100" s="16" t="s">
        <v>87</v>
      </c>
      <c r="J10100" s="19"/>
      <c r="L10100" s="16" t="str">
        <f>IFERROR(__xludf.DUMMYFUNCTION("""COMPUTED_VALUE"""),"")</f>
        <v/>
      </c>
      <c r="M10100" s="16" t="str">
        <f>IFERROR(__xludf.DUMMYFUNCTION("""COMPUTED_VALUE"""),"")</f>
        <v/>
      </c>
      <c r="U10100" s="16" t="s">
        <v>87</v>
      </c>
      <c r="V10100" s="16" t="str">
        <f>IFERROR(__xludf.DUMMYFUNCTION("""COMPUTED_VALUE"""),"")</f>
        <v/>
      </c>
      <c r="W10100" s="16" t="str">
        <f>IFERROR(__xludf.DUMMYFUNCTION("""COMPUTED_VALUE"""),"")</f>
        <v/>
      </c>
      <c r="X10100" s="16" t="str">
        <f>IFERROR(__xludf.DUMMYFUNCTION("""COMPUTED_VALUE"""),"")</f>
        <v/>
      </c>
      <c r="AC10100" s="16" t="str">
        <f>IFERROR(__xludf.DUMMYFUNCTION("""COMPUTED_VALUE"""),"")</f>
        <v/>
      </c>
    </row>
    <row r="10101">
      <c r="A10101" s="16" t="s">
        <v>87</v>
      </c>
      <c r="E10101" s="16" t="str">
        <f>IFERROR(__xludf.DUMMYFUNCTION("""COMPUTED_VALUE"""),"")</f>
        <v/>
      </c>
      <c r="G10101" s="18"/>
      <c r="H10101" s="16" t="s">
        <v>87</v>
      </c>
      <c r="I10101" s="16" t="s">
        <v>87</v>
      </c>
      <c r="J10101" s="19"/>
      <c r="L10101" s="16" t="str">
        <f>IFERROR(__xludf.DUMMYFUNCTION("""COMPUTED_VALUE"""),"")</f>
        <v/>
      </c>
      <c r="M10101" s="16" t="str">
        <f>IFERROR(__xludf.DUMMYFUNCTION("""COMPUTED_VALUE"""),"")</f>
        <v/>
      </c>
      <c r="U10101" s="16" t="s">
        <v>87</v>
      </c>
      <c r="V10101" s="16" t="str">
        <f>IFERROR(__xludf.DUMMYFUNCTION("""COMPUTED_VALUE"""),"")</f>
        <v/>
      </c>
      <c r="W10101" s="16" t="str">
        <f>IFERROR(__xludf.DUMMYFUNCTION("""COMPUTED_VALUE"""),"")</f>
        <v/>
      </c>
      <c r="X10101" s="16" t="str">
        <f>IFERROR(__xludf.DUMMYFUNCTION("""COMPUTED_VALUE"""),"")</f>
        <v/>
      </c>
      <c r="AC10101" s="16" t="str">
        <f>IFERROR(__xludf.DUMMYFUNCTION("""COMPUTED_VALUE"""),"")</f>
        <v/>
      </c>
    </row>
    <row r="10102">
      <c r="A10102" s="16" t="s">
        <v>87</v>
      </c>
      <c r="E10102" s="16" t="str">
        <f>IFERROR(__xludf.DUMMYFUNCTION("""COMPUTED_VALUE"""),"")</f>
        <v/>
      </c>
      <c r="G10102" s="18"/>
      <c r="H10102" s="16" t="s">
        <v>87</v>
      </c>
      <c r="I10102" s="16" t="s">
        <v>87</v>
      </c>
      <c r="J10102" s="19"/>
      <c r="L10102" s="16" t="str">
        <f>IFERROR(__xludf.DUMMYFUNCTION("""COMPUTED_VALUE"""),"")</f>
        <v/>
      </c>
      <c r="M10102" s="16" t="str">
        <f>IFERROR(__xludf.DUMMYFUNCTION("""COMPUTED_VALUE"""),"")</f>
        <v/>
      </c>
      <c r="U10102" s="16" t="s">
        <v>87</v>
      </c>
      <c r="V10102" s="16" t="str">
        <f>IFERROR(__xludf.DUMMYFUNCTION("""COMPUTED_VALUE"""),"")</f>
        <v/>
      </c>
      <c r="W10102" s="16" t="str">
        <f>IFERROR(__xludf.DUMMYFUNCTION("""COMPUTED_VALUE"""),"")</f>
        <v/>
      </c>
      <c r="X10102" s="16" t="str">
        <f>IFERROR(__xludf.DUMMYFUNCTION("""COMPUTED_VALUE"""),"")</f>
        <v/>
      </c>
      <c r="AC10102" s="16" t="str">
        <f>IFERROR(__xludf.DUMMYFUNCTION("""COMPUTED_VALUE"""),"")</f>
        <v/>
      </c>
    </row>
    <row r="10103">
      <c r="A10103" s="16" t="s">
        <v>87</v>
      </c>
      <c r="E10103" s="16" t="str">
        <f>IFERROR(__xludf.DUMMYFUNCTION("""COMPUTED_VALUE"""),"")</f>
        <v/>
      </c>
      <c r="G10103" s="18"/>
      <c r="H10103" s="16" t="s">
        <v>87</v>
      </c>
      <c r="I10103" s="16" t="s">
        <v>87</v>
      </c>
      <c r="J10103" s="19"/>
      <c r="L10103" s="16" t="str">
        <f>IFERROR(__xludf.DUMMYFUNCTION("""COMPUTED_VALUE"""),"")</f>
        <v/>
      </c>
      <c r="M10103" s="16" t="str">
        <f>IFERROR(__xludf.DUMMYFUNCTION("""COMPUTED_VALUE"""),"")</f>
        <v/>
      </c>
      <c r="U10103" s="16" t="s">
        <v>87</v>
      </c>
      <c r="V10103" s="16" t="str">
        <f>IFERROR(__xludf.DUMMYFUNCTION("""COMPUTED_VALUE"""),"")</f>
        <v/>
      </c>
      <c r="W10103" s="16" t="str">
        <f>IFERROR(__xludf.DUMMYFUNCTION("""COMPUTED_VALUE"""),"")</f>
        <v/>
      </c>
      <c r="X10103" s="16" t="str">
        <f>IFERROR(__xludf.DUMMYFUNCTION("""COMPUTED_VALUE"""),"")</f>
        <v/>
      </c>
      <c r="AC10103" s="16" t="str">
        <f>IFERROR(__xludf.DUMMYFUNCTION("""COMPUTED_VALUE"""),"")</f>
        <v/>
      </c>
    </row>
    <row r="10104">
      <c r="A10104" s="16" t="s">
        <v>87</v>
      </c>
      <c r="E10104" s="16" t="str">
        <f>IFERROR(__xludf.DUMMYFUNCTION("""COMPUTED_VALUE"""),"")</f>
        <v/>
      </c>
      <c r="G10104" s="18"/>
      <c r="H10104" s="16" t="s">
        <v>87</v>
      </c>
      <c r="I10104" s="16" t="s">
        <v>87</v>
      </c>
      <c r="J10104" s="19"/>
      <c r="L10104" s="16" t="str">
        <f>IFERROR(__xludf.DUMMYFUNCTION("""COMPUTED_VALUE"""),"")</f>
        <v/>
      </c>
      <c r="M10104" s="16" t="str">
        <f>IFERROR(__xludf.DUMMYFUNCTION("""COMPUTED_VALUE"""),"")</f>
        <v/>
      </c>
      <c r="U10104" s="16" t="s">
        <v>87</v>
      </c>
      <c r="V10104" s="16" t="str">
        <f>IFERROR(__xludf.DUMMYFUNCTION("""COMPUTED_VALUE"""),"")</f>
        <v/>
      </c>
      <c r="W10104" s="16" t="str">
        <f>IFERROR(__xludf.DUMMYFUNCTION("""COMPUTED_VALUE"""),"")</f>
        <v/>
      </c>
      <c r="X10104" s="16" t="str">
        <f>IFERROR(__xludf.DUMMYFUNCTION("""COMPUTED_VALUE"""),"")</f>
        <v/>
      </c>
      <c r="AC10104" s="16" t="str">
        <f>IFERROR(__xludf.DUMMYFUNCTION("""COMPUTED_VALUE"""),"")</f>
        <v/>
      </c>
    </row>
    <row r="10105">
      <c r="A10105" s="16" t="s">
        <v>87</v>
      </c>
      <c r="E10105" s="16" t="str">
        <f>IFERROR(__xludf.DUMMYFUNCTION("""COMPUTED_VALUE"""),"")</f>
        <v/>
      </c>
      <c r="G10105" s="18"/>
      <c r="H10105" s="16" t="s">
        <v>87</v>
      </c>
      <c r="I10105" s="16" t="s">
        <v>87</v>
      </c>
      <c r="J10105" s="19"/>
      <c r="L10105" s="16" t="str">
        <f>IFERROR(__xludf.DUMMYFUNCTION("""COMPUTED_VALUE"""),"")</f>
        <v/>
      </c>
      <c r="M10105" s="16" t="str">
        <f>IFERROR(__xludf.DUMMYFUNCTION("""COMPUTED_VALUE"""),"")</f>
        <v/>
      </c>
      <c r="U10105" s="16" t="s">
        <v>87</v>
      </c>
      <c r="V10105" s="16" t="str">
        <f>IFERROR(__xludf.DUMMYFUNCTION("""COMPUTED_VALUE"""),"")</f>
        <v/>
      </c>
      <c r="W10105" s="16" t="str">
        <f>IFERROR(__xludf.DUMMYFUNCTION("""COMPUTED_VALUE"""),"")</f>
        <v/>
      </c>
      <c r="X10105" s="16" t="str">
        <f>IFERROR(__xludf.DUMMYFUNCTION("""COMPUTED_VALUE"""),"")</f>
        <v/>
      </c>
      <c r="AC10105" s="16" t="str">
        <f>IFERROR(__xludf.DUMMYFUNCTION("""COMPUTED_VALUE"""),"")</f>
        <v/>
      </c>
    </row>
    <row r="10106">
      <c r="A10106" s="16" t="s">
        <v>87</v>
      </c>
      <c r="E10106" s="16" t="str">
        <f>IFERROR(__xludf.DUMMYFUNCTION("""COMPUTED_VALUE"""),"")</f>
        <v/>
      </c>
      <c r="G10106" s="18"/>
      <c r="H10106" s="16" t="s">
        <v>87</v>
      </c>
      <c r="I10106" s="16" t="s">
        <v>87</v>
      </c>
      <c r="J10106" s="19"/>
      <c r="L10106" s="16" t="str">
        <f>IFERROR(__xludf.DUMMYFUNCTION("""COMPUTED_VALUE"""),"")</f>
        <v/>
      </c>
      <c r="M10106" s="16" t="str">
        <f>IFERROR(__xludf.DUMMYFUNCTION("""COMPUTED_VALUE"""),"")</f>
        <v/>
      </c>
      <c r="U10106" s="16" t="s">
        <v>87</v>
      </c>
      <c r="V10106" s="16" t="str">
        <f>IFERROR(__xludf.DUMMYFUNCTION("""COMPUTED_VALUE"""),"")</f>
        <v/>
      </c>
      <c r="W10106" s="16" t="str">
        <f>IFERROR(__xludf.DUMMYFUNCTION("""COMPUTED_VALUE"""),"")</f>
        <v/>
      </c>
      <c r="X10106" s="16" t="str">
        <f>IFERROR(__xludf.DUMMYFUNCTION("""COMPUTED_VALUE"""),"")</f>
        <v/>
      </c>
      <c r="AC10106" s="16" t="str">
        <f>IFERROR(__xludf.DUMMYFUNCTION("""COMPUTED_VALUE"""),"")</f>
        <v/>
      </c>
    </row>
    <row r="10107">
      <c r="A10107" s="16" t="s">
        <v>87</v>
      </c>
      <c r="E10107" s="16" t="str">
        <f>IFERROR(__xludf.DUMMYFUNCTION("""COMPUTED_VALUE"""),"")</f>
        <v/>
      </c>
      <c r="G10107" s="18"/>
      <c r="H10107" s="16" t="s">
        <v>87</v>
      </c>
      <c r="I10107" s="16" t="s">
        <v>87</v>
      </c>
      <c r="J10107" s="19"/>
      <c r="L10107" s="16" t="str">
        <f>IFERROR(__xludf.DUMMYFUNCTION("""COMPUTED_VALUE"""),"")</f>
        <v/>
      </c>
      <c r="M10107" s="16" t="str">
        <f>IFERROR(__xludf.DUMMYFUNCTION("""COMPUTED_VALUE"""),"")</f>
        <v/>
      </c>
      <c r="U10107" s="16" t="s">
        <v>87</v>
      </c>
      <c r="V10107" s="16" t="str">
        <f>IFERROR(__xludf.DUMMYFUNCTION("""COMPUTED_VALUE"""),"")</f>
        <v/>
      </c>
      <c r="W10107" s="16" t="str">
        <f>IFERROR(__xludf.DUMMYFUNCTION("""COMPUTED_VALUE"""),"")</f>
        <v/>
      </c>
      <c r="X10107" s="16" t="str">
        <f>IFERROR(__xludf.DUMMYFUNCTION("""COMPUTED_VALUE"""),"")</f>
        <v/>
      </c>
      <c r="AC10107" s="16" t="str">
        <f>IFERROR(__xludf.DUMMYFUNCTION("""COMPUTED_VALUE"""),"")</f>
        <v/>
      </c>
    </row>
    <row r="10108">
      <c r="A10108" s="16" t="s">
        <v>87</v>
      </c>
      <c r="E10108" s="16" t="str">
        <f>IFERROR(__xludf.DUMMYFUNCTION("""COMPUTED_VALUE"""),"")</f>
        <v/>
      </c>
      <c r="G10108" s="18"/>
      <c r="H10108" s="16" t="s">
        <v>87</v>
      </c>
      <c r="I10108" s="16" t="s">
        <v>87</v>
      </c>
      <c r="J10108" s="19"/>
      <c r="L10108" s="16" t="str">
        <f>IFERROR(__xludf.DUMMYFUNCTION("""COMPUTED_VALUE"""),"")</f>
        <v/>
      </c>
      <c r="M10108" s="16" t="str">
        <f>IFERROR(__xludf.DUMMYFUNCTION("""COMPUTED_VALUE"""),"")</f>
        <v/>
      </c>
      <c r="U10108" s="16" t="s">
        <v>87</v>
      </c>
      <c r="V10108" s="16" t="str">
        <f>IFERROR(__xludf.DUMMYFUNCTION("""COMPUTED_VALUE"""),"")</f>
        <v/>
      </c>
      <c r="W10108" s="16" t="str">
        <f>IFERROR(__xludf.DUMMYFUNCTION("""COMPUTED_VALUE"""),"")</f>
        <v/>
      </c>
      <c r="X10108" s="16" t="str">
        <f>IFERROR(__xludf.DUMMYFUNCTION("""COMPUTED_VALUE"""),"")</f>
        <v/>
      </c>
      <c r="AC10108" s="16" t="str">
        <f>IFERROR(__xludf.DUMMYFUNCTION("""COMPUTED_VALUE"""),"")</f>
        <v/>
      </c>
    </row>
    <row r="10109">
      <c r="A10109" s="16" t="s">
        <v>87</v>
      </c>
      <c r="E10109" s="16" t="str">
        <f>IFERROR(__xludf.DUMMYFUNCTION("""COMPUTED_VALUE"""),"")</f>
        <v/>
      </c>
      <c r="G10109" s="18"/>
      <c r="H10109" s="16" t="s">
        <v>87</v>
      </c>
      <c r="I10109" s="16" t="s">
        <v>87</v>
      </c>
      <c r="J10109" s="19"/>
      <c r="L10109" s="16" t="str">
        <f>IFERROR(__xludf.DUMMYFUNCTION("""COMPUTED_VALUE"""),"")</f>
        <v/>
      </c>
      <c r="M10109" s="16" t="str">
        <f>IFERROR(__xludf.DUMMYFUNCTION("""COMPUTED_VALUE"""),"")</f>
        <v/>
      </c>
      <c r="U10109" s="16" t="s">
        <v>87</v>
      </c>
      <c r="V10109" s="16" t="str">
        <f>IFERROR(__xludf.DUMMYFUNCTION("""COMPUTED_VALUE"""),"")</f>
        <v/>
      </c>
      <c r="W10109" s="16" t="str">
        <f>IFERROR(__xludf.DUMMYFUNCTION("""COMPUTED_VALUE"""),"")</f>
        <v/>
      </c>
      <c r="X10109" s="16" t="str">
        <f>IFERROR(__xludf.DUMMYFUNCTION("""COMPUTED_VALUE"""),"")</f>
        <v/>
      </c>
      <c r="AC10109" s="16" t="str">
        <f>IFERROR(__xludf.DUMMYFUNCTION("""COMPUTED_VALUE"""),"")</f>
        <v/>
      </c>
    </row>
    <row r="10110">
      <c r="A10110" s="16" t="s">
        <v>87</v>
      </c>
      <c r="E10110" s="16" t="str">
        <f>IFERROR(__xludf.DUMMYFUNCTION("""COMPUTED_VALUE"""),"")</f>
        <v/>
      </c>
      <c r="G10110" s="18"/>
      <c r="H10110" s="16" t="s">
        <v>87</v>
      </c>
      <c r="I10110" s="16" t="s">
        <v>87</v>
      </c>
      <c r="J10110" s="19"/>
      <c r="L10110" s="16" t="str">
        <f>IFERROR(__xludf.DUMMYFUNCTION("""COMPUTED_VALUE"""),"")</f>
        <v/>
      </c>
      <c r="M10110" s="16" t="str">
        <f>IFERROR(__xludf.DUMMYFUNCTION("""COMPUTED_VALUE"""),"")</f>
        <v/>
      </c>
      <c r="U10110" s="16" t="s">
        <v>87</v>
      </c>
      <c r="V10110" s="16" t="str">
        <f>IFERROR(__xludf.DUMMYFUNCTION("""COMPUTED_VALUE"""),"")</f>
        <v/>
      </c>
      <c r="W10110" s="16" t="str">
        <f>IFERROR(__xludf.DUMMYFUNCTION("""COMPUTED_VALUE"""),"")</f>
        <v/>
      </c>
      <c r="X10110" s="16" t="str">
        <f>IFERROR(__xludf.DUMMYFUNCTION("""COMPUTED_VALUE"""),"")</f>
        <v/>
      </c>
      <c r="AC10110" s="16" t="str">
        <f>IFERROR(__xludf.DUMMYFUNCTION("""COMPUTED_VALUE"""),"")</f>
        <v/>
      </c>
    </row>
    <row r="10111">
      <c r="A10111" s="16" t="s">
        <v>87</v>
      </c>
      <c r="E10111" s="16" t="str">
        <f>IFERROR(__xludf.DUMMYFUNCTION("""COMPUTED_VALUE"""),"")</f>
        <v/>
      </c>
      <c r="G10111" s="18"/>
      <c r="H10111" s="16" t="s">
        <v>87</v>
      </c>
      <c r="I10111" s="16" t="s">
        <v>87</v>
      </c>
      <c r="J10111" s="19"/>
      <c r="L10111" s="16" t="str">
        <f>IFERROR(__xludf.DUMMYFUNCTION("""COMPUTED_VALUE"""),"")</f>
        <v/>
      </c>
      <c r="M10111" s="16" t="str">
        <f>IFERROR(__xludf.DUMMYFUNCTION("""COMPUTED_VALUE"""),"")</f>
        <v/>
      </c>
      <c r="U10111" s="16" t="s">
        <v>87</v>
      </c>
      <c r="V10111" s="16" t="str">
        <f>IFERROR(__xludf.DUMMYFUNCTION("""COMPUTED_VALUE"""),"")</f>
        <v/>
      </c>
      <c r="W10111" s="16" t="str">
        <f>IFERROR(__xludf.DUMMYFUNCTION("""COMPUTED_VALUE"""),"")</f>
        <v/>
      </c>
      <c r="X10111" s="16" t="str">
        <f>IFERROR(__xludf.DUMMYFUNCTION("""COMPUTED_VALUE"""),"")</f>
        <v/>
      </c>
      <c r="AC10111" s="16" t="str">
        <f>IFERROR(__xludf.DUMMYFUNCTION("""COMPUTED_VALUE"""),"")</f>
        <v/>
      </c>
    </row>
    <row r="10112">
      <c r="A10112" s="16" t="s">
        <v>87</v>
      </c>
      <c r="E10112" s="16" t="str">
        <f>IFERROR(__xludf.DUMMYFUNCTION("""COMPUTED_VALUE"""),"")</f>
        <v/>
      </c>
      <c r="G10112" s="18"/>
      <c r="H10112" s="16" t="s">
        <v>87</v>
      </c>
      <c r="I10112" s="16" t="s">
        <v>87</v>
      </c>
      <c r="J10112" s="19"/>
      <c r="L10112" s="16" t="str">
        <f>IFERROR(__xludf.DUMMYFUNCTION("""COMPUTED_VALUE"""),"")</f>
        <v/>
      </c>
      <c r="M10112" s="16" t="str">
        <f>IFERROR(__xludf.DUMMYFUNCTION("""COMPUTED_VALUE"""),"")</f>
        <v/>
      </c>
      <c r="U10112" s="16" t="s">
        <v>87</v>
      </c>
      <c r="V10112" s="16" t="str">
        <f>IFERROR(__xludf.DUMMYFUNCTION("""COMPUTED_VALUE"""),"")</f>
        <v/>
      </c>
      <c r="W10112" s="16" t="str">
        <f>IFERROR(__xludf.DUMMYFUNCTION("""COMPUTED_VALUE"""),"")</f>
        <v/>
      </c>
      <c r="X10112" s="16" t="str">
        <f>IFERROR(__xludf.DUMMYFUNCTION("""COMPUTED_VALUE"""),"")</f>
        <v/>
      </c>
      <c r="AC10112" s="16" t="str">
        <f>IFERROR(__xludf.DUMMYFUNCTION("""COMPUTED_VALUE"""),"")</f>
        <v/>
      </c>
    </row>
    <row r="10113">
      <c r="A10113" s="16" t="s">
        <v>87</v>
      </c>
      <c r="E10113" s="16" t="str">
        <f>IFERROR(__xludf.DUMMYFUNCTION("""COMPUTED_VALUE"""),"")</f>
        <v/>
      </c>
      <c r="G10113" s="18"/>
      <c r="H10113" s="16" t="s">
        <v>87</v>
      </c>
      <c r="I10113" s="16" t="s">
        <v>87</v>
      </c>
      <c r="J10113" s="19"/>
      <c r="L10113" s="16" t="str">
        <f>IFERROR(__xludf.DUMMYFUNCTION("""COMPUTED_VALUE"""),"")</f>
        <v/>
      </c>
      <c r="M10113" s="16" t="str">
        <f>IFERROR(__xludf.DUMMYFUNCTION("""COMPUTED_VALUE"""),"")</f>
        <v/>
      </c>
      <c r="U10113" s="16" t="s">
        <v>87</v>
      </c>
      <c r="V10113" s="16" t="str">
        <f>IFERROR(__xludf.DUMMYFUNCTION("""COMPUTED_VALUE"""),"")</f>
        <v/>
      </c>
      <c r="W10113" s="16" t="str">
        <f>IFERROR(__xludf.DUMMYFUNCTION("""COMPUTED_VALUE"""),"")</f>
        <v/>
      </c>
      <c r="X10113" s="16" t="str">
        <f>IFERROR(__xludf.DUMMYFUNCTION("""COMPUTED_VALUE"""),"")</f>
        <v/>
      </c>
      <c r="AC10113" s="16" t="str">
        <f>IFERROR(__xludf.DUMMYFUNCTION("""COMPUTED_VALUE"""),"")</f>
        <v/>
      </c>
    </row>
    <row r="10114">
      <c r="A10114" s="16" t="s">
        <v>87</v>
      </c>
      <c r="E10114" s="16" t="str">
        <f>IFERROR(__xludf.DUMMYFUNCTION("""COMPUTED_VALUE"""),"")</f>
        <v/>
      </c>
      <c r="G10114" s="18"/>
      <c r="H10114" s="16" t="s">
        <v>87</v>
      </c>
      <c r="I10114" s="16" t="s">
        <v>87</v>
      </c>
      <c r="J10114" s="19"/>
      <c r="L10114" s="16" t="str">
        <f>IFERROR(__xludf.DUMMYFUNCTION("""COMPUTED_VALUE"""),"")</f>
        <v/>
      </c>
      <c r="M10114" s="16" t="str">
        <f>IFERROR(__xludf.DUMMYFUNCTION("""COMPUTED_VALUE"""),"")</f>
        <v/>
      </c>
      <c r="U10114" s="16" t="s">
        <v>87</v>
      </c>
      <c r="V10114" s="16" t="str">
        <f>IFERROR(__xludf.DUMMYFUNCTION("""COMPUTED_VALUE"""),"")</f>
        <v/>
      </c>
      <c r="W10114" s="16" t="str">
        <f>IFERROR(__xludf.DUMMYFUNCTION("""COMPUTED_VALUE"""),"")</f>
        <v/>
      </c>
      <c r="X10114" s="16" t="str">
        <f>IFERROR(__xludf.DUMMYFUNCTION("""COMPUTED_VALUE"""),"")</f>
        <v/>
      </c>
      <c r="AC10114" s="16" t="str">
        <f>IFERROR(__xludf.DUMMYFUNCTION("""COMPUTED_VALUE"""),"")</f>
        <v/>
      </c>
    </row>
    <row r="10115">
      <c r="A10115" s="16" t="s">
        <v>87</v>
      </c>
      <c r="E10115" s="16" t="str">
        <f>IFERROR(__xludf.DUMMYFUNCTION("""COMPUTED_VALUE"""),"")</f>
        <v/>
      </c>
      <c r="G10115" s="18"/>
      <c r="H10115" s="16" t="s">
        <v>87</v>
      </c>
      <c r="I10115" s="16" t="s">
        <v>87</v>
      </c>
      <c r="J10115" s="19"/>
      <c r="L10115" s="16" t="str">
        <f>IFERROR(__xludf.DUMMYFUNCTION("""COMPUTED_VALUE"""),"")</f>
        <v/>
      </c>
      <c r="M10115" s="16" t="str">
        <f>IFERROR(__xludf.DUMMYFUNCTION("""COMPUTED_VALUE"""),"")</f>
        <v/>
      </c>
      <c r="U10115" s="16" t="s">
        <v>87</v>
      </c>
      <c r="V10115" s="16" t="str">
        <f>IFERROR(__xludf.DUMMYFUNCTION("""COMPUTED_VALUE"""),"")</f>
        <v/>
      </c>
      <c r="W10115" s="16" t="str">
        <f>IFERROR(__xludf.DUMMYFUNCTION("""COMPUTED_VALUE"""),"")</f>
        <v/>
      </c>
      <c r="X10115" s="16" t="str">
        <f>IFERROR(__xludf.DUMMYFUNCTION("""COMPUTED_VALUE"""),"")</f>
        <v/>
      </c>
      <c r="AC10115" s="16" t="str">
        <f>IFERROR(__xludf.DUMMYFUNCTION("""COMPUTED_VALUE"""),"")</f>
        <v/>
      </c>
    </row>
    <row r="10116">
      <c r="A10116" s="16" t="s">
        <v>87</v>
      </c>
      <c r="E10116" s="16" t="str">
        <f>IFERROR(__xludf.DUMMYFUNCTION("""COMPUTED_VALUE"""),"")</f>
        <v/>
      </c>
      <c r="G10116" s="18"/>
      <c r="H10116" s="16" t="s">
        <v>87</v>
      </c>
      <c r="I10116" s="16" t="s">
        <v>87</v>
      </c>
      <c r="J10116" s="19"/>
      <c r="L10116" s="16" t="str">
        <f>IFERROR(__xludf.DUMMYFUNCTION("""COMPUTED_VALUE"""),"")</f>
        <v/>
      </c>
      <c r="M10116" s="16" t="str">
        <f>IFERROR(__xludf.DUMMYFUNCTION("""COMPUTED_VALUE"""),"")</f>
        <v/>
      </c>
      <c r="U10116" s="16" t="s">
        <v>87</v>
      </c>
      <c r="V10116" s="16" t="str">
        <f>IFERROR(__xludf.DUMMYFUNCTION("""COMPUTED_VALUE"""),"")</f>
        <v/>
      </c>
      <c r="W10116" s="16" t="str">
        <f>IFERROR(__xludf.DUMMYFUNCTION("""COMPUTED_VALUE"""),"")</f>
        <v/>
      </c>
      <c r="X10116" s="16" t="str">
        <f>IFERROR(__xludf.DUMMYFUNCTION("""COMPUTED_VALUE"""),"")</f>
        <v/>
      </c>
      <c r="AC10116" s="16" t="str">
        <f>IFERROR(__xludf.DUMMYFUNCTION("""COMPUTED_VALUE"""),"")</f>
        <v/>
      </c>
    </row>
    <row r="10117">
      <c r="A10117" s="16" t="s">
        <v>87</v>
      </c>
      <c r="E10117" s="16" t="str">
        <f>IFERROR(__xludf.DUMMYFUNCTION("""COMPUTED_VALUE"""),"")</f>
        <v/>
      </c>
      <c r="G10117" s="18"/>
      <c r="H10117" s="16" t="s">
        <v>87</v>
      </c>
      <c r="I10117" s="16" t="s">
        <v>87</v>
      </c>
      <c r="J10117" s="19"/>
      <c r="L10117" s="16" t="str">
        <f>IFERROR(__xludf.DUMMYFUNCTION("""COMPUTED_VALUE"""),"")</f>
        <v/>
      </c>
      <c r="M10117" s="16" t="str">
        <f>IFERROR(__xludf.DUMMYFUNCTION("""COMPUTED_VALUE"""),"")</f>
        <v/>
      </c>
      <c r="U10117" s="16" t="s">
        <v>87</v>
      </c>
      <c r="V10117" s="16" t="str">
        <f>IFERROR(__xludf.DUMMYFUNCTION("""COMPUTED_VALUE"""),"")</f>
        <v/>
      </c>
      <c r="W10117" s="16" t="str">
        <f>IFERROR(__xludf.DUMMYFUNCTION("""COMPUTED_VALUE"""),"")</f>
        <v/>
      </c>
      <c r="X10117" s="16" t="str">
        <f>IFERROR(__xludf.DUMMYFUNCTION("""COMPUTED_VALUE"""),"")</f>
        <v/>
      </c>
      <c r="AC10117" s="16" t="str">
        <f>IFERROR(__xludf.DUMMYFUNCTION("""COMPUTED_VALUE"""),"")</f>
        <v/>
      </c>
    </row>
    <row r="10118">
      <c r="A10118" s="16" t="s">
        <v>87</v>
      </c>
      <c r="E10118" s="16" t="str">
        <f>IFERROR(__xludf.DUMMYFUNCTION("""COMPUTED_VALUE"""),"")</f>
        <v/>
      </c>
      <c r="G10118" s="18"/>
      <c r="H10118" s="16" t="s">
        <v>87</v>
      </c>
      <c r="I10118" s="16" t="s">
        <v>87</v>
      </c>
      <c r="J10118" s="19"/>
      <c r="L10118" s="16" t="str">
        <f>IFERROR(__xludf.DUMMYFUNCTION("""COMPUTED_VALUE"""),"")</f>
        <v/>
      </c>
      <c r="M10118" s="16" t="str">
        <f>IFERROR(__xludf.DUMMYFUNCTION("""COMPUTED_VALUE"""),"")</f>
        <v/>
      </c>
      <c r="U10118" s="16" t="s">
        <v>87</v>
      </c>
      <c r="V10118" s="16" t="str">
        <f>IFERROR(__xludf.DUMMYFUNCTION("""COMPUTED_VALUE"""),"")</f>
        <v/>
      </c>
      <c r="W10118" s="16" t="str">
        <f>IFERROR(__xludf.DUMMYFUNCTION("""COMPUTED_VALUE"""),"")</f>
        <v/>
      </c>
      <c r="X10118" s="16" t="str">
        <f>IFERROR(__xludf.DUMMYFUNCTION("""COMPUTED_VALUE"""),"")</f>
        <v/>
      </c>
      <c r="AC10118" s="16" t="str">
        <f>IFERROR(__xludf.DUMMYFUNCTION("""COMPUTED_VALUE"""),"")</f>
        <v/>
      </c>
    </row>
    <row r="10119">
      <c r="A10119" s="16" t="s">
        <v>87</v>
      </c>
      <c r="E10119" s="16" t="str">
        <f>IFERROR(__xludf.DUMMYFUNCTION("""COMPUTED_VALUE"""),"")</f>
        <v/>
      </c>
      <c r="G10119" s="18"/>
      <c r="H10119" s="16" t="s">
        <v>87</v>
      </c>
      <c r="I10119" s="16" t="s">
        <v>87</v>
      </c>
      <c r="J10119" s="19"/>
      <c r="L10119" s="16" t="str">
        <f>IFERROR(__xludf.DUMMYFUNCTION("""COMPUTED_VALUE"""),"")</f>
        <v/>
      </c>
      <c r="M10119" s="16" t="str">
        <f>IFERROR(__xludf.DUMMYFUNCTION("""COMPUTED_VALUE"""),"")</f>
        <v/>
      </c>
      <c r="U10119" s="16" t="s">
        <v>87</v>
      </c>
      <c r="V10119" s="16" t="str">
        <f>IFERROR(__xludf.DUMMYFUNCTION("""COMPUTED_VALUE"""),"")</f>
        <v/>
      </c>
      <c r="W10119" s="16" t="str">
        <f>IFERROR(__xludf.DUMMYFUNCTION("""COMPUTED_VALUE"""),"")</f>
        <v/>
      </c>
      <c r="X10119" s="16" t="str">
        <f>IFERROR(__xludf.DUMMYFUNCTION("""COMPUTED_VALUE"""),"")</f>
        <v/>
      </c>
      <c r="AC10119" s="16" t="str">
        <f>IFERROR(__xludf.DUMMYFUNCTION("""COMPUTED_VALUE"""),"")</f>
        <v/>
      </c>
    </row>
    <row r="10120">
      <c r="A10120" s="16" t="s">
        <v>87</v>
      </c>
      <c r="E10120" s="16" t="str">
        <f>IFERROR(__xludf.DUMMYFUNCTION("""COMPUTED_VALUE"""),"")</f>
        <v/>
      </c>
      <c r="G10120" s="18"/>
      <c r="H10120" s="16" t="s">
        <v>87</v>
      </c>
      <c r="I10120" s="16" t="s">
        <v>87</v>
      </c>
      <c r="J10120" s="19"/>
      <c r="L10120" s="16" t="str">
        <f>IFERROR(__xludf.DUMMYFUNCTION("""COMPUTED_VALUE"""),"")</f>
        <v/>
      </c>
      <c r="M10120" s="16" t="str">
        <f>IFERROR(__xludf.DUMMYFUNCTION("""COMPUTED_VALUE"""),"")</f>
        <v/>
      </c>
      <c r="U10120" s="16" t="s">
        <v>87</v>
      </c>
      <c r="V10120" s="16" t="str">
        <f>IFERROR(__xludf.DUMMYFUNCTION("""COMPUTED_VALUE"""),"")</f>
        <v/>
      </c>
      <c r="W10120" s="16" t="str">
        <f>IFERROR(__xludf.DUMMYFUNCTION("""COMPUTED_VALUE"""),"")</f>
        <v/>
      </c>
      <c r="X10120" s="16" t="str">
        <f>IFERROR(__xludf.DUMMYFUNCTION("""COMPUTED_VALUE"""),"")</f>
        <v/>
      </c>
      <c r="AC10120" s="16" t="str">
        <f>IFERROR(__xludf.DUMMYFUNCTION("""COMPUTED_VALUE"""),"")</f>
        <v/>
      </c>
    </row>
    <row r="10121">
      <c r="A10121" s="16" t="s">
        <v>87</v>
      </c>
      <c r="E10121" s="16" t="str">
        <f>IFERROR(__xludf.DUMMYFUNCTION("""COMPUTED_VALUE"""),"")</f>
        <v/>
      </c>
      <c r="G10121" s="18"/>
      <c r="H10121" s="16" t="s">
        <v>87</v>
      </c>
      <c r="I10121" s="16" t="s">
        <v>87</v>
      </c>
      <c r="J10121" s="19"/>
      <c r="L10121" s="16" t="str">
        <f>IFERROR(__xludf.DUMMYFUNCTION("""COMPUTED_VALUE"""),"")</f>
        <v/>
      </c>
      <c r="M10121" s="16" t="str">
        <f>IFERROR(__xludf.DUMMYFUNCTION("""COMPUTED_VALUE"""),"")</f>
        <v/>
      </c>
      <c r="U10121" s="16" t="s">
        <v>87</v>
      </c>
      <c r="V10121" s="16" t="str">
        <f>IFERROR(__xludf.DUMMYFUNCTION("""COMPUTED_VALUE"""),"")</f>
        <v/>
      </c>
      <c r="W10121" s="16" t="str">
        <f>IFERROR(__xludf.DUMMYFUNCTION("""COMPUTED_VALUE"""),"")</f>
        <v/>
      </c>
      <c r="X10121" s="16" t="str">
        <f>IFERROR(__xludf.DUMMYFUNCTION("""COMPUTED_VALUE"""),"")</f>
        <v/>
      </c>
      <c r="AC10121" s="16" t="str">
        <f>IFERROR(__xludf.DUMMYFUNCTION("""COMPUTED_VALUE"""),"")</f>
        <v/>
      </c>
    </row>
    <row r="10122">
      <c r="A10122" s="16" t="s">
        <v>87</v>
      </c>
      <c r="E10122" s="16" t="str">
        <f>IFERROR(__xludf.DUMMYFUNCTION("""COMPUTED_VALUE"""),"")</f>
        <v/>
      </c>
      <c r="G10122" s="18"/>
      <c r="H10122" s="16" t="s">
        <v>87</v>
      </c>
      <c r="I10122" s="16" t="s">
        <v>87</v>
      </c>
      <c r="J10122" s="19"/>
      <c r="L10122" s="16" t="str">
        <f>IFERROR(__xludf.DUMMYFUNCTION("""COMPUTED_VALUE"""),"")</f>
        <v/>
      </c>
      <c r="M10122" s="16" t="str">
        <f>IFERROR(__xludf.DUMMYFUNCTION("""COMPUTED_VALUE"""),"")</f>
        <v/>
      </c>
      <c r="U10122" s="16" t="s">
        <v>87</v>
      </c>
      <c r="V10122" s="16" t="str">
        <f>IFERROR(__xludf.DUMMYFUNCTION("""COMPUTED_VALUE"""),"")</f>
        <v/>
      </c>
      <c r="W10122" s="16" t="str">
        <f>IFERROR(__xludf.DUMMYFUNCTION("""COMPUTED_VALUE"""),"")</f>
        <v/>
      </c>
      <c r="X10122" s="16" t="str">
        <f>IFERROR(__xludf.DUMMYFUNCTION("""COMPUTED_VALUE"""),"")</f>
        <v/>
      </c>
      <c r="AC10122" s="16" t="str">
        <f>IFERROR(__xludf.DUMMYFUNCTION("""COMPUTED_VALUE"""),"")</f>
        <v/>
      </c>
    </row>
    <row r="10123">
      <c r="A10123" s="16" t="s">
        <v>87</v>
      </c>
      <c r="E10123" s="16" t="str">
        <f>IFERROR(__xludf.DUMMYFUNCTION("""COMPUTED_VALUE"""),"")</f>
        <v/>
      </c>
      <c r="G10123" s="18"/>
      <c r="H10123" s="16" t="s">
        <v>87</v>
      </c>
      <c r="I10123" s="16" t="s">
        <v>87</v>
      </c>
      <c r="J10123" s="19"/>
      <c r="L10123" s="16" t="str">
        <f>IFERROR(__xludf.DUMMYFUNCTION("""COMPUTED_VALUE"""),"")</f>
        <v/>
      </c>
      <c r="M10123" s="16" t="str">
        <f>IFERROR(__xludf.DUMMYFUNCTION("""COMPUTED_VALUE"""),"")</f>
        <v/>
      </c>
      <c r="U10123" s="16" t="s">
        <v>87</v>
      </c>
      <c r="V10123" s="16" t="str">
        <f>IFERROR(__xludf.DUMMYFUNCTION("""COMPUTED_VALUE"""),"")</f>
        <v/>
      </c>
      <c r="W10123" s="16" t="str">
        <f>IFERROR(__xludf.DUMMYFUNCTION("""COMPUTED_VALUE"""),"")</f>
        <v/>
      </c>
      <c r="X10123" s="16" t="str">
        <f>IFERROR(__xludf.DUMMYFUNCTION("""COMPUTED_VALUE"""),"")</f>
        <v/>
      </c>
      <c r="AC10123" s="16" t="str">
        <f>IFERROR(__xludf.DUMMYFUNCTION("""COMPUTED_VALUE"""),"")</f>
        <v/>
      </c>
    </row>
    <row r="10124">
      <c r="A10124" s="16" t="s">
        <v>87</v>
      </c>
      <c r="E10124" s="16" t="str">
        <f>IFERROR(__xludf.DUMMYFUNCTION("""COMPUTED_VALUE"""),"")</f>
        <v/>
      </c>
      <c r="G10124" s="18"/>
      <c r="H10124" s="16" t="s">
        <v>87</v>
      </c>
      <c r="I10124" s="16" t="s">
        <v>87</v>
      </c>
      <c r="J10124" s="19"/>
      <c r="L10124" s="16" t="str">
        <f>IFERROR(__xludf.DUMMYFUNCTION("""COMPUTED_VALUE"""),"")</f>
        <v/>
      </c>
      <c r="M10124" s="16" t="str">
        <f>IFERROR(__xludf.DUMMYFUNCTION("""COMPUTED_VALUE"""),"")</f>
        <v/>
      </c>
      <c r="U10124" s="16" t="s">
        <v>87</v>
      </c>
      <c r="V10124" s="16" t="str">
        <f>IFERROR(__xludf.DUMMYFUNCTION("""COMPUTED_VALUE"""),"")</f>
        <v/>
      </c>
      <c r="W10124" s="16" t="str">
        <f>IFERROR(__xludf.DUMMYFUNCTION("""COMPUTED_VALUE"""),"")</f>
        <v/>
      </c>
      <c r="X10124" s="16" t="str">
        <f>IFERROR(__xludf.DUMMYFUNCTION("""COMPUTED_VALUE"""),"")</f>
        <v/>
      </c>
      <c r="AC10124" s="16" t="str">
        <f>IFERROR(__xludf.DUMMYFUNCTION("""COMPUTED_VALUE"""),"")</f>
        <v/>
      </c>
    </row>
    <row r="10125">
      <c r="A10125" s="16" t="s">
        <v>87</v>
      </c>
      <c r="E10125" s="16" t="str">
        <f>IFERROR(__xludf.DUMMYFUNCTION("""COMPUTED_VALUE"""),"")</f>
        <v/>
      </c>
      <c r="G10125" s="18"/>
      <c r="H10125" s="16" t="s">
        <v>87</v>
      </c>
      <c r="I10125" s="16" t="s">
        <v>87</v>
      </c>
      <c r="J10125" s="19"/>
      <c r="L10125" s="16" t="str">
        <f>IFERROR(__xludf.DUMMYFUNCTION("""COMPUTED_VALUE"""),"")</f>
        <v/>
      </c>
      <c r="M10125" s="16" t="str">
        <f>IFERROR(__xludf.DUMMYFUNCTION("""COMPUTED_VALUE"""),"")</f>
        <v/>
      </c>
      <c r="U10125" s="16" t="s">
        <v>87</v>
      </c>
      <c r="V10125" s="16" t="str">
        <f>IFERROR(__xludf.DUMMYFUNCTION("""COMPUTED_VALUE"""),"")</f>
        <v/>
      </c>
      <c r="W10125" s="16" t="str">
        <f>IFERROR(__xludf.DUMMYFUNCTION("""COMPUTED_VALUE"""),"")</f>
        <v/>
      </c>
      <c r="X10125" s="16" t="str">
        <f>IFERROR(__xludf.DUMMYFUNCTION("""COMPUTED_VALUE"""),"")</f>
        <v/>
      </c>
      <c r="AC10125" s="16" t="str">
        <f>IFERROR(__xludf.DUMMYFUNCTION("""COMPUTED_VALUE"""),"")</f>
        <v/>
      </c>
    </row>
    <row r="10126">
      <c r="A10126" s="16" t="s">
        <v>87</v>
      </c>
      <c r="E10126" s="16" t="str">
        <f>IFERROR(__xludf.DUMMYFUNCTION("""COMPUTED_VALUE"""),"")</f>
        <v/>
      </c>
      <c r="G10126" s="18"/>
      <c r="H10126" s="16" t="s">
        <v>87</v>
      </c>
      <c r="I10126" s="16" t="s">
        <v>87</v>
      </c>
      <c r="J10126" s="19"/>
      <c r="L10126" s="16" t="str">
        <f>IFERROR(__xludf.DUMMYFUNCTION("""COMPUTED_VALUE"""),"")</f>
        <v/>
      </c>
      <c r="M10126" s="16" t="str">
        <f>IFERROR(__xludf.DUMMYFUNCTION("""COMPUTED_VALUE"""),"")</f>
        <v/>
      </c>
      <c r="U10126" s="16" t="s">
        <v>87</v>
      </c>
      <c r="V10126" s="16" t="str">
        <f>IFERROR(__xludf.DUMMYFUNCTION("""COMPUTED_VALUE"""),"")</f>
        <v/>
      </c>
      <c r="W10126" s="16" t="str">
        <f>IFERROR(__xludf.DUMMYFUNCTION("""COMPUTED_VALUE"""),"")</f>
        <v/>
      </c>
      <c r="X10126" s="16" t="str">
        <f>IFERROR(__xludf.DUMMYFUNCTION("""COMPUTED_VALUE"""),"")</f>
        <v/>
      </c>
      <c r="AC10126" s="16" t="str">
        <f>IFERROR(__xludf.DUMMYFUNCTION("""COMPUTED_VALUE"""),"")</f>
        <v/>
      </c>
    </row>
    <row r="10127">
      <c r="A10127" s="16" t="s">
        <v>87</v>
      </c>
      <c r="E10127" s="16" t="str">
        <f>IFERROR(__xludf.DUMMYFUNCTION("""COMPUTED_VALUE"""),"")</f>
        <v/>
      </c>
      <c r="G10127" s="18"/>
      <c r="H10127" s="16" t="s">
        <v>87</v>
      </c>
      <c r="I10127" s="16" t="s">
        <v>87</v>
      </c>
      <c r="J10127" s="19"/>
      <c r="L10127" s="16" t="str">
        <f>IFERROR(__xludf.DUMMYFUNCTION("""COMPUTED_VALUE"""),"")</f>
        <v/>
      </c>
      <c r="M10127" s="16" t="str">
        <f>IFERROR(__xludf.DUMMYFUNCTION("""COMPUTED_VALUE"""),"")</f>
        <v/>
      </c>
      <c r="U10127" s="16" t="s">
        <v>87</v>
      </c>
      <c r="V10127" s="16" t="str">
        <f>IFERROR(__xludf.DUMMYFUNCTION("""COMPUTED_VALUE"""),"")</f>
        <v/>
      </c>
      <c r="W10127" s="16" t="str">
        <f>IFERROR(__xludf.DUMMYFUNCTION("""COMPUTED_VALUE"""),"")</f>
        <v/>
      </c>
      <c r="X10127" s="16" t="str">
        <f>IFERROR(__xludf.DUMMYFUNCTION("""COMPUTED_VALUE"""),"")</f>
        <v/>
      </c>
      <c r="AC10127" s="16" t="str">
        <f>IFERROR(__xludf.DUMMYFUNCTION("""COMPUTED_VALUE"""),"")</f>
        <v/>
      </c>
    </row>
    <row r="10128">
      <c r="A10128" s="16" t="s">
        <v>87</v>
      </c>
      <c r="E10128" s="16" t="str">
        <f>IFERROR(__xludf.DUMMYFUNCTION("""COMPUTED_VALUE"""),"")</f>
        <v/>
      </c>
      <c r="G10128" s="18"/>
      <c r="H10128" s="16" t="s">
        <v>87</v>
      </c>
      <c r="I10128" s="16" t="s">
        <v>87</v>
      </c>
      <c r="J10128" s="19"/>
      <c r="L10128" s="16" t="str">
        <f>IFERROR(__xludf.DUMMYFUNCTION("""COMPUTED_VALUE"""),"")</f>
        <v/>
      </c>
      <c r="M10128" s="16" t="str">
        <f>IFERROR(__xludf.DUMMYFUNCTION("""COMPUTED_VALUE"""),"")</f>
        <v/>
      </c>
      <c r="U10128" s="16" t="s">
        <v>87</v>
      </c>
      <c r="V10128" s="16" t="str">
        <f>IFERROR(__xludf.DUMMYFUNCTION("""COMPUTED_VALUE"""),"")</f>
        <v/>
      </c>
      <c r="W10128" s="16" t="str">
        <f>IFERROR(__xludf.DUMMYFUNCTION("""COMPUTED_VALUE"""),"")</f>
        <v/>
      </c>
      <c r="X10128" s="16" t="str">
        <f>IFERROR(__xludf.DUMMYFUNCTION("""COMPUTED_VALUE"""),"")</f>
        <v/>
      </c>
      <c r="AC10128" s="16" t="str">
        <f>IFERROR(__xludf.DUMMYFUNCTION("""COMPUTED_VALUE"""),"")</f>
        <v/>
      </c>
    </row>
    <row r="10129">
      <c r="A10129" s="16" t="s">
        <v>87</v>
      </c>
      <c r="E10129" s="16" t="str">
        <f>IFERROR(__xludf.DUMMYFUNCTION("""COMPUTED_VALUE"""),"")</f>
        <v/>
      </c>
      <c r="G10129" s="18"/>
      <c r="H10129" s="16" t="s">
        <v>87</v>
      </c>
      <c r="I10129" s="16" t="s">
        <v>87</v>
      </c>
      <c r="J10129" s="19"/>
      <c r="L10129" s="16" t="str">
        <f>IFERROR(__xludf.DUMMYFUNCTION("""COMPUTED_VALUE"""),"")</f>
        <v/>
      </c>
      <c r="M10129" s="16" t="str">
        <f>IFERROR(__xludf.DUMMYFUNCTION("""COMPUTED_VALUE"""),"")</f>
        <v/>
      </c>
      <c r="U10129" s="16" t="s">
        <v>87</v>
      </c>
      <c r="V10129" s="16" t="str">
        <f>IFERROR(__xludf.DUMMYFUNCTION("""COMPUTED_VALUE"""),"")</f>
        <v/>
      </c>
      <c r="W10129" s="16" t="str">
        <f>IFERROR(__xludf.DUMMYFUNCTION("""COMPUTED_VALUE"""),"")</f>
        <v/>
      </c>
      <c r="X10129" s="16" t="str">
        <f>IFERROR(__xludf.DUMMYFUNCTION("""COMPUTED_VALUE"""),"")</f>
        <v/>
      </c>
      <c r="AC10129" s="16" t="str">
        <f>IFERROR(__xludf.DUMMYFUNCTION("""COMPUTED_VALUE"""),"")</f>
        <v/>
      </c>
    </row>
    <row r="10130">
      <c r="A10130" s="16" t="s">
        <v>87</v>
      </c>
      <c r="E10130" s="16" t="str">
        <f>IFERROR(__xludf.DUMMYFUNCTION("""COMPUTED_VALUE"""),"")</f>
        <v/>
      </c>
      <c r="G10130" s="18"/>
      <c r="H10130" s="16" t="s">
        <v>87</v>
      </c>
      <c r="I10130" s="16" t="s">
        <v>87</v>
      </c>
      <c r="J10130" s="19"/>
      <c r="L10130" s="16" t="str">
        <f>IFERROR(__xludf.DUMMYFUNCTION("""COMPUTED_VALUE"""),"")</f>
        <v/>
      </c>
      <c r="M10130" s="16" t="str">
        <f>IFERROR(__xludf.DUMMYFUNCTION("""COMPUTED_VALUE"""),"")</f>
        <v/>
      </c>
      <c r="U10130" s="16" t="s">
        <v>87</v>
      </c>
      <c r="V10130" s="16" t="str">
        <f>IFERROR(__xludf.DUMMYFUNCTION("""COMPUTED_VALUE"""),"")</f>
        <v/>
      </c>
      <c r="W10130" s="16" t="str">
        <f>IFERROR(__xludf.DUMMYFUNCTION("""COMPUTED_VALUE"""),"")</f>
        <v/>
      </c>
      <c r="X10130" s="16" t="str">
        <f>IFERROR(__xludf.DUMMYFUNCTION("""COMPUTED_VALUE"""),"")</f>
        <v/>
      </c>
      <c r="AC10130" s="16" t="str">
        <f>IFERROR(__xludf.DUMMYFUNCTION("""COMPUTED_VALUE"""),"")</f>
        <v/>
      </c>
    </row>
    <row r="10131">
      <c r="A10131" s="16" t="s">
        <v>87</v>
      </c>
      <c r="E10131" s="16" t="str">
        <f>IFERROR(__xludf.DUMMYFUNCTION("""COMPUTED_VALUE"""),"")</f>
        <v/>
      </c>
      <c r="G10131" s="18"/>
      <c r="H10131" s="16" t="s">
        <v>87</v>
      </c>
      <c r="I10131" s="16" t="s">
        <v>87</v>
      </c>
      <c r="J10131" s="19"/>
      <c r="L10131" s="16" t="str">
        <f>IFERROR(__xludf.DUMMYFUNCTION("""COMPUTED_VALUE"""),"")</f>
        <v/>
      </c>
      <c r="M10131" s="16" t="str">
        <f>IFERROR(__xludf.DUMMYFUNCTION("""COMPUTED_VALUE"""),"")</f>
        <v/>
      </c>
      <c r="U10131" s="16" t="s">
        <v>87</v>
      </c>
      <c r="V10131" s="16" t="str">
        <f>IFERROR(__xludf.DUMMYFUNCTION("""COMPUTED_VALUE"""),"")</f>
        <v/>
      </c>
      <c r="W10131" s="16" t="str">
        <f>IFERROR(__xludf.DUMMYFUNCTION("""COMPUTED_VALUE"""),"")</f>
        <v/>
      </c>
      <c r="X10131" s="16" t="str">
        <f>IFERROR(__xludf.DUMMYFUNCTION("""COMPUTED_VALUE"""),"")</f>
        <v/>
      </c>
      <c r="AC10131" s="16" t="str">
        <f>IFERROR(__xludf.DUMMYFUNCTION("""COMPUTED_VALUE"""),"")</f>
        <v/>
      </c>
    </row>
    <row r="10132">
      <c r="A10132" s="16" t="s">
        <v>87</v>
      </c>
      <c r="E10132" s="16" t="str">
        <f>IFERROR(__xludf.DUMMYFUNCTION("""COMPUTED_VALUE"""),"")</f>
        <v/>
      </c>
      <c r="G10132" s="18"/>
      <c r="H10132" s="16" t="s">
        <v>87</v>
      </c>
      <c r="I10132" s="16" t="s">
        <v>87</v>
      </c>
      <c r="J10132" s="19"/>
      <c r="L10132" s="16" t="str">
        <f>IFERROR(__xludf.DUMMYFUNCTION("""COMPUTED_VALUE"""),"")</f>
        <v/>
      </c>
      <c r="M10132" s="16" t="str">
        <f>IFERROR(__xludf.DUMMYFUNCTION("""COMPUTED_VALUE"""),"")</f>
        <v/>
      </c>
      <c r="U10132" s="16" t="s">
        <v>87</v>
      </c>
      <c r="V10132" s="16" t="str">
        <f>IFERROR(__xludf.DUMMYFUNCTION("""COMPUTED_VALUE"""),"")</f>
        <v/>
      </c>
      <c r="W10132" s="16" t="str">
        <f>IFERROR(__xludf.DUMMYFUNCTION("""COMPUTED_VALUE"""),"")</f>
        <v/>
      </c>
      <c r="X10132" s="16" t="str">
        <f>IFERROR(__xludf.DUMMYFUNCTION("""COMPUTED_VALUE"""),"")</f>
        <v/>
      </c>
      <c r="AC10132" s="16" t="str">
        <f>IFERROR(__xludf.DUMMYFUNCTION("""COMPUTED_VALUE"""),"")</f>
        <v/>
      </c>
    </row>
    <row r="10133">
      <c r="A10133" s="16" t="s">
        <v>87</v>
      </c>
      <c r="E10133" s="16" t="str">
        <f>IFERROR(__xludf.DUMMYFUNCTION("""COMPUTED_VALUE"""),"")</f>
        <v/>
      </c>
      <c r="G10133" s="18"/>
      <c r="H10133" s="16" t="s">
        <v>87</v>
      </c>
      <c r="I10133" s="16" t="s">
        <v>87</v>
      </c>
      <c r="J10133" s="19"/>
      <c r="L10133" s="16" t="str">
        <f>IFERROR(__xludf.DUMMYFUNCTION("""COMPUTED_VALUE"""),"")</f>
        <v/>
      </c>
      <c r="M10133" s="16" t="str">
        <f>IFERROR(__xludf.DUMMYFUNCTION("""COMPUTED_VALUE"""),"")</f>
        <v/>
      </c>
      <c r="U10133" s="16" t="s">
        <v>87</v>
      </c>
      <c r="V10133" s="16" t="str">
        <f>IFERROR(__xludf.DUMMYFUNCTION("""COMPUTED_VALUE"""),"")</f>
        <v/>
      </c>
      <c r="W10133" s="16" t="str">
        <f>IFERROR(__xludf.DUMMYFUNCTION("""COMPUTED_VALUE"""),"")</f>
        <v/>
      </c>
      <c r="X10133" s="16" t="str">
        <f>IFERROR(__xludf.DUMMYFUNCTION("""COMPUTED_VALUE"""),"")</f>
        <v/>
      </c>
      <c r="AC10133" s="16" t="str">
        <f>IFERROR(__xludf.DUMMYFUNCTION("""COMPUTED_VALUE"""),"")</f>
        <v/>
      </c>
    </row>
    <row r="10134">
      <c r="A10134" s="16" t="s">
        <v>87</v>
      </c>
      <c r="E10134" s="16" t="str">
        <f>IFERROR(__xludf.DUMMYFUNCTION("""COMPUTED_VALUE"""),"")</f>
        <v/>
      </c>
      <c r="G10134" s="18"/>
      <c r="H10134" s="16" t="s">
        <v>87</v>
      </c>
      <c r="I10134" s="16" t="s">
        <v>87</v>
      </c>
      <c r="J10134" s="19"/>
      <c r="L10134" s="16" t="str">
        <f>IFERROR(__xludf.DUMMYFUNCTION("""COMPUTED_VALUE"""),"")</f>
        <v/>
      </c>
      <c r="M10134" s="16" t="str">
        <f>IFERROR(__xludf.DUMMYFUNCTION("""COMPUTED_VALUE"""),"")</f>
        <v/>
      </c>
      <c r="U10134" s="16" t="s">
        <v>87</v>
      </c>
      <c r="V10134" s="16" t="str">
        <f>IFERROR(__xludf.DUMMYFUNCTION("""COMPUTED_VALUE"""),"")</f>
        <v/>
      </c>
      <c r="W10134" s="16" t="str">
        <f>IFERROR(__xludf.DUMMYFUNCTION("""COMPUTED_VALUE"""),"")</f>
        <v/>
      </c>
      <c r="X10134" s="16" t="str">
        <f>IFERROR(__xludf.DUMMYFUNCTION("""COMPUTED_VALUE"""),"")</f>
        <v/>
      </c>
      <c r="AC10134" s="16" t="str">
        <f>IFERROR(__xludf.DUMMYFUNCTION("""COMPUTED_VALUE"""),"")</f>
        <v/>
      </c>
    </row>
    <row r="10135">
      <c r="A10135" s="16" t="s">
        <v>87</v>
      </c>
      <c r="E10135" s="16" t="str">
        <f>IFERROR(__xludf.DUMMYFUNCTION("""COMPUTED_VALUE"""),"")</f>
        <v/>
      </c>
      <c r="G10135" s="18"/>
      <c r="H10135" s="16" t="s">
        <v>87</v>
      </c>
      <c r="I10135" s="16" t="s">
        <v>87</v>
      </c>
      <c r="J10135" s="19"/>
      <c r="L10135" s="16" t="str">
        <f>IFERROR(__xludf.DUMMYFUNCTION("""COMPUTED_VALUE"""),"")</f>
        <v/>
      </c>
      <c r="M10135" s="16" t="str">
        <f>IFERROR(__xludf.DUMMYFUNCTION("""COMPUTED_VALUE"""),"")</f>
        <v/>
      </c>
      <c r="U10135" s="16" t="s">
        <v>87</v>
      </c>
      <c r="V10135" s="16" t="str">
        <f>IFERROR(__xludf.DUMMYFUNCTION("""COMPUTED_VALUE"""),"")</f>
        <v/>
      </c>
      <c r="W10135" s="16" t="str">
        <f>IFERROR(__xludf.DUMMYFUNCTION("""COMPUTED_VALUE"""),"")</f>
        <v/>
      </c>
      <c r="X10135" s="16" t="str">
        <f>IFERROR(__xludf.DUMMYFUNCTION("""COMPUTED_VALUE"""),"")</f>
        <v/>
      </c>
      <c r="AC10135" s="16" t="str">
        <f>IFERROR(__xludf.DUMMYFUNCTION("""COMPUTED_VALUE"""),"")</f>
        <v/>
      </c>
    </row>
    <row r="10136">
      <c r="A10136" s="16" t="s">
        <v>87</v>
      </c>
      <c r="E10136" s="16" t="str">
        <f>IFERROR(__xludf.DUMMYFUNCTION("""COMPUTED_VALUE"""),"")</f>
        <v/>
      </c>
      <c r="G10136" s="18"/>
      <c r="H10136" s="16" t="s">
        <v>87</v>
      </c>
      <c r="I10136" s="16" t="s">
        <v>87</v>
      </c>
      <c r="J10136" s="19"/>
      <c r="L10136" s="16" t="str">
        <f>IFERROR(__xludf.DUMMYFUNCTION("""COMPUTED_VALUE"""),"")</f>
        <v/>
      </c>
      <c r="M10136" s="16" t="str">
        <f>IFERROR(__xludf.DUMMYFUNCTION("""COMPUTED_VALUE"""),"")</f>
        <v/>
      </c>
      <c r="U10136" s="16" t="s">
        <v>87</v>
      </c>
      <c r="V10136" s="16" t="str">
        <f>IFERROR(__xludf.DUMMYFUNCTION("""COMPUTED_VALUE"""),"")</f>
        <v/>
      </c>
      <c r="W10136" s="16" t="str">
        <f>IFERROR(__xludf.DUMMYFUNCTION("""COMPUTED_VALUE"""),"")</f>
        <v/>
      </c>
      <c r="X10136" s="16" t="str">
        <f>IFERROR(__xludf.DUMMYFUNCTION("""COMPUTED_VALUE"""),"")</f>
        <v/>
      </c>
      <c r="AC10136" s="16" t="str">
        <f>IFERROR(__xludf.DUMMYFUNCTION("""COMPUTED_VALUE"""),"")</f>
        <v/>
      </c>
    </row>
    <row r="10137">
      <c r="A10137" s="16" t="s">
        <v>87</v>
      </c>
      <c r="E10137" s="16" t="str">
        <f>IFERROR(__xludf.DUMMYFUNCTION("""COMPUTED_VALUE"""),"")</f>
        <v/>
      </c>
      <c r="G10137" s="18"/>
      <c r="H10137" s="16" t="s">
        <v>87</v>
      </c>
      <c r="I10137" s="16" t="s">
        <v>87</v>
      </c>
      <c r="J10137" s="19"/>
      <c r="L10137" s="16" t="str">
        <f>IFERROR(__xludf.DUMMYFUNCTION("""COMPUTED_VALUE"""),"")</f>
        <v/>
      </c>
      <c r="M10137" s="16" t="str">
        <f>IFERROR(__xludf.DUMMYFUNCTION("""COMPUTED_VALUE"""),"")</f>
        <v/>
      </c>
      <c r="U10137" s="16" t="s">
        <v>87</v>
      </c>
      <c r="V10137" s="16" t="str">
        <f>IFERROR(__xludf.DUMMYFUNCTION("""COMPUTED_VALUE"""),"")</f>
        <v/>
      </c>
      <c r="W10137" s="16" t="str">
        <f>IFERROR(__xludf.DUMMYFUNCTION("""COMPUTED_VALUE"""),"")</f>
        <v/>
      </c>
      <c r="X10137" s="16" t="str">
        <f>IFERROR(__xludf.DUMMYFUNCTION("""COMPUTED_VALUE"""),"")</f>
        <v/>
      </c>
      <c r="AC10137" s="16" t="str">
        <f>IFERROR(__xludf.DUMMYFUNCTION("""COMPUTED_VALUE"""),"")</f>
        <v/>
      </c>
    </row>
    <row r="10138">
      <c r="A10138" s="16" t="s">
        <v>87</v>
      </c>
      <c r="E10138" s="16" t="str">
        <f>IFERROR(__xludf.DUMMYFUNCTION("""COMPUTED_VALUE"""),"")</f>
        <v/>
      </c>
      <c r="G10138" s="18"/>
      <c r="H10138" s="16" t="s">
        <v>87</v>
      </c>
      <c r="I10138" s="16" t="s">
        <v>87</v>
      </c>
      <c r="J10138" s="19"/>
      <c r="L10138" s="16" t="str">
        <f>IFERROR(__xludf.DUMMYFUNCTION("""COMPUTED_VALUE"""),"")</f>
        <v/>
      </c>
      <c r="M10138" s="16" t="str">
        <f>IFERROR(__xludf.DUMMYFUNCTION("""COMPUTED_VALUE"""),"")</f>
        <v/>
      </c>
      <c r="U10138" s="16" t="s">
        <v>87</v>
      </c>
      <c r="V10138" s="16" t="str">
        <f>IFERROR(__xludf.DUMMYFUNCTION("""COMPUTED_VALUE"""),"")</f>
        <v/>
      </c>
      <c r="W10138" s="16" t="str">
        <f>IFERROR(__xludf.DUMMYFUNCTION("""COMPUTED_VALUE"""),"")</f>
        <v/>
      </c>
      <c r="X10138" s="16" t="str">
        <f>IFERROR(__xludf.DUMMYFUNCTION("""COMPUTED_VALUE"""),"")</f>
        <v/>
      </c>
      <c r="AC10138" s="16" t="str">
        <f>IFERROR(__xludf.DUMMYFUNCTION("""COMPUTED_VALUE"""),"")</f>
        <v/>
      </c>
    </row>
    <row r="10139">
      <c r="A10139" s="16" t="s">
        <v>87</v>
      </c>
      <c r="E10139" s="16" t="str">
        <f>IFERROR(__xludf.DUMMYFUNCTION("""COMPUTED_VALUE"""),"")</f>
        <v/>
      </c>
      <c r="G10139" s="18"/>
      <c r="H10139" s="16" t="s">
        <v>87</v>
      </c>
      <c r="I10139" s="16" t="s">
        <v>87</v>
      </c>
      <c r="J10139" s="19"/>
      <c r="L10139" s="16" t="str">
        <f>IFERROR(__xludf.DUMMYFUNCTION("""COMPUTED_VALUE"""),"")</f>
        <v/>
      </c>
      <c r="M10139" s="16" t="str">
        <f>IFERROR(__xludf.DUMMYFUNCTION("""COMPUTED_VALUE"""),"")</f>
        <v/>
      </c>
      <c r="U10139" s="16" t="s">
        <v>87</v>
      </c>
      <c r="V10139" s="16" t="str">
        <f>IFERROR(__xludf.DUMMYFUNCTION("""COMPUTED_VALUE"""),"")</f>
        <v/>
      </c>
      <c r="W10139" s="16" t="str">
        <f>IFERROR(__xludf.DUMMYFUNCTION("""COMPUTED_VALUE"""),"")</f>
        <v/>
      </c>
      <c r="X10139" s="16" t="str">
        <f>IFERROR(__xludf.DUMMYFUNCTION("""COMPUTED_VALUE"""),"")</f>
        <v/>
      </c>
      <c r="AC10139" s="16" t="str">
        <f>IFERROR(__xludf.DUMMYFUNCTION("""COMPUTED_VALUE"""),"")</f>
        <v/>
      </c>
    </row>
    <row r="10140">
      <c r="A10140" s="16" t="s">
        <v>87</v>
      </c>
      <c r="E10140" s="16" t="str">
        <f>IFERROR(__xludf.DUMMYFUNCTION("""COMPUTED_VALUE"""),"")</f>
        <v/>
      </c>
      <c r="G10140" s="18"/>
      <c r="H10140" s="16" t="s">
        <v>87</v>
      </c>
      <c r="I10140" s="16" t="s">
        <v>87</v>
      </c>
      <c r="J10140" s="19"/>
      <c r="L10140" s="16" t="str">
        <f>IFERROR(__xludf.DUMMYFUNCTION("""COMPUTED_VALUE"""),"")</f>
        <v/>
      </c>
      <c r="M10140" s="16" t="str">
        <f>IFERROR(__xludf.DUMMYFUNCTION("""COMPUTED_VALUE"""),"")</f>
        <v/>
      </c>
      <c r="U10140" s="16" t="s">
        <v>87</v>
      </c>
      <c r="V10140" s="16" t="str">
        <f>IFERROR(__xludf.DUMMYFUNCTION("""COMPUTED_VALUE"""),"")</f>
        <v/>
      </c>
      <c r="W10140" s="16" t="str">
        <f>IFERROR(__xludf.DUMMYFUNCTION("""COMPUTED_VALUE"""),"")</f>
        <v/>
      </c>
      <c r="X10140" s="16" t="str">
        <f>IFERROR(__xludf.DUMMYFUNCTION("""COMPUTED_VALUE"""),"")</f>
        <v/>
      </c>
      <c r="AC10140" s="16" t="str">
        <f>IFERROR(__xludf.DUMMYFUNCTION("""COMPUTED_VALUE"""),"")</f>
        <v/>
      </c>
    </row>
    <row r="10141">
      <c r="A10141" s="16" t="s">
        <v>87</v>
      </c>
      <c r="E10141" s="16" t="str">
        <f>IFERROR(__xludf.DUMMYFUNCTION("""COMPUTED_VALUE"""),"")</f>
        <v/>
      </c>
      <c r="G10141" s="18"/>
      <c r="H10141" s="16" t="s">
        <v>87</v>
      </c>
      <c r="I10141" s="16" t="s">
        <v>87</v>
      </c>
      <c r="J10141" s="19"/>
      <c r="L10141" s="16" t="str">
        <f>IFERROR(__xludf.DUMMYFUNCTION("""COMPUTED_VALUE"""),"")</f>
        <v/>
      </c>
      <c r="M10141" s="16" t="str">
        <f>IFERROR(__xludf.DUMMYFUNCTION("""COMPUTED_VALUE"""),"")</f>
        <v/>
      </c>
      <c r="U10141" s="16" t="s">
        <v>87</v>
      </c>
      <c r="V10141" s="16" t="str">
        <f>IFERROR(__xludf.DUMMYFUNCTION("""COMPUTED_VALUE"""),"")</f>
        <v/>
      </c>
      <c r="W10141" s="16" t="str">
        <f>IFERROR(__xludf.DUMMYFUNCTION("""COMPUTED_VALUE"""),"")</f>
        <v/>
      </c>
      <c r="X10141" s="16" t="str">
        <f>IFERROR(__xludf.DUMMYFUNCTION("""COMPUTED_VALUE"""),"")</f>
        <v/>
      </c>
      <c r="AC10141" s="16" t="str">
        <f>IFERROR(__xludf.DUMMYFUNCTION("""COMPUTED_VALUE"""),"")</f>
        <v/>
      </c>
    </row>
    <row r="10142">
      <c r="A10142" s="16" t="s">
        <v>87</v>
      </c>
      <c r="E10142" s="16" t="str">
        <f>IFERROR(__xludf.DUMMYFUNCTION("""COMPUTED_VALUE"""),"")</f>
        <v/>
      </c>
      <c r="G10142" s="18"/>
      <c r="H10142" s="16" t="s">
        <v>87</v>
      </c>
      <c r="I10142" s="16" t="s">
        <v>87</v>
      </c>
      <c r="J10142" s="19"/>
      <c r="L10142" s="16" t="str">
        <f>IFERROR(__xludf.DUMMYFUNCTION("""COMPUTED_VALUE"""),"")</f>
        <v/>
      </c>
      <c r="M10142" s="16" t="str">
        <f>IFERROR(__xludf.DUMMYFUNCTION("""COMPUTED_VALUE"""),"")</f>
        <v/>
      </c>
      <c r="U10142" s="16" t="s">
        <v>87</v>
      </c>
      <c r="V10142" s="16" t="str">
        <f>IFERROR(__xludf.DUMMYFUNCTION("""COMPUTED_VALUE"""),"")</f>
        <v/>
      </c>
      <c r="W10142" s="16" t="str">
        <f>IFERROR(__xludf.DUMMYFUNCTION("""COMPUTED_VALUE"""),"")</f>
        <v/>
      </c>
      <c r="X10142" s="16" t="str">
        <f>IFERROR(__xludf.DUMMYFUNCTION("""COMPUTED_VALUE"""),"")</f>
        <v/>
      </c>
      <c r="AC10142" s="16" t="str">
        <f>IFERROR(__xludf.DUMMYFUNCTION("""COMPUTED_VALUE"""),"")</f>
        <v/>
      </c>
    </row>
    <row r="10143">
      <c r="A10143" s="16" t="s">
        <v>87</v>
      </c>
      <c r="E10143" s="16" t="str">
        <f>IFERROR(__xludf.DUMMYFUNCTION("""COMPUTED_VALUE"""),"")</f>
        <v/>
      </c>
      <c r="G10143" s="18"/>
      <c r="H10143" s="16" t="s">
        <v>87</v>
      </c>
      <c r="I10143" s="16" t="s">
        <v>87</v>
      </c>
      <c r="J10143" s="19"/>
      <c r="L10143" s="16" t="str">
        <f>IFERROR(__xludf.DUMMYFUNCTION("""COMPUTED_VALUE"""),"")</f>
        <v/>
      </c>
      <c r="M10143" s="16" t="str">
        <f>IFERROR(__xludf.DUMMYFUNCTION("""COMPUTED_VALUE"""),"")</f>
        <v/>
      </c>
      <c r="U10143" s="16" t="s">
        <v>87</v>
      </c>
      <c r="V10143" s="16" t="str">
        <f>IFERROR(__xludf.DUMMYFUNCTION("""COMPUTED_VALUE"""),"")</f>
        <v/>
      </c>
      <c r="W10143" s="16" t="str">
        <f>IFERROR(__xludf.DUMMYFUNCTION("""COMPUTED_VALUE"""),"")</f>
        <v/>
      </c>
      <c r="X10143" s="16" t="str">
        <f>IFERROR(__xludf.DUMMYFUNCTION("""COMPUTED_VALUE"""),"")</f>
        <v/>
      </c>
      <c r="AC10143" s="16" t="str">
        <f>IFERROR(__xludf.DUMMYFUNCTION("""COMPUTED_VALUE"""),"")</f>
        <v/>
      </c>
    </row>
    <row r="10144">
      <c r="A10144" s="16" t="s">
        <v>87</v>
      </c>
      <c r="E10144" s="16" t="str">
        <f>IFERROR(__xludf.DUMMYFUNCTION("""COMPUTED_VALUE"""),"")</f>
        <v/>
      </c>
      <c r="G10144" s="18"/>
      <c r="H10144" s="16" t="s">
        <v>87</v>
      </c>
      <c r="I10144" s="16" t="s">
        <v>87</v>
      </c>
      <c r="J10144" s="19"/>
      <c r="L10144" s="16" t="str">
        <f>IFERROR(__xludf.DUMMYFUNCTION("""COMPUTED_VALUE"""),"")</f>
        <v/>
      </c>
      <c r="M10144" s="16" t="str">
        <f>IFERROR(__xludf.DUMMYFUNCTION("""COMPUTED_VALUE"""),"")</f>
        <v/>
      </c>
      <c r="U10144" s="16" t="s">
        <v>87</v>
      </c>
      <c r="V10144" s="16" t="str">
        <f>IFERROR(__xludf.DUMMYFUNCTION("""COMPUTED_VALUE"""),"")</f>
        <v/>
      </c>
      <c r="W10144" s="16" t="str">
        <f>IFERROR(__xludf.DUMMYFUNCTION("""COMPUTED_VALUE"""),"")</f>
        <v/>
      </c>
      <c r="X10144" s="16" t="str">
        <f>IFERROR(__xludf.DUMMYFUNCTION("""COMPUTED_VALUE"""),"")</f>
        <v/>
      </c>
      <c r="AC10144" s="16" t="str">
        <f>IFERROR(__xludf.DUMMYFUNCTION("""COMPUTED_VALUE"""),"")</f>
        <v/>
      </c>
    </row>
    <row r="10145">
      <c r="A10145" s="16" t="s">
        <v>87</v>
      </c>
      <c r="E10145" s="16" t="str">
        <f>IFERROR(__xludf.DUMMYFUNCTION("""COMPUTED_VALUE"""),"")</f>
        <v/>
      </c>
      <c r="G10145" s="18"/>
      <c r="H10145" s="16" t="s">
        <v>87</v>
      </c>
      <c r="I10145" s="16" t="s">
        <v>87</v>
      </c>
      <c r="J10145" s="19"/>
      <c r="L10145" s="16" t="str">
        <f>IFERROR(__xludf.DUMMYFUNCTION("""COMPUTED_VALUE"""),"")</f>
        <v/>
      </c>
      <c r="M10145" s="16" t="str">
        <f>IFERROR(__xludf.DUMMYFUNCTION("""COMPUTED_VALUE"""),"")</f>
        <v/>
      </c>
      <c r="U10145" s="16" t="s">
        <v>87</v>
      </c>
      <c r="V10145" s="16" t="str">
        <f>IFERROR(__xludf.DUMMYFUNCTION("""COMPUTED_VALUE"""),"")</f>
        <v/>
      </c>
      <c r="W10145" s="16" t="str">
        <f>IFERROR(__xludf.DUMMYFUNCTION("""COMPUTED_VALUE"""),"")</f>
        <v/>
      </c>
      <c r="X10145" s="16" t="str">
        <f>IFERROR(__xludf.DUMMYFUNCTION("""COMPUTED_VALUE"""),"")</f>
        <v/>
      </c>
      <c r="AC10145" s="16" t="str">
        <f>IFERROR(__xludf.DUMMYFUNCTION("""COMPUTED_VALUE"""),"")</f>
        <v/>
      </c>
    </row>
    <row r="10146">
      <c r="A10146" s="16" t="s">
        <v>87</v>
      </c>
      <c r="E10146" s="16" t="str">
        <f>IFERROR(__xludf.DUMMYFUNCTION("""COMPUTED_VALUE"""),"")</f>
        <v/>
      </c>
      <c r="G10146" s="18"/>
      <c r="H10146" s="16" t="s">
        <v>87</v>
      </c>
      <c r="I10146" s="16" t="s">
        <v>87</v>
      </c>
      <c r="J10146" s="19"/>
      <c r="L10146" s="16" t="str">
        <f>IFERROR(__xludf.DUMMYFUNCTION("""COMPUTED_VALUE"""),"")</f>
        <v/>
      </c>
      <c r="M10146" s="16" t="str">
        <f>IFERROR(__xludf.DUMMYFUNCTION("""COMPUTED_VALUE"""),"")</f>
        <v/>
      </c>
      <c r="U10146" s="16" t="s">
        <v>87</v>
      </c>
      <c r="V10146" s="16" t="str">
        <f>IFERROR(__xludf.DUMMYFUNCTION("""COMPUTED_VALUE"""),"")</f>
        <v/>
      </c>
      <c r="W10146" s="16" t="str">
        <f>IFERROR(__xludf.DUMMYFUNCTION("""COMPUTED_VALUE"""),"")</f>
        <v/>
      </c>
      <c r="X10146" s="16" t="str">
        <f>IFERROR(__xludf.DUMMYFUNCTION("""COMPUTED_VALUE"""),"")</f>
        <v/>
      </c>
      <c r="AC10146" s="16" t="str">
        <f>IFERROR(__xludf.DUMMYFUNCTION("""COMPUTED_VALUE"""),"")</f>
        <v/>
      </c>
    </row>
    <row r="10147">
      <c r="A10147" s="16" t="s">
        <v>87</v>
      </c>
      <c r="E10147" s="16" t="str">
        <f>IFERROR(__xludf.DUMMYFUNCTION("""COMPUTED_VALUE"""),"")</f>
        <v/>
      </c>
      <c r="G10147" s="18"/>
      <c r="H10147" s="16" t="s">
        <v>87</v>
      </c>
      <c r="I10147" s="16" t="s">
        <v>87</v>
      </c>
      <c r="J10147" s="19"/>
      <c r="L10147" s="16" t="str">
        <f>IFERROR(__xludf.DUMMYFUNCTION("""COMPUTED_VALUE"""),"")</f>
        <v/>
      </c>
      <c r="M10147" s="16" t="str">
        <f>IFERROR(__xludf.DUMMYFUNCTION("""COMPUTED_VALUE"""),"")</f>
        <v/>
      </c>
      <c r="U10147" s="16" t="s">
        <v>87</v>
      </c>
      <c r="V10147" s="16" t="str">
        <f>IFERROR(__xludf.DUMMYFUNCTION("""COMPUTED_VALUE"""),"")</f>
        <v/>
      </c>
      <c r="W10147" s="16" t="str">
        <f>IFERROR(__xludf.DUMMYFUNCTION("""COMPUTED_VALUE"""),"")</f>
        <v/>
      </c>
      <c r="X10147" s="16" t="str">
        <f>IFERROR(__xludf.DUMMYFUNCTION("""COMPUTED_VALUE"""),"")</f>
        <v/>
      </c>
      <c r="AC10147" s="16" t="str">
        <f>IFERROR(__xludf.DUMMYFUNCTION("""COMPUTED_VALUE"""),"")</f>
        <v/>
      </c>
    </row>
    <row r="10148">
      <c r="A10148" s="16" t="s">
        <v>87</v>
      </c>
      <c r="E10148" s="16" t="str">
        <f>IFERROR(__xludf.DUMMYFUNCTION("""COMPUTED_VALUE"""),"")</f>
        <v/>
      </c>
      <c r="G10148" s="18"/>
      <c r="H10148" s="16" t="s">
        <v>87</v>
      </c>
      <c r="I10148" s="16" t="s">
        <v>87</v>
      </c>
      <c r="J10148" s="19"/>
      <c r="L10148" s="16" t="str">
        <f>IFERROR(__xludf.DUMMYFUNCTION("""COMPUTED_VALUE"""),"")</f>
        <v/>
      </c>
      <c r="M10148" s="16" t="str">
        <f>IFERROR(__xludf.DUMMYFUNCTION("""COMPUTED_VALUE"""),"")</f>
        <v/>
      </c>
      <c r="U10148" s="16" t="s">
        <v>87</v>
      </c>
      <c r="V10148" s="16" t="str">
        <f>IFERROR(__xludf.DUMMYFUNCTION("""COMPUTED_VALUE"""),"")</f>
        <v/>
      </c>
      <c r="W10148" s="16" t="str">
        <f>IFERROR(__xludf.DUMMYFUNCTION("""COMPUTED_VALUE"""),"")</f>
        <v/>
      </c>
      <c r="X10148" s="16" t="str">
        <f>IFERROR(__xludf.DUMMYFUNCTION("""COMPUTED_VALUE"""),"")</f>
        <v/>
      </c>
      <c r="AC10148" s="16" t="str">
        <f>IFERROR(__xludf.DUMMYFUNCTION("""COMPUTED_VALUE"""),"")</f>
        <v/>
      </c>
    </row>
    <row r="10149">
      <c r="A10149" s="16" t="s">
        <v>87</v>
      </c>
      <c r="E10149" s="16" t="str">
        <f>IFERROR(__xludf.DUMMYFUNCTION("""COMPUTED_VALUE"""),"")</f>
        <v/>
      </c>
      <c r="G10149" s="18"/>
      <c r="H10149" s="16" t="s">
        <v>87</v>
      </c>
      <c r="I10149" s="16" t="s">
        <v>87</v>
      </c>
      <c r="J10149" s="19"/>
      <c r="L10149" s="16" t="str">
        <f>IFERROR(__xludf.DUMMYFUNCTION("""COMPUTED_VALUE"""),"")</f>
        <v/>
      </c>
      <c r="M10149" s="16" t="str">
        <f>IFERROR(__xludf.DUMMYFUNCTION("""COMPUTED_VALUE"""),"")</f>
        <v/>
      </c>
      <c r="U10149" s="16" t="s">
        <v>87</v>
      </c>
      <c r="V10149" s="16" t="str">
        <f>IFERROR(__xludf.DUMMYFUNCTION("""COMPUTED_VALUE"""),"")</f>
        <v/>
      </c>
      <c r="W10149" s="16" t="str">
        <f>IFERROR(__xludf.DUMMYFUNCTION("""COMPUTED_VALUE"""),"")</f>
        <v/>
      </c>
      <c r="X10149" s="16" t="str">
        <f>IFERROR(__xludf.DUMMYFUNCTION("""COMPUTED_VALUE"""),"")</f>
        <v/>
      </c>
      <c r="AC10149" s="16" t="str">
        <f>IFERROR(__xludf.DUMMYFUNCTION("""COMPUTED_VALUE"""),"")</f>
        <v/>
      </c>
    </row>
    <row r="10150">
      <c r="A10150" s="16" t="s">
        <v>87</v>
      </c>
      <c r="E10150" s="16" t="str">
        <f>IFERROR(__xludf.DUMMYFUNCTION("""COMPUTED_VALUE"""),"")</f>
        <v/>
      </c>
      <c r="G10150" s="18"/>
      <c r="H10150" s="16" t="s">
        <v>87</v>
      </c>
      <c r="I10150" s="16" t="s">
        <v>87</v>
      </c>
      <c r="J10150" s="19"/>
      <c r="L10150" s="16" t="str">
        <f>IFERROR(__xludf.DUMMYFUNCTION("""COMPUTED_VALUE"""),"")</f>
        <v/>
      </c>
      <c r="M10150" s="16" t="str">
        <f>IFERROR(__xludf.DUMMYFUNCTION("""COMPUTED_VALUE"""),"")</f>
        <v/>
      </c>
      <c r="U10150" s="16" t="s">
        <v>87</v>
      </c>
      <c r="V10150" s="16" t="str">
        <f>IFERROR(__xludf.DUMMYFUNCTION("""COMPUTED_VALUE"""),"")</f>
        <v/>
      </c>
      <c r="W10150" s="16" t="str">
        <f>IFERROR(__xludf.DUMMYFUNCTION("""COMPUTED_VALUE"""),"")</f>
        <v/>
      </c>
      <c r="X10150" s="16" t="str">
        <f>IFERROR(__xludf.DUMMYFUNCTION("""COMPUTED_VALUE"""),"")</f>
        <v/>
      </c>
      <c r="AC10150" s="16" t="str">
        <f>IFERROR(__xludf.DUMMYFUNCTION("""COMPUTED_VALUE"""),"")</f>
        <v/>
      </c>
    </row>
    <row r="10151">
      <c r="A10151" s="16" t="s">
        <v>87</v>
      </c>
      <c r="E10151" s="16" t="str">
        <f>IFERROR(__xludf.DUMMYFUNCTION("""COMPUTED_VALUE"""),"")</f>
        <v/>
      </c>
      <c r="G10151" s="18"/>
      <c r="H10151" s="16" t="s">
        <v>87</v>
      </c>
      <c r="I10151" s="16" t="s">
        <v>87</v>
      </c>
      <c r="J10151" s="19"/>
      <c r="L10151" s="16" t="str">
        <f>IFERROR(__xludf.DUMMYFUNCTION("""COMPUTED_VALUE"""),"")</f>
        <v/>
      </c>
      <c r="M10151" s="16" t="str">
        <f>IFERROR(__xludf.DUMMYFUNCTION("""COMPUTED_VALUE"""),"")</f>
        <v/>
      </c>
      <c r="U10151" s="16" t="s">
        <v>87</v>
      </c>
      <c r="V10151" s="16" t="str">
        <f>IFERROR(__xludf.DUMMYFUNCTION("""COMPUTED_VALUE"""),"")</f>
        <v/>
      </c>
      <c r="W10151" s="16" t="str">
        <f>IFERROR(__xludf.DUMMYFUNCTION("""COMPUTED_VALUE"""),"")</f>
        <v/>
      </c>
      <c r="X10151" s="16" t="str">
        <f>IFERROR(__xludf.DUMMYFUNCTION("""COMPUTED_VALUE"""),"")</f>
        <v/>
      </c>
      <c r="AC10151" s="16" t="str">
        <f>IFERROR(__xludf.DUMMYFUNCTION("""COMPUTED_VALUE"""),"")</f>
        <v/>
      </c>
    </row>
    <row r="10152">
      <c r="A10152" s="16" t="s">
        <v>87</v>
      </c>
      <c r="E10152" s="16" t="str">
        <f>IFERROR(__xludf.DUMMYFUNCTION("""COMPUTED_VALUE"""),"")</f>
        <v/>
      </c>
      <c r="G10152" s="18"/>
      <c r="H10152" s="16" t="s">
        <v>87</v>
      </c>
      <c r="I10152" s="16" t="s">
        <v>87</v>
      </c>
      <c r="J10152" s="19"/>
      <c r="L10152" s="16" t="str">
        <f>IFERROR(__xludf.DUMMYFUNCTION("""COMPUTED_VALUE"""),"")</f>
        <v/>
      </c>
      <c r="M10152" s="16" t="str">
        <f>IFERROR(__xludf.DUMMYFUNCTION("""COMPUTED_VALUE"""),"")</f>
        <v/>
      </c>
      <c r="U10152" s="16" t="s">
        <v>87</v>
      </c>
      <c r="V10152" s="16" t="str">
        <f>IFERROR(__xludf.DUMMYFUNCTION("""COMPUTED_VALUE"""),"")</f>
        <v/>
      </c>
      <c r="W10152" s="16" t="str">
        <f>IFERROR(__xludf.DUMMYFUNCTION("""COMPUTED_VALUE"""),"")</f>
        <v/>
      </c>
      <c r="X10152" s="16" t="str">
        <f>IFERROR(__xludf.DUMMYFUNCTION("""COMPUTED_VALUE"""),"")</f>
        <v/>
      </c>
      <c r="AC10152" s="16" t="str">
        <f>IFERROR(__xludf.DUMMYFUNCTION("""COMPUTED_VALUE"""),"")</f>
        <v/>
      </c>
    </row>
    <row r="10153">
      <c r="A10153" s="16" t="s">
        <v>87</v>
      </c>
      <c r="E10153" s="16" t="str">
        <f>IFERROR(__xludf.DUMMYFUNCTION("""COMPUTED_VALUE"""),"")</f>
        <v/>
      </c>
      <c r="G10153" s="18"/>
      <c r="H10153" s="16" t="s">
        <v>87</v>
      </c>
      <c r="I10153" s="16" t="s">
        <v>87</v>
      </c>
      <c r="J10153" s="19"/>
      <c r="L10153" s="16" t="str">
        <f>IFERROR(__xludf.DUMMYFUNCTION("""COMPUTED_VALUE"""),"")</f>
        <v/>
      </c>
      <c r="M10153" s="16" t="str">
        <f>IFERROR(__xludf.DUMMYFUNCTION("""COMPUTED_VALUE"""),"")</f>
        <v/>
      </c>
      <c r="U10153" s="16" t="s">
        <v>87</v>
      </c>
      <c r="V10153" s="16" t="str">
        <f>IFERROR(__xludf.DUMMYFUNCTION("""COMPUTED_VALUE"""),"")</f>
        <v/>
      </c>
      <c r="W10153" s="16" t="str">
        <f>IFERROR(__xludf.DUMMYFUNCTION("""COMPUTED_VALUE"""),"")</f>
        <v/>
      </c>
      <c r="X10153" s="16" t="str">
        <f>IFERROR(__xludf.DUMMYFUNCTION("""COMPUTED_VALUE"""),"")</f>
        <v/>
      </c>
      <c r="AC10153" s="16" t="str">
        <f>IFERROR(__xludf.DUMMYFUNCTION("""COMPUTED_VALUE"""),"")</f>
        <v/>
      </c>
    </row>
    <row r="10154">
      <c r="A10154" s="16" t="s">
        <v>87</v>
      </c>
      <c r="E10154" s="16" t="str">
        <f>IFERROR(__xludf.DUMMYFUNCTION("""COMPUTED_VALUE"""),"")</f>
        <v/>
      </c>
      <c r="G10154" s="18"/>
      <c r="H10154" s="16" t="s">
        <v>87</v>
      </c>
      <c r="I10154" s="16" t="s">
        <v>87</v>
      </c>
      <c r="J10154" s="19"/>
      <c r="L10154" s="16" t="str">
        <f>IFERROR(__xludf.DUMMYFUNCTION("""COMPUTED_VALUE"""),"")</f>
        <v/>
      </c>
      <c r="M10154" s="16" t="str">
        <f>IFERROR(__xludf.DUMMYFUNCTION("""COMPUTED_VALUE"""),"")</f>
        <v/>
      </c>
      <c r="U10154" s="16" t="s">
        <v>87</v>
      </c>
      <c r="V10154" s="16" t="str">
        <f>IFERROR(__xludf.DUMMYFUNCTION("""COMPUTED_VALUE"""),"")</f>
        <v/>
      </c>
      <c r="W10154" s="16" t="str">
        <f>IFERROR(__xludf.DUMMYFUNCTION("""COMPUTED_VALUE"""),"")</f>
        <v/>
      </c>
      <c r="X10154" s="16" t="str">
        <f>IFERROR(__xludf.DUMMYFUNCTION("""COMPUTED_VALUE"""),"")</f>
        <v/>
      </c>
      <c r="AC10154" s="16" t="str">
        <f>IFERROR(__xludf.DUMMYFUNCTION("""COMPUTED_VALUE"""),"")</f>
        <v/>
      </c>
    </row>
    <row r="10155">
      <c r="A10155" s="16" t="s">
        <v>87</v>
      </c>
      <c r="E10155" s="16" t="str">
        <f>IFERROR(__xludf.DUMMYFUNCTION("""COMPUTED_VALUE"""),"")</f>
        <v/>
      </c>
      <c r="G10155" s="18"/>
      <c r="H10155" s="16" t="s">
        <v>87</v>
      </c>
      <c r="I10155" s="16" t="s">
        <v>87</v>
      </c>
      <c r="J10155" s="19"/>
      <c r="L10155" s="16" t="str">
        <f>IFERROR(__xludf.DUMMYFUNCTION("""COMPUTED_VALUE"""),"")</f>
        <v/>
      </c>
      <c r="M10155" s="16" t="str">
        <f>IFERROR(__xludf.DUMMYFUNCTION("""COMPUTED_VALUE"""),"")</f>
        <v/>
      </c>
      <c r="U10155" s="16" t="s">
        <v>87</v>
      </c>
      <c r="V10155" s="16" t="str">
        <f>IFERROR(__xludf.DUMMYFUNCTION("""COMPUTED_VALUE"""),"")</f>
        <v/>
      </c>
      <c r="W10155" s="16" t="str">
        <f>IFERROR(__xludf.DUMMYFUNCTION("""COMPUTED_VALUE"""),"")</f>
        <v/>
      </c>
      <c r="X10155" s="16" t="str">
        <f>IFERROR(__xludf.DUMMYFUNCTION("""COMPUTED_VALUE"""),"")</f>
        <v/>
      </c>
      <c r="AC10155" s="16" t="str">
        <f>IFERROR(__xludf.DUMMYFUNCTION("""COMPUTED_VALUE"""),"")</f>
        <v/>
      </c>
    </row>
    <row r="10156">
      <c r="A10156" s="16" t="s">
        <v>87</v>
      </c>
      <c r="E10156" s="16" t="str">
        <f>IFERROR(__xludf.DUMMYFUNCTION("""COMPUTED_VALUE"""),"")</f>
        <v/>
      </c>
      <c r="G10156" s="18"/>
      <c r="H10156" s="16" t="s">
        <v>87</v>
      </c>
      <c r="I10156" s="16" t="s">
        <v>87</v>
      </c>
      <c r="J10156" s="19"/>
      <c r="L10156" s="16" t="str">
        <f>IFERROR(__xludf.DUMMYFUNCTION("""COMPUTED_VALUE"""),"")</f>
        <v/>
      </c>
      <c r="M10156" s="16" t="str">
        <f>IFERROR(__xludf.DUMMYFUNCTION("""COMPUTED_VALUE"""),"")</f>
        <v/>
      </c>
      <c r="U10156" s="16" t="s">
        <v>87</v>
      </c>
      <c r="V10156" s="16" t="str">
        <f>IFERROR(__xludf.DUMMYFUNCTION("""COMPUTED_VALUE"""),"")</f>
        <v/>
      </c>
      <c r="W10156" s="16" t="str">
        <f>IFERROR(__xludf.DUMMYFUNCTION("""COMPUTED_VALUE"""),"")</f>
        <v/>
      </c>
      <c r="X10156" s="16" t="str">
        <f>IFERROR(__xludf.DUMMYFUNCTION("""COMPUTED_VALUE"""),"")</f>
        <v/>
      </c>
      <c r="AC10156" s="16" t="str">
        <f>IFERROR(__xludf.DUMMYFUNCTION("""COMPUTED_VALUE"""),"")</f>
        <v/>
      </c>
    </row>
    <row r="10157">
      <c r="A10157" s="16" t="s">
        <v>87</v>
      </c>
      <c r="E10157" s="16" t="str">
        <f>IFERROR(__xludf.DUMMYFUNCTION("""COMPUTED_VALUE"""),"")</f>
        <v/>
      </c>
      <c r="G10157" s="18"/>
      <c r="H10157" s="16" t="s">
        <v>87</v>
      </c>
      <c r="I10157" s="16" t="s">
        <v>87</v>
      </c>
      <c r="J10157" s="19"/>
      <c r="L10157" s="16" t="str">
        <f>IFERROR(__xludf.DUMMYFUNCTION("""COMPUTED_VALUE"""),"")</f>
        <v/>
      </c>
      <c r="M10157" s="16" t="str">
        <f>IFERROR(__xludf.DUMMYFUNCTION("""COMPUTED_VALUE"""),"")</f>
        <v/>
      </c>
      <c r="U10157" s="16" t="s">
        <v>87</v>
      </c>
      <c r="V10157" s="16" t="str">
        <f>IFERROR(__xludf.DUMMYFUNCTION("""COMPUTED_VALUE"""),"")</f>
        <v/>
      </c>
      <c r="W10157" s="16" t="str">
        <f>IFERROR(__xludf.DUMMYFUNCTION("""COMPUTED_VALUE"""),"")</f>
        <v/>
      </c>
      <c r="X10157" s="16" t="str">
        <f>IFERROR(__xludf.DUMMYFUNCTION("""COMPUTED_VALUE"""),"")</f>
        <v/>
      </c>
      <c r="AC10157" s="16" t="str">
        <f>IFERROR(__xludf.DUMMYFUNCTION("""COMPUTED_VALUE"""),"")</f>
        <v/>
      </c>
    </row>
    <row r="10158">
      <c r="A10158" s="16" t="s">
        <v>87</v>
      </c>
      <c r="E10158" s="16" t="str">
        <f>IFERROR(__xludf.DUMMYFUNCTION("""COMPUTED_VALUE"""),"")</f>
        <v/>
      </c>
      <c r="G10158" s="18"/>
      <c r="H10158" s="16" t="s">
        <v>87</v>
      </c>
      <c r="I10158" s="16" t="s">
        <v>87</v>
      </c>
      <c r="J10158" s="19"/>
      <c r="L10158" s="16" t="str">
        <f>IFERROR(__xludf.DUMMYFUNCTION("""COMPUTED_VALUE"""),"")</f>
        <v/>
      </c>
      <c r="M10158" s="16" t="str">
        <f>IFERROR(__xludf.DUMMYFUNCTION("""COMPUTED_VALUE"""),"")</f>
        <v/>
      </c>
      <c r="U10158" s="16" t="s">
        <v>87</v>
      </c>
      <c r="V10158" s="16" t="str">
        <f>IFERROR(__xludf.DUMMYFUNCTION("""COMPUTED_VALUE"""),"")</f>
        <v/>
      </c>
      <c r="W10158" s="16" t="str">
        <f>IFERROR(__xludf.DUMMYFUNCTION("""COMPUTED_VALUE"""),"")</f>
        <v/>
      </c>
      <c r="X10158" s="16" t="str">
        <f>IFERROR(__xludf.DUMMYFUNCTION("""COMPUTED_VALUE"""),"")</f>
        <v/>
      </c>
      <c r="AC10158" s="16" t="str">
        <f>IFERROR(__xludf.DUMMYFUNCTION("""COMPUTED_VALUE"""),"")</f>
        <v/>
      </c>
    </row>
    <row r="10159">
      <c r="A10159" s="16" t="s">
        <v>87</v>
      </c>
      <c r="E10159" s="16" t="str">
        <f>IFERROR(__xludf.DUMMYFUNCTION("""COMPUTED_VALUE"""),"")</f>
        <v/>
      </c>
      <c r="G10159" s="18"/>
      <c r="H10159" s="16" t="s">
        <v>87</v>
      </c>
      <c r="I10159" s="16" t="s">
        <v>87</v>
      </c>
      <c r="J10159" s="19"/>
      <c r="L10159" s="16" t="str">
        <f>IFERROR(__xludf.DUMMYFUNCTION("""COMPUTED_VALUE"""),"")</f>
        <v/>
      </c>
      <c r="M10159" s="16" t="str">
        <f>IFERROR(__xludf.DUMMYFUNCTION("""COMPUTED_VALUE"""),"")</f>
        <v/>
      </c>
      <c r="U10159" s="16" t="s">
        <v>87</v>
      </c>
      <c r="V10159" s="16" t="str">
        <f>IFERROR(__xludf.DUMMYFUNCTION("""COMPUTED_VALUE"""),"")</f>
        <v/>
      </c>
      <c r="W10159" s="16" t="str">
        <f>IFERROR(__xludf.DUMMYFUNCTION("""COMPUTED_VALUE"""),"")</f>
        <v/>
      </c>
      <c r="X10159" s="16" t="str">
        <f>IFERROR(__xludf.DUMMYFUNCTION("""COMPUTED_VALUE"""),"")</f>
        <v/>
      </c>
      <c r="AC10159" s="16" t="str">
        <f>IFERROR(__xludf.DUMMYFUNCTION("""COMPUTED_VALUE"""),"")</f>
        <v/>
      </c>
    </row>
    <row r="10160">
      <c r="A10160" s="16" t="s">
        <v>87</v>
      </c>
      <c r="E10160" s="16" t="str">
        <f>IFERROR(__xludf.DUMMYFUNCTION("""COMPUTED_VALUE"""),"")</f>
        <v/>
      </c>
      <c r="G10160" s="18"/>
      <c r="H10160" s="16" t="s">
        <v>87</v>
      </c>
      <c r="I10160" s="16" t="s">
        <v>87</v>
      </c>
      <c r="J10160" s="19"/>
      <c r="L10160" s="16" t="str">
        <f>IFERROR(__xludf.DUMMYFUNCTION("""COMPUTED_VALUE"""),"")</f>
        <v/>
      </c>
      <c r="M10160" s="16" t="str">
        <f>IFERROR(__xludf.DUMMYFUNCTION("""COMPUTED_VALUE"""),"")</f>
        <v/>
      </c>
      <c r="U10160" s="16" t="s">
        <v>87</v>
      </c>
      <c r="V10160" s="16" t="str">
        <f>IFERROR(__xludf.DUMMYFUNCTION("""COMPUTED_VALUE"""),"")</f>
        <v/>
      </c>
      <c r="W10160" s="16" t="str">
        <f>IFERROR(__xludf.DUMMYFUNCTION("""COMPUTED_VALUE"""),"")</f>
        <v/>
      </c>
      <c r="X10160" s="16" t="str">
        <f>IFERROR(__xludf.DUMMYFUNCTION("""COMPUTED_VALUE"""),"")</f>
        <v/>
      </c>
      <c r="AC10160" s="16" t="str">
        <f>IFERROR(__xludf.DUMMYFUNCTION("""COMPUTED_VALUE"""),"")</f>
        <v/>
      </c>
    </row>
    <row r="10161">
      <c r="A10161" s="16" t="s">
        <v>87</v>
      </c>
      <c r="E10161" s="16" t="str">
        <f>IFERROR(__xludf.DUMMYFUNCTION("""COMPUTED_VALUE"""),"")</f>
        <v/>
      </c>
      <c r="G10161" s="18"/>
      <c r="H10161" s="16" t="s">
        <v>87</v>
      </c>
      <c r="I10161" s="16" t="s">
        <v>87</v>
      </c>
      <c r="J10161" s="19"/>
      <c r="L10161" s="16" t="str">
        <f>IFERROR(__xludf.DUMMYFUNCTION("""COMPUTED_VALUE"""),"")</f>
        <v/>
      </c>
      <c r="M10161" s="16" t="str">
        <f>IFERROR(__xludf.DUMMYFUNCTION("""COMPUTED_VALUE"""),"")</f>
        <v/>
      </c>
      <c r="U10161" s="16" t="s">
        <v>87</v>
      </c>
      <c r="V10161" s="16" t="str">
        <f>IFERROR(__xludf.DUMMYFUNCTION("""COMPUTED_VALUE"""),"")</f>
        <v/>
      </c>
      <c r="W10161" s="16" t="str">
        <f>IFERROR(__xludf.DUMMYFUNCTION("""COMPUTED_VALUE"""),"")</f>
        <v/>
      </c>
      <c r="X10161" s="16" t="str">
        <f>IFERROR(__xludf.DUMMYFUNCTION("""COMPUTED_VALUE"""),"")</f>
        <v/>
      </c>
      <c r="AC10161" s="16" t="str">
        <f>IFERROR(__xludf.DUMMYFUNCTION("""COMPUTED_VALUE"""),"")</f>
        <v/>
      </c>
    </row>
    <row r="10162">
      <c r="A10162" s="16" t="s">
        <v>87</v>
      </c>
      <c r="E10162" s="16" t="str">
        <f>IFERROR(__xludf.DUMMYFUNCTION("""COMPUTED_VALUE"""),"")</f>
        <v/>
      </c>
      <c r="G10162" s="18"/>
      <c r="H10162" s="16" t="s">
        <v>87</v>
      </c>
      <c r="I10162" s="16" t="s">
        <v>87</v>
      </c>
      <c r="J10162" s="19"/>
      <c r="L10162" s="16" t="str">
        <f>IFERROR(__xludf.DUMMYFUNCTION("""COMPUTED_VALUE"""),"")</f>
        <v/>
      </c>
      <c r="M10162" s="16" t="str">
        <f>IFERROR(__xludf.DUMMYFUNCTION("""COMPUTED_VALUE"""),"")</f>
        <v/>
      </c>
      <c r="U10162" s="16" t="s">
        <v>87</v>
      </c>
      <c r="V10162" s="16" t="str">
        <f>IFERROR(__xludf.DUMMYFUNCTION("""COMPUTED_VALUE"""),"")</f>
        <v/>
      </c>
      <c r="W10162" s="16" t="str">
        <f>IFERROR(__xludf.DUMMYFUNCTION("""COMPUTED_VALUE"""),"")</f>
        <v/>
      </c>
      <c r="X10162" s="16" t="str">
        <f>IFERROR(__xludf.DUMMYFUNCTION("""COMPUTED_VALUE"""),"")</f>
        <v/>
      </c>
      <c r="AC10162" s="16" t="str">
        <f>IFERROR(__xludf.DUMMYFUNCTION("""COMPUTED_VALUE"""),"")</f>
        <v/>
      </c>
    </row>
    <row r="10163">
      <c r="A10163" s="16" t="s">
        <v>87</v>
      </c>
      <c r="E10163" s="16" t="str">
        <f>IFERROR(__xludf.DUMMYFUNCTION("""COMPUTED_VALUE"""),"")</f>
        <v/>
      </c>
      <c r="G10163" s="18"/>
      <c r="H10163" s="16" t="s">
        <v>87</v>
      </c>
      <c r="I10163" s="16" t="s">
        <v>87</v>
      </c>
      <c r="J10163" s="19"/>
      <c r="L10163" s="16" t="str">
        <f>IFERROR(__xludf.DUMMYFUNCTION("""COMPUTED_VALUE"""),"")</f>
        <v/>
      </c>
      <c r="M10163" s="16" t="str">
        <f>IFERROR(__xludf.DUMMYFUNCTION("""COMPUTED_VALUE"""),"")</f>
        <v/>
      </c>
      <c r="U10163" s="16" t="s">
        <v>87</v>
      </c>
      <c r="V10163" s="16" t="str">
        <f>IFERROR(__xludf.DUMMYFUNCTION("""COMPUTED_VALUE"""),"")</f>
        <v/>
      </c>
      <c r="W10163" s="16" t="str">
        <f>IFERROR(__xludf.DUMMYFUNCTION("""COMPUTED_VALUE"""),"")</f>
        <v/>
      </c>
      <c r="X10163" s="16" t="str">
        <f>IFERROR(__xludf.DUMMYFUNCTION("""COMPUTED_VALUE"""),"")</f>
        <v/>
      </c>
      <c r="AC10163" s="16" t="str">
        <f>IFERROR(__xludf.DUMMYFUNCTION("""COMPUTED_VALUE"""),"")</f>
        <v/>
      </c>
    </row>
    <row r="10164">
      <c r="A10164" s="16" t="s">
        <v>87</v>
      </c>
      <c r="E10164" s="16" t="str">
        <f>IFERROR(__xludf.DUMMYFUNCTION("""COMPUTED_VALUE"""),"")</f>
        <v/>
      </c>
      <c r="G10164" s="18"/>
      <c r="H10164" s="16" t="s">
        <v>87</v>
      </c>
      <c r="I10164" s="16" t="s">
        <v>87</v>
      </c>
      <c r="J10164" s="19"/>
      <c r="L10164" s="16" t="str">
        <f>IFERROR(__xludf.DUMMYFUNCTION("""COMPUTED_VALUE"""),"")</f>
        <v/>
      </c>
      <c r="M10164" s="16" t="str">
        <f>IFERROR(__xludf.DUMMYFUNCTION("""COMPUTED_VALUE"""),"")</f>
        <v/>
      </c>
      <c r="U10164" s="16" t="s">
        <v>87</v>
      </c>
      <c r="V10164" s="16" t="str">
        <f>IFERROR(__xludf.DUMMYFUNCTION("""COMPUTED_VALUE"""),"")</f>
        <v/>
      </c>
      <c r="W10164" s="16" t="str">
        <f>IFERROR(__xludf.DUMMYFUNCTION("""COMPUTED_VALUE"""),"")</f>
        <v/>
      </c>
      <c r="X10164" s="16" t="str">
        <f>IFERROR(__xludf.DUMMYFUNCTION("""COMPUTED_VALUE"""),"")</f>
        <v/>
      </c>
      <c r="AC10164" s="16" t="str">
        <f>IFERROR(__xludf.DUMMYFUNCTION("""COMPUTED_VALUE"""),"")</f>
        <v/>
      </c>
    </row>
    <row r="10165">
      <c r="A10165" s="16" t="s">
        <v>87</v>
      </c>
      <c r="E10165" s="16" t="str">
        <f>IFERROR(__xludf.DUMMYFUNCTION("""COMPUTED_VALUE"""),"")</f>
        <v/>
      </c>
      <c r="G10165" s="18"/>
      <c r="H10165" s="16" t="s">
        <v>87</v>
      </c>
      <c r="I10165" s="16" t="s">
        <v>87</v>
      </c>
      <c r="J10165" s="19"/>
      <c r="L10165" s="16" t="str">
        <f>IFERROR(__xludf.DUMMYFUNCTION("""COMPUTED_VALUE"""),"")</f>
        <v/>
      </c>
      <c r="M10165" s="16" t="str">
        <f>IFERROR(__xludf.DUMMYFUNCTION("""COMPUTED_VALUE"""),"")</f>
        <v/>
      </c>
      <c r="U10165" s="16" t="s">
        <v>87</v>
      </c>
      <c r="V10165" s="16" t="str">
        <f>IFERROR(__xludf.DUMMYFUNCTION("""COMPUTED_VALUE"""),"")</f>
        <v/>
      </c>
      <c r="W10165" s="16" t="str">
        <f>IFERROR(__xludf.DUMMYFUNCTION("""COMPUTED_VALUE"""),"")</f>
        <v/>
      </c>
      <c r="X10165" s="16" t="str">
        <f>IFERROR(__xludf.DUMMYFUNCTION("""COMPUTED_VALUE"""),"")</f>
        <v/>
      </c>
      <c r="AC10165" s="16" t="str">
        <f>IFERROR(__xludf.DUMMYFUNCTION("""COMPUTED_VALUE"""),"")</f>
        <v/>
      </c>
    </row>
    <row r="10166">
      <c r="A10166" s="16" t="s">
        <v>87</v>
      </c>
      <c r="E10166" s="16" t="str">
        <f>IFERROR(__xludf.DUMMYFUNCTION("""COMPUTED_VALUE"""),"")</f>
        <v/>
      </c>
      <c r="G10166" s="18"/>
      <c r="H10166" s="16" t="s">
        <v>87</v>
      </c>
      <c r="I10166" s="16" t="s">
        <v>87</v>
      </c>
      <c r="J10166" s="19"/>
      <c r="L10166" s="16" t="str">
        <f>IFERROR(__xludf.DUMMYFUNCTION("""COMPUTED_VALUE"""),"")</f>
        <v/>
      </c>
      <c r="M10166" s="16" t="str">
        <f>IFERROR(__xludf.DUMMYFUNCTION("""COMPUTED_VALUE"""),"")</f>
        <v/>
      </c>
      <c r="U10166" s="16" t="s">
        <v>87</v>
      </c>
      <c r="V10166" s="16" t="str">
        <f>IFERROR(__xludf.DUMMYFUNCTION("""COMPUTED_VALUE"""),"")</f>
        <v/>
      </c>
      <c r="W10166" s="16" t="str">
        <f>IFERROR(__xludf.DUMMYFUNCTION("""COMPUTED_VALUE"""),"")</f>
        <v/>
      </c>
      <c r="X10166" s="16" t="str">
        <f>IFERROR(__xludf.DUMMYFUNCTION("""COMPUTED_VALUE"""),"")</f>
        <v/>
      </c>
      <c r="AC10166" s="16" t="str">
        <f>IFERROR(__xludf.DUMMYFUNCTION("""COMPUTED_VALUE"""),"")</f>
        <v/>
      </c>
    </row>
    <row r="10167">
      <c r="A10167" s="16" t="s">
        <v>87</v>
      </c>
      <c r="E10167" s="16" t="str">
        <f>IFERROR(__xludf.DUMMYFUNCTION("""COMPUTED_VALUE"""),"")</f>
        <v/>
      </c>
      <c r="G10167" s="18"/>
      <c r="H10167" s="16" t="s">
        <v>87</v>
      </c>
      <c r="I10167" s="16" t="s">
        <v>87</v>
      </c>
      <c r="J10167" s="19"/>
      <c r="L10167" s="16" t="str">
        <f>IFERROR(__xludf.DUMMYFUNCTION("""COMPUTED_VALUE"""),"")</f>
        <v/>
      </c>
      <c r="M10167" s="16" t="str">
        <f>IFERROR(__xludf.DUMMYFUNCTION("""COMPUTED_VALUE"""),"")</f>
        <v/>
      </c>
      <c r="U10167" s="16" t="s">
        <v>87</v>
      </c>
      <c r="V10167" s="16" t="str">
        <f>IFERROR(__xludf.DUMMYFUNCTION("""COMPUTED_VALUE"""),"")</f>
        <v/>
      </c>
      <c r="W10167" s="16" t="str">
        <f>IFERROR(__xludf.DUMMYFUNCTION("""COMPUTED_VALUE"""),"")</f>
        <v/>
      </c>
      <c r="X10167" s="16" t="str">
        <f>IFERROR(__xludf.DUMMYFUNCTION("""COMPUTED_VALUE"""),"")</f>
        <v/>
      </c>
      <c r="AC10167" s="16" t="str">
        <f>IFERROR(__xludf.DUMMYFUNCTION("""COMPUTED_VALUE"""),"")</f>
        <v/>
      </c>
    </row>
    <row r="10168">
      <c r="A10168" s="16" t="s">
        <v>87</v>
      </c>
      <c r="E10168" s="16" t="str">
        <f>IFERROR(__xludf.DUMMYFUNCTION("""COMPUTED_VALUE"""),"")</f>
        <v/>
      </c>
      <c r="G10168" s="18"/>
      <c r="H10168" s="16" t="s">
        <v>87</v>
      </c>
      <c r="I10168" s="16" t="s">
        <v>87</v>
      </c>
      <c r="J10168" s="19"/>
      <c r="L10168" s="16" t="str">
        <f>IFERROR(__xludf.DUMMYFUNCTION("""COMPUTED_VALUE"""),"")</f>
        <v/>
      </c>
      <c r="M10168" s="16" t="str">
        <f>IFERROR(__xludf.DUMMYFUNCTION("""COMPUTED_VALUE"""),"")</f>
        <v/>
      </c>
      <c r="U10168" s="16" t="s">
        <v>87</v>
      </c>
      <c r="V10168" s="16" t="str">
        <f>IFERROR(__xludf.DUMMYFUNCTION("""COMPUTED_VALUE"""),"")</f>
        <v/>
      </c>
      <c r="W10168" s="16" t="str">
        <f>IFERROR(__xludf.DUMMYFUNCTION("""COMPUTED_VALUE"""),"")</f>
        <v/>
      </c>
      <c r="X10168" s="16" t="str">
        <f>IFERROR(__xludf.DUMMYFUNCTION("""COMPUTED_VALUE"""),"")</f>
        <v/>
      </c>
      <c r="AC10168" s="16" t="str">
        <f>IFERROR(__xludf.DUMMYFUNCTION("""COMPUTED_VALUE"""),"")</f>
        <v/>
      </c>
    </row>
    <row r="10169">
      <c r="A10169" s="16" t="s">
        <v>87</v>
      </c>
      <c r="E10169" s="16" t="str">
        <f>IFERROR(__xludf.DUMMYFUNCTION("""COMPUTED_VALUE"""),"")</f>
        <v/>
      </c>
      <c r="G10169" s="18"/>
      <c r="H10169" s="16" t="s">
        <v>87</v>
      </c>
      <c r="I10169" s="16" t="s">
        <v>87</v>
      </c>
      <c r="J10169" s="19"/>
      <c r="L10169" s="16" t="str">
        <f>IFERROR(__xludf.DUMMYFUNCTION("""COMPUTED_VALUE"""),"")</f>
        <v/>
      </c>
      <c r="M10169" s="16" t="str">
        <f>IFERROR(__xludf.DUMMYFUNCTION("""COMPUTED_VALUE"""),"")</f>
        <v/>
      </c>
      <c r="U10169" s="16" t="s">
        <v>87</v>
      </c>
      <c r="V10169" s="16" t="str">
        <f>IFERROR(__xludf.DUMMYFUNCTION("""COMPUTED_VALUE"""),"")</f>
        <v/>
      </c>
      <c r="W10169" s="16" t="str">
        <f>IFERROR(__xludf.DUMMYFUNCTION("""COMPUTED_VALUE"""),"")</f>
        <v/>
      </c>
      <c r="X10169" s="16" t="str">
        <f>IFERROR(__xludf.DUMMYFUNCTION("""COMPUTED_VALUE"""),"")</f>
        <v/>
      </c>
      <c r="AC10169" s="16" t="str">
        <f>IFERROR(__xludf.DUMMYFUNCTION("""COMPUTED_VALUE"""),"")</f>
        <v/>
      </c>
    </row>
    <row r="10170">
      <c r="A10170" s="16" t="s">
        <v>87</v>
      </c>
      <c r="E10170" s="16" t="str">
        <f>IFERROR(__xludf.DUMMYFUNCTION("""COMPUTED_VALUE"""),"")</f>
        <v/>
      </c>
      <c r="G10170" s="18"/>
      <c r="H10170" s="16" t="s">
        <v>87</v>
      </c>
      <c r="I10170" s="16" t="s">
        <v>87</v>
      </c>
      <c r="J10170" s="19"/>
      <c r="L10170" s="16" t="str">
        <f>IFERROR(__xludf.DUMMYFUNCTION("""COMPUTED_VALUE"""),"")</f>
        <v/>
      </c>
      <c r="M10170" s="16" t="str">
        <f>IFERROR(__xludf.DUMMYFUNCTION("""COMPUTED_VALUE"""),"")</f>
        <v/>
      </c>
      <c r="U10170" s="16" t="s">
        <v>87</v>
      </c>
      <c r="V10170" s="16" t="str">
        <f>IFERROR(__xludf.DUMMYFUNCTION("""COMPUTED_VALUE"""),"")</f>
        <v/>
      </c>
      <c r="W10170" s="16" t="str">
        <f>IFERROR(__xludf.DUMMYFUNCTION("""COMPUTED_VALUE"""),"")</f>
        <v/>
      </c>
      <c r="X10170" s="16" t="str">
        <f>IFERROR(__xludf.DUMMYFUNCTION("""COMPUTED_VALUE"""),"")</f>
        <v/>
      </c>
      <c r="AC10170" s="16" t="str">
        <f>IFERROR(__xludf.DUMMYFUNCTION("""COMPUTED_VALUE"""),"")</f>
        <v/>
      </c>
    </row>
    <row r="10171">
      <c r="A10171" s="16" t="s">
        <v>87</v>
      </c>
      <c r="E10171" s="16" t="str">
        <f>IFERROR(__xludf.DUMMYFUNCTION("""COMPUTED_VALUE"""),"")</f>
        <v/>
      </c>
      <c r="G10171" s="18"/>
      <c r="H10171" s="16" t="s">
        <v>87</v>
      </c>
      <c r="I10171" s="16" t="s">
        <v>87</v>
      </c>
      <c r="J10171" s="19"/>
      <c r="L10171" s="16" t="str">
        <f>IFERROR(__xludf.DUMMYFUNCTION("""COMPUTED_VALUE"""),"")</f>
        <v/>
      </c>
      <c r="M10171" s="16" t="str">
        <f>IFERROR(__xludf.DUMMYFUNCTION("""COMPUTED_VALUE"""),"")</f>
        <v/>
      </c>
      <c r="U10171" s="16" t="s">
        <v>87</v>
      </c>
      <c r="V10171" s="16" t="str">
        <f>IFERROR(__xludf.DUMMYFUNCTION("""COMPUTED_VALUE"""),"")</f>
        <v/>
      </c>
      <c r="W10171" s="16" t="str">
        <f>IFERROR(__xludf.DUMMYFUNCTION("""COMPUTED_VALUE"""),"")</f>
        <v/>
      </c>
      <c r="X10171" s="16" t="str">
        <f>IFERROR(__xludf.DUMMYFUNCTION("""COMPUTED_VALUE"""),"")</f>
        <v/>
      </c>
      <c r="AC10171" s="16" t="str">
        <f>IFERROR(__xludf.DUMMYFUNCTION("""COMPUTED_VALUE"""),"")</f>
        <v/>
      </c>
    </row>
    <row r="10172">
      <c r="A10172" s="16" t="s">
        <v>87</v>
      </c>
      <c r="E10172" s="16" t="str">
        <f>IFERROR(__xludf.DUMMYFUNCTION("""COMPUTED_VALUE"""),"")</f>
        <v/>
      </c>
      <c r="G10172" s="18"/>
      <c r="H10172" s="16" t="s">
        <v>87</v>
      </c>
      <c r="I10172" s="16" t="s">
        <v>87</v>
      </c>
      <c r="J10172" s="19"/>
      <c r="L10172" s="16" t="str">
        <f>IFERROR(__xludf.DUMMYFUNCTION("""COMPUTED_VALUE"""),"")</f>
        <v/>
      </c>
      <c r="M10172" s="16" t="str">
        <f>IFERROR(__xludf.DUMMYFUNCTION("""COMPUTED_VALUE"""),"")</f>
        <v/>
      </c>
      <c r="U10172" s="16" t="s">
        <v>87</v>
      </c>
      <c r="V10172" s="16" t="str">
        <f>IFERROR(__xludf.DUMMYFUNCTION("""COMPUTED_VALUE"""),"")</f>
        <v/>
      </c>
      <c r="W10172" s="16" t="str">
        <f>IFERROR(__xludf.DUMMYFUNCTION("""COMPUTED_VALUE"""),"")</f>
        <v/>
      </c>
      <c r="X10172" s="16" t="str">
        <f>IFERROR(__xludf.DUMMYFUNCTION("""COMPUTED_VALUE"""),"")</f>
        <v/>
      </c>
      <c r="AC10172" s="16" t="str">
        <f>IFERROR(__xludf.DUMMYFUNCTION("""COMPUTED_VALUE"""),"")</f>
        <v/>
      </c>
    </row>
    <row r="10173">
      <c r="A10173" s="16" t="s">
        <v>87</v>
      </c>
      <c r="E10173" s="16" t="str">
        <f>IFERROR(__xludf.DUMMYFUNCTION("""COMPUTED_VALUE"""),"")</f>
        <v/>
      </c>
      <c r="G10173" s="18"/>
      <c r="H10173" s="16" t="s">
        <v>87</v>
      </c>
      <c r="I10173" s="16" t="s">
        <v>87</v>
      </c>
      <c r="J10173" s="19"/>
      <c r="L10173" s="16" t="str">
        <f>IFERROR(__xludf.DUMMYFUNCTION("""COMPUTED_VALUE"""),"")</f>
        <v/>
      </c>
      <c r="M10173" s="16" t="str">
        <f>IFERROR(__xludf.DUMMYFUNCTION("""COMPUTED_VALUE"""),"")</f>
        <v/>
      </c>
      <c r="U10173" s="16" t="s">
        <v>87</v>
      </c>
      <c r="V10173" s="16" t="str">
        <f>IFERROR(__xludf.DUMMYFUNCTION("""COMPUTED_VALUE"""),"")</f>
        <v/>
      </c>
      <c r="W10173" s="16" t="str">
        <f>IFERROR(__xludf.DUMMYFUNCTION("""COMPUTED_VALUE"""),"")</f>
        <v/>
      </c>
      <c r="X10173" s="16" t="str">
        <f>IFERROR(__xludf.DUMMYFUNCTION("""COMPUTED_VALUE"""),"")</f>
        <v/>
      </c>
      <c r="AC10173" s="16" t="str">
        <f>IFERROR(__xludf.DUMMYFUNCTION("""COMPUTED_VALUE"""),"")</f>
        <v/>
      </c>
    </row>
    <row r="10174">
      <c r="A10174" s="16" t="s">
        <v>87</v>
      </c>
      <c r="E10174" s="16" t="str">
        <f>IFERROR(__xludf.DUMMYFUNCTION("""COMPUTED_VALUE"""),"")</f>
        <v/>
      </c>
      <c r="G10174" s="18"/>
      <c r="H10174" s="16" t="s">
        <v>87</v>
      </c>
      <c r="I10174" s="16" t="s">
        <v>87</v>
      </c>
      <c r="J10174" s="19"/>
      <c r="L10174" s="16" t="str">
        <f>IFERROR(__xludf.DUMMYFUNCTION("""COMPUTED_VALUE"""),"")</f>
        <v/>
      </c>
      <c r="M10174" s="16" t="str">
        <f>IFERROR(__xludf.DUMMYFUNCTION("""COMPUTED_VALUE"""),"")</f>
        <v/>
      </c>
      <c r="U10174" s="16" t="s">
        <v>87</v>
      </c>
      <c r="V10174" s="16" t="str">
        <f>IFERROR(__xludf.DUMMYFUNCTION("""COMPUTED_VALUE"""),"")</f>
        <v/>
      </c>
      <c r="W10174" s="16" t="str">
        <f>IFERROR(__xludf.DUMMYFUNCTION("""COMPUTED_VALUE"""),"")</f>
        <v/>
      </c>
      <c r="X10174" s="16" t="str">
        <f>IFERROR(__xludf.DUMMYFUNCTION("""COMPUTED_VALUE"""),"")</f>
        <v/>
      </c>
      <c r="AC10174" s="16" t="str">
        <f>IFERROR(__xludf.DUMMYFUNCTION("""COMPUTED_VALUE"""),"")</f>
        <v/>
      </c>
    </row>
    <row r="10175">
      <c r="A10175" s="16" t="s">
        <v>87</v>
      </c>
      <c r="E10175" s="16" t="str">
        <f>IFERROR(__xludf.DUMMYFUNCTION("""COMPUTED_VALUE"""),"")</f>
        <v/>
      </c>
      <c r="G10175" s="18"/>
      <c r="H10175" s="16" t="s">
        <v>87</v>
      </c>
      <c r="I10175" s="16" t="s">
        <v>87</v>
      </c>
      <c r="J10175" s="19"/>
      <c r="L10175" s="16" t="str">
        <f>IFERROR(__xludf.DUMMYFUNCTION("""COMPUTED_VALUE"""),"")</f>
        <v/>
      </c>
      <c r="M10175" s="16" t="str">
        <f>IFERROR(__xludf.DUMMYFUNCTION("""COMPUTED_VALUE"""),"")</f>
        <v/>
      </c>
      <c r="U10175" s="16" t="s">
        <v>87</v>
      </c>
      <c r="V10175" s="16" t="str">
        <f>IFERROR(__xludf.DUMMYFUNCTION("""COMPUTED_VALUE"""),"")</f>
        <v/>
      </c>
      <c r="W10175" s="16" t="str">
        <f>IFERROR(__xludf.DUMMYFUNCTION("""COMPUTED_VALUE"""),"")</f>
        <v/>
      </c>
      <c r="X10175" s="16" t="str">
        <f>IFERROR(__xludf.DUMMYFUNCTION("""COMPUTED_VALUE"""),"")</f>
        <v/>
      </c>
      <c r="AC10175" s="16" t="str">
        <f>IFERROR(__xludf.DUMMYFUNCTION("""COMPUTED_VALUE"""),"")</f>
        <v/>
      </c>
    </row>
    <row r="10176">
      <c r="A10176" s="16" t="s">
        <v>87</v>
      </c>
      <c r="E10176" s="16" t="str">
        <f>IFERROR(__xludf.DUMMYFUNCTION("""COMPUTED_VALUE"""),"")</f>
        <v/>
      </c>
      <c r="G10176" s="18"/>
      <c r="H10176" s="16" t="s">
        <v>87</v>
      </c>
      <c r="I10176" s="16" t="s">
        <v>87</v>
      </c>
      <c r="J10176" s="19"/>
      <c r="L10176" s="16" t="str">
        <f>IFERROR(__xludf.DUMMYFUNCTION("""COMPUTED_VALUE"""),"")</f>
        <v/>
      </c>
      <c r="M10176" s="16" t="str">
        <f>IFERROR(__xludf.DUMMYFUNCTION("""COMPUTED_VALUE"""),"")</f>
        <v/>
      </c>
      <c r="U10176" s="16" t="s">
        <v>87</v>
      </c>
      <c r="V10176" s="16" t="str">
        <f>IFERROR(__xludf.DUMMYFUNCTION("""COMPUTED_VALUE"""),"")</f>
        <v/>
      </c>
      <c r="W10176" s="16" t="str">
        <f>IFERROR(__xludf.DUMMYFUNCTION("""COMPUTED_VALUE"""),"")</f>
        <v/>
      </c>
      <c r="X10176" s="16" t="str">
        <f>IFERROR(__xludf.DUMMYFUNCTION("""COMPUTED_VALUE"""),"")</f>
        <v/>
      </c>
      <c r="AC10176" s="16" t="str">
        <f>IFERROR(__xludf.DUMMYFUNCTION("""COMPUTED_VALUE"""),"")</f>
        <v/>
      </c>
    </row>
    <row r="10177">
      <c r="A10177" s="16" t="s">
        <v>87</v>
      </c>
      <c r="E10177" s="16" t="str">
        <f>IFERROR(__xludf.DUMMYFUNCTION("""COMPUTED_VALUE"""),"")</f>
        <v/>
      </c>
      <c r="G10177" s="18"/>
      <c r="H10177" s="16" t="s">
        <v>87</v>
      </c>
      <c r="I10177" s="16" t="s">
        <v>87</v>
      </c>
      <c r="J10177" s="19"/>
      <c r="L10177" s="16" t="str">
        <f>IFERROR(__xludf.DUMMYFUNCTION("""COMPUTED_VALUE"""),"")</f>
        <v/>
      </c>
      <c r="M10177" s="16" t="str">
        <f>IFERROR(__xludf.DUMMYFUNCTION("""COMPUTED_VALUE"""),"")</f>
        <v/>
      </c>
      <c r="U10177" s="16" t="s">
        <v>87</v>
      </c>
      <c r="V10177" s="16" t="str">
        <f>IFERROR(__xludf.DUMMYFUNCTION("""COMPUTED_VALUE"""),"")</f>
        <v/>
      </c>
      <c r="W10177" s="16" t="str">
        <f>IFERROR(__xludf.DUMMYFUNCTION("""COMPUTED_VALUE"""),"")</f>
        <v/>
      </c>
      <c r="X10177" s="16" t="str">
        <f>IFERROR(__xludf.DUMMYFUNCTION("""COMPUTED_VALUE"""),"")</f>
        <v/>
      </c>
      <c r="AC10177" s="16" t="str">
        <f>IFERROR(__xludf.DUMMYFUNCTION("""COMPUTED_VALUE"""),"")</f>
        <v/>
      </c>
    </row>
    <row r="10178">
      <c r="A10178" s="16" t="s">
        <v>87</v>
      </c>
      <c r="E10178" s="16" t="str">
        <f>IFERROR(__xludf.DUMMYFUNCTION("""COMPUTED_VALUE"""),"")</f>
        <v/>
      </c>
      <c r="G10178" s="18"/>
      <c r="H10178" s="16" t="s">
        <v>87</v>
      </c>
      <c r="I10178" s="16" t="s">
        <v>87</v>
      </c>
      <c r="J10178" s="19"/>
      <c r="L10178" s="16" t="str">
        <f>IFERROR(__xludf.DUMMYFUNCTION("""COMPUTED_VALUE"""),"")</f>
        <v/>
      </c>
      <c r="M10178" s="16" t="str">
        <f>IFERROR(__xludf.DUMMYFUNCTION("""COMPUTED_VALUE"""),"")</f>
        <v/>
      </c>
      <c r="U10178" s="16" t="s">
        <v>87</v>
      </c>
      <c r="V10178" s="16" t="str">
        <f>IFERROR(__xludf.DUMMYFUNCTION("""COMPUTED_VALUE"""),"")</f>
        <v/>
      </c>
      <c r="W10178" s="16" t="str">
        <f>IFERROR(__xludf.DUMMYFUNCTION("""COMPUTED_VALUE"""),"")</f>
        <v/>
      </c>
      <c r="X10178" s="16" t="str">
        <f>IFERROR(__xludf.DUMMYFUNCTION("""COMPUTED_VALUE"""),"")</f>
        <v/>
      </c>
      <c r="AC10178" s="16" t="str">
        <f>IFERROR(__xludf.DUMMYFUNCTION("""COMPUTED_VALUE"""),"")</f>
        <v/>
      </c>
    </row>
    <row r="10179">
      <c r="A10179" s="16" t="s">
        <v>87</v>
      </c>
      <c r="E10179" s="16" t="str">
        <f>IFERROR(__xludf.DUMMYFUNCTION("""COMPUTED_VALUE"""),"")</f>
        <v/>
      </c>
      <c r="G10179" s="18"/>
      <c r="H10179" s="16" t="s">
        <v>87</v>
      </c>
      <c r="I10179" s="16" t="s">
        <v>87</v>
      </c>
      <c r="J10179" s="19"/>
      <c r="L10179" s="16" t="str">
        <f>IFERROR(__xludf.DUMMYFUNCTION("""COMPUTED_VALUE"""),"")</f>
        <v/>
      </c>
      <c r="M10179" s="16" t="str">
        <f>IFERROR(__xludf.DUMMYFUNCTION("""COMPUTED_VALUE"""),"")</f>
        <v/>
      </c>
      <c r="U10179" s="16" t="s">
        <v>87</v>
      </c>
      <c r="V10179" s="16" t="str">
        <f>IFERROR(__xludf.DUMMYFUNCTION("""COMPUTED_VALUE"""),"")</f>
        <v/>
      </c>
      <c r="W10179" s="16" t="str">
        <f>IFERROR(__xludf.DUMMYFUNCTION("""COMPUTED_VALUE"""),"")</f>
        <v/>
      </c>
      <c r="X10179" s="16" t="str">
        <f>IFERROR(__xludf.DUMMYFUNCTION("""COMPUTED_VALUE"""),"")</f>
        <v/>
      </c>
      <c r="AC10179" s="16" t="str">
        <f>IFERROR(__xludf.DUMMYFUNCTION("""COMPUTED_VALUE"""),"")</f>
        <v/>
      </c>
    </row>
    <row r="10180">
      <c r="A10180" s="16" t="s">
        <v>87</v>
      </c>
      <c r="E10180" s="16" t="str">
        <f>IFERROR(__xludf.DUMMYFUNCTION("""COMPUTED_VALUE"""),"")</f>
        <v/>
      </c>
      <c r="G10180" s="18"/>
      <c r="H10180" s="16" t="s">
        <v>87</v>
      </c>
      <c r="I10180" s="16" t="s">
        <v>87</v>
      </c>
      <c r="J10180" s="19"/>
      <c r="L10180" s="16" t="str">
        <f>IFERROR(__xludf.DUMMYFUNCTION("""COMPUTED_VALUE"""),"")</f>
        <v/>
      </c>
      <c r="M10180" s="16" t="str">
        <f>IFERROR(__xludf.DUMMYFUNCTION("""COMPUTED_VALUE"""),"")</f>
        <v/>
      </c>
      <c r="U10180" s="16" t="s">
        <v>87</v>
      </c>
      <c r="V10180" s="16" t="str">
        <f>IFERROR(__xludf.DUMMYFUNCTION("""COMPUTED_VALUE"""),"")</f>
        <v/>
      </c>
      <c r="W10180" s="16" t="str">
        <f>IFERROR(__xludf.DUMMYFUNCTION("""COMPUTED_VALUE"""),"")</f>
        <v/>
      </c>
      <c r="X10180" s="16" t="str">
        <f>IFERROR(__xludf.DUMMYFUNCTION("""COMPUTED_VALUE"""),"")</f>
        <v/>
      </c>
      <c r="AC10180" s="16" t="str">
        <f>IFERROR(__xludf.DUMMYFUNCTION("""COMPUTED_VALUE"""),"")</f>
        <v/>
      </c>
    </row>
    <row r="10181">
      <c r="A10181" s="16" t="s">
        <v>87</v>
      </c>
      <c r="E10181" s="16" t="str">
        <f>IFERROR(__xludf.DUMMYFUNCTION("""COMPUTED_VALUE"""),"")</f>
        <v/>
      </c>
      <c r="G10181" s="18"/>
      <c r="H10181" s="16" t="s">
        <v>87</v>
      </c>
      <c r="I10181" s="16" t="s">
        <v>87</v>
      </c>
      <c r="J10181" s="19"/>
      <c r="L10181" s="16" t="str">
        <f>IFERROR(__xludf.DUMMYFUNCTION("""COMPUTED_VALUE"""),"")</f>
        <v/>
      </c>
      <c r="M10181" s="16" t="str">
        <f>IFERROR(__xludf.DUMMYFUNCTION("""COMPUTED_VALUE"""),"")</f>
        <v/>
      </c>
      <c r="U10181" s="16" t="s">
        <v>87</v>
      </c>
      <c r="V10181" s="16" t="str">
        <f>IFERROR(__xludf.DUMMYFUNCTION("""COMPUTED_VALUE"""),"")</f>
        <v/>
      </c>
      <c r="W10181" s="16" t="str">
        <f>IFERROR(__xludf.DUMMYFUNCTION("""COMPUTED_VALUE"""),"")</f>
        <v/>
      </c>
      <c r="X10181" s="16" t="str">
        <f>IFERROR(__xludf.DUMMYFUNCTION("""COMPUTED_VALUE"""),"")</f>
        <v/>
      </c>
      <c r="AC10181" s="16" t="str">
        <f>IFERROR(__xludf.DUMMYFUNCTION("""COMPUTED_VALUE"""),"")</f>
        <v/>
      </c>
    </row>
    <row r="10182">
      <c r="A10182" s="16" t="s">
        <v>87</v>
      </c>
      <c r="E10182" s="16" t="str">
        <f>IFERROR(__xludf.DUMMYFUNCTION("""COMPUTED_VALUE"""),"")</f>
        <v/>
      </c>
      <c r="G10182" s="18"/>
      <c r="H10182" s="16" t="s">
        <v>87</v>
      </c>
      <c r="I10182" s="16" t="s">
        <v>87</v>
      </c>
      <c r="J10182" s="19"/>
      <c r="L10182" s="16" t="str">
        <f>IFERROR(__xludf.DUMMYFUNCTION("""COMPUTED_VALUE"""),"")</f>
        <v/>
      </c>
      <c r="M10182" s="16" t="str">
        <f>IFERROR(__xludf.DUMMYFUNCTION("""COMPUTED_VALUE"""),"")</f>
        <v/>
      </c>
      <c r="U10182" s="16" t="s">
        <v>87</v>
      </c>
      <c r="V10182" s="16" t="str">
        <f>IFERROR(__xludf.DUMMYFUNCTION("""COMPUTED_VALUE"""),"")</f>
        <v/>
      </c>
      <c r="W10182" s="16" t="str">
        <f>IFERROR(__xludf.DUMMYFUNCTION("""COMPUTED_VALUE"""),"")</f>
        <v/>
      </c>
      <c r="X10182" s="16" t="str">
        <f>IFERROR(__xludf.DUMMYFUNCTION("""COMPUTED_VALUE"""),"")</f>
        <v/>
      </c>
      <c r="AC10182" s="16" t="str">
        <f>IFERROR(__xludf.DUMMYFUNCTION("""COMPUTED_VALUE"""),"")</f>
        <v/>
      </c>
    </row>
    <row r="10183">
      <c r="A10183" s="16" t="s">
        <v>87</v>
      </c>
      <c r="E10183" s="16" t="str">
        <f>IFERROR(__xludf.DUMMYFUNCTION("""COMPUTED_VALUE"""),"")</f>
        <v/>
      </c>
      <c r="G10183" s="18"/>
      <c r="H10183" s="16" t="s">
        <v>87</v>
      </c>
      <c r="I10183" s="16" t="s">
        <v>87</v>
      </c>
      <c r="J10183" s="19"/>
      <c r="L10183" s="16" t="str">
        <f>IFERROR(__xludf.DUMMYFUNCTION("""COMPUTED_VALUE"""),"")</f>
        <v/>
      </c>
      <c r="M10183" s="16" t="str">
        <f>IFERROR(__xludf.DUMMYFUNCTION("""COMPUTED_VALUE"""),"")</f>
        <v/>
      </c>
      <c r="U10183" s="16" t="s">
        <v>87</v>
      </c>
      <c r="V10183" s="16" t="str">
        <f>IFERROR(__xludf.DUMMYFUNCTION("""COMPUTED_VALUE"""),"")</f>
        <v/>
      </c>
      <c r="W10183" s="16" t="str">
        <f>IFERROR(__xludf.DUMMYFUNCTION("""COMPUTED_VALUE"""),"")</f>
        <v/>
      </c>
      <c r="X10183" s="16" t="str">
        <f>IFERROR(__xludf.DUMMYFUNCTION("""COMPUTED_VALUE"""),"")</f>
        <v/>
      </c>
      <c r="AC10183" s="16" t="str">
        <f>IFERROR(__xludf.DUMMYFUNCTION("""COMPUTED_VALUE"""),"")</f>
        <v/>
      </c>
    </row>
    <row r="10184">
      <c r="A10184" s="16" t="s">
        <v>87</v>
      </c>
      <c r="E10184" s="16" t="str">
        <f>IFERROR(__xludf.DUMMYFUNCTION("""COMPUTED_VALUE"""),"")</f>
        <v/>
      </c>
      <c r="G10184" s="18"/>
      <c r="H10184" s="16" t="s">
        <v>87</v>
      </c>
      <c r="I10184" s="16" t="s">
        <v>87</v>
      </c>
      <c r="J10184" s="19"/>
      <c r="L10184" s="16" t="str">
        <f>IFERROR(__xludf.DUMMYFUNCTION("""COMPUTED_VALUE"""),"")</f>
        <v/>
      </c>
      <c r="M10184" s="16" t="str">
        <f>IFERROR(__xludf.DUMMYFUNCTION("""COMPUTED_VALUE"""),"")</f>
        <v/>
      </c>
      <c r="U10184" s="16" t="s">
        <v>87</v>
      </c>
      <c r="V10184" s="16" t="str">
        <f>IFERROR(__xludf.DUMMYFUNCTION("""COMPUTED_VALUE"""),"")</f>
        <v/>
      </c>
      <c r="W10184" s="16" t="str">
        <f>IFERROR(__xludf.DUMMYFUNCTION("""COMPUTED_VALUE"""),"")</f>
        <v/>
      </c>
      <c r="X10184" s="16" t="str">
        <f>IFERROR(__xludf.DUMMYFUNCTION("""COMPUTED_VALUE"""),"")</f>
        <v/>
      </c>
      <c r="AC10184" s="16" t="str">
        <f>IFERROR(__xludf.DUMMYFUNCTION("""COMPUTED_VALUE"""),"")</f>
        <v/>
      </c>
    </row>
    <row r="10185">
      <c r="A10185" s="16" t="s">
        <v>87</v>
      </c>
      <c r="E10185" s="16" t="str">
        <f>IFERROR(__xludf.DUMMYFUNCTION("""COMPUTED_VALUE"""),"")</f>
        <v/>
      </c>
      <c r="G10185" s="18"/>
      <c r="H10185" s="16" t="s">
        <v>87</v>
      </c>
      <c r="I10185" s="16" t="s">
        <v>87</v>
      </c>
      <c r="J10185" s="19"/>
      <c r="L10185" s="16" t="str">
        <f>IFERROR(__xludf.DUMMYFUNCTION("""COMPUTED_VALUE"""),"")</f>
        <v/>
      </c>
      <c r="M10185" s="16" t="str">
        <f>IFERROR(__xludf.DUMMYFUNCTION("""COMPUTED_VALUE"""),"")</f>
        <v/>
      </c>
      <c r="U10185" s="16" t="s">
        <v>87</v>
      </c>
      <c r="V10185" s="16" t="str">
        <f>IFERROR(__xludf.DUMMYFUNCTION("""COMPUTED_VALUE"""),"")</f>
        <v/>
      </c>
      <c r="W10185" s="16" t="str">
        <f>IFERROR(__xludf.DUMMYFUNCTION("""COMPUTED_VALUE"""),"")</f>
        <v/>
      </c>
      <c r="X10185" s="16" t="str">
        <f>IFERROR(__xludf.DUMMYFUNCTION("""COMPUTED_VALUE"""),"")</f>
        <v/>
      </c>
      <c r="AC10185" s="16" t="str">
        <f>IFERROR(__xludf.DUMMYFUNCTION("""COMPUTED_VALUE"""),"")</f>
        <v/>
      </c>
    </row>
    <row r="10186">
      <c r="A10186" s="16" t="s">
        <v>87</v>
      </c>
      <c r="E10186" s="16" t="str">
        <f>IFERROR(__xludf.DUMMYFUNCTION("""COMPUTED_VALUE"""),"")</f>
        <v/>
      </c>
      <c r="G10186" s="18"/>
      <c r="H10186" s="16" t="s">
        <v>87</v>
      </c>
      <c r="I10186" s="16" t="s">
        <v>87</v>
      </c>
      <c r="J10186" s="19"/>
      <c r="L10186" s="16" t="str">
        <f>IFERROR(__xludf.DUMMYFUNCTION("""COMPUTED_VALUE"""),"")</f>
        <v/>
      </c>
      <c r="M10186" s="16" t="str">
        <f>IFERROR(__xludf.DUMMYFUNCTION("""COMPUTED_VALUE"""),"")</f>
        <v/>
      </c>
      <c r="U10186" s="16" t="s">
        <v>87</v>
      </c>
      <c r="V10186" s="16" t="str">
        <f>IFERROR(__xludf.DUMMYFUNCTION("""COMPUTED_VALUE"""),"")</f>
        <v/>
      </c>
      <c r="W10186" s="16" t="str">
        <f>IFERROR(__xludf.DUMMYFUNCTION("""COMPUTED_VALUE"""),"")</f>
        <v/>
      </c>
      <c r="X10186" s="16" t="str">
        <f>IFERROR(__xludf.DUMMYFUNCTION("""COMPUTED_VALUE"""),"")</f>
        <v/>
      </c>
      <c r="AC10186" s="16" t="str">
        <f>IFERROR(__xludf.DUMMYFUNCTION("""COMPUTED_VALUE"""),"")</f>
        <v/>
      </c>
    </row>
    <row r="10187">
      <c r="A10187" s="16" t="s">
        <v>87</v>
      </c>
      <c r="E10187" s="16" t="str">
        <f>IFERROR(__xludf.DUMMYFUNCTION("""COMPUTED_VALUE"""),"")</f>
        <v/>
      </c>
      <c r="G10187" s="18"/>
      <c r="H10187" s="16" t="s">
        <v>87</v>
      </c>
      <c r="I10187" s="16" t="s">
        <v>87</v>
      </c>
      <c r="J10187" s="19"/>
      <c r="L10187" s="16" t="str">
        <f>IFERROR(__xludf.DUMMYFUNCTION("""COMPUTED_VALUE"""),"")</f>
        <v/>
      </c>
      <c r="M10187" s="16" t="str">
        <f>IFERROR(__xludf.DUMMYFUNCTION("""COMPUTED_VALUE"""),"")</f>
        <v/>
      </c>
      <c r="U10187" s="16" t="s">
        <v>87</v>
      </c>
      <c r="V10187" s="16" t="str">
        <f>IFERROR(__xludf.DUMMYFUNCTION("""COMPUTED_VALUE"""),"")</f>
        <v/>
      </c>
      <c r="W10187" s="16" t="str">
        <f>IFERROR(__xludf.DUMMYFUNCTION("""COMPUTED_VALUE"""),"")</f>
        <v/>
      </c>
      <c r="X10187" s="16" t="str">
        <f>IFERROR(__xludf.DUMMYFUNCTION("""COMPUTED_VALUE"""),"")</f>
        <v/>
      </c>
      <c r="AC10187" s="16" t="str">
        <f>IFERROR(__xludf.DUMMYFUNCTION("""COMPUTED_VALUE"""),"")</f>
        <v/>
      </c>
    </row>
    <row r="10188">
      <c r="A10188" s="16" t="s">
        <v>87</v>
      </c>
      <c r="E10188" s="16" t="str">
        <f>IFERROR(__xludf.DUMMYFUNCTION("""COMPUTED_VALUE"""),"")</f>
        <v/>
      </c>
      <c r="G10188" s="18"/>
      <c r="H10188" s="16" t="s">
        <v>87</v>
      </c>
      <c r="I10188" s="16" t="s">
        <v>87</v>
      </c>
      <c r="J10188" s="19"/>
      <c r="L10188" s="16" t="str">
        <f>IFERROR(__xludf.DUMMYFUNCTION("""COMPUTED_VALUE"""),"")</f>
        <v/>
      </c>
      <c r="M10188" s="16" t="str">
        <f>IFERROR(__xludf.DUMMYFUNCTION("""COMPUTED_VALUE"""),"")</f>
        <v/>
      </c>
      <c r="U10188" s="16" t="s">
        <v>87</v>
      </c>
      <c r="V10188" s="16" t="str">
        <f>IFERROR(__xludf.DUMMYFUNCTION("""COMPUTED_VALUE"""),"")</f>
        <v/>
      </c>
      <c r="W10188" s="16" t="str">
        <f>IFERROR(__xludf.DUMMYFUNCTION("""COMPUTED_VALUE"""),"")</f>
        <v/>
      </c>
      <c r="X10188" s="16" t="str">
        <f>IFERROR(__xludf.DUMMYFUNCTION("""COMPUTED_VALUE"""),"")</f>
        <v/>
      </c>
      <c r="AC10188" s="16" t="str">
        <f>IFERROR(__xludf.DUMMYFUNCTION("""COMPUTED_VALUE"""),"")</f>
        <v/>
      </c>
    </row>
    <row r="10189">
      <c r="A10189" s="16" t="s">
        <v>87</v>
      </c>
      <c r="E10189" s="16" t="str">
        <f>IFERROR(__xludf.DUMMYFUNCTION("""COMPUTED_VALUE"""),"")</f>
        <v/>
      </c>
      <c r="G10189" s="18"/>
      <c r="H10189" s="16" t="s">
        <v>87</v>
      </c>
      <c r="I10189" s="16" t="s">
        <v>87</v>
      </c>
      <c r="J10189" s="19"/>
      <c r="L10189" s="16" t="str">
        <f>IFERROR(__xludf.DUMMYFUNCTION("""COMPUTED_VALUE"""),"")</f>
        <v/>
      </c>
      <c r="M10189" s="16" t="str">
        <f>IFERROR(__xludf.DUMMYFUNCTION("""COMPUTED_VALUE"""),"")</f>
        <v/>
      </c>
      <c r="U10189" s="16" t="s">
        <v>87</v>
      </c>
      <c r="V10189" s="16" t="str">
        <f>IFERROR(__xludf.DUMMYFUNCTION("""COMPUTED_VALUE"""),"")</f>
        <v/>
      </c>
      <c r="W10189" s="16" t="str">
        <f>IFERROR(__xludf.DUMMYFUNCTION("""COMPUTED_VALUE"""),"")</f>
        <v/>
      </c>
      <c r="X10189" s="16" t="str">
        <f>IFERROR(__xludf.DUMMYFUNCTION("""COMPUTED_VALUE"""),"")</f>
        <v/>
      </c>
      <c r="AC10189" s="16" t="str">
        <f>IFERROR(__xludf.DUMMYFUNCTION("""COMPUTED_VALUE"""),"")</f>
        <v/>
      </c>
    </row>
    <row r="10190">
      <c r="A10190" s="16" t="s">
        <v>87</v>
      </c>
      <c r="E10190" s="16" t="str">
        <f>IFERROR(__xludf.DUMMYFUNCTION("""COMPUTED_VALUE"""),"")</f>
        <v/>
      </c>
      <c r="G10190" s="18"/>
      <c r="H10190" s="16" t="s">
        <v>87</v>
      </c>
      <c r="I10190" s="16" t="s">
        <v>87</v>
      </c>
      <c r="J10190" s="19"/>
      <c r="L10190" s="16" t="str">
        <f>IFERROR(__xludf.DUMMYFUNCTION("""COMPUTED_VALUE"""),"")</f>
        <v/>
      </c>
      <c r="M10190" s="16" t="str">
        <f>IFERROR(__xludf.DUMMYFUNCTION("""COMPUTED_VALUE"""),"")</f>
        <v/>
      </c>
      <c r="U10190" s="16" t="s">
        <v>87</v>
      </c>
      <c r="V10190" s="16" t="str">
        <f>IFERROR(__xludf.DUMMYFUNCTION("""COMPUTED_VALUE"""),"")</f>
        <v/>
      </c>
      <c r="W10190" s="16" t="str">
        <f>IFERROR(__xludf.DUMMYFUNCTION("""COMPUTED_VALUE"""),"")</f>
        <v/>
      </c>
      <c r="X10190" s="16" t="str">
        <f>IFERROR(__xludf.DUMMYFUNCTION("""COMPUTED_VALUE"""),"")</f>
        <v/>
      </c>
      <c r="AC10190" s="16" t="str">
        <f>IFERROR(__xludf.DUMMYFUNCTION("""COMPUTED_VALUE"""),"")</f>
        <v/>
      </c>
    </row>
    <row r="10191">
      <c r="A10191" s="16" t="s">
        <v>87</v>
      </c>
      <c r="E10191" s="16" t="str">
        <f>IFERROR(__xludf.DUMMYFUNCTION("""COMPUTED_VALUE"""),"")</f>
        <v/>
      </c>
      <c r="G10191" s="18"/>
      <c r="H10191" s="16" t="s">
        <v>87</v>
      </c>
      <c r="I10191" s="16" t="s">
        <v>87</v>
      </c>
      <c r="J10191" s="19"/>
      <c r="L10191" s="16" t="str">
        <f>IFERROR(__xludf.DUMMYFUNCTION("""COMPUTED_VALUE"""),"")</f>
        <v/>
      </c>
      <c r="M10191" s="16" t="str">
        <f>IFERROR(__xludf.DUMMYFUNCTION("""COMPUTED_VALUE"""),"")</f>
        <v/>
      </c>
      <c r="U10191" s="16" t="s">
        <v>87</v>
      </c>
      <c r="V10191" s="16" t="str">
        <f>IFERROR(__xludf.DUMMYFUNCTION("""COMPUTED_VALUE"""),"")</f>
        <v/>
      </c>
      <c r="W10191" s="16" t="str">
        <f>IFERROR(__xludf.DUMMYFUNCTION("""COMPUTED_VALUE"""),"")</f>
        <v/>
      </c>
      <c r="X10191" s="16" t="str">
        <f>IFERROR(__xludf.DUMMYFUNCTION("""COMPUTED_VALUE"""),"")</f>
        <v/>
      </c>
      <c r="AC10191" s="16" t="str">
        <f>IFERROR(__xludf.DUMMYFUNCTION("""COMPUTED_VALUE"""),"")</f>
        <v/>
      </c>
    </row>
    <row r="10192">
      <c r="A10192" s="16" t="s">
        <v>87</v>
      </c>
      <c r="E10192" s="16" t="str">
        <f>IFERROR(__xludf.DUMMYFUNCTION("""COMPUTED_VALUE"""),"")</f>
        <v/>
      </c>
      <c r="G10192" s="18"/>
      <c r="H10192" s="16" t="s">
        <v>87</v>
      </c>
      <c r="I10192" s="16" t="s">
        <v>87</v>
      </c>
      <c r="J10192" s="19"/>
      <c r="L10192" s="16" t="str">
        <f>IFERROR(__xludf.DUMMYFUNCTION("""COMPUTED_VALUE"""),"")</f>
        <v/>
      </c>
      <c r="M10192" s="16" t="str">
        <f>IFERROR(__xludf.DUMMYFUNCTION("""COMPUTED_VALUE"""),"")</f>
        <v/>
      </c>
      <c r="U10192" s="16" t="s">
        <v>87</v>
      </c>
      <c r="V10192" s="16" t="str">
        <f>IFERROR(__xludf.DUMMYFUNCTION("""COMPUTED_VALUE"""),"")</f>
        <v/>
      </c>
      <c r="W10192" s="16" t="str">
        <f>IFERROR(__xludf.DUMMYFUNCTION("""COMPUTED_VALUE"""),"")</f>
        <v/>
      </c>
      <c r="X10192" s="16" t="str">
        <f>IFERROR(__xludf.DUMMYFUNCTION("""COMPUTED_VALUE"""),"")</f>
        <v/>
      </c>
      <c r="AC10192" s="16" t="str">
        <f>IFERROR(__xludf.DUMMYFUNCTION("""COMPUTED_VALUE"""),"")</f>
        <v/>
      </c>
    </row>
    <row r="10193">
      <c r="A10193" s="16" t="s">
        <v>87</v>
      </c>
      <c r="E10193" s="16" t="str">
        <f>IFERROR(__xludf.DUMMYFUNCTION("""COMPUTED_VALUE"""),"")</f>
        <v/>
      </c>
      <c r="G10193" s="18"/>
      <c r="H10193" s="16" t="s">
        <v>87</v>
      </c>
      <c r="I10193" s="16" t="s">
        <v>87</v>
      </c>
      <c r="J10193" s="19"/>
      <c r="L10193" s="16" t="str">
        <f>IFERROR(__xludf.DUMMYFUNCTION("""COMPUTED_VALUE"""),"")</f>
        <v/>
      </c>
      <c r="M10193" s="16" t="str">
        <f>IFERROR(__xludf.DUMMYFUNCTION("""COMPUTED_VALUE"""),"")</f>
        <v/>
      </c>
      <c r="U10193" s="16" t="s">
        <v>87</v>
      </c>
      <c r="V10193" s="16" t="str">
        <f>IFERROR(__xludf.DUMMYFUNCTION("""COMPUTED_VALUE"""),"")</f>
        <v/>
      </c>
      <c r="W10193" s="16" t="str">
        <f>IFERROR(__xludf.DUMMYFUNCTION("""COMPUTED_VALUE"""),"")</f>
        <v/>
      </c>
      <c r="X10193" s="16" t="str">
        <f>IFERROR(__xludf.DUMMYFUNCTION("""COMPUTED_VALUE"""),"")</f>
        <v/>
      </c>
      <c r="AC10193" s="16" t="str">
        <f>IFERROR(__xludf.DUMMYFUNCTION("""COMPUTED_VALUE"""),"")</f>
        <v/>
      </c>
    </row>
    <row r="10194">
      <c r="A10194" s="16" t="s">
        <v>87</v>
      </c>
      <c r="E10194" s="16" t="str">
        <f>IFERROR(__xludf.DUMMYFUNCTION("""COMPUTED_VALUE"""),"")</f>
        <v/>
      </c>
      <c r="G10194" s="18"/>
      <c r="H10194" s="16" t="s">
        <v>87</v>
      </c>
      <c r="I10194" s="16" t="s">
        <v>87</v>
      </c>
      <c r="J10194" s="19"/>
      <c r="L10194" s="16" t="str">
        <f>IFERROR(__xludf.DUMMYFUNCTION("""COMPUTED_VALUE"""),"")</f>
        <v/>
      </c>
      <c r="M10194" s="16" t="str">
        <f>IFERROR(__xludf.DUMMYFUNCTION("""COMPUTED_VALUE"""),"")</f>
        <v/>
      </c>
      <c r="U10194" s="16" t="s">
        <v>87</v>
      </c>
      <c r="V10194" s="16" t="str">
        <f>IFERROR(__xludf.DUMMYFUNCTION("""COMPUTED_VALUE"""),"")</f>
        <v/>
      </c>
      <c r="W10194" s="16" t="str">
        <f>IFERROR(__xludf.DUMMYFUNCTION("""COMPUTED_VALUE"""),"")</f>
        <v/>
      </c>
      <c r="X10194" s="16" t="str">
        <f>IFERROR(__xludf.DUMMYFUNCTION("""COMPUTED_VALUE"""),"")</f>
        <v/>
      </c>
      <c r="AC10194" s="16" t="str">
        <f>IFERROR(__xludf.DUMMYFUNCTION("""COMPUTED_VALUE"""),"")</f>
        <v/>
      </c>
    </row>
    <row r="10195">
      <c r="A10195" s="16" t="s">
        <v>87</v>
      </c>
      <c r="E10195" s="16" t="str">
        <f>IFERROR(__xludf.DUMMYFUNCTION("""COMPUTED_VALUE"""),"")</f>
        <v/>
      </c>
      <c r="G10195" s="18"/>
      <c r="H10195" s="16" t="s">
        <v>87</v>
      </c>
      <c r="I10195" s="16" t="s">
        <v>87</v>
      </c>
      <c r="J10195" s="19"/>
      <c r="L10195" s="16" t="str">
        <f>IFERROR(__xludf.DUMMYFUNCTION("""COMPUTED_VALUE"""),"")</f>
        <v/>
      </c>
      <c r="M10195" s="16" t="str">
        <f>IFERROR(__xludf.DUMMYFUNCTION("""COMPUTED_VALUE"""),"")</f>
        <v/>
      </c>
      <c r="U10195" s="16" t="s">
        <v>87</v>
      </c>
      <c r="V10195" s="16" t="str">
        <f>IFERROR(__xludf.DUMMYFUNCTION("""COMPUTED_VALUE"""),"")</f>
        <v/>
      </c>
      <c r="W10195" s="16" t="str">
        <f>IFERROR(__xludf.DUMMYFUNCTION("""COMPUTED_VALUE"""),"")</f>
        <v/>
      </c>
      <c r="X10195" s="16" t="str">
        <f>IFERROR(__xludf.DUMMYFUNCTION("""COMPUTED_VALUE"""),"")</f>
        <v/>
      </c>
      <c r="AC10195" s="16" t="str">
        <f>IFERROR(__xludf.DUMMYFUNCTION("""COMPUTED_VALUE"""),"")</f>
        <v/>
      </c>
    </row>
    <row r="10196">
      <c r="A10196" s="16" t="s">
        <v>87</v>
      </c>
      <c r="E10196" s="16" t="str">
        <f>IFERROR(__xludf.DUMMYFUNCTION("""COMPUTED_VALUE"""),"")</f>
        <v/>
      </c>
      <c r="G10196" s="18"/>
      <c r="H10196" s="16" t="s">
        <v>87</v>
      </c>
      <c r="I10196" s="16" t="s">
        <v>87</v>
      </c>
      <c r="J10196" s="19"/>
      <c r="L10196" s="16" t="str">
        <f>IFERROR(__xludf.DUMMYFUNCTION("""COMPUTED_VALUE"""),"")</f>
        <v/>
      </c>
      <c r="M10196" s="16" t="str">
        <f>IFERROR(__xludf.DUMMYFUNCTION("""COMPUTED_VALUE"""),"")</f>
        <v/>
      </c>
      <c r="U10196" s="16" t="s">
        <v>87</v>
      </c>
      <c r="V10196" s="16" t="str">
        <f>IFERROR(__xludf.DUMMYFUNCTION("""COMPUTED_VALUE"""),"")</f>
        <v/>
      </c>
      <c r="W10196" s="16" t="str">
        <f>IFERROR(__xludf.DUMMYFUNCTION("""COMPUTED_VALUE"""),"")</f>
        <v/>
      </c>
      <c r="X10196" s="16" t="str">
        <f>IFERROR(__xludf.DUMMYFUNCTION("""COMPUTED_VALUE"""),"")</f>
        <v/>
      </c>
      <c r="AC10196" s="16" t="str">
        <f>IFERROR(__xludf.DUMMYFUNCTION("""COMPUTED_VALUE"""),"")</f>
        <v/>
      </c>
    </row>
    <row r="10197">
      <c r="A10197" s="16" t="s">
        <v>87</v>
      </c>
      <c r="E10197" s="16" t="str">
        <f>IFERROR(__xludf.DUMMYFUNCTION("""COMPUTED_VALUE"""),"")</f>
        <v/>
      </c>
      <c r="G10197" s="18"/>
      <c r="H10197" s="16" t="s">
        <v>87</v>
      </c>
      <c r="I10197" s="16" t="s">
        <v>87</v>
      </c>
      <c r="J10197" s="19"/>
      <c r="L10197" s="16" t="str">
        <f>IFERROR(__xludf.DUMMYFUNCTION("""COMPUTED_VALUE"""),"")</f>
        <v/>
      </c>
      <c r="M10197" s="16" t="str">
        <f>IFERROR(__xludf.DUMMYFUNCTION("""COMPUTED_VALUE"""),"")</f>
        <v/>
      </c>
      <c r="U10197" s="16" t="s">
        <v>87</v>
      </c>
      <c r="V10197" s="16" t="str">
        <f>IFERROR(__xludf.DUMMYFUNCTION("""COMPUTED_VALUE"""),"")</f>
        <v/>
      </c>
      <c r="W10197" s="16" t="str">
        <f>IFERROR(__xludf.DUMMYFUNCTION("""COMPUTED_VALUE"""),"")</f>
        <v/>
      </c>
      <c r="X10197" s="16" t="str">
        <f>IFERROR(__xludf.DUMMYFUNCTION("""COMPUTED_VALUE"""),"")</f>
        <v/>
      </c>
      <c r="AC10197" s="16" t="str">
        <f>IFERROR(__xludf.DUMMYFUNCTION("""COMPUTED_VALUE"""),"")</f>
        <v/>
      </c>
    </row>
    <row r="10198">
      <c r="A10198" s="16" t="s">
        <v>87</v>
      </c>
      <c r="E10198" s="16" t="str">
        <f>IFERROR(__xludf.DUMMYFUNCTION("""COMPUTED_VALUE"""),"")</f>
        <v/>
      </c>
      <c r="G10198" s="18"/>
      <c r="H10198" s="16" t="s">
        <v>87</v>
      </c>
      <c r="I10198" s="16" t="s">
        <v>87</v>
      </c>
      <c r="J10198" s="19"/>
      <c r="L10198" s="16" t="str">
        <f>IFERROR(__xludf.DUMMYFUNCTION("""COMPUTED_VALUE"""),"")</f>
        <v/>
      </c>
      <c r="M10198" s="16" t="str">
        <f>IFERROR(__xludf.DUMMYFUNCTION("""COMPUTED_VALUE"""),"")</f>
        <v/>
      </c>
      <c r="U10198" s="16" t="s">
        <v>87</v>
      </c>
      <c r="V10198" s="16" t="str">
        <f>IFERROR(__xludf.DUMMYFUNCTION("""COMPUTED_VALUE"""),"")</f>
        <v/>
      </c>
      <c r="W10198" s="16" t="str">
        <f>IFERROR(__xludf.DUMMYFUNCTION("""COMPUTED_VALUE"""),"")</f>
        <v/>
      </c>
      <c r="X10198" s="16" t="str">
        <f>IFERROR(__xludf.DUMMYFUNCTION("""COMPUTED_VALUE"""),"")</f>
        <v/>
      </c>
      <c r="AC10198" s="16" t="str">
        <f>IFERROR(__xludf.DUMMYFUNCTION("""COMPUTED_VALUE"""),"")</f>
        <v/>
      </c>
    </row>
    <row r="10199">
      <c r="A10199" s="16" t="s">
        <v>87</v>
      </c>
      <c r="E10199" s="16" t="str">
        <f>IFERROR(__xludf.DUMMYFUNCTION("""COMPUTED_VALUE"""),"")</f>
        <v/>
      </c>
      <c r="G10199" s="18"/>
      <c r="H10199" s="16" t="s">
        <v>87</v>
      </c>
      <c r="I10199" s="16" t="s">
        <v>87</v>
      </c>
      <c r="J10199" s="19"/>
      <c r="L10199" s="16" t="str">
        <f>IFERROR(__xludf.DUMMYFUNCTION("""COMPUTED_VALUE"""),"")</f>
        <v/>
      </c>
      <c r="M10199" s="16" t="str">
        <f>IFERROR(__xludf.DUMMYFUNCTION("""COMPUTED_VALUE"""),"")</f>
        <v/>
      </c>
      <c r="U10199" s="16" t="s">
        <v>87</v>
      </c>
      <c r="V10199" s="16" t="str">
        <f>IFERROR(__xludf.DUMMYFUNCTION("""COMPUTED_VALUE"""),"")</f>
        <v/>
      </c>
      <c r="W10199" s="16" t="str">
        <f>IFERROR(__xludf.DUMMYFUNCTION("""COMPUTED_VALUE"""),"")</f>
        <v/>
      </c>
      <c r="X10199" s="16" t="str">
        <f>IFERROR(__xludf.DUMMYFUNCTION("""COMPUTED_VALUE"""),"")</f>
        <v/>
      </c>
      <c r="AC10199" s="16" t="str">
        <f>IFERROR(__xludf.DUMMYFUNCTION("""COMPUTED_VALUE"""),"")</f>
        <v/>
      </c>
    </row>
    <row r="10200">
      <c r="A10200" s="16" t="s">
        <v>87</v>
      </c>
      <c r="E10200" s="16" t="str">
        <f>IFERROR(__xludf.DUMMYFUNCTION("""COMPUTED_VALUE"""),"")</f>
        <v/>
      </c>
      <c r="G10200" s="18"/>
      <c r="H10200" s="16" t="s">
        <v>87</v>
      </c>
      <c r="I10200" s="16" t="s">
        <v>87</v>
      </c>
      <c r="J10200" s="19"/>
      <c r="L10200" s="16" t="str">
        <f>IFERROR(__xludf.DUMMYFUNCTION("""COMPUTED_VALUE"""),"")</f>
        <v/>
      </c>
      <c r="M10200" s="16" t="str">
        <f>IFERROR(__xludf.DUMMYFUNCTION("""COMPUTED_VALUE"""),"")</f>
        <v/>
      </c>
      <c r="U10200" s="16" t="s">
        <v>87</v>
      </c>
      <c r="V10200" s="16" t="str">
        <f>IFERROR(__xludf.DUMMYFUNCTION("""COMPUTED_VALUE"""),"")</f>
        <v/>
      </c>
      <c r="W10200" s="16" t="str">
        <f>IFERROR(__xludf.DUMMYFUNCTION("""COMPUTED_VALUE"""),"")</f>
        <v/>
      </c>
      <c r="X10200" s="16" t="str">
        <f>IFERROR(__xludf.DUMMYFUNCTION("""COMPUTED_VALUE"""),"")</f>
        <v/>
      </c>
      <c r="AC10200" s="16" t="str">
        <f>IFERROR(__xludf.DUMMYFUNCTION("""COMPUTED_VALUE"""),"")</f>
        <v/>
      </c>
    </row>
    <row r="10201">
      <c r="A10201" s="16" t="s">
        <v>87</v>
      </c>
      <c r="E10201" s="16" t="str">
        <f>IFERROR(__xludf.DUMMYFUNCTION("""COMPUTED_VALUE"""),"")</f>
        <v/>
      </c>
      <c r="G10201" s="18"/>
      <c r="H10201" s="16" t="s">
        <v>87</v>
      </c>
      <c r="I10201" s="16" t="s">
        <v>87</v>
      </c>
      <c r="J10201" s="19"/>
      <c r="L10201" s="16" t="str">
        <f>IFERROR(__xludf.DUMMYFUNCTION("""COMPUTED_VALUE"""),"")</f>
        <v/>
      </c>
      <c r="M10201" s="16" t="str">
        <f>IFERROR(__xludf.DUMMYFUNCTION("""COMPUTED_VALUE"""),"")</f>
        <v/>
      </c>
      <c r="U10201" s="16" t="s">
        <v>87</v>
      </c>
      <c r="V10201" s="16" t="str">
        <f>IFERROR(__xludf.DUMMYFUNCTION("""COMPUTED_VALUE"""),"")</f>
        <v/>
      </c>
      <c r="W10201" s="16" t="str">
        <f>IFERROR(__xludf.DUMMYFUNCTION("""COMPUTED_VALUE"""),"")</f>
        <v/>
      </c>
      <c r="X10201" s="16" t="str">
        <f>IFERROR(__xludf.DUMMYFUNCTION("""COMPUTED_VALUE"""),"")</f>
        <v/>
      </c>
      <c r="AC10201" s="16" t="str">
        <f>IFERROR(__xludf.DUMMYFUNCTION("""COMPUTED_VALUE"""),"")</f>
        <v/>
      </c>
    </row>
    <row r="10202">
      <c r="A10202" s="16" t="s">
        <v>87</v>
      </c>
      <c r="E10202" s="16" t="str">
        <f>IFERROR(__xludf.DUMMYFUNCTION("""COMPUTED_VALUE"""),"")</f>
        <v/>
      </c>
      <c r="G10202" s="18"/>
      <c r="H10202" s="16" t="s">
        <v>87</v>
      </c>
      <c r="I10202" s="16" t="s">
        <v>87</v>
      </c>
      <c r="J10202" s="19"/>
      <c r="L10202" s="16" t="str">
        <f>IFERROR(__xludf.DUMMYFUNCTION("""COMPUTED_VALUE"""),"")</f>
        <v/>
      </c>
      <c r="M10202" s="16" t="str">
        <f>IFERROR(__xludf.DUMMYFUNCTION("""COMPUTED_VALUE"""),"")</f>
        <v/>
      </c>
      <c r="U10202" s="16" t="s">
        <v>87</v>
      </c>
      <c r="V10202" s="16" t="str">
        <f>IFERROR(__xludf.DUMMYFUNCTION("""COMPUTED_VALUE"""),"")</f>
        <v/>
      </c>
      <c r="W10202" s="16" t="str">
        <f>IFERROR(__xludf.DUMMYFUNCTION("""COMPUTED_VALUE"""),"")</f>
        <v/>
      </c>
      <c r="X10202" s="16" t="str">
        <f>IFERROR(__xludf.DUMMYFUNCTION("""COMPUTED_VALUE"""),"")</f>
        <v/>
      </c>
      <c r="AC10202" s="16" t="str">
        <f>IFERROR(__xludf.DUMMYFUNCTION("""COMPUTED_VALUE"""),"")</f>
        <v/>
      </c>
    </row>
    <row r="10203">
      <c r="A10203" s="16" t="s">
        <v>87</v>
      </c>
      <c r="E10203" s="16" t="str">
        <f>IFERROR(__xludf.DUMMYFUNCTION("""COMPUTED_VALUE"""),"")</f>
        <v/>
      </c>
      <c r="G10203" s="18"/>
      <c r="H10203" s="16" t="s">
        <v>87</v>
      </c>
      <c r="I10203" s="16" t="s">
        <v>87</v>
      </c>
      <c r="J10203" s="19"/>
      <c r="L10203" s="16" t="str">
        <f>IFERROR(__xludf.DUMMYFUNCTION("""COMPUTED_VALUE"""),"")</f>
        <v/>
      </c>
      <c r="M10203" s="16" t="str">
        <f>IFERROR(__xludf.DUMMYFUNCTION("""COMPUTED_VALUE"""),"")</f>
        <v/>
      </c>
      <c r="U10203" s="16" t="s">
        <v>87</v>
      </c>
      <c r="V10203" s="16" t="str">
        <f>IFERROR(__xludf.DUMMYFUNCTION("""COMPUTED_VALUE"""),"")</f>
        <v/>
      </c>
      <c r="W10203" s="16" t="str">
        <f>IFERROR(__xludf.DUMMYFUNCTION("""COMPUTED_VALUE"""),"")</f>
        <v/>
      </c>
      <c r="X10203" s="16" t="str">
        <f>IFERROR(__xludf.DUMMYFUNCTION("""COMPUTED_VALUE"""),"")</f>
        <v/>
      </c>
      <c r="AC10203" s="16" t="str">
        <f>IFERROR(__xludf.DUMMYFUNCTION("""COMPUTED_VALUE"""),"")</f>
        <v/>
      </c>
    </row>
    <row r="10204">
      <c r="A10204" s="16" t="s">
        <v>87</v>
      </c>
      <c r="E10204" s="16" t="str">
        <f>IFERROR(__xludf.DUMMYFUNCTION("""COMPUTED_VALUE"""),"")</f>
        <v/>
      </c>
      <c r="G10204" s="18"/>
      <c r="H10204" s="16" t="s">
        <v>87</v>
      </c>
      <c r="I10204" s="16" t="s">
        <v>87</v>
      </c>
      <c r="J10204" s="19"/>
      <c r="L10204" s="16" t="str">
        <f>IFERROR(__xludf.DUMMYFUNCTION("""COMPUTED_VALUE"""),"")</f>
        <v/>
      </c>
      <c r="M10204" s="16" t="str">
        <f>IFERROR(__xludf.DUMMYFUNCTION("""COMPUTED_VALUE"""),"")</f>
        <v/>
      </c>
      <c r="U10204" s="16" t="s">
        <v>87</v>
      </c>
      <c r="V10204" s="16" t="str">
        <f>IFERROR(__xludf.DUMMYFUNCTION("""COMPUTED_VALUE"""),"")</f>
        <v/>
      </c>
      <c r="W10204" s="16" t="str">
        <f>IFERROR(__xludf.DUMMYFUNCTION("""COMPUTED_VALUE"""),"")</f>
        <v/>
      </c>
      <c r="X10204" s="16" t="str">
        <f>IFERROR(__xludf.DUMMYFUNCTION("""COMPUTED_VALUE"""),"")</f>
        <v/>
      </c>
      <c r="AC10204" s="16" t="str">
        <f>IFERROR(__xludf.DUMMYFUNCTION("""COMPUTED_VALUE"""),"")</f>
        <v/>
      </c>
    </row>
    <row r="10205">
      <c r="A10205" s="16" t="s">
        <v>87</v>
      </c>
      <c r="E10205" s="16" t="str">
        <f>IFERROR(__xludf.DUMMYFUNCTION("""COMPUTED_VALUE"""),"")</f>
        <v/>
      </c>
      <c r="G10205" s="18"/>
      <c r="H10205" s="16" t="s">
        <v>87</v>
      </c>
      <c r="I10205" s="16" t="s">
        <v>87</v>
      </c>
      <c r="J10205" s="19"/>
      <c r="L10205" s="16" t="str">
        <f>IFERROR(__xludf.DUMMYFUNCTION("""COMPUTED_VALUE"""),"")</f>
        <v/>
      </c>
      <c r="M10205" s="16" t="str">
        <f>IFERROR(__xludf.DUMMYFUNCTION("""COMPUTED_VALUE"""),"")</f>
        <v/>
      </c>
      <c r="U10205" s="16" t="s">
        <v>87</v>
      </c>
      <c r="V10205" s="16" t="str">
        <f>IFERROR(__xludf.DUMMYFUNCTION("""COMPUTED_VALUE"""),"")</f>
        <v/>
      </c>
      <c r="W10205" s="16" t="str">
        <f>IFERROR(__xludf.DUMMYFUNCTION("""COMPUTED_VALUE"""),"")</f>
        <v/>
      </c>
      <c r="X10205" s="16" t="str">
        <f>IFERROR(__xludf.DUMMYFUNCTION("""COMPUTED_VALUE"""),"")</f>
        <v/>
      </c>
      <c r="AC10205" s="16" t="str">
        <f>IFERROR(__xludf.DUMMYFUNCTION("""COMPUTED_VALUE"""),"")</f>
        <v/>
      </c>
    </row>
    <row r="10206">
      <c r="A10206" s="16" t="s">
        <v>87</v>
      </c>
      <c r="E10206" s="16" t="str">
        <f>IFERROR(__xludf.DUMMYFUNCTION("""COMPUTED_VALUE"""),"")</f>
        <v/>
      </c>
      <c r="G10206" s="18"/>
      <c r="H10206" s="16" t="s">
        <v>87</v>
      </c>
      <c r="I10206" s="16" t="s">
        <v>87</v>
      </c>
      <c r="J10206" s="19"/>
      <c r="L10206" s="16" t="str">
        <f>IFERROR(__xludf.DUMMYFUNCTION("""COMPUTED_VALUE"""),"")</f>
        <v/>
      </c>
      <c r="M10206" s="16" t="str">
        <f>IFERROR(__xludf.DUMMYFUNCTION("""COMPUTED_VALUE"""),"")</f>
        <v/>
      </c>
      <c r="U10206" s="16" t="s">
        <v>87</v>
      </c>
      <c r="V10206" s="16" t="str">
        <f>IFERROR(__xludf.DUMMYFUNCTION("""COMPUTED_VALUE"""),"")</f>
        <v/>
      </c>
      <c r="W10206" s="16" t="str">
        <f>IFERROR(__xludf.DUMMYFUNCTION("""COMPUTED_VALUE"""),"")</f>
        <v/>
      </c>
      <c r="X10206" s="16" t="str">
        <f>IFERROR(__xludf.DUMMYFUNCTION("""COMPUTED_VALUE"""),"")</f>
        <v/>
      </c>
      <c r="AC10206" s="16" t="str">
        <f>IFERROR(__xludf.DUMMYFUNCTION("""COMPUTED_VALUE"""),"")</f>
        <v/>
      </c>
    </row>
    <row r="10207">
      <c r="A10207" s="16" t="s">
        <v>87</v>
      </c>
      <c r="E10207" s="16" t="str">
        <f>IFERROR(__xludf.DUMMYFUNCTION("""COMPUTED_VALUE"""),"")</f>
        <v/>
      </c>
      <c r="G10207" s="18"/>
      <c r="H10207" s="16" t="s">
        <v>87</v>
      </c>
      <c r="I10207" s="16" t="s">
        <v>87</v>
      </c>
      <c r="J10207" s="19"/>
      <c r="L10207" s="16" t="str">
        <f>IFERROR(__xludf.DUMMYFUNCTION("""COMPUTED_VALUE"""),"")</f>
        <v/>
      </c>
      <c r="M10207" s="16" t="str">
        <f>IFERROR(__xludf.DUMMYFUNCTION("""COMPUTED_VALUE"""),"")</f>
        <v/>
      </c>
      <c r="U10207" s="16" t="s">
        <v>87</v>
      </c>
      <c r="V10207" s="16" t="str">
        <f>IFERROR(__xludf.DUMMYFUNCTION("""COMPUTED_VALUE"""),"")</f>
        <v/>
      </c>
      <c r="W10207" s="16" t="str">
        <f>IFERROR(__xludf.DUMMYFUNCTION("""COMPUTED_VALUE"""),"")</f>
        <v/>
      </c>
      <c r="X10207" s="16" t="str">
        <f>IFERROR(__xludf.DUMMYFUNCTION("""COMPUTED_VALUE"""),"")</f>
        <v/>
      </c>
      <c r="AC10207" s="16" t="str">
        <f>IFERROR(__xludf.DUMMYFUNCTION("""COMPUTED_VALUE"""),"")</f>
        <v/>
      </c>
    </row>
    <row r="10208">
      <c r="A10208" s="16" t="s">
        <v>87</v>
      </c>
      <c r="E10208" s="16" t="str">
        <f>IFERROR(__xludf.DUMMYFUNCTION("""COMPUTED_VALUE"""),"")</f>
        <v/>
      </c>
      <c r="G10208" s="18"/>
      <c r="H10208" s="16" t="s">
        <v>87</v>
      </c>
      <c r="I10208" s="16" t="s">
        <v>87</v>
      </c>
      <c r="J10208" s="19"/>
      <c r="L10208" s="16" t="str">
        <f>IFERROR(__xludf.DUMMYFUNCTION("""COMPUTED_VALUE"""),"")</f>
        <v/>
      </c>
      <c r="M10208" s="16" t="str">
        <f>IFERROR(__xludf.DUMMYFUNCTION("""COMPUTED_VALUE"""),"")</f>
        <v/>
      </c>
      <c r="U10208" s="16" t="s">
        <v>87</v>
      </c>
      <c r="V10208" s="16" t="str">
        <f>IFERROR(__xludf.DUMMYFUNCTION("""COMPUTED_VALUE"""),"")</f>
        <v/>
      </c>
      <c r="W10208" s="16" t="str">
        <f>IFERROR(__xludf.DUMMYFUNCTION("""COMPUTED_VALUE"""),"")</f>
        <v/>
      </c>
      <c r="X10208" s="16" t="str">
        <f>IFERROR(__xludf.DUMMYFUNCTION("""COMPUTED_VALUE"""),"")</f>
        <v/>
      </c>
      <c r="AC10208" s="16" t="str">
        <f>IFERROR(__xludf.DUMMYFUNCTION("""COMPUTED_VALUE"""),"")</f>
        <v/>
      </c>
    </row>
    <row r="10209">
      <c r="A10209" s="16" t="s">
        <v>87</v>
      </c>
      <c r="E10209" s="16" t="str">
        <f>IFERROR(__xludf.DUMMYFUNCTION("""COMPUTED_VALUE"""),"")</f>
        <v/>
      </c>
      <c r="G10209" s="18"/>
      <c r="H10209" s="16" t="s">
        <v>87</v>
      </c>
      <c r="I10209" s="16" t="s">
        <v>87</v>
      </c>
      <c r="J10209" s="19"/>
      <c r="L10209" s="16" t="str">
        <f>IFERROR(__xludf.DUMMYFUNCTION("""COMPUTED_VALUE"""),"")</f>
        <v/>
      </c>
      <c r="M10209" s="16" t="str">
        <f>IFERROR(__xludf.DUMMYFUNCTION("""COMPUTED_VALUE"""),"")</f>
        <v/>
      </c>
      <c r="U10209" s="16" t="s">
        <v>87</v>
      </c>
      <c r="V10209" s="16" t="str">
        <f>IFERROR(__xludf.DUMMYFUNCTION("""COMPUTED_VALUE"""),"")</f>
        <v/>
      </c>
      <c r="W10209" s="16" t="str">
        <f>IFERROR(__xludf.DUMMYFUNCTION("""COMPUTED_VALUE"""),"")</f>
        <v/>
      </c>
      <c r="X10209" s="16" t="str">
        <f>IFERROR(__xludf.DUMMYFUNCTION("""COMPUTED_VALUE"""),"")</f>
        <v/>
      </c>
      <c r="AC10209" s="16" t="str">
        <f>IFERROR(__xludf.DUMMYFUNCTION("""COMPUTED_VALUE"""),"")</f>
        <v/>
      </c>
    </row>
    <row r="10210">
      <c r="A10210" s="16" t="s">
        <v>87</v>
      </c>
      <c r="E10210" s="16" t="str">
        <f>IFERROR(__xludf.DUMMYFUNCTION("""COMPUTED_VALUE"""),"")</f>
        <v/>
      </c>
      <c r="G10210" s="18"/>
      <c r="H10210" s="16" t="s">
        <v>87</v>
      </c>
      <c r="I10210" s="16" t="s">
        <v>87</v>
      </c>
      <c r="J10210" s="19"/>
      <c r="L10210" s="16" t="str">
        <f>IFERROR(__xludf.DUMMYFUNCTION("""COMPUTED_VALUE"""),"")</f>
        <v/>
      </c>
      <c r="M10210" s="16" t="str">
        <f>IFERROR(__xludf.DUMMYFUNCTION("""COMPUTED_VALUE"""),"")</f>
        <v/>
      </c>
      <c r="U10210" s="16" t="s">
        <v>87</v>
      </c>
      <c r="V10210" s="16" t="str">
        <f>IFERROR(__xludf.DUMMYFUNCTION("""COMPUTED_VALUE"""),"")</f>
        <v/>
      </c>
      <c r="W10210" s="16" t="str">
        <f>IFERROR(__xludf.DUMMYFUNCTION("""COMPUTED_VALUE"""),"")</f>
        <v/>
      </c>
      <c r="X10210" s="16" t="str">
        <f>IFERROR(__xludf.DUMMYFUNCTION("""COMPUTED_VALUE"""),"")</f>
        <v/>
      </c>
      <c r="AC10210" s="16" t="str">
        <f>IFERROR(__xludf.DUMMYFUNCTION("""COMPUTED_VALUE"""),"")</f>
        <v/>
      </c>
    </row>
    <row r="10211">
      <c r="A10211" s="16" t="s">
        <v>87</v>
      </c>
      <c r="E10211" s="16" t="str">
        <f>IFERROR(__xludf.DUMMYFUNCTION("""COMPUTED_VALUE"""),"")</f>
        <v/>
      </c>
      <c r="G10211" s="18"/>
      <c r="H10211" s="16" t="s">
        <v>87</v>
      </c>
      <c r="I10211" s="16" t="s">
        <v>87</v>
      </c>
      <c r="J10211" s="19"/>
      <c r="L10211" s="16" t="str">
        <f>IFERROR(__xludf.DUMMYFUNCTION("""COMPUTED_VALUE"""),"")</f>
        <v/>
      </c>
      <c r="M10211" s="16" t="str">
        <f>IFERROR(__xludf.DUMMYFUNCTION("""COMPUTED_VALUE"""),"")</f>
        <v/>
      </c>
      <c r="U10211" s="16" t="s">
        <v>87</v>
      </c>
      <c r="V10211" s="16" t="str">
        <f>IFERROR(__xludf.DUMMYFUNCTION("""COMPUTED_VALUE"""),"")</f>
        <v/>
      </c>
      <c r="W10211" s="16" t="str">
        <f>IFERROR(__xludf.DUMMYFUNCTION("""COMPUTED_VALUE"""),"")</f>
        <v/>
      </c>
      <c r="X10211" s="16" t="str">
        <f>IFERROR(__xludf.DUMMYFUNCTION("""COMPUTED_VALUE"""),"")</f>
        <v/>
      </c>
      <c r="AC10211" s="16" t="str">
        <f>IFERROR(__xludf.DUMMYFUNCTION("""COMPUTED_VALUE"""),"")</f>
        <v/>
      </c>
    </row>
    <row r="10212">
      <c r="A10212" s="16" t="s">
        <v>87</v>
      </c>
      <c r="E10212" s="16" t="str">
        <f>IFERROR(__xludf.DUMMYFUNCTION("""COMPUTED_VALUE"""),"")</f>
        <v/>
      </c>
      <c r="G10212" s="18"/>
      <c r="H10212" s="16" t="s">
        <v>87</v>
      </c>
      <c r="I10212" s="16" t="s">
        <v>87</v>
      </c>
      <c r="J10212" s="19"/>
      <c r="L10212" s="16" t="str">
        <f>IFERROR(__xludf.DUMMYFUNCTION("""COMPUTED_VALUE"""),"")</f>
        <v/>
      </c>
      <c r="M10212" s="16" t="str">
        <f>IFERROR(__xludf.DUMMYFUNCTION("""COMPUTED_VALUE"""),"")</f>
        <v/>
      </c>
      <c r="U10212" s="16" t="s">
        <v>87</v>
      </c>
      <c r="V10212" s="16" t="str">
        <f>IFERROR(__xludf.DUMMYFUNCTION("""COMPUTED_VALUE"""),"")</f>
        <v/>
      </c>
      <c r="W10212" s="16" t="str">
        <f>IFERROR(__xludf.DUMMYFUNCTION("""COMPUTED_VALUE"""),"")</f>
        <v/>
      </c>
      <c r="X10212" s="16" t="str">
        <f>IFERROR(__xludf.DUMMYFUNCTION("""COMPUTED_VALUE"""),"")</f>
        <v/>
      </c>
      <c r="AC10212" s="16" t="str">
        <f>IFERROR(__xludf.DUMMYFUNCTION("""COMPUTED_VALUE"""),"")</f>
        <v/>
      </c>
    </row>
    <row r="10213">
      <c r="A10213" s="16" t="s">
        <v>87</v>
      </c>
      <c r="E10213" s="16" t="str">
        <f>IFERROR(__xludf.DUMMYFUNCTION("""COMPUTED_VALUE"""),"")</f>
        <v/>
      </c>
      <c r="G10213" s="18"/>
      <c r="H10213" s="16" t="s">
        <v>87</v>
      </c>
      <c r="I10213" s="16" t="s">
        <v>87</v>
      </c>
      <c r="J10213" s="19"/>
      <c r="L10213" s="16" t="str">
        <f>IFERROR(__xludf.DUMMYFUNCTION("""COMPUTED_VALUE"""),"")</f>
        <v/>
      </c>
      <c r="M10213" s="16" t="str">
        <f>IFERROR(__xludf.DUMMYFUNCTION("""COMPUTED_VALUE"""),"")</f>
        <v/>
      </c>
      <c r="U10213" s="16" t="s">
        <v>87</v>
      </c>
      <c r="V10213" s="16" t="str">
        <f>IFERROR(__xludf.DUMMYFUNCTION("""COMPUTED_VALUE"""),"")</f>
        <v/>
      </c>
      <c r="W10213" s="16" t="str">
        <f>IFERROR(__xludf.DUMMYFUNCTION("""COMPUTED_VALUE"""),"")</f>
        <v/>
      </c>
      <c r="X10213" s="16" t="str">
        <f>IFERROR(__xludf.DUMMYFUNCTION("""COMPUTED_VALUE"""),"")</f>
        <v/>
      </c>
      <c r="AC10213" s="16" t="str">
        <f>IFERROR(__xludf.DUMMYFUNCTION("""COMPUTED_VALUE"""),"")</f>
        <v/>
      </c>
    </row>
    <row r="10214">
      <c r="A10214" s="16" t="s">
        <v>87</v>
      </c>
      <c r="E10214" s="16" t="str">
        <f>IFERROR(__xludf.DUMMYFUNCTION("""COMPUTED_VALUE"""),"")</f>
        <v/>
      </c>
      <c r="G10214" s="18"/>
      <c r="H10214" s="16" t="s">
        <v>87</v>
      </c>
      <c r="I10214" s="16" t="s">
        <v>87</v>
      </c>
      <c r="J10214" s="19"/>
      <c r="L10214" s="16" t="str">
        <f>IFERROR(__xludf.DUMMYFUNCTION("""COMPUTED_VALUE"""),"")</f>
        <v/>
      </c>
      <c r="M10214" s="16" t="str">
        <f>IFERROR(__xludf.DUMMYFUNCTION("""COMPUTED_VALUE"""),"")</f>
        <v/>
      </c>
      <c r="U10214" s="16" t="s">
        <v>87</v>
      </c>
      <c r="V10214" s="16" t="str">
        <f>IFERROR(__xludf.DUMMYFUNCTION("""COMPUTED_VALUE"""),"")</f>
        <v/>
      </c>
      <c r="W10214" s="16" t="str">
        <f>IFERROR(__xludf.DUMMYFUNCTION("""COMPUTED_VALUE"""),"")</f>
        <v/>
      </c>
      <c r="X10214" s="16" t="str">
        <f>IFERROR(__xludf.DUMMYFUNCTION("""COMPUTED_VALUE"""),"")</f>
        <v/>
      </c>
      <c r="AC10214" s="16" t="str">
        <f>IFERROR(__xludf.DUMMYFUNCTION("""COMPUTED_VALUE"""),"")</f>
        <v/>
      </c>
    </row>
    <row r="10215">
      <c r="A10215" s="16" t="s">
        <v>87</v>
      </c>
      <c r="E10215" s="16" t="str">
        <f>IFERROR(__xludf.DUMMYFUNCTION("""COMPUTED_VALUE"""),"")</f>
        <v/>
      </c>
      <c r="G10215" s="18"/>
      <c r="H10215" s="16" t="s">
        <v>87</v>
      </c>
      <c r="I10215" s="16" t="s">
        <v>87</v>
      </c>
      <c r="J10215" s="19"/>
      <c r="L10215" s="16" t="str">
        <f>IFERROR(__xludf.DUMMYFUNCTION("""COMPUTED_VALUE"""),"")</f>
        <v/>
      </c>
      <c r="M10215" s="16" t="str">
        <f>IFERROR(__xludf.DUMMYFUNCTION("""COMPUTED_VALUE"""),"")</f>
        <v/>
      </c>
      <c r="U10215" s="16" t="s">
        <v>87</v>
      </c>
      <c r="V10215" s="16" t="str">
        <f>IFERROR(__xludf.DUMMYFUNCTION("""COMPUTED_VALUE"""),"")</f>
        <v/>
      </c>
      <c r="W10215" s="16" t="str">
        <f>IFERROR(__xludf.DUMMYFUNCTION("""COMPUTED_VALUE"""),"")</f>
        <v/>
      </c>
      <c r="X10215" s="16" t="str">
        <f>IFERROR(__xludf.DUMMYFUNCTION("""COMPUTED_VALUE"""),"")</f>
        <v/>
      </c>
      <c r="AC10215" s="16" t="str">
        <f>IFERROR(__xludf.DUMMYFUNCTION("""COMPUTED_VALUE"""),"")</f>
        <v/>
      </c>
    </row>
    <row r="10216">
      <c r="A10216" s="16" t="s">
        <v>87</v>
      </c>
      <c r="E10216" s="16" t="str">
        <f>IFERROR(__xludf.DUMMYFUNCTION("""COMPUTED_VALUE"""),"")</f>
        <v/>
      </c>
      <c r="G10216" s="18"/>
      <c r="H10216" s="16" t="s">
        <v>87</v>
      </c>
      <c r="I10216" s="16" t="s">
        <v>87</v>
      </c>
      <c r="J10216" s="19"/>
      <c r="L10216" s="16" t="str">
        <f>IFERROR(__xludf.DUMMYFUNCTION("""COMPUTED_VALUE"""),"")</f>
        <v/>
      </c>
      <c r="M10216" s="16" t="str">
        <f>IFERROR(__xludf.DUMMYFUNCTION("""COMPUTED_VALUE"""),"")</f>
        <v/>
      </c>
      <c r="U10216" s="16" t="s">
        <v>87</v>
      </c>
      <c r="V10216" s="16" t="str">
        <f>IFERROR(__xludf.DUMMYFUNCTION("""COMPUTED_VALUE"""),"")</f>
        <v/>
      </c>
      <c r="W10216" s="16" t="str">
        <f>IFERROR(__xludf.DUMMYFUNCTION("""COMPUTED_VALUE"""),"")</f>
        <v/>
      </c>
      <c r="X10216" s="16" t="str">
        <f>IFERROR(__xludf.DUMMYFUNCTION("""COMPUTED_VALUE"""),"")</f>
        <v/>
      </c>
      <c r="AC10216" s="16" t="str">
        <f>IFERROR(__xludf.DUMMYFUNCTION("""COMPUTED_VALUE"""),"")</f>
        <v/>
      </c>
    </row>
    <row r="10217">
      <c r="A10217" s="16" t="s">
        <v>87</v>
      </c>
      <c r="E10217" s="16" t="str">
        <f>IFERROR(__xludf.DUMMYFUNCTION("""COMPUTED_VALUE"""),"")</f>
        <v/>
      </c>
      <c r="G10217" s="18"/>
      <c r="H10217" s="16" t="s">
        <v>87</v>
      </c>
      <c r="I10217" s="16" t="s">
        <v>87</v>
      </c>
      <c r="J10217" s="19"/>
      <c r="L10217" s="16" t="str">
        <f>IFERROR(__xludf.DUMMYFUNCTION("""COMPUTED_VALUE"""),"")</f>
        <v/>
      </c>
      <c r="M10217" s="16" t="str">
        <f>IFERROR(__xludf.DUMMYFUNCTION("""COMPUTED_VALUE"""),"")</f>
        <v/>
      </c>
      <c r="U10217" s="16" t="s">
        <v>87</v>
      </c>
      <c r="V10217" s="16" t="str">
        <f>IFERROR(__xludf.DUMMYFUNCTION("""COMPUTED_VALUE"""),"")</f>
        <v/>
      </c>
      <c r="W10217" s="16" t="str">
        <f>IFERROR(__xludf.DUMMYFUNCTION("""COMPUTED_VALUE"""),"")</f>
        <v/>
      </c>
      <c r="X10217" s="16" t="str">
        <f>IFERROR(__xludf.DUMMYFUNCTION("""COMPUTED_VALUE"""),"")</f>
        <v/>
      </c>
      <c r="AC10217" s="16" t="str">
        <f>IFERROR(__xludf.DUMMYFUNCTION("""COMPUTED_VALUE"""),"")</f>
        <v/>
      </c>
    </row>
    <row r="10218">
      <c r="A10218" s="16" t="s">
        <v>87</v>
      </c>
      <c r="E10218" s="16" t="str">
        <f>IFERROR(__xludf.DUMMYFUNCTION("""COMPUTED_VALUE"""),"")</f>
        <v/>
      </c>
      <c r="G10218" s="18"/>
      <c r="H10218" s="16" t="s">
        <v>87</v>
      </c>
      <c r="I10218" s="16" t="s">
        <v>87</v>
      </c>
      <c r="J10218" s="19"/>
      <c r="L10218" s="16" t="str">
        <f>IFERROR(__xludf.DUMMYFUNCTION("""COMPUTED_VALUE"""),"")</f>
        <v/>
      </c>
      <c r="M10218" s="16" t="str">
        <f>IFERROR(__xludf.DUMMYFUNCTION("""COMPUTED_VALUE"""),"")</f>
        <v/>
      </c>
      <c r="U10218" s="16" t="s">
        <v>87</v>
      </c>
      <c r="V10218" s="16" t="str">
        <f>IFERROR(__xludf.DUMMYFUNCTION("""COMPUTED_VALUE"""),"")</f>
        <v/>
      </c>
      <c r="W10218" s="16" t="str">
        <f>IFERROR(__xludf.DUMMYFUNCTION("""COMPUTED_VALUE"""),"")</f>
        <v/>
      </c>
      <c r="X10218" s="16" t="str">
        <f>IFERROR(__xludf.DUMMYFUNCTION("""COMPUTED_VALUE"""),"")</f>
        <v/>
      </c>
      <c r="AC10218" s="16" t="str">
        <f>IFERROR(__xludf.DUMMYFUNCTION("""COMPUTED_VALUE"""),"")</f>
        <v/>
      </c>
    </row>
    <row r="10219">
      <c r="A10219" s="16" t="s">
        <v>87</v>
      </c>
      <c r="E10219" s="16" t="str">
        <f>IFERROR(__xludf.DUMMYFUNCTION("""COMPUTED_VALUE"""),"")</f>
        <v/>
      </c>
      <c r="G10219" s="18"/>
      <c r="H10219" s="16" t="s">
        <v>87</v>
      </c>
      <c r="I10219" s="16" t="s">
        <v>87</v>
      </c>
      <c r="J10219" s="19"/>
      <c r="L10219" s="16" t="str">
        <f>IFERROR(__xludf.DUMMYFUNCTION("""COMPUTED_VALUE"""),"")</f>
        <v/>
      </c>
      <c r="M10219" s="16" t="str">
        <f>IFERROR(__xludf.DUMMYFUNCTION("""COMPUTED_VALUE"""),"")</f>
        <v/>
      </c>
      <c r="U10219" s="16" t="s">
        <v>87</v>
      </c>
      <c r="V10219" s="16" t="str">
        <f>IFERROR(__xludf.DUMMYFUNCTION("""COMPUTED_VALUE"""),"")</f>
        <v/>
      </c>
      <c r="W10219" s="16" t="str">
        <f>IFERROR(__xludf.DUMMYFUNCTION("""COMPUTED_VALUE"""),"")</f>
        <v/>
      </c>
      <c r="X10219" s="16" t="str">
        <f>IFERROR(__xludf.DUMMYFUNCTION("""COMPUTED_VALUE"""),"")</f>
        <v/>
      </c>
      <c r="AC10219" s="16" t="str">
        <f>IFERROR(__xludf.DUMMYFUNCTION("""COMPUTED_VALUE"""),"")</f>
        <v/>
      </c>
    </row>
    <row r="10220">
      <c r="A10220" s="16" t="s">
        <v>87</v>
      </c>
      <c r="E10220" s="16" t="str">
        <f>IFERROR(__xludf.DUMMYFUNCTION("""COMPUTED_VALUE"""),"")</f>
        <v/>
      </c>
      <c r="G10220" s="18"/>
      <c r="H10220" s="16" t="s">
        <v>87</v>
      </c>
      <c r="I10220" s="16" t="s">
        <v>87</v>
      </c>
      <c r="J10220" s="19"/>
      <c r="L10220" s="16" t="str">
        <f>IFERROR(__xludf.DUMMYFUNCTION("""COMPUTED_VALUE"""),"")</f>
        <v/>
      </c>
      <c r="M10220" s="16" t="str">
        <f>IFERROR(__xludf.DUMMYFUNCTION("""COMPUTED_VALUE"""),"")</f>
        <v/>
      </c>
      <c r="U10220" s="16" t="s">
        <v>87</v>
      </c>
      <c r="V10220" s="16" t="str">
        <f>IFERROR(__xludf.DUMMYFUNCTION("""COMPUTED_VALUE"""),"")</f>
        <v/>
      </c>
      <c r="W10220" s="16" t="str">
        <f>IFERROR(__xludf.DUMMYFUNCTION("""COMPUTED_VALUE"""),"")</f>
        <v/>
      </c>
      <c r="X10220" s="16" t="str">
        <f>IFERROR(__xludf.DUMMYFUNCTION("""COMPUTED_VALUE"""),"")</f>
        <v/>
      </c>
      <c r="AC10220" s="16" t="str">
        <f>IFERROR(__xludf.DUMMYFUNCTION("""COMPUTED_VALUE"""),"")</f>
        <v/>
      </c>
    </row>
    <row r="10221">
      <c r="A10221" s="16" t="s">
        <v>87</v>
      </c>
      <c r="E10221" s="16" t="str">
        <f>IFERROR(__xludf.DUMMYFUNCTION("""COMPUTED_VALUE"""),"")</f>
        <v/>
      </c>
      <c r="G10221" s="18"/>
      <c r="H10221" s="16" t="s">
        <v>87</v>
      </c>
      <c r="I10221" s="16" t="s">
        <v>87</v>
      </c>
      <c r="J10221" s="19"/>
      <c r="L10221" s="16" t="str">
        <f>IFERROR(__xludf.DUMMYFUNCTION("""COMPUTED_VALUE"""),"")</f>
        <v/>
      </c>
      <c r="M10221" s="16" t="str">
        <f>IFERROR(__xludf.DUMMYFUNCTION("""COMPUTED_VALUE"""),"")</f>
        <v/>
      </c>
      <c r="U10221" s="16" t="s">
        <v>87</v>
      </c>
      <c r="V10221" s="16" t="str">
        <f>IFERROR(__xludf.DUMMYFUNCTION("""COMPUTED_VALUE"""),"")</f>
        <v/>
      </c>
      <c r="W10221" s="16" t="str">
        <f>IFERROR(__xludf.DUMMYFUNCTION("""COMPUTED_VALUE"""),"")</f>
        <v/>
      </c>
      <c r="X10221" s="16" t="str">
        <f>IFERROR(__xludf.DUMMYFUNCTION("""COMPUTED_VALUE"""),"")</f>
        <v/>
      </c>
      <c r="AC10221" s="16" t="str">
        <f>IFERROR(__xludf.DUMMYFUNCTION("""COMPUTED_VALUE"""),"")</f>
        <v/>
      </c>
    </row>
    <row r="10222">
      <c r="A10222" s="16" t="s">
        <v>87</v>
      </c>
      <c r="E10222" s="16" t="str">
        <f>IFERROR(__xludf.DUMMYFUNCTION("""COMPUTED_VALUE"""),"")</f>
        <v/>
      </c>
      <c r="G10222" s="18"/>
      <c r="H10222" s="16" t="s">
        <v>87</v>
      </c>
      <c r="I10222" s="16" t="s">
        <v>87</v>
      </c>
      <c r="J10222" s="19"/>
      <c r="L10222" s="16" t="str">
        <f>IFERROR(__xludf.DUMMYFUNCTION("""COMPUTED_VALUE"""),"")</f>
        <v/>
      </c>
      <c r="M10222" s="16" t="str">
        <f>IFERROR(__xludf.DUMMYFUNCTION("""COMPUTED_VALUE"""),"")</f>
        <v/>
      </c>
      <c r="U10222" s="16" t="s">
        <v>87</v>
      </c>
      <c r="V10222" s="16" t="str">
        <f>IFERROR(__xludf.DUMMYFUNCTION("""COMPUTED_VALUE"""),"")</f>
        <v/>
      </c>
      <c r="W10222" s="16" t="str">
        <f>IFERROR(__xludf.DUMMYFUNCTION("""COMPUTED_VALUE"""),"")</f>
        <v/>
      </c>
      <c r="X10222" s="16" t="str">
        <f>IFERROR(__xludf.DUMMYFUNCTION("""COMPUTED_VALUE"""),"")</f>
        <v/>
      </c>
      <c r="AC10222" s="16" t="str">
        <f>IFERROR(__xludf.DUMMYFUNCTION("""COMPUTED_VALUE"""),"")</f>
        <v/>
      </c>
    </row>
    <row r="10223">
      <c r="A10223" s="16" t="s">
        <v>87</v>
      </c>
      <c r="E10223" s="16" t="str">
        <f>IFERROR(__xludf.DUMMYFUNCTION("""COMPUTED_VALUE"""),"")</f>
        <v/>
      </c>
      <c r="G10223" s="18"/>
      <c r="H10223" s="16" t="s">
        <v>87</v>
      </c>
      <c r="I10223" s="16" t="s">
        <v>87</v>
      </c>
      <c r="J10223" s="19"/>
      <c r="L10223" s="16" t="str">
        <f>IFERROR(__xludf.DUMMYFUNCTION("""COMPUTED_VALUE"""),"")</f>
        <v/>
      </c>
      <c r="M10223" s="16" t="str">
        <f>IFERROR(__xludf.DUMMYFUNCTION("""COMPUTED_VALUE"""),"")</f>
        <v/>
      </c>
      <c r="U10223" s="16" t="s">
        <v>87</v>
      </c>
      <c r="V10223" s="16" t="str">
        <f>IFERROR(__xludf.DUMMYFUNCTION("""COMPUTED_VALUE"""),"")</f>
        <v/>
      </c>
      <c r="W10223" s="16" t="str">
        <f>IFERROR(__xludf.DUMMYFUNCTION("""COMPUTED_VALUE"""),"")</f>
        <v/>
      </c>
      <c r="X10223" s="16" t="str">
        <f>IFERROR(__xludf.DUMMYFUNCTION("""COMPUTED_VALUE"""),"")</f>
        <v/>
      </c>
      <c r="AC10223" s="16" t="str">
        <f>IFERROR(__xludf.DUMMYFUNCTION("""COMPUTED_VALUE"""),"")</f>
        <v/>
      </c>
    </row>
    <row r="10224">
      <c r="A10224" s="16" t="s">
        <v>87</v>
      </c>
      <c r="E10224" s="16" t="str">
        <f>IFERROR(__xludf.DUMMYFUNCTION("""COMPUTED_VALUE"""),"")</f>
        <v/>
      </c>
      <c r="G10224" s="18"/>
      <c r="H10224" s="16" t="s">
        <v>87</v>
      </c>
      <c r="I10224" s="16" t="s">
        <v>87</v>
      </c>
      <c r="J10224" s="19"/>
      <c r="L10224" s="16" t="str">
        <f>IFERROR(__xludf.DUMMYFUNCTION("""COMPUTED_VALUE"""),"")</f>
        <v/>
      </c>
      <c r="M10224" s="16" t="str">
        <f>IFERROR(__xludf.DUMMYFUNCTION("""COMPUTED_VALUE"""),"")</f>
        <v/>
      </c>
      <c r="U10224" s="16" t="s">
        <v>87</v>
      </c>
      <c r="V10224" s="16" t="str">
        <f>IFERROR(__xludf.DUMMYFUNCTION("""COMPUTED_VALUE"""),"")</f>
        <v/>
      </c>
      <c r="W10224" s="16" t="str">
        <f>IFERROR(__xludf.DUMMYFUNCTION("""COMPUTED_VALUE"""),"")</f>
        <v/>
      </c>
      <c r="X10224" s="16" t="str">
        <f>IFERROR(__xludf.DUMMYFUNCTION("""COMPUTED_VALUE"""),"")</f>
        <v/>
      </c>
      <c r="AC10224" s="16" t="str">
        <f>IFERROR(__xludf.DUMMYFUNCTION("""COMPUTED_VALUE"""),"")</f>
        <v/>
      </c>
    </row>
    <row r="10225">
      <c r="A10225" s="16" t="s">
        <v>87</v>
      </c>
      <c r="E10225" s="16" t="str">
        <f>IFERROR(__xludf.DUMMYFUNCTION("""COMPUTED_VALUE"""),"")</f>
        <v/>
      </c>
      <c r="G10225" s="18"/>
      <c r="H10225" s="16" t="s">
        <v>87</v>
      </c>
      <c r="I10225" s="16" t="s">
        <v>87</v>
      </c>
      <c r="J10225" s="19"/>
      <c r="L10225" s="16" t="str">
        <f>IFERROR(__xludf.DUMMYFUNCTION("""COMPUTED_VALUE"""),"")</f>
        <v/>
      </c>
      <c r="M10225" s="16" t="str">
        <f>IFERROR(__xludf.DUMMYFUNCTION("""COMPUTED_VALUE"""),"")</f>
        <v/>
      </c>
      <c r="U10225" s="16" t="s">
        <v>87</v>
      </c>
      <c r="V10225" s="16" t="str">
        <f>IFERROR(__xludf.DUMMYFUNCTION("""COMPUTED_VALUE"""),"")</f>
        <v/>
      </c>
      <c r="W10225" s="16" t="str">
        <f>IFERROR(__xludf.DUMMYFUNCTION("""COMPUTED_VALUE"""),"")</f>
        <v/>
      </c>
      <c r="X10225" s="16" t="str">
        <f>IFERROR(__xludf.DUMMYFUNCTION("""COMPUTED_VALUE"""),"")</f>
        <v/>
      </c>
      <c r="AC10225" s="16" t="str">
        <f>IFERROR(__xludf.DUMMYFUNCTION("""COMPUTED_VALUE"""),"")</f>
        <v/>
      </c>
    </row>
    <row r="10226">
      <c r="A10226" s="16" t="s">
        <v>87</v>
      </c>
      <c r="E10226" s="16" t="str">
        <f>IFERROR(__xludf.DUMMYFUNCTION("""COMPUTED_VALUE"""),"")</f>
        <v/>
      </c>
      <c r="G10226" s="18"/>
      <c r="H10226" s="16" t="s">
        <v>87</v>
      </c>
      <c r="I10226" s="16" t="s">
        <v>87</v>
      </c>
      <c r="J10226" s="19"/>
      <c r="L10226" s="16" t="str">
        <f>IFERROR(__xludf.DUMMYFUNCTION("""COMPUTED_VALUE"""),"")</f>
        <v/>
      </c>
      <c r="M10226" s="16" t="str">
        <f>IFERROR(__xludf.DUMMYFUNCTION("""COMPUTED_VALUE"""),"")</f>
        <v/>
      </c>
      <c r="U10226" s="16" t="s">
        <v>87</v>
      </c>
      <c r="V10226" s="16" t="str">
        <f>IFERROR(__xludf.DUMMYFUNCTION("""COMPUTED_VALUE"""),"")</f>
        <v/>
      </c>
      <c r="W10226" s="16" t="str">
        <f>IFERROR(__xludf.DUMMYFUNCTION("""COMPUTED_VALUE"""),"")</f>
        <v/>
      </c>
      <c r="X10226" s="16" t="str">
        <f>IFERROR(__xludf.DUMMYFUNCTION("""COMPUTED_VALUE"""),"")</f>
        <v/>
      </c>
      <c r="AC10226" s="16" t="str">
        <f>IFERROR(__xludf.DUMMYFUNCTION("""COMPUTED_VALUE"""),"")</f>
        <v/>
      </c>
    </row>
    <row r="10227">
      <c r="A10227" s="16" t="s">
        <v>87</v>
      </c>
      <c r="E10227" s="16" t="str">
        <f>IFERROR(__xludf.DUMMYFUNCTION("""COMPUTED_VALUE"""),"")</f>
        <v/>
      </c>
      <c r="G10227" s="18"/>
      <c r="H10227" s="16" t="s">
        <v>87</v>
      </c>
      <c r="I10227" s="16" t="s">
        <v>87</v>
      </c>
      <c r="J10227" s="19"/>
      <c r="L10227" s="16" t="str">
        <f>IFERROR(__xludf.DUMMYFUNCTION("""COMPUTED_VALUE"""),"")</f>
        <v/>
      </c>
      <c r="M10227" s="16" t="str">
        <f>IFERROR(__xludf.DUMMYFUNCTION("""COMPUTED_VALUE"""),"")</f>
        <v/>
      </c>
      <c r="U10227" s="16" t="s">
        <v>87</v>
      </c>
      <c r="V10227" s="16" t="str">
        <f>IFERROR(__xludf.DUMMYFUNCTION("""COMPUTED_VALUE"""),"")</f>
        <v/>
      </c>
      <c r="W10227" s="16" t="str">
        <f>IFERROR(__xludf.DUMMYFUNCTION("""COMPUTED_VALUE"""),"")</f>
        <v/>
      </c>
      <c r="X10227" s="16" t="str">
        <f>IFERROR(__xludf.DUMMYFUNCTION("""COMPUTED_VALUE"""),"")</f>
        <v/>
      </c>
      <c r="AC10227" s="16" t="str">
        <f>IFERROR(__xludf.DUMMYFUNCTION("""COMPUTED_VALUE"""),"")</f>
        <v/>
      </c>
    </row>
    <row r="10228">
      <c r="A10228" s="16" t="s">
        <v>87</v>
      </c>
      <c r="E10228" s="16" t="str">
        <f>IFERROR(__xludf.DUMMYFUNCTION("""COMPUTED_VALUE"""),"")</f>
        <v/>
      </c>
      <c r="G10228" s="18"/>
      <c r="H10228" s="16" t="s">
        <v>87</v>
      </c>
      <c r="I10228" s="16" t="s">
        <v>87</v>
      </c>
      <c r="J10228" s="19"/>
      <c r="L10228" s="16" t="str">
        <f>IFERROR(__xludf.DUMMYFUNCTION("""COMPUTED_VALUE"""),"")</f>
        <v/>
      </c>
      <c r="M10228" s="16" t="str">
        <f>IFERROR(__xludf.DUMMYFUNCTION("""COMPUTED_VALUE"""),"")</f>
        <v/>
      </c>
      <c r="U10228" s="16" t="s">
        <v>87</v>
      </c>
      <c r="V10228" s="16" t="str">
        <f>IFERROR(__xludf.DUMMYFUNCTION("""COMPUTED_VALUE"""),"")</f>
        <v/>
      </c>
      <c r="W10228" s="16" t="str">
        <f>IFERROR(__xludf.DUMMYFUNCTION("""COMPUTED_VALUE"""),"")</f>
        <v/>
      </c>
      <c r="X10228" s="16" t="str">
        <f>IFERROR(__xludf.DUMMYFUNCTION("""COMPUTED_VALUE"""),"")</f>
        <v/>
      </c>
      <c r="AC10228" s="16" t="str">
        <f>IFERROR(__xludf.DUMMYFUNCTION("""COMPUTED_VALUE"""),"")</f>
        <v/>
      </c>
    </row>
    <row r="10229">
      <c r="A10229" s="16" t="s">
        <v>87</v>
      </c>
      <c r="E10229" s="16" t="str">
        <f>IFERROR(__xludf.DUMMYFUNCTION("""COMPUTED_VALUE"""),"")</f>
        <v/>
      </c>
      <c r="G10229" s="18"/>
      <c r="H10229" s="16" t="s">
        <v>87</v>
      </c>
      <c r="I10229" s="16" t="s">
        <v>87</v>
      </c>
      <c r="J10229" s="19"/>
      <c r="L10229" s="16" t="str">
        <f>IFERROR(__xludf.DUMMYFUNCTION("""COMPUTED_VALUE"""),"")</f>
        <v/>
      </c>
      <c r="M10229" s="16" t="str">
        <f>IFERROR(__xludf.DUMMYFUNCTION("""COMPUTED_VALUE"""),"")</f>
        <v/>
      </c>
      <c r="U10229" s="16" t="s">
        <v>87</v>
      </c>
      <c r="V10229" s="16" t="str">
        <f>IFERROR(__xludf.DUMMYFUNCTION("""COMPUTED_VALUE"""),"")</f>
        <v/>
      </c>
      <c r="W10229" s="16" t="str">
        <f>IFERROR(__xludf.DUMMYFUNCTION("""COMPUTED_VALUE"""),"")</f>
        <v/>
      </c>
      <c r="X10229" s="16" t="str">
        <f>IFERROR(__xludf.DUMMYFUNCTION("""COMPUTED_VALUE"""),"")</f>
        <v/>
      </c>
      <c r="AC10229" s="16" t="str">
        <f>IFERROR(__xludf.DUMMYFUNCTION("""COMPUTED_VALUE"""),"")</f>
        <v/>
      </c>
    </row>
    <row r="10230">
      <c r="A10230" s="16" t="s">
        <v>87</v>
      </c>
      <c r="E10230" s="16" t="str">
        <f>IFERROR(__xludf.DUMMYFUNCTION("""COMPUTED_VALUE"""),"")</f>
        <v/>
      </c>
      <c r="G10230" s="18"/>
      <c r="H10230" s="16" t="s">
        <v>87</v>
      </c>
      <c r="I10230" s="16" t="s">
        <v>87</v>
      </c>
      <c r="J10230" s="19"/>
      <c r="L10230" s="16" t="str">
        <f>IFERROR(__xludf.DUMMYFUNCTION("""COMPUTED_VALUE"""),"")</f>
        <v/>
      </c>
      <c r="M10230" s="16" t="str">
        <f>IFERROR(__xludf.DUMMYFUNCTION("""COMPUTED_VALUE"""),"")</f>
        <v/>
      </c>
      <c r="U10230" s="16" t="s">
        <v>87</v>
      </c>
      <c r="V10230" s="16" t="str">
        <f>IFERROR(__xludf.DUMMYFUNCTION("""COMPUTED_VALUE"""),"")</f>
        <v/>
      </c>
      <c r="W10230" s="16" t="str">
        <f>IFERROR(__xludf.DUMMYFUNCTION("""COMPUTED_VALUE"""),"")</f>
        <v/>
      </c>
      <c r="X10230" s="16" t="str">
        <f>IFERROR(__xludf.DUMMYFUNCTION("""COMPUTED_VALUE"""),"")</f>
        <v/>
      </c>
      <c r="AC10230" s="16" t="str">
        <f>IFERROR(__xludf.DUMMYFUNCTION("""COMPUTED_VALUE"""),"")</f>
        <v/>
      </c>
    </row>
    <row r="10231">
      <c r="A10231" s="16" t="s">
        <v>87</v>
      </c>
      <c r="E10231" s="16" t="str">
        <f>IFERROR(__xludf.DUMMYFUNCTION("""COMPUTED_VALUE"""),"")</f>
        <v/>
      </c>
      <c r="G10231" s="18"/>
      <c r="H10231" s="16" t="s">
        <v>87</v>
      </c>
      <c r="I10231" s="16" t="s">
        <v>87</v>
      </c>
      <c r="J10231" s="19"/>
      <c r="L10231" s="16" t="str">
        <f>IFERROR(__xludf.DUMMYFUNCTION("""COMPUTED_VALUE"""),"")</f>
        <v/>
      </c>
      <c r="M10231" s="16" t="str">
        <f>IFERROR(__xludf.DUMMYFUNCTION("""COMPUTED_VALUE"""),"")</f>
        <v/>
      </c>
      <c r="U10231" s="16" t="s">
        <v>87</v>
      </c>
      <c r="V10231" s="16" t="str">
        <f>IFERROR(__xludf.DUMMYFUNCTION("""COMPUTED_VALUE"""),"")</f>
        <v/>
      </c>
      <c r="W10231" s="16" t="str">
        <f>IFERROR(__xludf.DUMMYFUNCTION("""COMPUTED_VALUE"""),"")</f>
        <v/>
      </c>
      <c r="X10231" s="16" t="str">
        <f>IFERROR(__xludf.DUMMYFUNCTION("""COMPUTED_VALUE"""),"")</f>
        <v/>
      </c>
      <c r="AC10231" s="16" t="str">
        <f>IFERROR(__xludf.DUMMYFUNCTION("""COMPUTED_VALUE"""),"")</f>
        <v/>
      </c>
    </row>
    <row r="10232">
      <c r="A10232" s="16" t="s">
        <v>87</v>
      </c>
      <c r="E10232" s="16" t="str">
        <f>IFERROR(__xludf.DUMMYFUNCTION("""COMPUTED_VALUE"""),"")</f>
        <v/>
      </c>
      <c r="G10232" s="18"/>
      <c r="H10232" s="16" t="s">
        <v>87</v>
      </c>
      <c r="I10232" s="16" t="s">
        <v>87</v>
      </c>
      <c r="J10232" s="19"/>
      <c r="L10232" s="16" t="str">
        <f>IFERROR(__xludf.DUMMYFUNCTION("""COMPUTED_VALUE"""),"")</f>
        <v/>
      </c>
      <c r="M10232" s="16" t="str">
        <f>IFERROR(__xludf.DUMMYFUNCTION("""COMPUTED_VALUE"""),"")</f>
        <v/>
      </c>
      <c r="U10232" s="16" t="s">
        <v>87</v>
      </c>
      <c r="V10232" s="16" t="str">
        <f>IFERROR(__xludf.DUMMYFUNCTION("""COMPUTED_VALUE"""),"")</f>
        <v/>
      </c>
      <c r="W10232" s="16" t="str">
        <f>IFERROR(__xludf.DUMMYFUNCTION("""COMPUTED_VALUE"""),"")</f>
        <v/>
      </c>
      <c r="X10232" s="16" t="str">
        <f>IFERROR(__xludf.DUMMYFUNCTION("""COMPUTED_VALUE"""),"")</f>
        <v/>
      </c>
      <c r="AC10232" s="16" t="str">
        <f>IFERROR(__xludf.DUMMYFUNCTION("""COMPUTED_VALUE"""),"")</f>
        <v/>
      </c>
    </row>
    <row r="10233">
      <c r="A10233" s="16" t="s">
        <v>87</v>
      </c>
      <c r="E10233" s="16" t="str">
        <f>IFERROR(__xludf.DUMMYFUNCTION("""COMPUTED_VALUE"""),"")</f>
        <v/>
      </c>
      <c r="G10233" s="18"/>
      <c r="H10233" s="16" t="s">
        <v>87</v>
      </c>
      <c r="I10233" s="16" t="s">
        <v>87</v>
      </c>
      <c r="J10233" s="19"/>
      <c r="L10233" s="16" t="str">
        <f>IFERROR(__xludf.DUMMYFUNCTION("""COMPUTED_VALUE"""),"")</f>
        <v/>
      </c>
      <c r="M10233" s="16" t="str">
        <f>IFERROR(__xludf.DUMMYFUNCTION("""COMPUTED_VALUE"""),"")</f>
        <v/>
      </c>
      <c r="U10233" s="16" t="s">
        <v>87</v>
      </c>
      <c r="V10233" s="16" t="str">
        <f>IFERROR(__xludf.DUMMYFUNCTION("""COMPUTED_VALUE"""),"")</f>
        <v/>
      </c>
      <c r="W10233" s="16" t="str">
        <f>IFERROR(__xludf.DUMMYFUNCTION("""COMPUTED_VALUE"""),"")</f>
        <v/>
      </c>
      <c r="X10233" s="16" t="str">
        <f>IFERROR(__xludf.DUMMYFUNCTION("""COMPUTED_VALUE"""),"")</f>
        <v/>
      </c>
      <c r="AC10233" s="16" t="str">
        <f>IFERROR(__xludf.DUMMYFUNCTION("""COMPUTED_VALUE"""),"")</f>
        <v/>
      </c>
    </row>
    <row r="10234">
      <c r="A10234" s="16" t="s">
        <v>87</v>
      </c>
      <c r="E10234" s="16" t="str">
        <f>IFERROR(__xludf.DUMMYFUNCTION("""COMPUTED_VALUE"""),"")</f>
        <v/>
      </c>
      <c r="G10234" s="18"/>
      <c r="H10234" s="16" t="s">
        <v>87</v>
      </c>
      <c r="I10234" s="16" t="s">
        <v>87</v>
      </c>
      <c r="J10234" s="19"/>
      <c r="L10234" s="16" t="str">
        <f>IFERROR(__xludf.DUMMYFUNCTION("""COMPUTED_VALUE"""),"")</f>
        <v/>
      </c>
      <c r="M10234" s="16" t="str">
        <f>IFERROR(__xludf.DUMMYFUNCTION("""COMPUTED_VALUE"""),"")</f>
        <v/>
      </c>
      <c r="U10234" s="16" t="s">
        <v>87</v>
      </c>
      <c r="V10234" s="16" t="str">
        <f>IFERROR(__xludf.DUMMYFUNCTION("""COMPUTED_VALUE"""),"")</f>
        <v/>
      </c>
      <c r="W10234" s="16" t="str">
        <f>IFERROR(__xludf.DUMMYFUNCTION("""COMPUTED_VALUE"""),"")</f>
        <v/>
      </c>
      <c r="X10234" s="16" t="str">
        <f>IFERROR(__xludf.DUMMYFUNCTION("""COMPUTED_VALUE"""),"")</f>
        <v/>
      </c>
      <c r="AC10234" s="16" t="str">
        <f>IFERROR(__xludf.DUMMYFUNCTION("""COMPUTED_VALUE"""),"")</f>
        <v/>
      </c>
    </row>
    <row r="10235">
      <c r="A10235" s="16" t="s">
        <v>87</v>
      </c>
      <c r="E10235" s="16" t="str">
        <f>IFERROR(__xludf.DUMMYFUNCTION("""COMPUTED_VALUE"""),"")</f>
        <v/>
      </c>
      <c r="G10235" s="18"/>
      <c r="H10235" s="16" t="s">
        <v>87</v>
      </c>
      <c r="I10235" s="16" t="s">
        <v>87</v>
      </c>
      <c r="J10235" s="19"/>
      <c r="L10235" s="16" t="str">
        <f>IFERROR(__xludf.DUMMYFUNCTION("""COMPUTED_VALUE"""),"")</f>
        <v/>
      </c>
      <c r="M10235" s="16" t="str">
        <f>IFERROR(__xludf.DUMMYFUNCTION("""COMPUTED_VALUE"""),"")</f>
        <v/>
      </c>
      <c r="U10235" s="16" t="s">
        <v>87</v>
      </c>
      <c r="V10235" s="16" t="str">
        <f>IFERROR(__xludf.DUMMYFUNCTION("""COMPUTED_VALUE"""),"")</f>
        <v/>
      </c>
      <c r="W10235" s="16" t="str">
        <f>IFERROR(__xludf.DUMMYFUNCTION("""COMPUTED_VALUE"""),"")</f>
        <v/>
      </c>
      <c r="X10235" s="16" t="str">
        <f>IFERROR(__xludf.DUMMYFUNCTION("""COMPUTED_VALUE"""),"")</f>
        <v/>
      </c>
      <c r="AC10235" s="16" t="str">
        <f>IFERROR(__xludf.DUMMYFUNCTION("""COMPUTED_VALUE"""),"")</f>
        <v/>
      </c>
    </row>
    <row r="10236">
      <c r="A10236" s="16" t="s">
        <v>87</v>
      </c>
      <c r="E10236" s="16" t="str">
        <f>IFERROR(__xludf.DUMMYFUNCTION("""COMPUTED_VALUE"""),"")</f>
        <v/>
      </c>
      <c r="G10236" s="18"/>
      <c r="H10236" s="16" t="s">
        <v>87</v>
      </c>
      <c r="I10236" s="16" t="s">
        <v>87</v>
      </c>
      <c r="J10236" s="19"/>
      <c r="L10236" s="16" t="str">
        <f>IFERROR(__xludf.DUMMYFUNCTION("""COMPUTED_VALUE"""),"")</f>
        <v/>
      </c>
      <c r="M10236" s="16" t="str">
        <f>IFERROR(__xludf.DUMMYFUNCTION("""COMPUTED_VALUE"""),"")</f>
        <v/>
      </c>
      <c r="U10236" s="16" t="s">
        <v>87</v>
      </c>
      <c r="V10236" s="16" t="str">
        <f>IFERROR(__xludf.DUMMYFUNCTION("""COMPUTED_VALUE"""),"")</f>
        <v/>
      </c>
      <c r="W10236" s="16" t="str">
        <f>IFERROR(__xludf.DUMMYFUNCTION("""COMPUTED_VALUE"""),"")</f>
        <v/>
      </c>
      <c r="X10236" s="16" t="str">
        <f>IFERROR(__xludf.DUMMYFUNCTION("""COMPUTED_VALUE"""),"")</f>
        <v/>
      </c>
      <c r="AC10236" s="16" t="str">
        <f>IFERROR(__xludf.DUMMYFUNCTION("""COMPUTED_VALUE"""),"")</f>
        <v/>
      </c>
    </row>
    <row r="10237">
      <c r="A10237" s="16" t="s">
        <v>87</v>
      </c>
      <c r="E10237" s="16" t="str">
        <f>IFERROR(__xludf.DUMMYFUNCTION("""COMPUTED_VALUE"""),"")</f>
        <v/>
      </c>
      <c r="G10237" s="18"/>
      <c r="H10237" s="16" t="s">
        <v>87</v>
      </c>
      <c r="I10237" s="16" t="s">
        <v>87</v>
      </c>
      <c r="J10237" s="19"/>
      <c r="L10237" s="16" t="str">
        <f>IFERROR(__xludf.DUMMYFUNCTION("""COMPUTED_VALUE"""),"")</f>
        <v/>
      </c>
      <c r="M10237" s="16" t="str">
        <f>IFERROR(__xludf.DUMMYFUNCTION("""COMPUTED_VALUE"""),"")</f>
        <v/>
      </c>
      <c r="U10237" s="16" t="s">
        <v>87</v>
      </c>
      <c r="V10237" s="16" t="str">
        <f>IFERROR(__xludf.DUMMYFUNCTION("""COMPUTED_VALUE"""),"")</f>
        <v/>
      </c>
      <c r="W10237" s="16" t="str">
        <f>IFERROR(__xludf.DUMMYFUNCTION("""COMPUTED_VALUE"""),"")</f>
        <v/>
      </c>
      <c r="X10237" s="16" t="str">
        <f>IFERROR(__xludf.DUMMYFUNCTION("""COMPUTED_VALUE"""),"")</f>
        <v/>
      </c>
      <c r="AC10237" s="16" t="str">
        <f>IFERROR(__xludf.DUMMYFUNCTION("""COMPUTED_VALUE"""),"")</f>
        <v/>
      </c>
    </row>
    <row r="10238">
      <c r="A10238" s="16" t="s">
        <v>87</v>
      </c>
      <c r="E10238" s="16" t="str">
        <f>IFERROR(__xludf.DUMMYFUNCTION("""COMPUTED_VALUE"""),"")</f>
        <v/>
      </c>
      <c r="G10238" s="18"/>
      <c r="H10238" s="16" t="s">
        <v>87</v>
      </c>
      <c r="I10238" s="16" t="s">
        <v>87</v>
      </c>
      <c r="J10238" s="19"/>
      <c r="L10238" s="16" t="str">
        <f>IFERROR(__xludf.DUMMYFUNCTION("""COMPUTED_VALUE"""),"")</f>
        <v/>
      </c>
      <c r="M10238" s="16" t="str">
        <f>IFERROR(__xludf.DUMMYFUNCTION("""COMPUTED_VALUE"""),"")</f>
        <v/>
      </c>
      <c r="U10238" s="16" t="s">
        <v>87</v>
      </c>
      <c r="V10238" s="16" t="str">
        <f>IFERROR(__xludf.DUMMYFUNCTION("""COMPUTED_VALUE"""),"")</f>
        <v/>
      </c>
      <c r="W10238" s="16" t="str">
        <f>IFERROR(__xludf.DUMMYFUNCTION("""COMPUTED_VALUE"""),"")</f>
        <v/>
      </c>
      <c r="X10238" s="16" t="str">
        <f>IFERROR(__xludf.DUMMYFUNCTION("""COMPUTED_VALUE"""),"")</f>
        <v/>
      </c>
      <c r="AC10238" s="16" t="str">
        <f>IFERROR(__xludf.DUMMYFUNCTION("""COMPUTED_VALUE"""),"")</f>
        <v/>
      </c>
    </row>
    <row r="10239">
      <c r="A10239" s="16" t="s">
        <v>87</v>
      </c>
      <c r="E10239" s="16" t="str">
        <f>IFERROR(__xludf.DUMMYFUNCTION("""COMPUTED_VALUE"""),"")</f>
        <v/>
      </c>
      <c r="G10239" s="18"/>
      <c r="H10239" s="16" t="s">
        <v>87</v>
      </c>
      <c r="I10239" s="16" t="s">
        <v>87</v>
      </c>
      <c r="J10239" s="19"/>
      <c r="L10239" s="16" t="str">
        <f>IFERROR(__xludf.DUMMYFUNCTION("""COMPUTED_VALUE"""),"")</f>
        <v/>
      </c>
      <c r="M10239" s="16" t="str">
        <f>IFERROR(__xludf.DUMMYFUNCTION("""COMPUTED_VALUE"""),"")</f>
        <v/>
      </c>
      <c r="U10239" s="16" t="s">
        <v>87</v>
      </c>
      <c r="V10239" s="16" t="str">
        <f>IFERROR(__xludf.DUMMYFUNCTION("""COMPUTED_VALUE"""),"")</f>
        <v/>
      </c>
      <c r="W10239" s="16" t="str">
        <f>IFERROR(__xludf.DUMMYFUNCTION("""COMPUTED_VALUE"""),"")</f>
        <v/>
      </c>
      <c r="X10239" s="16" t="str">
        <f>IFERROR(__xludf.DUMMYFUNCTION("""COMPUTED_VALUE"""),"")</f>
        <v/>
      </c>
      <c r="AC10239" s="16" t="str">
        <f>IFERROR(__xludf.DUMMYFUNCTION("""COMPUTED_VALUE"""),"")</f>
        <v/>
      </c>
    </row>
    <row r="10240">
      <c r="A10240" s="16" t="s">
        <v>87</v>
      </c>
      <c r="E10240" s="16" t="str">
        <f>IFERROR(__xludf.DUMMYFUNCTION("""COMPUTED_VALUE"""),"")</f>
        <v/>
      </c>
      <c r="G10240" s="18"/>
      <c r="H10240" s="16" t="s">
        <v>87</v>
      </c>
      <c r="I10240" s="16" t="s">
        <v>87</v>
      </c>
      <c r="J10240" s="19"/>
      <c r="L10240" s="16" t="str">
        <f>IFERROR(__xludf.DUMMYFUNCTION("""COMPUTED_VALUE"""),"")</f>
        <v/>
      </c>
      <c r="M10240" s="16" t="str">
        <f>IFERROR(__xludf.DUMMYFUNCTION("""COMPUTED_VALUE"""),"")</f>
        <v/>
      </c>
      <c r="U10240" s="16" t="s">
        <v>87</v>
      </c>
      <c r="V10240" s="16" t="str">
        <f>IFERROR(__xludf.DUMMYFUNCTION("""COMPUTED_VALUE"""),"")</f>
        <v/>
      </c>
      <c r="W10240" s="16" t="str">
        <f>IFERROR(__xludf.DUMMYFUNCTION("""COMPUTED_VALUE"""),"")</f>
        <v/>
      </c>
      <c r="X10240" s="16" t="str">
        <f>IFERROR(__xludf.DUMMYFUNCTION("""COMPUTED_VALUE"""),"")</f>
        <v/>
      </c>
      <c r="AC10240" s="16" t="str">
        <f>IFERROR(__xludf.DUMMYFUNCTION("""COMPUTED_VALUE"""),"")</f>
        <v/>
      </c>
    </row>
    <row r="10241">
      <c r="A10241" s="16" t="s">
        <v>87</v>
      </c>
      <c r="E10241" s="16" t="str">
        <f>IFERROR(__xludf.DUMMYFUNCTION("""COMPUTED_VALUE"""),"")</f>
        <v/>
      </c>
      <c r="G10241" s="18"/>
      <c r="H10241" s="16" t="s">
        <v>87</v>
      </c>
      <c r="I10241" s="16" t="s">
        <v>87</v>
      </c>
      <c r="J10241" s="19"/>
      <c r="L10241" s="16" t="str">
        <f>IFERROR(__xludf.DUMMYFUNCTION("""COMPUTED_VALUE"""),"")</f>
        <v/>
      </c>
      <c r="M10241" s="16" t="str">
        <f>IFERROR(__xludf.DUMMYFUNCTION("""COMPUTED_VALUE"""),"")</f>
        <v/>
      </c>
      <c r="U10241" s="16" t="s">
        <v>87</v>
      </c>
      <c r="V10241" s="16" t="str">
        <f>IFERROR(__xludf.DUMMYFUNCTION("""COMPUTED_VALUE"""),"")</f>
        <v/>
      </c>
      <c r="W10241" s="16" t="str">
        <f>IFERROR(__xludf.DUMMYFUNCTION("""COMPUTED_VALUE"""),"")</f>
        <v/>
      </c>
      <c r="X10241" s="16" t="str">
        <f>IFERROR(__xludf.DUMMYFUNCTION("""COMPUTED_VALUE"""),"")</f>
        <v/>
      </c>
      <c r="AC10241" s="16" t="str">
        <f>IFERROR(__xludf.DUMMYFUNCTION("""COMPUTED_VALUE"""),"")</f>
        <v/>
      </c>
    </row>
    <row r="10242">
      <c r="A10242" s="16" t="s">
        <v>87</v>
      </c>
      <c r="E10242" s="16" t="str">
        <f>IFERROR(__xludf.DUMMYFUNCTION("""COMPUTED_VALUE"""),"")</f>
        <v/>
      </c>
      <c r="G10242" s="18"/>
      <c r="H10242" s="16" t="s">
        <v>87</v>
      </c>
      <c r="I10242" s="16" t="s">
        <v>87</v>
      </c>
      <c r="J10242" s="19"/>
      <c r="L10242" s="16" t="str">
        <f>IFERROR(__xludf.DUMMYFUNCTION("""COMPUTED_VALUE"""),"")</f>
        <v/>
      </c>
      <c r="M10242" s="16" t="str">
        <f>IFERROR(__xludf.DUMMYFUNCTION("""COMPUTED_VALUE"""),"")</f>
        <v/>
      </c>
      <c r="U10242" s="16" t="s">
        <v>87</v>
      </c>
      <c r="V10242" s="16" t="str">
        <f>IFERROR(__xludf.DUMMYFUNCTION("""COMPUTED_VALUE"""),"")</f>
        <v/>
      </c>
      <c r="W10242" s="16" t="str">
        <f>IFERROR(__xludf.DUMMYFUNCTION("""COMPUTED_VALUE"""),"")</f>
        <v/>
      </c>
      <c r="X10242" s="16" t="str">
        <f>IFERROR(__xludf.DUMMYFUNCTION("""COMPUTED_VALUE"""),"")</f>
        <v/>
      </c>
      <c r="AC10242" s="16" t="str">
        <f>IFERROR(__xludf.DUMMYFUNCTION("""COMPUTED_VALUE"""),"")</f>
        <v/>
      </c>
    </row>
    <row r="10243">
      <c r="A10243" s="16" t="s">
        <v>87</v>
      </c>
      <c r="E10243" s="16" t="str">
        <f>IFERROR(__xludf.DUMMYFUNCTION("""COMPUTED_VALUE"""),"")</f>
        <v/>
      </c>
      <c r="G10243" s="18"/>
      <c r="H10243" s="16" t="s">
        <v>87</v>
      </c>
      <c r="I10243" s="16" t="s">
        <v>87</v>
      </c>
      <c r="J10243" s="19"/>
      <c r="L10243" s="16" t="str">
        <f>IFERROR(__xludf.DUMMYFUNCTION("""COMPUTED_VALUE"""),"")</f>
        <v/>
      </c>
      <c r="M10243" s="16" t="str">
        <f>IFERROR(__xludf.DUMMYFUNCTION("""COMPUTED_VALUE"""),"")</f>
        <v/>
      </c>
      <c r="U10243" s="16" t="s">
        <v>87</v>
      </c>
      <c r="V10243" s="16" t="str">
        <f>IFERROR(__xludf.DUMMYFUNCTION("""COMPUTED_VALUE"""),"")</f>
        <v/>
      </c>
      <c r="W10243" s="16" t="str">
        <f>IFERROR(__xludf.DUMMYFUNCTION("""COMPUTED_VALUE"""),"")</f>
        <v/>
      </c>
      <c r="X10243" s="16" t="str">
        <f>IFERROR(__xludf.DUMMYFUNCTION("""COMPUTED_VALUE"""),"")</f>
        <v/>
      </c>
      <c r="AC10243" s="16" t="str">
        <f>IFERROR(__xludf.DUMMYFUNCTION("""COMPUTED_VALUE"""),"")</f>
        <v/>
      </c>
    </row>
    <row r="10244">
      <c r="A10244" s="16" t="s">
        <v>87</v>
      </c>
      <c r="E10244" s="16" t="str">
        <f>IFERROR(__xludf.DUMMYFUNCTION("""COMPUTED_VALUE"""),"")</f>
        <v/>
      </c>
      <c r="G10244" s="18"/>
      <c r="H10244" s="16" t="s">
        <v>87</v>
      </c>
      <c r="I10244" s="16" t="s">
        <v>87</v>
      </c>
      <c r="J10244" s="19"/>
      <c r="L10244" s="16" t="str">
        <f>IFERROR(__xludf.DUMMYFUNCTION("""COMPUTED_VALUE"""),"")</f>
        <v/>
      </c>
      <c r="M10244" s="16" t="str">
        <f>IFERROR(__xludf.DUMMYFUNCTION("""COMPUTED_VALUE"""),"")</f>
        <v/>
      </c>
      <c r="U10244" s="16" t="s">
        <v>87</v>
      </c>
      <c r="V10244" s="16" t="str">
        <f>IFERROR(__xludf.DUMMYFUNCTION("""COMPUTED_VALUE"""),"")</f>
        <v/>
      </c>
      <c r="W10244" s="16" t="str">
        <f>IFERROR(__xludf.DUMMYFUNCTION("""COMPUTED_VALUE"""),"")</f>
        <v/>
      </c>
      <c r="X10244" s="16" t="str">
        <f>IFERROR(__xludf.DUMMYFUNCTION("""COMPUTED_VALUE"""),"")</f>
        <v/>
      </c>
      <c r="AC10244" s="16" t="str">
        <f>IFERROR(__xludf.DUMMYFUNCTION("""COMPUTED_VALUE"""),"")</f>
        <v/>
      </c>
    </row>
    <row r="10245">
      <c r="A10245" s="16" t="s">
        <v>87</v>
      </c>
      <c r="E10245" s="16" t="str">
        <f>IFERROR(__xludf.DUMMYFUNCTION("""COMPUTED_VALUE"""),"")</f>
        <v/>
      </c>
      <c r="G10245" s="18"/>
      <c r="H10245" s="16" t="s">
        <v>87</v>
      </c>
      <c r="I10245" s="16" t="s">
        <v>87</v>
      </c>
      <c r="J10245" s="19"/>
      <c r="L10245" s="16" t="str">
        <f>IFERROR(__xludf.DUMMYFUNCTION("""COMPUTED_VALUE"""),"")</f>
        <v/>
      </c>
      <c r="M10245" s="16" t="str">
        <f>IFERROR(__xludf.DUMMYFUNCTION("""COMPUTED_VALUE"""),"")</f>
        <v/>
      </c>
      <c r="U10245" s="16" t="s">
        <v>87</v>
      </c>
      <c r="V10245" s="16" t="str">
        <f>IFERROR(__xludf.DUMMYFUNCTION("""COMPUTED_VALUE"""),"")</f>
        <v/>
      </c>
      <c r="W10245" s="16" t="str">
        <f>IFERROR(__xludf.DUMMYFUNCTION("""COMPUTED_VALUE"""),"")</f>
        <v/>
      </c>
      <c r="X10245" s="16" t="str">
        <f>IFERROR(__xludf.DUMMYFUNCTION("""COMPUTED_VALUE"""),"")</f>
        <v/>
      </c>
      <c r="AC10245" s="16" t="str">
        <f>IFERROR(__xludf.DUMMYFUNCTION("""COMPUTED_VALUE"""),"")</f>
        <v/>
      </c>
    </row>
    <row r="10246">
      <c r="A10246" s="16" t="s">
        <v>87</v>
      </c>
      <c r="E10246" s="16" t="str">
        <f>IFERROR(__xludf.DUMMYFUNCTION("""COMPUTED_VALUE"""),"")</f>
        <v/>
      </c>
      <c r="G10246" s="18"/>
      <c r="H10246" s="16" t="s">
        <v>87</v>
      </c>
      <c r="I10246" s="16" t="s">
        <v>87</v>
      </c>
      <c r="J10246" s="19"/>
      <c r="L10246" s="16" t="str">
        <f>IFERROR(__xludf.DUMMYFUNCTION("""COMPUTED_VALUE"""),"")</f>
        <v/>
      </c>
      <c r="M10246" s="16" t="str">
        <f>IFERROR(__xludf.DUMMYFUNCTION("""COMPUTED_VALUE"""),"")</f>
        <v/>
      </c>
      <c r="U10246" s="16" t="s">
        <v>87</v>
      </c>
      <c r="V10246" s="16" t="str">
        <f>IFERROR(__xludf.DUMMYFUNCTION("""COMPUTED_VALUE"""),"")</f>
        <v/>
      </c>
      <c r="W10246" s="16" t="str">
        <f>IFERROR(__xludf.DUMMYFUNCTION("""COMPUTED_VALUE"""),"")</f>
        <v/>
      </c>
      <c r="X10246" s="16" t="str">
        <f>IFERROR(__xludf.DUMMYFUNCTION("""COMPUTED_VALUE"""),"")</f>
        <v/>
      </c>
      <c r="AC10246" s="16" t="str">
        <f>IFERROR(__xludf.DUMMYFUNCTION("""COMPUTED_VALUE"""),"")</f>
        <v/>
      </c>
    </row>
    <row r="10247">
      <c r="A10247" s="16" t="s">
        <v>87</v>
      </c>
      <c r="E10247" s="16" t="str">
        <f>IFERROR(__xludf.DUMMYFUNCTION("""COMPUTED_VALUE"""),"")</f>
        <v/>
      </c>
      <c r="G10247" s="18"/>
      <c r="H10247" s="16" t="s">
        <v>87</v>
      </c>
      <c r="I10247" s="16" t="s">
        <v>87</v>
      </c>
      <c r="J10247" s="19"/>
      <c r="L10247" s="16" t="str">
        <f>IFERROR(__xludf.DUMMYFUNCTION("""COMPUTED_VALUE"""),"")</f>
        <v/>
      </c>
      <c r="M10247" s="16" t="str">
        <f>IFERROR(__xludf.DUMMYFUNCTION("""COMPUTED_VALUE"""),"")</f>
        <v/>
      </c>
      <c r="U10247" s="16" t="s">
        <v>87</v>
      </c>
      <c r="V10247" s="16" t="str">
        <f>IFERROR(__xludf.DUMMYFUNCTION("""COMPUTED_VALUE"""),"")</f>
        <v/>
      </c>
      <c r="W10247" s="16" t="str">
        <f>IFERROR(__xludf.DUMMYFUNCTION("""COMPUTED_VALUE"""),"")</f>
        <v/>
      </c>
      <c r="X10247" s="16" t="str">
        <f>IFERROR(__xludf.DUMMYFUNCTION("""COMPUTED_VALUE"""),"")</f>
        <v/>
      </c>
      <c r="AC10247" s="16" t="str">
        <f>IFERROR(__xludf.DUMMYFUNCTION("""COMPUTED_VALUE"""),"")</f>
        <v/>
      </c>
    </row>
    <row r="10248">
      <c r="A10248" s="16" t="s">
        <v>87</v>
      </c>
      <c r="E10248" s="16" t="str">
        <f>IFERROR(__xludf.DUMMYFUNCTION("""COMPUTED_VALUE"""),"")</f>
        <v/>
      </c>
      <c r="G10248" s="18"/>
      <c r="H10248" s="16" t="s">
        <v>87</v>
      </c>
      <c r="I10248" s="16" t="s">
        <v>87</v>
      </c>
      <c r="J10248" s="19"/>
      <c r="L10248" s="16" t="str">
        <f>IFERROR(__xludf.DUMMYFUNCTION("""COMPUTED_VALUE"""),"")</f>
        <v/>
      </c>
      <c r="M10248" s="16" t="str">
        <f>IFERROR(__xludf.DUMMYFUNCTION("""COMPUTED_VALUE"""),"")</f>
        <v/>
      </c>
      <c r="U10248" s="16" t="s">
        <v>87</v>
      </c>
      <c r="V10248" s="16" t="str">
        <f>IFERROR(__xludf.DUMMYFUNCTION("""COMPUTED_VALUE"""),"")</f>
        <v/>
      </c>
      <c r="W10248" s="16" t="str">
        <f>IFERROR(__xludf.DUMMYFUNCTION("""COMPUTED_VALUE"""),"")</f>
        <v/>
      </c>
      <c r="X10248" s="16" t="str">
        <f>IFERROR(__xludf.DUMMYFUNCTION("""COMPUTED_VALUE"""),"")</f>
        <v/>
      </c>
      <c r="AC10248" s="16" t="str">
        <f>IFERROR(__xludf.DUMMYFUNCTION("""COMPUTED_VALUE"""),"")</f>
        <v/>
      </c>
    </row>
    <row r="10249">
      <c r="A10249" s="16" t="s">
        <v>87</v>
      </c>
      <c r="E10249" s="16" t="str">
        <f>IFERROR(__xludf.DUMMYFUNCTION("""COMPUTED_VALUE"""),"")</f>
        <v/>
      </c>
      <c r="G10249" s="18"/>
      <c r="H10249" s="16" t="s">
        <v>87</v>
      </c>
      <c r="I10249" s="16" t="s">
        <v>87</v>
      </c>
      <c r="J10249" s="19"/>
      <c r="L10249" s="16" t="str">
        <f>IFERROR(__xludf.DUMMYFUNCTION("""COMPUTED_VALUE"""),"")</f>
        <v/>
      </c>
      <c r="M10249" s="16" t="str">
        <f>IFERROR(__xludf.DUMMYFUNCTION("""COMPUTED_VALUE"""),"")</f>
        <v/>
      </c>
      <c r="U10249" s="16" t="s">
        <v>87</v>
      </c>
      <c r="V10249" s="16" t="str">
        <f>IFERROR(__xludf.DUMMYFUNCTION("""COMPUTED_VALUE"""),"")</f>
        <v/>
      </c>
      <c r="W10249" s="16" t="str">
        <f>IFERROR(__xludf.DUMMYFUNCTION("""COMPUTED_VALUE"""),"")</f>
        <v/>
      </c>
      <c r="X10249" s="16" t="str">
        <f>IFERROR(__xludf.DUMMYFUNCTION("""COMPUTED_VALUE"""),"")</f>
        <v/>
      </c>
      <c r="AC10249" s="16" t="str">
        <f>IFERROR(__xludf.DUMMYFUNCTION("""COMPUTED_VALUE"""),"")</f>
        <v/>
      </c>
    </row>
    <row r="10250">
      <c r="A10250" s="16" t="s">
        <v>87</v>
      </c>
      <c r="E10250" s="16" t="str">
        <f>IFERROR(__xludf.DUMMYFUNCTION("""COMPUTED_VALUE"""),"")</f>
        <v/>
      </c>
      <c r="G10250" s="18"/>
      <c r="H10250" s="16" t="s">
        <v>87</v>
      </c>
      <c r="I10250" s="16" t="s">
        <v>87</v>
      </c>
      <c r="J10250" s="19"/>
      <c r="L10250" s="16" t="str">
        <f>IFERROR(__xludf.DUMMYFUNCTION("""COMPUTED_VALUE"""),"")</f>
        <v/>
      </c>
      <c r="M10250" s="16" t="str">
        <f>IFERROR(__xludf.DUMMYFUNCTION("""COMPUTED_VALUE"""),"")</f>
        <v/>
      </c>
      <c r="U10250" s="16" t="s">
        <v>87</v>
      </c>
      <c r="V10250" s="16" t="str">
        <f>IFERROR(__xludf.DUMMYFUNCTION("""COMPUTED_VALUE"""),"")</f>
        <v/>
      </c>
      <c r="W10250" s="16" t="str">
        <f>IFERROR(__xludf.DUMMYFUNCTION("""COMPUTED_VALUE"""),"")</f>
        <v/>
      </c>
      <c r="X10250" s="16" t="str">
        <f>IFERROR(__xludf.DUMMYFUNCTION("""COMPUTED_VALUE"""),"")</f>
        <v/>
      </c>
      <c r="AC10250" s="16" t="str">
        <f>IFERROR(__xludf.DUMMYFUNCTION("""COMPUTED_VALUE"""),"")</f>
        <v/>
      </c>
    </row>
    <row r="10251">
      <c r="A10251" s="16" t="s">
        <v>87</v>
      </c>
      <c r="E10251" s="16" t="str">
        <f>IFERROR(__xludf.DUMMYFUNCTION("""COMPUTED_VALUE"""),"")</f>
        <v/>
      </c>
      <c r="G10251" s="18"/>
      <c r="H10251" s="16" t="s">
        <v>87</v>
      </c>
      <c r="I10251" s="16" t="s">
        <v>87</v>
      </c>
      <c r="J10251" s="19"/>
      <c r="L10251" s="16" t="str">
        <f>IFERROR(__xludf.DUMMYFUNCTION("""COMPUTED_VALUE"""),"")</f>
        <v/>
      </c>
      <c r="M10251" s="16" t="str">
        <f>IFERROR(__xludf.DUMMYFUNCTION("""COMPUTED_VALUE"""),"")</f>
        <v/>
      </c>
      <c r="U10251" s="16" t="s">
        <v>87</v>
      </c>
      <c r="V10251" s="16" t="str">
        <f>IFERROR(__xludf.DUMMYFUNCTION("""COMPUTED_VALUE"""),"")</f>
        <v/>
      </c>
      <c r="W10251" s="16" t="str">
        <f>IFERROR(__xludf.DUMMYFUNCTION("""COMPUTED_VALUE"""),"")</f>
        <v/>
      </c>
      <c r="X10251" s="16" t="str">
        <f>IFERROR(__xludf.DUMMYFUNCTION("""COMPUTED_VALUE"""),"")</f>
        <v/>
      </c>
      <c r="AC10251" s="16" t="str">
        <f>IFERROR(__xludf.DUMMYFUNCTION("""COMPUTED_VALUE"""),"")</f>
        <v/>
      </c>
    </row>
    <row r="10252">
      <c r="A10252" s="16" t="s">
        <v>87</v>
      </c>
      <c r="E10252" s="16" t="str">
        <f>IFERROR(__xludf.DUMMYFUNCTION("""COMPUTED_VALUE"""),"")</f>
        <v/>
      </c>
      <c r="G10252" s="18"/>
      <c r="H10252" s="16" t="s">
        <v>87</v>
      </c>
      <c r="I10252" s="16" t="s">
        <v>87</v>
      </c>
      <c r="J10252" s="19"/>
      <c r="L10252" s="16" t="str">
        <f>IFERROR(__xludf.DUMMYFUNCTION("""COMPUTED_VALUE"""),"")</f>
        <v/>
      </c>
      <c r="M10252" s="16" t="str">
        <f>IFERROR(__xludf.DUMMYFUNCTION("""COMPUTED_VALUE"""),"")</f>
        <v/>
      </c>
      <c r="U10252" s="16" t="s">
        <v>87</v>
      </c>
      <c r="V10252" s="16" t="str">
        <f>IFERROR(__xludf.DUMMYFUNCTION("""COMPUTED_VALUE"""),"")</f>
        <v/>
      </c>
      <c r="W10252" s="16" t="str">
        <f>IFERROR(__xludf.DUMMYFUNCTION("""COMPUTED_VALUE"""),"")</f>
        <v/>
      </c>
      <c r="X10252" s="16" t="str">
        <f>IFERROR(__xludf.DUMMYFUNCTION("""COMPUTED_VALUE"""),"")</f>
        <v/>
      </c>
      <c r="AC10252" s="16" t="str">
        <f>IFERROR(__xludf.DUMMYFUNCTION("""COMPUTED_VALUE"""),"")</f>
        <v/>
      </c>
    </row>
    <row r="10253">
      <c r="A10253" s="16" t="s">
        <v>87</v>
      </c>
      <c r="E10253" s="16" t="str">
        <f>IFERROR(__xludf.DUMMYFUNCTION("""COMPUTED_VALUE"""),"")</f>
        <v/>
      </c>
      <c r="G10253" s="18"/>
      <c r="H10253" s="16" t="s">
        <v>87</v>
      </c>
      <c r="I10253" s="16" t="s">
        <v>87</v>
      </c>
      <c r="J10253" s="19"/>
      <c r="L10253" s="16" t="str">
        <f>IFERROR(__xludf.DUMMYFUNCTION("""COMPUTED_VALUE"""),"")</f>
        <v/>
      </c>
      <c r="M10253" s="16" t="str">
        <f>IFERROR(__xludf.DUMMYFUNCTION("""COMPUTED_VALUE"""),"")</f>
        <v/>
      </c>
      <c r="U10253" s="16" t="s">
        <v>87</v>
      </c>
      <c r="V10253" s="16" t="str">
        <f>IFERROR(__xludf.DUMMYFUNCTION("""COMPUTED_VALUE"""),"")</f>
        <v/>
      </c>
      <c r="W10253" s="16" t="str">
        <f>IFERROR(__xludf.DUMMYFUNCTION("""COMPUTED_VALUE"""),"")</f>
        <v/>
      </c>
      <c r="X10253" s="16" t="str">
        <f>IFERROR(__xludf.DUMMYFUNCTION("""COMPUTED_VALUE"""),"")</f>
        <v/>
      </c>
      <c r="AC10253" s="16" t="str">
        <f>IFERROR(__xludf.DUMMYFUNCTION("""COMPUTED_VALUE"""),"")</f>
        <v/>
      </c>
    </row>
    <row r="10254">
      <c r="A10254" s="16" t="s">
        <v>87</v>
      </c>
      <c r="E10254" s="16" t="str">
        <f>IFERROR(__xludf.DUMMYFUNCTION("""COMPUTED_VALUE"""),"")</f>
        <v/>
      </c>
      <c r="G10254" s="18"/>
      <c r="H10254" s="16" t="s">
        <v>87</v>
      </c>
      <c r="I10254" s="16" t="s">
        <v>87</v>
      </c>
      <c r="J10254" s="19"/>
      <c r="L10254" s="16" t="str">
        <f>IFERROR(__xludf.DUMMYFUNCTION("""COMPUTED_VALUE"""),"")</f>
        <v/>
      </c>
      <c r="M10254" s="16" t="str">
        <f>IFERROR(__xludf.DUMMYFUNCTION("""COMPUTED_VALUE"""),"")</f>
        <v/>
      </c>
      <c r="U10254" s="16" t="s">
        <v>87</v>
      </c>
      <c r="V10254" s="16" t="str">
        <f>IFERROR(__xludf.DUMMYFUNCTION("""COMPUTED_VALUE"""),"")</f>
        <v/>
      </c>
      <c r="W10254" s="16" t="str">
        <f>IFERROR(__xludf.DUMMYFUNCTION("""COMPUTED_VALUE"""),"")</f>
        <v/>
      </c>
      <c r="X10254" s="16" t="str">
        <f>IFERROR(__xludf.DUMMYFUNCTION("""COMPUTED_VALUE"""),"")</f>
        <v/>
      </c>
      <c r="AC10254" s="16" t="str">
        <f>IFERROR(__xludf.DUMMYFUNCTION("""COMPUTED_VALUE"""),"")</f>
        <v/>
      </c>
    </row>
    <row r="10255">
      <c r="A10255" s="16" t="s">
        <v>87</v>
      </c>
      <c r="E10255" s="16" t="str">
        <f>IFERROR(__xludf.DUMMYFUNCTION("""COMPUTED_VALUE"""),"")</f>
        <v/>
      </c>
      <c r="G10255" s="18"/>
      <c r="H10255" s="16" t="s">
        <v>87</v>
      </c>
      <c r="I10255" s="16" t="s">
        <v>87</v>
      </c>
      <c r="J10255" s="19"/>
      <c r="L10255" s="16" t="str">
        <f>IFERROR(__xludf.DUMMYFUNCTION("""COMPUTED_VALUE"""),"")</f>
        <v/>
      </c>
      <c r="M10255" s="16" t="str">
        <f>IFERROR(__xludf.DUMMYFUNCTION("""COMPUTED_VALUE"""),"")</f>
        <v/>
      </c>
      <c r="U10255" s="16" t="s">
        <v>87</v>
      </c>
      <c r="V10255" s="16" t="str">
        <f>IFERROR(__xludf.DUMMYFUNCTION("""COMPUTED_VALUE"""),"")</f>
        <v/>
      </c>
      <c r="W10255" s="16" t="str">
        <f>IFERROR(__xludf.DUMMYFUNCTION("""COMPUTED_VALUE"""),"")</f>
        <v/>
      </c>
      <c r="X10255" s="16" t="str">
        <f>IFERROR(__xludf.DUMMYFUNCTION("""COMPUTED_VALUE"""),"")</f>
        <v/>
      </c>
      <c r="AC10255" s="16" t="str">
        <f>IFERROR(__xludf.DUMMYFUNCTION("""COMPUTED_VALUE"""),"")</f>
        <v/>
      </c>
    </row>
    <row r="10256">
      <c r="A10256" s="16" t="s">
        <v>87</v>
      </c>
      <c r="E10256" s="16" t="str">
        <f>IFERROR(__xludf.DUMMYFUNCTION("""COMPUTED_VALUE"""),"")</f>
        <v/>
      </c>
      <c r="G10256" s="18"/>
      <c r="H10256" s="16" t="s">
        <v>87</v>
      </c>
      <c r="I10256" s="16" t="s">
        <v>87</v>
      </c>
      <c r="J10256" s="19"/>
      <c r="L10256" s="16" t="str">
        <f>IFERROR(__xludf.DUMMYFUNCTION("""COMPUTED_VALUE"""),"")</f>
        <v/>
      </c>
      <c r="M10256" s="16" t="str">
        <f>IFERROR(__xludf.DUMMYFUNCTION("""COMPUTED_VALUE"""),"")</f>
        <v/>
      </c>
      <c r="U10256" s="16" t="s">
        <v>87</v>
      </c>
      <c r="V10256" s="16" t="str">
        <f>IFERROR(__xludf.DUMMYFUNCTION("""COMPUTED_VALUE"""),"")</f>
        <v/>
      </c>
      <c r="W10256" s="16" t="str">
        <f>IFERROR(__xludf.DUMMYFUNCTION("""COMPUTED_VALUE"""),"")</f>
        <v/>
      </c>
      <c r="X10256" s="16" t="str">
        <f>IFERROR(__xludf.DUMMYFUNCTION("""COMPUTED_VALUE"""),"")</f>
        <v/>
      </c>
      <c r="AC10256" s="16" t="str">
        <f>IFERROR(__xludf.DUMMYFUNCTION("""COMPUTED_VALUE"""),"")</f>
        <v/>
      </c>
    </row>
    <row r="10257">
      <c r="A10257" s="16" t="s">
        <v>87</v>
      </c>
      <c r="E10257" s="16" t="str">
        <f>IFERROR(__xludf.DUMMYFUNCTION("""COMPUTED_VALUE"""),"")</f>
        <v/>
      </c>
      <c r="G10257" s="18"/>
      <c r="H10257" s="16" t="s">
        <v>87</v>
      </c>
      <c r="I10257" s="16" t="s">
        <v>87</v>
      </c>
      <c r="J10257" s="19"/>
      <c r="L10257" s="16" t="str">
        <f>IFERROR(__xludf.DUMMYFUNCTION("""COMPUTED_VALUE"""),"")</f>
        <v/>
      </c>
      <c r="M10257" s="16" t="str">
        <f>IFERROR(__xludf.DUMMYFUNCTION("""COMPUTED_VALUE"""),"")</f>
        <v/>
      </c>
      <c r="U10257" s="16" t="s">
        <v>87</v>
      </c>
      <c r="V10257" s="16" t="str">
        <f>IFERROR(__xludf.DUMMYFUNCTION("""COMPUTED_VALUE"""),"")</f>
        <v/>
      </c>
      <c r="W10257" s="16" t="str">
        <f>IFERROR(__xludf.DUMMYFUNCTION("""COMPUTED_VALUE"""),"")</f>
        <v/>
      </c>
      <c r="X10257" s="16" t="str">
        <f>IFERROR(__xludf.DUMMYFUNCTION("""COMPUTED_VALUE"""),"")</f>
        <v/>
      </c>
      <c r="AC10257" s="16" t="str">
        <f>IFERROR(__xludf.DUMMYFUNCTION("""COMPUTED_VALUE"""),"")</f>
        <v/>
      </c>
    </row>
    <row r="10258">
      <c r="A10258" s="16" t="s">
        <v>87</v>
      </c>
      <c r="E10258" s="16" t="str">
        <f>IFERROR(__xludf.DUMMYFUNCTION("""COMPUTED_VALUE"""),"")</f>
        <v/>
      </c>
      <c r="G10258" s="18"/>
      <c r="H10258" s="16" t="s">
        <v>87</v>
      </c>
      <c r="I10258" s="16" t="s">
        <v>87</v>
      </c>
      <c r="J10258" s="19"/>
      <c r="L10258" s="16" t="str">
        <f>IFERROR(__xludf.DUMMYFUNCTION("""COMPUTED_VALUE"""),"")</f>
        <v/>
      </c>
      <c r="M10258" s="16" t="str">
        <f>IFERROR(__xludf.DUMMYFUNCTION("""COMPUTED_VALUE"""),"")</f>
        <v/>
      </c>
      <c r="U10258" s="16" t="s">
        <v>87</v>
      </c>
      <c r="V10258" s="16" t="str">
        <f>IFERROR(__xludf.DUMMYFUNCTION("""COMPUTED_VALUE"""),"")</f>
        <v/>
      </c>
      <c r="W10258" s="16" t="str">
        <f>IFERROR(__xludf.DUMMYFUNCTION("""COMPUTED_VALUE"""),"")</f>
        <v/>
      </c>
      <c r="X10258" s="16" t="str">
        <f>IFERROR(__xludf.DUMMYFUNCTION("""COMPUTED_VALUE"""),"")</f>
        <v/>
      </c>
      <c r="AC10258" s="16" t="str">
        <f>IFERROR(__xludf.DUMMYFUNCTION("""COMPUTED_VALUE"""),"")</f>
        <v/>
      </c>
    </row>
    <row r="10259">
      <c r="A10259" s="16" t="s">
        <v>87</v>
      </c>
      <c r="E10259" s="16" t="str">
        <f>IFERROR(__xludf.DUMMYFUNCTION("""COMPUTED_VALUE"""),"")</f>
        <v/>
      </c>
      <c r="G10259" s="18"/>
      <c r="H10259" s="16" t="s">
        <v>87</v>
      </c>
      <c r="I10259" s="16" t="s">
        <v>87</v>
      </c>
      <c r="J10259" s="19"/>
      <c r="L10259" s="16" t="str">
        <f>IFERROR(__xludf.DUMMYFUNCTION("""COMPUTED_VALUE"""),"")</f>
        <v/>
      </c>
      <c r="M10259" s="16" t="str">
        <f>IFERROR(__xludf.DUMMYFUNCTION("""COMPUTED_VALUE"""),"")</f>
        <v/>
      </c>
      <c r="U10259" s="16" t="s">
        <v>87</v>
      </c>
      <c r="V10259" s="16" t="str">
        <f>IFERROR(__xludf.DUMMYFUNCTION("""COMPUTED_VALUE"""),"")</f>
        <v/>
      </c>
      <c r="W10259" s="16" t="str">
        <f>IFERROR(__xludf.DUMMYFUNCTION("""COMPUTED_VALUE"""),"")</f>
        <v/>
      </c>
      <c r="X10259" s="16" t="str">
        <f>IFERROR(__xludf.DUMMYFUNCTION("""COMPUTED_VALUE"""),"")</f>
        <v/>
      </c>
      <c r="AC10259" s="16" t="str">
        <f>IFERROR(__xludf.DUMMYFUNCTION("""COMPUTED_VALUE"""),"")</f>
        <v/>
      </c>
    </row>
    <row r="10260">
      <c r="A10260" s="16" t="s">
        <v>87</v>
      </c>
      <c r="E10260" s="16" t="str">
        <f>IFERROR(__xludf.DUMMYFUNCTION("""COMPUTED_VALUE"""),"")</f>
        <v/>
      </c>
      <c r="G10260" s="18"/>
      <c r="H10260" s="16" t="s">
        <v>87</v>
      </c>
      <c r="I10260" s="16" t="s">
        <v>87</v>
      </c>
      <c r="J10260" s="19"/>
      <c r="L10260" s="16" t="str">
        <f>IFERROR(__xludf.DUMMYFUNCTION("""COMPUTED_VALUE"""),"")</f>
        <v/>
      </c>
      <c r="M10260" s="16" t="str">
        <f>IFERROR(__xludf.DUMMYFUNCTION("""COMPUTED_VALUE"""),"")</f>
        <v/>
      </c>
      <c r="U10260" s="16" t="s">
        <v>87</v>
      </c>
      <c r="V10260" s="16" t="str">
        <f>IFERROR(__xludf.DUMMYFUNCTION("""COMPUTED_VALUE"""),"")</f>
        <v/>
      </c>
      <c r="W10260" s="16" t="str">
        <f>IFERROR(__xludf.DUMMYFUNCTION("""COMPUTED_VALUE"""),"")</f>
        <v/>
      </c>
      <c r="X10260" s="16" t="str">
        <f>IFERROR(__xludf.DUMMYFUNCTION("""COMPUTED_VALUE"""),"")</f>
        <v/>
      </c>
      <c r="AC10260" s="16" t="str">
        <f>IFERROR(__xludf.DUMMYFUNCTION("""COMPUTED_VALUE"""),"")</f>
        <v/>
      </c>
    </row>
    <row r="10261">
      <c r="A10261" s="16" t="s">
        <v>87</v>
      </c>
      <c r="E10261" s="16" t="str">
        <f>IFERROR(__xludf.DUMMYFUNCTION("""COMPUTED_VALUE"""),"")</f>
        <v/>
      </c>
      <c r="G10261" s="18"/>
      <c r="H10261" s="16" t="s">
        <v>87</v>
      </c>
      <c r="I10261" s="16" t="s">
        <v>87</v>
      </c>
      <c r="J10261" s="19"/>
      <c r="L10261" s="16" t="str">
        <f>IFERROR(__xludf.DUMMYFUNCTION("""COMPUTED_VALUE"""),"")</f>
        <v/>
      </c>
      <c r="M10261" s="16" t="str">
        <f>IFERROR(__xludf.DUMMYFUNCTION("""COMPUTED_VALUE"""),"")</f>
        <v/>
      </c>
      <c r="U10261" s="16" t="s">
        <v>87</v>
      </c>
      <c r="V10261" s="16" t="str">
        <f>IFERROR(__xludf.DUMMYFUNCTION("""COMPUTED_VALUE"""),"")</f>
        <v/>
      </c>
      <c r="W10261" s="16" t="str">
        <f>IFERROR(__xludf.DUMMYFUNCTION("""COMPUTED_VALUE"""),"")</f>
        <v/>
      </c>
      <c r="X10261" s="16" t="str">
        <f>IFERROR(__xludf.DUMMYFUNCTION("""COMPUTED_VALUE"""),"")</f>
        <v/>
      </c>
      <c r="AC10261" s="16" t="str">
        <f>IFERROR(__xludf.DUMMYFUNCTION("""COMPUTED_VALUE"""),"")</f>
        <v/>
      </c>
    </row>
    <row r="10262">
      <c r="A10262" s="16" t="s">
        <v>87</v>
      </c>
      <c r="E10262" s="16" t="str">
        <f>IFERROR(__xludf.DUMMYFUNCTION("""COMPUTED_VALUE"""),"")</f>
        <v/>
      </c>
      <c r="G10262" s="18"/>
      <c r="H10262" s="16" t="s">
        <v>87</v>
      </c>
      <c r="I10262" s="16" t="s">
        <v>87</v>
      </c>
      <c r="J10262" s="19"/>
      <c r="L10262" s="16" t="str">
        <f>IFERROR(__xludf.DUMMYFUNCTION("""COMPUTED_VALUE"""),"")</f>
        <v/>
      </c>
      <c r="M10262" s="16" t="str">
        <f>IFERROR(__xludf.DUMMYFUNCTION("""COMPUTED_VALUE"""),"")</f>
        <v/>
      </c>
      <c r="U10262" s="16" t="s">
        <v>87</v>
      </c>
      <c r="V10262" s="16" t="str">
        <f>IFERROR(__xludf.DUMMYFUNCTION("""COMPUTED_VALUE"""),"")</f>
        <v/>
      </c>
      <c r="W10262" s="16" t="str">
        <f>IFERROR(__xludf.DUMMYFUNCTION("""COMPUTED_VALUE"""),"")</f>
        <v/>
      </c>
      <c r="X10262" s="16" t="str">
        <f>IFERROR(__xludf.DUMMYFUNCTION("""COMPUTED_VALUE"""),"")</f>
        <v/>
      </c>
      <c r="AC10262" s="16" t="str">
        <f>IFERROR(__xludf.DUMMYFUNCTION("""COMPUTED_VALUE"""),"")</f>
        <v/>
      </c>
    </row>
    <row r="10263">
      <c r="A10263" s="16" t="s">
        <v>87</v>
      </c>
      <c r="E10263" s="16" t="str">
        <f>IFERROR(__xludf.DUMMYFUNCTION("""COMPUTED_VALUE"""),"")</f>
        <v/>
      </c>
      <c r="G10263" s="18"/>
      <c r="H10263" s="16" t="s">
        <v>87</v>
      </c>
      <c r="I10263" s="16" t="s">
        <v>87</v>
      </c>
      <c r="J10263" s="19"/>
      <c r="L10263" s="16" t="str">
        <f>IFERROR(__xludf.DUMMYFUNCTION("""COMPUTED_VALUE"""),"")</f>
        <v/>
      </c>
      <c r="M10263" s="16" t="str">
        <f>IFERROR(__xludf.DUMMYFUNCTION("""COMPUTED_VALUE"""),"")</f>
        <v/>
      </c>
      <c r="U10263" s="16" t="s">
        <v>87</v>
      </c>
      <c r="V10263" s="16" t="str">
        <f>IFERROR(__xludf.DUMMYFUNCTION("""COMPUTED_VALUE"""),"")</f>
        <v/>
      </c>
      <c r="W10263" s="16" t="str">
        <f>IFERROR(__xludf.DUMMYFUNCTION("""COMPUTED_VALUE"""),"")</f>
        <v/>
      </c>
      <c r="X10263" s="16" t="str">
        <f>IFERROR(__xludf.DUMMYFUNCTION("""COMPUTED_VALUE"""),"")</f>
        <v/>
      </c>
      <c r="AC10263" s="16" t="str">
        <f>IFERROR(__xludf.DUMMYFUNCTION("""COMPUTED_VALUE"""),"")</f>
        <v/>
      </c>
    </row>
    <row r="10264">
      <c r="A10264" s="16" t="s">
        <v>87</v>
      </c>
      <c r="E10264" s="16" t="str">
        <f>IFERROR(__xludf.DUMMYFUNCTION("""COMPUTED_VALUE"""),"")</f>
        <v/>
      </c>
      <c r="G10264" s="18"/>
      <c r="H10264" s="16" t="s">
        <v>87</v>
      </c>
      <c r="I10264" s="16" t="s">
        <v>87</v>
      </c>
      <c r="J10264" s="19"/>
      <c r="L10264" s="16" t="str">
        <f>IFERROR(__xludf.DUMMYFUNCTION("""COMPUTED_VALUE"""),"")</f>
        <v/>
      </c>
      <c r="M10264" s="16" t="str">
        <f>IFERROR(__xludf.DUMMYFUNCTION("""COMPUTED_VALUE"""),"")</f>
        <v/>
      </c>
      <c r="U10264" s="16" t="s">
        <v>87</v>
      </c>
      <c r="V10264" s="16" t="str">
        <f>IFERROR(__xludf.DUMMYFUNCTION("""COMPUTED_VALUE"""),"")</f>
        <v/>
      </c>
      <c r="W10264" s="16" t="str">
        <f>IFERROR(__xludf.DUMMYFUNCTION("""COMPUTED_VALUE"""),"")</f>
        <v/>
      </c>
      <c r="X10264" s="16" t="str">
        <f>IFERROR(__xludf.DUMMYFUNCTION("""COMPUTED_VALUE"""),"")</f>
        <v/>
      </c>
      <c r="AC10264" s="16" t="str">
        <f>IFERROR(__xludf.DUMMYFUNCTION("""COMPUTED_VALUE"""),"")</f>
        <v/>
      </c>
    </row>
    <row r="10265">
      <c r="A10265" s="16" t="s">
        <v>87</v>
      </c>
      <c r="E10265" s="16" t="str">
        <f>IFERROR(__xludf.DUMMYFUNCTION("""COMPUTED_VALUE"""),"")</f>
        <v/>
      </c>
      <c r="G10265" s="18"/>
      <c r="H10265" s="16" t="s">
        <v>87</v>
      </c>
      <c r="I10265" s="16" t="s">
        <v>87</v>
      </c>
      <c r="J10265" s="19"/>
      <c r="L10265" s="16" t="str">
        <f>IFERROR(__xludf.DUMMYFUNCTION("""COMPUTED_VALUE"""),"")</f>
        <v/>
      </c>
      <c r="M10265" s="16" t="str">
        <f>IFERROR(__xludf.DUMMYFUNCTION("""COMPUTED_VALUE"""),"")</f>
        <v/>
      </c>
      <c r="U10265" s="16" t="s">
        <v>87</v>
      </c>
      <c r="V10265" s="16" t="str">
        <f>IFERROR(__xludf.DUMMYFUNCTION("""COMPUTED_VALUE"""),"")</f>
        <v/>
      </c>
      <c r="W10265" s="16" t="str">
        <f>IFERROR(__xludf.DUMMYFUNCTION("""COMPUTED_VALUE"""),"")</f>
        <v/>
      </c>
      <c r="X10265" s="16" t="str">
        <f>IFERROR(__xludf.DUMMYFUNCTION("""COMPUTED_VALUE"""),"")</f>
        <v/>
      </c>
      <c r="AC10265" s="16" t="str">
        <f>IFERROR(__xludf.DUMMYFUNCTION("""COMPUTED_VALUE"""),"")</f>
        <v/>
      </c>
    </row>
    <row r="10266">
      <c r="A10266" s="16" t="s">
        <v>87</v>
      </c>
      <c r="E10266" s="16" t="str">
        <f>IFERROR(__xludf.DUMMYFUNCTION("""COMPUTED_VALUE"""),"")</f>
        <v/>
      </c>
      <c r="G10266" s="18"/>
      <c r="H10266" s="16" t="s">
        <v>87</v>
      </c>
      <c r="I10266" s="16" t="s">
        <v>87</v>
      </c>
      <c r="J10266" s="19"/>
      <c r="L10266" s="16" t="str">
        <f>IFERROR(__xludf.DUMMYFUNCTION("""COMPUTED_VALUE"""),"")</f>
        <v/>
      </c>
      <c r="M10266" s="16" t="str">
        <f>IFERROR(__xludf.DUMMYFUNCTION("""COMPUTED_VALUE"""),"")</f>
        <v/>
      </c>
      <c r="U10266" s="16" t="s">
        <v>87</v>
      </c>
      <c r="V10266" s="16" t="str">
        <f>IFERROR(__xludf.DUMMYFUNCTION("""COMPUTED_VALUE"""),"")</f>
        <v/>
      </c>
      <c r="W10266" s="16" t="str">
        <f>IFERROR(__xludf.DUMMYFUNCTION("""COMPUTED_VALUE"""),"")</f>
        <v/>
      </c>
      <c r="X10266" s="16" t="str">
        <f>IFERROR(__xludf.DUMMYFUNCTION("""COMPUTED_VALUE"""),"")</f>
        <v/>
      </c>
      <c r="AC10266" s="16" t="str">
        <f>IFERROR(__xludf.DUMMYFUNCTION("""COMPUTED_VALUE"""),"")</f>
        <v/>
      </c>
    </row>
    <row r="10267">
      <c r="A10267" s="16" t="s">
        <v>87</v>
      </c>
      <c r="E10267" s="16" t="str">
        <f>IFERROR(__xludf.DUMMYFUNCTION("""COMPUTED_VALUE"""),"")</f>
        <v/>
      </c>
      <c r="G10267" s="18"/>
      <c r="H10267" s="16" t="s">
        <v>87</v>
      </c>
      <c r="I10267" s="16" t="s">
        <v>87</v>
      </c>
      <c r="J10267" s="19"/>
      <c r="L10267" s="16" t="str">
        <f>IFERROR(__xludf.DUMMYFUNCTION("""COMPUTED_VALUE"""),"")</f>
        <v/>
      </c>
      <c r="M10267" s="16" t="str">
        <f>IFERROR(__xludf.DUMMYFUNCTION("""COMPUTED_VALUE"""),"")</f>
        <v/>
      </c>
      <c r="U10267" s="16" t="s">
        <v>87</v>
      </c>
      <c r="V10267" s="16" t="str">
        <f>IFERROR(__xludf.DUMMYFUNCTION("""COMPUTED_VALUE"""),"")</f>
        <v/>
      </c>
      <c r="W10267" s="16" t="str">
        <f>IFERROR(__xludf.DUMMYFUNCTION("""COMPUTED_VALUE"""),"")</f>
        <v/>
      </c>
      <c r="X10267" s="16" t="str">
        <f>IFERROR(__xludf.DUMMYFUNCTION("""COMPUTED_VALUE"""),"")</f>
        <v/>
      </c>
      <c r="AC10267" s="16" t="str">
        <f>IFERROR(__xludf.DUMMYFUNCTION("""COMPUTED_VALUE"""),"")</f>
        <v/>
      </c>
    </row>
    <row r="10268">
      <c r="A10268" s="16" t="s">
        <v>87</v>
      </c>
      <c r="E10268" s="16" t="str">
        <f>IFERROR(__xludf.DUMMYFUNCTION("""COMPUTED_VALUE"""),"")</f>
        <v/>
      </c>
      <c r="G10268" s="18"/>
      <c r="H10268" s="16" t="s">
        <v>87</v>
      </c>
      <c r="I10268" s="16" t="s">
        <v>87</v>
      </c>
      <c r="J10268" s="19"/>
      <c r="L10268" s="16" t="str">
        <f>IFERROR(__xludf.DUMMYFUNCTION("""COMPUTED_VALUE"""),"")</f>
        <v/>
      </c>
      <c r="M10268" s="16" t="str">
        <f>IFERROR(__xludf.DUMMYFUNCTION("""COMPUTED_VALUE"""),"")</f>
        <v/>
      </c>
      <c r="U10268" s="16" t="s">
        <v>87</v>
      </c>
      <c r="V10268" s="16" t="str">
        <f>IFERROR(__xludf.DUMMYFUNCTION("""COMPUTED_VALUE"""),"")</f>
        <v/>
      </c>
      <c r="W10268" s="16" t="str">
        <f>IFERROR(__xludf.DUMMYFUNCTION("""COMPUTED_VALUE"""),"")</f>
        <v/>
      </c>
      <c r="X10268" s="16" t="str">
        <f>IFERROR(__xludf.DUMMYFUNCTION("""COMPUTED_VALUE"""),"")</f>
        <v/>
      </c>
      <c r="AC10268" s="16" t="str">
        <f>IFERROR(__xludf.DUMMYFUNCTION("""COMPUTED_VALUE"""),"")</f>
        <v/>
      </c>
    </row>
    <row r="10269">
      <c r="A10269" s="16" t="s">
        <v>87</v>
      </c>
      <c r="E10269" s="16" t="str">
        <f>IFERROR(__xludf.DUMMYFUNCTION("""COMPUTED_VALUE"""),"")</f>
        <v/>
      </c>
      <c r="G10269" s="18"/>
      <c r="H10269" s="16" t="s">
        <v>87</v>
      </c>
      <c r="I10269" s="16" t="s">
        <v>87</v>
      </c>
      <c r="J10269" s="19"/>
      <c r="L10269" s="16" t="str">
        <f>IFERROR(__xludf.DUMMYFUNCTION("""COMPUTED_VALUE"""),"")</f>
        <v/>
      </c>
      <c r="M10269" s="16" t="str">
        <f>IFERROR(__xludf.DUMMYFUNCTION("""COMPUTED_VALUE"""),"")</f>
        <v/>
      </c>
      <c r="U10269" s="16" t="s">
        <v>87</v>
      </c>
      <c r="V10269" s="16" t="str">
        <f>IFERROR(__xludf.DUMMYFUNCTION("""COMPUTED_VALUE"""),"")</f>
        <v/>
      </c>
      <c r="W10269" s="16" t="str">
        <f>IFERROR(__xludf.DUMMYFUNCTION("""COMPUTED_VALUE"""),"")</f>
        <v/>
      </c>
      <c r="X10269" s="16" t="str">
        <f>IFERROR(__xludf.DUMMYFUNCTION("""COMPUTED_VALUE"""),"")</f>
        <v/>
      </c>
      <c r="AC10269" s="16" t="str">
        <f>IFERROR(__xludf.DUMMYFUNCTION("""COMPUTED_VALUE"""),"")</f>
        <v/>
      </c>
    </row>
    <row r="10270">
      <c r="A10270" s="16" t="s">
        <v>87</v>
      </c>
      <c r="E10270" s="16" t="str">
        <f>IFERROR(__xludf.DUMMYFUNCTION("""COMPUTED_VALUE"""),"")</f>
        <v/>
      </c>
      <c r="G10270" s="18"/>
      <c r="H10270" s="16" t="s">
        <v>87</v>
      </c>
      <c r="I10270" s="16" t="s">
        <v>87</v>
      </c>
      <c r="J10270" s="19"/>
      <c r="L10270" s="16" t="str">
        <f>IFERROR(__xludf.DUMMYFUNCTION("""COMPUTED_VALUE"""),"")</f>
        <v/>
      </c>
      <c r="M10270" s="16" t="str">
        <f>IFERROR(__xludf.DUMMYFUNCTION("""COMPUTED_VALUE"""),"")</f>
        <v/>
      </c>
      <c r="U10270" s="16" t="s">
        <v>87</v>
      </c>
      <c r="V10270" s="16" t="str">
        <f>IFERROR(__xludf.DUMMYFUNCTION("""COMPUTED_VALUE"""),"")</f>
        <v/>
      </c>
      <c r="W10270" s="16" t="str">
        <f>IFERROR(__xludf.DUMMYFUNCTION("""COMPUTED_VALUE"""),"")</f>
        <v/>
      </c>
      <c r="X10270" s="16" t="str">
        <f>IFERROR(__xludf.DUMMYFUNCTION("""COMPUTED_VALUE"""),"")</f>
        <v/>
      </c>
      <c r="AC10270" s="16" t="str">
        <f>IFERROR(__xludf.DUMMYFUNCTION("""COMPUTED_VALUE"""),"")</f>
        <v/>
      </c>
    </row>
    <row r="10271">
      <c r="A10271" s="16" t="s">
        <v>87</v>
      </c>
      <c r="E10271" s="16" t="str">
        <f>IFERROR(__xludf.DUMMYFUNCTION("""COMPUTED_VALUE"""),"")</f>
        <v/>
      </c>
      <c r="G10271" s="18"/>
      <c r="H10271" s="16" t="s">
        <v>87</v>
      </c>
      <c r="I10271" s="16" t="s">
        <v>87</v>
      </c>
      <c r="J10271" s="19"/>
      <c r="L10271" s="16" t="str">
        <f>IFERROR(__xludf.DUMMYFUNCTION("""COMPUTED_VALUE"""),"")</f>
        <v/>
      </c>
      <c r="M10271" s="16" t="str">
        <f>IFERROR(__xludf.DUMMYFUNCTION("""COMPUTED_VALUE"""),"")</f>
        <v/>
      </c>
      <c r="U10271" s="16" t="s">
        <v>87</v>
      </c>
      <c r="V10271" s="16" t="str">
        <f>IFERROR(__xludf.DUMMYFUNCTION("""COMPUTED_VALUE"""),"")</f>
        <v/>
      </c>
      <c r="W10271" s="16" t="str">
        <f>IFERROR(__xludf.DUMMYFUNCTION("""COMPUTED_VALUE"""),"")</f>
        <v/>
      </c>
      <c r="X10271" s="16" t="str">
        <f>IFERROR(__xludf.DUMMYFUNCTION("""COMPUTED_VALUE"""),"")</f>
        <v/>
      </c>
      <c r="AC10271" s="16" t="str">
        <f>IFERROR(__xludf.DUMMYFUNCTION("""COMPUTED_VALUE"""),"")</f>
        <v/>
      </c>
    </row>
    <row r="10272">
      <c r="A10272" s="16" t="s">
        <v>87</v>
      </c>
      <c r="E10272" s="16" t="str">
        <f>IFERROR(__xludf.DUMMYFUNCTION("""COMPUTED_VALUE"""),"")</f>
        <v/>
      </c>
      <c r="G10272" s="18"/>
      <c r="H10272" s="16" t="s">
        <v>87</v>
      </c>
      <c r="I10272" s="16" t="s">
        <v>87</v>
      </c>
      <c r="J10272" s="19"/>
      <c r="L10272" s="16" t="str">
        <f>IFERROR(__xludf.DUMMYFUNCTION("""COMPUTED_VALUE"""),"")</f>
        <v/>
      </c>
      <c r="M10272" s="16" t="str">
        <f>IFERROR(__xludf.DUMMYFUNCTION("""COMPUTED_VALUE"""),"")</f>
        <v/>
      </c>
      <c r="U10272" s="16" t="s">
        <v>87</v>
      </c>
      <c r="V10272" s="16" t="str">
        <f>IFERROR(__xludf.DUMMYFUNCTION("""COMPUTED_VALUE"""),"")</f>
        <v/>
      </c>
      <c r="W10272" s="16" t="str">
        <f>IFERROR(__xludf.DUMMYFUNCTION("""COMPUTED_VALUE"""),"")</f>
        <v/>
      </c>
      <c r="X10272" s="16" t="str">
        <f>IFERROR(__xludf.DUMMYFUNCTION("""COMPUTED_VALUE"""),"")</f>
        <v/>
      </c>
      <c r="AC10272" s="16" t="str">
        <f>IFERROR(__xludf.DUMMYFUNCTION("""COMPUTED_VALUE"""),"")</f>
        <v/>
      </c>
    </row>
    <row r="10273">
      <c r="A10273" s="16" t="s">
        <v>87</v>
      </c>
      <c r="E10273" s="16" t="str">
        <f>IFERROR(__xludf.DUMMYFUNCTION("""COMPUTED_VALUE"""),"")</f>
        <v/>
      </c>
      <c r="G10273" s="18"/>
      <c r="H10273" s="16" t="s">
        <v>87</v>
      </c>
      <c r="I10273" s="16" t="s">
        <v>87</v>
      </c>
      <c r="J10273" s="19"/>
      <c r="L10273" s="16" t="str">
        <f>IFERROR(__xludf.DUMMYFUNCTION("""COMPUTED_VALUE"""),"")</f>
        <v/>
      </c>
      <c r="M10273" s="16" t="str">
        <f>IFERROR(__xludf.DUMMYFUNCTION("""COMPUTED_VALUE"""),"")</f>
        <v/>
      </c>
      <c r="U10273" s="16" t="s">
        <v>87</v>
      </c>
      <c r="V10273" s="16" t="str">
        <f>IFERROR(__xludf.DUMMYFUNCTION("""COMPUTED_VALUE"""),"")</f>
        <v/>
      </c>
      <c r="W10273" s="16" t="str">
        <f>IFERROR(__xludf.DUMMYFUNCTION("""COMPUTED_VALUE"""),"")</f>
        <v/>
      </c>
      <c r="X10273" s="16" t="str">
        <f>IFERROR(__xludf.DUMMYFUNCTION("""COMPUTED_VALUE"""),"")</f>
        <v/>
      </c>
      <c r="AC10273" s="16" t="str">
        <f>IFERROR(__xludf.DUMMYFUNCTION("""COMPUTED_VALUE"""),"")</f>
        <v/>
      </c>
    </row>
    <row r="10274">
      <c r="A10274" s="16" t="s">
        <v>87</v>
      </c>
      <c r="E10274" s="16" t="str">
        <f>IFERROR(__xludf.DUMMYFUNCTION("""COMPUTED_VALUE"""),"")</f>
        <v/>
      </c>
      <c r="G10274" s="18"/>
      <c r="H10274" s="16" t="s">
        <v>87</v>
      </c>
      <c r="I10274" s="16" t="s">
        <v>87</v>
      </c>
      <c r="J10274" s="19"/>
      <c r="L10274" s="16" t="str">
        <f>IFERROR(__xludf.DUMMYFUNCTION("""COMPUTED_VALUE"""),"")</f>
        <v/>
      </c>
      <c r="M10274" s="16" t="str">
        <f>IFERROR(__xludf.DUMMYFUNCTION("""COMPUTED_VALUE"""),"")</f>
        <v/>
      </c>
      <c r="U10274" s="16" t="s">
        <v>87</v>
      </c>
      <c r="V10274" s="16" t="str">
        <f>IFERROR(__xludf.DUMMYFUNCTION("""COMPUTED_VALUE"""),"")</f>
        <v/>
      </c>
      <c r="W10274" s="16" t="str">
        <f>IFERROR(__xludf.DUMMYFUNCTION("""COMPUTED_VALUE"""),"")</f>
        <v/>
      </c>
      <c r="X10274" s="16" t="str">
        <f>IFERROR(__xludf.DUMMYFUNCTION("""COMPUTED_VALUE"""),"")</f>
        <v/>
      </c>
      <c r="AC10274" s="16" t="str">
        <f>IFERROR(__xludf.DUMMYFUNCTION("""COMPUTED_VALUE"""),"")</f>
        <v/>
      </c>
    </row>
    <row r="10275">
      <c r="A10275" s="16" t="s">
        <v>87</v>
      </c>
      <c r="E10275" s="16" t="str">
        <f>IFERROR(__xludf.DUMMYFUNCTION("""COMPUTED_VALUE"""),"")</f>
        <v/>
      </c>
      <c r="G10275" s="18"/>
      <c r="H10275" s="16" t="s">
        <v>87</v>
      </c>
      <c r="I10275" s="16" t="s">
        <v>87</v>
      </c>
      <c r="J10275" s="19"/>
      <c r="L10275" s="16" t="str">
        <f>IFERROR(__xludf.DUMMYFUNCTION("""COMPUTED_VALUE"""),"")</f>
        <v/>
      </c>
      <c r="M10275" s="16" t="str">
        <f>IFERROR(__xludf.DUMMYFUNCTION("""COMPUTED_VALUE"""),"")</f>
        <v/>
      </c>
      <c r="U10275" s="16" t="s">
        <v>87</v>
      </c>
      <c r="V10275" s="16" t="str">
        <f>IFERROR(__xludf.DUMMYFUNCTION("""COMPUTED_VALUE"""),"")</f>
        <v/>
      </c>
      <c r="W10275" s="16" t="str">
        <f>IFERROR(__xludf.DUMMYFUNCTION("""COMPUTED_VALUE"""),"")</f>
        <v/>
      </c>
      <c r="X10275" s="16" t="str">
        <f>IFERROR(__xludf.DUMMYFUNCTION("""COMPUTED_VALUE"""),"")</f>
        <v/>
      </c>
      <c r="AC10275" s="16" t="str">
        <f>IFERROR(__xludf.DUMMYFUNCTION("""COMPUTED_VALUE"""),"")</f>
        <v/>
      </c>
    </row>
    <row r="10276">
      <c r="A10276" s="16" t="s">
        <v>87</v>
      </c>
      <c r="E10276" s="16" t="str">
        <f>IFERROR(__xludf.DUMMYFUNCTION("""COMPUTED_VALUE"""),"")</f>
        <v/>
      </c>
      <c r="G10276" s="18"/>
      <c r="H10276" s="16" t="s">
        <v>87</v>
      </c>
      <c r="I10276" s="16" t="s">
        <v>87</v>
      </c>
      <c r="J10276" s="19"/>
      <c r="L10276" s="16" t="str">
        <f>IFERROR(__xludf.DUMMYFUNCTION("""COMPUTED_VALUE"""),"")</f>
        <v/>
      </c>
      <c r="M10276" s="16" t="str">
        <f>IFERROR(__xludf.DUMMYFUNCTION("""COMPUTED_VALUE"""),"")</f>
        <v/>
      </c>
      <c r="U10276" s="16" t="s">
        <v>87</v>
      </c>
      <c r="V10276" s="16" t="str">
        <f>IFERROR(__xludf.DUMMYFUNCTION("""COMPUTED_VALUE"""),"")</f>
        <v/>
      </c>
      <c r="W10276" s="16" t="str">
        <f>IFERROR(__xludf.DUMMYFUNCTION("""COMPUTED_VALUE"""),"")</f>
        <v/>
      </c>
      <c r="X10276" s="16" t="str">
        <f>IFERROR(__xludf.DUMMYFUNCTION("""COMPUTED_VALUE"""),"")</f>
        <v/>
      </c>
      <c r="AC10276" s="16" t="str">
        <f>IFERROR(__xludf.DUMMYFUNCTION("""COMPUTED_VALUE"""),"")</f>
        <v/>
      </c>
    </row>
    <row r="10277">
      <c r="A10277" s="16" t="s">
        <v>87</v>
      </c>
      <c r="E10277" s="16" t="str">
        <f>IFERROR(__xludf.DUMMYFUNCTION("""COMPUTED_VALUE"""),"")</f>
        <v/>
      </c>
      <c r="G10277" s="18"/>
      <c r="H10277" s="16" t="s">
        <v>87</v>
      </c>
      <c r="I10277" s="16" t="s">
        <v>87</v>
      </c>
      <c r="J10277" s="19"/>
      <c r="L10277" s="16" t="str">
        <f>IFERROR(__xludf.DUMMYFUNCTION("""COMPUTED_VALUE"""),"")</f>
        <v/>
      </c>
      <c r="M10277" s="16" t="str">
        <f>IFERROR(__xludf.DUMMYFUNCTION("""COMPUTED_VALUE"""),"")</f>
        <v/>
      </c>
      <c r="U10277" s="16" t="s">
        <v>87</v>
      </c>
      <c r="V10277" s="16" t="str">
        <f>IFERROR(__xludf.DUMMYFUNCTION("""COMPUTED_VALUE"""),"")</f>
        <v/>
      </c>
      <c r="W10277" s="16" t="str">
        <f>IFERROR(__xludf.DUMMYFUNCTION("""COMPUTED_VALUE"""),"")</f>
        <v/>
      </c>
      <c r="X10277" s="16" t="str">
        <f>IFERROR(__xludf.DUMMYFUNCTION("""COMPUTED_VALUE"""),"")</f>
        <v/>
      </c>
      <c r="AC10277" s="16" t="str">
        <f>IFERROR(__xludf.DUMMYFUNCTION("""COMPUTED_VALUE"""),"")</f>
        <v/>
      </c>
    </row>
    <row r="10278">
      <c r="A10278" s="16" t="s">
        <v>87</v>
      </c>
      <c r="E10278" s="16" t="str">
        <f>IFERROR(__xludf.DUMMYFUNCTION("""COMPUTED_VALUE"""),"")</f>
        <v/>
      </c>
      <c r="G10278" s="18"/>
      <c r="H10278" s="16" t="s">
        <v>87</v>
      </c>
      <c r="I10278" s="16" t="s">
        <v>87</v>
      </c>
      <c r="J10278" s="19"/>
      <c r="L10278" s="16" t="str">
        <f>IFERROR(__xludf.DUMMYFUNCTION("""COMPUTED_VALUE"""),"")</f>
        <v/>
      </c>
      <c r="M10278" s="16" t="str">
        <f>IFERROR(__xludf.DUMMYFUNCTION("""COMPUTED_VALUE"""),"")</f>
        <v/>
      </c>
      <c r="U10278" s="16" t="s">
        <v>87</v>
      </c>
      <c r="V10278" s="16" t="str">
        <f>IFERROR(__xludf.DUMMYFUNCTION("""COMPUTED_VALUE"""),"")</f>
        <v/>
      </c>
      <c r="W10278" s="16" t="str">
        <f>IFERROR(__xludf.DUMMYFUNCTION("""COMPUTED_VALUE"""),"")</f>
        <v/>
      </c>
      <c r="X10278" s="16" t="str">
        <f>IFERROR(__xludf.DUMMYFUNCTION("""COMPUTED_VALUE"""),"")</f>
        <v/>
      </c>
      <c r="AC10278" s="16" t="str">
        <f>IFERROR(__xludf.DUMMYFUNCTION("""COMPUTED_VALUE"""),"")</f>
        <v/>
      </c>
    </row>
    <row r="10279">
      <c r="A10279" s="16" t="s">
        <v>87</v>
      </c>
      <c r="E10279" s="16" t="str">
        <f>IFERROR(__xludf.DUMMYFUNCTION("""COMPUTED_VALUE"""),"")</f>
        <v/>
      </c>
      <c r="G10279" s="18"/>
      <c r="H10279" s="16" t="s">
        <v>87</v>
      </c>
      <c r="I10279" s="16" t="s">
        <v>87</v>
      </c>
      <c r="J10279" s="19"/>
      <c r="L10279" s="16" t="str">
        <f>IFERROR(__xludf.DUMMYFUNCTION("""COMPUTED_VALUE"""),"")</f>
        <v/>
      </c>
      <c r="M10279" s="16" t="str">
        <f>IFERROR(__xludf.DUMMYFUNCTION("""COMPUTED_VALUE"""),"")</f>
        <v/>
      </c>
      <c r="U10279" s="16" t="s">
        <v>87</v>
      </c>
      <c r="V10279" s="16" t="str">
        <f>IFERROR(__xludf.DUMMYFUNCTION("""COMPUTED_VALUE"""),"")</f>
        <v/>
      </c>
      <c r="W10279" s="16" t="str">
        <f>IFERROR(__xludf.DUMMYFUNCTION("""COMPUTED_VALUE"""),"")</f>
        <v/>
      </c>
      <c r="X10279" s="16" t="str">
        <f>IFERROR(__xludf.DUMMYFUNCTION("""COMPUTED_VALUE"""),"")</f>
        <v/>
      </c>
      <c r="AC10279" s="16" t="str">
        <f>IFERROR(__xludf.DUMMYFUNCTION("""COMPUTED_VALUE"""),"")</f>
        <v/>
      </c>
    </row>
    <row r="10280">
      <c r="A10280" s="16" t="s">
        <v>87</v>
      </c>
      <c r="E10280" s="16" t="str">
        <f>IFERROR(__xludf.DUMMYFUNCTION("""COMPUTED_VALUE"""),"")</f>
        <v/>
      </c>
      <c r="G10280" s="18"/>
      <c r="H10280" s="16" t="s">
        <v>87</v>
      </c>
      <c r="I10280" s="16" t="s">
        <v>87</v>
      </c>
      <c r="J10280" s="19"/>
      <c r="L10280" s="16" t="str">
        <f>IFERROR(__xludf.DUMMYFUNCTION("""COMPUTED_VALUE"""),"")</f>
        <v/>
      </c>
      <c r="M10280" s="16" t="str">
        <f>IFERROR(__xludf.DUMMYFUNCTION("""COMPUTED_VALUE"""),"")</f>
        <v/>
      </c>
      <c r="U10280" s="16" t="s">
        <v>87</v>
      </c>
      <c r="V10280" s="16" t="str">
        <f>IFERROR(__xludf.DUMMYFUNCTION("""COMPUTED_VALUE"""),"")</f>
        <v/>
      </c>
      <c r="W10280" s="16" t="str">
        <f>IFERROR(__xludf.DUMMYFUNCTION("""COMPUTED_VALUE"""),"")</f>
        <v/>
      </c>
      <c r="X10280" s="16" t="str">
        <f>IFERROR(__xludf.DUMMYFUNCTION("""COMPUTED_VALUE"""),"")</f>
        <v/>
      </c>
      <c r="AC10280" s="16" t="str">
        <f>IFERROR(__xludf.DUMMYFUNCTION("""COMPUTED_VALUE"""),"")</f>
        <v/>
      </c>
    </row>
    <row r="10281">
      <c r="A10281" s="16" t="s">
        <v>87</v>
      </c>
      <c r="E10281" s="16" t="str">
        <f>IFERROR(__xludf.DUMMYFUNCTION("""COMPUTED_VALUE"""),"")</f>
        <v/>
      </c>
      <c r="G10281" s="18"/>
      <c r="H10281" s="16" t="s">
        <v>87</v>
      </c>
      <c r="I10281" s="16" t="s">
        <v>87</v>
      </c>
      <c r="J10281" s="19"/>
      <c r="L10281" s="16" t="str">
        <f>IFERROR(__xludf.DUMMYFUNCTION("""COMPUTED_VALUE"""),"")</f>
        <v/>
      </c>
      <c r="M10281" s="16" t="str">
        <f>IFERROR(__xludf.DUMMYFUNCTION("""COMPUTED_VALUE"""),"")</f>
        <v/>
      </c>
      <c r="U10281" s="16" t="s">
        <v>87</v>
      </c>
      <c r="V10281" s="16" t="str">
        <f>IFERROR(__xludf.DUMMYFUNCTION("""COMPUTED_VALUE"""),"")</f>
        <v/>
      </c>
      <c r="W10281" s="16" t="str">
        <f>IFERROR(__xludf.DUMMYFUNCTION("""COMPUTED_VALUE"""),"")</f>
        <v/>
      </c>
      <c r="X10281" s="16" t="str">
        <f>IFERROR(__xludf.DUMMYFUNCTION("""COMPUTED_VALUE"""),"")</f>
        <v/>
      </c>
      <c r="AC10281" s="16" t="str">
        <f>IFERROR(__xludf.DUMMYFUNCTION("""COMPUTED_VALUE"""),"")</f>
        <v/>
      </c>
    </row>
    <row r="10282">
      <c r="A10282" s="16" t="s">
        <v>87</v>
      </c>
      <c r="E10282" s="16" t="str">
        <f>IFERROR(__xludf.DUMMYFUNCTION("""COMPUTED_VALUE"""),"")</f>
        <v/>
      </c>
      <c r="G10282" s="18"/>
      <c r="H10282" s="16" t="s">
        <v>87</v>
      </c>
      <c r="I10282" s="16" t="s">
        <v>87</v>
      </c>
      <c r="J10282" s="19"/>
      <c r="L10282" s="16" t="str">
        <f>IFERROR(__xludf.DUMMYFUNCTION("""COMPUTED_VALUE"""),"")</f>
        <v/>
      </c>
      <c r="M10282" s="16" t="str">
        <f>IFERROR(__xludf.DUMMYFUNCTION("""COMPUTED_VALUE"""),"")</f>
        <v/>
      </c>
      <c r="U10282" s="16" t="s">
        <v>87</v>
      </c>
      <c r="V10282" s="16" t="str">
        <f>IFERROR(__xludf.DUMMYFUNCTION("""COMPUTED_VALUE"""),"")</f>
        <v/>
      </c>
      <c r="W10282" s="16" t="str">
        <f>IFERROR(__xludf.DUMMYFUNCTION("""COMPUTED_VALUE"""),"")</f>
        <v/>
      </c>
      <c r="X10282" s="16" t="str">
        <f>IFERROR(__xludf.DUMMYFUNCTION("""COMPUTED_VALUE"""),"")</f>
        <v/>
      </c>
      <c r="AC10282" s="16" t="str">
        <f>IFERROR(__xludf.DUMMYFUNCTION("""COMPUTED_VALUE"""),"")</f>
        <v/>
      </c>
    </row>
    <row r="10283">
      <c r="A10283" s="16" t="s">
        <v>87</v>
      </c>
      <c r="E10283" s="16" t="str">
        <f>IFERROR(__xludf.DUMMYFUNCTION("""COMPUTED_VALUE"""),"")</f>
        <v/>
      </c>
      <c r="G10283" s="18"/>
      <c r="H10283" s="16" t="s">
        <v>87</v>
      </c>
      <c r="I10283" s="16" t="s">
        <v>87</v>
      </c>
      <c r="J10283" s="19"/>
      <c r="L10283" s="16" t="str">
        <f>IFERROR(__xludf.DUMMYFUNCTION("""COMPUTED_VALUE"""),"")</f>
        <v/>
      </c>
      <c r="M10283" s="16" t="str">
        <f>IFERROR(__xludf.DUMMYFUNCTION("""COMPUTED_VALUE"""),"")</f>
        <v/>
      </c>
      <c r="U10283" s="16" t="s">
        <v>87</v>
      </c>
      <c r="V10283" s="16" t="str">
        <f>IFERROR(__xludf.DUMMYFUNCTION("""COMPUTED_VALUE"""),"")</f>
        <v/>
      </c>
      <c r="W10283" s="16" t="str">
        <f>IFERROR(__xludf.DUMMYFUNCTION("""COMPUTED_VALUE"""),"")</f>
        <v/>
      </c>
      <c r="X10283" s="16" t="str">
        <f>IFERROR(__xludf.DUMMYFUNCTION("""COMPUTED_VALUE"""),"")</f>
        <v/>
      </c>
      <c r="AC10283" s="16" t="str">
        <f>IFERROR(__xludf.DUMMYFUNCTION("""COMPUTED_VALUE"""),"")</f>
        <v/>
      </c>
    </row>
    <row r="10284">
      <c r="A10284" s="16" t="s">
        <v>87</v>
      </c>
      <c r="E10284" s="16" t="str">
        <f>IFERROR(__xludf.DUMMYFUNCTION("""COMPUTED_VALUE"""),"")</f>
        <v/>
      </c>
      <c r="G10284" s="18"/>
      <c r="H10284" s="16" t="s">
        <v>87</v>
      </c>
      <c r="I10284" s="16" t="s">
        <v>87</v>
      </c>
      <c r="J10284" s="19"/>
      <c r="L10284" s="16" t="str">
        <f>IFERROR(__xludf.DUMMYFUNCTION("""COMPUTED_VALUE"""),"")</f>
        <v/>
      </c>
      <c r="M10284" s="16" t="str">
        <f>IFERROR(__xludf.DUMMYFUNCTION("""COMPUTED_VALUE"""),"")</f>
        <v/>
      </c>
      <c r="U10284" s="16" t="s">
        <v>87</v>
      </c>
      <c r="V10284" s="16" t="str">
        <f>IFERROR(__xludf.DUMMYFUNCTION("""COMPUTED_VALUE"""),"")</f>
        <v/>
      </c>
      <c r="W10284" s="16" t="str">
        <f>IFERROR(__xludf.DUMMYFUNCTION("""COMPUTED_VALUE"""),"")</f>
        <v/>
      </c>
      <c r="X10284" s="16" t="str">
        <f>IFERROR(__xludf.DUMMYFUNCTION("""COMPUTED_VALUE"""),"")</f>
        <v/>
      </c>
      <c r="AC10284" s="16" t="str">
        <f>IFERROR(__xludf.DUMMYFUNCTION("""COMPUTED_VALUE"""),"")</f>
        <v/>
      </c>
    </row>
    <row r="10285">
      <c r="A10285" s="16" t="s">
        <v>87</v>
      </c>
      <c r="E10285" s="16" t="str">
        <f>IFERROR(__xludf.DUMMYFUNCTION("""COMPUTED_VALUE"""),"")</f>
        <v/>
      </c>
      <c r="G10285" s="18"/>
      <c r="H10285" s="16" t="s">
        <v>87</v>
      </c>
      <c r="I10285" s="16" t="s">
        <v>87</v>
      </c>
      <c r="J10285" s="19"/>
      <c r="L10285" s="16" t="str">
        <f>IFERROR(__xludf.DUMMYFUNCTION("""COMPUTED_VALUE"""),"")</f>
        <v/>
      </c>
      <c r="M10285" s="16" t="str">
        <f>IFERROR(__xludf.DUMMYFUNCTION("""COMPUTED_VALUE"""),"")</f>
        <v/>
      </c>
      <c r="U10285" s="16" t="s">
        <v>87</v>
      </c>
      <c r="V10285" s="16" t="str">
        <f>IFERROR(__xludf.DUMMYFUNCTION("""COMPUTED_VALUE"""),"")</f>
        <v/>
      </c>
      <c r="W10285" s="16" t="str">
        <f>IFERROR(__xludf.DUMMYFUNCTION("""COMPUTED_VALUE"""),"")</f>
        <v/>
      </c>
      <c r="X10285" s="16" t="str">
        <f>IFERROR(__xludf.DUMMYFUNCTION("""COMPUTED_VALUE"""),"")</f>
        <v/>
      </c>
      <c r="AC10285" s="16" t="str">
        <f>IFERROR(__xludf.DUMMYFUNCTION("""COMPUTED_VALUE"""),"")</f>
        <v/>
      </c>
    </row>
    <row r="10286">
      <c r="A10286" s="16" t="s">
        <v>87</v>
      </c>
      <c r="E10286" s="16" t="str">
        <f>IFERROR(__xludf.DUMMYFUNCTION("""COMPUTED_VALUE"""),"")</f>
        <v/>
      </c>
      <c r="G10286" s="18"/>
      <c r="H10286" s="16" t="s">
        <v>87</v>
      </c>
      <c r="I10286" s="16" t="s">
        <v>87</v>
      </c>
      <c r="J10286" s="19"/>
      <c r="L10286" s="16" t="str">
        <f>IFERROR(__xludf.DUMMYFUNCTION("""COMPUTED_VALUE"""),"")</f>
        <v/>
      </c>
      <c r="M10286" s="16" t="str">
        <f>IFERROR(__xludf.DUMMYFUNCTION("""COMPUTED_VALUE"""),"")</f>
        <v/>
      </c>
      <c r="U10286" s="16" t="s">
        <v>87</v>
      </c>
      <c r="V10286" s="16" t="str">
        <f>IFERROR(__xludf.DUMMYFUNCTION("""COMPUTED_VALUE"""),"")</f>
        <v/>
      </c>
      <c r="W10286" s="16" t="str">
        <f>IFERROR(__xludf.DUMMYFUNCTION("""COMPUTED_VALUE"""),"")</f>
        <v/>
      </c>
      <c r="X10286" s="16" t="str">
        <f>IFERROR(__xludf.DUMMYFUNCTION("""COMPUTED_VALUE"""),"")</f>
        <v/>
      </c>
      <c r="AC10286" s="16" t="str">
        <f>IFERROR(__xludf.DUMMYFUNCTION("""COMPUTED_VALUE"""),"")</f>
        <v/>
      </c>
    </row>
    <row r="10287">
      <c r="A10287" s="16" t="s">
        <v>87</v>
      </c>
      <c r="E10287" s="16" t="str">
        <f>IFERROR(__xludf.DUMMYFUNCTION("""COMPUTED_VALUE"""),"")</f>
        <v/>
      </c>
      <c r="G10287" s="18"/>
      <c r="H10287" s="16" t="s">
        <v>87</v>
      </c>
      <c r="I10287" s="16" t="s">
        <v>87</v>
      </c>
      <c r="J10287" s="19"/>
      <c r="L10287" s="16" t="str">
        <f>IFERROR(__xludf.DUMMYFUNCTION("""COMPUTED_VALUE"""),"")</f>
        <v/>
      </c>
      <c r="M10287" s="16" t="str">
        <f>IFERROR(__xludf.DUMMYFUNCTION("""COMPUTED_VALUE"""),"")</f>
        <v/>
      </c>
      <c r="U10287" s="16" t="s">
        <v>87</v>
      </c>
      <c r="V10287" s="16" t="str">
        <f>IFERROR(__xludf.DUMMYFUNCTION("""COMPUTED_VALUE"""),"")</f>
        <v/>
      </c>
      <c r="W10287" s="16" t="str">
        <f>IFERROR(__xludf.DUMMYFUNCTION("""COMPUTED_VALUE"""),"")</f>
        <v/>
      </c>
      <c r="X10287" s="16" t="str">
        <f>IFERROR(__xludf.DUMMYFUNCTION("""COMPUTED_VALUE"""),"")</f>
        <v/>
      </c>
      <c r="AC10287" s="16" t="str">
        <f>IFERROR(__xludf.DUMMYFUNCTION("""COMPUTED_VALUE"""),"")</f>
        <v/>
      </c>
    </row>
    <row r="10288">
      <c r="A10288" s="16" t="s">
        <v>87</v>
      </c>
      <c r="E10288" s="16" t="str">
        <f>IFERROR(__xludf.DUMMYFUNCTION("""COMPUTED_VALUE"""),"")</f>
        <v/>
      </c>
      <c r="G10288" s="18"/>
      <c r="H10288" s="16" t="s">
        <v>87</v>
      </c>
      <c r="I10288" s="16" t="s">
        <v>87</v>
      </c>
      <c r="J10288" s="19"/>
      <c r="L10288" s="16" t="str">
        <f>IFERROR(__xludf.DUMMYFUNCTION("""COMPUTED_VALUE"""),"")</f>
        <v/>
      </c>
      <c r="M10288" s="16" t="str">
        <f>IFERROR(__xludf.DUMMYFUNCTION("""COMPUTED_VALUE"""),"")</f>
        <v/>
      </c>
      <c r="U10288" s="16" t="s">
        <v>87</v>
      </c>
      <c r="V10288" s="16" t="str">
        <f>IFERROR(__xludf.DUMMYFUNCTION("""COMPUTED_VALUE"""),"")</f>
        <v/>
      </c>
      <c r="W10288" s="16" t="str">
        <f>IFERROR(__xludf.DUMMYFUNCTION("""COMPUTED_VALUE"""),"")</f>
        <v/>
      </c>
      <c r="X10288" s="16" t="str">
        <f>IFERROR(__xludf.DUMMYFUNCTION("""COMPUTED_VALUE"""),"")</f>
        <v/>
      </c>
      <c r="AC10288" s="16" t="str">
        <f>IFERROR(__xludf.DUMMYFUNCTION("""COMPUTED_VALUE"""),"")</f>
        <v/>
      </c>
    </row>
    <row r="10289">
      <c r="A10289" s="16" t="s">
        <v>87</v>
      </c>
      <c r="E10289" s="16" t="str">
        <f>IFERROR(__xludf.DUMMYFUNCTION("""COMPUTED_VALUE"""),"")</f>
        <v/>
      </c>
      <c r="G10289" s="18"/>
      <c r="H10289" s="16" t="s">
        <v>87</v>
      </c>
      <c r="I10289" s="16" t="s">
        <v>87</v>
      </c>
      <c r="J10289" s="19"/>
      <c r="L10289" s="16" t="str">
        <f>IFERROR(__xludf.DUMMYFUNCTION("""COMPUTED_VALUE"""),"")</f>
        <v/>
      </c>
      <c r="M10289" s="16" t="str">
        <f>IFERROR(__xludf.DUMMYFUNCTION("""COMPUTED_VALUE"""),"")</f>
        <v/>
      </c>
      <c r="U10289" s="16" t="s">
        <v>87</v>
      </c>
      <c r="V10289" s="16" t="str">
        <f>IFERROR(__xludf.DUMMYFUNCTION("""COMPUTED_VALUE"""),"")</f>
        <v/>
      </c>
      <c r="W10289" s="16" t="str">
        <f>IFERROR(__xludf.DUMMYFUNCTION("""COMPUTED_VALUE"""),"")</f>
        <v/>
      </c>
      <c r="X10289" s="16" t="str">
        <f>IFERROR(__xludf.DUMMYFUNCTION("""COMPUTED_VALUE"""),"")</f>
        <v/>
      </c>
      <c r="AC10289" s="16" t="str">
        <f>IFERROR(__xludf.DUMMYFUNCTION("""COMPUTED_VALUE"""),"")</f>
        <v/>
      </c>
    </row>
    <row r="10290">
      <c r="A10290" s="16" t="s">
        <v>87</v>
      </c>
      <c r="E10290" s="16" t="str">
        <f>IFERROR(__xludf.DUMMYFUNCTION("""COMPUTED_VALUE"""),"")</f>
        <v/>
      </c>
      <c r="G10290" s="18"/>
      <c r="H10290" s="16" t="s">
        <v>87</v>
      </c>
      <c r="I10290" s="16" t="s">
        <v>87</v>
      </c>
      <c r="J10290" s="19"/>
      <c r="L10290" s="16" t="str">
        <f>IFERROR(__xludf.DUMMYFUNCTION("""COMPUTED_VALUE"""),"")</f>
        <v/>
      </c>
      <c r="M10290" s="16" t="str">
        <f>IFERROR(__xludf.DUMMYFUNCTION("""COMPUTED_VALUE"""),"")</f>
        <v/>
      </c>
      <c r="U10290" s="16" t="s">
        <v>87</v>
      </c>
      <c r="V10290" s="16" t="str">
        <f>IFERROR(__xludf.DUMMYFUNCTION("""COMPUTED_VALUE"""),"")</f>
        <v/>
      </c>
      <c r="W10290" s="16" t="str">
        <f>IFERROR(__xludf.DUMMYFUNCTION("""COMPUTED_VALUE"""),"")</f>
        <v/>
      </c>
      <c r="X10290" s="16" t="str">
        <f>IFERROR(__xludf.DUMMYFUNCTION("""COMPUTED_VALUE"""),"")</f>
        <v/>
      </c>
      <c r="AC10290" s="16" t="str">
        <f>IFERROR(__xludf.DUMMYFUNCTION("""COMPUTED_VALUE"""),"")</f>
        <v/>
      </c>
    </row>
    <row r="10291">
      <c r="A10291" s="16" t="s">
        <v>87</v>
      </c>
      <c r="E10291" s="16" t="str">
        <f>IFERROR(__xludf.DUMMYFUNCTION("""COMPUTED_VALUE"""),"")</f>
        <v/>
      </c>
      <c r="G10291" s="18"/>
      <c r="H10291" s="16" t="s">
        <v>87</v>
      </c>
      <c r="I10291" s="16" t="s">
        <v>87</v>
      </c>
      <c r="J10291" s="19"/>
      <c r="L10291" s="16" t="str">
        <f>IFERROR(__xludf.DUMMYFUNCTION("""COMPUTED_VALUE"""),"")</f>
        <v/>
      </c>
      <c r="M10291" s="16" t="str">
        <f>IFERROR(__xludf.DUMMYFUNCTION("""COMPUTED_VALUE"""),"")</f>
        <v/>
      </c>
      <c r="U10291" s="16" t="s">
        <v>87</v>
      </c>
      <c r="V10291" s="16" t="str">
        <f>IFERROR(__xludf.DUMMYFUNCTION("""COMPUTED_VALUE"""),"")</f>
        <v/>
      </c>
      <c r="W10291" s="16" t="str">
        <f>IFERROR(__xludf.DUMMYFUNCTION("""COMPUTED_VALUE"""),"")</f>
        <v/>
      </c>
      <c r="X10291" s="16" t="str">
        <f>IFERROR(__xludf.DUMMYFUNCTION("""COMPUTED_VALUE"""),"")</f>
        <v/>
      </c>
      <c r="AC10291" s="16" t="str">
        <f>IFERROR(__xludf.DUMMYFUNCTION("""COMPUTED_VALUE"""),"")</f>
        <v/>
      </c>
    </row>
    <row r="10292">
      <c r="A10292" s="16" t="s">
        <v>87</v>
      </c>
      <c r="E10292" s="16" t="str">
        <f>IFERROR(__xludf.DUMMYFUNCTION("""COMPUTED_VALUE"""),"")</f>
        <v/>
      </c>
      <c r="G10292" s="18"/>
      <c r="H10292" s="16" t="s">
        <v>87</v>
      </c>
      <c r="I10292" s="16" t="s">
        <v>87</v>
      </c>
      <c r="J10292" s="19"/>
      <c r="L10292" s="16" t="str">
        <f>IFERROR(__xludf.DUMMYFUNCTION("""COMPUTED_VALUE"""),"")</f>
        <v/>
      </c>
      <c r="M10292" s="16" t="str">
        <f>IFERROR(__xludf.DUMMYFUNCTION("""COMPUTED_VALUE"""),"")</f>
        <v/>
      </c>
      <c r="U10292" s="16" t="s">
        <v>87</v>
      </c>
      <c r="V10292" s="16" t="str">
        <f>IFERROR(__xludf.DUMMYFUNCTION("""COMPUTED_VALUE"""),"")</f>
        <v/>
      </c>
      <c r="W10292" s="16" t="str">
        <f>IFERROR(__xludf.DUMMYFUNCTION("""COMPUTED_VALUE"""),"")</f>
        <v/>
      </c>
      <c r="X10292" s="16" t="str">
        <f>IFERROR(__xludf.DUMMYFUNCTION("""COMPUTED_VALUE"""),"")</f>
        <v/>
      </c>
      <c r="AC10292" s="16" t="str">
        <f>IFERROR(__xludf.DUMMYFUNCTION("""COMPUTED_VALUE"""),"")</f>
        <v/>
      </c>
    </row>
    <row r="10293">
      <c r="A10293" s="16" t="s">
        <v>87</v>
      </c>
      <c r="E10293" s="16" t="str">
        <f>IFERROR(__xludf.DUMMYFUNCTION("""COMPUTED_VALUE"""),"")</f>
        <v/>
      </c>
      <c r="G10293" s="18"/>
      <c r="H10293" s="16" t="s">
        <v>87</v>
      </c>
      <c r="I10293" s="16" t="s">
        <v>87</v>
      </c>
      <c r="J10293" s="19"/>
      <c r="L10293" s="16" t="str">
        <f>IFERROR(__xludf.DUMMYFUNCTION("""COMPUTED_VALUE"""),"")</f>
        <v/>
      </c>
      <c r="M10293" s="16" t="str">
        <f>IFERROR(__xludf.DUMMYFUNCTION("""COMPUTED_VALUE"""),"")</f>
        <v/>
      </c>
      <c r="U10293" s="16" t="s">
        <v>87</v>
      </c>
      <c r="V10293" s="16" t="str">
        <f>IFERROR(__xludf.DUMMYFUNCTION("""COMPUTED_VALUE"""),"")</f>
        <v/>
      </c>
      <c r="W10293" s="16" t="str">
        <f>IFERROR(__xludf.DUMMYFUNCTION("""COMPUTED_VALUE"""),"")</f>
        <v/>
      </c>
      <c r="X10293" s="16" t="str">
        <f>IFERROR(__xludf.DUMMYFUNCTION("""COMPUTED_VALUE"""),"")</f>
        <v/>
      </c>
      <c r="AC10293" s="16" t="str">
        <f>IFERROR(__xludf.DUMMYFUNCTION("""COMPUTED_VALUE"""),"")</f>
        <v/>
      </c>
    </row>
    <row r="10294">
      <c r="A10294" s="16" t="s">
        <v>87</v>
      </c>
      <c r="E10294" s="16" t="str">
        <f>IFERROR(__xludf.DUMMYFUNCTION("""COMPUTED_VALUE"""),"")</f>
        <v/>
      </c>
      <c r="G10294" s="18"/>
      <c r="H10294" s="16" t="s">
        <v>87</v>
      </c>
      <c r="I10294" s="16" t="s">
        <v>87</v>
      </c>
      <c r="J10294" s="19"/>
      <c r="L10294" s="16" t="str">
        <f>IFERROR(__xludf.DUMMYFUNCTION("""COMPUTED_VALUE"""),"")</f>
        <v/>
      </c>
      <c r="M10294" s="16" t="str">
        <f>IFERROR(__xludf.DUMMYFUNCTION("""COMPUTED_VALUE"""),"")</f>
        <v/>
      </c>
      <c r="U10294" s="16" t="s">
        <v>87</v>
      </c>
      <c r="V10294" s="16" t="str">
        <f>IFERROR(__xludf.DUMMYFUNCTION("""COMPUTED_VALUE"""),"")</f>
        <v/>
      </c>
      <c r="W10294" s="16" t="str">
        <f>IFERROR(__xludf.DUMMYFUNCTION("""COMPUTED_VALUE"""),"")</f>
        <v/>
      </c>
      <c r="X10294" s="16" t="str">
        <f>IFERROR(__xludf.DUMMYFUNCTION("""COMPUTED_VALUE"""),"")</f>
        <v/>
      </c>
      <c r="AC10294" s="16" t="str">
        <f>IFERROR(__xludf.DUMMYFUNCTION("""COMPUTED_VALUE"""),"")</f>
        <v/>
      </c>
    </row>
    <row r="10295">
      <c r="A10295" s="16" t="s">
        <v>87</v>
      </c>
      <c r="E10295" s="16" t="str">
        <f>IFERROR(__xludf.DUMMYFUNCTION("""COMPUTED_VALUE"""),"")</f>
        <v/>
      </c>
      <c r="G10295" s="18"/>
      <c r="H10295" s="16" t="s">
        <v>87</v>
      </c>
      <c r="I10295" s="16" t="s">
        <v>87</v>
      </c>
      <c r="J10295" s="19"/>
      <c r="L10295" s="16" t="str">
        <f>IFERROR(__xludf.DUMMYFUNCTION("""COMPUTED_VALUE"""),"")</f>
        <v/>
      </c>
      <c r="M10295" s="16" t="str">
        <f>IFERROR(__xludf.DUMMYFUNCTION("""COMPUTED_VALUE"""),"")</f>
        <v/>
      </c>
      <c r="U10295" s="16" t="s">
        <v>87</v>
      </c>
      <c r="V10295" s="16" t="str">
        <f>IFERROR(__xludf.DUMMYFUNCTION("""COMPUTED_VALUE"""),"")</f>
        <v/>
      </c>
      <c r="W10295" s="16" t="str">
        <f>IFERROR(__xludf.DUMMYFUNCTION("""COMPUTED_VALUE"""),"")</f>
        <v/>
      </c>
      <c r="X10295" s="16" t="str">
        <f>IFERROR(__xludf.DUMMYFUNCTION("""COMPUTED_VALUE"""),"")</f>
        <v/>
      </c>
      <c r="AC10295" s="16" t="str">
        <f>IFERROR(__xludf.DUMMYFUNCTION("""COMPUTED_VALUE"""),"")</f>
        <v/>
      </c>
    </row>
    <row r="10296">
      <c r="A10296" s="16" t="s">
        <v>87</v>
      </c>
      <c r="E10296" s="16" t="str">
        <f>IFERROR(__xludf.DUMMYFUNCTION("""COMPUTED_VALUE"""),"")</f>
        <v/>
      </c>
      <c r="G10296" s="18"/>
      <c r="H10296" s="16" t="s">
        <v>87</v>
      </c>
      <c r="I10296" s="16" t="s">
        <v>87</v>
      </c>
      <c r="J10296" s="19"/>
      <c r="L10296" s="16" t="str">
        <f>IFERROR(__xludf.DUMMYFUNCTION("""COMPUTED_VALUE"""),"")</f>
        <v/>
      </c>
      <c r="M10296" s="16" t="str">
        <f>IFERROR(__xludf.DUMMYFUNCTION("""COMPUTED_VALUE"""),"")</f>
        <v/>
      </c>
      <c r="U10296" s="16" t="s">
        <v>87</v>
      </c>
      <c r="V10296" s="16" t="str">
        <f>IFERROR(__xludf.DUMMYFUNCTION("""COMPUTED_VALUE"""),"")</f>
        <v/>
      </c>
      <c r="W10296" s="16" t="str">
        <f>IFERROR(__xludf.DUMMYFUNCTION("""COMPUTED_VALUE"""),"")</f>
        <v/>
      </c>
      <c r="X10296" s="16" t="str">
        <f>IFERROR(__xludf.DUMMYFUNCTION("""COMPUTED_VALUE"""),"")</f>
        <v/>
      </c>
      <c r="AC10296" s="16" t="str">
        <f>IFERROR(__xludf.DUMMYFUNCTION("""COMPUTED_VALUE"""),"")</f>
        <v/>
      </c>
    </row>
    <row r="10297">
      <c r="A10297" s="16" t="s">
        <v>87</v>
      </c>
      <c r="E10297" s="16" t="str">
        <f>IFERROR(__xludf.DUMMYFUNCTION("""COMPUTED_VALUE"""),"")</f>
        <v/>
      </c>
      <c r="G10297" s="18"/>
      <c r="H10297" s="16" t="s">
        <v>87</v>
      </c>
      <c r="I10297" s="16" t="s">
        <v>87</v>
      </c>
      <c r="J10297" s="19"/>
      <c r="L10297" s="16" t="str">
        <f>IFERROR(__xludf.DUMMYFUNCTION("""COMPUTED_VALUE"""),"")</f>
        <v/>
      </c>
      <c r="M10297" s="16" t="str">
        <f>IFERROR(__xludf.DUMMYFUNCTION("""COMPUTED_VALUE"""),"")</f>
        <v/>
      </c>
      <c r="U10297" s="16" t="s">
        <v>87</v>
      </c>
      <c r="V10297" s="16" t="str">
        <f>IFERROR(__xludf.DUMMYFUNCTION("""COMPUTED_VALUE"""),"")</f>
        <v/>
      </c>
      <c r="W10297" s="16" t="str">
        <f>IFERROR(__xludf.DUMMYFUNCTION("""COMPUTED_VALUE"""),"")</f>
        <v/>
      </c>
      <c r="X10297" s="16" t="str">
        <f>IFERROR(__xludf.DUMMYFUNCTION("""COMPUTED_VALUE"""),"")</f>
        <v/>
      </c>
      <c r="AC10297" s="16" t="str">
        <f>IFERROR(__xludf.DUMMYFUNCTION("""COMPUTED_VALUE"""),"")</f>
        <v/>
      </c>
    </row>
    <row r="10298">
      <c r="A10298" s="16" t="s">
        <v>87</v>
      </c>
      <c r="E10298" s="16" t="str">
        <f>IFERROR(__xludf.DUMMYFUNCTION("""COMPUTED_VALUE"""),"")</f>
        <v/>
      </c>
      <c r="G10298" s="18"/>
      <c r="H10298" s="16" t="s">
        <v>87</v>
      </c>
      <c r="I10298" s="16" t="s">
        <v>87</v>
      </c>
      <c r="J10298" s="19"/>
      <c r="L10298" s="16" t="str">
        <f>IFERROR(__xludf.DUMMYFUNCTION("""COMPUTED_VALUE"""),"")</f>
        <v/>
      </c>
      <c r="M10298" s="16" t="str">
        <f>IFERROR(__xludf.DUMMYFUNCTION("""COMPUTED_VALUE"""),"")</f>
        <v/>
      </c>
      <c r="U10298" s="16" t="s">
        <v>87</v>
      </c>
      <c r="V10298" s="16" t="str">
        <f>IFERROR(__xludf.DUMMYFUNCTION("""COMPUTED_VALUE"""),"")</f>
        <v/>
      </c>
      <c r="W10298" s="16" t="str">
        <f>IFERROR(__xludf.DUMMYFUNCTION("""COMPUTED_VALUE"""),"")</f>
        <v/>
      </c>
      <c r="X10298" s="16" t="str">
        <f>IFERROR(__xludf.DUMMYFUNCTION("""COMPUTED_VALUE"""),"")</f>
        <v/>
      </c>
      <c r="AC10298" s="16" t="str">
        <f>IFERROR(__xludf.DUMMYFUNCTION("""COMPUTED_VALUE"""),"")</f>
        <v/>
      </c>
    </row>
    <row r="10299">
      <c r="A10299" s="16" t="s">
        <v>87</v>
      </c>
      <c r="E10299" s="16" t="str">
        <f>IFERROR(__xludf.DUMMYFUNCTION("""COMPUTED_VALUE"""),"")</f>
        <v/>
      </c>
      <c r="G10299" s="18"/>
      <c r="H10299" s="16" t="s">
        <v>87</v>
      </c>
      <c r="I10299" s="16" t="s">
        <v>87</v>
      </c>
      <c r="J10299" s="19"/>
      <c r="L10299" s="16" t="str">
        <f>IFERROR(__xludf.DUMMYFUNCTION("""COMPUTED_VALUE"""),"")</f>
        <v/>
      </c>
      <c r="M10299" s="16" t="str">
        <f>IFERROR(__xludf.DUMMYFUNCTION("""COMPUTED_VALUE"""),"")</f>
        <v/>
      </c>
      <c r="U10299" s="16" t="s">
        <v>87</v>
      </c>
      <c r="V10299" s="16" t="str">
        <f>IFERROR(__xludf.DUMMYFUNCTION("""COMPUTED_VALUE"""),"")</f>
        <v/>
      </c>
      <c r="W10299" s="16" t="str">
        <f>IFERROR(__xludf.DUMMYFUNCTION("""COMPUTED_VALUE"""),"")</f>
        <v/>
      </c>
      <c r="X10299" s="16" t="str">
        <f>IFERROR(__xludf.DUMMYFUNCTION("""COMPUTED_VALUE"""),"")</f>
        <v/>
      </c>
      <c r="AC10299" s="16" t="str">
        <f>IFERROR(__xludf.DUMMYFUNCTION("""COMPUTED_VALUE"""),"")</f>
        <v/>
      </c>
    </row>
    <row r="10300">
      <c r="A10300" s="16" t="s">
        <v>87</v>
      </c>
      <c r="E10300" s="16" t="str">
        <f>IFERROR(__xludf.DUMMYFUNCTION("""COMPUTED_VALUE"""),"")</f>
        <v/>
      </c>
      <c r="G10300" s="18"/>
      <c r="H10300" s="16" t="s">
        <v>87</v>
      </c>
      <c r="I10300" s="16" t="s">
        <v>87</v>
      </c>
      <c r="J10300" s="19"/>
      <c r="L10300" s="16" t="str">
        <f>IFERROR(__xludf.DUMMYFUNCTION("""COMPUTED_VALUE"""),"")</f>
        <v/>
      </c>
      <c r="M10300" s="16" t="str">
        <f>IFERROR(__xludf.DUMMYFUNCTION("""COMPUTED_VALUE"""),"")</f>
        <v/>
      </c>
      <c r="U10300" s="16" t="s">
        <v>87</v>
      </c>
      <c r="V10300" s="16" t="str">
        <f>IFERROR(__xludf.DUMMYFUNCTION("""COMPUTED_VALUE"""),"")</f>
        <v/>
      </c>
      <c r="W10300" s="16" t="str">
        <f>IFERROR(__xludf.DUMMYFUNCTION("""COMPUTED_VALUE"""),"")</f>
        <v/>
      </c>
      <c r="X10300" s="16" t="str">
        <f>IFERROR(__xludf.DUMMYFUNCTION("""COMPUTED_VALUE"""),"")</f>
        <v/>
      </c>
      <c r="AC10300" s="16" t="str">
        <f>IFERROR(__xludf.DUMMYFUNCTION("""COMPUTED_VALUE"""),"")</f>
        <v/>
      </c>
    </row>
    <row r="10301">
      <c r="A10301" s="16" t="s">
        <v>87</v>
      </c>
      <c r="E10301" s="16" t="str">
        <f>IFERROR(__xludf.DUMMYFUNCTION("""COMPUTED_VALUE"""),"")</f>
        <v/>
      </c>
      <c r="G10301" s="18"/>
      <c r="H10301" s="16" t="s">
        <v>87</v>
      </c>
      <c r="I10301" s="16" t="s">
        <v>87</v>
      </c>
      <c r="J10301" s="19"/>
      <c r="L10301" s="16" t="str">
        <f>IFERROR(__xludf.DUMMYFUNCTION("""COMPUTED_VALUE"""),"")</f>
        <v/>
      </c>
      <c r="M10301" s="16" t="str">
        <f>IFERROR(__xludf.DUMMYFUNCTION("""COMPUTED_VALUE"""),"")</f>
        <v/>
      </c>
      <c r="U10301" s="16" t="s">
        <v>87</v>
      </c>
      <c r="V10301" s="16" t="str">
        <f>IFERROR(__xludf.DUMMYFUNCTION("""COMPUTED_VALUE"""),"")</f>
        <v/>
      </c>
      <c r="W10301" s="16" t="str">
        <f>IFERROR(__xludf.DUMMYFUNCTION("""COMPUTED_VALUE"""),"")</f>
        <v/>
      </c>
      <c r="X10301" s="16" t="str">
        <f>IFERROR(__xludf.DUMMYFUNCTION("""COMPUTED_VALUE"""),"")</f>
        <v/>
      </c>
      <c r="AC10301" s="16" t="str">
        <f>IFERROR(__xludf.DUMMYFUNCTION("""COMPUTED_VALUE"""),"")</f>
        <v/>
      </c>
    </row>
    <row r="10302">
      <c r="A10302" s="16" t="s">
        <v>87</v>
      </c>
      <c r="E10302" s="16" t="str">
        <f>IFERROR(__xludf.DUMMYFUNCTION("""COMPUTED_VALUE"""),"")</f>
        <v/>
      </c>
      <c r="G10302" s="18"/>
      <c r="H10302" s="16" t="s">
        <v>87</v>
      </c>
      <c r="I10302" s="16" t="s">
        <v>87</v>
      </c>
      <c r="J10302" s="19"/>
      <c r="L10302" s="16" t="str">
        <f>IFERROR(__xludf.DUMMYFUNCTION("""COMPUTED_VALUE"""),"")</f>
        <v/>
      </c>
      <c r="M10302" s="16" t="str">
        <f>IFERROR(__xludf.DUMMYFUNCTION("""COMPUTED_VALUE"""),"")</f>
        <v/>
      </c>
      <c r="U10302" s="16" t="s">
        <v>87</v>
      </c>
      <c r="V10302" s="16" t="str">
        <f>IFERROR(__xludf.DUMMYFUNCTION("""COMPUTED_VALUE"""),"")</f>
        <v/>
      </c>
      <c r="W10302" s="16" t="str">
        <f>IFERROR(__xludf.DUMMYFUNCTION("""COMPUTED_VALUE"""),"")</f>
        <v/>
      </c>
      <c r="X10302" s="16" t="str">
        <f>IFERROR(__xludf.DUMMYFUNCTION("""COMPUTED_VALUE"""),"")</f>
        <v/>
      </c>
      <c r="AC10302" s="16" t="str">
        <f>IFERROR(__xludf.DUMMYFUNCTION("""COMPUTED_VALUE"""),"")</f>
        <v/>
      </c>
    </row>
    <row r="10303">
      <c r="A10303" s="16" t="s">
        <v>87</v>
      </c>
      <c r="E10303" s="16" t="str">
        <f>IFERROR(__xludf.DUMMYFUNCTION("""COMPUTED_VALUE"""),"")</f>
        <v/>
      </c>
      <c r="G10303" s="18"/>
      <c r="H10303" s="16" t="s">
        <v>87</v>
      </c>
      <c r="I10303" s="16" t="s">
        <v>87</v>
      </c>
      <c r="J10303" s="19"/>
      <c r="L10303" s="16" t="str">
        <f>IFERROR(__xludf.DUMMYFUNCTION("""COMPUTED_VALUE"""),"")</f>
        <v/>
      </c>
      <c r="M10303" s="16" t="str">
        <f>IFERROR(__xludf.DUMMYFUNCTION("""COMPUTED_VALUE"""),"")</f>
        <v/>
      </c>
      <c r="U10303" s="16" t="s">
        <v>87</v>
      </c>
      <c r="V10303" s="16" t="str">
        <f>IFERROR(__xludf.DUMMYFUNCTION("""COMPUTED_VALUE"""),"")</f>
        <v/>
      </c>
      <c r="W10303" s="16" t="str">
        <f>IFERROR(__xludf.DUMMYFUNCTION("""COMPUTED_VALUE"""),"")</f>
        <v/>
      </c>
      <c r="X10303" s="16" t="str">
        <f>IFERROR(__xludf.DUMMYFUNCTION("""COMPUTED_VALUE"""),"")</f>
        <v/>
      </c>
      <c r="AC10303" s="16" t="str">
        <f>IFERROR(__xludf.DUMMYFUNCTION("""COMPUTED_VALUE"""),"")</f>
        <v/>
      </c>
    </row>
    <row r="10304">
      <c r="A10304" s="16" t="s">
        <v>87</v>
      </c>
      <c r="E10304" s="16" t="str">
        <f>IFERROR(__xludf.DUMMYFUNCTION("""COMPUTED_VALUE"""),"")</f>
        <v/>
      </c>
      <c r="G10304" s="18"/>
      <c r="H10304" s="16" t="s">
        <v>87</v>
      </c>
      <c r="I10304" s="16" t="s">
        <v>87</v>
      </c>
      <c r="J10304" s="19"/>
      <c r="L10304" s="16" t="str">
        <f>IFERROR(__xludf.DUMMYFUNCTION("""COMPUTED_VALUE"""),"")</f>
        <v/>
      </c>
      <c r="M10304" s="16" t="str">
        <f>IFERROR(__xludf.DUMMYFUNCTION("""COMPUTED_VALUE"""),"")</f>
        <v/>
      </c>
      <c r="U10304" s="16" t="s">
        <v>87</v>
      </c>
      <c r="V10304" s="16" t="str">
        <f>IFERROR(__xludf.DUMMYFUNCTION("""COMPUTED_VALUE"""),"")</f>
        <v/>
      </c>
      <c r="W10304" s="16" t="str">
        <f>IFERROR(__xludf.DUMMYFUNCTION("""COMPUTED_VALUE"""),"")</f>
        <v/>
      </c>
      <c r="X10304" s="16" t="str">
        <f>IFERROR(__xludf.DUMMYFUNCTION("""COMPUTED_VALUE"""),"")</f>
        <v/>
      </c>
      <c r="AC10304" s="16" t="str">
        <f>IFERROR(__xludf.DUMMYFUNCTION("""COMPUTED_VALUE"""),"")</f>
        <v/>
      </c>
    </row>
    <row r="10305">
      <c r="A10305" s="16" t="s">
        <v>87</v>
      </c>
      <c r="E10305" s="16" t="str">
        <f>IFERROR(__xludf.DUMMYFUNCTION("""COMPUTED_VALUE"""),"")</f>
        <v/>
      </c>
      <c r="G10305" s="18"/>
      <c r="H10305" s="16" t="s">
        <v>87</v>
      </c>
      <c r="I10305" s="16" t="s">
        <v>87</v>
      </c>
      <c r="J10305" s="19"/>
      <c r="L10305" s="16" t="str">
        <f>IFERROR(__xludf.DUMMYFUNCTION("""COMPUTED_VALUE"""),"")</f>
        <v/>
      </c>
      <c r="M10305" s="16" t="str">
        <f>IFERROR(__xludf.DUMMYFUNCTION("""COMPUTED_VALUE"""),"")</f>
        <v/>
      </c>
      <c r="U10305" s="16" t="s">
        <v>87</v>
      </c>
      <c r="V10305" s="16" t="str">
        <f>IFERROR(__xludf.DUMMYFUNCTION("""COMPUTED_VALUE"""),"")</f>
        <v/>
      </c>
      <c r="W10305" s="16" t="str">
        <f>IFERROR(__xludf.DUMMYFUNCTION("""COMPUTED_VALUE"""),"")</f>
        <v/>
      </c>
      <c r="X10305" s="16" t="str">
        <f>IFERROR(__xludf.DUMMYFUNCTION("""COMPUTED_VALUE"""),"")</f>
        <v/>
      </c>
      <c r="AC10305" s="16" t="str">
        <f>IFERROR(__xludf.DUMMYFUNCTION("""COMPUTED_VALUE"""),"")</f>
        <v/>
      </c>
    </row>
    <row r="10306">
      <c r="A10306" s="16" t="s">
        <v>87</v>
      </c>
      <c r="E10306" s="16" t="str">
        <f>IFERROR(__xludf.DUMMYFUNCTION("""COMPUTED_VALUE"""),"")</f>
        <v/>
      </c>
      <c r="G10306" s="18"/>
      <c r="H10306" s="16" t="s">
        <v>87</v>
      </c>
      <c r="I10306" s="16" t="s">
        <v>87</v>
      </c>
      <c r="J10306" s="19"/>
      <c r="L10306" s="16" t="str">
        <f>IFERROR(__xludf.DUMMYFUNCTION("""COMPUTED_VALUE"""),"")</f>
        <v/>
      </c>
      <c r="M10306" s="16" t="str">
        <f>IFERROR(__xludf.DUMMYFUNCTION("""COMPUTED_VALUE"""),"")</f>
        <v/>
      </c>
      <c r="U10306" s="16" t="s">
        <v>87</v>
      </c>
      <c r="V10306" s="16" t="str">
        <f>IFERROR(__xludf.DUMMYFUNCTION("""COMPUTED_VALUE"""),"")</f>
        <v/>
      </c>
      <c r="W10306" s="16" t="str">
        <f>IFERROR(__xludf.DUMMYFUNCTION("""COMPUTED_VALUE"""),"")</f>
        <v/>
      </c>
      <c r="X10306" s="16" t="str">
        <f>IFERROR(__xludf.DUMMYFUNCTION("""COMPUTED_VALUE"""),"")</f>
        <v/>
      </c>
      <c r="AC10306" s="16" t="str">
        <f>IFERROR(__xludf.DUMMYFUNCTION("""COMPUTED_VALUE"""),"")</f>
        <v/>
      </c>
    </row>
    <row r="10307">
      <c r="A10307" s="16" t="s">
        <v>87</v>
      </c>
      <c r="E10307" s="16" t="str">
        <f>IFERROR(__xludf.DUMMYFUNCTION("""COMPUTED_VALUE"""),"")</f>
        <v/>
      </c>
      <c r="G10307" s="18"/>
      <c r="H10307" s="16" t="s">
        <v>87</v>
      </c>
      <c r="I10307" s="16" t="s">
        <v>87</v>
      </c>
      <c r="J10307" s="19"/>
      <c r="L10307" s="16" t="str">
        <f>IFERROR(__xludf.DUMMYFUNCTION("""COMPUTED_VALUE"""),"")</f>
        <v/>
      </c>
      <c r="M10307" s="16" t="str">
        <f>IFERROR(__xludf.DUMMYFUNCTION("""COMPUTED_VALUE"""),"")</f>
        <v/>
      </c>
      <c r="U10307" s="16" t="s">
        <v>87</v>
      </c>
      <c r="V10307" s="16" t="str">
        <f>IFERROR(__xludf.DUMMYFUNCTION("""COMPUTED_VALUE"""),"")</f>
        <v/>
      </c>
      <c r="W10307" s="16" t="str">
        <f>IFERROR(__xludf.DUMMYFUNCTION("""COMPUTED_VALUE"""),"")</f>
        <v/>
      </c>
      <c r="X10307" s="16" t="str">
        <f>IFERROR(__xludf.DUMMYFUNCTION("""COMPUTED_VALUE"""),"")</f>
        <v/>
      </c>
      <c r="AC10307" s="16" t="str">
        <f>IFERROR(__xludf.DUMMYFUNCTION("""COMPUTED_VALUE"""),"")</f>
        <v/>
      </c>
    </row>
    <row r="10308">
      <c r="A10308" s="16" t="s">
        <v>87</v>
      </c>
      <c r="E10308" s="16" t="str">
        <f>IFERROR(__xludf.DUMMYFUNCTION("""COMPUTED_VALUE"""),"")</f>
        <v/>
      </c>
      <c r="G10308" s="18"/>
      <c r="H10308" s="16" t="s">
        <v>87</v>
      </c>
      <c r="I10308" s="16" t="s">
        <v>87</v>
      </c>
      <c r="J10308" s="19"/>
      <c r="L10308" s="16" t="str">
        <f>IFERROR(__xludf.DUMMYFUNCTION("""COMPUTED_VALUE"""),"")</f>
        <v/>
      </c>
      <c r="M10308" s="16" t="str">
        <f>IFERROR(__xludf.DUMMYFUNCTION("""COMPUTED_VALUE"""),"")</f>
        <v/>
      </c>
      <c r="U10308" s="16" t="s">
        <v>87</v>
      </c>
      <c r="V10308" s="16" t="str">
        <f>IFERROR(__xludf.DUMMYFUNCTION("""COMPUTED_VALUE"""),"")</f>
        <v/>
      </c>
      <c r="W10308" s="16" t="str">
        <f>IFERROR(__xludf.DUMMYFUNCTION("""COMPUTED_VALUE"""),"")</f>
        <v/>
      </c>
      <c r="X10308" s="16" t="str">
        <f>IFERROR(__xludf.DUMMYFUNCTION("""COMPUTED_VALUE"""),"")</f>
        <v/>
      </c>
      <c r="AC10308" s="16" t="str">
        <f>IFERROR(__xludf.DUMMYFUNCTION("""COMPUTED_VALUE"""),"")</f>
        <v/>
      </c>
    </row>
    <row r="10309">
      <c r="A10309" s="16" t="s">
        <v>87</v>
      </c>
      <c r="E10309" s="16" t="str">
        <f>IFERROR(__xludf.DUMMYFUNCTION("""COMPUTED_VALUE"""),"")</f>
        <v/>
      </c>
      <c r="G10309" s="18"/>
      <c r="H10309" s="16" t="s">
        <v>87</v>
      </c>
      <c r="I10309" s="16" t="s">
        <v>87</v>
      </c>
      <c r="J10309" s="19"/>
      <c r="L10309" s="16" t="str">
        <f>IFERROR(__xludf.DUMMYFUNCTION("""COMPUTED_VALUE"""),"")</f>
        <v/>
      </c>
      <c r="M10309" s="16" t="str">
        <f>IFERROR(__xludf.DUMMYFUNCTION("""COMPUTED_VALUE"""),"")</f>
        <v/>
      </c>
      <c r="U10309" s="16" t="s">
        <v>87</v>
      </c>
      <c r="V10309" s="16" t="str">
        <f>IFERROR(__xludf.DUMMYFUNCTION("""COMPUTED_VALUE"""),"")</f>
        <v/>
      </c>
      <c r="W10309" s="16" t="str">
        <f>IFERROR(__xludf.DUMMYFUNCTION("""COMPUTED_VALUE"""),"")</f>
        <v/>
      </c>
      <c r="X10309" s="16" t="str">
        <f>IFERROR(__xludf.DUMMYFUNCTION("""COMPUTED_VALUE"""),"")</f>
        <v/>
      </c>
      <c r="AC10309" s="16" t="str">
        <f>IFERROR(__xludf.DUMMYFUNCTION("""COMPUTED_VALUE"""),"")</f>
        <v/>
      </c>
    </row>
    <row r="10310">
      <c r="A10310" s="16" t="s">
        <v>87</v>
      </c>
      <c r="E10310" s="16" t="str">
        <f>IFERROR(__xludf.DUMMYFUNCTION("""COMPUTED_VALUE"""),"")</f>
        <v/>
      </c>
      <c r="G10310" s="18"/>
      <c r="H10310" s="16" t="s">
        <v>87</v>
      </c>
      <c r="I10310" s="16" t="s">
        <v>87</v>
      </c>
      <c r="J10310" s="19"/>
      <c r="L10310" s="16" t="str">
        <f>IFERROR(__xludf.DUMMYFUNCTION("""COMPUTED_VALUE"""),"")</f>
        <v/>
      </c>
      <c r="M10310" s="16" t="str">
        <f>IFERROR(__xludf.DUMMYFUNCTION("""COMPUTED_VALUE"""),"")</f>
        <v/>
      </c>
      <c r="U10310" s="16" t="s">
        <v>87</v>
      </c>
      <c r="V10310" s="16" t="str">
        <f>IFERROR(__xludf.DUMMYFUNCTION("""COMPUTED_VALUE"""),"")</f>
        <v/>
      </c>
      <c r="W10310" s="16" t="str">
        <f>IFERROR(__xludf.DUMMYFUNCTION("""COMPUTED_VALUE"""),"")</f>
        <v/>
      </c>
      <c r="X10310" s="16" t="str">
        <f>IFERROR(__xludf.DUMMYFUNCTION("""COMPUTED_VALUE"""),"")</f>
        <v/>
      </c>
      <c r="AC10310" s="16" t="str">
        <f>IFERROR(__xludf.DUMMYFUNCTION("""COMPUTED_VALUE"""),"")</f>
        <v/>
      </c>
    </row>
    <row r="10311">
      <c r="A10311" s="16" t="s">
        <v>87</v>
      </c>
      <c r="E10311" s="16" t="str">
        <f>IFERROR(__xludf.DUMMYFUNCTION("""COMPUTED_VALUE"""),"")</f>
        <v/>
      </c>
      <c r="G10311" s="18"/>
      <c r="H10311" s="16" t="s">
        <v>87</v>
      </c>
      <c r="I10311" s="16" t="s">
        <v>87</v>
      </c>
      <c r="J10311" s="19"/>
      <c r="L10311" s="16" t="str">
        <f>IFERROR(__xludf.DUMMYFUNCTION("""COMPUTED_VALUE"""),"")</f>
        <v/>
      </c>
      <c r="M10311" s="16" t="str">
        <f>IFERROR(__xludf.DUMMYFUNCTION("""COMPUTED_VALUE"""),"")</f>
        <v/>
      </c>
      <c r="U10311" s="16" t="s">
        <v>87</v>
      </c>
      <c r="V10311" s="16" t="str">
        <f>IFERROR(__xludf.DUMMYFUNCTION("""COMPUTED_VALUE"""),"")</f>
        <v/>
      </c>
      <c r="W10311" s="16" t="str">
        <f>IFERROR(__xludf.DUMMYFUNCTION("""COMPUTED_VALUE"""),"")</f>
        <v/>
      </c>
      <c r="X10311" s="16" t="str">
        <f>IFERROR(__xludf.DUMMYFUNCTION("""COMPUTED_VALUE"""),"")</f>
        <v/>
      </c>
      <c r="AC10311" s="16" t="str">
        <f>IFERROR(__xludf.DUMMYFUNCTION("""COMPUTED_VALUE"""),"")</f>
        <v/>
      </c>
    </row>
    <row r="10312">
      <c r="A10312" s="16" t="s">
        <v>87</v>
      </c>
      <c r="E10312" s="16" t="str">
        <f>IFERROR(__xludf.DUMMYFUNCTION("""COMPUTED_VALUE"""),"")</f>
        <v/>
      </c>
      <c r="G10312" s="18"/>
      <c r="H10312" s="16" t="s">
        <v>87</v>
      </c>
      <c r="I10312" s="16" t="s">
        <v>87</v>
      </c>
      <c r="J10312" s="19"/>
      <c r="L10312" s="16" t="str">
        <f>IFERROR(__xludf.DUMMYFUNCTION("""COMPUTED_VALUE"""),"")</f>
        <v/>
      </c>
      <c r="M10312" s="16" t="str">
        <f>IFERROR(__xludf.DUMMYFUNCTION("""COMPUTED_VALUE"""),"")</f>
        <v/>
      </c>
      <c r="U10312" s="16" t="s">
        <v>87</v>
      </c>
      <c r="V10312" s="16" t="str">
        <f>IFERROR(__xludf.DUMMYFUNCTION("""COMPUTED_VALUE"""),"")</f>
        <v/>
      </c>
      <c r="W10312" s="16" t="str">
        <f>IFERROR(__xludf.DUMMYFUNCTION("""COMPUTED_VALUE"""),"")</f>
        <v/>
      </c>
      <c r="X10312" s="16" t="str">
        <f>IFERROR(__xludf.DUMMYFUNCTION("""COMPUTED_VALUE"""),"")</f>
        <v/>
      </c>
      <c r="AC10312" s="16" t="str">
        <f>IFERROR(__xludf.DUMMYFUNCTION("""COMPUTED_VALUE"""),"")</f>
        <v/>
      </c>
    </row>
    <row r="10313">
      <c r="A10313" s="16" t="s">
        <v>87</v>
      </c>
      <c r="E10313" s="16" t="str">
        <f>IFERROR(__xludf.DUMMYFUNCTION("""COMPUTED_VALUE"""),"")</f>
        <v/>
      </c>
      <c r="G10313" s="18"/>
      <c r="H10313" s="16" t="s">
        <v>87</v>
      </c>
      <c r="I10313" s="16" t="s">
        <v>87</v>
      </c>
      <c r="J10313" s="19"/>
      <c r="L10313" s="16" t="str">
        <f>IFERROR(__xludf.DUMMYFUNCTION("""COMPUTED_VALUE"""),"")</f>
        <v/>
      </c>
      <c r="M10313" s="16" t="str">
        <f>IFERROR(__xludf.DUMMYFUNCTION("""COMPUTED_VALUE"""),"")</f>
        <v/>
      </c>
      <c r="U10313" s="16" t="s">
        <v>87</v>
      </c>
      <c r="V10313" s="16" t="str">
        <f>IFERROR(__xludf.DUMMYFUNCTION("""COMPUTED_VALUE"""),"")</f>
        <v/>
      </c>
      <c r="W10313" s="16" t="str">
        <f>IFERROR(__xludf.DUMMYFUNCTION("""COMPUTED_VALUE"""),"")</f>
        <v/>
      </c>
      <c r="X10313" s="16" t="str">
        <f>IFERROR(__xludf.DUMMYFUNCTION("""COMPUTED_VALUE"""),"")</f>
        <v/>
      </c>
      <c r="AC10313" s="16" t="str">
        <f>IFERROR(__xludf.DUMMYFUNCTION("""COMPUTED_VALUE"""),"")</f>
        <v/>
      </c>
    </row>
    <row r="10314">
      <c r="A10314" s="16" t="s">
        <v>87</v>
      </c>
      <c r="E10314" s="16" t="str">
        <f>IFERROR(__xludf.DUMMYFUNCTION("""COMPUTED_VALUE"""),"")</f>
        <v/>
      </c>
      <c r="G10314" s="18"/>
      <c r="H10314" s="16" t="s">
        <v>87</v>
      </c>
      <c r="I10314" s="16" t="s">
        <v>87</v>
      </c>
      <c r="J10314" s="19"/>
      <c r="L10314" s="16" t="str">
        <f>IFERROR(__xludf.DUMMYFUNCTION("""COMPUTED_VALUE"""),"")</f>
        <v/>
      </c>
      <c r="M10314" s="16" t="str">
        <f>IFERROR(__xludf.DUMMYFUNCTION("""COMPUTED_VALUE"""),"")</f>
        <v/>
      </c>
      <c r="U10314" s="16" t="s">
        <v>87</v>
      </c>
      <c r="V10314" s="16" t="str">
        <f>IFERROR(__xludf.DUMMYFUNCTION("""COMPUTED_VALUE"""),"")</f>
        <v/>
      </c>
      <c r="W10314" s="16" t="str">
        <f>IFERROR(__xludf.DUMMYFUNCTION("""COMPUTED_VALUE"""),"")</f>
        <v/>
      </c>
      <c r="X10314" s="16" t="str">
        <f>IFERROR(__xludf.DUMMYFUNCTION("""COMPUTED_VALUE"""),"")</f>
        <v/>
      </c>
      <c r="AC10314" s="16" t="str">
        <f>IFERROR(__xludf.DUMMYFUNCTION("""COMPUTED_VALUE"""),"")</f>
        <v/>
      </c>
    </row>
    <row r="10315">
      <c r="A10315" s="16" t="s">
        <v>87</v>
      </c>
      <c r="E10315" s="16" t="str">
        <f>IFERROR(__xludf.DUMMYFUNCTION("""COMPUTED_VALUE"""),"")</f>
        <v/>
      </c>
      <c r="G10315" s="18"/>
      <c r="H10315" s="16" t="s">
        <v>87</v>
      </c>
      <c r="I10315" s="16" t="s">
        <v>87</v>
      </c>
      <c r="J10315" s="19"/>
      <c r="L10315" s="16" t="str">
        <f>IFERROR(__xludf.DUMMYFUNCTION("""COMPUTED_VALUE"""),"")</f>
        <v/>
      </c>
      <c r="M10315" s="16" t="str">
        <f>IFERROR(__xludf.DUMMYFUNCTION("""COMPUTED_VALUE"""),"")</f>
        <v/>
      </c>
      <c r="U10315" s="16" t="s">
        <v>87</v>
      </c>
      <c r="V10315" s="16" t="str">
        <f>IFERROR(__xludf.DUMMYFUNCTION("""COMPUTED_VALUE"""),"")</f>
        <v/>
      </c>
      <c r="W10315" s="16" t="str">
        <f>IFERROR(__xludf.DUMMYFUNCTION("""COMPUTED_VALUE"""),"")</f>
        <v/>
      </c>
      <c r="X10315" s="16" t="str">
        <f>IFERROR(__xludf.DUMMYFUNCTION("""COMPUTED_VALUE"""),"")</f>
        <v/>
      </c>
      <c r="AC10315" s="16" t="str">
        <f>IFERROR(__xludf.DUMMYFUNCTION("""COMPUTED_VALUE"""),"")</f>
        <v/>
      </c>
    </row>
    <row r="10316">
      <c r="A10316" s="16" t="s">
        <v>87</v>
      </c>
      <c r="E10316" s="16" t="str">
        <f>IFERROR(__xludf.DUMMYFUNCTION("""COMPUTED_VALUE"""),"")</f>
        <v/>
      </c>
      <c r="G10316" s="18"/>
      <c r="H10316" s="16" t="s">
        <v>87</v>
      </c>
      <c r="I10316" s="16" t="s">
        <v>87</v>
      </c>
      <c r="J10316" s="19"/>
      <c r="L10316" s="16" t="str">
        <f>IFERROR(__xludf.DUMMYFUNCTION("""COMPUTED_VALUE"""),"")</f>
        <v/>
      </c>
      <c r="M10316" s="16" t="str">
        <f>IFERROR(__xludf.DUMMYFUNCTION("""COMPUTED_VALUE"""),"")</f>
        <v/>
      </c>
      <c r="U10316" s="16" t="s">
        <v>87</v>
      </c>
      <c r="V10316" s="16" t="str">
        <f>IFERROR(__xludf.DUMMYFUNCTION("""COMPUTED_VALUE"""),"")</f>
        <v/>
      </c>
      <c r="W10316" s="16" t="str">
        <f>IFERROR(__xludf.DUMMYFUNCTION("""COMPUTED_VALUE"""),"")</f>
        <v/>
      </c>
      <c r="X10316" s="16" t="str">
        <f>IFERROR(__xludf.DUMMYFUNCTION("""COMPUTED_VALUE"""),"")</f>
        <v/>
      </c>
      <c r="AC10316" s="16" t="str">
        <f>IFERROR(__xludf.DUMMYFUNCTION("""COMPUTED_VALUE"""),"")</f>
        <v/>
      </c>
    </row>
    <row r="10317">
      <c r="A10317" s="16" t="s">
        <v>87</v>
      </c>
      <c r="E10317" s="16" t="str">
        <f>IFERROR(__xludf.DUMMYFUNCTION("""COMPUTED_VALUE"""),"")</f>
        <v/>
      </c>
      <c r="G10317" s="18"/>
      <c r="H10317" s="16" t="s">
        <v>87</v>
      </c>
      <c r="I10317" s="16" t="s">
        <v>87</v>
      </c>
      <c r="J10317" s="19"/>
      <c r="L10317" s="16" t="str">
        <f>IFERROR(__xludf.DUMMYFUNCTION("""COMPUTED_VALUE"""),"")</f>
        <v/>
      </c>
      <c r="M10317" s="16" t="str">
        <f>IFERROR(__xludf.DUMMYFUNCTION("""COMPUTED_VALUE"""),"")</f>
        <v/>
      </c>
      <c r="U10317" s="16" t="s">
        <v>87</v>
      </c>
      <c r="V10317" s="16" t="str">
        <f>IFERROR(__xludf.DUMMYFUNCTION("""COMPUTED_VALUE"""),"")</f>
        <v/>
      </c>
      <c r="W10317" s="16" t="str">
        <f>IFERROR(__xludf.DUMMYFUNCTION("""COMPUTED_VALUE"""),"")</f>
        <v/>
      </c>
      <c r="X10317" s="16" t="str">
        <f>IFERROR(__xludf.DUMMYFUNCTION("""COMPUTED_VALUE"""),"")</f>
        <v/>
      </c>
      <c r="AC10317" s="16" t="str">
        <f>IFERROR(__xludf.DUMMYFUNCTION("""COMPUTED_VALUE"""),"")</f>
        <v/>
      </c>
    </row>
    <row r="10318">
      <c r="A10318" s="16" t="s">
        <v>87</v>
      </c>
      <c r="E10318" s="16" t="str">
        <f>IFERROR(__xludf.DUMMYFUNCTION("""COMPUTED_VALUE"""),"")</f>
        <v/>
      </c>
      <c r="G10318" s="18"/>
      <c r="H10318" s="16" t="s">
        <v>87</v>
      </c>
      <c r="I10318" s="16" t="s">
        <v>87</v>
      </c>
      <c r="J10318" s="19"/>
      <c r="L10318" s="16" t="str">
        <f>IFERROR(__xludf.DUMMYFUNCTION("""COMPUTED_VALUE"""),"")</f>
        <v/>
      </c>
      <c r="M10318" s="16" t="str">
        <f>IFERROR(__xludf.DUMMYFUNCTION("""COMPUTED_VALUE"""),"")</f>
        <v/>
      </c>
      <c r="U10318" s="16" t="s">
        <v>87</v>
      </c>
      <c r="V10318" s="16" t="str">
        <f>IFERROR(__xludf.DUMMYFUNCTION("""COMPUTED_VALUE"""),"")</f>
        <v/>
      </c>
      <c r="W10318" s="16" t="str">
        <f>IFERROR(__xludf.DUMMYFUNCTION("""COMPUTED_VALUE"""),"")</f>
        <v/>
      </c>
      <c r="X10318" s="16" t="str">
        <f>IFERROR(__xludf.DUMMYFUNCTION("""COMPUTED_VALUE"""),"")</f>
        <v/>
      </c>
      <c r="AC10318" s="16" t="str">
        <f>IFERROR(__xludf.DUMMYFUNCTION("""COMPUTED_VALUE"""),"")</f>
        <v/>
      </c>
    </row>
    <row r="10319">
      <c r="A10319" s="16" t="s">
        <v>87</v>
      </c>
      <c r="E10319" s="16" t="str">
        <f>IFERROR(__xludf.DUMMYFUNCTION("""COMPUTED_VALUE"""),"")</f>
        <v/>
      </c>
      <c r="G10319" s="18"/>
      <c r="H10319" s="16" t="s">
        <v>87</v>
      </c>
      <c r="I10319" s="16" t="s">
        <v>87</v>
      </c>
      <c r="J10319" s="19"/>
      <c r="L10319" s="16" t="str">
        <f>IFERROR(__xludf.DUMMYFUNCTION("""COMPUTED_VALUE"""),"")</f>
        <v/>
      </c>
      <c r="M10319" s="16" t="str">
        <f>IFERROR(__xludf.DUMMYFUNCTION("""COMPUTED_VALUE"""),"")</f>
        <v/>
      </c>
      <c r="U10319" s="16" t="s">
        <v>87</v>
      </c>
      <c r="V10319" s="16" t="str">
        <f>IFERROR(__xludf.DUMMYFUNCTION("""COMPUTED_VALUE"""),"")</f>
        <v/>
      </c>
      <c r="W10319" s="16" t="str">
        <f>IFERROR(__xludf.DUMMYFUNCTION("""COMPUTED_VALUE"""),"")</f>
        <v/>
      </c>
      <c r="X10319" s="16" t="str">
        <f>IFERROR(__xludf.DUMMYFUNCTION("""COMPUTED_VALUE"""),"")</f>
        <v/>
      </c>
      <c r="AC10319" s="16" t="str">
        <f>IFERROR(__xludf.DUMMYFUNCTION("""COMPUTED_VALUE"""),"")</f>
        <v/>
      </c>
    </row>
    <row r="10320">
      <c r="A10320" s="16" t="s">
        <v>87</v>
      </c>
      <c r="E10320" s="16" t="str">
        <f>IFERROR(__xludf.DUMMYFUNCTION("""COMPUTED_VALUE"""),"")</f>
        <v/>
      </c>
      <c r="G10320" s="18"/>
      <c r="H10320" s="16" t="s">
        <v>87</v>
      </c>
      <c r="I10320" s="16" t="s">
        <v>87</v>
      </c>
      <c r="J10320" s="19"/>
      <c r="L10320" s="16" t="str">
        <f>IFERROR(__xludf.DUMMYFUNCTION("""COMPUTED_VALUE"""),"")</f>
        <v/>
      </c>
      <c r="M10320" s="16" t="str">
        <f>IFERROR(__xludf.DUMMYFUNCTION("""COMPUTED_VALUE"""),"")</f>
        <v/>
      </c>
      <c r="U10320" s="16" t="s">
        <v>87</v>
      </c>
      <c r="V10320" s="16" t="str">
        <f>IFERROR(__xludf.DUMMYFUNCTION("""COMPUTED_VALUE"""),"")</f>
        <v/>
      </c>
      <c r="W10320" s="16" t="str">
        <f>IFERROR(__xludf.DUMMYFUNCTION("""COMPUTED_VALUE"""),"")</f>
        <v/>
      </c>
      <c r="X10320" s="16" t="str">
        <f>IFERROR(__xludf.DUMMYFUNCTION("""COMPUTED_VALUE"""),"")</f>
        <v/>
      </c>
      <c r="AC10320" s="16" t="str">
        <f>IFERROR(__xludf.DUMMYFUNCTION("""COMPUTED_VALUE"""),"")</f>
        <v/>
      </c>
    </row>
    <row r="10321">
      <c r="A10321" s="16" t="s">
        <v>87</v>
      </c>
      <c r="E10321" s="16" t="str">
        <f>IFERROR(__xludf.DUMMYFUNCTION("""COMPUTED_VALUE"""),"")</f>
        <v/>
      </c>
      <c r="G10321" s="18"/>
      <c r="H10321" s="16" t="s">
        <v>87</v>
      </c>
      <c r="I10321" s="16" t="s">
        <v>87</v>
      </c>
      <c r="J10321" s="19"/>
      <c r="L10321" s="16" t="str">
        <f>IFERROR(__xludf.DUMMYFUNCTION("""COMPUTED_VALUE"""),"")</f>
        <v/>
      </c>
      <c r="M10321" s="16" t="str">
        <f>IFERROR(__xludf.DUMMYFUNCTION("""COMPUTED_VALUE"""),"")</f>
        <v/>
      </c>
      <c r="U10321" s="16" t="s">
        <v>87</v>
      </c>
      <c r="V10321" s="16" t="str">
        <f>IFERROR(__xludf.DUMMYFUNCTION("""COMPUTED_VALUE"""),"")</f>
        <v/>
      </c>
      <c r="W10321" s="16" t="str">
        <f>IFERROR(__xludf.DUMMYFUNCTION("""COMPUTED_VALUE"""),"")</f>
        <v/>
      </c>
      <c r="X10321" s="16" t="str">
        <f>IFERROR(__xludf.DUMMYFUNCTION("""COMPUTED_VALUE"""),"")</f>
        <v/>
      </c>
      <c r="AC10321" s="16" t="str">
        <f>IFERROR(__xludf.DUMMYFUNCTION("""COMPUTED_VALUE"""),"")</f>
        <v/>
      </c>
    </row>
    <row r="10322">
      <c r="A10322" s="16" t="s">
        <v>87</v>
      </c>
      <c r="E10322" s="16" t="str">
        <f>IFERROR(__xludf.DUMMYFUNCTION("""COMPUTED_VALUE"""),"")</f>
        <v/>
      </c>
      <c r="G10322" s="18"/>
      <c r="H10322" s="16" t="s">
        <v>87</v>
      </c>
      <c r="I10322" s="16" t="s">
        <v>87</v>
      </c>
      <c r="J10322" s="19"/>
      <c r="L10322" s="16" t="str">
        <f>IFERROR(__xludf.DUMMYFUNCTION("""COMPUTED_VALUE"""),"")</f>
        <v/>
      </c>
      <c r="M10322" s="16" t="str">
        <f>IFERROR(__xludf.DUMMYFUNCTION("""COMPUTED_VALUE"""),"")</f>
        <v/>
      </c>
      <c r="U10322" s="16" t="s">
        <v>87</v>
      </c>
      <c r="V10322" s="16" t="str">
        <f>IFERROR(__xludf.DUMMYFUNCTION("""COMPUTED_VALUE"""),"")</f>
        <v/>
      </c>
      <c r="W10322" s="16" t="str">
        <f>IFERROR(__xludf.DUMMYFUNCTION("""COMPUTED_VALUE"""),"")</f>
        <v/>
      </c>
      <c r="X10322" s="16" t="str">
        <f>IFERROR(__xludf.DUMMYFUNCTION("""COMPUTED_VALUE"""),"")</f>
        <v/>
      </c>
      <c r="AC10322" s="16" t="str">
        <f>IFERROR(__xludf.DUMMYFUNCTION("""COMPUTED_VALUE"""),"")</f>
        <v/>
      </c>
    </row>
    <row r="10323">
      <c r="A10323" s="16" t="s">
        <v>87</v>
      </c>
      <c r="E10323" s="16" t="str">
        <f>IFERROR(__xludf.DUMMYFUNCTION("""COMPUTED_VALUE"""),"")</f>
        <v/>
      </c>
      <c r="G10323" s="18"/>
      <c r="H10323" s="16" t="s">
        <v>87</v>
      </c>
      <c r="I10323" s="16" t="s">
        <v>87</v>
      </c>
      <c r="J10323" s="19"/>
      <c r="L10323" s="16" t="str">
        <f>IFERROR(__xludf.DUMMYFUNCTION("""COMPUTED_VALUE"""),"")</f>
        <v/>
      </c>
      <c r="M10323" s="16" t="str">
        <f>IFERROR(__xludf.DUMMYFUNCTION("""COMPUTED_VALUE"""),"")</f>
        <v/>
      </c>
      <c r="U10323" s="16" t="s">
        <v>87</v>
      </c>
      <c r="V10323" s="16" t="str">
        <f>IFERROR(__xludf.DUMMYFUNCTION("""COMPUTED_VALUE"""),"")</f>
        <v/>
      </c>
      <c r="W10323" s="16" t="str">
        <f>IFERROR(__xludf.DUMMYFUNCTION("""COMPUTED_VALUE"""),"")</f>
        <v/>
      </c>
      <c r="X10323" s="16" t="str">
        <f>IFERROR(__xludf.DUMMYFUNCTION("""COMPUTED_VALUE"""),"")</f>
        <v/>
      </c>
      <c r="AC10323" s="16" t="str">
        <f>IFERROR(__xludf.DUMMYFUNCTION("""COMPUTED_VALUE"""),"")</f>
        <v/>
      </c>
    </row>
    <row r="10324">
      <c r="A10324" s="16" t="s">
        <v>87</v>
      </c>
      <c r="E10324" s="16" t="str">
        <f>IFERROR(__xludf.DUMMYFUNCTION("""COMPUTED_VALUE"""),"")</f>
        <v/>
      </c>
      <c r="G10324" s="18"/>
      <c r="H10324" s="16" t="s">
        <v>87</v>
      </c>
      <c r="I10324" s="16" t="s">
        <v>87</v>
      </c>
      <c r="J10324" s="19"/>
      <c r="L10324" s="16" t="str">
        <f>IFERROR(__xludf.DUMMYFUNCTION("""COMPUTED_VALUE"""),"")</f>
        <v/>
      </c>
      <c r="M10324" s="16" t="str">
        <f>IFERROR(__xludf.DUMMYFUNCTION("""COMPUTED_VALUE"""),"")</f>
        <v/>
      </c>
      <c r="U10324" s="16" t="s">
        <v>87</v>
      </c>
      <c r="V10324" s="16" t="str">
        <f>IFERROR(__xludf.DUMMYFUNCTION("""COMPUTED_VALUE"""),"")</f>
        <v/>
      </c>
      <c r="W10324" s="16" t="str">
        <f>IFERROR(__xludf.DUMMYFUNCTION("""COMPUTED_VALUE"""),"")</f>
        <v/>
      </c>
      <c r="X10324" s="16" t="str">
        <f>IFERROR(__xludf.DUMMYFUNCTION("""COMPUTED_VALUE"""),"")</f>
        <v/>
      </c>
      <c r="AC10324" s="16" t="str">
        <f>IFERROR(__xludf.DUMMYFUNCTION("""COMPUTED_VALUE"""),"")</f>
        <v/>
      </c>
    </row>
    <row r="10325">
      <c r="A10325" s="16" t="s">
        <v>87</v>
      </c>
      <c r="E10325" s="16" t="str">
        <f>IFERROR(__xludf.DUMMYFUNCTION("""COMPUTED_VALUE"""),"")</f>
        <v/>
      </c>
      <c r="G10325" s="18"/>
      <c r="H10325" s="16" t="s">
        <v>87</v>
      </c>
      <c r="I10325" s="16" t="s">
        <v>87</v>
      </c>
      <c r="J10325" s="19"/>
      <c r="L10325" s="16" t="str">
        <f>IFERROR(__xludf.DUMMYFUNCTION("""COMPUTED_VALUE"""),"")</f>
        <v/>
      </c>
      <c r="M10325" s="16" t="str">
        <f>IFERROR(__xludf.DUMMYFUNCTION("""COMPUTED_VALUE"""),"")</f>
        <v/>
      </c>
      <c r="U10325" s="16" t="s">
        <v>87</v>
      </c>
      <c r="V10325" s="16" t="str">
        <f>IFERROR(__xludf.DUMMYFUNCTION("""COMPUTED_VALUE"""),"")</f>
        <v/>
      </c>
      <c r="W10325" s="16" t="str">
        <f>IFERROR(__xludf.DUMMYFUNCTION("""COMPUTED_VALUE"""),"")</f>
        <v/>
      </c>
      <c r="X10325" s="16" t="str">
        <f>IFERROR(__xludf.DUMMYFUNCTION("""COMPUTED_VALUE"""),"")</f>
        <v/>
      </c>
      <c r="AC10325" s="16" t="str">
        <f>IFERROR(__xludf.DUMMYFUNCTION("""COMPUTED_VALUE"""),"")</f>
        <v/>
      </c>
    </row>
    <row r="10326">
      <c r="A10326" s="16" t="s">
        <v>87</v>
      </c>
      <c r="E10326" s="16" t="str">
        <f>IFERROR(__xludf.DUMMYFUNCTION("""COMPUTED_VALUE"""),"")</f>
        <v/>
      </c>
      <c r="G10326" s="18"/>
      <c r="H10326" s="16" t="s">
        <v>87</v>
      </c>
      <c r="I10326" s="16" t="s">
        <v>87</v>
      </c>
      <c r="J10326" s="19"/>
      <c r="L10326" s="16" t="str">
        <f>IFERROR(__xludf.DUMMYFUNCTION("""COMPUTED_VALUE"""),"")</f>
        <v/>
      </c>
      <c r="M10326" s="16" t="str">
        <f>IFERROR(__xludf.DUMMYFUNCTION("""COMPUTED_VALUE"""),"")</f>
        <v/>
      </c>
      <c r="U10326" s="16" t="s">
        <v>87</v>
      </c>
      <c r="V10326" s="16" t="str">
        <f>IFERROR(__xludf.DUMMYFUNCTION("""COMPUTED_VALUE"""),"")</f>
        <v/>
      </c>
      <c r="W10326" s="16" t="str">
        <f>IFERROR(__xludf.DUMMYFUNCTION("""COMPUTED_VALUE"""),"")</f>
        <v/>
      </c>
      <c r="X10326" s="16" t="str">
        <f>IFERROR(__xludf.DUMMYFUNCTION("""COMPUTED_VALUE"""),"")</f>
        <v/>
      </c>
      <c r="AC10326" s="16" t="str">
        <f>IFERROR(__xludf.DUMMYFUNCTION("""COMPUTED_VALUE"""),"")</f>
        <v/>
      </c>
    </row>
    <row r="10327">
      <c r="A10327" s="16" t="s">
        <v>87</v>
      </c>
      <c r="E10327" s="16" t="str">
        <f>IFERROR(__xludf.DUMMYFUNCTION("""COMPUTED_VALUE"""),"")</f>
        <v/>
      </c>
      <c r="G10327" s="18"/>
      <c r="H10327" s="16" t="s">
        <v>87</v>
      </c>
      <c r="I10327" s="16" t="s">
        <v>87</v>
      </c>
      <c r="J10327" s="19"/>
      <c r="L10327" s="16" t="str">
        <f>IFERROR(__xludf.DUMMYFUNCTION("""COMPUTED_VALUE"""),"")</f>
        <v/>
      </c>
      <c r="M10327" s="16" t="str">
        <f>IFERROR(__xludf.DUMMYFUNCTION("""COMPUTED_VALUE"""),"")</f>
        <v/>
      </c>
      <c r="U10327" s="16" t="s">
        <v>87</v>
      </c>
      <c r="V10327" s="16" t="str">
        <f>IFERROR(__xludf.DUMMYFUNCTION("""COMPUTED_VALUE"""),"")</f>
        <v/>
      </c>
      <c r="W10327" s="16" t="str">
        <f>IFERROR(__xludf.DUMMYFUNCTION("""COMPUTED_VALUE"""),"")</f>
        <v/>
      </c>
      <c r="X10327" s="16" t="str">
        <f>IFERROR(__xludf.DUMMYFUNCTION("""COMPUTED_VALUE"""),"")</f>
        <v/>
      </c>
      <c r="AC10327" s="16" t="str">
        <f>IFERROR(__xludf.DUMMYFUNCTION("""COMPUTED_VALUE"""),"")</f>
        <v/>
      </c>
    </row>
    <row r="10328">
      <c r="A10328" s="16" t="s">
        <v>87</v>
      </c>
      <c r="E10328" s="16" t="str">
        <f>IFERROR(__xludf.DUMMYFUNCTION("""COMPUTED_VALUE"""),"")</f>
        <v/>
      </c>
      <c r="G10328" s="18"/>
      <c r="H10328" s="16" t="s">
        <v>87</v>
      </c>
      <c r="I10328" s="16" t="s">
        <v>87</v>
      </c>
      <c r="J10328" s="19"/>
      <c r="L10328" s="16" t="str">
        <f>IFERROR(__xludf.DUMMYFUNCTION("""COMPUTED_VALUE"""),"")</f>
        <v/>
      </c>
      <c r="M10328" s="16" t="str">
        <f>IFERROR(__xludf.DUMMYFUNCTION("""COMPUTED_VALUE"""),"")</f>
        <v/>
      </c>
      <c r="U10328" s="16" t="s">
        <v>87</v>
      </c>
      <c r="V10328" s="16" t="str">
        <f>IFERROR(__xludf.DUMMYFUNCTION("""COMPUTED_VALUE"""),"")</f>
        <v/>
      </c>
      <c r="W10328" s="16" t="str">
        <f>IFERROR(__xludf.DUMMYFUNCTION("""COMPUTED_VALUE"""),"")</f>
        <v/>
      </c>
      <c r="X10328" s="16" t="str">
        <f>IFERROR(__xludf.DUMMYFUNCTION("""COMPUTED_VALUE"""),"")</f>
        <v/>
      </c>
      <c r="AC10328" s="16" t="str">
        <f>IFERROR(__xludf.DUMMYFUNCTION("""COMPUTED_VALUE"""),"")</f>
        <v/>
      </c>
    </row>
    <row r="10329">
      <c r="A10329" s="16" t="s">
        <v>87</v>
      </c>
      <c r="E10329" s="16" t="str">
        <f>IFERROR(__xludf.DUMMYFUNCTION("""COMPUTED_VALUE"""),"")</f>
        <v/>
      </c>
      <c r="G10329" s="18"/>
      <c r="H10329" s="16" t="s">
        <v>87</v>
      </c>
      <c r="I10329" s="16" t="s">
        <v>87</v>
      </c>
      <c r="J10329" s="19"/>
      <c r="L10329" s="16" t="str">
        <f>IFERROR(__xludf.DUMMYFUNCTION("""COMPUTED_VALUE"""),"")</f>
        <v/>
      </c>
      <c r="M10329" s="16" t="str">
        <f>IFERROR(__xludf.DUMMYFUNCTION("""COMPUTED_VALUE"""),"")</f>
        <v/>
      </c>
      <c r="U10329" s="16" t="s">
        <v>87</v>
      </c>
      <c r="V10329" s="16" t="str">
        <f>IFERROR(__xludf.DUMMYFUNCTION("""COMPUTED_VALUE"""),"")</f>
        <v/>
      </c>
      <c r="W10329" s="16" t="str">
        <f>IFERROR(__xludf.DUMMYFUNCTION("""COMPUTED_VALUE"""),"")</f>
        <v/>
      </c>
      <c r="X10329" s="16" t="str">
        <f>IFERROR(__xludf.DUMMYFUNCTION("""COMPUTED_VALUE"""),"")</f>
        <v/>
      </c>
      <c r="AC10329" s="16" t="str">
        <f>IFERROR(__xludf.DUMMYFUNCTION("""COMPUTED_VALUE"""),"")</f>
        <v/>
      </c>
    </row>
    <row r="10330">
      <c r="A10330" s="16" t="s">
        <v>87</v>
      </c>
      <c r="E10330" s="16" t="str">
        <f>IFERROR(__xludf.DUMMYFUNCTION("""COMPUTED_VALUE"""),"")</f>
        <v/>
      </c>
      <c r="G10330" s="18"/>
      <c r="H10330" s="16" t="s">
        <v>87</v>
      </c>
      <c r="I10330" s="16" t="s">
        <v>87</v>
      </c>
      <c r="J10330" s="19"/>
      <c r="L10330" s="16" t="str">
        <f>IFERROR(__xludf.DUMMYFUNCTION("""COMPUTED_VALUE"""),"")</f>
        <v/>
      </c>
      <c r="M10330" s="16" t="str">
        <f>IFERROR(__xludf.DUMMYFUNCTION("""COMPUTED_VALUE"""),"")</f>
        <v/>
      </c>
      <c r="U10330" s="16" t="s">
        <v>87</v>
      </c>
      <c r="V10330" s="16" t="str">
        <f>IFERROR(__xludf.DUMMYFUNCTION("""COMPUTED_VALUE"""),"")</f>
        <v/>
      </c>
      <c r="W10330" s="16" t="str">
        <f>IFERROR(__xludf.DUMMYFUNCTION("""COMPUTED_VALUE"""),"")</f>
        <v/>
      </c>
      <c r="X10330" s="16" t="str">
        <f>IFERROR(__xludf.DUMMYFUNCTION("""COMPUTED_VALUE"""),"")</f>
        <v/>
      </c>
      <c r="AC10330" s="16" t="str">
        <f>IFERROR(__xludf.DUMMYFUNCTION("""COMPUTED_VALUE"""),"")</f>
        <v/>
      </c>
    </row>
    <row r="10331">
      <c r="A10331" s="16" t="s">
        <v>87</v>
      </c>
      <c r="E10331" s="16" t="str">
        <f>IFERROR(__xludf.DUMMYFUNCTION("""COMPUTED_VALUE"""),"")</f>
        <v/>
      </c>
      <c r="G10331" s="18"/>
      <c r="H10331" s="16" t="s">
        <v>87</v>
      </c>
      <c r="I10331" s="16" t="s">
        <v>87</v>
      </c>
      <c r="J10331" s="19"/>
      <c r="L10331" s="16" t="str">
        <f>IFERROR(__xludf.DUMMYFUNCTION("""COMPUTED_VALUE"""),"")</f>
        <v/>
      </c>
      <c r="M10331" s="16" t="str">
        <f>IFERROR(__xludf.DUMMYFUNCTION("""COMPUTED_VALUE"""),"")</f>
        <v/>
      </c>
      <c r="U10331" s="16" t="s">
        <v>87</v>
      </c>
      <c r="V10331" s="16" t="str">
        <f>IFERROR(__xludf.DUMMYFUNCTION("""COMPUTED_VALUE"""),"")</f>
        <v/>
      </c>
      <c r="W10331" s="16" t="str">
        <f>IFERROR(__xludf.DUMMYFUNCTION("""COMPUTED_VALUE"""),"")</f>
        <v/>
      </c>
      <c r="X10331" s="16" t="str">
        <f>IFERROR(__xludf.DUMMYFUNCTION("""COMPUTED_VALUE"""),"")</f>
        <v/>
      </c>
      <c r="AC10331" s="16" t="str">
        <f>IFERROR(__xludf.DUMMYFUNCTION("""COMPUTED_VALUE"""),"")</f>
        <v/>
      </c>
    </row>
    <row r="10332">
      <c r="A10332" s="16" t="s">
        <v>87</v>
      </c>
      <c r="E10332" s="16" t="str">
        <f>IFERROR(__xludf.DUMMYFUNCTION("""COMPUTED_VALUE"""),"")</f>
        <v/>
      </c>
      <c r="G10332" s="18"/>
      <c r="H10332" s="16" t="s">
        <v>87</v>
      </c>
      <c r="I10332" s="16" t="s">
        <v>87</v>
      </c>
      <c r="J10332" s="19"/>
      <c r="L10332" s="16" t="str">
        <f>IFERROR(__xludf.DUMMYFUNCTION("""COMPUTED_VALUE"""),"")</f>
        <v/>
      </c>
      <c r="M10332" s="16" t="str">
        <f>IFERROR(__xludf.DUMMYFUNCTION("""COMPUTED_VALUE"""),"")</f>
        <v/>
      </c>
      <c r="U10332" s="16" t="s">
        <v>87</v>
      </c>
      <c r="V10332" s="16" t="str">
        <f>IFERROR(__xludf.DUMMYFUNCTION("""COMPUTED_VALUE"""),"")</f>
        <v/>
      </c>
      <c r="W10332" s="16" t="str">
        <f>IFERROR(__xludf.DUMMYFUNCTION("""COMPUTED_VALUE"""),"")</f>
        <v/>
      </c>
      <c r="X10332" s="16" t="str">
        <f>IFERROR(__xludf.DUMMYFUNCTION("""COMPUTED_VALUE"""),"")</f>
        <v/>
      </c>
      <c r="AC10332" s="16" t="str">
        <f>IFERROR(__xludf.DUMMYFUNCTION("""COMPUTED_VALUE"""),"")</f>
        <v/>
      </c>
    </row>
    <row r="10333">
      <c r="A10333" s="16" t="s">
        <v>87</v>
      </c>
      <c r="E10333" s="16" t="str">
        <f>IFERROR(__xludf.DUMMYFUNCTION("""COMPUTED_VALUE"""),"")</f>
        <v/>
      </c>
      <c r="G10333" s="18"/>
      <c r="H10333" s="16" t="s">
        <v>87</v>
      </c>
      <c r="I10333" s="16" t="s">
        <v>87</v>
      </c>
      <c r="J10333" s="19"/>
      <c r="L10333" s="16" t="str">
        <f>IFERROR(__xludf.DUMMYFUNCTION("""COMPUTED_VALUE"""),"")</f>
        <v/>
      </c>
      <c r="M10333" s="16" t="str">
        <f>IFERROR(__xludf.DUMMYFUNCTION("""COMPUTED_VALUE"""),"")</f>
        <v/>
      </c>
      <c r="U10333" s="16" t="s">
        <v>87</v>
      </c>
      <c r="V10333" s="16" t="str">
        <f>IFERROR(__xludf.DUMMYFUNCTION("""COMPUTED_VALUE"""),"")</f>
        <v/>
      </c>
      <c r="W10333" s="16" t="str">
        <f>IFERROR(__xludf.DUMMYFUNCTION("""COMPUTED_VALUE"""),"")</f>
        <v/>
      </c>
      <c r="X10333" s="16" t="str">
        <f>IFERROR(__xludf.DUMMYFUNCTION("""COMPUTED_VALUE"""),"")</f>
        <v/>
      </c>
      <c r="AC10333" s="16" t="str">
        <f>IFERROR(__xludf.DUMMYFUNCTION("""COMPUTED_VALUE"""),"")</f>
        <v/>
      </c>
    </row>
    <row r="10334">
      <c r="A10334" s="16" t="s">
        <v>87</v>
      </c>
      <c r="E10334" s="16" t="str">
        <f>IFERROR(__xludf.DUMMYFUNCTION("""COMPUTED_VALUE"""),"")</f>
        <v/>
      </c>
      <c r="G10334" s="18"/>
      <c r="H10334" s="16" t="s">
        <v>87</v>
      </c>
      <c r="I10334" s="16" t="s">
        <v>87</v>
      </c>
      <c r="J10334" s="19"/>
      <c r="L10334" s="16" t="str">
        <f>IFERROR(__xludf.DUMMYFUNCTION("""COMPUTED_VALUE"""),"")</f>
        <v/>
      </c>
      <c r="M10334" s="16" t="str">
        <f>IFERROR(__xludf.DUMMYFUNCTION("""COMPUTED_VALUE"""),"")</f>
        <v/>
      </c>
      <c r="U10334" s="16" t="s">
        <v>87</v>
      </c>
      <c r="V10334" s="16" t="str">
        <f>IFERROR(__xludf.DUMMYFUNCTION("""COMPUTED_VALUE"""),"")</f>
        <v/>
      </c>
      <c r="W10334" s="16" t="str">
        <f>IFERROR(__xludf.DUMMYFUNCTION("""COMPUTED_VALUE"""),"")</f>
        <v/>
      </c>
      <c r="X10334" s="16" t="str">
        <f>IFERROR(__xludf.DUMMYFUNCTION("""COMPUTED_VALUE"""),"")</f>
        <v/>
      </c>
      <c r="AC10334" s="16" t="str">
        <f>IFERROR(__xludf.DUMMYFUNCTION("""COMPUTED_VALUE"""),"")</f>
        <v/>
      </c>
    </row>
    <row r="10335">
      <c r="A10335" s="16" t="s">
        <v>87</v>
      </c>
      <c r="E10335" s="16" t="str">
        <f>IFERROR(__xludf.DUMMYFUNCTION("""COMPUTED_VALUE"""),"")</f>
        <v/>
      </c>
      <c r="G10335" s="18"/>
      <c r="H10335" s="16" t="s">
        <v>87</v>
      </c>
      <c r="I10335" s="16" t="s">
        <v>87</v>
      </c>
      <c r="J10335" s="19"/>
      <c r="L10335" s="16" t="str">
        <f>IFERROR(__xludf.DUMMYFUNCTION("""COMPUTED_VALUE"""),"")</f>
        <v/>
      </c>
      <c r="M10335" s="16" t="str">
        <f>IFERROR(__xludf.DUMMYFUNCTION("""COMPUTED_VALUE"""),"")</f>
        <v/>
      </c>
      <c r="U10335" s="16" t="s">
        <v>87</v>
      </c>
      <c r="V10335" s="16" t="str">
        <f>IFERROR(__xludf.DUMMYFUNCTION("""COMPUTED_VALUE"""),"")</f>
        <v/>
      </c>
      <c r="W10335" s="16" t="str">
        <f>IFERROR(__xludf.DUMMYFUNCTION("""COMPUTED_VALUE"""),"")</f>
        <v/>
      </c>
      <c r="X10335" s="16" t="str">
        <f>IFERROR(__xludf.DUMMYFUNCTION("""COMPUTED_VALUE"""),"")</f>
        <v/>
      </c>
      <c r="AC10335" s="16" t="str">
        <f>IFERROR(__xludf.DUMMYFUNCTION("""COMPUTED_VALUE"""),"")</f>
        <v/>
      </c>
    </row>
    <row r="10336">
      <c r="A10336" s="16" t="s">
        <v>87</v>
      </c>
      <c r="E10336" s="16" t="str">
        <f>IFERROR(__xludf.DUMMYFUNCTION("""COMPUTED_VALUE"""),"")</f>
        <v/>
      </c>
      <c r="G10336" s="18"/>
      <c r="H10336" s="16" t="s">
        <v>87</v>
      </c>
      <c r="I10336" s="16" t="s">
        <v>87</v>
      </c>
      <c r="J10336" s="19"/>
      <c r="L10336" s="16" t="str">
        <f>IFERROR(__xludf.DUMMYFUNCTION("""COMPUTED_VALUE"""),"")</f>
        <v/>
      </c>
      <c r="M10336" s="16" t="str">
        <f>IFERROR(__xludf.DUMMYFUNCTION("""COMPUTED_VALUE"""),"")</f>
        <v/>
      </c>
      <c r="U10336" s="16" t="s">
        <v>87</v>
      </c>
      <c r="V10336" s="16" t="str">
        <f>IFERROR(__xludf.DUMMYFUNCTION("""COMPUTED_VALUE"""),"")</f>
        <v/>
      </c>
      <c r="W10336" s="16" t="str">
        <f>IFERROR(__xludf.DUMMYFUNCTION("""COMPUTED_VALUE"""),"")</f>
        <v/>
      </c>
      <c r="X10336" s="16" t="str">
        <f>IFERROR(__xludf.DUMMYFUNCTION("""COMPUTED_VALUE"""),"")</f>
        <v/>
      </c>
      <c r="AC10336" s="16" t="str">
        <f>IFERROR(__xludf.DUMMYFUNCTION("""COMPUTED_VALUE"""),"")</f>
        <v/>
      </c>
    </row>
    <row r="10337">
      <c r="A10337" s="16" t="s">
        <v>87</v>
      </c>
      <c r="E10337" s="16" t="str">
        <f>IFERROR(__xludf.DUMMYFUNCTION("""COMPUTED_VALUE"""),"")</f>
        <v/>
      </c>
      <c r="G10337" s="18"/>
      <c r="H10337" s="16" t="s">
        <v>87</v>
      </c>
      <c r="I10337" s="16" t="s">
        <v>87</v>
      </c>
      <c r="J10337" s="19"/>
      <c r="L10337" s="16" t="str">
        <f>IFERROR(__xludf.DUMMYFUNCTION("""COMPUTED_VALUE"""),"")</f>
        <v/>
      </c>
      <c r="M10337" s="16" t="str">
        <f>IFERROR(__xludf.DUMMYFUNCTION("""COMPUTED_VALUE"""),"")</f>
        <v/>
      </c>
      <c r="U10337" s="16" t="s">
        <v>87</v>
      </c>
      <c r="V10337" s="16" t="str">
        <f>IFERROR(__xludf.DUMMYFUNCTION("""COMPUTED_VALUE"""),"")</f>
        <v/>
      </c>
      <c r="W10337" s="16" t="str">
        <f>IFERROR(__xludf.DUMMYFUNCTION("""COMPUTED_VALUE"""),"")</f>
        <v/>
      </c>
      <c r="X10337" s="16" t="str">
        <f>IFERROR(__xludf.DUMMYFUNCTION("""COMPUTED_VALUE"""),"")</f>
        <v/>
      </c>
      <c r="AC10337" s="16" t="str">
        <f>IFERROR(__xludf.DUMMYFUNCTION("""COMPUTED_VALUE"""),"")</f>
        <v/>
      </c>
    </row>
    <row r="10338">
      <c r="A10338" s="16" t="s">
        <v>87</v>
      </c>
      <c r="E10338" s="16" t="str">
        <f>IFERROR(__xludf.DUMMYFUNCTION("""COMPUTED_VALUE"""),"")</f>
        <v/>
      </c>
      <c r="G10338" s="18"/>
      <c r="H10338" s="16" t="s">
        <v>87</v>
      </c>
      <c r="I10338" s="16" t="s">
        <v>87</v>
      </c>
      <c r="J10338" s="19"/>
      <c r="L10338" s="16" t="str">
        <f>IFERROR(__xludf.DUMMYFUNCTION("""COMPUTED_VALUE"""),"")</f>
        <v/>
      </c>
      <c r="M10338" s="16" t="str">
        <f>IFERROR(__xludf.DUMMYFUNCTION("""COMPUTED_VALUE"""),"")</f>
        <v/>
      </c>
      <c r="U10338" s="16" t="s">
        <v>87</v>
      </c>
      <c r="V10338" s="16" t="str">
        <f>IFERROR(__xludf.DUMMYFUNCTION("""COMPUTED_VALUE"""),"")</f>
        <v/>
      </c>
      <c r="W10338" s="16" t="str">
        <f>IFERROR(__xludf.DUMMYFUNCTION("""COMPUTED_VALUE"""),"")</f>
        <v/>
      </c>
      <c r="X10338" s="16" t="str">
        <f>IFERROR(__xludf.DUMMYFUNCTION("""COMPUTED_VALUE"""),"")</f>
        <v/>
      </c>
      <c r="AC10338" s="16" t="str">
        <f>IFERROR(__xludf.DUMMYFUNCTION("""COMPUTED_VALUE"""),"")</f>
        <v/>
      </c>
    </row>
    <row r="10339">
      <c r="A10339" s="16" t="s">
        <v>87</v>
      </c>
      <c r="E10339" s="16" t="str">
        <f>IFERROR(__xludf.DUMMYFUNCTION("""COMPUTED_VALUE"""),"")</f>
        <v/>
      </c>
      <c r="G10339" s="18"/>
      <c r="H10339" s="16" t="s">
        <v>87</v>
      </c>
      <c r="I10339" s="16" t="s">
        <v>87</v>
      </c>
      <c r="J10339" s="19"/>
      <c r="L10339" s="16" t="str">
        <f>IFERROR(__xludf.DUMMYFUNCTION("""COMPUTED_VALUE"""),"")</f>
        <v/>
      </c>
      <c r="M10339" s="16" t="str">
        <f>IFERROR(__xludf.DUMMYFUNCTION("""COMPUTED_VALUE"""),"")</f>
        <v/>
      </c>
      <c r="U10339" s="16" t="s">
        <v>87</v>
      </c>
      <c r="V10339" s="16" t="str">
        <f>IFERROR(__xludf.DUMMYFUNCTION("""COMPUTED_VALUE"""),"")</f>
        <v/>
      </c>
      <c r="W10339" s="16" t="str">
        <f>IFERROR(__xludf.DUMMYFUNCTION("""COMPUTED_VALUE"""),"")</f>
        <v/>
      </c>
      <c r="X10339" s="16" t="str">
        <f>IFERROR(__xludf.DUMMYFUNCTION("""COMPUTED_VALUE"""),"")</f>
        <v/>
      </c>
      <c r="AC10339" s="16" t="str">
        <f>IFERROR(__xludf.DUMMYFUNCTION("""COMPUTED_VALUE"""),"")</f>
        <v/>
      </c>
    </row>
    <row r="10340">
      <c r="A10340" s="16" t="s">
        <v>87</v>
      </c>
      <c r="E10340" s="16" t="str">
        <f>IFERROR(__xludf.DUMMYFUNCTION("""COMPUTED_VALUE"""),"")</f>
        <v/>
      </c>
      <c r="G10340" s="18"/>
      <c r="H10340" s="16" t="s">
        <v>87</v>
      </c>
      <c r="I10340" s="16" t="s">
        <v>87</v>
      </c>
      <c r="J10340" s="19"/>
      <c r="L10340" s="16" t="str">
        <f>IFERROR(__xludf.DUMMYFUNCTION("""COMPUTED_VALUE"""),"")</f>
        <v/>
      </c>
      <c r="M10340" s="16" t="str">
        <f>IFERROR(__xludf.DUMMYFUNCTION("""COMPUTED_VALUE"""),"")</f>
        <v/>
      </c>
      <c r="U10340" s="16" t="s">
        <v>87</v>
      </c>
      <c r="V10340" s="16" t="str">
        <f>IFERROR(__xludf.DUMMYFUNCTION("""COMPUTED_VALUE"""),"")</f>
        <v/>
      </c>
      <c r="W10340" s="16" t="str">
        <f>IFERROR(__xludf.DUMMYFUNCTION("""COMPUTED_VALUE"""),"")</f>
        <v/>
      </c>
      <c r="X10340" s="16" t="str">
        <f>IFERROR(__xludf.DUMMYFUNCTION("""COMPUTED_VALUE"""),"")</f>
        <v/>
      </c>
      <c r="AC10340" s="16" t="str">
        <f>IFERROR(__xludf.DUMMYFUNCTION("""COMPUTED_VALUE"""),"")</f>
        <v/>
      </c>
    </row>
    <row r="10341">
      <c r="A10341" s="16" t="s">
        <v>87</v>
      </c>
      <c r="E10341" s="16" t="str">
        <f>IFERROR(__xludf.DUMMYFUNCTION("""COMPUTED_VALUE"""),"")</f>
        <v/>
      </c>
      <c r="G10341" s="18"/>
      <c r="H10341" s="16" t="s">
        <v>87</v>
      </c>
      <c r="I10341" s="16" t="s">
        <v>87</v>
      </c>
      <c r="J10341" s="19"/>
      <c r="L10341" s="16" t="str">
        <f>IFERROR(__xludf.DUMMYFUNCTION("""COMPUTED_VALUE"""),"")</f>
        <v/>
      </c>
      <c r="M10341" s="16" t="str">
        <f>IFERROR(__xludf.DUMMYFUNCTION("""COMPUTED_VALUE"""),"")</f>
        <v/>
      </c>
      <c r="U10341" s="16" t="s">
        <v>87</v>
      </c>
      <c r="V10341" s="16" t="str">
        <f>IFERROR(__xludf.DUMMYFUNCTION("""COMPUTED_VALUE"""),"")</f>
        <v/>
      </c>
      <c r="W10341" s="16" t="str">
        <f>IFERROR(__xludf.DUMMYFUNCTION("""COMPUTED_VALUE"""),"")</f>
        <v/>
      </c>
      <c r="X10341" s="16" t="str">
        <f>IFERROR(__xludf.DUMMYFUNCTION("""COMPUTED_VALUE"""),"")</f>
        <v/>
      </c>
      <c r="AC10341" s="16" t="str">
        <f>IFERROR(__xludf.DUMMYFUNCTION("""COMPUTED_VALUE"""),"")</f>
        <v/>
      </c>
    </row>
    <row r="10342">
      <c r="A10342" s="16" t="s">
        <v>87</v>
      </c>
      <c r="E10342" s="16" t="str">
        <f>IFERROR(__xludf.DUMMYFUNCTION("""COMPUTED_VALUE"""),"")</f>
        <v/>
      </c>
      <c r="G10342" s="18"/>
      <c r="H10342" s="16" t="s">
        <v>87</v>
      </c>
      <c r="I10342" s="16" t="s">
        <v>87</v>
      </c>
      <c r="J10342" s="19"/>
      <c r="L10342" s="16" t="str">
        <f>IFERROR(__xludf.DUMMYFUNCTION("""COMPUTED_VALUE"""),"")</f>
        <v/>
      </c>
      <c r="M10342" s="16" t="str">
        <f>IFERROR(__xludf.DUMMYFUNCTION("""COMPUTED_VALUE"""),"")</f>
        <v/>
      </c>
      <c r="U10342" s="16" t="s">
        <v>87</v>
      </c>
      <c r="V10342" s="16" t="str">
        <f>IFERROR(__xludf.DUMMYFUNCTION("""COMPUTED_VALUE"""),"")</f>
        <v/>
      </c>
      <c r="W10342" s="16" t="str">
        <f>IFERROR(__xludf.DUMMYFUNCTION("""COMPUTED_VALUE"""),"")</f>
        <v/>
      </c>
      <c r="X10342" s="16" t="str">
        <f>IFERROR(__xludf.DUMMYFUNCTION("""COMPUTED_VALUE"""),"")</f>
        <v/>
      </c>
      <c r="AC10342" s="16" t="str">
        <f>IFERROR(__xludf.DUMMYFUNCTION("""COMPUTED_VALUE"""),"")</f>
        <v/>
      </c>
    </row>
    <row r="10343">
      <c r="A10343" s="16" t="s">
        <v>87</v>
      </c>
      <c r="E10343" s="16" t="str">
        <f>IFERROR(__xludf.DUMMYFUNCTION("""COMPUTED_VALUE"""),"")</f>
        <v/>
      </c>
      <c r="G10343" s="18"/>
      <c r="H10343" s="16" t="s">
        <v>87</v>
      </c>
      <c r="I10343" s="16" t="s">
        <v>87</v>
      </c>
      <c r="J10343" s="19"/>
      <c r="L10343" s="16" t="str">
        <f>IFERROR(__xludf.DUMMYFUNCTION("""COMPUTED_VALUE"""),"")</f>
        <v/>
      </c>
      <c r="M10343" s="16" t="str">
        <f>IFERROR(__xludf.DUMMYFUNCTION("""COMPUTED_VALUE"""),"")</f>
        <v/>
      </c>
      <c r="U10343" s="16" t="s">
        <v>87</v>
      </c>
      <c r="V10343" s="16" t="str">
        <f>IFERROR(__xludf.DUMMYFUNCTION("""COMPUTED_VALUE"""),"")</f>
        <v/>
      </c>
      <c r="W10343" s="16" t="str">
        <f>IFERROR(__xludf.DUMMYFUNCTION("""COMPUTED_VALUE"""),"")</f>
        <v/>
      </c>
      <c r="X10343" s="16" t="str">
        <f>IFERROR(__xludf.DUMMYFUNCTION("""COMPUTED_VALUE"""),"")</f>
        <v/>
      </c>
      <c r="AC10343" s="16" t="str">
        <f>IFERROR(__xludf.DUMMYFUNCTION("""COMPUTED_VALUE"""),"")</f>
        <v/>
      </c>
    </row>
    <row r="10344">
      <c r="A10344" s="16" t="s">
        <v>87</v>
      </c>
      <c r="E10344" s="16" t="str">
        <f>IFERROR(__xludf.DUMMYFUNCTION("""COMPUTED_VALUE"""),"")</f>
        <v/>
      </c>
      <c r="G10344" s="18"/>
      <c r="H10344" s="16" t="s">
        <v>87</v>
      </c>
      <c r="I10344" s="16" t="s">
        <v>87</v>
      </c>
      <c r="J10344" s="19"/>
      <c r="L10344" s="16" t="str">
        <f>IFERROR(__xludf.DUMMYFUNCTION("""COMPUTED_VALUE"""),"")</f>
        <v/>
      </c>
      <c r="M10344" s="16" t="str">
        <f>IFERROR(__xludf.DUMMYFUNCTION("""COMPUTED_VALUE"""),"")</f>
        <v/>
      </c>
      <c r="U10344" s="16" t="s">
        <v>87</v>
      </c>
      <c r="V10344" s="16" t="str">
        <f>IFERROR(__xludf.DUMMYFUNCTION("""COMPUTED_VALUE"""),"")</f>
        <v/>
      </c>
      <c r="W10344" s="16" t="str">
        <f>IFERROR(__xludf.DUMMYFUNCTION("""COMPUTED_VALUE"""),"")</f>
        <v/>
      </c>
      <c r="X10344" s="16" t="str">
        <f>IFERROR(__xludf.DUMMYFUNCTION("""COMPUTED_VALUE"""),"")</f>
        <v/>
      </c>
      <c r="AC10344" s="16" t="str">
        <f>IFERROR(__xludf.DUMMYFUNCTION("""COMPUTED_VALUE"""),"")</f>
        <v/>
      </c>
    </row>
    <row r="10345">
      <c r="A10345" s="16" t="s">
        <v>87</v>
      </c>
      <c r="E10345" s="16" t="str">
        <f>IFERROR(__xludf.DUMMYFUNCTION("""COMPUTED_VALUE"""),"")</f>
        <v/>
      </c>
      <c r="G10345" s="18"/>
      <c r="H10345" s="16" t="s">
        <v>87</v>
      </c>
      <c r="I10345" s="16" t="s">
        <v>87</v>
      </c>
      <c r="J10345" s="19"/>
      <c r="L10345" s="16" t="str">
        <f>IFERROR(__xludf.DUMMYFUNCTION("""COMPUTED_VALUE"""),"")</f>
        <v/>
      </c>
      <c r="M10345" s="16" t="str">
        <f>IFERROR(__xludf.DUMMYFUNCTION("""COMPUTED_VALUE"""),"")</f>
        <v/>
      </c>
      <c r="U10345" s="16" t="s">
        <v>87</v>
      </c>
      <c r="V10345" s="16" t="str">
        <f>IFERROR(__xludf.DUMMYFUNCTION("""COMPUTED_VALUE"""),"")</f>
        <v/>
      </c>
      <c r="W10345" s="16" t="str">
        <f>IFERROR(__xludf.DUMMYFUNCTION("""COMPUTED_VALUE"""),"")</f>
        <v/>
      </c>
      <c r="X10345" s="16" t="str">
        <f>IFERROR(__xludf.DUMMYFUNCTION("""COMPUTED_VALUE"""),"")</f>
        <v/>
      </c>
      <c r="AC10345" s="16" t="str">
        <f>IFERROR(__xludf.DUMMYFUNCTION("""COMPUTED_VALUE"""),"")</f>
        <v/>
      </c>
    </row>
    <row r="10346">
      <c r="A10346" s="16" t="s">
        <v>87</v>
      </c>
      <c r="E10346" s="16" t="str">
        <f>IFERROR(__xludf.DUMMYFUNCTION("""COMPUTED_VALUE"""),"")</f>
        <v/>
      </c>
      <c r="G10346" s="18"/>
      <c r="H10346" s="16" t="s">
        <v>87</v>
      </c>
      <c r="I10346" s="16" t="s">
        <v>87</v>
      </c>
      <c r="J10346" s="19"/>
      <c r="L10346" s="16" t="str">
        <f>IFERROR(__xludf.DUMMYFUNCTION("""COMPUTED_VALUE"""),"")</f>
        <v/>
      </c>
      <c r="M10346" s="16" t="str">
        <f>IFERROR(__xludf.DUMMYFUNCTION("""COMPUTED_VALUE"""),"")</f>
        <v/>
      </c>
      <c r="U10346" s="16" t="s">
        <v>87</v>
      </c>
      <c r="V10346" s="16" t="str">
        <f>IFERROR(__xludf.DUMMYFUNCTION("""COMPUTED_VALUE"""),"")</f>
        <v/>
      </c>
      <c r="W10346" s="16" t="str">
        <f>IFERROR(__xludf.DUMMYFUNCTION("""COMPUTED_VALUE"""),"")</f>
        <v/>
      </c>
      <c r="X10346" s="16" t="str">
        <f>IFERROR(__xludf.DUMMYFUNCTION("""COMPUTED_VALUE"""),"")</f>
        <v/>
      </c>
      <c r="AC10346" s="16" t="str">
        <f>IFERROR(__xludf.DUMMYFUNCTION("""COMPUTED_VALUE"""),"")</f>
        <v/>
      </c>
    </row>
    <row r="10347">
      <c r="A10347" s="16" t="s">
        <v>87</v>
      </c>
      <c r="E10347" s="16" t="str">
        <f>IFERROR(__xludf.DUMMYFUNCTION("""COMPUTED_VALUE"""),"")</f>
        <v/>
      </c>
      <c r="G10347" s="18"/>
      <c r="H10347" s="16" t="s">
        <v>87</v>
      </c>
      <c r="I10347" s="16" t="s">
        <v>87</v>
      </c>
      <c r="J10347" s="19"/>
      <c r="L10347" s="16" t="str">
        <f>IFERROR(__xludf.DUMMYFUNCTION("""COMPUTED_VALUE"""),"")</f>
        <v/>
      </c>
      <c r="M10347" s="16" t="str">
        <f>IFERROR(__xludf.DUMMYFUNCTION("""COMPUTED_VALUE"""),"")</f>
        <v/>
      </c>
      <c r="U10347" s="16" t="s">
        <v>87</v>
      </c>
      <c r="V10347" s="16" t="str">
        <f>IFERROR(__xludf.DUMMYFUNCTION("""COMPUTED_VALUE"""),"")</f>
        <v/>
      </c>
      <c r="W10347" s="16" t="str">
        <f>IFERROR(__xludf.DUMMYFUNCTION("""COMPUTED_VALUE"""),"")</f>
        <v/>
      </c>
      <c r="X10347" s="16" t="str">
        <f>IFERROR(__xludf.DUMMYFUNCTION("""COMPUTED_VALUE"""),"")</f>
        <v/>
      </c>
      <c r="AC10347" s="16" t="str">
        <f>IFERROR(__xludf.DUMMYFUNCTION("""COMPUTED_VALUE"""),"")</f>
        <v/>
      </c>
    </row>
    <row r="10348">
      <c r="A10348" s="16" t="s">
        <v>87</v>
      </c>
      <c r="E10348" s="16" t="str">
        <f>IFERROR(__xludf.DUMMYFUNCTION("""COMPUTED_VALUE"""),"")</f>
        <v/>
      </c>
      <c r="G10348" s="18"/>
      <c r="H10348" s="16" t="s">
        <v>87</v>
      </c>
      <c r="I10348" s="16" t="s">
        <v>87</v>
      </c>
      <c r="J10348" s="19"/>
      <c r="L10348" s="16" t="str">
        <f>IFERROR(__xludf.DUMMYFUNCTION("""COMPUTED_VALUE"""),"")</f>
        <v/>
      </c>
      <c r="M10348" s="16" t="str">
        <f>IFERROR(__xludf.DUMMYFUNCTION("""COMPUTED_VALUE"""),"")</f>
        <v/>
      </c>
      <c r="U10348" s="16" t="s">
        <v>87</v>
      </c>
      <c r="V10348" s="16" t="str">
        <f>IFERROR(__xludf.DUMMYFUNCTION("""COMPUTED_VALUE"""),"")</f>
        <v/>
      </c>
      <c r="W10348" s="16" t="str">
        <f>IFERROR(__xludf.DUMMYFUNCTION("""COMPUTED_VALUE"""),"")</f>
        <v/>
      </c>
      <c r="X10348" s="16" t="str">
        <f>IFERROR(__xludf.DUMMYFUNCTION("""COMPUTED_VALUE"""),"")</f>
        <v/>
      </c>
      <c r="AC10348" s="16" t="str">
        <f>IFERROR(__xludf.DUMMYFUNCTION("""COMPUTED_VALUE"""),"")</f>
        <v/>
      </c>
    </row>
    <row r="10349">
      <c r="A10349" s="16" t="s">
        <v>87</v>
      </c>
      <c r="E10349" s="16" t="str">
        <f>IFERROR(__xludf.DUMMYFUNCTION("""COMPUTED_VALUE"""),"")</f>
        <v/>
      </c>
      <c r="G10349" s="18"/>
      <c r="H10349" s="16" t="s">
        <v>87</v>
      </c>
      <c r="I10349" s="16" t="s">
        <v>87</v>
      </c>
      <c r="J10349" s="19"/>
      <c r="L10349" s="16" t="str">
        <f>IFERROR(__xludf.DUMMYFUNCTION("""COMPUTED_VALUE"""),"")</f>
        <v/>
      </c>
      <c r="M10349" s="16" t="str">
        <f>IFERROR(__xludf.DUMMYFUNCTION("""COMPUTED_VALUE"""),"")</f>
        <v/>
      </c>
      <c r="U10349" s="16" t="s">
        <v>87</v>
      </c>
      <c r="V10349" s="16" t="str">
        <f>IFERROR(__xludf.DUMMYFUNCTION("""COMPUTED_VALUE"""),"")</f>
        <v/>
      </c>
      <c r="W10349" s="16" t="str">
        <f>IFERROR(__xludf.DUMMYFUNCTION("""COMPUTED_VALUE"""),"")</f>
        <v/>
      </c>
      <c r="X10349" s="16" t="str">
        <f>IFERROR(__xludf.DUMMYFUNCTION("""COMPUTED_VALUE"""),"")</f>
        <v/>
      </c>
      <c r="AC10349" s="16" t="str">
        <f>IFERROR(__xludf.DUMMYFUNCTION("""COMPUTED_VALUE"""),"")</f>
        <v/>
      </c>
    </row>
    <row r="10350">
      <c r="A10350" s="16" t="s">
        <v>87</v>
      </c>
      <c r="E10350" s="16" t="str">
        <f>IFERROR(__xludf.DUMMYFUNCTION("""COMPUTED_VALUE"""),"")</f>
        <v/>
      </c>
      <c r="G10350" s="18"/>
      <c r="H10350" s="16" t="s">
        <v>87</v>
      </c>
      <c r="I10350" s="16" t="s">
        <v>87</v>
      </c>
      <c r="J10350" s="19"/>
      <c r="L10350" s="16" t="str">
        <f>IFERROR(__xludf.DUMMYFUNCTION("""COMPUTED_VALUE"""),"")</f>
        <v/>
      </c>
      <c r="M10350" s="16" t="str">
        <f>IFERROR(__xludf.DUMMYFUNCTION("""COMPUTED_VALUE"""),"")</f>
        <v/>
      </c>
      <c r="U10350" s="16" t="s">
        <v>87</v>
      </c>
      <c r="V10350" s="16" t="str">
        <f>IFERROR(__xludf.DUMMYFUNCTION("""COMPUTED_VALUE"""),"")</f>
        <v/>
      </c>
      <c r="W10350" s="16" t="str">
        <f>IFERROR(__xludf.DUMMYFUNCTION("""COMPUTED_VALUE"""),"")</f>
        <v/>
      </c>
      <c r="X10350" s="16" t="str">
        <f>IFERROR(__xludf.DUMMYFUNCTION("""COMPUTED_VALUE"""),"")</f>
        <v/>
      </c>
      <c r="AC10350" s="16" t="str">
        <f>IFERROR(__xludf.DUMMYFUNCTION("""COMPUTED_VALUE"""),"")</f>
        <v/>
      </c>
    </row>
    <row r="10351">
      <c r="A10351" s="16" t="s">
        <v>87</v>
      </c>
      <c r="E10351" s="16" t="str">
        <f>IFERROR(__xludf.DUMMYFUNCTION("""COMPUTED_VALUE"""),"")</f>
        <v/>
      </c>
      <c r="G10351" s="18"/>
      <c r="H10351" s="16" t="s">
        <v>87</v>
      </c>
      <c r="I10351" s="16" t="s">
        <v>87</v>
      </c>
      <c r="J10351" s="19"/>
      <c r="L10351" s="16" t="str">
        <f>IFERROR(__xludf.DUMMYFUNCTION("""COMPUTED_VALUE"""),"")</f>
        <v/>
      </c>
      <c r="M10351" s="16" t="str">
        <f>IFERROR(__xludf.DUMMYFUNCTION("""COMPUTED_VALUE"""),"")</f>
        <v/>
      </c>
      <c r="U10351" s="16" t="s">
        <v>87</v>
      </c>
      <c r="V10351" s="16" t="str">
        <f>IFERROR(__xludf.DUMMYFUNCTION("""COMPUTED_VALUE"""),"")</f>
        <v/>
      </c>
      <c r="W10351" s="16" t="str">
        <f>IFERROR(__xludf.DUMMYFUNCTION("""COMPUTED_VALUE"""),"")</f>
        <v/>
      </c>
      <c r="X10351" s="16" t="str">
        <f>IFERROR(__xludf.DUMMYFUNCTION("""COMPUTED_VALUE"""),"")</f>
        <v/>
      </c>
      <c r="AC10351" s="16" t="str">
        <f>IFERROR(__xludf.DUMMYFUNCTION("""COMPUTED_VALUE"""),"")</f>
        <v/>
      </c>
    </row>
    <row r="10352">
      <c r="A10352" s="16" t="s">
        <v>87</v>
      </c>
      <c r="E10352" s="16" t="str">
        <f>IFERROR(__xludf.DUMMYFUNCTION("""COMPUTED_VALUE"""),"")</f>
        <v/>
      </c>
      <c r="G10352" s="18"/>
      <c r="H10352" s="16" t="s">
        <v>87</v>
      </c>
      <c r="I10352" s="16" t="s">
        <v>87</v>
      </c>
      <c r="J10352" s="19"/>
      <c r="L10352" s="16" t="str">
        <f>IFERROR(__xludf.DUMMYFUNCTION("""COMPUTED_VALUE"""),"")</f>
        <v/>
      </c>
      <c r="M10352" s="16" t="str">
        <f>IFERROR(__xludf.DUMMYFUNCTION("""COMPUTED_VALUE"""),"")</f>
        <v/>
      </c>
      <c r="U10352" s="16" t="s">
        <v>87</v>
      </c>
      <c r="V10352" s="16" t="str">
        <f>IFERROR(__xludf.DUMMYFUNCTION("""COMPUTED_VALUE"""),"")</f>
        <v/>
      </c>
      <c r="W10352" s="16" t="str">
        <f>IFERROR(__xludf.DUMMYFUNCTION("""COMPUTED_VALUE"""),"")</f>
        <v/>
      </c>
      <c r="X10352" s="16" t="str">
        <f>IFERROR(__xludf.DUMMYFUNCTION("""COMPUTED_VALUE"""),"")</f>
        <v/>
      </c>
      <c r="AC10352" s="16" t="str">
        <f>IFERROR(__xludf.DUMMYFUNCTION("""COMPUTED_VALUE"""),"")</f>
        <v/>
      </c>
    </row>
    <row r="10353">
      <c r="A10353" s="16" t="s">
        <v>87</v>
      </c>
      <c r="E10353" s="16" t="str">
        <f>IFERROR(__xludf.DUMMYFUNCTION("""COMPUTED_VALUE"""),"")</f>
        <v/>
      </c>
      <c r="G10353" s="18"/>
      <c r="H10353" s="16" t="s">
        <v>87</v>
      </c>
      <c r="I10353" s="16" t="s">
        <v>87</v>
      </c>
      <c r="J10353" s="19"/>
      <c r="L10353" s="16" t="str">
        <f>IFERROR(__xludf.DUMMYFUNCTION("""COMPUTED_VALUE"""),"")</f>
        <v/>
      </c>
      <c r="M10353" s="16" t="str">
        <f>IFERROR(__xludf.DUMMYFUNCTION("""COMPUTED_VALUE"""),"")</f>
        <v/>
      </c>
      <c r="U10353" s="16" t="s">
        <v>87</v>
      </c>
      <c r="V10353" s="16" t="str">
        <f>IFERROR(__xludf.DUMMYFUNCTION("""COMPUTED_VALUE"""),"")</f>
        <v/>
      </c>
      <c r="W10353" s="16" t="str">
        <f>IFERROR(__xludf.DUMMYFUNCTION("""COMPUTED_VALUE"""),"")</f>
        <v/>
      </c>
      <c r="X10353" s="16" t="str">
        <f>IFERROR(__xludf.DUMMYFUNCTION("""COMPUTED_VALUE"""),"")</f>
        <v/>
      </c>
      <c r="AC10353" s="16" t="str">
        <f>IFERROR(__xludf.DUMMYFUNCTION("""COMPUTED_VALUE"""),"")</f>
        <v/>
      </c>
    </row>
    <row r="10354">
      <c r="A10354" s="16" t="s">
        <v>87</v>
      </c>
      <c r="E10354" s="16" t="str">
        <f>IFERROR(__xludf.DUMMYFUNCTION("""COMPUTED_VALUE"""),"")</f>
        <v/>
      </c>
      <c r="G10354" s="18"/>
      <c r="H10354" s="16" t="s">
        <v>87</v>
      </c>
      <c r="I10354" s="16" t="s">
        <v>87</v>
      </c>
      <c r="J10354" s="19"/>
      <c r="L10354" s="16" t="str">
        <f>IFERROR(__xludf.DUMMYFUNCTION("""COMPUTED_VALUE"""),"")</f>
        <v/>
      </c>
      <c r="M10354" s="16" t="str">
        <f>IFERROR(__xludf.DUMMYFUNCTION("""COMPUTED_VALUE"""),"")</f>
        <v/>
      </c>
      <c r="U10354" s="16" t="s">
        <v>87</v>
      </c>
      <c r="V10354" s="16" t="str">
        <f>IFERROR(__xludf.DUMMYFUNCTION("""COMPUTED_VALUE"""),"")</f>
        <v/>
      </c>
      <c r="W10354" s="16" t="str">
        <f>IFERROR(__xludf.DUMMYFUNCTION("""COMPUTED_VALUE"""),"")</f>
        <v/>
      </c>
      <c r="X10354" s="16" t="str">
        <f>IFERROR(__xludf.DUMMYFUNCTION("""COMPUTED_VALUE"""),"")</f>
        <v/>
      </c>
      <c r="AC10354" s="16" t="str">
        <f>IFERROR(__xludf.DUMMYFUNCTION("""COMPUTED_VALUE"""),"")</f>
        <v/>
      </c>
    </row>
    <row r="10355">
      <c r="A10355" s="16" t="s">
        <v>87</v>
      </c>
      <c r="E10355" s="16" t="str">
        <f>IFERROR(__xludf.DUMMYFUNCTION("""COMPUTED_VALUE"""),"")</f>
        <v/>
      </c>
      <c r="G10355" s="18"/>
      <c r="H10355" s="16" t="s">
        <v>87</v>
      </c>
      <c r="I10355" s="16" t="s">
        <v>87</v>
      </c>
      <c r="J10355" s="19"/>
      <c r="L10355" s="16" t="str">
        <f>IFERROR(__xludf.DUMMYFUNCTION("""COMPUTED_VALUE"""),"")</f>
        <v/>
      </c>
      <c r="M10355" s="16" t="str">
        <f>IFERROR(__xludf.DUMMYFUNCTION("""COMPUTED_VALUE"""),"")</f>
        <v/>
      </c>
      <c r="U10355" s="16" t="s">
        <v>87</v>
      </c>
      <c r="V10355" s="16" t="str">
        <f>IFERROR(__xludf.DUMMYFUNCTION("""COMPUTED_VALUE"""),"")</f>
        <v/>
      </c>
      <c r="W10355" s="16" t="str">
        <f>IFERROR(__xludf.DUMMYFUNCTION("""COMPUTED_VALUE"""),"")</f>
        <v/>
      </c>
      <c r="X10355" s="16" t="str">
        <f>IFERROR(__xludf.DUMMYFUNCTION("""COMPUTED_VALUE"""),"")</f>
        <v/>
      </c>
      <c r="AC10355" s="16" t="str">
        <f>IFERROR(__xludf.DUMMYFUNCTION("""COMPUTED_VALUE"""),"")</f>
        <v/>
      </c>
    </row>
    <row r="10356">
      <c r="A10356" s="16" t="s">
        <v>87</v>
      </c>
      <c r="E10356" s="16" t="str">
        <f>IFERROR(__xludf.DUMMYFUNCTION("""COMPUTED_VALUE"""),"")</f>
        <v/>
      </c>
      <c r="G10356" s="18"/>
      <c r="H10356" s="16" t="s">
        <v>87</v>
      </c>
      <c r="I10356" s="16" t="s">
        <v>87</v>
      </c>
      <c r="J10356" s="19"/>
      <c r="L10356" s="16" t="str">
        <f>IFERROR(__xludf.DUMMYFUNCTION("""COMPUTED_VALUE"""),"")</f>
        <v/>
      </c>
      <c r="M10356" s="16" t="str">
        <f>IFERROR(__xludf.DUMMYFUNCTION("""COMPUTED_VALUE"""),"")</f>
        <v/>
      </c>
      <c r="U10356" s="16" t="s">
        <v>87</v>
      </c>
      <c r="V10356" s="16" t="str">
        <f>IFERROR(__xludf.DUMMYFUNCTION("""COMPUTED_VALUE"""),"")</f>
        <v/>
      </c>
      <c r="W10356" s="16" t="str">
        <f>IFERROR(__xludf.DUMMYFUNCTION("""COMPUTED_VALUE"""),"")</f>
        <v/>
      </c>
      <c r="X10356" s="16" t="str">
        <f>IFERROR(__xludf.DUMMYFUNCTION("""COMPUTED_VALUE"""),"")</f>
        <v/>
      </c>
      <c r="AC10356" s="16" t="str">
        <f>IFERROR(__xludf.DUMMYFUNCTION("""COMPUTED_VALUE"""),"")</f>
        <v/>
      </c>
    </row>
    <row r="10357">
      <c r="A10357" s="16" t="s">
        <v>87</v>
      </c>
      <c r="E10357" s="16" t="str">
        <f>IFERROR(__xludf.DUMMYFUNCTION("""COMPUTED_VALUE"""),"")</f>
        <v/>
      </c>
      <c r="G10357" s="18"/>
      <c r="H10357" s="16" t="s">
        <v>87</v>
      </c>
      <c r="I10357" s="16" t="s">
        <v>87</v>
      </c>
      <c r="J10357" s="19"/>
      <c r="L10357" s="16" t="str">
        <f>IFERROR(__xludf.DUMMYFUNCTION("""COMPUTED_VALUE"""),"")</f>
        <v/>
      </c>
      <c r="M10357" s="16" t="str">
        <f>IFERROR(__xludf.DUMMYFUNCTION("""COMPUTED_VALUE"""),"")</f>
        <v/>
      </c>
      <c r="U10357" s="16" t="s">
        <v>87</v>
      </c>
      <c r="V10357" s="16" t="str">
        <f>IFERROR(__xludf.DUMMYFUNCTION("""COMPUTED_VALUE"""),"")</f>
        <v/>
      </c>
      <c r="W10357" s="16" t="str">
        <f>IFERROR(__xludf.DUMMYFUNCTION("""COMPUTED_VALUE"""),"")</f>
        <v/>
      </c>
      <c r="X10357" s="16" t="str">
        <f>IFERROR(__xludf.DUMMYFUNCTION("""COMPUTED_VALUE"""),"")</f>
        <v/>
      </c>
      <c r="AC10357" s="16" t="str">
        <f>IFERROR(__xludf.DUMMYFUNCTION("""COMPUTED_VALUE"""),"")</f>
        <v/>
      </c>
    </row>
    <row r="10358">
      <c r="A10358" s="16" t="s">
        <v>87</v>
      </c>
      <c r="E10358" s="16" t="str">
        <f>IFERROR(__xludf.DUMMYFUNCTION("""COMPUTED_VALUE"""),"")</f>
        <v/>
      </c>
      <c r="G10358" s="18"/>
      <c r="H10358" s="16" t="s">
        <v>87</v>
      </c>
      <c r="I10358" s="16" t="s">
        <v>87</v>
      </c>
      <c r="J10358" s="19"/>
      <c r="L10358" s="16" t="str">
        <f>IFERROR(__xludf.DUMMYFUNCTION("""COMPUTED_VALUE"""),"")</f>
        <v/>
      </c>
      <c r="M10358" s="16" t="str">
        <f>IFERROR(__xludf.DUMMYFUNCTION("""COMPUTED_VALUE"""),"")</f>
        <v/>
      </c>
      <c r="U10358" s="16" t="s">
        <v>87</v>
      </c>
      <c r="V10358" s="16" t="str">
        <f>IFERROR(__xludf.DUMMYFUNCTION("""COMPUTED_VALUE"""),"")</f>
        <v/>
      </c>
      <c r="W10358" s="16" t="str">
        <f>IFERROR(__xludf.DUMMYFUNCTION("""COMPUTED_VALUE"""),"")</f>
        <v/>
      </c>
      <c r="X10358" s="16" t="str">
        <f>IFERROR(__xludf.DUMMYFUNCTION("""COMPUTED_VALUE"""),"")</f>
        <v/>
      </c>
      <c r="AC10358" s="16" t="str">
        <f>IFERROR(__xludf.DUMMYFUNCTION("""COMPUTED_VALUE"""),"")</f>
        <v/>
      </c>
    </row>
    <row r="10359">
      <c r="A10359" s="16" t="s">
        <v>87</v>
      </c>
      <c r="E10359" s="16" t="str">
        <f>IFERROR(__xludf.DUMMYFUNCTION("""COMPUTED_VALUE"""),"")</f>
        <v/>
      </c>
      <c r="G10359" s="18"/>
      <c r="H10359" s="16" t="s">
        <v>87</v>
      </c>
      <c r="I10359" s="16" t="s">
        <v>87</v>
      </c>
      <c r="J10359" s="19"/>
      <c r="L10359" s="16" t="str">
        <f>IFERROR(__xludf.DUMMYFUNCTION("""COMPUTED_VALUE"""),"")</f>
        <v/>
      </c>
      <c r="M10359" s="16" t="str">
        <f>IFERROR(__xludf.DUMMYFUNCTION("""COMPUTED_VALUE"""),"")</f>
        <v/>
      </c>
      <c r="U10359" s="16" t="s">
        <v>87</v>
      </c>
      <c r="V10359" s="16" t="str">
        <f>IFERROR(__xludf.DUMMYFUNCTION("""COMPUTED_VALUE"""),"")</f>
        <v/>
      </c>
      <c r="W10359" s="16" t="str">
        <f>IFERROR(__xludf.DUMMYFUNCTION("""COMPUTED_VALUE"""),"")</f>
        <v/>
      </c>
      <c r="X10359" s="16" t="str">
        <f>IFERROR(__xludf.DUMMYFUNCTION("""COMPUTED_VALUE"""),"")</f>
        <v/>
      </c>
      <c r="AC10359" s="16" t="str">
        <f>IFERROR(__xludf.DUMMYFUNCTION("""COMPUTED_VALUE"""),"")</f>
        <v/>
      </c>
    </row>
    <row r="10360">
      <c r="A10360" s="16" t="s">
        <v>87</v>
      </c>
      <c r="E10360" s="16" t="str">
        <f>IFERROR(__xludf.DUMMYFUNCTION("""COMPUTED_VALUE"""),"")</f>
        <v/>
      </c>
      <c r="G10360" s="18"/>
      <c r="H10360" s="16" t="s">
        <v>87</v>
      </c>
      <c r="I10360" s="16" t="s">
        <v>87</v>
      </c>
      <c r="J10360" s="19"/>
      <c r="L10360" s="16" t="str">
        <f>IFERROR(__xludf.DUMMYFUNCTION("""COMPUTED_VALUE"""),"")</f>
        <v/>
      </c>
      <c r="M10360" s="16" t="str">
        <f>IFERROR(__xludf.DUMMYFUNCTION("""COMPUTED_VALUE"""),"")</f>
        <v/>
      </c>
      <c r="U10360" s="16" t="s">
        <v>87</v>
      </c>
      <c r="V10360" s="16" t="str">
        <f>IFERROR(__xludf.DUMMYFUNCTION("""COMPUTED_VALUE"""),"")</f>
        <v/>
      </c>
      <c r="W10360" s="16" t="str">
        <f>IFERROR(__xludf.DUMMYFUNCTION("""COMPUTED_VALUE"""),"")</f>
        <v/>
      </c>
      <c r="X10360" s="16" t="str">
        <f>IFERROR(__xludf.DUMMYFUNCTION("""COMPUTED_VALUE"""),"")</f>
        <v/>
      </c>
      <c r="AC10360" s="16" t="str">
        <f>IFERROR(__xludf.DUMMYFUNCTION("""COMPUTED_VALUE"""),"")</f>
        <v/>
      </c>
    </row>
    <row r="10361">
      <c r="A10361" s="16" t="s">
        <v>87</v>
      </c>
      <c r="E10361" s="16" t="str">
        <f>IFERROR(__xludf.DUMMYFUNCTION("""COMPUTED_VALUE"""),"")</f>
        <v/>
      </c>
      <c r="G10361" s="18"/>
      <c r="H10361" s="16" t="s">
        <v>87</v>
      </c>
      <c r="I10361" s="16" t="s">
        <v>87</v>
      </c>
      <c r="J10361" s="19"/>
      <c r="L10361" s="16" t="str">
        <f>IFERROR(__xludf.DUMMYFUNCTION("""COMPUTED_VALUE"""),"")</f>
        <v/>
      </c>
      <c r="M10361" s="16" t="str">
        <f>IFERROR(__xludf.DUMMYFUNCTION("""COMPUTED_VALUE"""),"")</f>
        <v/>
      </c>
      <c r="U10361" s="16" t="s">
        <v>87</v>
      </c>
      <c r="V10361" s="16" t="str">
        <f>IFERROR(__xludf.DUMMYFUNCTION("""COMPUTED_VALUE"""),"")</f>
        <v/>
      </c>
      <c r="W10361" s="16" t="str">
        <f>IFERROR(__xludf.DUMMYFUNCTION("""COMPUTED_VALUE"""),"")</f>
        <v/>
      </c>
      <c r="X10361" s="16" t="str">
        <f>IFERROR(__xludf.DUMMYFUNCTION("""COMPUTED_VALUE"""),"")</f>
        <v/>
      </c>
      <c r="AC10361" s="16" t="str">
        <f>IFERROR(__xludf.DUMMYFUNCTION("""COMPUTED_VALUE"""),"")</f>
        <v/>
      </c>
    </row>
    <row r="10362">
      <c r="A10362" s="16" t="s">
        <v>87</v>
      </c>
      <c r="E10362" s="16" t="str">
        <f>IFERROR(__xludf.DUMMYFUNCTION("""COMPUTED_VALUE"""),"")</f>
        <v/>
      </c>
      <c r="G10362" s="18"/>
      <c r="H10362" s="16" t="s">
        <v>87</v>
      </c>
      <c r="I10362" s="16" t="s">
        <v>87</v>
      </c>
      <c r="J10362" s="19"/>
      <c r="L10362" s="16" t="str">
        <f>IFERROR(__xludf.DUMMYFUNCTION("""COMPUTED_VALUE"""),"")</f>
        <v/>
      </c>
      <c r="M10362" s="16" t="str">
        <f>IFERROR(__xludf.DUMMYFUNCTION("""COMPUTED_VALUE"""),"")</f>
        <v/>
      </c>
      <c r="U10362" s="16" t="s">
        <v>87</v>
      </c>
      <c r="V10362" s="16" t="str">
        <f>IFERROR(__xludf.DUMMYFUNCTION("""COMPUTED_VALUE"""),"")</f>
        <v/>
      </c>
      <c r="W10362" s="16" t="str">
        <f>IFERROR(__xludf.DUMMYFUNCTION("""COMPUTED_VALUE"""),"")</f>
        <v/>
      </c>
      <c r="X10362" s="16" t="str">
        <f>IFERROR(__xludf.DUMMYFUNCTION("""COMPUTED_VALUE"""),"")</f>
        <v/>
      </c>
      <c r="AC10362" s="16" t="str">
        <f>IFERROR(__xludf.DUMMYFUNCTION("""COMPUTED_VALUE"""),"")</f>
        <v/>
      </c>
    </row>
    <row r="10363">
      <c r="A10363" s="16" t="s">
        <v>87</v>
      </c>
      <c r="E10363" s="16" t="str">
        <f>IFERROR(__xludf.DUMMYFUNCTION("""COMPUTED_VALUE"""),"")</f>
        <v/>
      </c>
      <c r="G10363" s="18"/>
      <c r="H10363" s="16" t="s">
        <v>87</v>
      </c>
      <c r="I10363" s="16" t="s">
        <v>87</v>
      </c>
      <c r="J10363" s="19"/>
      <c r="L10363" s="16" t="str">
        <f>IFERROR(__xludf.DUMMYFUNCTION("""COMPUTED_VALUE"""),"")</f>
        <v/>
      </c>
      <c r="M10363" s="16" t="str">
        <f>IFERROR(__xludf.DUMMYFUNCTION("""COMPUTED_VALUE"""),"")</f>
        <v/>
      </c>
      <c r="U10363" s="16" t="s">
        <v>87</v>
      </c>
      <c r="V10363" s="16" t="str">
        <f>IFERROR(__xludf.DUMMYFUNCTION("""COMPUTED_VALUE"""),"")</f>
        <v/>
      </c>
      <c r="W10363" s="16" t="str">
        <f>IFERROR(__xludf.DUMMYFUNCTION("""COMPUTED_VALUE"""),"")</f>
        <v/>
      </c>
      <c r="X10363" s="16" t="str">
        <f>IFERROR(__xludf.DUMMYFUNCTION("""COMPUTED_VALUE"""),"")</f>
        <v/>
      </c>
      <c r="AC10363" s="16" t="str">
        <f>IFERROR(__xludf.DUMMYFUNCTION("""COMPUTED_VALUE"""),"")</f>
        <v/>
      </c>
    </row>
    <row r="10364">
      <c r="A10364" s="16" t="s">
        <v>87</v>
      </c>
      <c r="E10364" s="16" t="str">
        <f>IFERROR(__xludf.DUMMYFUNCTION("""COMPUTED_VALUE"""),"")</f>
        <v/>
      </c>
      <c r="G10364" s="18"/>
      <c r="H10364" s="16" t="s">
        <v>87</v>
      </c>
      <c r="I10364" s="16" t="s">
        <v>87</v>
      </c>
      <c r="J10364" s="19"/>
      <c r="L10364" s="16" t="str">
        <f>IFERROR(__xludf.DUMMYFUNCTION("""COMPUTED_VALUE"""),"")</f>
        <v/>
      </c>
      <c r="M10364" s="16" t="str">
        <f>IFERROR(__xludf.DUMMYFUNCTION("""COMPUTED_VALUE"""),"")</f>
        <v/>
      </c>
      <c r="U10364" s="16" t="s">
        <v>87</v>
      </c>
      <c r="V10364" s="16" t="str">
        <f>IFERROR(__xludf.DUMMYFUNCTION("""COMPUTED_VALUE"""),"")</f>
        <v/>
      </c>
      <c r="W10364" s="16" t="str">
        <f>IFERROR(__xludf.DUMMYFUNCTION("""COMPUTED_VALUE"""),"")</f>
        <v/>
      </c>
      <c r="X10364" s="16" t="str">
        <f>IFERROR(__xludf.DUMMYFUNCTION("""COMPUTED_VALUE"""),"")</f>
        <v/>
      </c>
      <c r="AC10364" s="16" t="str">
        <f>IFERROR(__xludf.DUMMYFUNCTION("""COMPUTED_VALUE"""),"")</f>
        <v/>
      </c>
    </row>
    <row r="10365">
      <c r="A10365" s="16" t="s">
        <v>87</v>
      </c>
      <c r="E10365" s="16" t="str">
        <f>IFERROR(__xludf.DUMMYFUNCTION("""COMPUTED_VALUE"""),"")</f>
        <v/>
      </c>
      <c r="G10365" s="18"/>
      <c r="H10365" s="16" t="s">
        <v>87</v>
      </c>
      <c r="I10365" s="16" t="s">
        <v>87</v>
      </c>
      <c r="J10365" s="19"/>
      <c r="L10365" s="16" t="str">
        <f>IFERROR(__xludf.DUMMYFUNCTION("""COMPUTED_VALUE"""),"")</f>
        <v/>
      </c>
      <c r="M10365" s="16" t="str">
        <f>IFERROR(__xludf.DUMMYFUNCTION("""COMPUTED_VALUE"""),"")</f>
        <v/>
      </c>
      <c r="U10365" s="16" t="s">
        <v>87</v>
      </c>
      <c r="V10365" s="16" t="str">
        <f>IFERROR(__xludf.DUMMYFUNCTION("""COMPUTED_VALUE"""),"")</f>
        <v/>
      </c>
      <c r="W10365" s="16" t="str">
        <f>IFERROR(__xludf.DUMMYFUNCTION("""COMPUTED_VALUE"""),"")</f>
        <v/>
      </c>
      <c r="X10365" s="16" t="str">
        <f>IFERROR(__xludf.DUMMYFUNCTION("""COMPUTED_VALUE"""),"")</f>
        <v/>
      </c>
      <c r="AC10365" s="16" t="str">
        <f>IFERROR(__xludf.DUMMYFUNCTION("""COMPUTED_VALUE"""),"")</f>
        <v/>
      </c>
    </row>
    <row r="10366">
      <c r="A10366" s="16" t="s">
        <v>87</v>
      </c>
      <c r="E10366" s="16" t="str">
        <f>IFERROR(__xludf.DUMMYFUNCTION("""COMPUTED_VALUE"""),"")</f>
        <v/>
      </c>
      <c r="G10366" s="18"/>
      <c r="H10366" s="16" t="s">
        <v>87</v>
      </c>
      <c r="I10366" s="16" t="s">
        <v>87</v>
      </c>
      <c r="J10366" s="19"/>
      <c r="L10366" s="16" t="str">
        <f>IFERROR(__xludf.DUMMYFUNCTION("""COMPUTED_VALUE"""),"")</f>
        <v/>
      </c>
      <c r="M10366" s="16" t="str">
        <f>IFERROR(__xludf.DUMMYFUNCTION("""COMPUTED_VALUE"""),"")</f>
        <v/>
      </c>
      <c r="U10366" s="16" t="s">
        <v>87</v>
      </c>
      <c r="V10366" s="16" t="str">
        <f>IFERROR(__xludf.DUMMYFUNCTION("""COMPUTED_VALUE"""),"")</f>
        <v/>
      </c>
      <c r="W10366" s="16" t="str">
        <f>IFERROR(__xludf.DUMMYFUNCTION("""COMPUTED_VALUE"""),"")</f>
        <v/>
      </c>
      <c r="X10366" s="16" t="str">
        <f>IFERROR(__xludf.DUMMYFUNCTION("""COMPUTED_VALUE"""),"")</f>
        <v/>
      </c>
      <c r="AC10366" s="16" t="str">
        <f>IFERROR(__xludf.DUMMYFUNCTION("""COMPUTED_VALUE"""),"")</f>
        <v/>
      </c>
    </row>
    <row r="10367">
      <c r="A10367" s="16" t="s">
        <v>87</v>
      </c>
      <c r="E10367" s="16" t="str">
        <f>IFERROR(__xludf.DUMMYFUNCTION("""COMPUTED_VALUE"""),"")</f>
        <v/>
      </c>
      <c r="G10367" s="18"/>
      <c r="H10367" s="16" t="s">
        <v>87</v>
      </c>
      <c r="I10367" s="16" t="s">
        <v>87</v>
      </c>
      <c r="J10367" s="19"/>
      <c r="L10367" s="16" t="str">
        <f>IFERROR(__xludf.DUMMYFUNCTION("""COMPUTED_VALUE"""),"")</f>
        <v/>
      </c>
      <c r="M10367" s="16" t="str">
        <f>IFERROR(__xludf.DUMMYFUNCTION("""COMPUTED_VALUE"""),"")</f>
        <v/>
      </c>
      <c r="U10367" s="16" t="s">
        <v>87</v>
      </c>
      <c r="V10367" s="16" t="str">
        <f>IFERROR(__xludf.DUMMYFUNCTION("""COMPUTED_VALUE"""),"")</f>
        <v/>
      </c>
      <c r="W10367" s="16" t="str">
        <f>IFERROR(__xludf.DUMMYFUNCTION("""COMPUTED_VALUE"""),"")</f>
        <v/>
      </c>
      <c r="X10367" s="16" t="str">
        <f>IFERROR(__xludf.DUMMYFUNCTION("""COMPUTED_VALUE"""),"")</f>
        <v/>
      </c>
      <c r="AC10367" s="16" t="str">
        <f>IFERROR(__xludf.DUMMYFUNCTION("""COMPUTED_VALUE"""),"")</f>
        <v/>
      </c>
    </row>
    <row r="10368">
      <c r="A10368" s="16" t="s">
        <v>87</v>
      </c>
      <c r="E10368" s="16" t="str">
        <f>IFERROR(__xludf.DUMMYFUNCTION("""COMPUTED_VALUE"""),"")</f>
        <v/>
      </c>
      <c r="G10368" s="18"/>
      <c r="H10368" s="16" t="s">
        <v>87</v>
      </c>
      <c r="I10368" s="16" t="s">
        <v>87</v>
      </c>
      <c r="J10368" s="19"/>
      <c r="L10368" s="16" t="str">
        <f>IFERROR(__xludf.DUMMYFUNCTION("""COMPUTED_VALUE"""),"")</f>
        <v/>
      </c>
      <c r="M10368" s="16" t="str">
        <f>IFERROR(__xludf.DUMMYFUNCTION("""COMPUTED_VALUE"""),"")</f>
        <v/>
      </c>
      <c r="U10368" s="16" t="s">
        <v>87</v>
      </c>
      <c r="V10368" s="16" t="str">
        <f>IFERROR(__xludf.DUMMYFUNCTION("""COMPUTED_VALUE"""),"")</f>
        <v/>
      </c>
      <c r="W10368" s="16" t="str">
        <f>IFERROR(__xludf.DUMMYFUNCTION("""COMPUTED_VALUE"""),"")</f>
        <v/>
      </c>
      <c r="X10368" s="16" t="str">
        <f>IFERROR(__xludf.DUMMYFUNCTION("""COMPUTED_VALUE"""),"")</f>
        <v/>
      </c>
      <c r="AC10368" s="16" t="str">
        <f>IFERROR(__xludf.DUMMYFUNCTION("""COMPUTED_VALUE"""),"")</f>
        <v/>
      </c>
    </row>
    <row r="10369">
      <c r="A10369" s="16" t="s">
        <v>87</v>
      </c>
      <c r="E10369" s="16" t="str">
        <f>IFERROR(__xludf.DUMMYFUNCTION("""COMPUTED_VALUE"""),"")</f>
        <v/>
      </c>
      <c r="G10369" s="18"/>
      <c r="H10369" s="16" t="s">
        <v>87</v>
      </c>
      <c r="I10369" s="16" t="s">
        <v>87</v>
      </c>
      <c r="J10369" s="19"/>
      <c r="L10369" s="16" t="str">
        <f>IFERROR(__xludf.DUMMYFUNCTION("""COMPUTED_VALUE"""),"")</f>
        <v/>
      </c>
      <c r="M10369" s="16" t="str">
        <f>IFERROR(__xludf.DUMMYFUNCTION("""COMPUTED_VALUE"""),"")</f>
        <v/>
      </c>
      <c r="U10369" s="16" t="s">
        <v>87</v>
      </c>
      <c r="V10369" s="16" t="str">
        <f>IFERROR(__xludf.DUMMYFUNCTION("""COMPUTED_VALUE"""),"")</f>
        <v/>
      </c>
      <c r="W10369" s="16" t="str">
        <f>IFERROR(__xludf.DUMMYFUNCTION("""COMPUTED_VALUE"""),"")</f>
        <v/>
      </c>
      <c r="X10369" s="16" t="str">
        <f>IFERROR(__xludf.DUMMYFUNCTION("""COMPUTED_VALUE"""),"")</f>
        <v/>
      </c>
      <c r="AC10369" s="16" t="str">
        <f>IFERROR(__xludf.DUMMYFUNCTION("""COMPUTED_VALUE"""),"")</f>
        <v/>
      </c>
    </row>
    <row r="10370">
      <c r="A10370" s="16" t="s">
        <v>87</v>
      </c>
      <c r="E10370" s="16" t="str">
        <f>IFERROR(__xludf.DUMMYFUNCTION("""COMPUTED_VALUE"""),"")</f>
        <v/>
      </c>
      <c r="G10370" s="18"/>
      <c r="H10370" s="16" t="s">
        <v>87</v>
      </c>
      <c r="I10370" s="16" t="s">
        <v>87</v>
      </c>
      <c r="J10370" s="19"/>
      <c r="L10370" s="16" t="str">
        <f>IFERROR(__xludf.DUMMYFUNCTION("""COMPUTED_VALUE"""),"")</f>
        <v/>
      </c>
      <c r="M10370" s="16" t="str">
        <f>IFERROR(__xludf.DUMMYFUNCTION("""COMPUTED_VALUE"""),"")</f>
        <v/>
      </c>
      <c r="U10370" s="16" t="s">
        <v>87</v>
      </c>
      <c r="V10370" s="16" t="str">
        <f>IFERROR(__xludf.DUMMYFUNCTION("""COMPUTED_VALUE"""),"")</f>
        <v/>
      </c>
      <c r="W10370" s="16" t="str">
        <f>IFERROR(__xludf.DUMMYFUNCTION("""COMPUTED_VALUE"""),"")</f>
        <v/>
      </c>
      <c r="X10370" s="16" t="str">
        <f>IFERROR(__xludf.DUMMYFUNCTION("""COMPUTED_VALUE"""),"")</f>
        <v/>
      </c>
      <c r="AC10370" s="16" t="str">
        <f>IFERROR(__xludf.DUMMYFUNCTION("""COMPUTED_VALUE"""),"")</f>
        <v/>
      </c>
    </row>
    <row r="10371">
      <c r="A10371" s="16" t="s">
        <v>87</v>
      </c>
      <c r="E10371" s="16" t="str">
        <f>IFERROR(__xludf.DUMMYFUNCTION("""COMPUTED_VALUE"""),"")</f>
        <v/>
      </c>
      <c r="G10371" s="18"/>
      <c r="H10371" s="16" t="s">
        <v>87</v>
      </c>
      <c r="I10371" s="16" t="s">
        <v>87</v>
      </c>
      <c r="J10371" s="19"/>
      <c r="L10371" s="16" t="str">
        <f>IFERROR(__xludf.DUMMYFUNCTION("""COMPUTED_VALUE"""),"")</f>
        <v/>
      </c>
      <c r="M10371" s="16" t="str">
        <f>IFERROR(__xludf.DUMMYFUNCTION("""COMPUTED_VALUE"""),"")</f>
        <v/>
      </c>
      <c r="U10371" s="16" t="s">
        <v>87</v>
      </c>
      <c r="V10371" s="16" t="str">
        <f>IFERROR(__xludf.DUMMYFUNCTION("""COMPUTED_VALUE"""),"")</f>
        <v/>
      </c>
      <c r="W10371" s="16" t="str">
        <f>IFERROR(__xludf.DUMMYFUNCTION("""COMPUTED_VALUE"""),"")</f>
        <v/>
      </c>
      <c r="X10371" s="16" t="str">
        <f>IFERROR(__xludf.DUMMYFUNCTION("""COMPUTED_VALUE"""),"")</f>
        <v/>
      </c>
      <c r="AC10371" s="16" t="str">
        <f>IFERROR(__xludf.DUMMYFUNCTION("""COMPUTED_VALUE"""),"")</f>
        <v/>
      </c>
    </row>
    <row r="10372">
      <c r="A10372" s="16" t="s">
        <v>87</v>
      </c>
      <c r="E10372" s="16" t="str">
        <f>IFERROR(__xludf.DUMMYFUNCTION("""COMPUTED_VALUE"""),"")</f>
        <v/>
      </c>
      <c r="G10372" s="18"/>
      <c r="H10372" s="16" t="s">
        <v>87</v>
      </c>
      <c r="I10372" s="16" t="s">
        <v>87</v>
      </c>
      <c r="J10372" s="19"/>
      <c r="L10372" s="16" t="str">
        <f>IFERROR(__xludf.DUMMYFUNCTION("""COMPUTED_VALUE"""),"")</f>
        <v/>
      </c>
      <c r="M10372" s="16" t="str">
        <f>IFERROR(__xludf.DUMMYFUNCTION("""COMPUTED_VALUE"""),"")</f>
        <v/>
      </c>
      <c r="U10372" s="16" t="s">
        <v>87</v>
      </c>
      <c r="V10372" s="16" t="str">
        <f>IFERROR(__xludf.DUMMYFUNCTION("""COMPUTED_VALUE"""),"")</f>
        <v/>
      </c>
      <c r="W10372" s="16" t="str">
        <f>IFERROR(__xludf.DUMMYFUNCTION("""COMPUTED_VALUE"""),"")</f>
        <v/>
      </c>
      <c r="X10372" s="16" t="str">
        <f>IFERROR(__xludf.DUMMYFUNCTION("""COMPUTED_VALUE"""),"")</f>
        <v/>
      </c>
      <c r="AC10372" s="16" t="str">
        <f>IFERROR(__xludf.DUMMYFUNCTION("""COMPUTED_VALUE"""),"")</f>
        <v/>
      </c>
    </row>
    <row r="10373">
      <c r="A10373" s="16" t="s">
        <v>87</v>
      </c>
      <c r="E10373" s="16" t="str">
        <f>IFERROR(__xludf.DUMMYFUNCTION("""COMPUTED_VALUE"""),"")</f>
        <v/>
      </c>
      <c r="G10373" s="18"/>
      <c r="H10373" s="16" t="s">
        <v>87</v>
      </c>
      <c r="I10373" s="16" t="s">
        <v>87</v>
      </c>
      <c r="J10373" s="19"/>
      <c r="L10373" s="16" t="str">
        <f>IFERROR(__xludf.DUMMYFUNCTION("""COMPUTED_VALUE"""),"")</f>
        <v/>
      </c>
      <c r="M10373" s="16" t="str">
        <f>IFERROR(__xludf.DUMMYFUNCTION("""COMPUTED_VALUE"""),"")</f>
        <v/>
      </c>
      <c r="U10373" s="16" t="s">
        <v>87</v>
      </c>
      <c r="V10373" s="16" t="str">
        <f>IFERROR(__xludf.DUMMYFUNCTION("""COMPUTED_VALUE"""),"")</f>
        <v/>
      </c>
      <c r="W10373" s="16" t="str">
        <f>IFERROR(__xludf.DUMMYFUNCTION("""COMPUTED_VALUE"""),"")</f>
        <v/>
      </c>
      <c r="X10373" s="16" t="str">
        <f>IFERROR(__xludf.DUMMYFUNCTION("""COMPUTED_VALUE"""),"")</f>
        <v/>
      </c>
      <c r="AC10373" s="16" t="str">
        <f>IFERROR(__xludf.DUMMYFUNCTION("""COMPUTED_VALUE"""),"")</f>
        <v/>
      </c>
    </row>
    <row r="10374">
      <c r="A10374" s="16" t="s">
        <v>87</v>
      </c>
      <c r="E10374" s="16" t="str">
        <f>IFERROR(__xludf.DUMMYFUNCTION("""COMPUTED_VALUE"""),"")</f>
        <v/>
      </c>
      <c r="G10374" s="18"/>
      <c r="H10374" s="16" t="s">
        <v>87</v>
      </c>
      <c r="I10374" s="16" t="s">
        <v>87</v>
      </c>
      <c r="J10374" s="19"/>
      <c r="L10374" s="16" t="str">
        <f>IFERROR(__xludf.DUMMYFUNCTION("""COMPUTED_VALUE"""),"")</f>
        <v/>
      </c>
      <c r="M10374" s="16" t="str">
        <f>IFERROR(__xludf.DUMMYFUNCTION("""COMPUTED_VALUE"""),"")</f>
        <v/>
      </c>
      <c r="U10374" s="16" t="s">
        <v>87</v>
      </c>
      <c r="V10374" s="16" t="str">
        <f>IFERROR(__xludf.DUMMYFUNCTION("""COMPUTED_VALUE"""),"")</f>
        <v/>
      </c>
      <c r="W10374" s="16" t="str">
        <f>IFERROR(__xludf.DUMMYFUNCTION("""COMPUTED_VALUE"""),"")</f>
        <v/>
      </c>
      <c r="X10374" s="16" t="str">
        <f>IFERROR(__xludf.DUMMYFUNCTION("""COMPUTED_VALUE"""),"")</f>
        <v/>
      </c>
      <c r="AC10374" s="16" t="str">
        <f>IFERROR(__xludf.DUMMYFUNCTION("""COMPUTED_VALUE"""),"")</f>
        <v/>
      </c>
    </row>
    <row r="10375">
      <c r="A10375" s="16" t="s">
        <v>87</v>
      </c>
      <c r="E10375" s="16" t="str">
        <f>IFERROR(__xludf.DUMMYFUNCTION("""COMPUTED_VALUE"""),"")</f>
        <v/>
      </c>
      <c r="G10375" s="18"/>
      <c r="H10375" s="16" t="s">
        <v>87</v>
      </c>
      <c r="I10375" s="16" t="s">
        <v>87</v>
      </c>
      <c r="J10375" s="19"/>
      <c r="L10375" s="16" t="str">
        <f>IFERROR(__xludf.DUMMYFUNCTION("""COMPUTED_VALUE"""),"")</f>
        <v/>
      </c>
      <c r="M10375" s="16" t="str">
        <f>IFERROR(__xludf.DUMMYFUNCTION("""COMPUTED_VALUE"""),"")</f>
        <v/>
      </c>
      <c r="U10375" s="16" t="s">
        <v>87</v>
      </c>
      <c r="V10375" s="16" t="str">
        <f>IFERROR(__xludf.DUMMYFUNCTION("""COMPUTED_VALUE"""),"")</f>
        <v/>
      </c>
      <c r="W10375" s="16" t="str">
        <f>IFERROR(__xludf.DUMMYFUNCTION("""COMPUTED_VALUE"""),"")</f>
        <v/>
      </c>
      <c r="X10375" s="16" t="str">
        <f>IFERROR(__xludf.DUMMYFUNCTION("""COMPUTED_VALUE"""),"")</f>
        <v/>
      </c>
      <c r="AC10375" s="16" t="str">
        <f>IFERROR(__xludf.DUMMYFUNCTION("""COMPUTED_VALUE"""),"")</f>
        <v/>
      </c>
    </row>
    <row r="10376">
      <c r="A10376" s="16" t="s">
        <v>87</v>
      </c>
      <c r="E10376" s="16" t="str">
        <f>IFERROR(__xludf.DUMMYFUNCTION("""COMPUTED_VALUE"""),"")</f>
        <v/>
      </c>
      <c r="G10376" s="18"/>
      <c r="H10376" s="16" t="s">
        <v>87</v>
      </c>
      <c r="I10376" s="16" t="s">
        <v>87</v>
      </c>
      <c r="J10376" s="19"/>
      <c r="L10376" s="16" t="str">
        <f>IFERROR(__xludf.DUMMYFUNCTION("""COMPUTED_VALUE"""),"")</f>
        <v/>
      </c>
      <c r="M10376" s="16" t="str">
        <f>IFERROR(__xludf.DUMMYFUNCTION("""COMPUTED_VALUE"""),"")</f>
        <v/>
      </c>
      <c r="U10376" s="16" t="s">
        <v>87</v>
      </c>
      <c r="V10376" s="16" t="str">
        <f>IFERROR(__xludf.DUMMYFUNCTION("""COMPUTED_VALUE"""),"")</f>
        <v/>
      </c>
      <c r="W10376" s="16" t="str">
        <f>IFERROR(__xludf.DUMMYFUNCTION("""COMPUTED_VALUE"""),"")</f>
        <v/>
      </c>
      <c r="X10376" s="16" t="str">
        <f>IFERROR(__xludf.DUMMYFUNCTION("""COMPUTED_VALUE"""),"")</f>
        <v/>
      </c>
      <c r="AC10376" s="16" t="str">
        <f>IFERROR(__xludf.DUMMYFUNCTION("""COMPUTED_VALUE"""),"")</f>
        <v/>
      </c>
    </row>
    <row r="10377">
      <c r="A10377" s="16" t="s">
        <v>87</v>
      </c>
      <c r="E10377" s="16" t="str">
        <f>IFERROR(__xludf.DUMMYFUNCTION("""COMPUTED_VALUE"""),"")</f>
        <v/>
      </c>
      <c r="G10377" s="18"/>
      <c r="H10377" s="16" t="s">
        <v>87</v>
      </c>
      <c r="I10377" s="16" t="s">
        <v>87</v>
      </c>
      <c r="J10377" s="19"/>
      <c r="L10377" s="16" t="str">
        <f>IFERROR(__xludf.DUMMYFUNCTION("""COMPUTED_VALUE"""),"")</f>
        <v/>
      </c>
      <c r="M10377" s="16" t="str">
        <f>IFERROR(__xludf.DUMMYFUNCTION("""COMPUTED_VALUE"""),"")</f>
        <v/>
      </c>
      <c r="U10377" s="16" t="s">
        <v>87</v>
      </c>
      <c r="V10377" s="16" t="str">
        <f>IFERROR(__xludf.DUMMYFUNCTION("""COMPUTED_VALUE"""),"")</f>
        <v/>
      </c>
      <c r="W10377" s="16" t="str">
        <f>IFERROR(__xludf.DUMMYFUNCTION("""COMPUTED_VALUE"""),"")</f>
        <v/>
      </c>
      <c r="X10377" s="16" t="str">
        <f>IFERROR(__xludf.DUMMYFUNCTION("""COMPUTED_VALUE"""),"")</f>
        <v/>
      </c>
      <c r="AC10377" s="16" t="str">
        <f>IFERROR(__xludf.DUMMYFUNCTION("""COMPUTED_VALUE"""),"")</f>
        <v/>
      </c>
    </row>
    <row r="10378">
      <c r="A10378" s="16" t="s">
        <v>87</v>
      </c>
      <c r="E10378" s="16" t="str">
        <f>IFERROR(__xludf.DUMMYFUNCTION("""COMPUTED_VALUE"""),"")</f>
        <v/>
      </c>
      <c r="G10378" s="18"/>
      <c r="H10378" s="16" t="s">
        <v>87</v>
      </c>
      <c r="I10378" s="16" t="s">
        <v>87</v>
      </c>
      <c r="J10378" s="19"/>
      <c r="L10378" s="16" t="str">
        <f>IFERROR(__xludf.DUMMYFUNCTION("""COMPUTED_VALUE"""),"")</f>
        <v/>
      </c>
      <c r="M10378" s="16" t="str">
        <f>IFERROR(__xludf.DUMMYFUNCTION("""COMPUTED_VALUE"""),"")</f>
        <v/>
      </c>
      <c r="U10378" s="16" t="s">
        <v>87</v>
      </c>
      <c r="V10378" s="16" t="str">
        <f>IFERROR(__xludf.DUMMYFUNCTION("""COMPUTED_VALUE"""),"")</f>
        <v/>
      </c>
      <c r="W10378" s="16" t="str">
        <f>IFERROR(__xludf.DUMMYFUNCTION("""COMPUTED_VALUE"""),"")</f>
        <v/>
      </c>
      <c r="X10378" s="16" t="str">
        <f>IFERROR(__xludf.DUMMYFUNCTION("""COMPUTED_VALUE"""),"")</f>
        <v/>
      </c>
      <c r="AC10378" s="16" t="str">
        <f>IFERROR(__xludf.DUMMYFUNCTION("""COMPUTED_VALUE"""),"")</f>
        <v/>
      </c>
    </row>
    <row r="10379">
      <c r="A10379" s="16" t="s">
        <v>87</v>
      </c>
      <c r="E10379" s="16" t="str">
        <f>IFERROR(__xludf.DUMMYFUNCTION("""COMPUTED_VALUE"""),"")</f>
        <v/>
      </c>
      <c r="G10379" s="18"/>
      <c r="H10379" s="16" t="s">
        <v>87</v>
      </c>
      <c r="I10379" s="16" t="s">
        <v>87</v>
      </c>
      <c r="J10379" s="19"/>
      <c r="L10379" s="16" t="str">
        <f>IFERROR(__xludf.DUMMYFUNCTION("""COMPUTED_VALUE"""),"")</f>
        <v/>
      </c>
      <c r="M10379" s="16" t="str">
        <f>IFERROR(__xludf.DUMMYFUNCTION("""COMPUTED_VALUE"""),"")</f>
        <v/>
      </c>
      <c r="U10379" s="16" t="s">
        <v>87</v>
      </c>
      <c r="V10379" s="16" t="str">
        <f>IFERROR(__xludf.DUMMYFUNCTION("""COMPUTED_VALUE"""),"")</f>
        <v/>
      </c>
      <c r="W10379" s="16" t="str">
        <f>IFERROR(__xludf.DUMMYFUNCTION("""COMPUTED_VALUE"""),"")</f>
        <v/>
      </c>
      <c r="X10379" s="16" t="str">
        <f>IFERROR(__xludf.DUMMYFUNCTION("""COMPUTED_VALUE"""),"")</f>
        <v/>
      </c>
      <c r="AC10379" s="16" t="str">
        <f>IFERROR(__xludf.DUMMYFUNCTION("""COMPUTED_VALUE"""),"")</f>
        <v/>
      </c>
    </row>
    <row r="10380">
      <c r="A10380" s="16" t="s">
        <v>87</v>
      </c>
      <c r="E10380" s="16" t="str">
        <f>IFERROR(__xludf.DUMMYFUNCTION("""COMPUTED_VALUE"""),"")</f>
        <v/>
      </c>
      <c r="G10380" s="18"/>
      <c r="H10380" s="16" t="s">
        <v>87</v>
      </c>
      <c r="I10380" s="16" t="s">
        <v>87</v>
      </c>
      <c r="J10380" s="19"/>
      <c r="L10380" s="16" t="str">
        <f>IFERROR(__xludf.DUMMYFUNCTION("""COMPUTED_VALUE"""),"")</f>
        <v/>
      </c>
      <c r="M10380" s="16" t="str">
        <f>IFERROR(__xludf.DUMMYFUNCTION("""COMPUTED_VALUE"""),"")</f>
        <v/>
      </c>
      <c r="U10380" s="16" t="s">
        <v>87</v>
      </c>
      <c r="V10380" s="16" t="str">
        <f>IFERROR(__xludf.DUMMYFUNCTION("""COMPUTED_VALUE"""),"")</f>
        <v/>
      </c>
      <c r="W10380" s="16" t="str">
        <f>IFERROR(__xludf.DUMMYFUNCTION("""COMPUTED_VALUE"""),"")</f>
        <v/>
      </c>
      <c r="X10380" s="16" t="str">
        <f>IFERROR(__xludf.DUMMYFUNCTION("""COMPUTED_VALUE"""),"")</f>
        <v/>
      </c>
      <c r="AC10380" s="16" t="str">
        <f>IFERROR(__xludf.DUMMYFUNCTION("""COMPUTED_VALUE"""),"")</f>
        <v/>
      </c>
    </row>
    <row r="10381">
      <c r="A10381" s="16" t="s">
        <v>87</v>
      </c>
      <c r="E10381" s="16" t="str">
        <f>IFERROR(__xludf.DUMMYFUNCTION("""COMPUTED_VALUE"""),"")</f>
        <v/>
      </c>
      <c r="G10381" s="18"/>
      <c r="H10381" s="16" t="s">
        <v>87</v>
      </c>
      <c r="I10381" s="16" t="s">
        <v>87</v>
      </c>
      <c r="J10381" s="19"/>
      <c r="L10381" s="16" t="str">
        <f>IFERROR(__xludf.DUMMYFUNCTION("""COMPUTED_VALUE"""),"")</f>
        <v/>
      </c>
      <c r="M10381" s="16" t="str">
        <f>IFERROR(__xludf.DUMMYFUNCTION("""COMPUTED_VALUE"""),"")</f>
        <v/>
      </c>
      <c r="U10381" s="16" t="s">
        <v>87</v>
      </c>
      <c r="V10381" s="16" t="str">
        <f>IFERROR(__xludf.DUMMYFUNCTION("""COMPUTED_VALUE"""),"")</f>
        <v/>
      </c>
      <c r="W10381" s="16" t="str">
        <f>IFERROR(__xludf.DUMMYFUNCTION("""COMPUTED_VALUE"""),"")</f>
        <v/>
      </c>
      <c r="X10381" s="16" t="str">
        <f>IFERROR(__xludf.DUMMYFUNCTION("""COMPUTED_VALUE"""),"")</f>
        <v/>
      </c>
      <c r="AC10381" s="16" t="str">
        <f>IFERROR(__xludf.DUMMYFUNCTION("""COMPUTED_VALUE"""),"")</f>
        <v/>
      </c>
    </row>
    <row r="10382">
      <c r="A10382" s="16" t="s">
        <v>87</v>
      </c>
      <c r="E10382" s="16" t="str">
        <f>IFERROR(__xludf.DUMMYFUNCTION("""COMPUTED_VALUE"""),"")</f>
        <v/>
      </c>
      <c r="G10382" s="18"/>
      <c r="H10382" s="16" t="s">
        <v>87</v>
      </c>
      <c r="I10382" s="16" t="s">
        <v>87</v>
      </c>
      <c r="J10382" s="19"/>
      <c r="L10382" s="16" t="str">
        <f>IFERROR(__xludf.DUMMYFUNCTION("""COMPUTED_VALUE"""),"")</f>
        <v/>
      </c>
      <c r="M10382" s="16" t="str">
        <f>IFERROR(__xludf.DUMMYFUNCTION("""COMPUTED_VALUE"""),"")</f>
        <v/>
      </c>
      <c r="U10382" s="16" t="s">
        <v>87</v>
      </c>
      <c r="V10382" s="16" t="str">
        <f>IFERROR(__xludf.DUMMYFUNCTION("""COMPUTED_VALUE"""),"")</f>
        <v/>
      </c>
      <c r="W10382" s="16" t="str">
        <f>IFERROR(__xludf.DUMMYFUNCTION("""COMPUTED_VALUE"""),"")</f>
        <v/>
      </c>
      <c r="X10382" s="16" t="str">
        <f>IFERROR(__xludf.DUMMYFUNCTION("""COMPUTED_VALUE"""),"")</f>
        <v/>
      </c>
      <c r="AC10382" s="16" t="str">
        <f>IFERROR(__xludf.DUMMYFUNCTION("""COMPUTED_VALUE"""),"")</f>
        <v/>
      </c>
    </row>
    <row r="10383">
      <c r="A10383" s="16" t="s">
        <v>87</v>
      </c>
      <c r="E10383" s="16" t="str">
        <f>IFERROR(__xludf.DUMMYFUNCTION("""COMPUTED_VALUE"""),"")</f>
        <v/>
      </c>
      <c r="G10383" s="18"/>
      <c r="H10383" s="16" t="s">
        <v>87</v>
      </c>
      <c r="I10383" s="16" t="s">
        <v>87</v>
      </c>
      <c r="J10383" s="19"/>
      <c r="L10383" s="16" t="str">
        <f>IFERROR(__xludf.DUMMYFUNCTION("""COMPUTED_VALUE"""),"")</f>
        <v/>
      </c>
      <c r="M10383" s="16" t="str">
        <f>IFERROR(__xludf.DUMMYFUNCTION("""COMPUTED_VALUE"""),"")</f>
        <v/>
      </c>
      <c r="U10383" s="16" t="s">
        <v>87</v>
      </c>
      <c r="V10383" s="16" t="str">
        <f>IFERROR(__xludf.DUMMYFUNCTION("""COMPUTED_VALUE"""),"")</f>
        <v/>
      </c>
      <c r="W10383" s="16" t="str">
        <f>IFERROR(__xludf.DUMMYFUNCTION("""COMPUTED_VALUE"""),"")</f>
        <v/>
      </c>
      <c r="X10383" s="16" t="str">
        <f>IFERROR(__xludf.DUMMYFUNCTION("""COMPUTED_VALUE"""),"")</f>
        <v/>
      </c>
      <c r="AC10383" s="16" t="str">
        <f>IFERROR(__xludf.DUMMYFUNCTION("""COMPUTED_VALUE"""),"")</f>
        <v/>
      </c>
    </row>
    <row r="10384">
      <c r="A10384" s="16" t="s">
        <v>87</v>
      </c>
      <c r="E10384" s="16" t="str">
        <f>IFERROR(__xludf.DUMMYFUNCTION("""COMPUTED_VALUE"""),"")</f>
        <v/>
      </c>
      <c r="G10384" s="18"/>
      <c r="H10384" s="16" t="s">
        <v>87</v>
      </c>
      <c r="I10384" s="16" t="s">
        <v>87</v>
      </c>
      <c r="J10384" s="19"/>
      <c r="L10384" s="16" t="str">
        <f>IFERROR(__xludf.DUMMYFUNCTION("""COMPUTED_VALUE"""),"")</f>
        <v/>
      </c>
      <c r="M10384" s="16" t="str">
        <f>IFERROR(__xludf.DUMMYFUNCTION("""COMPUTED_VALUE"""),"")</f>
        <v/>
      </c>
      <c r="U10384" s="16" t="s">
        <v>87</v>
      </c>
      <c r="V10384" s="16" t="str">
        <f>IFERROR(__xludf.DUMMYFUNCTION("""COMPUTED_VALUE"""),"")</f>
        <v/>
      </c>
      <c r="W10384" s="16" t="str">
        <f>IFERROR(__xludf.DUMMYFUNCTION("""COMPUTED_VALUE"""),"")</f>
        <v/>
      </c>
      <c r="X10384" s="16" t="str">
        <f>IFERROR(__xludf.DUMMYFUNCTION("""COMPUTED_VALUE"""),"")</f>
        <v/>
      </c>
      <c r="AC10384" s="16" t="str">
        <f>IFERROR(__xludf.DUMMYFUNCTION("""COMPUTED_VALUE"""),"")</f>
        <v/>
      </c>
    </row>
    <row r="10385">
      <c r="A10385" s="16" t="s">
        <v>87</v>
      </c>
      <c r="E10385" s="16" t="str">
        <f>IFERROR(__xludf.DUMMYFUNCTION("""COMPUTED_VALUE"""),"")</f>
        <v/>
      </c>
      <c r="G10385" s="18"/>
      <c r="H10385" s="16" t="s">
        <v>87</v>
      </c>
      <c r="I10385" s="16" t="s">
        <v>87</v>
      </c>
      <c r="J10385" s="19"/>
      <c r="L10385" s="16" t="str">
        <f>IFERROR(__xludf.DUMMYFUNCTION("""COMPUTED_VALUE"""),"")</f>
        <v/>
      </c>
      <c r="M10385" s="16" t="str">
        <f>IFERROR(__xludf.DUMMYFUNCTION("""COMPUTED_VALUE"""),"")</f>
        <v/>
      </c>
      <c r="U10385" s="16" t="s">
        <v>87</v>
      </c>
      <c r="V10385" s="16" t="str">
        <f>IFERROR(__xludf.DUMMYFUNCTION("""COMPUTED_VALUE"""),"")</f>
        <v/>
      </c>
      <c r="W10385" s="16" t="str">
        <f>IFERROR(__xludf.DUMMYFUNCTION("""COMPUTED_VALUE"""),"")</f>
        <v/>
      </c>
      <c r="X10385" s="16" t="str">
        <f>IFERROR(__xludf.DUMMYFUNCTION("""COMPUTED_VALUE"""),"")</f>
        <v/>
      </c>
      <c r="AC10385" s="16" t="str">
        <f>IFERROR(__xludf.DUMMYFUNCTION("""COMPUTED_VALUE"""),"")</f>
        <v/>
      </c>
    </row>
    <row r="10386">
      <c r="A10386" s="16" t="s">
        <v>87</v>
      </c>
      <c r="E10386" s="16" t="str">
        <f>IFERROR(__xludf.DUMMYFUNCTION("""COMPUTED_VALUE"""),"")</f>
        <v/>
      </c>
      <c r="G10386" s="18"/>
      <c r="H10386" s="16" t="s">
        <v>87</v>
      </c>
      <c r="I10386" s="16" t="s">
        <v>87</v>
      </c>
      <c r="J10386" s="19"/>
      <c r="L10386" s="16" t="str">
        <f>IFERROR(__xludf.DUMMYFUNCTION("""COMPUTED_VALUE"""),"")</f>
        <v/>
      </c>
      <c r="M10386" s="16" t="str">
        <f>IFERROR(__xludf.DUMMYFUNCTION("""COMPUTED_VALUE"""),"")</f>
        <v/>
      </c>
      <c r="U10386" s="16" t="s">
        <v>87</v>
      </c>
      <c r="V10386" s="16" t="str">
        <f>IFERROR(__xludf.DUMMYFUNCTION("""COMPUTED_VALUE"""),"")</f>
        <v/>
      </c>
      <c r="W10386" s="16" t="str">
        <f>IFERROR(__xludf.DUMMYFUNCTION("""COMPUTED_VALUE"""),"")</f>
        <v/>
      </c>
      <c r="X10386" s="16" t="str">
        <f>IFERROR(__xludf.DUMMYFUNCTION("""COMPUTED_VALUE"""),"")</f>
        <v/>
      </c>
      <c r="AC10386" s="16" t="str">
        <f>IFERROR(__xludf.DUMMYFUNCTION("""COMPUTED_VALUE"""),"")</f>
        <v/>
      </c>
    </row>
    <row r="10387">
      <c r="A10387" s="16" t="s">
        <v>87</v>
      </c>
      <c r="E10387" s="16" t="str">
        <f>IFERROR(__xludf.DUMMYFUNCTION("""COMPUTED_VALUE"""),"")</f>
        <v/>
      </c>
      <c r="G10387" s="18"/>
      <c r="H10387" s="16" t="s">
        <v>87</v>
      </c>
      <c r="I10387" s="16" t="s">
        <v>87</v>
      </c>
      <c r="J10387" s="19"/>
      <c r="L10387" s="16" t="str">
        <f>IFERROR(__xludf.DUMMYFUNCTION("""COMPUTED_VALUE"""),"")</f>
        <v/>
      </c>
      <c r="M10387" s="16" t="str">
        <f>IFERROR(__xludf.DUMMYFUNCTION("""COMPUTED_VALUE"""),"")</f>
        <v/>
      </c>
      <c r="U10387" s="16" t="s">
        <v>87</v>
      </c>
      <c r="V10387" s="16" t="str">
        <f>IFERROR(__xludf.DUMMYFUNCTION("""COMPUTED_VALUE"""),"")</f>
        <v/>
      </c>
      <c r="W10387" s="16" t="str">
        <f>IFERROR(__xludf.DUMMYFUNCTION("""COMPUTED_VALUE"""),"")</f>
        <v/>
      </c>
      <c r="X10387" s="16" t="str">
        <f>IFERROR(__xludf.DUMMYFUNCTION("""COMPUTED_VALUE"""),"")</f>
        <v/>
      </c>
      <c r="AC10387" s="16" t="str">
        <f>IFERROR(__xludf.DUMMYFUNCTION("""COMPUTED_VALUE"""),"")</f>
        <v/>
      </c>
    </row>
    <row r="10388">
      <c r="A10388" s="16" t="s">
        <v>87</v>
      </c>
      <c r="E10388" s="16" t="str">
        <f>IFERROR(__xludf.DUMMYFUNCTION("""COMPUTED_VALUE"""),"")</f>
        <v/>
      </c>
      <c r="G10388" s="18"/>
      <c r="H10388" s="16" t="s">
        <v>87</v>
      </c>
      <c r="I10388" s="16" t="s">
        <v>87</v>
      </c>
      <c r="J10388" s="19"/>
      <c r="L10388" s="16" t="str">
        <f>IFERROR(__xludf.DUMMYFUNCTION("""COMPUTED_VALUE"""),"")</f>
        <v/>
      </c>
      <c r="M10388" s="16" t="str">
        <f>IFERROR(__xludf.DUMMYFUNCTION("""COMPUTED_VALUE"""),"")</f>
        <v/>
      </c>
      <c r="U10388" s="16" t="s">
        <v>87</v>
      </c>
      <c r="V10388" s="16" t="str">
        <f>IFERROR(__xludf.DUMMYFUNCTION("""COMPUTED_VALUE"""),"")</f>
        <v/>
      </c>
      <c r="W10388" s="16" t="str">
        <f>IFERROR(__xludf.DUMMYFUNCTION("""COMPUTED_VALUE"""),"")</f>
        <v/>
      </c>
      <c r="X10388" s="16" t="str">
        <f>IFERROR(__xludf.DUMMYFUNCTION("""COMPUTED_VALUE"""),"")</f>
        <v/>
      </c>
      <c r="AC10388" s="16" t="str">
        <f>IFERROR(__xludf.DUMMYFUNCTION("""COMPUTED_VALUE"""),"")</f>
        <v/>
      </c>
    </row>
    <row r="10389">
      <c r="A10389" s="16" t="s">
        <v>87</v>
      </c>
      <c r="E10389" s="16" t="str">
        <f>IFERROR(__xludf.DUMMYFUNCTION("""COMPUTED_VALUE"""),"")</f>
        <v/>
      </c>
      <c r="G10389" s="18"/>
      <c r="H10389" s="16" t="s">
        <v>87</v>
      </c>
      <c r="I10389" s="16" t="s">
        <v>87</v>
      </c>
      <c r="J10389" s="19"/>
      <c r="L10389" s="16" t="str">
        <f>IFERROR(__xludf.DUMMYFUNCTION("""COMPUTED_VALUE"""),"")</f>
        <v/>
      </c>
      <c r="M10389" s="16" t="str">
        <f>IFERROR(__xludf.DUMMYFUNCTION("""COMPUTED_VALUE"""),"")</f>
        <v/>
      </c>
      <c r="U10389" s="16" t="s">
        <v>87</v>
      </c>
      <c r="V10389" s="16" t="str">
        <f>IFERROR(__xludf.DUMMYFUNCTION("""COMPUTED_VALUE"""),"")</f>
        <v/>
      </c>
      <c r="W10389" s="16" t="str">
        <f>IFERROR(__xludf.DUMMYFUNCTION("""COMPUTED_VALUE"""),"")</f>
        <v/>
      </c>
      <c r="X10389" s="16" t="str">
        <f>IFERROR(__xludf.DUMMYFUNCTION("""COMPUTED_VALUE"""),"")</f>
        <v/>
      </c>
      <c r="AC10389" s="16" t="str">
        <f>IFERROR(__xludf.DUMMYFUNCTION("""COMPUTED_VALUE"""),"")</f>
        <v/>
      </c>
    </row>
    <row r="10390">
      <c r="A10390" s="16" t="s">
        <v>87</v>
      </c>
      <c r="E10390" s="16" t="str">
        <f>IFERROR(__xludf.DUMMYFUNCTION("""COMPUTED_VALUE"""),"")</f>
        <v/>
      </c>
      <c r="G10390" s="18"/>
      <c r="H10390" s="16" t="s">
        <v>87</v>
      </c>
      <c r="I10390" s="16" t="s">
        <v>87</v>
      </c>
      <c r="J10390" s="19"/>
      <c r="L10390" s="16" t="str">
        <f>IFERROR(__xludf.DUMMYFUNCTION("""COMPUTED_VALUE"""),"")</f>
        <v/>
      </c>
      <c r="M10390" s="16" t="str">
        <f>IFERROR(__xludf.DUMMYFUNCTION("""COMPUTED_VALUE"""),"")</f>
        <v/>
      </c>
      <c r="U10390" s="16" t="s">
        <v>87</v>
      </c>
      <c r="V10390" s="16" t="str">
        <f>IFERROR(__xludf.DUMMYFUNCTION("""COMPUTED_VALUE"""),"")</f>
        <v/>
      </c>
      <c r="W10390" s="16" t="str">
        <f>IFERROR(__xludf.DUMMYFUNCTION("""COMPUTED_VALUE"""),"")</f>
        <v/>
      </c>
      <c r="X10390" s="16" t="str">
        <f>IFERROR(__xludf.DUMMYFUNCTION("""COMPUTED_VALUE"""),"")</f>
        <v/>
      </c>
      <c r="AC10390" s="16" t="str">
        <f>IFERROR(__xludf.DUMMYFUNCTION("""COMPUTED_VALUE"""),"")</f>
        <v/>
      </c>
    </row>
    <row r="10391">
      <c r="A10391" s="16" t="s">
        <v>87</v>
      </c>
      <c r="E10391" s="16" t="str">
        <f>IFERROR(__xludf.DUMMYFUNCTION("""COMPUTED_VALUE"""),"")</f>
        <v/>
      </c>
      <c r="G10391" s="18"/>
      <c r="H10391" s="16" t="s">
        <v>87</v>
      </c>
      <c r="I10391" s="16" t="s">
        <v>87</v>
      </c>
      <c r="J10391" s="19"/>
      <c r="L10391" s="16" t="str">
        <f>IFERROR(__xludf.DUMMYFUNCTION("""COMPUTED_VALUE"""),"")</f>
        <v/>
      </c>
      <c r="M10391" s="16" t="str">
        <f>IFERROR(__xludf.DUMMYFUNCTION("""COMPUTED_VALUE"""),"")</f>
        <v/>
      </c>
      <c r="U10391" s="16" t="s">
        <v>87</v>
      </c>
      <c r="V10391" s="16" t="str">
        <f>IFERROR(__xludf.DUMMYFUNCTION("""COMPUTED_VALUE"""),"")</f>
        <v/>
      </c>
      <c r="W10391" s="16" t="str">
        <f>IFERROR(__xludf.DUMMYFUNCTION("""COMPUTED_VALUE"""),"")</f>
        <v/>
      </c>
      <c r="X10391" s="16" t="str">
        <f>IFERROR(__xludf.DUMMYFUNCTION("""COMPUTED_VALUE"""),"")</f>
        <v/>
      </c>
      <c r="AC10391" s="16" t="str">
        <f>IFERROR(__xludf.DUMMYFUNCTION("""COMPUTED_VALUE"""),"")</f>
        <v/>
      </c>
    </row>
    <row r="10392">
      <c r="A10392" s="16" t="s">
        <v>87</v>
      </c>
      <c r="E10392" s="16" t="str">
        <f>IFERROR(__xludf.DUMMYFUNCTION("""COMPUTED_VALUE"""),"")</f>
        <v/>
      </c>
      <c r="G10392" s="18"/>
      <c r="H10392" s="16" t="s">
        <v>87</v>
      </c>
      <c r="I10392" s="16" t="s">
        <v>87</v>
      </c>
      <c r="J10392" s="19"/>
      <c r="L10392" s="16" t="str">
        <f>IFERROR(__xludf.DUMMYFUNCTION("""COMPUTED_VALUE"""),"")</f>
        <v/>
      </c>
      <c r="M10392" s="16" t="str">
        <f>IFERROR(__xludf.DUMMYFUNCTION("""COMPUTED_VALUE"""),"")</f>
        <v/>
      </c>
      <c r="U10392" s="16" t="s">
        <v>87</v>
      </c>
      <c r="V10392" s="16" t="str">
        <f>IFERROR(__xludf.DUMMYFUNCTION("""COMPUTED_VALUE"""),"")</f>
        <v/>
      </c>
      <c r="W10392" s="16" t="str">
        <f>IFERROR(__xludf.DUMMYFUNCTION("""COMPUTED_VALUE"""),"")</f>
        <v/>
      </c>
      <c r="X10392" s="16" t="str">
        <f>IFERROR(__xludf.DUMMYFUNCTION("""COMPUTED_VALUE"""),"")</f>
        <v/>
      </c>
      <c r="AC10392" s="16" t="str">
        <f>IFERROR(__xludf.DUMMYFUNCTION("""COMPUTED_VALUE"""),"")</f>
        <v/>
      </c>
    </row>
    <row r="10393">
      <c r="A10393" s="16" t="s">
        <v>87</v>
      </c>
      <c r="E10393" s="16" t="str">
        <f>IFERROR(__xludf.DUMMYFUNCTION("""COMPUTED_VALUE"""),"")</f>
        <v/>
      </c>
      <c r="G10393" s="18"/>
      <c r="H10393" s="16" t="s">
        <v>87</v>
      </c>
      <c r="I10393" s="16" t="s">
        <v>87</v>
      </c>
      <c r="J10393" s="19"/>
      <c r="L10393" s="16" t="str">
        <f>IFERROR(__xludf.DUMMYFUNCTION("""COMPUTED_VALUE"""),"")</f>
        <v/>
      </c>
      <c r="M10393" s="16" t="str">
        <f>IFERROR(__xludf.DUMMYFUNCTION("""COMPUTED_VALUE"""),"")</f>
        <v/>
      </c>
      <c r="U10393" s="16" t="s">
        <v>87</v>
      </c>
      <c r="V10393" s="16" t="str">
        <f>IFERROR(__xludf.DUMMYFUNCTION("""COMPUTED_VALUE"""),"")</f>
        <v/>
      </c>
      <c r="W10393" s="16" t="str">
        <f>IFERROR(__xludf.DUMMYFUNCTION("""COMPUTED_VALUE"""),"")</f>
        <v/>
      </c>
      <c r="X10393" s="16" t="str">
        <f>IFERROR(__xludf.DUMMYFUNCTION("""COMPUTED_VALUE"""),"")</f>
        <v/>
      </c>
      <c r="AC10393" s="16" t="str">
        <f>IFERROR(__xludf.DUMMYFUNCTION("""COMPUTED_VALUE"""),"")</f>
        <v/>
      </c>
    </row>
    <row r="10394">
      <c r="A10394" s="16" t="s">
        <v>87</v>
      </c>
      <c r="E10394" s="16" t="str">
        <f>IFERROR(__xludf.DUMMYFUNCTION("""COMPUTED_VALUE"""),"")</f>
        <v/>
      </c>
      <c r="G10394" s="18"/>
      <c r="H10394" s="16" t="s">
        <v>87</v>
      </c>
      <c r="I10394" s="16" t="s">
        <v>87</v>
      </c>
      <c r="J10394" s="19"/>
      <c r="L10394" s="16" t="str">
        <f>IFERROR(__xludf.DUMMYFUNCTION("""COMPUTED_VALUE"""),"")</f>
        <v/>
      </c>
      <c r="M10394" s="16" t="str">
        <f>IFERROR(__xludf.DUMMYFUNCTION("""COMPUTED_VALUE"""),"")</f>
        <v/>
      </c>
      <c r="U10394" s="16" t="s">
        <v>87</v>
      </c>
      <c r="V10394" s="16" t="str">
        <f>IFERROR(__xludf.DUMMYFUNCTION("""COMPUTED_VALUE"""),"")</f>
        <v/>
      </c>
      <c r="W10394" s="16" t="str">
        <f>IFERROR(__xludf.DUMMYFUNCTION("""COMPUTED_VALUE"""),"")</f>
        <v/>
      </c>
      <c r="X10394" s="16" t="str">
        <f>IFERROR(__xludf.DUMMYFUNCTION("""COMPUTED_VALUE"""),"")</f>
        <v/>
      </c>
      <c r="AC10394" s="16" t="str">
        <f>IFERROR(__xludf.DUMMYFUNCTION("""COMPUTED_VALUE"""),"")</f>
        <v/>
      </c>
    </row>
    <row r="10395">
      <c r="A10395" s="16" t="s">
        <v>87</v>
      </c>
      <c r="E10395" s="16" t="str">
        <f>IFERROR(__xludf.DUMMYFUNCTION("""COMPUTED_VALUE"""),"")</f>
        <v/>
      </c>
      <c r="G10395" s="18"/>
      <c r="H10395" s="16" t="s">
        <v>87</v>
      </c>
      <c r="I10395" s="16" t="s">
        <v>87</v>
      </c>
      <c r="J10395" s="19"/>
      <c r="L10395" s="16" t="str">
        <f>IFERROR(__xludf.DUMMYFUNCTION("""COMPUTED_VALUE"""),"")</f>
        <v/>
      </c>
      <c r="M10395" s="16" t="str">
        <f>IFERROR(__xludf.DUMMYFUNCTION("""COMPUTED_VALUE"""),"")</f>
        <v/>
      </c>
      <c r="U10395" s="16" t="s">
        <v>87</v>
      </c>
      <c r="V10395" s="16" t="str">
        <f>IFERROR(__xludf.DUMMYFUNCTION("""COMPUTED_VALUE"""),"")</f>
        <v/>
      </c>
      <c r="W10395" s="16" t="str">
        <f>IFERROR(__xludf.DUMMYFUNCTION("""COMPUTED_VALUE"""),"")</f>
        <v/>
      </c>
      <c r="X10395" s="16" t="str">
        <f>IFERROR(__xludf.DUMMYFUNCTION("""COMPUTED_VALUE"""),"")</f>
        <v/>
      </c>
      <c r="AC10395" s="16" t="str">
        <f>IFERROR(__xludf.DUMMYFUNCTION("""COMPUTED_VALUE"""),"")</f>
        <v/>
      </c>
    </row>
    <row r="10396">
      <c r="A10396" s="16" t="s">
        <v>87</v>
      </c>
      <c r="E10396" s="16" t="str">
        <f>IFERROR(__xludf.DUMMYFUNCTION("""COMPUTED_VALUE"""),"")</f>
        <v/>
      </c>
      <c r="G10396" s="18"/>
      <c r="H10396" s="16" t="s">
        <v>87</v>
      </c>
      <c r="I10396" s="16" t="s">
        <v>87</v>
      </c>
      <c r="J10396" s="19"/>
      <c r="L10396" s="16" t="str">
        <f>IFERROR(__xludf.DUMMYFUNCTION("""COMPUTED_VALUE"""),"")</f>
        <v/>
      </c>
      <c r="M10396" s="16" t="str">
        <f>IFERROR(__xludf.DUMMYFUNCTION("""COMPUTED_VALUE"""),"")</f>
        <v/>
      </c>
      <c r="U10396" s="16" t="s">
        <v>87</v>
      </c>
      <c r="V10396" s="16" t="str">
        <f>IFERROR(__xludf.DUMMYFUNCTION("""COMPUTED_VALUE"""),"")</f>
        <v/>
      </c>
      <c r="W10396" s="16" t="str">
        <f>IFERROR(__xludf.DUMMYFUNCTION("""COMPUTED_VALUE"""),"")</f>
        <v/>
      </c>
      <c r="X10396" s="16" t="str">
        <f>IFERROR(__xludf.DUMMYFUNCTION("""COMPUTED_VALUE"""),"")</f>
        <v/>
      </c>
      <c r="AC10396" s="16" t="str">
        <f>IFERROR(__xludf.DUMMYFUNCTION("""COMPUTED_VALUE"""),"")</f>
        <v/>
      </c>
    </row>
    <row r="10397">
      <c r="A10397" s="16" t="s">
        <v>87</v>
      </c>
      <c r="E10397" s="16" t="str">
        <f>IFERROR(__xludf.DUMMYFUNCTION("""COMPUTED_VALUE"""),"")</f>
        <v/>
      </c>
      <c r="G10397" s="18"/>
      <c r="H10397" s="16" t="s">
        <v>87</v>
      </c>
      <c r="I10397" s="16" t="s">
        <v>87</v>
      </c>
      <c r="J10397" s="19"/>
      <c r="L10397" s="16" t="str">
        <f>IFERROR(__xludf.DUMMYFUNCTION("""COMPUTED_VALUE"""),"")</f>
        <v/>
      </c>
      <c r="M10397" s="16" t="str">
        <f>IFERROR(__xludf.DUMMYFUNCTION("""COMPUTED_VALUE"""),"")</f>
        <v/>
      </c>
      <c r="U10397" s="16" t="s">
        <v>87</v>
      </c>
      <c r="V10397" s="16" t="str">
        <f>IFERROR(__xludf.DUMMYFUNCTION("""COMPUTED_VALUE"""),"")</f>
        <v/>
      </c>
      <c r="W10397" s="16" t="str">
        <f>IFERROR(__xludf.DUMMYFUNCTION("""COMPUTED_VALUE"""),"")</f>
        <v/>
      </c>
      <c r="X10397" s="16" t="str">
        <f>IFERROR(__xludf.DUMMYFUNCTION("""COMPUTED_VALUE"""),"")</f>
        <v/>
      </c>
      <c r="AC10397" s="16" t="str">
        <f>IFERROR(__xludf.DUMMYFUNCTION("""COMPUTED_VALUE"""),"")</f>
        <v/>
      </c>
    </row>
    <row r="10398">
      <c r="A10398" s="16" t="s">
        <v>87</v>
      </c>
      <c r="E10398" s="16" t="str">
        <f>IFERROR(__xludf.DUMMYFUNCTION("""COMPUTED_VALUE"""),"")</f>
        <v/>
      </c>
      <c r="G10398" s="18"/>
      <c r="H10398" s="16" t="s">
        <v>87</v>
      </c>
      <c r="I10398" s="16" t="s">
        <v>87</v>
      </c>
      <c r="J10398" s="19"/>
      <c r="L10398" s="16" t="str">
        <f>IFERROR(__xludf.DUMMYFUNCTION("""COMPUTED_VALUE"""),"")</f>
        <v/>
      </c>
      <c r="M10398" s="16" t="str">
        <f>IFERROR(__xludf.DUMMYFUNCTION("""COMPUTED_VALUE"""),"")</f>
        <v/>
      </c>
      <c r="U10398" s="16" t="s">
        <v>87</v>
      </c>
      <c r="V10398" s="16" t="str">
        <f>IFERROR(__xludf.DUMMYFUNCTION("""COMPUTED_VALUE"""),"")</f>
        <v/>
      </c>
      <c r="W10398" s="16" t="str">
        <f>IFERROR(__xludf.DUMMYFUNCTION("""COMPUTED_VALUE"""),"")</f>
        <v/>
      </c>
      <c r="X10398" s="16" t="str">
        <f>IFERROR(__xludf.DUMMYFUNCTION("""COMPUTED_VALUE"""),"")</f>
        <v/>
      </c>
      <c r="AC10398" s="16" t="str">
        <f>IFERROR(__xludf.DUMMYFUNCTION("""COMPUTED_VALUE"""),"")</f>
        <v/>
      </c>
    </row>
    <row r="10399">
      <c r="A10399" s="16" t="s">
        <v>87</v>
      </c>
      <c r="E10399" s="16" t="str">
        <f>IFERROR(__xludf.DUMMYFUNCTION("""COMPUTED_VALUE"""),"")</f>
        <v/>
      </c>
      <c r="G10399" s="18"/>
      <c r="H10399" s="16" t="s">
        <v>87</v>
      </c>
      <c r="I10399" s="16" t="s">
        <v>87</v>
      </c>
      <c r="J10399" s="19"/>
      <c r="L10399" s="16" t="str">
        <f>IFERROR(__xludf.DUMMYFUNCTION("""COMPUTED_VALUE"""),"")</f>
        <v/>
      </c>
      <c r="M10399" s="16" t="str">
        <f>IFERROR(__xludf.DUMMYFUNCTION("""COMPUTED_VALUE"""),"")</f>
        <v/>
      </c>
      <c r="U10399" s="16" t="s">
        <v>87</v>
      </c>
      <c r="V10399" s="16" t="str">
        <f>IFERROR(__xludf.DUMMYFUNCTION("""COMPUTED_VALUE"""),"")</f>
        <v/>
      </c>
      <c r="W10399" s="16" t="str">
        <f>IFERROR(__xludf.DUMMYFUNCTION("""COMPUTED_VALUE"""),"")</f>
        <v/>
      </c>
      <c r="X10399" s="16" t="str">
        <f>IFERROR(__xludf.DUMMYFUNCTION("""COMPUTED_VALUE"""),"")</f>
        <v/>
      </c>
      <c r="AC10399" s="16" t="str">
        <f>IFERROR(__xludf.DUMMYFUNCTION("""COMPUTED_VALUE"""),"")</f>
        <v/>
      </c>
    </row>
    <row r="10400">
      <c r="A10400" s="16" t="s">
        <v>87</v>
      </c>
      <c r="E10400" s="16" t="str">
        <f>IFERROR(__xludf.DUMMYFUNCTION("""COMPUTED_VALUE"""),"")</f>
        <v/>
      </c>
      <c r="G10400" s="18"/>
      <c r="H10400" s="16" t="s">
        <v>87</v>
      </c>
      <c r="I10400" s="16" t="s">
        <v>87</v>
      </c>
      <c r="J10400" s="19"/>
      <c r="L10400" s="16" t="str">
        <f>IFERROR(__xludf.DUMMYFUNCTION("""COMPUTED_VALUE"""),"")</f>
        <v/>
      </c>
      <c r="M10400" s="16" t="str">
        <f>IFERROR(__xludf.DUMMYFUNCTION("""COMPUTED_VALUE"""),"")</f>
        <v/>
      </c>
      <c r="U10400" s="16" t="s">
        <v>87</v>
      </c>
      <c r="V10400" s="16" t="str">
        <f>IFERROR(__xludf.DUMMYFUNCTION("""COMPUTED_VALUE"""),"")</f>
        <v/>
      </c>
      <c r="W10400" s="16" t="str">
        <f>IFERROR(__xludf.DUMMYFUNCTION("""COMPUTED_VALUE"""),"")</f>
        <v/>
      </c>
      <c r="X10400" s="16" t="str">
        <f>IFERROR(__xludf.DUMMYFUNCTION("""COMPUTED_VALUE"""),"")</f>
        <v/>
      </c>
      <c r="AC10400" s="16" t="str">
        <f>IFERROR(__xludf.DUMMYFUNCTION("""COMPUTED_VALUE"""),"")</f>
        <v/>
      </c>
    </row>
    <row r="10401">
      <c r="A10401" s="16" t="s">
        <v>87</v>
      </c>
      <c r="E10401" s="16" t="str">
        <f>IFERROR(__xludf.DUMMYFUNCTION("""COMPUTED_VALUE"""),"")</f>
        <v/>
      </c>
      <c r="G10401" s="18"/>
      <c r="H10401" s="16" t="s">
        <v>87</v>
      </c>
      <c r="I10401" s="16" t="s">
        <v>87</v>
      </c>
      <c r="J10401" s="19"/>
      <c r="L10401" s="16" t="str">
        <f>IFERROR(__xludf.DUMMYFUNCTION("""COMPUTED_VALUE"""),"")</f>
        <v/>
      </c>
      <c r="M10401" s="16" t="str">
        <f>IFERROR(__xludf.DUMMYFUNCTION("""COMPUTED_VALUE"""),"")</f>
        <v/>
      </c>
      <c r="U10401" s="16" t="s">
        <v>87</v>
      </c>
      <c r="V10401" s="16" t="str">
        <f>IFERROR(__xludf.DUMMYFUNCTION("""COMPUTED_VALUE"""),"")</f>
        <v/>
      </c>
      <c r="W10401" s="16" t="str">
        <f>IFERROR(__xludf.DUMMYFUNCTION("""COMPUTED_VALUE"""),"")</f>
        <v/>
      </c>
      <c r="X10401" s="16" t="str">
        <f>IFERROR(__xludf.DUMMYFUNCTION("""COMPUTED_VALUE"""),"")</f>
        <v/>
      </c>
      <c r="AC10401" s="16" t="str">
        <f>IFERROR(__xludf.DUMMYFUNCTION("""COMPUTED_VALUE"""),"")</f>
        <v/>
      </c>
    </row>
    <row r="10402">
      <c r="A10402" s="16" t="s">
        <v>87</v>
      </c>
      <c r="E10402" s="16" t="str">
        <f>IFERROR(__xludf.DUMMYFUNCTION("""COMPUTED_VALUE"""),"")</f>
        <v/>
      </c>
      <c r="G10402" s="18"/>
      <c r="H10402" s="16" t="s">
        <v>87</v>
      </c>
      <c r="I10402" s="16" t="s">
        <v>87</v>
      </c>
      <c r="J10402" s="19"/>
      <c r="L10402" s="16" t="str">
        <f>IFERROR(__xludf.DUMMYFUNCTION("""COMPUTED_VALUE"""),"")</f>
        <v/>
      </c>
      <c r="M10402" s="16" t="str">
        <f>IFERROR(__xludf.DUMMYFUNCTION("""COMPUTED_VALUE"""),"")</f>
        <v/>
      </c>
      <c r="U10402" s="16" t="s">
        <v>87</v>
      </c>
      <c r="V10402" s="16" t="str">
        <f>IFERROR(__xludf.DUMMYFUNCTION("""COMPUTED_VALUE"""),"")</f>
        <v/>
      </c>
      <c r="W10402" s="16" t="str">
        <f>IFERROR(__xludf.DUMMYFUNCTION("""COMPUTED_VALUE"""),"")</f>
        <v/>
      </c>
      <c r="X10402" s="16" t="str">
        <f>IFERROR(__xludf.DUMMYFUNCTION("""COMPUTED_VALUE"""),"")</f>
        <v/>
      </c>
      <c r="AC10402" s="16" t="str">
        <f>IFERROR(__xludf.DUMMYFUNCTION("""COMPUTED_VALUE"""),"")</f>
        <v/>
      </c>
    </row>
    <row r="10403">
      <c r="A10403" s="16" t="s">
        <v>87</v>
      </c>
      <c r="E10403" s="16" t="str">
        <f>IFERROR(__xludf.DUMMYFUNCTION("""COMPUTED_VALUE"""),"")</f>
        <v/>
      </c>
      <c r="G10403" s="18"/>
      <c r="H10403" s="16" t="s">
        <v>87</v>
      </c>
      <c r="I10403" s="16" t="s">
        <v>87</v>
      </c>
      <c r="J10403" s="19"/>
      <c r="L10403" s="16" t="str">
        <f>IFERROR(__xludf.DUMMYFUNCTION("""COMPUTED_VALUE"""),"")</f>
        <v/>
      </c>
      <c r="M10403" s="16" t="str">
        <f>IFERROR(__xludf.DUMMYFUNCTION("""COMPUTED_VALUE"""),"")</f>
        <v/>
      </c>
      <c r="U10403" s="16" t="s">
        <v>87</v>
      </c>
      <c r="V10403" s="16" t="str">
        <f>IFERROR(__xludf.DUMMYFUNCTION("""COMPUTED_VALUE"""),"")</f>
        <v/>
      </c>
      <c r="W10403" s="16" t="str">
        <f>IFERROR(__xludf.DUMMYFUNCTION("""COMPUTED_VALUE"""),"")</f>
        <v/>
      </c>
      <c r="X10403" s="16" t="str">
        <f>IFERROR(__xludf.DUMMYFUNCTION("""COMPUTED_VALUE"""),"")</f>
        <v/>
      </c>
      <c r="AC10403" s="16" t="str">
        <f>IFERROR(__xludf.DUMMYFUNCTION("""COMPUTED_VALUE"""),"")</f>
        <v/>
      </c>
    </row>
    <row r="10404">
      <c r="A10404" s="16" t="s">
        <v>87</v>
      </c>
      <c r="E10404" s="16" t="str">
        <f>IFERROR(__xludf.DUMMYFUNCTION("""COMPUTED_VALUE"""),"")</f>
        <v/>
      </c>
      <c r="G10404" s="18"/>
      <c r="H10404" s="16" t="s">
        <v>87</v>
      </c>
      <c r="I10404" s="16" t="s">
        <v>87</v>
      </c>
      <c r="J10404" s="19"/>
      <c r="L10404" s="16" t="str">
        <f>IFERROR(__xludf.DUMMYFUNCTION("""COMPUTED_VALUE"""),"")</f>
        <v/>
      </c>
      <c r="M10404" s="16" t="str">
        <f>IFERROR(__xludf.DUMMYFUNCTION("""COMPUTED_VALUE"""),"")</f>
        <v/>
      </c>
      <c r="U10404" s="16" t="s">
        <v>87</v>
      </c>
      <c r="V10404" s="16" t="str">
        <f>IFERROR(__xludf.DUMMYFUNCTION("""COMPUTED_VALUE"""),"")</f>
        <v/>
      </c>
      <c r="W10404" s="16" t="str">
        <f>IFERROR(__xludf.DUMMYFUNCTION("""COMPUTED_VALUE"""),"")</f>
        <v/>
      </c>
      <c r="X10404" s="16" t="str">
        <f>IFERROR(__xludf.DUMMYFUNCTION("""COMPUTED_VALUE"""),"")</f>
        <v/>
      </c>
      <c r="AC10404" s="16" t="str">
        <f>IFERROR(__xludf.DUMMYFUNCTION("""COMPUTED_VALUE"""),"")</f>
        <v/>
      </c>
    </row>
    <row r="10405">
      <c r="A10405" s="16" t="s">
        <v>87</v>
      </c>
      <c r="E10405" s="16" t="str">
        <f>IFERROR(__xludf.DUMMYFUNCTION("""COMPUTED_VALUE"""),"")</f>
        <v/>
      </c>
      <c r="G10405" s="18"/>
      <c r="H10405" s="16" t="s">
        <v>87</v>
      </c>
      <c r="I10405" s="16" t="s">
        <v>87</v>
      </c>
      <c r="J10405" s="19"/>
      <c r="L10405" s="16" t="str">
        <f>IFERROR(__xludf.DUMMYFUNCTION("""COMPUTED_VALUE"""),"")</f>
        <v/>
      </c>
      <c r="M10405" s="16" t="str">
        <f>IFERROR(__xludf.DUMMYFUNCTION("""COMPUTED_VALUE"""),"")</f>
        <v/>
      </c>
      <c r="U10405" s="16" t="s">
        <v>87</v>
      </c>
      <c r="V10405" s="16" t="str">
        <f>IFERROR(__xludf.DUMMYFUNCTION("""COMPUTED_VALUE"""),"")</f>
        <v/>
      </c>
      <c r="W10405" s="16" t="str">
        <f>IFERROR(__xludf.DUMMYFUNCTION("""COMPUTED_VALUE"""),"")</f>
        <v/>
      </c>
      <c r="X10405" s="16" t="str">
        <f>IFERROR(__xludf.DUMMYFUNCTION("""COMPUTED_VALUE"""),"")</f>
        <v/>
      </c>
      <c r="AC10405" s="16" t="str">
        <f>IFERROR(__xludf.DUMMYFUNCTION("""COMPUTED_VALUE"""),"")</f>
        <v/>
      </c>
    </row>
    <row r="10406">
      <c r="A10406" s="16" t="s">
        <v>87</v>
      </c>
      <c r="E10406" s="16" t="str">
        <f>IFERROR(__xludf.DUMMYFUNCTION("""COMPUTED_VALUE"""),"")</f>
        <v/>
      </c>
      <c r="G10406" s="18"/>
      <c r="H10406" s="16" t="s">
        <v>87</v>
      </c>
      <c r="I10406" s="16" t="s">
        <v>87</v>
      </c>
      <c r="J10406" s="19"/>
      <c r="L10406" s="16" t="str">
        <f>IFERROR(__xludf.DUMMYFUNCTION("""COMPUTED_VALUE"""),"")</f>
        <v/>
      </c>
      <c r="M10406" s="16" t="str">
        <f>IFERROR(__xludf.DUMMYFUNCTION("""COMPUTED_VALUE"""),"")</f>
        <v/>
      </c>
      <c r="U10406" s="16" t="s">
        <v>87</v>
      </c>
      <c r="V10406" s="16" t="str">
        <f>IFERROR(__xludf.DUMMYFUNCTION("""COMPUTED_VALUE"""),"")</f>
        <v/>
      </c>
      <c r="W10406" s="16" t="str">
        <f>IFERROR(__xludf.DUMMYFUNCTION("""COMPUTED_VALUE"""),"")</f>
        <v/>
      </c>
      <c r="X10406" s="16" t="str">
        <f>IFERROR(__xludf.DUMMYFUNCTION("""COMPUTED_VALUE"""),"")</f>
        <v/>
      </c>
      <c r="AC10406" s="16" t="str">
        <f>IFERROR(__xludf.DUMMYFUNCTION("""COMPUTED_VALUE"""),"")</f>
        <v/>
      </c>
    </row>
    <row r="10407">
      <c r="A10407" s="16" t="s">
        <v>87</v>
      </c>
      <c r="E10407" s="16" t="str">
        <f>IFERROR(__xludf.DUMMYFUNCTION("""COMPUTED_VALUE"""),"")</f>
        <v/>
      </c>
      <c r="G10407" s="18"/>
      <c r="H10407" s="16" t="s">
        <v>87</v>
      </c>
      <c r="I10407" s="16" t="s">
        <v>87</v>
      </c>
      <c r="J10407" s="19"/>
      <c r="L10407" s="16" t="str">
        <f>IFERROR(__xludf.DUMMYFUNCTION("""COMPUTED_VALUE"""),"")</f>
        <v/>
      </c>
      <c r="M10407" s="16" t="str">
        <f>IFERROR(__xludf.DUMMYFUNCTION("""COMPUTED_VALUE"""),"")</f>
        <v/>
      </c>
      <c r="U10407" s="16" t="s">
        <v>87</v>
      </c>
      <c r="V10407" s="16" t="str">
        <f>IFERROR(__xludf.DUMMYFUNCTION("""COMPUTED_VALUE"""),"")</f>
        <v/>
      </c>
      <c r="W10407" s="16" t="str">
        <f>IFERROR(__xludf.DUMMYFUNCTION("""COMPUTED_VALUE"""),"")</f>
        <v/>
      </c>
      <c r="X10407" s="16" t="str">
        <f>IFERROR(__xludf.DUMMYFUNCTION("""COMPUTED_VALUE"""),"")</f>
        <v/>
      </c>
      <c r="AC10407" s="16" t="str">
        <f>IFERROR(__xludf.DUMMYFUNCTION("""COMPUTED_VALUE"""),"")</f>
        <v/>
      </c>
    </row>
    <row r="10408">
      <c r="A10408" s="16" t="s">
        <v>87</v>
      </c>
      <c r="E10408" s="16" t="str">
        <f>IFERROR(__xludf.DUMMYFUNCTION("""COMPUTED_VALUE"""),"")</f>
        <v/>
      </c>
      <c r="G10408" s="18"/>
      <c r="H10408" s="16" t="s">
        <v>87</v>
      </c>
      <c r="I10408" s="16" t="s">
        <v>87</v>
      </c>
      <c r="J10408" s="19"/>
      <c r="L10408" s="16" t="str">
        <f>IFERROR(__xludf.DUMMYFUNCTION("""COMPUTED_VALUE"""),"")</f>
        <v/>
      </c>
      <c r="M10408" s="16" t="str">
        <f>IFERROR(__xludf.DUMMYFUNCTION("""COMPUTED_VALUE"""),"")</f>
        <v/>
      </c>
      <c r="U10408" s="16" t="s">
        <v>87</v>
      </c>
      <c r="V10408" s="16" t="str">
        <f>IFERROR(__xludf.DUMMYFUNCTION("""COMPUTED_VALUE"""),"")</f>
        <v/>
      </c>
      <c r="W10408" s="16" t="str">
        <f>IFERROR(__xludf.DUMMYFUNCTION("""COMPUTED_VALUE"""),"")</f>
        <v/>
      </c>
      <c r="X10408" s="16" t="str">
        <f>IFERROR(__xludf.DUMMYFUNCTION("""COMPUTED_VALUE"""),"")</f>
        <v/>
      </c>
      <c r="AC10408" s="16" t="str">
        <f>IFERROR(__xludf.DUMMYFUNCTION("""COMPUTED_VALUE"""),"")</f>
        <v/>
      </c>
    </row>
    <row r="10409">
      <c r="A10409" s="16" t="s">
        <v>87</v>
      </c>
      <c r="E10409" s="16" t="str">
        <f>IFERROR(__xludf.DUMMYFUNCTION("""COMPUTED_VALUE"""),"")</f>
        <v/>
      </c>
      <c r="G10409" s="18"/>
      <c r="H10409" s="16" t="s">
        <v>87</v>
      </c>
      <c r="I10409" s="16" t="s">
        <v>87</v>
      </c>
      <c r="J10409" s="19"/>
      <c r="L10409" s="16" t="str">
        <f>IFERROR(__xludf.DUMMYFUNCTION("""COMPUTED_VALUE"""),"")</f>
        <v/>
      </c>
      <c r="M10409" s="16" t="str">
        <f>IFERROR(__xludf.DUMMYFUNCTION("""COMPUTED_VALUE"""),"")</f>
        <v/>
      </c>
      <c r="U10409" s="16" t="s">
        <v>87</v>
      </c>
      <c r="V10409" s="16" t="str">
        <f>IFERROR(__xludf.DUMMYFUNCTION("""COMPUTED_VALUE"""),"")</f>
        <v/>
      </c>
      <c r="W10409" s="16" t="str">
        <f>IFERROR(__xludf.DUMMYFUNCTION("""COMPUTED_VALUE"""),"")</f>
        <v/>
      </c>
      <c r="X10409" s="16" t="str">
        <f>IFERROR(__xludf.DUMMYFUNCTION("""COMPUTED_VALUE"""),"")</f>
        <v/>
      </c>
      <c r="AC10409" s="16" t="str">
        <f>IFERROR(__xludf.DUMMYFUNCTION("""COMPUTED_VALUE"""),"")</f>
        <v/>
      </c>
    </row>
    <row r="10410">
      <c r="A10410" s="16" t="s">
        <v>87</v>
      </c>
      <c r="E10410" s="16" t="str">
        <f>IFERROR(__xludf.DUMMYFUNCTION("""COMPUTED_VALUE"""),"")</f>
        <v/>
      </c>
      <c r="G10410" s="18"/>
      <c r="H10410" s="16" t="s">
        <v>87</v>
      </c>
      <c r="I10410" s="16" t="s">
        <v>87</v>
      </c>
      <c r="J10410" s="19"/>
      <c r="L10410" s="16" t="str">
        <f>IFERROR(__xludf.DUMMYFUNCTION("""COMPUTED_VALUE"""),"")</f>
        <v/>
      </c>
      <c r="M10410" s="16" t="str">
        <f>IFERROR(__xludf.DUMMYFUNCTION("""COMPUTED_VALUE"""),"")</f>
        <v/>
      </c>
      <c r="U10410" s="16" t="s">
        <v>87</v>
      </c>
      <c r="V10410" s="16" t="str">
        <f>IFERROR(__xludf.DUMMYFUNCTION("""COMPUTED_VALUE"""),"")</f>
        <v/>
      </c>
      <c r="W10410" s="16" t="str">
        <f>IFERROR(__xludf.DUMMYFUNCTION("""COMPUTED_VALUE"""),"")</f>
        <v/>
      </c>
      <c r="X10410" s="16" t="str">
        <f>IFERROR(__xludf.DUMMYFUNCTION("""COMPUTED_VALUE"""),"")</f>
        <v/>
      </c>
      <c r="AC10410" s="16" t="str">
        <f>IFERROR(__xludf.DUMMYFUNCTION("""COMPUTED_VALUE"""),"")</f>
        <v/>
      </c>
    </row>
    <row r="10411">
      <c r="A10411" s="16" t="s">
        <v>87</v>
      </c>
      <c r="E10411" s="16" t="str">
        <f>IFERROR(__xludf.DUMMYFUNCTION("""COMPUTED_VALUE"""),"")</f>
        <v/>
      </c>
      <c r="G10411" s="18"/>
      <c r="H10411" s="16" t="s">
        <v>87</v>
      </c>
      <c r="I10411" s="16" t="s">
        <v>87</v>
      </c>
      <c r="J10411" s="19"/>
      <c r="L10411" s="16" t="str">
        <f>IFERROR(__xludf.DUMMYFUNCTION("""COMPUTED_VALUE"""),"")</f>
        <v/>
      </c>
      <c r="M10411" s="16" t="str">
        <f>IFERROR(__xludf.DUMMYFUNCTION("""COMPUTED_VALUE"""),"")</f>
        <v/>
      </c>
      <c r="U10411" s="16" t="s">
        <v>87</v>
      </c>
      <c r="V10411" s="16" t="str">
        <f>IFERROR(__xludf.DUMMYFUNCTION("""COMPUTED_VALUE"""),"")</f>
        <v/>
      </c>
      <c r="W10411" s="16" t="str">
        <f>IFERROR(__xludf.DUMMYFUNCTION("""COMPUTED_VALUE"""),"")</f>
        <v/>
      </c>
      <c r="X10411" s="16" t="str">
        <f>IFERROR(__xludf.DUMMYFUNCTION("""COMPUTED_VALUE"""),"")</f>
        <v/>
      </c>
      <c r="AC10411" s="16" t="str">
        <f>IFERROR(__xludf.DUMMYFUNCTION("""COMPUTED_VALUE"""),"")</f>
        <v/>
      </c>
    </row>
    <row r="10412">
      <c r="A10412" s="16" t="s">
        <v>87</v>
      </c>
      <c r="E10412" s="16" t="str">
        <f>IFERROR(__xludf.DUMMYFUNCTION("""COMPUTED_VALUE"""),"")</f>
        <v/>
      </c>
      <c r="G10412" s="18"/>
      <c r="H10412" s="16" t="s">
        <v>87</v>
      </c>
      <c r="I10412" s="16" t="s">
        <v>87</v>
      </c>
      <c r="J10412" s="19"/>
      <c r="L10412" s="16" t="str">
        <f>IFERROR(__xludf.DUMMYFUNCTION("""COMPUTED_VALUE"""),"")</f>
        <v/>
      </c>
      <c r="M10412" s="16" t="str">
        <f>IFERROR(__xludf.DUMMYFUNCTION("""COMPUTED_VALUE"""),"")</f>
        <v/>
      </c>
      <c r="U10412" s="16" t="s">
        <v>87</v>
      </c>
      <c r="V10412" s="16" t="str">
        <f>IFERROR(__xludf.DUMMYFUNCTION("""COMPUTED_VALUE"""),"")</f>
        <v/>
      </c>
      <c r="W10412" s="16" t="str">
        <f>IFERROR(__xludf.DUMMYFUNCTION("""COMPUTED_VALUE"""),"")</f>
        <v/>
      </c>
      <c r="X10412" s="16" t="str">
        <f>IFERROR(__xludf.DUMMYFUNCTION("""COMPUTED_VALUE"""),"")</f>
        <v/>
      </c>
      <c r="AC10412" s="16" t="str">
        <f>IFERROR(__xludf.DUMMYFUNCTION("""COMPUTED_VALUE"""),"")</f>
        <v/>
      </c>
    </row>
    <row r="10413">
      <c r="A10413" s="16" t="s">
        <v>87</v>
      </c>
      <c r="E10413" s="16" t="str">
        <f>IFERROR(__xludf.DUMMYFUNCTION("""COMPUTED_VALUE"""),"")</f>
        <v/>
      </c>
      <c r="G10413" s="18"/>
      <c r="H10413" s="16" t="s">
        <v>87</v>
      </c>
      <c r="I10413" s="16" t="s">
        <v>87</v>
      </c>
      <c r="J10413" s="19"/>
      <c r="L10413" s="16" t="str">
        <f>IFERROR(__xludf.DUMMYFUNCTION("""COMPUTED_VALUE"""),"")</f>
        <v/>
      </c>
      <c r="M10413" s="16" t="str">
        <f>IFERROR(__xludf.DUMMYFUNCTION("""COMPUTED_VALUE"""),"")</f>
        <v/>
      </c>
      <c r="U10413" s="16" t="s">
        <v>87</v>
      </c>
      <c r="V10413" s="16" t="str">
        <f>IFERROR(__xludf.DUMMYFUNCTION("""COMPUTED_VALUE"""),"")</f>
        <v/>
      </c>
      <c r="W10413" s="16" t="str">
        <f>IFERROR(__xludf.DUMMYFUNCTION("""COMPUTED_VALUE"""),"")</f>
        <v/>
      </c>
      <c r="X10413" s="16" t="str">
        <f>IFERROR(__xludf.DUMMYFUNCTION("""COMPUTED_VALUE"""),"")</f>
        <v/>
      </c>
      <c r="AC10413" s="16" t="str">
        <f>IFERROR(__xludf.DUMMYFUNCTION("""COMPUTED_VALUE"""),"")</f>
        <v/>
      </c>
    </row>
    <row r="10414">
      <c r="A10414" s="16" t="s">
        <v>87</v>
      </c>
      <c r="E10414" s="16" t="str">
        <f>IFERROR(__xludf.DUMMYFUNCTION("""COMPUTED_VALUE"""),"")</f>
        <v/>
      </c>
      <c r="G10414" s="18"/>
      <c r="H10414" s="16" t="s">
        <v>87</v>
      </c>
      <c r="I10414" s="16" t="s">
        <v>87</v>
      </c>
      <c r="J10414" s="19"/>
      <c r="L10414" s="16" t="str">
        <f>IFERROR(__xludf.DUMMYFUNCTION("""COMPUTED_VALUE"""),"")</f>
        <v/>
      </c>
      <c r="M10414" s="16" t="str">
        <f>IFERROR(__xludf.DUMMYFUNCTION("""COMPUTED_VALUE"""),"")</f>
        <v/>
      </c>
      <c r="U10414" s="16" t="s">
        <v>87</v>
      </c>
      <c r="V10414" s="16" t="str">
        <f>IFERROR(__xludf.DUMMYFUNCTION("""COMPUTED_VALUE"""),"")</f>
        <v/>
      </c>
      <c r="W10414" s="16" t="str">
        <f>IFERROR(__xludf.DUMMYFUNCTION("""COMPUTED_VALUE"""),"")</f>
        <v/>
      </c>
      <c r="X10414" s="16" t="str">
        <f>IFERROR(__xludf.DUMMYFUNCTION("""COMPUTED_VALUE"""),"")</f>
        <v/>
      </c>
      <c r="AC10414" s="16" t="str">
        <f>IFERROR(__xludf.DUMMYFUNCTION("""COMPUTED_VALUE"""),"")</f>
        <v/>
      </c>
    </row>
    <row r="10415">
      <c r="A10415" s="16" t="s">
        <v>87</v>
      </c>
      <c r="E10415" s="16" t="str">
        <f>IFERROR(__xludf.DUMMYFUNCTION("""COMPUTED_VALUE"""),"")</f>
        <v/>
      </c>
      <c r="G10415" s="18"/>
      <c r="H10415" s="16" t="s">
        <v>87</v>
      </c>
      <c r="I10415" s="16" t="s">
        <v>87</v>
      </c>
      <c r="J10415" s="19"/>
      <c r="L10415" s="16" t="str">
        <f>IFERROR(__xludf.DUMMYFUNCTION("""COMPUTED_VALUE"""),"")</f>
        <v/>
      </c>
      <c r="M10415" s="16" t="str">
        <f>IFERROR(__xludf.DUMMYFUNCTION("""COMPUTED_VALUE"""),"")</f>
        <v/>
      </c>
      <c r="U10415" s="16" t="s">
        <v>87</v>
      </c>
      <c r="V10415" s="16" t="str">
        <f>IFERROR(__xludf.DUMMYFUNCTION("""COMPUTED_VALUE"""),"")</f>
        <v/>
      </c>
      <c r="W10415" s="16" t="str">
        <f>IFERROR(__xludf.DUMMYFUNCTION("""COMPUTED_VALUE"""),"")</f>
        <v/>
      </c>
      <c r="X10415" s="16" t="str">
        <f>IFERROR(__xludf.DUMMYFUNCTION("""COMPUTED_VALUE"""),"")</f>
        <v/>
      </c>
      <c r="AC10415" s="16" t="str">
        <f>IFERROR(__xludf.DUMMYFUNCTION("""COMPUTED_VALUE"""),"")</f>
        <v/>
      </c>
    </row>
    <row r="10416">
      <c r="A10416" s="16" t="s">
        <v>87</v>
      </c>
      <c r="E10416" s="16" t="str">
        <f>IFERROR(__xludf.DUMMYFUNCTION("""COMPUTED_VALUE"""),"")</f>
        <v/>
      </c>
      <c r="G10416" s="18"/>
      <c r="H10416" s="16" t="s">
        <v>87</v>
      </c>
      <c r="I10416" s="16" t="s">
        <v>87</v>
      </c>
      <c r="J10416" s="19"/>
      <c r="L10416" s="16" t="str">
        <f>IFERROR(__xludf.DUMMYFUNCTION("""COMPUTED_VALUE"""),"")</f>
        <v/>
      </c>
      <c r="M10416" s="16" t="str">
        <f>IFERROR(__xludf.DUMMYFUNCTION("""COMPUTED_VALUE"""),"")</f>
        <v/>
      </c>
      <c r="U10416" s="16" t="s">
        <v>87</v>
      </c>
      <c r="V10416" s="16" t="str">
        <f>IFERROR(__xludf.DUMMYFUNCTION("""COMPUTED_VALUE"""),"")</f>
        <v/>
      </c>
      <c r="W10416" s="16" t="str">
        <f>IFERROR(__xludf.DUMMYFUNCTION("""COMPUTED_VALUE"""),"")</f>
        <v/>
      </c>
      <c r="X10416" s="16" t="str">
        <f>IFERROR(__xludf.DUMMYFUNCTION("""COMPUTED_VALUE"""),"")</f>
        <v/>
      </c>
      <c r="AC10416" s="16" t="str">
        <f>IFERROR(__xludf.DUMMYFUNCTION("""COMPUTED_VALUE"""),"")</f>
        <v/>
      </c>
    </row>
    <row r="10417">
      <c r="A10417" s="16" t="s">
        <v>87</v>
      </c>
      <c r="E10417" s="16" t="str">
        <f>IFERROR(__xludf.DUMMYFUNCTION("""COMPUTED_VALUE"""),"")</f>
        <v/>
      </c>
      <c r="G10417" s="18"/>
      <c r="H10417" s="16" t="s">
        <v>87</v>
      </c>
      <c r="I10417" s="16" t="s">
        <v>87</v>
      </c>
      <c r="J10417" s="19"/>
      <c r="L10417" s="16" t="str">
        <f>IFERROR(__xludf.DUMMYFUNCTION("""COMPUTED_VALUE"""),"")</f>
        <v/>
      </c>
      <c r="M10417" s="16" t="str">
        <f>IFERROR(__xludf.DUMMYFUNCTION("""COMPUTED_VALUE"""),"")</f>
        <v/>
      </c>
      <c r="U10417" s="16" t="s">
        <v>87</v>
      </c>
      <c r="V10417" s="16" t="str">
        <f>IFERROR(__xludf.DUMMYFUNCTION("""COMPUTED_VALUE"""),"")</f>
        <v/>
      </c>
      <c r="W10417" s="16" t="str">
        <f>IFERROR(__xludf.DUMMYFUNCTION("""COMPUTED_VALUE"""),"")</f>
        <v/>
      </c>
      <c r="X10417" s="16" t="str">
        <f>IFERROR(__xludf.DUMMYFUNCTION("""COMPUTED_VALUE"""),"")</f>
        <v/>
      </c>
      <c r="AC10417" s="16" t="str">
        <f>IFERROR(__xludf.DUMMYFUNCTION("""COMPUTED_VALUE"""),"")</f>
        <v/>
      </c>
    </row>
    <row r="10418">
      <c r="A10418" s="16" t="s">
        <v>87</v>
      </c>
      <c r="E10418" s="16" t="str">
        <f>IFERROR(__xludf.DUMMYFUNCTION("""COMPUTED_VALUE"""),"")</f>
        <v/>
      </c>
      <c r="G10418" s="18"/>
      <c r="H10418" s="16" t="s">
        <v>87</v>
      </c>
      <c r="I10418" s="16" t="s">
        <v>87</v>
      </c>
      <c r="J10418" s="19"/>
      <c r="L10418" s="16" t="str">
        <f>IFERROR(__xludf.DUMMYFUNCTION("""COMPUTED_VALUE"""),"")</f>
        <v/>
      </c>
      <c r="M10418" s="16" t="str">
        <f>IFERROR(__xludf.DUMMYFUNCTION("""COMPUTED_VALUE"""),"")</f>
        <v/>
      </c>
      <c r="U10418" s="16" t="s">
        <v>87</v>
      </c>
      <c r="V10418" s="16" t="str">
        <f>IFERROR(__xludf.DUMMYFUNCTION("""COMPUTED_VALUE"""),"")</f>
        <v/>
      </c>
      <c r="W10418" s="16" t="str">
        <f>IFERROR(__xludf.DUMMYFUNCTION("""COMPUTED_VALUE"""),"")</f>
        <v/>
      </c>
      <c r="X10418" s="16" t="str">
        <f>IFERROR(__xludf.DUMMYFUNCTION("""COMPUTED_VALUE"""),"")</f>
        <v/>
      </c>
      <c r="AC10418" s="16" t="str">
        <f>IFERROR(__xludf.DUMMYFUNCTION("""COMPUTED_VALUE"""),"")</f>
        <v/>
      </c>
    </row>
    <row r="10419">
      <c r="A10419" s="16" t="s">
        <v>87</v>
      </c>
      <c r="E10419" s="16" t="str">
        <f>IFERROR(__xludf.DUMMYFUNCTION("""COMPUTED_VALUE"""),"")</f>
        <v/>
      </c>
      <c r="G10419" s="18"/>
      <c r="H10419" s="16" t="s">
        <v>87</v>
      </c>
      <c r="I10419" s="16" t="s">
        <v>87</v>
      </c>
      <c r="J10419" s="19"/>
      <c r="L10419" s="16" t="str">
        <f>IFERROR(__xludf.DUMMYFUNCTION("""COMPUTED_VALUE"""),"")</f>
        <v/>
      </c>
      <c r="M10419" s="16" t="str">
        <f>IFERROR(__xludf.DUMMYFUNCTION("""COMPUTED_VALUE"""),"")</f>
        <v/>
      </c>
      <c r="U10419" s="16" t="s">
        <v>87</v>
      </c>
      <c r="V10419" s="16" t="str">
        <f>IFERROR(__xludf.DUMMYFUNCTION("""COMPUTED_VALUE"""),"")</f>
        <v/>
      </c>
      <c r="W10419" s="16" t="str">
        <f>IFERROR(__xludf.DUMMYFUNCTION("""COMPUTED_VALUE"""),"")</f>
        <v/>
      </c>
      <c r="X10419" s="16" t="str">
        <f>IFERROR(__xludf.DUMMYFUNCTION("""COMPUTED_VALUE"""),"")</f>
        <v/>
      </c>
      <c r="AC10419" s="16" t="str">
        <f>IFERROR(__xludf.DUMMYFUNCTION("""COMPUTED_VALUE"""),"")</f>
        <v/>
      </c>
    </row>
    <row r="10420">
      <c r="A10420" s="16" t="s">
        <v>87</v>
      </c>
      <c r="E10420" s="16" t="str">
        <f>IFERROR(__xludf.DUMMYFUNCTION("""COMPUTED_VALUE"""),"")</f>
        <v/>
      </c>
      <c r="G10420" s="18"/>
      <c r="H10420" s="16" t="s">
        <v>87</v>
      </c>
      <c r="I10420" s="16" t="s">
        <v>87</v>
      </c>
      <c r="J10420" s="19"/>
      <c r="L10420" s="16" t="str">
        <f>IFERROR(__xludf.DUMMYFUNCTION("""COMPUTED_VALUE"""),"")</f>
        <v/>
      </c>
      <c r="M10420" s="16" t="str">
        <f>IFERROR(__xludf.DUMMYFUNCTION("""COMPUTED_VALUE"""),"")</f>
        <v/>
      </c>
      <c r="U10420" s="16" t="s">
        <v>87</v>
      </c>
      <c r="V10420" s="16" t="str">
        <f>IFERROR(__xludf.DUMMYFUNCTION("""COMPUTED_VALUE"""),"")</f>
        <v/>
      </c>
      <c r="W10420" s="16" t="str">
        <f>IFERROR(__xludf.DUMMYFUNCTION("""COMPUTED_VALUE"""),"")</f>
        <v/>
      </c>
      <c r="X10420" s="16" t="str">
        <f>IFERROR(__xludf.DUMMYFUNCTION("""COMPUTED_VALUE"""),"")</f>
        <v/>
      </c>
      <c r="AC10420" s="16" t="str">
        <f>IFERROR(__xludf.DUMMYFUNCTION("""COMPUTED_VALUE"""),"")</f>
        <v/>
      </c>
    </row>
    <row r="10421">
      <c r="A10421" s="16" t="s">
        <v>87</v>
      </c>
      <c r="E10421" s="16" t="str">
        <f>IFERROR(__xludf.DUMMYFUNCTION("""COMPUTED_VALUE"""),"")</f>
        <v/>
      </c>
      <c r="G10421" s="18"/>
      <c r="H10421" s="16" t="s">
        <v>87</v>
      </c>
      <c r="I10421" s="16" t="s">
        <v>87</v>
      </c>
      <c r="J10421" s="19"/>
      <c r="L10421" s="16" t="str">
        <f>IFERROR(__xludf.DUMMYFUNCTION("""COMPUTED_VALUE"""),"")</f>
        <v/>
      </c>
      <c r="M10421" s="16" t="str">
        <f>IFERROR(__xludf.DUMMYFUNCTION("""COMPUTED_VALUE"""),"")</f>
        <v/>
      </c>
      <c r="U10421" s="16" t="s">
        <v>87</v>
      </c>
      <c r="V10421" s="16" t="str">
        <f>IFERROR(__xludf.DUMMYFUNCTION("""COMPUTED_VALUE"""),"")</f>
        <v/>
      </c>
      <c r="W10421" s="16" t="str">
        <f>IFERROR(__xludf.DUMMYFUNCTION("""COMPUTED_VALUE"""),"")</f>
        <v/>
      </c>
      <c r="X10421" s="16" t="str">
        <f>IFERROR(__xludf.DUMMYFUNCTION("""COMPUTED_VALUE"""),"")</f>
        <v/>
      </c>
      <c r="AC10421" s="16" t="str">
        <f>IFERROR(__xludf.DUMMYFUNCTION("""COMPUTED_VALUE"""),"")</f>
        <v/>
      </c>
    </row>
    <row r="10422">
      <c r="A10422" s="16" t="s">
        <v>87</v>
      </c>
      <c r="E10422" s="16" t="str">
        <f>IFERROR(__xludf.DUMMYFUNCTION("""COMPUTED_VALUE"""),"")</f>
        <v/>
      </c>
      <c r="G10422" s="18"/>
      <c r="H10422" s="16" t="s">
        <v>87</v>
      </c>
      <c r="I10422" s="16" t="s">
        <v>87</v>
      </c>
      <c r="J10422" s="19"/>
      <c r="L10422" s="16" t="str">
        <f>IFERROR(__xludf.DUMMYFUNCTION("""COMPUTED_VALUE"""),"")</f>
        <v/>
      </c>
      <c r="M10422" s="16" t="str">
        <f>IFERROR(__xludf.DUMMYFUNCTION("""COMPUTED_VALUE"""),"")</f>
        <v/>
      </c>
      <c r="U10422" s="16" t="s">
        <v>87</v>
      </c>
      <c r="V10422" s="16" t="str">
        <f>IFERROR(__xludf.DUMMYFUNCTION("""COMPUTED_VALUE"""),"")</f>
        <v/>
      </c>
      <c r="W10422" s="16" t="str">
        <f>IFERROR(__xludf.DUMMYFUNCTION("""COMPUTED_VALUE"""),"")</f>
        <v/>
      </c>
      <c r="X10422" s="16" t="str">
        <f>IFERROR(__xludf.DUMMYFUNCTION("""COMPUTED_VALUE"""),"")</f>
        <v/>
      </c>
      <c r="AC10422" s="16" t="str">
        <f>IFERROR(__xludf.DUMMYFUNCTION("""COMPUTED_VALUE"""),"")</f>
        <v/>
      </c>
    </row>
    <row r="10423">
      <c r="A10423" s="16" t="s">
        <v>87</v>
      </c>
      <c r="E10423" s="16" t="str">
        <f>IFERROR(__xludf.DUMMYFUNCTION("""COMPUTED_VALUE"""),"")</f>
        <v/>
      </c>
      <c r="G10423" s="18"/>
      <c r="H10423" s="16" t="s">
        <v>87</v>
      </c>
      <c r="I10423" s="16" t="s">
        <v>87</v>
      </c>
      <c r="J10423" s="19"/>
      <c r="L10423" s="16" t="str">
        <f>IFERROR(__xludf.DUMMYFUNCTION("""COMPUTED_VALUE"""),"")</f>
        <v/>
      </c>
      <c r="M10423" s="16" t="str">
        <f>IFERROR(__xludf.DUMMYFUNCTION("""COMPUTED_VALUE"""),"")</f>
        <v/>
      </c>
      <c r="U10423" s="16" t="s">
        <v>87</v>
      </c>
      <c r="V10423" s="16" t="str">
        <f>IFERROR(__xludf.DUMMYFUNCTION("""COMPUTED_VALUE"""),"")</f>
        <v/>
      </c>
      <c r="W10423" s="16" t="str">
        <f>IFERROR(__xludf.DUMMYFUNCTION("""COMPUTED_VALUE"""),"")</f>
        <v/>
      </c>
      <c r="X10423" s="16" t="str">
        <f>IFERROR(__xludf.DUMMYFUNCTION("""COMPUTED_VALUE"""),"")</f>
        <v/>
      </c>
      <c r="AC10423" s="16" t="str">
        <f>IFERROR(__xludf.DUMMYFUNCTION("""COMPUTED_VALUE"""),"")</f>
        <v/>
      </c>
    </row>
    <row r="10424">
      <c r="A10424" s="16" t="s">
        <v>87</v>
      </c>
      <c r="E10424" s="16" t="str">
        <f>IFERROR(__xludf.DUMMYFUNCTION("""COMPUTED_VALUE"""),"")</f>
        <v/>
      </c>
      <c r="G10424" s="18"/>
      <c r="H10424" s="16" t="s">
        <v>87</v>
      </c>
      <c r="I10424" s="16" t="s">
        <v>87</v>
      </c>
      <c r="J10424" s="19"/>
      <c r="L10424" s="16" t="str">
        <f>IFERROR(__xludf.DUMMYFUNCTION("""COMPUTED_VALUE"""),"")</f>
        <v/>
      </c>
      <c r="M10424" s="16" t="str">
        <f>IFERROR(__xludf.DUMMYFUNCTION("""COMPUTED_VALUE"""),"")</f>
        <v/>
      </c>
      <c r="U10424" s="16" t="s">
        <v>87</v>
      </c>
      <c r="V10424" s="16" t="str">
        <f>IFERROR(__xludf.DUMMYFUNCTION("""COMPUTED_VALUE"""),"")</f>
        <v/>
      </c>
      <c r="W10424" s="16" t="str">
        <f>IFERROR(__xludf.DUMMYFUNCTION("""COMPUTED_VALUE"""),"")</f>
        <v/>
      </c>
      <c r="X10424" s="16" t="str">
        <f>IFERROR(__xludf.DUMMYFUNCTION("""COMPUTED_VALUE"""),"")</f>
        <v/>
      </c>
      <c r="AC10424" s="16" t="str">
        <f>IFERROR(__xludf.DUMMYFUNCTION("""COMPUTED_VALUE"""),"")</f>
        <v/>
      </c>
    </row>
    <row r="10425">
      <c r="A10425" s="16" t="s">
        <v>87</v>
      </c>
      <c r="E10425" s="16" t="str">
        <f>IFERROR(__xludf.DUMMYFUNCTION("""COMPUTED_VALUE"""),"")</f>
        <v/>
      </c>
      <c r="G10425" s="18"/>
      <c r="H10425" s="16" t="s">
        <v>87</v>
      </c>
      <c r="I10425" s="16" t="s">
        <v>87</v>
      </c>
      <c r="J10425" s="19"/>
      <c r="L10425" s="16" t="str">
        <f>IFERROR(__xludf.DUMMYFUNCTION("""COMPUTED_VALUE"""),"")</f>
        <v/>
      </c>
      <c r="M10425" s="16" t="str">
        <f>IFERROR(__xludf.DUMMYFUNCTION("""COMPUTED_VALUE"""),"")</f>
        <v/>
      </c>
      <c r="U10425" s="16" t="s">
        <v>87</v>
      </c>
      <c r="V10425" s="16" t="str">
        <f>IFERROR(__xludf.DUMMYFUNCTION("""COMPUTED_VALUE"""),"")</f>
        <v/>
      </c>
      <c r="W10425" s="16" t="str">
        <f>IFERROR(__xludf.DUMMYFUNCTION("""COMPUTED_VALUE"""),"")</f>
        <v/>
      </c>
      <c r="X10425" s="16" t="str">
        <f>IFERROR(__xludf.DUMMYFUNCTION("""COMPUTED_VALUE"""),"")</f>
        <v/>
      </c>
      <c r="AC10425" s="16" t="str">
        <f>IFERROR(__xludf.DUMMYFUNCTION("""COMPUTED_VALUE"""),"")</f>
        <v/>
      </c>
    </row>
    <row r="10426">
      <c r="A10426" s="16" t="s">
        <v>87</v>
      </c>
      <c r="E10426" s="16" t="str">
        <f>IFERROR(__xludf.DUMMYFUNCTION("""COMPUTED_VALUE"""),"")</f>
        <v/>
      </c>
      <c r="G10426" s="18"/>
      <c r="H10426" s="16" t="s">
        <v>87</v>
      </c>
      <c r="I10426" s="16" t="s">
        <v>87</v>
      </c>
      <c r="J10426" s="19"/>
      <c r="L10426" s="16" t="str">
        <f>IFERROR(__xludf.DUMMYFUNCTION("""COMPUTED_VALUE"""),"")</f>
        <v/>
      </c>
      <c r="M10426" s="16" t="str">
        <f>IFERROR(__xludf.DUMMYFUNCTION("""COMPUTED_VALUE"""),"")</f>
        <v/>
      </c>
      <c r="U10426" s="16" t="s">
        <v>87</v>
      </c>
      <c r="V10426" s="16" t="str">
        <f>IFERROR(__xludf.DUMMYFUNCTION("""COMPUTED_VALUE"""),"")</f>
        <v/>
      </c>
      <c r="W10426" s="16" t="str">
        <f>IFERROR(__xludf.DUMMYFUNCTION("""COMPUTED_VALUE"""),"")</f>
        <v/>
      </c>
      <c r="X10426" s="16" t="str">
        <f>IFERROR(__xludf.DUMMYFUNCTION("""COMPUTED_VALUE"""),"")</f>
        <v/>
      </c>
      <c r="AC10426" s="16" t="str">
        <f>IFERROR(__xludf.DUMMYFUNCTION("""COMPUTED_VALUE"""),"")</f>
        <v/>
      </c>
    </row>
    <row r="10427">
      <c r="A10427" s="16" t="s">
        <v>87</v>
      </c>
      <c r="E10427" s="16" t="str">
        <f>IFERROR(__xludf.DUMMYFUNCTION("""COMPUTED_VALUE"""),"")</f>
        <v/>
      </c>
      <c r="G10427" s="18"/>
      <c r="H10427" s="16" t="s">
        <v>87</v>
      </c>
      <c r="I10427" s="16" t="s">
        <v>87</v>
      </c>
      <c r="J10427" s="19"/>
      <c r="L10427" s="16" t="str">
        <f>IFERROR(__xludf.DUMMYFUNCTION("""COMPUTED_VALUE"""),"")</f>
        <v/>
      </c>
      <c r="M10427" s="16" t="str">
        <f>IFERROR(__xludf.DUMMYFUNCTION("""COMPUTED_VALUE"""),"")</f>
        <v/>
      </c>
      <c r="U10427" s="16" t="s">
        <v>87</v>
      </c>
      <c r="V10427" s="16" t="str">
        <f>IFERROR(__xludf.DUMMYFUNCTION("""COMPUTED_VALUE"""),"")</f>
        <v/>
      </c>
      <c r="W10427" s="16" t="str">
        <f>IFERROR(__xludf.DUMMYFUNCTION("""COMPUTED_VALUE"""),"")</f>
        <v/>
      </c>
      <c r="X10427" s="16" t="str">
        <f>IFERROR(__xludf.DUMMYFUNCTION("""COMPUTED_VALUE"""),"")</f>
        <v/>
      </c>
      <c r="AC10427" s="16" t="str">
        <f>IFERROR(__xludf.DUMMYFUNCTION("""COMPUTED_VALUE"""),"")</f>
        <v/>
      </c>
    </row>
    <row r="10428">
      <c r="A10428" s="16" t="s">
        <v>87</v>
      </c>
      <c r="E10428" s="16" t="str">
        <f>IFERROR(__xludf.DUMMYFUNCTION("""COMPUTED_VALUE"""),"")</f>
        <v/>
      </c>
      <c r="G10428" s="18"/>
      <c r="H10428" s="16" t="s">
        <v>87</v>
      </c>
      <c r="I10428" s="16" t="s">
        <v>87</v>
      </c>
      <c r="J10428" s="19"/>
      <c r="L10428" s="16" t="str">
        <f>IFERROR(__xludf.DUMMYFUNCTION("""COMPUTED_VALUE"""),"")</f>
        <v/>
      </c>
      <c r="M10428" s="16" t="str">
        <f>IFERROR(__xludf.DUMMYFUNCTION("""COMPUTED_VALUE"""),"")</f>
        <v/>
      </c>
      <c r="U10428" s="16" t="s">
        <v>87</v>
      </c>
      <c r="V10428" s="16" t="str">
        <f>IFERROR(__xludf.DUMMYFUNCTION("""COMPUTED_VALUE"""),"")</f>
        <v/>
      </c>
      <c r="W10428" s="16" t="str">
        <f>IFERROR(__xludf.DUMMYFUNCTION("""COMPUTED_VALUE"""),"")</f>
        <v/>
      </c>
      <c r="X10428" s="16" t="str">
        <f>IFERROR(__xludf.DUMMYFUNCTION("""COMPUTED_VALUE"""),"")</f>
        <v/>
      </c>
      <c r="AC10428" s="16" t="str">
        <f>IFERROR(__xludf.DUMMYFUNCTION("""COMPUTED_VALUE"""),"")</f>
        <v/>
      </c>
    </row>
    <row r="10429">
      <c r="A10429" s="16" t="s">
        <v>87</v>
      </c>
      <c r="E10429" s="16" t="str">
        <f>IFERROR(__xludf.DUMMYFUNCTION("""COMPUTED_VALUE"""),"")</f>
        <v/>
      </c>
      <c r="G10429" s="18"/>
      <c r="H10429" s="16" t="s">
        <v>87</v>
      </c>
      <c r="I10429" s="16" t="s">
        <v>87</v>
      </c>
      <c r="J10429" s="19"/>
      <c r="L10429" s="16" t="str">
        <f>IFERROR(__xludf.DUMMYFUNCTION("""COMPUTED_VALUE"""),"")</f>
        <v/>
      </c>
      <c r="M10429" s="16" t="str">
        <f>IFERROR(__xludf.DUMMYFUNCTION("""COMPUTED_VALUE"""),"")</f>
        <v/>
      </c>
      <c r="U10429" s="16" t="s">
        <v>87</v>
      </c>
      <c r="V10429" s="16" t="str">
        <f>IFERROR(__xludf.DUMMYFUNCTION("""COMPUTED_VALUE"""),"")</f>
        <v/>
      </c>
      <c r="W10429" s="16" t="str">
        <f>IFERROR(__xludf.DUMMYFUNCTION("""COMPUTED_VALUE"""),"")</f>
        <v/>
      </c>
      <c r="X10429" s="16" t="str">
        <f>IFERROR(__xludf.DUMMYFUNCTION("""COMPUTED_VALUE"""),"")</f>
        <v/>
      </c>
      <c r="AC10429" s="16" t="str">
        <f>IFERROR(__xludf.DUMMYFUNCTION("""COMPUTED_VALUE"""),"")</f>
        <v/>
      </c>
    </row>
    <row r="10430">
      <c r="A10430" s="16" t="s">
        <v>87</v>
      </c>
      <c r="E10430" s="16" t="str">
        <f>IFERROR(__xludf.DUMMYFUNCTION("""COMPUTED_VALUE"""),"")</f>
        <v/>
      </c>
      <c r="G10430" s="18"/>
      <c r="H10430" s="16" t="s">
        <v>87</v>
      </c>
      <c r="I10430" s="16" t="s">
        <v>87</v>
      </c>
      <c r="J10430" s="19"/>
      <c r="L10430" s="16" t="str">
        <f>IFERROR(__xludf.DUMMYFUNCTION("""COMPUTED_VALUE"""),"")</f>
        <v/>
      </c>
      <c r="M10430" s="16" t="str">
        <f>IFERROR(__xludf.DUMMYFUNCTION("""COMPUTED_VALUE"""),"")</f>
        <v/>
      </c>
      <c r="U10430" s="16" t="s">
        <v>87</v>
      </c>
      <c r="V10430" s="16" t="str">
        <f>IFERROR(__xludf.DUMMYFUNCTION("""COMPUTED_VALUE"""),"")</f>
        <v/>
      </c>
      <c r="W10430" s="16" t="str">
        <f>IFERROR(__xludf.DUMMYFUNCTION("""COMPUTED_VALUE"""),"")</f>
        <v/>
      </c>
      <c r="X10430" s="16" t="str">
        <f>IFERROR(__xludf.DUMMYFUNCTION("""COMPUTED_VALUE"""),"")</f>
        <v/>
      </c>
      <c r="AC10430" s="16" t="str">
        <f>IFERROR(__xludf.DUMMYFUNCTION("""COMPUTED_VALUE"""),"")</f>
        <v/>
      </c>
    </row>
    <row r="10431">
      <c r="A10431" s="16" t="s">
        <v>87</v>
      </c>
      <c r="E10431" s="16" t="str">
        <f>IFERROR(__xludf.DUMMYFUNCTION("""COMPUTED_VALUE"""),"")</f>
        <v/>
      </c>
      <c r="G10431" s="18"/>
      <c r="H10431" s="16" t="s">
        <v>87</v>
      </c>
      <c r="I10431" s="16" t="s">
        <v>87</v>
      </c>
      <c r="J10431" s="19"/>
      <c r="L10431" s="16" t="str">
        <f>IFERROR(__xludf.DUMMYFUNCTION("""COMPUTED_VALUE"""),"")</f>
        <v/>
      </c>
      <c r="M10431" s="16" t="str">
        <f>IFERROR(__xludf.DUMMYFUNCTION("""COMPUTED_VALUE"""),"")</f>
        <v/>
      </c>
      <c r="U10431" s="16" t="s">
        <v>87</v>
      </c>
      <c r="V10431" s="16" t="str">
        <f>IFERROR(__xludf.DUMMYFUNCTION("""COMPUTED_VALUE"""),"")</f>
        <v/>
      </c>
      <c r="W10431" s="16" t="str">
        <f>IFERROR(__xludf.DUMMYFUNCTION("""COMPUTED_VALUE"""),"")</f>
        <v/>
      </c>
      <c r="X10431" s="16" t="str">
        <f>IFERROR(__xludf.DUMMYFUNCTION("""COMPUTED_VALUE"""),"")</f>
        <v/>
      </c>
      <c r="AC10431" s="16" t="str">
        <f>IFERROR(__xludf.DUMMYFUNCTION("""COMPUTED_VALUE"""),"")</f>
        <v/>
      </c>
    </row>
    <row r="10432">
      <c r="A10432" s="16" t="s">
        <v>87</v>
      </c>
      <c r="E10432" s="16" t="str">
        <f>IFERROR(__xludf.DUMMYFUNCTION("""COMPUTED_VALUE"""),"")</f>
        <v/>
      </c>
      <c r="G10432" s="18"/>
      <c r="H10432" s="16" t="s">
        <v>87</v>
      </c>
      <c r="I10432" s="16" t="s">
        <v>87</v>
      </c>
      <c r="J10432" s="19"/>
      <c r="L10432" s="16" t="str">
        <f>IFERROR(__xludf.DUMMYFUNCTION("""COMPUTED_VALUE"""),"")</f>
        <v/>
      </c>
      <c r="M10432" s="16" t="str">
        <f>IFERROR(__xludf.DUMMYFUNCTION("""COMPUTED_VALUE"""),"")</f>
        <v/>
      </c>
      <c r="U10432" s="16" t="s">
        <v>87</v>
      </c>
      <c r="V10432" s="16" t="str">
        <f>IFERROR(__xludf.DUMMYFUNCTION("""COMPUTED_VALUE"""),"")</f>
        <v/>
      </c>
      <c r="W10432" s="16" t="str">
        <f>IFERROR(__xludf.DUMMYFUNCTION("""COMPUTED_VALUE"""),"")</f>
        <v/>
      </c>
      <c r="X10432" s="16" t="str">
        <f>IFERROR(__xludf.DUMMYFUNCTION("""COMPUTED_VALUE"""),"")</f>
        <v/>
      </c>
      <c r="AC10432" s="16" t="str">
        <f>IFERROR(__xludf.DUMMYFUNCTION("""COMPUTED_VALUE"""),"")</f>
        <v/>
      </c>
    </row>
    <row r="10433">
      <c r="A10433" s="16" t="s">
        <v>87</v>
      </c>
      <c r="E10433" s="16" t="str">
        <f>IFERROR(__xludf.DUMMYFUNCTION("""COMPUTED_VALUE"""),"")</f>
        <v/>
      </c>
      <c r="G10433" s="18"/>
      <c r="H10433" s="16" t="s">
        <v>87</v>
      </c>
      <c r="I10433" s="16" t="s">
        <v>87</v>
      </c>
      <c r="J10433" s="19"/>
      <c r="L10433" s="16" t="str">
        <f>IFERROR(__xludf.DUMMYFUNCTION("""COMPUTED_VALUE"""),"")</f>
        <v/>
      </c>
      <c r="M10433" s="16" t="str">
        <f>IFERROR(__xludf.DUMMYFUNCTION("""COMPUTED_VALUE"""),"")</f>
        <v/>
      </c>
      <c r="U10433" s="16" t="s">
        <v>87</v>
      </c>
      <c r="V10433" s="16" t="str">
        <f>IFERROR(__xludf.DUMMYFUNCTION("""COMPUTED_VALUE"""),"")</f>
        <v/>
      </c>
      <c r="W10433" s="16" t="str">
        <f>IFERROR(__xludf.DUMMYFUNCTION("""COMPUTED_VALUE"""),"")</f>
        <v/>
      </c>
      <c r="X10433" s="16" t="str">
        <f>IFERROR(__xludf.DUMMYFUNCTION("""COMPUTED_VALUE"""),"")</f>
        <v/>
      </c>
      <c r="AC10433" s="16" t="str">
        <f>IFERROR(__xludf.DUMMYFUNCTION("""COMPUTED_VALUE"""),"")</f>
        <v/>
      </c>
    </row>
    <row r="10434">
      <c r="A10434" s="16" t="s">
        <v>87</v>
      </c>
      <c r="E10434" s="16" t="str">
        <f>IFERROR(__xludf.DUMMYFUNCTION("""COMPUTED_VALUE"""),"")</f>
        <v/>
      </c>
      <c r="G10434" s="18"/>
      <c r="H10434" s="16" t="s">
        <v>87</v>
      </c>
      <c r="I10434" s="16" t="s">
        <v>87</v>
      </c>
      <c r="J10434" s="19"/>
      <c r="L10434" s="16" t="str">
        <f>IFERROR(__xludf.DUMMYFUNCTION("""COMPUTED_VALUE"""),"")</f>
        <v/>
      </c>
      <c r="M10434" s="16" t="str">
        <f>IFERROR(__xludf.DUMMYFUNCTION("""COMPUTED_VALUE"""),"")</f>
        <v/>
      </c>
      <c r="U10434" s="16" t="s">
        <v>87</v>
      </c>
      <c r="V10434" s="16" t="str">
        <f>IFERROR(__xludf.DUMMYFUNCTION("""COMPUTED_VALUE"""),"")</f>
        <v/>
      </c>
      <c r="W10434" s="16" t="str">
        <f>IFERROR(__xludf.DUMMYFUNCTION("""COMPUTED_VALUE"""),"")</f>
        <v/>
      </c>
      <c r="X10434" s="16" t="str">
        <f>IFERROR(__xludf.DUMMYFUNCTION("""COMPUTED_VALUE"""),"")</f>
        <v/>
      </c>
      <c r="AC10434" s="16" t="str">
        <f>IFERROR(__xludf.DUMMYFUNCTION("""COMPUTED_VALUE"""),"")</f>
        <v/>
      </c>
    </row>
    <row r="10435">
      <c r="A10435" s="16" t="s">
        <v>87</v>
      </c>
      <c r="E10435" s="16" t="str">
        <f>IFERROR(__xludf.DUMMYFUNCTION("""COMPUTED_VALUE"""),"")</f>
        <v/>
      </c>
      <c r="G10435" s="18"/>
      <c r="H10435" s="16" t="s">
        <v>87</v>
      </c>
      <c r="I10435" s="16" t="s">
        <v>87</v>
      </c>
      <c r="J10435" s="19"/>
      <c r="L10435" s="16" t="str">
        <f>IFERROR(__xludf.DUMMYFUNCTION("""COMPUTED_VALUE"""),"")</f>
        <v/>
      </c>
      <c r="M10435" s="16" t="str">
        <f>IFERROR(__xludf.DUMMYFUNCTION("""COMPUTED_VALUE"""),"")</f>
        <v/>
      </c>
      <c r="U10435" s="16" t="s">
        <v>87</v>
      </c>
      <c r="V10435" s="16" t="str">
        <f>IFERROR(__xludf.DUMMYFUNCTION("""COMPUTED_VALUE"""),"")</f>
        <v/>
      </c>
      <c r="W10435" s="16" t="str">
        <f>IFERROR(__xludf.DUMMYFUNCTION("""COMPUTED_VALUE"""),"")</f>
        <v/>
      </c>
      <c r="X10435" s="16" t="str">
        <f>IFERROR(__xludf.DUMMYFUNCTION("""COMPUTED_VALUE"""),"")</f>
        <v/>
      </c>
      <c r="AC10435" s="16" t="str">
        <f>IFERROR(__xludf.DUMMYFUNCTION("""COMPUTED_VALUE"""),"")</f>
        <v/>
      </c>
    </row>
    <row r="10436">
      <c r="A10436" s="16" t="s">
        <v>87</v>
      </c>
      <c r="E10436" s="16" t="str">
        <f>IFERROR(__xludf.DUMMYFUNCTION("""COMPUTED_VALUE"""),"")</f>
        <v/>
      </c>
      <c r="G10436" s="18"/>
      <c r="H10436" s="16" t="s">
        <v>87</v>
      </c>
      <c r="I10436" s="16" t="s">
        <v>87</v>
      </c>
      <c r="J10436" s="19"/>
      <c r="L10436" s="16" t="str">
        <f>IFERROR(__xludf.DUMMYFUNCTION("""COMPUTED_VALUE"""),"")</f>
        <v/>
      </c>
      <c r="M10436" s="16" t="str">
        <f>IFERROR(__xludf.DUMMYFUNCTION("""COMPUTED_VALUE"""),"")</f>
        <v/>
      </c>
      <c r="U10436" s="16" t="s">
        <v>87</v>
      </c>
      <c r="V10436" s="16" t="str">
        <f>IFERROR(__xludf.DUMMYFUNCTION("""COMPUTED_VALUE"""),"")</f>
        <v/>
      </c>
      <c r="W10436" s="16" t="str">
        <f>IFERROR(__xludf.DUMMYFUNCTION("""COMPUTED_VALUE"""),"")</f>
        <v/>
      </c>
      <c r="X10436" s="16" t="str">
        <f>IFERROR(__xludf.DUMMYFUNCTION("""COMPUTED_VALUE"""),"")</f>
        <v/>
      </c>
      <c r="AC10436" s="16" t="str">
        <f>IFERROR(__xludf.DUMMYFUNCTION("""COMPUTED_VALUE"""),"")</f>
        <v/>
      </c>
    </row>
    <row r="10437">
      <c r="A10437" s="16" t="s">
        <v>87</v>
      </c>
      <c r="E10437" s="16" t="str">
        <f>IFERROR(__xludf.DUMMYFUNCTION("""COMPUTED_VALUE"""),"")</f>
        <v/>
      </c>
      <c r="G10437" s="18"/>
      <c r="H10437" s="16" t="s">
        <v>87</v>
      </c>
      <c r="I10437" s="16" t="s">
        <v>87</v>
      </c>
      <c r="J10437" s="19"/>
      <c r="L10437" s="16" t="str">
        <f>IFERROR(__xludf.DUMMYFUNCTION("""COMPUTED_VALUE"""),"")</f>
        <v/>
      </c>
      <c r="M10437" s="16" t="str">
        <f>IFERROR(__xludf.DUMMYFUNCTION("""COMPUTED_VALUE"""),"")</f>
        <v/>
      </c>
      <c r="U10437" s="16" t="s">
        <v>87</v>
      </c>
      <c r="V10437" s="16" t="str">
        <f>IFERROR(__xludf.DUMMYFUNCTION("""COMPUTED_VALUE"""),"")</f>
        <v/>
      </c>
      <c r="W10437" s="16" t="str">
        <f>IFERROR(__xludf.DUMMYFUNCTION("""COMPUTED_VALUE"""),"")</f>
        <v/>
      </c>
      <c r="X10437" s="16" t="str">
        <f>IFERROR(__xludf.DUMMYFUNCTION("""COMPUTED_VALUE"""),"")</f>
        <v/>
      </c>
      <c r="AC10437" s="16" t="str">
        <f>IFERROR(__xludf.DUMMYFUNCTION("""COMPUTED_VALUE"""),"")</f>
        <v/>
      </c>
    </row>
    <row r="10438">
      <c r="A10438" s="16" t="s">
        <v>87</v>
      </c>
      <c r="E10438" s="16" t="str">
        <f>IFERROR(__xludf.DUMMYFUNCTION("""COMPUTED_VALUE"""),"")</f>
        <v/>
      </c>
      <c r="G10438" s="18"/>
      <c r="H10438" s="16" t="s">
        <v>87</v>
      </c>
      <c r="I10438" s="16" t="s">
        <v>87</v>
      </c>
      <c r="J10438" s="19"/>
      <c r="L10438" s="16" t="str">
        <f>IFERROR(__xludf.DUMMYFUNCTION("""COMPUTED_VALUE"""),"")</f>
        <v/>
      </c>
      <c r="M10438" s="16" t="str">
        <f>IFERROR(__xludf.DUMMYFUNCTION("""COMPUTED_VALUE"""),"")</f>
        <v/>
      </c>
      <c r="U10438" s="16" t="s">
        <v>87</v>
      </c>
      <c r="V10438" s="16" t="str">
        <f>IFERROR(__xludf.DUMMYFUNCTION("""COMPUTED_VALUE"""),"")</f>
        <v/>
      </c>
      <c r="W10438" s="16" t="str">
        <f>IFERROR(__xludf.DUMMYFUNCTION("""COMPUTED_VALUE"""),"")</f>
        <v/>
      </c>
      <c r="X10438" s="16" t="str">
        <f>IFERROR(__xludf.DUMMYFUNCTION("""COMPUTED_VALUE"""),"")</f>
        <v/>
      </c>
      <c r="AC10438" s="16" t="str">
        <f>IFERROR(__xludf.DUMMYFUNCTION("""COMPUTED_VALUE"""),"")</f>
        <v/>
      </c>
    </row>
    <row r="10439">
      <c r="A10439" s="16" t="s">
        <v>87</v>
      </c>
      <c r="E10439" s="16" t="str">
        <f>IFERROR(__xludf.DUMMYFUNCTION("""COMPUTED_VALUE"""),"")</f>
        <v/>
      </c>
      <c r="G10439" s="18"/>
      <c r="H10439" s="16" t="s">
        <v>87</v>
      </c>
      <c r="I10439" s="16" t="s">
        <v>87</v>
      </c>
      <c r="J10439" s="19"/>
      <c r="L10439" s="16" t="str">
        <f>IFERROR(__xludf.DUMMYFUNCTION("""COMPUTED_VALUE"""),"")</f>
        <v/>
      </c>
      <c r="M10439" s="16" t="str">
        <f>IFERROR(__xludf.DUMMYFUNCTION("""COMPUTED_VALUE"""),"")</f>
        <v/>
      </c>
      <c r="U10439" s="16" t="s">
        <v>87</v>
      </c>
      <c r="V10439" s="16" t="str">
        <f>IFERROR(__xludf.DUMMYFUNCTION("""COMPUTED_VALUE"""),"")</f>
        <v/>
      </c>
      <c r="W10439" s="16" t="str">
        <f>IFERROR(__xludf.DUMMYFUNCTION("""COMPUTED_VALUE"""),"")</f>
        <v/>
      </c>
      <c r="X10439" s="16" t="str">
        <f>IFERROR(__xludf.DUMMYFUNCTION("""COMPUTED_VALUE"""),"")</f>
        <v/>
      </c>
      <c r="AC10439" s="16" t="str">
        <f>IFERROR(__xludf.DUMMYFUNCTION("""COMPUTED_VALUE"""),"")</f>
        <v/>
      </c>
    </row>
    <row r="10440">
      <c r="A10440" s="16" t="s">
        <v>87</v>
      </c>
      <c r="E10440" s="16" t="str">
        <f>IFERROR(__xludf.DUMMYFUNCTION("""COMPUTED_VALUE"""),"")</f>
        <v/>
      </c>
      <c r="G10440" s="18"/>
      <c r="H10440" s="16" t="s">
        <v>87</v>
      </c>
      <c r="I10440" s="16" t="s">
        <v>87</v>
      </c>
      <c r="J10440" s="19"/>
      <c r="L10440" s="16" t="str">
        <f>IFERROR(__xludf.DUMMYFUNCTION("""COMPUTED_VALUE"""),"")</f>
        <v/>
      </c>
      <c r="M10440" s="16" t="str">
        <f>IFERROR(__xludf.DUMMYFUNCTION("""COMPUTED_VALUE"""),"")</f>
        <v/>
      </c>
      <c r="U10440" s="16" t="s">
        <v>87</v>
      </c>
      <c r="V10440" s="16" t="str">
        <f>IFERROR(__xludf.DUMMYFUNCTION("""COMPUTED_VALUE"""),"")</f>
        <v/>
      </c>
      <c r="W10440" s="16" t="str">
        <f>IFERROR(__xludf.DUMMYFUNCTION("""COMPUTED_VALUE"""),"")</f>
        <v/>
      </c>
      <c r="X10440" s="16" t="str">
        <f>IFERROR(__xludf.DUMMYFUNCTION("""COMPUTED_VALUE"""),"")</f>
        <v/>
      </c>
      <c r="AC10440" s="16" t="str">
        <f>IFERROR(__xludf.DUMMYFUNCTION("""COMPUTED_VALUE"""),"")</f>
        <v/>
      </c>
    </row>
    <row r="10441">
      <c r="A10441" s="16" t="s">
        <v>87</v>
      </c>
      <c r="E10441" s="16" t="str">
        <f>IFERROR(__xludf.DUMMYFUNCTION("""COMPUTED_VALUE"""),"")</f>
        <v/>
      </c>
      <c r="G10441" s="18"/>
      <c r="H10441" s="16" t="s">
        <v>87</v>
      </c>
      <c r="I10441" s="16" t="s">
        <v>87</v>
      </c>
      <c r="J10441" s="19"/>
      <c r="L10441" s="16" t="str">
        <f>IFERROR(__xludf.DUMMYFUNCTION("""COMPUTED_VALUE"""),"")</f>
        <v/>
      </c>
      <c r="M10441" s="16" t="str">
        <f>IFERROR(__xludf.DUMMYFUNCTION("""COMPUTED_VALUE"""),"")</f>
        <v/>
      </c>
      <c r="U10441" s="16" t="s">
        <v>87</v>
      </c>
      <c r="V10441" s="16" t="str">
        <f>IFERROR(__xludf.DUMMYFUNCTION("""COMPUTED_VALUE"""),"")</f>
        <v/>
      </c>
      <c r="W10441" s="16" t="str">
        <f>IFERROR(__xludf.DUMMYFUNCTION("""COMPUTED_VALUE"""),"")</f>
        <v/>
      </c>
      <c r="X10441" s="16" t="str">
        <f>IFERROR(__xludf.DUMMYFUNCTION("""COMPUTED_VALUE"""),"")</f>
        <v/>
      </c>
      <c r="AC10441" s="16" t="str">
        <f>IFERROR(__xludf.DUMMYFUNCTION("""COMPUTED_VALUE"""),"")</f>
        <v/>
      </c>
    </row>
    <row r="10442">
      <c r="A10442" s="16" t="s">
        <v>87</v>
      </c>
      <c r="E10442" s="16" t="str">
        <f>IFERROR(__xludf.DUMMYFUNCTION("""COMPUTED_VALUE"""),"")</f>
        <v/>
      </c>
      <c r="G10442" s="18"/>
      <c r="H10442" s="16" t="s">
        <v>87</v>
      </c>
      <c r="I10442" s="16" t="s">
        <v>87</v>
      </c>
      <c r="J10442" s="19"/>
      <c r="L10442" s="16" t="str">
        <f>IFERROR(__xludf.DUMMYFUNCTION("""COMPUTED_VALUE"""),"")</f>
        <v/>
      </c>
      <c r="M10442" s="16" t="str">
        <f>IFERROR(__xludf.DUMMYFUNCTION("""COMPUTED_VALUE"""),"")</f>
        <v/>
      </c>
      <c r="U10442" s="16" t="s">
        <v>87</v>
      </c>
      <c r="V10442" s="16" t="str">
        <f>IFERROR(__xludf.DUMMYFUNCTION("""COMPUTED_VALUE"""),"")</f>
        <v/>
      </c>
      <c r="W10442" s="16" t="str">
        <f>IFERROR(__xludf.DUMMYFUNCTION("""COMPUTED_VALUE"""),"")</f>
        <v/>
      </c>
      <c r="X10442" s="16" t="str">
        <f>IFERROR(__xludf.DUMMYFUNCTION("""COMPUTED_VALUE"""),"")</f>
        <v/>
      </c>
      <c r="AC10442" s="16" t="str">
        <f>IFERROR(__xludf.DUMMYFUNCTION("""COMPUTED_VALUE"""),"")</f>
        <v/>
      </c>
    </row>
    <row r="10443">
      <c r="A10443" s="16" t="s">
        <v>87</v>
      </c>
      <c r="E10443" s="16" t="str">
        <f>IFERROR(__xludf.DUMMYFUNCTION("""COMPUTED_VALUE"""),"")</f>
        <v/>
      </c>
      <c r="G10443" s="18"/>
      <c r="H10443" s="16" t="s">
        <v>87</v>
      </c>
      <c r="I10443" s="16" t="s">
        <v>87</v>
      </c>
      <c r="J10443" s="19"/>
      <c r="L10443" s="16" t="str">
        <f>IFERROR(__xludf.DUMMYFUNCTION("""COMPUTED_VALUE"""),"")</f>
        <v/>
      </c>
      <c r="M10443" s="16" t="str">
        <f>IFERROR(__xludf.DUMMYFUNCTION("""COMPUTED_VALUE"""),"")</f>
        <v/>
      </c>
      <c r="U10443" s="16" t="s">
        <v>87</v>
      </c>
      <c r="V10443" s="16" t="str">
        <f>IFERROR(__xludf.DUMMYFUNCTION("""COMPUTED_VALUE"""),"")</f>
        <v/>
      </c>
      <c r="W10443" s="16" t="str">
        <f>IFERROR(__xludf.DUMMYFUNCTION("""COMPUTED_VALUE"""),"")</f>
        <v/>
      </c>
      <c r="X10443" s="16" t="str">
        <f>IFERROR(__xludf.DUMMYFUNCTION("""COMPUTED_VALUE"""),"")</f>
        <v/>
      </c>
      <c r="AC10443" s="16" t="str">
        <f>IFERROR(__xludf.DUMMYFUNCTION("""COMPUTED_VALUE"""),"")</f>
        <v/>
      </c>
    </row>
    <row r="10444">
      <c r="A10444" s="16" t="s">
        <v>87</v>
      </c>
      <c r="E10444" s="16" t="str">
        <f>IFERROR(__xludf.DUMMYFUNCTION("""COMPUTED_VALUE"""),"")</f>
        <v/>
      </c>
      <c r="G10444" s="18"/>
      <c r="H10444" s="16" t="s">
        <v>87</v>
      </c>
      <c r="I10444" s="16" t="s">
        <v>87</v>
      </c>
      <c r="J10444" s="19"/>
      <c r="L10444" s="16" t="str">
        <f>IFERROR(__xludf.DUMMYFUNCTION("""COMPUTED_VALUE"""),"")</f>
        <v/>
      </c>
      <c r="M10444" s="16" t="str">
        <f>IFERROR(__xludf.DUMMYFUNCTION("""COMPUTED_VALUE"""),"")</f>
        <v/>
      </c>
      <c r="U10444" s="16" t="s">
        <v>87</v>
      </c>
      <c r="V10444" s="16" t="str">
        <f>IFERROR(__xludf.DUMMYFUNCTION("""COMPUTED_VALUE"""),"")</f>
        <v/>
      </c>
      <c r="W10444" s="16" t="str">
        <f>IFERROR(__xludf.DUMMYFUNCTION("""COMPUTED_VALUE"""),"")</f>
        <v/>
      </c>
      <c r="X10444" s="16" t="str">
        <f>IFERROR(__xludf.DUMMYFUNCTION("""COMPUTED_VALUE"""),"")</f>
        <v/>
      </c>
      <c r="AC10444" s="16" t="str">
        <f>IFERROR(__xludf.DUMMYFUNCTION("""COMPUTED_VALUE"""),"")</f>
        <v/>
      </c>
    </row>
    <row r="10445">
      <c r="A10445" s="16" t="s">
        <v>87</v>
      </c>
      <c r="E10445" s="16" t="str">
        <f>IFERROR(__xludf.DUMMYFUNCTION("""COMPUTED_VALUE"""),"")</f>
        <v/>
      </c>
      <c r="G10445" s="18"/>
      <c r="H10445" s="16" t="s">
        <v>87</v>
      </c>
      <c r="I10445" s="16" t="s">
        <v>87</v>
      </c>
      <c r="J10445" s="19"/>
      <c r="L10445" s="16" t="str">
        <f>IFERROR(__xludf.DUMMYFUNCTION("""COMPUTED_VALUE"""),"")</f>
        <v/>
      </c>
      <c r="M10445" s="16" t="str">
        <f>IFERROR(__xludf.DUMMYFUNCTION("""COMPUTED_VALUE"""),"")</f>
        <v/>
      </c>
      <c r="U10445" s="16" t="s">
        <v>87</v>
      </c>
      <c r="V10445" s="16" t="str">
        <f>IFERROR(__xludf.DUMMYFUNCTION("""COMPUTED_VALUE"""),"")</f>
        <v/>
      </c>
      <c r="W10445" s="16" t="str">
        <f>IFERROR(__xludf.DUMMYFUNCTION("""COMPUTED_VALUE"""),"")</f>
        <v/>
      </c>
      <c r="X10445" s="16" t="str">
        <f>IFERROR(__xludf.DUMMYFUNCTION("""COMPUTED_VALUE"""),"")</f>
        <v/>
      </c>
      <c r="AC10445" s="16" t="str">
        <f>IFERROR(__xludf.DUMMYFUNCTION("""COMPUTED_VALUE"""),"")</f>
        <v/>
      </c>
    </row>
    <row r="10446">
      <c r="A10446" s="16" t="s">
        <v>87</v>
      </c>
      <c r="E10446" s="16" t="str">
        <f>IFERROR(__xludf.DUMMYFUNCTION("""COMPUTED_VALUE"""),"")</f>
        <v/>
      </c>
      <c r="G10446" s="18"/>
      <c r="H10446" s="16" t="s">
        <v>87</v>
      </c>
      <c r="I10446" s="16" t="s">
        <v>87</v>
      </c>
      <c r="J10446" s="19"/>
      <c r="L10446" s="16" t="str">
        <f>IFERROR(__xludf.DUMMYFUNCTION("""COMPUTED_VALUE"""),"")</f>
        <v/>
      </c>
      <c r="M10446" s="16" t="str">
        <f>IFERROR(__xludf.DUMMYFUNCTION("""COMPUTED_VALUE"""),"")</f>
        <v/>
      </c>
      <c r="U10446" s="16" t="s">
        <v>87</v>
      </c>
      <c r="V10446" s="16" t="str">
        <f>IFERROR(__xludf.DUMMYFUNCTION("""COMPUTED_VALUE"""),"")</f>
        <v/>
      </c>
      <c r="W10446" s="16" t="str">
        <f>IFERROR(__xludf.DUMMYFUNCTION("""COMPUTED_VALUE"""),"")</f>
        <v/>
      </c>
      <c r="X10446" s="16" t="str">
        <f>IFERROR(__xludf.DUMMYFUNCTION("""COMPUTED_VALUE"""),"")</f>
        <v/>
      </c>
      <c r="AC10446" s="16" t="str">
        <f>IFERROR(__xludf.DUMMYFUNCTION("""COMPUTED_VALUE"""),"")</f>
        <v/>
      </c>
    </row>
    <row r="10447">
      <c r="A10447" s="16" t="s">
        <v>87</v>
      </c>
      <c r="E10447" s="16" t="str">
        <f>IFERROR(__xludf.DUMMYFUNCTION("""COMPUTED_VALUE"""),"")</f>
        <v/>
      </c>
      <c r="G10447" s="18"/>
      <c r="H10447" s="16" t="s">
        <v>87</v>
      </c>
      <c r="I10447" s="16" t="s">
        <v>87</v>
      </c>
      <c r="J10447" s="19"/>
      <c r="L10447" s="16" t="str">
        <f>IFERROR(__xludf.DUMMYFUNCTION("""COMPUTED_VALUE"""),"")</f>
        <v/>
      </c>
      <c r="M10447" s="16" t="str">
        <f>IFERROR(__xludf.DUMMYFUNCTION("""COMPUTED_VALUE"""),"")</f>
        <v/>
      </c>
      <c r="U10447" s="16" t="s">
        <v>87</v>
      </c>
      <c r="V10447" s="16" t="str">
        <f>IFERROR(__xludf.DUMMYFUNCTION("""COMPUTED_VALUE"""),"")</f>
        <v/>
      </c>
      <c r="W10447" s="16" t="str">
        <f>IFERROR(__xludf.DUMMYFUNCTION("""COMPUTED_VALUE"""),"")</f>
        <v/>
      </c>
      <c r="X10447" s="16" t="str">
        <f>IFERROR(__xludf.DUMMYFUNCTION("""COMPUTED_VALUE"""),"")</f>
        <v/>
      </c>
      <c r="AC10447" s="16" t="str">
        <f>IFERROR(__xludf.DUMMYFUNCTION("""COMPUTED_VALUE"""),"")</f>
        <v/>
      </c>
    </row>
    <row r="10448">
      <c r="A10448" s="16" t="s">
        <v>87</v>
      </c>
      <c r="E10448" s="16" t="str">
        <f>IFERROR(__xludf.DUMMYFUNCTION("""COMPUTED_VALUE"""),"")</f>
        <v/>
      </c>
      <c r="G10448" s="18"/>
      <c r="H10448" s="16" t="s">
        <v>87</v>
      </c>
      <c r="I10448" s="16" t="s">
        <v>87</v>
      </c>
      <c r="J10448" s="19"/>
      <c r="L10448" s="16" t="str">
        <f>IFERROR(__xludf.DUMMYFUNCTION("""COMPUTED_VALUE"""),"")</f>
        <v/>
      </c>
      <c r="M10448" s="16" t="str">
        <f>IFERROR(__xludf.DUMMYFUNCTION("""COMPUTED_VALUE"""),"")</f>
        <v/>
      </c>
      <c r="U10448" s="16" t="s">
        <v>87</v>
      </c>
      <c r="V10448" s="16" t="str">
        <f>IFERROR(__xludf.DUMMYFUNCTION("""COMPUTED_VALUE"""),"")</f>
        <v/>
      </c>
      <c r="W10448" s="16" t="str">
        <f>IFERROR(__xludf.DUMMYFUNCTION("""COMPUTED_VALUE"""),"")</f>
        <v/>
      </c>
      <c r="X10448" s="16" t="str">
        <f>IFERROR(__xludf.DUMMYFUNCTION("""COMPUTED_VALUE"""),"")</f>
        <v/>
      </c>
      <c r="AC10448" s="16" t="str">
        <f>IFERROR(__xludf.DUMMYFUNCTION("""COMPUTED_VALUE"""),"")</f>
        <v/>
      </c>
    </row>
    <row r="10449">
      <c r="A10449" s="16" t="s">
        <v>87</v>
      </c>
      <c r="E10449" s="16" t="str">
        <f>IFERROR(__xludf.DUMMYFUNCTION("""COMPUTED_VALUE"""),"")</f>
        <v/>
      </c>
      <c r="G10449" s="18"/>
      <c r="H10449" s="16" t="s">
        <v>87</v>
      </c>
      <c r="I10449" s="16" t="s">
        <v>87</v>
      </c>
      <c r="J10449" s="19"/>
      <c r="L10449" s="16" t="str">
        <f>IFERROR(__xludf.DUMMYFUNCTION("""COMPUTED_VALUE"""),"")</f>
        <v/>
      </c>
      <c r="M10449" s="16" t="str">
        <f>IFERROR(__xludf.DUMMYFUNCTION("""COMPUTED_VALUE"""),"")</f>
        <v/>
      </c>
      <c r="U10449" s="16" t="s">
        <v>87</v>
      </c>
      <c r="V10449" s="16" t="str">
        <f>IFERROR(__xludf.DUMMYFUNCTION("""COMPUTED_VALUE"""),"")</f>
        <v/>
      </c>
      <c r="W10449" s="16" t="str">
        <f>IFERROR(__xludf.DUMMYFUNCTION("""COMPUTED_VALUE"""),"")</f>
        <v/>
      </c>
      <c r="X10449" s="16" t="str">
        <f>IFERROR(__xludf.DUMMYFUNCTION("""COMPUTED_VALUE"""),"")</f>
        <v/>
      </c>
      <c r="AC10449" s="16" t="str">
        <f>IFERROR(__xludf.DUMMYFUNCTION("""COMPUTED_VALUE"""),"")</f>
        <v/>
      </c>
    </row>
    <row r="10450">
      <c r="A10450" s="16" t="s">
        <v>87</v>
      </c>
      <c r="E10450" s="16" t="str">
        <f>IFERROR(__xludf.DUMMYFUNCTION("""COMPUTED_VALUE"""),"")</f>
        <v/>
      </c>
      <c r="G10450" s="18"/>
      <c r="H10450" s="16" t="s">
        <v>87</v>
      </c>
      <c r="I10450" s="16" t="s">
        <v>87</v>
      </c>
      <c r="J10450" s="19"/>
      <c r="L10450" s="16" t="str">
        <f>IFERROR(__xludf.DUMMYFUNCTION("""COMPUTED_VALUE"""),"")</f>
        <v/>
      </c>
      <c r="M10450" s="16" t="str">
        <f>IFERROR(__xludf.DUMMYFUNCTION("""COMPUTED_VALUE"""),"")</f>
        <v/>
      </c>
      <c r="U10450" s="16" t="s">
        <v>87</v>
      </c>
      <c r="V10450" s="16" t="str">
        <f>IFERROR(__xludf.DUMMYFUNCTION("""COMPUTED_VALUE"""),"")</f>
        <v/>
      </c>
      <c r="W10450" s="16" t="str">
        <f>IFERROR(__xludf.DUMMYFUNCTION("""COMPUTED_VALUE"""),"")</f>
        <v/>
      </c>
      <c r="X10450" s="16" t="str">
        <f>IFERROR(__xludf.DUMMYFUNCTION("""COMPUTED_VALUE"""),"")</f>
        <v/>
      </c>
      <c r="AC10450" s="16" t="str">
        <f>IFERROR(__xludf.DUMMYFUNCTION("""COMPUTED_VALUE"""),"")</f>
        <v/>
      </c>
    </row>
    <row r="10451">
      <c r="A10451" s="16" t="s">
        <v>87</v>
      </c>
      <c r="E10451" s="16" t="str">
        <f>IFERROR(__xludf.DUMMYFUNCTION("""COMPUTED_VALUE"""),"")</f>
        <v/>
      </c>
      <c r="G10451" s="18"/>
      <c r="H10451" s="16" t="s">
        <v>87</v>
      </c>
      <c r="I10451" s="16" t="s">
        <v>87</v>
      </c>
      <c r="J10451" s="19"/>
      <c r="L10451" s="16" t="str">
        <f>IFERROR(__xludf.DUMMYFUNCTION("""COMPUTED_VALUE"""),"")</f>
        <v/>
      </c>
      <c r="M10451" s="16" t="str">
        <f>IFERROR(__xludf.DUMMYFUNCTION("""COMPUTED_VALUE"""),"")</f>
        <v/>
      </c>
      <c r="U10451" s="16" t="s">
        <v>87</v>
      </c>
      <c r="V10451" s="16" t="str">
        <f>IFERROR(__xludf.DUMMYFUNCTION("""COMPUTED_VALUE"""),"")</f>
        <v/>
      </c>
      <c r="W10451" s="16" t="str">
        <f>IFERROR(__xludf.DUMMYFUNCTION("""COMPUTED_VALUE"""),"")</f>
        <v/>
      </c>
      <c r="X10451" s="16" t="str">
        <f>IFERROR(__xludf.DUMMYFUNCTION("""COMPUTED_VALUE"""),"")</f>
        <v/>
      </c>
      <c r="AC10451" s="16" t="str">
        <f>IFERROR(__xludf.DUMMYFUNCTION("""COMPUTED_VALUE"""),"")</f>
        <v/>
      </c>
    </row>
    <row r="10452">
      <c r="A10452" s="16" t="s">
        <v>87</v>
      </c>
      <c r="E10452" s="16" t="str">
        <f>IFERROR(__xludf.DUMMYFUNCTION("""COMPUTED_VALUE"""),"")</f>
        <v/>
      </c>
      <c r="G10452" s="18"/>
      <c r="H10452" s="16" t="s">
        <v>87</v>
      </c>
      <c r="I10452" s="16" t="s">
        <v>87</v>
      </c>
      <c r="J10452" s="19"/>
      <c r="L10452" s="16" t="str">
        <f>IFERROR(__xludf.DUMMYFUNCTION("""COMPUTED_VALUE"""),"")</f>
        <v/>
      </c>
      <c r="M10452" s="16" t="str">
        <f>IFERROR(__xludf.DUMMYFUNCTION("""COMPUTED_VALUE"""),"")</f>
        <v/>
      </c>
      <c r="U10452" s="16" t="s">
        <v>87</v>
      </c>
      <c r="V10452" s="16" t="str">
        <f>IFERROR(__xludf.DUMMYFUNCTION("""COMPUTED_VALUE"""),"")</f>
        <v/>
      </c>
      <c r="W10452" s="16" t="str">
        <f>IFERROR(__xludf.DUMMYFUNCTION("""COMPUTED_VALUE"""),"")</f>
        <v/>
      </c>
      <c r="X10452" s="16" t="str">
        <f>IFERROR(__xludf.DUMMYFUNCTION("""COMPUTED_VALUE"""),"")</f>
        <v/>
      </c>
      <c r="AC10452" s="16" t="str">
        <f>IFERROR(__xludf.DUMMYFUNCTION("""COMPUTED_VALUE"""),"")</f>
        <v/>
      </c>
    </row>
    <row r="10453">
      <c r="A10453" s="16" t="s">
        <v>87</v>
      </c>
      <c r="E10453" s="16" t="str">
        <f>IFERROR(__xludf.DUMMYFUNCTION("""COMPUTED_VALUE"""),"")</f>
        <v/>
      </c>
      <c r="G10453" s="18"/>
      <c r="H10453" s="16" t="s">
        <v>87</v>
      </c>
      <c r="I10453" s="16" t="s">
        <v>87</v>
      </c>
      <c r="J10453" s="19"/>
      <c r="L10453" s="16" t="str">
        <f>IFERROR(__xludf.DUMMYFUNCTION("""COMPUTED_VALUE"""),"")</f>
        <v/>
      </c>
      <c r="M10453" s="16" t="str">
        <f>IFERROR(__xludf.DUMMYFUNCTION("""COMPUTED_VALUE"""),"")</f>
        <v/>
      </c>
      <c r="U10453" s="16" t="s">
        <v>87</v>
      </c>
      <c r="V10453" s="16" t="str">
        <f>IFERROR(__xludf.DUMMYFUNCTION("""COMPUTED_VALUE"""),"")</f>
        <v/>
      </c>
      <c r="W10453" s="16" t="str">
        <f>IFERROR(__xludf.DUMMYFUNCTION("""COMPUTED_VALUE"""),"")</f>
        <v/>
      </c>
      <c r="X10453" s="16" t="str">
        <f>IFERROR(__xludf.DUMMYFUNCTION("""COMPUTED_VALUE"""),"")</f>
        <v/>
      </c>
      <c r="AC10453" s="16" t="str">
        <f>IFERROR(__xludf.DUMMYFUNCTION("""COMPUTED_VALUE"""),"")</f>
        <v/>
      </c>
    </row>
    <row r="10454">
      <c r="A10454" s="16" t="s">
        <v>87</v>
      </c>
      <c r="E10454" s="16" t="str">
        <f>IFERROR(__xludf.DUMMYFUNCTION("""COMPUTED_VALUE"""),"")</f>
        <v/>
      </c>
      <c r="G10454" s="18"/>
      <c r="H10454" s="16" t="s">
        <v>87</v>
      </c>
      <c r="I10454" s="16" t="s">
        <v>87</v>
      </c>
      <c r="J10454" s="19"/>
      <c r="L10454" s="16" t="str">
        <f>IFERROR(__xludf.DUMMYFUNCTION("""COMPUTED_VALUE"""),"")</f>
        <v/>
      </c>
      <c r="M10454" s="16" t="str">
        <f>IFERROR(__xludf.DUMMYFUNCTION("""COMPUTED_VALUE"""),"")</f>
        <v/>
      </c>
      <c r="U10454" s="16" t="s">
        <v>87</v>
      </c>
      <c r="V10454" s="16" t="str">
        <f>IFERROR(__xludf.DUMMYFUNCTION("""COMPUTED_VALUE"""),"")</f>
        <v/>
      </c>
      <c r="W10454" s="16" t="str">
        <f>IFERROR(__xludf.DUMMYFUNCTION("""COMPUTED_VALUE"""),"")</f>
        <v/>
      </c>
      <c r="X10454" s="16" t="str">
        <f>IFERROR(__xludf.DUMMYFUNCTION("""COMPUTED_VALUE"""),"")</f>
        <v/>
      </c>
      <c r="AC10454" s="16" t="str">
        <f>IFERROR(__xludf.DUMMYFUNCTION("""COMPUTED_VALUE"""),"")</f>
        <v/>
      </c>
    </row>
    <row r="10455">
      <c r="A10455" s="16" t="s">
        <v>87</v>
      </c>
      <c r="E10455" s="16" t="str">
        <f>IFERROR(__xludf.DUMMYFUNCTION("""COMPUTED_VALUE"""),"")</f>
        <v/>
      </c>
      <c r="G10455" s="18"/>
      <c r="H10455" s="16" t="s">
        <v>87</v>
      </c>
      <c r="I10455" s="16" t="s">
        <v>87</v>
      </c>
      <c r="J10455" s="19"/>
      <c r="L10455" s="16" t="str">
        <f>IFERROR(__xludf.DUMMYFUNCTION("""COMPUTED_VALUE"""),"")</f>
        <v/>
      </c>
      <c r="M10455" s="16" t="str">
        <f>IFERROR(__xludf.DUMMYFUNCTION("""COMPUTED_VALUE"""),"")</f>
        <v/>
      </c>
      <c r="U10455" s="16" t="s">
        <v>87</v>
      </c>
      <c r="V10455" s="16" t="str">
        <f>IFERROR(__xludf.DUMMYFUNCTION("""COMPUTED_VALUE"""),"")</f>
        <v/>
      </c>
      <c r="W10455" s="16" t="str">
        <f>IFERROR(__xludf.DUMMYFUNCTION("""COMPUTED_VALUE"""),"")</f>
        <v/>
      </c>
      <c r="X10455" s="16" t="str">
        <f>IFERROR(__xludf.DUMMYFUNCTION("""COMPUTED_VALUE"""),"")</f>
        <v/>
      </c>
      <c r="AC10455" s="16" t="str">
        <f>IFERROR(__xludf.DUMMYFUNCTION("""COMPUTED_VALUE"""),"")</f>
        <v/>
      </c>
    </row>
    <row r="10456">
      <c r="A10456" s="16" t="s">
        <v>87</v>
      </c>
      <c r="E10456" s="16" t="str">
        <f>IFERROR(__xludf.DUMMYFUNCTION("""COMPUTED_VALUE"""),"")</f>
        <v/>
      </c>
      <c r="G10456" s="18"/>
      <c r="H10456" s="16" t="s">
        <v>87</v>
      </c>
      <c r="I10456" s="16" t="s">
        <v>87</v>
      </c>
      <c r="J10456" s="19"/>
      <c r="L10456" s="16" t="str">
        <f>IFERROR(__xludf.DUMMYFUNCTION("""COMPUTED_VALUE"""),"")</f>
        <v/>
      </c>
      <c r="M10456" s="16" t="str">
        <f>IFERROR(__xludf.DUMMYFUNCTION("""COMPUTED_VALUE"""),"")</f>
        <v/>
      </c>
      <c r="U10456" s="16" t="s">
        <v>87</v>
      </c>
      <c r="V10456" s="16" t="str">
        <f>IFERROR(__xludf.DUMMYFUNCTION("""COMPUTED_VALUE"""),"")</f>
        <v/>
      </c>
      <c r="W10456" s="16" t="str">
        <f>IFERROR(__xludf.DUMMYFUNCTION("""COMPUTED_VALUE"""),"")</f>
        <v/>
      </c>
      <c r="X10456" s="16" t="str">
        <f>IFERROR(__xludf.DUMMYFUNCTION("""COMPUTED_VALUE"""),"")</f>
        <v/>
      </c>
      <c r="AC10456" s="16" t="str">
        <f>IFERROR(__xludf.DUMMYFUNCTION("""COMPUTED_VALUE"""),"")</f>
        <v/>
      </c>
    </row>
    <row r="10457">
      <c r="A10457" s="16" t="s">
        <v>87</v>
      </c>
      <c r="E10457" s="16" t="str">
        <f>IFERROR(__xludf.DUMMYFUNCTION("""COMPUTED_VALUE"""),"")</f>
        <v/>
      </c>
      <c r="G10457" s="18"/>
      <c r="H10457" s="16" t="s">
        <v>87</v>
      </c>
      <c r="I10457" s="16" t="s">
        <v>87</v>
      </c>
      <c r="J10457" s="19"/>
      <c r="L10457" s="16" t="str">
        <f>IFERROR(__xludf.DUMMYFUNCTION("""COMPUTED_VALUE"""),"")</f>
        <v/>
      </c>
      <c r="M10457" s="16" t="str">
        <f>IFERROR(__xludf.DUMMYFUNCTION("""COMPUTED_VALUE"""),"")</f>
        <v/>
      </c>
      <c r="U10457" s="16" t="s">
        <v>87</v>
      </c>
      <c r="V10457" s="16" t="str">
        <f>IFERROR(__xludf.DUMMYFUNCTION("""COMPUTED_VALUE"""),"")</f>
        <v/>
      </c>
      <c r="W10457" s="16" t="str">
        <f>IFERROR(__xludf.DUMMYFUNCTION("""COMPUTED_VALUE"""),"")</f>
        <v/>
      </c>
      <c r="X10457" s="16" t="str">
        <f>IFERROR(__xludf.DUMMYFUNCTION("""COMPUTED_VALUE"""),"")</f>
        <v/>
      </c>
      <c r="AC10457" s="16" t="str">
        <f>IFERROR(__xludf.DUMMYFUNCTION("""COMPUTED_VALUE"""),"")</f>
        <v/>
      </c>
    </row>
    <row r="10458">
      <c r="A10458" s="16" t="s">
        <v>87</v>
      </c>
      <c r="E10458" s="16" t="str">
        <f>IFERROR(__xludf.DUMMYFUNCTION("""COMPUTED_VALUE"""),"")</f>
        <v/>
      </c>
      <c r="G10458" s="18"/>
      <c r="H10458" s="16" t="s">
        <v>87</v>
      </c>
      <c r="I10458" s="16" t="s">
        <v>87</v>
      </c>
      <c r="J10458" s="19"/>
      <c r="L10458" s="16" t="str">
        <f>IFERROR(__xludf.DUMMYFUNCTION("""COMPUTED_VALUE"""),"")</f>
        <v/>
      </c>
      <c r="M10458" s="16" t="str">
        <f>IFERROR(__xludf.DUMMYFUNCTION("""COMPUTED_VALUE"""),"")</f>
        <v/>
      </c>
      <c r="U10458" s="16" t="s">
        <v>87</v>
      </c>
      <c r="V10458" s="16" t="str">
        <f>IFERROR(__xludf.DUMMYFUNCTION("""COMPUTED_VALUE"""),"")</f>
        <v/>
      </c>
      <c r="W10458" s="16" t="str">
        <f>IFERROR(__xludf.DUMMYFUNCTION("""COMPUTED_VALUE"""),"")</f>
        <v/>
      </c>
      <c r="X10458" s="16" t="str">
        <f>IFERROR(__xludf.DUMMYFUNCTION("""COMPUTED_VALUE"""),"")</f>
        <v/>
      </c>
      <c r="AC10458" s="16" t="str">
        <f>IFERROR(__xludf.DUMMYFUNCTION("""COMPUTED_VALUE"""),"")</f>
        <v/>
      </c>
    </row>
    <row r="10459">
      <c r="A10459" s="16" t="s">
        <v>87</v>
      </c>
      <c r="E10459" s="16" t="str">
        <f>IFERROR(__xludf.DUMMYFUNCTION("""COMPUTED_VALUE"""),"")</f>
        <v/>
      </c>
      <c r="G10459" s="18"/>
      <c r="H10459" s="16" t="s">
        <v>87</v>
      </c>
      <c r="I10459" s="16" t="s">
        <v>87</v>
      </c>
      <c r="J10459" s="19"/>
      <c r="L10459" s="16" t="str">
        <f>IFERROR(__xludf.DUMMYFUNCTION("""COMPUTED_VALUE"""),"")</f>
        <v/>
      </c>
      <c r="M10459" s="16" t="str">
        <f>IFERROR(__xludf.DUMMYFUNCTION("""COMPUTED_VALUE"""),"")</f>
        <v/>
      </c>
      <c r="U10459" s="16" t="s">
        <v>87</v>
      </c>
      <c r="V10459" s="16" t="str">
        <f>IFERROR(__xludf.DUMMYFUNCTION("""COMPUTED_VALUE"""),"")</f>
        <v/>
      </c>
      <c r="W10459" s="16" t="str">
        <f>IFERROR(__xludf.DUMMYFUNCTION("""COMPUTED_VALUE"""),"")</f>
        <v/>
      </c>
      <c r="X10459" s="16" t="str">
        <f>IFERROR(__xludf.DUMMYFUNCTION("""COMPUTED_VALUE"""),"")</f>
        <v/>
      </c>
      <c r="AC10459" s="16" t="str">
        <f>IFERROR(__xludf.DUMMYFUNCTION("""COMPUTED_VALUE"""),"")</f>
        <v/>
      </c>
    </row>
    <row r="10460">
      <c r="A10460" s="16" t="s">
        <v>87</v>
      </c>
      <c r="E10460" s="16" t="str">
        <f>IFERROR(__xludf.DUMMYFUNCTION("""COMPUTED_VALUE"""),"")</f>
        <v/>
      </c>
      <c r="G10460" s="18"/>
      <c r="H10460" s="16" t="s">
        <v>87</v>
      </c>
      <c r="I10460" s="16" t="s">
        <v>87</v>
      </c>
      <c r="J10460" s="19"/>
      <c r="L10460" s="16" t="str">
        <f>IFERROR(__xludf.DUMMYFUNCTION("""COMPUTED_VALUE"""),"")</f>
        <v/>
      </c>
      <c r="M10460" s="16" t="str">
        <f>IFERROR(__xludf.DUMMYFUNCTION("""COMPUTED_VALUE"""),"")</f>
        <v/>
      </c>
      <c r="U10460" s="16" t="s">
        <v>87</v>
      </c>
      <c r="V10460" s="16" t="str">
        <f>IFERROR(__xludf.DUMMYFUNCTION("""COMPUTED_VALUE"""),"")</f>
        <v/>
      </c>
      <c r="W10460" s="16" t="str">
        <f>IFERROR(__xludf.DUMMYFUNCTION("""COMPUTED_VALUE"""),"")</f>
        <v/>
      </c>
      <c r="X10460" s="16" t="str">
        <f>IFERROR(__xludf.DUMMYFUNCTION("""COMPUTED_VALUE"""),"")</f>
        <v/>
      </c>
      <c r="AC10460" s="16" t="str">
        <f>IFERROR(__xludf.DUMMYFUNCTION("""COMPUTED_VALUE"""),"")</f>
        <v/>
      </c>
    </row>
    <row r="10461">
      <c r="A10461" s="16" t="s">
        <v>87</v>
      </c>
      <c r="E10461" s="16" t="str">
        <f>IFERROR(__xludf.DUMMYFUNCTION("""COMPUTED_VALUE"""),"")</f>
        <v/>
      </c>
      <c r="G10461" s="18"/>
      <c r="H10461" s="16" t="s">
        <v>87</v>
      </c>
      <c r="I10461" s="16" t="s">
        <v>87</v>
      </c>
      <c r="J10461" s="19"/>
      <c r="L10461" s="16" t="str">
        <f>IFERROR(__xludf.DUMMYFUNCTION("""COMPUTED_VALUE"""),"")</f>
        <v/>
      </c>
      <c r="M10461" s="16" t="str">
        <f>IFERROR(__xludf.DUMMYFUNCTION("""COMPUTED_VALUE"""),"")</f>
        <v/>
      </c>
      <c r="U10461" s="16" t="s">
        <v>87</v>
      </c>
      <c r="V10461" s="16" t="str">
        <f>IFERROR(__xludf.DUMMYFUNCTION("""COMPUTED_VALUE"""),"")</f>
        <v/>
      </c>
      <c r="W10461" s="16" t="str">
        <f>IFERROR(__xludf.DUMMYFUNCTION("""COMPUTED_VALUE"""),"")</f>
        <v/>
      </c>
      <c r="X10461" s="16" t="str">
        <f>IFERROR(__xludf.DUMMYFUNCTION("""COMPUTED_VALUE"""),"")</f>
        <v/>
      </c>
      <c r="AC10461" s="16" t="str">
        <f>IFERROR(__xludf.DUMMYFUNCTION("""COMPUTED_VALUE"""),"")</f>
        <v/>
      </c>
    </row>
    <row r="10462">
      <c r="A10462" s="16" t="s">
        <v>87</v>
      </c>
      <c r="E10462" s="16" t="str">
        <f>IFERROR(__xludf.DUMMYFUNCTION("""COMPUTED_VALUE"""),"")</f>
        <v/>
      </c>
      <c r="G10462" s="18"/>
      <c r="H10462" s="16" t="s">
        <v>87</v>
      </c>
      <c r="I10462" s="16" t="s">
        <v>87</v>
      </c>
      <c r="J10462" s="19"/>
      <c r="L10462" s="16" t="str">
        <f>IFERROR(__xludf.DUMMYFUNCTION("""COMPUTED_VALUE"""),"")</f>
        <v/>
      </c>
      <c r="M10462" s="16" t="str">
        <f>IFERROR(__xludf.DUMMYFUNCTION("""COMPUTED_VALUE"""),"")</f>
        <v/>
      </c>
      <c r="U10462" s="16" t="s">
        <v>87</v>
      </c>
      <c r="V10462" s="16" t="str">
        <f>IFERROR(__xludf.DUMMYFUNCTION("""COMPUTED_VALUE"""),"")</f>
        <v/>
      </c>
      <c r="W10462" s="16" t="str">
        <f>IFERROR(__xludf.DUMMYFUNCTION("""COMPUTED_VALUE"""),"")</f>
        <v/>
      </c>
      <c r="X10462" s="16" t="str">
        <f>IFERROR(__xludf.DUMMYFUNCTION("""COMPUTED_VALUE"""),"")</f>
        <v/>
      </c>
      <c r="AC10462" s="16" t="str">
        <f>IFERROR(__xludf.DUMMYFUNCTION("""COMPUTED_VALUE"""),"")</f>
        <v/>
      </c>
    </row>
    <row r="10463">
      <c r="A10463" s="16" t="s">
        <v>87</v>
      </c>
      <c r="E10463" s="16" t="str">
        <f>IFERROR(__xludf.DUMMYFUNCTION("""COMPUTED_VALUE"""),"")</f>
        <v/>
      </c>
      <c r="G10463" s="18"/>
      <c r="H10463" s="16" t="s">
        <v>87</v>
      </c>
      <c r="I10463" s="16" t="s">
        <v>87</v>
      </c>
      <c r="J10463" s="19"/>
      <c r="L10463" s="16" t="str">
        <f>IFERROR(__xludf.DUMMYFUNCTION("""COMPUTED_VALUE"""),"")</f>
        <v/>
      </c>
      <c r="M10463" s="16" t="str">
        <f>IFERROR(__xludf.DUMMYFUNCTION("""COMPUTED_VALUE"""),"")</f>
        <v/>
      </c>
      <c r="U10463" s="16" t="s">
        <v>87</v>
      </c>
      <c r="V10463" s="16" t="str">
        <f>IFERROR(__xludf.DUMMYFUNCTION("""COMPUTED_VALUE"""),"")</f>
        <v/>
      </c>
      <c r="W10463" s="16" t="str">
        <f>IFERROR(__xludf.DUMMYFUNCTION("""COMPUTED_VALUE"""),"")</f>
        <v/>
      </c>
      <c r="X10463" s="16" t="str">
        <f>IFERROR(__xludf.DUMMYFUNCTION("""COMPUTED_VALUE"""),"")</f>
        <v/>
      </c>
      <c r="AC10463" s="16" t="str">
        <f>IFERROR(__xludf.DUMMYFUNCTION("""COMPUTED_VALUE"""),"")</f>
        <v/>
      </c>
    </row>
    <row r="10464">
      <c r="A10464" s="16" t="s">
        <v>87</v>
      </c>
      <c r="E10464" s="16" t="str">
        <f>IFERROR(__xludf.DUMMYFUNCTION("""COMPUTED_VALUE"""),"")</f>
        <v/>
      </c>
      <c r="G10464" s="18"/>
      <c r="H10464" s="16" t="s">
        <v>87</v>
      </c>
      <c r="I10464" s="16" t="s">
        <v>87</v>
      </c>
      <c r="J10464" s="19"/>
      <c r="L10464" s="16" t="str">
        <f>IFERROR(__xludf.DUMMYFUNCTION("""COMPUTED_VALUE"""),"")</f>
        <v/>
      </c>
      <c r="M10464" s="16" t="str">
        <f>IFERROR(__xludf.DUMMYFUNCTION("""COMPUTED_VALUE"""),"")</f>
        <v/>
      </c>
      <c r="U10464" s="16" t="s">
        <v>87</v>
      </c>
      <c r="V10464" s="16" t="str">
        <f>IFERROR(__xludf.DUMMYFUNCTION("""COMPUTED_VALUE"""),"")</f>
        <v/>
      </c>
      <c r="W10464" s="16" t="str">
        <f>IFERROR(__xludf.DUMMYFUNCTION("""COMPUTED_VALUE"""),"")</f>
        <v/>
      </c>
      <c r="X10464" s="16" t="str">
        <f>IFERROR(__xludf.DUMMYFUNCTION("""COMPUTED_VALUE"""),"")</f>
        <v/>
      </c>
      <c r="AC10464" s="16" t="str">
        <f>IFERROR(__xludf.DUMMYFUNCTION("""COMPUTED_VALUE"""),"")</f>
        <v/>
      </c>
    </row>
    <row r="10465">
      <c r="A10465" s="16" t="s">
        <v>87</v>
      </c>
      <c r="E10465" s="16" t="str">
        <f>IFERROR(__xludf.DUMMYFUNCTION("""COMPUTED_VALUE"""),"")</f>
        <v/>
      </c>
      <c r="G10465" s="18"/>
      <c r="H10465" s="16" t="s">
        <v>87</v>
      </c>
      <c r="I10465" s="16" t="s">
        <v>87</v>
      </c>
      <c r="J10465" s="19"/>
      <c r="L10465" s="16" t="str">
        <f>IFERROR(__xludf.DUMMYFUNCTION("""COMPUTED_VALUE"""),"")</f>
        <v/>
      </c>
      <c r="M10465" s="16" t="str">
        <f>IFERROR(__xludf.DUMMYFUNCTION("""COMPUTED_VALUE"""),"")</f>
        <v/>
      </c>
      <c r="U10465" s="16" t="s">
        <v>87</v>
      </c>
      <c r="V10465" s="16" t="str">
        <f>IFERROR(__xludf.DUMMYFUNCTION("""COMPUTED_VALUE"""),"")</f>
        <v/>
      </c>
      <c r="W10465" s="16" t="str">
        <f>IFERROR(__xludf.DUMMYFUNCTION("""COMPUTED_VALUE"""),"")</f>
        <v/>
      </c>
      <c r="X10465" s="16" t="str">
        <f>IFERROR(__xludf.DUMMYFUNCTION("""COMPUTED_VALUE"""),"")</f>
        <v/>
      </c>
      <c r="AC10465" s="16" t="str">
        <f>IFERROR(__xludf.DUMMYFUNCTION("""COMPUTED_VALUE"""),"")</f>
        <v/>
      </c>
    </row>
    <row r="10466">
      <c r="A10466" s="16" t="s">
        <v>87</v>
      </c>
      <c r="E10466" s="16" t="str">
        <f>IFERROR(__xludf.DUMMYFUNCTION("""COMPUTED_VALUE"""),"")</f>
        <v/>
      </c>
      <c r="G10466" s="18"/>
      <c r="H10466" s="16" t="s">
        <v>87</v>
      </c>
      <c r="I10466" s="16" t="s">
        <v>87</v>
      </c>
      <c r="J10466" s="19"/>
      <c r="L10466" s="16" t="str">
        <f>IFERROR(__xludf.DUMMYFUNCTION("""COMPUTED_VALUE"""),"")</f>
        <v/>
      </c>
      <c r="M10466" s="16" t="str">
        <f>IFERROR(__xludf.DUMMYFUNCTION("""COMPUTED_VALUE"""),"")</f>
        <v/>
      </c>
      <c r="U10466" s="16" t="s">
        <v>87</v>
      </c>
      <c r="V10466" s="16" t="str">
        <f>IFERROR(__xludf.DUMMYFUNCTION("""COMPUTED_VALUE"""),"")</f>
        <v/>
      </c>
      <c r="W10466" s="16" t="str">
        <f>IFERROR(__xludf.DUMMYFUNCTION("""COMPUTED_VALUE"""),"")</f>
        <v/>
      </c>
      <c r="X10466" s="16" t="str">
        <f>IFERROR(__xludf.DUMMYFUNCTION("""COMPUTED_VALUE"""),"")</f>
        <v/>
      </c>
      <c r="AC10466" s="16" t="str">
        <f>IFERROR(__xludf.DUMMYFUNCTION("""COMPUTED_VALUE"""),"")</f>
        <v/>
      </c>
    </row>
    <row r="10467">
      <c r="A10467" s="16" t="s">
        <v>87</v>
      </c>
      <c r="E10467" s="16" t="str">
        <f>IFERROR(__xludf.DUMMYFUNCTION("""COMPUTED_VALUE"""),"")</f>
        <v/>
      </c>
      <c r="G10467" s="18"/>
      <c r="H10467" s="16" t="s">
        <v>87</v>
      </c>
      <c r="I10467" s="16" t="s">
        <v>87</v>
      </c>
      <c r="J10467" s="19"/>
      <c r="L10467" s="16" t="str">
        <f>IFERROR(__xludf.DUMMYFUNCTION("""COMPUTED_VALUE"""),"")</f>
        <v/>
      </c>
      <c r="M10467" s="16" t="str">
        <f>IFERROR(__xludf.DUMMYFUNCTION("""COMPUTED_VALUE"""),"")</f>
        <v/>
      </c>
      <c r="U10467" s="16" t="s">
        <v>87</v>
      </c>
      <c r="V10467" s="16" t="str">
        <f>IFERROR(__xludf.DUMMYFUNCTION("""COMPUTED_VALUE"""),"")</f>
        <v/>
      </c>
      <c r="W10467" s="16" t="str">
        <f>IFERROR(__xludf.DUMMYFUNCTION("""COMPUTED_VALUE"""),"")</f>
        <v/>
      </c>
      <c r="X10467" s="16" t="str">
        <f>IFERROR(__xludf.DUMMYFUNCTION("""COMPUTED_VALUE"""),"")</f>
        <v/>
      </c>
      <c r="AC10467" s="16" t="str">
        <f>IFERROR(__xludf.DUMMYFUNCTION("""COMPUTED_VALUE"""),"")</f>
        <v/>
      </c>
    </row>
    <row r="10468">
      <c r="A10468" s="16" t="s">
        <v>87</v>
      </c>
      <c r="E10468" s="16" t="str">
        <f>IFERROR(__xludf.DUMMYFUNCTION("""COMPUTED_VALUE"""),"")</f>
        <v/>
      </c>
      <c r="G10468" s="18"/>
      <c r="H10468" s="16" t="s">
        <v>87</v>
      </c>
      <c r="I10468" s="16" t="s">
        <v>87</v>
      </c>
      <c r="J10468" s="19"/>
      <c r="L10468" s="16" t="str">
        <f>IFERROR(__xludf.DUMMYFUNCTION("""COMPUTED_VALUE"""),"")</f>
        <v/>
      </c>
      <c r="M10468" s="16" t="str">
        <f>IFERROR(__xludf.DUMMYFUNCTION("""COMPUTED_VALUE"""),"")</f>
        <v/>
      </c>
      <c r="U10468" s="16" t="s">
        <v>87</v>
      </c>
      <c r="V10468" s="16" t="str">
        <f>IFERROR(__xludf.DUMMYFUNCTION("""COMPUTED_VALUE"""),"")</f>
        <v/>
      </c>
      <c r="W10468" s="16" t="str">
        <f>IFERROR(__xludf.DUMMYFUNCTION("""COMPUTED_VALUE"""),"")</f>
        <v/>
      </c>
      <c r="X10468" s="16" t="str">
        <f>IFERROR(__xludf.DUMMYFUNCTION("""COMPUTED_VALUE"""),"")</f>
        <v/>
      </c>
      <c r="AC10468" s="16" t="str">
        <f>IFERROR(__xludf.DUMMYFUNCTION("""COMPUTED_VALUE"""),"")</f>
        <v/>
      </c>
    </row>
    <row r="10469">
      <c r="A10469" s="16" t="s">
        <v>87</v>
      </c>
      <c r="E10469" s="16" t="str">
        <f>IFERROR(__xludf.DUMMYFUNCTION("""COMPUTED_VALUE"""),"")</f>
        <v/>
      </c>
      <c r="G10469" s="18"/>
      <c r="H10469" s="16" t="s">
        <v>87</v>
      </c>
      <c r="I10469" s="16" t="s">
        <v>87</v>
      </c>
      <c r="J10469" s="19"/>
      <c r="L10469" s="16" t="str">
        <f>IFERROR(__xludf.DUMMYFUNCTION("""COMPUTED_VALUE"""),"")</f>
        <v/>
      </c>
      <c r="M10469" s="16" t="str">
        <f>IFERROR(__xludf.DUMMYFUNCTION("""COMPUTED_VALUE"""),"")</f>
        <v/>
      </c>
      <c r="U10469" s="16" t="s">
        <v>87</v>
      </c>
      <c r="V10469" s="16" t="str">
        <f>IFERROR(__xludf.DUMMYFUNCTION("""COMPUTED_VALUE"""),"")</f>
        <v/>
      </c>
      <c r="W10469" s="16" t="str">
        <f>IFERROR(__xludf.DUMMYFUNCTION("""COMPUTED_VALUE"""),"")</f>
        <v/>
      </c>
      <c r="X10469" s="16" t="str">
        <f>IFERROR(__xludf.DUMMYFUNCTION("""COMPUTED_VALUE"""),"")</f>
        <v/>
      </c>
      <c r="AC10469" s="16" t="str">
        <f>IFERROR(__xludf.DUMMYFUNCTION("""COMPUTED_VALUE"""),"")</f>
        <v/>
      </c>
    </row>
    <row r="10470">
      <c r="A10470" s="16" t="s">
        <v>87</v>
      </c>
      <c r="E10470" s="16" t="str">
        <f>IFERROR(__xludf.DUMMYFUNCTION("""COMPUTED_VALUE"""),"")</f>
        <v/>
      </c>
      <c r="G10470" s="18"/>
      <c r="H10470" s="16" t="s">
        <v>87</v>
      </c>
      <c r="I10470" s="16" t="s">
        <v>87</v>
      </c>
      <c r="J10470" s="19"/>
      <c r="L10470" s="16" t="str">
        <f>IFERROR(__xludf.DUMMYFUNCTION("""COMPUTED_VALUE"""),"")</f>
        <v/>
      </c>
      <c r="M10470" s="16" t="str">
        <f>IFERROR(__xludf.DUMMYFUNCTION("""COMPUTED_VALUE"""),"")</f>
        <v/>
      </c>
      <c r="U10470" s="16" t="s">
        <v>87</v>
      </c>
      <c r="V10470" s="16" t="str">
        <f>IFERROR(__xludf.DUMMYFUNCTION("""COMPUTED_VALUE"""),"")</f>
        <v/>
      </c>
      <c r="W10470" s="16" t="str">
        <f>IFERROR(__xludf.DUMMYFUNCTION("""COMPUTED_VALUE"""),"")</f>
        <v/>
      </c>
      <c r="X10470" s="16" t="str">
        <f>IFERROR(__xludf.DUMMYFUNCTION("""COMPUTED_VALUE"""),"")</f>
        <v/>
      </c>
      <c r="AC10470" s="16" t="str">
        <f>IFERROR(__xludf.DUMMYFUNCTION("""COMPUTED_VALUE"""),"")</f>
        <v/>
      </c>
    </row>
    <row r="10471">
      <c r="A10471" s="16" t="s">
        <v>87</v>
      </c>
      <c r="E10471" s="16" t="str">
        <f>IFERROR(__xludf.DUMMYFUNCTION("""COMPUTED_VALUE"""),"")</f>
        <v/>
      </c>
      <c r="G10471" s="18"/>
      <c r="H10471" s="16" t="s">
        <v>87</v>
      </c>
      <c r="I10471" s="16" t="s">
        <v>87</v>
      </c>
      <c r="J10471" s="19"/>
      <c r="L10471" s="16" t="str">
        <f>IFERROR(__xludf.DUMMYFUNCTION("""COMPUTED_VALUE"""),"")</f>
        <v/>
      </c>
      <c r="M10471" s="16" t="str">
        <f>IFERROR(__xludf.DUMMYFUNCTION("""COMPUTED_VALUE"""),"")</f>
        <v/>
      </c>
      <c r="U10471" s="16" t="s">
        <v>87</v>
      </c>
      <c r="V10471" s="16" t="str">
        <f>IFERROR(__xludf.DUMMYFUNCTION("""COMPUTED_VALUE"""),"")</f>
        <v/>
      </c>
      <c r="W10471" s="16" t="str">
        <f>IFERROR(__xludf.DUMMYFUNCTION("""COMPUTED_VALUE"""),"")</f>
        <v/>
      </c>
      <c r="X10471" s="16" t="str">
        <f>IFERROR(__xludf.DUMMYFUNCTION("""COMPUTED_VALUE"""),"")</f>
        <v/>
      </c>
      <c r="AC10471" s="16" t="str">
        <f>IFERROR(__xludf.DUMMYFUNCTION("""COMPUTED_VALUE"""),"")</f>
        <v/>
      </c>
    </row>
    <row r="10472">
      <c r="A10472" s="16" t="s">
        <v>87</v>
      </c>
      <c r="E10472" s="16" t="str">
        <f>IFERROR(__xludf.DUMMYFUNCTION("""COMPUTED_VALUE"""),"")</f>
        <v/>
      </c>
      <c r="G10472" s="18"/>
      <c r="H10472" s="16" t="s">
        <v>87</v>
      </c>
      <c r="I10472" s="16" t="s">
        <v>87</v>
      </c>
      <c r="J10472" s="19"/>
      <c r="L10472" s="16" t="str">
        <f>IFERROR(__xludf.DUMMYFUNCTION("""COMPUTED_VALUE"""),"")</f>
        <v/>
      </c>
      <c r="M10472" s="16" t="str">
        <f>IFERROR(__xludf.DUMMYFUNCTION("""COMPUTED_VALUE"""),"")</f>
        <v/>
      </c>
      <c r="U10472" s="16" t="s">
        <v>87</v>
      </c>
      <c r="V10472" s="16" t="str">
        <f>IFERROR(__xludf.DUMMYFUNCTION("""COMPUTED_VALUE"""),"")</f>
        <v/>
      </c>
      <c r="W10472" s="16" t="str">
        <f>IFERROR(__xludf.DUMMYFUNCTION("""COMPUTED_VALUE"""),"")</f>
        <v/>
      </c>
      <c r="X10472" s="16" t="str">
        <f>IFERROR(__xludf.DUMMYFUNCTION("""COMPUTED_VALUE"""),"")</f>
        <v/>
      </c>
      <c r="AC10472" s="16" t="str">
        <f>IFERROR(__xludf.DUMMYFUNCTION("""COMPUTED_VALUE"""),"")</f>
        <v/>
      </c>
    </row>
    <row r="10473">
      <c r="A10473" s="16" t="s">
        <v>87</v>
      </c>
      <c r="E10473" s="16" t="str">
        <f>IFERROR(__xludf.DUMMYFUNCTION("""COMPUTED_VALUE"""),"")</f>
        <v/>
      </c>
      <c r="G10473" s="18"/>
      <c r="H10473" s="16" t="s">
        <v>87</v>
      </c>
      <c r="I10473" s="16" t="s">
        <v>87</v>
      </c>
      <c r="J10473" s="19"/>
      <c r="L10473" s="16" t="str">
        <f>IFERROR(__xludf.DUMMYFUNCTION("""COMPUTED_VALUE"""),"")</f>
        <v/>
      </c>
      <c r="M10473" s="16" t="str">
        <f>IFERROR(__xludf.DUMMYFUNCTION("""COMPUTED_VALUE"""),"")</f>
        <v/>
      </c>
      <c r="U10473" s="16" t="s">
        <v>87</v>
      </c>
      <c r="V10473" s="16" t="str">
        <f>IFERROR(__xludf.DUMMYFUNCTION("""COMPUTED_VALUE"""),"")</f>
        <v/>
      </c>
      <c r="W10473" s="16" t="str">
        <f>IFERROR(__xludf.DUMMYFUNCTION("""COMPUTED_VALUE"""),"")</f>
        <v/>
      </c>
      <c r="X10473" s="16" t="str">
        <f>IFERROR(__xludf.DUMMYFUNCTION("""COMPUTED_VALUE"""),"")</f>
        <v/>
      </c>
      <c r="AC10473" s="16" t="str">
        <f>IFERROR(__xludf.DUMMYFUNCTION("""COMPUTED_VALUE"""),"")</f>
        <v/>
      </c>
    </row>
    <row r="10474">
      <c r="A10474" s="16" t="s">
        <v>87</v>
      </c>
      <c r="E10474" s="16" t="str">
        <f>IFERROR(__xludf.DUMMYFUNCTION("""COMPUTED_VALUE"""),"")</f>
        <v/>
      </c>
      <c r="G10474" s="18"/>
      <c r="H10474" s="16" t="s">
        <v>87</v>
      </c>
      <c r="I10474" s="16" t="s">
        <v>87</v>
      </c>
      <c r="J10474" s="19"/>
      <c r="L10474" s="16" t="str">
        <f>IFERROR(__xludf.DUMMYFUNCTION("""COMPUTED_VALUE"""),"")</f>
        <v/>
      </c>
      <c r="M10474" s="16" t="str">
        <f>IFERROR(__xludf.DUMMYFUNCTION("""COMPUTED_VALUE"""),"")</f>
        <v/>
      </c>
      <c r="U10474" s="16" t="s">
        <v>87</v>
      </c>
      <c r="V10474" s="16" t="str">
        <f>IFERROR(__xludf.DUMMYFUNCTION("""COMPUTED_VALUE"""),"")</f>
        <v/>
      </c>
      <c r="W10474" s="16" t="str">
        <f>IFERROR(__xludf.DUMMYFUNCTION("""COMPUTED_VALUE"""),"")</f>
        <v/>
      </c>
      <c r="X10474" s="16" t="str">
        <f>IFERROR(__xludf.DUMMYFUNCTION("""COMPUTED_VALUE"""),"")</f>
        <v/>
      </c>
      <c r="AC10474" s="16" t="str">
        <f>IFERROR(__xludf.DUMMYFUNCTION("""COMPUTED_VALUE"""),"")</f>
        <v/>
      </c>
    </row>
    <row r="10475">
      <c r="A10475" s="16" t="s">
        <v>87</v>
      </c>
      <c r="E10475" s="16" t="str">
        <f>IFERROR(__xludf.DUMMYFUNCTION("""COMPUTED_VALUE"""),"")</f>
        <v/>
      </c>
      <c r="G10475" s="18"/>
      <c r="H10475" s="16" t="s">
        <v>87</v>
      </c>
      <c r="I10475" s="16" t="s">
        <v>87</v>
      </c>
      <c r="J10475" s="19"/>
      <c r="L10475" s="16" t="str">
        <f>IFERROR(__xludf.DUMMYFUNCTION("""COMPUTED_VALUE"""),"")</f>
        <v/>
      </c>
      <c r="M10475" s="16" t="str">
        <f>IFERROR(__xludf.DUMMYFUNCTION("""COMPUTED_VALUE"""),"")</f>
        <v/>
      </c>
      <c r="U10475" s="16" t="s">
        <v>87</v>
      </c>
      <c r="V10475" s="16" t="str">
        <f>IFERROR(__xludf.DUMMYFUNCTION("""COMPUTED_VALUE"""),"")</f>
        <v/>
      </c>
      <c r="W10475" s="16" t="str">
        <f>IFERROR(__xludf.DUMMYFUNCTION("""COMPUTED_VALUE"""),"")</f>
        <v/>
      </c>
      <c r="X10475" s="16" t="str">
        <f>IFERROR(__xludf.DUMMYFUNCTION("""COMPUTED_VALUE"""),"")</f>
        <v/>
      </c>
      <c r="AC10475" s="16" t="str">
        <f>IFERROR(__xludf.DUMMYFUNCTION("""COMPUTED_VALUE"""),"")</f>
        <v/>
      </c>
    </row>
    <row r="10476">
      <c r="A10476" s="16" t="s">
        <v>87</v>
      </c>
      <c r="E10476" s="16" t="str">
        <f>IFERROR(__xludf.DUMMYFUNCTION("""COMPUTED_VALUE"""),"")</f>
        <v/>
      </c>
      <c r="G10476" s="18"/>
      <c r="H10476" s="16" t="s">
        <v>87</v>
      </c>
      <c r="I10476" s="16" t="s">
        <v>87</v>
      </c>
      <c r="J10476" s="19"/>
      <c r="L10476" s="16" t="str">
        <f>IFERROR(__xludf.DUMMYFUNCTION("""COMPUTED_VALUE"""),"")</f>
        <v/>
      </c>
      <c r="M10476" s="16" t="str">
        <f>IFERROR(__xludf.DUMMYFUNCTION("""COMPUTED_VALUE"""),"")</f>
        <v/>
      </c>
      <c r="U10476" s="16" t="s">
        <v>87</v>
      </c>
      <c r="V10476" s="16" t="str">
        <f>IFERROR(__xludf.DUMMYFUNCTION("""COMPUTED_VALUE"""),"")</f>
        <v/>
      </c>
      <c r="W10476" s="16" t="str">
        <f>IFERROR(__xludf.DUMMYFUNCTION("""COMPUTED_VALUE"""),"")</f>
        <v/>
      </c>
      <c r="X10476" s="16" t="str">
        <f>IFERROR(__xludf.DUMMYFUNCTION("""COMPUTED_VALUE"""),"")</f>
        <v/>
      </c>
      <c r="AC10476" s="16" t="str">
        <f>IFERROR(__xludf.DUMMYFUNCTION("""COMPUTED_VALUE"""),"")</f>
        <v/>
      </c>
    </row>
    <row r="10477">
      <c r="A10477" s="16" t="s">
        <v>87</v>
      </c>
      <c r="E10477" s="16" t="str">
        <f>IFERROR(__xludf.DUMMYFUNCTION("""COMPUTED_VALUE"""),"")</f>
        <v/>
      </c>
      <c r="G10477" s="18"/>
      <c r="H10477" s="16" t="s">
        <v>87</v>
      </c>
      <c r="I10477" s="16" t="s">
        <v>87</v>
      </c>
      <c r="J10477" s="19"/>
      <c r="L10477" s="16" t="str">
        <f>IFERROR(__xludf.DUMMYFUNCTION("""COMPUTED_VALUE"""),"")</f>
        <v/>
      </c>
      <c r="M10477" s="16" t="str">
        <f>IFERROR(__xludf.DUMMYFUNCTION("""COMPUTED_VALUE"""),"")</f>
        <v/>
      </c>
      <c r="U10477" s="16" t="s">
        <v>87</v>
      </c>
      <c r="V10477" s="16" t="str">
        <f>IFERROR(__xludf.DUMMYFUNCTION("""COMPUTED_VALUE"""),"")</f>
        <v/>
      </c>
      <c r="W10477" s="16" t="str">
        <f>IFERROR(__xludf.DUMMYFUNCTION("""COMPUTED_VALUE"""),"")</f>
        <v/>
      </c>
      <c r="X10477" s="16" t="str">
        <f>IFERROR(__xludf.DUMMYFUNCTION("""COMPUTED_VALUE"""),"")</f>
        <v/>
      </c>
      <c r="AC10477" s="16" t="str">
        <f>IFERROR(__xludf.DUMMYFUNCTION("""COMPUTED_VALUE"""),"")</f>
        <v/>
      </c>
    </row>
    <row r="10478">
      <c r="A10478" s="16" t="s">
        <v>87</v>
      </c>
      <c r="E10478" s="16" t="str">
        <f>IFERROR(__xludf.DUMMYFUNCTION("""COMPUTED_VALUE"""),"")</f>
        <v/>
      </c>
      <c r="G10478" s="18"/>
      <c r="H10478" s="16" t="s">
        <v>87</v>
      </c>
      <c r="I10478" s="16" t="s">
        <v>87</v>
      </c>
      <c r="J10478" s="19"/>
      <c r="L10478" s="16" t="str">
        <f>IFERROR(__xludf.DUMMYFUNCTION("""COMPUTED_VALUE"""),"")</f>
        <v/>
      </c>
      <c r="M10478" s="16" t="str">
        <f>IFERROR(__xludf.DUMMYFUNCTION("""COMPUTED_VALUE"""),"")</f>
        <v/>
      </c>
      <c r="U10478" s="16" t="s">
        <v>87</v>
      </c>
      <c r="V10478" s="16" t="str">
        <f>IFERROR(__xludf.DUMMYFUNCTION("""COMPUTED_VALUE"""),"")</f>
        <v/>
      </c>
      <c r="W10478" s="16" t="str">
        <f>IFERROR(__xludf.DUMMYFUNCTION("""COMPUTED_VALUE"""),"")</f>
        <v/>
      </c>
      <c r="X10478" s="16" t="str">
        <f>IFERROR(__xludf.DUMMYFUNCTION("""COMPUTED_VALUE"""),"")</f>
        <v/>
      </c>
      <c r="AC10478" s="16" t="str">
        <f>IFERROR(__xludf.DUMMYFUNCTION("""COMPUTED_VALUE"""),"")</f>
        <v/>
      </c>
    </row>
    <row r="10479">
      <c r="A10479" s="16" t="s">
        <v>87</v>
      </c>
      <c r="E10479" s="16" t="str">
        <f>IFERROR(__xludf.DUMMYFUNCTION("""COMPUTED_VALUE"""),"")</f>
        <v/>
      </c>
      <c r="G10479" s="18"/>
      <c r="H10479" s="16" t="s">
        <v>87</v>
      </c>
      <c r="I10479" s="16" t="s">
        <v>87</v>
      </c>
      <c r="J10479" s="19"/>
      <c r="L10479" s="16" t="str">
        <f>IFERROR(__xludf.DUMMYFUNCTION("""COMPUTED_VALUE"""),"")</f>
        <v/>
      </c>
      <c r="M10479" s="16" t="str">
        <f>IFERROR(__xludf.DUMMYFUNCTION("""COMPUTED_VALUE"""),"")</f>
        <v/>
      </c>
      <c r="U10479" s="16" t="s">
        <v>87</v>
      </c>
      <c r="V10479" s="16" t="str">
        <f>IFERROR(__xludf.DUMMYFUNCTION("""COMPUTED_VALUE"""),"")</f>
        <v/>
      </c>
      <c r="W10479" s="16" t="str">
        <f>IFERROR(__xludf.DUMMYFUNCTION("""COMPUTED_VALUE"""),"")</f>
        <v/>
      </c>
      <c r="X10479" s="16" t="str">
        <f>IFERROR(__xludf.DUMMYFUNCTION("""COMPUTED_VALUE"""),"")</f>
        <v/>
      </c>
      <c r="AC10479" s="16" t="str">
        <f>IFERROR(__xludf.DUMMYFUNCTION("""COMPUTED_VALUE"""),"")</f>
        <v/>
      </c>
    </row>
    <row r="10480">
      <c r="A10480" s="16" t="s">
        <v>87</v>
      </c>
      <c r="E10480" s="16" t="str">
        <f>IFERROR(__xludf.DUMMYFUNCTION("""COMPUTED_VALUE"""),"")</f>
        <v/>
      </c>
      <c r="G10480" s="18"/>
      <c r="H10480" s="16" t="s">
        <v>87</v>
      </c>
      <c r="I10480" s="16" t="s">
        <v>87</v>
      </c>
      <c r="J10480" s="19"/>
      <c r="L10480" s="16" t="str">
        <f>IFERROR(__xludf.DUMMYFUNCTION("""COMPUTED_VALUE"""),"")</f>
        <v/>
      </c>
      <c r="M10480" s="16" t="str">
        <f>IFERROR(__xludf.DUMMYFUNCTION("""COMPUTED_VALUE"""),"")</f>
        <v/>
      </c>
      <c r="U10480" s="16" t="s">
        <v>87</v>
      </c>
      <c r="V10480" s="16" t="str">
        <f>IFERROR(__xludf.DUMMYFUNCTION("""COMPUTED_VALUE"""),"")</f>
        <v/>
      </c>
      <c r="W10480" s="16" t="str">
        <f>IFERROR(__xludf.DUMMYFUNCTION("""COMPUTED_VALUE"""),"")</f>
        <v/>
      </c>
      <c r="X10480" s="16" t="str">
        <f>IFERROR(__xludf.DUMMYFUNCTION("""COMPUTED_VALUE"""),"")</f>
        <v/>
      </c>
      <c r="AC10480" s="16" t="str">
        <f>IFERROR(__xludf.DUMMYFUNCTION("""COMPUTED_VALUE"""),"")</f>
        <v/>
      </c>
    </row>
    <row r="10481">
      <c r="A10481" s="16" t="s">
        <v>87</v>
      </c>
      <c r="E10481" s="16" t="str">
        <f>IFERROR(__xludf.DUMMYFUNCTION("""COMPUTED_VALUE"""),"")</f>
        <v/>
      </c>
      <c r="G10481" s="18"/>
      <c r="H10481" s="16" t="s">
        <v>87</v>
      </c>
      <c r="I10481" s="16" t="s">
        <v>87</v>
      </c>
      <c r="J10481" s="19"/>
      <c r="L10481" s="16" t="str">
        <f>IFERROR(__xludf.DUMMYFUNCTION("""COMPUTED_VALUE"""),"")</f>
        <v/>
      </c>
      <c r="M10481" s="16" t="str">
        <f>IFERROR(__xludf.DUMMYFUNCTION("""COMPUTED_VALUE"""),"")</f>
        <v/>
      </c>
      <c r="U10481" s="16" t="s">
        <v>87</v>
      </c>
      <c r="V10481" s="16" t="str">
        <f>IFERROR(__xludf.DUMMYFUNCTION("""COMPUTED_VALUE"""),"")</f>
        <v/>
      </c>
      <c r="W10481" s="16" t="str">
        <f>IFERROR(__xludf.DUMMYFUNCTION("""COMPUTED_VALUE"""),"")</f>
        <v/>
      </c>
      <c r="X10481" s="16" t="str">
        <f>IFERROR(__xludf.DUMMYFUNCTION("""COMPUTED_VALUE"""),"")</f>
        <v/>
      </c>
      <c r="AC10481" s="16" t="str">
        <f>IFERROR(__xludf.DUMMYFUNCTION("""COMPUTED_VALUE"""),"")</f>
        <v/>
      </c>
    </row>
    <row r="10482">
      <c r="A10482" s="16" t="s">
        <v>87</v>
      </c>
      <c r="E10482" s="16" t="str">
        <f>IFERROR(__xludf.DUMMYFUNCTION("""COMPUTED_VALUE"""),"")</f>
        <v/>
      </c>
      <c r="G10482" s="18"/>
      <c r="H10482" s="16" t="s">
        <v>87</v>
      </c>
      <c r="I10482" s="16" t="s">
        <v>87</v>
      </c>
      <c r="J10482" s="19"/>
      <c r="L10482" s="16" t="str">
        <f>IFERROR(__xludf.DUMMYFUNCTION("""COMPUTED_VALUE"""),"")</f>
        <v/>
      </c>
      <c r="M10482" s="16" t="str">
        <f>IFERROR(__xludf.DUMMYFUNCTION("""COMPUTED_VALUE"""),"")</f>
        <v/>
      </c>
      <c r="U10482" s="16" t="s">
        <v>87</v>
      </c>
      <c r="V10482" s="16" t="str">
        <f>IFERROR(__xludf.DUMMYFUNCTION("""COMPUTED_VALUE"""),"")</f>
        <v/>
      </c>
      <c r="W10482" s="16" t="str">
        <f>IFERROR(__xludf.DUMMYFUNCTION("""COMPUTED_VALUE"""),"")</f>
        <v/>
      </c>
      <c r="X10482" s="16" t="str">
        <f>IFERROR(__xludf.DUMMYFUNCTION("""COMPUTED_VALUE"""),"")</f>
        <v/>
      </c>
      <c r="AC10482" s="16" t="str">
        <f>IFERROR(__xludf.DUMMYFUNCTION("""COMPUTED_VALUE"""),"")</f>
        <v/>
      </c>
    </row>
    <row r="10483">
      <c r="A10483" s="16" t="s">
        <v>87</v>
      </c>
      <c r="E10483" s="16" t="str">
        <f>IFERROR(__xludf.DUMMYFUNCTION("""COMPUTED_VALUE"""),"")</f>
        <v/>
      </c>
      <c r="G10483" s="18"/>
      <c r="H10483" s="16" t="s">
        <v>87</v>
      </c>
      <c r="I10483" s="16" t="s">
        <v>87</v>
      </c>
      <c r="J10483" s="19"/>
      <c r="L10483" s="16" t="str">
        <f>IFERROR(__xludf.DUMMYFUNCTION("""COMPUTED_VALUE"""),"")</f>
        <v/>
      </c>
      <c r="M10483" s="16" t="str">
        <f>IFERROR(__xludf.DUMMYFUNCTION("""COMPUTED_VALUE"""),"")</f>
        <v/>
      </c>
      <c r="U10483" s="16" t="s">
        <v>87</v>
      </c>
      <c r="V10483" s="16" t="str">
        <f>IFERROR(__xludf.DUMMYFUNCTION("""COMPUTED_VALUE"""),"")</f>
        <v/>
      </c>
      <c r="W10483" s="16" t="str">
        <f>IFERROR(__xludf.DUMMYFUNCTION("""COMPUTED_VALUE"""),"")</f>
        <v/>
      </c>
      <c r="X10483" s="16" t="str">
        <f>IFERROR(__xludf.DUMMYFUNCTION("""COMPUTED_VALUE"""),"")</f>
        <v/>
      </c>
      <c r="AC10483" s="16" t="str">
        <f>IFERROR(__xludf.DUMMYFUNCTION("""COMPUTED_VALUE"""),"")</f>
        <v/>
      </c>
    </row>
    <row r="10484">
      <c r="A10484" s="16" t="s">
        <v>87</v>
      </c>
      <c r="E10484" s="16" t="str">
        <f>IFERROR(__xludf.DUMMYFUNCTION("""COMPUTED_VALUE"""),"")</f>
        <v/>
      </c>
      <c r="G10484" s="18"/>
      <c r="H10484" s="16" t="s">
        <v>87</v>
      </c>
      <c r="I10484" s="16" t="s">
        <v>87</v>
      </c>
      <c r="J10484" s="19"/>
      <c r="L10484" s="16" t="str">
        <f>IFERROR(__xludf.DUMMYFUNCTION("""COMPUTED_VALUE"""),"")</f>
        <v/>
      </c>
      <c r="M10484" s="16" t="str">
        <f>IFERROR(__xludf.DUMMYFUNCTION("""COMPUTED_VALUE"""),"")</f>
        <v/>
      </c>
      <c r="U10484" s="16" t="s">
        <v>87</v>
      </c>
      <c r="V10484" s="16" t="str">
        <f>IFERROR(__xludf.DUMMYFUNCTION("""COMPUTED_VALUE"""),"")</f>
        <v/>
      </c>
      <c r="W10484" s="16" t="str">
        <f>IFERROR(__xludf.DUMMYFUNCTION("""COMPUTED_VALUE"""),"")</f>
        <v/>
      </c>
      <c r="X10484" s="16" t="str">
        <f>IFERROR(__xludf.DUMMYFUNCTION("""COMPUTED_VALUE"""),"")</f>
        <v/>
      </c>
      <c r="AC10484" s="16" t="str">
        <f>IFERROR(__xludf.DUMMYFUNCTION("""COMPUTED_VALUE"""),"")</f>
        <v/>
      </c>
    </row>
    <row r="10485">
      <c r="A10485" s="16" t="s">
        <v>87</v>
      </c>
      <c r="E10485" s="16" t="str">
        <f>IFERROR(__xludf.DUMMYFUNCTION("""COMPUTED_VALUE"""),"")</f>
        <v/>
      </c>
      <c r="G10485" s="18"/>
      <c r="H10485" s="16" t="s">
        <v>87</v>
      </c>
      <c r="I10485" s="16" t="s">
        <v>87</v>
      </c>
      <c r="J10485" s="19"/>
      <c r="L10485" s="16" t="str">
        <f>IFERROR(__xludf.DUMMYFUNCTION("""COMPUTED_VALUE"""),"")</f>
        <v/>
      </c>
      <c r="M10485" s="16" t="str">
        <f>IFERROR(__xludf.DUMMYFUNCTION("""COMPUTED_VALUE"""),"")</f>
        <v/>
      </c>
      <c r="U10485" s="16" t="s">
        <v>87</v>
      </c>
      <c r="V10485" s="16" t="str">
        <f>IFERROR(__xludf.DUMMYFUNCTION("""COMPUTED_VALUE"""),"")</f>
        <v/>
      </c>
      <c r="W10485" s="16" t="str">
        <f>IFERROR(__xludf.DUMMYFUNCTION("""COMPUTED_VALUE"""),"")</f>
        <v/>
      </c>
      <c r="X10485" s="16" t="str">
        <f>IFERROR(__xludf.DUMMYFUNCTION("""COMPUTED_VALUE"""),"")</f>
        <v/>
      </c>
      <c r="AC10485" s="16" t="str">
        <f>IFERROR(__xludf.DUMMYFUNCTION("""COMPUTED_VALUE"""),"")</f>
        <v/>
      </c>
    </row>
    <row r="10486">
      <c r="A10486" s="16" t="s">
        <v>87</v>
      </c>
      <c r="E10486" s="16" t="str">
        <f>IFERROR(__xludf.DUMMYFUNCTION("""COMPUTED_VALUE"""),"")</f>
        <v/>
      </c>
      <c r="G10486" s="18"/>
      <c r="H10486" s="16" t="s">
        <v>87</v>
      </c>
      <c r="I10486" s="16" t="s">
        <v>87</v>
      </c>
      <c r="J10486" s="19"/>
      <c r="L10486" s="16" t="str">
        <f>IFERROR(__xludf.DUMMYFUNCTION("""COMPUTED_VALUE"""),"")</f>
        <v/>
      </c>
      <c r="M10486" s="16" t="str">
        <f>IFERROR(__xludf.DUMMYFUNCTION("""COMPUTED_VALUE"""),"")</f>
        <v/>
      </c>
      <c r="U10486" s="16" t="s">
        <v>87</v>
      </c>
      <c r="V10486" s="16" t="str">
        <f>IFERROR(__xludf.DUMMYFUNCTION("""COMPUTED_VALUE"""),"")</f>
        <v/>
      </c>
      <c r="W10486" s="16" t="str">
        <f>IFERROR(__xludf.DUMMYFUNCTION("""COMPUTED_VALUE"""),"")</f>
        <v/>
      </c>
      <c r="X10486" s="16" t="str">
        <f>IFERROR(__xludf.DUMMYFUNCTION("""COMPUTED_VALUE"""),"")</f>
        <v/>
      </c>
      <c r="AC10486" s="16" t="str">
        <f>IFERROR(__xludf.DUMMYFUNCTION("""COMPUTED_VALUE"""),"")</f>
        <v/>
      </c>
    </row>
    <row r="10487">
      <c r="A10487" s="16" t="s">
        <v>87</v>
      </c>
      <c r="E10487" s="16" t="str">
        <f>IFERROR(__xludf.DUMMYFUNCTION("""COMPUTED_VALUE"""),"")</f>
        <v/>
      </c>
      <c r="G10487" s="18"/>
      <c r="H10487" s="16" t="s">
        <v>87</v>
      </c>
      <c r="I10487" s="16" t="s">
        <v>87</v>
      </c>
      <c r="J10487" s="19"/>
      <c r="L10487" s="16" t="str">
        <f>IFERROR(__xludf.DUMMYFUNCTION("""COMPUTED_VALUE"""),"")</f>
        <v/>
      </c>
      <c r="M10487" s="16" t="str">
        <f>IFERROR(__xludf.DUMMYFUNCTION("""COMPUTED_VALUE"""),"")</f>
        <v/>
      </c>
      <c r="U10487" s="16" t="s">
        <v>87</v>
      </c>
      <c r="V10487" s="16" t="str">
        <f>IFERROR(__xludf.DUMMYFUNCTION("""COMPUTED_VALUE"""),"")</f>
        <v/>
      </c>
      <c r="W10487" s="16" t="str">
        <f>IFERROR(__xludf.DUMMYFUNCTION("""COMPUTED_VALUE"""),"")</f>
        <v/>
      </c>
      <c r="X10487" s="16" t="str">
        <f>IFERROR(__xludf.DUMMYFUNCTION("""COMPUTED_VALUE"""),"")</f>
        <v/>
      </c>
      <c r="AC10487" s="16" t="str">
        <f>IFERROR(__xludf.DUMMYFUNCTION("""COMPUTED_VALUE"""),"")</f>
        <v/>
      </c>
    </row>
    <row r="10488">
      <c r="A10488" s="16" t="s">
        <v>87</v>
      </c>
      <c r="E10488" s="16" t="str">
        <f>IFERROR(__xludf.DUMMYFUNCTION("""COMPUTED_VALUE"""),"")</f>
        <v/>
      </c>
      <c r="G10488" s="18"/>
      <c r="H10488" s="16" t="s">
        <v>87</v>
      </c>
      <c r="I10488" s="16" t="s">
        <v>87</v>
      </c>
      <c r="J10488" s="19"/>
      <c r="L10488" s="16" t="str">
        <f>IFERROR(__xludf.DUMMYFUNCTION("""COMPUTED_VALUE"""),"")</f>
        <v/>
      </c>
      <c r="M10488" s="16" t="str">
        <f>IFERROR(__xludf.DUMMYFUNCTION("""COMPUTED_VALUE"""),"")</f>
        <v/>
      </c>
      <c r="U10488" s="16" t="s">
        <v>87</v>
      </c>
      <c r="V10488" s="16" t="str">
        <f>IFERROR(__xludf.DUMMYFUNCTION("""COMPUTED_VALUE"""),"")</f>
        <v/>
      </c>
      <c r="W10488" s="16" t="str">
        <f>IFERROR(__xludf.DUMMYFUNCTION("""COMPUTED_VALUE"""),"")</f>
        <v/>
      </c>
      <c r="X10488" s="16" t="str">
        <f>IFERROR(__xludf.DUMMYFUNCTION("""COMPUTED_VALUE"""),"")</f>
        <v/>
      </c>
      <c r="AC10488" s="16" t="str">
        <f>IFERROR(__xludf.DUMMYFUNCTION("""COMPUTED_VALUE"""),"")</f>
        <v/>
      </c>
    </row>
    <row r="10489">
      <c r="A10489" s="16" t="s">
        <v>87</v>
      </c>
      <c r="E10489" s="16" t="str">
        <f>IFERROR(__xludf.DUMMYFUNCTION("""COMPUTED_VALUE"""),"")</f>
        <v/>
      </c>
      <c r="G10489" s="18"/>
      <c r="H10489" s="16" t="s">
        <v>87</v>
      </c>
      <c r="I10489" s="16" t="s">
        <v>87</v>
      </c>
      <c r="J10489" s="19"/>
      <c r="L10489" s="16" t="str">
        <f>IFERROR(__xludf.DUMMYFUNCTION("""COMPUTED_VALUE"""),"")</f>
        <v/>
      </c>
      <c r="M10489" s="16" t="str">
        <f>IFERROR(__xludf.DUMMYFUNCTION("""COMPUTED_VALUE"""),"")</f>
        <v/>
      </c>
      <c r="U10489" s="16" t="s">
        <v>87</v>
      </c>
      <c r="V10489" s="16" t="str">
        <f>IFERROR(__xludf.DUMMYFUNCTION("""COMPUTED_VALUE"""),"")</f>
        <v/>
      </c>
      <c r="W10489" s="16" t="str">
        <f>IFERROR(__xludf.DUMMYFUNCTION("""COMPUTED_VALUE"""),"")</f>
        <v/>
      </c>
      <c r="X10489" s="16" t="str">
        <f>IFERROR(__xludf.DUMMYFUNCTION("""COMPUTED_VALUE"""),"")</f>
        <v/>
      </c>
      <c r="AC10489" s="16" t="str">
        <f>IFERROR(__xludf.DUMMYFUNCTION("""COMPUTED_VALUE"""),"")</f>
        <v/>
      </c>
    </row>
    <row r="10490">
      <c r="A10490" s="16" t="s">
        <v>87</v>
      </c>
      <c r="E10490" s="16" t="str">
        <f>IFERROR(__xludf.DUMMYFUNCTION("""COMPUTED_VALUE"""),"")</f>
        <v/>
      </c>
      <c r="G10490" s="18"/>
      <c r="H10490" s="16" t="s">
        <v>87</v>
      </c>
      <c r="I10490" s="16" t="s">
        <v>87</v>
      </c>
      <c r="J10490" s="19"/>
      <c r="L10490" s="16" t="str">
        <f>IFERROR(__xludf.DUMMYFUNCTION("""COMPUTED_VALUE"""),"")</f>
        <v/>
      </c>
      <c r="M10490" s="16" t="str">
        <f>IFERROR(__xludf.DUMMYFUNCTION("""COMPUTED_VALUE"""),"")</f>
        <v/>
      </c>
      <c r="U10490" s="16" t="s">
        <v>87</v>
      </c>
      <c r="V10490" s="16" t="str">
        <f>IFERROR(__xludf.DUMMYFUNCTION("""COMPUTED_VALUE"""),"")</f>
        <v/>
      </c>
      <c r="W10490" s="16" t="str">
        <f>IFERROR(__xludf.DUMMYFUNCTION("""COMPUTED_VALUE"""),"")</f>
        <v/>
      </c>
      <c r="X10490" s="16" t="str">
        <f>IFERROR(__xludf.DUMMYFUNCTION("""COMPUTED_VALUE"""),"")</f>
        <v/>
      </c>
      <c r="AC10490" s="16" t="str">
        <f>IFERROR(__xludf.DUMMYFUNCTION("""COMPUTED_VALUE"""),"")</f>
        <v/>
      </c>
    </row>
    <row r="10491">
      <c r="A10491" s="16" t="s">
        <v>87</v>
      </c>
      <c r="E10491" s="16" t="str">
        <f>IFERROR(__xludf.DUMMYFUNCTION("""COMPUTED_VALUE"""),"")</f>
        <v/>
      </c>
      <c r="G10491" s="18"/>
      <c r="H10491" s="16" t="s">
        <v>87</v>
      </c>
      <c r="I10491" s="16" t="s">
        <v>87</v>
      </c>
      <c r="J10491" s="19"/>
      <c r="L10491" s="16" t="str">
        <f>IFERROR(__xludf.DUMMYFUNCTION("""COMPUTED_VALUE"""),"")</f>
        <v/>
      </c>
      <c r="M10491" s="16" t="str">
        <f>IFERROR(__xludf.DUMMYFUNCTION("""COMPUTED_VALUE"""),"")</f>
        <v/>
      </c>
      <c r="U10491" s="16" t="s">
        <v>87</v>
      </c>
      <c r="V10491" s="16" t="str">
        <f>IFERROR(__xludf.DUMMYFUNCTION("""COMPUTED_VALUE"""),"")</f>
        <v/>
      </c>
      <c r="W10491" s="16" t="str">
        <f>IFERROR(__xludf.DUMMYFUNCTION("""COMPUTED_VALUE"""),"")</f>
        <v/>
      </c>
      <c r="X10491" s="16" t="str">
        <f>IFERROR(__xludf.DUMMYFUNCTION("""COMPUTED_VALUE"""),"")</f>
        <v/>
      </c>
      <c r="AC10491" s="16" t="str">
        <f>IFERROR(__xludf.DUMMYFUNCTION("""COMPUTED_VALUE"""),"")</f>
        <v/>
      </c>
    </row>
    <row r="10492">
      <c r="A10492" s="16" t="s">
        <v>87</v>
      </c>
      <c r="E10492" s="16" t="str">
        <f>IFERROR(__xludf.DUMMYFUNCTION("""COMPUTED_VALUE"""),"")</f>
        <v/>
      </c>
      <c r="G10492" s="18"/>
      <c r="H10492" s="16" t="s">
        <v>87</v>
      </c>
      <c r="I10492" s="16" t="s">
        <v>87</v>
      </c>
      <c r="J10492" s="19"/>
      <c r="L10492" s="16" t="str">
        <f>IFERROR(__xludf.DUMMYFUNCTION("""COMPUTED_VALUE"""),"")</f>
        <v/>
      </c>
      <c r="M10492" s="16" t="str">
        <f>IFERROR(__xludf.DUMMYFUNCTION("""COMPUTED_VALUE"""),"")</f>
        <v/>
      </c>
      <c r="U10492" s="16" t="s">
        <v>87</v>
      </c>
      <c r="V10492" s="16" t="str">
        <f>IFERROR(__xludf.DUMMYFUNCTION("""COMPUTED_VALUE"""),"")</f>
        <v/>
      </c>
      <c r="W10492" s="16" t="str">
        <f>IFERROR(__xludf.DUMMYFUNCTION("""COMPUTED_VALUE"""),"")</f>
        <v/>
      </c>
      <c r="X10492" s="16" t="str">
        <f>IFERROR(__xludf.DUMMYFUNCTION("""COMPUTED_VALUE"""),"")</f>
        <v/>
      </c>
      <c r="AC10492" s="16" t="str">
        <f>IFERROR(__xludf.DUMMYFUNCTION("""COMPUTED_VALUE"""),"")</f>
        <v/>
      </c>
    </row>
    <row r="10493">
      <c r="A10493" s="16" t="s">
        <v>87</v>
      </c>
      <c r="E10493" s="16" t="str">
        <f>IFERROR(__xludf.DUMMYFUNCTION("""COMPUTED_VALUE"""),"")</f>
        <v/>
      </c>
      <c r="G10493" s="18"/>
      <c r="H10493" s="16" t="s">
        <v>87</v>
      </c>
      <c r="I10493" s="16" t="s">
        <v>87</v>
      </c>
      <c r="J10493" s="19"/>
      <c r="L10493" s="16" t="str">
        <f>IFERROR(__xludf.DUMMYFUNCTION("""COMPUTED_VALUE"""),"")</f>
        <v/>
      </c>
      <c r="M10493" s="16" t="str">
        <f>IFERROR(__xludf.DUMMYFUNCTION("""COMPUTED_VALUE"""),"")</f>
        <v/>
      </c>
      <c r="U10493" s="16" t="s">
        <v>87</v>
      </c>
      <c r="V10493" s="16" t="str">
        <f>IFERROR(__xludf.DUMMYFUNCTION("""COMPUTED_VALUE"""),"")</f>
        <v/>
      </c>
      <c r="W10493" s="16" t="str">
        <f>IFERROR(__xludf.DUMMYFUNCTION("""COMPUTED_VALUE"""),"")</f>
        <v/>
      </c>
      <c r="X10493" s="16" t="str">
        <f>IFERROR(__xludf.DUMMYFUNCTION("""COMPUTED_VALUE"""),"")</f>
        <v/>
      </c>
      <c r="AC10493" s="16" t="str">
        <f>IFERROR(__xludf.DUMMYFUNCTION("""COMPUTED_VALUE"""),"")</f>
        <v/>
      </c>
    </row>
    <row r="10494">
      <c r="A10494" s="16" t="s">
        <v>87</v>
      </c>
      <c r="E10494" s="16" t="str">
        <f>IFERROR(__xludf.DUMMYFUNCTION("""COMPUTED_VALUE"""),"")</f>
        <v/>
      </c>
      <c r="G10494" s="18"/>
      <c r="H10494" s="16" t="s">
        <v>87</v>
      </c>
      <c r="I10494" s="16" t="s">
        <v>87</v>
      </c>
      <c r="J10494" s="19"/>
      <c r="L10494" s="16" t="str">
        <f>IFERROR(__xludf.DUMMYFUNCTION("""COMPUTED_VALUE"""),"")</f>
        <v/>
      </c>
      <c r="M10494" s="16" t="str">
        <f>IFERROR(__xludf.DUMMYFUNCTION("""COMPUTED_VALUE"""),"")</f>
        <v/>
      </c>
      <c r="U10494" s="16" t="s">
        <v>87</v>
      </c>
      <c r="V10494" s="16" t="str">
        <f>IFERROR(__xludf.DUMMYFUNCTION("""COMPUTED_VALUE"""),"")</f>
        <v/>
      </c>
      <c r="W10494" s="16" t="str">
        <f>IFERROR(__xludf.DUMMYFUNCTION("""COMPUTED_VALUE"""),"")</f>
        <v/>
      </c>
      <c r="X10494" s="16" t="str">
        <f>IFERROR(__xludf.DUMMYFUNCTION("""COMPUTED_VALUE"""),"")</f>
        <v/>
      </c>
      <c r="AC10494" s="16" t="str">
        <f>IFERROR(__xludf.DUMMYFUNCTION("""COMPUTED_VALUE"""),"")</f>
        <v/>
      </c>
    </row>
    <row r="10495">
      <c r="A10495" s="16" t="s">
        <v>87</v>
      </c>
      <c r="E10495" s="16" t="str">
        <f>IFERROR(__xludf.DUMMYFUNCTION("""COMPUTED_VALUE"""),"")</f>
        <v/>
      </c>
      <c r="G10495" s="18"/>
      <c r="H10495" s="16" t="s">
        <v>87</v>
      </c>
      <c r="I10495" s="16" t="s">
        <v>87</v>
      </c>
      <c r="J10495" s="19"/>
      <c r="L10495" s="16" t="str">
        <f>IFERROR(__xludf.DUMMYFUNCTION("""COMPUTED_VALUE"""),"")</f>
        <v/>
      </c>
      <c r="M10495" s="16" t="str">
        <f>IFERROR(__xludf.DUMMYFUNCTION("""COMPUTED_VALUE"""),"")</f>
        <v/>
      </c>
      <c r="U10495" s="16" t="s">
        <v>87</v>
      </c>
      <c r="V10495" s="16" t="str">
        <f>IFERROR(__xludf.DUMMYFUNCTION("""COMPUTED_VALUE"""),"")</f>
        <v/>
      </c>
      <c r="W10495" s="16" t="str">
        <f>IFERROR(__xludf.DUMMYFUNCTION("""COMPUTED_VALUE"""),"")</f>
        <v/>
      </c>
      <c r="X10495" s="16" t="str">
        <f>IFERROR(__xludf.DUMMYFUNCTION("""COMPUTED_VALUE"""),"")</f>
        <v/>
      </c>
      <c r="AC10495" s="16" t="str">
        <f>IFERROR(__xludf.DUMMYFUNCTION("""COMPUTED_VALUE"""),"")</f>
        <v/>
      </c>
    </row>
    <row r="10496">
      <c r="A10496" s="16" t="s">
        <v>87</v>
      </c>
      <c r="E10496" s="16" t="str">
        <f>IFERROR(__xludf.DUMMYFUNCTION("""COMPUTED_VALUE"""),"")</f>
        <v/>
      </c>
      <c r="G10496" s="18"/>
      <c r="H10496" s="16" t="s">
        <v>87</v>
      </c>
      <c r="I10496" s="16" t="s">
        <v>87</v>
      </c>
      <c r="J10496" s="19"/>
      <c r="L10496" s="16" t="str">
        <f>IFERROR(__xludf.DUMMYFUNCTION("""COMPUTED_VALUE"""),"")</f>
        <v/>
      </c>
      <c r="M10496" s="16" t="str">
        <f>IFERROR(__xludf.DUMMYFUNCTION("""COMPUTED_VALUE"""),"")</f>
        <v/>
      </c>
      <c r="U10496" s="16" t="s">
        <v>87</v>
      </c>
      <c r="V10496" s="16" t="str">
        <f>IFERROR(__xludf.DUMMYFUNCTION("""COMPUTED_VALUE"""),"")</f>
        <v/>
      </c>
      <c r="W10496" s="16" t="str">
        <f>IFERROR(__xludf.DUMMYFUNCTION("""COMPUTED_VALUE"""),"")</f>
        <v/>
      </c>
      <c r="X10496" s="16" t="str">
        <f>IFERROR(__xludf.DUMMYFUNCTION("""COMPUTED_VALUE"""),"")</f>
        <v/>
      </c>
      <c r="AC10496" s="16" t="str">
        <f>IFERROR(__xludf.DUMMYFUNCTION("""COMPUTED_VALUE"""),"")</f>
        <v/>
      </c>
    </row>
    <row r="10497">
      <c r="A10497" s="16" t="s">
        <v>87</v>
      </c>
      <c r="E10497" s="16" t="str">
        <f>IFERROR(__xludf.DUMMYFUNCTION("""COMPUTED_VALUE"""),"")</f>
        <v/>
      </c>
      <c r="G10497" s="18"/>
      <c r="H10497" s="16" t="s">
        <v>87</v>
      </c>
      <c r="I10497" s="16" t="s">
        <v>87</v>
      </c>
      <c r="J10497" s="19"/>
      <c r="L10497" s="16" t="str">
        <f>IFERROR(__xludf.DUMMYFUNCTION("""COMPUTED_VALUE"""),"")</f>
        <v/>
      </c>
      <c r="M10497" s="16" t="str">
        <f>IFERROR(__xludf.DUMMYFUNCTION("""COMPUTED_VALUE"""),"")</f>
        <v/>
      </c>
      <c r="U10497" s="16" t="s">
        <v>87</v>
      </c>
      <c r="V10497" s="16" t="str">
        <f>IFERROR(__xludf.DUMMYFUNCTION("""COMPUTED_VALUE"""),"")</f>
        <v/>
      </c>
      <c r="W10497" s="16" t="str">
        <f>IFERROR(__xludf.DUMMYFUNCTION("""COMPUTED_VALUE"""),"")</f>
        <v/>
      </c>
      <c r="X10497" s="16" t="str">
        <f>IFERROR(__xludf.DUMMYFUNCTION("""COMPUTED_VALUE"""),"")</f>
        <v/>
      </c>
      <c r="AC10497" s="16" t="str">
        <f>IFERROR(__xludf.DUMMYFUNCTION("""COMPUTED_VALUE"""),"")</f>
        <v/>
      </c>
    </row>
    <row r="10498">
      <c r="A10498" s="16" t="s">
        <v>87</v>
      </c>
      <c r="E10498" s="16" t="str">
        <f>IFERROR(__xludf.DUMMYFUNCTION("""COMPUTED_VALUE"""),"")</f>
        <v/>
      </c>
      <c r="G10498" s="18"/>
      <c r="H10498" s="16" t="s">
        <v>87</v>
      </c>
      <c r="I10498" s="16" t="s">
        <v>87</v>
      </c>
      <c r="J10498" s="19"/>
      <c r="L10498" s="16" t="str">
        <f>IFERROR(__xludf.DUMMYFUNCTION("""COMPUTED_VALUE"""),"")</f>
        <v/>
      </c>
      <c r="M10498" s="16" t="str">
        <f>IFERROR(__xludf.DUMMYFUNCTION("""COMPUTED_VALUE"""),"")</f>
        <v/>
      </c>
      <c r="U10498" s="16" t="s">
        <v>87</v>
      </c>
      <c r="V10498" s="16" t="str">
        <f>IFERROR(__xludf.DUMMYFUNCTION("""COMPUTED_VALUE"""),"")</f>
        <v/>
      </c>
      <c r="W10498" s="16" t="str">
        <f>IFERROR(__xludf.DUMMYFUNCTION("""COMPUTED_VALUE"""),"")</f>
        <v/>
      </c>
      <c r="X10498" s="16" t="str">
        <f>IFERROR(__xludf.DUMMYFUNCTION("""COMPUTED_VALUE"""),"")</f>
        <v/>
      </c>
      <c r="AC10498" s="16" t="str">
        <f>IFERROR(__xludf.DUMMYFUNCTION("""COMPUTED_VALUE"""),"")</f>
        <v/>
      </c>
    </row>
    <row r="10499">
      <c r="A10499" s="16" t="s">
        <v>87</v>
      </c>
      <c r="E10499" s="16" t="str">
        <f>IFERROR(__xludf.DUMMYFUNCTION("""COMPUTED_VALUE"""),"")</f>
        <v/>
      </c>
      <c r="G10499" s="18"/>
      <c r="H10499" s="16" t="s">
        <v>87</v>
      </c>
      <c r="I10499" s="16" t="s">
        <v>87</v>
      </c>
      <c r="J10499" s="19"/>
      <c r="L10499" s="16" t="str">
        <f>IFERROR(__xludf.DUMMYFUNCTION("""COMPUTED_VALUE"""),"")</f>
        <v/>
      </c>
      <c r="M10499" s="16" t="str">
        <f>IFERROR(__xludf.DUMMYFUNCTION("""COMPUTED_VALUE"""),"")</f>
        <v/>
      </c>
      <c r="U10499" s="16" t="s">
        <v>87</v>
      </c>
      <c r="V10499" s="16" t="str">
        <f>IFERROR(__xludf.DUMMYFUNCTION("""COMPUTED_VALUE"""),"")</f>
        <v/>
      </c>
      <c r="W10499" s="16" t="str">
        <f>IFERROR(__xludf.DUMMYFUNCTION("""COMPUTED_VALUE"""),"")</f>
        <v/>
      </c>
      <c r="X10499" s="16" t="str">
        <f>IFERROR(__xludf.DUMMYFUNCTION("""COMPUTED_VALUE"""),"")</f>
        <v/>
      </c>
      <c r="AC10499" s="16" t="str">
        <f>IFERROR(__xludf.DUMMYFUNCTION("""COMPUTED_VALUE"""),"")</f>
        <v/>
      </c>
    </row>
    <row r="10500">
      <c r="A10500" s="16" t="s">
        <v>87</v>
      </c>
      <c r="E10500" s="16" t="str">
        <f>IFERROR(__xludf.DUMMYFUNCTION("""COMPUTED_VALUE"""),"")</f>
        <v/>
      </c>
      <c r="G10500" s="18"/>
      <c r="H10500" s="16" t="s">
        <v>87</v>
      </c>
      <c r="I10500" s="16" t="s">
        <v>87</v>
      </c>
      <c r="J10500" s="19"/>
      <c r="L10500" s="16" t="str">
        <f>IFERROR(__xludf.DUMMYFUNCTION("""COMPUTED_VALUE"""),"")</f>
        <v/>
      </c>
      <c r="M10500" s="16" t="str">
        <f>IFERROR(__xludf.DUMMYFUNCTION("""COMPUTED_VALUE"""),"")</f>
        <v/>
      </c>
      <c r="U10500" s="16" t="s">
        <v>87</v>
      </c>
      <c r="V10500" s="16" t="str">
        <f>IFERROR(__xludf.DUMMYFUNCTION("""COMPUTED_VALUE"""),"")</f>
        <v/>
      </c>
      <c r="W10500" s="16" t="str">
        <f>IFERROR(__xludf.DUMMYFUNCTION("""COMPUTED_VALUE"""),"")</f>
        <v/>
      </c>
      <c r="X10500" s="16" t="str">
        <f>IFERROR(__xludf.DUMMYFUNCTION("""COMPUTED_VALUE"""),"")</f>
        <v/>
      </c>
      <c r="AC10500" s="16" t="str">
        <f>IFERROR(__xludf.DUMMYFUNCTION("""COMPUTED_VALUE"""),"")</f>
        <v/>
      </c>
    </row>
    <row r="10501">
      <c r="A10501" s="16" t="s">
        <v>87</v>
      </c>
      <c r="E10501" s="16" t="str">
        <f>IFERROR(__xludf.DUMMYFUNCTION("""COMPUTED_VALUE"""),"")</f>
        <v/>
      </c>
      <c r="G10501" s="18"/>
      <c r="H10501" s="16" t="s">
        <v>87</v>
      </c>
      <c r="I10501" s="16" t="s">
        <v>87</v>
      </c>
      <c r="J10501" s="19"/>
      <c r="L10501" s="16" t="str">
        <f>IFERROR(__xludf.DUMMYFUNCTION("""COMPUTED_VALUE"""),"")</f>
        <v/>
      </c>
      <c r="M10501" s="16" t="str">
        <f>IFERROR(__xludf.DUMMYFUNCTION("""COMPUTED_VALUE"""),"")</f>
        <v/>
      </c>
      <c r="U10501" s="16" t="s">
        <v>87</v>
      </c>
      <c r="V10501" s="16" t="str">
        <f>IFERROR(__xludf.DUMMYFUNCTION("""COMPUTED_VALUE"""),"")</f>
        <v/>
      </c>
      <c r="W10501" s="16" t="str">
        <f>IFERROR(__xludf.DUMMYFUNCTION("""COMPUTED_VALUE"""),"")</f>
        <v/>
      </c>
      <c r="X10501" s="16" t="str">
        <f>IFERROR(__xludf.DUMMYFUNCTION("""COMPUTED_VALUE"""),"")</f>
        <v/>
      </c>
      <c r="AC10501" s="16" t="str">
        <f>IFERROR(__xludf.DUMMYFUNCTION("""COMPUTED_VALUE"""),"")</f>
        <v/>
      </c>
    </row>
    <row r="10502">
      <c r="A10502" s="16" t="s">
        <v>87</v>
      </c>
      <c r="E10502" s="16" t="str">
        <f>IFERROR(__xludf.DUMMYFUNCTION("""COMPUTED_VALUE"""),"")</f>
        <v/>
      </c>
      <c r="G10502" s="18"/>
      <c r="H10502" s="16" t="s">
        <v>87</v>
      </c>
      <c r="I10502" s="16" t="s">
        <v>87</v>
      </c>
      <c r="J10502" s="19"/>
      <c r="L10502" s="16" t="str">
        <f>IFERROR(__xludf.DUMMYFUNCTION("""COMPUTED_VALUE"""),"")</f>
        <v/>
      </c>
      <c r="M10502" s="16" t="str">
        <f>IFERROR(__xludf.DUMMYFUNCTION("""COMPUTED_VALUE"""),"")</f>
        <v/>
      </c>
      <c r="U10502" s="16" t="s">
        <v>87</v>
      </c>
      <c r="V10502" s="16" t="str">
        <f>IFERROR(__xludf.DUMMYFUNCTION("""COMPUTED_VALUE"""),"")</f>
        <v/>
      </c>
      <c r="W10502" s="16" t="str">
        <f>IFERROR(__xludf.DUMMYFUNCTION("""COMPUTED_VALUE"""),"")</f>
        <v/>
      </c>
      <c r="X10502" s="16" t="str">
        <f>IFERROR(__xludf.DUMMYFUNCTION("""COMPUTED_VALUE"""),"")</f>
        <v/>
      </c>
      <c r="AC10502" s="16" t="str">
        <f>IFERROR(__xludf.DUMMYFUNCTION("""COMPUTED_VALUE"""),"")</f>
        <v/>
      </c>
    </row>
    <row r="10503">
      <c r="A10503" s="16" t="s">
        <v>87</v>
      </c>
      <c r="E10503" s="16" t="str">
        <f>IFERROR(__xludf.DUMMYFUNCTION("""COMPUTED_VALUE"""),"")</f>
        <v/>
      </c>
      <c r="G10503" s="18"/>
      <c r="H10503" s="16" t="s">
        <v>87</v>
      </c>
      <c r="I10503" s="16" t="s">
        <v>87</v>
      </c>
      <c r="J10503" s="19"/>
      <c r="L10503" s="16" t="str">
        <f>IFERROR(__xludf.DUMMYFUNCTION("""COMPUTED_VALUE"""),"")</f>
        <v/>
      </c>
      <c r="M10503" s="16" t="str">
        <f>IFERROR(__xludf.DUMMYFUNCTION("""COMPUTED_VALUE"""),"")</f>
        <v/>
      </c>
      <c r="U10503" s="16" t="s">
        <v>87</v>
      </c>
      <c r="V10503" s="16" t="str">
        <f>IFERROR(__xludf.DUMMYFUNCTION("""COMPUTED_VALUE"""),"")</f>
        <v/>
      </c>
      <c r="W10503" s="16" t="str">
        <f>IFERROR(__xludf.DUMMYFUNCTION("""COMPUTED_VALUE"""),"")</f>
        <v/>
      </c>
      <c r="X10503" s="16" t="str">
        <f>IFERROR(__xludf.DUMMYFUNCTION("""COMPUTED_VALUE"""),"")</f>
        <v/>
      </c>
      <c r="AC10503" s="16" t="str">
        <f>IFERROR(__xludf.DUMMYFUNCTION("""COMPUTED_VALUE"""),"")</f>
        <v/>
      </c>
    </row>
    <row r="10504">
      <c r="A10504" s="16" t="s">
        <v>87</v>
      </c>
      <c r="E10504" s="16" t="str">
        <f>IFERROR(__xludf.DUMMYFUNCTION("""COMPUTED_VALUE"""),"")</f>
        <v/>
      </c>
      <c r="G10504" s="18"/>
      <c r="H10504" s="16" t="s">
        <v>87</v>
      </c>
      <c r="I10504" s="16" t="s">
        <v>87</v>
      </c>
      <c r="J10504" s="19"/>
      <c r="L10504" s="16" t="str">
        <f>IFERROR(__xludf.DUMMYFUNCTION("""COMPUTED_VALUE"""),"")</f>
        <v/>
      </c>
      <c r="M10504" s="16" t="str">
        <f>IFERROR(__xludf.DUMMYFUNCTION("""COMPUTED_VALUE"""),"")</f>
        <v/>
      </c>
      <c r="U10504" s="16" t="s">
        <v>87</v>
      </c>
      <c r="V10504" s="16" t="str">
        <f>IFERROR(__xludf.DUMMYFUNCTION("""COMPUTED_VALUE"""),"")</f>
        <v/>
      </c>
      <c r="W10504" s="16" t="str">
        <f>IFERROR(__xludf.DUMMYFUNCTION("""COMPUTED_VALUE"""),"")</f>
        <v/>
      </c>
      <c r="X10504" s="16" t="str">
        <f>IFERROR(__xludf.DUMMYFUNCTION("""COMPUTED_VALUE"""),"")</f>
        <v/>
      </c>
      <c r="AC10504" s="16" t="str">
        <f>IFERROR(__xludf.DUMMYFUNCTION("""COMPUTED_VALUE"""),"")</f>
        <v/>
      </c>
    </row>
    <row r="10505">
      <c r="A10505" s="16" t="s">
        <v>87</v>
      </c>
      <c r="E10505" s="16" t="str">
        <f>IFERROR(__xludf.DUMMYFUNCTION("""COMPUTED_VALUE"""),"")</f>
        <v/>
      </c>
      <c r="G10505" s="18"/>
      <c r="H10505" s="16" t="s">
        <v>87</v>
      </c>
      <c r="I10505" s="16" t="s">
        <v>87</v>
      </c>
      <c r="J10505" s="19"/>
      <c r="L10505" s="16" t="str">
        <f>IFERROR(__xludf.DUMMYFUNCTION("""COMPUTED_VALUE"""),"")</f>
        <v/>
      </c>
      <c r="M10505" s="16" t="str">
        <f>IFERROR(__xludf.DUMMYFUNCTION("""COMPUTED_VALUE"""),"")</f>
        <v/>
      </c>
      <c r="U10505" s="16" t="s">
        <v>87</v>
      </c>
      <c r="V10505" s="16" t="str">
        <f>IFERROR(__xludf.DUMMYFUNCTION("""COMPUTED_VALUE"""),"")</f>
        <v/>
      </c>
      <c r="W10505" s="16" t="str">
        <f>IFERROR(__xludf.DUMMYFUNCTION("""COMPUTED_VALUE"""),"")</f>
        <v/>
      </c>
      <c r="X10505" s="16" t="str">
        <f>IFERROR(__xludf.DUMMYFUNCTION("""COMPUTED_VALUE"""),"")</f>
        <v/>
      </c>
      <c r="AC10505" s="16" t="str">
        <f>IFERROR(__xludf.DUMMYFUNCTION("""COMPUTED_VALUE"""),"")</f>
        <v/>
      </c>
    </row>
    <row r="10506">
      <c r="A10506" s="16" t="s">
        <v>87</v>
      </c>
      <c r="E10506" s="16" t="str">
        <f>IFERROR(__xludf.DUMMYFUNCTION("""COMPUTED_VALUE"""),"")</f>
        <v/>
      </c>
      <c r="G10506" s="18"/>
      <c r="H10506" s="16" t="s">
        <v>87</v>
      </c>
      <c r="I10506" s="16" t="s">
        <v>87</v>
      </c>
      <c r="J10506" s="19"/>
      <c r="L10506" s="16" t="str">
        <f>IFERROR(__xludf.DUMMYFUNCTION("""COMPUTED_VALUE"""),"")</f>
        <v/>
      </c>
      <c r="M10506" s="16" t="str">
        <f>IFERROR(__xludf.DUMMYFUNCTION("""COMPUTED_VALUE"""),"")</f>
        <v/>
      </c>
      <c r="U10506" s="16" t="s">
        <v>87</v>
      </c>
      <c r="V10506" s="16" t="str">
        <f>IFERROR(__xludf.DUMMYFUNCTION("""COMPUTED_VALUE"""),"")</f>
        <v/>
      </c>
      <c r="W10506" s="16" t="str">
        <f>IFERROR(__xludf.DUMMYFUNCTION("""COMPUTED_VALUE"""),"")</f>
        <v/>
      </c>
      <c r="X10506" s="16" t="str">
        <f>IFERROR(__xludf.DUMMYFUNCTION("""COMPUTED_VALUE"""),"")</f>
        <v/>
      </c>
      <c r="AC10506" s="16" t="str">
        <f>IFERROR(__xludf.DUMMYFUNCTION("""COMPUTED_VALUE"""),"")</f>
        <v/>
      </c>
    </row>
    <row r="10507">
      <c r="A10507" s="16" t="s">
        <v>87</v>
      </c>
      <c r="E10507" s="16" t="str">
        <f>IFERROR(__xludf.DUMMYFUNCTION("""COMPUTED_VALUE"""),"")</f>
        <v/>
      </c>
      <c r="G10507" s="18"/>
      <c r="H10507" s="16" t="s">
        <v>87</v>
      </c>
      <c r="I10507" s="16" t="s">
        <v>87</v>
      </c>
      <c r="J10507" s="19"/>
      <c r="L10507" s="16" t="str">
        <f>IFERROR(__xludf.DUMMYFUNCTION("""COMPUTED_VALUE"""),"")</f>
        <v/>
      </c>
      <c r="M10507" s="16" t="str">
        <f>IFERROR(__xludf.DUMMYFUNCTION("""COMPUTED_VALUE"""),"")</f>
        <v/>
      </c>
      <c r="U10507" s="16" t="s">
        <v>87</v>
      </c>
      <c r="V10507" s="16" t="str">
        <f>IFERROR(__xludf.DUMMYFUNCTION("""COMPUTED_VALUE"""),"")</f>
        <v/>
      </c>
      <c r="W10507" s="16" t="str">
        <f>IFERROR(__xludf.DUMMYFUNCTION("""COMPUTED_VALUE"""),"")</f>
        <v/>
      </c>
      <c r="X10507" s="16" t="str">
        <f>IFERROR(__xludf.DUMMYFUNCTION("""COMPUTED_VALUE"""),"")</f>
        <v/>
      </c>
      <c r="AC10507" s="16" t="str">
        <f>IFERROR(__xludf.DUMMYFUNCTION("""COMPUTED_VALUE"""),"")</f>
        <v/>
      </c>
    </row>
    <row r="10508">
      <c r="A10508" s="16" t="s">
        <v>87</v>
      </c>
      <c r="E10508" s="16" t="str">
        <f>IFERROR(__xludf.DUMMYFUNCTION("""COMPUTED_VALUE"""),"")</f>
        <v/>
      </c>
      <c r="G10508" s="18"/>
      <c r="H10508" s="16" t="s">
        <v>87</v>
      </c>
      <c r="I10508" s="16" t="s">
        <v>87</v>
      </c>
      <c r="J10508" s="19"/>
      <c r="L10508" s="16" t="str">
        <f>IFERROR(__xludf.DUMMYFUNCTION("""COMPUTED_VALUE"""),"")</f>
        <v/>
      </c>
      <c r="M10508" s="16" t="str">
        <f>IFERROR(__xludf.DUMMYFUNCTION("""COMPUTED_VALUE"""),"")</f>
        <v/>
      </c>
      <c r="U10508" s="16" t="s">
        <v>87</v>
      </c>
      <c r="V10508" s="16" t="str">
        <f>IFERROR(__xludf.DUMMYFUNCTION("""COMPUTED_VALUE"""),"")</f>
        <v/>
      </c>
      <c r="W10508" s="16" t="str">
        <f>IFERROR(__xludf.DUMMYFUNCTION("""COMPUTED_VALUE"""),"")</f>
        <v/>
      </c>
      <c r="X10508" s="16" t="str">
        <f>IFERROR(__xludf.DUMMYFUNCTION("""COMPUTED_VALUE"""),"")</f>
        <v/>
      </c>
      <c r="AC10508" s="16" t="str">
        <f>IFERROR(__xludf.DUMMYFUNCTION("""COMPUTED_VALUE"""),"")</f>
        <v/>
      </c>
    </row>
    <row r="10509">
      <c r="A10509" s="16" t="s">
        <v>87</v>
      </c>
      <c r="E10509" s="16" t="str">
        <f>IFERROR(__xludf.DUMMYFUNCTION("""COMPUTED_VALUE"""),"")</f>
        <v/>
      </c>
      <c r="G10509" s="18"/>
      <c r="H10509" s="16" t="s">
        <v>87</v>
      </c>
      <c r="I10509" s="16" t="s">
        <v>87</v>
      </c>
      <c r="J10509" s="19"/>
      <c r="L10509" s="16" t="str">
        <f>IFERROR(__xludf.DUMMYFUNCTION("""COMPUTED_VALUE"""),"")</f>
        <v/>
      </c>
      <c r="M10509" s="16" t="str">
        <f>IFERROR(__xludf.DUMMYFUNCTION("""COMPUTED_VALUE"""),"")</f>
        <v/>
      </c>
      <c r="U10509" s="16" t="s">
        <v>87</v>
      </c>
      <c r="V10509" s="16" t="str">
        <f>IFERROR(__xludf.DUMMYFUNCTION("""COMPUTED_VALUE"""),"")</f>
        <v/>
      </c>
      <c r="W10509" s="16" t="str">
        <f>IFERROR(__xludf.DUMMYFUNCTION("""COMPUTED_VALUE"""),"")</f>
        <v/>
      </c>
      <c r="X10509" s="16" t="str">
        <f>IFERROR(__xludf.DUMMYFUNCTION("""COMPUTED_VALUE"""),"")</f>
        <v/>
      </c>
      <c r="AC10509" s="16" t="str">
        <f>IFERROR(__xludf.DUMMYFUNCTION("""COMPUTED_VALUE"""),"")</f>
        <v/>
      </c>
    </row>
    <row r="10510">
      <c r="A10510" s="16" t="s">
        <v>87</v>
      </c>
      <c r="E10510" s="16" t="str">
        <f>IFERROR(__xludf.DUMMYFUNCTION("""COMPUTED_VALUE"""),"")</f>
        <v/>
      </c>
      <c r="G10510" s="18"/>
      <c r="H10510" s="16" t="s">
        <v>87</v>
      </c>
      <c r="I10510" s="16" t="s">
        <v>87</v>
      </c>
      <c r="J10510" s="19"/>
      <c r="L10510" s="16" t="str">
        <f>IFERROR(__xludf.DUMMYFUNCTION("""COMPUTED_VALUE"""),"")</f>
        <v/>
      </c>
      <c r="M10510" s="16" t="str">
        <f>IFERROR(__xludf.DUMMYFUNCTION("""COMPUTED_VALUE"""),"")</f>
        <v/>
      </c>
      <c r="U10510" s="16" t="s">
        <v>87</v>
      </c>
      <c r="V10510" s="16" t="str">
        <f>IFERROR(__xludf.DUMMYFUNCTION("""COMPUTED_VALUE"""),"")</f>
        <v/>
      </c>
      <c r="W10510" s="16" t="str">
        <f>IFERROR(__xludf.DUMMYFUNCTION("""COMPUTED_VALUE"""),"")</f>
        <v/>
      </c>
      <c r="X10510" s="16" t="str">
        <f>IFERROR(__xludf.DUMMYFUNCTION("""COMPUTED_VALUE"""),"")</f>
        <v/>
      </c>
      <c r="AC10510" s="16" t="str">
        <f>IFERROR(__xludf.DUMMYFUNCTION("""COMPUTED_VALUE"""),"")</f>
        <v/>
      </c>
    </row>
    <row r="10511">
      <c r="A10511" s="16" t="s">
        <v>87</v>
      </c>
      <c r="E10511" s="16" t="str">
        <f>IFERROR(__xludf.DUMMYFUNCTION("""COMPUTED_VALUE"""),"")</f>
        <v/>
      </c>
      <c r="G10511" s="18"/>
      <c r="H10511" s="16" t="s">
        <v>87</v>
      </c>
      <c r="I10511" s="16" t="s">
        <v>87</v>
      </c>
      <c r="J10511" s="19"/>
      <c r="L10511" s="16" t="str">
        <f>IFERROR(__xludf.DUMMYFUNCTION("""COMPUTED_VALUE"""),"")</f>
        <v/>
      </c>
      <c r="M10511" s="16" t="str">
        <f>IFERROR(__xludf.DUMMYFUNCTION("""COMPUTED_VALUE"""),"")</f>
        <v/>
      </c>
      <c r="U10511" s="16" t="s">
        <v>87</v>
      </c>
      <c r="V10511" s="16" t="str">
        <f>IFERROR(__xludf.DUMMYFUNCTION("""COMPUTED_VALUE"""),"")</f>
        <v/>
      </c>
      <c r="W10511" s="16" t="str">
        <f>IFERROR(__xludf.DUMMYFUNCTION("""COMPUTED_VALUE"""),"")</f>
        <v/>
      </c>
      <c r="X10511" s="16" t="str">
        <f>IFERROR(__xludf.DUMMYFUNCTION("""COMPUTED_VALUE"""),"")</f>
        <v/>
      </c>
      <c r="AC10511" s="16" t="str">
        <f>IFERROR(__xludf.DUMMYFUNCTION("""COMPUTED_VALUE"""),"")</f>
        <v/>
      </c>
    </row>
    <row r="10512">
      <c r="A10512" s="16" t="s">
        <v>87</v>
      </c>
      <c r="E10512" s="16" t="str">
        <f>IFERROR(__xludf.DUMMYFUNCTION("""COMPUTED_VALUE"""),"")</f>
        <v/>
      </c>
      <c r="G10512" s="18"/>
      <c r="H10512" s="16" t="s">
        <v>87</v>
      </c>
      <c r="I10512" s="16" t="s">
        <v>87</v>
      </c>
      <c r="J10512" s="19"/>
      <c r="L10512" s="16" t="str">
        <f>IFERROR(__xludf.DUMMYFUNCTION("""COMPUTED_VALUE"""),"")</f>
        <v/>
      </c>
      <c r="M10512" s="16" t="str">
        <f>IFERROR(__xludf.DUMMYFUNCTION("""COMPUTED_VALUE"""),"")</f>
        <v/>
      </c>
      <c r="U10512" s="16" t="s">
        <v>87</v>
      </c>
      <c r="V10512" s="16" t="str">
        <f>IFERROR(__xludf.DUMMYFUNCTION("""COMPUTED_VALUE"""),"")</f>
        <v/>
      </c>
      <c r="W10512" s="16" t="str">
        <f>IFERROR(__xludf.DUMMYFUNCTION("""COMPUTED_VALUE"""),"")</f>
        <v/>
      </c>
      <c r="X10512" s="16" t="str">
        <f>IFERROR(__xludf.DUMMYFUNCTION("""COMPUTED_VALUE"""),"")</f>
        <v/>
      </c>
      <c r="AC10512" s="16" t="str">
        <f>IFERROR(__xludf.DUMMYFUNCTION("""COMPUTED_VALUE"""),"")</f>
        <v/>
      </c>
    </row>
    <row r="10513">
      <c r="A10513" s="16" t="s">
        <v>87</v>
      </c>
      <c r="E10513" s="16" t="str">
        <f>IFERROR(__xludf.DUMMYFUNCTION("""COMPUTED_VALUE"""),"")</f>
        <v/>
      </c>
      <c r="G10513" s="18"/>
      <c r="H10513" s="16" t="s">
        <v>87</v>
      </c>
      <c r="I10513" s="16" t="s">
        <v>87</v>
      </c>
      <c r="J10513" s="19"/>
      <c r="L10513" s="16" t="str">
        <f>IFERROR(__xludf.DUMMYFUNCTION("""COMPUTED_VALUE"""),"")</f>
        <v/>
      </c>
      <c r="M10513" s="16" t="str">
        <f>IFERROR(__xludf.DUMMYFUNCTION("""COMPUTED_VALUE"""),"")</f>
        <v/>
      </c>
      <c r="U10513" s="16" t="s">
        <v>87</v>
      </c>
      <c r="V10513" s="16" t="str">
        <f>IFERROR(__xludf.DUMMYFUNCTION("""COMPUTED_VALUE"""),"")</f>
        <v/>
      </c>
      <c r="W10513" s="16" t="str">
        <f>IFERROR(__xludf.DUMMYFUNCTION("""COMPUTED_VALUE"""),"")</f>
        <v/>
      </c>
      <c r="X10513" s="16" t="str">
        <f>IFERROR(__xludf.DUMMYFUNCTION("""COMPUTED_VALUE"""),"")</f>
        <v/>
      </c>
      <c r="AC10513" s="16" t="str">
        <f>IFERROR(__xludf.DUMMYFUNCTION("""COMPUTED_VALUE"""),"")</f>
        <v/>
      </c>
    </row>
    <row r="10514">
      <c r="A10514" s="16" t="s">
        <v>87</v>
      </c>
      <c r="E10514" s="16" t="str">
        <f>IFERROR(__xludf.DUMMYFUNCTION("""COMPUTED_VALUE"""),"")</f>
        <v/>
      </c>
      <c r="G10514" s="18"/>
      <c r="H10514" s="16" t="s">
        <v>87</v>
      </c>
      <c r="I10514" s="16" t="s">
        <v>87</v>
      </c>
      <c r="J10514" s="19"/>
      <c r="L10514" s="16" t="str">
        <f>IFERROR(__xludf.DUMMYFUNCTION("""COMPUTED_VALUE"""),"")</f>
        <v/>
      </c>
      <c r="M10514" s="16" t="str">
        <f>IFERROR(__xludf.DUMMYFUNCTION("""COMPUTED_VALUE"""),"")</f>
        <v/>
      </c>
      <c r="U10514" s="16" t="s">
        <v>87</v>
      </c>
      <c r="V10514" s="16" t="str">
        <f>IFERROR(__xludf.DUMMYFUNCTION("""COMPUTED_VALUE"""),"")</f>
        <v/>
      </c>
      <c r="W10514" s="16" t="str">
        <f>IFERROR(__xludf.DUMMYFUNCTION("""COMPUTED_VALUE"""),"")</f>
        <v/>
      </c>
      <c r="X10514" s="16" t="str">
        <f>IFERROR(__xludf.DUMMYFUNCTION("""COMPUTED_VALUE"""),"")</f>
        <v/>
      </c>
      <c r="AC10514" s="16" t="str">
        <f>IFERROR(__xludf.DUMMYFUNCTION("""COMPUTED_VALUE"""),"")</f>
        <v/>
      </c>
    </row>
    <row r="10515">
      <c r="A10515" s="16" t="s">
        <v>87</v>
      </c>
      <c r="E10515" s="16" t="str">
        <f>IFERROR(__xludf.DUMMYFUNCTION("""COMPUTED_VALUE"""),"")</f>
        <v/>
      </c>
      <c r="G10515" s="18"/>
      <c r="H10515" s="16" t="s">
        <v>87</v>
      </c>
      <c r="I10515" s="16" t="s">
        <v>87</v>
      </c>
      <c r="J10515" s="19"/>
      <c r="L10515" s="16" t="str">
        <f>IFERROR(__xludf.DUMMYFUNCTION("""COMPUTED_VALUE"""),"")</f>
        <v/>
      </c>
      <c r="M10515" s="16" t="str">
        <f>IFERROR(__xludf.DUMMYFUNCTION("""COMPUTED_VALUE"""),"")</f>
        <v/>
      </c>
      <c r="U10515" s="16" t="s">
        <v>87</v>
      </c>
      <c r="V10515" s="16" t="str">
        <f>IFERROR(__xludf.DUMMYFUNCTION("""COMPUTED_VALUE"""),"")</f>
        <v/>
      </c>
      <c r="W10515" s="16" t="str">
        <f>IFERROR(__xludf.DUMMYFUNCTION("""COMPUTED_VALUE"""),"")</f>
        <v/>
      </c>
      <c r="X10515" s="16" t="str">
        <f>IFERROR(__xludf.DUMMYFUNCTION("""COMPUTED_VALUE"""),"")</f>
        <v/>
      </c>
      <c r="AC10515" s="16" t="str">
        <f>IFERROR(__xludf.DUMMYFUNCTION("""COMPUTED_VALUE"""),"")</f>
        <v/>
      </c>
    </row>
    <row r="10516">
      <c r="A10516" s="16" t="s">
        <v>87</v>
      </c>
      <c r="E10516" s="16" t="str">
        <f>IFERROR(__xludf.DUMMYFUNCTION("""COMPUTED_VALUE"""),"")</f>
        <v/>
      </c>
      <c r="G10516" s="18"/>
      <c r="H10516" s="16" t="s">
        <v>87</v>
      </c>
      <c r="I10516" s="16" t="s">
        <v>87</v>
      </c>
      <c r="J10516" s="19"/>
      <c r="L10516" s="16" t="str">
        <f>IFERROR(__xludf.DUMMYFUNCTION("""COMPUTED_VALUE"""),"")</f>
        <v/>
      </c>
      <c r="M10516" s="16" t="str">
        <f>IFERROR(__xludf.DUMMYFUNCTION("""COMPUTED_VALUE"""),"")</f>
        <v/>
      </c>
      <c r="U10516" s="16" t="s">
        <v>87</v>
      </c>
      <c r="V10516" s="16" t="str">
        <f>IFERROR(__xludf.DUMMYFUNCTION("""COMPUTED_VALUE"""),"")</f>
        <v/>
      </c>
      <c r="W10516" s="16" t="str">
        <f>IFERROR(__xludf.DUMMYFUNCTION("""COMPUTED_VALUE"""),"")</f>
        <v/>
      </c>
      <c r="X10516" s="16" t="str">
        <f>IFERROR(__xludf.DUMMYFUNCTION("""COMPUTED_VALUE"""),"")</f>
        <v/>
      </c>
      <c r="AC10516" s="16" t="str">
        <f>IFERROR(__xludf.DUMMYFUNCTION("""COMPUTED_VALUE"""),"")</f>
        <v/>
      </c>
    </row>
    <row r="10517">
      <c r="A10517" s="16" t="s">
        <v>87</v>
      </c>
      <c r="E10517" s="16" t="str">
        <f>IFERROR(__xludf.DUMMYFUNCTION("""COMPUTED_VALUE"""),"")</f>
        <v/>
      </c>
      <c r="G10517" s="18"/>
      <c r="H10517" s="16" t="s">
        <v>87</v>
      </c>
      <c r="I10517" s="16" t="s">
        <v>87</v>
      </c>
      <c r="J10517" s="19"/>
      <c r="L10517" s="16" t="str">
        <f>IFERROR(__xludf.DUMMYFUNCTION("""COMPUTED_VALUE"""),"")</f>
        <v/>
      </c>
      <c r="M10517" s="16" t="str">
        <f>IFERROR(__xludf.DUMMYFUNCTION("""COMPUTED_VALUE"""),"")</f>
        <v/>
      </c>
      <c r="U10517" s="16" t="s">
        <v>87</v>
      </c>
      <c r="V10517" s="16" t="str">
        <f>IFERROR(__xludf.DUMMYFUNCTION("""COMPUTED_VALUE"""),"")</f>
        <v/>
      </c>
      <c r="W10517" s="16" t="str">
        <f>IFERROR(__xludf.DUMMYFUNCTION("""COMPUTED_VALUE"""),"")</f>
        <v/>
      </c>
      <c r="X10517" s="16" t="str">
        <f>IFERROR(__xludf.DUMMYFUNCTION("""COMPUTED_VALUE"""),"")</f>
        <v/>
      </c>
      <c r="AC10517" s="16" t="str">
        <f>IFERROR(__xludf.DUMMYFUNCTION("""COMPUTED_VALUE"""),"")</f>
        <v/>
      </c>
    </row>
    <row r="10518">
      <c r="A10518" s="16" t="s">
        <v>87</v>
      </c>
      <c r="E10518" s="16" t="str">
        <f>IFERROR(__xludf.DUMMYFUNCTION("""COMPUTED_VALUE"""),"")</f>
        <v/>
      </c>
      <c r="G10518" s="18"/>
      <c r="H10518" s="16" t="s">
        <v>87</v>
      </c>
      <c r="I10518" s="16" t="s">
        <v>87</v>
      </c>
      <c r="J10518" s="19"/>
      <c r="L10518" s="16" t="str">
        <f>IFERROR(__xludf.DUMMYFUNCTION("""COMPUTED_VALUE"""),"")</f>
        <v/>
      </c>
      <c r="M10518" s="16" t="str">
        <f>IFERROR(__xludf.DUMMYFUNCTION("""COMPUTED_VALUE"""),"")</f>
        <v/>
      </c>
      <c r="U10518" s="16" t="s">
        <v>87</v>
      </c>
      <c r="V10518" s="16" t="str">
        <f>IFERROR(__xludf.DUMMYFUNCTION("""COMPUTED_VALUE"""),"")</f>
        <v/>
      </c>
      <c r="W10518" s="16" t="str">
        <f>IFERROR(__xludf.DUMMYFUNCTION("""COMPUTED_VALUE"""),"")</f>
        <v/>
      </c>
      <c r="X10518" s="16" t="str">
        <f>IFERROR(__xludf.DUMMYFUNCTION("""COMPUTED_VALUE"""),"")</f>
        <v/>
      </c>
      <c r="AC10518" s="16" t="str">
        <f>IFERROR(__xludf.DUMMYFUNCTION("""COMPUTED_VALUE"""),"")</f>
        <v/>
      </c>
    </row>
    <row r="10519">
      <c r="A10519" s="16" t="s">
        <v>87</v>
      </c>
      <c r="E10519" s="16" t="str">
        <f>IFERROR(__xludf.DUMMYFUNCTION("""COMPUTED_VALUE"""),"")</f>
        <v/>
      </c>
      <c r="G10519" s="18"/>
      <c r="H10519" s="16" t="s">
        <v>87</v>
      </c>
      <c r="I10519" s="16" t="s">
        <v>87</v>
      </c>
      <c r="J10519" s="19"/>
      <c r="L10519" s="16" t="str">
        <f>IFERROR(__xludf.DUMMYFUNCTION("""COMPUTED_VALUE"""),"")</f>
        <v/>
      </c>
      <c r="M10519" s="16" t="str">
        <f>IFERROR(__xludf.DUMMYFUNCTION("""COMPUTED_VALUE"""),"")</f>
        <v/>
      </c>
      <c r="U10519" s="16" t="s">
        <v>87</v>
      </c>
      <c r="V10519" s="16" t="str">
        <f>IFERROR(__xludf.DUMMYFUNCTION("""COMPUTED_VALUE"""),"")</f>
        <v/>
      </c>
      <c r="W10519" s="16" t="str">
        <f>IFERROR(__xludf.DUMMYFUNCTION("""COMPUTED_VALUE"""),"")</f>
        <v/>
      </c>
      <c r="X10519" s="16" t="str">
        <f>IFERROR(__xludf.DUMMYFUNCTION("""COMPUTED_VALUE"""),"")</f>
        <v/>
      </c>
      <c r="AC10519" s="16" t="str">
        <f>IFERROR(__xludf.DUMMYFUNCTION("""COMPUTED_VALUE"""),"")</f>
        <v/>
      </c>
    </row>
    <row r="10520">
      <c r="A10520" s="16" t="s">
        <v>87</v>
      </c>
      <c r="E10520" s="16" t="str">
        <f>IFERROR(__xludf.DUMMYFUNCTION("""COMPUTED_VALUE"""),"")</f>
        <v/>
      </c>
      <c r="G10520" s="18"/>
      <c r="H10520" s="16" t="s">
        <v>87</v>
      </c>
      <c r="I10520" s="16" t="s">
        <v>87</v>
      </c>
      <c r="J10520" s="19"/>
      <c r="L10520" s="16" t="str">
        <f>IFERROR(__xludf.DUMMYFUNCTION("""COMPUTED_VALUE"""),"")</f>
        <v/>
      </c>
      <c r="M10520" s="16" t="str">
        <f>IFERROR(__xludf.DUMMYFUNCTION("""COMPUTED_VALUE"""),"")</f>
        <v/>
      </c>
      <c r="U10520" s="16" t="s">
        <v>87</v>
      </c>
      <c r="V10520" s="16" t="str">
        <f>IFERROR(__xludf.DUMMYFUNCTION("""COMPUTED_VALUE"""),"")</f>
        <v/>
      </c>
      <c r="W10520" s="16" t="str">
        <f>IFERROR(__xludf.DUMMYFUNCTION("""COMPUTED_VALUE"""),"")</f>
        <v/>
      </c>
      <c r="X10520" s="16" t="str">
        <f>IFERROR(__xludf.DUMMYFUNCTION("""COMPUTED_VALUE"""),"")</f>
        <v/>
      </c>
      <c r="AC10520" s="16" t="str">
        <f>IFERROR(__xludf.DUMMYFUNCTION("""COMPUTED_VALUE"""),"")</f>
        <v/>
      </c>
    </row>
    <row r="10521">
      <c r="A10521" s="16" t="s">
        <v>87</v>
      </c>
      <c r="E10521" s="16" t="str">
        <f>IFERROR(__xludf.DUMMYFUNCTION("""COMPUTED_VALUE"""),"")</f>
        <v/>
      </c>
      <c r="G10521" s="18"/>
      <c r="H10521" s="16" t="s">
        <v>87</v>
      </c>
      <c r="I10521" s="16" t="s">
        <v>87</v>
      </c>
      <c r="J10521" s="19"/>
      <c r="L10521" s="16" t="str">
        <f>IFERROR(__xludf.DUMMYFUNCTION("""COMPUTED_VALUE"""),"")</f>
        <v/>
      </c>
      <c r="M10521" s="16" t="str">
        <f>IFERROR(__xludf.DUMMYFUNCTION("""COMPUTED_VALUE"""),"")</f>
        <v/>
      </c>
      <c r="U10521" s="16" t="s">
        <v>87</v>
      </c>
      <c r="V10521" s="16" t="str">
        <f>IFERROR(__xludf.DUMMYFUNCTION("""COMPUTED_VALUE"""),"")</f>
        <v/>
      </c>
      <c r="W10521" s="16" t="str">
        <f>IFERROR(__xludf.DUMMYFUNCTION("""COMPUTED_VALUE"""),"")</f>
        <v/>
      </c>
      <c r="X10521" s="16" t="str">
        <f>IFERROR(__xludf.DUMMYFUNCTION("""COMPUTED_VALUE"""),"")</f>
        <v/>
      </c>
      <c r="AC10521" s="16" t="str">
        <f>IFERROR(__xludf.DUMMYFUNCTION("""COMPUTED_VALUE"""),"")</f>
        <v/>
      </c>
    </row>
    <row r="10522">
      <c r="A10522" s="16" t="s">
        <v>87</v>
      </c>
      <c r="E10522" s="16" t="str">
        <f>IFERROR(__xludf.DUMMYFUNCTION("""COMPUTED_VALUE"""),"")</f>
        <v/>
      </c>
      <c r="G10522" s="18"/>
      <c r="H10522" s="16" t="s">
        <v>87</v>
      </c>
      <c r="I10522" s="16" t="s">
        <v>87</v>
      </c>
      <c r="J10522" s="19"/>
      <c r="L10522" s="16" t="str">
        <f>IFERROR(__xludf.DUMMYFUNCTION("""COMPUTED_VALUE"""),"")</f>
        <v/>
      </c>
      <c r="M10522" s="16" t="str">
        <f>IFERROR(__xludf.DUMMYFUNCTION("""COMPUTED_VALUE"""),"")</f>
        <v/>
      </c>
      <c r="U10522" s="16" t="s">
        <v>87</v>
      </c>
      <c r="V10522" s="16" t="str">
        <f>IFERROR(__xludf.DUMMYFUNCTION("""COMPUTED_VALUE"""),"")</f>
        <v/>
      </c>
      <c r="W10522" s="16" t="str">
        <f>IFERROR(__xludf.DUMMYFUNCTION("""COMPUTED_VALUE"""),"")</f>
        <v/>
      </c>
      <c r="X10522" s="16" t="str">
        <f>IFERROR(__xludf.DUMMYFUNCTION("""COMPUTED_VALUE"""),"")</f>
        <v/>
      </c>
      <c r="AC10522" s="16" t="str">
        <f>IFERROR(__xludf.DUMMYFUNCTION("""COMPUTED_VALUE"""),"")</f>
        <v/>
      </c>
    </row>
    <row r="10523">
      <c r="A10523" s="16" t="s">
        <v>87</v>
      </c>
      <c r="E10523" s="16" t="str">
        <f>IFERROR(__xludf.DUMMYFUNCTION("""COMPUTED_VALUE"""),"")</f>
        <v/>
      </c>
      <c r="G10523" s="18"/>
      <c r="H10523" s="16" t="s">
        <v>87</v>
      </c>
      <c r="I10523" s="16" t="s">
        <v>87</v>
      </c>
      <c r="J10523" s="19"/>
      <c r="L10523" s="16" t="str">
        <f>IFERROR(__xludf.DUMMYFUNCTION("""COMPUTED_VALUE"""),"")</f>
        <v/>
      </c>
      <c r="M10523" s="16" t="str">
        <f>IFERROR(__xludf.DUMMYFUNCTION("""COMPUTED_VALUE"""),"")</f>
        <v/>
      </c>
      <c r="U10523" s="16" t="s">
        <v>87</v>
      </c>
      <c r="V10523" s="16" t="str">
        <f>IFERROR(__xludf.DUMMYFUNCTION("""COMPUTED_VALUE"""),"")</f>
        <v/>
      </c>
      <c r="W10523" s="16" t="str">
        <f>IFERROR(__xludf.DUMMYFUNCTION("""COMPUTED_VALUE"""),"")</f>
        <v/>
      </c>
      <c r="X10523" s="16" t="str">
        <f>IFERROR(__xludf.DUMMYFUNCTION("""COMPUTED_VALUE"""),"")</f>
        <v/>
      </c>
      <c r="AC10523" s="16" t="str">
        <f>IFERROR(__xludf.DUMMYFUNCTION("""COMPUTED_VALUE"""),"")</f>
        <v/>
      </c>
    </row>
    <row r="10524">
      <c r="A10524" s="16" t="s">
        <v>87</v>
      </c>
      <c r="E10524" s="16" t="str">
        <f>IFERROR(__xludf.DUMMYFUNCTION("""COMPUTED_VALUE"""),"")</f>
        <v/>
      </c>
      <c r="G10524" s="18"/>
      <c r="H10524" s="16" t="s">
        <v>87</v>
      </c>
      <c r="I10524" s="16" t="s">
        <v>87</v>
      </c>
      <c r="J10524" s="19"/>
      <c r="L10524" s="16" t="str">
        <f>IFERROR(__xludf.DUMMYFUNCTION("""COMPUTED_VALUE"""),"")</f>
        <v/>
      </c>
      <c r="M10524" s="16" t="str">
        <f>IFERROR(__xludf.DUMMYFUNCTION("""COMPUTED_VALUE"""),"")</f>
        <v/>
      </c>
      <c r="U10524" s="16" t="s">
        <v>87</v>
      </c>
      <c r="V10524" s="16" t="str">
        <f>IFERROR(__xludf.DUMMYFUNCTION("""COMPUTED_VALUE"""),"")</f>
        <v/>
      </c>
      <c r="W10524" s="16" t="str">
        <f>IFERROR(__xludf.DUMMYFUNCTION("""COMPUTED_VALUE"""),"")</f>
        <v/>
      </c>
      <c r="X10524" s="16" t="str">
        <f>IFERROR(__xludf.DUMMYFUNCTION("""COMPUTED_VALUE"""),"")</f>
        <v/>
      </c>
      <c r="AC10524" s="16" t="str">
        <f>IFERROR(__xludf.DUMMYFUNCTION("""COMPUTED_VALUE"""),"")</f>
        <v/>
      </c>
    </row>
    <row r="10525">
      <c r="A10525" s="16" t="s">
        <v>87</v>
      </c>
      <c r="E10525" s="16" t="str">
        <f>IFERROR(__xludf.DUMMYFUNCTION("""COMPUTED_VALUE"""),"")</f>
        <v/>
      </c>
      <c r="G10525" s="18"/>
      <c r="H10525" s="16" t="s">
        <v>87</v>
      </c>
      <c r="I10525" s="16" t="s">
        <v>87</v>
      </c>
      <c r="J10525" s="19"/>
      <c r="L10525" s="16" t="str">
        <f>IFERROR(__xludf.DUMMYFUNCTION("""COMPUTED_VALUE"""),"")</f>
        <v/>
      </c>
      <c r="M10525" s="16" t="str">
        <f>IFERROR(__xludf.DUMMYFUNCTION("""COMPUTED_VALUE"""),"")</f>
        <v/>
      </c>
      <c r="U10525" s="16" t="s">
        <v>87</v>
      </c>
      <c r="V10525" s="16" t="str">
        <f>IFERROR(__xludf.DUMMYFUNCTION("""COMPUTED_VALUE"""),"")</f>
        <v/>
      </c>
      <c r="W10525" s="16" t="str">
        <f>IFERROR(__xludf.DUMMYFUNCTION("""COMPUTED_VALUE"""),"")</f>
        <v/>
      </c>
      <c r="X10525" s="16" t="str">
        <f>IFERROR(__xludf.DUMMYFUNCTION("""COMPUTED_VALUE"""),"")</f>
        <v/>
      </c>
      <c r="AC10525" s="16" t="str">
        <f>IFERROR(__xludf.DUMMYFUNCTION("""COMPUTED_VALUE"""),"")</f>
        <v/>
      </c>
    </row>
    <row r="10526">
      <c r="A10526" s="16" t="s">
        <v>87</v>
      </c>
      <c r="E10526" s="16" t="str">
        <f>IFERROR(__xludf.DUMMYFUNCTION("""COMPUTED_VALUE"""),"")</f>
        <v/>
      </c>
      <c r="G10526" s="18"/>
      <c r="H10526" s="16" t="s">
        <v>87</v>
      </c>
      <c r="I10526" s="16" t="s">
        <v>87</v>
      </c>
      <c r="J10526" s="19"/>
      <c r="L10526" s="16" t="str">
        <f>IFERROR(__xludf.DUMMYFUNCTION("""COMPUTED_VALUE"""),"")</f>
        <v/>
      </c>
      <c r="M10526" s="16" t="str">
        <f>IFERROR(__xludf.DUMMYFUNCTION("""COMPUTED_VALUE"""),"")</f>
        <v/>
      </c>
      <c r="U10526" s="16" t="s">
        <v>87</v>
      </c>
      <c r="V10526" s="16" t="str">
        <f>IFERROR(__xludf.DUMMYFUNCTION("""COMPUTED_VALUE"""),"")</f>
        <v/>
      </c>
      <c r="W10526" s="16" t="str">
        <f>IFERROR(__xludf.DUMMYFUNCTION("""COMPUTED_VALUE"""),"")</f>
        <v/>
      </c>
      <c r="X10526" s="16" t="str">
        <f>IFERROR(__xludf.DUMMYFUNCTION("""COMPUTED_VALUE"""),"")</f>
        <v/>
      </c>
      <c r="AC10526" s="16" t="str">
        <f>IFERROR(__xludf.DUMMYFUNCTION("""COMPUTED_VALUE"""),"")</f>
        <v/>
      </c>
    </row>
    <row r="10527">
      <c r="A10527" s="16" t="s">
        <v>87</v>
      </c>
      <c r="E10527" s="16" t="str">
        <f>IFERROR(__xludf.DUMMYFUNCTION("""COMPUTED_VALUE"""),"")</f>
        <v/>
      </c>
      <c r="G10527" s="18"/>
      <c r="H10527" s="16" t="s">
        <v>87</v>
      </c>
      <c r="I10527" s="16" t="s">
        <v>87</v>
      </c>
      <c r="J10527" s="19"/>
      <c r="L10527" s="16" t="str">
        <f>IFERROR(__xludf.DUMMYFUNCTION("""COMPUTED_VALUE"""),"")</f>
        <v/>
      </c>
      <c r="M10527" s="16" t="str">
        <f>IFERROR(__xludf.DUMMYFUNCTION("""COMPUTED_VALUE"""),"")</f>
        <v/>
      </c>
      <c r="U10527" s="16" t="s">
        <v>87</v>
      </c>
      <c r="V10527" s="16" t="str">
        <f>IFERROR(__xludf.DUMMYFUNCTION("""COMPUTED_VALUE"""),"")</f>
        <v/>
      </c>
      <c r="W10527" s="16" t="str">
        <f>IFERROR(__xludf.DUMMYFUNCTION("""COMPUTED_VALUE"""),"")</f>
        <v/>
      </c>
      <c r="X10527" s="16" t="str">
        <f>IFERROR(__xludf.DUMMYFUNCTION("""COMPUTED_VALUE"""),"")</f>
        <v/>
      </c>
      <c r="AC10527" s="16" t="str">
        <f>IFERROR(__xludf.DUMMYFUNCTION("""COMPUTED_VALUE"""),"")</f>
        <v/>
      </c>
    </row>
    <row r="10528">
      <c r="A10528" s="16" t="s">
        <v>87</v>
      </c>
      <c r="E10528" s="16" t="str">
        <f>IFERROR(__xludf.DUMMYFUNCTION("""COMPUTED_VALUE"""),"")</f>
        <v/>
      </c>
      <c r="G10528" s="18"/>
      <c r="H10528" s="16" t="s">
        <v>87</v>
      </c>
      <c r="I10528" s="16" t="s">
        <v>87</v>
      </c>
      <c r="J10528" s="19"/>
      <c r="L10528" s="16" t="str">
        <f>IFERROR(__xludf.DUMMYFUNCTION("""COMPUTED_VALUE"""),"")</f>
        <v/>
      </c>
      <c r="M10528" s="16" t="str">
        <f>IFERROR(__xludf.DUMMYFUNCTION("""COMPUTED_VALUE"""),"")</f>
        <v/>
      </c>
      <c r="U10528" s="16" t="s">
        <v>87</v>
      </c>
      <c r="V10528" s="16" t="str">
        <f>IFERROR(__xludf.DUMMYFUNCTION("""COMPUTED_VALUE"""),"")</f>
        <v/>
      </c>
      <c r="W10528" s="16" t="str">
        <f>IFERROR(__xludf.DUMMYFUNCTION("""COMPUTED_VALUE"""),"")</f>
        <v/>
      </c>
      <c r="X10528" s="16" t="str">
        <f>IFERROR(__xludf.DUMMYFUNCTION("""COMPUTED_VALUE"""),"")</f>
        <v/>
      </c>
      <c r="AC10528" s="16" t="str">
        <f>IFERROR(__xludf.DUMMYFUNCTION("""COMPUTED_VALUE"""),"")</f>
        <v/>
      </c>
    </row>
    <row r="10529">
      <c r="A10529" s="16" t="s">
        <v>87</v>
      </c>
      <c r="E10529" s="16" t="str">
        <f>IFERROR(__xludf.DUMMYFUNCTION("""COMPUTED_VALUE"""),"")</f>
        <v/>
      </c>
      <c r="G10529" s="18"/>
      <c r="H10529" s="16" t="s">
        <v>87</v>
      </c>
      <c r="I10529" s="16" t="s">
        <v>87</v>
      </c>
      <c r="J10529" s="19"/>
      <c r="L10529" s="16" t="str">
        <f>IFERROR(__xludf.DUMMYFUNCTION("""COMPUTED_VALUE"""),"")</f>
        <v/>
      </c>
      <c r="M10529" s="16" t="str">
        <f>IFERROR(__xludf.DUMMYFUNCTION("""COMPUTED_VALUE"""),"")</f>
        <v/>
      </c>
      <c r="U10529" s="16" t="s">
        <v>87</v>
      </c>
      <c r="V10529" s="16" t="str">
        <f>IFERROR(__xludf.DUMMYFUNCTION("""COMPUTED_VALUE"""),"")</f>
        <v/>
      </c>
      <c r="W10529" s="16" t="str">
        <f>IFERROR(__xludf.DUMMYFUNCTION("""COMPUTED_VALUE"""),"")</f>
        <v/>
      </c>
      <c r="X10529" s="16" t="str">
        <f>IFERROR(__xludf.DUMMYFUNCTION("""COMPUTED_VALUE"""),"")</f>
        <v/>
      </c>
      <c r="AC10529" s="16" t="str">
        <f>IFERROR(__xludf.DUMMYFUNCTION("""COMPUTED_VALUE"""),"")</f>
        <v/>
      </c>
    </row>
    <row r="10530">
      <c r="A10530" s="16" t="s">
        <v>87</v>
      </c>
      <c r="E10530" s="16" t="str">
        <f>IFERROR(__xludf.DUMMYFUNCTION("""COMPUTED_VALUE"""),"")</f>
        <v/>
      </c>
      <c r="G10530" s="18"/>
      <c r="H10530" s="16" t="s">
        <v>87</v>
      </c>
      <c r="I10530" s="16" t="s">
        <v>87</v>
      </c>
      <c r="J10530" s="19"/>
      <c r="L10530" s="16" t="str">
        <f>IFERROR(__xludf.DUMMYFUNCTION("""COMPUTED_VALUE"""),"")</f>
        <v/>
      </c>
      <c r="M10530" s="16" t="str">
        <f>IFERROR(__xludf.DUMMYFUNCTION("""COMPUTED_VALUE"""),"")</f>
        <v/>
      </c>
      <c r="U10530" s="16" t="s">
        <v>87</v>
      </c>
      <c r="V10530" s="16" t="str">
        <f>IFERROR(__xludf.DUMMYFUNCTION("""COMPUTED_VALUE"""),"")</f>
        <v/>
      </c>
      <c r="W10530" s="16" t="str">
        <f>IFERROR(__xludf.DUMMYFUNCTION("""COMPUTED_VALUE"""),"")</f>
        <v/>
      </c>
      <c r="X10530" s="16" t="str">
        <f>IFERROR(__xludf.DUMMYFUNCTION("""COMPUTED_VALUE"""),"")</f>
        <v/>
      </c>
      <c r="AC10530" s="16" t="str">
        <f>IFERROR(__xludf.DUMMYFUNCTION("""COMPUTED_VALUE"""),"")</f>
        <v/>
      </c>
    </row>
    <row r="10531">
      <c r="A10531" s="16" t="s">
        <v>87</v>
      </c>
      <c r="E10531" s="16" t="str">
        <f>IFERROR(__xludf.DUMMYFUNCTION("""COMPUTED_VALUE"""),"")</f>
        <v/>
      </c>
      <c r="G10531" s="18"/>
      <c r="H10531" s="16" t="s">
        <v>87</v>
      </c>
      <c r="I10531" s="16" t="s">
        <v>87</v>
      </c>
      <c r="J10531" s="19"/>
      <c r="L10531" s="16" t="str">
        <f>IFERROR(__xludf.DUMMYFUNCTION("""COMPUTED_VALUE"""),"")</f>
        <v/>
      </c>
      <c r="M10531" s="16" t="str">
        <f>IFERROR(__xludf.DUMMYFUNCTION("""COMPUTED_VALUE"""),"")</f>
        <v/>
      </c>
      <c r="U10531" s="16" t="s">
        <v>87</v>
      </c>
      <c r="V10531" s="16" t="str">
        <f>IFERROR(__xludf.DUMMYFUNCTION("""COMPUTED_VALUE"""),"")</f>
        <v/>
      </c>
      <c r="W10531" s="16" t="str">
        <f>IFERROR(__xludf.DUMMYFUNCTION("""COMPUTED_VALUE"""),"")</f>
        <v/>
      </c>
      <c r="X10531" s="16" t="str">
        <f>IFERROR(__xludf.DUMMYFUNCTION("""COMPUTED_VALUE"""),"")</f>
        <v/>
      </c>
      <c r="AC10531" s="16" t="str">
        <f>IFERROR(__xludf.DUMMYFUNCTION("""COMPUTED_VALUE"""),"")</f>
        <v/>
      </c>
    </row>
    <row r="10532">
      <c r="A10532" s="16" t="s">
        <v>87</v>
      </c>
      <c r="E10532" s="16" t="str">
        <f>IFERROR(__xludf.DUMMYFUNCTION("""COMPUTED_VALUE"""),"")</f>
        <v/>
      </c>
      <c r="G10532" s="18"/>
      <c r="H10532" s="16" t="s">
        <v>87</v>
      </c>
      <c r="I10532" s="16" t="s">
        <v>87</v>
      </c>
      <c r="J10532" s="19"/>
      <c r="L10532" s="16" t="str">
        <f>IFERROR(__xludf.DUMMYFUNCTION("""COMPUTED_VALUE"""),"")</f>
        <v/>
      </c>
      <c r="M10532" s="16" t="str">
        <f>IFERROR(__xludf.DUMMYFUNCTION("""COMPUTED_VALUE"""),"")</f>
        <v/>
      </c>
      <c r="U10532" s="16" t="s">
        <v>87</v>
      </c>
      <c r="V10532" s="16" t="str">
        <f>IFERROR(__xludf.DUMMYFUNCTION("""COMPUTED_VALUE"""),"")</f>
        <v/>
      </c>
      <c r="W10532" s="16" t="str">
        <f>IFERROR(__xludf.DUMMYFUNCTION("""COMPUTED_VALUE"""),"")</f>
        <v/>
      </c>
      <c r="X10532" s="16" t="str">
        <f>IFERROR(__xludf.DUMMYFUNCTION("""COMPUTED_VALUE"""),"")</f>
        <v/>
      </c>
      <c r="AC10532" s="16" t="str">
        <f>IFERROR(__xludf.DUMMYFUNCTION("""COMPUTED_VALUE"""),"")</f>
        <v/>
      </c>
    </row>
    <row r="10533">
      <c r="A10533" s="16" t="s">
        <v>87</v>
      </c>
      <c r="E10533" s="16" t="str">
        <f>IFERROR(__xludf.DUMMYFUNCTION("""COMPUTED_VALUE"""),"")</f>
        <v/>
      </c>
      <c r="G10533" s="18"/>
      <c r="H10533" s="16" t="s">
        <v>87</v>
      </c>
      <c r="I10533" s="16" t="s">
        <v>87</v>
      </c>
      <c r="J10533" s="19"/>
      <c r="L10533" s="16" t="str">
        <f>IFERROR(__xludf.DUMMYFUNCTION("""COMPUTED_VALUE"""),"")</f>
        <v/>
      </c>
      <c r="M10533" s="16" t="str">
        <f>IFERROR(__xludf.DUMMYFUNCTION("""COMPUTED_VALUE"""),"")</f>
        <v/>
      </c>
      <c r="U10533" s="16" t="s">
        <v>87</v>
      </c>
      <c r="V10533" s="16" t="str">
        <f>IFERROR(__xludf.DUMMYFUNCTION("""COMPUTED_VALUE"""),"")</f>
        <v/>
      </c>
      <c r="W10533" s="16" t="str">
        <f>IFERROR(__xludf.DUMMYFUNCTION("""COMPUTED_VALUE"""),"")</f>
        <v/>
      </c>
      <c r="X10533" s="16" t="str">
        <f>IFERROR(__xludf.DUMMYFUNCTION("""COMPUTED_VALUE"""),"")</f>
        <v/>
      </c>
      <c r="AC10533" s="16" t="str">
        <f>IFERROR(__xludf.DUMMYFUNCTION("""COMPUTED_VALUE"""),"")</f>
        <v/>
      </c>
    </row>
    <row r="10534">
      <c r="A10534" s="16" t="s">
        <v>87</v>
      </c>
      <c r="E10534" s="16" t="str">
        <f>IFERROR(__xludf.DUMMYFUNCTION("""COMPUTED_VALUE"""),"")</f>
        <v/>
      </c>
      <c r="G10534" s="18"/>
      <c r="H10534" s="16" t="s">
        <v>87</v>
      </c>
      <c r="I10534" s="16" t="s">
        <v>87</v>
      </c>
      <c r="J10534" s="19"/>
      <c r="L10534" s="16" t="str">
        <f>IFERROR(__xludf.DUMMYFUNCTION("""COMPUTED_VALUE"""),"")</f>
        <v/>
      </c>
      <c r="M10534" s="16" t="str">
        <f>IFERROR(__xludf.DUMMYFUNCTION("""COMPUTED_VALUE"""),"")</f>
        <v/>
      </c>
      <c r="U10534" s="16" t="s">
        <v>87</v>
      </c>
      <c r="V10534" s="16" t="str">
        <f>IFERROR(__xludf.DUMMYFUNCTION("""COMPUTED_VALUE"""),"")</f>
        <v/>
      </c>
      <c r="W10534" s="16" t="str">
        <f>IFERROR(__xludf.DUMMYFUNCTION("""COMPUTED_VALUE"""),"")</f>
        <v/>
      </c>
      <c r="X10534" s="16" t="str">
        <f>IFERROR(__xludf.DUMMYFUNCTION("""COMPUTED_VALUE"""),"")</f>
        <v/>
      </c>
      <c r="AC10534" s="16" t="str">
        <f>IFERROR(__xludf.DUMMYFUNCTION("""COMPUTED_VALUE"""),"")</f>
        <v/>
      </c>
    </row>
    <row r="10535">
      <c r="A10535" s="16" t="s">
        <v>87</v>
      </c>
      <c r="E10535" s="16" t="str">
        <f>IFERROR(__xludf.DUMMYFUNCTION("""COMPUTED_VALUE"""),"")</f>
        <v/>
      </c>
      <c r="G10535" s="18"/>
      <c r="H10535" s="16" t="s">
        <v>87</v>
      </c>
      <c r="I10535" s="16" t="s">
        <v>87</v>
      </c>
      <c r="J10535" s="19"/>
      <c r="L10535" s="16" t="str">
        <f>IFERROR(__xludf.DUMMYFUNCTION("""COMPUTED_VALUE"""),"")</f>
        <v/>
      </c>
      <c r="M10535" s="16" t="str">
        <f>IFERROR(__xludf.DUMMYFUNCTION("""COMPUTED_VALUE"""),"")</f>
        <v/>
      </c>
      <c r="U10535" s="16" t="s">
        <v>87</v>
      </c>
      <c r="V10535" s="16" t="str">
        <f>IFERROR(__xludf.DUMMYFUNCTION("""COMPUTED_VALUE"""),"")</f>
        <v/>
      </c>
      <c r="W10535" s="16" t="str">
        <f>IFERROR(__xludf.DUMMYFUNCTION("""COMPUTED_VALUE"""),"")</f>
        <v/>
      </c>
      <c r="X10535" s="16" t="str">
        <f>IFERROR(__xludf.DUMMYFUNCTION("""COMPUTED_VALUE"""),"")</f>
        <v/>
      </c>
      <c r="AC10535" s="16" t="str">
        <f>IFERROR(__xludf.DUMMYFUNCTION("""COMPUTED_VALUE"""),"")</f>
        <v/>
      </c>
    </row>
    <row r="10536">
      <c r="A10536" s="16" t="s">
        <v>87</v>
      </c>
      <c r="E10536" s="16" t="str">
        <f>IFERROR(__xludf.DUMMYFUNCTION("""COMPUTED_VALUE"""),"")</f>
        <v/>
      </c>
      <c r="G10536" s="18"/>
      <c r="H10536" s="16" t="s">
        <v>87</v>
      </c>
      <c r="I10536" s="16" t="s">
        <v>87</v>
      </c>
      <c r="J10536" s="19"/>
      <c r="L10536" s="16" t="str">
        <f>IFERROR(__xludf.DUMMYFUNCTION("""COMPUTED_VALUE"""),"")</f>
        <v/>
      </c>
      <c r="M10536" s="16" t="str">
        <f>IFERROR(__xludf.DUMMYFUNCTION("""COMPUTED_VALUE"""),"")</f>
        <v/>
      </c>
      <c r="U10536" s="16" t="s">
        <v>87</v>
      </c>
      <c r="V10536" s="16" t="str">
        <f>IFERROR(__xludf.DUMMYFUNCTION("""COMPUTED_VALUE"""),"")</f>
        <v/>
      </c>
      <c r="W10536" s="16" t="str">
        <f>IFERROR(__xludf.DUMMYFUNCTION("""COMPUTED_VALUE"""),"")</f>
        <v/>
      </c>
      <c r="X10536" s="16" t="str">
        <f>IFERROR(__xludf.DUMMYFUNCTION("""COMPUTED_VALUE"""),"")</f>
        <v/>
      </c>
      <c r="AC10536" s="16" t="str">
        <f>IFERROR(__xludf.DUMMYFUNCTION("""COMPUTED_VALUE"""),"")</f>
        <v/>
      </c>
    </row>
    <row r="10537">
      <c r="A10537" s="16" t="s">
        <v>87</v>
      </c>
      <c r="E10537" s="16" t="str">
        <f>IFERROR(__xludf.DUMMYFUNCTION("""COMPUTED_VALUE"""),"")</f>
        <v/>
      </c>
      <c r="G10537" s="18"/>
      <c r="H10537" s="16" t="s">
        <v>87</v>
      </c>
      <c r="I10537" s="16" t="s">
        <v>87</v>
      </c>
      <c r="J10537" s="19"/>
      <c r="L10537" s="16" t="str">
        <f>IFERROR(__xludf.DUMMYFUNCTION("""COMPUTED_VALUE"""),"")</f>
        <v/>
      </c>
      <c r="M10537" s="16" t="str">
        <f>IFERROR(__xludf.DUMMYFUNCTION("""COMPUTED_VALUE"""),"")</f>
        <v/>
      </c>
      <c r="U10537" s="16" t="s">
        <v>87</v>
      </c>
      <c r="V10537" s="16" t="str">
        <f>IFERROR(__xludf.DUMMYFUNCTION("""COMPUTED_VALUE"""),"")</f>
        <v/>
      </c>
      <c r="W10537" s="16" t="str">
        <f>IFERROR(__xludf.DUMMYFUNCTION("""COMPUTED_VALUE"""),"")</f>
        <v/>
      </c>
      <c r="X10537" s="16" t="str">
        <f>IFERROR(__xludf.DUMMYFUNCTION("""COMPUTED_VALUE"""),"")</f>
        <v/>
      </c>
      <c r="AC10537" s="16" t="str">
        <f>IFERROR(__xludf.DUMMYFUNCTION("""COMPUTED_VALUE"""),"")</f>
        <v/>
      </c>
    </row>
    <row r="10538">
      <c r="A10538" s="16" t="s">
        <v>87</v>
      </c>
      <c r="E10538" s="16" t="str">
        <f>IFERROR(__xludf.DUMMYFUNCTION("""COMPUTED_VALUE"""),"")</f>
        <v/>
      </c>
      <c r="G10538" s="18"/>
      <c r="H10538" s="16" t="s">
        <v>87</v>
      </c>
      <c r="I10538" s="16" t="s">
        <v>87</v>
      </c>
      <c r="J10538" s="19"/>
      <c r="L10538" s="16" t="str">
        <f>IFERROR(__xludf.DUMMYFUNCTION("""COMPUTED_VALUE"""),"")</f>
        <v/>
      </c>
      <c r="M10538" s="16" t="str">
        <f>IFERROR(__xludf.DUMMYFUNCTION("""COMPUTED_VALUE"""),"")</f>
        <v/>
      </c>
      <c r="U10538" s="16" t="s">
        <v>87</v>
      </c>
      <c r="V10538" s="16" t="str">
        <f>IFERROR(__xludf.DUMMYFUNCTION("""COMPUTED_VALUE"""),"")</f>
        <v/>
      </c>
      <c r="W10538" s="16" t="str">
        <f>IFERROR(__xludf.DUMMYFUNCTION("""COMPUTED_VALUE"""),"")</f>
        <v/>
      </c>
      <c r="X10538" s="16" t="str">
        <f>IFERROR(__xludf.DUMMYFUNCTION("""COMPUTED_VALUE"""),"")</f>
        <v/>
      </c>
      <c r="AC10538" s="16" t="str">
        <f>IFERROR(__xludf.DUMMYFUNCTION("""COMPUTED_VALUE"""),"")</f>
        <v/>
      </c>
    </row>
    <row r="10539">
      <c r="A10539" s="16" t="s">
        <v>87</v>
      </c>
      <c r="E10539" s="16" t="str">
        <f>IFERROR(__xludf.DUMMYFUNCTION("""COMPUTED_VALUE"""),"")</f>
        <v/>
      </c>
      <c r="G10539" s="18"/>
      <c r="H10539" s="16" t="s">
        <v>87</v>
      </c>
      <c r="I10539" s="16" t="s">
        <v>87</v>
      </c>
      <c r="J10539" s="19"/>
      <c r="L10539" s="16" t="str">
        <f>IFERROR(__xludf.DUMMYFUNCTION("""COMPUTED_VALUE"""),"")</f>
        <v/>
      </c>
      <c r="M10539" s="16" t="str">
        <f>IFERROR(__xludf.DUMMYFUNCTION("""COMPUTED_VALUE"""),"")</f>
        <v/>
      </c>
      <c r="U10539" s="16" t="s">
        <v>87</v>
      </c>
      <c r="V10539" s="16" t="str">
        <f>IFERROR(__xludf.DUMMYFUNCTION("""COMPUTED_VALUE"""),"")</f>
        <v/>
      </c>
      <c r="W10539" s="16" t="str">
        <f>IFERROR(__xludf.DUMMYFUNCTION("""COMPUTED_VALUE"""),"")</f>
        <v/>
      </c>
      <c r="X10539" s="16" t="str">
        <f>IFERROR(__xludf.DUMMYFUNCTION("""COMPUTED_VALUE"""),"")</f>
        <v/>
      </c>
      <c r="AC10539" s="16" t="str">
        <f>IFERROR(__xludf.DUMMYFUNCTION("""COMPUTED_VALUE"""),"")</f>
        <v/>
      </c>
    </row>
    <row r="10540">
      <c r="A10540" s="16" t="s">
        <v>87</v>
      </c>
      <c r="E10540" s="16" t="str">
        <f>IFERROR(__xludf.DUMMYFUNCTION("""COMPUTED_VALUE"""),"")</f>
        <v/>
      </c>
      <c r="G10540" s="18"/>
      <c r="H10540" s="16" t="s">
        <v>87</v>
      </c>
      <c r="I10540" s="16" t="s">
        <v>87</v>
      </c>
      <c r="J10540" s="19"/>
      <c r="L10540" s="16" t="str">
        <f>IFERROR(__xludf.DUMMYFUNCTION("""COMPUTED_VALUE"""),"")</f>
        <v/>
      </c>
      <c r="M10540" s="16" t="str">
        <f>IFERROR(__xludf.DUMMYFUNCTION("""COMPUTED_VALUE"""),"")</f>
        <v/>
      </c>
      <c r="U10540" s="16" t="s">
        <v>87</v>
      </c>
      <c r="V10540" s="16" t="str">
        <f>IFERROR(__xludf.DUMMYFUNCTION("""COMPUTED_VALUE"""),"")</f>
        <v/>
      </c>
      <c r="W10540" s="16" t="str">
        <f>IFERROR(__xludf.DUMMYFUNCTION("""COMPUTED_VALUE"""),"")</f>
        <v/>
      </c>
      <c r="X10540" s="16" t="str">
        <f>IFERROR(__xludf.DUMMYFUNCTION("""COMPUTED_VALUE"""),"")</f>
        <v/>
      </c>
      <c r="AC10540" s="16" t="str">
        <f>IFERROR(__xludf.DUMMYFUNCTION("""COMPUTED_VALUE"""),"")</f>
        <v/>
      </c>
    </row>
    <row r="10541">
      <c r="A10541" s="16" t="s">
        <v>87</v>
      </c>
      <c r="E10541" s="16" t="str">
        <f>IFERROR(__xludf.DUMMYFUNCTION("""COMPUTED_VALUE"""),"")</f>
        <v/>
      </c>
      <c r="G10541" s="18"/>
      <c r="H10541" s="16" t="s">
        <v>87</v>
      </c>
      <c r="I10541" s="16" t="s">
        <v>87</v>
      </c>
      <c r="J10541" s="19"/>
      <c r="L10541" s="16" t="str">
        <f>IFERROR(__xludf.DUMMYFUNCTION("""COMPUTED_VALUE"""),"")</f>
        <v/>
      </c>
      <c r="M10541" s="16" t="str">
        <f>IFERROR(__xludf.DUMMYFUNCTION("""COMPUTED_VALUE"""),"")</f>
        <v/>
      </c>
      <c r="U10541" s="16" t="s">
        <v>87</v>
      </c>
      <c r="V10541" s="16" t="str">
        <f>IFERROR(__xludf.DUMMYFUNCTION("""COMPUTED_VALUE"""),"")</f>
        <v/>
      </c>
      <c r="W10541" s="16" t="str">
        <f>IFERROR(__xludf.DUMMYFUNCTION("""COMPUTED_VALUE"""),"")</f>
        <v/>
      </c>
      <c r="X10541" s="16" t="str">
        <f>IFERROR(__xludf.DUMMYFUNCTION("""COMPUTED_VALUE"""),"")</f>
        <v/>
      </c>
      <c r="AC10541" s="16" t="str">
        <f>IFERROR(__xludf.DUMMYFUNCTION("""COMPUTED_VALUE"""),"")</f>
        <v/>
      </c>
    </row>
    <row r="10542">
      <c r="A10542" s="16" t="s">
        <v>87</v>
      </c>
      <c r="E10542" s="16" t="str">
        <f>IFERROR(__xludf.DUMMYFUNCTION("""COMPUTED_VALUE"""),"")</f>
        <v/>
      </c>
      <c r="G10542" s="18"/>
      <c r="H10542" s="16" t="s">
        <v>87</v>
      </c>
      <c r="I10542" s="16" t="s">
        <v>87</v>
      </c>
      <c r="J10542" s="19"/>
      <c r="L10542" s="16" t="str">
        <f>IFERROR(__xludf.DUMMYFUNCTION("""COMPUTED_VALUE"""),"")</f>
        <v/>
      </c>
      <c r="M10542" s="16" t="str">
        <f>IFERROR(__xludf.DUMMYFUNCTION("""COMPUTED_VALUE"""),"")</f>
        <v/>
      </c>
      <c r="U10542" s="16" t="s">
        <v>87</v>
      </c>
      <c r="V10542" s="16" t="str">
        <f>IFERROR(__xludf.DUMMYFUNCTION("""COMPUTED_VALUE"""),"")</f>
        <v/>
      </c>
      <c r="W10542" s="16" t="str">
        <f>IFERROR(__xludf.DUMMYFUNCTION("""COMPUTED_VALUE"""),"")</f>
        <v/>
      </c>
      <c r="X10542" s="16" t="str">
        <f>IFERROR(__xludf.DUMMYFUNCTION("""COMPUTED_VALUE"""),"")</f>
        <v/>
      </c>
      <c r="AC10542" s="16" t="str">
        <f>IFERROR(__xludf.DUMMYFUNCTION("""COMPUTED_VALUE"""),"")</f>
        <v/>
      </c>
    </row>
    <row r="10543">
      <c r="A10543" s="16" t="s">
        <v>87</v>
      </c>
      <c r="E10543" s="16" t="str">
        <f>IFERROR(__xludf.DUMMYFUNCTION("""COMPUTED_VALUE"""),"")</f>
        <v/>
      </c>
      <c r="G10543" s="18"/>
      <c r="H10543" s="16" t="s">
        <v>87</v>
      </c>
      <c r="I10543" s="16" t="s">
        <v>87</v>
      </c>
      <c r="J10543" s="19"/>
      <c r="L10543" s="16" t="str">
        <f>IFERROR(__xludf.DUMMYFUNCTION("""COMPUTED_VALUE"""),"")</f>
        <v/>
      </c>
      <c r="M10543" s="16" t="str">
        <f>IFERROR(__xludf.DUMMYFUNCTION("""COMPUTED_VALUE"""),"")</f>
        <v/>
      </c>
      <c r="U10543" s="16" t="s">
        <v>87</v>
      </c>
      <c r="V10543" s="16" t="str">
        <f>IFERROR(__xludf.DUMMYFUNCTION("""COMPUTED_VALUE"""),"")</f>
        <v/>
      </c>
      <c r="W10543" s="16" t="str">
        <f>IFERROR(__xludf.DUMMYFUNCTION("""COMPUTED_VALUE"""),"")</f>
        <v/>
      </c>
      <c r="X10543" s="16" t="str">
        <f>IFERROR(__xludf.DUMMYFUNCTION("""COMPUTED_VALUE"""),"")</f>
        <v/>
      </c>
      <c r="AC10543" s="16" t="str">
        <f>IFERROR(__xludf.DUMMYFUNCTION("""COMPUTED_VALUE"""),"")</f>
        <v/>
      </c>
    </row>
    <row r="10544">
      <c r="A10544" s="16" t="s">
        <v>87</v>
      </c>
      <c r="E10544" s="16" t="str">
        <f>IFERROR(__xludf.DUMMYFUNCTION("""COMPUTED_VALUE"""),"")</f>
        <v/>
      </c>
      <c r="G10544" s="18"/>
      <c r="H10544" s="16" t="s">
        <v>87</v>
      </c>
      <c r="I10544" s="16" t="s">
        <v>87</v>
      </c>
      <c r="J10544" s="19"/>
      <c r="L10544" s="16" t="str">
        <f>IFERROR(__xludf.DUMMYFUNCTION("""COMPUTED_VALUE"""),"")</f>
        <v/>
      </c>
      <c r="M10544" s="16" t="str">
        <f>IFERROR(__xludf.DUMMYFUNCTION("""COMPUTED_VALUE"""),"")</f>
        <v/>
      </c>
      <c r="U10544" s="16" t="s">
        <v>87</v>
      </c>
      <c r="V10544" s="16" t="str">
        <f>IFERROR(__xludf.DUMMYFUNCTION("""COMPUTED_VALUE"""),"")</f>
        <v/>
      </c>
      <c r="W10544" s="16" t="str">
        <f>IFERROR(__xludf.DUMMYFUNCTION("""COMPUTED_VALUE"""),"")</f>
        <v/>
      </c>
      <c r="X10544" s="16" t="str">
        <f>IFERROR(__xludf.DUMMYFUNCTION("""COMPUTED_VALUE"""),"")</f>
        <v/>
      </c>
      <c r="AC10544" s="16" t="str">
        <f>IFERROR(__xludf.DUMMYFUNCTION("""COMPUTED_VALUE"""),"")</f>
        <v/>
      </c>
    </row>
    <row r="10545">
      <c r="A10545" s="16" t="s">
        <v>87</v>
      </c>
      <c r="E10545" s="16" t="str">
        <f>IFERROR(__xludf.DUMMYFUNCTION("""COMPUTED_VALUE"""),"")</f>
        <v/>
      </c>
      <c r="G10545" s="18"/>
      <c r="H10545" s="16" t="s">
        <v>87</v>
      </c>
      <c r="I10545" s="16" t="s">
        <v>87</v>
      </c>
      <c r="J10545" s="19"/>
      <c r="L10545" s="16" t="str">
        <f>IFERROR(__xludf.DUMMYFUNCTION("""COMPUTED_VALUE"""),"")</f>
        <v/>
      </c>
      <c r="M10545" s="16" t="str">
        <f>IFERROR(__xludf.DUMMYFUNCTION("""COMPUTED_VALUE"""),"")</f>
        <v/>
      </c>
      <c r="U10545" s="16" t="s">
        <v>87</v>
      </c>
      <c r="V10545" s="16" t="str">
        <f>IFERROR(__xludf.DUMMYFUNCTION("""COMPUTED_VALUE"""),"")</f>
        <v/>
      </c>
      <c r="W10545" s="16" t="str">
        <f>IFERROR(__xludf.DUMMYFUNCTION("""COMPUTED_VALUE"""),"")</f>
        <v/>
      </c>
      <c r="X10545" s="16" t="str">
        <f>IFERROR(__xludf.DUMMYFUNCTION("""COMPUTED_VALUE"""),"")</f>
        <v/>
      </c>
      <c r="AC10545" s="16" t="str">
        <f>IFERROR(__xludf.DUMMYFUNCTION("""COMPUTED_VALUE"""),"")</f>
        <v/>
      </c>
    </row>
    <row r="10546">
      <c r="A10546" s="16" t="s">
        <v>87</v>
      </c>
      <c r="E10546" s="16" t="str">
        <f>IFERROR(__xludf.DUMMYFUNCTION("""COMPUTED_VALUE"""),"")</f>
        <v/>
      </c>
      <c r="G10546" s="18"/>
      <c r="H10546" s="16" t="s">
        <v>87</v>
      </c>
      <c r="I10546" s="16" t="s">
        <v>87</v>
      </c>
      <c r="J10546" s="19"/>
      <c r="L10546" s="16" t="str">
        <f>IFERROR(__xludf.DUMMYFUNCTION("""COMPUTED_VALUE"""),"")</f>
        <v/>
      </c>
      <c r="M10546" s="16" t="str">
        <f>IFERROR(__xludf.DUMMYFUNCTION("""COMPUTED_VALUE"""),"")</f>
        <v/>
      </c>
      <c r="U10546" s="16" t="s">
        <v>87</v>
      </c>
      <c r="V10546" s="16" t="str">
        <f>IFERROR(__xludf.DUMMYFUNCTION("""COMPUTED_VALUE"""),"")</f>
        <v/>
      </c>
      <c r="W10546" s="16" t="str">
        <f>IFERROR(__xludf.DUMMYFUNCTION("""COMPUTED_VALUE"""),"")</f>
        <v/>
      </c>
      <c r="X10546" s="16" t="str">
        <f>IFERROR(__xludf.DUMMYFUNCTION("""COMPUTED_VALUE"""),"")</f>
        <v/>
      </c>
      <c r="AC10546" s="16" t="str">
        <f>IFERROR(__xludf.DUMMYFUNCTION("""COMPUTED_VALUE"""),"")</f>
        <v/>
      </c>
    </row>
    <row r="10547">
      <c r="A10547" s="16" t="s">
        <v>87</v>
      </c>
      <c r="E10547" s="16" t="str">
        <f>IFERROR(__xludf.DUMMYFUNCTION("""COMPUTED_VALUE"""),"")</f>
        <v/>
      </c>
      <c r="G10547" s="18"/>
      <c r="H10547" s="16" t="s">
        <v>87</v>
      </c>
      <c r="I10547" s="16" t="s">
        <v>87</v>
      </c>
      <c r="J10547" s="19"/>
      <c r="L10547" s="16" t="str">
        <f>IFERROR(__xludf.DUMMYFUNCTION("""COMPUTED_VALUE"""),"")</f>
        <v/>
      </c>
      <c r="M10547" s="16" t="str">
        <f>IFERROR(__xludf.DUMMYFUNCTION("""COMPUTED_VALUE"""),"")</f>
        <v/>
      </c>
      <c r="U10547" s="16" t="s">
        <v>87</v>
      </c>
      <c r="V10547" s="16" t="str">
        <f>IFERROR(__xludf.DUMMYFUNCTION("""COMPUTED_VALUE"""),"")</f>
        <v/>
      </c>
      <c r="W10547" s="16" t="str">
        <f>IFERROR(__xludf.DUMMYFUNCTION("""COMPUTED_VALUE"""),"")</f>
        <v/>
      </c>
      <c r="X10547" s="16" t="str">
        <f>IFERROR(__xludf.DUMMYFUNCTION("""COMPUTED_VALUE"""),"")</f>
        <v/>
      </c>
      <c r="AC10547" s="16" t="str">
        <f>IFERROR(__xludf.DUMMYFUNCTION("""COMPUTED_VALUE"""),"")</f>
        <v/>
      </c>
    </row>
    <row r="10548">
      <c r="A10548" s="16" t="s">
        <v>87</v>
      </c>
      <c r="E10548" s="16" t="str">
        <f>IFERROR(__xludf.DUMMYFUNCTION("""COMPUTED_VALUE"""),"")</f>
        <v/>
      </c>
      <c r="G10548" s="18"/>
      <c r="H10548" s="16" t="s">
        <v>87</v>
      </c>
      <c r="I10548" s="16" t="s">
        <v>87</v>
      </c>
      <c r="J10548" s="19"/>
      <c r="L10548" s="16" t="str">
        <f>IFERROR(__xludf.DUMMYFUNCTION("""COMPUTED_VALUE"""),"")</f>
        <v/>
      </c>
      <c r="M10548" s="16" t="str">
        <f>IFERROR(__xludf.DUMMYFUNCTION("""COMPUTED_VALUE"""),"")</f>
        <v/>
      </c>
      <c r="U10548" s="16" t="s">
        <v>87</v>
      </c>
      <c r="V10548" s="16" t="str">
        <f>IFERROR(__xludf.DUMMYFUNCTION("""COMPUTED_VALUE"""),"")</f>
        <v/>
      </c>
      <c r="W10548" s="16" t="str">
        <f>IFERROR(__xludf.DUMMYFUNCTION("""COMPUTED_VALUE"""),"")</f>
        <v/>
      </c>
      <c r="X10548" s="16" t="str">
        <f>IFERROR(__xludf.DUMMYFUNCTION("""COMPUTED_VALUE"""),"")</f>
        <v/>
      </c>
      <c r="AC10548" s="16" t="str">
        <f>IFERROR(__xludf.DUMMYFUNCTION("""COMPUTED_VALUE"""),"")</f>
        <v/>
      </c>
    </row>
    <row r="10549">
      <c r="A10549" s="16" t="s">
        <v>87</v>
      </c>
      <c r="E10549" s="16" t="str">
        <f>IFERROR(__xludf.DUMMYFUNCTION("""COMPUTED_VALUE"""),"")</f>
        <v/>
      </c>
      <c r="G10549" s="18"/>
      <c r="H10549" s="16" t="s">
        <v>87</v>
      </c>
      <c r="I10549" s="16" t="s">
        <v>87</v>
      </c>
      <c r="J10549" s="19"/>
      <c r="L10549" s="16" t="str">
        <f>IFERROR(__xludf.DUMMYFUNCTION("""COMPUTED_VALUE"""),"")</f>
        <v/>
      </c>
      <c r="M10549" s="16" t="str">
        <f>IFERROR(__xludf.DUMMYFUNCTION("""COMPUTED_VALUE"""),"")</f>
        <v/>
      </c>
      <c r="U10549" s="16" t="s">
        <v>87</v>
      </c>
      <c r="V10549" s="16" t="str">
        <f>IFERROR(__xludf.DUMMYFUNCTION("""COMPUTED_VALUE"""),"")</f>
        <v/>
      </c>
      <c r="W10549" s="16" t="str">
        <f>IFERROR(__xludf.DUMMYFUNCTION("""COMPUTED_VALUE"""),"")</f>
        <v/>
      </c>
      <c r="X10549" s="16" t="str">
        <f>IFERROR(__xludf.DUMMYFUNCTION("""COMPUTED_VALUE"""),"")</f>
        <v/>
      </c>
      <c r="AC10549" s="16" t="str">
        <f>IFERROR(__xludf.DUMMYFUNCTION("""COMPUTED_VALUE"""),"")</f>
        <v/>
      </c>
    </row>
    <row r="10550">
      <c r="A10550" s="16" t="s">
        <v>87</v>
      </c>
      <c r="E10550" s="16" t="str">
        <f>IFERROR(__xludf.DUMMYFUNCTION("""COMPUTED_VALUE"""),"")</f>
        <v/>
      </c>
      <c r="G10550" s="18"/>
      <c r="H10550" s="16" t="s">
        <v>87</v>
      </c>
      <c r="I10550" s="16" t="s">
        <v>87</v>
      </c>
      <c r="J10550" s="19"/>
      <c r="L10550" s="16" t="str">
        <f>IFERROR(__xludf.DUMMYFUNCTION("""COMPUTED_VALUE"""),"")</f>
        <v/>
      </c>
      <c r="M10550" s="16" t="str">
        <f>IFERROR(__xludf.DUMMYFUNCTION("""COMPUTED_VALUE"""),"")</f>
        <v/>
      </c>
      <c r="U10550" s="16" t="s">
        <v>87</v>
      </c>
      <c r="V10550" s="16" t="str">
        <f>IFERROR(__xludf.DUMMYFUNCTION("""COMPUTED_VALUE"""),"")</f>
        <v/>
      </c>
      <c r="W10550" s="16" t="str">
        <f>IFERROR(__xludf.DUMMYFUNCTION("""COMPUTED_VALUE"""),"")</f>
        <v/>
      </c>
      <c r="X10550" s="16" t="str">
        <f>IFERROR(__xludf.DUMMYFUNCTION("""COMPUTED_VALUE"""),"")</f>
        <v/>
      </c>
      <c r="AC10550" s="16" t="str">
        <f>IFERROR(__xludf.DUMMYFUNCTION("""COMPUTED_VALUE"""),"")</f>
        <v/>
      </c>
    </row>
    <row r="10551">
      <c r="A10551" s="16" t="s">
        <v>87</v>
      </c>
      <c r="E10551" s="16" t="str">
        <f>IFERROR(__xludf.DUMMYFUNCTION("""COMPUTED_VALUE"""),"")</f>
        <v/>
      </c>
      <c r="G10551" s="18"/>
      <c r="H10551" s="16" t="s">
        <v>87</v>
      </c>
      <c r="I10551" s="16" t="s">
        <v>87</v>
      </c>
      <c r="J10551" s="19"/>
      <c r="L10551" s="16" t="str">
        <f>IFERROR(__xludf.DUMMYFUNCTION("""COMPUTED_VALUE"""),"")</f>
        <v/>
      </c>
      <c r="M10551" s="16" t="str">
        <f>IFERROR(__xludf.DUMMYFUNCTION("""COMPUTED_VALUE"""),"")</f>
        <v/>
      </c>
      <c r="U10551" s="16" t="s">
        <v>87</v>
      </c>
      <c r="V10551" s="16" t="str">
        <f>IFERROR(__xludf.DUMMYFUNCTION("""COMPUTED_VALUE"""),"")</f>
        <v/>
      </c>
      <c r="W10551" s="16" t="str">
        <f>IFERROR(__xludf.DUMMYFUNCTION("""COMPUTED_VALUE"""),"")</f>
        <v/>
      </c>
      <c r="X10551" s="16" t="str">
        <f>IFERROR(__xludf.DUMMYFUNCTION("""COMPUTED_VALUE"""),"")</f>
        <v/>
      </c>
      <c r="AC10551" s="16" t="str">
        <f>IFERROR(__xludf.DUMMYFUNCTION("""COMPUTED_VALUE"""),"")</f>
        <v/>
      </c>
    </row>
    <row r="10552">
      <c r="A10552" s="16" t="s">
        <v>87</v>
      </c>
      <c r="E10552" s="16" t="str">
        <f>IFERROR(__xludf.DUMMYFUNCTION("""COMPUTED_VALUE"""),"")</f>
        <v/>
      </c>
      <c r="G10552" s="18"/>
      <c r="H10552" s="16" t="s">
        <v>87</v>
      </c>
      <c r="I10552" s="16" t="s">
        <v>87</v>
      </c>
      <c r="J10552" s="19"/>
      <c r="L10552" s="16" t="str">
        <f>IFERROR(__xludf.DUMMYFUNCTION("""COMPUTED_VALUE"""),"")</f>
        <v/>
      </c>
      <c r="M10552" s="16" t="str">
        <f>IFERROR(__xludf.DUMMYFUNCTION("""COMPUTED_VALUE"""),"")</f>
        <v/>
      </c>
      <c r="U10552" s="16" t="s">
        <v>87</v>
      </c>
      <c r="V10552" s="16" t="str">
        <f>IFERROR(__xludf.DUMMYFUNCTION("""COMPUTED_VALUE"""),"")</f>
        <v/>
      </c>
      <c r="W10552" s="16" t="str">
        <f>IFERROR(__xludf.DUMMYFUNCTION("""COMPUTED_VALUE"""),"")</f>
        <v/>
      </c>
      <c r="X10552" s="16" t="str">
        <f>IFERROR(__xludf.DUMMYFUNCTION("""COMPUTED_VALUE"""),"")</f>
        <v/>
      </c>
      <c r="AC10552" s="16" t="str">
        <f>IFERROR(__xludf.DUMMYFUNCTION("""COMPUTED_VALUE"""),"")</f>
        <v/>
      </c>
    </row>
    <row r="10553">
      <c r="A10553" s="16" t="s">
        <v>87</v>
      </c>
      <c r="E10553" s="16" t="str">
        <f>IFERROR(__xludf.DUMMYFUNCTION("""COMPUTED_VALUE"""),"")</f>
        <v/>
      </c>
      <c r="G10553" s="18"/>
      <c r="H10553" s="16" t="s">
        <v>87</v>
      </c>
      <c r="I10553" s="16" t="s">
        <v>87</v>
      </c>
      <c r="J10553" s="19"/>
      <c r="L10553" s="16" t="str">
        <f>IFERROR(__xludf.DUMMYFUNCTION("""COMPUTED_VALUE"""),"")</f>
        <v/>
      </c>
      <c r="M10553" s="16" t="str">
        <f>IFERROR(__xludf.DUMMYFUNCTION("""COMPUTED_VALUE"""),"")</f>
        <v/>
      </c>
      <c r="U10553" s="16" t="s">
        <v>87</v>
      </c>
      <c r="V10553" s="16" t="str">
        <f>IFERROR(__xludf.DUMMYFUNCTION("""COMPUTED_VALUE"""),"")</f>
        <v/>
      </c>
      <c r="W10553" s="16" t="str">
        <f>IFERROR(__xludf.DUMMYFUNCTION("""COMPUTED_VALUE"""),"")</f>
        <v/>
      </c>
      <c r="X10553" s="16" t="str">
        <f>IFERROR(__xludf.DUMMYFUNCTION("""COMPUTED_VALUE"""),"")</f>
        <v/>
      </c>
      <c r="AC10553" s="16" t="str">
        <f>IFERROR(__xludf.DUMMYFUNCTION("""COMPUTED_VALUE"""),"")</f>
        <v/>
      </c>
    </row>
    <row r="10554">
      <c r="A10554" s="16" t="s">
        <v>87</v>
      </c>
      <c r="E10554" s="16" t="str">
        <f>IFERROR(__xludf.DUMMYFUNCTION("""COMPUTED_VALUE"""),"")</f>
        <v/>
      </c>
      <c r="G10554" s="18"/>
      <c r="H10554" s="16" t="s">
        <v>87</v>
      </c>
      <c r="I10554" s="16" t="s">
        <v>87</v>
      </c>
      <c r="J10554" s="19"/>
      <c r="L10554" s="16" t="str">
        <f>IFERROR(__xludf.DUMMYFUNCTION("""COMPUTED_VALUE"""),"")</f>
        <v/>
      </c>
      <c r="M10554" s="16" t="str">
        <f>IFERROR(__xludf.DUMMYFUNCTION("""COMPUTED_VALUE"""),"")</f>
        <v/>
      </c>
      <c r="U10554" s="16" t="s">
        <v>87</v>
      </c>
      <c r="V10554" s="16" t="str">
        <f>IFERROR(__xludf.DUMMYFUNCTION("""COMPUTED_VALUE"""),"")</f>
        <v/>
      </c>
      <c r="W10554" s="16" t="str">
        <f>IFERROR(__xludf.DUMMYFUNCTION("""COMPUTED_VALUE"""),"")</f>
        <v/>
      </c>
      <c r="X10554" s="16" t="str">
        <f>IFERROR(__xludf.DUMMYFUNCTION("""COMPUTED_VALUE"""),"")</f>
        <v/>
      </c>
      <c r="AC10554" s="16" t="str">
        <f>IFERROR(__xludf.DUMMYFUNCTION("""COMPUTED_VALUE"""),"")</f>
        <v/>
      </c>
    </row>
    <row r="10555">
      <c r="A10555" s="16" t="s">
        <v>87</v>
      </c>
      <c r="E10555" s="16" t="str">
        <f>IFERROR(__xludf.DUMMYFUNCTION("""COMPUTED_VALUE"""),"")</f>
        <v/>
      </c>
      <c r="G10555" s="18"/>
      <c r="H10555" s="16" t="s">
        <v>87</v>
      </c>
      <c r="I10555" s="16" t="s">
        <v>87</v>
      </c>
      <c r="J10555" s="19"/>
      <c r="L10555" s="16" t="str">
        <f>IFERROR(__xludf.DUMMYFUNCTION("""COMPUTED_VALUE"""),"")</f>
        <v/>
      </c>
      <c r="M10555" s="16" t="str">
        <f>IFERROR(__xludf.DUMMYFUNCTION("""COMPUTED_VALUE"""),"")</f>
        <v/>
      </c>
      <c r="U10555" s="16" t="s">
        <v>87</v>
      </c>
      <c r="V10555" s="16" t="str">
        <f>IFERROR(__xludf.DUMMYFUNCTION("""COMPUTED_VALUE"""),"")</f>
        <v/>
      </c>
      <c r="W10555" s="16" t="str">
        <f>IFERROR(__xludf.DUMMYFUNCTION("""COMPUTED_VALUE"""),"")</f>
        <v/>
      </c>
      <c r="X10555" s="16" t="str">
        <f>IFERROR(__xludf.DUMMYFUNCTION("""COMPUTED_VALUE"""),"")</f>
        <v/>
      </c>
      <c r="AC10555" s="16" t="str">
        <f>IFERROR(__xludf.DUMMYFUNCTION("""COMPUTED_VALUE"""),"")</f>
        <v/>
      </c>
    </row>
    <row r="10556">
      <c r="A10556" s="16" t="s">
        <v>87</v>
      </c>
      <c r="E10556" s="16" t="str">
        <f>IFERROR(__xludf.DUMMYFUNCTION("""COMPUTED_VALUE"""),"")</f>
        <v/>
      </c>
      <c r="G10556" s="18"/>
      <c r="H10556" s="16" t="s">
        <v>87</v>
      </c>
      <c r="I10556" s="16" t="s">
        <v>87</v>
      </c>
      <c r="J10556" s="19"/>
      <c r="L10556" s="16" t="str">
        <f>IFERROR(__xludf.DUMMYFUNCTION("""COMPUTED_VALUE"""),"")</f>
        <v/>
      </c>
      <c r="M10556" s="16" t="str">
        <f>IFERROR(__xludf.DUMMYFUNCTION("""COMPUTED_VALUE"""),"")</f>
        <v/>
      </c>
      <c r="U10556" s="16" t="s">
        <v>87</v>
      </c>
      <c r="V10556" s="16" t="str">
        <f>IFERROR(__xludf.DUMMYFUNCTION("""COMPUTED_VALUE"""),"")</f>
        <v/>
      </c>
      <c r="W10556" s="16" t="str">
        <f>IFERROR(__xludf.DUMMYFUNCTION("""COMPUTED_VALUE"""),"")</f>
        <v/>
      </c>
      <c r="X10556" s="16" t="str">
        <f>IFERROR(__xludf.DUMMYFUNCTION("""COMPUTED_VALUE"""),"")</f>
        <v/>
      </c>
      <c r="AC10556" s="16" t="str">
        <f>IFERROR(__xludf.DUMMYFUNCTION("""COMPUTED_VALUE"""),"")</f>
        <v/>
      </c>
    </row>
    <row r="10557">
      <c r="A10557" s="16" t="s">
        <v>87</v>
      </c>
      <c r="E10557" s="16" t="str">
        <f>IFERROR(__xludf.DUMMYFUNCTION("""COMPUTED_VALUE"""),"")</f>
        <v/>
      </c>
      <c r="G10557" s="18"/>
      <c r="H10557" s="16" t="s">
        <v>87</v>
      </c>
      <c r="I10557" s="16" t="s">
        <v>87</v>
      </c>
      <c r="J10557" s="19"/>
      <c r="L10557" s="16" t="str">
        <f>IFERROR(__xludf.DUMMYFUNCTION("""COMPUTED_VALUE"""),"")</f>
        <v/>
      </c>
      <c r="M10557" s="16" t="str">
        <f>IFERROR(__xludf.DUMMYFUNCTION("""COMPUTED_VALUE"""),"")</f>
        <v/>
      </c>
      <c r="U10557" s="16" t="s">
        <v>87</v>
      </c>
      <c r="V10557" s="16" t="str">
        <f>IFERROR(__xludf.DUMMYFUNCTION("""COMPUTED_VALUE"""),"")</f>
        <v/>
      </c>
      <c r="W10557" s="16" t="str">
        <f>IFERROR(__xludf.DUMMYFUNCTION("""COMPUTED_VALUE"""),"")</f>
        <v/>
      </c>
      <c r="X10557" s="16" t="str">
        <f>IFERROR(__xludf.DUMMYFUNCTION("""COMPUTED_VALUE"""),"")</f>
        <v/>
      </c>
      <c r="AC10557" s="16" t="str">
        <f>IFERROR(__xludf.DUMMYFUNCTION("""COMPUTED_VALUE"""),"")</f>
        <v/>
      </c>
    </row>
    <row r="10558">
      <c r="A10558" s="16" t="s">
        <v>87</v>
      </c>
      <c r="E10558" s="16" t="str">
        <f>IFERROR(__xludf.DUMMYFUNCTION("""COMPUTED_VALUE"""),"")</f>
        <v/>
      </c>
      <c r="G10558" s="18"/>
      <c r="H10558" s="16" t="s">
        <v>87</v>
      </c>
      <c r="I10558" s="16" t="s">
        <v>87</v>
      </c>
      <c r="J10558" s="19"/>
      <c r="L10558" s="16" t="str">
        <f>IFERROR(__xludf.DUMMYFUNCTION("""COMPUTED_VALUE"""),"")</f>
        <v/>
      </c>
      <c r="M10558" s="16" t="str">
        <f>IFERROR(__xludf.DUMMYFUNCTION("""COMPUTED_VALUE"""),"")</f>
        <v/>
      </c>
      <c r="U10558" s="16" t="s">
        <v>87</v>
      </c>
      <c r="V10558" s="16" t="str">
        <f>IFERROR(__xludf.DUMMYFUNCTION("""COMPUTED_VALUE"""),"")</f>
        <v/>
      </c>
      <c r="W10558" s="16" t="str">
        <f>IFERROR(__xludf.DUMMYFUNCTION("""COMPUTED_VALUE"""),"")</f>
        <v/>
      </c>
      <c r="X10558" s="16" t="str">
        <f>IFERROR(__xludf.DUMMYFUNCTION("""COMPUTED_VALUE"""),"")</f>
        <v/>
      </c>
      <c r="AC10558" s="16" t="str">
        <f>IFERROR(__xludf.DUMMYFUNCTION("""COMPUTED_VALUE"""),"")</f>
        <v/>
      </c>
    </row>
    <row r="10559">
      <c r="A10559" s="16" t="s">
        <v>87</v>
      </c>
      <c r="E10559" s="16" t="str">
        <f>IFERROR(__xludf.DUMMYFUNCTION("""COMPUTED_VALUE"""),"")</f>
        <v/>
      </c>
      <c r="G10559" s="18"/>
      <c r="H10559" s="16" t="s">
        <v>87</v>
      </c>
      <c r="I10559" s="16" t="s">
        <v>87</v>
      </c>
      <c r="J10559" s="19"/>
      <c r="L10559" s="16" t="str">
        <f>IFERROR(__xludf.DUMMYFUNCTION("""COMPUTED_VALUE"""),"")</f>
        <v/>
      </c>
      <c r="M10559" s="16" t="str">
        <f>IFERROR(__xludf.DUMMYFUNCTION("""COMPUTED_VALUE"""),"")</f>
        <v/>
      </c>
      <c r="U10559" s="16" t="s">
        <v>87</v>
      </c>
      <c r="V10559" s="16" t="str">
        <f>IFERROR(__xludf.DUMMYFUNCTION("""COMPUTED_VALUE"""),"")</f>
        <v/>
      </c>
      <c r="W10559" s="16" t="str">
        <f>IFERROR(__xludf.DUMMYFUNCTION("""COMPUTED_VALUE"""),"")</f>
        <v/>
      </c>
      <c r="X10559" s="16" t="str">
        <f>IFERROR(__xludf.DUMMYFUNCTION("""COMPUTED_VALUE"""),"")</f>
        <v/>
      </c>
      <c r="AC10559" s="16" t="str">
        <f>IFERROR(__xludf.DUMMYFUNCTION("""COMPUTED_VALUE"""),"")</f>
        <v/>
      </c>
    </row>
    <row r="10560">
      <c r="A10560" s="16" t="s">
        <v>87</v>
      </c>
      <c r="E10560" s="16" t="str">
        <f>IFERROR(__xludf.DUMMYFUNCTION("""COMPUTED_VALUE"""),"")</f>
        <v/>
      </c>
      <c r="G10560" s="18"/>
      <c r="H10560" s="16" t="s">
        <v>87</v>
      </c>
      <c r="I10560" s="16" t="s">
        <v>87</v>
      </c>
      <c r="J10560" s="19"/>
      <c r="L10560" s="16" t="str">
        <f>IFERROR(__xludf.DUMMYFUNCTION("""COMPUTED_VALUE"""),"")</f>
        <v/>
      </c>
      <c r="M10560" s="16" t="str">
        <f>IFERROR(__xludf.DUMMYFUNCTION("""COMPUTED_VALUE"""),"")</f>
        <v/>
      </c>
      <c r="U10560" s="16" t="s">
        <v>87</v>
      </c>
      <c r="V10560" s="16" t="str">
        <f>IFERROR(__xludf.DUMMYFUNCTION("""COMPUTED_VALUE"""),"")</f>
        <v/>
      </c>
      <c r="W10560" s="16" t="str">
        <f>IFERROR(__xludf.DUMMYFUNCTION("""COMPUTED_VALUE"""),"")</f>
        <v/>
      </c>
      <c r="X10560" s="16" t="str">
        <f>IFERROR(__xludf.DUMMYFUNCTION("""COMPUTED_VALUE"""),"")</f>
        <v/>
      </c>
      <c r="AC10560" s="16" t="str">
        <f>IFERROR(__xludf.DUMMYFUNCTION("""COMPUTED_VALUE"""),"")</f>
        <v/>
      </c>
    </row>
    <row r="10561">
      <c r="A10561" s="16" t="s">
        <v>87</v>
      </c>
      <c r="E10561" s="16" t="str">
        <f>IFERROR(__xludf.DUMMYFUNCTION("""COMPUTED_VALUE"""),"")</f>
        <v/>
      </c>
      <c r="G10561" s="18"/>
      <c r="H10561" s="16" t="s">
        <v>87</v>
      </c>
      <c r="I10561" s="16" t="s">
        <v>87</v>
      </c>
      <c r="J10561" s="19"/>
      <c r="L10561" s="16" t="str">
        <f>IFERROR(__xludf.DUMMYFUNCTION("""COMPUTED_VALUE"""),"")</f>
        <v/>
      </c>
      <c r="M10561" s="16" t="str">
        <f>IFERROR(__xludf.DUMMYFUNCTION("""COMPUTED_VALUE"""),"")</f>
        <v/>
      </c>
      <c r="U10561" s="16" t="s">
        <v>87</v>
      </c>
      <c r="V10561" s="16" t="str">
        <f>IFERROR(__xludf.DUMMYFUNCTION("""COMPUTED_VALUE"""),"")</f>
        <v/>
      </c>
      <c r="W10561" s="16" t="str">
        <f>IFERROR(__xludf.DUMMYFUNCTION("""COMPUTED_VALUE"""),"")</f>
        <v/>
      </c>
      <c r="X10561" s="16" t="str">
        <f>IFERROR(__xludf.DUMMYFUNCTION("""COMPUTED_VALUE"""),"")</f>
        <v/>
      </c>
      <c r="AC10561" s="16" t="str">
        <f>IFERROR(__xludf.DUMMYFUNCTION("""COMPUTED_VALUE"""),"")</f>
        <v/>
      </c>
    </row>
    <row r="10562">
      <c r="A10562" s="16" t="s">
        <v>87</v>
      </c>
      <c r="E10562" s="16" t="str">
        <f>IFERROR(__xludf.DUMMYFUNCTION("""COMPUTED_VALUE"""),"")</f>
        <v/>
      </c>
      <c r="G10562" s="18"/>
      <c r="H10562" s="16" t="s">
        <v>87</v>
      </c>
      <c r="I10562" s="16" t="s">
        <v>87</v>
      </c>
      <c r="J10562" s="19"/>
      <c r="L10562" s="16" t="str">
        <f>IFERROR(__xludf.DUMMYFUNCTION("""COMPUTED_VALUE"""),"")</f>
        <v/>
      </c>
      <c r="M10562" s="16" t="str">
        <f>IFERROR(__xludf.DUMMYFUNCTION("""COMPUTED_VALUE"""),"")</f>
        <v/>
      </c>
      <c r="U10562" s="16" t="s">
        <v>87</v>
      </c>
      <c r="V10562" s="16" t="str">
        <f>IFERROR(__xludf.DUMMYFUNCTION("""COMPUTED_VALUE"""),"")</f>
        <v/>
      </c>
      <c r="W10562" s="16" t="str">
        <f>IFERROR(__xludf.DUMMYFUNCTION("""COMPUTED_VALUE"""),"")</f>
        <v/>
      </c>
      <c r="X10562" s="16" t="str">
        <f>IFERROR(__xludf.DUMMYFUNCTION("""COMPUTED_VALUE"""),"")</f>
        <v/>
      </c>
      <c r="AC10562" s="16" t="str">
        <f>IFERROR(__xludf.DUMMYFUNCTION("""COMPUTED_VALUE"""),"")</f>
        <v/>
      </c>
    </row>
    <row r="10563">
      <c r="A10563" s="16" t="s">
        <v>87</v>
      </c>
      <c r="E10563" s="16" t="str">
        <f>IFERROR(__xludf.DUMMYFUNCTION("""COMPUTED_VALUE"""),"")</f>
        <v/>
      </c>
      <c r="G10563" s="18"/>
      <c r="H10563" s="16" t="s">
        <v>87</v>
      </c>
      <c r="I10563" s="16" t="s">
        <v>87</v>
      </c>
      <c r="J10563" s="19"/>
      <c r="L10563" s="16" t="str">
        <f>IFERROR(__xludf.DUMMYFUNCTION("""COMPUTED_VALUE"""),"")</f>
        <v/>
      </c>
      <c r="M10563" s="16" t="str">
        <f>IFERROR(__xludf.DUMMYFUNCTION("""COMPUTED_VALUE"""),"")</f>
        <v/>
      </c>
      <c r="U10563" s="16" t="s">
        <v>87</v>
      </c>
      <c r="V10563" s="16" t="str">
        <f>IFERROR(__xludf.DUMMYFUNCTION("""COMPUTED_VALUE"""),"")</f>
        <v/>
      </c>
      <c r="W10563" s="16" t="str">
        <f>IFERROR(__xludf.DUMMYFUNCTION("""COMPUTED_VALUE"""),"")</f>
        <v/>
      </c>
      <c r="X10563" s="16" t="str">
        <f>IFERROR(__xludf.DUMMYFUNCTION("""COMPUTED_VALUE"""),"")</f>
        <v/>
      </c>
      <c r="AC10563" s="16" t="str">
        <f>IFERROR(__xludf.DUMMYFUNCTION("""COMPUTED_VALUE"""),"")</f>
        <v/>
      </c>
    </row>
    <row r="10564">
      <c r="A10564" s="16" t="s">
        <v>87</v>
      </c>
      <c r="E10564" s="16" t="str">
        <f>IFERROR(__xludf.DUMMYFUNCTION("""COMPUTED_VALUE"""),"")</f>
        <v/>
      </c>
      <c r="G10564" s="18"/>
      <c r="H10564" s="16" t="s">
        <v>87</v>
      </c>
      <c r="I10564" s="16" t="s">
        <v>87</v>
      </c>
      <c r="J10564" s="19"/>
      <c r="L10564" s="16" t="str">
        <f>IFERROR(__xludf.DUMMYFUNCTION("""COMPUTED_VALUE"""),"")</f>
        <v/>
      </c>
      <c r="M10564" s="16" t="str">
        <f>IFERROR(__xludf.DUMMYFUNCTION("""COMPUTED_VALUE"""),"")</f>
        <v/>
      </c>
      <c r="U10564" s="16" t="s">
        <v>87</v>
      </c>
      <c r="V10564" s="16" t="str">
        <f>IFERROR(__xludf.DUMMYFUNCTION("""COMPUTED_VALUE"""),"")</f>
        <v/>
      </c>
      <c r="W10564" s="16" t="str">
        <f>IFERROR(__xludf.DUMMYFUNCTION("""COMPUTED_VALUE"""),"")</f>
        <v/>
      </c>
      <c r="X10564" s="16" t="str">
        <f>IFERROR(__xludf.DUMMYFUNCTION("""COMPUTED_VALUE"""),"")</f>
        <v/>
      </c>
      <c r="AC10564" s="16" t="str">
        <f>IFERROR(__xludf.DUMMYFUNCTION("""COMPUTED_VALUE"""),"")</f>
        <v/>
      </c>
    </row>
    <row r="10565">
      <c r="A10565" s="16" t="s">
        <v>87</v>
      </c>
      <c r="E10565" s="16" t="str">
        <f>IFERROR(__xludf.DUMMYFUNCTION("""COMPUTED_VALUE"""),"")</f>
        <v/>
      </c>
      <c r="G10565" s="18"/>
      <c r="H10565" s="16" t="s">
        <v>87</v>
      </c>
      <c r="I10565" s="16" t="s">
        <v>87</v>
      </c>
      <c r="J10565" s="19"/>
      <c r="L10565" s="16" t="str">
        <f>IFERROR(__xludf.DUMMYFUNCTION("""COMPUTED_VALUE"""),"")</f>
        <v/>
      </c>
      <c r="M10565" s="16" t="str">
        <f>IFERROR(__xludf.DUMMYFUNCTION("""COMPUTED_VALUE"""),"")</f>
        <v/>
      </c>
      <c r="U10565" s="16" t="s">
        <v>87</v>
      </c>
      <c r="V10565" s="16" t="str">
        <f>IFERROR(__xludf.DUMMYFUNCTION("""COMPUTED_VALUE"""),"")</f>
        <v/>
      </c>
      <c r="W10565" s="16" t="str">
        <f>IFERROR(__xludf.DUMMYFUNCTION("""COMPUTED_VALUE"""),"")</f>
        <v/>
      </c>
      <c r="X10565" s="16" t="str">
        <f>IFERROR(__xludf.DUMMYFUNCTION("""COMPUTED_VALUE"""),"")</f>
        <v/>
      </c>
      <c r="AC10565" s="16" t="str">
        <f>IFERROR(__xludf.DUMMYFUNCTION("""COMPUTED_VALUE"""),"")</f>
        <v/>
      </c>
    </row>
    <row r="10566">
      <c r="A10566" s="16" t="s">
        <v>87</v>
      </c>
      <c r="E10566" s="16" t="str">
        <f>IFERROR(__xludf.DUMMYFUNCTION("""COMPUTED_VALUE"""),"")</f>
        <v/>
      </c>
      <c r="G10566" s="18"/>
      <c r="H10566" s="16" t="s">
        <v>87</v>
      </c>
      <c r="I10566" s="16" t="s">
        <v>87</v>
      </c>
      <c r="J10566" s="19"/>
      <c r="L10566" s="16" t="str">
        <f>IFERROR(__xludf.DUMMYFUNCTION("""COMPUTED_VALUE"""),"")</f>
        <v/>
      </c>
      <c r="M10566" s="16" t="str">
        <f>IFERROR(__xludf.DUMMYFUNCTION("""COMPUTED_VALUE"""),"")</f>
        <v/>
      </c>
      <c r="U10566" s="16" t="s">
        <v>87</v>
      </c>
      <c r="V10566" s="16" t="str">
        <f>IFERROR(__xludf.DUMMYFUNCTION("""COMPUTED_VALUE"""),"")</f>
        <v/>
      </c>
      <c r="W10566" s="16" t="str">
        <f>IFERROR(__xludf.DUMMYFUNCTION("""COMPUTED_VALUE"""),"")</f>
        <v/>
      </c>
      <c r="X10566" s="16" t="str">
        <f>IFERROR(__xludf.DUMMYFUNCTION("""COMPUTED_VALUE"""),"")</f>
        <v/>
      </c>
      <c r="AC10566" s="16" t="str">
        <f>IFERROR(__xludf.DUMMYFUNCTION("""COMPUTED_VALUE"""),"")</f>
        <v/>
      </c>
    </row>
    <row r="10567">
      <c r="A10567" s="16" t="s">
        <v>87</v>
      </c>
      <c r="E10567" s="16" t="str">
        <f>IFERROR(__xludf.DUMMYFUNCTION("""COMPUTED_VALUE"""),"")</f>
        <v/>
      </c>
      <c r="G10567" s="18"/>
      <c r="H10567" s="16" t="s">
        <v>87</v>
      </c>
      <c r="I10567" s="16" t="s">
        <v>87</v>
      </c>
      <c r="J10567" s="19"/>
      <c r="L10567" s="16" t="str">
        <f>IFERROR(__xludf.DUMMYFUNCTION("""COMPUTED_VALUE"""),"")</f>
        <v/>
      </c>
      <c r="M10567" s="16" t="str">
        <f>IFERROR(__xludf.DUMMYFUNCTION("""COMPUTED_VALUE"""),"")</f>
        <v/>
      </c>
      <c r="U10567" s="16" t="s">
        <v>87</v>
      </c>
      <c r="V10567" s="16" t="str">
        <f>IFERROR(__xludf.DUMMYFUNCTION("""COMPUTED_VALUE"""),"")</f>
        <v/>
      </c>
      <c r="W10567" s="16" t="str">
        <f>IFERROR(__xludf.DUMMYFUNCTION("""COMPUTED_VALUE"""),"")</f>
        <v/>
      </c>
      <c r="X10567" s="16" t="str">
        <f>IFERROR(__xludf.DUMMYFUNCTION("""COMPUTED_VALUE"""),"")</f>
        <v/>
      </c>
      <c r="AC10567" s="16" t="str">
        <f>IFERROR(__xludf.DUMMYFUNCTION("""COMPUTED_VALUE"""),"")</f>
        <v/>
      </c>
    </row>
    <row r="10568">
      <c r="A10568" s="16" t="s">
        <v>87</v>
      </c>
      <c r="E10568" s="16" t="str">
        <f>IFERROR(__xludf.DUMMYFUNCTION("""COMPUTED_VALUE"""),"")</f>
        <v/>
      </c>
      <c r="G10568" s="18"/>
      <c r="H10568" s="16" t="s">
        <v>87</v>
      </c>
      <c r="I10568" s="16" t="s">
        <v>87</v>
      </c>
      <c r="J10568" s="19"/>
      <c r="L10568" s="16" t="str">
        <f>IFERROR(__xludf.DUMMYFUNCTION("""COMPUTED_VALUE"""),"")</f>
        <v/>
      </c>
      <c r="M10568" s="16" t="str">
        <f>IFERROR(__xludf.DUMMYFUNCTION("""COMPUTED_VALUE"""),"")</f>
        <v/>
      </c>
      <c r="U10568" s="16" t="s">
        <v>87</v>
      </c>
      <c r="V10568" s="16" t="str">
        <f>IFERROR(__xludf.DUMMYFUNCTION("""COMPUTED_VALUE"""),"")</f>
        <v/>
      </c>
      <c r="W10568" s="16" t="str">
        <f>IFERROR(__xludf.DUMMYFUNCTION("""COMPUTED_VALUE"""),"")</f>
        <v/>
      </c>
      <c r="X10568" s="16" t="str">
        <f>IFERROR(__xludf.DUMMYFUNCTION("""COMPUTED_VALUE"""),"")</f>
        <v/>
      </c>
      <c r="AC10568" s="16" t="str">
        <f>IFERROR(__xludf.DUMMYFUNCTION("""COMPUTED_VALUE"""),"")</f>
        <v/>
      </c>
    </row>
    <row r="10569">
      <c r="A10569" s="16" t="s">
        <v>87</v>
      </c>
      <c r="E10569" s="16" t="str">
        <f>IFERROR(__xludf.DUMMYFUNCTION("""COMPUTED_VALUE"""),"")</f>
        <v/>
      </c>
      <c r="G10569" s="18"/>
      <c r="H10569" s="16" t="s">
        <v>87</v>
      </c>
      <c r="I10569" s="16" t="s">
        <v>87</v>
      </c>
      <c r="J10569" s="19"/>
      <c r="L10569" s="16" t="str">
        <f>IFERROR(__xludf.DUMMYFUNCTION("""COMPUTED_VALUE"""),"")</f>
        <v/>
      </c>
      <c r="M10569" s="16" t="str">
        <f>IFERROR(__xludf.DUMMYFUNCTION("""COMPUTED_VALUE"""),"")</f>
        <v/>
      </c>
      <c r="U10569" s="16" t="s">
        <v>87</v>
      </c>
      <c r="V10569" s="16" t="str">
        <f>IFERROR(__xludf.DUMMYFUNCTION("""COMPUTED_VALUE"""),"")</f>
        <v/>
      </c>
      <c r="W10569" s="16" t="str">
        <f>IFERROR(__xludf.DUMMYFUNCTION("""COMPUTED_VALUE"""),"")</f>
        <v/>
      </c>
      <c r="X10569" s="16" t="str">
        <f>IFERROR(__xludf.DUMMYFUNCTION("""COMPUTED_VALUE"""),"")</f>
        <v/>
      </c>
      <c r="AC10569" s="16" t="str">
        <f>IFERROR(__xludf.DUMMYFUNCTION("""COMPUTED_VALUE"""),"")</f>
        <v/>
      </c>
    </row>
    <row r="10570">
      <c r="A10570" s="16" t="s">
        <v>87</v>
      </c>
      <c r="E10570" s="16" t="str">
        <f>IFERROR(__xludf.DUMMYFUNCTION("""COMPUTED_VALUE"""),"")</f>
        <v/>
      </c>
      <c r="G10570" s="18"/>
      <c r="H10570" s="16" t="s">
        <v>87</v>
      </c>
      <c r="I10570" s="16" t="s">
        <v>87</v>
      </c>
      <c r="J10570" s="19"/>
      <c r="L10570" s="16" t="str">
        <f>IFERROR(__xludf.DUMMYFUNCTION("""COMPUTED_VALUE"""),"")</f>
        <v/>
      </c>
      <c r="M10570" s="16" t="str">
        <f>IFERROR(__xludf.DUMMYFUNCTION("""COMPUTED_VALUE"""),"")</f>
        <v/>
      </c>
      <c r="U10570" s="16" t="s">
        <v>87</v>
      </c>
      <c r="V10570" s="16" t="str">
        <f>IFERROR(__xludf.DUMMYFUNCTION("""COMPUTED_VALUE"""),"")</f>
        <v/>
      </c>
      <c r="W10570" s="16" t="str">
        <f>IFERROR(__xludf.DUMMYFUNCTION("""COMPUTED_VALUE"""),"")</f>
        <v/>
      </c>
      <c r="X10570" s="16" t="str">
        <f>IFERROR(__xludf.DUMMYFUNCTION("""COMPUTED_VALUE"""),"")</f>
        <v/>
      </c>
      <c r="AC10570" s="16" t="str">
        <f>IFERROR(__xludf.DUMMYFUNCTION("""COMPUTED_VALUE"""),"")</f>
        <v/>
      </c>
    </row>
    <row r="10571">
      <c r="A10571" s="16" t="s">
        <v>87</v>
      </c>
      <c r="E10571" s="16" t="str">
        <f>IFERROR(__xludf.DUMMYFUNCTION("""COMPUTED_VALUE"""),"")</f>
        <v/>
      </c>
      <c r="G10571" s="18"/>
      <c r="H10571" s="16" t="s">
        <v>87</v>
      </c>
      <c r="I10571" s="16" t="s">
        <v>87</v>
      </c>
      <c r="J10571" s="19"/>
      <c r="L10571" s="16" t="str">
        <f>IFERROR(__xludf.DUMMYFUNCTION("""COMPUTED_VALUE"""),"")</f>
        <v/>
      </c>
      <c r="M10571" s="16" t="str">
        <f>IFERROR(__xludf.DUMMYFUNCTION("""COMPUTED_VALUE"""),"")</f>
        <v/>
      </c>
      <c r="U10571" s="16" t="s">
        <v>87</v>
      </c>
      <c r="V10571" s="16" t="str">
        <f>IFERROR(__xludf.DUMMYFUNCTION("""COMPUTED_VALUE"""),"")</f>
        <v/>
      </c>
      <c r="W10571" s="16" t="str">
        <f>IFERROR(__xludf.DUMMYFUNCTION("""COMPUTED_VALUE"""),"")</f>
        <v/>
      </c>
      <c r="X10571" s="16" t="str">
        <f>IFERROR(__xludf.DUMMYFUNCTION("""COMPUTED_VALUE"""),"")</f>
        <v/>
      </c>
      <c r="AC10571" s="16" t="str">
        <f>IFERROR(__xludf.DUMMYFUNCTION("""COMPUTED_VALUE"""),"")</f>
        <v/>
      </c>
    </row>
    <row r="10572">
      <c r="A10572" s="16" t="s">
        <v>87</v>
      </c>
      <c r="E10572" s="16" t="str">
        <f>IFERROR(__xludf.DUMMYFUNCTION("""COMPUTED_VALUE"""),"")</f>
        <v/>
      </c>
      <c r="G10572" s="18"/>
      <c r="H10572" s="16" t="s">
        <v>87</v>
      </c>
      <c r="I10572" s="16" t="s">
        <v>87</v>
      </c>
      <c r="J10572" s="19"/>
      <c r="L10572" s="16" t="str">
        <f>IFERROR(__xludf.DUMMYFUNCTION("""COMPUTED_VALUE"""),"")</f>
        <v/>
      </c>
      <c r="M10572" s="16" t="str">
        <f>IFERROR(__xludf.DUMMYFUNCTION("""COMPUTED_VALUE"""),"")</f>
        <v/>
      </c>
      <c r="U10572" s="16" t="s">
        <v>87</v>
      </c>
      <c r="V10572" s="16" t="str">
        <f>IFERROR(__xludf.DUMMYFUNCTION("""COMPUTED_VALUE"""),"")</f>
        <v/>
      </c>
      <c r="W10572" s="16" t="str">
        <f>IFERROR(__xludf.DUMMYFUNCTION("""COMPUTED_VALUE"""),"")</f>
        <v/>
      </c>
      <c r="X10572" s="16" t="str">
        <f>IFERROR(__xludf.DUMMYFUNCTION("""COMPUTED_VALUE"""),"")</f>
        <v/>
      </c>
      <c r="AC10572" s="16" t="str">
        <f>IFERROR(__xludf.DUMMYFUNCTION("""COMPUTED_VALUE"""),"")</f>
        <v/>
      </c>
    </row>
    <row r="10573">
      <c r="A10573" s="16" t="s">
        <v>87</v>
      </c>
      <c r="E10573" s="16" t="str">
        <f>IFERROR(__xludf.DUMMYFUNCTION("""COMPUTED_VALUE"""),"")</f>
        <v/>
      </c>
      <c r="G10573" s="18"/>
      <c r="H10573" s="16" t="s">
        <v>87</v>
      </c>
      <c r="I10573" s="16" t="s">
        <v>87</v>
      </c>
      <c r="J10573" s="19"/>
      <c r="L10573" s="16" t="str">
        <f>IFERROR(__xludf.DUMMYFUNCTION("""COMPUTED_VALUE"""),"")</f>
        <v/>
      </c>
      <c r="M10573" s="16" t="str">
        <f>IFERROR(__xludf.DUMMYFUNCTION("""COMPUTED_VALUE"""),"")</f>
        <v/>
      </c>
      <c r="U10573" s="16" t="s">
        <v>87</v>
      </c>
      <c r="V10573" s="16" t="str">
        <f>IFERROR(__xludf.DUMMYFUNCTION("""COMPUTED_VALUE"""),"")</f>
        <v/>
      </c>
      <c r="W10573" s="16" t="str">
        <f>IFERROR(__xludf.DUMMYFUNCTION("""COMPUTED_VALUE"""),"")</f>
        <v/>
      </c>
      <c r="X10573" s="16" t="str">
        <f>IFERROR(__xludf.DUMMYFUNCTION("""COMPUTED_VALUE"""),"")</f>
        <v/>
      </c>
      <c r="AC10573" s="16" t="str">
        <f>IFERROR(__xludf.DUMMYFUNCTION("""COMPUTED_VALUE"""),"")</f>
        <v/>
      </c>
    </row>
    <row r="10574">
      <c r="A10574" s="16" t="s">
        <v>87</v>
      </c>
      <c r="E10574" s="16" t="str">
        <f>IFERROR(__xludf.DUMMYFUNCTION("""COMPUTED_VALUE"""),"")</f>
        <v/>
      </c>
      <c r="G10574" s="18"/>
      <c r="H10574" s="16" t="s">
        <v>87</v>
      </c>
      <c r="I10574" s="16" t="s">
        <v>87</v>
      </c>
      <c r="J10574" s="19"/>
      <c r="L10574" s="16" t="str">
        <f>IFERROR(__xludf.DUMMYFUNCTION("""COMPUTED_VALUE"""),"")</f>
        <v/>
      </c>
      <c r="M10574" s="16" t="str">
        <f>IFERROR(__xludf.DUMMYFUNCTION("""COMPUTED_VALUE"""),"")</f>
        <v/>
      </c>
      <c r="U10574" s="16" t="s">
        <v>87</v>
      </c>
      <c r="V10574" s="16" t="str">
        <f>IFERROR(__xludf.DUMMYFUNCTION("""COMPUTED_VALUE"""),"")</f>
        <v/>
      </c>
      <c r="W10574" s="16" t="str">
        <f>IFERROR(__xludf.DUMMYFUNCTION("""COMPUTED_VALUE"""),"")</f>
        <v/>
      </c>
      <c r="X10574" s="16" t="str">
        <f>IFERROR(__xludf.DUMMYFUNCTION("""COMPUTED_VALUE"""),"")</f>
        <v/>
      </c>
      <c r="AC10574" s="16" t="str">
        <f>IFERROR(__xludf.DUMMYFUNCTION("""COMPUTED_VALUE"""),"")</f>
        <v/>
      </c>
    </row>
    <row r="10575">
      <c r="A10575" s="16" t="s">
        <v>87</v>
      </c>
      <c r="E10575" s="16" t="str">
        <f>IFERROR(__xludf.DUMMYFUNCTION("""COMPUTED_VALUE"""),"")</f>
        <v/>
      </c>
      <c r="G10575" s="18"/>
      <c r="H10575" s="16" t="s">
        <v>87</v>
      </c>
      <c r="I10575" s="16" t="s">
        <v>87</v>
      </c>
      <c r="J10575" s="19"/>
      <c r="L10575" s="16" t="str">
        <f>IFERROR(__xludf.DUMMYFUNCTION("""COMPUTED_VALUE"""),"")</f>
        <v/>
      </c>
      <c r="M10575" s="16" t="str">
        <f>IFERROR(__xludf.DUMMYFUNCTION("""COMPUTED_VALUE"""),"")</f>
        <v/>
      </c>
      <c r="U10575" s="16" t="s">
        <v>87</v>
      </c>
      <c r="V10575" s="16" t="str">
        <f>IFERROR(__xludf.DUMMYFUNCTION("""COMPUTED_VALUE"""),"")</f>
        <v/>
      </c>
      <c r="W10575" s="16" t="str">
        <f>IFERROR(__xludf.DUMMYFUNCTION("""COMPUTED_VALUE"""),"")</f>
        <v/>
      </c>
      <c r="X10575" s="16" t="str">
        <f>IFERROR(__xludf.DUMMYFUNCTION("""COMPUTED_VALUE"""),"")</f>
        <v/>
      </c>
      <c r="AC10575" s="16" t="str">
        <f>IFERROR(__xludf.DUMMYFUNCTION("""COMPUTED_VALUE"""),"")</f>
        <v/>
      </c>
    </row>
    <row r="10576">
      <c r="A10576" s="16" t="s">
        <v>87</v>
      </c>
      <c r="E10576" s="16" t="str">
        <f>IFERROR(__xludf.DUMMYFUNCTION("""COMPUTED_VALUE"""),"")</f>
        <v/>
      </c>
      <c r="G10576" s="18"/>
      <c r="H10576" s="16" t="s">
        <v>87</v>
      </c>
      <c r="I10576" s="16" t="s">
        <v>87</v>
      </c>
      <c r="J10576" s="19"/>
      <c r="L10576" s="16" t="str">
        <f>IFERROR(__xludf.DUMMYFUNCTION("""COMPUTED_VALUE"""),"")</f>
        <v/>
      </c>
      <c r="M10576" s="16" t="str">
        <f>IFERROR(__xludf.DUMMYFUNCTION("""COMPUTED_VALUE"""),"")</f>
        <v/>
      </c>
      <c r="U10576" s="16" t="s">
        <v>87</v>
      </c>
      <c r="V10576" s="16" t="str">
        <f>IFERROR(__xludf.DUMMYFUNCTION("""COMPUTED_VALUE"""),"")</f>
        <v/>
      </c>
      <c r="W10576" s="16" t="str">
        <f>IFERROR(__xludf.DUMMYFUNCTION("""COMPUTED_VALUE"""),"")</f>
        <v/>
      </c>
      <c r="X10576" s="16" t="str">
        <f>IFERROR(__xludf.DUMMYFUNCTION("""COMPUTED_VALUE"""),"")</f>
        <v/>
      </c>
      <c r="AC10576" s="16" t="str">
        <f>IFERROR(__xludf.DUMMYFUNCTION("""COMPUTED_VALUE"""),"")</f>
        <v/>
      </c>
    </row>
    <row r="10577">
      <c r="A10577" s="16" t="s">
        <v>87</v>
      </c>
      <c r="E10577" s="16" t="str">
        <f>IFERROR(__xludf.DUMMYFUNCTION("""COMPUTED_VALUE"""),"")</f>
        <v/>
      </c>
      <c r="G10577" s="18"/>
      <c r="H10577" s="16" t="s">
        <v>87</v>
      </c>
      <c r="I10577" s="16" t="s">
        <v>87</v>
      </c>
      <c r="J10577" s="19"/>
      <c r="L10577" s="16" t="str">
        <f>IFERROR(__xludf.DUMMYFUNCTION("""COMPUTED_VALUE"""),"")</f>
        <v/>
      </c>
      <c r="M10577" s="16" t="str">
        <f>IFERROR(__xludf.DUMMYFUNCTION("""COMPUTED_VALUE"""),"")</f>
        <v/>
      </c>
      <c r="U10577" s="16" t="s">
        <v>87</v>
      </c>
      <c r="V10577" s="16" t="str">
        <f>IFERROR(__xludf.DUMMYFUNCTION("""COMPUTED_VALUE"""),"")</f>
        <v/>
      </c>
      <c r="W10577" s="16" t="str">
        <f>IFERROR(__xludf.DUMMYFUNCTION("""COMPUTED_VALUE"""),"")</f>
        <v/>
      </c>
      <c r="X10577" s="16" t="str">
        <f>IFERROR(__xludf.DUMMYFUNCTION("""COMPUTED_VALUE"""),"")</f>
        <v/>
      </c>
      <c r="AC10577" s="16" t="str">
        <f>IFERROR(__xludf.DUMMYFUNCTION("""COMPUTED_VALUE"""),"")</f>
        <v/>
      </c>
    </row>
    <row r="10578">
      <c r="A10578" s="16" t="s">
        <v>87</v>
      </c>
      <c r="E10578" s="16" t="str">
        <f>IFERROR(__xludf.DUMMYFUNCTION("""COMPUTED_VALUE"""),"")</f>
        <v/>
      </c>
      <c r="G10578" s="18"/>
      <c r="H10578" s="16" t="s">
        <v>87</v>
      </c>
      <c r="I10578" s="16" t="s">
        <v>87</v>
      </c>
      <c r="J10578" s="19"/>
      <c r="L10578" s="16" t="str">
        <f>IFERROR(__xludf.DUMMYFUNCTION("""COMPUTED_VALUE"""),"")</f>
        <v/>
      </c>
      <c r="M10578" s="16" t="str">
        <f>IFERROR(__xludf.DUMMYFUNCTION("""COMPUTED_VALUE"""),"")</f>
        <v/>
      </c>
      <c r="U10578" s="16" t="s">
        <v>87</v>
      </c>
      <c r="V10578" s="16" t="str">
        <f>IFERROR(__xludf.DUMMYFUNCTION("""COMPUTED_VALUE"""),"")</f>
        <v/>
      </c>
      <c r="W10578" s="16" t="str">
        <f>IFERROR(__xludf.DUMMYFUNCTION("""COMPUTED_VALUE"""),"")</f>
        <v/>
      </c>
      <c r="X10578" s="16" t="str">
        <f>IFERROR(__xludf.DUMMYFUNCTION("""COMPUTED_VALUE"""),"")</f>
        <v/>
      </c>
      <c r="AC10578" s="16" t="str">
        <f>IFERROR(__xludf.DUMMYFUNCTION("""COMPUTED_VALUE"""),"")</f>
        <v/>
      </c>
    </row>
    <row r="10579">
      <c r="A10579" s="16" t="s">
        <v>87</v>
      </c>
      <c r="E10579" s="16" t="str">
        <f>IFERROR(__xludf.DUMMYFUNCTION("""COMPUTED_VALUE"""),"")</f>
        <v/>
      </c>
      <c r="G10579" s="18"/>
      <c r="H10579" s="16" t="s">
        <v>87</v>
      </c>
      <c r="I10579" s="16" t="s">
        <v>87</v>
      </c>
      <c r="J10579" s="19"/>
      <c r="L10579" s="16" t="str">
        <f>IFERROR(__xludf.DUMMYFUNCTION("""COMPUTED_VALUE"""),"")</f>
        <v/>
      </c>
      <c r="M10579" s="16" t="str">
        <f>IFERROR(__xludf.DUMMYFUNCTION("""COMPUTED_VALUE"""),"")</f>
        <v/>
      </c>
      <c r="U10579" s="16" t="s">
        <v>87</v>
      </c>
      <c r="V10579" s="16" t="str">
        <f>IFERROR(__xludf.DUMMYFUNCTION("""COMPUTED_VALUE"""),"")</f>
        <v/>
      </c>
      <c r="W10579" s="16" t="str">
        <f>IFERROR(__xludf.DUMMYFUNCTION("""COMPUTED_VALUE"""),"")</f>
        <v/>
      </c>
      <c r="X10579" s="16" t="str">
        <f>IFERROR(__xludf.DUMMYFUNCTION("""COMPUTED_VALUE"""),"")</f>
        <v/>
      </c>
      <c r="AC10579" s="16" t="str">
        <f>IFERROR(__xludf.DUMMYFUNCTION("""COMPUTED_VALUE"""),"")</f>
        <v/>
      </c>
    </row>
    <row r="10580">
      <c r="A10580" s="16" t="s">
        <v>87</v>
      </c>
      <c r="E10580" s="16" t="str">
        <f>IFERROR(__xludf.DUMMYFUNCTION("""COMPUTED_VALUE"""),"")</f>
        <v/>
      </c>
      <c r="G10580" s="18"/>
      <c r="H10580" s="16" t="s">
        <v>87</v>
      </c>
      <c r="I10580" s="16" t="s">
        <v>87</v>
      </c>
      <c r="J10580" s="19"/>
      <c r="L10580" s="16" t="str">
        <f>IFERROR(__xludf.DUMMYFUNCTION("""COMPUTED_VALUE"""),"")</f>
        <v/>
      </c>
      <c r="M10580" s="16" t="str">
        <f>IFERROR(__xludf.DUMMYFUNCTION("""COMPUTED_VALUE"""),"")</f>
        <v/>
      </c>
      <c r="U10580" s="16" t="s">
        <v>87</v>
      </c>
      <c r="V10580" s="16" t="str">
        <f>IFERROR(__xludf.DUMMYFUNCTION("""COMPUTED_VALUE"""),"")</f>
        <v/>
      </c>
      <c r="W10580" s="16" t="str">
        <f>IFERROR(__xludf.DUMMYFUNCTION("""COMPUTED_VALUE"""),"")</f>
        <v/>
      </c>
      <c r="X10580" s="16" t="str">
        <f>IFERROR(__xludf.DUMMYFUNCTION("""COMPUTED_VALUE"""),"")</f>
        <v/>
      </c>
      <c r="AC10580" s="16" t="str">
        <f>IFERROR(__xludf.DUMMYFUNCTION("""COMPUTED_VALUE"""),"")</f>
        <v/>
      </c>
    </row>
    <row r="10581">
      <c r="A10581" s="16" t="s">
        <v>87</v>
      </c>
      <c r="E10581" s="16" t="str">
        <f>IFERROR(__xludf.DUMMYFUNCTION("""COMPUTED_VALUE"""),"")</f>
        <v/>
      </c>
      <c r="G10581" s="18"/>
      <c r="H10581" s="16" t="s">
        <v>87</v>
      </c>
      <c r="I10581" s="16" t="s">
        <v>87</v>
      </c>
      <c r="J10581" s="19"/>
      <c r="L10581" s="16" t="str">
        <f>IFERROR(__xludf.DUMMYFUNCTION("""COMPUTED_VALUE"""),"")</f>
        <v/>
      </c>
      <c r="M10581" s="16" t="str">
        <f>IFERROR(__xludf.DUMMYFUNCTION("""COMPUTED_VALUE"""),"")</f>
        <v/>
      </c>
      <c r="U10581" s="16" t="s">
        <v>87</v>
      </c>
      <c r="V10581" s="16" t="str">
        <f>IFERROR(__xludf.DUMMYFUNCTION("""COMPUTED_VALUE"""),"")</f>
        <v/>
      </c>
      <c r="W10581" s="16" t="str">
        <f>IFERROR(__xludf.DUMMYFUNCTION("""COMPUTED_VALUE"""),"")</f>
        <v/>
      </c>
      <c r="X10581" s="16" t="str">
        <f>IFERROR(__xludf.DUMMYFUNCTION("""COMPUTED_VALUE"""),"")</f>
        <v/>
      </c>
      <c r="AC10581" s="16" t="str">
        <f>IFERROR(__xludf.DUMMYFUNCTION("""COMPUTED_VALUE"""),"")</f>
        <v/>
      </c>
    </row>
    <row r="10582">
      <c r="A10582" s="16" t="s">
        <v>87</v>
      </c>
      <c r="E10582" s="16" t="str">
        <f>IFERROR(__xludf.DUMMYFUNCTION("""COMPUTED_VALUE"""),"")</f>
        <v/>
      </c>
      <c r="G10582" s="18"/>
      <c r="H10582" s="16" t="s">
        <v>87</v>
      </c>
      <c r="I10582" s="16" t="s">
        <v>87</v>
      </c>
      <c r="J10582" s="19"/>
      <c r="L10582" s="16" t="str">
        <f>IFERROR(__xludf.DUMMYFUNCTION("""COMPUTED_VALUE"""),"")</f>
        <v/>
      </c>
      <c r="M10582" s="16" t="str">
        <f>IFERROR(__xludf.DUMMYFUNCTION("""COMPUTED_VALUE"""),"")</f>
        <v/>
      </c>
      <c r="U10582" s="16" t="s">
        <v>87</v>
      </c>
      <c r="V10582" s="16" t="str">
        <f>IFERROR(__xludf.DUMMYFUNCTION("""COMPUTED_VALUE"""),"")</f>
        <v/>
      </c>
      <c r="W10582" s="16" t="str">
        <f>IFERROR(__xludf.DUMMYFUNCTION("""COMPUTED_VALUE"""),"")</f>
        <v/>
      </c>
      <c r="X10582" s="16" t="str">
        <f>IFERROR(__xludf.DUMMYFUNCTION("""COMPUTED_VALUE"""),"")</f>
        <v/>
      </c>
      <c r="AC10582" s="16" t="str">
        <f>IFERROR(__xludf.DUMMYFUNCTION("""COMPUTED_VALUE"""),"")</f>
        <v/>
      </c>
    </row>
    <row r="10583">
      <c r="A10583" s="16" t="s">
        <v>87</v>
      </c>
      <c r="E10583" s="16" t="str">
        <f>IFERROR(__xludf.DUMMYFUNCTION("""COMPUTED_VALUE"""),"")</f>
        <v/>
      </c>
      <c r="G10583" s="18"/>
      <c r="H10583" s="16" t="s">
        <v>87</v>
      </c>
      <c r="I10583" s="16" t="s">
        <v>87</v>
      </c>
      <c r="J10583" s="19"/>
      <c r="L10583" s="16" t="str">
        <f>IFERROR(__xludf.DUMMYFUNCTION("""COMPUTED_VALUE"""),"")</f>
        <v/>
      </c>
      <c r="M10583" s="16" t="str">
        <f>IFERROR(__xludf.DUMMYFUNCTION("""COMPUTED_VALUE"""),"")</f>
        <v/>
      </c>
      <c r="U10583" s="16" t="s">
        <v>87</v>
      </c>
      <c r="V10583" s="16" t="str">
        <f>IFERROR(__xludf.DUMMYFUNCTION("""COMPUTED_VALUE"""),"")</f>
        <v/>
      </c>
      <c r="W10583" s="16" t="str">
        <f>IFERROR(__xludf.DUMMYFUNCTION("""COMPUTED_VALUE"""),"")</f>
        <v/>
      </c>
      <c r="X10583" s="16" t="str">
        <f>IFERROR(__xludf.DUMMYFUNCTION("""COMPUTED_VALUE"""),"")</f>
        <v/>
      </c>
      <c r="AC10583" s="16" t="str">
        <f>IFERROR(__xludf.DUMMYFUNCTION("""COMPUTED_VALUE"""),"")</f>
        <v/>
      </c>
    </row>
    <row r="10584">
      <c r="A10584" s="16" t="s">
        <v>87</v>
      </c>
      <c r="E10584" s="16" t="str">
        <f>IFERROR(__xludf.DUMMYFUNCTION("""COMPUTED_VALUE"""),"")</f>
        <v/>
      </c>
      <c r="G10584" s="18"/>
      <c r="H10584" s="16" t="s">
        <v>87</v>
      </c>
      <c r="I10584" s="16" t="s">
        <v>87</v>
      </c>
      <c r="J10584" s="19"/>
      <c r="L10584" s="16" t="str">
        <f>IFERROR(__xludf.DUMMYFUNCTION("""COMPUTED_VALUE"""),"")</f>
        <v/>
      </c>
      <c r="M10584" s="16" t="str">
        <f>IFERROR(__xludf.DUMMYFUNCTION("""COMPUTED_VALUE"""),"")</f>
        <v/>
      </c>
      <c r="U10584" s="16" t="s">
        <v>87</v>
      </c>
      <c r="V10584" s="16" t="str">
        <f>IFERROR(__xludf.DUMMYFUNCTION("""COMPUTED_VALUE"""),"")</f>
        <v/>
      </c>
      <c r="W10584" s="16" t="str">
        <f>IFERROR(__xludf.DUMMYFUNCTION("""COMPUTED_VALUE"""),"")</f>
        <v/>
      </c>
      <c r="X10584" s="16" t="str">
        <f>IFERROR(__xludf.DUMMYFUNCTION("""COMPUTED_VALUE"""),"")</f>
        <v/>
      </c>
      <c r="AC10584" s="16" t="str">
        <f>IFERROR(__xludf.DUMMYFUNCTION("""COMPUTED_VALUE"""),"")</f>
        <v/>
      </c>
    </row>
    <row r="10585">
      <c r="A10585" s="16" t="s">
        <v>87</v>
      </c>
      <c r="E10585" s="16" t="str">
        <f>IFERROR(__xludf.DUMMYFUNCTION("""COMPUTED_VALUE"""),"")</f>
        <v/>
      </c>
      <c r="G10585" s="18"/>
      <c r="H10585" s="16" t="s">
        <v>87</v>
      </c>
      <c r="I10585" s="16" t="s">
        <v>87</v>
      </c>
      <c r="J10585" s="19"/>
      <c r="L10585" s="16" t="str">
        <f>IFERROR(__xludf.DUMMYFUNCTION("""COMPUTED_VALUE"""),"")</f>
        <v/>
      </c>
      <c r="M10585" s="16" t="str">
        <f>IFERROR(__xludf.DUMMYFUNCTION("""COMPUTED_VALUE"""),"")</f>
        <v/>
      </c>
      <c r="U10585" s="16" t="s">
        <v>87</v>
      </c>
      <c r="V10585" s="16" t="str">
        <f>IFERROR(__xludf.DUMMYFUNCTION("""COMPUTED_VALUE"""),"")</f>
        <v/>
      </c>
      <c r="W10585" s="16" t="str">
        <f>IFERROR(__xludf.DUMMYFUNCTION("""COMPUTED_VALUE"""),"")</f>
        <v/>
      </c>
      <c r="X10585" s="16" t="str">
        <f>IFERROR(__xludf.DUMMYFUNCTION("""COMPUTED_VALUE"""),"")</f>
        <v/>
      </c>
      <c r="AC10585" s="16" t="str">
        <f>IFERROR(__xludf.DUMMYFUNCTION("""COMPUTED_VALUE"""),"")</f>
        <v/>
      </c>
    </row>
    <row r="10586">
      <c r="A10586" s="16" t="s">
        <v>87</v>
      </c>
      <c r="E10586" s="16" t="str">
        <f>IFERROR(__xludf.DUMMYFUNCTION("""COMPUTED_VALUE"""),"")</f>
        <v/>
      </c>
      <c r="G10586" s="18"/>
      <c r="H10586" s="16" t="s">
        <v>87</v>
      </c>
      <c r="I10586" s="16" t="s">
        <v>87</v>
      </c>
      <c r="J10586" s="19"/>
      <c r="L10586" s="16" t="str">
        <f>IFERROR(__xludf.DUMMYFUNCTION("""COMPUTED_VALUE"""),"")</f>
        <v/>
      </c>
      <c r="M10586" s="16" t="str">
        <f>IFERROR(__xludf.DUMMYFUNCTION("""COMPUTED_VALUE"""),"")</f>
        <v/>
      </c>
      <c r="U10586" s="16" t="s">
        <v>87</v>
      </c>
      <c r="V10586" s="16" t="str">
        <f>IFERROR(__xludf.DUMMYFUNCTION("""COMPUTED_VALUE"""),"")</f>
        <v/>
      </c>
      <c r="W10586" s="16" t="str">
        <f>IFERROR(__xludf.DUMMYFUNCTION("""COMPUTED_VALUE"""),"")</f>
        <v/>
      </c>
      <c r="X10586" s="16" t="str">
        <f>IFERROR(__xludf.DUMMYFUNCTION("""COMPUTED_VALUE"""),"")</f>
        <v/>
      </c>
      <c r="AC10586" s="16" t="str">
        <f>IFERROR(__xludf.DUMMYFUNCTION("""COMPUTED_VALUE"""),"")</f>
        <v/>
      </c>
    </row>
    <row r="10587">
      <c r="A10587" s="16" t="s">
        <v>87</v>
      </c>
      <c r="E10587" s="16" t="str">
        <f>IFERROR(__xludf.DUMMYFUNCTION("""COMPUTED_VALUE"""),"")</f>
        <v/>
      </c>
      <c r="G10587" s="18"/>
      <c r="H10587" s="16" t="s">
        <v>87</v>
      </c>
      <c r="I10587" s="16" t="s">
        <v>87</v>
      </c>
      <c r="J10587" s="19"/>
      <c r="L10587" s="16" t="str">
        <f>IFERROR(__xludf.DUMMYFUNCTION("""COMPUTED_VALUE"""),"")</f>
        <v/>
      </c>
      <c r="M10587" s="16" t="str">
        <f>IFERROR(__xludf.DUMMYFUNCTION("""COMPUTED_VALUE"""),"")</f>
        <v/>
      </c>
      <c r="U10587" s="16" t="s">
        <v>87</v>
      </c>
      <c r="V10587" s="16" t="str">
        <f>IFERROR(__xludf.DUMMYFUNCTION("""COMPUTED_VALUE"""),"")</f>
        <v/>
      </c>
      <c r="W10587" s="16" t="str">
        <f>IFERROR(__xludf.DUMMYFUNCTION("""COMPUTED_VALUE"""),"")</f>
        <v/>
      </c>
      <c r="X10587" s="16" t="str">
        <f>IFERROR(__xludf.DUMMYFUNCTION("""COMPUTED_VALUE"""),"")</f>
        <v/>
      </c>
      <c r="AC10587" s="16" t="str">
        <f>IFERROR(__xludf.DUMMYFUNCTION("""COMPUTED_VALUE"""),"")</f>
        <v/>
      </c>
    </row>
    <row r="10588">
      <c r="A10588" s="16" t="s">
        <v>87</v>
      </c>
      <c r="E10588" s="16" t="str">
        <f>IFERROR(__xludf.DUMMYFUNCTION("""COMPUTED_VALUE"""),"")</f>
        <v/>
      </c>
      <c r="G10588" s="18"/>
      <c r="H10588" s="16" t="s">
        <v>87</v>
      </c>
      <c r="I10588" s="16" t="s">
        <v>87</v>
      </c>
      <c r="J10588" s="19"/>
      <c r="L10588" s="16" t="str">
        <f>IFERROR(__xludf.DUMMYFUNCTION("""COMPUTED_VALUE"""),"")</f>
        <v/>
      </c>
      <c r="M10588" s="16" t="str">
        <f>IFERROR(__xludf.DUMMYFUNCTION("""COMPUTED_VALUE"""),"")</f>
        <v/>
      </c>
      <c r="U10588" s="16" t="s">
        <v>87</v>
      </c>
      <c r="V10588" s="16" t="str">
        <f>IFERROR(__xludf.DUMMYFUNCTION("""COMPUTED_VALUE"""),"")</f>
        <v/>
      </c>
      <c r="W10588" s="16" t="str">
        <f>IFERROR(__xludf.DUMMYFUNCTION("""COMPUTED_VALUE"""),"")</f>
        <v/>
      </c>
      <c r="X10588" s="16" t="str">
        <f>IFERROR(__xludf.DUMMYFUNCTION("""COMPUTED_VALUE"""),"")</f>
        <v/>
      </c>
      <c r="AC10588" s="16" t="str">
        <f>IFERROR(__xludf.DUMMYFUNCTION("""COMPUTED_VALUE"""),"")</f>
        <v/>
      </c>
    </row>
    <row r="10589">
      <c r="A10589" s="16" t="s">
        <v>87</v>
      </c>
      <c r="E10589" s="16" t="str">
        <f>IFERROR(__xludf.DUMMYFUNCTION("""COMPUTED_VALUE"""),"")</f>
        <v/>
      </c>
      <c r="G10589" s="18"/>
      <c r="H10589" s="16" t="s">
        <v>87</v>
      </c>
      <c r="I10589" s="16" t="s">
        <v>87</v>
      </c>
      <c r="J10589" s="19"/>
      <c r="L10589" s="16" t="str">
        <f>IFERROR(__xludf.DUMMYFUNCTION("""COMPUTED_VALUE"""),"")</f>
        <v/>
      </c>
      <c r="M10589" s="16" t="str">
        <f>IFERROR(__xludf.DUMMYFUNCTION("""COMPUTED_VALUE"""),"")</f>
        <v/>
      </c>
      <c r="U10589" s="16" t="s">
        <v>87</v>
      </c>
      <c r="V10589" s="16" t="str">
        <f>IFERROR(__xludf.DUMMYFUNCTION("""COMPUTED_VALUE"""),"")</f>
        <v/>
      </c>
      <c r="W10589" s="16" t="str">
        <f>IFERROR(__xludf.DUMMYFUNCTION("""COMPUTED_VALUE"""),"")</f>
        <v/>
      </c>
      <c r="X10589" s="16" t="str">
        <f>IFERROR(__xludf.DUMMYFUNCTION("""COMPUTED_VALUE"""),"")</f>
        <v/>
      </c>
      <c r="AC10589" s="16" t="str">
        <f>IFERROR(__xludf.DUMMYFUNCTION("""COMPUTED_VALUE"""),"")</f>
        <v/>
      </c>
    </row>
    <row r="10590">
      <c r="A10590" s="16" t="s">
        <v>87</v>
      </c>
      <c r="E10590" s="16" t="str">
        <f>IFERROR(__xludf.DUMMYFUNCTION("""COMPUTED_VALUE"""),"")</f>
        <v/>
      </c>
      <c r="G10590" s="18"/>
      <c r="H10590" s="16" t="s">
        <v>87</v>
      </c>
      <c r="I10590" s="16" t="s">
        <v>87</v>
      </c>
      <c r="J10590" s="19"/>
      <c r="L10590" s="16" t="str">
        <f>IFERROR(__xludf.DUMMYFUNCTION("""COMPUTED_VALUE"""),"")</f>
        <v/>
      </c>
      <c r="M10590" s="16" t="str">
        <f>IFERROR(__xludf.DUMMYFUNCTION("""COMPUTED_VALUE"""),"")</f>
        <v/>
      </c>
      <c r="U10590" s="16" t="s">
        <v>87</v>
      </c>
      <c r="V10590" s="16" t="str">
        <f>IFERROR(__xludf.DUMMYFUNCTION("""COMPUTED_VALUE"""),"")</f>
        <v/>
      </c>
      <c r="W10590" s="16" t="str">
        <f>IFERROR(__xludf.DUMMYFUNCTION("""COMPUTED_VALUE"""),"")</f>
        <v/>
      </c>
      <c r="X10590" s="16" t="str">
        <f>IFERROR(__xludf.DUMMYFUNCTION("""COMPUTED_VALUE"""),"")</f>
        <v/>
      </c>
      <c r="AC10590" s="16" t="str">
        <f>IFERROR(__xludf.DUMMYFUNCTION("""COMPUTED_VALUE"""),"")</f>
        <v/>
      </c>
    </row>
    <row r="10591">
      <c r="A10591" s="16" t="s">
        <v>87</v>
      </c>
      <c r="E10591" s="16" t="str">
        <f>IFERROR(__xludf.DUMMYFUNCTION("""COMPUTED_VALUE"""),"")</f>
        <v/>
      </c>
      <c r="G10591" s="18"/>
      <c r="H10591" s="16" t="s">
        <v>87</v>
      </c>
      <c r="I10591" s="16" t="s">
        <v>87</v>
      </c>
      <c r="J10591" s="19"/>
      <c r="L10591" s="16" t="str">
        <f>IFERROR(__xludf.DUMMYFUNCTION("""COMPUTED_VALUE"""),"")</f>
        <v/>
      </c>
      <c r="M10591" s="16" t="str">
        <f>IFERROR(__xludf.DUMMYFUNCTION("""COMPUTED_VALUE"""),"")</f>
        <v/>
      </c>
      <c r="U10591" s="16" t="s">
        <v>87</v>
      </c>
      <c r="V10591" s="16" t="str">
        <f>IFERROR(__xludf.DUMMYFUNCTION("""COMPUTED_VALUE"""),"")</f>
        <v/>
      </c>
      <c r="W10591" s="16" t="str">
        <f>IFERROR(__xludf.DUMMYFUNCTION("""COMPUTED_VALUE"""),"")</f>
        <v/>
      </c>
      <c r="X10591" s="16" t="str">
        <f>IFERROR(__xludf.DUMMYFUNCTION("""COMPUTED_VALUE"""),"")</f>
        <v/>
      </c>
      <c r="AC10591" s="16" t="str">
        <f>IFERROR(__xludf.DUMMYFUNCTION("""COMPUTED_VALUE"""),"")</f>
        <v/>
      </c>
    </row>
    <row r="10592">
      <c r="A10592" s="16" t="s">
        <v>87</v>
      </c>
      <c r="E10592" s="16" t="str">
        <f>IFERROR(__xludf.DUMMYFUNCTION("""COMPUTED_VALUE"""),"")</f>
        <v/>
      </c>
      <c r="G10592" s="18"/>
      <c r="H10592" s="16" t="s">
        <v>87</v>
      </c>
      <c r="I10592" s="16" t="s">
        <v>87</v>
      </c>
      <c r="J10592" s="19"/>
      <c r="L10592" s="16" t="str">
        <f>IFERROR(__xludf.DUMMYFUNCTION("""COMPUTED_VALUE"""),"")</f>
        <v/>
      </c>
      <c r="M10592" s="16" t="str">
        <f>IFERROR(__xludf.DUMMYFUNCTION("""COMPUTED_VALUE"""),"")</f>
        <v/>
      </c>
      <c r="U10592" s="16" t="s">
        <v>87</v>
      </c>
      <c r="V10592" s="16" t="str">
        <f>IFERROR(__xludf.DUMMYFUNCTION("""COMPUTED_VALUE"""),"")</f>
        <v/>
      </c>
      <c r="W10592" s="16" t="str">
        <f>IFERROR(__xludf.DUMMYFUNCTION("""COMPUTED_VALUE"""),"")</f>
        <v/>
      </c>
      <c r="X10592" s="16" t="str">
        <f>IFERROR(__xludf.DUMMYFUNCTION("""COMPUTED_VALUE"""),"")</f>
        <v/>
      </c>
      <c r="AC10592" s="16" t="str">
        <f>IFERROR(__xludf.DUMMYFUNCTION("""COMPUTED_VALUE"""),"")</f>
        <v/>
      </c>
    </row>
    <row r="10593">
      <c r="A10593" s="16" t="s">
        <v>87</v>
      </c>
      <c r="E10593" s="16" t="str">
        <f>IFERROR(__xludf.DUMMYFUNCTION("""COMPUTED_VALUE"""),"")</f>
        <v/>
      </c>
      <c r="G10593" s="18"/>
      <c r="H10593" s="16" t="s">
        <v>87</v>
      </c>
      <c r="I10593" s="16" t="s">
        <v>87</v>
      </c>
      <c r="J10593" s="19"/>
      <c r="L10593" s="16" t="str">
        <f>IFERROR(__xludf.DUMMYFUNCTION("""COMPUTED_VALUE"""),"")</f>
        <v/>
      </c>
      <c r="M10593" s="16" t="str">
        <f>IFERROR(__xludf.DUMMYFUNCTION("""COMPUTED_VALUE"""),"")</f>
        <v/>
      </c>
      <c r="U10593" s="16" t="s">
        <v>87</v>
      </c>
      <c r="V10593" s="16" t="str">
        <f>IFERROR(__xludf.DUMMYFUNCTION("""COMPUTED_VALUE"""),"")</f>
        <v/>
      </c>
      <c r="W10593" s="16" t="str">
        <f>IFERROR(__xludf.DUMMYFUNCTION("""COMPUTED_VALUE"""),"")</f>
        <v/>
      </c>
      <c r="X10593" s="16" t="str">
        <f>IFERROR(__xludf.DUMMYFUNCTION("""COMPUTED_VALUE"""),"")</f>
        <v/>
      </c>
      <c r="AC10593" s="16" t="str">
        <f>IFERROR(__xludf.DUMMYFUNCTION("""COMPUTED_VALUE"""),"")</f>
        <v/>
      </c>
    </row>
    <row r="10594">
      <c r="A10594" s="16" t="s">
        <v>87</v>
      </c>
      <c r="E10594" s="16" t="str">
        <f>IFERROR(__xludf.DUMMYFUNCTION("""COMPUTED_VALUE"""),"")</f>
        <v/>
      </c>
      <c r="G10594" s="18"/>
      <c r="H10594" s="16" t="s">
        <v>87</v>
      </c>
      <c r="I10594" s="16" t="s">
        <v>87</v>
      </c>
      <c r="J10594" s="19"/>
      <c r="L10594" s="16" t="str">
        <f>IFERROR(__xludf.DUMMYFUNCTION("""COMPUTED_VALUE"""),"")</f>
        <v/>
      </c>
      <c r="M10594" s="16" t="str">
        <f>IFERROR(__xludf.DUMMYFUNCTION("""COMPUTED_VALUE"""),"")</f>
        <v/>
      </c>
      <c r="U10594" s="16" t="s">
        <v>87</v>
      </c>
      <c r="V10594" s="16" t="str">
        <f>IFERROR(__xludf.DUMMYFUNCTION("""COMPUTED_VALUE"""),"")</f>
        <v/>
      </c>
      <c r="W10594" s="16" t="str">
        <f>IFERROR(__xludf.DUMMYFUNCTION("""COMPUTED_VALUE"""),"")</f>
        <v/>
      </c>
      <c r="X10594" s="16" t="str">
        <f>IFERROR(__xludf.DUMMYFUNCTION("""COMPUTED_VALUE"""),"")</f>
        <v/>
      </c>
      <c r="AC10594" s="16" t="str">
        <f>IFERROR(__xludf.DUMMYFUNCTION("""COMPUTED_VALUE"""),"")</f>
        <v/>
      </c>
    </row>
    <row r="10595">
      <c r="A10595" s="16" t="s">
        <v>87</v>
      </c>
      <c r="E10595" s="16" t="str">
        <f>IFERROR(__xludf.DUMMYFUNCTION("""COMPUTED_VALUE"""),"")</f>
        <v/>
      </c>
      <c r="G10595" s="18"/>
      <c r="H10595" s="16" t="s">
        <v>87</v>
      </c>
      <c r="I10595" s="16" t="s">
        <v>87</v>
      </c>
      <c r="J10595" s="19"/>
      <c r="L10595" s="16" t="str">
        <f>IFERROR(__xludf.DUMMYFUNCTION("""COMPUTED_VALUE"""),"")</f>
        <v/>
      </c>
      <c r="M10595" s="16" t="str">
        <f>IFERROR(__xludf.DUMMYFUNCTION("""COMPUTED_VALUE"""),"")</f>
        <v/>
      </c>
      <c r="U10595" s="16" t="s">
        <v>87</v>
      </c>
      <c r="V10595" s="16" t="str">
        <f>IFERROR(__xludf.DUMMYFUNCTION("""COMPUTED_VALUE"""),"")</f>
        <v/>
      </c>
      <c r="W10595" s="16" t="str">
        <f>IFERROR(__xludf.DUMMYFUNCTION("""COMPUTED_VALUE"""),"")</f>
        <v/>
      </c>
      <c r="X10595" s="16" t="str">
        <f>IFERROR(__xludf.DUMMYFUNCTION("""COMPUTED_VALUE"""),"")</f>
        <v/>
      </c>
      <c r="AC10595" s="16" t="str">
        <f>IFERROR(__xludf.DUMMYFUNCTION("""COMPUTED_VALUE"""),"")</f>
        <v/>
      </c>
    </row>
    <row r="10596">
      <c r="A10596" s="16" t="s">
        <v>87</v>
      </c>
      <c r="E10596" s="16" t="str">
        <f>IFERROR(__xludf.DUMMYFUNCTION("""COMPUTED_VALUE"""),"")</f>
        <v/>
      </c>
      <c r="G10596" s="18"/>
      <c r="H10596" s="16" t="s">
        <v>87</v>
      </c>
      <c r="I10596" s="16" t="s">
        <v>87</v>
      </c>
      <c r="J10596" s="19"/>
      <c r="L10596" s="16" t="str">
        <f>IFERROR(__xludf.DUMMYFUNCTION("""COMPUTED_VALUE"""),"")</f>
        <v/>
      </c>
      <c r="M10596" s="16" t="str">
        <f>IFERROR(__xludf.DUMMYFUNCTION("""COMPUTED_VALUE"""),"")</f>
        <v/>
      </c>
      <c r="U10596" s="16" t="s">
        <v>87</v>
      </c>
      <c r="V10596" s="16" t="str">
        <f>IFERROR(__xludf.DUMMYFUNCTION("""COMPUTED_VALUE"""),"")</f>
        <v/>
      </c>
      <c r="W10596" s="16" t="str">
        <f>IFERROR(__xludf.DUMMYFUNCTION("""COMPUTED_VALUE"""),"")</f>
        <v/>
      </c>
      <c r="X10596" s="16" t="str">
        <f>IFERROR(__xludf.DUMMYFUNCTION("""COMPUTED_VALUE"""),"")</f>
        <v/>
      </c>
      <c r="AC10596" s="16" t="str">
        <f>IFERROR(__xludf.DUMMYFUNCTION("""COMPUTED_VALUE"""),"")</f>
        <v/>
      </c>
    </row>
    <row r="10597">
      <c r="A10597" s="16" t="s">
        <v>87</v>
      </c>
      <c r="E10597" s="16" t="str">
        <f>IFERROR(__xludf.DUMMYFUNCTION("""COMPUTED_VALUE"""),"")</f>
        <v/>
      </c>
      <c r="G10597" s="18"/>
      <c r="H10597" s="16" t="s">
        <v>87</v>
      </c>
      <c r="I10597" s="16" t="s">
        <v>87</v>
      </c>
      <c r="J10597" s="19"/>
      <c r="L10597" s="16" t="str">
        <f>IFERROR(__xludf.DUMMYFUNCTION("""COMPUTED_VALUE"""),"")</f>
        <v/>
      </c>
      <c r="M10597" s="16" t="str">
        <f>IFERROR(__xludf.DUMMYFUNCTION("""COMPUTED_VALUE"""),"")</f>
        <v/>
      </c>
      <c r="U10597" s="16" t="s">
        <v>87</v>
      </c>
      <c r="V10597" s="16" t="str">
        <f>IFERROR(__xludf.DUMMYFUNCTION("""COMPUTED_VALUE"""),"")</f>
        <v/>
      </c>
      <c r="W10597" s="16" t="str">
        <f>IFERROR(__xludf.DUMMYFUNCTION("""COMPUTED_VALUE"""),"")</f>
        <v/>
      </c>
      <c r="X10597" s="16" t="str">
        <f>IFERROR(__xludf.DUMMYFUNCTION("""COMPUTED_VALUE"""),"")</f>
        <v/>
      </c>
      <c r="AC10597" s="16" t="str">
        <f>IFERROR(__xludf.DUMMYFUNCTION("""COMPUTED_VALUE"""),"")</f>
        <v/>
      </c>
    </row>
    <row r="10598">
      <c r="A10598" s="16" t="s">
        <v>87</v>
      </c>
      <c r="E10598" s="16" t="str">
        <f>IFERROR(__xludf.DUMMYFUNCTION("""COMPUTED_VALUE"""),"")</f>
        <v/>
      </c>
      <c r="G10598" s="18"/>
      <c r="H10598" s="16" t="s">
        <v>87</v>
      </c>
      <c r="I10598" s="16" t="s">
        <v>87</v>
      </c>
      <c r="J10598" s="19"/>
      <c r="L10598" s="16" t="str">
        <f>IFERROR(__xludf.DUMMYFUNCTION("""COMPUTED_VALUE"""),"")</f>
        <v/>
      </c>
      <c r="M10598" s="16" t="str">
        <f>IFERROR(__xludf.DUMMYFUNCTION("""COMPUTED_VALUE"""),"")</f>
        <v/>
      </c>
      <c r="U10598" s="16" t="s">
        <v>87</v>
      </c>
      <c r="V10598" s="16" t="str">
        <f>IFERROR(__xludf.DUMMYFUNCTION("""COMPUTED_VALUE"""),"")</f>
        <v/>
      </c>
      <c r="W10598" s="16" t="str">
        <f>IFERROR(__xludf.DUMMYFUNCTION("""COMPUTED_VALUE"""),"")</f>
        <v/>
      </c>
      <c r="X10598" s="16" t="str">
        <f>IFERROR(__xludf.DUMMYFUNCTION("""COMPUTED_VALUE"""),"")</f>
        <v/>
      </c>
      <c r="AC10598" s="16" t="str">
        <f>IFERROR(__xludf.DUMMYFUNCTION("""COMPUTED_VALUE"""),"")</f>
        <v/>
      </c>
    </row>
    <row r="10599">
      <c r="A10599" s="16" t="s">
        <v>87</v>
      </c>
      <c r="E10599" s="16" t="str">
        <f>IFERROR(__xludf.DUMMYFUNCTION("""COMPUTED_VALUE"""),"")</f>
        <v/>
      </c>
      <c r="G10599" s="18"/>
      <c r="H10599" s="16" t="s">
        <v>87</v>
      </c>
      <c r="I10599" s="16" t="s">
        <v>87</v>
      </c>
      <c r="J10599" s="19"/>
      <c r="L10599" s="16" t="str">
        <f>IFERROR(__xludf.DUMMYFUNCTION("""COMPUTED_VALUE"""),"")</f>
        <v/>
      </c>
      <c r="M10599" s="16" t="str">
        <f>IFERROR(__xludf.DUMMYFUNCTION("""COMPUTED_VALUE"""),"")</f>
        <v/>
      </c>
      <c r="U10599" s="16" t="s">
        <v>87</v>
      </c>
      <c r="V10599" s="16" t="str">
        <f>IFERROR(__xludf.DUMMYFUNCTION("""COMPUTED_VALUE"""),"")</f>
        <v/>
      </c>
      <c r="W10599" s="16" t="str">
        <f>IFERROR(__xludf.DUMMYFUNCTION("""COMPUTED_VALUE"""),"")</f>
        <v/>
      </c>
      <c r="X10599" s="16" t="str">
        <f>IFERROR(__xludf.DUMMYFUNCTION("""COMPUTED_VALUE"""),"")</f>
        <v/>
      </c>
      <c r="AC10599" s="16" t="str">
        <f>IFERROR(__xludf.DUMMYFUNCTION("""COMPUTED_VALUE"""),"")</f>
        <v/>
      </c>
    </row>
    <row r="10600">
      <c r="A10600" s="16" t="s">
        <v>87</v>
      </c>
      <c r="E10600" s="16" t="str">
        <f>IFERROR(__xludf.DUMMYFUNCTION("""COMPUTED_VALUE"""),"")</f>
        <v/>
      </c>
      <c r="G10600" s="18"/>
      <c r="H10600" s="16" t="s">
        <v>87</v>
      </c>
      <c r="I10600" s="16" t="s">
        <v>87</v>
      </c>
      <c r="J10600" s="19"/>
      <c r="L10600" s="16" t="str">
        <f>IFERROR(__xludf.DUMMYFUNCTION("""COMPUTED_VALUE"""),"")</f>
        <v/>
      </c>
      <c r="M10600" s="16" t="str">
        <f>IFERROR(__xludf.DUMMYFUNCTION("""COMPUTED_VALUE"""),"")</f>
        <v/>
      </c>
      <c r="U10600" s="16" t="s">
        <v>87</v>
      </c>
      <c r="V10600" s="16" t="str">
        <f>IFERROR(__xludf.DUMMYFUNCTION("""COMPUTED_VALUE"""),"")</f>
        <v/>
      </c>
      <c r="W10600" s="16" t="str">
        <f>IFERROR(__xludf.DUMMYFUNCTION("""COMPUTED_VALUE"""),"")</f>
        <v/>
      </c>
      <c r="X10600" s="16" t="str">
        <f>IFERROR(__xludf.DUMMYFUNCTION("""COMPUTED_VALUE"""),"")</f>
        <v/>
      </c>
      <c r="AC10600" s="16" t="str">
        <f>IFERROR(__xludf.DUMMYFUNCTION("""COMPUTED_VALUE"""),"")</f>
        <v/>
      </c>
    </row>
    <row r="10601">
      <c r="A10601" s="16" t="s">
        <v>87</v>
      </c>
      <c r="E10601" s="16" t="str">
        <f>IFERROR(__xludf.DUMMYFUNCTION("""COMPUTED_VALUE"""),"")</f>
        <v/>
      </c>
      <c r="G10601" s="18"/>
      <c r="H10601" s="16" t="s">
        <v>87</v>
      </c>
      <c r="I10601" s="16" t="s">
        <v>87</v>
      </c>
      <c r="J10601" s="19"/>
      <c r="L10601" s="16" t="str">
        <f>IFERROR(__xludf.DUMMYFUNCTION("""COMPUTED_VALUE"""),"")</f>
        <v/>
      </c>
      <c r="M10601" s="16" t="str">
        <f>IFERROR(__xludf.DUMMYFUNCTION("""COMPUTED_VALUE"""),"")</f>
        <v/>
      </c>
      <c r="U10601" s="16" t="s">
        <v>87</v>
      </c>
      <c r="V10601" s="16" t="str">
        <f>IFERROR(__xludf.DUMMYFUNCTION("""COMPUTED_VALUE"""),"")</f>
        <v/>
      </c>
      <c r="W10601" s="16" t="str">
        <f>IFERROR(__xludf.DUMMYFUNCTION("""COMPUTED_VALUE"""),"")</f>
        <v/>
      </c>
      <c r="X10601" s="16" t="str">
        <f>IFERROR(__xludf.DUMMYFUNCTION("""COMPUTED_VALUE"""),"")</f>
        <v/>
      </c>
      <c r="AC10601" s="16" t="str">
        <f>IFERROR(__xludf.DUMMYFUNCTION("""COMPUTED_VALUE"""),"")</f>
        <v/>
      </c>
    </row>
    <row r="10602">
      <c r="A10602" s="16" t="s">
        <v>87</v>
      </c>
      <c r="E10602" s="16" t="str">
        <f>IFERROR(__xludf.DUMMYFUNCTION("""COMPUTED_VALUE"""),"")</f>
        <v/>
      </c>
      <c r="G10602" s="18"/>
      <c r="H10602" s="16" t="s">
        <v>87</v>
      </c>
      <c r="I10602" s="16" t="s">
        <v>87</v>
      </c>
      <c r="J10602" s="19"/>
      <c r="L10602" s="16" t="str">
        <f>IFERROR(__xludf.DUMMYFUNCTION("""COMPUTED_VALUE"""),"")</f>
        <v/>
      </c>
      <c r="M10602" s="16" t="str">
        <f>IFERROR(__xludf.DUMMYFUNCTION("""COMPUTED_VALUE"""),"")</f>
        <v/>
      </c>
      <c r="U10602" s="16" t="s">
        <v>87</v>
      </c>
      <c r="V10602" s="16" t="str">
        <f>IFERROR(__xludf.DUMMYFUNCTION("""COMPUTED_VALUE"""),"")</f>
        <v/>
      </c>
      <c r="W10602" s="16" t="str">
        <f>IFERROR(__xludf.DUMMYFUNCTION("""COMPUTED_VALUE"""),"")</f>
        <v/>
      </c>
      <c r="X10602" s="16" t="str">
        <f>IFERROR(__xludf.DUMMYFUNCTION("""COMPUTED_VALUE"""),"")</f>
        <v/>
      </c>
      <c r="AC10602" s="16" t="str">
        <f>IFERROR(__xludf.DUMMYFUNCTION("""COMPUTED_VALUE"""),"")</f>
        <v/>
      </c>
    </row>
    <row r="10603">
      <c r="A10603" s="16" t="s">
        <v>87</v>
      </c>
      <c r="E10603" s="16" t="str">
        <f>IFERROR(__xludf.DUMMYFUNCTION("""COMPUTED_VALUE"""),"")</f>
        <v/>
      </c>
      <c r="G10603" s="18"/>
      <c r="H10603" s="16" t="s">
        <v>87</v>
      </c>
      <c r="I10603" s="16" t="s">
        <v>87</v>
      </c>
      <c r="J10603" s="19"/>
      <c r="L10603" s="16" t="str">
        <f>IFERROR(__xludf.DUMMYFUNCTION("""COMPUTED_VALUE"""),"")</f>
        <v/>
      </c>
      <c r="M10603" s="16" t="str">
        <f>IFERROR(__xludf.DUMMYFUNCTION("""COMPUTED_VALUE"""),"")</f>
        <v/>
      </c>
      <c r="U10603" s="16" t="s">
        <v>87</v>
      </c>
      <c r="V10603" s="16" t="str">
        <f>IFERROR(__xludf.DUMMYFUNCTION("""COMPUTED_VALUE"""),"")</f>
        <v/>
      </c>
      <c r="W10603" s="16" t="str">
        <f>IFERROR(__xludf.DUMMYFUNCTION("""COMPUTED_VALUE"""),"")</f>
        <v/>
      </c>
      <c r="X10603" s="16" t="str">
        <f>IFERROR(__xludf.DUMMYFUNCTION("""COMPUTED_VALUE"""),"")</f>
        <v/>
      </c>
      <c r="AC10603" s="16" t="str">
        <f>IFERROR(__xludf.DUMMYFUNCTION("""COMPUTED_VALUE"""),"")</f>
        <v/>
      </c>
    </row>
    <row r="10604">
      <c r="A10604" s="16" t="s">
        <v>87</v>
      </c>
      <c r="E10604" s="16" t="str">
        <f>IFERROR(__xludf.DUMMYFUNCTION("""COMPUTED_VALUE"""),"")</f>
        <v/>
      </c>
      <c r="G10604" s="18"/>
      <c r="H10604" s="16" t="s">
        <v>87</v>
      </c>
      <c r="I10604" s="16" t="s">
        <v>87</v>
      </c>
      <c r="J10604" s="19"/>
      <c r="L10604" s="16" t="str">
        <f>IFERROR(__xludf.DUMMYFUNCTION("""COMPUTED_VALUE"""),"")</f>
        <v/>
      </c>
      <c r="M10604" s="16" t="str">
        <f>IFERROR(__xludf.DUMMYFUNCTION("""COMPUTED_VALUE"""),"")</f>
        <v/>
      </c>
      <c r="U10604" s="16" t="s">
        <v>87</v>
      </c>
      <c r="V10604" s="16" t="str">
        <f>IFERROR(__xludf.DUMMYFUNCTION("""COMPUTED_VALUE"""),"")</f>
        <v/>
      </c>
      <c r="W10604" s="16" t="str">
        <f>IFERROR(__xludf.DUMMYFUNCTION("""COMPUTED_VALUE"""),"")</f>
        <v/>
      </c>
      <c r="X10604" s="16" t="str">
        <f>IFERROR(__xludf.DUMMYFUNCTION("""COMPUTED_VALUE"""),"")</f>
        <v/>
      </c>
      <c r="AC10604" s="16" t="str">
        <f>IFERROR(__xludf.DUMMYFUNCTION("""COMPUTED_VALUE"""),"")</f>
        <v/>
      </c>
    </row>
    <row r="10605">
      <c r="A10605" s="16" t="s">
        <v>87</v>
      </c>
      <c r="E10605" s="16" t="str">
        <f>IFERROR(__xludf.DUMMYFUNCTION("""COMPUTED_VALUE"""),"")</f>
        <v/>
      </c>
      <c r="G10605" s="18"/>
      <c r="H10605" s="16" t="s">
        <v>87</v>
      </c>
      <c r="I10605" s="16" t="s">
        <v>87</v>
      </c>
      <c r="J10605" s="19"/>
      <c r="L10605" s="16" t="str">
        <f>IFERROR(__xludf.DUMMYFUNCTION("""COMPUTED_VALUE"""),"")</f>
        <v/>
      </c>
      <c r="M10605" s="16" t="str">
        <f>IFERROR(__xludf.DUMMYFUNCTION("""COMPUTED_VALUE"""),"")</f>
        <v/>
      </c>
      <c r="U10605" s="16" t="s">
        <v>87</v>
      </c>
      <c r="V10605" s="16" t="str">
        <f>IFERROR(__xludf.DUMMYFUNCTION("""COMPUTED_VALUE"""),"")</f>
        <v/>
      </c>
      <c r="W10605" s="16" t="str">
        <f>IFERROR(__xludf.DUMMYFUNCTION("""COMPUTED_VALUE"""),"")</f>
        <v/>
      </c>
      <c r="X10605" s="16" t="str">
        <f>IFERROR(__xludf.DUMMYFUNCTION("""COMPUTED_VALUE"""),"")</f>
        <v/>
      </c>
      <c r="AC10605" s="16" t="str">
        <f>IFERROR(__xludf.DUMMYFUNCTION("""COMPUTED_VALUE"""),"")</f>
        <v/>
      </c>
    </row>
    <row r="10606">
      <c r="A10606" s="16" t="s">
        <v>87</v>
      </c>
      <c r="E10606" s="16" t="str">
        <f>IFERROR(__xludf.DUMMYFUNCTION("""COMPUTED_VALUE"""),"")</f>
        <v/>
      </c>
      <c r="G10606" s="18"/>
      <c r="H10606" s="16" t="s">
        <v>87</v>
      </c>
      <c r="I10606" s="16" t="s">
        <v>87</v>
      </c>
      <c r="J10606" s="19"/>
      <c r="L10606" s="16" t="str">
        <f>IFERROR(__xludf.DUMMYFUNCTION("""COMPUTED_VALUE"""),"")</f>
        <v/>
      </c>
      <c r="M10606" s="16" t="str">
        <f>IFERROR(__xludf.DUMMYFUNCTION("""COMPUTED_VALUE"""),"")</f>
        <v/>
      </c>
      <c r="U10606" s="16" t="s">
        <v>87</v>
      </c>
      <c r="V10606" s="16" t="str">
        <f>IFERROR(__xludf.DUMMYFUNCTION("""COMPUTED_VALUE"""),"")</f>
        <v/>
      </c>
      <c r="W10606" s="16" t="str">
        <f>IFERROR(__xludf.DUMMYFUNCTION("""COMPUTED_VALUE"""),"")</f>
        <v/>
      </c>
      <c r="X10606" s="16" t="str">
        <f>IFERROR(__xludf.DUMMYFUNCTION("""COMPUTED_VALUE"""),"")</f>
        <v/>
      </c>
      <c r="AC10606" s="16" t="str">
        <f>IFERROR(__xludf.DUMMYFUNCTION("""COMPUTED_VALUE"""),"")</f>
        <v/>
      </c>
    </row>
    <row r="10607">
      <c r="A10607" s="16" t="s">
        <v>87</v>
      </c>
      <c r="E10607" s="16" t="str">
        <f>IFERROR(__xludf.DUMMYFUNCTION("""COMPUTED_VALUE"""),"")</f>
        <v/>
      </c>
      <c r="G10607" s="18"/>
      <c r="H10607" s="16" t="s">
        <v>87</v>
      </c>
      <c r="I10607" s="16" t="s">
        <v>87</v>
      </c>
      <c r="J10607" s="19"/>
      <c r="L10607" s="16" t="str">
        <f>IFERROR(__xludf.DUMMYFUNCTION("""COMPUTED_VALUE"""),"")</f>
        <v/>
      </c>
      <c r="M10607" s="16" t="str">
        <f>IFERROR(__xludf.DUMMYFUNCTION("""COMPUTED_VALUE"""),"")</f>
        <v/>
      </c>
      <c r="U10607" s="16" t="s">
        <v>87</v>
      </c>
      <c r="V10607" s="16" t="str">
        <f>IFERROR(__xludf.DUMMYFUNCTION("""COMPUTED_VALUE"""),"")</f>
        <v/>
      </c>
      <c r="W10607" s="16" t="str">
        <f>IFERROR(__xludf.DUMMYFUNCTION("""COMPUTED_VALUE"""),"")</f>
        <v/>
      </c>
      <c r="X10607" s="16" t="str">
        <f>IFERROR(__xludf.DUMMYFUNCTION("""COMPUTED_VALUE"""),"")</f>
        <v/>
      </c>
      <c r="AC10607" s="16" t="str">
        <f>IFERROR(__xludf.DUMMYFUNCTION("""COMPUTED_VALUE"""),"")</f>
        <v/>
      </c>
    </row>
    <row r="10608">
      <c r="A10608" s="16" t="s">
        <v>87</v>
      </c>
      <c r="E10608" s="16" t="str">
        <f>IFERROR(__xludf.DUMMYFUNCTION("""COMPUTED_VALUE"""),"")</f>
        <v/>
      </c>
      <c r="G10608" s="18"/>
      <c r="H10608" s="16" t="s">
        <v>87</v>
      </c>
      <c r="I10608" s="16" t="s">
        <v>87</v>
      </c>
      <c r="J10608" s="19"/>
      <c r="L10608" s="16" t="str">
        <f>IFERROR(__xludf.DUMMYFUNCTION("""COMPUTED_VALUE"""),"")</f>
        <v/>
      </c>
      <c r="M10608" s="16" t="str">
        <f>IFERROR(__xludf.DUMMYFUNCTION("""COMPUTED_VALUE"""),"")</f>
        <v/>
      </c>
      <c r="U10608" s="16" t="s">
        <v>87</v>
      </c>
      <c r="V10608" s="16" t="str">
        <f>IFERROR(__xludf.DUMMYFUNCTION("""COMPUTED_VALUE"""),"")</f>
        <v/>
      </c>
      <c r="W10608" s="16" t="str">
        <f>IFERROR(__xludf.DUMMYFUNCTION("""COMPUTED_VALUE"""),"")</f>
        <v/>
      </c>
      <c r="X10608" s="16" t="str">
        <f>IFERROR(__xludf.DUMMYFUNCTION("""COMPUTED_VALUE"""),"")</f>
        <v/>
      </c>
      <c r="AC10608" s="16" t="str">
        <f>IFERROR(__xludf.DUMMYFUNCTION("""COMPUTED_VALUE"""),"")</f>
        <v/>
      </c>
    </row>
    <row r="10609">
      <c r="A10609" s="16" t="s">
        <v>87</v>
      </c>
      <c r="E10609" s="16" t="str">
        <f>IFERROR(__xludf.DUMMYFUNCTION("""COMPUTED_VALUE"""),"")</f>
        <v/>
      </c>
      <c r="G10609" s="18"/>
      <c r="H10609" s="16" t="s">
        <v>87</v>
      </c>
      <c r="I10609" s="16" t="s">
        <v>87</v>
      </c>
      <c r="J10609" s="19"/>
      <c r="L10609" s="16" t="str">
        <f>IFERROR(__xludf.DUMMYFUNCTION("""COMPUTED_VALUE"""),"")</f>
        <v/>
      </c>
      <c r="M10609" s="16" t="str">
        <f>IFERROR(__xludf.DUMMYFUNCTION("""COMPUTED_VALUE"""),"")</f>
        <v/>
      </c>
      <c r="U10609" s="16" t="s">
        <v>87</v>
      </c>
      <c r="V10609" s="16" t="str">
        <f>IFERROR(__xludf.DUMMYFUNCTION("""COMPUTED_VALUE"""),"")</f>
        <v/>
      </c>
      <c r="W10609" s="16" t="str">
        <f>IFERROR(__xludf.DUMMYFUNCTION("""COMPUTED_VALUE"""),"")</f>
        <v/>
      </c>
      <c r="X10609" s="16" t="str">
        <f>IFERROR(__xludf.DUMMYFUNCTION("""COMPUTED_VALUE"""),"")</f>
        <v/>
      </c>
      <c r="AC10609" s="16" t="str">
        <f>IFERROR(__xludf.DUMMYFUNCTION("""COMPUTED_VALUE"""),"")</f>
        <v/>
      </c>
    </row>
    <row r="10610">
      <c r="A10610" s="16" t="s">
        <v>87</v>
      </c>
      <c r="E10610" s="16" t="str">
        <f>IFERROR(__xludf.DUMMYFUNCTION("""COMPUTED_VALUE"""),"")</f>
        <v/>
      </c>
      <c r="G10610" s="18"/>
      <c r="H10610" s="16" t="s">
        <v>87</v>
      </c>
      <c r="I10610" s="16" t="s">
        <v>87</v>
      </c>
      <c r="J10610" s="19"/>
      <c r="L10610" s="16" t="str">
        <f>IFERROR(__xludf.DUMMYFUNCTION("""COMPUTED_VALUE"""),"")</f>
        <v/>
      </c>
      <c r="M10610" s="16" t="str">
        <f>IFERROR(__xludf.DUMMYFUNCTION("""COMPUTED_VALUE"""),"")</f>
        <v/>
      </c>
      <c r="U10610" s="16" t="s">
        <v>87</v>
      </c>
      <c r="V10610" s="16" t="str">
        <f>IFERROR(__xludf.DUMMYFUNCTION("""COMPUTED_VALUE"""),"")</f>
        <v/>
      </c>
      <c r="W10610" s="16" t="str">
        <f>IFERROR(__xludf.DUMMYFUNCTION("""COMPUTED_VALUE"""),"")</f>
        <v/>
      </c>
      <c r="X10610" s="16" t="str">
        <f>IFERROR(__xludf.DUMMYFUNCTION("""COMPUTED_VALUE"""),"")</f>
        <v/>
      </c>
      <c r="AC10610" s="16" t="str">
        <f>IFERROR(__xludf.DUMMYFUNCTION("""COMPUTED_VALUE"""),"")</f>
        <v/>
      </c>
    </row>
    <row r="10611">
      <c r="A10611" s="16" t="s">
        <v>87</v>
      </c>
      <c r="E10611" s="16" t="str">
        <f>IFERROR(__xludf.DUMMYFUNCTION("""COMPUTED_VALUE"""),"")</f>
        <v/>
      </c>
      <c r="G10611" s="18"/>
      <c r="H10611" s="16" t="s">
        <v>87</v>
      </c>
      <c r="I10611" s="16" t="s">
        <v>87</v>
      </c>
      <c r="J10611" s="19"/>
      <c r="L10611" s="16" t="str">
        <f>IFERROR(__xludf.DUMMYFUNCTION("""COMPUTED_VALUE"""),"")</f>
        <v/>
      </c>
      <c r="M10611" s="16" t="str">
        <f>IFERROR(__xludf.DUMMYFUNCTION("""COMPUTED_VALUE"""),"")</f>
        <v/>
      </c>
      <c r="U10611" s="16" t="s">
        <v>87</v>
      </c>
      <c r="V10611" s="16" t="str">
        <f>IFERROR(__xludf.DUMMYFUNCTION("""COMPUTED_VALUE"""),"")</f>
        <v/>
      </c>
      <c r="W10611" s="16" t="str">
        <f>IFERROR(__xludf.DUMMYFUNCTION("""COMPUTED_VALUE"""),"")</f>
        <v/>
      </c>
      <c r="X10611" s="16" t="str">
        <f>IFERROR(__xludf.DUMMYFUNCTION("""COMPUTED_VALUE"""),"")</f>
        <v/>
      </c>
      <c r="AC10611" s="16" t="str">
        <f>IFERROR(__xludf.DUMMYFUNCTION("""COMPUTED_VALUE"""),"")</f>
        <v/>
      </c>
    </row>
    <row r="10612">
      <c r="A10612" s="16" t="s">
        <v>87</v>
      </c>
      <c r="E10612" s="16" t="str">
        <f>IFERROR(__xludf.DUMMYFUNCTION("""COMPUTED_VALUE"""),"")</f>
        <v/>
      </c>
      <c r="G10612" s="18"/>
      <c r="H10612" s="16" t="s">
        <v>87</v>
      </c>
      <c r="I10612" s="16" t="s">
        <v>87</v>
      </c>
      <c r="J10612" s="19"/>
      <c r="L10612" s="16" t="str">
        <f>IFERROR(__xludf.DUMMYFUNCTION("""COMPUTED_VALUE"""),"")</f>
        <v/>
      </c>
      <c r="M10612" s="16" t="str">
        <f>IFERROR(__xludf.DUMMYFUNCTION("""COMPUTED_VALUE"""),"")</f>
        <v/>
      </c>
      <c r="U10612" s="16" t="s">
        <v>87</v>
      </c>
      <c r="V10612" s="16" t="str">
        <f>IFERROR(__xludf.DUMMYFUNCTION("""COMPUTED_VALUE"""),"")</f>
        <v/>
      </c>
      <c r="W10612" s="16" t="str">
        <f>IFERROR(__xludf.DUMMYFUNCTION("""COMPUTED_VALUE"""),"")</f>
        <v/>
      </c>
      <c r="X10612" s="16" t="str">
        <f>IFERROR(__xludf.DUMMYFUNCTION("""COMPUTED_VALUE"""),"")</f>
        <v/>
      </c>
      <c r="AC10612" s="16" t="str">
        <f>IFERROR(__xludf.DUMMYFUNCTION("""COMPUTED_VALUE"""),"")</f>
        <v/>
      </c>
    </row>
    <row r="10613">
      <c r="A10613" s="16" t="s">
        <v>87</v>
      </c>
      <c r="E10613" s="16" t="str">
        <f>IFERROR(__xludf.DUMMYFUNCTION("""COMPUTED_VALUE"""),"")</f>
        <v/>
      </c>
      <c r="G10613" s="18"/>
      <c r="H10613" s="16" t="s">
        <v>87</v>
      </c>
      <c r="I10613" s="16" t="s">
        <v>87</v>
      </c>
      <c r="J10613" s="19"/>
      <c r="L10613" s="16" t="str">
        <f>IFERROR(__xludf.DUMMYFUNCTION("""COMPUTED_VALUE"""),"")</f>
        <v/>
      </c>
      <c r="M10613" s="16" t="str">
        <f>IFERROR(__xludf.DUMMYFUNCTION("""COMPUTED_VALUE"""),"")</f>
        <v/>
      </c>
      <c r="U10613" s="16" t="s">
        <v>87</v>
      </c>
      <c r="V10613" s="16" t="str">
        <f>IFERROR(__xludf.DUMMYFUNCTION("""COMPUTED_VALUE"""),"")</f>
        <v/>
      </c>
      <c r="W10613" s="16" t="str">
        <f>IFERROR(__xludf.DUMMYFUNCTION("""COMPUTED_VALUE"""),"")</f>
        <v/>
      </c>
      <c r="X10613" s="16" t="str">
        <f>IFERROR(__xludf.DUMMYFUNCTION("""COMPUTED_VALUE"""),"")</f>
        <v/>
      </c>
      <c r="AC10613" s="16" t="str">
        <f>IFERROR(__xludf.DUMMYFUNCTION("""COMPUTED_VALUE"""),"")</f>
        <v/>
      </c>
    </row>
    <row r="10614">
      <c r="A10614" s="16" t="s">
        <v>87</v>
      </c>
      <c r="E10614" s="16" t="str">
        <f>IFERROR(__xludf.DUMMYFUNCTION("""COMPUTED_VALUE"""),"")</f>
        <v/>
      </c>
      <c r="G10614" s="18"/>
      <c r="H10614" s="16" t="s">
        <v>87</v>
      </c>
      <c r="I10614" s="16" t="s">
        <v>87</v>
      </c>
      <c r="J10614" s="19"/>
      <c r="L10614" s="16" t="str">
        <f>IFERROR(__xludf.DUMMYFUNCTION("""COMPUTED_VALUE"""),"")</f>
        <v/>
      </c>
      <c r="M10614" s="16" t="str">
        <f>IFERROR(__xludf.DUMMYFUNCTION("""COMPUTED_VALUE"""),"")</f>
        <v/>
      </c>
      <c r="U10614" s="16" t="s">
        <v>87</v>
      </c>
      <c r="V10614" s="16" t="str">
        <f>IFERROR(__xludf.DUMMYFUNCTION("""COMPUTED_VALUE"""),"")</f>
        <v/>
      </c>
      <c r="W10614" s="16" t="str">
        <f>IFERROR(__xludf.DUMMYFUNCTION("""COMPUTED_VALUE"""),"")</f>
        <v/>
      </c>
      <c r="X10614" s="16" t="str">
        <f>IFERROR(__xludf.DUMMYFUNCTION("""COMPUTED_VALUE"""),"")</f>
        <v/>
      </c>
      <c r="AC10614" s="16" t="str">
        <f>IFERROR(__xludf.DUMMYFUNCTION("""COMPUTED_VALUE"""),"")</f>
        <v/>
      </c>
    </row>
    <row r="10615">
      <c r="A10615" s="16" t="s">
        <v>87</v>
      </c>
      <c r="E10615" s="16" t="str">
        <f>IFERROR(__xludf.DUMMYFUNCTION("""COMPUTED_VALUE"""),"")</f>
        <v/>
      </c>
      <c r="G10615" s="18"/>
      <c r="H10615" s="16" t="s">
        <v>87</v>
      </c>
      <c r="I10615" s="16" t="s">
        <v>87</v>
      </c>
      <c r="J10615" s="19"/>
      <c r="L10615" s="16" t="str">
        <f>IFERROR(__xludf.DUMMYFUNCTION("""COMPUTED_VALUE"""),"")</f>
        <v/>
      </c>
      <c r="M10615" s="16" t="str">
        <f>IFERROR(__xludf.DUMMYFUNCTION("""COMPUTED_VALUE"""),"")</f>
        <v/>
      </c>
      <c r="U10615" s="16" t="s">
        <v>87</v>
      </c>
      <c r="V10615" s="16" t="str">
        <f>IFERROR(__xludf.DUMMYFUNCTION("""COMPUTED_VALUE"""),"")</f>
        <v/>
      </c>
      <c r="W10615" s="16" t="str">
        <f>IFERROR(__xludf.DUMMYFUNCTION("""COMPUTED_VALUE"""),"")</f>
        <v/>
      </c>
      <c r="X10615" s="16" t="str">
        <f>IFERROR(__xludf.DUMMYFUNCTION("""COMPUTED_VALUE"""),"")</f>
        <v/>
      </c>
      <c r="AC10615" s="16" t="str">
        <f>IFERROR(__xludf.DUMMYFUNCTION("""COMPUTED_VALUE"""),"")</f>
        <v/>
      </c>
    </row>
    <row r="10616">
      <c r="A10616" s="16" t="s">
        <v>87</v>
      </c>
      <c r="E10616" s="16" t="str">
        <f>IFERROR(__xludf.DUMMYFUNCTION("""COMPUTED_VALUE"""),"")</f>
        <v/>
      </c>
      <c r="G10616" s="18"/>
      <c r="H10616" s="16" t="s">
        <v>87</v>
      </c>
      <c r="I10616" s="16" t="s">
        <v>87</v>
      </c>
      <c r="J10616" s="19"/>
      <c r="L10616" s="16" t="str">
        <f>IFERROR(__xludf.DUMMYFUNCTION("""COMPUTED_VALUE"""),"")</f>
        <v/>
      </c>
      <c r="M10616" s="16" t="str">
        <f>IFERROR(__xludf.DUMMYFUNCTION("""COMPUTED_VALUE"""),"")</f>
        <v/>
      </c>
      <c r="U10616" s="16" t="s">
        <v>87</v>
      </c>
      <c r="V10616" s="16" t="str">
        <f>IFERROR(__xludf.DUMMYFUNCTION("""COMPUTED_VALUE"""),"")</f>
        <v/>
      </c>
      <c r="W10616" s="16" t="str">
        <f>IFERROR(__xludf.DUMMYFUNCTION("""COMPUTED_VALUE"""),"")</f>
        <v/>
      </c>
      <c r="X10616" s="16" t="str">
        <f>IFERROR(__xludf.DUMMYFUNCTION("""COMPUTED_VALUE"""),"")</f>
        <v/>
      </c>
      <c r="AC10616" s="16" t="str">
        <f>IFERROR(__xludf.DUMMYFUNCTION("""COMPUTED_VALUE"""),"")</f>
        <v/>
      </c>
    </row>
    <row r="10617">
      <c r="A10617" s="16" t="s">
        <v>87</v>
      </c>
      <c r="E10617" s="16" t="str">
        <f>IFERROR(__xludf.DUMMYFUNCTION("""COMPUTED_VALUE"""),"")</f>
        <v/>
      </c>
      <c r="G10617" s="18"/>
      <c r="H10617" s="16" t="s">
        <v>87</v>
      </c>
      <c r="I10617" s="16" t="s">
        <v>87</v>
      </c>
      <c r="J10617" s="19"/>
      <c r="L10617" s="16" t="str">
        <f>IFERROR(__xludf.DUMMYFUNCTION("""COMPUTED_VALUE"""),"")</f>
        <v/>
      </c>
      <c r="M10617" s="16" t="str">
        <f>IFERROR(__xludf.DUMMYFUNCTION("""COMPUTED_VALUE"""),"")</f>
        <v/>
      </c>
      <c r="U10617" s="16" t="s">
        <v>87</v>
      </c>
      <c r="V10617" s="16" t="str">
        <f>IFERROR(__xludf.DUMMYFUNCTION("""COMPUTED_VALUE"""),"")</f>
        <v/>
      </c>
      <c r="W10617" s="16" t="str">
        <f>IFERROR(__xludf.DUMMYFUNCTION("""COMPUTED_VALUE"""),"")</f>
        <v/>
      </c>
      <c r="X10617" s="16" t="str">
        <f>IFERROR(__xludf.DUMMYFUNCTION("""COMPUTED_VALUE"""),"")</f>
        <v/>
      </c>
      <c r="AC10617" s="16" t="str">
        <f>IFERROR(__xludf.DUMMYFUNCTION("""COMPUTED_VALUE"""),"")</f>
        <v/>
      </c>
    </row>
    <row r="10618">
      <c r="A10618" s="16" t="s">
        <v>87</v>
      </c>
      <c r="E10618" s="16" t="str">
        <f>IFERROR(__xludf.DUMMYFUNCTION("""COMPUTED_VALUE"""),"")</f>
        <v/>
      </c>
      <c r="G10618" s="18"/>
      <c r="H10618" s="16" t="s">
        <v>87</v>
      </c>
      <c r="I10618" s="16" t="s">
        <v>87</v>
      </c>
      <c r="J10618" s="19"/>
      <c r="L10618" s="16" t="str">
        <f>IFERROR(__xludf.DUMMYFUNCTION("""COMPUTED_VALUE"""),"")</f>
        <v/>
      </c>
      <c r="M10618" s="16" t="str">
        <f>IFERROR(__xludf.DUMMYFUNCTION("""COMPUTED_VALUE"""),"")</f>
        <v/>
      </c>
      <c r="U10618" s="16" t="s">
        <v>87</v>
      </c>
      <c r="V10618" s="16" t="str">
        <f>IFERROR(__xludf.DUMMYFUNCTION("""COMPUTED_VALUE"""),"")</f>
        <v/>
      </c>
      <c r="W10618" s="16" t="str">
        <f>IFERROR(__xludf.DUMMYFUNCTION("""COMPUTED_VALUE"""),"")</f>
        <v/>
      </c>
      <c r="X10618" s="16" t="str">
        <f>IFERROR(__xludf.DUMMYFUNCTION("""COMPUTED_VALUE"""),"")</f>
        <v/>
      </c>
      <c r="AC10618" s="16" t="str">
        <f>IFERROR(__xludf.DUMMYFUNCTION("""COMPUTED_VALUE"""),"")</f>
        <v/>
      </c>
    </row>
    <row r="10619">
      <c r="A10619" s="16" t="s">
        <v>87</v>
      </c>
      <c r="E10619" s="16" t="str">
        <f>IFERROR(__xludf.DUMMYFUNCTION("""COMPUTED_VALUE"""),"")</f>
        <v/>
      </c>
      <c r="G10619" s="18"/>
      <c r="H10619" s="16" t="s">
        <v>87</v>
      </c>
      <c r="I10619" s="16" t="s">
        <v>87</v>
      </c>
      <c r="J10619" s="19"/>
      <c r="L10619" s="16" t="str">
        <f>IFERROR(__xludf.DUMMYFUNCTION("""COMPUTED_VALUE"""),"")</f>
        <v/>
      </c>
      <c r="M10619" s="16" t="str">
        <f>IFERROR(__xludf.DUMMYFUNCTION("""COMPUTED_VALUE"""),"")</f>
        <v/>
      </c>
      <c r="U10619" s="16" t="s">
        <v>87</v>
      </c>
      <c r="V10619" s="16" t="str">
        <f>IFERROR(__xludf.DUMMYFUNCTION("""COMPUTED_VALUE"""),"")</f>
        <v/>
      </c>
      <c r="W10619" s="16" t="str">
        <f>IFERROR(__xludf.DUMMYFUNCTION("""COMPUTED_VALUE"""),"")</f>
        <v/>
      </c>
      <c r="X10619" s="16" t="str">
        <f>IFERROR(__xludf.DUMMYFUNCTION("""COMPUTED_VALUE"""),"")</f>
        <v/>
      </c>
      <c r="AC10619" s="16" t="str">
        <f>IFERROR(__xludf.DUMMYFUNCTION("""COMPUTED_VALUE"""),"")</f>
        <v/>
      </c>
    </row>
    <row r="10620">
      <c r="A10620" s="16" t="s">
        <v>87</v>
      </c>
      <c r="E10620" s="16" t="str">
        <f>IFERROR(__xludf.DUMMYFUNCTION("""COMPUTED_VALUE"""),"")</f>
        <v/>
      </c>
      <c r="G10620" s="18"/>
      <c r="H10620" s="16" t="s">
        <v>87</v>
      </c>
      <c r="I10620" s="16" t="s">
        <v>87</v>
      </c>
      <c r="J10620" s="19"/>
      <c r="L10620" s="16" t="str">
        <f>IFERROR(__xludf.DUMMYFUNCTION("""COMPUTED_VALUE"""),"")</f>
        <v/>
      </c>
      <c r="M10620" s="16" t="str">
        <f>IFERROR(__xludf.DUMMYFUNCTION("""COMPUTED_VALUE"""),"")</f>
        <v/>
      </c>
      <c r="U10620" s="16" t="s">
        <v>87</v>
      </c>
      <c r="V10620" s="16" t="str">
        <f>IFERROR(__xludf.DUMMYFUNCTION("""COMPUTED_VALUE"""),"")</f>
        <v/>
      </c>
      <c r="W10620" s="16" t="str">
        <f>IFERROR(__xludf.DUMMYFUNCTION("""COMPUTED_VALUE"""),"")</f>
        <v/>
      </c>
      <c r="X10620" s="16" t="str">
        <f>IFERROR(__xludf.DUMMYFUNCTION("""COMPUTED_VALUE"""),"")</f>
        <v/>
      </c>
      <c r="AC10620" s="16" t="str">
        <f>IFERROR(__xludf.DUMMYFUNCTION("""COMPUTED_VALUE"""),"")</f>
        <v/>
      </c>
    </row>
    <row r="10621">
      <c r="A10621" s="16" t="s">
        <v>87</v>
      </c>
      <c r="E10621" s="16" t="str">
        <f>IFERROR(__xludf.DUMMYFUNCTION("""COMPUTED_VALUE"""),"")</f>
        <v/>
      </c>
      <c r="G10621" s="18"/>
      <c r="H10621" s="16" t="s">
        <v>87</v>
      </c>
      <c r="I10621" s="16" t="s">
        <v>87</v>
      </c>
      <c r="J10621" s="19"/>
      <c r="L10621" s="16" t="str">
        <f>IFERROR(__xludf.DUMMYFUNCTION("""COMPUTED_VALUE"""),"")</f>
        <v/>
      </c>
      <c r="M10621" s="16" t="str">
        <f>IFERROR(__xludf.DUMMYFUNCTION("""COMPUTED_VALUE"""),"")</f>
        <v/>
      </c>
      <c r="U10621" s="16" t="s">
        <v>87</v>
      </c>
      <c r="V10621" s="16" t="str">
        <f>IFERROR(__xludf.DUMMYFUNCTION("""COMPUTED_VALUE"""),"")</f>
        <v/>
      </c>
      <c r="W10621" s="16" t="str">
        <f>IFERROR(__xludf.DUMMYFUNCTION("""COMPUTED_VALUE"""),"")</f>
        <v/>
      </c>
      <c r="X10621" s="16" t="str">
        <f>IFERROR(__xludf.DUMMYFUNCTION("""COMPUTED_VALUE"""),"")</f>
        <v/>
      </c>
      <c r="AC10621" s="16" t="str">
        <f>IFERROR(__xludf.DUMMYFUNCTION("""COMPUTED_VALUE"""),"")</f>
        <v/>
      </c>
    </row>
    <row r="10622">
      <c r="A10622" s="16" t="s">
        <v>87</v>
      </c>
      <c r="E10622" s="16" t="str">
        <f>IFERROR(__xludf.DUMMYFUNCTION("""COMPUTED_VALUE"""),"")</f>
        <v/>
      </c>
      <c r="G10622" s="18"/>
      <c r="H10622" s="16" t="s">
        <v>87</v>
      </c>
      <c r="I10622" s="16" t="s">
        <v>87</v>
      </c>
      <c r="J10622" s="19"/>
      <c r="L10622" s="16" t="str">
        <f>IFERROR(__xludf.DUMMYFUNCTION("""COMPUTED_VALUE"""),"")</f>
        <v/>
      </c>
      <c r="M10622" s="16" t="str">
        <f>IFERROR(__xludf.DUMMYFUNCTION("""COMPUTED_VALUE"""),"")</f>
        <v/>
      </c>
      <c r="U10622" s="16" t="s">
        <v>87</v>
      </c>
      <c r="V10622" s="16" t="str">
        <f>IFERROR(__xludf.DUMMYFUNCTION("""COMPUTED_VALUE"""),"")</f>
        <v/>
      </c>
      <c r="W10622" s="16" t="str">
        <f>IFERROR(__xludf.DUMMYFUNCTION("""COMPUTED_VALUE"""),"")</f>
        <v/>
      </c>
      <c r="X10622" s="16" t="str">
        <f>IFERROR(__xludf.DUMMYFUNCTION("""COMPUTED_VALUE"""),"")</f>
        <v/>
      </c>
      <c r="AC10622" s="16" t="str">
        <f>IFERROR(__xludf.DUMMYFUNCTION("""COMPUTED_VALUE"""),"")</f>
        <v/>
      </c>
    </row>
    <row r="10623">
      <c r="A10623" s="16" t="s">
        <v>87</v>
      </c>
      <c r="E10623" s="16" t="str">
        <f>IFERROR(__xludf.DUMMYFUNCTION("""COMPUTED_VALUE"""),"")</f>
        <v/>
      </c>
      <c r="G10623" s="18"/>
      <c r="H10623" s="16" t="s">
        <v>87</v>
      </c>
      <c r="I10623" s="16" t="s">
        <v>87</v>
      </c>
      <c r="J10623" s="19"/>
      <c r="L10623" s="16" t="str">
        <f>IFERROR(__xludf.DUMMYFUNCTION("""COMPUTED_VALUE"""),"")</f>
        <v/>
      </c>
      <c r="M10623" s="16" t="str">
        <f>IFERROR(__xludf.DUMMYFUNCTION("""COMPUTED_VALUE"""),"")</f>
        <v/>
      </c>
      <c r="U10623" s="16" t="s">
        <v>87</v>
      </c>
      <c r="V10623" s="16" t="str">
        <f>IFERROR(__xludf.DUMMYFUNCTION("""COMPUTED_VALUE"""),"")</f>
        <v/>
      </c>
      <c r="W10623" s="16" t="str">
        <f>IFERROR(__xludf.DUMMYFUNCTION("""COMPUTED_VALUE"""),"")</f>
        <v/>
      </c>
      <c r="X10623" s="16" t="str">
        <f>IFERROR(__xludf.DUMMYFUNCTION("""COMPUTED_VALUE"""),"")</f>
        <v/>
      </c>
      <c r="AC10623" s="16" t="str">
        <f>IFERROR(__xludf.DUMMYFUNCTION("""COMPUTED_VALUE"""),"")</f>
        <v/>
      </c>
    </row>
    <row r="10624">
      <c r="A10624" s="16" t="s">
        <v>87</v>
      </c>
      <c r="E10624" s="16" t="str">
        <f>IFERROR(__xludf.DUMMYFUNCTION("""COMPUTED_VALUE"""),"")</f>
        <v/>
      </c>
      <c r="G10624" s="18"/>
      <c r="H10624" s="16" t="s">
        <v>87</v>
      </c>
      <c r="I10624" s="16" t="s">
        <v>87</v>
      </c>
      <c r="J10624" s="19"/>
      <c r="L10624" s="16" t="str">
        <f>IFERROR(__xludf.DUMMYFUNCTION("""COMPUTED_VALUE"""),"")</f>
        <v/>
      </c>
      <c r="M10624" s="16" t="str">
        <f>IFERROR(__xludf.DUMMYFUNCTION("""COMPUTED_VALUE"""),"")</f>
        <v/>
      </c>
      <c r="U10624" s="16" t="s">
        <v>87</v>
      </c>
      <c r="V10624" s="16" t="str">
        <f>IFERROR(__xludf.DUMMYFUNCTION("""COMPUTED_VALUE"""),"")</f>
        <v/>
      </c>
      <c r="W10624" s="16" t="str">
        <f>IFERROR(__xludf.DUMMYFUNCTION("""COMPUTED_VALUE"""),"")</f>
        <v/>
      </c>
      <c r="X10624" s="16" t="str">
        <f>IFERROR(__xludf.DUMMYFUNCTION("""COMPUTED_VALUE"""),"")</f>
        <v/>
      </c>
      <c r="AC10624" s="16" t="str">
        <f>IFERROR(__xludf.DUMMYFUNCTION("""COMPUTED_VALUE"""),"")</f>
        <v/>
      </c>
    </row>
    <row r="10625">
      <c r="A10625" s="16" t="s">
        <v>87</v>
      </c>
      <c r="E10625" s="16" t="str">
        <f>IFERROR(__xludf.DUMMYFUNCTION("""COMPUTED_VALUE"""),"")</f>
        <v/>
      </c>
      <c r="G10625" s="18"/>
      <c r="H10625" s="16" t="s">
        <v>87</v>
      </c>
      <c r="I10625" s="16" t="s">
        <v>87</v>
      </c>
      <c r="J10625" s="19"/>
      <c r="L10625" s="16" t="str">
        <f>IFERROR(__xludf.DUMMYFUNCTION("""COMPUTED_VALUE"""),"")</f>
        <v/>
      </c>
      <c r="M10625" s="16" t="str">
        <f>IFERROR(__xludf.DUMMYFUNCTION("""COMPUTED_VALUE"""),"")</f>
        <v/>
      </c>
      <c r="U10625" s="16" t="s">
        <v>87</v>
      </c>
      <c r="V10625" s="16" t="str">
        <f>IFERROR(__xludf.DUMMYFUNCTION("""COMPUTED_VALUE"""),"")</f>
        <v/>
      </c>
      <c r="W10625" s="16" t="str">
        <f>IFERROR(__xludf.DUMMYFUNCTION("""COMPUTED_VALUE"""),"")</f>
        <v/>
      </c>
      <c r="X10625" s="16" t="str">
        <f>IFERROR(__xludf.DUMMYFUNCTION("""COMPUTED_VALUE"""),"")</f>
        <v/>
      </c>
      <c r="AC10625" s="16" t="str">
        <f>IFERROR(__xludf.DUMMYFUNCTION("""COMPUTED_VALUE"""),"")</f>
        <v/>
      </c>
    </row>
    <row r="10626">
      <c r="A10626" s="16" t="s">
        <v>87</v>
      </c>
      <c r="E10626" s="16" t="str">
        <f>IFERROR(__xludf.DUMMYFUNCTION("""COMPUTED_VALUE"""),"")</f>
        <v/>
      </c>
      <c r="G10626" s="18"/>
      <c r="H10626" s="16" t="s">
        <v>87</v>
      </c>
      <c r="I10626" s="16" t="s">
        <v>87</v>
      </c>
      <c r="J10626" s="19"/>
      <c r="L10626" s="16" t="str">
        <f>IFERROR(__xludf.DUMMYFUNCTION("""COMPUTED_VALUE"""),"")</f>
        <v/>
      </c>
      <c r="M10626" s="16" t="str">
        <f>IFERROR(__xludf.DUMMYFUNCTION("""COMPUTED_VALUE"""),"")</f>
        <v/>
      </c>
      <c r="U10626" s="16" t="s">
        <v>87</v>
      </c>
      <c r="V10626" s="16" t="str">
        <f>IFERROR(__xludf.DUMMYFUNCTION("""COMPUTED_VALUE"""),"")</f>
        <v/>
      </c>
      <c r="W10626" s="16" t="str">
        <f>IFERROR(__xludf.DUMMYFUNCTION("""COMPUTED_VALUE"""),"")</f>
        <v/>
      </c>
      <c r="X10626" s="16" t="str">
        <f>IFERROR(__xludf.DUMMYFUNCTION("""COMPUTED_VALUE"""),"")</f>
        <v/>
      </c>
      <c r="AC10626" s="16" t="str">
        <f>IFERROR(__xludf.DUMMYFUNCTION("""COMPUTED_VALUE"""),"")</f>
        <v/>
      </c>
    </row>
    <row r="10627">
      <c r="A10627" s="16" t="s">
        <v>87</v>
      </c>
      <c r="E10627" s="16" t="str">
        <f>IFERROR(__xludf.DUMMYFUNCTION("""COMPUTED_VALUE"""),"")</f>
        <v/>
      </c>
      <c r="G10627" s="18"/>
      <c r="H10627" s="16" t="s">
        <v>87</v>
      </c>
      <c r="I10627" s="16" t="s">
        <v>87</v>
      </c>
      <c r="J10627" s="19"/>
      <c r="L10627" s="16" t="str">
        <f>IFERROR(__xludf.DUMMYFUNCTION("""COMPUTED_VALUE"""),"")</f>
        <v/>
      </c>
      <c r="M10627" s="16" t="str">
        <f>IFERROR(__xludf.DUMMYFUNCTION("""COMPUTED_VALUE"""),"")</f>
        <v/>
      </c>
      <c r="U10627" s="16" t="s">
        <v>87</v>
      </c>
      <c r="V10627" s="16" t="str">
        <f>IFERROR(__xludf.DUMMYFUNCTION("""COMPUTED_VALUE"""),"")</f>
        <v/>
      </c>
      <c r="W10627" s="16" t="str">
        <f>IFERROR(__xludf.DUMMYFUNCTION("""COMPUTED_VALUE"""),"")</f>
        <v/>
      </c>
      <c r="X10627" s="16" t="str">
        <f>IFERROR(__xludf.DUMMYFUNCTION("""COMPUTED_VALUE"""),"")</f>
        <v/>
      </c>
      <c r="AC10627" s="16" t="str">
        <f>IFERROR(__xludf.DUMMYFUNCTION("""COMPUTED_VALUE"""),"")</f>
        <v/>
      </c>
    </row>
    <row r="10628">
      <c r="A10628" s="16" t="s">
        <v>87</v>
      </c>
      <c r="E10628" s="16" t="str">
        <f>IFERROR(__xludf.DUMMYFUNCTION("""COMPUTED_VALUE"""),"")</f>
        <v/>
      </c>
      <c r="G10628" s="18"/>
      <c r="H10628" s="16" t="s">
        <v>87</v>
      </c>
      <c r="I10628" s="16" t="s">
        <v>87</v>
      </c>
      <c r="J10628" s="19"/>
      <c r="L10628" s="16" t="str">
        <f>IFERROR(__xludf.DUMMYFUNCTION("""COMPUTED_VALUE"""),"")</f>
        <v/>
      </c>
      <c r="M10628" s="16" t="str">
        <f>IFERROR(__xludf.DUMMYFUNCTION("""COMPUTED_VALUE"""),"")</f>
        <v/>
      </c>
      <c r="U10628" s="16" t="s">
        <v>87</v>
      </c>
      <c r="V10628" s="16" t="str">
        <f>IFERROR(__xludf.DUMMYFUNCTION("""COMPUTED_VALUE"""),"")</f>
        <v/>
      </c>
      <c r="W10628" s="16" t="str">
        <f>IFERROR(__xludf.DUMMYFUNCTION("""COMPUTED_VALUE"""),"")</f>
        <v/>
      </c>
      <c r="X10628" s="16" t="str">
        <f>IFERROR(__xludf.DUMMYFUNCTION("""COMPUTED_VALUE"""),"")</f>
        <v/>
      </c>
      <c r="AC10628" s="16" t="str">
        <f>IFERROR(__xludf.DUMMYFUNCTION("""COMPUTED_VALUE"""),"")</f>
        <v/>
      </c>
    </row>
    <row r="10629">
      <c r="A10629" s="16" t="s">
        <v>87</v>
      </c>
      <c r="E10629" s="16" t="str">
        <f>IFERROR(__xludf.DUMMYFUNCTION("""COMPUTED_VALUE"""),"")</f>
        <v/>
      </c>
      <c r="G10629" s="18"/>
      <c r="H10629" s="16" t="s">
        <v>87</v>
      </c>
      <c r="I10629" s="16" t="s">
        <v>87</v>
      </c>
      <c r="J10629" s="19"/>
      <c r="L10629" s="16" t="str">
        <f>IFERROR(__xludf.DUMMYFUNCTION("""COMPUTED_VALUE"""),"")</f>
        <v/>
      </c>
      <c r="M10629" s="16" t="str">
        <f>IFERROR(__xludf.DUMMYFUNCTION("""COMPUTED_VALUE"""),"")</f>
        <v/>
      </c>
      <c r="U10629" s="16" t="s">
        <v>87</v>
      </c>
      <c r="V10629" s="16" t="str">
        <f>IFERROR(__xludf.DUMMYFUNCTION("""COMPUTED_VALUE"""),"")</f>
        <v/>
      </c>
      <c r="W10629" s="16" t="str">
        <f>IFERROR(__xludf.DUMMYFUNCTION("""COMPUTED_VALUE"""),"")</f>
        <v/>
      </c>
      <c r="X10629" s="16" t="str">
        <f>IFERROR(__xludf.DUMMYFUNCTION("""COMPUTED_VALUE"""),"")</f>
        <v/>
      </c>
      <c r="AC10629" s="16" t="str">
        <f>IFERROR(__xludf.DUMMYFUNCTION("""COMPUTED_VALUE"""),"")</f>
        <v/>
      </c>
    </row>
    <row r="10630">
      <c r="A10630" s="16" t="s">
        <v>87</v>
      </c>
      <c r="E10630" s="16" t="str">
        <f>IFERROR(__xludf.DUMMYFUNCTION("""COMPUTED_VALUE"""),"")</f>
        <v/>
      </c>
      <c r="G10630" s="18"/>
      <c r="H10630" s="16" t="s">
        <v>87</v>
      </c>
      <c r="I10630" s="16" t="s">
        <v>87</v>
      </c>
      <c r="J10630" s="19"/>
      <c r="L10630" s="16" t="str">
        <f>IFERROR(__xludf.DUMMYFUNCTION("""COMPUTED_VALUE"""),"")</f>
        <v/>
      </c>
      <c r="M10630" s="16" t="str">
        <f>IFERROR(__xludf.DUMMYFUNCTION("""COMPUTED_VALUE"""),"")</f>
        <v/>
      </c>
      <c r="U10630" s="16" t="s">
        <v>87</v>
      </c>
      <c r="V10630" s="16" t="str">
        <f>IFERROR(__xludf.DUMMYFUNCTION("""COMPUTED_VALUE"""),"")</f>
        <v/>
      </c>
      <c r="W10630" s="16" t="str">
        <f>IFERROR(__xludf.DUMMYFUNCTION("""COMPUTED_VALUE"""),"")</f>
        <v/>
      </c>
      <c r="X10630" s="16" t="str">
        <f>IFERROR(__xludf.DUMMYFUNCTION("""COMPUTED_VALUE"""),"")</f>
        <v/>
      </c>
      <c r="AC10630" s="16" t="str">
        <f>IFERROR(__xludf.DUMMYFUNCTION("""COMPUTED_VALUE"""),"")</f>
        <v/>
      </c>
    </row>
    <row r="10631">
      <c r="A10631" s="16" t="s">
        <v>87</v>
      </c>
      <c r="E10631" s="16" t="str">
        <f>IFERROR(__xludf.DUMMYFUNCTION("""COMPUTED_VALUE"""),"")</f>
        <v/>
      </c>
      <c r="G10631" s="18"/>
      <c r="H10631" s="16" t="s">
        <v>87</v>
      </c>
      <c r="I10631" s="16" t="s">
        <v>87</v>
      </c>
      <c r="J10631" s="19"/>
      <c r="L10631" s="16" t="str">
        <f>IFERROR(__xludf.DUMMYFUNCTION("""COMPUTED_VALUE"""),"")</f>
        <v/>
      </c>
      <c r="M10631" s="16" t="str">
        <f>IFERROR(__xludf.DUMMYFUNCTION("""COMPUTED_VALUE"""),"")</f>
        <v/>
      </c>
      <c r="U10631" s="16" t="s">
        <v>87</v>
      </c>
      <c r="V10631" s="16" t="str">
        <f>IFERROR(__xludf.DUMMYFUNCTION("""COMPUTED_VALUE"""),"")</f>
        <v/>
      </c>
      <c r="W10631" s="16" t="str">
        <f>IFERROR(__xludf.DUMMYFUNCTION("""COMPUTED_VALUE"""),"")</f>
        <v/>
      </c>
      <c r="X10631" s="16" t="str">
        <f>IFERROR(__xludf.DUMMYFUNCTION("""COMPUTED_VALUE"""),"")</f>
        <v/>
      </c>
      <c r="AC10631" s="16" t="str">
        <f>IFERROR(__xludf.DUMMYFUNCTION("""COMPUTED_VALUE"""),"")</f>
        <v/>
      </c>
    </row>
    <row r="10632">
      <c r="A10632" s="16" t="s">
        <v>87</v>
      </c>
      <c r="E10632" s="16" t="str">
        <f>IFERROR(__xludf.DUMMYFUNCTION("""COMPUTED_VALUE"""),"")</f>
        <v/>
      </c>
      <c r="G10632" s="18"/>
      <c r="H10632" s="16" t="s">
        <v>87</v>
      </c>
      <c r="I10632" s="16" t="s">
        <v>87</v>
      </c>
      <c r="J10632" s="19"/>
      <c r="L10632" s="16" t="str">
        <f>IFERROR(__xludf.DUMMYFUNCTION("""COMPUTED_VALUE"""),"")</f>
        <v/>
      </c>
      <c r="M10632" s="16" t="str">
        <f>IFERROR(__xludf.DUMMYFUNCTION("""COMPUTED_VALUE"""),"")</f>
        <v/>
      </c>
      <c r="U10632" s="16" t="s">
        <v>87</v>
      </c>
      <c r="V10632" s="16" t="str">
        <f>IFERROR(__xludf.DUMMYFUNCTION("""COMPUTED_VALUE"""),"")</f>
        <v/>
      </c>
      <c r="W10632" s="16" t="str">
        <f>IFERROR(__xludf.DUMMYFUNCTION("""COMPUTED_VALUE"""),"")</f>
        <v/>
      </c>
      <c r="X10632" s="16" t="str">
        <f>IFERROR(__xludf.DUMMYFUNCTION("""COMPUTED_VALUE"""),"")</f>
        <v/>
      </c>
      <c r="AC10632" s="16" t="str">
        <f>IFERROR(__xludf.DUMMYFUNCTION("""COMPUTED_VALUE"""),"")</f>
        <v/>
      </c>
    </row>
    <row r="10633">
      <c r="A10633" s="16" t="s">
        <v>87</v>
      </c>
      <c r="E10633" s="16" t="str">
        <f>IFERROR(__xludf.DUMMYFUNCTION("""COMPUTED_VALUE"""),"")</f>
        <v/>
      </c>
      <c r="G10633" s="18"/>
      <c r="H10633" s="16" t="s">
        <v>87</v>
      </c>
      <c r="I10633" s="16" t="s">
        <v>87</v>
      </c>
      <c r="J10633" s="19"/>
      <c r="L10633" s="16" t="str">
        <f>IFERROR(__xludf.DUMMYFUNCTION("""COMPUTED_VALUE"""),"")</f>
        <v/>
      </c>
      <c r="M10633" s="16" t="str">
        <f>IFERROR(__xludf.DUMMYFUNCTION("""COMPUTED_VALUE"""),"")</f>
        <v/>
      </c>
      <c r="U10633" s="16" t="s">
        <v>87</v>
      </c>
      <c r="V10633" s="16" t="str">
        <f>IFERROR(__xludf.DUMMYFUNCTION("""COMPUTED_VALUE"""),"")</f>
        <v/>
      </c>
      <c r="W10633" s="16" t="str">
        <f>IFERROR(__xludf.DUMMYFUNCTION("""COMPUTED_VALUE"""),"")</f>
        <v/>
      </c>
      <c r="X10633" s="16" t="str">
        <f>IFERROR(__xludf.DUMMYFUNCTION("""COMPUTED_VALUE"""),"")</f>
        <v/>
      </c>
      <c r="AC10633" s="16" t="str">
        <f>IFERROR(__xludf.DUMMYFUNCTION("""COMPUTED_VALUE"""),"")</f>
        <v/>
      </c>
    </row>
    <row r="10634">
      <c r="A10634" s="16" t="s">
        <v>87</v>
      </c>
      <c r="E10634" s="16" t="str">
        <f>IFERROR(__xludf.DUMMYFUNCTION("""COMPUTED_VALUE"""),"")</f>
        <v/>
      </c>
      <c r="G10634" s="18"/>
      <c r="H10634" s="16" t="s">
        <v>87</v>
      </c>
      <c r="I10634" s="16" t="s">
        <v>87</v>
      </c>
      <c r="J10634" s="19"/>
      <c r="L10634" s="16" t="str">
        <f>IFERROR(__xludf.DUMMYFUNCTION("""COMPUTED_VALUE"""),"")</f>
        <v/>
      </c>
      <c r="M10634" s="16" t="str">
        <f>IFERROR(__xludf.DUMMYFUNCTION("""COMPUTED_VALUE"""),"")</f>
        <v/>
      </c>
      <c r="U10634" s="16" t="s">
        <v>87</v>
      </c>
      <c r="V10634" s="16" t="str">
        <f>IFERROR(__xludf.DUMMYFUNCTION("""COMPUTED_VALUE"""),"")</f>
        <v/>
      </c>
      <c r="W10634" s="16" t="str">
        <f>IFERROR(__xludf.DUMMYFUNCTION("""COMPUTED_VALUE"""),"")</f>
        <v/>
      </c>
      <c r="X10634" s="16" t="str">
        <f>IFERROR(__xludf.DUMMYFUNCTION("""COMPUTED_VALUE"""),"")</f>
        <v/>
      </c>
      <c r="AC10634" s="16" t="str">
        <f>IFERROR(__xludf.DUMMYFUNCTION("""COMPUTED_VALUE"""),"")</f>
        <v/>
      </c>
    </row>
    <row r="10635">
      <c r="A10635" s="16" t="s">
        <v>87</v>
      </c>
      <c r="E10635" s="16" t="str">
        <f>IFERROR(__xludf.DUMMYFUNCTION("""COMPUTED_VALUE"""),"")</f>
        <v/>
      </c>
      <c r="G10635" s="18"/>
      <c r="H10635" s="16" t="s">
        <v>87</v>
      </c>
      <c r="I10635" s="16" t="s">
        <v>87</v>
      </c>
      <c r="J10635" s="19"/>
      <c r="L10635" s="16" t="str">
        <f>IFERROR(__xludf.DUMMYFUNCTION("""COMPUTED_VALUE"""),"")</f>
        <v/>
      </c>
      <c r="M10635" s="16" t="str">
        <f>IFERROR(__xludf.DUMMYFUNCTION("""COMPUTED_VALUE"""),"")</f>
        <v/>
      </c>
      <c r="U10635" s="16" t="s">
        <v>87</v>
      </c>
      <c r="V10635" s="16" t="str">
        <f>IFERROR(__xludf.DUMMYFUNCTION("""COMPUTED_VALUE"""),"")</f>
        <v/>
      </c>
      <c r="W10635" s="16" t="str">
        <f>IFERROR(__xludf.DUMMYFUNCTION("""COMPUTED_VALUE"""),"")</f>
        <v/>
      </c>
      <c r="X10635" s="16" t="str">
        <f>IFERROR(__xludf.DUMMYFUNCTION("""COMPUTED_VALUE"""),"")</f>
        <v/>
      </c>
      <c r="AC10635" s="16" t="str">
        <f>IFERROR(__xludf.DUMMYFUNCTION("""COMPUTED_VALUE"""),"")</f>
        <v/>
      </c>
    </row>
    <row r="10636">
      <c r="A10636" s="16" t="s">
        <v>87</v>
      </c>
      <c r="E10636" s="16" t="str">
        <f>IFERROR(__xludf.DUMMYFUNCTION("""COMPUTED_VALUE"""),"")</f>
        <v/>
      </c>
      <c r="G10636" s="18"/>
      <c r="H10636" s="16" t="s">
        <v>87</v>
      </c>
      <c r="I10636" s="16" t="s">
        <v>87</v>
      </c>
      <c r="J10636" s="19"/>
      <c r="L10636" s="16" t="str">
        <f>IFERROR(__xludf.DUMMYFUNCTION("""COMPUTED_VALUE"""),"")</f>
        <v/>
      </c>
      <c r="M10636" s="16" t="str">
        <f>IFERROR(__xludf.DUMMYFUNCTION("""COMPUTED_VALUE"""),"")</f>
        <v/>
      </c>
      <c r="U10636" s="16" t="s">
        <v>87</v>
      </c>
      <c r="V10636" s="16" t="str">
        <f>IFERROR(__xludf.DUMMYFUNCTION("""COMPUTED_VALUE"""),"")</f>
        <v/>
      </c>
      <c r="W10636" s="16" t="str">
        <f>IFERROR(__xludf.DUMMYFUNCTION("""COMPUTED_VALUE"""),"")</f>
        <v/>
      </c>
      <c r="X10636" s="16" t="str">
        <f>IFERROR(__xludf.DUMMYFUNCTION("""COMPUTED_VALUE"""),"")</f>
        <v/>
      </c>
      <c r="AC10636" s="16" t="str">
        <f>IFERROR(__xludf.DUMMYFUNCTION("""COMPUTED_VALUE"""),"")</f>
        <v/>
      </c>
    </row>
    <row r="10637">
      <c r="A10637" s="16" t="s">
        <v>87</v>
      </c>
      <c r="E10637" s="16" t="str">
        <f>IFERROR(__xludf.DUMMYFUNCTION("""COMPUTED_VALUE"""),"")</f>
        <v/>
      </c>
      <c r="G10637" s="18"/>
      <c r="H10637" s="16" t="s">
        <v>87</v>
      </c>
      <c r="I10637" s="16" t="s">
        <v>87</v>
      </c>
      <c r="J10637" s="19"/>
      <c r="L10637" s="16" t="str">
        <f>IFERROR(__xludf.DUMMYFUNCTION("""COMPUTED_VALUE"""),"")</f>
        <v/>
      </c>
      <c r="M10637" s="16" t="str">
        <f>IFERROR(__xludf.DUMMYFUNCTION("""COMPUTED_VALUE"""),"")</f>
        <v/>
      </c>
      <c r="U10637" s="16" t="s">
        <v>87</v>
      </c>
      <c r="V10637" s="16" t="str">
        <f>IFERROR(__xludf.DUMMYFUNCTION("""COMPUTED_VALUE"""),"")</f>
        <v/>
      </c>
      <c r="W10637" s="16" t="str">
        <f>IFERROR(__xludf.DUMMYFUNCTION("""COMPUTED_VALUE"""),"")</f>
        <v/>
      </c>
      <c r="X10637" s="16" t="str">
        <f>IFERROR(__xludf.DUMMYFUNCTION("""COMPUTED_VALUE"""),"")</f>
        <v/>
      </c>
      <c r="AC10637" s="16" t="str">
        <f>IFERROR(__xludf.DUMMYFUNCTION("""COMPUTED_VALUE"""),"")</f>
        <v/>
      </c>
    </row>
    <row r="10638">
      <c r="A10638" s="16" t="s">
        <v>87</v>
      </c>
      <c r="E10638" s="16" t="str">
        <f>IFERROR(__xludf.DUMMYFUNCTION("""COMPUTED_VALUE"""),"")</f>
        <v/>
      </c>
      <c r="G10638" s="18"/>
      <c r="H10638" s="16" t="s">
        <v>87</v>
      </c>
      <c r="I10638" s="16" t="s">
        <v>87</v>
      </c>
      <c r="J10638" s="19"/>
      <c r="L10638" s="16" t="str">
        <f>IFERROR(__xludf.DUMMYFUNCTION("""COMPUTED_VALUE"""),"")</f>
        <v/>
      </c>
      <c r="M10638" s="16" t="str">
        <f>IFERROR(__xludf.DUMMYFUNCTION("""COMPUTED_VALUE"""),"")</f>
        <v/>
      </c>
      <c r="U10638" s="16" t="s">
        <v>87</v>
      </c>
      <c r="V10638" s="16" t="str">
        <f>IFERROR(__xludf.DUMMYFUNCTION("""COMPUTED_VALUE"""),"")</f>
        <v/>
      </c>
      <c r="W10638" s="16" t="str">
        <f>IFERROR(__xludf.DUMMYFUNCTION("""COMPUTED_VALUE"""),"")</f>
        <v/>
      </c>
      <c r="X10638" s="16" t="str">
        <f>IFERROR(__xludf.DUMMYFUNCTION("""COMPUTED_VALUE"""),"")</f>
        <v/>
      </c>
      <c r="AC10638" s="16" t="str">
        <f>IFERROR(__xludf.DUMMYFUNCTION("""COMPUTED_VALUE"""),"")</f>
        <v/>
      </c>
    </row>
    <row r="10639">
      <c r="A10639" s="16" t="s">
        <v>87</v>
      </c>
      <c r="E10639" s="16" t="str">
        <f>IFERROR(__xludf.DUMMYFUNCTION("""COMPUTED_VALUE"""),"")</f>
        <v/>
      </c>
      <c r="G10639" s="18"/>
      <c r="H10639" s="16" t="s">
        <v>87</v>
      </c>
      <c r="I10639" s="16" t="s">
        <v>87</v>
      </c>
      <c r="J10639" s="19"/>
      <c r="L10639" s="16" t="str">
        <f>IFERROR(__xludf.DUMMYFUNCTION("""COMPUTED_VALUE"""),"")</f>
        <v/>
      </c>
      <c r="M10639" s="16" t="str">
        <f>IFERROR(__xludf.DUMMYFUNCTION("""COMPUTED_VALUE"""),"")</f>
        <v/>
      </c>
      <c r="U10639" s="16" t="s">
        <v>87</v>
      </c>
      <c r="V10639" s="16" t="str">
        <f>IFERROR(__xludf.DUMMYFUNCTION("""COMPUTED_VALUE"""),"")</f>
        <v/>
      </c>
      <c r="W10639" s="16" t="str">
        <f>IFERROR(__xludf.DUMMYFUNCTION("""COMPUTED_VALUE"""),"")</f>
        <v/>
      </c>
      <c r="X10639" s="16" t="str">
        <f>IFERROR(__xludf.DUMMYFUNCTION("""COMPUTED_VALUE"""),"")</f>
        <v/>
      </c>
      <c r="AC10639" s="16" t="str">
        <f>IFERROR(__xludf.DUMMYFUNCTION("""COMPUTED_VALUE"""),"")</f>
        <v/>
      </c>
    </row>
    <row r="10640">
      <c r="A10640" s="16" t="s">
        <v>87</v>
      </c>
      <c r="E10640" s="16" t="str">
        <f>IFERROR(__xludf.DUMMYFUNCTION("""COMPUTED_VALUE"""),"")</f>
        <v/>
      </c>
      <c r="G10640" s="18"/>
      <c r="H10640" s="16" t="s">
        <v>87</v>
      </c>
      <c r="I10640" s="16" t="s">
        <v>87</v>
      </c>
      <c r="J10640" s="19"/>
      <c r="L10640" s="16" t="str">
        <f>IFERROR(__xludf.DUMMYFUNCTION("""COMPUTED_VALUE"""),"")</f>
        <v/>
      </c>
      <c r="M10640" s="16" t="str">
        <f>IFERROR(__xludf.DUMMYFUNCTION("""COMPUTED_VALUE"""),"")</f>
        <v/>
      </c>
      <c r="U10640" s="16" t="s">
        <v>87</v>
      </c>
      <c r="V10640" s="16" t="str">
        <f>IFERROR(__xludf.DUMMYFUNCTION("""COMPUTED_VALUE"""),"")</f>
        <v/>
      </c>
      <c r="W10640" s="16" t="str">
        <f>IFERROR(__xludf.DUMMYFUNCTION("""COMPUTED_VALUE"""),"")</f>
        <v/>
      </c>
      <c r="X10640" s="16" t="str">
        <f>IFERROR(__xludf.DUMMYFUNCTION("""COMPUTED_VALUE"""),"")</f>
        <v/>
      </c>
      <c r="AC10640" s="16" t="str">
        <f>IFERROR(__xludf.DUMMYFUNCTION("""COMPUTED_VALUE"""),"")</f>
        <v/>
      </c>
    </row>
    <row r="10641">
      <c r="A10641" s="16" t="s">
        <v>87</v>
      </c>
      <c r="E10641" s="16" t="str">
        <f>IFERROR(__xludf.DUMMYFUNCTION("""COMPUTED_VALUE"""),"")</f>
        <v/>
      </c>
      <c r="G10641" s="18"/>
      <c r="H10641" s="16" t="s">
        <v>87</v>
      </c>
      <c r="I10641" s="16" t="s">
        <v>87</v>
      </c>
      <c r="J10641" s="19"/>
      <c r="L10641" s="16" t="str">
        <f>IFERROR(__xludf.DUMMYFUNCTION("""COMPUTED_VALUE"""),"")</f>
        <v/>
      </c>
      <c r="M10641" s="16" t="str">
        <f>IFERROR(__xludf.DUMMYFUNCTION("""COMPUTED_VALUE"""),"")</f>
        <v/>
      </c>
      <c r="U10641" s="16" t="s">
        <v>87</v>
      </c>
      <c r="V10641" s="16" t="str">
        <f>IFERROR(__xludf.DUMMYFUNCTION("""COMPUTED_VALUE"""),"")</f>
        <v/>
      </c>
      <c r="W10641" s="16" t="str">
        <f>IFERROR(__xludf.DUMMYFUNCTION("""COMPUTED_VALUE"""),"")</f>
        <v/>
      </c>
      <c r="X10641" s="16" t="str">
        <f>IFERROR(__xludf.DUMMYFUNCTION("""COMPUTED_VALUE"""),"")</f>
        <v/>
      </c>
      <c r="AC10641" s="16" t="str">
        <f>IFERROR(__xludf.DUMMYFUNCTION("""COMPUTED_VALUE"""),"")</f>
        <v/>
      </c>
    </row>
    <row r="10642">
      <c r="A10642" s="16" t="s">
        <v>87</v>
      </c>
      <c r="E10642" s="16" t="str">
        <f>IFERROR(__xludf.DUMMYFUNCTION("""COMPUTED_VALUE"""),"")</f>
        <v/>
      </c>
      <c r="G10642" s="18"/>
      <c r="H10642" s="16" t="s">
        <v>87</v>
      </c>
      <c r="I10642" s="16" t="s">
        <v>87</v>
      </c>
      <c r="J10642" s="19"/>
      <c r="L10642" s="16" t="str">
        <f>IFERROR(__xludf.DUMMYFUNCTION("""COMPUTED_VALUE"""),"")</f>
        <v/>
      </c>
      <c r="M10642" s="16" t="str">
        <f>IFERROR(__xludf.DUMMYFUNCTION("""COMPUTED_VALUE"""),"")</f>
        <v/>
      </c>
      <c r="U10642" s="16" t="s">
        <v>87</v>
      </c>
      <c r="V10642" s="16" t="str">
        <f>IFERROR(__xludf.DUMMYFUNCTION("""COMPUTED_VALUE"""),"")</f>
        <v/>
      </c>
      <c r="W10642" s="16" t="str">
        <f>IFERROR(__xludf.DUMMYFUNCTION("""COMPUTED_VALUE"""),"")</f>
        <v/>
      </c>
      <c r="X10642" s="16" t="str">
        <f>IFERROR(__xludf.DUMMYFUNCTION("""COMPUTED_VALUE"""),"")</f>
        <v/>
      </c>
      <c r="AC10642" s="16" t="str">
        <f>IFERROR(__xludf.DUMMYFUNCTION("""COMPUTED_VALUE"""),"")</f>
        <v/>
      </c>
    </row>
    <row r="10643">
      <c r="A10643" s="16" t="s">
        <v>87</v>
      </c>
      <c r="E10643" s="16" t="str">
        <f>IFERROR(__xludf.DUMMYFUNCTION("""COMPUTED_VALUE"""),"")</f>
        <v/>
      </c>
      <c r="G10643" s="18"/>
      <c r="H10643" s="16" t="s">
        <v>87</v>
      </c>
      <c r="I10643" s="16" t="s">
        <v>87</v>
      </c>
      <c r="J10643" s="19"/>
      <c r="L10643" s="16" t="str">
        <f>IFERROR(__xludf.DUMMYFUNCTION("""COMPUTED_VALUE"""),"")</f>
        <v/>
      </c>
      <c r="M10643" s="16" t="str">
        <f>IFERROR(__xludf.DUMMYFUNCTION("""COMPUTED_VALUE"""),"")</f>
        <v/>
      </c>
      <c r="U10643" s="16" t="s">
        <v>87</v>
      </c>
      <c r="V10643" s="16" t="str">
        <f>IFERROR(__xludf.DUMMYFUNCTION("""COMPUTED_VALUE"""),"")</f>
        <v/>
      </c>
      <c r="W10643" s="16" t="str">
        <f>IFERROR(__xludf.DUMMYFUNCTION("""COMPUTED_VALUE"""),"")</f>
        <v/>
      </c>
      <c r="X10643" s="16" t="str">
        <f>IFERROR(__xludf.DUMMYFUNCTION("""COMPUTED_VALUE"""),"")</f>
        <v/>
      </c>
      <c r="AC10643" s="16" t="str">
        <f>IFERROR(__xludf.DUMMYFUNCTION("""COMPUTED_VALUE"""),"")</f>
        <v/>
      </c>
    </row>
    <row r="10644">
      <c r="A10644" s="16" t="s">
        <v>87</v>
      </c>
      <c r="E10644" s="16" t="str">
        <f>IFERROR(__xludf.DUMMYFUNCTION("""COMPUTED_VALUE"""),"")</f>
        <v/>
      </c>
      <c r="G10644" s="18"/>
      <c r="H10644" s="16" t="s">
        <v>87</v>
      </c>
      <c r="I10644" s="16" t="s">
        <v>87</v>
      </c>
      <c r="J10644" s="19"/>
      <c r="L10644" s="16" t="str">
        <f>IFERROR(__xludf.DUMMYFUNCTION("""COMPUTED_VALUE"""),"")</f>
        <v/>
      </c>
      <c r="M10644" s="16" t="str">
        <f>IFERROR(__xludf.DUMMYFUNCTION("""COMPUTED_VALUE"""),"")</f>
        <v/>
      </c>
      <c r="U10644" s="16" t="s">
        <v>87</v>
      </c>
      <c r="V10644" s="16" t="str">
        <f>IFERROR(__xludf.DUMMYFUNCTION("""COMPUTED_VALUE"""),"")</f>
        <v/>
      </c>
      <c r="W10644" s="16" t="str">
        <f>IFERROR(__xludf.DUMMYFUNCTION("""COMPUTED_VALUE"""),"")</f>
        <v/>
      </c>
      <c r="X10644" s="16" t="str">
        <f>IFERROR(__xludf.DUMMYFUNCTION("""COMPUTED_VALUE"""),"")</f>
        <v/>
      </c>
      <c r="AC10644" s="16" t="str">
        <f>IFERROR(__xludf.DUMMYFUNCTION("""COMPUTED_VALUE"""),"")</f>
        <v/>
      </c>
    </row>
    <row r="10645">
      <c r="A10645" s="16" t="s">
        <v>87</v>
      </c>
      <c r="E10645" s="16" t="str">
        <f>IFERROR(__xludf.DUMMYFUNCTION("""COMPUTED_VALUE"""),"")</f>
        <v/>
      </c>
      <c r="G10645" s="18"/>
      <c r="H10645" s="16" t="s">
        <v>87</v>
      </c>
      <c r="I10645" s="16" t="s">
        <v>87</v>
      </c>
      <c r="J10645" s="19"/>
      <c r="L10645" s="16" t="str">
        <f>IFERROR(__xludf.DUMMYFUNCTION("""COMPUTED_VALUE"""),"")</f>
        <v/>
      </c>
      <c r="M10645" s="16" t="str">
        <f>IFERROR(__xludf.DUMMYFUNCTION("""COMPUTED_VALUE"""),"")</f>
        <v/>
      </c>
      <c r="U10645" s="16" t="s">
        <v>87</v>
      </c>
      <c r="V10645" s="16" t="str">
        <f>IFERROR(__xludf.DUMMYFUNCTION("""COMPUTED_VALUE"""),"")</f>
        <v/>
      </c>
      <c r="W10645" s="16" t="str">
        <f>IFERROR(__xludf.DUMMYFUNCTION("""COMPUTED_VALUE"""),"")</f>
        <v/>
      </c>
      <c r="X10645" s="16" t="str">
        <f>IFERROR(__xludf.DUMMYFUNCTION("""COMPUTED_VALUE"""),"")</f>
        <v/>
      </c>
      <c r="AC10645" s="16" t="str">
        <f>IFERROR(__xludf.DUMMYFUNCTION("""COMPUTED_VALUE"""),"")</f>
        <v/>
      </c>
    </row>
    <row r="10646">
      <c r="A10646" s="16" t="s">
        <v>87</v>
      </c>
      <c r="E10646" s="16" t="str">
        <f>IFERROR(__xludf.DUMMYFUNCTION("""COMPUTED_VALUE"""),"")</f>
        <v/>
      </c>
      <c r="G10646" s="18"/>
      <c r="H10646" s="16" t="s">
        <v>87</v>
      </c>
      <c r="I10646" s="16" t="s">
        <v>87</v>
      </c>
      <c r="J10646" s="19"/>
      <c r="L10646" s="16" t="str">
        <f>IFERROR(__xludf.DUMMYFUNCTION("""COMPUTED_VALUE"""),"")</f>
        <v/>
      </c>
      <c r="M10646" s="16" t="str">
        <f>IFERROR(__xludf.DUMMYFUNCTION("""COMPUTED_VALUE"""),"")</f>
        <v/>
      </c>
      <c r="U10646" s="16" t="s">
        <v>87</v>
      </c>
      <c r="V10646" s="16" t="str">
        <f>IFERROR(__xludf.DUMMYFUNCTION("""COMPUTED_VALUE"""),"")</f>
        <v/>
      </c>
      <c r="W10646" s="16" t="str">
        <f>IFERROR(__xludf.DUMMYFUNCTION("""COMPUTED_VALUE"""),"")</f>
        <v/>
      </c>
      <c r="X10646" s="16" t="str">
        <f>IFERROR(__xludf.DUMMYFUNCTION("""COMPUTED_VALUE"""),"")</f>
        <v/>
      </c>
      <c r="AC10646" s="16" t="str">
        <f>IFERROR(__xludf.DUMMYFUNCTION("""COMPUTED_VALUE"""),"")</f>
        <v/>
      </c>
    </row>
    <row r="10647">
      <c r="A10647" s="16" t="s">
        <v>87</v>
      </c>
      <c r="E10647" s="16" t="str">
        <f>IFERROR(__xludf.DUMMYFUNCTION("""COMPUTED_VALUE"""),"")</f>
        <v/>
      </c>
      <c r="G10647" s="18"/>
      <c r="H10647" s="16" t="s">
        <v>87</v>
      </c>
      <c r="I10647" s="16" t="s">
        <v>87</v>
      </c>
      <c r="J10647" s="19"/>
      <c r="L10647" s="16" t="str">
        <f>IFERROR(__xludf.DUMMYFUNCTION("""COMPUTED_VALUE"""),"")</f>
        <v/>
      </c>
      <c r="M10647" s="16" t="str">
        <f>IFERROR(__xludf.DUMMYFUNCTION("""COMPUTED_VALUE"""),"")</f>
        <v/>
      </c>
      <c r="U10647" s="16" t="s">
        <v>87</v>
      </c>
      <c r="V10647" s="16" t="str">
        <f>IFERROR(__xludf.DUMMYFUNCTION("""COMPUTED_VALUE"""),"")</f>
        <v/>
      </c>
      <c r="W10647" s="16" t="str">
        <f>IFERROR(__xludf.DUMMYFUNCTION("""COMPUTED_VALUE"""),"")</f>
        <v/>
      </c>
      <c r="X10647" s="16" t="str">
        <f>IFERROR(__xludf.DUMMYFUNCTION("""COMPUTED_VALUE"""),"")</f>
        <v/>
      </c>
      <c r="AC10647" s="16" t="str">
        <f>IFERROR(__xludf.DUMMYFUNCTION("""COMPUTED_VALUE"""),"")</f>
        <v/>
      </c>
    </row>
    <row r="10648">
      <c r="A10648" s="16" t="s">
        <v>87</v>
      </c>
      <c r="E10648" s="16" t="str">
        <f>IFERROR(__xludf.DUMMYFUNCTION("""COMPUTED_VALUE"""),"")</f>
        <v/>
      </c>
      <c r="G10648" s="18"/>
      <c r="H10648" s="16" t="s">
        <v>87</v>
      </c>
      <c r="I10648" s="16" t="s">
        <v>87</v>
      </c>
      <c r="J10648" s="19"/>
      <c r="L10648" s="16" t="str">
        <f>IFERROR(__xludf.DUMMYFUNCTION("""COMPUTED_VALUE"""),"")</f>
        <v/>
      </c>
      <c r="M10648" s="16" t="str">
        <f>IFERROR(__xludf.DUMMYFUNCTION("""COMPUTED_VALUE"""),"")</f>
        <v/>
      </c>
      <c r="U10648" s="16" t="s">
        <v>87</v>
      </c>
      <c r="V10648" s="16" t="str">
        <f>IFERROR(__xludf.DUMMYFUNCTION("""COMPUTED_VALUE"""),"")</f>
        <v/>
      </c>
      <c r="W10648" s="16" t="str">
        <f>IFERROR(__xludf.DUMMYFUNCTION("""COMPUTED_VALUE"""),"")</f>
        <v/>
      </c>
      <c r="X10648" s="16" t="str">
        <f>IFERROR(__xludf.DUMMYFUNCTION("""COMPUTED_VALUE"""),"")</f>
        <v/>
      </c>
      <c r="AC10648" s="16" t="str">
        <f>IFERROR(__xludf.DUMMYFUNCTION("""COMPUTED_VALUE"""),"")</f>
        <v/>
      </c>
    </row>
    <row r="10649">
      <c r="A10649" s="16" t="s">
        <v>87</v>
      </c>
      <c r="E10649" s="16" t="str">
        <f>IFERROR(__xludf.DUMMYFUNCTION("""COMPUTED_VALUE"""),"")</f>
        <v/>
      </c>
      <c r="G10649" s="18"/>
      <c r="H10649" s="16" t="s">
        <v>87</v>
      </c>
      <c r="I10649" s="16" t="s">
        <v>87</v>
      </c>
      <c r="J10649" s="19"/>
      <c r="L10649" s="16" t="str">
        <f>IFERROR(__xludf.DUMMYFUNCTION("""COMPUTED_VALUE"""),"")</f>
        <v/>
      </c>
      <c r="M10649" s="16" t="str">
        <f>IFERROR(__xludf.DUMMYFUNCTION("""COMPUTED_VALUE"""),"")</f>
        <v/>
      </c>
      <c r="U10649" s="16" t="s">
        <v>87</v>
      </c>
      <c r="V10649" s="16" t="str">
        <f>IFERROR(__xludf.DUMMYFUNCTION("""COMPUTED_VALUE"""),"")</f>
        <v/>
      </c>
      <c r="W10649" s="16" t="str">
        <f>IFERROR(__xludf.DUMMYFUNCTION("""COMPUTED_VALUE"""),"")</f>
        <v/>
      </c>
      <c r="X10649" s="16" t="str">
        <f>IFERROR(__xludf.DUMMYFUNCTION("""COMPUTED_VALUE"""),"")</f>
        <v/>
      </c>
      <c r="AC10649" s="16" t="str">
        <f>IFERROR(__xludf.DUMMYFUNCTION("""COMPUTED_VALUE"""),"")</f>
        <v/>
      </c>
    </row>
    <row r="10650">
      <c r="A10650" s="16" t="s">
        <v>87</v>
      </c>
      <c r="E10650" s="16" t="str">
        <f>IFERROR(__xludf.DUMMYFUNCTION("""COMPUTED_VALUE"""),"")</f>
        <v/>
      </c>
      <c r="G10650" s="18"/>
      <c r="H10650" s="16" t="s">
        <v>87</v>
      </c>
      <c r="I10650" s="16" t="s">
        <v>87</v>
      </c>
      <c r="J10650" s="19"/>
      <c r="L10650" s="16" t="str">
        <f>IFERROR(__xludf.DUMMYFUNCTION("""COMPUTED_VALUE"""),"")</f>
        <v/>
      </c>
      <c r="M10650" s="16" t="str">
        <f>IFERROR(__xludf.DUMMYFUNCTION("""COMPUTED_VALUE"""),"")</f>
        <v/>
      </c>
      <c r="U10650" s="16" t="s">
        <v>87</v>
      </c>
      <c r="V10650" s="16" t="str">
        <f>IFERROR(__xludf.DUMMYFUNCTION("""COMPUTED_VALUE"""),"")</f>
        <v/>
      </c>
      <c r="W10650" s="16" t="str">
        <f>IFERROR(__xludf.DUMMYFUNCTION("""COMPUTED_VALUE"""),"")</f>
        <v/>
      </c>
      <c r="X10650" s="16" t="str">
        <f>IFERROR(__xludf.DUMMYFUNCTION("""COMPUTED_VALUE"""),"")</f>
        <v/>
      </c>
      <c r="AC10650" s="16" t="str">
        <f>IFERROR(__xludf.DUMMYFUNCTION("""COMPUTED_VALUE"""),"")</f>
        <v/>
      </c>
    </row>
    <row r="10651">
      <c r="A10651" s="16" t="s">
        <v>87</v>
      </c>
      <c r="E10651" s="16" t="str">
        <f>IFERROR(__xludf.DUMMYFUNCTION("""COMPUTED_VALUE"""),"")</f>
        <v/>
      </c>
      <c r="G10651" s="18"/>
      <c r="H10651" s="16" t="s">
        <v>87</v>
      </c>
      <c r="I10651" s="16" t="s">
        <v>87</v>
      </c>
      <c r="J10651" s="19"/>
      <c r="L10651" s="16" t="str">
        <f>IFERROR(__xludf.DUMMYFUNCTION("""COMPUTED_VALUE"""),"")</f>
        <v/>
      </c>
      <c r="M10651" s="16" t="str">
        <f>IFERROR(__xludf.DUMMYFUNCTION("""COMPUTED_VALUE"""),"")</f>
        <v/>
      </c>
      <c r="U10651" s="16" t="s">
        <v>87</v>
      </c>
      <c r="V10651" s="16" t="str">
        <f>IFERROR(__xludf.DUMMYFUNCTION("""COMPUTED_VALUE"""),"")</f>
        <v/>
      </c>
      <c r="W10651" s="16" t="str">
        <f>IFERROR(__xludf.DUMMYFUNCTION("""COMPUTED_VALUE"""),"")</f>
        <v/>
      </c>
      <c r="X10651" s="16" t="str">
        <f>IFERROR(__xludf.DUMMYFUNCTION("""COMPUTED_VALUE"""),"")</f>
        <v/>
      </c>
      <c r="AC10651" s="16" t="str">
        <f>IFERROR(__xludf.DUMMYFUNCTION("""COMPUTED_VALUE"""),"")</f>
        <v/>
      </c>
    </row>
    <row r="10652">
      <c r="A10652" s="16" t="s">
        <v>87</v>
      </c>
      <c r="E10652" s="16" t="str">
        <f>IFERROR(__xludf.DUMMYFUNCTION("""COMPUTED_VALUE"""),"")</f>
        <v/>
      </c>
      <c r="G10652" s="18"/>
      <c r="H10652" s="16" t="s">
        <v>87</v>
      </c>
      <c r="I10652" s="16" t="s">
        <v>87</v>
      </c>
      <c r="J10652" s="19"/>
      <c r="L10652" s="16" t="str">
        <f>IFERROR(__xludf.DUMMYFUNCTION("""COMPUTED_VALUE"""),"")</f>
        <v/>
      </c>
      <c r="M10652" s="16" t="str">
        <f>IFERROR(__xludf.DUMMYFUNCTION("""COMPUTED_VALUE"""),"")</f>
        <v/>
      </c>
      <c r="U10652" s="16" t="s">
        <v>87</v>
      </c>
      <c r="V10652" s="16" t="str">
        <f>IFERROR(__xludf.DUMMYFUNCTION("""COMPUTED_VALUE"""),"")</f>
        <v/>
      </c>
      <c r="W10652" s="16" t="str">
        <f>IFERROR(__xludf.DUMMYFUNCTION("""COMPUTED_VALUE"""),"")</f>
        <v/>
      </c>
      <c r="X10652" s="16" t="str">
        <f>IFERROR(__xludf.DUMMYFUNCTION("""COMPUTED_VALUE"""),"")</f>
        <v/>
      </c>
      <c r="AC10652" s="16" t="str">
        <f>IFERROR(__xludf.DUMMYFUNCTION("""COMPUTED_VALUE"""),"")</f>
        <v/>
      </c>
    </row>
    <row r="10653">
      <c r="A10653" s="16" t="s">
        <v>87</v>
      </c>
      <c r="E10653" s="16" t="str">
        <f>IFERROR(__xludf.DUMMYFUNCTION("""COMPUTED_VALUE"""),"")</f>
        <v/>
      </c>
      <c r="G10653" s="18"/>
      <c r="H10653" s="16" t="s">
        <v>87</v>
      </c>
      <c r="I10653" s="16" t="s">
        <v>87</v>
      </c>
      <c r="J10653" s="19"/>
      <c r="L10653" s="16" t="str">
        <f>IFERROR(__xludf.DUMMYFUNCTION("""COMPUTED_VALUE"""),"")</f>
        <v/>
      </c>
      <c r="M10653" s="16" t="str">
        <f>IFERROR(__xludf.DUMMYFUNCTION("""COMPUTED_VALUE"""),"")</f>
        <v/>
      </c>
      <c r="U10653" s="16" t="s">
        <v>87</v>
      </c>
      <c r="V10653" s="16" t="str">
        <f>IFERROR(__xludf.DUMMYFUNCTION("""COMPUTED_VALUE"""),"")</f>
        <v/>
      </c>
      <c r="W10653" s="16" t="str">
        <f>IFERROR(__xludf.DUMMYFUNCTION("""COMPUTED_VALUE"""),"")</f>
        <v/>
      </c>
      <c r="X10653" s="16" t="str">
        <f>IFERROR(__xludf.DUMMYFUNCTION("""COMPUTED_VALUE"""),"")</f>
        <v/>
      </c>
      <c r="AC10653" s="16" t="str">
        <f>IFERROR(__xludf.DUMMYFUNCTION("""COMPUTED_VALUE"""),"")</f>
        <v/>
      </c>
    </row>
    <row r="10654">
      <c r="A10654" s="16" t="s">
        <v>87</v>
      </c>
      <c r="E10654" s="16" t="str">
        <f>IFERROR(__xludf.DUMMYFUNCTION("""COMPUTED_VALUE"""),"")</f>
        <v/>
      </c>
      <c r="G10654" s="18"/>
      <c r="H10654" s="16" t="s">
        <v>87</v>
      </c>
      <c r="I10654" s="16" t="s">
        <v>87</v>
      </c>
      <c r="J10654" s="19"/>
      <c r="L10654" s="16" t="str">
        <f>IFERROR(__xludf.DUMMYFUNCTION("""COMPUTED_VALUE"""),"")</f>
        <v/>
      </c>
      <c r="M10654" s="16" t="str">
        <f>IFERROR(__xludf.DUMMYFUNCTION("""COMPUTED_VALUE"""),"")</f>
        <v/>
      </c>
      <c r="U10654" s="16" t="s">
        <v>87</v>
      </c>
      <c r="V10654" s="16" t="str">
        <f>IFERROR(__xludf.DUMMYFUNCTION("""COMPUTED_VALUE"""),"")</f>
        <v/>
      </c>
      <c r="W10654" s="16" t="str">
        <f>IFERROR(__xludf.DUMMYFUNCTION("""COMPUTED_VALUE"""),"")</f>
        <v/>
      </c>
      <c r="X10654" s="16" t="str">
        <f>IFERROR(__xludf.DUMMYFUNCTION("""COMPUTED_VALUE"""),"")</f>
        <v/>
      </c>
      <c r="AC10654" s="16" t="str">
        <f>IFERROR(__xludf.DUMMYFUNCTION("""COMPUTED_VALUE"""),"")</f>
        <v/>
      </c>
    </row>
    <row r="10655">
      <c r="A10655" s="16" t="s">
        <v>87</v>
      </c>
      <c r="E10655" s="16" t="str">
        <f>IFERROR(__xludf.DUMMYFUNCTION("""COMPUTED_VALUE"""),"")</f>
        <v/>
      </c>
      <c r="G10655" s="18"/>
      <c r="H10655" s="16" t="s">
        <v>87</v>
      </c>
      <c r="I10655" s="16" t="s">
        <v>87</v>
      </c>
      <c r="J10655" s="19"/>
      <c r="L10655" s="16" t="str">
        <f>IFERROR(__xludf.DUMMYFUNCTION("""COMPUTED_VALUE"""),"")</f>
        <v/>
      </c>
      <c r="M10655" s="16" t="str">
        <f>IFERROR(__xludf.DUMMYFUNCTION("""COMPUTED_VALUE"""),"")</f>
        <v/>
      </c>
      <c r="U10655" s="16" t="s">
        <v>87</v>
      </c>
      <c r="V10655" s="16" t="str">
        <f>IFERROR(__xludf.DUMMYFUNCTION("""COMPUTED_VALUE"""),"")</f>
        <v/>
      </c>
      <c r="W10655" s="16" t="str">
        <f>IFERROR(__xludf.DUMMYFUNCTION("""COMPUTED_VALUE"""),"")</f>
        <v/>
      </c>
      <c r="X10655" s="16" t="str">
        <f>IFERROR(__xludf.DUMMYFUNCTION("""COMPUTED_VALUE"""),"")</f>
        <v/>
      </c>
      <c r="AC10655" s="16" t="str">
        <f>IFERROR(__xludf.DUMMYFUNCTION("""COMPUTED_VALUE"""),"")</f>
        <v/>
      </c>
    </row>
    <row r="10656">
      <c r="A10656" s="16" t="s">
        <v>87</v>
      </c>
      <c r="E10656" s="16" t="str">
        <f>IFERROR(__xludf.DUMMYFUNCTION("""COMPUTED_VALUE"""),"")</f>
        <v/>
      </c>
      <c r="G10656" s="18"/>
      <c r="H10656" s="16" t="s">
        <v>87</v>
      </c>
      <c r="I10656" s="16" t="s">
        <v>87</v>
      </c>
      <c r="J10656" s="19"/>
      <c r="L10656" s="16" t="str">
        <f>IFERROR(__xludf.DUMMYFUNCTION("""COMPUTED_VALUE"""),"")</f>
        <v/>
      </c>
      <c r="M10656" s="16" t="str">
        <f>IFERROR(__xludf.DUMMYFUNCTION("""COMPUTED_VALUE"""),"")</f>
        <v/>
      </c>
      <c r="U10656" s="16" t="s">
        <v>87</v>
      </c>
      <c r="V10656" s="16" t="str">
        <f>IFERROR(__xludf.DUMMYFUNCTION("""COMPUTED_VALUE"""),"")</f>
        <v/>
      </c>
      <c r="W10656" s="16" t="str">
        <f>IFERROR(__xludf.DUMMYFUNCTION("""COMPUTED_VALUE"""),"")</f>
        <v/>
      </c>
      <c r="X10656" s="16" t="str">
        <f>IFERROR(__xludf.DUMMYFUNCTION("""COMPUTED_VALUE"""),"")</f>
        <v/>
      </c>
      <c r="AC10656" s="16" t="str">
        <f>IFERROR(__xludf.DUMMYFUNCTION("""COMPUTED_VALUE"""),"")</f>
        <v/>
      </c>
    </row>
    <row r="10657">
      <c r="A10657" s="16" t="s">
        <v>87</v>
      </c>
      <c r="E10657" s="16" t="str">
        <f>IFERROR(__xludf.DUMMYFUNCTION("""COMPUTED_VALUE"""),"")</f>
        <v/>
      </c>
      <c r="G10657" s="18"/>
      <c r="H10657" s="16" t="s">
        <v>87</v>
      </c>
      <c r="I10657" s="16" t="s">
        <v>87</v>
      </c>
      <c r="J10657" s="19"/>
      <c r="L10657" s="16" t="str">
        <f>IFERROR(__xludf.DUMMYFUNCTION("""COMPUTED_VALUE"""),"")</f>
        <v/>
      </c>
      <c r="M10657" s="16" t="str">
        <f>IFERROR(__xludf.DUMMYFUNCTION("""COMPUTED_VALUE"""),"")</f>
        <v/>
      </c>
      <c r="U10657" s="16" t="s">
        <v>87</v>
      </c>
      <c r="V10657" s="16" t="str">
        <f>IFERROR(__xludf.DUMMYFUNCTION("""COMPUTED_VALUE"""),"")</f>
        <v/>
      </c>
      <c r="W10657" s="16" t="str">
        <f>IFERROR(__xludf.DUMMYFUNCTION("""COMPUTED_VALUE"""),"")</f>
        <v/>
      </c>
      <c r="X10657" s="16" t="str">
        <f>IFERROR(__xludf.DUMMYFUNCTION("""COMPUTED_VALUE"""),"")</f>
        <v/>
      </c>
      <c r="AC10657" s="16" t="str">
        <f>IFERROR(__xludf.DUMMYFUNCTION("""COMPUTED_VALUE"""),"")</f>
        <v/>
      </c>
    </row>
    <row r="10658">
      <c r="A10658" s="16" t="s">
        <v>87</v>
      </c>
      <c r="E10658" s="16" t="str">
        <f>IFERROR(__xludf.DUMMYFUNCTION("""COMPUTED_VALUE"""),"")</f>
        <v/>
      </c>
      <c r="G10658" s="18"/>
      <c r="H10658" s="16" t="s">
        <v>87</v>
      </c>
      <c r="I10658" s="16" t="s">
        <v>87</v>
      </c>
      <c r="J10658" s="19"/>
      <c r="L10658" s="16" t="str">
        <f>IFERROR(__xludf.DUMMYFUNCTION("""COMPUTED_VALUE"""),"")</f>
        <v/>
      </c>
      <c r="M10658" s="16" t="str">
        <f>IFERROR(__xludf.DUMMYFUNCTION("""COMPUTED_VALUE"""),"")</f>
        <v/>
      </c>
      <c r="U10658" s="16" t="s">
        <v>87</v>
      </c>
      <c r="V10658" s="16" t="str">
        <f>IFERROR(__xludf.DUMMYFUNCTION("""COMPUTED_VALUE"""),"")</f>
        <v/>
      </c>
      <c r="W10658" s="16" t="str">
        <f>IFERROR(__xludf.DUMMYFUNCTION("""COMPUTED_VALUE"""),"")</f>
        <v/>
      </c>
      <c r="X10658" s="16" t="str">
        <f>IFERROR(__xludf.DUMMYFUNCTION("""COMPUTED_VALUE"""),"")</f>
        <v/>
      </c>
      <c r="AC10658" s="16" t="str">
        <f>IFERROR(__xludf.DUMMYFUNCTION("""COMPUTED_VALUE"""),"")</f>
        <v/>
      </c>
    </row>
    <row r="10659">
      <c r="A10659" s="16" t="s">
        <v>87</v>
      </c>
      <c r="E10659" s="16" t="str">
        <f>IFERROR(__xludf.DUMMYFUNCTION("""COMPUTED_VALUE"""),"")</f>
        <v/>
      </c>
      <c r="G10659" s="18"/>
      <c r="H10659" s="16" t="s">
        <v>87</v>
      </c>
      <c r="I10659" s="16" t="s">
        <v>87</v>
      </c>
      <c r="J10659" s="19"/>
      <c r="L10659" s="16" t="str">
        <f>IFERROR(__xludf.DUMMYFUNCTION("""COMPUTED_VALUE"""),"")</f>
        <v/>
      </c>
      <c r="M10659" s="16" t="str">
        <f>IFERROR(__xludf.DUMMYFUNCTION("""COMPUTED_VALUE"""),"")</f>
        <v/>
      </c>
      <c r="U10659" s="16" t="s">
        <v>87</v>
      </c>
      <c r="V10659" s="16" t="str">
        <f>IFERROR(__xludf.DUMMYFUNCTION("""COMPUTED_VALUE"""),"")</f>
        <v/>
      </c>
      <c r="W10659" s="16" t="str">
        <f>IFERROR(__xludf.DUMMYFUNCTION("""COMPUTED_VALUE"""),"")</f>
        <v/>
      </c>
      <c r="X10659" s="16" t="str">
        <f>IFERROR(__xludf.DUMMYFUNCTION("""COMPUTED_VALUE"""),"")</f>
        <v/>
      </c>
      <c r="AC10659" s="16" t="str">
        <f>IFERROR(__xludf.DUMMYFUNCTION("""COMPUTED_VALUE"""),"")</f>
        <v/>
      </c>
    </row>
    <row r="10660">
      <c r="A10660" s="16" t="s">
        <v>87</v>
      </c>
      <c r="E10660" s="16" t="str">
        <f>IFERROR(__xludf.DUMMYFUNCTION("""COMPUTED_VALUE"""),"")</f>
        <v/>
      </c>
      <c r="G10660" s="18"/>
      <c r="H10660" s="16" t="s">
        <v>87</v>
      </c>
      <c r="I10660" s="16" t="s">
        <v>87</v>
      </c>
      <c r="J10660" s="19"/>
      <c r="L10660" s="16" t="str">
        <f>IFERROR(__xludf.DUMMYFUNCTION("""COMPUTED_VALUE"""),"")</f>
        <v/>
      </c>
      <c r="M10660" s="16" t="str">
        <f>IFERROR(__xludf.DUMMYFUNCTION("""COMPUTED_VALUE"""),"")</f>
        <v/>
      </c>
      <c r="U10660" s="16" t="s">
        <v>87</v>
      </c>
      <c r="V10660" s="16" t="str">
        <f>IFERROR(__xludf.DUMMYFUNCTION("""COMPUTED_VALUE"""),"")</f>
        <v/>
      </c>
      <c r="W10660" s="16" t="str">
        <f>IFERROR(__xludf.DUMMYFUNCTION("""COMPUTED_VALUE"""),"")</f>
        <v/>
      </c>
      <c r="X10660" s="16" t="str">
        <f>IFERROR(__xludf.DUMMYFUNCTION("""COMPUTED_VALUE"""),"")</f>
        <v/>
      </c>
      <c r="AC10660" s="16" t="str">
        <f>IFERROR(__xludf.DUMMYFUNCTION("""COMPUTED_VALUE"""),"")</f>
        <v/>
      </c>
    </row>
    <row r="10661">
      <c r="A10661" s="16" t="s">
        <v>87</v>
      </c>
      <c r="E10661" s="16" t="str">
        <f>IFERROR(__xludf.DUMMYFUNCTION("""COMPUTED_VALUE"""),"")</f>
        <v/>
      </c>
      <c r="G10661" s="18"/>
      <c r="H10661" s="16" t="s">
        <v>87</v>
      </c>
      <c r="I10661" s="16" t="s">
        <v>87</v>
      </c>
      <c r="J10661" s="19"/>
      <c r="L10661" s="16" t="str">
        <f>IFERROR(__xludf.DUMMYFUNCTION("""COMPUTED_VALUE"""),"")</f>
        <v/>
      </c>
      <c r="M10661" s="16" t="str">
        <f>IFERROR(__xludf.DUMMYFUNCTION("""COMPUTED_VALUE"""),"")</f>
        <v/>
      </c>
      <c r="U10661" s="16" t="s">
        <v>87</v>
      </c>
      <c r="V10661" s="16" t="str">
        <f>IFERROR(__xludf.DUMMYFUNCTION("""COMPUTED_VALUE"""),"")</f>
        <v/>
      </c>
      <c r="W10661" s="16" t="str">
        <f>IFERROR(__xludf.DUMMYFUNCTION("""COMPUTED_VALUE"""),"")</f>
        <v/>
      </c>
      <c r="X10661" s="16" t="str">
        <f>IFERROR(__xludf.DUMMYFUNCTION("""COMPUTED_VALUE"""),"")</f>
        <v/>
      </c>
      <c r="AC10661" s="16" t="str">
        <f>IFERROR(__xludf.DUMMYFUNCTION("""COMPUTED_VALUE"""),"")</f>
        <v/>
      </c>
    </row>
    <row r="10662">
      <c r="A10662" s="16" t="s">
        <v>87</v>
      </c>
      <c r="E10662" s="16" t="str">
        <f>IFERROR(__xludf.DUMMYFUNCTION("""COMPUTED_VALUE"""),"")</f>
        <v/>
      </c>
      <c r="G10662" s="18"/>
      <c r="H10662" s="16" t="s">
        <v>87</v>
      </c>
      <c r="I10662" s="16" t="s">
        <v>87</v>
      </c>
      <c r="J10662" s="19"/>
      <c r="L10662" s="16" t="str">
        <f>IFERROR(__xludf.DUMMYFUNCTION("""COMPUTED_VALUE"""),"")</f>
        <v/>
      </c>
      <c r="M10662" s="16" t="str">
        <f>IFERROR(__xludf.DUMMYFUNCTION("""COMPUTED_VALUE"""),"")</f>
        <v/>
      </c>
      <c r="U10662" s="16" t="s">
        <v>87</v>
      </c>
      <c r="V10662" s="16" t="str">
        <f>IFERROR(__xludf.DUMMYFUNCTION("""COMPUTED_VALUE"""),"")</f>
        <v/>
      </c>
      <c r="W10662" s="16" t="str">
        <f>IFERROR(__xludf.DUMMYFUNCTION("""COMPUTED_VALUE"""),"")</f>
        <v/>
      </c>
      <c r="X10662" s="16" t="str">
        <f>IFERROR(__xludf.DUMMYFUNCTION("""COMPUTED_VALUE"""),"")</f>
        <v/>
      </c>
      <c r="AC10662" s="16" t="str">
        <f>IFERROR(__xludf.DUMMYFUNCTION("""COMPUTED_VALUE"""),"")</f>
        <v/>
      </c>
    </row>
    <row r="10663">
      <c r="A10663" s="16" t="s">
        <v>87</v>
      </c>
      <c r="E10663" s="16" t="str">
        <f>IFERROR(__xludf.DUMMYFUNCTION("""COMPUTED_VALUE"""),"")</f>
        <v/>
      </c>
      <c r="G10663" s="18"/>
      <c r="H10663" s="16" t="s">
        <v>87</v>
      </c>
      <c r="I10663" s="16" t="s">
        <v>87</v>
      </c>
      <c r="J10663" s="19"/>
      <c r="L10663" s="16" t="str">
        <f>IFERROR(__xludf.DUMMYFUNCTION("""COMPUTED_VALUE"""),"")</f>
        <v/>
      </c>
      <c r="M10663" s="16" t="str">
        <f>IFERROR(__xludf.DUMMYFUNCTION("""COMPUTED_VALUE"""),"")</f>
        <v/>
      </c>
      <c r="U10663" s="16" t="s">
        <v>87</v>
      </c>
      <c r="V10663" s="16" t="str">
        <f>IFERROR(__xludf.DUMMYFUNCTION("""COMPUTED_VALUE"""),"")</f>
        <v/>
      </c>
      <c r="W10663" s="16" t="str">
        <f>IFERROR(__xludf.DUMMYFUNCTION("""COMPUTED_VALUE"""),"")</f>
        <v/>
      </c>
      <c r="X10663" s="16" t="str">
        <f>IFERROR(__xludf.DUMMYFUNCTION("""COMPUTED_VALUE"""),"")</f>
        <v/>
      </c>
      <c r="AC10663" s="16" t="str">
        <f>IFERROR(__xludf.DUMMYFUNCTION("""COMPUTED_VALUE"""),"")</f>
        <v/>
      </c>
    </row>
    <row r="10664">
      <c r="A10664" s="16" t="s">
        <v>87</v>
      </c>
      <c r="E10664" s="16" t="str">
        <f>IFERROR(__xludf.DUMMYFUNCTION("""COMPUTED_VALUE"""),"")</f>
        <v/>
      </c>
      <c r="G10664" s="18"/>
      <c r="H10664" s="16" t="s">
        <v>87</v>
      </c>
      <c r="I10664" s="16" t="s">
        <v>87</v>
      </c>
      <c r="J10664" s="19"/>
      <c r="L10664" s="16" t="str">
        <f>IFERROR(__xludf.DUMMYFUNCTION("""COMPUTED_VALUE"""),"")</f>
        <v/>
      </c>
      <c r="M10664" s="16" t="str">
        <f>IFERROR(__xludf.DUMMYFUNCTION("""COMPUTED_VALUE"""),"")</f>
        <v/>
      </c>
      <c r="U10664" s="16" t="s">
        <v>87</v>
      </c>
      <c r="V10664" s="16" t="str">
        <f>IFERROR(__xludf.DUMMYFUNCTION("""COMPUTED_VALUE"""),"")</f>
        <v/>
      </c>
      <c r="W10664" s="16" t="str">
        <f>IFERROR(__xludf.DUMMYFUNCTION("""COMPUTED_VALUE"""),"")</f>
        <v/>
      </c>
      <c r="X10664" s="16" t="str">
        <f>IFERROR(__xludf.DUMMYFUNCTION("""COMPUTED_VALUE"""),"")</f>
        <v/>
      </c>
      <c r="AC10664" s="16" t="str">
        <f>IFERROR(__xludf.DUMMYFUNCTION("""COMPUTED_VALUE"""),"")</f>
        <v/>
      </c>
    </row>
    <row r="10665">
      <c r="A10665" s="16" t="s">
        <v>87</v>
      </c>
      <c r="E10665" s="16" t="str">
        <f>IFERROR(__xludf.DUMMYFUNCTION("""COMPUTED_VALUE"""),"")</f>
        <v/>
      </c>
      <c r="G10665" s="18"/>
      <c r="H10665" s="16" t="s">
        <v>87</v>
      </c>
      <c r="I10665" s="16" t="s">
        <v>87</v>
      </c>
      <c r="J10665" s="19"/>
      <c r="L10665" s="16" t="str">
        <f>IFERROR(__xludf.DUMMYFUNCTION("""COMPUTED_VALUE"""),"")</f>
        <v/>
      </c>
      <c r="M10665" s="16" t="str">
        <f>IFERROR(__xludf.DUMMYFUNCTION("""COMPUTED_VALUE"""),"")</f>
        <v/>
      </c>
      <c r="U10665" s="16" t="s">
        <v>87</v>
      </c>
      <c r="V10665" s="16" t="str">
        <f>IFERROR(__xludf.DUMMYFUNCTION("""COMPUTED_VALUE"""),"")</f>
        <v/>
      </c>
      <c r="W10665" s="16" t="str">
        <f>IFERROR(__xludf.DUMMYFUNCTION("""COMPUTED_VALUE"""),"")</f>
        <v/>
      </c>
      <c r="X10665" s="16" t="str">
        <f>IFERROR(__xludf.DUMMYFUNCTION("""COMPUTED_VALUE"""),"")</f>
        <v/>
      </c>
      <c r="AC10665" s="16" t="str">
        <f>IFERROR(__xludf.DUMMYFUNCTION("""COMPUTED_VALUE"""),"")</f>
        <v/>
      </c>
    </row>
    <row r="10666">
      <c r="A10666" s="16" t="s">
        <v>87</v>
      </c>
      <c r="E10666" s="16" t="str">
        <f>IFERROR(__xludf.DUMMYFUNCTION("""COMPUTED_VALUE"""),"")</f>
        <v/>
      </c>
      <c r="G10666" s="18"/>
      <c r="H10666" s="16" t="s">
        <v>87</v>
      </c>
      <c r="I10666" s="16" t="s">
        <v>87</v>
      </c>
      <c r="J10666" s="19"/>
      <c r="L10666" s="16" t="str">
        <f>IFERROR(__xludf.DUMMYFUNCTION("""COMPUTED_VALUE"""),"")</f>
        <v/>
      </c>
      <c r="M10666" s="16" t="str">
        <f>IFERROR(__xludf.DUMMYFUNCTION("""COMPUTED_VALUE"""),"")</f>
        <v/>
      </c>
      <c r="U10666" s="16" t="s">
        <v>87</v>
      </c>
      <c r="V10666" s="16" t="str">
        <f>IFERROR(__xludf.DUMMYFUNCTION("""COMPUTED_VALUE"""),"")</f>
        <v/>
      </c>
      <c r="W10666" s="16" t="str">
        <f>IFERROR(__xludf.DUMMYFUNCTION("""COMPUTED_VALUE"""),"")</f>
        <v/>
      </c>
      <c r="X10666" s="16" t="str">
        <f>IFERROR(__xludf.DUMMYFUNCTION("""COMPUTED_VALUE"""),"")</f>
        <v/>
      </c>
      <c r="AC10666" s="16" t="str">
        <f>IFERROR(__xludf.DUMMYFUNCTION("""COMPUTED_VALUE"""),"")</f>
        <v/>
      </c>
    </row>
    <row r="10667">
      <c r="A10667" s="16" t="s">
        <v>87</v>
      </c>
      <c r="E10667" s="16" t="str">
        <f>IFERROR(__xludf.DUMMYFUNCTION("""COMPUTED_VALUE"""),"")</f>
        <v/>
      </c>
      <c r="G10667" s="18"/>
      <c r="H10667" s="16" t="s">
        <v>87</v>
      </c>
      <c r="I10667" s="16" t="s">
        <v>87</v>
      </c>
      <c r="J10667" s="19"/>
      <c r="L10667" s="16" t="str">
        <f>IFERROR(__xludf.DUMMYFUNCTION("""COMPUTED_VALUE"""),"")</f>
        <v/>
      </c>
      <c r="M10667" s="16" t="str">
        <f>IFERROR(__xludf.DUMMYFUNCTION("""COMPUTED_VALUE"""),"")</f>
        <v/>
      </c>
      <c r="U10667" s="16" t="s">
        <v>87</v>
      </c>
      <c r="V10667" s="16" t="str">
        <f>IFERROR(__xludf.DUMMYFUNCTION("""COMPUTED_VALUE"""),"")</f>
        <v/>
      </c>
      <c r="W10667" s="16" t="str">
        <f>IFERROR(__xludf.DUMMYFUNCTION("""COMPUTED_VALUE"""),"")</f>
        <v/>
      </c>
      <c r="X10667" s="16" t="str">
        <f>IFERROR(__xludf.DUMMYFUNCTION("""COMPUTED_VALUE"""),"")</f>
        <v/>
      </c>
      <c r="AC10667" s="16" t="str">
        <f>IFERROR(__xludf.DUMMYFUNCTION("""COMPUTED_VALUE"""),"")</f>
        <v/>
      </c>
    </row>
    <row r="10668">
      <c r="A10668" s="16" t="s">
        <v>87</v>
      </c>
      <c r="E10668" s="16" t="str">
        <f>IFERROR(__xludf.DUMMYFUNCTION("""COMPUTED_VALUE"""),"")</f>
        <v/>
      </c>
      <c r="G10668" s="18"/>
      <c r="H10668" s="16" t="s">
        <v>87</v>
      </c>
      <c r="I10668" s="16" t="s">
        <v>87</v>
      </c>
      <c r="J10668" s="19"/>
      <c r="L10668" s="16" t="str">
        <f>IFERROR(__xludf.DUMMYFUNCTION("""COMPUTED_VALUE"""),"")</f>
        <v/>
      </c>
      <c r="M10668" s="16" t="str">
        <f>IFERROR(__xludf.DUMMYFUNCTION("""COMPUTED_VALUE"""),"")</f>
        <v/>
      </c>
      <c r="U10668" s="16" t="s">
        <v>87</v>
      </c>
      <c r="V10668" s="16" t="str">
        <f>IFERROR(__xludf.DUMMYFUNCTION("""COMPUTED_VALUE"""),"")</f>
        <v/>
      </c>
      <c r="W10668" s="16" t="str">
        <f>IFERROR(__xludf.DUMMYFUNCTION("""COMPUTED_VALUE"""),"")</f>
        <v/>
      </c>
      <c r="X10668" s="16" t="str">
        <f>IFERROR(__xludf.DUMMYFUNCTION("""COMPUTED_VALUE"""),"")</f>
        <v/>
      </c>
      <c r="AC10668" s="16" t="str">
        <f>IFERROR(__xludf.DUMMYFUNCTION("""COMPUTED_VALUE"""),"")</f>
        <v/>
      </c>
    </row>
    <row r="10669">
      <c r="A10669" s="16" t="s">
        <v>87</v>
      </c>
      <c r="E10669" s="16" t="str">
        <f>IFERROR(__xludf.DUMMYFUNCTION("""COMPUTED_VALUE"""),"")</f>
        <v/>
      </c>
      <c r="G10669" s="18"/>
      <c r="H10669" s="16" t="s">
        <v>87</v>
      </c>
      <c r="I10669" s="16" t="s">
        <v>87</v>
      </c>
      <c r="J10669" s="19"/>
      <c r="L10669" s="16" t="str">
        <f>IFERROR(__xludf.DUMMYFUNCTION("""COMPUTED_VALUE"""),"")</f>
        <v/>
      </c>
      <c r="M10669" s="16" t="str">
        <f>IFERROR(__xludf.DUMMYFUNCTION("""COMPUTED_VALUE"""),"")</f>
        <v/>
      </c>
      <c r="U10669" s="16" t="s">
        <v>87</v>
      </c>
      <c r="V10669" s="16" t="str">
        <f>IFERROR(__xludf.DUMMYFUNCTION("""COMPUTED_VALUE"""),"")</f>
        <v/>
      </c>
      <c r="W10669" s="16" t="str">
        <f>IFERROR(__xludf.DUMMYFUNCTION("""COMPUTED_VALUE"""),"")</f>
        <v/>
      </c>
      <c r="X10669" s="16" t="str">
        <f>IFERROR(__xludf.DUMMYFUNCTION("""COMPUTED_VALUE"""),"")</f>
        <v/>
      </c>
      <c r="AC10669" s="16" t="str">
        <f>IFERROR(__xludf.DUMMYFUNCTION("""COMPUTED_VALUE"""),"")</f>
        <v/>
      </c>
    </row>
    <row r="10670">
      <c r="A10670" s="16" t="s">
        <v>87</v>
      </c>
      <c r="E10670" s="16" t="str">
        <f>IFERROR(__xludf.DUMMYFUNCTION("""COMPUTED_VALUE"""),"")</f>
        <v/>
      </c>
      <c r="G10670" s="18"/>
      <c r="H10670" s="16" t="s">
        <v>87</v>
      </c>
      <c r="I10670" s="16" t="s">
        <v>87</v>
      </c>
      <c r="J10670" s="19"/>
      <c r="L10670" s="16" t="str">
        <f>IFERROR(__xludf.DUMMYFUNCTION("""COMPUTED_VALUE"""),"")</f>
        <v/>
      </c>
      <c r="M10670" s="16" t="str">
        <f>IFERROR(__xludf.DUMMYFUNCTION("""COMPUTED_VALUE"""),"")</f>
        <v/>
      </c>
      <c r="U10670" s="16" t="s">
        <v>87</v>
      </c>
      <c r="V10670" s="16" t="str">
        <f>IFERROR(__xludf.DUMMYFUNCTION("""COMPUTED_VALUE"""),"")</f>
        <v/>
      </c>
      <c r="W10670" s="16" t="str">
        <f>IFERROR(__xludf.DUMMYFUNCTION("""COMPUTED_VALUE"""),"")</f>
        <v/>
      </c>
      <c r="X10670" s="16" t="str">
        <f>IFERROR(__xludf.DUMMYFUNCTION("""COMPUTED_VALUE"""),"")</f>
        <v/>
      </c>
      <c r="AC10670" s="16" t="str">
        <f>IFERROR(__xludf.DUMMYFUNCTION("""COMPUTED_VALUE"""),"")</f>
        <v/>
      </c>
    </row>
    <row r="10671">
      <c r="A10671" s="16" t="s">
        <v>87</v>
      </c>
      <c r="E10671" s="16" t="str">
        <f>IFERROR(__xludf.DUMMYFUNCTION("""COMPUTED_VALUE"""),"")</f>
        <v/>
      </c>
      <c r="G10671" s="18"/>
      <c r="H10671" s="16" t="s">
        <v>87</v>
      </c>
      <c r="I10671" s="16" t="s">
        <v>87</v>
      </c>
      <c r="J10671" s="19"/>
      <c r="L10671" s="16" t="str">
        <f>IFERROR(__xludf.DUMMYFUNCTION("""COMPUTED_VALUE"""),"")</f>
        <v/>
      </c>
      <c r="M10671" s="16" t="str">
        <f>IFERROR(__xludf.DUMMYFUNCTION("""COMPUTED_VALUE"""),"")</f>
        <v/>
      </c>
      <c r="U10671" s="16" t="s">
        <v>87</v>
      </c>
      <c r="V10671" s="16" t="str">
        <f>IFERROR(__xludf.DUMMYFUNCTION("""COMPUTED_VALUE"""),"")</f>
        <v/>
      </c>
      <c r="W10671" s="16" t="str">
        <f>IFERROR(__xludf.DUMMYFUNCTION("""COMPUTED_VALUE"""),"")</f>
        <v/>
      </c>
      <c r="X10671" s="16" t="str">
        <f>IFERROR(__xludf.DUMMYFUNCTION("""COMPUTED_VALUE"""),"")</f>
        <v/>
      </c>
      <c r="AC10671" s="16" t="str">
        <f>IFERROR(__xludf.DUMMYFUNCTION("""COMPUTED_VALUE"""),"")</f>
        <v/>
      </c>
    </row>
    <row r="10672">
      <c r="A10672" s="16" t="s">
        <v>87</v>
      </c>
      <c r="E10672" s="16" t="str">
        <f>IFERROR(__xludf.DUMMYFUNCTION("""COMPUTED_VALUE"""),"")</f>
        <v/>
      </c>
      <c r="G10672" s="18"/>
      <c r="H10672" s="16" t="s">
        <v>87</v>
      </c>
      <c r="I10672" s="16" t="s">
        <v>87</v>
      </c>
      <c r="J10672" s="19"/>
      <c r="L10672" s="16" t="str">
        <f>IFERROR(__xludf.DUMMYFUNCTION("""COMPUTED_VALUE"""),"")</f>
        <v/>
      </c>
      <c r="M10672" s="16" t="str">
        <f>IFERROR(__xludf.DUMMYFUNCTION("""COMPUTED_VALUE"""),"")</f>
        <v/>
      </c>
      <c r="U10672" s="16" t="s">
        <v>87</v>
      </c>
      <c r="V10672" s="16" t="str">
        <f>IFERROR(__xludf.DUMMYFUNCTION("""COMPUTED_VALUE"""),"")</f>
        <v/>
      </c>
      <c r="W10672" s="16" t="str">
        <f>IFERROR(__xludf.DUMMYFUNCTION("""COMPUTED_VALUE"""),"")</f>
        <v/>
      </c>
      <c r="X10672" s="16" t="str">
        <f>IFERROR(__xludf.DUMMYFUNCTION("""COMPUTED_VALUE"""),"")</f>
        <v/>
      </c>
      <c r="AC10672" s="16" t="str">
        <f>IFERROR(__xludf.DUMMYFUNCTION("""COMPUTED_VALUE"""),"")</f>
        <v/>
      </c>
    </row>
    <row r="10673">
      <c r="A10673" s="16" t="s">
        <v>87</v>
      </c>
      <c r="E10673" s="16" t="str">
        <f>IFERROR(__xludf.DUMMYFUNCTION("""COMPUTED_VALUE"""),"")</f>
        <v/>
      </c>
      <c r="G10673" s="18"/>
      <c r="H10673" s="16" t="s">
        <v>87</v>
      </c>
      <c r="I10673" s="16" t="s">
        <v>87</v>
      </c>
      <c r="J10673" s="19"/>
      <c r="L10673" s="16" t="str">
        <f>IFERROR(__xludf.DUMMYFUNCTION("""COMPUTED_VALUE"""),"")</f>
        <v/>
      </c>
      <c r="M10673" s="16" t="str">
        <f>IFERROR(__xludf.DUMMYFUNCTION("""COMPUTED_VALUE"""),"")</f>
        <v/>
      </c>
      <c r="U10673" s="16" t="s">
        <v>87</v>
      </c>
      <c r="V10673" s="16" t="str">
        <f>IFERROR(__xludf.DUMMYFUNCTION("""COMPUTED_VALUE"""),"")</f>
        <v/>
      </c>
      <c r="W10673" s="16" t="str">
        <f>IFERROR(__xludf.DUMMYFUNCTION("""COMPUTED_VALUE"""),"")</f>
        <v/>
      </c>
      <c r="X10673" s="16" t="str">
        <f>IFERROR(__xludf.DUMMYFUNCTION("""COMPUTED_VALUE"""),"")</f>
        <v/>
      </c>
      <c r="AC10673" s="16" t="str">
        <f>IFERROR(__xludf.DUMMYFUNCTION("""COMPUTED_VALUE"""),"")</f>
        <v/>
      </c>
    </row>
    <row r="10674">
      <c r="A10674" s="16" t="s">
        <v>87</v>
      </c>
      <c r="E10674" s="16" t="str">
        <f>IFERROR(__xludf.DUMMYFUNCTION("""COMPUTED_VALUE"""),"")</f>
        <v/>
      </c>
      <c r="G10674" s="18"/>
      <c r="H10674" s="16" t="s">
        <v>87</v>
      </c>
      <c r="I10674" s="16" t="s">
        <v>87</v>
      </c>
      <c r="J10674" s="19"/>
      <c r="L10674" s="16" t="str">
        <f>IFERROR(__xludf.DUMMYFUNCTION("""COMPUTED_VALUE"""),"")</f>
        <v/>
      </c>
      <c r="M10674" s="16" t="str">
        <f>IFERROR(__xludf.DUMMYFUNCTION("""COMPUTED_VALUE"""),"")</f>
        <v/>
      </c>
      <c r="U10674" s="16" t="s">
        <v>87</v>
      </c>
      <c r="V10674" s="16" t="str">
        <f>IFERROR(__xludf.DUMMYFUNCTION("""COMPUTED_VALUE"""),"")</f>
        <v/>
      </c>
      <c r="W10674" s="16" t="str">
        <f>IFERROR(__xludf.DUMMYFUNCTION("""COMPUTED_VALUE"""),"")</f>
        <v/>
      </c>
      <c r="X10674" s="16" t="str">
        <f>IFERROR(__xludf.DUMMYFUNCTION("""COMPUTED_VALUE"""),"")</f>
        <v/>
      </c>
      <c r="AC10674" s="16" t="str">
        <f>IFERROR(__xludf.DUMMYFUNCTION("""COMPUTED_VALUE"""),"")</f>
        <v/>
      </c>
    </row>
    <row r="10675">
      <c r="A10675" s="16" t="s">
        <v>87</v>
      </c>
      <c r="E10675" s="16" t="str">
        <f>IFERROR(__xludf.DUMMYFUNCTION("""COMPUTED_VALUE"""),"")</f>
        <v/>
      </c>
      <c r="G10675" s="18"/>
      <c r="H10675" s="16" t="s">
        <v>87</v>
      </c>
      <c r="I10675" s="16" t="s">
        <v>87</v>
      </c>
      <c r="J10675" s="19"/>
      <c r="L10675" s="16" t="str">
        <f>IFERROR(__xludf.DUMMYFUNCTION("""COMPUTED_VALUE"""),"")</f>
        <v/>
      </c>
      <c r="M10675" s="16" t="str">
        <f>IFERROR(__xludf.DUMMYFUNCTION("""COMPUTED_VALUE"""),"")</f>
        <v/>
      </c>
      <c r="U10675" s="16" t="s">
        <v>87</v>
      </c>
      <c r="V10675" s="16" t="str">
        <f>IFERROR(__xludf.DUMMYFUNCTION("""COMPUTED_VALUE"""),"")</f>
        <v/>
      </c>
      <c r="W10675" s="16" t="str">
        <f>IFERROR(__xludf.DUMMYFUNCTION("""COMPUTED_VALUE"""),"")</f>
        <v/>
      </c>
      <c r="X10675" s="16" t="str">
        <f>IFERROR(__xludf.DUMMYFUNCTION("""COMPUTED_VALUE"""),"")</f>
        <v/>
      </c>
      <c r="AC10675" s="16" t="str">
        <f>IFERROR(__xludf.DUMMYFUNCTION("""COMPUTED_VALUE"""),"")</f>
        <v/>
      </c>
    </row>
    <row r="10676">
      <c r="A10676" s="16" t="s">
        <v>87</v>
      </c>
      <c r="E10676" s="16" t="str">
        <f>IFERROR(__xludf.DUMMYFUNCTION("""COMPUTED_VALUE"""),"")</f>
        <v/>
      </c>
      <c r="G10676" s="18"/>
      <c r="H10676" s="16" t="s">
        <v>87</v>
      </c>
      <c r="I10676" s="16" t="s">
        <v>87</v>
      </c>
      <c r="J10676" s="19"/>
      <c r="L10676" s="16" t="str">
        <f>IFERROR(__xludf.DUMMYFUNCTION("""COMPUTED_VALUE"""),"")</f>
        <v/>
      </c>
      <c r="M10676" s="16" t="str">
        <f>IFERROR(__xludf.DUMMYFUNCTION("""COMPUTED_VALUE"""),"")</f>
        <v/>
      </c>
      <c r="U10676" s="16" t="s">
        <v>87</v>
      </c>
      <c r="V10676" s="16" t="str">
        <f>IFERROR(__xludf.DUMMYFUNCTION("""COMPUTED_VALUE"""),"")</f>
        <v/>
      </c>
      <c r="W10676" s="16" t="str">
        <f>IFERROR(__xludf.DUMMYFUNCTION("""COMPUTED_VALUE"""),"")</f>
        <v/>
      </c>
      <c r="X10676" s="16" t="str">
        <f>IFERROR(__xludf.DUMMYFUNCTION("""COMPUTED_VALUE"""),"")</f>
        <v/>
      </c>
      <c r="AC10676" s="16" t="str">
        <f>IFERROR(__xludf.DUMMYFUNCTION("""COMPUTED_VALUE"""),"")</f>
        <v/>
      </c>
    </row>
    <row r="10677">
      <c r="A10677" s="16" t="s">
        <v>87</v>
      </c>
      <c r="E10677" s="16" t="str">
        <f>IFERROR(__xludf.DUMMYFUNCTION("""COMPUTED_VALUE"""),"")</f>
        <v/>
      </c>
      <c r="G10677" s="18"/>
      <c r="H10677" s="16" t="s">
        <v>87</v>
      </c>
      <c r="I10677" s="16" t="s">
        <v>87</v>
      </c>
      <c r="J10677" s="19"/>
      <c r="L10677" s="16" t="str">
        <f>IFERROR(__xludf.DUMMYFUNCTION("""COMPUTED_VALUE"""),"")</f>
        <v/>
      </c>
      <c r="M10677" s="16" t="str">
        <f>IFERROR(__xludf.DUMMYFUNCTION("""COMPUTED_VALUE"""),"")</f>
        <v/>
      </c>
      <c r="U10677" s="16" t="s">
        <v>87</v>
      </c>
      <c r="V10677" s="16" t="str">
        <f>IFERROR(__xludf.DUMMYFUNCTION("""COMPUTED_VALUE"""),"")</f>
        <v/>
      </c>
      <c r="W10677" s="16" t="str">
        <f>IFERROR(__xludf.DUMMYFUNCTION("""COMPUTED_VALUE"""),"")</f>
        <v/>
      </c>
      <c r="X10677" s="16" t="str">
        <f>IFERROR(__xludf.DUMMYFUNCTION("""COMPUTED_VALUE"""),"")</f>
        <v/>
      </c>
      <c r="AC10677" s="16" t="str">
        <f>IFERROR(__xludf.DUMMYFUNCTION("""COMPUTED_VALUE"""),"")</f>
        <v/>
      </c>
    </row>
    <row r="10678">
      <c r="A10678" s="16" t="s">
        <v>87</v>
      </c>
      <c r="E10678" s="16" t="str">
        <f>IFERROR(__xludf.DUMMYFUNCTION("""COMPUTED_VALUE"""),"")</f>
        <v/>
      </c>
      <c r="G10678" s="18"/>
      <c r="H10678" s="16" t="s">
        <v>87</v>
      </c>
      <c r="I10678" s="16" t="s">
        <v>87</v>
      </c>
      <c r="J10678" s="19"/>
      <c r="L10678" s="16" t="str">
        <f>IFERROR(__xludf.DUMMYFUNCTION("""COMPUTED_VALUE"""),"")</f>
        <v/>
      </c>
      <c r="M10678" s="16" t="str">
        <f>IFERROR(__xludf.DUMMYFUNCTION("""COMPUTED_VALUE"""),"")</f>
        <v/>
      </c>
      <c r="U10678" s="16" t="s">
        <v>87</v>
      </c>
      <c r="V10678" s="16" t="str">
        <f>IFERROR(__xludf.DUMMYFUNCTION("""COMPUTED_VALUE"""),"")</f>
        <v/>
      </c>
      <c r="W10678" s="16" t="str">
        <f>IFERROR(__xludf.DUMMYFUNCTION("""COMPUTED_VALUE"""),"")</f>
        <v/>
      </c>
      <c r="X10678" s="16" t="str">
        <f>IFERROR(__xludf.DUMMYFUNCTION("""COMPUTED_VALUE"""),"")</f>
        <v/>
      </c>
      <c r="AC10678" s="16" t="str">
        <f>IFERROR(__xludf.DUMMYFUNCTION("""COMPUTED_VALUE"""),"")</f>
        <v/>
      </c>
    </row>
    <row r="10679">
      <c r="A10679" s="16" t="s">
        <v>87</v>
      </c>
      <c r="E10679" s="16" t="str">
        <f>IFERROR(__xludf.DUMMYFUNCTION("""COMPUTED_VALUE"""),"")</f>
        <v/>
      </c>
      <c r="G10679" s="18"/>
      <c r="H10679" s="16" t="s">
        <v>87</v>
      </c>
      <c r="I10679" s="16" t="s">
        <v>87</v>
      </c>
      <c r="J10679" s="19"/>
      <c r="L10679" s="16" t="str">
        <f>IFERROR(__xludf.DUMMYFUNCTION("""COMPUTED_VALUE"""),"")</f>
        <v/>
      </c>
      <c r="M10679" s="16" t="str">
        <f>IFERROR(__xludf.DUMMYFUNCTION("""COMPUTED_VALUE"""),"")</f>
        <v/>
      </c>
      <c r="U10679" s="16" t="s">
        <v>87</v>
      </c>
      <c r="V10679" s="16" t="str">
        <f>IFERROR(__xludf.DUMMYFUNCTION("""COMPUTED_VALUE"""),"")</f>
        <v/>
      </c>
      <c r="W10679" s="16" t="str">
        <f>IFERROR(__xludf.DUMMYFUNCTION("""COMPUTED_VALUE"""),"")</f>
        <v/>
      </c>
      <c r="X10679" s="16" t="str">
        <f>IFERROR(__xludf.DUMMYFUNCTION("""COMPUTED_VALUE"""),"")</f>
        <v/>
      </c>
      <c r="AC10679" s="16" t="str">
        <f>IFERROR(__xludf.DUMMYFUNCTION("""COMPUTED_VALUE"""),"")</f>
        <v/>
      </c>
    </row>
    <row r="10680">
      <c r="A10680" s="16" t="s">
        <v>87</v>
      </c>
      <c r="E10680" s="16" t="str">
        <f>IFERROR(__xludf.DUMMYFUNCTION("""COMPUTED_VALUE"""),"")</f>
        <v/>
      </c>
      <c r="G10680" s="18"/>
      <c r="H10680" s="16" t="s">
        <v>87</v>
      </c>
      <c r="I10680" s="16" t="s">
        <v>87</v>
      </c>
      <c r="J10680" s="19"/>
      <c r="L10680" s="16" t="str">
        <f>IFERROR(__xludf.DUMMYFUNCTION("""COMPUTED_VALUE"""),"")</f>
        <v/>
      </c>
      <c r="M10680" s="16" t="str">
        <f>IFERROR(__xludf.DUMMYFUNCTION("""COMPUTED_VALUE"""),"")</f>
        <v/>
      </c>
      <c r="U10680" s="16" t="s">
        <v>87</v>
      </c>
      <c r="V10680" s="16" t="str">
        <f>IFERROR(__xludf.DUMMYFUNCTION("""COMPUTED_VALUE"""),"")</f>
        <v/>
      </c>
      <c r="W10680" s="16" t="str">
        <f>IFERROR(__xludf.DUMMYFUNCTION("""COMPUTED_VALUE"""),"")</f>
        <v/>
      </c>
      <c r="X10680" s="16" t="str">
        <f>IFERROR(__xludf.DUMMYFUNCTION("""COMPUTED_VALUE"""),"")</f>
        <v/>
      </c>
      <c r="AC10680" s="16" t="str">
        <f>IFERROR(__xludf.DUMMYFUNCTION("""COMPUTED_VALUE"""),"")</f>
        <v/>
      </c>
    </row>
    <row r="10681">
      <c r="A10681" s="16" t="s">
        <v>87</v>
      </c>
      <c r="E10681" s="16" t="str">
        <f>IFERROR(__xludf.DUMMYFUNCTION("""COMPUTED_VALUE"""),"")</f>
        <v/>
      </c>
      <c r="G10681" s="18"/>
      <c r="H10681" s="16" t="s">
        <v>87</v>
      </c>
      <c r="I10681" s="16" t="s">
        <v>87</v>
      </c>
      <c r="J10681" s="19"/>
      <c r="L10681" s="16" t="str">
        <f>IFERROR(__xludf.DUMMYFUNCTION("""COMPUTED_VALUE"""),"")</f>
        <v/>
      </c>
      <c r="M10681" s="16" t="str">
        <f>IFERROR(__xludf.DUMMYFUNCTION("""COMPUTED_VALUE"""),"")</f>
        <v/>
      </c>
      <c r="U10681" s="16" t="s">
        <v>87</v>
      </c>
      <c r="V10681" s="16" t="str">
        <f>IFERROR(__xludf.DUMMYFUNCTION("""COMPUTED_VALUE"""),"")</f>
        <v/>
      </c>
      <c r="W10681" s="16" t="str">
        <f>IFERROR(__xludf.DUMMYFUNCTION("""COMPUTED_VALUE"""),"")</f>
        <v/>
      </c>
      <c r="X10681" s="16" t="str">
        <f>IFERROR(__xludf.DUMMYFUNCTION("""COMPUTED_VALUE"""),"")</f>
        <v/>
      </c>
      <c r="AC10681" s="16" t="str">
        <f>IFERROR(__xludf.DUMMYFUNCTION("""COMPUTED_VALUE"""),"")</f>
        <v/>
      </c>
    </row>
    <row r="10682">
      <c r="A10682" s="16" t="s">
        <v>87</v>
      </c>
      <c r="E10682" s="16" t="str">
        <f>IFERROR(__xludf.DUMMYFUNCTION("""COMPUTED_VALUE"""),"")</f>
        <v/>
      </c>
      <c r="G10682" s="18"/>
      <c r="H10682" s="16" t="s">
        <v>87</v>
      </c>
      <c r="I10682" s="16" t="s">
        <v>87</v>
      </c>
      <c r="J10682" s="19"/>
      <c r="L10682" s="16" t="str">
        <f>IFERROR(__xludf.DUMMYFUNCTION("""COMPUTED_VALUE"""),"")</f>
        <v/>
      </c>
      <c r="M10682" s="16" t="str">
        <f>IFERROR(__xludf.DUMMYFUNCTION("""COMPUTED_VALUE"""),"")</f>
        <v/>
      </c>
      <c r="U10682" s="16" t="s">
        <v>87</v>
      </c>
      <c r="V10682" s="16" t="str">
        <f>IFERROR(__xludf.DUMMYFUNCTION("""COMPUTED_VALUE"""),"")</f>
        <v/>
      </c>
      <c r="W10682" s="16" t="str">
        <f>IFERROR(__xludf.DUMMYFUNCTION("""COMPUTED_VALUE"""),"")</f>
        <v/>
      </c>
      <c r="X10682" s="16" t="str">
        <f>IFERROR(__xludf.DUMMYFUNCTION("""COMPUTED_VALUE"""),"")</f>
        <v/>
      </c>
      <c r="AC10682" s="16" t="str">
        <f>IFERROR(__xludf.DUMMYFUNCTION("""COMPUTED_VALUE"""),"")</f>
        <v/>
      </c>
    </row>
    <row r="10683">
      <c r="A10683" s="16" t="s">
        <v>87</v>
      </c>
      <c r="E10683" s="16" t="str">
        <f>IFERROR(__xludf.DUMMYFUNCTION("""COMPUTED_VALUE"""),"")</f>
        <v/>
      </c>
      <c r="G10683" s="18"/>
      <c r="H10683" s="16" t="s">
        <v>87</v>
      </c>
      <c r="I10683" s="16" t="s">
        <v>87</v>
      </c>
      <c r="J10683" s="19"/>
      <c r="L10683" s="16" t="str">
        <f>IFERROR(__xludf.DUMMYFUNCTION("""COMPUTED_VALUE"""),"")</f>
        <v/>
      </c>
      <c r="M10683" s="16" t="str">
        <f>IFERROR(__xludf.DUMMYFUNCTION("""COMPUTED_VALUE"""),"")</f>
        <v/>
      </c>
      <c r="U10683" s="16" t="s">
        <v>87</v>
      </c>
      <c r="V10683" s="16" t="str">
        <f>IFERROR(__xludf.DUMMYFUNCTION("""COMPUTED_VALUE"""),"")</f>
        <v/>
      </c>
      <c r="W10683" s="16" t="str">
        <f>IFERROR(__xludf.DUMMYFUNCTION("""COMPUTED_VALUE"""),"")</f>
        <v/>
      </c>
      <c r="X10683" s="16" t="str">
        <f>IFERROR(__xludf.DUMMYFUNCTION("""COMPUTED_VALUE"""),"")</f>
        <v/>
      </c>
      <c r="AC10683" s="16" t="str">
        <f>IFERROR(__xludf.DUMMYFUNCTION("""COMPUTED_VALUE"""),"")</f>
        <v/>
      </c>
    </row>
    <row r="10684">
      <c r="A10684" s="16" t="s">
        <v>87</v>
      </c>
      <c r="E10684" s="16" t="str">
        <f>IFERROR(__xludf.DUMMYFUNCTION("""COMPUTED_VALUE"""),"")</f>
        <v/>
      </c>
      <c r="G10684" s="18"/>
      <c r="H10684" s="16" t="s">
        <v>87</v>
      </c>
      <c r="I10684" s="16" t="s">
        <v>87</v>
      </c>
      <c r="J10684" s="19"/>
      <c r="L10684" s="16" t="str">
        <f>IFERROR(__xludf.DUMMYFUNCTION("""COMPUTED_VALUE"""),"")</f>
        <v/>
      </c>
      <c r="M10684" s="16" t="str">
        <f>IFERROR(__xludf.DUMMYFUNCTION("""COMPUTED_VALUE"""),"")</f>
        <v/>
      </c>
      <c r="U10684" s="16" t="s">
        <v>87</v>
      </c>
      <c r="V10684" s="16" t="str">
        <f>IFERROR(__xludf.DUMMYFUNCTION("""COMPUTED_VALUE"""),"")</f>
        <v/>
      </c>
      <c r="W10684" s="16" t="str">
        <f>IFERROR(__xludf.DUMMYFUNCTION("""COMPUTED_VALUE"""),"")</f>
        <v/>
      </c>
      <c r="X10684" s="16" t="str">
        <f>IFERROR(__xludf.DUMMYFUNCTION("""COMPUTED_VALUE"""),"")</f>
        <v/>
      </c>
      <c r="AC10684" s="16" t="str">
        <f>IFERROR(__xludf.DUMMYFUNCTION("""COMPUTED_VALUE"""),"")</f>
        <v/>
      </c>
    </row>
    <row r="10685">
      <c r="A10685" s="16" t="s">
        <v>87</v>
      </c>
      <c r="E10685" s="16" t="str">
        <f>IFERROR(__xludf.DUMMYFUNCTION("""COMPUTED_VALUE"""),"")</f>
        <v/>
      </c>
      <c r="G10685" s="18"/>
      <c r="H10685" s="16" t="s">
        <v>87</v>
      </c>
      <c r="I10685" s="16" t="s">
        <v>87</v>
      </c>
      <c r="J10685" s="19"/>
      <c r="L10685" s="16" t="str">
        <f>IFERROR(__xludf.DUMMYFUNCTION("""COMPUTED_VALUE"""),"")</f>
        <v/>
      </c>
      <c r="M10685" s="16" t="str">
        <f>IFERROR(__xludf.DUMMYFUNCTION("""COMPUTED_VALUE"""),"")</f>
        <v/>
      </c>
      <c r="U10685" s="16" t="s">
        <v>87</v>
      </c>
      <c r="V10685" s="16" t="str">
        <f>IFERROR(__xludf.DUMMYFUNCTION("""COMPUTED_VALUE"""),"")</f>
        <v/>
      </c>
      <c r="W10685" s="16" t="str">
        <f>IFERROR(__xludf.DUMMYFUNCTION("""COMPUTED_VALUE"""),"")</f>
        <v/>
      </c>
      <c r="X10685" s="16" t="str">
        <f>IFERROR(__xludf.DUMMYFUNCTION("""COMPUTED_VALUE"""),"")</f>
        <v/>
      </c>
      <c r="AC10685" s="16" t="str">
        <f>IFERROR(__xludf.DUMMYFUNCTION("""COMPUTED_VALUE"""),"")</f>
        <v/>
      </c>
    </row>
    <row r="10686">
      <c r="A10686" s="16" t="s">
        <v>87</v>
      </c>
      <c r="E10686" s="16" t="str">
        <f>IFERROR(__xludf.DUMMYFUNCTION("""COMPUTED_VALUE"""),"")</f>
        <v/>
      </c>
      <c r="G10686" s="18"/>
      <c r="H10686" s="16" t="s">
        <v>87</v>
      </c>
      <c r="I10686" s="16" t="s">
        <v>87</v>
      </c>
      <c r="J10686" s="19"/>
      <c r="L10686" s="16" t="str">
        <f>IFERROR(__xludf.DUMMYFUNCTION("""COMPUTED_VALUE"""),"")</f>
        <v/>
      </c>
      <c r="M10686" s="16" t="str">
        <f>IFERROR(__xludf.DUMMYFUNCTION("""COMPUTED_VALUE"""),"")</f>
        <v/>
      </c>
      <c r="U10686" s="16" t="s">
        <v>87</v>
      </c>
      <c r="V10686" s="16" t="str">
        <f>IFERROR(__xludf.DUMMYFUNCTION("""COMPUTED_VALUE"""),"")</f>
        <v/>
      </c>
      <c r="W10686" s="16" t="str">
        <f>IFERROR(__xludf.DUMMYFUNCTION("""COMPUTED_VALUE"""),"")</f>
        <v/>
      </c>
      <c r="X10686" s="16" t="str">
        <f>IFERROR(__xludf.DUMMYFUNCTION("""COMPUTED_VALUE"""),"")</f>
        <v/>
      </c>
      <c r="AC10686" s="16" t="str">
        <f>IFERROR(__xludf.DUMMYFUNCTION("""COMPUTED_VALUE"""),"")</f>
        <v/>
      </c>
    </row>
    <row r="10687">
      <c r="A10687" s="16" t="s">
        <v>87</v>
      </c>
      <c r="E10687" s="16" t="str">
        <f>IFERROR(__xludf.DUMMYFUNCTION("""COMPUTED_VALUE"""),"")</f>
        <v/>
      </c>
      <c r="G10687" s="18"/>
      <c r="H10687" s="16" t="s">
        <v>87</v>
      </c>
      <c r="I10687" s="16" t="s">
        <v>87</v>
      </c>
      <c r="J10687" s="19"/>
      <c r="L10687" s="16" t="str">
        <f>IFERROR(__xludf.DUMMYFUNCTION("""COMPUTED_VALUE"""),"")</f>
        <v/>
      </c>
      <c r="M10687" s="16" t="str">
        <f>IFERROR(__xludf.DUMMYFUNCTION("""COMPUTED_VALUE"""),"")</f>
        <v/>
      </c>
      <c r="U10687" s="16" t="s">
        <v>87</v>
      </c>
      <c r="V10687" s="16" t="str">
        <f>IFERROR(__xludf.DUMMYFUNCTION("""COMPUTED_VALUE"""),"")</f>
        <v/>
      </c>
      <c r="W10687" s="16" t="str">
        <f>IFERROR(__xludf.DUMMYFUNCTION("""COMPUTED_VALUE"""),"")</f>
        <v/>
      </c>
      <c r="X10687" s="16" t="str">
        <f>IFERROR(__xludf.DUMMYFUNCTION("""COMPUTED_VALUE"""),"")</f>
        <v/>
      </c>
      <c r="AC10687" s="16" t="str">
        <f>IFERROR(__xludf.DUMMYFUNCTION("""COMPUTED_VALUE"""),"")</f>
        <v/>
      </c>
    </row>
    <row r="10688">
      <c r="A10688" s="16" t="s">
        <v>87</v>
      </c>
      <c r="E10688" s="16" t="str">
        <f>IFERROR(__xludf.DUMMYFUNCTION("""COMPUTED_VALUE"""),"")</f>
        <v/>
      </c>
      <c r="G10688" s="18"/>
      <c r="H10688" s="16" t="s">
        <v>87</v>
      </c>
      <c r="I10688" s="16" t="s">
        <v>87</v>
      </c>
      <c r="J10688" s="19"/>
      <c r="L10688" s="16" t="str">
        <f>IFERROR(__xludf.DUMMYFUNCTION("""COMPUTED_VALUE"""),"")</f>
        <v/>
      </c>
      <c r="M10688" s="16" t="str">
        <f>IFERROR(__xludf.DUMMYFUNCTION("""COMPUTED_VALUE"""),"")</f>
        <v/>
      </c>
      <c r="U10688" s="16" t="s">
        <v>87</v>
      </c>
      <c r="V10688" s="16" t="str">
        <f>IFERROR(__xludf.DUMMYFUNCTION("""COMPUTED_VALUE"""),"")</f>
        <v/>
      </c>
      <c r="W10688" s="16" t="str">
        <f>IFERROR(__xludf.DUMMYFUNCTION("""COMPUTED_VALUE"""),"")</f>
        <v/>
      </c>
      <c r="X10688" s="16" t="str">
        <f>IFERROR(__xludf.DUMMYFUNCTION("""COMPUTED_VALUE"""),"")</f>
        <v/>
      </c>
      <c r="AC10688" s="16" t="str">
        <f>IFERROR(__xludf.DUMMYFUNCTION("""COMPUTED_VALUE"""),"")</f>
        <v/>
      </c>
    </row>
    <row r="10689">
      <c r="A10689" s="16" t="s">
        <v>87</v>
      </c>
      <c r="E10689" s="16" t="str">
        <f>IFERROR(__xludf.DUMMYFUNCTION("""COMPUTED_VALUE"""),"")</f>
        <v/>
      </c>
      <c r="G10689" s="18"/>
      <c r="H10689" s="16" t="s">
        <v>87</v>
      </c>
      <c r="I10689" s="16" t="s">
        <v>87</v>
      </c>
      <c r="J10689" s="19"/>
      <c r="L10689" s="16" t="str">
        <f>IFERROR(__xludf.DUMMYFUNCTION("""COMPUTED_VALUE"""),"")</f>
        <v/>
      </c>
      <c r="M10689" s="16" t="str">
        <f>IFERROR(__xludf.DUMMYFUNCTION("""COMPUTED_VALUE"""),"")</f>
        <v/>
      </c>
      <c r="U10689" s="16" t="s">
        <v>87</v>
      </c>
      <c r="V10689" s="16" t="str">
        <f>IFERROR(__xludf.DUMMYFUNCTION("""COMPUTED_VALUE"""),"")</f>
        <v/>
      </c>
      <c r="W10689" s="16" t="str">
        <f>IFERROR(__xludf.DUMMYFUNCTION("""COMPUTED_VALUE"""),"")</f>
        <v/>
      </c>
      <c r="X10689" s="16" t="str">
        <f>IFERROR(__xludf.DUMMYFUNCTION("""COMPUTED_VALUE"""),"")</f>
        <v/>
      </c>
      <c r="AC10689" s="16" t="str">
        <f>IFERROR(__xludf.DUMMYFUNCTION("""COMPUTED_VALUE"""),"")</f>
        <v/>
      </c>
    </row>
    <row r="10690">
      <c r="A10690" s="16" t="s">
        <v>87</v>
      </c>
      <c r="E10690" s="16" t="str">
        <f>IFERROR(__xludf.DUMMYFUNCTION("""COMPUTED_VALUE"""),"")</f>
        <v/>
      </c>
      <c r="G10690" s="18"/>
      <c r="H10690" s="16" t="s">
        <v>87</v>
      </c>
      <c r="I10690" s="16" t="s">
        <v>87</v>
      </c>
      <c r="J10690" s="19"/>
      <c r="L10690" s="16" t="str">
        <f>IFERROR(__xludf.DUMMYFUNCTION("""COMPUTED_VALUE"""),"")</f>
        <v/>
      </c>
      <c r="M10690" s="16" t="str">
        <f>IFERROR(__xludf.DUMMYFUNCTION("""COMPUTED_VALUE"""),"")</f>
        <v/>
      </c>
      <c r="U10690" s="16" t="s">
        <v>87</v>
      </c>
      <c r="V10690" s="16" t="str">
        <f>IFERROR(__xludf.DUMMYFUNCTION("""COMPUTED_VALUE"""),"")</f>
        <v/>
      </c>
      <c r="W10690" s="16" t="str">
        <f>IFERROR(__xludf.DUMMYFUNCTION("""COMPUTED_VALUE"""),"")</f>
        <v/>
      </c>
      <c r="X10690" s="16" t="str">
        <f>IFERROR(__xludf.DUMMYFUNCTION("""COMPUTED_VALUE"""),"")</f>
        <v/>
      </c>
      <c r="AC10690" s="16" t="str">
        <f>IFERROR(__xludf.DUMMYFUNCTION("""COMPUTED_VALUE"""),"")</f>
        <v/>
      </c>
    </row>
    <row r="10691">
      <c r="A10691" s="16" t="s">
        <v>87</v>
      </c>
      <c r="E10691" s="16" t="str">
        <f>IFERROR(__xludf.DUMMYFUNCTION("""COMPUTED_VALUE"""),"")</f>
        <v/>
      </c>
      <c r="G10691" s="18"/>
      <c r="H10691" s="16" t="s">
        <v>87</v>
      </c>
      <c r="I10691" s="16" t="s">
        <v>87</v>
      </c>
      <c r="J10691" s="19"/>
      <c r="L10691" s="16" t="str">
        <f>IFERROR(__xludf.DUMMYFUNCTION("""COMPUTED_VALUE"""),"")</f>
        <v/>
      </c>
      <c r="M10691" s="16" t="str">
        <f>IFERROR(__xludf.DUMMYFUNCTION("""COMPUTED_VALUE"""),"")</f>
        <v/>
      </c>
      <c r="U10691" s="16" t="s">
        <v>87</v>
      </c>
      <c r="V10691" s="16" t="str">
        <f>IFERROR(__xludf.DUMMYFUNCTION("""COMPUTED_VALUE"""),"")</f>
        <v/>
      </c>
      <c r="W10691" s="16" t="str">
        <f>IFERROR(__xludf.DUMMYFUNCTION("""COMPUTED_VALUE"""),"")</f>
        <v/>
      </c>
      <c r="X10691" s="16" t="str">
        <f>IFERROR(__xludf.DUMMYFUNCTION("""COMPUTED_VALUE"""),"")</f>
        <v/>
      </c>
      <c r="AC10691" s="16" t="str">
        <f>IFERROR(__xludf.DUMMYFUNCTION("""COMPUTED_VALUE"""),"")</f>
        <v/>
      </c>
    </row>
    <row r="10692">
      <c r="A10692" s="16" t="s">
        <v>87</v>
      </c>
      <c r="E10692" s="16" t="str">
        <f>IFERROR(__xludf.DUMMYFUNCTION("""COMPUTED_VALUE"""),"")</f>
        <v/>
      </c>
      <c r="G10692" s="18"/>
      <c r="H10692" s="16" t="s">
        <v>87</v>
      </c>
      <c r="I10692" s="16" t="s">
        <v>87</v>
      </c>
      <c r="J10692" s="19"/>
      <c r="L10692" s="16" t="str">
        <f>IFERROR(__xludf.DUMMYFUNCTION("""COMPUTED_VALUE"""),"")</f>
        <v/>
      </c>
      <c r="M10692" s="16" t="str">
        <f>IFERROR(__xludf.DUMMYFUNCTION("""COMPUTED_VALUE"""),"")</f>
        <v/>
      </c>
      <c r="U10692" s="16" t="s">
        <v>87</v>
      </c>
      <c r="V10692" s="16" t="str">
        <f>IFERROR(__xludf.DUMMYFUNCTION("""COMPUTED_VALUE"""),"")</f>
        <v/>
      </c>
      <c r="W10692" s="16" t="str">
        <f>IFERROR(__xludf.DUMMYFUNCTION("""COMPUTED_VALUE"""),"")</f>
        <v/>
      </c>
      <c r="X10692" s="16" t="str">
        <f>IFERROR(__xludf.DUMMYFUNCTION("""COMPUTED_VALUE"""),"")</f>
        <v/>
      </c>
      <c r="AC10692" s="16" t="str">
        <f>IFERROR(__xludf.DUMMYFUNCTION("""COMPUTED_VALUE"""),"")</f>
        <v/>
      </c>
    </row>
    <row r="10693">
      <c r="A10693" s="16" t="s">
        <v>87</v>
      </c>
      <c r="E10693" s="16" t="str">
        <f>IFERROR(__xludf.DUMMYFUNCTION("""COMPUTED_VALUE"""),"")</f>
        <v/>
      </c>
      <c r="G10693" s="18"/>
      <c r="H10693" s="16" t="s">
        <v>87</v>
      </c>
      <c r="I10693" s="16" t="s">
        <v>87</v>
      </c>
      <c r="J10693" s="19"/>
      <c r="L10693" s="16" t="str">
        <f>IFERROR(__xludf.DUMMYFUNCTION("""COMPUTED_VALUE"""),"")</f>
        <v/>
      </c>
      <c r="M10693" s="16" t="str">
        <f>IFERROR(__xludf.DUMMYFUNCTION("""COMPUTED_VALUE"""),"")</f>
        <v/>
      </c>
      <c r="U10693" s="16" t="s">
        <v>87</v>
      </c>
      <c r="V10693" s="16" t="str">
        <f>IFERROR(__xludf.DUMMYFUNCTION("""COMPUTED_VALUE"""),"")</f>
        <v/>
      </c>
      <c r="W10693" s="16" t="str">
        <f>IFERROR(__xludf.DUMMYFUNCTION("""COMPUTED_VALUE"""),"")</f>
        <v/>
      </c>
      <c r="X10693" s="16" t="str">
        <f>IFERROR(__xludf.DUMMYFUNCTION("""COMPUTED_VALUE"""),"")</f>
        <v/>
      </c>
      <c r="AC10693" s="16" t="str">
        <f>IFERROR(__xludf.DUMMYFUNCTION("""COMPUTED_VALUE"""),"")</f>
        <v/>
      </c>
    </row>
    <row r="10694">
      <c r="A10694" s="16" t="s">
        <v>87</v>
      </c>
      <c r="E10694" s="16" t="str">
        <f>IFERROR(__xludf.DUMMYFUNCTION("""COMPUTED_VALUE"""),"")</f>
        <v/>
      </c>
      <c r="G10694" s="18"/>
      <c r="H10694" s="16" t="s">
        <v>87</v>
      </c>
      <c r="I10694" s="16" t="s">
        <v>87</v>
      </c>
      <c r="J10694" s="19"/>
      <c r="L10694" s="16" t="str">
        <f>IFERROR(__xludf.DUMMYFUNCTION("""COMPUTED_VALUE"""),"")</f>
        <v/>
      </c>
      <c r="M10694" s="16" t="str">
        <f>IFERROR(__xludf.DUMMYFUNCTION("""COMPUTED_VALUE"""),"")</f>
        <v/>
      </c>
      <c r="U10694" s="16" t="s">
        <v>87</v>
      </c>
      <c r="V10694" s="16" t="str">
        <f>IFERROR(__xludf.DUMMYFUNCTION("""COMPUTED_VALUE"""),"")</f>
        <v/>
      </c>
      <c r="W10694" s="16" t="str">
        <f>IFERROR(__xludf.DUMMYFUNCTION("""COMPUTED_VALUE"""),"")</f>
        <v/>
      </c>
      <c r="X10694" s="16" t="str">
        <f>IFERROR(__xludf.DUMMYFUNCTION("""COMPUTED_VALUE"""),"")</f>
        <v/>
      </c>
      <c r="AC10694" s="16" t="str">
        <f>IFERROR(__xludf.DUMMYFUNCTION("""COMPUTED_VALUE"""),"")</f>
        <v/>
      </c>
    </row>
    <row r="10695">
      <c r="A10695" s="16" t="s">
        <v>87</v>
      </c>
      <c r="E10695" s="16" t="str">
        <f>IFERROR(__xludf.DUMMYFUNCTION("""COMPUTED_VALUE"""),"")</f>
        <v/>
      </c>
      <c r="G10695" s="18"/>
      <c r="H10695" s="16" t="s">
        <v>87</v>
      </c>
      <c r="I10695" s="16" t="s">
        <v>87</v>
      </c>
      <c r="J10695" s="19"/>
      <c r="L10695" s="16" t="str">
        <f>IFERROR(__xludf.DUMMYFUNCTION("""COMPUTED_VALUE"""),"")</f>
        <v/>
      </c>
      <c r="M10695" s="16" t="str">
        <f>IFERROR(__xludf.DUMMYFUNCTION("""COMPUTED_VALUE"""),"")</f>
        <v/>
      </c>
      <c r="U10695" s="16" t="s">
        <v>87</v>
      </c>
      <c r="V10695" s="16" t="str">
        <f>IFERROR(__xludf.DUMMYFUNCTION("""COMPUTED_VALUE"""),"")</f>
        <v/>
      </c>
      <c r="W10695" s="16" t="str">
        <f>IFERROR(__xludf.DUMMYFUNCTION("""COMPUTED_VALUE"""),"")</f>
        <v/>
      </c>
      <c r="X10695" s="16" t="str">
        <f>IFERROR(__xludf.DUMMYFUNCTION("""COMPUTED_VALUE"""),"")</f>
        <v/>
      </c>
      <c r="AC10695" s="16" t="str">
        <f>IFERROR(__xludf.DUMMYFUNCTION("""COMPUTED_VALUE"""),"")</f>
        <v/>
      </c>
    </row>
    <row r="10696">
      <c r="A10696" s="16" t="s">
        <v>87</v>
      </c>
      <c r="E10696" s="16" t="str">
        <f>IFERROR(__xludf.DUMMYFUNCTION("""COMPUTED_VALUE"""),"")</f>
        <v/>
      </c>
      <c r="G10696" s="18"/>
      <c r="H10696" s="16" t="s">
        <v>87</v>
      </c>
      <c r="I10696" s="16" t="s">
        <v>87</v>
      </c>
      <c r="J10696" s="19"/>
      <c r="L10696" s="16" t="str">
        <f>IFERROR(__xludf.DUMMYFUNCTION("""COMPUTED_VALUE"""),"")</f>
        <v/>
      </c>
      <c r="M10696" s="16" t="str">
        <f>IFERROR(__xludf.DUMMYFUNCTION("""COMPUTED_VALUE"""),"")</f>
        <v/>
      </c>
      <c r="U10696" s="16" t="s">
        <v>87</v>
      </c>
      <c r="V10696" s="16" t="str">
        <f>IFERROR(__xludf.DUMMYFUNCTION("""COMPUTED_VALUE"""),"")</f>
        <v/>
      </c>
      <c r="W10696" s="16" t="str">
        <f>IFERROR(__xludf.DUMMYFUNCTION("""COMPUTED_VALUE"""),"")</f>
        <v/>
      </c>
      <c r="X10696" s="16" t="str">
        <f>IFERROR(__xludf.DUMMYFUNCTION("""COMPUTED_VALUE"""),"")</f>
        <v/>
      </c>
      <c r="AC10696" s="16" t="str">
        <f>IFERROR(__xludf.DUMMYFUNCTION("""COMPUTED_VALUE"""),"")</f>
        <v/>
      </c>
    </row>
    <row r="10697">
      <c r="A10697" s="16" t="s">
        <v>87</v>
      </c>
      <c r="E10697" s="16" t="str">
        <f>IFERROR(__xludf.DUMMYFUNCTION("""COMPUTED_VALUE"""),"")</f>
        <v/>
      </c>
      <c r="G10697" s="18"/>
      <c r="H10697" s="16" t="s">
        <v>87</v>
      </c>
      <c r="I10697" s="16" t="s">
        <v>87</v>
      </c>
      <c r="J10697" s="19"/>
      <c r="L10697" s="16" t="str">
        <f>IFERROR(__xludf.DUMMYFUNCTION("""COMPUTED_VALUE"""),"")</f>
        <v/>
      </c>
      <c r="M10697" s="16" t="str">
        <f>IFERROR(__xludf.DUMMYFUNCTION("""COMPUTED_VALUE"""),"")</f>
        <v/>
      </c>
      <c r="U10697" s="16" t="s">
        <v>87</v>
      </c>
      <c r="V10697" s="16" t="str">
        <f>IFERROR(__xludf.DUMMYFUNCTION("""COMPUTED_VALUE"""),"")</f>
        <v/>
      </c>
      <c r="W10697" s="16" t="str">
        <f>IFERROR(__xludf.DUMMYFUNCTION("""COMPUTED_VALUE"""),"")</f>
        <v/>
      </c>
      <c r="X10697" s="16" t="str">
        <f>IFERROR(__xludf.DUMMYFUNCTION("""COMPUTED_VALUE"""),"")</f>
        <v/>
      </c>
      <c r="AC10697" s="16" t="str">
        <f>IFERROR(__xludf.DUMMYFUNCTION("""COMPUTED_VALUE"""),"")</f>
        <v/>
      </c>
    </row>
    <row r="10698">
      <c r="A10698" s="16" t="s">
        <v>87</v>
      </c>
      <c r="E10698" s="16" t="str">
        <f>IFERROR(__xludf.DUMMYFUNCTION("""COMPUTED_VALUE"""),"")</f>
        <v/>
      </c>
      <c r="G10698" s="18"/>
      <c r="H10698" s="16" t="s">
        <v>87</v>
      </c>
      <c r="I10698" s="16" t="s">
        <v>87</v>
      </c>
      <c r="J10698" s="19"/>
      <c r="L10698" s="16" t="str">
        <f>IFERROR(__xludf.DUMMYFUNCTION("""COMPUTED_VALUE"""),"")</f>
        <v/>
      </c>
      <c r="M10698" s="16" t="str">
        <f>IFERROR(__xludf.DUMMYFUNCTION("""COMPUTED_VALUE"""),"")</f>
        <v/>
      </c>
      <c r="U10698" s="16" t="s">
        <v>87</v>
      </c>
      <c r="V10698" s="16" t="str">
        <f>IFERROR(__xludf.DUMMYFUNCTION("""COMPUTED_VALUE"""),"")</f>
        <v/>
      </c>
      <c r="W10698" s="16" t="str">
        <f>IFERROR(__xludf.DUMMYFUNCTION("""COMPUTED_VALUE"""),"")</f>
        <v/>
      </c>
      <c r="X10698" s="16" t="str">
        <f>IFERROR(__xludf.DUMMYFUNCTION("""COMPUTED_VALUE"""),"")</f>
        <v/>
      </c>
      <c r="AC10698" s="16" t="str">
        <f>IFERROR(__xludf.DUMMYFUNCTION("""COMPUTED_VALUE"""),"")</f>
        <v/>
      </c>
    </row>
    <row r="10699">
      <c r="A10699" s="16" t="s">
        <v>87</v>
      </c>
      <c r="E10699" s="16" t="str">
        <f>IFERROR(__xludf.DUMMYFUNCTION("""COMPUTED_VALUE"""),"")</f>
        <v/>
      </c>
      <c r="G10699" s="18"/>
      <c r="H10699" s="16" t="s">
        <v>87</v>
      </c>
      <c r="I10699" s="16" t="s">
        <v>87</v>
      </c>
      <c r="J10699" s="19"/>
      <c r="L10699" s="16" t="str">
        <f>IFERROR(__xludf.DUMMYFUNCTION("""COMPUTED_VALUE"""),"")</f>
        <v/>
      </c>
      <c r="M10699" s="16" t="str">
        <f>IFERROR(__xludf.DUMMYFUNCTION("""COMPUTED_VALUE"""),"")</f>
        <v/>
      </c>
      <c r="U10699" s="16" t="s">
        <v>87</v>
      </c>
      <c r="V10699" s="16" t="str">
        <f>IFERROR(__xludf.DUMMYFUNCTION("""COMPUTED_VALUE"""),"")</f>
        <v/>
      </c>
      <c r="W10699" s="16" t="str">
        <f>IFERROR(__xludf.DUMMYFUNCTION("""COMPUTED_VALUE"""),"")</f>
        <v/>
      </c>
      <c r="X10699" s="16" t="str">
        <f>IFERROR(__xludf.DUMMYFUNCTION("""COMPUTED_VALUE"""),"")</f>
        <v/>
      </c>
      <c r="AC10699" s="16" t="str">
        <f>IFERROR(__xludf.DUMMYFUNCTION("""COMPUTED_VALUE"""),"")</f>
        <v/>
      </c>
    </row>
    <row r="10700">
      <c r="A10700" s="16" t="s">
        <v>87</v>
      </c>
      <c r="E10700" s="16" t="str">
        <f>IFERROR(__xludf.DUMMYFUNCTION("""COMPUTED_VALUE"""),"")</f>
        <v/>
      </c>
      <c r="G10700" s="18"/>
      <c r="H10700" s="16" t="s">
        <v>87</v>
      </c>
      <c r="I10700" s="16" t="s">
        <v>87</v>
      </c>
      <c r="J10700" s="19"/>
      <c r="L10700" s="16" t="str">
        <f>IFERROR(__xludf.DUMMYFUNCTION("""COMPUTED_VALUE"""),"")</f>
        <v/>
      </c>
      <c r="M10700" s="16" t="str">
        <f>IFERROR(__xludf.DUMMYFUNCTION("""COMPUTED_VALUE"""),"")</f>
        <v/>
      </c>
      <c r="U10700" s="16" t="s">
        <v>87</v>
      </c>
      <c r="V10700" s="16" t="str">
        <f>IFERROR(__xludf.DUMMYFUNCTION("""COMPUTED_VALUE"""),"")</f>
        <v/>
      </c>
      <c r="W10700" s="16" t="str">
        <f>IFERROR(__xludf.DUMMYFUNCTION("""COMPUTED_VALUE"""),"")</f>
        <v/>
      </c>
      <c r="X10700" s="16" t="str">
        <f>IFERROR(__xludf.DUMMYFUNCTION("""COMPUTED_VALUE"""),"")</f>
        <v/>
      </c>
      <c r="AC10700" s="16" t="str">
        <f>IFERROR(__xludf.DUMMYFUNCTION("""COMPUTED_VALUE"""),"")</f>
        <v/>
      </c>
    </row>
    <row r="10701">
      <c r="A10701" s="16" t="s">
        <v>87</v>
      </c>
      <c r="E10701" s="16" t="str">
        <f>IFERROR(__xludf.DUMMYFUNCTION("""COMPUTED_VALUE"""),"")</f>
        <v/>
      </c>
      <c r="G10701" s="18"/>
      <c r="H10701" s="16" t="s">
        <v>87</v>
      </c>
      <c r="I10701" s="16" t="s">
        <v>87</v>
      </c>
      <c r="J10701" s="19"/>
      <c r="L10701" s="16" t="str">
        <f>IFERROR(__xludf.DUMMYFUNCTION("""COMPUTED_VALUE"""),"")</f>
        <v/>
      </c>
      <c r="M10701" s="16" t="str">
        <f>IFERROR(__xludf.DUMMYFUNCTION("""COMPUTED_VALUE"""),"")</f>
        <v/>
      </c>
      <c r="U10701" s="16" t="s">
        <v>87</v>
      </c>
      <c r="V10701" s="16" t="str">
        <f>IFERROR(__xludf.DUMMYFUNCTION("""COMPUTED_VALUE"""),"")</f>
        <v/>
      </c>
      <c r="W10701" s="16" t="str">
        <f>IFERROR(__xludf.DUMMYFUNCTION("""COMPUTED_VALUE"""),"")</f>
        <v/>
      </c>
      <c r="X10701" s="16" t="str">
        <f>IFERROR(__xludf.DUMMYFUNCTION("""COMPUTED_VALUE"""),"")</f>
        <v/>
      </c>
      <c r="AC10701" s="16" t="str">
        <f>IFERROR(__xludf.DUMMYFUNCTION("""COMPUTED_VALUE"""),"")</f>
        <v/>
      </c>
    </row>
    <row r="10702">
      <c r="A10702" s="16" t="s">
        <v>87</v>
      </c>
      <c r="E10702" s="16" t="str">
        <f>IFERROR(__xludf.DUMMYFUNCTION("""COMPUTED_VALUE"""),"")</f>
        <v/>
      </c>
      <c r="G10702" s="18"/>
      <c r="H10702" s="16" t="s">
        <v>87</v>
      </c>
      <c r="I10702" s="16" t="s">
        <v>87</v>
      </c>
      <c r="J10702" s="19"/>
      <c r="L10702" s="16" t="str">
        <f>IFERROR(__xludf.DUMMYFUNCTION("""COMPUTED_VALUE"""),"")</f>
        <v/>
      </c>
      <c r="M10702" s="16" t="str">
        <f>IFERROR(__xludf.DUMMYFUNCTION("""COMPUTED_VALUE"""),"")</f>
        <v/>
      </c>
      <c r="U10702" s="16" t="s">
        <v>87</v>
      </c>
      <c r="V10702" s="16" t="str">
        <f>IFERROR(__xludf.DUMMYFUNCTION("""COMPUTED_VALUE"""),"")</f>
        <v/>
      </c>
      <c r="W10702" s="16" t="str">
        <f>IFERROR(__xludf.DUMMYFUNCTION("""COMPUTED_VALUE"""),"")</f>
        <v/>
      </c>
      <c r="X10702" s="16" t="str">
        <f>IFERROR(__xludf.DUMMYFUNCTION("""COMPUTED_VALUE"""),"")</f>
        <v/>
      </c>
      <c r="AC10702" s="16" t="str">
        <f>IFERROR(__xludf.DUMMYFUNCTION("""COMPUTED_VALUE"""),"")</f>
        <v/>
      </c>
    </row>
    <row r="10703">
      <c r="A10703" s="16" t="s">
        <v>87</v>
      </c>
      <c r="E10703" s="16" t="str">
        <f>IFERROR(__xludf.DUMMYFUNCTION("""COMPUTED_VALUE"""),"")</f>
        <v/>
      </c>
      <c r="G10703" s="18"/>
      <c r="H10703" s="16" t="s">
        <v>87</v>
      </c>
      <c r="I10703" s="16" t="s">
        <v>87</v>
      </c>
      <c r="J10703" s="19"/>
      <c r="L10703" s="16" t="str">
        <f>IFERROR(__xludf.DUMMYFUNCTION("""COMPUTED_VALUE"""),"")</f>
        <v/>
      </c>
      <c r="M10703" s="16" t="str">
        <f>IFERROR(__xludf.DUMMYFUNCTION("""COMPUTED_VALUE"""),"")</f>
        <v/>
      </c>
      <c r="U10703" s="16" t="s">
        <v>87</v>
      </c>
      <c r="V10703" s="16" t="str">
        <f>IFERROR(__xludf.DUMMYFUNCTION("""COMPUTED_VALUE"""),"")</f>
        <v/>
      </c>
      <c r="W10703" s="16" t="str">
        <f>IFERROR(__xludf.DUMMYFUNCTION("""COMPUTED_VALUE"""),"")</f>
        <v/>
      </c>
      <c r="X10703" s="16" t="str">
        <f>IFERROR(__xludf.DUMMYFUNCTION("""COMPUTED_VALUE"""),"")</f>
        <v/>
      </c>
      <c r="AC10703" s="16" t="str">
        <f>IFERROR(__xludf.DUMMYFUNCTION("""COMPUTED_VALUE"""),"")</f>
        <v/>
      </c>
    </row>
    <row r="10704">
      <c r="A10704" s="16" t="s">
        <v>87</v>
      </c>
      <c r="E10704" s="16" t="str">
        <f>IFERROR(__xludf.DUMMYFUNCTION("""COMPUTED_VALUE"""),"")</f>
        <v/>
      </c>
      <c r="G10704" s="18"/>
      <c r="H10704" s="16" t="s">
        <v>87</v>
      </c>
      <c r="I10704" s="16" t="s">
        <v>87</v>
      </c>
      <c r="J10704" s="19"/>
      <c r="L10704" s="16" t="str">
        <f>IFERROR(__xludf.DUMMYFUNCTION("""COMPUTED_VALUE"""),"")</f>
        <v/>
      </c>
      <c r="M10704" s="16" t="str">
        <f>IFERROR(__xludf.DUMMYFUNCTION("""COMPUTED_VALUE"""),"")</f>
        <v/>
      </c>
      <c r="U10704" s="16" t="s">
        <v>87</v>
      </c>
      <c r="V10704" s="16" t="str">
        <f>IFERROR(__xludf.DUMMYFUNCTION("""COMPUTED_VALUE"""),"")</f>
        <v/>
      </c>
      <c r="W10704" s="16" t="str">
        <f>IFERROR(__xludf.DUMMYFUNCTION("""COMPUTED_VALUE"""),"")</f>
        <v/>
      </c>
      <c r="X10704" s="16" t="str">
        <f>IFERROR(__xludf.DUMMYFUNCTION("""COMPUTED_VALUE"""),"")</f>
        <v/>
      </c>
      <c r="AC10704" s="16" t="str">
        <f>IFERROR(__xludf.DUMMYFUNCTION("""COMPUTED_VALUE"""),"")</f>
        <v/>
      </c>
    </row>
    <row r="10705">
      <c r="A10705" s="16" t="s">
        <v>87</v>
      </c>
      <c r="E10705" s="16" t="str">
        <f>IFERROR(__xludf.DUMMYFUNCTION("""COMPUTED_VALUE"""),"")</f>
        <v/>
      </c>
      <c r="G10705" s="18"/>
      <c r="H10705" s="16" t="s">
        <v>87</v>
      </c>
      <c r="I10705" s="16" t="s">
        <v>87</v>
      </c>
      <c r="J10705" s="19"/>
      <c r="L10705" s="16" t="str">
        <f>IFERROR(__xludf.DUMMYFUNCTION("""COMPUTED_VALUE"""),"")</f>
        <v/>
      </c>
      <c r="M10705" s="16" t="str">
        <f>IFERROR(__xludf.DUMMYFUNCTION("""COMPUTED_VALUE"""),"")</f>
        <v/>
      </c>
      <c r="U10705" s="16" t="s">
        <v>87</v>
      </c>
      <c r="V10705" s="16" t="str">
        <f>IFERROR(__xludf.DUMMYFUNCTION("""COMPUTED_VALUE"""),"")</f>
        <v/>
      </c>
      <c r="W10705" s="16" t="str">
        <f>IFERROR(__xludf.DUMMYFUNCTION("""COMPUTED_VALUE"""),"")</f>
        <v/>
      </c>
      <c r="X10705" s="16" t="str">
        <f>IFERROR(__xludf.DUMMYFUNCTION("""COMPUTED_VALUE"""),"")</f>
        <v/>
      </c>
      <c r="AC10705" s="16" t="str">
        <f>IFERROR(__xludf.DUMMYFUNCTION("""COMPUTED_VALUE"""),"")</f>
        <v/>
      </c>
    </row>
    <row r="10706">
      <c r="A10706" s="16" t="s">
        <v>87</v>
      </c>
      <c r="E10706" s="16" t="str">
        <f>IFERROR(__xludf.DUMMYFUNCTION("""COMPUTED_VALUE"""),"")</f>
        <v/>
      </c>
      <c r="G10706" s="18"/>
      <c r="H10706" s="16" t="s">
        <v>87</v>
      </c>
      <c r="I10706" s="16" t="s">
        <v>87</v>
      </c>
      <c r="J10706" s="19"/>
      <c r="L10706" s="16" t="str">
        <f>IFERROR(__xludf.DUMMYFUNCTION("""COMPUTED_VALUE"""),"")</f>
        <v/>
      </c>
      <c r="M10706" s="16" t="str">
        <f>IFERROR(__xludf.DUMMYFUNCTION("""COMPUTED_VALUE"""),"")</f>
        <v/>
      </c>
      <c r="U10706" s="16" t="s">
        <v>87</v>
      </c>
      <c r="V10706" s="16" t="str">
        <f>IFERROR(__xludf.DUMMYFUNCTION("""COMPUTED_VALUE"""),"")</f>
        <v/>
      </c>
      <c r="W10706" s="16" t="str">
        <f>IFERROR(__xludf.DUMMYFUNCTION("""COMPUTED_VALUE"""),"")</f>
        <v/>
      </c>
      <c r="X10706" s="16" t="str">
        <f>IFERROR(__xludf.DUMMYFUNCTION("""COMPUTED_VALUE"""),"")</f>
        <v/>
      </c>
      <c r="AC10706" s="16" t="str">
        <f>IFERROR(__xludf.DUMMYFUNCTION("""COMPUTED_VALUE"""),"")</f>
        <v/>
      </c>
    </row>
    <row r="10707">
      <c r="A10707" s="16" t="s">
        <v>87</v>
      </c>
      <c r="E10707" s="16" t="str">
        <f>IFERROR(__xludf.DUMMYFUNCTION("""COMPUTED_VALUE"""),"")</f>
        <v/>
      </c>
      <c r="G10707" s="18"/>
      <c r="H10707" s="16" t="s">
        <v>87</v>
      </c>
      <c r="I10707" s="16" t="s">
        <v>87</v>
      </c>
      <c r="J10707" s="19"/>
      <c r="L10707" s="16" t="str">
        <f>IFERROR(__xludf.DUMMYFUNCTION("""COMPUTED_VALUE"""),"")</f>
        <v/>
      </c>
      <c r="M10707" s="16" t="str">
        <f>IFERROR(__xludf.DUMMYFUNCTION("""COMPUTED_VALUE"""),"")</f>
        <v/>
      </c>
      <c r="U10707" s="16" t="s">
        <v>87</v>
      </c>
      <c r="V10707" s="16" t="str">
        <f>IFERROR(__xludf.DUMMYFUNCTION("""COMPUTED_VALUE"""),"")</f>
        <v/>
      </c>
      <c r="W10707" s="16" t="str">
        <f>IFERROR(__xludf.DUMMYFUNCTION("""COMPUTED_VALUE"""),"")</f>
        <v/>
      </c>
      <c r="X10707" s="16" t="str">
        <f>IFERROR(__xludf.DUMMYFUNCTION("""COMPUTED_VALUE"""),"")</f>
        <v/>
      </c>
      <c r="AC10707" s="16" t="str">
        <f>IFERROR(__xludf.DUMMYFUNCTION("""COMPUTED_VALUE"""),"")</f>
        <v/>
      </c>
    </row>
    <row r="10708">
      <c r="A10708" s="16" t="s">
        <v>87</v>
      </c>
      <c r="E10708" s="16" t="str">
        <f>IFERROR(__xludf.DUMMYFUNCTION("""COMPUTED_VALUE"""),"")</f>
        <v/>
      </c>
      <c r="G10708" s="18"/>
      <c r="H10708" s="16" t="s">
        <v>87</v>
      </c>
      <c r="I10708" s="16" t="s">
        <v>87</v>
      </c>
      <c r="J10708" s="19"/>
      <c r="L10708" s="16" t="str">
        <f>IFERROR(__xludf.DUMMYFUNCTION("""COMPUTED_VALUE"""),"")</f>
        <v/>
      </c>
      <c r="M10708" s="16" t="str">
        <f>IFERROR(__xludf.DUMMYFUNCTION("""COMPUTED_VALUE"""),"")</f>
        <v/>
      </c>
      <c r="U10708" s="16" t="s">
        <v>87</v>
      </c>
      <c r="V10708" s="16" t="str">
        <f>IFERROR(__xludf.DUMMYFUNCTION("""COMPUTED_VALUE"""),"")</f>
        <v/>
      </c>
      <c r="W10708" s="16" t="str">
        <f>IFERROR(__xludf.DUMMYFUNCTION("""COMPUTED_VALUE"""),"")</f>
        <v/>
      </c>
      <c r="X10708" s="16" t="str">
        <f>IFERROR(__xludf.DUMMYFUNCTION("""COMPUTED_VALUE"""),"")</f>
        <v/>
      </c>
      <c r="AC10708" s="16" t="str">
        <f>IFERROR(__xludf.DUMMYFUNCTION("""COMPUTED_VALUE"""),"")</f>
        <v/>
      </c>
    </row>
    <row r="10709">
      <c r="A10709" s="16" t="s">
        <v>87</v>
      </c>
      <c r="E10709" s="16" t="str">
        <f>IFERROR(__xludf.DUMMYFUNCTION("""COMPUTED_VALUE"""),"")</f>
        <v/>
      </c>
      <c r="G10709" s="18"/>
      <c r="H10709" s="16" t="s">
        <v>87</v>
      </c>
      <c r="I10709" s="16" t="s">
        <v>87</v>
      </c>
      <c r="J10709" s="19"/>
      <c r="L10709" s="16" t="str">
        <f>IFERROR(__xludf.DUMMYFUNCTION("""COMPUTED_VALUE"""),"")</f>
        <v/>
      </c>
      <c r="M10709" s="16" t="str">
        <f>IFERROR(__xludf.DUMMYFUNCTION("""COMPUTED_VALUE"""),"")</f>
        <v/>
      </c>
      <c r="U10709" s="16" t="s">
        <v>87</v>
      </c>
      <c r="V10709" s="16" t="str">
        <f>IFERROR(__xludf.DUMMYFUNCTION("""COMPUTED_VALUE"""),"")</f>
        <v/>
      </c>
      <c r="W10709" s="16" t="str">
        <f>IFERROR(__xludf.DUMMYFUNCTION("""COMPUTED_VALUE"""),"")</f>
        <v/>
      </c>
      <c r="X10709" s="16" t="str">
        <f>IFERROR(__xludf.DUMMYFUNCTION("""COMPUTED_VALUE"""),"")</f>
        <v/>
      </c>
      <c r="AC10709" s="16" t="str">
        <f>IFERROR(__xludf.DUMMYFUNCTION("""COMPUTED_VALUE"""),"")</f>
        <v/>
      </c>
    </row>
    <row r="10710">
      <c r="A10710" s="16" t="s">
        <v>87</v>
      </c>
      <c r="E10710" s="16" t="str">
        <f>IFERROR(__xludf.DUMMYFUNCTION("""COMPUTED_VALUE"""),"")</f>
        <v/>
      </c>
      <c r="G10710" s="18"/>
      <c r="H10710" s="16" t="s">
        <v>87</v>
      </c>
      <c r="I10710" s="16" t="s">
        <v>87</v>
      </c>
      <c r="J10710" s="19"/>
      <c r="L10710" s="16" t="str">
        <f>IFERROR(__xludf.DUMMYFUNCTION("""COMPUTED_VALUE"""),"")</f>
        <v/>
      </c>
      <c r="M10710" s="16" t="str">
        <f>IFERROR(__xludf.DUMMYFUNCTION("""COMPUTED_VALUE"""),"")</f>
        <v/>
      </c>
      <c r="U10710" s="16" t="s">
        <v>87</v>
      </c>
      <c r="V10710" s="16" t="str">
        <f>IFERROR(__xludf.DUMMYFUNCTION("""COMPUTED_VALUE"""),"")</f>
        <v/>
      </c>
      <c r="W10710" s="16" t="str">
        <f>IFERROR(__xludf.DUMMYFUNCTION("""COMPUTED_VALUE"""),"")</f>
        <v/>
      </c>
      <c r="X10710" s="16" t="str">
        <f>IFERROR(__xludf.DUMMYFUNCTION("""COMPUTED_VALUE"""),"")</f>
        <v/>
      </c>
      <c r="AC10710" s="16" t="str">
        <f>IFERROR(__xludf.DUMMYFUNCTION("""COMPUTED_VALUE"""),"")</f>
        <v/>
      </c>
    </row>
    <row r="10711">
      <c r="A10711" s="16" t="s">
        <v>87</v>
      </c>
      <c r="E10711" s="16" t="str">
        <f>IFERROR(__xludf.DUMMYFUNCTION("""COMPUTED_VALUE"""),"")</f>
        <v/>
      </c>
      <c r="G10711" s="18"/>
      <c r="H10711" s="16" t="s">
        <v>87</v>
      </c>
      <c r="I10711" s="16" t="s">
        <v>87</v>
      </c>
      <c r="J10711" s="19"/>
      <c r="L10711" s="16" t="str">
        <f>IFERROR(__xludf.DUMMYFUNCTION("""COMPUTED_VALUE"""),"")</f>
        <v/>
      </c>
      <c r="M10711" s="16" t="str">
        <f>IFERROR(__xludf.DUMMYFUNCTION("""COMPUTED_VALUE"""),"")</f>
        <v/>
      </c>
      <c r="U10711" s="16" t="s">
        <v>87</v>
      </c>
      <c r="V10711" s="16" t="str">
        <f>IFERROR(__xludf.DUMMYFUNCTION("""COMPUTED_VALUE"""),"")</f>
        <v/>
      </c>
      <c r="W10711" s="16" t="str">
        <f>IFERROR(__xludf.DUMMYFUNCTION("""COMPUTED_VALUE"""),"")</f>
        <v/>
      </c>
      <c r="X10711" s="16" t="str">
        <f>IFERROR(__xludf.DUMMYFUNCTION("""COMPUTED_VALUE"""),"")</f>
        <v/>
      </c>
      <c r="AC10711" s="16" t="str">
        <f>IFERROR(__xludf.DUMMYFUNCTION("""COMPUTED_VALUE"""),"")</f>
        <v/>
      </c>
    </row>
    <row r="10712">
      <c r="A10712" s="16" t="s">
        <v>87</v>
      </c>
      <c r="E10712" s="16" t="str">
        <f>IFERROR(__xludf.DUMMYFUNCTION("""COMPUTED_VALUE"""),"")</f>
        <v/>
      </c>
      <c r="G10712" s="18"/>
      <c r="H10712" s="16" t="s">
        <v>87</v>
      </c>
      <c r="I10712" s="16" t="s">
        <v>87</v>
      </c>
      <c r="J10712" s="19"/>
      <c r="L10712" s="16" t="str">
        <f>IFERROR(__xludf.DUMMYFUNCTION("""COMPUTED_VALUE"""),"")</f>
        <v/>
      </c>
      <c r="M10712" s="16" t="str">
        <f>IFERROR(__xludf.DUMMYFUNCTION("""COMPUTED_VALUE"""),"")</f>
        <v/>
      </c>
      <c r="U10712" s="16" t="s">
        <v>87</v>
      </c>
      <c r="V10712" s="16" t="str">
        <f>IFERROR(__xludf.DUMMYFUNCTION("""COMPUTED_VALUE"""),"")</f>
        <v/>
      </c>
      <c r="W10712" s="16" t="str">
        <f>IFERROR(__xludf.DUMMYFUNCTION("""COMPUTED_VALUE"""),"")</f>
        <v/>
      </c>
      <c r="X10712" s="16" t="str">
        <f>IFERROR(__xludf.DUMMYFUNCTION("""COMPUTED_VALUE"""),"")</f>
        <v/>
      </c>
      <c r="AC10712" s="16" t="str">
        <f>IFERROR(__xludf.DUMMYFUNCTION("""COMPUTED_VALUE"""),"")</f>
        <v/>
      </c>
    </row>
    <row r="10713">
      <c r="A10713" s="16" t="s">
        <v>87</v>
      </c>
      <c r="E10713" s="16" t="str">
        <f>IFERROR(__xludf.DUMMYFUNCTION("""COMPUTED_VALUE"""),"")</f>
        <v/>
      </c>
      <c r="G10713" s="18"/>
      <c r="H10713" s="16" t="s">
        <v>87</v>
      </c>
      <c r="I10713" s="16" t="s">
        <v>87</v>
      </c>
      <c r="J10713" s="19"/>
      <c r="L10713" s="16" t="str">
        <f>IFERROR(__xludf.DUMMYFUNCTION("""COMPUTED_VALUE"""),"")</f>
        <v/>
      </c>
      <c r="M10713" s="16" t="str">
        <f>IFERROR(__xludf.DUMMYFUNCTION("""COMPUTED_VALUE"""),"")</f>
        <v/>
      </c>
      <c r="U10713" s="16" t="s">
        <v>87</v>
      </c>
      <c r="V10713" s="16" t="str">
        <f>IFERROR(__xludf.DUMMYFUNCTION("""COMPUTED_VALUE"""),"")</f>
        <v/>
      </c>
      <c r="W10713" s="16" t="str">
        <f>IFERROR(__xludf.DUMMYFUNCTION("""COMPUTED_VALUE"""),"")</f>
        <v/>
      </c>
      <c r="X10713" s="16" t="str">
        <f>IFERROR(__xludf.DUMMYFUNCTION("""COMPUTED_VALUE"""),"")</f>
        <v/>
      </c>
      <c r="AC10713" s="16" t="str">
        <f>IFERROR(__xludf.DUMMYFUNCTION("""COMPUTED_VALUE"""),"")</f>
        <v/>
      </c>
    </row>
    <row r="10714">
      <c r="A10714" s="16" t="s">
        <v>87</v>
      </c>
      <c r="E10714" s="16" t="str">
        <f>IFERROR(__xludf.DUMMYFUNCTION("""COMPUTED_VALUE"""),"")</f>
        <v/>
      </c>
      <c r="G10714" s="18"/>
      <c r="H10714" s="16" t="s">
        <v>87</v>
      </c>
      <c r="I10714" s="16" t="s">
        <v>87</v>
      </c>
      <c r="J10714" s="19"/>
      <c r="L10714" s="16" t="str">
        <f>IFERROR(__xludf.DUMMYFUNCTION("""COMPUTED_VALUE"""),"")</f>
        <v/>
      </c>
      <c r="M10714" s="16" t="str">
        <f>IFERROR(__xludf.DUMMYFUNCTION("""COMPUTED_VALUE"""),"")</f>
        <v/>
      </c>
      <c r="U10714" s="16" t="s">
        <v>87</v>
      </c>
      <c r="V10714" s="16" t="str">
        <f>IFERROR(__xludf.DUMMYFUNCTION("""COMPUTED_VALUE"""),"")</f>
        <v/>
      </c>
      <c r="W10714" s="16" t="str">
        <f>IFERROR(__xludf.DUMMYFUNCTION("""COMPUTED_VALUE"""),"")</f>
        <v/>
      </c>
      <c r="X10714" s="16" t="str">
        <f>IFERROR(__xludf.DUMMYFUNCTION("""COMPUTED_VALUE"""),"")</f>
        <v/>
      </c>
      <c r="AC10714" s="16" t="str">
        <f>IFERROR(__xludf.DUMMYFUNCTION("""COMPUTED_VALUE"""),"")</f>
        <v/>
      </c>
    </row>
    <row r="10715">
      <c r="A10715" s="16" t="s">
        <v>87</v>
      </c>
      <c r="E10715" s="16" t="str">
        <f>IFERROR(__xludf.DUMMYFUNCTION("""COMPUTED_VALUE"""),"")</f>
        <v/>
      </c>
      <c r="G10715" s="18"/>
      <c r="H10715" s="16" t="s">
        <v>87</v>
      </c>
      <c r="I10715" s="16" t="s">
        <v>87</v>
      </c>
      <c r="J10715" s="19"/>
      <c r="L10715" s="16" t="str">
        <f>IFERROR(__xludf.DUMMYFUNCTION("""COMPUTED_VALUE"""),"")</f>
        <v/>
      </c>
      <c r="M10715" s="16" t="str">
        <f>IFERROR(__xludf.DUMMYFUNCTION("""COMPUTED_VALUE"""),"")</f>
        <v/>
      </c>
      <c r="U10715" s="16" t="s">
        <v>87</v>
      </c>
      <c r="V10715" s="16" t="str">
        <f>IFERROR(__xludf.DUMMYFUNCTION("""COMPUTED_VALUE"""),"")</f>
        <v/>
      </c>
      <c r="W10715" s="16" t="str">
        <f>IFERROR(__xludf.DUMMYFUNCTION("""COMPUTED_VALUE"""),"")</f>
        <v/>
      </c>
      <c r="X10715" s="16" t="str">
        <f>IFERROR(__xludf.DUMMYFUNCTION("""COMPUTED_VALUE"""),"")</f>
        <v/>
      </c>
      <c r="AC10715" s="16" t="str">
        <f>IFERROR(__xludf.DUMMYFUNCTION("""COMPUTED_VALUE"""),"")</f>
        <v/>
      </c>
    </row>
    <row r="10716">
      <c r="A10716" s="16" t="s">
        <v>87</v>
      </c>
      <c r="E10716" s="16" t="str">
        <f>IFERROR(__xludf.DUMMYFUNCTION("""COMPUTED_VALUE"""),"")</f>
        <v/>
      </c>
      <c r="G10716" s="18"/>
      <c r="H10716" s="16" t="s">
        <v>87</v>
      </c>
      <c r="I10716" s="16" t="s">
        <v>87</v>
      </c>
      <c r="J10716" s="19"/>
      <c r="L10716" s="16" t="str">
        <f>IFERROR(__xludf.DUMMYFUNCTION("""COMPUTED_VALUE"""),"")</f>
        <v/>
      </c>
      <c r="M10716" s="16" t="str">
        <f>IFERROR(__xludf.DUMMYFUNCTION("""COMPUTED_VALUE"""),"")</f>
        <v/>
      </c>
      <c r="U10716" s="16" t="s">
        <v>87</v>
      </c>
      <c r="V10716" s="16" t="str">
        <f>IFERROR(__xludf.DUMMYFUNCTION("""COMPUTED_VALUE"""),"")</f>
        <v/>
      </c>
      <c r="W10716" s="16" t="str">
        <f>IFERROR(__xludf.DUMMYFUNCTION("""COMPUTED_VALUE"""),"")</f>
        <v/>
      </c>
      <c r="X10716" s="16" t="str">
        <f>IFERROR(__xludf.DUMMYFUNCTION("""COMPUTED_VALUE"""),"")</f>
        <v/>
      </c>
      <c r="AC10716" s="16" t="str">
        <f>IFERROR(__xludf.DUMMYFUNCTION("""COMPUTED_VALUE"""),"")</f>
        <v/>
      </c>
    </row>
    <row r="10717">
      <c r="A10717" s="16" t="s">
        <v>87</v>
      </c>
      <c r="E10717" s="16" t="str">
        <f>IFERROR(__xludf.DUMMYFUNCTION("""COMPUTED_VALUE"""),"")</f>
        <v/>
      </c>
      <c r="G10717" s="18"/>
      <c r="H10717" s="16" t="s">
        <v>87</v>
      </c>
      <c r="I10717" s="16" t="s">
        <v>87</v>
      </c>
      <c r="J10717" s="19"/>
      <c r="L10717" s="16" t="str">
        <f>IFERROR(__xludf.DUMMYFUNCTION("""COMPUTED_VALUE"""),"")</f>
        <v/>
      </c>
      <c r="M10717" s="16" t="str">
        <f>IFERROR(__xludf.DUMMYFUNCTION("""COMPUTED_VALUE"""),"")</f>
        <v/>
      </c>
      <c r="U10717" s="16" t="s">
        <v>87</v>
      </c>
      <c r="V10717" s="16" t="str">
        <f>IFERROR(__xludf.DUMMYFUNCTION("""COMPUTED_VALUE"""),"")</f>
        <v/>
      </c>
      <c r="W10717" s="16" t="str">
        <f>IFERROR(__xludf.DUMMYFUNCTION("""COMPUTED_VALUE"""),"")</f>
        <v/>
      </c>
      <c r="X10717" s="16" t="str">
        <f>IFERROR(__xludf.DUMMYFUNCTION("""COMPUTED_VALUE"""),"")</f>
        <v/>
      </c>
      <c r="AC10717" s="16" t="str">
        <f>IFERROR(__xludf.DUMMYFUNCTION("""COMPUTED_VALUE"""),"")</f>
        <v/>
      </c>
    </row>
    <row r="10718">
      <c r="A10718" s="16" t="s">
        <v>87</v>
      </c>
      <c r="E10718" s="16" t="str">
        <f>IFERROR(__xludf.DUMMYFUNCTION("""COMPUTED_VALUE"""),"")</f>
        <v/>
      </c>
      <c r="G10718" s="18"/>
      <c r="H10718" s="16" t="s">
        <v>87</v>
      </c>
      <c r="I10718" s="16" t="s">
        <v>87</v>
      </c>
      <c r="J10718" s="19"/>
      <c r="L10718" s="16" t="str">
        <f>IFERROR(__xludf.DUMMYFUNCTION("""COMPUTED_VALUE"""),"")</f>
        <v/>
      </c>
      <c r="M10718" s="16" t="str">
        <f>IFERROR(__xludf.DUMMYFUNCTION("""COMPUTED_VALUE"""),"")</f>
        <v/>
      </c>
      <c r="U10718" s="16" t="s">
        <v>87</v>
      </c>
      <c r="V10718" s="16" t="str">
        <f>IFERROR(__xludf.DUMMYFUNCTION("""COMPUTED_VALUE"""),"")</f>
        <v/>
      </c>
      <c r="W10718" s="16" t="str">
        <f>IFERROR(__xludf.DUMMYFUNCTION("""COMPUTED_VALUE"""),"")</f>
        <v/>
      </c>
      <c r="X10718" s="16" t="str">
        <f>IFERROR(__xludf.DUMMYFUNCTION("""COMPUTED_VALUE"""),"")</f>
        <v/>
      </c>
      <c r="AC10718" s="16" t="str">
        <f>IFERROR(__xludf.DUMMYFUNCTION("""COMPUTED_VALUE"""),"")</f>
        <v/>
      </c>
    </row>
    <row r="10719">
      <c r="A10719" s="16" t="s">
        <v>87</v>
      </c>
      <c r="E10719" s="16" t="str">
        <f>IFERROR(__xludf.DUMMYFUNCTION("""COMPUTED_VALUE"""),"")</f>
        <v/>
      </c>
      <c r="G10719" s="18"/>
      <c r="H10719" s="16" t="s">
        <v>87</v>
      </c>
      <c r="I10719" s="16" t="s">
        <v>87</v>
      </c>
      <c r="J10719" s="19"/>
      <c r="L10719" s="16" t="str">
        <f>IFERROR(__xludf.DUMMYFUNCTION("""COMPUTED_VALUE"""),"")</f>
        <v/>
      </c>
      <c r="M10719" s="16" t="str">
        <f>IFERROR(__xludf.DUMMYFUNCTION("""COMPUTED_VALUE"""),"")</f>
        <v/>
      </c>
      <c r="U10719" s="16" t="s">
        <v>87</v>
      </c>
      <c r="V10719" s="16" t="str">
        <f>IFERROR(__xludf.DUMMYFUNCTION("""COMPUTED_VALUE"""),"")</f>
        <v/>
      </c>
      <c r="W10719" s="16" t="str">
        <f>IFERROR(__xludf.DUMMYFUNCTION("""COMPUTED_VALUE"""),"")</f>
        <v/>
      </c>
      <c r="X10719" s="16" t="str">
        <f>IFERROR(__xludf.DUMMYFUNCTION("""COMPUTED_VALUE"""),"")</f>
        <v/>
      </c>
      <c r="AC10719" s="16" t="str">
        <f>IFERROR(__xludf.DUMMYFUNCTION("""COMPUTED_VALUE"""),"")</f>
        <v/>
      </c>
    </row>
    <row r="10720">
      <c r="A10720" s="16" t="s">
        <v>87</v>
      </c>
      <c r="E10720" s="16" t="str">
        <f>IFERROR(__xludf.DUMMYFUNCTION("""COMPUTED_VALUE"""),"")</f>
        <v/>
      </c>
      <c r="G10720" s="18"/>
      <c r="H10720" s="16" t="s">
        <v>87</v>
      </c>
      <c r="I10720" s="16" t="s">
        <v>87</v>
      </c>
      <c r="J10720" s="19"/>
      <c r="L10720" s="16" t="str">
        <f>IFERROR(__xludf.DUMMYFUNCTION("""COMPUTED_VALUE"""),"")</f>
        <v/>
      </c>
      <c r="M10720" s="16" t="str">
        <f>IFERROR(__xludf.DUMMYFUNCTION("""COMPUTED_VALUE"""),"")</f>
        <v/>
      </c>
      <c r="U10720" s="16" t="s">
        <v>87</v>
      </c>
      <c r="V10720" s="16" t="str">
        <f>IFERROR(__xludf.DUMMYFUNCTION("""COMPUTED_VALUE"""),"")</f>
        <v/>
      </c>
      <c r="W10720" s="16" t="str">
        <f>IFERROR(__xludf.DUMMYFUNCTION("""COMPUTED_VALUE"""),"")</f>
        <v/>
      </c>
      <c r="X10720" s="16" t="str">
        <f>IFERROR(__xludf.DUMMYFUNCTION("""COMPUTED_VALUE"""),"")</f>
        <v/>
      </c>
      <c r="AC10720" s="16" t="str">
        <f>IFERROR(__xludf.DUMMYFUNCTION("""COMPUTED_VALUE"""),"")</f>
        <v/>
      </c>
    </row>
    <row r="10721">
      <c r="A10721" s="16" t="s">
        <v>87</v>
      </c>
      <c r="E10721" s="16" t="str">
        <f>IFERROR(__xludf.DUMMYFUNCTION("""COMPUTED_VALUE"""),"")</f>
        <v/>
      </c>
      <c r="G10721" s="18"/>
      <c r="H10721" s="16" t="s">
        <v>87</v>
      </c>
      <c r="I10721" s="16" t="s">
        <v>87</v>
      </c>
      <c r="J10721" s="19"/>
      <c r="L10721" s="16" t="str">
        <f>IFERROR(__xludf.DUMMYFUNCTION("""COMPUTED_VALUE"""),"")</f>
        <v/>
      </c>
      <c r="M10721" s="16" t="str">
        <f>IFERROR(__xludf.DUMMYFUNCTION("""COMPUTED_VALUE"""),"")</f>
        <v/>
      </c>
      <c r="U10721" s="16" t="s">
        <v>87</v>
      </c>
      <c r="V10721" s="16" t="str">
        <f>IFERROR(__xludf.DUMMYFUNCTION("""COMPUTED_VALUE"""),"")</f>
        <v/>
      </c>
      <c r="W10721" s="16" t="str">
        <f>IFERROR(__xludf.DUMMYFUNCTION("""COMPUTED_VALUE"""),"")</f>
        <v/>
      </c>
      <c r="X10721" s="16" t="str">
        <f>IFERROR(__xludf.DUMMYFUNCTION("""COMPUTED_VALUE"""),"")</f>
        <v/>
      </c>
      <c r="AC10721" s="16" t="str">
        <f>IFERROR(__xludf.DUMMYFUNCTION("""COMPUTED_VALUE"""),"")</f>
        <v/>
      </c>
    </row>
    <row r="10722">
      <c r="A10722" s="16" t="s">
        <v>87</v>
      </c>
      <c r="E10722" s="16" t="str">
        <f>IFERROR(__xludf.DUMMYFUNCTION("""COMPUTED_VALUE"""),"")</f>
        <v/>
      </c>
      <c r="G10722" s="18"/>
      <c r="H10722" s="16" t="s">
        <v>87</v>
      </c>
      <c r="I10722" s="16" t="s">
        <v>87</v>
      </c>
      <c r="J10722" s="19"/>
      <c r="L10722" s="16" t="str">
        <f>IFERROR(__xludf.DUMMYFUNCTION("""COMPUTED_VALUE"""),"")</f>
        <v/>
      </c>
      <c r="M10722" s="16" t="str">
        <f>IFERROR(__xludf.DUMMYFUNCTION("""COMPUTED_VALUE"""),"")</f>
        <v/>
      </c>
      <c r="U10722" s="16" t="s">
        <v>87</v>
      </c>
      <c r="V10722" s="16" t="str">
        <f>IFERROR(__xludf.DUMMYFUNCTION("""COMPUTED_VALUE"""),"")</f>
        <v/>
      </c>
      <c r="W10722" s="16" t="str">
        <f>IFERROR(__xludf.DUMMYFUNCTION("""COMPUTED_VALUE"""),"")</f>
        <v/>
      </c>
      <c r="X10722" s="16" t="str">
        <f>IFERROR(__xludf.DUMMYFUNCTION("""COMPUTED_VALUE"""),"")</f>
        <v/>
      </c>
      <c r="AC10722" s="16" t="str">
        <f>IFERROR(__xludf.DUMMYFUNCTION("""COMPUTED_VALUE"""),"")</f>
        <v/>
      </c>
    </row>
    <row r="10723">
      <c r="A10723" s="16" t="s">
        <v>87</v>
      </c>
      <c r="E10723" s="16" t="str">
        <f>IFERROR(__xludf.DUMMYFUNCTION("""COMPUTED_VALUE"""),"")</f>
        <v/>
      </c>
      <c r="G10723" s="18"/>
      <c r="H10723" s="16" t="s">
        <v>87</v>
      </c>
      <c r="I10723" s="16" t="s">
        <v>87</v>
      </c>
      <c r="J10723" s="19"/>
      <c r="L10723" s="16" t="str">
        <f>IFERROR(__xludf.DUMMYFUNCTION("""COMPUTED_VALUE"""),"")</f>
        <v/>
      </c>
      <c r="M10723" s="16" t="str">
        <f>IFERROR(__xludf.DUMMYFUNCTION("""COMPUTED_VALUE"""),"")</f>
        <v/>
      </c>
      <c r="U10723" s="16" t="s">
        <v>87</v>
      </c>
      <c r="V10723" s="16" t="str">
        <f>IFERROR(__xludf.DUMMYFUNCTION("""COMPUTED_VALUE"""),"")</f>
        <v/>
      </c>
      <c r="W10723" s="16" t="str">
        <f>IFERROR(__xludf.DUMMYFUNCTION("""COMPUTED_VALUE"""),"")</f>
        <v/>
      </c>
      <c r="X10723" s="16" t="str">
        <f>IFERROR(__xludf.DUMMYFUNCTION("""COMPUTED_VALUE"""),"")</f>
        <v/>
      </c>
      <c r="AC10723" s="16" t="str">
        <f>IFERROR(__xludf.DUMMYFUNCTION("""COMPUTED_VALUE"""),"")</f>
        <v/>
      </c>
    </row>
    <row r="10724">
      <c r="A10724" s="16" t="s">
        <v>87</v>
      </c>
      <c r="E10724" s="16" t="str">
        <f>IFERROR(__xludf.DUMMYFUNCTION("""COMPUTED_VALUE"""),"")</f>
        <v/>
      </c>
      <c r="G10724" s="18"/>
      <c r="H10724" s="16" t="s">
        <v>87</v>
      </c>
      <c r="I10724" s="16" t="s">
        <v>87</v>
      </c>
      <c r="J10724" s="19"/>
      <c r="L10724" s="16" t="str">
        <f>IFERROR(__xludf.DUMMYFUNCTION("""COMPUTED_VALUE"""),"")</f>
        <v/>
      </c>
      <c r="M10724" s="16" t="str">
        <f>IFERROR(__xludf.DUMMYFUNCTION("""COMPUTED_VALUE"""),"")</f>
        <v/>
      </c>
      <c r="U10724" s="16" t="s">
        <v>87</v>
      </c>
      <c r="V10724" s="16" t="str">
        <f>IFERROR(__xludf.DUMMYFUNCTION("""COMPUTED_VALUE"""),"")</f>
        <v/>
      </c>
      <c r="W10724" s="16" t="str">
        <f>IFERROR(__xludf.DUMMYFUNCTION("""COMPUTED_VALUE"""),"")</f>
        <v/>
      </c>
      <c r="X10724" s="16" t="str">
        <f>IFERROR(__xludf.DUMMYFUNCTION("""COMPUTED_VALUE"""),"")</f>
        <v/>
      </c>
      <c r="AC10724" s="16" t="str">
        <f>IFERROR(__xludf.DUMMYFUNCTION("""COMPUTED_VALUE"""),"")</f>
        <v/>
      </c>
    </row>
    <row r="10725">
      <c r="A10725" s="16" t="s">
        <v>87</v>
      </c>
      <c r="E10725" s="16" t="str">
        <f>IFERROR(__xludf.DUMMYFUNCTION("""COMPUTED_VALUE"""),"")</f>
        <v/>
      </c>
      <c r="G10725" s="18"/>
      <c r="H10725" s="16" t="s">
        <v>87</v>
      </c>
      <c r="I10725" s="16" t="s">
        <v>87</v>
      </c>
      <c r="J10725" s="19"/>
      <c r="L10725" s="16" t="str">
        <f>IFERROR(__xludf.DUMMYFUNCTION("""COMPUTED_VALUE"""),"")</f>
        <v/>
      </c>
      <c r="M10725" s="16" t="str">
        <f>IFERROR(__xludf.DUMMYFUNCTION("""COMPUTED_VALUE"""),"")</f>
        <v/>
      </c>
      <c r="U10725" s="16" t="s">
        <v>87</v>
      </c>
      <c r="V10725" s="16" t="str">
        <f>IFERROR(__xludf.DUMMYFUNCTION("""COMPUTED_VALUE"""),"")</f>
        <v/>
      </c>
      <c r="W10725" s="16" t="str">
        <f>IFERROR(__xludf.DUMMYFUNCTION("""COMPUTED_VALUE"""),"")</f>
        <v/>
      </c>
      <c r="X10725" s="16" t="str">
        <f>IFERROR(__xludf.DUMMYFUNCTION("""COMPUTED_VALUE"""),"")</f>
        <v/>
      </c>
      <c r="AC10725" s="16" t="str">
        <f>IFERROR(__xludf.DUMMYFUNCTION("""COMPUTED_VALUE"""),"")</f>
        <v/>
      </c>
    </row>
    <row r="10726">
      <c r="A10726" s="16" t="s">
        <v>87</v>
      </c>
      <c r="E10726" s="16" t="str">
        <f>IFERROR(__xludf.DUMMYFUNCTION("""COMPUTED_VALUE"""),"")</f>
        <v/>
      </c>
      <c r="G10726" s="18"/>
      <c r="H10726" s="16" t="s">
        <v>87</v>
      </c>
      <c r="I10726" s="16" t="s">
        <v>87</v>
      </c>
      <c r="J10726" s="19"/>
      <c r="L10726" s="16" t="str">
        <f>IFERROR(__xludf.DUMMYFUNCTION("""COMPUTED_VALUE"""),"")</f>
        <v/>
      </c>
      <c r="M10726" s="16" t="str">
        <f>IFERROR(__xludf.DUMMYFUNCTION("""COMPUTED_VALUE"""),"")</f>
        <v/>
      </c>
      <c r="U10726" s="16" t="s">
        <v>87</v>
      </c>
      <c r="V10726" s="16" t="str">
        <f>IFERROR(__xludf.DUMMYFUNCTION("""COMPUTED_VALUE"""),"")</f>
        <v/>
      </c>
      <c r="W10726" s="16" t="str">
        <f>IFERROR(__xludf.DUMMYFUNCTION("""COMPUTED_VALUE"""),"")</f>
        <v/>
      </c>
      <c r="X10726" s="16" t="str">
        <f>IFERROR(__xludf.DUMMYFUNCTION("""COMPUTED_VALUE"""),"")</f>
        <v/>
      </c>
      <c r="AC10726" s="16" t="str">
        <f>IFERROR(__xludf.DUMMYFUNCTION("""COMPUTED_VALUE"""),"")</f>
        <v/>
      </c>
    </row>
    <row r="10727">
      <c r="A10727" s="16" t="s">
        <v>87</v>
      </c>
      <c r="E10727" s="16" t="str">
        <f>IFERROR(__xludf.DUMMYFUNCTION("""COMPUTED_VALUE"""),"")</f>
        <v/>
      </c>
      <c r="G10727" s="18"/>
      <c r="H10727" s="16" t="s">
        <v>87</v>
      </c>
      <c r="I10727" s="16" t="s">
        <v>87</v>
      </c>
      <c r="J10727" s="19"/>
      <c r="L10727" s="16" t="str">
        <f>IFERROR(__xludf.DUMMYFUNCTION("""COMPUTED_VALUE"""),"")</f>
        <v/>
      </c>
      <c r="M10727" s="16" t="str">
        <f>IFERROR(__xludf.DUMMYFUNCTION("""COMPUTED_VALUE"""),"")</f>
        <v/>
      </c>
      <c r="U10727" s="16" t="s">
        <v>87</v>
      </c>
      <c r="V10727" s="16" t="str">
        <f>IFERROR(__xludf.DUMMYFUNCTION("""COMPUTED_VALUE"""),"")</f>
        <v/>
      </c>
      <c r="W10727" s="16" t="str">
        <f>IFERROR(__xludf.DUMMYFUNCTION("""COMPUTED_VALUE"""),"")</f>
        <v/>
      </c>
      <c r="X10727" s="16" t="str">
        <f>IFERROR(__xludf.DUMMYFUNCTION("""COMPUTED_VALUE"""),"")</f>
        <v/>
      </c>
      <c r="AC10727" s="16" t="str">
        <f>IFERROR(__xludf.DUMMYFUNCTION("""COMPUTED_VALUE"""),"")</f>
        <v/>
      </c>
    </row>
    <row r="10728">
      <c r="A10728" s="16" t="s">
        <v>87</v>
      </c>
      <c r="E10728" s="16" t="str">
        <f>IFERROR(__xludf.DUMMYFUNCTION("""COMPUTED_VALUE"""),"")</f>
        <v/>
      </c>
      <c r="G10728" s="18"/>
      <c r="H10728" s="16" t="s">
        <v>87</v>
      </c>
      <c r="I10728" s="16" t="s">
        <v>87</v>
      </c>
      <c r="J10728" s="19"/>
      <c r="L10728" s="16" t="str">
        <f>IFERROR(__xludf.DUMMYFUNCTION("""COMPUTED_VALUE"""),"")</f>
        <v/>
      </c>
      <c r="M10728" s="16" t="str">
        <f>IFERROR(__xludf.DUMMYFUNCTION("""COMPUTED_VALUE"""),"")</f>
        <v/>
      </c>
      <c r="U10728" s="16" t="s">
        <v>87</v>
      </c>
      <c r="V10728" s="16" t="str">
        <f>IFERROR(__xludf.DUMMYFUNCTION("""COMPUTED_VALUE"""),"")</f>
        <v/>
      </c>
      <c r="W10728" s="16" t="str">
        <f>IFERROR(__xludf.DUMMYFUNCTION("""COMPUTED_VALUE"""),"")</f>
        <v/>
      </c>
      <c r="X10728" s="16" t="str">
        <f>IFERROR(__xludf.DUMMYFUNCTION("""COMPUTED_VALUE"""),"")</f>
        <v/>
      </c>
      <c r="AC10728" s="16" t="str">
        <f>IFERROR(__xludf.DUMMYFUNCTION("""COMPUTED_VALUE"""),"")</f>
        <v/>
      </c>
    </row>
    <row r="10729">
      <c r="A10729" s="16" t="s">
        <v>87</v>
      </c>
      <c r="E10729" s="16" t="str">
        <f>IFERROR(__xludf.DUMMYFUNCTION("""COMPUTED_VALUE"""),"")</f>
        <v/>
      </c>
      <c r="G10729" s="18"/>
      <c r="H10729" s="16" t="s">
        <v>87</v>
      </c>
      <c r="I10729" s="16" t="s">
        <v>87</v>
      </c>
      <c r="J10729" s="19"/>
      <c r="L10729" s="16" t="str">
        <f>IFERROR(__xludf.DUMMYFUNCTION("""COMPUTED_VALUE"""),"")</f>
        <v/>
      </c>
      <c r="M10729" s="16" t="str">
        <f>IFERROR(__xludf.DUMMYFUNCTION("""COMPUTED_VALUE"""),"")</f>
        <v/>
      </c>
      <c r="U10729" s="16" t="s">
        <v>87</v>
      </c>
      <c r="V10729" s="16" t="str">
        <f>IFERROR(__xludf.DUMMYFUNCTION("""COMPUTED_VALUE"""),"")</f>
        <v/>
      </c>
      <c r="W10729" s="16" t="str">
        <f>IFERROR(__xludf.DUMMYFUNCTION("""COMPUTED_VALUE"""),"")</f>
        <v/>
      </c>
      <c r="X10729" s="16" t="str">
        <f>IFERROR(__xludf.DUMMYFUNCTION("""COMPUTED_VALUE"""),"")</f>
        <v/>
      </c>
      <c r="AC10729" s="16" t="str">
        <f>IFERROR(__xludf.DUMMYFUNCTION("""COMPUTED_VALUE"""),"")</f>
        <v/>
      </c>
    </row>
    <row r="10730">
      <c r="A10730" s="16" t="s">
        <v>87</v>
      </c>
      <c r="E10730" s="16" t="str">
        <f>IFERROR(__xludf.DUMMYFUNCTION("""COMPUTED_VALUE"""),"")</f>
        <v/>
      </c>
      <c r="G10730" s="18"/>
      <c r="H10730" s="16" t="s">
        <v>87</v>
      </c>
      <c r="I10730" s="16" t="s">
        <v>87</v>
      </c>
      <c r="J10730" s="19"/>
      <c r="L10730" s="16" t="str">
        <f>IFERROR(__xludf.DUMMYFUNCTION("""COMPUTED_VALUE"""),"")</f>
        <v/>
      </c>
      <c r="M10730" s="16" t="str">
        <f>IFERROR(__xludf.DUMMYFUNCTION("""COMPUTED_VALUE"""),"")</f>
        <v/>
      </c>
      <c r="U10730" s="16" t="s">
        <v>87</v>
      </c>
      <c r="V10730" s="16" t="str">
        <f>IFERROR(__xludf.DUMMYFUNCTION("""COMPUTED_VALUE"""),"")</f>
        <v/>
      </c>
      <c r="W10730" s="16" t="str">
        <f>IFERROR(__xludf.DUMMYFUNCTION("""COMPUTED_VALUE"""),"")</f>
        <v/>
      </c>
      <c r="X10730" s="16" t="str">
        <f>IFERROR(__xludf.DUMMYFUNCTION("""COMPUTED_VALUE"""),"")</f>
        <v/>
      </c>
      <c r="AC10730" s="16" t="str">
        <f>IFERROR(__xludf.DUMMYFUNCTION("""COMPUTED_VALUE"""),"")</f>
        <v/>
      </c>
    </row>
    <row r="10731">
      <c r="A10731" s="16" t="s">
        <v>87</v>
      </c>
      <c r="E10731" s="16" t="str">
        <f>IFERROR(__xludf.DUMMYFUNCTION("""COMPUTED_VALUE"""),"")</f>
        <v/>
      </c>
      <c r="G10731" s="18"/>
      <c r="H10731" s="16" t="s">
        <v>87</v>
      </c>
      <c r="I10731" s="16" t="s">
        <v>87</v>
      </c>
      <c r="J10731" s="19"/>
      <c r="L10731" s="16" t="str">
        <f>IFERROR(__xludf.DUMMYFUNCTION("""COMPUTED_VALUE"""),"")</f>
        <v/>
      </c>
      <c r="M10731" s="16" t="str">
        <f>IFERROR(__xludf.DUMMYFUNCTION("""COMPUTED_VALUE"""),"")</f>
        <v/>
      </c>
      <c r="U10731" s="16" t="s">
        <v>87</v>
      </c>
      <c r="V10731" s="16" t="str">
        <f>IFERROR(__xludf.DUMMYFUNCTION("""COMPUTED_VALUE"""),"")</f>
        <v/>
      </c>
      <c r="W10731" s="16" t="str">
        <f>IFERROR(__xludf.DUMMYFUNCTION("""COMPUTED_VALUE"""),"")</f>
        <v/>
      </c>
      <c r="X10731" s="16" t="str">
        <f>IFERROR(__xludf.DUMMYFUNCTION("""COMPUTED_VALUE"""),"")</f>
        <v/>
      </c>
      <c r="AC10731" s="16" t="str">
        <f>IFERROR(__xludf.DUMMYFUNCTION("""COMPUTED_VALUE"""),"")</f>
        <v/>
      </c>
    </row>
    <row r="10732">
      <c r="A10732" s="16" t="s">
        <v>87</v>
      </c>
      <c r="E10732" s="16" t="str">
        <f>IFERROR(__xludf.DUMMYFUNCTION("""COMPUTED_VALUE"""),"")</f>
        <v/>
      </c>
      <c r="G10732" s="18"/>
      <c r="H10732" s="16" t="s">
        <v>87</v>
      </c>
      <c r="I10732" s="16" t="s">
        <v>87</v>
      </c>
      <c r="J10732" s="19"/>
      <c r="L10732" s="16" t="str">
        <f>IFERROR(__xludf.DUMMYFUNCTION("""COMPUTED_VALUE"""),"")</f>
        <v/>
      </c>
      <c r="M10732" s="16" t="str">
        <f>IFERROR(__xludf.DUMMYFUNCTION("""COMPUTED_VALUE"""),"")</f>
        <v/>
      </c>
      <c r="U10732" s="16" t="s">
        <v>87</v>
      </c>
      <c r="V10732" s="16" t="str">
        <f>IFERROR(__xludf.DUMMYFUNCTION("""COMPUTED_VALUE"""),"")</f>
        <v/>
      </c>
      <c r="W10732" s="16" t="str">
        <f>IFERROR(__xludf.DUMMYFUNCTION("""COMPUTED_VALUE"""),"")</f>
        <v/>
      </c>
      <c r="X10732" s="16" t="str">
        <f>IFERROR(__xludf.DUMMYFUNCTION("""COMPUTED_VALUE"""),"")</f>
        <v/>
      </c>
      <c r="AC10732" s="16" t="str">
        <f>IFERROR(__xludf.DUMMYFUNCTION("""COMPUTED_VALUE"""),"")</f>
        <v/>
      </c>
    </row>
    <row r="10733">
      <c r="A10733" s="16" t="s">
        <v>87</v>
      </c>
      <c r="E10733" s="16" t="str">
        <f>IFERROR(__xludf.DUMMYFUNCTION("""COMPUTED_VALUE"""),"")</f>
        <v/>
      </c>
      <c r="G10733" s="18"/>
      <c r="H10733" s="16" t="s">
        <v>87</v>
      </c>
      <c r="I10733" s="16" t="s">
        <v>87</v>
      </c>
      <c r="J10733" s="19"/>
      <c r="L10733" s="16" t="str">
        <f>IFERROR(__xludf.DUMMYFUNCTION("""COMPUTED_VALUE"""),"")</f>
        <v/>
      </c>
      <c r="M10733" s="16" t="str">
        <f>IFERROR(__xludf.DUMMYFUNCTION("""COMPUTED_VALUE"""),"")</f>
        <v/>
      </c>
      <c r="U10733" s="16" t="s">
        <v>87</v>
      </c>
      <c r="V10733" s="16" t="str">
        <f>IFERROR(__xludf.DUMMYFUNCTION("""COMPUTED_VALUE"""),"")</f>
        <v/>
      </c>
      <c r="W10733" s="16" t="str">
        <f>IFERROR(__xludf.DUMMYFUNCTION("""COMPUTED_VALUE"""),"")</f>
        <v/>
      </c>
      <c r="X10733" s="16" t="str">
        <f>IFERROR(__xludf.DUMMYFUNCTION("""COMPUTED_VALUE"""),"")</f>
        <v/>
      </c>
      <c r="AC10733" s="16" t="str">
        <f>IFERROR(__xludf.DUMMYFUNCTION("""COMPUTED_VALUE"""),"")</f>
        <v/>
      </c>
    </row>
    <row r="10734">
      <c r="A10734" s="16" t="s">
        <v>87</v>
      </c>
      <c r="E10734" s="16" t="str">
        <f>IFERROR(__xludf.DUMMYFUNCTION("""COMPUTED_VALUE"""),"")</f>
        <v/>
      </c>
      <c r="G10734" s="18"/>
      <c r="H10734" s="16" t="s">
        <v>87</v>
      </c>
      <c r="I10734" s="16" t="s">
        <v>87</v>
      </c>
      <c r="J10734" s="19"/>
      <c r="L10734" s="16" t="str">
        <f>IFERROR(__xludf.DUMMYFUNCTION("""COMPUTED_VALUE"""),"")</f>
        <v/>
      </c>
      <c r="M10734" s="16" t="str">
        <f>IFERROR(__xludf.DUMMYFUNCTION("""COMPUTED_VALUE"""),"")</f>
        <v/>
      </c>
      <c r="U10734" s="16" t="s">
        <v>87</v>
      </c>
      <c r="V10734" s="16" t="str">
        <f>IFERROR(__xludf.DUMMYFUNCTION("""COMPUTED_VALUE"""),"")</f>
        <v/>
      </c>
      <c r="W10734" s="16" t="str">
        <f>IFERROR(__xludf.DUMMYFUNCTION("""COMPUTED_VALUE"""),"")</f>
        <v/>
      </c>
      <c r="X10734" s="16" t="str">
        <f>IFERROR(__xludf.DUMMYFUNCTION("""COMPUTED_VALUE"""),"")</f>
        <v/>
      </c>
      <c r="AC10734" s="16" t="str">
        <f>IFERROR(__xludf.DUMMYFUNCTION("""COMPUTED_VALUE"""),"")</f>
        <v/>
      </c>
    </row>
    <row r="10735">
      <c r="A10735" s="16" t="s">
        <v>87</v>
      </c>
      <c r="E10735" s="16" t="str">
        <f>IFERROR(__xludf.DUMMYFUNCTION("""COMPUTED_VALUE"""),"")</f>
        <v/>
      </c>
      <c r="G10735" s="18"/>
      <c r="H10735" s="16" t="s">
        <v>87</v>
      </c>
      <c r="I10735" s="16" t="s">
        <v>87</v>
      </c>
      <c r="J10735" s="19"/>
      <c r="L10735" s="16" t="str">
        <f>IFERROR(__xludf.DUMMYFUNCTION("""COMPUTED_VALUE"""),"")</f>
        <v/>
      </c>
      <c r="M10735" s="16" t="str">
        <f>IFERROR(__xludf.DUMMYFUNCTION("""COMPUTED_VALUE"""),"")</f>
        <v/>
      </c>
      <c r="U10735" s="16" t="s">
        <v>87</v>
      </c>
      <c r="V10735" s="16" t="str">
        <f>IFERROR(__xludf.DUMMYFUNCTION("""COMPUTED_VALUE"""),"")</f>
        <v/>
      </c>
      <c r="W10735" s="16" t="str">
        <f>IFERROR(__xludf.DUMMYFUNCTION("""COMPUTED_VALUE"""),"")</f>
        <v/>
      </c>
      <c r="X10735" s="16" t="str">
        <f>IFERROR(__xludf.DUMMYFUNCTION("""COMPUTED_VALUE"""),"")</f>
        <v/>
      </c>
      <c r="AC10735" s="16" t="str">
        <f>IFERROR(__xludf.DUMMYFUNCTION("""COMPUTED_VALUE"""),"")</f>
        <v/>
      </c>
    </row>
    <row r="10736">
      <c r="A10736" s="16" t="s">
        <v>87</v>
      </c>
      <c r="E10736" s="16" t="str">
        <f>IFERROR(__xludf.DUMMYFUNCTION("""COMPUTED_VALUE"""),"")</f>
        <v/>
      </c>
      <c r="G10736" s="18"/>
      <c r="H10736" s="16" t="s">
        <v>87</v>
      </c>
      <c r="I10736" s="16" t="s">
        <v>87</v>
      </c>
      <c r="J10736" s="19"/>
      <c r="L10736" s="16" t="str">
        <f>IFERROR(__xludf.DUMMYFUNCTION("""COMPUTED_VALUE"""),"")</f>
        <v/>
      </c>
      <c r="M10736" s="16" t="str">
        <f>IFERROR(__xludf.DUMMYFUNCTION("""COMPUTED_VALUE"""),"")</f>
        <v/>
      </c>
      <c r="U10736" s="16" t="s">
        <v>87</v>
      </c>
      <c r="V10736" s="16" t="str">
        <f>IFERROR(__xludf.DUMMYFUNCTION("""COMPUTED_VALUE"""),"")</f>
        <v/>
      </c>
      <c r="W10736" s="16" t="str">
        <f>IFERROR(__xludf.DUMMYFUNCTION("""COMPUTED_VALUE"""),"")</f>
        <v/>
      </c>
      <c r="X10736" s="16" t="str">
        <f>IFERROR(__xludf.DUMMYFUNCTION("""COMPUTED_VALUE"""),"")</f>
        <v/>
      </c>
      <c r="AC10736" s="16" t="str">
        <f>IFERROR(__xludf.DUMMYFUNCTION("""COMPUTED_VALUE"""),"")</f>
        <v/>
      </c>
    </row>
    <row r="10737">
      <c r="A10737" s="16" t="s">
        <v>87</v>
      </c>
      <c r="E10737" s="16" t="str">
        <f>IFERROR(__xludf.DUMMYFUNCTION("""COMPUTED_VALUE"""),"")</f>
        <v/>
      </c>
      <c r="G10737" s="18"/>
      <c r="H10737" s="16" t="s">
        <v>87</v>
      </c>
      <c r="I10737" s="16" t="s">
        <v>87</v>
      </c>
      <c r="J10737" s="19"/>
      <c r="L10737" s="16" t="str">
        <f>IFERROR(__xludf.DUMMYFUNCTION("""COMPUTED_VALUE"""),"")</f>
        <v/>
      </c>
      <c r="M10737" s="16" t="str">
        <f>IFERROR(__xludf.DUMMYFUNCTION("""COMPUTED_VALUE"""),"")</f>
        <v/>
      </c>
      <c r="U10737" s="16" t="s">
        <v>87</v>
      </c>
      <c r="V10737" s="16" t="str">
        <f>IFERROR(__xludf.DUMMYFUNCTION("""COMPUTED_VALUE"""),"")</f>
        <v/>
      </c>
      <c r="W10737" s="16" t="str">
        <f>IFERROR(__xludf.DUMMYFUNCTION("""COMPUTED_VALUE"""),"")</f>
        <v/>
      </c>
      <c r="X10737" s="16" t="str">
        <f>IFERROR(__xludf.DUMMYFUNCTION("""COMPUTED_VALUE"""),"")</f>
        <v/>
      </c>
      <c r="AC10737" s="16" t="str">
        <f>IFERROR(__xludf.DUMMYFUNCTION("""COMPUTED_VALUE"""),"")</f>
        <v/>
      </c>
    </row>
    <row r="10738">
      <c r="A10738" s="16" t="s">
        <v>87</v>
      </c>
      <c r="E10738" s="16" t="str">
        <f>IFERROR(__xludf.DUMMYFUNCTION("""COMPUTED_VALUE"""),"")</f>
        <v/>
      </c>
      <c r="G10738" s="18"/>
      <c r="H10738" s="16" t="s">
        <v>87</v>
      </c>
      <c r="I10738" s="16" t="s">
        <v>87</v>
      </c>
      <c r="J10738" s="19"/>
      <c r="L10738" s="16" t="str">
        <f>IFERROR(__xludf.DUMMYFUNCTION("""COMPUTED_VALUE"""),"")</f>
        <v/>
      </c>
      <c r="M10738" s="16" t="str">
        <f>IFERROR(__xludf.DUMMYFUNCTION("""COMPUTED_VALUE"""),"")</f>
        <v/>
      </c>
      <c r="U10738" s="16" t="s">
        <v>87</v>
      </c>
      <c r="V10738" s="16" t="str">
        <f>IFERROR(__xludf.DUMMYFUNCTION("""COMPUTED_VALUE"""),"")</f>
        <v/>
      </c>
      <c r="W10738" s="16" t="str">
        <f>IFERROR(__xludf.DUMMYFUNCTION("""COMPUTED_VALUE"""),"")</f>
        <v/>
      </c>
      <c r="X10738" s="16" t="str">
        <f>IFERROR(__xludf.DUMMYFUNCTION("""COMPUTED_VALUE"""),"")</f>
        <v/>
      </c>
      <c r="AC10738" s="16" t="str">
        <f>IFERROR(__xludf.DUMMYFUNCTION("""COMPUTED_VALUE"""),"")</f>
        <v/>
      </c>
    </row>
    <row r="10739">
      <c r="A10739" s="16" t="s">
        <v>87</v>
      </c>
      <c r="E10739" s="16" t="str">
        <f>IFERROR(__xludf.DUMMYFUNCTION("""COMPUTED_VALUE"""),"")</f>
        <v/>
      </c>
      <c r="G10739" s="18"/>
      <c r="H10739" s="16" t="s">
        <v>87</v>
      </c>
      <c r="I10739" s="16" t="s">
        <v>87</v>
      </c>
      <c r="J10739" s="19"/>
      <c r="L10739" s="16" t="str">
        <f>IFERROR(__xludf.DUMMYFUNCTION("""COMPUTED_VALUE"""),"")</f>
        <v/>
      </c>
      <c r="M10739" s="16" t="str">
        <f>IFERROR(__xludf.DUMMYFUNCTION("""COMPUTED_VALUE"""),"")</f>
        <v/>
      </c>
      <c r="U10739" s="16" t="s">
        <v>87</v>
      </c>
      <c r="V10739" s="16" t="str">
        <f>IFERROR(__xludf.DUMMYFUNCTION("""COMPUTED_VALUE"""),"")</f>
        <v/>
      </c>
      <c r="W10739" s="16" t="str">
        <f>IFERROR(__xludf.DUMMYFUNCTION("""COMPUTED_VALUE"""),"")</f>
        <v/>
      </c>
      <c r="X10739" s="16" t="str">
        <f>IFERROR(__xludf.DUMMYFUNCTION("""COMPUTED_VALUE"""),"")</f>
        <v/>
      </c>
      <c r="AC10739" s="16" t="str">
        <f>IFERROR(__xludf.DUMMYFUNCTION("""COMPUTED_VALUE"""),"")</f>
        <v/>
      </c>
    </row>
    <row r="10740">
      <c r="A10740" s="16" t="s">
        <v>87</v>
      </c>
      <c r="E10740" s="16" t="str">
        <f>IFERROR(__xludf.DUMMYFUNCTION("""COMPUTED_VALUE"""),"")</f>
        <v/>
      </c>
      <c r="G10740" s="18"/>
      <c r="H10740" s="16" t="s">
        <v>87</v>
      </c>
      <c r="I10740" s="16" t="s">
        <v>87</v>
      </c>
      <c r="J10740" s="19"/>
      <c r="L10740" s="16" t="str">
        <f>IFERROR(__xludf.DUMMYFUNCTION("""COMPUTED_VALUE"""),"")</f>
        <v/>
      </c>
      <c r="M10740" s="16" t="str">
        <f>IFERROR(__xludf.DUMMYFUNCTION("""COMPUTED_VALUE"""),"")</f>
        <v/>
      </c>
      <c r="U10740" s="16" t="s">
        <v>87</v>
      </c>
      <c r="V10740" s="16" t="str">
        <f>IFERROR(__xludf.DUMMYFUNCTION("""COMPUTED_VALUE"""),"")</f>
        <v/>
      </c>
      <c r="W10740" s="16" t="str">
        <f>IFERROR(__xludf.DUMMYFUNCTION("""COMPUTED_VALUE"""),"")</f>
        <v/>
      </c>
      <c r="X10740" s="16" t="str">
        <f>IFERROR(__xludf.DUMMYFUNCTION("""COMPUTED_VALUE"""),"")</f>
        <v/>
      </c>
      <c r="AC10740" s="16" t="str">
        <f>IFERROR(__xludf.DUMMYFUNCTION("""COMPUTED_VALUE"""),"")</f>
        <v/>
      </c>
    </row>
    <row r="10741">
      <c r="A10741" s="16" t="s">
        <v>87</v>
      </c>
      <c r="E10741" s="16" t="str">
        <f>IFERROR(__xludf.DUMMYFUNCTION("""COMPUTED_VALUE"""),"")</f>
        <v/>
      </c>
      <c r="G10741" s="18"/>
      <c r="H10741" s="16" t="s">
        <v>87</v>
      </c>
      <c r="I10741" s="16" t="s">
        <v>87</v>
      </c>
      <c r="J10741" s="19"/>
      <c r="L10741" s="16" t="str">
        <f>IFERROR(__xludf.DUMMYFUNCTION("""COMPUTED_VALUE"""),"")</f>
        <v/>
      </c>
      <c r="M10741" s="16" t="str">
        <f>IFERROR(__xludf.DUMMYFUNCTION("""COMPUTED_VALUE"""),"")</f>
        <v/>
      </c>
      <c r="U10741" s="16" t="s">
        <v>87</v>
      </c>
      <c r="V10741" s="16" t="str">
        <f>IFERROR(__xludf.DUMMYFUNCTION("""COMPUTED_VALUE"""),"")</f>
        <v/>
      </c>
      <c r="W10741" s="16" t="str">
        <f>IFERROR(__xludf.DUMMYFUNCTION("""COMPUTED_VALUE"""),"")</f>
        <v/>
      </c>
      <c r="X10741" s="16" t="str">
        <f>IFERROR(__xludf.DUMMYFUNCTION("""COMPUTED_VALUE"""),"")</f>
        <v/>
      </c>
      <c r="AC10741" s="16" t="str">
        <f>IFERROR(__xludf.DUMMYFUNCTION("""COMPUTED_VALUE"""),"")</f>
        <v/>
      </c>
    </row>
    <row r="10742">
      <c r="A10742" s="16" t="s">
        <v>87</v>
      </c>
      <c r="E10742" s="16" t="str">
        <f>IFERROR(__xludf.DUMMYFUNCTION("""COMPUTED_VALUE"""),"")</f>
        <v/>
      </c>
      <c r="G10742" s="18"/>
      <c r="H10742" s="16" t="s">
        <v>87</v>
      </c>
      <c r="I10742" s="16" t="s">
        <v>87</v>
      </c>
      <c r="J10742" s="19"/>
      <c r="L10742" s="16" t="str">
        <f>IFERROR(__xludf.DUMMYFUNCTION("""COMPUTED_VALUE"""),"")</f>
        <v/>
      </c>
      <c r="M10742" s="16" t="str">
        <f>IFERROR(__xludf.DUMMYFUNCTION("""COMPUTED_VALUE"""),"")</f>
        <v/>
      </c>
      <c r="U10742" s="16" t="s">
        <v>87</v>
      </c>
      <c r="V10742" s="16" t="str">
        <f>IFERROR(__xludf.DUMMYFUNCTION("""COMPUTED_VALUE"""),"")</f>
        <v/>
      </c>
      <c r="W10742" s="16" t="str">
        <f>IFERROR(__xludf.DUMMYFUNCTION("""COMPUTED_VALUE"""),"")</f>
        <v/>
      </c>
      <c r="X10742" s="16" t="str">
        <f>IFERROR(__xludf.DUMMYFUNCTION("""COMPUTED_VALUE"""),"")</f>
        <v/>
      </c>
      <c r="AC10742" s="16" t="str">
        <f>IFERROR(__xludf.DUMMYFUNCTION("""COMPUTED_VALUE"""),"")</f>
        <v/>
      </c>
    </row>
    <row r="10743">
      <c r="A10743" s="16" t="s">
        <v>87</v>
      </c>
      <c r="E10743" s="16" t="str">
        <f>IFERROR(__xludf.DUMMYFUNCTION("""COMPUTED_VALUE"""),"")</f>
        <v/>
      </c>
      <c r="G10743" s="18"/>
      <c r="H10743" s="16" t="s">
        <v>87</v>
      </c>
      <c r="I10743" s="16" t="s">
        <v>87</v>
      </c>
      <c r="J10743" s="19"/>
      <c r="L10743" s="16" t="str">
        <f>IFERROR(__xludf.DUMMYFUNCTION("""COMPUTED_VALUE"""),"")</f>
        <v/>
      </c>
      <c r="M10743" s="16" t="str">
        <f>IFERROR(__xludf.DUMMYFUNCTION("""COMPUTED_VALUE"""),"")</f>
        <v/>
      </c>
      <c r="U10743" s="16" t="s">
        <v>87</v>
      </c>
      <c r="V10743" s="16" t="str">
        <f>IFERROR(__xludf.DUMMYFUNCTION("""COMPUTED_VALUE"""),"")</f>
        <v/>
      </c>
      <c r="W10743" s="16" t="str">
        <f>IFERROR(__xludf.DUMMYFUNCTION("""COMPUTED_VALUE"""),"")</f>
        <v/>
      </c>
      <c r="X10743" s="16" t="str">
        <f>IFERROR(__xludf.DUMMYFUNCTION("""COMPUTED_VALUE"""),"")</f>
        <v/>
      </c>
      <c r="AC10743" s="16" t="str">
        <f>IFERROR(__xludf.DUMMYFUNCTION("""COMPUTED_VALUE"""),"")</f>
        <v/>
      </c>
    </row>
    <row r="10744">
      <c r="A10744" s="16" t="s">
        <v>87</v>
      </c>
      <c r="E10744" s="16" t="str">
        <f>IFERROR(__xludf.DUMMYFUNCTION("""COMPUTED_VALUE"""),"")</f>
        <v/>
      </c>
      <c r="G10744" s="18"/>
      <c r="H10744" s="16" t="s">
        <v>87</v>
      </c>
      <c r="I10744" s="16" t="s">
        <v>87</v>
      </c>
      <c r="J10744" s="19"/>
      <c r="L10744" s="16" t="str">
        <f>IFERROR(__xludf.DUMMYFUNCTION("""COMPUTED_VALUE"""),"")</f>
        <v/>
      </c>
      <c r="M10744" s="16" t="str">
        <f>IFERROR(__xludf.DUMMYFUNCTION("""COMPUTED_VALUE"""),"")</f>
        <v/>
      </c>
      <c r="U10744" s="16" t="s">
        <v>87</v>
      </c>
      <c r="V10744" s="16" t="str">
        <f>IFERROR(__xludf.DUMMYFUNCTION("""COMPUTED_VALUE"""),"")</f>
        <v/>
      </c>
      <c r="W10744" s="16" t="str">
        <f>IFERROR(__xludf.DUMMYFUNCTION("""COMPUTED_VALUE"""),"")</f>
        <v/>
      </c>
      <c r="X10744" s="16" t="str">
        <f>IFERROR(__xludf.DUMMYFUNCTION("""COMPUTED_VALUE"""),"")</f>
        <v/>
      </c>
      <c r="AC10744" s="16" t="str">
        <f>IFERROR(__xludf.DUMMYFUNCTION("""COMPUTED_VALUE"""),"")</f>
        <v/>
      </c>
    </row>
    <row r="10745">
      <c r="A10745" s="16" t="s">
        <v>87</v>
      </c>
      <c r="E10745" s="16" t="str">
        <f>IFERROR(__xludf.DUMMYFUNCTION("""COMPUTED_VALUE"""),"")</f>
        <v/>
      </c>
      <c r="G10745" s="18"/>
      <c r="H10745" s="16" t="s">
        <v>87</v>
      </c>
      <c r="I10745" s="16" t="s">
        <v>87</v>
      </c>
      <c r="J10745" s="19"/>
      <c r="L10745" s="16" t="str">
        <f>IFERROR(__xludf.DUMMYFUNCTION("""COMPUTED_VALUE"""),"")</f>
        <v/>
      </c>
      <c r="M10745" s="16" t="str">
        <f>IFERROR(__xludf.DUMMYFUNCTION("""COMPUTED_VALUE"""),"")</f>
        <v/>
      </c>
      <c r="U10745" s="16" t="s">
        <v>87</v>
      </c>
      <c r="V10745" s="16" t="str">
        <f>IFERROR(__xludf.DUMMYFUNCTION("""COMPUTED_VALUE"""),"")</f>
        <v/>
      </c>
      <c r="W10745" s="16" t="str">
        <f>IFERROR(__xludf.DUMMYFUNCTION("""COMPUTED_VALUE"""),"")</f>
        <v/>
      </c>
      <c r="X10745" s="16" t="str">
        <f>IFERROR(__xludf.DUMMYFUNCTION("""COMPUTED_VALUE"""),"")</f>
        <v/>
      </c>
      <c r="AC10745" s="16" t="str">
        <f>IFERROR(__xludf.DUMMYFUNCTION("""COMPUTED_VALUE"""),"")</f>
        <v/>
      </c>
    </row>
    <row r="10746">
      <c r="A10746" s="16" t="s">
        <v>87</v>
      </c>
      <c r="E10746" s="16" t="str">
        <f>IFERROR(__xludf.DUMMYFUNCTION("""COMPUTED_VALUE"""),"")</f>
        <v/>
      </c>
      <c r="G10746" s="18"/>
      <c r="H10746" s="16" t="s">
        <v>87</v>
      </c>
      <c r="I10746" s="16" t="s">
        <v>87</v>
      </c>
      <c r="J10746" s="19"/>
      <c r="L10746" s="16" t="str">
        <f>IFERROR(__xludf.DUMMYFUNCTION("""COMPUTED_VALUE"""),"")</f>
        <v/>
      </c>
      <c r="M10746" s="16" t="str">
        <f>IFERROR(__xludf.DUMMYFUNCTION("""COMPUTED_VALUE"""),"")</f>
        <v/>
      </c>
      <c r="U10746" s="16" t="s">
        <v>87</v>
      </c>
      <c r="V10746" s="16" t="str">
        <f>IFERROR(__xludf.DUMMYFUNCTION("""COMPUTED_VALUE"""),"")</f>
        <v/>
      </c>
      <c r="W10746" s="16" t="str">
        <f>IFERROR(__xludf.DUMMYFUNCTION("""COMPUTED_VALUE"""),"")</f>
        <v/>
      </c>
      <c r="X10746" s="16" t="str">
        <f>IFERROR(__xludf.DUMMYFUNCTION("""COMPUTED_VALUE"""),"")</f>
        <v/>
      </c>
      <c r="AC10746" s="16" t="str">
        <f>IFERROR(__xludf.DUMMYFUNCTION("""COMPUTED_VALUE"""),"")</f>
        <v/>
      </c>
    </row>
    <row r="10747">
      <c r="A10747" s="16" t="s">
        <v>87</v>
      </c>
      <c r="E10747" s="16" t="str">
        <f>IFERROR(__xludf.DUMMYFUNCTION("""COMPUTED_VALUE"""),"")</f>
        <v/>
      </c>
      <c r="G10747" s="18"/>
      <c r="H10747" s="16" t="s">
        <v>87</v>
      </c>
      <c r="I10747" s="16" t="s">
        <v>87</v>
      </c>
      <c r="J10747" s="19"/>
      <c r="L10747" s="16" t="str">
        <f>IFERROR(__xludf.DUMMYFUNCTION("""COMPUTED_VALUE"""),"")</f>
        <v/>
      </c>
      <c r="M10747" s="16" t="str">
        <f>IFERROR(__xludf.DUMMYFUNCTION("""COMPUTED_VALUE"""),"")</f>
        <v/>
      </c>
      <c r="U10747" s="16" t="s">
        <v>87</v>
      </c>
      <c r="V10747" s="16" t="str">
        <f>IFERROR(__xludf.DUMMYFUNCTION("""COMPUTED_VALUE"""),"")</f>
        <v/>
      </c>
      <c r="W10747" s="16" t="str">
        <f>IFERROR(__xludf.DUMMYFUNCTION("""COMPUTED_VALUE"""),"")</f>
        <v/>
      </c>
      <c r="X10747" s="16" t="str">
        <f>IFERROR(__xludf.DUMMYFUNCTION("""COMPUTED_VALUE"""),"")</f>
        <v/>
      </c>
      <c r="AC10747" s="16" t="str">
        <f>IFERROR(__xludf.DUMMYFUNCTION("""COMPUTED_VALUE"""),"")</f>
        <v/>
      </c>
    </row>
    <row r="10748">
      <c r="A10748" s="16" t="s">
        <v>87</v>
      </c>
      <c r="E10748" s="16" t="str">
        <f>IFERROR(__xludf.DUMMYFUNCTION("""COMPUTED_VALUE"""),"")</f>
        <v/>
      </c>
      <c r="G10748" s="18"/>
      <c r="H10748" s="16" t="s">
        <v>87</v>
      </c>
      <c r="I10748" s="16" t="s">
        <v>87</v>
      </c>
      <c r="J10748" s="19"/>
      <c r="L10748" s="16" t="str">
        <f>IFERROR(__xludf.DUMMYFUNCTION("""COMPUTED_VALUE"""),"")</f>
        <v/>
      </c>
      <c r="M10748" s="16" t="str">
        <f>IFERROR(__xludf.DUMMYFUNCTION("""COMPUTED_VALUE"""),"")</f>
        <v/>
      </c>
      <c r="U10748" s="16" t="s">
        <v>87</v>
      </c>
      <c r="V10748" s="16" t="str">
        <f>IFERROR(__xludf.DUMMYFUNCTION("""COMPUTED_VALUE"""),"")</f>
        <v/>
      </c>
      <c r="W10748" s="16" t="str">
        <f>IFERROR(__xludf.DUMMYFUNCTION("""COMPUTED_VALUE"""),"")</f>
        <v/>
      </c>
      <c r="X10748" s="16" t="str">
        <f>IFERROR(__xludf.DUMMYFUNCTION("""COMPUTED_VALUE"""),"")</f>
        <v/>
      </c>
      <c r="AC10748" s="16" t="str">
        <f>IFERROR(__xludf.DUMMYFUNCTION("""COMPUTED_VALUE"""),"")</f>
        <v/>
      </c>
    </row>
    <row r="10749">
      <c r="A10749" s="16" t="s">
        <v>87</v>
      </c>
      <c r="E10749" s="16" t="str">
        <f>IFERROR(__xludf.DUMMYFUNCTION("""COMPUTED_VALUE"""),"")</f>
        <v/>
      </c>
      <c r="G10749" s="18"/>
      <c r="H10749" s="16" t="s">
        <v>87</v>
      </c>
      <c r="I10749" s="16" t="s">
        <v>87</v>
      </c>
      <c r="J10749" s="19"/>
      <c r="L10749" s="16" t="str">
        <f>IFERROR(__xludf.DUMMYFUNCTION("""COMPUTED_VALUE"""),"")</f>
        <v/>
      </c>
      <c r="M10749" s="16" t="str">
        <f>IFERROR(__xludf.DUMMYFUNCTION("""COMPUTED_VALUE"""),"")</f>
        <v/>
      </c>
      <c r="U10749" s="16" t="s">
        <v>87</v>
      </c>
      <c r="V10749" s="16" t="str">
        <f>IFERROR(__xludf.DUMMYFUNCTION("""COMPUTED_VALUE"""),"")</f>
        <v/>
      </c>
      <c r="W10749" s="16" t="str">
        <f>IFERROR(__xludf.DUMMYFUNCTION("""COMPUTED_VALUE"""),"")</f>
        <v/>
      </c>
      <c r="X10749" s="16" t="str">
        <f>IFERROR(__xludf.DUMMYFUNCTION("""COMPUTED_VALUE"""),"")</f>
        <v/>
      </c>
      <c r="AC10749" s="16" t="str">
        <f>IFERROR(__xludf.DUMMYFUNCTION("""COMPUTED_VALUE"""),"")</f>
        <v/>
      </c>
    </row>
    <row r="10750">
      <c r="A10750" s="16" t="s">
        <v>87</v>
      </c>
      <c r="E10750" s="16" t="str">
        <f>IFERROR(__xludf.DUMMYFUNCTION("""COMPUTED_VALUE"""),"")</f>
        <v/>
      </c>
      <c r="G10750" s="18"/>
      <c r="H10750" s="16" t="s">
        <v>87</v>
      </c>
      <c r="I10750" s="16" t="s">
        <v>87</v>
      </c>
      <c r="J10750" s="19"/>
      <c r="L10750" s="16" t="str">
        <f>IFERROR(__xludf.DUMMYFUNCTION("""COMPUTED_VALUE"""),"")</f>
        <v/>
      </c>
      <c r="M10750" s="16" t="str">
        <f>IFERROR(__xludf.DUMMYFUNCTION("""COMPUTED_VALUE"""),"")</f>
        <v/>
      </c>
      <c r="U10750" s="16" t="s">
        <v>87</v>
      </c>
      <c r="V10750" s="16" t="str">
        <f>IFERROR(__xludf.DUMMYFUNCTION("""COMPUTED_VALUE"""),"")</f>
        <v/>
      </c>
      <c r="W10750" s="16" t="str">
        <f>IFERROR(__xludf.DUMMYFUNCTION("""COMPUTED_VALUE"""),"")</f>
        <v/>
      </c>
      <c r="X10750" s="16" t="str">
        <f>IFERROR(__xludf.DUMMYFUNCTION("""COMPUTED_VALUE"""),"")</f>
        <v/>
      </c>
      <c r="AC10750" s="16" t="str">
        <f>IFERROR(__xludf.DUMMYFUNCTION("""COMPUTED_VALUE"""),"")</f>
        <v/>
      </c>
    </row>
    <row r="10751">
      <c r="A10751" s="16" t="s">
        <v>87</v>
      </c>
      <c r="E10751" s="16" t="str">
        <f>IFERROR(__xludf.DUMMYFUNCTION("""COMPUTED_VALUE"""),"")</f>
        <v/>
      </c>
      <c r="G10751" s="18"/>
      <c r="H10751" s="16" t="s">
        <v>87</v>
      </c>
      <c r="I10751" s="16" t="s">
        <v>87</v>
      </c>
      <c r="J10751" s="19"/>
      <c r="L10751" s="16" t="str">
        <f>IFERROR(__xludf.DUMMYFUNCTION("""COMPUTED_VALUE"""),"")</f>
        <v/>
      </c>
      <c r="M10751" s="16" t="str">
        <f>IFERROR(__xludf.DUMMYFUNCTION("""COMPUTED_VALUE"""),"")</f>
        <v/>
      </c>
      <c r="U10751" s="16" t="s">
        <v>87</v>
      </c>
      <c r="V10751" s="16" t="str">
        <f>IFERROR(__xludf.DUMMYFUNCTION("""COMPUTED_VALUE"""),"")</f>
        <v/>
      </c>
      <c r="W10751" s="16" t="str">
        <f>IFERROR(__xludf.DUMMYFUNCTION("""COMPUTED_VALUE"""),"")</f>
        <v/>
      </c>
      <c r="X10751" s="16" t="str">
        <f>IFERROR(__xludf.DUMMYFUNCTION("""COMPUTED_VALUE"""),"")</f>
        <v/>
      </c>
      <c r="AC10751" s="16" t="str">
        <f>IFERROR(__xludf.DUMMYFUNCTION("""COMPUTED_VALUE"""),"")</f>
        <v/>
      </c>
    </row>
    <row r="10752">
      <c r="A10752" s="16" t="s">
        <v>87</v>
      </c>
      <c r="E10752" s="16" t="str">
        <f>IFERROR(__xludf.DUMMYFUNCTION("""COMPUTED_VALUE"""),"")</f>
        <v/>
      </c>
      <c r="G10752" s="18"/>
      <c r="H10752" s="16" t="s">
        <v>87</v>
      </c>
      <c r="I10752" s="16" t="s">
        <v>87</v>
      </c>
      <c r="J10752" s="19"/>
      <c r="L10752" s="16" t="str">
        <f>IFERROR(__xludf.DUMMYFUNCTION("""COMPUTED_VALUE"""),"")</f>
        <v/>
      </c>
      <c r="M10752" s="16" t="str">
        <f>IFERROR(__xludf.DUMMYFUNCTION("""COMPUTED_VALUE"""),"")</f>
        <v/>
      </c>
      <c r="U10752" s="16" t="s">
        <v>87</v>
      </c>
      <c r="V10752" s="16" t="str">
        <f>IFERROR(__xludf.DUMMYFUNCTION("""COMPUTED_VALUE"""),"")</f>
        <v/>
      </c>
      <c r="W10752" s="16" t="str">
        <f>IFERROR(__xludf.DUMMYFUNCTION("""COMPUTED_VALUE"""),"")</f>
        <v/>
      </c>
      <c r="X10752" s="16" t="str">
        <f>IFERROR(__xludf.DUMMYFUNCTION("""COMPUTED_VALUE"""),"")</f>
        <v/>
      </c>
      <c r="AC10752" s="16" t="str">
        <f>IFERROR(__xludf.DUMMYFUNCTION("""COMPUTED_VALUE"""),"")</f>
        <v/>
      </c>
    </row>
    <row r="10753">
      <c r="A10753" s="16" t="s">
        <v>87</v>
      </c>
      <c r="E10753" s="16" t="str">
        <f>IFERROR(__xludf.DUMMYFUNCTION("""COMPUTED_VALUE"""),"")</f>
        <v/>
      </c>
      <c r="G10753" s="18"/>
      <c r="H10753" s="16" t="s">
        <v>87</v>
      </c>
      <c r="I10753" s="16" t="s">
        <v>87</v>
      </c>
      <c r="J10753" s="19"/>
      <c r="L10753" s="16" t="str">
        <f>IFERROR(__xludf.DUMMYFUNCTION("""COMPUTED_VALUE"""),"")</f>
        <v/>
      </c>
      <c r="M10753" s="16" t="str">
        <f>IFERROR(__xludf.DUMMYFUNCTION("""COMPUTED_VALUE"""),"")</f>
        <v/>
      </c>
      <c r="U10753" s="16" t="s">
        <v>87</v>
      </c>
      <c r="V10753" s="16" t="str">
        <f>IFERROR(__xludf.DUMMYFUNCTION("""COMPUTED_VALUE"""),"")</f>
        <v/>
      </c>
      <c r="W10753" s="16" t="str">
        <f>IFERROR(__xludf.DUMMYFUNCTION("""COMPUTED_VALUE"""),"")</f>
        <v/>
      </c>
      <c r="X10753" s="16" t="str">
        <f>IFERROR(__xludf.DUMMYFUNCTION("""COMPUTED_VALUE"""),"")</f>
        <v/>
      </c>
      <c r="AC10753" s="16" t="str">
        <f>IFERROR(__xludf.DUMMYFUNCTION("""COMPUTED_VALUE"""),"")</f>
        <v/>
      </c>
    </row>
    <row r="10754">
      <c r="A10754" s="16" t="s">
        <v>87</v>
      </c>
      <c r="E10754" s="16" t="str">
        <f>IFERROR(__xludf.DUMMYFUNCTION("""COMPUTED_VALUE"""),"")</f>
        <v/>
      </c>
      <c r="G10754" s="18"/>
      <c r="H10754" s="16" t="s">
        <v>87</v>
      </c>
      <c r="I10754" s="16" t="s">
        <v>87</v>
      </c>
      <c r="J10754" s="19"/>
      <c r="L10754" s="16" t="str">
        <f>IFERROR(__xludf.DUMMYFUNCTION("""COMPUTED_VALUE"""),"")</f>
        <v/>
      </c>
      <c r="M10754" s="16" t="str">
        <f>IFERROR(__xludf.DUMMYFUNCTION("""COMPUTED_VALUE"""),"")</f>
        <v/>
      </c>
      <c r="U10754" s="16" t="s">
        <v>87</v>
      </c>
      <c r="V10754" s="16" t="str">
        <f>IFERROR(__xludf.DUMMYFUNCTION("""COMPUTED_VALUE"""),"")</f>
        <v/>
      </c>
      <c r="W10754" s="16" t="str">
        <f>IFERROR(__xludf.DUMMYFUNCTION("""COMPUTED_VALUE"""),"")</f>
        <v/>
      </c>
      <c r="X10754" s="16" t="str">
        <f>IFERROR(__xludf.DUMMYFUNCTION("""COMPUTED_VALUE"""),"")</f>
        <v/>
      </c>
      <c r="AC10754" s="16" t="str">
        <f>IFERROR(__xludf.DUMMYFUNCTION("""COMPUTED_VALUE"""),"")</f>
        <v/>
      </c>
    </row>
    <row r="10755">
      <c r="A10755" s="16" t="s">
        <v>87</v>
      </c>
      <c r="E10755" s="16" t="str">
        <f>IFERROR(__xludf.DUMMYFUNCTION("""COMPUTED_VALUE"""),"")</f>
        <v/>
      </c>
      <c r="G10755" s="18"/>
      <c r="H10755" s="16" t="s">
        <v>87</v>
      </c>
      <c r="I10755" s="16" t="s">
        <v>87</v>
      </c>
      <c r="J10755" s="19"/>
      <c r="L10755" s="16" t="str">
        <f>IFERROR(__xludf.DUMMYFUNCTION("""COMPUTED_VALUE"""),"")</f>
        <v/>
      </c>
      <c r="M10755" s="16" t="str">
        <f>IFERROR(__xludf.DUMMYFUNCTION("""COMPUTED_VALUE"""),"")</f>
        <v/>
      </c>
      <c r="U10755" s="16" t="s">
        <v>87</v>
      </c>
      <c r="V10755" s="16" t="str">
        <f>IFERROR(__xludf.DUMMYFUNCTION("""COMPUTED_VALUE"""),"")</f>
        <v/>
      </c>
      <c r="W10755" s="16" t="str">
        <f>IFERROR(__xludf.DUMMYFUNCTION("""COMPUTED_VALUE"""),"")</f>
        <v/>
      </c>
      <c r="X10755" s="16" t="str">
        <f>IFERROR(__xludf.DUMMYFUNCTION("""COMPUTED_VALUE"""),"")</f>
        <v/>
      </c>
      <c r="AC10755" s="16" t="str">
        <f>IFERROR(__xludf.DUMMYFUNCTION("""COMPUTED_VALUE"""),"")</f>
        <v/>
      </c>
    </row>
    <row r="10756">
      <c r="A10756" s="16" t="s">
        <v>87</v>
      </c>
      <c r="E10756" s="16" t="str">
        <f>IFERROR(__xludf.DUMMYFUNCTION("""COMPUTED_VALUE"""),"")</f>
        <v/>
      </c>
      <c r="G10756" s="18"/>
      <c r="H10756" s="16" t="s">
        <v>87</v>
      </c>
      <c r="I10756" s="16" t="s">
        <v>87</v>
      </c>
      <c r="J10756" s="19"/>
      <c r="L10756" s="16" t="str">
        <f>IFERROR(__xludf.DUMMYFUNCTION("""COMPUTED_VALUE"""),"")</f>
        <v/>
      </c>
      <c r="M10756" s="16" t="str">
        <f>IFERROR(__xludf.DUMMYFUNCTION("""COMPUTED_VALUE"""),"")</f>
        <v/>
      </c>
      <c r="U10756" s="16" t="s">
        <v>87</v>
      </c>
      <c r="V10756" s="16" t="str">
        <f>IFERROR(__xludf.DUMMYFUNCTION("""COMPUTED_VALUE"""),"")</f>
        <v/>
      </c>
      <c r="W10756" s="16" t="str">
        <f>IFERROR(__xludf.DUMMYFUNCTION("""COMPUTED_VALUE"""),"")</f>
        <v/>
      </c>
      <c r="X10756" s="16" t="str">
        <f>IFERROR(__xludf.DUMMYFUNCTION("""COMPUTED_VALUE"""),"")</f>
        <v/>
      </c>
      <c r="AC10756" s="16" t="str">
        <f>IFERROR(__xludf.DUMMYFUNCTION("""COMPUTED_VALUE"""),"")</f>
        <v/>
      </c>
    </row>
    <row r="10757">
      <c r="A10757" s="16" t="s">
        <v>87</v>
      </c>
      <c r="E10757" s="16" t="str">
        <f>IFERROR(__xludf.DUMMYFUNCTION("""COMPUTED_VALUE"""),"")</f>
        <v/>
      </c>
      <c r="G10757" s="18"/>
      <c r="H10757" s="16" t="s">
        <v>87</v>
      </c>
      <c r="I10757" s="16" t="s">
        <v>87</v>
      </c>
      <c r="J10757" s="19"/>
      <c r="L10757" s="16" t="str">
        <f>IFERROR(__xludf.DUMMYFUNCTION("""COMPUTED_VALUE"""),"")</f>
        <v/>
      </c>
      <c r="M10757" s="16" t="str">
        <f>IFERROR(__xludf.DUMMYFUNCTION("""COMPUTED_VALUE"""),"")</f>
        <v/>
      </c>
      <c r="U10757" s="16" t="s">
        <v>87</v>
      </c>
      <c r="V10757" s="16" t="str">
        <f>IFERROR(__xludf.DUMMYFUNCTION("""COMPUTED_VALUE"""),"")</f>
        <v/>
      </c>
      <c r="W10757" s="16" t="str">
        <f>IFERROR(__xludf.DUMMYFUNCTION("""COMPUTED_VALUE"""),"")</f>
        <v/>
      </c>
      <c r="X10757" s="16" t="str">
        <f>IFERROR(__xludf.DUMMYFUNCTION("""COMPUTED_VALUE"""),"")</f>
        <v/>
      </c>
      <c r="AC10757" s="16" t="str">
        <f>IFERROR(__xludf.DUMMYFUNCTION("""COMPUTED_VALUE"""),"")</f>
        <v/>
      </c>
    </row>
    <row r="10758">
      <c r="A10758" s="16" t="s">
        <v>87</v>
      </c>
      <c r="E10758" s="16" t="str">
        <f>IFERROR(__xludf.DUMMYFUNCTION("""COMPUTED_VALUE"""),"")</f>
        <v/>
      </c>
      <c r="G10758" s="18"/>
      <c r="H10758" s="16" t="s">
        <v>87</v>
      </c>
      <c r="I10758" s="16" t="s">
        <v>87</v>
      </c>
      <c r="J10758" s="19"/>
      <c r="L10758" s="16" t="str">
        <f>IFERROR(__xludf.DUMMYFUNCTION("""COMPUTED_VALUE"""),"")</f>
        <v/>
      </c>
      <c r="M10758" s="16" t="str">
        <f>IFERROR(__xludf.DUMMYFUNCTION("""COMPUTED_VALUE"""),"")</f>
        <v/>
      </c>
      <c r="U10758" s="16" t="s">
        <v>87</v>
      </c>
      <c r="V10758" s="16" t="str">
        <f>IFERROR(__xludf.DUMMYFUNCTION("""COMPUTED_VALUE"""),"")</f>
        <v/>
      </c>
      <c r="W10758" s="16" t="str">
        <f>IFERROR(__xludf.DUMMYFUNCTION("""COMPUTED_VALUE"""),"")</f>
        <v/>
      </c>
      <c r="X10758" s="16" t="str">
        <f>IFERROR(__xludf.DUMMYFUNCTION("""COMPUTED_VALUE"""),"")</f>
        <v/>
      </c>
      <c r="AC10758" s="16" t="str">
        <f>IFERROR(__xludf.DUMMYFUNCTION("""COMPUTED_VALUE"""),"")</f>
        <v/>
      </c>
    </row>
    <row r="10759">
      <c r="A10759" s="16" t="s">
        <v>87</v>
      </c>
      <c r="E10759" s="16" t="str">
        <f>IFERROR(__xludf.DUMMYFUNCTION("""COMPUTED_VALUE"""),"")</f>
        <v/>
      </c>
      <c r="G10759" s="18"/>
      <c r="H10759" s="16" t="s">
        <v>87</v>
      </c>
      <c r="I10759" s="16" t="s">
        <v>87</v>
      </c>
      <c r="J10759" s="19"/>
      <c r="L10759" s="16" t="str">
        <f>IFERROR(__xludf.DUMMYFUNCTION("""COMPUTED_VALUE"""),"")</f>
        <v/>
      </c>
      <c r="M10759" s="16" t="str">
        <f>IFERROR(__xludf.DUMMYFUNCTION("""COMPUTED_VALUE"""),"")</f>
        <v/>
      </c>
      <c r="U10759" s="16" t="s">
        <v>87</v>
      </c>
      <c r="V10759" s="16" t="str">
        <f>IFERROR(__xludf.DUMMYFUNCTION("""COMPUTED_VALUE"""),"")</f>
        <v/>
      </c>
      <c r="W10759" s="16" t="str">
        <f>IFERROR(__xludf.DUMMYFUNCTION("""COMPUTED_VALUE"""),"")</f>
        <v/>
      </c>
      <c r="X10759" s="16" t="str">
        <f>IFERROR(__xludf.DUMMYFUNCTION("""COMPUTED_VALUE"""),"")</f>
        <v/>
      </c>
      <c r="AC10759" s="16" t="str">
        <f>IFERROR(__xludf.DUMMYFUNCTION("""COMPUTED_VALUE"""),"")</f>
        <v/>
      </c>
    </row>
    <row r="10760">
      <c r="A10760" s="16" t="s">
        <v>87</v>
      </c>
      <c r="E10760" s="16" t="str">
        <f>IFERROR(__xludf.DUMMYFUNCTION("""COMPUTED_VALUE"""),"")</f>
        <v/>
      </c>
      <c r="G10760" s="18"/>
      <c r="H10760" s="16" t="s">
        <v>87</v>
      </c>
      <c r="I10760" s="16" t="s">
        <v>87</v>
      </c>
      <c r="J10760" s="19"/>
      <c r="L10760" s="16" t="str">
        <f>IFERROR(__xludf.DUMMYFUNCTION("""COMPUTED_VALUE"""),"")</f>
        <v/>
      </c>
      <c r="M10760" s="16" t="str">
        <f>IFERROR(__xludf.DUMMYFUNCTION("""COMPUTED_VALUE"""),"")</f>
        <v/>
      </c>
      <c r="U10760" s="16" t="s">
        <v>87</v>
      </c>
      <c r="V10760" s="16" t="str">
        <f>IFERROR(__xludf.DUMMYFUNCTION("""COMPUTED_VALUE"""),"")</f>
        <v/>
      </c>
      <c r="W10760" s="16" t="str">
        <f>IFERROR(__xludf.DUMMYFUNCTION("""COMPUTED_VALUE"""),"")</f>
        <v/>
      </c>
      <c r="X10760" s="16" t="str">
        <f>IFERROR(__xludf.DUMMYFUNCTION("""COMPUTED_VALUE"""),"")</f>
        <v/>
      </c>
      <c r="AC10760" s="16" t="str">
        <f>IFERROR(__xludf.DUMMYFUNCTION("""COMPUTED_VALUE"""),"")</f>
        <v/>
      </c>
    </row>
    <row r="10761">
      <c r="A10761" s="16" t="s">
        <v>87</v>
      </c>
      <c r="E10761" s="16" t="str">
        <f>IFERROR(__xludf.DUMMYFUNCTION("""COMPUTED_VALUE"""),"")</f>
        <v/>
      </c>
      <c r="G10761" s="18"/>
      <c r="H10761" s="16" t="s">
        <v>87</v>
      </c>
      <c r="I10761" s="16" t="s">
        <v>87</v>
      </c>
      <c r="J10761" s="19"/>
      <c r="L10761" s="16" t="str">
        <f>IFERROR(__xludf.DUMMYFUNCTION("""COMPUTED_VALUE"""),"")</f>
        <v/>
      </c>
      <c r="M10761" s="16" t="str">
        <f>IFERROR(__xludf.DUMMYFUNCTION("""COMPUTED_VALUE"""),"")</f>
        <v/>
      </c>
      <c r="U10761" s="16" t="s">
        <v>87</v>
      </c>
      <c r="V10761" s="16" t="str">
        <f>IFERROR(__xludf.DUMMYFUNCTION("""COMPUTED_VALUE"""),"")</f>
        <v/>
      </c>
      <c r="W10761" s="16" t="str">
        <f>IFERROR(__xludf.DUMMYFUNCTION("""COMPUTED_VALUE"""),"")</f>
        <v/>
      </c>
      <c r="X10761" s="16" t="str">
        <f>IFERROR(__xludf.DUMMYFUNCTION("""COMPUTED_VALUE"""),"")</f>
        <v/>
      </c>
      <c r="AC10761" s="16" t="str">
        <f>IFERROR(__xludf.DUMMYFUNCTION("""COMPUTED_VALUE"""),"")</f>
        <v/>
      </c>
    </row>
    <row r="10762">
      <c r="A10762" s="16" t="s">
        <v>87</v>
      </c>
      <c r="E10762" s="16" t="str">
        <f>IFERROR(__xludf.DUMMYFUNCTION("""COMPUTED_VALUE"""),"")</f>
        <v/>
      </c>
      <c r="G10762" s="18"/>
      <c r="H10762" s="16" t="s">
        <v>87</v>
      </c>
      <c r="I10762" s="16" t="s">
        <v>87</v>
      </c>
      <c r="J10762" s="19"/>
      <c r="L10762" s="16" t="str">
        <f>IFERROR(__xludf.DUMMYFUNCTION("""COMPUTED_VALUE"""),"")</f>
        <v/>
      </c>
      <c r="M10762" s="16" t="str">
        <f>IFERROR(__xludf.DUMMYFUNCTION("""COMPUTED_VALUE"""),"")</f>
        <v/>
      </c>
      <c r="U10762" s="16" t="s">
        <v>87</v>
      </c>
      <c r="V10762" s="16" t="str">
        <f>IFERROR(__xludf.DUMMYFUNCTION("""COMPUTED_VALUE"""),"")</f>
        <v/>
      </c>
      <c r="W10762" s="16" t="str">
        <f>IFERROR(__xludf.DUMMYFUNCTION("""COMPUTED_VALUE"""),"")</f>
        <v/>
      </c>
      <c r="X10762" s="16" t="str">
        <f>IFERROR(__xludf.DUMMYFUNCTION("""COMPUTED_VALUE"""),"")</f>
        <v/>
      </c>
      <c r="AC10762" s="16" t="str">
        <f>IFERROR(__xludf.DUMMYFUNCTION("""COMPUTED_VALUE"""),"")</f>
        <v/>
      </c>
    </row>
    <row r="10763">
      <c r="A10763" s="16" t="s">
        <v>87</v>
      </c>
      <c r="E10763" s="16" t="str">
        <f>IFERROR(__xludf.DUMMYFUNCTION("""COMPUTED_VALUE"""),"")</f>
        <v/>
      </c>
      <c r="G10763" s="18"/>
      <c r="H10763" s="16" t="s">
        <v>87</v>
      </c>
      <c r="I10763" s="16" t="s">
        <v>87</v>
      </c>
      <c r="J10763" s="19"/>
      <c r="L10763" s="16" t="str">
        <f>IFERROR(__xludf.DUMMYFUNCTION("""COMPUTED_VALUE"""),"")</f>
        <v/>
      </c>
      <c r="M10763" s="16" t="str">
        <f>IFERROR(__xludf.DUMMYFUNCTION("""COMPUTED_VALUE"""),"")</f>
        <v/>
      </c>
      <c r="U10763" s="16" t="s">
        <v>87</v>
      </c>
      <c r="V10763" s="16" t="str">
        <f>IFERROR(__xludf.DUMMYFUNCTION("""COMPUTED_VALUE"""),"")</f>
        <v/>
      </c>
      <c r="W10763" s="16" t="str">
        <f>IFERROR(__xludf.DUMMYFUNCTION("""COMPUTED_VALUE"""),"")</f>
        <v/>
      </c>
      <c r="X10763" s="16" t="str">
        <f>IFERROR(__xludf.DUMMYFUNCTION("""COMPUTED_VALUE"""),"")</f>
        <v/>
      </c>
      <c r="AC10763" s="16" t="str">
        <f>IFERROR(__xludf.DUMMYFUNCTION("""COMPUTED_VALUE"""),"")</f>
        <v/>
      </c>
    </row>
    <row r="10764">
      <c r="A10764" s="16" t="s">
        <v>87</v>
      </c>
      <c r="E10764" s="16" t="str">
        <f>IFERROR(__xludf.DUMMYFUNCTION("""COMPUTED_VALUE"""),"")</f>
        <v/>
      </c>
      <c r="G10764" s="18"/>
      <c r="H10764" s="16" t="s">
        <v>87</v>
      </c>
      <c r="I10764" s="16" t="s">
        <v>87</v>
      </c>
      <c r="J10764" s="19"/>
      <c r="L10764" s="16" t="str">
        <f>IFERROR(__xludf.DUMMYFUNCTION("""COMPUTED_VALUE"""),"")</f>
        <v/>
      </c>
      <c r="M10764" s="16" t="str">
        <f>IFERROR(__xludf.DUMMYFUNCTION("""COMPUTED_VALUE"""),"")</f>
        <v/>
      </c>
      <c r="U10764" s="16" t="s">
        <v>87</v>
      </c>
      <c r="V10764" s="16" t="str">
        <f>IFERROR(__xludf.DUMMYFUNCTION("""COMPUTED_VALUE"""),"")</f>
        <v/>
      </c>
      <c r="W10764" s="16" t="str">
        <f>IFERROR(__xludf.DUMMYFUNCTION("""COMPUTED_VALUE"""),"")</f>
        <v/>
      </c>
      <c r="X10764" s="16" t="str">
        <f>IFERROR(__xludf.DUMMYFUNCTION("""COMPUTED_VALUE"""),"")</f>
        <v/>
      </c>
      <c r="AC10764" s="16" t="str">
        <f>IFERROR(__xludf.DUMMYFUNCTION("""COMPUTED_VALUE"""),"")</f>
        <v/>
      </c>
    </row>
    <row r="10765">
      <c r="A10765" s="16" t="s">
        <v>87</v>
      </c>
      <c r="E10765" s="16" t="str">
        <f>IFERROR(__xludf.DUMMYFUNCTION("""COMPUTED_VALUE"""),"")</f>
        <v/>
      </c>
      <c r="G10765" s="18"/>
      <c r="H10765" s="16" t="s">
        <v>87</v>
      </c>
      <c r="I10765" s="16" t="s">
        <v>87</v>
      </c>
      <c r="J10765" s="19"/>
      <c r="L10765" s="16" t="str">
        <f>IFERROR(__xludf.DUMMYFUNCTION("""COMPUTED_VALUE"""),"")</f>
        <v/>
      </c>
      <c r="M10765" s="16" t="str">
        <f>IFERROR(__xludf.DUMMYFUNCTION("""COMPUTED_VALUE"""),"")</f>
        <v/>
      </c>
      <c r="U10765" s="16" t="s">
        <v>87</v>
      </c>
      <c r="V10765" s="16" t="str">
        <f>IFERROR(__xludf.DUMMYFUNCTION("""COMPUTED_VALUE"""),"")</f>
        <v/>
      </c>
      <c r="W10765" s="16" t="str">
        <f>IFERROR(__xludf.DUMMYFUNCTION("""COMPUTED_VALUE"""),"")</f>
        <v/>
      </c>
      <c r="X10765" s="16" t="str">
        <f>IFERROR(__xludf.DUMMYFUNCTION("""COMPUTED_VALUE"""),"")</f>
        <v/>
      </c>
      <c r="AC10765" s="16" t="str">
        <f>IFERROR(__xludf.DUMMYFUNCTION("""COMPUTED_VALUE"""),"")</f>
        <v/>
      </c>
    </row>
    <row r="10766">
      <c r="A10766" s="16" t="s">
        <v>87</v>
      </c>
      <c r="E10766" s="16" t="str">
        <f>IFERROR(__xludf.DUMMYFUNCTION("""COMPUTED_VALUE"""),"")</f>
        <v/>
      </c>
      <c r="G10766" s="18"/>
      <c r="H10766" s="16" t="s">
        <v>87</v>
      </c>
      <c r="I10766" s="16" t="s">
        <v>87</v>
      </c>
      <c r="J10766" s="19"/>
      <c r="L10766" s="16" t="str">
        <f>IFERROR(__xludf.DUMMYFUNCTION("""COMPUTED_VALUE"""),"")</f>
        <v/>
      </c>
      <c r="M10766" s="16" t="str">
        <f>IFERROR(__xludf.DUMMYFUNCTION("""COMPUTED_VALUE"""),"")</f>
        <v/>
      </c>
      <c r="U10766" s="16" t="s">
        <v>87</v>
      </c>
      <c r="V10766" s="16" t="str">
        <f>IFERROR(__xludf.DUMMYFUNCTION("""COMPUTED_VALUE"""),"")</f>
        <v/>
      </c>
      <c r="W10766" s="16" t="str">
        <f>IFERROR(__xludf.DUMMYFUNCTION("""COMPUTED_VALUE"""),"")</f>
        <v/>
      </c>
      <c r="X10766" s="16" t="str">
        <f>IFERROR(__xludf.DUMMYFUNCTION("""COMPUTED_VALUE"""),"")</f>
        <v/>
      </c>
      <c r="AC10766" s="16" t="str">
        <f>IFERROR(__xludf.DUMMYFUNCTION("""COMPUTED_VALUE"""),"")</f>
        <v/>
      </c>
    </row>
    <row r="10767">
      <c r="A10767" s="16" t="s">
        <v>87</v>
      </c>
      <c r="E10767" s="16" t="str">
        <f>IFERROR(__xludf.DUMMYFUNCTION("""COMPUTED_VALUE"""),"")</f>
        <v/>
      </c>
      <c r="G10767" s="18"/>
      <c r="H10767" s="16" t="s">
        <v>87</v>
      </c>
      <c r="I10767" s="16" t="s">
        <v>87</v>
      </c>
      <c r="J10767" s="19"/>
      <c r="L10767" s="16" t="str">
        <f>IFERROR(__xludf.DUMMYFUNCTION("""COMPUTED_VALUE"""),"")</f>
        <v/>
      </c>
      <c r="M10767" s="16" t="str">
        <f>IFERROR(__xludf.DUMMYFUNCTION("""COMPUTED_VALUE"""),"")</f>
        <v/>
      </c>
      <c r="U10767" s="16" t="s">
        <v>87</v>
      </c>
      <c r="V10767" s="16" t="str">
        <f>IFERROR(__xludf.DUMMYFUNCTION("""COMPUTED_VALUE"""),"")</f>
        <v/>
      </c>
      <c r="W10767" s="16" t="str">
        <f>IFERROR(__xludf.DUMMYFUNCTION("""COMPUTED_VALUE"""),"")</f>
        <v/>
      </c>
      <c r="X10767" s="16" t="str">
        <f>IFERROR(__xludf.DUMMYFUNCTION("""COMPUTED_VALUE"""),"")</f>
        <v/>
      </c>
      <c r="AC10767" s="16" t="str">
        <f>IFERROR(__xludf.DUMMYFUNCTION("""COMPUTED_VALUE"""),"")</f>
        <v/>
      </c>
    </row>
    <row r="10768">
      <c r="A10768" s="16" t="s">
        <v>87</v>
      </c>
      <c r="E10768" s="16" t="str">
        <f>IFERROR(__xludf.DUMMYFUNCTION("""COMPUTED_VALUE"""),"")</f>
        <v/>
      </c>
      <c r="G10768" s="18"/>
      <c r="H10768" s="16" t="s">
        <v>87</v>
      </c>
      <c r="I10768" s="16" t="s">
        <v>87</v>
      </c>
      <c r="J10768" s="19"/>
      <c r="L10768" s="16" t="str">
        <f>IFERROR(__xludf.DUMMYFUNCTION("""COMPUTED_VALUE"""),"")</f>
        <v/>
      </c>
      <c r="M10768" s="16" t="str">
        <f>IFERROR(__xludf.DUMMYFUNCTION("""COMPUTED_VALUE"""),"")</f>
        <v/>
      </c>
      <c r="U10768" s="16" t="s">
        <v>87</v>
      </c>
      <c r="V10768" s="16" t="str">
        <f>IFERROR(__xludf.DUMMYFUNCTION("""COMPUTED_VALUE"""),"")</f>
        <v/>
      </c>
      <c r="W10768" s="16" t="str">
        <f>IFERROR(__xludf.DUMMYFUNCTION("""COMPUTED_VALUE"""),"")</f>
        <v/>
      </c>
      <c r="X10768" s="16" t="str">
        <f>IFERROR(__xludf.DUMMYFUNCTION("""COMPUTED_VALUE"""),"")</f>
        <v/>
      </c>
      <c r="AC10768" s="16" t="str">
        <f>IFERROR(__xludf.DUMMYFUNCTION("""COMPUTED_VALUE"""),"")</f>
        <v/>
      </c>
    </row>
    <row r="10769">
      <c r="A10769" s="16" t="s">
        <v>87</v>
      </c>
      <c r="E10769" s="16" t="str">
        <f>IFERROR(__xludf.DUMMYFUNCTION("""COMPUTED_VALUE"""),"")</f>
        <v/>
      </c>
      <c r="G10769" s="18"/>
      <c r="H10769" s="16" t="s">
        <v>87</v>
      </c>
      <c r="I10769" s="16" t="s">
        <v>87</v>
      </c>
      <c r="J10769" s="19"/>
      <c r="L10769" s="16" t="str">
        <f>IFERROR(__xludf.DUMMYFUNCTION("""COMPUTED_VALUE"""),"")</f>
        <v/>
      </c>
      <c r="M10769" s="16" t="str">
        <f>IFERROR(__xludf.DUMMYFUNCTION("""COMPUTED_VALUE"""),"")</f>
        <v/>
      </c>
      <c r="U10769" s="16" t="s">
        <v>87</v>
      </c>
      <c r="V10769" s="16" t="str">
        <f>IFERROR(__xludf.DUMMYFUNCTION("""COMPUTED_VALUE"""),"")</f>
        <v/>
      </c>
      <c r="W10769" s="16" t="str">
        <f>IFERROR(__xludf.DUMMYFUNCTION("""COMPUTED_VALUE"""),"")</f>
        <v/>
      </c>
      <c r="X10769" s="16" t="str">
        <f>IFERROR(__xludf.DUMMYFUNCTION("""COMPUTED_VALUE"""),"")</f>
        <v/>
      </c>
      <c r="AC10769" s="16" t="str">
        <f>IFERROR(__xludf.DUMMYFUNCTION("""COMPUTED_VALUE"""),"")</f>
        <v/>
      </c>
    </row>
    <row r="10770">
      <c r="A10770" s="16" t="s">
        <v>87</v>
      </c>
      <c r="E10770" s="16" t="str">
        <f>IFERROR(__xludf.DUMMYFUNCTION("""COMPUTED_VALUE"""),"")</f>
        <v/>
      </c>
      <c r="G10770" s="18"/>
      <c r="H10770" s="16" t="s">
        <v>87</v>
      </c>
      <c r="I10770" s="16" t="s">
        <v>87</v>
      </c>
      <c r="J10770" s="19"/>
      <c r="L10770" s="16" t="str">
        <f>IFERROR(__xludf.DUMMYFUNCTION("""COMPUTED_VALUE"""),"")</f>
        <v/>
      </c>
      <c r="M10770" s="16" t="str">
        <f>IFERROR(__xludf.DUMMYFUNCTION("""COMPUTED_VALUE"""),"")</f>
        <v/>
      </c>
      <c r="U10770" s="16" t="s">
        <v>87</v>
      </c>
      <c r="V10770" s="16" t="str">
        <f>IFERROR(__xludf.DUMMYFUNCTION("""COMPUTED_VALUE"""),"")</f>
        <v/>
      </c>
      <c r="W10770" s="16" t="str">
        <f>IFERROR(__xludf.DUMMYFUNCTION("""COMPUTED_VALUE"""),"")</f>
        <v/>
      </c>
      <c r="X10770" s="16" t="str">
        <f>IFERROR(__xludf.DUMMYFUNCTION("""COMPUTED_VALUE"""),"")</f>
        <v/>
      </c>
      <c r="AC10770" s="16" t="str">
        <f>IFERROR(__xludf.DUMMYFUNCTION("""COMPUTED_VALUE"""),"")</f>
        <v/>
      </c>
    </row>
    <row r="10771">
      <c r="A10771" s="16" t="s">
        <v>87</v>
      </c>
      <c r="E10771" s="16" t="str">
        <f>IFERROR(__xludf.DUMMYFUNCTION("""COMPUTED_VALUE"""),"")</f>
        <v/>
      </c>
      <c r="G10771" s="18"/>
      <c r="H10771" s="16" t="s">
        <v>87</v>
      </c>
      <c r="I10771" s="16" t="s">
        <v>87</v>
      </c>
      <c r="J10771" s="19"/>
      <c r="L10771" s="16" t="str">
        <f>IFERROR(__xludf.DUMMYFUNCTION("""COMPUTED_VALUE"""),"")</f>
        <v/>
      </c>
      <c r="M10771" s="16" t="str">
        <f>IFERROR(__xludf.DUMMYFUNCTION("""COMPUTED_VALUE"""),"")</f>
        <v/>
      </c>
      <c r="U10771" s="16" t="s">
        <v>87</v>
      </c>
      <c r="V10771" s="16" t="str">
        <f>IFERROR(__xludf.DUMMYFUNCTION("""COMPUTED_VALUE"""),"")</f>
        <v/>
      </c>
      <c r="W10771" s="16" t="str">
        <f>IFERROR(__xludf.DUMMYFUNCTION("""COMPUTED_VALUE"""),"")</f>
        <v/>
      </c>
      <c r="X10771" s="16" t="str">
        <f>IFERROR(__xludf.DUMMYFUNCTION("""COMPUTED_VALUE"""),"")</f>
        <v/>
      </c>
      <c r="AC10771" s="16" t="str">
        <f>IFERROR(__xludf.DUMMYFUNCTION("""COMPUTED_VALUE"""),"")</f>
        <v/>
      </c>
    </row>
    <row r="10772">
      <c r="A10772" s="16" t="s">
        <v>87</v>
      </c>
      <c r="E10772" s="16" t="str">
        <f>IFERROR(__xludf.DUMMYFUNCTION("""COMPUTED_VALUE"""),"")</f>
        <v/>
      </c>
      <c r="G10772" s="18"/>
      <c r="H10772" s="16" t="s">
        <v>87</v>
      </c>
      <c r="I10772" s="16" t="s">
        <v>87</v>
      </c>
      <c r="J10772" s="19"/>
      <c r="L10772" s="16" t="str">
        <f>IFERROR(__xludf.DUMMYFUNCTION("""COMPUTED_VALUE"""),"")</f>
        <v/>
      </c>
      <c r="M10772" s="16" t="str">
        <f>IFERROR(__xludf.DUMMYFUNCTION("""COMPUTED_VALUE"""),"")</f>
        <v/>
      </c>
      <c r="U10772" s="16" t="s">
        <v>87</v>
      </c>
      <c r="V10772" s="16" t="str">
        <f>IFERROR(__xludf.DUMMYFUNCTION("""COMPUTED_VALUE"""),"")</f>
        <v/>
      </c>
      <c r="W10772" s="16" t="str">
        <f>IFERROR(__xludf.DUMMYFUNCTION("""COMPUTED_VALUE"""),"")</f>
        <v/>
      </c>
      <c r="X10772" s="16" t="str">
        <f>IFERROR(__xludf.DUMMYFUNCTION("""COMPUTED_VALUE"""),"")</f>
        <v/>
      </c>
      <c r="AC10772" s="16" t="str">
        <f>IFERROR(__xludf.DUMMYFUNCTION("""COMPUTED_VALUE"""),"")</f>
        <v/>
      </c>
    </row>
    <row r="10773">
      <c r="A10773" s="16" t="s">
        <v>87</v>
      </c>
      <c r="E10773" s="16" t="str">
        <f>IFERROR(__xludf.DUMMYFUNCTION("""COMPUTED_VALUE"""),"")</f>
        <v/>
      </c>
      <c r="G10773" s="18"/>
      <c r="H10773" s="16" t="s">
        <v>87</v>
      </c>
      <c r="I10773" s="16" t="s">
        <v>87</v>
      </c>
      <c r="J10773" s="19"/>
      <c r="L10773" s="16" t="str">
        <f>IFERROR(__xludf.DUMMYFUNCTION("""COMPUTED_VALUE"""),"")</f>
        <v/>
      </c>
      <c r="M10773" s="16" t="str">
        <f>IFERROR(__xludf.DUMMYFUNCTION("""COMPUTED_VALUE"""),"")</f>
        <v/>
      </c>
      <c r="U10773" s="16" t="s">
        <v>87</v>
      </c>
      <c r="V10773" s="16" t="str">
        <f>IFERROR(__xludf.DUMMYFUNCTION("""COMPUTED_VALUE"""),"")</f>
        <v/>
      </c>
      <c r="W10773" s="16" t="str">
        <f>IFERROR(__xludf.DUMMYFUNCTION("""COMPUTED_VALUE"""),"")</f>
        <v/>
      </c>
      <c r="X10773" s="16" t="str">
        <f>IFERROR(__xludf.DUMMYFUNCTION("""COMPUTED_VALUE"""),"")</f>
        <v/>
      </c>
      <c r="AC10773" s="16" t="str">
        <f>IFERROR(__xludf.DUMMYFUNCTION("""COMPUTED_VALUE"""),"")</f>
        <v/>
      </c>
    </row>
    <row r="10774">
      <c r="A10774" s="16" t="s">
        <v>87</v>
      </c>
      <c r="E10774" s="16" t="str">
        <f>IFERROR(__xludf.DUMMYFUNCTION("""COMPUTED_VALUE"""),"")</f>
        <v/>
      </c>
      <c r="G10774" s="18"/>
      <c r="H10774" s="16" t="s">
        <v>87</v>
      </c>
      <c r="I10774" s="16" t="s">
        <v>87</v>
      </c>
      <c r="J10774" s="19"/>
      <c r="L10774" s="16" t="str">
        <f>IFERROR(__xludf.DUMMYFUNCTION("""COMPUTED_VALUE"""),"")</f>
        <v/>
      </c>
      <c r="M10774" s="16" t="str">
        <f>IFERROR(__xludf.DUMMYFUNCTION("""COMPUTED_VALUE"""),"")</f>
        <v/>
      </c>
      <c r="U10774" s="16" t="s">
        <v>87</v>
      </c>
      <c r="V10774" s="16" t="str">
        <f>IFERROR(__xludf.DUMMYFUNCTION("""COMPUTED_VALUE"""),"")</f>
        <v/>
      </c>
      <c r="W10774" s="16" t="str">
        <f>IFERROR(__xludf.DUMMYFUNCTION("""COMPUTED_VALUE"""),"")</f>
        <v/>
      </c>
      <c r="X10774" s="16" t="str">
        <f>IFERROR(__xludf.DUMMYFUNCTION("""COMPUTED_VALUE"""),"")</f>
        <v/>
      </c>
      <c r="AC10774" s="16" t="str">
        <f>IFERROR(__xludf.DUMMYFUNCTION("""COMPUTED_VALUE"""),"")</f>
        <v/>
      </c>
    </row>
    <row r="10775">
      <c r="A10775" s="16" t="s">
        <v>87</v>
      </c>
      <c r="E10775" s="16" t="str">
        <f>IFERROR(__xludf.DUMMYFUNCTION("""COMPUTED_VALUE"""),"")</f>
        <v/>
      </c>
      <c r="G10775" s="18"/>
      <c r="H10775" s="16" t="s">
        <v>87</v>
      </c>
      <c r="I10775" s="16" t="s">
        <v>87</v>
      </c>
      <c r="J10775" s="19"/>
      <c r="L10775" s="16" t="str">
        <f>IFERROR(__xludf.DUMMYFUNCTION("""COMPUTED_VALUE"""),"")</f>
        <v/>
      </c>
      <c r="M10775" s="16" t="str">
        <f>IFERROR(__xludf.DUMMYFUNCTION("""COMPUTED_VALUE"""),"")</f>
        <v/>
      </c>
      <c r="U10775" s="16" t="s">
        <v>87</v>
      </c>
      <c r="V10775" s="16" t="str">
        <f>IFERROR(__xludf.DUMMYFUNCTION("""COMPUTED_VALUE"""),"")</f>
        <v/>
      </c>
      <c r="W10775" s="16" t="str">
        <f>IFERROR(__xludf.DUMMYFUNCTION("""COMPUTED_VALUE"""),"")</f>
        <v/>
      </c>
      <c r="X10775" s="16" t="str">
        <f>IFERROR(__xludf.DUMMYFUNCTION("""COMPUTED_VALUE"""),"")</f>
        <v/>
      </c>
      <c r="AC10775" s="16" t="str">
        <f>IFERROR(__xludf.DUMMYFUNCTION("""COMPUTED_VALUE"""),"")</f>
        <v/>
      </c>
    </row>
    <row r="10776">
      <c r="A10776" s="16" t="s">
        <v>87</v>
      </c>
      <c r="E10776" s="16" t="str">
        <f>IFERROR(__xludf.DUMMYFUNCTION("""COMPUTED_VALUE"""),"")</f>
        <v/>
      </c>
      <c r="G10776" s="18"/>
      <c r="H10776" s="16" t="s">
        <v>87</v>
      </c>
      <c r="I10776" s="16" t="s">
        <v>87</v>
      </c>
      <c r="J10776" s="19"/>
      <c r="L10776" s="16" t="str">
        <f>IFERROR(__xludf.DUMMYFUNCTION("""COMPUTED_VALUE"""),"")</f>
        <v/>
      </c>
      <c r="M10776" s="16" t="str">
        <f>IFERROR(__xludf.DUMMYFUNCTION("""COMPUTED_VALUE"""),"")</f>
        <v/>
      </c>
      <c r="U10776" s="16" t="s">
        <v>87</v>
      </c>
      <c r="V10776" s="16" t="str">
        <f>IFERROR(__xludf.DUMMYFUNCTION("""COMPUTED_VALUE"""),"")</f>
        <v/>
      </c>
      <c r="W10776" s="16" t="str">
        <f>IFERROR(__xludf.DUMMYFUNCTION("""COMPUTED_VALUE"""),"")</f>
        <v/>
      </c>
      <c r="X10776" s="16" t="str">
        <f>IFERROR(__xludf.DUMMYFUNCTION("""COMPUTED_VALUE"""),"")</f>
        <v/>
      </c>
      <c r="AC10776" s="16" t="str">
        <f>IFERROR(__xludf.DUMMYFUNCTION("""COMPUTED_VALUE"""),"")</f>
        <v/>
      </c>
    </row>
    <row r="10777">
      <c r="A10777" s="16" t="s">
        <v>87</v>
      </c>
      <c r="E10777" s="16" t="str">
        <f>IFERROR(__xludf.DUMMYFUNCTION("""COMPUTED_VALUE"""),"")</f>
        <v/>
      </c>
      <c r="G10777" s="18"/>
      <c r="H10777" s="16" t="s">
        <v>87</v>
      </c>
      <c r="I10777" s="16" t="s">
        <v>87</v>
      </c>
      <c r="J10777" s="19"/>
      <c r="L10777" s="16" t="str">
        <f>IFERROR(__xludf.DUMMYFUNCTION("""COMPUTED_VALUE"""),"")</f>
        <v/>
      </c>
      <c r="M10777" s="16" t="str">
        <f>IFERROR(__xludf.DUMMYFUNCTION("""COMPUTED_VALUE"""),"")</f>
        <v/>
      </c>
      <c r="U10777" s="16" t="s">
        <v>87</v>
      </c>
      <c r="V10777" s="16" t="str">
        <f>IFERROR(__xludf.DUMMYFUNCTION("""COMPUTED_VALUE"""),"")</f>
        <v/>
      </c>
      <c r="W10777" s="16" t="str">
        <f>IFERROR(__xludf.DUMMYFUNCTION("""COMPUTED_VALUE"""),"")</f>
        <v/>
      </c>
      <c r="X10777" s="16" t="str">
        <f>IFERROR(__xludf.DUMMYFUNCTION("""COMPUTED_VALUE"""),"")</f>
        <v/>
      </c>
      <c r="AC10777" s="16" t="str">
        <f>IFERROR(__xludf.DUMMYFUNCTION("""COMPUTED_VALUE"""),"")</f>
        <v/>
      </c>
    </row>
    <row r="10778">
      <c r="A10778" s="16" t="s">
        <v>87</v>
      </c>
      <c r="E10778" s="16" t="str">
        <f>IFERROR(__xludf.DUMMYFUNCTION("""COMPUTED_VALUE"""),"")</f>
        <v/>
      </c>
      <c r="G10778" s="18"/>
      <c r="H10778" s="16" t="s">
        <v>87</v>
      </c>
      <c r="I10778" s="16" t="s">
        <v>87</v>
      </c>
      <c r="J10778" s="19"/>
      <c r="L10778" s="16" t="str">
        <f>IFERROR(__xludf.DUMMYFUNCTION("""COMPUTED_VALUE"""),"")</f>
        <v/>
      </c>
      <c r="M10778" s="16" t="str">
        <f>IFERROR(__xludf.DUMMYFUNCTION("""COMPUTED_VALUE"""),"")</f>
        <v/>
      </c>
      <c r="U10778" s="16" t="s">
        <v>87</v>
      </c>
      <c r="V10778" s="16" t="str">
        <f>IFERROR(__xludf.DUMMYFUNCTION("""COMPUTED_VALUE"""),"")</f>
        <v/>
      </c>
      <c r="W10778" s="16" t="str">
        <f>IFERROR(__xludf.DUMMYFUNCTION("""COMPUTED_VALUE"""),"")</f>
        <v/>
      </c>
      <c r="X10778" s="16" t="str">
        <f>IFERROR(__xludf.DUMMYFUNCTION("""COMPUTED_VALUE"""),"")</f>
        <v/>
      </c>
      <c r="AC10778" s="16" t="str">
        <f>IFERROR(__xludf.DUMMYFUNCTION("""COMPUTED_VALUE"""),"")</f>
        <v/>
      </c>
    </row>
    <row r="10779">
      <c r="A10779" s="16" t="s">
        <v>87</v>
      </c>
      <c r="E10779" s="16" t="str">
        <f>IFERROR(__xludf.DUMMYFUNCTION("""COMPUTED_VALUE"""),"")</f>
        <v/>
      </c>
      <c r="G10779" s="18"/>
      <c r="H10779" s="16" t="s">
        <v>87</v>
      </c>
      <c r="I10779" s="16" t="s">
        <v>87</v>
      </c>
      <c r="J10779" s="19"/>
      <c r="L10779" s="16" t="str">
        <f>IFERROR(__xludf.DUMMYFUNCTION("""COMPUTED_VALUE"""),"")</f>
        <v/>
      </c>
      <c r="M10779" s="16" t="str">
        <f>IFERROR(__xludf.DUMMYFUNCTION("""COMPUTED_VALUE"""),"")</f>
        <v/>
      </c>
      <c r="U10779" s="16" t="s">
        <v>87</v>
      </c>
      <c r="V10779" s="16" t="str">
        <f>IFERROR(__xludf.DUMMYFUNCTION("""COMPUTED_VALUE"""),"")</f>
        <v/>
      </c>
      <c r="W10779" s="16" t="str">
        <f>IFERROR(__xludf.DUMMYFUNCTION("""COMPUTED_VALUE"""),"")</f>
        <v/>
      </c>
      <c r="X10779" s="16" t="str">
        <f>IFERROR(__xludf.DUMMYFUNCTION("""COMPUTED_VALUE"""),"")</f>
        <v/>
      </c>
      <c r="AC10779" s="16" t="str">
        <f>IFERROR(__xludf.DUMMYFUNCTION("""COMPUTED_VALUE"""),"")</f>
        <v/>
      </c>
    </row>
    <row r="10780">
      <c r="A10780" s="16" t="s">
        <v>87</v>
      </c>
      <c r="E10780" s="16" t="str">
        <f>IFERROR(__xludf.DUMMYFUNCTION("""COMPUTED_VALUE"""),"")</f>
        <v/>
      </c>
      <c r="G10780" s="18"/>
      <c r="H10780" s="16" t="s">
        <v>87</v>
      </c>
      <c r="I10780" s="16" t="s">
        <v>87</v>
      </c>
      <c r="J10780" s="19"/>
      <c r="L10780" s="16" t="str">
        <f>IFERROR(__xludf.DUMMYFUNCTION("""COMPUTED_VALUE"""),"")</f>
        <v/>
      </c>
      <c r="M10780" s="16" t="str">
        <f>IFERROR(__xludf.DUMMYFUNCTION("""COMPUTED_VALUE"""),"")</f>
        <v/>
      </c>
      <c r="U10780" s="16" t="s">
        <v>87</v>
      </c>
      <c r="V10780" s="16" t="str">
        <f>IFERROR(__xludf.DUMMYFUNCTION("""COMPUTED_VALUE"""),"")</f>
        <v/>
      </c>
      <c r="W10780" s="16" t="str">
        <f>IFERROR(__xludf.DUMMYFUNCTION("""COMPUTED_VALUE"""),"")</f>
        <v/>
      </c>
      <c r="X10780" s="16" t="str">
        <f>IFERROR(__xludf.DUMMYFUNCTION("""COMPUTED_VALUE"""),"")</f>
        <v/>
      </c>
      <c r="AC10780" s="16" t="str">
        <f>IFERROR(__xludf.DUMMYFUNCTION("""COMPUTED_VALUE"""),"")</f>
        <v/>
      </c>
    </row>
    <row r="10781">
      <c r="A10781" s="16" t="s">
        <v>87</v>
      </c>
      <c r="E10781" s="16" t="str">
        <f>IFERROR(__xludf.DUMMYFUNCTION("""COMPUTED_VALUE"""),"")</f>
        <v/>
      </c>
      <c r="G10781" s="18"/>
      <c r="H10781" s="16" t="s">
        <v>87</v>
      </c>
      <c r="I10781" s="16" t="s">
        <v>87</v>
      </c>
      <c r="J10781" s="19"/>
      <c r="L10781" s="16" t="str">
        <f>IFERROR(__xludf.DUMMYFUNCTION("""COMPUTED_VALUE"""),"")</f>
        <v/>
      </c>
      <c r="M10781" s="16" t="str">
        <f>IFERROR(__xludf.DUMMYFUNCTION("""COMPUTED_VALUE"""),"")</f>
        <v/>
      </c>
      <c r="U10781" s="16" t="s">
        <v>87</v>
      </c>
      <c r="V10781" s="16" t="str">
        <f>IFERROR(__xludf.DUMMYFUNCTION("""COMPUTED_VALUE"""),"")</f>
        <v/>
      </c>
      <c r="W10781" s="16" t="str">
        <f>IFERROR(__xludf.DUMMYFUNCTION("""COMPUTED_VALUE"""),"")</f>
        <v/>
      </c>
      <c r="X10781" s="16" t="str">
        <f>IFERROR(__xludf.DUMMYFUNCTION("""COMPUTED_VALUE"""),"")</f>
        <v/>
      </c>
      <c r="AC10781" s="16" t="str">
        <f>IFERROR(__xludf.DUMMYFUNCTION("""COMPUTED_VALUE"""),"")</f>
        <v/>
      </c>
    </row>
    <row r="10782">
      <c r="A10782" s="16" t="s">
        <v>87</v>
      </c>
      <c r="E10782" s="16" t="str">
        <f>IFERROR(__xludf.DUMMYFUNCTION("""COMPUTED_VALUE"""),"")</f>
        <v/>
      </c>
      <c r="G10782" s="18"/>
      <c r="H10782" s="16" t="s">
        <v>87</v>
      </c>
      <c r="I10782" s="16" t="s">
        <v>87</v>
      </c>
      <c r="J10782" s="19"/>
      <c r="L10782" s="16" t="str">
        <f>IFERROR(__xludf.DUMMYFUNCTION("""COMPUTED_VALUE"""),"")</f>
        <v/>
      </c>
      <c r="M10782" s="16" t="str">
        <f>IFERROR(__xludf.DUMMYFUNCTION("""COMPUTED_VALUE"""),"")</f>
        <v/>
      </c>
      <c r="U10782" s="16" t="s">
        <v>87</v>
      </c>
      <c r="V10782" s="16" t="str">
        <f>IFERROR(__xludf.DUMMYFUNCTION("""COMPUTED_VALUE"""),"")</f>
        <v/>
      </c>
      <c r="W10782" s="16" t="str">
        <f>IFERROR(__xludf.DUMMYFUNCTION("""COMPUTED_VALUE"""),"")</f>
        <v/>
      </c>
      <c r="X10782" s="16" t="str">
        <f>IFERROR(__xludf.DUMMYFUNCTION("""COMPUTED_VALUE"""),"")</f>
        <v/>
      </c>
      <c r="AC10782" s="16" t="str">
        <f>IFERROR(__xludf.DUMMYFUNCTION("""COMPUTED_VALUE"""),"")</f>
        <v/>
      </c>
    </row>
    <row r="10783">
      <c r="A10783" s="16" t="s">
        <v>87</v>
      </c>
      <c r="E10783" s="16" t="str">
        <f>IFERROR(__xludf.DUMMYFUNCTION("""COMPUTED_VALUE"""),"")</f>
        <v/>
      </c>
      <c r="G10783" s="18"/>
      <c r="H10783" s="16" t="s">
        <v>87</v>
      </c>
      <c r="I10783" s="16" t="s">
        <v>87</v>
      </c>
      <c r="J10783" s="19"/>
      <c r="L10783" s="16" t="str">
        <f>IFERROR(__xludf.DUMMYFUNCTION("""COMPUTED_VALUE"""),"")</f>
        <v/>
      </c>
      <c r="M10783" s="16" t="str">
        <f>IFERROR(__xludf.DUMMYFUNCTION("""COMPUTED_VALUE"""),"")</f>
        <v/>
      </c>
      <c r="U10783" s="16" t="s">
        <v>87</v>
      </c>
      <c r="V10783" s="16" t="str">
        <f>IFERROR(__xludf.DUMMYFUNCTION("""COMPUTED_VALUE"""),"")</f>
        <v/>
      </c>
      <c r="W10783" s="16" t="str">
        <f>IFERROR(__xludf.DUMMYFUNCTION("""COMPUTED_VALUE"""),"")</f>
        <v/>
      </c>
      <c r="X10783" s="16" t="str">
        <f>IFERROR(__xludf.DUMMYFUNCTION("""COMPUTED_VALUE"""),"")</f>
        <v/>
      </c>
      <c r="AC10783" s="16" t="str">
        <f>IFERROR(__xludf.DUMMYFUNCTION("""COMPUTED_VALUE"""),"")</f>
        <v/>
      </c>
    </row>
    <row r="10784">
      <c r="A10784" s="16" t="s">
        <v>87</v>
      </c>
      <c r="E10784" s="16" t="str">
        <f>IFERROR(__xludf.DUMMYFUNCTION("""COMPUTED_VALUE"""),"")</f>
        <v/>
      </c>
      <c r="G10784" s="18"/>
      <c r="H10784" s="16" t="s">
        <v>87</v>
      </c>
      <c r="I10784" s="16" t="s">
        <v>87</v>
      </c>
      <c r="J10784" s="19"/>
      <c r="L10784" s="16" t="str">
        <f>IFERROR(__xludf.DUMMYFUNCTION("""COMPUTED_VALUE"""),"")</f>
        <v/>
      </c>
      <c r="M10784" s="16" t="str">
        <f>IFERROR(__xludf.DUMMYFUNCTION("""COMPUTED_VALUE"""),"")</f>
        <v/>
      </c>
      <c r="U10784" s="16" t="s">
        <v>87</v>
      </c>
      <c r="V10784" s="16" t="str">
        <f>IFERROR(__xludf.DUMMYFUNCTION("""COMPUTED_VALUE"""),"")</f>
        <v/>
      </c>
      <c r="W10784" s="16" t="str">
        <f>IFERROR(__xludf.DUMMYFUNCTION("""COMPUTED_VALUE"""),"")</f>
        <v/>
      </c>
      <c r="X10784" s="16" t="str">
        <f>IFERROR(__xludf.DUMMYFUNCTION("""COMPUTED_VALUE"""),"")</f>
        <v/>
      </c>
      <c r="AC10784" s="16" t="str">
        <f>IFERROR(__xludf.DUMMYFUNCTION("""COMPUTED_VALUE"""),"")</f>
        <v/>
      </c>
    </row>
    <row r="10785">
      <c r="A10785" s="16" t="s">
        <v>87</v>
      </c>
      <c r="E10785" s="16" t="str">
        <f>IFERROR(__xludf.DUMMYFUNCTION("""COMPUTED_VALUE"""),"")</f>
        <v/>
      </c>
      <c r="G10785" s="18"/>
      <c r="H10785" s="16" t="s">
        <v>87</v>
      </c>
      <c r="I10785" s="16" t="s">
        <v>87</v>
      </c>
      <c r="J10785" s="19"/>
      <c r="L10785" s="16" t="str">
        <f>IFERROR(__xludf.DUMMYFUNCTION("""COMPUTED_VALUE"""),"")</f>
        <v/>
      </c>
      <c r="M10785" s="16" t="str">
        <f>IFERROR(__xludf.DUMMYFUNCTION("""COMPUTED_VALUE"""),"")</f>
        <v/>
      </c>
      <c r="U10785" s="16" t="s">
        <v>87</v>
      </c>
      <c r="V10785" s="16" t="str">
        <f>IFERROR(__xludf.DUMMYFUNCTION("""COMPUTED_VALUE"""),"")</f>
        <v/>
      </c>
      <c r="W10785" s="16" t="str">
        <f>IFERROR(__xludf.DUMMYFUNCTION("""COMPUTED_VALUE"""),"")</f>
        <v/>
      </c>
      <c r="X10785" s="16" t="str">
        <f>IFERROR(__xludf.DUMMYFUNCTION("""COMPUTED_VALUE"""),"")</f>
        <v/>
      </c>
      <c r="AC10785" s="16" t="str">
        <f>IFERROR(__xludf.DUMMYFUNCTION("""COMPUTED_VALUE"""),"")</f>
        <v/>
      </c>
    </row>
    <row r="10786">
      <c r="A10786" s="16" t="s">
        <v>87</v>
      </c>
      <c r="E10786" s="16" t="str">
        <f>IFERROR(__xludf.DUMMYFUNCTION("""COMPUTED_VALUE"""),"")</f>
        <v/>
      </c>
      <c r="G10786" s="18"/>
      <c r="H10786" s="16" t="s">
        <v>87</v>
      </c>
      <c r="I10786" s="16" t="s">
        <v>87</v>
      </c>
      <c r="J10786" s="19"/>
      <c r="L10786" s="16" t="str">
        <f>IFERROR(__xludf.DUMMYFUNCTION("""COMPUTED_VALUE"""),"")</f>
        <v/>
      </c>
      <c r="M10786" s="16" t="str">
        <f>IFERROR(__xludf.DUMMYFUNCTION("""COMPUTED_VALUE"""),"")</f>
        <v/>
      </c>
      <c r="U10786" s="16" t="s">
        <v>87</v>
      </c>
      <c r="V10786" s="16" t="str">
        <f>IFERROR(__xludf.DUMMYFUNCTION("""COMPUTED_VALUE"""),"")</f>
        <v/>
      </c>
      <c r="W10786" s="16" t="str">
        <f>IFERROR(__xludf.DUMMYFUNCTION("""COMPUTED_VALUE"""),"")</f>
        <v/>
      </c>
      <c r="X10786" s="16" t="str">
        <f>IFERROR(__xludf.DUMMYFUNCTION("""COMPUTED_VALUE"""),"")</f>
        <v/>
      </c>
      <c r="AC10786" s="16" t="str">
        <f>IFERROR(__xludf.DUMMYFUNCTION("""COMPUTED_VALUE"""),"")</f>
        <v/>
      </c>
    </row>
    <row r="10787">
      <c r="A10787" s="16" t="s">
        <v>87</v>
      </c>
      <c r="E10787" s="16" t="str">
        <f>IFERROR(__xludf.DUMMYFUNCTION("""COMPUTED_VALUE"""),"")</f>
        <v/>
      </c>
      <c r="G10787" s="18"/>
      <c r="H10787" s="16" t="s">
        <v>87</v>
      </c>
      <c r="I10787" s="16" t="s">
        <v>87</v>
      </c>
      <c r="J10787" s="19"/>
      <c r="L10787" s="16" t="str">
        <f>IFERROR(__xludf.DUMMYFUNCTION("""COMPUTED_VALUE"""),"")</f>
        <v/>
      </c>
      <c r="M10787" s="16" t="str">
        <f>IFERROR(__xludf.DUMMYFUNCTION("""COMPUTED_VALUE"""),"")</f>
        <v/>
      </c>
      <c r="U10787" s="16" t="s">
        <v>87</v>
      </c>
      <c r="V10787" s="16" t="str">
        <f>IFERROR(__xludf.DUMMYFUNCTION("""COMPUTED_VALUE"""),"")</f>
        <v/>
      </c>
      <c r="W10787" s="16" t="str">
        <f>IFERROR(__xludf.DUMMYFUNCTION("""COMPUTED_VALUE"""),"")</f>
        <v/>
      </c>
      <c r="X10787" s="16" t="str">
        <f>IFERROR(__xludf.DUMMYFUNCTION("""COMPUTED_VALUE"""),"")</f>
        <v/>
      </c>
      <c r="AC10787" s="16" t="str">
        <f>IFERROR(__xludf.DUMMYFUNCTION("""COMPUTED_VALUE"""),"")</f>
        <v/>
      </c>
    </row>
    <row r="10788">
      <c r="A10788" s="16" t="s">
        <v>87</v>
      </c>
      <c r="E10788" s="16" t="str">
        <f>IFERROR(__xludf.DUMMYFUNCTION("""COMPUTED_VALUE"""),"")</f>
        <v/>
      </c>
      <c r="G10788" s="18"/>
      <c r="H10788" s="16" t="s">
        <v>87</v>
      </c>
      <c r="I10788" s="16" t="s">
        <v>87</v>
      </c>
      <c r="J10788" s="19"/>
      <c r="L10788" s="16" t="str">
        <f>IFERROR(__xludf.DUMMYFUNCTION("""COMPUTED_VALUE"""),"")</f>
        <v/>
      </c>
      <c r="M10788" s="16" t="str">
        <f>IFERROR(__xludf.DUMMYFUNCTION("""COMPUTED_VALUE"""),"")</f>
        <v/>
      </c>
      <c r="U10788" s="16" t="s">
        <v>87</v>
      </c>
      <c r="V10788" s="16" t="str">
        <f>IFERROR(__xludf.DUMMYFUNCTION("""COMPUTED_VALUE"""),"")</f>
        <v/>
      </c>
      <c r="W10788" s="16" t="str">
        <f>IFERROR(__xludf.DUMMYFUNCTION("""COMPUTED_VALUE"""),"")</f>
        <v/>
      </c>
      <c r="X10788" s="16" t="str">
        <f>IFERROR(__xludf.DUMMYFUNCTION("""COMPUTED_VALUE"""),"")</f>
        <v/>
      </c>
      <c r="AC10788" s="16" t="str">
        <f>IFERROR(__xludf.DUMMYFUNCTION("""COMPUTED_VALUE"""),"")</f>
        <v/>
      </c>
    </row>
    <row r="10789">
      <c r="A10789" s="16" t="s">
        <v>87</v>
      </c>
      <c r="E10789" s="16" t="str">
        <f>IFERROR(__xludf.DUMMYFUNCTION("""COMPUTED_VALUE"""),"")</f>
        <v/>
      </c>
      <c r="G10789" s="18"/>
      <c r="H10789" s="16" t="s">
        <v>87</v>
      </c>
      <c r="I10789" s="16" t="s">
        <v>87</v>
      </c>
      <c r="J10789" s="19"/>
      <c r="L10789" s="16" t="str">
        <f>IFERROR(__xludf.DUMMYFUNCTION("""COMPUTED_VALUE"""),"")</f>
        <v/>
      </c>
      <c r="M10789" s="16" t="str">
        <f>IFERROR(__xludf.DUMMYFUNCTION("""COMPUTED_VALUE"""),"")</f>
        <v/>
      </c>
      <c r="U10789" s="16" t="s">
        <v>87</v>
      </c>
      <c r="V10789" s="16" t="str">
        <f>IFERROR(__xludf.DUMMYFUNCTION("""COMPUTED_VALUE"""),"")</f>
        <v/>
      </c>
      <c r="W10789" s="16" t="str">
        <f>IFERROR(__xludf.DUMMYFUNCTION("""COMPUTED_VALUE"""),"")</f>
        <v/>
      </c>
      <c r="X10789" s="16" t="str">
        <f>IFERROR(__xludf.DUMMYFUNCTION("""COMPUTED_VALUE"""),"")</f>
        <v/>
      </c>
      <c r="AC10789" s="16" t="str">
        <f>IFERROR(__xludf.DUMMYFUNCTION("""COMPUTED_VALUE"""),"")</f>
        <v/>
      </c>
    </row>
    <row r="10790">
      <c r="A10790" s="16" t="s">
        <v>87</v>
      </c>
      <c r="E10790" s="16" t="str">
        <f>IFERROR(__xludf.DUMMYFUNCTION("""COMPUTED_VALUE"""),"")</f>
        <v/>
      </c>
      <c r="G10790" s="18"/>
      <c r="H10790" s="16" t="s">
        <v>87</v>
      </c>
      <c r="I10790" s="16" t="s">
        <v>87</v>
      </c>
      <c r="J10790" s="19"/>
      <c r="L10790" s="16" t="str">
        <f>IFERROR(__xludf.DUMMYFUNCTION("""COMPUTED_VALUE"""),"")</f>
        <v/>
      </c>
      <c r="M10790" s="16" t="str">
        <f>IFERROR(__xludf.DUMMYFUNCTION("""COMPUTED_VALUE"""),"")</f>
        <v/>
      </c>
      <c r="U10790" s="16" t="s">
        <v>87</v>
      </c>
      <c r="V10790" s="16" t="str">
        <f>IFERROR(__xludf.DUMMYFUNCTION("""COMPUTED_VALUE"""),"")</f>
        <v/>
      </c>
      <c r="W10790" s="16" t="str">
        <f>IFERROR(__xludf.DUMMYFUNCTION("""COMPUTED_VALUE"""),"")</f>
        <v/>
      </c>
      <c r="X10790" s="16" t="str">
        <f>IFERROR(__xludf.DUMMYFUNCTION("""COMPUTED_VALUE"""),"")</f>
        <v/>
      </c>
      <c r="AC10790" s="16" t="str">
        <f>IFERROR(__xludf.DUMMYFUNCTION("""COMPUTED_VALUE"""),"")</f>
        <v/>
      </c>
    </row>
    <row r="10791">
      <c r="A10791" s="16" t="s">
        <v>87</v>
      </c>
      <c r="E10791" s="16" t="str">
        <f>IFERROR(__xludf.DUMMYFUNCTION("""COMPUTED_VALUE"""),"")</f>
        <v/>
      </c>
      <c r="G10791" s="18"/>
      <c r="H10791" s="16" t="s">
        <v>87</v>
      </c>
      <c r="I10791" s="16" t="s">
        <v>87</v>
      </c>
      <c r="J10791" s="19"/>
      <c r="L10791" s="16" t="str">
        <f>IFERROR(__xludf.DUMMYFUNCTION("""COMPUTED_VALUE"""),"")</f>
        <v/>
      </c>
      <c r="M10791" s="16" t="str">
        <f>IFERROR(__xludf.DUMMYFUNCTION("""COMPUTED_VALUE"""),"")</f>
        <v/>
      </c>
      <c r="U10791" s="16" t="s">
        <v>87</v>
      </c>
      <c r="V10791" s="16" t="str">
        <f>IFERROR(__xludf.DUMMYFUNCTION("""COMPUTED_VALUE"""),"")</f>
        <v/>
      </c>
      <c r="W10791" s="16" t="str">
        <f>IFERROR(__xludf.DUMMYFUNCTION("""COMPUTED_VALUE"""),"")</f>
        <v/>
      </c>
      <c r="X10791" s="16" t="str">
        <f>IFERROR(__xludf.DUMMYFUNCTION("""COMPUTED_VALUE"""),"")</f>
        <v/>
      </c>
      <c r="AC10791" s="16" t="str">
        <f>IFERROR(__xludf.DUMMYFUNCTION("""COMPUTED_VALUE"""),"")</f>
        <v/>
      </c>
    </row>
    <row r="10792">
      <c r="A10792" s="16" t="s">
        <v>87</v>
      </c>
      <c r="E10792" s="16" t="str">
        <f>IFERROR(__xludf.DUMMYFUNCTION("""COMPUTED_VALUE"""),"")</f>
        <v/>
      </c>
      <c r="G10792" s="18"/>
      <c r="H10792" s="16" t="s">
        <v>87</v>
      </c>
      <c r="I10792" s="16" t="s">
        <v>87</v>
      </c>
      <c r="J10792" s="19"/>
      <c r="L10792" s="16" t="str">
        <f>IFERROR(__xludf.DUMMYFUNCTION("""COMPUTED_VALUE"""),"")</f>
        <v/>
      </c>
      <c r="M10792" s="16" t="str">
        <f>IFERROR(__xludf.DUMMYFUNCTION("""COMPUTED_VALUE"""),"")</f>
        <v/>
      </c>
      <c r="U10792" s="16" t="s">
        <v>87</v>
      </c>
      <c r="V10792" s="16" t="str">
        <f>IFERROR(__xludf.DUMMYFUNCTION("""COMPUTED_VALUE"""),"")</f>
        <v/>
      </c>
      <c r="W10792" s="16" t="str">
        <f>IFERROR(__xludf.DUMMYFUNCTION("""COMPUTED_VALUE"""),"")</f>
        <v/>
      </c>
      <c r="X10792" s="16" t="str">
        <f>IFERROR(__xludf.DUMMYFUNCTION("""COMPUTED_VALUE"""),"")</f>
        <v/>
      </c>
      <c r="AC10792" s="16" t="str">
        <f>IFERROR(__xludf.DUMMYFUNCTION("""COMPUTED_VALUE"""),"")</f>
        <v/>
      </c>
    </row>
    <row r="10793">
      <c r="A10793" s="16" t="s">
        <v>87</v>
      </c>
      <c r="E10793" s="16" t="str">
        <f>IFERROR(__xludf.DUMMYFUNCTION("""COMPUTED_VALUE"""),"")</f>
        <v/>
      </c>
      <c r="G10793" s="18"/>
      <c r="H10793" s="16" t="s">
        <v>87</v>
      </c>
      <c r="I10793" s="16" t="s">
        <v>87</v>
      </c>
      <c r="J10793" s="19"/>
      <c r="L10793" s="16" t="str">
        <f>IFERROR(__xludf.DUMMYFUNCTION("""COMPUTED_VALUE"""),"")</f>
        <v/>
      </c>
      <c r="M10793" s="16" t="str">
        <f>IFERROR(__xludf.DUMMYFUNCTION("""COMPUTED_VALUE"""),"")</f>
        <v/>
      </c>
      <c r="U10793" s="16" t="s">
        <v>87</v>
      </c>
      <c r="V10793" s="16" t="str">
        <f>IFERROR(__xludf.DUMMYFUNCTION("""COMPUTED_VALUE"""),"")</f>
        <v/>
      </c>
      <c r="W10793" s="16" t="str">
        <f>IFERROR(__xludf.DUMMYFUNCTION("""COMPUTED_VALUE"""),"")</f>
        <v/>
      </c>
      <c r="X10793" s="16" t="str">
        <f>IFERROR(__xludf.DUMMYFUNCTION("""COMPUTED_VALUE"""),"")</f>
        <v/>
      </c>
      <c r="AC10793" s="16" t="str">
        <f>IFERROR(__xludf.DUMMYFUNCTION("""COMPUTED_VALUE"""),"")</f>
        <v/>
      </c>
    </row>
    <row r="10794">
      <c r="A10794" s="16" t="s">
        <v>87</v>
      </c>
      <c r="E10794" s="16" t="str">
        <f>IFERROR(__xludf.DUMMYFUNCTION("""COMPUTED_VALUE"""),"")</f>
        <v/>
      </c>
      <c r="G10794" s="18"/>
      <c r="H10794" s="16" t="s">
        <v>87</v>
      </c>
      <c r="I10794" s="16" t="s">
        <v>87</v>
      </c>
      <c r="J10794" s="19"/>
      <c r="L10794" s="16" t="str">
        <f>IFERROR(__xludf.DUMMYFUNCTION("""COMPUTED_VALUE"""),"")</f>
        <v/>
      </c>
      <c r="M10794" s="16" t="str">
        <f>IFERROR(__xludf.DUMMYFUNCTION("""COMPUTED_VALUE"""),"")</f>
        <v/>
      </c>
      <c r="U10794" s="16" t="s">
        <v>87</v>
      </c>
      <c r="V10794" s="16" t="str">
        <f>IFERROR(__xludf.DUMMYFUNCTION("""COMPUTED_VALUE"""),"")</f>
        <v/>
      </c>
      <c r="W10794" s="16" t="str">
        <f>IFERROR(__xludf.DUMMYFUNCTION("""COMPUTED_VALUE"""),"")</f>
        <v/>
      </c>
      <c r="X10794" s="16" t="str">
        <f>IFERROR(__xludf.DUMMYFUNCTION("""COMPUTED_VALUE"""),"")</f>
        <v/>
      </c>
      <c r="AC10794" s="16" t="str">
        <f>IFERROR(__xludf.DUMMYFUNCTION("""COMPUTED_VALUE"""),"")</f>
        <v/>
      </c>
    </row>
    <row r="10795">
      <c r="A10795" s="16" t="s">
        <v>87</v>
      </c>
      <c r="E10795" s="16" t="str">
        <f>IFERROR(__xludf.DUMMYFUNCTION("""COMPUTED_VALUE"""),"")</f>
        <v/>
      </c>
      <c r="G10795" s="18"/>
      <c r="H10795" s="16" t="s">
        <v>87</v>
      </c>
      <c r="I10795" s="16" t="s">
        <v>87</v>
      </c>
      <c r="J10795" s="19"/>
      <c r="L10795" s="16" t="str">
        <f>IFERROR(__xludf.DUMMYFUNCTION("""COMPUTED_VALUE"""),"")</f>
        <v/>
      </c>
      <c r="M10795" s="16" t="str">
        <f>IFERROR(__xludf.DUMMYFUNCTION("""COMPUTED_VALUE"""),"")</f>
        <v/>
      </c>
      <c r="U10795" s="16" t="s">
        <v>87</v>
      </c>
      <c r="V10795" s="16" t="str">
        <f>IFERROR(__xludf.DUMMYFUNCTION("""COMPUTED_VALUE"""),"")</f>
        <v/>
      </c>
      <c r="W10795" s="16" t="str">
        <f>IFERROR(__xludf.DUMMYFUNCTION("""COMPUTED_VALUE"""),"")</f>
        <v/>
      </c>
      <c r="X10795" s="16" t="str">
        <f>IFERROR(__xludf.DUMMYFUNCTION("""COMPUTED_VALUE"""),"")</f>
        <v/>
      </c>
      <c r="AC10795" s="16" t="str">
        <f>IFERROR(__xludf.DUMMYFUNCTION("""COMPUTED_VALUE"""),"")</f>
        <v/>
      </c>
    </row>
    <row r="10796">
      <c r="A10796" s="16" t="s">
        <v>87</v>
      </c>
      <c r="E10796" s="16" t="str">
        <f>IFERROR(__xludf.DUMMYFUNCTION("""COMPUTED_VALUE"""),"")</f>
        <v/>
      </c>
      <c r="G10796" s="18"/>
      <c r="H10796" s="16" t="s">
        <v>87</v>
      </c>
      <c r="I10796" s="16" t="s">
        <v>87</v>
      </c>
      <c r="J10796" s="19"/>
      <c r="L10796" s="16" t="str">
        <f>IFERROR(__xludf.DUMMYFUNCTION("""COMPUTED_VALUE"""),"")</f>
        <v/>
      </c>
      <c r="M10796" s="16" t="str">
        <f>IFERROR(__xludf.DUMMYFUNCTION("""COMPUTED_VALUE"""),"")</f>
        <v/>
      </c>
      <c r="U10796" s="16" t="s">
        <v>87</v>
      </c>
      <c r="V10796" s="16" t="str">
        <f>IFERROR(__xludf.DUMMYFUNCTION("""COMPUTED_VALUE"""),"")</f>
        <v/>
      </c>
      <c r="W10796" s="16" t="str">
        <f>IFERROR(__xludf.DUMMYFUNCTION("""COMPUTED_VALUE"""),"")</f>
        <v/>
      </c>
      <c r="X10796" s="16" t="str">
        <f>IFERROR(__xludf.DUMMYFUNCTION("""COMPUTED_VALUE"""),"")</f>
        <v/>
      </c>
      <c r="AC10796" s="16" t="str">
        <f>IFERROR(__xludf.DUMMYFUNCTION("""COMPUTED_VALUE"""),"")</f>
        <v/>
      </c>
    </row>
    <row r="10797">
      <c r="A10797" s="16" t="s">
        <v>87</v>
      </c>
      <c r="E10797" s="16" t="str">
        <f>IFERROR(__xludf.DUMMYFUNCTION("""COMPUTED_VALUE"""),"")</f>
        <v/>
      </c>
      <c r="G10797" s="18"/>
      <c r="H10797" s="16" t="s">
        <v>87</v>
      </c>
      <c r="I10797" s="16" t="s">
        <v>87</v>
      </c>
      <c r="J10797" s="19"/>
      <c r="L10797" s="16" t="str">
        <f>IFERROR(__xludf.DUMMYFUNCTION("""COMPUTED_VALUE"""),"")</f>
        <v/>
      </c>
      <c r="M10797" s="16" t="str">
        <f>IFERROR(__xludf.DUMMYFUNCTION("""COMPUTED_VALUE"""),"")</f>
        <v/>
      </c>
      <c r="U10797" s="16" t="s">
        <v>87</v>
      </c>
      <c r="V10797" s="16" t="str">
        <f>IFERROR(__xludf.DUMMYFUNCTION("""COMPUTED_VALUE"""),"")</f>
        <v/>
      </c>
      <c r="W10797" s="16" t="str">
        <f>IFERROR(__xludf.DUMMYFUNCTION("""COMPUTED_VALUE"""),"")</f>
        <v/>
      </c>
      <c r="X10797" s="16" t="str">
        <f>IFERROR(__xludf.DUMMYFUNCTION("""COMPUTED_VALUE"""),"")</f>
        <v/>
      </c>
      <c r="AC10797" s="16" t="str">
        <f>IFERROR(__xludf.DUMMYFUNCTION("""COMPUTED_VALUE"""),"")</f>
        <v/>
      </c>
    </row>
    <row r="10798">
      <c r="A10798" s="16" t="s">
        <v>87</v>
      </c>
      <c r="E10798" s="16" t="str">
        <f>IFERROR(__xludf.DUMMYFUNCTION("""COMPUTED_VALUE"""),"")</f>
        <v/>
      </c>
      <c r="G10798" s="18"/>
      <c r="H10798" s="16" t="s">
        <v>87</v>
      </c>
      <c r="I10798" s="16" t="s">
        <v>87</v>
      </c>
      <c r="J10798" s="19"/>
      <c r="L10798" s="16" t="str">
        <f>IFERROR(__xludf.DUMMYFUNCTION("""COMPUTED_VALUE"""),"")</f>
        <v/>
      </c>
      <c r="M10798" s="16" t="str">
        <f>IFERROR(__xludf.DUMMYFUNCTION("""COMPUTED_VALUE"""),"")</f>
        <v/>
      </c>
      <c r="U10798" s="16" t="s">
        <v>87</v>
      </c>
      <c r="V10798" s="16" t="str">
        <f>IFERROR(__xludf.DUMMYFUNCTION("""COMPUTED_VALUE"""),"")</f>
        <v/>
      </c>
      <c r="W10798" s="16" t="str">
        <f>IFERROR(__xludf.DUMMYFUNCTION("""COMPUTED_VALUE"""),"")</f>
        <v/>
      </c>
      <c r="X10798" s="16" t="str">
        <f>IFERROR(__xludf.DUMMYFUNCTION("""COMPUTED_VALUE"""),"")</f>
        <v/>
      </c>
      <c r="AC10798" s="16" t="str">
        <f>IFERROR(__xludf.DUMMYFUNCTION("""COMPUTED_VALUE"""),"")</f>
        <v/>
      </c>
    </row>
    <row r="10799">
      <c r="A10799" s="16" t="s">
        <v>87</v>
      </c>
      <c r="E10799" s="16" t="str">
        <f>IFERROR(__xludf.DUMMYFUNCTION("""COMPUTED_VALUE"""),"")</f>
        <v/>
      </c>
      <c r="G10799" s="18"/>
      <c r="H10799" s="16" t="s">
        <v>87</v>
      </c>
      <c r="I10799" s="16" t="s">
        <v>87</v>
      </c>
      <c r="J10799" s="19"/>
      <c r="L10799" s="16" t="str">
        <f>IFERROR(__xludf.DUMMYFUNCTION("""COMPUTED_VALUE"""),"")</f>
        <v/>
      </c>
      <c r="M10799" s="16" t="str">
        <f>IFERROR(__xludf.DUMMYFUNCTION("""COMPUTED_VALUE"""),"")</f>
        <v/>
      </c>
      <c r="U10799" s="16" t="s">
        <v>87</v>
      </c>
      <c r="V10799" s="16" t="str">
        <f>IFERROR(__xludf.DUMMYFUNCTION("""COMPUTED_VALUE"""),"")</f>
        <v/>
      </c>
      <c r="W10799" s="16" t="str">
        <f>IFERROR(__xludf.DUMMYFUNCTION("""COMPUTED_VALUE"""),"")</f>
        <v/>
      </c>
      <c r="X10799" s="16" t="str">
        <f>IFERROR(__xludf.DUMMYFUNCTION("""COMPUTED_VALUE"""),"")</f>
        <v/>
      </c>
      <c r="AC10799" s="16" t="str">
        <f>IFERROR(__xludf.DUMMYFUNCTION("""COMPUTED_VALUE"""),"")</f>
        <v/>
      </c>
    </row>
    <row r="10800">
      <c r="A10800" s="16" t="s">
        <v>87</v>
      </c>
      <c r="E10800" s="16" t="str">
        <f>IFERROR(__xludf.DUMMYFUNCTION("""COMPUTED_VALUE"""),"")</f>
        <v/>
      </c>
      <c r="G10800" s="18"/>
      <c r="H10800" s="16" t="s">
        <v>87</v>
      </c>
      <c r="I10800" s="16" t="s">
        <v>87</v>
      </c>
      <c r="J10800" s="19"/>
      <c r="L10800" s="16" t="str">
        <f>IFERROR(__xludf.DUMMYFUNCTION("""COMPUTED_VALUE"""),"")</f>
        <v/>
      </c>
      <c r="M10800" s="16" t="str">
        <f>IFERROR(__xludf.DUMMYFUNCTION("""COMPUTED_VALUE"""),"")</f>
        <v/>
      </c>
      <c r="U10800" s="16" t="s">
        <v>87</v>
      </c>
      <c r="V10800" s="16" t="str">
        <f>IFERROR(__xludf.DUMMYFUNCTION("""COMPUTED_VALUE"""),"")</f>
        <v/>
      </c>
      <c r="W10800" s="16" t="str">
        <f>IFERROR(__xludf.DUMMYFUNCTION("""COMPUTED_VALUE"""),"")</f>
        <v/>
      </c>
      <c r="X10800" s="16" t="str">
        <f>IFERROR(__xludf.DUMMYFUNCTION("""COMPUTED_VALUE"""),"")</f>
        <v/>
      </c>
      <c r="AC10800" s="16" t="str">
        <f>IFERROR(__xludf.DUMMYFUNCTION("""COMPUTED_VALUE"""),"")</f>
        <v/>
      </c>
    </row>
    <row r="10801">
      <c r="A10801" s="16" t="s">
        <v>87</v>
      </c>
      <c r="E10801" s="16" t="str">
        <f>IFERROR(__xludf.DUMMYFUNCTION("""COMPUTED_VALUE"""),"")</f>
        <v/>
      </c>
      <c r="G10801" s="18"/>
      <c r="H10801" s="16" t="s">
        <v>87</v>
      </c>
      <c r="I10801" s="16" t="s">
        <v>87</v>
      </c>
      <c r="J10801" s="19"/>
      <c r="L10801" s="16" t="str">
        <f>IFERROR(__xludf.DUMMYFUNCTION("""COMPUTED_VALUE"""),"")</f>
        <v/>
      </c>
      <c r="M10801" s="16" t="str">
        <f>IFERROR(__xludf.DUMMYFUNCTION("""COMPUTED_VALUE"""),"")</f>
        <v/>
      </c>
      <c r="U10801" s="16" t="s">
        <v>87</v>
      </c>
      <c r="V10801" s="16" t="str">
        <f>IFERROR(__xludf.DUMMYFUNCTION("""COMPUTED_VALUE"""),"")</f>
        <v/>
      </c>
      <c r="W10801" s="16" t="str">
        <f>IFERROR(__xludf.DUMMYFUNCTION("""COMPUTED_VALUE"""),"")</f>
        <v/>
      </c>
      <c r="X10801" s="16" t="str">
        <f>IFERROR(__xludf.DUMMYFUNCTION("""COMPUTED_VALUE"""),"")</f>
        <v/>
      </c>
      <c r="AC10801" s="16" t="str">
        <f>IFERROR(__xludf.DUMMYFUNCTION("""COMPUTED_VALUE"""),"")</f>
        <v/>
      </c>
    </row>
    <row r="10802">
      <c r="A10802" s="16" t="s">
        <v>87</v>
      </c>
      <c r="E10802" s="16" t="str">
        <f>IFERROR(__xludf.DUMMYFUNCTION("""COMPUTED_VALUE"""),"")</f>
        <v/>
      </c>
      <c r="G10802" s="18"/>
      <c r="H10802" s="16" t="s">
        <v>87</v>
      </c>
      <c r="I10802" s="16" t="s">
        <v>87</v>
      </c>
      <c r="J10802" s="19"/>
      <c r="L10802" s="16" t="str">
        <f>IFERROR(__xludf.DUMMYFUNCTION("""COMPUTED_VALUE"""),"")</f>
        <v/>
      </c>
      <c r="M10802" s="16" t="str">
        <f>IFERROR(__xludf.DUMMYFUNCTION("""COMPUTED_VALUE"""),"")</f>
        <v/>
      </c>
      <c r="U10802" s="16" t="s">
        <v>87</v>
      </c>
      <c r="V10802" s="16" t="str">
        <f>IFERROR(__xludf.DUMMYFUNCTION("""COMPUTED_VALUE"""),"")</f>
        <v/>
      </c>
      <c r="W10802" s="16" t="str">
        <f>IFERROR(__xludf.DUMMYFUNCTION("""COMPUTED_VALUE"""),"")</f>
        <v/>
      </c>
      <c r="X10802" s="16" t="str">
        <f>IFERROR(__xludf.DUMMYFUNCTION("""COMPUTED_VALUE"""),"")</f>
        <v/>
      </c>
      <c r="AC10802" s="16" t="str">
        <f>IFERROR(__xludf.DUMMYFUNCTION("""COMPUTED_VALUE"""),"")</f>
        <v/>
      </c>
    </row>
    <row r="10803">
      <c r="A10803" s="16" t="s">
        <v>87</v>
      </c>
      <c r="E10803" s="16" t="str">
        <f>IFERROR(__xludf.DUMMYFUNCTION("""COMPUTED_VALUE"""),"")</f>
        <v/>
      </c>
      <c r="G10803" s="18"/>
      <c r="H10803" s="16" t="s">
        <v>87</v>
      </c>
      <c r="I10803" s="16" t="s">
        <v>87</v>
      </c>
      <c r="J10803" s="19"/>
      <c r="L10803" s="16" t="str">
        <f>IFERROR(__xludf.DUMMYFUNCTION("""COMPUTED_VALUE"""),"")</f>
        <v/>
      </c>
      <c r="M10803" s="16" t="str">
        <f>IFERROR(__xludf.DUMMYFUNCTION("""COMPUTED_VALUE"""),"")</f>
        <v/>
      </c>
      <c r="U10803" s="16" t="s">
        <v>87</v>
      </c>
      <c r="V10803" s="16" t="str">
        <f>IFERROR(__xludf.DUMMYFUNCTION("""COMPUTED_VALUE"""),"")</f>
        <v/>
      </c>
      <c r="W10803" s="16" t="str">
        <f>IFERROR(__xludf.DUMMYFUNCTION("""COMPUTED_VALUE"""),"")</f>
        <v/>
      </c>
      <c r="X10803" s="16" t="str">
        <f>IFERROR(__xludf.DUMMYFUNCTION("""COMPUTED_VALUE"""),"")</f>
        <v/>
      </c>
      <c r="AC10803" s="16" t="str">
        <f>IFERROR(__xludf.DUMMYFUNCTION("""COMPUTED_VALUE"""),"")</f>
        <v/>
      </c>
    </row>
    <row r="10804">
      <c r="A10804" s="16" t="s">
        <v>87</v>
      </c>
      <c r="E10804" s="16" t="str">
        <f>IFERROR(__xludf.DUMMYFUNCTION("""COMPUTED_VALUE"""),"")</f>
        <v/>
      </c>
      <c r="G10804" s="18"/>
      <c r="H10804" s="16" t="s">
        <v>87</v>
      </c>
      <c r="I10804" s="16" t="s">
        <v>87</v>
      </c>
      <c r="J10804" s="19"/>
      <c r="L10804" s="16" t="str">
        <f>IFERROR(__xludf.DUMMYFUNCTION("""COMPUTED_VALUE"""),"")</f>
        <v/>
      </c>
      <c r="M10804" s="16" t="str">
        <f>IFERROR(__xludf.DUMMYFUNCTION("""COMPUTED_VALUE"""),"")</f>
        <v/>
      </c>
      <c r="U10804" s="16" t="s">
        <v>87</v>
      </c>
      <c r="V10804" s="16" t="str">
        <f>IFERROR(__xludf.DUMMYFUNCTION("""COMPUTED_VALUE"""),"")</f>
        <v/>
      </c>
      <c r="W10804" s="16" t="str">
        <f>IFERROR(__xludf.DUMMYFUNCTION("""COMPUTED_VALUE"""),"")</f>
        <v/>
      </c>
      <c r="X10804" s="16" t="str">
        <f>IFERROR(__xludf.DUMMYFUNCTION("""COMPUTED_VALUE"""),"")</f>
        <v/>
      </c>
      <c r="AC10804" s="16" t="str">
        <f>IFERROR(__xludf.DUMMYFUNCTION("""COMPUTED_VALUE"""),"")</f>
        <v/>
      </c>
    </row>
    <row r="10805">
      <c r="A10805" s="16" t="s">
        <v>87</v>
      </c>
      <c r="E10805" s="16" t="str">
        <f>IFERROR(__xludf.DUMMYFUNCTION("""COMPUTED_VALUE"""),"")</f>
        <v/>
      </c>
      <c r="G10805" s="18"/>
      <c r="H10805" s="16" t="s">
        <v>87</v>
      </c>
      <c r="I10805" s="16" t="s">
        <v>87</v>
      </c>
      <c r="J10805" s="19"/>
      <c r="L10805" s="16" t="str">
        <f>IFERROR(__xludf.DUMMYFUNCTION("""COMPUTED_VALUE"""),"")</f>
        <v/>
      </c>
      <c r="M10805" s="16" t="str">
        <f>IFERROR(__xludf.DUMMYFUNCTION("""COMPUTED_VALUE"""),"")</f>
        <v/>
      </c>
      <c r="U10805" s="16" t="s">
        <v>87</v>
      </c>
      <c r="V10805" s="16" t="str">
        <f>IFERROR(__xludf.DUMMYFUNCTION("""COMPUTED_VALUE"""),"")</f>
        <v/>
      </c>
      <c r="W10805" s="16" t="str">
        <f>IFERROR(__xludf.DUMMYFUNCTION("""COMPUTED_VALUE"""),"")</f>
        <v/>
      </c>
      <c r="X10805" s="16" t="str">
        <f>IFERROR(__xludf.DUMMYFUNCTION("""COMPUTED_VALUE"""),"")</f>
        <v/>
      </c>
      <c r="AC10805" s="16" t="str">
        <f>IFERROR(__xludf.DUMMYFUNCTION("""COMPUTED_VALUE"""),"")</f>
        <v/>
      </c>
    </row>
    <row r="10806">
      <c r="A10806" s="16" t="s">
        <v>87</v>
      </c>
      <c r="E10806" s="16" t="str">
        <f>IFERROR(__xludf.DUMMYFUNCTION("""COMPUTED_VALUE"""),"")</f>
        <v/>
      </c>
      <c r="G10806" s="18"/>
      <c r="H10806" s="16" t="s">
        <v>87</v>
      </c>
      <c r="I10806" s="16" t="s">
        <v>87</v>
      </c>
      <c r="J10806" s="19"/>
      <c r="L10806" s="16" t="str">
        <f>IFERROR(__xludf.DUMMYFUNCTION("""COMPUTED_VALUE"""),"")</f>
        <v/>
      </c>
      <c r="M10806" s="16" t="str">
        <f>IFERROR(__xludf.DUMMYFUNCTION("""COMPUTED_VALUE"""),"")</f>
        <v/>
      </c>
      <c r="U10806" s="16" t="s">
        <v>87</v>
      </c>
      <c r="V10806" s="16" t="str">
        <f>IFERROR(__xludf.DUMMYFUNCTION("""COMPUTED_VALUE"""),"")</f>
        <v/>
      </c>
      <c r="W10806" s="16" t="str">
        <f>IFERROR(__xludf.DUMMYFUNCTION("""COMPUTED_VALUE"""),"")</f>
        <v/>
      </c>
      <c r="X10806" s="16" t="str">
        <f>IFERROR(__xludf.DUMMYFUNCTION("""COMPUTED_VALUE"""),"")</f>
        <v/>
      </c>
      <c r="AC10806" s="16" t="str">
        <f>IFERROR(__xludf.DUMMYFUNCTION("""COMPUTED_VALUE"""),"")</f>
        <v/>
      </c>
    </row>
    <row r="10807">
      <c r="A10807" s="16" t="s">
        <v>87</v>
      </c>
      <c r="E10807" s="16" t="str">
        <f>IFERROR(__xludf.DUMMYFUNCTION("""COMPUTED_VALUE"""),"")</f>
        <v/>
      </c>
      <c r="G10807" s="18"/>
      <c r="H10807" s="16" t="s">
        <v>87</v>
      </c>
      <c r="I10807" s="16" t="s">
        <v>87</v>
      </c>
      <c r="J10807" s="19"/>
      <c r="L10807" s="16" t="str">
        <f>IFERROR(__xludf.DUMMYFUNCTION("""COMPUTED_VALUE"""),"")</f>
        <v/>
      </c>
      <c r="M10807" s="16" t="str">
        <f>IFERROR(__xludf.DUMMYFUNCTION("""COMPUTED_VALUE"""),"")</f>
        <v/>
      </c>
      <c r="U10807" s="16" t="s">
        <v>87</v>
      </c>
      <c r="V10807" s="16" t="str">
        <f>IFERROR(__xludf.DUMMYFUNCTION("""COMPUTED_VALUE"""),"")</f>
        <v/>
      </c>
      <c r="W10807" s="16" t="str">
        <f>IFERROR(__xludf.DUMMYFUNCTION("""COMPUTED_VALUE"""),"")</f>
        <v/>
      </c>
      <c r="X10807" s="16" t="str">
        <f>IFERROR(__xludf.DUMMYFUNCTION("""COMPUTED_VALUE"""),"")</f>
        <v/>
      </c>
      <c r="AC10807" s="16" t="str">
        <f>IFERROR(__xludf.DUMMYFUNCTION("""COMPUTED_VALUE"""),"")</f>
        <v/>
      </c>
    </row>
    <row r="10808">
      <c r="A10808" s="16" t="s">
        <v>87</v>
      </c>
      <c r="E10808" s="16" t="str">
        <f>IFERROR(__xludf.DUMMYFUNCTION("""COMPUTED_VALUE"""),"")</f>
        <v/>
      </c>
      <c r="G10808" s="18"/>
      <c r="H10808" s="16" t="s">
        <v>87</v>
      </c>
      <c r="I10808" s="16" t="s">
        <v>87</v>
      </c>
      <c r="J10808" s="19"/>
      <c r="L10808" s="16" t="str">
        <f>IFERROR(__xludf.DUMMYFUNCTION("""COMPUTED_VALUE"""),"")</f>
        <v/>
      </c>
      <c r="M10808" s="16" t="str">
        <f>IFERROR(__xludf.DUMMYFUNCTION("""COMPUTED_VALUE"""),"")</f>
        <v/>
      </c>
      <c r="U10808" s="16" t="s">
        <v>87</v>
      </c>
      <c r="V10808" s="16" t="str">
        <f>IFERROR(__xludf.DUMMYFUNCTION("""COMPUTED_VALUE"""),"")</f>
        <v/>
      </c>
      <c r="W10808" s="16" t="str">
        <f>IFERROR(__xludf.DUMMYFUNCTION("""COMPUTED_VALUE"""),"")</f>
        <v/>
      </c>
      <c r="X10808" s="16" t="str">
        <f>IFERROR(__xludf.DUMMYFUNCTION("""COMPUTED_VALUE"""),"")</f>
        <v/>
      </c>
      <c r="AC10808" s="16" t="str">
        <f>IFERROR(__xludf.DUMMYFUNCTION("""COMPUTED_VALUE"""),"")</f>
        <v/>
      </c>
    </row>
    <row r="10809">
      <c r="A10809" s="16" t="s">
        <v>87</v>
      </c>
      <c r="E10809" s="16" t="str">
        <f>IFERROR(__xludf.DUMMYFUNCTION("""COMPUTED_VALUE"""),"")</f>
        <v/>
      </c>
      <c r="G10809" s="18"/>
      <c r="H10809" s="16" t="s">
        <v>87</v>
      </c>
      <c r="I10809" s="16" t="s">
        <v>87</v>
      </c>
      <c r="J10809" s="19"/>
      <c r="L10809" s="16" t="str">
        <f>IFERROR(__xludf.DUMMYFUNCTION("""COMPUTED_VALUE"""),"")</f>
        <v/>
      </c>
      <c r="M10809" s="16" t="str">
        <f>IFERROR(__xludf.DUMMYFUNCTION("""COMPUTED_VALUE"""),"")</f>
        <v/>
      </c>
      <c r="U10809" s="16" t="s">
        <v>87</v>
      </c>
      <c r="V10809" s="16" t="str">
        <f>IFERROR(__xludf.DUMMYFUNCTION("""COMPUTED_VALUE"""),"")</f>
        <v/>
      </c>
      <c r="W10809" s="16" t="str">
        <f>IFERROR(__xludf.DUMMYFUNCTION("""COMPUTED_VALUE"""),"")</f>
        <v/>
      </c>
      <c r="X10809" s="16" t="str">
        <f>IFERROR(__xludf.DUMMYFUNCTION("""COMPUTED_VALUE"""),"")</f>
        <v/>
      </c>
      <c r="AC10809" s="16" t="str">
        <f>IFERROR(__xludf.DUMMYFUNCTION("""COMPUTED_VALUE"""),"")</f>
        <v/>
      </c>
    </row>
    <row r="10810">
      <c r="A10810" s="16" t="s">
        <v>87</v>
      </c>
      <c r="E10810" s="16" t="str">
        <f>IFERROR(__xludf.DUMMYFUNCTION("""COMPUTED_VALUE"""),"")</f>
        <v/>
      </c>
      <c r="G10810" s="18"/>
      <c r="H10810" s="16" t="s">
        <v>87</v>
      </c>
      <c r="I10810" s="16" t="s">
        <v>87</v>
      </c>
      <c r="J10810" s="19"/>
      <c r="L10810" s="16" t="str">
        <f>IFERROR(__xludf.DUMMYFUNCTION("""COMPUTED_VALUE"""),"")</f>
        <v/>
      </c>
      <c r="M10810" s="16" t="str">
        <f>IFERROR(__xludf.DUMMYFUNCTION("""COMPUTED_VALUE"""),"")</f>
        <v/>
      </c>
      <c r="U10810" s="16" t="s">
        <v>87</v>
      </c>
      <c r="V10810" s="16" t="str">
        <f>IFERROR(__xludf.DUMMYFUNCTION("""COMPUTED_VALUE"""),"")</f>
        <v/>
      </c>
      <c r="W10810" s="16" t="str">
        <f>IFERROR(__xludf.DUMMYFUNCTION("""COMPUTED_VALUE"""),"")</f>
        <v/>
      </c>
      <c r="X10810" s="16" t="str">
        <f>IFERROR(__xludf.DUMMYFUNCTION("""COMPUTED_VALUE"""),"")</f>
        <v/>
      </c>
      <c r="AC10810" s="16" t="str">
        <f>IFERROR(__xludf.DUMMYFUNCTION("""COMPUTED_VALUE"""),"")</f>
        <v/>
      </c>
    </row>
    <row r="10811">
      <c r="A10811" s="16" t="s">
        <v>87</v>
      </c>
      <c r="E10811" s="16" t="str">
        <f>IFERROR(__xludf.DUMMYFUNCTION("""COMPUTED_VALUE"""),"")</f>
        <v/>
      </c>
      <c r="G10811" s="18"/>
      <c r="H10811" s="16" t="s">
        <v>87</v>
      </c>
      <c r="I10811" s="16" t="s">
        <v>87</v>
      </c>
      <c r="J10811" s="19"/>
      <c r="L10811" s="16" t="str">
        <f>IFERROR(__xludf.DUMMYFUNCTION("""COMPUTED_VALUE"""),"")</f>
        <v/>
      </c>
      <c r="M10811" s="16" t="str">
        <f>IFERROR(__xludf.DUMMYFUNCTION("""COMPUTED_VALUE"""),"")</f>
        <v/>
      </c>
      <c r="U10811" s="16" t="s">
        <v>87</v>
      </c>
      <c r="V10811" s="16" t="str">
        <f>IFERROR(__xludf.DUMMYFUNCTION("""COMPUTED_VALUE"""),"")</f>
        <v/>
      </c>
      <c r="W10811" s="16" t="str">
        <f>IFERROR(__xludf.DUMMYFUNCTION("""COMPUTED_VALUE"""),"")</f>
        <v/>
      </c>
      <c r="X10811" s="16" t="str">
        <f>IFERROR(__xludf.DUMMYFUNCTION("""COMPUTED_VALUE"""),"")</f>
        <v/>
      </c>
      <c r="AC10811" s="16" t="str">
        <f>IFERROR(__xludf.DUMMYFUNCTION("""COMPUTED_VALUE"""),"")</f>
        <v/>
      </c>
    </row>
    <row r="10812">
      <c r="A10812" s="16" t="s">
        <v>87</v>
      </c>
      <c r="E10812" s="16" t="str">
        <f>IFERROR(__xludf.DUMMYFUNCTION("""COMPUTED_VALUE"""),"")</f>
        <v/>
      </c>
      <c r="G10812" s="18"/>
      <c r="H10812" s="16" t="s">
        <v>87</v>
      </c>
      <c r="I10812" s="16" t="s">
        <v>87</v>
      </c>
      <c r="J10812" s="19"/>
      <c r="L10812" s="16" t="str">
        <f>IFERROR(__xludf.DUMMYFUNCTION("""COMPUTED_VALUE"""),"")</f>
        <v/>
      </c>
      <c r="M10812" s="16" t="str">
        <f>IFERROR(__xludf.DUMMYFUNCTION("""COMPUTED_VALUE"""),"")</f>
        <v/>
      </c>
      <c r="U10812" s="16" t="s">
        <v>87</v>
      </c>
      <c r="V10812" s="16" t="str">
        <f>IFERROR(__xludf.DUMMYFUNCTION("""COMPUTED_VALUE"""),"")</f>
        <v/>
      </c>
      <c r="W10812" s="16" t="str">
        <f>IFERROR(__xludf.DUMMYFUNCTION("""COMPUTED_VALUE"""),"")</f>
        <v/>
      </c>
      <c r="X10812" s="16" t="str">
        <f>IFERROR(__xludf.DUMMYFUNCTION("""COMPUTED_VALUE"""),"")</f>
        <v/>
      </c>
      <c r="AC10812" s="16" t="str">
        <f>IFERROR(__xludf.DUMMYFUNCTION("""COMPUTED_VALUE"""),"")</f>
        <v/>
      </c>
    </row>
    <row r="10813">
      <c r="A10813" s="16" t="s">
        <v>87</v>
      </c>
      <c r="E10813" s="16" t="str">
        <f>IFERROR(__xludf.DUMMYFUNCTION("""COMPUTED_VALUE"""),"")</f>
        <v/>
      </c>
      <c r="G10813" s="18"/>
      <c r="H10813" s="16" t="s">
        <v>87</v>
      </c>
      <c r="I10813" s="16" t="s">
        <v>87</v>
      </c>
      <c r="J10813" s="19"/>
      <c r="L10813" s="16" t="str">
        <f>IFERROR(__xludf.DUMMYFUNCTION("""COMPUTED_VALUE"""),"")</f>
        <v/>
      </c>
      <c r="M10813" s="16" t="str">
        <f>IFERROR(__xludf.DUMMYFUNCTION("""COMPUTED_VALUE"""),"")</f>
        <v/>
      </c>
      <c r="U10813" s="16" t="s">
        <v>87</v>
      </c>
      <c r="V10813" s="16" t="str">
        <f>IFERROR(__xludf.DUMMYFUNCTION("""COMPUTED_VALUE"""),"")</f>
        <v/>
      </c>
      <c r="W10813" s="16" t="str">
        <f>IFERROR(__xludf.DUMMYFUNCTION("""COMPUTED_VALUE"""),"")</f>
        <v/>
      </c>
      <c r="X10813" s="16" t="str">
        <f>IFERROR(__xludf.DUMMYFUNCTION("""COMPUTED_VALUE"""),"")</f>
        <v/>
      </c>
      <c r="AC10813" s="16" t="str">
        <f>IFERROR(__xludf.DUMMYFUNCTION("""COMPUTED_VALUE"""),"")</f>
        <v/>
      </c>
    </row>
    <row r="10814">
      <c r="A10814" s="16" t="s">
        <v>87</v>
      </c>
      <c r="E10814" s="16" t="str">
        <f>IFERROR(__xludf.DUMMYFUNCTION("""COMPUTED_VALUE"""),"")</f>
        <v/>
      </c>
      <c r="G10814" s="18"/>
      <c r="H10814" s="16" t="s">
        <v>87</v>
      </c>
      <c r="I10814" s="16" t="s">
        <v>87</v>
      </c>
      <c r="J10814" s="19"/>
      <c r="L10814" s="16" t="str">
        <f>IFERROR(__xludf.DUMMYFUNCTION("""COMPUTED_VALUE"""),"")</f>
        <v/>
      </c>
      <c r="M10814" s="16" t="str">
        <f>IFERROR(__xludf.DUMMYFUNCTION("""COMPUTED_VALUE"""),"")</f>
        <v/>
      </c>
      <c r="U10814" s="16" t="s">
        <v>87</v>
      </c>
      <c r="V10814" s="16" t="str">
        <f>IFERROR(__xludf.DUMMYFUNCTION("""COMPUTED_VALUE"""),"")</f>
        <v/>
      </c>
      <c r="W10814" s="16" t="str">
        <f>IFERROR(__xludf.DUMMYFUNCTION("""COMPUTED_VALUE"""),"")</f>
        <v/>
      </c>
      <c r="X10814" s="16" t="str">
        <f>IFERROR(__xludf.DUMMYFUNCTION("""COMPUTED_VALUE"""),"")</f>
        <v/>
      </c>
      <c r="AC10814" s="16" t="str">
        <f>IFERROR(__xludf.DUMMYFUNCTION("""COMPUTED_VALUE"""),"")</f>
        <v/>
      </c>
    </row>
    <row r="10815">
      <c r="A10815" s="16" t="s">
        <v>87</v>
      </c>
      <c r="E10815" s="16" t="str">
        <f>IFERROR(__xludf.DUMMYFUNCTION("""COMPUTED_VALUE"""),"")</f>
        <v/>
      </c>
      <c r="G10815" s="18"/>
      <c r="H10815" s="16" t="s">
        <v>87</v>
      </c>
      <c r="I10815" s="16" t="s">
        <v>87</v>
      </c>
      <c r="J10815" s="19"/>
      <c r="L10815" s="16" t="str">
        <f>IFERROR(__xludf.DUMMYFUNCTION("""COMPUTED_VALUE"""),"")</f>
        <v/>
      </c>
      <c r="M10815" s="16" t="str">
        <f>IFERROR(__xludf.DUMMYFUNCTION("""COMPUTED_VALUE"""),"")</f>
        <v/>
      </c>
      <c r="U10815" s="16" t="s">
        <v>87</v>
      </c>
      <c r="V10815" s="16" t="str">
        <f>IFERROR(__xludf.DUMMYFUNCTION("""COMPUTED_VALUE"""),"")</f>
        <v/>
      </c>
      <c r="W10815" s="16" t="str">
        <f>IFERROR(__xludf.DUMMYFUNCTION("""COMPUTED_VALUE"""),"")</f>
        <v/>
      </c>
      <c r="X10815" s="16" t="str">
        <f>IFERROR(__xludf.DUMMYFUNCTION("""COMPUTED_VALUE"""),"")</f>
        <v/>
      </c>
      <c r="AC10815" s="16" t="str">
        <f>IFERROR(__xludf.DUMMYFUNCTION("""COMPUTED_VALUE"""),"")</f>
        <v/>
      </c>
    </row>
    <row r="10816">
      <c r="A10816" s="16" t="s">
        <v>87</v>
      </c>
      <c r="E10816" s="16" t="str">
        <f>IFERROR(__xludf.DUMMYFUNCTION("""COMPUTED_VALUE"""),"")</f>
        <v/>
      </c>
      <c r="G10816" s="18"/>
      <c r="H10816" s="16" t="s">
        <v>87</v>
      </c>
      <c r="I10816" s="16" t="s">
        <v>87</v>
      </c>
      <c r="J10816" s="19"/>
      <c r="L10816" s="16" t="str">
        <f>IFERROR(__xludf.DUMMYFUNCTION("""COMPUTED_VALUE"""),"")</f>
        <v/>
      </c>
      <c r="M10816" s="16" t="str">
        <f>IFERROR(__xludf.DUMMYFUNCTION("""COMPUTED_VALUE"""),"")</f>
        <v/>
      </c>
      <c r="U10816" s="16" t="s">
        <v>87</v>
      </c>
      <c r="V10816" s="16" t="str">
        <f>IFERROR(__xludf.DUMMYFUNCTION("""COMPUTED_VALUE"""),"")</f>
        <v/>
      </c>
      <c r="W10816" s="16" t="str">
        <f>IFERROR(__xludf.DUMMYFUNCTION("""COMPUTED_VALUE"""),"")</f>
        <v/>
      </c>
      <c r="X10816" s="16" t="str">
        <f>IFERROR(__xludf.DUMMYFUNCTION("""COMPUTED_VALUE"""),"")</f>
        <v/>
      </c>
      <c r="AC10816" s="16" t="str">
        <f>IFERROR(__xludf.DUMMYFUNCTION("""COMPUTED_VALUE"""),"")</f>
        <v/>
      </c>
    </row>
    <row r="10817">
      <c r="A10817" s="16" t="s">
        <v>87</v>
      </c>
      <c r="E10817" s="16" t="str">
        <f>IFERROR(__xludf.DUMMYFUNCTION("""COMPUTED_VALUE"""),"")</f>
        <v/>
      </c>
      <c r="G10817" s="18"/>
      <c r="H10817" s="16" t="s">
        <v>87</v>
      </c>
      <c r="I10817" s="16" t="s">
        <v>87</v>
      </c>
      <c r="J10817" s="19"/>
      <c r="L10817" s="16" t="str">
        <f>IFERROR(__xludf.DUMMYFUNCTION("""COMPUTED_VALUE"""),"")</f>
        <v/>
      </c>
      <c r="M10817" s="16" t="str">
        <f>IFERROR(__xludf.DUMMYFUNCTION("""COMPUTED_VALUE"""),"")</f>
        <v/>
      </c>
      <c r="U10817" s="16" t="s">
        <v>87</v>
      </c>
      <c r="V10817" s="16" t="str">
        <f>IFERROR(__xludf.DUMMYFUNCTION("""COMPUTED_VALUE"""),"")</f>
        <v/>
      </c>
      <c r="W10817" s="16" t="str">
        <f>IFERROR(__xludf.DUMMYFUNCTION("""COMPUTED_VALUE"""),"")</f>
        <v/>
      </c>
      <c r="X10817" s="16" t="str">
        <f>IFERROR(__xludf.DUMMYFUNCTION("""COMPUTED_VALUE"""),"")</f>
        <v/>
      </c>
      <c r="AC10817" s="16" t="str">
        <f>IFERROR(__xludf.DUMMYFUNCTION("""COMPUTED_VALUE"""),"")</f>
        <v/>
      </c>
    </row>
    <row r="10818">
      <c r="A10818" s="16" t="s">
        <v>87</v>
      </c>
      <c r="E10818" s="16" t="str">
        <f>IFERROR(__xludf.DUMMYFUNCTION("""COMPUTED_VALUE"""),"")</f>
        <v/>
      </c>
      <c r="G10818" s="18"/>
      <c r="H10818" s="16" t="s">
        <v>87</v>
      </c>
      <c r="I10818" s="16" t="s">
        <v>87</v>
      </c>
      <c r="J10818" s="19"/>
      <c r="L10818" s="16" t="str">
        <f>IFERROR(__xludf.DUMMYFUNCTION("""COMPUTED_VALUE"""),"")</f>
        <v/>
      </c>
      <c r="M10818" s="16" t="str">
        <f>IFERROR(__xludf.DUMMYFUNCTION("""COMPUTED_VALUE"""),"")</f>
        <v/>
      </c>
      <c r="U10818" s="16" t="s">
        <v>87</v>
      </c>
      <c r="V10818" s="16" t="str">
        <f>IFERROR(__xludf.DUMMYFUNCTION("""COMPUTED_VALUE"""),"")</f>
        <v/>
      </c>
      <c r="W10818" s="16" t="str">
        <f>IFERROR(__xludf.DUMMYFUNCTION("""COMPUTED_VALUE"""),"")</f>
        <v/>
      </c>
      <c r="X10818" s="16" t="str">
        <f>IFERROR(__xludf.DUMMYFUNCTION("""COMPUTED_VALUE"""),"")</f>
        <v/>
      </c>
      <c r="AC10818" s="16" t="str">
        <f>IFERROR(__xludf.DUMMYFUNCTION("""COMPUTED_VALUE"""),"")</f>
        <v/>
      </c>
    </row>
    <row r="10819">
      <c r="A10819" s="16" t="s">
        <v>87</v>
      </c>
      <c r="E10819" s="16" t="str">
        <f>IFERROR(__xludf.DUMMYFUNCTION("""COMPUTED_VALUE"""),"")</f>
        <v/>
      </c>
      <c r="G10819" s="18"/>
      <c r="H10819" s="16" t="s">
        <v>87</v>
      </c>
      <c r="I10819" s="16" t="s">
        <v>87</v>
      </c>
      <c r="J10819" s="19"/>
      <c r="L10819" s="16" t="str">
        <f>IFERROR(__xludf.DUMMYFUNCTION("""COMPUTED_VALUE"""),"")</f>
        <v/>
      </c>
      <c r="M10819" s="16" t="str">
        <f>IFERROR(__xludf.DUMMYFUNCTION("""COMPUTED_VALUE"""),"")</f>
        <v/>
      </c>
      <c r="U10819" s="16" t="s">
        <v>87</v>
      </c>
      <c r="V10819" s="16" t="str">
        <f>IFERROR(__xludf.DUMMYFUNCTION("""COMPUTED_VALUE"""),"")</f>
        <v/>
      </c>
      <c r="W10819" s="16" t="str">
        <f>IFERROR(__xludf.DUMMYFUNCTION("""COMPUTED_VALUE"""),"")</f>
        <v/>
      </c>
      <c r="X10819" s="16" t="str">
        <f>IFERROR(__xludf.DUMMYFUNCTION("""COMPUTED_VALUE"""),"")</f>
        <v/>
      </c>
      <c r="AC10819" s="16" t="str">
        <f>IFERROR(__xludf.DUMMYFUNCTION("""COMPUTED_VALUE"""),"")</f>
        <v/>
      </c>
    </row>
    <row r="10820">
      <c r="A10820" s="16" t="s">
        <v>87</v>
      </c>
      <c r="E10820" s="16" t="str">
        <f>IFERROR(__xludf.DUMMYFUNCTION("""COMPUTED_VALUE"""),"")</f>
        <v/>
      </c>
      <c r="G10820" s="18"/>
      <c r="H10820" s="16" t="s">
        <v>87</v>
      </c>
      <c r="I10820" s="16" t="s">
        <v>87</v>
      </c>
      <c r="J10820" s="19"/>
      <c r="L10820" s="16" t="str">
        <f>IFERROR(__xludf.DUMMYFUNCTION("""COMPUTED_VALUE"""),"")</f>
        <v/>
      </c>
      <c r="M10820" s="16" t="str">
        <f>IFERROR(__xludf.DUMMYFUNCTION("""COMPUTED_VALUE"""),"")</f>
        <v/>
      </c>
      <c r="U10820" s="16" t="s">
        <v>87</v>
      </c>
      <c r="V10820" s="16" t="str">
        <f>IFERROR(__xludf.DUMMYFUNCTION("""COMPUTED_VALUE"""),"")</f>
        <v/>
      </c>
      <c r="W10820" s="16" t="str">
        <f>IFERROR(__xludf.DUMMYFUNCTION("""COMPUTED_VALUE"""),"")</f>
        <v/>
      </c>
      <c r="X10820" s="16" t="str">
        <f>IFERROR(__xludf.DUMMYFUNCTION("""COMPUTED_VALUE"""),"")</f>
        <v/>
      </c>
      <c r="AC10820" s="16" t="str">
        <f>IFERROR(__xludf.DUMMYFUNCTION("""COMPUTED_VALUE"""),"")</f>
        <v/>
      </c>
    </row>
    <row r="10821">
      <c r="A10821" s="16" t="s">
        <v>87</v>
      </c>
      <c r="E10821" s="16" t="str">
        <f>IFERROR(__xludf.DUMMYFUNCTION("""COMPUTED_VALUE"""),"")</f>
        <v/>
      </c>
      <c r="G10821" s="18"/>
      <c r="H10821" s="16" t="s">
        <v>87</v>
      </c>
      <c r="I10821" s="16" t="s">
        <v>87</v>
      </c>
      <c r="J10821" s="19"/>
      <c r="L10821" s="16" t="str">
        <f>IFERROR(__xludf.DUMMYFUNCTION("""COMPUTED_VALUE"""),"")</f>
        <v/>
      </c>
      <c r="M10821" s="16" t="str">
        <f>IFERROR(__xludf.DUMMYFUNCTION("""COMPUTED_VALUE"""),"")</f>
        <v/>
      </c>
      <c r="U10821" s="16" t="s">
        <v>87</v>
      </c>
      <c r="V10821" s="16" t="str">
        <f>IFERROR(__xludf.DUMMYFUNCTION("""COMPUTED_VALUE"""),"")</f>
        <v/>
      </c>
      <c r="W10821" s="16" t="str">
        <f>IFERROR(__xludf.DUMMYFUNCTION("""COMPUTED_VALUE"""),"")</f>
        <v/>
      </c>
      <c r="X10821" s="16" t="str">
        <f>IFERROR(__xludf.DUMMYFUNCTION("""COMPUTED_VALUE"""),"")</f>
        <v/>
      </c>
      <c r="AC10821" s="16" t="str">
        <f>IFERROR(__xludf.DUMMYFUNCTION("""COMPUTED_VALUE"""),"")</f>
        <v/>
      </c>
    </row>
    <row r="10822">
      <c r="A10822" s="16" t="s">
        <v>87</v>
      </c>
      <c r="E10822" s="16" t="str">
        <f>IFERROR(__xludf.DUMMYFUNCTION("""COMPUTED_VALUE"""),"")</f>
        <v/>
      </c>
      <c r="G10822" s="18"/>
      <c r="H10822" s="16" t="s">
        <v>87</v>
      </c>
      <c r="I10822" s="16" t="s">
        <v>87</v>
      </c>
      <c r="J10822" s="19"/>
      <c r="L10822" s="16" t="str">
        <f>IFERROR(__xludf.DUMMYFUNCTION("""COMPUTED_VALUE"""),"")</f>
        <v/>
      </c>
      <c r="M10822" s="16" t="str">
        <f>IFERROR(__xludf.DUMMYFUNCTION("""COMPUTED_VALUE"""),"")</f>
        <v/>
      </c>
      <c r="U10822" s="16" t="s">
        <v>87</v>
      </c>
      <c r="V10822" s="16" t="str">
        <f>IFERROR(__xludf.DUMMYFUNCTION("""COMPUTED_VALUE"""),"")</f>
        <v/>
      </c>
      <c r="W10822" s="16" t="str">
        <f>IFERROR(__xludf.DUMMYFUNCTION("""COMPUTED_VALUE"""),"")</f>
        <v/>
      </c>
      <c r="X10822" s="16" t="str">
        <f>IFERROR(__xludf.DUMMYFUNCTION("""COMPUTED_VALUE"""),"")</f>
        <v/>
      </c>
      <c r="AC10822" s="16" t="str">
        <f>IFERROR(__xludf.DUMMYFUNCTION("""COMPUTED_VALUE"""),"")</f>
        <v/>
      </c>
    </row>
    <row r="10823">
      <c r="A10823" s="16" t="s">
        <v>87</v>
      </c>
      <c r="E10823" s="16" t="str">
        <f>IFERROR(__xludf.DUMMYFUNCTION("""COMPUTED_VALUE"""),"")</f>
        <v/>
      </c>
      <c r="G10823" s="18"/>
      <c r="H10823" s="16" t="s">
        <v>87</v>
      </c>
      <c r="I10823" s="16" t="s">
        <v>87</v>
      </c>
      <c r="J10823" s="19"/>
      <c r="L10823" s="16" t="str">
        <f>IFERROR(__xludf.DUMMYFUNCTION("""COMPUTED_VALUE"""),"")</f>
        <v/>
      </c>
      <c r="M10823" s="16" t="str">
        <f>IFERROR(__xludf.DUMMYFUNCTION("""COMPUTED_VALUE"""),"")</f>
        <v/>
      </c>
      <c r="U10823" s="16" t="s">
        <v>87</v>
      </c>
      <c r="V10823" s="16" t="str">
        <f>IFERROR(__xludf.DUMMYFUNCTION("""COMPUTED_VALUE"""),"")</f>
        <v/>
      </c>
      <c r="W10823" s="16" t="str">
        <f>IFERROR(__xludf.DUMMYFUNCTION("""COMPUTED_VALUE"""),"")</f>
        <v/>
      </c>
      <c r="X10823" s="16" t="str">
        <f>IFERROR(__xludf.DUMMYFUNCTION("""COMPUTED_VALUE"""),"")</f>
        <v/>
      </c>
      <c r="AC10823" s="16" t="str">
        <f>IFERROR(__xludf.DUMMYFUNCTION("""COMPUTED_VALUE"""),"")</f>
        <v/>
      </c>
    </row>
    <row r="10824">
      <c r="A10824" s="16" t="s">
        <v>87</v>
      </c>
      <c r="E10824" s="16" t="str">
        <f>IFERROR(__xludf.DUMMYFUNCTION("""COMPUTED_VALUE"""),"")</f>
        <v/>
      </c>
      <c r="G10824" s="18"/>
      <c r="H10824" s="16" t="s">
        <v>87</v>
      </c>
      <c r="I10824" s="16" t="s">
        <v>87</v>
      </c>
      <c r="J10824" s="19"/>
      <c r="L10824" s="16" t="str">
        <f>IFERROR(__xludf.DUMMYFUNCTION("""COMPUTED_VALUE"""),"")</f>
        <v/>
      </c>
      <c r="M10824" s="16" t="str">
        <f>IFERROR(__xludf.DUMMYFUNCTION("""COMPUTED_VALUE"""),"")</f>
        <v/>
      </c>
      <c r="U10824" s="16" t="s">
        <v>87</v>
      </c>
      <c r="V10824" s="16" t="str">
        <f>IFERROR(__xludf.DUMMYFUNCTION("""COMPUTED_VALUE"""),"")</f>
        <v/>
      </c>
      <c r="W10824" s="16" t="str">
        <f>IFERROR(__xludf.DUMMYFUNCTION("""COMPUTED_VALUE"""),"")</f>
        <v/>
      </c>
      <c r="X10824" s="16" t="str">
        <f>IFERROR(__xludf.DUMMYFUNCTION("""COMPUTED_VALUE"""),"")</f>
        <v/>
      </c>
      <c r="AC10824" s="16" t="str">
        <f>IFERROR(__xludf.DUMMYFUNCTION("""COMPUTED_VALUE"""),"")</f>
        <v/>
      </c>
    </row>
    <row r="10825">
      <c r="A10825" s="16" t="s">
        <v>87</v>
      </c>
      <c r="E10825" s="16" t="str">
        <f>IFERROR(__xludf.DUMMYFUNCTION("""COMPUTED_VALUE"""),"")</f>
        <v/>
      </c>
      <c r="G10825" s="18"/>
      <c r="H10825" s="16" t="s">
        <v>87</v>
      </c>
      <c r="I10825" s="16" t="s">
        <v>87</v>
      </c>
      <c r="J10825" s="19"/>
      <c r="L10825" s="16" t="str">
        <f>IFERROR(__xludf.DUMMYFUNCTION("""COMPUTED_VALUE"""),"")</f>
        <v/>
      </c>
      <c r="M10825" s="16" t="str">
        <f>IFERROR(__xludf.DUMMYFUNCTION("""COMPUTED_VALUE"""),"")</f>
        <v/>
      </c>
      <c r="U10825" s="16" t="s">
        <v>87</v>
      </c>
      <c r="V10825" s="16" t="str">
        <f>IFERROR(__xludf.DUMMYFUNCTION("""COMPUTED_VALUE"""),"")</f>
        <v/>
      </c>
      <c r="W10825" s="16" t="str">
        <f>IFERROR(__xludf.DUMMYFUNCTION("""COMPUTED_VALUE"""),"")</f>
        <v/>
      </c>
      <c r="X10825" s="16" t="str">
        <f>IFERROR(__xludf.DUMMYFUNCTION("""COMPUTED_VALUE"""),"")</f>
        <v/>
      </c>
      <c r="AC10825" s="16" t="str">
        <f>IFERROR(__xludf.DUMMYFUNCTION("""COMPUTED_VALUE"""),"")</f>
        <v/>
      </c>
    </row>
    <row r="10826">
      <c r="A10826" s="16" t="s">
        <v>87</v>
      </c>
      <c r="E10826" s="16" t="str">
        <f>IFERROR(__xludf.DUMMYFUNCTION("""COMPUTED_VALUE"""),"")</f>
        <v/>
      </c>
      <c r="G10826" s="18"/>
      <c r="H10826" s="16" t="s">
        <v>87</v>
      </c>
      <c r="I10826" s="16" t="s">
        <v>87</v>
      </c>
      <c r="J10826" s="19"/>
      <c r="L10826" s="16" t="str">
        <f>IFERROR(__xludf.DUMMYFUNCTION("""COMPUTED_VALUE"""),"")</f>
        <v/>
      </c>
      <c r="M10826" s="16" t="str">
        <f>IFERROR(__xludf.DUMMYFUNCTION("""COMPUTED_VALUE"""),"")</f>
        <v/>
      </c>
      <c r="U10826" s="16" t="s">
        <v>87</v>
      </c>
      <c r="V10826" s="16" t="str">
        <f>IFERROR(__xludf.DUMMYFUNCTION("""COMPUTED_VALUE"""),"")</f>
        <v/>
      </c>
      <c r="W10826" s="16" t="str">
        <f>IFERROR(__xludf.DUMMYFUNCTION("""COMPUTED_VALUE"""),"")</f>
        <v/>
      </c>
      <c r="X10826" s="16" t="str">
        <f>IFERROR(__xludf.DUMMYFUNCTION("""COMPUTED_VALUE"""),"")</f>
        <v/>
      </c>
      <c r="AC10826" s="16" t="str">
        <f>IFERROR(__xludf.DUMMYFUNCTION("""COMPUTED_VALUE"""),"")</f>
        <v/>
      </c>
    </row>
    <row r="10827">
      <c r="A10827" s="16" t="s">
        <v>87</v>
      </c>
      <c r="E10827" s="16" t="str">
        <f>IFERROR(__xludf.DUMMYFUNCTION("""COMPUTED_VALUE"""),"")</f>
        <v/>
      </c>
      <c r="G10827" s="18"/>
      <c r="H10827" s="16" t="s">
        <v>87</v>
      </c>
      <c r="I10827" s="16" t="s">
        <v>87</v>
      </c>
      <c r="J10827" s="19"/>
      <c r="L10827" s="16" t="str">
        <f>IFERROR(__xludf.DUMMYFUNCTION("""COMPUTED_VALUE"""),"")</f>
        <v/>
      </c>
      <c r="M10827" s="16" t="str">
        <f>IFERROR(__xludf.DUMMYFUNCTION("""COMPUTED_VALUE"""),"")</f>
        <v/>
      </c>
      <c r="U10827" s="16" t="s">
        <v>87</v>
      </c>
      <c r="V10827" s="16" t="str">
        <f>IFERROR(__xludf.DUMMYFUNCTION("""COMPUTED_VALUE"""),"")</f>
        <v/>
      </c>
      <c r="W10827" s="16" t="str">
        <f>IFERROR(__xludf.DUMMYFUNCTION("""COMPUTED_VALUE"""),"")</f>
        <v/>
      </c>
      <c r="X10827" s="16" t="str">
        <f>IFERROR(__xludf.DUMMYFUNCTION("""COMPUTED_VALUE"""),"")</f>
        <v/>
      </c>
      <c r="AC10827" s="16" t="str">
        <f>IFERROR(__xludf.DUMMYFUNCTION("""COMPUTED_VALUE"""),"")</f>
        <v/>
      </c>
    </row>
    <row r="10828">
      <c r="A10828" s="16" t="s">
        <v>87</v>
      </c>
      <c r="E10828" s="16" t="str">
        <f>IFERROR(__xludf.DUMMYFUNCTION("""COMPUTED_VALUE"""),"")</f>
        <v/>
      </c>
      <c r="G10828" s="18"/>
      <c r="H10828" s="16" t="s">
        <v>87</v>
      </c>
      <c r="I10828" s="16" t="s">
        <v>87</v>
      </c>
      <c r="J10828" s="19"/>
      <c r="L10828" s="16" t="str">
        <f>IFERROR(__xludf.DUMMYFUNCTION("""COMPUTED_VALUE"""),"")</f>
        <v/>
      </c>
      <c r="M10828" s="16" t="str">
        <f>IFERROR(__xludf.DUMMYFUNCTION("""COMPUTED_VALUE"""),"")</f>
        <v/>
      </c>
      <c r="U10828" s="16" t="s">
        <v>87</v>
      </c>
      <c r="V10828" s="16" t="str">
        <f>IFERROR(__xludf.DUMMYFUNCTION("""COMPUTED_VALUE"""),"")</f>
        <v/>
      </c>
      <c r="W10828" s="16" t="str">
        <f>IFERROR(__xludf.DUMMYFUNCTION("""COMPUTED_VALUE"""),"")</f>
        <v/>
      </c>
      <c r="X10828" s="16" t="str">
        <f>IFERROR(__xludf.DUMMYFUNCTION("""COMPUTED_VALUE"""),"")</f>
        <v/>
      </c>
      <c r="AC10828" s="16" t="str">
        <f>IFERROR(__xludf.DUMMYFUNCTION("""COMPUTED_VALUE"""),"")</f>
        <v/>
      </c>
    </row>
    <row r="10829">
      <c r="A10829" s="16" t="s">
        <v>87</v>
      </c>
      <c r="E10829" s="16" t="str">
        <f>IFERROR(__xludf.DUMMYFUNCTION("""COMPUTED_VALUE"""),"")</f>
        <v/>
      </c>
      <c r="G10829" s="18"/>
      <c r="H10829" s="16" t="s">
        <v>87</v>
      </c>
      <c r="I10829" s="16" t="s">
        <v>87</v>
      </c>
      <c r="J10829" s="19"/>
      <c r="L10829" s="16" t="str">
        <f>IFERROR(__xludf.DUMMYFUNCTION("""COMPUTED_VALUE"""),"")</f>
        <v/>
      </c>
      <c r="M10829" s="16" t="str">
        <f>IFERROR(__xludf.DUMMYFUNCTION("""COMPUTED_VALUE"""),"")</f>
        <v/>
      </c>
      <c r="U10829" s="16" t="s">
        <v>87</v>
      </c>
      <c r="V10829" s="16" t="str">
        <f>IFERROR(__xludf.DUMMYFUNCTION("""COMPUTED_VALUE"""),"")</f>
        <v/>
      </c>
      <c r="W10829" s="16" t="str">
        <f>IFERROR(__xludf.DUMMYFUNCTION("""COMPUTED_VALUE"""),"")</f>
        <v/>
      </c>
      <c r="X10829" s="16" t="str">
        <f>IFERROR(__xludf.DUMMYFUNCTION("""COMPUTED_VALUE"""),"")</f>
        <v/>
      </c>
      <c r="AC10829" s="16" t="str">
        <f>IFERROR(__xludf.DUMMYFUNCTION("""COMPUTED_VALUE"""),"")</f>
        <v/>
      </c>
    </row>
    <row r="10830">
      <c r="A10830" s="16" t="s">
        <v>87</v>
      </c>
      <c r="E10830" s="16" t="str">
        <f>IFERROR(__xludf.DUMMYFUNCTION("""COMPUTED_VALUE"""),"")</f>
        <v/>
      </c>
      <c r="G10830" s="18"/>
      <c r="H10830" s="16" t="s">
        <v>87</v>
      </c>
      <c r="I10830" s="16" t="s">
        <v>87</v>
      </c>
      <c r="J10830" s="19"/>
      <c r="L10830" s="16" t="str">
        <f>IFERROR(__xludf.DUMMYFUNCTION("""COMPUTED_VALUE"""),"")</f>
        <v/>
      </c>
      <c r="M10830" s="16" t="str">
        <f>IFERROR(__xludf.DUMMYFUNCTION("""COMPUTED_VALUE"""),"")</f>
        <v/>
      </c>
      <c r="U10830" s="16" t="s">
        <v>87</v>
      </c>
      <c r="V10830" s="16" t="str">
        <f>IFERROR(__xludf.DUMMYFUNCTION("""COMPUTED_VALUE"""),"")</f>
        <v/>
      </c>
      <c r="W10830" s="16" t="str">
        <f>IFERROR(__xludf.DUMMYFUNCTION("""COMPUTED_VALUE"""),"")</f>
        <v/>
      </c>
      <c r="X10830" s="16" t="str">
        <f>IFERROR(__xludf.DUMMYFUNCTION("""COMPUTED_VALUE"""),"")</f>
        <v/>
      </c>
      <c r="AC10830" s="16" t="str">
        <f>IFERROR(__xludf.DUMMYFUNCTION("""COMPUTED_VALUE"""),"")</f>
        <v/>
      </c>
    </row>
    <row r="10831">
      <c r="A10831" s="16" t="s">
        <v>87</v>
      </c>
      <c r="E10831" s="16" t="str">
        <f>IFERROR(__xludf.DUMMYFUNCTION("""COMPUTED_VALUE"""),"")</f>
        <v/>
      </c>
      <c r="G10831" s="18"/>
      <c r="H10831" s="16" t="s">
        <v>87</v>
      </c>
      <c r="I10831" s="16" t="s">
        <v>87</v>
      </c>
      <c r="J10831" s="19"/>
      <c r="L10831" s="16" t="str">
        <f>IFERROR(__xludf.DUMMYFUNCTION("""COMPUTED_VALUE"""),"")</f>
        <v/>
      </c>
      <c r="M10831" s="16" t="str">
        <f>IFERROR(__xludf.DUMMYFUNCTION("""COMPUTED_VALUE"""),"")</f>
        <v/>
      </c>
      <c r="U10831" s="16" t="s">
        <v>87</v>
      </c>
      <c r="V10831" s="16" t="str">
        <f>IFERROR(__xludf.DUMMYFUNCTION("""COMPUTED_VALUE"""),"")</f>
        <v/>
      </c>
      <c r="W10831" s="16" t="str">
        <f>IFERROR(__xludf.DUMMYFUNCTION("""COMPUTED_VALUE"""),"")</f>
        <v/>
      </c>
      <c r="X10831" s="16" t="str">
        <f>IFERROR(__xludf.DUMMYFUNCTION("""COMPUTED_VALUE"""),"")</f>
        <v/>
      </c>
      <c r="AC10831" s="16" t="str">
        <f>IFERROR(__xludf.DUMMYFUNCTION("""COMPUTED_VALUE"""),"")</f>
        <v/>
      </c>
    </row>
    <row r="10832">
      <c r="A10832" s="16" t="s">
        <v>87</v>
      </c>
      <c r="E10832" s="16" t="str">
        <f>IFERROR(__xludf.DUMMYFUNCTION("""COMPUTED_VALUE"""),"")</f>
        <v/>
      </c>
      <c r="G10832" s="18"/>
      <c r="H10832" s="16" t="s">
        <v>87</v>
      </c>
      <c r="I10832" s="16" t="s">
        <v>87</v>
      </c>
      <c r="J10832" s="19"/>
      <c r="L10832" s="16" t="str">
        <f>IFERROR(__xludf.DUMMYFUNCTION("""COMPUTED_VALUE"""),"")</f>
        <v/>
      </c>
      <c r="M10832" s="16" t="str">
        <f>IFERROR(__xludf.DUMMYFUNCTION("""COMPUTED_VALUE"""),"")</f>
        <v/>
      </c>
      <c r="U10832" s="16" t="s">
        <v>87</v>
      </c>
      <c r="V10832" s="16" t="str">
        <f>IFERROR(__xludf.DUMMYFUNCTION("""COMPUTED_VALUE"""),"")</f>
        <v/>
      </c>
      <c r="W10832" s="16" t="str">
        <f>IFERROR(__xludf.DUMMYFUNCTION("""COMPUTED_VALUE"""),"")</f>
        <v/>
      </c>
      <c r="X10832" s="16" t="str">
        <f>IFERROR(__xludf.DUMMYFUNCTION("""COMPUTED_VALUE"""),"")</f>
        <v/>
      </c>
      <c r="AC10832" s="16" t="str">
        <f>IFERROR(__xludf.DUMMYFUNCTION("""COMPUTED_VALUE"""),"")</f>
        <v/>
      </c>
    </row>
    <row r="10833">
      <c r="A10833" s="16" t="s">
        <v>87</v>
      </c>
      <c r="E10833" s="16" t="str">
        <f>IFERROR(__xludf.DUMMYFUNCTION("""COMPUTED_VALUE"""),"")</f>
        <v/>
      </c>
      <c r="G10833" s="18"/>
      <c r="H10833" s="16" t="s">
        <v>87</v>
      </c>
      <c r="I10833" s="16" t="s">
        <v>87</v>
      </c>
      <c r="J10833" s="19"/>
      <c r="L10833" s="16" t="str">
        <f>IFERROR(__xludf.DUMMYFUNCTION("""COMPUTED_VALUE"""),"")</f>
        <v/>
      </c>
      <c r="M10833" s="16" t="str">
        <f>IFERROR(__xludf.DUMMYFUNCTION("""COMPUTED_VALUE"""),"")</f>
        <v/>
      </c>
      <c r="U10833" s="16" t="s">
        <v>87</v>
      </c>
      <c r="V10833" s="16" t="str">
        <f>IFERROR(__xludf.DUMMYFUNCTION("""COMPUTED_VALUE"""),"")</f>
        <v/>
      </c>
      <c r="W10833" s="16" t="str">
        <f>IFERROR(__xludf.DUMMYFUNCTION("""COMPUTED_VALUE"""),"")</f>
        <v/>
      </c>
      <c r="X10833" s="16" t="str">
        <f>IFERROR(__xludf.DUMMYFUNCTION("""COMPUTED_VALUE"""),"")</f>
        <v/>
      </c>
      <c r="AC10833" s="16" t="str">
        <f>IFERROR(__xludf.DUMMYFUNCTION("""COMPUTED_VALUE"""),"")</f>
        <v/>
      </c>
    </row>
    <row r="10834">
      <c r="A10834" s="16" t="s">
        <v>87</v>
      </c>
      <c r="E10834" s="16" t="str">
        <f>IFERROR(__xludf.DUMMYFUNCTION("""COMPUTED_VALUE"""),"")</f>
        <v/>
      </c>
      <c r="G10834" s="18"/>
      <c r="H10834" s="16" t="s">
        <v>87</v>
      </c>
      <c r="I10834" s="16" t="s">
        <v>87</v>
      </c>
      <c r="J10834" s="19"/>
      <c r="L10834" s="16" t="str">
        <f>IFERROR(__xludf.DUMMYFUNCTION("""COMPUTED_VALUE"""),"")</f>
        <v/>
      </c>
      <c r="M10834" s="16" t="str">
        <f>IFERROR(__xludf.DUMMYFUNCTION("""COMPUTED_VALUE"""),"")</f>
        <v/>
      </c>
      <c r="U10834" s="16" t="s">
        <v>87</v>
      </c>
      <c r="V10834" s="16" t="str">
        <f>IFERROR(__xludf.DUMMYFUNCTION("""COMPUTED_VALUE"""),"")</f>
        <v/>
      </c>
      <c r="W10834" s="16" t="str">
        <f>IFERROR(__xludf.DUMMYFUNCTION("""COMPUTED_VALUE"""),"")</f>
        <v/>
      </c>
      <c r="X10834" s="16" t="str">
        <f>IFERROR(__xludf.DUMMYFUNCTION("""COMPUTED_VALUE"""),"")</f>
        <v/>
      </c>
      <c r="AC10834" s="16" t="str">
        <f>IFERROR(__xludf.DUMMYFUNCTION("""COMPUTED_VALUE"""),"")</f>
        <v/>
      </c>
    </row>
    <row r="10835">
      <c r="A10835" s="16" t="s">
        <v>87</v>
      </c>
      <c r="E10835" s="16" t="str">
        <f>IFERROR(__xludf.DUMMYFUNCTION("""COMPUTED_VALUE"""),"")</f>
        <v/>
      </c>
      <c r="G10835" s="18"/>
      <c r="H10835" s="16" t="s">
        <v>87</v>
      </c>
      <c r="I10835" s="16" t="s">
        <v>87</v>
      </c>
      <c r="J10835" s="19"/>
      <c r="L10835" s="16" t="str">
        <f>IFERROR(__xludf.DUMMYFUNCTION("""COMPUTED_VALUE"""),"")</f>
        <v/>
      </c>
      <c r="M10835" s="16" t="str">
        <f>IFERROR(__xludf.DUMMYFUNCTION("""COMPUTED_VALUE"""),"")</f>
        <v/>
      </c>
      <c r="U10835" s="16" t="s">
        <v>87</v>
      </c>
      <c r="V10835" s="16" t="str">
        <f>IFERROR(__xludf.DUMMYFUNCTION("""COMPUTED_VALUE"""),"")</f>
        <v/>
      </c>
      <c r="W10835" s="16" t="str">
        <f>IFERROR(__xludf.DUMMYFUNCTION("""COMPUTED_VALUE"""),"")</f>
        <v/>
      </c>
      <c r="X10835" s="16" t="str">
        <f>IFERROR(__xludf.DUMMYFUNCTION("""COMPUTED_VALUE"""),"")</f>
        <v/>
      </c>
      <c r="AC10835" s="16" t="str">
        <f>IFERROR(__xludf.DUMMYFUNCTION("""COMPUTED_VALUE"""),"")</f>
        <v/>
      </c>
    </row>
    <row r="10836">
      <c r="A10836" s="16" t="s">
        <v>87</v>
      </c>
      <c r="E10836" s="16" t="str">
        <f>IFERROR(__xludf.DUMMYFUNCTION("""COMPUTED_VALUE"""),"")</f>
        <v/>
      </c>
      <c r="G10836" s="18"/>
      <c r="H10836" s="16" t="s">
        <v>87</v>
      </c>
      <c r="I10836" s="16" t="s">
        <v>87</v>
      </c>
      <c r="J10836" s="19"/>
      <c r="L10836" s="16" t="str">
        <f>IFERROR(__xludf.DUMMYFUNCTION("""COMPUTED_VALUE"""),"")</f>
        <v/>
      </c>
      <c r="M10836" s="16" t="str">
        <f>IFERROR(__xludf.DUMMYFUNCTION("""COMPUTED_VALUE"""),"")</f>
        <v/>
      </c>
      <c r="U10836" s="16" t="s">
        <v>87</v>
      </c>
      <c r="V10836" s="16" t="str">
        <f>IFERROR(__xludf.DUMMYFUNCTION("""COMPUTED_VALUE"""),"")</f>
        <v/>
      </c>
      <c r="W10836" s="16" t="str">
        <f>IFERROR(__xludf.DUMMYFUNCTION("""COMPUTED_VALUE"""),"")</f>
        <v/>
      </c>
      <c r="X10836" s="16" t="str">
        <f>IFERROR(__xludf.DUMMYFUNCTION("""COMPUTED_VALUE"""),"")</f>
        <v/>
      </c>
      <c r="AC10836" s="16" t="str">
        <f>IFERROR(__xludf.DUMMYFUNCTION("""COMPUTED_VALUE"""),"")</f>
        <v/>
      </c>
    </row>
    <row r="10837">
      <c r="A10837" s="16" t="s">
        <v>87</v>
      </c>
      <c r="E10837" s="16" t="str">
        <f>IFERROR(__xludf.DUMMYFUNCTION("""COMPUTED_VALUE"""),"")</f>
        <v/>
      </c>
      <c r="G10837" s="18"/>
      <c r="H10837" s="16" t="s">
        <v>87</v>
      </c>
      <c r="I10837" s="16" t="s">
        <v>87</v>
      </c>
      <c r="J10837" s="19"/>
      <c r="L10837" s="16" t="str">
        <f>IFERROR(__xludf.DUMMYFUNCTION("""COMPUTED_VALUE"""),"")</f>
        <v/>
      </c>
      <c r="M10837" s="16" t="str">
        <f>IFERROR(__xludf.DUMMYFUNCTION("""COMPUTED_VALUE"""),"")</f>
        <v/>
      </c>
      <c r="U10837" s="16" t="s">
        <v>87</v>
      </c>
      <c r="V10837" s="16" t="str">
        <f>IFERROR(__xludf.DUMMYFUNCTION("""COMPUTED_VALUE"""),"")</f>
        <v/>
      </c>
      <c r="W10837" s="16" t="str">
        <f>IFERROR(__xludf.DUMMYFUNCTION("""COMPUTED_VALUE"""),"")</f>
        <v/>
      </c>
      <c r="X10837" s="16" t="str">
        <f>IFERROR(__xludf.DUMMYFUNCTION("""COMPUTED_VALUE"""),"")</f>
        <v/>
      </c>
      <c r="AC10837" s="16" t="str">
        <f>IFERROR(__xludf.DUMMYFUNCTION("""COMPUTED_VALUE"""),"")</f>
        <v/>
      </c>
    </row>
    <row r="10838">
      <c r="A10838" s="16" t="s">
        <v>87</v>
      </c>
      <c r="E10838" s="16" t="str">
        <f>IFERROR(__xludf.DUMMYFUNCTION("""COMPUTED_VALUE"""),"")</f>
        <v/>
      </c>
      <c r="G10838" s="18"/>
      <c r="H10838" s="16" t="s">
        <v>87</v>
      </c>
      <c r="I10838" s="16" t="s">
        <v>87</v>
      </c>
      <c r="J10838" s="19"/>
      <c r="L10838" s="16" t="str">
        <f>IFERROR(__xludf.DUMMYFUNCTION("""COMPUTED_VALUE"""),"")</f>
        <v/>
      </c>
      <c r="M10838" s="16" t="str">
        <f>IFERROR(__xludf.DUMMYFUNCTION("""COMPUTED_VALUE"""),"")</f>
        <v/>
      </c>
      <c r="U10838" s="16" t="s">
        <v>87</v>
      </c>
      <c r="V10838" s="16" t="str">
        <f>IFERROR(__xludf.DUMMYFUNCTION("""COMPUTED_VALUE"""),"")</f>
        <v/>
      </c>
      <c r="W10838" s="16" t="str">
        <f>IFERROR(__xludf.DUMMYFUNCTION("""COMPUTED_VALUE"""),"")</f>
        <v/>
      </c>
      <c r="X10838" s="16" t="str">
        <f>IFERROR(__xludf.DUMMYFUNCTION("""COMPUTED_VALUE"""),"")</f>
        <v/>
      </c>
      <c r="AC10838" s="16" t="str">
        <f>IFERROR(__xludf.DUMMYFUNCTION("""COMPUTED_VALUE"""),"")</f>
        <v/>
      </c>
    </row>
    <row r="10839">
      <c r="A10839" s="16" t="s">
        <v>87</v>
      </c>
      <c r="E10839" s="16" t="str">
        <f>IFERROR(__xludf.DUMMYFUNCTION("""COMPUTED_VALUE"""),"")</f>
        <v/>
      </c>
      <c r="G10839" s="18"/>
      <c r="H10839" s="16" t="s">
        <v>87</v>
      </c>
      <c r="I10839" s="16" t="s">
        <v>87</v>
      </c>
      <c r="J10839" s="19"/>
      <c r="L10839" s="16" t="str">
        <f>IFERROR(__xludf.DUMMYFUNCTION("""COMPUTED_VALUE"""),"")</f>
        <v/>
      </c>
      <c r="M10839" s="16" t="str">
        <f>IFERROR(__xludf.DUMMYFUNCTION("""COMPUTED_VALUE"""),"")</f>
        <v/>
      </c>
      <c r="U10839" s="16" t="s">
        <v>87</v>
      </c>
      <c r="V10839" s="16" t="str">
        <f>IFERROR(__xludf.DUMMYFUNCTION("""COMPUTED_VALUE"""),"")</f>
        <v/>
      </c>
      <c r="W10839" s="16" t="str">
        <f>IFERROR(__xludf.DUMMYFUNCTION("""COMPUTED_VALUE"""),"")</f>
        <v/>
      </c>
      <c r="X10839" s="16" t="str">
        <f>IFERROR(__xludf.DUMMYFUNCTION("""COMPUTED_VALUE"""),"")</f>
        <v/>
      </c>
      <c r="AC10839" s="16" t="str">
        <f>IFERROR(__xludf.DUMMYFUNCTION("""COMPUTED_VALUE"""),"")</f>
        <v/>
      </c>
    </row>
    <row r="10840">
      <c r="A10840" s="16" t="s">
        <v>87</v>
      </c>
      <c r="E10840" s="16" t="str">
        <f>IFERROR(__xludf.DUMMYFUNCTION("""COMPUTED_VALUE"""),"")</f>
        <v/>
      </c>
      <c r="G10840" s="18"/>
      <c r="H10840" s="16" t="s">
        <v>87</v>
      </c>
      <c r="I10840" s="16" t="s">
        <v>87</v>
      </c>
      <c r="J10840" s="19"/>
      <c r="L10840" s="16" t="str">
        <f>IFERROR(__xludf.DUMMYFUNCTION("""COMPUTED_VALUE"""),"")</f>
        <v/>
      </c>
      <c r="M10840" s="16" t="str">
        <f>IFERROR(__xludf.DUMMYFUNCTION("""COMPUTED_VALUE"""),"")</f>
        <v/>
      </c>
      <c r="U10840" s="16" t="s">
        <v>87</v>
      </c>
      <c r="V10840" s="16" t="str">
        <f>IFERROR(__xludf.DUMMYFUNCTION("""COMPUTED_VALUE"""),"")</f>
        <v/>
      </c>
      <c r="W10840" s="16" t="str">
        <f>IFERROR(__xludf.DUMMYFUNCTION("""COMPUTED_VALUE"""),"")</f>
        <v/>
      </c>
      <c r="X10840" s="16" t="str">
        <f>IFERROR(__xludf.DUMMYFUNCTION("""COMPUTED_VALUE"""),"")</f>
        <v/>
      </c>
      <c r="AC10840" s="16" t="str">
        <f>IFERROR(__xludf.DUMMYFUNCTION("""COMPUTED_VALUE"""),"")</f>
        <v/>
      </c>
    </row>
    <row r="10841">
      <c r="A10841" s="16" t="s">
        <v>87</v>
      </c>
      <c r="E10841" s="16" t="str">
        <f>IFERROR(__xludf.DUMMYFUNCTION("""COMPUTED_VALUE"""),"")</f>
        <v/>
      </c>
      <c r="G10841" s="18"/>
      <c r="H10841" s="16" t="s">
        <v>87</v>
      </c>
      <c r="I10841" s="16" t="s">
        <v>87</v>
      </c>
      <c r="J10841" s="19"/>
      <c r="L10841" s="16" t="str">
        <f>IFERROR(__xludf.DUMMYFUNCTION("""COMPUTED_VALUE"""),"")</f>
        <v/>
      </c>
      <c r="M10841" s="16" t="str">
        <f>IFERROR(__xludf.DUMMYFUNCTION("""COMPUTED_VALUE"""),"")</f>
        <v/>
      </c>
      <c r="U10841" s="16" t="s">
        <v>87</v>
      </c>
      <c r="V10841" s="16" t="str">
        <f>IFERROR(__xludf.DUMMYFUNCTION("""COMPUTED_VALUE"""),"")</f>
        <v/>
      </c>
      <c r="W10841" s="16" t="str">
        <f>IFERROR(__xludf.DUMMYFUNCTION("""COMPUTED_VALUE"""),"")</f>
        <v/>
      </c>
      <c r="X10841" s="16" t="str">
        <f>IFERROR(__xludf.DUMMYFUNCTION("""COMPUTED_VALUE"""),"")</f>
        <v/>
      </c>
      <c r="AC10841" s="16" t="str">
        <f>IFERROR(__xludf.DUMMYFUNCTION("""COMPUTED_VALUE"""),"")</f>
        <v/>
      </c>
    </row>
    <row r="10842">
      <c r="A10842" s="16" t="s">
        <v>87</v>
      </c>
      <c r="E10842" s="16" t="str">
        <f>IFERROR(__xludf.DUMMYFUNCTION("""COMPUTED_VALUE"""),"")</f>
        <v/>
      </c>
      <c r="G10842" s="18"/>
      <c r="H10842" s="16" t="s">
        <v>87</v>
      </c>
      <c r="I10842" s="16" t="s">
        <v>87</v>
      </c>
      <c r="J10842" s="19"/>
      <c r="L10842" s="16" t="str">
        <f>IFERROR(__xludf.DUMMYFUNCTION("""COMPUTED_VALUE"""),"")</f>
        <v/>
      </c>
      <c r="M10842" s="16" t="str">
        <f>IFERROR(__xludf.DUMMYFUNCTION("""COMPUTED_VALUE"""),"")</f>
        <v/>
      </c>
      <c r="U10842" s="16" t="s">
        <v>87</v>
      </c>
      <c r="V10842" s="16" t="str">
        <f>IFERROR(__xludf.DUMMYFUNCTION("""COMPUTED_VALUE"""),"")</f>
        <v/>
      </c>
      <c r="W10842" s="16" t="str">
        <f>IFERROR(__xludf.DUMMYFUNCTION("""COMPUTED_VALUE"""),"")</f>
        <v/>
      </c>
      <c r="X10842" s="16" t="str">
        <f>IFERROR(__xludf.DUMMYFUNCTION("""COMPUTED_VALUE"""),"")</f>
        <v/>
      </c>
      <c r="AC10842" s="16" t="str">
        <f>IFERROR(__xludf.DUMMYFUNCTION("""COMPUTED_VALUE"""),"")</f>
        <v/>
      </c>
    </row>
    <row r="10843">
      <c r="A10843" s="16" t="s">
        <v>87</v>
      </c>
      <c r="E10843" s="16" t="str">
        <f>IFERROR(__xludf.DUMMYFUNCTION("""COMPUTED_VALUE"""),"")</f>
        <v/>
      </c>
      <c r="G10843" s="18"/>
      <c r="H10843" s="16" t="s">
        <v>87</v>
      </c>
      <c r="I10843" s="16" t="s">
        <v>87</v>
      </c>
      <c r="J10843" s="19"/>
      <c r="L10843" s="16" t="str">
        <f>IFERROR(__xludf.DUMMYFUNCTION("""COMPUTED_VALUE"""),"")</f>
        <v/>
      </c>
      <c r="M10843" s="16" t="str">
        <f>IFERROR(__xludf.DUMMYFUNCTION("""COMPUTED_VALUE"""),"")</f>
        <v/>
      </c>
      <c r="U10843" s="16" t="s">
        <v>87</v>
      </c>
      <c r="V10843" s="16" t="str">
        <f>IFERROR(__xludf.DUMMYFUNCTION("""COMPUTED_VALUE"""),"")</f>
        <v/>
      </c>
      <c r="W10843" s="16" t="str">
        <f>IFERROR(__xludf.DUMMYFUNCTION("""COMPUTED_VALUE"""),"")</f>
        <v/>
      </c>
      <c r="X10843" s="16" t="str">
        <f>IFERROR(__xludf.DUMMYFUNCTION("""COMPUTED_VALUE"""),"")</f>
        <v/>
      </c>
      <c r="AC10843" s="16" t="str">
        <f>IFERROR(__xludf.DUMMYFUNCTION("""COMPUTED_VALUE"""),"")</f>
        <v/>
      </c>
    </row>
    <row r="10844">
      <c r="A10844" s="16" t="s">
        <v>87</v>
      </c>
      <c r="E10844" s="16" t="str">
        <f>IFERROR(__xludf.DUMMYFUNCTION("""COMPUTED_VALUE"""),"")</f>
        <v/>
      </c>
      <c r="G10844" s="18"/>
      <c r="H10844" s="16" t="s">
        <v>87</v>
      </c>
      <c r="I10844" s="16" t="s">
        <v>87</v>
      </c>
      <c r="J10844" s="19"/>
      <c r="L10844" s="16" t="str">
        <f>IFERROR(__xludf.DUMMYFUNCTION("""COMPUTED_VALUE"""),"")</f>
        <v/>
      </c>
      <c r="M10844" s="16" t="str">
        <f>IFERROR(__xludf.DUMMYFUNCTION("""COMPUTED_VALUE"""),"")</f>
        <v/>
      </c>
      <c r="U10844" s="16" t="s">
        <v>87</v>
      </c>
      <c r="V10844" s="16" t="str">
        <f>IFERROR(__xludf.DUMMYFUNCTION("""COMPUTED_VALUE"""),"")</f>
        <v/>
      </c>
      <c r="W10844" s="16" t="str">
        <f>IFERROR(__xludf.DUMMYFUNCTION("""COMPUTED_VALUE"""),"")</f>
        <v/>
      </c>
      <c r="X10844" s="16" t="str">
        <f>IFERROR(__xludf.DUMMYFUNCTION("""COMPUTED_VALUE"""),"")</f>
        <v/>
      </c>
      <c r="AC10844" s="16" t="str">
        <f>IFERROR(__xludf.DUMMYFUNCTION("""COMPUTED_VALUE"""),"")</f>
        <v/>
      </c>
    </row>
    <row r="10845">
      <c r="A10845" s="16" t="s">
        <v>87</v>
      </c>
      <c r="E10845" s="16" t="str">
        <f>IFERROR(__xludf.DUMMYFUNCTION("""COMPUTED_VALUE"""),"")</f>
        <v/>
      </c>
      <c r="G10845" s="18"/>
      <c r="H10845" s="16" t="s">
        <v>87</v>
      </c>
      <c r="I10845" s="16" t="s">
        <v>87</v>
      </c>
      <c r="J10845" s="19"/>
      <c r="L10845" s="16" t="str">
        <f>IFERROR(__xludf.DUMMYFUNCTION("""COMPUTED_VALUE"""),"")</f>
        <v/>
      </c>
      <c r="M10845" s="16" t="str">
        <f>IFERROR(__xludf.DUMMYFUNCTION("""COMPUTED_VALUE"""),"")</f>
        <v/>
      </c>
      <c r="U10845" s="16" t="s">
        <v>87</v>
      </c>
      <c r="V10845" s="16" t="str">
        <f>IFERROR(__xludf.DUMMYFUNCTION("""COMPUTED_VALUE"""),"")</f>
        <v/>
      </c>
      <c r="W10845" s="16" t="str">
        <f>IFERROR(__xludf.DUMMYFUNCTION("""COMPUTED_VALUE"""),"")</f>
        <v/>
      </c>
      <c r="X10845" s="16" t="str">
        <f>IFERROR(__xludf.DUMMYFUNCTION("""COMPUTED_VALUE"""),"")</f>
        <v/>
      </c>
      <c r="AC10845" s="16" t="str">
        <f>IFERROR(__xludf.DUMMYFUNCTION("""COMPUTED_VALUE"""),"")</f>
        <v/>
      </c>
    </row>
    <row r="10846">
      <c r="A10846" s="16" t="s">
        <v>87</v>
      </c>
      <c r="E10846" s="16" t="str">
        <f>IFERROR(__xludf.DUMMYFUNCTION("""COMPUTED_VALUE"""),"")</f>
        <v/>
      </c>
      <c r="G10846" s="18"/>
      <c r="H10846" s="16" t="s">
        <v>87</v>
      </c>
      <c r="I10846" s="16" t="s">
        <v>87</v>
      </c>
      <c r="J10846" s="19"/>
      <c r="L10846" s="16" t="str">
        <f>IFERROR(__xludf.DUMMYFUNCTION("""COMPUTED_VALUE"""),"")</f>
        <v/>
      </c>
      <c r="M10846" s="16" t="str">
        <f>IFERROR(__xludf.DUMMYFUNCTION("""COMPUTED_VALUE"""),"")</f>
        <v/>
      </c>
      <c r="U10846" s="16" t="s">
        <v>87</v>
      </c>
      <c r="V10846" s="16" t="str">
        <f>IFERROR(__xludf.DUMMYFUNCTION("""COMPUTED_VALUE"""),"")</f>
        <v/>
      </c>
      <c r="W10846" s="16" t="str">
        <f>IFERROR(__xludf.DUMMYFUNCTION("""COMPUTED_VALUE"""),"")</f>
        <v/>
      </c>
      <c r="X10846" s="16" t="str">
        <f>IFERROR(__xludf.DUMMYFUNCTION("""COMPUTED_VALUE"""),"")</f>
        <v/>
      </c>
      <c r="AC10846" s="16" t="str">
        <f>IFERROR(__xludf.DUMMYFUNCTION("""COMPUTED_VALUE"""),"")</f>
        <v/>
      </c>
    </row>
    <row r="10847">
      <c r="A10847" s="16" t="s">
        <v>87</v>
      </c>
      <c r="E10847" s="16" t="str">
        <f>IFERROR(__xludf.DUMMYFUNCTION("""COMPUTED_VALUE"""),"")</f>
        <v/>
      </c>
      <c r="G10847" s="18"/>
      <c r="H10847" s="16" t="s">
        <v>87</v>
      </c>
      <c r="I10847" s="16" t="s">
        <v>87</v>
      </c>
      <c r="J10847" s="19"/>
      <c r="L10847" s="16" t="str">
        <f>IFERROR(__xludf.DUMMYFUNCTION("""COMPUTED_VALUE"""),"")</f>
        <v/>
      </c>
      <c r="M10847" s="16" t="str">
        <f>IFERROR(__xludf.DUMMYFUNCTION("""COMPUTED_VALUE"""),"")</f>
        <v/>
      </c>
      <c r="U10847" s="16" t="s">
        <v>87</v>
      </c>
      <c r="V10847" s="16" t="str">
        <f>IFERROR(__xludf.DUMMYFUNCTION("""COMPUTED_VALUE"""),"")</f>
        <v/>
      </c>
      <c r="W10847" s="16" t="str">
        <f>IFERROR(__xludf.DUMMYFUNCTION("""COMPUTED_VALUE"""),"")</f>
        <v/>
      </c>
      <c r="X10847" s="16" t="str">
        <f>IFERROR(__xludf.DUMMYFUNCTION("""COMPUTED_VALUE"""),"")</f>
        <v/>
      </c>
      <c r="AC10847" s="16" t="str">
        <f>IFERROR(__xludf.DUMMYFUNCTION("""COMPUTED_VALUE"""),"")</f>
        <v/>
      </c>
    </row>
    <row r="10848">
      <c r="A10848" s="16" t="s">
        <v>87</v>
      </c>
      <c r="E10848" s="16" t="str">
        <f>IFERROR(__xludf.DUMMYFUNCTION("""COMPUTED_VALUE"""),"")</f>
        <v/>
      </c>
      <c r="G10848" s="18"/>
      <c r="H10848" s="16" t="s">
        <v>87</v>
      </c>
      <c r="I10848" s="16" t="s">
        <v>87</v>
      </c>
      <c r="J10848" s="19"/>
      <c r="L10848" s="16" t="str">
        <f>IFERROR(__xludf.DUMMYFUNCTION("""COMPUTED_VALUE"""),"")</f>
        <v/>
      </c>
      <c r="M10848" s="16" t="str">
        <f>IFERROR(__xludf.DUMMYFUNCTION("""COMPUTED_VALUE"""),"")</f>
        <v/>
      </c>
      <c r="U10848" s="16" t="s">
        <v>87</v>
      </c>
      <c r="V10848" s="16" t="str">
        <f>IFERROR(__xludf.DUMMYFUNCTION("""COMPUTED_VALUE"""),"")</f>
        <v/>
      </c>
      <c r="W10848" s="16" t="str">
        <f>IFERROR(__xludf.DUMMYFUNCTION("""COMPUTED_VALUE"""),"")</f>
        <v/>
      </c>
      <c r="X10848" s="16" t="str">
        <f>IFERROR(__xludf.DUMMYFUNCTION("""COMPUTED_VALUE"""),"")</f>
        <v/>
      </c>
      <c r="AC10848" s="16" t="str">
        <f>IFERROR(__xludf.DUMMYFUNCTION("""COMPUTED_VALUE"""),"")</f>
        <v/>
      </c>
    </row>
    <row r="10849">
      <c r="A10849" s="16" t="s">
        <v>87</v>
      </c>
      <c r="E10849" s="16" t="str">
        <f>IFERROR(__xludf.DUMMYFUNCTION("""COMPUTED_VALUE"""),"")</f>
        <v/>
      </c>
      <c r="G10849" s="18"/>
      <c r="H10849" s="16" t="s">
        <v>87</v>
      </c>
      <c r="I10849" s="16" t="s">
        <v>87</v>
      </c>
      <c r="J10849" s="19"/>
      <c r="L10849" s="16" t="str">
        <f>IFERROR(__xludf.DUMMYFUNCTION("""COMPUTED_VALUE"""),"")</f>
        <v/>
      </c>
      <c r="M10849" s="16" t="str">
        <f>IFERROR(__xludf.DUMMYFUNCTION("""COMPUTED_VALUE"""),"")</f>
        <v/>
      </c>
      <c r="U10849" s="16" t="s">
        <v>87</v>
      </c>
      <c r="V10849" s="16" t="str">
        <f>IFERROR(__xludf.DUMMYFUNCTION("""COMPUTED_VALUE"""),"")</f>
        <v/>
      </c>
      <c r="W10849" s="16" t="str">
        <f>IFERROR(__xludf.DUMMYFUNCTION("""COMPUTED_VALUE"""),"")</f>
        <v/>
      </c>
      <c r="X10849" s="16" t="str">
        <f>IFERROR(__xludf.DUMMYFUNCTION("""COMPUTED_VALUE"""),"")</f>
        <v/>
      </c>
      <c r="AC10849" s="16" t="str">
        <f>IFERROR(__xludf.DUMMYFUNCTION("""COMPUTED_VALUE"""),"")</f>
        <v/>
      </c>
    </row>
    <row r="10850">
      <c r="A10850" s="16" t="s">
        <v>87</v>
      </c>
      <c r="E10850" s="16" t="str">
        <f>IFERROR(__xludf.DUMMYFUNCTION("""COMPUTED_VALUE"""),"")</f>
        <v/>
      </c>
      <c r="G10850" s="18"/>
      <c r="H10850" s="16" t="s">
        <v>87</v>
      </c>
      <c r="I10850" s="16" t="s">
        <v>87</v>
      </c>
      <c r="J10850" s="19"/>
      <c r="L10850" s="16" t="str">
        <f>IFERROR(__xludf.DUMMYFUNCTION("""COMPUTED_VALUE"""),"")</f>
        <v/>
      </c>
      <c r="M10850" s="16" t="str">
        <f>IFERROR(__xludf.DUMMYFUNCTION("""COMPUTED_VALUE"""),"")</f>
        <v/>
      </c>
      <c r="U10850" s="16" t="s">
        <v>87</v>
      </c>
      <c r="V10850" s="16" t="str">
        <f>IFERROR(__xludf.DUMMYFUNCTION("""COMPUTED_VALUE"""),"")</f>
        <v/>
      </c>
      <c r="W10850" s="16" t="str">
        <f>IFERROR(__xludf.DUMMYFUNCTION("""COMPUTED_VALUE"""),"")</f>
        <v/>
      </c>
      <c r="X10850" s="16" t="str">
        <f>IFERROR(__xludf.DUMMYFUNCTION("""COMPUTED_VALUE"""),"")</f>
        <v/>
      </c>
      <c r="AC10850" s="16" t="str">
        <f>IFERROR(__xludf.DUMMYFUNCTION("""COMPUTED_VALUE"""),"")</f>
        <v/>
      </c>
    </row>
    <row r="10851">
      <c r="A10851" s="16" t="s">
        <v>87</v>
      </c>
      <c r="E10851" s="16" t="str">
        <f>IFERROR(__xludf.DUMMYFUNCTION("""COMPUTED_VALUE"""),"")</f>
        <v/>
      </c>
      <c r="G10851" s="18"/>
      <c r="H10851" s="16" t="s">
        <v>87</v>
      </c>
      <c r="I10851" s="16" t="s">
        <v>87</v>
      </c>
      <c r="J10851" s="19"/>
      <c r="L10851" s="16" t="str">
        <f>IFERROR(__xludf.DUMMYFUNCTION("""COMPUTED_VALUE"""),"")</f>
        <v/>
      </c>
      <c r="M10851" s="16" t="str">
        <f>IFERROR(__xludf.DUMMYFUNCTION("""COMPUTED_VALUE"""),"")</f>
        <v/>
      </c>
      <c r="U10851" s="16" t="s">
        <v>87</v>
      </c>
      <c r="V10851" s="16" t="str">
        <f>IFERROR(__xludf.DUMMYFUNCTION("""COMPUTED_VALUE"""),"")</f>
        <v/>
      </c>
      <c r="W10851" s="16" t="str">
        <f>IFERROR(__xludf.DUMMYFUNCTION("""COMPUTED_VALUE"""),"")</f>
        <v/>
      </c>
      <c r="X10851" s="16" t="str">
        <f>IFERROR(__xludf.DUMMYFUNCTION("""COMPUTED_VALUE"""),"")</f>
        <v/>
      </c>
      <c r="AC10851" s="16" t="str">
        <f>IFERROR(__xludf.DUMMYFUNCTION("""COMPUTED_VALUE"""),"")</f>
        <v/>
      </c>
    </row>
    <row r="10852">
      <c r="A10852" s="16" t="s">
        <v>87</v>
      </c>
      <c r="E10852" s="16" t="str">
        <f>IFERROR(__xludf.DUMMYFUNCTION("""COMPUTED_VALUE"""),"")</f>
        <v/>
      </c>
      <c r="G10852" s="18"/>
      <c r="H10852" s="16" t="s">
        <v>87</v>
      </c>
      <c r="I10852" s="16" t="s">
        <v>87</v>
      </c>
      <c r="J10852" s="19"/>
      <c r="L10852" s="16" t="str">
        <f>IFERROR(__xludf.DUMMYFUNCTION("""COMPUTED_VALUE"""),"")</f>
        <v/>
      </c>
      <c r="M10852" s="16" t="str">
        <f>IFERROR(__xludf.DUMMYFUNCTION("""COMPUTED_VALUE"""),"")</f>
        <v/>
      </c>
      <c r="U10852" s="16" t="s">
        <v>87</v>
      </c>
      <c r="V10852" s="16" t="str">
        <f>IFERROR(__xludf.DUMMYFUNCTION("""COMPUTED_VALUE"""),"")</f>
        <v/>
      </c>
      <c r="W10852" s="16" t="str">
        <f>IFERROR(__xludf.DUMMYFUNCTION("""COMPUTED_VALUE"""),"")</f>
        <v/>
      </c>
      <c r="X10852" s="16" t="str">
        <f>IFERROR(__xludf.DUMMYFUNCTION("""COMPUTED_VALUE"""),"")</f>
        <v/>
      </c>
      <c r="AC10852" s="16" t="str">
        <f>IFERROR(__xludf.DUMMYFUNCTION("""COMPUTED_VALUE"""),"")</f>
        <v/>
      </c>
    </row>
    <row r="10853">
      <c r="A10853" s="16" t="s">
        <v>87</v>
      </c>
      <c r="E10853" s="16" t="str">
        <f>IFERROR(__xludf.DUMMYFUNCTION("""COMPUTED_VALUE"""),"")</f>
        <v/>
      </c>
      <c r="G10853" s="18"/>
      <c r="H10853" s="16" t="s">
        <v>87</v>
      </c>
      <c r="I10853" s="16" t="s">
        <v>87</v>
      </c>
      <c r="J10853" s="19"/>
      <c r="L10853" s="16" t="str">
        <f>IFERROR(__xludf.DUMMYFUNCTION("""COMPUTED_VALUE"""),"")</f>
        <v/>
      </c>
      <c r="M10853" s="16" t="str">
        <f>IFERROR(__xludf.DUMMYFUNCTION("""COMPUTED_VALUE"""),"")</f>
        <v/>
      </c>
      <c r="U10853" s="16" t="s">
        <v>87</v>
      </c>
      <c r="V10853" s="16" t="str">
        <f>IFERROR(__xludf.DUMMYFUNCTION("""COMPUTED_VALUE"""),"")</f>
        <v/>
      </c>
      <c r="W10853" s="16" t="str">
        <f>IFERROR(__xludf.DUMMYFUNCTION("""COMPUTED_VALUE"""),"")</f>
        <v/>
      </c>
      <c r="X10853" s="16" t="str">
        <f>IFERROR(__xludf.DUMMYFUNCTION("""COMPUTED_VALUE"""),"")</f>
        <v/>
      </c>
      <c r="AC10853" s="16" t="str">
        <f>IFERROR(__xludf.DUMMYFUNCTION("""COMPUTED_VALUE"""),"")</f>
        <v/>
      </c>
    </row>
    <row r="10854">
      <c r="A10854" s="16" t="s">
        <v>87</v>
      </c>
      <c r="E10854" s="16" t="str">
        <f>IFERROR(__xludf.DUMMYFUNCTION("""COMPUTED_VALUE"""),"")</f>
        <v/>
      </c>
      <c r="G10854" s="18"/>
      <c r="H10854" s="16" t="s">
        <v>87</v>
      </c>
      <c r="I10854" s="16" t="s">
        <v>87</v>
      </c>
      <c r="J10854" s="19"/>
      <c r="L10854" s="16" t="str">
        <f>IFERROR(__xludf.DUMMYFUNCTION("""COMPUTED_VALUE"""),"")</f>
        <v/>
      </c>
      <c r="M10854" s="16" t="str">
        <f>IFERROR(__xludf.DUMMYFUNCTION("""COMPUTED_VALUE"""),"")</f>
        <v/>
      </c>
      <c r="U10854" s="16" t="s">
        <v>87</v>
      </c>
      <c r="V10854" s="16" t="str">
        <f>IFERROR(__xludf.DUMMYFUNCTION("""COMPUTED_VALUE"""),"")</f>
        <v/>
      </c>
      <c r="W10854" s="16" t="str">
        <f>IFERROR(__xludf.DUMMYFUNCTION("""COMPUTED_VALUE"""),"")</f>
        <v/>
      </c>
      <c r="X10854" s="16" t="str">
        <f>IFERROR(__xludf.DUMMYFUNCTION("""COMPUTED_VALUE"""),"")</f>
        <v/>
      </c>
      <c r="AC10854" s="16" t="str">
        <f>IFERROR(__xludf.DUMMYFUNCTION("""COMPUTED_VALUE"""),"")</f>
        <v/>
      </c>
    </row>
    <row r="10855">
      <c r="A10855" s="16" t="s">
        <v>87</v>
      </c>
      <c r="E10855" s="16" t="str">
        <f>IFERROR(__xludf.DUMMYFUNCTION("""COMPUTED_VALUE"""),"")</f>
        <v/>
      </c>
      <c r="G10855" s="18"/>
      <c r="H10855" s="16" t="s">
        <v>87</v>
      </c>
      <c r="I10855" s="16" t="s">
        <v>87</v>
      </c>
      <c r="J10855" s="19"/>
      <c r="L10855" s="16" t="str">
        <f>IFERROR(__xludf.DUMMYFUNCTION("""COMPUTED_VALUE"""),"")</f>
        <v/>
      </c>
      <c r="M10855" s="16" t="str">
        <f>IFERROR(__xludf.DUMMYFUNCTION("""COMPUTED_VALUE"""),"")</f>
        <v/>
      </c>
      <c r="U10855" s="16" t="s">
        <v>87</v>
      </c>
      <c r="V10855" s="16" t="str">
        <f>IFERROR(__xludf.DUMMYFUNCTION("""COMPUTED_VALUE"""),"")</f>
        <v/>
      </c>
      <c r="W10855" s="16" t="str">
        <f>IFERROR(__xludf.DUMMYFUNCTION("""COMPUTED_VALUE"""),"")</f>
        <v/>
      </c>
      <c r="X10855" s="16" t="str">
        <f>IFERROR(__xludf.DUMMYFUNCTION("""COMPUTED_VALUE"""),"")</f>
        <v/>
      </c>
      <c r="AC10855" s="16" t="str">
        <f>IFERROR(__xludf.DUMMYFUNCTION("""COMPUTED_VALUE"""),"")</f>
        <v/>
      </c>
    </row>
    <row r="10856">
      <c r="A10856" s="16" t="s">
        <v>87</v>
      </c>
      <c r="E10856" s="16" t="str">
        <f>IFERROR(__xludf.DUMMYFUNCTION("""COMPUTED_VALUE"""),"")</f>
        <v/>
      </c>
      <c r="G10856" s="18"/>
      <c r="H10856" s="16" t="s">
        <v>87</v>
      </c>
      <c r="I10856" s="16" t="s">
        <v>87</v>
      </c>
      <c r="J10856" s="19"/>
      <c r="L10856" s="16" t="str">
        <f>IFERROR(__xludf.DUMMYFUNCTION("""COMPUTED_VALUE"""),"")</f>
        <v/>
      </c>
      <c r="M10856" s="16" t="str">
        <f>IFERROR(__xludf.DUMMYFUNCTION("""COMPUTED_VALUE"""),"")</f>
        <v/>
      </c>
      <c r="U10856" s="16" t="s">
        <v>87</v>
      </c>
      <c r="V10856" s="16" t="str">
        <f>IFERROR(__xludf.DUMMYFUNCTION("""COMPUTED_VALUE"""),"")</f>
        <v/>
      </c>
      <c r="W10856" s="16" t="str">
        <f>IFERROR(__xludf.DUMMYFUNCTION("""COMPUTED_VALUE"""),"")</f>
        <v/>
      </c>
      <c r="X10856" s="16" t="str">
        <f>IFERROR(__xludf.DUMMYFUNCTION("""COMPUTED_VALUE"""),"")</f>
        <v/>
      </c>
      <c r="AC10856" s="16" t="str">
        <f>IFERROR(__xludf.DUMMYFUNCTION("""COMPUTED_VALUE"""),"")</f>
        <v/>
      </c>
    </row>
    <row r="10857">
      <c r="A10857" s="16" t="s">
        <v>87</v>
      </c>
      <c r="E10857" s="16" t="str">
        <f>IFERROR(__xludf.DUMMYFUNCTION("""COMPUTED_VALUE"""),"")</f>
        <v/>
      </c>
      <c r="G10857" s="18"/>
      <c r="H10857" s="16" t="s">
        <v>87</v>
      </c>
      <c r="I10857" s="16" t="s">
        <v>87</v>
      </c>
      <c r="J10857" s="19"/>
      <c r="L10857" s="16" t="str">
        <f>IFERROR(__xludf.DUMMYFUNCTION("""COMPUTED_VALUE"""),"")</f>
        <v/>
      </c>
      <c r="M10857" s="16" t="str">
        <f>IFERROR(__xludf.DUMMYFUNCTION("""COMPUTED_VALUE"""),"")</f>
        <v/>
      </c>
      <c r="U10857" s="16" t="s">
        <v>87</v>
      </c>
      <c r="V10857" s="16" t="str">
        <f>IFERROR(__xludf.DUMMYFUNCTION("""COMPUTED_VALUE"""),"")</f>
        <v/>
      </c>
      <c r="W10857" s="16" t="str">
        <f>IFERROR(__xludf.DUMMYFUNCTION("""COMPUTED_VALUE"""),"")</f>
        <v/>
      </c>
      <c r="X10857" s="16" t="str">
        <f>IFERROR(__xludf.DUMMYFUNCTION("""COMPUTED_VALUE"""),"")</f>
        <v/>
      </c>
      <c r="AC10857" s="16" t="str">
        <f>IFERROR(__xludf.DUMMYFUNCTION("""COMPUTED_VALUE"""),"")</f>
        <v/>
      </c>
    </row>
    <row r="10858">
      <c r="A10858" s="16" t="s">
        <v>87</v>
      </c>
      <c r="E10858" s="16" t="str">
        <f>IFERROR(__xludf.DUMMYFUNCTION("""COMPUTED_VALUE"""),"")</f>
        <v/>
      </c>
      <c r="G10858" s="18"/>
      <c r="H10858" s="16" t="s">
        <v>87</v>
      </c>
      <c r="I10858" s="16" t="s">
        <v>87</v>
      </c>
      <c r="J10858" s="19"/>
      <c r="L10858" s="16" t="str">
        <f>IFERROR(__xludf.DUMMYFUNCTION("""COMPUTED_VALUE"""),"")</f>
        <v/>
      </c>
      <c r="M10858" s="16" t="str">
        <f>IFERROR(__xludf.DUMMYFUNCTION("""COMPUTED_VALUE"""),"")</f>
        <v/>
      </c>
      <c r="U10858" s="16" t="s">
        <v>87</v>
      </c>
      <c r="V10858" s="16" t="str">
        <f>IFERROR(__xludf.DUMMYFUNCTION("""COMPUTED_VALUE"""),"")</f>
        <v/>
      </c>
      <c r="W10858" s="16" t="str">
        <f>IFERROR(__xludf.DUMMYFUNCTION("""COMPUTED_VALUE"""),"")</f>
        <v/>
      </c>
      <c r="X10858" s="16" t="str">
        <f>IFERROR(__xludf.DUMMYFUNCTION("""COMPUTED_VALUE"""),"")</f>
        <v/>
      </c>
      <c r="AC10858" s="16" t="str">
        <f>IFERROR(__xludf.DUMMYFUNCTION("""COMPUTED_VALUE"""),"")</f>
        <v/>
      </c>
    </row>
    <row r="10859">
      <c r="A10859" s="16" t="s">
        <v>87</v>
      </c>
      <c r="E10859" s="16" t="str">
        <f>IFERROR(__xludf.DUMMYFUNCTION("""COMPUTED_VALUE"""),"")</f>
        <v/>
      </c>
      <c r="G10859" s="18"/>
      <c r="H10859" s="16" t="s">
        <v>87</v>
      </c>
      <c r="I10859" s="16" t="s">
        <v>87</v>
      </c>
      <c r="J10859" s="19"/>
      <c r="L10859" s="16" t="str">
        <f>IFERROR(__xludf.DUMMYFUNCTION("""COMPUTED_VALUE"""),"")</f>
        <v/>
      </c>
      <c r="M10859" s="16" t="str">
        <f>IFERROR(__xludf.DUMMYFUNCTION("""COMPUTED_VALUE"""),"")</f>
        <v/>
      </c>
      <c r="U10859" s="16" t="s">
        <v>87</v>
      </c>
      <c r="V10859" s="16" t="str">
        <f>IFERROR(__xludf.DUMMYFUNCTION("""COMPUTED_VALUE"""),"")</f>
        <v/>
      </c>
      <c r="W10859" s="16" t="str">
        <f>IFERROR(__xludf.DUMMYFUNCTION("""COMPUTED_VALUE"""),"")</f>
        <v/>
      </c>
      <c r="X10859" s="16" t="str">
        <f>IFERROR(__xludf.DUMMYFUNCTION("""COMPUTED_VALUE"""),"")</f>
        <v/>
      </c>
      <c r="AC10859" s="16" t="str">
        <f>IFERROR(__xludf.DUMMYFUNCTION("""COMPUTED_VALUE"""),"")</f>
        <v/>
      </c>
    </row>
    <row r="10860">
      <c r="A10860" s="16" t="s">
        <v>87</v>
      </c>
      <c r="E10860" s="16" t="str">
        <f>IFERROR(__xludf.DUMMYFUNCTION("""COMPUTED_VALUE"""),"")</f>
        <v/>
      </c>
      <c r="G10860" s="18"/>
      <c r="H10860" s="16" t="s">
        <v>87</v>
      </c>
      <c r="I10860" s="16" t="s">
        <v>87</v>
      </c>
      <c r="J10860" s="19"/>
      <c r="L10860" s="16" t="str">
        <f>IFERROR(__xludf.DUMMYFUNCTION("""COMPUTED_VALUE"""),"")</f>
        <v/>
      </c>
      <c r="M10860" s="16" t="str">
        <f>IFERROR(__xludf.DUMMYFUNCTION("""COMPUTED_VALUE"""),"")</f>
        <v/>
      </c>
      <c r="U10860" s="16" t="s">
        <v>87</v>
      </c>
      <c r="V10860" s="16" t="str">
        <f>IFERROR(__xludf.DUMMYFUNCTION("""COMPUTED_VALUE"""),"")</f>
        <v/>
      </c>
      <c r="W10860" s="16" t="str">
        <f>IFERROR(__xludf.DUMMYFUNCTION("""COMPUTED_VALUE"""),"")</f>
        <v/>
      </c>
      <c r="X10860" s="16" t="str">
        <f>IFERROR(__xludf.DUMMYFUNCTION("""COMPUTED_VALUE"""),"")</f>
        <v/>
      </c>
      <c r="AC10860" s="16" t="str">
        <f>IFERROR(__xludf.DUMMYFUNCTION("""COMPUTED_VALUE"""),"")</f>
        <v/>
      </c>
    </row>
    <row r="10861">
      <c r="A10861" s="16" t="s">
        <v>87</v>
      </c>
      <c r="E10861" s="16" t="str">
        <f>IFERROR(__xludf.DUMMYFUNCTION("""COMPUTED_VALUE"""),"")</f>
        <v/>
      </c>
      <c r="G10861" s="18"/>
      <c r="H10861" s="16" t="s">
        <v>87</v>
      </c>
      <c r="I10861" s="16" t="s">
        <v>87</v>
      </c>
      <c r="J10861" s="19"/>
      <c r="L10861" s="16" t="str">
        <f>IFERROR(__xludf.DUMMYFUNCTION("""COMPUTED_VALUE"""),"")</f>
        <v/>
      </c>
      <c r="M10861" s="16" t="str">
        <f>IFERROR(__xludf.DUMMYFUNCTION("""COMPUTED_VALUE"""),"")</f>
        <v/>
      </c>
      <c r="U10861" s="16" t="s">
        <v>87</v>
      </c>
      <c r="V10861" s="16" t="str">
        <f>IFERROR(__xludf.DUMMYFUNCTION("""COMPUTED_VALUE"""),"")</f>
        <v/>
      </c>
      <c r="W10861" s="16" t="str">
        <f>IFERROR(__xludf.DUMMYFUNCTION("""COMPUTED_VALUE"""),"")</f>
        <v/>
      </c>
      <c r="X10861" s="16" t="str">
        <f>IFERROR(__xludf.DUMMYFUNCTION("""COMPUTED_VALUE"""),"")</f>
        <v/>
      </c>
      <c r="AC10861" s="16" t="str">
        <f>IFERROR(__xludf.DUMMYFUNCTION("""COMPUTED_VALUE"""),"")</f>
        <v/>
      </c>
    </row>
    <row r="10862">
      <c r="A10862" s="16" t="s">
        <v>87</v>
      </c>
      <c r="E10862" s="16" t="str">
        <f>IFERROR(__xludf.DUMMYFUNCTION("""COMPUTED_VALUE"""),"")</f>
        <v/>
      </c>
      <c r="G10862" s="18"/>
      <c r="H10862" s="16" t="s">
        <v>87</v>
      </c>
      <c r="I10862" s="16" t="s">
        <v>87</v>
      </c>
      <c r="J10862" s="19"/>
      <c r="L10862" s="16" t="str">
        <f>IFERROR(__xludf.DUMMYFUNCTION("""COMPUTED_VALUE"""),"")</f>
        <v/>
      </c>
      <c r="M10862" s="16" t="str">
        <f>IFERROR(__xludf.DUMMYFUNCTION("""COMPUTED_VALUE"""),"")</f>
        <v/>
      </c>
      <c r="U10862" s="16" t="s">
        <v>87</v>
      </c>
      <c r="V10862" s="16" t="str">
        <f>IFERROR(__xludf.DUMMYFUNCTION("""COMPUTED_VALUE"""),"")</f>
        <v/>
      </c>
      <c r="W10862" s="16" t="str">
        <f>IFERROR(__xludf.DUMMYFUNCTION("""COMPUTED_VALUE"""),"")</f>
        <v/>
      </c>
      <c r="X10862" s="16" t="str">
        <f>IFERROR(__xludf.DUMMYFUNCTION("""COMPUTED_VALUE"""),"")</f>
        <v/>
      </c>
      <c r="AC10862" s="16" t="str">
        <f>IFERROR(__xludf.DUMMYFUNCTION("""COMPUTED_VALUE"""),"")</f>
        <v/>
      </c>
    </row>
    <row r="10863">
      <c r="A10863" s="16" t="s">
        <v>87</v>
      </c>
      <c r="E10863" s="16" t="str">
        <f>IFERROR(__xludf.DUMMYFUNCTION("""COMPUTED_VALUE"""),"")</f>
        <v/>
      </c>
      <c r="G10863" s="18"/>
      <c r="H10863" s="16" t="s">
        <v>87</v>
      </c>
      <c r="I10863" s="16" t="s">
        <v>87</v>
      </c>
      <c r="J10863" s="19"/>
      <c r="L10863" s="16" t="str">
        <f>IFERROR(__xludf.DUMMYFUNCTION("""COMPUTED_VALUE"""),"")</f>
        <v/>
      </c>
      <c r="M10863" s="16" t="str">
        <f>IFERROR(__xludf.DUMMYFUNCTION("""COMPUTED_VALUE"""),"")</f>
        <v/>
      </c>
      <c r="U10863" s="16" t="s">
        <v>87</v>
      </c>
      <c r="V10863" s="16" t="str">
        <f>IFERROR(__xludf.DUMMYFUNCTION("""COMPUTED_VALUE"""),"")</f>
        <v/>
      </c>
      <c r="W10863" s="16" t="str">
        <f>IFERROR(__xludf.DUMMYFUNCTION("""COMPUTED_VALUE"""),"")</f>
        <v/>
      </c>
      <c r="X10863" s="16" t="str">
        <f>IFERROR(__xludf.DUMMYFUNCTION("""COMPUTED_VALUE"""),"")</f>
        <v/>
      </c>
      <c r="AC10863" s="16" t="str">
        <f>IFERROR(__xludf.DUMMYFUNCTION("""COMPUTED_VALUE"""),"")</f>
        <v/>
      </c>
    </row>
    <row r="10864">
      <c r="A10864" s="16" t="s">
        <v>87</v>
      </c>
      <c r="E10864" s="16" t="str">
        <f>IFERROR(__xludf.DUMMYFUNCTION("""COMPUTED_VALUE"""),"")</f>
        <v/>
      </c>
      <c r="G10864" s="18"/>
      <c r="H10864" s="16" t="s">
        <v>87</v>
      </c>
      <c r="I10864" s="16" t="s">
        <v>87</v>
      </c>
      <c r="J10864" s="19"/>
      <c r="L10864" s="16" t="str">
        <f>IFERROR(__xludf.DUMMYFUNCTION("""COMPUTED_VALUE"""),"")</f>
        <v/>
      </c>
      <c r="M10864" s="16" t="str">
        <f>IFERROR(__xludf.DUMMYFUNCTION("""COMPUTED_VALUE"""),"")</f>
        <v/>
      </c>
      <c r="U10864" s="16" t="s">
        <v>87</v>
      </c>
      <c r="V10864" s="16" t="str">
        <f>IFERROR(__xludf.DUMMYFUNCTION("""COMPUTED_VALUE"""),"")</f>
        <v/>
      </c>
      <c r="W10864" s="16" t="str">
        <f>IFERROR(__xludf.DUMMYFUNCTION("""COMPUTED_VALUE"""),"")</f>
        <v/>
      </c>
      <c r="X10864" s="16" t="str">
        <f>IFERROR(__xludf.DUMMYFUNCTION("""COMPUTED_VALUE"""),"")</f>
        <v/>
      </c>
      <c r="AC10864" s="16" t="str">
        <f>IFERROR(__xludf.DUMMYFUNCTION("""COMPUTED_VALUE"""),"")</f>
        <v/>
      </c>
    </row>
    <row r="10865">
      <c r="A10865" s="16" t="s">
        <v>87</v>
      </c>
      <c r="E10865" s="16" t="str">
        <f>IFERROR(__xludf.DUMMYFUNCTION("""COMPUTED_VALUE"""),"")</f>
        <v/>
      </c>
      <c r="G10865" s="18"/>
      <c r="H10865" s="16" t="s">
        <v>87</v>
      </c>
      <c r="I10865" s="16" t="s">
        <v>87</v>
      </c>
      <c r="J10865" s="19"/>
      <c r="L10865" s="16" t="str">
        <f>IFERROR(__xludf.DUMMYFUNCTION("""COMPUTED_VALUE"""),"")</f>
        <v/>
      </c>
      <c r="M10865" s="16" t="str">
        <f>IFERROR(__xludf.DUMMYFUNCTION("""COMPUTED_VALUE"""),"")</f>
        <v/>
      </c>
      <c r="U10865" s="16" t="s">
        <v>87</v>
      </c>
      <c r="V10865" s="16" t="str">
        <f>IFERROR(__xludf.DUMMYFUNCTION("""COMPUTED_VALUE"""),"")</f>
        <v/>
      </c>
      <c r="W10865" s="16" t="str">
        <f>IFERROR(__xludf.DUMMYFUNCTION("""COMPUTED_VALUE"""),"")</f>
        <v/>
      </c>
      <c r="X10865" s="16" t="str">
        <f>IFERROR(__xludf.DUMMYFUNCTION("""COMPUTED_VALUE"""),"")</f>
        <v/>
      </c>
      <c r="AC10865" s="16" t="str">
        <f>IFERROR(__xludf.DUMMYFUNCTION("""COMPUTED_VALUE"""),"")</f>
        <v/>
      </c>
    </row>
    <row r="10866">
      <c r="A10866" s="16" t="s">
        <v>87</v>
      </c>
      <c r="E10866" s="16" t="str">
        <f>IFERROR(__xludf.DUMMYFUNCTION("""COMPUTED_VALUE"""),"")</f>
        <v/>
      </c>
      <c r="G10866" s="18"/>
      <c r="H10866" s="16" t="s">
        <v>87</v>
      </c>
      <c r="I10866" s="16" t="s">
        <v>87</v>
      </c>
      <c r="J10866" s="19"/>
      <c r="L10866" s="16" t="str">
        <f>IFERROR(__xludf.DUMMYFUNCTION("""COMPUTED_VALUE"""),"")</f>
        <v/>
      </c>
      <c r="M10866" s="16" t="str">
        <f>IFERROR(__xludf.DUMMYFUNCTION("""COMPUTED_VALUE"""),"")</f>
        <v/>
      </c>
      <c r="U10866" s="16" t="s">
        <v>87</v>
      </c>
      <c r="V10866" s="16" t="str">
        <f>IFERROR(__xludf.DUMMYFUNCTION("""COMPUTED_VALUE"""),"")</f>
        <v/>
      </c>
      <c r="W10866" s="16" t="str">
        <f>IFERROR(__xludf.DUMMYFUNCTION("""COMPUTED_VALUE"""),"")</f>
        <v/>
      </c>
      <c r="X10866" s="16" t="str">
        <f>IFERROR(__xludf.DUMMYFUNCTION("""COMPUTED_VALUE"""),"")</f>
        <v/>
      </c>
      <c r="AC10866" s="16" t="str">
        <f>IFERROR(__xludf.DUMMYFUNCTION("""COMPUTED_VALUE"""),"")</f>
        <v/>
      </c>
    </row>
    <row r="10867">
      <c r="A10867" s="16" t="s">
        <v>87</v>
      </c>
      <c r="E10867" s="16" t="str">
        <f>IFERROR(__xludf.DUMMYFUNCTION("""COMPUTED_VALUE"""),"")</f>
        <v/>
      </c>
      <c r="G10867" s="18"/>
      <c r="H10867" s="16" t="s">
        <v>87</v>
      </c>
      <c r="I10867" s="16" t="s">
        <v>87</v>
      </c>
      <c r="J10867" s="19"/>
      <c r="L10867" s="16" t="str">
        <f>IFERROR(__xludf.DUMMYFUNCTION("""COMPUTED_VALUE"""),"")</f>
        <v/>
      </c>
      <c r="M10867" s="16" t="str">
        <f>IFERROR(__xludf.DUMMYFUNCTION("""COMPUTED_VALUE"""),"")</f>
        <v/>
      </c>
      <c r="U10867" s="16" t="s">
        <v>87</v>
      </c>
      <c r="V10867" s="16" t="str">
        <f>IFERROR(__xludf.DUMMYFUNCTION("""COMPUTED_VALUE"""),"")</f>
        <v/>
      </c>
      <c r="W10867" s="16" t="str">
        <f>IFERROR(__xludf.DUMMYFUNCTION("""COMPUTED_VALUE"""),"")</f>
        <v/>
      </c>
      <c r="X10867" s="16" t="str">
        <f>IFERROR(__xludf.DUMMYFUNCTION("""COMPUTED_VALUE"""),"")</f>
        <v/>
      </c>
      <c r="AC10867" s="16" t="str">
        <f>IFERROR(__xludf.DUMMYFUNCTION("""COMPUTED_VALUE"""),"")</f>
        <v/>
      </c>
    </row>
    <row r="10868">
      <c r="A10868" s="16" t="s">
        <v>87</v>
      </c>
      <c r="E10868" s="16" t="str">
        <f>IFERROR(__xludf.DUMMYFUNCTION("""COMPUTED_VALUE"""),"")</f>
        <v/>
      </c>
      <c r="G10868" s="18"/>
      <c r="H10868" s="16" t="s">
        <v>87</v>
      </c>
      <c r="I10868" s="16" t="s">
        <v>87</v>
      </c>
      <c r="J10868" s="19"/>
      <c r="L10868" s="16" t="str">
        <f>IFERROR(__xludf.DUMMYFUNCTION("""COMPUTED_VALUE"""),"")</f>
        <v/>
      </c>
      <c r="M10868" s="16" t="str">
        <f>IFERROR(__xludf.DUMMYFUNCTION("""COMPUTED_VALUE"""),"")</f>
        <v/>
      </c>
      <c r="U10868" s="16" t="s">
        <v>87</v>
      </c>
      <c r="V10868" s="16" t="str">
        <f>IFERROR(__xludf.DUMMYFUNCTION("""COMPUTED_VALUE"""),"")</f>
        <v/>
      </c>
      <c r="W10868" s="16" t="str">
        <f>IFERROR(__xludf.DUMMYFUNCTION("""COMPUTED_VALUE"""),"")</f>
        <v/>
      </c>
      <c r="X10868" s="16" t="str">
        <f>IFERROR(__xludf.DUMMYFUNCTION("""COMPUTED_VALUE"""),"")</f>
        <v/>
      </c>
      <c r="AC10868" s="16" t="str">
        <f>IFERROR(__xludf.DUMMYFUNCTION("""COMPUTED_VALUE"""),"")</f>
        <v/>
      </c>
    </row>
    <row r="10869">
      <c r="A10869" s="16" t="s">
        <v>87</v>
      </c>
      <c r="E10869" s="16" t="str">
        <f>IFERROR(__xludf.DUMMYFUNCTION("""COMPUTED_VALUE"""),"")</f>
        <v/>
      </c>
      <c r="G10869" s="18"/>
      <c r="H10869" s="16" t="s">
        <v>87</v>
      </c>
      <c r="I10869" s="16" t="s">
        <v>87</v>
      </c>
      <c r="J10869" s="19"/>
      <c r="L10869" s="16" t="str">
        <f>IFERROR(__xludf.DUMMYFUNCTION("""COMPUTED_VALUE"""),"")</f>
        <v/>
      </c>
      <c r="M10869" s="16" t="str">
        <f>IFERROR(__xludf.DUMMYFUNCTION("""COMPUTED_VALUE"""),"")</f>
        <v/>
      </c>
      <c r="U10869" s="16" t="s">
        <v>87</v>
      </c>
      <c r="V10869" s="16" t="str">
        <f>IFERROR(__xludf.DUMMYFUNCTION("""COMPUTED_VALUE"""),"")</f>
        <v/>
      </c>
      <c r="W10869" s="16" t="str">
        <f>IFERROR(__xludf.DUMMYFUNCTION("""COMPUTED_VALUE"""),"")</f>
        <v/>
      </c>
      <c r="X10869" s="16" t="str">
        <f>IFERROR(__xludf.DUMMYFUNCTION("""COMPUTED_VALUE"""),"")</f>
        <v/>
      </c>
      <c r="AC10869" s="16" t="str">
        <f>IFERROR(__xludf.DUMMYFUNCTION("""COMPUTED_VALUE"""),"")</f>
        <v/>
      </c>
    </row>
    <row r="10870">
      <c r="A10870" s="16" t="s">
        <v>87</v>
      </c>
      <c r="E10870" s="16" t="str">
        <f>IFERROR(__xludf.DUMMYFUNCTION("""COMPUTED_VALUE"""),"")</f>
        <v/>
      </c>
      <c r="G10870" s="18"/>
      <c r="H10870" s="16" t="s">
        <v>87</v>
      </c>
      <c r="I10870" s="16" t="s">
        <v>87</v>
      </c>
      <c r="J10870" s="19"/>
      <c r="L10870" s="16" t="str">
        <f>IFERROR(__xludf.DUMMYFUNCTION("""COMPUTED_VALUE"""),"")</f>
        <v/>
      </c>
      <c r="M10870" s="16" t="str">
        <f>IFERROR(__xludf.DUMMYFUNCTION("""COMPUTED_VALUE"""),"")</f>
        <v/>
      </c>
      <c r="U10870" s="16" t="s">
        <v>87</v>
      </c>
      <c r="V10870" s="16" t="str">
        <f>IFERROR(__xludf.DUMMYFUNCTION("""COMPUTED_VALUE"""),"")</f>
        <v/>
      </c>
      <c r="W10870" s="16" t="str">
        <f>IFERROR(__xludf.DUMMYFUNCTION("""COMPUTED_VALUE"""),"")</f>
        <v/>
      </c>
      <c r="X10870" s="16" t="str">
        <f>IFERROR(__xludf.DUMMYFUNCTION("""COMPUTED_VALUE"""),"")</f>
        <v/>
      </c>
      <c r="AC10870" s="16" t="str">
        <f>IFERROR(__xludf.DUMMYFUNCTION("""COMPUTED_VALUE"""),"")</f>
        <v/>
      </c>
    </row>
    <row r="10871">
      <c r="A10871" s="16" t="s">
        <v>87</v>
      </c>
      <c r="E10871" s="16" t="str">
        <f>IFERROR(__xludf.DUMMYFUNCTION("""COMPUTED_VALUE"""),"")</f>
        <v/>
      </c>
      <c r="G10871" s="18"/>
      <c r="H10871" s="16" t="s">
        <v>87</v>
      </c>
      <c r="I10871" s="16" t="s">
        <v>87</v>
      </c>
      <c r="J10871" s="19"/>
      <c r="L10871" s="16" t="str">
        <f>IFERROR(__xludf.DUMMYFUNCTION("""COMPUTED_VALUE"""),"")</f>
        <v/>
      </c>
      <c r="M10871" s="16" t="str">
        <f>IFERROR(__xludf.DUMMYFUNCTION("""COMPUTED_VALUE"""),"")</f>
        <v/>
      </c>
      <c r="U10871" s="16" t="s">
        <v>87</v>
      </c>
      <c r="V10871" s="16" t="str">
        <f>IFERROR(__xludf.DUMMYFUNCTION("""COMPUTED_VALUE"""),"")</f>
        <v/>
      </c>
      <c r="W10871" s="16" t="str">
        <f>IFERROR(__xludf.DUMMYFUNCTION("""COMPUTED_VALUE"""),"")</f>
        <v/>
      </c>
      <c r="X10871" s="16" t="str">
        <f>IFERROR(__xludf.DUMMYFUNCTION("""COMPUTED_VALUE"""),"")</f>
        <v/>
      </c>
      <c r="AC10871" s="16" t="str">
        <f>IFERROR(__xludf.DUMMYFUNCTION("""COMPUTED_VALUE"""),"")</f>
        <v/>
      </c>
    </row>
    <row r="10872">
      <c r="A10872" s="16" t="s">
        <v>87</v>
      </c>
      <c r="E10872" s="16" t="str">
        <f>IFERROR(__xludf.DUMMYFUNCTION("""COMPUTED_VALUE"""),"")</f>
        <v/>
      </c>
      <c r="G10872" s="18"/>
      <c r="H10872" s="16" t="s">
        <v>87</v>
      </c>
      <c r="I10872" s="16" t="s">
        <v>87</v>
      </c>
      <c r="J10872" s="19"/>
      <c r="L10872" s="16" t="str">
        <f>IFERROR(__xludf.DUMMYFUNCTION("""COMPUTED_VALUE"""),"")</f>
        <v/>
      </c>
      <c r="M10872" s="16" t="str">
        <f>IFERROR(__xludf.DUMMYFUNCTION("""COMPUTED_VALUE"""),"")</f>
        <v/>
      </c>
      <c r="U10872" s="16" t="s">
        <v>87</v>
      </c>
      <c r="V10872" s="16" t="str">
        <f>IFERROR(__xludf.DUMMYFUNCTION("""COMPUTED_VALUE"""),"")</f>
        <v/>
      </c>
      <c r="W10872" s="16" t="str">
        <f>IFERROR(__xludf.DUMMYFUNCTION("""COMPUTED_VALUE"""),"")</f>
        <v/>
      </c>
      <c r="X10872" s="16" t="str">
        <f>IFERROR(__xludf.DUMMYFUNCTION("""COMPUTED_VALUE"""),"")</f>
        <v/>
      </c>
      <c r="AC10872" s="16" t="str">
        <f>IFERROR(__xludf.DUMMYFUNCTION("""COMPUTED_VALUE"""),"")</f>
        <v/>
      </c>
    </row>
    <row r="10873">
      <c r="A10873" s="16" t="s">
        <v>87</v>
      </c>
      <c r="E10873" s="16" t="str">
        <f>IFERROR(__xludf.DUMMYFUNCTION("""COMPUTED_VALUE"""),"")</f>
        <v/>
      </c>
      <c r="G10873" s="18"/>
      <c r="H10873" s="16" t="s">
        <v>87</v>
      </c>
      <c r="I10873" s="16" t="s">
        <v>87</v>
      </c>
      <c r="J10873" s="19"/>
      <c r="L10873" s="16" t="str">
        <f>IFERROR(__xludf.DUMMYFUNCTION("""COMPUTED_VALUE"""),"")</f>
        <v/>
      </c>
      <c r="M10873" s="16" t="str">
        <f>IFERROR(__xludf.DUMMYFUNCTION("""COMPUTED_VALUE"""),"")</f>
        <v/>
      </c>
      <c r="U10873" s="16" t="s">
        <v>87</v>
      </c>
      <c r="V10873" s="16" t="str">
        <f>IFERROR(__xludf.DUMMYFUNCTION("""COMPUTED_VALUE"""),"")</f>
        <v/>
      </c>
      <c r="W10873" s="16" t="str">
        <f>IFERROR(__xludf.DUMMYFUNCTION("""COMPUTED_VALUE"""),"")</f>
        <v/>
      </c>
      <c r="X10873" s="16" t="str">
        <f>IFERROR(__xludf.DUMMYFUNCTION("""COMPUTED_VALUE"""),"")</f>
        <v/>
      </c>
      <c r="AC10873" s="16" t="str">
        <f>IFERROR(__xludf.DUMMYFUNCTION("""COMPUTED_VALUE"""),"")</f>
        <v/>
      </c>
    </row>
    <row r="10874">
      <c r="A10874" s="16" t="s">
        <v>87</v>
      </c>
      <c r="E10874" s="16" t="str">
        <f>IFERROR(__xludf.DUMMYFUNCTION("""COMPUTED_VALUE"""),"")</f>
        <v/>
      </c>
      <c r="G10874" s="18"/>
      <c r="H10874" s="16" t="s">
        <v>87</v>
      </c>
      <c r="I10874" s="16" t="s">
        <v>87</v>
      </c>
      <c r="J10874" s="19"/>
      <c r="L10874" s="16" t="str">
        <f>IFERROR(__xludf.DUMMYFUNCTION("""COMPUTED_VALUE"""),"")</f>
        <v/>
      </c>
      <c r="M10874" s="16" t="str">
        <f>IFERROR(__xludf.DUMMYFUNCTION("""COMPUTED_VALUE"""),"")</f>
        <v/>
      </c>
      <c r="U10874" s="16" t="s">
        <v>87</v>
      </c>
      <c r="V10874" s="16" t="str">
        <f>IFERROR(__xludf.DUMMYFUNCTION("""COMPUTED_VALUE"""),"")</f>
        <v/>
      </c>
      <c r="W10874" s="16" t="str">
        <f>IFERROR(__xludf.DUMMYFUNCTION("""COMPUTED_VALUE"""),"")</f>
        <v/>
      </c>
      <c r="X10874" s="16" t="str">
        <f>IFERROR(__xludf.DUMMYFUNCTION("""COMPUTED_VALUE"""),"")</f>
        <v/>
      </c>
      <c r="AC10874" s="16" t="str">
        <f>IFERROR(__xludf.DUMMYFUNCTION("""COMPUTED_VALUE"""),"")</f>
        <v/>
      </c>
    </row>
    <row r="10875">
      <c r="A10875" s="16" t="s">
        <v>87</v>
      </c>
      <c r="E10875" s="16" t="str">
        <f>IFERROR(__xludf.DUMMYFUNCTION("""COMPUTED_VALUE"""),"")</f>
        <v/>
      </c>
      <c r="G10875" s="18"/>
      <c r="H10875" s="16" t="s">
        <v>87</v>
      </c>
      <c r="I10875" s="16" t="s">
        <v>87</v>
      </c>
      <c r="J10875" s="19"/>
      <c r="L10875" s="16" t="str">
        <f>IFERROR(__xludf.DUMMYFUNCTION("""COMPUTED_VALUE"""),"")</f>
        <v/>
      </c>
      <c r="M10875" s="16" t="str">
        <f>IFERROR(__xludf.DUMMYFUNCTION("""COMPUTED_VALUE"""),"")</f>
        <v/>
      </c>
      <c r="U10875" s="16" t="s">
        <v>87</v>
      </c>
      <c r="V10875" s="16" t="str">
        <f>IFERROR(__xludf.DUMMYFUNCTION("""COMPUTED_VALUE"""),"")</f>
        <v/>
      </c>
      <c r="W10875" s="16" t="str">
        <f>IFERROR(__xludf.DUMMYFUNCTION("""COMPUTED_VALUE"""),"")</f>
        <v/>
      </c>
      <c r="X10875" s="16" t="str">
        <f>IFERROR(__xludf.DUMMYFUNCTION("""COMPUTED_VALUE"""),"")</f>
        <v/>
      </c>
      <c r="AC10875" s="16" t="str">
        <f>IFERROR(__xludf.DUMMYFUNCTION("""COMPUTED_VALUE"""),"")</f>
        <v/>
      </c>
    </row>
    <row r="10876">
      <c r="A10876" s="16" t="s">
        <v>87</v>
      </c>
      <c r="E10876" s="16" t="str">
        <f>IFERROR(__xludf.DUMMYFUNCTION("""COMPUTED_VALUE"""),"")</f>
        <v/>
      </c>
      <c r="G10876" s="18"/>
      <c r="H10876" s="16" t="s">
        <v>87</v>
      </c>
      <c r="I10876" s="16" t="s">
        <v>87</v>
      </c>
      <c r="J10876" s="19"/>
      <c r="L10876" s="16" t="str">
        <f>IFERROR(__xludf.DUMMYFUNCTION("""COMPUTED_VALUE"""),"")</f>
        <v/>
      </c>
      <c r="M10876" s="16" t="str">
        <f>IFERROR(__xludf.DUMMYFUNCTION("""COMPUTED_VALUE"""),"")</f>
        <v/>
      </c>
      <c r="U10876" s="16" t="s">
        <v>87</v>
      </c>
      <c r="V10876" s="16" t="str">
        <f>IFERROR(__xludf.DUMMYFUNCTION("""COMPUTED_VALUE"""),"")</f>
        <v/>
      </c>
      <c r="W10876" s="16" t="str">
        <f>IFERROR(__xludf.DUMMYFUNCTION("""COMPUTED_VALUE"""),"")</f>
        <v/>
      </c>
      <c r="X10876" s="16" t="str">
        <f>IFERROR(__xludf.DUMMYFUNCTION("""COMPUTED_VALUE"""),"")</f>
        <v/>
      </c>
      <c r="AC10876" s="16" t="str">
        <f>IFERROR(__xludf.DUMMYFUNCTION("""COMPUTED_VALUE"""),"")</f>
        <v/>
      </c>
    </row>
    <row r="10877">
      <c r="A10877" s="16" t="s">
        <v>87</v>
      </c>
      <c r="E10877" s="16" t="str">
        <f>IFERROR(__xludf.DUMMYFUNCTION("""COMPUTED_VALUE"""),"")</f>
        <v/>
      </c>
      <c r="G10877" s="18"/>
      <c r="H10877" s="16" t="s">
        <v>87</v>
      </c>
      <c r="I10877" s="16" t="s">
        <v>87</v>
      </c>
      <c r="J10877" s="19"/>
      <c r="L10877" s="16" t="str">
        <f>IFERROR(__xludf.DUMMYFUNCTION("""COMPUTED_VALUE"""),"")</f>
        <v/>
      </c>
      <c r="M10877" s="16" t="str">
        <f>IFERROR(__xludf.DUMMYFUNCTION("""COMPUTED_VALUE"""),"")</f>
        <v/>
      </c>
      <c r="U10877" s="16" t="s">
        <v>87</v>
      </c>
      <c r="V10877" s="16" t="str">
        <f>IFERROR(__xludf.DUMMYFUNCTION("""COMPUTED_VALUE"""),"")</f>
        <v/>
      </c>
      <c r="W10877" s="16" t="str">
        <f>IFERROR(__xludf.DUMMYFUNCTION("""COMPUTED_VALUE"""),"")</f>
        <v/>
      </c>
      <c r="X10877" s="16" t="str">
        <f>IFERROR(__xludf.DUMMYFUNCTION("""COMPUTED_VALUE"""),"")</f>
        <v/>
      </c>
      <c r="AC10877" s="16" t="str">
        <f>IFERROR(__xludf.DUMMYFUNCTION("""COMPUTED_VALUE"""),"")</f>
        <v/>
      </c>
    </row>
    <row r="10878">
      <c r="A10878" s="16" t="s">
        <v>87</v>
      </c>
      <c r="E10878" s="16" t="str">
        <f>IFERROR(__xludf.DUMMYFUNCTION("""COMPUTED_VALUE"""),"")</f>
        <v/>
      </c>
      <c r="G10878" s="18"/>
      <c r="H10878" s="16" t="s">
        <v>87</v>
      </c>
      <c r="I10878" s="16" t="s">
        <v>87</v>
      </c>
      <c r="J10878" s="19"/>
      <c r="L10878" s="16" t="str">
        <f>IFERROR(__xludf.DUMMYFUNCTION("""COMPUTED_VALUE"""),"")</f>
        <v/>
      </c>
      <c r="M10878" s="16" t="str">
        <f>IFERROR(__xludf.DUMMYFUNCTION("""COMPUTED_VALUE"""),"")</f>
        <v/>
      </c>
      <c r="U10878" s="16" t="s">
        <v>87</v>
      </c>
      <c r="V10878" s="16" t="str">
        <f>IFERROR(__xludf.DUMMYFUNCTION("""COMPUTED_VALUE"""),"")</f>
        <v/>
      </c>
      <c r="W10878" s="16" t="str">
        <f>IFERROR(__xludf.DUMMYFUNCTION("""COMPUTED_VALUE"""),"")</f>
        <v/>
      </c>
      <c r="X10878" s="16" t="str">
        <f>IFERROR(__xludf.DUMMYFUNCTION("""COMPUTED_VALUE"""),"")</f>
        <v/>
      </c>
      <c r="AC10878" s="16" t="str">
        <f>IFERROR(__xludf.DUMMYFUNCTION("""COMPUTED_VALUE"""),"")</f>
        <v/>
      </c>
    </row>
    <row r="10879">
      <c r="A10879" s="16" t="s">
        <v>87</v>
      </c>
      <c r="E10879" s="16" t="str">
        <f>IFERROR(__xludf.DUMMYFUNCTION("""COMPUTED_VALUE"""),"")</f>
        <v/>
      </c>
      <c r="G10879" s="18"/>
      <c r="H10879" s="16" t="s">
        <v>87</v>
      </c>
      <c r="I10879" s="16" t="s">
        <v>87</v>
      </c>
      <c r="J10879" s="19"/>
      <c r="L10879" s="16" t="str">
        <f>IFERROR(__xludf.DUMMYFUNCTION("""COMPUTED_VALUE"""),"")</f>
        <v/>
      </c>
      <c r="M10879" s="16" t="str">
        <f>IFERROR(__xludf.DUMMYFUNCTION("""COMPUTED_VALUE"""),"")</f>
        <v/>
      </c>
      <c r="U10879" s="16" t="s">
        <v>87</v>
      </c>
      <c r="V10879" s="16" t="str">
        <f>IFERROR(__xludf.DUMMYFUNCTION("""COMPUTED_VALUE"""),"")</f>
        <v/>
      </c>
      <c r="W10879" s="16" t="str">
        <f>IFERROR(__xludf.DUMMYFUNCTION("""COMPUTED_VALUE"""),"")</f>
        <v/>
      </c>
      <c r="X10879" s="16" t="str">
        <f>IFERROR(__xludf.DUMMYFUNCTION("""COMPUTED_VALUE"""),"")</f>
        <v/>
      </c>
      <c r="AC10879" s="16" t="str">
        <f>IFERROR(__xludf.DUMMYFUNCTION("""COMPUTED_VALUE"""),"")</f>
        <v/>
      </c>
    </row>
    <row r="10880">
      <c r="A10880" s="16" t="s">
        <v>87</v>
      </c>
      <c r="E10880" s="16" t="str">
        <f>IFERROR(__xludf.DUMMYFUNCTION("""COMPUTED_VALUE"""),"")</f>
        <v/>
      </c>
      <c r="G10880" s="18"/>
      <c r="H10880" s="16" t="s">
        <v>87</v>
      </c>
      <c r="I10880" s="16" t="s">
        <v>87</v>
      </c>
      <c r="J10880" s="19"/>
      <c r="L10880" s="16" t="str">
        <f>IFERROR(__xludf.DUMMYFUNCTION("""COMPUTED_VALUE"""),"")</f>
        <v/>
      </c>
      <c r="M10880" s="16" t="str">
        <f>IFERROR(__xludf.DUMMYFUNCTION("""COMPUTED_VALUE"""),"")</f>
        <v/>
      </c>
      <c r="U10880" s="16" t="s">
        <v>87</v>
      </c>
      <c r="V10880" s="16" t="str">
        <f>IFERROR(__xludf.DUMMYFUNCTION("""COMPUTED_VALUE"""),"")</f>
        <v/>
      </c>
      <c r="W10880" s="16" t="str">
        <f>IFERROR(__xludf.DUMMYFUNCTION("""COMPUTED_VALUE"""),"")</f>
        <v/>
      </c>
      <c r="X10880" s="16" t="str">
        <f>IFERROR(__xludf.DUMMYFUNCTION("""COMPUTED_VALUE"""),"")</f>
        <v/>
      </c>
      <c r="AC10880" s="16" t="str">
        <f>IFERROR(__xludf.DUMMYFUNCTION("""COMPUTED_VALUE"""),"")</f>
        <v/>
      </c>
    </row>
    <row r="10881">
      <c r="A10881" s="16" t="s">
        <v>87</v>
      </c>
      <c r="E10881" s="16" t="str">
        <f>IFERROR(__xludf.DUMMYFUNCTION("""COMPUTED_VALUE"""),"")</f>
        <v/>
      </c>
      <c r="G10881" s="18"/>
      <c r="H10881" s="16" t="s">
        <v>87</v>
      </c>
      <c r="I10881" s="16" t="s">
        <v>87</v>
      </c>
      <c r="J10881" s="19"/>
      <c r="L10881" s="16" t="str">
        <f>IFERROR(__xludf.DUMMYFUNCTION("""COMPUTED_VALUE"""),"")</f>
        <v/>
      </c>
      <c r="M10881" s="16" t="str">
        <f>IFERROR(__xludf.DUMMYFUNCTION("""COMPUTED_VALUE"""),"")</f>
        <v/>
      </c>
      <c r="U10881" s="16" t="s">
        <v>87</v>
      </c>
      <c r="V10881" s="16" t="str">
        <f>IFERROR(__xludf.DUMMYFUNCTION("""COMPUTED_VALUE"""),"")</f>
        <v/>
      </c>
      <c r="W10881" s="16" t="str">
        <f>IFERROR(__xludf.DUMMYFUNCTION("""COMPUTED_VALUE"""),"")</f>
        <v/>
      </c>
      <c r="X10881" s="16" t="str">
        <f>IFERROR(__xludf.DUMMYFUNCTION("""COMPUTED_VALUE"""),"")</f>
        <v/>
      </c>
      <c r="AC10881" s="16" t="str">
        <f>IFERROR(__xludf.DUMMYFUNCTION("""COMPUTED_VALUE"""),"")</f>
        <v/>
      </c>
    </row>
    <row r="10882">
      <c r="A10882" s="16" t="s">
        <v>87</v>
      </c>
      <c r="E10882" s="16" t="str">
        <f>IFERROR(__xludf.DUMMYFUNCTION("""COMPUTED_VALUE"""),"")</f>
        <v/>
      </c>
      <c r="G10882" s="18"/>
      <c r="H10882" s="16" t="s">
        <v>87</v>
      </c>
      <c r="I10882" s="16" t="s">
        <v>87</v>
      </c>
      <c r="J10882" s="19"/>
      <c r="L10882" s="16" t="str">
        <f>IFERROR(__xludf.DUMMYFUNCTION("""COMPUTED_VALUE"""),"")</f>
        <v/>
      </c>
      <c r="M10882" s="16" t="str">
        <f>IFERROR(__xludf.DUMMYFUNCTION("""COMPUTED_VALUE"""),"")</f>
        <v/>
      </c>
      <c r="U10882" s="16" t="s">
        <v>87</v>
      </c>
      <c r="V10882" s="16" t="str">
        <f>IFERROR(__xludf.DUMMYFUNCTION("""COMPUTED_VALUE"""),"")</f>
        <v/>
      </c>
      <c r="W10882" s="16" t="str">
        <f>IFERROR(__xludf.DUMMYFUNCTION("""COMPUTED_VALUE"""),"")</f>
        <v/>
      </c>
      <c r="X10882" s="16" t="str">
        <f>IFERROR(__xludf.DUMMYFUNCTION("""COMPUTED_VALUE"""),"")</f>
        <v/>
      </c>
      <c r="AC10882" s="16" t="str">
        <f>IFERROR(__xludf.DUMMYFUNCTION("""COMPUTED_VALUE"""),"")</f>
        <v/>
      </c>
    </row>
    <row r="10883">
      <c r="A10883" s="16" t="s">
        <v>87</v>
      </c>
      <c r="E10883" s="16" t="str">
        <f>IFERROR(__xludf.DUMMYFUNCTION("""COMPUTED_VALUE"""),"")</f>
        <v/>
      </c>
      <c r="G10883" s="18"/>
      <c r="H10883" s="16" t="s">
        <v>87</v>
      </c>
      <c r="I10883" s="16" t="s">
        <v>87</v>
      </c>
      <c r="J10883" s="19"/>
      <c r="L10883" s="16" t="str">
        <f>IFERROR(__xludf.DUMMYFUNCTION("""COMPUTED_VALUE"""),"")</f>
        <v/>
      </c>
      <c r="M10883" s="16" t="str">
        <f>IFERROR(__xludf.DUMMYFUNCTION("""COMPUTED_VALUE"""),"")</f>
        <v/>
      </c>
      <c r="U10883" s="16" t="s">
        <v>87</v>
      </c>
      <c r="V10883" s="16" t="str">
        <f>IFERROR(__xludf.DUMMYFUNCTION("""COMPUTED_VALUE"""),"")</f>
        <v/>
      </c>
      <c r="W10883" s="16" t="str">
        <f>IFERROR(__xludf.DUMMYFUNCTION("""COMPUTED_VALUE"""),"")</f>
        <v/>
      </c>
      <c r="X10883" s="16" t="str">
        <f>IFERROR(__xludf.DUMMYFUNCTION("""COMPUTED_VALUE"""),"")</f>
        <v/>
      </c>
      <c r="AC10883" s="16" t="str">
        <f>IFERROR(__xludf.DUMMYFUNCTION("""COMPUTED_VALUE"""),"")</f>
        <v/>
      </c>
    </row>
    <row r="10884">
      <c r="A10884" s="16" t="s">
        <v>87</v>
      </c>
      <c r="E10884" s="16" t="str">
        <f>IFERROR(__xludf.DUMMYFUNCTION("""COMPUTED_VALUE"""),"")</f>
        <v/>
      </c>
      <c r="G10884" s="18"/>
      <c r="H10884" s="16" t="s">
        <v>87</v>
      </c>
      <c r="I10884" s="16" t="s">
        <v>87</v>
      </c>
      <c r="J10884" s="19"/>
      <c r="L10884" s="16" t="str">
        <f>IFERROR(__xludf.DUMMYFUNCTION("""COMPUTED_VALUE"""),"")</f>
        <v/>
      </c>
      <c r="M10884" s="16" t="str">
        <f>IFERROR(__xludf.DUMMYFUNCTION("""COMPUTED_VALUE"""),"")</f>
        <v/>
      </c>
      <c r="U10884" s="16" t="s">
        <v>87</v>
      </c>
      <c r="V10884" s="16" t="str">
        <f>IFERROR(__xludf.DUMMYFUNCTION("""COMPUTED_VALUE"""),"")</f>
        <v/>
      </c>
      <c r="W10884" s="16" t="str">
        <f>IFERROR(__xludf.DUMMYFUNCTION("""COMPUTED_VALUE"""),"")</f>
        <v/>
      </c>
      <c r="X10884" s="16" t="str">
        <f>IFERROR(__xludf.DUMMYFUNCTION("""COMPUTED_VALUE"""),"")</f>
        <v/>
      </c>
      <c r="AC10884" s="16" t="str">
        <f>IFERROR(__xludf.DUMMYFUNCTION("""COMPUTED_VALUE"""),"")</f>
        <v/>
      </c>
    </row>
    <row r="10885">
      <c r="A10885" s="16" t="s">
        <v>87</v>
      </c>
      <c r="E10885" s="16" t="str">
        <f>IFERROR(__xludf.DUMMYFUNCTION("""COMPUTED_VALUE"""),"")</f>
        <v/>
      </c>
      <c r="G10885" s="18"/>
      <c r="H10885" s="16" t="s">
        <v>87</v>
      </c>
      <c r="I10885" s="16" t="s">
        <v>87</v>
      </c>
      <c r="J10885" s="19"/>
      <c r="L10885" s="16" t="str">
        <f>IFERROR(__xludf.DUMMYFUNCTION("""COMPUTED_VALUE"""),"")</f>
        <v/>
      </c>
      <c r="M10885" s="16" t="str">
        <f>IFERROR(__xludf.DUMMYFUNCTION("""COMPUTED_VALUE"""),"")</f>
        <v/>
      </c>
      <c r="U10885" s="16" t="s">
        <v>87</v>
      </c>
      <c r="V10885" s="16" t="str">
        <f>IFERROR(__xludf.DUMMYFUNCTION("""COMPUTED_VALUE"""),"")</f>
        <v/>
      </c>
      <c r="W10885" s="16" t="str">
        <f>IFERROR(__xludf.DUMMYFUNCTION("""COMPUTED_VALUE"""),"")</f>
        <v/>
      </c>
      <c r="X10885" s="16" t="str">
        <f>IFERROR(__xludf.DUMMYFUNCTION("""COMPUTED_VALUE"""),"")</f>
        <v/>
      </c>
      <c r="AC10885" s="16" t="str">
        <f>IFERROR(__xludf.DUMMYFUNCTION("""COMPUTED_VALUE"""),"")</f>
        <v/>
      </c>
    </row>
    <row r="10886">
      <c r="A10886" s="16" t="s">
        <v>87</v>
      </c>
      <c r="E10886" s="16" t="str">
        <f>IFERROR(__xludf.DUMMYFUNCTION("""COMPUTED_VALUE"""),"")</f>
        <v/>
      </c>
      <c r="G10886" s="18"/>
      <c r="H10886" s="16" t="s">
        <v>87</v>
      </c>
      <c r="I10886" s="16" t="s">
        <v>87</v>
      </c>
      <c r="J10886" s="19"/>
      <c r="L10886" s="16" t="str">
        <f>IFERROR(__xludf.DUMMYFUNCTION("""COMPUTED_VALUE"""),"")</f>
        <v/>
      </c>
      <c r="M10886" s="16" t="str">
        <f>IFERROR(__xludf.DUMMYFUNCTION("""COMPUTED_VALUE"""),"")</f>
        <v/>
      </c>
      <c r="U10886" s="16" t="s">
        <v>87</v>
      </c>
      <c r="V10886" s="16" t="str">
        <f>IFERROR(__xludf.DUMMYFUNCTION("""COMPUTED_VALUE"""),"")</f>
        <v/>
      </c>
      <c r="W10886" s="16" t="str">
        <f>IFERROR(__xludf.DUMMYFUNCTION("""COMPUTED_VALUE"""),"")</f>
        <v/>
      </c>
      <c r="X10886" s="16" t="str">
        <f>IFERROR(__xludf.DUMMYFUNCTION("""COMPUTED_VALUE"""),"")</f>
        <v/>
      </c>
      <c r="AC10886" s="16" t="str">
        <f>IFERROR(__xludf.DUMMYFUNCTION("""COMPUTED_VALUE"""),"")</f>
        <v/>
      </c>
    </row>
    <row r="10887">
      <c r="A10887" s="16" t="s">
        <v>87</v>
      </c>
      <c r="E10887" s="16" t="str">
        <f>IFERROR(__xludf.DUMMYFUNCTION("""COMPUTED_VALUE"""),"")</f>
        <v/>
      </c>
      <c r="G10887" s="18"/>
      <c r="H10887" s="16" t="s">
        <v>87</v>
      </c>
      <c r="I10887" s="16" t="s">
        <v>87</v>
      </c>
      <c r="J10887" s="19"/>
      <c r="L10887" s="16" t="str">
        <f>IFERROR(__xludf.DUMMYFUNCTION("""COMPUTED_VALUE"""),"")</f>
        <v/>
      </c>
      <c r="M10887" s="16" t="str">
        <f>IFERROR(__xludf.DUMMYFUNCTION("""COMPUTED_VALUE"""),"")</f>
        <v/>
      </c>
      <c r="U10887" s="16" t="s">
        <v>87</v>
      </c>
      <c r="V10887" s="16" t="str">
        <f>IFERROR(__xludf.DUMMYFUNCTION("""COMPUTED_VALUE"""),"")</f>
        <v/>
      </c>
      <c r="W10887" s="16" t="str">
        <f>IFERROR(__xludf.DUMMYFUNCTION("""COMPUTED_VALUE"""),"")</f>
        <v/>
      </c>
      <c r="X10887" s="16" t="str">
        <f>IFERROR(__xludf.DUMMYFUNCTION("""COMPUTED_VALUE"""),"")</f>
        <v/>
      </c>
      <c r="AC10887" s="16" t="str">
        <f>IFERROR(__xludf.DUMMYFUNCTION("""COMPUTED_VALUE"""),"")</f>
        <v/>
      </c>
    </row>
    <row r="10888">
      <c r="A10888" s="16" t="s">
        <v>87</v>
      </c>
      <c r="E10888" s="16" t="str">
        <f>IFERROR(__xludf.DUMMYFUNCTION("""COMPUTED_VALUE"""),"")</f>
        <v/>
      </c>
      <c r="G10888" s="18"/>
      <c r="H10888" s="16" t="s">
        <v>87</v>
      </c>
      <c r="I10888" s="16" t="s">
        <v>87</v>
      </c>
      <c r="J10888" s="19"/>
      <c r="L10888" s="16" t="str">
        <f>IFERROR(__xludf.DUMMYFUNCTION("""COMPUTED_VALUE"""),"")</f>
        <v/>
      </c>
      <c r="M10888" s="16" t="str">
        <f>IFERROR(__xludf.DUMMYFUNCTION("""COMPUTED_VALUE"""),"")</f>
        <v/>
      </c>
      <c r="U10888" s="16" t="s">
        <v>87</v>
      </c>
      <c r="V10888" s="16" t="str">
        <f>IFERROR(__xludf.DUMMYFUNCTION("""COMPUTED_VALUE"""),"")</f>
        <v/>
      </c>
      <c r="W10888" s="16" t="str">
        <f>IFERROR(__xludf.DUMMYFUNCTION("""COMPUTED_VALUE"""),"")</f>
        <v/>
      </c>
      <c r="X10888" s="16" t="str">
        <f>IFERROR(__xludf.DUMMYFUNCTION("""COMPUTED_VALUE"""),"")</f>
        <v/>
      </c>
      <c r="AC10888" s="16" t="str">
        <f>IFERROR(__xludf.DUMMYFUNCTION("""COMPUTED_VALUE"""),"")</f>
        <v/>
      </c>
    </row>
    <row r="10889">
      <c r="A10889" s="16" t="s">
        <v>87</v>
      </c>
      <c r="E10889" s="16" t="str">
        <f>IFERROR(__xludf.DUMMYFUNCTION("""COMPUTED_VALUE"""),"")</f>
        <v/>
      </c>
      <c r="G10889" s="18"/>
      <c r="H10889" s="16" t="s">
        <v>87</v>
      </c>
      <c r="I10889" s="16" t="s">
        <v>87</v>
      </c>
      <c r="J10889" s="19"/>
      <c r="L10889" s="16" t="str">
        <f>IFERROR(__xludf.DUMMYFUNCTION("""COMPUTED_VALUE"""),"")</f>
        <v/>
      </c>
      <c r="M10889" s="16" t="str">
        <f>IFERROR(__xludf.DUMMYFUNCTION("""COMPUTED_VALUE"""),"")</f>
        <v/>
      </c>
      <c r="U10889" s="16" t="s">
        <v>87</v>
      </c>
      <c r="V10889" s="16" t="str">
        <f>IFERROR(__xludf.DUMMYFUNCTION("""COMPUTED_VALUE"""),"")</f>
        <v/>
      </c>
      <c r="W10889" s="16" t="str">
        <f>IFERROR(__xludf.DUMMYFUNCTION("""COMPUTED_VALUE"""),"")</f>
        <v/>
      </c>
      <c r="X10889" s="16" t="str">
        <f>IFERROR(__xludf.DUMMYFUNCTION("""COMPUTED_VALUE"""),"")</f>
        <v/>
      </c>
      <c r="AC10889" s="16" t="str">
        <f>IFERROR(__xludf.DUMMYFUNCTION("""COMPUTED_VALUE"""),"")</f>
        <v/>
      </c>
    </row>
    <row r="10890">
      <c r="A10890" s="16" t="s">
        <v>87</v>
      </c>
      <c r="E10890" s="16" t="str">
        <f>IFERROR(__xludf.DUMMYFUNCTION("""COMPUTED_VALUE"""),"")</f>
        <v/>
      </c>
      <c r="G10890" s="18"/>
      <c r="H10890" s="16" t="s">
        <v>87</v>
      </c>
      <c r="I10890" s="16" t="s">
        <v>87</v>
      </c>
      <c r="J10890" s="19"/>
      <c r="L10890" s="16" t="str">
        <f>IFERROR(__xludf.DUMMYFUNCTION("""COMPUTED_VALUE"""),"")</f>
        <v/>
      </c>
      <c r="M10890" s="16" t="str">
        <f>IFERROR(__xludf.DUMMYFUNCTION("""COMPUTED_VALUE"""),"")</f>
        <v/>
      </c>
      <c r="U10890" s="16" t="s">
        <v>87</v>
      </c>
      <c r="V10890" s="16" t="str">
        <f>IFERROR(__xludf.DUMMYFUNCTION("""COMPUTED_VALUE"""),"")</f>
        <v/>
      </c>
      <c r="W10890" s="16" t="str">
        <f>IFERROR(__xludf.DUMMYFUNCTION("""COMPUTED_VALUE"""),"")</f>
        <v/>
      </c>
      <c r="X10890" s="16" t="str">
        <f>IFERROR(__xludf.DUMMYFUNCTION("""COMPUTED_VALUE"""),"")</f>
        <v/>
      </c>
      <c r="AC10890" s="16" t="str">
        <f>IFERROR(__xludf.DUMMYFUNCTION("""COMPUTED_VALUE"""),"")</f>
        <v/>
      </c>
    </row>
    <row r="10891">
      <c r="A10891" s="16" t="s">
        <v>87</v>
      </c>
      <c r="E10891" s="16" t="str">
        <f>IFERROR(__xludf.DUMMYFUNCTION("""COMPUTED_VALUE"""),"")</f>
        <v/>
      </c>
      <c r="G10891" s="18"/>
      <c r="H10891" s="16" t="s">
        <v>87</v>
      </c>
      <c r="I10891" s="16" t="s">
        <v>87</v>
      </c>
      <c r="J10891" s="19"/>
      <c r="L10891" s="16" t="str">
        <f>IFERROR(__xludf.DUMMYFUNCTION("""COMPUTED_VALUE"""),"")</f>
        <v/>
      </c>
      <c r="M10891" s="16" t="str">
        <f>IFERROR(__xludf.DUMMYFUNCTION("""COMPUTED_VALUE"""),"")</f>
        <v/>
      </c>
      <c r="U10891" s="16" t="s">
        <v>87</v>
      </c>
      <c r="V10891" s="16" t="str">
        <f>IFERROR(__xludf.DUMMYFUNCTION("""COMPUTED_VALUE"""),"")</f>
        <v/>
      </c>
      <c r="W10891" s="16" t="str">
        <f>IFERROR(__xludf.DUMMYFUNCTION("""COMPUTED_VALUE"""),"")</f>
        <v/>
      </c>
      <c r="X10891" s="16" t="str">
        <f>IFERROR(__xludf.DUMMYFUNCTION("""COMPUTED_VALUE"""),"")</f>
        <v/>
      </c>
      <c r="AC10891" s="16" t="str">
        <f>IFERROR(__xludf.DUMMYFUNCTION("""COMPUTED_VALUE"""),"")</f>
        <v/>
      </c>
    </row>
    <row r="10892">
      <c r="A10892" s="16" t="s">
        <v>87</v>
      </c>
      <c r="E10892" s="16" t="str">
        <f>IFERROR(__xludf.DUMMYFUNCTION("""COMPUTED_VALUE"""),"")</f>
        <v/>
      </c>
      <c r="G10892" s="18"/>
      <c r="H10892" s="16" t="s">
        <v>87</v>
      </c>
      <c r="I10892" s="16" t="s">
        <v>87</v>
      </c>
      <c r="J10892" s="19"/>
      <c r="L10892" s="16" t="str">
        <f>IFERROR(__xludf.DUMMYFUNCTION("""COMPUTED_VALUE"""),"")</f>
        <v/>
      </c>
      <c r="M10892" s="16" t="str">
        <f>IFERROR(__xludf.DUMMYFUNCTION("""COMPUTED_VALUE"""),"")</f>
        <v/>
      </c>
      <c r="U10892" s="16" t="s">
        <v>87</v>
      </c>
      <c r="V10892" s="16" t="str">
        <f>IFERROR(__xludf.DUMMYFUNCTION("""COMPUTED_VALUE"""),"")</f>
        <v/>
      </c>
      <c r="W10892" s="16" t="str">
        <f>IFERROR(__xludf.DUMMYFUNCTION("""COMPUTED_VALUE"""),"")</f>
        <v/>
      </c>
      <c r="X10892" s="16" t="str">
        <f>IFERROR(__xludf.DUMMYFUNCTION("""COMPUTED_VALUE"""),"")</f>
        <v/>
      </c>
      <c r="AC10892" s="16" t="str">
        <f>IFERROR(__xludf.DUMMYFUNCTION("""COMPUTED_VALUE"""),"")</f>
        <v/>
      </c>
    </row>
    <row r="10893">
      <c r="A10893" s="16" t="s">
        <v>87</v>
      </c>
      <c r="E10893" s="16" t="str">
        <f>IFERROR(__xludf.DUMMYFUNCTION("""COMPUTED_VALUE"""),"")</f>
        <v/>
      </c>
      <c r="G10893" s="18"/>
      <c r="H10893" s="16" t="s">
        <v>87</v>
      </c>
      <c r="I10893" s="16" t="s">
        <v>87</v>
      </c>
      <c r="J10893" s="19"/>
      <c r="L10893" s="16" t="str">
        <f>IFERROR(__xludf.DUMMYFUNCTION("""COMPUTED_VALUE"""),"")</f>
        <v/>
      </c>
      <c r="M10893" s="16" t="str">
        <f>IFERROR(__xludf.DUMMYFUNCTION("""COMPUTED_VALUE"""),"")</f>
        <v/>
      </c>
      <c r="U10893" s="16" t="s">
        <v>87</v>
      </c>
      <c r="V10893" s="16" t="str">
        <f>IFERROR(__xludf.DUMMYFUNCTION("""COMPUTED_VALUE"""),"")</f>
        <v/>
      </c>
      <c r="W10893" s="16" t="str">
        <f>IFERROR(__xludf.DUMMYFUNCTION("""COMPUTED_VALUE"""),"")</f>
        <v/>
      </c>
      <c r="X10893" s="16" t="str">
        <f>IFERROR(__xludf.DUMMYFUNCTION("""COMPUTED_VALUE"""),"")</f>
        <v/>
      </c>
      <c r="AC10893" s="16" t="str">
        <f>IFERROR(__xludf.DUMMYFUNCTION("""COMPUTED_VALUE"""),"")</f>
        <v/>
      </c>
    </row>
    <row r="10894">
      <c r="A10894" s="16" t="s">
        <v>87</v>
      </c>
      <c r="E10894" s="16" t="str">
        <f>IFERROR(__xludf.DUMMYFUNCTION("""COMPUTED_VALUE"""),"")</f>
        <v/>
      </c>
      <c r="G10894" s="18"/>
      <c r="H10894" s="16" t="s">
        <v>87</v>
      </c>
      <c r="I10894" s="16" t="s">
        <v>87</v>
      </c>
      <c r="J10894" s="19"/>
      <c r="L10894" s="16" t="str">
        <f>IFERROR(__xludf.DUMMYFUNCTION("""COMPUTED_VALUE"""),"")</f>
        <v/>
      </c>
      <c r="M10894" s="16" t="str">
        <f>IFERROR(__xludf.DUMMYFUNCTION("""COMPUTED_VALUE"""),"")</f>
        <v/>
      </c>
      <c r="U10894" s="16" t="s">
        <v>87</v>
      </c>
      <c r="V10894" s="16" t="str">
        <f>IFERROR(__xludf.DUMMYFUNCTION("""COMPUTED_VALUE"""),"")</f>
        <v/>
      </c>
      <c r="W10894" s="16" t="str">
        <f>IFERROR(__xludf.DUMMYFUNCTION("""COMPUTED_VALUE"""),"")</f>
        <v/>
      </c>
      <c r="X10894" s="16" t="str">
        <f>IFERROR(__xludf.DUMMYFUNCTION("""COMPUTED_VALUE"""),"")</f>
        <v/>
      </c>
      <c r="AC10894" s="16" t="str">
        <f>IFERROR(__xludf.DUMMYFUNCTION("""COMPUTED_VALUE"""),"")</f>
        <v/>
      </c>
    </row>
    <row r="10895">
      <c r="A10895" s="16" t="s">
        <v>87</v>
      </c>
      <c r="E10895" s="16" t="str">
        <f>IFERROR(__xludf.DUMMYFUNCTION("""COMPUTED_VALUE"""),"")</f>
        <v/>
      </c>
      <c r="G10895" s="18"/>
      <c r="H10895" s="16" t="s">
        <v>87</v>
      </c>
      <c r="I10895" s="16" t="s">
        <v>87</v>
      </c>
      <c r="J10895" s="19"/>
      <c r="L10895" s="16" t="str">
        <f>IFERROR(__xludf.DUMMYFUNCTION("""COMPUTED_VALUE"""),"")</f>
        <v/>
      </c>
      <c r="M10895" s="16" t="str">
        <f>IFERROR(__xludf.DUMMYFUNCTION("""COMPUTED_VALUE"""),"")</f>
        <v/>
      </c>
      <c r="U10895" s="16" t="s">
        <v>87</v>
      </c>
      <c r="V10895" s="16" t="str">
        <f>IFERROR(__xludf.DUMMYFUNCTION("""COMPUTED_VALUE"""),"")</f>
        <v/>
      </c>
      <c r="W10895" s="16" t="str">
        <f>IFERROR(__xludf.DUMMYFUNCTION("""COMPUTED_VALUE"""),"")</f>
        <v/>
      </c>
      <c r="X10895" s="16" t="str">
        <f>IFERROR(__xludf.DUMMYFUNCTION("""COMPUTED_VALUE"""),"")</f>
        <v/>
      </c>
      <c r="AC10895" s="16" t="str">
        <f>IFERROR(__xludf.DUMMYFUNCTION("""COMPUTED_VALUE"""),"")</f>
        <v/>
      </c>
    </row>
    <row r="10896">
      <c r="A10896" s="16" t="s">
        <v>87</v>
      </c>
      <c r="E10896" s="16" t="str">
        <f>IFERROR(__xludf.DUMMYFUNCTION("""COMPUTED_VALUE"""),"")</f>
        <v/>
      </c>
      <c r="G10896" s="18"/>
      <c r="H10896" s="16" t="s">
        <v>87</v>
      </c>
      <c r="I10896" s="16" t="s">
        <v>87</v>
      </c>
      <c r="J10896" s="19"/>
      <c r="L10896" s="16" t="str">
        <f>IFERROR(__xludf.DUMMYFUNCTION("""COMPUTED_VALUE"""),"")</f>
        <v/>
      </c>
      <c r="M10896" s="16" t="str">
        <f>IFERROR(__xludf.DUMMYFUNCTION("""COMPUTED_VALUE"""),"")</f>
        <v/>
      </c>
      <c r="U10896" s="16" t="s">
        <v>87</v>
      </c>
      <c r="V10896" s="16" t="str">
        <f>IFERROR(__xludf.DUMMYFUNCTION("""COMPUTED_VALUE"""),"")</f>
        <v/>
      </c>
      <c r="W10896" s="16" t="str">
        <f>IFERROR(__xludf.DUMMYFUNCTION("""COMPUTED_VALUE"""),"")</f>
        <v/>
      </c>
      <c r="X10896" s="16" t="str">
        <f>IFERROR(__xludf.DUMMYFUNCTION("""COMPUTED_VALUE"""),"")</f>
        <v/>
      </c>
      <c r="AC10896" s="16" t="str">
        <f>IFERROR(__xludf.DUMMYFUNCTION("""COMPUTED_VALUE"""),"")</f>
        <v/>
      </c>
    </row>
    <row r="10897">
      <c r="A10897" s="16" t="s">
        <v>87</v>
      </c>
      <c r="E10897" s="16" t="str">
        <f>IFERROR(__xludf.DUMMYFUNCTION("""COMPUTED_VALUE"""),"")</f>
        <v/>
      </c>
      <c r="G10897" s="18"/>
      <c r="H10897" s="16" t="s">
        <v>87</v>
      </c>
      <c r="I10897" s="16" t="s">
        <v>87</v>
      </c>
      <c r="J10897" s="19"/>
      <c r="L10897" s="16" t="str">
        <f>IFERROR(__xludf.DUMMYFUNCTION("""COMPUTED_VALUE"""),"")</f>
        <v/>
      </c>
      <c r="M10897" s="16" t="str">
        <f>IFERROR(__xludf.DUMMYFUNCTION("""COMPUTED_VALUE"""),"")</f>
        <v/>
      </c>
      <c r="U10897" s="16" t="s">
        <v>87</v>
      </c>
      <c r="V10897" s="16" t="str">
        <f>IFERROR(__xludf.DUMMYFUNCTION("""COMPUTED_VALUE"""),"")</f>
        <v/>
      </c>
      <c r="W10897" s="16" t="str">
        <f>IFERROR(__xludf.DUMMYFUNCTION("""COMPUTED_VALUE"""),"")</f>
        <v/>
      </c>
      <c r="X10897" s="16" t="str">
        <f>IFERROR(__xludf.DUMMYFUNCTION("""COMPUTED_VALUE"""),"")</f>
        <v/>
      </c>
      <c r="AC10897" s="16" t="str">
        <f>IFERROR(__xludf.DUMMYFUNCTION("""COMPUTED_VALUE"""),"")</f>
        <v/>
      </c>
    </row>
    <row r="10898">
      <c r="A10898" s="16" t="s">
        <v>87</v>
      </c>
      <c r="E10898" s="16" t="str">
        <f>IFERROR(__xludf.DUMMYFUNCTION("""COMPUTED_VALUE"""),"")</f>
        <v/>
      </c>
      <c r="G10898" s="18"/>
      <c r="H10898" s="16" t="s">
        <v>87</v>
      </c>
      <c r="I10898" s="16" t="s">
        <v>87</v>
      </c>
      <c r="J10898" s="19"/>
      <c r="L10898" s="16" t="str">
        <f>IFERROR(__xludf.DUMMYFUNCTION("""COMPUTED_VALUE"""),"")</f>
        <v/>
      </c>
      <c r="M10898" s="16" t="str">
        <f>IFERROR(__xludf.DUMMYFUNCTION("""COMPUTED_VALUE"""),"")</f>
        <v/>
      </c>
      <c r="U10898" s="16" t="s">
        <v>87</v>
      </c>
      <c r="V10898" s="16" t="str">
        <f>IFERROR(__xludf.DUMMYFUNCTION("""COMPUTED_VALUE"""),"")</f>
        <v/>
      </c>
      <c r="W10898" s="16" t="str">
        <f>IFERROR(__xludf.DUMMYFUNCTION("""COMPUTED_VALUE"""),"")</f>
        <v/>
      </c>
      <c r="X10898" s="16" t="str">
        <f>IFERROR(__xludf.DUMMYFUNCTION("""COMPUTED_VALUE"""),"")</f>
        <v/>
      </c>
      <c r="AC10898" s="16" t="str">
        <f>IFERROR(__xludf.DUMMYFUNCTION("""COMPUTED_VALUE"""),"")</f>
        <v/>
      </c>
    </row>
    <row r="10899">
      <c r="A10899" s="16" t="s">
        <v>87</v>
      </c>
      <c r="E10899" s="16" t="str">
        <f>IFERROR(__xludf.DUMMYFUNCTION("""COMPUTED_VALUE"""),"")</f>
        <v/>
      </c>
      <c r="G10899" s="18"/>
      <c r="H10899" s="16" t="s">
        <v>87</v>
      </c>
      <c r="I10899" s="16" t="s">
        <v>87</v>
      </c>
      <c r="J10899" s="19"/>
      <c r="L10899" s="16" t="str">
        <f>IFERROR(__xludf.DUMMYFUNCTION("""COMPUTED_VALUE"""),"")</f>
        <v/>
      </c>
      <c r="M10899" s="16" t="str">
        <f>IFERROR(__xludf.DUMMYFUNCTION("""COMPUTED_VALUE"""),"")</f>
        <v/>
      </c>
      <c r="U10899" s="16" t="s">
        <v>87</v>
      </c>
      <c r="V10899" s="16" t="str">
        <f>IFERROR(__xludf.DUMMYFUNCTION("""COMPUTED_VALUE"""),"")</f>
        <v/>
      </c>
      <c r="W10899" s="16" t="str">
        <f>IFERROR(__xludf.DUMMYFUNCTION("""COMPUTED_VALUE"""),"")</f>
        <v/>
      </c>
      <c r="X10899" s="16" t="str">
        <f>IFERROR(__xludf.DUMMYFUNCTION("""COMPUTED_VALUE"""),"")</f>
        <v/>
      </c>
      <c r="AC10899" s="16" t="str">
        <f>IFERROR(__xludf.DUMMYFUNCTION("""COMPUTED_VALUE"""),"")</f>
        <v/>
      </c>
    </row>
    <row r="10900">
      <c r="A10900" s="16" t="s">
        <v>87</v>
      </c>
      <c r="E10900" s="16" t="str">
        <f>IFERROR(__xludf.DUMMYFUNCTION("""COMPUTED_VALUE"""),"")</f>
        <v/>
      </c>
      <c r="G10900" s="18"/>
      <c r="H10900" s="16" t="s">
        <v>87</v>
      </c>
      <c r="I10900" s="16" t="s">
        <v>87</v>
      </c>
      <c r="J10900" s="19"/>
      <c r="L10900" s="16" t="str">
        <f>IFERROR(__xludf.DUMMYFUNCTION("""COMPUTED_VALUE"""),"")</f>
        <v/>
      </c>
      <c r="M10900" s="16" t="str">
        <f>IFERROR(__xludf.DUMMYFUNCTION("""COMPUTED_VALUE"""),"")</f>
        <v/>
      </c>
      <c r="U10900" s="16" t="s">
        <v>87</v>
      </c>
      <c r="V10900" s="16" t="str">
        <f>IFERROR(__xludf.DUMMYFUNCTION("""COMPUTED_VALUE"""),"")</f>
        <v/>
      </c>
      <c r="W10900" s="16" t="str">
        <f>IFERROR(__xludf.DUMMYFUNCTION("""COMPUTED_VALUE"""),"")</f>
        <v/>
      </c>
      <c r="X10900" s="16" t="str">
        <f>IFERROR(__xludf.DUMMYFUNCTION("""COMPUTED_VALUE"""),"")</f>
        <v/>
      </c>
      <c r="AC10900" s="16" t="str">
        <f>IFERROR(__xludf.DUMMYFUNCTION("""COMPUTED_VALUE"""),"")</f>
        <v/>
      </c>
    </row>
    <row r="10901">
      <c r="A10901" s="16" t="s">
        <v>87</v>
      </c>
      <c r="E10901" s="16" t="str">
        <f>IFERROR(__xludf.DUMMYFUNCTION("""COMPUTED_VALUE"""),"")</f>
        <v/>
      </c>
      <c r="G10901" s="18"/>
      <c r="H10901" s="16" t="s">
        <v>87</v>
      </c>
      <c r="I10901" s="16" t="s">
        <v>87</v>
      </c>
      <c r="J10901" s="19"/>
      <c r="L10901" s="16" t="str">
        <f>IFERROR(__xludf.DUMMYFUNCTION("""COMPUTED_VALUE"""),"")</f>
        <v/>
      </c>
      <c r="M10901" s="16" t="str">
        <f>IFERROR(__xludf.DUMMYFUNCTION("""COMPUTED_VALUE"""),"")</f>
        <v/>
      </c>
      <c r="U10901" s="16" t="s">
        <v>87</v>
      </c>
      <c r="V10901" s="16" t="str">
        <f>IFERROR(__xludf.DUMMYFUNCTION("""COMPUTED_VALUE"""),"")</f>
        <v/>
      </c>
      <c r="W10901" s="16" t="str">
        <f>IFERROR(__xludf.DUMMYFUNCTION("""COMPUTED_VALUE"""),"")</f>
        <v/>
      </c>
      <c r="X10901" s="16" t="str">
        <f>IFERROR(__xludf.DUMMYFUNCTION("""COMPUTED_VALUE"""),"")</f>
        <v/>
      </c>
      <c r="AC10901" s="16" t="str">
        <f>IFERROR(__xludf.DUMMYFUNCTION("""COMPUTED_VALUE"""),"")</f>
        <v/>
      </c>
    </row>
    <row r="10902">
      <c r="A10902" s="16" t="s">
        <v>87</v>
      </c>
      <c r="E10902" s="16" t="str">
        <f>IFERROR(__xludf.DUMMYFUNCTION("""COMPUTED_VALUE"""),"")</f>
        <v/>
      </c>
      <c r="G10902" s="18"/>
      <c r="H10902" s="16" t="s">
        <v>87</v>
      </c>
      <c r="I10902" s="16" t="s">
        <v>87</v>
      </c>
      <c r="J10902" s="19"/>
      <c r="L10902" s="16" t="str">
        <f>IFERROR(__xludf.DUMMYFUNCTION("""COMPUTED_VALUE"""),"")</f>
        <v/>
      </c>
      <c r="M10902" s="16" t="str">
        <f>IFERROR(__xludf.DUMMYFUNCTION("""COMPUTED_VALUE"""),"")</f>
        <v/>
      </c>
      <c r="U10902" s="16" t="s">
        <v>87</v>
      </c>
      <c r="V10902" s="16" t="str">
        <f>IFERROR(__xludf.DUMMYFUNCTION("""COMPUTED_VALUE"""),"")</f>
        <v/>
      </c>
      <c r="W10902" s="16" t="str">
        <f>IFERROR(__xludf.DUMMYFUNCTION("""COMPUTED_VALUE"""),"")</f>
        <v/>
      </c>
      <c r="X10902" s="16" t="str">
        <f>IFERROR(__xludf.DUMMYFUNCTION("""COMPUTED_VALUE"""),"")</f>
        <v/>
      </c>
      <c r="AC10902" s="16" t="str">
        <f>IFERROR(__xludf.DUMMYFUNCTION("""COMPUTED_VALUE"""),"")</f>
        <v/>
      </c>
    </row>
    <row r="10903">
      <c r="A10903" s="16" t="s">
        <v>87</v>
      </c>
      <c r="E10903" s="16" t="str">
        <f>IFERROR(__xludf.DUMMYFUNCTION("""COMPUTED_VALUE"""),"")</f>
        <v/>
      </c>
      <c r="G10903" s="18"/>
      <c r="H10903" s="16" t="s">
        <v>87</v>
      </c>
      <c r="I10903" s="16" t="s">
        <v>87</v>
      </c>
      <c r="J10903" s="19"/>
      <c r="L10903" s="16" t="str">
        <f>IFERROR(__xludf.DUMMYFUNCTION("""COMPUTED_VALUE"""),"")</f>
        <v/>
      </c>
      <c r="M10903" s="16" t="str">
        <f>IFERROR(__xludf.DUMMYFUNCTION("""COMPUTED_VALUE"""),"")</f>
        <v/>
      </c>
      <c r="U10903" s="16" t="s">
        <v>87</v>
      </c>
      <c r="V10903" s="16" t="str">
        <f>IFERROR(__xludf.DUMMYFUNCTION("""COMPUTED_VALUE"""),"")</f>
        <v/>
      </c>
      <c r="W10903" s="16" t="str">
        <f>IFERROR(__xludf.DUMMYFUNCTION("""COMPUTED_VALUE"""),"")</f>
        <v/>
      </c>
      <c r="X10903" s="16" t="str">
        <f>IFERROR(__xludf.DUMMYFUNCTION("""COMPUTED_VALUE"""),"")</f>
        <v/>
      </c>
      <c r="AC10903" s="16" t="str">
        <f>IFERROR(__xludf.DUMMYFUNCTION("""COMPUTED_VALUE"""),"")</f>
        <v/>
      </c>
    </row>
    <row r="10904">
      <c r="A10904" s="16" t="s">
        <v>87</v>
      </c>
      <c r="E10904" s="16" t="str">
        <f>IFERROR(__xludf.DUMMYFUNCTION("""COMPUTED_VALUE"""),"")</f>
        <v/>
      </c>
      <c r="G10904" s="18"/>
      <c r="H10904" s="16" t="s">
        <v>87</v>
      </c>
      <c r="I10904" s="16" t="s">
        <v>87</v>
      </c>
      <c r="J10904" s="19"/>
      <c r="L10904" s="16" t="str">
        <f>IFERROR(__xludf.DUMMYFUNCTION("""COMPUTED_VALUE"""),"")</f>
        <v/>
      </c>
      <c r="M10904" s="16" t="str">
        <f>IFERROR(__xludf.DUMMYFUNCTION("""COMPUTED_VALUE"""),"")</f>
        <v/>
      </c>
      <c r="U10904" s="16" t="s">
        <v>87</v>
      </c>
      <c r="V10904" s="16" t="str">
        <f>IFERROR(__xludf.DUMMYFUNCTION("""COMPUTED_VALUE"""),"")</f>
        <v/>
      </c>
      <c r="W10904" s="16" t="str">
        <f>IFERROR(__xludf.DUMMYFUNCTION("""COMPUTED_VALUE"""),"")</f>
        <v/>
      </c>
      <c r="X10904" s="16" t="str">
        <f>IFERROR(__xludf.DUMMYFUNCTION("""COMPUTED_VALUE"""),"")</f>
        <v/>
      </c>
      <c r="AC10904" s="16" t="str">
        <f>IFERROR(__xludf.DUMMYFUNCTION("""COMPUTED_VALUE"""),"")</f>
        <v/>
      </c>
    </row>
    <row r="10905">
      <c r="A10905" s="16" t="s">
        <v>87</v>
      </c>
      <c r="E10905" s="16" t="str">
        <f>IFERROR(__xludf.DUMMYFUNCTION("""COMPUTED_VALUE"""),"")</f>
        <v/>
      </c>
      <c r="G10905" s="18"/>
      <c r="H10905" s="16" t="s">
        <v>87</v>
      </c>
      <c r="I10905" s="16" t="s">
        <v>87</v>
      </c>
      <c r="J10905" s="19"/>
      <c r="L10905" s="16" t="str">
        <f>IFERROR(__xludf.DUMMYFUNCTION("""COMPUTED_VALUE"""),"")</f>
        <v/>
      </c>
      <c r="M10905" s="16" t="str">
        <f>IFERROR(__xludf.DUMMYFUNCTION("""COMPUTED_VALUE"""),"")</f>
        <v/>
      </c>
      <c r="U10905" s="16" t="s">
        <v>87</v>
      </c>
      <c r="V10905" s="16" t="str">
        <f>IFERROR(__xludf.DUMMYFUNCTION("""COMPUTED_VALUE"""),"")</f>
        <v/>
      </c>
      <c r="W10905" s="16" t="str">
        <f>IFERROR(__xludf.DUMMYFUNCTION("""COMPUTED_VALUE"""),"")</f>
        <v/>
      </c>
      <c r="X10905" s="16" t="str">
        <f>IFERROR(__xludf.DUMMYFUNCTION("""COMPUTED_VALUE"""),"")</f>
        <v/>
      </c>
      <c r="AC10905" s="16" t="str">
        <f>IFERROR(__xludf.DUMMYFUNCTION("""COMPUTED_VALUE"""),"")</f>
        <v/>
      </c>
    </row>
    <row r="10906">
      <c r="A10906" s="16" t="s">
        <v>87</v>
      </c>
      <c r="E10906" s="16" t="str">
        <f>IFERROR(__xludf.DUMMYFUNCTION("""COMPUTED_VALUE"""),"")</f>
        <v/>
      </c>
      <c r="G10906" s="18"/>
      <c r="H10906" s="16" t="s">
        <v>87</v>
      </c>
      <c r="I10906" s="16" t="s">
        <v>87</v>
      </c>
      <c r="J10906" s="19"/>
      <c r="L10906" s="16" t="str">
        <f>IFERROR(__xludf.DUMMYFUNCTION("""COMPUTED_VALUE"""),"")</f>
        <v/>
      </c>
      <c r="M10906" s="16" t="str">
        <f>IFERROR(__xludf.DUMMYFUNCTION("""COMPUTED_VALUE"""),"")</f>
        <v/>
      </c>
      <c r="U10906" s="16" t="s">
        <v>87</v>
      </c>
      <c r="V10906" s="16" t="str">
        <f>IFERROR(__xludf.DUMMYFUNCTION("""COMPUTED_VALUE"""),"")</f>
        <v/>
      </c>
      <c r="W10906" s="16" t="str">
        <f>IFERROR(__xludf.DUMMYFUNCTION("""COMPUTED_VALUE"""),"")</f>
        <v/>
      </c>
      <c r="X10906" s="16" t="str">
        <f>IFERROR(__xludf.DUMMYFUNCTION("""COMPUTED_VALUE"""),"")</f>
        <v/>
      </c>
      <c r="AC10906" s="16" t="str">
        <f>IFERROR(__xludf.DUMMYFUNCTION("""COMPUTED_VALUE"""),"")</f>
        <v/>
      </c>
    </row>
    <row r="10907">
      <c r="A10907" s="16" t="s">
        <v>87</v>
      </c>
      <c r="E10907" s="16" t="str">
        <f>IFERROR(__xludf.DUMMYFUNCTION("""COMPUTED_VALUE"""),"")</f>
        <v/>
      </c>
      <c r="G10907" s="18"/>
      <c r="H10907" s="16" t="s">
        <v>87</v>
      </c>
      <c r="I10907" s="16" t="s">
        <v>87</v>
      </c>
      <c r="J10907" s="19"/>
      <c r="L10907" s="16" t="str">
        <f>IFERROR(__xludf.DUMMYFUNCTION("""COMPUTED_VALUE"""),"")</f>
        <v/>
      </c>
      <c r="M10907" s="16" t="str">
        <f>IFERROR(__xludf.DUMMYFUNCTION("""COMPUTED_VALUE"""),"")</f>
        <v/>
      </c>
      <c r="U10907" s="16" t="s">
        <v>87</v>
      </c>
      <c r="V10907" s="16" t="str">
        <f>IFERROR(__xludf.DUMMYFUNCTION("""COMPUTED_VALUE"""),"")</f>
        <v/>
      </c>
      <c r="W10907" s="16" t="str">
        <f>IFERROR(__xludf.DUMMYFUNCTION("""COMPUTED_VALUE"""),"")</f>
        <v/>
      </c>
      <c r="X10907" s="16" t="str">
        <f>IFERROR(__xludf.DUMMYFUNCTION("""COMPUTED_VALUE"""),"")</f>
        <v/>
      </c>
      <c r="AC10907" s="16" t="str">
        <f>IFERROR(__xludf.DUMMYFUNCTION("""COMPUTED_VALUE"""),"")</f>
        <v/>
      </c>
    </row>
    <row r="10908">
      <c r="A10908" s="16" t="s">
        <v>87</v>
      </c>
      <c r="E10908" s="16" t="str">
        <f>IFERROR(__xludf.DUMMYFUNCTION("""COMPUTED_VALUE"""),"")</f>
        <v/>
      </c>
      <c r="G10908" s="18"/>
      <c r="H10908" s="16" t="s">
        <v>87</v>
      </c>
      <c r="I10908" s="16" t="s">
        <v>87</v>
      </c>
      <c r="J10908" s="19"/>
      <c r="L10908" s="16" t="str">
        <f>IFERROR(__xludf.DUMMYFUNCTION("""COMPUTED_VALUE"""),"")</f>
        <v/>
      </c>
      <c r="M10908" s="16" t="str">
        <f>IFERROR(__xludf.DUMMYFUNCTION("""COMPUTED_VALUE"""),"")</f>
        <v/>
      </c>
      <c r="U10908" s="16" t="s">
        <v>87</v>
      </c>
      <c r="V10908" s="16" t="str">
        <f>IFERROR(__xludf.DUMMYFUNCTION("""COMPUTED_VALUE"""),"")</f>
        <v/>
      </c>
      <c r="W10908" s="16" t="str">
        <f>IFERROR(__xludf.DUMMYFUNCTION("""COMPUTED_VALUE"""),"")</f>
        <v/>
      </c>
      <c r="X10908" s="16" t="str">
        <f>IFERROR(__xludf.DUMMYFUNCTION("""COMPUTED_VALUE"""),"")</f>
        <v/>
      </c>
      <c r="AC10908" s="16" t="str">
        <f>IFERROR(__xludf.DUMMYFUNCTION("""COMPUTED_VALUE"""),"")</f>
        <v/>
      </c>
    </row>
    <row r="10909">
      <c r="A10909" s="16" t="s">
        <v>87</v>
      </c>
      <c r="E10909" s="16" t="str">
        <f>IFERROR(__xludf.DUMMYFUNCTION("""COMPUTED_VALUE"""),"")</f>
        <v/>
      </c>
      <c r="G10909" s="18"/>
      <c r="H10909" s="16" t="s">
        <v>87</v>
      </c>
      <c r="I10909" s="16" t="s">
        <v>87</v>
      </c>
      <c r="J10909" s="19"/>
      <c r="L10909" s="16" t="str">
        <f>IFERROR(__xludf.DUMMYFUNCTION("""COMPUTED_VALUE"""),"")</f>
        <v/>
      </c>
      <c r="M10909" s="16" t="str">
        <f>IFERROR(__xludf.DUMMYFUNCTION("""COMPUTED_VALUE"""),"")</f>
        <v/>
      </c>
      <c r="U10909" s="16" t="s">
        <v>87</v>
      </c>
      <c r="V10909" s="16" t="str">
        <f>IFERROR(__xludf.DUMMYFUNCTION("""COMPUTED_VALUE"""),"")</f>
        <v/>
      </c>
      <c r="W10909" s="16" t="str">
        <f>IFERROR(__xludf.DUMMYFUNCTION("""COMPUTED_VALUE"""),"")</f>
        <v/>
      </c>
      <c r="X10909" s="16" t="str">
        <f>IFERROR(__xludf.DUMMYFUNCTION("""COMPUTED_VALUE"""),"")</f>
        <v/>
      </c>
      <c r="AC10909" s="16" t="str">
        <f>IFERROR(__xludf.DUMMYFUNCTION("""COMPUTED_VALUE"""),"")</f>
        <v/>
      </c>
    </row>
    <row r="10910">
      <c r="A10910" s="16" t="s">
        <v>87</v>
      </c>
      <c r="E10910" s="16" t="str">
        <f>IFERROR(__xludf.DUMMYFUNCTION("""COMPUTED_VALUE"""),"")</f>
        <v/>
      </c>
      <c r="G10910" s="18"/>
      <c r="H10910" s="16" t="s">
        <v>87</v>
      </c>
      <c r="I10910" s="16" t="s">
        <v>87</v>
      </c>
      <c r="J10910" s="19"/>
      <c r="L10910" s="16" t="str">
        <f>IFERROR(__xludf.DUMMYFUNCTION("""COMPUTED_VALUE"""),"")</f>
        <v/>
      </c>
      <c r="M10910" s="16" t="str">
        <f>IFERROR(__xludf.DUMMYFUNCTION("""COMPUTED_VALUE"""),"")</f>
        <v/>
      </c>
      <c r="U10910" s="16" t="s">
        <v>87</v>
      </c>
      <c r="V10910" s="16" t="str">
        <f>IFERROR(__xludf.DUMMYFUNCTION("""COMPUTED_VALUE"""),"")</f>
        <v/>
      </c>
      <c r="W10910" s="16" t="str">
        <f>IFERROR(__xludf.DUMMYFUNCTION("""COMPUTED_VALUE"""),"")</f>
        <v/>
      </c>
      <c r="X10910" s="16" t="str">
        <f>IFERROR(__xludf.DUMMYFUNCTION("""COMPUTED_VALUE"""),"")</f>
        <v/>
      </c>
      <c r="AC10910" s="16" t="str">
        <f>IFERROR(__xludf.DUMMYFUNCTION("""COMPUTED_VALUE"""),"")</f>
        <v/>
      </c>
    </row>
    <row r="10911">
      <c r="A10911" s="16" t="s">
        <v>87</v>
      </c>
      <c r="E10911" s="16" t="str">
        <f>IFERROR(__xludf.DUMMYFUNCTION("""COMPUTED_VALUE"""),"")</f>
        <v/>
      </c>
      <c r="G10911" s="18"/>
      <c r="H10911" s="16" t="s">
        <v>87</v>
      </c>
      <c r="I10911" s="16" t="s">
        <v>87</v>
      </c>
      <c r="J10911" s="19"/>
      <c r="L10911" s="16" t="str">
        <f>IFERROR(__xludf.DUMMYFUNCTION("""COMPUTED_VALUE"""),"")</f>
        <v/>
      </c>
      <c r="M10911" s="16" t="str">
        <f>IFERROR(__xludf.DUMMYFUNCTION("""COMPUTED_VALUE"""),"")</f>
        <v/>
      </c>
      <c r="U10911" s="16" t="s">
        <v>87</v>
      </c>
      <c r="V10911" s="16" t="str">
        <f>IFERROR(__xludf.DUMMYFUNCTION("""COMPUTED_VALUE"""),"")</f>
        <v/>
      </c>
      <c r="W10911" s="16" t="str">
        <f>IFERROR(__xludf.DUMMYFUNCTION("""COMPUTED_VALUE"""),"")</f>
        <v/>
      </c>
      <c r="X10911" s="16" t="str">
        <f>IFERROR(__xludf.DUMMYFUNCTION("""COMPUTED_VALUE"""),"")</f>
        <v/>
      </c>
      <c r="AC10911" s="16" t="str">
        <f>IFERROR(__xludf.DUMMYFUNCTION("""COMPUTED_VALUE"""),"")</f>
        <v/>
      </c>
    </row>
    <row r="10912">
      <c r="A10912" s="16" t="s">
        <v>87</v>
      </c>
      <c r="E10912" s="16" t="str">
        <f>IFERROR(__xludf.DUMMYFUNCTION("""COMPUTED_VALUE"""),"")</f>
        <v/>
      </c>
      <c r="G10912" s="18"/>
      <c r="H10912" s="16" t="s">
        <v>87</v>
      </c>
      <c r="I10912" s="16" t="s">
        <v>87</v>
      </c>
      <c r="J10912" s="19"/>
      <c r="L10912" s="16" t="str">
        <f>IFERROR(__xludf.DUMMYFUNCTION("""COMPUTED_VALUE"""),"")</f>
        <v/>
      </c>
      <c r="M10912" s="16" t="str">
        <f>IFERROR(__xludf.DUMMYFUNCTION("""COMPUTED_VALUE"""),"")</f>
        <v/>
      </c>
      <c r="U10912" s="16" t="s">
        <v>87</v>
      </c>
      <c r="V10912" s="16" t="str">
        <f>IFERROR(__xludf.DUMMYFUNCTION("""COMPUTED_VALUE"""),"")</f>
        <v/>
      </c>
      <c r="W10912" s="16" t="str">
        <f>IFERROR(__xludf.DUMMYFUNCTION("""COMPUTED_VALUE"""),"")</f>
        <v/>
      </c>
      <c r="X10912" s="16" t="str">
        <f>IFERROR(__xludf.DUMMYFUNCTION("""COMPUTED_VALUE"""),"")</f>
        <v/>
      </c>
      <c r="AC10912" s="16" t="str">
        <f>IFERROR(__xludf.DUMMYFUNCTION("""COMPUTED_VALUE"""),"")</f>
        <v/>
      </c>
    </row>
    <row r="10913">
      <c r="A10913" s="16" t="s">
        <v>87</v>
      </c>
      <c r="E10913" s="16" t="str">
        <f>IFERROR(__xludf.DUMMYFUNCTION("""COMPUTED_VALUE"""),"")</f>
        <v/>
      </c>
      <c r="G10913" s="18"/>
      <c r="H10913" s="16" t="s">
        <v>87</v>
      </c>
      <c r="I10913" s="16" t="s">
        <v>87</v>
      </c>
      <c r="J10913" s="19"/>
      <c r="L10913" s="16" t="str">
        <f>IFERROR(__xludf.DUMMYFUNCTION("""COMPUTED_VALUE"""),"")</f>
        <v/>
      </c>
      <c r="M10913" s="16" t="str">
        <f>IFERROR(__xludf.DUMMYFUNCTION("""COMPUTED_VALUE"""),"")</f>
        <v/>
      </c>
      <c r="U10913" s="16" t="s">
        <v>87</v>
      </c>
      <c r="V10913" s="16" t="str">
        <f>IFERROR(__xludf.DUMMYFUNCTION("""COMPUTED_VALUE"""),"")</f>
        <v/>
      </c>
      <c r="W10913" s="16" t="str">
        <f>IFERROR(__xludf.DUMMYFUNCTION("""COMPUTED_VALUE"""),"")</f>
        <v/>
      </c>
      <c r="X10913" s="16" t="str">
        <f>IFERROR(__xludf.DUMMYFUNCTION("""COMPUTED_VALUE"""),"")</f>
        <v/>
      </c>
      <c r="AC10913" s="16" t="str">
        <f>IFERROR(__xludf.DUMMYFUNCTION("""COMPUTED_VALUE"""),"")</f>
        <v/>
      </c>
    </row>
    <row r="10914">
      <c r="A10914" s="16" t="s">
        <v>87</v>
      </c>
      <c r="E10914" s="16" t="str">
        <f>IFERROR(__xludf.DUMMYFUNCTION("""COMPUTED_VALUE"""),"")</f>
        <v/>
      </c>
      <c r="G10914" s="18"/>
      <c r="H10914" s="16" t="s">
        <v>87</v>
      </c>
      <c r="I10914" s="16" t="s">
        <v>87</v>
      </c>
      <c r="J10914" s="19"/>
      <c r="L10914" s="16" t="str">
        <f>IFERROR(__xludf.DUMMYFUNCTION("""COMPUTED_VALUE"""),"")</f>
        <v/>
      </c>
      <c r="M10914" s="16" t="str">
        <f>IFERROR(__xludf.DUMMYFUNCTION("""COMPUTED_VALUE"""),"")</f>
        <v/>
      </c>
      <c r="U10914" s="16" t="s">
        <v>87</v>
      </c>
      <c r="V10914" s="16" t="str">
        <f>IFERROR(__xludf.DUMMYFUNCTION("""COMPUTED_VALUE"""),"")</f>
        <v/>
      </c>
      <c r="W10914" s="16" t="str">
        <f>IFERROR(__xludf.DUMMYFUNCTION("""COMPUTED_VALUE"""),"")</f>
        <v/>
      </c>
      <c r="X10914" s="16" t="str">
        <f>IFERROR(__xludf.DUMMYFUNCTION("""COMPUTED_VALUE"""),"")</f>
        <v/>
      </c>
      <c r="AC10914" s="16" t="str">
        <f>IFERROR(__xludf.DUMMYFUNCTION("""COMPUTED_VALUE"""),"")</f>
        <v/>
      </c>
    </row>
    <row r="10915">
      <c r="A10915" s="16" t="s">
        <v>87</v>
      </c>
      <c r="E10915" s="16" t="str">
        <f>IFERROR(__xludf.DUMMYFUNCTION("""COMPUTED_VALUE"""),"")</f>
        <v/>
      </c>
      <c r="G10915" s="18"/>
      <c r="H10915" s="16" t="s">
        <v>87</v>
      </c>
      <c r="I10915" s="16" t="s">
        <v>87</v>
      </c>
      <c r="J10915" s="19"/>
      <c r="L10915" s="16" t="str">
        <f>IFERROR(__xludf.DUMMYFUNCTION("""COMPUTED_VALUE"""),"")</f>
        <v/>
      </c>
      <c r="M10915" s="16" t="str">
        <f>IFERROR(__xludf.DUMMYFUNCTION("""COMPUTED_VALUE"""),"")</f>
        <v/>
      </c>
      <c r="U10915" s="16" t="s">
        <v>87</v>
      </c>
      <c r="V10915" s="16" t="str">
        <f>IFERROR(__xludf.DUMMYFUNCTION("""COMPUTED_VALUE"""),"")</f>
        <v/>
      </c>
      <c r="W10915" s="16" t="str">
        <f>IFERROR(__xludf.DUMMYFUNCTION("""COMPUTED_VALUE"""),"")</f>
        <v/>
      </c>
      <c r="X10915" s="16" t="str">
        <f>IFERROR(__xludf.DUMMYFUNCTION("""COMPUTED_VALUE"""),"")</f>
        <v/>
      </c>
      <c r="AC10915" s="16" t="str">
        <f>IFERROR(__xludf.DUMMYFUNCTION("""COMPUTED_VALUE"""),"")</f>
        <v/>
      </c>
    </row>
    <row r="10916">
      <c r="A10916" s="16" t="s">
        <v>87</v>
      </c>
      <c r="E10916" s="16" t="str">
        <f>IFERROR(__xludf.DUMMYFUNCTION("""COMPUTED_VALUE"""),"")</f>
        <v/>
      </c>
      <c r="G10916" s="18"/>
      <c r="H10916" s="16" t="s">
        <v>87</v>
      </c>
      <c r="I10916" s="16" t="s">
        <v>87</v>
      </c>
      <c r="J10916" s="19"/>
      <c r="L10916" s="16" t="str">
        <f>IFERROR(__xludf.DUMMYFUNCTION("""COMPUTED_VALUE"""),"")</f>
        <v/>
      </c>
      <c r="M10916" s="16" t="str">
        <f>IFERROR(__xludf.DUMMYFUNCTION("""COMPUTED_VALUE"""),"")</f>
        <v/>
      </c>
      <c r="U10916" s="16" t="s">
        <v>87</v>
      </c>
      <c r="V10916" s="16" t="str">
        <f>IFERROR(__xludf.DUMMYFUNCTION("""COMPUTED_VALUE"""),"")</f>
        <v/>
      </c>
      <c r="W10916" s="16" t="str">
        <f>IFERROR(__xludf.DUMMYFUNCTION("""COMPUTED_VALUE"""),"")</f>
        <v/>
      </c>
      <c r="X10916" s="16" t="str">
        <f>IFERROR(__xludf.DUMMYFUNCTION("""COMPUTED_VALUE"""),"")</f>
        <v/>
      </c>
      <c r="AC10916" s="16" t="str">
        <f>IFERROR(__xludf.DUMMYFUNCTION("""COMPUTED_VALUE"""),"")</f>
        <v/>
      </c>
    </row>
    <row r="10917">
      <c r="A10917" s="16" t="s">
        <v>87</v>
      </c>
      <c r="E10917" s="16" t="str">
        <f>IFERROR(__xludf.DUMMYFUNCTION("""COMPUTED_VALUE"""),"")</f>
        <v/>
      </c>
      <c r="G10917" s="18"/>
      <c r="H10917" s="16" t="s">
        <v>87</v>
      </c>
      <c r="I10917" s="16" t="s">
        <v>87</v>
      </c>
      <c r="J10917" s="19"/>
      <c r="L10917" s="16" t="str">
        <f>IFERROR(__xludf.DUMMYFUNCTION("""COMPUTED_VALUE"""),"")</f>
        <v/>
      </c>
      <c r="M10917" s="16" t="str">
        <f>IFERROR(__xludf.DUMMYFUNCTION("""COMPUTED_VALUE"""),"")</f>
        <v/>
      </c>
      <c r="U10917" s="16" t="s">
        <v>87</v>
      </c>
      <c r="V10917" s="16" t="str">
        <f>IFERROR(__xludf.DUMMYFUNCTION("""COMPUTED_VALUE"""),"")</f>
        <v/>
      </c>
      <c r="W10917" s="16" t="str">
        <f>IFERROR(__xludf.DUMMYFUNCTION("""COMPUTED_VALUE"""),"")</f>
        <v/>
      </c>
      <c r="X10917" s="16" t="str">
        <f>IFERROR(__xludf.DUMMYFUNCTION("""COMPUTED_VALUE"""),"")</f>
        <v/>
      </c>
      <c r="AC10917" s="16" t="str">
        <f>IFERROR(__xludf.DUMMYFUNCTION("""COMPUTED_VALUE"""),"")</f>
        <v/>
      </c>
    </row>
    <row r="10918">
      <c r="A10918" s="16" t="s">
        <v>87</v>
      </c>
      <c r="E10918" s="16" t="str">
        <f>IFERROR(__xludf.DUMMYFUNCTION("""COMPUTED_VALUE"""),"")</f>
        <v/>
      </c>
      <c r="G10918" s="18"/>
      <c r="H10918" s="16" t="s">
        <v>87</v>
      </c>
      <c r="I10918" s="16" t="s">
        <v>87</v>
      </c>
      <c r="J10918" s="19"/>
      <c r="L10918" s="16" t="str">
        <f>IFERROR(__xludf.DUMMYFUNCTION("""COMPUTED_VALUE"""),"")</f>
        <v/>
      </c>
      <c r="M10918" s="16" t="str">
        <f>IFERROR(__xludf.DUMMYFUNCTION("""COMPUTED_VALUE"""),"")</f>
        <v/>
      </c>
      <c r="U10918" s="16" t="s">
        <v>87</v>
      </c>
      <c r="V10918" s="16" t="str">
        <f>IFERROR(__xludf.DUMMYFUNCTION("""COMPUTED_VALUE"""),"")</f>
        <v/>
      </c>
      <c r="W10918" s="16" t="str">
        <f>IFERROR(__xludf.DUMMYFUNCTION("""COMPUTED_VALUE"""),"")</f>
        <v/>
      </c>
      <c r="X10918" s="16" t="str">
        <f>IFERROR(__xludf.DUMMYFUNCTION("""COMPUTED_VALUE"""),"")</f>
        <v/>
      </c>
      <c r="AC10918" s="16" t="str">
        <f>IFERROR(__xludf.DUMMYFUNCTION("""COMPUTED_VALUE"""),"")</f>
        <v/>
      </c>
    </row>
    <row r="10919">
      <c r="A10919" s="16" t="s">
        <v>87</v>
      </c>
      <c r="E10919" s="16" t="str">
        <f>IFERROR(__xludf.DUMMYFUNCTION("""COMPUTED_VALUE"""),"")</f>
        <v/>
      </c>
      <c r="G10919" s="18"/>
      <c r="H10919" s="16" t="s">
        <v>87</v>
      </c>
      <c r="I10919" s="16" t="s">
        <v>87</v>
      </c>
      <c r="J10919" s="19"/>
      <c r="L10919" s="16" t="str">
        <f>IFERROR(__xludf.DUMMYFUNCTION("""COMPUTED_VALUE"""),"")</f>
        <v/>
      </c>
      <c r="M10919" s="16" t="str">
        <f>IFERROR(__xludf.DUMMYFUNCTION("""COMPUTED_VALUE"""),"")</f>
        <v/>
      </c>
      <c r="U10919" s="16" t="s">
        <v>87</v>
      </c>
      <c r="V10919" s="16" t="str">
        <f>IFERROR(__xludf.DUMMYFUNCTION("""COMPUTED_VALUE"""),"")</f>
        <v/>
      </c>
      <c r="W10919" s="16" t="str">
        <f>IFERROR(__xludf.DUMMYFUNCTION("""COMPUTED_VALUE"""),"")</f>
        <v/>
      </c>
      <c r="X10919" s="16" t="str">
        <f>IFERROR(__xludf.DUMMYFUNCTION("""COMPUTED_VALUE"""),"")</f>
        <v/>
      </c>
      <c r="AC10919" s="16" t="str">
        <f>IFERROR(__xludf.DUMMYFUNCTION("""COMPUTED_VALUE"""),"")</f>
        <v/>
      </c>
    </row>
    <row r="10920">
      <c r="A10920" s="16" t="s">
        <v>87</v>
      </c>
      <c r="E10920" s="16" t="str">
        <f>IFERROR(__xludf.DUMMYFUNCTION("""COMPUTED_VALUE"""),"")</f>
        <v/>
      </c>
      <c r="G10920" s="18"/>
      <c r="H10920" s="16" t="s">
        <v>87</v>
      </c>
      <c r="I10920" s="16" t="s">
        <v>87</v>
      </c>
      <c r="J10920" s="19"/>
      <c r="L10920" s="16" t="str">
        <f>IFERROR(__xludf.DUMMYFUNCTION("""COMPUTED_VALUE"""),"")</f>
        <v/>
      </c>
      <c r="M10920" s="16" t="str">
        <f>IFERROR(__xludf.DUMMYFUNCTION("""COMPUTED_VALUE"""),"")</f>
        <v/>
      </c>
      <c r="U10920" s="16" t="s">
        <v>87</v>
      </c>
      <c r="V10920" s="16" t="str">
        <f>IFERROR(__xludf.DUMMYFUNCTION("""COMPUTED_VALUE"""),"")</f>
        <v/>
      </c>
      <c r="W10920" s="16" t="str">
        <f>IFERROR(__xludf.DUMMYFUNCTION("""COMPUTED_VALUE"""),"")</f>
        <v/>
      </c>
      <c r="X10920" s="16" t="str">
        <f>IFERROR(__xludf.DUMMYFUNCTION("""COMPUTED_VALUE"""),"")</f>
        <v/>
      </c>
      <c r="AC10920" s="16" t="str">
        <f>IFERROR(__xludf.DUMMYFUNCTION("""COMPUTED_VALUE"""),"")</f>
        <v/>
      </c>
    </row>
    <row r="10921">
      <c r="A10921" s="16" t="s">
        <v>87</v>
      </c>
      <c r="E10921" s="16" t="str">
        <f>IFERROR(__xludf.DUMMYFUNCTION("""COMPUTED_VALUE"""),"")</f>
        <v/>
      </c>
      <c r="G10921" s="18"/>
      <c r="H10921" s="16" t="s">
        <v>87</v>
      </c>
      <c r="I10921" s="16" t="s">
        <v>87</v>
      </c>
      <c r="J10921" s="19"/>
      <c r="L10921" s="16" t="str">
        <f>IFERROR(__xludf.DUMMYFUNCTION("""COMPUTED_VALUE"""),"")</f>
        <v/>
      </c>
      <c r="M10921" s="16" t="str">
        <f>IFERROR(__xludf.DUMMYFUNCTION("""COMPUTED_VALUE"""),"")</f>
        <v/>
      </c>
      <c r="U10921" s="16" t="s">
        <v>87</v>
      </c>
      <c r="V10921" s="16" t="str">
        <f>IFERROR(__xludf.DUMMYFUNCTION("""COMPUTED_VALUE"""),"")</f>
        <v/>
      </c>
      <c r="W10921" s="16" t="str">
        <f>IFERROR(__xludf.DUMMYFUNCTION("""COMPUTED_VALUE"""),"")</f>
        <v/>
      </c>
      <c r="X10921" s="16" t="str">
        <f>IFERROR(__xludf.DUMMYFUNCTION("""COMPUTED_VALUE"""),"")</f>
        <v/>
      </c>
      <c r="AC10921" s="16" t="str">
        <f>IFERROR(__xludf.DUMMYFUNCTION("""COMPUTED_VALUE"""),"")</f>
        <v/>
      </c>
    </row>
    <row r="10922">
      <c r="A10922" s="16" t="s">
        <v>87</v>
      </c>
      <c r="E10922" s="16" t="str">
        <f>IFERROR(__xludf.DUMMYFUNCTION("""COMPUTED_VALUE"""),"")</f>
        <v/>
      </c>
      <c r="G10922" s="18"/>
      <c r="H10922" s="16" t="s">
        <v>87</v>
      </c>
      <c r="I10922" s="16" t="s">
        <v>87</v>
      </c>
      <c r="J10922" s="19"/>
      <c r="L10922" s="16" t="str">
        <f>IFERROR(__xludf.DUMMYFUNCTION("""COMPUTED_VALUE"""),"")</f>
        <v/>
      </c>
      <c r="M10922" s="16" t="str">
        <f>IFERROR(__xludf.DUMMYFUNCTION("""COMPUTED_VALUE"""),"")</f>
        <v/>
      </c>
      <c r="U10922" s="16" t="s">
        <v>87</v>
      </c>
      <c r="V10922" s="16" t="str">
        <f>IFERROR(__xludf.DUMMYFUNCTION("""COMPUTED_VALUE"""),"")</f>
        <v/>
      </c>
      <c r="W10922" s="16" t="str">
        <f>IFERROR(__xludf.DUMMYFUNCTION("""COMPUTED_VALUE"""),"")</f>
        <v/>
      </c>
      <c r="X10922" s="16" t="str">
        <f>IFERROR(__xludf.DUMMYFUNCTION("""COMPUTED_VALUE"""),"")</f>
        <v/>
      </c>
      <c r="AC10922" s="16" t="str">
        <f>IFERROR(__xludf.DUMMYFUNCTION("""COMPUTED_VALUE"""),"")</f>
        <v/>
      </c>
    </row>
    <row r="10923">
      <c r="A10923" s="16" t="s">
        <v>87</v>
      </c>
      <c r="E10923" s="16" t="str">
        <f>IFERROR(__xludf.DUMMYFUNCTION("""COMPUTED_VALUE"""),"")</f>
        <v/>
      </c>
      <c r="G10923" s="18"/>
      <c r="H10923" s="16" t="s">
        <v>87</v>
      </c>
      <c r="I10923" s="16" t="s">
        <v>87</v>
      </c>
      <c r="J10923" s="19"/>
      <c r="L10923" s="16" t="str">
        <f>IFERROR(__xludf.DUMMYFUNCTION("""COMPUTED_VALUE"""),"")</f>
        <v/>
      </c>
      <c r="M10923" s="16" t="str">
        <f>IFERROR(__xludf.DUMMYFUNCTION("""COMPUTED_VALUE"""),"")</f>
        <v/>
      </c>
      <c r="U10923" s="16" t="s">
        <v>87</v>
      </c>
      <c r="V10923" s="16" t="str">
        <f>IFERROR(__xludf.DUMMYFUNCTION("""COMPUTED_VALUE"""),"")</f>
        <v/>
      </c>
      <c r="W10923" s="16" t="str">
        <f>IFERROR(__xludf.DUMMYFUNCTION("""COMPUTED_VALUE"""),"")</f>
        <v/>
      </c>
      <c r="X10923" s="16" t="str">
        <f>IFERROR(__xludf.DUMMYFUNCTION("""COMPUTED_VALUE"""),"")</f>
        <v/>
      </c>
      <c r="AC10923" s="16" t="str">
        <f>IFERROR(__xludf.DUMMYFUNCTION("""COMPUTED_VALUE"""),"")</f>
        <v/>
      </c>
    </row>
    <row r="10924">
      <c r="A10924" s="16" t="s">
        <v>87</v>
      </c>
      <c r="E10924" s="16" t="str">
        <f>IFERROR(__xludf.DUMMYFUNCTION("""COMPUTED_VALUE"""),"")</f>
        <v/>
      </c>
      <c r="G10924" s="18"/>
      <c r="H10924" s="16" t="s">
        <v>87</v>
      </c>
      <c r="I10924" s="16" t="s">
        <v>87</v>
      </c>
      <c r="J10924" s="19"/>
      <c r="L10924" s="16" t="str">
        <f>IFERROR(__xludf.DUMMYFUNCTION("""COMPUTED_VALUE"""),"")</f>
        <v/>
      </c>
      <c r="M10924" s="16" t="str">
        <f>IFERROR(__xludf.DUMMYFUNCTION("""COMPUTED_VALUE"""),"")</f>
        <v/>
      </c>
      <c r="U10924" s="16" t="s">
        <v>87</v>
      </c>
      <c r="V10924" s="16" t="str">
        <f>IFERROR(__xludf.DUMMYFUNCTION("""COMPUTED_VALUE"""),"")</f>
        <v/>
      </c>
      <c r="W10924" s="16" t="str">
        <f>IFERROR(__xludf.DUMMYFUNCTION("""COMPUTED_VALUE"""),"")</f>
        <v/>
      </c>
      <c r="X10924" s="16" t="str">
        <f>IFERROR(__xludf.DUMMYFUNCTION("""COMPUTED_VALUE"""),"")</f>
        <v/>
      </c>
      <c r="AC10924" s="16" t="str">
        <f>IFERROR(__xludf.DUMMYFUNCTION("""COMPUTED_VALUE"""),"")</f>
        <v/>
      </c>
    </row>
    <row r="10925">
      <c r="A10925" s="16" t="s">
        <v>87</v>
      </c>
      <c r="E10925" s="16" t="str">
        <f>IFERROR(__xludf.DUMMYFUNCTION("""COMPUTED_VALUE"""),"")</f>
        <v/>
      </c>
      <c r="G10925" s="18"/>
      <c r="H10925" s="16" t="s">
        <v>87</v>
      </c>
      <c r="I10925" s="16" t="s">
        <v>87</v>
      </c>
      <c r="J10925" s="19"/>
      <c r="L10925" s="16" t="str">
        <f>IFERROR(__xludf.DUMMYFUNCTION("""COMPUTED_VALUE"""),"")</f>
        <v/>
      </c>
      <c r="M10925" s="16" t="str">
        <f>IFERROR(__xludf.DUMMYFUNCTION("""COMPUTED_VALUE"""),"")</f>
        <v/>
      </c>
      <c r="U10925" s="16" t="s">
        <v>87</v>
      </c>
      <c r="V10925" s="16" t="str">
        <f>IFERROR(__xludf.DUMMYFUNCTION("""COMPUTED_VALUE"""),"")</f>
        <v/>
      </c>
      <c r="W10925" s="16" t="str">
        <f>IFERROR(__xludf.DUMMYFUNCTION("""COMPUTED_VALUE"""),"")</f>
        <v/>
      </c>
      <c r="X10925" s="16" t="str">
        <f>IFERROR(__xludf.DUMMYFUNCTION("""COMPUTED_VALUE"""),"")</f>
        <v/>
      </c>
      <c r="AC10925" s="16" t="str">
        <f>IFERROR(__xludf.DUMMYFUNCTION("""COMPUTED_VALUE"""),"")</f>
        <v/>
      </c>
    </row>
    <row r="10926">
      <c r="A10926" s="16" t="s">
        <v>87</v>
      </c>
      <c r="E10926" s="16" t="str">
        <f>IFERROR(__xludf.DUMMYFUNCTION("""COMPUTED_VALUE"""),"")</f>
        <v/>
      </c>
      <c r="G10926" s="18"/>
      <c r="H10926" s="16" t="s">
        <v>87</v>
      </c>
      <c r="I10926" s="16" t="s">
        <v>87</v>
      </c>
      <c r="J10926" s="19"/>
      <c r="L10926" s="16" t="str">
        <f>IFERROR(__xludf.DUMMYFUNCTION("""COMPUTED_VALUE"""),"")</f>
        <v/>
      </c>
      <c r="M10926" s="16" t="str">
        <f>IFERROR(__xludf.DUMMYFUNCTION("""COMPUTED_VALUE"""),"")</f>
        <v/>
      </c>
      <c r="U10926" s="16" t="s">
        <v>87</v>
      </c>
      <c r="V10926" s="16" t="str">
        <f>IFERROR(__xludf.DUMMYFUNCTION("""COMPUTED_VALUE"""),"")</f>
        <v/>
      </c>
      <c r="W10926" s="16" t="str">
        <f>IFERROR(__xludf.DUMMYFUNCTION("""COMPUTED_VALUE"""),"")</f>
        <v/>
      </c>
      <c r="X10926" s="16" t="str">
        <f>IFERROR(__xludf.DUMMYFUNCTION("""COMPUTED_VALUE"""),"")</f>
        <v/>
      </c>
      <c r="AC10926" s="16" t="str">
        <f>IFERROR(__xludf.DUMMYFUNCTION("""COMPUTED_VALUE"""),"")</f>
        <v/>
      </c>
    </row>
    <row r="10927">
      <c r="A10927" s="16" t="s">
        <v>87</v>
      </c>
      <c r="E10927" s="16" t="str">
        <f>IFERROR(__xludf.DUMMYFUNCTION("""COMPUTED_VALUE"""),"")</f>
        <v/>
      </c>
      <c r="G10927" s="18"/>
      <c r="H10927" s="16" t="s">
        <v>87</v>
      </c>
      <c r="I10927" s="16" t="s">
        <v>87</v>
      </c>
      <c r="J10927" s="19"/>
      <c r="L10927" s="16" t="str">
        <f>IFERROR(__xludf.DUMMYFUNCTION("""COMPUTED_VALUE"""),"")</f>
        <v/>
      </c>
      <c r="M10927" s="16" t="str">
        <f>IFERROR(__xludf.DUMMYFUNCTION("""COMPUTED_VALUE"""),"")</f>
        <v/>
      </c>
      <c r="U10927" s="16" t="s">
        <v>87</v>
      </c>
      <c r="V10927" s="16" t="str">
        <f>IFERROR(__xludf.DUMMYFUNCTION("""COMPUTED_VALUE"""),"")</f>
        <v/>
      </c>
      <c r="W10927" s="16" t="str">
        <f>IFERROR(__xludf.DUMMYFUNCTION("""COMPUTED_VALUE"""),"")</f>
        <v/>
      </c>
      <c r="X10927" s="16" t="str">
        <f>IFERROR(__xludf.DUMMYFUNCTION("""COMPUTED_VALUE"""),"")</f>
        <v/>
      </c>
      <c r="AC10927" s="16" t="str">
        <f>IFERROR(__xludf.DUMMYFUNCTION("""COMPUTED_VALUE"""),"")</f>
        <v/>
      </c>
    </row>
    <row r="10928">
      <c r="A10928" s="16" t="s">
        <v>87</v>
      </c>
      <c r="E10928" s="16" t="str">
        <f>IFERROR(__xludf.DUMMYFUNCTION("""COMPUTED_VALUE"""),"")</f>
        <v/>
      </c>
      <c r="G10928" s="18"/>
      <c r="H10928" s="16" t="s">
        <v>87</v>
      </c>
      <c r="I10928" s="16" t="s">
        <v>87</v>
      </c>
      <c r="J10928" s="19"/>
      <c r="L10928" s="16" t="str">
        <f>IFERROR(__xludf.DUMMYFUNCTION("""COMPUTED_VALUE"""),"")</f>
        <v/>
      </c>
      <c r="M10928" s="16" t="str">
        <f>IFERROR(__xludf.DUMMYFUNCTION("""COMPUTED_VALUE"""),"")</f>
        <v/>
      </c>
      <c r="U10928" s="16" t="s">
        <v>87</v>
      </c>
      <c r="V10928" s="16" t="str">
        <f>IFERROR(__xludf.DUMMYFUNCTION("""COMPUTED_VALUE"""),"")</f>
        <v/>
      </c>
      <c r="W10928" s="16" t="str">
        <f>IFERROR(__xludf.DUMMYFUNCTION("""COMPUTED_VALUE"""),"")</f>
        <v/>
      </c>
      <c r="X10928" s="16" t="str">
        <f>IFERROR(__xludf.DUMMYFUNCTION("""COMPUTED_VALUE"""),"")</f>
        <v/>
      </c>
      <c r="AC10928" s="16" t="str">
        <f>IFERROR(__xludf.DUMMYFUNCTION("""COMPUTED_VALUE"""),"")</f>
        <v/>
      </c>
    </row>
    <row r="10929">
      <c r="A10929" s="16" t="s">
        <v>87</v>
      </c>
      <c r="E10929" s="16" t="str">
        <f>IFERROR(__xludf.DUMMYFUNCTION("""COMPUTED_VALUE"""),"")</f>
        <v/>
      </c>
      <c r="G10929" s="18"/>
      <c r="H10929" s="16" t="s">
        <v>87</v>
      </c>
      <c r="I10929" s="16" t="s">
        <v>87</v>
      </c>
      <c r="J10929" s="19"/>
      <c r="L10929" s="16" t="str">
        <f>IFERROR(__xludf.DUMMYFUNCTION("""COMPUTED_VALUE"""),"")</f>
        <v/>
      </c>
      <c r="M10929" s="16" t="str">
        <f>IFERROR(__xludf.DUMMYFUNCTION("""COMPUTED_VALUE"""),"")</f>
        <v/>
      </c>
      <c r="U10929" s="16" t="s">
        <v>87</v>
      </c>
      <c r="V10929" s="16" t="str">
        <f>IFERROR(__xludf.DUMMYFUNCTION("""COMPUTED_VALUE"""),"")</f>
        <v/>
      </c>
      <c r="W10929" s="16" t="str">
        <f>IFERROR(__xludf.DUMMYFUNCTION("""COMPUTED_VALUE"""),"")</f>
        <v/>
      </c>
      <c r="X10929" s="16" t="str">
        <f>IFERROR(__xludf.DUMMYFUNCTION("""COMPUTED_VALUE"""),"")</f>
        <v/>
      </c>
      <c r="AC10929" s="16" t="str">
        <f>IFERROR(__xludf.DUMMYFUNCTION("""COMPUTED_VALUE"""),"")</f>
        <v/>
      </c>
    </row>
    <row r="10930">
      <c r="A10930" s="16" t="s">
        <v>87</v>
      </c>
      <c r="E10930" s="16" t="str">
        <f>IFERROR(__xludf.DUMMYFUNCTION("""COMPUTED_VALUE"""),"")</f>
        <v/>
      </c>
      <c r="G10930" s="18"/>
      <c r="H10930" s="16" t="s">
        <v>87</v>
      </c>
      <c r="I10930" s="16" t="s">
        <v>87</v>
      </c>
      <c r="J10930" s="19"/>
      <c r="L10930" s="16" t="str">
        <f>IFERROR(__xludf.DUMMYFUNCTION("""COMPUTED_VALUE"""),"")</f>
        <v/>
      </c>
      <c r="M10930" s="16" t="str">
        <f>IFERROR(__xludf.DUMMYFUNCTION("""COMPUTED_VALUE"""),"")</f>
        <v/>
      </c>
      <c r="U10930" s="16" t="s">
        <v>87</v>
      </c>
      <c r="V10930" s="16" t="str">
        <f>IFERROR(__xludf.DUMMYFUNCTION("""COMPUTED_VALUE"""),"")</f>
        <v/>
      </c>
      <c r="W10930" s="16" t="str">
        <f>IFERROR(__xludf.DUMMYFUNCTION("""COMPUTED_VALUE"""),"")</f>
        <v/>
      </c>
      <c r="X10930" s="16" t="str">
        <f>IFERROR(__xludf.DUMMYFUNCTION("""COMPUTED_VALUE"""),"")</f>
        <v/>
      </c>
      <c r="AC10930" s="16" t="str">
        <f>IFERROR(__xludf.DUMMYFUNCTION("""COMPUTED_VALUE"""),"")</f>
        <v/>
      </c>
    </row>
    <row r="10931">
      <c r="A10931" s="16" t="s">
        <v>87</v>
      </c>
      <c r="E10931" s="16" t="str">
        <f>IFERROR(__xludf.DUMMYFUNCTION("""COMPUTED_VALUE"""),"")</f>
        <v/>
      </c>
      <c r="G10931" s="18"/>
      <c r="H10931" s="16" t="s">
        <v>87</v>
      </c>
      <c r="I10931" s="16" t="s">
        <v>87</v>
      </c>
      <c r="J10931" s="19"/>
      <c r="L10931" s="16" t="str">
        <f>IFERROR(__xludf.DUMMYFUNCTION("""COMPUTED_VALUE"""),"")</f>
        <v/>
      </c>
      <c r="M10931" s="16" t="str">
        <f>IFERROR(__xludf.DUMMYFUNCTION("""COMPUTED_VALUE"""),"")</f>
        <v/>
      </c>
      <c r="U10931" s="16" t="s">
        <v>87</v>
      </c>
      <c r="V10931" s="16" t="str">
        <f>IFERROR(__xludf.DUMMYFUNCTION("""COMPUTED_VALUE"""),"")</f>
        <v/>
      </c>
      <c r="W10931" s="16" t="str">
        <f>IFERROR(__xludf.DUMMYFUNCTION("""COMPUTED_VALUE"""),"")</f>
        <v/>
      </c>
      <c r="X10931" s="16" t="str">
        <f>IFERROR(__xludf.DUMMYFUNCTION("""COMPUTED_VALUE"""),"")</f>
        <v/>
      </c>
      <c r="AC10931" s="16" t="str">
        <f>IFERROR(__xludf.DUMMYFUNCTION("""COMPUTED_VALUE"""),"")</f>
        <v/>
      </c>
    </row>
    <row r="10932">
      <c r="A10932" s="16" t="s">
        <v>87</v>
      </c>
      <c r="E10932" s="16" t="str">
        <f>IFERROR(__xludf.DUMMYFUNCTION("""COMPUTED_VALUE"""),"")</f>
        <v/>
      </c>
      <c r="G10932" s="18"/>
      <c r="H10932" s="16" t="s">
        <v>87</v>
      </c>
      <c r="I10932" s="16" t="s">
        <v>87</v>
      </c>
      <c r="J10932" s="19"/>
      <c r="L10932" s="16" t="str">
        <f>IFERROR(__xludf.DUMMYFUNCTION("""COMPUTED_VALUE"""),"")</f>
        <v/>
      </c>
      <c r="M10932" s="16" t="str">
        <f>IFERROR(__xludf.DUMMYFUNCTION("""COMPUTED_VALUE"""),"")</f>
        <v/>
      </c>
      <c r="U10932" s="16" t="s">
        <v>87</v>
      </c>
      <c r="V10932" s="16" t="str">
        <f>IFERROR(__xludf.DUMMYFUNCTION("""COMPUTED_VALUE"""),"")</f>
        <v/>
      </c>
      <c r="W10932" s="16" t="str">
        <f>IFERROR(__xludf.DUMMYFUNCTION("""COMPUTED_VALUE"""),"")</f>
        <v/>
      </c>
      <c r="X10932" s="16" t="str">
        <f>IFERROR(__xludf.DUMMYFUNCTION("""COMPUTED_VALUE"""),"")</f>
        <v/>
      </c>
      <c r="AC10932" s="16" t="str">
        <f>IFERROR(__xludf.DUMMYFUNCTION("""COMPUTED_VALUE"""),"")</f>
        <v/>
      </c>
    </row>
    <row r="10933">
      <c r="A10933" s="16" t="s">
        <v>87</v>
      </c>
      <c r="E10933" s="16" t="str">
        <f>IFERROR(__xludf.DUMMYFUNCTION("""COMPUTED_VALUE"""),"")</f>
        <v/>
      </c>
      <c r="G10933" s="18"/>
      <c r="H10933" s="16" t="s">
        <v>87</v>
      </c>
      <c r="I10933" s="16" t="s">
        <v>87</v>
      </c>
      <c r="J10933" s="19"/>
      <c r="L10933" s="16" t="str">
        <f>IFERROR(__xludf.DUMMYFUNCTION("""COMPUTED_VALUE"""),"")</f>
        <v/>
      </c>
      <c r="M10933" s="16" t="str">
        <f>IFERROR(__xludf.DUMMYFUNCTION("""COMPUTED_VALUE"""),"")</f>
        <v/>
      </c>
      <c r="U10933" s="16" t="s">
        <v>87</v>
      </c>
      <c r="V10933" s="16" t="str">
        <f>IFERROR(__xludf.DUMMYFUNCTION("""COMPUTED_VALUE"""),"")</f>
        <v/>
      </c>
      <c r="W10933" s="16" t="str">
        <f>IFERROR(__xludf.DUMMYFUNCTION("""COMPUTED_VALUE"""),"")</f>
        <v/>
      </c>
      <c r="X10933" s="16" t="str">
        <f>IFERROR(__xludf.DUMMYFUNCTION("""COMPUTED_VALUE"""),"")</f>
        <v/>
      </c>
      <c r="AC10933" s="16" t="str">
        <f>IFERROR(__xludf.DUMMYFUNCTION("""COMPUTED_VALUE"""),"")</f>
        <v/>
      </c>
    </row>
    <row r="10934">
      <c r="A10934" s="16" t="s">
        <v>87</v>
      </c>
      <c r="E10934" s="16" t="str">
        <f>IFERROR(__xludf.DUMMYFUNCTION("""COMPUTED_VALUE"""),"")</f>
        <v/>
      </c>
      <c r="G10934" s="18"/>
      <c r="H10934" s="16" t="s">
        <v>87</v>
      </c>
      <c r="I10934" s="16" t="s">
        <v>87</v>
      </c>
      <c r="J10934" s="19"/>
      <c r="L10934" s="16" t="str">
        <f>IFERROR(__xludf.DUMMYFUNCTION("""COMPUTED_VALUE"""),"")</f>
        <v/>
      </c>
      <c r="M10934" s="16" t="str">
        <f>IFERROR(__xludf.DUMMYFUNCTION("""COMPUTED_VALUE"""),"")</f>
        <v/>
      </c>
      <c r="U10934" s="16" t="s">
        <v>87</v>
      </c>
      <c r="V10934" s="16" t="str">
        <f>IFERROR(__xludf.DUMMYFUNCTION("""COMPUTED_VALUE"""),"")</f>
        <v/>
      </c>
      <c r="W10934" s="16" t="str">
        <f>IFERROR(__xludf.DUMMYFUNCTION("""COMPUTED_VALUE"""),"")</f>
        <v/>
      </c>
      <c r="X10934" s="16" t="str">
        <f>IFERROR(__xludf.DUMMYFUNCTION("""COMPUTED_VALUE"""),"")</f>
        <v/>
      </c>
      <c r="AC10934" s="16" t="str">
        <f>IFERROR(__xludf.DUMMYFUNCTION("""COMPUTED_VALUE"""),"")</f>
        <v/>
      </c>
    </row>
    <row r="10935">
      <c r="A10935" s="16" t="s">
        <v>87</v>
      </c>
      <c r="E10935" s="16" t="str">
        <f>IFERROR(__xludf.DUMMYFUNCTION("""COMPUTED_VALUE"""),"")</f>
        <v/>
      </c>
      <c r="G10935" s="18"/>
      <c r="H10935" s="16" t="s">
        <v>87</v>
      </c>
      <c r="I10935" s="16" t="s">
        <v>87</v>
      </c>
      <c r="J10935" s="19"/>
      <c r="L10935" s="16" t="str">
        <f>IFERROR(__xludf.DUMMYFUNCTION("""COMPUTED_VALUE"""),"")</f>
        <v/>
      </c>
      <c r="M10935" s="16" t="str">
        <f>IFERROR(__xludf.DUMMYFUNCTION("""COMPUTED_VALUE"""),"")</f>
        <v/>
      </c>
      <c r="U10935" s="16" t="s">
        <v>87</v>
      </c>
      <c r="V10935" s="16" t="str">
        <f>IFERROR(__xludf.DUMMYFUNCTION("""COMPUTED_VALUE"""),"")</f>
        <v/>
      </c>
      <c r="W10935" s="16" t="str">
        <f>IFERROR(__xludf.DUMMYFUNCTION("""COMPUTED_VALUE"""),"")</f>
        <v/>
      </c>
      <c r="X10935" s="16" t="str">
        <f>IFERROR(__xludf.DUMMYFUNCTION("""COMPUTED_VALUE"""),"")</f>
        <v/>
      </c>
      <c r="AC10935" s="16" t="str">
        <f>IFERROR(__xludf.DUMMYFUNCTION("""COMPUTED_VALUE"""),"")</f>
        <v/>
      </c>
    </row>
    <row r="10936">
      <c r="A10936" s="16" t="s">
        <v>87</v>
      </c>
      <c r="E10936" s="16" t="str">
        <f>IFERROR(__xludf.DUMMYFUNCTION("""COMPUTED_VALUE"""),"")</f>
        <v/>
      </c>
      <c r="G10936" s="18"/>
      <c r="H10936" s="16" t="s">
        <v>87</v>
      </c>
      <c r="I10936" s="16" t="s">
        <v>87</v>
      </c>
      <c r="J10936" s="19"/>
      <c r="L10936" s="16" t="str">
        <f>IFERROR(__xludf.DUMMYFUNCTION("""COMPUTED_VALUE"""),"")</f>
        <v/>
      </c>
      <c r="M10936" s="16" t="str">
        <f>IFERROR(__xludf.DUMMYFUNCTION("""COMPUTED_VALUE"""),"")</f>
        <v/>
      </c>
      <c r="U10936" s="16" t="s">
        <v>87</v>
      </c>
      <c r="V10936" s="16" t="str">
        <f>IFERROR(__xludf.DUMMYFUNCTION("""COMPUTED_VALUE"""),"")</f>
        <v/>
      </c>
      <c r="W10936" s="16" t="str">
        <f>IFERROR(__xludf.DUMMYFUNCTION("""COMPUTED_VALUE"""),"")</f>
        <v/>
      </c>
      <c r="X10936" s="16" t="str">
        <f>IFERROR(__xludf.DUMMYFUNCTION("""COMPUTED_VALUE"""),"")</f>
        <v/>
      </c>
      <c r="AC10936" s="16" t="str">
        <f>IFERROR(__xludf.DUMMYFUNCTION("""COMPUTED_VALUE"""),"")</f>
        <v/>
      </c>
    </row>
    <row r="10937">
      <c r="A10937" s="16" t="s">
        <v>87</v>
      </c>
      <c r="E10937" s="16" t="str">
        <f>IFERROR(__xludf.DUMMYFUNCTION("""COMPUTED_VALUE"""),"")</f>
        <v/>
      </c>
      <c r="G10937" s="18"/>
      <c r="H10937" s="16" t="s">
        <v>87</v>
      </c>
      <c r="I10937" s="16" t="s">
        <v>87</v>
      </c>
      <c r="J10937" s="19"/>
      <c r="L10937" s="16" t="str">
        <f>IFERROR(__xludf.DUMMYFUNCTION("""COMPUTED_VALUE"""),"")</f>
        <v/>
      </c>
      <c r="M10937" s="16" t="str">
        <f>IFERROR(__xludf.DUMMYFUNCTION("""COMPUTED_VALUE"""),"")</f>
        <v/>
      </c>
      <c r="U10937" s="16" t="s">
        <v>87</v>
      </c>
      <c r="V10937" s="16" t="str">
        <f>IFERROR(__xludf.DUMMYFUNCTION("""COMPUTED_VALUE"""),"")</f>
        <v/>
      </c>
      <c r="W10937" s="16" t="str">
        <f>IFERROR(__xludf.DUMMYFUNCTION("""COMPUTED_VALUE"""),"")</f>
        <v/>
      </c>
      <c r="X10937" s="16" t="str">
        <f>IFERROR(__xludf.DUMMYFUNCTION("""COMPUTED_VALUE"""),"")</f>
        <v/>
      </c>
      <c r="AC10937" s="16" t="str">
        <f>IFERROR(__xludf.DUMMYFUNCTION("""COMPUTED_VALUE"""),"")</f>
        <v/>
      </c>
    </row>
    <row r="10938">
      <c r="A10938" s="16" t="s">
        <v>87</v>
      </c>
      <c r="E10938" s="16" t="str">
        <f>IFERROR(__xludf.DUMMYFUNCTION("""COMPUTED_VALUE"""),"")</f>
        <v/>
      </c>
      <c r="G10938" s="18"/>
      <c r="H10938" s="16" t="s">
        <v>87</v>
      </c>
      <c r="I10938" s="16" t="s">
        <v>87</v>
      </c>
      <c r="J10938" s="19"/>
      <c r="L10938" s="16" t="str">
        <f>IFERROR(__xludf.DUMMYFUNCTION("""COMPUTED_VALUE"""),"")</f>
        <v/>
      </c>
      <c r="M10938" s="16" t="str">
        <f>IFERROR(__xludf.DUMMYFUNCTION("""COMPUTED_VALUE"""),"")</f>
        <v/>
      </c>
      <c r="U10938" s="16" t="s">
        <v>87</v>
      </c>
      <c r="V10938" s="16" t="str">
        <f>IFERROR(__xludf.DUMMYFUNCTION("""COMPUTED_VALUE"""),"")</f>
        <v/>
      </c>
      <c r="W10938" s="16" t="str">
        <f>IFERROR(__xludf.DUMMYFUNCTION("""COMPUTED_VALUE"""),"")</f>
        <v/>
      </c>
      <c r="X10938" s="16" t="str">
        <f>IFERROR(__xludf.DUMMYFUNCTION("""COMPUTED_VALUE"""),"")</f>
        <v/>
      </c>
      <c r="AC10938" s="16" t="str">
        <f>IFERROR(__xludf.DUMMYFUNCTION("""COMPUTED_VALUE"""),"")</f>
        <v/>
      </c>
    </row>
    <row r="10939">
      <c r="A10939" s="16" t="s">
        <v>87</v>
      </c>
      <c r="E10939" s="16" t="str">
        <f>IFERROR(__xludf.DUMMYFUNCTION("""COMPUTED_VALUE"""),"")</f>
        <v/>
      </c>
      <c r="G10939" s="18"/>
      <c r="H10939" s="16" t="s">
        <v>87</v>
      </c>
      <c r="I10939" s="16" t="s">
        <v>87</v>
      </c>
      <c r="J10939" s="19"/>
      <c r="L10939" s="16" t="str">
        <f>IFERROR(__xludf.DUMMYFUNCTION("""COMPUTED_VALUE"""),"")</f>
        <v/>
      </c>
      <c r="M10939" s="16" t="str">
        <f>IFERROR(__xludf.DUMMYFUNCTION("""COMPUTED_VALUE"""),"")</f>
        <v/>
      </c>
      <c r="U10939" s="16" t="s">
        <v>87</v>
      </c>
      <c r="V10939" s="16" t="str">
        <f>IFERROR(__xludf.DUMMYFUNCTION("""COMPUTED_VALUE"""),"")</f>
        <v/>
      </c>
      <c r="W10939" s="16" t="str">
        <f>IFERROR(__xludf.DUMMYFUNCTION("""COMPUTED_VALUE"""),"")</f>
        <v/>
      </c>
      <c r="X10939" s="16" t="str">
        <f>IFERROR(__xludf.DUMMYFUNCTION("""COMPUTED_VALUE"""),"")</f>
        <v/>
      </c>
      <c r="AC10939" s="16" t="str">
        <f>IFERROR(__xludf.DUMMYFUNCTION("""COMPUTED_VALUE"""),"")</f>
        <v/>
      </c>
    </row>
    <row r="10940">
      <c r="A10940" s="16" t="s">
        <v>87</v>
      </c>
      <c r="E10940" s="16" t="str">
        <f>IFERROR(__xludf.DUMMYFUNCTION("""COMPUTED_VALUE"""),"")</f>
        <v/>
      </c>
      <c r="G10940" s="18"/>
      <c r="H10940" s="16" t="s">
        <v>87</v>
      </c>
      <c r="I10940" s="16" t="s">
        <v>87</v>
      </c>
      <c r="J10940" s="19"/>
      <c r="L10940" s="16" t="str">
        <f>IFERROR(__xludf.DUMMYFUNCTION("""COMPUTED_VALUE"""),"")</f>
        <v/>
      </c>
      <c r="M10940" s="16" t="str">
        <f>IFERROR(__xludf.DUMMYFUNCTION("""COMPUTED_VALUE"""),"")</f>
        <v/>
      </c>
      <c r="U10940" s="16" t="s">
        <v>87</v>
      </c>
      <c r="V10940" s="16" t="str">
        <f>IFERROR(__xludf.DUMMYFUNCTION("""COMPUTED_VALUE"""),"")</f>
        <v/>
      </c>
      <c r="W10940" s="16" t="str">
        <f>IFERROR(__xludf.DUMMYFUNCTION("""COMPUTED_VALUE"""),"")</f>
        <v/>
      </c>
      <c r="X10940" s="16" t="str">
        <f>IFERROR(__xludf.DUMMYFUNCTION("""COMPUTED_VALUE"""),"")</f>
        <v/>
      </c>
      <c r="AC10940" s="16" t="str">
        <f>IFERROR(__xludf.DUMMYFUNCTION("""COMPUTED_VALUE"""),"")</f>
        <v/>
      </c>
    </row>
    <row r="10941">
      <c r="A10941" s="16" t="s">
        <v>87</v>
      </c>
      <c r="E10941" s="16" t="str">
        <f>IFERROR(__xludf.DUMMYFUNCTION("""COMPUTED_VALUE"""),"")</f>
        <v/>
      </c>
      <c r="G10941" s="18"/>
      <c r="H10941" s="16" t="s">
        <v>87</v>
      </c>
      <c r="I10941" s="16" t="s">
        <v>87</v>
      </c>
      <c r="J10941" s="19"/>
      <c r="L10941" s="16" t="str">
        <f>IFERROR(__xludf.DUMMYFUNCTION("""COMPUTED_VALUE"""),"")</f>
        <v/>
      </c>
      <c r="M10941" s="16" t="str">
        <f>IFERROR(__xludf.DUMMYFUNCTION("""COMPUTED_VALUE"""),"")</f>
        <v/>
      </c>
      <c r="U10941" s="16" t="s">
        <v>87</v>
      </c>
      <c r="V10941" s="16" t="str">
        <f>IFERROR(__xludf.DUMMYFUNCTION("""COMPUTED_VALUE"""),"")</f>
        <v/>
      </c>
      <c r="W10941" s="16" t="str">
        <f>IFERROR(__xludf.DUMMYFUNCTION("""COMPUTED_VALUE"""),"")</f>
        <v/>
      </c>
      <c r="X10941" s="16" t="str">
        <f>IFERROR(__xludf.DUMMYFUNCTION("""COMPUTED_VALUE"""),"")</f>
        <v/>
      </c>
      <c r="AC10941" s="16" t="str">
        <f>IFERROR(__xludf.DUMMYFUNCTION("""COMPUTED_VALUE"""),"")</f>
        <v/>
      </c>
    </row>
    <row r="10942">
      <c r="A10942" s="16" t="s">
        <v>87</v>
      </c>
      <c r="E10942" s="16" t="str">
        <f>IFERROR(__xludf.DUMMYFUNCTION("""COMPUTED_VALUE"""),"")</f>
        <v/>
      </c>
      <c r="G10942" s="18"/>
      <c r="H10942" s="16" t="s">
        <v>87</v>
      </c>
      <c r="I10942" s="16" t="s">
        <v>87</v>
      </c>
      <c r="J10942" s="19"/>
      <c r="L10942" s="16" t="str">
        <f>IFERROR(__xludf.DUMMYFUNCTION("""COMPUTED_VALUE"""),"")</f>
        <v/>
      </c>
      <c r="M10942" s="16" t="str">
        <f>IFERROR(__xludf.DUMMYFUNCTION("""COMPUTED_VALUE"""),"")</f>
        <v/>
      </c>
      <c r="U10942" s="16" t="s">
        <v>87</v>
      </c>
      <c r="V10942" s="16" t="str">
        <f>IFERROR(__xludf.DUMMYFUNCTION("""COMPUTED_VALUE"""),"")</f>
        <v/>
      </c>
      <c r="W10942" s="16" t="str">
        <f>IFERROR(__xludf.DUMMYFUNCTION("""COMPUTED_VALUE"""),"")</f>
        <v/>
      </c>
      <c r="X10942" s="16" t="str">
        <f>IFERROR(__xludf.DUMMYFUNCTION("""COMPUTED_VALUE"""),"")</f>
        <v/>
      </c>
      <c r="AC10942" s="16" t="str">
        <f>IFERROR(__xludf.DUMMYFUNCTION("""COMPUTED_VALUE"""),"")</f>
        <v/>
      </c>
    </row>
    <row r="10943">
      <c r="A10943" s="16" t="s">
        <v>87</v>
      </c>
      <c r="E10943" s="16" t="str">
        <f>IFERROR(__xludf.DUMMYFUNCTION("""COMPUTED_VALUE"""),"")</f>
        <v/>
      </c>
      <c r="G10943" s="18"/>
      <c r="H10943" s="16" t="s">
        <v>87</v>
      </c>
      <c r="I10943" s="16" t="s">
        <v>87</v>
      </c>
      <c r="J10943" s="19"/>
      <c r="L10943" s="16" t="str">
        <f>IFERROR(__xludf.DUMMYFUNCTION("""COMPUTED_VALUE"""),"")</f>
        <v/>
      </c>
      <c r="M10943" s="16" t="str">
        <f>IFERROR(__xludf.DUMMYFUNCTION("""COMPUTED_VALUE"""),"")</f>
        <v/>
      </c>
      <c r="U10943" s="16" t="s">
        <v>87</v>
      </c>
      <c r="V10943" s="16" t="str">
        <f>IFERROR(__xludf.DUMMYFUNCTION("""COMPUTED_VALUE"""),"")</f>
        <v/>
      </c>
      <c r="W10943" s="16" t="str">
        <f>IFERROR(__xludf.DUMMYFUNCTION("""COMPUTED_VALUE"""),"")</f>
        <v/>
      </c>
      <c r="X10943" s="16" t="str">
        <f>IFERROR(__xludf.DUMMYFUNCTION("""COMPUTED_VALUE"""),"")</f>
        <v/>
      </c>
      <c r="AC10943" s="16" t="str">
        <f>IFERROR(__xludf.DUMMYFUNCTION("""COMPUTED_VALUE"""),"")</f>
        <v/>
      </c>
    </row>
    <row r="10944">
      <c r="A10944" s="16" t="s">
        <v>87</v>
      </c>
      <c r="E10944" s="16" t="str">
        <f>IFERROR(__xludf.DUMMYFUNCTION("""COMPUTED_VALUE"""),"")</f>
        <v/>
      </c>
      <c r="G10944" s="18"/>
      <c r="H10944" s="16" t="s">
        <v>87</v>
      </c>
      <c r="I10944" s="16" t="s">
        <v>87</v>
      </c>
      <c r="J10944" s="19"/>
      <c r="L10944" s="16" t="str">
        <f>IFERROR(__xludf.DUMMYFUNCTION("""COMPUTED_VALUE"""),"")</f>
        <v/>
      </c>
      <c r="M10944" s="16" t="str">
        <f>IFERROR(__xludf.DUMMYFUNCTION("""COMPUTED_VALUE"""),"")</f>
        <v/>
      </c>
      <c r="U10944" s="16" t="s">
        <v>87</v>
      </c>
      <c r="V10944" s="16" t="str">
        <f>IFERROR(__xludf.DUMMYFUNCTION("""COMPUTED_VALUE"""),"")</f>
        <v/>
      </c>
      <c r="W10944" s="16" t="str">
        <f>IFERROR(__xludf.DUMMYFUNCTION("""COMPUTED_VALUE"""),"")</f>
        <v/>
      </c>
      <c r="X10944" s="16" t="str">
        <f>IFERROR(__xludf.DUMMYFUNCTION("""COMPUTED_VALUE"""),"")</f>
        <v/>
      </c>
      <c r="AC10944" s="16" t="str">
        <f>IFERROR(__xludf.DUMMYFUNCTION("""COMPUTED_VALUE"""),"")</f>
        <v/>
      </c>
    </row>
    <row r="10945">
      <c r="A10945" s="16" t="s">
        <v>87</v>
      </c>
      <c r="E10945" s="16" t="str">
        <f>IFERROR(__xludf.DUMMYFUNCTION("""COMPUTED_VALUE"""),"")</f>
        <v/>
      </c>
      <c r="G10945" s="18"/>
      <c r="H10945" s="16" t="s">
        <v>87</v>
      </c>
      <c r="I10945" s="16" t="s">
        <v>87</v>
      </c>
      <c r="J10945" s="19"/>
      <c r="L10945" s="16" t="str">
        <f>IFERROR(__xludf.DUMMYFUNCTION("""COMPUTED_VALUE"""),"")</f>
        <v/>
      </c>
      <c r="M10945" s="16" t="str">
        <f>IFERROR(__xludf.DUMMYFUNCTION("""COMPUTED_VALUE"""),"")</f>
        <v/>
      </c>
      <c r="U10945" s="16" t="s">
        <v>87</v>
      </c>
      <c r="V10945" s="16" t="str">
        <f>IFERROR(__xludf.DUMMYFUNCTION("""COMPUTED_VALUE"""),"")</f>
        <v/>
      </c>
      <c r="W10945" s="16" t="str">
        <f>IFERROR(__xludf.DUMMYFUNCTION("""COMPUTED_VALUE"""),"")</f>
        <v/>
      </c>
      <c r="X10945" s="16" t="str">
        <f>IFERROR(__xludf.DUMMYFUNCTION("""COMPUTED_VALUE"""),"")</f>
        <v/>
      </c>
      <c r="AC10945" s="16" t="str">
        <f>IFERROR(__xludf.DUMMYFUNCTION("""COMPUTED_VALUE"""),"")</f>
        <v/>
      </c>
    </row>
    <row r="10946">
      <c r="A10946" s="16" t="s">
        <v>87</v>
      </c>
      <c r="E10946" s="16" t="str">
        <f>IFERROR(__xludf.DUMMYFUNCTION("""COMPUTED_VALUE"""),"")</f>
        <v/>
      </c>
      <c r="G10946" s="18"/>
      <c r="H10946" s="16" t="s">
        <v>87</v>
      </c>
      <c r="I10946" s="16" t="s">
        <v>87</v>
      </c>
      <c r="J10946" s="19"/>
      <c r="L10946" s="16" t="str">
        <f>IFERROR(__xludf.DUMMYFUNCTION("""COMPUTED_VALUE"""),"")</f>
        <v/>
      </c>
      <c r="M10946" s="16" t="str">
        <f>IFERROR(__xludf.DUMMYFUNCTION("""COMPUTED_VALUE"""),"")</f>
        <v/>
      </c>
      <c r="U10946" s="16" t="s">
        <v>87</v>
      </c>
      <c r="V10946" s="16" t="str">
        <f>IFERROR(__xludf.DUMMYFUNCTION("""COMPUTED_VALUE"""),"")</f>
        <v/>
      </c>
      <c r="W10946" s="16" t="str">
        <f>IFERROR(__xludf.DUMMYFUNCTION("""COMPUTED_VALUE"""),"")</f>
        <v/>
      </c>
      <c r="X10946" s="16" t="str">
        <f>IFERROR(__xludf.DUMMYFUNCTION("""COMPUTED_VALUE"""),"")</f>
        <v/>
      </c>
      <c r="AC10946" s="16" t="str">
        <f>IFERROR(__xludf.DUMMYFUNCTION("""COMPUTED_VALUE"""),"")</f>
        <v/>
      </c>
    </row>
    <row r="10947">
      <c r="A10947" s="16" t="s">
        <v>87</v>
      </c>
      <c r="E10947" s="16" t="str">
        <f>IFERROR(__xludf.DUMMYFUNCTION("""COMPUTED_VALUE"""),"")</f>
        <v/>
      </c>
      <c r="G10947" s="18"/>
      <c r="H10947" s="16" t="s">
        <v>87</v>
      </c>
      <c r="I10947" s="16" t="s">
        <v>87</v>
      </c>
      <c r="J10947" s="19"/>
      <c r="L10947" s="16" t="str">
        <f>IFERROR(__xludf.DUMMYFUNCTION("""COMPUTED_VALUE"""),"")</f>
        <v/>
      </c>
      <c r="M10947" s="16" t="str">
        <f>IFERROR(__xludf.DUMMYFUNCTION("""COMPUTED_VALUE"""),"")</f>
        <v/>
      </c>
      <c r="U10947" s="16" t="s">
        <v>87</v>
      </c>
      <c r="V10947" s="16" t="str">
        <f>IFERROR(__xludf.DUMMYFUNCTION("""COMPUTED_VALUE"""),"")</f>
        <v/>
      </c>
      <c r="W10947" s="16" t="str">
        <f>IFERROR(__xludf.DUMMYFUNCTION("""COMPUTED_VALUE"""),"")</f>
        <v/>
      </c>
      <c r="X10947" s="16" t="str">
        <f>IFERROR(__xludf.DUMMYFUNCTION("""COMPUTED_VALUE"""),"")</f>
        <v/>
      </c>
      <c r="AC10947" s="16" t="str">
        <f>IFERROR(__xludf.DUMMYFUNCTION("""COMPUTED_VALUE"""),"")</f>
        <v/>
      </c>
    </row>
    <row r="10948">
      <c r="A10948" s="16" t="s">
        <v>87</v>
      </c>
      <c r="E10948" s="16" t="str">
        <f>IFERROR(__xludf.DUMMYFUNCTION("""COMPUTED_VALUE"""),"")</f>
        <v/>
      </c>
      <c r="G10948" s="18"/>
      <c r="H10948" s="16" t="s">
        <v>87</v>
      </c>
      <c r="I10948" s="16" t="s">
        <v>87</v>
      </c>
      <c r="J10948" s="19"/>
      <c r="L10948" s="16" t="str">
        <f>IFERROR(__xludf.DUMMYFUNCTION("""COMPUTED_VALUE"""),"")</f>
        <v/>
      </c>
      <c r="M10948" s="16" t="str">
        <f>IFERROR(__xludf.DUMMYFUNCTION("""COMPUTED_VALUE"""),"")</f>
        <v/>
      </c>
      <c r="U10948" s="16" t="s">
        <v>87</v>
      </c>
      <c r="V10948" s="16" t="str">
        <f>IFERROR(__xludf.DUMMYFUNCTION("""COMPUTED_VALUE"""),"")</f>
        <v/>
      </c>
      <c r="W10948" s="16" t="str">
        <f>IFERROR(__xludf.DUMMYFUNCTION("""COMPUTED_VALUE"""),"")</f>
        <v/>
      </c>
      <c r="X10948" s="16" t="str">
        <f>IFERROR(__xludf.DUMMYFUNCTION("""COMPUTED_VALUE"""),"")</f>
        <v/>
      </c>
      <c r="AC10948" s="16" t="str">
        <f>IFERROR(__xludf.DUMMYFUNCTION("""COMPUTED_VALUE"""),"")</f>
        <v/>
      </c>
    </row>
    <row r="10949">
      <c r="A10949" s="16" t="s">
        <v>87</v>
      </c>
      <c r="E10949" s="16" t="str">
        <f>IFERROR(__xludf.DUMMYFUNCTION("""COMPUTED_VALUE"""),"")</f>
        <v/>
      </c>
      <c r="G10949" s="18"/>
      <c r="H10949" s="16" t="s">
        <v>87</v>
      </c>
      <c r="I10949" s="16" t="s">
        <v>87</v>
      </c>
      <c r="J10949" s="19"/>
      <c r="L10949" s="16" t="str">
        <f>IFERROR(__xludf.DUMMYFUNCTION("""COMPUTED_VALUE"""),"")</f>
        <v/>
      </c>
      <c r="M10949" s="16" t="str">
        <f>IFERROR(__xludf.DUMMYFUNCTION("""COMPUTED_VALUE"""),"")</f>
        <v/>
      </c>
      <c r="U10949" s="16" t="s">
        <v>87</v>
      </c>
      <c r="V10949" s="16" t="str">
        <f>IFERROR(__xludf.DUMMYFUNCTION("""COMPUTED_VALUE"""),"")</f>
        <v/>
      </c>
      <c r="W10949" s="16" t="str">
        <f>IFERROR(__xludf.DUMMYFUNCTION("""COMPUTED_VALUE"""),"")</f>
        <v/>
      </c>
      <c r="X10949" s="16" t="str">
        <f>IFERROR(__xludf.DUMMYFUNCTION("""COMPUTED_VALUE"""),"")</f>
        <v/>
      </c>
      <c r="AC10949" s="16" t="str">
        <f>IFERROR(__xludf.DUMMYFUNCTION("""COMPUTED_VALUE"""),"")</f>
        <v/>
      </c>
    </row>
    <row r="10950">
      <c r="A10950" s="16" t="s">
        <v>87</v>
      </c>
      <c r="E10950" s="16" t="str">
        <f>IFERROR(__xludf.DUMMYFUNCTION("""COMPUTED_VALUE"""),"")</f>
        <v/>
      </c>
      <c r="G10950" s="18"/>
      <c r="H10950" s="16" t="s">
        <v>87</v>
      </c>
      <c r="I10950" s="16" t="s">
        <v>87</v>
      </c>
      <c r="J10950" s="19"/>
      <c r="L10950" s="16" t="str">
        <f>IFERROR(__xludf.DUMMYFUNCTION("""COMPUTED_VALUE"""),"")</f>
        <v/>
      </c>
      <c r="M10950" s="16" t="str">
        <f>IFERROR(__xludf.DUMMYFUNCTION("""COMPUTED_VALUE"""),"")</f>
        <v/>
      </c>
      <c r="U10950" s="16" t="s">
        <v>87</v>
      </c>
      <c r="V10950" s="16" t="str">
        <f>IFERROR(__xludf.DUMMYFUNCTION("""COMPUTED_VALUE"""),"")</f>
        <v/>
      </c>
      <c r="W10950" s="16" t="str">
        <f>IFERROR(__xludf.DUMMYFUNCTION("""COMPUTED_VALUE"""),"")</f>
        <v/>
      </c>
      <c r="X10950" s="16" t="str">
        <f>IFERROR(__xludf.DUMMYFUNCTION("""COMPUTED_VALUE"""),"")</f>
        <v/>
      </c>
      <c r="AC10950" s="16" t="str">
        <f>IFERROR(__xludf.DUMMYFUNCTION("""COMPUTED_VALUE"""),"")</f>
        <v/>
      </c>
    </row>
    <row r="10951">
      <c r="A10951" s="16" t="s">
        <v>87</v>
      </c>
      <c r="E10951" s="16" t="str">
        <f>IFERROR(__xludf.DUMMYFUNCTION("""COMPUTED_VALUE"""),"")</f>
        <v/>
      </c>
      <c r="G10951" s="18"/>
      <c r="H10951" s="16" t="s">
        <v>87</v>
      </c>
      <c r="I10951" s="16" t="s">
        <v>87</v>
      </c>
      <c r="J10951" s="19"/>
      <c r="L10951" s="16" t="str">
        <f>IFERROR(__xludf.DUMMYFUNCTION("""COMPUTED_VALUE"""),"")</f>
        <v/>
      </c>
      <c r="M10951" s="16" t="str">
        <f>IFERROR(__xludf.DUMMYFUNCTION("""COMPUTED_VALUE"""),"")</f>
        <v/>
      </c>
      <c r="U10951" s="16" t="s">
        <v>87</v>
      </c>
      <c r="V10951" s="16" t="str">
        <f>IFERROR(__xludf.DUMMYFUNCTION("""COMPUTED_VALUE"""),"")</f>
        <v/>
      </c>
      <c r="W10951" s="16" t="str">
        <f>IFERROR(__xludf.DUMMYFUNCTION("""COMPUTED_VALUE"""),"")</f>
        <v/>
      </c>
      <c r="X10951" s="16" t="str">
        <f>IFERROR(__xludf.DUMMYFUNCTION("""COMPUTED_VALUE"""),"")</f>
        <v/>
      </c>
      <c r="AC10951" s="16" t="str">
        <f>IFERROR(__xludf.DUMMYFUNCTION("""COMPUTED_VALUE"""),"")</f>
        <v/>
      </c>
    </row>
    <row r="10952">
      <c r="A10952" s="16" t="s">
        <v>87</v>
      </c>
      <c r="E10952" s="16" t="str">
        <f>IFERROR(__xludf.DUMMYFUNCTION("""COMPUTED_VALUE"""),"")</f>
        <v/>
      </c>
      <c r="G10952" s="18"/>
      <c r="H10952" s="16" t="s">
        <v>87</v>
      </c>
      <c r="I10952" s="16" t="s">
        <v>87</v>
      </c>
      <c r="J10952" s="19"/>
      <c r="L10952" s="16" t="str">
        <f>IFERROR(__xludf.DUMMYFUNCTION("""COMPUTED_VALUE"""),"")</f>
        <v/>
      </c>
      <c r="M10952" s="16" t="str">
        <f>IFERROR(__xludf.DUMMYFUNCTION("""COMPUTED_VALUE"""),"")</f>
        <v/>
      </c>
      <c r="U10952" s="16" t="s">
        <v>87</v>
      </c>
      <c r="V10952" s="16" t="str">
        <f>IFERROR(__xludf.DUMMYFUNCTION("""COMPUTED_VALUE"""),"")</f>
        <v/>
      </c>
      <c r="W10952" s="16" t="str">
        <f>IFERROR(__xludf.DUMMYFUNCTION("""COMPUTED_VALUE"""),"")</f>
        <v/>
      </c>
      <c r="X10952" s="16" t="str">
        <f>IFERROR(__xludf.DUMMYFUNCTION("""COMPUTED_VALUE"""),"")</f>
        <v/>
      </c>
      <c r="AC10952" s="16" t="str">
        <f>IFERROR(__xludf.DUMMYFUNCTION("""COMPUTED_VALUE"""),"")</f>
        <v/>
      </c>
    </row>
    <row r="10953">
      <c r="A10953" s="16" t="s">
        <v>87</v>
      </c>
      <c r="E10953" s="16" t="str">
        <f>IFERROR(__xludf.DUMMYFUNCTION("""COMPUTED_VALUE"""),"")</f>
        <v/>
      </c>
      <c r="G10953" s="18"/>
      <c r="H10953" s="16" t="s">
        <v>87</v>
      </c>
      <c r="I10953" s="16" t="s">
        <v>87</v>
      </c>
      <c r="J10953" s="19"/>
      <c r="L10953" s="16" t="str">
        <f>IFERROR(__xludf.DUMMYFUNCTION("""COMPUTED_VALUE"""),"")</f>
        <v/>
      </c>
      <c r="M10953" s="16" t="str">
        <f>IFERROR(__xludf.DUMMYFUNCTION("""COMPUTED_VALUE"""),"")</f>
        <v/>
      </c>
      <c r="U10953" s="16" t="s">
        <v>87</v>
      </c>
      <c r="V10953" s="16" t="str">
        <f>IFERROR(__xludf.DUMMYFUNCTION("""COMPUTED_VALUE"""),"")</f>
        <v/>
      </c>
      <c r="W10953" s="16" t="str">
        <f>IFERROR(__xludf.DUMMYFUNCTION("""COMPUTED_VALUE"""),"")</f>
        <v/>
      </c>
      <c r="X10953" s="16" t="str">
        <f>IFERROR(__xludf.DUMMYFUNCTION("""COMPUTED_VALUE"""),"")</f>
        <v/>
      </c>
      <c r="AC10953" s="16" t="str">
        <f>IFERROR(__xludf.DUMMYFUNCTION("""COMPUTED_VALUE"""),"")</f>
        <v/>
      </c>
    </row>
    <row r="10954">
      <c r="A10954" s="16" t="s">
        <v>87</v>
      </c>
      <c r="E10954" s="16" t="str">
        <f>IFERROR(__xludf.DUMMYFUNCTION("""COMPUTED_VALUE"""),"")</f>
        <v/>
      </c>
      <c r="G10954" s="18"/>
      <c r="H10954" s="16" t="s">
        <v>87</v>
      </c>
      <c r="I10954" s="16" t="s">
        <v>87</v>
      </c>
      <c r="J10954" s="19"/>
      <c r="L10954" s="16" t="str">
        <f>IFERROR(__xludf.DUMMYFUNCTION("""COMPUTED_VALUE"""),"")</f>
        <v/>
      </c>
      <c r="M10954" s="16" t="str">
        <f>IFERROR(__xludf.DUMMYFUNCTION("""COMPUTED_VALUE"""),"")</f>
        <v/>
      </c>
      <c r="U10954" s="16" t="s">
        <v>87</v>
      </c>
      <c r="V10954" s="16" t="str">
        <f>IFERROR(__xludf.DUMMYFUNCTION("""COMPUTED_VALUE"""),"")</f>
        <v/>
      </c>
      <c r="W10954" s="16" t="str">
        <f>IFERROR(__xludf.DUMMYFUNCTION("""COMPUTED_VALUE"""),"")</f>
        <v/>
      </c>
      <c r="X10954" s="16" t="str">
        <f>IFERROR(__xludf.DUMMYFUNCTION("""COMPUTED_VALUE"""),"")</f>
        <v/>
      </c>
      <c r="AC10954" s="16" t="str">
        <f>IFERROR(__xludf.DUMMYFUNCTION("""COMPUTED_VALUE"""),"")</f>
        <v/>
      </c>
    </row>
    <row r="10955">
      <c r="A10955" s="16" t="s">
        <v>87</v>
      </c>
      <c r="E10955" s="16" t="str">
        <f>IFERROR(__xludf.DUMMYFUNCTION("""COMPUTED_VALUE"""),"")</f>
        <v/>
      </c>
      <c r="G10955" s="18"/>
      <c r="H10955" s="16" t="s">
        <v>87</v>
      </c>
      <c r="I10955" s="16" t="s">
        <v>87</v>
      </c>
      <c r="J10955" s="19"/>
      <c r="L10955" s="16" t="str">
        <f>IFERROR(__xludf.DUMMYFUNCTION("""COMPUTED_VALUE"""),"")</f>
        <v/>
      </c>
      <c r="M10955" s="16" t="str">
        <f>IFERROR(__xludf.DUMMYFUNCTION("""COMPUTED_VALUE"""),"")</f>
        <v/>
      </c>
      <c r="U10955" s="16" t="s">
        <v>87</v>
      </c>
      <c r="V10955" s="16" t="str">
        <f>IFERROR(__xludf.DUMMYFUNCTION("""COMPUTED_VALUE"""),"")</f>
        <v/>
      </c>
      <c r="W10955" s="16" t="str">
        <f>IFERROR(__xludf.DUMMYFUNCTION("""COMPUTED_VALUE"""),"")</f>
        <v/>
      </c>
      <c r="X10955" s="16" t="str">
        <f>IFERROR(__xludf.DUMMYFUNCTION("""COMPUTED_VALUE"""),"")</f>
        <v/>
      </c>
      <c r="AC10955" s="16" t="str">
        <f>IFERROR(__xludf.DUMMYFUNCTION("""COMPUTED_VALUE"""),"")</f>
        <v/>
      </c>
    </row>
    <row r="10956">
      <c r="A10956" s="16" t="s">
        <v>87</v>
      </c>
      <c r="E10956" s="16" t="str">
        <f>IFERROR(__xludf.DUMMYFUNCTION("""COMPUTED_VALUE"""),"")</f>
        <v/>
      </c>
      <c r="G10956" s="18"/>
      <c r="H10956" s="16" t="s">
        <v>87</v>
      </c>
      <c r="I10956" s="16" t="s">
        <v>87</v>
      </c>
      <c r="J10956" s="19"/>
      <c r="L10956" s="16" t="str">
        <f>IFERROR(__xludf.DUMMYFUNCTION("""COMPUTED_VALUE"""),"")</f>
        <v/>
      </c>
      <c r="M10956" s="16" t="str">
        <f>IFERROR(__xludf.DUMMYFUNCTION("""COMPUTED_VALUE"""),"")</f>
        <v/>
      </c>
      <c r="U10956" s="16" t="s">
        <v>87</v>
      </c>
      <c r="V10956" s="16" t="str">
        <f>IFERROR(__xludf.DUMMYFUNCTION("""COMPUTED_VALUE"""),"")</f>
        <v/>
      </c>
      <c r="W10956" s="16" t="str">
        <f>IFERROR(__xludf.DUMMYFUNCTION("""COMPUTED_VALUE"""),"")</f>
        <v/>
      </c>
      <c r="X10956" s="16" t="str">
        <f>IFERROR(__xludf.DUMMYFUNCTION("""COMPUTED_VALUE"""),"")</f>
        <v/>
      </c>
      <c r="AC10956" s="16" t="str">
        <f>IFERROR(__xludf.DUMMYFUNCTION("""COMPUTED_VALUE"""),"")</f>
        <v/>
      </c>
    </row>
    <row r="10957">
      <c r="A10957" s="16" t="s">
        <v>87</v>
      </c>
      <c r="E10957" s="16" t="str">
        <f>IFERROR(__xludf.DUMMYFUNCTION("""COMPUTED_VALUE"""),"")</f>
        <v/>
      </c>
      <c r="G10957" s="18"/>
      <c r="H10957" s="16" t="s">
        <v>87</v>
      </c>
      <c r="I10957" s="16" t="s">
        <v>87</v>
      </c>
      <c r="J10957" s="19"/>
      <c r="L10957" s="16" t="str">
        <f>IFERROR(__xludf.DUMMYFUNCTION("""COMPUTED_VALUE"""),"")</f>
        <v/>
      </c>
      <c r="M10957" s="16" t="str">
        <f>IFERROR(__xludf.DUMMYFUNCTION("""COMPUTED_VALUE"""),"")</f>
        <v/>
      </c>
      <c r="U10957" s="16" t="s">
        <v>87</v>
      </c>
      <c r="V10957" s="16" t="str">
        <f>IFERROR(__xludf.DUMMYFUNCTION("""COMPUTED_VALUE"""),"")</f>
        <v/>
      </c>
      <c r="W10957" s="16" t="str">
        <f>IFERROR(__xludf.DUMMYFUNCTION("""COMPUTED_VALUE"""),"")</f>
        <v/>
      </c>
      <c r="X10957" s="16" t="str">
        <f>IFERROR(__xludf.DUMMYFUNCTION("""COMPUTED_VALUE"""),"")</f>
        <v/>
      </c>
      <c r="AC10957" s="16" t="str">
        <f>IFERROR(__xludf.DUMMYFUNCTION("""COMPUTED_VALUE"""),"")</f>
        <v/>
      </c>
    </row>
    <row r="10958">
      <c r="A10958" s="16" t="s">
        <v>87</v>
      </c>
      <c r="E10958" s="16" t="str">
        <f>IFERROR(__xludf.DUMMYFUNCTION("""COMPUTED_VALUE"""),"")</f>
        <v/>
      </c>
      <c r="G10958" s="18"/>
      <c r="H10958" s="16" t="s">
        <v>87</v>
      </c>
      <c r="I10958" s="16" t="s">
        <v>87</v>
      </c>
      <c r="J10958" s="19"/>
      <c r="L10958" s="16" t="str">
        <f>IFERROR(__xludf.DUMMYFUNCTION("""COMPUTED_VALUE"""),"")</f>
        <v/>
      </c>
      <c r="M10958" s="16" t="str">
        <f>IFERROR(__xludf.DUMMYFUNCTION("""COMPUTED_VALUE"""),"")</f>
        <v/>
      </c>
      <c r="U10958" s="16" t="s">
        <v>87</v>
      </c>
      <c r="V10958" s="16" t="str">
        <f>IFERROR(__xludf.DUMMYFUNCTION("""COMPUTED_VALUE"""),"")</f>
        <v/>
      </c>
      <c r="W10958" s="16" t="str">
        <f>IFERROR(__xludf.DUMMYFUNCTION("""COMPUTED_VALUE"""),"")</f>
        <v/>
      </c>
      <c r="X10958" s="16" t="str">
        <f>IFERROR(__xludf.DUMMYFUNCTION("""COMPUTED_VALUE"""),"")</f>
        <v/>
      </c>
      <c r="AC10958" s="16" t="str">
        <f>IFERROR(__xludf.DUMMYFUNCTION("""COMPUTED_VALUE"""),"")</f>
        <v/>
      </c>
    </row>
    <row r="10959">
      <c r="A10959" s="16" t="s">
        <v>87</v>
      </c>
      <c r="E10959" s="16" t="str">
        <f>IFERROR(__xludf.DUMMYFUNCTION("""COMPUTED_VALUE"""),"")</f>
        <v/>
      </c>
      <c r="G10959" s="18"/>
      <c r="H10959" s="16" t="s">
        <v>87</v>
      </c>
      <c r="I10959" s="16" t="s">
        <v>87</v>
      </c>
      <c r="J10959" s="19"/>
      <c r="L10959" s="16" t="str">
        <f>IFERROR(__xludf.DUMMYFUNCTION("""COMPUTED_VALUE"""),"")</f>
        <v/>
      </c>
      <c r="M10959" s="16" t="str">
        <f>IFERROR(__xludf.DUMMYFUNCTION("""COMPUTED_VALUE"""),"")</f>
        <v/>
      </c>
      <c r="U10959" s="16" t="s">
        <v>87</v>
      </c>
      <c r="V10959" s="16" t="str">
        <f>IFERROR(__xludf.DUMMYFUNCTION("""COMPUTED_VALUE"""),"")</f>
        <v/>
      </c>
      <c r="W10959" s="16" t="str">
        <f>IFERROR(__xludf.DUMMYFUNCTION("""COMPUTED_VALUE"""),"")</f>
        <v/>
      </c>
      <c r="X10959" s="16" t="str">
        <f>IFERROR(__xludf.DUMMYFUNCTION("""COMPUTED_VALUE"""),"")</f>
        <v/>
      </c>
      <c r="AC10959" s="16" t="str">
        <f>IFERROR(__xludf.DUMMYFUNCTION("""COMPUTED_VALUE"""),"")</f>
        <v/>
      </c>
    </row>
    <row r="10960">
      <c r="A10960" s="16" t="s">
        <v>87</v>
      </c>
      <c r="E10960" s="16" t="str">
        <f>IFERROR(__xludf.DUMMYFUNCTION("""COMPUTED_VALUE"""),"")</f>
        <v/>
      </c>
      <c r="G10960" s="18"/>
      <c r="H10960" s="16" t="s">
        <v>87</v>
      </c>
      <c r="I10960" s="16" t="s">
        <v>87</v>
      </c>
      <c r="J10960" s="19"/>
      <c r="L10960" s="16" t="str">
        <f>IFERROR(__xludf.DUMMYFUNCTION("""COMPUTED_VALUE"""),"")</f>
        <v/>
      </c>
      <c r="M10960" s="16" t="str">
        <f>IFERROR(__xludf.DUMMYFUNCTION("""COMPUTED_VALUE"""),"")</f>
        <v/>
      </c>
      <c r="U10960" s="16" t="s">
        <v>87</v>
      </c>
      <c r="V10960" s="16" t="str">
        <f>IFERROR(__xludf.DUMMYFUNCTION("""COMPUTED_VALUE"""),"")</f>
        <v/>
      </c>
      <c r="W10960" s="16" t="str">
        <f>IFERROR(__xludf.DUMMYFUNCTION("""COMPUTED_VALUE"""),"")</f>
        <v/>
      </c>
      <c r="X10960" s="16" t="str">
        <f>IFERROR(__xludf.DUMMYFUNCTION("""COMPUTED_VALUE"""),"")</f>
        <v/>
      </c>
      <c r="AC10960" s="16" t="str">
        <f>IFERROR(__xludf.DUMMYFUNCTION("""COMPUTED_VALUE"""),"")</f>
        <v/>
      </c>
    </row>
    <row r="10961">
      <c r="A10961" s="16" t="s">
        <v>87</v>
      </c>
      <c r="E10961" s="16" t="str">
        <f>IFERROR(__xludf.DUMMYFUNCTION("""COMPUTED_VALUE"""),"")</f>
        <v/>
      </c>
      <c r="G10961" s="18"/>
      <c r="H10961" s="16" t="s">
        <v>87</v>
      </c>
      <c r="I10961" s="16" t="s">
        <v>87</v>
      </c>
      <c r="J10961" s="19"/>
      <c r="L10961" s="16" t="str">
        <f>IFERROR(__xludf.DUMMYFUNCTION("""COMPUTED_VALUE"""),"")</f>
        <v/>
      </c>
      <c r="M10961" s="16" t="str">
        <f>IFERROR(__xludf.DUMMYFUNCTION("""COMPUTED_VALUE"""),"")</f>
        <v/>
      </c>
      <c r="U10961" s="16" t="s">
        <v>87</v>
      </c>
      <c r="V10961" s="16" t="str">
        <f>IFERROR(__xludf.DUMMYFUNCTION("""COMPUTED_VALUE"""),"")</f>
        <v/>
      </c>
      <c r="W10961" s="16" t="str">
        <f>IFERROR(__xludf.DUMMYFUNCTION("""COMPUTED_VALUE"""),"")</f>
        <v/>
      </c>
      <c r="X10961" s="16" t="str">
        <f>IFERROR(__xludf.DUMMYFUNCTION("""COMPUTED_VALUE"""),"")</f>
        <v/>
      </c>
      <c r="AC10961" s="16" t="str">
        <f>IFERROR(__xludf.DUMMYFUNCTION("""COMPUTED_VALUE"""),"")</f>
        <v/>
      </c>
    </row>
    <row r="10962">
      <c r="A10962" s="16" t="s">
        <v>87</v>
      </c>
      <c r="E10962" s="16" t="str">
        <f>IFERROR(__xludf.DUMMYFUNCTION("""COMPUTED_VALUE"""),"")</f>
        <v/>
      </c>
      <c r="G10962" s="18"/>
      <c r="H10962" s="16" t="s">
        <v>87</v>
      </c>
      <c r="I10962" s="16" t="s">
        <v>87</v>
      </c>
      <c r="J10962" s="19"/>
      <c r="L10962" s="16" t="str">
        <f>IFERROR(__xludf.DUMMYFUNCTION("""COMPUTED_VALUE"""),"")</f>
        <v/>
      </c>
      <c r="M10962" s="16" t="str">
        <f>IFERROR(__xludf.DUMMYFUNCTION("""COMPUTED_VALUE"""),"")</f>
        <v/>
      </c>
      <c r="U10962" s="16" t="s">
        <v>87</v>
      </c>
      <c r="V10962" s="16" t="str">
        <f>IFERROR(__xludf.DUMMYFUNCTION("""COMPUTED_VALUE"""),"")</f>
        <v/>
      </c>
      <c r="W10962" s="16" t="str">
        <f>IFERROR(__xludf.DUMMYFUNCTION("""COMPUTED_VALUE"""),"")</f>
        <v/>
      </c>
      <c r="X10962" s="16" t="str">
        <f>IFERROR(__xludf.DUMMYFUNCTION("""COMPUTED_VALUE"""),"")</f>
        <v/>
      </c>
      <c r="AC10962" s="16" t="str">
        <f>IFERROR(__xludf.DUMMYFUNCTION("""COMPUTED_VALUE"""),"")</f>
        <v/>
      </c>
    </row>
    <row r="10963">
      <c r="A10963" s="16" t="s">
        <v>87</v>
      </c>
      <c r="E10963" s="16" t="str">
        <f>IFERROR(__xludf.DUMMYFUNCTION("""COMPUTED_VALUE"""),"")</f>
        <v/>
      </c>
      <c r="G10963" s="18"/>
      <c r="H10963" s="16" t="s">
        <v>87</v>
      </c>
      <c r="I10963" s="16" t="s">
        <v>87</v>
      </c>
      <c r="J10963" s="19"/>
      <c r="L10963" s="16" t="str">
        <f>IFERROR(__xludf.DUMMYFUNCTION("""COMPUTED_VALUE"""),"")</f>
        <v/>
      </c>
      <c r="M10963" s="16" t="str">
        <f>IFERROR(__xludf.DUMMYFUNCTION("""COMPUTED_VALUE"""),"")</f>
        <v/>
      </c>
      <c r="U10963" s="16" t="s">
        <v>87</v>
      </c>
      <c r="V10963" s="16" t="str">
        <f>IFERROR(__xludf.DUMMYFUNCTION("""COMPUTED_VALUE"""),"")</f>
        <v/>
      </c>
      <c r="W10963" s="16" t="str">
        <f>IFERROR(__xludf.DUMMYFUNCTION("""COMPUTED_VALUE"""),"")</f>
        <v/>
      </c>
      <c r="X10963" s="16" t="str">
        <f>IFERROR(__xludf.DUMMYFUNCTION("""COMPUTED_VALUE"""),"")</f>
        <v/>
      </c>
      <c r="AC10963" s="16" t="str">
        <f>IFERROR(__xludf.DUMMYFUNCTION("""COMPUTED_VALUE"""),"")</f>
        <v/>
      </c>
    </row>
    <row r="10964">
      <c r="A10964" s="16" t="s">
        <v>87</v>
      </c>
      <c r="E10964" s="16" t="str">
        <f>IFERROR(__xludf.DUMMYFUNCTION("""COMPUTED_VALUE"""),"")</f>
        <v/>
      </c>
      <c r="G10964" s="18"/>
      <c r="H10964" s="16" t="s">
        <v>87</v>
      </c>
      <c r="I10964" s="16" t="s">
        <v>87</v>
      </c>
      <c r="J10964" s="19"/>
      <c r="L10964" s="16" t="str">
        <f>IFERROR(__xludf.DUMMYFUNCTION("""COMPUTED_VALUE"""),"")</f>
        <v/>
      </c>
      <c r="M10964" s="16" t="str">
        <f>IFERROR(__xludf.DUMMYFUNCTION("""COMPUTED_VALUE"""),"")</f>
        <v/>
      </c>
      <c r="U10964" s="16" t="s">
        <v>87</v>
      </c>
      <c r="V10964" s="16" t="str">
        <f>IFERROR(__xludf.DUMMYFUNCTION("""COMPUTED_VALUE"""),"")</f>
        <v/>
      </c>
      <c r="W10964" s="16" t="str">
        <f>IFERROR(__xludf.DUMMYFUNCTION("""COMPUTED_VALUE"""),"")</f>
        <v/>
      </c>
      <c r="X10964" s="16" t="str">
        <f>IFERROR(__xludf.DUMMYFUNCTION("""COMPUTED_VALUE"""),"")</f>
        <v/>
      </c>
      <c r="AC10964" s="16" t="str">
        <f>IFERROR(__xludf.DUMMYFUNCTION("""COMPUTED_VALUE"""),"")</f>
        <v/>
      </c>
    </row>
    <row r="10965">
      <c r="A10965" s="16" t="s">
        <v>87</v>
      </c>
      <c r="E10965" s="16" t="str">
        <f>IFERROR(__xludf.DUMMYFUNCTION("""COMPUTED_VALUE"""),"")</f>
        <v/>
      </c>
      <c r="G10965" s="18"/>
      <c r="H10965" s="16" t="s">
        <v>87</v>
      </c>
      <c r="I10965" s="16" t="s">
        <v>87</v>
      </c>
      <c r="J10965" s="19"/>
      <c r="L10965" s="16" t="str">
        <f>IFERROR(__xludf.DUMMYFUNCTION("""COMPUTED_VALUE"""),"")</f>
        <v/>
      </c>
      <c r="M10965" s="16" t="str">
        <f>IFERROR(__xludf.DUMMYFUNCTION("""COMPUTED_VALUE"""),"")</f>
        <v/>
      </c>
      <c r="U10965" s="16" t="s">
        <v>87</v>
      </c>
      <c r="V10965" s="16" t="str">
        <f>IFERROR(__xludf.DUMMYFUNCTION("""COMPUTED_VALUE"""),"")</f>
        <v/>
      </c>
      <c r="W10965" s="16" t="str">
        <f>IFERROR(__xludf.DUMMYFUNCTION("""COMPUTED_VALUE"""),"")</f>
        <v/>
      </c>
      <c r="X10965" s="16" t="str">
        <f>IFERROR(__xludf.DUMMYFUNCTION("""COMPUTED_VALUE"""),"")</f>
        <v/>
      </c>
      <c r="AC10965" s="16" t="str">
        <f>IFERROR(__xludf.DUMMYFUNCTION("""COMPUTED_VALUE"""),"")</f>
        <v/>
      </c>
    </row>
    <row r="10966">
      <c r="A10966" s="16" t="s">
        <v>87</v>
      </c>
      <c r="E10966" s="16" t="str">
        <f>IFERROR(__xludf.DUMMYFUNCTION("""COMPUTED_VALUE"""),"")</f>
        <v/>
      </c>
      <c r="G10966" s="18"/>
      <c r="H10966" s="16" t="s">
        <v>87</v>
      </c>
      <c r="I10966" s="16" t="s">
        <v>87</v>
      </c>
      <c r="J10966" s="19"/>
      <c r="L10966" s="16" t="str">
        <f>IFERROR(__xludf.DUMMYFUNCTION("""COMPUTED_VALUE"""),"")</f>
        <v/>
      </c>
      <c r="M10966" s="16" t="str">
        <f>IFERROR(__xludf.DUMMYFUNCTION("""COMPUTED_VALUE"""),"")</f>
        <v/>
      </c>
      <c r="U10966" s="16" t="s">
        <v>87</v>
      </c>
      <c r="V10966" s="16" t="str">
        <f>IFERROR(__xludf.DUMMYFUNCTION("""COMPUTED_VALUE"""),"")</f>
        <v/>
      </c>
      <c r="W10966" s="16" t="str">
        <f>IFERROR(__xludf.DUMMYFUNCTION("""COMPUTED_VALUE"""),"")</f>
        <v/>
      </c>
      <c r="X10966" s="16" t="str">
        <f>IFERROR(__xludf.DUMMYFUNCTION("""COMPUTED_VALUE"""),"")</f>
        <v/>
      </c>
      <c r="AC10966" s="16" t="str">
        <f>IFERROR(__xludf.DUMMYFUNCTION("""COMPUTED_VALUE"""),"")</f>
        <v/>
      </c>
    </row>
    <row r="10967">
      <c r="A10967" s="16" t="s">
        <v>87</v>
      </c>
      <c r="E10967" s="16" t="str">
        <f>IFERROR(__xludf.DUMMYFUNCTION("""COMPUTED_VALUE"""),"")</f>
        <v/>
      </c>
      <c r="G10967" s="18"/>
      <c r="H10967" s="16" t="s">
        <v>87</v>
      </c>
      <c r="I10967" s="16" t="s">
        <v>87</v>
      </c>
      <c r="J10967" s="19"/>
      <c r="L10967" s="16" t="str">
        <f>IFERROR(__xludf.DUMMYFUNCTION("""COMPUTED_VALUE"""),"")</f>
        <v/>
      </c>
      <c r="M10967" s="16" t="str">
        <f>IFERROR(__xludf.DUMMYFUNCTION("""COMPUTED_VALUE"""),"")</f>
        <v/>
      </c>
      <c r="U10967" s="16" t="s">
        <v>87</v>
      </c>
      <c r="V10967" s="16" t="str">
        <f>IFERROR(__xludf.DUMMYFUNCTION("""COMPUTED_VALUE"""),"")</f>
        <v/>
      </c>
      <c r="W10967" s="16" t="str">
        <f>IFERROR(__xludf.DUMMYFUNCTION("""COMPUTED_VALUE"""),"")</f>
        <v/>
      </c>
      <c r="X10967" s="16" t="str">
        <f>IFERROR(__xludf.DUMMYFUNCTION("""COMPUTED_VALUE"""),"")</f>
        <v/>
      </c>
      <c r="AC10967" s="16" t="str">
        <f>IFERROR(__xludf.DUMMYFUNCTION("""COMPUTED_VALUE"""),"")</f>
        <v/>
      </c>
    </row>
    <row r="10968">
      <c r="A10968" s="16" t="s">
        <v>87</v>
      </c>
      <c r="E10968" s="16" t="str">
        <f>IFERROR(__xludf.DUMMYFUNCTION("""COMPUTED_VALUE"""),"")</f>
        <v/>
      </c>
      <c r="G10968" s="18"/>
      <c r="H10968" s="16" t="s">
        <v>87</v>
      </c>
      <c r="I10968" s="16" t="s">
        <v>87</v>
      </c>
      <c r="J10968" s="19"/>
      <c r="L10968" s="16" t="str">
        <f>IFERROR(__xludf.DUMMYFUNCTION("""COMPUTED_VALUE"""),"")</f>
        <v/>
      </c>
      <c r="M10968" s="16" t="str">
        <f>IFERROR(__xludf.DUMMYFUNCTION("""COMPUTED_VALUE"""),"")</f>
        <v/>
      </c>
      <c r="U10968" s="16" t="s">
        <v>87</v>
      </c>
      <c r="V10968" s="16" t="str">
        <f>IFERROR(__xludf.DUMMYFUNCTION("""COMPUTED_VALUE"""),"")</f>
        <v/>
      </c>
      <c r="W10968" s="16" t="str">
        <f>IFERROR(__xludf.DUMMYFUNCTION("""COMPUTED_VALUE"""),"")</f>
        <v/>
      </c>
      <c r="X10968" s="16" t="str">
        <f>IFERROR(__xludf.DUMMYFUNCTION("""COMPUTED_VALUE"""),"")</f>
        <v/>
      </c>
      <c r="AC10968" s="16" t="str">
        <f>IFERROR(__xludf.DUMMYFUNCTION("""COMPUTED_VALUE"""),"")</f>
        <v/>
      </c>
    </row>
    <row r="10969">
      <c r="A10969" s="16" t="s">
        <v>87</v>
      </c>
      <c r="E10969" s="16" t="str">
        <f>IFERROR(__xludf.DUMMYFUNCTION("""COMPUTED_VALUE"""),"")</f>
        <v/>
      </c>
      <c r="G10969" s="18"/>
      <c r="H10969" s="16" t="s">
        <v>87</v>
      </c>
      <c r="I10969" s="16" t="s">
        <v>87</v>
      </c>
      <c r="J10969" s="19"/>
      <c r="L10969" s="16" t="str">
        <f>IFERROR(__xludf.DUMMYFUNCTION("""COMPUTED_VALUE"""),"")</f>
        <v/>
      </c>
      <c r="M10969" s="16" t="str">
        <f>IFERROR(__xludf.DUMMYFUNCTION("""COMPUTED_VALUE"""),"")</f>
        <v/>
      </c>
      <c r="U10969" s="16" t="s">
        <v>87</v>
      </c>
      <c r="V10969" s="16" t="str">
        <f>IFERROR(__xludf.DUMMYFUNCTION("""COMPUTED_VALUE"""),"")</f>
        <v/>
      </c>
      <c r="W10969" s="16" t="str">
        <f>IFERROR(__xludf.DUMMYFUNCTION("""COMPUTED_VALUE"""),"")</f>
        <v/>
      </c>
      <c r="X10969" s="16" t="str">
        <f>IFERROR(__xludf.DUMMYFUNCTION("""COMPUTED_VALUE"""),"")</f>
        <v/>
      </c>
      <c r="AC10969" s="16" t="str">
        <f>IFERROR(__xludf.DUMMYFUNCTION("""COMPUTED_VALUE"""),"")</f>
        <v/>
      </c>
    </row>
    <row r="10970">
      <c r="A10970" s="16" t="s">
        <v>87</v>
      </c>
      <c r="E10970" s="16" t="str">
        <f>IFERROR(__xludf.DUMMYFUNCTION("""COMPUTED_VALUE"""),"")</f>
        <v/>
      </c>
      <c r="G10970" s="18"/>
      <c r="H10970" s="16" t="s">
        <v>87</v>
      </c>
      <c r="I10970" s="16" t="s">
        <v>87</v>
      </c>
      <c r="J10970" s="19"/>
      <c r="L10970" s="16" t="str">
        <f>IFERROR(__xludf.DUMMYFUNCTION("""COMPUTED_VALUE"""),"")</f>
        <v/>
      </c>
      <c r="M10970" s="16" t="str">
        <f>IFERROR(__xludf.DUMMYFUNCTION("""COMPUTED_VALUE"""),"")</f>
        <v/>
      </c>
      <c r="U10970" s="16" t="s">
        <v>87</v>
      </c>
      <c r="V10970" s="16" t="str">
        <f>IFERROR(__xludf.DUMMYFUNCTION("""COMPUTED_VALUE"""),"")</f>
        <v/>
      </c>
      <c r="W10970" s="16" t="str">
        <f>IFERROR(__xludf.DUMMYFUNCTION("""COMPUTED_VALUE"""),"")</f>
        <v/>
      </c>
      <c r="X10970" s="16" t="str">
        <f>IFERROR(__xludf.DUMMYFUNCTION("""COMPUTED_VALUE"""),"")</f>
        <v/>
      </c>
      <c r="AC10970" s="16" t="str">
        <f>IFERROR(__xludf.DUMMYFUNCTION("""COMPUTED_VALUE"""),"")</f>
        <v/>
      </c>
    </row>
    <row r="10971">
      <c r="A10971" s="16" t="s">
        <v>87</v>
      </c>
      <c r="E10971" s="16" t="str">
        <f>IFERROR(__xludf.DUMMYFUNCTION("""COMPUTED_VALUE"""),"")</f>
        <v/>
      </c>
      <c r="G10971" s="18"/>
      <c r="H10971" s="16" t="s">
        <v>87</v>
      </c>
      <c r="I10971" s="16" t="s">
        <v>87</v>
      </c>
      <c r="J10971" s="19"/>
      <c r="L10971" s="16" t="str">
        <f>IFERROR(__xludf.DUMMYFUNCTION("""COMPUTED_VALUE"""),"")</f>
        <v/>
      </c>
      <c r="M10971" s="16" t="str">
        <f>IFERROR(__xludf.DUMMYFUNCTION("""COMPUTED_VALUE"""),"")</f>
        <v/>
      </c>
      <c r="U10971" s="16" t="s">
        <v>87</v>
      </c>
      <c r="V10971" s="16" t="str">
        <f>IFERROR(__xludf.DUMMYFUNCTION("""COMPUTED_VALUE"""),"")</f>
        <v/>
      </c>
      <c r="W10971" s="16" t="str">
        <f>IFERROR(__xludf.DUMMYFUNCTION("""COMPUTED_VALUE"""),"")</f>
        <v/>
      </c>
      <c r="X10971" s="16" t="str">
        <f>IFERROR(__xludf.DUMMYFUNCTION("""COMPUTED_VALUE"""),"")</f>
        <v/>
      </c>
      <c r="AC10971" s="16" t="str">
        <f>IFERROR(__xludf.DUMMYFUNCTION("""COMPUTED_VALUE"""),"")</f>
        <v/>
      </c>
    </row>
    <row r="10972">
      <c r="A10972" s="16" t="s">
        <v>87</v>
      </c>
      <c r="E10972" s="16" t="str">
        <f>IFERROR(__xludf.DUMMYFUNCTION("""COMPUTED_VALUE"""),"")</f>
        <v/>
      </c>
      <c r="G10972" s="18"/>
      <c r="H10972" s="16" t="s">
        <v>87</v>
      </c>
      <c r="I10972" s="16" t="s">
        <v>87</v>
      </c>
      <c r="J10972" s="19"/>
      <c r="L10972" s="16" t="str">
        <f>IFERROR(__xludf.DUMMYFUNCTION("""COMPUTED_VALUE"""),"")</f>
        <v/>
      </c>
      <c r="M10972" s="16" t="str">
        <f>IFERROR(__xludf.DUMMYFUNCTION("""COMPUTED_VALUE"""),"")</f>
        <v/>
      </c>
      <c r="U10972" s="16" t="s">
        <v>87</v>
      </c>
      <c r="V10972" s="16" t="str">
        <f>IFERROR(__xludf.DUMMYFUNCTION("""COMPUTED_VALUE"""),"")</f>
        <v/>
      </c>
      <c r="W10972" s="16" t="str">
        <f>IFERROR(__xludf.DUMMYFUNCTION("""COMPUTED_VALUE"""),"")</f>
        <v/>
      </c>
      <c r="X10972" s="16" t="str">
        <f>IFERROR(__xludf.DUMMYFUNCTION("""COMPUTED_VALUE"""),"")</f>
        <v/>
      </c>
      <c r="AC10972" s="16" t="str">
        <f>IFERROR(__xludf.DUMMYFUNCTION("""COMPUTED_VALUE"""),"")</f>
        <v/>
      </c>
    </row>
    <row r="10973">
      <c r="A10973" s="16" t="s">
        <v>87</v>
      </c>
      <c r="E10973" s="16" t="str">
        <f>IFERROR(__xludf.DUMMYFUNCTION("""COMPUTED_VALUE"""),"")</f>
        <v/>
      </c>
      <c r="G10973" s="18"/>
      <c r="H10973" s="16" t="s">
        <v>87</v>
      </c>
      <c r="I10973" s="16" t="s">
        <v>87</v>
      </c>
      <c r="J10973" s="19"/>
      <c r="L10973" s="16" t="str">
        <f>IFERROR(__xludf.DUMMYFUNCTION("""COMPUTED_VALUE"""),"")</f>
        <v/>
      </c>
      <c r="M10973" s="16" t="str">
        <f>IFERROR(__xludf.DUMMYFUNCTION("""COMPUTED_VALUE"""),"")</f>
        <v/>
      </c>
      <c r="U10973" s="16" t="s">
        <v>87</v>
      </c>
      <c r="V10973" s="16" t="str">
        <f>IFERROR(__xludf.DUMMYFUNCTION("""COMPUTED_VALUE"""),"")</f>
        <v/>
      </c>
      <c r="W10973" s="16" t="str">
        <f>IFERROR(__xludf.DUMMYFUNCTION("""COMPUTED_VALUE"""),"")</f>
        <v/>
      </c>
      <c r="X10973" s="16" t="str">
        <f>IFERROR(__xludf.DUMMYFUNCTION("""COMPUTED_VALUE"""),"")</f>
        <v/>
      </c>
      <c r="AC10973" s="16" t="str">
        <f>IFERROR(__xludf.DUMMYFUNCTION("""COMPUTED_VALUE"""),"")</f>
        <v/>
      </c>
    </row>
    <row r="10974">
      <c r="A10974" s="16" t="s">
        <v>87</v>
      </c>
      <c r="E10974" s="16" t="str">
        <f>IFERROR(__xludf.DUMMYFUNCTION("""COMPUTED_VALUE"""),"")</f>
        <v/>
      </c>
      <c r="G10974" s="18"/>
      <c r="H10974" s="16" t="s">
        <v>87</v>
      </c>
      <c r="I10974" s="16" t="s">
        <v>87</v>
      </c>
      <c r="J10974" s="19"/>
      <c r="L10974" s="16" t="str">
        <f>IFERROR(__xludf.DUMMYFUNCTION("""COMPUTED_VALUE"""),"")</f>
        <v/>
      </c>
      <c r="M10974" s="16" t="str">
        <f>IFERROR(__xludf.DUMMYFUNCTION("""COMPUTED_VALUE"""),"")</f>
        <v/>
      </c>
      <c r="U10974" s="16" t="s">
        <v>87</v>
      </c>
      <c r="V10974" s="16" t="str">
        <f>IFERROR(__xludf.DUMMYFUNCTION("""COMPUTED_VALUE"""),"")</f>
        <v/>
      </c>
      <c r="W10974" s="16" t="str">
        <f>IFERROR(__xludf.DUMMYFUNCTION("""COMPUTED_VALUE"""),"")</f>
        <v/>
      </c>
      <c r="X10974" s="16" t="str">
        <f>IFERROR(__xludf.DUMMYFUNCTION("""COMPUTED_VALUE"""),"")</f>
        <v/>
      </c>
      <c r="AC10974" s="16" t="str">
        <f>IFERROR(__xludf.DUMMYFUNCTION("""COMPUTED_VALUE"""),"")</f>
        <v/>
      </c>
    </row>
    <row r="10975">
      <c r="A10975" s="16" t="s">
        <v>87</v>
      </c>
      <c r="E10975" s="16" t="str">
        <f>IFERROR(__xludf.DUMMYFUNCTION("""COMPUTED_VALUE"""),"")</f>
        <v/>
      </c>
      <c r="G10975" s="18"/>
      <c r="H10975" s="16" t="s">
        <v>87</v>
      </c>
      <c r="I10975" s="16" t="s">
        <v>87</v>
      </c>
      <c r="J10975" s="19"/>
      <c r="L10975" s="16" t="str">
        <f>IFERROR(__xludf.DUMMYFUNCTION("""COMPUTED_VALUE"""),"")</f>
        <v/>
      </c>
      <c r="M10975" s="16" t="str">
        <f>IFERROR(__xludf.DUMMYFUNCTION("""COMPUTED_VALUE"""),"")</f>
        <v/>
      </c>
      <c r="U10975" s="16" t="s">
        <v>87</v>
      </c>
      <c r="V10975" s="16" t="str">
        <f>IFERROR(__xludf.DUMMYFUNCTION("""COMPUTED_VALUE"""),"")</f>
        <v/>
      </c>
      <c r="W10975" s="16" t="str">
        <f>IFERROR(__xludf.DUMMYFUNCTION("""COMPUTED_VALUE"""),"")</f>
        <v/>
      </c>
      <c r="X10975" s="16" t="str">
        <f>IFERROR(__xludf.DUMMYFUNCTION("""COMPUTED_VALUE"""),"")</f>
        <v/>
      </c>
      <c r="AC10975" s="16" t="str">
        <f>IFERROR(__xludf.DUMMYFUNCTION("""COMPUTED_VALUE"""),"")</f>
        <v/>
      </c>
    </row>
    <row r="10976">
      <c r="A10976" s="16" t="s">
        <v>87</v>
      </c>
      <c r="E10976" s="16" t="str">
        <f>IFERROR(__xludf.DUMMYFUNCTION("""COMPUTED_VALUE"""),"")</f>
        <v/>
      </c>
      <c r="G10976" s="18"/>
      <c r="H10976" s="16" t="s">
        <v>87</v>
      </c>
      <c r="I10976" s="16" t="s">
        <v>87</v>
      </c>
      <c r="J10976" s="19"/>
      <c r="L10976" s="16" t="str">
        <f>IFERROR(__xludf.DUMMYFUNCTION("""COMPUTED_VALUE"""),"")</f>
        <v/>
      </c>
      <c r="M10976" s="16" t="str">
        <f>IFERROR(__xludf.DUMMYFUNCTION("""COMPUTED_VALUE"""),"")</f>
        <v/>
      </c>
      <c r="U10976" s="16" t="s">
        <v>87</v>
      </c>
      <c r="V10976" s="16" t="str">
        <f>IFERROR(__xludf.DUMMYFUNCTION("""COMPUTED_VALUE"""),"")</f>
        <v/>
      </c>
      <c r="W10976" s="16" t="str">
        <f>IFERROR(__xludf.DUMMYFUNCTION("""COMPUTED_VALUE"""),"")</f>
        <v/>
      </c>
      <c r="X10976" s="16" t="str">
        <f>IFERROR(__xludf.DUMMYFUNCTION("""COMPUTED_VALUE"""),"")</f>
        <v/>
      </c>
      <c r="AC10976" s="16" t="str">
        <f>IFERROR(__xludf.DUMMYFUNCTION("""COMPUTED_VALUE"""),"")</f>
        <v/>
      </c>
    </row>
    <row r="10977">
      <c r="A10977" s="16" t="s">
        <v>87</v>
      </c>
      <c r="E10977" s="16" t="str">
        <f>IFERROR(__xludf.DUMMYFUNCTION("""COMPUTED_VALUE"""),"")</f>
        <v/>
      </c>
      <c r="G10977" s="18"/>
      <c r="H10977" s="16" t="s">
        <v>87</v>
      </c>
      <c r="I10977" s="16" t="s">
        <v>87</v>
      </c>
      <c r="J10977" s="19"/>
      <c r="L10977" s="16" t="str">
        <f>IFERROR(__xludf.DUMMYFUNCTION("""COMPUTED_VALUE"""),"")</f>
        <v/>
      </c>
      <c r="M10977" s="16" t="str">
        <f>IFERROR(__xludf.DUMMYFUNCTION("""COMPUTED_VALUE"""),"")</f>
        <v/>
      </c>
      <c r="U10977" s="16" t="s">
        <v>87</v>
      </c>
      <c r="V10977" s="16" t="str">
        <f>IFERROR(__xludf.DUMMYFUNCTION("""COMPUTED_VALUE"""),"")</f>
        <v/>
      </c>
      <c r="W10977" s="16" t="str">
        <f>IFERROR(__xludf.DUMMYFUNCTION("""COMPUTED_VALUE"""),"")</f>
        <v/>
      </c>
      <c r="X10977" s="16" t="str">
        <f>IFERROR(__xludf.DUMMYFUNCTION("""COMPUTED_VALUE"""),"")</f>
        <v/>
      </c>
      <c r="AC10977" s="16" t="str">
        <f>IFERROR(__xludf.DUMMYFUNCTION("""COMPUTED_VALUE"""),"")</f>
        <v/>
      </c>
    </row>
    <row r="10978">
      <c r="A10978" s="16" t="s">
        <v>87</v>
      </c>
      <c r="E10978" s="16" t="str">
        <f>IFERROR(__xludf.DUMMYFUNCTION("""COMPUTED_VALUE"""),"")</f>
        <v/>
      </c>
      <c r="G10978" s="18"/>
      <c r="H10978" s="16" t="s">
        <v>87</v>
      </c>
      <c r="I10978" s="16" t="s">
        <v>87</v>
      </c>
      <c r="J10978" s="19"/>
      <c r="L10978" s="16" t="str">
        <f>IFERROR(__xludf.DUMMYFUNCTION("""COMPUTED_VALUE"""),"")</f>
        <v/>
      </c>
      <c r="M10978" s="16" t="str">
        <f>IFERROR(__xludf.DUMMYFUNCTION("""COMPUTED_VALUE"""),"")</f>
        <v/>
      </c>
      <c r="U10978" s="16" t="s">
        <v>87</v>
      </c>
      <c r="V10978" s="16" t="str">
        <f>IFERROR(__xludf.DUMMYFUNCTION("""COMPUTED_VALUE"""),"")</f>
        <v/>
      </c>
      <c r="W10978" s="16" t="str">
        <f>IFERROR(__xludf.DUMMYFUNCTION("""COMPUTED_VALUE"""),"")</f>
        <v/>
      </c>
      <c r="X10978" s="16" t="str">
        <f>IFERROR(__xludf.DUMMYFUNCTION("""COMPUTED_VALUE"""),"")</f>
        <v/>
      </c>
      <c r="AC10978" s="16" t="str">
        <f>IFERROR(__xludf.DUMMYFUNCTION("""COMPUTED_VALUE"""),"")</f>
        <v/>
      </c>
    </row>
    <row r="10979">
      <c r="A10979" s="16" t="s">
        <v>87</v>
      </c>
      <c r="E10979" s="16" t="str">
        <f>IFERROR(__xludf.DUMMYFUNCTION("""COMPUTED_VALUE"""),"")</f>
        <v/>
      </c>
      <c r="G10979" s="18"/>
      <c r="H10979" s="16" t="s">
        <v>87</v>
      </c>
      <c r="I10979" s="16" t="s">
        <v>87</v>
      </c>
      <c r="J10979" s="19"/>
      <c r="L10979" s="16" t="str">
        <f>IFERROR(__xludf.DUMMYFUNCTION("""COMPUTED_VALUE"""),"")</f>
        <v/>
      </c>
      <c r="M10979" s="16" t="str">
        <f>IFERROR(__xludf.DUMMYFUNCTION("""COMPUTED_VALUE"""),"")</f>
        <v/>
      </c>
      <c r="U10979" s="16" t="s">
        <v>87</v>
      </c>
      <c r="V10979" s="16" t="str">
        <f>IFERROR(__xludf.DUMMYFUNCTION("""COMPUTED_VALUE"""),"")</f>
        <v/>
      </c>
      <c r="W10979" s="16" t="str">
        <f>IFERROR(__xludf.DUMMYFUNCTION("""COMPUTED_VALUE"""),"")</f>
        <v/>
      </c>
      <c r="X10979" s="16" t="str">
        <f>IFERROR(__xludf.DUMMYFUNCTION("""COMPUTED_VALUE"""),"")</f>
        <v/>
      </c>
      <c r="AC10979" s="16" t="str">
        <f>IFERROR(__xludf.DUMMYFUNCTION("""COMPUTED_VALUE"""),"")</f>
        <v/>
      </c>
    </row>
    <row r="10980">
      <c r="A10980" s="16" t="s">
        <v>87</v>
      </c>
      <c r="E10980" s="16" t="str">
        <f>IFERROR(__xludf.DUMMYFUNCTION("""COMPUTED_VALUE"""),"")</f>
        <v/>
      </c>
      <c r="G10980" s="18"/>
      <c r="H10980" s="16" t="s">
        <v>87</v>
      </c>
      <c r="I10980" s="16" t="s">
        <v>87</v>
      </c>
      <c r="J10980" s="19"/>
      <c r="L10980" s="16" t="str">
        <f>IFERROR(__xludf.DUMMYFUNCTION("""COMPUTED_VALUE"""),"")</f>
        <v/>
      </c>
      <c r="M10980" s="16" t="str">
        <f>IFERROR(__xludf.DUMMYFUNCTION("""COMPUTED_VALUE"""),"")</f>
        <v/>
      </c>
      <c r="U10980" s="16" t="s">
        <v>87</v>
      </c>
      <c r="V10980" s="16" t="str">
        <f>IFERROR(__xludf.DUMMYFUNCTION("""COMPUTED_VALUE"""),"")</f>
        <v/>
      </c>
      <c r="W10980" s="16" t="str">
        <f>IFERROR(__xludf.DUMMYFUNCTION("""COMPUTED_VALUE"""),"")</f>
        <v/>
      </c>
      <c r="X10980" s="16" t="str">
        <f>IFERROR(__xludf.DUMMYFUNCTION("""COMPUTED_VALUE"""),"")</f>
        <v/>
      </c>
      <c r="AC10980" s="16" t="str">
        <f>IFERROR(__xludf.DUMMYFUNCTION("""COMPUTED_VALUE"""),"")</f>
        <v/>
      </c>
    </row>
    <row r="10981">
      <c r="A10981" s="16" t="s">
        <v>87</v>
      </c>
      <c r="E10981" s="16" t="str">
        <f>IFERROR(__xludf.DUMMYFUNCTION("""COMPUTED_VALUE"""),"")</f>
        <v/>
      </c>
      <c r="G10981" s="18"/>
      <c r="H10981" s="16" t="s">
        <v>87</v>
      </c>
      <c r="I10981" s="16" t="s">
        <v>87</v>
      </c>
      <c r="J10981" s="19"/>
      <c r="L10981" s="16" t="str">
        <f>IFERROR(__xludf.DUMMYFUNCTION("""COMPUTED_VALUE"""),"")</f>
        <v/>
      </c>
      <c r="M10981" s="16" t="str">
        <f>IFERROR(__xludf.DUMMYFUNCTION("""COMPUTED_VALUE"""),"")</f>
        <v/>
      </c>
      <c r="U10981" s="16" t="s">
        <v>87</v>
      </c>
      <c r="V10981" s="16" t="str">
        <f>IFERROR(__xludf.DUMMYFUNCTION("""COMPUTED_VALUE"""),"")</f>
        <v/>
      </c>
      <c r="W10981" s="16" t="str">
        <f>IFERROR(__xludf.DUMMYFUNCTION("""COMPUTED_VALUE"""),"")</f>
        <v/>
      </c>
      <c r="X10981" s="16" t="str">
        <f>IFERROR(__xludf.DUMMYFUNCTION("""COMPUTED_VALUE"""),"")</f>
        <v/>
      </c>
      <c r="AC10981" s="16" t="str">
        <f>IFERROR(__xludf.DUMMYFUNCTION("""COMPUTED_VALUE"""),"")</f>
        <v/>
      </c>
    </row>
    <row r="10982">
      <c r="A10982" s="16" t="s">
        <v>87</v>
      </c>
      <c r="E10982" s="16" t="str">
        <f>IFERROR(__xludf.DUMMYFUNCTION("""COMPUTED_VALUE"""),"")</f>
        <v/>
      </c>
      <c r="G10982" s="18"/>
      <c r="H10982" s="16" t="s">
        <v>87</v>
      </c>
      <c r="I10982" s="16" t="s">
        <v>87</v>
      </c>
      <c r="J10982" s="19"/>
      <c r="L10982" s="16" t="str">
        <f>IFERROR(__xludf.DUMMYFUNCTION("""COMPUTED_VALUE"""),"")</f>
        <v/>
      </c>
      <c r="M10982" s="16" t="str">
        <f>IFERROR(__xludf.DUMMYFUNCTION("""COMPUTED_VALUE"""),"")</f>
        <v/>
      </c>
      <c r="U10982" s="16" t="s">
        <v>87</v>
      </c>
      <c r="V10982" s="16" t="str">
        <f>IFERROR(__xludf.DUMMYFUNCTION("""COMPUTED_VALUE"""),"")</f>
        <v/>
      </c>
      <c r="W10982" s="16" t="str">
        <f>IFERROR(__xludf.DUMMYFUNCTION("""COMPUTED_VALUE"""),"")</f>
        <v/>
      </c>
      <c r="X10982" s="16" t="str">
        <f>IFERROR(__xludf.DUMMYFUNCTION("""COMPUTED_VALUE"""),"")</f>
        <v/>
      </c>
      <c r="AC10982" s="16" t="str">
        <f>IFERROR(__xludf.DUMMYFUNCTION("""COMPUTED_VALUE"""),"")</f>
        <v/>
      </c>
    </row>
    <row r="10983">
      <c r="A10983" s="16" t="s">
        <v>87</v>
      </c>
      <c r="E10983" s="16" t="str">
        <f>IFERROR(__xludf.DUMMYFUNCTION("""COMPUTED_VALUE"""),"")</f>
        <v/>
      </c>
      <c r="G10983" s="18"/>
      <c r="H10983" s="16" t="s">
        <v>87</v>
      </c>
      <c r="I10983" s="16" t="s">
        <v>87</v>
      </c>
      <c r="J10983" s="19"/>
      <c r="L10983" s="16" t="str">
        <f>IFERROR(__xludf.DUMMYFUNCTION("""COMPUTED_VALUE"""),"")</f>
        <v/>
      </c>
      <c r="M10983" s="16" t="str">
        <f>IFERROR(__xludf.DUMMYFUNCTION("""COMPUTED_VALUE"""),"")</f>
        <v/>
      </c>
      <c r="U10983" s="16" t="s">
        <v>87</v>
      </c>
      <c r="V10983" s="16" t="str">
        <f>IFERROR(__xludf.DUMMYFUNCTION("""COMPUTED_VALUE"""),"")</f>
        <v/>
      </c>
      <c r="W10983" s="16" t="str">
        <f>IFERROR(__xludf.DUMMYFUNCTION("""COMPUTED_VALUE"""),"")</f>
        <v/>
      </c>
      <c r="X10983" s="16" t="str">
        <f>IFERROR(__xludf.DUMMYFUNCTION("""COMPUTED_VALUE"""),"")</f>
        <v/>
      </c>
      <c r="AC10983" s="16" t="str">
        <f>IFERROR(__xludf.DUMMYFUNCTION("""COMPUTED_VALUE"""),"")</f>
        <v/>
      </c>
    </row>
    <row r="10984">
      <c r="A10984" s="16" t="s">
        <v>87</v>
      </c>
      <c r="E10984" s="16" t="str">
        <f>IFERROR(__xludf.DUMMYFUNCTION("""COMPUTED_VALUE"""),"")</f>
        <v/>
      </c>
      <c r="G10984" s="18"/>
      <c r="H10984" s="16" t="s">
        <v>87</v>
      </c>
      <c r="I10984" s="16" t="s">
        <v>87</v>
      </c>
      <c r="J10984" s="19"/>
      <c r="L10984" s="16" t="str">
        <f>IFERROR(__xludf.DUMMYFUNCTION("""COMPUTED_VALUE"""),"")</f>
        <v/>
      </c>
      <c r="M10984" s="16" t="str">
        <f>IFERROR(__xludf.DUMMYFUNCTION("""COMPUTED_VALUE"""),"")</f>
        <v/>
      </c>
      <c r="U10984" s="16" t="s">
        <v>87</v>
      </c>
      <c r="V10984" s="16" t="str">
        <f>IFERROR(__xludf.DUMMYFUNCTION("""COMPUTED_VALUE"""),"")</f>
        <v/>
      </c>
      <c r="W10984" s="16" t="str">
        <f>IFERROR(__xludf.DUMMYFUNCTION("""COMPUTED_VALUE"""),"")</f>
        <v/>
      </c>
      <c r="X10984" s="16" t="str">
        <f>IFERROR(__xludf.DUMMYFUNCTION("""COMPUTED_VALUE"""),"")</f>
        <v/>
      </c>
      <c r="AC10984" s="16" t="str">
        <f>IFERROR(__xludf.DUMMYFUNCTION("""COMPUTED_VALUE"""),"")</f>
        <v/>
      </c>
    </row>
    <row r="10985">
      <c r="A10985" s="16" t="s">
        <v>87</v>
      </c>
      <c r="E10985" s="16" t="str">
        <f>IFERROR(__xludf.DUMMYFUNCTION("""COMPUTED_VALUE"""),"")</f>
        <v/>
      </c>
      <c r="G10985" s="18"/>
      <c r="H10985" s="16" t="s">
        <v>87</v>
      </c>
      <c r="I10985" s="16" t="s">
        <v>87</v>
      </c>
      <c r="J10985" s="19"/>
      <c r="L10985" s="16" t="str">
        <f>IFERROR(__xludf.DUMMYFUNCTION("""COMPUTED_VALUE"""),"")</f>
        <v/>
      </c>
      <c r="M10985" s="16" t="str">
        <f>IFERROR(__xludf.DUMMYFUNCTION("""COMPUTED_VALUE"""),"")</f>
        <v/>
      </c>
      <c r="U10985" s="16" t="s">
        <v>87</v>
      </c>
      <c r="V10985" s="16" t="str">
        <f>IFERROR(__xludf.DUMMYFUNCTION("""COMPUTED_VALUE"""),"")</f>
        <v/>
      </c>
      <c r="W10985" s="16" t="str">
        <f>IFERROR(__xludf.DUMMYFUNCTION("""COMPUTED_VALUE"""),"")</f>
        <v/>
      </c>
      <c r="X10985" s="16" t="str">
        <f>IFERROR(__xludf.DUMMYFUNCTION("""COMPUTED_VALUE"""),"")</f>
        <v/>
      </c>
      <c r="AC10985" s="16" t="str">
        <f>IFERROR(__xludf.DUMMYFUNCTION("""COMPUTED_VALUE"""),"")</f>
        <v/>
      </c>
    </row>
    <row r="10986">
      <c r="A10986" s="16" t="s">
        <v>87</v>
      </c>
      <c r="E10986" s="16" t="str">
        <f>IFERROR(__xludf.DUMMYFUNCTION("""COMPUTED_VALUE"""),"")</f>
        <v/>
      </c>
      <c r="G10986" s="18"/>
      <c r="H10986" s="16" t="s">
        <v>87</v>
      </c>
      <c r="I10986" s="16" t="s">
        <v>87</v>
      </c>
      <c r="J10986" s="19"/>
      <c r="L10986" s="16" t="str">
        <f>IFERROR(__xludf.DUMMYFUNCTION("""COMPUTED_VALUE"""),"")</f>
        <v/>
      </c>
      <c r="M10986" s="16" t="str">
        <f>IFERROR(__xludf.DUMMYFUNCTION("""COMPUTED_VALUE"""),"")</f>
        <v/>
      </c>
      <c r="U10986" s="16" t="s">
        <v>87</v>
      </c>
      <c r="V10986" s="16" t="str">
        <f>IFERROR(__xludf.DUMMYFUNCTION("""COMPUTED_VALUE"""),"")</f>
        <v/>
      </c>
      <c r="W10986" s="16" t="str">
        <f>IFERROR(__xludf.DUMMYFUNCTION("""COMPUTED_VALUE"""),"")</f>
        <v/>
      </c>
      <c r="X10986" s="16" t="str">
        <f>IFERROR(__xludf.DUMMYFUNCTION("""COMPUTED_VALUE"""),"")</f>
        <v/>
      </c>
      <c r="AC10986" s="16" t="str">
        <f>IFERROR(__xludf.DUMMYFUNCTION("""COMPUTED_VALUE"""),"")</f>
        <v/>
      </c>
    </row>
    <row r="10987">
      <c r="A10987" s="16" t="s">
        <v>87</v>
      </c>
      <c r="E10987" s="16" t="str">
        <f>IFERROR(__xludf.DUMMYFUNCTION("""COMPUTED_VALUE"""),"")</f>
        <v/>
      </c>
      <c r="G10987" s="18"/>
      <c r="H10987" s="16" t="s">
        <v>87</v>
      </c>
      <c r="I10987" s="16" t="s">
        <v>87</v>
      </c>
      <c r="J10987" s="19"/>
      <c r="L10987" s="16" t="str">
        <f>IFERROR(__xludf.DUMMYFUNCTION("""COMPUTED_VALUE"""),"")</f>
        <v/>
      </c>
      <c r="M10987" s="16" t="str">
        <f>IFERROR(__xludf.DUMMYFUNCTION("""COMPUTED_VALUE"""),"")</f>
        <v/>
      </c>
      <c r="U10987" s="16" t="s">
        <v>87</v>
      </c>
      <c r="V10987" s="16" t="str">
        <f>IFERROR(__xludf.DUMMYFUNCTION("""COMPUTED_VALUE"""),"")</f>
        <v/>
      </c>
      <c r="W10987" s="16" t="str">
        <f>IFERROR(__xludf.DUMMYFUNCTION("""COMPUTED_VALUE"""),"")</f>
        <v/>
      </c>
      <c r="X10987" s="16" t="str">
        <f>IFERROR(__xludf.DUMMYFUNCTION("""COMPUTED_VALUE"""),"")</f>
        <v/>
      </c>
      <c r="AC10987" s="16" t="str">
        <f>IFERROR(__xludf.DUMMYFUNCTION("""COMPUTED_VALUE"""),"")</f>
        <v/>
      </c>
    </row>
    <row r="10988">
      <c r="A10988" s="16" t="s">
        <v>87</v>
      </c>
      <c r="E10988" s="16" t="str">
        <f>IFERROR(__xludf.DUMMYFUNCTION("""COMPUTED_VALUE"""),"")</f>
        <v/>
      </c>
      <c r="G10988" s="18"/>
      <c r="H10988" s="16" t="s">
        <v>87</v>
      </c>
      <c r="I10988" s="16" t="s">
        <v>87</v>
      </c>
      <c r="J10988" s="19"/>
      <c r="L10988" s="16" t="str">
        <f>IFERROR(__xludf.DUMMYFUNCTION("""COMPUTED_VALUE"""),"")</f>
        <v/>
      </c>
      <c r="M10988" s="16" t="str">
        <f>IFERROR(__xludf.DUMMYFUNCTION("""COMPUTED_VALUE"""),"")</f>
        <v/>
      </c>
      <c r="U10988" s="16" t="s">
        <v>87</v>
      </c>
      <c r="V10988" s="16" t="str">
        <f>IFERROR(__xludf.DUMMYFUNCTION("""COMPUTED_VALUE"""),"")</f>
        <v/>
      </c>
      <c r="W10988" s="16" t="str">
        <f>IFERROR(__xludf.DUMMYFUNCTION("""COMPUTED_VALUE"""),"")</f>
        <v/>
      </c>
      <c r="X10988" s="16" t="str">
        <f>IFERROR(__xludf.DUMMYFUNCTION("""COMPUTED_VALUE"""),"")</f>
        <v/>
      </c>
      <c r="AC10988" s="16" t="str">
        <f>IFERROR(__xludf.DUMMYFUNCTION("""COMPUTED_VALUE"""),"")</f>
        <v/>
      </c>
    </row>
    <row r="10989">
      <c r="A10989" s="16" t="s">
        <v>87</v>
      </c>
      <c r="E10989" s="16" t="str">
        <f>IFERROR(__xludf.DUMMYFUNCTION("""COMPUTED_VALUE"""),"")</f>
        <v/>
      </c>
      <c r="G10989" s="18"/>
      <c r="H10989" s="16" t="s">
        <v>87</v>
      </c>
      <c r="I10989" s="16" t="s">
        <v>87</v>
      </c>
      <c r="J10989" s="19"/>
      <c r="L10989" s="16" t="str">
        <f>IFERROR(__xludf.DUMMYFUNCTION("""COMPUTED_VALUE"""),"")</f>
        <v/>
      </c>
      <c r="M10989" s="16" t="str">
        <f>IFERROR(__xludf.DUMMYFUNCTION("""COMPUTED_VALUE"""),"")</f>
        <v/>
      </c>
      <c r="U10989" s="16" t="s">
        <v>87</v>
      </c>
      <c r="V10989" s="16" t="str">
        <f>IFERROR(__xludf.DUMMYFUNCTION("""COMPUTED_VALUE"""),"")</f>
        <v/>
      </c>
      <c r="W10989" s="16" t="str">
        <f>IFERROR(__xludf.DUMMYFUNCTION("""COMPUTED_VALUE"""),"")</f>
        <v/>
      </c>
      <c r="X10989" s="16" t="str">
        <f>IFERROR(__xludf.DUMMYFUNCTION("""COMPUTED_VALUE"""),"")</f>
        <v/>
      </c>
      <c r="AC10989" s="16" t="str">
        <f>IFERROR(__xludf.DUMMYFUNCTION("""COMPUTED_VALUE"""),"")</f>
        <v/>
      </c>
    </row>
    <row r="10990">
      <c r="A10990" s="16" t="s">
        <v>87</v>
      </c>
      <c r="E10990" s="16" t="str">
        <f>IFERROR(__xludf.DUMMYFUNCTION("""COMPUTED_VALUE"""),"")</f>
        <v/>
      </c>
      <c r="G10990" s="18"/>
      <c r="H10990" s="16" t="s">
        <v>87</v>
      </c>
      <c r="I10990" s="16" t="s">
        <v>87</v>
      </c>
      <c r="J10990" s="19"/>
      <c r="L10990" s="16" t="str">
        <f>IFERROR(__xludf.DUMMYFUNCTION("""COMPUTED_VALUE"""),"")</f>
        <v/>
      </c>
      <c r="M10990" s="16" t="str">
        <f>IFERROR(__xludf.DUMMYFUNCTION("""COMPUTED_VALUE"""),"")</f>
        <v/>
      </c>
      <c r="U10990" s="16" t="s">
        <v>87</v>
      </c>
      <c r="V10990" s="16" t="str">
        <f>IFERROR(__xludf.DUMMYFUNCTION("""COMPUTED_VALUE"""),"")</f>
        <v/>
      </c>
      <c r="W10990" s="16" t="str">
        <f>IFERROR(__xludf.DUMMYFUNCTION("""COMPUTED_VALUE"""),"")</f>
        <v/>
      </c>
      <c r="X10990" s="16" t="str">
        <f>IFERROR(__xludf.DUMMYFUNCTION("""COMPUTED_VALUE"""),"")</f>
        <v/>
      </c>
      <c r="AC10990" s="16" t="str">
        <f>IFERROR(__xludf.DUMMYFUNCTION("""COMPUTED_VALUE"""),"")</f>
        <v/>
      </c>
    </row>
    <row r="10991">
      <c r="A10991" s="16" t="s">
        <v>87</v>
      </c>
      <c r="E10991" s="16" t="str">
        <f>IFERROR(__xludf.DUMMYFUNCTION("""COMPUTED_VALUE"""),"")</f>
        <v/>
      </c>
      <c r="G10991" s="18"/>
      <c r="H10991" s="16" t="s">
        <v>87</v>
      </c>
      <c r="I10991" s="16" t="s">
        <v>87</v>
      </c>
      <c r="J10991" s="19"/>
      <c r="L10991" s="16" t="str">
        <f>IFERROR(__xludf.DUMMYFUNCTION("""COMPUTED_VALUE"""),"")</f>
        <v/>
      </c>
      <c r="M10991" s="16" t="str">
        <f>IFERROR(__xludf.DUMMYFUNCTION("""COMPUTED_VALUE"""),"")</f>
        <v/>
      </c>
      <c r="U10991" s="16" t="s">
        <v>87</v>
      </c>
      <c r="V10991" s="16" t="str">
        <f>IFERROR(__xludf.DUMMYFUNCTION("""COMPUTED_VALUE"""),"")</f>
        <v/>
      </c>
      <c r="W10991" s="16" t="str">
        <f>IFERROR(__xludf.DUMMYFUNCTION("""COMPUTED_VALUE"""),"")</f>
        <v/>
      </c>
      <c r="X10991" s="16" t="str">
        <f>IFERROR(__xludf.DUMMYFUNCTION("""COMPUTED_VALUE"""),"")</f>
        <v/>
      </c>
      <c r="AC10991" s="16" t="str">
        <f>IFERROR(__xludf.DUMMYFUNCTION("""COMPUTED_VALUE"""),"")</f>
        <v/>
      </c>
    </row>
    <row r="10992">
      <c r="A10992" s="16" t="s">
        <v>87</v>
      </c>
      <c r="E10992" s="16" t="str">
        <f>IFERROR(__xludf.DUMMYFUNCTION("""COMPUTED_VALUE"""),"")</f>
        <v/>
      </c>
      <c r="G10992" s="18"/>
      <c r="H10992" s="16" t="s">
        <v>87</v>
      </c>
      <c r="I10992" s="16" t="s">
        <v>87</v>
      </c>
      <c r="J10992" s="19"/>
      <c r="L10992" s="16" t="str">
        <f>IFERROR(__xludf.DUMMYFUNCTION("""COMPUTED_VALUE"""),"")</f>
        <v/>
      </c>
      <c r="M10992" s="16" t="str">
        <f>IFERROR(__xludf.DUMMYFUNCTION("""COMPUTED_VALUE"""),"")</f>
        <v/>
      </c>
      <c r="U10992" s="16" t="s">
        <v>87</v>
      </c>
      <c r="V10992" s="16" t="str">
        <f>IFERROR(__xludf.DUMMYFUNCTION("""COMPUTED_VALUE"""),"")</f>
        <v/>
      </c>
      <c r="W10992" s="16" t="str">
        <f>IFERROR(__xludf.DUMMYFUNCTION("""COMPUTED_VALUE"""),"")</f>
        <v/>
      </c>
      <c r="X10992" s="16" t="str">
        <f>IFERROR(__xludf.DUMMYFUNCTION("""COMPUTED_VALUE"""),"")</f>
        <v/>
      </c>
      <c r="AC10992" s="16" t="str">
        <f>IFERROR(__xludf.DUMMYFUNCTION("""COMPUTED_VALUE"""),"")</f>
        <v/>
      </c>
    </row>
    <row r="10993">
      <c r="A10993" s="16" t="s">
        <v>87</v>
      </c>
      <c r="E10993" s="16" t="str">
        <f>IFERROR(__xludf.DUMMYFUNCTION("""COMPUTED_VALUE"""),"")</f>
        <v/>
      </c>
      <c r="G10993" s="18"/>
      <c r="H10993" s="16" t="s">
        <v>87</v>
      </c>
      <c r="I10993" s="16" t="s">
        <v>87</v>
      </c>
      <c r="J10993" s="19"/>
      <c r="L10993" s="16" t="str">
        <f>IFERROR(__xludf.DUMMYFUNCTION("""COMPUTED_VALUE"""),"")</f>
        <v/>
      </c>
      <c r="M10993" s="16" t="str">
        <f>IFERROR(__xludf.DUMMYFUNCTION("""COMPUTED_VALUE"""),"")</f>
        <v/>
      </c>
      <c r="U10993" s="16" t="s">
        <v>87</v>
      </c>
      <c r="V10993" s="16" t="str">
        <f>IFERROR(__xludf.DUMMYFUNCTION("""COMPUTED_VALUE"""),"")</f>
        <v/>
      </c>
      <c r="W10993" s="16" t="str">
        <f>IFERROR(__xludf.DUMMYFUNCTION("""COMPUTED_VALUE"""),"")</f>
        <v/>
      </c>
      <c r="X10993" s="16" t="str">
        <f>IFERROR(__xludf.DUMMYFUNCTION("""COMPUTED_VALUE"""),"")</f>
        <v/>
      </c>
      <c r="AC10993" s="16" t="str">
        <f>IFERROR(__xludf.DUMMYFUNCTION("""COMPUTED_VALUE"""),"")</f>
        <v/>
      </c>
    </row>
    <row r="10994">
      <c r="A10994" s="16" t="s">
        <v>87</v>
      </c>
      <c r="E10994" s="16" t="str">
        <f>IFERROR(__xludf.DUMMYFUNCTION("""COMPUTED_VALUE"""),"")</f>
        <v/>
      </c>
      <c r="G10994" s="18"/>
      <c r="H10994" s="16" t="s">
        <v>87</v>
      </c>
      <c r="I10994" s="16" t="s">
        <v>87</v>
      </c>
      <c r="J10994" s="19"/>
      <c r="L10994" s="16" t="str">
        <f>IFERROR(__xludf.DUMMYFUNCTION("""COMPUTED_VALUE"""),"")</f>
        <v/>
      </c>
      <c r="M10994" s="16" t="str">
        <f>IFERROR(__xludf.DUMMYFUNCTION("""COMPUTED_VALUE"""),"")</f>
        <v/>
      </c>
      <c r="U10994" s="16" t="s">
        <v>87</v>
      </c>
      <c r="V10994" s="16" t="str">
        <f>IFERROR(__xludf.DUMMYFUNCTION("""COMPUTED_VALUE"""),"")</f>
        <v/>
      </c>
      <c r="W10994" s="16" t="str">
        <f>IFERROR(__xludf.DUMMYFUNCTION("""COMPUTED_VALUE"""),"")</f>
        <v/>
      </c>
      <c r="X10994" s="16" t="str">
        <f>IFERROR(__xludf.DUMMYFUNCTION("""COMPUTED_VALUE"""),"")</f>
        <v/>
      </c>
      <c r="AC10994" s="16" t="str">
        <f>IFERROR(__xludf.DUMMYFUNCTION("""COMPUTED_VALUE"""),"")</f>
        <v/>
      </c>
    </row>
    <row r="10995">
      <c r="A10995" s="16" t="s">
        <v>87</v>
      </c>
      <c r="E10995" s="16" t="str">
        <f>IFERROR(__xludf.DUMMYFUNCTION("""COMPUTED_VALUE"""),"")</f>
        <v/>
      </c>
      <c r="G10995" s="18"/>
      <c r="H10995" s="16" t="s">
        <v>87</v>
      </c>
      <c r="I10995" s="16" t="s">
        <v>87</v>
      </c>
      <c r="J10995" s="19"/>
      <c r="L10995" s="16" t="str">
        <f>IFERROR(__xludf.DUMMYFUNCTION("""COMPUTED_VALUE"""),"")</f>
        <v/>
      </c>
      <c r="M10995" s="16" t="str">
        <f>IFERROR(__xludf.DUMMYFUNCTION("""COMPUTED_VALUE"""),"")</f>
        <v/>
      </c>
      <c r="U10995" s="16" t="s">
        <v>87</v>
      </c>
      <c r="V10995" s="16" t="str">
        <f>IFERROR(__xludf.DUMMYFUNCTION("""COMPUTED_VALUE"""),"")</f>
        <v/>
      </c>
      <c r="W10995" s="16" t="str">
        <f>IFERROR(__xludf.DUMMYFUNCTION("""COMPUTED_VALUE"""),"")</f>
        <v/>
      </c>
      <c r="X10995" s="16" t="str">
        <f>IFERROR(__xludf.DUMMYFUNCTION("""COMPUTED_VALUE"""),"")</f>
        <v/>
      </c>
      <c r="AC10995" s="16" t="str">
        <f>IFERROR(__xludf.DUMMYFUNCTION("""COMPUTED_VALUE"""),"")</f>
        <v/>
      </c>
    </row>
    <row r="10996">
      <c r="A10996" s="16" t="s">
        <v>87</v>
      </c>
      <c r="E10996" s="16" t="str">
        <f>IFERROR(__xludf.DUMMYFUNCTION("""COMPUTED_VALUE"""),"")</f>
        <v/>
      </c>
      <c r="G10996" s="18"/>
      <c r="H10996" s="16" t="s">
        <v>87</v>
      </c>
      <c r="I10996" s="16" t="s">
        <v>87</v>
      </c>
      <c r="J10996" s="19"/>
      <c r="L10996" s="16" t="str">
        <f>IFERROR(__xludf.DUMMYFUNCTION("""COMPUTED_VALUE"""),"")</f>
        <v/>
      </c>
      <c r="M10996" s="16" t="str">
        <f>IFERROR(__xludf.DUMMYFUNCTION("""COMPUTED_VALUE"""),"")</f>
        <v/>
      </c>
      <c r="U10996" s="16" t="s">
        <v>87</v>
      </c>
      <c r="V10996" s="16" t="str">
        <f>IFERROR(__xludf.DUMMYFUNCTION("""COMPUTED_VALUE"""),"")</f>
        <v/>
      </c>
      <c r="W10996" s="16" t="str">
        <f>IFERROR(__xludf.DUMMYFUNCTION("""COMPUTED_VALUE"""),"")</f>
        <v/>
      </c>
      <c r="X10996" s="16" t="str">
        <f>IFERROR(__xludf.DUMMYFUNCTION("""COMPUTED_VALUE"""),"")</f>
        <v/>
      </c>
      <c r="AC10996" s="16" t="str">
        <f>IFERROR(__xludf.DUMMYFUNCTION("""COMPUTED_VALUE"""),"")</f>
        <v/>
      </c>
    </row>
    <row r="10997">
      <c r="A10997" s="16" t="s">
        <v>87</v>
      </c>
      <c r="E10997" s="16" t="str">
        <f>IFERROR(__xludf.DUMMYFUNCTION("""COMPUTED_VALUE"""),"")</f>
        <v/>
      </c>
      <c r="G10997" s="18"/>
      <c r="H10997" s="16" t="s">
        <v>87</v>
      </c>
      <c r="I10997" s="16" t="s">
        <v>87</v>
      </c>
      <c r="J10997" s="19"/>
      <c r="L10997" s="16" t="str">
        <f>IFERROR(__xludf.DUMMYFUNCTION("""COMPUTED_VALUE"""),"")</f>
        <v/>
      </c>
      <c r="M10997" s="16" t="str">
        <f>IFERROR(__xludf.DUMMYFUNCTION("""COMPUTED_VALUE"""),"")</f>
        <v/>
      </c>
      <c r="U10997" s="16" t="s">
        <v>87</v>
      </c>
      <c r="V10997" s="16" t="str">
        <f>IFERROR(__xludf.DUMMYFUNCTION("""COMPUTED_VALUE"""),"")</f>
        <v/>
      </c>
      <c r="W10997" s="16" t="str">
        <f>IFERROR(__xludf.DUMMYFUNCTION("""COMPUTED_VALUE"""),"")</f>
        <v/>
      </c>
      <c r="X10997" s="16" t="str">
        <f>IFERROR(__xludf.DUMMYFUNCTION("""COMPUTED_VALUE"""),"")</f>
        <v/>
      </c>
      <c r="AC10997" s="16" t="str">
        <f>IFERROR(__xludf.DUMMYFUNCTION("""COMPUTED_VALUE"""),"")</f>
        <v/>
      </c>
    </row>
    <row r="10998">
      <c r="A10998" s="16" t="s">
        <v>87</v>
      </c>
      <c r="E10998" s="16" t="str">
        <f>IFERROR(__xludf.DUMMYFUNCTION("""COMPUTED_VALUE"""),"")</f>
        <v/>
      </c>
      <c r="G10998" s="18"/>
      <c r="H10998" s="16" t="s">
        <v>87</v>
      </c>
      <c r="I10998" s="16" t="s">
        <v>87</v>
      </c>
      <c r="J10998" s="19"/>
      <c r="L10998" s="16" t="str">
        <f>IFERROR(__xludf.DUMMYFUNCTION("""COMPUTED_VALUE"""),"")</f>
        <v/>
      </c>
      <c r="M10998" s="16" t="str">
        <f>IFERROR(__xludf.DUMMYFUNCTION("""COMPUTED_VALUE"""),"")</f>
        <v/>
      </c>
      <c r="U10998" s="16" t="s">
        <v>87</v>
      </c>
      <c r="V10998" s="16" t="str">
        <f>IFERROR(__xludf.DUMMYFUNCTION("""COMPUTED_VALUE"""),"")</f>
        <v/>
      </c>
      <c r="W10998" s="16" t="str">
        <f>IFERROR(__xludf.DUMMYFUNCTION("""COMPUTED_VALUE"""),"")</f>
        <v/>
      </c>
      <c r="X10998" s="16" t="str">
        <f>IFERROR(__xludf.DUMMYFUNCTION("""COMPUTED_VALUE"""),"")</f>
        <v/>
      </c>
      <c r="AC10998" s="16" t="str">
        <f>IFERROR(__xludf.DUMMYFUNCTION("""COMPUTED_VALUE"""),"")</f>
        <v/>
      </c>
    </row>
    <row r="10999">
      <c r="A10999" s="16" t="s">
        <v>87</v>
      </c>
      <c r="E10999" s="16" t="str">
        <f>IFERROR(__xludf.DUMMYFUNCTION("""COMPUTED_VALUE"""),"")</f>
        <v/>
      </c>
      <c r="G10999" s="18"/>
      <c r="H10999" s="16" t="s">
        <v>87</v>
      </c>
      <c r="I10999" s="16" t="s">
        <v>87</v>
      </c>
      <c r="J10999" s="19"/>
      <c r="L10999" s="16" t="str">
        <f>IFERROR(__xludf.DUMMYFUNCTION("""COMPUTED_VALUE"""),"")</f>
        <v/>
      </c>
      <c r="M10999" s="16" t="str">
        <f>IFERROR(__xludf.DUMMYFUNCTION("""COMPUTED_VALUE"""),"")</f>
        <v/>
      </c>
      <c r="U10999" s="16" t="s">
        <v>87</v>
      </c>
      <c r="V10999" s="16" t="str">
        <f>IFERROR(__xludf.DUMMYFUNCTION("""COMPUTED_VALUE"""),"")</f>
        <v/>
      </c>
      <c r="W10999" s="16" t="str">
        <f>IFERROR(__xludf.DUMMYFUNCTION("""COMPUTED_VALUE"""),"")</f>
        <v/>
      </c>
      <c r="X10999" s="16" t="str">
        <f>IFERROR(__xludf.DUMMYFUNCTION("""COMPUTED_VALUE"""),"")</f>
        <v/>
      </c>
      <c r="AC10999" s="16" t="str">
        <f>IFERROR(__xludf.DUMMYFUNCTION("""COMPUTED_VALUE"""),"")</f>
        <v/>
      </c>
    </row>
    <row r="11000">
      <c r="A11000" s="16" t="s">
        <v>87</v>
      </c>
      <c r="E11000" s="16" t="str">
        <f>IFERROR(__xludf.DUMMYFUNCTION("""COMPUTED_VALUE"""),"")</f>
        <v/>
      </c>
      <c r="G11000" s="18"/>
      <c r="H11000" s="16" t="s">
        <v>87</v>
      </c>
      <c r="I11000" s="16" t="s">
        <v>87</v>
      </c>
      <c r="J11000" s="19"/>
      <c r="L11000" s="16" t="str">
        <f>IFERROR(__xludf.DUMMYFUNCTION("""COMPUTED_VALUE"""),"")</f>
        <v/>
      </c>
      <c r="M11000" s="16" t="str">
        <f>IFERROR(__xludf.DUMMYFUNCTION("""COMPUTED_VALUE"""),"")</f>
        <v/>
      </c>
      <c r="U11000" s="16" t="s">
        <v>87</v>
      </c>
      <c r="V11000" s="16" t="str">
        <f>IFERROR(__xludf.DUMMYFUNCTION("""COMPUTED_VALUE"""),"")</f>
        <v/>
      </c>
      <c r="W11000" s="16" t="str">
        <f>IFERROR(__xludf.DUMMYFUNCTION("""COMPUTED_VALUE"""),"")</f>
        <v/>
      </c>
      <c r="X11000" s="16" t="str">
        <f>IFERROR(__xludf.DUMMYFUNCTION("""COMPUTED_VALUE"""),"")</f>
        <v/>
      </c>
      <c r="AC11000" s="16" t="str">
        <f>IFERROR(__xludf.DUMMYFUNCTION("""COMPUTED_VALUE"""),"")</f>
        <v/>
      </c>
    </row>
    <row r="11001">
      <c r="A11001" s="16" t="s">
        <v>87</v>
      </c>
      <c r="E11001" s="16" t="str">
        <f>IFERROR(__xludf.DUMMYFUNCTION("""COMPUTED_VALUE"""),"")</f>
        <v/>
      </c>
      <c r="G11001" s="18"/>
      <c r="H11001" s="16" t="s">
        <v>87</v>
      </c>
      <c r="I11001" s="16" t="s">
        <v>87</v>
      </c>
      <c r="J11001" s="19"/>
      <c r="L11001" s="16" t="str">
        <f>IFERROR(__xludf.DUMMYFUNCTION("""COMPUTED_VALUE"""),"")</f>
        <v/>
      </c>
      <c r="M11001" s="16" t="str">
        <f>IFERROR(__xludf.DUMMYFUNCTION("""COMPUTED_VALUE"""),"")</f>
        <v/>
      </c>
      <c r="U11001" s="16" t="s">
        <v>87</v>
      </c>
      <c r="V11001" s="16" t="str">
        <f>IFERROR(__xludf.DUMMYFUNCTION("""COMPUTED_VALUE"""),"")</f>
        <v/>
      </c>
      <c r="W11001" s="16" t="str">
        <f>IFERROR(__xludf.DUMMYFUNCTION("""COMPUTED_VALUE"""),"")</f>
        <v/>
      </c>
      <c r="X11001" s="16" t="str">
        <f>IFERROR(__xludf.DUMMYFUNCTION("""COMPUTED_VALUE"""),"")</f>
        <v/>
      </c>
      <c r="AC11001" s="16" t="str">
        <f>IFERROR(__xludf.DUMMYFUNCTION("""COMPUTED_VALUE"""),"")</f>
        <v/>
      </c>
    </row>
    <row r="11002">
      <c r="A11002" s="16" t="s">
        <v>87</v>
      </c>
      <c r="E11002" s="16" t="str">
        <f>IFERROR(__xludf.DUMMYFUNCTION("""COMPUTED_VALUE"""),"")</f>
        <v/>
      </c>
      <c r="G11002" s="18"/>
      <c r="H11002" s="16" t="s">
        <v>87</v>
      </c>
      <c r="I11002" s="16" t="s">
        <v>87</v>
      </c>
      <c r="J11002" s="19"/>
      <c r="L11002" s="16" t="str">
        <f>IFERROR(__xludf.DUMMYFUNCTION("""COMPUTED_VALUE"""),"")</f>
        <v/>
      </c>
      <c r="M11002" s="16" t="str">
        <f>IFERROR(__xludf.DUMMYFUNCTION("""COMPUTED_VALUE"""),"")</f>
        <v/>
      </c>
      <c r="U11002" s="16" t="s">
        <v>87</v>
      </c>
      <c r="V11002" s="16" t="str">
        <f>IFERROR(__xludf.DUMMYFUNCTION("""COMPUTED_VALUE"""),"")</f>
        <v/>
      </c>
      <c r="W11002" s="16" t="str">
        <f>IFERROR(__xludf.DUMMYFUNCTION("""COMPUTED_VALUE"""),"")</f>
        <v/>
      </c>
      <c r="X11002" s="16" t="str">
        <f>IFERROR(__xludf.DUMMYFUNCTION("""COMPUTED_VALUE"""),"")</f>
        <v/>
      </c>
      <c r="AC11002" s="16" t="str">
        <f>IFERROR(__xludf.DUMMYFUNCTION("""COMPUTED_VALUE"""),"")</f>
        <v/>
      </c>
    </row>
    <row r="11003">
      <c r="A11003" s="16" t="s">
        <v>87</v>
      </c>
      <c r="E11003" s="16" t="str">
        <f>IFERROR(__xludf.DUMMYFUNCTION("""COMPUTED_VALUE"""),"")</f>
        <v/>
      </c>
      <c r="G11003" s="18"/>
      <c r="H11003" s="16" t="s">
        <v>87</v>
      </c>
      <c r="I11003" s="16" t="s">
        <v>87</v>
      </c>
      <c r="J11003" s="19"/>
      <c r="L11003" s="16" t="str">
        <f>IFERROR(__xludf.DUMMYFUNCTION("""COMPUTED_VALUE"""),"")</f>
        <v/>
      </c>
      <c r="M11003" s="16" t="str">
        <f>IFERROR(__xludf.DUMMYFUNCTION("""COMPUTED_VALUE"""),"")</f>
        <v/>
      </c>
      <c r="U11003" s="16" t="s">
        <v>87</v>
      </c>
      <c r="V11003" s="16" t="str">
        <f>IFERROR(__xludf.DUMMYFUNCTION("""COMPUTED_VALUE"""),"")</f>
        <v/>
      </c>
      <c r="W11003" s="16" t="str">
        <f>IFERROR(__xludf.DUMMYFUNCTION("""COMPUTED_VALUE"""),"")</f>
        <v/>
      </c>
      <c r="X11003" s="16" t="str">
        <f>IFERROR(__xludf.DUMMYFUNCTION("""COMPUTED_VALUE"""),"")</f>
        <v/>
      </c>
      <c r="AC11003" s="16" t="str">
        <f>IFERROR(__xludf.DUMMYFUNCTION("""COMPUTED_VALUE"""),"")</f>
        <v/>
      </c>
    </row>
    <row r="11004">
      <c r="A11004" s="16" t="s">
        <v>87</v>
      </c>
      <c r="E11004" s="16" t="str">
        <f>IFERROR(__xludf.DUMMYFUNCTION("""COMPUTED_VALUE"""),"")</f>
        <v/>
      </c>
      <c r="G11004" s="18"/>
      <c r="H11004" s="16" t="s">
        <v>87</v>
      </c>
      <c r="I11004" s="16" t="s">
        <v>87</v>
      </c>
      <c r="J11004" s="19"/>
      <c r="L11004" s="16" t="str">
        <f>IFERROR(__xludf.DUMMYFUNCTION("""COMPUTED_VALUE"""),"")</f>
        <v/>
      </c>
      <c r="M11004" s="16" t="str">
        <f>IFERROR(__xludf.DUMMYFUNCTION("""COMPUTED_VALUE"""),"")</f>
        <v/>
      </c>
      <c r="U11004" s="16" t="s">
        <v>87</v>
      </c>
      <c r="V11004" s="16" t="str">
        <f>IFERROR(__xludf.DUMMYFUNCTION("""COMPUTED_VALUE"""),"")</f>
        <v/>
      </c>
      <c r="W11004" s="16" t="str">
        <f>IFERROR(__xludf.DUMMYFUNCTION("""COMPUTED_VALUE"""),"")</f>
        <v/>
      </c>
      <c r="X11004" s="16" t="str">
        <f>IFERROR(__xludf.DUMMYFUNCTION("""COMPUTED_VALUE"""),"")</f>
        <v/>
      </c>
      <c r="AC11004" s="16" t="str">
        <f>IFERROR(__xludf.DUMMYFUNCTION("""COMPUTED_VALUE"""),"")</f>
        <v/>
      </c>
    </row>
    <row r="11005">
      <c r="A11005" s="16" t="s">
        <v>87</v>
      </c>
      <c r="E11005" s="16" t="str">
        <f>IFERROR(__xludf.DUMMYFUNCTION("""COMPUTED_VALUE"""),"")</f>
        <v/>
      </c>
      <c r="G11005" s="18"/>
      <c r="H11005" s="16" t="s">
        <v>87</v>
      </c>
      <c r="I11005" s="16" t="s">
        <v>87</v>
      </c>
      <c r="J11005" s="19"/>
      <c r="L11005" s="16" t="str">
        <f>IFERROR(__xludf.DUMMYFUNCTION("""COMPUTED_VALUE"""),"")</f>
        <v/>
      </c>
      <c r="M11005" s="16" t="str">
        <f>IFERROR(__xludf.DUMMYFUNCTION("""COMPUTED_VALUE"""),"")</f>
        <v/>
      </c>
      <c r="U11005" s="16" t="s">
        <v>87</v>
      </c>
      <c r="V11005" s="16" t="str">
        <f>IFERROR(__xludf.DUMMYFUNCTION("""COMPUTED_VALUE"""),"")</f>
        <v/>
      </c>
      <c r="W11005" s="16" t="str">
        <f>IFERROR(__xludf.DUMMYFUNCTION("""COMPUTED_VALUE"""),"")</f>
        <v/>
      </c>
      <c r="X11005" s="16" t="str">
        <f>IFERROR(__xludf.DUMMYFUNCTION("""COMPUTED_VALUE"""),"")</f>
        <v/>
      </c>
      <c r="AC11005" s="16" t="str">
        <f>IFERROR(__xludf.DUMMYFUNCTION("""COMPUTED_VALUE"""),"")</f>
        <v/>
      </c>
    </row>
    <row r="11006">
      <c r="A11006" s="16" t="s">
        <v>87</v>
      </c>
      <c r="E11006" s="16" t="str">
        <f>IFERROR(__xludf.DUMMYFUNCTION("""COMPUTED_VALUE"""),"")</f>
        <v/>
      </c>
      <c r="G11006" s="18"/>
      <c r="H11006" s="16" t="s">
        <v>87</v>
      </c>
      <c r="I11006" s="16" t="s">
        <v>87</v>
      </c>
      <c r="J11006" s="19"/>
      <c r="L11006" s="16" t="str">
        <f>IFERROR(__xludf.DUMMYFUNCTION("""COMPUTED_VALUE"""),"")</f>
        <v/>
      </c>
      <c r="M11006" s="16" t="str">
        <f>IFERROR(__xludf.DUMMYFUNCTION("""COMPUTED_VALUE"""),"")</f>
        <v/>
      </c>
      <c r="U11006" s="16" t="s">
        <v>87</v>
      </c>
      <c r="V11006" s="16" t="str">
        <f>IFERROR(__xludf.DUMMYFUNCTION("""COMPUTED_VALUE"""),"")</f>
        <v/>
      </c>
      <c r="W11006" s="16" t="str">
        <f>IFERROR(__xludf.DUMMYFUNCTION("""COMPUTED_VALUE"""),"")</f>
        <v/>
      </c>
      <c r="X11006" s="16" t="str">
        <f>IFERROR(__xludf.DUMMYFUNCTION("""COMPUTED_VALUE"""),"")</f>
        <v/>
      </c>
      <c r="AC11006" s="16" t="str">
        <f>IFERROR(__xludf.DUMMYFUNCTION("""COMPUTED_VALUE"""),"")</f>
        <v/>
      </c>
    </row>
    <row r="11007">
      <c r="A11007" s="16" t="s">
        <v>87</v>
      </c>
      <c r="E11007" s="16" t="str">
        <f>IFERROR(__xludf.DUMMYFUNCTION("""COMPUTED_VALUE"""),"")</f>
        <v/>
      </c>
      <c r="G11007" s="18"/>
      <c r="H11007" s="16" t="s">
        <v>87</v>
      </c>
      <c r="I11007" s="16" t="s">
        <v>87</v>
      </c>
      <c r="J11007" s="19"/>
      <c r="L11007" s="16" t="str">
        <f>IFERROR(__xludf.DUMMYFUNCTION("""COMPUTED_VALUE"""),"")</f>
        <v/>
      </c>
      <c r="M11007" s="16" t="str">
        <f>IFERROR(__xludf.DUMMYFUNCTION("""COMPUTED_VALUE"""),"")</f>
        <v/>
      </c>
      <c r="U11007" s="16" t="s">
        <v>87</v>
      </c>
      <c r="V11007" s="16" t="str">
        <f>IFERROR(__xludf.DUMMYFUNCTION("""COMPUTED_VALUE"""),"")</f>
        <v/>
      </c>
      <c r="W11007" s="16" t="str">
        <f>IFERROR(__xludf.DUMMYFUNCTION("""COMPUTED_VALUE"""),"")</f>
        <v/>
      </c>
      <c r="X11007" s="16" t="str">
        <f>IFERROR(__xludf.DUMMYFUNCTION("""COMPUTED_VALUE"""),"")</f>
        <v/>
      </c>
      <c r="AC11007" s="16" t="str">
        <f>IFERROR(__xludf.DUMMYFUNCTION("""COMPUTED_VALUE"""),"")</f>
        <v/>
      </c>
    </row>
    <row r="11008">
      <c r="A11008" s="16" t="s">
        <v>87</v>
      </c>
      <c r="E11008" s="16" t="str">
        <f>IFERROR(__xludf.DUMMYFUNCTION("""COMPUTED_VALUE"""),"")</f>
        <v/>
      </c>
      <c r="G11008" s="18"/>
      <c r="H11008" s="16" t="s">
        <v>87</v>
      </c>
      <c r="I11008" s="16" t="s">
        <v>87</v>
      </c>
      <c r="J11008" s="19"/>
      <c r="L11008" s="16" t="str">
        <f>IFERROR(__xludf.DUMMYFUNCTION("""COMPUTED_VALUE"""),"")</f>
        <v/>
      </c>
      <c r="M11008" s="16" t="str">
        <f>IFERROR(__xludf.DUMMYFUNCTION("""COMPUTED_VALUE"""),"")</f>
        <v/>
      </c>
      <c r="U11008" s="16" t="s">
        <v>87</v>
      </c>
      <c r="V11008" s="16" t="str">
        <f>IFERROR(__xludf.DUMMYFUNCTION("""COMPUTED_VALUE"""),"")</f>
        <v/>
      </c>
      <c r="W11008" s="16" t="str">
        <f>IFERROR(__xludf.DUMMYFUNCTION("""COMPUTED_VALUE"""),"")</f>
        <v/>
      </c>
      <c r="X11008" s="16" t="str">
        <f>IFERROR(__xludf.DUMMYFUNCTION("""COMPUTED_VALUE"""),"")</f>
        <v/>
      </c>
      <c r="AC11008" s="16" t="str">
        <f>IFERROR(__xludf.DUMMYFUNCTION("""COMPUTED_VALUE"""),"")</f>
        <v/>
      </c>
    </row>
    <row r="11009">
      <c r="A11009" s="16" t="s">
        <v>87</v>
      </c>
      <c r="E11009" s="16" t="str">
        <f>IFERROR(__xludf.DUMMYFUNCTION("""COMPUTED_VALUE"""),"")</f>
        <v/>
      </c>
      <c r="G11009" s="18"/>
      <c r="H11009" s="16" t="s">
        <v>87</v>
      </c>
      <c r="I11009" s="16" t="s">
        <v>87</v>
      </c>
      <c r="J11009" s="19"/>
      <c r="L11009" s="16" t="str">
        <f>IFERROR(__xludf.DUMMYFUNCTION("""COMPUTED_VALUE"""),"")</f>
        <v/>
      </c>
      <c r="M11009" s="16" t="str">
        <f>IFERROR(__xludf.DUMMYFUNCTION("""COMPUTED_VALUE"""),"")</f>
        <v/>
      </c>
      <c r="U11009" s="16" t="s">
        <v>87</v>
      </c>
      <c r="V11009" s="16" t="str">
        <f>IFERROR(__xludf.DUMMYFUNCTION("""COMPUTED_VALUE"""),"")</f>
        <v/>
      </c>
      <c r="W11009" s="16" t="str">
        <f>IFERROR(__xludf.DUMMYFUNCTION("""COMPUTED_VALUE"""),"")</f>
        <v/>
      </c>
      <c r="X11009" s="16" t="str">
        <f>IFERROR(__xludf.DUMMYFUNCTION("""COMPUTED_VALUE"""),"")</f>
        <v/>
      </c>
      <c r="AC11009" s="16" t="str">
        <f>IFERROR(__xludf.DUMMYFUNCTION("""COMPUTED_VALUE"""),"")</f>
        <v/>
      </c>
    </row>
    <row r="11010">
      <c r="A11010" s="16" t="s">
        <v>87</v>
      </c>
      <c r="E11010" s="16" t="str">
        <f>IFERROR(__xludf.DUMMYFUNCTION("""COMPUTED_VALUE"""),"")</f>
        <v/>
      </c>
      <c r="G11010" s="18"/>
      <c r="H11010" s="16" t="s">
        <v>87</v>
      </c>
      <c r="I11010" s="16" t="s">
        <v>87</v>
      </c>
      <c r="J11010" s="19"/>
      <c r="L11010" s="16" t="str">
        <f>IFERROR(__xludf.DUMMYFUNCTION("""COMPUTED_VALUE"""),"")</f>
        <v/>
      </c>
      <c r="M11010" s="16" t="str">
        <f>IFERROR(__xludf.DUMMYFUNCTION("""COMPUTED_VALUE"""),"")</f>
        <v/>
      </c>
      <c r="U11010" s="16" t="s">
        <v>87</v>
      </c>
      <c r="V11010" s="16" t="str">
        <f>IFERROR(__xludf.DUMMYFUNCTION("""COMPUTED_VALUE"""),"")</f>
        <v/>
      </c>
      <c r="W11010" s="16" t="str">
        <f>IFERROR(__xludf.DUMMYFUNCTION("""COMPUTED_VALUE"""),"")</f>
        <v/>
      </c>
      <c r="X11010" s="16" t="str">
        <f>IFERROR(__xludf.DUMMYFUNCTION("""COMPUTED_VALUE"""),"")</f>
        <v/>
      </c>
      <c r="AC11010" s="16" t="str">
        <f>IFERROR(__xludf.DUMMYFUNCTION("""COMPUTED_VALUE"""),"")</f>
        <v/>
      </c>
    </row>
    <row r="11011">
      <c r="A11011" s="16" t="s">
        <v>87</v>
      </c>
      <c r="E11011" s="16" t="str">
        <f>IFERROR(__xludf.DUMMYFUNCTION("""COMPUTED_VALUE"""),"")</f>
        <v/>
      </c>
      <c r="G11011" s="18"/>
      <c r="H11011" s="16" t="s">
        <v>87</v>
      </c>
      <c r="I11011" s="16" t="s">
        <v>87</v>
      </c>
      <c r="J11011" s="19"/>
      <c r="L11011" s="16" t="str">
        <f>IFERROR(__xludf.DUMMYFUNCTION("""COMPUTED_VALUE"""),"")</f>
        <v/>
      </c>
      <c r="M11011" s="16" t="str">
        <f>IFERROR(__xludf.DUMMYFUNCTION("""COMPUTED_VALUE"""),"")</f>
        <v/>
      </c>
      <c r="U11011" s="16" t="s">
        <v>87</v>
      </c>
      <c r="V11011" s="16" t="str">
        <f>IFERROR(__xludf.DUMMYFUNCTION("""COMPUTED_VALUE"""),"")</f>
        <v/>
      </c>
      <c r="W11011" s="16" t="str">
        <f>IFERROR(__xludf.DUMMYFUNCTION("""COMPUTED_VALUE"""),"")</f>
        <v/>
      </c>
      <c r="X11011" s="16" t="str">
        <f>IFERROR(__xludf.DUMMYFUNCTION("""COMPUTED_VALUE"""),"")</f>
        <v/>
      </c>
      <c r="AC11011" s="16" t="str">
        <f>IFERROR(__xludf.DUMMYFUNCTION("""COMPUTED_VALUE"""),"")</f>
        <v/>
      </c>
    </row>
    <row r="11012">
      <c r="A11012" s="16" t="s">
        <v>87</v>
      </c>
      <c r="E11012" s="16" t="str">
        <f>IFERROR(__xludf.DUMMYFUNCTION("""COMPUTED_VALUE"""),"")</f>
        <v/>
      </c>
      <c r="G11012" s="18"/>
      <c r="H11012" s="16" t="s">
        <v>87</v>
      </c>
      <c r="I11012" s="16" t="s">
        <v>87</v>
      </c>
      <c r="J11012" s="19"/>
      <c r="L11012" s="16" t="str">
        <f>IFERROR(__xludf.DUMMYFUNCTION("""COMPUTED_VALUE"""),"")</f>
        <v/>
      </c>
      <c r="M11012" s="16" t="str">
        <f>IFERROR(__xludf.DUMMYFUNCTION("""COMPUTED_VALUE"""),"")</f>
        <v/>
      </c>
      <c r="U11012" s="16" t="s">
        <v>87</v>
      </c>
      <c r="V11012" s="16" t="str">
        <f>IFERROR(__xludf.DUMMYFUNCTION("""COMPUTED_VALUE"""),"")</f>
        <v/>
      </c>
      <c r="W11012" s="16" t="str">
        <f>IFERROR(__xludf.DUMMYFUNCTION("""COMPUTED_VALUE"""),"")</f>
        <v/>
      </c>
      <c r="X11012" s="16" t="str">
        <f>IFERROR(__xludf.DUMMYFUNCTION("""COMPUTED_VALUE"""),"")</f>
        <v/>
      </c>
      <c r="AC11012" s="16" t="str">
        <f>IFERROR(__xludf.DUMMYFUNCTION("""COMPUTED_VALUE"""),"")</f>
        <v/>
      </c>
    </row>
    <row r="11013">
      <c r="A11013" s="16" t="s">
        <v>87</v>
      </c>
      <c r="E11013" s="16" t="str">
        <f>IFERROR(__xludf.DUMMYFUNCTION("""COMPUTED_VALUE"""),"")</f>
        <v/>
      </c>
      <c r="G11013" s="18"/>
      <c r="H11013" s="16" t="s">
        <v>87</v>
      </c>
      <c r="I11013" s="16" t="s">
        <v>87</v>
      </c>
      <c r="J11013" s="19"/>
      <c r="L11013" s="16" t="str">
        <f>IFERROR(__xludf.DUMMYFUNCTION("""COMPUTED_VALUE"""),"")</f>
        <v/>
      </c>
      <c r="M11013" s="16" t="str">
        <f>IFERROR(__xludf.DUMMYFUNCTION("""COMPUTED_VALUE"""),"")</f>
        <v/>
      </c>
      <c r="U11013" s="16" t="s">
        <v>87</v>
      </c>
      <c r="V11013" s="16" t="str">
        <f>IFERROR(__xludf.DUMMYFUNCTION("""COMPUTED_VALUE"""),"")</f>
        <v/>
      </c>
      <c r="W11013" s="16" t="str">
        <f>IFERROR(__xludf.DUMMYFUNCTION("""COMPUTED_VALUE"""),"")</f>
        <v/>
      </c>
      <c r="X11013" s="16" t="str">
        <f>IFERROR(__xludf.DUMMYFUNCTION("""COMPUTED_VALUE"""),"")</f>
        <v/>
      </c>
      <c r="AC11013" s="16" t="str">
        <f>IFERROR(__xludf.DUMMYFUNCTION("""COMPUTED_VALUE"""),"")</f>
        <v/>
      </c>
    </row>
    <row r="11014">
      <c r="A11014" s="16" t="s">
        <v>87</v>
      </c>
      <c r="E11014" s="16" t="str">
        <f>IFERROR(__xludf.DUMMYFUNCTION("""COMPUTED_VALUE"""),"")</f>
        <v/>
      </c>
      <c r="G11014" s="18"/>
      <c r="H11014" s="16" t="s">
        <v>87</v>
      </c>
      <c r="I11014" s="16" t="s">
        <v>87</v>
      </c>
      <c r="J11014" s="19"/>
      <c r="L11014" s="16" t="str">
        <f>IFERROR(__xludf.DUMMYFUNCTION("""COMPUTED_VALUE"""),"")</f>
        <v/>
      </c>
      <c r="M11014" s="16" t="str">
        <f>IFERROR(__xludf.DUMMYFUNCTION("""COMPUTED_VALUE"""),"")</f>
        <v/>
      </c>
      <c r="U11014" s="16" t="s">
        <v>87</v>
      </c>
      <c r="V11014" s="16" t="str">
        <f>IFERROR(__xludf.DUMMYFUNCTION("""COMPUTED_VALUE"""),"")</f>
        <v/>
      </c>
      <c r="W11014" s="16" t="str">
        <f>IFERROR(__xludf.DUMMYFUNCTION("""COMPUTED_VALUE"""),"")</f>
        <v/>
      </c>
      <c r="X11014" s="16" t="str">
        <f>IFERROR(__xludf.DUMMYFUNCTION("""COMPUTED_VALUE"""),"")</f>
        <v/>
      </c>
      <c r="AC11014" s="16" t="str">
        <f>IFERROR(__xludf.DUMMYFUNCTION("""COMPUTED_VALUE"""),"")</f>
        <v/>
      </c>
    </row>
    <row r="11015">
      <c r="A11015" s="16" t="s">
        <v>87</v>
      </c>
      <c r="E11015" s="16" t="str">
        <f>IFERROR(__xludf.DUMMYFUNCTION("""COMPUTED_VALUE"""),"")</f>
        <v/>
      </c>
      <c r="G11015" s="18"/>
      <c r="H11015" s="16" t="s">
        <v>87</v>
      </c>
      <c r="I11015" s="16" t="s">
        <v>87</v>
      </c>
      <c r="J11015" s="19"/>
      <c r="L11015" s="16" t="str">
        <f>IFERROR(__xludf.DUMMYFUNCTION("""COMPUTED_VALUE"""),"")</f>
        <v/>
      </c>
      <c r="M11015" s="16" t="str">
        <f>IFERROR(__xludf.DUMMYFUNCTION("""COMPUTED_VALUE"""),"")</f>
        <v/>
      </c>
      <c r="U11015" s="16" t="s">
        <v>87</v>
      </c>
      <c r="V11015" s="16" t="str">
        <f>IFERROR(__xludf.DUMMYFUNCTION("""COMPUTED_VALUE"""),"")</f>
        <v/>
      </c>
      <c r="W11015" s="16" t="str">
        <f>IFERROR(__xludf.DUMMYFUNCTION("""COMPUTED_VALUE"""),"")</f>
        <v/>
      </c>
      <c r="X11015" s="16" t="str">
        <f>IFERROR(__xludf.DUMMYFUNCTION("""COMPUTED_VALUE"""),"")</f>
        <v/>
      </c>
      <c r="AC11015" s="16" t="str">
        <f>IFERROR(__xludf.DUMMYFUNCTION("""COMPUTED_VALUE"""),"")</f>
        <v/>
      </c>
    </row>
    <row r="11016">
      <c r="A11016" s="16" t="s">
        <v>87</v>
      </c>
      <c r="E11016" s="16" t="str">
        <f>IFERROR(__xludf.DUMMYFUNCTION("""COMPUTED_VALUE"""),"")</f>
        <v/>
      </c>
      <c r="G11016" s="18"/>
      <c r="H11016" s="16" t="s">
        <v>87</v>
      </c>
      <c r="I11016" s="16" t="s">
        <v>87</v>
      </c>
      <c r="J11016" s="19"/>
      <c r="L11016" s="16" t="str">
        <f>IFERROR(__xludf.DUMMYFUNCTION("""COMPUTED_VALUE"""),"")</f>
        <v/>
      </c>
      <c r="M11016" s="16" t="str">
        <f>IFERROR(__xludf.DUMMYFUNCTION("""COMPUTED_VALUE"""),"")</f>
        <v/>
      </c>
      <c r="U11016" s="16" t="s">
        <v>87</v>
      </c>
      <c r="V11016" s="16" t="str">
        <f>IFERROR(__xludf.DUMMYFUNCTION("""COMPUTED_VALUE"""),"")</f>
        <v/>
      </c>
      <c r="W11016" s="16" t="str">
        <f>IFERROR(__xludf.DUMMYFUNCTION("""COMPUTED_VALUE"""),"")</f>
        <v/>
      </c>
      <c r="X11016" s="16" t="str">
        <f>IFERROR(__xludf.DUMMYFUNCTION("""COMPUTED_VALUE"""),"")</f>
        <v/>
      </c>
      <c r="AC11016" s="16" t="str">
        <f>IFERROR(__xludf.DUMMYFUNCTION("""COMPUTED_VALUE"""),"")</f>
        <v/>
      </c>
    </row>
    <row r="11017">
      <c r="A11017" s="16" t="s">
        <v>87</v>
      </c>
      <c r="E11017" s="16" t="str">
        <f>IFERROR(__xludf.DUMMYFUNCTION("""COMPUTED_VALUE"""),"")</f>
        <v/>
      </c>
      <c r="G11017" s="18"/>
      <c r="H11017" s="16" t="s">
        <v>87</v>
      </c>
      <c r="I11017" s="16" t="s">
        <v>87</v>
      </c>
      <c r="J11017" s="19"/>
      <c r="L11017" s="16" t="str">
        <f>IFERROR(__xludf.DUMMYFUNCTION("""COMPUTED_VALUE"""),"")</f>
        <v/>
      </c>
      <c r="M11017" s="16" t="str">
        <f>IFERROR(__xludf.DUMMYFUNCTION("""COMPUTED_VALUE"""),"")</f>
        <v/>
      </c>
      <c r="U11017" s="16" t="s">
        <v>87</v>
      </c>
      <c r="V11017" s="16" t="str">
        <f>IFERROR(__xludf.DUMMYFUNCTION("""COMPUTED_VALUE"""),"")</f>
        <v/>
      </c>
      <c r="W11017" s="16" t="str">
        <f>IFERROR(__xludf.DUMMYFUNCTION("""COMPUTED_VALUE"""),"")</f>
        <v/>
      </c>
      <c r="X11017" s="16" t="str">
        <f>IFERROR(__xludf.DUMMYFUNCTION("""COMPUTED_VALUE"""),"")</f>
        <v/>
      </c>
      <c r="AC11017" s="16" t="str">
        <f>IFERROR(__xludf.DUMMYFUNCTION("""COMPUTED_VALUE"""),"")</f>
        <v/>
      </c>
    </row>
    <row r="11018">
      <c r="A11018" s="16" t="s">
        <v>87</v>
      </c>
      <c r="E11018" s="16" t="str">
        <f>IFERROR(__xludf.DUMMYFUNCTION("""COMPUTED_VALUE"""),"")</f>
        <v/>
      </c>
      <c r="G11018" s="18"/>
      <c r="H11018" s="16" t="s">
        <v>87</v>
      </c>
      <c r="I11018" s="16" t="s">
        <v>87</v>
      </c>
      <c r="J11018" s="19"/>
      <c r="L11018" s="16" t="str">
        <f>IFERROR(__xludf.DUMMYFUNCTION("""COMPUTED_VALUE"""),"")</f>
        <v/>
      </c>
      <c r="M11018" s="16" t="str">
        <f>IFERROR(__xludf.DUMMYFUNCTION("""COMPUTED_VALUE"""),"")</f>
        <v/>
      </c>
      <c r="U11018" s="16" t="s">
        <v>87</v>
      </c>
      <c r="V11018" s="16" t="str">
        <f>IFERROR(__xludf.DUMMYFUNCTION("""COMPUTED_VALUE"""),"")</f>
        <v/>
      </c>
      <c r="W11018" s="16" t="str">
        <f>IFERROR(__xludf.DUMMYFUNCTION("""COMPUTED_VALUE"""),"")</f>
        <v/>
      </c>
      <c r="X11018" s="16" t="str">
        <f>IFERROR(__xludf.DUMMYFUNCTION("""COMPUTED_VALUE"""),"")</f>
        <v/>
      </c>
      <c r="AC11018" s="16" t="str">
        <f>IFERROR(__xludf.DUMMYFUNCTION("""COMPUTED_VALUE"""),"")</f>
        <v/>
      </c>
    </row>
    <row r="11019">
      <c r="A11019" s="16" t="s">
        <v>87</v>
      </c>
      <c r="E11019" s="16" t="str">
        <f>IFERROR(__xludf.DUMMYFUNCTION("""COMPUTED_VALUE"""),"")</f>
        <v/>
      </c>
      <c r="G11019" s="18"/>
      <c r="H11019" s="16" t="s">
        <v>87</v>
      </c>
      <c r="I11019" s="16" t="s">
        <v>87</v>
      </c>
      <c r="J11019" s="19"/>
      <c r="L11019" s="16" t="str">
        <f>IFERROR(__xludf.DUMMYFUNCTION("""COMPUTED_VALUE"""),"")</f>
        <v/>
      </c>
      <c r="M11019" s="16" t="str">
        <f>IFERROR(__xludf.DUMMYFUNCTION("""COMPUTED_VALUE"""),"")</f>
        <v/>
      </c>
      <c r="U11019" s="16" t="s">
        <v>87</v>
      </c>
      <c r="V11019" s="16" t="str">
        <f>IFERROR(__xludf.DUMMYFUNCTION("""COMPUTED_VALUE"""),"")</f>
        <v/>
      </c>
      <c r="W11019" s="16" t="str">
        <f>IFERROR(__xludf.DUMMYFUNCTION("""COMPUTED_VALUE"""),"")</f>
        <v/>
      </c>
      <c r="X11019" s="16" t="str">
        <f>IFERROR(__xludf.DUMMYFUNCTION("""COMPUTED_VALUE"""),"")</f>
        <v/>
      </c>
      <c r="AC11019" s="16" t="str">
        <f>IFERROR(__xludf.DUMMYFUNCTION("""COMPUTED_VALUE"""),"")</f>
        <v/>
      </c>
    </row>
    <row r="11020">
      <c r="A11020" s="16" t="s">
        <v>87</v>
      </c>
      <c r="E11020" s="16" t="str">
        <f>IFERROR(__xludf.DUMMYFUNCTION("""COMPUTED_VALUE"""),"")</f>
        <v/>
      </c>
      <c r="G11020" s="18"/>
      <c r="H11020" s="16" t="s">
        <v>87</v>
      </c>
      <c r="I11020" s="16" t="s">
        <v>87</v>
      </c>
      <c r="J11020" s="19"/>
      <c r="L11020" s="16" t="str">
        <f>IFERROR(__xludf.DUMMYFUNCTION("""COMPUTED_VALUE"""),"")</f>
        <v/>
      </c>
      <c r="M11020" s="16" t="str">
        <f>IFERROR(__xludf.DUMMYFUNCTION("""COMPUTED_VALUE"""),"")</f>
        <v/>
      </c>
      <c r="U11020" s="16" t="s">
        <v>87</v>
      </c>
      <c r="V11020" s="16" t="str">
        <f>IFERROR(__xludf.DUMMYFUNCTION("""COMPUTED_VALUE"""),"")</f>
        <v/>
      </c>
      <c r="W11020" s="16" t="str">
        <f>IFERROR(__xludf.DUMMYFUNCTION("""COMPUTED_VALUE"""),"")</f>
        <v/>
      </c>
      <c r="X11020" s="16" t="str">
        <f>IFERROR(__xludf.DUMMYFUNCTION("""COMPUTED_VALUE"""),"")</f>
        <v/>
      </c>
      <c r="AC11020" s="16" t="str">
        <f>IFERROR(__xludf.DUMMYFUNCTION("""COMPUTED_VALUE"""),"")</f>
        <v/>
      </c>
    </row>
    <row r="11021">
      <c r="A11021" s="16" t="s">
        <v>87</v>
      </c>
      <c r="E11021" s="16" t="str">
        <f>IFERROR(__xludf.DUMMYFUNCTION("""COMPUTED_VALUE"""),"")</f>
        <v/>
      </c>
      <c r="G11021" s="18"/>
      <c r="H11021" s="16" t="s">
        <v>87</v>
      </c>
      <c r="I11021" s="16" t="s">
        <v>87</v>
      </c>
      <c r="J11021" s="19"/>
      <c r="L11021" s="16" t="str">
        <f>IFERROR(__xludf.DUMMYFUNCTION("""COMPUTED_VALUE"""),"")</f>
        <v/>
      </c>
      <c r="M11021" s="16" t="str">
        <f>IFERROR(__xludf.DUMMYFUNCTION("""COMPUTED_VALUE"""),"")</f>
        <v/>
      </c>
      <c r="U11021" s="16" t="s">
        <v>87</v>
      </c>
      <c r="V11021" s="16" t="str">
        <f>IFERROR(__xludf.DUMMYFUNCTION("""COMPUTED_VALUE"""),"")</f>
        <v/>
      </c>
      <c r="W11021" s="16" t="str">
        <f>IFERROR(__xludf.DUMMYFUNCTION("""COMPUTED_VALUE"""),"")</f>
        <v/>
      </c>
      <c r="X11021" s="16" t="str">
        <f>IFERROR(__xludf.DUMMYFUNCTION("""COMPUTED_VALUE"""),"")</f>
        <v/>
      </c>
      <c r="AC11021" s="16" t="str">
        <f>IFERROR(__xludf.DUMMYFUNCTION("""COMPUTED_VALUE"""),"")</f>
        <v/>
      </c>
    </row>
    <row r="11022">
      <c r="A11022" s="16" t="s">
        <v>87</v>
      </c>
      <c r="E11022" s="16" t="str">
        <f>IFERROR(__xludf.DUMMYFUNCTION("""COMPUTED_VALUE"""),"")</f>
        <v/>
      </c>
      <c r="G11022" s="18"/>
      <c r="H11022" s="16" t="s">
        <v>87</v>
      </c>
      <c r="I11022" s="16" t="s">
        <v>87</v>
      </c>
      <c r="J11022" s="19"/>
      <c r="L11022" s="16" t="str">
        <f>IFERROR(__xludf.DUMMYFUNCTION("""COMPUTED_VALUE"""),"")</f>
        <v/>
      </c>
      <c r="M11022" s="16" t="str">
        <f>IFERROR(__xludf.DUMMYFUNCTION("""COMPUTED_VALUE"""),"")</f>
        <v/>
      </c>
      <c r="U11022" s="16" t="s">
        <v>87</v>
      </c>
      <c r="V11022" s="16" t="str">
        <f>IFERROR(__xludf.DUMMYFUNCTION("""COMPUTED_VALUE"""),"")</f>
        <v/>
      </c>
      <c r="W11022" s="16" t="str">
        <f>IFERROR(__xludf.DUMMYFUNCTION("""COMPUTED_VALUE"""),"")</f>
        <v/>
      </c>
      <c r="X11022" s="16" t="str">
        <f>IFERROR(__xludf.DUMMYFUNCTION("""COMPUTED_VALUE"""),"")</f>
        <v/>
      </c>
      <c r="AC11022" s="16" t="str">
        <f>IFERROR(__xludf.DUMMYFUNCTION("""COMPUTED_VALUE"""),"")</f>
        <v/>
      </c>
    </row>
    <row r="11023">
      <c r="A11023" s="16" t="s">
        <v>87</v>
      </c>
      <c r="E11023" s="16" t="str">
        <f>IFERROR(__xludf.DUMMYFUNCTION("""COMPUTED_VALUE"""),"")</f>
        <v/>
      </c>
      <c r="G11023" s="18"/>
      <c r="H11023" s="16" t="s">
        <v>87</v>
      </c>
      <c r="I11023" s="16" t="s">
        <v>87</v>
      </c>
      <c r="J11023" s="19"/>
      <c r="L11023" s="16" t="str">
        <f>IFERROR(__xludf.DUMMYFUNCTION("""COMPUTED_VALUE"""),"")</f>
        <v/>
      </c>
      <c r="M11023" s="16" t="str">
        <f>IFERROR(__xludf.DUMMYFUNCTION("""COMPUTED_VALUE"""),"")</f>
        <v/>
      </c>
      <c r="U11023" s="16" t="s">
        <v>87</v>
      </c>
      <c r="V11023" s="16" t="str">
        <f>IFERROR(__xludf.DUMMYFUNCTION("""COMPUTED_VALUE"""),"")</f>
        <v/>
      </c>
      <c r="W11023" s="16" t="str">
        <f>IFERROR(__xludf.DUMMYFUNCTION("""COMPUTED_VALUE"""),"")</f>
        <v/>
      </c>
      <c r="X11023" s="16" t="str">
        <f>IFERROR(__xludf.DUMMYFUNCTION("""COMPUTED_VALUE"""),"")</f>
        <v/>
      </c>
      <c r="AC11023" s="16" t="str">
        <f>IFERROR(__xludf.DUMMYFUNCTION("""COMPUTED_VALUE"""),"")</f>
        <v/>
      </c>
    </row>
    <row r="11024">
      <c r="A11024" s="16" t="s">
        <v>87</v>
      </c>
      <c r="E11024" s="16" t="str">
        <f>IFERROR(__xludf.DUMMYFUNCTION("""COMPUTED_VALUE"""),"")</f>
        <v/>
      </c>
      <c r="G11024" s="18"/>
      <c r="H11024" s="16" t="s">
        <v>87</v>
      </c>
      <c r="I11024" s="16" t="s">
        <v>87</v>
      </c>
      <c r="J11024" s="19"/>
      <c r="L11024" s="16" t="str">
        <f>IFERROR(__xludf.DUMMYFUNCTION("""COMPUTED_VALUE"""),"")</f>
        <v/>
      </c>
      <c r="M11024" s="16" t="str">
        <f>IFERROR(__xludf.DUMMYFUNCTION("""COMPUTED_VALUE"""),"")</f>
        <v/>
      </c>
      <c r="U11024" s="16" t="s">
        <v>87</v>
      </c>
      <c r="V11024" s="16" t="str">
        <f>IFERROR(__xludf.DUMMYFUNCTION("""COMPUTED_VALUE"""),"")</f>
        <v/>
      </c>
      <c r="W11024" s="16" t="str">
        <f>IFERROR(__xludf.DUMMYFUNCTION("""COMPUTED_VALUE"""),"")</f>
        <v/>
      </c>
      <c r="X11024" s="16" t="str">
        <f>IFERROR(__xludf.DUMMYFUNCTION("""COMPUTED_VALUE"""),"")</f>
        <v/>
      </c>
      <c r="AC11024" s="16" t="str">
        <f>IFERROR(__xludf.DUMMYFUNCTION("""COMPUTED_VALUE"""),"")</f>
        <v/>
      </c>
    </row>
    <row r="11025">
      <c r="A11025" s="16" t="s">
        <v>87</v>
      </c>
      <c r="E11025" s="16" t="str">
        <f>IFERROR(__xludf.DUMMYFUNCTION("""COMPUTED_VALUE"""),"")</f>
        <v/>
      </c>
      <c r="G11025" s="18"/>
      <c r="H11025" s="16" t="s">
        <v>87</v>
      </c>
      <c r="I11025" s="16" t="s">
        <v>87</v>
      </c>
      <c r="J11025" s="19"/>
      <c r="L11025" s="16" t="str">
        <f>IFERROR(__xludf.DUMMYFUNCTION("""COMPUTED_VALUE"""),"")</f>
        <v/>
      </c>
      <c r="M11025" s="16" t="str">
        <f>IFERROR(__xludf.DUMMYFUNCTION("""COMPUTED_VALUE"""),"")</f>
        <v/>
      </c>
      <c r="U11025" s="16" t="s">
        <v>87</v>
      </c>
      <c r="V11025" s="16" t="str">
        <f>IFERROR(__xludf.DUMMYFUNCTION("""COMPUTED_VALUE"""),"")</f>
        <v/>
      </c>
      <c r="W11025" s="16" t="str">
        <f>IFERROR(__xludf.DUMMYFUNCTION("""COMPUTED_VALUE"""),"")</f>
        <v/>
      </c>
      <c r="X11025" s="16" t="str">
        <f>IFERROR(__xludf.DUMMYFUNCTION("""COMPUTED_VALUE"""),"")</f>
        <v/>
      </c>
      <c r="AC11025" s="16" t="str">
        <f>IFERROR(__xludf.DUMMYFUNCTION("""COMPUTED_VALUE"""),"")</f>
        <v/>
      </c>
    </row>
    <row r="11026">
      <c r="A11026" s="16" t="s">
        <v>87</v>
      </c>
      <c r="E11026" s="16" t="str">
        <f>IFERROR(__xludf.DUMMYFUNCTION("""COMPUTED_VALUE"""),"")</f>
        <v/>
      </c>
      <c r="G11026" s="18"/>
      <c r="H11026" s="16" t="s">
        <v>87</v>
      </c>
      <c r="I11026" s="16" t="s">
        <v>87</v>
      </c>
      <c r="J11026" s="19"/>
      <c r="L11026" s="16" t="str">
        <f>IFERROR(__xludf.DUMMYFUNCTION("""COMPUTED_VALUE"""),"")</f>
        <v/>
      </c>
      <c r="M11026" s="16" t="str">
        <f>IFERROR(__xludf.DUMMYFUNCTION("""COMPUTED_VALUE"""),"")</f>
        <v/>
      </c>
      <c r="U11026" s="16" t="s">
        <v>87</v>
      </c>
      <c r="V11026" s="16" t="str">
        <f>IFERROR(__xludf.DUMMYFUNCTION("""COMPUTED_VALUE"""),"")</f>
        <v/>
      </c>
      <c r="W11026" s="16" t="str">
        <f>IFERROR(__xludf.DUMMYFUNCTION("""COMPUTED_VALUE"""),"")</f>
        <v/>
      </c>
      <c r="X11026" s="16" t="str">
        <f>IFERROR(__xludf.DUMMYFUNCTION("""COMPUTED_VALUE"""),"")</f>
        <v/>
      </c>
      <c r="AC11026" s="16" t="str">
        <f>IFERROR(__xludf.DUMMYFUNCTION("""COMPUTED_VALUE"""),"")</f>
        <v/>
      </c>
    </row>
    <row r="11027">
      <c r="A11027" s="16" t="s">
        <v>87</v>
      </c>
      <c r="E11027" s="16" t="str">
        <f>IFERROR(__xludf.DUMMYFUNCTION("""COMPUTED_VALUE"""),"")</f>
        <v/>
      </c>
      <c r="G11027" s="18"/>
      <c r="H11027" s="16" t="s">
        <v>87</v>
      </c>
      <c r="I11027" s="16" t="s">
        <v>87</v>
      </c>
      <c r="J11027" s="19"/>
      <c r="L11027" s="16" t="str">
        <f>IFERROR(__xludf.DUMMYFUNCTION("""COMPUTED_VALUE"""),"")</f>
        <v/>
      </c>
      <c r="M11027" s="16" t="str">
        <f>IFERROR(__xludf.DUMMYFUNCTION("""COMPUTED_VALUE"""),"")</f>
        <v/>
      </c>
      <c r="U11027" s="16" t="s">
        <v>87</v>
      </c>
      <c r="V11027" s="16" t="str">
        <f>IFERROR(__xludf.DUMMYFUNCTION("""COMPUTED_VALUE"""),"")</f>
        <v/>
      </c>
      <c r="W11027" s="16" t="str">
        <f>IFERROR(__xludf.DUMMYFUNCTION("""COMPUTED_VALUE"""),"")</f>
        <v/>
      </c>
      <c r="X11027" s="16" t="str">
        <f>IFERROR(__xludf.DUMMYFUNCTION("""COMPUTED_VALUE"""),"")</f>
        <v/>
      </c>
      <c r="AC11027" s="16" t="str">
        <f>IFERROR(__xludf.DUMMYFUNCTION("""COMPUTED_VALUE"""),"")</f>
        <v/>
      </c>
    </row>
    <row r="11028">
      <c r="A11028" s="16" t="s">
        <v>87</v>
      </c>
      <c r="E11028" s="16" t="str">
        <f>IFERROR(__xludf.DUMMYFUNCTION("""COMPUTED_VALUE"""),"")</f>
        <v/>
      </c>
      <c r="G11028" s="18"/>
      <c r="H11028" s="16" t="s">
        <v>87</v>
      </c>
      <c r="I11028" s="16" t="s">
        <v>87</v>
      </c>
      <c r="J11028" s="19"/>
      <c r="L11028" s="16" t="str">
        <f>IFERROR(__xludf.DUMMYFUNCTION("""COMPUTED_VALUE"""),"")</f>
        <v/>
      </c>
      <c r="M11028" s="16" t="str">
        <f>IFERROR(__xludf.DUMMYFUNCTION("""COMPUTED_VALUE"""),"")</f>
        <v/>
      </c>
      <c r="U11028" s="16" t="s">
        <v>87</v>
      </c>
      <c r="V11028" s="16" t="str">
        <f>IFERROR(__xludf.DUMMYFUNCTION("""COMPUTED_VALUE"""),"")</f>
        <v/>
      </c>
      <c r="W11028" s="16" t="str">
        <f>IFERROR(__xludf.DUMMYFUNCTION("""COMPUTED_VALUE"""),"")</f>
        <v/>
      </c>
      <c r="X11028" s="16" t="str">
        <f>IFERROR(__xludf.DUMMYFUNCTION("""COMPUTED_VALUE"""),"")</f>
        <v/>
      </c>
      <c r="AC11028" s="16" t="str">
        <f>IFERROR(__xludf.DUMMYFUNCTION("""COMPUTED_VALUE"""),"")</f>
        <v/>
      </c>
    </row>
    <row r="11029">
      <c r="A11029" s="16" t="s">
        <v>87</v>
      </c>
      <c r="E11029" s="16" t="str">
        <f>IFERROR(__xludf.DUMMYFUNCTION("""COMPUTED_VALUE"""),"")</f>
        <v/>
      </c>
      <c r="G11029" s="18"/>
      <c r="H11029" s="16" t="s">
        <v>87</v>
      </c>
      <c r="I11029" s="16" t="s">
        <v>87</v>
      </c>
      <c r="J11029" s="19"/>
      <c r="L11029" s="16" t="str">
        <f>IFERROR(__xludf.DUMMYFUNCTION("""COMPUTED_VALUE"""),"")</f>
        <v/>
      </c>
      <c r="M11029" s="16" t="str">
        <f>IFERROR(__xludf.DUMMYFUNCTION("""COMPUTED_VALUE"""),"")</f>
        <v/>
      </c>
      <c r="U11029" s="16" t="s">
        <v>87</v>
      </c>
      <c r="V11029" s="16" t="str">
        <f>IFERROR(__xludf.DUMMYFUNCTION("""COMPUTED_VALUE"""),"")</f>
        <v/>
      </c>
      <c r="W11029" s="16" t="str">
        <f>IFERROR(__xludf.DUMMYFUNCTION("""COMPUTED_VALUE"""),"")</f>
        <v/>
      </c>
      <c r="X11029" s="16" t="str">
        <f>IFERROR(__xludf.DUMMYFUNCTION("""COMPUTED_VALUE"""),"")</f>
        <v/>
      </c>
      <c r="AC11029" s="16" t="str">
        <f>IFERROR(__xludf.DUMMYFUNCTION("""COMPUTED_VALUE"""),"")</f>
        <v/>
      </c>
    </row>
    <row r="11030">
      <c r="A11030" s="16" t="s">
        <v>87</v>
      </c>
      <c r="E11030" s="16" t="str">
        <f>IFERROR(__xludf.DUMMYFUNCTION("""COMPUTED_VALUE"""),"")</f>
        <v/>
      </c>
      <c r="G11030" s="18"/>
      <c r="H11030" s="16" t="s">
        <v>87</v>
      </c>
      <c r="I11030" s="16" t="s">
        <v>87</v>
      </c>
      <c r="J11030" s="19"/>
      <c r="L11030" s="16" t="str">
        <f>IFERROR(__xludf.DUMMYFUNCTION("""COMPUTED_VALUE"""),"")</f>
        <v/>
      </c>
      <c r="M11030" s="16" t="str">
        <f>IFERROR(__xludf.DUMMYFUNCTION("""COMPUTED_VALUE"""),"")</f>
        <v/>
      </c>
      <c r="U11030" s="16" t="s">
        <v>87</v>
      </c>
      <c r="V11030" s="16" t="str">
        <f>IFERROR(__xludf.DUMMYFUNCTION("""COMPUTED_VALUE"""),"")</f>
        <v/>
      </c>
      <c r="W11030" s="16" t="str">
        <f>IFERROR(__xludf.DUMMYFUNCTION("""COMPUTED_VALUE"""),"")</f>
        <v/>
      </c>
      <c r="X11030" s="16" t="str">
        <f>IFERROR(__xludf.DUMMYFUNCTION("""COMPUTED_VALUE"""),"")</f>
        <v/>
      </c>
      <c r="AC11030" s="16" t="str">
        <f>IFERROR(__xludf.DUMMYFUNCTION("""COMPUTED_VALUE"""),"")</f>
        <v/>
      </c>
    </row>
    <row r="11031">
      <c r="A11031" s="16" t="s">
        <v>87</v>
      </c>
      <c r="E11031" s="16" t="str">
        <f>IFERROR(__xludf.DUMMYFUNCTION("""COMPUTED_VALUE"""),"")</f>
        <v/>
      </c>
      <c r="G11031" s="18"/>
      <c r="H11031" s="16" t="s">
        <v>87</v>
      </c>
      <c r="I11031" s="16" t="s">
        <v>87</v>
      </c>
      <c r="J11031" s="19"/>
      <c r="L11031" s="16" t="str">
        <f>IFERROR(__xludf.DUMMYFUNCTION("""COMPUTED_VALUE"""),"")</f>
        <v/>
      </c>
      <c r="M11031" s="16" t="str">
        <f>IFERROR(__xludf.DUMMYFUNCTION("""COMPUTED_VALUE"""),"")</f>
        <v/>
      </c>
      <c r="U11031" s="16" t="s">
        <v>87</v>
      </c>
      <c r="V11031" s="16" t="str">
        <f>IFERROR(__xludf.DUMMYFUNCTION("""COMPUTED_VALUE"""),"")</f>
        <v/>
      </c>
      <c r="W11031" s="16" t="str">
        <f>IFERROR(__xludf.DUMMYFUNCTION("""COMPUTED_VALUE"""),"")</f>
        <v/>
      </c>
      <c r="X11031" s="16" t="str">
        <f>IFERROR(__xludf.DUMMYFUNCTION("""COMPUTED_VALUE"""),"")</f>
        <v/>
      </c>
      <c r="AC11031" s="16" t="str">
        <f>IFERROR(__xludf.DUMMYFUNCTION("""COMPUTED_VALUE"""),"")</f>
        <v/>
      </c>
    </row>
    <row r="11032">
      <c r="A11032" s="16" t="s">
        <v>87</v>
      </c>
      <c r="E11032" s="16" t="str">
        <f>IFERROR(__xludf.DUMMYFUNCTION("""COMPUTED_VALUE"""),"")</f>
        <v/>
      </c>
      <c r="G11032" s="18"/>
      <c r="H11032" s="16" t="s">
        <v>87</v>
      </c>
      <c r="I11032" s="16" t="s">
        <v>87</v>
      </c>
      <c r="J11032" s="19"/>
      <c r="L11032" s="16" t="str">
        <f>IFERROR(__xludf.DUMMYFUNCTION("""COMPUTED_VALUE"""),"")</f>
        <v/>
      </c>
      <c r="M11032" s="16" t="str">
        <f>IFERROR(__xludf.DUMMYFUNCTION("""COMPUTED_VALUE"""),"")</f>
        <v/>
      </c>
      <c r="U11032" s="16" t="s">
        <v>87</v>
      </c>
      <c r="V11032" s="16" t="str">
        <f>IFERROR(__xludf.DUMMYFUNCTION("""COMPUTED_VALUE"""),"")</f>
        <v/>
      </c>
      <c r="W11032" s="16" t="str">
        <f>IFERROR(__xludf.DUMMYFUNCTION("""COMPUTED_VALUE"""),"")</f>
        <v/>
      </c>
      <c r="X11032" s="16" t="str">
        <f>IFERROR(__xludf.DUMMYFUNCTION("""COMPUTED_VALUE"""),"")</f>
        <v/>
      </c>
      <c r="AC11032" s="16" t="str">
        <f>IFERROR(__xludf.DUMMYFUNCTION("""COMPUTED_VALUE"""),"")</f>
        <v/>
      </c>
    </row>
    <row r="11033">
      <c r="A11033" s="16" t="s">
        <v>87</v>
      </c>
      <c r="E11033" s="16" t="str">
        <f>IFERROR(__xludf.DUMMYFUNCTION("""COMPUTED_VALUE"""),"")</f>
        <v/>
      </c>
      <c r="G11033" s="18"/>
      <c r="H11033" s="16" t="s">
        <v>87</v>
      </c>
      <c r="I11033" s="16" t="s">
        <v>87</v>
      </c>
      <c r="J11033" s="19"/>
      <c r="L11033" s="16" t="str">
        <f>IFERROR(__xludf.DUMMYFUNCTION("""COMPUTED_VALUE"""),"")</f>
        <v/>
      </c>
      <c r="M11033" s="16" t="str">
        <f>IFERROR(__xludf.DUMMYFUNCTION("""COMPUTED_VALUE"""),"")</f>
        <v/>
      </c>
      <c r="U11033" s="16" t="s">
        <v>87</v>
      </c>
      <c r="V11033" s="16" t="str">
        <f>IFERROR(__xludf.DUMMYFUNCTION("""COMPUTED_VALUE"""),"")</f>
        <v/>
      </c>
      <c r="W11033" s="16" t="str">
        <f>IFERROR(__xludf.DUMMYFUNCTION("""COMPUTED_VALUE"""),"")</f>
        <v/>
      </c>
      <c r="X11033" s="16" t="str">
        <f>IFERROR(__xludf.DUMMYFUNCTION("""COMPUTED_VALUE"""),"")</f>
        <v/>
      </c>
      <c r="AC11033" s="16" t="str">
        <f>IFERROR(__xludf.DUMMYFUNCTION("""COMPUTED_VALUE"""),"")</f>
        <v/>
      </c>
    </row>
    <row r="11034">
      <c r="A11034" s="16" t="s">
        <v>87</v>
      </c>
      <c r="E11034" s="16" t="str">
        <f>IFERROR(__xludf.DUMMYFUNCTION("""COMPUTED_VALUE"""),"")</f>
        <v/>
      </c>
      <c r="G11034" s="18"/>
      <c r="H11034" s="16" t="s">
        <v>87</v>
      </c>
      <c r="I11034" s="16" t="s">
        <v>87</v>
      </c>
      <c r="J11034" s="19"/>
      <c r="L11034" s="16" t="str">
        <f>IFERROR(__xludf.DUMMYFUNCTION("""COMPUTED_VALUE"""),"")</f>
        <v/>
      </c>
      <c r="M11034" s="16" t="str">
        <f>IFERROR(__xludf.DUMMYFUNCTION("""COMPUTED_VALUE"""),"")</f>
        <v/>
      </c>
      <c r="U11034" s="16" t="s">
        <v>87</v>
      </c>
      <c r="V11034" s="16" t="str">
        <f>IFERROR(__xludf.DUMMYFUNCTION("""COMPUTED_VALUE"""),"")</f>
        <v/>
      </c>
      <c r="W11034" s="16" t="str">
        <f>IFERROR(__xludf.DUMMYFUNCTION("""COMPUTED_VALUE"""),"")</f>
        <v/>
      </c>
      <c r="X11034" s="16" t="str">
        <f>IFERROR(__xludf.DUMMYFUNCTION("""COMPUTED_VALUE"""),"")</f>
        <v/>
      </c>
      <c r="AC11034" s="16" t="str">
        <f>IFERROR(__xludf.DUMMYFUNCTION("""COMPUTED_VALUE"""),"")</f>
        <v/>
      </c>
    </row>
    <row r="11035">
      <c r="A11035" s="16" t="s">
        <v>87</v>
      </c>
      <c r="E11035" s="16" t="str">
        <f>IFERROR(__xludf.DUMMYFUNCTION("""COMPUTED_VALUE"""),"")</f>
        <v/>
      </c>
      <c r="G11035" s="18"/>
      <c r="H11035" s="16" t="s">
        <v>87</v>
      </c>
      <c r="I11035" s="16" t="s">
        <v>87</v>
      </c>
      <c r="J11035" s="19"/>
      <c r="L11035" s="16" t="str">
        <f>IFERROR(__xludf.DUMMYFUNCTION("""COMPUTED_VALUE"""),"")</f>
        <v/>
      </c>
      <c r="M11035" s="16" t="str">
        <f>IFERROR(__xludf.DUMMYFUNCTION("""COMPUTED_VALUE"""),"")</f>
        <v/>
      </c>
      <c r="U11035" s="16" t="s">
        <v>87</v>
      </c>
      <c r="V11035" s="16" t="str">
        <f>IFERROR(__xludf.DUMMYFUNCTION("""COMPUTED_VALUE"""),"")</f>
        <v/>
      </c>
      <c r="W11035" s="16" t="str">
        <f>IFERROR(__xludf.DUMMYFUNCTION("""COMPUTED_VALUE"""),"")</f>
        <v/>
      </c>
      <c r="X11035" s="16" t="str">
        <f>IFERROR(__xludf.DUMMYFUNCTION("""COMPUTED_VALUE"""),"")</f>
        <v/>
      </c>
      <c r="AC11035" s="16" t="str">
        <f>IFERROR(__xludf.DUMMYFUNCTION("""COMPUTED_VALUE"""),"")</f>
        <v/>
      </c>
    </row>
    <row r="11036">
      <c r="A11036" s="16" t="s">
        <v>87</v>
      </c>
      <c r="E11036" s="16" t="str">
        <f>IFERROR(__xludf.DUMMYFUNCTION("""COMPUTED_VALUE"""),"")</f>
        <v/>
      </c>
      <c r="G11036" s="18"/>
      <c r="H11036" s="16" t="s">
        <v>87</v>
      </c>
      <c r="I11036" s="16" t="s">
        <v>87</v>
      </c>
      <c r="J11036" s="19"/>
      <c r="L11036" s="16" t="str">
        <f>IFERROR(__xludf.DUMMYFUNCTION("""COMPUTED_VALUE"""),"")</f>
        <v/>
      </c>
      <c r="M11036" s="16" t="str">
        <f>IFERROR(__xludf.DUMMYFUNCTION("""COMPUTED_VALUE"""),"")</f>
        <v/>
      </c>
      <c r="U11036" s="16" t="s">
        <v>87</v>
      </c>
      <c r="V11036" s="16" t="str">
        <f>IFERROR(__xludf.DUMMYFUNCTION("""COMPUTED_VALUE"""),"")</f>
        <v/>
      </c>
      <c r="W11036" s="16" t="str">
        <f>IFERROR(__xludf.DUMMYFUNCTION("""COMPUTED_VALUE"""),"")</f>
        <v/>
      </c>
      <c r="X11036" s="16" t="str">
        <f>IFERROR(__xludf.DUMMYFUNCTION("""COMPUTED_VALUE"""),"")</f>
        <v/>
      </c>
      <c r="AC11036" s="16" t="str">
        <f>IFERROR(__xludf.DUMMYFUNCTION("""COMPUTED_VALUE"""),"")</f>
        <v/>
      </c>
    </row>
    <row r="11037">
      <c r="A11037" s="16" t="s">
        <v>87</v>
      </c>
      <c r="E11037" s="16" t="str">
        <f>IFERROR(__xludf.DUMMYFUNCTION("""COMPUTED_VALUE"""),"")</f>
        <v/>
      </c>
      <c r="G11037" s="18"/>
      <c r="H11037" s="16" t="s">
        <v>87</v>
      </c>
      <c r="I11037" s="16" t="s">
        <v>87</v>
      </c>
      <c r="J11037" s="19"/>
      <c r="L11037" s="16" t="str">
        <f>IFERROR(__xludf.DUMMYFUNCTION("""COMPUTED_VALUE"""),"")</f>
        <v/>
      </c>
      <c r="M11037" s="16" t="str">
        <f>IFERROR(__xludf.DUMMYFUNCTION("""COMPUTED_VALUE"""),"")</f>
        <v/>
      </c>
      <c r="U11037" s="16" t="s">
        <v>87</v>
      </c>
      <c r="V11037" s="16" t="str">
        <f>IFERROR(__xludf.DUMMYFUNCTION("""COMPUTED_VALUE"""),"")</f>
        <v/>
      </c>
      <c r="W11037" s="16" t="str">
        <f>IFERROR(__xludf.DUMMYFUNCTION("""COMPUTED_VALUE"""),"")</f>
        <v/>
      </c>
      <c r="X11037" s="16" t="str">
        <f>IFERROR(__xludf.DUMMYFUNCTION("""COMPUTED_VALUE"""),"")</f>
        <v/>
      </c>
      <c r="AC11037" s="16" t="str">
        <f>IFERROR(__xludf.DUMMYFUNCTION("""COMPUTED_VALUE"""),"")</f>
        <v/>
      </c>
    </row>
    <row r="11038">
      <c r="A11038" s="16" t="s">
        <v>87</v>
      </c>
      <c r="E11038" s="16" t="str">
        <f>IFERROR(__xludf.DUMMYFUNCTION("""COMPUTED_VALUE"""),"")</f>
        <v/>
      </c>
      <c r="G11038" s="18"/>
      <c r="H11038" s="16" t="s">
        <v>87</v>
      </c>
      <c r="I11038" s="16" t="s">
        <v>87</v>
      </c>
      <c r="J11038" s="19"/>
      <c r="L11038" s="16" t="str">
        <f>IFERROR(__xludf.DUMMYFUNCTION("""COMPUTED_VALUE"""),"")</f>
        <v/>
      </c>
      <c r="M11038" s="16" t="str">
        <f>IFERROR(__xludf.DUMMYFUNCTION("""COMPUTED_VALUE"""),"")</f>
        <v/>
      </c>
      <c r="U11038" s="16" t="s">
        <v>87</v>
      </c>
      <c r="V11038" s="16" t="str">
        <f>IFERROR(__xludf.DUMMYFUNCTION("""COMPUTED_VALUE"""),"")</f>
        <v/>
      </c>
      <c r="W11038" s="16" t="str">
        <f>IFERROR(__xludf.DUMMYFUNCTION("""COMPUTED_VALUE"""),"")</f>
        <v/>
      </c>
      <c r="X11038" s="16" t="str">
        <f>IFERROR(__xludf.DUMMYFUNCTION("""COMPUTED_VALUE"""),"")</f>
        <v/>
      </c>
      <c r="AC11038" s="16" t="str">
        <f>IFERROR(__xludf.DUMMYFUNCTION("""COMPUTED_VALUE"""),"")</f>
        <v/>
      </c>
    </row>
    <row r="11039">
      <c r="A11039" s="16" t="s">
        <v>87</v>
      </c>
      <c r="E11039" s="16" t="str">
        <f>IFERROR(__xludf.DUMMYFUNCTION("""COMPUTED_VALUE"""),"")</f>
        <v/>
      </c>
      <c r="G11039" s="18"/>
      <c r="H11039" s="16" t="s">
        <v>87</v>
      </c>
      <c r="I11039" s="16" t="s">
        <v>87</v>
      </c>
      <c r="J11039" s="19"/>
      <c r="L11039" s="16" t="str">
        <f>IFERROR(__xludf.DUMMYFUNCTION("""COMPUTED_VALUE"""),"")</f>
        <v/>
      </c>
      <c r="M11039" s="16" t="str">
        <f>IFERROR(__xludf.DUMMYFUNCTION("""COMPUTED_VALUE"""),"")</f>
        <v/>
      </c>
      <c r="U11039" s="16" t="s">
        <v>87</v>
      </c>
      <c r="V11039" s="16" t="str">
        <f>IFERROR(__xludf.DUMMYFUNCTION("""COMPUTED_VALUE"""),"")</f>
        <v/>
      </c>
      <c r="W11039" s="16" t="str">
        <f>IFERROR(__xludf.DUMMYFUNCTION("""COMPUTED_VALUE"""),"")</f>
        <v/>
      </c>
      <c r="X11039" s="16" t="str">
        <f>IFERROR(__xludf.DUMMYFUNCTION("""COMPUTED_VALUE"""),"")</f>
        <v/>
      </c>
      <c r="AC11039" s="16" t="str">
        <f>IFERROR(__xludf.DUMMYFUNCTION("""COMPUTED_VALUE"""),"")</f>
        <v/>
      </c>
    </row>
    <row r="11040">
      <c r="A11040" s="16" t="s">
        <v>87</v>
      </c>
      <c r="E11040" s="16" t="str">
        <f>IFERROR(__xludf.DUMMYFUNCTION("""COMPUTED_VALUE"""),"")</f>
        <v/>
      </c>
      <c r="G11040" s="18"/>
      <c r="H11040" s="16" t="s">
        <v>87</v>
      </c>
      <c r="I11040" s="16" t="s">
        <v>87</v>
      </c>
      <c r="J11040" s="19"/>
      <c r="L11040" s="16" t="str">
        <f>IFERROR(__xludf.DUMMYFUNCTION("""COMPUTED_VALUE"""),"")</f>
        <v/>
      </c>
      <c r="M11040" s="16" t="str">
        <f>IFERROR(__xludf.DUMMYFUNCTION("""COMPUTED_VALUE"""),"")</f>
        <v/>
      </c>
      <c r="U11040" s="16" t="s">
        <v>87</v>
      </c>
      <c r="V11040" s="16" t="str">
        <f>IFERROR(__xludf.DUMMYFUNCTION("""COMPUTED_VALUE"""),"")</f>
        <v/>
      </c>
      <c r="W11040" s="16" t="str">
        <f>IFERROR(__xludf.DUMMYFUNCTION("""COMPUTED_VALUE"""),"")</f>
        <v/>
      </c>
      <c r="X11040" s="16" t="str">
        <f>IFERROR(__xludf.DUMMYFUNCTION("""COMPUTED_VALUE"""),"")</f>
        <v/>
      </c>
      <c r="AC11040" s="16" t="str">
        <f>IFERROR(__xludf.DUMMYFUNCTION("""COMPUTED_VALUE"""),"")</f>
        <v/>
      </c>
    </row>
    <row r="11041">
      <c r="A11041" s="16" t="s">
        <v>87</v>
      </c>
      <c r="E11041" s="16" t="str">
        <f>IFERROR(__xludf.DUMMYFUNCTION("""COMPUTED_VALUE"""),"")</f>
        <v/>
      </c>
      <c r="G11041" s="18"/>
      <c r="H11041" s="16" t="s">
        <v>87</v>
      </c>
      <c r="I11041" s="16" t="s">
        <v>87</v>
      </c>
      <c r="J11041" s="19"/>
      <c r="L11041" s="16" t="str">
        <f>IFERROR(__xludf.DUMMYFUNCTION("""COMPUTED_VALUE"""),"")</f>
        <v/>
      </c>
      <c r="M11041" s="16" t="str">
        <f>IFERROR(__xludf.DUMMYFUNCTION("""COMPUTED_VALUE"""),"")</f>
        <v/>
      </c>
      <c r="U11041" s="16" t="s">
        <v>87</v>
      </c>
      <c r="V11041" s="16" t="str">
        <f>IFERROR(__xludf.DUMMYFUNCTION("""COMPUTED_VALUE"""),"")</f>
        <v/>
      </c>
      <c r="W11041" s="16" t="str">
        <f>IFERROR(__xludf.DUMMYFUNCTION("""COMPUTED_VALUE"""),"")</f>
        <v/>
      </c>
      <c r="X11041" s="16" t="str">
        <f>IFERROR(__xludf.DUMMYFUNCTION("""COMPUTED_VALUE"""),"")</f>
        <v/>
      </c>
      <c r="AC11041" s="16" t="str">
        <f>IFERROR(__xludf.DUMMYFUNCTION("""COMPUTED_VALUE"""),"")</f>
        <v/>
      </c>
    </row>
    <row r="11042">
      <c r="A11042" s="16" t="s">
        <v>87</v>
      </c>
      <c r="E11042" s="16" t="str">
        <f>IFERROR(__xludf.DUMMYFUNCTION("""COMPUTED_VALUE"""),"")</f>
        <v/>
      </c>
      <c r="G11042" s="18"/>
      <c r="H11042" s="16" t="s">
        <v>87</v>
      </c>
      <c r="I11042" s="16" t="s">
        <v>87</v>
      </c>
      <c r="J11042" s="19"/>
      <c r="L11042" s="16" t="str">
        <f>IFERROR(__xludf.DUMMYFUNCTION("""COMPUTED_VALUE"""),"")</f>
        <v/>
      </c>
      <c r="M11042" s="16" t="str">
        <f>IFERROR(__xludf.DUMMYFUNCTION("""COMPUTED_VALUE"""),"")</f>
        <v/>
      </c>
      <c r="U11042" s="16" t="s">
        <v>87</v>
      </c>
      <c r="V11042" s="16" t="str">
        <f>IFERROR(__xludf.DUMMYFUNCTION("""COMPUTED_VALUE"""),"")</f>
        <v/>
      </c>
      <c r="W11042" s="16" t="str">
        <f>IFERROR(__xludf.DUMMYFUNCTION("""COMPUTED_VALUE"""),"")</f>
        <v/>
      </c>
      <c r="X11042" s="16" t="str">
        <f>IFERROR(__xludf.DUMMYFUNCTION("""COMPUTED_VALUE"""),"")</f>
        <v/>
      </c>
      <c r="AC11042" s="16" t="str">
        <f>IFERROR(__xludf.DUMMYFUNCTION("""COMPUTED_VALUE"""),"")</f>
        <v/>
      </c>
    </row>
    <row r="11043">
      <c r="A11043" s="16" t="s">
        <v>87</v>
      </c>
      <c r="E11043" s="16" t="str">
        <f>IFERROR(__xludf.DUMMYFUNCTION("""COMPUTED_VALUE"""),"")</f>
        <v/>
      </c>
      <c r="G11043" s="18"/>
      <c r="H11043" s="16" t="s">
        <v>87</v>
      </c>
      <c r="I11043" s="16" t="s">
        <v>87</v>
      </c>
      <c r="J11043" s="19"/>
      <c r="L11043" s="16" t="str">
        <f>IFERROR(__xludf.DUMMYFUNCTION("""COMPUTED_VALUE"""),"")</f>
        <v/>
      </c>
      <c r="M11043" s="16" t="str">
        <f>IFERROR(__xludf.DUMMYFUNCTION("""COMPUTED_VALUE"""),"")</f>
        <v/>
      </c>
      <c r="U11043" s="16" t="s">
        <v>87</v>
      </c>
      <c r="V11043" s="16" t="str">
        <f>IFERROR(__xludf.DUMMYFUNCTION("""COMPUTED_VALUE"""),"")</f>
        <v/>
      </c>
      <c r="W11043" s="16" t="str">
        <f>IFERROR(__xludf.DUMMYFUNCTION("""COMPUTED_VALUE"""),"")</f>
        <v/>
      </c>
      <c r="X11043" s="16" t="str">
        <f>IFERROR(__xludf.DUMMYFUNCTION("""COMPUTED_VALUE"""),"")</f>
        <v/>
      </c>
      <c r="AC11043" s="16" t="str">
        <f>IFERROR(__xludf.DUMMYFUNCTION("""COMPUTED_VALUE"""),"")</f>
        <v/>
      </c>
    </row>
    <row r="11044">
      <c r="A11044" s="16" t="s">
        <v>87</v>
      </c>
      <c r="E11044" s="16" t="str">
        <f>IFERROR(__xludf.DUMMYFUNCTION("""COMPUTED_VALUE"""),"")</f>
        <v/>
      </c>
      <c r="G11044" s="18"/>
      <c r="H11044" s="16" t="s">
        <v>87</v>
      </c>
      <c r="I11044" s="16" t="s">
        <v>87</v>
      </c>
      <c r="J11044" s="19"/>
      <c r="L11044" s="16" t="str">
        <f>IFERROR(__xludf.DUMMYFUNCTION("""COMPUTED_VALUE"""),"")</f>
        <v/>
      </c>
      <c r="M11044" s="16" t="str">
        <f>IFERROR(__xludf.DUMMYFUNCTION("""COMPUTED_VALUE"""),"")</f>
        <v/>
      </c>
      <c r="U11044" s="16" t="s">
        <v>87</v>
      </c>
      <c r="V11044" s="16" t="str">
        <f>IFERROR(__xludf.DUMMYFUNCTION("""COMPUTED_VALUE"""),"")</f>
        <v/>
      </c>
      <c r="W11044" s="16" t="str">
        <f>IFERROR(__xludf.DUMMYFUNCTION("""COMPUTED_VALUE"""),"")</f>
        <v/>
      </c>
      <c r="X11044" s="16" t="str">
        <f>IFERROR(__xludf.DUMMYFUNCTION("""COMPUTED_VALUE"""),"")</f>
        <v/>
      </c>
      <c r="AC11044" s="16" t="str">
        <f>IFERROR(__xludf.DUMMYFUNCTION("""COMPUTED_VALUE"""),"")</f>
        <v/>
      </c>
    </row>
    <row r="11045">
      <c r="A11045" s="16" t="s">
        <v>87</v>
      </c>
      <c r="E11045" s="16" t="str">
        <f>IFERROR(__xludf.DUMMYFUNCTION("""COMPUTED_VALUE"""),"")</f>
        <v/>
      </c>
      <c r="G11045" s="18"/>
      <c r="H11045" s="16" t="s">
        <v>87</v>
      </c>
      <c r="I11045" s="16" t="s">
        <v>87</v>
      </c>
      <c r="J11045" s="19"/>
      <c r="L11045" s="16" t="str">
        <f>IFERROR(__xludf.DUMMYFUNCTION("""COMPUTED_VALUE"""),"")</f>
        <v/>
      </c>
      <c r="M11045" s="16" t="str">
        <f>IFERROR(__xludf.DUMMYFUNCTION("""COMPUTED_VALUE"""),"")</f>
        <v/>
      </c>
      <c r="U11045" s="16" t="s">
        <v>87</v>
      </c>
      <c r="V11045" s="16" t="str">
        <f>IFERROR(__xludf.DUMMYFUNCTION("""COMPUTED_VALUE"""),"")</f>
        <v/>
      </c>
      <c r="W11045" s="16" t="str">
        <f>IFERROR(__xludf.DUMMYFUNCTION("""COMPUTED_VALUE"""),"")</f>
        <v/>
      </c>
      <c r="X11045" s="16" t="str">
        <f>IFERROR(__xludf.DUMMYFUNCTION("""COMPUTED_VALUE"""),"")</f>
        <v/>
      </c>
      <c r="AC11045" s="16" t="str">
        <f>IFERROR(__xludf.DUMMYFUNCTION("""COMPUTED_VALUE"""),"")</f>
        <v/>
      </c>
    </row>
    <row r="11046">
      <c r="A11046" s="16" t="s">
        <v>87</v>
      </c>
      <c r="E11046" s="16" t="str">
        <f>IFERROR(__xludf.DUMMYFUNCTION("""COMPUTED_VALUE"""),"")</f>
        <v/>
      </c>
      <c r="G11046" s="18"/>
      <c r="H11046" s="16" t="s">
        <v>87</v>
      </c>
      <c r="I11046" s="16" t="s">
        <v>87</v>
      </c>
      <c r="J11046" s="19"/>
      <c r="L11046" s="16" t="str">
        <f>IFERROR(__xludf.DUMMYFUNCTION("""COMPUTED_VALUE"""),"")</f>
        <v/>
      </c>
      <c r="M11046" s="16" t="str">
        <f>IFERROR(__xludf.DUMMYFUNCTION("""COMPUTED_VALUE"""),"")</f>
        <v/>
      </c>
      <c r="U11046" s="16" t="s">
        <v>87</v>
      </c>
      <c r="V11046" s="16" t="str">
        <f>IFERROR(__xludf.DUMMYFUNCTION("""COMPUTED_VALUE"""),"")</f>
        <v/>
      </c>
      <c r="W11046" s="16" t="str">
        <f>IFERROR(__xludf.DUMMYFUNCTION("""COMPUTED_VALUE"""),"")</f>
        <v/>
      </c>
      <c r="X11046" s="16" t="str">
        <f>IFERROR(__xludf.DUMMYFUNCTION("""COMPUTED_VALUE"""),"")</f>
        <v/>
      </c>
      <c r="AC11046" s="16" t="str">
        <f>IFERROR(__xludf.DUMMYFUNCTION("""COMPUTED_VALUE"""),"")</f>
        <v/>
      </c>
    </row>
    <row r="11047">
      <c r="A11047" s="16" t="s">
        <v>87</v>
      </c>
      <c r="E11047" s="16" t="str">
        <f>IFERROR(__xludf.DUMMYFUNCTION("""COMPUTED_VALUE"""),"")</f>
        <v/>
      </c>
      <c r="G11047" s="18"/>
      <c r="H11047" s="16" t="s">
        <v>87</v>
      </c>
      <c r="I11047" s="16" t="s">
        <v>87</v>
      </c>
      <c r="J11047" s="19"/>
      <c r="L11047" s="16" t="str">
        <f>IFERROR(__xludf.DUMMYFUNCTION("""COMPUTED_VALUE"""),"")</f>
        <v/>
      </c>
      <c r="M11047" s="16" t="str">
        <f>IFERROR(__xludf.DUMMYFUNCTION("""COMPUTED_VALUE"""),"")</f>
        <v/>
      </c>
      <c r="U11047" s="16" t="s">
        <v>87</v>
      </c>
      <c r="V11047" s="16" t="str">
        <f>IFERROR(__xludf.DUMMYFUNCTION("""COMPUTED_VALUE"""),"")</f>
        <v/>
      </c>
      <c r="W11047" s="16" t="str">
        <f>IFERROR(__xludf.DUMMYFUNCTION("""COMPUTED_VALUE"""),"")</f>
        <v/>
      </c>
      <c r="X11047" s="16" t="str">
        <f>IFERROR(__xludf.DUMMYFUNCTION("""COMPUTED_VALUE"""),"")</f>
        <v/>
      </c>
      <c r="AC11047" s="16" t="str">
        <f>IFERROR(__xludf.DUMMYFUNCTION("""COMPUTED_VALUE"""),"")</f>
        <v/>
      </c>
    </row>
    <row r="11048">
      <c r="A11048" s="16" t="s">
        <v>87</v>
      </c>
      <c r="E11048" s="16" t="str">
        <f>IFERROR(__xludf.DUMMYFUNCTION("""COMPUTED_VALUE"""),"")</f>
        <v/>
      </c>
      <c r="G11048" s="18"/>
      <c r="H11048" s="16" t="s">
        <v>87</v>
      </c>
      <c r="I11048" s="16" t="s">
        <v>87</v>
      </c>
      <c r="J11048" s="19"/>
      <c r="L11048" s="16" t="str">
        <f>IFERROR(__xludf.DUMMYFUNCTION("""COMPUTED_VALUE"""),"")</f>
        <v/>
      </c>
      <c r="M11048" s="16" t="str">
        <f>IFERROR(__xludf.DUMMYFUNCTION("""COMPUTED_VALUE"""),"")</f>
        <v/>
      </c>
      <c r="U11048" s="16" t="s">
        <v>87</v>
      </c>
      <c r="V11048" s="16" t="str">
        <f>IFERROR(__xludf.DUMMYFUNCTION("""COMPUTED_VALUE"""),"")</f>
        <v/>
      </c>
      <c r="W11048" s="16" t="str">
        <f>IFERROR(__xludf.DUMMYFUNCTION("""COMPUTED_VALUE"""),"")</f>
        <v/>
      </c>
      <c r="X11048" s="16" t="str">
        <f>IFERROR(__xludf.DUMMYFUNCTION("""COMPUTED_VALUE"""),"")</f>
        <v/>
      </c>
      <c r="AC11048" s="16" t="str">
        <f>IFERROR(__xludf.DUMMYFUNCTION("""COMPUTED_VALUE"""),"")</f>
        <v/>
      </c>
    </row>
    <row r="11049">
      <c r="A11049" s="16" t="s">
        <v>87</v>
      </c>
      <c r="E11049" s="16" t="str">
        <f>IFERROR(__xludf.DUMMYFUNCTION("""COMPUTED_VALUE"""),"")</f>
        <v/>
      </c>
      <c r="G11049" s="18"/>
      <c r="H11049" s="16" t="s">
        <v>87</v>
      </c>
      <c r="I11049" s="16" t="s">
        <v>87</v>
      </c>
      <c r="J11049" s="19"/>
      <c r="L11049" s="16" t="str">
        <f>IFERROR(__xludf.DUMMYFUNCTION("""COMPUTED_VALUE"""),"")</f>
        <v/>
      </c>
      <c r="M11049" s="16" t="str">
        <f>IFERROR(__xludf.DUMMYFUNCTION("""COMPUTED_VALUE"""),"")</f>
        <v/>
      </c>
      <c r="U11049" s="16" t="s">
        <v>87</v>
      </c>
      <c r="V11049" s="16" t="str">
        <f>IFERROR(__xludf.DUMMYFUNCTION("""COMPUTED_VALUE"""),"")</f>
        <v/>
      </c>
      <c r="W11049" s="16" t="str">
        <f>IFERROR(__xludf.DUMMYFUNCTION("""COMPUTED_VALUE"""),"")</f>
        <v/>
      </c>
      <c r="X11049" s="16" t="str">
        <f>IFERROR(__xludf.DUMMYFUNCTION("""COMPUTED_VALUE"""),"")</f>
        <v/>
      </c>
      <c r="AC11049" s="16" t="str">
        <f>IFERROR(__xludf.DUMMYFUNCTION("""COMPUTED_VALUE"""),"")</f>
        <v/>
      </c>
    </row>
    <row r="11050">
      <c r="A11050" s="16" t="s">
        <v>87</v>
      </c>
      <c r="E11050" s="16" t="str">
        <f>IFERROR(__xludf.DUMMYFUNCTION("""COMPUTED_VALUE"""),"")</f>
        <v/>
      </c>
      <c r="G11050" s="18"/>
      <c r="H11050" s="16" t="s">
        <v>87</v>
      </c>
      <c r="I11050" s="16" t="s">
        <v>87</v>
      </c>
      <c r="J11050" s="19"/>
      <c r="L11050" s="16" t="str">
        <f>IFERROR(__xludf.DUMMYFUNCTION("""COMPUTED_VALUE"""),"")</f>
        <v/>
      </c>
      <c r="M11050" s="16" t="str">
        <f>IFERROR(__xludf.DUMMYFUNCTION("""COMPUTED_VALUE"""),"")</f>
        <v/>
      </c>
      <c r="U11050" s="16" t="s">
        <v>87</v>
      </c>
      <c r="V11050" s="16" t="str">
        <f>IFERROR(__xludf.DUMMYFUNCTION("""COMPUTED_VALUE"""),"")</f>
        <v/>
      </c>
      <c r="W11050" s="16" t="str">
        <f>IFERROR(__xludf.DUMMYFUNCTION("""COMPUTED_VALUE"""),"")</f>
        <v/>
      </c>
      <c r="X11050" s="16" t="str">
        <f>IFERROR(__xludf.DUMMYFUNCTION("""COMPUTED_VALUE"""),"")</f>
        <v/>
      </c>
      <c r="AC11050" s="16" t="str">
        <f>IFERROR(__xludf.DUMMYFUNCTION("""COMPUTED_VALUE"""),"")</f>
        <v/>
      </c>
    </row>
    <row r="11051">
      <c r="A11051" s="16" t="s">
        <v>87</v>
      </c>
      <c r="E11051" s="16" t="str">
        <f>IFERROR(__xludf.DUMMYFUNCTION("""COMPUTED_VALUE"""),"")</f>
        <v/>
      </c>
      <c r="G11051" s="18"/>
      <c r="H11051" s="16" t="s">
        <v>87</v>
      </c>
      <c r="I11051" s="16" t="s">
        <v>87</v>
      </c>
      <c r="J11051" s="19"/>
      <c r="L11051" s="16" t="str">
        <f>IFERROR(__xludf.DUMMYFUNCTION("""COMPUTED_VALUE"""),"")</f>
        <v/>
      </c>
      <c r="M11051" s="16" t="str">
        <f>IFERROR(__xludf.DUMMYFUNCTION("""COMPUTED_VALUE"""),"")</f>
        <v/>
      </c>
      <c r="U11051" s="16" t="s">
        <v>87</v>
      </c>
      <c r="V11051" s="16" t="str">
        <f>IFERROR(__xludf.DUMMYFUNCTION("""COMPUTED_VALUE"""),"")</f>
        <v/>
      </c>
      <c r="W11051" s="16" t="str">
        <f>IFERROR(__xludf.DUMMYFUNCTION("""COMPUTED_VALUE"""),"")</f>
        <v/>
      </c>
      <c r="X11051" s="16" t="str">
        <f>IFERROR(__xludf.DUMMYFUNCTION("""COMPUTED_VALUE"""),"")</f>
        <v/>
      </c>
      <c r="AC11051" s="16" t="str">
        <f>IFERROR(__xludf.DUMMYFUNCTION("""COMPUTED_VALUE"""),"")</f>
        <v/>
      </c>
    </row>
    <row r="11052">
      <c r="A11052" s="16" t="s">
        <v>87</v>
      </c>
      <c r="E11052" s="16" t="str">
        <f>IFERROR(__xludf.DUMMYFUNCTION("""COMPUTED_VALUE"""),"")</f>
        <v/>
      </c>
      <c r="G11052" s="18"/>
      <c r="H11052" s="16" t="s">
        <v>87</v>
      </c>
      <c r="I11052" s="16" t="s">
        <v>87</v>
      </c>
      <c r="J11052" s="19"/>
      <c r="L11052" s="16" t="str">
        <f>IFERROR(__xludf.DUMMYFUNCTION("""COMPUTED_VALUE"""),"")</f>
        <v/>
      </c>
      <c r="M11052" s="16" t="str">
        <f>IFERROR(__xludf.DUMMYFUNCTION("""COMPUTED_VALUE"""),"")</f>
        <v/>
      </c>
      <c r="U11052" s="16" t="s">
        <v>87</v>
      </c>
      <c r="V11052" s="16" t="str">
        <f>IFERROR(__xludf.DUMMYFUNCTION("""COMPUTED_VALUE"""),"")</f>
        <v/>
      </c>
      <c r="W11052" s="16" t="str">
        <f>IFERROR(__xludf.DUMMYFUNCTION("""COMPUTED_VALUE"""),"")</f>
        <v/>
      </c>
      <c r="X11052" s="16" t="str">
        <f>IFERROR(__xludf.DUMMYFUNCTION("""COMPUTED_VALUE"""),"")</f>
        <v/>
      </c>
      <c r="AC11052" s="16" t="str">
        <f>IFERROR(__xludf.DUMMYFUNCTION("""COMPUTED_VALUE"""),"")</f>
        <v/>
      </c>
    </row>
    <row r="11053">
      <c r="A11053" s="16" t="s">
        <v>87</v>
      </c>
      <c r="E11053" s="16" t="str">
        <f>IFERROR(__xludf.DUMMYFUNCTION("""COMPUTED_VALUE"""),"")</f>
        <v/>
      </c>
      <c r="G11053" s="18"/>
      <c r="H11053" s="16" t="s">
        <v>87</v>
      </c>
      <c r="I11053" s="16" t="s">
        <v>87</v>
      </c>
      <c r="J11053" s="19"/>
      <c r="L11053" s="16" t="str">
        <f>IFERROR(__xludf.DUMMYFUNCTION("""COMPUTED_VALUE"""),"")</f>
        <v/>
      </c>
      <c r="M11053" s="16" t="str">
        <f>IFERROR(__xludf.DUMMYFUNCTION("""COMPUTED_VALUE"""),"")</f>
        <v/>
      </c>
      <c r="U11053" s="16" t="s">
        <v>87</v>
      </c>
      <c r="V11053" s="16" t="str">
        <f>IFERROR(__xludf.DUMMYFUNCTION("""COMPUTED_VALUE"""),"")</f>
        <v/>
      </c>
      <c r="W11053" s="16" t="str">
        <f>IFERROR(__xludf.DUMMYFUNCTION("""COMPUTED_VALUE"""),"")</f>
        <v/>
      </c>
      <c r="X11053" s="16" t="str">
        <f>IFERROR(__xludf.DUMMYFUNCTION("""COMPUTED_VALUE"""),"")</f>
        <v/>
      </c>
      <c r="AC11053" s="16" t="str">
        <f>IFERROR(__xludf.DUMMYFUNCTION("""COMPUTED_VALUE"""),"")</f>
        <v/>
      </c>
    </row>
    <row r="11054">
      <c r="A11054" s="16" t="s">
        <v>87</v>
      </c>
      <c r="E11054" s="16" t="str">
        <f>IFERROR(__xludf.DUMMYFUNCTION("""COMPUTED_VALUE"""),"")</f>
        <v/>
      </c>
      <c r="G11054" s="18"/>
      <c r="H11054" s="16" t="s">
        <v>87</v>
      </c>
      <c r="I11054" s="16" t="s">
        <v>87</v>
      </c>
      <c r="J11054" s="19"/>
      <c r="L11054" s="16" t="str">
        <f>IFERROR(__xludf.DUMMYFUNCTION("""COMPUTED_VALUE"""),"")</f>
        <v/>
      </c>
      <c r="M11054" s="16" t="str">
        <f>IFERROR(__xludf.DUMMYFUNCTION("""COMPUTED_VALUE"""),"")</f>
        <v/>
      </c>
      <c r="U11054" s="16" t="s">
        <v>87</v>
      </c>
      <c r="V11054" s="16" t="str">
        <f>IFERROR(__xludf.DUMMYFUNCTION("""COMPUTED_VALUE"""),"")</f>
        <v/>
      </c>
      <c r="W11054" s="16" t="str">
        <f>IFERROR(__xludf.DUMMYFUNCTION("""COMPUTED_VALUE"""),"")</f>
        <v/>
      </c>
      <c r="X11054" s="16" t="str">
        <f>IFERROR(__xludf.DUMMYFUNCTION("""COMPUTED_VALUE"""),"")</f>
        <v/>
      </c>
      <c r="AC11054" s="16" t="str">
        <f>IFERROR(__xludf.DUMMYFUNCTION("""COMPUTED_VALUE"""),"")</f>
        <v/>
      </c>
    </row>
    <row r="11055">
      <c r="A11055" s="16" t="s">
        <v>87</v>
      </c>
      <c r="E11055" s="16" t="str">
        <f>IFERROR(__xludf.DUMMYFUNCTION("""COMPUTED_VALUE"""),"")</f>
        <v/>
      </c>
      <c r="G11055" s="18"/>
      <c r="H11055" s="16" t="s">
        <v>87</v>
      </c>
      <c r="I11055" s="16" t="s">
        <v>87</v>
      </c>
      <c r="J11055" s="19"/>
      <c r="L11055" s="16" t="str">
        <f>IFERROR(__xludf.DUMMYFUNCTION("""COMPUTED_VALUE"""),"")</f>
        <v/>
      </c>
      <c r="M11055" s="16" t="str">
        <f>IFERROR(__xludf.DUMMYFUNCTION("""COMPUTED_VALUE"""),"")</f>
        <v/>
      </c>
      <c r="U11055" s="16" t="s">
        <v>87</v>
      </c>
      <c r="V11055" s="16" t="str">
        <f>IFERROR(__xludf.DUMMYFUNCTION("""COMPUTED_VALUE"""),"")</f>
        <v/>
      </c>
      <c r="W11055" s="16" t="str">
        <f>IFERROR(__xludf.DUMMYFUNCTION("""COMPUTED_VALUE"""),"")</f>
        <v/>
      </c>
      <c r="X11055" s="16" t="str">
        <f>IFERROR(__xludf.DUMMYFUNCTION("""COMPUTED_VALUE"""),"")</f>
        <v/>
      </c>
      <c r="AC11055" s="16" t="str">
        <f>IFERROR(__xludf.DUMMYFUNCTION("""COMPUTED_VALUE"""),"")</f>
        <v/>
      </c>
    </row>
    <row r="11056">
      <c r="A11056" s="16" t="s">
        <v>87</v>
      </c>
      <c r="E11056" s="16" t="str">
        <f>IFERROR(__xludf.DUMMYFUNCTION("""COMPUTED_VALUE"""),"")</f>
        <v/>
      </c>
      <c r="G11056" s="18"/>
      <c r="H11056" s="16" t="s">
        <v>87</v>
      </c>
      <c r="I11056" s="16" t="s">
        <v>87</v>
      </c>
      <c r="J11056" s="19"/>
      <c r="L11056" s="16" t="str">
        <f>IFERROR(__xludf.DUMMYFUNCTION("""COMPUTED_VALUE"""),"")</f>
        <v/>
      </c>
      <c r="M11056" s="16" t="str">
        <f>IFERROR(__xludf.DUMMYFUNCTION("""COMPUTED_VALUE"""),"")</f>
        <v/>
      </c>
      <c r="U11056" s="16" t="s">
        <v>87</v>
      </c>
      <c r="V11056" s="16" t="str">
        <f>IFERROR(__xludf.DUMMYFUNCTION("""COMPUTED_VALUE"""),"")</f>
        <v/>
      </c>
      <c r="W11056" s="16" t="str">
        <f>IFERROR(__xludf.DUMMYFUNCTION("""COMPUTED_VALUE"""),"")</f>
        <v/>
      </c>
      <c r="X11056" s="16" t="str">
        <f>IFERROR(__xludf.DUMMYFUNCTION("""COMPUTED_VALUE"""),"")</f>
        <v/>
      </c>
      <c r="AC11056" s="16" t="str">
        <f>IFERROR(__xludf.DUMMYFUNCTION("""COMPUTED_VALUE"""),"")</f>
        <v/>
      </c>
    </row>
    <row r="11057">
      <c r="A11057" s="16" t="s">
        <v>87</v>
      </c>
      <c r="E11057" s="16" t="str">
        <f>IFERROR(__xludf.DUMMYFUNCTION("""COMPUTED_VALUE"""),"")</f>
        <v/>
      </c>
      <c r="G11057" s="18"/>
      <c r="H11057" s="16" t="s">
        <v>87</v>
      </c>
      <c r="I11057" s="16" t="s">
        <v>87</v>
      </c>
      <c r="J11057" s="19"/>
      <c r="L11057" s="16" t="str">
        <f>IFERROR(__xludf.DUMMYFUNCTION("""COMPUTED_VALUE"""),"")</f>
        <v/>
      </c>
      <c r="M11057" s="16" t="str">
        <f>IFERROR(__xludf.DUMMYFUNCTION("""COMPUTED_VALUE"""),"")</f>
        <v/>
      </c>
      <c r="U11057" s="16" t="s">
        <v>87</v>
      </c>
      <c r="V11057" s="16" t="str">
        <f>IFERROR(__xludf.DUMMYFUNCTION("""COMPUTED_VALUE"""),"")</f>
        <v/>
      </c>
      <c r="W11057" s="16" t="str">
        <f>IFERROR(__xludf.DUMMYFUNCTION("""COMPUTED_VALUE"""),"")</f>
        <v/>
      </c>
      <c r="X11057" s="16" t="str">
        <f>IFERROR(__xludf.DUMMYFUNCTION("""COMPUTED_VALUE"""),"")</f>
        <v/>
      </c>
      <c r="AC11057" s="16" t="str">
        <f>IFERROR(__xludf.DUMMYFUNCTION("""COMPUTED_VALUE"""),"")</f>
        <v/>
      </c>
    </row>
    <row r="11058">
      <c r="A11058" s="16" t="s">
        <v>87</v>
      </c>
      <c r="E11058" s="16" t="str">
        <f>IFERROR(__xludf.DUMMYFUNCTION("""COMPUTED_VALUE"""),"")</f>
        <v/>
      </c>
      <c r="G11058" s="18"/>
      <c r="H11058" s="16" t="s">
        <v>87</v>
      </c>
      <c r="I11058" s="16" t="s">
        <v>87</v>
      </c>
      <c r="J11058" s="19"/>
      <c r="L11058" s="16" t="str">
        <f>IFERROR(__xludf.DUMMYFUNCTION("""COMPUTED_VALUE"""),"")</f>
        <v/>
      </c>
      <c r="M11058" s="16" t="str">
        <f>IFERROR(__xludf.DUMMYFUNCTION("""COMPUTED_VALUE"""),"")</f>
        <v/>
      </c>
      <c r="U11058" s="16" t="s">
        <v>87</v>
      </c>
      <c r="V11058" s="16" t="str">
        <f>IFERROR(__xludf.DUMMYFUNCTION("""COMPUTED_VALUE"""),"")</f>
        <v/>
      </c>
      <c r="W11058" s="16" t="str">
        <f>IFERROR(__xludf.DUMMYFUNCTION("""COMPUTED_VALUE"""),"")</f>
        <v/>
      </c>
      <c r="X11058" s="16" t="str">
        <f>IFERROR(__xludf.DUMMYFUNCTION("""COMPUTED_VALUE"""),"")</f>
        <v/>
      </c>
      <c r="AC11058" s="16" t="str">
        <f>IFERROR(__xludf.DUMMYFUNCTION("""COMPUTED_VALUE"""),"")</f>
        <v/>
      </c>
    </row>
    <row r="11059">
      <c r="A11059" s="16" t="s">
        <v>87</v>
      </c>
      <c r="E11059" s="16" t="str">
        <f>IFERROR(__xludf.DUMMYFUNCTION("""COMPUTED_VALUE"""),"")</f>
        <v/>
      </c>
      <c r="G11059" s="18"/>
      <c r="H11059" s="16" t="s">
        <v>87</v>
      </c>
      <c r="I11059" s="16" t="s">
        <v>87</v>
      </c>
      <c r="J11059" s="19"/>
      <c r="L11059" s="16" t="str">
        <f>IFERROR(__xludf.DUMMYFUNCTION("""COMPUTED_VALUE"""),"")</f>
        <v/>
      </c>
      <c r="M11059" s="16" t="str">
        <f>IFERROR(__xludf.DUMMYFUNCTION("""COMPUTED_VALUE"""),"")</f>
        <v/>
      </c>
      <c r="U11059" s="16" t="s">
        <v>87</v>
      </c>
      <c r="V11059" s="16" t="str">
        <f>IFERROR(__xludf.DUMMYFUNCTION("""COMPUTED_VALUE"""),"")</f>
        <v/>
      </c>
      <c r="W11059" s="16" t="str">
        <f>IFERROR(__xludf.DUMMYFUNCTION("""COMPUTED_VALUE"""),"")</f>
        <v/>
      </c>
      <c r="X11059" s="16" t="str">
        <f>IFERROR(__xludf.DUMMYFUNCTION("""COMPUTED_VALUE"""),"")</f>
        <v/>
      </c>
      <c r="AC11059" s="16" t="str">
        <f>IFERROR(__xludf.DUMMYFUNCTION("""COMPUTED_VALUE"""),"")</f>
        <v/>
      </c>
    </row>
    <row r="11060">
      <c r="A11060" s="16" t="s">
        <v>87</v>
      </c>
      <c r="E11060" s="16" t="str">
        <f>IFERROR(__xludf.DUMMYFUNCTION("""COMPUTED_VALUE"""),"")</f>
        <v/>
      </c>
      <c r="G11060" s="18"/>
      <c r="H11060" s="16" t="s">
        <v>87</v>
      </c>
      <c r="I11060" s="16" t="s">
        <v>87</v>
      </c>
      <c r="J11060" s="19"/>
      <c r="L11060" s="16" t="str">
        <f>IFERROR(__xludf.DUMMYFUNCTION("""COMPUTED_VALUE"""),"")</f>
        <v/>
      </c>
      <c r="M11060" s="16" t="str">
        <f>IFERROR(__xludf.DUMMYFUNCTION("""COMPUTED_VALUE"""),"")</f>
        <v/>
      </c>
      <c r="U11060" s="16" t="s">
        <v>87</v>
      </c>
      <c r="V11060" s="16" t="str">
        <f>IFERROR(__xludf.DUMMYFUNCTION("""COMPUTED_VALUE"""),"")</f>
        <v/>
      </c>
      <c r="W11060" s="16" t="str">
        <f>IFERROR(__xludf.DUMMYFUNCTION("""COMPUTED_VALUE"""),"")</f>
        <v/>
      </c>
      <c r="X11060" s="16" t="str">
        <f>IFERROR(__xludf.DUMMYFUNCTION("""COMPUTED_VALUE"""),"")</f>
        <v/>
      </c>
      <c r="AC11060" s="16" t="str">
        <f>IFERROR(__xludf.DUMMYFUNCTION("""COMPUTED_VALUE"""),"")</f>
        <v/>
      </c>
    </row>
    <row r="11061">
      <c r="A11061" s="16" t="s">
        <v>87</v>
      </c>
      <c r="E11061" s="16" t="str">
        <f>IFERROR(__xludf.DUMMYFUNCTION("""COMPUTED_VALUE"""),"")</f>
        <v/>
      </c>
      <c r="G11061" s="18"/>
      <c r="H11061" s="16" t="s">
        <v>87</v>
      </c>
      <c r="I11061" s="16" t="s">
        <v>87</v>
      </c>
      <c r="J11061" s="19"/>
      <c r="L11061" s="16" t="str">
        <f>IFERROR(__xludf.DUMMYFUNCTION("""COMPUTED_VALUE"""),"")</f>
        <v/>
      </c>
      <c r="M11061" s="16" t="str">
        <f>IFERROR(__xludf.DUMMYFUNCTION("""COMPUTED_VALUE"""),"")</f>
        <v/>
      </c>
      <c r="U11061" s="16" t="s">
        <v>87</v>
      </c>
      <c r="V11061" s="16" t="str">
        <f>IFERROR(__xludf.DUMMYFUNCTION("""COMPUTED_VALUE"""),"")</f>
        <v/>
      </c>
      <c r="W11061" s="16" t="str">
        <f>IFERROR(__xludf.DUMMYFUNCTION("""COMPUTED_VALUE"""),"")</f>
        <v/>
      </c>
      <c r="X11061" s="16" t="str">
        <f>IFERROR(__xludf.DUMMYFUNCTION("""COMPUTED_VALUE"""),"")</f>
        <v/>
      </c>
      <c r="AC11061" s="16" t="str">
        <f>IFERROR(__xludf.DUMMYFUNCTION("""COMPUTED_VALUE"""),"")</f>
        <v/>
      </c>
    </row>
    <row r="11062">
      <c r="A11062" s="16" t="s">
        <v>87</v>
      </c>
      <c r="E11062" s="16" t="str">
        <f>IFERROR(__xludf.DUMMYFUNCTION("""COMPUTED_VALUE"""),"")</f>
        <v/>
      </c>
      <c r="G11062" s="18"/>
      <c r="H11062" s="16" t="s">
        <v>87</v>
      </c>
      <c r="I11062" s="16" t="s">
        <v>87</v>
      </c>
      <c r="J11062" s="19"/>
      <c r="L11062" s="16" t="str">
        <f>IFERROR(__xludf.DUMMYFUNCTION("""COMPUTED_VALUE"""),"")</f>
        <v/>
      </c>
      <c r="M11062" s="16" t="str">
        <f>IFERROR(__xludf.DUMMYFUNCTION("""COMPUTED_VALUE"""),"")</f>
        <v/>
      </c>
      <c r="U11062" s="16" t="s">
        <v>87</v>
      </c>
      <c r="V11062" s="16" t="str">
        <f>IFERROR(__xludf.DUMMYFUNCTION("""COMPUTED_VALUE"""),"")</f>
        <v/>
      </c>
      <c r="W11062" s="16" t="str">
        <f>IFERROR(__xludf.DUMMYFUNCTION("""COMPUTED_VALUE"""),"")</f>
        <v/>
      </c>
      <c r="X11062" s="16" t="str">
        <f>IFERROR(__xludf.DUMMYFUNCTION("""COMPUTED_VALUE"""),"")</f>
        <v/>
      </c>
      <c r="AC11062" s="16" t="str">
        <f>IFERROR(__xludf.DUMMYFUNCTION("""COMPUTED_VALUE"""),"")</f>
        <v/>
      </c>
    </row>
    <row r="11063">
      <c r="A11063" s="16" t="s">
        <v>87</v>
      </c>
      <c r="E11063" s="16" t="str">
        <f>IFERROR(__xludf.DUMMYFUNCTION("""COMPUTED_VALUE"""),"")</f>
        <v/>
      </c>
      <c r="G11063" s="18"/>
      <c r="H11063" s="16" t="s">
        <v>87</v>
      </c>
      <c r="I11063" s="16" t="s">
        <v>87</v>
      </c>
      <c r="J11063" s="19"/>
      <c r="L11063" s="16" t="str">
        <f>IFERROR(__xludf.DUMMYFUNCTION("""COMPUTED_VALUE"""),"")</f>
        <v/>
      </c>
      <c r="M11063" s="16" t="str">
        <f>IFERROR(__xludf.DUMMYFUNCTION("""COMPUTED_VALUE"""),"")</f>
        <v/>
      </c>
      <c r="U11063" s="16" t="s">
        <v>87</v>
      </c>
      <c r="V11063" s="16" t="str">
        <f>IFERROR(__xludf.DUMMYFUNCTION("""COMPUTED_VALUE"""),"")</f>
        <v/>
      </c>
      <c r="W11063" s="16" t="str">
        <f>IFERROR(__xludf.DUMMYFUNCTION("""COMPUTED_VALUE"""),"")</f>
        <v/>
      </c>
      <c r="X11063" s="16" t="str">
        <f>IFERROR(__xludf.DUMMYFUNCTION("""COMPUTED_VALUE"""),"")</f>
        <v/>
      </c>
      <c r="AC11063" s="16" t="str">
        <f>IFERROR(__xludf.DUMMYFUNCTION("""COMPUTED_VALUE"""),"")</f>
        <v/>
      </c>
    </row>
    <row r="11064">
      <c r="A11064" s="16" t="s">
        <v>87</v>
      </c>
      <c r="E11064" s="16" t="str">
        <f>IFERROR(__xludf.DUMMYFUNCTION("""COMPUTED_VALUE"""),"")</f>
        <v/>
      </c>
      <c r="G11064" s="18"/>
      <c r="H11064" s="16" t="s">
        <v>87</v>
      </c>
      <c r="I11064" s="16" t="s">
        <v>87</v>
      </c>
      <c r="J11064" s="19"/>
      <c r="L11064" s="16" t="str">
        <f>IFERROR(__xludf.DUMMYFUNCTION("""COMPUTED_VALUE"""),"")</f>
        <v/>
      </c>
      <c r="M11064" s="16" t="str">
        <f>IFERROR(__xludf.DUMMYFUNCTION("""COMPUTED_VALUE"""),"")</f>
        <v/>
      </c>
      <c r="U11064" s="16" t="s">
        <v>87</v>
      </c>
      <c r="V11064" s="16" t="str">
        <f>IFERROR(__xludf.DUMMYFUNCTION("""COMPUTED_VALUE"""),"")</f>
        <v/>
      </c>
      <c r="W11064" s="16" t="str">
        <f>IFERROR(__xludf.DUMMYFUNCTION("""COMPUTED_VALUE"""),"")</f>
        <v/>
      </c>
      <c r="X11064" s="16" t="str">
        <f>IFERROR(__xludf.DUMMYFUNCTION("""COMPUTED_VALUE"""),"")</f>
        <v/>
      </c>
      <c r="AC11064" s="16" t="str">
        <f>IFERROR(__xludf.DUMMYFUNCTION("""COMPUTED_VALUE"""),"")</f>
        <v/>
      </c>
    </row>
    <row r="11065">
      <c r="A11065" s="16" t="s">
        <v>87</v>
      </c>
      <c r="E11065" s="16" t="str">
        <f>IFERROR(__xludf.DUMMYFUNCTION("""COMPUTED_VALUE"""),"")</f>
        <v/>
      </c>
      <c r="G11065" s="18"/>
      <c r="H11065" s="16" t="s">
        <v>87</v>
      </c>
      <c r="I11065" s="16" t="s">
        <v>87</v>
      </c>
      <c r="J11065" s="19"/>
      <c r="L11065" s="16" t="str">
        <f>IFERROR(__xludf.DUMMYFUNCTION("""COMPUTED_VALUE"""),"")</f>
        <v/>
      </c>
      <c r="M11065" s="16" t="str">
        <f>IFERROR(__xludf.DUMMYFUNCTION("""COMPUTED_VALUE"""),"")</f>
        <v/>
      </c>
      <c r="U11065" s="16" t="s">
        <v>87</v>
      </c>
      <c r="V11065" s="16" t="str">
        <f>IFERROR(__xludf.DUMMYFUNCTION("""COMPUTED_VALUE"""),"")</f>
        <v/>
      </c>
      <c r="W11065" s="16" t="str">
        <f>IFERROR(__xludf.DUMMYFUNCTION("""COMPUTED_VALUE"""),"")</f>
        <v/>
      </c>
      <c r="X11065" s="16" t="str">
        <f>IFERROR(__xludf.DUMMYFUNCTION("""COMPUTED_VALUE"""),"")</f>
        <v/>
      </c>
      <c r="AC11065" s="16" t="str">
        <f>IFERROR(__xludf.DUMMYFUNCTION("""COMPUTED_VALUE"""),"")</f>
        <v/>
      </c>
    </row>
    <row r="11066">
      <c r="A11066" s="16" t="s">
        <v>87</v>
      </c>
      <c r="E11066" s="16" t="str">
        <f>IFERROR(__xludf.DUMMYFUNCTION("""COMPUTED_VALUE"""),"")</f>
        <v/>
      </c>
      <c r="G11066" s="18"/>
      <c r="H11066" s="16" t="s">
        <v>87</v>
      </c>
      <c r="I11066" s="16" t="s">
        <v>87</v>
      </c>
      <c r="J11066" s="19"/>
      <c r="L11066" s="16" t="str">
        <f>IFERROR(__xludf.DUMMYFUNCTION("""COMPUTED_VALUE"""),"")</f>
        <v/>
      </c>
      <c r="M11066" s="16" t="str">
        <f>IFERROR(__xludf.DUMMYFUNCTION("""COMPUTED_VALUE"""),"")</f>
        <v/>
      </c>
      <c r="U11066" s="16" t="s">
        <v>87</v>
      </c>
      <c r="V11066" s="16" t="str">
        <f>IFERROR(__xludf.DUMMYFUNCTION("""COMPUTED_VALUE"""),"")</f>
        <v/>
      </c>
      <c r="W11066" s="16" t="str">
        <f>IFERROR(__xludf.DUMMYFUNCTION("""COMPUTED_VALUE"""),"")</f>
        <v/>
      </c>
      <c r="X11066" s="16" t="str">
        <f>IFERROR(__xludf.DUMMYFUNCTION("""COMPUTED_VALUE"""),"")</f>
        <v/>
      </c>
      <c r="AC11066" s="16" t="str">
        <f>IFERROR(__xludf.DUMMYFUNCTION("""COMPUTED_VALUE"""),"")</f>
        <v/>
      </c>
    </row>
    <row r="11067">
      <c r="A11067" s="16" t="s">
        <v>87</v>
      </c>
      <c r="E11067" s="16" t="str">
        <f>IFERROR(__xludf.DUMMYFUNCTION("""COMPUTED_VALUE"""),"")</f>
        <v/>
      </c>
      <c r="G11067" s="18"/>
      <c r="H11067" s="16" t="s">
        <v>87</v>
      </c>
      <c r="I11067" s="16" t="s">
        <v>87</v>
      </c>
      <c r="J11067" s="19"/>
      <c r="L11067" s="16" t="str">
        <f>IFERROR(__xludf.DUMMYFUNCTION("""COMPUTED_VALUE"""),"")</f>
        <v/>
      </c>
      <c r="M11067" s="16" t="str">
        <f>IFERROR(__xludf.DUMMYFUNCTION("""COMPUTED_VALUE"""),"")</f>
        <v/>
      </c>
      <c r="U11067" s="16" t="s">
        <v>87</v>
      </c>
      <c r="V11067" s="16" t="str">
        <f>IFERROR(__xludf.DUMMYFUNCTION("""COMPUTED_VALUE"""),"")</f>
        <v/>
      </c>
      <c r="W11067" s="16" t="str">
        <f>IFERROR(__xludf.DUMMYFUNCTION("""COMPUTED_VALUE"""),"")</f>
        <v/>
      </c>
      <c r="X11067" s="16" t="str">
        <f>IFERROR(__xludf.DUMMYFUNCTION("""COMPUTED_VALUE"""),"")</f>
        <v/>
      </c>
      <c r="AC11067" s="16" t="str">
        <f>IFERROR(__xludf.DUMMYFUNCTION("""COMPUTED_VALUE"""),"")</f>
        <v/>
      </c>
    </row>
    <row r="11068">
      <c r="A11068" s="16" t="s">
        <v>87</v>
      </c>
      <c r="E11068" s="16" t="str">
        <f>IFERROR(__xludf.DUMMYFUNCTION("""COMPUTED_VALUE"""),"")</f>
        <v/>
      </c>
      <c r="G11068" s="18"/>
      <c r="H11068" s="16" t="s">
        <v>87</v>
      </c>
      <c r="I11068" s="16" t="s">
        <v>87</v>
      </c>
      <c r="J11068" s="19"/>
      <c r="L11068" s="16" t="str">
        <f>IFERROR(__xludf.DUMMYFUNCTION("""COMPUTED_VALUE"""),"")</f>
        <v/>
      </c>
      <c r="M11068" s="16" t="str">
        <f>IFERROR(__xludf.DUMMYFUNCTION("""COMPUTED_VALUE"""),"")</f>
        <v/>
      </c>
      <c r="U11068" s="16" t="s">
        <v>87</v>
      </c>
      <c r="V11068" s="16" t="str">
        <f>IFERROR(__xludf.DUMMYFUNCTION("""COMPUTED_VALUE"""),"")</f>
        <v/>
      </c>
      <c r="W11068" s="16" t="str">
        <f>IFERROR(__xludf.DUMMYFUNCTION("""COMPUTED_VALUE"""),"")</f>
        <v/>
      </c>
      <c r="X11068" s="16" t="str">
        <f>IFERROR(__xludf.DUMMYFUNCTION("""COMPUTED_VALUE"""),"")</f>
        <v/>
      </c>
      <c r="AC11068" s="16" t="str">
        <f>IFERROR(__xludf.DUMMYFUNCTION("""COMPUTED_VALUE"""),"")</f>
        <v/>
      </c>
    </row>
    <row r="11069">
      <c r="A11069" s="16" t="s">
        <v>87</v>
      </c>
      <c r="E11069" s="16" t="str">
        <f>IFERROR(__xludf.DUMMYFUNCTION("""COMPUTED_VALUE"""),"")</f>
        <v/>
      </c>
      <c r="G11069" s="18"/>
      <c r="H11069" s="16" t="s">
        <v>87</v>
      </c>
      <c r="I11069" s="16" t="s">
        <v>87</v>
      </c>
      <c r="J11069" s="19"/>
      <c r="L11069" s="16" t="str">
        <f>IFERROR(__xludf.DUMMYFUNCTION("""COMPUTED_VALUE"""),"")</f>
        <v/>
      </c>
      <c r="M11069" s="16" t="str">
        <f>IFERROR(__xludf.DUMMYFUNCTION("""COMPUTED_VALUE"""),"")</f>
        <v/>
      </c>
      <c r="U11069" s="16" t="s">
        <v>87</v>
      </c>
      <c r="V11069" s="16" t="str">
        <f>IFERROR(__xludf.DUMMYFUNCTION("""COMPUTED_VALUE"""),"")</f>
        <v/>
      </c>
      <c r="W11069" s="16" t="str">
        <f>IFERROR(__xludf.DUMMYFUNCTION("""COMPUTED_VALUE"""),"")</f>
        <v/>
      </c>
      <c r="X11069" s="16" t="str">
        <f>IFERROR(__xludf.DUMMYFUNCTION("""COMPUTED_VALUE"""),"")</f>
        <v/>
      </c>
      <c r="AC11069" s="16" t="str">
        <f>IFERROR(__xludf.DUMMYFUNCTION("""COMPUTED_VALUE"""),"")</f>
        <v/>
      </c>
    </row>
    <row r="11070">
      <c r="A11070" s="16" t="s">
        <v>87</v>
      </c>
      <c r="E11070" s="16" t="str">
        <f>IFERROR(__xludf.DUMMYFUNCTION("""COMPUTED_VALUE"""),"")</f>
        <v/>
      </c>
      <c r="G11070" s="18"/>
      <c r="H11070" s="16" t="s">
        <v>87</v>
      </c>
      <c r="I11070" s="16" t="s">
        <v>87</v>
      </c>
      <c r="J11070" s="19"/>
      <c r="L11070" s="16" t="str">
        <f>IFERROR(__xludf.DUMMYFUNCTION("""COMPUTED_VALUE"""),"")</f>
        <v/>
      </c>
      <c r="M11070" s="16" t="str">
        <f>IFERROR(__xludf.DUMMYFUNCTION("""COMPUTED_VALUE"""),"")</f>
        <v/>
      </c>
      <c r="U11070" s="16" t="s">
        <v>87</v>
      </c>
      <c r="V11070" s="16" t="str">
        <f>IFERROR(__xludf.DUMMYFUNCTION("""COMPUTED_VALUE"""),"")</f>
        <v/>
      </c>
      <c r="W11070" s="16" t="str">
        <f>IFERROR(__xludf.DUMMYFUNCTION("""COMPUTED_VALUE"""),"")</f>
        <v/>
      </c>
      <c r="X11070" s="16" t="str">
        <f>IFERROR(__xludf.DUMMYFUNCTION("""COMPUTED_VALUE"""),"")</f>
        <v/>
      </c>
      <c r="AC11070" s="16" t="str">
        <f>IFERROR(__xludf.DUMMYFUNCTION("""COMPUTED_VALUE"""),"")</f>
        <v/>
      </c>
    </row>
    <row r="11071">
      <c r="A11071" s="16" t="s">
        <v>87</v>
      </c>
      <c r="E11071" s="16" t="str">
        <f>IFERROR(__xludf.DUMMYFUNCTION("""COMPUTED_VALUE"""),"")</f>
        <v/>
      </c>
      <c r="G11071" s="18"/>
      <c r="H11071" s="16" t="s">
        <v>87</v>
      </c>
      <c r="I11071" s="16" t="s">
        <v>87</v>
      </c>
      <c r="J11071" s="19"/>
      <c r="L11071" s="16" t="str">
        <f>IFERROR(__xludf.DUMMYFUNCTION("""COMPUTED_VALUE"""),"")</f>
        <v/>
      </c>
      <c r="M11071" s="16" t="str">
        <f>IFERROR(__xludf.DUMMYFUNCTION("""COMPUTED_VALUE"""),"")</f>
        <v/>
      </c>
      <c r="U11071" s="16" t="s">
        <v>87</v>
      </c>
      <c r="V11071" s="16" t="str">
        <f>IFERROR(__xludf.DUMMYFUNCTION("""COMPUTED_VALUE"""),"")</f>
        <v/>
      </c>
      <c r="W11071" s="16" t="str">
        <f>IFERROR(__xludf.DUMMYFUNCTION("""COMPUTED_VALUE"""),"")</f>
        <v/>
      </c>
      <c r="X11071" s="16" t="str">
        <f>IFERROR(__xludf.DUMMYFUNCTION("""COMPUTED_VALUE"""),"")</f>
        <v/>
      </c>
      <c r="AC11071" s="16" t="str">
        <f>IFERROR(__xludf.DUMMYFUNCTION("""COMPUTED_VALUE"""),"")</f>
        <v/>
      </c>
    </row>
    <row r="11072">
      <c r="A11072" s="16" t="s">
        <v>87</v>
      </c>
      <c r="E11072" s="16" t="str">
        <f>IFERROR(__xludf.DUMMYFUNCTION("""COMPUTED_VALUE"""),"")</f>
        <v/>
      </c>
      <c r="G11072" s="18"/>
      <c r="H11072" s="16" t="s">
        <v>87</v>
      </c>
      <c r="I11072" s="16" t="s">
        <v>87</v>
      </c>
      <c r="J11072" s="19"/>
      <c r="L11072" s="16" t="str">
        <f>IFERROR(__xludf.DUMMYFUNCTION("""COMPUTED_VALUE"""),"")</f>
        <v/>
      </c>
      <c r="M11072" s="16" t="str">
        <f>IFERROR(__xludf.DUMMYFUNCTION("""COMPUTED_VALUE"""),"")</f>
        <v/>
      </c>
      <c r="U11072" s="16" t="s">
        <v>87</v>
      </c>
      <c r="V11072" s="16" t="str">
        <f>IFERROR(__xludf.DUMMYFUNCTION("""COMPUTED_VALUE"""),"")</f>
        <v/>
      </c>
      <c r="W11072" s="16" t="str">
        <f>IFERROR(__xludf.DUMMYFUNCTION("""COMPUTED_VALUE"""),"")</f>
        <v/>
      </c>
      <c r="X11072" s="16" t="str">
        <f>IFERROR(__xludf.DUMMYFUNCTION("""COMPUTED_VALUE"""),"")</f>
        <v/>
      </c>
      <c r="AC11072" s="16" t="str">
        <f>IFERROR(__xludf.DUMMYFUNCTION("""COMPUTED_VALUE"""),"")</f>
        <v/>
      </c>
    </row>
    <row r="11073">
      <c r="A11073" s="16" t="s">
        <v>87</v>
      </c>
      <c r="E11073" s="16" t="str">
        <f>IFERROR(__xludf.DUMMYFUNCTION("""COMPUTED_VALUE"""),"")</f>
        <v/>
      </c>
      <c r="G11073" s="18"/>
      <c r="H11073" s="16" t="s">
        <v>87</v>
      </c>
      <c r="I11073" s="16" t="s">
        <v>87</v>
      </c>
      <c r="J11073" s="19"/>
      <c r="L11073" s="16" t="str">
        <f>IFERROR(__xludf.DUMMYFUNCTION("""COMPUTED_VALUE"""),"")</f>
        <v/>
      </c>
      <c r="M11073" s="16" t="str">
        <f>IFERROR(__xludf.DUMMYFUNCTION("""COMPUTED_VALUE"""),"")</f>
        <v/>
      </c>
      <c r="U11073" s="16" t="s">
        <v>87</v>
      </c>
      <c r="V11073" s="16" t="str">
        <f>IFERROR(__xludf.DUMMYFUNCTION("""COMPUTED_VALUE"""),"")</f>
        <v/>
      </c>
      <c r="W11073" s="16" t="str">
        <f>IFERROR(__xludf.DUMMYFUNCTION("""COMPUTED_VALUE"""),"")</f>
        <v/>
      </c>
      <c r="X11073" s="16" t="str">
        <f>IFERROR(__xludf.DUMMYFUNCTION("""COMPUTED_VALUE"""),"")</f>
        <v/>
      </c>
      <c r="AC11073" s="16" t="str">
        <f>IFERROR(__xludf.DUMMYFUNCTION("""COMPUTED_VALUE"""),"")</f>
        <v/>
      </c>
    </row>
    <row r="11074">
      <c r="A11074" s="16" t="s">
        <v>87</v>
      </c>
      <c r="E11074" s="16" t="str">
        <f>IFERROR(__xludf.DUMMYFUNCTION("""COMPUTED_VALUE"""),"")</f>
        <v/>
      </c>
      <c r="G11074" s="18"/>
      <c r="H11074" s="16" t="s">
        <v>87</v>
      </c>
      <c r="I11074" s="16" t="s">
        <v>87</v>
      </c>
      <c r="J11074" s="19"/>
      <c r="L11074" s="16" t="str">
        <f>IFERROR(__xludf.DUMMYFUNCTION("""COMPUTED_VALUE"""),"")</f>
        <v/>
      </c>
      <c r="M11074" s="16" t="str">
        <f>IFERROR(__xludf.DUMMYFUNCTION("""COMPUTED_VALUE"""),"")</f>
        <v/>
      </c>
      <c r="U11074" s="16" t="s">
        <v>87</v>
      </c>
      <c r="V11074" s="16" t="str">
        <f>IFERROR(__xludf.DUMMYFUNCTION("""COMPUTED_VALUE"""),"")</f>
        <v/>
      </c>
      <c r="W11074" s="16" t="str">
        <f>IFERROR(__xludf.DUMMYFUNCTION("""COMPUTED_VALUE"""),"")</f>
        <v/>
      </c>
      <c r="X11074" s="16" t="str">
        <f>IFERROR(__xludf.DUMMYFUNCTION("""COMPUTED_VALUE"""),"")</f>
        <v/>
      </c>
      <c r="AC11074" s="16" t="str">
        <f>IFERROR(__xludf.DUMMYFUNCTION("""COMPUTED_VALUE"""),"")</f>
        <v/>
      </c>
    </row>
    <row r="11075">
      <c r="A11075" s="16" t="s">
        <v>87</v>
      </c>
      <c r="E11075" s="16" t="str">
        <f>IFERROR(__xludf.DUMMYFUNCTION("""COMPUTED_VALUE"""),"")</f>
        <v/>
      </c>
      <c r="G11075" s="18"/>
      <c r="H11075" s="16" t="s">
        <v>87</v>
      </c>
      <c r="I11075" s="16" t="s">
        <v>87</v>
      </c>
      <c r="J11075" s="19"/>
      <c r="L11075" s="16" t="str">
        <f>IFERROR(__xludf.DUMMYFUNCTION("""COMPUTED_VALUE"""),"")</f>
        <v/>
      </c>
      <c r="M11075" s="16" t="str">
        <f>IFERROR(__xludf.DUMMYFUNCTION("""COMPUTED_VALUE"""),"")</f>
        <v/>
      </c>
      <c r="U11075" s="16" t="s">
        <v>87</v>
      </c>
      <c r="V11075" s="16" t="str">
        <f>IFERROR(__xludf.DUMMYFUNCTION("""COMPUTED_VALUE"""),"")</f>
        <v/>
      </c>
      <c r="W11075" s="16" t="str">
        <f>IFERROR(__xludf.DUMMYFUNCTION("""COMPUTED_VALUE"""),"")</f>
        <v/>
      </c>
      <c r="X11075" s="16" t="str">
        <f>IFERROR(__xludf.DUMMYFUNCTION("""COMPUTED_VALUE"""),"")</f>
        <v/>
      </c>
      <c r="AC11075" s="16" t="str">
        <f>IFERROR(__xludf.DUMMYFUNCTION("""COMPUTED_VALUE"""),"")</f>
        <v/>
      </c>
    </row>
    <row r="11076">
      <c r="A11076" s="16" t="s">
        <v>87</v>
      </c>
      <c r="E11076" s="16" t="str">
        <f>IFERROR(__xludf.DUMMYFUNCTION("""COMPUTED_VALUE"""),"")</f>
        <v/>
      </c>
      <c r="G11076" s="18"/>
      <c r="H11076" s="16" t="s">
        <v>87</v>
      </c>
      <c r="I11076" s="16" t="s">
        <v>87</v>
      </c>
      <c r="J11076" s="19"/>
      <c r="L11076" s="16" t="str">
        <f>IFERROR(__xludf.DUMMYFUNCTION("""COMPUTED_VALUE"""),"")</f>
        <v/>
      </c>
      <c r="M11076" s="16" t="str">
        <f>IFERROR(__xludf.DUMMYFUNCTION("""COMPUTED_VALUE"""),"")</f>
        <v/>
      </c>
      <c r="U11076" s="16" t="s">
        <v>87</v>
      </c>
      <c r="V11076" s="16" t="str">
        <f>IFERROR(__xludf.DUMMYFUNCTION("""COMPUTED_VALUE"""),"")</f>
        <v/>
      </c>
      <c r="W11076" s="16" t="str">
        <f>IFERROR(__xludf.DUMMYFUNCTION("""COMPUTED_VALUE"""),"")</f>
        <v/>
      </c>
      <c r="X11076" s="16" t="str">
        <f>IFERROR(__xludf.DUMMYFUNCTION("""COMPUTED_VALUE"""),"")</f>
        <v/>
      </c>
      <c r="AC11076" s="16" t="str">
        <f>IFERROR(__xludf.DUMMYFUNCTION("""COMPUTED_VALUE"""),"")</f>
        <v/>
      </c>
    </row>
    <row r="11077">
      <c r="A11077" s="16" t="s">
        <v>87</v>
      </c>
      <c r="E11077" s="16" t="str">
        <f>IFERROR(__xludf.DUMMYFUNCTION("""COMPUTED_VALUE"""),"")</f>
        <v/>
      </c>
      <c r="G11077" s="18"/>
      <c r="H11077" s="16" t="s">
        <v>87</v>
      </c>
      <c r="I11077" s="16" t="s">
        <v>87</v>
      </c>
      <c r="J11077" s="19"/>
      <c r="L11077" s="16" t="str">
        <f>IFERROR(__xludf.DUMMYFUNCTION("""COMPUTED_VALUE"""),"")</f>
        <v/>
      </c>
      <c r="M11077" s="16" t="str">
        <f>IFERROR(__xludf.DUMMYFUNCTION("""COMPUTED_VALUE"""),"")</f>
        <v/>
      </c>
      <c r="U11077" s="16" t="s">
        <v>87</v>
      </c>
      <c r="V11077" s="16" t="str">
        <f>IFERROR(__xludf.DUMMYFUNCTION("""COMPUTED_VALUE"""),"")</f>
        <v/>
      </c>
      <c r="W11077" s="16" t="str">
        <f>IFERROR(__xludf.DUMMYFUNCTION("""COMPUTED_VALUE"""),"")</f>
        <v/>
      </c>
      <c r="X11077" s="16" t="str">
        <f>IFERROR(__xludf.DUMMYFUNCTION("""COMPUTED_VALUE"""),"")</f>
        <v/>
      </c>
      <c r="AC11077" s="16" t="str">
        <f>IFERROR(__xludf.DUMMYFUNCTION("""COMPUTED_VALUE"""),"")</f>
        <v/>
      </c>
    </row>
    <row r="11078">
      <c r="A11078" s="16" t="s">
        <v>87</v>
      </c>
      <c r="E11078" s="16" t="str">
        <f>IFERROR(__xludf.DUMMYFUNCTION("""COMPUTED_VALUE"""),"")</f>
        <v/>
      </c>
      <c r="G11078" s="18"/>
      <c r="H11078" s="16" t="s">
        <v>87</v>
      </c>
      <c r="I11078" s="16" t="s">
        <v>87</v>
      </c>
      <c r="J11078" s="19"/>
      <c r="L11078" s="16" t="str">
        <f>IFERROR(__xludf.DUMMYFUNCTION("""COMPUTED_VALUE"""),"")</f>
        <v/>
      </c>
      <c r="M11078" s="16" t="str">
        <f>IFERROR(__xludf.DUMMYFUNCTION("""COMPUTED_VALUE"""),"")</f>
        <v/>
      </c>
      <c r="U11078" s="16" t="s">
        <v>87</v>
      </c>
      <c r="V11078" s="16" t="str">
        <f>IFERROR(__xludf.DUMMYFUNCTION("""COMPUTED_VALUE"""),"")</f>
        <v/>
      </c>
      <c r="W11078" s="16" t="str">
        <f>IFERROR(__xludf.DUMMYFUNCTION("""COMPUTED_VALUE"""),"")</f>
        <v/>
      </c>
      <c r="X11078" s="16" t="str">
        <f>IFERROR(__xludf.DUMMYFUNCTION("""COMPUTED_VALUE"""),"")</f>
        <v/>
      </c>
      <c r="AC11078" s="16" t="str">
        <f>IFERROR(__xludf.DUMMYFUNCTION("""COMPUTED_VALUE"""),"")</f>
        <v/>
      </c>
    </row>
    <row r="11079">
      <c r="A11079" s="16" t="s">
        <v>87</v>
      </c>
      <c r="E11079" s="16" t="str">
        <f>IFERROR(__xludf.DUMMYFUNCTION("""COMPUTED_VALUE"""),"")</f>
        <v/>
      </c>
      <c r="G11079" s="18"/>
      <c r="H11079" s="16" t="s">
        <v>87</v>
      </c>
      <c r="I11079" s="16" t="s">
        <v>87</v>
      </c>
      <c r="J11079" s="19"/>
      <c r="L11079" s="16" t="str">
        <f>IFERROR(__xludf.DUMMYFUNCTION("""COMPUTED_VALUE"""),"")</f>
        <v/>
      </c>
      <c r="M11079" s="16" t="str">
        <f>IFERROR(__xludf.DUMMYFUNCTION("""COMPUTED_VALUE"""),"")</f>
        <v/>
      </c>
      <c r="U11079" s="16" t="s">
        <v>87</v>
      </c>
      <c r="V11079" s="16" t="str">
        <f>IFERROR(__xludf.DUMMYFUNCTION("""COMPUTED_VALUE"""),"")</f>
        <v/>
      </c>
      <c r="W11079" s="16" t="str">
        <f>IFERROR(__xludf.DUMMYFUNCTION("""COMPUTED_VALUE"""),"")</f>
        <v/>
      </c>
      <c r="X11079" s="16" t="str">
        <f>IFERROR(__xludf.DUMMYFUNCTION("""COMPUTED_VALUE"""),"")</f>
        <v/>
      </c>
      <c r="AC11079" s="16" t="str">
        <f>IFERROR(__xludf.DUMMYFUNCTION("""COMPUTED_VALUE"""),"")</f>
        <v/>
      </c>
    </row>
    <row r="11080">
      <c r="A11080" s="16" t="s">
        <v>87</v>
      </c>
      <c r="E11080" s="16" t="str">
        <f>IFERROR(__xludf.DUMMYFUNCTION("""COMPUTED_VALUE"""),"")</f>
        <v/>
      </c>
      <c r="G11080" s="18"/>
      <c r="H11080" s="16" t="s">
        <v>87</v>
      </c>
      <c r="I11080" s="16" t="s">
        <v>87</v>
      </c>
      <c r="J11080" s="19"/>
      <c r="L11080" s="16" t="str">
        <f>IFERROR(__xludf.DUMMYFUNCTION("""COMPUTED_VALUE"""),"")</f>
        <v/>
      </c>
      <c r="M11080" s="16" t="str">
        <f>IFERROR(__xludf.DUMMYFUNCTION("""COMPUTED_VALUE"""),"")</f>
        <v/>
      </c>
      <c r="U11080" s="16" t="s">
        <v>87</v>
      </c>
      <c r="V11080" s="16" t="str">
        <f>IFERROR(__xludf.DUMMYFUNCTION("""COMPUTED_VALUE"""),"")</f>
        <v/>
      </c>
      <c r="W11080" s="16" t="str">
        <f>IFERROR(__xludf.DUMMYFUNCTION("""COMPUTED_VALUE"""),"")</f>
        <v/>
      </c>
      <c r="X11080" s="16" t="str">
        <f>IFERROR(__xludf.DUMMYFUNCTION("""COMPUTED_VALUE"""),"")</f>
        <v/>
      </c>
      <c r="AC11080" s="16" t="str">
        <f>IFERROR(__xludf.DUMMYFUNCTION("""COMPUTED_VALUE"""),"")</f>
        <v/>
      </c>
    </row>
    <row r="11081">
      <c r="A11081" s="16" t="s">
        <v>87</v>
      </c>
      <c r="E11081" s="16" t="str">
        <f>IFERROR(__xludf.DUMMYFUNCTION("""COMPUTED_VALUE"""),"")</f>
        <v/>
      </c>
      <c r="G11081" s="18"/>
      <c r="H11081" s="16" t="s">
        <v>87</v>
      </c>
      <c r="I11081" s="16" t="s">
        <v>87</v>
      </c>
      <c r="J11081" s="19"/>
      <c r="L11081" s="16" t="str">
        <f>IFERROR(__xludf.DUMMYFUNCTION("""COMPUTED_VALUE"""),"")</f>
        <v/>
      </c>
      <c r="M11081" s="16" t="str">
        <f>IFERROR(__xludf.DUMMYFUNCTION("""COMPUTED_VALUE"""),"")</f>
        <v/>
      </c>
      <c r="U11081" s="16" t="s">
        <v>87</v>
      </c>
      <c r="V11081" s="16" t="str">
        <f>IFERROR(__xludf.DUMMYFUNCTION("""COMPUTED_VALUE"""),"")</f>
        <v/>
      </c>
      <c r="W11081" s="16" t="str">
        <f>IFERROR(__xludf.DUMMYFUNCTION("""COMPUTED_VALUE"""),"")</f>
        <v/>
      </c>
      <c r="X11081" s="16" t="str">
        <f>IFERROR(__xludf.DUMMYFUNCTION("""COMPUTED_VALUE"""),"")</f>
        <v/>
      </c>
      <c r="AC11081" s="16" t="str">
        <f>IFERROR(__xludf.DUMMYFUNCTION("""COMPUTED_VALUE"""),"")</f>
        <v/>
      </c>
    </row>
    <row r="11082">
      <c r="A11082" s="16" t="s">
        <v>87</v>
      </c>
      <c r="E11082" s="16" t="str">
        <f>IFERROR(__xludf.DUMMYFUNCTION("""COMPUTED_VALUE"""),"")</f>
        <v/>
      </c>
      <c r="G11082" s="18"/>
      <c r="H11082" s="16" t="s">
        <v>87</v>
      </c>
      <c r="I11082" s="16" t="s">
        <v>87</v>
      </c>
      <c r="J11082" s="19"/>
      <c r="L11082" s="16" t="str">
        <f>IFERROR(__xludf.DUMMYFUNCTION("""COMPUTED_VALUE"""),"")</f>
        <v/>
      </c>
      <c r="M11082" s="16" t="str">
        <f>IFERROR(__xludf.DUMMYFUNCTION("""COMPUTED_VALUE"""),"")</f>
        <v/>
      </c>
      <c r="U11082" s="16" t="s">
        <v>87</v>
      </c>
      <c r="V11082" s="16" t="str">
        <f>IFERROR(__xludf.DUMMYFUNCTION("""COMPUTED_VALUE"""),"")</f>
        <v/>
      </c>
      <c r="W11082" s="16" t="str">
        <f>IFERROR(__xludf.DUMMYFUNCTION("""COMPUTED_VALUE"""),"")</f>
        <v/>
      </c>
      <c r="X11082" s="16" t="str">
        <f>IFERROR(__xludf.DUMMYFUNCTION("""COMPUTED_VALUE"""),"")</f>
        <v/>
      </c>
      <c r="AC11082" s="16" t="str">
        <f>IFERROR(__xludf.DUMMYFUNCTION("""COMPUTED_VALUE"""),"")</f>
        <v/>
      </c>
    </row>
    <row r="11083">
      <c r="A11083" s="16" t="s">
        <v>87</v>
      </c>
      <c r="E11083" s="16" t="str">
        <f>IFERROR(__xludf.DUMMYFUNCTION("""COMPUTED_VALUE"""),"")</f>
        <v/>
      </c>
      <c r="G11083" s="18"/>
      <c r="H11083" s="16" t="s">
        <v>87</v>
      </c>
      <c r="I11083" s="16" t="s">
        <v>87</v>
      </c>
      <c r="J11083" s="19"/>
      <c r="L11083" s="16" t="str">
        <f>IFERROR(__xludf.DUMMYFUNCTION("""COMPUTED_VALUE"""),"")</f>
        <v/>
      </c>
      <c r="M11083" s="16" t="str">
        <f>IFERROR(__xludf.DUMMYFUNCTION("""COMPUTED_VALUE"""),"")</f>
        <v/>
      </c>
      <c r="U11083" s="16" t="s">
        <v>87</v>
      </c>
      <c r="V11083" s="16" t="str">
        <f>IFERROR(__xludf.DUMMYFUNCTION("""COMPUTED_VALUE"""),"")</f>
        <v/>
      </c>
      <c r="W11083" s="16" t="str">
        <f>IFERROR(__xludf.DUMMYFUNCTION("""COMPUTED_VALUE"""),"")</f>
        <v/>
      </c>
      <c r="X11083" s="16" t="str">
        <f>IFERROR(__xludf.DUMMYFUNCTION("""COMPUTED_VALUE"""),"")</f>
        <v/>
      </c>
      <c r="AC11083" s="16" t="str">
        <f>IFERROR(__xludf.DUMMYFUNCTION("""COMPUTED_VALUE"""),"")</f>
        <v/>
      </c>
    </row>
    <row r="11084">
      <c r="A11084" s="16" t="s">
        <v>87</v>
      </c>
      <c r="E11084" s="16" t="str">
        <f>IFERROR(__xludf.DUMMYFUNCTION("""COMPUTED_VALUE"""),"")</f>
        <v/>
      </c>
      <c r="G11084" s="18"/>
      <c r="H11084" s="16" t="s">
        <v>87</v>
      </c>
      <c r="I11084" s="16" t="s">
        <v>87</v>
      </c>
      <c r="J11084" s="19"/>
      <c r="L11084" s="16" t="str">
        <f>IFERROR(__xludf.DUMMYFUNCTION("""COMPUTED_VALUE"""),"")</f>
        <v/>
      </c>
      <c r="M11084" s="16" t="str">
        <f>IFERROR(__xludf.DUMMYFUNCTION("""COMPUTED_VALUE"""),"")</f>
        <v/>
      </c>
      <c r="U11084" s="16" t="s">
        <v>87</v>
      </c>
      <c r="V11084" s="16" t="str">
        <f>IFERROR(__xludf.DUMMYFUNCTION("""COMPUTED_VALUE"""),"")</f>
        <v/>
      </c>
      <c r="W11084" s="16" t="str">
        <f>IFERROR(__xludf.DUMMYFUNCTION("""COMPUTED_VALUE"""),"")</f>
        <v/>
      </c>
      <c r="X11084" s="16" t="str">
        <f>IFERROR(__xludf.DUMMYFUNCTION("""COMPUTED_VALUE"""),"")</f>
        <v/>
      </c>
      <c r="AC11084" s="16" t="str">
        <f>IFERROR(__xludf.DUMMYFUNCTION("""COMPUTED_VALUE"""),"")</f>
        <v/>
      </c>
    </row>
    <row r="11085">
      <c r="A11085" s="16" t="s">
        <v>87</v>
      </c>
      <c r="E11085" s="16" t="str">
        <f>IFERROR(__xludf.DUMMYFUNCTION("""COMPUTED_VALUE"""),"")</f>
        <v/>
      </c>
      <c r="G11085" s="18"/>
      <c r="H11085" s="16" t="s">
        <v>87</v>
      </c>
      <c r="I11085" s="16" t="s">
        <v>87</v>
      </c>
      <c r="J11085" s="19"/>
      <c r="L11085" s="16" t="str">
        <f>IFERROR(__xludf.DUMMYFUNCTION("""COMPUTED_VALUE"""),"")</f>
        <v/>
      </c>
      <c r="M11085" s="16" t="str">
        <f>IFERROR(__xludf.DUMMYFUNCTION("""COMPUTED_VALUE"""),"")</f>
        <v/>
      </c>
      <c r="U11085" s="16" t="s">
        <v>87</v>
      </c>
      <c r="V11085" s="16" t="str">
        <f>IFERROR(__xludf.DUMMYFUNCTION("""COMPUTED_VALUE"""),"")</f>
        <v/>
      </c>
      <c r="W11085" s="16" t="str">
        <f>IFERROR(__xludf.DUMMYFUNCTION("""COMPUTED_VALUE"""),"")</f>
        <v/>
      </c>
      <c r="X11085" s="16" t="str">
        <f>IFERROR(__xludf.DUMMYFUNCTION("""COMPUTED_VALUE"""),"")</f>
        <v/>
      </c>
      <c r="AC11085" s="16" t="str">
        <f>IFERROR(__xludf.DUMMYFUNCTION("""COMPUTED_VALUE"""),"")</f>
        <v/>
      </c>
    </row>
    <row r="11086">
      <c r="A11086" s="16" t="s">
        <v>87</v>
      </c>
      <c r="E11086" s="16" t="str">
        <f>IFERROR(__xludf.DUMMYFUNCTION("""COMPUTED_VALUE"""),"")</f>
        <v/>
      </c>
      <c r="G11086" s="18"/>
      <c r="H11086" s="16" t="s">
        <v>87</v>
      </c>
      <c r="I11086" s="16" t="s">
        <v>87</v>
      </c>
      <c r="J11086" s="19"/>
      <c r="L11086" s="16" t="str">
        <f>IFERROR(__xludf.DUMMYFUNCTION("""COMPUTED_VALUE"""),"")</f>
        <v/>
      </c>
      <c r="M11086" s="16" t="str">
        <f>IFERROR(__xludf.DUMMYFUNCTION("""COMPUTED_VALUE"""),"")</f>
        <v/>
      </c>
      <c r="U11086" s="16" t="s">
        <v>87</v>
      </c>
      <c r="V11086" s="16" t="str">
        <f>IFERROR(__xludf.DUMMYFUNCTION("""COMPUTED_VALUE"""),"")</f>
        <v/>
      </c>
      <c r="W11086" s="16" t="str">
        <f>IFERROR(__xludf.DUMMYFUNCTION("""COMPUTED_VALUE"""),"")</f>
        <v/>
      </c>
      <c r="X11086" s="16" t="str">
        <f>IFERROR(__xludf.DUMMYFUNCTION("""COMPUTED_VALUE"""),"")</f>
        <v/>
      </c>
      <c r="AC11086" s="16" t="str">
        <f>IFERROR(__xludf.DUMMYFUNCTION("""COMPUTED_VALUE"""),"")</f>
        <v/>
      </c>
    </row>
    <row r="11087">
      <c r="A11087" s="16" t="s">
        <v>87</v>
      </c>
      <c r="E11087" s="16" t="str">
        <f>IFERROR(__xludf.DUMMYFUNCTION("""COMPUTED_VALUE"""),"")</f>
        <v/>
      </c>
      <c r="G11087" s="18"/>
      <c r="H11087" s="16" t="s">
        <v>87</v>
      </c>
      <c r="I11087" s="16" t="s">
        <v>87</v>
      </c>
      <c r="J11087" s="19"/>
      <c r="L11087" s="16" t="str">
        <f>IFERROR(__xludf.DUMMYFUNCTION("""COMPUTED_VALUE"""),"")</f>
        <v/>
      </c>
      <c r="M11087" s="16" t="str">
        <f>IFERROR(__xludf.DUMMYFUNCTION("""COMPUTED_VALUE"""),"")</f>
        <v/>
      </c>
      <c r="U11087" s="16" t="s">
        <v>87</v>
      </c>
      <c r="V11087" s="16" t="str">
        <f>IFERROR(__xludf.DUMMYFUNCTION("""COMPUTED_VALUE"""),"")</f>
        <v/>
      </c>
      <c r="W11087" s="16" t="str">
        <f>IFERROR(__xludf.DUMMYFUNCTION("""COMPUTED_VALUE"""),"")</f>
        <v/>
      </c>
      <c r="X11087" s="16" t="str">
        <f>IFERROR(__xludf.DUMMYFUNCTION("""COMPUTED_VALUE"""),"")</f>
        <v/>
      </c>
      <c r="AC11087" s="16" t="str">
        <f>IFERROR(__xludf.DUMMYFUNCTION("""COMPUTED_VALUE"""),"")</f>
        <v/>
      </c>
    </row>
    <row r="11088">
      <c r="A11088" s="16" t="s">
        <v>87</v>
      </c>
      <c r="E11088" s="16" t="str">
        <f>IFERROR(__xludf.DUMMYFUNCTION("""COMPUTED_VALUE"""),"")</f>
        <v/>
      </c>
      <c r="G11088" s="18"/>
      <c r="H11088" s="16" t="s">
        <v>87</v>
      </c>
      <c r="I11088" s="16" t="s">
        <v>87</v>
      </c>
      <c r="J11088" s="19"/>
      <c r="L11088" s="16" t="str">
        <f>IFERROR(__xludf.DUMMYFUNCTION("""COMPUTED_VALUE"""),"")</f>
        <v/>
      </c>
      <c r="M11088" s="16" t="str">
        <f>IFERROR(__xludf.DUMMYFUNCTION("""COMPUTED_VALUE"""),"")</f>
        <v/>
      </c>
      <c r="U11088" s="16" t="s">
        <v>87</v>
      </c>
      <c r="V11088" s="16" t="str">
        <f>IFERROR(__xludf.DUMMYFUNCTION("""COMPUTED_VALUE"""),"")</f>
        <v/>
      </c>
      <c r="W11088" s="16" t="str">
        <f>IFERROR(__xludf.DUMMYFUNCTION("""COMPUTED_VALUE"""),"")</f>
        <v/>
      </c>
      <c r="X11088" s="16" t="str">
        <f>IFERROR(__xludf.DUMMYFUNCTION("""COMPUTED_VALUE"""),"")</f>
        <v/>
      </c>
      <c r="AC11088" s="16" t="str">
        <f>IFERROR(__xludf.DUMMYFUNCTION("""COMPUTED_VALUE"""),"")</f>
        <v/>
      </c>
    </row>
    <row r="11089">
      <c r="A11089" s="16" t="s">
        <v>87</v>
      </c>
      <c r="E11089" s="16" t="str">
        <f>IFERROR(__xludf.DUMMYFUNCTION("""COMPUTED_VALUE"""),"")</f>
        <v/>
      </c>
      <c r="G11089" s="18"/>
      <c r="H11089" s="16" t="s">
        <v>87</v>
      </c>
      <c r="I11089" s="16" t="s">
        <v>87</v>
      </c>
      <c r="J11089" s="19"/>
      <c r="L11089" s="16" t="str">
        <f>IFERROR(__xludf.DUMMYFUNCTION("""COMPUTED_VALUE"""),"")</f>
        <v/>
      </c>
      <c r="M11089" s="16" t="str">
        <f>IFERROR(__xludf.DUMMYFUNCTION("""COMPUTED_VALUE"""),"")</f>
        <v/>
      </c>
      <c r="U11089" s="16" t="s">
        <v>87</v>
      </c>
      <c r="V11089" s="16" t="str">
        <f>IFERROR(__xludf.DUMMYFUNCTION("""COMPUTED_VALUE"""),"")</f>
        <v/>
      </c>
      <c r="W11089" s="16" t="str">
        <f>IFERROR(__xludf.DUMMYFUNCTION("""COMPUTED_VALUE"""),"")</f>
        <v/>
      </c>
      <c r="X11089" s="16" t="str">
        <f>IFERROR(__xludf.DUMMYFUNCTION("""COMPUTED_VALUE"""),"")</f>
        <v/>
      </c>
      <c r="AC11089" s="16" t="str">
        <f>IFERROR(__xludf.DUMMYFUNCTION("""COMPUTED_VALUE"""),"")</f>
        <v/>
      </c>
    </row>
    <row r="11090">
      <c r="A11090" s="16" t="s">
        <v>87</v>
      </c>
      <c r="E11090" s="16" t="str">
        <f>IFERROR(__xludf.DUMMYFUNCTION("""COMPUTED_VALUE"""),"")</f>
        <v/>
      </c>
      <c r="G11090" s="18"/>
      <c r="H11090" s="16" t="s">
        <v>87</v>
      </c>
      <c r="I11090" s="16" t="s">
        <v>87</v>
      </c>
      <c r="J11090" s="19"/>
      <c r="L11090" s="16" t="str">
        <f>IFERROR(__xludf.DUMMYFUNCTION("""COMPUTED_VALUE"""),"")</f>
        <v/>
      </c>
      <c r="M11090" s="16" t="str">
        <f>IFERROR(__xludf.DUMMYFUNCTION("""COMPUTED_VALUE"""),"")</f>
        <v/>
      </c>
      <c r="U11090" s="16" t="s">
        <v>87</v>
      </c>
      <c r="V11090" s="16" t="str">
        <f>IFERROR(__xludf.DUMMYFUNCTION("""COMPUTED_VALUE"""),"")</f>
        <v/>
      </c>
      <c r="W11090" s="16" t="str">
        <f>IFERROR(__xludf.DUMMYFUNCTION("""COMPUTED_VALUE"""),"")</f>
        <v/>
      </c>
      <c r="X11090" s="16" t="str">
        <f>IFERROR(__xludf.DUMMYFUNCTION("""COMPUTED_VALUE"""),"")</f>
        <v/>
      </c>
      <c r="AC11090" s="16" t="str">
        <f>IFERROR(__xludf.DUMMYFUNCTION("""COMPUTED_VALUE"""),"")</f>
        <v/>
      </c>
    </row>
    <row r="11091">
      <c r="A11091" s="16" t="s">
        <v>87</v>
      </c>
      <c r="E11091" s="16" t="str">
        <f>IFERROR(__xludf.DUMMYFUNCTION("""COMPUTED_VALUE"""),"")</f>
        <v/>
      </c>
      <c r="G11091" s="18"/>
      <c r="H11091" s="16" t="s">
        <v>87</v>
      </c>
      <c r="I11091" s="16" t="s">
        <v>87</v>
      </c>
      <c r="J11091" s="19"/>
      <c r="L11091" s="16" t="str">
        <f>IFERROR(__xludf.DUMMYFUNCTION("""COMPUTED_VALUE"""),"")</f>
        <v/>
      </c>
      <c r="M11091" s="16" t="str">
        <f>IFERROR(__xludf.DUMMYFUNCTION("""COMPUTED_VALUE"""),"")</f>
        <v/>
      </c>
      <c r="U11091" s="16" t="s">
        <v>87</v>
      </c>
      <c r="V11091" s="16" t="str">
        <f>IFERROR(__xludf.DUMMYFUNCTION("""COMPUTED_VALUE"""),"")</f>
        <v/>
      </c>
      <c r="W11091" s="16" t="str">
        <f>IFERROR(__xludf.DUMMYFUNCTION("""COMPUTED_VALUE"""),"")</f>
        <v/>
      </c>
      <c r="X11091" s="16" t="str">
        <f>IFERROR(__xludf.DUMMYFUNCTION("""COMPUTED_VALUE"""),"")</f>
        <v/>
      </c>
      <c r="AC11091" s="16" t="str">
        <f>IFERROR(__xludf.DUMMYFUNCTION("""COMPUTED_VALUE"""),"")</f>
        <v/>
      </c>
    </row>
    <row r="11092">
      <c r="A11092" s="16" t="s">
        <v>87</v>
      </c>
      <c r="E11092" s="16" t="str">
        <f>IFERROR(__xludf.DUMMYFUNCTION("""COMPUTED_VALUE"""),"")</f>
        <v/>
      </c>
      <c r="G11092" s="18"/>
      <c r="H11092" s="16" t="s">
        <v>87</v>
      </c>
      <c r="I11092" s="16" t="s">
        <v>87</v>
      </c>
      <c r="J11092" s="19"/>
      <c r="L11092" s="16" t="str">
        <f>IFERROR(__xludf.DUMMYFUNCTION("""COMPUTED_VALUE"""),"")</f>
        <v/>
      </c>
      <c r="M11092" s="16" t="str">
        <f>IFERROR(__xludf.DUMMYFUNCTION("""COMPUTED_VALUE"""),"")</f>
        <v/>
      </c>
      <c r="U11092" s="16" t="s">
        <v>87</v>
      </c>
      <c r="V11092" s="16" t="str">
        <f>IFERROR(__xludf.DUMMYFUNCTION("""COMPUTED_VALUE"""),"")</f>
        <v/>
      </c>
      <c r="W11092" s="16" t="str">
        <f>IFERROR(__xludf.DUMMYFUNCTION("""COMPUTED_VALUE"""),"")</f>
        <v/>
      </c>
      <c r="X11092" s="16" t="str">
        <f>IFERROR(__xludf.DUMMYFUNCTION("""COMPUTED_VALUE"""),"")</f>
        <v/>
      </c>
      <c r="AC11092" s="16" t="str">
        <f>IFERROR(__xludf.DUMMYFUNCTION("""COMPUTED_VALUE"""),"")</f>
        <v/>
      </c>
    </row>
    <row r="11093">
      <c r="A11093" s="16" t="s">
        <v>87</v>
      </c>
      <c r="E11093" s="16" t="str">
        <f>IFERROR(__xludf.DUMMYFUNCTION("""COMPUTED_VALUE"""),"")</f>
        <v/>
      </c>
      <c r="G11093" s="18"/>
      <c r="H11093" s="16" t="s">
        <v>87</v>
      </c>
      <c r="I11093" s="16" t="s">
        <v>87</v>
      </c>
      <c r="J11093" s="19"/>
      <c r="L11093" s="16" t="str">
        <f>IFERROR(__xludf.DUMMYFUNCTION("""COMPUTED_VALUE"""),"")</f>
        <v/>
      </c>
      <c r="M11093" s="16" t="str">
        <f>IFERROR(__xludf.DUMMYFUNCTION("""COMPUTED_VALUE"""),"")</f>
        <v/>
      </c>
      <c r="U11093" s="16" t="s">
        <v>87</v>
      </c>
      <c r="V11093" s="16" t="str">
        <f>IFERROR(__xludf.DUMMYFUNCTION("""COMPUTED_VALUE"""),"")</f>
        <v/>
      </c>
      <c r="W11093" s="16" t="str">
        <f>IFERROR(__xludf.DUMMYFUNCTION("""COMPUTED_VALUE"""),"")</f>
        <v/>
      </c>
      <c r="X11093" s="16" t="str">
        <f>IFERROR(__xludf.DUMMYFUNCTION("""COMPUTED_VALUE"""),"")</f>
        <v/>
      </c>
      <c r="AC11093" s="16" t="str">
        <f>IFERROR(__xludf.DUMMYFUNCTION("""COMPUTED_VALUE"""),"")</f>
        <v/>
      </c>
    </row>
    <row r="11094">
      <c r="A11094" s="16" t="s">
        <v>87</v>
      </c>
      <c r="E11094" s="16" t="str">
        <f>IFERROR(__xludf.DUMMYFUNCTION("""COMPUTED_VALUE"""),"")</f>
        <v/>
      </c>
      <c r="G11094" s="18"/>
      <c r="H11094" s="16" t="s">
        <v>87</v>
      </c>
      <c r="I11094" s="16" t="s">
        <v>87</v>
      </c>
      <c r="J11094" s="19"/>
      <c r="L11094" s="16" t="str">
        <f>IFERROR(__xludf.DUMMYFUNCTION("""COMPUTED_VALUE"""),"")</f>
        <v/>
      </c>
      <c r="M11094" s="16" t="str">
        <f>IFERROR(__xludf.DUMMYFUNCTION("""COMPUTED_VALUE"""),"")</f>
        <v/>
      </c>
      <c r="U11094" s="16" t="s">
        <v>87</v>
      </c>
      <c r="V11094" s="16" t="str">
        <f>IFERROR(__xludf.DUMMYFUNCTION("""COMPUTED_VALUE"""),"")</f>
        <v/>
      </c>
      <c r="W11094" s="16" t="str">
        <f>IFERROR(__xludf.DUMMYFUNCTION("""COMPUTED_VALUE"""),"")</f>
        <v/>
      </c>
      <c r="X11094" s="16" t="str">
        <f>IFERROR(__xludf.DUMMYFUNCTION("""COMPUTED_VALUE"""),"")</f>
        <v/>
      </c>
      <c r="AC11094" s="16" t="str">
        <f>IFERROR(__xludf.DUMMYFUNCTION("""COMPUTED_VALUE"""),"")</f>
        <v/>
      </c>
    </row>
    <row r="11095">
      <c r="A11095" s="16" t="s">
        <v>87</v>
      </c>
      <c r="E11095" s="16" t="str">
        <f>IFERROR(__xludf.DUMMYFUNCTION("""COMPUTED_VALUE"""),"")</f>
        <v/>
      </c>
      <c r="G11095" s="18"/>
      <c r="H11095" s="16" t="s">
        <v>87</v>
      </c>
      <c r="I11095" s="16" t="s">
        <v>87</v>
      </c>
      <c r="J11095" s="19"/>
      <c r="L11095" s="16" t="str">
        <f>IFERROR(__xludf.DUMMYFUNCTION("""COMPUTED_VALUE"""),"")</f>
        <v/>
      </c>
      <c r="M11095" s="16" t="str">
        <f>IFERROR(__xludf.DUMMYFUNCTION("""COMPUTED_VALUE"""),"")</f>
        <v/>
      </c>
      <c r="U11095" s="16" t="s">
        <v>87</v>
      </c>
      <c r="V11095" s="16" t="str">
        <f>IFERROR(__xludf.DUMMYFUNCTION("""COMPUTED_VALUE"""),"")</f>
        <v/>
      </c>
      <c r="W11095" s="16" t="str">
        <f>IFERROR(__xludf.DUMMYFUNCTION("""COMPUTED_VALUE"""),"")</f>
        <v/>
      </c>
      <c r="X11095" s="16" t="str">
        <f>IFERROR(__xludf.DUMMYFUNCTION("""COMPUTED_VALUE"""),"")</f>
        <v/>
      </c>
      <c r="AC11095" s="16" t="str">
        <f>IFERROR(__xludf.DUMMYFUNCTION("""COMPUTED_VALUE"""),"")</f>
        <v/>
      </c>
    </row>
    <row r="11096">
      <c r="A11096" s="16" t="s">
        <v>87</v>
      </c>
      <c r="E11096" s="16" t="str">
        <f>IFERROR(__xludf.DUMMYFUNCTION("""COMPUTED_VALUE"""),"")</f>
        <v/>
      </c>
      <c r="G11096" s="18"/>
      <c r="H11096" s="16" t="s">
        <v>87</v>
      </c>
      <c r="I11096" s="16" t="s">
        <v>87</v>
      </c>
      <c r="J11096" s="19"/>
      <c r="L11096" s="16" t="str">
        <f>IFERROR(__xludf.DUMMYFUNCTION("""COMPUTED_VALUE"""),"")</f>
        <v/>
      </c>
      <c r="M11096" s="16" t="str">
        <f>IFERROR(__xludf.DUMMYFUNCTION("""COMPUTED_VALUE"""),"")</f>
        <v/>
      </c>
      <c r="U11096" s="16" t="s">
        <v>87</v>
      </c>
      <c r="V11096" s="16" t="str">
        <f>IFERROR(__xludf.DUMMYFUNCTION("""COMPUTED_VALUE"""),"")</f>
        <v/>
      </c>
      <c r="W11096" s="16" t="str">
        <f>IFERROR(__xludf.DUMMYFUNCTION("""COMPUTED_VALUE"""),"")</f>
        <v/>
      </c>
      <c r="X11096" s="16" t="str">
        <f>IFERROR(__xludf.DUMMYFUNCTION("""COMPUTED_VALUE"""),"")</f>
        <v/>
      </c>
      <c r="AC11096" s="16" t="str">
        <f>IFERROR(__xludf.DUMMYFUNCTION("""COMPUTED_VALUE"""),"")</f>
        <v/>
      </c>
    </row>
    <row r="11097">
      <c r="A11097" s="16" t="s">
        <v>87</v>
      </c>
      <c r="E11097" s="16" t="str">
        <f>IFERROR(__xludf.DUMMYFUNCTION("""COMPUTED_VALUE"""),"")</f>
        <v/>
      </c>
      <c r="G11097" s="18"/>
      <c r="H11097" s="16" t="s">
        <v>87</v>
      </c>
      <c r="I11097" s="16" t="s">
        <v>87</v>
      </c>
      <c r="J11097" s="19"/>
      <c r="L11097" s="16" t="str">
        <f>IFERROR(__xludf.DUMMYFUNCTION("""COMPUTED_VALUE"""),"")</f>
        <v/>
      </c>
      <c r="M11097" s="16" t="str">
        <f>IFERROR(__xludf.DUMMYFUNCTION("""COMPUTED_VALUE"""),"")</f>
        <v/>
      </c>
      <c r="U11097" s="16" t="s">
        <v>87</v>
      </c>
      <c r="V11097" s="16" t="str">
        <f>IFERROR(__xludf.DUMMYFUNCTION("""COMPUTED_VALUE"""),"")</f>
        <v/>
      </c>
      <c r="W11097" s="16" t="str">
        <f>IFERROR(__xludf.DUMMYFUNCTION("""COMPUTED_VALUE"""),"")</f>
        <v/>
      </c>
      <c r="X11097" s="16" t="str">
        <f>IFERROR(__xludf.DUMMYFUNCTION("""COMPUTED_VALUE"""),"")</f>
        <v/>
      </c>
      <c r="AC11097" s="16" t="str">
        <f>IFERROR(__xludf.DUMMYFUNCTION("""COMPUTED_VALUE"""),"")</f>
        <v/>
      </c>
    </row>
    <row r="11098">
      <c r="A11098" s="16" t="s">
        <v>87</v>
      </c>
      <c r="E11098" s="16" t="str">
        <f>IFERROR(__xludf.DUMMYFUNCTION("""COMPUTED_VALUE"""),"")</f>
        <v/>
      </c>
      <c r="G11098" s="18"/>
      <c r="H11098" s="16" t="s">
        <v>87</v>
      </c>
      <c r="I11098" s="16" t="s">
        <v>87</v>
      </c>
      <c r="J11098" s="19"/>
      <c r="L11098" s="16" t="str">
        <f>IFERROR(__xludf.DUMMYFUNCTION("""COMPUTED_VALUE"""),"")</f>
        <v/>
      </c>
      <c r="M11098" s="16" t="str">
        <f>IFERROR(__xludf.DUMMYFUNCTION("""COMPUTED_VALUE"""),"")</f>
        <v/>
      </c>
      <c r="U11098" s="16" t="s">
        <v>87</v>
      </c>
      <c r="V11098" s="16" t="str">
        <f>IFERROR(__xludf.DUMMYFUNCTION("""COMPUTED_VALUE"""),"")</f>
        <v/>
      </c>
      <c r="W11098" s="16" t="str">
        <f>IFERROR(__xludf.DUMMYFUNCTION("""COMPUTED_VALUE"""),"")</f>
        <v/>
      </c>
      <c r="X11098" s="16" t="str">
        <f>IFERROR(__xludf.DUMMYFUNCTION("""COMPUTED_VALUE"""),"")</f>
        <v/>
      </c>
      <c r="AC11098" s="16" t="str">
        <f>IFERROR(__xludf.DUMMYFUNCTION("""COMPUTED_VALUE"""),"")</f>
        <v/>
      </c>
    </row>
    <row r="11099">
      <c r="A11099" s="16" t="s">
        <v>87</v>
      </c>
      <c r="E11099" s="16" t="str">
        <f>IFERROR(__xludf.DUMMYFUNCTION("""COMPUTED_VALUE"""),"")</f>
        <v/>
      </c>
      <c r="G11099" s="18"/>
      <c r="H11099" s="16" t="s">
        <v>87</v>
      </c>
      <c r="I11099" s="16" t="s">
        <v>87</v>
      </c>
      <c r="J11099" s="19"/>
      <c r="L11099" s="16" t="str">
        <f>IFERROR(__xludf.DUMMYFUNCTION("""COMPUTED_VALUE"""),"")</f>
        <v/>
      </c>
      <c r="M11099" s="16" t="str">
        <f>IFERROR(__xludf.DUMMYFUNCTION("""COMPUTED_VALUE"""),"")</f>
        <v/>
      </c>
      <c r="U11099" s="16" t="s">
        <v>87</v>
      </c>
      <c r="V11099" s="16" t="str">
        <f>IFERROR(__xludf.DUMMYFUNCTION("""COMPUTED_VALUE"""),"")</f>
        <v/>
      </c>
      <c r="W11099" s="16" t="str">
        <f>IFERROR(__xludf.DUMMYFUNCTION("""COMPUTED_VALUE"""),"")</f>
        <v/>
      </c>
      <c r="X11099" s="16" t="str">
        <f>IFERROR(__xludf.DUMMYFUNCTION("""COMPUTED_VALUE"""),"")</f>
        <v/>
      </c>
      <c r="AC11099" s="16" t="str">
        <f>IFERROR(__xludf.DUMMYFUNCTION("""COMPUTED_VALUE"""),"")</f>
        <v/>
      </c>
    </row>
    <row r="11100">
      <c r="A11100" s="16" t="s">
        <v>87</v>
      </c>
      <c r="E11100" s="16" t="str">
        <f>IFERROR(__xludf.DUMMYFUNCTION("""COMPUTED_VALUE"""),"")</f>
        <v/>
      </c>
      <c r="G11100" s="18"/>
      <c r="H11100" s="16" t="s">
        <v>87</v>
      </c>
      <c r="I11100" s="16" t="s">
        <v>87</v>
      </c>
      <c r="J11100" s="19"/>
      <c r="L11100" s="16" t="str">
        <f>IFERROR(__xludf.DUMMYFUNCTION("""COMPUTED_VALUE"""),"")</f>
        <v/>
      </c>
      <c r="M11100" s="16" t="str">
        <f>IFERROR(__xludf.DUMMYFUNCTION("""COMPUTED_VALUE"""),"")</f>
        <v/>
      </c>
      <c r="U11100" s="16" t="s">
        <v>87</v>
      </c>
      <c r="V11100" s="16" t="str">
        <f>IFERROR(__xludf.DUMMYFUNCTION("""COMPUTED_VALUE"""),"")</f>
        <v/>
      </c>
      <c r="W11100" s="16" t="str">
        <f>IFERROR(__xludf.DUMMYFUNCTION("""COMPUTED_VALUE"""),"")</f>
        <v/>
      </c>
      <c r="X11100" s="16" t="str">
        <f>IFERROR(__xludf.DUMMYFUNCTION("""COMPUTED_VALUE"""),"")</f>
        <v/>
      </c>
      <c r="AC11100" s="16" t="str">
        <f>IFERROR(__xludf.DUMMYFUNCTION("""COMPUTED_VALUE"""),"")</f>
        <v/>
      </c>
    </row>
    <row r="11101">
      <c r="A11101" s="16" t="s">
        <v>87</v>
      </c>
      <c r="E11101" s="16" t="str">
        <f>IFERROR(__xludf.DUMMYFUNCTION("""COMPUTED_VALUE"""),"")</f>
        <v/>
      </c>
      <c r="G11101" s="18"/>
      <c r="H11101" s="16" t="s">
        <v>87</v>
      </c>
      <c r="I11101" s="16" t="s">
        <v>87</v>
      </c>
      <c r="J11101" s="19"/>
      <c r="L11101" s="16" t="str">
        <f>IFERROR(__xludf.DUMMYFUNCTION("""COMPUTED_VALUE"""),"")</f>
        <v/>
      </c>
      <c r="M11101" s="16" t="str">
        <f>IFERROR(__xludf.DUMMYFUNCTION("""COMPUTED_VALUE"""),"")</f>
        <v/>
      </c>
      <c r="U11101" s="16" t="s">
        <v>87</v>
      </c>
      <c r="V11101" s="16" t="str">
        <f>IFERROR(__xludf.DUMMYFUNCTION("""COMPUTED_VALUE"""),"")</f>
        <v/>
      </c>
      <c r="W11101" s="16" t="str">
        <f>IFERROR(__xludf.DUMMYFUNCTION("""COMPUTED_VALUE"""),"")</f>
        <v/>
      </c>
      <c r="X11101" s="16" t="str">
        <f>IFERROR(__xludf.DUMMYFUNCTION("""COMPUTED_VALUE"""),"")</f>
        <v/>
      </c>
      <c r="AC11101" s="16" t="str">
        <f>IFERROR(__xludf.DUMMYFUNCTION("""COMPUTED_VALUE"""),"")</f>
        <v/>
      </c>
    </row>
    <row r="11102">
      <c r="A11102" s="16" t="s">
        <v>87</v>
      </c>
      <c r="E11102" s="16" t="str">
        <f>IFERROR(__xludf.DUMMYFUNCTION("""COMPUTED_VALUE"""),"")</f>
        <v/>
      </c>
      <c r="G11102" s="18"/>
      <c r="H11102" s="16" t="s">
        <v>87</v>
      </c>
      <c r="I11102" s="16" t="s">
        <v>87</v>
      </c>
      <c r="J11102" s="19"/>
      <c r="L11102" s="16" t="str">
        <f>IFERROR(__xludf.DUMMYFUNCTION("""COMPUTED_VALUE"""),"")</f>
        <v/>
      </c>
      <c r="M11102" s="16" t="str">
        <f>IFERROR(__xludf.DUMMYFUNCTION("""COMPUTED_VALUE"""),"")</f>
        <v/>
      </c>
      <c r="U11102" s="16" t="s">
        <v>87</v>
      </c>
      <c r="V11102" s="16" t="str">
        <f>IFERROR(__xludf.DUMMYFUNCTION("""COMPUTED_VALUE"""),"")</f>
        <v/>
      </c>
      <c r="W11102" s="16" t="str">
        <f>IFERROR(__xludf.DUMMYFUNCTION("""COMPUTED_VALUE"""),"")</f>
        <v/>
      </c>
      <c r="X11102" s="16" t="str">
        <f>IFERROR(__xludf.DUMMYFUNCTION("""COMPUTED_VALUE"""),"")</f>
        <v/>
      </c>
      <c r="AC11102" s="16" t="str">
        <f>IFERROR(__xludf.DUMMYFUNCTION("""COMPUTED_VALUE"""),"")</f>
        <v/>
      </c>
    </row>
    <row r="11103">
      <c r="A11103" s="16" t="s">
        <v>87</v>
      </c>
      <c r="E11103" s="16" t="str">
        <f>IFERROR(__xludf.DUMMYFUNCTION("""COMPUTED_VALUE"""),"")</f>
        <v/>
      </c>
      <c r="G11103" s="18"/>
      <c r="H11103" s="16" t="s">
        <v>87</v>
      </c>
      <c r="I11103" s="16" t="s">
        <v>87</v>
      </c>
      <c r="J11103" s="19"/>
      <c r="L11103" s="16" t="str">
        <f>IFERROR(__xludf.DUMMYFUNCTION("""COMPUTED_VALUE"""),"")</f>
        <v/>
      </c>
      <c r="M11103" s="16" t="str">
        <f>IFERROR(__xludf.DUMMYFUNCTION("""COMPUTED_VALUE"""),"")</f>
        <v/>
      </c>
      <c r="U11103" s="16" t="s">
        <v>87</v>
      </c>
      <c r="V11103" s="16" t="str">
        <f>IFERROR(__xludf.DUMMYFUNCTION("""COMPUTED_VALUE"""),"")</f>
        <v/>
      </c>
      <c r="W11103" s="16" t="str">
        <f>IFERROR(__xludf.DUMMYFUNCTION("""COMPUTED_VALUE"""),"")</f>
        <v/>
      </c>
      <c r="X11103" s="16" t="str">
        <f>IFERROR(__xludf.DUMMYFUNCTION("""COMPUTED_VALUE"""),"")</f>
        <v/>
      </c>
      <c r="AC11103" s="16" t="str">
        <f>IFERROR(__xludf.DUMMYFUNCTION("""COMPUTED_VALUE"""),"")</f>
        <v/>
      </c>
    </row>
    <row r="11104">
      <c r="A11104" s="16" t="s">
        <v>87</v>
      </c>
      <c r="E11104" s="16" t="str">
        <f>IFERROR(__xludf.DUMMYFUNCTION("""COMPUTED_VALUE"""),"")</f>
        <v/>
      </c>
      <c r="G11104" s="18"/>
      <c r="H11104" s="16" t="s">
        <v>87</v>
      </c>
      <c r="I11104" s="16" t="s">
        <v>87</v>
      </c>
      <c r="J11104" s="19"/>
      <c r="L11104" s="16" t="str">
        <f>IFERROR(__xludf.DUMMYFUNCTION("""COMPUTED_VALUE"""),"")</f>
        <v/>
      </c>
      <c r="M11104" s="16" t="str">
        <f>IFERROR(__xludf.DUMMYFUNCTION("""COMPUTED_VALUE"""),"")</f>
        <v/>
      </c>
      <c r="U11104" s="16" t="s">
        <v>87</v>
      </c>
      <c r="V11104" s="16" t="str">
        <f>IFERROR(__xludf.DUMMYFUNCTION("""COMPUTED_VALUE"""),"")</f>
        <v/>
      </c>
      <c r="W11104" s="16" t="str">
        <f>IFERROR(__xludf.DUMMYFUNCTION("""COMPUTED_VALUE"""),"")</f>
        <v/>
      </c>
      <c r="X11104" s="16" t="str">
        <f>IFERROR(__xludf.DUMMYFUNCTION("""COMPUTED_VALUE"""),"")</f>
        <v/>
      </c>
      <c r="AC11104" s="16" t="str">
        <f>IFERROR(__xludf.DUMMYFUNCTION("""COMPUTED_VALUE"""),"")</f>
        <v/>
      </c>
    </row>
    <row r="11105">
      <c r="A11105" s="16" t="s">
        <v>87</v>
      </c>
      <c r="E11105" s="16" t="str">
        <f>IFERROR(__xludf.DUMMYFUNCTION("""COMPUTED_VALUE"""),"")</f>
        <v/>
      </c>
      <c r="G11105" s="18"/>
      <c r="H11105" s="16" t="s">
        <v>87</v>
      </c>
      <c r="I11105" s="16" t="s">
        <v>87</v>
      </c>
      <c r="J11105" s="19"/>
      <c r="L11105" s="16" t="str">
        <f>IFERROR(__xludf.DUMMYFUNCTION("""COMPUTED_VALUE"""),"")</f>
        <v/>
      </c>
      <c r="M11105" s="16" t="str">
        <f>IFERROR(__xludf.DUMMYFUNCTION("""COMPUTED_VALUE"""),"")</f>
        <v/>
      </c>
      <c r="U11105" s="16" t="s">
        <v>87</v>
      </c>
      <c r="V11105" s="16" t="str">
        <f>IFERROR(__xludf.DUMMYFUNCTION("""COMPUTED_VALUE"""),"")</f>
        <v/>
      </c>
      <c r="W11105" s="16" t="str">
        <f>IFERROR(__xludf.DUMMYFUNCTION("""COMPUTED_VALUE"""),"")</f>
        <v/>
      </c>
      <c r="X11105" s="16" t="str">
        <f>IFERROR(__xludf.DUMMYFUNCTION("""COMPUTED_VALUE"""),"")</f>
        <v/>
      </c>
      <c r="AC11105" s="16" t="str">
        <f>IFERROR(__xludf.DUMMYFUNCTION("""COMPUTED_VALUE"""),"")</f>
        <v/>
      </c>
    </row>
    <row r="11106">
      <c r="A11106" s="16" t="s">
        <v>87</v>
      </c>
      <c r="E11106" s="16" t="str">
        <f>IFERROR(__xludf.DUMMYFUNCTION("""COMPUTED_VALUE"""),"")</f>
        <v/>
      </c>
      <c r="G11106" s="18"/>
      <c r="H11106" s="16" t="s">
        <v>87</v>
      </c>
      <c r="I11106" s="16" t="s">
        <v>87</v>
      </c>
      <c r="J11106" s="19"/>
      <c r="L11106" s="16" t="str">
        <f>IFERROR(__xludf.DUMMYFUNCTION("""COMPUTED_VALUE"""),"")</f>
        <v/>
      </c>
      <c r="M11106" s="16" t="str">
        <f>IFERROR(__xludf.DUMMYFUNCTION("""COMPUTED_VALUE"""),"")</f>
        <v/>
      </c>
      <c r="U11106" s="16" t="s">
        <v>87</v>
      </c>
      <c r="V11106" s="16" t="str">
        <f>IFERROR(__xludf.DUMMYFUNCTION("""COMPUTED_VALUE"""),"")</f>
        <v/>
      </c>
      <c r="W11106" s="16" t="str">
        <f>IFERROR(__xludf.DUMMYFUNCTION("""COMPUTED_VALUE"""),"")</f>
        <v/>
      </c>
      <c r="X11106" s="16" t="str">
        <f>IFERROR(__xludf.DUMMYFUNCTION("""COMPUTED_VALUE"""),"")</f>
        <v/>
      </c>
      <c r="AC11106" s="16" t="str">
        <f>IFERROR(__xludf.DUMMYFUNCTION("""COMPUTED_VALUE"""),"")</f>
        <v/>
      </c>
    </row>
    <row r="11107">
      <c r="A11107" s="16" t="s">
        <v>87</v>
      </c>
      <c r="E11107" s="16" t="str">
        <f>IFERROR(__xludf.DUMMYFUNCTION("""COMPUTED_VALUE"""),"")</f>
        <v/>
      </c>
      <c r="G11107" s="18"/>
      <c r="H11107" s="16" t="s">
        <v>87</v>
      </c>
      <c r="I11107" s="16" t="s">
        <v>87</v>
      </c>
      <c r="J11107" s="19"/>
      <c r="L11107" s="16" t="str">
        <f>IFERROR(__xludf.DUMMYFUNCTION("""COMPUTED_VALUE"""),"")</f>
        <v/>
      </c>
      <c r="M11107" s="16" t="str">
        <f>IFERROR(__xludf.DUMMYFUNCTION("""COMPUTED_VALUE"""),"")</f>
        <v/>
      </c>
      <c r="U11107" s="16" t="s">
        <v>87</v>
      </c>
      <c r="V11107" s="16" t="str">
        <f>IFERROR(__xludf.DUMMYFUNCTION("""COMPUTED_VALUE"""),"")</f>
        <v/>
      </c>
      <c r="W11107" s="16" t="str">
        <f>IFERROR(__xludf.DUMMYFUNCTION("""COMPUTED_VALUE"""),"")</f>
        <v/>
      </c>
      <c r="X11107" s="16" t="str">
        <f>IFERROR(__xludf.DUMMYFUNCTION("""COMPUTED_VALUE"""),"")</f>
        <v/>
      </c>
      <c r="AC11107" s="16" t="str">
        <f>IFERROR(__xludf.DUMMYFUNCTION("""COMPUTED_VALUE"""),"")</f>
        <v/>
      </c>
    </row>
    <row r="11108">
      <c r="A11108" s="16" t="s">
        <v>87</v>
      </c>
      <c r="E11108" s="16" t="str">
        <f>IFERROR(__xludf.DUMMYFUNCTION("""COMPUTED_VALUE"""),"")</f>
        <v/>
      </c>
      <c r="G11108" s="18"/>
      <c r="H11108" s="16" t="s">
        <v>87</v>
      </c>
      <c r="I11108" s="16" t="s">
        <v>87</v>
      </c>
      <c r="J11108" s="19"/>
      <c r="L11108" s="16" t="str">
        <f>IFERROR(__xludf.DUMMYFUNCTION("""COMPUTED_VALUE"""),"")</f>
        <v/>
      </c>
      <c r="M11108" s="16" t="str">
        <f>IFERROR(__xludf.DUMMYFUNCTION("""COMPUTED_VALUE"""),"")</f>
        <v/>
      </c>
      <c r="U11108" s="16" t="s">
        <v>87</v>
      </c>
      <c r="V11108" s="16" t="str">
        <f>IFERROR(__xludf.DUMMYFUNCTION("""COMPUTED_VALUE"""),"")</f>
        <v/>
      </c>
      <c r="W11108" s="16" t="str">
        <f>IFERROR(__xludf.DUMMYFUNCTION("""COMPUTED_VALUE"""),"")</f>
        <v/>
      </c>
      <c r="X11108" s="16" t="str">
        <f>IFERROR(__xludf.DUMMYFUNCTION("""COMPUTED_VALUE"""),"")</f>
        <v/>
      </c>
      <c r="AC11108" s="16" t="str">
        <f>IFERROR(__xludf.DUMMYFUNCTION("""COMPUTED_VALUE"""),"")</f>
        <v/>
      </c>
    </row>
    <row r="11109">
      <c r="A11109" s="16" t="s">
        <v>87</v>
      </c>
      <c r="E11109" s="16" t="str">
        <f>IFERROR(__xludf.DUMMYFUNCTION("""COMPUTED_VALUE"""),"")</f>
        <v/>
      </c>
      <c r="G11109" s="18"/>
      <c r="H11109" s="16" t="s">
        <v>87</v>
      </c>
      <c r="I11109" s="16" t="s">
        <v>87</v>
      </c>
      <c r="J11109" s="19"/>
      <c r="L11109" s="16" t="str">
        <f>IFERROR(__xludf.DUMMYFUNCTION("""COMPUTED_VALUE"""),"")</f>
        <v/>
      </c>
      <c r="M11109" s="16" t="str">
        <f>IFERROR(__xludf.DUMMYFUNCTION("""COMPUTED_VALUE"""),"")</f>
        <v/>
      </c>
      <c r="U11109" s="16" t="s">
        <v>87</v>
      </c>
      <c r="V11109" s="16" t="str">
        <f>IFERROR(__xludf.DUMMYFUNCTION("""COMPUTED_VALUE"""),"")</f>
        <v/>
      </c>
      <c r="W11109" s="16" t="str">
        <f>IFERROR(__xludf.DUMMYFUNCTION("""COMPUTED_VALUE"""),"")</f>
        <v/>
      </c>
      <c r="X11109" s="16" t="str">
        <f>IFERROR(__xludf.DUMMYFUNCTION("""COMPUTED_VALUE"""),"")</f>
        <v/>
      </c>
      <c r="AC11109" s="16" t="str">
        <f>IFERROR(__xludf.DUMMYFUNCTION("""COMPUTED_VALUE"""),"")</f>
        <v/>
      </c>
    </row>
    <row r="11110">
      <c r="A11110" s="16" t="s">
        <v>87</v>
      </c>
      <c r="E11110" s="16" t="str">
        <f>IFERROR(__xludf.DUMMYFUNCTION("""COMPUTED_VALUE"""),"")</f>
        <v/>
      </c>
      <c r="G11110" s="18"/>
      <c r="H11110" s="16" t="s">
        <v>87</v>
      </c>
      <c r="I11110" s="16" t="s">
        <v>87</v>
      </c>
      <c r="J11110" s="19"/>
      <c r="L11110" s="16" t="str">
        <f>IFERROR(__xludf.DUMMYFUNCTION("""COMPUTED_VALUE"""),"")</f>
        <v/>
      </c>
      <c r="M11110" s="16" t="str">
        <f>IFERROR(__xludf.DUMMYFUNCTION("""COMPUTED_VALUE"""),"")</f>
        <v/>
      </c>
      <c r="U11110" s="16" t="s">
        <v>87</v>
      </c>
      <c r="V11110" s="16" t="str">
        <f>IFERROR(__xludf.DUMMYFUNCTION("""COMPUTED_VALUE"""),"")</f>
        <v/>
      </c>
      <c r="W11110" s="16" t="str">
        <f>IFERROR(__xludf.DUMMYFUNCTION("""COMPUTED_VALUE"""),"")</f>
        <v/>
      </c>
      <c r="X11110" s="16" t="str">
        <f>IFERROR(__xludf.DUMMYFUNCTION("""COMPUTED_VALUE"""),"")</f>
        <v/>
      </c>
      <c r="AC11110" s="16" t="str">
        <f>IFERROR(__xludf.DUMMYFUNCTION("""COMPUTED_VALUE"""),"")</f>
        <v/>
      </c>
    </row>
    <row r="11111">
      <c r="A11111" s="16" t="s">
        <v>87</v>
      </c>
      <c r="E11111" s="16" t="str">
        <f>IFERROR(__xludf.DUMMYFUNCTION("""COMPUTED_VALUE"""),"")</f>
        <v/>
      </c>
      <c r="G11111" s="18"/>
      <c r="H11111" s="16" t="s">
        <v>87</v>
      </c>
      <c r="I11111" s="16" t="s">
        <v>87</v>
      </c>
      <c r="J11111" s="19"/>
      <c r="L11111" s="16" t="str">
        <f>IFERROR(__xludf.DUMMYFUNCTION("""COMPUTED_VALUE"""),"")</f>
        <v/>
      </c>
      <c r="M11111" s="16" t="str">
        <f>IFERROR(__xludf.DUMMYFUNCTION("""COMPUTED_VALUE"""),"")</f>
        <v/>
      </c>
      <c r="U11111" s="16" t="s">
        <v>87</v>
      </c>
      <c r="V11111" s="16" t="str">
        <f>IFERROR(__xludf.DUMMYFUNCTION("""COMPUTED_VALUE"""),"")</f>
        <v/>
      </c>
      <c r="W11111" s="16" t="str">
        <f>IFERROR(__xludf.DUMMYFUNCTION("""COMPUTED_VALUE"""),"")</f>
        <v/>
      </c>
      <c r="X11111" s="16" t="str">
        <f>IFERROR(__xludf.DUMMYFUNCTION("""COMPUTED_VALUE"""),"")</f>
        <v/>
      </c>
      <c r="AC11111" s="16" t="str">
        <f>IFERROR(__xludf.DUMMYFUNCTION("""COMPUTED_VALUE"""),"")</f>
        <v/>
      </c>
    </row>
    <row r="11112">
      <c r="A11112" s="16" t="s">
        <v>87</v>
      </c>
      <c r="E11112" s="16" t="str">
        <f>IFERROR(__xludf.DUMMYFUNCTION("""COMPUTED_VALUE"""),"")</f>
        <v/>
      </c>
      <c r="G11112" s="18"/>
      <c r="H11112" s="16" t="s">
        <v>87</v>
      </c>
      <c r="I11112" s="16" t="s">
        <v>87</v>
      </c>
      <c r="J11112" s="19"/>
      <c r="L11112" s="16" t="str">
        <f>IFERROR(__xludf.DUMMYFUNCTION("""COMPUTED_VALUE"""),"")</f>
        <v/>
      </c>
      <c r="M11112" s="16" t="str">
        <f>IFERROR(__xludf.DUMMYFUNCTION("""COMPUTED_VALUE"""),"")</f>
        <v/>
      </c>
      <c r="U11112" s="16" t="s">
        <v>87</v>
      </c>
      <c r="V11112" s="16" t="str">
        <f>IFERROR(__xludf.DUMMYFUNCTION("""COMPUTED_VALUE"""),"")</f>
        <v/>
      </c>
      <c r="W11112" s="16" t="str">
        <f>IFERROR(__xludf.DUMMYFUNCTION("""COMPUTED_VALUE"""),"")</f>
        <v/>
      </c>
      <c r="X11112" s="16" t="str">
        <f>IFERROR(__xludf.DUMMYFUNCTION("""COMPUTED_VALUE"""),"")</f>
        <v/>
      </c>
      <c r="AC11112" s="16" t="str">
        <f>IFERROR(__xludf.DUMMYFUNCTION("""COMPUTED_VALUE"""),"")</f>
        <v/>
      </c>
    </row>
    <row r="11113">
      <c r="A11113" s="16" t="s">
        <v>87</v>
      </c>
      <c r="E11113" s="16" t="str">
        <f>IFERROR(__xludf.DUMMYFUNCTION("""COMPUTED_VALUE"""),"")</f>
        <v/>
      </c>
      <c r="G11113" s="18"/>
      <c r="H11113" s="16" t="s">
        <v>87</v>
      </c>
      <c r="I11113" s="16" t="s">
        <v>87</v>
      </c>
      <c r="J11113" s="19"/>
      <c r="L11113" s="16" t="str">
        <f>IFERROR(__xludf.DUMMYFUNCTION("""COMPUTED_VALUE"""),"")</f>
        <v/>
      </c>
      <c r="M11113" s="16" t="str">
        <f>IFERROR(__xludf.DUMMYFUNCTION("""COMPUTED_VALUE"""),"")</f>
        <v/>
      </c>
      <c r="U11113" s="16" t="s">
        <v>87</v>
      </c>
      <c r="V11113" s="16" t="str">
        <f>IFERROR(__xludf.DUMMYFUNCTION("""COMPUTED_VALUE"""),"")</f>
        <v/>
      </c>
      <c r="W11113" s="16" t="str">
        <f>IFERROR(__xludf.DUMMYFUNCTION("""COMPUTED_VALUE"""),"")</f>
        <v/>
      </c>
      <c r="X11113" s="16" t="str">
        <f>IFERROR(__xludf.DUMMYFUNCTION("""COMPUTED_VALUE"""),"")</f>
        <v/>
      </c>
      <c r="AC11113" s="16" t="str">
        <f>IFERROR(__xludf.DUMMYFUNCTION("""COMPUTED_VALUE"""),"")</f>
        <v/>
      </c>
    </row>
    <row r="11114">
      <c r="A11114" s="16" t="s">
        <v>87</v>
      </c>
      <c r="E11114" s="16" t="str">
        <f>IFERROR(__xludf.DUMMYFUNCTION("""COMPUTED_VALUE"""),"")</f>
        <v/>
      </c>
      <c r="G11114" s="18"/>
      <c r="H11114" s="16" t="s">
        <v>87</v>
      </c>
      <c r="I11114" s="16" t="s">
        <v>87</v>
      </c>
      <c r="J11114" s="19"/>
      <c r="L11114" s="16" t="str">
        <f>IFERROR(__xludf.DUMMYFUNCTION("""COMPUTED_VALUE"""),"")</f>
        <v/>
      </c>
      <c r="M11114" s="16" t="str">
        <f>IFERROR(__xludf.DUMMYFUNCTION("""COMPUTED_VALUE"""),"")</f>
        <v/>
      </c>
      <c r="U11114" s="16" t="s">
        <v>87</v>
      </c>
      <c r="V11114" s="16" t="str">
        <f>IFERROR(__xludf.DUMMYFUNCTION("""COMPUTED_VALUE"""),"")</f>
        <v/>
      </c>
      <c r="W11114" s="16" t="str">
        <f>IFERROR(__xludf.DUMMYFUNCTION("""COMPUTED_VALUE"""),"")</f>
        <v/>
      </c>
      <c r="X11114" s="16" t="str">
        <f>IFERROR(__xludf.DUMMYFUNCTION("""COMPUTED_VALUE"""),"")</f>
        <v/>
      </c>
      <c r="AC11114" s="16" t="str">
        <f>IFERROR(__xludf.DUMMYFUNCTION("""COMPUTED_VALUE"""),"")</f>
        <v/>
      </c>
    </row>
    <row r="11115">
      <c r="A11115" s="16" t="s">
        <v>87</v>
      </c>
      <c r="E11115" s="16" t="str">
        <f>IFERROR(__xludf.DUMMYFUNCTION("""COMPUTED_VALUE"""),"")</f>
        <v/>
      </c>
      <c r="G11115" s="18"/>
      <c r="H11115" s="16" t="s">
        <v>87</v>
      </c>
      <c r="I11115" s="16" t="s">
        <v>87</v>
      </c>
      <c r="J11115" s="19"/>
      <c r="L11115" s="16" t="str">
        <f>IFERROR(__xludf.DUMMYFUNCTION("""COMPUTED_VALUE"""),"")</f>
        <v/>
      </c>
      <c r="M11115" s="16" t="str">
        <f>IFERROR(__xludf.DUMMYFUNCTION("""COMPUTED_VALUE"""),"")</f>
        <v/>
      </c>
      <c r="U11115" s="16" t="s">
        <v>87</v>
      </c>
      <c r="V11115" s="16" t="str">
        <f>IFERROR(__xludf.DUMMYFUNCTION("""COMPUTED_VALUE"""),"")</f>
        <v/>
      </c>
      <c r="W11115" s="16" t="str">
        <f>IFERROR(__xludf.DUMMYFUNCTION("""COMPUTED_VALUE"""),"")</f>
        <v/>
      </c>
      <c r="X11115" s="16" t="str">
        <f>IFERROR(__xludf.DUMMYFUNCTION("""COMPUTED_VALUE"""),"")</f>
        <v/>
      </c>
      <c r="AC11115" s="16" t="str">
        <f>IFERROR(__xludf.DUMMYFUNCTION("""COMPUTED_VALUE"""),"")</f>
        <v/>
      </c>
    </row>
    <row r="11116">
      <c r="A11116" s="16" t="s">
        <v>87</v>
      </c>
      <c r="E11116" s="16" t="str">
        <f>IFERROR(__xludf.DUMMYFUNCTION("""COMPUTED_VALUE"""),"")</f>
        <v/>
      </c>
      <c r="G11116" s="18"/>
      <c r="H11116" s="16" t="s">
        <v>87</v>
      </c>
      <c r="I11116" s="16" t="s">
        <v>87</v>
      </c>
      <c r="J11116" s="19"/>
      <c r="L11116" s="16" t="str">
        <f>IFERROR(__xludf.DUMMYFUNCTION("""COMPUTED_VALUE"""),"")</f>
        <v/>
      </c>
      <c r="M11116" s="16" t="str">
        <f>IFERROR(__xludf.DUMMYFUNCTION("""COMPUTED_VALUE"""),"")</f>
        <v/>
      </c>
      <c r="U11116" s="16" t="s">
        <v>87</v>
      </c>
      <c r="V11116" s="16" t="str">
        <f>IFERROR(__xludf.DUMMYFUNCTION("""COMPUTED_VALUE"""),"")</f>
        <v/>
      </c>
      <c r="W11116" s="16" t="str">
        <f>IFERROR(__xludf.DUMMYFUNCTION("""COMPUTED_VALUE"""),"")</f>
        <v/>
      </c>
      <c r="X11116" s="16" t="str">
        <f>IFERROR(__xludf.DUMMYFUNCTION("""COMPUTED_VALUE"""),"")</f>
        <v/>
      </c>
      <c r="AC11116" s="16" t="str">
        <f>IFERROR(__xludf.DUMMYFUNCTION("""COMPUTED_VALUE"""),"")</f>
        <v/>
      </c>
    </row>
    <row r="11117">
      <c r="A11117" s="16" t="s">
        <v>87</v>
      </c>
      <c r="E11117" s="16" t="str">
        <f>IFERROR(__xludf.DUMMYFUNCTION("""COMPUTED_VALUE"""),"")</f>
        <v/>
      </c>
      <c r="G11117" s="18"/>
      <c r="H11117" s="16" t="s">
        <v>87</v>
      </c>
      <c r="I11117" s="16" t="s">
        <v>87</v>
      </c>
      <c r="J11117" s="19"/>
      <c r="L11117" s="16" t="str">
        <f>IFERROR(__xludf.DUMMYFUNCTION("""COMPUTED_VALUE"""),"")</f>
        <v/>
      </c>
      <c r="M11117" s="16" t="str">
        <f>IFERROR(__xludf.DUMMYFUNCTION("""COMPUTED_VALUE"""),"")</f>
        <v/>
      </c>
      <c r="U11117" s="16" t="s">
        <v>87</v>
      </c>
      <c r="V11117" s="16" t="str">
        <f>IFERROR(__xludf.DUMMYFUNCTION("""COMPUTED_VALUE"""),"")</f>
        <v/>
      </c>
      <c r="W11117" s="16" t="str">
        <f>IFERROR(__xludf.DUMMYFUNCTION("""COMPUTED_VALUE"""),"")</f>
        <v/>
      </c>
      <c r="X11117" s="16" t="str">
        <f>IFERROR(__xludf.DUMMYFUNCTION("""COMPUTED_VALUE"""),"")</f>
        <v/>
      </c>
      <c r="AC11117" s="16" t="str">
        <f>IFERROR(__xludf.DUMMYFUNCTION("""COMPUTED_VALUE"""),"")</f>
        <v/>
      </c>
    </row>
    <row r="11118">
      <c r="A11118" s="16" t="s">
        <v>87</v>
      </c>
      <c r="E11118" s="16" t="str">
        <f>IFERROR(__xludf.DUMMYFUNCTION("""COMPUTED_VALUE"""),"")</f>
        <v/>
      </c>
      <c r="G11118" s="18"/>
      <c r="H11118" s="16" t="s">
        <v>87</v>
      </c>
      <c r="I11118" s="16" t="s">
        <v>87</v>
      </c>
      <c r="J11118" s="19"/>
      <c r="L11118" s="16" t="str">
        <f>IFERROR(__xludf.DUMMYFUNCTION("""COMPUTED_VALUE"""),"")</f>
        <v/>
      </c>
      <c r="M11118" s="16" t="str">
        <f>IFERROR(__xludf.DUMMYFUNCTION("""COMPUTED_VALUE"""),"")</f>
        <v/>
      </c>
      <c r="U11118" s="16" t="s">
        <v>87</v>
      </c>
      <c r="V11118" s="16" t="str">
        <f>IFERROR(__xludf.DUMMYFUNCTION("""COMPUTED_VALUE"""),"")</f>
        <v/>
      </c>
      <c r="W11118" s="16" t="str">
        <f>IFERROR(__xludf.DUMMYFUNCTION("""COMPUTED_VALUE"""),"")</f>
        <v/>
      </c>
      <c r="X11118" s="16" t="str">
        <f>IFERROR(__xludf.DUMMYFUNCTION("""COMPUTED_VALUE"""),"")</f>
        <v/>
      </c>
      <c r="AC11118" s="16" t="str">
        <f>IFERROR(__xludf.DUMMYFUNCTION("""COMPUTED_VALUE"""),"")</f>
        <v/>
      </c>
    </row>
    <row r="11119">
      <c r="A11119" s="16" t="s">
        <v>87</v>
      </c>
      <c r="E11119" s="16" t="str">
        <f>IFERROR(__xludf.DUMMYFUNCTION("""COMPUTED_VALUE"""),"")</f>
        <v/>
      </c>
      <c r="G11119" s="18"/>
      <c r="H11119" s="16" t="s">
        <v>87</v>
      </c>
      <c r="I11119" s="16" t="s">
        <v>87</v>
      </c>
      <c r="J11119" s="19"/>
      <c r="L11119" s="16" t="str">
        <f>IFERROR(__xludf.DUMMYFUNCTION("""COMPUTED_VALUE"""),"")</f>
        <v/>
      </c>
      <c r="M11119" s="16" t="str">
        <f>IFERROR(__xludf.DUMMYFUNCTION("""COMPUTED_VALUE"""),"")</f>
        <v/>
      </c>
      <c r="U11119" s="16" t="s">
        <v>87</v>
      </c>
      <c r="V11119" s="16" t="str">
        <f>IFERROR(__xludf.DUMMYFUNCTION("""COMPUTED_VALUE"""),"")</f>
        <v/>
      </c>
      <c r="W11119" s="16" t="str">
        <f>IFERROR(__xludf.DUMMYFUNCTION("""COMPUTED_VALUE"""),"")</f>
        <v/>
      </c>
      <c r="X11119" s="16" t="str">
        <f>IFERROR(__xludf.DUMMYFUNCTION("""COMPUTED_VALUE"""),"")</f>
        <v/>
      </c>
      <c r="AC11119" s="16" t="str">
        <f>IFERROR(__xludf.DUMMYFUNCTION("""COMPUTED_VALUE"""),"")</f>
        <v/>
      </c>
    </row>
    <row r="11120">
      <c r="A11120" s="16" t="s">
        <v>87</v>
      </c>
      <c r="E11120" s="16" t="str">
        <f>IFERROR(__xludf.DUMMYFUNCTION("""COMPUTED_VALUE"""),"")</f>
        <v/>
      </c>
      <c r="G11120" s="18"/>
      <c r="H11120" s="16" t="s">
        <v>87</v>
      </c>
      <c r="I11120" s="16" t="s">
        <v>87</v>
      </c>
      <c r="J11120" s="19"/>
      <c r="L11120" s="16" t="str">
        <f>IFERROR(__xludf.DUMMYFUNCTION("""COMPUTED_VALUE"""),"")</f>
        <v/>
      </c>
      <c r="M11120" s="16" t="str">
        <f>IFERROR(__xludf.DUMMYFUNCTION("""COMPUTED_VALUE"""),"")</f>
        <v/>
      </c>
      <c r="U11120" s="16" t="s">
        <v>87</v>
      </c>
      <c r="V11120" s="16" t="str">
        <f>IFERROR(__xludf.DUMMYFUNCTION("""COMPUTED_VALUE"""),"")</f>
        <v/>
      </c>
      <c r="W11120" s="16" t="str">
        <f>IFERROR(__xludf.DUMMYFUNCTION("""COMPUTED_VALUE"""),"")</f>
        <v/>
      </c>
      <c r="X11120" s="16" t="str">
        <f>IFERROR(__xludf.DUMMYFUNCTION("""COMPUTED_VALUE"""),"")</f>
        <v/>
      </c>
      <c r="AC11120" s="16" t="str">
        <f>IFERROR(__xludf.DUMMYFUNCTION("""COMPUTED_VALUE"""),"")</f>
        <v/>
      </c>
    </row>
    <row r="11121">
      <c r="A11121" s="16" t="s">
        <v>87</v>
      </c>
      <c r="E11121" s="16" t="str">
        <f>IFERROR(__xludf.DUMMYFUNCTION("""COMPUTED_VALUE"""),"")</f>
        <v/>
      </c>
      <c r="G11121" s="18"/>
      <c r="H11121" s="16" t="s">
        <v>87</v>
      </c>
      <c r="I11121" s="16" t="s">
        <v>87</v>
      </c>
      <c r="J11121" s="19"/>
      <c r="L11121" s="16" t="str">
        <f>IFERROR(__xludf.DUMMYFUNCTION("""COMPUTED_VALUE"""),"")</f>
        <v/>
      </c>
      <c r="M11121" s="16" t="str">
        <f>IFERROR(__xludf.DUMMYFUNCTION("""COMPUTED_VALUE"""),"")</f>
        <v/>
      </c>
      <c r="U11121" s="16" t="s">
        <v>87</v>
      </c>
      <c r="V11121" s="16" t="str">
        <f>IFERROR(__xludf.DUMMYFUNCTION("""COMPUTED_VALUE"""),"")</f>
        <v/>
      </c>
      <c r="W11121" s="16" t="str">
        <f>IFERROR(__xludf.DUMMYFUNCTION("""COMPUTED_VALUE"""),"")</f>
        <v/>
      </c>
      <c r="X11121" s="16" t="str">
        <f>IFERROR(__xludf.DUMMYFUNCTION("""COMPUTED_VALUE"""),"")</f>
        <v/>
      </c>
      <c r="AC11121" s="16" t="str">
        <f>IFERROR(__xludf.DUMMYFUNCTION("""COMPUTED_VALUE"""),"")</f>
        <v/>
      </c>
    </row>
    <row r="11122">
      <c r="A11122" s="16" t="s">
        <v>87</v>
      </c>
      <c r="E11122" s="16" t="str">
        <f>IFERROR(__xludf.DUMMYFUNCTION("""COMPUTED_VALUE"""),"")</f>
        <v/>
      </c>
      <c r="G11122" s="18"/>
      <c r="H11122" s="16" t="s">
        <v>87</v>
      </c>
      <c r="I11122" s="16" t="s">
        <v>87</v>
      </c>
      <c r="J11122" s="19"/>
      <c r="L11122" s="16" t="str">
        <f>IFERROR(__xludf.DUMMYFUNCTION("""COMPUTED_VALUE"""),"")</f>
        <v/>
      </c>
      <c r="M11122" s="16" t="str">
        <f>IFERROR(__xludf.DUMMYFUNCTION("""COMPUTED_VALUE"""),"")</f>
        <v/>
      </c>
      <c r="U11122" s="16" t="s">
        <v>87</v>
      </c>
      <c r="V11122" s="16" t="str">
        <f>IFERROR(__xludf.DUMMYFUNCTION("""COMPUTED_VALUE"""),"")</f>
        <v/>
      </c>
      <c r="W11122" s="16" t="str">
        <f>IFERROR(__xludf.DUMMYFUNCTION("""COMPUTED_VALUE"""),"")</f>
        <v/>
      </c>
      <c r="X11122" s="16" t="str">
        <f>IFERROR(__xludf.DUMMYFUNCTION("""COMPUTED_VALUE"""),"")</f>
        <v/>
      </c>
      <c r="AC11122" s="16" t="str">
        <f>IFERROR(__xludf.DUMMYFUNCTION("""COMPUTED_VALUE"""),"")</f>
        <v/>
      </c>
    </row>
    <row r="11123">
      <c r="A11123" s="16" t="s">
        <v>87</v>
      </c>
      <c r="E11123" s="16" t="str">
        <f>IFERROR(__xludf.DUMMYFUNCTION("""COMPUTED_VALUE"""),"")</f>
        <v/>
      </c>
      <c r="G11123" s="18"/>
      <c r="H11123" s="16" t="s">
        <v>87</v>
      </c>
      <c r="I11123" s="16" t="s">
        <v>87</v>
      </c>
      <c r="J11123" s="19"/>
      <c r="L11123" s="16" t="str">
        <f>IFERROR(__xludf.DUMMYFUNCTION("""COMPUTED_VALUE"""),"")</f>
        <v/>
      </c>
      <c r="M11123" s="16" t="str">
        <f>IFERROR(__xludf.DUMMYFUNCTION("""COMPUTED_VALUE"""),"")</f>
        <v/>
      </c>
      <c r="U11123" s="16" t="s">
        <v>87</v>
      </c>
      <c r="V11123" s="16" t="str">
        <f>IFERROR(__xludf.DUMMYFUNCTION("""COMPUTED_VALUE"""),"")</f>
        <v/>
      </c>
      <c r="W11123" s="16" t="str">
        <f>IFERROR(__xludf.DUMMYFUNCTION("""COMPUTED_VALUE"""),"")</f>
        <v/>
      </c>
      <c r="X11123" s="16" t="str">
        <f>IFERROR(__xludf.DUMMYFUNCTION("""COMPUTED_VALUE"""),"")</f>
        <v/>
      </c>
      <c r="AC11123" s="16" t="str">
        <f>IFERROR(__xludf.DUMMYFUNCTION("""COMPUTED_VALUE"""),"")</f>
        <v/>
      </c>
    </row>
    <row r="11124">
      <c r="A11124" s="16" t="s">
        <v>87</v>
      </c>
      <c r="E11124" s="16" t="str">
        <f>IFERROR(__xludf.DUMMYFUNCTION("""COMPUTED_VALUE"""),"")</f>
        <v/>
      </c>
      <c r="G11124" s="18"/>
      <c r="H11124" s="16" t="s">
        <v>87</v>
      </c>
      <c r="I11124" s="16" t="s">
        <v>87</v>
      </c>
      <c r="J11124" s="19"/>
      <c r="L11124" s="16" t="str">
        <f>IFERROR(__xludf.DUMMYFUNCTION("""COMPUTED_VALUE"""),"")</f>
        <v/>
      </c>
      <c r="M11124" s="16" t="str">
        <f>IFERROR(__xludf.DUMMYFUNCTION("""COMPUTED_VALUE"""),"")</f>
        <v/>
      </c>
      <c r="U11124" s="16" t="s">
        <v>87</v>
      </c>
      <c r="V11124" s="16" t="str">
        <f>IFERROR(__xludf.DUMMYFUNCTION("""COMPUTED_VALUE"""),"")</f>
        <v/>
      </c>
      <c r="W11124" s="16" t="str">
        <f>IFERROR(__xludf.DUMMYFUNCTION("""COMPUTED_VALUE"""),"")</f>
        <v/>
      </c>
      <c r="X11124" s="16" t="str">
        <f>IFERROR(__xludf.DUMMYFUNCTION("""COMPUTED_VALUE"""),"")</f>
        <v/>
      </c>
      <c r="AC11124" s="16" t="str">
        <f>IFERROR(__xludf.DUMMYFUNCTION("""COMPUTED_VALUE"""),"")</f>
        <v/>
      </c>
    </row>
    <row r="11125">
      <c r="A11125" s="16" t="s">
        <v>87</v>
      </c>
      <c r="E11125" s="16" t="str">
        <f>IFERROR(__xludf.DUMMYFUNCTION("""COMPUTED_VALUE"""),"")</f>
        <v/>
      </c>
      <c r="G11125" s="18"/>
      <c r="H11125" s="16" t="s">
        <v>87</v>
      </c>
      <c r="I11125" s="16" t="s">
        <v>87</v>
      </c>
      <c r="J11125" s="19"/>
      <c r="L11125" s="16" t="str">
        <f>IFERROR(__xludf.DUMMYFUNCTION("""COMPUTED_VALUE"""),"")</f>
        <v/>
      </c>
      <c r="M11125" s="16" t="str">
        <f>IFERROR(__xludf.DUMMYFUNCTION("""COMPUTED_VALUE"""),"")</f>
        <v/>
      </c>
      <c r="U11125" s="16" t="s">
        <v>87</v>
      </c>
      <c r="V11125" s="16" t="str">
        <f>IFERROR(__xludf.DUMMYFUNCTION("""COMPUTED_VALUE"""),"")</f>
        <v/>
      </c>
      <c r="W11125" s="16" t="str">
        <f>IFERROR(__xludf.DUMMYFUNCTION("""COMPUTED_VALUE"""),"")</f>
        <v/>
      </c>
      <c r="X11125" s="16" t="str">
        <f>IFERROR(__xludf.DUMMYFUNCTION("""COMPUTED_VALUE"""),"")</f>
        <v/>
      </c>
      <c r="AC11125" s="16" t="str">
        <f>IFERROR(__xludf.DUMMYFUNCTION("""COMPUTED_VALUE"""),"")</f>
        <v/>
      </c>
    </row>
    <row r="11126">
      <c r="A11126" s="16" t="s">
        <v>87</v>
      </c>
      <c r="E11126" s="16" t="str">
        <f>IFERROR(__xludf.DUMMYFUNCTION("""COMPUTED_VALUE"""),"")</f>
        <v/>
      </c>
      <c r="G11126" s="18"/>
      <c r="H11126" s="16" t="s">
        <v>87</v>
      </c>
      <c r="I11126" s="16" t="s">
        <v>87</v>
      </c>
      <c r="J11126" s="19"/>
      <c r="L11126" s="16" t="str">
        <f>IFERROR(__xludf.DUMMYFUNCTION("""COMPUTED_VALUE"""),"")</f>
        <v/>
      </c>
      <c r="M11126" s="16" t="str">
        <f>IFERROR(__xludf.DUMMYFUNCTION("""COMPUTED_VALUE"""),"")</f>
        <v/>
      </c>
      <c r="U11126" s="16" t="s">
        <v>87</v>
      </c>
      <c r="V11126" s="16" t="str">
        <f>IFERROR(__xludf.DUMMYFUNCTION("""COMPUTED_VALUE"""),"")</f>
        <v/>
      </c>
      <c r="W11126" s="16" t="str">
        <f>IFERROR(__xludf.DUMMYFUNCTION("""COMPUTED_VALUE"""),"")</f>
        <v/>
      </c>
      <c r="X11126" s="16" t="str">
        <f>IFERROR(__xludf.DUMMYFUNCTION("""COMPUTED_VALUE"""),"")</f>
        <v/>
      </c>
      <c r="AC11126" s="16" t="str">
        <f>IFERROR(__xludf.DUMMYFUNCTION("""COMPUTED_VALUE"""),"")</f>
        <v/>
      </c>
    </row>
    <row r="11127">
      <c r="A11127" s="16" t="s">
        <v>87</v>
      </c>
      <c r="E11127" s="16" t="str">
        <f>IFERROR(__xludf.DUMMYFUNCTION("""COMPUTED_VALUE"""),"")</f>
        <v/>
      </c>
      <c r="G11127" s="18"/>
      <c r="H11127" s="16" t="s">
        <v>87</v>
      </c>
      <c r="I11127" s="16" t="s">
        <v>87</v>
      </c>
      <c r="J11127" s="19"/>
      <c r="L11127" s="16" t="str">
        <f>IFERROR(__xludf.DUMMYFUNCTION("""COMPUTED_VALUE"""),"")</f>
        <v/>
      </c>
      <c r="M11127" s="16" t="str">
        <f>IFERROR(__xludf.DUMMYFUNCTION("""COMPUTED_VALUE"""),"")</f>
        <v/>
      </c>
      <c r="U11127" s="16" t="s">
        <v>87</v>
      </c>
      <c r="V11127" s="16" t="str">
        <f>IFERROR(__xludf.DUMMYFUNCTION("""COMPUTED_VALUE"""),"")</f>
        <v/>
      </c>
      <c r="W11127" s="16" t="str">
        <f>IFERROR(__xludf.DUMMYFUNCTION("""COMPUTED_VALUE"""),"")</f>
        <v/>
      </c>
      <c r="X11127" s="16" t="str">
        <f>IFERROR(__xludf.DUMMYFUNCTION("""COMPUTED_VALUE"""),"")</f>
        <v/>
      </c>
      <c r="AC11127" s="16" t="str">
        <f>IFERROR(__xludf.DUMMYFUNCTION("""COMPUTED_VALUE"""),"")</f>
        <v/>
      </c>
    </row>
    <row r="11128">
      <c r="A11128" s="16" t="s">
        <v>87</v>
      </c>
      <c r="E11128" s="16" t="str">
        <f>IFERROR(__xludf.DUMMYFUNCTION("""COMPUTED_VALUE"""),"")</f>
        <v/>
      </c>
      <c r="G11128" s="18"/>
      <c r="H11128" s="16" t="s">
        <v>87</v>
      </c>
      <c r="I11128" s="16" t="s">
        <v>87</v>
      </c>
      <c r="J11128" s="19"/>
      <c r="L11128" s="16" t="str">
        <f>IFERROR(__xludf.DUMMYFUNCTION("""COMPUTED_VALUE"""),"")</f>
        <v/>
      </c>
      <c r="M11128" s="16" t="str">
        <f>IFERROR(__xludf.DUMMYFUNCTION("""COMPUTED_VALUE"""),"")</f>
        <v/>
      </c>
      <c r="U11128" s="16" t="s">
        <v>87</v>
      </c>
      <c r="V11128" s="16" t="str">
        <f>IFERROR(__xludf.DUMMYFUNCTION("""COMPUTED_VALUE"""),"")</f>
        <v/>
      </c>
      <c r="W11128" s="16" t="str">
        <f>IFERROR(__xludf.DUMMYFUNCTION("""COMPUTED_VALUE"""),"")</f>
        <v/>
      </c>
      <c r="X11128" s="16" t="str">
        <f>IFERROR(__xludf.DUMMYFUNCTION("""COMPUTED_VALUE"""),"")</f>
        <v/>
      </c>
      <c r="AC11128" s="16" t="str">
        <f>IFERROR(__xludf.DUMMYFUNCTION("""COMPUTED_VALUE"""),"")</f>
        <v/>
      </c>
    </row>
    <row r="11129">
      <c r="A11129" s="16" t="s">
        <v>87</v>
      </c>
      <c r="E11129" s="16" t="str">
        <f>IFERROR(__xludf.DUMMYFUNCTION("""COMPUTED_VALUE"""),"")</f>
        <v/>
      </c>
      <c r="G11129" s="18"/>
      <c r="H11129" s="16" t="s">
        <v>87</v>
      </c>
      <c r="I11129" s="16" t="s">
        <v>87</v>
      </c>
      <c r="J11129" s="19"/>
      <c r="L11129" s="16" t="str">
        <f>IFERROR(__xludf.DUMMYFUNCTION("""COMPUTED_VALUE"""),"")</f>
        <v/>
      </c>
      <c r="M11129" s="16" t="str">
        <f>IFERROR(__xludf.DUMMYFUNCTION("""COMPUTED_VALUE"""),"")</f>
        <v/>
      </c>
      <c r="U11129" s="16" t="s">
        <v>87</v>
      </c>
      <c r="V11129" s="16" t="str">
        <f>IFERROR(__xludf.DUMMYFUNCTION("""COMPUTED_VALUE"""),"")</f>
        <v/>
      </c>
      <c r="W11129" s="16" t="str">
        <f>IFERROR(__xludf.DUMMYFUNCTION("""COMPUTED_VALUE"""),"")</f>
        <v/>
      </c>
      <c r="X11129" s="16" t="str">
        <f>IFERROR(__xludf.DUMMYFUNCTION("""COMPUTED_VALUE"""),"")</f>
        <v/>
      </c>
      <c r="AC11129" s="16" t="str">
        <f>IFERROR(__xludf.DUMMYFUNCTION("""COMPUTED_VALUE"""),"")</f>
        <v/>
      </c>
    </row>
    <row r="11130">
      <c r="A11130" s="16" t="s">
        <v>87</v>
      </c>
      <c r="E11130" s="16" t="str">
        <f>IFERROR(__xludf.DUMMYFUNCTION("""COMPUTED_VALUE"""),"")</f>
        <v/>
      </c>
      <c r="G11130" s="18"/>
      <c r="H11130" s="16" t="s">
        <v>87</v>
      </c>
      <c r="I11130" s="16" t="s">
        <v>87</v>
      </c>
      <c r="J11130" s="19"/>
      <c r="L11130" s="16" t="str">
        <f>IFERROR(__xludf.DUMMYFUNCTION("""COMPUTED_VALUE"""),"")</f>
        <v/>
      </c>
      <c r="M11130" s="16" t="str">
        <f>IFERROR(__xludf.DUMMYFUNCTION("""COMPUTED_VALUE"""),"")</f>
        <v/>
      </c>
      <c r="U11130" s="16" t="s">
        <v>87</v>
      </c>
      <c r="V11130" s="16" t="str">
        <f>IFERROR(__xludf.DUMMYFUNCTION("""COMPUTED_VALUE"""),"")</f>
        <v/>
      </c>
      <c r="W11130" s="16" t="str">
        <f>IFERROR(__xludf.DUMMYFUNCTION("""COMPUTED_VALUE"""),"")</f>
        <v/>
      </c>
      <c r="X11130" s="16" t="str">
        <f>IFERROR(__xludf.DUMMYFUNCTION("""COMPUTED_VALUE"""),"")</f>
        <v/>
      </c>
      <c r="AC11130" s="16" t="str">
        <f>IFERROR(__xludf.DUMMYFUNCTION("""COMPUTED_VALUE"""),"")</f>
        <v/>
      </c>
    </row>
    <row r="11131">
      <c r="A11131" s="16" t="s">
        <v>87</v>
      </c>
      <c r="E11131" s="16" t="str">
        <f>IFERROR(__xludf.DUMMYFUNCTION("""COMPUTED_VALUE"""),"")</f>
        <v/>
      </c>
      <c r="G11131" s="18"/>
      <c r="H11131" s="16" t="s">
        <v>87</v>
      </c>
      <c r="I11131" s="16" t="s">
        <v>87</v>
      </c>
      <c r="J11131" s="19"/>
      <c r="L11131" s="16" t="str">
        <f>IFERROR(__xludf.DUMMYFUNCTION("""COMPUTED_VALUE"""),"")</f>
        <v/>
      </c>
      <c r="M11131" s="16" t="str">
        <f>IFERROR(__xludf.DUMMYFUNCTION("""COMPUTED_VALUE"""),"")</f>
        <v/>
      </c>
      <c r="U11131" s="16" t="s">
        <v>87</v>
      </c>
      <c r="V11131" s="16" t="str">
        <f>IFERROR(__xludf.DUMMYFUNCTION("""COMPUTED_VALUE"""),"")</f>
        <v/>
      </c>
      <c r="W11131" s="16" t="str">
        <f>IFERROR(__xludf.DUMMYFUNCTION("""COMPUTED_VALUE"""),"")</f>
        <v/>
      </c>
      <c r="X11131" s="16" t="str">
        <f>IFERROR(__xludf.DUMMYFUNCTION("""COMPUTED_VALUE"""),"")</f>
        <v/>
      </c>
      <c r="AC11131" s="16" t="str">
        <f>IFERROR(__xludf.DUMMYFUNCTION("""COMPUTED_VALUE"""),"")</f>
        <v/>
      </c>
    </row>
    <row r="11132">
      <c r="A11132" s="16" t="s">
        <v>87</v>
      </c>
      <c r="E11132" s="16" t="str">
        <f>IFERROR(__xludf.DUMMYFUNCTION("""COMPUTED_VALUE"""),"")</f>
        <v/>
      </c>
      <c r="G11132" s="18"/>
      <c r="H11132" s="16" t="s">
        <v>87</v>
      </c>
      <c r="I11132" s="16" t="s">
        <v>87</v>
      </c>
      <c r="J11132" s="19"/>
      <c r="L11132" s="16" t="str">
        <f>IFERROR(__xludf.DUMMYFUNCTION("""COMPUTED_VALUE"""),"")</f>
        <v/>
      </c>
      <c r="M11132" s="16" t="str">
        <f>IFERROR(__xludf.DUMMYFUNCTION("""COMPUTED_VALUE"""),"")</f>
        <v/>
      </c>
      <c r="U11132" s="16" t="s">
        <v>87</v>
      </c>
      <c r="V11132" s="16" t="str">
        <f>IFERROR(__xludf.DUMMYFUNCTION("""COMPUTED_VALUE"""),"")</f>
        <v/>
      </c>
      <c r="W11132" s="16" t="str">
        <f>IFERROR(__xludf.DUMMYFUNCTION("""COMPUTED_VALUE"""),"")</f>
        <v/>
      </c>
      <c r="X11132" s="16" t="str">
        <f>IFERROR(__xludf.DUMMYFUNCTION("""COMPUTED_VALUE"""),"")</f>
        <v/>
      </c>
      <c r="AC11132" s="16" t="str">
        <f>IFERROR(__xludf.DUMMYFUNCTION("""COMPUTED_VALUE"""),"")</f>
        <v/>
      </c>
    </row>
    <row r="11133">
      <c r="A11133" s="16" t="s">
        <v>87</v>
      </c>
      <c r="E11133" s="16" t="str">
        <f>IFERROR(__xludf.DUMMYFUNCTION("""COMPUTED_VALUE"""),"")</f>
        <v/>
      </c>
      <c r="G11133" s="18"/>
      <c r="H11133" s="16" t="s">
        <v>87</v>
      </c>
      <c r="I11133" s="16" t="s">
        <v>87</v>
      </c>
      <c r="J11133" s="19"/>
      <c r="L11133" s="16" t="str">
        <f>IFERROR(__xludf.DUMMYFUNCTION("""COMPUTED_VALUE"""),"")</f>
        <v/>
      </c>
      <c r="M11133" s="16" t="str">
        <f>IFERROR(__xludf.DUMMYFUNCTION("""COMPUTED_VALUE"""),"")</f>
        <v/>
      </c>
      <c r="U11133" s="16" t="s">
        <v>87</v>
      </c>
      <c r="V11133" s="16" t="str">
        <f>IFERROR(__xludf.DUMMYFUNCTION("""COMPUTED_VALUE"""),"")</f>
        <v/>
      </c>
      <c r="W11133" s="16" t="str">
        <f>IFERROR(__xludf.DUMMYFUNCTION("""COMPUTED_VALUE"""),"")</f>
        <v/>
      </c>
      <c r="X11133" s="16" t="str">
        <f>IFERROR(__xludf.DUMMYFUNCTION("""COMPUTED_VALUE"""),"")</f>
        <v/>
      </c>
      <c r="AC11133" s="16" t="str">
        <f>IFERROR(__xludf.DUMMYFUNCTION("""COMPUTED_VALUE"""),"")</f>
        <v/>
      </c>
    </row>
    <row r="11134">
      <c r="A11134" s="16" t="s">
        <v>87</v>
      </c>
      <c r="E11134" s="16" t="str">
        <f>IFERROR(__xludf.DUMMYFUNCTION("""COMPUTED_VALUE"""),"")</f>
        <v/>
      </c>
      <c r="G11134" s="18"/>
      <c r="H11134" s="16" t="s">
        <v>87</v>
      </c>
      <c r="I11134" s="16" t="s">
        <v>87</v>
      </c>
      <c r="J11134" s="19"/>
      <c r="L11134" s="16" t="str">
        <f>IFERROR(__xludf.DUMMYFUNCTION("""COMPUTED_VALUE"""),"")</f>
        <v/>
      </c>
      <c r="M11134" s="16" t="str">
        <f>IFERROR(__xludf.DUMMYFUNCTION("""COMPUTED_VALUE"""),"")</f>
        <v/>
      </c>
      <c r="U11134" s="16" t="s">
        <v>87</v>
      </c>
      <c r="V11134" s="16" t="str">
        <f>IFERROR(__xludf.DUMMYFUNCTION("""COMPUTED_VALUE"""),"")</f>
        <v/>
      </c>
      <c r="W11134" s="16" t="str">
        <f>IFERROR(__xludf.DUMMYFUNCTION("""COMPUTED_VALUE"""),"")</f>
        <v/>
      </c>
      <c r="X11134" s="16" t="str">
        <f>IFERROR(__xludf.DUMMYFUNCTION("""COMPUTED_VALUE"""),"")</f>
        <v/>
      </c>
      <c r="AC11134" s="16" t="str">
        <f>IFERROR(__xludf.DUMMYFUNCTION("""COMPUTED_VALUE"""),"")</f>
        <v/>
      </c>
    </row>
    <row r="11135">
      <c r="A11135" s="16" t="s">
        <v>87</v>
      </c>
      <c r="E11135" s="16" t="str">
        <f>IFERROR(__xludf.DUMMYFUNCTION("""COMPUTED_VALUE"""),"")</f>
        <v/>
      </c>
      <c r="G11135" s="18"/>
      <c r="H11135" s="16" t="s">
        <v>87</v>
      </c>
      <c r="I11135" s="16" t="s">
        <v>87</v>
      </c>
      <c r="J11135" s="19"/>
      <c r="L11135" s="16" t="str">
        <f>IFERROR(__xludf.DUMMYFUNCTION("""COMPUTED_VALUE"""),"")</f>
        <v/>
      </c>
      <c r="M11135" s="16" t="str">
        <f>IFERROR(__xludf.DUMMYFUNCTION("""COMPUTED_VALUE"""),"")</f>
        <v/>
      </c>
      <c r="U11135" s="16" t="s">
        <v>87</v>
      </c>
      <c r="V11135" s="16" t="str">
        <f>IFERROR(__xludf.DUMMYFUNCTION("""COMPUTED_VALUE"""),"")</f>
        <v/>
      </c>
      <c r="W11135" s="16" t="str">
        <f>IFERROR(__xludf.DUMMYFUNCTION("""COMPUTED_VALUE"""),"")</f>
        <v/>
      </c>
      <c r="X11135" s="16" t="str">
        <f>IFERROR(__xludf.DUMMYFUNCTION("""COMPUTED_VALUE"""),"")</f>
        <v/>
      </c>
      <c r="AC11135" s="16" t="str">
        <f>IFERROR(__xludf.DUMMYFUNCTION("""COMPUTED_VALUE"""),"")</f>
        <v/>
      </c>
    </row>
    <row r="11136">
      <c r="A11136" s="16" t="s">
        <v>87</v>
      </c>
      <c r="E11136" s="16" t="str">
        <f>IFERROR(__xludf.DUMMYFUNCTION("""COMPUTED_VALUE"""),"")</f>
        <v/>
      </c>
      <c r="G11136" s="18"/>
      <c r="H11136" s="16" t="s">
        <v>87</v>
      </c>
      <c r="I11136" s="16" t="s">
        <v>87</v>
      </c>
      <c r="J11136" s="19"/>
      <c r="L11136" s="16" t="str">
        <f>IFERROR(__xludf.DUMMYFUNCTION("""COMPUTED_VALUE"""),"")</f>
        <v/>
      </c>
      <c r="M11136" s="16" t="str">
        <f>IFERROR(__xludf.DUMMYFUNCTION("""COMPUTED_VALUE"""),"")</f>
        <v/>
      </c>
      <c r="U11136" s="16" t="s">
        <v>87</v>
      </c>
      <c r="V11136" s="16" t="str">
        <f>IFERROR(__xludf.DUMMYFUNCTION("""COMPUTED_VALUE"""),"")</f>
        <v/>
      </c>
      <c r="W11136" s="16" t="str">
        <f>IFERROR(__xludf.DUMMYFUNCTION("""COMPUTED_VALUE"""),"")</f>
        <v/>
      </c>
      <c r="X11136" s="16" t="str">
        <f>IFERROR(__xludf.DUMMYFUNCTION("""COMPUTED_VALUE"""),"")</f>
        <v/>
      </c>
      <c r="AC11136" s="16" t="str">
        <f>IFERROR(__xludf.DUMMYFUNCTION("""COMPUTED_VALUE"""),"")</f>
        <v/>
      </c>
    </row>
    <row r="11137">
      <c r="A11137" s="16" t="s">
        <v>87</v>
      </c>
      <c r="E11137" s="16" t="str">
        <f>IFERROR(__xludf.DUMMYFUNCTION("""COMPUTED_VALUE"""),"")</f>
        <v/>
      </c>
      <c r="G11137" s="18"/>
      <c r="H11137" s="16" t="s">
        <v>87</v>
      </c>
      <c r="I11137" s="16" t="s">
        <v>87</v>
      </c>
      <c r="J11137" s="19"/>
      <c r="L11137" s="16" t="str">
        <f>IFERROR(__xludf.DUMMYFUNCTION("""COMPUTED_VALUE"""),"")</f>
        <v/>
      </c>
      <c r="M11137" s="16" t="str">
        <f>IFERROR(__xludf.DUMMYFUNCTION("""COMPUTED_VALUE"""),"")</f>
        <v/>
      </c>
      <c r="U11137" s="16" t="s">
        <v>87</v>
      </c>
      <c r="V11137" s="16" t="str">
        <f>IFERROR(__xludf.DUMMYFUNCTION("""COMPUTED_VALUE"""),"")</f>
        <v/>
      </c>
      <c r="W11137" s="16" t="str">
        <f>IFERROR(__xludf.DUMMYFUNCTION("""COMPUTED_VALUE"""),"")</f>
        <v/>
      </c>
      <c r="X11137" s="16" t="str">
        <f>IFERROR(__xludf.DUMMYFUNCTION("""COMPUTED_VALUE"""),"")</f>
        <v/>
      </c>
      <c r="AC11137" s="16" t="str">
        <f>IFERROR(__xludf.DUMMYFUNCTION("""COMPUTED_VALUE"""),"")</f>
        <v/>
      </c>
    </row>
    <row r="11138">
      <c r="A11138" s="16" t="s">
        <v>87</v>
      </c>
      <c r="E11138" s="16" t="str">
        <f>IFERROR(__xludf.DUMMYFUNCTION("""COMPUTED_VALUE"""),"")</f>
        <v/>
      </c>
      <c r="G11138" s="18"/>
      <c r="H11138" s="16" t="s">
        <v>87</v>
      </c>
      <c r="I11138" s="16" t="s">
        <v>87</v>
      </c>
      <c r="J11138" s="19"/>
      <c r="L11138" s="16" t="str">
        <f>IFERROR(__xludf.DUMMYFUNCTION("""COMPUTED_VALUE"""),"")</f>
        <v/>
      </c>
      <c r="M11138" s="16" t="str">
        <f>IFERROR(__xludf.DUMMYFUNCTION("""COMPUTED_VALUE"""),"")</f>
        <v/>
      </c>
      <c r="U11138" s="16" t="s">
        <v>87</v>
      </c>
      <c r="V11138" s="16" t="str">
        <f>IFERROR(__xludf.DUMMYFUNCTION("""COMPUTED_VALUE"""),"")</f>
        <v/>
      </c>
      <c r="W11138" s="16" t="str">
        <f>IFERROR(__xludf.DUMMYFUNCTION("""COMPUTED_VALUE"""),"")</f>
        <v/>
      </c>
      <c r="X11138" s="16" t="str">
        <f>IFERROR(__xludf.DUMMYFUNCTION("""COMPUTED_VALUE"""),"")</f>
        <v/>
      </c>
      <c r="AC11138" s="16" t="str">
        <f>IFERROR(__xludf.DUMMYFUNCTION("""COMPUTED_VALUE"""),"")</f>
        <v/>
      </c>
    </row>
    <row r="11139">
      <c r="A11139" s="16" t="s">
        <v>87</v>
      </c>
      <c r="E11139" s="16" t="str">
        <f>IFERROR(__xludf.DUMMYFUNCTION("""COMPUTED_VALUE"""),"")</f>
        <v/>
      </c>
      <c r="G11139" s="18"/>
      <c r="H11139" s="16" t="s">
        <v>87</v>
      </c>
      <c r="I11139" s="16" t="s">
        <v>87</v>
      </c>
      <c r="J11139" s="19"/>
      <c r="L11139" s="16" t="str">
        <f>IFERROR(__xludf.DUMMYFUNCTION("""COMPUTED_VALUE"""),"")</f>
        <v/>
      </c>
      <c r="M11139" s="16" t="str">
        <f>IFERROR(__xludf.DUMMYFUNCTION("""COMPUTED_VALUE"""),"")</f>
        <v/>
      </c>
      <c r="U11139" s="16" t="s">
        <v>87</v>
      </c>
      <c r="V11139" s="16" t="str">
        <f>IFERROR(__xludf.DUMMYFUNCTION("""COMPUTED_VALUE"""),"")</f>
        <v/>
      </c>
      <c r="W11139" s="16" t="str">
        <f>IFERROR(__xludf.DUMMYFUNCTION("""COMPUTED_VALUE"""),"")</f>
        <v/>
      </c>
      <c r="X11139" s="16" t="str">
        <f>IFERROR(__xludf.DUMMYFUNCTION("""COMPUTED_VALUE"""),"")</f>
        <v/>
      </c>
      <c r="AC11139" s="16" t="str">
        <f>IFERROR(__xludf.DUMMYFUNCTION("""COMPUTED_VALUE"""),"")</f>
        <v/>
      </c>
    </row>
    <row r="11140">
      <c r="A11140" s="16" t="s">
        <v>87</v>
      </c>
      <c r="E11140" s="16" t="str">
        <f>IFERROR(__xludf.DUMMYFUNCTION("""COMPUTED_VALUE"""),"")</f>
        <v/>
      </c>
      <c r="G11140" s="18"/>
      <c r="H11140" s="16" t="s">
        <v>87</v>
      </c>
      <c r="I11140" s="16" t="s">
        <v>87</v>
      </c>
      <c r="J11140" s="19"/>
      <c r="L11140" s="16" t="str">
        <f>IFERROR(__xludf.DUMMYFUNCTION("""COMPUTED_VALUE"""),"")</f>
        <v/>
      </c>
      <c r="M11140" s="16" t="str">
        <f>IFERROR(__xludf.DUMMYFUNCTION("""COMPUTED_VALUE"""),"")</f>
        <v/>
      </c>
      <c r="U11140" s="16" t="s">
        <v>87</v>
      </c>
      <c r="V11140" s="16" t="str">
        <f>IFERROR(__xludf.DUMMYFUNCTION("""COMPUTED_VALUE"""),"")</f>
        <v/>
      </c>
      <c r="W11140" s="16" t="str">
        <f>IFERROR(__xludf.DUMMYFUNCTION("""COMPUTED_VALUE"""),"")</f>
        <v/>
      </c>
      <c r="X11140" s="16" t="str">
        <f>IFERROR(__xludf.DUMMYFUNCTION("""COMPUTED_VALUE"""),"")</f>
        <v/>
      </c>
      <c r="AC11140" s="16" t="str">
        <f>IFERROR(__xludf.DUMMYFUNCTION("""COMPUTED_VALUE"""),"")</f>
        <v/>
      </c>
    </row>
    <row r="11141">
      <c r="A11141" s="16" t="s">
        <v>87</v>
      </c>
      <c r="E11141" s="16" t="str">
        <f>IFERROR(__xludf.DUMMYFUNCTION("""COMPUTED_VALUE"""),"")</f>
        <v/>
      </c>
      <c r="G11141" s="18"/>
      <c r="H11141" s="16" t="s">
        <v>87</v>
      </c>
      <c r="I11141" s="16" t="s">
        <v>87</v>
      </c>
      <c r="J11141" s="19"/>
      <c r="L11141" s="16" t="str">
        <f>IFERROR(__xludf.DUMMYFUNCTION("""COMPUTED_VALUE"""),"")</f>
        <v/>
      </c>
      <c r="M11141" s="16" t="str">
        <f>IFERROR(__xludf.DUMMYFUNCTION("""COMPUTED_VALUE"""),"")</f>
        <v/>
      </c>
      <c r="U11141" s="16" t="s">
        <v>87</v>
      </c>
      <c r="V11141" s="16" t="str">
        <f>IFERROR(__xludf.DUMMYFUNCTION("""COMPUTED_VALUE"""),"")</f>
        <v/>
      </c>
      <c r="W11141" s="16" t="str">
        <f>IFERROR(__xludf.DUMMYFUNCTION("""COMPUTED_VALUE"""),"")</f>
        <v/>
      </c>
      <c r="X11141" s="16" t="str">
        <f>IFERROR(__xludf.DUMMYFUNCTION("""COMPUTED_VALUE"""),"")</f>
        <v/>
      </c>
      <c r="AC11141" s="16" t="str">
        <f>IFERROR(__xludf.DUMMYFUNCTION("""COMPUTED_VALUE"""),"")</f>
        <v/>
      </c>
    </row>
    <row r="11142">
      <c r="A11142" s="16" t="s">
        <v>87</v>
      </c>
      <c r="E11142" s="16" t="str">
        <f>IFERROR(__xludf.DUMMYFUNCTION("""COMPUTED_VALUE"""),"")</f>
        <v/>
      </c>
      <c r="G11142" s="18"/>
      <c r="H11142" s="16" t="s">
        <v>87</v>
      </c>
      <c r="I11142" s="16" t="s">
        <v>87</v>
      </c>
      <c r="J11142" s="19"/>
      <c r="L11142" s="16" t="str">
        <f>IFERROR(__xludf.DUMMYFUNCTION("""COMPUTED_VALUE"""),"")</f>
        <v/>
      </c>
      <c r="M11142" s="16" t="str">
        <f>IFERROR(__xludf.DUMMYFUNCTION("""COMPUTED_VALUE"""),"")</f>
        <v/>
      </c>
      <c r="U11142" s="16" t="s">
        <v>87</v>
      </c>
      <c r="V11142" s="16" t="str">
        <f>IFERROR(__xludf.DUMMYFUNCTION("""COMPUTED_VALUE"""),"")</f>
        <v/>
      </c>
      <c r="W11142" s="16" t="str">
        <f>IFERROR(__xludf.DUMMYFUNCTION("""COMPUTED_VALUE"""),"")</f>
        <v/>
      </c>
      <c r="X11142" s="16" t="str">
        <f>IFERROR(__xludf.DUMMYFUNCTION("""COMPUTED_VALUE"""),"")</f>
        <v/>
      </c>
      <c r="AC11142" s="16" t="str">
        <f>IFERROR(__xludf.DUMMYFUNCTION("""COMPUTED_VALUE"""),"")</f>
        <v/>
      </c>
    </row>
    <row r="11143">
      <c r="A11143" s="16" t="s">
        <v>87</v>
      </c>
      <c r="E11143" s="16" t="str">
        <f>IFERROR(__xludf.DUMMYFUNCTION("""COMPUTED_VALUE"""),"")</f>
        <v/>
      </c>
      <c r="G11143" s="18"/>
      <c r="H11143" s="16" t="s">
        <v>87</v>
      </c>
      <c r="I11143" s="16" t="s">
        <v>87</v>
      </c>
      <c r="J11143" s="19"/>
      <c r="L11143" s="16" t="str">
        <f>IFERROR(__xludf.DUMMYFUNCTION("""COMPUTED_VALUE"""),"")</f>
        <v/>
      </c>
      <c r="M11143" s="16" t="str">
        <f>IFERROR(__xludf.DUMMYFUNCTION("""COMPUTED_VALUE"""),"")</f>
        <v/>
      </c>
      <c r="U11143" s="16" t="s">
        <v>87</v>
      </c>
      <c r="V11143" s="16" t="str">
        <f>IFERROR(__xludf.DUMMYFUNCTION("""COMPUTED_VALUE"""),"")</f>
        <v/>
      </c>
      <c r="W11143" s="16" t="str">
        <f>IFERROR(__xludf.DUMMYFUNCTION("""COMPUTED_VALUE"""),"")</f>
        <v/>
      </c>
      <c r="X11143" s="16" t="str">
        <f>IFERROR(__xludf.DUMMYFUNCTION("""COMPUTED_VALUE"""),"")</f>
        <v/>
      </c>
      <c r="AC11143" s="16" t="str">
        <f>IFERROR(__xludf.DUMMYFUNCTION("""COMPUTED_VALUE"""),"")</f>
        <v/>
      </c>
    </row>
    <row r="11144">
      <c r="A11144" s="16" t="s">
        <v>87</v>
      </c>
      <c r="E11144" s="16" t="str">
        <f>IFERROR(__xludf.DUMMYFUNCTION("""COMPUTED_VALUE"""),"")</f>
        <v/>
      </c>
      <c r="G11144" s="18"/>
      <c r="H11144" s="16" t="s">
        <v>87</v>
      </c>
      <c r="I11144" s="16" t="s">
        <v>87</v>
      </c>
      <c r="J11144" s="19"/>
      <c r="L11144" s="16" t="str">
        <f>IFERROR(__xludf.DUMMYFUNCTION("""COMPUTED_VALUE"""),"")</f>
        <v/>
      </c>
      <c r="M11144" s="16" t="str">
        <f>IFERROR(__xludf.DUMMYFUNCTION("""COMPUTED_VALUE"""),"")</f>
        <v/>
      </c>
      <c r="U11144" s="16" t="s">
        <v>87</v>
      </c>
      <c r="V11144" s="16" t="str">
        <f>IFERROR(__xludf.DUMMYFUNCTION("""COMPUTED_VALUE"""),"")</f>
        <v/>
      </c>
      <c r="W11144" s="16" t="str">
        <f>IFERROR(__xludf.DUMMYFUNCTION("""COMPUTED_VALUE"""),"")</f>
        <v/>
      </c>
      <c r="X11144" s="16" t="str">
        <f>IFERROR(__xludf.DUMMYFUNCTION("""COMPUTED_VALUE"""),"")</f>
        <v/>
      </c>
      <c r="AC11144" s="16" t="str">
        <f>IFERROR(__xludf.DUMMYFUNCTION("""COMPUTED_VALUE"""),"")</f>
        <v/>
      </c>
    </row>
    <row r="11145">
      <c r="A11145" s="16" t="s">
        <v>87</v>
      </c>
      <c r="E11145" s="16" t="str">
        <f>IFERROR(__xludf.DUMMYFUNCTION("""COMPUTED_VALUE"""),"")</f>
        <v/>
      </c>
      <c r="G11145" s="18"/>
      <c r="H11145" s="16" t="s">
        <v>87</v>
      </c>
      <c r="I11145" s="16" t="s">
        <v>87</v>
      </c>
      <c r="J11145" s="19"/>
      <c r="L11145" s="16" t="str">
        <f>IFERROR(__xludf.DUMMYFUNCTION("""COMPUTED_VALUE"""),"")</f>
        <v/>
      </c>
      <c r="M11145" s="16" t="str">
        <f>IFERROR(__xludf.DUMMYFUNCTION("""COMPUTED_VALUE"""),"")</f>
        <v/>
      </c>
      <c r="U11145" s="16" t="s">
        <v>87</v>
      </c>
      <c r="V11145" s="16" t="str">
        <f>IFERROR(__xludf.DUMMYFUNCTION("""COMPUTED_VALUE"""),"")</f>
        <v/>
      </c>
      <c r="W11145" s="16" t="str">
        <f>IFERROR(__xludf.DUMMYFUNCTION("""COMPUTED_VALUE"""),"")</f>
        <v/>
      </c>
      <c r="X11145" s="16" t="str">
        <f>IFERROR(__xludf.DUMMYFUNCTION("""COMPUTED_VALUE"""),"")</f>
        <v/>
      </c>
      <c r="AC11145" s="16" t="str">
        <f>IFERROR(__xludf.DUMMYFUNCTION("""COMPUTED_VALUE"""),"")</f>
        <v/>
      </c>
    </row>
    <row r="11146">
      <c r="A11146" s="16" t="s">
        <v>87</v>
      </c>
      <c r="E11146" s="16" t="str">
        <f>IFERROR(__xludf.DUMMYFUNCTION("""COMPUTED_VALUE"""),"")</f>
        <v/>
      </c>
      <c r="G11146" s="18"/>
      <c r="H11146" s="16" t="s">
        <v>87</v>
      </c>
      <c r="I11146" s="16" t="s">
        <v>87</v>
      </c>
      <c r="J11146" s="19"/>
      <c r="L11146" s="16" t="str">
        <f>IFERROR(__xludf.DUMMYFUNCTION("""COMPUTED_VALUE"""),"")</f>
        <v/>
      </c>
      <c r="M11146" s="16" t="str">
        <f>IFERROR(__xludf.DUMMYFUNCTION("""COMPUTED_VALUE"""),"")</f>
        <v/>
      </c>
      <c r="U11146" s="16" t="s">
        <v>87</v>
      </c>
      <c r="V11146" s="16" t="str">
        <f>IFERROR(__xludf.DUMMYFUNCTION("""COMPUTED_VALUE"""),"")</f>
        <v/>
      </c>
      <c r="W11146" s="16" t="str">
        <f>IFERROR(__xludf.DUMMYFUNCTION("""COMPUTED_VALUE"""),"")</f>
        <v/>
      </c>
      <c r="X11146" s="16" t="str">
        <f>IFERROR(__xludf.DUMMYFUNCTION("""COMPUTED_VALUE"""),"")</f>
        <v/>
      </c>
      <c r="AC11146" s="16" t="str">
        <f>IFERROR(__xludf.DUMMYFUNCTION("""COMPUTED_VALUE"""),"")</f>
        <v/>
      </c>
    </row>
    <row r="11147">
      <c r="A11147" s="16" t="s">
        <v>87</v>
      </c>
      <c r="E11147" s="16" t="str">
        <f>IFERROR(__xludf.DUMMYFUNCTION("""COMPUTED_VALUE"""),"")</f>
        <v/>
      </c>
      <c r="G11147" s="18"/>
      <c r="H11147" s="16" t="s">
        <v>87</v>
      </c>
      <c r="I11147" s="16" t="s">
        <v>87</v>
      </c>
      <c r="J11147" s="19"/>
      <c r="L11147" s="16" t="str">
        <f>IFERROR(__xludf.DUMMYFUNCTION("""COMPUTED_VALUE"""),"")</f>
        <v/>
      </c>
      <c r="M11147" s="16" t="str">
        <f>IFERROR(__xludf.DUMMYFUNCTION("""COMPUTED_VALUE"""),"")</f>
        <v/>
      </c>
      <c r="U11147" s="16" t="s">
        <v>87</v>
      </c>
      <c r="V11147" s="16" t="str">
        <f>IFERROR(__xludf.DUMMYFUNCTION("""COMPUTED_VALUE"""),"")</f>
        <v/>
      </c>
      <c r="W11147" s="16" t="str">
        <f>IFERROR(__xludf.DUMMYFUNCTION("""COMPUTED_VALUE"""),"")</f>
        <v/>
      </c>
      <c r="X11147" s="16" t="str">
        <f>IFERROR(__xludf.DUMMYFUNCTION("""COMPUTED_VALUE"""),"")</f>
        <v/>
      </c>
      <c r="AC11147" s="16" t="str">
        <f>IFERROR(__xludf.DUMMYFUNCTION("""COMPUTED_VALUE"""),"")</f>
        <v/>
      </c>
    </row>
    <row r="11148">
      <c r="A11148" s="16" t="s">
        <v>87</v>
      </c>
      <c r="E11148" s="16" t="str">
        <f>IFERROR(__xludf.DUMMYFUNCTION("""COMPUTED_VALUE"""),"")</f>
        <v/>
      </c>
      <c r="G11148" s="18"/>
      <c r="H11148" s="16" t="s">
        <v>87</v>
      </c>
      <c r="I11148" s="16" t="s">
        <v>87</v>
      </c>
      <c r="J11148" s="19"/>
      <c r="L11148" s="16" t="str">
        <f>IFERROR(__xludf.DUMMYFUNCTION("""COMPUTED_VALUE"""),"")</f>
        <v/>
      </c>
      <c r="M11148" s="16" t="str">
        <f>IFERROR(__xludf.DUMMYFUNCTION("""COMPUTED_VALUE"""),"")</f>
        <v/>
      </c>
      <c r="U11148" s="16" t="s">
        <v>87</v>
      </c>
      <c r="V11148" s="16" t="str">
        <f>IFERROR(__xludf.DUMMYFUNCTION("""COMPUTED_VALUE"""),"")</f>
        <v/>
      </c>
      <c r="W11148" s="16" t="str">
        <f>IFERROR(__xludf.DUMMYFUNCTION("""COMPUTED_VALUE"""),"")</f>
        <v/>
      </c>
      <c r="X11148" s="16" t="str">
        <f>IFERROR(__xludf.DUMMYFUNCTION("""COMPUTED_VALUE"""),"")</f>
        <v/>
      </c>
      <c r="AC11148" s="16" t="str">
        <f>IFERROR(__xludf.DUMMYFUNCTION("""COMPUTED_VALUE"""),"")</f>
        <v/>
      </c>
    </row>
    <row r="11149">
      <c r="A11149" s="16" t="s">
        <v>87</v>
      </c>
      <c r="E11149" s="16" t="str">
        <f>IFERROR(__xludf.DUMMYFUNCTION("""COMPUTED_VALUE"""),"")</f>
        <v/>
      </c>
      <c r="G11149" s="18"/>
      <c r="H11149" s="16" t="s">
        <v>87</v>
      </c>
      <c r="I11149" s="16" t="s">
        <v>87</v>
      </c>
      <c r="J11149" s="19"/>
      <c r="L11149" s="16" t="str">
        <f>IFERROR(__xludf.DUMMYFUNCTION("""COMPUTED_VALUE"""),"")</f>
        <v/>
      </c>
      <c r="M11149" s="16" t="str">
        <f>IFERROR(__xludf.DUMMYFUNCTION("""COMPUTED_VALUE"""),"")</f>
        <v/>
      </c>
      <c r="U11149" s="16" t="s">
        <v>87</v>
      </c>
      <c r="V11149" s="16" t="str">
        <f>IFERROR(__xludf.DUMMYFUNCTION("""COMPUTED_VALUE"""),"")</f>
        <v/>
      </c>
      <c r="W11149" s="16" t="str">
        <f>IFERROR(__xludf.DUMMYFUNCTION("""COMPUTED_VALUE"""),"")</f>
        <v/>
      </c>
      <c r="X11149" s="16" t="str">
        <f>IFERROR(__xludf.DUMMYFUNCTION("""COMPUTED_VALUE"""),"")</f>
        <v/>
      </c>
      <c r="AC11149" s="16" t="str">
        <f>IFERROR(__xludf.DUMMYFUNCTION("""COMPUTED_VALUE"""),"")</f>
        <v/>
      </c>
    </row>
    <row r="11150">
      <c r="A11150" s="16" t="s">
        <v>87</v>
      </c>
      <c r="E11150" s="16" t="str">
        <f>IFERROR(__xludf.DUMMYFUNCTION("""COMPUTED_VALUE"""),"")</f>
        <v/>
      </c>
      <c r="G11150" s="18"/>
      <c r="H11150" s="16" t="s">
        <v>87</v>
      </c>
      <c r="I11150" s="16" t="s">
        <v>87</v>
      </c>
      <c r="J11150" s="19"/>
      <c r="L11150" s="16" t="str">
        <f>IFERROR(__xludf.DUMMYFUNCTION("""COMPUTED_VALUE"""),"")</f>
        <v/>
      </c>
      <c r="M11150" s="16" t="str">
        <f>IFERROR(__xludf.DUMMYFUNCTION("""COMPUTED_VALUE"""),"")</f>
        <v/>
      </c>
      <c r="U11150" s="16" t="s">
        <v>87</v>
      </c>
      <c r="V11150" s="16" t="str">
        <f>IFERROR(__xludf.DUMMYFUNCTION("""COMPUTED_VALUE"""),"")</f>
        <v/>
      </c>
      <c r="W11150" s="16" t="str">
        <f>IFERROR(__xludf.DUMMYFUNCTION("""COMPUTED_VALUE"""),"")</f>
        <v/>
      </c>
      <c r="X11150" s="16" t="str">
        <f>IFERROR(__xludf.DUMMYFUNCTION("""COMPUTED_VALUE"""),"")</f>
        <v/>
      </c>
      <c r="AC11150" s="16" t="str">
        <f>IFERROR(__xludf.DUMMYFUNCTION("""COMPUTED_VALUE"""),"")</f>
        <v/>
      </c>
    </row>
    <row r="11151">
      <c r="A11151" s="16" t="s">
        <v>87</v>
      </c>
      <c r="E11151" s="16" t="str">
        <f>IFERROR(__xludf.DUMMYFUNCTION("""COMPUTED_VALUE"""),"")</f>
        <v/>
      </c>
      <c r="G11151" s="18"/>
      <c r="H11151" s="16" t="s">
        <v>87</v>
      </c>
      <c r="I11151" s="16" t="s">
        <v>87</v>
      </c>
      <c r="J11151" s="19"/>
      <c r="L11151" s="16" t="str">
        <f>IFERROR(__xludf.DUMMYFUNCTION("""COMPUTED_VALUE"""),"")</f>
        <v/>
      </c>
      <c r="M11151" s="16" t="str">
        <f>IFERROR(__xludf.DUMMYFUNCTION("""COMPUTED_VALUE"""),"")</f>
        <v/>
      </c>
      <c r="U11151" s="16" t="s">
        <v>87</v>
      </c>
      <c r="V11151" s="16" t="str">
        <f>IFERROR(__xludf.DUMMYFUNCTION("""COMPUTED_VALUE"""),"")</f>
        <v/>
      </c>
      <c r="W11151" s="16" t="str">
        <f>IFERROR(__xludf.DUMMYFUNCTION("""COMPUTED_VALUE"""),"")</f>
        <v/>
      </c>
      <c r="X11151" s="16" t="str">
        <f>IFERROR(__xludf.DUMMYFUNCTION("""COMPUTED_VALUE"""),"")</f>
        <v/>
      </c>
      <c r="AC11151" s="16" t="str">
        <f>IFERROR(__xludf.DUMMYFUNCTION("""COMPUTED_VALUE"""),"")</f>
        <v/>
      </c>
    </row>
    <row r="11152">
      <c r="A11152" s="16" t="s">
        <v>87</v>
      </c>
      <c r="E11152" s="16" t="str">
        <f>IFERROR(__xludf.DUMMYFUNCTION("""COMPUTED_VALUE"""),"")</f>
        <v/>
      </c>
      <c r="G11152" s="18"/>
      <c r="H11152" s="16" t="s">
        <v>87</v>
      </c>
      <c r="I11152" s="16" t="s">
        <v>87</v>
      </c>
      <c r="J11152" s="19"/>
      <c r="L11152" s="16" t="str">
        <f>IFERROR(__xludf.DUMMYFUNCTION("""COMPUTED_VALUE"""),"")</f>
        <v/>
      </c>
      <c r="M11152" s="16" t="str">
        <f>IFERROR(__xludf.DUMMYFUNCTION("""COMPUTED_VALUE"""),"")</f>
        <v/>
      </c>
      <c r="U11152" s="16" t="s">
        <v>87</v>
      </c>
      <c r="V11152" s="16" t="str">
        <f>IFERROR(__xludf.DUMMYFUNCTION("""COMPUTED_VALUE"""),"")</f>
        <v/>
      </c>
      <c r="W11152" s="16" t="str">
        <f>IFERROR(__xludf.DUMMYFUNCTION("""COMPUTED_VALUE"""),"")</f>
        <v/>
      </c>
      <c r="X11152" s="16" t="str">
        <f>IFERROR(__xludf.DUMMYFUNCTION("""COMPUTED_VALUE"""),"")</f>
        <v/>
      </c>
      <c r="AC11152" s="16" t="str">
        <f>IFERROR(__xludf.DUMMYFUNCTION("""COMPUTED_VALUE"""),"")</f>
        <v/>
      </c>
    </row>
    <row r="11153">
      <c r="A11153" s="16" t="s">
        <v>87</v>
      </c>
      <c r="E11153" s="16" t="str">
        <f>IFERROR(__xludf.DUMMYFUNCTION("""COMPUTED_VALUE"""),"")</f>
        <v/>
      </c>
      <c r="G11153" s="18"/>
      <c r="H11153" s="16" t="s">
        <v>87</v>
      </c>
      <c r="I11153" s="16" t="s">
        <v>87</v>
      </c>
      <c r="J11153" s="19"/>
      <c r="L11153" s="16" t="str">
        <f>IFERROR(__xludf.DUMMYFUNCTION("""COMPUTED_VALUE"""),"")</f>
        <v/>
      </c>
      <c r="M11153" s="16" t="str">
        <f>IFERROR(__xludf.DUMMYFUNCTION("""COMPUTED_VALUE"""),"")</f>
        <v/>
      </c>
      <c r="U11153" s="16" t="s">
        <v>87</v>
      </c>
      <c r="V11153" s="16" t="str">
        <f>IFERROR(__xludf.DUMMYFUNCTION("""COMPUTED_VALUE"""),"")</f>
        <v/>
      </c>
      <c r="W11153" s="16" t="str">
        <f>IFERROR(__xludf.DUMMYFUNCTION("""COMPUTED_VALUE"""),"")</f>
        <v/>
      </c>
      <c r="X11153" s="16" t="str">
        <f>IFERROR(__xludf.DUMMYFUNCTION("""COMPUTED_VALUE"""),"")</f>
        <v/>
      </c>
      <c r="AC11153" s="16" t="str">
        <f>IFERROR(__xludf.DUMMYFUNCTION("""COMPUTED_VALUE"""),"")</f>
        <v/>
      </c>
    </row>
    <row r="11154">
      <c r="A11154" s="16" t="s">
        <v>87</v>
      </c>
      <c r="E11154" s="16" t="str">
        <f>IFERROR(__xludf.DUMMYFUNCTION("""COMPUTED_VALUE"""),"")</f>
        <v/>
      </c>
      <c r="G11154" s="18"/>
      <c r="H11154" s="16" t="s">
        <v>87</v>
      </c>
      <c r="I11154" s="16" t="s">
        <v>87</v>
      </c>
      <c r="J11154" s="19"/>
      <c r="L11154" s="16" t="str">
        <f>IFERROR(__xludf.DUMMYFUNCTION("""COMPUTED_VALUE"""),"")</f>
        <v/>
      </c>
      <c r="M11154" s="16" t="str">
        <f>IFERROR(__xludf.DUMMYFUNCTION("""COMPUTED_VALUE"""),"")</f>
        <v/>
      </c>
      <c r="U11154" s="16" t="s">
        <v>87</v>
      </c>
      <c r="V11154" s="16" t="str">
        <f>IFERROR(__xludf.DUMMYFUNCTION("""COMPUTED_VALUE"""),"")</f>
        <v/>
      </c>
      <c r="W11154" s="16" t="str">
        <f>IFERROR(__xludf.DUMMYFUNCTION("""COMPUTED_VALUE"""),"")</f>
        <v/>
      </c>
      <c r="X11154" s="16" t="str">
        <f>IFERROR(__xludf.DUMMYFUNCTION("""COMPUTED_VALUE"""),"")</f>
        <v/>
      </c>
      <c r="AC11154" s="16" t="str">
        <f>IFERROR(__xludf.DUMMYFUNCTION("""COMPUTED_VALUE"""),"")</f>
        <v/>
      </c>
    </row>
    <row r="11155">
      <c r="A11155" s="16" t="s">
        <v>87</v>
      </c>
      <c r="E11155" s="16" t="str">
        <f>IFERROR(__xludf.DUMMYFUNCTION("""COMPUTED_VALUE"""),"")</f>
        <v/>
      </c>
      <c r="G11155" s="18"/>
      <c r="H11155" s="16" t="s">
        <v>87</v>
      </c>
      <c r="I11155" s="16" t="s">
        <v>87</v>
      </c>
      <c r="J11155" s="19"/>
      <c r="L11155" s="16" t="str">
        <f>IFERROR(__xludf.DUMMYFUNCTION("""COMPUTED_VALUE"""),"")</f>
        <v/>
      </c>
      <c r="M11155" s="16" t="str">
        <f>IFERROR(__xludf.DUMMYFUNCTION("""COMPUTED_VALUE"""),"")</f>
        <v/>
      </c>
      <c r="U11155" s="16" t="s">
        <v>87</v>
      </c>
      <c r="V11155" s="16" t="str">
        <f>IFERROR(__xludf.DUMMYFUNCTION("""COMPUTED_VALUE"""),"")</f>
        <v/>
      </c>
      <c r="W11155" s="16" t="str">
        <f>IFERROR(__xludf.DUMMYFUNCTION("""COMPUTED_VALUE"""),"")</f>
        <v/>
      </c>
      <c r="X11155" s="16" t="str">
        <f>IFERROR(__xludf.DUMMYFUNCTION("""COMPUTED_VALUE"""),"")</f>
        <v/>
      </c>
      <c r="AC11155" s="16" t="str">
        <f>IFERROR(__xludf.DUMMYFUNCTION("""COMPUTED_VALUE"""),"")</f>
        <v/>
      </c>
    </row>
    <row r="11156">
      <c r="A11156" s="16" t="s">
        <v>87</v>
      </c>
      <c r="E11156" s="16" t="str">
        <f>IFERROR(__xludf.DUMMYFUNCTION("""COMPUTED_VALUE"""),"")</f>
        <v/>
      </c>
      <c r="G11156" s="18"/>
      <c r="H11156" s="16" t="s">
        <v>87</v>
      </c>
      <c r="I11156" s="16" t="s">
        <v>87</v>
      </c>
      <c r="J11156" s="19"/>
      <c r="L11156" s="16" t="str">
        <f>IFERROR(__xludf.DUMMYFUNCTION("""COMPUTED_VALUE"""),"")</f>
        <v/>
      </c>
      <c r="M11156" s="16" t="str">
        <f>IFERROR(__xludf.DUMMYFUNCTION("""COMPUTED_VALUE"""),"")</f>
        <v/>
      </c>
      <c r="U11156" s="16" t="s">
        <v>87</v>
      </c>
      <c r="V11156" s="16" t="str">
        <f>IFERROR(__xludf.DUMMYFUNCTION("""COMPUTED_VALUE"""),"")</f>
        <v/>
      </c>
      <c r="W11156" s="16" t="str">
        <f>IFERROR(__xludf.DUMMYFUNCTION("""COMPUTED_VALUE"""),"")</f>
        <v/>
      </c>
      <c r="X11156" s="16" t="str">
        <f>IFERROR(__xludf.DUMMYFUNCTION("""COMPUTED_VALUE"""),"")</f>
        <v/>
      </c>
      <c r="AC11156" s="16" t="str">
        <f>IFERROR(__xludf.DUMMYFUNCTION("""COMPUTED_VALUE"""),"")</f>
        <v/>
      </c>
    </row>
    <row r="11157">
      <c r="A11157" s="16" t="s">
        <v>87</v>
      </c>
      <c r="E11157" s="16" t="str">
        <f>IFERROR(__xludf.DUMMYFUNCTION("""COMPUTED_VALUE"""),"")</f>
        <v/>
      </c>
      <c r="G11157" s="18"/>
      <c r="H11157" s="16" t="s">
        <v>87</v>
      </c>
      <c r="I11157" s="16" t="s">
        <v>87</v>
      </c>
      <c r="J11157" s="19"/>
      <c r="L11157" s="16" t="str">
        <f>IFERROR(__xludf.DUMMYFUNCTION("""COMPUTED_VALUE"""),"")</f>
        <v/>
      </c>
      <c r="M11157" s="16" t="str">
        <f>IFERROR(__xludf.DUMMYFUNCTION("""COMPUTED_VALUE"""),"")</f>
        <v/>
      </c>
      <c r="U11157" s="16" t="s">
        <v>87</v>
      </c>
      <c r="V11157" s="16" t="str">
        <f>IFERROR(__xludf.DUMMYFUNCTION("""COMPUTED_VALUE"""),"")</f>
        <v/>
      </c>
      <c r="W11157" s="16" t="str">
        <f>IFERROR(__xludf.DUMMYFUNCTION("""COMPUTED_VALUE"""),"")</f>
        <v/>
      </c>
      <c r="X11157" s="16" t="str">
        <f>IFERROR(__xludf.DUMMYFUNCTION("""COMPUTED_VALUE"""),"")</f>
        <v/>
      </c>
      <c r="AC11157" s="16" t="str">
        <f>IFERROR(__xludf.DUMMYFUNCTION("""COMPUTED_VALUE"""),"")</f>
        <v/>
      </c>
    </row>
    <row r="11158">
      <c r="A11158" s="16" t="s">
        <v>87</v>
      </c>
      <c r="E11158" s="16" t="str">
        <f>IFERROR(__xludf.DUMMYFUNCTION("""COMPUTED_VALUE"""),"")</f>
        <v/>
      </c>
      <c r="G11158" s="18"/>
      <c r="H11158" s="16" t="s">
        <v>87</v>
      </c>
      <c r="I11158" s="16" t="s">
        <v>87</v>
      </c>
      <c r="J11158" s="19"/>
      <c r="L11158" s="16" t="str">
        <f>IFERROR(__xludf.DUMMYFUNCTION("""COMPUTED_VALUE"""),"")</f>
        <v/>
      </c>
      <c r="M11158" s="16" t="str">
        <f>IFERROR(__xludf.DUMMYFUNCTION("""COMPUTED_VALUE"""),"")</f>
        <v/>
      </c>
      <c r="U11158" s="16" t="s">
        <v>87</v>
      </c>
      <c r="V11158" s="16" t="str">
        <f>IFERROR(__xludf.DUMMYFUNCTION("""COMPUTED_VALUE"""),"")</f>
        <v/>
      </c>
      <c r="W11158" s="16" t="str">
        <f>IFERROR(__xludf.DUMMYFUNCTION("""COMPUTED_VALUE"""),"")</f>
        <v/>
      </c>
      <c r="X11158" s="16" t="str">
        <f>IFERROR(__xludf.DUMMYFUNCTION("""COMPUTED_VALUE"""),"")</f>
        <v/>
      </c>
      <c r="AC11158" s="16" t="str">
        <f>IFERROR(__xludf.DUMMYFUNCTION("""COMPUTED_VALUE"""),"")</f>
        <v/>
      </c>
    </row>
    <row r="11159">
      <c r="A11159" s="16" t="s">
        <v>87</v>
      </c>
      <c r="E11159" s="16" t="str">
        <f>IFERROR(__xludf.DUMMYFUNCTION("""COMPUTED_VALUE"""),"")</f>
        <v/>
      </c>
      <c r="G11159" s="18"/>
      <c r="H11159" s="16" t="s">
        <v>87</v>
      </c>
      <c r="I11159" s="16" t="s">
        <v>87</v>
      </c>
      <c r="J11159" s="19"/>
      <c r="L11159" s="16" t="str">
        <f>IFERROR(__xludf.DUMMYFUNCTION("""COMPUTED_VALUE"""),"")</f>
        <v/>
      </c>
      <c r="M11159" s="16" t="str">
        <f>IFERROR(__xludf.DUMMYFUNCTION("""COMPUTED_VALUE"""),"")</f>
        <v/>
      </c>
      <c r="U11159" s="16" t="s">
        <v>87</v>
      </c>
      <c r="V11159" s="16" t="str">
        <f>IFERROR(__xludf.DUMMYFUNCTION("""COMPUTED_VALUE"""),"")</f>
        <v/>
      </c>
      <c r="W11159" s="16" t="str">
        <f>IFERROR(__xludf.DUMMYFUNCTION("""COMPUTED_VALUE"""),"")</f>
        <v/>
      </c>
      <c r="X11159" s="16" t="str">
        <f>IFERROR(__xludf.DUMMYFUNCTION("""COMPUTED_VALUE"""),"")</f>
        <v/>
      </c>
      <c r="AC11159" s="16" t="str">
        <f>IFERROR(__xludf.DUMMYFUNCTION("""COMPUTED_VALUE"""),"")</f>
        <v/>
      </c>
    </row>
    <row r="11160">
      <c r="A11160" s="16" t="s">
        <v>87</v>
      </c>
      <c r="E11160" s="16" t="str">
        <f>IFERROR(__xludf.DUMMYFUNCTION("""COMPUTED_VALUE"""),"")</f>
        <v/>
      </c>
      <c r="G11160" s="18"/>
      <c r="H11160" s="16" t="s">
        <v>87</v>
      </c>
      <c r="I11160" s="16" t="s">
        <v>87</v>
      </c>
      <c r="J11160" s="19"/>
      <c r="L11160" s="16" t="str">
        <f>IFERROR(__xludf.DUMMYFUNCTION("""COMPUTED_VALUE"""),"")</f>
        <v/>
      </c>
      <c r="M11160" s="16" t="str">
        <f>IFERROR(__xludf.DUMMYFUNCTION("""COMPUTED_VALUE"""),"")</f>
        <v/>
      </c>
      <c r="U11160" s="16" t="s">
        <v>87</v>
      </c>
      <c r="V11160" s="16" t="str">
        <f>IFERROR(__xludf.DUMMYFUNCTION("""COMPUTED_VALUE"""),"")</f>
        <v/>
      </c>
      <c r="W11160" s="16" t="str">
        <f>IFERROR(__xludf.DUMMYFUNCTION("""COMPUTED_VALUE"""),"")</f>
        <v/>
      </c>
      <c r="X11160" s="16" t="str">
        <f>IFERROR(__xludf.DUMMYFUNCTION("""COMPUTED_VALUE"""),"")</f>
        <v/>
      </c>
      <c r="AC11160" s="16" t="str">
        <f>IFERROR(__xludf.DUMMYFUNCTION("""COMPUTED_VALUE"""),"")</f>
        <v/>
      </c>
    </row>
    <row r="11161">
      <c r="A11161" s="16" t="s">
        <v>87</v>
      </c>
      <c r="E11161" s="16" t="str">
        <f>IFERROR(__xludf.DUMMYFUNCTION("""COMPUTED_VALUE"""),"")</f>
        <v/>
      </c>
      <c r="G11161" s="18"/>
      <c r="H11161" s="16" t="s">
        <v>87</v>
      </c>
      <c r="I11161" s="16" t="s">
        <v>87</v>
      </c>
      <c r="J11161" s="19"/>
      <c r="L11161" s="16" t="str">
        <f>IFERROR(__xludf.DUMMYFUNCTION("""COMPUTED_VALUE"""),"")</f>
        <v/>
      </c>
      <c r="M11161" s="16" t="str">
        <f>IFERROR(__xludf.DUMMYFUNCTION("""COMPUTED_VALUE"""),"")</f>
        <v/>
      </c>
      <c r="U11161" s="16" t="s">
        <v>87</v>
      </c>
      <c r="V11161" s="16" t="str">
        <f>IFERROR(__xludf.DUMMYFUNCTION("""COMPUTED_VALUE"""),"")</f>
        <v/>
      </c>
      <c r="W11161" s="16" t="str">
        <f>IFERROR(__xludf.DUMMYFUNCTION("""COMPUTED_VALUE"""),"")</f>
        <v/>
      </c>
      <c r="X11161" s="16" t="str">
        <f>IFERROR(__xludf.DUMMYFUNCTION("""COMPUTED_VALUE"""),"")</f>
        <v/>
      </c>
      <c r="AC11161" s="16" t="str">
        <f>IFERROR(__xludf.DUMMYFUNCTION("""COMPUTED_VALUE"""),"")</f>
        <v/>
      </c>
    </row>
    <row r="11162">
      <c r="A11162" s="16" t="s">
        <v>87</v>
      </c>
      <c r="E11162" s="16" t="str">
        <f>IFERROR(__xludf.DUMMYFUNCTION("""COMPUTED_VALUE"""),"")</f>
        <v/>
      </c>
      <c r="G11162" s="18"/>
      <c r="H11162" s="16" t="s">
        <v>87</v>
      </c>
      <c r="I11162" s="16" t="s">
        <v>87</v>
      </c>
      <c r="J11162" s="19"/>
      <c r="L11162" s="16" t="str">
        <f>IFERROR(__xludf.DUMMYFUNCTION("""COMPUTED_VALUE"""),"")</f>
        <v/>
      </c>
      <c r="M11162" s="16" t="str">
        <f>IFERROR(__xludf.DUMMYFUNCTION("""COMPUTED_VALUE"""),"")</f>
        <v/>
      </c>
      <c r="U11162" s="16" t="s">
        <v>87</v>
      </c>
      <c r="V11162" s="16" t="str">
        <f>IFERROR(__xludf.DUMMYFUNCTION("""COMPUTED_VALUE"""),"")</f>
        <v/>
      </c>
      <c r="W11162" s="16" t="str">
        <f>IFERROR(__xludf.DUMMYFUNCTION("""COMPUTED_VALUE"""),"")</f>
        <v/>
      </c>
      <c r="X11162" s="16" t="str">
        <f>IFERROR(__xludf.DUMMYFUNCTION("""COMPUTED_VALUE"""),"")</f>
        <v/>
      </c>
      <c r="AC11162" s="16" t="str">
        <f>IFERROR(__xludf.DUMMYFUNCTION("""COMPUTED_VALUE"""),"")</f>
        <v/>
      </c>
    </row>
    <row r="11163">
      <c r="A11163" s="16" t="s">
        <v>87</v>
      </c>
      <c r="E11163" s="16" t="str">
        <f>IFERROR(__xludf.DUMMYFUNCTION("""COMPUTED_VALUE"""),"")</f>
        <v/>
      </c>
      <c r="G11163" s="18"/>
      <c r="H11163" s="16" t="s">
        <v>87</v>
      </c>
      <c r="I11163" s="16" t="s">
        <v>87</v>
      </c>
      <c r="J11163" s="19"/>
      <c r="L11163" s="16" t="str">
        <f>IFERROR(__xludf.DUMMYFUNCTION("""COMPUTED_VALUE"""),"")</f>
        <v/>
      </c>
      <c r="M11163" s="16" t="str">
        <f>IFERROR(__xludf.DUMMYFUNCTION("""COMPUTED_VALUE"""),"")</f>
        <v/>
      </c>
      <c r="U11163" s="16" t="s">
        <v>87</v>
      </c>
      <c r="V11163" s="16" t="str">
        <f>IFERROR(__xludf.DUMMYFUNCTION("""COMPUTED_VALUE"""),"")</f>
        <v/>
      </c>
      <c r="W11163" s="16" t="str">
        <f>IFERROR(__xludf.DUMMYFUNCTION("""COMPUTED_VALUE"""),"")</f>
        <v/>
      </c>
      <c r="X11163" s="16" t="str">
        <f>IFERROR(__xludf.DUMMYFUNCTION("""COMPUTED_VALUE"""),"")</f>
        <v/>
      </c>
      <c r="AC11163" s="16" t="str">
        <f>IFERROR(__xludf.DUMMYFUNCTION("""COMPUTED_VALUE"""),"")</f>
        <v/>
      </c>
    </row>
    <row r="11164">
      <c r="A11164" s="16" t="s">
        <v>87</v>
      </c>
      <c r="E11164" s="16" t="str">
        <f>IFERROR(__xludf.DUMMYFUNCTION("""COMPUTED_VALUE"""),"")</f>
        <v/>
      </c>
      <c r="G11164" s="18"/>
      <c r="H11164" s="16" t="s">
        <v>87</v>
      </c>
      <c r="I11164" s="16" t="s">
        <v>87</v>
      </c>
      <c r="J11164" s="19"/>
      <c r="L11164" s="16" t="str">
        <f>IFERROR(__xludf.DUMMYFUNCTION("""COMPUTED_VALUE"""),"")</f>
        <v/>
      </c>
      <c r="M11164" s="16" t="str">
        <f>IFERROR(__xludf.DUMMYFUNCTION("""COMPUTED_VALUE"""),"")</f>
        <v/>
      </c>
      <c r="U11164" s="16" t="s">
        <v>87</v>
      </c>
      <c r="V11164" s="16" t="str">
        <f>IFERROR(__xludf.DUMMYFUNCTION("""COMPUTED_VALUE"""),"")</f>
        <v/>
      </c>
      <c r="W11164" s="16" t="str">
        <f>IFERROR(__xludf.DUMMYFUNCTION("""COMPUTED_VALUE"""),"")</f>
        <v/>
      </c>
      <c r="X11164" s="16" t="str">
        <f>IFERROR(__xludf.DUMMYFUNCTION("""COMPUTED_VALUE"""),"")</f>
        <v/>
      </c>
      <c r="AC11164" s="16" t="str">
        <f>IFERROR(__xludf.DUMMYFUNCTION("""COMPUTED_VALUE"""),"")</f>
        <v/>
      </c>
    </row>
    <row r="11165">
      <c r="A11165" s="16" t="s">
        <v>87</v>
      </c>
      <c r="E11165" s="16" t="str">
        <f>IFERROR(__xludf.DUMMYFUNCTION("""COMPUTED_VALUE"""),"")</f>
        <v/>
      </c>
      <c r="G11165" s="18"/>
      <c r="H11165" s="16" t="s">
        <v>87</v>
      </c>
      <c r="I11165" s="16" t="s">
        <v>87</v>
      </c>
      <c r="J11165" s="19"/>
      <c r="L11165" s="16" t="str">
        <f>IFERROR(__xludf.DUMMYFUNCTION("""COMPUTED_VALUE"""),"")</f>
        <v/>
      </c>
      <c r="M11165" s="16" t="str">
        <f>IFERROR(__xludf.DUMMYFUNCTION("""COMPUTED_VALUE"""),"")</f>
        <v/>
      </c>
      <c r="U11165" s="16" t="s">
        <v>87</v>
      </c>
      <c r="V11165" s="16" t="str">
        <f>IFERROR(__xludf.DUMMYFUNCTION("""COMPUTED_VALUE"""),"")</f>
        <v/>
      </c>
      <c r="W11165" s="16" t="str">
        <f>IFERROR(__xludf.DUMMYFUNCTION("""COMPUTED_VALUE"""),"")</f>
        <v/>
      </c>
      <c r="X11165" s="16" t="str">
        <f>IFERROR(__xludf.DUMMYFUNCTION("""COMPUTED_VALUE"""),"")</f>
        <v/>
      </c>
      <c r="AC11165" s="16" t="str">
        <f>IFERROR(__xludf.DUMMYFUNCTION("""COMPUTED_VALUE"""),"")</f>
        <v/>
      </c>
    </row>
    <row r="11166">
      <c r="A11166" s="16" t="s">
        <v>87</v>
      </c>
      <c r="E11166" s="16" t="str">
        <f>IFERROR(__xludf.DUMMYFUNCTION("""COMPUTED_VALUE"""),"")</f>
        <v/>
      </c>
      <c r="G11166" s="18"/>
      <c r="H11166" s="16" t="s">
        <v>87</v>
      </c>
      <c r="I11166" s="16" t="s">
        <v>87</v>
      </c>
      <c r="J11166" s="19"/>
      <c r="L11166" s="16" t="str">
        <f>IFERROR(__xludf.DUMMYFUNCTION("""COMPUTED_VALUE"""),"")</f>
        <v/>
      </c>
      <c r="M11166" s="16" t="str">
        <f>IFERROR(__xludf.DUMMYFUNCTION("""COMPUTED_VALUE"""),"")</f>
        <v/>
      </c>
      <c r="U11166" s="16" t="s">
        <v>87</v>
      </c>
      <c r="V11166" s="16" t="str">
        <f>IFERROR(__xludf.DUMMYFUNCTION("""COMPUTED_VALUE"""),"")</f>
        <v/>
      </c>
      <c r="W11166" s="16" t="str">
        <f>IFERROR(__xludf.DUMMYFUNCTION("""COMPUTED_VALUE"""),"")</f>
        <v/>
      </c>
      <c r="X11166" s="16" t="str">
        <f>IFERROR(__xludf.DUMMYFUNCTION("""COMPUTED_VALUE"""),"")</f>
        <v/>
      </c>
      <c r="AC11166" s="16" t="str">
        <f>IFERROR(__xludf.DUMMYFUNCTION("""COMPUTED_VALUE"""),"")</f>
        <v/>
      </c>
    </row>
    <row r="11167">
      <c r="A11167" s="16" t="s">
        <v>87</v>
      </c>
      <c r="E11167" s="16" t="str">
        <f>IFERROR(__xludf.DUMMYFUNCTION("""COMPUTED_VALUE"""),"")</f>
        <v/>
      </c>
      <c r="G11167" s="18"/>
      <c r="H11167" s="16" t="s">
        <v>87</v>
      </c>
      <c r="I11167" s="16" t="s">
        <v>87</v>
      </c>
      <c r="J11167" s="19"/>
      <c r="L11167" s="16" t="str">
        <f>IFERROR(__xludf.DUMMYFUNCTION("""COMPUTED_VALUE"""),"")</f>
        <v/>
      </c>
      <c r="M11167" s="16" t="str">
        <f>IFERROR(__xludf.DUMMYFUNCTION("""COMPUTED_VALUE"""),"")</f>
        <v/>
      </c>
      <c r="U11167" s="16" t="s">
        <v>87</v>
      </c>
      <c r="V11167" s="16" t="str">
        <f>IFERROR(__xludf.DUMMYFUNCTION("""COMPUTED_VALUE"""),"")</f>
        <v/>
      </c>
      <c r="W11167" s="16" t="str">
        <f>IFERROR(__xludf.DUMMYFUNCTION("""COMPUTED_VALUE"""),"")</f>
        <v/>
      </c>
      <c r="X11167" s="16" t="str">
        <f>IFERROR(__xludf.DUMMYFUNCTION("""COMPUTED_VALUE"""),"")</f>
        <v/>
      </c>
      <c r="AC11167" s="16" t="str">
        <f>IFERROR(__xludf.DUMMYFUNCTION("""COMPUTED_VALUE"""),"")</f>
        <v/>
      </c>
    </row>
    <row r="11168">
      <c r="A11168" s="16" t="s">
        <v>87</v>
      </c>
      <c r="E11168" s="16" t="str">
        <f>IFERROR(__xludf.DUMMYFUNCTION("""COMPUTED_VALUE"""),"")</f>
        <v/>
      </c>
      <c r="G11168" s="18"/>
      <c r="H11168" s="16" t="s">
        <v>87</v>
      </c>
      <c r="I11168" s="16" t="s">
        <v>87</v>
      </c>
      <c r="J11168" s="19"/>
      <c r="L11168" s="16" t="str">
        <f>IFERROR(__xludf.DUMMYFUNCTION("""COMPUTED_VALUE"""),"")</f>
        <v/>
      </c>
      <c r="M11168" s="16" t="str">
        <f>IFERROR(__xludf.DUMMYFUNCTION("""COMPUTED_VALUE"""),"")</f>
        <v/>
      </c>
      <c r="U11168" s="16" t="s">
        <v>87</v>
      </c>
      <c r="V11168" s="16" t="str">
        <f>IFERROR(__xludf.DUMMYFUNCTION("""COMPUTED_VALUE"""),"")</f>
        <v/>
      </c>
      <c r="W11168" s="16" t="str">
        <f>IFERROR(__xludf.DUMMYFUNCTION("""COMPUTED_VALUE"""),"")</f>
        <v/>
      </c>
      <c r="X11168" s="16" t="str">
        <f>IFERROR(__xludf.DUMMYFUNCTION("""COMPUTED_VALUE"""),"")</f>
        <v/>
      </c>
      <c r="AC11168" s="16" t="str">
        <f>IFERROR(__xludf.DUMMYFUNCTION("""COMPUTED_VALUE"""),"")</f>
        <v/>
      </c>
    </row>
    <row r="11169">
      <c r="A11169" s="16" t="s">
        <v>87</v>
      </c>
      <c r="E11169" s="16" t="str">
        <f>IFERROR(__xludf.DUMMYFUNCTION("""COMPUTED_VALUE"""),"")</f>
        <v/>
      </c>
      <c r="G11169" s="18"/>
      <c r="H11169" s="16" t="s">
        <v>87</v>
      </c>
      <c r="I11169" s="16" t="s">
        <v>87</v>
      </c>
      <c r="J11169" s="19"/>
      <c r="L11169" s="16" t="str">
        <f>IFERROR(__xludf.DUMMYFUNCTION("""COMPUTED_VALUE"""),"")</f>
        <v/>
      </c>
      <c r="M11169" s="16" t="str">
        <f>IFERROR(__xludf.DUMMYFUNCTION("""COMPUTED_VALUE"""),"")</f>
        <v/>
      </c>
      <c r="U11169" s="16" t="s">
        <v>87</v>
      </c>
      <c r="V11169" s="16" t="str">
        <f>IFERROR(__xludf.DUMMYFUNCTION("""COMPUTED_VALUE"""),"")</f>
        <v/>
      </c>
      <c r="W11169" s="16" t="str">
        <f>IFERROR(__xludf.DUMMYFUNCTION("""COMPUTED_VALUE"""),"")</f>
        <v/>
      </c>
      <c r="X11169" s="16" t="str">
        <f>IFERROR(__xludf.DUMMYFUNCTION("""COMPUTED_VALUE"""),"")</f>
        <v/>
      </c>
      <c r="AC11169" s="16" t="str">
        <f>IFERROR(__xludf.DUMMYFUNCTION("""COMPUTED_VALUE"""),"")</f>
        <v/>
      </c>
    </row>
    <row r="11170">
      <c r="A11170" s="16" t="s">
        <v>87</v>
      </c>
      <c r="E11170" s="16" t="str">
        <f>IFERROR(__xludf.DUMMYFUNCTION("""COMPUTED_VALUE"""),"")</f>
        <v/>
      </c>
      <c r="G11170" s="18"/>
      <c r="H11170" s="16" t="s">
        <v>87</v>
      </c>
      <c r="I11170" s="16" t="s">
        <v>87</v>
      </c>
      <c r="J11170" s="19"/>
      <c r="L11170" s="16" t="str">
        <f>IFERROR(__xludf.DUMMYFUNCTION("""COMPUTED_VALUE"""),"")</f>
        <v/>
      </c>
      <c r="M11170" s="16" t="str">
        <f>IFERROR(__xludf.DUMMYFUNCTION("""COMPUTED_VALUE"""),"")</f>
        <v/>
      </c>
      <c r="U11170" s="16" t="s">
        <v>87</v>
      </c>
      <c r="V11170" s="16" t="str">
        <f>IFERROR(__xludf.DUMMYFUNCTION("""COMPUTED_VALUE"""),"")</f>
        <v/>
      </c>
      <c r="W11170" s="16" t="str">
        <f>IFERROR(__xludf.DUMMYFUNCTION("""COMPUTED_VALUE"""),"")</f>
        <v/>
      </c>
      <c r="X11170" s="16" t="str">
        <f>IFERROR(__xludf.DUMMYFUNCTION("""COMPUTED_VALUE"""),"")</f>
        <v/>
      </c>
      <c r="AC11170" s="16" t="str">
        <f>IFERROR(__xludf.DUMMYFUNCTION("""COMPUTED_VALUE"""),"")</f>
        <v/>
      </c>
    </row>
    <row r="11171">
      <c r="A11171" s="16" t="s">
        <v>87</v>
      </c>
      <c r="E11171" s="16" t="str">
        <f>IFERROR(__xludf.DUMMYFUNCTION("""COMPUTED_VALUE"""),"")</f>
        <v/>
      </c>
      <c r="G11171" s="18"/>
      <c r="H11171" s="16" t="s">
        <v>87</v>
      </c>
      <c r="I11171" s="16" t="s">
        <v>87</v>
      </c>
      <c r="J11171" s="19"/>
      <c r="L11171" s="16" t="str">
        <f>IFERROR(__xludf.DUMMYFUNCTION("""COMPUTED_VALUE"""),"")</f>
        <v/>
      </c>
      <c r="M11171" s="16" t="str">
        <f>IFERROR(__xludf.DUMMYFUNCTION("""COMPUTED_VALUE"""),"")</f>
        <v/>
      </c>
      <c r="U11171" s="16" t="s">
        <v>87</v>
      </c>
      <c r="V11171" s="16" t="str">
        <f>IFERROR(__xludf.DUMMYFUNCTION("""COMPUTED_VALUE"""),"")</f>
        <v/>
      </c>
      <c r="W11171" s="16" t="str">
        <f>IFERROR(__xludf.DUMMYFUNCTION("""COMPUTED_VALUE"""),"")</f>
        <v/>
      </c>
      <c r="X11171" s="16" t="str">
        <f>IFERROR(__xludf.DUMMYFUNCTION("""COMPUTED_VALUE"""),"")</f>
        <v/>
      </c>
      <c r="AC11171" s="16" t="str">
        <f>IFERROR(__xludf.DUMMYFUNCTION("""COMPUTED_VALUE"""),"")</f>
        <v/>
      </c>
    </row>
    <row r="11172">
      <c r="A11172" s="16" t="s">
        <v>87</v>
      </c>
      <c r="E11172" s="16" t="str">
        <f>IFERROR(__xludf.DUMMYFUNCTION("""COMPUTED_VALUE"""),"")</f>
        <v/>
      </c>
      <c r="G11172" s="18"/>
      <c r="H11172" s="16" t="s">
        <v>87</v>
      </c>
      <c r="I11172" s="16" t="s">
        <v>87</v>
      </c>
      <c r="J11172" s="19"/>
      <c r="L11172" s="16" t="str">
        <f>IFERROR(__xludf.DUMMYFUNCTION("""COMPUTED_VALUE"""),"")</f>
        <v/>
      </c>
      <c r="M11172" s="16" t="str">
        <f>IFERROR(__xludf.DUMMYFUNCTION("""COMPUTED_VALUE"""),"")</f>
        <v/>
      </c>
      <c r="U11172" s="16" t="s">
        <v>87</v>
      </c>
      <c r="V11172" s="16" t="str">
        <f>IFERROR(__xludf.DUMMYFUNCTION("""COMPUTED_VALUE"""),"")</f>
        <v/>
      </c>
      <c r="W11172" s="16" t="str">
        <f>IFERROR(__xludf.DUMMYFUNCTION("""COMPUTED_VALUE"""),"")</f>
        <v/>
      </c>
      <c r="X11172" s="16" t="str">
        <f>IFERROR(__xludf.DUMMYFUNCTION("""COMPUTED_VALUE"""),"")</f>
        <v/>
      </c>
      <c r="AC11172" s="16" t="str">
        <f>IFERROR(__xludf.DUMMYFUNCTION("""COMPUTED_VALUE"""),"")</f>
        <v/>
      </c>
    </row>
    <row r="11173">
      <c r="A11173" s="16" t="s">
        <v>87</v>
      </c>
      <c r="E11173" s="16" t="str">
        <f>IFERROR(__xludf.DUMMYFUNCTION("""COMPUTED_VALUE"""),"")</f>
        <v/>
      </c>
      <c r="G11173" s="18"/>
      <c r="H11173" s="16" t="s">
        <v>87</v>
      </c>
      <c r="I11173" s="16" t="s">
        <v>87</v>
      </c>
      <c r="J11173" s="19"/>
      <c r="L11173" s="16" t="str">
        <f>IFERROR(__xludf.DUMMYFUNCTION("""COMPUTED_VALUE"""),"")</f>
        <v/>
      </c>
      <c r="M11173" s="16" t="str">
        <f>IFERROR(__xludf.DUMMYFUNCTION("""COMPUTED_VALUE"""),"")</f>
        <v/>
      </c>
      <c r="U11173" s="16" t="s">
        <v>87</v>
      </c>
      <c r="V11173" s="16" t="str">
        <f>IFERROR(__xludf.DUMMYFUNCTION("""COMPUTED_VALUE"""),"")</f>
        <v/>
      </c>
      <c r="W11173" s="16" t="str">
        <f>IFERROR(__xludf.DUMMYFUNCTION("""COMPUTED_VALUE"""),"")</f>
        <v/>
      </c>
      <c r="X11173" s="16" t="str">
        <f>IFERROR(__xludf.DUMMYFUNCTION("""COMPUTED_VALUE"""),"")</f>
        <v/>
      </c>
      <c r="AC11173" s="16" t="str">
        <f>IFERROR(__xludf.DUMMYFUNCTION("""COMPUTED_VALUE"""),"")</f>
        <v/>
      </c>
    </row>
    <row r="11174">
      <c r="A11174" s="16" t="s">
        <v>87</v>
      </c>
      <c r="E11174" s="16" t="str">
        <f>IFERROR(__xludf.DUMMYFUNCTION("""COMPUTED_VALUE"""),"")</f>
        <v/>
      </c>
      <c r="G11174" s="18"/>
      <c r="H11174" s="16" t="s">
        <v>87</v>
      </c>
      <c r="I11174" s="16" t="s">
        <v>87</v>
      </c>
      <c r="J11174" s="19"/>
      <c r="L11174" s="16" t="str">
        <f>IFERROR(__xludf.DUMMYFUNCTION("""COMPUTED_VALUE"""),"")</f>
        <v/>
      </c>
      <c r="M11174" s="16" t="str">
        <f>IFERROR(__xludf.DUMMYFUNCTION("""COMPUTED_VALUE"""),"")</f>
        <v/>
      </c>
      <c r="U11174" s="16" t="s">
        <v>87</v>
      </c>
      <c r="V11174" s="16" t="str">
        <f>IFERROR(__xludf.DUMMYFUNCTION("""COMPUTED_VALUE"""),"")</f>
        <v/>
      </c>
      <c r="W11174" s="16" t="str">
        <f>IFERROR(__xludf.DUMMYFUNCTION("""COMPUTED_VALUE"""),"")</f>
        <v/>
      </c>
      <c r="X11174" s="16" t="str">
        <f>IFERROR(__xludf.DUMMYFUNCTION("""COMPUTED_VALUE"""),"")</f>
        <v/>
      </c>
      <c r="AC11174" s="16" t="str">
        <f>IFERROR(__xludf.DUMMYFUNCTION("""COMPUTED_VALUE"""),"")</f>
        <v/>
      </c>
    </row>
    <row r="11175">
      <c r="A11175" s="16" t="s">
        <v>87</v>
      </c>
      <c r="E11175" s="16" t="str">
        <f>IFERROR(__xludf.DUMMYFUNCTION("""COMPUTED_VALUE"""),"")</f>
        <v/>
      </c>
      <c r="G11175" s="18"/>
      <c r="H11175" s="16" t="s">
        <v>87</v>
      </c>
      <c r="I11175" s="16" t="s">
        <v>87</v>
      </c>
      <c r="J11175" s="19"/>
      <c r="L11175" s="16" t="str">
        <f>IFERROR(__xludf.DUMMYFUNCTION("""COMPUTED_VALUE"""),"")</f>
        <v/>
      </c>
      <c r="M11175" s="16" t="str">
        <f>IFERROR(__xludf.DUMMYFUNCTION("""COMPUTED_VALUE"""),"")</f>
        <v/>
      </c>
      <c r="U11175" s="16" t="s">
        <v>87</v>
      </c>
      <c r="V11175" s="16" t="str">
        <f>IFERROR(__xludf.DUMMYFUNCTION("""COMPUTED_VALUE"""),"")</f>
        <v/>
      </c>
      <c r="W11175" s="16" t="str">
        <f>IFERROR(__xludf.DUMMYFUNCTION("""COMPUTED_VALUE"""),"")</f>
        <v/>
      </c>
      <c r="X11175" s="16" t="str">
        <f>IFERROR(__xludf.DUMMYFUNCTION("""COMPUTED_VALUE"""),"")</f>
        <v/>
      </c>
      <c r="AC11175" s="16" t="str">
        <f>IFERROR(__xludf.DUMMYFUNCTION("""COMPUTED_VALUE"""),"")</f>
        <v/>
      </c>
    </row>
    <row r="11176">
      <c r="A11176" s="16" t="s">
        <v>87</v>
      </c>
      <c r="E11176" s="16" t="str">
        <f>IFERROR(__xludf.DUMMYFUNCTION("""COMPUTED_VALUE"""),"")</f>
        <v/>
      </c>
      <c r="G11176" s="18"/>
      <c r="H11176" s="16" t="s">
        <v>87</v>
      </c>
      <c r="I11176" s="16" t="s">
        <v>87</v>
      </c>
      <c r="J11176" s="19"/>
      <c r="L11176" s="16" t="str">
        <f>IFERROR(__xludf.DUMMYFUNCTION("""COMPUTED_VALUE"""),"")</f>
        <v/>
      </c>
      <c r="M11176" s="16" t="str">
        <f>IFERROR(__xludf.DUMMYFUNCTION("""COMPUTED_VALUE"""),"")</f>
        <v/>
      </c>
      <c r="U11176" s="16" t="s">
        <v>87</v>
      </c>
      <c r="V11176" s="16" t="str">
        <f>IFERROR(__xludf.DUMMYFUNCTION("""COMPUTED_VALUE"""),"")</f>
        <v/>
      </c>
      <c r="W11176" s="16" t="str">
        <f>IFERROR(__xludf.DUMMYFUNCTION("""COMPUTED_VALUE"""),"")</f>
        <v/>
      </c>
      <c r="X11176" s="16" t="str">
        <f>IFERROR(__xludf.DUMMYFUNCTION("""COMPUTED_VALUE"""),"")</f>
        <v/>
      </c>
      <c r="AC11176" s="16" t="str">
        <f>IFERROR(__xludf.DUMMYFUNCTION("""COMPUTED_VALUE"""),"")</f>
        <v/>
      </c>
    </row>
    <row r="11177">
      <c r="A11177" s="16" t="s">
        <v>87</v>
      </c>
      <c r="E11177" s="16" t="str">
        <f>IFERROR(__xludf.DUMMYFUNCTION("""COMPUTED_VALUE"""),"")</f>
        <v/>
      </c>
      <c r="G11177" s="18"/>
      <c r="H11177" s="16" t="s">
        <v>87</v>
      </c>
      <c r="I11177" s="16" t="s">
        <v>87</v>
      </c>
      <c r="J11177" s="19"/>
      <c r="L11177" s="16" t="str">
        <f>IFERROR(__xludf.DUMMYFUNCTION("""COMPUTED_VALUE"""),"")</f>
        <v/>
      </c>
      <c r="M11177" s="16" t="str">
        <f>IFERROR(__xludf.DUMMYFUNCTION("""COMPUTED_VALUE"""),"")</f>
        <v/>
      </c>
      <c r="U11177" s="16" t="s">
        <v>87</v>
      </c>
      <c r="V11177" s="16" t="str">
        <f>IFERROR(__xludf.DUMMYFUNCTION("""COMPUTED_VALUE"""),"")</f>
        <v/>
      </c>
      <c r="W11177" s="16" t="str">
        <f>IFERROR(__xludf.DUMMYFUNCTION("""COMPUTED_VALUE"""),"")</f>
        <v/>
      </c>
      <c r="X11177" s="16" t="str">
        <f>IFERROR(__xludf.DUMMYFUNCTION("""COMPUTED_VALUE"""),"")</f>
        <v/>
      </c>
      <c r="AC11177" s="16" t="str">
        <f>IFERROR(__xludf.DUMMYFUNCTION("""COMPUTED_VALUE"""),"")</f>
        <v/>
      </c>
    </row>
    <row r="11178">
      <c r="A11178" s="16" t="s">
        <v>87</v>
      </c>
      <c r="E11178" s="16" t="str">
        <f>IFERROR(__xludf.DUMMYFUNCTION("""COMPUTED_VALUE"""),"")</f>
        <v/>
      </c>
      <c r="G11178" s="18"/>
      <c r="H11178" s="16" t="s">
        <v>87</v>
      </c>
      <c r="I11178" s="16" t="s">
        <v>87</v>
      </c>
      <c r="J11178" s="19"/>
      <c r="L11178" s="16" t="str">
        <f>IFERROR(__xludf.DUMMYFUNCTION("""COMPUTED_VALUE"""),"")</f>
        <v/>
      </c>
      <c r="M11178" s="16" t="str">
        <f>IFERROR(__xludf.DUMMYFUNCTION("""COMPUTED_VALUE"""),"")</f>
        <v/>
      </c>
      <c r="U11178" s="16" t="s">
        <v>87</v>
      </c>
      <c r="V11178" s="16" t="str">
        <f>IFERROR(__xludf.DUMMYFUNCTION("""COMPUTED_VALUE"""),"")</f>
        <v/>
      </c>
      <c r="W11178" s="16" t="str">
        <f>IFERROR(__xludf.DUMMYFUNCTION("""COMPUTED_VALUE"""),"")</f>
        <v/>
      </c>
      <c r="X11178" s="16" t="str">
        <f>IFERROR(__xludf.DUMMYFUNCTION("""COMPUTED_VALUE"""),"")</f>
        <v/>
      </c>
      <c r="AC11178" s="16" t="str">
        <f>IFERROR(__xludf.DUMMYFUNCTION("""COMPUTED_VALUE"""),"")</f>
        <v/>
      </c>
    </row>
    <row r="11179">
      <c r="A11179" s="16" t="s">
        <v>87</v>
      </c>
      <c r="E11179" s="16" t="str">
        <f>IFERROR(__xludf.DUMMYFUNCTION("""COMPUTED_VALUE"""),"")</f>
        <v/>
      </c>
      <c r="G11179" s="18"/>
      <c r="H11179" s="16" t="s">
        <v>87</v>
      </c>
      <c r="I11179" s="16" t="s">
        <v>87</v>
      </c>
      <c r="J11179" s="19"/>
      <c r="L11179" s="16" t="str">
        <f>IFERROR(__xludf.DUMMYFUNCTION("""COMPUTED_VALUE"""),"")</f>
        <v/>
      </c>
      <c r="M11179" s="16" t="str">
        <f>IFERROR(__xludf.DUMMYFUNCTION("""COMPUTED_VALUE"""),"")</f>
        <v/>
      </c>
      <c r="U11179" s="16" t="s">
        <v>87</v>
      </c>
      <c r="V11179" s="16" t="str">
        <f>IFERROR(__xludf.DUMMYFUNCTION("""COMPUTED_VALUE"""),"")</f>
        <v/>
      </c>
      <c r="W11179" s="16" t="str">
        <f>IFERROR(__xludf.DUMMYFUNCTION("""COMPUTED_VALUE"""),"")</f>
        <v/>
      </c>
      <c r="X11179" s="16" t="str">
        <f>IFERROR(__xludf.DUMMYFUNCTION("""COMPUTED_VALUE"""),"")</f>
        <v/>
      </c>
      <c r="AC11179" s="16" t="str">
        <f>IFERROR(__xludf.DUMMYFUNCTION("""COMPUTED_VALUE"""),"")</f>
        <v/>
      </c>
    </row>
    <row r="11180">
      <c r="A11180" s="16" t="s">
        <v>87</v>
      </c>
      <c r="E11180" s="16" t="str">
        <f>IFERROR(__xludf.DUMMYFUNCTION("""COMPUTED_VALUE"""),"")</f>
        <v/>
      </c>
      <c r="G11180" s="18"/>
      <c r="H11180" s="16" t="s">
        <v>87</v>
      </c>
      <c r="I11180" s="16" t="s">
        <v>87</v>
      </c>
      <c r="J11180" s="19"/>
      <c r="L11180" s="16" t="str">
        <f>IFERROR(__xludf.DUMMYFUNCTION("""COMPUTED_VALUE"""),"")</f>
        <v/>
      </c>
      <c r="M11180" s="16" t="str">
        <f>IFERROR(__xludf.DUMMYFUNCTION("""COMPUTED_VALUE"""),"")</f>
        <v/>
      </c>
      <c r="U11180" s="16" t="s">
        <v>87</v>
      </c>
      <c r="V11180" s="16" t="str">
        <f>IFERROR(__xludf.DUMMYFUNCTION("""COMPUTED_VALUE"""),"")</f>
        <v/>
      </c>
      <c r="W11180" s="16" t="str">
        <f>IFERROR(__xludf.DUMMYFUNCTION("""COMPUTED_VALUE"""),"")</f>
        <v/>
      </c>
      <c r="X11180" s="16" t="str">
        <f>IFERROR(__xludf.DUMMYFUNCTION("""COMPUTED_VALUE"""),"")</f>
        <v/>
      </c>
      <c r="AC11180" s="16" t="str">
        <f>IFERROR(__xludf.DUMMYFUNCTION("""COMPUTED_VALUE"""),"")</f>
        <v/>
      </c>
    </row>
    <row r="11181">
      <c r="A11181" s="16" t="s">
        <v>87</v>
      </c>
      <c r="E11181" s="16" t="str">
        <f>IFERROR(__xludf.DUMMYFUNCTION("""COMPUTED_VALUE"""),"")</f>
        <v/>
      </c>
      <c r="G11181" s="18"/>
      <c r="H11181" s="16" t="s">
        <v>87</v>
      </c>
      <c r="I11181" s="16" t="s">
        <v>87</v>
      </c>
      <c r="J11181" s="19"/>
      <c r="L11181" s="16" t="str">
        <f>IFERROR(__xludf.DUMMYFUNCTION("""COMPUTED_VALUE"""),"")</f>
        <v/>
      </c>
      <c r="M11181" s="16" t="str">
        <f>IFERROR(__xludf.DUMMYFUNCTION("""COMPUTED_VALUE"""),"")</f>
        <v/>
      </c>
      <c r="U11181" s="16" t="s">
        <v>87</v>
      </c>
      <c r="V11181" s="16" t="str">
        <f>IFERROR(__xludf.DUMMYFUNCTION("""COMPUTED_VALUE"""),"")</f>
        <v/>
      </c>
      <c r="W11181" s="16" t="str">
        <f>IFERROR(__xludf.DUMMYFUNCTION("""COMPUTED_VALUE"""),"")</f>
        <v/>
      </c>
      <c r="X11181" s="16" t="str">
        <f>IFERROR(__xludf.DUMMYFUNCTION("""COMPUTED_VALUE"""),"")</f>
        <v/>
      </c>
      <c r="AC11181" s="16" t="str">
        <f>IFERROR(__xludf.DUMMYFUNCTION("""COMPUTED_VALUE"""),"")</f>
        <v/>
      </c>
    </row>
    <row r="11182">
      <c r="A11182" s="16" t="s">
        <v>87</v>
      </c>
      <c r="E11182" s="16" t="str">
        <f>IFERROR(__xludf.DUMMYFUNCTION("""COMPUTED_VALUE"""),"")</f>
        <v/>
      </c>
      <c r="G11182" s="18"/>
      <c r="H11182" s="16" t="s">
        <v>87</v>
      </c>
      <c r="I11182" s="16" t="s">
        <v>87</v>
      </c>
      <c r="J11182" s="19"/>
      <c r="L11182" s="16" t="str">
        <f>IFERROR(__xludf.DUMMYFUNCTION("""COMPUTED_VALUE"""),"")</f>
        <v/>
      </c>
      <c r="M11182" s="16" t="str">
        <f>IFERROR(__xludf.DUMMYFUNCTION("""COMPUTED_VALUE"""),"")</f>
        <v/>
      </c>
      <c r="U11182" s="16" t="s">
        <v>87</v>
      </c>
      <c r="V11182" s="16" t="str">
        <f>IFERROR(__xludf.DUMMYFUNCTION("""COMPUTED_VALUE"""),"")</f>
        <v/>
      </c>
      <c r="W11182" s="16" t="str">
        <f>IFERROR(__xludf.DUMMYFUNCTION("""COMPUTED_VALUE"""),"")</f>
        <v/>
      </c>
      <c r="X11182" s="16" t="str">
        <f>IFERROR(__xludf.DUMMYFUNCTION("""COMPUTED_VALUE"""),"")</f>
        <v/>
      </c>
      <c r="AC11182" s="16" t="str">
        <f>IFERROR(__xludf.DUMMYFUNCTION("""COMPUTED_VALUE"""),"")</f>
        <v/>
      </c>
    </row>
    <row r="11183">
      <c r="A11183" s="16" t="s">
        <v>87</v>
      </c>
      <c r="E11183" s="16" t="str">
        <f>IFERROR(__xludf.DUMMYFUNCTION("""COMPUTED_VALUE"""),"")</f>
        <v/>
      </c>
      <c r="G11183" s="18"/>
      <c r="H11183" s="16" t="s">
        <v>87</v>
      </c>
      <c r="I11183" s="16" t="s">
        <v>87</v>
      </c>
      <c r="J11183" s="19"/>
      <c r="L11183" s="16" t="str">
        <f>IFERROR(__xludf.DUMMYFUNCTION("""COMPUTED_VALUE"""),"")</f>
        <v/>
      </c>
      <c r="M11183" s="16" t="str">
        <f>IFERROR(__xludf.DUMMYFUNCTION("""COMPUTED_VALUE"""),"")</f>
        <v/>
      </c>
      <c r="U11183" s="16" t="s">
        <v>87</v>
      </c>
      <c r="V11183" s="16" t="str">
        <f>IFERROR(__xludf.DUMMYFUNCTION("""COMPUTED_VALUE"""),"")</f>
        <v/>
      </c>
      <c r="W11183" s="16" t="str">
        <f>IFERROR(__xludf.DUMMYFUNCTION("""COMPUTED_VALUE"""),"")</f>
        <v/>
      </c>
      <c r="X11183" s="16" t="str">
        <f>IFERROR(__xludf.DUMMYFUNCTION("""COMPUTED_VALUE"""),"")</f>
        <v/>
      </c>
      <c r="AC11183" s="16" t="str">
        <f>IFERROR(__xludf.DUMMYFUNCTION("""COMPUTED_VALUE"""),"")</f>
        <v/>
      </c>
    </row>
    <row r="11184">
      <c r="A11184" s="16" t="s">
        <v>87</v>
      </c>
      <c r="E11184" s="16" t="str">
        <f>IFERROR(__xludf.DUMMYFUNCTION("""COMPUTED_VALUE"""),"")</f>
        <v/>
      </c>
      <c r="G11184" s="18"/>
      <c r="H11184" s="16" t="s">
        <v>87</v>
      </c>
      <c r="I11184" s="16" t="s">
        <v>87</v>
      </c>
      <c r="J11184" s="19"/>
      <c r="L11184" s="16" t="str">
        <f>IFERROR(__xludf.DUMMYFUNCTION("""COMPUTED_VALUE"""),"")</f>
        <v/>
      </c>
      <c r="M11184" s="16" t="str">
        <f>IFERROR(__xludf.DUMMYFUNCTION("""COMPUTED_VALUE"""),"")</f>
        <v/>
      </c>
      <c r="U11184" s="16" t="s">
        <v>87</v>
      </c>
      <c r="V11184" s="16" t="str">
        <f>IFERROR(__xludf.DUMMYFUNCTION("""COMPUTED_VALUE"""),"")</f>
        <v/>
      </c>
      <c r="W11184" s="16" t="str">
        <f>IFERROR(__xludf.DUMMYFUNCTION("""COMPUTED_VALUE"""),"")</f>
        <v/>
      </c>
      <c r="X11184" s="16" t="str">
        <f>IFERROR(__xludf.DUMMYFUNCTION("""COMPUTED_VALUE"""),"")</f>
        <v/>
      </c>
      <c r="AC11184" s="16" t="str">
        <f>IFERROR(__xludf.DUMMYFUNCTION("""COMPUTED_VALUE"""),"")</f>
        <v/>
      </c>
    </row>
    <row r="11185">
      <c r="A11185" s="16" t="s">
        <v>87</v>
      </c>
      <c r="E11185" s="16" t="str">
        <f>IFERROR(__xludf.DUMMYFUNCTION("""COMPUTED_VALUE"""),"")</f>
        <v/>
      </c>
      <c r="G11185" s="18"/>
      <c r="H11185" s="16" t="s">
        <v>87</v>
      </c>
      <c r="I11185" s="16" t="s">
        <v>87</v>
      </c>
      <c r="J11185" s="19"/>
      <c r="L11185" s="16" t="str">
        <f>IFERROR(__xludf.DUMMYFUNCTION("""COMPUTED_VALUE"""),"")</f>
        <v/>
      </c>
      <c r="M11185" s="16" t="str">
        <f>IFERROR(__xludf.DUMMYFUNCTION("""COMPUTED_VALUE"""),"")</f>
        <v/>
      </c>
      <c r="U11185" s="16" t="s">
        <v>87</v>
      </c>
      <c r="V11185" s="16" t="str">
        <f>IFERROR(__xludf.DUMMYFUNCTION("""COMPUTED_VALUE"""),"")</f>
        <v/>
      </c>
      <c r="W11185" s="16" t="str">
        <f>IFERROR(__xludf.DUMMYFUNCTION("""COMPUTED_VALUE"""),"")</f>
        <v/>
      </c>
      <c r="X11185" s="16" t="str">
        <f>IFERROR(__xludf.DUMMYFUNCTION("""COMPUTED_VALUE"""),"")</f>
        <v/>
      </c>
      <c r="AC11185" s="16" t="str">
        <f>IFERROR(__xludf.DUMMYFUNCTION("""COMPUTED_VALUE"""),"")</f>
        <v/>
      </c>
    </row>
    <row r="11186">
      <c r="A11186" s="16" t="s">
        <v>87</v>
      </c>
      <c r="E11186" s="16" t="str">
        <f>IFERROR(__xludf.DUMMYFUNCTION("""COMPUTED_VALUE"""),"")</f>
        <v/>
      </c>
      <c r="G11186" s="18"/>
      <c r="H11186" s="16" t="s">
        <v>87</v>
      </c>
      <c r="I11186" s="16" t="s">
        <v>87</v>
      </c>
      <c r="J11186" s="19"/>
      <c r="L11186" s="16" t="str">
        <f>IFERROR(__xludf.DUMMYFUNCTION("""COMPUTED_VALUE"""),"")</f>
        <v/>
      </c>
      <c r="M11186" s="16" t="str">
        <f>IFERROR(__xludf.DUMMYFUNCTION("""COMPUTED_VALUE"""),"")</f>
        <v/>
      </c>
      <c r="U11186" s="16" t="s">
        <v>87</v>
      </c>
      <c r="V11186" s="16" t="str">
        <f>IFERROR(__xludf.DUMMYFUNCTION("""COMPUTED_VALUE"""),"")</f>
        <v/>
      </c>
      <c r="W11186" s="16" t="str">
        <f>IFERROR(__xludf.DUMMYFUNCTION("""COMPUTED_VALUE"""),"")</f>
        <v/>
      </c>
      <c r="X11186" s="16" t="str">
        <f>IFERROR(__xludf.DUMMYFUNCTION("""COMPUTED_VALUE"""),"")</f>
        <v/>
      </c>
      <c r="AC11186" s="16" t="str">
        <f>IFERROR(__xludf.DUMMYFUNCTION("""COMPUTED_VALUE"""),"")</f>
        <v/>
      </c>
    </row>
    <row r="11187">
      <c r="A11187" s="16" t="s">
        <v>87</v>
      </c>
      <c r="E11187" s="16" t="str">
        <f>IFERROR(__xludf.DUMMYFUNCTION("""COMPUTED_VALUE"""),"")</f>
        <v/>
      </c>
      <c r="G11187" s="18"/>
      <c r="H11187" s="16" t="s">
        <v>87</v>
      </c>
      <c r="I11187" s="16" t="s">
        <v>87</v>
      </c>
      <c r="J11187" s="19"/>
      <c r="L11187" s="16" t="str">
        <f>IFERROR(__xludf.DUMMYFUNCTION("""COMPUTED_VALUE"""),"")</f>
        <v/>
      </c>
      <c r="M11187" s="16" t="str">
        <f>IFERROR(__xludf.DUMMYFUNCTION("""COMPUTED_VALUE"""),"")</f>
        <v/>
      </c>
      <c r="U11187" s="16" t="s">
        <v>87</v>
      </c>
      <c r="V11187" s="16" t="str">
        <f>IFERROR(__xludf.DUMMYFUNCTION("""COMPUTED_VALUE"""),"")</f>
        <v/>
      </c>
      <c r="W11187" s="16" t="str">
        <f>IFERROR(__xludf.DUMMYFUNCTION("""COMPUTED_VALUE"""),"")</f>
        <v/>
      </c>
      <c r="X11187" s="16" t="str">
        <f>IFERROR(__xludf.DUMMYFUNCTION("""COMPUTED_VALUE"""),"")</f>
        <v/>
      </c>
      <c r="AC11187" s="16" t="str">
        <f>IFERROR(__xludf.DUMMYFUNCTION("""COMPUTED_VALUE"""),"")</f>
        <v/>
      </c>
    </row>
    <row r="11188">
      <c r="A11188" s="16" t="s">
        <v>87</v>
      </c>
      <c r="E11188" s="16" t="str">
        <f>IFERROR(__xludf.DUMMYFUNCTION("""COMPUTED_VALUE"""),"")</f>
        <v/>
      </c>
      <c r="G11188" s="18"/>
      <c r="H11188" s="16" t="s">
        <v>87</v>
      </c>
      <c r="I11188" s="16" t="s">
        <v>87</v>
      </c>
      <c r="J11188" s="19"/>
      <c r="L11188" s="16" t="str">
        <f>IFERROR(__xludf.DUMMYFUNCTION("""COMPUTED_VALUE"""),"")</f>
        <v/>
      </c>
      <c r="M11188" s="16" t="str">
        <f>IFERROR(__xludf.DUMMYFUNCTION("""COMPUTED_VALUE"""),"")</f>
        <v/>
      </c>
      <c r="U11188" s="16" t="s">
        <v>87</v>
      </c>
      <c r="V11188" s="16" t="str">
        <f>IFERROR(__xludf.DUMMYFUNCTION("""COMPUTED_VALUE"""),"")</f>
        <v/>
      </c>
      <c r="W11188" s="16" t="str">
        <f>IFERROR(__xludf.DUMMYFUNCTION("""COMPUTED_VALUE"""),"")</f>
        <v/>
      </c>
      <c r="X11188" s="16" t="str">
        <f>IFERROR(__xludf.DUMMYFUNCTION("""COMPUTED_VALUE"""),"")</f>
        <v/>
      </c>
      <c r="AC11188" s="16" t="str">
        <f>IFERROR(__xludf.DUMMYFUNCTION("""COMPUTED_VALUE"""),"")</f>
        <v/>
      </c>
    </row>
    <row r="11189">
      <c r="A11189" s="16" t="s">
        <v>87</v>
      </c>
      <c r="E11189" s="16" t="str">
        <f>IFERROR(__xludf.DUMMYFUNCTION("""COMPUTED_VALUE"""),"")</f>
        <v/>
      </c>
      <c r="G11189" s="18"/>
      <c r="H11189" s="16" t="s">
        <v>87</v>
      </c>
      <c r="I11189" s="16" t="s">
        <v>87</v>
      </c>
      <c r="J11189" s="19"/>
      <c r="L11189" s="16" t="str">
        <f>IFERROR(__xludf.DUMMYFUNCTION("""COMPUTED_VALUE"""),"")</f>
        <v/>
      </c>
      <c r="M11189" s="16" t="str">
        <f>IFERROR(__xludf.DUMMYFUNCTION("""COMPUTED_VALUE"""),"")</f>
        <v/>
      </c>
      <c r="U11189" s="16" t="s">
        <v>87</v>
      </c>
      <c r="V11189" s="16" t="str">
        <f>IFERROR(__xludf.DUMMYFUNCTION("""COMPUTED_VALUE"""),"")</f>
        <v/>
      </c>
      <c r="W11189" s="16" t="str">
        <f>IFERROR(__xludf.DUMMYFUNCTION("""COMPUTED_VALUE"""),"")</f>
        <v/>
      </c>
      <c r="X11189" s="16" t="str">
        <f>IFERROR(__xludf.DUMMYFUNCTION("""COMPUTED_VALUE"""),"")</f>
        <v/>
      </c>
      <c r="AC11189" s="16" t="str">
        <f>IFERROR(__xludf.DUMMYFUNCTION("""COMPUTED_VALUE"""),"")</f>
        <v/>
      </c>
    </row>
    <row r="11190">
      <c r="A11190" s="16" t="s">
        <v>87</v>
      </c>
      <c r="E11190" s="16" t="str">
        <f>IFERROR(__xludf.DUMMYFUNCTION("""COMPUTED_VALUE"""),"")</f>
        <v/>
      </c>
      <c r="G11190" s="18"/>
      <c r="H11190" s="16" t="s">
        <v>87</v>
      </c>
      <c r="I11190" s="16" t="s">
        <v>87</v>
      </c>
      <c r="J11190" s="19"/>
      <c r="L11190" s="16" t="str">
        <f>IFERROR(__xludf.DUMMYFUNCTION("""COMPUTED_VALUE"""),"")</f>
        <v/>
      </c>
      <c r="M11190" s="16" t="str">
        <f>IFERROR(__xludf.DUMMYFUNCTION("""COMPUTED_VALUE"""),"")</f>
        <v/>
      </c>
      <c r="U11190" s="16" t="s">
        <v>87</v>
      </c>
      <c r="V11190" s="16" t="str">
        <f>IFERROR(__xludf.DUMMYFUNCTION("""COMPUTED_VALUE"""),"")</f>
        <v/>
      </c>
      <c r="W11190" s="16" t="str">
        <f>IFERROR(__xludf.DUMMYFUNCTION("""COMPUTED_VALUE"""),"")</f>
        <v/>
      </c>
      <c r="X11190" s="16" t="str">
        <f>IFERROR(__xludf.DUMMYFUNCTION("""COMPUTED_VALUE"""),"")</f>
        <v/>
      </c>
      <c r="AC11190" s="16" t="str">
        <f>IFERROR(__xludf.DUMMYFUNCTION("""COMPUTED_VALUE"""),"")</f>
        <v/>
      </c>
    </row>
    <row r="11191">
      <c r="A11191" s="16" t="s">
        <v>87</v>
      </c>
      <c r="E11191" s="16" t="str">
        <f>IFERROR(__xludf.DUMMYFUNCTION("""COMPUTED_VALUE"""),"")</f>
        <v/>
      </c>
      <c r="G11191" s="18"/>
      <c r="H11191" s="16" t="s">
        <v>87</v>
      </c>
      <c r="I11191" s="16" t="s">
        <v>87</v>
      </c>
      <c r="J11191" s="19"/>
      <c r="L11191" s="16" t="str">
        <f>IFERROR(__xludf.DUMMYFUNCTION("""COMPUTED_VALUE"""),"")</f>
        <v/>
      </c>
      <c r="M11191" s="16" t="str">
        <f>IFERROR(__xludf.DUMMYFUNCTION("""COMPUTED_VALUE"""),"")</f>
        <v/>
      </c>
      <c r="U11191" s="16" t="s">
        <v>87</v>
      </c>
      <c r="V11191" s="16" t="str">
        <f>IFERROR(__xludf.DUMMYFUNCTION("""COMPUTED_VALUE"""),"")</f>
        <v/>
      </c>
      <c r="W11191" s="16" t="str">
        <f>IFERROR(__xludf.DUMMYFUNCTION("""COMPUTED_VALUE"""),"")</f>
        <v/>
      </c>
      <c r="X11191" s="16" t="str">
        <f>IFERROR(__xludf.DUMMYFUNCTION("""COMPUTED_VALUE"""),"")</f>
        <v/>
      </c>
      <c r="AC11191" s="16" t="str">
        <f>IFERROR(__xludf.DUMMYFUNCTION("""COMPUTED_VALUE"""),"")</f>
        <v/>
      </c>
    </row>
    <row r="11192">
      <c r="A11192" s="16" t="s">
        <v>87</v>
      </c>
      <c r="E11192" s="16" t="str">
        <f>IFERROR(__xludf.DUMMYFUNCTION("""COMPUTED_VALUE"""),"")</f>
        <v/>
      </c>
      <c r="G11192" s="18"/>
      <c r="H11192" s="16" t="s">
        <v>87</v>
      </c>
      <c r="I11192" s="16" t="s">
        <v>87</v>
      </c>
      <c r="J11192" s="19"/>
      <c r="L11192" s="16" t="str">
        <f>IFERROR(__xludf.DUMMYFUNCTION("""COMPUTED_VALUE"""),"")</f>
        <v/>
      </c>
      <c r="M11192" s="16" t="str">
        <f>IFERROR(__xludf.DUMMYFUNCTION("""COMPUTED_VALUE"""),"")</f>
        <v/>
      </c>
      <c r="U11192" s="16" t="s">
        <v>87</v>
      </c>
      <c r="V11192" s="16" t="str">
        <f>IFERROR(__xludf.DUMMYFUNCTION("""COMPUTED_VALUE"""),"")</f>
        <v/>
      </c>
      <c r="W11192" s="16" t="str">
        <f>IFERROR(__xludf.DUMMYFUNCTION("""COMPUTED_VALUE"""),"")</f>
        <v/>
      </c>
      <c r="X11192" s="16" t="str">
        <f>IFERROR(__xludf.DUMMYFUNCTION("""COMPUTED_VALUE"""),"")</f>
        <v/>
      </c>
      <c r="AC11192" s="16" t="str">
        <f>IFERROR(__xludf.DUMMYFUNCTION("""COMPUTED_VALUE"""),"")</f>
        <v/>
      </c>
    </row>
    <row r="11193">
      <c r="A11193" s="16" t="s">
        <v>87</v>
      </c>
      <c r="E11193" s="16" t="str">
        <f>IFERROR(__xludf.DUMMYFUNCTION("""COMPUTED_VALUE"""),"")</f>
        <v/>
      </c>
      <c r="G11193" s="18"/>
      <c r="H11193" s="16" t="s">
        <v>87</v>
      </c>
      <c r="I11193" s="16" t="s">
        <v>87</v>
      </c>
      <c r="J11193" s="19"/>
      <c r="L11193" s="16" t="str">
        <f>IFERROR(__xludf.DUMMYFUNCTION("""COMPUTED_VALUE"""),"")</f>
        <v/>
      </c>
      <c r="M11193" s="16" t="str">
        <f>IFERROR(__xludf.DUMMYFUNCTION("""COMPUTED_VALUE"""),"")</f>
        <v/>
      </c>
      <c r="U11193" s="16" t="s">
        <v>87</v>
      </c>
      <c r="V11193" s="16" t="str">
        <f>IFERROR(__xludf.DUMMYFUNCTION("""COMPUTED_VALUE"""),"")</f>
        <v/>
      </c>
      <c r="W11193" s="16" t="str">
        <f>IFERROR(__xludf.DUMMYFUNCTION("""COMPUTED_VALUE"""),"")</f>
        <v/>
      </c>
      <c r="X11193" s="16" t="str">
        <f>IFERROR(__xludf.DUMMYFUNCTION("""COMPUTED_VALUE"""),"")</f>
        <v/>
      </c>
      <c r="AC11193" s="16" t="str">
        <f>IFERROR(__xludf.DUMMYFUNCTION("""COMPUTED_VALUE"""),"")</f>
        <v/>
      </c>
    </row>
    <row r="11194">
      <c r="A11194" s="16" t="s">
        <v>87</v>
      </c>
      <c r="E11194" s="16" t="str">
        <f>IFERROR(__xludf.DUMMYFUNCTION("""COMPUTED_VALUE"""),"")</f>
        <v/>
      </c>
      <c r="G11194" s="18"/>
      <c r="H11194" s="16" t="s">
        <v>87</v>
      </c>
      <c r="I11194" s="16" t="s">
        <v>87</v>
      </c>
      <c r="J11194" s="19"/>
      <c r="L11194" s="16" t="str">
        <f>IFERROR(__xludf.DUMMYFUNCTION("""COMPUTED_VALUE"""),"")</f>
        <v/>
      </c>
      <c r="M11194" s="16" t="str">
        <f>IFERROR(__xludf.DUMMYFUNCTION("""COMPUTED_VALUE"""),"")</f>
        <v/>
      </c>
      <c r="U11194" s="16" t="s">
        <v>87</v>
      </c>
      <c r="V11194" s="16" t="str">
        <f>IFERROR(__xludf.DUMMYFUNCTION("""COMPUTED_VALUE"""),"")</f>
        <v/>
      </c>
      <c r="W11194" s="16" t="str">
        <f>IFERROR(__xludf.DUMMYFUNCTION("""COMPUTED_VALUE"""),"")</f>
        <v/>
      </c>
      <c r="X11194" s="16" t="str">
        <f>IFERROR(__xludf.DUMMYFUNCTION("""COMPUTED_VALUE"""),"")</f>
        <v/>
      </c>
      <c r="AC11194" s="16" t="str">
        <f>IFERROR(__xludf.DUMMYFUNCTION("""COMPUTED_VALUE"""),"")</f>
        <v/>
      </c>
    </row>
    <row r="11195">
      <c r="A11195" s="16" t="s">
        <v>87</v>
      </c>
      <c r="E11195" s="16" t="str">
        <f>IFERROR(__xludf.DUMMYFUNCTION("""COMPUTED_VALUE"""),"")</f>
        <v/>
      </c>
      <c r="G11195" s="18"/>
      <c r="H11195" s="16" t="s">
        <v>87</v>
      </c>
      <c r="I11195" s="16" t="s">
        <v>87</v>
      </c>
      <c r="J11195" s="19"/>
      <c r="L11195" s="16" t="str">
        <f>IFERROR(__xludf.DUMMYFUNCTION("""COMPUTED_VALUE"""),"")</f>
        <v/>
      </c>
      <c r="M11195" s="16" t="str">
        <f>IFERROR(__xludf.DUMMYFUNCTION("""COMPUTED_VALUE"""),"")</f>
        <v/>
      </c>
      <c r="U11195" s="16" t="s">
        <v>87</v>
      </c>
      <c r="V11195" s="16" t="str">
        <f>IFERROR(__xludf.DUMMYFUNCTION("""COMPUTED_VALUE"""),"")</f>
        <v/>
      </c>
      <c r="W11195" s="16" t="str">
        <f>IFERROR(__xludf.DUMMYFUNCTION("""COMPUTED_VALUE"""),"")</f>
        <v/>
      </c>
      <c r="X11195" s="16" t="str">
        <f>IFERROR(__xludf.DUMMYFUNCTION("""COMPUTED_VALUE"""),"")</f>
        <v/>
      </c>
      <c r="AC11195" s="16" t="str">
        <f>IFERROR(__xludf.DUMMYFUNCTION("""COMPUTED_VALUE"""),"")</f>
        <v/>
      </c>
    </row>
    <row r="11196">
      <c r="A11196" s="16" t="s">
        <v>87</v>
      </c>
      <c r="E11196" s="16" t="str">
        <f>IFERROR(__xludf.DUMMYFUNCTION("""COMPUTED_VALUE"""),"")</f>
        <v/>
      </c>
      <c r="G11196" s="18"/>
      <c r="H11196" s="16" t="s">
        <v>87</v>
      </c>
      <c r="I11196" s="16" t="s">
        <v>87</v>
      </c>
      <c r="J11196" s="19"/>
      <c r="L11196" s="16" t="str">
        <f>IFERROR(__xludf.DUMMYFUNCTION("""COMPUTED_VALUE"""),"")</f>
        <v/>
      </c>
      <c r="M11196" s="16" t="str">
        <f>IFERROR(__xludf.DUMMYFUNCTION("""COMPUTED_VALUE"""),"")</f>
        <v/>
      </c>
      <c r="U11196" s="16" t="s">
        <v>87</v>
      </c>
      <c r="V11196" s="16" t="str">
        <f>IFERROR(__xludf.DUMMYFUNCTION("""COMPUTED_VALUE"""),"")</f>
        <v/>
      </c>
      <c r="W11196" s="16" t="str">
        <f>IFERROR(__xludf.DUMMYFUNCTION("""COMPUTED_VALUE"""),"")</f>
        <v/>
      </c>
      <c r="X11196" s="16" t="str">
        <f>IFERROR(__xludf.DUMMYFUNCTION("""COMPUTED_VALUE"""),"")</f>
        <v/>
      </c>
      <c r="AC11196" s="16" t="str">
        <f>IFERROR(__xludf.DUMMYFUNCTION("""COMPUTED_VALUE"""),"")</f>
        <v/>
      </c>
    </row>
    <row r="11197">
      <c r="A11197" s="16" t="s">
        <v>87</v>
      </c>
      <c r="E11197" s="16" t="str">
        <f>IFERROR(__xludf.DUMMYFUNCTION("""COMPUTED_VALUE"""),"")</f>
        <v/>
      </c>
      <c r="G11197" s="18"/>
      <c r="H11197" s="16" t="s">
        <v>87</v>
      </c>
      <c r="I11197" s="16" t="s">
        <v>87</v>
      </c>
      <c r="J11197" s="19"/>
      <c r="L11197" s="16" t="str">
        <f>IFERROR(__xludf.DUMMYFUNCTION("""COMPUTED_VALUE"""),"")</f>
        <v/>
      </c>
      <c r="M11197" s="16" t="str">
        <f>IFERROR(__xludf.DUMMYFUNCTION("""COMPUTED_VALUE"""),"")</f>
        <v/>
      </c>
      <c r="U11197" s="16" t="s">
        <v>87</v>
      </c>
      <c r="V11197" s="16" t="str">
        <f>IFERROR(__xludf.DUMMYFUNCTION("""COMPUTED_VALUE"""),"")</f>
        <v/>
      </c>
      <c r="W11197" s="16" t="str">
        <f>IFERROR(__xludf.DUMMYFUNCTION("""COMPUTED_VALUE"""),"")</f>
        <v/>
      </c>
      <c r="X11197" s="16" t="str">
        <f>IFERROR(__xludf.DUMMYFUNCTION("""COMPUTED_VALUE"""),"")</f>
        <v/>
      </c>
      <c r="AC11197" s="16" t="str">
        <f>IFERROR(__xludf.DUMMYFUNCTION("""COMPUTED_VALUE"""),"")</f>
        <v/>
      </c>
    </row>
    <row r="11198">
      <c r="A11198" s="16" t="s">
        <v>87</v>
      </c>
      <c r="E11198" s="16" t="str">
        <f>IFERROR(__xludf.DUMMYFUNCTION("""COMPUTED_VALUE"""),"")</f>
        <v/>
      </c>
      <c r="G11198" s="18"/>
      <c r="H11198" s="16" t="s">
        <v>87</v>
      </c>
      <c r="I11198" s="16" t="s">
        <v>87</v>
      </c>
      <c r="J11198" s="19"/>
      <c r="L11198" s="16" t="str">
        <f>IFERROR(__xludf.DUMMYFUNCTION("""COMPUTED_VALUE"""),"")</f>
        <v/>
      </c>
      <c r="M11198" s="16" t="str">
        <f>IFERROR(__xludf.DUMMYFUNCTION("""COMPUTED_VALUE"""),"")</f>
        <v/>
      </c>
      <c r="U11198" s="16" t="s">
        <v>87</v>
      </c>
      <c r="V11198" s="16" t="str">
        <f>IFERROR(__xludf.DUMMYFUNCTION("""COMPUTED_VALUE"""),"")</f>
        <v/>
      </c>
      <c r="W11198" s="16" t="str">
        <f>IFERROR(__xludf.DUMMYFUNCTION("""COMPUTED_VALUE"""),"")</f>
        <v/>
      </c>
      <c r="X11198" s="16" t="str">
        <f>IFERROR(__xludf.DUMMYFUNCTION("""COMPUTED_VALUE"""),"")</f>
        <v/>
      </c>
      <c r="AC11198" s="16" t="str">
        <f>IFERROR(__xludf.DUMMYFUNCTION("""COMPUTED_VALUE"""),"")</f>
        <v/>
      </c>
    </row>
    <row r="11199">
      <c r="A11199" s="16" t="s">
        <v>87</v>
      </c>
      <c r="E11199" s="16" t="str">
        <f>IFERROR(__xludf.DUMMYFUNCTION("""COMPUTED_VALUE"""),"")</f>
        <v/>
      </c>
      <c r="G11199" s="18"/>
      <c r="H11199" s="16" t="s">
        <v>87</v>
      </c>
      <c r="I11199" s="16" t="s">
        <v>87</v>
      </c>
      <c r="J11199" s="19"/>
      <c r="L11199" s="16" t="str">
        <f>IFERROR(__xludf.DUMMYFUNCTION("""COMPUTED_VALUE"""),"")</f>
        <v/>
      </c>
      <c r="M11199" s="16" t="str">
        <f>IFERROR(__xludf.DUMMYFUNCTION("""COMPUTED_VALUE"""),"")</f>
        <v/>
      </c>
      <c r="U11199" s="16" t="s">
        <v>87</v>
      </c>
      <c r="V11199" s="16" t="str">
        <f>IFERROR(__xludf.DUMMYFUNCTION("""COMPUTED_VALUE"""),"")</f>
        <v/>
      </c>
      <c r="W11199" s="16" t="str">
        <f>IFERROR(__xludf.DUMMYFUNCTION("""COMPUTED_VALUE"""),"")</f>
        <v/>
      </c>
      <c r="X11199" s="16" t="str">
        <f>IFERROR(__xludf.DUMMYFUNCTION("""COMPUTED_VALUE"""),"")</f>
        <v/>
      </c>
      <c r="AC11199" s="16" t="str">
        <f>IFERROR(__xludf.DUMMYFUNCTION("""COMPUTED_VALUE"""),"")</f>
        <v/>
      </c>
    </row>
    <row r="11200">
      <c r="A11200" s="16" t="s">
        <v>87</v>
      </c>
      <c r="E11200" s="16" t="str">
        <f>IFERROR(__xludf.DUMMYFUNCTION("""COMPUTED_VALUE"""),"")</f>
        <v/>
      </c>
      <c r="G11200" s="18"/>
      <c r="H11200" s="16" t="s">
        <v>87</v>
      </c>
      <c r="I11200" s="16" t="s">
        <v>87</v>
      </c>
      <c r="J11200" s="19"/>
      <c r="L11200" s="16" t="str">
        <f>IFERROR(__xludf.DUMMYFUNCTION("""COMPUTED_VALUE"""),"")</f>
        <v/>
      </c>
      <c r="M11200" s="16" t="str">
        <f>IFERROR(__xludf.DUMMYFUNCTION("""COMPUTED_VALUE"""),"")</f>
        <v/>
      </c>
      <c r="U11200" s="16" t="s">
        <v>87</v>
      </c>
      <c r="V11200" s="16" t="str">
        <f>IFERROR(__xludf.DUMMYFUNCTION("""COMPUTED_VALUE"""),"")</f>
        <v/>
      </c>
      <c r="W11200" s="16" t="str">
        <f>IFERROR(__xludf.DUMMYFUNCTION("""COMPUTED_VALUE"""),"")</f>
        <v/>
      </c>
      <c r="X11200" s="16" t="str">
        <f>IFERROR(__xludf.DUMMYFUNCTION("""COMPUTED_VALUE"""),"")</f>
        <v/>
      </c>
      <c r="AC11200" s="16" t="str">
        <f>IFERROR(__xludf.DUMMYFUNCTION("""COMPUTED_VALUE"""),"")</f>
        <v/>
      </c>
    </row>
    <row r="11201">
      <c r="A11201" s="16" t="s">
        <v>87</v>
      </c>
      <c r="E11201" s="16" t="str">
        <f>IFERROR(__xludf.DUMMYFUNCTION("""COMPUTED_VALUE"""),"")</f>
        <v/>
      </c>
      <c r="G11201" s="18"/>
      <c r="H11201" s="16" t="s">
        <v>87</v>
      </c>
      <c r="I11201" s="16" t="s">
        <v>87</v>
      </c>
      <c r="J11201" s="19"/>
      <c r="L11201" s="16" t="str">
        <f>IFERROR(__xludf.DUMMYFUNCTION("""COMPUTED_VALUE"""),"")</f>
        <v/>
      </c>
      <c r="M11201" s="16" t="str">
        <f>IFERROR(__xludf.DUMMYFUNCTION("""COMPUTED_VALUE"""),"")</f>
        <v/>
      </c>
      <c r="U11201" s="16" t="s">
        <v>87</v>
      </c>
      <c r="V11201" s="16" t="str">
        <f>IFERROR(__xludf.DUMMYFUNCTION("""COMPUTED_VALUE"""),"")</f>
        <v/>
      </c>
      <c r="W11201" s="16" t="str">
        <f>IFERROR(__xludf.DUMMYFUNCTION("""COMPUTED_VALUE"""),"")</f>
        <v/>
      </c>
      <c r="X11201" s="16" t="str">
        <f>IFERROR(__xludf.DUMMYFUNCTION("""COMPUTED_VALUE"""),"")</f>
        <v/>
      </c>
      <c r="AC11201" s="16" t="str">
        <f>IFERROR(__xludf.DUMMYFUNCTION("""COMPUTED_VALUE"""),"")</f>
        <v/>
      </c>
    </row>
    <row r="11202">
      <c r="A11202" s="16" t="s">
        <v>87</v>
      </c>
      <c r="E11202" s="16" t="str">
        <f>IFERROR(__xludf.DUMMYFUNCTION("""COMPUTED_VALUE"""),"")</f>
        <v/>
      </c>
      <c r="G11202" s="18"/>
      <c r="H11202" s="16" t="s">
        <v>87</v>
      </c>
      <c r="I11202" s="16" t="s">
        <v>87</v>
      </c>
      <c r="J11202" s="19"/>
      <c r="L11202" s="16" t="str">
        <f>IFERROR(__xludf.DUMMYFUNCTION("""COMPUTED_VALUE"""),"")</f>
        <v/>
      </c>
      <c r="M11202" s="16" t="str">
        <f>IFERROR(__xludf.DUMMYFUNCTION("""COMPUTED_VALUE"""),"")</f>
        <v/>
      </c>
      <c r="U11202" s="16" t="s">
        <v>87</v>
      </c>
      <c r="V11202" s="16" t="str">
        <f>IFERROR(__xludf.DUMMYFUNCTION("""COMPUTED_VALUE"""),"")</f>
        <v/>
      </c>
      <c r="W11202" s="16" t="str">
        <f>IFERROR(__xludf.DUMMYFUNCTION("""COMPUTED_VALUE"""),"")</f>
        <v/>
      </c>
      <c r="X11202" s="16" t="str">
        <f>IFERROR(__xludf.DUMMYFUNCTION("""COMPUTED_VALUE"""),"")</f>
        <v/>
      </c>
      <c r="AC11202" s="16" t="str">
        <f>IFERROR(__xludf.DUMMYFUNCTION("""COMPUTED_VALUE"""),"")</f>
        <v/>
      </c>
    </row>
    <row r="11203">
      <c r="A11203" s="16" t="s">
        <v>87</v>
      </c>
      <c r="E11203" s="16" t="str">
        <f>IFERROR(__xludf.DUMMYFUNCTION("""COMPUTED_VALUE"""),"")</f>
        <v/>
      </c>
      <c r="G11203" s="18"/>
      <c r="H11203" s="16" t="s">
        <v>87</v>
      </c>
      <c r="I11203" s="16" t="s">
        <v>87</v>
      </c>
      <c r="J11203" s="19"/>
      <c r="L11203" s="16" t="str">
        <f>IFERROR(__xludf.DUMMYFUNCTION("""COMPUTED_VALUE"""),"")</f>
        <v/>
      </c>
      <c r="M11203" s="16" t="str">
        <f>IFERROR(__xludf.DUMMYFUNCTION("""COMPUTED_VALUE"""),"")</f>
        <v/>
      </c>
      <c r="U11203" s="16" t="s">
        <v>87</v>
      </c>
      <c r="V11203" s="16" t="str">
        <f>IFERROR(__xludf.DUMMYFUNCTION("""COMPUTED_VALUE"""),"")</f>
        <v/>
      </c>
      <c r="W11203" s="16" t="str">
        <f>IFERROR(__xludf.DUMMYFUNCTION("""COMPUTED_VALUE"""),"")</f>
        <v/>
      </c>
      <c r="X11203" s="16" t="str">
        <f>IFERROR(__xludf.DUMMYFUNCTION("""COMPUTED_VALUE"""),"")</f>
        <v/>
      </c>
      <c r="AC11203" s="16" t="str">
        <f>IFERROR(__xludf.DUMMYFUNCTION("""COMPUTED_VALUE"""),"")</f>
        <v/>
      </c>
    </row>
    <row r="11204">
      <c r="A11204" s="16" t="s">
        <v>87</v>
      </c>
      <c r="E11204" s="16" t="str">
        <f>IFERROR(__xludf.DUMMYFUNCTION("""COMPUTED_VALUE"""),"")</f>
        <v/>
      </c>
      <c r="G11204" s="18"/>
      <c r="H11204" s="16" t="s">
        <v>87</v>
      </c>
      <c r="I11204" s="16" t="s">
        <v>87</v>
      </c>
      <c r="J11204" s="19"/>
      <c r="L11204" s="16" t="str">
        <f>IFERROR(__xludf.DUMMYFUNCTION("""COMPUTED_VALUE"""),"")</f>
        <v/>
      </c>
      <c r="M11204" s="16" t="str">
        <f>IFERROR(__xludf.DUMMYFUNCTION("""COMPUTED_VALUE"""),"")</f>
        <v/>
      </c>
      <c r="U11204" s="16" t="s">
        <v>87</v>
      </c>
      <c r="V11204" s="16" t="str">
        <f>IFERROR(__xludf.DUMMYFUNCTION("""COMPUTED_VALUE"""),"")</f>
        <v/>
      </c>
      <c r="W11204" s="16" t="str">
        <f>IFERROR(__xludf.DUMMYFUNCTION("""COMPUTED_VALUE"""),"")</f>
        <v/>
      </c>
      <c r="X11204" s="16" t="str">
        <f>IFERROR(__xludf.DUMMYFUNCTION("""COMPUTED_VALUE"""),"")</f>
        <v/>
      </c>
      <c r="AC11204" s="16" t="str">
        <f>IFERROR(__xludf.DUMMYFUNCTION("""COMPUTED_VALUE"""),"")</f>
        <v/>
      </c>
    </row>
    <row r="11205">
      <c r="A11205" s="16" t="s">
        <v>87</v>
      </c>
      <c r="E11205" s="16" t="str">
        <f>IFERROR(__xludf.DUMMYFUNCTION("""COMPUTED_VALUE"""),"")</f>
        <v/>
      </c>
      <c r="G11205" s="18"/>
      <c r="H11205" s="16" t="s">
        <v>87</v>
      </c>
      <c r="I11205" s="16" t="s">
        <v>87</v>
      </c>
      <c r="J11205" s="19"/>
      <c r="L11205" s="16" t="str">
        <f>IFERROR(__xludf.DUMMYFUNCTION("""COMPUTED_VALUE"""),"")</f>
        <v/>
      </c>
      <c r="M11205" s="16" t="str">
        <f>IFERROR(__xludf.DUMMYFUNCTION("""COMPUTED_VALUE"""),"")</f>
        <v/>
      </c>
      <c r="U11205" s="16" t="s">
        <v>87</v>
      </c>
      <c r="V11205" s="16" t="str">
        <f>IFERROR(__xludf.DUMMYFUNCTION("""COMPUTED_VALUE"""),"")</f>
        <v/>
      </c>
      <c r="W11205" s="16" t="str">
        <f>IFERROR(__xludf.DUMMYFUNCTION("""COMPUTED_VALUE"""),"")</f>
        <v/>
      </c>
      <c r="X11205" s="16" t="str">
        <f>IFERROR(__xludf.DUMMYFUNCTION("""COMPUTED_VALUE"""),"")</f>
        <v/>
      </c>
      <c r="AC11205" s="16" t="str">
        <f>IFERROR(__xludf.DUMMYFUNCTION("""COMPUTED_VALUE"""),"")</f>
        <v/>
      </c>
    </row>
    <row r="11206">
      <c r="A11206" s="16" t="s">
        <v>87</v>
      </c>
      <c r="E11206" s="16" t="str">
        <f>IFERROR(__xludf.DUMMYFUNCTION("""COMPUTED_VALUE"""),"")</f>
        <v/>
      </c>
      <c r="G11206" s="18"/>
      <c r="H11206" s="16" t="s">
        <v>87</v>
      </c>
      <c r="I11206" s="16" t="s">
        <v>87</v>
      </c>
      <c r="J11206" s="19"/>
      <c r="L11206" s="16" t="str">
        <f>IFERROR(__xludf.DUMMYFUNCTION("""COMPUTED_VALUE"""),"")</f>
        <v/>
      </c>
      <c r="M11206" s="16" t="str">
        <f>IFERROR(__xludf.DUMMYFUNCTION("""COMPUTED_VALUE"""),"")</f>
        <v/>
      </c>
      <c r="U11206" s="16" t="s">
        <v>87</v>
      </c>
      <c r="V11206" s="16" t="str">
        <f>IFERROR(__xludf.DUMMYFUNCTION("""COMPUTED_VALUE"""),"")</f>
        <v/>
      </c>
      <c r="W11206" s="16" t="str">
        <f>IFERROR(__xludf.DUMMYFUNCTION("""COMPUTED_VALUE"""),"")</f>
        <v/>
      </c>
      <c r="X11206" s="16" t="str">
        <f>IFERROR(__xludf.DUMMYFUNCTION("""COMPUTED_VALUE"""),"")</f>
        <v/>
      </c>
      <c r="AC11206" s="16" t="str">
        <f>IFERROR(__xludf.DUMMYFUNCTION("""COMPUTED_VALUE"""),"")</f>
        <v/>
      </c>
    </row>
    <row r="11207">
      <c r="A11207" s="16" t="s">
        <v>87</v>
      </c>
      <c r="E11207" s="16" t="str">
        <f>IFERROR(__xludf.DUMMYFUNCTION("""COMPUTED_VALUE"""),"")</f>
        <v/>
      </c>
      <c r="G11207" s="18"/>
      <c r="H11207" s="16" t="s">
        <v>87</v>
      </c>
      <c r="I11207" s="16" t="s">
        <v>87</v>
      </c>
      <c r="J11207" s="19"/>
      <c r="L11207" s="16" t="str">
        <f>IFERROR(__xludf.DUMMYFUNCTION("""COMPUTED_VALUE"""),"")</f>
        <v/>
      </c>
      <c r="M11207" s="16" t="str">
        <f>IFERROR(__xludf.DUMMYFUNCTION("""COMPUTED_VALUE"""),"")</f>
        <v/>
      </c>
      <c r="U11207" s="16" t="s">
        <v>87</v>
      </c>
      <c r="V11207" s="16" t="str">
        <f>IFERROR(__xludf.DUMMYFUNCTION("""COMPUTED_VALUE"""),"")</f>
        <v/>
      </c>
      <c r="W11207" s="16" t="str">
        <f>IFERROR(__xludf.DUMMYFUNCTION("""COMPUTED_VALUE"""),"")</f>
        <v/>
      </c>
      <c r="X11207" s="16" t="str">
        <f>IFERROR(__xludf.DUMMYFUNCTION("""COMPUTED_VALUE"""),"")</f>
        <v/>
      </c>
      <c r="AC11207" s="16" t="str">
        <f>IFERROR(__xludf.DUMMYFUNCTION("""COMPUTED_VALUE"""),"")</f>
        <v/>
      </c>
    </row>
    <row r="11208">
      <c r="A11208" s="16" t="s">
        <v>87</v>
      </c>
      <c r="E11208" s="16" t="str">
        <f>IFERROR(__xludf.DUMMYFUNCTION("""COMPUTED_VALUE"""),"")</f>
        <v/>
      </c>
      <c r="G11208" s="18"/>
      <c r="H11208" s="16" t="s">
        <v>87</v>
      </c>
      <c r="I11208" s="16" t="s">
        <v>87</v>
      </c>
      <c r="J11208" s="19"/>
      <c r="L11208" s="16" t="str">
        <f>IFERROR(__xludf.DUMMYFUNCTION("""COMPUTED_VALUE"""),"")</f>
        <v/>
      </c>
      <c r="M11208" s="16" t="str">
        <f>IFERROR(__xludf.DUMMYFUNCTION("""COMPUTED_VALUE"""),"")</f>
        <v/>
      </c>
      <c r="U11208" s="16" t="s">
        <v>87</v>
      </c>
      <c r="V11208" s="16" t="str">
        <f>IFERROR(__xludf.DUMMYFUNCTION("""COMPUTED_VALUE"""),"")</f>
        <v/>
      </c>
      <c r="W11208" s="16" t="str">
        <f>IFERROR(__xludf.DUMMYFUNCTION("""COMPUTED_VALUE"""),"")</f>
        <v/>
      </c>
      <c r="X11208" s="16" t="str">
        <f>IFERROR(__xludf.DUMMYFUNCTION("""COMPUTED_VALUE"""),"")</f>
        <v/>
      </c>
      <c r="AC11208" s="16" t="str">
        <f>IFERROR(__xludf.DUMMYFUNCTION("""COMPUTED_VALUE"""),"")</f>
        <v/>
      </c>
    </row>
    <row r="11209">
      <c r="A11209" s="16" t="s">
        <v>87</v>
      </c>
      <c r="E11209" s="16" t="str">
        <f>IFERROR(__xludf.DUMMYFUNCTION("""COMPUTED_VALUE"""),"")</f>
        <v/>
      </c>
      <c r="G11209" s="18"/>
      <c r="H11209" s="16" t="s">
        <v>87</v>
      </c>
      <c r="I11209" s="16" t="s">
        <v>87</v>
      </c>
      <c r="J11209" s="19"/>
      <c r="L11209" s="16" t="str">
        <f>IFERROR(__xludf.DUMMYFUNCTION("""COMPUTED_VALUE"""),"")</f>
        <v/>
      </c>
      <c r="M11209" s="16" t="str">
        <f>IFERROR(__xludf.DUMMYFUNCTION("""COMPUTED_VALUE"""),"")</f>
        <v/>
      </c>
      <c r="U11209" s="16" t="s">
        <v>87</v>
      </c>
      <c r="V11209" s="16" t="str">
        <f>IFERROR(__xludf.DUMMYFUNCTION("""COMPUTED_VALUE"""),"")</f>
        <v/>
      </c>
      <c r="W11209" s="16" t="str">
        <f>IFERROR(__xludf.DUMMYFUNCTION("""COMPUTED_VALUE"""),"")</f>
        <v/>
      </c>
      <c r="X11209" s="16" t="str">
        <f>IFERROR(__xludf.DUMMYFUNCTION("""COMPUTED_VALUE"""),"")</f>
        <v/>
      </c>
      <c r="AC11209" s="16" t="str">
        <f>IFERROR(__xludf.DUMMYFUNCTION("""COMPUTED_VALUE"""),"")</f>
        <v/>
      </c>
    </row>
    <row r="11210">
      <c r="A11210" s="16" t="s">
        <v>87</v>
      </c>
      <c r="E11210" s="16" t="str">
        <f>IFERROR(__xludf.DUMMYFUNCTION("""COMPUTED_VALUE"""),"")</f>
        <v/>
      </c>
      <c r="G11210" s="18"/>
      <c r="H11210" s="16" t="s">
        <v>87</v>
      </c>
      <c r="I11210" s="16" t="s">
        <v>87</v>
      </c>
      <c r="J11210" s="19"/>
      <c r="L11210" s="16" t="str">
        <f>IFERROR(__xludf.DUMMYFUNCTION("""COMPUTED_VALUE"""),"")</f>
        <v/>
      </c>
      <c r="M11210" s="16" t="str">
        <f>IFERROR(__xludf.DUMMYFUNCTION("""COMPUTED_VALUE"""),"")</f>
        <v/>
      </c>
      <c r="U11210" s="16" t="s">
        <v>87</v>
      </c>
      <c r="V11210" s="16" t="str">
        <f>IFERROR(__xludf.DUMMYFUNCTION("""COMPUTED_VALUE"""),"")</f>
        <v/>
      </c>
      <c r="W11210" s="16" t="str">
        <f>IFERROR(__xludf.DUMMYFUNCTION("""COMPUTED_VALUE"""),"")</f>
        <v/>
      </c>
      <c r="X11210" s="16" t="str">
        <f>IFERROR(__xludf.DUMMYFUNCTION("""COMPUTED_VALUE"""),"")</f>
        <v/>
      </c>
      <c r="AC11210" s="16" t="str">
        <f>IFERROR(__xludf.DUMMYFUNCTION("""COMPUTED_VALUE"""),"")</f>
        <v/>
      </c>
    </row>
    <row r="11211">
      <c r="A11211" s="16" t="s">
        <v>87</v>
      </c>
      <c r="E11211" s="16" t="str">
        <f>IFERROR(__xludf.DUMMYFUNCTION("""COMPUTED_VALUE"""),"")</f>
        <v/>
      </c>
      <c r="G11211" s="18"/>
      <c r="H11211" s="16" t="s">
        <v>87</v>
      </c>
      <c r="I11211" s="16" t="s">
        <v>87</v>
      </c>
      <c r="J11211" s="19"/>
      <c r="L11211" s="16" t="str">
        <f>IFERROR(__xludf.DUMMYFUNCTION("""COMPUTED_VALUE"""),"")</f>
        <v/>
      </c>
      <c r="M11211" s="16" t="str">
        <f>IFERROR(__xludf.DUMMYFUNCTION("""COMPUTED_VALUE"""),"")</f>
        <v/>
      </c>
      <c r="U11211" s="16" t="s">
        <v>87</v>
      </c>
      <c r="V11211" s="16" t="str">
        <f>IFERROR(__xludf.DUMMYFUNCTION("""COMPUTED_VALUE"""),"")</f>
        <v/>
      </c>
      <c r="W11211" s="16" t="str">
        <f>IFERROR(__xludf.DUMMYFUNCTION("""COMPUTED_VALUE"""),"")</f>
        <v/>
      </c>
      <c r="X11211" s="16" t="str">
        <f>IFERROR(__xludf.DUMMYFUNCTION("""COMPUTED_VALUE"""),"")</f>
        <v/>
      </c>
      <c r="AC11211" s="16" t="str">
        <f>IFERROR(__xludf.DUMMYFUNCTION("""COMPUTED_VALUE"""),"")</f>
        <v/>
      </c>
    </row>
    <row r="11212">
      <c r="A11212" s="16" t="s">
        <v>87</v>
      </c>
      <c r="E11212" s="16" t="str">
        <f>IFERROR(__xludf.DUMMYFUNCTION("""COMPUTED_VALUE"""),"")</f>
        <v/>
      </c>
      <c r="G11212" s="18"/>
      <c r="H11212" s="16" t="s">
        <v>87</v>
      </c>
      <c r="I11212" s="16" t="s">
        <v>87</v>
      </c>
      <c r="J11212" s="19"/>
      <c r="L11212" s="16" t="str">
        <f>IFERROR(__xludf.DUMMYFUNCTION("""COMPUTED_VALUE"""),"")</f>
        <v/>
      </c>
      <c r="M11212" s="16" t="str">
        <f>IFERROR(__xludf.DUMMYFUNCTION("""COMPUTED_VALUE"""),"")</f>
        <v/>
      </c>
      <c r="U11212" s="16" t="s">
        <v>87</v>
      </c>
      <c r="V11212" s="16" t="str">
        <f>IFERROR(__xludf.DUMMYFUNCTION("""COMPUTED_VALUE"""),"")</f>
        <v/>
      </c>
      <c r="W11212" s="16" t="str">
        <f>IFERROR(__xludf.DUMMYFUNCTION("""COMPUTED_VALUE"""),"")</f>
        <v/>
      </c>
      <c r="X11212" s="16" t="str">
        <f>IFERROR(__xludf.DUMMYFUNCTION("""COMPUTED_VALUE"""),"")</f>
        <v/>
      </c>
      <c r="AC11212" s="16" t="str">
        <f>IFERROR(__xludf.DUMMYFUNCTION("""COMPUTED_VALUE"""),"")</f>
        <v/>
      </c>
    </row>
    <row r="11213">
      <c r="A11213" s="16" t="s">
        <v>87</v>
      </c>
      <c r="E11213" s="16" t="str">
        <f>IFERROR(__xludf.DUMMYFUNCTION("""COMPUTED_VALUE"""),"")</f>
        <v/>
      </c>
      <c r="G11213" s="18"/>
      <c r="H11213" s="16" t="s">
        <v>87</v>
      </c>
      <c r="I11213" s="16" t="s">
        <v>87</v>
      </c>
      <c r="J11213" s="19"/>
      <c r="L11213" s="16" t="str">
        <f>IFERROR(__xludf.DUMMYFUNCTION("""COMPUTED_VALUE"""),"")</f>
        <v/>
      </c>
      <c r="M11213" s="16" t="str">
        <f>IFERROR(__xludf.DUMMYFUNCTION("""COMPUTED_VALUE"""),"")</f>
        <v/>
      </c>
      <c r="U11213" s="16" t="s">
        <v>87</v>
      </c>
      <c r="V11213" s="16" t="str">
        <f>IFERROR(__xludf.DUMMYFUNCTION("""COMPUTED_VALUE"""),"")</f>
        <v/>
      </c>
      <c r="W11213" s="16" t="str">
        <f>IFERROR(__xludf.DUMMYFUNCTION("""COMPUTED_VALUE"""),"")</f>
        <v/>
      </c>
      <c r="X11213" s="16" t="str">
        <f>IFERROR(__xludf.DUMMYFUNCTION("""COMPUTED_VALUE"""),"")</f>
        <v/>
      </c>
      <c r="AC11213" s="16" t="str">
        <f>IFERROR(__xludf.DUMMYFUNCTION("""COMPUTED_VALUE"""),"")</f>
        <v/>
      </c>
    </row>
    <row r="11214">
      <c r="A11214" s="16" t="s">
        <v>87</v>
      </c>
      <c r="E11214" s="16" t="str">
        <f>IFERROR(__xludf.DUMMYFUNCTION("""COMPUTED_VALUE"""),"")</f>
        <v/>
      </c>
      <c r="G11214" s="18"/>
      <c r="H11214" s="16" t="s">
        <v>87</v>
      </c>
      <c r="I11214" s="16" t="s">
        <v>87</v>
      </c>
      <c r="J11214" s="19"/>
      <c r="L11214" s="16" t="str">
        <f>IFERROR(__xludf.DUMMYFUNCTION("""COMPUTED_VALUE"""),"")</f>
        <v/>
      </c>
      <c r="M11214" s="16" t="str">
        <f>IFERROR(__xludf.DUMMYFUNCTION("""COMPUTED_VALUE"""),"")</f>
        <v/>
      </c>
      <c r="U11214" s="16" t="s">
        <v>87</v>
      </c>
      <c r="V11214" s="16" t="str">
        <f>IFERROR(__xludf.DUMMYFUNCTION("""COMPUTED_VALUE"""),"")</f>
        <v/>
      </c>
      <c r="W11214" s="16" t="str">
        <f>IFERROR(__xludf.DUMMYFUNCTION("""COMPUTED_VALUE"""),"")</f>
        <v/>
      </c>
      <c r="X11214" s="16" t="str">
        <f>IFERROR(__xludf.DUMMYFUNCTION("""COMPUTED_VALUE"""),"")</f>
        <v/>
      </c>
      <c r="AC11214" s="16" t="str">
        <f>IFERROR(__xludf.DUMMYFUNCTION("""COMPUTED_VALUE"""),"")</f>
        <v/>
      </c>
    </row>
    <row r="11215">
      <c r="A11215" s="16" t="s">
        <v>87</v>
      </c>
      <c r="E11215" s="16" t="str">
        <f>IFERROR(__xludf.DUMMYFUNCTION("""COMPUTED_VALUE"""),"")</f>
        <v/>
      </c>
      <c r="G11215" s="18"/>
      <c r="H11215" s="16" t="s">
        <v>87</v>
      </c>
      <c r="I11215" s="16" t="s">
        <v>87</v>
      </c>
      <c r="J11215" s="19"/>
      <c r="L11215" s="16" t="str">
        <f>IFERROR(__xludf.DUMMYFUNCTION("""COMPUTED_VALUE"""),"")</f>
        <v/>
      </c>
      <c r="M11215" s="16" t="str">
        <f>IFERROR(__xludf.DUMMYFUNCTION("""COMPUTED_VALUE"""),"")</f>
        <v/>
      </c>
      <c r="U11215" s="16" t="s">
        <v>87</v>
      </c>
      <c r="V11215" s="16" t="str">
        <f>IFERROR(__xludf.DUMMYFUNCTION("""COMPUTED_VALUE"""),"")</f>
        <v/>
      </c>
      <c r="W11215" s="16" t="str">
        <f>IFERROR(__xludf.DUMMYFUNCTION("""COMPUTED_VALUE"""),"")</f>
        <v/>
      </c>
      <c r="X11215" s="16" t="str">
        <f>IFERROR(__xludf.DUMMYFUNCTION("""COMPUTED_VALUE"""),"")</f>
        <v/>
      </c>
      <c r="AC11215" s="16" t="str">
        <f>IFERROR(__xludf.DUMMYFUNCTION("""COMPUTED_VALUE"""),"")</f>
        <v/>
      </c>
    </row>
    <row r="11216">
      <c r="A11216" s="16" t="s">
        <v>87</v>
      </c>
      <c r="E11216" s="16" t="str">
        <f>IFERROR(__xludf.DUMMYFUNCTION("""COMPUTED_VALUE"""),"")</f>
        <v/>
      </c>
      <c r="G11216" s="18"/>
      <c r="H11216" s="16" t="s">
        <v>87</v>
      </c>
      <c r="I11216" s="16" t="s">
        <v>87</v>
      </c>
      <c r="J11216" s="19"/>
      <c r="L11216" s="16" t="str">
        <f>IFERROR(__xludf.DUMMYFUNCTION("""COMPUTED_VALUE"""),"")</f>
        <v/>
      </c>
      <c r="M11216" s="16" t="str">
        <f>IFERROR(__xludf.DUMMYFUNCTION("""COMPUTED_VALUE"""),"")</f>
        <v/>
      </c>
      <c r="U11216" s="16" t="s">
        <v>87</v>
      </c>
      <c r="V11216" s="16" t="str">
        <f>IFERROR(__xludf.DUMMYFUNCTION("""COMPUTED_VALUE"""),"")</f>
        <v/>
      </c>
      <c r="W11216" s="16" t="str">
        <f>IFERROR(__xludf.DUMMYFUNCTION("""COMPUTED_VALUE"""),"")</f>
        <v/>
      </c>
      <c r="X11216" s="16" t="str">
        <f>IFERROR(__xludf.DUMMYFUNCTION("""COMPUTED_VALUE"""),"")</f>
        <v/>
      </c>
      <c r="AC11216" s="16" t="str">
        <f>IFERROR(__xludf.DUMMYFUNCTION("""COMPUTED_VALUE"""),"")</f>
        <v/>
      </c>
    </row>
    <row r="11217">
      <c r="A11217" s="16" t="s">
        <v>87</v>
      </c>
      <c r="E11217" s="16" t="str">
        <f>IFERROR(__xludf.DUMMYFUNCTION("""COMPUTED_VALUE"""),"")</f>
        <v/>
      </c>
      <c r="G11217" s="18"/>
      <c r="H11217" s="16" t="s">
        <v>87</v>
      </c>
      <c r="I11217" s="16" t="s">
        <v>87</v>
      </c>
      <c r="J11217" s="19"/>
      <c r="L11217" s="16" t="str">
        <f>IFERROR(__xludf.DUMMYFUNCTION("""COMPUTED_VALUE"""),"")</f>
        <v/>
      </c>
      <c r="M11217" s="16" t="str">
        <f>IFERROR(__xludf.DUMMYFUNCTION("""COMPUTED_VALUE"""),"")</f>
        <v/>
      </c>
      <c r="U11217" s="16" t="s">
        <v>87</v>
      </c>
      <c r="V11217" s="16" t="str">
        <f>IFERROR(__xludf.DUMMYFUNCTION("""COMPUTED_VALUE"""),"")</f>
        <v/>
      </c>
      <c r="W11217" s="16" t="str">
        <f>IFERROR(__xludf.DUMMYFUNCTION("""COMPUTED_VALUE"""),"")</f>
        <v/>
      </c>
      <c r="X11217" s="16" t="str">
        <f>IFERROR(__xludf.DUMMYFUNCTION("""COMPUTED_VALUE"""),"")</f>
        <v/>
      </c>
      <c r="AC11217" s="16" t="str">
        <f>IFERROR(__xludf.DUMMYFUNCTION("""COMPUTED_VALUE"""),"")</f>
        <v/>
      </c>
    </row>
    <row r="11218">
      <c r="A11218" s="16" t="s">
        <v>87</v>
      </c>
      <c r="E11218" s="16" t="str">
        <f>IFERROR(__xludf.DUMMYFUNCTION("""COMPUTED_VALUE"""),"")</f>
        <v/>
      </c>
      <c r="G11218" s="18"/>
      <c r="H11218" s="16" t="s">
        <v>87</v>
      </c>
      <c r="I11218" s="16" t="s">
        <v>87</v>
      </c>
      <c r="J11218" s="19"/>
      <c r="L11218" s="16" t="str">
        <f>IFERROR(__xludf.DUMMYFUNCTION("""COMPUTED_VALUE"""),"")</f>
        <v/>
      </c>
      <c r="M11218" s="16" t="str">
        <f>IFERROR(__xludf.DUMMYFUNCTION("""COMPUTED_VALUE"""),"")</f>
        <v/>
      </c>
      <c r="U11218" s="16" t="s">
        <v>87</v>
      </c>
      <c r="V11218" s="16" t="str">
        <f>IFERROR(__xludf.DUMMYFUNCTION("""COMPUTED_VALUE"""),"")</f>
        <v/>
      </c>
      <c r="W11218" s="16" t="str">
        <f>IFERROR(__xludf.DUMMYFUNCTION("""COMPUTED_VALUE"""),"")</f>
        <v/>
      </c>
      <c r="X11218" s="16" t="str">
        <f>IFERROR(__xludf.DUMMYFUNCTION("""COMPUTED_VALUE"""),"")</f>
        <v/>
      </c>
      <c r="AC11218" s="16" t="str">
        <f>IFERROR(__xludf.DUMMYFUNCTION("""COMPUTED_VALUE"""),"")</f>
        <v/>
      </c>
    </row>
    <row r="11219">
      <c r="A11219" s="16" t="s">
        <v>87</v>
      </c>
      <c r="E11219" s="16" t="str">
        <f>IFERROR(__xludf.DUMMYFUNCTION("""COMPUTED_VALUE"""),"")</f>
        <v/>
      </c>
      <c r="G11219" s="18"/>
      <c r="H11219" s="16" t="s">
        <v>87</v>
      </c>
      <c r="I11219" s="16" t="s">
        <v>87</v>
      </c>
      <c r="J11219" s="19"/>
      <c r="L11219" s="16" t="str">
        <f>IFERROR(__xludf.DUMMYFUNCTION("""COMPUTED_VALUE"""),"")</f>
        <v/>
      </c>
      <c r="M11219" s="16" t="str">
        <f>IFERROR(__xludf.DUMMYFUNCTION("""COMPUTED_VALUE"""),"")</f>
        <v/>
      </c>
      <c r="U11219" s="16" t="s">
        <v>87</v>
      </c>
      <c r="V11219" s="16" t="str">
        <f>IFERROR(__xludf.DUMMYFUNCTION("""COMPUTED_VALUE"""),"")</f>
        <v/>
      </c>
      <c r="W11219" s="16" t="str">
        <f>IFERROR(__xludf.DUMMYFUNCTION("""COMPUTED_VALUE"""),"")</f>
        <v/>
      </c>
      <c r="X11219" s="16" t="str">
        <f>IFERROR(__xludf.DUMMYFUNCTION("""COMPUTED_VALUE"""),"")</f>
        <v/>
      </c>
      <c r="AC11219" s="16" t="str">
        <f>IFERROR(__xludf.DUMMYFUNCTION("""COMPUTED_VALUE"""),"")</f>
        <v/>
      </c>
    </row>
    <row r="11220">
      <c r="A11220" s="16" t="s">
        <v>87</v>
      </c>
      <c r="E11220" s="16" t="str">
        <f>IFERROR(__xludf.DUMMYFUNCTION("""COMPUTED_VALUE"""),"")</f>
        <v/>
      </c>
      <c r="G11220" s="18"/>
      <c r="H11220" s="16" t="s">
        <v>87</v>
      </c>
      <c r="I11220" s="16" t="s">
        <v>87</v>
      </c>
      <c r="J11220" s="19"/>
      <c r="L11220" s="16" t="str">
        <f>IFERROR(__xludf.DUMMYFUNCTION("""COMPUTED_VALUE"""),"")</f>
        <v/>
      </c>
      <c r="M11220" s="16" t="str">
        <f>IFERROR(__xludf.DUMMYFUNCTION("""COMPUTED_VALUE"""),"")</f>
        <v/>
      </c>
      <c r="U11220" s="16" t="s">
        <v>87</v>
      </c>
      <c r="V11220" s="16" t="str">
        <f>IFERROR(__xludf.DUMMYFUNCTION("""COMPUTED_VALUE"""),"")</f>
        <v/>
      </c>
      <c r="W11220" s="16" t="str">
        <f>IFERROR(__xludf.DUMMYFUNCTION("""COMPUTED_VALUE"""),"")</f>
        <v/>
      </c>
      <c r="X11220" s="16" t="str">
        <f>IFERROR(__xludf.DUMMYFUNCTION("""COMPUTED_VALUE"""),"")</f>
        <v/>
      </c>
      <c r="AC11220" s="16" t="str">
        <f>IFERROR(__xludf.DUMMYFUNCTION("""COMPUTED_VALUE"""),"")</f>
        <v/>
      </c>
    </row>
    <row r="11221">
      <c r="A11221" s="16" t="s">
        <v>87</v>
      </c>
      <c r="E11221" s="16" t="str">
        <f>IFERROR(__xludf.DUMMYFUNCTION("""COMPUTED_VALUE"""),"")</f>
        <v/>
      </c>
      <c r="G11221" s="18"/>
      <c r="H11221" s="16" t="s">
        <v>87</v>
      </c>
      <c r="I11221" s="16" t="s">
        <v>87</v>
      </c>
      <c r="J11221" s="19"/>
      <c r="L11221" s="16" t="str">
        <f>IFERROR(__xludf.DUMMYFUNCTION("""COMPUTED_VALUE"""),"")</f>
        <v/>
      </c>
      <c r="M11221" s="16" t="str">
        <f>IFERROR(__xludf.DUMMYFUNCTION("""COMPUTED_VALUE"""),"")</f>
        <v/>
      </c>
      <c r="U11221" s="16" t="s">
        <v>87</v>
      </c>
      <c r="V11221" s="16" t="str">
        <f>IFERROR(__xludf.DUMMYFUNCTION("""COMPUTED_VALUE"""),"")</f>
        <v/>
      </c>
      <c r="W11221" s="16" t="str">
        <f>IFERROR(__xludf.DUMMYFUNCTION("""COMPUTED_VALUE"""),"")</f>
        <v/>
      </c>
      <c r="X11221" s="16" t="str">
        <f>IFERROR(__xludf.DUMMYFUNCTION("""COMPUTED_VALUE"""),"")</f>
        <v/>
      </c>
      <c r="AC11221" s="16" t="str">
        <f>IFERROR(__xludf.DUMMYFUNCTION("""COMPUTED_VALUE"""),"")</f>
        <v/>
      </c>
    </row>
    <row r="11222">
      <c r="A11222" s="16" t="s">
        <v>87</v>
      </c>
      <c r="E11222" s="16" t="str">
        <f>IFERROR(__xludf.DUMMYFUNCTION("""COMPUTED_VALUE"""),"")</f>
        <v/>
      </c>
      <c r="G11222" s="18"/>
      <c r="H11222" s="16" t="s">
        <v>87</v>
      </c>
      <c r="I11222" s="16" t="s">
        <v>87</v>
      </c>
      <c r="J11222" s="19"/>
      <c r="L11222" s="16" t="str">
        <f>IFERROR(__xludf.DUMMYFUNCTION("""COMPUTED_VALUE"""),"")</f>
        <v/>
      </c>
      <c r="M11222" s="16" t="str">
        <f>IFERROR(__xludf.DUMMYFUNCTION("""COMPUTED_VALUE"""),"")</f>
        <v/>
      </c>
      <c r="U11222" s="16" t="s">
        <v>87</v>
      </c>
      <c r="V11222" s="16" t="str">
        <f>IFERROR(__xludf.DUMMYFUNCTION("""COMPUTED_VALUE"""),"")</f>
        <v/>
      </c>
      <c r="W11222" s="16" t="str">
        <f>IFERROR(__xludf.DUMMYFUNCTION("""COMPUTED_VALUE"""),"")</f>
        <v/>
      </c>
      <c r="X11222" s="16" t="str">
        <f>IFERROR(__xludf.DUMMYFUNCTION("""COMPUTED_VALUE"""),"")</f>
        <v/>
      </c>
      <c r="AC11222" s="16" t="str">
        <f>IFERROR(__xludf.DUMMYFUNCTION("""COMPUTED_VALUE"""),"")</f>
        <v/>
      </c>
    </row>
    <row r="11223">
      <c r="A11223" s="16" t="s">
        <v>87</v>
      </c>
      <c r="E11223" s="16" t="str">
        <f>IFERROR(__xludf.DUMMYFUNCTION("""COMPUTED_VALUE"""),"")</f>
        <v/>
      </c>
      <c r="G11223" s="18"/>
      <c r="H11223" s="16" t="s">
        <v>87</v>
      </c>
      <c r="I11223" s="16" t="s">
        <v>87</v>
      </c>
      <c r="J11223" s="19"/>
      <c r="L11223" s="16" t="str">
        <f>IFERROR(__xludf.DUMMYFUNCTION("""COMPUTED_VALUE"""),"")</f>
        <v/>
      </c>
      <c r="M11223" s="16" t="str">
        <f>IFERROR(__xludf.DUMMYFUNCTION("""COMPUTED_VALUE"""),"")</f>
        <v/>
      </c>
      <c r="U11223" s="16" t="s">
        <v>87</v>
      </c>
      <c r="V11223" s="16" t="str">
        <f>IFERROR(__xludf.DUMMYFUNCTION("""COMPUTED_VALUE"""),"")</f>
        <v/>
      </c>
      <c r="W11223" s="16" t="str">
        <f>IFERROR(__xludf.DUMMYFUNCTION("""COMPUTED_VALUE"""),"")</f>
        <v/>
      </c>
      <c r="X11223" s="16" t="str">
        <f>IFERROR(__xludf.DUMMYFUNCTION("""COMPUTED_VALUE"""),"")</f>
        <v/>
      </c>
      <c r="AC11223" s="16" t="str">
        <f>IFERROR(__xludf.DUMMYFUNCTION("""COMPUTED_VALUE"""),"")</f>
        <v/>
      </c>
    </row>
    <row r="11224">
      <c r="A11224" s="16" t="s">
        <v>87</v>
      </c>
      <c r="E11224" s="16" t="str">
        <f>IFERROR(__xludf.DUMMYFUNCTION("""COMPUTED_VALUE"""),"")</f>
        <v/>
      </c>
      <c r="G11224" s="18"/>
      <c r="H11224" s="16" t="s">
        <v>87</v>
      </c>
      <c r="I11224" s="16" t="s">
        <v>87</v>
      </c>
      <c r="J11224" s="19"/>
      <c r="L11224" s="16" t="str">
        <f>IFERROR(__xludf.DUMMYFUNCTION("""COMPUTED_VALUE"""),"")</f>
        <v/>
      </c>
      <c r="M11224" s="16" t="str">
        <f>IFERROR(__xludf.DUMMYFUNCTION("""COMPUTED_VALUE"""),"")</f>
        <v/>
      </c>
      <c r="U11224" s="16" t="s">
        <v>87</v>
      </c>
      <c r="V11224" s="16" t="str">
        <f>IFERROR(__xludf.DUMMYFUNCTION("""COMPUTED_VALUE"""),"")</f>
        <v/>
      </c>
      <c r="W11224" s="16" t="str">
        <f>IFERROR(__xludf.DUMMYFUNCTION("""COMPUTED_VALUE"""),"")</f>
        <v/>
      </c>
      <c r="X11224" s="16" t="str">
        <f>IFERROR(__xludf.DUMMYFUNCTION("""COMPUTED_VALUE"""),"")</f>
        <v/>
      </c>
      <c r="AC11224" s="16" t="str">
        <f>IFERROR(__xludf.DUMMYFUNCTION("""COMPUTED_VALUE"""),"")</f>
        <v/>
      </c>
    </row>
    <row r="11225">
      <c r="A11225" s="16" t="s">
        <v>87</v>
      </c>
      <c r="E11225" s="16" t="str">
        <f>IFERROR(__xludf.DUMMYFUNCTION("""COMPUTED_VALUE"""),"")</f>
        <v/>
      </c>
      <c r="G11225" s="18"/>
      <c r="H11225" s="16" t="s">
        <v>87</v>
      </c>
      <c r="I11225" s="16" t="s">
        <v>87</v>
      </c>
      <c r="J11225" s="19"/>
      <c r="L11225" s="16" t="str">
        <f>IFERROR(__xludf.DUMMYFUNCTION("""COMPUTED_VALUE"""),"")</f>
        <v/>
      </c>
      <c r="M11225" s="16" t="str">
        <f>IFERROR(__xludf.DUMMYFUNCTION("""COMPUTED_VALUE"""),"")</f>
        <v/>
      </c>
      <c r="U11225" s="16" t="s">
        <v>87</v>
      </c>
      <c r="V11225" s="16" t="str">
        <f>IFERROR(__xludf.DUMMYFUNCTION("""COMPUTED_VALUE"""),"")</f>
        <v/>
      </c>
      <c r="W11225" s="16" t="str">
        <f>IFERROR(__xludf.DUMMYFUNCTION("""COMPUTED_VALUE"""),"")</f>
        <v/>
      </c>
      <c r="X11225" s="16" t="str">
        <f>IFERROR(__xludf.DUMMYFUNCTION("""COMPUTED_VALUE"""),"")</f>
        <v/>
      </c>
      <c r="AC11225" s="16" t="str">
        <f>IFERROR(__xludf.DUMMYFUNCTION("""COMPUTED_VALUE"""),"")</f>
        <v/>
      </c>
    </row>
    <row r="11226">
      <c r="A11226" s="16" t="s">
        <v>87</v>
      </c>
      <c r="E11226" s="16" t="str">
        <f>IFERROR(__xludf.DUMMYFUNCTION("""COMPUTED_VALUE"""),"")</f>
        <v/>
      </c>
      <c r="G11226" s="18"/>
      <c r="H11226" s="16" t="s">
        <v>87</v>
      </c>
      <c r="I11226" s="16" t="s">
        <v>87</v>
      </c>
      <c r="J11226" s="19"/>
      <c r="L11226" s="16" t="str">
        <f>IFERROR(__xludf.DUMMYFUNCTION("""COMPUTED_VALUE"""),"")</f>
        <v/>
      </c>
      <c r="M11226" s="16" t="str">
        <f>IFERROR(__xludf.DUMMYFUNCTION("""COMPUTED_VALUE"""),"")</f>
        <v/>
      </c>
      <c r="U11226" s="16" t="s">
        <v>87</v>
      </c>
      <c r="V11226" s="16" t="str">
        <f>IFERROR(__xludf.DUMMYFUNCTION("""COMPUTED_VALUE"""),"")</f>
        <v/>
      </c>
      <c r="W11226" s="16" t="str">
        <f>IFERROR(__xludf.DUMMYFUNCTION("""COMPUTED_VALUE"""),"")</f>
        <v/>
      </c>
      <c r="X11226" s="16" t="str">
        <f>IFERROR(__xludf.DUMMYFUNCTION("""COMPUTED_VALUE"""),"")</f>
        <v/>
      </c>
      <c r="AC11226" s="16" t="str">
        <f>IFERROR(__xludf.DUMMYFUNCTION("""COMPUTED_VALUE"""),"")</f>
        <v/>
      </c>
    </row>
    <row r="11227">
      <c r="A11227" s="16" t="s">
        <v>87</v>
      </c>
      <c r="E11227" s="16" t="str">
        <f>IFERROR(__xludf.DUMMYFUNCTION("""COMPUTED_VALUE"""),"")</f>
        <v/>
      </c>
      <c r="G11227" s="18"/>
      <c r="H11227" s="16" t="s">
        <v>87</v>
      </c>
      <c r="I11227" s="16" t="s">
        <v>87</v>
      </c>
      <c r="J11227" s="19"/>
      <c r="L11227" s="16" t="str">
        <f>IFERROR(__xludf.DUMMYFUNCTION("""COMPUTED_VALUE"""),"")</f>
        <v/>
      </c>
      <c r="M11227" s="16" t="str">
        <f>IFERROR(__xludf.DUMMYFUNCTION("""COMPUTED_VALUE"""),"")</f>
        <v/>
      </c>
      <c r="U11227" s="16" t="s">
        <v>87</v>
      </c>
      <c r="V11227" s="16" t="str">
        <f>IFERROR(__xludf.DUMMYFUNCTION("""COMPUTED_VALUE"""),"")</f>
        <v/>
      </c>
      <c r="W11227" s="16" t="str">
        <f>IFERROR(__xludf.DUMMYFUNCTION("""COMPUTED_VALUE"""),"")</f>
        <v/>
      </c>
      <c r="X11227" s="16" t="str">
        <f>IFERROR(__xludf.DUMMYFUNCTION("""COMPUTED_VALUE"""),"")</f>
        <v/>
      </c>
      <c r="AC11227" s="16" t="str">
        <f>IFERROR(__xludf.DUMMYFUNCTION("""COMPUTED_VALUE"""),"")</f>
        <v/>
      </c>
    </row>
    <row r="11228">
      <c r="A11228" s="16" t="s">
        <v>87</v>
      </c>
      <c r="E11228" s="16" t="str">
        <f>IFERROR(__xludf.DUMMYFUNCTION("""COMPUTED_VALUE"""),"")</f>
        <v/>
      </c>
      <c r="G11228" s="18"/>
      <c r="H11228" s="16" t="s">
        <v>87</v>
      </c>
      <c r="I11228" s="16" t="s">
        <v>87</v>
      </c>
      <c r="J11228" s="19"/>
      <c r="L11228" s="16" t="str">
        <f>IFERROR(__xludf.DUMMYFUNCTION("""COMPUTED_VALUE"""),"")</f>
        <v/>
      </c>
      <c r="M11228" s="16" t="str">
        <f>IFERROR(__xludf.DUMMYFUNCTION("""COMPUTED_VALUE"""),"")</f>
        <v/>
      </c>
      <c r="U11228" s="16" t="s">
        <v>87</v>
      </c>
      <c r="V11228" s="16" t="str">
        <f>IFERROR(__xludf.DUMMYFUNCTION("""COMPUTED_VALUE"""),"")</f>
        <v/>
      </c>
      <c r="W11228" s="16" t="str">
        <f>IFERROR(__xludf.DUMMYFUNCTION("""COMPUTED_VALUE"""),"")</f>
        <v/>
      </c>
      <c r="X11228" s="16" t="str">
        <f>IFERROR(__xludf.DUMMYFUNCTION("""COMPUTED_VALUE"""),"")</f>
        <v/>
      </c>
      <c r="AC11228" s="16" t="str">
        <f>IFERROR(__xludf.DUMMYFUNCTION("""COMPUTED_VALUE"""),"")</f>
        <v/>
      </c>
    </row>
    <row r="11229">
      <c r="A11229" s="16" t="s">
        <v>87</v>
      </c>
      <c r="E11229" s="16" t="str">
        <f>IFERROR(__xludf.DUMMYFUNCTION("""COMPUTED_VALUE"""),"")</f>
        <v/>
      </c>
      <c r="G11229" s="18"/>
      <c r="H11229" s="16" t="s">
        <v>87</v>
      </c>
      <c r="I11229" s="16" t="s">
        <v>87</v>
      </c>
      <c r="J11229" s="19"/>
      <c r="L11229" s="16" t="str">
        <f>IFERROR(__xludf.DUMMYFUNCTION("""COMPUTED_VALUE"""),"")</f>
        <v/>
      </c>
      <c r="M11229" s="16" t="str">
        <f>IFERROR(__xludf.DUMMYFUNCTION("""COMPUTED_VALUE"""),"")</f>
        <v/>
      </c>
      <c r="U11229" s="16" t="s">
        <v>87</v>
      </c>
      <c r="V11229" s="16" t="str">
        <f>IFERROR(__xludf.DUMMYFUNCTION("""COMPUTED_VALUE"""),"")</f>
        <v/>
      </c>
      <c r="W11229" s="16" t="str">
        <f>IFERROR(__xludf.DUMMYFUNCTION("""COMPUTED_VALUE"""),"")</f>
        <v/>
      </c>
      <c r="X11229" s="16" t="str">
        <f>IFERROR(__xludf.DUMMYFUNCTION("""COMPUTED_VALUE"""),"")</f>
        <v/>
      </c>
      <c r="AC11229" s="16" t="str">
        <f>IFERROR(__xludf.DUMMYFUNCTION("""COMPUTED_VALUE"""),"")</f>
        <v/>
      </c>
    </row>
    <row r="11230">
      <c r="A11230" s="16" t="s">
        <v>87</v>
      </c>
      <c r="E11230" s="16" t="str">
        <f>IFERROR(__xludf.DUMMYFUNCTION("""COMPUTED_VALUE"""),"")</f>
        <v/>
      </c>
      <c r="G11230" s="18"/>
      <c r="H11230" s="16" t="s">
        <v>87</v>
      </c>
      <c r="I11230" s="16" t="s">
        <v>87</v>
      </c>
      <c r="J11230" s="19"/>
      <c r="L11230" s="16" t="str">
        <f>IFERROR(__xludf.DUMMYFUNCTION("""COMPUTED_VALUE"""),"")</f>
        <v/>
      </c>
      <c r="M11230" s="16" t="str">
        <f>IFERROR(__xludf.DUMMYFUNCTION("""COMPUTED_VALUE"""),"")</f>
        <v/>
      </c>
      <c r="U11230" s="16" t="s">
        <v>87</v>
      </c>
      <c r="V11230" s="16" t="str">
        <f>IFERROR(__xludf.DUMMYFUNCTION("""COMPUTED_VALUE"""),"")</f>
        <v/>
      </c>
      <c r="W11230" s="16" t="str">
        <f>IFERROR(__xludf.DUMMYFUNCTION("""COMPUTED_VALUE"""),"")</f>
        <v/>
      </c>
      <c r="X11230" s="16" t="str">
        <f>IFERROR(__xludf.DUMMYFUNCTION("""COMPUTED_VALUE"""),"")</f>
        <v/>
      </c>
      <c r="AC11230" s="16" t="str">
        <f>IFERROR(__xludf.DUMMYFUNCTION("""COMPUTED_VALUE"""),"")</f>
        <v/>
      </c>
    </row>
    <row r="11231">
      <c r="A11231" s="16" t="s">
        <v>87</v>
      </c>
      <c r="E11231" s="16" t="str">
        <f>IFERROR(__xludf.DUMMYFUNCTION("""COMPUTED_VALUE"""),"")</f>
        <v/>
      </c>
      <c r="G11231" s="18"/>
      <c r="H11231" s="16" t="s">
        <v>87</v>
      </c>
      <c r="I11231" s="16" t="s">
        <v>87</v>
      </c>
      <c r="J11231" s="19"/>
      <c r="L11231" s="16" t="str">
        <f>IFERROR(__xludf.DUMMYFUNCTION("""COMPUTED_VALUE"""),"")</f>
        <v/>
      </c>
      <c r="M11231" s="16" t="str">
        <f>IFERROR(__xludf.DUMMYFUNCTION("""COMPUTED_VALUE"""),"")</f>
        <v/>
      </c>
      <c r="U11231" s="16" t="s">
        <v>87</v>
      </c>
      <c r="V11231" s="16" t="str">
        <f>IFERROR(__xludf.DUMMYFUNCTION("""COMPUTED_VALUE"""),"")</f>
        <v/>
      </c>
      <c r="W11231" s="16" t="str">
        <f>IFERROR(__xludf.DUMMYFUNCTION("""COMPUTED_VALUE"""),"")</f>
        <v/>
      </c>
      <c r="X11231" s="16" t="str">
        <f>IFERROR(__xludf.DUMMYFUNCTION("""COMPUTED_VALUE"""),"")</f>
        <v/>
      </c>
      <c r="AC11231" s="16" t="str">
        <f>IFERROR(__xludf.DUMMYFUNCTION("""COMPUTED_VALUE"""),"")</f>
        <v/>
      </c>
    </row>
    <row r="11232">
      <c r="A11232" s="16" t="s">
        <v>87</v>
      </c>
      <c r="E11232" s="16" t="str">
        <f>IFERROR(__xludf.DUMMYFUNCTION("""COMPUTED_VALUE"""),"")</f>
        <v/>
      </c>
      <c r="G11232" s="18"/>
      <c r="H11232" s="16" t="s">
        <v>87</v>
      </c>
      <c r="I11232" s="16" t="s">
        <v>87</v>
      </c>
      <c r="J11232" s="19"/>
      <c r="L11232" s="16" t="str">
        <f>IFERROR(__xludf.DUMMYFUNCTION("""COMPUTED_VALUE"""),"")</f>
        <v/>
      </c>
      <c r="M11232" s="16" t="str">
        <f>IFERROR(__xludf.DUMMYFUNCTION("""COMPUTED_VALUE"""),"")</f>
        <v/>
      </c>
      <c r="U11232" s="16" t="s">
        <v>87</v>
      </c>
      <c r="V11232" s="16" t="str">
        <f>IFERROR(__xludf.DUMMYFUNCTION("""COMPUTED_VALUE"""),"")</f>
        <v/>
      </c>
      <c r="W11232" s="16" t="str">
        <f>IFERROR(__xludf.DUMMYFUNCTION("""COMPUTED_VALUE"""),"")</f>
        <v/>
      </c>
      <c r="X11232" s="16" t="str">
        <f>IFERROR(__xludf.DUMMYFUNCTION("""COMPUTED_VALUE"""),"")</f>
        <v/>
      </c>
      <c r="AC11232" s="16" t="str">
        <f>IFERROR(__xludf.DUMMYFUNCTION("""COMPUTED_VALUE"""),"")</f>
        <v/>
      </c>
    </row>
    <row r="11233">
      <c r="A11233" s="16" t="s">
        <v>87</v>
      </c>
      <c r="E11233" s="16" t="str">
        <f>IFERROR(__xludf.DUMMYFUNCTION("""COMPUTED_VALUE"""),"")</f>
        <v/>
      </c>
      <c r="G11233" s="18"/>
      <c r="H11233" s="16" t="s">
        <v>87</v>
      </c>
      <c r="I11233" s="16" t="s">
        <v>87</v>
      </c>
      <c r="J11233" s="19"/>
      <c r="L11233" s="16" t="str">
        <f>IFERROR(__xludf.DUMMYFUNCTION("""COMPUTED_VALUE"""),"")</f>
        <v/>
      </c>
      <c r="M11233" s="16" t="str">
        <f>IFERROR(__xludf.DUMMYFUNCTION("""COMPUTED_VALUE"""),"")</f>
        <v/>
      </c>
      <c r="U11233" s="16" t="s">
        <v>87</v>
      </c>
      <c r="V11233" s="16" t="str">
        <f>IFERROR(__xludf.DUMMYFUNCTION("""COMPUTED_VALUE"""),"")</f>
        <v/>
      </c>
      <c r="W11233" s="16" t="str">
        <f>IFERROR(__xludf.DUMMYFUNCTION("""COMPUTED_VALUE"""),"")</f>
        <v/>
      </c>
      <c r="X11233" s="16" t="str">
        <f>IFERROR(__xludf.DUMMYFUNCTION("""COMPUTED_VALUE"""),"")</f>
        <v/>
      </c>
      <c r="AC11233" s="16" t="str">
        <f>IFERROR(__xludf.DUMMYFUNCTION("""COMPUTED_VALUE"""),"")</f>
        <v/>
      </c>
    </row>
    <row r="11234">
      <c r="A11234" s="16" t="s">
        <v>87</v>
      </c>
      <c r="E11234" s="16" t="str">
        <f>IFERROR(__xludf.DUMMYFUNCTION("""COMPUTED_VALUE"""),"")</f>
        <v/>
      </c>
      <c r="G11234" s="18"/>
      <c r="H11234" s="16" t="s">
        <v>87</v>
      </c>
      <c r="I11234" s="16" t="s">
        <v>87</v>
      </c>
      <c r="J11234" s="19"/>
      <c r="L11234" s="16" t="str">
        <f>IFERROR(__xludf.DUMMYFUNCTION("""COMPUTED_VALUE"""),"")</f>
        <v/>
      </c>
      <c r="M11234" s="16" t="str">
        <f>IFERROR(__xludf.DUMMYFUNCTION("""COMPUTED_VALUE"""),"")</f>
        <v/>
      </c>
      <c r="U11234" s="16" t="s">
        <v>87</v>
      </c>
      <c r="V11234" s="16" t="str">
        <f>IFERROR(__xludf.DUMMYFUNCTION("""COMPUTED_VALUE"""),"")</f>
        <v/>
      </c>
      <c r="W11234" s="16" t="str">
        <f>IFERROR(__xludf.DUMMYFUNCTION("""COMPUTED_VALUE"""),"")</f>
        <v/>
      </c>
      <c r="X11234" s="16" t="str">
        <f>IFERROR(__xludf.DUMMYFUNCTION("""COMPUTED_VALUE"""),"")</f>
        <v/>
      </c>
      <c r="AC11234" s="16" t="str">
        <f>IFERROR(__xludf.DUMMYFUNCTION("""COMPUTED_VALUE"""),"")</f>
        <v/>
      </c>
    </row>
    <row r="11235">
      <c r="A11235" s="16" t="s">
        <v>87</v>
      </c>
      <c r="E11235" s="16" t="str">
        <f>IFERROR(__xludf.DUMMYFUNCTION("""COMPUTED_VALUE"""),"")</f>
        <v/>
      </c>
      <c r="G11235" s="18"/>
      <c r="H11235" s="16" t="s">
        <v>87</v>
      </c>
      <c r="I11235" s="16" t="s">
        <v>87</v>
      </c>
      <c r="J11235" s="19"/>
      <c r="L11235" s="16" t="str">
        <f>IFERROR(__xludf.DUMMYFUNCTION("""COMPUTED_VALUE"""),"")</f>
        <v/>
      </c>
      <c r="M11235" s="16" t="str">
        <f>IFERROR(__xludf.DUMMYFUNCTION("""COMPUTED_VALUE"""),"")</f>
        <v/>
      </c>
      <c r="U11235" s="16" t="s">
        <v>87</v>
      </c>
      <c r="V11235" s="16" t="str">
        <f>IFERROR(__xludf.DUMMYFUNCTION("""COMPUTED_VALUE"""),"")</f>
        <v/>
      </c>
      <c r="W11235" s="16" t="str">
        <f>IFERROR(__xludf.DUMMYFUNCTION("""COMPUTED_VALUE"""),"")</f>
        <v/>
      </c>
      <c r="X11235" s="16" t="str">
        <f>IFERROR(__xludf.DUMMYFUNCTION("""COMPUTED_VALUE"""),"")</f>
        <v/>
      </c>
      <c r="AC11235" s="16" t="str">
        <f>IFERROR(__xludf.DUMMYFUNCTION("""COMPUTED_VALUE"""),"")</f>
        <v/>
      </c>
    </row>
    <row r="11236">
      <c r="A11236" s="16" t="s">
        <v>87</v>
      </c>
      <c r="E11236" s="16" t="str">
        <f>IFERROR(__xludf.DUMMYFUNCTION("""COMPUTED_VALUE"""),"")</f>
        <v/>
      </c>
      <c r="G11236" s="18"/>
      <c r="H11236" s="16" t="s">
        <v>87</v>
      </c>
      <c r="I11236" s="16" t="s">
        <v>87</v>
      </c>
      <c r="J11236" s="19"/>
      <c r="L11236" s="16" t="str">
        <f>IFERROR(__xludf.DUMMYFUNCTION("""COMPUTED_VALUE"""),"")</f>
        <v/>
      </c>
      <c r="M11236" s="16" t="str">
        <f>IFERROR(__xludf.DUMMYFUNCTION("""COMPUTED_VALUE"""),"")</f>
        <v/>
      </c>
      <c r="U11236" s="16" t="s">
        <v>87</v>
      </c>
      <c r="V11236" s="16" t="str">
        <f>IFERROR(__xludf.DUMMYFUNCTION("""COMPUTED_VALUE"""),"")</f>
        <v/>
      </c>
      <c r="W11236" s="16" t="str">
        <f>IFERROR(__xludf.DUMMYFUNCTION("""COMPUTED_VALUE"""),"")</f>
        <v/>
      </c>
      <c r="X11236" s="16" t="str">
        <f>IFERROR(__xludf.DUMMYFUNCTION("""COMPUTED_VALUE"""),"")</f>
        <v/>
      </c>
      <c r="AC11236" s="16" t="str">
        <f>IFERROR(__xludf.DUMMYFUNCTION("""COMPUTED_VALUE"""),"")</f>
        <v/>
      </c>
    </row>
    <row r="11237">
      <c r="A11237" s="16" t="s">
        <v>87</v>
      </c>
      <c r="E11237" s="16" t="str">
        <f>IFERROR(__xludf.DUMMYFUNCTION("""COMPUTED_VALUE"""),"")</f>
        <v/>
      </c>
      <c r="G11237" s="18"/>
      <c r="H11237" s="16" t="s">
        <v>87</v>
      </c>
      <c r="I11237" s="16" t="s">
        <v>87</v>
      </c>
      <c r="J11237" s="19"/>
      <c r="L11237" s="16" t="str">
        <f>IFERROR(__xludf.DUMMYFUNCTION("""COMPUTED_VALUE"""),"")</f>
        <v/>
      </c>
      <c r="M11237" s="16" t="str">
        <f>IFERROR(__xludf.DUMMYFUNCTION("""COMPUTED_VALUE"""),"")</f>
        <v/>
      </c>
      <c r="U11237" s="16" t="s">
        <v>87</v>
      </c>
      <c r="V11237" s="16" t="str">
        <f>IFERROR(__xludf.DUMMYFUNCTION("""COMPUTED_VALUE"""),"")</f>
        <v/>
      </c>
      <c r="W11237" s="16" t="str">
        <f>IFERROR(__xludf.DUMMYFUNCTION("""COMPUTED_VALUE"""),"")</f>
        <v/>
      </c>
      <c r="X11237" s="16" t="str">
        <f>IFERROR(__xludf.DUMMYFUNCTION("""COMPUTED_VALUE"""),"")</f>
        <v/>
      </c>
      <c r="AC11237" s="16" t="str">
        <f>IFERROR(__xludf.DUMMYFUNCTION("""COMPUTED_VALUE"""),"")</f>
        <v/>
      </c>
    </row>
    <row r="11238">
      <c r="A11238" s="16" t="s">
        <v>87</v>
      </c>
      <c r="E11238" s="16" t="str">
        <f>IFERROR(__xludf.DUMMYFUNCTION("""COMPUTED_VALUE"""),"")</f>
        <v/>
      </c>
      <c r="G11238" s="18"/>
      <c r="H11238" s="16" t="s">
        <v>87</v>
      </c>
      <c r="I11238" s="16" t="s">
        <v>87</v>
      </c>
      <c r="J11238" s="19"/>
      <c r="L11238" s="16" t="str">
        <f>IFERROR(__xludf.DUMMYFUNCTION("""COMPUTED_VALUE"""),"")</f>
        <v/>
      </c>
      <c r="M11238" s="16" t="str">
        <f>IFERROR(__xludf.DUMMYFUNCTION("""COMPUTED_VALUE"""),"")</f>
        <v/>
      </c>
      <c r="U11238" s="16" t="s">
        <v>87</v>
      </c>
      <c r="V11238" s="16" t="str">
        <f>IFERROR(__xludf.DUMMYFUNCTION("""COMPUTED_VALUE"""),"")</f>
        <v/>
      </c>
      <c r="W11238" s="16" t="str">
        <f>IFERROR(__xludf.DUMMYFUNCTION("""COMPUTED_VALUE"""),"")</f>
        <v/>
      </c>
      <c r="X11238" s="16" t="str">
        <f>IFERROR(__xludf.DUMMYFUNCTION("""COMPUTED_VALUE"""),"")</f>
        <v/>
      </c>
      <c r="AC11238" s="16" t="str">
        <f>IFERROR(__xludf.DUMMYFUNCTION("""COMPUTED_VALUE"""),"")</f>
        <v/>
      </c>
    </row>
    <row r="11239">
      <c r="A11239" s="16" t="s">
        <v>87</v>
      </c>
      <c r="E11239" s="16" t="str">
        <f>IFERROR(__xludf.DUMMYFUNCTION("""COMPUTED_VALUE"""),"")</f>
        <v/>
      </c>
      <c r="G11239" s="18"/>
      <c r="H11239" s="16" t="s">
        <v>87</v>
      </c>
      <c r="I11239" s="16" t="s">
        <v>87</v>
      </c>
      <c r="J11239" s="19"/>
      <c r="L11239" s="16" t="str">
        <f>IFERROR(__xludf.DUMMYFUNCTION("""COMPUTED_VALUE"""),"")</f>
        <v/>
      </c>
      <c r="M11239" s="16" t="str">
        <f>IFERROR(__xludf.DUMMYFUNCTION("""COMPUTED_VALUE"""),"")</f>
        <v/>
      </c>
      <c r="U11239" s="16" t="s">
        <v>87</v>
      </c>
      <c r="V11239" s="16" t="str">
        <f>IFERROR(__xludf.DUMMYFUNCTION("""COMPUTED_VALUE"""),"")</f>
        <v/>
      </c>
      <c r="W11239" s="16" t="str">
        <f>IFERROR(__xludf.DUMMYFUNCTION("""COMPUTED_VALUE"""),"")</f>
        <v/>
      </c>
      <c r="X11239" s="16" t="str">
        <f>IFERROR(__xludf.DUMMYFUNCTION("""COMPUTED_VALUE"""),"")</f>
        <v/>
      </c>
      <c r="AC11239" s="16" t="str">
        <f>IFERROR(__xludf.DUMMYFUNCTION("""COMPUTED_VALUE"""),"")</f>
        <v/>
      </c>
    </row>
    <row r="11240">
      <c r="A11240" s="16" t="s">
        <v>87</v>
      </c>
      <c r="E11240" s="16" t="str">
        <f>IFERROR(__xludf.DUMMYFUNCTION("""COMPUTED_VALUE"""),"")</f>
        <v/>
      </c>
      <c r="G11240" s="18"/>
      <c r="H11240" s="16" t="s">
        <v>87</v>
      </c>
      <c r="I11240" s="16" t="s">
        <v>87</v>
      </c>
      <c r="J11240" s="19"/>
      <c r="L11240" s="16" t="str">
        <f>IFERROR(__xludf.DUMMYFUNCTION("""COMPUTED_VALUE"""),"")</f>
        <v/>
      </c>
      <c r="M11240" s="16" t="str">
        <f>IFERROR(__xludf.DUMMYFUNCTION("""COMPUTED_VALUE"""),"")</f>
        <v/>
      </c>
      <c r="U11240" s="16" t="s">
        <v>87</v>
      </c>
      <c r="V11240" s="16" t="str">
        <f>IFERROR(__xludf.DUMMYFUNCTION("""COMPUTED_VALUE"""),"")</f>
        <v/>
      </c>
      <c r="W11240" s="16" t="str">
        <f>IFERROR(__xludf.DUMMYFUNCTION("""COMPUTED_VALUE"""),"")</f>
        <v/>
      </c>
      <c r="X11240" s="16" t="str">
        <f>IFERROR(__xludf.DUMMYFUNCTION("""COMPUTED_VALUE"""),"")</f>
        <v/>
      </c>
      <c r="AC11240" s="16" t="str">
        <f>IFERROR(__xludf.DUMMYFUNCTION("""COMPUTED_VALUE"""),"")</f>
        <v/>
      </c>
    </row>
    <row r="11241">
      <c r="A11241" s="16" t="s">
        <v>87</v>
      </c>
      <c r="E11241" s="16" t="str">
        <f>IFERROR(__xludf.DUMMYFUNCTION("""COMPUTED_VALUE"""),"")</f>
        <v/>
      </c>
      <c r="G11241" s="18"/>
      <c r="H11241" s="16" t="s">
        <v>87</v>
      </c>
      <c r="I11241" s="16" t="s">
        <v>87</v>
      </c>
      <c r="J11241" s="19"/>
      <c r="L11241" s="16" t="str">
        <f>IFERROR(__xludf.DUMMYFUNCTION("""COMPUTED_VALUE"""),"")</f>
        <v/>
      </c>
      <c r="M11241" s="16" t="str">
        <f>IFERROR(__xludf.DUMMYFUNCTION("""COMPUTED_VALUE"""),"")</f>
        <v/>
      </c>
      <c r="U11241" s="16" t="s">
        <v>87</v>
      </c>
      <c r="V11241" s="16" t="str">
        <f>IFERROR(__xludf.DUMMYFUNCTION("""COMPUTED_VALUE"""),"")</f>
        <v/>
      </c>
      <c r="W11241" s="16" t="str">
        <f>IFERROR(__xludf.DUMMYFUNCTION("""COMPUTED_VALUE"""),"")</f>
        <v/>
      </c>
      <c r="X11241" s="16" t="str">
        <f>IFERROR(__xludf.DUMMYFUNCTION("""COMPUTED_VALUE"""),"")</f>
        <v/>
      </c>
      <c r="AC11241" s="16" t="str">
        <f>IFERROR(__xludf.DUMMYFUNCTION("""COMPUTED_VALUE"""),"")</f>
        <v/>
      </c>
    </row>
    <row r="11242">
      <c r="A11242" s="16" t="s">
        <v>87</v>
      </c>
      <c r="E11242" s="16" t="str">
        <f>IFERROR(__xludf.DUMMYFUNCTION("""COMPUTED_VALUE"""),"")</f>
        <v/>
      </c>
      <c r="G11242" s="18"/>
      <c r="H11242" s="16" t="s">
        <v>87</v>
      </c>
      <c r="I11242" s="16" t="s">
        <v>87</v>
      </c>
      <c r="J11242" s="19"/>
      <c r="L11242" s="16" t="str">
        <f>IFERROR(__xludf.DUMMYFUNCTION("""COMPUTED_VALUE"""),"")</f>
        <v/>
      </c>
      <c r="M11242" s="16" t="str">
        <f>IFERROR(__xludf.DUMMYFUNCTION("""COMPUTED_VALUE"""),"")</f>
        <v/>
      </c>
      <c r="U11242" s="16" t="s">
        <v>87</v>
      </c>
      <c r="V11242" s="16" t="str">
        <f>IFERROR(__xludf.DUMMYFUNCTION("""COMPUTED_VALUE"""),"")</f>
        <v/>
      </c>
      <c r="W11242" s="16" t="str">
        <f>IFERROR(__xludf.DUMMYFUNCTION("""COMPUTED_VALUE"""),"")</f>
        <v/>
      </c>
      <c r="X11242" s="16" t="str">
        <f>IFERROR(__xludf.DUMMYFUNCTION("""COMPUTED_VALUE"""),"")</f>
        <v/>
      </c>
      <c r="AC11242" s="16" t="str">
        <f>IFERROR(__xludf.DUMMYFUNCTION("""COMPUTED_VALUE"""),"")</f>
        <v/>
      </c>
    </row>
    <row r="11243">
      <c r="A11243" s="16" t="s">
        <v>87</v>
      </c>
      <c r="E11243" s="16" t="str">
        <f>IFERROR(__xludf.DUMMYFUNCTION("""COMPUTED_VALUE"""),"")</f>
        <v/>
      </c>
      <c r="G11243" s="18"/>
      <c r="H11243" s="16" t="s">
        <v>87</v>
      </c>
      <c r="I11243" s="16" t="s">
        <v>87</v>
      </c>
      <c r="J11243" s="19"/>
      <c r="L11243" s="16" t="str">
        <f>IFERROR(__xludf.DUMMYFUNCTION("""COMPUTED_VALUE"""),"")</f>
        <v/>
      </c>
      <c r="M11243" s="16" t="str">
        <f>IFERROR(__xludf.DUMMYFUNCTION("""COMPUTED_VALUE"""),"")</f>
        <v/>
      </c>
      <c r="U11243" s="16" t="s">
        <v>87</v>
      </c>
      <c r="V11243" s="16" t="str">
        <f>IFERROR(__xludf.DUMMYFUNCTION("""COMPUTED_VALUE"""),"")</f>
        <v/>
      </c>
      <c r="W11243" s="16" t="str">
        <f>IFERROR(__xludf.DUMMYFUNCTION("""COMPUTED_VALUE"""),"")</f>
        <v/>
      </c>
      <c r="X11243" s="16" t="str">
        <f>IFERROR(__xludf.DUMMYFUNCTION("""COMPUTED_VALUE"""),"")</f>
        <v/>
      </c>
      <c r="AC11243" s="16" t="str">
        <f>IFERROR(__xludf.DUMMYFUNCTION("""COMPUTED_VALUE"""),"")</f>
        <v/>
      </c>
    </row>
    <row r="11244">
      <c r="A11244" s="16" t="s">
        <v>87</v>
      </c>
      <c r="E11244" s="16" t="str">
        <f>IFERROR(__xludf.DUMMYFUNCTION("""COMPUTED_VALUE"""),"")</f>
        <v/>
      </c>
      <c r="G11244" s="18"/>
      <c r="H11244" s="16" t="s">
        <v>87</v>
      </c>
      <c r="I11244" s="16" t="s">
        <v>87</v>
      </c>
      <c r="J11244" s="19"/>
      <c r="L11244" s="16" t="str">
        <f>IFERROR(__xludf.DUMMYFUNCTION("""COMPUTED_VALUE"""),"")</f>
        <v/>
      </c>
      <c r="M11244" s="16" t="str">
        <f>IFERROR(__xludf.DUMMYFUNCTION("""COMPUTED_VALUE"""),"")</f>
        <v/>
      </c>
      <c r="U11244" s="16" t="s">
        <v>87</v>
      </c>
      <c r="V11244" s="16" t="str">
        <f>IFERROR(__xludf.DUMMYFUNCTION("""COMPUTED_VALUE"""),"")</f>
        <v/>
      </c>
      <c r="W11244" s="16" t="str">
        <f>IFERROR(__xludf.DUMMYFUNCTION("""COMPUTED_VALUE"""),"")</f>
        <v/>
      </c>
      <c r="X11244" s="16" t="str">
        <f>IFERROR(__xludf.DUMMYFUNCTION("""COMPUTED_VALUE"""),"")</f>
        <v/>
      </c>
      <c r="AC11244" s="16" t="str">
        <f>IFERROR(__xludf.DUMMYFUNCTION("""COMPUTED_VALUE"""),"")</f>
        <v/>
      </c>
    </row>
    <row r="11245">
      <c r="A11245" s="16" t="s">
        <v>87</v>
      </c>
      <c r="E11245" s="16" t="str">
        <f>IFERROR(__xludf.DUMMYFUNCTION("""COMPUTED_VALUE"""),"")</f>
        <v/>
      </c>
      <c r="G11245" s="18"/>
      <c r="H11245" s="16" t="s">
        <v>87</v>
      </c>
      <c r="I11245" s="16" t="s">
        <v>87</v>
      </c>
      <c r="J11245" s="19"/>
      <c r="L11245" s="16" t="str">
        <f>IFERROR(__xludf.DUMMYFUNCTION("""COMPUTED_VALUE"""),"")</f>
        <v/>
      </c>
      <c r="M11245" s="16" t="str">
        <f>IFERROR(__xludf.DUMMYFUNCTION("""COMPUTED_VALUE"""),"")</f>
        <v/>
      </c>
      <c r="U11245" s="16" t="s">
        <v>87</v>
      </c>
      <c r="V11245" s="16" t="str">
        <f>IFERROR(__xludf.DUMMYFUNCTION("""COMPUTED_VALUE"""),"")</f>
        <v/>
      </c>
      <c r="W11245" s="16" t="str">
        <f>IFERROR(__xludf.DUMMYFUNCTION("""COMPUTED_VALUE"""),"")</f>
        <v/>
      </c>
      <c r="X11245" s="16" t="str">
        <f>IFERROR(__xludf.DUMMYFUNCTION("""COMPUTED_VALUE"""),"")</f>
        <v/>
      </c>
      <c r="AC11245" s="16" t="str">
        <f>IFERROR(__xludf.DUMMYFUNCTION("""COMPUTED_VALUE"""),"")</f>
        <v/>
      </c>
    </row>
    <row r="11246">
      <c r="A11246" s="16" t="s">
        <v>87</v>
      </c>
      <c r="E11246" s="16" t="str">
        <f>IFERROR(__xludf.DUMMYFUNCTION("""COMPUTED_VALUE"""),"")</f>
        <v/>
      </c>
      <c r="G11246" s="18"/>
      <c r="H11246" s="16" t="s">
        <v>87</v>
      </c>
      <c r="I11246" s="16" t="s">
        <v>87</v>
      </c>
      <c r="J11246" s="19"/>
      <c r="L11246" s="16" t="str">
        <f>IFERROR(__xludf.DUMMYFUNCTION("""COMPUTED_VALUE"""),"")</f>
        <v/>
      </c>
      <c r="M11246" s="16" t="str">
        <f>IFERROR(__xludf.DUMMYFUNCTION("""COMPUTED_VALUE"""),"")</f>
        <v/>
      </c>
      <c r="U11246" s="16" t="s">
        <v>87</v>
      </c>
      <c r="V11246" s="16" t="str">
        <f>IFERROR(__xludf.DUMMYFUNCTION("""COMPUTED_VALUE"""),"")</f>
        <v/>
      </c>
      <c r="W11246" s="16" t="str">
        <f>IFERROR(__xludf.DUMMYFUNCTION("""COMPUTED_VALUE"""),"")</f>
        <v/>
      </c>
      <c r="X11246" s="16" t="str">
        <f>IFERROR(__xludf.DUMMYFUNCTION("""COMPUTED_VALUE"""),"")</f>
        <v/>
      </c>
      <c r="AC11246" s="16" t="str">
        <f>IFERROR(__xludf.DUMMYFUNCTION("""COMPUTED_VALUE"""),"")</f>
        <v/>
      </c>
    </row>
    <row r="11247">
      <c r="A11247" s="16" t="s">
        <v>87</v>
      </c>
      <c r="E11247" s="16" t="str">
        <f>IFERROR(__xludf.DUMMYFUNCTION("""COMPUTED_VALUE"""),"")</f>
        <v/>
      </c>
      <c r="G11247" s="18"/>
      <c r="H11247" s="16" t="s">
        <v>87</v>
      </c>
      <c r="I11247" s="16" t="s">
        <v>87</v>
      </c>
      <c r="J11247" s="19"/>
      <c r="L11247" s="16" t="str">
        <f>IFERROR(__xludf.DUMMYFUNCTION("""COMPUTED_VALUE"""),"")</f>
        <v/>
      </c>
      <c r="M11247" s="16" t="str">
        <f>IFERROR(__xludf.DUMMYFUNCTION("""COMPUTED_VALUE"""),"")</f>
        <v/>
      </c>
      <c r="U11247" s="16" t="s">
        <v>87</v>
      </c>
      <c r="V11247" s="16" t="str">
        <f>IFERROR(__xludf.DUMMYFUNCTION("""COMPUTED_VALUE"""),"")</f>
        <v/>
      </c>
      <c r="W11247" s="16" t="str">
        <f>IFERROR(__xludf.DUMMYFUNCTION("""COMPUTED_VALUE"""),"")</f>
        <v/>
      </c>
      <c r="X11247" s="16" t="str">
        <f>IFERROR(__xludf.DUMMYFUNCTION("""COMPUTED_VALUE"""),"")</f>
        <v/>
      </c>
      <c r="AC11247" s="16" t="str">
        <f>IFERROR(__xludf.DUMMYFUNCTION("""COMPUTED_VALUE"""),"")</f>
        <v/>
      </c>
    </row>
    <row r="11248">
      <c r="A11248" s="16" t="s">
        <v>87</v>
      </c>
      <c r="E11248" s="16" t="str">
        <f>IFERROR(__xludf.DUMMYFUNCTION("""COMPUTED_VALUE"""),"")</f>
        <v/>
      </c>
      <c r="G11248" s="18"/>
      <c r="H11248" s="16" t="s">
        <v>87</v>
      </c>
      <c r="I11248" s="16" t="s">
        <v>87</v>
      </c>
      <c r="J11248" s="19"/>
      <c r="L11248" s="16" t="str">
        <f>IFERROR(__xludf.DUMMYFUNCTION("""COMPUTED_VALUE"""),"")</f>
        <v/>
      </c>
      <c r="M11248" s="16" t="str">
        <f>IFERROR(__xludf.DUMMYFUNCTION("""COMPUTED_VALUE"""),"")</f>
        <v/>
      </c>
      <c r="U11248" s="16" t="s">
        <v>87</v>
      </c>
      <c r="V11248" s="16" t="str">
        <f>IFERROR(__xludf.DUMMYFUNCTION("""COMPUTED_VALUE"""),"")</f>
        <v/>
      </c>
      <c r="W11248" s="16" t="str">
        <f>IFERROR(__xludf.DUMMYFUNCTION("""COMPUTED_VALUE"""),"")</f>
        <v/>
      </c>
      <c r="X11248" s="16" t="str">
        <f>IFERROR(__xludf.DUMMYFUNCTION("""COMPUTED_VALUE"""),"")</f>
        <v/>
      </c>
      <c r="AC11248" s="16" t="str">
        <f>IFERROR(__xludf.DUMMYFUNCTION("""COMPUTED_VALUE"""),"")</f>
        <v/>
      </c>
    </row>
    <row r="11249">
      <c r="A11249" s="16" t="s">
        <v>87</v>
      </c>
      <c r="E11249" s="16" t="str">
        <f>IFERROR(__xludf.DUMMYFUNCTION("""COMPUTED_VALUE"""),"")</f>
        <v/>
      </c>
      <c r="G11249" s="18"/>
      <c r="H11249" s="16" t="s">
        <v>87</v>
      </c>
      <c r="I11249" s="16" t="s">
        <v>87</v>
      </c>
      <c r="J11249" s="19"/>
      <c r="L11249" s="16" t="str">
        <f>IFERROR(__xludf.DUMMYFUNCTION("""COMPUTED_VALUE"""),"")</f>
        <v/>
      </c>
      <c r="M11249" s="16" t="str">
        <f>IFERROR(__xludf.DUMMYFUNCTION("""COMPUTED_VALUE"""),"")</f>
        <v/>
      </c>
      <c r="U11249" s="16" t="s">
        <v>87</v>
      </c>
      <c r="V11249" s="16" t="str">
        <f>IFERROR(__xludf.DUMMYFUNCTION("""COMPUTED_VALUE"""),"")</f>
        <v/>
      </c>
      <c r="W11249" s="16" t="str">
        <f>IFERROR(__xludf.DUMMYFUNCTION("""COMPUTED_VALUE"""),"")</f>
        <v/>
      </c>
      <c r="X11249" s="16" t="str">
        <f>IFERROR(__xludf.DUMMYFUNCTION("""COMPUTED_VALUE"""),"")</f>
        <v/>
      </c>
      <c r="AC11249" s="16" t="str">
        <f>IFERROR(__xludf.DUMMYFUNCTION("""COMPUTED_VALUE"""),"")</f>
        <v/>
      </c>
    </row>
    <row r="11250">
      <c r="A11250" s="16" t="s">
        <v>87</v>
      </c>
      <c r="E11250" s="16" t="str">
        <f>IFERROR(__xludf.DUMMYFUNCTION("""COMPUTED_VALUE"""),"")</f>
        <v/>
      </c>
      <c r="G11250" s="18"/>
      <c r="H11250" s="16" t="s">
        <v>87</v>
      </c>
      <c r="I11250" s="16" t="s">
        <v>87</v>
      </c>
      <c r="J11250" s="19"/>
      <c r="L11250" s="16" t="str">
        <f>IFERROR(__xludf.DUMMYFUNCTION("""COMPUTED_VALUE"""),"")</f>
        <v/>
      </c>
      <c r="M11250" s="16" t="str">
        <f>IFERROR(__xludf.DUMMYFUNCTION("""COMPUTED_VALUE"""),"")</f>
        <v/>
      </c>
      <c r="U11250" s="16" t="s">
        <v>87</v>
      </c>
      <c r="V11250" s="16" t="str">
        <f>IFERROR(__xludf.DUMMYFUNCTION("""COMPUTED_VALUE"""),"")</f>
        <v/>
      </c>
      <c r="W11250" s="16" t="str">
        <f>IFERROR(__xludf.DUMMYFUNCTION("""COMPUTED_VALUE"""),"")</f>
        <v/>
      </c>
      <c r="X11250" s="16" t="str">
        <f>IFERROR(__xludf.DUMMYFUNCTION("""COMPUTED_VALUE"""),"")</f>
        <v/>
      </c>
      <c r="AC11250" s="16" t="str">
        <f>IFERROR(__xludf.DUMMYFUNCTION("""COMPUTED_VALUE"""),"")</f>
        <v/>
      </c>
    </row>
    <row r="11251">
      <c r="A11251" s="16" t="s">
        <v>87</v>
      </c>
      <c r="E11251" s="16" t="str">
        <f>IFERROR(__xludf.DUMMYFUNCTION("""COMPUTED_VALUE"""),"")</f>
        <v/>
      </c>
      <c r="G11251" s="18"/>
      <c r="H11251" s="16" t="s">
        <v>87</v>
      </c>
      <c r="I11251" s="16" t="s">
        <v>87</v>
      </c>
      <c r="J11251" s="19"/>
      <c r="L11251" s="16" t="str">
        <f>IFERROR(__xludf.DUMMYFUNCTION("""COMPUTED_VALUE"""),"")</f>
        <v/>
      </c>
      <c r="M11251" s="16" t="str">
        <f>IFERROR(__xludf.DUMMYFUNCTION("""COMPUTED_VALUE"""),"")</f>
        <v/>
      </c>
      <c r="U11251" s="16" t="s">
        <v>87</v>
      </c>
      <c r="V11251" s="16" t="str">
        <f>IFERROR(__xludf.DUMMYFUNCTION("""COMPUTED_VALUE"""),"")</f>
        <v/>
      </c>
      <c r="W11251" s="16" t="str">
        <f>IFERROR(__xludf.DUMMYFUNCTION("""COMPUTED_VALUE"""),"")</f>
        <v/>
      </c>
      <c r="X11251" s="16" t="str">
        <f>IFERROR(__xludf.DUMMYFUNCTION("""COMPUTED_VALUE"""),"")</f>
        <v/>
      </c>
      <c r="AC11251" s="16" t="str">
        <f>IFERROR(__xludf.DUMMYFUNCTION("""COMPUTED_VALUE"""),"")</f>
        <v/>
      </c>
    </row>
    <row r="11252">
      <c r="A11252" s="16" t="s">
        <v>87</v>
      </c>
      <c r="E11252" s="16" t="str">
        <f>IFERROR(__xludf.DUMMYFUNCTION("""COMPUTED_VALUE"""),"")</f>
        <v/>
      </c>
      <c r="G11252" s="18"/>
      <c r="H11252" s="16" t="s">
        <v>87</v>
      </c>
      <c r="I11252" s="16" t="s">
        <v>87</v>
      </c>
      <c r="J11252" s="19"/>
      <c r="L11252" s="16" t="str">
        <f>IFERROR(__xludf.DUMMYFUNCTION("""COMPUTED_VALUE"""),"")</f>
        <v/>
      </c>
      <c r="M11252" s="16" t="str">
        <f>IFERROR(__xludf.DUMMYFUNCTION("""COMPUTED_VALUE"""),"")</f>
        <v/>
      </c>
      <c r="U11252" s="16" t="s">
        <v>87</v>
      </c>
      <c r="V11252" s="16" t="str">
        <f>IFERROR(__xludf.DUMMYFUNCTION("""COMPUTED_VALUE"""),"")</f>
        <v/>
      </c>
      <c r="W11252" s="16" t="str">
        <f>IFERROR(__xludf.DUMMYFUNCTION("""COMPUTED_VALUE"""),"")</f>
        <v/>
      </c>
      <c r="X11252" s="16" t="str">
        <f>IFERROR(__xludf.DUMMYFUNCTION("""COMPUTED_VALUE"""),"")</f>
        <v/>
      </c>
      <c r="AC11252" s="16" t="str">
        <f>IFERROR(__xludf.DUMMYFUNCTION("""COMPUTED_VALUE"""),"")</f>
        <v/>
      </c>
    </row>
    <row r="11253">
      <c r="A11253" s="16" t="s">
        <v>87</v>
      </c>
      <c r="E11253" s="16" t="str">
        <f>IFERROR(__xludf.DUMMYFUNCTION("""COMPUTED_VALUE"""),"")</f>
        <v/>
      </c>
      <c r="G11253" s="18"/>
      <c r="H11253" s="16" t="s">
        <v>87</v>
      </c>
      <c r="I11253" s="16" t="s">
        <v>87</v>
      </c>
      <c r="J11253" s="19"/>
      <c r="L11253" s="16" t="str">
        <f>IFERROR(__xludf.DUMMYFUNCTION("""COMPUTED_VALUE"""),"")</f>
        <v/>
      </c>
      <c r="M11253" s="16" t="str">
        <f>IFERROR(__xludf.DUMMYFUNCTION("""COMPUTED_VALUE"""),"")</f>
        <v/>
      </c>
      <c r="U11253" s="16" t="s">
        <v>87</v>
      </c>
      <c r="V11253" s="16" t="str">
        <f>IFERROR(__xludf.DUMMYFUNCTION("""COMPUTED_VALUE"""),"")</f>
        <v/>
      </c>
      <c r="W11253" s="16" t="str">
        <f>IFERROR(__xludf.DUMMYFUNCTION("""COMPUTED_VALUE"""),"")</f>
        <v/>
      </c>
      <c r="X11253" s="16" t="str">
        <f>IFERROR(__xludf.DUMMYFUNCTION("""COMPUTED_VALUE"""),"")</f>
        <v/>
      </c>
      <c r="AC11253" s="16" t="str">
        <f>IFERROR(__xludf.DUMMYFUNCTION("""COMPUTED_VALUE"""),"")</f>
        <v/>
      </c>
    </row>
    <row r="11254">
      <c r="A11254" s="16" t="s">
        <v>87</v>
      </c>
      <c r="E11254" s="16" t="str">
        <f>IFERROR(__xludf.DUMMYFUNCTION("""COMPUTED_VALUE"""),"")</f>
        <v/>
      </c>
      <c r="G11254" s="18"/>
      <c r="H11254" s="16" t="s">
        <v>87</v>
      </c>
      <c r="I11254" s="16" t="s">
        <v>87</v>
      </c>
      <c r="J11254" s="19"/>
      <c r="L11254" s="16" t="str">
        <f>IFERROR(__xludf.DUMMYFUNCTION("""COMPUTED_VALUE"""),"")</f>
        <v/>
      </c>
      <c r="M11254" s="16" t="str">
        <f>IFERROR(__xludf.DUMMYFUNCTION("""COMPUTED_VALUE"""),"")</f>
        <v/>
      </c>
      <c r="U11254" s="16" t="s">
        <v>87</v>
      </c>
      <c r="V11254" s="16" t="str">
        <f>IFERROR(__xludf.DUMMYFUNCTION("""COMPUTED_VALUE"""),"")</f>
        <v/>
      </c>
      <c r="W11254" s="16" t="str">
        <f>IFERROR(__xludf.DUMMYFUNCTION("""COMPUTED_VALUE"""),"")</f>
        <v/>
      </c>
      <c r="X11254" s="16" t="str">
        <f>IFERROR(__xludf.DUMMYFUNCTION("""COMPUTED_VALUE"""),"")</f>
        <v/>
      </c>
      <c r="AC11254" s="16" t="str">
        <f>IFERROR(__xludf.DUMMYFUNCTION("""COMPUTED_VALUE"""),"")</f>
        <v/>
      </c>
    </row>
    <row r="11255">
      <c r="A11255" s="16" t="s">
        <v>87</v>
      </c>
      <c r="E11255" s="16" t="str">
        <f>IFERROR(__xludf.DUMMYFUNCTION("""COMPUTED_VALUE"""),"")</f>
        <v/>
      </c>
      <c r="G11255" s="18"/>
      <c r="H11255" s="16" t="s">
        <v>87</v>
      </c>
      <c r="I11255" s="16" t="s">
        <v>87</v>
      </c>
      <c r="J11255" s="19"/>
      <c r="L11255" s="16" t="str">
        <f>IFERROR(__xludf.DUMMYFUNCTION("""COMPUTED_VALUE"""),"")</f>
        <v/>
      </c>
      <c r="M11255" s="16" t="str">
        <f>IFERROR(__xludf.DUMMYFUNCTION("""COMPUTED_VALUE"""),"")</f>
        <v/>
      </c>
      <c r="U11255" s="16" t="s">
        <v>87</v>
      </c>
      <c r="V11255" s="16" t="str">
        <f>IFERROR(__xludf.DUMMYFUNCTION("""COMPUTED_VALUE"""),"")</f>
        <v/>
      </c>
      <c r="W11255" s="16" t="str">
        <f>IFERROR(__xludf.DUMMYFUNCTION("""COMPUTED_VALUE"""),"")</f>
        <v/>
      </c>
      <c r="X11255" s="16" t="str">
        <f>IFERROR(__xludf.DUMMYFUNCTION("""COMPUTED_VALUE"""),"")</f>
        <v/>
      </c>
      <c r="AC11255" s="16" t="str">
        <f>IFERROR(__xludf.DUMMYFUNCTION("""COMPUTED_VALUE"""),"")</f>
        <v/>
      </c>
    </row>
    <row r="11256">
      <c r="A11256" s="16" t="s">
        <v>87</v>
      </c>
      <c r="E11256" s="16" t="str">
        <f>IFERROR(__xludf.DUMMYFUNCTION("""COMPUTED_VALUE"""),"")</f>
        <v/>
      </c>
      <c r="G11256" s="18"/>
      <c r="H11256" s="16" t="s">
        <v>87</v>
      </c>
      <c r="I11256" s="16" t="s">
        <v>87</v>
      </c>
      <c r="J11256" s="19"/>
      <c r="L11256" s="16" t="str">
        <f>IFERROR(__xludf.DUMMYFUNCTION("""COMPUTED_VALUE"""),"")</f>
        <v/>
      </c>
      <c r="M11256" s="16" t="str">
        <f>IFERROR(__xludf.DUMMYFUNCTION("""COMPUTED_VALUE"""),"")</f>
        <v/>
      </c>
      <c r="U11256" s="16" t="s">
        <v>87</v>
      </c>
      <c r="V11256" s="16" t="str">
        <f>IFERROR(__xludf.DUMMYFUNCTION("""COMPUTED_VALUE"""),"")</f>
        <v/>
      </c>
      <c r="W11256" s="16" t="str">
        <f>IFERROR(__xludf.DUMMYFUNCTION("""COMPUTED_VALUE"""),"")</f>
        <v/>
      </c>
      <c r="X11256" s="16" t="str">
        <f>IFERROR(__xludf.DUMMYFUNCTION("""COMPUTED_VALUE"""),"")</f>
        <v/>
      </c>
      <c r="AC11256" s="16" t="str">
        <f>IFERROR(__xludf.DUMMYFUNCTION("""COMPUTED_VALUE"""),"")</f>
        <v/>
      </c>
    </row>
    <row r="11257">
      <c r="A11257" s="16" t="s">
        <v>87</v>
      </c>
      <c r="E11257" s="16" t="str">
        <f>IFERROR(__xludf.DUMMYFUNCTION("""COMPUTED_VALUE"""),"")</f>
        <v/>
      </c>
      <c r="G11257" s="18"/>
      <c r="H11257" s="16" t="s">
        <v>87</v>
      </c>
      <c r="I11257" s="16" t="s">
        <v>87</v>
      </c>
      <c r="J11257" s="19"/>
      <c r="L11257" s="16" t="str">
        <f>IFERROR(__xludf.DUMMYFUNCTION("""COMPUTED_VALUE"""),"")</f>
        <v/>
      </c>
      <c r="M11257" s="16" t="str">
        <f>IFERROR(__xludf.DUMMYFUNCTION("""COMPUTED_VALUE"""),"")</f>
        <v/>
      </c>
      <c r="U11257" s="16" t="s">
        <v>87</v>
      </c>
      <c r="V11257" s="16" t="str">
        <f>IFERROR(__xludf.DUMMYFUNCTION("""COMPUTED_VALUE"""),"")</f>
        <v/>
      </c>
      <c r="W11257" s="16" t="str">
        <f>IFERROR(__xludf.DUMMYFUNCTION("""COMPUTED_VALUE"""),"")</f>
        <v/>
      </c>
      <c r="X11257" s="16" t="str">
        <f>IFERROR(__xludf.DUMMYFUNCTION("""COMPUTED_VALUE"""),"")</f>
        <v/>
      </c>
      <c r="AC11257" s="16" t="str">
        <f>IFERROR(__xludf.DUMMYFUNCTION("""COMPUTED_VALUE"""),"")</f>
        <v/>
      </c>
    </row>
    <row r="11258">
      <c r="A11258" s="16" t="s">
        <v>87</v>
      </c>
      <c r="E11258" s="16" t="str">
        <f>IFERROR(__xludf.DUMMYFUNCTION("""COMPUTED_VALUE"""),"")</f>
        <v/>
      </c>
      <c r="G11258" s="18"/>
      <c r="H11258" s="16" t="s">
        <v>87</v>
      </c>
      <c r="I11258" s="16" t="s">
        <v>87</v>
      </c>
      <c r="J11258" s="19"/>
      <c r="L11258" s="16" t="str">
        <f>IFERROR(__xludf.DUMMYFUNCTION("""COMPUTED_VALUE"""),"")</f>
        <v/>
      </c>
      <c r="M11258" s="16" t="str">
        <f>IFERROR(__xludf.DUMMYFUNCTION("""COMPUTED_VALUE"""),"")</f>
        <v/>
      </c>
      <c r="U11258" s="16" t="s">
        <v>87</v>
      </c>
      <c r="V11258" s="16" t="str">
        <f>IFERROR(__xludf.DUMMYFUNCTION("""COMPUTED_VALUE"""),"")</f>
        <v/>
      </c>
      <c r="W11258" s="16" t="str">
        <f>IFERROR(__xludf.DUMMYFUNCTION("""COMPUTED_VALUE"""),"")</f>
        <v/>
      </c>
      <c r="X11258" s="16" t="str">
        <f>IFERROR(__xludf.DUMMYFUNCTION("""COMPUTED_VALUE"""),"")</f>
        <v/>
      </c>
      <c r="AC11258" s="16" t="str">
        <f>IFERROR(__xludf.DUMMYFUNCTION("""COMPUTED_VALUE"""),"")</f>
        <v/>
      </c>
    </row>
    <row r="11259">
      <c r="A11259" s="16" t="s">
        <v>87</v>
      </c>
      <c r="E11259" s="16" t="str">
        <f>IFERROR(__xludf.DUMMYFUNCTION("""COMPUTED_VALUE"""),"")</f>
        <v/>
      </c>
      <c r="G11259" s="18"/>
      <c r="H11259" s="16" t="s">
        <v>87</v>
      </c>
      <c r="I11259" s="16" t="s">
        <v>87</v>
      </c>
      <c r="J11259" s="19"/>
      <c r="L11259" s="16" t="str">
        <f>IFERROR(__xludf.DUMMYFUNCTION("""COMPUTED_VALUE"""),"")</f>
        <v/>
      </c>
      <c r="M11259" s="16" t="str">
        <f>IFERROR(__xludf.DUMMYFUNCTION("""COMPUTED_VALUE"""),"")</f>
        <v/>
      </c>
      <c r="U11259" s="16" t="s">
        <v>87</v>
      </c>
      <c r="V11259" s="16" t="str">
        <f>IFERROR(__xludf.DUMMYFUNCTION("""COMPUTED_VALUE"""),"")</f>
        <v/>
      </c>
      <c r="W11259" s="16" t="str">
        <f>IFERROR(__xludf.DUMMYFUNCTION("""COMPUTED_VALUE"""),"")</f>
        <v/>
      </c>
      <c r="X11259" s="16" t="str">
        <f>IFERROR(__xludf.DUMMYFUNCTION("""COMPUTED_VALUE"""),"")</f>
        <v/>
      </c>
      <c r="AC11259" s="16" t="str">
        <f>IFERROR(__xludf.DUMMYFUNCTION("""COMPUTED_VALUE"""),"")</f>
        <v/>
      </c>
    </row>
    <row r="11260">
      <c r="A11260" s="16" t="s">
        <v>87</v>
      </c>
      <c r="E11260" s="16" t="str">
        <f>IFERROR(__xludf.DUMMYFUNCTION("""COMPUTED_VALUE"""),"")</f>
        <v/>
      </c>
      <c r="G11260" s="18"/>
      <c r="H11260" s="16" t="s">
        <v>87</v>
      </c>
      <c r="I11260" s="16" t="s">
        <v>87</v>
      </c>
      <c r="J11260" s="19"/>
      <c r="L11260" s="16" t="str">
        <f>IFERROR(__xludf.DUMMYFUNCTION("""COMPUTED_VALUE"""),"")</f>
        <v/>
      </c>
      <c r="M11260" s="16" t="str">
        <f>IFERROR(__xludf.DUMMYFUNCTION("""COMPUTED_VALUE"""),"")</f>
        <v/>
      </c>
      <c r="U11260" s="16" t="s">
        <v>87</v>
      </c>
      <c r="V11260" s="16" t="str">
        <f>IFERROR(__xludf.DUMMYFUNCTION("""COMPUTED_VALUE"""),"")</f>
        <v/>
      </c>
      <c r="W11260" s="16" t="str">
        <f>IFERROR(__xludf.DUMMYFUNCTION("""COMPUTED_VALUE"""),"")</f>
        <v/>
      </c>
      <c r="X11260" s="16" t="str">
        <f>IFERROR(__xludf.DUMMYFUNCTION("""COMPUTED_VALUE"""),"")</f>
        <v/>
      </c>
      <c r="AC11260" s="16" t="str">
        <f>IFERROR(__xludf.DUMMYFUNCTION("""COMPUTED_VALUE"""),"")</f>
        <v/>
      </c>
    </row>
    <row r="11261">
      <c r="A11261" s="16" t="s">
        <v>87</v>
      </c>
      <c r="E11261" s="16" t="str">
        <f>IFERROR(__xludf.DUMMYFUNCTION("""COMPUTED_VALUE"""),"")</f>
        <v/>
      </c>
      <c r="G11261" s="18"/>
      <c r="H11261" s="16" t="s">
        <v>87</v>
      </c>
      <c r="I11261" s="16" t="s">
        <v>87</v>
      </c>
      <c r="J11261" s="19"/>
      <c r="L11261" s="16" t="str">
        <f>IFERROR(__xludf.DUMMYFUNCTION("""COMPUTED_VALUE"""),"")</f>
        <v/>
      </c>
      <c r="M11261" s="16" t="str">
        <f>IFERROR(__xludf.DUMMYFUNCTION("""COMPUTED_VALUE"""),"")</f>
        <v/>
      </c>
      <c r="U11261" s="16" t="s">
        <v>87</v>
      </c>
      <c r="V11261" s="16" t="str">
        <f>IFERROR(__xludf.DUMMYFUNCTION("""COMPUTED_VALUE"""),"")</f>
        <v/>
      </c>
      <c r="W11261" s="16" t="str">
        <f>IFERROR(__xludf.DUMMYFUNCTION("""COMPUTED_VALUE"""),"")</f>
        <v/>
      </c>
      <c r="X11261" s="16" t="str">
        <f>IFERROR(__xludf.DUMMYFUNCTION("""COMPUTED_VALUE"""),"")</f>
        <v/>
      </c>
      <c r="AC11261" s="16" t="str">
        <f>IFERROR(__xludf.DUMMYFUNCTION("""COMPUTED_VALUE"""),"")</f>
        <v/>
      </c>
    </row>
    <row r="11262">
      <c r="A11262" s="16" t="s">
        <v>87</v>
      </c>
      <c r="E11262" s="16" t="str">
        <f>IFERROR(__xludf.DUMMYFUNCTION("""COMPUTED_VALUE"""),"")</f>
        <v/>
      </c>
      <c r="G11262" s="18"/>
      <c r="H11262" s="16" t="s">
        <v>87</v>
      </c>
      <c r="I11262" s="16" t="s">
        <v>87</v>
      </c>
      <c r="J11262" s="19"/>
      <c r="L11262" s="16" t="str">
        <f>IFERROR(__xludf.DUMMYFUNCTION("""COMPUTED_VALUE"""),"")</f>
        <v/>
      </c>
      <c r="M11262" s="16" t="str">
        <f>IFERROR(__xludf.DUMMYFUNCTION("""COMPUTED_VALUE"""),"")</f>
        <v/>
      </c>
      <c r="U11262" s="16" t="s">
        <v>87</v>
      </c>
      <c r="V11262" s="16" t="str">
        <f>IFERROR(__xludf.DUMMYFUNCTION("""COMPUTED_VALUE"""),"")</f>
        <v/>
      </c>
      <c r="W11262" s="16" t="str">
        <f>IFERROR(__xludf.DUMMYFUNCTION("""COMPUTED_VALUE"""),"")</f>
        <v/>
      </c>
      <c r="X11262" s="16" t="str">
        <f>IFERROR(__xludf.DUMMYFUNCTION("""COMPUTED_VALUE"""),"")</f>
        <v/>
      </c>
      <c r="AC11262" s="16" t="str">
        <f>IFERROR(__xludf.DUMMYFUNCTION("""COMPUTED_VALUE"""),"")</f>
        <v/>
      </c>
    </row>
    <row r="11263">
      <c r="A11263" s="16" t="s">
        <v>87</v>
      </c>
      <c r="E11263" s="16" t="str">
        <f>IFERROR(__xludf.DUMMYFUNCTION("""COMPUTED_VALUE"""),"")</f>
        <v/>
      </c>
      <c r="G11263" s="18"/>
      <c r="H11263" s="16" t="s">
        <v>87</v>
      </c>
      <c r="I11263" s="16" t="s">
        <v>87</v>
      </c>
      <c r="J11263" s="19"/>
      <c r="L11263" s="16" t="str">
        <f>IFERROR(__xludf.DUMMYFUNCTION("""COMPUTED_VALUE"""),"")</f>
        <v/>
      </c>
      <c r="M11263" s="16" t="str">
        <f>IFERROR(__xludf.DUMMYFUNCTION("""COMPUTED_VALUE"""),"")</f>
        <v/>
      </c>
      <c r="U11263" s="16" t="s">
        <v>87</v>
      </c>
      <c r="V11263" s="16" t="str">
        <f>IFERROR(__xludf.DUMMYFUNCTION("""COMPUTED_VALUE"""),"")</f>
        <v/>
      </c>
      <c r="W11263" s="16" t="str">
        <f>IFERROR(__xludf.DUMMYFUNCTION("""COMPUTED_VALUE"""),"")</f>
        <v/>
      </c>
      <c r="X11263" s="16" t="str">
        <f>IFERROR(__xludf.DUMMYFUNCTION("""COMPUTED_VALUE"""),"")</f>
        <v/>
      </c>
      <c r="AC11263" s="16" t="str">
        <f>IFERROR(__xludf.DUMMYFUNCTION("""COMPUTED_VALUE"""),"")</f>
        <v/>
      </c>
    </row>
    <row r="11264">
      <c r="A11264" s="16" t="s">
        <v>87</v>
      </c>
      <c r="E11264" s="16" t="str">
        <f>IFERROR(__xludf.DUMMYFUNCTION("""COMPUTED_VALUE"""),"")</f>
        <v/>
      </c>
      <c r="G11264" s="18"/>
      <c r="H11264" s="16" t="s">
        <v>87</v>
      </c>
      <c r="I11264" s="16" t="s">
        <v>87</v>
      </c>
      <c r="J11264" s="19"/>
      <c r="L11264" s="16" t="str">
        <f>IFERROR(__xludf.DUMMYFUNCTION("""COMPUTED_VALUE"""),"")</f>
        <v/>
      </c>
      <c r="M11264" s="16" t="str">
        <f>IFERROR(__xludf.DUMMYFUNCTION("""COMPUTED_VALUE"""),"")</f>
        <v/>
      </c>
      <c r="U11264" s="16" t="s">
        <v>87</v>
      </c>
      <c r="V11264" s="16" t="str">
        <f>IFERROR(__xludf.DUMMYFUNCTION("""COMPUTED_VALUE"""),"")</f>
        <v/>
      </c>
      <c r="W11264" s="16" t="str">
        <f>IFERROR(__xludf.DUMMYFUNCTION("""COMPUTED_VALUE"""),"")</f>
        <v/>
      </c>
      <c r="X11264" s="16" t="str">
        <f>IFERROR(__xludf.DUMMYFUNCTION("""COMPUTED_VALUE"""),"")</f>
        <v/>
      </c>
      <c r="AC11264" s="16" t="str">
        <f>IFERROR(__xludf.DUMMYFUNCTION("""COMPUTED_VALUE"""),"")</f>
        <v/>
      </c>
    </row>
    <row r="11265">
      <c r="A11265" s="16" t="s">
        <v>87</v>
      </c>
      <c r="E11265" s="16" t="str">
        <f>IFERROR(__xludf.DUMMYFUNCTION("""COMPUTED_VALUE"""),"")</f>
        <v/>
      </c>
      <c r="G11265" s="18"/>
      <c r="H11265" s="16" t="s">
        <v>87</v>
      </c>
      <c r="I11265" s="16" t="s">
        <v>87</v>
      </c>
      <c r="J11265" s="19"/>
      <c r="L11265" s="16" t="str">
        <f>IFERROR(__xludf.DUMMYFUNCTION("""COMPUTED_VALUE"""),"")</f>
        <v/>
      </c>
      <c r="M11265" s="16" t="str">
        <f>IFERROR(__xludf.DUMMYFUNCTION("""COMPUTED_VALUE"""),"")</f>
        <v/>
      </c>
      <c r="U11265" s="16" t="s">
        <v>87</v>
      </c>
      <c r="V11265" s="16" t="str">
        <f>IFERROR(__xludf.DUMMYFUNCTION("""COMPUTED_VALUE"""),"")</f>
        <v/>
      </c>
      <c r="W11265" s="16" t="str">
        <f>IFERROR(__xludf.DUMMYFUNCTION("""COMPUTED_VALUE"""),"")</f>
        <v/>
      </c>
      <c r="X11265" s="16" t="str">
        <f>IFERROR(__xludf.DUMMYFUNCTION("""COMPUTED_VALUE"""),"")</f>
        <v/>
      </c>
      <c r="AC11265" s="16" t="str">
        <f>IFERROR(__xludf.DUMMYFUNCTION("""COMPUTED_VALUE"""),"")</f>
        <v/>
      </c>
    </row>
    <row r="11266">
      <c r="A11266" s="16" t="s">
        <v>87</v>
      </c>
      <c r="E11266" s="16" t="str">
        <f>IFERROR(__xludf.DUMMYFUNCTION("""COMPUTED_VALUE"""),"")</f>
        <v/>
      </c>
      <c r="G11266" s="18"/>
      <c r="H11266" s="16" t="s">
        <v>87</v>
      </c>
      <c r="I11266" s="16" t="s">
        <v>87</v>
      </c>
      <c r="J11266" s="19"/>
      <c r="L11266" s="16" t="str">
        <f>IFERROR(__xludf.DUMMYFUNCTION("""COMPUTED_VALUE"""),"")</f>
        <v/>
      </c>
      <c r="M11266" s="16" t="str">
        <f>IFERROR(__xludf.DUMMYFUNCTION("""COMPUTED_VALUE"""),"")</f>
        <v/>
      </c>
      <c r="U11266" s="16" t="s">
        <v>87</v>
      </c>
      <c r="V11266" s="16" t="str">
        <f>IFERROR(__xludf.DUMMYFUNCTION("""COMPUTED_VALUE"""),"")</f>
        <v/>
      </c>
      <c r="W11266" s="16" t="str">
        <f>IFERROR(__xludf.DUMMYFUNCTION("""COMPUTED_VALUE"""),"")</f>
        <v/>
      </c>
      <c r="X11266" s="16" t="str">
        <f>IFERROR(__xludf.DUMMYFUNCTION("""COMPUTED_VALUE"""),"")</f>
        <v/>
      </c>
      <c r="AC11266" s="16" t="str">
        <f>IFERROR(__xludf.DUMMYFUNCTION("""COMPUTED_VALUE"""),"")</f>
        <v/>
      </c>
    </row>
    <row r="11267">
      <c r="A11267" s="16" t="s">
        <v>87</v>
      </c>
      <c r="E11267" s="16" t="str">
        <f>IFERROR(__xludf.DUMMYFUNCTION("""COMPUTED_VALUE"""),"")</f>
        <v/>
      </c>
      <c r="G11267" s="18"/>
      <c r="H11267" s="16" t="s">
        <v>87</v>
      </c>
      <c r="I11267" s="16" t="s">
        <v>87</v>
      </c>
      <c r="J11267" s="19"/>
      <c r="L11267" s="16" t="str">
        <f>IFERROR(__xludf.DUMMYFUNCTION("""COMPUTED_VALUE"""),"")</f>
        <v/>
      </c>
      <c r="M11267" s="16" t="str">
        <f>IFERROR(__xludf.DUMMYFUNCTION("""COMPUTED_VALUE"""),"")</f>
        <v/>
      </c>
      <c r="U11267" s="16" t="s">
        <v>87</v>
      </c>
      <c r="V11267" s="16" t="str">
        <f>IFERROR(__xludf.DUMMYFUNCTION("""COMPUTED_VALUE"""),"")</f>
        <v/>
      </c>
      <c r="W11267" s="16" t="str">
        <f>IFERROR(__xludf.DUMMYFUNCTION("""COMPUTED_VALUE"""),"")</f>
        <v/>
      </c>
      <c r="X11267" s="16" t="str">
        <f>IFERROR(__xludf.DUMMYFUNCTION("""COMPUTED_VALUE"""),"")</f>
        <v/>
      </c>
      <c r="AC11267" s="16" t="str">
        <f>IFERROR(__xludf.DUMMYFUNCTION("""COMPUTED_VALUE"""),"")</f>
        <v/>
      </c>
    </row>
    <row r="11268">
      <c r="A11268" s="16" t="s">
        <v>87</v>
      </c>
      <c r="E11268" s="16" t="str">
        <f>IFERROR(__xludf.DUMMYFUNCTION("""COMPUTED_VALUE"""),"")</f>
        <v/>
      </c>
      <c r="G11268" s="18"/>
      <c r="H11268" s="16" t="s">
        <v>87</v>
      </c>
      <c r="I11268" s="16" t="s">
        <v>87</v>
      </c>
      <c r="J11268" s="19"/>
      <c r="L11268" s="16" t="str">
        <f>IFERROR(__xludf.DUMMYFUNCTION("""COMPUTED_VALUE"""),"")</f>
        <v/>
      </c>
      <c r="M11268" s="16" t="str">
        <f>IFERROR(__xludf.DUMMYFUNCTION("""COMPUTED_VALUE"""),"")</f>
        <v/>
      </c>
      <c r="U11268" s="16" t="s">
        <v>87</v>
      </c>
      <c r="V11268" s="16" t="str">
        <f>IFERROR(__xludf.DUMMYFUNCTION("""COMPUTED_VALUE"""),"")</f>
        <v/>
      </c>
      <c r="W11268" s="16" t="str">
        <f>IFERROR(__xludf.DUMMYFUNCTION("""COMPUTED_VALUE"""),"")</f>
        <v/>
      </c>
      <c r="X11268" s="16" t="str">
        <f>IFERROR(__xludf.DUMMYFUNCTION("""COMPUTED_VALUE"""),"")</f>
        <v/>
      </c>
      <c r="AC11268" s="16" t="str">
        <f>IFERROR(__xludf.DUMMYFUNCTION("""COMPUTED_VALUE"""),"")</f>
        <v/>
      </c>
    </row>
    <row r="11269">
      <c r="A11269" s="16" t="s">
        <v>87</v>
      </c>
      <c r="E11269" s="16" t="str">
        <f>IFERROR(__xludf.DUMMYFUNCTION("""COMPUTED_VALUE"""),"")</f>
        <v/>
      </c>
      <c r="G11269" s="18"/>
      <c r="H11269" s="16" t="s">
        <v>87</v>
      </c>
      <c r="I11269" s="16" t="s">
        <v>87</v>
      </c>
      <c r="J11269" s="19"/>
      <c r="L11269" s="16" t="str">
        <f>IFERROR(__xludf.DUMMYFUNCTION("""COMPUTED_VALUE"""),"")</f>
        <v/>
      </c>
      <c r="M11269" s="16" t="str">
        <f>IFERROR(__xludf.DUMMYFUNCTION("""COMPUTED_VALUE"""),"")</f>
        <v/>
      </c>
      <c r="U11269" s="16" t="s">
        <v>87</v>
      </c>
      <c r="V11269" s="16" t="str">
        <f>IFERROR(__xludf.DUMMYFUNCTION("""COMPUTED_VALUE"""),"")</f>
        <v/>
      </c>
      <c r="W11269" s="16" t="str">
        <f>IFERROR(__xludf.DUMMYFUNCTION("""COMPUTED_VALUE"""),"")</f>
        <v/>
      </c>
      <c r="X11269" s="16" t="str">
        <f>IFERROR(__xludf.DUMMYFUNCTION("""COMPUTED_VALUE"""),"")</f>
        <v/>
      </c>
      <c r="AC11269" s="16" t="str">
        <f>IFERROR(__xludf.DUMMYFUNCTION("""COMPUTED_VALUE"""),"")</f>
        <v/>
      </c>
    </row>
    <row r="11270">
      <c r="A11270" s="16" t="s">
        <v>87</v>
      </c>
      <c r="E11270" s="16" t="str">
        <f>IFERROR(__xludf.DUMMYFUNCTION("""COMPUTED_VALUE"""),"")</f>
        <v/>
      </c>
      <c r="G11270" s="18"/>
      <c r="H11270" s="16" t="s">
        <v>87</v>
      </c>
      <c r="I11270" s="16" t="s">
        <v>87</v>
      </c>
      <c r="J11270" s="19"/>
      <c r="L11270" s="16" t="str">
        <f>IFERROR(__xludf.DUMMYFUNCTION("""COMPUTED_VALUE"""),"")</f>
        <v/>
      </c>
      <c r="M11270" s="16" t="str">
        <f>IFERROR(__xludf.DUMMYFUNCTION("""COMPUTED_VALUE"""),"")</f>
        <v/>
      </c>
      <c r="U11270" s="16" t="s">
        <v>87</v>
      </c>
      <c r="V11270" s="16" t="str">
        <f>IFERROR(__xludf.DUMMYFUNCTION("""COMPUTED_VALUE"""),"")</f>
        <v/>
      </c>
      <c r="W11270" s="16" t="str">
        <f>IFERROR(__xludf.DUMMYFUNCTION("""COMPUTED_VALUE"""),"")</f>
        <v/>
      </c>
      <c r="X11270" s="16" t="str">
        <f>IFERROR(__xludf.DUMMYFUNCTION("""COMPUTED_VALUE"""),"")</f>
        <v/>
      </c>
      <c r="AC11270" s="16" t="str">
        <f>IFERROR(__xludf.DUMMYFUNCTION("""COMPUTED_VALUE"""),"")</f>
        <v/>
      </c>
    </row>
    <row r="11271">
      <c r="A11271" s="16" t="s">
        <v>87</v>
      </c>
      <c r="E11271" s="16" t="str">
        <f>IFERROR(__xludf.DUMMYFUNCTION("""COMPUTED_VALUE"""),"")</f>
        <v/>
      </c>
      <c r="G11271" s="18"/>
      <c r="H11271" s="16" t="s">
        <v>87</v>
      </c>
      <c r="I11271" s="16" t="s">
        <v>87</v>
      </c>
      <c r="J11271" s="19"/>
      <c r="L11271" s="16" t="str">
        <f>IFERROR(__xludf.DUMMYFUNCTION("""COMPUTED_VALUE"""),"")</f>
        <v/>
      </c>
      <c r="M11271" s="16" t="str">
        <f>IFERROR(__xludf.DUMMYFUNCTION("""COMPUTED_VALUE"""),"")</f>
        <v/>
      </c>
      <c r="U11271" s="16" t="s">
        <v>87</v>
      </c>
      <c r="V11271" s="16" t="str">
        <f>IFERROR(__xludf.DUMMYFUNCTION("""COMPUTED_VALUE"""),"")</f>
        <v/>
      </c>
      <c r="W11271" s="16" t="str">
        <f>IFERROR(__xludf.DUMMYFUNCTION("""COMPUTED_VALUE"""),"")</f>
        <v/>
      </c>
      <c r="X11271" s="16" t="str">
        <f>IFERROR(__xludf.DUMMYFUNCTION("""COMPUTED_VALUE"""),"")</f>
        <v/>
      </c>
      <c r="AC11271" s="16" t="str">
        <f>IFERROR(__xludf.DUMMYFUNCTION("""COMPUTED_VALUE"""),"")</f>
        <v/>
      </c>
    </row>
    <row r="11272">
      <c r="A11272" s="16" t="s">
        <v>87</v>
      </c>
      <c r="E11272" s="16" t="str">
        <f>IFERROR(__xludf.DUMMYFUNCTION("""COMPUTED_VALUE"""),"")</f>
        <v/>
      </c>
      <c r="G11272" s="18"/>
      <c r="H11272" s="16" t="s">
        <v>87</v>
      </c>
      <c r="I11272" s="16" t="s">
        <v>87</v>
      </c>
      <c r="J11272" s="19"/>
      <c r="L11272" s="16" t="str">
        <f>IFERROR(__xludf.DUMMYFUNCTION("""COMPUTED_VALUE"""),"")</f>
        <v/>
      </c>
      <c r="M11272" s="16" t="str">
        <f>IFERROR(__xludf.DUMMYFUNCTION("""COMPUTED_VALUE"""),"")</f>
        <v/>
      </c>
      <c r="U11272" s="16" t="s">
        <v>87</v>
      </c>
      <c r="V11272" s="16" t="str">
        <f>IFERROR(__xludf.DUMMYFUNCTION("""COMPUTED_VALUE"""),"")</f>
        <v/>
      </c>
      <c r="W11272" s="16" t="str">
        <f>IFERROR(__xludf.DUMMYFUNCTION("""COMPUTED_VALUE"""),"")</f>
        <v/>
      </c>
      <c r="X11272" s="16" t="str">
        <f>IFERROR(__xludf.DUMMYFUNCTION("""COMPUTED_VALUE"""),"")</f>
        <v/>
      </c>
      <c r="AC11272" s="16" t="str">
        <f>IFERROR(__xludf.DUMMYFUNCTION("""COMPUTED_VALUE"""),"")</f>
        <v/>
      </c>
    </row>
    <row r="11273">
      <c r="A11273" s="16" t="s">
        <v>87</v>
      </c>
      <c r="E11273" s="16" t="str">
        <f>IFERROR(__xludf.DUMMYFUNCTION("""COMPUTED_VALUE"""),"")</f>
        <v/>
      </c>
      <c r="G11273" s="18"/>
      <c r="H11273" s="16" t="s">
        <v>87</v>
      </c>
      <c r="I11273" s="16" t="s">
        <v>87</v>
      </c>
      <c r="J11273" s="19"/>
      <c r="L11273" s="16" t="str">
        <f>IFERROR(__xludf.DUMMYFUNCTION("""COMPUTED_VALUE"""),"")</f>
        <v/>
      </c>
      <c r="M11273" s="16" t="str">
        <f>IFERROR(__xludf.DUMMYFUNCTION("""COMPUTED_VALUE"""),"")</f>
        <v/>
      </c>
      <c r="U11273" s="16" t="s">
        <v>87</v>
      </c>
      <c r="V11273" s="16" t="str">
        <f>IFERROR(__xludf.DUMMYFUNCTION("""COMPUTED_VALUE"""),"")</f>
        <v/>
      </c>
      <c r="W11273" s="16" t="str">
        <f>IFERROR(__xludf.DUMMYFUNCTION("""COMPUTED_VALUE"""),"")</f>
        <v/>
      </c>
      <c r="X11273" s="16" t="str">
        <f>IFERROR(__xludf.DUMMYFUNCTION("""COMPUTED_VALUE"""),"")</f>
        <v/>
      </c>
      <c r="AC11273" s="16" t="str">
        <f>IFERROR(__xludf.DUMMYFUNCTION("""COMPUTED_VALUE"""),"")</f>
        <v/>
      </c>
    </row>
    <row r="11274">
      <c r="A11274" s="16" t="s">
        <v>87</v>
      </c>
      <c r="E11274" s="16" t="str">
        <f>IFERROR(__xludf.DUMMYFUNCTION("""COMPUTED_VALUE"""),"")</f>
        <v/>
      </c>
      <c r="G11274" s="18"/>
      <c r="H11274" s="16" t="s">
        <v>87</v>
      </c>
      <c r="I11274" s="16" t="s">
        <v>87</v>
      </c>
      <c r="J11274" s="19"/>
      <c r="L11274" s="16" t="str">
        <f>IFERROR(__xludf.DUMMYFUNCTION("""COMPUTED_VALUE"""),"")</f>
        <v/>
      </c>
      <c r="M11274" s="16" t="str">
        <f>IFERROR(__xludf.DUMMYFUNCTION("""COMPUTED_VALUE"""),"")</f>
        <v/>
      </c>
      <c r="U11274" s="16" t="s">
        <v>87</v>
      </c>
      <c r="V11274" s="16" t="str">
        <f>IFERROR(__xludf.DUMMYFUNCTION("""COMPUTED_VALUE"""),"")</f>
        <v/>
      </c>
      <c r="W11274" s="16" t="str">
        <f>IFERROR(__xludf.DUMMYFUNCTION("""COMPUTED_VALUE"""),"")</f>
        <v/>
      </c>
      <c r="X11274" s="16" t="str">
        <f>IFERROR(__xludf.DUMMYFUNCTION("""COMPUTED_VALUE"""),"")</f>
        <v/>
      </c>
      <c r="AC11274" s="16" t="str">
        <f>IFERROR(__xludf.DUMMYFUNCTION("""COMPUTED_VALUE"""),"")</f>
        <v/>
      </c>
    </row>
    <row r="11275">
      <c r="A11275" s="16" t="s">
        <v>87</v>
      </c>
      <c r="E11275" s="16" t="str">
        <f>IFERROR(__xludf.DUMMYFUNCTION("""COMPUTED_VALUE"""),"")</f>
        <v/>
      </c>
      <c r="G11275" s="18"/>
      <c r="H11275" s="16" t="s">
        <v>87</v>
      </c>
      <c r="I11275" s="16" t="s">
        <v>87</v>
      </c>
      <c r="J11275" s="19"/>
      <c r="L11275" s="16" t="str">
        <f>IFERROR(__xludf.DUMMYFUNCTION("""COMPUTED_VALUE"""),"")</f>
        <v/>
      </c>
      <c r="M11275" s="16" t="str">
        <f>IFERROR(__xludf.DUMMYFUNCTION("""COMPUTED_VALUE"""),"")</f>
        <v/>
      </c>
      <c r="U11275" s="16" t="s">
        <v>87</v>
      </c>
      <c r="V11275" s="16" t="str">
        <f>IFERROR(__xludf.DUMMYFUNCTION("""COMPUTED_VALUE"""),"")</f>
        <v/>
      </c>
      <c r="W11275" s="16" t="str">
        <f>IFERROR(__xludf.DUMMYFUNCTION("""COMPUTED_VALUE"""),"")</f>
        <v/>
      </c>
      <c r="X11275" s="16" t="str">
        <f>IFERROR(__xludf.DUMMYFUNCTION("""COMPUTED_VALUE"""),"")</f>
        <v/>
      </c>
      <c r="AC11275" s="16" t="str">
        <f>IFERROR(__xludf.DUMMYFUNCTION("""COMPUTED_VALUE"""),"")</f>
        <v/>
      </c>
    </row>
    <row r="11276">
      <c r="A11276" s="16" t="s">
        <v>87</v>
      </c>
      <c r="E11276" s="16" t="str">
        <f>IFERROR(__xludf.DUMMYFUNCTION("""COMPUTED_VALUE"""),"")</f>
        <v/>
      </c>
      <c r="G11276" s="18"/>
      <c r="H11276" s="16" t="s">
        <v>87</v>
      </c>
      <c r="I11276" s="16" t="s">
        <v>87</v>
      </c>
      <c r="J11276" s="19"/>
      <c r="L11276" s="16" t="str">
        <f>IFERROR(__xludf.DUMMYFUNCTION("""COMPUTED_VALUE"""),"")</f>
        <v/>
      </c>
      <c r="M11276" s="16" t="str">
        <f>IFERROR(__xludf.DUMMYFUNCTION("""COMPUTED_VALUE"""),"")</f>
        <v/>
      </c>
      <c r="U11276" s="16" t="s">
        <v>87</v>
      </c>
      <c r="V11276" s="16" t="str">
        <f>IFERROR(__xludf.DUMMYFUNCTION("""COMPUTED_VALUE"""),"")</f>
        <v/>
      </c>
      <c r="W11276" s="16" t="str">
        <f>IFERROR(__xludf.DUMMYFUNCTION("""COMPUTED_VALUE"""),"")</f>
        <v/>
      </c>
      <c r="X11276" s="16" t="str">
        <f>IFERROR(__xludf.DUMMYFUNCTION("""COMPUTED_VALUE"""),"")</f>
        <v/>
      </c>
      <c r="AC11276" s="16" t="str">
        <f>IFERROR(__xludf.DUMMYFUNCTION("""COMPUTED_VALUE"""),"")</f>
        <v/>
      </c>
    </row>
    <row r="11277">
      <c r="A11277" s="16" t="s">
        <v>87</v>
      </c>
      <c r="E11277" s="16" t="str">
        <f>IFERROR(__xludf.DUMMYFUNCTION("""COMPUTED_VALUE"""),"")</f>
        <v/>
      </c>
      <c r="G11277" s="18"/>
      <c r="H11277" s="16" t="s">
        <v>87</v>
      </c>
      <c r="I11277" s="16" t="s">
        <v>87</v>
      </c>
      <c r="J11277" s="19"/>
      <c r="L11277" s="16" t="str">
        <f>IFERROR(__xludf.DUMMYFUNCTION("""COMPUTED_VALUE"""),"")</f>
        <v/>
      </c>
      <c r="M11277" s="16" t="str">
        <f>IFERROR(__xludf.DUMMYFUNCTION("""COMPUTED_VALUE"""),"")</f>
        <v/>
      </c>
      <c r="U11277" s="16" t="s">
        <v>87</v>
      </c>
      <c r="V11277" s="16" t="str">
        <f>IFERROR(__xludf.DUMMYFUNCTION("""COMPUTED_VALUE"""),"")</f>
        <v/>
      </c>
      <c r="W11277" s="16" t="str">
        <f>IFERROR(__xludf.DUMMYFUNCTION("""COMPUTED_VALUE"""),"")</f>
        <v/>
      </c>
      <c r="X11277" s="16" t="str">
        <f>IFERROR(__xludf.DUMMYFUNCTION("""COMPUTED_VALUE"""),"")</f>
        <v/>
      </c>
      <c r="AC11277" s="16" t="str">
        <f>IFERROR(__xludf.DUMMYFUNCTION("""COMPUTED_VALUE"""),"")</f>
        <v/>
      </c>
    </row>
    <row r="11278">
      <c r="A11278" s="16" t="s">
        <v>87</v>
      </c>
      <c r="E11278" s="16" t="str">
        <f>IFERROR(__xludf.DUMMYFUNCTION("""COMPUTED_VALUE"""),"")</f>
        <v/>
      </c>
      <c r="G11278" s="18"/>
      <c r="H11278" s="16" t="s">
        <v>87</v>
      </c>
      <c r="I11278" s="16" t="s">
        <v>87</v>
      </c>
      <c r="J11278" s="19"/>
      <c r="L11278" s="16" t="str">
        <f>IFERROR(__xludf.DUMMYFUNCTION("""COMPUTED_VALUE"""),"")</f>
        <v/>
      </c>
      <c r="M11278" s="16" t="str">
        <f>IFERROR(__xludf.DUMMYFUNCTION("""COMPUTED_VALUE"""),"")</f>
        <v/>
      </c>
      <c r="U11278" s="16" t="s">
        <v>87</v>
      </c>
      <c r="V11278" s="16" t="str">
        <f>IFERROR(__xludf.DUMMYFUNCTION("""COMPUTED_VALUE"""),"")</f>
        <v/>
      </c>
      <c r="W11278" s="16" t="str">
        <f>IFERROR(__xludf.DUMMYFUNCTION("""COMPUTED_VALUE"""),"")</f>
        <v/>
      </c>
      <c r="X11278" s="16" t="str">
        <f>IFERROR(__xludf.DUMMYFUNCTION("""COMPUTED_VALUE"""),"")</f>
        <v/>
      </c>
      <c r="AC11278" s="16" t="str">
        <f>IFERROR(__xludf.DUMMYFUNCTION("""COMPUTED_VALUE"""),"")</f>
        <v/>
      </c>
    </row>
    <row r="11279">
      <c r="A11279" s="16" t="s">
        <v>87</v>
      </c>
      <c r="E11279" s="16" t="str">
        <f>IFERROR(__xludf.DUMMYFUNCTION("""COMPUTED_VALUE"""),"")</f>
        <v/>
      </c>
      <c r="G11279" s="18"/>
      <c r="H11279" s="16" t="s">
        <v>87</v>
      </c>
      <c r="I11279" s="16" t="s">
        <v>87</v>
      </c>
      <c r="J11279" s="19"/>
      <c r="L11279" s="16" t="str">
        <f>IFERROR(__xludf.DUMMYFUNCTION("""COMPUTED_VALUE"""),"")</f>
        <v/>
      </c>
      <c r="M11279" s="16" t="str">
        <f>IFERROR(__xludf.DUMMYFUNCTION("""COMPUTED_VALUE"""),"")</f>
        <v/>
      </c>
      <c r="U11279" s="16" t="s">
        <v>87</v>
      </c>
      <c r="V11279" s="16" t="str">
        <f>IFERROR(__xludf.DUMMYFUNCTION("""COMPUTED_VALUE"""),"")</f>
        <v/>
      </c>
      <c r="W11279" s="16" t="str">
        <f>IFERROR(__xludf.DUMMYFUNCTION("""COMPUTED_VALUE"""),"")</f>
        <v/>
      </c>
      <c r="X11279" s="16" t="str">
        <f>IFERROR(__xludf.DUMMYFUNCTION("""COMPUTED_VALUE"""),"")</f>
        <v/>
      </c>
      <c r="AC11279" s="16" t="str">
        <f>IFERROR(__xludf.DUMMYFUNCTION("""COMPUTED_VALUE"""),"")</f>
        <v/>
      </c>
    </row>
    <row r="11280">
      <c r="A11280" s="16" t="s">
        <v>87</v>
      </c>
      <c r="E11280" s="16" t="str">
        <f>IFERROR(__xludf.DUMMYFUNCTION("""COMPUTED_VALUE"""),"")</f>
        <v/>
      </c>
      <c r="G11280" s="18"/>
      <c r="H11280" s="16" t="s">
        <v>87</v>
      </c>
      <c r="I11280" s="16" t="s">
        <v>87</v>
      </c>
      <c r="J11280" s="19"/>
      <c r="L11280" s="16" t="str">
        <f>IFERROR(__xludf.DUMMYFUNCTION("""COMPUTED_VALUE"""),"")</f>
        <v/>
      </c>
      <c r="M11280" s="16" t="str">
        <f>IFERROR(__xludf.DUMMYFUNCTION("""COMPUTED_VALUE"""),"")</f>
        <v/>
      </c>
      <c r="U11280" s="16" t="s">
        <v>87</v>
      </c>
      <c r="V11280" s="16" t="str">
        <f>IFERROR(__xludf.DUMMYFUNCTION("""COMPUTED_VALUE"""),"")</f>
        <v/>
      </c>
      <c r="W11280" s="16" t="str">
        <f>IFERROR(__xludf.DUMMYFUNCTION("""COMPUTED_VALUE"""),"")</f>
        <v/>
      </c>
      <c r="X11280" s="16" t="str">
        <f>IFERROR(__xludf.DUMMYFUNCTION("""COMPUTED_VALUE"""),"")</f>
        <v/>
      </c>
      <c r="AC11280" s="16" t="str">
        <f>IFERROR(__xludf.DUMMYFUNCTION("""COMPUTED_VALUE"""),"")</f>
        <v/>
      </c>
    </row>
    <row r="11281">
      <c r="A11281" s="16" t="s">
        <v>87</v>
      </c>
      <c r="E11281" s="16" t="str">
        <f>IFERROR(__xludf.DUMMYFUNCTION("""COMPUTED_VALUE"""),"")</f>
        <v/>
      </c>
      <c r="G11281" s="18"/>
      <c r="H11281" s="16" t="s">
        <v>87</v>
      </c>
      <c r="I11281" s="16" t="s">
        <v>87</v>
      </c>
      <c r="J11281" s="19"/>
      <c r="L11281" s="16" t="str">
        <f>IFERROR(__xludf.DUMMYFUNCTION("""COMPUTED_VALUE"""),"")</f>
        <v/>
      </c>
      <c r="M11281" s="16" t="str">
        <f>IFERROR(__xludf.DUMMYFUNCTION("""COMPUTED_VALUE"""),"")</f>
        <v/>
      </c>
      <c r="U11281" s="16" t="s">
        <v>87</v>
      </c>
      <c r="V11281" s="16" t="str">
        <f>IFERROR(__xludf.DUMMYFUNCTION("""COMPUTED_VALUE"""),"")</f>
        <v/>
      </c>
      <c r="W11281" s="16" t="str">
        <f>IFERROR(__xludf.DUMMYFUNCTION("""COMPUTED_VALUE"""),"")</f>
        <v/>
      </c>
      <c r="X11281" s="16" t="str">
        <f>IFERROR(__xludf.DUMMYFUNCTION("""COMPUTED_VALUE"""),"")</f>
        <v/>
      </c>
      <c r="AC11281" s="16" t="str">
        <f>IFERROR(__xludf.DUMMYFUNCTION("""COMPUTED_VALUE"""),"")</f>
        <v/>
      </c>
    </row>
    <row r="11282">
      <c r="A11282" s="16" t="s">
        <v>87</v>
      </c>
      <c r="E11282" s="16" t="str">
        <f>IFERROR(__xludf.DUMMYFUNCTION("""COMPUTED_VALUE"""),"")</f>
        <v/>
      </c>
      <c r="G11282" s="18"/>
      <c r="H11282" s="16" t="s">
        <v>87</v>
      </c>
      <c r="I11282" s="16" t="s">
        <v>87</v>
      </c>
      <c r="J11282" s="19"/>
      <c r="L11282" s="16" t="str">
        <f>IFERROR(__xludf.DUMMYFUNCTION("""COMPUTED_VALUE"""),"")</f>
        <v/>
      </c>
      <c r="M11282" s="16" t="str">
        <f>IFERROR(__xludf.DUMMYFUNCTION("""COMPUTED_VALUE"""),"")</f>
        <v/>
      </c>
      <c r="U11282" s="16" t="s">
        <v>87</v>
      </c>
      <c r="V11282" s="16" t="str">
        <f>IFERROR(__xludf.DUMMYFUNCTION("""COMPUTED_VALUE"""),"")</f>
        <v/>
      </c>
      <c r="W11282" s="16" t="str">
        <f>IFERROR(__xludf.DUMMYFUNCTION("""COMPUTED_VALUE"""),"")</f>
        <v/>
      </c>
      <c r="X11282" s="16" t="str">
        <f>IFERROR(__xludf.DUMMYFUNCTION("""COMPUTED_VALUE"""),"")</f>
        <v/>
      </c>
      <c r="AC11282" s="16" t="str">
        <f>IFERROR(__xludf.DUMMYFUNCTION("""COMPUTED_VALUE"""),"")</f>
        <v/>
      </c>
    </row>
    <row r="11283">
      <c r="A11283" s="16" t="s">
        <v>87</v>
      </c>
      <c r="E11283" s="16" t="str">
        <f>IFERROR(__xludf.DUMMYFUNCTION("""COMPUTED_VALUE"""),"")</f>
        <v/>
      </c>
      <c r="G11283" s="18"/>
      <c r="H11283" s="16" t="s">
        <v>87</v>
      </c>
      <c r="I11283" s="16" t="s">
        <v>87</v>
      </c>
      <c r="J11283" s="19"/>
      <c r="L11283" s="16" t="str">
        <f>IFERROR(__xludf.DUMMYFUNCTION("""COMPUTED_VALUE"""),"")</f>
        <v/>
      </c>
      <c r="M11283" s="16" t="str">
        <f>IFERROR(__xludf.DUMMYFUNCTION("""COMPUTED_VALUE"""),"")</f>
        <v/>
      </c>
      <c r="U11283" s="16" t="s">
        <v>87</v>
      </c>
      <c r="V11283" s="16" t="str">
        <f>IFERROR(__xludf.DUMMYFUNCTION("""COMPUTED_VALUE"""),"")</f>
        <v/>
      </c>
      <c r="W11283" s="16" t="str">
        <f>IFERROR(__xludf.DUMMYFUNCTION("""COMPUTED_VALUE"""),"")</f>
        <v/>
      </c>
      <c r="X11283" s="16" t="str">
        <f>IFERROR(__xludf.DUMMYFUNCTION("""COMPUTED_VALUE"""),"")</f>
        <v/>
      </c>
      <c r="AC11283" s="16" t="str">
        <f>IFERROR(__xludf.DUMMYFUNCTION("""COMPUTED_VALUE"""),"")</f>
        <v/>
      </c>
    </row>
    <row r="11284">
      <c r="A11284" s="16" t="s">
        <v>87</v>
      </c>
      <c r="E11284" s="16" t="str">
        <f>IFERROR(__xludf.DUMMYFUNCTION("""COMPUTED_VALUE"""),"")</f>
        <v/>
      </c>
      <c r="G11284" s="18"/>
      <c r="H11284" s="16" t="s">
        <v>87</v>
      </c>
      <c r="I11284" s="16" t="s">
        <v>87</v>
      </c>
      <c r="J11284" s="19"/>
      <c r="L11284" s="16" t="str">
        <f>IFERROR(__xludf.DUMMYFUNCTION("""COMPUTED_VALUE"""),"")</f>
        <v/>
      </c>
      <c r="M11284" s="16" t="str">
        <f>IFERROR(__xludf.DUMMYFUNCTION("""COMPUTED_VALUE"""),"")</f>
        <v/>
      </c>
      <c r="U11284" s="16" t="s">
        <v>87</v>
      </c>
      <c r="V11284" s="16" t="str">
        <f>IFERROR(__xludf.DUMMYFUNCTION("""COMPUTED_VALUE"""),"")</f>
        <v/>
      </c>
      <c r="W11284" s="16" t="str">
        <f>IFERROR(__xludf.DUMMYFUNCTION("""COMPUTED_VALUE"""),"")</f>
        <v/>
      </c>
      <c r="X11284" s="16" t="str">
        <f>IFERROR(__xludf.DUMMYFUNCTION("""COMPUTED_VALUE"""),"")</f>
        <v/>
      </c>
      <c r="AC11284" s="16" t="str">
        <f>IFERROR(__xludf.DUMMYFUNCTION("""COMPUTED_VALUE"""),"")</f>
        <v/>
      </c>
    </row>
    <row r="11285">
      <c r="A11285" s="16" t="s">
        <v>87</v>
      </c>
      <c r="E11285" s="16" t="str">
        <f>IFERROR(__xludf.DUMMYFUNCTION("""COMPUTED_VALUE"""),"")</f>
        <v/>
      </c>
      <c r="G11285" s="18"/>
      <c r="H11285" s="16" t="s">
        <v>87</v>
      </c>
      <c r="I11285" s="16" t="s">
        <v>87</v>
      </c>
      <c r="J11285" s="19"/>
      <c r="L11285" s="16" t="str">
        <f>IFERROR(__xludf.DUMMYFUNCTION("""COMPUTED_VALUE"""),"")</f>
        <v/>
      </c>
      <c r="M11285" s="16" t="str">
        <f>IFERROR(__xludf.DUMMYFUNCTION("""COMPUTED_VALUE"""),"")</f>
        <v/>
      </c>
      <c r="U11285" s="16" t="s">
        <v>87</v>
      </c>
      <c r="V11285" s="16" t="str">
        <f>IFERROR(__xludf.DUMMYFUNCTION("""COMPUTED_VALUE"""),"")</f>
        <v/>
      </c>
      <c r="W11285" s="16" t="str">
        <f>IFERROR(__xludf.DUMMYFUNCTION("""COMPUTED_VALUE"""),"")</f>
        <v/>
      </c>
      <c r="X11285" s="16" t="str">
        <f>IFERROR(__xludf.DUMMYFUNCTION("""COMPUTED_VALUE"""),"")</f>
        <v/>
      </c>
      <c r="AC11285" s="16" t="str">
        <f>IFERROR(__xludf.DUMMYFUNCTION("""COMPUTED_VALUE"""),"")</f>
        <v/>
      </c>
    </row>
    <row r="11286">
      <c r="A11286" s="16" t="s">
        <v>87</v>
      </c>
      <c r="E11286" s="16" t="str">
        <f>IFERROR(__xludf.DUMMYFUNCTION("""COMPUTED_VALUE"""),"")</f>
        <v/>
      </c>
      <c r="G11286" s="18"/>
      <c r="H11286" s="16" t="s">
        <v>87</v>
      </c>
      <c r="I11286" s="16" t="s">
        <v>87</v>
      </c>
      <c r="J11286" s="19"/>
      <c r="L11286" s="16" t="str">
        <f>IFERROR(__xludf.DUMMYFUNCTION("""COMPUTED_VALUE"""),"")</f>
        <v/>
      </c>
      <c r="M11286" s="16" t="str">
        <f>IFERROR(__xludf.DUMMYFUNCTION("""COMPUTED_VALUE"""),"")</f>
        <v/>
      </c>
      <c r="U11286" s="16" t="s">
        <v>87</v>
      </c>
      <c r="V11286" s="16" t="str">
        <f>IFERROR(__xludf.DUMMYFUNCTION("""COMPUTED_VALUE"""),"")</f>
        <v/>
      </c>
      <c r="W11286" s="16" t="str">
        <f>IFERROR(__xludf.DUMMYFUNCTION("""COMPUTED_VALUE"""),"")</f>
        <v/>
      </c>
      <c r="X11286" s="16" t="str">
        <f>IFERROR(__xludf.DUMMYFUNCTION("""COMPUTED_VALUE"""),"")</f>
        <v/>
      </c>
      <c r="AC11286" s="16" t="str">
        <f>IFERROR(__xludf.DUMMYFUNCTION("""COMPUTED_VALUE"""),"")</f>
        <v/>
      </c>
    </row>
    <row r="11287">
      <c r="A11287" s="16" t="s">
        <v>87</v>
      </c>
      <c r="E11287" s="16" t="str">
        <f>IFERROR(__xludf.DUMMYFUNCTION("""COMPUTED_VALUE"""),"")</f>
        <v/>
      </c>
      <c r="G11287" s="18"/>
      <c r="H11287" s="16" t="s">
        <v>87</v>
      </c>
      <c r="I11287" s="16" t="s">
        <v>87</v>
      </c>
      <c r="J11287" s="19"/>
      <c r="L11287" s="16" t="str">
        <f>IFERROR(__xludf.DUMMYFUNCTION("""COMPUTED_VALUE"""),"")</f>
        <v/>
      </c>
      <c r="M11287" s="16" t="str">
        <f>IFERROR(__xludf.DUMMYFUNCTION("""COMPUTED_VALUE"""),"")</f>
        <v/>
      </c>
      <c r="U11287" s="16" t="s">
        <v>87</v>
      </c>
      <c r="V11287" s="16" t="str">
        <f>IFERROR(__xludf.DUMMYFUNCTION("""COMPUTED_VALUE"""),"")</f>
        <v/>
      </c>
      <c r="W11287" s="16" t="str">
        <f>IFERROR(__xludf.DUMMYFUNCTION("""COMPUTED_VALUE"""),"")</f>
        <v/>
      </c>
      <c r="X11287" s="16" t="str">
        <f>IFERROR(__xludf.DUMMYFUNCTION("""COMPUTED_VALUE"""),"")</f>
        <v/>
      </c>
      <c r="AC11287" s="16" t="str">
        <f>IFERROR(__xludf.DUMMYFUNCTION("""COMPUTED_VALUE"""),"")</f>
        <v/>
      </c>
    </row>
    <row r="11288">
      <c r="A11288" s="16" t="s">
        <v>87</v>
      </c>
      <c r="E11288" s="16" t="str">
        <f>IFERROR(__xludf.DUMMYFUNCTION("""COMPUTED_VALUE"""),"")</f>
        <v/>
      </c>
      <c r="G11288" s="18"/>
      <c r="H11288" s="16" t="s">
        <v>87</v>
      </c>
      <c r="I11288" s="16" t="s">
        <v>87</v>
      </c>
      <c r="J11288" s="19"/>
      <c r="L11288" s="16" t="str">
        <f>IFERROR(__xludf.DUMMYFUNCTION("""COMPUTED_VALUE"""),"")</f>
        <v/>
      </c>
      <c r="M11288" s="16" t="str">
        <f>IFERROR(__xludf.DUMMYFUNCTION("""COMPUTED_VALUE"""),"")</f>
        <v/>
      </c>
      <c r="U11288" s="16" t="s">
        <v>87</v>
      </c>
      <c r="V11288" s="16" t="str">
        <f>IFERROR(__xludf.DUMMYFUNCTION("""COMPUTED_VALUE"""),"")</f>
        <v/>
      </c>
      <c r="W11288" s="16" t="str">
        <f>IFERROR(__xludf.DUMMYFUNCTION("""COMPUTED_VALUE"""),"")</f>
        <v/>
      </c>
      <c r="X11288" s="16" t="str">
        <f>IFERROR(__xludf.DUMMYFUNCTION("""COMPUTED_VALUE"""),"")</f>
        <v/>
      </c>
      <c r="AC11288" s="16" t="str">
        <f>IFERROR(__xludf.DUMMYFUNCTION("""COMPUTED_VALUE"""),"")</f>
        <v/>
      </c>
    </row>
    <row r="11289">
      <c r="A11289" s="16" t="s">
        <v>87</v>
      </c>
      <c r="E11289" s="16" t="str">
        <f>IFERROR(__xludf.DUMMYFUNCTION("""COMPUTED_VALUE"""),"")</f>
        <v/>
      </c>
      <c r="G11289" s="18"/>
      <c r="H11289" s="16" t="s">
        <v>87</v>
      </c>
      <c r="I11289" s="16" t="s">
        <v>87</v>
      </c>
      <c r="J11289" s="19"/>
      <c r="L11289" s="16" t="str">
        <f>IFERROR(__xludf.DUMMYFUNCTION("""COMPUTED_VALUE"""),"")</f>
        <v/>
      </c>
      <c r="M11289" s="16" t="str">
        <f>IFERROR(__xludf.DUMMYFUNCTION("""COMPUTED_VALUE"""),"")</f>
        <v/>
      </c>
      <c r="U11289" s="16" t="s">
        <v>87</v>
      </c>
      <c r="V11289" s="16" t="str">
        <f>IFERROR(__xludf.DUMMYFUNCTION("""COMPUTED_VALUE"""),"")</f>
        <v/>
      </c>
      <c r="W11289" s="16" t="str">
        <f>IFERROR(__xludf.DUMMYFUNCTION("""COMPUTED_VALUE"""),"")</f>
        <v/>
      </c>
      <c r="X11289" s="16" t="str">
        <f>IFERROR(__xludf.DUMMYFUNCTION("""COMPUTED_VALUE"""),"")</f>
        <v/>
      </c>
      <c r="AC11289" s="16" t="str">
        <f>IFERROR(__xludf.DUMMYFUNCTION("""COMPUTED_VALUE"""),"")</f>
        <v/>
      </c>
    </row>
    <row r="11290">
      <c r="A11290" s="16" t="s">
        <v>87</v>
      </c>
      <c r="E11290" s="16" t="str">
        <f>IFERROR(__xludf.DUMMYFUNCTION("""COMPUTED_VALUE"""),"")</f>
        <v/>
      </c>
      <c r="G11290" s="18"/>
      <c r="H11290" s="16" t="s">
        <v>87</v>
      </c>
      <c r="I11290" s="16" t="s">
        <v>87</v>
      </c>
      <c r="J11290" s="19"/>
      <c r="L11290" s="16" t="str">
        <f>IFERROR(__xludf.DUMMYFUNCTION("""COMPUTED_VALUE"""),"")</f>
        <v/>
      </c>
      <c r="M11290" s="16" t="str">
        <f>IFERROR(__xludf.DUMMYFUNCTION("""COMPUTED_VALUE"""),"")</f>
        <v/>
      </c>
      <c r="U11290" s="16" t="s">
        <v>87</v>
      </c>
      <c r="V11290" s="16" t="str">
        <f>IFERROR(__xludf.DUMMYFUNCTION("""COMPUTED_VALUE"""),"")</f>
        <v/>
      </c>
      <c r="W11290" s="16" t="str">
        <f>IFERROR(__xludf.DUMMYFUNCTION("""COMPUTED_VALUE"""),"")</f>
        <v/>
      </c>
      <c r="X11290" s="16" t="str">
        <f>IFERROR(__xludf.DUMMYFUNCTION("""COMPUTED_VALUE"""),"")</f>
        <v/>
      </c>
      <c r="AC11290" s="16" t="str">
        <f>IFERROR(__xludf.DUMMYFUNCTION("""COMPUTED_VALUE"""),"")</f>
        <v/>
      </c>
    </row>
    <row r="11291">
      <c r="A11291" s="16" t="s">
        <v>87</v>
      </c>
      <c r="E11291" s="16" t="str">
        <f>IFERROR(__xludf.DUMMYFUNCTION("""COMPUTED_VALUE"""),"")</f>
        <v/>
      </c>
      <c r="G11291" s="18"/>
      <c r="H11291" s="16" t="s">
        <v>87</v>
      </c>
      <c r="I11291" s="16" t="s">
        <v>87</v>
      </c>
      <c r="J11291" s="19"/>
      <c r="L11291" s="16" t="str">
        <f>IFERROR(__xludf.DUMMYFUNCTION("""COMPUTED_VALUE"""),"")</f>
        <v/>
      </c>
      <c r="M11291" s="16" t="str">
        <f>IFERROR(__xludf.DUMMYFUNCTION("""COMPUTED_VALUE"""),"")</f>
        <v/>
      </c>
      <c r="U11291" s="16" t="s">
        <v>87</v>
      </c>
      <c r="V11291" s="16" t="str">
        <f>IFERROR(__xludf.DUMMYFUNCTION("""COMPUTED_VALUE"""),"")</f>
        <v/>
      </c>
      <c r="W11291" s="16" t="str">
        <f>IFERROR(__xludf.DUMMYFUNCTION("""COMPUTED_VALUE"""),"")</f>
        <v/>
      </c>
      <c r="X11291" s="16" t="str">
        <f>IFERROR(__xludf.DUMMYFUNCTION("""COMPUTED_VALUE"""),"")</f>
        <v/>
      </c>
      <c r="AC11291" s="16" t="str">
        <f>IFERROR(__xludf.DUMMYFUNCTION("""COMPUTED_VALUE"""),"")</f>
        <v/>
      </c>
    </row>
    <row r="11292">
      <c r="A11292" s="16" t="s">
        <v>87</v>
      </c>
      <c r="E11292" s="16" t="str">
        <f>IFERROR(__xludf.DUMMYFUNCTION("""COMPUTED_VALUE"""),"")</f>
        <v/>
      </c>
      <c r="G11292" s="18"/>
      <c r="H11292" s="16" t="s">
        <v>87</v>
      </c>
      <c r="I11292" s="16" t="s">
        <v>87</v>
      </c>
      <c r="J11292" s="19"/>
      <c r="L11292" s="16" t="str">
        <f>IFERROR(__xludf.DUMMYFUNCTION("""COMPUTED_VALUE"""),"")</f>
        <v/>
      </c>
      <c r="M11292" s="16" t="str">
        <f>IFERROR(__xludf.DUMMYFUNCTION("""COMPUTED_VALUE"""),"")</f>
        <v/>
      </c>
      <c r="U11292" s="16" t="s">
        <v>87</v>
      </c>
      <c r="V11292" s="16" t="str">
        <f>IFERROR(__xludf.DUMMYFUNCTION("""COMPUTED_VALUE"""),"")</f>
        <v/>
      </c>
      <c r="W11292" s="16" t="str">
        <f>IFERROR(__xludf.DUMMYFUNCTION("""COMPUTED_VALUE"""),"")</f>
        <v/>
      </c>
      <c r="X11292" s="16" t="str">
        <f>IFERROR(__xludf.DUMMYFUNCTION("""COMPUTED_VALUE"""),"")</f>
        <v/>
      </c>
      <c r="AC11292" s="16" t="str">
        <f>IFERROR(__xludf.DUMMYFUNCTION("""COMPUTED_VALUE"""),"")</f>
        <v/>
      </c>
    </row>
    <row r="11293">
      <c r="A11293" s="16" t="s">
        <v>87</v>
      </c>
      <c r="E11293" s="16" t="str">
        <f>IFERROR(__xludf.DUMMYFUNCTION("""COMPUTED_VALUE"""),"")</f>
        <v/>
      </c>
      <c r="G11293" s="18"/>
      <c r="H11293" s="16" t="s">
        <v>87</v>
      </c>
      <c r="I11293" s="16" t="s">
        <v>87</v>
      </c>
      <c r="J11293" s="19"/>
      <c r="L11293" s="16" t="str">
        <f>IFERROR(__xludf.DUMMYFUNCTION("""COMPUTED_VALUE"""),"")</f>
        <v/>
      </c>
      <c r="M11293" s="16" t="str">
        <f>IFERROR(__xludf.DUMMYFUNCTION("""COMPUTED_VALUE"""),"")</f>
        <v/>
      </c>
      <c r="U11293" s="16" t="s">
        <v>87</v>
      </c>
      <c r="V11293" s="16" t="str">
        <f>IFERROR(__xludf.DUMMYFUNCTION("""COMPUTED_VALUE"""),"")</f>
        <v/>
      </c>
      <c r="W11293" s="16" t="str">
        <f>IFERROR(__xludf.DUMMYFUNCTION("""COMPUTED_VALUE"""),"")</f>
        <v/>
      </c>
      <c r="X11293" s="16" t="str">
        <f>IFERROR(__xludf.DUMMYFUNCTION("""COMPUTED_VALUE"""),"")</f>
        <v/>
      </c>
      <c r="AC11293" s="16" t="str">
        <f>IFERROR(__xludf.DUMMYFUNCTION("""COMPUTED_VALUE"""),"")</f>
        <v/>
      </c>
    </row>
    <row r="11294">
      <c r="A11294" s="16" t="s">
        <v>87</v>
      </c>
      <c r="E11294" s="16" t="str">
        <f>IFERROR(__xludf.DUMMYFUNCTION("""COMPUTED_VALUE"""),"")</f>
        <v/>
      </c>
      <c r="G11294" s="18"/>
      <c r="H11294" s="16" t="s">
        <v>87</v>
      </c>
      <c r="I11294" s="16" t="s">
        <v>87</v>
      </c>
      <c r="J11294" s="19"/>
      <c r="L11294" s="16" t="str">
        <f>IFERROR(__xludf.DUMMYFUNCTION("""COMPUTED_VALUE"""),"")</f>
        <v/>
      </c>
      <c r="M11294" s="16" t="str">
        <f>IFERROR(__xludf.DUMMYFUNCTION("""COMPUTED_VALUE"""),"")</f>
        <v/>
      </c>
      <c r="U11294" s="16" t="s">
        <v>87</v>
      </c>
      <c r="V11294" s="16" t="str">
        <f>IFERROR(__xludf.DUMMYFUNCTION("""COMPUTED_VALUE"""),"")</f>
        <v/>
      </c>
      <c r="W11294" s="16" t="str">
        <f>IFERROR(__xludf.DUMMYFUNCTION("""COMPUTED_VALUE"""),"")</f>
        <v/>
      </c>
      <c r="X11294" s="16" t="str">
        <f>IFERROR(__xludf.DUMMYFUNCTION("""COMPUTED_VALUE"""),"")</f>
        <v/>
      </c>
      <c r="AC11294" s="16" t="str">
        <f>IFERROR(__xludf.DUMMYFUNCTION("""COMPUTED_VALUE"""),"")</f>
        <v/>
      </c>
    </row>
    <row r="11295">
      <c r="A11295" s="16" t="s">
        <v>87</v>
      </c>
      <c r="E11295" s="16" t="str">
        <f>IFERROR(__xludf.DUMMYFUNCTION("""COMPUTED_VALUE"""),"")</f>
        <v/>
      </c>
      <c r="G11295" s="18"/>
      <c r="H11295" s="16" t="s">
        <v>87</v>
      </c>
      <c r="I11295" s="16" t="s">
        <v>87</v>
      </c>
      <c r="J11295" s="19"/>
      <c r="L11295" s="16" t="str">
        <f>IFERROR(__xludf.DUMMYFUNCTION("""COMPUTED_VALUE"""),"")</f>
        <v/>
      </c>
      <c r="M11295" s="16" t="str">
        <f>IFERROR(__xludf.DUMMYFUNCTION("""COMPUTED_VALUE"""),"")</f>
        <v/>
      </c>
      <c r="U11295" s="16" t="s">
        <v>87</v>
      </c>
      <c r="V11295" s="16" t="str">
        <f>IFERROR(__xludf.DUMMYFUNCTION("""COMPUTED_VALUE"""),"")</f>
        <v/>
      </c>
      <c r="W11295" s="16" t="str">
        <f>IFERROR(__xludf.DUMMYFUNCTION("""COMPUTED_VALUE"""),"")</f>
        <v/>
      </c>
      <c r="X11295" s="16" t="str">
        <f>IFERROR(__xludf.DUMMYFUNCTION("""COMPUTED_VALUE"""),"")</f>
        <v/>
      </c>
      <c r="AC11295" s="16" t="str">
        <f>IFERROR(__xludf.DUMMYFUNCTION("""COMPUTED_VALUE"""),"")</f>
        <v/>
      </c>
    </row>
    <row r="11296">
      <c r="A11296" s="16" t="s">
        <v>87</v>
      </c>
      <c r="E11296" s="16" t="str">
        <f>IFERROR(__xludf.DUMMYFUNCTION("""COMPUTED_VALUE"""),"")</f>
        <v/>
      </c>
      <c r="G11296" s="18"/>
      <c r="H11296" s="16" t="s">
        <v>87</v>
      </c>
      <c r="I11296" s="16" t="s">
        <v>87</v>
      </c>
      <c r="J11296" s="19"/>
      <c r="L11296" s="16" t="str">
        <f>IFERROR(__xludf.DUMMYFUNCTION("""COMPUTED_VALUE"""),"")</f>
        <v/>
      </c>
      <c r="M11296" s="16" t="str">
        <f>IFERROR(__xludf.DUMMYFUNCTION("""COMPUTED_VALUE"""),"")</f>
        <v/>
      </c>
      <c r="U11296" s="16" t="s">
        <v>87</v>
      </c>
      <c r="V11296" s="16" t="str">
        <f>IFERROR(__xludf.DUMMYFUNCTION("""COMPUTED_VALUE"""),"")</f>
        <v/>
      </c>
      <c r="W11296" s="16" t="str">
        <f>IFERROR(__xludf.DUMMYFUNCTION("""COMPUTED_VALUE"""),"")</f>
        <v/>
      </c>
      <c r="X11296" s="16" t="str">
        <f>IFERROR(__xludf.DUMMYFUNCTION("""COMPUTED_VALUE"""),"")</f>
        <v/>
      </c>
      <c r="AC11296" s="16" t="str">
        <f>IFERROR(__xludf.DUMMYFUNCTION("""COMPUTED_VALUE"""),"")</f>
        <v/>
      </c>
    </row>
    <row r="11297">
      <c r="A11297" s="16" t="s">
        <v>87</v>
      </c>
      <c r="E11297" s="16" t="str">
        <f>IFERROR(__xludf.DUMMYFUNCTION("""COMPUTED_VALUE"""),"")</f>
        <v/>
      </c>
      <c r="G11297" s="18"/>
      <c r="H11297" s="16" t="s">
        <v>87</v>
      </c>
      <c r="I11297" s="16" t="s">
        <v>87</v>
      </c>
      <c r="J11297" s="19"/>
      <c r="L11297" s="16" t="str">
        <f>IFERROR(__xludf.DUMMYFUNCTION("""COMPUTED_VALUE"""),"")</f>
        <v/>
      </c>
      <c r="M11297" s="16" t="str">
        <f>IFERROR(__xludf.DUMMYFUNCTION("""COMPUTED_VALUE"""),"")</f>
        <v/>
      </c>
      <c r="U11297" s="16" t="s">
        <v>87</v>
      </c>
      <c r="V11297" s="16" t="str">
        <f>IFERROR(__xludf.DUMMYFUNCTION("""COMPUTED_VALUE"""),"")</f>
        <v/>
      </c>
      <c r="W11297" s="16" t="str">
        <f>IFERROR(__xludf.DUMMYFUNCTION("""COMPUTED_VALUE"""),"")</f>
        <v/>
      </c>
      <c r="X11297" s="16" t="str">
        <f>IFERROR(__xludf.DUMMYFUNCTION("""COMPUTED_VALUE"""),"")</f>
        <v/>
      </c>
      <c r="AC11297" s="16" t="str">
        <f>IFERROR(__xludf.DUMMYFUNCTION("""COMPUTED_VALUE"""),"")</f>
        <v/>
      </c>
    </row>
    <row r="11298">
      <c r="A11298" s="16" t="s">
        <v>87</v>
      </c>
      <c r="E11298" s="16" t="str">
        <f>IFERROR(__xludf.DUMMYFUNCTION("""COMPUTED_VALUE"""),"")</f>
        <v/>
      </c>
      <c r="G11298" s="18"/>
      <c r="H11298" s="16" t="s">
        <v>87</v>
      </c>
      <c r="I11298" s="16" t="s">
        <v>87</v>
      </c>
      <c r="J11298" s="19"/>
      <c r="L11298" s="16" t="str">
        <f>IFERROR(__xludf.DUMMYFUNCTION("""COMPUTED_VALUE"""),"")</f>
        <v/>
      </c>
      <c r="M11298" s="16" t="str">
        <f>IFERROR(__xludf.DUMMYFUNCTION("""COMPUTED_VALUE"""),"")</f>
        <v/>
      </c>
      <c r="U11298" s="16" t="s">
        <v>87</v>
      </c>
      <c r="V11298" s="16" t="str">
        <f>IFERROR(__xludf.DUMMYFUNCTION("""COMPUTED_VALUE"""),"")</f>
        <v/>
      </c>
      <c r="W11298" s="16" t="str">
        <f>IFERROR(__xludf.DUMMYFUNCTION("""COMPUTED_VALUE"""),"")</f>
        <v/>
      </c>
      <c r="X11298" s="16" t="str">
        <f>IFERROR(__xludf.DUMMYFUNCTION("""COMPUTED_VALUE"""),"")</f>
        <v/>
      </c>
      <c r="AC11298" s="16" t="str">
        <f>IFERROR(__xludf.DUMMYFUNCTION("""COMPUTED_VALUE"""),"")</f>
        <v/>
      </c>
    </row>
    <row r="11299">
      <c r="A11299" s="16" t="s">
        <v>87</v>
      </c>
      <c r="E11299" s="16" t="str">
        <f>IFERROR(__xludf.DUMMYFUNCTION("""COMPUTED_VALUE"""),"")</f>
        <v/>
      </c>
      <c r="G11299" s="18"/>
      <c r="H11299" s="16" t="s">
        <v>87</v>
      </c>
      <c r="I11299" s="16" t="s">
        <v>87</v>
      </c>
      <c r="J11299" s="19"/>
      <c r="L11299" s="16" t="str">
        <f>IFERROR(__xludf.DUMMYFUNCTION("""COMPUTED_VALUE"""),"")</f>
        <v/>
      </c>
      <c r="M11299" s="16" t="str">
        <f>IFERROR(__xludf.DUMMYFUNCTION("""COMPUTED_VALUE"""),"")</f>
        <v/>
      </c>
      <c r="U11299" s="16" t="s">
        <v>87</v>
      </c>
      <c r="V11299" s="16" t="str">
        <f>IFERROR(__xludf.DUMMYFUNCTION("""COMPUTED_VALUE"""),"")</f>
        <v/>
      </c>
      <c r="W11299" s="16" t="str">
        <f>IFERROR(__xludf.DUMMYFUNCTION("""COMPUTED_VALUE"""),"")</f>
        <v/>
      </c>
      <c r="X11299" s="16" t="str">
        <f>IFERROR(__xludf.DUMMYFUNCTION("""COMPUTED_VALUE"""),"")</f>
        <v/>
      </c>
      <c r="AC11299" s="16" t="str">
        <f>IFERROR(__xludf.DUMMYFUNCTION("""COMPUTED_VALUE"""),"")</f>
        <v/>
      </c>
    </row>
    <row r="11300">
      <c r="A11300" s="16" t="s">
        <v>87</v>
      </c>
      <c r="E11300" s="16" t="str">
        <f>IFERROR(__xludf.DUMMYFUNCTION("""COMPUTED_VALUE"""),"")</f>
        <v/>
      </c>
      <c r="G11300" s="18"/>
      <c r="H11300" s="16" t="s">
        <v>87</v>
      </c>
      <c r="I11300" s="16" t="s">
        <v>87</v>
      </c>
      <c r="J11300" s="19"/>
      <c r="L11300" s="16" t="str">
        <f>IFERROR(__xludf.DUMMYFUNCTION("""COMPUTED_VALUE"""),"")</f>
        <v/>
      </c>
      <c r="M11300" s="16" t="str">
        <f>IFERROR(__xludf.DUMMYFUNCTION("""COMPUTED_VALUE"""),"")</f>
        <v/>
      </c>
      <c r="U11300" s="16" t="s">
        <v>87</v>
      </c>
      <c r="V11300" s="16" t="str">
        <f>IFERROR(__xludf.DUMMYFUNCTION("""COMPUTED_VALUE"""),"")</f>
        <v/>
      </c>
      <c r="W11300" s="16" t="str">
        <f>IFERROR(__xludf.DUMMYFUNCTION("""COMPUTED_VALUE"""),"")</f>
        <v/>
      </c>
      <c r="X11300" s="16" t="str">
        <f>IFERROR(__xludf.DUMMYFUNCTION("""COMPUTED_VALUE"""),"")</f>
        <v/>
      </c>
      <c r="AC11300" s="16" t="str">
        <f>IFERROR(__xludf.DUMMYFUNCTION("""COMPUTED_VALUE"""),"")</f>
        <v/>
      </c>
    </row>
    <row r="11301">
      <c r="A11301" s="16" t="s">
        <v>87</v>
      </c>
      <c r="E11301" s="16" t="str">
        <f>IFERROR(__xludf.DUMMYFUNCTION("""COMPUTED_VALUE"""),"")</f>
        <v/>
      </c>
      <c r="G11301" s="18"/>
      <c r="H11301" s="16" t="s">
        <v>87</v>
      </c>
      <c r="I11301" s="16" t="s">
        <v>87</v>
      </c>
      <c r="J11301" s="19"/>
      <c r="L11301" s="16" t="str">
        <f>IFERROR(__xludf.DUMMYFUNCTION("""COMPUTED_VALUE"""),"")</f>
        <v/>
      </c>
      <c r="M11301" s="16" t="str">
        <f>IFERROR(__xludf.DUMMYFUNCTION("""COMPUTED_VALUE"""),"")</f>
        <v/>
      </c>
      <c r="U11301" s="16" t="s">
        <v>87</v>
      </c>
      <c r="V11301" s="16" t="str">
        <f>IFERROR(__xludf.DUMMYFUNCTION("""COMPUTED_VALUE"""),"")</f>
        <v/>
      </c>
      <c r="W11301" s="16" t="str">
        <f>IFERROR(__xludf.DUMMYFUNCTION("""COMPUTED_VALUE"""),"")</f>
        <v/>
      </c>
      <c r="X11301" s="16" t="str">
        <f>IFERROR(__xludf.DUMMYFUNCTION("""COMPUTED_VALUE"""),"")</f>
        <v/>
      </c>
      <c r="AC11301" s="16" t="str">
        <f>IFERROR(__xludf.DUMMYFUNCTION("""COMPUTED_VALUE"""),"")</f>
        <v/>
      </c>
    </row>
    <row r="11302">
      <c r="A11302" s="16" t="s">
        <v>87</v>
      </c>
      <c r="E11302" s="16" t="str">
        <f>IFERROR(__xludf.DUMMYFUNCTION("""COMPUTED_VALUE"""),"")</f>
        <v/>
      </c>
      <c r="G11302" s="18"/>
      <c r="H11302" s="16" t="s">
        <v>87</v>
      </c>
      <c r="I11302" s="16" t="s">
        <v>87</v>
      </c>
      <c r="J11302" s="19"/>
      <c r="L11302" s="16" t="str">
        <f>IFERROR(__xludf.DUMMYFUNCTION("""COMPUTED_VALUE"""),"")</f>
        <v/>
      </c>
      <c r="M11302" s="16" t="str">
        <f>IFERROR(__xludf.DUMMYFUNCTION("""COMPUTED_VALUE"""),"")</f>
        <v/>
      </c>
      <c r="U11302" s="16" t="s">
        <v>87</v>
      </c>
      <c r="V11302" s="16" t="str">
        <f>IFERROR(__xludf.DUMMYFUNCTION("""COMPUTED_VALUE"""),"")</f>
        <v/>
      </c>
      <c r="W11302" s="16" t="str">
        <f>IFERROR(__xludf.DUMMYFUNCTION("""COMPUTED_VALUE"""),"")</f>
        <v/>
      </c>
      <c r="X11302" s="16" t="str">
        <f>IFERROR(__xludf.DUMMYFUNCTION("""COMPUTED_VALUE"""),"")</f>
        <v/>
      </c>
      <c r="AC11302" s="16" t="str">
        <f>IFERROR(__xludf.DUMMYFUNCTION("""COMPUTED_VALUE"""),"")</f>
        <v/>
      </c>
    </row>
    <row r="11303">
      <c r="A11303" s="16" t="s">
        <v>87</v>
      </c>
      <c r="E11303" s="16" t="str">
        <f>IFERROR(__xludf.DUMMYFUNCTION("""COMPUTED_VALUE"""),"")</f>
        <v/>
      </c>
      <c r="G11303" s="18"/>
      <c r="H11303" s="16" t="s">
        <v>87</v>
      </c>
      <c r="I11303" s="16" t="s">
        <v>87</v>
      </c>
      <c r="J11303" s="19"/>
      <c r="L11303" s="16" t="str">
        <f>IFERROR(__xludf.DUMMYFUNCTION("""COMPUTED_VALUE"""),"")</f>
        <v/>
      </c>
      <c r="M11303" s="16" t="str">
        <f>IFERROR(__xludf.DUMMYFUNCTION("""COMPUTED_VALUE"""),"")</f>
        <v/>
      </c>
      <c r="U11303" s="16" t="s">
        <v>87</v>
      </c>
      <c r="V11303" s="16" t="str">
        <f>IFERROR(__xludf.DUMMYFUNCTION("""COMPUTED_VALUE"""),"")</f>
        <v/>
      </c>
      <c r="W11303" s="16" t="str">
        <f>IFERROR(__xludf.DUMMYFUNCTION("""COMPUTED_VALUE"""),"")</f>
        <v/>
      </c>
      <c r="X11303" s="16" t="str">
        <f>IFERROR(__xludf.DUMMYFUNCTION("""COMPUTED_VALUE"""),"")</f>
        <v/>
      </c>
      <c r="AC11303" s="16" t="str">
        <f>IFERROR(__xludf.DUMMYFUNCTION("""COMPUTED_VALUE"""),"")</f>
        <v/>
      </c>
    </row>
    <row r="11304">
      <c r="A11304" s="16" t="s">
        <v>87</v>
      </c>
      <c r="E11304" s="16" t="str">
        <f>IFERROR(__xludf.DUMMYFUNCTION("""COMPUTED_VALUE"""),"")</f>
        <v/>
      </c>
      <c r="G11304" s="18"/>
      <c r="H11304" s="16" t="s">
        <v>87</v>
      </c>
      <c r="I11304" s="16" t="s">
        <v>87</v>
      </c>
      <c r="J11304" s="19"/>
      <c r="L11304" s="16" t="str">
        <f>IFERROR(__xludf.DUMMYFUNCTION("""COMPUTED_VALUE"""),"")</f>
        <v/>
      </c>
      <c r="M11304" s="16" t="str">
        <f>IFERROR(__xludf.DUMMYFUNCTION("""COMPUTED_VALUE"""),"")</f>
        <v/>
      </c>
      <c r="U11304" s="16" t="s">
        <v>87</v>
      </c>
      <c r="V11304" s="16" t="str">
        <f>IFERROR(__xludf.DUMMYFUNCTION("""COMPUTED_VALUE"""),"")</f>
        <v/>
      </c>
      <c r="W11304" s="16" t="str">
        <f>IFERROR(__xludf.DUMMYFUNCTION("""COMPUTED_VALUE"""),"")</f>
        <v/>
      </c>
      <c r="X11304" s="16" t="str">
        <f>IFERROR(__xludf.DUMMYFUNCTION("""COMPUTED_VALUE"""),"")</f>
        <v/>
      </c>
      <c r="AC11304" s="16" t="str">
        <f>IFERROR(__xludf.DUMMYFUNCTION("""COMPUTED_VALUE"""),"")</f>
        <v/>
      </c>
    </row>
    <row r="11305">
      <c r="A11305" s="16" t="s">
        <v>87</v>
      </c>
      <c r="E11305" s="16" t="str">
        <f>IFERROR(__xludf.DUMMYFUNCTION("""COMPUTED_VALUE"""),"")</f>
        <v/>
      </c>
      <c r="G11305" s="18"/>
      <c r="H11305" s="16" t="s">
        <v>87</v>
      </c>
      <c r="I11305" s="16" t="s">
        <v>87</v>
      </c>
      <c r="J11305" s="19"/>
      <c r="L11305" s="16" t="str">
        <f>IFERROR(__xludf.DUMMYFUNCTION("""COMPUTED_VALUE"""),"")</f>
        <v/>
      </c>
      <c r="M11305" s="16" t="str">
        <f>IFERROR(__xludf.DUMMYFUNCTION("""COMPUTED_VALUE"""),"")</f>
        <v/>
      </c>
      <c r="U11305" s="16" t="s">
        <v>87</v>
      </c>
      <c r="V11305" s="16" t="str">
        <f>IFERROR(__xludf.DUMMYFUNCTION("""COMPUTED_VALUE"""),"")</f>
        <v/>
      </c>
      <c r="W11305" s="16" t="str">
        <f>IFERROR(__xludf.DUMMYFUNCTION("""COMPUTED_VALUE"""),"")</f>
        <v/>
      </c>
      <c r="X11305" s="16" t="str">
        <f>IFERROR(__xludf.DUMMYFUNCTION("""COMPUTED_VALUE"""),"")</f>
        <v/>
      </c>
      <c r="AC11305" s="16" t="str">
        <f>IFERROR(__xludf.DUMMYFUNCTION("""COMPUTED_VALUE"""),"")</f>
        <v/>
      </c>
    </row>
    <row r="11306">
      <c r="A11306" s="16" t="s">
        <v>87</v>
      </c>
      <c r="E11306" s="16" t="str">
        <f>IFERROR(__xludf.DUMMYFUNCTION("""COMPUTED_VALUE"""),"")</f>
        <v/>
      </c>
      <c r="G11306" s="18"/>
      <c r="H11306" s="16" t="s">
        <v>87</v>
      </c>
      <c r="I11306" s="16" t="s">
        <v>87</v>
      </c>
      <c r="J11306" s="19"/>
      <c r="L11306" s="16" t="str">
        <f>IFERROR(__xludf.DUMMYFUNCTION("""COMPUTED_VALUE"""),"")</f>
        <v/>
      </c>
      <c r="M11306" s="16" t="str">
        <f>IFERROR(__xludf.DUMMYFUNCTION("""COMPUTED_VALUE"""),"")</f>
        <v/>
      </c>
      <c r="U11306" s="16" t="s">
        <v>87</v>
      </c>
      <c r="V11306" s="16" t="str">
        <f>IFERROR(__xludf.DUMMYFUNCTION("""COMPUTED_VALUE"""),"")</f>
        <v/>
      </c>
      <c r="W11306" s="16" t="str">
        <f>IFERROR(__xludf.DUMMYFUNCTION("""COMPUTED_VALUE"""),"")</f>
        <v/>
      </c>
      <c r="X11306" s="16" t="str">
        <f>IFERROR(__xludf.DUMMYFUNCTION("""COMPUTED_VALUE"""),"")</f>
        <v/>
      </c>
      <c r="AC11306" s="16" t="str">
        <f>IFERROR(__xludf.DUMMYFUNCTION("""COMPUTED_VALUE"""),"")</f>
        <v/>
      </c>
    </row>
    <row r="11307">
      <c r="A11307" s="16" t="s">
        <v>87</v>
      </c>
      <c r="E11307" s="16" t="str">
        <f>IFERROR(__xludf.DUMMYFUNCTION("""COMPUTED_VALUE"""),"")</f>
        <v/>
      </c>
      <c r="G11307" s="18"/>
      <c r="H11307" s="16" t="s">
        <v>87</v>
      </c>
      <c r="I11307" s="16" t="s">
        <v>87</v>
      </c>
      <c r="J11307" s="19"/>
      <c r="L11307" s="16" t="str">
        <f>IFERROR(__xludf.DUMMYFUNCTION("""COMPUTED_VALUE"""),"")</f>
        <v/>
      </c>
      <c r="M11307" s="16" t="str">
        <f>IFERROR(__xludf.DUMMYFUNCTION("""COMPUTED_VALUE"""),"")</f>
        <v/>
      </c>
      <c r="U11307" s="16" t="s">
        <v>87</v>
      </c>
      <c r="V11307" s="16" t="str">
        <f>IFERROR(__xludf.DUMMYFUNCTION("""COMPUTED_VALUE"""),"")</f>
        <v/>
      </c>
      <c r="W11307" s="16" t="str">
        <f>IFERROR(__xludf.DUMMYFUNCTION("""COMPUTED_VALUE"""),"")</f>
        <v/>
      </c>
      <c r="X11307" s="16" t="str">
        <f>IFERROR(__xludf.DUMMYFUNCTION("""COMPUTED_VALUE"""),"")</f>
        <v/>
      </c>
      <c r="AC11307" s="16" t="str">
        <f>IFERROR(__xludf.DUMMYFUNCTION("""COMPUTED_VALUE"""),"")</f>
        <v/>
      </c>
    </row>
    <row r="11308">
      <c r="A11308" s="16" t="s">
        <v>87</v>
      </c>
      <c r="E11308" s="16" t="str">
        <f>IFERROR(__xludf.DUMMYFUNCTION("""COMPUTED_VALUE"""),"")</f>
        <v/>
      </c>
      <c r="G11308" s="18"/>
      <c r="H11308" s="16" t="s">
        <v>87</v>
      </c>
      <c r="I11308" s="16" t="s">
        <v>87</v>
      </c>
      <c r="J11308" s="19"/>
      <c r="L11308" s="16" t="str">
        <f>IFERROR(__xludf.DUMMYFUNCTION("""COMPUTED_VALUE"""),"")</f>
        <v/>
      </c>
      <c r="M11308" s="16" t="str">
        <f>IFERROR(__xludf.DUMMYFUNCTION("""COMPUTED_VALUE"""),"")</f>
        <v/>
      </c>
      <c r="U11308" s="16" t="s">
        <v>87</v>
      </c>
      <c r="V11308" s="16" t="str">
        <f>IFERROR(__xludf.DUMMYFUNCTION("""COMPUTED_VALUE"""),"")</f>
        <v/>
      </c>
      <c r="W11308" s="16" t="str">
        <f>IFERROR(__xludf.DUMMYFUNCTION("""COMPUTED_VALUE"""),"")</f>
        <v/>
      </c>
      <c r="X11308" s="16" t="str">
        <f>IFERROR(__xludf.DUMMYFUNCTION("""COMPUTED_VALUE"""),"")</f>
        <v/>
      </c>
      <c r="AC11308" s="16" t="str">
        <f>IFERROR(__xludf.DUMMYFUNCTION("""COMPUTED_VALUE"""),"")</f>
        <v/>
      </c>
    </row>
    <row r="11309">
      <c r="A11309" s="16" t="s">
        <v>87</v>
      </c>
      <c r="E11309" s="16" t="str">
        <f>IFERROR(__xludf.DUMMYFUNCTION("""COMPUTED_VALUE"""),"")</f>
        <v/>
      </c>
      <c r="G11309" s="18"/>
      <c r="H11309" s="16" t="s">
        <v>87</v>
      </c>
      <c r="I11309" s="16" t="s">
        <v>87</v>
      </c>
      <c r="J11309" s="19"/>
      <c r="L11309" s="16" t="str">
        <f>IFERROR(__xludf.DUMMYFUNCTION("""COMPUTED_VALUE"""),"")</f>
        <v/>
      </c>
      <c r="M11309" s="16" t="str">
        <f>IFERROR(__xludf.DUMMYFUNCTION("""COMPUTED_VALUE"""),"")</f>
        <v/>
      </c>
      <c r="U11309" s="16" t="s">
        <v>87</v>
      </c>
      <c r="V11309" s="16" t="str">
        <f>IFERROR(__xludf.DUMMYFUNCTION("""COMPUTED_VALUE"""),"")</f>
        <v/>
      </c>
      <c r="W11309" s="16" t="str">
        <f>IFERROR(__xludf.DUMMYFUNCTION("""COMPUTED_VALUE"""),"")</f>
        <v/>
      </c>
      <c r="X11309" s="16" t="str">
        <f>IFERROR(__xludf.DUMMYFUNCTION("""COMPUTED_VALUE"""),"")</f>
        <v/>
      </c>
      <c r="AC11309" s="16" t="str">
        <f>IFERROR(__xludf.DUMMYFUNCTION("""COMPUTED_VALUE"""),"")</f>
        <v/>
      </c>
    </row>
    <row r="11310">
      <c r="A11310" s="16" t="s">
        <v>87</v>
      </c>
      <c r="E11310" s="16" t="str">
        <f>IFERROR(__xludf.DUMMYFUNCTION("""COMPUTED_VALUE"""),"")</f>
        <v/>
      </c>
      <c r="G11310" s="18"/>
      <c r="H11310" s="16" t="s">
        <v>87</v>
      </c>
      <c r="I11310" s="16" t="s">
        <v>87</v>
      </c>
      <c r="J11310" s="19"/>
      <c r="L11310" s="16" t="str">
        <f>IFERROR(__xludf.DUMMYFUNCTION("""COMPUTED_VALUE"""),"")</f>
        <v/>
      </c>
      <c r="M11310" s="16" t="str">
        <f>IFERROR(__xludf.DUMMYFUNCTION("""COMPUTED_VALUE"""),"")</f>
        <v/>
      </c>
      <c r="U11310" s="16" t="s">
        <v>87</v>
      </c>
      <c r="V11310" s="16" t="str">
        <f>IFERROR(__xludf.DUMMYFUNCTION("""COMPUTED_VALUE"""),"")</f>
        <v/>
      </c>
      <c r="W11310" s="16" t="str">
        <f>IFERROR(__xludf.DUMMYFUNCTION("""COMPUTED_VALUE"""),"")</f>
        <v/>
      </c>
      <c r="X11310" s="16" t="str">
        <f>IFERROR(__xludf.DUMMYFUNCTION("""COMPUTED_VALUE"""),"")</f>
        <v/>
      </c>
      <c r="AC11310" s="16" t="str">
        <f>IFERROR(__xludf.DUMMYFUNCTION("""COMPUTED_VALUE"""),"")</f>
        <v/>
      </c>
    </row>
    <row r="11311">
      <c r="A11311" s="16" t="s">
        <v>87</v>
      </c>
      <c r="E11311" s="16" t="str">
        <f>IFERROR(__xludf.DUMMYFUNCTION("""COMPUTED_VALUE"""),"")</f>
        <v/>
      </c>
      <c r="G11311" s="18"/>
      <c r="H11311" s="16" t="s">
        <v>87</v>
      </c>
      <c r="I11311" s="16" t="s">
        <v>87</v>
      </c>
      <c r="J11311" s="19"/>
      <c r="L11311" s="16" t="str">
        <f>IFERROR(__xludf.DUMMYFUNCTION("""COMPUTED_VALUE"""),"")</f>
        <v/>
      </c>
      <c r="M11311" s="16" t="str">
        <f>IFERROR(__xludf.DUMMYFUNCTION("""COMPUTED_VALUE"""),"")</f>
        <v/>
      </c>
      <c r="U11311" s="16" t="s">
        <v>87</v>
      </c>
      <c r="V11311" s="16" t="str">
        <f>IFERROR(__xludf.DUMMYFUNCTION("""COMPUTED_VALUE"""),"")</f>
        <v/>
      </c>
      <c r="W11311" s="16" t="str">
        <f>IFERROR(__xludf.DUMMYFUNCTION("""COMPUTED_VALUE"""),"")</f>
        <v/>
      </c>
      <c r="X11311" s="16" t="str">
        <f>IFERROR(__xludf.DUMMYFUNCTION("""COMPUTED_VALUE"""),"")</f>
        <v/>
      </c>
      <c r="AC11311" s="16" t="str">
        <f>IFERROR(__xludf.DUMMYFUNCTION("""COMPUTED_VALUE"""),"")</f>
        <v/>
      </c>
    </row>
    <row r="11312">
      <c r="A11312" s="16" t="s">
        <v>87</v>
      </c>
      <c r="E11312" s="16" t="str">
        <f>IFERROR(__xludf.DUMMYFUNCTION("""COMPUTED_VALUE"""),"")</f>
        <v/>
      </c>
      <c r="G11312" s="18"/>
      <c r="H11312" s="16" t="s">
        <v>87</v>
      </c>
      <c r="I11312" s="16" t="s">
        <v>87</v>
      </c>
      <c r="J11312" s="19"/>
      <c r="L11312" s="16" t="str">
        <f>IFERROR(__xludf.DUMMYFUNCTION("""COMPUTED_VALUE"""),"")</f>
        <v/>
      </c>
      <c r="M11312" s="16" t="str">
        <f>IFERROR(__xludf.DUMMYFUNCTION("""COMPUTED_VALUE"""),"")</f>
        <v/>
      </c>
      <c r="U11312" s="16" t="s">
        <v>87</v>
      </c>
      <c r="V11312" s="16" t="str">
        <f>IFERROR(__xludf.DUMMYFUNCTION("""COMPUTED_VALUE"""),"")</f>
        <v/>
      </c>
      <c r="W11312" s="16" t="str">
        <f>IFERROR(__xludf.DUMMYFUNCTION("""COMPUTED_VALUE"""),"")</f>
        <v/>
      </c>
      <c r="X11312" s="16" t="str">
        <f>IFERROR(__xludf.DUMMYFUNCTION("""COMPUTED_VALUE"""),"")</f>
        <v/>
      </c>
      <c r="AC11312" s="16" t="str">
        <f>IFERROR(__xludf.DUMMYFUNCTION("""COMPUTED_VALUE"""),"")</f>
        <v/>
      </c>
    </row>
    <row r="11313">
      <c r="A11313" s="16" t="s">
        <v>87</v>
      </c>
      <c r="E11313" s="16" t="str">
        <f>IFERROR(__xludf.DUMMYFUNCTION("""COMPUTED_VALUE"""),"")</f>
        <v/>
      </c>
      <c r="G11313" s="18"/>
      <c r="H11313" s="16" t="s">
        <v>87</v>
      </c>
      <c r="I11313" s="16" t="s">
        <v>87</v>
      </c>
      <c r="J11313" s="19"/>
      <c r="L11313" s="16" t="str">
        <f>IFERROR(__xludf.DUMMYFUNCTION("""COMPUTED_VALUE"""),"")</f>
        <v/>
      </c>
      <c r="M11313" s="16" t="str">
        <f>IFERROR(__xludf.DUMMYFUNCTION("""COMPUTED_VALUE"""),"")</f>
        <v/>
      </c>
      <c r="U11313" s="16" t="s">
        <v>87</v>
      </c>
      <c r="V11313" s="16" t="str">
        <f>IFERROR(__xludf.DUMMYFUNCTION("""COMPUTED_VALUE"""),"")</f>
        <v/>
      </c>
      <c r="W11313" s="16" t="str">
        <f>IFERROR(__xludf.DUMMYFUNCTION("""COMPUTED_VALUE"""),"")</f>
        <v/>
      </c>
      <c r="X11313" s="16" t="str">
        <f>IFERROR(__xludf.DUMMYFUNCTION("""COMPUTED_VALUE"""),"")</f>
        <v/>
      </c>
      <c r="AC11313" s="16" t="str">
        <f>IFERROR(__xludf.DUMMYFUNCTION("""COMPUTED_VALUE"""),"")</f>
        <v/>
      </c>
    </row>
    <row r="11314">
      <c r="A11314" s="16" t="s">
        <v>87</v>
      </c>
      <c r="E11314" s="16" t="str">
        <f>IFERROR(__xludf.DUMMYFUNCTION("""COMPUTED_VALUE"""),"")</f>
        <v/>
      </c>
      <c r="G11314" s="18"/>
      <c r="H11314" s="16" t="s">
        <v>87</v>
      </c>
      <c r="I11314" s="16" t="s">
        <v>87</v>
      </c>
      <c r="J11314" s="19"/>
      <c r="L11314" s="16" t="str">
        <f>IFERROR(__xludf.DUMMYFUNCTION("""COMPUTED_VALUE"""),"")</f>
        <v/>
      </c>
      <c r="M11314" s="16" t="str">
        <f>IFERROR(__xludf.DUMMYFUNCTION("""COMPUTED_VALUE"""),"")</f>
        <v/>
      </c>
      <c r="U11314" s="16" t="s">
        <v>87</v>
      </c>
      <c r="V11314" s="16" t="str">
        <f>IFERROR(__xludf.DUMMYFUNCTION("""COMPUTED_VALUE"""),"")</f>
        <v/>
      </c>
      <c r="W11314" s="16" t="str">
        <f>IFERROR(__xludf.DUMMYFUNCTION("""COMPUTED_VALUE"""),"")</f>
        <v/>
      </c>
      <c r="X11314" s="16" t="str">
        <f>IFERROR(__xludf.DUMMYFUNCTION("""COMPUTED_VALUE"""),"")</f>
        <v/>
      </c>
      <c r="AC11314" s="16" t="str">
        <f>IFERROR(__xludf.DUMMYFUNCTION("""COMPUTED_VALUE"""),"")</f>
        <v/>
      </c>
    </row>
    <row r="11315">
      <c r="A11315" s="16" t="s">
        <v>87</v>
      </c>
      <c r="E11315" s="16" t="str">
        <f>IFERROR(__xludf.DUMMYFUNCTION("""COMPUTED_VALUE"""),"")</f>
        <v/>
      </c>
      <c r="G11315" s="18"/>
      <c r="H11315" s="16" t="s">
        <v>87</v>
      </c>
      <c r="I11315" s="16" t="s">
        <v>87</v>
      </c>
      <c r="J11315" s="19"/>
      <c r="L11315" s="16" t="str">
        <f>IFERROR(__xludf.DUMMYFUNCTION("""COMPUTED_VALUE"""),"")</f>
        <v/>
      </c>
      <c r="M11315" s="16" t="str">
        <f>IFERROR(__xludf.DUMMYFUNCTION("""COMPUTED_VALUE"""),"")</f>
        <v/>
      </c>
      <c r="U11315" s="16" t="s">
        <v>87</v>
      </c>
      <c r="V11315" s="16" t="str">
        <f>IFERROR(__xludf.DUMMYFUNCTION("""COMPUTED_VALUE"""),"")</f>
        <v/>
      </c>
      <c r="W11315" s="16" t="str">
        <f>IFERROR(__xludf.DUMMYFUNCTION("""COMPUTED_VALUE"""),"")</f>
        <v/>
      </c>
      <c r="X11315" s="16" t="str">
        <f>IFERROR(__xludf.DUMMYFUNCTION("""COMPUTED_VALUE"""),"")</f>
        <v/>
      </c>
      <c r="AC11315" s="16" t="str">
        <f>IFERROR(__xludf.DUMMYFUNCTION("""COMPUTED_VALUE"""),"")</f>
        <v/>
      </c>
    </row>
    <row r="11316">
      <c r="A11316" s="16" t="s">
        <v>87</v>
      </c>
      <c r="E11316" s="16" t="str">
        <f>IFERROR(__xludf.DUMMYFUNCTION("""COMPUTED_VALUE"""),"")</f>
        <v/>
      </c>
      <c r="G11316" s="18"/>
      <c r="H11316" s="16" t="s">
        <v>87</v>
      </c>
      <c r="I11316" s="16" t="s">
        <v>87</v>
      </c>
      <c r="J11316" s="19"/>
      <c r="L11316" s="16" t="str">
        <f>IFERROR(__xludf.DUMMYFUNCTION("""COMPUTED_VALUE"""),"")</f>
        <v/>
      </c>
      <c r="M11316" s="16" t="str">
        <f>IFERROR(__xludf.DUMMYFUNCTION("""COMPUTED_VALUE"""),"")</f>
        <v/>
      </c>
      <c r="U11316" s="16" t="s">
        <v>87</v>
      </c>
      <c r="V11316" s="16" t="str">
        <f>IFERROR(__xludf.DUMMYFUNCTION("""COMPUTED_VALUE"""),"")</f>
        <v/>
      </c>
      <c r="W11316" s="16" t="str">
        <f>IFERROR(__xludf.DUMMYFUNCTION("""COMPUTED_VALUE"""),"")</f>
        <v/>
      </c>
      <c r="X11316" s="16" t="str">
        <f>IFERROR(__xludf.DUMMYFUNCTION("""COMPUTED_VALUE"""),"")</f>
        <v/>
      </c>
      <c r="AC11316" s="16" t="str">
        <f>IFERROR(__xludf.DUMMYFUNCTION("""COMPUTED_VALUE"""),"")</f>
        <v/>
      </c>
    </row>
    <row r="11317">
      <c r="A11317" s="16" t="s">
        <v>87</v>
      </c>
      <c r="E11317" s="16" t="str">
        <f>IFERROR(__xludf.DUMMYFUNCTION("""COMPUTED_VALUE"""),"")</f>
        <v/>
      </c>
      <c r="G11317" s="18"/>
      <c r="H11317" s="16" t="s">
        <v>87</v>
      </c>
      <c r="I11317" s="16" t="s">
        <v>87</v>
      </c>
      <c r="J11317" s="19"/>
      <c r="L11317" s="16" t="str">
        <f>IFERROR(__xludf.DUMMYFUNCTION("""COMPUTED_VALUE"""),"")</f>
        <v/>
      </c>
      <c r="M11317" s="16" t="str">
        <f>IFERROR(__xludf.DUMMYFUNCTION("""COMPUTED_VALUE"""),"")</f>
        <v/>
      </c>
      <c r="U11317" s="16" t="s">
        <v>87</v>
      </c>
      <c r="V11317" s="16" t="str">
        <f>IFERROR(__xludf.DUMMYFUNCTION("""COMPUTED_VALUE"""),"")</f>
        <v/>
      </c>
      <c r="W11317" s="16" t="str">
        <f>IFERROR(__xludf.DUMMYFUNCTION("""COMPUTED_VALUE"""),"")</f>
        <v/>
      </c>
      <c r="X11317" s="16" t="str">
        <f>IFERROR(__xludf.DUMMYFUNCTION("""COMPUTED_VALUE"""),"")</f>
        <v/>
      </c>
      <c r="AC11317" s="16" t="str">
        <f>IFERROR(__xludf.DUMMYFUNCTION("""COMPUTED_VALUE"""),"")</f>
        <v/>
      </c>
    </row>
    <row r="11318">
      <c r="A11318" s="16" t="s">
        <v>87</v>
      </c>
      <c r="E11318" s="16" t="str">
        <f>IFERROR(__xludf.DUMMYFUNCTION("""COMPUTED_VALUE"""),"")</f>
        <v/>
      </c>
      <c r="G11318" s="18"/>
      <c r="H11318" s="16" t="s">
        <v>87</v>
      </c>
      <c r="I11318" s="16" t="s">
        <v>87</v>
      </c>
      <c r="J11318" s="19"/>
      <c r="L11318" s="16" t="str">
        <f>IFERROR(__xludf.DUMMYFUNCTION("""COMPUTED_VALUE"""),"")</f>
        <v/>
      </c>
      <c r="M11318" s="16" t="str">
        <f>IFERROR(__xludf.DUMMYFUNCTION("""COMPUTED_VALUE"""),"")</f>
        <v/>
      </c>
      <c r="U11318" s="16" t="s">
        <v>87</v>
      </c>
      <c r="V11318" s="16" t="str">
        <f>IFERROR(__xludf.DUMMYFUNCTION("""COMPUTED_VALUE"""),"")</f>
        <v/>
      </c>
      <c r="W11318" s="16" t="str">
        <f>IFERROR(__xludf.DUMMYFUNCTION("""COMPUTED_VALUE"""),"")</f>
        <v/>
      </c>
      <c r="X11318" s="16" t="str">
        <f>IFERROR(__xludf.DUMMYFUNCTION("""COMPUTED_VALUE"""),"")</f>
        <v/>
      </c>
      <c r="AC11318" s="16" t="str">
        <f>IFERROR(__xludf.DUMMYFUNCTION("""COMPUTED_VALUE"""),"")</f>
        <v/>
      </c>
    </row>
    <row r="11319">
      <c r="A11319" s="16" t="s">
        <v>87</v>
      </c>
      <c r="E11319" s="16" t="str">
        <f>IFERROR(__xludf.DUMMYFUNCTION("""COMPUTED_VALUE"""),"")</f>
        <v/>
      </c>
      <c r="G11319" s="18"/>
      <c r="H11319" s="16" t="s">
        <v>87</v>
      </c>
      <c r="I11319" s="16" t="s">
        <v>87</v>
      </c>
      <c r="J11319" s="19"/>
      <c r="L11319" s="16" t="str">
        <f>IFERROR(__xludf.DUMMYFUNCTION("""COMPUTED_VALUE"""),"")</f>
        <v/>
      </c>
      <c r="M11319" s="16" t="str">
        <f>IFERROR(__xludf.DUMMYFUNCTION("""COMPUTED_VALUE"""),"")</f>
        <v/>
      </c>
      <c r="U11319" s="16" t="s">
        <v>87</v>
      </c>
      <c r="V11319" s="16" t="str">
        <f>IFERROR(__xludf.DUMMYFUNCTION("""COMPUTED_VALUE"""),"")</f>
        <v/>
      </c>
      <c r="W11319" s="16" t="str">
        <f>IFERROR(__xludf.DUMMYFUNCTION("""COMPUTED_VALUE"""),"")</f>
        <v/>
      </c>
      <c r="X11319" s="16" t="str">
        <f>IFERROR(__xludf.DUMMYFUNCTION("""COMPUTED_VALUE"""),"")</f>
        <v/>
      </c>
      <c r="AC11319" s="16" t="str">
        <f>IFERROR(__xludf.DUMMYFUNCTION("""COMPUTED_VALUE"""),"")</f>
        <v/>
      </c>
    </row>
    <row r="11320">
      <c r="A11320" s="16" t="s">
        <v>87</v>
      </c>
      <c r="E11320" s="16" t="str">
        <f>IFERROR(__xludf.DUMMYFUNCTION("""COMPUTED_VALUE"""),"")</f>
        <v/>
      </c>
      <c r="G11320" s="18"/>
      <c r="H11320" s="16" t="s">
        <v>87</v>
      </c>
      <c r="I11320" s="16" t="s">
        <v>87</v>
      </c>
      <c r="J11320" s="19"/>
      <c r="L11320" s="16" t="str">
        <f>IFERROR(__xludf.DUMMYFUNCTION("""COMPUTED_VALUE"""),"")</f>
        <v/>
      </c>
      <c r="M11320" s="16" t="str">
        <f>IFERROR(__xludf.DUMMYFUNCTION("""COMPUTED_VALUE"""),"")</f>
        <v/>
      </c>
      <c r="U11320" s="16" t="s">
        <v>87</v>
      </c>
      <c r="V11320" s="16" t="str">
        <f>IFERROR(__xludf.DUMMYFUNCTION("""COMPUTED_VALUE"""),"")</f>
        <v/>
      </c>
      <c r="W11320" s="16" t="str">
        <f>IFERROR(__xludf.DUMMYFUNCTION("""COMPUTED_VALUE"""),"")</f>
        <v/>
      </c>
      <c r="X11320" s="16" t="str">
        <f>IFERROR(__xludf.DUMMYFUNCTION("""COMPUTED_VALUE"""),"")</f>
        <v/>
      </c>
      <c r="AC11320" s="16" t="str">
        <f>IFERROR(__xludf.DUMMYFUNCTION("""COMPUTED_VALUE"""),"")</f>
        <v/>
      </c>
    </row>
    <row r="11321">
      <c r="A11321" s="16" t="s">
        <v>87</v>
      </c>
      <c r="E11321" s="16" t="str">
        <f>IFERROR(__xludf.DUMMYFUNCTION("""COMPUTED_VALUE"""),"")</f>
        <v/>
      </c>
      <c r="G11321" s="18"/>
      <c r="H11321" s="16" t="s">
        <v>87</v>
      </c>
      <c r="I11321" s="16" t="s">
        <v>87</v>
      </c>
      <c r="J11321" s="19"/>
      <c r="L11321" s="16" t="str">
        <f>IFERROR(__xludf.DUMMYFUNCTION("""COMPUTED_VALUE"""),"")</f>
        <v/>
      </c>
      <c r="M11321" s="16" t="str">
        <f>IFERROR(__xludf.DUMMYFUNCTION("""COMPUTED_VALUE"""),"")</f>
        <v/>
      </c>
      <c r="U11321" s="16" t="s">
        <v>87</v>
      </c>
      <c r="V11321" s="16" t="str">
        <f>IFERROR(__xludf.DUMMYFUNCTION("""COMPUTED_VALUE"""),"")</f>
        <v/>
      </c>
      <c r="W11321" s="16" t="str">
        <f>IFERROR(__xludf.DUMMYFUNCTION("""COMPUTED_VALUE"""),"")</f>
        <v/>
      </c>
      <c r="X11321" s="16" t="str">
        <f>IFERROR(__xludf.DUMMYFUNCTION("""COMPUTED_VALUE"""),"")</f>
        <v/>
      </c>
      <c r="AC11321" s="16" t="str">
        <f>IFERROR(__xludf.DUMMYFUNCTION("""COMPUTED_VALUE"""),"")</f>
        <v/>
      </c>
    </row>
    <row r="11322">
      <c r="A11322" s="16" t="s">
        <v>87</v>
      </c>
      <c r="E11322" s="16" t="str">
        <f>IFERROR(__xludf.DUMMYFUNCTION("""COMPUTED_VALUE"""),"")</f>
        <v/>
      </c>
      <c r="G11322" s="18"/>
      <c r="H11322" s="16" t="s">
        <v>87</v>
      </c>
      <c r="I11322" s="16" t="s">
        <v>87</v>
      </c>
      <c r="J11322" s="19"/>
      <c r="L11322" s="16" t="str">
        <f>IFERROR(__xludf.DUMMYFUNCTION("""COMPUTED_VALUE"""),"")</f>
        <v/>
      </c>
      <c r="M11322" s="16" t="str">
        <f>IFERROR(__xludf.DUMMYFUNCTION("""COMPUTED_VALUE"""),"")</f>
        <v/>
      </c>
      <c r="U11322" s="16" t="s">
        <v>87</v>
      </c>
      <c r="V11322" s="16" t="str">
        <f>IFERROR(__xludf.DUMMYFUNCTION("""COMPUTED_VALUE"""),"")</f>
        <v/>
      </c>
      <c r="W11322" s="16" t="str">
        <f>IFERROR(__xludf.DUMMYFUNCTION("""COMPUTED_VALUE"""),"")</f>
        <v/>
      </c>
      <c r="X11322" s="16" t="str">
        <f>IFERROR(__xludf.DUMMYFUNCTION("""COMPUTED_VALUE"""),"")</f>
        <v/>
      </c>
      <c r="AC11322" s="16" t="str">
        <f>IFERROR(__xludf.DUMMYFUNCTION("""COMPUTED_VALUE"""),"")</f>
        <v/>
      </c>
    </row>
    <row r="11323">
      <c r="A11323" s="16" t="s">
        <v>87</v>
      </c>
      <c r="E11323" s="16" t="str">
        <f>IFERROR(__xludf.DUMMYFUNCTION("""COMPUTED_VALUE"""),"")</f>
        <v/>
      </c>
      <c r="G11323" s="18"/>
      <c r="H11323" s="16" t="s">
        <v>87</v>
      </c>
      <c r="I11323" s="16" t="s">
        <v>87</v>
      </c>
      <c r="J11323" s="19"/>
      <c r="L11323" s="16" t="str">
        <f>IFERROR(__xludf.DUMMYFUNCTION("""COMPUTED_VALUE"""),"")</f>
        <v/>
      </c>
      <c r="M11323" s="16" t="str">
        <f>IFERROR(__xludf.DUMMYFUNCTION("""COMPUTED_VALUE"""),"")</f>
        <v/>
      </c>
      <c r="U11323" s="16" t="s">
        <v>87</v>
      </c>
      <c r="V11323" s="16" t="str">
        <f>IFERROR(__xludf.DUMMYFUNCTION("""COMPUTED_VALUE"""),"")</f>
        <v/>
      </c>
      <c r="W11323" s="16" t="str">
        <f>IFERROR(__xludf.DUMMYFUNCTION("""COMPUTED_VALUE"""),"")</f>
        <v/>
      </c>
      <c r="X11323" s="16" t="str">
        <f>IFERROR(__xludf.DUMMYFUNCTION("""COMPUTED_VALUE"""),"")</f>
        <v/>
      </c>
      <c r="AC11323" s="16" t="str">
        <f>IFERROR(__xludf.DUMMYFUNCTION("""COMPUTED_VALUE"""),"")</f>
        <v/>
      </c>
    </row>
    <row r="11324">
      <c r="A11324" s="16" t="s">
        <v>87</v>
      </c>
      <c r="E11324" s="16" t="str">
        <f>IFERROR(__xludf.DUMMYFUNCTION("""COMPUTED_VALUE"""),"")</f>
        <v/>
      </c>
      <c r="G11324" s="18"/>
      <c r="H11324" s="16" t="s">
        <v>87</v>
      </c>
      <c r="I11324" s="16" t="s">
        <v>87</v>
      </c>
      <c r="J11324" s="19"/>
      <c r="L11324" s="16" t="str">
        <f>IFERROR(__xludf.DUMMYFUNCTION("""COMPUTED_VALUE"""),"")</f>
        <v/>
      </c>
      <c r="M11324" s="16" t="str">
        <f>IFERROR(__xludf.DUMMYFUNCTION("""COMPUTED_VALUE"""),"")</f>
        <v/>
      </c>
      <c r="U11324" s="16" t="s">
        <v>87</v>
      </c>
      <c r="V11324" s="16" t="str">
        <f>IFERROR(__xludf.DUMMYFUNCTION("""COMPUTED_VALUE"""),"")</f>
        <v/>
      </c>
      <c r="W11324" s="16" t="str">
        <f>IFERROR(__xludf.DUMMYFUNCTION("""COMPUTED_VALUE"""),"")</f>
        <v/>
      </c>
      <c r="X11324" s="16" t="str">
        <f>IFERROR(__xludf.DUMMYFUNCTION("""COMPUTED_VALUE"""),"")</f>
        <v/>
      </c>
      <c r="AC11324" s="16" t="str">
        <f>IFERROR(__xludf.DUMMYFUNCTION("""COMPUTED_VALUE"""),"")</f>
        <v/>
      </c>
    </row>
    <row r="11325">
      <c r="A11325" s="16" t="s">
        <v>87</v>
      </c>
      <c r="E11325" s="16" t="str">
        <f>IFERROR(__xludf.DUMMYFUNCTION("""COMPUTED_VALUE"""),"")</f>
        <v/>
      </c>
      <c r="G11325" s="18"/>
      <c r="H11325" s="16" t="s">
        <v>87</v>
      </c>
      <c r="I11325" s="16" t="s">
        <v>87</v>
      </c>
      <c r="J11325" s="19"/>
      <c r="L11325" s="16" t="str">
        <f>IFERROR(__xludf.DUMMYFUNCTION("""COMPUTED_VALUE"""),"")</f>
        <v/>
      </c>
      <c r="M11325" s="16" t="str">
        <f>IFERROR(__xludf.DUMMYFUNCTION("""COMPUTED_VALUE"""),"")</f>
        <v/>
      </c>
      <c r="U11325" s="16" t="s">
        <v>87</v>
      </c>
      <c r="V11325" s="16" t="str">
        <f>IFERROR(__xludf.DUMMYFUNCTION("""COMPUTED_VALUE"""),"")</f>
        <v/>
      </c>
      <c r="W11325" s="16" t="str">
        <f>IFERROR(__xludf.DUMMYFUNCTION("""COMPUTED_VALUE"""),"")</f>
        <v/>
      </c>
      <c r="X11325" s="16" t="str">
        <f>IFERROR(__xludf.DUMMYFUNCTION("""COMPUTED_VALUE"""),"")</f>
        <v/>
      </c>
      <c r="AC11325" s="16" t="str">
        <f>IFERROR(__xludf.DUMMYFUNCTION("""COMPUTED_VALUE"""),"")</f>
        <v/>
      </c>
    </row>
    <row r="11326">
      <c r="A11326" s="16" t="s">
        <v>87</v>
      </c>
      <c r="E11326" s="16" t="str">
        <f>IFERROR(__xludf.DUMMYFUNCTION("""COMPUTED_VALUE"""),"")</f>
        <v/>
      </c>
      <c r="G11326" s="18"/>
      <c r="H11326" s="16" t="s">
        <v>87</v>
      </c>
      <c r="I11326" s="16" t="s">
        <v>87</v>
      </c>
      <c r="J11326" s="19"/>
      <c r="L11326" s="16" t="str">
        <f>IFERROR(__xludf.DUMMYFUNCTION("""COMPUTED_VALUE"""),"")</f>
        <v/>
      </c>
      <c r="M11326" s="16" t="str">
        <f>IFERROR(__xludf.DUMMYFUNCTION("""COMPUTED_VALUE"""),"")</f>
        <v/>
      </c>
      <c r="U11326" s="16" t="s">
        <v>87</v>
      </c>
      <c r="V11326" s="16" t="str">
        <f>IFERROR(__xludf.DUMMYFUNCTION("""COMPUTED_VALUE"""),"")</f>
        <v/>
      </c>
      <c r="W11326" s="16" t="str">
        <f>IFERROR(__xludf.DUMMYFUNCTION("""COMPUTED_VALUE"""),"")</f>
        <v/>
      </c>
      <c r="X11326" s="16" t="str">
        <f>IFERROR(__xludf.DUMMYFUNCTION("""COMPUTED_VALUE"""),"")</f>
        <v/>
      </c>
      <c r="AC11326" s="16" t="str">
        <f>IFERROR(__xludf.DUMMYFUNCTION("""COMPUTED_VALUE"""),"")</f>
        <v/>
      </c>
    </row>
    <row r="11327">
      <c r="A11327" s="16" t="s">
        <v>87</v>
      </c>
      <c r="E11327" s="16" t="str">
        <f>IFERROR(__xludf.DUMMYFUNCTION("""COMPUTED_VALUE"""),"")</f>
        <v/>
      </c>
      <c r="G11327" s="18"/>
      <c r="H11327" s="16" t="s">
        <v>87</v>
      </c>
      <c r="I11327" s="16" t="s">
        <v>87</v>
      </c>
      <c r="J11327" s="19"/>
      <c r="L11327" s="16" t="str">
        <f>IFERROR(__xludf.DUMMYFUNCTION("""COMPUTED_VALUE"""),"")</f>
        <v/>
      </c>
      <c r="M11327" s="16" t="str">
        <f>IFERROR(__xludf.DUMMYFUNCTION("""COMPUTED_VALUE"""),"")</f>
        <v/>
      </c>
      <c r="U11327" s="16" t="s">
        <v>87</v>
      </c>
      <c r="V11327" s="16" t="str">
        <f>IFERROR(__xludf.DUMMYFUNCTION("""COMPUTED_VALUE"""),"")</f>
        <v/>
      </c>
      <c r="W11327" s="16" t="str">
        <f>IFERROR(__xludf.DUMMYFUNCTION("""COMPUTED_VALUE"""),"")</f>
        <v/>
      </c>
      <c r="X11327" s="16" t="str">
        <f>IFERROR(__xludf.DUMMYFUNCTION("""COMPUTED_VALUE"""),"")</f>
        <v/>
      </c>
      <c r="AC11327" s="16" t="str">
        <f>IFERROR(__xludf.DUMMYFUNCTION("""COMPUTED_VALUE"""),"")</f>
        <v/>
      </c>
    </row>
    <row r="11328">
      <c r="A11328" s="16" t="s">
        <v>87</v>
      </c>
      <c r="E11328" s="16" t="str">
        <f>IFERROR(__xludf.DUMMYFUNCTION("""COMPUTED_VALUE"""),"")</f>
        <v/>
      </c>
      <c r="G11328" s="18"/>
      <c r="H11328" s="16" t="s">
        <v>87</v>
      </c>
      <c r="I11328" s="16" t="s">
        <v>87</v>
      </c>
      <c r="J11328" s="19"/>
      <c r="L11328" s="16" t="str">
        <f>IFERROR(__xludf.DUMMYFUNCTION("""COMPUTED_VALUE"""),"")</f>
        <v/>
      </c>
      <c r="M11328" s="16" t="str">
        <f>IFERROR(__xludf.DUMMYFUNCTION("""COMPUTED_VALUE"""),"")</f>
        <v/>
      </c>
      <c r="U11328" s="16" t="s">
        <v>87</v>
      </c>
      <c r="V11328" s="16" t="str">
        <f>IFERROR(__xludf.DUMMYFUNCTION("""COMPUTED_VALUE"""),"")</f>
        <v/>
      </c>
      <c r="W11328" s="16" t="str">
        <f>IFERROR(__xludf.DUMMYFUNCTION("""COMPUTED_VALUE"""),"")</f>
        <v/>
      </c>
      <c r="X11328" s="16" t="str">
        <f>IFERROR(__xludf.DUMMYFUNCTION("""COMPUTED_VALUE"""),"")</f>
        <v/>
      </c>
      <c r="AC11328" s="16" t="str">
        <f>IFERROR(__xludf.DUMMYFUNCTION("""COMPUTED_VALUE"""),"")</f>
        <v/>
      </c>
    </row>
    <row r="11329">
      <c r="A11329" s="16" t="s">
        <v>87</v>
      </c>
      <c r="E11329" s="16" t="str">
        <f>IFERROR(__xludf.DUMMYFUNCTION("""COMPUTED_VALUE"""),"")</f>
        <v/>
      </c>
      <c r="G11329" s="18"/>
      <c r="H11329" s="16" t="s">
        <v>87</v>
      </c>
      <c r="I11329" s="16" t="s">
        <v>87</v>
      </c>
      <c r="J11329" s="19"/>
      <c r="L11329" s="16" t="str">
        <f>IFERROR(__xludf.DUMMYFUNCTION("""COMPUTED_VALUE"""),"")</f>
        <v/>
      </c>
      <c r="M11329" s="16" t="str">
        <f>IFERROR(__xludf.DUMMYFUNCTION("""COMPUTED_VALUE"""),"")</f>
        <v/>
      </c>
      <c r="U11329" s="16" t="s">
        <v>87</v>
      </c>
      <c r="V11329" s="16" t="str">
        <f>IFERROR(__xludf.DUMMYFUNCTION("""COMPUTED_VALUE"""),"")</f>
        <v/>
      </c>
      <c r="W11329" s="16" t="str">
        <f>IFERROR(__xludf.DUMMYFUNCTION("""COMPUTED_VALUE"""),"")</f>
        <v/>
      </c>
      <c r="X11329" s="16" t="str">
        <f>IFERROR(__xludf.DUMMYFUNCTION("""COMPUTED_VALUE"""),"")</f>
        <v/>
      </c>
      <c r="AC11329" s="16" t="str">
        <f>IFERROR(__xludf.DUMMYFUNCTION("""COMPUTED_VALUE"""),"")</f>
        <v/>
      </c>
    </row>
    <row r="11330">
      <c r="A11330" s="16" t="s">
        <v>87</v>
      </c>
      <c r="E11330" s="16" t="str">
        <f>IFERROR(__xludf.DUMMYFUNCTION("""COMPUTED_VALUE"""),"")</f>
        <v/>
      </c>
      <c r="G11330" s="18"/>
      <c r="H11330" s="16" t="s">
        <v>87</v>
      </c>
      <c r="I11330" s="16" t="s">
        <v>87</v>
      </c>
      <c r="J11330" s="19"/>
      <c r="L11330" s="16" t="str">
        <f>IFERROR(__xludf.DUMMYFUNCTION("""COMPUTED_VALUE"""),"")</f>
        <v/>
      </c>
      <c r="M11330" s="16" t="str">
        <f>IFERROR(__xludf.DUMMYFUNCTION("""COMPUTED_VALUE"""),"")</f>
        <v/>
      </c>
      <c r="U11330" s="16" t="s">
        <v>87</v>
      </c>
      <c r="V11330" s="16" t="str">
        <f>IFERROR(__xludf.DUMMYFUNCTION("""COMPUTED_VALUE"""),"")</f>
        <v/>
      </c>
      <c r="W11330" s="16" t="str">
        <f>IFERROR(__xludf.DUMMYFUNCTION("""COMPUTED_VALUE"""),"")</f>
        <v/>
      </c>
      <c r="X11330" s="16" t="str">
        <f>IFERROR(__xludf.DUMMYFUNCTION("""COMPUTED_VALUE"""),"")</f>
        <v/>
      </c>
      <c r="AC11330" s="16" t="str">
        <f>IFERROR(__xludf.DUMMYFUNCTION("""COMPUTED_VALUE"""),"")</f>
        <v/>
      </c>
    </row>
    <row r="11331">
      <c r="A11331" s="16" t="s">
        <v>87</v>
      </c>
      <c r="E11331" s="16" t="str">
        <f>IFERROR(__xludf.DUMMYFUNCTION("""COMPUTED_VALUE"""),"")</f>
        <v/>
      </c>
      <c r="G11331" s="18"/>
      <c r="H11331" s="16" t="s">
        <v>87</v>
      </c>
      <c r="I11331" s="16" t="s">
        <v>87</v>
      </c>
      <c r="J11331" s="19"/>
      <c r="L11331" s="16" t="str">
        <f>IFERROR(__xludf.DUMMYFUNCTION("""COMPUTED_VALUE"""),"")</f>
        <v/>
      </c>
      <c r="M11331" s="16" t="str">
        <f>IFERROR(__xludf.DUMMYFUNCTION("""COMPUTED_VALUE"""),"")</f>
        <v/>
      </c>
      <c r="U11331" s="16" t="s">
        <v>87</v>
      </c>
      <c r="V11331" s="16" t="str">
        <f>IFERROR(__xludf.DUMMYFUNCTION("""COMPUTED_VALUE"""),"")</f>
        <v/>
      </c>
      <c r="W11331" s="16" t="str">
        <f>IFERROR(__xludf.DUMMYFUNCTION("""COMPUTED_VALUE"""),"")</f>
        <v/>
      </c>
      <c r="X11331" s="16" t="str">
        <f>IFERROR(__xludf.DUMMYFUNCTION("""COMPUTED_VALUE"""),"")</f>
        <v/>
      </c>
      <c r="AC11331" s="16" t="str">
        <f>IFERROR(__xludf.DUMMYFUNCTION("""COMPUTED_VALUE"""),"")</f>
        <v/>
      </c>
    </row>
    <row r="11332">
      <c r="A11332" s="16" t="s">
        <v>87</v>
      </c>
      <c r="E11332" s="16" t="str">
        <f>IFERROR(__xludf.DUMMYFUNCTION("""COMPUTED_VALUE"""),"")</f>
        <v/>
      </c>
      <c r="G11332" s="18"/>
      <c r="H11332" s="16" t="s">
        <v>87</v>
      </c>
      <c r="I11332" s="16" t="s">
        <v>87</v>
      </c>
      <c r="J11332" s="19"/>
      <c r="L11332" s="16" t="str">
        <f>IFERROR(__xludf.DUMMYFUNCTION("""COMPUTED_VALUE"""),"")</f>
        <v/>
      </c>
      <c r="M11332" s="16" t="str">
        <f>IFERROR(__xludf.DUMMYFUNCTION("""COMPUTED_VALUE"""),"")</f>
        <v/>
      </c>
      <c r="U11332" s="16" t="s">
        <v>87</v>
      </c>
      <c r="V11332" s="16" t="str">
        <f>IFERROR(__xludf.DUMMYFUNCTION("""COMPUTED_VALUE"""),"")</f>
        <v/>
      </c>
      <c r="W11332" s="16" t="str">
        <f>IFERROR(__xludf.DUMMYFUNCTION("""COMPUTED_VALUE"""),"")</f>
        <v/>
      </c>
      <c r="X11332" s="16" t="str">
        <f>IFERROR(__xludf.DUMMYFUNCTION("""COMPUTED_VALUE"""),"")</f>
        <v/>
      </c>
      <c r="AC11332" s="16" t="str">
        <f>IFERROR(__xludf.DUMMYFUNCTION("""COMPUTED_VALUE"""),"")</f>
        <v/>
      </c>
    </row>
    <row r="11333">
      <c r="A11333" s="16" t="s">
        <v>87</v>
      </c>
      <c r="E11333" s="16" t="str">
        <f>IFERROR(__xludf.DUMMYFUNCTION("""COMPUTED_VALUE"""),"")</f>
        <v/>
      </c>
      <c r="G11333" s="18"/>
      <c r="H11333" s="16" t="s">
        <v>87</v>
      </c>
      <c r="I11333" s="16" t="s">
        <v>87</v>
      </c>
      <c r="J11333" s="19"/>
      <c r="L11333" s="16" t="str">
        <f>IFERROR(__xludf.DUMMYFUNCTION("""COMPUTED_VALUE"""),"")</f>
        <v/>
      </c>
      <c r="M11333" s="16" t="str">
        <f>IFERROR(__xludf.DUMMYFUNCTION("""COMPUTED_VALUE"""),"")</f>
        <v/>
      </c>
      <c r="U11333" s="16" t="s">
        <v>87</v>
      </c>
      <c r="V11333" s="16" t="str">
        <f>IFERROR(__xludf.DUMMYFUNCTION("""COMPUTED_VALUE"""),"")</f>
        <v/>
      </c>
      <c r="W11333" s="16" t="str">
        <f>IFERROR(__xludf.DUMMYFUNCTION("""COMPUTED_VALUE"""),"")</f>
        <v/>
      </c>
      <c r="X11333" s="16" t="str">
        <f>IFERROR(__xludf.DUMMYFUNCTION("""COMPUTED_VALUE"""),"")</f>
        <v/>
      </c>
      <c r="AC11333" s="16" t="str">
        <f>IFERROR(__xludf.DUMMYFUNCTION("""COMPUTED_VALUE"""),"")</f>
        <v/>
      </c>
    </row>
    <row r="11334">
      <c r="A11334" s="16" t="s">
        <v>87</v>
      </c>
      <c r="E11334" s="16" t="str">
        <f>IFERROR(__xludf.DUMMYFUNCTION("""COMPUTED_VALUE"""),"")</f>
        <v/>
      </c>
      <c r="G11334" s="18"/>
      <c r="H11334" s="16" t="s">
        <v>87</v>
      </c>
      <c r="I11334" s="16" t="s">
        <v>87</v>
      </c>
      <c r="J11334" s="19"/>
      <c r="L11334" s="16" t="str">
        <f>IFERROR(__xludf.DUMMYFUNCTION("""COMPUTED_VALUE"""),"")</f>
        <v/>
      </c>
      <c r="M11334" s="16" t="str">
        <f>IFERROR(__xludf.DUMMYFUNCTION("""COMPUTED_VALUE"""),"")</f>
        <v/>
      </c>
      <c r="U11334" s="16" t="s">
        <v>87</v>
      </c>
      <c r="V11334" s="16" t="str">
        <f>IFERROR(__xludf.DUMMYFUNCTION("""COMPUTED_VALUE"""),"")</f>
        <v/>
      </c>
      <c r="W11334" s="16" t="str">
        <f>IFERROR(__xludf.DUMMYFUNCTION("""COMPUTED_VALUE"""),"")</f>
        <v/>
      </c>
      <c r="X11334" s="16" t="str">
        <f>IFERROR(__xludf.DUMMYFUNCTION("""COMPUTED_VALUE"""),"")</f>
        <v/>
      </c>
      <c r="AC11334" s="16" t="str">
        <f>IFERROR(__xludf.DUMMYFUNCTION("""COMPUTED_VALUE"""),"")</f>
        <v/>
      </c>
    </row>
    <row r="11335">
      <c r="A11335" s="16" t="s">
        <v>87</v>
      </c>
      <c r="E11335" s="16" t="str">
        <f>IFERROR(__xludf.DUMMYFUNCTION("""COMPUTED_VALUE"""),"")</f>
        <v/>
      </c>
      <c r="G11335" s="18"/>
      <c r="H11335" s="16" t="s">
        <v>87</v>
      </c>
      <c r="I11335" s="16" t="s">
        <v>87</v>
      </c>
      <c r="J11335" s="19"/>
      <c r="L11335" s="16" t="str">
        <f>IFERROR(__xludf.DUMMYFUNCTION("""COMPUTED_VALUE"""),"")</f>
        <v/>
      </c>
      <c r="M11335" s="16" t="str">
        <f>IFERROR(__xludf.DUMMYFUNCTION("""COMPUTED_VALUE"""),"")</f>
        <v/>
      </c>
      <c r="U11335" s="16" t="s">
        <v>87</v>
      </c>
      <c r="V11335" s="16" t="str">
        <f>IFERROR(__xludf.DUMMYFUNCTION("""COMPUTED_VALUE"""),"")</f>
        <v/>
      </c>
      <c r="W11335" s="16" t="str">
        <f>IFERROR(__xludf.DUMMYFUNCTION("""COMPUTED_VALUE"""),"")</f>
        <v/>
      </c>
      <c r="X11335" s="16" t="str">
        <f>IFERROR(__xludf.DUMMYFUNCTION("""COMPUTED_VALUE"""),"")</f>
        <v/>
      </c>
      <c r="AC11335" s="16" t="str">
        <f>IFERROR(__xludf.DUMMYFUNCTION("""COMPUTED_VALUE"""),"")</f>
        <v/>
      </c>
    </row>
    <row r="11336">
      <c r="A11336" s="16" t="s">
        <v>87</v>
      </c>
      <c r="E11336" s="16" t="str">
        <f>IFERROR(__xludf.DUMMYFUNCTION("""COMPUTED_VALUE"""),"")</f>
        <v/>
      </c>
      <c r="G11336" s="18"/>
      <c r="H11336" s="16" t="s">
        <v>87</v>
      </c>
      <c r="I11336" s="16" t="s">
        <v>87</v>
      </c>
      <c r="J11336" s="19"/>
      <c r="L11336" s="16" t="str">
        <f>IFERROR(__xludf.DUMMYFUNCTION("""COMPUTED_VALUE"""),"")</f>
        <v/>
      </c>
      <c r="M11336" s="16" t="str">
        <f>IFERROR(__xludf.DUMMYFUNCTION("""COMPUTED_VALUE"""),"")</f>
        <v/>
      </c>
      <c r="U11336" s="16" t="s">
        <v>87</v>
      </c>
      <c r="V11336" s="16" t="str">
        <f>IFERROR(__xludf.DUMMYFUNCTION("""COMPUTED_VALUE"""),"")</f>
        <v/>
      </c>
      <c r="W11336" s="16" t="str">
        <f>IFERROR(__xludf.DUMMYFUNCTION("""COMPUTED_VALUE"""),"")</f>
        <v/>
      </c>
      <c r="X11336" s="16" t="str">
        <f>IFERROR(__xludf.DUMMYFUNCTION("""COMPUTED_VALUE"""),"")</f>
        <v/>
      </c>
      <c r="AC11336" s="16" t="str">
        <f>IFERROR(__xludf.DUMMYFUNCTION("""COMPUTED_VALUE"""),"")</f>
        <v/>
      </c>
    </row>
    <row r="11337">
      <c r="A11337" s="16" t="s">
        <v>87</v>
      </c>
      <c r="E11337" s="16" t="str">
        <f>IFERROR(__xludf.DUMMYFUNCTION("""COMPUTED_VALUE"""),"")</f>
        <v/>
      </c>
      <c r="G11337" s="18"/>
      <c r="H11337" s="16" t="s">
        <v>87</v>
      </c>
      <c r="I11337" s="16" t="s">
        <v>87</v>
      </c>
      <c r="J11337" s="19"/>
      <c r="L11337" s="16" t="str">
        <f>IFERROR(__xludf.DUMMYFUNCTION("""COMPUTED_VALUE"""),"")</f>
        <v/>
      </c>
      <c r="M11337" s="16" t="str">
        <f>IFERROR(__xludf.DUMMYFUNCTION("""COMPUTED_VALUE"""),"")</f>
        <v/>
      </c>
      <c r="U11337" s="16" t="s">
        <v>87</v>
      </c>
      <c r="V11337" s="16" t="str">
        <f>IFERROR(__xludf.DUMMYFUNCTION("""COMPUTED_VALUE"""),"")</f>
        <v/>
      </c>
      <c r="W11337" s="16" t="str">
        <f>IFERROR(__xludf.DUMMYFUNCTION("""COMPUTED_VALUE"""),"")</f>
        <v/>
      </c>
      <c r="X11337" s="16" t="str">
        <f>IFERROR(__xludf.DUMMYFUNCTION("""COMPUTED_VALUE"""),"")</f>
        <v/>
      </c>
      <c r="AC11337" s="16" t="str">
        <f>IFERROR(__xludf.DUMMYFUNCTION("""COMPUTED_VALUE"""),"")</f>
        <v/>
      </c>
    </row>
    <row r="11338">
      <c r="A11338" s="16" t="s">
        <v>87</v>
      </c>
      <c r="E11338" s="16" t="str">
        <f>IFERROR(__xludf.DUMMYFUNCTION("""COMPUTED_VALUE"""),"")</f>
        <v/>
      </c>
      <c r="G11338" s="18"/>
      <c r="H11338" s="16" t="s">
        <v>87</v>
      </c>
      <c r="I11338" s="16" t="s">
        <v>87</v>
      </c>
      <c r="J11338" s="19"/>
      <c r="L11338" s="16" t="str">
        <f>IFERROR(__xludf.DUMMYFUNCTION("""COMPUTED_VALUE"""),"")</f>
        <v/>
      </c>
      <c r="M11338" s="16" t="str">
        <f>IFERROR(__xludf.DUMMYFUNCTION("""COMPUTED_VALUE"""),"")</f>
        <v/>
      </c>
      <c r="U11338" s="16" t="s">
        <v>87</v>
      </c>
      <c r="V11338" s="16" t="str">
        <f>IFERROR(__xludf.DUMMYFUNCTION("""COMPUTED_VALUE"""),"")</f>
        <v/>
      </c>
      <c r="W11338" s="16" t="str">
        <f>IFERROR(__xludf.DUMMYFUNCTION("""COMPUTED_VALUE"""),"")</f>
        <v/>
      </c>
      <c r="X11338" s="16" t="str">
        <f>IFERROR(__xludf.DUMMYFUNCTION("""COMPUTED_VALUE"""),"")</f>
        <v/>
      </c>
      <c r="AC11338" s="16" t="str">
        <f>IFERROR(__xludf.DUMMYFUNCTION("""COMPUTED_VALUE"""),"")</f>
        <v/>
      </c>
    </row>
    <row r="11339">
      <c r="A11339" s="16" t="s">
        <v>87</v>
      </c>
      <c r="E11339" s="16" t="str">
        <f>IFERROR(__xludf.DUMMYFUNCTION("""COMPUTED_VALUE"""),"")</f>
        <v/>
      </c>
      <c r="G11339" s="18"/>
      <c r="H11339" s="16" t="s">
        <v>87</v>
      </c>
      <c r="I11339" s="16" t="s">
        <v>87</v>
      </c>
      <c r="J11339" s="19"/>
      <c r="L11339" s="16" t="str">
        <f>IFERROR(__xludf.DUMMYFUNCTION("""COMPUTED_VALUE"""),"")</f>
        <v/>
      </c>
      <c r="M11339" s="16" t="str">
        <f>IFERROR(__xludf.DUMMYFUNCTION("""COMPUTED_VALUE"""),"")</f>
        <v/>
      </c>
      <c r="U11339" s="16" t="s">
        <v>87</v>
      </c>
      <c r="V11339" s="16" t="str">
        <f>IFERROR(__xludf.DUMMYFUNCTION("""COMPUTED_VALUE"""),"")</f>
        <v/>
      </c>
      <c r="W11339" s="16" t="str">
        <f>IFERROR(__xludf.DUMMYFUNCTION("""COMPUTED_VALUE"""),"")</f>
        <v/>
      </c>
      <c r="X11339" s="16" t="str">
        <f>IFERROR(__xludf.DUMMYFUNCTION("""COMPUTED_VALUE"""),"")</f>
        <v/>
      </c>
      <c r="AC11339" s="16" t="str">
        <f>IFERROR(__xludf.DUMMYFUNCTION("""COMPUTED_VALUE"""),"")</f>
        <v/>
      </c>
    </row>
    <row r="11340">
      <c r="A11340" s="16" t="s">
        <v>87</v>
      </c>
      <c r="E11340" s="16" t="str">
        <f>IFERROR(__xludf.DUMMYFUNCTION("""COMPUTED_VALUE"""),"")</f>
        <v/>
      </c>
      <c r="G11340" s="18"/>
      <c r="H11340" s="16" t="s">
        <v>87</v>
      </c>
      <c r="I11340" s="16" t="s">
        <v>87</v>
      </c>
      <c r="J11340" s="19"/>
      <c r="L11340" s="16" t="str">
        <f>IFERROR(__xludf.DUMMYFUNCTION("""COMPUTED_VALUE"""),"")</f>
        <v/>
      </c>
      <c r="M11340" s="16" t="str">
        <f>IFERROR(__xludf.DUMMYFUNCTION("""COMPUTED_VALUE"""),"")</f>
        <v/>
      </c>
      <c r="U11340" s="16" t="s">
        <v>87</v>
      </c>
      <c r="V11340" s="16" t="str">
        <f>IFERROR(__xludf.DUMMYFUNCTION("""COMPUTED_VALUE"""),"")</f>
        <v/>
      </c>
      <c r="W11340" s="16" t="str">
        <f>IFERROR(__xludf.DUMMYFUNCTION("""COMPUTED_VALUE"""),"")</f>
        <v/>
      </c>
      <c r="X11340" s="16" t="str">
        <f>IFERROR(__xludf.DUMMYFUNCTION("""COMPUTED_VALUE"""),"")</f>
        <v/>
      </c>
      <c r="AC11340" s="16" t="str">
        <f>IFERROR(__xludf.DUMMYFUNCTION("""COMPUTED_VALUE"""),"")</f>
        <v/>
      </c>
    </row>
    <row r="11341">
      <c r="A11341" s="16" t="s">
        <v>87</v>
      </c>
      <c r="E11341" s="16" t="str">
        <f>IFERROR(__xludf.DUMMYFUNCTION("""COMPUTED_VALUE"""),"")</f>
        <v/>
      </c>
      <c r="G11341" s="18"/>
      <c r="H11341" s="16" t="s">
        <v>87</v>
      </c>
      <c r="I11341" s="16" t="s">
        <v>87</v>
      </c>
      <c r="J11341" s="19"/>
      <c r="L11341" s="16" t="str">
        <f>IFERROR(__xludf.DUMMYFUNCTION("""COMPUTED_VALUE"""),"")</f>
        <v/>
      </c>
      <c r="M11341" s="16" t="str">
        <f>IFERROR(__xludf.DUMMYFUNCTION("""COMPUTED_VALUE"""),"")</f>
        <v/>
      </c>
      <c r="U11341" s="16" t="s">
        <v>87</v>
      </c>
      <c r="V11341" s="16" t="str">
        <f>IFERROR(__xludf.DUMMYFUNCTION("""COMPUTED_VALUE"""),"")</f>
        <v/>
      </c>
      <c r="W11341" s="16" t="str">
        <f>IFERROR(__xludf.DUMMYFUNCTION("""COMPUTED_VALUE"""),"")</f>
        <v/>
      </c>
      <c r="X11341" s="16" t="str">
        <f>IFERROR(__xludf.DUMMYFUNCTION("""COMPUTED_VALUE"""),"")</f>
        <v/>
      </c>
      <c r="AC11341" s="16" t="str">
        <f>IFERROR(__xludf.DUMMYFUNCTION("""COMPUTED_VALUE"""),"")</f>
        <v/>
      </c>
    </row>
    <row r="11342">
      <c r="A11342" s="16" t="s">
        <v>87</v>
      </c>
      <c r="E11342" s="16" t="str">
        <f>IFERROR(__xludf.DUMMYFUNCTION("""COMPUTED_VALUE"""),"")</f>
        <v/>
      </c>
      <c r="G11342" s="18"/>
      <c r="H11342" s="16" t="s">
        <v>87</v>
      </c>
      <c r="I11342" s="16" t="s">
        <v>87</v>
      </c>
      <c r="J11342" s="19"/>
      <c r="L11342" s="16" t="str">
        <f>IFERROR(__xludf.DUMMYFUNCTION("""COMPUTED_VALUE"""),"")</f>
        <v/>
      </c>
      <c r="M11342" s="16" t="str">
        <f>IFERROR(__xludf.DUMMYFUNCTION("""COMPUTED_VALUE"""),"")</f>
        <v/>
      </c>
      <c r="U11342" s="16" t="s">
        <v>87</v>
      </c>
      <c r="V11342" s="16" t="str">
        <f>IFERROR(__xludf.DUMMYFUNCTION("""COMPUTED_VALUE"""),"")</f>
        <v/>
      </c>
      <c r="W11342" s="16" t="str">
        <f>IFERROR(__xludf.DUMMYFUNCTION("""COMPUTED_VALUE"""),"")</f>
        <v/>
      </c>
      <c r="X11342" s="16" t="str">
        <f>IFERROR(__xludf.DUMMYFUNCTION("""COMPUTED_VALUE"""),"")</f>
        <v/>
      </c>
      <c r="AC11342" s="16" t="str">
        <f>IFERROR(__xludf.DUMMYFUNCTION("""COMPUTED_VALUE"""),"")</f>
        <v/>
      </c>
    </row>
    <row r="11343">
      <c r="A11343" s="16" t="s">
        <v>87</v>
      </c>
      <c r="E11343" s="16" t="str">
        <f>IFERROR(__xludf.DUMMYFUNCTION("""COMPUTED_VALUE"""),"")</f>
        <v/>
      </c>
      <c r="G11343" s="18"/>
      <c r="H11343" s="16" t="s">
        <v>87</v>
      </c>
      <c r="I11343" s="16" t="s">
        <v>87</v>
      </c>
      <c r="J11343" s="19"/>
      <c r="L11343" s="16" t="str">
        <f>IFERROR(__xludf.DUMMYFUNCTION("""COMPUTED_VALUE"""),"")</f>
        <v/>
      </c>
      <c r="M11343" s="16" t="str">
        <f>IFERROR(__xludf.DUMMYFUNCTION("""COMPUTED_VALUE"""),"")</f>
        <v/>
      </c>
      <c r="U11343" s="16" t="s">
        <v>87</v>
      </c>
      <c r="V11343" s="16" t="str">
        <f>IFERROR(__xludf.DUMMYFUNCTION("""COMPUTED_VALUE"""),"")</f>
        <v/>
      </c>
      <c r="W11343" s="16" t="str">
        <f>IFERROR(__xludf.DUMMYFUNCTION("""COMPUTED_VALUE"""),"")</f>
        <v/>
      </c>
      <c r="X11343" s="16" t="str">
        <f>IFERROR(__xludf.DUMMYFUNCTION("""COMPUTED_VALUE"""),"")</f>
        <v/>
      </c>
      <c r="AC11343" s="16" t="str">
        <f>IFERROR(__xludf.DUMMYFUNCTION("""COMPUTED_VALUE"""),"")</f>
        <v/>
      </c>
    </row>
    <row r="11344">
      <c r="A11344" s="16" t="s">
        <v>87</v>
      </c>
      <c r="E11344" s="16" t="str">
        <f>IFERROR(__xludf.DUMMYFUNCTION("""COMPUTED_VALUE"""),"")</f>
        <v/>
      </c>
      <c r="G11344" s="18"/>
      <c r="H11344" s="16" t="s">
        <v>87</v>
      </c>
      <c r="I11344" s="16" t="s">
        <v>87</v>
      </c>
      <c r="J11344" s="19"/>
      <c r="L11344" s="16" t="str">
        <f>IFERROR(__xludf.DUMMYFUNCTION("""COMPUTED_VALUE"""),"")</f>
        <v/>
      </c>
      <c r="M11344" s="16" t="str">
        <f>IFERROR(__xludf.DUMMYFUNCTION("""COMPUTED_VALUE"""),"")</f>
        <v/>
      </c>
      <c r="U11344" s="16" t="s">
        <v>87</v>
      </c>
      <c r="V11344" s="16" t="str">
        <f>IFERROR(__xludf.DUMMYFUNCTION("""COMPUTED_VALUE"""),"")</f>
        <v/>
      </c>
      <c r="W11344" s="16" t="str">
        <f>IFERROR(__xludf.DUMMYFUNCTION("""COMPUTED_VALUE"""),"")</f>
        <v/>
      </c>
      <c r="X11344" s="16" t="str">
        <f>IFERROR(__xludf.DUMMYFUNCTION("""COMPUTED_VALUE"""),"")</f>
        <v/>
      </c>
      <c r="AC11344" s="16" t="str">
        <f>IFERROR(__xludf.DUMMYFUNCTION("""COMPUTED_VALUE"""),"")</f>
        <v/>
      </c>
    </row>
    <row r="11345">
      <c r="A11345" s="16" t="s">
        <v>87</v>
      </c>
      <c r="E11345" s="16" t="str">
        <f>IFERROR(__xludf.DUMMYFUNCTION("""COMPUTED_VALUE"""),"")</f>
        <v/>
      </c>
      <c r="G11345" s="18"/>
      <c r="H11345" s="16" t="s">
        <v>87</v>
      </c>
      <c r="I11345" s="16" t="s">
        <v>87</v>
      </c>
      <c r="J11345" s="19"/>
      <c r="L11345" s="16" t="str">
        <f>IFERROR(__xludf.DUMMYFUNCTION("""COMPUTED_VALUE"""),"")</f>
        <v/>
      </c>
      <c r="M11345" s="16" t="str">
        <f>IFERROR(__xludf.DUMMYFUNCTION("""COMPUTED_VALUE"""),"")</f>
        <v/>
      </c>
      <c r="U11345" s="16" t="s">
        <v>87</v>
      </c>
      <c r="V11345" s="16" t="str">
        <f>IFERROR(__xludf.DUMMYFUNCTION("""COMPUTED_VALUE"""),"")</f>
        <v/>
      </c>
      <c r="W11345" s="16" t="str">
        <f>IFERROR(__xludf.DUMMYFUNCTION("""COMPUTED_VALUE"""),"")</f>
        <v/>
      </c>
      <c r="X11345" s="16" t="str">
        <f>IFERROR(__xludf.DUMMYFUNCTION("""COMPUTED_VALUE"""),"")</f>
        <v/>
      </c>
      <c r="AC11345" s="16" t="str">
        <f>IFERROR(__xludf.DUMMYFUNCTION("""COMPUTED_VALUE"""),"")</f>
        <v/>
      </c>
    </row>
    <row r="11346">
      <c r="A11346" s="16" t="s">
        <v>87</v>
      </c>
      <c r="E11346" s="16" t="str">
        <f>IFERROR(__xludf.DUMMYFUNCTION("""COMPUTED_VALUE"""),"")</f>
        <v/>
      </c>
      <c r="G11346" s="18"/>
      <c r="H11346" s="16" t="s">
        <v>87</v>
      </c>
      <c r="I11346" s="16" t="s">
        <v>87</v>
      </c>
      <c r="J11346" s="19"/>
      <c r="L11346" s="16" t="str">
        <f>IFERROR(__xludf.DUMMYFUNCTION("""COMPUTED_VALUE"""),"")</f>
        <v/>
      </c>
      <c r="M11346" s="16" t="str">
        <f>IFERROR(__xludf.DUMMYFUNCTION("""COMPUTED_VALUE"""),"")</f>
        <v/>
      </c>
      <c r="U11346" s="16" t="s">
        <v>87</v>
      </c>
      <c r="V11346" s="16" t="str">
        <f>IFERROR(__xludf.DUMMYFUNCTION("""COMPUTED_VALUE"""),"")</f>
        <v/>
      </c>
      <c r="W11346" s="16" t="str">
        <f>IFERROR(__xludf.DUMMYFUNCTION("""COMPUTED_VALUE"""),"")</f>
        <v/>
      </c>
      <c r="X11346" s="16" t="str">
        <f>IFERROR(__xludf.DUMMYFUNCTION("""COMPUTED_VALUE"""),"")</f>
        <v/>
      </c>
      <c r="AC11346" s="16" t="str">
        <f>IFERROR(__xludf.DUMMYFUNCTION("""COMPUTED_VALUE"""),"")</f>
        <v/>
      </c>
    </row>
    <row r="11347">
      <c r="A11347" s="16" t="s">
        <v>87</v>
      </c>
      <c r="E11347" s="16" t="str">
        <f>IFERROR(__xludf.DUMMYFUNCTION("""COMPUTED_VALUE"""),"")</f>
        <v/>
      </c>
      <c r="G11347" s="18"/>
      <c r="H11347" s="16" t="s">
        <v>87</v>
      </c>
      <c r="I11347" s="16" t="s">
        <v>87</v>
      </c>
      <c r="J11347" s="19"/>
      <c r="L11347" s="16" t="str">
        <f>IFERROR(__xludf.DUMMYFUNCTION("""COMPUTED_VALUE"""),"")</f>
        <v/>
      </c>
      <c r="M11347" s="16" t="str">
        <f>IFERROR(__xludf.DUMMYFUNCTION("""COMPUTED_VALUE"""),"")</f>
        <v/>
      </c>
      <c r="U11347" s="16" t="s">
        <v>87</v>
      </c>
      <c r="V11347" s="16" t="str">
        <f>IFERROR(__xludf.DUMMYFUNCTION("""COMPUTED_VALUE"""),"")</f>
        <v/>
      </c>
      <c r="W11347" s="16" t="str">
        <f>IFERROR(__xludf.DUMMYFUNCTION("""COMPUTED_VALUE"""),"")</f>
        <v/>
      </c>
      <c r="X11347" s="16" t="str">
        <f>IFERROR(__xludf.DUMMYFUNCTION("""COMPUTED_VALUE"""),"")</f>
        <v/>
      </c>
      <c r="AC11347" s="16" t="str">
        <f>IFERROR(__xludf.DUMMYFUNCTION("""COMPUTED_VALUE"""),"")</f>
        <v/>
      </c>
    </row>
    <row r="11348">
      <c r="A11348" s="16" t="s">
        <v>87</v>
      </c>
      <c r="E11348" s="16" t="str">
        <f>IFERROR(__xludf.DUMMYFUNCTION("""COMPUTED_VALUE"""),"")</f>
        <v/>
      </c>
      <c r="G11348" s="18"/>
      <c r="H11348" s="16" t="s">
        <v>87</v>
      </c>
      <c r="I11348" s="16" t="s">
        <v>87</v>
      </c>
      <c r="J11348" s="19"/>
      <c r="L11348" s="16" t="str">
        <f>IFERROR(__xludf.DUMMYFUNCTION("""COMPUTED_VALUE"""),"")</f>
        <v/>
      </c>
      <c r="M11348" s="16" t="str">
        <f>IFERROR(__xludf.DUMMYFUNCTION("""COMPUTED_VALUE"""),"")</f>
        <v/>
      </c>
      <c r="U11348" s="16" t="s">
        <v>87</v>
      </c>
      <c r="V11348" s="16" t="str">
        <f>IFERROR(__xludf.DUMMYFUNCTION("""COMPUTED_VALUE"""),"")</f>
        <v/>
      </c>
      <c r="W11348" s="16" t="str">
        <f>IFERROR(__xludf.DUMMYFUNCTION("""COMPUTED_VALUE"""),"")</f>
        <v/>
      </c>
      <c r="X11348" s="16" t="str">
        <f>IFERROR(__xludf.DUMMYFUNCTION("""COMPUTED_VALUE"""),"")</f>
        <v/>
      </c>
      <c r="AC11348" s="16" t="str">
        <f>IFERROR(__xludf.DUMMYFUNCTION("""COMPUTED_VALUE"""),"")</f>
        <v/>
      </c>
    </row>
    <row r="11349">
      <c r="A11349" s="16" t="s">
        <v>87</v>
      </c>
      <c r="E11349" s="16" t="str">
        <f>IFERROR(__xludf.DUMMYFUNCTION("""COMPUTED_VALUE"""),"")</f>
        <v/>
      </c>
      <c r="G11349" s="18"/>
      <c r="H11349" s="16" t="s">
        <v>87</v>
      </c>
      <c r="I11349" s="16" t="s">
        <v>87</v>
      </c>
      <c r="J11349" s="19"/>
      <c r="L11349" s="16" t="str">
        <f>IFERROR(__xludf.DUMMYFUNCTION("""COMPUTED_VALUE"""),"")</f>
        <v/>
      </c>
      <c r="M11349" s="16" t="str">
        <f>IFERROR(__xludf.DUMMYFUNCTION("""COMPUTED_VALUE"""),"")</f>
        <v/>
      </c>
      <c r="U11349" s="16" t="s">
        <v>87</v>
      </c>
      <c r="V11349" s="16" t="str">
        <f>IFERROR(__xludf.DUMMYFUNCTION("""COMPUTED_VALUE"""),"")</f>
        <v/>
      </c>
      <c r="W11349" s="16" t="str">
        <f>IFERROR(__xludf.DUMMYFUNCTION("""COMPUTED_VALUE"""),"")</f>
        <v/>
      </c>
      <c r="X11349" s="16" t="str">
        <f>IFERROR(__xludf.DUMMYFUNCTION("""COMPUTED_VALUE"""),"")</f>
        <v/>
      </c>
      <c r="AC11349" s="16" t="str">
        <f>IFERROR(__xludf.DUMMYFUNCTION("""COMPUTED_VALUE"""),"")</f>
        <v/>
      </c>
    </row>
    <row r="11350">
      <c r="A11350" s="16" t="s">
        <v>87</v>
      </c>
      <c r="E11350" s="16" t="str">
        <f>IFERROR(__xludf.DUMMYFUNCTION("""COMPUTED_VALUE"""),"")</f>
        <v/>
      </c>
      <c r="G11350" s="18"/>
      <c r="H11350" s="16" t="s">
        <v>87</v>
      </c>
      <c r="I11350" s="16" t="s">
        <v>87</v>
      </c>
      <c r="J11350" s="19"/>
      <c r="L11350" s="16" t="str">
        <f>IFERROR(__xludf.DUMMYFUNCTION("""COMPUTED_VALUE"""),"")</f>
        <v/>
      </c>
      <c r="M11350" s="16" t="str">
        <f>IFERROR(__xludf.DUMMYFUNCTION("""COMPUTED_VALUE"""),"")</f>
        <v/>
      </c>
      <c r="U11350" s="16" t="s">
        <v>87</v>
      </c>
      <c r="V11350" s="16" t="str">
        <f>IFERROR(__xludf.DUMMYFUNCTION("""COMPUTED_VALUE"""),"")</f>
        <v/>
      </c>
      <c r="W11350" s="16" t="str">
        <f>IFERROR(__xludf.DUMMYFUNCTION("""COMPUTED_VALUE"""),"")</f>
        <v/>
      </c>
      <c r="X11350" s="16" t="str">
        <f>IFERROR(__xludf.DUMMYFUNCTION("""COMPUTED_VALUE"""),"")</f>
        <v/>
      </c>
      <c r="AC11350" s="16" t="str">
        <f>IFERROR(__xludf.DUMMYFUNCTION("""COMPUTED_VALUE"""),"")</f>
        <v/>
      </c>
    </row>
    <row r="11351">
      <c r="A11351" s="16" t="s">
        <v>87</v>
      </c>
      <c r="E11351" s="16" t="str">
        <f>IFERROR(__xludf.DUMMYFUNCTION("""COMPUTED_VALUE"""),"")</f>
        <v/>
      </c>
      <c r="G11351" s="18"/>
      <c r="H11351" s="16" t="s">
        <v>87</v>
      </c>
      <c r="I11351" s="16" t="s">
        <v>87</v>
      </c>
      <c r="J11351" s="19"/>
      <c r="L11351" s="16" t="str">
        <f>IFERROR(__xludf.DUMMYFUNCTION("""COMPUTED_VALUE"""),"")</f>
        <v/>
      </c>
      <c r="M11351" s="16" t="str">
        <f>IFERROR(__xludf.DUMMYFUNCTION("""COMPUTED_VALUE"""),"")</f>
        <v/>
      </c>
      <c r="U11351" s="16" t="s">
        <v>87</v>
      </c>
      <c r="V11351" s="16" t="str">
        <f>IFERROR(__xludf.DUMMYFUNCTION("""COMPUTED_VALUE"""),"")</f>
        <v/>
      </c>
      <c r="W11351" s="16" t="str">
        <f>IFERROR(__xludf.DUMMYFUNCTION("""COMPUTED_VALUE"""),"")</f>
        <v/>
      </c>
      <c r="X11351" s="16" t="str">
        <f>IFERROR(__xludf.DUMMYFUNCTION("""COMPUTED_VALUE"""),"")</f>
        <v/>
      </c>
      <c r="AC11351" s="16" t="str">
        <f>IFERROR(__xludf.DUMMYFUNCTION("""COMPUTED_VALUE"""),"")</f>
        <v/>
      </c>
    </row>
    <row r="11352">
      <c r="A11352" s="16" t="s">
        <v>87</v>
      </c>
      <c r="E11352" s="16" t="str">
        <f>IFERROR(__xludf.DUMMYFUNCTION("""COMPUTED_VALUE"""),"")</f>
        <v/>
      </c>
      <c r="G11352" s="18"/>
      <c r="H11352" s="16" t="s">
        <v>87</v>
      </c>
      <c r="I11352" s="16" t="s">
        <v>87</v>
      </c>
      <c r="J11352" s="19"/>
      <c r="L11352" s="16" t="str">
        <f>IFERROR(__xludf.DUMMYFUNCTION("""COMPUTED_VALUE"""),"")</f>
        <v/>
      </c>
      <c r="M11352" s="16" t="str">
        <f>IFERROR(__xludf.DUMMYFUNCTION("""COMPUTED_VALUE"""),"")</f>
        <v/>
      </c>
      <c r="U11352" s="16" t="s">
        <v>87</v>
      </c>
      <c r="V11352" s="16" t="str">
        <f>IFERROR(__xludf.DUMMYFUNCTION("""COMPUTED_VALUE"""),"")</f>
        <v/>
      </c>
      <c r="W11352" s="16" t="str">
        <f>IFERROR(__xludf.DUMMYFUNCTION("""COMPUTED_VALUE"""),"")</f>
        <v/>
      </c>
      <c r="X11352" s="16" t="str">
        <f>IFERROR(__xludf.DUMMYFUNCTION("""COMPUTED_VALUE"""),"")</f>
        <v/>
      </c>
      <c r="AC11352" s="16" t="str">
        <f>IFERROR(__xludf.DUMMYFUNCTION("""COMPUTED_VALUE"""),"")</f>
        <v/>
      </c>
    </row>
    <row r="11353">
      <c r="A11353" s="16" t="s">
        <v>87</v>
      </c>
      <c r="E11353" s="16" t="str">
        <f>IFERROR(__xludf.DUMMYFUNCTION("""COMPUTED_VALUE"""),"")</f>
        <v/>
      </c>
      <c r="G11353" s="18"/>
      <c r="H11353" s="16" t="s">
        <v>87</v>
      </c>
      <c r="I11353" s="16" t="s">
        <v>87</v>
      </c>
      <c r="J11353" s="19"/>
      <c r="L11353" s="16" t="str">
        <f>IFERROR(__xludf.DUMMYFUNCTION("""COMPUTED_VALUE"""),"")</f>
        <v/>
      </c>
      <c r="M11353" s="16" t="str">
        <f>IFERROR(__xludf.DUMMYFUNCTION("""COMPUTED_VALUE"""),"")</f>
        <v/>
      </c>
      <c r="U11353" s="16" t="s">
        <v>87</v>
      </c>
      <c r="V11353" s="16" t="str">
        <f>IFERROR(__xludf.DUMMYFUNCTION("""COMPUTED_VALUE"""),"")</f>
        <v/>
      </c>
      <c r="W11353" s="16" t="str">
        <f>IFERROR(__xludf.DUMMYFUNCTION("""COMPUTED_VALUE"""),"")</f>
        <v/>
      </c>
      <c r="X11353" s="16" t="str">
        <f>IFERROR(__xludf.DUMMYFUNCTION("""COMPUTED_VALUE"""),"")</f>
        <v/>
      </c>
      <c r="AC11353" s="16" t="str">
        <f>IFERROR(__xludf.DUMMYFUNCTION("""COMPUTED_VALUE"""),"")</f>
        <v/>
      </c>
    </row>
    <row r="11354">
      <c r="A11354" s="16" t="s">
        <v>87</v>
      </c>
      <c r="E11354" s="16" t="str">
        <f>IFERROR(__xludf.DUMMYFUNCTION("""COMPUTED_VALUE"""),"")</f>
        <v/>
      </c>
      <c r="G11354" s="18"/>
      <c r="H11354" s="16" t="s">
        <v>87</v>
      </c>
      <c r="I11354" s="16" t="s">
        <v>87</v>
      </c>
      <c r="J11354" s="19"/>
      <c r="L11354" s="16" t="str">
        <f>IFERROR(__xludf.DUMMYFUNCTION("""COMPUTED_VALUE"""),"")</f>
        <v/>
      </c>
      <c r="M11354" s="16" t="str">
        <f>IFERROR(__xludf.DUMMYFUNCTION("""COMPUTED_VALUE"""),"")</f>
        <v/>
      </c>
      <c r="U11354" s="16" t="s">
        <v>87</v>
      </c>
      <c r="V11354" s="16" t="str">
        <f>IFERROR(__xludf.DUMMYFUNCTION("""COMPUTED_VALUE"""),"")</f>
        <v/>
      </c>
      <c r="W11354" s="16" t="str">
        <f>IFERROR(__xludf.DUMMYFUNCTION("""COMPUTED_VALUE"""),"")</f>
        <v/>
      </c>
      <c r="X11354" s="16" t="str">
        <f>IFERROR(__xludf.DUMMYFUNCTION("""COMPUTED_VALUE"""),"")</f>
        <v/>
      </c>
      <c r="AC11354" s="16" t="str">
        <f>IFERROR(__xludf.DUMMYFUNCTION("""COMPUTED_VALUE"""),"")</f>
        <v/>
      </c>
    </row>
    <row r="11355">
      <c r="A11355" s="16" t="s">
        <v>87</v>
      </c>
      <c r="E11355" s="16" t="str">
        <f>IFERROR(__xludf.DUMMYFUNCTION("""COMPUTED_VALUE"""),"")</f>
        <v/>
      </c>
      <c r="G11355" s="18"/>
      <c r="H11355" s="16" t="s">
        <v>87</v>
      </c>
      <c r="I11355" s="16" t="s">
        <v>87</v>
      </c>
      <c r="J11355" s="19"/>
      <c r="L11355" s="16" t="str">
        <f>IFERROR(__xludf.DUMMYFUNCTION("""COMPUTED_VALUE"""),"")</f>
        <v/>
      </c>
      <c r="M11355" s="16" t="str">
        <f>IFERROR(__xludf.DUMMYFUNCTION("""COMPUTED_VALUE"""),"")</f>
        <v/>
      </c>
      <c r="U11355" s="16" t="s">
        <v>87</v>
      </c>
      <c r="V11355" s="16" t="str">
        <f>IFERROR(__xludf.DUMMYFUNCTION("""COMPUTED_VALUE"""),"")</f>
        <v/>
      </c>
      <c r="W11355" s="16" t="str">
        <f>IFERROR(__xludf.DUMMYFUNCTION("""COMPUTED_VALUE"""),"")</f>
        <v/>
      </c>
      <c r="X11355" s="16" t="str">
        <f>IFERROR(__xludf.DUMMYFUNCTION("""COMPUTED_VALUE"""),"")</f>
        <v/>
      </c>
      <c r="AC11355" s="16" t="str">
        <f>IFERROR(__xludf.DUMMYFUNCTION("""COMPUTED_VALUE"""),"")</f>
        <v/>
      </c>
    </row>
    <row r="11356">
      <c r="A11356" s="16" t="s">
        <v>87</v>
      </c>
      <c r="E11356" s="16" t="str">
        <f>IFERROR(__xludf.DUMMYFUNCTION("""COMPUTED_VALUE"""),"")</f>
        <v/>
      </c>
      <c r="G11356" s="18"/>
      <c r="H11356" s="16" t="s">
        <v>87</v>
      </c>
      <c r="I11356" s="16" t="s">
        <v>87</v>
      </c>
      <c r="J11356" s="19"/>
      <c r="L11356" s="16" t="str">
        <f>IFERROR(__xludf.DUMMYFUNCTION("""COMPUTED_VALUE"""),"")</f>
        <v/>
      </c>
      <c r="M11356" s="16" t="str">
        <f>IFERROR(__xludf.DUMMYFUNCTION("""COMPUTED_VALUE"""),"")</f>
        <v/>
      </c>
      <c r="U11356" s="16" t="s">
        <v>87</v>
      </c>
      <c r="V11356" s="16" t="str">
        <f>IFERROR(__xludf.DUMMYFUNCTION("""COMPUTED_VALUE"""),"")</f>
        <v/>
      </c>
      <c r="W11356" s="16" t="str">
        <f>IFERROR(__xludf.DUMMYFUNCTION("""COMPUTED_VALUE"""),"")</f>
        <v/>
      </c>
      <c r="X11356" s="16" t="str">
        <f>IFERROR(__xludf.DUMMYFUNCTION("""COMPUTED_VALUE"""),"")</f>
        <v/>
      </c>
      <c r="AC11356" s="16" t="str">
        <f>IFERROR(__xludf.DUMMYFUNCTION("""COMPUTED_VALUE"""),"")</f>
        <v/>
      </c>
    </row>
    <row r="11357">
      <c r="A11357" s="16" t="s">
        <v>87</v>
      </c>
      <c r="E11357" s="16" t="str">
        <f>IFERROR(__xludf.DUMMYFUNCTION("""COMPUTED_VALUE"""),"")</f>
        <v/>
      </c>
      <c r="G11357" s="18"/>
      <c r="H11357" s="16" t="s">
        <v>87</v>
      </c>
      <c r="I11357" s="16" t="s">
        <v>87</v>
      </c>
      <c r="J11357" s="19"/>
      <c r="L11357" s="16" t="str">
        <f>IFERROR(__xludf.DUMMYFUNCTION("""COMPUTED_VALUE"""),"")</f>
        <v/>
      </c>
      <c r="M11357" s="16" t="str">
        <f>IFERROR(__xludf.DUMMYFUNCTION("""COMPUTED_VALUE"""),"")</f>
        <v/>
      </c>
      <c r="U11357" s="16" t="s">
        <v>87</v>
      </c>
      <c r="V11357" s="16" t="str">
        <f>IFERROR(__xludf.DUMMYFUNCTION("""COMPUTED_VALUE"""),"")</f>
        <v/>
      </c>
      <c r="W11357" s="16" t="str">
        <f>IFERROR(__xludf.DUMMYFUNCTION("""COMPUTED_VALUE"""),"")</f>
        <v/>
      </c>
      <c r="X11357" s="16" t="str">
        <f>IFERROR(__xludf.DUMMYFUNCTION("""COMPUTED_VALUE"""),"")</f>
        <v/>
      </c>
      <c r="AC11357" s="16" t="str">
        <f>IFERROR(__xludf.DUMMYFUNCTION("""COMPUTED_VALUE"""),"")</f>
        <v/>
      </c>
    </row>
    <row r="11358">
      <c r="A11358" s="16" t="s">
        <v>87</v>
      </c>
      <c r="E11358" s="16" t="str">
        <f>IFERROR(__xludf.DUMMYFUNCTION("""COMPUTED_VALUE"""),"")</f>
        <v/>
      </c>
      <c r="G11358" s="18"/>
      <c r="H11358" s="16" t="s">
        <v>87</v>
      </c>
      <c r="I11358" s="16" t="s">
        <v>87</v>
      </c>
      <c r="J11358" s="19"/>
      <c r="L11358" s="16" t="str">
        <f>IFERROR(__xludf.DUMMYFUNCTION("""COMPUTED_VALUE"""),"")</f>
        <v/>
      </c>
      <c r="M11358" s="16" t="str">
        <f>IFERROR(__xludf.DUMMYFUNCTION("""COMPUTED_VALUE"""),"")</f>
        <v/>
      </c>
      <c r="U11358" s="16" t="s">
        <v>87</v>
      </c>
      <c r="V11358" s="16" t="str">
        <f>IFERROR(__xludf.DUMMYFUNCTION("""COMPUTED_VALUE"""),"")</f>
        <v/>
      </c>
      <c r="W11358" s="16" t="str">
        <f>IFERROR(__xludf.DUMMYFUNCTION("""COMPUTED_VALUE"""),"")</f>
        <v/>
      </c>
      <c r="X11358" s="16" t="str">
        <f>IFERROR(__xludf.DUMMYFUNCTION("""COMPUTED_VALUE"""),"")</f>
        <v/>
      </c>
      <c r="AC11358" s="16" t="str">
        <f>IFERROR(__xludf.DUMMYFUNCTION("""COMPUTED_VALUE"""),"")</f>
        <v/>
      </c>
    </row>
    <row r="11359">
      <c r="A11359" s="16" t="s">
        <v>87</v>
      </c>
      <c r="E11359" s="16" t="str">
        <f>IFERROR(__xludf.DUMMYFUNCTION("""COMPUTED_VALUE"""),"")</f>
        <v/>
      </c>
      <c r="G11359" s="18"/>
      <c r="H11359" s="16" t="s">
        <v>87</v>
      </c>
      <c r="I11359" s="16" t="s">
        <v>87</v>
      </c>
      <c r="J11359" s="19"/>
      <c r="L11359" s="16" t="str">
        <f>IFERROR(__xludf.DUMMYFUNCTION("""COMPUTED_VALUE"""),"")</f>
        <v/>
      </c>
      <c r="M11359" s="16" t="str">
        <f>IFERROR(__xludf.DUMMYFUNCTION("""COMPUTED_VALUE"""),"")</f>
        <v/>
      </c>
      <c r="U11359" s="16" t="s">
        <v>87</v>
      </c>
      <c r="V11359" s="16" t="str">
        <f>IFERROR(__xludf.DUMMYFUNCTION("""COMPUTED_VALUE"""),"")</f>
        <v/>
      </c>
      <c r="W11359" s="16" t="str">
        <f>IFERROR(__xludf.DUMMYFUNCTION("""COMPUTED_VALUE"""),"")</f>
        <v/>
      </c>
      <c r="X11359" s="16" t="str">
        <f>IFERROR(__xludf.DUMMYFUNCTION("""COMPUTED_VALUE"""),"")</f>
        <v/>
      </c>
      <c r="AC11359" s="16" t="str">
        <f>IFERROR(__xludf.DUMMYFUNCTION("""COMPUTED_VALUE"""),"")</f>
        <v/>
      </c>
    </row>
    <row r="11360">
      <c r="A11360" s="16" t="s">
        <v>87</v>
      </c>
      <c r="E11360" s="16" t="str">
        <f>IFERROR(__xludf.DUMMYFUNCTION("""COMPUTED_VALUE"""),"")</f>
        <v/>
      </c>
      <c r="G11360" s="18"/>
      <c r="H11360" s="16" t="s">
        <v>87</v>
      </c>
      <c r="I11360" s="16" t="s">
        <v>87</v>
      </c>
      <c r="J11360" s="19"/>
      <c r="L11360" s="16" t="str">
        <f>IFERROR(__xludf.DUMMYFUNCTION("""COMPUTED_VALUE"""),"")</f>
        <v/>
      </c>
      <c r="M11360" s="16" t="str">
        <f>IFERROR(__xludf.DUMMYFUNCTION("""COMPUTED_VALUE"""),"")</f>
        <v/>
      </c>
      <c r="U11360" s="16" t="s">
        <v>87</v>
      </c>
      <c r="V11360" s="16" t="str">
        <f>IFERROR(__xludf.DUMMYFUNCTION("""COMPUTED_VALUE"""),"")</f>
        <v/>
      </c>
      <c r="W11360" s="16" t="str">
        <f>IFERROR(__xludf.DUMMYFUNCTION("""COMPUTED_VALUE"""),"")</f>
        <v/>
      </c>
      <c r="X11360" s="16" t="str">
        <f>IFERROR(__xludf.DUMMYFUNCTION("""COMPUTED_VALUE"""),"")</f>
        <v/>
      </c>
      <c r="AC11360" s="16" t="str">
        <f>IFERROR(__xludf.DUMMYFUNCTION("""COMPUTED_VALUE"""),"")</f>
        <v/>
      </c>
    </row>
    <row r="11361">
      <c r="A11361" s="16" t="s">
        <v>87</v>
      </c>
      <c r="E11361" s="16" t="str">
        <f>IFERROR(__xludf.DUMMYFUNCTION("""COMPUTED_VALUE"""),"")</f>
        <v/>
      </c>
      <c r="G11361" s="18"/>
      <c r="H11361" s="16" t="s">
        <v>87</v>
      </c>
      <c r="I11361" s="16" t="s">
        <v>87</v>
      </c>
      <c r="J11361" s="19"/>
      <c r="L11361" s="16" t="str">
        <f>IFERROR(__xludf.DUMMYFUNCTION("""COMPUTED_VALUE"""),"")</f>
        <v/>
      </c>
      <c r="M11361" s="16" t="str">
        <f>IFERROR(__xludf.DUMMYFUNCTION("""COMPUTED_VALUE"""),"")</f>
        <v/>
      </c>
      <c r="U11361" s="16" t="s">
        <v>87</v>
      </c>
      <c r="V11361" s="16" t="str">
        <f>IFERROR(__xludf.DUMMYFUNCTION("""COMPUTED_VALUE"""),"")</f>
        <v/>
      </c>
      <c r="W11361" s="16" t="str">
        <f>IFERROR(__xludf.DUMMYFUNCTION("""COMPUTED_VALUE"""),"")</f>
        <v/>
      </c>
      <c r="X11361" s="16" t="str">
        <f>IFERROR(__xludf.DUMMYFUNCTION("""COMPUTED_VALUE"""),"")</f>
        <v/>
      </c>
      <c r="AC11361" s="16" t="str">
        <f>IFERROR(__xludf.DUMMYFUNCTION("""COMPUTED_VALUE"""),"")</f>
        <v/>
      </c>
    </row>
    <row r="11362">
      <c r="A11362" s="16" t="s">
        <v>87</v>
      </c>
      <c r="E11362" s="16" t="str">
        <f>IFERROR(__xludf.DUMMYFUNCTION("""COMPUTED_VALUE"""),"")</f>
        <v/>
      </c>
      <c r="G11362" s="18"/>
      <c r="H11362" s="16" t="s">
        <v>87</v>
      </c>
      <c r="I11362" s="16" t="s">
        <v>87</v>
      </c>
      <c r="J11362" s="19"/>
      <c r="L11362" s="16" t="str">
        <f>IFERROR(__xludf.DUMMYFUNCTION("""COMPUTED_VALUE"""),"")</f>
        <v/>
      </c>
      <c r="M11362" s="16" t="str">
        <f>IFERROR(__xludf.DUMMYFUNCTION("""COMPUTED_VALUE"""),"")</f>
        <v/>
      </c>
      <c r="U11362" s="16" t="s">
        <v>87</v>
      </c>
      <c r="V11362" s="16" t="str">
        <f>IFERROR(__xludf.DUMMYFUNCTION("""COMPUTED_VALUE"""),"")</f>
        <v/>
      </c>
      <c r="W11362" s="16" t="str">
        <f>IFERROR(__xludf.DUMMYFUNCTION("""COMPUTED_VALUE"""),"")</f>
        <v/>
      </c>
      <c r="X11362" s="16" t="str">
        <f>IFERROR(__xludf.DUMMYFUNCTION("""COMPUTED_VALUE"""),"")</f>
        <v/>
      </c>
      <c r="AC11362" s="16" t="str">
        <f>IFERROR(__xludf.DUMMYFUNCTION("""COMPUTED_VALUE"""),"")</f>
        <v/>
      </c>
    </row>
    <row r="11363">
      <c r="A11363" s="16" t="s">
        <v>87</v>
      </c>
      <c r="E11363" s="16" t="str">
        <f>IFERROR(__xludf.DUMMYFUNCTION("""COMPUTED_VALUE"""),"")</f>
        <v/>
      </c>
      <c r="G11363" s="18"/>
      <c r="H11363" s="16" t="s">
        <v>87</v>
      </c>
      <c r="I11363" s="16" t="s">
        <v>87</v>
      </c>
      <c r="J11363" s="19"/>
      <c r="L11363" s="16" t="str">
        <f>IFERROR(__xludf.DUMMYFUNCTION("""COMPUTED_VALUE"""),"")</f>
        <v/>
      </c>
      <c r="M11363" s="16" t="str">
        <f>IFERROR(__xludf.DUMMYFUNCTION("""COMPUTED_VALUE"""),"")</f>
        <v/>
      </c>
      <c r="U11363" s="16" t="s">
        <v>87</v>
      </c>
      <c r="V11363" s="16" t="str">
        <f>IFERROR(__xludf.DUMMYFUNCTION("""COMPUTED_VALUE"""),"")</f>
        <v/>
      </c>
      <c r="W11363" s="16" t="str">
        <f>IFERROR(__xludf.DUMMYFUNCTION("""COMPUTED_VALUE"""),"")</f>
        <v/>
      </c>
      <c r="X11363" s="16" t="str">
        <f>IFERROR(__xludf.DUMMYFUNCTION("""COMPUTED_VALUE"""),"")</f>
        <v/>
      </c>
      <c r="AC11363" s="16" t="str">
        <f>IFERROR(__xludf.DUMMYFUNCTION("""COMPUTED_VALUE"""),"")</f>
        <v/>
      </c>
    </row>
    <row r="11364">
      <c r="A11364" s="16" t="s">
        <v>87</v>
      </c>
      <c r="E11364" s="16" t="str">
        <f>IFERROR(__xludf.DUMMYFUNCTION("""COMPUTED_VALUE"""),"")</f>
        <v/>
      </c>
      <c r="G11364" s="18"/>
      <c r="H11364" s="16" t="s">
        <v>87</v>
      </c>
      <c r="I11364" s="16" t="s">
        <v>87</v>
      </c>
      <c r="J11364" s="19"/>
      <c r="L11364" s="16" t="str">
        <f>IFERROR(__xludf.DUMMYFUNCTION("""COMPUTED_VALUE"""),"")</f>
        <v/>
      </c>
      <c r="M11364" s="16" t="str">
        <f>IFERROR(__xludf.DUMMYFUNCTION("""COMPUTED_VALUE"""),"")</f>
        <v/>
      </c>
      <c r="U11364" s="16" t="s">
        <v>87</v>
      </c>
      <c r="V11364" s="16" t="str">
        <f>IFERROR(__xludf.DUMMYFUNCTION("""COMPUTED_VALUE"""),"")</f>
        <v/>
      </c>
      <c r="W11364" s="16" t="str">
        <f>IFERROR(__xludf.DUMMYFUNCTION("""COMPUTED_VALUE"""),"")</f>
        <v/>
      </c>
      <c r="X11364" s="16" t="str">
        <f>IFERROR(__xludf.DUMMYFUNCTION("""COMPUTED_VALUE"""),"")</f>
        <v/>
      </c>
      <c r="AC11364" s="16" t="str">
        <f>IFERROR(__xludf.DUMMYFUNCTION("""COMPUTED_VALUE"""),"")</f>
        <v/>
      </c>
    </row>
    <row r="11365">
      <c r="A11365" s="16" t="s">
        <v>87</v>
      </c>
      <c r="E11365" s="16" t="str">
        <f>IFERROR(__xludf.DUMMYFUNCTION("""COMPUTED_VALUE"""),"")</f>
        <v/>
      </c>
      <c r="G11365" s="18"/>
      <c r="H11365" s="16" t="s">
        <v>87</v>
      </c>
      <c r="I11365" s="16" t="s">
        <v>87</v>
      </c>
      <c r="J11365" s="19"/>
      <c r="L11365" s="16" t="str">
        <f>IFERROR(__xludf.DUMMYFUNCTION("""COMPUTED_VALUE"""),"")</f>
        <v/>
      </c>
      <c r="M11365" s="16" t="str">
        <f>IFERROR(__xludf.DUMMYFUNCTION("""COMPUTED_VALUE"""),"")</f>
        <v/>
      </c>
      <c r="U11365" s="16" t="s">
        <v>87</v>
      </c>
      <c r="V11365" s="16" t="str">
        <f>IFERROR(__xludf.DUMMYFUNCTION("""COMPUTED_VALUE"""),"")</f>
        <v/>
      </c>
      <c r="W11365" s="16" t="str">
        <f>IFERROR(__xludf.DUMMYFUNCTION("""COMPUTED_VALUE"""),"")</f>
        <v/>
      </c>
      <c r="X11365" s="16" t="str">
        <f>IFERROR(__xludf.DUMMYFUNCTION("""COMPUTED_VALUE"""),"")</f>
        <v/>
      </c>
      <c r="AC11365" s="16" t="str">
        <f>IFERROR(__xludf.DUMMYFUNCTION("""COMPUTED_VALUE"""),"")</f>
        <v/>
      </c>
    </row>
    <row r="11366">
      <c r="A11366" s="16" t="s">
        <v>87</v>
      </c>
      <c r="E11366" s="16" t="str">
        <f>IFERROR(__xludf.DUMMYFUNCTION("""COMPUTED_VALUE"""),"")</f>
        <v/>
      </c>
      <c r="G11366" s="18"/>
      <c r="H11366" s="16" t="s">
        <v>87</v>
      </c>
      <c r="I11366" s="16" t="s">
        <v>87</v>
      </c>
      <c r="J11366" s="19"/>
      <c r="L11366" s="16" t="str">
        <f>IFERROR(__xludf.DUMMYFUNCTION("""COMPUTED_VALUE"""),"")</f>
        <v/>
      </c>
      <c r="M11366" s="16" t="str">
        <f>IFERROR(__xludf.DUMMYFUNCTION("""COMPUTED_VALUE"""),"")</f>
        <v/>
      </c>
      <c r="U11366" s="16" t="s">
        <v>87</v>
      </c>
      <c r="V11366" s="16" t="str">
        <f>IFERROR(__xludf.DUMMYFUNCTION("""COMPUTED_VALUE"""),"")</f>
        <v/>
      </c>
      <c r="W11366" s="16" t="str">
        <f>IFERROR(__xludf.DUMMYFUNCTION("""COMPUTED_VALUE"""),"")</f>
        <v/>
      </c>
      <c r="X11366" s="16" t="str">
        <f>IFERROR(__xludf.DUMMYFUNCTION("""COMPUTED_VALUE"""),"")</f>
        <v/>
      </c>
      <c r="AC11366" s="16" t="str">
        <f>IFERROR(__xludf.DUMMYFUNCTION("""COMPUTED_VALUE"""),"")</f>
        <v/>
      </c>
    </row>
    <row r="11367">
      <c r="A11367" s="16" t="s">
        <v>87</v>
      </c>
      <c r="E11367" s="16" t="str">
        <f>IFERROR(__xludf.DUMMYFUNCTION("""COMPUTED_VALUE"""),"")</f>
        <v/>
      </c>
      <c r="G11367" s="18"/>
      <c r="H11367" s="16" t="s">
        <v>87</v>
      </c>
      <c r="I11367" s="16" t="s">
        <v>87</v>
      </c>
      <c r="J11367" s="19"/>
      <c r="L11367" s="16" t="str">
        <f>IFERROR(__xludf.DUMMYFUNCTION("""COMPUTED_VALUE"""),"")</f>
        <v/>
      </c>
      <c r="M11367" s="16" t="str">
        <f>IFERROR(__xludf.DUMMYFUNCTION("""COMPUTED_VALUE"""),"")</f>
        <v/>
      </c>
      <c r="U11367" s="16" t="s">
        <v>87</v>
      </c>
      <c r="V11367" s="16" t="str">
        <f>IFERROR(__xludf.DUMMYFUNCTION("""COMPUTED_VALUE"""),"")</f>
        <v/>
      </c>
      <c r="W11367" s="16" t="str">
        <f>IFERROR(__xludf.DUMMYFUNCTION("""COMPUTED_VALUE"""),"")</f>
        <v/>
      </c>
      <c r="X11367" s="16" t="str">
        <f>IFERROR(__xludf.DUMMYFUNCTION("""COMPUTED_VALUE"""),"")</f>
        <v/>
      </c>
      <c r="AC11367" s="16" t="str">
        <f>IFERROR(__xludf.DUMMYFUNCTION("""COMPUTED_VALUE"""),"")</f>
        <v/>
      </c>
    </row>
    <row r="11368">
      <c r="A11368" s="16" t="s">
        <v>87</v>
      </c>
      <c r="E11368" s="16" t="str">
        <f>IFERROR(__xludf.DUMMYFUNCTION("""COMPUTED_VALUE"""),"")</f>
        <v/>
      </c>
      <c r="G11368" s="18"/>
      <c r="H11368" s="16" t="s">
        <v>87</v>
      </c>
      <c r="I11368" s="16" t="s">
        <v>87</v>
      </c>
      <c r="J11368" s="19"/>
      <c r="L11368" s="16" t="str">
        <f>IFERROR(__xludf.DUMMYFUNCTION("""COMPUTED_VALUE"""),"")</f>
        <v/>
      </c>
      <c r="M11368" s="16" t="str">
        <f>IFERROR(__xludf.DUMMYFUNCTION("""COMPUTED_VALUE"""),"")</f>
        <v/>
      </c>
      <c r="U11368" s="16" t="s">
        <v>87</v>
      </c>
      <c r="V11368" s="16" t="str">
        <f>IFERROR(__xludf.DUMMYFUNCTION("""COMPUTED_VALUE"""),"")</f>
        <v/>
      </c>
      <c r="W11368" s="16" t="str">
        <f>IFERROR(__xludf.DUMMYFUNCTION("""COMPUTED_VALUE"""),"")</f>
        <v/>
      </c>
      <c r="X11368" s="16" t="str">
        <f>IFERROR(__xludf.DUMMYFUNCTION("""COMPUTED_VALUE"""),"")</f>
        <v/>
      </c>
      <c r="AC11368" s="16" t="str">
        <f>IFERROR(__xludf.DUMMYFUNCTION("""COMPUTED_VALUE"""),"")</f>
        <v/>
      </c>
    </row>
    <row r="11369">
      <c r="A11369" s="16" t="s">
        <v>87</v>
      </c>
      <c r="E11369" s="16" t="str">
        <f>IFERROR(__xludf.DUMMYFUNCTION("""COMPUTED_VALUE"""),"")</f>
        <v/>
      </c>
      <c r="G11369" s="18"/>
      <c r="H11369" s="16" t="s">
        <v>87</v>
      </c>
      <c r="I11369" s="16" t="s">
        <v>87</v>
      </c>
      <c r="J11369" s="19"/>
      <c r="L11369" s="16" t="str">
        <f>IFERROR(__xludf.DUMMYFUNCTION("""COMPUTED_VALUE"""),"")</f>
        <v/>
      </c>
      <c r="M11369" s="16" t="str">
        <f>IFERROR(__xludf.DUMMYFUNCTION("""COMPUTED_VALUE"""),"")</f>
        <v/>
      </c>
      <c r="U11369" s="16" t="s">
        <v>87</v>
      </c>
      <c r="V11369" s="16" t="str">
        <f>IFERROR(__xludf.DUMMYFUNCTION("""COMPUTED_VALUE"""),"")</f>
        <v/>
      </c>
      <c r="W11369" s="16" t="str">
        <f>IFERROR(__xludf.DUMMYFUNCTION("""COMPUTED_VALUE"""),"")</f>
        <v/>
      </c>
      <c r="X11369" s="16" t="str">
        <f>IFERROR(__xludf.DUMMYFUNCTION("""COMPUTED_VALUE"""),"")</f>
        <v/>
      </c>
      <c r="AC11369" s="16" t="str">
        <f>IFERROR(__xludf.DUMMYFUNCTION("""COMPUTED_VALUE"""),"")</f>
        <v/>
      </c>
    </row>
    <row r="11370">
      <c r="A11370" s="16" t="s">
        <v>87</v>
      </c>
      <c r="E11370" s="16" t="str">
        <f>IFERROR(__xludf.DUMMYFUNCTION("""COMPUTED_VALUE"""),"")</f>
        <v/>
      </c>
      <c r="G11370" s="18"/>
      <c r="H11370" s="16" t="s">
        <v>87</v>
      </c>
      <c r="I11370" s="16" t="s">
        <v>87</v>
      </c>
      <c r="J11370" s="19"/>
      <c r="L11370" s="16" t="str">
        <f>IFERROR(__xludf.DUMMYFUNCTION("""COMPUTED_VALUE"""),"")</f>
        <v/>
      </c>
      <c r="M11370" s="16" t="str">
        <f>IFERROR(__xludf.DUMMYFUNCTION("""COMPUTED_VALUE"""),"")</f>
        <v/>
      </c>
      <c r="U11370" s="16" t="s">
        <v>87</v>
      </c>
      <c r="V11370" s="16" t="str">
        <f>IFERROR(__xludf.DUMMYFUNCTION("""COMPUTED_VALUE"""),"")</f>
        <v/>
      </c>
      <c r="W11370" s="16" t="str">
        <f>IFERROR(__xludf.DUMMYFUNCTION("""COMPUTED_VALUE"""),"")</f>
        <v/>
      </c>
      <c r="X11370" s="16" t="str">
        <f>IFERROR(__xludf.DUMMYFUNCTION("""COMPUTED_VALUE"""),"")</f>
        <v/>
      </c>
      <c r="AC11370" s="16" t="str">
        <f>IFERROR(__xludf.DUMMYFUNCTION("""COMPUTED_VALUE"""),"")</f>
        <v/>
      </c>
    </row>
    <row r="11371">
      <c r="A11371" s="16" t="s">
        <v>87</v>
      </c>
      <c r="E11371" s="16" t="str">
        <f>IFERROR(__xludf.DUMMYFUNCTION("""COMPUTED_VALUE"""),"")</f>
        <v/>
      </c>
      <c r="G11371" s="18"/>
      <c r="H11371" s="16" t="s">
        <v>87</v>
      </c>
      <c r="I11371" s="16" t="s">
        <v>87</v>
      </c>
      <c r="J11371" s="19"/>
      <c r="L11371" s="16" t="str">
        <f>IFERROR(__xludf.DUMMYFUNCTION("""COMPUTED_VALUE"""),"")</f>
        <v/>
      </c>
      <c r="M11371" s="16" t="str">
        <f>IFERROR(__xludf.DUMMYFUNCTION("""COMPUTED_VALUE"""),"")</f>
        <v/>
      </c>
      <c r="U11371" s="16" t="s">
        <v>87</v>
      </c>
      <c r="V11371" s="16" t="str">
        <f>IFERROR(__xludf.DUMMYFUNCTION("""COMPUTED_VALUE"""),"")</f>
        <v/>
      </c>
      <c r="W11371" s="16" t="str">
        <f>IFERROR(__xludf.DUMMYFUNCTION("""COMPUTED_VALUE"""),"")</f>
        <v/>
      </c>
      <c r="X11371" s="16" t="str">
        <f>IFERROR(__xludf.DUMMYFUNCTION("""COMPUTED_VALUE"""),"")</f>
        <v/>
      </c>
      <c r="AC11371" s="16" t="str">
        <f>IFERROR(__xludf.DUMMYFUNCTION("""COMPUTED_VALUE"""),"")</f>
        <v/>
      </c>
    </row>
    <row r="11372">
      <c r="A11372" s="16" t="s">
        <v>87</v>
      </c>
      <c r="E11372" s="16" t="str">
        <f>IFERROR(__xludf.DUMMYFUNCTION("""COMPUTED_VALUE"""),"")</f>
        <v/>
      </c>
      <c r="G11372" s="18"/>
      <c r="H11372" s="16" t="s">
        <v>87</v>
      </c>
      <c r="I11372" s="16" t="s">
        <v>87</v>
      </c>
      <c r="J11372" s="19"/>
      <c r="L11372" s="16" t="str">
        <f>IFERROR(__xludf.DUMMYFUNCTION("""COMPUTED_VALUE"""),"")</f>
        <v/>
      </c>
      <c r="M11372" s="16" t="str">
        <f>IFERROR(__xludf.DUMMYFUNCTION("""COMPUTED_VALUE"""),"")</f>
        <v/>
      </c>
      <c r="U11372" s="16" t="s">
        <v>87</v>
      </c>
      <c r="V11372" s="16" t="str">
        <f>IFERROR(__xludf.DUMMYFUNCTION("""COMPUTED_VALUE"""),"")</f>
        <v/>
      </c>
      <c r="W11372" s="16" t="str">
        <f>IFERROR(__xludf.DUMMYFUNCTION("""COMPUTED_VALUE"""),"")</f>
        <v/>
      </c>
      <c r="X11372" s="16" t="str">
        <f>IFERROR(__xludf.DUMMYFUNCTION("""COMPUTED_VALUE"""),"")</f>
        <v/>
      </c>
      <c r="AC11372" s="16" t="str">
        <f>IFERROR(__xludf.DUMMYFUNCTION("""COMPUTED_VALUE"""),"")</f>
        <v/>
      </c>
    </row>
    <row r="11373">
      <c r="A11373" s="16" t="s">
        <v>87</v>
      </c>
      <c r="E11373" s="16" t="str">
        <f>IFERROR(__xludf.DUMMYFUNCTION("""COMPUTED_VALUE"""),"")</f>
        <v/>
      </c>
      <c r="G11373" s="18"/>
      <c r="H11373" s="16" t="s">
        <v>87</v>
      </c>
      <c r="I11373" s="16" t="s">
        <v>87</v>
      </c>
      <c r="J11373" s="19"/>
      <c r="L11373" s="16" t="str">
        <f>IFERROR(__xludf.DUMMYFUNCTION("""COMPUTED_VALUE"""),"")</f>
        <v/>
      </c>
      <c r="M11373" s="16" t="str">
        <f>IFERROR(__xludf.DUMMYFUNCTION("""COMPUTED_VALUE"""),"")</f>
        <v/>
      </c>
      <c r="U11373" s="16" t="s">
        <v>87</v>
      </c>
      <c r="V11373" s="16" t="str">
        <f>IFERROR(__xludf.DUMMYFUNCTION("""COMPUTED_VALUE"""),"")</f>
        <v/>
      </c>
      <c r="W11373" s="16" t="str">
        <f>IFERROR(__xludf.DUMMYFUNCTION("""COMPUTED_VALUE"""),"")</f>
        <v/>
      </c>
      <c r="X11373" s="16" t="str">
        <f>IFERROR(__xludf.DUMMYFUNCTION("""COMPUTED_VALUE"""),"")</f>
        <v/>
      </c>
      <c r="AC11373" s="16" t="str">
        <f>IFERROR(__xludf.DUMMYFUNCTION("""COMPUTED_VALUE"""),"")</f>
        <v/>
      </c>
    </row>
    <row r="11374">
      <c r="A11374" s="16" t="s">
        <v>87</v>
      </c>
      <c r="E11374" s="16" t="str">
        <f>IFERROR(__xludf.DUMMYFUNCTION("""COMPUTED_VALUE"""),"")</f>
        <v/>
      </c>
      <c r="G11374" s="18"/>
      <c r="H11374" s="16" t="s">
        <v>87</v>
      </c>
      <c r="I11374" s="16" t="s">
        <v>87</v>
      </c>
      <c r="J11374" s="19"/>
      <c r="L11374" s="16" t="str">
        <f>IFERROR(__xludf.DUMMYFUNCTION("""COMPUTED_VALUE"""),"")</f>
        <v/>
      </c>
      <c r="M11374" s="16" t="str">
        <f>IFERROR(__xludf.DUMMYFUNCTION("""COMPUTED_VALUE"""),"")</f>
        <v/>
      </c>
      <c r="U11374" s="16" t="s">
        <v>87</v>
      </c>
      <c r="V11374" s="16" t="str">
        <f>IFERROR(__xludf.DUMMYFUNCTION("""COMPUTED_VALUE"""),"")</f>
        <v/>
      </c>
      <c r="W11374" s="16" t="str">
        <f>IFERROR(__xludf.DUMMYFUNCTION("""COMPUTED_VALUE"""),"")</f>
        <v/>
      </c>
      <c r="X11374" s="16" t="str">
        <f>IFERROR(__xludf.DUMMYFUNCTION("""COMPUTED_VALUE"""),"")</f>
        <v/>
      </c>
      <c r="AC11374" s="16" t="str">
        <f>IFERROR(__xludf.DUMMYFUNCTION("""COMPUTED_VALUE"""),"")</f>
        <v/>
      </c>
    </row>
    <row r="11375">
      <c r="A11375" s="16" t="s">
        <v>87</v>
      </c>
      <c r="E11375" s="16" t="str">
        <f>IFERROR(__xludf.DUMMYFUNCTION("""COMPUTED_VALUE"""),"")</f>
        <v/>
      </c>
      <c r="G11375" s="18"/>
      <c r="H11375" s="16" t="s">
        <v>87</v>
      </c>
      <c r="I11375" s="16" t="s">
        <v>87</v>
      </c>
      <c r="J11375" s="19"/>
      <c r="L11375" s="16" t="str">
        <f>IFERROR(__xludf.DUMMYFUNCTION("""COMPUTED_VALUE"""),"")</f>
        <v/>
      </c>
      <c r="M11375" s="16" t="str">
        <f>IFERROR(__xludf.DUMMYFUNCTION("""COMPUTED_VALUE"""),"")</f>
        <v/>
      </c>
      <c r="U11375" s="16" t="s">
        <v>87</v>
      </c>
      <c r="V11375" s="16" t="str">
        <f>IFERROR(__xludf.DUMMYFUNCTION("""COMPUTED_VALUE"""),"")</f>
        <v/>
      </c>
      <c r="W11375" s="16" t="str">
        <f>IFERROR(__xludf.DUMMYFUNCTION("""COMPUTED_VALUE"""),"")</f>
        <v/>
      </c>
      <c r="X11375" s="16" t="str">
        <f>IFERROR(__xludf.DUMMYFUNCTION("""COMPUTED_VALUE"""),"")</f>
        <v/>
      </c>
      <c r="AC11375" s="16" t="str">
        <f>IFERROR(__xludf.DUMMYFUNCTION("""COMPUTED_VALUE"""),"")</f>
        <v/>
      </c>
    </row>
    <row r="11376">
      <c r="A11376" s="16" t="s">
        <v>87</v>
      </c>
      <c r="E11376" s="16" t="str">
        <f>IFERROR(__xludf.DUMMYFUNCTION("""COMPUTED_VALUE"""),"")</f>
        <v/>
      </c>
      <c r="G11376" s="18"/>
      <c r="H11376" s="16" t="s">
        <v>87</v>
      </c>
      <c r="I11376" s="16" t="s">
        <v>87</v>
      </c>
      <c r="J11376" s="19"/>
      <c r="L11376" s="16" t="str">
        <f>IFERROR(__xludf.DUMMYFUNCTION("""COMPUTED_VALUE"""),"")</f>
        <v/>
      </c>
      <c r="M11376" s="16" t="str">
        <f>IFERROR(__xludf.DUMMYFUNCTION("""COMPUTED_VALUE"""),"")</f>
        <v/>
      </c>
      <c r="U11376" s="16" t="s">
        <v>87</v>
      </c>
      <c r="V11376" s="16" t="str">
        <f>IFERROR(__xludf.DUMMYFUNCTION("""COMPUTED_VALUE"""),"")</f>
        <v/>
      </c>
      <c r="W11376" s="16" t="str">
        <f>IFERROR(__xludf.DUMMYFUNCTION("""COMPUTED_VALUE"""),"")</f>
        <v/>
      </c>
      <c r="X11376" s="16" t="str">
        <f>IFERROR(__xludf.DUMMYFUNCTION("""COMPUTED_VALUE"""),"")</f>
        <v/>
      </c>
      <c r="AC11376" s="16" t="str">
        <f>IFERROR(__xludf.DUMMYFUNCTION("""COMPUTED_VALUE"""),"")</f>
        <v/>
      </c>
    </row>
    <row r="11377">
      <c r="A11377" s="16" t="s">
        <v>87</v>
      </c>
      <c r="E11377" s="16" t="str">
        <f>IFERROR(__xludf.DUMMYFUNCTION("""COMPUTED_VALUE"""),"")</f>
        <v/>
      </c>
      <c r="G11377" s="18"/>
      <c r="H11377" s="16" t="s">
        <v>87</v>
      </c>
      <c r="I11377" s="16" t="s">
        <v>87</v>
      </c>
      <c r="J11377" s="19"/>
      <c r="L11377" s="16" t="str">
        <f>IFERROR(__xludf.DUMMYFUNCTION("""COMPUTED_VALUE"""),"")</f>
        <v/>
      </c>
      <c r="M11377" s="16" t="str">
        <f>IFERROR(__xludf.DUMMYFUNCTION("""COMPUTED_VALUE"""),"")</f>
        <v/>
      </c>
      <c r="U11377" s="16" t="s">
        <v>87</v>
      </c>
      <c r="V11377" s="16" t="str">
        <f>IFERROR(__xludf.DUMMYFUNCTION("""COMPUTED_VALUE"""),"")</f>
        <v/>
      </c>
      <c r="W11377" s="16" t="str">
        <f>IFERROR(__xludf.DUMMYFUNCTION("""COMPUTED_VALUE"""),"")</f>
        <v/>
      </c>
      <c r="X11377" s="16" t="str">
        <f>IFERROR(__xludf.DUMMYFUNCTION("""COMPUTED_VALUE"""),"")</f>
        <v/>
      </c>
      <c r="AC11377" s="16" t="str">
        <f>IFERROR(__xludf.DUMMYFUNCTION("""COMPUTED_VALUE"""),"")</f>
        <v/>
      </c>
    </row>
    <row r="11378">
      <c r="A11378" s="16" t="s">
        <v>87</v>
      </c>
      <c r="E11378" s="16" t="str">
        <f>IFERROR(__xludf.DUMMYFUNCTION("""COMPUTED_VALUE"""),"")</f>
        <v/>
      </c>
      <c r="G11378" s="18"/>
      <c r="H11378" s="16" t="s">
        <v>87</v>
      </c>
      <c r="I11378" s="16" t="s">
        <v>87</v>
      </c>
      <c r="J11378" s="19"/>
      <c r="L11378" s="16" t="str">
        <f>IFERROR(__xludf.DUMMYFUNCTION("""COMPUTED_VALUE"""),"")</f>
        <v/>
      </c>
      <c r="M11378" s="16" t="str">
        <f>IFERROR(__xludf.DUMMYFUNCTION("""COMPUTED_VALUE"""),"")</f>
        <v/>
      </c>
      <c r="U11378" s="16" t="s">
        <v>87</v>
      </c>
      <c r="V11378" s="16" t="str">
        <f>IFERROR(__xludf.DUMMYFUNCTION("""COMPUTED_VALUE"""),"")</f>
        <v/>
      </c>
      <c r="W11378" s="16" t="str">
        <f>IFERROR(__xludf.DUMMYFUNCTION("""COMPUTED_VALUE"""),"")</f>
        <v/>
      </c>
      <c r="X11378" s="16" t="str">
        <f>IFERROR(__xludf.DUMMYFUNCTION("""COMPUTED_VALUE"""),"")</f>
        <v/>
      </c>
      <c r="AC11378" s="16" t="str">
        <f>IFERROR(__xludf.DUMMYFUNCTION("""COMPUTED_VALUE"""),"")</f>
        <v/>
      </c>
    </row>
    <row r="11379">
      <c r="A11379" s="16" t="s">
        <v>87</v>
      </c>
      <c r="E11379" s="16" t="str">
        <f>IFERROR(__xludf.DUMMYFUNCTION("""COMPUTED_VALUE"""),"")</f>
        <v/>
      </c>
      <c r="G11379" s="18"/>
      <c r="H11379" s="16" t="s">
        <v>87</v>
      </c>
      <c r="I11379" s="16" t="s">
        <v>87</v>
      </c>
      <c r="J11379" s="19"/>
      <c r="L11379" s="16" t="str">
        <f>IFERROR(__xludf.DUMMYFUNCTION("""COMPUTED_VALUE"""),"")</f>
        <v/>
      </c>
      <c r="M11379" s="16" t="str">
        <f>IFERROR(__xludf.DUMMYFUNCTION("""COMPUTED_VALUE"""),"")</f>
        <v/>
      </c>
      <c r="U11379" s="16" t="s">
        <v>87</v>
      </c>
      <c r="V11379" s="16" t="str">
        <f>IFERROR(__xludf.DUMMYFUNCTION("""COMPUTED_VALUE"""),"")</f>
        <v/>
      </c>
      <c r="W11379" s="16" t="str">
        <f>IFERROR(__xludf.DUMMYFUNCTION("""COMPUTED_VALUE"""),"")</f>
        <v/>
      </c>
      <c r="X11379" s="16" t="str">
        <f>IFERROR(__xludf.DUMMYFUNCTION("""COMPUTED_VALUE"""),"")</f>
        <v/>
      </c>
      <c r="AC11379" s="16" t="str">
        <f>IFERROR(__xludf.DUMMYFUNCTION("""COMPUTED_VALUE"""),"")</f>
        <v/>
      </c>
    </row>
    <row r="11380">
      <c r="A11380" s="16" t="s">
        <v>87</v>
      </c>
      <c r="E11380" s="16" t="str">
        <f>IFERROR(__xludf.DUMMYFUNCTION("""COMPUTED_VALUE"""),"")</f>
        <v/>
      </c>
      <c r="G11380" s="18"/>
      <c r="H11380" s="16" t="s">
        <v>87</v>
      </c>
      <c r="I11380" s="16" t="s">
        <v>87</v>
      </c>
      <c r="J11380" s="19"/>
      <c r="L11380" s="16" t="str">
        <f>IFERROR(__xludf.DUMMYFUNCTION("""COMPUTED_VALUE"""),"")</f>
        <v/>
      </c>
      <c r="M11380" s="16" t="str">
        <f>IFERROR(__xludf.DUMMYFUNCTION("""COMPUTED_VALUE"""),"")</f>
        <v/>
      </c>
      <c r="U11380" s="16" t="s">
        <v>87</v>
      </c>
      <c r="V11380" s="16" t="str">
        <f>IFERROR(__xludf.DUMMYFUNCTION("""COMPUTED_VALUE"""),"")</f>
        <v/>
      </c>
      <c r="W11380" s="16" t="str">
        <f>IFERROR(__xludf.DUMMYFUNCTION("""COMPUTED_VALUE"""),"")</f>
        <v/>
      </c>
      <c r="X11380" s="16" t="str">
        <f>IFERROR(__xludf.DUMMYFUNCTION("""COMPUTED_VALUE"""),"")</f>
        <v/>
      </c>
      <c r="AC11380" s="16" t="str">
        <f>IFERROR(__xludf.DUMMYFUNCTION("""COMPUTED_VALUE"""),"")</f>
        <v/>
      </c>
    </row>
    <row r="11381">
      <c r="A11381" s="16" t="s">
        <v>87</v>
      </c>
      <c r="E11381" s="16" t="str">
        <f>IFERROR(__xludf.DUMMYFUNCTION("""COMPUTED_VALUE"""),"")</f>
        <v/>
      </c>
      <c r="G11381" s="18"/>
      <c r="H11381" s="16" t="s">
        <v>87</v>
      </c>
      <c r="I11381" s="16" t="s">
        <v>87</v>
      </c>
      <c r="J11381" s="19"/>
      <c r="L11381" s="16" t="str">
        <f>IFERROR(__xludf.DUMMYFUNCTION("""COMPUTED_VALUE"""),"")</f>
        <v/>
      </c>
      <c r="M11381" s="16" t="str">
        <f>IFERROR(__xludf.DUMMYFUNCTION("""COMPUTED_VALUE"""),"")</f>
        <v/>
      </c>
      <c r="U11381" s="16" t="s">
        <v>87</v>
      </c>
      <c r="V11381" s="16" t="str">
        <f>IFERROR(__xludf.DUMMYFUNCTION("""COMPUTED_VALUE"""),"")</f>
        <v/>
      </c>
      <c r="W11381" s="16" t="str">
        <f>IFERROR(__xludf.DUMMYFUNCTION("""COMPUTED_VALUE"""),"")</f>
        <v/>
      </c>
      <c r="X11381" s="16" t="str">
        <f>IFERROR(__xludf.DUMMYFUNCTION("""COMPUTED_VALUE"""),"")</f>
        <v/>
      </c>
      <c r="AC11381" s="16" t="str">
        <f>IFERROR(__xludf.DUMMYFUNCTION("""COMPUTED_VALUE"""),"")</f>
        <v/>
      </c>
    </row>
    <row r="11382">
      <c r="A11382" s="16" t="s">
        <v>87</v>
      </c>
      <c r="E11382" s="16" t="str">
        <f>IFERROR(__xludf.DUMMYFUNCTION("""COMPUTED_VALUE"""),"")</f>
        <v/>
      </c>
      <c r="G11382" s="18"/>
      <c r="H11382" s="16" t="s">
        <v>87</v>
      </c>
      <c r="I11382" s="16" t="s">
        <v>87</v>
      </c>
      <c r="J11382" s="19"/>
      <c r="L11382" s="16" t="str">
        <f>IFERROR(__xludf.DUMMYFUNCTION("""COMPUTED_VALUE"""),"")</f>
        <v/>
      </c>
      <c r="M11382" s="16" t="str">
        <f>IFERROR(__xludf.DUMMYFUNCTION("""COMPUTED_VALUE"""),"")</f>
        <v/>
      </c>
      <c r="U11382" s="16" t="s">
        <v>87</v>
      </c>
      <c r="V11382" s="16" t="str">
        <f>IFERROR(__xludf.DUMMYFUNCTION("""COMPUTED_VALUE"""),"")</f>
        <v/>
      </c>
      <c r="W11382" s="16" t="str">
        <f>IFERROR(__xludf.DUMMYFUNCTION("""COMPUTED_VALUE"""),"")</f>
        <v/>
      </c>
      <c r="X11382" s="16" t="str">
        <f>IFERROR(__xludf.DUMMYFUNCTION("""COMPUTED_VALUE"""),"")</f>
        <v/>
      </c>
      <c r="AC11382" s="16" t="str">
        <f>IFERROR(__xludf.DUMMYFUNCTION("""COMPUTED_VALUE"""),"")</f>
        <v/>
      </c>
    </row>
    <row r="11383">
      <c r="A11383" s="16" t="s">
        <v>87</v>
      </c>
      <c r="E11383" s="16" t="str">
        <f>IFERROR(__xludf.DUMMYFUNCTION("""COMPUTED_VALUE"""),"")</f>
        <v/>
      </c>
      <c r="G11383" s="18"/>
      <c r="H11383" s="16" t="s">
        <v>87</v>
      </c>
      <c r="I11383" s="16" t="s">
        <v>87</v>
      </c>
      <c r="J11383" s="19"/>
      <c r="L11383" s="16" t="str">
        <f>IFERROR(__xludf.DUMMYFUNCTION("""COMPUTED_VALUE"""),"")</f>
        <v/>
      </c>
      <c r="M11383" s="16" t="str">
        <f>IFERROR(__xludf.DUMMYFUNCTION("""COMPUTED_VALUE"""),"")</f>
        <v/>
      </c>
      <c r="U11383" s="16" t="s">
        <v>87</v>
      </c>
      <c r="V11383" s="16" t="str">
        <f>IFERROR(__xludf.DUMMYFUNCTION("""COMPUTED_VALUE"""),"")</f>
        <v/>
      </c>
      <c r="W11383" s="16" t="str">
        <f>IFERROR(__xludf.DUMMYFUNCTION("""COMPUTED_VALUE"""),"")</f>
        <v/>
      </c>
      <c r="X11383" s="16" t="str">
        <f>IFERROR(__xludf.DUMMYFUNCTION("""COMPUTED_VALUE"""),"")</f>
        <v/>
      </c>
      <c r="AC11383" s="16" t="str">
        <f>IFERROR(__xludf.DUMMYFUNCTION("""COMPUTED_VALUE"""),"")</f>
        <v/>
      </c>
    </row>
    <row r="11384">
      <c r="A11384" s="16" t="s">
        <v>87</v>
      </c>
      <c r="E11384" s="16" t="str">
        <f>IFERROR(__xludf.DUMMYFUNCTION("""COMPUTED_VALUE"""),"")</f>
        <v/>
      </c>
      <c r="G11384" s="18"/>
      <c r="H11384" s="16" t="s">
        <v>87</v>
      </c>
      <c r="I11384" s="16" t="s">
        <v>87</v>
      </c>
      <c r="J11384" s="19"/>
      <c r="L11384" s="16" t="str">
        <f>IFERROR(__xludf.DUMMYFUNCTION("""COMPUTED_VALUE"""),"")</f>
        <v/>
      </c>
      <c r="M11384" s="16" t="str">
        <f>IFERROR(__xludf.DUMMYFUNCTION("""COMPUTED_VALUE"""),"")</f>
        <v/>
      </c>
      <c r="U11384" s="16" t="s">
        <v>87</v>
      </c>
      <c r="V11384" s="16" t="str">
        <f>IFERROR(__xludf.DUMMYFUNCTION("""COMPUTED_VALUE"""),"")</f>
        <v/>
      </c>
      <c r="W11384" s="16" t="str">
        <f>IFERROR(__xludf.DUMMYFUNCTION("""COMPUTED_VALUE"""),"")</f>
        <v/>
      </c>
      <c r="X11384" s="16" t="str">
        <f>IFERROR(__xludf.DUMMYFUNCTION("""COMPUTED_VALUE"""),"")</f>
        <v/>
      </c>
      <c r="AC11384" s="16" t="str">
        <f>IFERROR(__xludf.DUMMYFUNCTION("""COMPUTED_VALUE"""),"")</f>
        <v/>
      </c>
    </row>
    <row r="11385">
      <c r="A11385" s="16" t="s">
        <v>87</v>
      </c>
      <c r="E11385" s="16" t="str">
        <f>IFERROR(__xludf.DUMMYFUNCTION("""COMPUTED_VALUE"""),"")</f>
        <v/>
      </c>
      <c r="G11385" s="18"/>
      <c r="H11385" s="16" t="s">
        <v>87</v>
      </c>
      <c r="I11385" s="16" t="s">
        <v>87</v>
      </c>
      <c r="J11385" s="19"/>
      <c r="L11385" s="16" t="str">
        <f>IFERROR(__xludf.DUMMYFUNCTION("""COMPUTED_VALUE"""),"")</f>
        <v/>
      </c>
      <c r="M11385" s="16" t="str">
        <f>IFERROR(__xludf.DUMMYFUNCTION("""COMPUTED_VALUE"""),"")</f>
        <v/>
      </c>
      <c r="U11385" s="16" t="s">
        <v>87</v>
      </c>
      <c r="V11385" s="16" t="str">
        <f>IFERROR(__xludf.DUMMYFUNCTION("""COMPUTED_VALUE"""),"")</f>
        <v/>
      </c>
      <c r="W11385" s="16" t="str">
        <f>IFERROR(__xludf.DUMMYFUNCTION("""COMPUTED_VALUE"""),"")</f>
        <v/>
      </c>
      <c r="X11385" s="16" t="str">
        <f>IFERROR(__xludf.DUMMYFUNCTION("""COMPUTED_VALUE"""),"")</f>
        <v/>
      </c>
      <c r="AC11385" s="16" t="str">
        <f>IFERROR(__xludf.DUMMYFUNCTION("""COMPUTED_VALUE"""),"")</f>
        <v/>
      </c>
    </row>
    <row r="11386">
      <c r="A11386" s="16" t="s">
        <v>87</v>
      </c>
      <c r="E11386" s="16" t="str">
        <f>IFERROR(__xludf.DUMMYFUNCTION("""COMPUTED_VALUE"""),"")</f>
        <v/>
      </c>
      <c r="G11386" s="18"/>
      <c r="H11386" s="16" t="s">
        <v>87</v>
      </c>
      <c r="I11386" s="16" t="s">
        <v>87</v>
      </c>
      <c r="J11386" s="19"/>
      <c r="L11386" s="16" t="str">
        <f>IFERROR(__xludf.DUMMYFUNCTION("""COMPUTED_VALUE"""),"")</f>
        <v/>
      </c>
      <c r="M11386" s="16" t="str">
        <f>IFERROR(__xludf.DUMMYFUNCTION("""COMPUTED_VALUE"""),"")</f>
        <v/>
      </c>
      <c r="U11386" s="16" t="s">
        <v>87</v>
      </c>
      <c r="V11386" s="16" t="str">
        <f>IFERROR(__xludf.DUMMYFUNCTION("""COMPUTED_VALUE"""),"")</f>
        <v/>
      </c>
      <c r="W11386" s="16" t="str">
        <f>IFERROR(__xludf.DUMMYFUNCTION("""COMPUTED_VALUE"""),"")</f>
        <v/>
      </c>
      <c r="X11386" s="16" t="str">
        <f>IFERROR(__xludf.DUMMYFUNCTION("""COMPUTED_VALUE"""),"")</f>
        <v/>
      </c>
      <c r="AC11386" s="16" t="str">
        <f>IFERROR(__xludf.DUMMYFUNCTION("""COMPUTED_VALUE"""),"")</f>
        <v/>
      </c>
    </row>
    <row r="11387">
      <c r="A11387" s="16" t="s">
        <v>87</v>
      </c>
      <c r="E11387" s="16" t="str">
        <f>IFERROR(__xludf.DUMMYFUNCTION("""COMPUTED_VALUE"""),"")</f>
        <v/>
      </c>
      <c r="G11387" s="18"/>
      <c r="H11387" s="16" t="s">
        <v>87</v>
      </c>
      <c r="I11387" s="16" t="s">
        <v>87</v>
      </c>
      <c r="J11387" s="19"/>
      <c r="L11387" s="16" t="str">
        <f>IFERROR(__xludf.DUMMYFUNCTION("""COMPUTED_VALUE"""),"")</f>
        <v/>
      </c>
      <c r="M11387" s="16" t="str">
        <f>IFERROR(__xludf.DUMMYFUNCTION("""COMPUTED_VALUE"""),"")</f>
        <v/>
      </c>
      <c r="U11387" s="16" t="s">
        <v>87</v>
      </c>
      <c r="V11387" s="16" t="str">
        <f>IFERROR(__xludf.DUMMYFUNCTION("""COMPUTED_VALUE"""),"")</f>
        <v/>
      </c>
      <c r="W11387" s="16" t="str">
        <f>IFERROR(__xludf.DUMMYFUNCTION("""COMPUTED_VALUE"""),"")</f>
        <v/>
      </c>
      <c r="X11387" s="16" t="str">
        <f>IFERROR(__xludf.DUMMYFUNCTION("""COMPUTED_VALUE"""),"")</f>
        <v/>
      </c>
      <c r="AC11387" s="16" t="str">
        <f>IFERROR(__xludf.DUMMYFUNCTION("""COMPUTED_VALUE"""),"")</f>
        <v/>
      </c>
    </row>
    <row r="11388">
      <c r="A11388" s="16" t="s">
        <v>87</v>
      </c>
      <c r="E11388" s="16" t="str">
        <f>IFERROR(__xludf.DUMMYFUNCTION("""COMPUTED_VALUE"""),"")</f>
        <v/>
      </c>
      <c r="G11388" s="18"/>
      <c r="H11388" s="16" t="s">
        <v>87</v>
      </c>
      <c r="I11388" s="16" t="s">
        <v>87</v>
      </c>
      <c r="J11388" s="19"/>
      <c r="L11388" s="16" t="str">
        <f>IFERROR(__xludf.DUMMYFUNCTION("""COMPUTED_VALUE"""),"")</f>
        <v/>
      </c>
      <c r="M11388" s="16" t="str">
        <f>IFERROR(__xludf.DUMMYFUNCTION("""COMPUTED_VALUE"""),"")</f>
        <v/>
      </c>
      <c r="U11388" s="16" t="s">
        <v>87</v>
      </c>
      <c r="V11388" s="16" t="str">
        <f>IFERROR(__xludf.DUMMYFUNCTION("""COMPUTED_VALUE"""),"")</f>
        <v/>
      </c>
      <c r="W11388" s="16" t="str">
        <f>IFERROR(__xludf.DUMMYFUNCTION("""COMPUTED_VALUE"""),"")</f>
        <v/>
      </c>
      <c r="X11388" s="16" t="str">
        <f>IFERROR(__xludf.DUMMYFUNCTION("""COMPUTED_VALUE"""),"")</f>
        <v/>
      </c>
      <c r="AC11388" s="16" t="str">
        <f>IFERROR(__xludf.DUMMYFUNCTION("""COMPUTED_VALUE"""),"")</f>
        <v/>
      </c>
    </row>
    <row r="11389">
      <c r="A11389" s="16" t="s">
        <v>87</v>
      </c>
      <c r="E11389" s="16" t="str">
        <f>IFERROR(__xludf.DUMMYFUNCTION("""COMPUTED_VALUE"""),"")</f>
        <v/>
      </c>
      <c r="G11389" s="18"/>
      <c r="H11389" s="16" t="s">
        <v>87</v>
      </c>
      <c r="I11389" s="16" t="s">
        <v>87</v>
      </c>
      <c r="J11389" s="19"/>
      <c r="L11389" s="16" t="str">
        <f>IFERROR(__xludf.DUMMYFUNCTION("""COMPUTED_VALUE"""),"")</f>
        <v/>
      </c>
      <c r="M11389" s="16" t="str">
        <f>IFERROR(__xludf.DUMMYFUNCTION("""COMPUTED_VALUE"""),"")</f>
        <v/>
      </c>
      <c r="U11389" s="16" t="s">
        <v>87</v>
      </c>
      <c r="V11389" s="16" t="str">
        <f>IFERROR(__xludf.DUMMYFUNCTION("""COMPUTED_VALUE"""),"")</f>
        <v/>
      </c>
      <c r="W11389" s="16" t="str">
        <f>IFERROR(__xludf.DUMMYFUNCTION("""COMPUTED_VALUE"""),"")</f>
        <v/>
      </c>
      <c r="X11389" s="16" t="str">
        <f>IFERROR(__xludf.DUMMYFUNCTION("""COMPUTED_VALUE"""),"")</f>
        <v/>
      </c>
      <c r="AC11389" s="16" t="str">
        <f>IFERROR(__xludf.DUMMYFUNCTION("""COMPUTED_VALUE"""),"")</f>
        <v/>
      </c>
    </row>
    <row r="11390">
      <c r="A11390" s="16" t="s">
        <v>87</v>
      </c>
      <c r="E11390" s="16" t="str">
        <f>IFERROR(__xludf.DUMMYFUNCTION("""COMPUTED_VALUE"""),"")</f>
        <v/>
      </c>
      <c r="G11390" s="18"/>
      <c r="H11390" s="16" t="s">
        <v>87</v>
      </c>
      <c r="I11390" s="16" t="s">
        <v>87</v>
      </c>
      <c r="J11390" s="19"/>
      <c r="L11390" s="16" t="str">
        <f>IFERROR(__xludf.DUMMYFUNCTION("""COMPUTED_VALUE"""),"")</f>
        <v/>
      </c>
      <c r="M11390" s="16" t="str">
        <f>IFERROR(__xludf.DUMMYFUNCTION("""COMPUTED_VALUE"""),"")</f>
        <v/>
      </c>
      <c r="U11390" s="16" t="s">
        <v>87</v>
      </c>
      <c r="V11390" s="16" t="str">
        <f>IFERROR(__xludf.DUMMYFUNCTION("""COMPUTED_VALUE"""),"")</f>
        <v/>
      </c>
      <c r="W11390" s="16" t="str">
        <f>IFERROR(__xludf.DUMMYFUNCTION("""COMPUTED_VALUE"""),"")</f>
        <v/>
      </c>
      <c r="X11390" s="16" t="str">
        <f>IFERROR(__xludf.DUMMYFUNCTION("""COMPUTED_VALUE"""),"")</f>
        <v/>
      </c>
      <c r="AC11390" s="16" t="str">
        <f>IFERROR(__xludf.DUMMYFUNCTION("""COMPUTED_VALUE"""),"")</f>
        <v/>
      </c>
    </row>
    <row r="11391">
      <c r="A11391" s="16" t="s">
        <v>87</v>
      </c>
      <c r="E11391" s="16" t="str">
        <f>IFERROR(__xludf.DUMMYFUNCTION("""COMPUTED_VALUE"""),"")</f>
        <v/>
      </c>
      <c r="G11391" s="18"/>
      <c r="H11391" s="16" t="s">
        <v>87</v>
      </c>
      <c r="I11391" s="16" t="s">
        <v>87</v>
      </c>
      <c r="J11391" s="19"/>
      <c r="L11391" s="16" t="str">
        <f>IFERROR(__xludf.DUMMYFUNCTION("""COMPUTED_VALUE"""),"")</f>
        <v/>
      </c>
      <c r="M11391" s="16" t="str">
        <f>IFERROR(__xludf.DUMMYFUNCTION("""COMPUTED_VALUE"""),"")</f>
        <v/>
      </c>
      <c r="U11391" s="16" t="s">
        <v>87</v>
      </c>
      <c r="V11391" s="16" t="str">
        <f>IFERROR(__xludf.DUMMYFUNCTION("""COMPUTED_VALUE"""),"")</f>
        <v/>
      </c>
      <c r="W11391" s="16" t="str">
        <f>IFERROR(__xludf.DUMMYFUNCTION("""COMPUTED_VALUE"""),"")</f>
        <v/>
      </c>
      <c r="X11391" s="16" t="str">
        <f>IFERROR(__xludf.DUMMYFUNCTION("""COMPUTED_VALUE"""),"")</f>
        <v/>
      </c>
      <c r="AC11391" s="16" t="str">
        <f>IFERROR(__xludf.DUMMYFUNCTION("""COMPUTED_VALUE"""),"")</f>
        <v/>
      </c>
    </row>
    <row r="11392">
      <c r="A11392" s="16" t="s">
        <v>87</v>
      </c>
      <c r="E11392" s="16" t="str">
        <f>IFERROR(__xludf.DUMMYFUNCTION("""COMPUTED_VALUE"""),"")</f>
        <v/>
      </c>
      <c r="G11392" s="18"/>
      <c r="H11392" s="16" t="s">
        <v>87</v>
      </c>
      <c r="I11392" s="16" t="s">
        <v>87</v>
      </c>
      <c r="J11392" s="19"/>
      <c r="L11392" s="16" t="str">
        <f>IFERROR(__xludf.DUMMYFUNCTION("""COMPUTED_VALUE"""),"")</f>
        <v/>
      </c>
      <c r="M11392" s="16" t="str">
        <f>IFERROR(__xludf.DUMMYFUNCTION("""COMPUTED_VALUE"""),"")</f>
        <v/>
      </c>
      <c r="U11392" s="16" t="s">
        <v>87</v>
      </c>
      <c r="V11392" s="16" t="str">
        <f>IFERROR(__xludf.DUMMYFUNCTION("""COMPUTED_VALUE"""),"")</f>
        <v/>
      </c>
      <c r="W11392" s="16" t="str">
        <f>IFERROR(__xludf.DUMMYFUNCTION("""COMPUTED_VALUE"""),"")</f>
        <v/>
      </c>
      <c r="X11392" s="16" t="str">
        <f>IFERROR(__xludf.DUMMYFUNCTION("""COMPUTED_VALUE"""),"")</f>
        <v/>
      </c>
      <c r="AC11392" s="16" t="str">
        <f>IFERROR(__xludf.DUMMYFUNCTION("""COMPUTED_VALUE"""),"")</f>
        <v/>
      </c>
    </row>
    <row r="11393">
      <c r="A11393" s="16" t="s">
        <v>87</v>
      </c>
      <c r="E11393" s="16" t="str">
        <f>IFERROR(__xludf.DUMMYFUNCTION("""COMPUTED_VALUE"""),"")</f>
        <v/>
      </c>
      <c r="G11393" s="18"/>
      <c r="H11393" s="16" t="s">
        <v>87</v>
      </c>
      <c r="I11393" s="16" t="s">
        <v>87</v>
      </c>
      <c r="J11393" s="19"/>
      <c r="L11393" s="16" t="str">
        <f>IFERROR(__xludf.DUMMYFUNCTION("""COMPUTED_VALUE"""),"")</f>
        <v/>
      </c>
      <c r="M11393" s="16" t="str">
        <f>IFERROR(__xludf.DUMMYFUNCTION("""COMPUTED_VALUE"""),"")</f>
        <v/>
      </c>
      <c r="U11393" s="16" t="s">
        <v>87</v>
      </c>
      <c r="V11393" s="16" t="str">
        <f>IFERROR(__xludf.DUMMYFUNCTION("""COMPUTED_VALUE"""),"")</f>
        <v/>
      </c>
      <c r="W11393" s="16" t="str">
        <f>IFERROR(__xludf.DUMMYFUNCTION("""COMPUTED_VALUE"""),"")</f>
        <v/>
      </c>
      <c r="X11393" s="16" t="str">
        <f>IFERROR(__xludf.DUMMYFUNCTION("""COMPUTED_VALUE"""),"")</f>
        <v/>
      </c>
      <c r="AC11393" s="16" t="str">
        <f>IFERROR(__xludf.DUMMYFUNCTION("""COMPUTED_VALUE"""),"")</f>
        <v/>
      </c>
    </row>
    <row r="11394">
      <c r="A11394" s="16" t="s">
        <v>87</v>
      </c>
      <c r="E11394" s="16" t="str">
        <f>IFERROR(__xludf.DUMMYFUNCTION("""COMPUTED_VALUE"""),"")</f>
        <v/>
      </c>
      <c r="G11394" s="18"/>
      <c r="H11394" s="16" t="s">
        <v>87</v>
      </c>
      <c r="I11394" s="16" t="s">
        <v>87</v>
      </c>
      <c r="J11394" s="19"/>
      <c r="L11394" s="16" t="str">
        <f>IFERROR(__xludf.DUMMYFUNCTION("""COMPUTED_VALUE"""),"")</f>
        <v/>
      </c>
      <c r="M11394" s="16" t="str">
        <f>IFERROR(__xludf.DUMMYFUNCTION("""COMPUTED_VALUE"""),"")</f>
        <v/>
      </c>
      <c r="U11394" s="16" t="s">
        <v>87</v>
      </c>
      <c r="V11394" s="16" t="str">
        <f>IFERROR(__xludf.DUMMYFUNCTION("""COMPUTED_VALUE"""),"")</f>
        <v/>
      </c>
      <c r="W11394" s="16" t="str">
        <f>IFERROR(__xludf.DUMMYFUNCTION("""COMPUTED_VALUE"""),"")</f>
        <v/>
      </c>
      <c r="X11394" s="16" t="str">
        <f>IFERROR(__xludf.DUMMYFUNCTION("""COMPUTED_VALUE"""),"")</f>
        <v/>
      </c>
      <c r="AC11394" s="16" t="str">
        <f>IFERROR(__xludf.DUMMYFUNCTION("""COMPUTED_VALUE"""),"")</f>
        <v/>
      </c>
    </row>
    <row r="11395">
      <c r="A11395" s="16" t="s">
        <v>87</v>
      </c>
      <c r="E11395" s="16" t="str">
        <f>IFERROR(__xludf.DUMMYFUNCTION("""COMPUTED_VALUE"""),"")</f>
        <v/>
      </c>
      <c r="G11395" s="18"/>
      <c r="H11395" s="16" t="s">
        <v>87</v>
      </c>
      <c r="I11395" s="16" t="s">
        <v>87</v>
      </c>
      <c r="J11395" s="19"/>
      <c r="L11395" s="16" t="str">
        <f>IFERROR(__xludf.DUMMYFUNCTION("""COMPUTED_VALUE"""),"")</f>
        <v/>
      </c>
      <c r="M11395" s="16" t="str">
        <f>IFERROR(__xludf.DUMMYFUNCTION("""COMPUTED_VALUE"""),"")</f>
        <v/>
      </c>
      <c r="U11395" s="16" t="s">
        <v>87</v>
      </c>
      <c r="V11395" s="16" t="str">
        <f>IFERROR(__xludf.DUMMYFUNCTION("""COMPUTED_VALUE"""),"")</f>
        <v/>
      </c>
      <c r="W11395" s="16" t="str">
        <f>IFERROR(__xludf.DUMMYFUNCTION("""COMPUTED_VALUE"""),"")</f>
        <v/>
      </c>
      <c r="X11395" s="16" t="str">
        <f>IFERROR(__xludf.DUMMYFUNCTION("""COMPUTED_VALUE"""),"")</f>
        <v/>
      </c>
      <c r="AC11395" s="16" t="str">
        <f>IFERROR(__xludf.DUMMYFUNCTION("""COMPUTED_VALUE"""),"")</f>
        <v/>
      </c>
    </row>
    <row r="11396">
      <c r="A11396" s="16" t="s">
        <v>87</v>
      </c>
      <c r="E11396" s="16" t="str">
        <f>IFERROR(__xludf.DUMMYFUNCTION("""COMPUTED_VALUE"""),"")</f>
        <v/>
      </c>
      <c r="G11396" s="18"/>
      <c r="H11396" s="16" t="s">
        <v>87</v>
      </c>
      <c r="I11396" s="16" t="s">
        <v>87</v>
      </c>
      <c r="J11396" s="19"/>
      <c r="L11396" s="16" t="str">
        <f>IFERROR(__xludf.DUMMYFUNCTION("""COMPUTED_VALUE"""),"")</f>
        <v/>
      </c>
      <c r="M11396" s="16" t="str">
        <f>IFERROR(__xludf.DUMMYFUNCTION("""COMPUTED_VALUE"""),"")</f>
        <v/>
      </c>
      <c r="U11396" s="16" t="s">
        <v>87</v>
      </c>
      <c r="V11396" s="16" t="str">
        <f>IFERROR(__xludf.DUMMYFUNCTION("""COMPUTED_VALUE"""),"")</f>
        <v/>
      </c>
      <c r="W11396" s="16" t="str">
        <f>IFERROR(__xludf.DUMMYFUNCTION("""COMPUTED_VALUE"""),"")</f>
        <v/>
      </c>
      <c r="X11396" s="16" t="str">
        <f>IFERROR(__xludf.DUMMYFUNCTION("""COMPUTED_VALUE"""),"")</f>
        <v/>
      </c>
      <c r="AC11396" s="16" t="str">
        <f>IFERROR(__xludf.DUMMYFUNCTION("""COMPUTED_VALUE"""),"")</f>
        <v/>
      </c>
    </row>
    <row r="11397">
      <c r="A11397" s="16" t="s">
        <v>87</v>
      </c>
      <c r="E11397" s="16" t="str">
        <f>IFERROR(__xludf.DUMMYFUNCTION("""COMPUTED_VALUE"""),"")</f>
        <v/>
      </c>
      <c r="G11397" s="18"/>
      <c r="H11397" s="16" t="s">
        <v>87</v>
      </c>
      <c r="I11397" s="16" t="s">
        <v>87</v>
      </c>
      <c r="J11397" s="19"/>
      <c r="L11397" s="16" t="str">
        <f>IFERROR(__xludf.DUMMYFUNCTION("""COMPUTED_VALUE"""),"")</f>
        <v/>
      </c>
      <c r="M11397" s="16" t="str">
        <f>IFERROR(__xludf.DUMMYFUNCTION("""COMPUTED_VALUE"""),"")</f>
        <v/>
      </c>
      <c r="U11397" s="16" t="s">
        <v>87</v>
      </c>
      <c r="V11397" s="16" t="str">
        <f>IFERROR(__xludf.DUMMYFUNCTION("""COMPUTED_VALUE"""),"")</f>
        <v/>
      </c>
      <c r="W11397" s="16" t="str">
        <f>IFERROR(__xludf.DUMMYFUNCTION("""COMPUTED_VALUE"""),"")</f>
        <v/>
      </c>
      <c r="X11397" s="16" t="str">
        <f>IFERROR(__xludf.DUMMYFUNCTION("""COMPUTED_VALUE"""),"")</f>
        <v/>
      </c>
      <c r="AC11397" s="16" t="str">
        <f>IFERROR(__xludf.DUMMYFUNCTION("""COMPUTED_VALUE"""),"")</f>
        <v/>
      </c>
    </row>
    <row r="11398">
      <c r="A11398" s="16" t="s">
        <v>87</v>
      </c>
      <c r="E11398" s="16" t="str">
        <f>IFERROR(__xludf.DUMMYFUNCTION("""COMPUTED_VALUE"""),"")</f>
        <v/>
      </c>
      <c r="G11398" s="18"/>
      <c r="H11398" s="16" t="s">
        <v>87</v>
      </c>
      <c r="I11398" s="16" t="s">
        <v>87</v>
      </c>
      <c r="J11398" s="19"/>
      <c r="L11398" s="16" t="str">
        <f>IFERROR(__xludf.DUMMYFUNCTION("""COMPUTED_VALUE"""),"")</f>
        <v/>
      </c>
      <c r="M11398" s="16" t="str">
        <f>IFERROR(__xludf.DUMMYFUNCTION("""COMPUTED_VALUE"""),"")</f>
        <v/>
      </c>
      <c r="U11398" s="16" t="s">
        <v>87</v>
      </c>
      <c r="V11398" s="16" t="str">
        <f>IFERROR(__xludf.DUMMYFUNCTION("""COMPUTED_VALUE"""),"")</f>
        <v/>
      </c>
      <c r="W11398" s="16" t="str">
        <f>IFERROR(__xludf.DUMMYFUNCTION("""COMPUTED_VALUE"""),"")</f>
        <v/>
      </c>
      <c r="X11398" s="16" t="str">
        <f>IFERROR(__xludf.DUMMYFUNCTION("""COMPUTED_VALUE"""),"")</f>
        <v/>
      </c>
      <c r="AC11398" s="16" t="str">
        <f>IFERROR(__xludf.DUMMYFUNCTION("""COMPUTED_VALUE"""),"")</f>
        <v/>
      </c>
    </row>
    <row r="11399">
      <c r="A11399" s="16" t="s">
        <v>87</v>
      </c>
      <c r="E11399" s="16" t="str">
        <f>IFERROR(__xludf.DUMMYFUNCTION("""COMPUTED_VALUE"""),"")</f>
        <v/>
      </c>
      <c r="G11399" s="18"/>
      <c r="H11399" s="16" t="s">
        <v>87</v>
      </c>
      <c r="I11399" s="16" t="s">
        <v>87</v>
      </c>
      <c r="J11399" s="19"/>
      <c r="L11399" s="16" t="str">
        <f>IFERROR(__xludf.DUMMYFUNCTION("""COMPUTED_VALUE"""),"")</f>
        <v/>
      </c>
      <c r="M11399" s="16" t="str">
        <f>IFERROR(__xludf.DUMMYFUNCTION("""COMPUTED_VALUE"""),"")</f>
        <v/>
      </c>
      <c r="U11399" s="16" t="s">
        <v>87</v>
      </c>
      <c r="V11399" s="16" t="str">
        <f>IFERROR(__xludf.DUMMYFUNCTION("""COMPUTED_VALUE"""),"")</f>
        <v/>
      </c>
      <c r="W11399" s="16" t="str">
        <f>IFERROR(__xludf.DUMMYFUNCTION("""COMPUTED_VALUE"""),"")</f>
        <v/>
      </c>
      <c r="X11399" s="16" t="str">
        <f>IFERROR(__xludf.DUMMYFUNCTION("""COMPUTED_VALUE"""),"")</f>
        <v/>
      </c>
      <c r="AC11399" s="16" t="str">
        <f>IFERROR(__xludf.DUMMYFUNCTION("""COMPUTED_VALUE"""),"")</f>
        <v/>
      </c>
    </row>
    <row r="11400">
      <c r="A11400" s="16" t="s">
        <v>87</v>
      </c>
      <c r="E11400" s="16" t="str">
        <f>IFERROR(__xludf.DUMMYFUNCTION("""COMPUTED_VALUE"""),"")</f>
        <v/>
      </c>
      <c r="G11400" s="18"/>
      <c r="H11400" s="16" t="s">
        <v>87</v>
      </c>
      <c r="I11400" s="16" t="s">
        <v>87</v>
      </c>
      <c r="J11400" s="19"/>
      <c r="L11400" s="16" t="str">
        <f>IFERROR(__xludf.DUMMYFUNCTION("""COMPUTED_VALUE"""),"")</f>
        <v/>
      </c>
      <c r="M11400" s="16" t="str">
        <f>IFERROR(__xludf.DUMMYFUNCTION("""COMPUTED_VALUE"""),"")</f>
        <v/>
      </c>
      <c r="U11400" s="16" t="s">
        <v>87</v>
      </c>
      <c r="V11400" s="16" t="str">
        <f>IFERROR(__xludf.DUMMYFUNCTION("""COMPUTED_VALUE"""),"")</f>
        <v/>
      </c>
      <c r="W11400" s="16" t="str">
        <f>IFERROR(__xludf.DUMMYFUNCTION("""COMPUTED_VALUE"""),"")</f>
        <v/>
      </c>
      <c r="X11400" s="16" t="str">
        <f>IFERROR(__xludf.DUMMYFUNCTION("""COMPUTED_VALUE"""),"")</f>
        <v/>
      </c>
      <c r="AC11400" s="16" t="str">
        <f>IFERROR(__xludf.DUMMYFUNCTION("""COMPUTED_VALUE"""),"")</f>
        <v/>
      </c>
    </row>
    <row r="11401">
      <c r="A11401" s="16" t="s">
        <v>87</v>
      </c>
      <c r="E11401" s="16" t="str">
        <f>IFERROR(__xludf.DUMMYFUNCTION("""COMPUTED_VALUE"""),"")</f>
        <v/>
      </c>
      <c r="G11401" s="18"/>
      <c r="H11401" s="16" t="s">
        <v>87</v>
      </c>
      <c r="I11401" s="16" t="s">
        <v>87</v>
      </c>
      <c r="J11401" s="19"/>
      <c r="L11401" s="16" t="str">
        <f>IFERROR(__xludf.DUMMYFUNCTION("""COMPUTED_VALUE"""),"")</f>
        <v/>
      </c>
      <c r="M11401" s="16" t="str">
        <f>IFERROR(__xludf.DUMMYFUNCTION("""COMPUTED_VALUE"""),"")</f>
        <v/>
      </c>
      <c r="U11401" s="16" t="s">
        <v>87</v>
      </c>
      <c r="V11401" s="16" t="str">
        <f>IFERROR(__xludf.DUMMYFUNCTION("""COMPUTED_VALUE"""),"")</f>
        <v/>
      </c>
      <c r="W11401" s="16" t="str">
        <f>IFERROR(__xludf.DUMMYFUNCTION("""COMPUTED_VALUE"""),"")</f>
        <v/>
      </c>
      <c r="X11401" s="16" t="str">
        <f>IFERROR(__xludf.DUMMYFUNCTION("""COMPUTED_VALUE"""),"")</f>
        <v/>
      </c>
      <c r="AC11401" s="16" t="str">
        <f>IFERROR(__xludf.DUMMYFUNCTION("""COMPUTED_VALUE"""),"")</f>
        <v/>
      </c>
    </row>
    <row r="11402">
      <c r="A11402" s="16" t="s">
        <v>87</v>
      </c>
      <c r="E11402" s="16" t="str">
        <f>IFERROR(__xludf.DUMMYFUNCTION("""COMPUTED_VALUE"""),"")</f>
        <v/>
      </c>
      <c r="G11402" s="18"/>
      <c r="H11402" s="16" t="s">
        <v>87</v>
      </c>
      <c r="I11402" s="16" t="s">
        <v>87</v>
      </c>
      <c r="J11402" s="19"/>
      <c r="L11402" s="16" t="str">
        <f>IFERROR(__xludf.DUMMYFUNCTION("""COMPUTED_VALUE"""),"")</f>
        <v/>
      </c>
      <c r="M11402" s="16" t="str">
        <f>IFERROR(__xludf.DUMMYFUNCTION("""COMPUTED_VALUE"""),"")</f>
        <v/>
      </c>
      <c r="U11402" s="16" t="s">
        <v>87</v>
      </c>
      <c r="V11402" s="16" t="str">
        <f>IFERROR(__xludf.DUMMYFUNCTION("""COMPUTED_VALUE"""),"")</f>
        <v/>
      </c>
      <c r="W11402" s="16" t="str">
        <f>IFERROR(__xludf.DUMMYFUNCTION("""COMPUTED_VALUE"""),"")</f>
        <v/>
      </c>
      <c r="X11402" s="16" t="str">
        <f>IFERROR(__xludf.DUMMYFUNCTION("""COMPUTED_VALUE"""),"")</f>
        <v/>
      </c>
      <c r="AC11402" s="16" t="str">
        <f>IFERROR(__xludf.DUMMYFUNCTION("""COMPUTED_VALUE"""),"")</f>
        <v/>
      </c>
    </row>
    <row r="11403">
      <c r="A11403" s="16" t="s">
        <v>87</v>
      </c>
      <c r="E11403" s="16" t="str">
        <f>IFERROR(__xludf.DUMMYFUNCTION("""COMPUTED_VALUE"""),"")</f>
        <v/>
      </c>
      <c r="G11403" s="18"/>
      <c r="H11403" s="16" t="s">
        <v>87</v>
      </c>
      <c r="I11403" s="16" t="s">
        <v>87</v>
      </c>
      <c r="J11403" s="19"/>
      <c r="L11403" s="16" t="str">
        <f>IFERROR(__xludf.DUMMYFUNCTION("""COMPUTED_VALUE"""),"")</f>
        <v/>
      </c>
      <c r="M11403" s="16" t="str">
        <f>IFERROR(__xludf.DUMMYFUNCTION("""COMPUTED_VALUE"""),"")</f>
        <v/>
      </c>
      <c r="U11403" s="16" t="s">
        <v>87</v>
      </c>
      <c r="V11403" s="16" t="str">
        <f>IFERROR(__xludf.DUMMYFUNCTION("""COMPUTED_VALUE"""),"")</f>
        <v/>
      </c>
      <c r="W11403" s="16" t="str">
        <f>IFERROR(__xludf.DUMMYFUNCTION("""COMPUTED_VALUE"""),"")</f>
        <v/>
      </c>
      <c r="X11403" s="16" t="str">
        <f>IFERROR(__xludf.DUMMYFUNCTION("""COMPUTED_VALUE"""),"")</f>
        <v/>
      </c>
      <c r="AC11403" s="16" t="str">
        <f>IFERROR(__xludf.DUMMYFUNCTION("""COMPUTED_VALUE"""),"")</f>
        <v/>
      </c>
    </row>
    <row r="11404">
      <c r="A11404" s="16" t="s">
        <v>87</v>
      </c>
      <c r="E11404" s="16" t="str">
        <f>IFERROR(__xludf.DUMMYFUNCTION("""COMPUTED_VALUE"""),"")</f>
        <v/>
      </c>
      <c r="G11404" s="18"/>
      <c r="H11404" s="16" t="s">
        <v>87</v>
      </c>
      <c r="I11404" s="16" t="s">
        <v>87</v>
      </c>
      <c r="J11404" s="19"/>
      <c r="L11404" s="16" t="str">
        <f>IFERROR(__xludf.DUMMYFUNCTION("""COMPUTED_VALUE"""),"")</f>
        <v/>
      </c>
      <c r="M11404" s="16" t="str">
        <f>IFERROR(__xludf.DUMMYFUNCTION("""COMPUTED_VALUE"""),"")</f>
        <v/>
      </c>
      <c r="U11404" s="16" t="s">
        <v>87</v>
      </c>
      <c r="V11404" s="16" t="str">
        <f>IFERROR(__xludf.DUMMYFUNCTION("""COMPUTED_VALUE"""),"")</f>
        <v/>
      </c>
      <c r="W11404" s="16" t="str">
        <f>IFERROR(__xludf.DUMMYFUNCTION("""COMPUTED_VALUE"""),"")</f>
        <v/>
      </c>
      <c r="X11404" s="16" t="str">
        <f>IFERROR(__xludf.DUMMYFUNCTION("""COMPUTED_VALUE"""),"")</f>
        <v/>
      </c>
      <c r="AC11404" s="16" t="str">
        <f>IFERROR(__xludf.DUMMYFUNCTION("""COMPUTED_VALUE"""),"")</f>
        <v/>
      </c>
    </row>
    <row r="11405">
      <c r="A11405" s="16" t="s">
        <v>87</v>
      </c>
      <c r="E11405" s="16" t="str">
        <f>IFERROR(__xludf.DUMMYFUNCTION("""COMPUTED_VALUE"""),"")</f>
        <v/>
      </c>
      <c r="G11405" s="18"/>
      <c r="H11405" s="16" t="s">
        <v>87</v>
      </c>
      <c r="I11405" s="16" t="s">
        <v>87</v>
      </c>
      <c r="J11405" s="19"/>
      <c r="L11405" s="16" t="str">
        <f>IFERROR(__xludf.DUMMYFUNCTION("""COMPUTED_VALUE"""),"")</f>
        <v/>
      </c>
      <c r="M11405" s="16" t="str">
        <f>IFERROR(__xludf.DUMMYFUNCTION("""COMPUTED_VALUE"""),"")</f>
        <v/>
      </c>
      <c r="U11405" s="16" t="s">
        <v>87</v>
      </c>
      <c r="V11405" s="16" t="str">
        <f>IFERROR(__xludf.DUMMYFUNCTION("""COMPUTED_VALUE"""),"")</f>
        <v/>
      </c>
      <c r="W11405" s="16" t="str">
        <f>IFERROR(__xludf.DUMMYFUNCTION("""COMPUTED_VALUE"""),"")</f>
        <v/>
      </c>
      <c r="X11405" s="16" t="str">
        <f>IFERROR(__xludf.DUMMYFUNCTION("""COMPUTED_VALUE"""),"")</f>
        <v/>
      </c>
      <c r="AC11405" s="16" t="str">
        <f>IFERROR(__xludf.DUMMYFUNCTION("""COMPUTED_VALUE"""),"")</f>
        <v/>
      </c>
    </row>
    <row r="11406">
      <c r="A11406" s="16" t="s">
        <v>87</v>
      </c>
      <c r="E11406" s="16" t="str">
        <f>IFERROR(__xludf.DUMMYFUNCTION("""COMPUTED_VALUE"""),"")</f>
        <v/>
      </c>
      <c r="G11406" s="18"/>
      <c r="H11406" s="16" t="s">
        <v>87</v>
      </c>
      <c r="I11406" s="16" t="s">
        <v>87</v>
      </c>
      <c r="J11406" s="19"/>
      <c r="L11406" s="16" t="str">
        <f>IFERROR(__xludf.DUMMYFUNCTION("""COMPUTED_VALUE"""),"")</f>
        <v/>
      </c>
      <c r="M11406" s="16" t="str">
        <f>IFERROR(__xludf.DUMMYFUNCTION("""COMPUTED_VALUE"""),"")</f>
        <v/>
      </c>
      <c r="U11406" s="16" t="s">
        <v>87</v>
      </c>
      <c r="V11406" s="16" t="str">
        <f>IFERROR(__xludf.DUMMYFUNCTION("""COMPUTED_VALUE"""),"")</f>
        <v/>
      </c>
      <c r="W11406" s="16" t="str">
        <f>IFERROR(__xludf.DUMMYFUNCTION("""COMPUTED_VALUE"""),"")</f>
        <v/>
      </c>
      <c r="X11406" s="16" t="str">
        <f>IFERROR(__xludf.DUMMYFUNCTION("""COMPUTED_VALUE"""),"")</f>
        <v/>
      </c>
      <c r="AC11406" s="16" t="str">
        <f>IFERROR(__xludf.DUMMYFUNCTION("""COMPUTED_VALUE"""),"")</f>
        <v/>
      </c>
    </row>
    <row r="11407">
      <c r="A11407" s="16" t="s">
        <v>87</v>
      </c>
      <c r="E11407" s="16" t="str">
        <f>IFERROR(__xludf.DUMMYFUNCTION("""COMPUTED_VALUE"""),"")</f>
        <v/>
      </c>
      <c r="G11407" s="18"/>
      <c r="H11407" s="16" t="s">
        <v>87</v>
      </c>
      <c r="I11407" s="16" t="s">
        <v>87</v>
      </c>
      <c r="J11407" s="19"/>
      <c r="L11407" s="16" t="str">
        <f>IFERROR(__xludf.DUMMYFUNCTION("""COMPUTED_VALUE"""),"")</f>
        <v/>
      </c>
      <c r="M11407" s="16" t="str">
        <f>IFERROR(__xludf.DUMMYFUNCTION("""COMPUTED_VALUE"""),"")</f>
        <v/>
      </c>
      <c r="U11407" s="16" t="s">
        <v>87</v>
      </c>
      <c r="V11407" s="16" t="str">
        <f>IFERROR(__xludf.DUMMYFUNCTION("""COMPUTED_VALUE"""),"")</f>
        <v/>
      </c>
      <c r="W11407" s="16" t="str">
        <f>IFERROR(__xludf.DUMMYFUNCTION("""COMPUTED_VALUE"""),"")</f>
        <v/>
      </c>
      <c r="X11407" s="16" t="str">
        <f>IFERROR(__xludf.DUMMYFUNCTION("""COMPUTED_VALUE"""),"")</f>
        <v/>
      </c>
      <c r="AC11407" s="16" t="str">
        <f>IFERROR(__xludf.DUMMYFUNCTION("""COMPUTED_VALUE"""),"")</f>
        <v/>
      </c>
    </row>
    <row r="11408">
      <c r="A11408" s="16" t="s">
        <v>87</v>
      </c>
      <c r="E11408" s="16" t="str">
        <f>IFERROR(__xludf.DUMMYFUNCTION("""COMPUTED_VALUE"""),"")</f>
        <v/>
      </c>
      <c r="G11408" s="18"/>
      <c r="H11408" s="16" t="s">
        <v>87</v>
      </c>
      <c r="I11408" s="16" t="s">
        <v>87</v>
      </c>
      <c r="J11408" s="19"/>
      <c r="L11408" s="16" t="str">
        <f>IFERROR(__xludf.DUMMYFUNCTION("""COMPUTED_VALUE"""),"")</f>
        <v/>
      </c>
      <c r="M11408" s="16" t="str">
        <f>IFERROR(__xludf.DUMMYFUNCTION("""COMPUTED_VALUE"""),"")</f>
        <v/>
      </c>
      <c r="U11408" s="16" t="s">
        <v>87</v>
      </c>
      <c r="V11408" s="16" t="str">
        <f>IFERROR(__xludf.DUMMYFUNCTION("""COMPUTED_VALUE"""),"")</f>
        <v/>
      </c>
      <c r="W11408" s="16" t="str">
        <f>IFERROR(__xludf.DUMMYFUNCTION("""COMPUTED_VALUE"""),"")</f>
        <v/>
      </c>
      <c r="X11408" s="16" t="str">
        <f>IFERROR(__xludf.DUMMYFUNCTION("""COMPUTED_VALUE"""),"")</f>
        <v/>
      </c>
      <c r="AC11408" s="16" t="str">
        <f>IFERROR(__xludf.DUMMYFUNCTION("""COMPUTED_VALUE"""),"")</f>
        <v/>
      </c>
    </row>
    <row r="11409">
      <c r="A11409" s="16" t="s">
        <v>87</v>
      </c>
      <c r="E11409" s="16" t="str">
        <f>IFERROR(__xludf.DUMMYFUNCTION("""COMPUTED_VALUE"""),"")</f>
        <v/>
      </c>
      <c r="G11409" s="18"/>
      <c r="H11409" s="16" t="s">
        <v>87</v>
      </c>
      <c r="I11409" s="16" t="s">
        <v>87</v>
      </c>
      <c r="J11409" s="19"/>
      <c r="L11409" s="16" t="str">
        <f>IFERROR(__xludf.DUMMYFUNCTION("""COMPUTED_VALUE"""),"")</f>
        <v/>
      </c>
      <c r="M11409" s="16" t="str">
        <f>IFERROR(__xludf.DUMMYFUNCTION("""COMPUTED_VALUE"""),"")</f>
        <v/>
      </c>
      <c r="U11409" s="16" t="s">
        <v>87</v>
      </c>
      <c r="V11409" s="16" t="str">
        <f>IFERROR(__xludf.DUMMYFUNCTION("""COMPUTED_VALUE"""),"")</f>
        <v/>
      </c>
      <c r="W11409" s="16" t="str">
        <f>IFERROR(__xludf.DUMMYFUNCTION("""COMPUTED_VALUE"""),"")</f>
        <v/>
      </c>
      <c r="X11409" s="16" t="str">
        <f>IFERROR(__xludf.DUMMYFUNCTION("""COMPUTED_VALUE"""),"")</f>
        <v/>
      </c>
      <c r="AC11409" s="16" t="str">
        <f>IFERROR(__xludf.DUMMYFUNCTION("""COMPUTED_VALUE"""),"")</f>
        <v/>
      </c>
    </row>
    <row r="11410">
      <c r="A11410" s="16" t="s">
        <v>87</v>
      </c>
      <c r="E11410" s="16" t="str">
        <f>IFERROR(__xludf.DUMMYFUNCTION("""COMPUTED_VALUE"""),"")</f>
        <v/>
      </c>
      <c r="G11410" s="18"/>
      <c r="H11410" s="16" t="s">
        <v>87</v>
      </c>
      <c r="I11410" s="16" t="s">
        <v>87</v>
      </c>
      <c r="J11410" s="19"/>
      <c r="L11410" s="16" t="str">
        <f>IFERROR(__xludf.DUMMYFUNCTION("""COMPUTED_VALUE"""),"")</f>
        <v/>
      </c>
      <c r="M11410" s="16" t="str">
        <f>IFERROR(__xludf.DUMMYFUNCTION("""COMPUTED_VALUE"""),"")</f>
        <v/>
      </c>
      <c r="U11410" s="16" t="s">
        <v>87</v>
      </c>
      <c r="V11410" s="16" t="str">
        <f>IFERROR(__xludf.DUMMYFUNCTION("""COMPUTED_VALUE"""),"")</f>
        <v/>
      </c>
      <c r="W11410" s="16" t="str">
        <f>IFERROR(__xludf.DUMMYFUNCTION("""COMPUTED_VALUE"""),"")</f>
        <v/>
      </c>
      <c r="X11410" s="16" t="str">
        <f>IFERROR(__xludf.DUMMYFUNCTION("""COMPUTED_VALUE"""),"")</f>
        <v/>
      </c>
      <c r="AC11410" s="16" t="str">
        <f>IFERROR(__xludf.DUMMYFUNCTION("""COMPUTED_VALUE"""),"")</f>
        <v/>
      </c>
    </row>
    <row r="11411">
      <c r="A11411" s="16" t="s">
        <v>87</v>
      </c>
      <c r="E11411" s="16" t="str">
        <f>IFERROR(__xludf.DUMMYFUNCTION("""COMPUTED_VALUE"""),"")</f>
        <v/>
      </c>
      <c r="G11411" s="18"/>
      <c r="H11411" s="16" t="s">
        <v>87</v>
      </c>
      <c r="I11411" s="16" t="s">
        <v>87</v>
      </c>
      <c r="J11411" s="19"/>
      <c r="L11411" s="16" t="str">
        <f>IFERROR(__xludf.DUMMYFUNCTION("""COMPUTED_VALUE"""),"")</f>
        <v/>
      </c>
      <c r="M11411" s="16" t="str">
        <f>IFERROR(__xludf.DUMMYFUNCTION("""COMPUTED_VALUE"""),"")</f>
        <v/>
      </c>
      <c r="U11411" s="16" t="s">
        <v>87</v>
      </c>
      <c r="V11411" s="16" t="str">
        <f>IFERROR(__xludf.DUMMYFUNCTION("""COMPUTED_VALUE"""),"")</f>
        <v/>
      </c>
      <c r="W11411" s="16" t="str">
        <f>IFERROR(__xludf.DUMMYFUNCTION("""COMPUTED_VALUE"""),"")</f>
        <v/>
      </c>
      <c r="X11411" s="16" t="str">
        <f>IFERROR(__xludf.DUMMYFUNCTION("""COMPUTED_VALUE"""),"")</f>
        <v/>
      </c>
      <c r="AC11411" s="16" t="str">
        <f>IFERROR(__xludf.DUMMYFUNCTION("""COMPUTED_VALUE"""),"")</f>
        <v/>
      </c>
    </row>
    <row r="11412">
      <c r="A11412" s="16" t="s">
        <v>87</v>
      </c>
      <c r="E11412" s="16" t="str">
        <f>IFERROR(__xludf.DUMMYFUNCTION("""COMPUTED_VALUE"""),"")</f>
        <v/>
      </c>
      <c r="G11412" s="18"/>
      <c r="H11412" s="16" t="s">
        <v>87</v>
      </c>
      <c r="I11412" s="16" t="s">
        <v>87</v>
      </c>
      <c r="J11412" s="19"/>
      <c r="L11412" s="16" t="str">
        <f>IFERROR(__xludf.DUMMYFUNCTION("""COMPUTED_VALUE"""),"")</f>
        <v/>
      </c>
      <c r="M11412" s="16" t="str">
        <f>IFERROR(__xludf.DUMMYFUNCTION("""COMPUTED_VALUE"""),"")</f>
        <v/>
      </c>
      <c r="U11412" s="16" t="s">
        <v>87</v>
      </c>
      <c r="V11412" s="16" t="str">
        <f>IFERROR(__xludf.DUMMYFUNCTION("""COMPUTED_VALUE"""),"")</f>
        <v/>
      </c>
      <c r="W11412" s="16" t="str">
        <f>IFERROR(__xludf.DUMMYFUNCTION("""COMPUTED_VALUE"""),"")</f>
        <v/>
      </c>
      <c r="X11412" s="16" t="str">
        <f>IFERROR(__xludf.DUMMYFUNCTION("""COMPUTED_VALUE"""),"")</f>
        <v/>
      </c>
      <c r="AC11412" s="16" t="str">
        <f>IFERROR(__xludf.DUMMYFUNCTION("""COMPUTED_VALUE"""),"")</f>
        <v/>
      </c>
    </row>
    <row r="11413">
      <c r="A11413" s="16" t="s">
        <v>87</v>
      </c>
      <c r="E11413" s="16" t="str">
        <f>IFERROR(__xludf.DUMMYFUNCTION("""COMPUTED_VALUE"""),"")</f>
        <v/>
      </c>
      <c r="G11413" s="18"/>
      <c r="H11413" s="16" t="s">
        <v>87</v>
      </c>
      <c r="I11413" s="16" t="s">
        <v>87</v>
      </c>
      <c r="J11413" s="19"/>
      <c r="L11413" s="16" t="str">
        <f>IFERROR(__xludf.DUMMYFUNCTION("""COMPUTED_VALUE"""),"")</f>
        <v/>
      </c>
      <c r="M11413" s="16" t="str">
        <f>IFERROR(__xludf.DUMMYFUNCTION("""COMPUTED_VALUE"""),"")</f>
        <v/>
      </c>
      <c r="U11413" s="16" t="s">
        <v>87</v>
      </c>
      <c r="V11413" s="16" t="str">
        <f>IFERROR(__xludf.DUMMYFUNCTION("""COMPUTED_VALUE"""),"")</f>
        <v/>
      </c>
      <c r="W11413" s="16" t="str">
        <f>IFERROR(__xludf.DUMMYFUNCTION("""COMPUTED_VALUE"""),"")</f>
        <v/>
      </c>
      <c r="X11413" s="16" t="str">
        <f>IFERROR(__xludf.DUMMYFUNCTION("""COMPUTED_VALUE"""),"")</f>
        <v/>
      </c>
      <c r="AC11413" s="16" t="str">
        <f>IFERROR(__xludf.DUMMYFUNCTION("""COMPUTED_VALUE"""),"")</f>
        <v/>
      </c>
    </row>
    <row r="11414">
      <c r="A11414" s="16" t="s">
        <v>87</v>
      </c>
      <c r="E11414" s="16" t="str">
        <f>IFERROR(__xludf.DUMMYFUNCTION("""COMPUTED_VALUE"""),"")</f>
        <v/>
      </c>
      <c r="G11414" s="18"/>
      <c r="H11414" s="16" t="s">
        <v>87</v>
      </c>
      <c r="I11414" s="16" t="s">
        <v>87</v>
      </c>
      <c r="J11414" s="19"/>
      <c r="L11414" s="16" t="str">
        <f>IFERROR(__xludf.DUMMYFUNCTION("""COMPUTED_VALUE"""),"")</f>
        <v/>
      </c>
      <c r="M11414" s="16" t="str">
        <f>IFERROR(__xludf.DUMMYFUNCTION("""COMPUTED_VALUE"""),"")</f>
        <v/>
      </c>
      <c r="U11414" s="16" t="s">
        <v>87</v>
      </c>
      <c r="V11414" s="16" t="str">
        <f>IFERROR(__xludf.DUMMYFUNCTION("""COMPUTED_VALUE"""),"")</f>
        <v/>
      </c>
      <c r="W11414" s="16" t="str">
        <f>IFERROR(__xludf.DUMMYFUNCTION("""COMPUTED_VALUE"""),"")</f>
        <v/>
      </c>
      <c r="X11414" s="16" t="str">
        <f>IFERROR(__xludf.DUMMYFUNCTION("""COMPUTED_VALUE"""),"")</f>
        <v/>
      </c>
      <c r="AC11414" s="16" t="str">
        <f>IFERROR(__xludf.DUMMYFUNCTION("""COMPUTED_VALUE"""),"")</f>
        <v/>
      </c>
    </row>
    <row r="11415">
      <c r="A11415" s="16" t="s">
        <v>87</v>
      </c>
      <c r="E11415" s="16" t="str">
        <f>IFERROR(__xludf.DUMMYFUNCTION("""COMPUTED_VALUE"""),"")</f>
        <v/>
      </c>
      <c r="G11415" s="18"/>
      <c r="H11415" s="16" t="s">
        <v>87</v>
      </c>
      <c r="I11415" s="16" t="s">
        <v>87</v>
      </c>
      <c r="J11415" s="19"/>
      <c r="L11415" s="16" t="str">
        <f>IFERROR(__xludf.DUMMYFUNCTION("""COMPUTED_VALUE"""),"")</f>
        <v/>
      </c>
      <c r="M11415" s="16" t="str">
        <f>IFERROR(__xludf.DUMMYFUNCTION("""COMPUTED_VALUE"""),"")</f>
        <v/>
      </c>
      <c r="U11415" s="16" t="s">
        <v>87</v>
      </c>
      <c r="V11415" s="16" t="str">
        <f>IFERROR(__xludf.DUMMYFUNCTION("""COMPUTED_VALUE"""),"")</f>
        <v/>
      </c>
      <c r="W11415" s="16" t="str">
        <f>IFERROR(__xludf.DUMMYFUNCTION("""COMPUTED_VALUE"""),"")</f>
        <v/>
      </c>
      <c r="X11415" s="16" t="str">
        <f>IFERROR(__xludf.DUMMYFUNCTION("""COMPUTED_VALUE"""),"")</f>
        <v/>
      </c>
      <c r="AC11415" s="16" t="str">
        <f>IFERROR(__xludf.DUMMYFUNCTION("""COMPUTED_VALUE"""),"")</f>
        <v/>
      </c>
    </row>
    <row r="11416">
      <c r="A11416" s="16" t="s">
        <v>87</v>
      </c>
      <c r="E11416" s="16" t="str">
        <f>IFERROR(__xludf.DUMMYFUNCTION("""COMPUTED_VALUE"""),"")</f>
        <v/>
      </c>
      <c r="G11416" s="18"/>
      <c r="H11416" s="16" t="s">
        <v>87</v>
      </c>
      <c r="I11416" s="16" t="s">
        <v>87</v>
      </c>
      <c r="J11416" s="19"/>
      <c r="L11416" s="16" t="str">
        <f>IFERROR(__xludf.DUMMYFUNCTION("""COMPUTED_VALUE"""),"")</f>
        <v/>
      </c>
      <c r="M11416" s="16" t="str">
        <f>IFERROR(__xludf.DUMMYFUNCTION("""COMPUTED_VALUE"""),"")</f>
        <v/>
      </c>
      <c r="U11416" s="16" t="s">
        <v>87</v>
      </c>
      <c r="V11416" s="16" t="str">
        <f>IFERROR(__xludf.DUMMYFUNCTION("""COMPUTED_VALUE"""),"")</f>
        <v/>
      </c>
      <c r="W11416" s="16" t="str">
        <f>IFERROR(__xludf.DUMMYFUNCTION("""COMPUTED_VALUE"""),"")</f>
        <v/>
      </c>
      <c r="X11416" s="16" t="str">
        <f>IFERROR(__xludf.DUMMYFUNCTION("""COMPUTED_VALUE"""),"")</f>
        <v/>
      </c>
      <c r="AC11416" s="16" t="str">
        <f>IFERROR(__xludf.DUMMYFUNCTION("""COMPUTED_VALUE"""),"")</f>
        <v/>
      </c>
    </row>
    <row r="11417">
      <c r="A11417" s="16" t="s">
        <v>87</v>
      </c>
      <c r="E11417" s="16" t="str">
        <f>IFERROR(__xludf.DUMMYFUNCTION("""COMPUTED_VALUE"""),"")</f>
        <v/>
      </c>
      <c r="G11417" s="18"/>
      <c r="H11417" s="16" t="s">
        <v>87</v>
      </c>
      <c r="I11417" s="16" t="s">
        <v>87</v>
      </c>
      <c r="J11417" s="19"/>
      <c r="L11417" s="16" t="str">
        <f>IFERROR(__xludf.DUMMYFUNCTION("""COMPUTED_VALUE"""),"")</f>
        <v/>
      </c>
      <c r="M11417" s="16" t="str">
        <f>IFERROR(__xludf.DUMMYFUNCTION("""COMPUTED_VALUE"""),"")</f>
        <v/>
      </c>
      <c r="U11417" s="16" t="s">
        <v>87</v>
      </c>
      <c r="V11417" s="16" t="str">
        <f>IFERROR(__xludf.DUMMYFUNCTION("""COMPUTED_VALUE"""),"")</f>
        <v/>
      </c>
      <c r="W11417" s="16" t="str">
        <f>IFERROR(__xludf.DUMMYFUNCTION("""COMPUTED_VALUE"""),"")</f>
        <v/>
      </c>
      <c r="X11417" s="16" t="str">
        <f>IFERROR(__xludf.DUMMYFUNCTION("""COMPUTED_VALUE"""),"")</f>
        <v/>
      </c>
      <c r="AC11417" s="16" t="str">
        <f>IFERROR(__xludf.DUMMYFUNCTION("""COMPUTED_VALUE"""),"")</f>
        <v/>
      </c>
    </row>
    <row r="11418">
      <c r="A11418" s="16" t="s">
        <v>87</v>
      </c>
      <c r="E11418" s="16" t="str">
        <f>IFERROR(__xludf.DUMMYFUNCTION("""COMPUTED_VALUE"""),"")</f>
        <v/>
      </c>
      <c r="G11418" s="18"/>
      <c r="H11418" s="16" t="s">
        <v>87</v>
      </c>
      <c r="I11418" s="16" t="s">
        <v>87</v>
      </c>
      <c r="J11418" s="19"/>
      <c r="L11418" s="16" t="str">
        <f>IFERROR(__xludf.DUMMYFUNCTION("""COMPUTED_VALUE"""),"")</f>
        <v/>
      </c>
      <c r="M11418" s="16" t="str">
        <f>IFERROR(__xludf.DUMMYFUNCTION("""COMPUTED_VALUE"""),"")</f>
        <v/>
      </c>
      <c r="U11418" s="16" t="s">
        <v>87</v>
      </c>
      <c r="V11418" s="16" t="str">
        <f>IFERROR(__xludf.DUMMYFUNCTION("""COMPUTED_VALUE"""),"")</f>
        <v/>
      </c>
      <c r="W11418" s="16" t="str">
        <f>IFERROR(__xludf.DUMMYFUNCTION("""COMPUTED_VALUE"""),"")</f>
        <v/>
      </c>
      <c r="X11418" s="16" t="str">
        <f>IFERROR(__xludf.DUMMYFUNCTION("""COMPUTED_VALUE"""),"")</f>
        <v/>
      </c>
      <c r="AC11418" s="16" t="str">
        <f>IFERROR(__xludf.DUMMYFUNCTION("""COMPUTED_VALUE"""),"")</f>
        <v/>
      </c>
    </row>
    <row r="11419">
      <c r="A11419" s="16" t="s">
        <v>87</v>
      </c>
      <c r="E11419" s="16" t="str">
        <f>IFERROR(__xludf.DUMMYFUNCTION("""COMPUTED_VALUE"""),"")</f>
        <v/>
      </c>
      <c r="G11419" s="18"/>
      <c r="H11419" s="16" t="s">
        <v>87</v>
      </c>
      <c r="I11419" s="16" t="s">
        <v>87</v>
      </c>
      <c r="J11419" s="19"/>
      <c r="L11419" s="16" t="str">
        <f>IFERROR(__xludf.DUMMYFUNCTION("""COMPUTED_VALUE"""),"")</f>
        <v/>
      </c>
      <c r="M11419" s="16" t="str">
        <f>IFERROR(__xludf.DUMMYFUNCTION("""COMPUTED_VALUE"""),"")</f>
        <v/>
      </c>
      <c r="U11419" s="16" t="s">
        <v>87</v>
      </c>
      <c r="V11419" s="16" t="str">
        <f>IFERROR(__xludf.DUMMYFUNCTION("""COMPUTED_VALUE"""),"")</f>
        <v/>
      </c>
      <c r="W11419" s="16" t="str">
        <f>IFERROR(__xludf.DUMMYFUNCTION("""COMPUTED_VALUE"""),"")</f>
        <v/>
      </c>
      <c r="X11419" s="16" t="str">
        <f>IFERROR(__xludf.DUMMYFUNCTION("""COMPUTED_VALUE"""),"")</f>
        <v/>
      </c>
      <c r="AC11419" s="16" t="str">
        <f>IFERROR(__xludf.DUMMYFUNCTION("""COMPUTED_VALUE"""),"")</f>
        <v/>
      </c>
    </row>
    <row r="11420">
      <c r="A11420" s="16" t="s">
        <v>87</v>
      </c>
      <c r="E11420" s="16" t="str">
        <f>IFERROR(__xludf.DUMMYFUNCTION("""COMPUTED_VALUE"""),"")</f>
        <v/>
      </c>
      <c r="G11420" s="18"/>
      <c r="H11420" s="16" t="s">
        <v>87</v>
      </c>
      <c r="I11420" s="16" t="s">
        <v>87</v>
      </c>
      <c r="J11420" s="19"/>
      <c r="L11420" s="16" t="str">
        <f>IFERROR(__xludf.DUMMYFUNCTION("""COMPUTED_VALUE"""),"")</f>
        <v/>
      </c>
      <c r="M11420" s="16" t="str">
        <f>IFERROR(__xludf.DUMMYFUNCTION("""COMPUTED_VALUE"""),"")</f>
        <v/>
      </c>
      <c r="U11420" s="16" t="s">
        <v>87</v>
      </c>
      <c r="V11420" s="16" t="str">
        <f>IFERROR(__xludf.DUMMYFUNCTION("""COMPUTED_VALUE"""),"")</f>
        <v/>
      </c>
      <c r="W11420" s="16" t="str">
        <f>IFERROR(__xludf.DUMMYFUNCTION("""COMPUTED_VALUE"""),"")</f>
        <v/>
      </c>
      <c r="X11420" s="16" t="str">
        <f>IFERROR(__xludf.DUMMYFUNCTION("""COMPUTED_VALUE"""),"")</f>
        <v/>
      </c>
      <c r="AC11420" s="16" t="str">
        <f>IFERROR(__xludf.DUMMYFUNCTION("""COMPUTED_VALUE"""),"")</f>
        <v/>
      </c>
    </row>
    <row r="11421">
      <c r="A11421" s="16" t="s">
        <v>87</v>
      </c>
      <c r="E11421" s="16" t="str">
        <f>IFERROR(__xludf.DUMMYFUNCTION("""COMPUTED_VALUE"""),"")</f>
        <v/>
      </c>
      <c r="G11421" s="18"/>
      <c r="H11421" s="16" t="s">
        <v>87</v>
      </c>
      <c r="I11421" s="16" t="s">
        <v>87</v>
      </c>
      <c r="J11421" s="19"/>
      <c r="L11421" s="16" t="str">
        <f>IFERROR(__xludf.DUMMYFUNCTION("""COMPUTED_VALUE"""),"")</f>
        <v/>
      </c>
      <c r="M11421" s="16" t="str">
        <f>IFERROR(__xludf.DUMMYFUNCTION("""COMPUTED_VALUE"""),"")</f>
        <v/>
      </c>
      <c r="U11421" s="16" t="s">
        <v>87</v>
      </c>
      <c r="V11421" s="16" t="str">
        <f>IFERROR(__xludf.DUMMYFUNCTION("""COMPUTED_VALUE"""),"")</f>
        <v/>
      </c>
      <c r="W11421" s="16" t="str">
        <f>IFERROR(__xludf.DUMMYFUNCTION("""COMPUTED_VALUE"""),"")</f>
        <v/>
      </c>
      <c r="X11421" s="16" t="str">
        <f>IFERROR(__xludf.DUMMYFUNCTION("""COMPUTED_VALUE"""),"")</f>
        <v/>
      </c>
      <c r="AC11421" s="16" t="str">
        <f>IFERROR(__xludf.DUMMYFUNCTION("""COMPUTED_VALUE"""),"")</f>
        <v/>
      </c>
    </row>
    <row r="11422">
      <c r="A11422" s="16" t="s">
        <v>87</v>
      </c>
      <c r="E11422" s="16" t="str">
        <f>IFERROR(__xludf.DUMMYFUNCTION("""COMPUTED_VALUE"""),"")</f>
        <v/>
      </c>
      <c r="G11422" s="18"/>
      <c r="H11422" s="16" t="s">
        <v>87</v>
      </c>
      <c r="I11422" s="16" t="s">
        <v>87</v>
      </c>
      <c r="J11422" s="19"/>
      <c r="L11422" s="16" t="str">
        <f>IFERROR(__xludf.DUMMYFUNCTION("""COMPUTED_VALUE"""),"")</f>
        <v/>
      </c>
      <c r="M11422" s="16" t="str">
        <f>IFERROR(__xludf.DUMMYFUNCTION("""COMPUTED_VALUE"""),"")</f>
        <v/>
      </c>
      <c r="U11422" s="16" t="s">
        <v>87</v>
      </c>
      <c r="V11422" s="16" t="str">
        <f>IFERROR(__xludf.DUMMYFUNCTION("""COMPUTED_VALUE"""),"")</f>
        <v/>
      </c>
      <c r="W11422" s="16" t="str">
        <f>IFERROR(__xludf.DUMMYFUNCTION("""COMPUTED_VALUE"""),"")</f>
        <v/>
      </c>
      <c r="X11422" s="16" t="str">
        <f>IFERROR(__xludf.DUMMYFUNCTION("""COMPUTED_VALUE"""),"")</f>
        <v/>
      </c>
      <c r="AC11422" s="16" t="str">
        <f>IFERROR(__xludf.DUMMYFUNCTION("""COMPUTED_VALUE"""),"")</f>
        <v/>
      </c>
    </row>
    <row r="11423">
      <c r="A11423" s="16" t="s">
        <v>87</v>
      </c>
      <c r="E11423" s="16" t="str">
        <f>IFERROR(__xludf.DUMMYFUNCTION("""COMPUTED_VALUE"""),"")</f>
        <v/>
      </c>
      <c r="G11423" s="18"/>
      <c r="H11423" s="16" t="s">
        <v>87</v>
      </c>
      <c r="I11423" s="16" t="s">
        <v>87</v>
      </c>
      <c r="J11423" s="19"/>
      <c r="L11423" s="16" t="str">
        <f>IFERROR(__xludf.DUMMYFUNCTION("""COMPUTED_VALUE"""),"")</f>
        <v/>
      </c>
      <c r="M11423" s="16" t="str">
        <f>IFERROR(__xludf.DUMMYFUNCTION("""COMPUTED_VALUE"""),"")</f>
        <v/>
      </c>
      <c r="U11423" s="16" t="s">
        <v>87</v>
      </c>
      <c r="V11423" s="16" t="str">
        <f>IFERROR(__xludf.DUMMYFUNCTION("""COMPUTED_VALUE"""),"")</f>
        <v/>
      </c>
      <c r="W11423" s="16" t="str">
        <f>IFERROR(__xludf.DUMMYFUNCTION("""COMPUTED_VALUE"""),"")</f>
        <v/>
      </c>
      <c r="X11423" s="16" t="str">
        <f>IFERROR(__xludf.DUMMYFUNCTION("""COMPUTED_VALUE"""),"")</f>
        <v/>
      </c>
      <c r="AC11423" s="16" t="str">
        <f>IFERROR(__xludf.DUMMYFUNCTION("""COMPUTED_VALUE"""),"")</f>
        <v/>
      </c>
    </row>
    <row r="11424">
      <c r="A11424" s="16" t="s">
        <v>87</v>
      </c>
      <c r="E11424" s="16" t="str">
        <f>IFERROR(__xludf.DUMMYFUNCTION("""COMPUTED_VALUE"""),"")</f>
        <v/>
      </c>
      <c r="G11424" s="18"/>
      <c r="H11424" s="16" t="s">
        <v>87</v>
      </c>
      <c r="I11424" s="16" t="s">
        <v>87</v>
      </c>
      <c r="J11424" s="19"/>
      <c r="L11424" s="16" t="str">
        <f>IFERROR(__xludf.DUMMYFUNCTION("""COMPUTED_VALUE"""),"")</f>
        <v/>
      </c>
      <c r="M11424" s="16" t="str">
        <f>IFERROR(__xludf.DUMMYFUNCTION("""COMPUTED_VALUE"""),"")</f>
        <v/>
      </c>
      <c r="U11424" s="16" t="s">
        <v>87</v>
      </c>
      <c r="V11424" s="16" t="str">
        <f>IFERROR(__xludf.DUMMYFUNCTION("""COMPUTED_VALUE"""),"")</f>
        <v/>
      </c>
      <c r="W11424" s="16" t="str">
        <f>IFERROR(__xludf.DUMMYFUNCTION("""COMPUTED_VALUE"""),"")</f>
        <v/>
      </c>
      <c r="X11424" s="16" t="str">
        <f>IFERROR(__xludf.DUMMYFUNCTION("""COMPUTED_VALUE"""),"")</f>
        <v/>
      </c>
      <c r="AC11424" s="16" t="str">
        <f>IFERROR(__xludf.DUMMYFUNCTION("""COMPUTED_VALUE"""),"")</f>
        <v/>
      </c>
    </row>
    <row r="11425">
      <c r="A11425" s="16" t="s">
        <v>87</v>
      </c>
      <c r="E11425" s="16" t="str">
        <f>IFERROR(__xludf.DUMMYFUNCTION("""COMPUTED_VALUE"""),"")</f>
        <v/>
      </c>
      <c r="G11425" s="18"/>
      <c r="H11425" s="16" t="s">
        <v>87</v>
      </c>
      <c r="I11425" s="16" t="s">
        <v>87</v>
      </c>
      <c r="J11425" s="19"/>
      <c r="L11425" s="16" t="str">
        <f>IFERROR(__xludf.DUMMYFUNCTION("""COMPUTED_VALUE"""),"")</f>
        <v/>
      </c>
      <c r="M11425" s="16" t="str">
        <f>IFERROR(__xludf.DUMMYFUNCTION("""COMPUTED_VALUE"""),"")</f>
        <v/>
      </c>
      <c r="U11425" s="16" t="s">
        <v>87</v>
      </c>
      <c r="V11425" s="16" t="str">
        <f>IFERROR(__xludf.DUMMYFUNCTION("""COMPUTED_VALUE"""),"")</f>
        <v/>
      </c>
      <c r="W11425" s="16" t="str">
        <f>IFERROR(__xludf.DUMMYFUNCTION("""COMPUTED_VALUE"""),"")</f>
        <v/>
      </c>
      <c r="X11425" s="16" t="str">
        <f>IFERROR(__xludf.DUMMYFUNCTION("""COMPUTED_VALUE"""),"")</f>
        <v/>
      </c>
      <c r="AC11425" s="16" t="str">
        <f>IFERROR(__xludf.DUMMYFUNCTION("""COMPUTED_VALUE"""),"")</f>
        <v/>
      </c>
    </row>
    <row r="11426">
      <c r="A11426" s="16" t="s">
        <v>87</v>
      </c>
      <c r="E11426" s="16" t="str">
        <f>IFERROR(__xludf.DUMMYFUNCTION("""COMPUTED_VALUE"""),"")</f>
        <v/>
      </c>
      <c r="G11426" s="18"/>
      <c r="H11426" s="16" t="s">
        <v>87</v>
      </c>
      <c r="I11426" s="16" t="s">
        <v>87</v>
      </c>
      <c r="J11426" s="19"/>
      <c r="L11426" s="16" t="str">
        <f>IFERROR(__xludf.DUMMYFUNCTION("""COMPUTED_VALUE"""),"")</f>
        <v/>
      </c>
      <c r="M11426" s="16" t="str">
        <f>IFERROR(__xludf.DUMMYFUNCTION("""COMPUTED_VALUE"""),"")</f>
        <v/>
      </c>
      <c r="U11426" s="16" t="s">
        <v>87</v>
      </c>
      <c r="V11426" s="16" t="str">
        <f>IFERROR(__xludf.DUMMYFUNCTION("""COMPUTED_VALUE"""),"")</f>
        <v/>
      </c>
      <c r="W11426" s="16" t="str">
        <f>IFERROR(__xludf.DUMMYFUNCTION("""COMPUTED_VALUE"""),"")</f>
        <v/>
      </c>
      <c r="X11426" s="16" t="str">
        <f>IFERROR(__xludf.DUMMYFUNCTION("""COMPUTED_VALUE"""),"")</f>
        <v/>
      </c>
      <c r="AC11426" s="16" t="str">
        <f>IFERROR(__xludf.DUMMYFUNCTION("""COMPUTED_VALUE"""),"")</f>
        <v/>
      </c>
    </row>
    <row r="11427">
      <c r="A11427" s="16" t="s">
        <v>87</v>
      </c>
      <c r="E11427" s="16" t="str">
        <f>IFERROR(__xludf.DUMMYFUNCTION("""COMPUTED_VALUE"""),"")</f>
        <v/>
      </c>
      <c r="G11427" s="18"/>
      <c r="H11427" s="16" t="s">
        <v>87</v>
      </c>
      <c r="I11427" s="16" t="s">
        <v>87</v>
      </c>
      <c r="J11427" s="19"/>
      <c r="L11427" s="16" t="str">
        <f>IFERROR(__xludf.DUMMYFUNCTION("""COMPUTED_VALUE"""),"")</f>
        <v/>
      </c>
      <c r="M11427" s="16" t="str">
        <f>IFERROR(__xludf.DUMMYFUNCTION("""COMPUTED_VALUE"""),"")</f>
        <v/>
      </c>
      <c r="U11427" s="16" t="s">
        <v>87</v>
      </c>
      <c r="V11427" s="16" t="str">
        <f>IFERROR(__xludf.DUMMYFUNCTION("""COMPUTED_VALUE"""),"")</f>
        <v/>
      </c>
      <c r="W11427" s="16" t="str">
        <f>IFERROR(__xludf.DUMMYFUNCTION("""COMPUTED_VALUE"""),"")</f>
        <v/>
      </c>
      <c r="X11427" s="16" t="str">
        <f>IFERROR(__xludf.DUMMYFUNCTION("""COMPUTED_VALUE"""),"")</f>
        <v/>
      </c>
      <c r="AC11427" s="16" t="str">
        <f>IFERROR(__xludf.DUMMYFUNCTION("""COMPUTED_VALUE"""),"")</f>
        <v/>
      </c>
    </row>
    <row r="11428">
      <c r="A11428" s="16" t="s">
        <v>87</v>
      </c>
      <c r="E11428" s="16" t="str">
        <f>IFERROR(__xludf.DUMMYFUNCTION("""COMPUTED_VALUE"""),"")</f>
        <v/>
      </c>
      <c r="G11428" s="18"/>
      <c r="H11428" s="16" t="s">
        <v>87</v>
      </c>
      <c r="I11428" s="16" t="s">
        <v>87</v>
      </c>
      <c r="J11428" s="19"/>
      <c r="L11428" s="16" t="str">
        <f>IFERROR(__xludf.DUMMYFUNCTION("""COMPUTED_VALUE"""),"")</f>
        <v/>
      </c>
      <c r="M11428" s="16" t="str">
        <f>IFERROR(__xludf.DUMMYFUNCTION("""COMPUTED_VALUE"""),"")</f>
        <v/>
      </c>
      <c r="U11428" s="16" t="s">
        <v>87</v>
      </c>
      <c r="V11428" s="16" t="str">
        <f>IFERROR(__xludf.DUMMYFUNCTION("""COMPUTED_VALUE"""),"")</f>
        <v/>
      </c>
      <c r="W11428" s="16" t="str">
        <f>IFERROR(__xludf.DUMMYFUNCTION("""COMPUTED_VALUE"""),"")</f>
        <v/>
      </c>
      <c r="X11428" s="16" t="str">
        <f>IFERROR(__xludf.DUMMYFUNCTION("""COMPUTED_VALUE"""),"")</f>
        <v/>
      </c>
      <c r="AC11428" s="16" t="str">
        <f>IFERROR(__xludf.DUMMYFUNCTION("""COMPUTED_VALUE"""),"")</f>
        <v/>
      </c>
    </row>
    <row r="11429">
      <c r="A11429" s="16" t="s">
        <v>87</v>
      </c>
      <c r="E11429" s="16" t="str">
        <f>IFERROR(__xludf.DUMMYFUNCTION("""COMPUTED_VALUE"""),"")</f>
        <v/>
      </c>
      <c r="G11429" s="18"/>
      <c r="H11429" s="16" t="s">
        <v>87</v>
      </c>
      <c r="I11429" s="16" t="s">
        <v>87</v>
      </c>
      <c r="J11429" s="19"/>
      <c r="L11429" s="16" t="str">
        <f>IFERROR(__xludf.DUMMYFUNCTION("""COMPUTED_VALUE"""),"")</f>
        <v/>
      </c>
      <c r="M11429" s="16" t="str">
        <f>IFERROR(__xludf.DUMMYFUNCTION("""COMPUTED_VALUE"""),"")</f>
        <v/>
      </c>
      <c r="U11429" s="16" t="s">
        <v>87</v>
      </c>
      <c r="V11429" s="16" t="str">
        <f>IFERROR(__xludf.DUMMYFUNCTION("""COMPUTED_VALUE"""),"")</f>
        <v/>
      </c>
      <c r="W11429" s="16" t="str">
        <f>IFERROR(__xludf.DUMMYFUNCTION("""COMPUTED_VALUE"""),"")</f>
        <v/>
      </c>
      <c r="X11429" s="16" t="str">
        <f>IFERROR(__xludf.DUMMYFUNCTION("""COMPUTED_VALUE"""),"")</f>
        <v/>
      </c>
      <c r="AC11429" s="16" t="str">
        <f>IFERROR(__xludf.DUMMYFUNCTION("""COMPUTED_VALUE"""),"")</f>
        <v/>
      </c>
    </row>
    <row r="11430">
      <c r="A11430" s="16" t="s">
        <v>87</v>
      </c>
      <c r="E11430" s="16" t="str">
        <f>IFERROR(__xludf.DUMMYFUNCTION("""COMPUTED_VALUE"""),"")</f>
        <v/>
      </c>
      <c r="G11430" s="18"/>
      <c r="H11430" s="16" t="s">
        <v>87</v>
      </c>
      <c r="I11430" s="16" t="s">
        <v>87</v>
      </c>
      <c r="J11430" s="19"/>
      <c r="L11430" s="16" t="str">
        <f>IFERROR(__xludf.DUMMYFUNCTION("""COMPUTED_VALUE"""),"")</f>
        <v/>
      </c>
      <c r="M11430" s="16" t="str">
        <f>IFERROR(__xludf.DUMMYFUNCTION("""COMPUTED_VALUE"""),"")</f>
        <v/>
      </c>
      <c r="U11430" s="16" t="s">
        <v>87</v>
      </c>
      <c r="V11430" s="16" t="str">
        <f>IFERROR(__xludf.DUMMYFUNCTION("""COMPUTED_VALUE"""),"")</f>
        <v/>
      </c>
      <c r="W11430" s="16" t="str">
        <f>IFERROR(__xludf.DUMMYFUNCTION("""COMPUTED_VALUE"""),"")</f>
        <v/>
      </c>
      <c r="X11430" s="16" t="str">
        <f>IFERROR(__xludf.DUMMYFUNCTION("""COMPUTED_VALUE"""),"")</f>
        <v/>
      </c>
      <c r="AC11430" s="16" t="str">
        <f>IFERROR(__xludf.DUMMYFUNCTION("""COMPUTED_VALUE"""),"")</f>
        <v/>
      </c>
    </row>
    <row r="11431">
      <c r="A11431" s="16" t="s">
        <v>87</v>
      </c>
      <c r="E11431" s="16" t="str">
        <f>IFERROR(__xludf.DUMMYFUNCTION("""COMPUTED_VALUE"""),"")</f>
        <v/>
      </c>
      <c r="G11431" s="18"/>
      <c r="H11431" s="16" t="s">
        <v>87</v>
      </c>
      <c r="I11431" s="16" t="s">
        <v>87</v>
      </c>
      <c r="J11431" s="19"/>
      <c r="L11431" s="16" t="str">
        <f>IFERROR(__xludf.DUMMYFUNCTION("""COMPUTED_VALUE"""),"")</f>
        <v/>
      </c>
      <c r="M11431" s="16" t="str">
        <f>IFERROR(__xludf.DUMMYFUNCTION("""COMPUTED_VALUE"""),"")</f>
        <v/>
      </c>
      <c r="U11431" s="16" t="s">
        <v>87</v>
      </c>
      <c r="V11431" s="16" t="str">
        <f>IFERROR(__xludf.DUMMYFUNCTION("""COMPUTED_VALUE"""),"")</f>
        <v/>
      </c>
      <c r="W11431" s="16" t="str">
        <f>IFERROR(__xludf.DUMMYFUNCTION("""COMPUTED_VALUE"""),"")</f>
        <v/>
      </c>
      <c r="X11431" s="16" t="str">
        <f>IFERROR(__xludf.DUMMYFUNCTION("""COMPUTED_VALUE"""),"")</f>
        <v/>
      </c>
      <c r="AC11431" s="16" t="str">
        <f>IFERROR(__xludf.DUMMYFUNCTION("""COMPUTED_VALUE"""),"")</f>
        <v/>
      </c>
    </row>
    <row r="11432">
      <c r="A11432" s="16" t="s">
        <v>87</v>
      </c>
      <c r="E11432" s="16" t="str">
        <f>IFERROR(__xludf.DUMMYFUNCTION("""COMPUTED_VALUE"""),"")</f>
        <v/>
      </c>
      <c r="G11432" s="18"/>
      <c r="H11432" s="16" t="s">
        <v>87</v>
      </c>
      <c r="I11432" s="16" t="s">
        <v>87</v>
      </c>
      <c r="J11432" s="19"/>
      <c r="L11432" s="16" t="str">
        <f>IFERROR(__xludf.DUMMYFUNCTION("""COMPUTED_VALUE"""),"")</f>
        <v/>
      </c>
      <c r="M11432" s="16" t="str">
        <f>IFERROR(__xludf.DUMMYFUNCTION("""COMPUTED_VALUE"""),"")</f>
        <v/>
      </c>
      <c r="U11432" s="16" t="s">
        <v>87</v>
      </c>
      <c r="V11432" s="16" t="str">
        <f>IFERROR(__xludf.DUMMYFUNCTION("""COMPUTED_VALUE"""),"")</f>
        <v/>
      </c>
      <c r="W11432" s="16" t="str">
        <f>IFERROR(__xludf.DUMMYFUNCTION("""COMPUTED_VALUE"""),"")</f>
        <v/>
      </c>
      <c r="X11432" s="16" t="str">
        <f>IFERROR(__xludf.DUMMYFUNCTION("""COMPUTED_VALUE"""),"")</f>
        <v/>
      </c>
      <c r="AC11432" s="16" t="str">
        <f>IFERROR(__xludf.DUMMYFUNCTION("""COMPUTED_VALUE"""),"")</f>
        <v/>
      </c>
    </row>
    <row r="11433">
      <c r="A11433" s="16" t="s">
        <v>87</v>
      </c>
      <c r="E11433" s="16" t="str">
        <f>IFERROR(__xludf.DUMMYFUNCTION("""COMPUTED_VALUE"""),"")</f>
        <v/>
      </c>
      <c r="G11433" s="18"/>
      <c r="H11433" s="16" t="s">
        <v>87</v>
      </c>
      <c r="I11433" s="16" t="s">
        <v>87</v>
      </c>
      <c r="J11433" s="19"/>
      <c r="L11433" s="16" t="str">
        <f>IFERROR(__xludf.DUMMYFUNCTION("""COMPUTED_VALUE"""),"")</f>
        <v/>
      </c>
      <c r="M11433" s="16" t="str">
        <f>IFERROR(__xludf.DUMMYFUNCTION("""COMPUTED_VALUE"""),"")</f>
        <v/>
      </c>
      <c r="U11433" s="16" t="s">
        <v>87</v>
      </c>
      <c r="V11433" s="16" t="str">
        <f>IFERROR(__xludf.DUMMYFUNCTION("""COMPUTED_VALUE"""),"")</f>
        <v/>
      </c>
      <c r="W11433" s="16" t="str">
        <f>IFERROR(__xludf.DUMMYFUNCTION("""COMPUTED_VALUE"""),"")</f>
        <v/>
      </c>
      <c r="X11433" s="16" t="str">
        <f>IFERROR(__xludf.DUMMYFUNCTION("""COMPUTED_VALUE"""),"")</f>
        <v/>
      </c>
      <c r="AC11433" s="16" t="str">
        <f>IFERROR(__xludf.DUMMYFUNCTION("""COMPUTED_VALUE"""),"")</f>
        <v/>
      </c>
    </row>
    <row r="11434">
      <c r="A11434" s="16" t="s">
        <v>87</v>
      </c>
      <c r="E11434" s="16" t="str">
        <f>IFERROR(__xludf.DUMMYFUNCTION("""COMPUTED_VALUE"""),"")</f>
        <v/>
      </c>
      <c r="G11434" s="18"/>
      <c r="H11434" s="16" t="s">
        <v>87</v>
      </c>
      <c r="I11434" s="16" t="s">
        <v>87</v>
      </c>
      <c r="J11434" s="19"/>
      <c r="L11434" s="16" t="str">
        <f>IFERROR(__xludf.DUMMYFUNCTION("""COMPUTED_VALUE"""),"")</f>
        <v/>
      </c>
      <c r="M11434" s="16" t="str">
        <f>IFERROR(__xludf.DUMMYFUNCTION("""COMPUTED_VALUE"""),"")</f>
        <v/>
      </c>
      <c r="U11434" s="16" t="s">
        <v>87</v>
      </c>
      <c r="V11434" s="16" t="str">
        <f>IFERROR(__xludf.DUMMYFUNCTION("""COMPUTED_VALUE"""),"")</f>
        <v/>
      </c>
      <c r="W11434" s="16" t="str">
        <f>IFERROR(__xludf.DUMMYFUNCTION("""COMPUTED_VALUE"""),"")</f>
        <v/>
      </c>
      <c r="X11434" s="16" t="str">
        <f>IFERROR(__xludf.DUMMYFUNCTION("""COMPUTED_VALUE"""),"")</f>
        <v/>
      </c>
      <c r="AC11434" s="16" t="str">
        <f>IFERROR(__xludf.DUMMYFUNCTION("""COMPUTED_VALUE"""),"")</f>
        <v/>
      </c>
    </row>
    <row r="11435">
      <c r="A11435" s="16" t="s">
        <v>87</v>
      </c>
      <c r="E11435" s="16" t="str">
        <f>IFERROR(__xludf.DUMMYFUNCTION("""COMPUTED_VALUE"""),"")</f>
        <v/>
      </c>
      <c r="G11435" s="18"/>
      <c r="H11435" s="16" t="s">
        <v>87</v>
      </c>
      <c r="I11435" s="16" t="s">
        <v>87</v>
      </c>
      <c r="J11435" s="19"/>
      <c r="L11435" s="16" t="str">
        <f>IFERROR(__xludf.DUMMYFUNCTION("""COMPUTED_VALUE"""),"")</f>
        <v/>
      </c>
      <c r="M11435" s="16" t="str">
        <f>IFERROR(__xludf.DUMMYFUNCTION("""COMPUTED_VALUE"""),"")</f>
        <v/>
      </c>
      <c r="U11435" s="16" t="s">
        <v>87</v>
      </c>
      <c r="V11435" s="16" t="str">
        <f>IFERROR(__xludf.DUMMYFUNCTION("""COMPUTED_VALUE"""),"")</f>
        <v/>
      </c>
      <c r="W11435" s="16" t="str">
        <f>IFERROR(__xludf.DUMMYFUNCTION("""COMPUTED_VALUE"""),"")</f>
        <v/>
      </c>
      <c r="X11435" s="16" t="str">
        <f>IFERROR(__xludf.DUMMYFUNCTION("""COMPUTED_VALUE"""),"")</f>
        <v/>
      </c>
      <c r="AC11435" s="16" t="str">
        <f>IFERROR(__xludf.DUMMYFUNCTION("""COMPUTED_VALUE"""),"")</f>
        <v/>
      </c>
    </row>
    <row r="11436">
      <c r="A11436" s="16" t="s">
        <v>87</v>
      </c>
      <c r="E11436" s="16" t="str">
        <f>IFERROR(__xludf.DUMMYFUNCTION("""COMPUTED_VALUE"""),"")</f>
        <v/>
      </c>
      <c r="G11436" s="18"/>
      <c r="H11436" s="16" t="s">
        <v>87</v>
      </c>
      <c r="I11436" s="16" t="s">
        <v>87</v>
      </c>
      <c r="J11436" s="19"/>
      <c r="L11436" s="16" t="str">
        <f>IFERROR(__xludf.DUMMYFUNCTION("""COMPUTED_VALUE"""),"")</f>
        <v/>
      </c>
      <c r="M11436" s="16" t="str">
        <f>IFERROR(__xludf.DUMMYFUNCTION("""COMPUTED_VALUE"""),"")</f>
        <v/>
      </c>
      <c r="U11436" s="16" t="s">
        <v>87</v>
      </c>
      <c r="V11436" s="16" t="str">
        <f>IFERROR(__xludf.DUMMYFUNCTION("""COMPUTED_VALUE"""),"")</f>
        <v/>
      </c>
      <c r="W11436" s="16" t="str">
        <f>IFERROR(__xludf.DUMMYFUNCTION("""COMPUTED_VALUE"""),"")</f>
        <v/>
      </c>
      <c r="X11436" s="16" t="str">
        <f>IFERROR(__xludf.DUMMYFUNCTION("""COMPUTED_VALUE"""),"")</f>
        <v/>
      </c>
      <c r="AC11436" s="16" t="str">
        <f>IFERROR(__xludf.DUMMYFUNCTION("""COMPUTED_VALUE"""),"")</f>
        <v/>
      </c>
    </row>
    <row r="11437">
      <c r="A11437" s="16" t="s">
        <v>87</v>
      </c>
      <c r="E11437" s="16" t="str">
        <f>IFERROR(__xludf.DUMMYFUNCTION("""COMPUTED_VALUE"""),"")</f>
        <v/>
      </c>
      <c r="G11437" s="18"/>
      <c r="H11437" s="16" t="s">
        <v>87</v>
      </c>
      <c r="I11437" s="16" t="s">
        <v>87</v>
      </c>
      <c r="J11437" s="19"/>
      <c r="L11437" s="16" t="str">
        <f>IFERROR(__xludf.DUMMYFUNCTION("""COMPUTED_VALUE"""),"")</f>
        <v/>
      </c>
      <c r="M11437" s="16" t="str">
        <f>IFERROR(__xludf.DUMMYFUNCTION("""COMPUTED_VALUE"""),"")</f>
        <v/>
      </c>
      <c r="U11437" s="16" t="s">
        <v>87</v>
      </c>
      <c r="V11437" s="16" t="str">
        <f>IFERROR(__xludf.DUMMYFUNCTION("""COMPUTED_VALUE"""),"")</f>
        <v/>
      </c>
      <c r="W11437" s="16" t="str">
        <f>IFERROR(__xludf.DUMMYFUNCTION("""COMPUTED_VALUE"""),"")</f>
        <v/>
      </c>
      <c r="X11437" s="16" t="str">
        <f>IFERROR(__xludf.DUMMYFUNCTION("""COMPUTED_VALUE"""),"")</f>
        <v/>
      </c>
      <c r="AC11437" s="16" t="str">
        <f>IFERROR(__xludf.DUMMYFUNCTION("""COMPUTED_VALUE"""),"")</f>
        <v/>
      </c>
    </row>
    <row r="11438">
      <c r="A11438" s="16" t="s">
        <v>87</v>
      </c>
      <c r="E11438" s="16" t="str">
        <f>IFERROR(__xludf.DUMMYFUNCTION("""COMPUTED_VALUE"""),"")</f>
        <v/>
      </c>
      <c r="G11438" s="18"/>
      <c r="H11438" s="16" t="s">
        <v>87</v>
      </c>
      <c r="I11438" s="16" t="s">
        <v>87</v>
      </c>
      <c r="J11438" s="19"/>
      <c r="L11438" s="16" t="str">
        <f>IFERROR(__xludf.DUMMYFUNCTION("""COMPUTED_VALUE"""),"")</f>
        <v/>
      </c>
      <c r="M11438" s="16" t="str">
        <f>IFERROR(__xludf.DUMMYFUNCTION("""COMPUTED_VALUE"""),"")</f>
        <v/>
      </c>
      <c r="U11438" s="16" t="s">
        <v>87</v>
      </c>
      <c r="V11438" s="16" t="str">
        <f>IFERROR(__xludf.DUMMYFUNCTION("""COMPUTED_VALUE"""),"")</f>
        <v/>
      </c>
      <c r="W11438" s="16" t="str">
        <f>IFERROR(__xludf.DUMMYFUNCTION("""COMPUTED_VALUE"""),"")</f>
        <v/>
      </c>
      <c r="X11438" s="16" t="str">
        <f>IFERROR(__xludf.DUMMYFUNCTION("""COMPUTED_VALUE"""),"")</f>
        <v/>
      </c>
      <c r="AC11438" s="16" t="str">
        <f>IFERROR(__xludf.DUMMYFUNCTION("""COMPUTED_VALUE"""),"")</f>
        <v/>
      </c>
    </row>
    <row r="11439">
      <c r="A11439" s="16" t="s">
        <v>87</v>
      </c>
      <c r="E11439" s="16" t="str">
        <f>IFERROR(__xludf.DUMMYFUNCTION("""COMPUTED_VALUE"""),"")</f>
        <v/>
      </c>
      <c r="G11439" s="18"/>
      <c r="H11439" s="16" t="s">
        <v>87</v>
      </c>
      <c r="I11439" s="16" t="s">
        <v>87</v>
      </c>
      <c r="J11439" s="19"/>
      <c r="L11439" s="16" t="str">
        <f>IFERROR(__xludf.DUMMYFUNCTION("""COMPUTED_VALUE"""),"")</f>
        <v/>
      </c>
      <c r="M11439" s="16" t="str">
        <f>IFERROR(__xludf.DUMMYFUNCTION("""COMPUTED_VALUE"""),"")</f>
        <v/>
      </c>
      <c r="U11439" s="16" t="s">
        <v>87</v>
      </c>
      <c r="V11439" s="16" t="str">
        <f>IFERROR(__xludf.DUMMYFUNCTION("""COMPUTED_VALUE"""),"")</f>
        <v/>
      </c>
      <c r="W11439" s="16" t="str">
        <f>IFERROR(__xludf.DUMMYFUNCTION("""COMPUTED_VALUE"""),"")</f>
        <v/>
      </c>
      <c r="X11439" s="16" t="str">
        <f>IFERROR(__xludf.DUMMYFUNCTION("""COMPUTED_VALUE"""),"")</f>
        <v/>
      </c>
      <c r="AC11439" s="16" t="str">
        <f>IFERROR(__xludf.DUMMYFUNCTION("""COMPUTED_VALUE"""),"")</f>
        <v/>
      </c>
    </row>
    <row r="11440">
      <c r="A11440" s="16" t="s">
        <v>87</v>
      </c>
      <c r="E11440" s="16" t="str">
        <f>IFERROR(__xludf.DUMMYFUNCTION("""COMPUTED_VALUE"""),"")</f>
        <v/>
      </c>
      <c r="G11440" s="18"/>
      <c r="H11440" s="16" t="s">
        <v>87</v>
      </c>
      <c r="I11440" s="16" t="s">
        <v>87</v>
      </c>
      <c r="J11440" s="19"/>
      <c r="L11440" s="16" t="str">
        <f>IFERROR(__xludf.DUMMYFUNCTION("""COMPUTED_VALUE"""),"")</f>
        <v/>
      </c>
      <c r="M11440" s="16" t="str">
        <f>IFERROR(__xludf.DUMMYFUNCTION("""COMPUTED_VALUE"""),"")</f>
        <v/>
      </c>
      <c r="U11440" s="16" t="s">
        <v>87</v>
      </c>
      <c r="V11440" s="16" t="str">
        <f>IFERROR(__xludf.DUMMYFUNCTION("""COMPUTED_VALUE"""),"")</f>
        <v/>
      </c>
      <c r="W11440" s="16" t="str">
        <f>IFERROR(__xludf.DUMMYFUNCTION("""COMPUTED_VALUE"""),"")</f>
        <v/>
      </c>
      <c r="X11440" s="16" t="str">
        <f>IFERROR(__xludf.DUMMYFUNCTION("""COMPUTED_VALUE"""),"")</f>
        <v/>
      </c>
      <c r="AC11440" s="16" t="str">
        <f>IFERROR(__xludf.DUMMYFUNCTION("""COMPUTED_VALUE"""),"")</f>
        <v/>
      </c>
    </row>
    <row r="11441">
      <c r="A11441" s="16" t="s">
        <v>87</v>
      </c>
      <c r="E11441" s="16" t="str">
        <f>IFERROR(__xludf.DUMMYFUNCTION("""COMPUTED_VALUE"""),"")</f>
        <v/>
      </c>
      <c r="G11441" s="18"/>
      <c r="H11441" s="16" t="s">
        <v>87</v>
      </c>
      <c r="I11441" s="16" t="s">
        <v>87</v>
      </c>
      <c r="J11441" s="19"/>
      <c r="L11441" s="16" t="str">
        <f>IFERROR(__xludf.DUMMYFUNCTION("""COMPUTED_VALUE"""),"")</f>
        <v/>
      </c>
      <c r="M11441" s="16" t="str">
        <f>IFERROR(__xludf.DUMMYFUNCTION("""COMPUTED_VALUE"""),"")</f>
        <v/>
      </c>
      <c r="U11441" s="16" t="s">
        <v>87</v>
      </c>
      <c r="V11441" s="16" t="str">
        <f>IFERROR(__xludf.DUMMYFUNCTION("""COMPUTED_VALUE"""),"")</f>
        <v/>
      </c>
      <c r="W11441" s="16" t="str">
        <f>IFERROR(__xludf.DUMMYFUNCTION("""COMPUTED_VALUE"""),"")</f>
        <v/>
      </c>
      <c r="X11441" s="16" t="str">
        <f>IFERROR(__xludf.DUMMYFUNCTION("""COMPUTED_VALUE"""),"")</f>
        <v/>
      </c>
      <c r="AC11441" s="16" t="str">
        <f>IFERROR(__xludf.DUMMYFUNCTION("""COMPUTED_VALUE"""),"")</f>
        <v/>
      </c>
    </row>
    <row r="11442">
      <c r="A11442" s="16" t="s">
        <v>87</v>
      </c>
      <c r="E11442" s="16" t="str">
        <f>IFERROR(__xludf.DUMMYFUNCTION("""COMPUTED_VALUE"""),"")</f>
        <v/>
      </c>
      <c r="G11442" s="18"/>
      <c r="H11442" s="16" t="s">
        <v>87</v>
      </c>
      <c r="I11442" s="16" t="s">
        <v>87</v>
      </c>
      <c r="J11442" s="19"/>
      <c r="L11442" s="16" t="str">
        <f>IFERROR(__xludf.DUMMYFUNCTION("""COMPUTED_VALUE"""),"")</f>
        <v/>
      </c>
      <c r="M11442" s="16" t="str">
        <f>IFERROR(__xludf.DUMMYFUNCTION("""COMPUTED_VALUE"""),"")</f>
        <v/>
      </c>
      <c r="U11442" s="16" t="s">
        <v>87</v>
      </c>
      <c r="V11442" s="16" t="str">
        <f>IFERROR(__xludf.DUMMYFUNCTION("""COMPUTED_VALUE"""),"")</f>
        <v/>
      </c>
      <c r="W11442" s="16" t="str">
        <f>IFERROR(__xludf.DUMMYFUNCTION("""COMPUTED_VALUE"""),"")</f>
        <v/>
      </c>
      <c r="X11442" s="16" t="str">
        <f>IFERROR(__xludf.DUMMYFUNCTION("""COMPUTED_VALUE"""),"")</f>
        <v/>
      </c>
      <c r="AC11442" s="16" t="str">
        <f>IFERROR(__xludf.DUMMYFUNCTION("""COMPUTED_VALUE"""),"")</f>
        <v/>
      </c>
    </row>
    <row r="11443">
      <c r="A11443" s="16" t="s">
        <v>87</v>
      </c>
      <c r="E11443" s="16" t="str">
        <f>IFERROR(__xludf.DUMMYFUNCTION("""COMPUTED_VALUE"""),"")</f>
        <v/>
      </c>
      <c r="G11443" s="18"/>
      <c r="H11443" s="16" t="s">
        <v>87</v>
      </c>
      <c r="I11443" s="16" t="s">
        <v>87</v>
      </c>
      <c r="J11443" s="19"/>
      <c r="L11443" s="16" t="str">
        <f>IFERROR(__xludf.DUMMYFUNCTION("""COMPUTED_VALUE"""),"")</f>
        <v/>
      </c>
      <c r="M11443" s="16" t="str">
        <f>IFERROR(__xludf.DUMMYFUNCTION("""COMPUTED_VALUE"""),"")</f>
        <v/>
      </c>
      <c r="U11443" s="16" t="s">
        <v>87</v>
      </c>
      <c r="V11443" s="16" t="str">
        <f>IFERROR(__xludf.DUMMYFUNCTION("""COMPUTED_VALUE"""),"")</f>
        <v/>
      </c>
      <c r="W11443" s="16" t="str">
        <f>IFERROR(__xludf.DUMMYFUNCTION("""COMPUTED_VALUE"""),"")</f>
        <v/>
      </c>
      <c r="X11443" s="16" t="str">
        <f>IFERROR(__xludf.DUMMYFUNCTION("""COMPUTED_VALUE"""),"")</f>
        <v/>
      </c>
      <c r="AC11443" s="16" t="str">
        <f>IFERROR(__xludf.DUMMYFUNCTION("""COMPUTED_VALUE"""),"")</f>
        <v/>
      </c>
    </row>
    <row r="11444">
      <c r="A11444" s="16" t="s">
        <v>87</v>
      </c>
      <c r="E11444" s="16" t="str">
        <f>IFERROR(__xludf.DUMMYFUNCTION("""COMPUTED_VALUE"""),"")</f>
        <v/>
      </c>
      <c r="G11444" s="18"/>
      <c r="H11444" s="16" t="s">
        <v>87</v>
      </c>
      <c r="I11444" s="16" t="s">
        <v>87</v>
      </c>
      <c r="J11444" s="19"/>
      <c r="L11444" s="16" t="str">
        <f>IFERROR(__xludf.DUMMYFUNCTION("""COMPUTED_VALUE"""),"")</f>
        <v/>
      </c>
      <c r="M11444" s="16" t="str">
        <f>IFERROR(__xludf.DUMMYFUNCTION("""COMPUTED_VALUE"""),"")</f>
        <v/>
      </c>
      <c r="U11444" s="16" t="s">
        <v>87</v>
      </c>
      <c r="V11444" s="16" t="str">
        <f>IFERROR(__xludf.DUMMYFUNCTION("""COMPUTED_VALUE"""),"")</f>
        <v/>
      </c>
      <c r="W11444" s="16" t="str">
        <f>IFERROR(__xludf.DUMMYFUNCTION("""COMPUTED_VALUE"""),"")</f>
        <v/>
      </c>
      <c r="X11444" s="16" t="str">
        <f>IFERROR(__xludf.DUMMYFUNCTION("""COMPUTED_VALUE"""),"")</f>
        <v/>
      </c>
      <c r="AC11444" s="16" t="str">
        <f>IFERROR(__xludf.DUMMYFUNCTION("""COMPUTED_VALUE"""),"")</f>
        <v/>
      </c>
    </row>
    <row r="11445">
      <c r="A11445" s="16" t="s">
        <v>87</v>
      </c>
      <c r="E11445" s="16" t="str">
        <f>IFERROR(__xludf.DUMMYFUNCTION("""COMPUTED_VALUE"""),"")</f>
        <v/>
      </c>
      <c r="G11445" s="18"/>
      <c r="H11445" s="16" t="s">
        <v>87</v>
      </c>
      <c r="I11445" s="16" t="s">
        <v>87</v>
      </c>
      <c r="J11445" s="19"/>
      <c r="L11445" s="16" t="str">
        <f>IFERROR(__xludf.DUMMYFUNCTION("""COMPUTED_VALUE"""),"")</f>
        <v/>
      </c>
      <c r="M11445" s="16" t="str">
        <f>IFERROR(__xludf.DUMMYFUNCTION("""COMPUTED_VALUE"""),"")</f>
        <v/>
      </c>
      <c r="U11445" s="16" t="s">
        <v>87</v>
      </c>
      <c r="V11445" s="16" t="str">
        <f>IFERROR(__xludf.DUMMYFUNCTION("""COMPUTED_VALUE"""),"")</f>
        <v/>
      </c>
      <c r="W11445" s="16" t="str">
        <f>IFERROR(__xludf.DUMMYFUNCTION("""COMPUTED_VALUE"""),"")</f>
        <v/>
      </c>
      <c r="X11445" s="16" t="str">
        <f>IFERROR(__xludf.DUMMYFUNCTION("""COMPUTED_VALUE"""),"")</f>
        <v/>
      </c>
      <c r="AC11445" s="16" t="str">
        <f>IFERROR(__xludf.DUMMYFUNCTION("""COMPUTED_VALUE"""),"")</f>
        <v/>
      </c>
    </row>
    <row r="11446">
      <c r="A11446" s="16" t="s">
        <v>87</v>
      </c>
      <c r="E11446" s="16" t="str">
        <f>IFERROR(__xludf.DUMMYFUNCTION("""COMPUTED_VALUE"""),"")</f>
        <v/>
      </c>
      <c r="G11446" s="18"/>
      <c r="H11446" s="16" t="s">
        <v>87</v>
      </c>
      <c r="I11446" s="16" t="s">
        <v>87</v>
      </c>
      <c r="J11446" s="19"/>
      <c r="L11446" s="16" t="str">
        <f>IFERROR(__xludf.DUMMYFUNCTION("""COMPUTED_VALUE"""),"")</f>
        <v/>
      </c>
      <c r="M11446" s="16" t="str">
        <f>IFERROR(__xludf.DUMMYFUNCTION("""COMPUTED_VALUE"""),"")</f>
        <v/>
      </c>
      <c r="U11446" s="16" t="s">
        <v>87</v>
      </c>
      <c r="V11446" s="16" t="str">
        <f>IFERROR(__xludf.DUMMYFUNCTION("""COMPUTED_VALUE"""),"")</f>
        <v/>
      </c>
      <c r="W11446" s="16" t="str">
        <f>IFERROR(__xludf.DUMMYFUNCTION("""COMPUTED_VALUE"""),"")</f>
        <v/>
      </c>
      <c r="X11446" s="16" t="str">
        <f>IFERROR(__xludf.DUMMYFUNCTION("""COMPUTED_VALUE"""),"")</f>
        <v/>
      </c>
      <c r="AC11446" s="16" t="str">
        <f>IFERROR(__xludf.DUMMYFUNCTION("""COMPUTED_VALUE"""),"")</f>
        <v/>
      </c>
    </row>
    <row r="11447">
      <c r="A11447" s="16" t="s">
        <v>87</v>
      </c>
      <c r="E11447" s="16" t="str">
        <f>IFERROR(__xludf.DUMMYFUNCTION("""COMPUTED_VALUE"""),"")</f>
        <v/>
      </c>
      <c r="G11447" s="18"/>
      <c r="H11447" s="16" t="s">
        <v>87</v>
      </c>
      <c r="I11447" s="16" t="s">
        <v>87</v>
      </c>
      <c r="J11447" s="19"/>
      <c r="L11447" s="16" t="str">
        <f>IFERROR(__xludf.DUMMYFUNCTION("""COMPUTED_VALUE"""),"")</f>
        <v/>
      </c>
      <c r="M11447" s="16" t="str">
        <f>IFERROR(__xludf.DUMMYFUNCTION("""COMPUTED_VALUE"""),"")</f>
        <v/>
      </c>
      <c r="U11447" s="16" t="s">
        <v>87</v>
      </c>
      <c r="V11447" s="16" t="str">
        <f>IFERROR(__xludf.DUMMYFUNCTION("""COMPUTED_VALUE"""),"")</f>
        <v/>
      </c>
      <c r="W11447" s="16" t="str">
        <f>IFERROR(__xludf.DUMMYFUNCTION("""COMPUTED_VALUE"""),"")</f>
        <v/>
      </c>
      <c r="X11447" s="16" t="str">
        <f>IFERROR(__xludf.DUMMYFUNCTION("""COMPUTED_VALUE"""),"")</f>
        <v/>
      </c>
      <c r="AC11447" s="16" t="str">
        <f>IFERROR(__xludf.DUMMYFUNCTION("""COMPUTED_VALUE"""),"")</f>
        <v/>
      </c>
    </row>
    <row r="11448">
      <c r="A11448" s="16" t="s">
        <v>87</v>
      </c>
      <c r="E11448" s="16" t="str">
        <f>IFERROR(__xludf.DUMMYFUNCTION("""COMPUTED_VALUE"""),"")</f>
        <v/>
      </c>
      <c r="G11448" s="18"/>
      <c r="H11448" s="16" t="s">
        <v>87</v>
      </c>
      <c r="I11448" s="16" t="s">
        <v>87</v>
      </c>
      <c r="J11448" s="19"/>
      <c r="L11448" s="16" t="str">
        <f>IFERROR(__xludf.DUMMYFUNCTION("""COMPUTED_VALUE"""),"")</f>
        <v/>
      </c>
      <c r="M11448" s="16" t="str">
        <f>IFERROR(__xludf.DUMMYFUNCTION("""COMPUTED_VALUE"""),"")</f>
        <v/>
      </c>
      <c r="U11448" s="16" t="s">
        <v>87</v>
      </c>
      <c r="V11448" s="16" t="str">
        <f>IFERROR(__xludf.DUMMYFUNCTION("""COMPUTED_VALUE"""),"")</f>
        <v/>
      </c>
      <c r="W11448" s="16" t="str">
        <f>IFERROR(__xludf.DUMMYFUNCTION("""COMPUTED_VALUE"""),"")</f>
        <v/>
      </c>
      <c r="X11448" s="16" t="str">
        <f>IFERROR(__xludf.DUMMYFUNCTION("""COMPUTED_VALUE"""),"")</f>
        <v/>
      </c>
      <c r="AC11448" s="16" t="str">
        <f>IFERROR(__xludf.DUMMYFUNCTION("""COMPUTED_VALUE"""),"")</f>
        <v/>
      </c>
    </row>
    <row r="11449">
      <c r="A11449" s="16" t="s">
        <v>87</v>
      </c>
      <c r="E11449" s="16" t="str">
        <f>IFERROR(__xludf.DUMMYFUNCTION("""COMPUTED_VALUE"""),"")</f>
        <v/>
      </c>
      <c r="G11449" s="18"/>
      <c r="H11449" s="16" t="s">
        <v>87</v>
      </c>
      <c r="I11449" s="16" t="s">
        <v>87</v>
      </c>
      <c r="J11449" s="19"/>
      <c r="L11449" s="16" t="str">
        <f>IFERROR(__xludf.DUMMYFUNCTION("""COMPUTED_VALUE"""),"")</f>
        <v/>
      </c>
      <c r="M11449" s="16" t="str">
        <f>IFERROR(__xludf.DUMMYFUNCTION("""COMPUTED_VALUE"""),"")</f>
        <v/>
      </c>
      <c r="U11449" s="16" t="s">
        <v>87</v>
      </c>
      <c r="V11449" s="16" t="str">
        <f>IFERROR(__xludf.DUMMYFUNCTION("""COMPUTED_VALUE"""),"")</f>
        <v/>
      </c>
      <c r="W11449" s="16" t="str">
        <f>IFERROR(__xludf.DUMMYFUNCTION("""COMPUTED_VALUE"""),"")</f>
        <v/>
      </c>
      <c r="X11449" s="16" t="str">
        <f>IFERROR(__xludf.DUMMYFUNCTION("""COMPUTED_VALUE"""),"")</f>
        <v/>
      </c>
      <c r="AC11449" s="16" t="str">
        <f>IFERROR(__xludf.DUMMYFUNCTION("""COMPUTED_VALUE"""),"")</f>
        <v/>
      </c>
    </row>
    <row r="11450">
      <c r="A11450" s="16" t="s">
        <v>87</v>
      </c>
      <c r="E11450" s="16" t="str">
        <f>IFERROR(__xludf.DUMMYFUNCTION("""COMPUTED_VALUE"""),"")</f>
        <v/>
      </c>
      <c r="G11450" s="18"/>
      <c r="H11450" s="16" t="s">
        <v>87</v>
      </c>
      <c r="I11450" s="16" t="s">
        <v>87</v>
      </c>
      <c r="J11450" s="19"/>
      <c r="L11450" s="16" t="str">
        <f>IFERROR(__xludf.DUMMYFUNCTION("""COMPUTED_VALUE"""),"")</f>
        <v/>
      </c>
      <c r="M11450" s="16" t="str">
        <f>IFERROR(__xludf.DUMMYFUNCTION("""COMPUTED_VALUE"""),"")</f>
        <v/>
      </c>
      <c r="U11450" s="16" t="s">
        <v>87</v>
      </c>
      <c r="V11450" s="16" t="str">
        <f>IFERROR(__xludf.DUMMYFUNCTION("""COMPUTED_VALUE"""),"")</f>
        <v/>
      </c>
      <c r="W11450" s="16" t="str">
        <f>IFERROR(__xludf.DUMMYFUNCTION("""COMPUTED_VALUE"""),"")</f>
        <v/>
      </c>
      <c r="X11450" s="16" t="str">
        <f>IFERROR(__xludf.DUMMYFUNCTION("""COMPUTED_VALUE"""),"")</f>
        <v/>
      </c>
      <c r="AC11450" s="16" t="str">
        <f>IFERROR(__xludf.DUMMYFUNCTION("""COMPUTED_VALUE"""),"")</f>
        <v/>
      </c>
    </row>
    <row r="11451">
      <c r="A11451" s="16" t="s">
        <v>87</v>
      </c>
      <c r="E11451" s="16" t="str">
        <f>IFERROR(__xludf.DUMMYFUNCTION("""COMPUTED_VALUE"""),"")</f>
        <v/>
      </c>
      <c r="G11451" s="18"/>
      <c r="H11451" s="16" t="s">
        <v>87</v>
      </c>
      <c r="I11451" s="16" t="s">
        <v>87</v>
      </c>
      <c r="J11451" s="19"/>
      <c r="L11451" s="16" t="str">
        <f>IFERROR(__xludf.DUMMYFUNCTION("""COMPUTED_VALUE"""),"")</f>
        <v/>
      </c>
      <c r="M11451" s="16" t="str">
        <f>IFERROR(__xludf.DUMMYFUNCTION("""COMPUTED_VALUE"""),"")</f>
        <v/>
      </c>
      <c r="U11451" s="16" t="s">
        <v>87</v>
      </c>
      <c r="V11451" s="16" t="str">
        <f>IFERROR(__xludf.DUMMYFUNCTION("""COMPUTED_VALUE"""),"")</f>
        <v/>
      </c>
      <c r="W11451" s="16" t="str">
        <f>IFERROR(__xludf.DUMMYFUNCTION("""COMPUTED_VALUE"""),"")</f>
        <v/>
      </c>
      <c r="X11451" s="16" t="str">
        <f>IFERROR(__xludf.DUMMYFUNCTION("""COMPUTED_VALUE"""),"")</f>
        <v/>
      </c>
      <c r="AC11451" s="16" t="str">
        <f>IFERROR(__xludf.DUMMYFUNCTION("""COMPUTED_VALUE"""),"")</f>
        <v/>
      </c>
    </row>
    <row r="11452">
      <c r="A11452" s="16" t="s">
        <v>87</v>
      </c>
      <c r="E11452" s="16" t="str">
        <f>IFERROR(__xludf.DUMMYFUNCTION("""COMPUTED_VALUE"""),"")</f>
        <v/>
      </c>
      <c r="G11452" s="18"/>
      <c r="H11452" s="16" t="s">
        <v>87</v>
      </c>
      <c r="I11452" s="16" t="s">
        <v>87</v>
      </c>
      <c r="J11452" s="19"/>
      <c r="L11452" s="16" t="str">
        <f>IFERROR(__xludf.DUMMYFUNCTION("""COMPUTED_VALUE"""),"")</f>
        <v/>
      </c>
      <c r="M11452" s="16" t="str">
        <f>IFERROR(__xludf.DUMMYFUNCTION("""COMPUTED_VALUE"""),"")</f>
        <v/>
      </c>
      <c r="U11452" s="16" t="s">
        <v>87</v>
      </c>
      <c r="V11452" s="16" t="str">
        <f>IFERROR(__xludf.DUMMYFUNCTION("""COMPUTED_VALUE"""),"")</f>
        <v/>
      </c>
      <c r="W11452" s="16" t="str">
        <f>IFERROR(__xludf.DUMMYFUNCTION("""COMPUTED_VALUE"""),"")</f>
        <v/>
      </c>
      <c r="X11452" s="16" t="str">
        <f>IFERROR(__xludf.DUMMYFUNCTION("""COMPUTED_VALUE"""),"")</f>
        <v/>
      </c>
      <c r="AC11452" s="16" t="str">
        <f>IFERROR(__xludf.DUMMYFUNCTION("""COMPUTED_VALUE"""),"")</f>
        <v/>
      </c>
    </row>
    <row r="11453">
      <c r="A11453" s="16" t="s">
        <v>87</v>
      </c>
      <c r="E11453" s="16" t="str">
        <f>IFERROR(__xludf.DUMMYFUNCTION("""COMPUTED_VALUE"""),"")</f>
        <v/>
      </c>
      <c r="G11453" s="18"/>
      <c r="H11453" s="16" t="s">
        <v>87</v>
      </c>
      <c r="I11453" s="16" t="s">
        <v>87</v>
      </c>
      <c r="J11453" s="19"/>
      <c r="L11453" s="16" t="str">
        <f>IFERROR(__xludf.DUMMYFUNCTION("""COMPUTED_VALUE"""),"")</f>
        <v/>
      </c>
      <c r="M11453" s="16" t="str">
        <f>IFERROR(__xludf.DUMMYFUNCTION("""COMPUTED_VALUE"""),"")</f>
        <v/>
      </c>
      <c r="U11453" s="16" t="s">
        <v>87</v>
      </c>
      <c r="V11453" s="16" t="str">
        <f>IFERROR(__xludf.DUMMYFUNCTION("""COMPUTED_VALUE"""),"")</f>
        <v/>
      </c>
      <c r="W11453" s="16" t="str">
        <f>IFERROR(__xludf.DUMMYFUNCTION("""COMPUTED_VALUE"""),"")</f>
        <v/>
      </c>
      <c r="X11453" s="16" t="str">
        <f>IFERROR(__xludf.DUMMYFUNCTION("""COMPUTED_VALUE"""),"")</f>
        <v/>
      </c>
      <c r="AC11453" s="16" t="str">
        <f>IFERROR(__xludf.DUMMYFUNCTION("""COMPUTED_VALUE"""),"")</f>
        <v/>
      </c>
    </row>
    <row r="11454">
      <c r="A11454" s="16" t="s">
        <v>87</v>
      </c>
      <c r="E11454" s="16" t="str">
        <f>IFERROR(__xludf.DUMMYFUNCTION("""COMPUTED_VALUE"""),"")</f>
        <v/>
      </c>
      <c r="G11454" s="18"/>
      <c r="H11454" s="16" t="s">
        <v>87</v>
      </c>
      <c r="I11454" s="16" t="s">
        <v>87</v>
      </c>
      <c r="J11454" s="19"/>
      <c r="L11454" s="16" t="str">
        <f>IFERROR(__xludf.DUMMYFUNCTION("""COMPUTED_VALUE"""),"")</f>
        <v/>
      </c>
      <c r="M11454" s="16" t="str">
        <f>IFERROR(__xludf.DUMMYFUNCTION("""COMPUTED_VALUE"""),"")</f>
        <v/>
      </c>
      <c r="U11454" s="16" t="s">
        <v>87</v>
      </c>
      <c r="V11454" s="16" t="str">
        <f>IFERROR(__xludf.DUMMYFUNCTION("""COMPUTED_VALUE"""),"")</f>
        <v/>
      </c>
      <c r="W11454" s="16" t="str">
        <f>IFERROR(__xludf.DUMMYFUNCTION("""COMPUTED_VALUE"""),"")</f>
        <v/>
      </c>
      <c r="X11454" s="16" t="str">
        <f>IFERROR(__xludf.DUMMYFUNCTION("""COMPUTED_VALUE"""),"")</f>
        <v/>
      </c>
      <c r="AC11454" s="16" t="str">
        <f>IFERROR(__xludf.DUMMYFUNCTION("""COMPUTED_VALUE"""),"")</f>
        <v/>
      </c>
    </row>
    <row r="11455">
      <c r="A11455" s="16" t="s">
        <v>87</v>
      </c>
      <c r="E11455" s="16" t="str">
        <f>IFERROR(__xludf.DUMMYFUNCTION("""COMPUTED_VALUE"""),"")</f>
        <v/>
      </c>
      <c r="G11455" s="18"/>
      <c r="H11455" s="16" t="s">
        <v>87</v>
      </c>
      <c r="I11455" s="16" t="s">
        <v>87</v>
      </c>
      <c r="J11455" s="19"/>
      <c r="L11455" s="16" t="str">
        <f>IFERROR(__xludf.DUMMYFUNCTION("""COMPUTED_VALUE"""),"")</f>
        <v/>
      </c>
      <c r="M11455" s="16" t="str">
        <f>IFERROR(__xludf.DUMMYFUNCTION("""COMPUTED_VALUE"""),"")</f>
        <v/>
      </c>
      <c r="U11455" s="16" t="s">
        <v>87</v>
      </c>
      <c r="V11455" s="16" t="str">
        <f>IFERROR(__xludf.DUMMYFUNCTION("""COMPUTED_VALUE"""),"")</f>
        <v/>
      </c>
      <c r="W11455" s="16" t="str">
        <f>IFERROR(__xludf.DUMMYFUNCTION("""COMPUTED_VALUE"""),"")</f>
        <v/>
      </c>
      <c r="X11455" s="16" t="str">
        <f>IFERROR(__xludf.DUMMYFUNCTION("""COMPUTED_VALUE"""),"")</f>
        <v/>
      </c>
      <c r="AC11455" s="16" t="str">
        <f>IFERROR(__xludf.DUMMYFUNCTION("""COMPUTED_VALUE"""),"")</f>
        <v/>
      </c>
    </row>
    <row r="11456">
      <c r="A11456" s="16" t="s">
        <v>87</v>
      </c>
      <c r="E11456" s="16" t="str">
        <f>IFERROR(__xludf.DUMMYFUNCTION("""COMPUTED_VALUE"""),"")</f>
        <v/>
      </c>
      <c r="G11456" s="18"/>
      <c r="H11456" s="16" t="s">
        <v>87</v>
      </c>
      <c r="I11456" s="16" t="s">
        <v>87</v>
      </c>
      <c r="J11456" s="19"/>
      <c r="L11456" s="16" t="str">
        <f>IFERROR(__xludf.DUMMYFUNCTION("""COMPUTED_VALUE"""),"")</f>
        <v/>
      </c>
      <c r="M11456" s="16" t="str">
        <f>IFERROR(__xludf.DUMMYFUNCTION("""COMPUTED_VALUE"""),"")</f>
        <v/>
      </c>
      <c r="U11456" s="16" t="s">
        <v>87</v>
      </c>
      <c r="V11456" s="16" t="str">
        <f>IFERROR(__xludf.DUMMYFUNCTION("""COMPUTED_VALUE"""),"")</f>
        <v/>
      </c>
      <c r="W11456" s="16" t="str">
        <f>IFERROR(__xludf.DUMMYFUNCTION("""COMPUTED_VALUE"""),"")</f>
        <v/>
      </c>
      <c r="X11456" s="16" t="str">
        <f>IFERROR(__xludf.DUMMYFUNCTION("""COMPUTED_VALUE"""),"")</f>
        <v/>
      </c>
      <c r="AC11456" s="16" t="str">
        <f>IFERROR(__xludf.DUMMYFUNCTION("""COMPUTED_VALUE"""),"")</f>
        <v/>
      </c>
    </row>
    <row r="11457">
      <c r="A11457" s="16" t="s">
        <v>87</v>
      </c>
      <c r="E11457" s="16" t="str">
        <f>IFERROR(__xludf.DUMMYFUNCTION("""COMPUTED_VALUE"""),"")</f>
        <v/>
      </c>
      <c r="G11457" s="18"/>
      <c r="H11457" s="16" t="s">
        <v>87</v>
      </c>
      <c r="I11457" s="16" t="s">
        <v>87</v>
      </c>
      <c r="J11457" s="19"/>
      <c r="L11457" s="16" t="str">
        <f>IFERROR(__xludf.DUMMYFUNCTION("""COMPUTED_VALUE"""),"")</f>
        <v/>
      </c>
      <c r="M11457" s="16" t="str">
        <f>IFERROR(__xludf.DUMMYFUNCTION("""COMPUTED_VALUE"""),"")</f>
        <v/>
      </c>
      <c r="U11457" s="16" t="s">
        <v>87</v>
      </c>
      <c r="V11457" s="16" t="str">
        <f>IFERROR(__xludf.DUMMYFUNCTION("""COMPUTED_VALUE"""),"")</f>
        <v/>
      </c>
      <c r="W11457" s="16" t="str">
        <f>IFERROR(__xludf.DUMMYFUNCTION("""COMPUTED_VALUE"""),"")</f>
        <v/>
      </c>
      <c r="X11457" s="16" t="str">
        <f>IFERROR(__xludf.DUMMYFUNCTION("""COMPUTED_VALUE"""),"")</f>
        <v/>
      </c>
      <c r="AC11457" s="16" t="str">
        <f>IFERROR(__xludf.DUMMYFUNCTION("""COMPUTED_VALUE"""),"")</f>
        <v/>
      </c>
    </row>
    <row r="11458">
      <c r="A11458" s="16" t="s">
        <v>87</v>
      </c>
      <c r="E11458" s="16" t="str">
        <f>IFERROR(__xludf.DUMMYFUNCTION("""COMPUTED_VALUE"""),"")</f>
        <v/>
      </c>
      <c r="G11458" s="18"/>
      <c r="H11458" s="16" t="s">
        <v>87</v>
      </c>
      <c r="I11458" s="16" t="s">
        <v>87</v>
      </c>
      <c r="J11458" s="19"/>
      <c r="L11458" s="16" t="str">
        <f>IFERROR(__xludf.DUMMYFUNCTION("""COMPUTED_VALUE"""),"")</f>
        <v/>
      </c>
      <c r="M11458" s="16" t="str">
        <f>IFERROR(__xludf.DUMMYFUNCTION("""COMPUTED_VALUE"""),"")</f>
        <v/>
      </c>
      <c r="U11458" s="16" t="s">
        <v>87</v>
      </c>
      <c r="V11458" s="16" t="str">
        <f>IFERROR(__xludf.DUMMYFUNCTION("""COMPUTED_VALUE"""),"")</f>
        <v/>
      </c>
      <c r="W11458" s="16" t="str">
        <f>IFERROR(__xludf.DUMMYFUNCTION("""COMPUTED_VALUE"""),"")</f>
        <v/>
      </c>
      <c r="X11458" s="16" t="str">
        <f>IFERROR(__xludf.DUMMYFUNCTION("""COMPUTED_VALUE"""),"")</f>
        <v/>
      </c>
      <c r="AC11458" s="16" t="str">
        <f>IFERROR(__xludf.DUMMYFUNCTION("""COMPUTED_VALUE"""),"")</f>
        <v/>
      </c>
    </row>
    <row r="11459">
      <c r="A11459" s="16" t="s">
        <v>87</v>
      </c>
      <c r="E11459" s="16" t="str">
        <f>IFERROR(__xludf.DUMMYFUNCTION("""COMPUTED_VALUE"""),"")</f>
        <v/>
      </c>
      <c r="G11459" s="18"/>
      <c r="H11459" s="16" t="s">
        <v>87</v>
      </c>
      <c r="I11459" s="16" t="s">
        <v>87</v>
      </c>
      <c r="J11459" s="19"/>
      <c r="L11459" s="16" t="str">
        <f>IFERROR(__xludf.DUMMYFUNCTION("""COMPUTED_VALUE"""),"")</f>
        <v/>
      </c>
      <c r="M11459" s="16" t="str">
        <f>IFERROR(__xludf.DUMMYFUNCTION("""COMPUTED_VALUE"""),"")</f>
        <v/>
      </c>
      <c r="U11459" s="16" t="s">
        <v>87</v>
      </c>
      <c r="V11459" s="16" t="str">
        <f>IFERROR(__xludf.DUMMYFUNCTION("""COMPUTED_VALUE"""),"")</f>
        <v/>
      </c>
      <c r="W11459" s="16" t="str">
        <f>IFERROR(__xludf.DUMMYFUNCTION("""COMPUTED_VALUE"""),"")</f>
        <v/>
      </c>
      <c r="X11459" s="16" t="str">
        <f>IFERROR(__xludf.DUMMYFUNCTION("""COMPUTED_VALUE"""),"")</f>
        <v/>
      </c>
      <c r="AC11459" s="16" t="str">
        <f>IFERROR(__xludf.DUMMYFUNCTION("""COMPUTED_VALUE"""),"")</f>
        <v/>
      </c>
    </row>
    <row r="11460">
      <c r="A11460" s="16" t="s">
        <v>87</v>
      </c>
      <c r="E11460" s="16" t="str">
        <f>IFERROR(__xludf.DUMMYFUNCTION("""COMPUTED_VALUE"""),"")</f>
        <v/>
      </c>
      <c r="G11460" s="18"/>
      <c r="H11460" s="16" t="s">
        <v>87</v>
      </c>
      <c r="I11460" s="16" t="s">
        <v>87</v>
      </c>
      <c r="J11460" s="19"/>
      <c r="L11460" s="16" t="str">
        <f>IFERROR(__xludf.DUMMYFUNCTION("""COMPUTED_VALUE"""),"")</f>
        <v/>
      </c>
      <c r="M11460" s="16" t="str">
        <f>IFERROR(__xludf.DUMMYFUNCTION("""COMPUTED_VALUE"""),"")</f>
        <v/>
      </c>
      <c r="U11460" s="16" t="s">
        <v>87</v>
      </c>
      <c r="V11460" s="16" t="str">
        <f>IFERROR(__xludf.DUMMYFUNCTION("""COMPUTED_VALUE"""),"")</f>
        <v/>
      </c>
      <c r="W11460" s="16" t="str">
        <f>IFERROR(__xludf.DUMMYFUNCTION("""COMPUTED_VALUE"""),"")</f>
        <v/>
      </c>
      <c r="X11460" s="16" t="str">
        <f>IFERROR(__xludf.DUMMYFUNCTION("""COMPUTED_VALUE"""),"")</f>
        <v/>
      </c>
      <c r="AC11460" s="16" t="str">
        <f>IFERROR(__xludf.DUMMYFUNCTION("""COMPUTED_VALUE"""),"")</f>
        <v/>
      </c>
    </row>
    <row r="11461">
      <c r="A11461" s="16" t="s">
        <v>87</v>
      </c>
      <c r="E11461" s="16" t="str">
        <f>IFERROR(__xludf.DUMMYFUNCTION("""COMPUTED_VALUE"""),"")</f>
        <v/>
      </c>
      <c r="G11461" s="18"/>
      <c r="H11461" s="16" t="s">
        <v>87</v>
      </c>
      <c r="I11461" s="16" t="s">
        <v>87</v>
      </c>
      <c r="J11461" s="19"/>
      <c r="L11461" s="16" t="str">
        <f>IFERROR(__xludf.DUMMYFUNCTION("""COMPUTED_VALUE"""),"")</f>
        <v/>
      </c>
      <c r="M11461" s="16" t="str">
        <f>IFERROR(__xludf.DUMMYFUNCTION("""COMPUTED_VALUE"""),"")</f>
        <v/>
      </c>
      <c r="U11461" s="16" t="s">
        <v>87</v>
      </c>
      <c r="V11461" s="16" t="str">
        <f>IFERROR(__xludf.DUMMYFUNCTION("""COMPUTED_VALUE"""),"")</f>
        <v/>
      </c>
      <c r="W11461" s="16" t="str">
        <f>IFERROR(__xludf.DUMMYFUNCTION("""COMPUTED_VALUE"""),"")</f>
        <v/>
      </c>
      <c r="X11461" s="16" t="str">
        <f>IFERROR(__xludf.DUMMYFUNCTION("""COMPUTED_VALUE"""),"")</f>
        <v/>
      </c>
      <c r="AC11461" s="16" t="str">
        <f>IFERROR(__xludf.DUMMYFUNCTION("""COMPUTED_VALUE"""),"")</f>
        <v/>
      </c>
    </row>
    <row r="11462">
      <c r="A11462" s="16" t="s">
        <v>87</v>
      </c>
      <c r="E11462" s="16" t="str">
        <f>IFERROR(__xludf.DUMMYFUNCTION("""COMPUTED_VALUE"""),"")</f>
        <v/>
      </c>
      <c r="G11462" s="18"/>
      <c r="H11462" s="16" t="s">
        <v>87</v>
      </c>
      <c r="I11462" s="16" t="s">
        <v>87</v>
      </c>
      <c r="J11462" s="19"/>
      <c r="L11462" s="16" t="str">
        <f>IFERROR(__xludf.DUMMYFUNCTION("""COMPUTED_VALUE"""),"")</f>
        <v/>
      </c>
      <c r="M11462" s="16" t="str">
        <f>IFERROR(__xludf.DUMMYFUNCTION("""COMPUTED_VALUE"""),"")</f>
        <v/>
      </c>
      <c r="U11462" s="16" t="s">
        <v>87</v>
      </c>
      <c r="V11462" s="16" t="str">
        <f>IFERROR(__xludf.DUMMYFUNCTION("""COMPUTED_VALUE"""),"")</f>
        <v/>
      </c>
      <c r="W11462" s="16" t="str">
        <f>IFERROR(__xludf.DUMMYFUNCTION("""COMPUTED_VALUE"""),"")</f>
        <v/>
      </c>
      <c r="X11462" s="16" t="str">
        <f>IFERROR(__xludf.DUMMYFUNCTION("""COMPUTED_VALUE"""),"")</f>
        <v/>
      </c>
      <c r="AC11462" s="16" t="str">
        <f>IFERROR(__xludf.DUMMYFUNCTION("""COMPUTED_VALUE"""),"")</f>
        <v/>
      </c>
    </row>
    <row r="11463">
      <c r="A11463" s="16" t="s">
        <v>87</v>
      </c>
      <c r="E11463" s="16" t="str">
        <f>IFERROR(__xludf.DUMMYFUNCTION("""COMPUTED_VALUE"""),"")</f>
        <v/>
      </c>
      <c r="G11463" s="18"/>
      <c r="H11463" s="16" t="s">
        <v>87</v>
      </c>
      <c r="I11463" s="16" t="s">
        <v>87</v>
      </c>
      <c r="J11463" s="19"/>
      <c r="L11463" s="16" t="str">
        <f>IFERROR(__xludf.DUMMYFUNCTION("""COMPUTED_VALUE"""),"")</f>
        <v/>
      </c>
      <c r="M11463" s="16" t="str">
        <f>IFERROR(__xludf.DUMMYFUNCTION("""COMPUTED_VALUE"""),"")</f>
        <v/>
      </c>
      <c r="U11463" s="16" t="s">
        <v>87</v>
      </c>
      <c r="V11463" s="16" t="str">
        <f>IFERROR(__xludf.DUMMYFUNCTION("""COMPUTED_VALUE"""),"")</f>
        <v/>
      </c>
      <c r="W11463" s="16" t="str">
        <f>IFERROR(__xludf.DUMMYFUNCTION("""COMPUTED_VALUE"""),"")</f>
        <v/>
      </c>
      <c r="X11463" s="16" t="str">
        <f>IFERROR(__xludf.DUMMYFUNCTION("""COMPUTED_VALUE"""),"")</f>
        <v/>
      </c>
      <c r="AC11463" s="16" t="str">
        <f>IFERROR(__xludf.DUMMYFUNCTION("""COMPUTED_VALUE"""),"")</f>
        <v/>
      </c>
    </row>
    <row r="11464">
      <c r="A11464" s="16" t="s">
        <v>87</v>
      </c>
      <c r="E11464" s="16" t="str">
        <f>IFERROR(__xludf.DUMMYFUNCTION("""COMPUTED_VALUE"""),"")</f>
        <v/>
      </c>
      <c r="G11464" s="18"/>
      <c r="H11464" s="16" t="s">
        <v>87</v>
      </c>
      <c r="I11464" s="16" t="s">
        <v>87</v>
      </c>
      <c r="J11464" s="19"/>
      <c r="L11464" s="16" t="str">
        <f>IFERROR(__xludf.DUMMYFUNCTION("""COMPUTED_VALUE"""),"")</f>
        <v/>
      </c>
      <c r="M11464" s="16" t="str">
        <f>IFERROR(__xludf.DUMMYFUNCTION("""COMPUTED_VALUE"""),"")</f>
        <v/>
      </c>
      <c r="U11464" s="16" t="s">
        <v>87</v>
      </c>
      <c r="V11464" s="16" t="str">
        <f>IFERROR(__xludf.DUMMYFUNCTION("""COMPUTED_VALUE"""),"")</f>
        <v/>
      </c>
      <c r="W11464" s="16" t="str">
        <f>IFERROR(__xludf.DUMMYFUNCTION("""COMPUTED_VALUE"""),"")</f>
        <v/>
      </c>
      <c r="X11464" s="16" t="str">
        <f>IFERROR(__xludf.DUMMYFUNCTION("""COMPUTED_VALUE"""),"")</f>
        <v/>
      </c>
      <c r="AC11464" s="16" t="str">
        <f>IFERROR(__xludf.DUMMYFUNCTION("""COMPUTED_VALUE"""),"")</f>
        <v/>
      </c>
    </row>
    <row r="11465">
      <c r="A11465" s="16" t="s">
        <v>87</v>
      </c>
      <c r="E11465" s="16" t="str">
        <f>IFERROR(__xludf.DUMMYFUNCTION("""COMPUTED_VALUE"""),"")</f>
        <v/>
      </c>
      <c r="G11465" s="18"/>
      <c r="H11465" s="16" t="s">
        <v>87</v>
      </c>
      <c r="I11465" s="16" t="s">
        <v>87</v>
      </c>
      <c r="J11465" s="19"/>
      <c r="L11465" s="16" t="str">
        <f>IFERROR(__xludf.DUMMYFUNCTION("""COMPUTED_VALUE"""),"")</f>
        <v/>
      </c>
      <c r="M11465" s="16" t="str">
        <f>IFERROR(__xludf.DUMMYFUNCTION("""COMPUTED_VALUE"""),"")</f>
        <v/>
      </c>
      <c r="U11465" s="16" t="s">
        <v>87</v>
      </c>
      <c r="V11465" s="16" t="str">
        <f>IFERROR(__xludf.DUMMYFUNCTION("""COMPUTED_VALUE"""),"")</f>
        <v/>
      </c>
      <c r="W11465" s="16" t="str">
        <f>IFERROR(__xludf.DUMMYFUNCTION("""COMPUTED_VALUE"""),"")</f>
        <v/>
      </c>
      <c r="X11465" s="16" t="str">
        <f>IFERROR(__xludf.DUMMYFUNCTION("""COMPUTED_VALUE"""),"")</f>
        <v/>
      </c>
      <c r="AC11465" s="16" t="str">
        <f>IFERROR(__xludf.DUMMYFUNCTION("""COMPUTED_VALUE"""),"")</f>
        <v/>
      </c>
    </row>
    <row r="11466">
      <c r="A11466" s="16" t="s">
        <v>87</v>
      </c>
      <c r="E11466" s="16" t="str">
        <f>IFERROR(__xludf.DUMMYFUNCTION("""COMPUTED_VALUE"""),"")</f>
        <v/>
      </c>
      <c r="G11466" s="18"/>
      <c r="H11466" s="16" t="s">
        <v>87</v>
      </c>
      <c r="I11466" s="16" t="s">
        <v>87</v>
      </c>
      <c r="J11466" s="19"/>
      <c r="L11466" s="16" t="str">
        <f>IFERROR(__xludf.DUMMYFUNCTION("""COMPUTED_VALUE"""),"")</f>
        <v/>
      </c>
      <c r="M11466" s="16" t="str">
        <f>IFERROR(__xludf.DUMMYFUNCTION("""COMPUTED_VALUE"""),"")</f>
        <v/>
      </c>
      <c r="U11466" s="16" t="s">
        <v>87</v>
      </c>
      <c r="V11466" s="16" t="str">
        <f>IFERROR(__xludf.DUMMYFUNCTION("""COMPUTED_VALUE"""),"")</f>
        <v/>
      </c>
      <c r="W11466" s="16" t="str">
        <f>IFERROR(__xludf.DUMMYFUNCTION("""COMPUTED_VALUE"""),"")</f>
        <v/>
      </c>
      <c r="X11466" s="16" t="str">
        <f>IFERROR(__xludf.DUMMYFUNCTION("""COMPUTED_VALUE"""),"")</f>
        <v/>
      </c>
      <c r="AC11466" s="16" t="str">
        <f>IFERROR(__xludf.DUMMYFUNCTION("""COMPUTED_VALUE"""),"")</f>
        <v/>
      </c>
    </row>
    <row r="11467">
      <c r="A11467" s="16" t="s">
        <v>87</v>
      </c>
      <c r="E11467" s="16" t="str">
        <f>IFERROR(__xludf.DUMMYFUNCTION("""COMPUTED_VALUE"""),"")</f>
        <v/>
      </c>
      <c r="G11467" s="18"/>
      <c r="H11467" s="16" t="s">
        <v>87</v>
      </c>
      <c r="I11467" s="16" t="s">
        <v>87</v>
      </c>
      <c r="J11467" s="19"/>
      <c r="L11467" s="16" t="str">
        <f>IFERROR(__xludf.DUMMYFUNCTION("""COMPUTED_VALUE"""),"")</f>
        <v/>
      </c>
      <c r="M11467" s="16" t="str">
        <f>IFERROR(__xludf.DUMMYFUNCTION("""COMPUTED_VALUE"""),"")</f>
        <v/>
      </c>
      <c r="U11467" s="16" t="s">
        <v>87</v>
      </c>
      <c r="V11467" s="16" t="str">
        <f>IFERROR(__xludf.DUMMYFUNCTION("""COMPUTED_VALUE"""),"")</f>
        <v/>
      </c>
      <c r="W11467" s="16" t="str">
        <f>IFERROR(__xludf.DUMMYFUNCTION("""COMPUTED_VALUE"""),"")</f>
        <v/>
      </c>
      <c r="X11467" s="16" t="str">
        <f>IFERROR(__xludf.DUMMYFUNCTION("""COMPUTED_VALUE"""),"")</f>
        <v/>
      </c>
      <c r="AC11467" s="16" t="str">
        <f>IFERROR(__xludf.DUMMYFUNCTION("""COMPUTED_VALUE"""),"")</f>
        <v/>
      </c>
    </row>
    <row r="11468">
      <c r="A11468" s="16" t="s">
        <v>87</v>
      </c>
      <c r="E11468" s="16" t="str">
        <f>IFERROR(__xludf.DUMMYFUNCTION("""COMPUTED_VALUE"""),"")</f>
        <v/>
      </c>
      <c r="G11468" s="18"/>
      <c r="H11468" s="16" t="s">
        <v>87</v>
      </c>
      <c r="I11468" s="16" t="s">
        <v>87</v>
      </c>
      <c r="J11468" s="19"/>
      <c r="L11468" s="16" t="str">
        <f>IFERROR(__xludf.DUMMYFUNCTION("""COMPUTED_VALUE"""),"")</f>
        <v/>
      </c>
      <c r="M11468" s="16" t="str">
        <f>IFERROR(__xludf.DUMMYFUNCTION("""COMPUTED_VALUE"""),"")</f>
        <v/>
      </c>
      <c r="U11468" s="16" t="s">
        <v>87</v>
      </c>
      <c r="V11468" s="16" t="str">
        <f>IFERROR(__xludf.DUMMYFUNCTION("""COMPUTED_VALUE"""),"")</f>
        <v/>
      </c>
      <c r="W11468" s="16" t="str">
        <f>IFERROR(__xludf.DUMMYFUNCTION("""COMPUTED_VALUE"""),"")</f>
        <v/>
      </c>
      <c r="X11468" s="16" t="str">
        <f>IFERROR(__xludf.DUMMYFUNCTION("""COMPUTED_VALUE"""),"")</f>
        <v/>
      </c>
      <c r="AC11468" s="16" t="str">
        <f>IFERROR(__xludf.DUMMYFUNCTION("""COMPUTED_VALUE"""),"")</f>
        <v/>
      </c>
    </row>
    <row r="11469">
      <c r="A11469" s="16" t="s">
        <v>87</v>
      </c>
      <c r="E11469" s="16" t="str">
        <f>IFERROR(__xludf.DUMMYFUNCTION("""COMPUTED_VALUE"""),"")</f>
        <v/>
      </c>
      <c r="G11469" s="18"/>
      <c r="H11469" s="16" t="s">
        <v>87</v>
      </c>
      <c r="I11469" s="16" t="s">
        <v>87</v>
      </c>
      <c r="J11469" s="19"/>
      <c r="L11469" s="16" t="str">
        <f>IFERROR(__xludf.DUMMYFUNCTION("""COMPUTED_VALUE"""),"")</f>
        <v/>
      </c>
      <c r="M11469" s="16" t="str">
        <f>IFERROR(__xludf.DUMMYFUNCTION("""COMPUTED_VALUE"""),"")</f>
        <v/>
      </c>
      <c r="U11469" s="16" t="s">
        <v>87</v>
      </c>
      <c r="V11469" s="16" t="str">
        <f>IFERROR(__xludf.DUMMYFUNCTION("""COMPUTED_VALUE"""),"")</f>
        <v/>
      </c>
      <c r="W11469" s="16" t="str">
        <f>IFERROR(__xludf.DUMMYFUNCTION("""COMPUTED_VALUE"""),"")</f>
        <v/>
      </c>
      <c r="X11469" s="16" t="str">
        <f>IFERROR(__xludf.DUMMYFUNCTION("""COMPUTED_VALUE"""),"")</f>
        <v/>
      </c>
      <c r="AC11469" s="16" t="str">
        <f>IFERROR(__xludf.DUMMYFUNCTION("""COMPUTED_VALUE"""),"")</f>
        <v/>
      </c>
    </row>
    <row r="11470">
      <c r="A11470" s="16" t="s">
        <v>87</v>
      </c>
      <c r="E11470" s="16" t="str">
        <f>IFERROR(__xludf.DUMMYFUNCTION("""COMPUTED_VALUE"""),"")</f>
        <v/>
      </c>
      <c r="G11470" s="18"/>
      <c r="H11470" s="16" t="s">
        <v>87</v>
      </c>
      <c r="I11470" s="16" t="s">
        <v>87</v>
      </c>
      <c r="J11470" s="19"/>
      <c r="L11470" s="16" t="str">
        <f>IFERROR(__xludf.DUMMYFUNCTION("""COMPUTED_VALUE"""),"")</f>
        <v/>
      </c>
      <c r="M11470" s="16" t="str">
        <f>IFERROR(__xludf.DUMMYFUNCTION("""COMPUTED_VALUE"""),"")</f>
        <v/>
      </c>
      <c r="U11470" s="16" t="s">
        <v>87</v>
      </c>
      <c r="V11470" s="16" t="str">
        <f>IFERROR(__xludf.DUMMYFUNCTION("""COMPUTED_VALUE"""),"")</f>
        <v/>
      </c>
      <c r="W11470" s="16" t="str">
        <f>IFERROR(__xludf.DUMMYFUNCTION("""COMPUTED_VALUE"""),"")</f>
        <v/>
      </c>
      <c r="X11470" s="16" t="str">
        <f>IFERROR(__xludf.DUMMYFUNCTION("""COMPUTED_VALUE"""),"")</f>
        <v/>
      </c>
      <c r="AC11470" s="16" t="str">
        <f>IFERROR(__xludf.DUMMYFUNCTION("""COMPUTED_VALUE"""),"")</f>
        <v/>
      </c>
    </row>
    <row r="11471">
      <c r="A11471" s="16" t="s">
        <v>87</v>
      </c>
      <c r="E11471" s="16" t="str">
        <f>IFERROR(__xludf.DUMMYFUNCTION("""COMPUTED_VALUE"""),"")</f>
        <v/>
      </c>
      <c r="G11471" s="18"/>
      <c r="H11471" s="16" t="s">
        <v>87</v>
      </c>
      <c r="I11471" s="16" t="s">
        <v>87</v>
      </c>
      <c r="J11471" s="19"/>
      <c r="L11471" s="16" t="str">
        <f>IFERROR(__xludf.DUMMYFUNCTION("""COMPUTED_VALUE"""),"")</f>
        <v/>
      </c>
      <c r="M11471" s="16" t="str">
        <f>IFERROR(__xludf.DUMMYFUNCTION("""COMPUTED_VALUE"""),"")</f>
        <v/>
      </c>
      <c r="U11471" s="16" t="s">
        <v>87</v>
      </c>
      <c r="V11471" s="16" t="str">
        <f>IFERROR(__xludf.DUMMYFUNCTION("""COMPUTED_VALUE"""),"")</f>
        <v/>
      </c>
      <c r="W11471" s="16" t="str">
        <f>IFERROR(__xludf.DUMMYFUNCTION("""COMPUTED_VALUE"""),"")</f>
        <v/>
      </c>
      <c r="X11471" s="16" t="str">
        <f>IFERROR(__xludf.DUMMYFUNCTION("""COMPUTED_VALUE"""),"")</f>
        <v/>
      </c>
      <c r="AC11471" s="16" t="str">
        <f>IFERROR(__xludf.DUMMYFUNCTION("""COMPUTED_VALUE"""),"")</f>
        <v/>
      </c>
    </row>
    <row r="11472">
      <c r="A11472" s="16" t="s">
        <v>87</v>
      </c>
      <c r="E11472" s="16" t="str">
        <f>IFERROR(__xludf.DUMMYFUNCTION("""COMPUTED_VALUE"""),"")</f>
        <v/>
      </c>
      <c r="G11472" s="18"/>
      <c r="H11472" s="16" t="s">
        <v>87</v>
      </c>
      <c r="I11472" s="16" t="s">
        <v>87</v>
      </c>
      <c r="J11472" s="19"/>
      <c r="L11472" s="16" t="str">
        <f>IFERROR(__xludf.DUMMYFUNCTION("""COMPUTED_VALUE"""),"")</f>
        <v/>
      </c>
      <c r="M11472" s="16" t="str">
        <f>IFERROR(__xludf.DUMMYFUNCTION("""COMPUTED_VALUE"""),"")</f>
        <v/>
      </c>
      <c r="U11472" s="16" t="s">
        <v>87</v>
      </c>
      <c r="V11472" s="16" t="str">
        <f>IFERROR(__xludf.DUMMYFUNCTION("""COMPUTED_VALUE"""),"")</f>
        <v/>
      </c>
      <c r="W11472" s="16" t="str">
        <f>IFERROR(__xludf.DUMMYFUNCTION("""COMPUTED_VALUE"""),"")</f>
        <v/>
      </c>
      <c r="X11472" s="16" t="str">
        <f>IFERROR(__xludf.DUMMYFUNCTION("""COMPUTED_VALUE"""),"")</f>
        <v/>
      </c>
      <c r="AC11472" s="16" t="str">
        <f>IFERROR(__xludf.DUMMYFUNCTION("""COMPUTED_VALUE"""),"")</f>
        <v/>
      </c>
    </row>
    <row r="11473">
      <c r="A11473" s="16" t="s">
        <v>87</v>
      </c>
      <c r="E11473" s="16" t="str">
        <f>IFERROR(__xludf.DUMMYFUNCTION("""COMPUTED_VALUE"""),"")</f>
        <v/>
      </c>
      <c r="G11473" s="18"/>
      <c r="H11473" s="16" t="s">
        <v>87</v>
      </c>
      <c r="I11473" s="16" t="s">
        <v>87</v>
      </c>
      <c r="J11473" s="19"/>
      <c r="L11473" s="16" t="str">
        <f>IFERROR(__xludf.DUMMYFUNCTION("""COMPUTED_VALUE"""),"")</f>
        <v/>
      </c>
      <c r="M11473" s="16" t="str">
        <f>IFERROR(__xludf.DUMMYFUNCTION("""COMPUTED_VALUE"""),"")</f>
        <v/>
      </c>
      <c r="U11473" s="16" t="s">
        <v>87</v>
      </c>
      <c r="V11473" s="16" t="str">
        <f>IFERROR(__xludf.DUMMYFUNCTION("""COMPUTED_VALUE"""),"")</f>
        <v/>
      </c>
      <c r="W11473" s="16" t="str">
        <f>IFERROR(__xludf.DUMMYFUNCTION("""COMPUTED_VALUE"""),"")</f>
        <v/>
      </c>
      <c r="X11473" s="16" t="str">
        <f>IFERROR(__xludf.DUMMYFUNCTION("""COMPUTED_VALUE"""),"")</f>
        <v/>
      </c>
      <c r="AC11473" s="16" t="str">
        <f>IFERROR(__xludf.DUMMYFUNCTION("""COMPUTED_VALUE"""),"")</f>
        <v/>
      </c>
    </row>
    <row r="11474">
      <c r="A11474" s="16" t="s">
        <v>87</v>
      </c>
      <c r="E11474" s="16" t="str">
        <f>IFERROR(__xludf.DUMMYFUNCTION("""COMPUTED_VALUE"""),"")</f>
        <v/>
      </c>
      <c r="G11474" s="18"/>
      <c r="H11474" s="16" t="s">
        <v>87</v>
      </c>
      <c r="I11474" s="16" t="s">
        <v>87</v>
      </c>
      <c r="J11474" s="19"/>
      <c r="L11474" s="16" t="str">
        <f>IFERROR(__xludf.DUMMYFUNCTION("""COMPUTED_VALUE"""),"")</f>
        <v/>
      </c>
      <c r="M11474" s="16" t="str">
        <f>IFERROR(__xludf.DUMMYFUNCTION("""COMPUTED_VALUE"""),"")</f>
        <v/>
      </c>
      <c r="U11474" s="16" t="s">
        <v>87</v>
      </c>
      <c r="V11474" s="16" t="str">
        <f>IFERROR(__xludf.DUMMYFUNCTION("""COMPUTED_VALUE"""),"")</f>
        <v/>
      </c>
      <c r="W11474" s="16" t="str">
        <f>IFERROR(__xludf.DUMMYFUNCTION("""COMPUTED_VALUE"""),"")</f>
        <v/>
      </c>
      <c r="X11474" s="16" t="str">
        <f>IFERROR(__xludf.DUMMYFUNCTION("""COMPUTED_VALUE"""),"")</f>
        <v/>
      </c>
      <c r="AC11474" s="16" t="str">
        <f>IFERROR(__xludf.DUMMYFUNCTION("""COMPUTED_VALUE"""),"")</f>
        <v/>
      </c>
    </row>
    <row r="11475">
      <c r="A11475" s="16" t="s">
        <v>87</v>
      </c>
      <c r="E11475" s="16" t="str">
        <f>IFERROR(__xludf.DUMMYFUNCTION("""COMPUTED_VALUE"""),"")</f>
        <v/>
      </c>
      <c r="G11475" s="18"/>
      <c r="H11475" s="16" t="s">
        <v>87</v>
      </c>
      <c r="I11475" s="16" t="s">
        <v>87</v>
      </c>
      <c r="J11475" s="19"/>
      <c r="L11475" s="16" t="str">
        <f>IFERROR(__xludf.DUMMYFUNCTION("""COMPUTED_VALUE"""),"")</f>
        <v/>
      </c>
      <c r="M11475" s="16" t="str">
        <f>IFERROR(__xludf.DUMMYFUNCTION("""COMPUTED_VALUE"""),"")</f>
        <v/>
      </c>
      <c r="U11475" s="16" t="s">
        <v>87</v>
      </c>
      <c r="V11475" s="16" t="str">
        <f>IFERROR(__xludf.DUMMYFUNCTION("""COMPUTED_VALUE"""),"")</f>
        <v/>
      </c>
      <c r="W11475" s="16" t="str">
        <f>IFERROR(__xludf.DUMMYFUNCTION("""COMPUTED_VALUE"""),"")</f>
        <v/>
      </c>
      <c r="X11475" s="16" t="str">
        <f>IFERROR(__xludf.DUMMYFUNCTION("""COMPUTED_VALUE"""),"")</f>
        <v/>
      </c>
      <c r="AC11475" s="16" t="str">
        <f>IFERROR(__xludf.DUMMYFUNCTION("""COMPUTED_VALUE"""),"")</f>
        <v/>
      </c>
    </row>
    <row r="11476">
      <c r="A11476" s="16" t="s">
        <v>87</v>
      </c>
      <c r="E11476" s="16" t="str">
        <f>IFERROR(__xludf.DUMMYFUNCTION("""COMPUTED_VALUE"""),"")</f>
        <v/>
      </c>
      <c r="G11476" s="18"/>
      <c r="H11476" s="16" t="s">
        <v>87</v>
      </c>
      <c r="I11476" s="16" t="s">
        <v>87</v>
      </c>
      <c r="J11476" s="19"/>
      <c r="L11476" s="16" t="str">
        <f>IFERROR(__xludf.DUMMYFUNCTION("""COMPUTED_VALUE"""),"")</f>
        <v/>
      </c>
      <c r="M11476" s="16" t="str">
        <f>IFERROR(__xludf.DUMMYFUNCTION("""COMPUTED_VALUE"""),"")</f>
        <v/>
      </c>
      <c r="U11476" s="16" t="s">
        <v>87</v>
      </c>
      <c r="V11476" s="16" t="str">
        <f>IFERROR(__xludf.DUMMYFUNCTION("""COMPUTED_VALUE"""),"")</f>
        <v/>
      </c>
      <c r="W11476" s="16" t="str">
        <f>IFERROR(__xludf.DUMMYFUNCTION("""COMPUTED_VALUE"""),"")</f>
        <v/>
      </c>
      <c r="X11476" s="16" t="str">
        <f>IFERROR(__xludf.DUMMYFUNCTION("""COMPUTED_VALUE"""),"")</f>
        <v/>
      </c>
      <c r="AC11476" s="16" t="str">
        <f>IFERROR(__xludf.DUMMYFUNCTION("""COMPUTED_VALUE"""),"")</f>
        <v/>
      </c>
    </row>
    <row r="11477">
      <c r="A11477" s="16" t="s">
        <v>87</v>
      </c>
      <c r="E11477" s="16" t="str">
        <f>IFERROR(__xludf.DUMMYFUNCTION("""COMPUTED_VALUE"""),"")</f>
        <v/>
      </c>
      <c r="G11477" s="18"/>
      <c r="H11477" s="16" t="s">
        <v>87</v>
      </c>
      <c r="I11477" s="16" t="s">
        <v>87</v>
      </c>
      <c r="J11477" s="19"/>
      <c r="L11477" s="16" t="str">
        <f>IFERROR(__xludf.DUMMYFUNCTION("""COMPUTED_VALUE"""),"")</f>
        <v/>
      </c>
      <c r="M11477" s="16" t="str">
        <f>IFERROR(__xludf.DUMMYFUNCTION("""COMPUTED_VALUE"""),"")</f>
        <v/>
      </c>
      <c r="U11477" s="16" t="s">
        <v>87</v>
      </c>
      <c r="V11477" s="16" t="str">
        <f>IFERROR(__xludf.DUMMYFUNCTION("""COMPUTED_VALUE"""),"")</f>
        <v/>
      </c>
      <c r="W11477" s="16" t="str">
        <f>IFERROR(__xludf.DUMMYFUNCTION("""COMPUTED_VALUE"""),"")</f>
        <v/>
      </c>
      <c r="X11477" s="16" t="str">
        <f>IFERROR(__xludf.DUMMYFUNCTION("""COMPUTED_VALUE"""),"")</f>
        <v/>
      </c>
      <c r="AC11477" s="16" t="str">
        <f>IFERROR(__xludf.DUMMYFUNCTION("""COMPUTED_VALUE"""),"")</f>
        <v/>
      </c>
    </row>
    <row r="11478">
      <c r="A11478" s="16" t="s">
        <v>87</v>
      </c>
      <c r="E11478" s="16" t="str">
        <f>IFERROR(__xludf.DUMMYFUNCTION("""COMPUTED_VALUE"""),"")</f>
        <v/>
      </c>
      <c r="G11478" s="18"/>
      <c r="H11478" s="16" t="s">
        <v>87</v>
      </c>
      <c r="I11478" s="16" t="s">
        <v>87</v>
      </c>
      <c r="J11478" s="19"/>
      <c r="L11478" s="16" t="str">
        <f>IFERROR(__xludf.DUMMYFUNCTION("""COMPUTED_VALUE"""),"")</f>
        <v/>
      </c>
      <c r="M11478" s="16" t="str">
        <f>IFERROR(__xludf.DUMMYFUNCTION("""COMPUTED_VALUE"""),"")</f>
        <v/>
      </c>
      <c r="U11478" s="16" t="s">
        <v>87</v>
      </c>
      <c r="V11478" s="16" t="str">
        <f>IFERROR(__xludf.DUMMYFUNCTION("""COMPUTED_VALUE"""),"")</f>
        <v/>
      </c>
      <c r="W11478" s="16" t="str">
        <f>IFERROR(__xludf.DUMMYFUNCTION("""COMPUTED_VALUE"""),"")</f>
        <v/>
      </c>
      <c r="X11478" s="16" t="str">
        <f>IFERROR(__xludf.DUMMYFUNCTION("""COMPUTED_VALUE"""),"")</f>
        <v/>
      </c>
      <c r="AC11478" s="16" t="str">
        <f>IFERROR(__xludf.DUMMYFUNCTION("""COMPUTED_VALUE"""),"")</f>
        <v/>
      </c>
    </row>
    <row r="11479">
      <c r="A11479" s="16" t="s">
        <v>87</v>
      </c>
      <c r="E11479" s="16" t="str">
        <f>IFERROR(__xludf.DUMMYFUNCTION("""COMPUTED_VALUE"""),"")</f>
        <v/>
      </c>
      <c r="G11479" s="18"/>
      <c r="H11479" s="16" t="s">
        <v>87</v>
      </c>
      <c r="I11479" s="16" t="s">
        <v>87</v>
      </c>
      <c r="J11479" s="19"/>
      <c r="L11479" s="16" t="str">
        <f>IFERROR(__xludf.DUMMYFUNCTION("""COMPUTED_VALUE"""),"")</f>
        <v/>
      </c>
      <c r="M11479" s="16" t="str">
        <f>IFERROR(__xludf.DUMMYFUNCTION("""COMPUTED_VALUE"""),"")</f>
        <v/>
      </c>
      <c r="U11479" s="16" t="s">
        <v>87</v>
      </c>
      <c r="V11479" s="16" t="str">
        <f>IFERROR(__xludf.DUMMYFUNCTION("""COMPUTED_VALUE"""),"")</f>
        <v/>
      </c>
      <c r="W11479" s="16" t="str">
        <f>IFERROR(__xludf.DUMMYFUNCTION("""COMPUTED_VALUE"""),"")</f>
        <v/>
      </c>
      <c r="X11479" s="16" t="str">
        <f>IFERROR(__xludf.DUMMYFUNCTION("""COMPUTED_VALUE"""),"")</f>
        <v/>
      </c>
      <c r="AC11479" s="16" t="str">
        <f>IFERROR(__xludf.DUMMYFUNCTION("""COMPUTED_VALUE"""),"")</f>
        <v/>
      </c>
    </row>
    <row r="11480">
      <c r="A11480" s="16" t="s">
        <v>87</v>
      </c>
      <c r="E11480" s="16" t="str">
        <f>IFERROR(__xludf.DUMMYFUNCTION("""COMPUTED_VALUE"""),"")</f>
        <v/>
      </c>
      <c r="G11480" s="18"/>
      <c r="H11480" s="16" t="s">
        <v>87</v>
      </c>
      <c r="I11480" s="16" t="s">
        <v>87</v>
      </c>
      <c r="J11480" s="19"/>
      <c r="L11480" s="16" t="str">
        <f>IFERROR(__xludf.DUMMYFUNCTION("""COMPUTED_VALUE"""),"")</f>
        <v/>
      </c>
      <c r="M11480" s="16" t="str">
        <f>IFERROR(__xludf.DUMMYFUNCTION("""COMPUTED_VALUE"""),"")</f>
        <v/>
      </c>
      <c r="U11480" s="16" t="s">
        <v>87</v>
      </c>
      <c r="V11480" s="16" t="str">
        <f>IFERROR(__xludf.DUMMYFUNCTION("""COMPUTED_VALUE"""),"")</f>
        <v/>
      </c>
      <c r="W11480" s="16" t="str">
        <f>IFERROR(__xludf.DUMMYFUNCTION("""COMPUTED_VALUE"""),"")</f>
        <v/>
      </c>
      <c r="X11480" s="16" t="str">
        <f>IFERROR(__xludf.DUMMYFUNCTION("""COMPUTED_VALUE"""),"")</f>
        <v/>
      </c>
      <c r="AC11480" s="16" t="str">
        <f>IFERROR(__xludf.DUMMYFUNCTION("""COMPUTED_VALUE"""),"")</f>
        <v/>
      </c>
    </row>
    <row r="11481">
      <c r="A11481" s="16" t="s">
        <v>87</v>
      </c>
      <c r="E11481" s="16" t="str">
        <f>IFERROR(__xludf.DUMMYFUNCTION("""COMPUTED_VALUE"""),"")</f>
        <v/>
      </c>
      <c r="G11481" s="18"/>
      <c r="H11481" s="16" t="s">
        <v>87</v>
      </c>
      <c r="I11481" s="16" t="s">
        <v>87</v>
      </c>
      <c r="J11481" s="19"/>
      <c r="L11481" s="16" t="str">
        <f>IFERROR(__xludf.DUMMYFUNCTION("""COMPUTED_VALUE"""),"")</f>
        <v/>
      </c>
      <c r="M11481" s="16" t="str">
        <f>IFERROR(__xludf.DUMMYFUNCTION("""COMPUTED_VALUE"""),"")</f>
        <v/>
      </c>
      <c r="U11481" s="16" t="s">
        <v>87</v>
      </c>
      <c r="V11481" s="16" t="str">
        <f>IFERROR(__xludf.DUMMYFUNCTION("""COMPUTED_VALUE"""),"")</f>
        <v/>
      </c>
      <c r="W11481" s="16" t="str">
        <f>IFERROR(__xludf.DUMMYFUNCTION("""COMPUTED_VALUE"""),"")</f>
        <v/>
      </c>
      <c r="X11481" s="16" t="str">
        <f>IFERROR(__xludf.DUMMYFUNCTION("""COMPUTED_VALUE"""),"")</f>
        <v/>
      </c>
      <c r="AC11481" s="16" t="str">
        <f>IFERROR(__xludf.DUMMYFUNCTION("""COMPUTED_VALUE"""),"")</f>
        <v/>
      </c>
    </row>
    <row r="11482">
      <c r="A11482" s="16" t="s">
        <v>87</v>
      </c>
      <c r="E11482" s="16" t="str">
        <f>IFERROR(__xludf.DUMMYFUNCTION("""COMPUTED_VALUE"""),"")</f>
        <v/>
      </c>
      <c r="G11482" s="18"/>
      <c r="H11482" s="16" t="s">
        <v>87</v>
      </c>
      <c r="I11482" s="16" t="s">
        <v>87</v>
      </c>
      <c r="J11482" s="19"/>
      <c r="L11482" s="16" t="str">
        <f>IFERROR(__xludf.DUMMYFUNCTION("""COMPUTED_VALUE"""),"")</f>
        <v/>
      </c>
      <c r="M11482" s="16" t="str">
        <f>IFERROR(__xludf.DUMMYFUNCTION("""COMPUTED_VALUE"""),"")</f>
        <v/>
      </c>
      <c r="U11482" s="16" t="s">
        <v>87</v>
      </c>
      <c r="V11482" s="16" t="str">
        <f>IFERROR(__xludf.DUMMYFUNCTION("""COMPUTED_VALUE"""),"")</f>
        <v/>
      </c>
      <c r="W11482" s="16" t="str">
        <f>IFERROR(__xludf.DUMMYFUNCTION("""COMPUTED_VALUE"""),"")</f>
        <v/>
      </c>
      <c r="X11482" s="16" t="str">
        <f>IFERROR(__xludf.DUMMYFUNCTION("""COMPUTED_VALUE"""),"")</f>
        <v/>
      </c>
      <c r="AC11482" s="16" t="str">
        <f>IFERROR(__xludf.DUMMYFUNCTION("""COMPUTED_VALUE"""),"")</f>
        <v/>
      </c>
    </row>
    <row r="11483">
      <c r="A11483" s="16" t="s">
        <v>87</v>
      </c>
      <c r="E11483" s="16" t="str">
        <f>IFERROR(__xludf.DUMMYFUNCTION("""COMPUTED_VALUE"""),"")</f>
        <v/>
      </c>
      <c r="G11483" s="18"/>
      <c r="H11483" s="16" t="s">
        <v>87</v>
      </c>
      <c r="I11483" s="16" t="s">
        <v>87</v>
      </c>
      <c r="J11483" s="19"/>
      <c r="L11483" s="16" t="str">
        <f>IFERROR(__xludf.DUMMYFUNCTION("""COMPUTED_VALUE"""),"")</f>
        <v/>
      </c>
      <c r="M11483" s="16" t="str">
        <f>IFERROR(__xludf.DUMMYFUNCTION("""COMPUTED_VALUE"""),"")</f>
        <v/>
      </c>
      <c r="U11483" s="16" t="s">
        <v>87</v>
      </c>
      <c r="V11483" s="16" t="str">
        <f>IFERROR(__xludf.DUMMYFUNCTION("""COMPUTED_VALUE"""),"")</f>
        <v/>
      </c>
      <c r="W11483" s="16" t="str">
        <f>IFERROR(__xludf.DUMMYFUNCTION("""COMPUTED_VALUE"""),"")</f>
        <v/>
      </c>
      <c r="X11483" s="16" t="str">
        <f>IFERROR(__xludf.DUMMYFUNCTION("""COMPUTED_VALUE"""),"")</f>
        <v/>
      </c>
      <c r="AC11483" s="16" t="str">
        <f>IFERROR(__xludf.DUMMYFUNCTION("""COMPUTED_VALUE"""),"")</f>
        <v/>
      </c>
    </row>
    <row r="11484">
      <c r="A11484" s="16" t="s">
        <v>87</v>
      </c>
      <c r="E11484" s="16" t="str">
        <f>IFERROR(__xludf.DUMMYFUNCTION("""COMPUTED_VALUE"""),"")</f>
        <v/>
      </c>
      <c r="G11484" s="18"/>
      <c r="H11484" s="16" t="s">
        <v>87</v>
      </c>
      <c r="I11484" s="16" t="s">
        <v>87</v>
      </c>
      <c r="J11484" s="19"/>
      <c r="L11484" s="16" t="str">
        <f>IFERROR(__xludf.DUMMYFUNCTION("""COMPUTED_VALUE"""),"")</f>
        <v/>
      </c>
      <c r="M11484" s="16" t="str">
        <f>IFERROR(__xludf.DUMMYFUNCTION("""COMPUTED_VALUE"""),"")</f>
        <v/>
      </c>
      <c r="U11484" s="16" t="s">
        <v>87</v>
      </c>
      <c r="V11484" s="16" t="str">
        <f>IFERROR(__xludf.DUMMYFUNCTION("""COMPUTED_VALUE"""),"")</f>
        <v/>
      </c>
      <c r="W11484" s="16" t="str">
        <f>IFERROR(__xludf.DUMMYFUNCTION("""COMPUTED_VALUE"""),"")</f>
        <v/>
      </c>
      <c r="X11484" s="16" t="str">
        <f>IFERROR(__xludf.DUMMYFUNCTION("""COMPUTED_VALUE"""),"")</f>
        <v/>
      </c>
      <c r="AC11484" s="16" t="str">
        <f>IFERROR(__xludf.DUMMYFUNCTION("""COMPUTED_VALUE"""),"")</f>
        <v/>
      </c>
    </row>
    <row r="11485">
      <c r="A11485" s="16" t="s">
        <v>87</v>
      </c>
      <c r="E11485" s="16" t="str">
        <f>IFERROR(__xludf.DUMMYFUNCTION("""COMPUTED_VALUE"""),"")</f>
        <v/>
      </c>
      <c r="G11485" s="18"/>
      <c r="H11485" s="16" t="s">
        <v>87</v>
      </c>
      <c r="I11485" s="16" t="s">
        <v>87</v>
      </c>
      <c r="J11485" s="19"/>
      <c r="L11485" s="16" t="str">
        <f>IFERROR(__xludf.DUMMYFUNCTION("""COMPUTED_VALUE"""),"")</f>
        <v/>
      </c>
      <c r="M11485" s="16" t="str">
        <f>IFERROR(__xludf.DUMMYFUNCTION("""COMPUTED_VALUE"""),"")</f>
        <v/>
      </c>
      <c r="U11485" s="16" t="s">
        <v>87</v>
      </c>
      <c r="V11485" s="16" t="str">
        <f>IFERROR(__xludf.DUMMYFUNCTION("""COMPUTED_VALUE"""),"")</f>
        <v/>
      </c>
      <c r="W11485" s="16" t="str">
        <f>IFERROR(__xludf.DUMMYFUNCTION("""COMPUTED_VALUE"""),"")</f>
        <v/>
      </c>
      <c r="X11485" s="16" t="str">
        <f>IFERROR(__xludf.DUMMYFUNCTION("""COMPUTED_VALUE"""),"")</f>
        <v/>
      </c>
      <c r="AC11485" s="16" t="str">
        <f>IFERROR(__xludf.DUMMYFUNCTION("""COMPUTED_VALUE"""),"")</f>
        <v/>
      </c>
    </row>
    <row r="11486">
      <c r="A11486" s="16" t="s">
        <v>87</v>
      </c>
      <c r="E11486" s="16" t="str">
        <f>IFERROR(__xludf.DUMMYFUNCTION("""COMPUTED_VALUE"""),"")</f>
        <v/>
      </c>
      <c r="G11486" s="18"/>
      <c r="H11486" s="16" t="s">
        <v>87</v>
      </c>
      <c r="I11486" s="16" t="s">
        <v>87</v>
      </c>
      <c r="J11486" s="19"/>
      <c r="L11486" s="16" t="str">
        <f>IFERROR(__xludf.DUMMYFUNCTION("""COMPUTED_VALUE"""),"")</f>
        <v/>
      </c>
      <c r="M11486" s="16" t="str">
        <f>IFERROR(__xludf.DUMMYFUNCTION("""COMPUTED_VALUE"""),"")</f>
        <v/>
      </c>
      <c r="U11486" s="16" t="s">
        <v>87</v>
      </c>
      <c r="V11486" s="16" t="str">
        <f>IFERROR(__xludf.DUMMYFUNCTION("""COMPUTED_VALUE"""),"")</f>
        <v/>
      </c>
      <c r="W11486" s="16" t="str">
        <f>IFERROR(__xludf.DUMMYFUNCTION("""COMPUTED_VALUE"""),"")</f>
        <v/>
      </c>
      <c r="X11486" s="16" t="str">
        <f>IFERROR(__xludf.DUMMYFUNCTION("""COMPUTED_VALUE"""),"")</f>
        <v/>
      </c>
      <c r="AC11486" s="16" t="str">
        <f>IFERROR(__xludf.DUMMYFUNCTION("""COMPUTED_VALUE"""),"")</f>
        <v/>
      </c>
    </row>
    <row r="11487">
      <c r="A11487" s="16" t="s">
        <v>87</v>
      </c>
      <c r="E11487" s="16" t="str">
        <f>IFERROR(__xludf.DUMMYFUNCTION("""COMPUTED_VALUE"""),"")</f>
        <v/>
      </c>
      <c r="G11487" s="18"/>
      <c r="H11487" s="16" t="s">
        <v>87</v>
      </c>
      <c r="I11487" s="16" t="s">
        <v>87</v>
      </c>
      <c r="J11487" s="19"/>
      <c r="L11487" s="16" t="str">
        <f>IFERROR(__xludf.DUMMYFUNCTION("""COMPUTED_VALUE"""),"")</f>
        <v/>
      </c>
      <c r="M11487" s="16" t="str">
        <f>IFERROR(__xludf.DUMMYFUNCTION("""COMPUTED_VALUE"""),"")</f>
        <v/>
      </c>
      <c r="U11487" s="16" t="s">
        <v>87</v>
      </c>
      <c r="V11487" s="16" t="str">
        <f>IFERROR(__xludf.DUMMYFUNCTION("""COMPUTED_VALUE"""),"")</f>
        <v/>
      </c>
      <c r="W11487" s="16" t="str">
        <f>IFERROR(__xludf.DUMMYFUNCTION("""COMPUTED_VALUE"""),"")</f>
        <v/>
      </c>
      <c r="X11487" s="16" t="str">
        <f>IFERROR(__xludf.DUMMYFUNCTION("""COMPUTED_VALUE"""),"")</f>
        <v/>
      </c>
      <c r="AC11487" s="16" t="str">
        <f>IFERROR(__xludf.DUMMYFUNCTION("""COMPUTED_VALUE"""),"")</f>
        <v/>
      </c>
    </row>
    <row r="11488">
      <c r="A11488" s="16" t="s">
        <v>87</v>
      </c>
      <c r="E11488" s="16" t="str">
        <f>IFERROR(__xludf.DUMMYFUNCTION("""COMPUTED_VALUE"""),"")</f>
        <v/>
      </c>
      <c r="G11488" s="18"/>
      <c r="H11488" s="16" t="s">
        <v>87</v>
      </c>
      <c r="I11488" s="16" t="s">
        <v>87</v>
      </c>
      <c r="J11488" s="19"/>
      <c r="L11488" s="16" t="str">
        <f>IFERROR(__xludf.DUMMYFUNCTION("""COMPUTED_VALUE"""),"")</f>
        <v/>
      </c>
      <c r="M11488" s="16" t="str">
        <f>IFERROR(__xludf.DUMMYFUNCTION("""COMPUTED_VALUE"""),"")</f>
        <v/>
      </c>
      <c r="U11488" s="16" t="s">
        <v>87</v>
      </c>
      <c r="V11488" s="16" t="str">
        <f>IFERROR(__xludf.DUMMYFUNCTION("""COMPUTED_VALUE"""),"")</f>
        <v/>
      </c>
      <c r="W11488" s="16" t="str">
        <f>IFERROR(__xludf.DUMMYFUNCTION("""COMPUTED_VALUE"""),"")</f>
        <v/>
      </c>
      <c r="X11488" s="16" t="str">
        <f>IFERROR(__xludf.DUMMYFUNCTION("""COMPUTED_VALUE"""),"")</f>
        <v/>
      </c>
      <c r="AC11488" s="16" t="str">
        <f>IFERROR(__xludf.DUMMYFUNCTION("""COMPUTED_VALUE"""),"")</f>
        <v/>
      </c>
    </row>
    <row r="11489">
      <c r="A11489" s="16" t="s">
        <v>87</v>
      </c>
      <c r="E11489" s="16" t="str">
        <f>IFERROR(__xludf.DUMMYFUNCTION("""COMPUTED_VALUE"""),"")</f>
        <v/>
      </c>
      <c r="G11489" s="18"/>
      <c r="H11489" s="16" t="s">
        <v>87</v>
      </c>
      <c r="I11489" s="16" t="s">
        <v>87</v>
      </c>
      <c r="J11489" s="19"/>
      <c r="L11489" s="16" t="str">
        <f>IFERROR(__xludf.DUMMYFUNCTION("""COMPUTED_VALUE"""),"")</f>
        <v/>
      </c>
      <c r="M11489" s="16" t="str">
        <f>IFERROR(__xludf.DUMMYFUNCTION("""COMPUTED_VALUE"""),"")</f>
        <v/>
      </c>
      <c r="U11489" s="16" t="s">
        <v>87</v>
      </c>
      <c r="V11489" s="16" t="str">
        <f>IFERROR(__xludf.DUMMYFUNCTION("""COMPUTED_VALUE"""),"")</f>
        <v/>
      </c>
      <c r="W11489" s="16" t="str">
        <f>IFERROR(__xludf.DUMMYFUNCTION("""COMPUTED_VALUE"""),"")</f>
        <v/>
      </c>
      <c r="X11489" s="16" t="str">
        <f>IFERROR(__xludf.DUMMYFUNCTION("""COMPUTED_VALUE"""),"")</f>
        <v/>
      </c>
      <c r="AC11489" s="16" t="str">
        <f>IFERROR(__xludf.DUMMYFUNCTION("""COMPUTED_VALUE"""),"")</f>
        <v/>
      </c>
    </row>
    <row r="11490">
      <c r="A11490" s="16" t="s">
        <v>87</v>
      </c>
      <c r="E11490" s="16" t="str">
        <f>IFERROR(__xludf.DUMMYFUNCTION("""COMPUTED_VALUE"""),"")</f>
        <v/>
      </c>
      <c r="G11490" s="18"/>
      <c r="H11490" s="16" t="s">
        <v>87</v>
      </c>
      <c r="I11490" s="16" t="s">
        <v>87</v>
      </c>
      <c r="J11490" s="19"/>
      <c r="L11490" s="16" t="str">
        <f>IFERROR(__xludf.DUMMYFUNCTION("""COMPUTED_VALUE"""),"")</f>
        <v/>
      </c>
      <c r="M11490" s="16" t="str">
        <f>IFERROR(__xludf.DUMMYFUNCTION("""COMPUTED_VALUE"""),"")</f>
        <v/>
      </c>
      <c r="U11490" s="16" t="s">
        <v>87</v>
      </c>
      <c r="V11490" s="16" t="str">
        <f>IFERROR(__xludf.DUMMYFUNCTION("""COMPUTED_VALUE"""),"")</f>
        <v/>
      </c>
      <c r="W11490" s="16" t="str">
        <f>IFERROR(__xludf.DUMMYFUNCTION("""COMPUTED_VALUE"""),"")</f>
        <v/>
      </c>
      <c r="X11490" s="16" t="str">
        <f>IFERROR(__xludf.DUMMYFUNCTION("""COMPUTED_VALUE"""),"")</f>
        <v/>
      </c>
      <c r="AC11490" s="16" t="str">
        <f>IFERROR(__xludf.DUMMYFUNCTION("""COMPUTED_VALUE"""),"")</f>
        <v/>
      </c>
    </row>
    <row r="11491">
      <c r="A11491" s="16" t="s">
        <v>87</v>
      </c>
      <c r="E11491" s="16" t="str">
        <f>IFERROR(__xludf.DUMMYFUNCTION("""COMPUTED_VALUE"""),"")</f>
        <v/>
      </c>
      <c r="G11491" s="18"/>
      <c r="H11491" s="16" t="s">
        <v>87</v>
      </c>
      <c r="I11491" s="16" t="s">
        <v>87</v>
      </c>
      <c r="J11491" s="19"/>
      <c r="L11491" s="16" t="str">
        <f>IFERROR(__xludf.DUMMYFUNCTION("""COMPUTED_VALUE"""),"")</f>
        <v/>
      </c>
      <c r="M11491" s="16" t="str">
        <f>IFERROR(__xludf.DUMMYFUNCTION("""COMPUTED_VALUE"""),"")</f>
        <v/>
      </c>
      <c r="U11491" s="16" t="s">
        <v>87</v>
      </c>
      <c r="V11491" s="16" t="str">
        <f>IFERROR(__xludf.DUMMYFUNCTION("""COMPUTED_VALUE"""),"")</f>
        <v/>
      </c>
      <c r="W11491" s="16" t="str">
        <f>IFERROR(__xludf.DUMMYFUNCTION("""COMPUTED_VALUE"""),"")</f>
        <v/>
      </c>
      <c r="X11491" s="16" t="str">
        <f>IFERROR(__xludf.DUMMYFUNCTION("""COMPUTED_VALUE"""),"")</f>
        <v/>
      </c>
      <c r="AC11491" s="16" t="str">
        <f>IFERROR(__xludf.DUMMYFUNCTION("""COMPUTED_VALUE"""),"")</f>
        <v/>
      </c>
    </row>
    <row r="11492">
      <c r="A11492" s="16" t="s">
        <v>87</v>
      </c>
      <c r="E11492" s="16" t="str">
        <f>IFERROR(__xludf.DUMMYFUNCTION("""COMPUTED_VALUE"""),"")</f>
        <v/>
      </c>
      <c r="G11492" s="18"/>
      <c r="H11492" s="16" t="s">
        <v>87</v>
      </c>
      <c r="I11492" s="16" t="s">
        <v>87</v>
      </c>
      <c r="J11492" s="19"/>
      <c r="L11492" s="16" t="str">
        <f>IFERROR(__xludf.DUMMYFUNCTION("""COMPUTED_VALUE"""),"")</f>
        <v/>
      </c>
      <c r="M11492" s="16" t="str">
        <f>IFERROR(__xludf.DUMMYFUNCTION("""COMPUTED_VALUE"""),"")</f>
        <v/>
      </c>
      <c r="U11492" s="16" t="s">
        <v>87</v>
      </c>
      <c r="V11492" s="16" t="str">
        <f>IFERROR(__xludf.DUMMYFUNCTION("""COMPUTED_VALUE"""),"")</f>
        <v/>
      </c>
      <c r="W11492" s="16" t="str">
        <f>IFERROR(__xludf.DUMMYFUNCTION("""COMPUTED_VALUE"""),"")</f>
        <v/>
      </c>
      <c r="X11492" s="16" t="str">
        <f>IFERROR(__xludf.DUMMYFUNCTION("""COMPUTED_VALUE"""),"")</f>
        <v/>
      </c>
      <c r="AC11492" s="16" t="str">
        <f>IFERROR(__xludf.DUMMYFUNCTION("""COMPUTED_VALUE"""),"")</f>
        <v/>
      </c>
    </row>
    <row r="11493">
      <c r="A11493" s="16" t="s">
        <v>87</v>
      </c>
      <c r="E11493" s="16" t="str">
        <f>IFERROR(__xludf.DUMMYFUNCTION("""COMPUTED_VALUE"""),"")</f>
        <v/>
      </c>
      <c r="G11493" s="18"/>
      <c r="H11493" s="16" t="s">
        <v>87</v>
      </c>
      <c r="I11493" s="16" t="s">
        <v>87</v>
      </c>
      <c r="J11493" s="19"/>
      <c r="L11493" s="16" t="str">
        <f>IFERROR(__xludf.DUMMYFUNCTION("""COMPUTED_VALUE"""),"")</f>
        <v/>
      </c>
      <c r="M11493" s="16" t="str">
        <f>IFERROR(__xludf.DUMMYFUNCTION("""COMPUTED_VALUE"""),"")</f>
        <v/>
      </c>
      <c r="U11493" s="16" t="s">
        <v>87</v>
      </c>
      <c r="V11493" s="16" t="str">
        <f>IFERROR(__xludf.DUMMYFUNCTION("""COMPUTED_VALUE"""),"")</f>
        <v/>
      </c>
      <c r="W11493" s="16" t="str">
        <f>IFERROR(__xludf.DUMMYFUNCTION("""COMPUTED_VALUE"""),"")</f>
        <v/>
      </c>
      <c r="X11493" s="16" t="str">
        <f>IFERROR(__xludf.DUMMYFUNCTION("""COMPUTED_VALUE"""),"")</f>
        <v/>
      </c>
      <c r="AC11493" s="16" t="str">
        <f>IFERROR(__xludf.DUMMYFUNCTION("""COMPUTED_VALUE"""),"")</f>
        <v/>
      </c>
    </row>
    <row r="11494">
      <c r="A11494" s="16" t="s">
        <v>87</v>
      </c>
      <c r="E11494" s="16" t="str">
        <f>IFERROR(__xludf.DUMMYFUNCTION("""COMPUTED_VALUE"""),"")</f>
        <v/>
      </c>
      <c r="G11494" s="18"/>
      <c r="H11494" s="16" t="s">
        <v>87</v>
      </c>
      <c r="I11494" s="16" t="s">
        <v>87</v>
      </c>
      <c r="J11494" s="19"/>
      <c r="L11494" s="16" t="str">
        <f>IFERROR(__xludf.DUMMYFUNCTION("""COMPUTED_VALUE"""),"")</f>
        <v/>
      </c>
      <c r="M11494" s="16" t="str">
        <f>IFERROR(__xludf.DUMMYFUNCTION("""COMPUTED_VALUE"""),"")</f>
        <v/>
      </c>
      <c r="U11494" s="16" t="s">
        <v>87</v>
      </c>
      <c r="V11494" s="16" t="str">
        <f>IFERROR(__xludf.DUMMYFUNCTION("""COMPUTED_VALUE"""),"")</f>
        <v/>
      </c>
      <c r="W11494" s="16" t="str">
        <f>IFERROR(__xludf.DUMMYFUNCTION("""COMPUTED_VALUE"""),"")</f>
        <v/>
      </c>
      <c r="X11494" s="16" t="str">
        <f>IFERROR(__xludf.DUMMYFUNCTION("""COMPUTED_VALUE"""),"")</f>
        <v/>
      </c>
      <c r="AC11494" s="16" t="str">
        <f>IFERROR(__xludf.DUMMYFUNCTION("""COMPUTED_VALUE"""),"")</f>
        <v/>
      </c>
    </row>
    <row r="11495">
      <c r="A11495" s="16" t="s">
        <v>87</v>
      </c>
      <c r="E11495" s="16" t="str">
        <f>IFERROR(__xludf.DUMMYFUNCTION("""COMPUTED_VALUE"""),"")</f>
        <v/>
      </c>
      <c r="G11495" s="18"/>
      <c r="H11495" s="16" t="s">
        <v>87</v>
      </c>
      <c r="I11495" s="16" t="s">
        <v>87</v>
      </c>
      <c r="J11495" s="19"/>
      <c r="L11495" s="16" t="str">
        <f>IFERROR(__xludf.DUMMYFUNCTION("""COMPUTED_VALUE"""),"")</f>
        <v/>
      </c>
      <c r="M11495" s="16" t="str">
        <f>IFERROR(__xludf.DUMMYFUNCTION("""COMPUTED_VALUE"""),"")</f>
        <v/>
      </c>
      <c r="U11495" s="16" t="s">
        <v>87</v>
      </c>
      <c r="V11495" s="16" t="str">
        <f>IFERROR(__xludf.DUMMYFUNCTION("""COMPUTED_VALUE"""),"")</f>
        <v/>
      </c>
      <c r="W11495" s="16" t="str">
        <f>IFERROR(__xludf.DUMMYFUNCTION("""COMPUTED_VALUE"""),"")</f>
        <v/>
      </c>
      <c r="X11495" s="16" t="str">
        <f>IFERROR(__xludf.DUMMYFUNCTION("""COMPUTED_VALUE"""),"")</f>
        <v/>
      </c>
      <c r="AC11495" s="16" t="str">
        <f>IFERROR(__xludf.DUMMYFUNCTION("""COMPUTED_VALUE"""),"")</f>
        <v/>
      </c>
    </row>
    <row r="11496">
      <c r="A11496" s="16" t="s">
        <v>87</v>
      </c>
      <c r="E11496" s="16" t="str">
        <f>IFERROR(__xludf.DUMMYFUNCTION("""COMPUTED_VALUE"""),"")</f>
        <v/>
      </c>
      <c r="G11496" s="18"/>
      <c r="H11496" s="16" t="s">
        <v>87</v>
      </c>
      <c r="I11496" s="16" t="s">
        <v>87</v>
      </c>
      <c r="J11496" s="19"/>
      <c r="L11496" s="16" t="str">
        <f>IFERROR(__xludf.DUMMYFUNCTION("""COMPUTED_VALUE"""),"")</f>
        <v/>
      </c>
      <c r="M11496" s="16" t="str">
        <f>IFERROR(__xludf.DUMMYFUNCTION("""COMPUTED_VALUE"""),"")</f>
        <v/>
      </c>
      <c r="U11496" s="16" t="s">
        <v>87</v>
      </c>
      <c r="V11496" s="16" t="str">
        <f>IFERROR(__xludf.DUMMYFUNCTION("""COMPUTED_VALUE"""),"")</f>
        <v/>
      </c>
      <c r="W11496" s="16" t="str">
        <f>IFERROR(__xludf.DUMMYFUNCTION("""COMPUTED_VALUE"""),"")</f>
        <v/>
      </c>
      <c r="X11496" s="16" t="str">
        <f>IFERROR(__xludf.DUMMYFUNCTION("""COMPUTED_VALUE"""),"")</f>
        <v/>
      </c>
      <c r="AC11496" s="16" t="str">
        <f>IFERROR(__xludf.DUMMYFUNCTION("""COMPUTED_VALUE"""),"")</f>
        <v/>
      </c>
    </row>
    <row r="11497">
      <c r="A11497" s="16" t="s">
        <v>87</v>
      </c>
      <c r="E11497" s="16" t="str">
        <f>IFERROR(__xludf.DUMMYFUNCTION("""COMPUTED_VALUE"""),"")</f>
        <v/>
      </c>
      <c r="G11497" s="18"/>
      <c r="H11497" s="16" t="s">
        <v>87</v>
      </c>
      <c r="I11497" s="16" t="s">
        <v>87</v>
      </c>
      <c r="J11497" s="19"/>
      <c r="L11497" s="16" t="str">
        <f>IFERROR(__xludf.DUMMYFUNCTION("""COMPUTED_VALUE"""),"")</f>
        <v/>
      </c>
      <c r="M11497" s="16" t="str">
        <f>IFERROR(__xludf.DUMMYFUNCTION("""COMPUTED_VALUE"""),"")</f>
        <v/>
      </c>
      <c r="U11497" s="16" t="s">
        <v>87</v>
      </c>
      <c r="V11497" s="16" t="str">
        <f>IFERROR(__xludf.DUMMYFUNCTION("""COMPUTED_VALUE"""),"")</f>
        <v/>
      </c>
      <c r="W11497" s="16" t="str">
        <f>IFERROR(__xludf.DUMMYFUNCTION("""COMPUTED_VALUE"""),"")</f>
        <v/>
      </c>
      <c r="X11497" s="16" t="str">
        <f>IFERROR(__xludf.DUMMYFUNCTION("""COMPUTED_VALUE"""),"")</f>
        <v/>
      </c>
      <c r="AC11497" s="16" t="str">
        <f>IFERROR(__xludf.DUMMYFUNCTION("""COMPUTED_VALUE"""),"")</f>
        <v/>
      </c>
    </row>
    <row r="11498">
      <c r="A11498" s="16" t="s">
        <v>87</v>
      </c>
      <c r="E11498" s="16" t="str">
        <f>IFERROR(__xludf.DUMMYFUNCTION("""COMPUTED_VALUE"""),"")</f>
        <v/>
      </c>
      <c r="G11498" s="18"/>
      <c r="H11498" s="16" t="s">
        <v>87</v>
      </c>
      <c r="I11498" s="16" t="s">
        <v>87</v>
      </c>
      <c r="J11498" s="19"/>
      <c r="L11498" s="16" t="str">
        <f>IFERROR(__xludf.DUMMYFUNCTION("""COMPUTED_VALUE"""),"")</f>
        <v/>
      </c>
      <c r="M11498" s="16" t="str">
        <f>IFERROR(__xludf.DUMMYFUNCTION("""COMPUTED_VALUE"""),"")</f>
        <v/>
      </c>
      <c r="U11498" s="16" t="s">
        <v>87</v>
      </c>
      <c r="V11498" s="16" t="str">
        <f>IFERROR(__xludf.DUMMYFUNCTION("""COMPUTED_VALUE"""),"")</f>
        <v/>
      </c>
      <c r="W11498" s="16" t="str">
        <f>IFERROR(__xludf.DUMMYFUNCTION("""COMPUTED_VALUE"""),"")</f>
        <v/>
      </c>
      <c r="X11498" s="16" t="str">
        <f>IFERROR(__xludf.DUMMYFUNCTION("""COMPUTED_VALUE"""),"")</f>
        <v/>
      </c>
      <c r="AC11498" s="16" t="str">
        <f>IFERROR(__xludf.DUMMYFUNCTION("""COMPUTED_VALUE"""),"")</f>
        <v/>
      </c>
    </row>
    <row r="11499">
      <c r="A11499" s="16" t="s">
        <v>87</v>
      </c>
      <c r="E11499" s="16" t="str">
        <f>IFERROR(__xludf.DUMMYFUNCTION("""COMPUTED_VALUE"""),"")</f>
        <v/>
      </c>
      <c r="G11499" s="18"/>
      <c r="H11499" s="16" t="s">
        <v>87</v>
      </c>
      <c r="I11499" s="16" t="s">
        <v>87</v>
      </c>
      <c r="J11499" s="19"/>
      <c r="L11499" s="16" t="str">
        <f>IFERROR(__xludf.DUMMYFUNCTION("""COMPUTED_VALUE"""),"")</f>
        <v/>
      </c>
      <c r="M11499" s="16" t="str">
        <f>IFERROR(__xludf.DUMMYFUNCTION("""COMPUTED_VALUE"""),"")</f>
        <v/>
      </c>
      <c r="U11499" s="16" t="s">
        <v>87</v>
      </c>
      <c r="V11499" s="16" t="str">
        <f>IFERROR(__xludf.DUMMYFUNCTION("""COMPUTED_VALUE"""),"")</f>
        <v/>
      </c>
      <c r="W11499" s="16" t="str">
        <f>IFERROR(__xludf.DUMMYFUNCTION("""COMPUTED_VALUE"""),"")</f>
        <v/>
      </c>
      <c r="X11499" s="16" t="str">
        <f>IFERROR(__xludf.DUMMYFUNCTION("""COMPUTED_VALUE"""),"")</f>
        <v/>
      </c>
      <c r="AC11499" s="16" t="str">
        <f>IFERROR(__xludf.DUMMYFUNCTION("""COMPUTED_VALUE"""),"")</f>
        <v/>
      </c>
    </row>
    <row r="11500">
      <c r="A11500" s="16" t="s">
        <v>87</v>
      </c>
      <c r="E11500" s="16" t="str">
        <f>IFERROR(__xludf.DUMMYFUNCTION("""COMPUTED_VALUE"""),"")</f>
        <v/>
      </c>
      <c r="G11500" s="18"/>
      <c r="H11500" s="16" t="s">
        <v>87</v>
      </c>
      <c r="I11500" s="16" t="s">
        <v>87</v>
      </c>
      <c r="J11500" s="19"/>
      <c r="L11500" s="16" t="str">
        <f>IFERROR(__xludf.DUMMYFUNCTION("""COMPUTED_VALUE"""),"")</f>
        <v/>
      </c>
      <c r="M11500" s="16" t="str">
        <f>IFERROR(__xludf.DUMMYFUNCTION("""COMPUTED_VALUE"""),"")</f>
        <v/>
      </c>
      <c r="U11500" s="16" t="s">
        <v>87</v>
      </c>
      <c r="V11500" s="16" t="str">
        <f>IFERROR(__xludf.DUMMYFUNCTION("""COMPUTED_VALUE"""),"")</f>
        <v/>
      </c>
      <c r="W11500" s="16" t="str">
        <f>IFERROR(__xludf.DUMMYFUNCTION("""COMPUTED_VALUE"""),"")</f>
        <v/>
      </c>
      <c r="X11500" s="16" t="str">
        <f>IFERROR(__xludf.DUMMYFUNCTION("""COMPUTED_VALUE"""),"")</f>
        <v/>
      </c>
      <c r="AC11500" s="16" t="str">
        <f>IFERROR(__xludf.DUMMYFUNCTION("""COMPUTED_VALUE"""),"")</f>
        <v/>
      </c>
    </row>
    <row r="11501">
      <c r="A11501" s="16" t="s">
        <v>87</v>
      </c>
      <c r="E11501" s="16" t="str">
        <f>IFERROR(__xludf.DUMMYFUNCTION("""COMPUTED_VALUE"""),"")</f>
        <v/>
      </c>
      <c r="G11501" s="18"/>
      <c r="H11501" s="16" t="s">
        <v>87</v>
      </c>
      <c r="I11501" s="16" t="s">
        <v>87</v>
      </c>
      <c r="J11501" s="19"/>
      <c r="L11501" s="16" t="str">
        <f>IFERROR(__xludf.DUMMYFUNCTION("""COMPUTED_VALUE"""),"")</f>
        <v/>
      </c>
      <c r="M11501" s="16" t="str">
        <f>IFERROR(__xludf.DUMMYFUNCTION("""COMPUTED_VALUE"""),"")</f>
        <v/>
      </c>
      <c r="U11501" s="16" t="s">
        <v>87</v>
      </c>
      <c r="V11501" s="16" t="str">
        <f>IFERROR(__xludf.DUMMYFUNCTION("""COMPUTED_VALUE"""),"")</f>
        <v/>
      </c>
      <c r="W11501" s="16" t="str">
        <f>IFERROR(__xludf.DUMMYFUNCTION("""COMPUTED_VALUE"""),"")</f>
        <v/>
      </c>
      <c r="X11501" s="16" t="str">
        <f>IFERROR(__xludf.DUMMYFUNCTION("""COMPUTED_VALUE"""),"")</f>
        <v/>
      </c>
      <c r="AC11501" s="16" t="str">
        <f>IFERROR(__xludf.DUMMYFUNCTION("""COMPUTED_VALUE"""),"")</f>
        <v/>
      </c>
    </row>
    <row r="11502">
      <c r="A11502" s="16" t="s">
        <v>87</v>
      </c>
      <c r="E11502" s="16" t="str">
        <f>IFERROR(__xludf.DUMMYFUNCTION("""COMPUTED_VALUE"""),"")</f>
        <v/>
      </c>
      <c r="G11502" s="18"/>
      <c r="H11502" s="16" t="s">
        <v>87</v>
      </c>
      <c r="I11502" s="16" t="s">
        <v>87</v>
      </c>
      <c r="J11502" s="19"/>
      <c r="L11502" s="16" t="str">
        <f>IFERROR(__xludf.DUMMYFUNCTION("""COMPUTED_VALUE"""),"")</f>
        <v/>
      </c>
      <c r="M11502" s="16" t="str">
        <f>IFERROR(__xludf.DUMMYFUNCTION("""COMPUTED_VALUE"""),"")</f>
        <v/>
      </c>
      <c r="U11502" s="16" t="s">
        <v>87</v>
      </c>
      <c r="V11502" s="16" t="str">
        <f>IFERROR(__xludf.DUMMYFUNCTION("""COMPUTED_VALUE"""),"")</f>
        <v/>
      </c>
      <c r="W11502" s="16" t="str">
        <f>IFERROR(__xludf.DUMMYFUNCTION("""COMPUTED_VALUE"""),"")</f>
        <v/>
      </c>
      <c r="X11502" s="16" t="str">
        <f>IFERROR(__xludf.DUMMYFUNCTION("""COMPUTED_VALUE"""),"")</f>
        <v/>
      </c>
      <c r="AC11502" s="16" t="str">
        <f>IFERROR(__xludf.DUMMYFUNCTION("""COMPUTED_VALUE"""),"")</f>
        <v/>
      </c>
    </row>
    <row r="11503">
      <c r="A11503" s="16" t="s">
        <v>87</v>
      </c>
      <c r="E11503" s="16" t="str">
        <f>IFERROR(__xludf.DUMMYFUNCTION("""COMPUTED_VALUE"""),"")</f>
        <v/>
      </c>
      <c r="G11503" s="18"/>
      <c r="H11503" s="16" t="s">
        <v>87</v>
      </c>
      <c r="I11503" s="16" t="s">
        <v>87</v>
      </c>
      <c r="J11503" s="19"/>
      <c r="L11503" s="16" t="str">
        <f>IFERROR(__xludf.DUMMYFUNCTION("""COMPUTED_VALUE"""),"")</f>
        <v/>
      </c>
      <c r="M11503" s="16" t="str">
        <f>IFERROR(__xludf.DUMMYFUNCTION("""COMPUTED_VALUE"""),"")</f>
        <v/>
      </c>
      <c r="U11503" s="16" t="s">
        <v>87</v>
      </c>
      <c r="V11503" s="16" t="str">
        <f>IFERROR(__xludf.DUMMYFUNCTION("""COMPUTED_VALUE"""),"")</f>
        <v/>
      </c>
      <c r="W11503" s="16" t="str">
        <f>IFERROR(__xludf.DUMMYFUNCTION("""COMPUTED_VALUE"""),"")</f>
        <v/>
      </c>
      <c r="X11503" s="16" t="str">
        <f>IFERROR(__xludf.DUMMYFUNCTION("""COMPUTED_VALUE"""),"")</f>
        <v/>
      </c>
      <c r="AC11503" s="16" t="str">
        <f>IFERROR(__xludf.DUMMYFUNCTION("""COMPUTED_VALUE"""),"")</f>
        <v/>
      </c>
    </row>
    <row r="11504">
      <c r="A11504" s="16" t="s">
        <v>87</v>
      </c>
      <c r="E11504" s="16" t="str">
        <f>IFERROR(__xludf.DUMMYFUNCTION("""COMPUTED_VALUE"""),"")</f>
        <v/>
      </c>
      <c r="G11504" s="18"/>
      <c r="H11504" s="16" t="s">
        <v>87</v>
      </c>
      <c r="I11504" s="16" t="s">
        <v>87</v>
      </c>
      <c r="J11504" s="19"/>
      <c r="L11504" s="16" t="str">
        <f>IFERROR(__xludf.DUMMYFUNCTION("""COMPUTED_VALUE"""),"")</f>
        <v/>
      </c>
      <c r="M11504" s="16" t="str">
        <f>IFERROR(__xludf.DUMMYFUNCTION("""COMPUTED_VALUE"""),"")</f>
        <v/>
      </c>
      <c r="U11504" s="16" t="s">
        <v>87</v>
      </c>
      <c r="V11504" s="16" t="str">
        <f>IFERROR(__xludf.DUMMYFUNCTION("""COMPUTED_VALUE"""),"")</f>
        <v/>
      </c>
      <c r="W11504" s="16" t="str">
        <f>IFERROR(__xludf.DUMMYFUNCTION("""COMPUTED_VALUE"""),"")</f>
        <v/>
      </c>
      <c r="X11504" s="16" t="str">
        <f>IFERROR(__xludf.DUMMYFUNCTION("""COMPUTED_VALUE"""),"")</f>
        <v/>
      </c>
      <c r="AC11504" s="16" t="str">
        <f>IFERROR(__xludf.DUMMYFUNCTION("""COMPUTED_VALUE"""),"")</f>
        <v/>
      </c>
    </row>
    <row r="11505">
      <c r="A11505" s="16" t="s">
        <v>87</v>
      </c>
      <c r="E11505" s="16" t="str">
        <f>IFERROR(__xludf.DUMMYFUNCTION("""COMPUTED_VALUE"""),"")</f>
        <v/>
      </c>
      <c r="G11505" s="18"/>
      <c r="H11505" s="16" t="s">
        <v>87</v>
      </c>
      <c r="I11505" s="16" t="s">
        <v>87</v>
      </c>
      <c r="J11505" s="19"/>
      <c r="L11505" s="16" t="str">
        <f>IFERROR(__xludf.DUMMYFUNCTION("""COMPUTED_VALUE"""),"")</f>
        <v/>
      </c>
      <c r="M11505" s="16" t="str">
        <f>IFERROR(__xludf.DUMMYFUNCTION("""COMPUTED_VALUE"""),"")</f>
        <v/>
      </c>
      <c r="U11505" s="16" t="s">
        <v>87</v>
      </c>
      <c r="V11505" s="16" t="str">
        <f>IFERROR(__xludf.DUMMYFUNCTION("""COMPUTED_VALUE"""),"")</f>
        <v/>
      </c>
      <c r="W11505" s="16" t="str">
        <f>IFERROR(__xludf.DUMMYFUNCTION("""COMPUTED_VALUE"""),"")</f>
        <v/>
      </c>
      <c r="X11505" s="16" t="str">
        <f>IFERROR(__xludf.DUMMYFUNCTION("""COMPUTED_VALUE"""),"")</f>
        <v/>
      </c>
      <c r="AC11505" s="16" t="str">
        <f>IFERROR(__xludf.DUMMYFUNCTION("""COMPUTED_VALUE"""),"")</f>
        <v/>
      </c>
    </row>
    <row r="11506">
      <c r="A11506" s="16" t="s">
        <v>87</v>
      </c>
      <c r="E11506" s="16" t="str">
        <f>IFERROR(__xludf.DUMMYFUNCTION("""COMPUTED_VALUE"""),"")</f>
        <v/>
      </c>
      <c r="G11506" s="18"/>
      <c r="H11506" s="16" t="s">
        <v>87</v>
      </c>
      <c r="I11506" s="16" t="s">
        <v>87</v>
      </c>
      <c r="J11506" s="19"/>
      <c r="L11506" s="16" t="str">
        <f>IFERROR(__xludf.DUMMYFUNCTION("""COMPUTED_VALUE"""),"")</f>
        <v/>
      </c>
      <c r="M11506" s="16" t="str">
        <f>IFERROR(__xludf.DUMMYFUNCTION("""COMPUTED_VALUE"""),"")</f>
        <v/>
      </c>
      <c r="U11506" s="16" t="s">
        <v>87</v>
      </c>
      <c r="V11506" s="16" t="str">
        <f>IFERROR(__xludf.DUMMYFUNCTION("""COMPUTED_VALUE"""),"")</f>
        <v/>
      </c>
      <c r="W11506" s="16" t="str">
        <f>IFERROR(__xludf.DUMMYFUNCTION("""COMPUTED_VALUE"""),"")</f>
        <v/>
      </c>
      <c r="X11506" s="16" t="str">
        <f>IFERROR(__xludf.DUMMYFUNCTION("""COMPUTED_VALUE"""),"")</f>
        <v/>
      </c>
      <c r="AC11506" s="16" t="str">
        <f>IFERROR(__xludf.DUMMYFUNCTION("""COMPUTED_VALUE"""),"")</f>
        <v/>
      </c>
    </row>
    <row r="11507">
      <c r="A11507" s="16" t="s">
        <v>87</v>
      </c>
      <c r="E11507" s="16" t="str">
        <f>IFERROR(__xludf.DUMMYFUNCTION("""COMPUTED_VALUE"""),"")</f>
        <v/>
      </c>
      <c r="G11507" s="18"/>
      <c r="H11507" s="16" t="s">
        <v>87</v>
      </c>
      <c r="I11507" s="16" t="s">
        <v>87</v>
      </c>
      <c r="J11507" s="19"/>
      <c r="L11507" s="16" t="str">
        <f>IFERROR(__xludf.DUMMYFUNCTION("""COMPUTED_VALUE"""),"")</f>
        <v/>
      </c>
      <c r="M11507" s="16" t="str">
        <f>IFERROR(__xludf.DUMMYFUNCTION("""COMPUTED_VALUE"""),"")</f>
        <v/>
      </c>
      <c r="U11507" s="16" t="s">
        <v>87</v>
      </c>
      <c r="V11507" s="16" t="str">
        <f>IFERROR(__xludf.DUMMYFUNCTION("""COMPUTED_VALUE"""),"")</f>
        <v/>
      </c>
      <c r="W11507" s="16" t="str">
        <f>IFERROR(__xludf.DUMMYFUNCTION("""COMPUTED_VALUE"""),"")</f>
        <v/>
      </c>
      <c r="X11507" s="16" t="str">
        <f>IFERROR(__xludf.DUMMYFUNCTION("""COMPUTED_VALUE"""),"")</f>
        <v/>
      </c>
      <c r="AC11507" s="16" t="str">
        <f>IFERROR(__xludf.DUMMYFUNCTION("""COMPUTED_VALUE"""),"")</f>
        <v/>
      </c>
    </row>
    <row r="11508">
      <c r="A11508" s="16" t="s">
        <v>87</v>
      </c>
      <c r="E11508" s="16" t="str">
        <f>IFERROR(__xludf.DUMMYFUNCTION("""COMPUTED_VALUE"""),"")</f>
        <v/>
      </c>
      <c r="G11508" s="18"/>
      <c r="H11508" s="16" t="s">
        <v>87</v>
      </c>
      <c r="I11508" s="16" t="s">
        <v>87</v>
      </c>
      <c r="J11508" s="19"/>
      <c r="L11508" s="16" t="str">
        <f>IFERROR(__xludf.DUMMYFUNCTION("""COMPUTED_VALUE"""),"")</f>
        <v/>
      </c>
      <c r="M11508" s="16" t="str">
        <f>IFERROR(__xludf.DUMMYFUNCTION("""COMPUTED_VALUE"""),"")</f>
        <v/>
      </c>
      <c r="U11508" s="16" t="s">
        <v>87</v>
      </c>
      <c r="V11508" s="16" t="str">
        <f>IFERROR(__xludf.DUMMYFUNCTION("""COMPUTED_VALUE"""),"")</f>
        <v/>
      </c>
      <c r="W11508" s="16" t="str">
        <f>IFERROR(__xludf.DUMMYFUNCTION("""COMPUTED_VALUE"""),"")</f>
        <v/>
      </c>
      <c r="X11508" s="16" t="str">
        <f>IFERROR(__xludf.DUMMYFUNCTION("""COMPUTED_VALUE"""),"")</f>
        <v/>
      </c>
      <c r="AC11508" s="16" t="str">
        <f>IFERROR(__xludf.DUMMYFUNCTION("""COMPUTED_VALUE"""),"")</f>
        <v/>
      </c>
    </row>
    <row r="11509">
      <c r="A11509" s="16" t="s">
        <v>87</v>
      </c>
      <c r="E11509" s="16" t="str">
        <f>IFERROR(__xludf.DUMMYFUNCTION("""COMPUTED_VALUE"""),"")</f>
        <v/>
      </c>
      <c r="G11509" s="18"/>
      <c r="H11509" s="16" t="s">
        <v>87</v>
      </c>
      <c r="I11509" s="16" t="s">
        <v>87</v>
      </c>
      <c r="J11509" s="19"/>
      <c r="L11509" s="16" t="str">
        <f>IFERROR(__xludf.DUMMYFUNCTION("""COMPUTED_VALUE"""),"")</f>
        <v/>
      </c>
      <c r="M11509" s="16" t="str">
        <f>IFERROR(__xludf.DUMMYFUNCTION("""COMPUTED_VALUE"""),"")</f>
        <v/>
      </c>
      <c r="U11509" s="16" t="s">
        <v>87</v>
      </c>
      <c r="V11509" s="16" t="str">
        <f>IFERROR(__xludf.DUMMYFUNCTION("""COMPUTED_VALUE"""),"")</f>
        <v/>
      </c>
      <c r="W11509" s="16" t="str">
        <f>IFERROR(__xludf.DUMMYFUNCTION("""COMPUTED_VALUE"""),"")</f>
        <v/>
      </c>
      <c r="X11509" s="16" t="str">
        <f>IFERROR(__xludf.DUMMYFUNCTION("""COMPUTED_VALUE"""),"")</f>
        <v/>
      </c>
      <c r="AC11509" s="16" t="str">
        <f>IFERROR(__xludf.DUMMYFUNCTION("""COMPUTED_VALUE"""),"")</f>
        <v/>
      </c>
    </row>
    <row r="11510">
      <c r="A11510" s="16" t="s">
        <v>87</v>
      </c>
      <c r="E11510" s="16" t="str">
        <f>IFERROR(__xludf.DUMMYFUNCTION("""COMPUTED_VALUE"""),"")</f>
        <v/>
      </c>
      <c r="G11510" s="18"/>
      <c r="H11510" s="16" t="s">
        <v>87</v>
      </c>
      <c r="I11510" s="16" t="s">
        <v>87</v>
      </c>
      <c r="J11510" s="19"/>
      <c r="L11510" s="16" t="str">
        <f>IFERROR(__xludf.DUMMYFUNCTION("""COMPUTED_VALUE"""),"")</f>
        <v/>
      </c>
      <c r="M11510" s="16" t="str">
        <f>IFERROR(__xludf.DUMMYFUNCTION("""COMPUTED_VALUE"""),"")</f>
        <v/>
      </c>
      <c r="U11510" s="16" t="s">
        <v>87</v>
      </c>
      <c r="V11510" s="16" t="str">
        <f>IFERROR(__xludf.DUMMYFUNCTION("""COMPUTED_VALUE"""),"")</f>
        <v/>
      </c>
      <c r="W11510" s="16" t="str">
        <f>IFERROR(__xludf.DUMMYFUNCTION("""COMPUTED_VALUE"""),"")</f>
        <v/>
      </c>
      <c r="X11510" s="16" t="str">
        <f>IFERROR(__xludf.DUMMYFUNCTION("""COMPUTED_VALUE"""),"")</f>
        <v/>
      </c>
      <c r="AC11510" s="16" t="str">
        <f>IFERROR(__xludf.DUMMYFUNCTION("""COMPUTED_VALUE"""),"")</f>
        <v/>
      </c>
    </row>
    <row r="11511">
      <c r="A11511" s="16" t="s">
        <v>87</v>
      </c>
      <c r="E11511" s="16" t="str">
        <f>IFERROR(__xludf.DUMMYFUNCTION("""COMPUTED_VALUE"""),"")</f>
        <v/>
      </c>
      <c r="G11511" s="18"/>
      <c r="H11511" s="16" t="s">
        <v>87</v>
      </c>
      <c r="I11511" s="16" t="s">
        <v>87</v>
      </c>
      <c r="J11511" s="19"/>
      <c r="L11511" s="16" t="str">
        <f>IFERROR(__xludf.DUMMYFUNCTION("""COMPUTED_VALUE"""),"")</f>
        <v/>
      </c>
      <c r="M11511" s="16" t="str">
        <f>IFERROR(__xludf.DUMMYFUNCTION("""COMPUTED_VALUE"""),"")</f>
        <v/>
      </c>
      <c r="U11511" s="16" t="s">
        <v>87</v>
      </c>
      <c r="V11511" s="16" t="str">
        <f>IFERROR(__xludf.DUMMYFUNCTION("""COMPUTED_VALUE"""),"")</f>
        <v/>
      </c>
      <c r="W11511" s="16" t="str">
        <f>IFERROR(__xludf.DUMMYFUNCTION("""COMPUTED_VALUE"""),"")</f>
        <v/>
      </c>
      <c r="X11511" s="16" t="str">
        <f>IFERROR(__xludf.DUMMYFUNCTION("""COMPUTED_VALUE"""),"")</f>
        <v/>
      </c>
      <c r="AC11511" s="16" t="str">
        <f>IFERROR(__xludf.DUMMYFUNCTION("""COMPUTED_VALUE"""),"")</f>
        <v/>
      </c>
    </row>
    <row r="11512">
      <c r="A11512" s="16" t="s">
        <v>87</v>
      </c>
      <c r="E11512" s="16" t="str">
        <f>IFERROR(__xludf.DUMMYFUNCTION("""COMPUTED_VALUE"""),"")</f>
        <v/>
      </c>
      <c r="G11512" s="18"/>
      <c r="H11512" s="16" t="s">
        <v>87</v>
      </c>
      <c r="I11512" s="16" t="s">
        <v>87</v>
      </c>
      <c r="J11512" s="19"/>
      <c r="L11512" s="16" t="str">
        <f>IFERROR(__xludf.DUMMYFUNCTION("""COMPUTED_VALUE"""),"")</f>
        <v/>
      </c>
      <c r="M11512" s="16" t="str">
        <f>IFERROR(__xludf.DUMMYFUNCTION("""COMPUTED_VALUE"""),"")</f>
        <v/>
      </c>
      <c r="U11512" s="16" t="s">
        <v>87</v>
      </c>
      <c r="V11512" s="16" t="str">
        <f>IFERROR(__xludf.DUMMYFUNCTION("""COMPUTED_VALUE"""),"")</f>
        <v/>
      </c>
      <c r="W11512" s="16" t="str">
        <f>IFERROR(__xludf.DUMMYFUNCTION("""COMPUTED_VALUE"""),"")</f>
        <v/>
      </c>
      <c r="X11512" s="16" t="str">
        <f>IFERROR(__xludf.DUMMYFUNCTION("""COMPUTED_VALUE"""),"")</f>
        <v/>
      </c>
      <c r="AC11512" s="16" t="str">
        <f>IFERROR(__xludf.DUMMYFUNCTION("""COMPUTED_VALUE"""),"")</f>
        <v/>
      </c>
    </row>
    <row r="11513">
      <c r="A11513" s="16" t="s">
        <v>87</v>
      </c>
      <c r="E11513" s="16" t="str">
        <f>IFERROR(__xludf.DUMMYFUNCTION("""COMPUTED_VALUE"""),"")</f>
        <v/>
      </c>
      <c r="G11513" s="18"/>
      <c r="H11513" s="16" t="s">
        <v>87</v>
      </c>
      <c r="I11513" s="16" t="s">
        <v>87</v>
      </c>
      <c r="J11513" s="19"/>
      <c r="L11513" s="16" t="str">
        <f>IFERROR(__xludf.DUMMYFUNCTION("""COMPUTED_VALUE"""),"")</f>
        <v/>
      </c>
      <c r="M11513" s="16" t="str">
        <f>IFERROR(__xludf.DUMMYFUNCTION("""COMPUTED_VALUE"""),"")</f>
        <v/>
      </c>
      <c r="U11513" s="16" t="s">
        <v>87</v>
      </c>
      <c r="V11513" s="16" t="str">
        <f>IFERROR(__xludf.DUMMYFUNCTION("""COMPUTED_VALUE"""),"")</f>
        <v/>
      </c>
      <c r="W11513" s="16" t="str">
        <f>IFERROR(__xludf.DUMMYFUNCTION("""COMPUTED_VALUE"""),"")</f>
        <v/>
      </c>
      <c r="X11513" s="16" t="str">
        <f>IFERROR(__xludf.DUMMYFUNCTION("""COMPUTED_VALUE"""),"")</f>
        <v/>
      </c>
      <c r="AC11513" s="16" t="str">
        <f>IFERROR(__xludf.DUMMYFUNCTION("""COMPUTED_VALUE"""),"")</f>
        <v/>
      </c>
    </row>
    <row r="11514">
      <c r="A11514" s="16" t="s">
        <v>87</v>
      </c>
      <c r="E11514" s="16" t="str">
        <f>IFERROR(__xludf.DUMMYFUNCTION("""COMPUTED_VALUE"""),"")</f>
        <v/>
      </c>
      <c r="G11514" s="18"/>
      <c r="H11514" s="16" t="s">
        <v>87</v>
      </c>
      <c r="I11514" s="16" t="s">
        <v>87</v>
      </c>
      <c r="J11514" s="19"/>
      <c r="L11514" s="16" t="str">
        <f>IFERROR(__xludf.DUMMYFUNCTION("""COMPUTED_VALUE"""),"")</f>
        <v/>
      </c>
      <c r="M11514" s="16" t="str">
        <f>IFERROR(__xludf.DUMMYFUNCTION("""COMPUTED_VALUE"""),"")</f>
        <v/>
      </c>
      <c r="U11514" s="16" t="s">
        <v>87</v>
      </c>
      <c r="V11514" s="16" t="str">
        <f>IFERROR(__xludf.DUMMYFUNCTION("""COMPUTED_VALUE"""),"")</f>
        <v/>
      </c>
      <c r="W11514" s="16" t="str">
        <f>IFERROR(__xludf.DUMMYFUNCTION("""COMPUTED_VALUE"""),"")</f>
        <v/>
      </c>
      <c r="X11514" s="16" t="str">
        <f>IFERROR(__xludf.DUMMYFUNCTION("""COMPUTED_VALUE"""),"")</f>
        <v/>
      </c>
      <c r="AC11514" s="16" t="str">
        <f>IFERROR(__xludf.DUMMYFUNCTION("""COMPUTED_VALUE"""),"")</f>
        <v/>
      </c>
    </row>
    <row r="11515">
      <c r="A11515" s="16" t="s">
        <v>87</v>
      </c>
      <c r="E11515" s="16" t="str">
        <f>IFERROR(__xludf.DUMMYFUNCTION("""COMPUTED_VALUE"""),"")</f>
        <v/>
      </c>
      <c r="G11515" s="18"/>
      <c r="H11515" s="16" t="s">
        <v>87</v>
      </c>
      <c r="I11515" s="16" t="s">
        <v>87</v>
      </c>
      <c r="J11515" s="19"/>
      <c r="L11515" s="16" t="str">
        <f>IFERROR(__xludf.DUMMYFUNCTION("""COMPUTED_VALUE"""),"")</f>
        <v/>
      </c>
      <c r="M11515" s="16" t="str">
        <f>IFERROR(__xludf.DUMMYFUNCTION("""COMPUTED_VALUE"""),"")</f>
        <v/>
      </c>
      <c r="U11515" s="16" t="s">
        <v>87</v>
      </c>
      <c r="V11515" s="16" t="str">
        <f>IFERROR(__xludf.DUMMYFUNCTION("""COMPUTED_VALUE"""),"")</f>
        <v/>
      </c>
      <c r="W11515" s="16" t="str">
        <f>IFERROR(__xludf.DUMMYFUNCTION("""COMPUTED_VALUE"""),"")</f>
        <v/>
      </c>
      <c r="X11515" s="16" t="str">
        <f>IFERROR(__xludf.DUMMYFUNCTION("""COMPUTED_VALUE"""),"")</f>
        <v/>
      </c>
      <c r="AC11515" s="16" t="str">
        <f>IFERROR(__xludf.DUMMYFUNCTION("""COMPUTED_VALUE"""),"")</f>
        <v/>
      </c>
    </row>
    <row r="11516">
      <c r="A11516" s="16" t="s">
        <v>87</v>
      </c>
      <c r="E11516" s="16" t="str">
        <f>IFERROR(__xludf.DUMMYFUNCTION("""COMPUTED_VALUE"""),"")</f>
        <v/>
      </c>
      <c r="G11516" s="18"/>
      <c r="H11516" s="16" t="s">
        <v>87</v>
      </c>
      <c r="I11516" s="16" t="s">
        <v>87</v>
      </c>
      <c r="J11516" s="19"/>
      <c r="L11516" s="16" t="str">
        <f>IFERROR(__xludf.DUMMYFUNCTION("""COMPUTED_VALUE"""),"")</f>
        <v/>
      </c>
      <c r="M11516" s="16" t="str">
        <f>IFERROR(__xludf.DUMMYFUNCTION("""COMPUTED_VALUE"""),"")</f>
        <v/>
      </c>
      <c r="U11516" s="16" t="s">
        <v>87</v>
      </c>
      <c r="V11516" s="16" t="str">
        <f>IFERROR(__xludf.DUMMYFUNCTION("""COMPUTED_VALUE"""),"")</f>
        <v/>
      </c>
      <c r="W11516" s="16" t="str">
        <f>IFERROR(__xludf.DUMMYFUNCTION("""COMPUTED_VALUE"""),"")</f>
        <v/>
      </c>
      <c r="X11516" s="16" t="str">
        <f>IFERROR(__xludf.DUMMYFUNCTION("""COMPUTED_VALUE"""),"")</f>
        <v/>
      </c>
      <c r="AC11516" s="16" t="str">
        <f>IFERROR(__xludf.DUMMYFUNCTION("""COMPUTED_VALUE"""),"")</f>
        <v/>
      </c>
    </row>
    <row r="11517">
      <c r="A11517" s="16" t="s">
        <v>87</v>
      </c>
      <c r="E11517" s="16" t="str">
        <f>IFERROR(__xludf.DUMMYFUNCTION("""COMPUTED_VALUE"""),"")</f>
        <v/>
      </c>
      <c r="G11517" s="18"/>
      <c r="H11517" s="16" t="s">
        <v>87</v>
      </c>
      <c r="I11517" s="16" t="s">
        <v>87</v>
      </c>
      <c r="J11517" s="19"/>
      <c r="L11517" s="16" t="str">
        <f>IFERROR(__xludf.DUMMYFUNCTION("""COMPUTED_VALUE"""),"")</f>
        <v/>
      </c>
      <c r="M11517" s="16" t="str">
        <f>IFERROR(__xludf.DUMMYFUNCTION("""COMPUTED_VALUE"""),"")</f>
        <v/>
      </c>
      <c r="U11517" s="16" t="s">
        <v>87</v>
      </c>
      <c r="V11517" s="16" t="str">
        <f>IFERROR(__xludf.DUMMYFUNCTION("""COMPUTED_VALUE"""),"")</f>
        <v/>
      </c>
      <c r="W11517" s="16" t="str">
        <f>IFERROR(__xludf.DUMMYFUNCTION("""COMPUTED_VALUE"""),"")</f>
        <v/>
      </c>
      <c r="X11517" s="16" t="str">
        <f>IFERROR(__xludf.DUMMYFUNCTION("""COMPUTED_VALUE"""),"")</f>
        <v/>
      </c>
      <c r="AC11517" s="16" t="str">
        <f>IFERROR(__xludf.DUMMYFUNCTION("""COMPUTED_VALUE"""),"")</f>
        <v/>
      </c>
    </row>
    <row r="11518">
      <c r="A11518" s="16" t="s">
        <v>87</v>
      </c>
      <c r="E11518" s="16" t="str">
        <f>IFERROR(__xludf.DUMMYFUNCTION("""COMPUTED_VALUE"""),"")</f>
        <v/>
      </c>
      <c r="G11518" s="18"/>
      <c r="H11518" s="16" t="s">
        <v>87</v>
      </c>
      <c r="I11518" s="16" t="s">
        <v>87</v>
      </c>
      <c r="J11518" s="19"/>
      <c r="L11518" s="16" t="str">
        <f>IFERROR(__xludf.DUMMYFUNCTION("""COMPUTED_VALUE"""),"")</f>
        <v/>
      </c>
      <c r="M11518" s="16" t="str">
        <f>IFERROR(__xludf.DUMMYFUNCTION("""COMPUTED_VALUE"""),"")</f>
        <v/>
      </c>
      <c r="U11518" s="16" t="s">
        <v>87</v>
      </c>
      <c r="V11518" s="16" t="str">
        <f>IFERROR(__xludf.DUMMYFUNCTION("""COMPUTED_VALUE"""),"")</f>
        <v/>
      </c>
      <c r="W11518" s="16" t="str">
        <f>IFERROR(__xludf.DUMMYFUNCTION("""COMPUTED_VALUE"""),"")</f>
        <v/>
      </c>
      <c r="X11518" s="16" t="str">
        <f>IFERROR(__xludf.DUMMYFUNCTION("""COMPUTED_VALUE"""),"")</f>
        <v/>
      </c>
      <c r="AC11518" s="16" t="str">
        <f>IFERROR(__xludf.DUMMYFUNCTION("""COMPUTED_VALUE"""),"")</f>
        <v/>
      </c>
    </row>
    <row r="11519">
      <c r="A11519" s="16" t="s">
        <v>87</v>
      </c>
      <c r="E11519" s="16" t="str">
        <f>IFERROR(__xludf.DUMMYFUNCTION("""COMPUTED_VALUE"""),"")</f>
        <v/>
      </c>
      <c r="G11519" s="18"/>
      <c r="H11519" s="16" t="s">
        <v>87</v>
      </c>
      <c r="I11519" s="16" t="s">
        <v>87</v>
      </c>
      <c r="J11519" s="19"/>
      <c r="L11519" s="16" t="str">
        <f>IFERROR(__xludf.DUMMYFUNCTION("""COMPUTED_VALUE"""),"")</f>
        <v/>
      </c>
      <c r="M11519" s="16" t="str">
        <f>IFERROR(__xludf.DUMMYFUNCTION("""COMPUTED_VALUE"""),"")</f>
        <v/>
      </c>
      <c r="U11519" s="16" t="s">
        <v>87</v>
      </c>
      <c r="V11519" s="16" t="str">
        <f>IFERROR(__xludf.DUMMYFUNCTION("""COMPUTED_VALUE"""),"")</f>
        <v/>
      </c>
      <c r="W11519" s="16" t="str">
        <f>IFERROR(__xludf.DUMMYFUNCTION("""COMPUTED_VALUE"""),"")</f>
        <v/>
      </c>
      <c r="X11519" s="16" t="str">
        <f>IFERROR(__xludf.DUMMYFUNCTION("""COMPUTED_VALUE"""),"")</f>
        <v/>
      </c>
      <c r="AC11519" s="16" t="str">
        <f>IFERROR(__xludf.DUMMYFUNCTION("""COMPUTED_VALUE"""),"")</f>
        <v/>
      </c>
    </row>
    <row r="11520">
      <c r="A11520" s="16" t="s">
        <v>87</v>
      </c>
      <c r="E11520" s="16" t="str">
        <f>IFERROR(__xludf.DUMMYFUNCTION("""COMPUTED_VALUE"""),"")</f>
        <v/>
      </c>
      <c r="G11520" s="18"/>
      <c r="H11520" s="16" t="s">
        <v>87</v>
      </c>
      <c r="I11520" s="16" t="s">
        <v>87</v>
      </c>
      <c r="J11520" s="19"/>
      <c r="L11520" s="16" t="str">
        <f>IFERROR(__xludf.DUMMYFUNCTION("""COMPUTED_VALUE"""),"")</f>
        <v/>
      </c>
      <c r="M11520" s="16" t="str">
        <f>IFERROR(__xludf.DUMMYFUNCTION("""COMPUTED_VALUE"""),"")</f>
        <v/>
      </c>
      <c r="U11520" s="16" t="s">
        <v>87</v>
      </c>
      <c r="V11520" s="16" t="str">
        <f>IFERROR(__xludf.DUMMYFUNCTION("""COMPUTED_VALUE"""),"")</f>
        <v/>
      </c>
      <c r="W11520" s="16" t="str">
        <f>IFERROR(__xludf.DUMMYFUNCTION("""COMPUTED_VALUE"""),"")</f>
        <v/>
      </c>
      <c r="X11520" s="16" t="str">
        <f>IFERROR(__xludf.DUMMYFUNCTION("""COMPUTED_VALUE"""),"")</f>
        <v/>
      </c>
      <c r="AC11520" s="16" t="str">
        <f>IFERROR(__xludf.DUMMYFUNCTION("""COMPUTED_VALUE"""),"")</f>
        <v/>
      </c>
    </row>
    <row r="11521">
      <c r="A11521" s="16" t="s">
        <v>87</v>
      </c>
      <c r="E11521" s="16" t="str">
        <f>IFERROR(__xludf.DUMMYFUNCTION("""COMPUTED_VALUE"""),"")</f>
        <v/>
      </c>
      <c r="G11521" s="18"/>
      <c r="H11521" s="16" t="s">
        <v>87</v>
      </c>
      <c r="I11521" s="16" t="s">
        <v>87</v>
      </c>
      <c r="J11521" s="19"/>
      <c r="L11521" s="16" t="str">
        <f>IFERROR(__xludf.DUMMYFUNCTION("""COMPUTED_VALUE"""),"")</f>
        <v/>
      </c>
      <c r="M11521" s="16" t="str">
        <f>IFERROR(__xludf.DUMMYFUNCTION("""COMPUTED_VALUE"""),"")</f>
        <v/>
      </c>
      <c r="U11521" s="16" t="s">
        <v>87</v>
      </c>
      <c r="V11521" s="16" t="str">
        <f>IFERROR(__xludf.DUMMYFUNCTION("""COMPUTED_VALUE"""),"")</f>
        <v/>
      </c>
      <c r="W11521" s="16" t="str">
        <f>IFERROR(__xludf.DUMMYFUNCTION("""COMPUTED_VALUE"""),"")</f>
        <v/>
      </c>
      <c r="X11521" s="16" t="str">
        <f>IFERROR(__xludf.DUMMYFUNCTION("""COMPUTED_VALUE"""),"")</f>
        <v/>
      </c>
      <c r="AC11521" s="16" t="str">
        <f>IFERROR(__xludf.DUMMYFUNCTION("""COMPUTED_VALUE"""),"")</f>
        <v/>
      </c>
    </row>
    <row r="11522">
      <c r="A11522" s="16" t="s">
        <v>87</v>
      </c>
      <c r="E11522" s="16" t="str">
        <f>IFERROR(__xludf.DUMMYFUNCTION("""COMPUTED_VALUE"""),"")</f>
        <v/>
      </c>
      <c r="G11522" s="18"/>
      <c r="H11522" s="16" t="s">
        <v>87</v>
      </c>
      <c r="I11522" s="16" t="s">
        <v>87</v>
      </c>
      <c r="J11522" s="19"/>
      <c r="L11522" s="16" t="str">
        <f>IFERROR(__xludf.DUMMYFUNCTION("""COMPUTED_VALUE"""),"")</f>
        <v/>
      </c>
      <c r="M11522" s="16" t="str">
        <f>IFERROR(__xludf.DUMMYFUNCTION("""COMPUTED_VALUE"""),"")</f>
        <v/>
      </c>
      <c r="U11522" s="16" t="s">
        <v>87</v>
      </c>
      <c r="V11522" s="16" t="str">
        <f>IFERROR(__xludf.DUMMYFUNCTION("""COMPUTED_VALUE"""),"")</f>
        <v/>
      </c>
      <c r="W11522" s="16" t="str">
        <f>IFERROR(__xludf.DUMMYFUNCTION("""COMPUTED_VALUE"""),"")</f>
        <v/>
      </c>
      <c r="X11522" s="16" t="str">
        <f>IFERROR(__xludf.DUMMYFUNCTION("""COMPUTED_VALUE"""),"")</f>
        <v/>
      </c>
      <c r="AC11522" s="16" t="str">
        <f>IFERROR(__xludf.DUMMYFUNCTION("""COMPUTED_VALUE"""),"")</f>
        <v/>
      </c>
    </row>
    <row r="11523">
      <c r="A11523" s="16" t="s">
        <v>87</v>
      </c>
      <c r="E11523" s="16" t="str">
        <f>IFERROR(__xludf.DUMMYFUNCTION("""COMPUTED_VALUE"""),"")</f>
        <v/>
      </c>
      <c r="G11523" s="18"/>
      <c r="H11523" s="16" t="s">
        <v>87</v>
      </c>
      <c r="I11523" s="16" t="s">
        <v>87</v>
      </c>
      <c r="J11523" s="19"/>
      <c r="L11523" s="16" t="str">
        <f>IFERROR(__xludf.DUMMYFUNCTION("""COMPUTED_VALUE"""),"")</f>
        <v/>
      </c>
      <c r="M11523" s="16" t="str">
        <f>IFERROR(__xludf.DUMMYFUNCTION("""COMPUTED_VALUE"""),"")</f>
        <v/>
      </c>
      <c r="U11523" s="16" t="s">
        <v>87</v>
      </c>
      <c r="V11523" s="16" t="str">
        <f>IFERROR(__xludf.DUMMYFUNCTION("""COMPUTED_VALUE"""),"")</f>
        <v/>
      </c>
      <c r="W11523" s="16" t="str">
        <f>IFERROR(__xludf.DUMMYFUNCTION("""COMPUTED_VALUE"""),"")</f>
        <v/>
      </c>
      <c r="X11523" s="16" t="str">
        <f>IFERROR(__xludf.DUMMYFUNCTION("""COMPUTED_VALUE"""),"")</f>
        <v/>
      </c>
      <c r="AC11523" s="16" t="str">
        <f>IFERROR(__xludf.DUMMYFUNCTION("""COMPUTED_VALUE"""),"")</f>
        <v/>
      </c>
    </row>
    <row r="11524">
      <c r="A11524" s="16" t="s">
        <v>87</v>
      </c>
      <c r="E11524" s="16" t="str">
        <f>IFERROR(__xludf.DUMMYFUNCTION("""COMPUTED_VALUE"""),"")</f>
        <v/>
      </c>
      <c r="G11524" s="18"/>
      <c r="H11524" s="16" t="s">
        <v>87</v>
      </c>
      <c r="I11524" s="16" t="s">
        <v>87</v>
      </c>
      <c r="J11524" s="19"/>
      <c r="L11524" s="16" t="str">
        <f>IFERROR(__xludf.DUMMYFUNCTION("""COMPUTED_VALUE"""),"")</f>
        <v/>
      </c>
      <c r="M11524" s="16" t="str">
        <f>IFERROR(__xludf.DUMMYFUNCTION("""COMPUTED_VALUE"""),"")</f>
        <v/>
      </c>
      <c r="U11524" s="16" t="s">
        <v>87</v>
      </c>
      <c r="V11524" s="16" t="str">
        <f>IFERROR(__xludf.DUMMYFUNCTION("""COMPUTED_VALUE"""),"")</f>
        <v/>
      </c>
      <c r="W11524" s="16" t="str">
        <f>IFERROR(__xludf.DUMMYFUNCTION("""COMPUTED_VALUE"""),"")</f>
        <v/>
      </c>
      <c r="X11524" s="16" t="str">
        <f>IFERROR(__xludf.DUMMYFUNCTION("""COMPUTED_VALUE"""),"")</f>
        <v/>
      </c>
      <c r="AC11524" s="16" t="str">
        <f>IFERROR(__xludf.DUMMYFUNCTION("""COMPUTED_VALUE"""),"")</f>
        <v/>
      </c>
    </row>
    <row r="11525">
      <c r="A11525" s="16" t="s">
        <v>87</v>
      </c>
      <c r="E11525" s="16" t="str">
        <f>IFERROR(__xludf.DUMMYFUNCTION("""COMPUTED_VALUE"""),"")</f>
        <v/>
      </c>
      <c r="G11525" s="18"/>
      <c r="H11525" s="16" t="s">
        <v>87</v>
      </c>
      <c r="I11525" s="16" t="s">
        <v>87</v>
      </c>
      <c r="J11525" s="19"/>
      <c r="L11525" s="16" t="str">
        <f>IFERROR(__xludf.DUMMYFUNCTION("""COMPUTED_VALUE"""),"")</f>
        <v/>
      </c>
      <c r="M11525" s="16" t="str">
        <f>IFERROR(__xludf.DUMMYFUNCTION("""COMPUTED_VALUE"""),"")</f>
        <v/>
      </c>
      <c r="U11525" s="16" t="s">
        <v>87</v>
      </c>
      <c r="V11525" s="16" t="str">
        <f>IFERROR(__xludf.DUMMYFUNCTION("""COMPUTED_VALUE"""),"")</f>
        <v/>
      </c>
      <c r="W11525" s="16" t="str">
        <f>IFERROR(__xludf.DUMMYFUNCTION("""COMPUTED_VALUE"""),"")</f>
        <v/>
      </c>
      <c r="X11525" s="16" t="str">
        <f>IFERROR(__xludf.DUMMYFUNCTION("""COMPUTED_VALUE"""),"")</f>
        <v/>
      </c>
      <c r="AC11525" s="16" t="str">
        <f>IFERROR(__xludf.DUMMYFUNCTION("""COMPUTED_VALUE"""),"")</f>
        <v/>
      </c>
    </row>
    <row r="11526">
      <c r="A11526" s="16" t="s">
        <v>87</v>
      </c>
      <c r="E11526" s="16" t="str">
        <f>IFERROR(__xludf.DUMMYFUNCTION("""COMPUTED_VALUE"""),"")</f>
        <v/>
      </c>
      <c r="G11526" s="18"/>
      <c r="H11526" s="16" t="s">
        <v>87</v>
      </c>
      <c r="I11526" s="16" t="s">
        <v>87</v>
      </c>
      <c r="J11526" s="19"/>
      <c r="L11526" s="16" t="str">
        <f>IFERROR(__xludf.DUMMYFUNCTION("""COMPUTED_VALUE"""),"")</f>
        <v/>
      </c>
      <c r="M11526" s="16" t="str">
        <f>IFERROR(__xludf.DUMMYFUNCTION("""COMPUTED_VALUE"""),"")</f>
        <v/>
      </c>
      <c r="U11526" s="16" t="s">
        <v>87</v>
      </c>
      <c r="V11526" s="16" t="str">
        <f>IFERROR(__xludf.DUMMYFUNCTION("""COMPUTED_VALUE"""),"")</f>
        <v/>
      </c>
      <c r="W11526" s="16" t="str">
        <f>IFERROR(__xludf.DUMMYFUNCTION("""COMPUTED_VALUE"""),"")</f>
        <v/>
      </c>
      <c r="X11526" s="16" t="str">
        <f>IFERROR(__xludf.DUMMYFUNCTION("""COMPUTED_VALUE"""),"")</f>
        <v/>
      </c>
      <c r="AC11526" s="16" t="str">
        <f>IFERROR(__xludf.DUMMYFUNCTION("""COMPUTED_VALUE"""),"")</f>
        <v/>
      </c>
    </row>
    <row r="11527">
      <c r="A11527" s="16" t="s">
        <v>87</v>
      </c>
      <c r="E11527" s="16" t="str">
        <f>IFERROR(__xludf.DUMMYFUNCTION("""COMPUTED_VALUE"""),"")</f>
        <v/>
      </c>
      <c r="G11527" s="18"/>
      <c r="H11527" s="16" t="s">
        <v>87</v>
      </c>
      <c r="I11527" s="16" t="s">
        <v>87</v>
      </c>
      <c r="J11527" s="19"/>
      <c r="L11527" s="16" t="str">
        <f>IFERROR(__xludf.DUMMYFUNCTION("""COMPUTED_VALUE"""),"")</f>
        <v/>
      </c>
      <c r="M11527" s="16" t="str">
        <f>IFERROR(__xludf.DUMMYFUNCTION("""COMPUTED_VALUE"""),"")</f>
        <v/>
      </c>
      <c r="U11527" s="16" t="s">
        <v>87</v>
      </c>
      <c r="V11527" s="16" t="str">
        <f>IFERROR(__xludf.DUMMYFUNCTION("""COMPUTED_VALUE"""),"")</f>
        <v/>
      </c>
      <c r="W11527" s="16" t="str">
        <f>IFERROR(__xludf.DUMMYFUNCTION("""COMPUTED_VALUE"""),"")</f>
        <v/>
      </c>
      <c r="X11527" s="16" t="str">
        <f>IFERROR(__xludf.DUMMYFUNCTION("""COMPUTED_VALUE"""),"")</f>
        <v/>
      </c>
      <c r="AC11527" s="16" t="str">
        <f>IFERROR(__xludf.DUMMYFUNCTION("""COMPUTED_VALUE"""),"")</f>
        <v/>
      </c>
    </row>
    <row r="11528">
      <c r="A11528" s="16" t="s">
        <v>87</v>
      </c>
      <c r="E11528" s="16" t="str">
        <f>IFERROR(__xludf.DUMMYFUNCTION("""COMPUTED_VALUE"""),"")</f>
        <v/>
      </c>
      <c r="G11528" s="18"/>
      <c r="H11528" s="16" t="s">
        <v>87</v>
      </c>
      <c r="I11528" s="16" t="s">
        <v>87</v>
      </c>
      <c r="J11528" s="19"/>
      <c r="L11528" s="16" t="str">
        <f>IFERROR(__xludf.DUMMYFUNCTION("""COMPUTED_VALUE"""),"")</f>
        <v/>
      </c>
      <c r="M11528" s="16" t="str">
        <f>IFERROR(__xludf.DUMMYFUNCTION("""COMPUTED_VALUE"""),"")</f>
        <v/>
      </c>
      <c r="U11528" s="16" t="s">
        <v>87</v>
      </c>
      <c r="V11528" s="16" t="str">
        <f>IFERROR(__xludf.DUMMYFUNCTION("""COMPUTED_VALUE"""),"")</f>
        <v/>
      </c>
      <c r="W11528" s="16" t="str">
        <f>IFERROR(__xludf.DUMMYFUNCTION("""COMPUTED_VALUE"""),"")</f>
        <v/>
      </c>
      <c r="X11528" s="16" t="str">
        <f>IFERROR(__xludf.DUMMYFUNCTION("""COMPUTED_VALUE"""),"")</f>
        <v/>
      </c>
      <c r="AC11528" s="16" t="str">
        <f>IFERROR(__xludf.DUMMYFUNCTION("""COMPUTED_VALUE"""),"")</f>
        <v/>
      </c>
    </row>
    <row r="11529">
      <c r="A11529" s="16" t="s">
        <v>87</v>
      </c>
      <c r="E11529" s="16" t="str">
        <f>IFERROR(__xludf.DUMMYFUNCTION("""COMPUTED_VALUE"""),"")</f>
        <v/>
      </c>
      <c r="G11529" s="18"/>
      <c r="H11529" s="16" t="s">
        <v>87</v>
      </c>
      <c r="I11529" s="16" t="s">
        <v>87</v>
      </c>
      <c r="J11529" s="19"/>
      <c r="L11529" s="16" t="str">
        <f>IFERROR(__xludf.DUMMYFUNCTION("""COMPUTED_VALUE"""),"")</f>
        <v/>
      </c>
      <c r="M11529" s="16" t="str">
        <f>IFERROR(__xludf.DUMMYFUNCTION("""COMPUTED_VALUE"""),"")</f>
        <v/>
      </c>
      <c r="U11529" s="16" t="s">
        <v>87</v>
      </c>
      <c r="V11529" s="16" t="str">
        <f>IFERROR(__xludf.DUMMYFUNCTION("""COMPUTED_VALUE"""),"")</f>
        <v/>
      </c>
      <c r="W11529" s="16" t="str">
        <f>IFERROR(__xludf.DUMMYFUNCTION("""COMPUTED_VALUE"""),"")</f>
        <v/>
      </c>
      <c r="X11529" s="16" t="str">
        <f>IFERROR(__xludf.DUMMYFUNCTION("""COMPUTED_VALUE"""),"")</f>
        <v/>
      </c>
      <c r="AC11529" s="16" t="str">
        <f>IFERROR(__xludf.DUMMYFUNCTION("""COMPUTED_VALUE"""),"")</f>
        <v/>
      </c>
    </row>
    <row r="11530">
      <c r="A11530" s="16" t="s">
        <v>87</v>
      </c>
      <c r="E11530" s="16" t="str">
        <f>IFERROR(__xludf.DUMMYFUNCTION("""COMPUTED_VALUE"""),"")</f>
        <v/>
      </c>
      <c r="G11530" s="18"/>
      <c r="H11530" s="16" t="s">
        <v>87</v>
      </c>
      <c r="I11530" s="16" t="s">
        <v>87</v>
      </c>
      <c r="J11530" s="19"/>
      <c r="L11530" s="16" t="str">
        <f>IFERROR(__xludf.DUMMYFUNCTION("""COMPUTED_VALUE"""),"")</f>
        <v/>
      </c>
      <c r="M11530" s="16" t="str">
        <f>IFERROR(__xludf.DUMMYFUNCTION("""COMPUTED_VALUE"""),"")</f>
        <v/>
      </c>
      <c r="U11530" s="16" t="s">
        <v>87</v>
      </c>
      <c r="V11530" s="16" t="str">
        <f>IFERROR(__xludf.DUMMYFUNCTION("""COMPUTED_VALUE"""),"")</f>
        <v/>
      </c>
      <c r="W11530" s="16" t="str">
        <f>IFERROR(__xludf.DUMMYFUNCTION("""COMPUTED_VALUE"""),"")</f>
        <v/>
      </c>
      <c r="X11530" s="16" t="str">
        <f>IFERROR(__xludf.DUMMYFUNCTION("""COMPUTED_VALUE"""),"")</f>
        <v/>
      </c>
      <c r="AC11530" s="16" t="str">
        <f>IFERROR(__xludf.DUMMYFUNCTION("""COMPUTED_VALUE"""),"")</f>
        <v/>
      </c>
    </row>
    <row r="11531">
      <c r="A11531" s="16" t="s">
        <v>87</v>
      </c>
      <c r="E11531" s="16" t="str">
        <f>IFERROR(__xludf.DUMMYFUNCTION("""COMPUTED_VALUE"""),"")</f>
        <v/>
      </c>
      <c r="G11531" s="18"/>
      <c r="H11531" s="16" t="s">
        <v>87</v>
      </c>
      <c r="I11531" s="16" t="s">
        <v>87</v>
      </c>
      <c r="J11531" s="19"/>
      <c r="L11531" s="16" t="str">
        <f>IFERROR(__xludf.DUMMYFUNCTION("""COMPUTED_VALUE"""),"")</f>
        <v/>
      </c>
      <c r="M11531" s="16" t="str">
        <f>IFERROR(__xludf.DUMMYFUNCTION("""COMPUTED_VALUE"""),"")</f>
        <v/>
      </c>
      <c r="U11531" s="16" t="s">
        <v>87</v>
      </c>
      <c r="V11531" s="16" t="str">
        <f>IFERROR(__xludf.DUMMYFUNCTION("""COMPUTED_VALUE"""),"")</f>
        <v/>
      </c>
      <c r="W11531" s="16" t="str">
        <f>IFERROR(__xludf.DUMMYFUNCTION("""COMPUTED_VALUE"""),"")</f>
        <v/>
      </c>
      <c r="X11531" s="16" t="str">
        <f>IFERROR(__xludf.DUMMYFUNCTION("""COMPUTED_VALUE"""),"")</f>
        <v/>
      </c>
      <c r="AC11531" s="16" t="str">
        <f>IFERROR(__xludf.DUMMYFUNCTION("""COMPUTED_VALUE"""),"")</f>
        <v/>
      </c>
    </row>
    <row r="11532">
      <c r="A11532" s="16" t="s">
        <v>87</v>
      </c>
      <c r="E11532" s="16" t="str">
        <f>IFERROR(__xludf.DUMMYFUNCTION("""COMPUTED_VALUE"""),"")</f>
        <v/>
      </c>
      <c r="G11532" s="18"/>
      <c r="H11532" s="16" t="s">
        <v>87</v>
      </c>
      <c r="I11532" s="16" t="s">
        <v>87</v>
      </c>
      <c r="J11532" s="19"/>
      <c r="L11532" s="16" t="str">
        <f>IFERROR(__xludf.DUMMYFUNCTION("""COMPUTED_VALUE"""),"")</f>
        <v/>
      </c>
      <c r="M11532" s="16" t="str">
        <f>IFERROR(__xludf.DUMMYFUNCTION("""COMPUTED_VALUE"""),"")</f>
        <v/>
      </c>
      <c r="U11532" s="16" t="s">
        <v>87</v>
      </c>
      <c r="V11532" s="16" t="str">
        <f>IFERROR(__xludf.DUMMYFUNCTION("""COMPUTED_VALUE"""),"")</f>
        <v/>
      </c>
      <c r="W11532" s="16" t="str">
        <f>IFERROR(__xludf.DUMMYFUNCTION("""COMPUTED_VALUE"""),"")</f>
        <v/>
      </c>
      <c r="X11532" s="16" t="str">
        <f>IFERROR(__xludf.DUMMYFUNCTION("""COMPUTED_VALUE"""),"")</f>
        <v/>
      </c>
      <c r="AC11532" s="16" t="str">
        <f>IFERROR(__xludf.DUMMYFUNCTION("""COMPUTED_VALUE"""),"")</f>
        <v/>
      </c>
    </row>
    <row r="11533">
      <c r="A11533" s="16" t="s">
        <v>87</v>
      </c>
      <c r="E11533" s="16" t="str">
        <f>IFERROR(__xludf.DUMMYFUNCTION("""COMPUTED_VALUE"""),"")</f>
        <v/>
      </c>
      <c r="G11533" s="18"/>
      <c r="H11533" s="16" t="s">
        <v>87</v>
      </c>
      <c r="I11533" s="16" t="s">
        <v>87</v>
      </c>
      <c r="J11533" s="19"/>
      <c r="L11533" s="16" t="str">
        <f>IFERROR(__xludf.DUMMYFUNCTION("""COMPUTED_VALUE"""),"")</f>
        <v/>
      </c>
      <c r="M11533" s="16" t="str">
        <f>IFERROR(__xludf.DUMMYFUNCTION("""COMPUTED_VALUE"""),"")</f>
        <v/>
      </c>
      <c r="U11533" s="16" t="s">
        <v>87</v>
      </c>
      <c r="V11533" s="16" t="str">
        <f>IFERROR(__xludf.DUMMYFUNCTION("""COMPUTED_VALUE"""),"")</f>
        <v/>
      </c>
      <c r="W11533" s="16" t="str">
        <f>IFERROR(__xludf.DUMMYFUNCTION("""COMPUTED_VALUE"""),"")</f>
        <v/>
      </c>
      <c r="X11533" s="16" t="str">
        <f>IFERROR(__xludf.DUMMYFUNCTION("""COMPUTED_VALUE"""),"")</f>
        <v/>
      </c>
      <c r="AC11533" s="16" t="str">
        <f>IFERROR(__xludf.DUMMYFUNCTION("""COMPUTED_VALUE"""),"")</f>
        <v/>
      </c>
    </row>
    <row r="11534">
      <c r="A11534" s="16" t="s">
        <v>87</v>
      </c>
      <c r="E11534" s="16" t="str">
        <f>IFERROR(__xludf.DUMMYFUNCTION("""COMPUTED_VALUE"""),"")</f>
        <v/>
      </c>
      <c r="G11534" s="18"/>
      <c r="H11534" s="16" t="s">
        <v>87</v>
      </c>
      <c r="I11534" s="16" t="s">
        <v>87</v>
      </c>
      <c r="J11534" s="19"/>
      <c r="L11534" s="16" t="str">
        <f>IFERROR(__xludf.DUMMYFUNCTION("""COMPUTED_VALUE"""),"")</f>
        <v/>
      </c>
      <c r="M11534" s="16" t="str">
        <f>IFERROR(__xludf.DUMMYFUNCTION("""COMPUTED_VALUE"""),"")</f>
        <v/>
      </c>
      <c r="U11534" s="16" t="s">
        <v>87</v>
      </c>
      <c r="V11534" s="16" t="str">
        <f>IFERROR(__xludf.DUMMYFUNCTION("""COMPUTED_VALUE"""),"")</f>
        <v/>
      </c>
      <c r="W11534" s="16" t="str">
        <f>IFERROR(__xludf.DUMMYFUNCTION("""COMPUTED_VALUE"""),"")</f>
        <v/>
      </c>
      <c r="X11534" s="16" t="str">
        <f>IFERROR(__xludf.DUMMYFUNCTION("""COMPUTED_VALUE"""),"")</f>
        <v/>
      </c>
      <c r="AC11534" s="16" t="str">
        <f>IFERROR(__xludf.DUMMYFUNCTION("""COMPUTED_VALUE"""),"")</f>
        <v/>
      </c>
    </row>
    <row r="11535">
      <c r="A11535" s="16" t="s">
        <v>87</v>
      </c>
      <c r="E11535" s="16" t="str">
        <f>IFERROR(__xludf.DUMMYFUNCTION("""COMPUTED_VALUE"""),"")</f>
        <v/>
      </c>
      <c r="G11535" s="18"/>
      <c r="H11535" s="16" t="s">
        <v>87</v>
      </c>
      <c r="I11535" s="16" t="s">
        <v>87</v>
      </c>
      <c r="J11535" s="19"/>
      <c r="L11535" s="16" t="str">
        <f>IFERROR(__xludf.DUMMYFUNCTION("""COMPUTED_VALUE"""),"")</f>
        <v/>
      </c>
      <c r="M11535" s="16" t="str">
        <f>IFERROR(__xludf.DUMMYFUNCTION("""COMPUTED_VALUE"""),"")</f>
        <v/>
      </c>
      <c r="U11535" s="16" t="s">
        <v>87</v>
      </c>
      <c r="V11535" s="16" t="str">
        <f>IFERROR(__xludf.DUMMYFUNCTION("""COMPUTED_VALUE"""),"")</f>
        <v/>
      </c>
      <c r="W11535" s="16" t="str">
        <f>IFERROR(__xludf.DUMMYFUNCTION("""COMPUTED_VALUE"""),"")</f>
        <v/>
      </c>
      <c r="X11535" s="16" t="str">
        <f>IFERROR(__xludf.DUMMYFUNCTION("""COMPUTED_VALUE"""),"")</f>
        <v/>
      </c>
      <c r="AC11535" s="16" t="str">
        <f>IFERROR(__xludf.DUMMYFUNCTION("""COMPUTED_VALUE"""),"")</f>
        <v/>
      </c>
    </row>
    <row r="11536">
      <c r="A11536" s="16" t="s">
        <v>87</v>
      </c>
      <c r="E11536" s="16" t="str">
        <f>IFERROR(__xludf.DUMMYFUNCTION("""COMPUTED_VALUE"""),"")</f>
        <v/>
      </c>
      <c r="G11536" s="18"/>
      <c r="H11536" s="16" t="s">
        <v>87</v>
      </c>
      <c r="I11536" s="16" t="s">
        <v>87</v>
      </c>
      <c r="J11536" s="19"/>
      <c r="L11536" s="16" t="str">
        <f>IFERROR(__xludf.DUMMYFUNCTION("""COMPUTED_VALUE"""),"")</f>
        <v/>
      </c>
      <c r="M11536" s="16" t="str">
        <f>IFERROR(__xludf.DUMMYFUNCTION("""COMPUTED_VALUE"""),"")</f>
        <v/>
      </c>
      <c r="U11536" s="16" t="s">
        <v>87</v>
      </c>
      <c r="V11536" s="16" t="str">
        <f>IFERROR(__xludf.DUMMYFUNCTION("""COMPUTED_VALUE"""),"")</f>
        <v/>
      </c>
      <c r="W11536" s="16" t="str">
        <f>IFERROR(__xludf.DUMMYFUNCTION("""COMPUTED_VALUE"""),"")</f>
        <v/>
      </c>
      <c r="X11536" s="16" t="str">
        <f>IFERROR(__xludf.DUMMYFUNCTION("""COMPUTED_VALUE"""),"")</f>
        <v/>
      </c>
      <c r="AC11536" s="16" t="str">
        <f>IFERROR(__xludf.DUMMYFUNCTION("""COMPUTED_VALUE"""),"")</f>
        <v/>
      </c>
    </row>
    <row r="11537">
      <c r="A11537" s="16" t="s">
        <v>87</v>
      </c>
      <c r="E11537" s="16" t="str">
        <f>IFERROR(__xludf.DUMMYFUNCTION("""COMPUTED_VALUE"""),"")</f>
        <v/>
      </c>
      <c r="G11537" s="18"/>
      <c r="H11537" s="16" t="s">
        <v>87</v>
      </c>
      <c r="I11537" s="16" t="s">
        <v>87</v>
      </c>
      <c r="J11537" s="19"/>
      <c r="L11537" s="16" t="str">
        <f>IFERROR(__xludf.DUMMYFUNCTION("""COMPUTED_VALUE"""),"")</f>
        <v/>
      </c>
      <c r="M11537" s="16" t="str">
        <f>IFERROR(__xludf.DUMMYFUNCTION("""COMPUTED_VALUE"""),"")</f>
        <v/>
      </c>
      <c r="U11537" s="16" t="s">
        <v>87</v>
      </c>
      <c r="V11537" s="16" t="str">
        <f>IFERROR(__xludf.DUMMYFUNCTION("""COMPUTED_VALUE"""),"")</f>
        <v/>
      </c>
      <c r="W11537" s="16" t="str">
        <f>IFERROR(__xludf.DUMMYFUNCTION("""COMPUTED_VALUE"""),"")</f>
        <v/>
      </c>
      <c r="X11537" s="16" t="str">
        <f>IFERROR(__xludf.DUMMYFUNCTION("""COMPUTED_VALUE"""),"")</f>
        <v/>
      </c>
      <c r="AC11537" s="16" t="str">
        <f>IFERROR(__xludf.DUMMYFUNCTION("""COMPUTED_VALUE"""),"")</f>
        <v/>
      </c>
    </row>
    <row r="11538">
      <c r="A11538" s="16" t="s">
        <v>87</v>
      </c>
      <c r="E11538" s="16" t="str">
        <f>IFERROR(__xludf.DUMMYFUNCTION("""COMPUTED_VALUE"""),"")</f>
        <v/>
      </c>
      <c r="G11538" s="18"/>
      <c r="H11538" s="16" t="s">
        <v>87</v>
      </c>
      <c r="I11538" s="16" t="s">
        <v>87</v>
      </c>
      <c r="J11538" s="19"/>
      <c r="L11538" s="16" t="str">
        <f>IFERROR(__xludf.DUMMYFUNCTION("""COMPUTED_VALUE"""),"")</f>
        <v/>
      </c>
      <c r="M11538" s="16" t="str">
        <f>IFERROR(__xludf.DUMMYFUNCTION("""COMPUTED_VALUE"""),"")</f>
        <v/>
      </c>
      <c r="U11538" s="16" t="s">
        <v>87</v>
      </c>
      <c r="V11538" s="16" t="str">
        <f>IFERROR(__xludf.DUMMYFUNCTION("""COMPUTED_VALUE"""),"")</f>
        <v/>
      </c>
      <c r="W11538" s="16" t="str">
        <f>IFERROR(__xludf.DUMMYFUNCTION("""COMPUTED_VALUE"""),"")</f>
        <v/>
      </c>
      <c r="X11538" s="16" t="str">
        <f>IFERROR(__xludf.DUMMYFUNCTION("""COMPUTED_VALUE"""),"")</f>
        <v/>
      </c>
      <c r="AC11538" s="16" t="str">
        <f>IFERROR(__xludf.DUMMYFUNCTION("""COMPUTED_VALUE"""),"")</f>
        <v/>
      </c>
    </row>
    <row r="11539">
      <c r="A11539" s="16" t="s">
        <v>87</v>
      </c>
      <c r="E11539" s="16" t="str">
        <f>IFERROR(__xludf.DUMMYFUNCTION("""COMPUTED_VALUE"""),"")</f>
        <v/>
      </c>
      <c r="G11539" s="18"/>
      <c r="H11539" s="16" t="s">
        <v>87</v>
      </c>
      <c r="I11539" s="16" t="s">
        <v>87</v>
      </c>
      <c r="J11539" s="19"/>
      <c r="L11539" s="16" t="str">
        <f>IFERROR(__xludf.DUMMYFUNCTION("""COMPUTED_VALUE"""),"")</f>
        <v/>
      </c>
      <c r="M11539" s="16" t="str">
        <f>IFERROR(__xludf.DUMMYFUNCTION("""COMPUTED_VALUE"""),"")</f>
        <v/>
      </c>
      <c r="U11539" s="16" t="s">
        <v>87</v>
      </c>
      <c r="V11539" s="16" t="str">
        <f>IFERROR(__xludf.DUMMYFUNCTION("""COMPUTED_VALUE"""),"")</f>
        <v/>
      </c>
      <c r="W11539" s="16" t="str">
        <f>IFERROR(__xludf.DUMMYFUNCTION("""COMPUTED_VALUE"""),"")</f>
        <v/>
      </c>
      <c r="X11539" s="16" t="str">
        <f>IFERROR(__xludf.DUMMYFUNCTION("""COMPUTED_VALUE"""),"")</f>
        <v/>
      </c>
      <c r="AC11539" s="16" t="str">
        <f>IFERROR(__xludf.DUMMYFUNCTION("""COMPUTED_VALUE"""),"")</f>
        <v/>
      </c>
    </row>
    <row r="11540">
      <c r="A11540" s="16" t="s">
        <v>87</v>
      </c>
      <c r="E11540" s="16" t="str">
        <f>IFERROR(__xludf.DUMMYFUNCTION("""COMPUTED_VALUE"""),"")</f>
        <v/>
      </c>
      <c r="G11540" s="18"/>
      <c r="H11540" s="16" t="s">
        <v>87</v>
      </c>
      <c r="I11540" s="16" t="s">
        <v>87</v>
      </c>
      <c r="J11540" s="19"/>
      <c r="L11540" s="16" t="str">
        <f>IFERROR(__xludf.DUMMYFUNCTION("""COMPUTED_VALUE"""),"")</f>
        <v/>
      </c>
      <c r="M11540" s="16" t="str">
        <f>IFERROR(__xludf.DUMMYFUNCTION("""COMPUTED_VALUE"""),"")</f>
        <v/>
      </c>
      <c r="U11540" s="16" t="s">
        <v>87</v>
      </c>
      <c r="V11540" s="16" t="str">
        <f>IFERROR(__xludf.DUMMYFUNCTION("""COMPUTED_VALUE"""),"")</f>
        <v/>
      </c>
      <c r="W11540" s="16" t="str">
        <f>IFERROR(__xludf.DUMMYFUNCTION("""COMPUTED_VALUE"""),"")</f>
        <v/>
      </c>
      <c r="X11540" s="16" t="str">
        <f>IFERROR(__xludf.DUMMYFUNCTION("""COMPUTED_VALUE"""),"")</f>
        <v/>
      </c>
      <c r="AC11540" s="16" t="str">
        <f>IFERROR(__xludf.DUMMYFUNCTION("""COMPUTED_VALUE"""),"")</f>
        <v/>
      </c>
    </row>
    <row r="11541">
      <c r="A11541" s="16" t="s">
        <v>87</v>
      </c>
      <c r="E11541" s="16" t="str">
        <f>IFERROR(__xludf.DUMMYFUNCTION("""COMPUTED_VALUE"""),"")</f>
        <v/>
      </c>
      <c r="G11541" s="18"/>
      <c r="H11541" s="16" t="s">
        <v>87</v>
      </c>
      <c r="I11541" s="16" t="s">
        <v>87</v>
      </c>
      <c r="J11541" s="19"/>
      <c r="L11541" s="16" t="str">
        <f>IFERROR(__xludf.DUMMYFUNCTION("""COMPUTED_VALUE"""),"")</f>
        <v/>
      </c>
      <c r="M11541" s="16" t="str">
        <f>IFERROR(__xludf.DUMMYFUNCTION("""COMPUTED_VALUE"""),"")</f>
        <v/>
      </c>
      <c r="U11541" s="16" t="s">
        <v>87</v>
      </c>
      <c r="V11541" s="16" t="str">
        <f>IFERROR(__xludf.DUMMYFUNCTION("""COMPUTED_VALUE"""),"")</f>
        <v/>
      </c>
      <c r="W11541" s="16" t="str">
        <f>IFERROR(__xludf.DUMMYFUNCTION("""COMPUTED_VALUE"""),"")</f>
        <v/>
      </c>
      <c r="X11541" s="16" t="str">
        <f>IFERROR(__xludf.DUMMYFUNCTION("""COMPUTED_VALUE"""),"")</f>
        <v/>
      </c>
      <c r="AC11541" s="16" t="str">
        <f>IFERROR(__xludf.DUMMYFUNCTION("""COMPUTED_VALUE"""),"")</f>
        <v/>
      </c>
    </row>
    <row r="11542">
      <c r="A11542" s="16" t="s">
        <v>87</v>
      </c>
      <c r="E11542" s="16" t="str">
        <f>IFERROR(__xludf.DUMMYFUNCTION("""COMPUTED_VALUE"""),"")</f>
        <v/>
      </c>
      <c r="G11542" s="18"/>
      <c r="H11542" s="16" t="s">
        <v>87</v>
      </c>
      <c r="I11542" s="16" t="s">
        <v>87</v>
      </c>
      <c r="J11542" s="19"/>
      <c r="L11542" s="16" t="str">
        <f>IFERROR(__xludf.DUMMYFUNCTION("""COMPUTED_VALUE"""),"")</f>
        <v/>
      </c>
      <c r="M11542" s="16" t="str">
        <f>IFERROR(__xludf.DUMMYFUNCTION("""COMPUTED_VALUE"""),"")</f>
        <v/>
      </c>
      <c r="U11542" s="16" t="s">
        <v>87</v>
      </c>
      <c r="V11542" s="16" t="str">
        <f>IFERROR(__xludf.DUMMYFUNCTION("""COMPUTED_VALUE"""),"")</f>
        <v/>
      </c>
      <c r="W11542" s="16" t="str">
        <f>IFERROR(__xludf.DUMMYFUNCTION("""COMPUTED_VALUE"""),"")</f>
        <v/>
      </c>
      <c r="X11542" s="16" t="str">
        <f>IFERROR(__xludf.DUMMYFUNCTION("""COMPUTED_VALUE"""),"")</f>
        <v/>
      </c>
      <c r="AC11542" s="16" t="str">
        <f>IFERROR(__xludf.DUMMYFUNCTION("""COMPUTED_VALUE"""),"")</f>
        <v/>
      </c>
    </row>
    <row r="11543">
      <c r="A11543" s="16" t="s">
        <v>87</v>
      </c>
      <c r="E11543" s="16" t="str">
        <f>IFERROR(__xludf.DUMMYFUNCTION("""COMPUTED_VALUE"""),"")</f>
        <v/>
      </c>
      <c r="G11543" s="18"/>
      <c r="H11543" s="16" t="s">
        <v>87</v>
      </c>
      <c r="I11543" s="16" t="s">
        <v>87</v>
      </c>
      <c r="J11543" s="19"/>
      <c r="L11543" s="16" t="str">
        <f>IFERROR(__xludf.DUMMYFUNCTION("""COMPUTED_VALUE"""),"")</f>
        <v/>
      </c>
      <c r="M11543" s="16" t="str">
        <f>IFERROR(__xludf.DUMMYFUNCTION("""COMPUTED_VALUE"""),"")</f>
        <v/>
      </c>
      <c r="U11543" s="16" t="s">
        <v>87</v>
      </c>
      <c r="V11543" s="16" t="str">
        <f>IFERROR(__xludf.DUMMYFUNCTION("""COMPUTED_VALUE"""),"")</f>
        <v/>
      </c>
      <c r="W11543" s="16" t="str">
        <f>IFERROR(__xludf.DUMMYFUNCTION("""COMPUTED_VALUE"""),"")</f>
        <v/>
      </c>
      <c r="X11543" s="16" t="str">
        <f>IFERROR(__xludf.DUMMYFUNCTION("""COMPUTED_VALUE"""),"")</f>
        <v/>
      </c>
      <c r="AC11543" s="16" t="str">
        <f>IFERROR(__xludf.DUMMYFUNCTION("""COMPUTED_VALUE"""),"")</f>
        <v/>
      </c>
    </row>
    <row r="11544">
      <c r="A11544" s="16" t="s">
        <v>87</v>
      </c>
      <c r="E11544" s="16" t="str">
        <f>IFERROR(__xludf.DUMMYFUNCTION("""COMPUTED_VALUE"""),"")</f>
        <v/>
      </c>
      <c r="G11544" s="18"/>
      <c r="H11544" s="16" t="s">
        <v>87</v>
      </c>
      <c r="I11544" s="16" t="s">
        <v>87</v>
      </c>
      <c r="J11544" s="19"/>
      <c r="L11544" s="16" t="str">
        <f>IFERROR(__xludf.DUMMYFUNCTION("""COMPUTED_VALUE"""),"")</f>
        <v/>
      </c>
      <c r="M11544" s="16" t="str">
        <f>IFERROR(__xludf.DUMMYFUNCTION("""COMPUTED_VALUE"""),"")</f>
        <v/>
      </c>
      <c r="U11544" s="16" t="s">
        <v>87</v>
      </c>
      <c r="V11544" s="16" t="str">
        <f>IFERROR(__xludf.DUMMYFUNCTION("""COMPUTED_VALUE"""),"")</f>
        <v/>
      </c>
      <c r="W11544" s="16" t="str">
        <f>IFERROR(__xludf.DUMMYFUNCTION("""COMPUTED_VALUE"""),"")</f>
        <v/>
      </c>
      <c r="X11544" s="16" t="str">
        <f>IFERROR(__xludf.DUMMYFUNCTION("""COMPUTED_VALUE"""),"")</f>
        <v/>
      </c>
      <c r="AC11544" s="16" t="str">
        <f>IFERROR(__xludf.DUMMYFUNCTION("""COMPUTED_VALUE"""),"")</f>
        <v/>
      </c>
    </row>
    <row r="11545">
      <c r="A11545" s="16" t="s">
        <v>87</v>
      </c>
      <c r="E11545" s="16" t="str">
        <f>IFERROR(__xludf.DUMMYFUNCTION("""COMPUTED_VALUE"""),"")</f>
        <v/>
      </c>
      <c r="G11545" s="18"/>
      <c r="H11545" s="16" t="s">
        <v>87</v>
      </c>
      <c r="I11545" s="16" t="s">
        <v>87</v>
      </c>
      <c r="J11545" s="19"/>
      <c r="L11545" s="16" t="str">
        <f>IFERROR(__xludf.DUMMYFUNCTION("""COMPUTED_VALUE"""),"")</f>
        <v/>
      </c>
      <c r="M11545" s="16" t="str">
        <f>IFERROR(__xludf.DUMMYFUNCTION("""COMPUTED_VALUE"""),"")</f>
        <v/>
      </c>
      <c r="U11545" s="16" t="s">
        <v>87</v>
      </c>
      <c r="V11545" s="16" t="str">
        <f>IFERROR(__xludf.DUMMYFUNCTION("""COMPUTED_VALUE"""),"")</f>
        <v/>
      </c>
      <c r="W11545" s="16" t="str">
        <f>IFERROR(__xludf.DUMMYFUNCTION("""COMPUTED_VALUE"""),"")</f>
        <v/>
      </c>
      <c r="X11545" s="16" t="str">
        <f>IFERROR(__xludf.DUMMYFUNCTION("""COMPUTED_VALUE"""),"")</f>
        <v/>
      </c>
      <c r="AC11545" s="16" t="str">
        <f>IFERROR(__xludf.DUMMYFUNCTION("""COMPUTED_VALUE"""),"")</f>
        <v/>
      </c>
    </row>
    <row r="11546">
      <c r="A11546" s="16" t="s">
        <v>87</v>
      </c>
      <c r="E11546" s="16" t="str">
        <f>IFERROR(__xludf.DUMMYFUNCTION("""COMPUTED_VALUE"""),"")</f>
        <v/>
      </c>
      <c r="G11546" s="18"/>
      <c r="H11546" s="16" t="s">
        <v>87</v>
      </c>
      <c r="I11546" s="16" t="s">
        <v>87</v>
      </c>
      <c r="J11546" s="19"/>
      <c r="L11546" s="16" t="str">
        <f>IFERROR(__xludf.DUMMYFUNCTION("""COMPUTED_VALUE"""),"")</f>
        <v/>
      </c>
      <c r="M11546" s="16" t="str">
        <f>IFERROR(__xludf.DUMMYFUNCTION("""COMPUTED_VALUE"""),"")</f>
        <v/>
      </c>
      <c r="U11546" s="16" t="s">
        <v>87</v>
      </c>
      <c r="V11546" s="16" t="str">
        <f>IFERROR(__xludf.DUMMYFUNCTION("""COMPUTED_VALUE"""),"")</f>
        <v/>
      </c>
      <c r="W11546" s="16" t="str">
        <f>IFERROR(__xludf.DUMMYFUNCTION("""COMPUTED_VALUE"""),"")</f>
        <v/>
      </c>
      <c r="X11546" s="16" t="str">
        <f>IFERROR(__xludf.DUMMYFUNCTION("""COMPUTED_VALUE"""),"")</f>
        <v/>
      </c>
      <c r="AC11546" s="16" t="str">
        <f>IFERROR(__xludf.DUMMYFUNCTION("""COMPUTED_VALUE"""),"")</f>
        <v/>
      </c>
    </row>
    <row r="11547">
      <c r="A11547" s="16" t="s">
        <v>87</v>
      </c>
      <c r="E11547" s="16" t="str">
        <f>IFERROR(__xludf.DUMMYFUNCTION("""COMPUTED_VALUE"""),"")</f>
        <v/>
      </c>
      <c r="G11547" s="18"/>
      <c r="H11547" s="16" t="s">
        <v>87</v>
      </c>
      <c r="I11547" s="16" t="s">
        <v>87</v>
      </c>
      <c r="J11547" s="19"/>
      <c r="L11547" s="16" t="str">
        <f>IFERROR(__xludf.DUMMYFUNCTION("""COMPUTED_VALUE"""),"")</f>
        <v/>
      </c>
      <c r="M11547" s="16" t="str">
        <f>IFERROR(__xludf.DUMMYFUNCTION("""COMPUTED_VALUE"""),"")</f>
        <v/>
      </c>
      <c r="U11547" s="16" t="s">
        <v>87</v>
      </c>
      <c r="V11547" s="16" t="str">
        <f>IFERROR(__xludf.DUMMYFUNCTION("""COMPUTED_VALUE"""),"")</f>
        <v/>
      </c>
      <c r="W11547" s="16" t="str">
        <f>IFERROR(__xludf.DUMMYFUNCTION("""COMPUTED_VALUE"""),"")</f>
        <v/>
      </c>
      <c r="X11547" s="16" t="str">
        <f>IFERROR(__xludf.DUMMYFUNCTION("""COMPUTED_VALUE"""),"")</f>
        <v/>
      </c>
      <c r="AC11547" s="16" t="str">
        <f>IFERROR(__xludf.DUMMYFUNCTION("""COMPUTED_VALUE"""),"")</f>
        <v/>
      </c>
    </row>
    <row r="11548">
      <c r="A11548" s="16" t="s">
        <v>87</v>
      </c>
      <c r="E11548" s="16" t="str">
        <f>IFERROR(__xludf.DUMMYFUNCTION("""COMPUTED_VALUE"""),"")</f>
        <v/>
      </c>
      <c r="G11548" s="18"/>
      <c r="H11548" s="16" t="s">
        <v>87</v>
      </c>
      <c r="I11548" s="16" t="s">
        <v>87</v>
      </c>
      <c r="J11548" s="19"/>
      <c r="L11548" s="16" t="str">
        <f>IFERROR(__xludf.DUMMYFUNCTION("""COMPUTED_VALUE"""),"")</f>
        <v/>
      </c>
      <c r="M11548" s="16" t="str">
        <f>IFERROR(__xludf.DUMMYFUNCTION("""COMPUTED_VALUE"""),"")</f>
        <v/>
      </c>
      <c r="U11548" s="16" t="s">
        <v>87</v>
      </c>
      <c r="V11548" s="16" t="str">
        <f>IFERROR(__xludf.DUMMYFUNCTION("""COMPUTED_VALUE"""),"")</f>
        <v/>
      </c>
      <c r="W11548" s="16" t="str">
        <f>IFERROR(__xludf.DUMMYFUNCTION("""COMPUTED_VALUE"""),"")</f>
        <v/>
      </c>
      <c r="X11548" s="16" t="str">
        <f>IFERROR(__xludf.DUMMYFUNCTION("""COMPUTED_VALUE"""),"")</f>
        <v/>
      </c>
      <c r="AC11548" s="16" t="str">
        <f>IFERROR(__xludf.DUMMYFUNCTION("""COMPUTED_VALUE"""),"")</f>
        <v/>
      </c>
    </row>
    <row r="11549">
      <c r="A11549" s="16" t="s">
        <v>87</v>
      </c>
      <c r="E11549" s="16" t="str">
        <f>IFERROR(__xludf.DUMMYFUNCTION("""COMPUTED_VALUE"""),"")</f>
        <v/>
      </c>
      <c r="G11549" s="18"/>
      <c r="H11549" s="16" t="s">
        <v>87</v>
      </c>
      <c r="I11549" s="16" t="s">
        <v>87</v>
      </c>
      <c r="J11549" s="19"/>
      <c r="L11549" s="16" t="str">
        <f>IFERROR(__xludf.DUMMYFUNCTION("""COMPUTED_VALUE"""),"")</f>
        <v/>
      </c>
      <c r="M11549" s="16" t="str">
        <f>IFERROR(__xludf.DUMMYFUNCTION("""COMPUTED_VALUE"""),"")</f>
        <v/>
      </c>
      <c r="U11549" s="16" t="s">
        <v>87</v>
      </c>
      <c r="V11549" s="16" t="str">
        <f>IFERROR(__xludf.DUMMYFUNCTION("""COMPUTED_VALUE"""),"")</f>
        <v/>
      </c>
      <c r="W11549" s="16" t="str">
        <f>IFERROR(__xludf.DUMMYFUNCTION("""COMPUTED_VALUE"""),"")</f>
        <v/>
      </c>
      <c r="X11549" s="16" t="str">
        <f>IFERROR(__xludf.DUMMYFUNCTION("""COMPUTED_VALUE"""),"")</f>
        <v/>
      </c>
      <c r="AC11549" s="16" t="str">
        <f>IFERROR(__xludf.DUMMYFUNCTION("""COMPUTED_VALUE"""),"")</f>
        <v/>
      </c>
    </row>
    <row r="11550">
      <c r="A11550" s="16" t="s">
        <v>87</v>
      </c>
      <c r="E11550" s="16" t="str">
        <f>IFERROR(__xludf.DUMMYFUNCTION("""COMPUTED_VALUE"""),"")</f>
        <v/>
      </c>
      <c r="G11550" s="18"/>
      <c r="H11550" s="16" t="s">
        <v>87</v>
      </c>
      <c r="I11550" s="16" t="s">
        <v>87</v>
      </c>
      <c r="J11550" s="19"/>
      <c r="L11550" s="16" t="str">
        <f>IFERROR(__xludf.DUMMYFUNCTION("""COMPUTED_VALUE"""),"")</f>
        <v/>
      </c>
      <c r="M11550" s="16" t="str">
        <f>IFERROR(__xludf.DUMMYFUNCTION("""COMPUTED_VALUE"""),"")</f>
        <v/>
      </c>
      <c r="U11550" s="16" t="s">
        <v>87</v>
      </c>
      <c r="V11550" s="16" t="str">
        <f>IFERROR(__xludf.DUMMYFUNCTION("""COMPUTED_VALUE"""),"")</f>
        <v/>
      </c>
      <c r="W11550" s="16" t="str">
        <f>IFERROR(__xludf.DUMMYFUNCTION("""COMPUTED_VALUE"""),"")</f>
        <v/>
      </c>
      <c r="X11550" s="16" t="str">
        <f>IFERROR(__xludf.DUMMYFUNCTION("""COMPUTED_VALUE"""),"")</f>
        <v/>
      </c>
      <c r="AC11550" s="16" t="str">
        <f>IFERROR(__xludf.DUMMYFUNCTION("""COMPUTED_VALUE"""),"")</f>
        <v/>
      </c>
    </row>
    <row r="11551">
      <c r="A11551" s="16" t="s">
        <v>87</v>
      </c>
      <c r="E11551" s="16" t="str">
        <f>IFERROR(__xludf.DUMMYFUNCTION("""COMPUTED_VALUE"""),"")</f>
        <v/>
      </c>
      <c r="G11551" s="18"/>
      <c r="H11551" s="16" t="s">
        <v>87</v>
      </c>
      <c r="I11551" s="16" t="s">
        <v>87</v>
      </c>
      <c r="J11551" s="19"/>
      <c r="L11551" s="16" t="str">
        <f>IFERROR(__xludf.DUMMYFUNCTION("""COMPUTED_VALUE"""),"")</f>
        <v/>
      </c>
      <c r="M11551" s="16" t="str">
        <f>IFERROR(__xludf.DUMMYFUNCTION("""COMPUTED_VALUE"""),"")</f>
        <v/>
      </c>
      <c r="U11551" s="16" t="s">
        <v>87</v>
      </c>
      <c r="V11551" s="16" t="str">
        <f>IFERROR(__xludf.DUMMYFUNCTION("""COMPUTED_VALUE"""),"")</f>
        <v/>
      </c>
      <c r="W11551" s="16" t="str">
        <f>IFERROR(__xludf.DUMMYFUNCTION("""COMPUTED_VALUE"""),"")</f>
        <v/>
      </c>
      <c r="X11551" s="16" t="str">
        <f>IFERROR(__xludf.DUMMYFUNCTION("""COMPUTED_VALUE"""),"")</f>
        <v/>
      </c>
      <c r="AC11551" s="16" t="str">
        <f>IFERROR(__xludf.DUMMYFUNCTION("""COMPUTED_VALUE"""),"")</f>
        <v/>
      </c>
    </row>
    <row r="11552">
      <c r="A11552" s="16" t="s">
        <v>87</v>
      </c>
      <c r="E11552" s="16" t="str">
        <f>IFERROR(__xludf.DUMMYFUNCTION("""COMPUTED_VALUE"""),"")</f>
        <v/>
      </c>
      <c r="G11552" s="18"/>
      <c r="H11552" s="16" t="s">
        <v>87</v>
      </c>
      <c r="I11552" s="16" t="s">
        <v>87</v>
      </c>
      <c r="J11552" s="19"/>
      <c r="L11552" s="16" t="str">
        <f>IFERROR(__xludf.DUMMYFUNCTION("""COMPUTED_VALUE"""),"")</f>
        <v/>
      </c>
      <c r="M11552" s="16" t="str">
        <f>IFERROR(__xludf.DUMMYFUNCTION("""COMPUTED_VALUE"""),"")</f>
        <v/>
      </c>
      <c r="U11552" s="16" t="s">
        <v>87</v>
      </c>
      <c r="V11552" s="16" t="str">
        <f>IFERROR(__xludf.DUMMYFUNCTION("""COMPUTED_VALUE"""),"")</f>
        <v/>
      </c>
      <c r="W11552" s="16" t="str">
        <f>IFERROR(__xludf.DUMMYFUNCTION("""COMPUTED_VALUE"""),"")</f>
        <v/>
      </c>
      <c r="X11552" s="16" t="str">
        <f>IFERROR(__xludf.DUMMYFUNCTION("""COMPUTED_VALUE"""),"")</f>
        <v/>
      </c>
      <c r="AC11552" s="16" t="str">
        <f>IFERROR(__xludf.DUMMYFUNCTION("""COMPUTED_VALUE"""),"")</f>
        <v/>
      </c>
    </row>
    <row r="11553">
      <c r="A11553" s="16" t="s">
        <v>87</v>
      </c>
      <c r="E11553" s="16" t="str">
        <f>IFERROR(__xludf.DUMMYFUNCTION("""COMPUTED_VALUE"""),"")</f>
        <v/>
      </c>
      <c r="G11553" s="18"/>
      <c r="H11553" s="16" t="s">
        <v>87</v>
      </c>
      <c r="I11553" s="16" t="s">
        <v>87</v>
      </c>
      <c r="J11553" s="19"/>
      <c r="L11553" s="16" t="str">
        <f>IFERROR(__xludf.DUMMYFUNCTION("""COMPUTED_VALUE"""),"")</f>
        <v/>
      </c>
      <c r="M11553" s="16" t="str">
        <f>IFERROR(__xludf.DUMMYFUNCTION("""COMPUTED_VALUE"""),"")</f>
        <v/>
      </c>
      <c r="U11553" s="16" t="s">
        <v>87</v>
      </c>
      <c r="V11553" s="16" t="str">
        <f>IFERROR(__xludf.DUMMYFUNCTION("""COMPUTED_VALUE"""),"")</f>
        <v/>
      </c>
      <c r="W11553" s="16" t="str">
        <f>IFERROR(__xludf.DUMMYFUNCTION("""COMPUTED_VALUE"""),"")</f>
        <v/>
      </c>
      <c r="X11553" s="16" t="str">
        <f>IFERROR(__xludf.DUMMYFUNCTION("""COMPUTED_VALUE"""),"")</f>
        <v/>
      </c>
      <c r="AC11553" s="16" t="str">
        <f>IFERROR(__xludf.DUMMYFUNCTION("""COMPUTED_VALUE"""),"")</f>
        <v/>
      </c>
    </row>
    <row r="11554">
      <c r="A11554" s="16" t="s">
        <v>87</v>
      </c>
      <c r="E11554" s="16" t="str">
        <f>IFERROR(__xludf.DUMMYFUNCTION("""COMPUTED_VALUE"""),"")</f>
        <v/>
      </c>
      <c r="G11554" s="18"/>
      <c r="H11554" s="16" t="s">
        <v>87</v>
      </c>
      <c r="I11554" s="16" t="s">
        <v>87</v>
      </c>
      <c r="J11554" s="19"/>
      <c r="L11554" s="16" t="str">
        <f>IFERROR(__xludf.DUMMYFUNCTION("""COMPUTED_VALUE"""),"")</f>
        <v/>
      </c>
      <c r="M11554" s="16" t="str">
        <f>IFERROR(__xludf.DUMMYFUNCTION("""COMPUTED_VALUE"""),"")</f>
        <v/>
      </c>
      <c r="U11554" s="16" t="s">
        <v>87</v>
      </c>
      <c r="V11554" s="16" t="str">
        <f>IFERROR(__xludf.DUMMYFUNCTION("""COMPUTED_VALUE"""),"")</f>
        <v/>
      </c>
      <c r="W11554" s="16" t="str">
        <f>IFERROR(__xludf.DUMMYFUNCTION("""COMPUTED_VALUE"""),"")</f>
        <v/>
      </c>
      <c r="X11554" s="16" t="str">
        <f>IFERROR(__xludf.DUMMYFUNCTION("""COMPUTED_VALUE"""),"")</f>
        <v/>
      </c>
      <c r="AC11554" s="16" t="str">
        <f>IFERROR(__xludf.DUMMYFUNCTION("""COMPUTED_VALUE"""),"")</f>
        <v/>
      </c>
    </row>
    <row r="11555">
      <c r="A11555" s="16" t="s">
        <v>87</v>
      </c>
      <c r="E11555" s="16" t="str">
        <f>IFERROR(__xludf.DUMMYFUNCTION("""COMPUTED_VALUE"""),"")</f>
        <v/>
      </c>
      <c r="G11555" s="18"/>
      <c r="H11555" s="16" t="s">
        <v>87</v>
      </c>
      <c r="I11555" s="16" t="s">
        <v>87</v>
      </c>
      <c r="J11555" s="19"/>
      <c r="L11555" s="16" t="str">
        <f>IFERROR(__xludf.DUMMYFUNCTION("""COMPUTED_VALUE"""),"")</f>
        <v/>
      </c>
      <c r="M11555" s="16" t="str">
        <f>IFERROR(__xludf.DUMMYFUNCTION("""COMPUTED_VALUE"""),"")</f>
        <v/>
      </c>
      <c r="U11555" s="16" t="s">
        <v>87</v>
      </c>
      <c r="V11555" s="16" t="str">
        <f>IFERROR(__xludf.DUMMYFUNCTION("""COMPUTED_VALUE"""),"")</f>
        <v/>
      </c>
      <c r="W11555" s="16" t="str">
        <f>IFERROR(__xludf.DUMMYFUNCTION("""COMPUTED_VALUE"""),"")</f>
        <v/>
      </c>
      <c r="X11555" s="16" t="str">
        <f>IFERROR(__xludf.DUMMYFUNCTION("""COMPUTED_VALUE"""),"")</f>
        <v/>
      </c>
      <c r="AC11555" s="16" t="str">
        <f>IFERROR(__xludf.DUMMYFUNCTION("""COMPUTED_VALUE"""),"")</f>
        <v/>
      </c>
    </row>
    <row r="11556">
      <c r="A11556" s="16" t="s">
        <v>87</v>
      </c>
      <c r="E11556" s="16" t="str">
        <f>IFERROR(__xludf.DUMMYFUNCTION("""COMPUTED_VALUE"""),"")</f>
        <v/>
      </c>
      <c r="G11556" s="18"/>
      <c r="H11556" s="16" t="s">
        <v>87</v>
      </c>
      <c r="I11556" s="16" t="s">
        <v>87</v>
      </c>
      <c r="J11556" s="19"/>
      <c r="L11556" s="16" t="str">
        <f>IFERROR(__xludf.DUMMYFUNCTION("""COMPUTED_VALUE"""),"")</f>
        <v/>
      </c>
      <c r="M11556" s="16" t="str">
        <f>IFERROR(__xludf.DUMMYFUNCTION("""COMPUTED_VALUE"""),"")</f>
        <v/>
      </c>
      <c r="U11556" s="16" t="s">
        <v>87</v>
      </c>
      <c r="V11556" s="16" t="str">
        <f>IFERROR(__xludf.DUMMYFUNCTION("""COMPUTED_VALUE"""),"")</f>
        <v/>
      </c>
      <c r="W11556" s="16" t="str">
        <f>IFERROR(__xludf.DUMMYFUNCTION("""COMPUTED_VALUE"""),"")</f>
        <v/>
      </c>
      <c r="X11556" s="16" t="str">
        <f>IFERROR(__xludf.DUMMYFUNCTION("""COMPUTED_VALUE"""),"")</f>
        <v/>
      </c>
      <c r="AC11556" s="16" t="str">
        <f>IFERROR(__xludf.DUMMYFUNCTION("""COMPUTED_VALUE"""),"")</f>
        <v/>
      </c>
    </row>
    <row r="11557">
      <c r="A11557" s="16" t="s">
        <v>87</v>
      </c>
      <c r="E11557" s="16" t="str">
        <f>IFERROR(__xludf.DUMMYFUNCTION("""COMPUTED_VALUE"""),"")</f>
        <v/>
      </c>
      <c r="G11557" s="18"/>
      <c r="H11557" s="16" t="s">
        <v>87</v>
      </c>
      <c r="I11557" s="16" t="s">
        <v>87</v>
      </c>
      <c r="J11557" s="19"/>
      <c r="L11557" s="16" t="str">
        <f>IFERROR(__xludf.DUMMYFUNCTION("""COMPUTED_VALUE"""),"")</f>
        <v/>
      </c>
      <c r="M11557" s="16" t="str">
        <f>IFERROR(__xludf.DUMMYFUNCTION("""COMPUTED_VALUE"""),"")</f>
        <v/>
      </c>
      <c r="U11557" s="16" t="s">
        <v>87</v>
      </c>
      <c r="V11557" s="16" t="str">
        <f>IFERROR(__xludf.DUMMYFUNCTION("""COMPUTED_VALUE"""),"")</f>
        <v/>
      </c>
      <c r="W11557" s="16" t="str">
        <f>IFERROR(__xludf.DUMMYFUNCTION("""COMPUTED_VALUE"""),"")</f>
        <v/>
      </c>
      <c r="X11557" s="16" t="str">
        <f>IFERROR(__xludf.DUMMYFUNCTION("""COMPUTED_VALUE"""),"")</f>
        <v/>
      </c>
      <c r="AC11557" s="16" t="str">
        <f>IFERROR(__xludf.DUMMYFUNCTION("""COMPUTED_VALUE"""),"")</f>
        <v/>
      </c>
    </row>
    <row r="11558">
      <c r="A11558" s="16" t="s">
        <v>87</v>
      </c>
      <c r="E11558" s="16" t="str">
        <f>IFERROR(__xludf.DUMMYFUNCTION("""COMPUTED_VALUE"""),"")</f>
        <v/>
      </c>
      <c r="G11558" s="18"/>
      <c r="H11558" s="16" t="s">
        <v>87</v>
      </c>
      <c r="I11558" s="16" t="s">
        <v>87</v>
      </c>
      <c r="J11558" s="19"/>
      <c r="L11558" s="16" t="str">
        <f>IFERROR(__xludf.DUMMYFUNCTION("""COMPUTED_VALUE"""),"")</f>
        <v/>
      </c>
      <c r="M11558" s="16" t="str">
        <f>IFERROR(__xludf.DUMMYFUNCTION("""COMPUTED_VALUE"""),"")</f>
        <v/>
      </c>
      <c r="U11558" s="16" t="s">
        <v>87</v>
      </c>
      <c r="V11558" s="16" t="str">
        <f>IFERROR(__xludf.DUMMYFUNCTION("""COMPUTED_VALUE"""),"")</f>
        <v/>
      </c>
      <c r="W11558" s="16" t="str">
        <f>IFERROR(__xludf.DUMMYFUNCTION("""COMPUTED_VALUE"""),"")</f>
        <v/>
      </c>
      <c r="X11558" s="16" t="str">
        <f>IFERROR(__xludf.DUMMYFUNCTION("""COMPUTED_VALUE"""),"")</f>
        <v/>
      </c>
      <c r="AC11558" s="16" t="str">
        <f>IFERROR(__xludf.DUMMYFUNCTION("""COMPUTED_VALUE"""),"")</f>
        <v/>
      </c>
    </row>
    <row r="11559">
      <c r="A11559" s="16" t="s">
        <v>87</v>
      </c>
      <c r="E11559" s="16" t="str">
        <f>IFERROR(__xludf.DUMMYFUNCTION("""COMPUTED_VALUE"""),"")</f>
        <v/>
      </c>
      <c r="G11559" s="18"/>
      <c r="H11559" s="16" t="s">
        <v>87</v>
      </c>
      <c r="I11559" s="16" t="s">
        <v>87</v>
      </c>
      <c r="J11559" s="19"/>
      <c r="L11559" s="16" t="str">
        <f>IFERROR(__xludf.DUMMYFUNCTION("""COMPUTED_VALUE"""),"")</f>
        <v/>
      </c>
      <c r="M11559" s="16" t="str">
        <f>IFERROR(__xludf.DUMMYFUNCTION("""COMPUTED_VALUE"""),"")</f>
        <v/>
      </c>
      <c r="U11559" s="16" t="s">
        <v>87</v>
      </c>
      <c r="V11559" s="16" t="str">
        <f>IFERROR(__xludf.DUMMYFUNCTION("""COMPUTED_VALUE"""),"")</f>
        <v/>
      </c>
      <c r="W11559" s="16" t="str">
        <f>IFERROR(__xludf.DUMMYFUNCTION("""COMPUTED_VALUE"""),"")</f>
        <v/>
      </c>
      <c r="X11559" s="16" t="str">
        <f>IFERROR(__xludf.DUMMYFUNCTION("""COMPUTED_VALUE"""),"")</f>
        <v/>
      </c>
      <c r="AC11559" s="16" t="str">
        <f>IFERROR(__xludf.DUMMYFUNCTION("""COMPUTED_VALUE"""),"")</f>
        <v/>
      </c>
    </row>
    <row r="11560">
      <c r="A11560" s="16" t="s">
        <v>87</v>
      </c>
      <c r="E11560" s="16" t="str">
        <f>IFERROR(__xludf.DUMMYFUNCTION("""COMPUTED_VALUE"""),"")</f>
        <v/>
      </c>
      <c r="G11560" s="18"/>
      <c r="H11560" s="16" t="s">
        <v>87</v>
      </c>
      <c r="I11560" s="16" t="s">
        <v>87</v>
      </c>
      <c r="J11560" s="19"/>
      <c r="L11560" s="16" t="str">
        <f>IFERROR(__xludf.DUMMYFUNCTION("""COMPUTED_VALUE"""),"")</f>
        <v/>
      </c>
      <c r="M11560" s="16" t="str">
        <f>IFERROR(__xludf.DUMMYFUNCTION("""COMPUTED_VALUE"""),"")</f>
        <v/>
      </c>
      <c r="U11560" s="16" t="s">
        <v>87</v>
      </c>
      <c r="V11560" s="16" t="str">
        <f>IFERROR(__xludf.DUMMYFUNCTION("""COMPUTED_VALUE"""),"")</f>
        <v/>
      </c>
      <c r="W11560" s="16" t="str">
        <f>IFERROR(__xludf.DUMMYFUNCTION("""COMPUTED_VALUE"""),"")</f>
        <v/>
      </c>
      <c r="X11560" s="16" t="str">
        <f>IFERROR(__xludf.DUMMYFUNCTION("""COMPUTED_VALUE"""),"")</f>
        <v/>
      </c>
      <c r="AC11560" s="16" t="str">
        <f>IFERROR(__xludf.DUMMYFUNCTION("""COMPUTED_VALUE"""),"")</f>
        <v/>
      </c>
    </row>
    <row r="11561">
      <c r="A11561" s="16" t="s">
        <v>87</v>
      </c>
      <c r="E11561" s="16" t="str">
        <f>IFERROR(__xludf.DUMMYFUNCTION("""COMPUTED_VALUE"""),"")</f>
        <v/>
      </c>
      <c r="G11561" s="18"/>
      <c r="H11561" s="16" t="s">
        <v>87</v>
      </c>
      <c r="I11561" s="16" t="s">
        <v>87</v>
      </c>
      <c r="J11561" s="19"/>
      <c r="L11561" s="16" t="str">
        <f>IFERROR(__xludf.DUMMYFUNCTION("""COMPUTED_VALUE"""),"")</f>
        <v/>
      </c>
      <c r="M11561" s="16" t="str">
        <f>IFERROR(__xludf.DUMMYFUNCTION("""COMPUTED_VALUE"""),"")</f>
        <v/>
      </c>
      <c r="U11561" s="16" t="s">
        <v>87</v>
      </c>
      <c r="V11561" s="16" t="str">
        <f>IFERROR(__xludf.DUMMYFUNCTION("""COMPUTED_VALUE"""),"")</f>
        <v/>
      </c>
      <c r="W11561" s="16" t="str">
        <f>IFERROR(__xludf.DUMMYFUNCTION("""COMPUTED_VALUE"""),"")</f>
        <v/>
      </c>
      <c r="X11561" s="16" t="str">
        <f>IFERROR(__xludf.DUMMYFUNCTION("""COMPUTED_VALUE"""),"")</f>
        <v/>
      </c>
      <c r="AC11561" s="16" t="str">
        <f>IFERROR(__xludf.DUMMYFUNCTION("""COMPUTED_VALUE"""),"")</f>
        <v/>
      </c>
    </row>
    <row r="11562">
      <c r="A11562" s="16" t="s">
        <v>87</v>
      </c>
      <c r="E11562" s="16" t="str">
        <f>IFERROR(__xludf.DUMMYFUNCTION("""COMPUTED_VALUE"""),"")</f>
        <v/>
      </c>
      <c r="G11562" s="18"/>
      <c r="H11562" s="16" t="s">
        <v>87</v>
      </c>
      <c r="I11562" s="16" t="s">
        <v>87</v>
      </c>
      <c r="J11562" s="19"/>
      <c r="L11562" s="16" t="str">
        <f>IFERROR(__xludf.DUMMYFUNCTION("""COMPUTED_VALUE"""),"")</f>
        <v/>
      </c>
      <c r="M11562" s="16" t="str">
        <f>IFERROR(__xludf.DUMMYFUNCTION("""COMPUTED_VALUE"""),"")</f>
        <v/>
      </c>
      <c r="U11562" s="16" t="s">
        <v>87</v>
      </c>
      <c r="V11562" s="16" t="str">
        <f>IFERROR(__xludf.DUMMYFUNCTION("""COMPUTED_VALUE"""),"")</f>
        <v/>
      </c>
      <c r="W11562" s="16" t="str">
        <f>IFERROR(__xludf.DUMMYFUNCTION("""COMPUTED_VALUE"""),"")</f>
        <v/>
      </c>
      <c r="X11562" s="16" t="str">
        <f>IFERROR(__xludf.DUMMYFUNCTION("""COMPUTED_VALUE"""),"")</f>
        <v/>
      </c>
      <c r="AC11562" s="16" t="str">
        <f>IFERROR(__xludf.DUMMYFUNCTION("""COMPUTED_VALUE"""),"")</f>
        <v/>
      </c>
    </row>
    <row r="11563">
      <c r="A11563" s="16" t="s">
        <v>87</v>
      </c>
      <c r="E11563" s="16" t="str">
        <f>IFERROR(__xludf.DUMMYFUNCTION("""COMPUTED_VALUE"""),"")</f>
        <v/>
      </c>
      <c r="G11563" s="18"/>
      <c r="H11563" s="16" t="s">
        <v>87</v>
      </c>
      <c r="I11563" s="16" t="s">
        <v>87</v>
      </c>
      <c r="J11563" s="19"/>
      <c r="L11563" s="16" t="str">
        <f>IFERROR(__xludf.DUMMYFUNCTION("""COMPUTED_VALUE"""),"")</f>
        <v/>
      </c>
      <c r="M11563" s="16" t="str">
        <f>IFERROR(__xludf.DUMMYFUNCTION("""COMPUTED_VALUE"""),"")</f>
        <v/>
      </c>
      <c r="U11563" s="16" t="s">
        <v>87</v>
      </c>
      <c r="V11563" s="16" t="str">
        <f>IFERROR(__xludf.DUMMYFUNCTION("""COMPUTED_VALUE"""),"")</f>
        <v/>
      </c>
      <c r="W11563" s="16" t="str">
        <f>IFERROR(__xludf.DUMMYFUNCTION("""COMPUTED_VALUE"""),"")</f>
        <v/>
      </c>
      <c r="X11563" s="16" t="str">
        <f>IFERROR(__xludf.DUMMYFUNCTION("""COMPUTED_VALUE"""),"")</f>
        <v/>
      </c>
      <c r="AC11563" s="16" t="str">
        <f>IFERROR(__xludf.DUMMYFUNCTION("""COMPUTED_VALUE"""),"")</f>
        <v/>
      </c>
    </row>
    <row r="11564">
      <c r="A11564" s="16" t="s">
        <v>87</v>
      </c>
      <c r="E11564" s="16" t="str">
        <f>IFERROR(__xludf.DUMMYFUNCTION("""COMPUTED_VALUE"""),"")</f>
        <v/>
      </c>
      <c r="G11564" s="18"/>
      <c r="H11564" s="16" t="s">
        <v>87</v>
      </c>
      <c r="I11564" s="16" t="s">
        <v>87</v>
      </c>
      <c r="J11564" s="19"/>
      <c r="L11564" s="16" t="str">
        <f>IFERROR(__xludf.DUMMYFUNCTION("""COMPUTED_VALUE"""),"")</f>
        <v/>
      </c>
      <c r="M11564" s="16" t="str">
        <f>IFERROR(__xludf.DUMMYFUNCTION("""COMPUTED_VALUE"""),"")</f>
        <v/>
      </c>
      <c r="U11564" s="16" t="s">
        <v>87</v>
      </c>
      <c r="V11564" s="16" t="str">
        <f>IFERROR(__xludf.DUMMYFUNCTION("""COMPUTED_VALUE"""),"")</f>
        <v/>
      </c>
      <c r="W11564" s="16" t="str">
        <f>IFERROR(__xludf.DUMMYFUNCTION("""COMPUTED_VALUE"""),"")</f>
        <v/>
      </c>
      <c r="X11564" s="16" t="str">
        <f>IFERROR(__xludf.DUMMYFUNCTION("""COMPUTED_VALUE"""),"")</f>
        <v/>
      </c>
      <c r="AC11564" s="16" t="str">
        <f>IFERROR(__xludf.DUMMYFUNCTION("""COMPUTED_VALUE"""),"")</f>
        <v/>
      </c>
    </row>
    <row r="11565">
      <c r="A11565" s="16" t="s">
        <v>87</v>
      </c>
      <c r="E11565" s="16" t="str">
        <f>IFERROR(__xludf.DUMMYFUNCTION("""COMPUTED_VALUE"""),"")</f>
        <v/>
      </c>
      <c r="G11565" s="18"/>
      <c r="H11565" s="16" t="s">
        <v>87</v>
      </c>
      <c r="I11565" s="16" t="s">
        <v>87</v>
      </c>
      <c r="J11565" s="19"/>
      <c r="L11565" s="16" t="str">
        <f>IFERROR(__xludf.DUMMYFUNCTION("""COMPUTED_VALUE"""),"")</f>
        <v/>
      </c>
      <c r="M11565" s="16" t="str">
        <f>IFERROR(__xludf.DUMMYFUNCTION("""COMPUTED_VALUE"""),"")</f>
        <v/>
      </c>
      <c r="U11565" s="16" t="s">
        <v>87</v>
      </c>
      <c r="V11565" s="16" t="str">
        <f>IFERROR(__xludf.DUMMYFUNCTION("""COMPUTED_VALUE"""),"")</f>
        <v/>
      </c>
      <c r="W11565" s="16" t="str">
        <f>IFERROR(__xludf.DUMMYFUNCTION("""COMPUTED_VALUE"""),"")</f>
        <v/>
      </c>
      <c r="X11565" s="16" t="str">
        <f>IFERROR(__xludf.DUMMYFUNCTION("""COMPUTED_VALUE"""),"")</f>
        <v/>
      </c>
      <c r="AC11565" s="16" t="str">
        <f>IFERROR(__xludf.DUMMYFUNCTION("""COMPUTED_VALUE"""),"")</f>
        <v/>
      </c>
    </row>
    <row r="11566">
      <c r="A11566" s="16" t="s">
        <v>87</v>
      </c>
      <c r="E11566" s="16" t="str">
        <f>IFERROR(__xludf.DUMMYFUNCTION("""COMPUTED_VALUE"""),"")</f>
        <v/>
      </c>
      <c r="G11566" s="18"/>
      <c r="H11566" s="16" t="s">
        <v>87</v>
      </c>
      <c r="I11566" s="16" t="s">
        <v>87</v>
      </c>
      <c r="J11566" s="19"/>
      <c r="L11566" s="16" t="str">
        <f>IFERROR(__xludf.DUMMYFUNCTION("""COMPUTED_VALUE"""),"")</f>
        <v/>
      </c>
      <c r="M11566" s="16" t="str">
        <f>IFERROR(__xludf.DUMMYFUNCTION("""COMPUTED_VALUE"""),"")</f>
        <v/>
      </c>
      <c r="U11566" s="16" t="s">
        <v>87</v>
      </c>
      <c r="V11566" s="16" t="str">
        <f>IFERROR(__xludf.DUMMYFUNCTION("""COMPUTED_VALUE"""),"")</f>
        <v/>
      </c>
      <c r="W11566" s="16" t="str">
        <f>IFERROR(__xludf.DUMMYFUNCTION("""COMPUTED_VALUE"""),"")</f>
        <v/>
      </c>
      <c r="X11566" s="16" t="str">
        <f>IFERROR(__xludf.DUMMYFUNCTION("""COMPUTED_VALUE"""),"")</f>
        <v/>
      </c>
      <c r="AC11566" s="16" t="str">
        <f>IFERROR(__xludf.DUMMYFUNCTION("""COMPUTED_VALUE"""),"")</f>
        <v/>
      </c>
    </row>
    <row r="11567">
      <c r="A11567" s="16" t="s">
        <v>87</v>
      </c>
      <c r="E11567" s="16" t="str">
        <f>IFERROR(__xludf.DUMMYFUNCTION("""COMPUTED_VALUE"""),"")</f>
        <v/>
      </c>
      <c r="G11567" s="18"/>
      <c r="H11567" s="16" t="s">
        <v>87</v>
      </c>
      <c r="I11567" s="16" t="s">
        <v>87</v>
      </c>
      <c r="J11567" s="19"/>
      <c r="L11567" s="16" t="str">
        <f>IFERROR(__xludf.DUMMYFUNCTION("""COMPUTED_VALUE"""),"")</f>
        <v/>
      </c>
      <c r="M11567" s="16" t="str">
        <f>IFERROR(__xludf.DUMMYFUNCTION("""COMPUTED_VALUE"""),"")</f>
        <v/>
      </c>
      <c r="U11567" s="16" t="s">
        <v>87</v>
      </c>
      <c r="V11567" s="16" t="str">
        <f>IFERROR(__xludf.DUMMYFUNCTION("""COMPUTED_VALUE"""),"")</f>
        <v/>
      </c>
      <c r="W11567" s="16" t="str">
        <f>IFERROR(__xludf.DUMMYFUNCTION("""COMPUTED_VALUE"""),"")</f>
        <v/>
      </c>
      <c r="X11567" s="16" t="str">
        <f>IFERROR(__xludf.DUMMYFUNCTION("""COMPUTED_VALUE"""),"")</f>
        <v/>
      </c>
      <c r="AC11567" s="16" t="str">
        <f>IFERROR(__xludf.DUMMYFUNCTION("""COMPUTED_VALUE"""),"")</f>
        <v/>
      </c>
    </row>
    <row r="11568">
      <c r="A11568" s="16" t="s">
        <v>87</v>
      </c>
      <c r="E11568" s="16" t="str">
        <f>IFERROR(__xludf.DUMMYFUNCTION("""COMPUTED_VALUE"""),"")</f>
        <v/>
      </c>
      <c r="G11568" s="18"/>
      <c r="H11568" s="16" t="s">
        <v>87</v>
      </c>
      <c r="I11568" s="16" t="s">
        <v>87</v>
      </c>
      <c r="J11568" s="19"/>
      <c r="L11568" s="16" t="str">
        <f>IFERROR(__xludf.DUMMYFUNCTION("""COMPUTED_VALUE"""),"")</f>
        <v/>
      </c>
      <c r="M11568" s="16" t="str">
        <f>IFERROR(__xludf.DUMMYFUNCTION("""COMPUTED_VALUE"""),"")</f>
        <v/>
      </c>
      <c r="U11568" s="16" t="s">
        <v>87</v>
      </c>
      <c r="V11568" s="16" t="str">
        <f>IFERROR(__xludf.DUMMYFUNCTION("""COMPUTED_VALUE"""),"")</f>
        <v/>
      </c>
      <c r="W11568" s="16" t="str">
        <f>IFERROR(__xludf.DUMMYFUNCTION("""COMPUTED_VALUE"""),"")</f>
        <v/>
      </c>
      <c r="X11568" s="16" t="str">
        <f>IFERROR(__xludf.DUMMYFUNCTION("""COMPUTED_VALUE"""),"")</f>
        <v/>
      </c>
      <c r="AC11568" s="16" t="str">
        <f>IFERROR(__xludf.DUMMYFUNCTION("""COMPUTED_VALUE"""),"")</f>
        <v/>
      </c>
    </row>
    <row r="11569">
      <c r="A11569" s="16" t="s">
        <v>87</v>
      </c>
      <c r="E11569" s="16" t="str">
        <f>IFERROR(__xludf.DUMMYFUNCTION("""COMPUTED_VALUE"""),"")</f>
        <v/>
      </c>
      <c r="G11569" s="18"/>
      <c r="H11569" s="16" t="s">
        <v>87</v>
      </c>
      <c r="I11569" s="16" t="s">
        <v>87</v>
      </c>
      <c r="J11569" s="19"/>
      <c r="L11569" s="16" t="str">
        <f>IFERROR(__xludf.DUMMYFUNCTION("""COMPUTED_VALUE"""),"")</f>
        <v/>
      </c>
      <c r="M11569" s="16" t="str">
        <f>IFERROR(__xludf.DUMMYFUNCTION("""COMPUTED_VALUE"""),"")</f>
        <v/>
      </c>
      <c r="U11569" s="16" t="s">
        <v>87</v>
      </c>
      <c r="V11569" s="16" t="str">
        <f>IFERROR(__xludf.DUMMYFUNCTION("""COMPUTED_VALUE"""),"")</f>
        <v/>
      </c>
      <c r="W11569" s="16" t="str">
        <f>IFERROR(__xludf.DUMMYFUNCTION("""COMPUTED_VALUE"""),"")</f>
        <v/>
      </c>
      <c r="X11569" s="16" t="str">
        <f>IFERROR(__xludf.DUMMYFUNCTION("""COMPUTED_VALUE"""),"")</f>
        <v/>
      </c>
      <c r="AC11569" s="16" t="str">
        <f>IFERROR(__xludf.DUMMYFUNCTION("""COMPUTED_VALUE"""),"")</f>
        <v/>
      </c>
    </row>
    <row r="11570">
      <c r="A11570" s="16" t="s">
        <v>87</v>
      </c>
      <c r="E11570" s="16" t="str">
        <f>IFERROR(__xludf.DUMMYFUNCTION("""COMPUTED_VALUE"""),"")</f>
        <v/>
      </c>
      <c r="G11570" s="18"/>
      <c r="H11570" s="16" t="s">
        <v>87</v>
      </c>
      <c r="I11570" s="16" t="s">
        <v>87</v>
      </c>
      <c r="J11570" s="19"/>
      <c r="L11570" s="16" t="str">
        <f>IFERROR(__xludf.DUMMYFUNCTION("""COMPUTED_VALUE"""),"")</f>
        <v/>
      </c>
      <c r="M11570" s="16" t="str">
        <f>IFERROR(__xludf.DUMMYFUNCTION("""COMPUTED_VALUE"""),"")</f>
        <v/>
      </c>
      <c r="U11570" s="16" t="s">
        <v>87</v>
      </c>
      <c r="V11570" s="16" t="str">
        <f>IFERROR(__xludf.DUMMYFUNCTION("""COMPUTED_VALUE"""),"")</f>
        <v/>
      </c>
      <c r="W11570" s="16" t="str">
        <f>IFERROR(__xludf.DUMMYFUNCTION("""COMPUTED_VALUE"""),"")</f>
        <v/>
      </c>
      <c r="X11570" s="16" t="str">
        <f>IFERROR(__xludf.DUMMYFUNCTION("""COMPUTED_VALUE"""),"")</f>
        <v/>
      </c>
      <c r="AC11570" s="16" t="str">
        <f>IFERROR(__xludf.DUMMYFUNCTION("""COMPUTED_VALUE"""),"")</f>
        <v/>
      </c>
    </row>
    <row r="11571">
      <c r="A11571" s="16" t="s">
        <v>87</v>
      </c>
      <c r="E11571" s="16" t="str">
        <f>IFERROR(__xludf.DUMMYFUNCTION("""COMPUTED_VALUE"""),"")</f>
        <v/>
      </c>
      <c r="G11571" s="18"/>
      <c r="H11571" s="16" t="s">
        <v>87</v>
      </c>
      <c r="I11571" s="16" t="s">
        <v>87</v>
      </c>
      <c r="J11571" s="19"/>
      <c r="L11571" s="16" t="str">
        <f>IFERROR(__xludf.DUMMYFUNCTION("""COMPUTED_VALUE"""),"")</f>
        <v/>
      </c>
      <c r="M11571" s="16" t="str">
        <f>IFERROR(__xludf.DUMMYFUNCTION("""COMPUTED_VALUE"""),"")</f>
        <v/>
      </c>
      <c r="U11571" s="16" t="s">
        <v>87</v>
      </c>
      <c r="V11571" s="16" t="str">
        <f>IFERROR(__xludf.DUMMYFUNCTION("""COMPUTED_VALUE"""),"")</f>
        <v/>
      </c>
      <c r="W11571" s="16" t="str">
        <f>IFERROR(__xludf.DUMMYFUNCTION("""COMPUTED_VALUE"""),"")</f>
        <v/>
      </c>
      <c r="X11571" s="16" t="str">
        <f>IFERROR(__xludf.DUMMYFUNCTION("""COMPUTED_VALUE"""),"")</f>
        <v/>
      </c>
      <c r="AC11571" s="16" t="str">
        <f>IFERROR(__xludf.DUMMYFUNCTION("""COMPUTED_VALUE"""),"")</f>
        <v/>
      </c>
    </row>
    <row r="11572">
      <c r="A11572" s="16" t="s">
        <v>87</v>
      </c>
      <c r="E11572" s="16" t="str">
        <f>IFERROR(__xludf.DUMMYFUNCTION("""COMPUTED_VALUE"""),"")</f>
        <v/>
      </c>
      <c r="G11572" s="18"/>
      <c r="H11572" s="16" t="s">
        <v>87</v>
      </c>
      <c r="I11572" s="16" t="s">
        <v>87</v>
      </c>
      <c r="J11572" s="19"/>
      <c r="L11572" s="16" t="str">
        <f>IFERROR(__xludf.DUMMYFUNCTION("""COMPUTED_VALUE"""),"")</f>
        <v/>
      </c>
      <c r="M11572" s="16" t="str">
        <f>IFERROR(__xludf.DUMMYFUNCTION("""COMPUTED_VALUE"""),"")</f>
        <v/>
      </c>
      <c r="U11572" s="16" t="s">
        <v>87</v>
      </c>
      <c r="V11572" s="16" t="str">
        <f>IFERROR(__xludf.DUMMYFUNCTION("""COMPUTED_VALUE"""),"")</f>
        <v/>
      </c>
      <c r="W11572" s="16" t="str">
        <f>IFERROR(__xludf.DUMMYFUNCTION("""COMPUTED_VALUE"""),"")</f>
        <v/>
      </c>
      <c r="X11572" s="16" t="str">
        <f>IFERROR(__xludf.DUMMYFUNCTION("""COMPUTED_VALUE"""),"")</f>
        <v/>
      </c>
      <c r="AC11572" s="16" t="str">
        <f>IFERROR(__xludf.DUMMYFUNCTION("""COMPUTED_VALUE"""),"")</f>
        <v/>
      </c>
    </row>
    <row r="11573">
      <c r="A11573" s="16" t="s">
        <v>87</v>
      </c>
      <c r="E11573" s="16" t="str">
        <f>IFERROR(__xludf.DUMMYFUNCTION("""COMPUTED_VALUE"""),"")</f>
        <v/>
      </c>
      <c r="G11573" s="18"/>
      <c r="H11573" s="16" t="s">
        <v>87</v>
      </c>
      <c r="I11573" s="16" t="s">
        <v>87</v>
      </c>
      <c r="J11573" s="19"/>
      <c r="L11573" s="16" t="str">
        <f>IFERROR(__xludf.DUMMYFUNCTION("""COMPUTED_VALUE"""),"")</f>
        <v/>
      </c>
      <c r="M11573" s="16" t="str">
        <f>IFERROR(__xludf.DUMMYFUNCTION("""COMPUTED_VALUE"""),"")</f>
        <v/>
      </c>
      <c r="U11573" s="16" t="s">
        <v>87</v>
      </c>
      <c r="V11573" s="16" t="str">
        <f>IFERROR(__xludf.DUMMYFUNCTION("""COMPUTED_VALUE"""),"")</f>
        <v/>
      </c>
      <c r="W11573" s="16" t="str">
        <f>IFERROR(__xludf.DUMMYFUNCTION("""COMPUTED_VALUE"""),"")</f>
        <v/>
      </c>
      <c r="X11573" s="16" t="str">
        <f>IFERROR(__xludf.DUMMYFUNCTION("""COMPUTED_VALUE"""),"")</f>
        <v/>
      </c>
      <c r="AC11573" s="16" t="str">
        <f>IFERROR(__xludf.DUMMYFUNCTION("""COMPUTED_VALUE"""),"")</f>
        <v/>
      </c>
    </row>
    <row r="11574">
      <c r="A11574" s="16" t="s">
        <v>87</v>
      </c>
      <c r="E11574" s="16" t="str">
        <f>IFERROR(__xludf.DUMMYFUNCTION("""COMPUTED_VALUE"""),"")</f>
        <v/>
      </c>
      <c r="G11574" s="18"/>
      <c r="H11574" s="16" t="s">
        <v>87</v>
      </c>
      <c r="I11574" s="16" t="s">
        <v>87</v>
      </c>
      <c r="J11574" s="19"/>
      <c r="L11574" s="16" t="str">
        <f>IFERROR(__xludf.DUMMYFUNCTION("""COMPUTED_VALUE"""),"")</f>
        <v/>
      </c>
      <c r="M11574" s="16" t="str">
        <f>IFERROR(__xludf.DUMMYFUNCTION("""COMPUTED_VALUE"""),"")</f>
        <v/>
      </c>
      <c r="U11574" s="16" t="s">
        <v>87</v>
      </c>
      <c r="V11574" s="16" t="str">
        <f>IFERROR(__xludf.DUMMYFUNCTION("""COMPUTED_VALUE"""),"")</f>
        <v/>
      </c>
      <c r="W11574" s="16" t="str">
        <f>IFERROR(__xludf.DUMMYFUNCTION("""COMPUTED_VALUE"""),"")</f>
        <v/>
      </c>
      <c r="X11574" s="16" t="str">
        <f>IFERROR(__xludf.DUMMYFUNCTION("""COMPUTED_VALUE"""),"")</f>
        <v/>
      </c>
      <c r="AC11574" s="16" t="str">
        <f>IFERROR(__xludf.DUMMYFUNCTION("""COMPUTED_VALUE"""),"")</f>
        <v/>
      </c>
    </row>
    <row r="11575">
      <c r="A11575" s="16" t="s">
        <v>87</v>
      </c>
      <c r="E11575" s="16" t="str">
        <f>IFERROR(__xludf.DUMMYFUNCTION("""COMPUTED_VALUE"""),"")</f>
        <v/>
      </c>
      <c r="G11575" s="18"/>
      <c r="H11575" s="16" t="s">
        <v>87</v>
      </c>
      <c r="I11575" s="16" t="s">
        <v>87</v>
      </c>
      <c r="J11575" s="19"/>
      <c r="L11575" s="16" t="str">
        <f>IFERROR(__xludf.DUMMYFUNCTION("""COMPUTED_VALUE"""),"")</f>
        <v/>
      </c>
      <c r="M11575" s="16" t="str">
        <f>IFERROR(__xludf.DUMMYFUNCTION("""COMPUTED_VALUE"""),"")</f>
        <v/>
      </c>
      <c r="U11575" s="16" t="s">
        <v>87</v>
      </c>
      <c r="V11575" s="16" t="str">
        <f>IFERROR(__xludf.DUMMYFUNCTION("""COMPUTED_VALUE"""),"")</f>
        <v/>
      </c>
      <c r="W11575" s="16" t="str">
        <f>IFERROR(__xludf.DUMMYFUNCTION("""COMPUTED_VALUE"""),"")</f>
        <v/>
      </c>
      <c r="X11575" s="16" t="str">
        <f>IFERROR(__xludf.DUMMYFUNCTION("""COMPUTED_VALUE"""),"")</f>
        <v/>
      </c>
      <c r="AC11575" s="16" t="str">
        <f>IFERROR(__xludf.DUMMYFUNCTION("""COMPUTED_VALUE"""),"")</f>
        <v/>
      </c>
    </row>
    <row r="11576">
      <c r="A11576" s="16" t="s">
        <v>87</v>
      </c>
      <c r="E11576" s="16" t="str">
        <f>IFERROR(__xludf.DUMMYFUNCTION("""COMPUTED_VALUE"""),"")</f>
        <v/>
      </c>
      <c r="G11576" s="18"/>
      <c r="H11576" s="16" t="s">
        <v>87</v>
      </c>
      <c r="I11576" s="16" t="s">
        <v>87</v>
      </c>
      <c r="J11576" s="19"/>
      <c r="L11576" s="16" t="str">
        <f>IFERROR(__xludf.DUMMYFUNCTION("""COMPUTED_VALUE"""),"")</f>
        <v/>
      </c>
      <c r="M11576" s="16" t="str">
        <f>IFERROR(__xludf.DUMMYFUNCTION("""COMPUTED_VALUE"""),"")</f>
        <v/>
      </c>
      <c r="U11576" s="16" t="s">
        <v>87</v>
      </c>
      <c r="V11576" s="16" t="str">
        <f>IFERROR(__xludf.DUMMYFUNCTION("""COMPUTED_VALUE"""),"")</f>
        <v/>
      </c>
      <c r="W11576" s="16" t="str">
        <f>IFERROR(__xludf.DUMMYFUNCTION("""COMPUTED_VALUE"""),"")</f>
        <v/>
      </c>
      <c r="X11576" s="16" t="str">
        <f>IFERROR(__xludf.DUMMYFUNCTION("""COMPUTED_VALUE"""),"")</f>
        <v/>
      </c>
      <c r="AC11576" s="16" t="str">
        <f>IFERROR(__xludf.DUMMYFUNCTION("""COMPUTED_VALUE"""),"")</f>
        <v/>
      </c>
    </row>
    <row r="11577">
      <c r="A11577" s="16" t="s">
        <v>87</v>
      </c>
      <c r="E11577" s="16" t="str">
        <f>IFERROR(__xludf.DUMMYFUNCTION("""COMPUTED_VALUE"""),"")</f>
        <v/>
      </c>
      <c r="G11577" s="18"/>
      <c r="H11577" s="16" t="s">
        <v>87</v>
      </c>
      <c r="I11577" s="16" t="s">
        <v>87</v>
      </c>
      <c r="J11577" s="19"/>
      <c r="L11577" s="16" t="str">
        <f>IFERROR(__xludf.DUMMYFUNCTION("""COMPUTED_VALUE"""),"")</f>
        <v/>
      </c>
      <c r="M11577" s="16" t="str">
        <f>IFERROR(__xludf.DUMMYFUNCTION("""COMPUTED_VALUE"""),"")</f>
        <v/>
      </c>
      <c r="U11577" s="16" t="s">
        <v>87</v>
      </c>
      <c r="V11577" s="16" t="str">
        <f>IFERROR(__xludf.DUMMYFUNCTION("""COMPUTED_VALUE"""),"")</f>
        <v/>
      </c>
      <c r="W11577" s="16" t="str">
        <f>IFERROR(__xludf.DUMMYFUNCTION("""COMPUTED_VALUE"""),"")</f>
        <v/>
      </c>
      <c r="X11577" s="16" t="str">
        <f>IFERROR(__xludf.DUMMYFUNCTION("""COMPUTED_VALUE"""),"")</f>
        <v/>
      </c>
      <c r="AC11577" s="16" t="str">
        <f>IFERROR(__xludf.DUMMYFUNCTION("""COMPUTED_VALUE"""),"")</f>
        <v/>
      </c>
    </row>
    <row r="11578">
      <c r="A11578" s="16" t="s">
        <v>87</v>
      </c>
      <c r="E11578" s="16" t="str">
        <f>IFERROR(__xludf.DUMMYFUNCTION("""COMPUTED_VALUE"""),"")</f>
        <v/>
      </c>
      <c r="G11578" s="18"/>
      <c r="H11578" s="16" t="s">
        <v>87</v>
      </c>
      <c r="I11578" s="16" t="s">
        <v>87</v>
      </c>
      <c r="J11578" s="19"/>
      <c r="L11578" s="16" t="str">
        <f>IFERROR(__xludf.DUMMYFUNCTION("""COMPUTED_VALUE"""),"")</f>
        <v/>
      </c>
      <c r="M11578" s="16" t="str">
        <f>IFERROR(__xludf.DUMMYFUNCTION("""COMPUTED_VALUE"""),"")</f>
        <v/>
      </c>
      <c r="U11578" s="16" t="s">
        <v>87</v>
      </c>
      <c r="V11578" s="16" t="str">
        <f>IFERROR(__xludf.DUMMYFUNCTION("""COMPUTED_VALUE"""),"")</f>
        <v/>
      </c>
      <c r="W11578" s="16" t="str">
        <f>IFERROR(__xludf.DUMMYFUNCTION("""COMPUTED_VALUE"""),"")</f>
        <v/>
      </c>
      <c r="X11578" s="16" t="str">
        <f>IFERROR(__xludf.DUMMYFUNCTION("""COMPUTED_VALUE"""),"")</f>
        <v/>
      </c>
      <c r="AC11578" s="16" t="str">
        <f>IFERROR(__xludf.DUMMYFUNCTION("""COMPUTED_VALUE"""),"")</f>
        <v/>
      </c>
    </row>
    <row r="11579">
      <c r="A11579" s="16" t="s">
        <v>87</v>
      </c>
      <c r="E11579" s="16" t="str">
        <f>IFERROR(__xludf.DUMMYFUNCTION("""COMPUTED_VALUE"""),"")</f>
        <v/>
      </c>
      <c r="G11579" s="18"/>
      <c r="H11579" s="16" t="s">
        <v>87</v>
      </c>
      <c r="I11579" s="16" t="s">
        <v>87</v>
      </c>
      <c r="J11579" s="19"/>
      <c r="L11579" s="16" t="str">
        <f>IFERROR(__xludf.DUMMYFUNCTION("""COMPUTED_VALUE"""),"")</f>
        <v/>
      </c>
      <c r="M11579" s="16" t="str">
        <f>IFERROR(__xludf.DUMMYFUNCTION("""COMPUTED_VALUE"""),"")</f>
        <v/>
      </c>
      <c r="U11579" s="16" t="s">
        <v>87</v>
      </c>
      <c r="V11579" s="16" t="str">
        <f>IFERROR(__xludf.DUMMYFUNCTION("""COMPUTED_VALUE"""),"")</f>
        <v/>
      </c>
      <c r="W11579" s="16" t="str">
        <f>IFERROR(__xludf.DUMMYFUNCTION("""COMPUTED_VALUE"""),"")</f>
        <v/>
      </c>
      <c r="X11579" s="16" t="str">
        <f>IFERROR(__xludf.DUMMYFUNCTION("""COMPUTED_VALUE"""),"")</f>
        <v/>
      </c>
      <c r="AC11579" s="16" t="str">
        <f>IFERROR(__xludf.DUMMYFUNCTION("""COMPUTED_VALUE"""),"")</f>
        <v/>
      </c>
    </row>
    <row r="11580">
      <c r="A11580" s="16" t="s">
        <v>87</v>
      </c>
      <c r="E11580" s="16" t="str">
        <f>IFERROR(__xludf.DUMMYFUNCTION("""COMPUTED_VALUE"""),"")</f>
        <v/>
      </c>
      <c r="G11580" s="18"/>
      <c r="H11580" s="16" t="s">
        <v>87</v>
      </c>
      <c r="I11580" s="16" t="s">
        <v>87</v>
      </c>
      <c r="J11580" s="19"/>
      <c r="L11580" s="16" t="str">
        <f>IFERROR(__xludf.DUMMYFUNCTION("""COMPUTED_VALUE"""),"")</f>
        <v/>
      </c>
      <c r="M11580" s="16" t="str">
        <f>IFERROR(__xludf.DUMMYFUNCTION("""COMPUTED_VALUE"""),"")</f>
        <v/>
      </c>
      <c r="U11580" s="16" t="s">
        <v>87</v>
      </c>
      <c r="V11580" s="16" t="str">
        <f>IFERROR(__xludf.DUMMYFUNCTION("""COMPUTED_VALUE"""),"")</f>
        <v/>
      </c>
      <c r="W11580" s="16" t="str">
        <f>IFERROR(__xludf.DUMMYFUNCTION("""COMPUTED_VALUE"""),"")</f>
        <v/>
      </c>
      <c r="X11580" s="16" t="str">
        <f>IFERROR(__xludf.DUMMYFUNCTION("""COMPUTED_VALUE"""),"")</f>
        <v/>
      </c>
      <c r="AC11580" s="16" t="str">
        <f>IFERROR(__xludf.DUMMYFUNCTION("""COMPUTED_VALUE"""),"")</f>
        <v/>
      </c>
    </row>
    <row r="11581">
      <c r="A11581" s="16" t="s">
        <v>87</v>
      </c>
      <c r="E11581" s="16" t="str">
        <f>IFERROR(__xludf.DUMMYFUNCTION("""COMPUTED_VALUE"""),"")</f>
        <v/>
      </c>
      <c r="G11581" s="18"/>
      <c r="H11581" s="16" t="s">
        <v>87</v>
      </c>
      <c r="I11581" s="16" t="s">
        <v>87</v>
      </c>
      <c r="J11581" s="19"/>
      <c r="L11581" s="16" t="str">
        <f>IFERROR(__xludf.DUMMYFUNCTION("""COMPUTED_VALUE"""),"")</f>
        <v/>
      </c>
      <c r="M11581" s="16" t="str">
        <f>IFERROR(__xludf.DUMMYFUNCTION("""COMPUTED_VALUE"""),"")</f>
        <v/>
      </c>
      <c r="U11581" s="16" t="s">
        <v>87</v>
      </c>
      <c r="V11581" s="16" t="str">
        <f>IFERROR(__xludf.DUMMYFUNCTION("""COMPUTED_VALUE"""),"")</f>
        <v/>
      </c>
      <c r="W11581" s="16" t="str">
        <f>IFERROR(__xludf.DUMMYFUNCTION("""COMPUTED_VALUE"""),"")</f>
        <v/>
      </c>
      <c r="X11581" s="16" t="str">
        <f>IFERROR(__xludf.DUMMYFUNCTION("""COMPUTED_VALUE"""),"")</f>
        <v/>
      </c>
      <c r="AC11581" s="16" t="str">
        <f>IFERROR(__xludf.DUMMYFUNCTION("""COMPUTED_VALUE"""),"")</f>
        <v/>
      </c>
    </row>
    <row r="11582">
      <c r="A11582" s="16" t="s">
        <v>87</v>
      </c>
      <c r="E11582" s="16" t="str">
        <f>IFERROR(__xludf.DUMMYFUNCTION("""COMPUTED_VALUE"""),"")</f>
        <v/>
      </c>
      <c r="G11582" s="18"/>
      <c r="H11582" s="16" t="s">
        <v>87</v>
      </c>
      <c r="I11582" s="16" t="s">
        <v>87</v>
      </c>
      <c r="J11582" s="19"/>
      <c r="L11582" s="16" t="str">
        <f>IFERROR(__xludf.DUMMYFUNCTION("""COMPUTED_VALUE"""),"")</f>
        <v/>
      </c>
      <c r="M11582" s="16" t="str">
        <f>IFERROR(__xludf.DUMMYFUNCTION("""COMPUTED_VALUE"""),"")</f>
        <v/>
      </c>
      <c r="U11582" s="16" t="s">
        <v>87</v>
      </c>
      <c r="V11582" s="16" t="str">
        <f>IFERROR(__xludf.DUMMYFUNCTION("""COMPUTED_VALUE"""),"")</f>
        <v/>
      </c>
      <c r="W11582" s="16" t="str">
        <f>IFERROR(__xludf.DUMMYFUNCTION("""COMPUTED_VALUE"""),"")</f>
        <v/>
      </c>
      <c r="X11582" s="16" t="str">
        <f>IFERROR(__xludf.DUMMYFUNCTION("""COMPUTED_VALUE"""),"")</f>
        <v/>
      </c>
      <c r="AC11582" s="16" t="str">
        <f>IFERROR(__xludf.DUMMYFUNCTION("""COMPUTED_VALUE"""),"")</f>
        <v/>
      </c>
    </row>
    <row r="11583">
      <c r="A11583" s="16" t="s">
        <v>87</v>
      </c>
      <c r="E11583" s="16" t="str">
        <f>IFERROR(__xludf.DUMMYFUNCTION("""COMPUTED_VALUE"""),"")</f>
        <v/>
      </c>
      <c r="G11583" s="18"/>
      <c r="H11583" s="16" t="s">
        <v>87</v>
      </c>
      <c r="I11583" s="16" t="s">
        <v>87</v>
      </c>
      <c r="J11583" s="19"/>
      <c r="L11583" s="16" t="str">
        <f>IFERROR(__xludf.DUMMYFUNCTION("""COMPUTED_VALUE"""),"")</f>
        <v/>
      </c>
      <c r="M11583" s="16" t="str">
        <f>IFERROR(__xludf.DUMMYFUNCTION("""COMPUTED_VALUE"""),"")</f>
        <v/>
      </c>
      <c r="U11583" s="16" t="s">
        <v>87</v>
      </c>
      <c r="V11583" s="16" t="str">
        <f>IFERROR(__xludf.DUMMYFUNCTION("""COMPUTED_VALUE"""),"")</f>
        <v/>
      </c>
      <c r="W11583" s="16" t="str">
        <f>IFERROR(__xludf.DUMMYFUNCTION("""COMPUTED_VALUE"""),"")</f>
        <v/>
      </c>
      <c r="X11583" s="16" t="str">
        <f>IFERROR(__xludf.DUMMYFUNCTION("""COMPUTED_VALUE"""),"")</f>
        <v/>
      </c>
      <c r="AC11583" s="16" t="str">
        <f>IFERROR(__xludf.DUMMYFUNCTION("""COMPUTED_VALUE"""),"")</f>
        <v/>
      </c>
    </row>
    <row r="11584">
      <c r="A11584" s="16" t="s">
        <v>87</v>
      </c>
      <c r="E11584" s="16" t="str">
        <f>IFERROR(__xludf.DUMMYFUNCTION("""COMPUTED_VALUE"""),"")</f>
        <v/>
      </c>
      <c r="G11584" s="18"/>
      <c r="H11584" s="16" t="s">
        <v>87</v>
      </c>
      <c r="I11584" s="16" t="s">
        <v>87</v>
      </c>
      <c r="J11584" s="19"/>
      <c r="L11584" s="16" t="str">
        <f>IFERROR(__xludf.DUMMYFUNCTION("""COMPUTED_VALUE"""),"")</f>
        <v/>
      </c>
      <c r="M11584" s="16" t="str">
        <f>IFERROR(__xludf.DUMMYFUNCTION("""COMPUTED_VALUE"""),"")</f>
        <v/>
      </c>
      <c r="U11584" s="16" t="s">
        <v>87</v>
      </c>
      <c r="V11584" s="16" t="str">
        <f>IFERROR(__xludf.DUMMYFUNCTION("""COMPUTED_VALUE"""),"")</f>
        <v/>
      </c>
      <c r="W11584" s="16" t="str">
        <f>IFERROR(__xludf.DUMMYFUNCTION("""COMPUTED_VALUE"""),"")</f>
        <v/>
      </c>
      <c r="X11584" s="16" t="str">
        <f>IFERROR(__xludf.DUMMYFUNCTION("""COMPUTED_VALUE"""),"")</f>
        <v/>
      </c>
      <c r="AC11584" s="16" t="str">
        <f>IFERROR(__xludf.DUMMYFUNCTION("""COMPUTED_VALUE"""),"")</f>
        <v/>
      </c>
    </row>
    <row r="11585">
      <c r="A11585" s="16" t="s">
        <v>87</v>
      </c>
      <c r="E11585" s="16" t="str">
        <f>IFERROR(__xludf.DUMMYFUNCTION("""COMPUTED_VALUE"""),"")</f>
        <v/>
      </c>
      <c r="G11585" s="18"/>
      <c r="H11585" s="16" t="s">
        <v>87</v>
      </c>
      <c r="I11585" s="16" t="s">
        <v>87</v>
      </c>
      <c r="J11585" s="19"/>
      <c r="L11585" s="16" t="str">
        <f>IFERROR(__xludf.DUMMYFUNCTION("""COMPUTED_VALUE"""),"")</f>
        <v/>
      </c>
      <c r="M11585" s="16" t="str">
        <f>IFERROR(__xludf.DUMMYFUNCTION("""COMPUTED_VALUE"""),"")</f>
        <v/>
      </c>
      <c r="U11585" s="16" t="s">
        <v>87</v>
      </c>
      <c r="V11585" s="16" t="str">
        <f>IFERROR(__xludf.DUMMYFUNCTION("""COMPUTED_VALUE"""),"")</f>
        <v/>
      </c>
      <c r="W11585" s="16" t="str">
        <f>IFERROR(__xludf.DUMMYFUNCTION("""COMPUTED_VALUE"""),"")</f>
        <v/>
      </c>
      <c r="X11585" s="16" t="str">
        <f>IFERROR(__xludf.DUMMYFUNCTION("""COMPUTED_VALUE"""),"")</f>
        <v/>
      </c>
      <c r="AC11585" s="16" t="str">
        <f>IFERROR(__xludf.DUMMYFUNCTION("""COMPUTED_VALUE"""),"")</f>
        <v/>
      </c>
    </row>
    <row r="11586">
      <c r="A11586" s="16" t="s">
        <v>87</v>
      </c>
      <c r="E11586" s="16" t="str">
        <f>IFERROR(__xludf.DUMMYFUNCTION("""COMPUTED_VALUE"""),"")</f>
        <v/>
      </c>
      <c r="G11586" s="18"/>
      <c r="H11586" s="16" t="s">
        <v>87</v>
      </c>
      <c r="I11586" s="16" t="s">
        <v>87</v>
      </c>
      <c r="J11586" s="19"/>
      <c r="L11586" s="16" t="str">
        <f>IFERROR(__xludf.DUMMYFUNCTION("""COMPUTED_VALUE"""),"")</f>
        <v/>
      </c>
      <c r="M11586" s="16" t="str">
        <f>IFERROR(__xludf.DUMMYFUNCTION("""COMPUTED_VALUE"""),"")</f>
        <v/>
      </c>
      <c r="U11586" s="16" t="s">
        <v>87</v>
      </c>
      <c r="V11586" s="16" t="str">
        <f>IFERROR(__xludf.DUMMYFUNCTION("""COMPUTED_VALUE"""),"")</f>
        <v/>
      </c>
      <c r="W11586" s="16" t="str">
        <f>IFERROR(__xludf.DUMMYFUNCTION("""COMPUTED_VALUE"""),"")</f>
        <v/>
      </c>
      <c r="X11586" s="16" t="str">
        <f>IFERROR(__xludf.DUMMYFUNCTION("""COMPUTED_VALUE"""),"")</f>
        <v/>
      </c>
      <c r="AC11586" s="16" t="str">
        <f>IFERROR(__xludf.DUMMYFUNCTION("""COMPUTED_VALUE"""),"")</f>
        <v/>
      </c>
    </row>
    <row r="11587">
      <c r="A11587" s="16" t="s">
        <v>87</v>
      </c>
      <c r="E11587" s="16" t="str">
        <f>IFERROR(__xludf.DUMMYFUNCTION("""COMPUTED_VALUE"""),"")</f>
        <v/>
      </c>
      <c r="G11587" s="18"/>
      <c r="H11587" s="16" t="s">
        <v>87</v>
      </c>
      <c r="I11587" s="16" t="s">
        <v>87</v>
      </c>
      <c r="J11587" s="19"/>
      <c r="L11587" s="16" t="str">
        <f>IFERROR(__xludf.DUMMYFUNCTION("""COMPUTED_VALUE"""),"")</f>
        <v/>
      </c>
      <c r="M11587" s="16" t="str">
        <f>IFERROR(__xludf.DUMMYFUNCTION("""COMPUTED_VALUE"""),"")</f>
        <v/>
      </c>
      <c r="U11587" s="16" t="s">
        <v>87</v>
      </c>
      <c r="V11587" s="16" t="str">
        <f>IFERROR(__xludf.DUMMYFUNCTION("""COMPUTED_VALUE"""),"")</f>
        <v/>
      </c>
      <c r="W11587" s="16" t="str">
        <f>IFERROR(__xludf.DUMMYFUNCTION("""COMPUTED_VALUE"""),"")</f>
        <v/>
      </c>
      <c r="X11587" s="16" t="str">
        <f>IFERROR(__xludf.DUMMYFUNCTION("""COMPUTED_VALUE"""),"")</f>
        <v/>
      </c>
      <c r="AC11587" s="16" t="str">
        <f>IFERROR(__xludf.DUMMYFUNCTION("""COMPUTED_VALUE"""),"")</f>
        <v/>
      </c>
    </row>
    <row r="11588">
      <c r="A11588" s="16" t="s">
        <v>87</v>
      </c>
      <c r="E11588" s="16" t="str">
        <f>IFERROR(__xludf.DUMMYFUNCTION("""COMPUTED_VALUE"""),"")</f>
        <v/>
      </c>
      <c r="G11588" s="18"/>
      <c r="H11588" s="16" t="s">
        <v>87</v>
      </c>
      <c r="I11588" s="16" t="s">
        <v>87</v>
      </c>
      <c r="J11588" s="19"/>
      <c r="L11588" s="16" t="str">
        <f>IFERROR(__xludf.DUMMYFUNCTION("""COMPUTED_VALUE"""),"")</f>
        <v/>
      </c>
      <c r="M11588" s="16" t="str">
        <f>IFERROR(__xludf.DUMMYFUNCTION("""COMPUTED_VALUE"""),"")</f>
        <v/>
      </c>
      <c r="U11588" s="16" t="s">
        <v>87</v>
      </c>
      <c r="V11588" s="16" t="str">
        <f>IFERROR(__xludf.DUMMYFUNCTION("""COMPUTED_VALUE"""),"")</f>
        <v/>
      </c>
      <c r="W11588" s="16" t="str">
        <f>IFERROR(__xludf.DUMMYFUNCTION("""COMPUTED_VALUE"""),"")</f>
        <v/>
      </c>
      <c r="X11588" s="16" t="str">
        <f>IFERROR(__xludf.DUMMYFUNCTION("""COMPUTED_VALUE"""),"")</f>
        <v/>
      </c>
      <c r="AC11588" s="16" t="str">
        <f>IFERROR(__xludf.DUMMYFUNCTION("""COMPUTED_VALUE"""),"")</f>
        <v/>
      </c>
    </row>
    <row r="11589">
      <c r="A11589" s="16" t="s">
        <v>87</v>
      </c>
      <c r="E11589" s="16" t="str">
        <f>IFERROR(__xludf.DUMMYFUNCTION("""COMPUTED_VALUE"""),"")</f>
        <v/>
      </c>
      <c r="G11589" s="18"/>
      <c r="H11589" s="16" t="s">
        <v>87</v>
      </c>
      <c r="I11589" s="16" t="s">
        <v>87</v>
      </c>
      <c r="J11589" s="19"/>
      <c r="L11589" s="16" t="str">
        <f>IFERROR(__xludf.DUMMYFUNCTION("""COMPUTED_VALUE"""),"")</f>
        <v/>
      </c>
      <c r="M11589" s="16" t="str">
        <f>IFERROR(__xludf.DUMMYFUNCTION("""COMPUTED_VALUE"""),"")</f>
        <v/>
      </c>
      <c r="U11589" s="16" t="s">
        <v>87</v>
      </c>
      <c r="V11589" s="16" t="str">
        <f>IFERROR(__xludf.DUMMYFUNCTION("""COMPUTED_VALUE"""),"")</f>
        <v/>
      </c>
      <c r="W11589" s="16" t="str">
        <f>IFERROR(__xludf.DUMMYFUNCTION("""COMPUTED_VALUE"""),"")</f>
        <v/>
      </c>
      <c r="X11589" s="16" t="str">
        <f>IFERROR(__xludf.DUMMYFUNCTION("""COMPUTED_VALUE"""),"")</f>
        <v/>
      </c>
      <c r="AC11589" s="16" t="str">
        <f>IFERROR(__xludf.DUMMYFUNCTION("""COMPUTED_VALUE"""),"")</f>
        <v/>
      </c>
    </row>
    <row r="11590">
      <c r="A11590" s="16" t="s">
        <v>87</v>
      </c>
      <c r="E11590" s="16" t="str">
        <f>IFERROR(__xludf.DUMMYFUNCTION("""COMPUTED_VALUE"""),"")</f>
        <v/>
      </c>
      <c r="G11590" s="18"/>
      <c r="H11590" s="16" t="s">
        <v>87</v>
      </c>
      <c r="I11590" s="16" t="s">
        <v>87</v>
      </c>
      <c r="J11590" s="19"/>
      <c r="L11590" s="16" t="str">
        <f>IFERROR(__xludf.DUMMYFUNCTION("""COMPUTED_VALUE"""),"")</f>
        <v/>
      </c>
      <c r="M11590" s="16" t="str">
        <f>IFERROR(__xludf.DUMMYFUNCTION("""COMPUTED_VALUE"""),"")</f>
        <v/>
      </c>
      <c r="U11590" s="16" t="s">
        <v>87</v>
      </c>
      <c r="V11590" s="16" t="str">
        <f>IFERROR(__xludf.DUMMYFUNCTION("""COMPUTED_VALUE"""),"")</f>
        <v/>
      </c>
      <c r="W11590" s="16" t="str">
        <f>IFERROR(__xludf.DUMMYFUNCTION("""COMPUTED_VALUE"""),"")</f>
        <v/>
      </c>
      <c r="X11590" s="16" t="str">
        <f>IFERROR(__xludf.DUMMYFUNCTION("""COMPUTED_VALUE"""),"")</f>
        <v/>
      </c>
      <c r="AC11590" s="16" t="str">
        <f>IFERROR(__xludf.DUMMYFUNCTION("""COMPUTED_VALUE"""),"")</f>
        <v/>
      </c>
    </row>
    <row r="11591">
      <c r="A11591" s="16" t="s">
        <v>87</v>
      </c>
      <c r="E11591" s="16" t="str">
        <f>IFERROR(__xludf.DUMMYFUNCTION("""COMPUTED_VALUE"""),"")</f>
        <v/>
      </c>
      <c r="G11591" s="18"/>
      <c r="H11591" s="16" t="s">
        <v>87</v>
      </c>
      <c r="I11591" s="16" t="s">
        <v>87</v>
      </c>
      <c r="J11591" s="19"/>
      <c r="L11591" s="16" t="str">
        <f>IFERROR(__xludf.DUMMYFUNCTION("""COMPUTED_VALUE"""),"")</f>
        <v/>
      </c>
      <c r="M11591" s="16" t="str">
        <f>IFERROR(__xludf.DUMMYFUNCTION("""COMPUTED_VALUE"""),"")</f>
        <v/>
      </c>
      <c r="U11591" s="16" t="s">
        <v>87</v>
      </c>
      <c r="V11591" s="16" t="str">
        <f>IFERROR(__xludf.DUMMYFUNCTION("""COMPUTED_VALUE"""),"")</f>
        <v/>
      </c>
      <c r="W11591" s="16" t="str">
        <f>IFERROR(__xludf.DUMMYFUNCTION("""COMPUTED_VALUE"""),"")</f>
        <v/>
      </c>
      <c r="X11591" s="16" t="str">
        <f>IFERROR(__xludf.DUMMYFUNCTION("""COMPUTED_VALUE"""),"")</f>
        <v/>
      </c>
      <c r="AC11591" s="16" t="str">
        <f>IFERROR(__xludf.DUMMYFUNCTION("""COMPUTED_VALUE"""),"")</f>
        <v/>
      </c>
    </row>
    <row r="11592">
      <c r="A11592" s="16" t="s">
        <v>87</v>
      </c>
      <c r="E11592" s="16" t="str">
        <f>IFERROR(__xludf.DUMMYFUNCTION("""COMPUTED_VALUE"""),"")</f>
        <v/>
      </c>
      <c r="G11592" s="18"/>
      <c r="H11592" s="16" t="s">
        <v>87</v>
      </c>
      <c r="I11592" s="16" t="s">
        <v>87</v>
      </c>
      <c r="J11592" s="19"/>
      <c r="L11592" s="16" t="str">
        <f>IFERROR(__xludf.DUMMYFUNCTION("""COMPUTED_VALUE"""),"")</f>
        <v/>
      </c>
      <c r="M11592" s="16" t="str">
        <f>IFERROR(__xludf.DUMMYFUNCTION("""COMPUTED_VALUE"""),"")</f>
        <v/>
      </c>
      <c r="U11592" s="16" t="s">
        <v>87</v>
      </c>
      <c r="V11592" s="16" t="str">
        <f>IFERROR(__xludf.DUMMYFUNCTION("""COMPUTED_VALUE"""),"")</f>
        <v/>
      </c>
      <c r="W11592" s="16" t="str">
        <f>IFERROR(__xludf.DUMMYFUNCTION("""COMPUTED_VALUE"""),"")</f>
        <v/>
      </c>
      <c r="X11592" s="16" t="str">
        <f>IFERROR(__xludf.DUMMYFUNCTION("""COMPUTED_VALUE"""),"")</f>
        <v/>
      </c>
      <c r="AC11592" s="16" t="str">
        <f>IFERROR(__xludf.DUMMYFUNCTION("""COMPUTED_VALUE"""),"")</f>
        <v/>
      </c>
    </row>
    <row r="11593">
      <c r="A11593" s="16" t="s">
        <v>87</v>
      </c>
      <c r="E11593" s="16" t="str">
        <f>IFERROR(__xludf.DUMMYFUNCTION("""COMPUTED_VALUE"""),"")</f>
        <v/>
      </c>
      <c r="G11593" s="18"/>
      <c r="H11593" s="16" t="s">
        <v>87</v>
      </c>
      <c r="I11593" s="16" t="s">
        <v>87</v>
      </c>
      <c r="J11593" s="19"/>
      <c r="L11593" s="16" t="str">
        <f>IFERROR(__xludf.DUMMYFUNCTION("""COMPUTED_VALUE"""),"")</f>
        <v/>
      </c>
      <c r="M11593" s="16" t="str">
        <f>IFERROR(__xludf.DUMMYFUNCTION("""COMPUTED_VALUE"""),"")</f>
        <v/>
      </c>
      <c r="U11593" s="16" t="s">
        <v>87</v>
      </c>
      <c r="V11593" s="16" t="str">
        <f>IFERROR(__xludf.DUMMYFUNCTION("""COMPUTED_VALUE"""),"")</f>
        <v/>
      </c>
      <c r="W11593" s="16" t="str">
        <f>IFERROR(__xludf.DUMMYFUNCTION("""COMPUTED_VALUE"""),"")</f>
        <v/>
      </c>
      <c r="X11593" s="16" t="str">
        <f>IFERROR(__xludf.DUMMYFUNCTION("""COMPUTED_VALUE"""),"")</f>
        <v/>
      </c>
      <c r="AC11593" s="16" t="str">
        <f>IFERROR(__xludf.DUMMYFUNCTION("""COMPUTED_VALUE"""),"")</f>
        <v/>
      </c>
    </row>
    <row r="11594">
      <c r="A11594" s="16" t="s">
        <v>87</v>
      </c>
      <c r="E11594" s="16" t="str">
        <f>IFERROR(__xludf.DUMMYFUNCTION("""COMPUTED_VALUE"""),"")</f>
        <v/>
      </c>
      <c r="G11594" s="18"/>
      <c r="H11594" s="16" t="s">
        <v>87</v>
      </c>
      <c r="I11594" s="16" t="s">
        <v>87</v>
      </c>
      <c r="J11594" s="19"/>
      <c r="L11594" s="16" t="str">
        <f>IFERROR(__xludf.DUMMYFUNCTION("""COMPUTED_VALUE"""),"")</f>
        <v/>
      </c>
      <c r="M11594" s="16" t="str">
        <f>IFERROR(__xludf.DUMMYFUNCTION("""COMPUTED_VALUE"""),"")</f>
        <v/>
      </c>
      <c r="U11594" s="16" t="s">
        <v>87</v>
      </c>
      <c r="V11594" s="16" t="str">
        <f>IFERROR(__xludf.DUMMYFUNCTION("""COMPUTED_VALUE"""),"")</f>
        <v/>
      </c>
      <c r="W11594" s="16" t="str">
        <f>IFERROR(__xludf.DUMMYFUNCTION("""COMPUTED_VALUE"""),"")</f>
        <v/>
      </c>
      <c r="X11594" s="16" t="str">
        <f>IFERROR(__xludf.DUMMYFUNCTION("""COMPUTED_VALUE"""),"")</f>
        <v/>
      </c>
      <c r="AC11594" s="16" t="str">
        <f>IFERROR(__xludf.DUMMYFUNCTION("""COMPUTED_VALUE"""),"")</f>
        <v/>
      </c>
    </row>
    <row r="11595">
      <c r="A11595" s="16" t="s">
        <v>87</v>
      </c>
      <c r="E11595" s="16" t="str">
        <f>IFERROR(__xludf.DUMMYFUNCTION("""COMPUTED_VALUE"""),"")</f>
        <v/>
      </c>
      <c r="G11595" s="18"/>
      <c r="H11595" s="16" t="s">
        <v>87</v>
      </c>
      <c r="I11595" s="16" t="s">
        <v>87</v>
      </c>
      <c r="J11595" s="19"/>
      <c r="L11595" s="16" t="str">
        <f>IFERROR(__xludf.DUMMYFUNCTION("""COMPUTED_VALUE"""),"")</f>
        <v/>
      </c>
      <c r="M11595" s="16" t="str">
        <f>IFERROR(__xludf.DUMMYFUNCTION("""COMPUTED_VALUE"""),"")</f>
        <v/>
      </c>
      <c r="U11595" s="16" t="s">
        <v>87</v>
      </c>
      <c r="V11595" s="16" t="str">
        <f>IFERROR(__xludf.DUMMYFUNCTION("""COMPUTED_VALUE"""),"")</f>
        <v/>
      </c>
      <c r="W11595" s="16" t="str">
        <f>IFERROR(__xludf.DUMMYFUNCTION("""COMPUTED_VALUE"""),"")</f>
        <v/>
      </c>
      <c r="X11595" s="16" t="str">
        <f>IFERROR(__xludf.DUMMYFUNCTION("""COMPUTED_VALUE"""),"")</f>
        <v/>
      </c>
      <c r="AC11595" s="16" t="str">
        <f>IFERROR(__xludf.DUMMYFUNCTION("""COMPUTED_VALUE"""),"")</f>
        <v/>
      </c>
    </row>
    <row r="11596">
      <c r="A11596" s="16" t="s">
        <v>87</v>
      </c>
      <c r="E11596" s="16" t="str">
        <f>IFERROR(__xludf.DUMMYFUNCTION("""COMPUTED_VALUE"""),"")</f>
        <v/>
      </c>
      <c r="G11596" s="18"/>
      <c r="H11596" s="16" t="s">
        <v>87</v>
      </c>
      <c r="I11596" s="16" t="s">
        <v>87</v>
      </c>
      <c r="J11596" s="19"/>
      <c r="L11596" s="16" t="str">
        <f>IFERROR(__xludf.DUMMYFUNCTION("""COMPUTED_VALUE"""),"")</f>
        <v/>
      </c>
      <c r="M11596" s="16" t="str">
        <f>IFERROR(__xludf.DUMMYFUNCTION("""COMPUTED_VALUE"""),"")</f>
        <v/>
      </c>
      <c r="U11596" s="16" t="s">
        <v>87</v>
      </c>
      <c r="V11596" s="16" t="str">
        <f>IFERROR(__xludf.DUMMYFUNCTION("""COMPUTED_VALUE"""),"")</f>
        <v/>
      </c>
      <c r="W11596" s="16" t="str">
        <f>IFERROR(__xludf.DUMMYFUNCTION("""COMPUTED_VALUE"""),"")</f>
        <v/>
      </c>
      <c r="X11596" s="16" t="str">
        <f>IFERROR(__xludf.DUMMYFUNCTION("""COMPUTED_VALUE"""),"")</f>
        <v/>
      </c>
      <c r="AC11596" s="16" t="str">
        <f>IFERROR(__xludf.DUMMYFUNCTION("""COMPUTED_VALUE"""),"")</f>
        <v/>
      </c>
    </row>
    <row r="11597">
      <c r="A11597" s="16" t="s">
        <v>87</v>
      </c>
      <c r="E11597" s="16" t="str">
        <f>IFERROR(__xludf.DUMMYFUNCTION("""COMPUTED_VALUE"""),"")</f>
        <v/>
      </c>
      <c r="G11597" s="18"/>
      <c r="H11597" s="16" t="s">
        <v>87</v>
      </c>
      <c r="I11597" s="16" t="s">
        <v>87</v>
      </c>
      <c r="J11597" s="19"/>
      <c r="L11597" s="16" t="str">
        <f>IFERROR(__xludf.DUMMYFUNCTION("""COMPUTED_VALUE"""),"")</f>
        <v/>
      </c>
      <c r="M11597" s="16" t="str">
        <f>IFERROR(__xludf.DUMMYFUNCTION("""COMPUTED_VALUE"""),"")</f>
        <v/>
      </c>
      <c r="U11597" s="16" t="s">
        <v>87</v>
      </c>
      <c r="V11597" s="16" t="str">
        <f>IFERROR(__xludf.DUMMYFUNCTION("""COMPUTED_VALUE"""),"")</f>
        <v/>
      </c>
      <c r="W11597" s="16" t="str">
        <f>IFERROR(__xludf.DUMMYFUNCTION("""COMPUTED_VALUE"""),"")</f>
        <v/>
      </c>
      <c r="X11597" s="16" t="str">
        <f>IFERROR(__xludf.DUMMYFUNCTION("""COMPUTED_VALUE"""),"")</f>
        <v/>
      </c>
      <c r="AC11597" s="16" t="str">
        <f>IFERROR(__xludf.DUMMYFUNCTION("""COMPUTED_VALUE"""),"")</f>
        <v/>
      </c>
    </row>
    <row r="11598">
      <c r="A11598" s="16" t="s">
        <v>87</v>
      </c>
      <c r="E11598" s="16" t="str">
        <f>IFERROR(__xludf.DUMMYFUNCTION("""COMPUTED_VALUE"""),"")</f>
        <v/>
      </c>
      <c r="G11598" s="18"/>
      <c r="H11598" s="16" t="s">
        <v>87</v>
      </c>
      <c r="I11598" s="16" t="s">
        <v>87</v>
      </c>
      <c r="J11598" s="19"/>
      <c r="L11598" s="16" t="str">
        <f>IFERROR(__xludf.DUMMYFUNCTION("""COMPUTED_VALUE"""),"")</f>
        <v/>
      </c>
      <c r="M11598" s="16" t="str">
        <f>IFERROR(__xludf.DUMMYFUNCTION("""COMPUTED_VALUE"""),"")</f>
        <v/>
      </c>
      <c r="U11598" s="16" t="s">
        <v>87</v>
      </c>
      <c r="V11598" s="16" t="str">
        <f>IFERROR(__xludf.DUMMYFUNCTION("""COMPUTED_VALUE"""),"")</f>
        <v/>
      </c>
      <c r="W11598" s="16" t="str">
        <f>IFERROR(__xludf.DUMMYFUNCTION("""COMPUTED_VALUE"""),"")</f>
        <v/>
      </c>
      <c r="X11598" s="16" t="str">
        <f>IFERROR(__xludf.DUMMYFUNCTION("""COMPUTED_VALUE"""),"")</f>
        <v/>
      </c>
      <c r="AC11598" s="16" t="str">
        <f>IFERROR(__xludf.DUMMYFUNCTION("""COMPUTED_VALUE"""),"")</f>
        <v/>
      </c>
    </row>
    <row r="11599">
      <c r="A11599" s="16" t="s">
        <v>87</v>
      </c>
      <c r="E11599" s="16" t="str">
        <f>IFERROR(__xludf.DUMMYFUNCTION("""COMPUTED_VALUE"""),"")</f>
        <v/>
      </c>
      <c r="G11599" s="18"/>
      <c r="H11599" s="16" t="s">
        <v>87</v>
      </c>
      <c r="I11599" s="16" t="s">
        <v>87</v>
      </c>
      <c r="J11599" s="19"/>
      <c r="L11599" s="16" t="str">
        <f>IFERROR(__xludf.DUMMYFUNCTION("""COMPUTED_VALUE"""),"")</f>
        <v/>
      </c>
      <c r="M11599" s="16" t="str">
        <f>IFERROR(__xludf.DUMMYFUNCTION("""COMPUTED_VALUE"""),"")</f>
        <v/>
      </c>
      <c r="U11599" s="16" t="s">
        <v>87</v>
      </c>
      <c r="V11599" s="16" t="str">
        <f>IFERROR(__xludf.DUMMYFUNCTION("""COMPUTED_VALUE"""),"")</f>
        <v/>
      </c>
      <c r="W11599" s="16" t="str">
        <f>IFERROR(__xludf.DUMMYFUNCTION("""COMPUTED_VALUE"""),"")</f>
        <v/>
      </c>
      <c r="X11599" s="16" t="str">
        <f>IFERROR(__xludf.DUMMYFUNCTION("""COMPUTED_VALUE"""),"")</f>
        <v/>
      </c>
      <c r="AC11599" s="16" t="str">
        <f>IFERROR(__xludf.DUMMYFUNCTION("""COMPUTED_VALUE"""),"")</f>
        <v/>
      </c>
    </row>
    <row r="11600">
      <c r="A11600" s="16" t="s">
        <v>87</v>
      </c>
      <c r="E11600" s="16" t="str">
        <f>IFERROR(__xludf.DUMMYFUNCTION("""COMPUTED_VALUE"""),"")</f>
        <v/>
      </c>
      <c r="G11600" s="18"/>
      <c r="H11600" s="16" t="s">
        <v>87</v>
      </c>
      <c r="I11600" s="16" t="s">
        <v>87</v>
      </c>
      <c r="J11600" s="19"/>
      <c r="L11600" s="16" t="str">
        <f>IFERROR(__xludf.DUMMYFUNCTION("""COMPUTED_VALUE"""),"")</f>
        <v/>
      </c>
      <c r="M11600" s="16" t="str">
        <f>IFERROR(__xludf.DUMMYFUNCTION("""COMPUTED_VALUE"""),"")</f>
        <v/>
      </c>
      <c r="U11600" s="16" t="s">
        <v>87</v>
      </c>
      <c r="V11600" s="16" t="str">
        <f>IFERROR(__xludf.DUMMYFUNCTION("""COMPUTED_VALUE"""),"")</f>
        <v/>
      </c>
      <c r="W11600" s="16" t="str">
        <f>IFERROR(__xludf.DUMMYFUNCTION("""COMPUTED_VALUE"""),"")</f>
        <v/>
      </c>
      <c r="X11600" s="16" t="str">
        <f>IFERROR(__xludf.DUMMYFUNCTION("""COMPUTED_VALUE"""),"")</f>
        <v/>
      </c>
      <c r="AC11600" s="16" t="str">
        <f>IFERROR(__xludf.DUMMYFUNCTION("""COMPUTED_VALUE"""),"")</f>
        <v/>
      </c>
    </row>
    <row r="11601">
      <c r="A11601" s="16" t="s">
        <v>87</v>
      </c>
      <c r="E11601" s="16" t="str">
        <f>IFERROR(__xludf.DUMMYFUNCTION("""COMPUTED_VALUE"""),"")</f>
        <v/>
      </c>
      <c r="G11601" s="18"/>
      <c r="H11601" s="16" t="s">
        <v>87</v>
      </c>
      <c r="I11601" s="16" t="s">
        <v>87</v>
      </c>
      <c r="J11601" s="19"/>
      <c r="L11601" s="16" t="str">
        <f>IFERROR(__xludf.DUMMYFUNCTION("""COMPUTED_VALUE"""),"")</f>
        <v/>
      </c>
      <c r="M11601" s="16" t="str">
        <f>IFERROR(__xludf.DUMMYFUNCTION("""COMPUTED_VALUE"""),"")</f>
        <v/>
      </c>
      <c r="U11601" s="16" t="s">
        <v>87</v>
      </c>
      <c r="V11601" s="16" t="str">
        <f>IFERROR(__xludf.DUMMYFUNCTION("""COMPUTED_VALUE"""),"")</f>
        <v/>
      </c>
      <c r="W11601" s="16" t="str">
        <f>IFERROR(__xludf.DUMMYFUNCTION("""COMPUTED_VALUE"""),"")</f>
        <v/>
      </c>
      <c r="X11601" s="16" t="str">
        <f>IFERROR(__xludf.DUMMYFUNCTION("""COMPUTED_VALUE"""),"")</f>
        <v/>
      </c>
      <c r="AC11601" s="16" t="str">
        <f>IFERROR(__xludf.DUMMYFUNCTION("""COMPUTED_VALUE"""),"")</f>
        <v/>
      </c>
    </row>
    <row r="11602">
      <c r="A11602" s="16" t="s">
        <v>87</v>
      </c>
      <c r="E11602" s="16" t="str">
        <f>IFERROR(__xludf.DUMMYFUNCTION("""COMPUTED_VALUE"""),"")</f>
        <v/>
      </c>
      <c r="G11602" s="18"/>
      <c r="H11602" s="16" t="s">
        <v>87</v>
      </c>
      <c r="I11602" s="16" t="s">
        <v>87</v>
      </c>
      <c r="J11602" s="19"/>
      <c r="L11602" s="16" t="str">
        <f>IFERROR(__xludf.DUMMYFUNCTION("""COMPUTED_VALUE"""),"")</f>
        <v/>
      </c>
      <c r="M11602" s="16" t="str">
        <f>IFERROR(__xludf.DUMMYFUNCTION("""COMPUTED_VALUE"""),"")</f>
        <v/>
      </c>
      <c r="U11602" s="16" t="s">
        <v>87</v>
      </c>
      <c r="V11602" s="16" t="str">
        <f>IFERROR(__xludf.DUMMYFUNCTION("""COMPUTED_VALUE"""),"")</f>
        <v/>
      </c>
      <c r="W11602" s="16" t="str">
        <f>IFERROR(__xludf.DUMMYFUNCTION("""COMPUTED_VALUE"""),"")</f>
        <v/>
      </c>
      <c r="X11602" s="16" t="str">
        <f>IFERROR(__xludf.DUMMYFUNCTION("""COMPUTED_VALUE"""),"")</f>
        <v/>
      </c>
      <c r="AC11602" s="16" t="str">
        <f>IFERROR(__xludf.DUMMYFUNCTION("""COMPUTED_VALUE"""),"")</f>
        <v/>
      </c>
    </row>
    <row r="11603">
      <c r="A11603" s="16" t="s">
        <v>87</v>
      </c>
      <c r="E11603" s="16" t="str">
        <f>IFERROR(__xludf.DUMMYFUNCTION("""COMPUTED_VALUE"""),"")</f>
        <v/>
      </c>
      <c r="G11603" s="18"/>
      <c r="H11603" s="16" t="s">
        <v>87</v>
      </c>
      <c r="I11603" s="16" t="s">
        <v>87</v>
      </c>
      <c r="J11603" s="19"/>
      <c r="L11603" s="16" t="str">
        <f>IFERROR(__xludf.DUMMYFUNCTION("""COMPUTED_VALUE"""),"")</f>
        <v/>
      </c>
      <c r="M11603" s="16" t="str">
        <f>IFERROR(__xludf.DUMMYFUNCTION("""COMPUTED_VALUE"""),"")</f>
        <v/>
      </c>
      <c r="U11603" s="16" t="s">
        <v>87</v>
      </c>
      <c r="V11603" s="16" t="str">
        <f>IFERROR(__xludf.DUMMYFUNCTION("""COMPUTED_VALUE"""),"")</f>
        <v/>
      </c>
      <c r="W11603" s="16" t="str">
        <f>IFERROR(__xludf.DUMMYFUNCTION("""COMPUTED_VALUE"""),"")</f>
        <v/>
      </c>
      <c r="X11603" s="16" t="str">
        <f>IFERROR(__xludf.DUMMYFUNCTION("""COMPUTED_VALUE"""),"")</f>
        <v/>
      </c>
      <c r="AC11603" s="16" t="str">
        <f>IFERROR(__xludf.DUMMYFUNCTION("""COMPUTED_VALUE"""),"")</f>
        <v/>
      </c>
    </row>
    <row r="11604">
      <c r="A11604" s="16" t="s">
        <v>87</v>
      </c>
      <c r="E11604" s="16" t="str">
        <f>IFERROR(__xludf.DUMMYFUNCTION("""COMPUTED_VALUE"""),"")</f>
        <v/>
      </c>
      <c r="G11604" s="18"/>
      <c r="H11604" s="16" t="s">
        <v>87</v>
      </c>
      <c r="I11604" s="16" t="s">
        <v>87</v>
      </c>
      <c r="J11604" s="19"/>
      <c r="L11604" s="16" t="str">
        <f>IFERROR(__xludf.DUMMYFUNCTION("""COMPUTED_VALUE"""),"")</f>
        <v/>
      </c>
      <c r="M11604" s="16" t="str">
        <f>IFERROR(__xludf.DUMMYFUNCTION("""COMPUTED_VALUE"""),"")</f>
        <v/>
      </c>
      <c r="U11604" s="16" t="s">
        <v>87</v>
      </c>
      <c r="V11604" s="16" t="str">
        <f>IFERROR(__xludf.DUMMYFUNCTION("""COMPUTED_VALUE"""),"")</f>
        <v/>
      </c>
      <c r="W11604" s="16" t="str">
        <f>IFERROR(__xludf.DUMMYFUNCTION("""COMPUTED_VALUE"""),"")</f>
        <v/>
      </c>
      <c r="X11604" s="16" t="str">
        <f>IFERROR(__xludf.DUMMYFUNCTION("""COMPUTED_VALUE"""),"")</f>
        <v/>
      </c>
      <c r="AC11604" s="16" t="str">
        <f>IFERROR(__xludf.DUMMYFUNCTION("""COMPUTED_VALUE"""),"")</f>
        <v/>
      </c>
    </row>
    <row r="11605">
      <c r="A11605" s="16" t="s">
        <v>87</v>
      </c>
      <c r="E11605" s="16" t="str">
        <f>IFERROR(__xludf.DUMMYFUNCTION("""COMPUTED_VALUE"""),"")</f>
        <v/>
      </c>
      <c r="G11605" s="18"/>
      <c r="H11605" s="16" t="s">
        <v>87</v>
      </c>
      <c r="I11605" s="16" t="s">
        <v>87</v>
      </c>
      <c r="J11605" s="19"/>
      <c r="L11605" s="16" t="str">
        <f>IFERROR(__xludf.DUMMYFUNCTION("""COMPUTED_VALUE"""),"")</f>
        <v/>
      </c>
      <c r="M11605" s="16" t="str">
        <f>IFERROR(__xludf.DUMMYFUNCTION("""COMPUTED_VALUE"""),"")</f>
        <v/>
      </c>
      <c r="U11605" s="16" t="s">
        <v>87</v>
      </c>
      <c r="V11605" s="16" t="str">
        <f>IFERROR(__xludf.DUMMYFUNCTION("""COMPUTED_VALUE"""),"")</f>
        <v/>
      </c>
      <c r="W11605" s="16" t="str">
        <f>IFERROR(__xludf.DUMMYFUNCTION("""COMPUTED_VALUE"""),"")</f>
        <v/>
      </c>
      <c r="X11605" s="16" t="str">
        <f>IFERROR(__xludf.DUMMYFUNCTION("""COMPUTED_VALUE"""),"")</f>
        <v/>
      </c>
      <c r="AC11605" s="16" t="str">
        <f>IFERROR(__xludf.DUMMYFUNCTION("""COMPUTED_VALUE"""),"")</f>
        <v/>
      </c>
    </row>
    <row r="11606">
      <c r="A11606" s="16" t="s">
        <v>87</v>
      </c>
      <c r="E11606" s="16" t="str">
        <f>IFERROR(__xludf.DUMMYFUNCTION("""COMPUTED_VALUE"""),"")</f>
        <v/>
      </c>
      <c r="G11606" s="18"/>
      <c r="H11606" s="16" t="s">
        <v>87</v>
      </c>
      <c r="I11606" s="16" t="s">
        <v>87</v>
      </c>
      <c r="J11606" s="19"/>
      <c r="L11606" s="16" t="str">
        <f>IFERROR(__xludf.DUMMYFUNCTION("""COMPUTED_VALUE"""),"")</f>
        <v/>
      </c>
      <c r="M11606" s="16" t="str">
        <f>IFERROR(__xludf.DUMMYFUNCTION("""COMPUTED_VALUE"""),"")</f>
        <v/>
      </c>
      <c r="U11606" s="16" t="s">
        <v>87</v>
      </c>
      <c r="V11606" s="16" t="str">
        <f>IFERROR(__xludf.DUMMYFUNCTION("""COMPUTED_VALUE"""),"")</f>
        <v/>
      </c>
      <c r="W11606" s="16" t="str">
        <f>IFERROR(__xludf.DUMMYFUNCTION("""COMPUTED_VALUE"""),"")</f>
        <v/>
      </c>
      <c r="X11606" s="16" t="str">
        <f>IFERROR(__xludf.DUMMYFUNCTION("""COMPUTED_VALUE"""),"")</f>
        <v/>
      </c>
      <c r="AC11606" s="16" t="str">
        <f>IFERROR(__xludf.DUMMYFUNCTION("""COMPUTED_VALUE"""),"")</f>
        <v/>
      </c>
    </row>
    <row r="11607">
      <c r="A11607" s="16" t="s">
        <v>87</v>
      </c>
      <c r="E11607" s="16" t="str">
        <f>IFERROR(__xludf.DUMMYFUNCTION("""COMPUTED_VALUE"""),"")</f>
        <v/>
      </c>
      <c r="G11607" s="18"/>
      <c r="H11607" s="16" t="s">
        <v>87</v>
      </c>
      <c r="I11607" s="16" t="s">
        <v>87</v>
      </c>
      <c r="J11607" s="19"/>
      <c r="L11607" s="16" t="str">
        <f>IFERROR(__xludf.DUMMYFUNCTION("""COMPUTED_VALUE"""),"")</f>
        <v/>
      </c>
      <c r="M11607" s="16" t="str">
        <f>IFERROR(__xludf.DUMMYFUNCTION("""COMPUTED_VALUE"""),"")</f>
        <v/>
      </c>
      <c r="U11607" s="16" t="s">
        <v>87</v>
      </c>
      <c r="V11607" s="16" t="str">
        <f>IFERROR(__xludf.DUMMYFUNCTION("""COMPUTED_VALUE"""),"")</f>
        <v/>
      </c>
      <c r="W11607" s="16" t="str">
        <f>IFERROR(__xludf.DUMMYFUNCTION("""COMPUTED_VALUE"""),"")</f>
        <v/>
      </c>
      <c r="X11607" s="16" t="str">
        <f>IFERROR(__xludf.DUMMYFUNCTION("""COMPUTED_VALUE"""),"")</f>
        <v/>
      </c>
      <c r="AC11607" s="16" t="str">
        <f>IFERROR(__xludf.DUMMYFUNCTION("""COMPUTED_VALUE"""),"")</f>
        <v/>
      </c>
    </row>
    <row r="11608">
      <c r="A11608" s="16" t="s">
        <v>87</v>
      </c>
      <c r="E11608" s="16" t="str">
        <f>IFERROR(__xludf.DUMMYFUNCTION("""COMPUTED_VALUE"""),"")</f>
        <v/>
      </c>
      <c r="G11608" s="18"/>
      <c r="H11608" s="16" t="s">
        <v>87</v>
      </c>
      <c r="I11608" s="16" t="s">
        <v>87</v>
      </c>
      <c r="J11608" s="19"/>
      <c r="L11608" s="16" t="str">
        <f>IFERROR(__xludf.DUMMYFUNCTION("""COMPUTED_VALUE"""),"")</f>
        <v/>
      </c>
      <c r="M11608" s="16" t="str">
        <f>IFERROR(__xludf.DUMMYFUNCTION("""COMPUTED_VALUE"""),"")</f>
        <v/>
      </c>
      <c r="U11608" s="16" t="s">
        <v>87</v>
      </c>
      <c r="V11608" s="16" t="str">
        <f>IFERROR(__xludf.DUMMYFUNCTION("""COMPUTED_VALUE"""),"")</f>
        <v/>
      </c>
      <c r="W11608" s="16" t="str">
        <f>IFERROR(__xludf.DUMMYFUNCTION("""COMPUTED_VALUE"""),"")</f>
        <v/>
      </c>
      <c r="X11608" s="16" t="str">
        <f>IFERROR(__xludf.DUMMYFUNCTION("""COMPUTED_VALUE"""),"")</f>
        <v/>
      </c>
      <c r="AC11608" s="16" t="str">
        <f>IFERROR(__xludf.DUMMYFUNCTION("""COMPUTED_VALUE"""),"")</f>
        <v/>
      </c>
    </row>
    <row r="11609">
      <c r="A11609" s="16" t="s">
        <v>87</v>
      </c>
      <c r="E11609" s="16" t="str">
        <f>IFERROR(__xludf.DUMMYFUNCTION("""COMPUTED_VALUE"""),"")</f>
        <v/>
      </c>
      <c r="G11609" s="18"/>
      <c r="H11609" s="16" t="s">
        <v>87</v>
      </c>
      <c r="I11609" s="16" t="s">
        <v>87</v>
      </c>
      <c r="J11609" s="19"/>
      <c r="L11609" s="16" t="str">
        <f>IFERROR(__xludf.DUMMYFUNCTION("""COMPUTED_VALUE"""),"")</f>
        <v/>
      </c>
      <c r="M11609" s="16" t="str">
        <f>IFERROR(__xludf.DUMMYFUNCTION("""COMPUTED_VALUE"""),"")</f>
        <v/>
      </c>
      <c r="U11609" s="16" t="s">
        <v>87</v>
      </c>
      <c r="V11609" s="16" t="str">
        <f>IFERROR(__xludf.DUMMYFUNCTION("""COMPUTED_VALUE"""),"")</f>
        <v/>
      </c>
      <c r="W11609" s="16" t="str">
        <f>IFERROR(__xludf.DUMMYFUNCTION("""COMPUTED_VALUE"""),"")</f>
        <v/>
      </c>
      <c r="X11609" s="16" t="str">
        <f>IFERROR(__xludf.DUMMYFUNCTION("""COMPUTED_VALUE"""),"")</f>
        <v/>
      </c>
      <c r="AC11609" s="16" t="str">
        <f>IFERROR(__xludf.DUMMYFUNCTION("""COMPUTED_VALUE"""),"")</f>
        <v/>
      </c>
    </row>
    <row r="11610">
      <c r="A11610" s="16" t="s">
        <v>87</v>
      </c>
      <c r="E11610" s="16" t="str">
        <f>IFERROR(__xludf.DUMMYFUNCTION("""COMPUTED_VALUE"""),"")</f>
        <v/>
      </c>
      <c r="G11610" s="18"/>
      <c r="H11610" s="16" t="s">
        <v>87</v>
      </c>
      <c r="I11610" s="16" t="s">
        <v>87</v>
      </c>
      <c r="J11610" s="19"/>
      <c r="L11610" s="16" t="str">
        <f>IFERROR(__xludf.DUMMYFUNCTION("""COMPUTED_VALUE"""),"")</f>
        <v/>
      </c>
      <c r="M11610" s="16" t="str">
        <f>IFERROR(__xludf.DUMMYFUNCTION("""COMPUTED_VALUE"""),"")</f>
        <v/>
      </c>
      <c r="U11610" s="16" t="s">
        <v>87</v>
      </c>
      <c r="V11610" s="16" t="str">
        <f>IFERROR(__xludf.DUMMYFUNCTION("""COMPUTED_VALUE"""),"")</f>
        <v/>
      </c>
      <c r="W11610" s="16" t="str">
        <f>IFERROR(__xludf.DUMMYFUNCTION("""COMPUTED_VALUE"""),"")</f>
        <v/>
      </c>
      <c r="X11610" s="16" t="str">
        <f>IFERROR(__xludf.DUMMYFUNCTION("""COMPUTED_VALUE"""),"")</f>
        <v/>
      </c>
      <c r="AC11610" s="16" t="str">
        <f>IFERROR(__xludf.DUMMYFUNCTION("""COMPUTED_VALUE"""),"")</f>
        <v/>
      </c>
    </row>
    <row r="11611">
      <c r="A11611" s="16" t="s">
        <v>87</v>
      </c>
      <c r="E11611" s="16" t="str">
        <f>IFERROR(__xludf.DUMMYFUNCTION("""COMPUTED_VALUE"""),"")</f>
        <v/>
      </c>
      <c r="G11611" s="18"/>
      <c r="H11611" s="16" t="s">
        <v>87</v>
      </c>
      <c r="I11611" s="16" t="s">
        <v>87</v>
      </c>
      <c r="J11611" s="19"/>
      <c r="L11611" s="16" t="str">
        <f>IFERROR(__xludf.DUMMYFUNCTION("""COMPUTED_VALUE"""),"")</f>
        <v/>
      </c>
      <c r="M11611" s="16" t="str">
        <f>IFERROR(__xludf.DUMMYFUNCTION("""COMPUTED_VALUE"""),"")</f>
        <v/>
      </c>
      <c r="U11611" s="16" t="s">
        <v>87</v>
      </c>
      <c r="V11611" s="16" t="str">
        <f>IFERROR(__xludf.DUMMYFUNCTION("""COMPUTED_VALUE"""),"")</f>
        <v/>
      </c>
      <c r="W11611" s="16" t="str">
        <f>IFERROR(__xludf.DUMMYFUNCTION("""COMPUTED_VALUE"""),"")</f>
        <v/>
      </c>
      <c r="X11611" s="16" t="str">
        <f>IFERROR(__xludf.DUMMYFUNCTION("""COMPUTED_VALUE"""),"")</f>
        <v/>
      </c>
      <c r="AC11611" s="16" t="str">
        <f>IFERROR(__xludf.DUMMYFUNCTION("""COMPUTED_VALUE"""),"")</f>
        <v/>
      </c>
    </row>
    <row r="11612">
      <c r="A11612" s="16" t="s">
        <v>87</v>
      </c>
      <c r="E11612" s="16" t="str">
        <f>IFERROR(__xludf.DUMMYFUNCTION("""COMPUTED_VALUE"""),"")</f>
        <v/>
      </c>
      <c r="G11612" s="18"/>
      <c r="H11612" s="16" t="s">
        <v>87</v>
      </c>
      <c r="I11612" s="16" t="s">
        <v>87</v>
      </c>
      <c r="J11612" s="19"/>
      <c r="L11612" s="16" t="str">
        <f>IFERROR(__xludf.DUMMYFUNCTION("""COMPUTED_VALUE"""),"")</f>
        <v/>
      </c>
      <c r="M11612" s="16" t="str">
        <f>IFERROR(__xludf.DUMMYFUNCTION("""COMPUTED_VALUE"""),"")</f>
        <v/>
      </c>
      <c r="U11612" s="16" t="s">
        <v>87</v>
      </c>
      <c r="V11612" s="16" t="str">
        <f>IFERROR(__xludf.DUMMYFUNCTION("""COMPUTED_VALUE"""),"")</f>
        <v/>
      </c>
      <c r="W11612" s="16" t="str">
        <f>IFERROR(__xludf.DUMMYFUNCTION("""COMPUTED_VALUE"""),"")</f>
        <v/>
      </c>
      <c r="X11612" s="16" t="str">
        <f>IFERROR(__xludf.DUMMYFUNCTION("""COMPUTED_VALUE"""),"")</f>
        <v/>
      </c>
      <c r="AC11612" s="16" t="str">
        <f>IFERROR(__xludf.DUMMYFUNCTION("""COMPUTED_VALUE"""),"")</f>
        <v/>
      </c>
    </row>
    <row r="11613">
      <c r="A11613" s="16" t="s">
        <v>87</v>
      </c>
      <c r="E11613" s="16" t="str">
        <f>IFERROR(__xludf.DUMMYFUNCTION("""COMPUTED_VALUE"""),"")</f>
        <v/>
      </c>
      <c r="G11613" s="18"/>
      <c r="H11613" s="16" t="s">
        <v>87</v>
      </c>
      <c r="I11613" s="16" t="s">
        <v>87</v>
      </c>
      <c r="J11613" s="19"/>
      <c r="L11613" s="16" t="str">
        <f>IFERROR(__xludf.DUMMYFUNCTION("""COMPUTED_VALUE"""),"")</f>
        <v/>
      </c>
      <c r="M11613" s="16" t="str">
        <f>IFERROR(__xludf.DUMMYFUNCTION("""COMPUTED_VALUE"""),"")</f>
        <v/>
      </c>
      <c r="U11613" s="16" t="s">
        <v>87</v>
      </c>
      <c r="V11613" s="16" t="str">
        <f>IFERROR(__xludf.DUMMYFUNCTION("""COMPUTED_VALUE"""),"")</f>
        <v/>
      </c>
      <c r="W11613" s="16" t="str">
        <f>IFERROR(__xludf.DUMMYFUNCTION("""COMPUTED_VALUE"""),"")</f>
        <v/>
      </c>
      <c r="X11613" s="16" t="str">
        <f>IFERROR(__xludf.DUMMYFUNCTION("""COMPUTED_VALUE"""),"")</f>
        <v/>
      </c>
      <c r="AC11613" s="16" t="str">
        <f>IFERROR(__xludf.DUMMYFUNCTION("""COMPUTED_VALUE"""),"")</f>
        <v/>
      </c>
    </row>
    <row r="11614">
      <c r="A11614" s="16" t="s">
        <v>87</v>
      </c>
      <c r="E11614" s="16" t="str">
        <f>IFERROR(__xludf.DUMMYFUNCTION("""COMPUTED_VALUE"""),"")</f>
        <v/>
      </c>
      <c r="G11614" s="18"/>
      <c r="H11614" s="16" t="s">
        <v>87</v>
      </c>
      <c r="I11614" s="16" t="s">
        <v>87</v>
      </c>
      <c r="J11614" s="19"/>
      <c r="L11614" s="16" t="str">
        <f>IFERROR(__xludf.DUMMYFUNCTION("""COMPUTED_VALUE"""),"")</f>
        <v/>
      </c>
      <c r="M11614" s="16" t="str">
        <f>IFERROR(__xludf.DUMMYFUNCTION("""COMPUTED_VALUE"""),"")</f>
        <v/>
      </c>
      <c r="U11614" s="16" t="s">
        <v>87</v>
      </c>
      <c r="V11614" s="16" t="str">
        <f>IFERROR(__xludf.DUMMYFUNCTION("""COMPUTED_VALUE"""),"")</f>
        <v/>
      </c>
      <c r="W11614" s="16" t="str">
        <f>IFERROR(__xludf.DUMMYFUNCTION("""COMPUTED_VALUE"""),"")</f>
        <v/>
      </c>
      <c r="X11614" s="16" t="str">
        <f>IFERROR(__xludf.DUMMYFUNCTION("""COMPUTED_VALUE"""),"")</f>
        <v/>
      </c>
      <c r="AC11614" s="16" t="str">
        <f>IFERROR(__xludf.DUMMYFUNCTION("""COMPUTED_VALUE"""),"")</f>
        <v/>
      </c>
    </row>
    <row r="11615">
      <c r="A11615" s="16" t="s">
        <v>87</v>
      </c>
      <c r="E11615" s="16" t="str">
        <f>IFERROR(__xludf.DUMMYFUNCTION("""COMPUTED_VALUE"""),"")</f>
        <v/>
      </c>
      <c r="G11615" s="18"/>
      <c r="H11615" s="16" t="s">
        <v>87</v>
      </c>
      <c r="I11615" s="16" t="s">
        <v>87</v>
      </c>
      <c r="J11615" s="19"/>
      <c r="L11615" s="16" t="str">
        <f>IFERROR(__xludf.DUMMYFUNCTION("""COMPUTED_VALUE"""),"")</f>
        <v/>
      </c>
      <c r="M11615" s="16" t="str">
        <f>IFERROR(__xludf.DUMMYFUNCTION("""COMPUTED_VALUE"""),"")</f>
        <v/>
      </c>
      <c r="U11615" s="16" t="s">
        <v>87</v>
      </c>
      <c r="V11615" s="16" t="str">
        <f>IFERROR(__xludf.DUMMYFUNCTION("""COMPUTED_VALUE"""),"")</f>
        <v/>
      </c>
      <c r="W11615" s="16" t="str">
        <f>IFERROR(__xludf.DUMMYFUNCTION("""COMPUTED_VALUE"""),"")</f>
        <v/>
      </c>
      <c r="X11615" s="16" t="str">
        <f>IFERROR(__xludf.DUMMYFUNCTION("""COMPUTED_VALUE"""),"")</f>
        <v/>
      </c>
      <c r="AC11615" s="16" t="str">
        <f>IFERROR(__xludf.DUMMYFUNCTION("""COMPUTED_VALUE"""),"")</f>
        <v/>
      </c>
    </row>
    <row r="11616">
      <c r="A11616" s="16" t="s">
        <v>87</v>
      </c>
      <c r="E11616" s="16" t="str">
        <f>IFERROR(__xludf.DUMMYFUNCTION("""COMPUTED_VALUE"""),"")</f>
        <v/>
      </c>
      <c r="G11616" s="18"/>
      <c r="H11616" s="16" t="s">
        <v>87</v>
      </c>
      <c r="I11616" s="16" t="s">
        <v>87</v>
      </c>
      <c r="J11616" s="19"/>
      <c r="L11616" s="16" t="str">
        <f>IFERROR(__xludf.DUMMYFUNCTION("""COMPUTED_VALUE"""),"")</f>
        <v/>
      </c>
      <c r="M11616" s="16" t="str">
        <f>IFERROR(__xludf.DUMMYFUNCTION("""COMPUTED_VALUE"""),"")</f>
        <v/>
      </c>
      <c r="U11616" s="16" t="s">
        <v>87</v>
      </c>
      <c r="V11616" s="16" t="str">
        <f>IFERROR(__xludf.DUMMYFUNCTION("""COMPUTED_VALUE"""),"")</f>
        <v/>
      </c>
      <c r="W11616" s="16" t="str">
        <f>IFERROR(__xludf.DUMMYFUNCTION("""COMPUTED_VALUE"""),"")</f>
        <v/>
      </c>
      <c r="X11616" s="16" t="str">
        <f>IFERROR(__xludf.DUMMYFUNCTION("""COMPUTED_VALUE"""),"")</f>
        <v/>
      </c>
      <c r="AC11616" s="16" t="str">
        <f>IFERROR(__xludf.DUMMYFUNCTION("""COMPUTED_VALUE"""),"")</f>
        <v/>
      </c>
    </row>
    <row r="11617">
      <c r="A11617" s="16" t="s">
        <v>87</v>
      </c>
      <c r="E11617" s="16" t="str">
        <f>IFERROR(__xludf.DUMMYFUNCTION("""COMPUTED_VALUE"""),"")</f>
        <v/>
      </c>
      <c r="G11617" s="18"/>
      <c r="H11617" s="16" t="s">
        <v>87</v>
      </c>
      <c r="I11617" s="16" t="s">
        <v>87</v>
      </c>
      <c r="J11617" s="19"/>
      <c r="L11617" s="16" t="str">
        <f>IFERROR(__xludf.DUMMYFUNCTION("""COMPUTED_VALUE"""),"")</f>
        <v/>
      </c>
      <c r="M11617" s="16" t="str">
        <f>IFERROR(__xludf.DUMMYFUNCTION("""COMPUTED_VALUE"""),"")</f>
        <v/>
      </c>
      <c r="U11617" s="16" t="s">
        <v>87</v>
      </c>
      <c r="V11617" s="16" t="str">
        <f>IFERROR(__xludf.DUMMYFUNCTION("""COMPUTED_VALUE"""),"")</f>
        <v/>
      </c>
      <c r="W11617" s="16" t="str">
        <f>IFERROR(__xludf.DUMMYFUNCTION("""COMPUTED_VALUE"""),"")</f>
        <v/>
      </c>
      <c r="X11617" s="16" t="str">
        <f>IFERROR(__xludf.DUMMYFUNCTION("""COMPUTED_VALUE"""),"")</f>
        <v/>
      </c>
      <c r="AC11617" s="16" t="str">
        <f>IFERROR(__xludf.DUMMYFUNCTION("""COMPUTED_VALUE"""),"")</f>
        <v/>
      </c>
    </row>
    <row r="11618">
      <c r="A11618" s="16" t="s">
        <v>87</v>
      </c>
      <c r="E11618" s="16" t="str">
        <f>IFERROR(__xludf.DUMMYFUNCTION("""COMPUTED_VALUE"""),"")</f>
        <v/>
      </c>
      <c r="G11618" s="18"/>
      <c r="H11618" s="16" t="s">
        <v>87</v>
      </c>
      <c r="I11618" s="16" t="s">
        <v>87</v>
      </c>
      <c r="J11618" s="19"/>
      <c r="L11618" s="16" t="str">
        <f>IFERROR(__xludf.DUMMYFUNCTION("""COMPUTED_VALUE"""),"")</f>
        <v/>
      </c>
      <c r="M11618" s="16" t="str">
        <f>IFERROR(__xludf.DUMMYFUNCTION("""COMPUTED_VALUE"""),"")</f>
        <v/>
      </c>
      <c r="U11618" s="16" t="s">
        <v>87</v>
      </c>
      <c r="V11618" s="16" t="str">
        <f>IFERROR(__xludf.DUMMYFUNCTION("""COMPUTED_VALUE"""),"")</f>
        <v/>
      </c>
      <c r="W11618" s="16" t="str">
        <f>IFERROR(__xludf.DUMMYFUNCTION("""COMPUTED_VALUE"""),"")</f>
        <v/>
      </c>
      <c r="X11618" s="16" t="str">
        <f>IFERROR(__xludf.DUMMYFUNCTION("""COMPUTED_VALUE"""),"")</f>
        <v/>
      </c>
      <c r="AC11618" s="16" t="str">
        <f>IFERROR(__xludf.DUMMYFUNCTION("""COMPUTED_VALUE"""),"")</f>
        <v/>
      </c>
    </row>
    <row r="11619">
      <c r="A11619" s="16" t="s">
        <v>87</v>
      </c>
      <c r="E11619" s="16" t="str">
        <f>IFERROR(__xludf.DUMMYFUNCTION("""COMPUTED_VALUE"""),"")</f>
        <v/>
      </c>
      <c r="G11619" s="18"/>
      <c r="H11619" s="16" t="s">
        <v>87</v>
      </c>
      <c r="I11619" s="16" t="s">
        <v>87</v>
      </c>
      <c r="J11619" s="19"/>
      <c r="L11619" s="16" t="str">
        <f>IFERROR(__xludf.DUMMYFUNCTION("""COMPUTED_VALUE"""),"")</f>
        <v/>
      </c>
      <c r="M11619" s="16" t="str">
        <f>IFERROR(__xludf.DUMMYFUNCTION("""COMPUTED_VALUE"""),"")</f>
        <v/>
      </c>
      <c r="U11619" s="16" t="s">
        <v>87</v>
      </c>
      <c r="V11619" s="16" t="str">
        <f>IFERROR(__xludf.DUMMYFUNCTION("""COMPUTED_VALUE"""),"")</f>
        <v/>
      </c>
      <c r="W11619" s="16" t="str">
        <f>IFERROR(__xludf.DUMMYFUNCTION("""COMPUTED_VALUE"""),"")</f>
        <v/>
      </c>
      <c r="X11619" s="16" t="str">
        <f>IFERROR(__xludf.DUMMYFUNCTION("""COMPUTED_VALUE"""),"")</f>
        <v/>
      </c>
      <c r="AC11619" s="16" t="str">
        <f>IFERROR(__xludf.DUMMYFUNCTION("""COMPUTED_VALUE"""),"")</f>
        <v/>
      </c>
    </row>
    <row r="11620">
      <c r="A11620" s="16" t="s">
        <v>87</v>
      </c>
      <c r="E11620" s="16" t="str">
        <f>IFERROR(__xludf.DUMMYFUNCTION("""COMPUTED_VALUE"""),"")</f>
        <v/>
      </c>
      <c r="G11620" s="18"/>
      <c r="H11620" s="16" t="s">
        <v>87</v>
      </c>
      <c r="I11620" s="16" t="s">
        <v>87</v>
      </c>
      <c r="J11620" s="19"/>
      <c r="L11620" s="16" t="str">
        <f>IFERROR(__xludf.DUMMYFUNCTION("""COMPUTED_VALUE"""),"")</f>
        <v/>
      </c>
      <c r="M11620" s="16" t="str">
        <f>IFERROR(__xludf.DUMMYFUNCTION("""COMPUTED_VALUE"""),"")</f>
        <v/>
      </c>
      <c r="U11620" s="16" t="s">
        <v>87</v>
      </c>
      <c r="V11620" s="16" t="str">
        <f>IFERROR(__xludf.DUMMYFUNCTION("""COMPUTED_VALUE"""),"")</f>
        <v/>
      </c>
      <c r="W11620" s="16" t="str">
        <f>IFERROR(__xludf.DUMMYFUNCTION("""COMPUTED_VALUE"""),"")</f>
        <v/>
      </c>
      <c r="X11620" s="16" t="str">
        <f>IFERROR(__xludf.DUMMYFUNCTION("""COMPUTED_VALUE"""),"")</f>
        <v/>
      </c>
      <c r="AC11620" s="16" t="str">
        <f>IFERROR(__xludf.DUMMYFUNCTION("""COMPUTED_VALUE"""),"")</f>
        <v/>
      </c>
    </row>
    <row r="11621">
      <c r="A11621" s="16" t="s">
        <v>87</v>
      </c>
      <c r="E11621" s="16" t="str">
        <f>IFERROR(__xludf.DUMMYFUNCTION("""COMPUTED_VALUE"""),"")</f>
        <v/>
      </c>
      <c r="G11621" s="18"/>
      <c r="H11621" s="16" t="s">
        <v>87</v>
      </c>
      <c r="I11621" s="16" t="s">
        <v>87</v>
      </c>
      <c r="J11621" s="19"/>
      <c r="L11621" s="16" t="str">
        <f>IFERROR(__xludf.DUMMYFUNCTION("""COMPUTED_VALUE"""),"")</f>
        <v/>
      </c>
      <c r="M11621" s="16" t="str">
        <f>IFERROR(__xludf.DUMMYFUNCTION("""COMPUTED_VALUE"""),"")</f>
        <v/>
      </c>
      <c r="U11621" s="16" t="s">
        <v>87</v>
      </c>
      <c r="V11621" s="16" t="str">
        <f>IFERROR(__xludf.DUMMYFUNCTION("""COMPUTED_VALUE"""),"")</f>
        <v/>
      </c>
      <c r="W11621" s="16" t="str">
        <f>IFERROR(__xludf.DUMMYFUNCTION("""COMPUTED_VALUE"""),"")</f>
        <v/>
      </c>
      <c r="X11621" s="16" t="str">
        <f>IFERROR(__xludf.DUMMYFUNCTION("""COMPUTED_VALUE"""),"")</f>
        <v/>
      </c>
      <c r="AC11621" s="16" t="str">
        <f>IFERROR(__xludf.DUMMYFUNCTION("""COMPUTED_VALUE"""),"")</f>
        <v/>
      </c>
    </row>
    <row r="11622">
      <c r="A11622" s="16" t="s">
        <v>87</v>
      </c>
      <c r="E11622" s="16" t="str">
        <f>IFERROR(__xludf.DUMMYFUNCTION("""COMPUTED_VALUE"""),"")</f>
        <v/>
      </c>
      <c r="G11622" s="18"/>
      <c r="H11622" s="16" t="s">
        <v>87</v>
      </c>
      <c r="I11622" s="16" t="s">
        <v>87</v>
      </c>
      <c r="J11622" s="19"/>
      <c r="L11622" s="16" t="str">
        <f>IFERROR(__xludf.DUMMYFUNCTION("""COMPUTED_VALUE"""),"")</f>
        <v/>
      </c>
      <c r="M11622" s="16" t="str">
        <f>IFERROR(__xludf.DUMMYFUNCTION("""COMPUTED_VALUE"""),"")</f>
        <v/>
      </c>
      <c r="U11622" s="16" t="s">
        <v>87</v>
      </c>
      <c r="V11622" s="16" t="str">
        <f>IFERROR(__xludf.DUMMYFUNCTION("""COMPUTED_VALUE"""),"")</f>
        <v/>
      </c>
      <c r="W11622" s="16" t="str">
        <f>IFERROR(__xludf.DUMMYFUNCTION("""COMPUTED_VALUE"""),"")</f>
        <v/>
      </c>
      <c r="X11622" s="16" t="str">
        <f>IFERROR(__xludf.DUMMYFUNCTION("""COMPUTED_VALUE"""),"")</f>
        <v/>
      </c>
      <c r="AC11622" s="16" t="str">
        <f>IFERROR(__xludf.DUMMYFUNCTION("""COMPUTED_VALUE"""),"")</f>
        <v/>
      </c>
    </row>
    <row r="11623">
      <c r="A11623" s="16" t="s">
        <v>87</v>
      </c>
      <c r="E11623" s="16" t="str">
        <f>IFERROR(__xludf.DUMMYFUNCTION("""COMPUTED_VALUE"""),"")</f>
        <v/>
      </c>
      <c r="G11623" s="18"/>
      <c r="H11623" s="16" t="s">
        <v>87</v>
      </c>
      <c r="I11623" s="16" t="s">
        <v>87</v>
      </c>
      <c r="J11623" s="19"/>
      <c r="L11623" s="16" t="str">
        <f>IFERROR(__xludf.DUMMYFUNCTION("""COMPUTED_VALUE"""),"")</f>
        <v/>
      </c>
      <c r="M11623" s="16" t="str">
        <f>IFERROR(__xludf.DUMMYFUNCTION("""COMPUTED_VALUE"""),"")</f>
        <v/>
      </c>
      <c r="U11623" s="16" t="s">
        <v>87</v>
      </c>
      <c r="V11623" s="16" t="str">
        <f>IFERROR(__xludf.DUMMYFUNCTION("""COMPUTED_VALUE"""),"")</f>
        <v/>
      </c>
      <c r="W11623" s="16" t="str">
        <f>IFERROR(__xludf.DUMMYFUNCTION("""COMPUTED_VALUE"""),"")</f>
        <v/>
      </c>
      <c r="X11623" s="16" t="str">
        <f>IFERROR(__xludf.DUMMYFUNCTION("""COMPUTED_VALUE"""),"")</f>
        <v/>
      </c>
      <c r="AC11623" s="16" t="str">
        <f>IFERROR(__xludf.DUMMYFUNCTION("""COMPUTED_VALUE"""),"")</f>
        <v/>
      </c>
    </row>
    <row r="11624">
      <c r="A11624" s="16" t="s">
        <v>87</v>
      </c>
      <c r="E11624" s="16" t="str">
        <f>IFERROR(__xludf.DUMMYFUNCTION("""COMPUTED_VALUE"""),"")</f>
        <v/>
      </c>
      <c r="G11624" s="18"/>
      <c r="H11624" s="16" t="s">
        <v>87</v>
      </c>
      <c r="I11624" s="16" t="s">
        <v>87</v>
      </c>
      <c r="J11624" s="19"/>
      <c r="L11624" s="16" t="str">
        <f>IFERROR(__xludf.DUMMYFUNCTION("""COMPUTED_VALUE"""),"")</f>
        <v/>
      </c>
      <c r="M11624" s="16" t="str">
        <f>IFERROR(__xludf.DUMMYFUNCTION("""COMPUTED_VALUE"""),"")</f>
        <v/>
      </c>
      <c r="U11624" s="16" t="s">
        <v>87</v>
      </c>
      <c r="V11624" s="16" t="str">
        <f>IFERROR(__xludf.DUMMYFUNCTION("""COMPUTED_VALUE"""),"")</f>
        <v/>
      </c>
      <c r="W11624" s="16" t="str">
        <f>IFERROR(__xludf.DUMMYFUNCTION("""COMPUTED_VALUE"""),"")</f>
        <v/>
      </c>
      <c r="X11624" s="16" t="str">
        <f>IFERROR(__xludf.DUMMYFUNCTION("""COMPUTED_VALUE"""),"")</f>
        <v/>
      </c>
      <c r="AC11624" s="16" t="str">
        <f>IFERROR(__xludf.DUMMYFUNCTION("""COMPUTED_VALUE"""),"")</f>
        <v/>
      </c>
    </row>
    <row r="11625">
      <c r="A11625" s="16" t="s">
        <v>87</v>
      </c>
      <c r="E11625" s="16" t="str">
        <f>IFERROR(__xludf.DUMMYFUNCTION("""COMPUTED_VALUE"""),"")</f>
        <v/>
      </c>
      <c r="G11625" s="18"/>
      <c r="H11625" s="16" t="s">
        <v>87</v>
      </c>
      <c r="I11625" s="16" t="s">
        <v>87</v>
      </c>
      <c r="J11625" s="19"/>
      <c r="L11625" s="16" t="str">
        <f>IFERROR(__xludf.DUMMYFUNCTION("""COMPUTED_VALUE"""),"")</f>
        <v/>
      </c>
      <c r="M11625" s="16" t="str">
        <f>IFERROR(__xludf.DUMMYFUNCTION("""COMPUTED_VALUE"""),"")</f>
        <v/>
      </c>
      <c r="U11625" s="16" t="s">
        <v>87</v>
      </c>
      <c r="V11625" s="16" t="str">
        <f>IFERROR(__xludf.DUMMYFUNCTION("""COMPUTED_VALUE"""),"")</f>
        <v/>
      </c>
      <c r="W11625" s="16" t="str">
        <f>IFERROR(__xludf.DUMMYFUNCTION("""COMPUTED_VALUE"""),"")</f>
        <v/>
      </c>
      <c r="X11625" s="16" t="str">
        <f>IFERROR(__xludf.DUMMYFUNCTION("""COMPUTED_VALUE"""),"")</f>
        <v/>
      </c>
      <c r="AC11625" s="16" t="str">
        <f>IFERROR(__xludf.DUMMYFUNCTION("""COMPUTED_VALUE"""),"")</f>
        <v/>
      </c>
    </row>
    <row r="11626">
      <c r="A11626" s="16" t="s">
        <v>87</v>
      </c>
      <c r="E11626" s="16" t="str">
        <f>IFERROR(__xludf.DUMMYFUNCTION("""COMPUTED_VALUE"""),"")</f>
        <v/>
      </c>
      <c r="G11626" s="18"/>
      <c r="H11626" s="16" t="s">
        <v>87</v>
      </c>
      <c r="I11626" s="16" t="s">
        <v>87</v>
      </c>
      <c r="J11626" s="19"/>
      <c r="L11626" s="16" t="str">
        <f>IFERROR(__xludf.DUMMYFUNCTION("""COMPUTED_VALUE"""),"")</f>
        <v/>
      </c>
      <c r="M11626" s="16" t="str">
        <f>IFERROR(__xludf.DUMMYFUNCTION("""COMPUTED_VALUE"""),"")</f>
        <v/>
      </c>
      <c r="U11626" s="16" t="s">
        <v>87</v>
      </c>
      <c r="V11626" s="16" t="str">
        <f>IFERROR(__xludf.DUMMYFUNCTION("""COMPUTED_VALUE"""),"")</f>
        <v/>
      </c>
      <c r="W11626" s="16" t="str">
        <f>IFERROR(__xludf.DUMMYFUNCTION("""COMPUTED_VALUE"""),"")</f>
        <v/>
      </c>
      <c r="X11626" s="16" t="str">
        <f>IFERROR(__xludf.DUMMYFUNCTION("""COMPUTED_VALUE"""),"")</f>
        <v/>
      </c>
      <c r="AC11626" s="16" t="str">
        <f>IFERROR(__xludf.DUMMYFUNCTION("""COMPUTED_VALUE"""),"")</f>
        <v/>
      </c>
    </row>
    <row r="11627">
      <c r="A11627" s="16" t="s">
        <v>87</v>
      </c>
      <c r="E11627" s="16" t="str">
        <f>IFERROR(__xludf.DUMMYFUNCTION("""COMPUTED_VALUE"""),"")</f>
        <v/>
      </c>
      <c r="G11627" s="18"/>
      <c r="H11627" s="16" t="s">
        <v>87</v>
      </c>
      <c r="I11627" s="16" t="s">
        <v>87</v>
      </c>
      <c r="J11627" s="19"/>
      <c r="L11627" s="16" t="str">
        <f>IFERROR(__xludf.DUMMYFUNCTION("""COMPUTED_VALUE"""),"")</f>
        <v/>
      </c>
      <c r="M11627" s="16" t="str">
        <f>IFERROR(__xludf.DUMMYFUNCTION("""COMPUTED_VALUE"""),"")</f>
        <v/>
      </c>
      <c r="U11627" s="16" t="s">
        <v>87</v>
      </c>
      <c r="V11627" s="16" t="str">
        <f>IFERROR(__xludf.DUMMYFUNCTION("""COMPUTED_VALUE"""),"")</f>
        <v/>
      </c>
      <c r="W11627" s="16" t="str">
        <f>IFERROR(__xludf.DUMMYFUNCTION("""COMPUTED_VALUE"""),"")</f>
        <v/>
      </c>
      <c r="X11627" s="16" t="str">
        <f>IFERROR(__xludf.DUMMYFUNCTION("""COMPUTED_VALUE"""),"")</f>
        <v/>
      </c>
      <c r="AC11627" s="16" t="str">
        <f>IFERROR(__xludf.DUMMYFUNCTION("""COMPUTED_VALUE"""),"")</f>
        <v/>
      </c>
    </row>
    <row r="11628">
      <c r="A11628" s="16" t="s">
        <v>87</v>
      </c>
      <c r="E11628" s="16" t="str">
        <f>IFERROR(__xludf.DUMMYFUNCTION("""COMPUTED_VALUE"""),"")</f>
        <v/>
      </c>
      <c r="G11628" s="18"/>
      <c r="H11628" s="16" t="s">
        <v>87</v>
      </c>
      <c r="I11628" s="16" t="s">
        <v>87</v>
      </c>
      <c r="J11628" s="19"/>
      <c r="L11628" s="16" t="str">
        <f>IFERROR(__xludf.DUMMYFUNCTION("""COMPUTED_VALUE"""),"")</f>
        <v/>
      </c>
      <c r="M11628" s="16" t="str">
        <f>IFERROR(__xludf.DUMMYFUNCTION("""COMPUTED_VALUE"""),"")</f>
        <v/>
      </c>
      <c r="U11628" s="16" t="s">
        <v>87</v>
      </c>
      <c r="V11628" s="16" t="str">
        <f>IFERROR(__xludf.DUMMYFUNCTION("""COMPUTED_VALUE"""),"")</f>
        <v/>
      </c>
      <c r="W11628" s="16" t="str">
        <f>IFERROR(__xludf.DUMMYFUNCTION("""COMPUTED_VALUE"""),"")</f>
        <v/>
      </c>
      <c r="X11628" s="16" t="str">
        <f>IFERROR(__xludf.DUMMYFUNCTION("""COMPUTED_VALUE"""),"")</f>
        <v/>
      </c>
      <c r="AC11628" s="16" t="str">
        <f>IFERROR(__xludf.DUMMYFUNCTION("""COMPUTED_VALUE"""),"")</f>
        <v/>
      </c>
    </row>
    <row r="11629">
      <c r="A11629" s="16" t="s">
        <v>87</v>
      </c>
      <c r="E11629" s="16" t="str">
        <f>IFERROR(__xludf.DUMMYFUNCTION("""COMPUTED_VALUE"""),"")</f>
        <v/>
      </c>
      <c r="G11629" s="18"/>
      <c r="H11629" s="16" t="s">
        <v>87</v>
      </c>
      <c r="I11629" s="16" t="s">
        <v>87</v>
      </c>
      <c r="J11629" s="19"/>
      <c r="L11629" s="16" t="str">
        <f>IFERROR(__xludf.DUMMYFUNCTION("""COMPUTED_VALUE"""),"")</f>
        <v/>
      </c>
      <c r="M11629" s="16" t="str">
        <f>IFERROR(__xludf.DUMMYFUNCTION("""COMPUTED_VALUE"""),"")</f>
        <v/>
      </c>
      <c r="U11629" s="16" t="s">
        <v>87</v>
      </c>
      <c r="V11629" s="16" t="str">
        <f>IFERROR(__xludf.DUMMYFUNCTION("""COMPUTED_VALUE"""),"")</f>
        <v/>
      </c>
      <c r="W11629" s="16" t="str">
        <f>IFERROR(__xludf.DUMMYFUNCTION("""COMPUTED_VALUE"""),"")</f>
        <v/>
      </c>
      <c r="X11629" s="16" t="str">
        <f>IFERROR(__xludf.DUMMYFUNCTION("""COMPUTED_VALUE"""),"")</f>
        <v/>
      </c>
      <c r="AC11629" s="16" t="str">
        <f>IFERROR(__xludf.DUMMYFUNCTION("""COMPUTED_VALUE"""),"")</f>
        <v/>
      </c>
    </row>
    <row r="11630">
      <c r="A11630" s="16" t="s">
        <v>87</v>
      </c>
      <c r="E11630" s="16" t="str">
        <f>IFERROR(__xludf.DUMMYFUNCTION("""COMPUTED_VALUE"""),"")</f>
        <v/>
      </c>
      <c r="G11630" s="18"/>
      <c r="H11630" s="16" t="s">
        <v>87</v>
      </c>
      <c r="I11630" s="16" t="s">
        <v>87</v>
      </c>
      <c r="J11630" s="19"/>
      <c r="L11630" s="16" t="str">
        <f>IFERROR(__xludf.DUMMYFUNCTION("""COMPUTED_VALUE"""),"")</f>
        <v/>
      </c>
      <c r="M11630" s="16" t="str">
        <f>IFERROR(__xludf.DUMMYFUNCTION("""COMPUTED_VALUE"""),"")</f>
        <v/>
      </c>
      <c r="U11630" s="16" t="s">
        <v>87</v>
      </c>
      <c r="V11630" s="16" t="str">
        <f>IFERROR(__xludf.DUMMYFUNCTION("""COMPUTED_VALUE"""),"")</f>
        <v/>
      </c>
      <c r="W11630" s="16" t="str">
        <f>IFERROR(__xludf.DUMMYFUNCTION("""COMPUTED_VALUE"""),"")</f>
        <v/>
      </c>
      <c r="X11630" s="16" t="str">
        <f>IFERROR(__xludf.DUMMYFUNCTION("""COMPUTED_VALUE"""),"")</f>
        <v/>
      </c>
      <c r="AC11630" s="16" t="str">
        <f>IFERROR(__xludf.DUMMYFUNCTION("""COMPUTED_VALUE"""),"")</f>
        <v/>
      </c>
    </row>
    <row r="11631">
      <c r="A11631" s="16" t="s">
        <v>87</v>
      </c>
      <c r="E11631" s="16" t="str">
        <f>IFERROR(__xludf.DUMMYFUNCTION("""COMPUTED_VALUE"""),"")</f>
        <v/>
      </c>
      <c r="G11631" s="18"/>
      <c r="H11631" s="16" t="s">
        <v>87</v>
      </c>
      <c r="I11631" s="16" t="s">
        <v>87</v>
      </c>
      <c r="J11631" s="19"/>
      <c r="L11631" s="16" t="str">
        <f>IFERROR(__xludf.DUMMYFUNCTION("""COMPUTED_VALUE"""),"")</f>
        <v/>
      </c>
      <c r="M11631" s="16" t="str">
        <f>IFERROR(__xludf.DUMMYFUNCTION("""COMPUTED_VALUE"""),"")</f>
        <v/>
      </c>
      <c r="U11631" s="16" t="s">
        <v>87</v>
      </c>
      <c r="V11631" s="16" t="str">
        <f>IFERROR(__xludf.DUMMYFUNCTION("""COMPUTED_VALUE"""),"")</f>
        <v/>
      </c>
      <c r="W11631" s="16" t="str">
        <f>IFERROR(__xludf.DUMMYFUNCTION("""COMPUTED_VALUE"""),"")</f>
        <v/>
      </c>
      <c r="X11631" s="16" t="str">
        <f>IFERROR(__xludf.DUMMYFUNCTION("""COMPUTED_VALUE"""),"")</f>
        <v/>
      </c>
      <c r="AC11631" s="16" t="str">
        <f>IFERROR(__xludf.DUMMYFUNCTION("""COMPUTED_VALUE"""),"")</f>
        <v/>
      </c>
    </row>
    <row r="11632">
      <c r="A11632" s="16" t="s">
        <v>87</v>
      </c>
      <c r="E11632" s="16" t="str">
        <f>IFERROR(__xludf.DUMMYFUNCTION("""COMPUTED_VALUE"""),"")</f>
        <v/>
      </c>
      <c r="G11632" s="18"/>
      <c r="H11632" s="16" t="s">
        <v>87</v>
      </c>
      <c r="I11632" s="16" t="s">
        <v>87</v>
      </c>
      <c r="J11632" s="19"/>
      <c r="L11632" s="16" t="str">
        <f>IFERROR(__xludf.DUMMYFUNCTION("""COMPUTED_VALUE"""),"")</f>
        <v/>
      </c>
      <c r="M11632" s="16" t="str">
        <f>IFERROR(__xludf.DUMMYFUNCTION("""COMPUTED_VALUE"""),"")</f>
        <v/>
      </c>
      <c r="U11632" s="16" t="s">
        <v>87</v>
      </c>
      <c r="V11632" s="16" t="str">
        <f>IFERROR(__xludf.DUMMYFUNCTION("""COMPUTED_VALUE"""),"")</f>
        <v/>
      </c>
      <c r="W11632" s="16" t="str">
        <f>IFERROR(__xludf.DUMMYFUNCTION("""COMPUTED_VALUE"""),"")</f>
        <v/>
      </c>
      <c r="X11632" s="16" t="str">
        <f>IFERROR(__xludf.DUMMYFUNCTION("""COMPUTED_VALUE"""),"")</f>
        <v/>
      </c>
      <c r="AC11632" s="16" t="str">
        <f>IFERROR(__xludf.DUMMYFUNCTION("""COMPUTED_VALUE"""),"")</f>
        <v/>
      </c>
    </row>
    <row r="11633">
      <c r="A11633" s="16" t="s">
        <v>87</v>
      </c>
      <c r="E11633" s="16" t="str">
        <f>IFERROR(__xludf.DUMMYFUNCTION("""COMPUTED_VALUE"""),"")</f>
        <v/>
      </c>
      <c r="G11633" s="18"/>
      <c r="H11633" s="16" t="s">
        <v>87</v>
      </c>
      <c r="I11633" s="16" t="s">
        <v>87</v>
      </c>
      <c r="J11633" s="19"/>
      <c r="L11633" s="16" t="str">
        <f>IFERROR(__xludf.DUMMYFUNCTION("""COMPUTED_VALUE"""),"")</f>
        <v/>
      </c>
      <c r="M11633" s="16" t="str">
        <f>IFERROR(__xludf.DUMMYFUNCTION("""COMPUTED_VALUE"""),"")</f>
        <v/>
      </c>
      <c r="U11633" s="16" t="s">
        <v>87</v>
      </c>
      <c r="V11633" s="16" t="str">
        <f>IFERROR(__xludf.DUMMYFUNCTION("""COMPUTED_VALUE"""),"")</f>
        <v/>
      </c>
      <c r="W11633" s="16" t="str">
        <f>IFERROR(__xludf.DUMMYFUNCTION("""COMPUTED_VALUE"""),"")</f>
        <v/>
      </c>
      <c r="X11633" s="16" t="str">
        <f>IFERROR(__xludf.DUMMYFUNCTION("""COMPUTED_VALUE"""),"")</f>
        <v/>
      </c>
      <c r="AC11633" s="16" t="str">
        <f>IFERROR(__xludf.DUMMYFUNCTION("""COMPUTED_VALUE"""),"")</f>
        <v/>
      </c>
    </row>
    <row r="11634">
      <c r="A11634" s="16" t="s">
        <v>87</v>
      </c>
      <c r="E11634" s="16" t="str">
        <f>IFERROR(__xludf.DUMMYFUNCTION("""COMPUTED_VALUE"""),"")</f>
        <v/>
      </c>
      <c r="G11634" s="18"/>
      <c r="H11634" s="16" t="s">
        <v>87</v>
      </c>
      <c r="I11634" s="16" t="s">
        <v>87</v>
      </c>
      <c r="J11634" s="19"/>
      <c r="L11634" s="16" t="str">
        <f>IFERROR(__xludf.DUMMYFUNCTION("""COMPUTED_VALUE"""),"")</f>
        <v/>
      </c>
      <c r="M11634" s="16" t="str">
        <f>IFERROR(__xludf.DUMMYFUNCTION("""COMPUTED_VALUE"""),"")</f>
        <v/>
      </c>
      <c r="U11634" s="16" t="s">
        <v>87</v>
      </c>
      <c r="V11634" s="16" t="str">
        <f>IFERROR(__xludf.DUMMYFUNCTION("""COMPUTED_VALUE"""),"")</f>
        <v/>
      </c>
      <c r="W11634" s="16" t="str">
        <f>IFERROR(__xludf.DUMMYFUNCTION("""COMPUTED_VALUE"""),"")</f>
        <v/>
      </c>
      <c r="X11634" s="16" t="str">
        <f>IFERROR(__xludf.DUMMYFUNCTION("""COMPUTED_VALUE"""),"")</f>
        <v/>
      </c>
      <c r="AC11634" s="16" t="str">
        <f>IFERROR(__xludf.DUMMYFUNCTION("""COMPUTED_VALUE"""),"")</f>
        <v/>
      </c>
    </row>
    <row r="11635">
      <c r="A11635" s="16" t="s">
        <v>87</v>
      </c>
      <c r="E11635" s="16" t="str">
        <f>IFERROR(__xludf.DUMMYFUNCTION("""COMPUTED_VALUE"""),"")</f>
        <v/>
      </c>
      <c r="G11635" s="18"/>
      <c r="H11635" s="16" t="s">
        <v>87</v>
      </c>
      <c r="I11635" s="16" t="s">
        <v>87</v>
      </c>
      <c r="J11635" s="19"/>
      <c r="L11635" s="16" t="str">
        <f>IFERROR(__xludf.DUMMYFUNCTION("""COMPUTED_VALUE"""),"")</f>
        <v/>
      </c>
      <c r="M11635" s="16" t="str">
        <f>IFERROR(__xludf.DUMMYFUNCTION("""COMPUTED_VALUE"""),"")</f>
        <v/>
      </c>
      <c r="U11635" s="16" t="s">
        <v>87</v>
      </c>
      <c r="V11635" s="16" t="str">
        <f>IFERROR(__xludf.DUMMYFUNCTION("""COMPUTED_VALUE"""),"")</f>
        <v/>
      </c>
      <c r="W11635" s="16" t="str">
        <f>IFERROR(__xludf.DUMMYFUNCTION("""COMPUTED_VALUE"""),"")</f>
        <v/>
      </c>
      <c r="X11635" s="16" t="str">
        <f>IFERROR(__xludf.DUMMYFUNCTION("""COMPUTED_VALUE"""),"")</f>
        <v/>
      </c>
      <c r="AC11635" s="16" t="str">
        <f>IFERROR(__xludf.DUMMYFUNCTION("""COMPUTED_VALUE"""),"")</f>
        <v/>
      </c>
    </row>
    <row r="11636">
      <c r="A11636" s="16" t="s">
        <v>87</v>
      </c>
      <c r="E11636" s="16" t="str">
        <f>IFERROR(__xludf.DUMMYFUNCTION("""COMPUTED_VALUE"""),"")</f>
        <v/>
      </c>
      <c r="G11636" s="18"/>
      <c r="H11636" s="16" t="s">
        <v>87</v>
      </c>
      <c r="I11636" s="16" t="s">
        <v>87</v>
      </c>
      <c r="J11636" s="19"/>
      <c r="L11636" s="16" t="str">
        <f>IFERROR(__xludf.DUMMYFUNCTION("""COMPUTED_VALUE"""),"")</f>
        <v/>
      </c>
      <c r="M11636" s="16" t="str">
        <f>IFERROR(__xludf.DUMMYFUNCTION("""COMPUTED_VALUE"""),"")</f>
        <v/>
      </c>
      <c r="U11636" s="16" t="s">
        <v>87</v>
      </c>
      <c r="V11636" s="16" t="str">
        <f>IFERROR(__xludf.DUMMYFUNCTION("""COMPUTED_VALUE"""),"")</f>
        <v/>
      </c>
      <c r="W11636" s="16" t="str">
        <f>IFERROR(__xludf.DUMMYFUNCTION("""COMPUTED_VALUE"""),"")</f>
        <v/>
      </c>
      <c r="X11636" s="16" t="str">
        <f>IFERROR(__xludf.DUMMYFUNCTION("""COMPUTED_VALUE"""),"")</f>
        <v/>
      </c>
      <c r="AC11636" s="16" t="str">
        <f>IFERROR(__xludf.DUMMYFUNCTION("""COMPUTED_VALUE"""),"")</f>
        <v/>
      </c>
    </row>
    <row r="11637">
      <c r="A11637" s="16" t="s">
        <v>87</v>
      </c>
      <c r="E11637" s="16" t="str">
        <f>IFERROR(__xludf.DUMMYFUNCTION("""COMPUTED_VALUE"""),"")</f>
        <v/>
      </c>
      <c r="G11637" s="18"/>
      <c r="H11637" s="16" t="s">
        <v>87</v>
      </c>
      <c r="I11637" s="16" t="s">
        <v>87</v>
      </c>
      <c r="J11637" s="19"/>
      <c r="L11637" s="16" t="str">
        <f>IFERROR(__xludf.DUMMYFUNCTION("""COMPUTED_VALUE"""),"")</f>
        <v/>
      </c>
      <c r="M11637" s="16" t="str">
        <f>IFERROR(__xludf.DUMMYFUNCTION("""COMPUTED_VALUE"""),"")</f>
        <v/>
      </c>
      <c r="U11637" s="16" t="s">
        <v>87</v>
      </c>
      <c r="V11637" s="16" t="str">
        <f>IFERROR(__xludf.DUMMYFUNCTION("""COMPUTED_VALUE"""),"")</f>
        <v/>
      </c>
      <c r="W11637" s="16" t="str">
        <f>IFERROR(__xludf.DUMMYFUNCTION("""COMPUTED_VALUE"""),"")</f>
        <v/>
      </c>
      <c r="X11637" s="16" t="str">
        <f>IFERROR(__xludf.DUMMYFUNCTION("""COMPUTED_VALUE"""),"")</f>
        <v/>
      </c>
      <c r="AC11637" s="16" t="str">
        <f>IFERROR(__xludf.DUMMYFUNCTION("""COMPUTED_VALUE"""),"")</f>
        <v/>
      </c>
    </row>
    <row r="11638">
      <c r="A11638" s="16" t="s">
        <v>87</v>
      </c>
      <c r="E11638" s="16" t="str">
        <f>IFERROR(__xludf.DUMMYFUNCTION("""COMPUTED_VALUE"""),"")</f>
        <v/>
      </c>
      <c r="G11638" s="18"/>
      <c r="H11638" s="16" t="s">
        <v>87</v>
      </c>
      <c r="I11638" s="16" t="s">
        <v>87</v>
      </c>
      <c r="J11638" s="19"/>
      <c r="L11638" s="16" t="str">
        <f>IFERROR(__xludf.DUMMYFUNCTION("""COMPUTED_VALUE"""),"")</f>
        <v/>
      </c>
      <c r="M11638" s="16" t="str">
        <f>IFERROR(__xludf.DUMMYFUNCTION("""COMPUTED_VALUE"""),"")</f>
        <v/>
      </c>
      <c r="U11638" s="16" t="s">
        <v>87</v>
      </c>
      <c r="V11638" s="16" t="str">
        <f>IFERROR(__xludf.DUMMYFUNCTION("""COMPUTED_VALUE"""),"")</f>
        <v/>
      </c>
      <c r="W11638" s="16" t="str">
        <f>IFERROR(__xludf.DUMMYFUNCTION("""COMPUTED_VALUE"""),"")</f>
        <v/>
      </c>
      <c r="X11638" s="16" t="str">
        <f>IFERROR(__xludf.DUMMYFUNCTION("""COMPUTED_VALUE"""),"")</f>
        <v/>
      </c>
      <c r="AC11638" s="16" t="str">
        <f>IFERROR(__xludf.DUMMYFUNCTION("""COMPUTED_VALUE"""),"")</f>
        <v/>
      </c>
    </row>
    <row r="11639">
      <c r="A11639" s="16" t="s">
        <v>87</v>
      </c>
      <c r="E11639" s="16" t="str">
        <f>IFERROR(__xludf.DUMMYFUNCTION("""COMPUTED_VALUE"""),"")</f>
        <v/>
      </c>
      <c r="G11639" s="18"/>
      <c r="H11639" s="16" t="s">
        <v>87</v>
      </c>
      <c r="I11639" s="16" t="s">
        <v>87</v>
      </c>
      <c r="J11639" s="19"/>
      <c r="L11639" s="16" t="str">
        <f>IFERROR(__xludf.DUMMYFUNCTION("""COMPUTED_VALUE"""),"")</f>
        <v/>
      </c>
      <c r="M11639" s="16" t="str">
        <f>IFERROR(__xludf.DUMMYFUNCTION("""COMPUTED_VALUE"""),"")</f>
        <v/>
      </c>
      <c r="U11639" s="16" t="s">
        <v>87</v>
      </c>
      <c r="V11639" s="16" t="str">
        <f>IFERROR(__xludf.DUMMYFUNCTION("""COMPUTED_VALUE"""),"")</f>
        <v/>
      </c>
      <c r="W11639" s="16" t="str">
        <f>IFERROR(__xludf.DUMMYFUNCTION("""COMPUTED_VALUE"""),"")</f>
        <v/>
      </c>
      <c r="X11639" s="16" t="str">
        <f>IFERROR(__xludf.DUMMYFUNCTION("""COMPUTED_VALUE"""),"")</f>
        <v/>
      </c>
      <c r="AC11639" s="16" t="str">
        <f>IFERROR(__xludf.DUMMYFUNCTION("""COMPUTED_VALUE"""),"")</f>
        <v/>
      </c>
    </row>
    <row r="11640">
      <c r="A11640" s="16" t="s">
        <v>87</v>
      </c>
      <c r="E11640" s="16" t="str">
        <f>IFERROR(__xludf.DUMMYFUNCTION("""COMPUTED_VALUE"""),"")</f>
        <v/>
      </c>
      <c r="G11640" s="18"/>
      <c r="H11640" s="16" t="s">
        <v>87</v>
      </c>
      <c r="I11640" s="16" t="s">
        <v>87</v>
      </c>
      <c r="J11640" s="19"/>
      <c r="L11640" s="16" t="str">
        <f>IFERROR(__xludf.DUMMYFUNCTION("""COMPUTED_VALUE"""),"")</f>
        <v/>
      </c>
      <c r="M11640" s="16" t="str">
        <f>IFERROR(__xludf.DUMMYFUNCTION("""COMPUTED_VALUE"""),"")</f>
        <v/>
      </c>
      <c r="U11640" s="16" t="s">
        <v>87</v>
      </c>
      <c r="V11640" s="16" t="str">
        <f>IFERROR(__xludf.DUMMYFUNCTION("""COMPUTED_VALUE"""),"")</f>
        <v/>
      </c>
      <c r="W11640" s="16" t="str">
        <f>IFERROR(__xludf.DUMMYFUNCTION("""COMPUTED_VALUE"""),"")</f>
        <v/>
      </c>
      <c r="X11640" s="16" t="str">
        <f>IFERROR(__xludf.DUMMYFUNCTION("""COMPUTED_VALUE"""),"")</f>
        <v/>
      </c>
      <c r="AC11640" s="16" t="str">
        <f>IFERROR(__xludf.DUMMYFUNCTION("""COMPUTED_VALUE"""),"")</f>
        <v/>
      </c>
    </row>
    <row r="11641">
      <c r="A11641" s="16" t="s">
        <v>87</v>
      </c>
      <c r="E11641" s="16" t="str">
        <f>IFERROR(__xludf.DUMMYFUNCTION("""COMPUTED_VALUE"""),"")</f>
        <v/>
      </c>
      <c r="G11641" s="18"/>
      <c r="H11641" s="16" t="s">
        <v>87</v>
      </c>
      <c r="I11641" s="16" t="s">
        <v>87</v>
      </c>
      <c r="J11641" s="19"/>
      <c r="L11641" s="16" t="str">
        <f>IFERROR(__xludf.DUMMYFUNCTION("""COMPUTED_VALUE"""),"")</f>
        <v/>
      </c>
      <c r="M11641" s="16" t="str">
        <f>IFERROR(__xludf.DUMMYFUNCTION("""COMPUTED_VALUE"""),"")</f>
        <v/>
      </c>
      <c r="U11641" s="16" t="s">
        <v>87</v>
      </c>
      <c r="V11641" s="16" t="str">
        <f>IFERROR(__xludf.DUMMYFUNCTION("""COMPUTED_VALUE"""),"")</f>
        <v/>
      </c>
      <c r="W11641" s="16" t="str">
        <f>IFERROR(__xludf.DUMMYFUNCTION("""COMPUTED_VALUE"""),"")</f>
        <v/>
      </c>
      <c r="X11641" s="16" t="str">
        <f>IFERROR(__xludf.DUMMYFUNCTION("""COMPUTED_VALUE"""),"")</f>
        <v/>
      </c>
      <c r="AC11641" s="16" t="str">
        <f>IFERROR(__xludf.DUMMYFUNCTION("""COMPUTED_VALUE"""),"")</f>
        <v/>
      </c>
    </row>
    <row r="11642">
      <c r="A11642" s="16" t="s">
        <v>87</v>
      </c>
      <c r="E11642" s="16" t="str">
        <f>IFERROR(__xludf.DUMMYFUNCTION("""COMPUTED_VALUE"""),"")</f>
        <v/>
      </c>
      <c r="G11642" s="18"/>
      <c r="H11642" s="16" t="s">
        <v>87</v>
      </c>
      <c r="I11642" s="16" t="s">
        <v>87</v>
      </c>
      <c r="J11642" s="19"/>
      <c r="L11642" s="16" t="str">
        <f>IFERROR(__xludf.DUMMYFUNCTION("""COMPUTED_VALUE"""),"")</f>
        <v/>
      </c>
      <c r="M11642" s="16" t="str">
        <f>IFERROR(__xludf.DUMMYFUNCTION("""COMPUTED_VALUE"""),"")</f>
        <v/>
      </c>
      <c r="U11642" s="16" t="s">
        <v>87</v>
      </c>
      <c r="V11642" s="16" t="str">
        <f>IFERROR(__xludf.DUMMYFUNCTION("""COMPUTED_VALUE"""),"")</f>
        <v/>
      </c>
      <c r="W11642" s="16" t="str">
        <f>IFERROR(__xludf.DUMMYFUNCTION("""COMPUTED_VALUE"""),"")</f>
        <v/>
      </c>
      <c r="X11642" s="16" t="str">
        <f>IFERROR(__xludf.DUMMYFUNCTION("""COMPUTED_VALUE"""),"")</f>
        <v/>
      </c>
      <c r="AC11642" s="16" t="str">
        <f>IFERROR(__xludf.DUMMYFUNCTION("""COMPUTED_VALUE"""),"")</f>
        <v/>
      </c>
    </row>
    <row r="11643">
      <c r="A11643" s="16" t="s">
        <v>87</v>
      </c>
      <c r="E11643" s="16" t="str">
        <f>IFERROR(__xludf.DUMMYFUNCTION("""COMPUTED_VALUE"""),"")</f>
        <v/>
      </c>
      <c r="G11643" s="18"/>
      <c r="H11643" s="16" t="s">
        <v>87</v>
      </c>
      <c r="I11643" s="16" t="s">
        <v>87</v>
      </c>
      <c r="J11643" s="19"/>
      <c r="L11643" s="16" t="str">
        <f>IFERROR(__xludf.DUMMYFUNCTION("""COMPUTED_VALUE"""),"")</f>
        <v/>
      </c>
      <c r="M11643" s="16" t="str">
        <f>IFERROR(__xludf.DUMMYFUNCTION("""COMPUTED_VALUE"""),"")</f>
        <v/>
      </c>
      <c r="U11643" s="16" t="s">
        <v>87</v>
      </c>
      <c r="V11643" s="16" t="str">
        <f>IFERROR(__xludf.DUMMYFUNCTION("""COMPUTED_VALUE"""),"")</f>
        <v/>
      </c>
      <c r="W11643" s="16" t="str">
        <f>IFERROR(__xludf.DUMMYFUNCTION("""COMPUTED_VALUE"""),"")</f>
        <v/>
      </c>
      <c r="X11643" s="16" t="str">
        <f>IFERROR(__xludf.DUMMYFUNCTION("""COMPUTED_VALUE"""),"")</f>
        <v/>
      </c>
      <c r="AC11643" s="16" t="str">
        <f>IFERROR(__xludf.DUMMYFUNCTION("""COMPUTED_VALUE"""),"")</f>
        <v/>
      </c>
    </row>
    <row r="11644">
      <c r="A11644" s="16" t="s">
        <v>87</v>
      </c>
      <c r="E11644" s="16" t="str">
        <f>IFERROR(__xludf.DUMMYFUNCTION("""COMPUTED_VALUE"""),"")</f>
        <v/>
      </c>
      <c r="G11644" s="18"/>
      <c r="H11644" s="16" t="s">
        <v>87</v>
      </c>
      <c r="I11644" s="16" t="s">
        <v>87</v>
      </c>
      <c r="J11644" s="19"/>
      <c r="L11644" s="16" t="str">
        <f>IFERROR(__xludf.DUMMYFUNCTION("""COMPUTED_VALUE"""),"")</f>
        <v/>
      </c>
      <c r="M11644" s="16" t="str">
        <f>IFERROR(__xludf.DUMMYFUNCTION("""COMPUTED_VALUE"""),"")</f>
        <v/>
      </c>
      <c r="U11644" s="16" t="s">
        <v>87</v>
      </c>
      <c r="V11644" s="16" t="str">
        <f>IFERROR(__xludf.DUMMYFUNCTION("""COMPUTED_VALUE"""),"")</f>
        <v/>
      </c>
      <c r="W11644" s="16" t="str">
        <f>IFERROR(__xludf.DUMMYFUNCTION("""COMPUTED_VALUE"""),"")</f>
        <v/>
      </c>
      <c r="X11644" s="16" t="str">
        <f>IFERROR(__xludf.DUMMYFUNCTION("""COMPUTED_VALUE"""),"")</f>
        <v/>
      </c>
      <c r="AC11644" s="16" t="str">
        <f>IFERROR(__xludf.DUMMYFUNCTION("""COMPUTED_VALUE"""),"")</f>
        <v/>
      </c>
    </row>
    <row r="11645">
      <c r="A11645" s="16" t="s">
        <v>87</v>
      </c>
      <c r="E11645" s="16" t="str">
        <f>IFERROR(__xludf.DUMMYFUNCTION("""COMPUTED_VALUE"""),"")</f>
        <v/>
      </c>
      <c r="G11645" s="18"/>
      <c r="H11645" s="16" t="s">
        <v>87</v>
      </c>
      <c r="I11645" s="16" t="s">
        <v>87</v>
      </c>
      <c r="J11645" s="19"/>
      <c r="L11645" s="16" t="str">
        <f>IFERROR(__xludf.DUMMYFUNCTION("""COMPUTED_VALUE"""),"")</f>
        <v/>
      </c>
      <c r="M11645" s="16" t="str">
        <f>IFERROR(__xludf.DUMMYFUNCTION("""COMPUTED_VALUE"""),"")</f>
        <v/>
      </c>
      <c r="U11645" s="16" t="s">
        <v>87</v>
      </c>
      <c r="V11645" s="16" t="str">
        <f>IFERROR(__xludf.DUMMYFUNCTION("""COMPUTED_VALUE"""),"")</f>
        <v/>
      </c>
      <c r="W11645" s="16" t="str">
        <f>IFERROR(__xludf.DUMMYFUNCTION("""COMPUTED_VALUE"""),"")</f>
        <v/>
      </c>
      <c r="X11645" s="16" t="str">
        <f>IFERROR(__xludf.DUMMYFUNCTION("""COMPUTED_VALUE"""),"")</f>
        <v/>
      </c>
      <c r="AC11645" s="16" t="str">
        <f>IFERROR(__xludf.DUMMYFUNCTION("""COMPUTED_VALUE"""),"")</f>
        <v/>
      </c>
    </row>
    <row r="11646">
      <c r="A11646" s="16" t="s">
        <v>87</v>
      </c>
      <c r="E11646" s="16" t="str">
        <f>IFERROR(__xludf.DUMMYFUNCTION("""COMPUTED_VALUE"""),"")</f>
        <v/>
      </c>
      <c r="G11646" s="18"/>
      <c r="H11646" s="16" t="s">
        <v>87</v>
      </c>
      <c r="I11646" s="16" t="s">
        <v>87</v>
      </c>
      <c r="J11646" s="19"/>
      <c r="L11646" s="16" t="str">
        <f>IFERROR(__xludf.DUMMYFUNCTION("""COMPUTED_VALUE"""),"")</f>
        <v/>
      </c>
      <c r="M11646" s="16" t="str">
        <f>IFERROR(__xludf.DUMMYFUNCTION("""COMPUTED_VALUE"""),"")</f>
        <v/>
      </c>
      <c r="U11646" s="16" t="s">
        <v>87</v>
      </c>
      <c r="V11646" s="16" t="str">
        <f>IFERROR(__xludf.DUMMYFUNCTION("""COMPUTED_VALUE"""),"")</f>
        <v/>
      </c>
      <c r="W11646" s="16" t="str">
        <f>IFERROR(__xludf.DUMMYFUNCTION("""COMPUTED_VALUE"""),"")</f>
        <v/>
      </c>
      <c r="X11646" s="16" t="str">
        <f>IFERROR(__xludf.DUMMYFUNCTION("""COMPUTED_VALUE"""),"")</f>
        <v/>
      </c>
      <c r="AC11646" s="16" t="str">
        <f>IFERROR(__xludf.DUMMYFUNCTION("""COMPUTED_VALUE"""),"")</f>
        <v/>
      </c>
    </row>
    <row r="11647">
      <c r="A11647" s="16" t="s">
        <v>87</v>
      </c>
      <c r="E11647" s="16" t="str">
        <f>IFERROR(__xludf.DUMMYFUNCTION("""COMPUTED_VALUE"""),"")</f>
        <v/>
      </c>
      <c r="G11647" s="18"/>
      <c r="H11647" s="16" t="s">
        <v>87</v>
      </c>
      <c r="I11647" s="16" t="s">
        <v>87</v>
      </c>
      <c r="J11647" s="19"/>
      <c r="L11647" s="16" t="str">
        <f>IFERROR(__xludf.DUMMYFUNCTION("""COMPUTED_VALUE"""),"")</f>
        <v/>
      </c>
      <c r="M11647" s="16" t="str">
        <f>IFERROR(__xludf.DUMMYFUNCTION("""COMPUTED_VALUE"""),"")</f>
        <v/>
      </c>
      <c r="U11647" s="16" t="s">
        <v>87</v>
      </c>
      <c r="V11647" s="16" t="str">
        <f>IFERROR(__xludf.DUMMYFUNCTION("""COMPUTED_VALUE"""),"")</f>
        <v/>
      </c>
      <c r="W11647" s="16" t="str">
        <f>IFERROR(__xludf.DUMMYFUNCTION("""COMPUTED_VALUE"""),"")</f>
        <v/>
      </c>
      <c r="X11647" s="16" t="str">
        <f>IFERROR(__xludf.DUMMYFUNCTION("""COMPUTED_VALUE"""),"")</f>
        <v/>
      </c>
      <c r="AC11647" s="16" t="str">
        <f>IFERROR(__xludf.DUMMYFUNCTION("""COMPUTED_VALUE"""),"")</f>
        <v/>
      </c>
    </row>
    <row r="11648">
      <c r="A11648" s="16" t="s">
        <v>87</v>
      </c>
      <c r="E11648" s="16" t="str">
        <f>IFERROR(__xludf.DUMMYFUNCTION("""COMPUTED_VALUE"""),"")</f>
        <v/>
      </c>
      <c r="G11648" s="18"/>
      <c r="H11648" s="16" t="s">
        <v>87</v>
      </c>
      <c r="I11648" s="16" t="s">
        <v>87</v>
      </c>
      <c r="J11648" s="19"/>
      <c r="L11648" s="16" t="str">
        <f>IFERROR(__xludf.DUMMYFUNCTION("""COMPUTED_VALUE"""),"")</f>
        <v/>
      </c>
      <c r="M11648" s="16" t="str">
        <f>IFERROR(__xludf.DUMMYFUNCTION("""COMPUTED_VALUE"""),"")</f>
        <v/>
      </c>
      <c r="U11648" s="16" t="s">
        <v>87</v>
      </c>
      <c r="V11648" s="16" t="str">
        <f>IFERROR(__xludf.DUMMYFUNCTION("""COMPUTED_VALUE"""),"")</f>
        <v/>
      </c>
      <c r="W11648" s="16" t="str">
        <f>IFERROR(__xludf.DUMMYFUNCTION("""COMPUTED_VALUE"""),"")</f>
        <v/>
      </c>
      <c r="X11648" s="16" t="str">
        <f>IFERROR(__xludf.DUMMYFUNCTION("""COMPUTED_VALUE"""),"")</f>
        <v/>
      </c>
      <c r="AC11648" s="16" t="str">
        <f>IFERROR(__xludf.DUMMYFUNCTION("""COMPUTED_VALUE"""),"")</f>
        <v/>
      </c>
    </row>
    <row r="11649">
      <c r="A11649" s="16" t="s">
        <v>87</v>
      </c>
      <c r="E11649" s="16" t="str">
        <f>IFERROR(__xludf.DUMMYFUNCTION("""COMPUTED_VALUE"""),"")</f>
        <v/>
      </c>
      <c r="G11649" s="18"/>
      <c r="H11649" s="16" t="s">
        <v>87</v>
      </c>
      <c r="I11649" s="16" t="s">
        <v>87</v>
      </c>
      <c r="J11649" s="19"/>
      <c r="L11649" s="16" t="str">
        <f>IFERROR(__xludf.DUMMYFUNCTION("""COMPUTED_VALUE"""),"")</f>
        <v/>
      </c>
      <c r="M11649" s="16" t="str">
        <f>IFERROR(__xludf.DUMMYFUNCTION("""COMPUTED_VALUE"""),"")</f>
        <v/>
      </c>
      <c r="U11649" s="16" t="s">
        <v>87</v>
      </c>
      <c r="V11649" s="16" t="str">
        <f>IFERROR(__xludf.DUMMYFUNCTION("""COMPUTED_VALUE"""),"")</f>
        <v/>
      </c>
      <c r="W11649" s="16" t="str">
        <f>IFERROR(__xludf.DUMMYFUNCTION("""COMPUTED_VALUE"""),"")</f>
        <v/>
      </c>
      <c r="X11649" s="16" t="str">
        <f>IFERROR(__xludf.DUMMYFUNCTION("""COMPUTED_VALUE"""),"")</f>
        <v/>
      </c>
      <c r="AC11649" s="16" t="str">
        <f>IFERROR(__xludf.DUMMYFUNCTION("""COMPUTED_VALUE"""),"")</f>
        <v/>
      </c>
    </row>
    <row r="11650">
      <c r="A11650" s="16" t="s">
        <v>87</v>
      </c>
      <c r="E11650" s="16" t="str">
        <f>IFERROR(__xludf.DUMMYFUNCTION("""COMPUTED_VALUE"""),"")</f>
        <v/>
      </c>
      <c r="G11650" s="18"/>
      <c r="H11650" s="16" t="s">
        <v>87</v>
      </c>
      <c r="I11650" s="16" t="s">
        <v>87</v>
      </c>
      <c r="J11650" s="19"/>
      <c r="L11650" s="16" t="str">
        <f>IFERROR(__xludf.DUMMYFUNCTION("""COMPUTED_VALUE"""),"")</f>
        <v/>
      </c>
      <c r="M11650" s="16" t="str">
        <f>IFERROR(__xludf.DUMMYFUNCTION("""COMPUTED_VALUE"""),"")</f>
        <v/>
      </c>
      <c r="U11650" s="16" t="s">
        <v>87</v>
      </c>
      <c r="V11650" s="16" t="str">
        <f>IFERROR(__xludf.DUMMYFUNCTION("""COMPUTED_VALUE"""),"")</f>
        <v/>
      </c>
      <c r="W11650" s="16" t="str">
        <f>IFERROR(__xludf.DUMMYFUNCTION("""COMPUTED_VALUE"""),"")</f>
        <v/>
      </c>
      <c r="X11650" s="16" t="str">
        <f>IFERROR(__xludf.DUMMYFUNCTION("""COMPUTED_VALUE"""),"")</f>
        <v/>
      </c>
      <c r="AC11650" s="16" t="str">
        <f>IFERROR(__xludf.DUMMYFUNCTION("""COMPUTED_VALUE"""),"")</f>
        <v/>
      </c>
    </row>
    <row r="11651">
      <c r="A11651" s="16" t="s">
        <v>87</v>
      </c>
      <c r="E11651" s="16" t="str">
        <f>IFERROR(__xludf.DUMMYFUNCTION("""COMPUTED_VALUE"""),"")</f>
        <v/>
      </c>
      <c r="G11651" s="18"/>
      <c r="H11651" s="16" t="s">
        <v>87</v>
      </c>
      <c r="I11651" s="16" t="s">
        <v>87</v>
      </c>
      <c r="J11651" s="19"/>
      <c r="L11651" s="16" t="str">
        <f>IFERROR(__xludf.DUMMYFUNCTION("""COMPUTED_VALUE"""),"")</f>
        <v/>
      </c>
      <c r="M11651" s="16" t="str">
        <f>IFERROR(__xludf.DUMMYFUNCTION("""COMPUTED_VALUE"""),"")</f>
        <v/>
      </c>
      <c r="U11651" s="16" t="s">
        <v>87</v>
      </c>
      <c r="V11651" s="16" t="str">
        <f>IFERROR(__xludf.DUMMYFUNCTION("""COMPUTED_VALUE"""),"")</f>
        <v/>
      </c>
      <c r="W11651" s="16" t="str">
        <f>IFERROR(__xludf.DUMMYFUNCTION("""COMPUTED_VALUE"""),"")</f>
        <v/>
      </c>
      <c r="X11651" s="16" t="str">
        <f>IFERROR(__xludf.DUMMYFUNCTION("""COMPUTED_VALUE"""),"")</f>
        <v/>
      </c>
      <c r="AC11651" s="16" t="str">
        <f>IFERROR(__xludf.DUMMYFUNCTION("""COMPUTED_VALUE"""),"")</f>
        <v/>
      </c>
    </row>
    <row r="11652">
      <c r="A11652" s="16" t="s">
        <v>87</v>
      </c>
      <c r="E11652" s="16" t="str">
        <f>IFERROR(__xludf.DUMMYFUNCTION("""COMPUTED_VALUE"""),"")</f>
        <v/>
      </c>
      <c r="G11652" s="18"/>
      <c r="H11652" s="16" t="s">
        <v>87</v>
      </c>
      <c r="I11652" s="16" t="s">
        <v>87</v>
      </c>
      <c r="J11652" s="19"/>
      <c r="L11652" s="16" t="str">
        <f>IFERROR(__xludf.DUMMYFUNCTION("""COMPUTED_VALUE"""),"")</f>
        <v/>
      </c>
      <c r="M11652" s="16" t="str">
        <f>IFERROR(__xludf.DUMMYFUNCTION("""COMPUTED_VALUE"""),"")</f>
        <v/>
      </c>
      <c r="U11652" s="16" t="s">
        <v>87</v>
      </c>
      <c r="V11652" s="16" t="str">
        <f>IFERROR(__xludf.DUMMYFUNCTION("""COMPUTED_VALUE"""),"")</f>
        <v/>
      </c>
      <c r="W11652" s="16" t="str">
        <f>IFERROR(__xludf.DUMMYFUNCTION("""COMPUTED_VALUE"""),"")</f>
        <v/>
      </c>
      <c r="X11652" s="16" t="str">
        <f>IFERROR(__xludf.DUMMYFUNCTION("""COMPUTED_VALUE"""),"")</f>
        <v/>
      </c>
      <c r="AC11652" s="16" t="str">
        <f>IFERROR(__xludf.DUMMYFUNCTION("""COMPUTED_VALUE"""),"")</f>
        <v/>
      </c>
    </row>
    <row r="11653">
      <c r="A11653" s="16" t="s">
        <v>87</v>
      </c>
      <c r="E11653" s="16" t="str">
        <f>IFERROR(__xludf.DUMMYFUNCTION("""COMPUTED_VALUE"""),"")</f>
        <v/>
      </c>
      <c r="G11653" s="18"/>
      <c r="H11653" s="16" t="s">
        <v>87</v>
      </c>
      <c r="I11653" s="16" t="s">
        <v>87</v>
      </c>
      <c r="J11653" s="19"/>
      <c r="L11653" s="16" t="str">
        <f>IFERROR(__xludf.DUMMYFUNCTION("""COMPUTED_VALUE"""),"")</f>
        <v/>
      </c>
      <c r="M11653" s="16" t="str">
        <f>IFERROR(__xludf.DUMMYFUNCTION("""COMPUTED_VALUE"""),"")</f>
        <v/>
      </c>
      <c r="U11653" s="16" t="s">
        <v>87</v>
      </c>
      <c r="V11653" s="16" t="str">
        <f>IFERROR(__xludf.DUMMYFUNCTION("""COMPUTED_VALUE"""),"")</f>
        <v/>
      </c>
      <c r="W11653" s="16" t="str">
        <f>IFERROR(__xludf.DUMMYFUNCTION("""COMPUTED_VALUE"""),"")</f>
        <v/>
      </c>
      <c r="X11653" s="16" t="str">
        <f>IFERROR(__xludf.DUMMYFUNCTION("""COMPUTED_VALUE"""),"")</f>
        <v/>
      </c>
      <c r="AC11653" s="16" t="str">
        <f>IFERROR(__xludf.DUMMYFUNCTION("""COMPUTED_VALUE"""),"")</f>
        <v/>
      </c>
    </row>
    <row r="11654">
      <c r="A11654" s="16" t="s">
        <v>87</v>
      </c>
      <c r="E11654" s="16" t="str">
        <f>IFERROR(__xludf.DUMMYFUNCTION("""COMPUTED_VALUE"""),"")</f>
        <v/>
      </c>
      <c r="G11654" s="18"/>
      <c r="H11654" s="16" t="s">
        <v>87</v>
      </c>
      <c r="I11654" s="16" t="s">
        <v>87</v>
      </c>
      <c r="J11654" s="19"/>
      <c r="L11654" s="16" t="str">
        <f>IFERROR(__xludf.DUMMYFUNCTION("""COMPUTED_VALUE"""),"")</f>
        <v/>
      </c>
      <c r="M11654" s="16" t="str">
        <f>IFERROR(__xludf.DUMMYFUNCTION("""COMPUTED_VALUE"""),"")</f>
        <v/>
      </c>
      <c r="U11654" s="16" t="s">
        <v>87</v>
      </c>
      <c r="V11654" s="16" t="str">
        <f>IFERROR(__xludf.DUMMYFUNCTION("""COMPUTED_VALUE"""),"")</f>
        <v/>
      </c>
      <c r="W11654" s="16" t="str">
        <f>IFERROR(__xludf.DUMMYFUNCTION("""COMPUTED_VALUE"""),"")</f>
        <v/>
      </c>
      <c r="X11654" s="16" t="str">
        <f>IFERROR(__xludf.DUMMYFUNCTION("""COMPUTED_VALUE"""),"")</f>
        <v/>
      </c>
      <c r="AC11654" s="16" t="str">
        <f>IFERROR(__xludf.DUMMYFUNCTION("""COMPUTED_VALUE"""),"")</f>
        <v/>
      </c>
    </row>
    <row r="11655">
      <c r="A11655" s="16" t="s">
        <v>87</v>
      </c>
      <c r="E11655" s="16" t="str">
        <f>IFERROR(__xludf.DUMMYFUNCTION("""COMPUTED_VALUE"""),"")</f>
        <v/>
      </c>
      <c r="G11655" s="18"/>
      <c r="H11655" s="16" t="s">
        <v>87</v>
      </c>
      <c r="I11655" s="16" t="s">
        <v>87</v>
      </c>
      <c r="J11655" s="19"/>
      <c r="L11655" s="16" t="str">
        <f>IFERROR(__xludf.DUMMYFUNCTION("""COMPUTED_VALUE"""),"")</f>
        <v/>
      </c>
      <c r="M11655" s="16" t="str">
        <f>IFERROR(__xludf.DUMMYFUNCTION("""COMPUTED_VALUE"""),"")</f>
        <v/>
      </c>
      <c r="U11655" s="16" t="s">
        <v>87</v>
      </c>
      <c r="V11655" s="16" t="str">
        <f>IFERROR(__xludf.DUMMYFUNCTION("""COMPUTED_VALUE"""),"")</f>
        <v/>
      </c>
      <c r="W11655" s="16" t="str">
        <f>IFERROR(__xludf.DUMMYFUNCTION("""COMPUTED_VALUE"""),"")</f>
        <v/>
      </c>
      <c r="X11655" s="16" t="str">
        <f>IFERROR(__xludf.DUMMYFUNCTION("""COMPUTED_VALUE"""),"")</f>
        <v/>
      </c>
      <c r="AC11655" s="16" t="str">
        <f>IFERROR(__xludf.DUMMYFUNCTION("""COMPUTED_VALUE"""),"")</f>
        <v/>
      </c>
    </row>
    <row r="11656">
      <c r="A11656" s="16" t="s">
        <v>87</v>
      </c>
      <c r="E11656" s="16" t="str">
        <f>IFERROR(__xludf.DUMMYFUNCTION("""COMPUTED_VALUE"""),"")</f>
        <v/>
      </c>
      <c r="G11656" s="18"/>
      <c r="H11656" s="16" t="s">
        <v>87</v>
      </c>
      <c r="I11656" s="16" t="s">
        <v>87</v>
      </c>
      <c r="J11656" s="19"/>
      <c r="L11656" s="16" t="str">
        <f>IFERROR(__xludf.DUMMYFUNCTION("""COMPUTED_VALUE"""),"")</f>
        <v/>
      </c>
      <c r="M11656" s="16" t="str">
        <f>IFERROR(__xludf.DUMMYFUNCTION("""COMPUTED_VALUE"""),"")</f>
        <v/>
      </c>
      <c r="U11656" s="16" t="s">
        <v>87</v>
      </c>
      <c r="V11656" s="16" t="str">
        <f>IFERROR(__xludf.DUMMYFUNCTION("""COMPUTED_VALUE"""),"")</f>
        <v/>
      </c>
      <c r="W11656" s="16" t="str">
        <f>IFERROR(__xludf.DUMMYFUNCTION("""COMPUTED_VALUE"""),"")</f>
        <v/>
      </c>
      <c r="X11656" s="16" t="str">
        <f>IFERROR(__xludf.DUMMYFUNCTION("""COMPUTED_VALUE"""),"")</f>
        <v/>
      </c>
      <c r="AC11656" s="16" t="str">
        <f>IFERROR(__xludf.DUMMYFUNCTION("""COMPUTED_VALUE"""),"")</f>
        <v/>
      </c>
    </row>
    <row r="11657">
      <c r="A11657" s="16" t="s">
        <v>87</v>
      </c>
      <c r="E11657" s="16" t="str">
        <f>IFERROR(__xludf.DUMMYFUNCTION("""COMPUTED_VALUE"""),"")</f>
        <v/>
      </c>
      <c r="G11657" s="18"/>
      <c r="H11657" s="16" t="s">
        <v>87</v>
      </c>
      <c r="I11657" s="16" t="s">
        <v>87</v>
      </c>
      <c r="J11657" s="19"/>
      <c r="L11657" s="16" t="str">
        <f>IFERROR(__xludf.DUMMYFUNCTION("""COMPUTED_VALUE"""),"")</f>
        <v/>
      </c>
      <c r="M11657" s="16" t="str">
        <f>IFERROR(__xludf.DUMMYFUNCTION("""COMPUTED_VALUE"""),"")</f>
        <v/>
      </c>
      <c r="U11657" s="16" t="s">
        <v>87</v>
      </c>
      <c r="V11657" s="16" t="str">
        <f>IFERROR(__xludf.DUMMYFUNCTION("""COMPUTED_VALUE"""),"")</f>
        <v/>
      </c>
      <c r="W11657" s="16" t="str">
        <f>IFERROR(__xludf.DUMMYFUNCTION("""COMPUTED_VALUE"""),"")</f>
        <v/>
      </c>
      <c r="X11657" s="16" t="str">
        <f>IFERROR(__xludf.DUMMYFUNCTION("""COMPUTED_VALUE"""),"")</f>
        <v/>
      </c>
      <c r="AC11657" s="16" t="str">
        <f>IFERROR(__xludf.DUMMYFUNCTION("""COMPUTED_VALUE"""),"")</f>
        <v/>
      </c>
    </row>
    <row r="11658">
      <c r="A11658" s="16" t="s">
        <v>87</v>
      </c>
      <c r="E11658" s="16" t="str">
        <f>IFERROR(__xludf.DUMMYFUNCTION("""COMPUTED_VALUE"""),"")</f>
        <v/>
      </c>
      <c r="G11658" s="18"/>
      <c r="H11658" s="16" t="s">
        <v>87</v>
      </c>
      <c r="I11658" s="16" t="s">
        <v>87</v>
      </c>
      <c r="J11658" s="19"/>
      <c r="L11658" s="16" t="str">
        <f>IFERROR(__xludf.DUMMYFUNCTION("""COMPUTED_VALUE"""),"")</f>
        <v/>
      </c>
      <c r="M11658" s="16" t="str">
        <f>IFERROR(__xludf.DUMMYFUNCTION("""COMPUTED_VALUE"""),"")</f>
        <v/>
      </c>
      <c r="U11658" s="16" t="s">
        <v>87</v>
      </c>
      <c r="V11658" s="16" t="str">
        <f>IFERROR(__xludf.DUMMYFUNCTION("""COMPUTED_VALUE"""),"")</f>
        <v/>
      </c>
      <c r="W11658" s="16" t="str">
        <f>IFERROR(__xludf.DUMMYFUNCTION("""COMPUTED_VALUE"""),"")</f>
        <v/>
      </c>
      <c r="X11658" s="16" t="str">
        <f>IFERROR(__xludf.DUMMYFUNCTION("""COMPUTED_VALUE"""),"")</f>
        <v/>
      </c>
      <c r="AC11658" s="16" t="str">
        <f>IFERROR(__xludf.DUMMYFUNCTION("""COMPUTED_VALUE"""),"")</f>
        <v/>
      </c>
    </row>
    <row r="11659">
      <c r="A11659" s="16" t="s">
        <v>87</v>
      </c>
      <c r="E11659" s="16" t="str">
        <f>IFERROR(__xludf.DUMMYFUNCTION("""COMPUTED_VALUE"""),"")</f>
        <v/>
      </c>
      <c r="G11659" s="18"/>
      <c r="H11659" s="16" t="s">
        <v>87</v>
      </c>
      <c r="I11659" s="16" t="s">
        <v>87</v>
      </c>
      <c r="J11659" s="19"/>
      <c r="L11659" s="16" t="str">
        <f>IFERROR(__xludf.DUMMYFUNCTION("""COMPUTED_VALUE"""),"")</f>
        <v/>
      </c>
      <c r="M11659" s="16" t="str">
        <f>IFERROR(__xludf.DUMMYFUNCTION("""COMPUTED_VALUE"""),"")</f>
        <v/>
      </c>
      <c r="U11659" s="16" t="s">
        <v>87</v>
      </c>
      <c r="V11659" s="16" t="str">
        <f>IFERROR(__xludf.DUMMYFUNCTION("""COMPUTED_VALUE"""),"")</f>
        <v/>
      </c>
      <c r="W11659" s="16" t="str">
        <f>IFERROR(__xludf.DUMMYFUNCTION("""COMPUTED_VALUE"""),"")</f>
        <v/>
      </c>
      <c r="X11659" s="16" t="str">
        <f>IFERROR(__xludf.DUMMYFUNCTION("""COMPUTED_VALUE"""),"")</f>
        <v/>
      </c>
      <c r="AC11659" s="16" t="str">
        <f>IFERROR(__xludf.DUMMYFUNCTION("""COMPUTED_VALUE"""),"")</f>
        <v/>
      </c>
    </row>
    <row r="11660">
      <c r="A11660" s="16" t="s">
        <v>87</v>
      </c>
      <c r="E11660" s="16" t="str">
        <f>IFERROR(__xludf.DUMMYFUNCTION("""COMPUTED_VALUE"""),"")</f>
        <v/>
      </c>
      <c r="G11660" s="18"/>
      <c r="H11660" s="16" t="s">
        <v>87</v>
      </c>
      <c r="I11660" s="16" t="s">
        <v>87</v>
      </c>
      <c r="J11660" s="19"/>
      <c r="L11660" s="16" t="str">
        <f>IFERROR(__xludf.DUMMYFUNCTION("""COMPUTED_VALUE"""),"")</f>
        <v/>
      </c>
      <c r="M11660" s="16" t="str">
        <f>IFERROR(__xludf.DUMMYFUNCTION("""COMPUTED_VALUE"""),"")</f>
        <v/>
      </c>
      <c r="U11660" s="16" t="s">
        <v>87</v>
      </c>
      <c r="V11660" s="16" t="str">
        <f>IFERROR(__xludf.DUMMYFUNCTION("""COMPUTED_VALUE"""),"")</f>
        <v/>
      </c>
      <c r="W11660" s="16" t="str">
        <f>IFERROR(__xludf.DUMMYFUNCTION("""COMPUTED_VALUE"""),"")</f>
        <v/>
      </c>
      <c r="X11660" s="16" t="str">
        <f>IFERROR(__xludf.DUMMYFUNCTION("""COMPUTED_VALUE"""),"")</f>
        <v/>
      </c>
      <c r="AC11660" s="16" t="str">
        <f>IFERROR(__xludf.DUMMYFUNCTION("""COMPUTED_VALUE"""),"")</f>
        <v/>
      </c>
    </row>
    <row r="11661">
      <c r="A11661" s="16" t="s">
        <v>87</v>
      </c>
      <c r="E11661" s="16" t="str">
        <f>IFERROR(__xludf.DUMMYFUNCTION("""COMPUTED_VALUE"""),"")</f>
        <v/>
      </c>
      <c r="G11661" s="18"/>
      <c r="H11661" s="16" t="s">
        <v>87</v>
      </c>
      <c r="I11661" s="16" t="s">
        <v>87</v>
      </c>
      <c r="J11661" s="19"/>
      <c r="L11661" s="16" t="str">
        <f>IFERROR(__xludf.DUMMYFUNCTION("""COMPUTED_VALUE"""),"")</f>
        <v/>
      </c>
      <c r="M11661" s="16" t="str">
        <f>IFERROR(__xludf.DUMMYFUNCTION("""COMPUTED_VALUE"""),"")</f>
        <v/>
      </c>
      <c r="U11661" s="16" t="s">
        <v>87</v>
      </c>
      <c r="V11661" s="16" t="str">
        <f>IFERROR(__xludf.DUMMYFUNCTION("""COMPUTED_VALUE"""),"")</f>
        <v/>
      </c>
      <c r="W11661" s="16" t="str">
        <f>IFERROR(__xludf.DUMMYFUNCTION("""COMPUTED_VALUE"""),"")</f>
        <v/>
      </c>
      <c r="X11661" s="16" t="str">
        <f>IFERROR(__xludf.DUMMYFUNCTION("""COMPUTED_VALUE"""),"")</f>
        <v/>
      </c>
      <c r="AC11661" s="16" t="str">
        <f>IFERROR(__xludf.DUMMYFUNCTION("""COMPUTED_VALUE"""),"")</f>
        <v/>
      </c>
    </row>
    <row r="11662">
      <c r="A11662" s="16" t="s">
        <v>87</v>
      </c>
      <c r="E11662" s="16" t="str">
        <f>IFERROR(__xludf.DUMMYFUNCTION("""COMPUTED_VALUE"""),"")</f>
        <v/>
      </c>
      <c r="G11662" s="18"/>
      <c r="H11662" s="16" t="s">
        <v>87</v>
      </c>
      <c r="I11662" s="16" t="s">
        <v>87</v>
      </c>
      <c r="J11662" s="19"/>
      <c r="L11662" s="16" t="str">
        <f>IFERROR(__xludf.DUMMYFUNCTION("""COMPUTED_VALUE"""),"")</f>
        <v/>
      </c>
      <c r="M11662" s="16" t="str">
        <f>IFERROR(__xludf.DUMMYFUNCTION("""COMPUTED_VALUE"""),"")</f>
        <v/>
      </c>
      <c r="U11662" s="16" t="s">
        <v>87</v>
      </c>
      <c r="V11662" s="16" t="str">
        <f>IFERROR(__xludf.DUMMYFUNCTION("""COMPUTED_VALUE"""),"")</f>
        <v/>
      </c>
      <c r="W11662" s="16" t="str">
        <f>IFERROR(__xludf.DUMMYFUNCTION("""COMPUTED_VALUE"""),"")</f>
        <v/>
      </c>
      <c r="X11662" s="16" t="str">
        <f>IFERROR(__xludf.DUMMYFUNCTION("""COMPUTED_VALUE"""),"")</f>
        <v/>
      </c>
      <c r="AC11662" s="16" t="str">
        <f>IFERROR(__xludf.DUMMYFUNCTION("""COMPUTED_VALUE"""),"")</f>
        <v/>
      </c>
    </row>
    <row r="11663">
      <c r="A11663" s="16" t="s">
        <v>87</v>
      </c>
      <c r="E11663" s="16" t="str">
        <f>IFERROR(__xludf.DUMMYFUNCTION("""COMPUTED_VALUE"""),"")</f>
        <v/>
      </c>
      <c r="G11663" s="18"/>
      <c r="H11663" s="16" t="s">
        <v>87</v>
      </c>
      <c r="I11663" s="16" t="s">
        <v>87</v>
      </c>
      <c r="J11663" s="19"/>
      <c r="L11663" s="16" t="str">
        <f>IFERROR(__xludf.DUMMYFUNCTION("""COMPUTED_VALUE"""),"")</f>
        <v/>
      </c>
      <c r="M11663" s="16" t="str">
        <f>IFERROR(__xludf.DUMMYFUNCTION("""COMPUTED_VALUE"""),"")</f>
        <v/>
      </c>
      <c r="U11663" s="16" t="s">
        <v>87</v>
      </c>
      <c r="V11663" s="16" t="str">
        <f>IFERROR(__xludf.DUMMYFUNCTION("""COMPUTED_VALUE"""),"")</f>
        <v/>
      </c>
      <c r="W11663" s="16" t="str">
        <f>IFERROR(__xludf.DUMMYFUNCTION("""COMPUTED_VALUE"""),"")</f>
        <v/>
      </c>
      <c r="X11663" s="16" t="str">
        <f>IFERROR(__xludf.DUMMYFUNCTION("""COMPUTED_VALUE"""),"")</f>
        <v/>
      </c>
      <c r="AC11663" s="16" t="str">
        <f>IFERROR(__xludf.DUMMYFUNCTION("""COMPUTED_VALUE"""),"")</f>
        <v/>
      </c>
    </row>
    <row r="11664">
      <c r="A11664" s="16" t="s">
        <v>87</v>
      </c>
      <c r="E11664" s="16" t="str">
        <f>IFERROR(__xludf.DUMMYFUNCTION("""COMPUTED_VALUE"""),"")</f>
        <v/>
      </c>
      <c r="G11664" s="18"/>
      <c r="H11664" s="16" t="s">
        <v>87</v>
      </c>
      <c r="I11664" s="16" t="s">
        <v>87</v>
      </c>
      <c r="J11664" s="19"/>
      <c r="L11664" s="16" t="str">
        <f>IFERROR(__xludf.DUMMYFUNCTION("""COMPUTED_VALUE"""),"")</f>
        <v/>
      </c>
      <c r="M11664" s="16" t="str">
        <f>IFERROR(__xludf.DUMMYFUNCTION("""COMPUTED_VALUE"""),"")</f>
        <v/>
      </c>
      <c r="U11664" s="16" t="s">
        <v>87</v>
      </c>
      <c r="V11664" s="16" t="str">
        <f>IFERROR(__xludf.DUMMYFUNCTION("""COMPUTED_VALUE"""),"")</f>
        <v/>
      </c>
      <c r="W11664" s="16" t="str">
        <f>IFERROR(__xludf.DUMMYFUNCTION("""COMPUTED_VALUE"""),"")</f>
        <v/>
      </c>
      <c r="X11664" s="16" t="str">
        <f>IFERROR(__xludf.DUMMYFUNCTION("""COMPUTED_VALUE"""),"")</f>
        <v/>
      </c>
      <c r="AC11664" s="16" t="str">
        <f>IFERROR(__xludf.DUMMYFUNCTION("""COMPUTED_VALUE"""),"")</f>
        <v/>
      </c>
    </row>
    <row r="11665">
      <c r="A11665" s="16" t="s">
        <v>87</v>
      </c>
      <c r="E11665" s="16" t="str">
        <f>IFERROR(__xludf.DUMMYFUNCTION("""COMPUTED_VALUE"""),"")</f>
        <v/>
      </c>
      <c r="G11665" s="18"/>
      <c r="H11665" s="16" t="s">
        <v>87</v>
      </c>
      <c r="I11665" s="16" t="s">
        <v>87</v>
      </c>
      <c r="J11665" s="19"/>
      <c r="L11665" s="16" t="str">
        <f>IFERROR(__xludf.DUMMYFUNCTION("""COMPUTED_VALUE"""),"")</f>
        <v/>
      </c>
      <c r="M11665" s="16" t="str">
        <f>IFERROR(__xludf.DUMMYFUNCTION("""COMPUTED_VALUE"""),"")</f>
        <v/>
      </c>
      <c r="U11665" s="16" t="s">
        <v>87</v>
      </c>
      <c r="V11665" s="16" t="str">
        <f>IFERROR(__xludf.DUMMYFUNCTION("""COMPUTED_VALUE"""),"")</f>
        <v/>
      </c>
      <c r="W11665" s="16" t="str">
        <f>IFERROR(__xludf.DUMMYFUNCTION("""COMPUTED_VALUE"""),"")</f>
        <v/>
      </c>
      <c r="X11665" s="16" t="str">
        <f>IFERROR(__xludf.DUMMYFUNCTION("""COMPUTED_VALUE"""),"")</f>
        <v/>
      </c>
      <c r="AC11665" s="16" t="str">
        <f>IFERROR(__xludf.DUMMYFUNCTION("""COMPUTED_VALUE"""),"")</f>
        <v/>
      </c>
    </row>
    <row r="11666">
      <c r="A11666" s="16" t="s">
        <v>87</v>
      </c>
      <c r="E11666" s="16" t="str">
        <f>IFERROR(__xludf.DUMMYFUNCTION("""COMPUTED_VALUE"""),"")</f>
        <v/>
      </c>
      <c r="G11666" s="18"/>
      <c r="H11666" s="16" t="s">
        <v>87</v>
      </c>
      <c r="I11666" s="16" t="s">
        <v>87</v>
      </c>
      <c r="J11666" s="19"/>
      <c r="L11666" s="16" t="str">
        <f>IFERROR(__xludf.DUMMYFUNCTION("""COMPUTED_VALUE"""),"")</f>
        <v/>
      </c>
      <c r="M11666" s="16" t="str">
        <f>IFERROR(__xludf.DUMMYFUNCTION("""COMPUTED_VALUE"""),"")</f>
        <v/>
      </c>
      <c r="U11666" s="16" t="s">
        <v>87</v>
      </c>
      <c r="V11666" s="16" t="str">
        <f>IFERROR(__xludf.DUMMYFUNCTION("""COMPUTED_VALUE"""),"")</f>
        <v/>
      </c>
      <c r="W11666" s="16" t="str">
        <f>IFERROR(__xludf.DUMMYFUNCTION("""COMPUTED_VALUE"""),"")</f>
        <v/>
      </c>
      <c r="X11666" s="16" t="str">
        <f>IFERROR(__xludf.DUMMYFUNCTION("""COMPUTED_VALUE"""),"")</f>
        <v/>
      </c>
      <c r="AC11666" s="16" t="str">
        <f>IFERROR(__xludf.DUMMYFUNCTION("""COMPUTED_VALUE"""),"")</f>
        <v/>
      </c>
    </row>
    <row r="11667">
      <c r="A11667" s="16" t="s">
        <v>87</v>
      </c>
      <c r="E11667" s="16" t="str">
        <f>IFERROR(__xludf.DUMMYFUNCTION("""COMPUTED_VALUE"""),"")</f>
        <v/>
      </c>
      <c r="G11667" s="18"/>
      <c r="H11667" s="16" t="s">
        <v>87</v>
      </c>
      <c r="I11667" s="16" t="s">
        <v>87</v>
      </c>
      <c r="J11667" s="19"/>
      <c r="L11667" s="16" t="str">
        <f>IFERROR(__xludf.DUMMYFUNCTION("""COMPUTED_VALUE"""),"")</f>
        <v/>
      </c>
      <c r="M11667" s="16" t="str">
        <f>IFERROR(__xludf.DUMMYFUNCTION("""COMPUTED_VALUE"""),"")</f>
        <v/>
      </c>
      <c r="U11667" s="16" t="s">
        <v>87</v>
      </c>
      <c r="V11667" s="16" t="str">
        <f>IFERROR(__xludf.DUMMYFUNCTION("""COMPUTED_VALUE"""),"")</f>
        <v/>
      </c>
      <c r="W11667" s="16" t="str">
        <f>IFERROR(__xludf.DUMMYFUNCTION("""COMPUTED_VALUE"""),"")</f>
        <v/>
      </c>
      <c r="X11667" s="16" t="str">
        <f>IFERROR(__xludf.DUMMYFUNCTION("""COMPUTED_VALUE"""),"")</f>
        <v/>
      </c>
      <c r="AC11667" s="16" t="str">
        <f>IFERROR(__xludf.DUMMYFUNCTION("""COMPUTED_VALUE"""),"")</f>
        <v/>
      </c>
    </row>
    <row r="11668">
      <c r="A11668" s="16" t="s">
        <v>87</v>
      </c>
      <c r="E11668" s="16" t="str">
        <f>IFERROR(__xludf.DUMMYFUNCTION("""COMPUTED_VALUE"""),"")</f>
        <v/>
      </c>
      <c r="G11668" s="18"/>
      <c r="H11668" s="16" t="s">
        <v>87</v>
      </c>
      <c r="I11668" s="16" t="s">
        <v>87</v>
      </c>
      <c r="J11668" s="19"/>
      <c r="L11668" s="16" t="str">
        <f>IFERROR(__xludf.DUMMYFUNCTION("""COMPUTED_VALUE"""),"")</f>
        <v/>
      </c>
      <c r="M11668" s="16" t="str">
        <f>IFERROR(__xludf.DUMMYFUNCTION("""COMPUTED_VALUE"""),"")</f>
        <v/>
      </c>
      <c r="U11668" s="16" t="s">
        <v>87</v>
      </c>
      <c r="V11668" s="16" t="str">
        <f>IFERROR(__xludf.DUMMYFUNCTION("""COMPUTED_VALUE"""),"")</f>
        <v/>
      </c>
      <c r="W11668" s="16" t="str">
        <f>IFERROR(__xludf.DUMMYFUNCTION("""COMPUTED_VALUE"""),"")</f>
        <v/>
      </c>
      <c r="X11668" s="16" t="str">
        <f>IFERROR(__xludf.DUMMYFUNCTION("""COMPUTED_VALUE"""),"")</f>
        <v/>
      </c>
      <c r="AC11668" s="16" t="str">
        <f>IFERROR(__xludf.DUMMYFUNCTION("""COMPUTED_VALUE"""),"")</f>
        <v/>
      </c>
    </row>
    <row r="11669">
      <c r="A11669" s="16" t="s">
        <v>87</v>
      </c>
      <c r="E11669" s="16" t="str">
        <f>IFERROR(__xludf.DUMMYFUNCTION("""COMPUTED_VALUE"""),"")</f>
        <v/>
      </c>
      <c r="G11669" s="18"/>
      <c r="H11669" s="16" t="s">
        <v>87</v>
      </c>
      <c r="I11669" s="16" t="s">
        <v>87</v>
      </c>
      <c r="J11669" s="19"/>
      <c r="L11669" s="16" t="str">
        <f>IFERROR(__xludf.DUMMYFUNCTION("""COMPUTED_VALUE"""),"")</f>
        <v/>
      </c>
      <c r="M11669" s="16" t="str">
        <f>IFERROR(__xludf.DUMMYFUNCTION("""COMPUTED_VALUE"""),"")</f>
        <v/>
      </c>
      <c r="U11669" s="16" t="s">
        <v>87</v>
      </c>
      <c r="V11669" s="16" t="str">
        <f>IFERROR(__xludf.DUMMYFUNCTION("""COMPUTED_VALUE"""),"")</f>
        <v/>
      </c>
      <c r="W11669" s="16" t="str">
        <f>IFERROR(__xludf.DUMMYFUNCTION("""COMPUTED_VALUE"""),"")</f>
        <v/>
      </c>
      <c r="X11669" s="16" t="str">
        <f>IFERROR(__xludf.DUMMYFUNCTION("""COMPUTED_VALUE"""),"")</f>
        <v/>
      </c>
      <c r="AC11669" s="16" t="str">
        <f>IFERROR(__xludf.DUMMYFUNCTION("""COMPUTED_VALUE"""),"")</f>
        <v/>
      </c>
    </row>
    <row r="11670">
      <c r="A11670" s="16" t="s">
        <v>87</v>
      </c>
      <c r="E11670" s="16" t="str">
        <f>IFERROR(__xludf.DUMMYFUNCTION("""COMPUTED_VALUE"""),"")</f>
        <v/>
      </c>
      <c r="G11670" s="18"/>
      <c r="H11670" s="16" t="s">
        <v>87</v>
      </c>
      <c r="I11670" s="16" t="s">
        <v>87</v>
      </c>
      <c r="J11670" s="19"/>
      <c r="L11670" s="16" t="str">
        <f>IFERROR(__xludf.DUMMYFUNCTION("""COMPUTED_VALUE"""),"")</f>
        <v/>
      </c>
      <c r="M11670" s="16" t="str">
        <f>IFERROR(__xludf.DUMMYFUNCTION("""COMPUTED_VALUE"""),"")</f>
        <v/>
      </c>
      <c r="U11670" s="16" t="s">
        <v>87</v>
      </c>
      <c r="V11670" s="16" t="str">
        <f>IFERROR(__xludf.DUMMYFUNCTION("""COMPUTED_VALUE"""),"")</f>
        <v/>
      </c>
      <c r="W11670" s="16" t="str">
        <f>IFERROR(__xludf.DUMMYFUNCTION("""COMPUTED_VALUE"""),"")</f>
        <v/>
      </c>
      <c r="X11670" s="16" t="str">
        <f>IFERROR(__xludf.DUMMYFUNCTION("""COMPUTED_VALUE"""),"")</f>
        <v/>
      </c>
      <c r="AC11670" s="16" t="str">
        <f>IFERROR(__xludf.DUMMYFUNCTION("""COMPUTED_VALUE"""),"")</f>
        <v/>
      </c>
    </row>
    <row r="11671">
      <c r="A11671" s="16" t="s">
        <v>87</v>
      </c>
      <c r="E11671" s="16" t="str">
        <f>IFERROR(__xludf.DUMMYFUNCTION("""COMPUTED_VALUE"""),"")</f>
        <v/>
      </c>
      <c r="G11671" s="18"/>
      <c r="H11671" s="16" t="s">
        <v>87</v>
      </c>
      <c r="I11671" s="16" t="s">
        <v>87</v>
      </c>
      <c r="J11671" s="19"/>
      <c r="L11671" s="16" t="str">
        <f>IFERROR(__xludf.DUMMYFUNCTION("""COMPUTED_VALUE"""),"")</f>
        <v/>
      </c>
      <c r="M11671" s="16" t="str">
        <f>IFERROR(__xludf.DUMMYFUNCTION("""COMPUTED_VALUE"""),"")</f>
        <v/>
      </c>
      <c r="U11671" s="16" t="s">
        <v>87</v>
      </c>
      <c r="V11671" s="16" t="str">
        <f>IFERROR(__xludf.DUMMYFUNCTION("""COMPUTED_VALUE"""),"")</f>
        <v/>
      </c>
      <c r="W11671" s="16" t="str">
        <f>IFERROR(__xludf.DUMMYFUNCTION("""COMPUTED_VALUE"""),"")</f>
        <v/>
      </c>
      <c r="X11671" s="16" t="str">
        <f>IFERROR(__xludf.DUMMYFUNCTION("""COMPUTED_VALUE"""),"")</f>
        <v/>
      </c>
      <c r="AC11671" s="16" t="str">
        <f>IFERROR(__xludf.DUMMYFUNCTION("""COMPUTED_VALUE"""),"")</f>
        <v/>
      </c>
    </row>
    <row r="11672">
      <c r="A11672" s="16" t="s">
        <v>87</v>
      </c>
      <c r="E11672" s="16" t="str">
        <f>IFERROR(__xludf.DUMMYFUNCTION("""COMPUTED_VALUE"""),"")</f>
        <v/>
      </c>
      <c r="G11672" s="18"/>
      <c r="H11672" s="16" t="s">
        <v>87</v>
      </c>
      <c r="I11672" s="16" t="s">
        <v>87</v>
      </c>
      <c r="J11672" s="19"/>
      <c r="L11672" s="16" t="str">
        <f>IFERROR(__xludf.DUMMYFUNCTION("""COMPUTED_VALUE"""),"")</f>
        <v/>
      </c>
      <c r="M11672" s="16" t="str">
        <f>IFERROR(__xludf.DUMMYFUNCTION("""COMPUTED_VALUE"""),"")</f>
        <v/>
      </c>
      <c r="U11672" s="16" t="s">
        <v>87</v>
      </c>
      <c r="V11672" s="16" t="str">
        <f>IFERROR(__xludf.DUMMYFUNCTION("""COMPUTED_VALUE"""),"")</f>
        <v/>
      </c>
      <c r="W11672" s="16" t="str">
        <f>IFERROR(__xludf.DUMMYFUNCTION("""COMPUTED_VALUE"""),"")</f>
        <v/>
      </c>
      <c r="X11672" s="16" t="str">
        <f>IFERROR(__xludf.DUMMYFUNCTION("""COMPUTED_VALUE"""),"")</f>
        <v/>
      </c>
      <c r="AC11672" s="16" t="str">
        <f>IFERROR(__xludf.DUMMYFUNCTION("""COMPUTED_VALUE"""),"")</f>
        <v/>
      </c>
    </row>
    <row r="11673">
      <c r="A11673" s="16" t="s">
        <v>87</v>
      </c>
      <c r="E11673" s="16" t="str">
        <f>IFERROR(__xludf.DUMMYFUNCTION("""COMPUTED_VALUE"""),"")</f>
        <v/>
      </c>
      <c r="G11673" s="18"/>
      <c r="H11673" s="16" t="s">
        <v>87</v>
      </c>
      <c r="I11673" s="16" t="s">
        <v>87</v>
      </c>
      <c r="J11673" s="19"/>
      <c r="L11673" s="16" t="str">
        <f>IFERROR(__xludf.DUMMYFUNCTION("""COMPUTED_VALUE"""),"")</f>
        <v/>
      </c>
      <c r="M11673" s="16" t="str">
        <f>IFERROR(__xludf.DUMMYFUNCTION("""COMPUTED_VALUE"""),"")</f>
        <v/>
      </c>
      <c r="U11673" s="16" t="s">
        <v>87</v>
      </c>
      <c r="V11673" s="16" t="str">
        <f>IFERROR(__xludf.DUMMYFUNCTION("""COMPUTED_VALUE"""),"")</f>
        <v/>
      </c>
      <c r="W11673" s="16" t="str">
        <f>IFERROR(__xludf.DUMMYFUNCTION("""COMPUTED_VALUE"""),"")</f>
        <v/>
      </c>
      <c r="X11673" s="16" t="str">
        <f>IFERROR(__xludf.DUMMYFUNCTION("""COMPUTED_VALUE"""),"")</f>
        <v/>
      </c>
      <c r="AC11673" s="16" t="str">
        <f>IFERROR(__xludf.DUMMYFUNCTION("""COMPUTED_VALUE"""),"")</f>
        <v/>
      </c>
    </row>
    <row r="11674">
      <c r="A11674" s="16" t="s">
        <v>87</v>
      </c>
      <c r="E11674" s="16" t="str">
        <f>IFERROR(__xludf.DUMMYFUNCTION("""COMPUTED_VALUE"""),"")</f>
        <v/>
      </c>
      <c r="G11674" s="18"/>
      <c r="H11674" s="16" t="s">
        <v>87</v>
      </c>
      <c r="I11674" s="16" t="s">
        <v>87</v>
      </c>
      <c r="J11674" s="19"/>
      <c r="L11674" s="16" t="str">
        <f>IFERROR(__xludf.DUMMYFUNCTION("""COMPUTED_VALUE"""),"")</f>
        <v/>
      </c>
      <c r="M11674" s="16" t="str">
        <f>IFERROR(__xludf.DUMMYFUNCTION("""COMPUTED_VALUE"""),"")</f>
        <v/>
      </c>
      <c r="U11674" s="16" t="s">
        <v>87</v>
      </c>
      <c r="V11674" s="16" t="str">
        <f>IFERROR(__xludf.DUMMYFUNCTION("""COMPUTED_VALUE"""),"")</f>
        <v/>
      </c>
      <c r="W11674" s="16" t="str">
        <f>IFERROR(__xludf.DUMMYFUNCTION("""COMPUTED_VALUE"""),"")</f>
        <v/>
      </c>
      <c r="X11674" s="16" t="str">
        <f>IFERROR(__xludf.DUMMYFUNCTION("""COMPUTED_VALUE"""),"")</f>
        <v/>
      </c>
      <c r="AC11674" s="16" t="str">
        <f>IFERROR(__xludf.DUMMYFUNCTION("""COMPUTED_VALUE"""),"")</f>
        <v/>
      </c>
    </row>
    <row r="11675">
      <c r="A11675" s="16" t="s">
        <v>87</v>
      </c>
      <c r="E11675" s="16" t="str">
        <f>IFERROR(__xludf.DUMMYFUNCTION("""COMPUTED_VALUE"""),"")</f>
        <v/>
      </c>
      <c r="G11675" s="18"/>
      <c r="H11675" s="16" t="s">
        <v>87</v>
      </c>
      <c r="I11675" s="16" t="s">
        <v>87</v>
      </c>
      <c r="J11675" s="19"/>
      <c r="L11675" s="16" t="str">
        <f>IFERROR(__xludf.DUMMYFUNCTION("""COMPUTED_VALUE"""),"")</f>
        <v/>
      </c>
      <c r="M11675" s="16" t="str">
        <f>IFERROR(__xludf.DUMMYFUNCTION("""COMPUTED_VALUE"""),"")</f>
        <v/>
      </c>
      <c r="U11675" s="16" t="s">
        <v>87</v>
      </c>
      <c r="V11675" s="16" t="str">
        <f>IFERROR(__xludf.DUMMYFUNCTION("""COMPUTED_VALUE"""),"")</f>
        <v/>
      </c>
      <c r="W11675" s="16" t="str">
        <f>IFERROR(__xludf.DUMMYFUNCTION("""COMPUTED_VALUE"""),"")</f>
        <v/>
      </c>
      <c r="X11675" s="16" t="str">
        <f>IFERROR(__xludf.DUMMYFUNCTION("""COMPUTED_VALUE"""),"")</f>
        <v/>
      </c>
      <c r="AC11675" s="16" t="str">
        <f>IFERROR(__xludf.DUMMYFUNCTION("""COMPUTED_VALUE"""),"")</f>
        <v/>
      </c>
    </row>
    <row r="11676">
      <c r="A11676" s="16" t="s">
        <v>87</v>
      </c>
      <c r="E11676" s="16" t="str">
        <f>IFERROR(__xludf.DUMMYFUNCTION("""COMPUTED_VALUE"""),"")</f>
        <v/>
      </c>
      <c r="G11676" s="18"/>
      <c r="H11676" s="16" t="s">
        <v>87</v>
      </c>
      <c r="I11676" s="16" t="s">
        <v>87</v>
      </c>
      <c r="J11676" s="19"/>
      <c r="L11676" s="16" t="str">
        <f>IFERROR(__xludf.DUMMYFUNCTION("""COMPUTED_VALUE"""),"")</f>
        <v/>
      </c>
      <c r="M11676" s="16" t="str">
        <f>IFERROR(__xludf.DUMMYFUNCTION("""COMPUTED_VALUE"""),"")</f>
        <v/>
      </c>
      <c r="U11676" s="16" t="s">
        <v>87</v>
      </c>
      <c r="V11676" s="16" t="str">
        <f>IFERROR(__xludf.DUMMYFUNCTION("""COMPUTED_VALUE"""),"")</f>
        <v/>
      </c>
      <c r="W11676" s="16" t="str">
        <f>IFERROR(__xludf.DUMMYFUNCTION("""COMPUTED_VALUE"""),"")</f>
        <v/>
      </c>
      <c r="X11676" s="16" t="str">
        <f>IFERROR(__xludf.DUMMYFUNCTION("""COMPUTED_VALUE"""),"")</f>
        <v/>
      </c>
      <c r="AC11676" s="16" t="str">
        <f>IFERROR(__xludf.DUMMYFUNCTION("""COMPUTED_VALUE"""),"")</f>
        <v/>
      </c>
    </row>
    <row r="11677">
      <c r="A11677" s="16" t="s">
        <v>87</v>
      </c>
      <c r="E11677" s="16" t="str">
        <f>IFERROR(__xludf.DUMMYFUNCTION("""COMPUTED_VALUE"""),"")</f>
        <v/>
      </c>
      <c r="G11677" s="18"/>
      <c r="H11677" s="16" t="s">
        <v>87</v>
      </c>
      <c r="I11677" s="16" t="s">
        <v>87</v>
      </c>
      <c r="J11677" s="19"/>
      <c r="L11677" s="16" t="str">
        <f>IFERROR(__xludf.DUMMYFUNCTION("""COMPUTED_VALUE"""),"")</f>
        <v/>
      </c>
      <c r="M11677" s="16" t="str">
        <f>IFERROR(__xludf.DUMMYFUNCTION("""COMPUTED_VALUE"""),"")</f>
        <v/>
      </c>
      <c r="U11677" s="16" t="s">
        <v>87</v>
      </c>
      <c r="V11677" s="16" t="str">
        <f>IFERROR(__xludf.DUMMYFUNCTION("""COMPUTED_VALUE"""),"")</f>
        <v/>
      </c>
      <c r="W11677" s="16" t="str">
        <f>IFERROR(__xludf.DUMMYFUNCTION("""COMPUTED_VALUE"""),"")</f>
        <v/>
      </c>
      <c r="X11677" s="16" t="str">
        <f>IFERROR(__xludf.DUMMYFUNCTION("""COMPUTED_VALUE"""),"")</f>
        <v/>
      </c>
      <c r="AC11677" s="16" t="str">
        <f>IFERROR(__xludf.DUMMYFUNCTION("""COMPUTED_VALUE"""),"")</f>
        <v/>
      </c>
    </row>
    <row r="11678">
      <c r="A11678" s="16" t="s">
        <v>87</v>
      </c>
      <c r="E11678" s="16" t="str">
        <f>IFERROR(__xludf.DUMMYFUNCTION("""COMPUTED_VALUE"""),"")</f>
        <v/>
      </c>
      <c r="G11678" s="18"/>
      <c r="H11678" s="16" t="s">
        <v>87</v>
      </c>
      <c r="I11678" s="16" t="s">
        <v>87</v>
      </c>
      <c r="J11678" s="19"/>
      <c r="L11678" s="16" t="str">
        <f>IFERROR(__xludf.DUMMYFUNCTION("""COMPUTED_VALUE"""),"")</f>
        <v/>
      </c>
      <c r="M11678" s="16" t="str">
        <f>IFERROR(__xludf.DUMMYFUNCTION("""COMPUTED_VALUE"""),"")</f>
        <v/>
      </c>
      <c r="U11678" s="16" t="s">
        <v>87</v>
      </c>
      <c r="V11678" s="16" t="str">
        <f>IFERROR(__xludf.DUMMYFUNCTION("""COMPUTED_VALUE"""),"")</f>
        <v/>
      </c>
      <c r="W11678" s="16" t="str">
        <f>IFERROR(__xludf.DUMMYFUNCTION("""COMPUTED_VALUE"""),"")</f>
        <v/>
      </c>
      <c r="X11678" s="16" t="str">
        <f>IFERROR(__xludf.DUMMYFUNCTION("""COMPUTED_VALUE"""),"")</f>
        <v/>
      </c>
      <c r="AC11678" s="16" t="str">
        <f>IFERROR(__xludf.DUMMYFUNCTION("""COMPUTED_VALUE"""),"")</f>
        <v/>
      </c>
    </row>
    <row r="11679">
      <c r="A11679" s="16" t="s">
        <v>87</v>
      </c>
      <c r="E11679" s="16" t="str">
        <f>IFERROR(__xludf.DUMMYFUNCTION("""COMPUTED_VALUE"""),"")</f>
        <v/>
      </c>
      <c r="G11679" s="18"/>
      <c r="H11679" s="16" t="s">
        <v>87</v>
      </c>
      <c r="I11679" s="16" t="s">
        <v>87</v>
      </c>
      <c r="J11679" s="19"/>
      <c r="L11679" s="16" t="str">
        <f>IFERROR(__xludf.DUMMYFUNCTION("""COMPUTED_VALUE"""),"")</f>
        <v/>
      </c>
      <c r="M11679" s="16" t="str">
        <f>IFERROR(__xludf.DUMMYFUNCTION("""COMPUTED_VALUE"""),"")</f>
        <v/>
      </c>
      <c r="U11679" s="16" t="s">
        <v>87</v>
      </c>
      <c r="V11679" s="16" t="str">
        <f>IFERROR(__xludf.DUMMYFUNCTION("""COMPUTED_VALUE"""),"")</f>
        <v/>
      </c>
      <c r="W11679" s="16" t="str">
        <f>IFERROR(__xludf.DUMMYFUNCTION("""COMPUTED_VALUE"""),"")</f>
        <v/>
      </c>
      <c r="X11679" s="16" t="str">
        <f>IFERROR(__xludf.DUMMYFUNCTION("""COMPUTED_VALUE"""),"")</f>
        <v/>
      </c>
      <c r="AC11679" s="16" t="str">
        <f>IFERROR(__xludf.DUMMYFUNCTION("""COMPUTED_VALUE"""),"")</f>
        <v/>
      </c>
    </row>
    <row r="11680">
      <c r="A11680" s="16" t="s">
        <v>87</v>
      </c>
      <c r="E11680" s="16" t="str">
        <f>IFERROR(__xludf.DUMMYFUNCTION("""COMPUTED_VALUE"""),"")</f>
        <v/>
      </c>
      <c r="G11680" s="18"/>
      <c r="H11680" s="16" t="s">
        <v>87</v>
      </c>
      <c r="I11680" s="16" t="s">
        <v>87</v>
      </c>
      <c r="J11680" s="19"/>
      <c r="L11680" s="16" t="str">
        <f>IFERROR(__xludf.DUMMYFUNCTION("""COMPUTED_VALUE"""),"")</f>
        <v/>
      </c>
      <c r="M11680" s="16" t="str">
        <f>IFERROR(__xludf.DUMMYFUNCTION("""COMPUTED_VALUE"""),"")</f>
        <v/>
      </c>
      <c r="U11680" s="16" t="s">
        <v>87</v>
      </c>
      <c r="V11680" s="16" t="str">
        <f>IFERROR(__xludf.DUMMYFUNCTION("""COMPUTED_VALUE"""),"")</f>
        <v/>
      </c>
      <c r="W11680" s="16" t="str">
        <f>IFERROR(__xludf.DUMMYFUNCTION("""COMPUTED_VALUE"""),"")</f>
        <v/>
      </c>
      <c r="X11680" s="16" t="str">
        <f>IFERROR(__xludf.DUMMYFUNCTION("""COMPUTED_VALUE"""),"")</f>
        <v/>
      </c>
      <c r="AC11680" s="16" t="str">
        <f>IFERROR(__xludf.DUMMYFUNCTION("""COMPUTED_VALUE"""),"")</f>
        <v/>
      </c>
    </row>
    <row r="11681">
      <c r="A11681" s="16" t="s">
        <v>87</v>
      </c>
      <c r="E11681" s="16" t="str">
        <f>IFERROR(__xludf.DUMMYFUNCTION("""COMPUTED_VALUE"""),"")</f>
        <v/>
      </c>
      <c r="G11681" s="18"/>
      <c r="H11681" s="16" t="s">
        <v>87</v>
      </c>
      <c r="I11681" s="16" t="s">
        <v>87</v>
      </c>
      <c r="J11681" s="19"/>
      <c r="L11681" s="16" t="str">
        <f>IFERROR(__xludf.DUMMYFUNCTION("""COMPUTED_VALUE"""),"")</f>
        <v/>
      </c>
      <c r="M11681" s="16" t="str">
        <f>IFERROR(__xludf.DUMMYFUNCTION("""COMPUTED_VALUE"""),"")</f>
        <v/>
      </c>
      <c r="U11681" s="16" t="s">
        <v>87</v>
      </c>
      <c r="V11681" s="16" t="str">
        <f>IFERROR(__xludf.DUMMYFUNCTION("""COMPUTED_VALUE"""),"")</f>
        <v/>
      </c>
      <c r="W11681" s="16" t="str">
        <f>IFERROR(__xludf.DUMMYFUNCTION("""COMPUTED_VALUE"""),"")</f>
        <v/>
      </c>
      <c r="X11681" s="16" t="str">
        <f>IFERROR(__xludf.DUMMYFUNCTION("""COMPUTED_VALUE"""),"")</f>
        <v/>
      </c>
      <c r="AC11681" s="16" t="str">
        <f>IFERROR(__xludf.DUMMYFUNCTION("""COMPUTED_VALUE"""),"")</f>
        <v/>
      </c>
    </row>
    <row r="11682">
      <c r="A11682" s="16" t="s">
        <v>87</v>
      </c>
      <c r="E11682" s="16" t="str">
        <f>IFERROR(__xludf.DUMMYFUNCTION("""COMPUTED_VALUE"""),"")</f>
        <v/>
      </c>
      <c r="G11682" s="18"/>
      <c r="H11682" s="16" t="s">
        <v>87</v>
      </c>
      <c r="I11682" s="16" t="s">
        <v>87</v>
      </c>
      <c r="J11682" s="19"/>
      <c r="L11682" s="16" t="str">
        <f>IFERROR(__xludf.DUMMYFUNCTION("""COMPUTED_VALUE"""),"")</f>
        <v/>
      </c>
      <c r="M11682" s="16" t="str">
        <f>IFERROR(__xludf.DUMMYFUNCTION("""COMPUTED_VALUE"""),"")</f>
        <v/>
      </c>
      <c r="U11682" s="16" t="s">
        <v>87</v>
      </c>
      <c r="V11682" s="16" t="str">
        <f>IFERROR(__xludf.DUMMYFUNCTION("""COMPUTED_VALUE"""),"")</f>
        <v/>
      </c>
      <c r="W11682" s="16" t="str">
        <f>IFERROR(__xludf.DUMMYFUNCTION("""COMPUTED_VALUE"""),"")</f>
        <v/>
      </c>
      <c r="X11682" s="16" t="str">
        <f>IFERROR(__xludf.DUMMYFUNCTION("""COMPUTED_VALUE"""),"")</f>
        <v/>
      </c>
      <c r="AC11682" s="16" t="str">
        <f>IFERROR(__xludf.DUMMYFUNCTION("""COMPUTED_VALUE"""),"")</f>
        <v/>
      </c>
    </row>
    <row r="11683">
      <c r="A11683" s="16" t="s">
        <v>87</v>
      </c>
      <c r="E11683" s="16" t="str">
        <f>IFERROR(__xludf.DUMMYFUNCTION("""COMPUTED_VALUE"""),"")</f>
        <v/>
      </c>
      <c r="G11683" s="18"/>
      <c r="H11683" s="16" t="s">
        <v>87</v>
      </c>
      <c r="I11683" s="16" t="s">
        <v>87</v>
      </c>
      <c r="J11683" s="19"/>
      <c r="L11683" s="16" t="str">
        <f>IFERROR(__xludf.DUMMYFUNCTION("""COMPUTED_VALUE"""),"")</f>
        <v/>
      </c>
      <c r="M11683" s="16" t="str">
        <f>IFERROR(__xludf.DUMMYFUNCTION("""COMPUTED_VALUE"""),"")</f>
        <v/>
      </c>
      <c r="U11683" s="16" t="s">
        <v>87</v>
      </c>
      <c r="V11683" s="16" t="str">
        <f>IFERROR(__xludf.DUMMYFUNCTION("""COMPUTED_VALUE"""),"")</f>
        <v/>
      </c>
      <c r="W11683" s="16" t="str">
        <f>IFERROR(__xludf.DUMMYFUNCTION("""COMPUTED_VALUE"""),"")</f>
        <v/>
      </c>
      <c r="X11683" s="16" t="str">
        <f>IFERROR(__xludf.DUMMYFUNCTION("""COMPUTED_VALUE"""),"")</f>
        <v/>
      </c>
      <c r="AC11683" s="16" t="str">
        <f>IFERROR(__xludf.DUMMYFUNCTION("""COMPUTED_VALUE"""),"")</f>
        <v/>
      </c>
    </row>
    <row r="11684">
      <c r="A11684" s="16" t="s">
        <v>87</v>
      </c>
      <c r="E11684" s="16" t="str">
        <f>IFERROR(__xludf.DUMMYFUNCTION("""COMPUTED_VALUE"""),"")</f>
        <v/>
      </c>
      <c r="G11684" s="18"/>
      <c r="H11684" s="16" t="s">
        <v>87</v>
      </c>
      <c r="I11684" s="16" t="s">
        <v>87</v>
      </c>
      <c r="J11684" s="19"/>
      <c r="L11684" s="16" t="str">
        <f>IFERROR(__xludf.DUMMYFUNCTION("""COMPUTED_VALUE"""),"")</f>
        <v/>
      </c>
      <c r="M11684" s="16" t="str">
        <f>IFERROR(__xludf.DUMMYFUNCTION("""COMPUTED_VALUE"""),"")</f>
        <v/>
      </c>
      <c r="U11684" s="16" t="s">
        <v>87</v>
      </c>
      <c r="V11684" s="16" t="str">
        <f>IFERROR(__xludf.DUMMYFUNCTION("""COMPUTED_VALUE"""),"")</f>
        <v/>
      </c>
      <c r="W11684" s="16" t="str">
        <f>IFERROR(__xludf.DUMMYFUNCTION("""COMPUTED_VALUE"""),"")</f>
        <v/>
      </c>
      <c r="X11684" s="16" t="str">
        <f>IFERROR(__xludf.DUMMYFUNCTION("""COMPUTED_VALUE"""),"")</f>
        <v/>
      </c>
      <c r="AC11684" s="16" t="str">
        <f>IFERROR(__xludf.DUMMYFUNCTION("""COMPUTED_VALUE"""),"")</f>
        <v/>
      </c>
    </row>
    <row r="11685">
      <c r="A11685" s="16" t="s">
        <v>87</v>
      </c>
      <c r="E11685" s="16" t="str">
        <f>IFERROR(__xludf.DUMMYFUNCTION("""COMPUTED_VALUE"""),"")</f>
        <v/>
      </c>
      <c r="G11685" s="18"/>
      <c r="H11685" s="16" t="s">
        <v>87</v>
      </c>
      <c r="I11685" s="16" t="s">
        <v>87</v>
      </c>
      <c r="J11685" s="19"/>
      <c r="L11685" s="16" t="str">
        <f>IFERROR(__xludf.DUMMYFUNCTION("""COMPUTED_VALUE"""),"")</f>
        <v/>
      </c>
      <c r="M11685" s="16" t="str">
        <f>IFERROR(__xludf.DUMMYFUNCTION("""COMPUTED_VALUE"""),"")</f>
        <v/>
      </c>
      <c r="U11685" s="16" t="s">
        <v>87</v>
      </c>
      <c r="V11685" s="16" t="str">
        <f>IFERROR(__xludf.DUMMYFUNCTION("""COMPUTED_VALUE"""),"")</f>
        <v/>
      </c>
      <c r="W11685" s="16" t="str">
        <f>IFERROR(__xludf.DUMMYFUNCTION("""COMPUTED_VALUE"""),"")</f>
        <v/>
      </c>
      <c r="X11685" s="16" t="str">
        <f>IFERROR(__xludf.DUMMYFUNCTION("""COMPUTED_VALUE"""),"")</f>
        <v/>
      </c>
      <c r="AC11685" s="16" t="str">
        <f>IFERROR(__xludf.DUMMYFUNCTION("""COMPUTED_VALUE"""),"")</f>
        <v/>
      </c>
    </row>
    <row r="11686">
      <c r="A11686" s="16" t="s">
        <v>87</v>
      </c>
      <c r="E11686" s="16" t="str">
        <f>IFERROR(__xludf.DUMMYFUNCTION("""COMPUTED_VALUE"""),"")</f>
        <v/>
      </c>
      <c r="G11686" s="18"/>
      <c r="H11686" s="16" t="s">
        <v>87</v>
      </c>
      <c r="I11686" s="16" t="s">
        <v>87</v>
      </c>
      <c r="J11686" s="19"/>
      <c r="L11686" s="16" t="str">
        <f>IFERROR(__xludf.DUMMYFUNCTION("""COMPUTED_VALUE"""),"")</f>
        <v/>
      </c>
      <c r="M11686" s="16" t="str">
        <f>IFERROR(__xludf.DUMMYFUNCTION("""COMPUTED_VALUE"""),"")</f>
        <v/>
      </c>
      <c r="U11686" s="16" t="s">
        <v>87</v>
      </c>
      <c r="V11686" s="16" t="str">
        <f>IFERROR(__xludf.DUMMYFUNCTION("""COMPUTED_VALUE"""),"")</f>
        <v/>
      </c>
      <c r="W11686" s="16" t="str">
        <f>IFERROR(__xludf.DUMMYFUNCTION("""COMPUTED_VALUE"""),"")</f>
        <v/>
      </c>
      <c r="X11686" s="16" t="str">
        <f>IFERROR(__xludf.DUMMYFUNCTION("""COMPUTED_VALUE"""),"")</f>
        <v/>
      </c>
      <c r="AC11686" s="16" t="str">
        <f>IFERROR(__xludf.DUMMYFUNCTION("""COMPUTED_VALUE"""),"")</f>
        <v/>
      </c>
    </row>
    <row r="11687">
      <c r="A11687" s="16" t="s">
        <v>87</v>
      </c>
      <c r="E11687" s="16" t="str">
        <f>IFERROR(__xludf.DUMMYFUNCTION("""COMPUTED_VALUE"""),"")</f>
        <v/>
      </c>
      <c r="G11687" s="18"/>
      <c r="H11687" s="16" t="s">
        <v>87</v>
      </c>
      <c r="I11687" s="16" t="s">
        <v>87</v>
      </c>
      <c r="J11687" s="19"/>
      <c r="L11687" s="16" t="str">
        <f>IFERROR(__xludf.DUMMYFUNCTION("""COMPUTED_VALUE"""),"")</f>
        <v/>
      </c>
      <c r="M11687" s="16" t="str">
        <f>IFERROR(__xludf.DUMMYFUNCTION("""COMPUTED_VALUE"""),"")</f>
        <v/>
      </c>
      <c r="U11687" s="16" t="s">
        <v>87</v>
      </c>
      <c r="V11687" s="16" t="str">
        <f>IFERROR(__xludf.DUMMYFUNCTION("""COMPUTED_VALUE"""),"")</f>
        <v/>
      </c>
      <c r="W11687" s="16" t="str">
        <f>IFERROR(__xludf.DUMMYFUNCTION("""COMPUTED_VALUE"""),"")</f>
        <v/>
      </c>
      <c r="X11687" s="16" t="str">
        <f>IFERROR(__xludf.DUMMYFUNCTION("""COMPUTED_VALUE"""),"")</f>
        <v/>
      </c>
      <c r="AC11687" s="16" t="str">
        <f>IFERROR(__xludf.DUMMYFUNCTION("""COMPUTED_VALUE"""),"")</f>
        <v/>
      </c>
    </row>
    <row r="11688">
      <c r="A11688" s="16" t="s">
        <v>87</v>
      </c>
      <c r="E11688" s="16" t="str">
        <f>IFERROR(__xludf.DUMMYFUNCTION("""COMPUTED_VALUE"""),"")</f>
        <v/>
      </c>
      <c r="G11688" s="18"/>
      <c r="H11688" s="16" t="s">
        <v>87</v>
      </c>
      <c r="I11688" s="16" t="s">
        <v>87</v>
      </c>
      <c r="J11688" s="19"/>
      <c r="L11688" s="16" t="str">
        <f>IFERROR(__xludf.DUMMYFUNCTION("""COMPUTED_VALUE"""),"")</f>
        <v/>
      </c>
      <c r="M11688" s="16" t="str">
        <f>IFERROR(__xludf.DUMMYFUNCTION("""COMPUTED_VALUE"""),"")</f>
        <v/>
      </c>
      <c r="U11688" s="16" t="s">
        <v>87</v>
      </c>
      <c r="V11688" s="16" t="str">
        <f>IFERROR(__xludf.DUMMYFUNCTION("""COMPUTED_VALUE"""),"")</f>
        <v/>
      </c>
      <c r="W11688" s="16" t="str">
        <f>IFERROR(__xludf.DUMMYFUNCTION("""COMPUTED_VALUE"""),"")</f>
        <v/>
      </c>
      <c r="X11688" s="16" t="str">
        <f>IFERROR(__xludf.DUMMYFUNCTION("""COMPUTED_VALUE"""),"")</f>
        <v/>
      </c>
      <c r="AC11688" s="16" t="str">
        <f>IFERROR(__xludf.DUMMYFUNCTION("""COMPUTED_VALUE"""),"")</f>
        <v/>
      </c>
    </row>
    <row r="11689">
      <c r="A11689" s="16" t="s">
        <v>87</v>
      </c>
      <c r="E11689" s="16" t="str">
        <f>IFERROR(__xludf.DUMMYFUNCTION("""COMPUTED_VALUE"""),"")</f>
        <v/>
      </c>
      <c r="G11689" s="18"/>
      <c r="H11689" s="16" t="s">
        <v>87</v>
      </c>
      <c r="I11689" s="16" t="s">
        <v>87</v>
      </c>
      <c r="J11689" s="19"/>
      <c r="L11689" s="16" t="str">
        <f>IFERROR(__xludf.DUMMYFUNCTION("""COMPUTED_VALUE"""),"")</f>
        <v/>
      </c>
      <c r="M11689" s="16" t="str">
        <f>IFERROR(__xludf.DUMMYFUNCTION("""COMPUTED_VALUE"""),"")</f>
        <v/>
      </c>
      <c r="U11689" s="16" t="s">
        <v>87</v>
      </c>
      <c r="V11689" s="16" t="str">
        <f>IFERROR(__xludf.DUMMYFUNCTION("""COMPUTED_VALUE"""),"")</f>
        <v/>
      </c>
      <c r="W11689" s="16" t="str">
        <f>IFERROR(__xludf.DUMMYFUNCTION("""COMPUTED_VALUE"""),"")</f>
        <v/>
      </c>
      <c r="X11689" s="16" t="str">
        <f>IFERROR(__xludf.DUMMYFUNCTION("""COMPUTED_VALUE"""),"")</f>
        <v/>
      </c>
      <c r="AC11689" s="16" t="str">
        <f>IFERROR(__xludf.DUMMYFUNCTION("""COMPUTED_VALUE"""),"")</f>
        <v/>
      </c>
    </row>
    <row r="11690">
      <c r="A11690" s="16" t="s">
        <v>87</v>
      </c>
      <c r="E11690" s="16" t="str">
        <f>IFERROR(__xludf.DUMMYFUNCTION("""COMPUTED_VALUE"""),"")</f>
        <v/>
      </c>
      <c r="G11690" s="18"/>
      <c r="H11690" s="16" t="s">
        <v>87</v>
      </c>
      <c r="I11690" s="16" t="s">
        <v>87</v>
      </c>
      <c r="J11690" s="19"/>
      <c r="L11690" s="16" t="str">
        <f>IFERROR(__xludf.DUMMYFUNCTION("""COMPUTED_VALUE"""),"")</f>
        <v/>
      </c>
      <c r="M11690" s="16" t="str">
        <f>IFERROR(__xludf.DUMMYFUNCTION("""COMPUTED_VALUE"""),"")</f>
        <v/>
      </c>
      <c r="U11690" s="16" t="s">
        <v>87</v>
      </c>
      <c r="V11690" s="16" t="str">
        <f>IFERROR(__xludf.DUMMYFUNCTION("""COMPUTED_VALUE"""),"")</f>
        <v/>
      </c>
      <c r="W11690" s="16" t="str">
        <f>IFERROR(__xludf.DUMMYFUNCTION("""COMPUTED_VALUE"""),"")</f>
        <v/>
      </c>
      <c r="X11690" s="16" t="str">
        <f>IFERROR(__xludf.DUMMYFUNCTION("""COMPUTED_VALUE"""),"")</f>
        <v/>
      </c>
      <c r="AC11690" s="16" t="str">
        <f>IFERROR(__xludf.DUMMYFUNCTION("""COMPUTED_VALUE"""),"")</f>
        <v/>
      </c>
    </row>
    <row r="11691">
      <c r="A11691" s="16" t="s">
        <v>87</v>
      </c>
      <c r="E11691" s="16" t="str">
        <f>IFERROR(__xludf.DUMMYFUNCTION("""COMPUTED_VALUE"""),"")</f>
        <v/>
      </c>
      <c r="G11691" s="18"/>
      <c r="H11691" s="16" t="s">
        <v>87</v>
      </c>
      <c r="I11691" s="16" t="s">
        <v>87</v>
      </c>
      <c r="J11691" s="19"/>
      <c r="L11691" s="16" t="str">
        <f>IFERROR(__xludf.DUMMYFUNCTION("""COMPUTED_VALUE"""),"")</f>
        <v/>
      </c>
      <c r="M11691" s="16" t="str">
        <f>IFERROR(__xludf.DUMMYFUNCTION("""COMPUTED_VALUE"""),"")</f>
        <v/>
      </c>
      <c r="U11691" s="16" t="s">
        <v>87</v>
      </c>
      <c r="V11691" s="16" t="str">
        <f>IFERROR(__xludf.DUMMYFUNCTION("""COMPUTED_VALUE"""),"")</f>
        <v/>
      </c>
      <c r="W11691" s="16" t="str">
        <f>IFERROR(__xludf.DUMMYFUNCTION("""COMPUTED_VALUE"""),"")</f>
        <v/>
      </c>
      <c r="X11691" s="16" t="str">
        <f>IFERROR(__xludf.DUMMYFUNCTION("""COMPUTED_VALUE"""),"")</f>
        <v/>
      </c>
      <c r="AC11691" s="16" t="str">
        <f>IFERROR(__xludf.DUMMYFUNCTION("""COMPUTED_VALUE"""),"")</f>
        <v/>
      </c>
    </row>
    <row r="11692">
      <c r="A11692" s="16" t="s">
        <v>87</v>
      </c>
      <c r="E11692" s="16" t="str">
        <f>IFERROR(__xludf.DUMMYFUNCTION("""COMPUTED_VALUE"""),"")</f>
        <v/>
      </c>
      <c r="G11692" s="18"/>
      <c r="H11692" s="16" t="s">
        <v>87</v>
      </c>
      <c r="I11692" s="16" t="s">
        <v>87</v>
      </c>
      <c r="J11692" s="19"/>
      <c r="L11692" s="16" t="str">
        <f>IFERROR(__xludf.DUMMYFUNCTION("""COMPUTED_VALUE"""),"")</f>
        <v/>
      </c>
      <c r="M11692" s="16" t="str">
        <f>IFERROR(__xludf.DUMMYFUNCTION("""COMPUTED_VALUE"""),"")</f>
        <v/>
      </c>
      <c r="U11692" s="16" t="s">
        <v>87</v>
      </c>
      <c r="V11692" s="16" t="str">
        <f>IFERROR(__xludf.DUMMYFUNCTION("""COMPUTED_VALUE"""),"")</f>
        <v/>
      </c>
      <c r="W11692" s="16" t="str">
        <f>IFERROR(__xludf.DUMMYFUNCTION("""COMPUTED_VALUE"""),"")</f>
        <v/>
      </c>
      <c r="X11692" s="16" t="str">
        <f>IFERROR(__xludf.DUMMYFUNCTION("""COMPUTED_VALUE"""),"")</f>
        <v/>
      </c>
      <c r="AC11692" s="16" t="str">
        <f>IFERROR(__xludf.DUMMYFUNCTION("""COMPUTED_VALUE"""),"")</f>
        <v/>
      </c>
    </row>
    <row r="11693">
      <c r="A11693" s="16" t="s">
        <v>87</v>
      </c>
      <c r="E11693" s="16" t="str">
        <f>IFERROR(__xludf.DUMMYFUNCTION("""COMPUTED_VALUE"""),"")</f>
        <v/>
      </c>
      <c r="G11693" s="18"/>
      <c r="H11693" s="16" t="s">
        <v>87</v>
      </c>
      <c r="I11693" s="16" t="s">
        <v>87</v>
      </c>
      <c r="J11693" s="19"/>
      <c r="L11693" s="16" t="str">
        <f>IFERROR(__xludf.DUMMYFUNCTION("""COMPUTED_VALUE"""),"")</f>
        <v/>
      </c>
      <c r="M11693" s="16" t="str">
        <f>IFERROR(__xludf.DUMMYFUNCTION("""COMPUTED_VALUE"""),"")</f>
        <v/>
      </c>
      <c r="U11693" s="16" t="s">
        <v>87</v>
      </c>
      <c r="V11693" s="16" t="str">
        <f>IFERROR(__xludf.DUMMYFUNCTION("""COMPUTED_VALUE"""),"")</f>
        <v/>
      </c>
      <c r="W11693" s="16" t="str">
        <f>IFERROR(__xludf.DUMMYFUNCTION("""COMPUTED_VALUE"""),"")</f>
        <v/>
      </c>
      <c r="X11693" s="16" t="str">
        <f>IFERROR(__xludf.DUMMYFUNCTION("""COMPUTED_VALUE"""),"")</f>
        <v/>
      </c>
      <c r="AC11693" s="16" t="str">
        <f>IFERROR(__xludf.DUMMYFUNCTION("""COMPUTED_VALUE"""),"")</f>
        <v/>
      </c>
    </row>
    <row r="11694">
      <c r="A11694" s="16" t="s">
        <v>87</v>
      </c>
      <c r="E11694" s="16" t="str">
        <f>IFERROR(__xludf.DUMMYFUNCTION("""COMPUTED_VALUE"""),"")</f>
        <v/>
      </c>
      <c r="G11694" s="18"/>
      <c r="H11694" s="16" t="s">
        <v>87</v>
      </c>
      <c r="I11694" s="16" t="s">
        <v>87</v>
      </c>
      <c r="J11694" s="19"/>
      <c r="L11694" s="16" t="str">
        <f>IFERROR(__xludf.DUMMYFUNCTION("""COMPUTED_VALUE"""),"")</f>
        <v/>
      </c>
      <c r="M11694" s="16" t="str">
        <f>IFERROR(__xludf.DUMMYFUNCTION("""COMPUTED_VALUE"""),"")</f>
        <v/>
      </c>
      <c r="U11694" s="16" t="s">
        <v>87</v>
      </c>
      <c r="V11694" s="16" t="str">
        <f>IFERROR(__xludf.DUMMYFUNCTION("""COMPUTED_VALUE"""),"")</f>
        <v/>
      </c>
      <c r="W11694" s="16" t="str">
        <f>IFERROR(__xludf.DUMMYFUNCTION("""COMPUTED_VALUE"""),"")</f>
        <v/>
      </c>
      <c r="X11694" s="16" t="str">
        <f>IFERROR(__xludf.DUMMYFUNCTION("""COMPUTED_VALUE"""),"")</f>
        <v/>
      </c>
      <c r="AC11694" s="16" t="str">
        <f>IFERROR(__xludf.DUMMYFUNCTION("""COMPUTED_VALUE"""),"")</f>
        <v/>
      </c>
    </row>
    <row r="11695">
      <c r="A11695" s="16" t="s">
        <v>87</v>
      </c>
      <c r="E11695" s="16" t="str">
        <f>IFERROR(__xludf.DUMMYFUNCTION("""COMPUTED_VALUE"""),"")</f>
        <v/>
      </c>
      <c r="G11695" s="18"/>
      <c r="H11695" s="16" t="s">
        <v>87</v>
      </c>
      <c r="I11695" s="16" t="s">
        <v>87</v>
      </c>
      <c r="J11695" s="19"/>
      <c r="L11695" s="16" t="str">
        <f>IFERROR(__xludf.DUMMYFUNCTION("""COMPUTED_VALUE"""),"")</f>
        <v/>
      </c>
      <c r="M11695" s="16" t="str">
        <f>IFERROR(__xludf.DUMMYFUNCTION("""COMPUTED_VALUE"""),"")</f>
        <v/>
      </c>
      <c r="U11695" s="16" t="s">
        <v>87</v>
      </c>
      <c r="V11695" s="16" t="str">
        <f>IFERROR(__xludf.DUMMYFUNCTION("""COMPUTED_VALUE"""),"")</f>
        <v/>
      </c>
      <c r="W11695" s="16" t="str">
        <f>IFERROR(__xludf.DUMMYFUNCTION("""COMPUTED_VALUE"""),"")</f>
        <v/>
      </c>
      <c r="X11695" s="16" t="str">
        <f>IFERROR(__xludf.DUMMYFUNCTION("""COMPUTED_VALUE"""),"")</f>
        <v/>
      </c>
      <c r="AC11695" s="16" t="str">
        <f>IFERROR(__xludf.DUMMYFUNCTION("""COMPUTED_VALUE"""),"")</f>
        <v/>
      </c>
    </row>
    <row r="11696">
      <c r="A11696" s="16" t="s">
        <v>87</v>
      </c>
      <c r="E11696" s="16" t="str">
        <f>IFERROR(__xludf.DUMMYFUNCTION("""COMPUTED_VALUE"""),"")</f>
        <v/>
      </c>
      <c r="G11696" s="18"/>
      <c r="H11696" s="16" t="s">
        <v>87</v>
      </c>
      <c r="I11696" s="16" t="s">
        <v>87</v>
      </c>
      <c r="J11696" s="19"/>
      <c r="L11696" s="16" t="str">
        <f>IFERROR(__xludf.DUMMYFUNCTION("""COMPUTED_VALUE"""),"")</f>
        <v/>
      </c>
      <c r="M11696" s="16" t="str">
        <f>IFERROR(__xludf.DUMMYFUNCTION("""COMPUTED_VALUE"""),"")</f>
        <v/>
      </c>
      <c r="U11696" s="16" t="s">
        <v>87</v>
      </c>
      <c r="V11696" s="16" t="str">
        <f>IFERROR(__xludf.DUMMYFUNCTION("""COMPUTED_VALUE"""),"")</f>
        <v/>
      </c>
      <c r="W11696" s="16" t="str">
        <f>IFERROR(__xludf.DUMMYFUNCTION("""COMPUTED_VALUE"""),"")</f>
        <v/>
      </c>
      <c r="X11696" s="16" t="str">
        <f>IFERROR(__xludf.DUMMYFUNCTION("""COMPUTED_VALUE"""),"")</f>
        <v/>
      </c>
      <c r="AC11696" s="16" t="str">
        <f>IFERROR(__xludf.DUMMYFUNCTION("""COMPUTED_VALUE"""),"")</f>
        <v/>
      </c>
    </row>
    <row r="11697">
      <c r="A11697" s="16" t="s">
        <v>87</v>
      </c>
      <c r="E11697" s="16" t="str">
        <f>IFERROR(__xludf.DUMMYFUNCTION("""COMPUTED_VALUE"""),"")</f>
        <v/>
      </c>
      <c r="G11697" s="18"/>
      <c r="H11697" s="16" t="s">
        <v>87</v>
      </c>
      <c r="I11697" s="16" t="s">
        <v>87</v>
      </c>
      <c r="J11697" s="19"/>
      <c r="L11697" s="16" t="str">
        <f>IFERROR(__xludf.DUMMYFUNCTION("""COMPUTED_VALUE"""),"")</f>
        <v/>
      </c>
      <c r="M11697" s="16" t="str">
        <f>IFERROR(__xludf.DUMMYFUNCTION("""COMPUTED_VALUE"""),"")</f>
        <v/>
      </c>
      <c r="U11697" s="16" t="s">
        <v>87</v>
      </c>
      <c r="V11697" s="16" t="str">
        <f>IFERROR(__xludf.DUMMYFUNCTION("""COMPUTED_VALUE"""),"")</f>
        <v/>
      </c>
      <c r="W11697" s="16" t="str">
        <f>IFERROR(__xludf.DUMMYFUNCTION("""COMPUTED_VALUE"""),"")</f>
        <v/>
      </c>
      <c r="X11697" s="16" t="str">
        <f>IFERROR(__xludf.DUMMYFUNCTION("""COMPUTED_VALUE"""),"")</f>
        <v/>
      </c>
      <c r="AC11697" s="16" t="str">
        <f>IFERROR(__xludf.DUMMYFUNCTION("""COMPUTED_VALUE"""),"")</f>
        <v/>
      </c>
    </row>
    <row r="11698">
      <c r="A11698" s="16" t="s">
        <v>87</v>
      </c>
      <c r="E11698" s="16" t="str">
        <f>IFERROR(__xludf.DUMMYFUNCTION("""COMPUTED_VALUE"""),"")</f>
        <v/>
      </c>
      <c r="G11698" s="18"/>
      <c r="H11698" s="16" t="s">
        <v>87</v>
      </c>
      <c r="I11698" s="16" t="s">
        <v>87</v>
      </c>
      <c r="J11698" s="19"/>
      <c r="L11698" s="16" t="str">
        <f>IFERROR(__xludf.DUMMYFUNCTION("""COMPUTED_VALUE"""),"")</f>
        <v/>
      </c>
      <c r="M11698" s="16" t="str">
        <f>IFERROR(__xludf.DUMMYFUNCTION("""COMPUTED_VALUE"""),"")</f>
        <v/>
      </c>
      <c r="U11698" s="16" t="s">
        <v>87</v>
      </c>
      <c r="V11698" s="16" t="str">
        <f>IFERROR(__xludf.DUMMYFUNCTION("""COMPUTED_VALUE"""),"")</f>
        <v/>
      </c>
      <c r="W11698" s="16" t="str">
        <f>IFERROR(__xludf.DUMMYFUNCTION("""COMPUTED_VALUE"""),"")</f>
        <v/>
      </c>
      <c r="X11698" s="16" t="str">
        <f>IFERROR(__xludf.DUMMYFUNCTION("""COMPUTED_VALUE"""),"")</f>
        <v/>
      </c>
      <c r="AC11698" s="16" t="str">
        <f>IFERROR(__xludf.DUMMYFUNCTION("""COMPUTED_VALUE"""),"")</f>
        <v/>
      </c>
    </row>
    <row r="11699">
      <c r="A11699" s="16" t="s">
        <v>87</v>
      </c>
      <c r="E11699" s="16" t="str">
        <f>IFERROR(__xludf.DUMMYFUNCTION("""COMPUTED_VALUE"""),"")</f>
        <v/>
      </c>
      <c r="G11699" s="18"/>
      <c r="H11699" s="16" t="s">
        <v>87</v>
      </c>
      <c r="I11699" s="16" t="s">
        <v>87</v>
      </c>
      <c r="J11699" s="19"/>
      <c r="L11699" s="16" t="str">
        <f>IFERROR(__xludf.DUMMYFUNCTION("""COMPUTED_VALUE"""),"")</f>
        <v/>
      </c>
      <c r="M11699" s="16" t="str">
        <f>IFERROR(__xludf.DUMMYFUNCTION("""COMPUTED_VALUE"""),"")</f>
        <v/>
      </c>
      <c r="U11699" s="16" t="s">
        <v>87</v>
      </c>
      <c r="V11699" s="16" t="str">
        <f>IFERROR(__xludf.DUMMYFUNCTION("""COMPUTED_VALUE"""),"")</f>
        <v/>
      </c>
      <c r="W11699" s="16" t="str">
        <f>IFERROR(__xludf.DUMMYFUNCTION("""COMPUTED_VALUE"""),"")</f>
        <v/>
      </c>
      <c r="X11699" s="16" t="str">
        <f>IFERROR(__xludf.DUMMYFUNCTION("""COMPUTED_VALUE"""),"")</f>
        <v/>
      </c>
      <c r="AC11699" s="16" t="str">
        <f>IFERROR(__xludf.DUMMYFUNCTION("""COMPUTED_VALUE"""),"")</f>
        <v/>
      </c>
    </row>
    <row r="11700">
      <c r="A11700" s="16" t="s">
        <v>87</v>
      </c>
      <c r="E11700" s="16" t="str">
        <f>IFERROR(__xludf.DUMMYFUNCTION("""COMPUTED_VALUE"""),"")</f>
        <v/>
      </c>
      <c r="G11700" s="18"/>
      <c r="H11700" s="16" t="s">
        <v>87</v>
      </c>
      <c r="I11700" s="16" t="s">
        <v>87</v>
      </c>
      <c r="J11700" s="19"/>
      <c r="L11700" s="16" t="str">
        <f>IFERROR(__xludf.DUMMYFUNCTION("""COMPUTED_VALUE"""),"")</f>
        <v/>
      </c>
      <c r="M11700" s="16" t="str">
        <f>IFERROR(__xludf.DUMMYFUNCTION("""COMPUTED_VALUE"""),"")</f>
        <v/>
      </c>
      <c r="U11700" s="16" t="s">
        <v>87</v>
      </c>
      <c r="V11700" s="16" t="str">
        <f>IFERROR(__xludf.DUMMYFUNCTION("""COMPUTED_VALUE"""),"")</f>
        <v/>
      </c>
      <c r="W11700" s="16" t="str">
        <f>IFERROR(__xludf.DUMMYFUNCTION("""COMPUTED_VALUE"""),"")</f>
        <v/>
      </c>
      <c r="X11700" s="16" t="str">
        <f>IFERROR(__xludf.DUMMYFUNCTION("""COMPUTED_VALUE"""),"")</f>
        <v/>
      </c>
      <c r="AC11700" s="16" t="str">
        <f>IFERROR(__xludf.DUMMYFUNCTION("""COMPUTED_VALUE"""),"")</f>
        <v/>
      </c>
    </row>
    <row r="11701">
      <c r="A11701" s="16" t="s">
        <v>87</v>
      </c>
      <c r="E11701" s="16" t="str">
        <f>IFERROR(__xludf.DUMMYFUNCTION("""COMPUTED_VALUE"""),"")</f>
        <v/>
      </c>
      <c r="G11701" s="18"/>
      <c r="H11701" s="16" t="s">
        <v>87</v>
      </c>
      <c r="I11701" s="16" t="s">
        <v>87</v>
      </c>
      <c r="J11701" s="19"/>
      <c r="L11701" s="16" t="str">
        <f>IFERROR(__xludf.DUMMYFUNCTION("""COMPUTED_VALUE"""),"")</f>
        <v/>
      </c>
      <c r="M11701" s="16" t="str">
        <f>IFERROR(__xludf.DUMMYFUNCTION("""COMPUTED_VALUE"""),"")</f>
        <v/>
      </c>
      <c r="U11701" s="16" t="s">
        <v>87</v>
      </c>
      <c r="V11701" s="16" t="str">
        <f>IFERROR(__xludf.DUMMYFUNCTION("""COMPUTED_VALUE"""),"")</f>
        <v/>
      </c>
      <c r="W11701" s="16" t="str">
        <f>IFERROR(__xludf.DUMMYFUNCTION("""COMPUTED_VALUE"""),"")</f>
        <v/>
      </c>
      <c r="X11701" s="16" t="str">
        <f>IFERROR(__xludf.DUMMYFUNCTION("""COMPUTED_VALUE"""),"")</f>
        <v/>
      </c>
      <c r="AC11701" s="16" t="str">
        <f>IFERROR(__xludf.DUMMYFUNCTION("""COMPUTED_VALUE"""),"")</f>
        <v/>
      </c>
    </row>
    <row r="11702">
      <c r="A11702" s="16" t="s">
        <v>87</v>
      </c>
      <c r="E11702" s="16" t="str">
        <f>IFERROR(__xludf.DUMMYFUNCTION("""COMPUTED_VALUE"""),"")</f>
        <v/>
      </c>
      <c r="G11702" s="18"/>
      <c r="H11702" s="16" t="s">
        <v>87</v>
      </c>
      <c r="I11702" s="16" t="s">
        <v>87</v>
      </c>
      <c r="J11702" s="19"/>
      <c r="L11702" s="16" t="str">
        <f>IFERROR(__xludf.DUMMYFUNCTION("""COMPUTED_VALUE"""),"")</f>
        <v/>
      </c>
      <c r="M11702" s="16" t="str">
        <f>IFERROR(__xludf.DUMMYFUNCTION("""COMPUTED_VALUE"""),"")</f>
        <v/>
      </c>
      <c r="U11702" s="16" t="s">
        <v>87</v>
      </c>
      <c r="V11702" s="16" t="str">
        <f>IFERROR(__xludf.DUMMYFUNCTION("""COMPUTED_VALUE"""),"")</f>
        <v/>
      </c>
      <c r="W11702" s="16" t="str">
        <f>IFERROR(__xludf.DUMMYFUNCTION("""COMPUTED_VALUE"""),"")</f>
        <v/>
      </c>
      <c r="X11702" s="16" t="str">
        <f>IFERROR(__xludf.DUMMYFUNCTION("""COMPUTED_VALUE"""),"")</f>
        <v/>
      </c>
      <c r="AC11702" s="16" t="str">
        <f>IFERROR(__xludf.DUMMYFUNCTION("""COMPUTED_VALUE"""),"")</f>
        <v/>
      </c>
    </row>
    <row r="11703">
      <c r="A11703" s="16" t="s">
        <v>87</v>
      </c>
      <c r="E11703" s="16" t="str">
        <f>IFERROR(__xludf.DUMMYFUNCTION("""COMPUTED_VALUE"""),"")</f>
        <v/>
      </c>
      <c r="G11703" s="18"/>
      <c r="H11703" s="16" t="s">
        <v>87</v>
      </c>
      <c r="I11703" s="16" t="s">
        <v>87</v>
      </c>
      <c r="J11703" s="19"/>
      <c r="L11703" s="16" t="str">
        <f>IFERROR(__xludf.DUMMYFUNCTION("""COMPUTED_VALUE"""),"")</f>
        <v/>
      </c>
      <c r="M11703" s="16" t="str">
        <f>IFERROR(__xludf.DUMMYFUNCTION("""COMPUTED_VALUE"""),"")</f>
        <v/>
      </c>
      <c r="U11703" s="16" t="s">
        <v>87</v>
      </c>
      <c r="V11703" s="16" t="str">
        <f>IFERROR(__xludf.DUMMYFUNCTION("""COMPUTED_VALUE"""),"")</f>
        <v/>
      </c>
      <c r="W11703" s="16" t="str">
        <f>IFERROR(__xludf.DUMMYFUNCTION("""COMPUTED_VALUE"""),"")</f>
        <v/>
      </c>
      <c r="X11703" s="16" t="str">
        <f>IFERROR(__xludf.DUMMYFUNCTION("""COMPUTED_VALUE"""),"")</f>
        <v/>
      </c>
      <c r="AC11703" s="16" t="str">
        <f>IFERROR(__xludf.DUMMYFUNCTION("""COMPUTED_VALUE"""),"")</f>
        <v/>
      </c>
    </row>
    <row r="11704">
      <c r="A11704" s="16" t="s">
        <v>87</v>
      </c>
      <c r="E11704" s="16" t="str">
        <f>IFERROR(__xludf.DUMMYFUNCTION("""COMPUTED_VALUE"""),"")</f>
        <v/>
      </c>
      <c r="G11704" s="18"/>
      <c r="H11704" s="16" t="s">
        <v>87</v>
      </c>
      <c r="I11704" s="16" t="s">
        <v>87</v>
      </c>
      <c r="J11704" s="19"/>
      <c r="L11704" s="16" t="str">
        <f>IFERROR(__xludf.DUMMYFUNCTION("""COMPUTED_VALUE"""),"")</f>
        <v/>
      </c>
      <c r="M11704" s="16" t="str">
        <f>IFERROR(__xludf.DUMMYFUNCTION("""COMPUTED_VALUE"""),"")</f>
        <v/>
      </c>
      <c r="U11704" s="16" t="s">
        <v>87</v>
      </c>
      <c r="V11704" s="16" t="str">
        <f>IFERROR(__xludf.DUMMYFUNCTION("""COMPUTED_VALUE"""),"")</f>
        <v/>
      </c>
      <c r="W11704" s="16" t="str">
        <f>IFERROR(__xludf.DUMMYFUNCTION("""COMPUTED_VALUE"""),"")</f>
        <v/>
      </c>
      <c r="X11704" s="16" t="str">
        <f>IFERROR(__xludf.DUMMYFUNCTION("""COMPUTED_VALUE"""),"")</f>
        <v/>
      </c>
      <c r="AC11704" s="16" t="str">
        <f>IFERROR(__xludf.DUMMYFUNCTION("""COMPUTED_VALUE"""),"")</f>
        <v/>
      </c>
    </row>
    <row r="11705">
      <c r="A11705" s="16" t="s">
        <v>87</v>
      </c>
      <c r="E11705" s="16" t="str">
        <f>IFERROR(__xludf.DUMMYFUNCTION("""COMPUTED_VALUE"""),"")</f>
        <v/>
      </c>
      <c r="G11705" s="18"/>
      <c r="H11705" s="16" t="s">
        <v>87</v>
      </c>
      <c r="I11705" s="16" t="s">
        <v>87</v>
      </c>
      <c r="J11705" s="19"/>
      <c r="L11705" s="16" t="str">
        <f>IFERROR(__xludf.DUMMYFUNCTION("""COMPUTED_VALUE"""),"")</f>
        <v/>
      </c>
      <c r="M11705" s="16" t="str">
        <f>IFERROR(__xludf.DUMMYFUNCTION("""COMPUTED_VALUE"""),"")</f>
        <v/>
      </c>
      <c r="U11705" s="16" t="s">
        <v>87</v>
      </c>
      <c r="V11705" s="16" t="str">
        <f>IFERROR(__xludf.DUMMYFUNCTION("""COMPUTED_VALUE"""),"")</f>
        <v/>
      </c>
      <c r="W11705" s="16" t="str">
        <f>IFERROR(__xludf.DUMMYFUNCTION("""COMPUTED_VALUE"""),"")</f>
        <v/>
      </c>
      <c r="X11705" s="16" t="str">
        <f>IFERROR(__xludf.DUMMYFUNCTION("""COMPUTED_VALUE"""),"")</f>
        <v/>
      </c>
      <c r="AC11705" s="16" t="str">
        <f>IFERROR(__xludf.DUMMYFUNCTION("""COMPUTED_VALUE"""),"")</f>
        <v/>
      </c>
    </row>
    <row r="11706">
      <c r="A11706" s="16" t="s">
        <v>87</v>
      </c>
      <c r="E11706" s="16" t="str">
        <f>IFERROR(__xludf.DUMMYFUNCTION("""COMPUTED_VALUE"""),"")</f>
        <v/>
      </c>
      <c r="G11706" s="18"/>
      <c r="H11706" s="16" t="s">
        <v>87</v>
      </c>
      <c r="I11706" s="16" t="s">
        <v>87</v>
      </c>
      <c r="J11706" s="19"/>
      <c r="L11706" s="16" t="str">
        <f>IFERROR(__xludf.DUMMYFUNCTION("""COMPUTED_VALUE"""),"")</f>
        <v/>
      </c>
      <c r="M11706" s="16" t="str">
        <f>IFERROR(__xludf.DUMMYFUNCTION("""COMPUTED_VALUE"""),"")</f>
        <v/>
      </c>
      <c r="U11706" s="16" t="s">
        <v>87</v>
      </c>
      <c r="V11706" s="16" t="str">
        <f>IFERROR(__xludf.DUMMYFUNCTION("""COMPUTED_VALUE"""),"")</f>
        <v/>
      </c>
      <c r="W11706" s="16" t="str">
        <f>IFERROR(__xludf.DUMMYFUNCTION("""COMPUTED_VALUE"""),"")</f>
        <v/>
      </c>
      <c r="X11706" s="16" t="str">
        <f>IFERROR(__xludf.DUMMYFUNCTION("""COMPUTED_VALUE"""),"")</f>
        <v/>
      </c>
      <c r="AC11706" s="16" t="str">
        <f>IFERROR(__xludf.DUMMYFUNCTION("""COMPUTED_VALUE"""),"")</f>
        <v/>
      </c>
    </row>
    <row r="11707">
      <c r="A11707" s="16" t="s">
        <v>87</v>
      </c>
      <c r="E11707" s="16" t="str">
        <f>IFERROR(__xludf.DUMMYFUNCTION("""COMPUTED_VALUE"""),"")</f>
        <v/>
      </c>
      <c r="G11707" s="18"/>
      <c r="H11707" s="16" t="s">
        <v>87</v>
      </c>
      <c r="I11707" s="16" t="s">
        <v>87</v>
      </c>
      <c r="J11707" s="19"/>
      <c r="L11707" s="16" t="str">
        <f>IFERROR(__xludf.DUMMYFUNCTION("""COMPUTED_VALUE"""),"")</f>
        <v/>
      </c>
      <c r="M11707" s="16" t="str">
        <f>IFERROR(__xludf.DUMMYFUNCTION("""COMPUTED_VALUE"""),"")</f>
        <v/>
      </c>
      <c r="U11707" s="16" t="s">
        <v>87</v>
      </c>
      <c r="V11707" s="16" t="str">
        <f>IFERROR(__xludf.DUMMYFUNCTION("""COMPUTED_VALUE"""),"")</f>
        <v/>
      </c>
      <c r="W11707" s="16" t="str">
        <f>IFERROR(__xludf.DUMMYFUNCTION("""COMPUTED_VALUE"""),"")</f>
        <v/>
      </c>
      <c r="X11707" s="16" t="str">
        <f>IFERROR(__xludf.DUMMYFUNCTION("""COMPUTED_VALUE"""),"")</f>
        <v/>
      </c>
      <c r="AC11707" s="16" t="str">
        <f>IFERROR(__xludf.DUMMYFUNCTION("""COMPUTED_VALUE"""),"")</f>
        <v/>
      </c>
    </row>
    <row r="11708">
      <c r="A11708" s="16" t="s">
        <v>87</v>
      </c>
      <c r="E11708" s="16" t="str">
        <f>IFERROR(__xludf.DUMMYFUNCTION("""COMPUTED_VALUE"""),"")</f>
        <v/>
      </c>
      <c r="G11708" s="18"/>
      <c r="H11708" s="16" t="s">
        <v>87</v>
      </c>
      <c r="I11708" s="16" t="s">
        <v>87</v>
      </c>
      <c r="J11708" s="19"/>
      <c r="L11708" s="16" t="str">
        <f>IFERROR(__xludf.DUMMYFUNCTION("""COMPUTED_VALUE"""),"")</f>
        <v/>
      </c>
      <c r="M11708" s="16" t="str">
        <f>IFERROR(__xludf.DUMMYFUNCTION("""COMPUTED_VALUE"""),"")</f>
        <v/>
      </c>
      <c r="U11708" s="16" t="s">
        <v>87</v>
      </c>
      <c r="V11708" s="16" t="str">
        <f>IFERROR(__xludf.DUMMYFUNCTION("""COMPUTED_VALUE"""),"")</f>
        <v/>
      </c>
      <c r="W11708" s="16" t="str">
        <f>IFERROR(__xludf.DUMMYFUNCTION("""COMPUTED_VALUE"""),"")</f>
        <v/>
      </c>
      <c r="X11708" s="16" t="str">
        <f>IFERROR(__xludf.DUMMYFUNCTION("""COMPUTED_VALUE"""),"")</f>
        <v/>
      </c>
      <c r="AC11708" s="16" t="str">
        <f>IFERROR(__xludf.DUMMYFUNCTION("""COMPUTED_VALUE"""),"")</f>
        <v/>
      </c>
    </row>
    <row r="11709">
      <c r="A11709" s="16" t="s">
        <v>87</v>
      </c>
      <c r="E11709" s="16" t="str">
        <f>IFERROR(__xludf.DUMMYFUNCTION("""COMPUTED_VALUE"""),"")</f>
        <v/>
      </c>
      <c r="G11709" s="18"/>
      <c r="H11709" s="16" t="s">
        <v>87</v>
      </c>
      <c r="I11709" s="16" t="s">
        <v>87</v>
      </c>
      <c r="J11709" s="19"/>
      <c r="L11709" s="16" t="str">
        <f>IFERROR(__xludf.DUMMYFUNCTION("""COMPUTED_VALUE"""),"")</f>
        <v/>
      </c>
      <c r="M11709" s="16" t="str">
        <f>IFERROR(__xludf.DUMMYFUNCTION("""COMPUTED_VALUE"""),"")</f>
        <v/>
      </c>
      <c r="U11709" s="16" t="s">
        <v>87</v>
      </c>
      <c r="V11709" s="16" t="str">
        <f>IFERROR(__xludf.DUMMYFUNCTION("""COMPUTED_VALUE"""),"")</f>
        <v/>
      </c>
      <c r="W11709" s="16" t="str">
        <f>IFERROR(__xludf.DUMMYFUNCTION("""COMPUTED_VALUE"""),"")</f>
        <v/>
      </c>
      <c r="X11709" s="16" t="str">
        <f>IFERROR(__xludf.DUMMYFUNCTION("""COMPUTED_VALUE"""),"")</f>
        <v/>
      </c>
      <c r="AC11709" s="16" t="str">
        <f>IFERROR(__xludf.DUMMYFUNCTION("""COMPUTED_VALUE"""),"")</f>
        <v/>
      </c>
    </row>
    <row r="11710">
      <c r="A11710" s="16" t="s">
        <v>87</v>
      </c>
      <c r="E11710" s="16" t="str">
        <f>IFERROR(__xludf.DUMMYFUNCTION("""COMPUTED_VALUE"""),"")</f>
        <v/>
      </c>
      <c r="G11710" s="18"/>
      <c r="H11710" s="16" t="s">
        <v>87</v>
      </c>
      <c r="I11710" s="16" t="s">
        <v>87</v>
      </c>
      <c r="J11710" s="19"/>
      <c r="L11710" s="16" t="str">
        <f>IFERROR(__xludf.DUMMYFUNCTION("""COMPUTED_VALUE"""),"")</f>
        <v/>
      </c>
      <c r="M11710" s="16" t="str">
        <f>IFERROR(__xludf.DUMMYFUNCTION("""COMPUTED_VALUE"""),"")</f>
        <v/>
      </c>
      <c r="U11710" s="16" t="s">
        <v>87</v>
      </c>
      <c r="V11710" s="16" t="str">
        <f>IFERROR(__xludf.DUMMYFUNCTION("""COMPUTED_VALUE"""),"")</f>
        <v/>
      </c>
      <c r="W11710" s="16" t="str">
        <f>IFERROR(__xludf.DUMMYFUNCTION("""COMPUTED_VALUE"""),"")</f>
        <v/>
      </c>
      <c r="X11710" s="16" t="str">
        <f>IFERROR(__xludf.DUMMYFUNCTION("""COMPUTED_VALUE"""),"")</f>
        <v/>
      </c>
      <c r="AC11710" s="16" t="str">
        <f>IFERROR(__xludf.DUMMYFUNCTION("""COMPUTED_VALUE"""),"")</f>
        <v/>
      </c>
    </row>
    <row r="11711">
      <c r="A11711" s="16" t="s">
        <v>87</v>
      </c>
      <c r="E11711" s="16" t="str">
        <f>IFERROR(__xludf.DUMMYFUNCTION("""COMPUTED_VALUE"""),"")</f>
        <v/>
      </c>
      <c r="G11711" s="18"/>
      <c r="H11711" s="16" t="s">
        <v>87</v>
      </c>
      <c r="I11711" s="16" t="s">
        <v>87</v>
      </c>
      <c r="J11711" s="19"/>
      <c r="L11711" s="16" t="str">
        <f>IFERROR(__xludf.DUMMYFUNCTION("""COMPUTED_VALUE"""),"")</f>
        <v/>
      </c>
      <c r="M11711" s="16" t="str">
        <f>IFERROR(__xludf.DUMMYFUNCTION("""COMPUTED_VALUE"""),"")</f>
        <v/>
      </c>
      <c r="U11711" s="16" t="s">
        <v>87</v>
      </c>
      <c r="V11711" s="16" t="str">
        <f>IFERROR(__xludf.DUMMYFUNCTION("""COMPUTED_VALUE"""),"")</f>
        <v/>
      </c>
      <c r="W11711" s="16" t="str">
        <f>IFERROR(__xludf.DUMMYFUNCTION("""COMPUTED_VALUE"""),"")</f>
        <v/>
      </c>
      <c r="X11711" s="16" t="str">
        <f>IFERROR(__xludf.DUMMYFUNCTION("""COMPUTED_VALUE"""),"")</f>
        <v/>
      </c>
      <c r="AC11711" s="16" t="str">
        <f>IFERROR(__xludf.DUMMYFUNCTION("""COMPUTED_VALUE"""),"")</f>
        <v/>
      </c>
    </row>
    <row r="11712">
      <c r="A11712" s="16" t="s">
        <v>87</v>
      </c>
      <c r="E11712" s="16" t="str">
        <f>IFERROR(__xludf.DUMMYFUNCTION("""COMPUTED_VALUE"""),"")</f>
        <v/>
      </c>
      <c r="G11712" s="18"/>
      <c r="H11712" s="16" t="s">
        <v>87</v>
      </c>
      <c r="I11712" s="16" t="s">
        <v>87</v>
      </c>
      <c r="J11712" s="19"/>
      <c r="L11712" s="16" t="str">
        <f>IFERROR(__xludf.DUMMYFUNCTION("""COMPUTED_VALUE"""),"")</f>
        <v/>
      </c>
      <c r="M11712" s="16" t="str">
        <f>IFERROR(__xludf.DUMMYFUNCTION("""COMPUTED_VALUE"""),"")</f>
        <v/>
      </c>
      <c r="U11712" s="16" t="s">
        <v>87</v>
      </c>
      <c r="V11712" s="16" t="str">
        <f>IFERROR(__xludf.DUMMYFUNCTION("""COMPUTED_VALUE"""),"")</f>
        <v/>
      </c>
      <c r="W11712" s="16" t="str">
        <f>IFERROR(__xludf.DUMMYFUNCTION("""COMPUTED_VALUE"""),"")</f>
        <v/>
      </c>
      <c r="X11712" s="16" t="str">
        <f>IFERROR(__xludf.DUMMYFUNCTION("""COMPUTED_VALUE"""),"")</f>
        <v/>
      </c>
      <c r="AC11712" s="16" t="str">
        <f>IFERROR(__xludf.DUMMYFUNCTION("""COMPUTED_VALUE"""),"")</f>
        <v/>
      </c>
    </row>
    <row r="11713">
      <c r="A11713" s="16" t="s">
        <v>87</v>
      </c>
      <c r="E11713" s="16" t="str">
        <f>IFERROR(__xludf.DUMMYFUNCTION("""COMPUTED_VALUE"""),"")</f>
        <v/>
      </c>
      <c r="G11713" s="18"/>
      <c r="H11713" s="16" t="s">
        <v>87</v>
      </c>
      <c r="I11713" s="16" t="s">
        <v>87</v>
      </c>
      <c r="J11713" s="19"/>
      <c r="L11713" s="16" t="str">
        <f>IFERROR(__xludf.DUMMYFUNCTION("""COMPUTED_VALUE"""),"")</f>
        <v/>
      </c>
      <c r="M11713" s="16" t="str">
        <f>IFERROR(__xludf.DUMMYFUNCTION("""COMPUTED_VALUE"""),"")</f>
        <v/>
      </c>
      <c r="U11713" s="16" t="s">
        <v>87</v>
      </c>
      <c r="V11713" s="16" t="str">
        <f>IFERROR(__xludf.DUMMYFUNCTION("""COMPUTED_VALUE"""),"")</f>
        <v/>
      </c>
      <c r="W11713" s="16" t="str">
        <f>IFERROR(__xludf.DUMMYFUNCTION("""COMPUTED_VALUE"""),"")</f>
        <v/>
      </c>
      <c r="X11713" s="16" t="str">
        <f>IFERROR(__xludf.DUMMYFUNCTION("""COMPUTED_VALUE"""),"")</f>
        <v/>
      </c>
      <c r="AC11713" s="16" t="str">
        <f>IFERROR(__xludf.DUMMYFUNCTION("""COMPUTED_VALUE"""),"")</f>
        <v/>
      </c>
    </row>
    <row r="11714">
      <c r="A11714" s="16" t="s">
        <v>87</v>
      </c>
      <c r="E11714" s="16" t="str">
        <f>IFERROR(__xludf.DUMMYFUNCTION("""COMPUTED_VALUE"""),"")</f>
        <v/>
      </c>
      <c r="G11714" s="18"/>
      <c r="H11714" s="16" t="s">
        <v>87</v>
      </c>
      <c r="I11714" s="16" t="s">
        <v>87</v>
      </c>
      <c r="J11714" s="19"/>
      <c r="L11714" s="16" t="str">
        <f>IFERROR(__xludf.DUMMYFUNCTION("""COMPUTED_VALUE"""),"")</f>
        <v/>
      </c>
      <c r="M11714" s="16" t="str">
        <f>IFERROR(__xludf.DUMMYFUNCTION("""COMPUTED_VALUE"""),"")</f>
        <v/>
      </c>
      <c r="U11714" s="16" t="s">
        <v>87</v>
      </c>
      <c r="V11714" s="16" t="str">
        <f>IFERROR(__xludf.DUMMYFUNCTION("""COMPUTED_VALUE"""),"")</f>
        <v/>
      </c>
      <c r="W11714" s="16" t="str">
        <f>IFERROR(__xludf.DUMMYFUNCTION("""COMPUTED_VALUE"""),"")</f>
        <v/>
      </c>
      <c r="X11714" s="16" t="str">
        <f>IFERROR(__xludf.DUMMYFUNCTION("""COMPUTED_VALUE"""),"")</f>
        <v/>
      </c>
      <c r="AC11714" s="16" t="str">
        <f>IFERROR(__xludf.DUMMYFUNCTION("""COMPUTED_VALUE"""),"")</f>
        <v/>
      </c>
    </row>
    <row r="11715">
      <c r="A11715" s="16" t="s">
        <v>87</v>
      </c>
      <c r="E11715" s="16" t="str">
        <f>IFERROR(__xludf.DUMMYFUNCTION("""COMPUTED_VALUE"""),"")</f>
        <v/>
      </c>
      <c r="G11715" s="18"/>
      <c r="H11715" s="16" t="s">
        <v>87</v>
      </c>
      <c r="I11715" s="16" t="s">
        <v>87</v>
      </c>
      <c r="J11715" s="19"/>
      <c r="L11715" s="16" t="str">
        <f>IFERROR(__xludf.DUMMYFUNCTION("""COMPUTED_VALUE"""),"")</f>
        <v/>
      </c>
      <c r="M11715" s="16" t="str">
        <f>IFERROR(__xludf.DUMMYFUNCTION("""COMPUTED_VALUE"""),"")</f>
        <v/>
      </c>
      <c r="U11715" s="16" t="s">
        <v>87</v>
      </c>
      <c r="V11715" s="16" t="str">
        <f>IFERROR(__xludf.DUMMYFUNCTION("""COMPUTED_VALUE"""),"")</f>
        <v/>
      </c>
      <c r="W11715" s="16" t="str">
        <f>IFERROR(__xludf.DUMMYFUNCTION("""COMPUTED_VALUE"""),"")</f>
        <v/>
      </c>
      <c r="X11715" s="16" t="str">
        <f>IFERROR(__xludf.DUMMYFUNCTION("""COMPUTED_VALUE"""),"")</f>
        <v/>
      </c>
      <c r="AC11715" s="16" t="str">
        <f>IFERROR(__xludf.DUMMYFUNCTION("""COMPUTED_VALUE"""),"")</f>
        <v/>
      </c>
    </row>
    <row r="11716">
      <c r="A11716" s="16" t="s">
        <v>87</v>
      </c>
      <c r="E11716" s="16" t="str">
        <f>IFERROR(__xludf.DUMMYFUNCTION("""COMPUTED_VALUE"""),"")</f>
        <v/>
      </c>
      <c r="G11716" s="18"/>
      <c r="H11716" s="16" t="s">
        <v>87</v>
      </c>
      <c r="I11716" s="16" t="s">
        <v>87</v>
      </c>
      <c r="J11716" s="19"/>
      <c r="L11716" s="16" t="str">
        <f>IFERROR(__xludf.DUMMYFUNCTION("""COMPUTED_VALUE"""),"")</f>
        <v/>
      </c>
      <c r="M11716" s="16" t="str">
        <f>IFERROR(__xludf.DUMMYFUNCTION("""COMPUTED_VALUE"""),"")</f>
        <v/>
      </c>
      <c r="U11716" s="16" t="s">
        <v>87</v>
      </c>
      <c r="V11716" s="16" t="str">
        <f>IFERROR(__xludf.DUMMYFUNCTION("""COMPUTED_VALUE"""),"")</f>
        <v/>
      </c>
      <c r="W11716" s="16" t="str">
        <f>IFERROR(__xludf.DUMMYFUNCTION("""COMPUTED_VALUE"""),"")</f>
        <v/>
      </c>
      <c r="X11716" s="16" t="str">
        <f>IFERROR(__xludf.DUMMYFUNCTION("""COMPUTED_VALUE"""),"")</f>
        <v/>
      </c>
      <c r="AC11716" s="16" t="str">
        <f>IFERROR(__xludf.DUMMYFUNCTION("""COMPUTED_VALUE"""),"")</f>
        <v/>
      </c>
    </row>
    <row r="11717">
      <c r="A11717" s="16" t="s">
        <v>87</v>
      </c>
      <c r="E11717" s="16" t="str">
        <f>IFERROR(__xludf.DUMMYFUNCTION("""COMPUTED_VALUE"""),"")</f>
        <v/>
      </c>
      <c r="G11717" s="18"/>
      <c r="H11717" s="16" t="s">
        <v>87</v>
      </c>
      <c r="I11717" s="16" t="s">
        <v>87</v>
      </c>
      <c r="J11717" s="19"/>
      <c r="L11717" s="16" t="str">
        <f>IFERROR(__xludf.DUMMYFUNCTION("""COMPUTED_VALUE"""),"")</f>
        <v/>
      </c>
      <c r="M11717" s="16" t="str">
        <f>IFERROR(__xludf.DUMMYFUNCTION("""COMPUTED_VALUE"""),"")</f>
        <v/>
      </c>
      <c r="U11717" s="16" t="s">
        <v>87</v>
      </c>
      <c r="V11717" s="16" t="str">
        <f>IFERROR(__xludf.DUMMYFUNCTION("""COMPUTED_VALUE"""),"")</f>
        <v/>
      </c>
      <c r="W11717" s="16" t="str">
        <f>IFERROR(__xludf.DUMMYFUNCTION("""COMPUTED_VALUE"""),"")</f>
        <v/>
      </c>
      <c r="X11717" s="16" t="str">
        <f>IFERROR(__xludf.DUMMYFUNCTION("""COMPUTED_VALUE"""),"")</f>
        <v/>
      </c>
      <c r="AC11717" s="16" t="str">
        <f>IFERROR(__xludf.DUMMYFUNCTION("""COMPUTED_VALUE"""),"")</f>
        <v/>
      </c>
    </row>
    <row r="11718">
      <c r="A11718" s="16" t="s">
        <v>87</v>
      </c>
      <c r="E11718" s="16" t="str">
        <f>IFERROR(__xludf.DUMMYFUNCTION("""COMPUTED_VALUE"""),"")</f>
        <v/>
      </c>
      <c r="G11718" s="18"/>
      <c r="H11718" s="16" t="s">
        <v>87</v>
      </c>
      <c r="I11718" s="16" t="s">
        <v>87</v>
      </c>
      <c r="J11718" s="19"/>
      <c r="L11718" s="16" t="str">
        <f>IFERROR(__xludf.DUMMYFUNCTION("""COMPUTED_VALUE"""),"")</f>
        <v/>
      </c>
      <c r="M11718" s="16" t="str">
        <f>IFERROR(__xludf.DUMMYFUNCTION("""COMPUTED_VALUE"""),"")</f>
        <v/>
      </c>
      <c r="U11718" s="16" t="s">
        <v>87</v>
      </c>
      <c r="V11718" s="16" t="str">
        <f>IFERROR(__xludf.DUMMYFUNCTION("""COMPUTED_VALUE"""),"")</f>
        <v/>
      </c>
      <c r="W11718" s="16" t="str">
        <f>IFERROR(__xludf.DUMMYFUNCTION("""COMPUTED_VALUE"""),"")</f>
        <v/>
      </c>
      <c r="X11718" s="16" t="str">
        <f>IFERROR(__xludf.DUMMYFUNCTION("""COMPUTED_VALUE"""),"")</f>
        <v/>
      </c>
      <c r="AC11718" s="16" t="str">
        <f>IFERROR(__xludf.DUMMYFUNCTION("""COMPUTED_VALUE"""),"")</f>
        <v/>
      </c>
    </row>
    <row r="11719">
      <c r="A11719" s="16" t="s">
        <v>87</v>
      </c>
      <c r="E11719" s="16" t="str">
        <f>IFERROR(__xludf.DUMMYFUNCTION("""COMPUTED_VALUE"""),"")</f>
        <v/>
      </c>
      <c r="G11719" s="18"/>
      <c r="H11719" s="16" t="s">
        <v>87</v>
      </c>
      <c r="I11719" s="16" t="s">
        <v>87</v>
      </c>
      <c r="J11719" s="19"/>
      <c r="L11719" s="16" t="str">
        <f>IFERROR(__xludf.DUMMYFUNCTION("""COMPUTED_VALUE"""),"")</f>
        <v/>
      </c>
      <c r="M11719" s="16" t="str">
        <f>IFERROR(__xludf.DUMMYFUNCTION("""COMPUTED_VALUE"""),"")</f>
        <v/>
      </c>
      <c r="U11719" s="16" t="s">
        <v>87</v>
      </c>
      <c r="V11719" s="16" t="str">
        <f>IFERROR(__xludf.DUMMYFUNCTION("""COMPUTED_VALUE"""),"")</f>
        <v/>
      </c>
      <c r="W11719" s="16" t="str">
        <f>IFERROR(__xludf.DUMMYFUNCTION("""COMPUTED_VALUE"""),"")</f>
        <v/>
      </c>
      <c r="X11719" s="16" t="str">
        <f>IFERROR(__xludf.DUMMYFUNCTION("""COMPUTED_VALUE"""),"")</f>
        <v/>
      </c>
      <c r="AC11719" s="16" t="str">
        <f>IFERROR(__xludf.DUMMYFUNCTION("""COMPUTED_VALUE"""),"")</f>
        <v/>
      </c>
    </row>
    <row r="11720">
      <c r="A11720" s="16" t="s">
        <v>87</v>
      </c>
      <c r="E11720" s="16" t="str">
        <f>IFERROR(__xludf.DUMMYFUNCTION("""COMPUTED_VALUE"""),"")</f>
        <v/>
      </c>
      <c r="G11720" s="18"/>
      <c r="H11720" s="16" t="s">
        <v>87</v>
      </c>
      <c r="I11720" s="16" t="s">
        <v>87</v>
      </c>
      <c r="J11720" s="19"/>
      <c r="L11720" s="16" t="str">
        <f>IFERROR(__xludf.DUMMYFUNCTION("""COMPUTED_VALUE"""),"")</f>
        <v/>
      </c>
      <c r="M11720" s="16" t="str">
        <f>IFERROR(__xludf.DUMMYFUNCTION("""COMPUTED_VALUE"""),"")</f>
        <v/>
      </c>
      <c r="U11720" s="16" t="s">
        <v>87</v>
      </c>
      <c r="V11720" s="16" t="str">
        <f>IFERROR(__xludf.DUMMYFUNCTION("""COMPUTED_VALUE"""),"")</f>
        <v/>
      </c>
      <c r="W11720" s="16" t="str">
        <f>IFERROR(__xludf.DUMMYFUNCTION("""COMPUTED_VALUE"""),"")</f>
        <v/>
      </c>
      <c r="X11720" s="16" t="str">
        <f>IFERROR(__xludf.DUMMYFUNCTION("""COMPUTED_VALUE"""),"")</f>
        <v/>
      </c>
      <c r="AC11720" s="16" t="str">
        <f>IFERROR(__xludf.DUMMYFUNCTION("""COMPUTED_VALUE"""),"")</f>
        <v/>
      </c>
    </row>
    <row r="11721">
      <c r="A11721" s="16" t="s">
        <v>87</v>
      </c>
      <c r="E11721" s="16" t="str">
        <f>IFERROR(__xludf.DUMMYFUNCTION("""COMPUTED_VALUE"""),"")</f>
        <v/>
      </c>
      <c r="G11721" s="18"/>
      <c r="H11721" s="16" t="s">
        <v>87</v>
      </c>
      <c r="I11721" s="16" t="s">
        <v>87</v>
      </c>
      <c r="J11721" s="19"/>
      <c r="L11721" s="16" t="str">
        <f>IFERROR(__xludf.DUMMYFUNCTION("""COMPUTED_VALUE"""),"")</f>
        <v/>
      </c>
      <c r="M11721" s="16" t="str">
        <f>IFERROR(__xludf.DUMMYFUNCTION("""COMPUTED_VALUE"""),"")</f>
        <v/>
      </c>
      <c r="U11721" s="16" t="s">
        <v>87</v>
      </c>
      <c r="V11721" s="16" t="str">
        <f>IFERROR(__xludf.DUMMYFUNCTION("""COMPUTED_VALUE"""),"")</f>
        <v/>
      </c>
      <c r="W11721" s="16" t="str">
        <f>IFERROR(__xludf.DUMMYFUNCTION("""COMPUTED_VALUE"""),"")</f>
        <v/>
      </c>
      <c r="X11721" s="16" t="str">
        <f>IFERROR(__xludf.DUMMYFUNCTION("""COMPUTED_VALUE"""),"")</f>
        <v/>
      </c>
      <c r="AC11721" s="16" t="str">
        <f>IFERROR(__xludf.DUMMYFUNCTION("""COMPUTED_VALUE"""),"")</f>
        <v/>
      </c>
    </row>
    <row r="11722">
      <c r="A11722" s="16" t="s">
        <v>87</v>
      </c>
      <c r="E11722" s="16" t="str">
        <f>IFERROR(__xludf.DUMMYFUNCTION("""COMPUTED_VALUE"""),"")</f>
        <v/>
      </c>
      <c r="G11722" s="18"/>
      <c r="H11722" s="16" t="s">
        <v>87</v>
      </c>
      <c r="I11722" s="16" t="s">
        <v>87</v>
      </c>
      <c r="J11722" s="19"/>
      <c r="L11722" s="16" t="str">
        <f>IFERROR(__xludf.DUMMYFUNCTION("""COMPUTED_VALUE"""),"")</f>
        <v/>
      </c>
      <c r="M11722" s="16" t="str">
        <f>IFERROR(__xludf.DUMMYFUNCTION("""COMPUTED_VALUE"""),"")</f>
        <v/>
      </c>
      <c r="U11722" s="16" t="s">
        <v>87</v>
      </c>
      <c r="V11722" s="16" t="str">
        <f>IFERROR(__xludf.DUMMYFUNCTION("""COMPUTED_VALUE"""),"")</f>
        <v/>
      </c>
      <c r="W11722" s="16" t="str">
        <f>IFERROR(__xludf.DUMMYFUNCTION("""COMPUTED_VALUE"""),"")</f>
        <v/>
      </c>
      <c r="X11722" s="16" t="str">
        <f>IFERROR(__xludf.DUMMYFUNCTION("""COMPUTED_VALUE"""),"")</f>
        <v/>
      </c>
      <c r="AC11722" s="16" t="str">
        <f>IFERROR(__xludf.DUMMYFUNCTION("""COMPUTED_VALUE"""),"")</f>
        <v/>
      </c>
    </row>
    <row r="11723">
      <c r="A11723" s="16" t="s">
        <v>87</v>
      </c>
      <c r="E11723" s="16" t="str">
        <f>IFERROR(__xludf.DUMMYFUNCTION("""COMPUTED_VALUE"""),"")</f>
        <v/>
      </c>
      <c r="G11723" s="18"/>
      <c r="H11723" s="16" t="s">
        <v>87</v>
      </c>
      <c r="I11723" s="16" t="s">
        <v>87</v>
      </c>
      <c r="J11723" s="19"/>
      <c r="L11723" s="16" t="str">
        <f>IFERROR(__xludf.DUMMYFUNCTION("""COMPUTED_VALUE"""),"")</f>
        <v/>
      </c>
      <c r="M11723" s="16" t="str">
        <f>IFERROR(__xludf.DUMMYFUNCTION("""COMPUTED_VALUE"""),"")</f>
        <v/>
      </c>
      <c r="U11723" s="16" t="s">
        <v>87</v>
      </c>
      <c r="V11723" s="16" t="str">
        <f>IFERROR(__xludf.DUMMYFUNCTION("""COMPUTED_VALUE"""),"")</f>
        <v/>
      </c>
      <c r="W11723" s="16" t="str">
        <f>IFERROR(__xludf.DUMMYFUNCTION("""COMPUTED_VALUE"""),"")</f>
        <v/>
      </c>
      <c r="X11723" s="16" t="str">
        <f>IFERROR(__xludf.DUMMYFUNCTION("""COMPUTED_VALUE"""),"")</f>
        <v/>
      </c>
      <c r="AC11723" s="16" t="str">
        <f>IFERROR(__xludf.DUMMYFUNCTION("""COMPUTED_VALUE"""),"")</f>
        <v/>
      </c>
    </row>
    <row r="11724">
      <c r="A11724" s="16" t="s">
        <v>87</v>
      </c>
      <c r="E11724" s="16" t="str">
        <f>IFERROR(__xludf.DUMMYFUNCTION("""COMPUTED_VALUE"""),"")</f>
        <v/>
      </c>
      <c r="G11724" s="18"/>
      <c r="H11724" s="16" t="s">
        <v>87</v>
      </c>
      <c r="I11724" s="16" t="s">
        <v>87</v>
      </c>
      <c r="J11724" s="19"/>
      <c r="L11724" s="16" t="str">
        <f>IFERROR(__xludf.DUMMYFUNCTION("""COMPUTED_VALUE"""),"")</f>
        <v/>
      </c>
      <c r="M11724" s="16" t="str">
        <f>IFERROR(__xludf.DUMMYFUNCTION("""COMPUTED_VALUE"""),"")</f>
        <v/>
      </c>
      <c r="U11724" s="16" t="s">
        <v>87</v>
      </c>
      <c r="V11724" s="16" t="str">
        <f>IFERROR(__xludf.DUMMYFUNCTION("""COMPUTED_VALUE"""),"")</f>
        <v/>
      </c>
      <c r="W11724" s="16" t="str">
        <f>IFERROR(__xludf.DUMMYFUNCTION("""COMPUTED_VALUE"""),"")</f>
        <v/>
      </c>
      <c r="X11724" s="16" t="str">
        <f>IFERROR(__xludf.DUMMYFUNCTION("""COMPUTED_VALUE"""),"")</f>
        <v/>
      </c>
      <c r="AC11724" s="16" t="str">
        <f>IFERROR(__xludf.DUMMYFUNCTION("""COMPUTED_VALUE"""),"")</f>
        <v/>
      </c>
    </row>
    <row r="11725">
      <c r="A11725" s="16" t="s">
        <v>87</v>
      </c>
      <c r="E11725" s="16" t="str">
        <f>IFERROR(__xludf.DUMMYFUNCTION("""COMPUTED_VALUE"""),"")</f>
        <v/>
      </c>
      <c r="G11725" s="18"/>
      <c r="H11725" s="16" t="s">
        <v>87</v>
      </c>
      <c r="I11725" s="16" t="s">
        <v>87</v>
      </c>
      <c r="J11725" s="19"/>
      <c r="L11725" s="16" t="str">
        <f>IFERROR(__xludf.DUMMYFUNCTION("""COMPUTED_VALUE"""),"")</f>
        <v/>
      </c>
      <c r="M11725" s="16" t="str">
        <f>IFERROR(__xludf.DUMMYFUNCTION("""COMPUTED_VALUE"""),"")</f>
        <v/>
      </c>
      <c r="U11725" s="16" t="s">
        <v>87</v>
      </c>
      <c r="V11725" s="16" t="str">
        <f>IFERROR(__xludf.DUMMYFUNCTION("""COMPUTED_VALUE"""),"")</f>
        <v/>
      </c>
      <c r="W11725" s="16" t="str">
        <f>IFERROR(__xludf.DUMMYFUNCTION("""COMPUTED_VALUE"""),"")</f>
        <v/>
      </c>
      <c r="X11725" s="16" t="str">
        <f>IFERROR(__xludf.DUMMYFUNCTION("""COMPUTED_VALUE"""),"")</f>
        <v/>
      </c>
      <c r="AC11725" s="16" t="str">
        <f>IFERROR(__xludf.DUMMYFUNCTION("""COMPUTED_VALUE"""),"")</f>
        <v/>
      </c>
    </row>
    <row r="11726">
      <c r="A11726" s="16" t="s">
        <v>87</v>
      </c>
      <c r="E11726" s="16" t="str">
        <f>IFERROR(__xludf.DUMMYFUNCTION("""COMPUTED_VALUE"""),"")</f>
        <v/>
      </c>
      <c r="G11726" s="18"/>
      <c r="H11726" s="16" t="s">
        <v>87</v>
      </c>
      <c r="I11726" s="16" t="s">
        <v>87</v>
      </c>
      <c r="J11726" s="19"/>
      <c r="L11726" s="16" t="str">
        <f>IFERROR(__xludf.DUMMYFUNCTION("""COMPUTED_VALUE"""),"")</f>
        <v/>
      </c>
      <c r="M11726" s="16" t="str">
        <f>IFERROR(__xludf.DUMMYFUNCTION("""COMPUTED_VALUE"""),"")</f>
        <v/>
      </c>
      <c r="U11726" s="16" t="s">
        <v>87</v>
      </c>
      <c r="V11726" s="16" t="str">
        <f>IFERROR(__xludf.DUMMYFUNCTION("""COMPUTED_VALUE"""),"")</f>
        <v/>
      </c>
      <c r="W11726" s="16" t="str">
        <f>IFERROR(__xludf.DUMMYFUNCTION("""COMPUTED_VALUE"""),"")</f>
        <v/>
      </c>
      <c r="X11726" s="16" t="str">
        <f>IFERROR(__xludf.DUMMYFUNCTION("""COMPUTED_VALUE"""),"")</f>
        <v/>
      </c>
      <c r="AC11726" s="16" t="str">
        <f>IFERROR(__xludf.DUMMYFUNCTION("""COMPUTED_VALUE"""),"")</f>
        <v/>
      </c>
    </row>
    <row r="11727">
      <c r="A11727" s="16" t="s">
        <v>87</v>
      </c>
      <c r="E11727" s="16" t="str">
        <f>IFERROR(__xludf.DUMMYFUNCTION("""COMPUTED_VALUE"""),"")</f>
        <v/>
      </c>
      <c r="G11727" s="18"/>
      <c r="H11727" s="16" t="s">
        <v>87</v>
      </c>
      <c r="I11727" s="16" t="s">
        <v>87</v>
      </c>
      <c r="J11727" s="19"/>
      <c r="L11727" s="16" t="str">
        <f>IFERROR(__xludf.DUMMYFUNCTION("""COMPUTED_VALUE"""),"")</f>
        <v/>
      </c>
      <c r="M11727" s="16" t="str">
        <f>IFERROR(__xludf.DUMMYFUNCTION("""COMPUTED_VALUE"""),"")</f>
        <v/>
      </c>
      <c r="U11727" s="16" t="s">
        <v>87</v>
      </c>
      <c r="V11727" s="16" t="str">
        <f>IFERROR(__xludf.DUMMYFUNCTION("""COMPUTED_VALUE"""),"")</f>
        <v/>
      </c>
      <c r="W11727" s="16" t="str">
        <f>IFERROR(__xludf.DUMMYFUNCTION("""COMPUTED_VALUE"""),"")</f>
        <v/>
      </c>
      <c r="X11727" s="16" t="str">
        <f>IFERROR(__xludf.DUMMYFUNCTION("""COMPUTED_VALUE"""),"")</f>
        <v/>
      </c>
      <c r="AC11727" s="16" t="str">
        <f>IFERROR(__xludf.DUMMYFUNCTION("""COMPUTED_VALUE"""),"")</f>
        <v/>
      </c>
    </row>
    <row r="11728">
      <c r="A11728" s="16" t="s">
        <v>87</v>
      </c>
      <c r="E11728" s="16" t="str">
        <f>IFERROR(__xludf.DUMMYFUNCTION("""COMPUTED_VALUE"""),"")</f>
        <v/>
      </c>
      <c r="G11728" s="18"/>
      <c r="H11728" s="16" t="s">
        <v>87</v>
      </c>
      <c r="I11728" s="16" t="s">
        <v>87</v>
      </c>
      <c r="J11728" s="19"/>
      <c r="L11728" s="16" t="str">
        <f>IFERROR(__xludf.DUMMYFUNCTION("""COMPUTED_VALUE"""),"")</f>
        <v/>
      </c>
      <c r="M11728" s="16" t="str">
        <f>IFERROR(__xludf.DUMMYFUNCTION("""COMPUTED_VALUE"""),"")</f>
        <v/>
      </c>
      <c r="U11728" s="16" t="s">
        <v>87</v>
      </c>
      <c r="V11728" s="16" t="str">
        <f>IFERROR(__xludf.DUMMYFUNCTION("""COMPUTED_VALUE"""),"")</f>
        <v/>
      </c>
      <c r="W11728" s="16" t="str">
        <f>IFERROR(__xludf.DUMMYFUNCTION("""COMPUTED_VALUE"""),"")</f>
        <v/>
      </c>
      <c r="X11728" s="16" t="str">
        <f>IFERROR(__xludf.DUMMYFUNCTION("""COMPUTED_VALUE"""),"")</f>
        <v/>
      </c>
      <c r="AC11728" s="16" t="str">
        <f>IFERROR(__xludf.DUMMYFUNCTION("""COMPUTED_VALUE"""),"")</f>
        <v/>
      </c>
    </row>
    <row r="11729">
      <c r="A11729" s="16" t="s">
        <v>87</v>
      </c>
      <c r="E11729" s="16" t="str">
        <f>IFERROR(__xludf.DUMMYFUNCTION("""COMPUTED_VALUE"""),"")</f>
        <v/>
      </c>
      <c r="G11729" s="18"/>
      <c r="H11729" s="16" t="s">
        <v>87</v>
      </c>
      <c r="I11729" s="16" t="s">
        <v>87</v>
      </c>
      <c r="J11729" s="19"/>
      <c r="L11729" s="16" t="str">
        <f>IFERROR(__xludf.DUMMYFUNCTION("""COMPUTED_VALUE"""),"")</f>
        <v/>
      </c>
      <c r="M11729" s="16" t="str">
        <f>IFERROR(__xludf.DUMMYFUNCTION("""COMPUTED_VALUE"""),"")</f>
        <v/>
      </c>
      <c r="U11729" s="16" t="s">
        <v>87</v>
      </c>
      <c r="V11729" s="16" t="str">
        <f>IFERROR(__xludf.DUMMYFUNCTION("""COMPUTED_VALUE"""),"")</f>
        <v/>
      </c>
      <c r="W11729" s="16" t="str">
        <f>IFERROR(__xludf.DUMMYFUNCTION("""COMPUTED_VALUE"""),"")</f>
        <v/>
      </c>
      <c r="X11729" s="16" t="str">
        <f>IFERROR(__xludf.DUMMYFUNCTION("""COMPUTED_VALUE"""),"")</f>
        <v/>
      </c>
      <c r="AC11729" s="16" t="str">
        <f>IFERROR(__xludf.DUMMYFUNCTION("""COMPUTED_VALUE"""),"")</f>
        <v/>
      </c>
    </row>
    <row r="11730">
      <c r="A11730" s="16" t="s">
        <v>87</v>
      </c>
      <c r="E11730" s="16" t="str">
        <f>IFERROR(__xludf.DUMMYFUNCTION("""COMPUTED_VALUE"""),"")</f>
        <v/>
      </c>
      <c r="G11730" s="18"/>
      <c r="H11730" s="16" t="s">
        <v>87</v>
      </c>
      <c r="I11730" s="16" t="s">
        <v>87</v>
      </c>
      <c r="J11730" s="19"/>
      <c r="L11730" s="16" t="str">
        <f>IFERROR(__xludf.DUMMYFUNCTION("""COMPUTED_VALUE"""),"")</f>
        <v/>
      </c>
      <c r="M11730" s="16" t="str">
        <f>IFERROR(__xludf.DUMMYFUNCTION("""COMPUTED_VALUE"""),"")</f>
        <v/>
      </c>
      <c r="U11730" s="16" t="s">
        <v>87</v>
      </c>
      <c r="V11730" s="16" t="str">
        <f>IFERROR(__xludf.DUMMYFUNCTION("""COMPUTED_VALUE"""),"")</f>
        <v/>
      </c>
      <c r="W11730" s="16" t="str">
        <f>IFERROR(__xludf.DUMMYFUNCTION("""COMPUTED_VALUE"""),"")</f>
        <v/>
      </c>
      <c r="X11730" s="16" t="str">
        <f>IFERROR(__xludf.DUMMYFUNCTION("""COMPUTED_VALUE"""),"")</f>
        <v/>
      </c>
      <c r="AC11730" s="16" t="str">
        <f>IFERROR(__xludf.DUMMYFUNCTION("""COMPUTED_VALUE"""),"")</f>
        <v/>
      </c>
    </row>
    <row r="11731">
      <c r="A11731" s="16" t="s">
        <v>87</v>
      </c>
      <c r="E11731" s="16" t="str">
        <f>IFERROR(__xludf.DUMMYFUNCTION("""COMPUTED_VALUE"""),"")</f>
        <v/>
      </c>
      <c r="G11731" s="18"/>
      <c r="H11731" s="16" t="s">
        <v>87</v>
      </c>
      <c r="I11731" s="16" t="s">
        <v>87</v>
      </c>
      <c r="J11731" s="19"/>
      <c r="L11731" s="16" t="str">
        <f>IFERROR(__xludf.DUMMYFUNCTION("""COMPUTED_VALUE"""),"")</f>
        <v/>
      </c>
      <c r="M11731" s="16" t="str">
        <f>IFERROR(__xludf.DUMMYFUNCTION("""COMPUTED_VALUE"""),"")</f>
        <v/>
      </c>
      <c r="U11731" s="16" t="s">
        <v>87</v>
      </c>
      <c r="V11731" s="16" t="str">
        <f>IFERROR(__xludf.DUMMYFUNCTION("""COMPUTED_VALUE"""),"")</f>
        <v/>
      </c>
      <c r="W11731" s="16" t="str">
        <f>IFERROR(__xludf.DUMMYFUNCTION("""COMPUTED_VALUE"""),"")</f>
        <v/>
      </c>
      <c r="X11731" s="16" t="str">
        <f>IFERROR(__xludf.DUMMYFUNCTION("""COMPUTED_VALUE"""),"")</f>
        <v/>
      </c>
      <c r="AC11731" s="16" t="str">
        <f>IFERROR(__xludf.DUMMYFUNCTION("""COMPUTED_VALUE"""),"")</f>
        <v/>
      </c>
    </row>
    <row r="11732">
      <c r="A11732" s="16" t="s">
        <v>87</v>
      </c>
      <c r="E11732" s="16" t="str">
        <f>IFERROR(__xludf.DUMMYFUNCTION("""COMPUTED_VALUE"""),"")</f>
        <v/>
      </c>
      <c r="G11732" s="18"/>
      <c r="H11732" s="16" t="s">
        <v>87</v>
      </c>
      <c r="I11732" s="16" t="s">
        <v>87</v>
      </c>
      <c r="J11732" s="19"/>
      <c r="L11732" s="16" t="str">
        <f>IFERROR(__xludf.DUMMYFUNCTION("""COMPUTED_VALUE"""),"")</f>
        <v/>
      </c>
      <c r="M11732" s="16" t="str">
        <f>IFERROR(__xludf.DUMMYFUNCTION("""COMPUTED_VALUE"""),"")</f>
        <v/>
      </c>
      <c r="U11732" s="16" t="s">
        <v>87</v>
      </c>
      <c r="V11732" s="16" t="str">
        <f>IFERROR(__xludf.DUMMYFUNCTION("""COMPUTED_VALUE"""),"")</f>
        <v/>
      </c>
      <c r="W11732" s="16" t="str">
        <f>IFERROR(__xludf.DUMMYFUNCTION("""COMPUTED_VALUE"""),"")</f>
        <v/>
      </c>
      <c r="X11732" s="16" t="str">
        <f>IFERROR(__xludf.DUMMYFUNCTION("""COMPUTED_VALUE"""),"")</f>
        <v/>
      </c>
      <c r="AC11732" s="16" t="str">
        <f>IFERROR(__xludf.DUMMYFUNCTION("""COMPUTED_VALUE"""),"")</f>
        <v/>
      </c>
    </row>
    <row r="11733">
      <c r="A11733" s="16" t="s">
        <v>87</v>
      </c>
      <c r="E11733" s="16" t="str">
        <f>IFERROR(__xludf.DUMMYFUNCTION("""COMPUTED_VALUE"""),"")</f>
        <v/>
      </c>
      <c r="G11733" s="18"/>
      <c r="H11733" s="16" t="s">
        <v>87</v>
      </c>
      <c r="I11733" s="16" t="s">
        <v>87</v>
      </c>
      <c r="J11733" s="19"/>
      <c r="L11733" s="16" t="str">
        <f>IFERROR(__xludf.DUMMYFUNCTION("""COMPUTED_VALUE"""),"")</f>
        <v/>
      </c>
      <c r="M11733" s="16" t="str">
        <f>IFERROR(__xludf.DUMMYFUNCTION("""COMPUTED_VALUE"""),"")</f>
        <v/>
      </c>
      <c r="U11733" s="16" t="s">
        <v>87</v>
      </c>
      <c r="V11733" s="16" t="str">
        <f>IFERROR(__xludf.DUMMYFUNCTION("""COMPUTED_VALUE"""),"")</f>
        <v/>
      </c>
      <c r="W11733" s="16" t="str">
        <f>IFERROR(__xludf.DUMMYFUNCTION("""COMPUTED_VALUE"""),"")</f>
        <v/>
      </c>
      <c r="X11733" s="16" t="str">
        <f>IFERROR(__xludf.DUMMYFUNCTION("""COMPUTED_VALUE"""),"")</f>
        <v/>
      </c>
      <c r="AC11733" s="16" t="str">
        <f>IFERROR(__xludf.DUMMYFUNCTION("""COMPUTED_VALUE"""),"")</f>
        <v/>
      </c>
    </row>
    <row r="11734">
      <c r="A11734" s="16" t="s">
        <v>87</v>
      </c>
      <c r="E11734" s="16" t="str">
        <f>IFERROR(__xludf.DUMMYFUNCTION("""COMPUTED_VALUE"""),"")</f>
        <v/>
      </c>
      <c r="G11734" s="18"/>
      <c r="H11734" s="16" t="s">
        <v>87</v>
      </c>
      <c r="I11734" s="16" t="s">
        <v>87</v>
      </c>
      <c r="J11734" s="19"/>
      <c r="L11734" s="16" t="str">
        <f>IFERROR(__xludf.DUMMYFUNCTION("""COMPUTED_VALUE"""),"")</f>
        <v/>
      </c>
      <c r="M11734" s="16" t="str">
        <f>IFERROR(__xludf.DUMMYFUNCTION("""COMPUTED_VALUE"""),"")</f>
        <v/>
      </c>
      <c r="U11734" s="16" t="s">
        <v>87</v>
      </c>
      <c r="V11734" s="16" t="str">
        <f>IFERROR(__xludf.DUMMYFUNCTION("""COMPUTED_VALUE"""),"")</f>
        <v/>
      </c>
      <c r="W11734" s="16" t="str">
        <f>IFERROR(__xludf.DUMMYFUNCTION("""COMPUTED_VALUE"""),"")</f>
        <v/>
      </c>
      <c r="X11734" s="16" t="str">
        <f>IFERROR(__xludf.DUMMYFUNCTION("""COMPUTED_VALUE"""),"")</f>
        <v/>
      </c>
      <c r="AC11734" s="16" t="str">
        <f>IFERROR(__xludf.DUMMYFUNCTION("""COMPUTED_VALUE"""),"")</f>
        <v/>
      </c>
    </row>
    <row r="11735">
      <c r="A11735" s="16" t="s">
        <v>87</v>
      </c>
      <c r="E11735" s="16" t="str">
        <f>IFERROR(__xludf.DUMMYFUNCTION("""COMPUTED_VALUE"""),"")</f>
        <v/>
      </c>
      <c r="G11735" s="18"/>
      <c r="H11735" s="16" t="s">
        <v>87</v>
      </c>
      <c r="I11735" s="16" t="s">
        <v>87</v>
      </c>
      <c r="J11735" s="19"/>
      <c r="L11735" s="16" t="str">
        <f>IFERROR(__xludf.DUMMYFUNCTION("""COMPUTED_VALUE"""),"")</f>
        <v/>
      </c>
      <c r="M11735" s="16" t="str">
        <f>IFERROR(__xludf.DUMMYFUNCTION("""COMPUTED_VALUE"""),"")</f>
        <v/>
      </c>
      <c r="U11735" s="16" t="s">
        <v>87</v>
      </c>
      <c r="V11735" s="16" t="str">
        <f>IFERROR(__xludf.DUMMYFUNCTION("""COMPUTED_VALUE"""),"")</f>
        <v/>
      </c>
      <c r="W11735" s="16" t="str">
        <f>IFERROR(__xludf.DUMMYFUNCTION("""COMPUTED_VALUE"""),"")</f>
        <v/>
      </c>
      <c r="X11735" s="16" t="str">
        <f>IFERROR(__xludf.DUMMYFUNCTION("""COMPUTED_VALUE"""),"")</f>
        <v/>
      </c>
      <c r="AC11735" s="16" t="str">
        <f>IFERROR(__xludf.DUMMYFUNCTION("""COMPUTED_VALUE"""),"")</f>
        <v/>
      </c>
    </row>
    <row r="11736">
      <c r="A11736" s="16" t="s">
        <v>87</v>
      </c>
      <c r="E11736" s="16" t="str">
        <f>IFERROR(__xludf.DUMMYFUNCTION("""COMPUTED_VALUE"""),"")</f>
        <v/>
      </c>
      <c r="G11736" s="18"/>
      <c r="H11736" s="16" t="s">
        <v>87</v>
      </c>
      <c r="I11736" s="16" t="s">
        <v>87</v>
      </c>
      <c r="J11736" s="19"/>
      <c r="L11736" s="16" t="str">
        <f>IFERROR(__xludf.DUMMYFUNCTION("""COMPUTED_VALUE"""),"")</f>
        <v/>
      </c>
      <c r="M11736" s="16" t="str">
        <f>IFERROR(__xludf.DUMMYFUNCTION("""COMPUTED_VALUE"""),"")</f>
        <v/>
      </c>
      <c r="U11736" s="16" t="s">
        <v>87</v>
      </c>
      <c r="V11736" s="16" t="str">
        <f>IFERROR(__xludf.DUMMYFUNCTION("""COMPUTED_VALUE"""),"")</f>
        <v/>
      </c>
      <c r="W11736" s="16" t="str">
        <f>IFERROR(__xludf.DUMMYFUNCTION("""COMPUTED_VALUE"""),"")</f>
        <v/>
      </c>
      <c r="X11736" s="16" t="str">
        <f>IFERROR(__xludf.DUMMYFUNCTION("""COMPUTED_VALUE"""),"")</f>
        <v/>
      </c>
      <c r="AC11736" s="16" t="str">
        <f>IFERROR(__xludf.DUMMYFUNCTION("""COMPUTED_VALUE"""),"")</f>
        <v/>
      </c>
    </row>
    <row r="11737">
      <c r="A11737" s="16" t="s">
        <v>87</v>
      </c>
      <c r="E11737" s="16" t="str">
        <f>IFERROR(__xludf.DUMMYFUNCTION("""COMPUTED_VALUE"""),"")</f>
        <v/>
      </c>
      <c r="G11737" s="18"/>
      <c r="H11737" s="16" t="s">
        <v>87</v>
      </c>
      <c r="I11737" s="16" t="s">
        <v>87</v>
      </c>
      <c r="J11737" s="19"/>
      <c r="L11737" s="16" t="str">
        <f>IFERROR(__xludf.DUMMYFUNCTION("""COMPUTED_VALUE"""),"")</f>
        <v/>
      </c>
      <c r="M11737" s="16" t="str">
        <f>IFERROR(__xludf.DUMMYFUNCTION("""COMPUTED_VALUE"""),"")</f>
        <v/>
      </c>
      <c r="U11737" s="16" t="s">
        <v>87</v>
      </c>
      <c r="V11737" s="16" t="str">
        <f>IFERROR(__xludf.DUMMYFUNCTION("""COMPUTED_VALUE"""),"")</f>
        <v/>
      </c>
      <c r="W11737" s="16" t="str">
        <f>IFERROR(__xludf.DUMMYFUNCTION("""COMPUTED_VALUE"""),"")</f>
        <v/>
      </c>
      <c r="X11737" s="16" t="str">
        <f>IFERROR(__xludf.DUMMYFUNCTION("""COMPUTED_VALUE"""),"")</f>
        <v/>
      </c>
      <c r="AC11737" s="16" t="str">
        <f>IFERROR(__xludf.DUMMYFUNCTION("""COMPUTED_VALUE"""),"")</f>
        <v/>
      </c>
    </row>
    <row r="11738">
      <c r="A11738" s="16" t="s">
        <v>87</v>
      </c>
      <c r="E11738" s="16" t="str">
        <f>IFERROR(__xludf.DUMMYFUNCTION("""COMPUTED_VALUE"""),"")</f>
        <v/>
      </c>
      <c r="G11738" s="18"/>
      <c r="H11738" s="16" t="s">
        <v>87</v>
      </c>
      <c r="I11738" s="16" t="s">
        <v>87</v>
      </c>
      <c r="J11738" s="19"/>
      <c r="L11738" s="16" t="str">
        <f>IFERROR(__xludf.DUMMYFUNCTION("""COMPUTED_VALUE"""),"")</f>
        <v/>
      </c>
      <c r="M11738" s="16" t="str">
        <f>IFERROR(__xludf.DUMMYFUNCTION("""COMPUTED_VALUE"""),"")</f>
        <v/>
      </c>
      <c r="U11738" s="16" t="s">
        <v>87</v>
      </c>
      <c r="V11738" s="16" t="str">
        <f>IFERROR(__xludf.DUMMYFUNCTION("""COMPUTED_VALUE"""),"")</f>
        <v/>
      </c>
      <c r="W11738" s="16" t="str">
        <f>IFERROR(__xludf.DUMMYFUNCTION("""COMPUTED_VALUE"""),"")</f>
        <v/>
      </c>
      <c r="X11738" s="16" t="str">
        <f>IFERROR(__xludf.DUMMYFUNCTION("""COMPUTED_VALUE"""),"")</f>
        <v/>
      </c>
      <c r="AC11738" s="16" t="str">
        <f>IFERROR(__xludf.DUMMYFUNCTION("""COMPUTED_VALUE"""),"")</f>
        <v/>
      </c>
    </row>
    <row r="11739">
      <c r="A11739" s="16" t="s">
        <v>87</v>
      </c>
      <c r="E11739" s="16" t="str">
        <f>IFERROR(__xludf.DUMMYFUNCTION("""COMPUTED_VALUE"""),"")</f>
        <v/>
      </c>
      <c r="G11739" s="18"/>
      <c r="H11739" s="16" t="s">
        <v>87</v>
      </c>
      <c r="I11739" s="16" t="s">
        <v>87</v>
      </c>
      <c r="J11739" s="19"/>
      <c r="L11739" s="16" t="str">
        <f>IFERROR(__xludf.DUMMYFUNCTION("""COMPUTED_VALUE"""),"")</f>
        <v/>
      </c>
      <c r="M11739" s="16" t="str">
        <f>IFERROR(__xludf.DUMMYFUNCTION("""COMPUTED_VALUE"""),"")</f>
        <v/>
      </c>
      <c r="U11739" s="16" t="s">
        <v>87</v>
      </c>
      <c r="V11739" s="16" t="str">
        <f>IFERROR(__xludf.DUMMYFUNCTION("""COMPUTED_VALUE"""),"")</f>
        <v/>
      </c>
      <c r="W11739" s="16" t="str">
        <f>IFERROR(__xludf.DUMMYFUNCTION("""COMPUTED_VALUE"""),"")</f>
        <v/>
      </c>
      <c r="X11739" s="16" t="str">
        <f>IFERROR(__xludf.DUMMYFUNCTION("""COMPUTED_VALUE"""),"")</f>
        <v/>
      </c>
      <c r="AC11739" s="16" t="str">
        <f>IFERROR(__xludf.DUMMYFUNCTION("""COMPUTED_VALUE"""),"")</f>
        <v/>
      </c>
    </row>
    <row r="11740">
      <c r="A11740" s="16" t="s">
        <v>87</v>
      </c>
      <c r="E11740" s="16" t="str">
        <f>IFERROR(__xludf.DUMMYFUNCTION("""COMPUTED_VALUE"""),"")</f>
        <v/>
      </c>
      <c r="G11740" s="18"/>
      <c r="H11740" s="16" t="s">
        <v>87</v>
      </c>
      <c r="I11740" s="16" t="s">
        <v>87</v>
      </c>
      <c r="J11740" s="19"/>
      <c r="L11740" s="16" t="str">
        <f>IFERROR(__xludf.DUMMYFUNCTION("""COMPUTED_VALUE"""),"")</f>
        <v/>
      </c>
      <c r="M11740" s="16" t="str">
        <f>IFERROR(__xludf.DUMMYFUNCTION("""COMPUTED_VALUE"""),"")</f>
        <v/>
      </c>
      <c r="U11740" s="16" t="s">
        <v>87</v>
      </c>
      <c r="V11740" s="16" t="str">
        <f>IFERROR(__xludf.DUMMYFUNCTION("""COMPUTED_VALUE"""),"")</f>
        <v/>
      </c>
      <c r="W11740" s="16" t="str">
        <f>IFERROR(__xludf.DUMMYFUNCTION("""COMPUTED_VALUE"""),"")</f>
        <v/>
      </c>
      <c r="X11740" s="16" t="str">
        <f>IFERROR(__xludf.DUMMYFUNCTION("""COMPUTED_VALUE"""),"")</f>
        <v/>
      </c>
      <c r="AC11740" s="16" t="str">
        <f>IFERROR(__xludf.DUMMYFUNCTION("""COMPUTED_VALUE"""),"")</f>
        <v/>
      </c>
    </row>
    <row r="11741">
      <c r="A11741" s="16" t="s">
        <v>87</v>
      </c>
      <c r="E11741" s="16" t="str">
        <f>IFERROR(__xludf.DUMMYFUNCTION("""COMPUTED_VALUE"""),"")</f>
        <v/>
      </c>
      <c r="G11741" s="18"/>
      <c r="H11741" s="16" t="s">
        <v>87</v>
      </c>
      <c r="I11741" s="16" t="s">
        <v>87</v>
      </c>
      <c r="J11741" s="19"/>
      <c r="L11741" s="16" t="str">
        <f>IFERROR(__xludf.DUMMYFUNCTION("""COMPUTED_VALUE"""),"")</f>
        <v/>
      </c>
      <c r="M11741" s="16" t="str">
        <f>IFERROR(__xludf.DUMMYFUNCTION("""COMPUTED_VALUE"""),"")</f>
        <v/>
      </c>
      <c r="U11741" s="16" t="s">
        <v>87</v>
      </c>
      <c r="V11741" s="16" t="str">
        <f>IFERROR(__xludf.DUMMYFUNCTION("""COMPUTED_VALUE"""),"")</f>
        <v/>
      </c>
      <c r="W11741" s="16" t="str">
        <f>IFERROR(__xludf.DUMMYFUNCTION("""COMPUTED_VALUE"""),"")</f>
        <v/>
      </c>
      <c r="X11741" s="16" t="str">
        <f>IFERROR(__xludf.DUMMYFUNCTION("""COMPUTED_VALUE"""),"")</f>
        <v/>
      </c>
      <c r="AC11741" s="16" t="str">
        <f>IFERROR(__xludf.DUMMYFUNCTION("""COMPUTED_VALUE"""),"")</f>
        <v/>
      </c>
    </row>
    <row r="11742">
      <c r="A11742" s="16" t="s">
        <v>87</v>
      </c>
      <c r="E11742" s="16" t="str">
        <f>IFERROR(__xludf.DUMMYFUNCTION("""COMPUTED_VALUE"""),"")</f>
        <v/>
      </c>
      <c r="G11742" s="18"/>
      <c r="H11742" s="16" t="s">
        <v>87</v>
      </c>
      <c r="I11742" s="16" t="s">
        <v>87</v>
      </c>
      <c r="J11742" s="19"/>
      <c r="L11742" s="16" t="str">
        <f>IFERROR(__xludf.DUMMYFUNCTION("""COMPUTED_VALUE"""),"")</f>
        <v/>
      </c>
      <c r="M11742" s="16" t="str">
        <f>IFERROR(__xludf.DUMMYFUNCTION("""COMPUTED_VALUE"""),"")</f>
        <v/>
      </c>
      <c r="U11742" s="16" t="s">
        <v>87</v>
      </c>
      <c r="V11742" s="16" t="str">
        <f>IFERROR(__xludf.DUMMYFUNCTION("""COMPUTED_VALUE"""),"")</f>
        <v/>
      </c>
      <c r="W11742" s="16" t="str">
        <f>IFERROR(__xludf.DUMMYFUNCTION("""COMPUTED_VALUE"""),"")</f>
        <v/>
      </c>
      <c r="X11742" s="16" t="str">
        <f>IFERROR(__xludf.DUMMYFUNCTION("""COMPUTED_VALUE"""),"")</f>
        <v/>
      </c>
      <c r="AC11742" s="16" t="str">
        <f>IFERROR(__xludf.DUMMYFUNCTION("""COMPUTED_VALUE"""),"")</f>
        <v/>
      </c>
    </row>
    <row r="11743">
      <c r="A11743" s="16" t="s">
        <v>87</v>
      </c>
      <c r="E11743" s="16" t="str">
        <f>IFERROR(__xludf.DUMMYFUNCTION("""COMPUTED_VALUE"""),"")</f>
        <v/>
      </c>
      <c r="G11743" s="18"/>
      <c r="H11743" s="16" t="s">
        <v>87</v>
      </c>
      <c r="I11743" s="16" t="s">
        <v>87</v>
      </c>
      <c r="J11743" s="19"/>
      <c r="L11743" s="16" t="str">
        <f>IFERROR(__xludf.DUMMYFUNCTION("""COMPUTED_VALUE"""),"")</f>
        <v/>
      </c>
      <c r="M11743" s="16" t="str">
        <f>IFERROR(__xludf.DUMMYFUNCTION("""COMPUTED_VALUE"""),"")</f>
        <v/>
      </c>
      <c r="U11743" s="16" t="s">
        <v>87</v>
      </c>
      <c r="V11743" s="16" t="str">
        <f>IFERROR(__xludf.DUMMYFUNCTION("""COMPUTED_VALUE"""),"")</f>
        <v/>
      </c>
      <c r="W11743" s="16" t="str">
        <f>IFERROR(__xludf.DUMMYFUNCTION("""COMPUTED_VALUE"""),"")</f>
        <v/>
      </c>
      <c r="X11743" s="16" t="str">
        <f>IFERROR(__xludf.DUMMYFUNCTION("""COMPUTED_VALUE"""),"")</f>
        <v/>
      </c>
      <c r="AC11743" s="16" t="str">
        <f>IFERROR(__xludf.DUMMYFUNCTION("""COMPUTED_VALUE"""),"")</f>
        <v/>
      </c>
    </row>
    <row r="11744">
      <c r="A11744" s="16" t="s">
        <v>87</v>
      </c>
      <c r="E11744" s="16" t="str">
        <f>IFERROR(__xludf.DUMMYFUNCTION("""COMPUTED_VALUE"""),"")</f>
        <v/>
      </c>
      <c r="G11744" s="18"/>
      <c r="H11744" s="16" t="s">
        <v>87</v>
      </c>
      <c r="I11744" s="16" t="s">
        <v>87</v>
      </c>
      <c r="J11744" s="19"/>
      <c r="L11744" s="16" t="str">
        <f>IFERROR(__xludf.DUMMYFUNCTION("""COMPUTED_VALUE"""),"")</f>
        <v/>
      </c>
      <c r="M11744" s="16" t="str">
        <f>IFERROR(__xludf.DUMMYFUNCTION("""COMPUTED_VALUE"""),"")</f>
        <v/>
      </c>
      <c r="U11744" s="16" t="s">
        <v>87</v>
      </c>
      <c r="V11744" s="16" t="str">
        <f>IFERROR(__xludf.DUMMYFUNCTION("""COMPUTED_VALUE"""),"")</f>
        <v/>
      </c>
      <c r="W11744" s="16" t="str">
        <f>IFERROR(__xludf.DUMMYFUNCTION("""COMPUTED_VALUE"""),"")</f>
        <v/>
      </c>
      <c r="X11744" s="16" t="str">
        <f>IFERROR(__xludf.DUMMYFUNCTION("""COMPUTED_VALUE"""),"")</f>
        <v/>
      </c>
      <c r="AC11744" s="16" t="str">
        <f>IFERROR(__xludf.DUMMYFUNCTION("""COMPUTED_VALUE"""),"")</f>
        <v/>
      </c>
    </row>
    <row r="11745">
      <c r="A11745" s="16" t="s">
        <v>87</v>
      </c>
      <c r="E11745" s="16" t="str">
        <f>IFERROR(__xludf.DUMMYFUNCTION("""COMPUTED_VALUE"""),"")</f>
        <v/>
      </c>
      <c r="G11745" s="18"/>
      <c r="H11745" s="16" t="s">
        <v>87</v>
      </c>
      <c r="I11745" s="16" t="s">
        <v>87</v>
      </c>
      <c r="J11745" s="19"/>
      <c r="L11745" s="16" t="str">
        <f>IFERROR(__xludf.DUMMYFUNCTION("""COMPUTED_VALUE"""),"")</f>
        <v/>
      </c>
      <c r="M11745" s="16" t="str">
        <f>IFERROR(__xludf.DUMMYFUNCTION("""COMPUTED_VALUE"""),"")</f>
        <v/>
      </c>
      <c r="U11745" s="16" t="s">
        <v>87</v>
      </c>
      <c r="V11745" s="16" t="str">
        <f>IFERROR(__xludf.DUMMYFUNCTION("""COMPUTED_VALUE"""),"")</f>
        <v/>
      </c>
      <c r="W11745" s="16" t="str">
        <f>IFERROR(__xludf.DUMMYFUNCTION("""COMPUTED_VALUE"""),"")</f>
        <v/>
      </c>
      <c r="X11745" s="16" t="str">
        <f>IFERROR(__xludf.DUMMYFUNCTION("""COMPUTED_VALUE"""),"")</f>
        <v/>
      </c>
      <c r="AC11745" s="16" t="str">
        <f>IFERROR(__xludf.DUMMYFUNCTION("""COMPUTED_VALUE"""),"")</f>
        <v/>
      </c>
    </row>
    <row r="11746">
      <c r="A11746" s="16" t="s">
        <v>87</v>
      </c>
      <c r="E11746" s="16" t="str">
        <f>IFERROR(__xludf.DUMMYFUNCTION("""COMPUTED_VALUE"""),"")</f>
        <v/>
      </c>
      <c r="G11746" s="18"/>
      <c r="H11746" s="16" t="s">
        <v>87</v>
      </c>
      <c r="I11746" s="16" t="s">
        <v>87</v>
      </c>
      <c r="J11746" s="19"/>
      <c r="L11746" s="16" t="str">
        <f>IFERROR(__xludf.DUMMYFUNCTION("""COMPUTED_VALUE"""),"")</f>
        <v/>
      </c>
      <c r="M11746" s="16" t="str">
        <f>IFERROR(__xludf.DUMMYFUNCTION("""COMPUTED_VALUE"""),"")</f>
        <v/>
      </c>
      <c r="U11746" s="16" t="s">
        <v>87</v>
      </c>
      <c r="V11746" s="16" t="str">
        <f>IFERROR(__xludf.DUMMYFUNCTION("""COMPUTED_VALUE"""),"")</f>
        <v/>
      </c>
      <c r="W11746" s="16" t="str">
        <f>IFERROR(__xludf.DUMMYFUNCTION("""COMPUTED_VALUE"""),"")</f>
        <v/>
      </c>
      <c r="X11746" s="16" t="str">
        <f>IFERROR(__xludf.DUMMYFUNCTION("""COMPUTED_VALUE"""),"")</f>
        <v/>
      </c>
      <c r="AC11746" s="16" t="str">
        <f>IFERROR(__xludf.DUMMYFUNCTION("""COMPUTED_VALUE"""),"")</f>
        <v/>
      </c>
    </row>
    <row r="11747">
      <c r="A11747" s="16" t="s">
        <v>87</v>
      </c>
      <c r="E11747" s="16" t="str">
        <f>IFERROR(__xludf.DUMMYFUNCTION("""COMPUTED_VALUE"""),"")</f>
        <v/>
      </c>
      <c r="G11747" s="18"/>
      <c r="H11747" s="16" t="s">
        <v>87</v>
      </c>
      <c r="I11747" s="16" t="s">
        <v>87</v>
      </c>
      <c r="J11747" s="19"/>
      <c r="L11747" s="16" t="str">
        <f>IFERROR(__xludf.DUMMYFUNCTION("""COMPUTED_VALUE"""),"")</f>
        <v/>
      </c>
      <c r="M11747" s="16" t="str">
        <f>IFERROR(__xludf.DUMMYFUNCTION("""COMPUTED_VALUE"""),"")</f>
        <v/>
      </c>
      <c r="U11747" s="16" t="s">
        <v>87</v>
      </c>
      <c r="V11747" s="16" t="str">
        <f>IFERROR(__xludf.DUMMYFUNCTION("""COMPUTED_VALUE"""),"")</f>
        <v/>
      </c>
      <c r="W11747" s="16" t="str">
        <f>IFERROR(__xludf.DUMMYFUNCTION("""COMPUTED_VALUE"""),"")</f>
        <v/>
      </c>
      <c r="X11747" s="16" t="str">
        <f>IFERROR(__xludf.DUMMYFUNCTION("""COMPUTED_VALUE"""),"")</f>
        <v/>
      </c>
      <c r="AC11747" s="16" t="str">
        <f>IFERROR(__xludf.DUMMYFUNCTION("""COMPUTED_VALUE"""),"")</f>
        <v/>
      </c>
    </row>
    <row r="11748">
      <c r="A11748" s="16" t="s">
        <v>87</v>
      </c>
      <c r="E11748" s="16" t="str">
        <f>IFERROR(__xludf.DUMMYFUNCTION("""COMPUTED_VALUE"""),"")</f>
        <v/>
      </c>
      <c r="G11748" s="18"/>
      <c r="H11748" s="16" t="s">
        <v>87</v>
      </c>
      <c r="I11748" s="16" t="s">
        <v>87</v>
      </c>
      <c r="J11748" s="19"/>
      <c r="L11748" s="16" t="str">
        <f>IFERROR(__xludf.DUMMYFUNCTION("""COMPUTED_VALUE"""),"")</f>
        <v/>
      </c>
      <c r="M11748" s="16" t="str">
        <f>IFERROR(__xludf.DUMMYFUNCTION("""COMPUTED_VALUE"""),"")</f>
        <v/>
      </c>
      <c r="U11748" s="16" t="s">
        <v>87</v>
      </c>
      <c r="V11748" s="16" t="str">
        <f>IFERROR(__xludf.DUMMYFUNCTION("""COMPUTED_VALUE"""),"")</f>
        <v/>
      </c>
      <c r="W11748" s="16" t="str">
        <f>IFERROR(__xludf.DUMMYFUNCTION("""COMPUTED_VALUE"""),"")</f>
        <v/>
      </c>
      <c r="X11748" s="16" t="str">
        <f>IFERROR(__xludf.DUMMYFUNCTION("""COMPUTED_VALUE"""),"")</f>
        <v/>
      </c>
      <c r="AC11748" s="16" t="str">
        <f>IFERROR(__xludf.DUMMYFUNCTION("""COMPUTED_VALUE"""),"")</f>
        <v/>
      </c>
    </row>
    <row r="11749">
      <c r="A11749" s="16" t="s">
        <v>87</v>
      </c>
      <c r="E11749" s="16" t="str">
        <f>IFERROR(__xludf.DUMMYFUNCTION("""COMPUTED_VALUE"""),"")</f>
        <v/>
      </c>
      <c r="G11749" s="18"/>
      <c r="H11749" s="16" t="s">
        <v>87</v>
      </c>
      <c r="I11749" s="16" t="s">
        <v>87</v>
      </c>
      <c r="J11749" s="19"/>
      <c r="L11749" s="16" t="str">
        <f>IFERROR(__xludf.DUMMYFUNCTION("""COMPUTED_VALUE"""),"")</f>
        <v/>
      </c>
      <c r="M11749" s="16" t="str">
        <f>IFERROR(__xludf.DUMMYFUNCTION("""COMPUTED_VALUE"""),"")</f>
        <v/>
      </c>
      <c r="U11749" s="16" t="s">
        <v>87</v>
      </c>
      <c r="V11749" s="16" t="str">
        <f>IFERROR(__xludf.DUMMYFUNCTION("""COMPUTED_VALUE"""),"")</f>
        <v/>
      </c>
      <c r="W11749" s="16" t="str">
        <f>IFERROR(__xludf.DUMMYFUNCTION("""COMPUTED_VALUE"""),"")</f>
        <v/>
      </c>
      <c r="X11749" s="16" t="str">
        <f>IFERROR(__xludf.DUMMYFUNCTION("""COMPUTED_VALUE"""),"")</f>
        <v/>
      </c>
      <c r="AC11749" s="16" t="str">
        <f>IFERROR(__xludf.DUMMYFUNCTION("""COMPUTED_VALUE"""),"")</f>
        <v/>
      </c>
    </row>
    <row r="11750">
      <c r="A11750" s="16" t="s">
        <v>87</v>
      </c>
      <c r="E11750" s="16" t="str">
        <f>IFERROR(__xludf.DUMMYFUNCTION("""COMPUTED_VALUE"""),"")</f>
        <v/>
      </c>
      <c r="G11750" s="18"/>
      <c r="H11750" s="16" t="s">
        <v>87</v>
      </c>
      <c r="I11750" s="16" t="s">
        <v>87</v>
      </c>
      <c r="J11750" s="19"/>
      <c r="L11750" s="16" t="str">
        <f>IFERROR(__xludf.DUMMYFUNCTION("""COMPUTED_VALUE"""),"")</f>
        <v/>
      </c>
      <c r="M11750" s="16" t="str">
        <f>IFERROR(__xludf.DUMMYFUNCTION("""COMPUTED_VALUE"""),"")</f>
        <v/>
      </c>
      <c r="U11750" s="16" t="s">
        <v>87</v>
      </c>
      <c r="V11750" s="16" t="str">
        <f>IFERROR(__xludf.DUMMYFUNCTION("""COMPUTED_VALUE"""),"")</f>
        <v/>
      </c>
      <c r="W11750" s="16" t="str">
        <f>IFERROR(__xludf.DUMMYFUNCTION("""COMPUTED_VALUE"""),"")</f>
        <v/>
      </c>
      <c r="X11750" s="16" t="str">
        <f>IFERROR(__xludf.DUMMYFUNCTION("""COMPUTED_VALUE"""),"")</f>
        <v/>
      </c>
      <c r="AC11750" s="16" t="str">
        <f>IFERROR(__xludf.DUMMYFUNCTION("""COMPUTED_VALUE"""),"")</f>
        <v/>
      </c>
    </row>
    <row r="11751">
      <c r="A11751" s="16" t="s">
        <v>87</v>
      </c>
      <c r="E11751" s="16" t="str">
        <f>IFERROR(__xludf.DUMMYFUNCTION("""COMPUTED_VALUE"""),"")</f>
        <v/>
      </c>
      <c r="G11751" s="18"/>
      <c r="H11751" s="16" t="s">
        <v>87</v>
      </c>
      <c r="I11751" s="16" t="s">
        <v>87</v>
      </c>
      <c r="J11751" s="19"/>
      <c r="L11751" s="16" t="str">
        <f>IFERROR(__xludf.DUMMYFUNCTION("""COMPUTED_VALUE"""),"")</f>
        <v/>
      </c>
      <c r="M11751" s="16" t="str">
        <f>IFERROR(__xludf.DUMMYFUNCTION("""COMPUTED_VALUE"""),"")</f>
        <v/>
      </c>
      <c r="U11751" s="16" t="s">
        <v>87</v>
      </c>
      <c r="V11751" s="16" t="str">
        <f>IFERROR(__xludf.DUMMYFUNCTION("""COMPUTED_VALUE"""),"")</f>
        <v/>
      </c>
      <c r="W11751" s="16" t="str">
        <f>IFERROR(__xludf.DUMMYFUNCTION("""COMPUTED_VALUE"""),"")</f>
        <v/>
      </c>
      <c r="X11751" s="16" t="str">
        <f>IFERROR(__xludf.DUMMYFUNCTION("""COMPUTED_VALUE"""),"")</f>
        <v/>
      </c>
      <c r="AC11751" s="16" t="str">
        <f>IFERROR(__xludf.DUMMYFUNCTION("""COMPUTED_VALUE"""),"")</f>
        <v/>
      </c>
    </row>
    <row r="11752">
      <c r="A11752" s="16" t="s">
        <v>87</v>
      </c>
      <c r="E11752" s="16" t="str">
        <f>IFERROR(__xludf.DUMMYFUNCTION("""COMPUTED_VALUE"""),"")</f>
        <v/>
      </c>
      <c r="G11752" s="18"/>
      <c r="H11752" s="16" t="s">
        <v>87</v>
      </c>
      <c r="I11752" s="16" t="s">
        <v>87</v>
      </c>
      <c r="J11752" s="19"/>
      <c r="L11752" s="16" t="str">
        <f>IFERROR(__xludf.DUMMYFUNCTION("""COMPUTED_VALUE"""),"")</f>
        <v/>
      </c>
      <c r="M11752" s="16" t="str">
        <f>IFERROR(__xludf.DUMMYFUNCTION("""COMPUTED_VALUE"""),"")</f>
        <v/>
      </c>
      <c r="U11752" s="16" t="s">
        <v>87</v>
      </c>
      <c r="V11752" s="16" t="str">
        <f>IFERROR(__xludf.DUMMYFUNCTION("""COMPUTED_VALUE"""),"")</f>
        <v/>
      </c>
      <c r="W11752" s="16" t="str">
        <f>IFERROR(__xludf.DUMMYFUNCTION("""COMPUTED_VALUE"""),"")</f>
        <v/>
      </c>
      <c r="X11752" s="16" t="str">
        <f>IFERROR(__xludf.DUMMYFUNCTION("""COMPUTED_VALUE"""),"")</f>
        <v/>
      </c>
      <c r="AC11752" s="16" t="str">
        <f>IFERROR(__xludf.DUMMYFUNCTION("""COMPUTED_VALUE"""),"")</f>
        <v/>
      </c>
    </row>
    <row r="11753">
      <c r="A11753" s="16" t="s">
        <v>87</v>
      </c>
      <c r="E11753" s="16" t="str">
        <f>IFERROR(__xludf.DUMMYFUNCTION("""COMPUTED_VALUE"""),"")</f>
        <v/>
      </c>
      <c r="G11753" s="18"/>
      <c r="H11753" s="16" t="s">
        <v>87</v>
      </c>
      <c r="I11753" s="16" t="s">
        <v>87</v>
      </c>
      <c r="J11753" s="19"/>
      <c r="L11753" s="16" t="str">
        <f>IFERROR(__xludf.DUMMYFUNCTION("""COMPUTED_VALUE"""),"")</f>
        <v/>
      </c>
      <c r="M11753" s="16" t="str">
        <f>IFERROR(__xludf.DUMMYFUNCTION("""COMPUTED_VALUE"""),"")</f>
        <v/>
      </c>
      <c r="U11753" s="16" t="s">
        <v>87</v>
      </c>
      <c r="V11753" s="16" t="str">
        <f>IFERROR(__xludf.DUMMYFUNCTION("""COMPUTED_VALUE"""),"")</f>
        <v/>
      </c>
      <c r="W11753" s="16" t="str">
        <f>IFERROR(__xludf.DUMMYFUNCTION("""COMPUTED_VALUE"""),"")</f>
        <v/>
      </c>
      <c r="X11753" s="16" t="str">
        <f>IFERROR(__xludf.DUMMYFUNCTION("""COMPUTED_VALUE"""),"")</f>
        <v/>
      </c>
      <c r="AC11753" s="16" t="str">
        <f>IFERROR(__xludf.DUMMYFUNCTION("""COMPUTED_VALUE"""),"")</f>
        <v/>
      </c>
    </row>
    <row r="11754">
      <c r="A11754" s="16" t="s">
        <v>87</v>
      </c>
      <c r="E11754" s="16" t="str">
        <f>IFERROR(__xludf.DUMMYFUNCTION("""COMPUTED_VALUE"""),"")</f>
        <v/>
      </c>
      <c r="G11754" s="18"/>
      <c r="H11754" s="16" t="s">
        <v>87</v>
      </c>
      <c r="I11754" s="16" t="s">
        <v>87</v>
      </c>
      <c r="J11754" s="19"/>
      <c r="L11754" s="16" t="str">
        <f>IFERROR(__xludf.DUMMYFUNCTION("""COMPUTED_VALUE"""),"")</f>
        <v/>
      </c>
      <c r="M11754" s="16" t="str">
        <f>IFERROR(__xludf.DUMMYFUNCTION("""COMPUTED_VALUE"""),"")</f>
        <v/>
      </c>
      <c r="U11754" s="16" t="s">
        <v>87</v>
      </c>
      <c r="V11754" s="16" t="str">
        <f>IFERROR(__xludf.DUMMYFUNCTION("""COMPUTED_VALUE"""),"")</f>
        <v/>
      </c>
      <c r="W11754" s="16" t="str">
        <f>IFERROR(__xludf.DUMMYFUNCTION("""COMPUTED_VALUE"""),"")</f>
        <v/>
      </c>
      <c r="X11754" s="16" t="str">
        <f>IFERROR(__xludf.DUMMYFUNCTION("""COMPUTED_VALUE"""),"")</f>
        <v/>
      </c>
      <c r="AC11754" s="16" t="str">
        <f>IFERROR(__xludf.DUMMYFUNCTION("""COMPUTED_VALUE"""),"")</f>
        <v/>
      </c>
    </row>
    <row r="11755">
      <c r="A11755" s="16" t="s">
        <v>87</v>
      </c>
      <c r="E11755" s="16" t="str">
        <f>IFERROR(__xludf.DUMMYFUNCTION("""COMPUTED_VALUE"""),"")</f>
        <v/>
      </c>
      <c r="G11755" s="18"/>
      <c r="H11755" s="16" t="s">
        <v>87</v>
      </c>
      <c r="I11755" s="16" t="s">
        <v>87</v>
      </c>
      <c r="J11755" s="19"/>
      <c r="L11755" s="16" t="str">
        <f>IFERROR(__xludf.DUMMYFUNCTION("""COMPUTED_VALUE"""),"")</f>
        <v/>
      </c>
      <c r="M11755" s="16" t="str">
        <f>IFERROR(__xludf.DUMMYFUNCTION("""COMPUTED_VALUE"""),"")</f>
        <v/>
      </c>
      <c r="U11755" s="16" t="s">
        <v>87</v>
      </c>
      <c r="V11755" s="16" t="str">
        <f>IFERROR(__xludf.DUMMYFUNCTION("""COMPUTED_VALUE"""),"")</f>
        <v/>
      </c>
      <c r="W11755" s="16" t="str">
        <f>IFERROR(__xludf.DUMMYFUNCTION("""COMPUTED_VALUE"""),"")</f>
        <v/>
      </c>
      <c r="X11755" s="16" t="str">
        <f>IFERROR(__xludf.DUMMYFUNCTION("""COMPUTED_VALUE"""),"")</f>
        <v/>
      </c>
      <c r="AC11755" s="16" t="str">
        <f>IFERROR(__xludf.DUMMYFUNCTION("""COMPUTED_VALUE"""),"")</f>
        <v/>
      </c>
    </row>
    <row r="11756">
      <c r="A11756" s="16" t="s">
        <v>87</v>
      </c>
      <c r="E11756" s="16" t="str">
        <f>IFERROR(__xludf.DUMMYFUNCTION("""COMPUTED_VALUE"""),"")</f>
        <v/>
      </c>
      <c r="G11756" s="18"/>
      <c r="H11756" s="16" t="s">
        <v>87</v>
      </c>
      <c r="I11756" s="16" t="s">
        <v>87</v>
      </c>
      <c r="J11756" s="19"/>
      <c r="L11756" s="16" t="str">
        <f>IFERROR(__xludf.DUMMYFUNCTION("""COMPUTED_VALUE"""),"")</f>
        <v/>
      </c>
      <c r="M11756" s="16" t="str">
        <f>IFERROR(__xludf.DUMMYFUNCTION("""COMPUTED_VALUE"""),"")</f>
        <v/>
      </c>
      <c r="U11756" s="16" t="s">
        <v>87</v>
      </c>
      <c r="V11756" s="16" t="str">
        <f>IFERROR(__xludf.DUMMYFUNCTION("""COMPUTED_VALUE"""),"")</f>
        <v/>
      </c>
      <c r="W11756" s="16" t="str">
        <f>IFERROR(__xludf.DUMMYFUNCTION("""COMPUTED_VALUE"""),"")</f>
        <v/>
      </c>
      <c r="X11756" s="16" t="str">
        <f>IFERROR(__xludf.DUMMYFUNCTION("""COMPUTED_VALUE"""),"")</f>
        <v/>
      </c>
      <c r="AC11756" s="16" t="str">
        <f>IFERROR(__xludf.DUMMYFUNCTION("""COMPUTED_VALUE"""),"")</f>
        <v/>
      </c>
    </row>
    <row r="11757">
      <c r="A11757" s="16" t="s">
        <v>87</v>
      </c>
      <c r="E11757" s="16" t="str">
        <f>IFERROR(__xludf.DUMMYFUNCTION("""COMPUTED_VALUE"""),"")</f>
        <v/>
      </c>
      <c r="G11757" s="18"/>
      <c r="H11757" s="16" t="s">
        <v>87</v>
      </c>
      <c r="I11757" s="16" t="s">
        <v>87</v>
      </c>
      <c r="J11757" s="19"/>
      <c r="L11757" s="16" t="str">
        <f>IFERROR(__xludf.DUMMYFUNCTION("""COMPUTED_VALUE"""),"")</f>
        <v/>
      </c>
      <c r="M11757" s="16" t="str">
        <f>IFERROR(__xludf.DUMMYFUNCTION("""COMPUTED_VALUE"""),"")</f>
        <v/>
      </c>
      <c r="U11757" s="16" t="s">
        <v>87</v>
      </c>
      <c r="V11757" s="16" t="str">
        <f>IFERROR(__xludf.DUMMYFUNCTION("""COMPUTED_VALUE"""),"")</f>
        <v/>
      </c>
      <c r="W11757" s="16" t="str">
        <f>IFERROR(__xludf.DUMMYFUNCTION("""COMPUTED_VALUE"""),"")</f>
        <v/>
      </c>
      <c r="X11757" s="16" t="str">
        <f>IFERROR(__xludf.DUMMYFUNCTION("""COMPUTED_VALUE"""),"")</f>
        <v/>
      </c>
      <c r="AC11757" s="16" t="str">
        <f>IFERROR(__xludf.DUMMYFUNCTION("""COMPUTED_VALUE"""),"")</f>
        <v/>
      </c>
    </row>
    <row r="11758">
      <c r="A11758" s="16" t="s">
        <v>87</v>
      </c>
      <c r="E11758" s="16" t="str">
        <f>IFERROR(__xludf.DUMMYFUNCTION("""COMPUTED_VALUE"""),"")</f>
        <v/>
      </c>
      <c r="G11758" s="18"/>
      <c r="H11758" s="16" t="s">
        <v>87</v>
      </c>
      <c r="I11758" s="16" t="s">
        <v>87</v>
      </c>
      <c r="J11758" s="19"/>
      <c r="L11758" s="16" t="str">
        <f>IFERROR(__xludf.DUMMYFUNCTION("""COMPUTED_VALUE"""),"")</f>
        <v/>
      </c>
      <c r="M11758" s="16" t="str">
        <f>IFERROR(__xludf.DUMMYFUNCTION("""COMPUTED_VALUE"""),"")</f>
        <v/>
      </c>
      <c r="U11758" s="16" t="s">
        <v>87</v>
      </c>
      <c r="V11758" s="16" t="str">
        <f>IFERROR(__xludf.DUMMYFUNCTION("""COMPUTED_VALUE"""),"")</f>
        <v/>
      </c>
      <c r="W11758" s="16" t="str">
        <f>IFERROR(__xludf.DUMMYFUNCTION("""COMPUTED_VALUE"""),"")</f>
        <v/>
      </c>
      <c r="X11758" s="16" t="str">
        <f>IFERROR(__xludf.DUMMYFUNCTION("""COMPUTED_VALUE"""),"")</f>
        <v/>
      </c>
      <c r="AC11758" s="16" t="str">
        <f>IFERROR(__xludf.DUMMYFUNCTION("""COMPUTED_VALUE"""),"")</f>
        <v/>
      </c>
    </row>
    <row r="11759">
      <c r="A11759" s="16" t="s">
        <v>87</v>
      </c>
      <c r="E11759" s="16" t="str">
        <f>IFERROR(__xludf.DUMMYFUNCTION("""COMPUTED_VALUE"""),"")</f>
        <v/>
      </c>
      <c r="G11759" s="18"/>
      <c r="H11759" s="16" t="s">
        <v>87</v>
      </c>
      <c r="I11759" s="16" t="s">
        <v>87</v>
      </c>
      <c r="J11759" s="19"/>
      <c r="L11759" s="16" t="str">
        <f>IFERROR(__xludf.DUMMYFUNCTION("""COMPUTED_VALUE"""),"")</f>
        <v/>
      </c>
      <c r="M11759" s="16" t="str">
        <f>IFERROR(__xludf.DUMMYFUNCTION("""COMPUTED_VALUE"""),"")</f>
        <v/>
      </c>
      <c r="U11759" s="16" t="s">
        <v>87</v>
      </c>
      <c r="V11759" s="16" t="str">
        <f>IFERROR(__xludf.DUMMYFUNCTION("""COMPUTED_VALUE"""),"")</f>
        <v/>
      </c>
      <c r="W11759" s="16" t="str">
        <f>IFERROR(__xludf.DUMMYFUNCTION("""COMPUTED_VALUE"""),"")</f>
        <v/>
      </c>
      <c r="X11759" s="16" t="str">
        <f>IFERROR(__xludf.DUMMYFUNCTION("""COMPUTED_VALUE"""),"")</f>
        <v/>
      </c>
      <c r="AC11759" s="16" t="str">
        <f>IFERROR(__xludf.DUMMYFUNCTION("""COMPUTED_VALUE"""),"")</f>
        <v/>
      </c>
    </row>
    <row r="11760">
      <c r="A11760" s="16" t="s">
        <v>87</v>
      </c>
      <c r="E11760" s="16" t="str">
        <f>IFERROR(__xludf.DUMMYFUNCTION("""COMPUTED_VALUE"""),"")</f>
        <v/>
      </c>
      <c r="G11760" s="18"/>
      <c r="H11760" s="16" t="s">
        <v>87</v>
      </c>
      <c r="I11760" s="16" t="s">
        <v>87</v>
      </c>
      <c r="J11760" s="19"/>
      <c r="L11760" s="16" t="str">
        <f>IFERROR(__xludf.DUMMYFUNCTION("""COMPUTED_VALUE"""),"")</f>
        <v/>
      </c>
      <c r="M11760" s="16" t="str">
        <f>IFERROR(__xludf.DUMMYFUNCTION("""COMPUTED_VALUE"""),"")</f>
        <v/>
      </c>
      <c r="U11760" s="16" t="s">
        <v>87</v>
      </c>
      <c r="V11760" s="16" t="str">
        <f>IFERROR(__xludf.DUMMYFUNCTION("""COMPUTED_VALUE"""),"")</f>
        <v/>
      </c>
      <c r="W11760" s="16" t="str">
        <f>IFERROR(__xludf.DUMMYFUNCTION("""COMPUTED_VALUE"""),"")</f>
        <v/>
      </c>
      <c r="X11760" s="16" t="str">
        <f>IFERROR(__xludf.DUMMYFUNCTION("""COMPUTED_VALUE"""),"")</f>
        <v/>
      </c>
      <c r="AC11760" s="16" t="str">
        <f>IFERROR(__xludf.DUMMYFUNCTION("""COMPUTED_VALUE"""),"")</f>
        <v/>
      </c>
    </row>
    <row r="11761">
      <c r="A11761" s="16" t="s">
        <v>87</v>
      </c>
      <c r="E11761" s="16" t="str">
        <f>IFERROR(__xludf.DUMMYFUNCTION("""COMPUTED_VALUE"""),"")</f>
        <v/>
      </c>
      <c r="G11761" s="18"/>
      <c r="H11761" s="16" t="s">
        <v>87</v>
      </c>
      <c r="I11761" s="16" t="s">
        <v>87</v>
      </c>
      <c r="J11761" s="19"/>
      <c r="L11761" s="16" t="str">
        <f>IFERROR(__xludf.DUMMYFUNCTION("""COMPUTED_VALUE"""),"")</f>
        <v/>
      </c>
      <c r="M11761" s="16" t="str">
        <f>IFERROR(__xludf.DUMMYFUNCTION("""COMPUTED_VALUE"""),"")</f>
        <v/>
      </c>
      <c r="U11761" s="16" t="s">
        <v>87</v>
      </c>
      <c r="V11761" s="16" t="str">
        <f>IFERROR(__xludf.DUMMYFUNCTION("""COMPUTED_VALUE"""),"")</f>
        <v/>
      </c>
      <c r="W11761" s="16" t="str">
        <f>IFERROR(__xludf.DUMMYFUNCTION("""COMPUTED_VALUE"""),"")</f>
        <v/>
      </c>
      <c r="X11761" s="16" t="str">
        <f>IFERROR(__xludf.DUMMYFUNCTION("""COMPUTED_VALUE"""),"")</f>
        <v/>
      </c>
      <c r="AC11761" s="16" t="str">
        <f>IFERROR(__xludf.DUMMYFUNCTION("""COMPUTED_VALUE"""),"")</f>
        <v/>
      </c>
    </row>
    <row r="11762">
      <c r="A11762" s="16" t="s">
        <v>87</v>
      </c>
      <c r="E11762" s="16" t="str">
        <f>IFERROR(__xludf.DUMMYFUNCTION("""COMPUTED_VALUE"""),"")</f>
        <v/>
      </c>
      <c r="G11762" s="18"/>
      <c r="H11762" s="16" t="s">
        <v>87</v>
      </c>
      <c r="I11762" s="16" t="s">
        <v>87</v>
      </c>
      <c r="J11762" s="19"/>
      <c r="L11762" s="16" t="str">
        <f>IFERROR(__xludf.DUMMYFUNCTION("""COMPUTED_VALUE"""),"")</f>
        <v/>
      </c>
      <c r="M11762" s="16" t="str">
        <f>IFERROR(__xludf.DUMMYFUNCTION("""COMPUTED_VALUE"""),"")</f>
        <v/>
      </c>
      <c r="U11762" s="16" t="s">
        <v>87</v>
      </c>
      <c r="V11762" s="16" t="str">
        <f>IFERROR(__xludf.DUMMYFUNCTION("""COMPUTED_VALUE"""),"")</f>
        <v/>
      </c>
      <c r="W11762" s="16" t="str">
        <f>IFERROR(__xludf.DUMMYFUNCTION("""COMPUTED_VALUE"""),"")</f>
        <v/>
      </c>
      <c r="X11762" s="16" t="str">
        <f>IFERROR(__xludf.DUMMYFUNCTION("""COMPUTED_VALUE"""),"")</f>
        <v/>
      </c>
      <c r="AC11762" s="16" t="str">
        <f>IFERROR(__xludf.DUMMYFUNCTION("""COMPUTED_VALUE"""),"")</f>
        <v/>
      </c>
    </row>
    <row r="11763">
      <c r="A11763" s="16" t="s">
        <v>87</v>
      </c>
      <c r="E11763" s="16" t="str">
        <f>IFERROR(__xludf.DUMMYFUNCTION("""COMPUTED_VALUE"""),"")</f>
        <v/>
      </c>
      <c r="G11763" s="18"/>
      <c r="H11763" s="16" t="s">
        <v>87</v>
      </c>
      <c r="I11763" s="16" t="s">
        <v>87</v>
      </c>
      <c r="J11763" s="19"/>
      <c r="L11763" s="16" t="str">
        <f>IFERROR(__xludf.DUMMYFUNCTION("""COMPUTED_VALUE"""),"")</f>
        <v/>
      </c>
      <c r="M11763" s="16" t="str">
        <f>IFERROR(__xludf.DUMMYFUNCTION("""COMPUTED_VALUE"""),"")</f>
        <v/>
      </c>
      <c r="U11763" s="16" t="s">
        <v>87</v>
      </c>
      <c r="V11763" s="16" t="str">
        <f>IFERROR(__xludf.DUMMYFUNCTION("""COMPUTED_VALUE"""),"")</f>
        <v/>
      </c>
      <c r="W11763" s="16" t="str">
        <f>IFERROR(__xludf.DUMMYFUNCTION("""COMPUTED_VALUE"""),"")</f>
        <v/>
      </c>
      <c r="X11763" s="16" t="str">
        <f>IFERROR(__xludf.DUMMYFUNCTION("""COMPUTED_VALUE"""),"")</f>
        <v/>
      </c>
      <c r="AC11763" s="16" t="str">
        <f>IFERROR(__xludf.DUMMYFUNCTION("""COMPUTED_VALUE"""),"")</f>
        <v/>
      </c>
    </row>
    <row r="11764">
      <c r="A11764" s="16" t="s">
        <v>87</v>
      </c>
      <c r="E11764" s="16" t="str">
        <f>IFERROR(__xludf.DUMMYFUNCTION("""COMPUTED_VALUE"""),"")</f>
        <v/>
      </c>
      <c r="G11764" s="18"/>
      <c r="H11764" s="16" t="s">
        <v>87</v>
      </c>
      <c r="I11764" s="16" t="s">
        <v>87</v>
      </c>
      <c r="J11764" s="19"/>
      <c r="L11764" s="16" t="str">
        <f>IFERROR(__xludf.DUMMYFUNCTION("""COMPUTED_VALUE"""),"")</f>
        <v/>
      </c>
      <c r="M11764" s="16" t="str">
        <f>IFERROR(__xludf.DUMMYFUNCTION("""COMPUTED_VALUE"""),"")</f>
        <v/>
      </c>
      <c r="U11764" s="16" t="s">
        <v>87</v>
      </c>
      <c r="V11764" s="16" t="str">
        <f>IFERROR(__xludf.DUMMYFUNCTION("""COMPUTED_VALUE"""),"")</f>
        <v/>
      </c>
      <c r="W11764" s="16" t="str">
        <f>IFERROR(__xludf.DUMMYFUNCTION("""COMPUTED_VALUE"""),"")</f>
        <v/>
      </c>
      <c r="X11764" s="16" t="str">
        <f>IFERROR(__xludf.DUMMYFUNCTION("""COMPUTED_VALUE"""),"")</f>
        <v/>
      </c>
      <c r="AC11764" s="16" t="str">
        <f>IFERROR(__xludf.DUMMYFUNCTION("""COMPUTED_VALUE"""),"")</f>
        <v/>
      </c>
    </row>
    <row r="11765">
      <c r="A11765" s="16" t="s">
        <v>87</v>
      </c>
      <c r="E11765" s="16" t="str">
        <f>IFERROR(__xludf.DUMMYFUNCTION("""COMPUTED_VALUE"""),"")</f>
        <v/>
      </c>
      <c r="G11765" s="18"/>
      <c r="H11765" s="16" t="s">
        <v>87</v>
      </c>
      <c r="I11765" s="16" t="s">
        <v>87</v>
      </c>
      <c r="J11765" s="19"/>
      <c r="L11765" s="16" t="str">
        <f>IFERROR(__xludf.DUMMYFUNCTION("""COMPUTED_VALUE"""),"")</f>
        <v/>
      </c>
      <c r="M11765" s="16" t="str">
        <f>IFERROR(__xludf.DUMMYFUNCTION("""COMPUTED_VALUE"""),"")</f>
        <v/>
      </c>
      <c r="U11765" s="16" t="s">
        <v>87</v>
      </c>
      <c r="V11765" s="16" t="str">
        <f>IFERROR(__xludf.DUMMYFUNCTION("""COMPUTED_VALUE"""),"")</f>
        <v/>
      </c>
      <c r="W11765" s="16" t="str">
        <f>IFERROR(__xludf.DUMMYFUNCTION("""COMPUTED_VALUE"""),"")</f>
        <v/>
      </c>
      <c r="X11765" s="16" t="str">
        <f>IFERROR(__xludf.DUMMYFUNCTION("""COMPUTED_VALUE"""),"")</f>
        <v/>
      </c>
      <c r="AC11765" s="16" t="str">
        <f>IFERROR(__xludf.DUMMYFUNCTION("""COMPUTED_VALUE"""),"")</f>
        <v/>
      </c>
    </row>
    <row r="11766">
      <c r="A11766" s="16" t="s">
        <v>87</v>
      </c>
      <c r="E11766" s="16" t="str">
        <f>IFERROR(__xludf.DUMMYFUNCTION("""COMPUTED_VALUE"""),"")</f>
        <v/>
      </c>
      <c r="G11766" s="18"/>
      <c r="H11766" s="16" t="s">
        <v>87</v>
      </c>
      <c r="I11766" s="16" t="s">
        <v>87</v>
      </c>
      <c r="J11766" s="19"/>
      <c r="L11766" s="16" t="str">
        <f>IFERROR(__xludf.DUMMYFUNCTION("""COMPUTED_VALUE"""),"")</f>
        <v/>
      </c>
      <c r="M11766" s="16" t="str">
        <f>IFERROR(__xludf.DUMMYFUNCTION("""COMPUTED_VALUE"""),"")</f>
        <v/>
      </c>
      <c r="U11766" s="16" t="s">
        <v>87</v>
      </c>
      <c r="V11766" s="16" t="str">
        <f>IFERROR(__xludf.DUMMYFUNCTION("""COMPUTED_VALUE"""),"")</f>
        <v/>
      </c>
      <c r="W11766" s="16" t="str">
        <f>IFERROR(__xludf.DUMMYFUNCTION("""COMPUTED_VALUE"""),"")</f>
        <v/>
      </c>
      <c r="X11766" s="16" t="str">
        <f>IFERROR(__xludf.DUMMYFUNCTION("""COMPUTED_VALUE"""),"")</f>
        <v/>
      </c>
      <c r="AC11766" s="16" t="str">
        <f>IFERROR(__xludf.DUMMYFUNCTION("""COMPUTED_VALUE"""),"")</f>
        <v/>
      </c>
    </row>
    <row r="11767">
      <c r="A11767" s="16" t="s">
        <v>87</v>
      </c>
      <c r="E11767" s="16" t="str">
        <f>IFERROR(__xludf.DUMMYFUNCTION("""COMPUTED_VALUE"""),"")</f>
        <v/>
      </c>
      <c r="G11767" s="18"/>
      <c r="H11767" s="16" t="s">
        <v>87</v>
      </c>
      <c r="I11767" s="16" t="s">
        <v>87</v>
      </c>
      <c r="J11767" s="19"/>
      <c r="L11767" s="16" t="str">
        <f>IFERROR(__xludf.DUMMYFUNCTION("""COMPUTED_VALUE"""),"")</f>
        <v/>
      </c>
      <c r="M11767" s="16" t="str">
        <f>IFERROR(__xludf.DUMMYFUNCTION("""COMPUTED_VALUE"""),"")</f>
        <v/>
      </c>
      <c r="U11767" s="16" t="s">
        <v>87</v>
      </c>
      <c r="V11767" s="16" t="str">
        <f>IFERROR(__xludf.DUMMYFUNCTION("""COMPUTED_VALUE"""),"")</f>
        <v/>
      </c>
      <c r="W11767" s="16" t="str">
        <f>IFERROR(__xludf.DUMMYFUNCTION("""COMPUTED_VALUE"""),"")</f>
        <v/>
      </c>
      <c r="X11767" s="16" t="str">
        <f>IFERROR(__xludf.DUMMYFUNCTION("""COMPUTED_VALUE"""),"")</f>
        <v/>
      </c>
      <c r="AC11767" s="16" t="str">
        <f>IFERROR(__xludf.DUMMYFUNCTION("""COMPUTED_VALUE"""),"")</f>
        <v/>
      </c>
    </row>
    <row r="11768">
      <c r="A11768" s="16" t="s">
        <v>87</v>
      </c>
      <c r="E11768" s="16" t="str">
        <f>IFERROR(__xludf.DUMMYFUNCTION("""COMPUTED_VALUE"""),"")</f>
        <v/>
      </c>
      <c r="G11768" s="18"/>
      <c r="H11768" s="16" t="s">
        <v>87</v>
      </c>
      <c r="I11768" s="16" t="s">
        <v>87</v>
      </c>
      <c r="J11768" s="19"/>
      <c r="L11768" s="16" t="str">
        <f>IFERROR(__xludf.DUMMYFUNCTION("""COMPUTED_VALUE"""),"")</f>
        <v/>
      </c>
      <c r="M11768" s="16" t="str">
        <f>IFERROR(__xludf.DUMMYFUNCTION("""COMPUTED_VALUE"""),"")</f>
        <v/>
      </c>
      <c r="U11768" s="16" t="s">
        <v>87</v>
      </c>
      <c r="V11768" s="16" t="str">
        <f>IFERROR(__xludf.DUMMYFUNCTION("""COMPUTED_VALUE"""),"")</f>
        <v/>
      </c>
      <c r="W11768" s="16" t="str">
        <f>IFERROR(__xludf.DUMMYFUNCTION("""COMPUTED_VALUE"""),"")</f>
        <v/>
      </c>
      <c r="X11768" s="16" t="str">
        <f>IFERROR(__xludf.DUMMYFUNCTION("""COMPUTED_VALUE"""),"")</f>
        <v/>
      </c>
      <c r="AC11768" s="16" t="str">
        <f>IFERROR(__xludf.DUMMYFUNCTION("""COMPUTED_VALUE"""),"")</f>
        <v/>
      </c>
    </row>
    <row r="11769">
      <c r="A11769" s="16" t="s">
        <v>87</v>
      </c>
      <c r="E11769" s="16" t="str">
        <f>IFERROR(__xludf.DUMMYFUNCTION("""COMPUTED_VALUE"""),"")</f>
        <v/>
      </c>
      <c r="G11769" s="18"/>
      <c r="H11769" s="16" t="s">
        <v>87</v>
      </c>
      <c r="I11769" s="16" t="s">
        <v>87</v>
      </c>
      <c r="J11769" s="19"/>
      <c r="L11769" s="16" t="str">
        <f>IFERROR(__xludf.DUMMYFUNCTION("""COMPUTED_VALUE"""),"")</f>
        <v/>
      </c>
      <c r="M11769" s="16" t="str">
        <f>IFERROR(__xludf.DUMMYFUNCTION("""COMPUTED_VALUE"""),"")</f>
        <v/>
      </c>
      <c r="U11769" s="16" t="s">
        <v>87</v>
      </c>
      <c r="V11769" s="16" t="str">
        <f>IFERROR(__xludf.DUMMYFUNCTION("""COMPUTED_VALUE"""),"")</f>
        <v/>
      </c>
      <c r="W11769" s="16" t="str">
        <f>IFERROR(__xludf.DUMMYFUNCTION("""COMPUTED_VALUE"""),"")</f>
        <v/>
      </c>
      <c r="X11769" s="16" t="str">
        <f>IFERROR(__xludf.DUMMYFUNCTION("""COMPUTED_VALUE"""),"")</f>
        <v/>
      </c>
      <c r="AC11769" s="16" t="str">
        <f>IFERROR(__xludf.DUMMYFUNCTION("""COMPUTED_VALUE"""),"")</f>
        <v/>
      </c>
    </row>
    <row r="11770">
      <c r="A11770" s="16" t="s">
        <v>87</v>
      </c>
      <c r="E11770" s="16" t="str">
        <f>IFERROR(__xludf.DUMMYFUNCTION("""COMPUTED_VALUE"""),"")</f>
        <v/>
      </c>
      <c r="G11770" s="18"/>
      <c r="H11770" s="16" t="s">
        <v>87</v>
      </c>
      <c r="I11770" s="16" t="s">
        <v>87</v>
      </c>
      <c r="J11770" s="19"/>
      <c r="L11770" s="16" t="str">
        <f>IFERROR(__xludf.DUMMYFUNCTION("""COMPUTED_VALUE"""),"")</f>
        <v/>
      </c>
      <c r="M11770" s="16" t="str">
        <f>IFERROR(__xludf.DUMMYFUNCTION("""COMPUTED_VALUE"""),"")</f>
        <v/>
      </c>
      <c r="U11770" s="16" t="s">
        <v>87</v>
      </c>
      <c r="V11770" s="16" t="str">
        <f>IFERROR(__xludf.DUMMYFUNCTION("""COMPUTED_VALUE"""),"")</f>
        <v/>
      </c>
      <c r="W11770" s="16" t="str">
        <f>IFERROR(__xludf.DUMMYFUNCTION("""COMPUTED_VALUE"""),"")</f>
        <v/>
      </c>
      <c r="X11770" s="16" t="str">
        <f>IFERROR(__xludf.DUMMYFUNCTION("""COMPUTED_VALUE"""),"")</f>
        <v/>
      </c>
      <c r="AC11770" s="16" t="str">
        <f>IFERROR(__xludf.DUMMYFUNCTION("""COMPUTED_VALUE"""),"")</f>
        <v/>
      </c>
    </row>
    <row r="11771">
      <c r="A11771" s="16" t="s">
        <v>87</v>
      </c>
      <c r="E11771" s="16" t="str">
        <f>IFERROR(__xludf.DUMMYFUNCTION("""COMPUTED_VALUE"""),"")</f>
        <v/>
      </c>
      <c r="G11771" s="18"/>
      <c r="H11771" s="16" t="s">
        <v>87</v>
      </c>
      <c r="I11771" s="16" t="s">
        <v>87</v>
      </c>
      <c r="J11771" s="19"/>
      <c r="L11771" s="16" t="str">
        <f>IFERROR(__xludf.DUMMYFUNCTION("""COMPUTED_VALUE"""),"")</f>
        <v/>
      </c>
      <c r="M11771" s="16" t="str">
        <f>IFERROR(__xludf.DUMMYFUNCTION("""COMPUTED_VALUE"""),"")</f>
        <v/>
      </c>
      <c r="U11771" s="16" t="s">
        <v>87</v>
      </c>
      <c r="V11771" s="16" t="str">
        <f>IFERROR(__xludf.DUMMYFUNCTION("""COMPUTED_VALUE"""),"")</f>
        <v/>
      </c>
      <c r="W11771" s="16" t="str">
        <f>IFERROR(__xludf.DUMMYFUNCTION("""COMPUTED_VALUE"""),"")</f>
        <v/>
      </c>
      <c r="X11771" s="16" t="str">
        <f>IFERROR(__xludf.DUMMYFUNCTION("""COMPUTED_VALUE"""),"")</f>
        <v/>
      </c>
      <c r="AC11771" s="16" t="str">
        <f>IFERROR(__xludf.DUMMYFUNCTION("""COMPUTED_VALUE"""),"")</f>
        <v/>
      </c>
    </row>
    <row r="11772">
      <c r="A11772" s="16" t="s">
        <v>87</v>
      </c>
      <c r="E11772" s="16" t="str">
        <f>IFERROR(__xludf.DUMMYFUNCTION("""COMPUTED_VALUE"""),"")</f>
        <v/>
      </c>
      <c r="G11772" s="18"/>
      <c r="H11772" s="16" t="s">
        <v>87</v>
      </c>
      <c r="I11772" s="16" t="s">
        <v>87</v>
      </c>
      <c r="J11772" s="19"/>
      <c r="L11772" s="16" t="str">
        <f>IFERROR(__xludf.DUMMYFUNCTION("""COMPUTED_VALUE"""),"")</f>
        <v/>
      </c>
      <c r="M11772" s="16" t="str">
        <f>IFERROR(__xludf.DUMMYFUNCTION("""COMPUTED_VALUE"""),"")</f>
        <v/>
      </c>
      <c r="U11772" s="16" t="s">
        <v>87</v>
      </c>
      <c r="V11772" s="16" t="str">
        <f>IFERROR(__xludf.DUMMYFUNCTION("""COMPUTED_VALUE"""),"")</f>
        <v/>
      </c>
      <c r="W11772" s="16" t="str">
        <f>IFERROR(__xludf.DUMMYFUNCTION("""COMPUTED_VALUE"""),"")</f>
        <v/>
      </c>
      <c r="X11772" s="16" t="str">
        <f>IFERROR(__xludf.DUMMYFUNCTION("""COMPUTED_VALUE"""),"")</f>
        <v/>
      </c>
      <c r="AC11772" s="16" t="str">
        <f>IFERROR(__xludf.DUMMYFUNCTION("""COMPUTED_VALUE"""),"")</f>
        <v/>
      </c>
    </row>
    <row r="11773">
      <c r="A11773" s="16" t="s">
        <v>87</v>
      </c>
      <c r="E11773" s="16" t="str">
        <f>IFERROR(__xludf.DUMMYFUNCTION("""COMPUTED_VALUE"""),"")</f>
        <v/>
      </c>
      <c r="G11773" s="18"/>
      <c r="H11773" s="16" t="s">
        <v>87</v>
      </c>
      <c r="I11773" s="16" t="s">
        <v>87</v>
      </c>
      <c r="J11773" s="19"/>
      <c r="L11773" s="16" t="str">
        <f>IFERROR(__xludf.DUMMYFUNCTION("""COMPUTED_VALUE"""),"")</f>
        <v/>
      </c>
      <c r="M11773" s="16" t="str">
        <f>IFERROR(__xludf.DUMMYFUNCTION("""COMPUTED_VALUE"""),"")</f>
        <v/>
      </c>
      <c r="U11773" s="16" t="s">
        <v>87</v>
      </c>
      <c r="V11773" s="16" t="str">
        <f>IFERROR(__xludf.DUMMYFUNCTION("""COMPUTED_VALUE"""),"")</f>
        <v/>
      </c>
      <c r="W11773" s="16" t="str">
        <f>IFERROR(__xludf.DUMMYFUNCTION("""COMPUTED_VALUE"""),"")</f>
        <v/>
      </c>
      <c r="X11773" s="16" t="str">
        <f>IFERROR(__xludf.DUMMYFUNCTION("""COMPUTED_VALUE"""),"")</f>
        <v/>
      </c>
      <c r="AC11773" s="16" t="str">
        <f>IFERROR(__xludf.DUMMYFUNCTION("""COMPUTED_VALUE"""),"")</f>
        <v/>
      </c>
    </row>
    <row r="11774">
      <c r="A11774" s="16" t="s">
        <v>87</v>
      </c>
      <c r="E11774" s="16" t="str">
        <f>IFERROR(__xludf.DUMMYFUNCTION("""COMPUTED_VALUE"""),"")</f>
        <v/>
      </c>
      <c r="G11774" s="18"/>
      <c r="H11774" s="16" t="s">
        <v>87</v>
      </c>
      <c r="I11774" s="16" t="s">
        <v>87</v>
      </c>
      <c r="J11774" s="19"/>
      <c r="L11774" s="16" t="str">
        <f>IFERROR(__xludf.DUMMYFUNCTION("""COMPUTED_VALUE"""),"")</f>
        <v/>
      </c>
      <c r="M11774" s="16" t="str">
        <f>IFERROR(__xludf.DUMMYFUNCTION("""COMPUTED_VALUE"""),"")</f>
        <v/>
      </c>
      <c r="U11774" s="16" t="s">
        <v>87</v>
      </c>
      <c r="V11774" s="16" t="str">
        <f>IFERROR(__xludf.DUMMYFUNCTION("""COMPUTED_VALUE"""),"")</f>
        <v/>
      </c>
      <c r="W11774" s="16" t="str">
        <f>IFERROR(__xludf.DUMMYFUNCTION("""COMPUTED_VALUE"""),"")</f>
        <v/>
      </c>
      <c r="X11774" s="16" t="str">
        <f>IFERROR(__xludf.DUMMYFUNCTION("""COMPUTED_VALUE"""),"")</f>
        <v/>
      </c>
      <c r="AC11774" s="16" t="str">
        <f>IFERROR(__xludf.DUMMYFUNCTION("""COMPUTED_VALUE"""),"")</f>
        <v/>
      </c>
    </row>
    <row r="11775">
      <c r="A11775" s="16" t="s">
        <v>87</v>
      </c>
      <c r="E11775" s="16" t="str">
        <f>IFERROR(__xludf.DUMMYFUNCTION("""COMPUTED_VALUE"""),"")</f>
        <v/>
      </c>
      <c r="G11775" s="18"/>
      <c r="H11775" s="16" t="s">
        <v>87</v>
      </c>
      <c r="I11775" s="16" t="s">
        <v>87</v>
      </c>
      <c r="J11775" s="19"/>
      <c r="L11775" s="16" t="str">
        <f>IFERROR(__xludf.DUMMYFUNCTION("""COMPUTED_VALUE"""),"")</f>
        <v/>
      </c>
      <c r="M11775" s="16" t="str">
        <f>IFERROR(__xludf.DUMMYFUNCTION("""COMPUTED_VALUE"""),"")</f>
        <v/>
      </c>
      <c r="U11775" s="16" t="s">
        <v>87</v>
      </c>
      <c r="V11775" s="16" t="str">
        <f>IFERROR(__xludf.DUMMYFUNCTION("""COMPUTED_VALUE"""),"")</f>
        <v/>
      </c>
      <c r="W11775" s="16" t="str">
        <f>IFERROR(__xludf.DUMMYFUNCTION("""COMPUTED_VALUE"""),"")</f>
        <v/>
      </c>
      <c r="X11775" s="16" t="str">
        <f>IFERROR(__xludf.DUMMYFUNCTION("""COMPUTED_VALUE"""),"")</f>
        <v/>
      </c>
      <c r="AC11775" s="16" t="str">
        <f>IFERROR(__xludf.DUMMYFUNCTION("""COMPUTED_VALUE"""),"")</f>
        <v/>
      </c>
    </row>
    <row r="11776">
      <c r="A11776" s="16" t="s">
        <v>87</v>
      </c>
      <c r="E11776" s="16" t="str">
        <f>IFERROR(__xludf.DUMMYFUNCTION("""COMPUTED_VALUE"""),"")</f>
        <v/>
      </c>
      <c r="G11776" s="18"/>
      <c r="H11776" s="16" t="s">
        <v>87</v>
      </c>
      <c r="I11776" s="16" t="s">
        <v>87</v>
      </c>
      <c r="J11776" s="19"/>
      <c r="L11776" s="16" t="str">
        <f>IFERROR(__xludf.DUMMYFUNCTION("""COMPUTED_VALUE"""),"")</f>
        <v/>
      </c>
      <c r="M11776" s="16" t="str">
        <f>IFERROR(__xludf.DUMMYFUNCTION("""COMPUTED_VALUE"""),"")</f>
        <v/>
      </c>
      <c r="U11776" s="16" t="s">
        <v>87</v>
      </c>
      <c r="V11776" s="16" t="str">
        <f>IFERROR(__xludf.DUMMYFUNCTION("""COMPUTED_VALUE"""),"")</f>
        <v/>
      </c>
      <c r="W11776" s="16" t="str">
        <f>IFERROR(__xludf.DUMMYFUNCTION("""COMPUTED_VALUE"""),"")</f>
        <v/>
      </c>
      <c r="X11776" s="16" t="str">
        <f>IFERROR(__xludf.DUMMYFUNCTION("""COMPUTED_VALUE"""),"")</f>
        <v/>
      </c>
      <c r="AC11776" s="16" t="str">
        <f>IFERROR(__xludf.DUMMYFUNCTION("""COMPUTED_VALUE"""),"")</f>
        <v/>
      </c>
    </row>
    <row r="11777">
      <c r="A11777" s="16" t="s">
        <v>87</v>
      </c>
      <c r="E11777" s="16" t="str">
        <f>IFERROR(__xludf.DUMMYFUNCTION("""COMPUTED_VALUE"""),"")</f>
        <v/>
      </c>
      <c r="G11777" s="18"/>
      <c r="H11777" s="16" t="s">
        <v>87</v>
      </c>
      <c r="I11777" s="16" t="s">
        <v>87</v>
      </c>
      <c r="J11777" s="19"/>
      <c r="L11777" s="16" t="str">
        <f>IFERROR(__xludf.DUMMYFUNCTION("""COMPUTED_VALUE"""),"")</f>
        <v/>
      </c>
      <c r="M11777" s="16" t="str">
        <f>IFERROR(__xludf.DUMMYFUNCTION("""COMPUTED_VALUE"""),"")</f>
        <v/>
      </c>
      <c r="U11777" s="16" t="s">
        <v>87</v>
      </c>
      <c r="V11777" s="16" t="str">
        <f>IFERROR(__xludf.DUMMYFUNCTION("""COMPUTED_VALUE"""),"")</f>
        <v/>
      </c>
      <c r="W11777" s="16" t="str">
        <f>IFERROR(__xludf.DUMMYFUNCTION("""COMPUTED_VALUE"""),"")</f>
        <v/>
      </c>
      <c r="X11777" s="16" t="str">
        <f>IFERROR(__xludf.DUMMYFUNCTION("""COMPUTED_VALUE"""),"")</f>
        <v/>
      </c>
      <c r="AC11777" s="16" t="str">
        <f>IFERROR(__xludf.DUMMYFUNCTION("""COMPUTED_VALUE"""),"")</f>
        <v/>
      </c>
    </row>
    <row r="11778">
      <c r="A11778" s="16" t="s">
        <v>87</v>
      </c>
      <c r="E11778" s="16" t="str">
        <f>IFERROR(__xludf.DUMMYFUNCTION("""COMPUTED_VALUE"""),"")</f>
        <v/>
      </c>
      <c r="G11778" s="18"/>
      <c r="H11778" s="16" t="s">
        <v>87</v>
      </c>
      <c r="I11778" s="16" t="s">
        <v>87</v>
      </c>
      <c r="J11778" s="19"/>
      <c r="L11778" s="16" t="str">
        <f>IFERROR(__xludf.DUMMYFUNCTION("""COMPUTED_VALUE"""),"")</f>
        <v/>
      </c>
      <c r="M11778" s="16" t="str">
        <f>IFERROR(__xludf.DUMMYFUNCTION("""COMPUTED_VALUE"""),"")</f>
        <v/>
      </c>
      <c r="U11778" s="16" t="s">
        <v>87</v>
      </c>
      <c r="V11778" s="16" t="str">
        <f>IFERROR(__xludf.DUMMYFUNCTION("""COMPUTED_VALUE"""),"")</f>
        <v/>
      </c>
      <c r="W11778" s="16" t="str">
        <f>IFERROR(__xludf.DUMMYFUNCTION("""COMPUTED_VALUE"""),"")</f>
        <v/>
      </c>
      <c r="X11778" s="16" t="str">
        <f>IFERROR(__xludf.DUMMYFUNCTION("""COMPUTED_VALUE"""),"")</f>
        <v/>
      </c>
      <c r="AC11778" s="16" t="str">
        <f>IFERROR(__xludf.DUMMYFUNCTION("""COMPUTED_VALUE"""),"")</f>
        <v/>
      </c>
    </row>
    <row r="11779">
      <c r="A11779" s="16" t="s">
        <v>87</v>
      </c>
      <c r="E11779" s="16" t="str">
        <f>IFERROR(__xludf.DUMMYFUNCTION("""COMPUTED_VALUE"""),"")</f>
        <v/>
      </c>
      <c r="G11779" s="18"/>
      <c r="H11779" s="16" t="s">
        <v>87</v>
      </c>
      <c r="I11779" s="16" t="s">
        <v>87</v>
      </c>
      <c r="J11779" s="19"/>
      <c r="L11779" s="16" t="str">
        <f>IFERROR(__xludf.DUMMYFUNCTION("""COMPUTED_VALUE"""),"")</f>
        <v/>
      </c>
      <c r="M11779" s="16" t="str">
        <f>IFERROR(__xludf.DUMMYFUNCTION("""COMPUTED_VALUE"""),"")</f>
        <v/>
      </c>
      <c r="U11779" s="16" t="s">
        <v>87</v>
      </c>
      <c r="V11779" s="16" t="str">
        <f>IFERROR(__xludf.DUMMYFUNCTION("""COMPUTED_VALUE"""),"")</f>
        <v/>
      </c>
      <c r="W11779" s="16" t="str">
        <f>IFERROR(__xludf.DUMMYFUNCTION("""COMPUTED_VALUE"""),"")</f>
        <v/>
      </c>
      <c r="X11779" s="16" t="str">
        <f>IFERROR(__xludf.DUMMYFUNCTION("""COMPUTED_VALUE"""),"")</f>
        <v/>
      </c>
      <c r="AC11779" s="16" t="str">
        <f>IFERROR(__xludf.DUMMYFUNCTION("""COMPUTED_VALUE"""),"")</f>
        <v/>
      </c>
    </row>
    <row r="11780">
      <c r="A11780" s="16" t="s">
        <v>87</v>
      </c>
      <c r="E11780" s="16" t="str">
        <f>IFERROR(__xludf.DUMMYFUNCTION("""COMPUTED_VALUE"""),"")</f>
        <v/>
      </c>
      <c r="G11780" s="18"/>
      <c r="H11780" s="16" t="s">
        <v>87</v>
      </c>
      <c r="I11780" s="16" t="s">
        <v>87</v>
      </c>
      <c r="J11780" s="19"/>
      <c r="L11780" s="16" t="str">
        <f>IFERROR(__xludf.DUMMYFUNCTION("""COMPUTED_VALUE"""),"")</f>
        <v/>
      </c>
      <c r="M11780" s="16" t="str">
        <f>IFERROR(__xludf.DUMMYFUNCTION("""COMPUTED_VALUE"""),"")</f>
        <v/>
      </c>
      <c r="U11780" s="16" t="s">
        <v>87</v>
      </c>
      <c r="V11780" s="16" t="str">
        <f>IFERROR(__xludf.DUMMYFUNCTION("""COMPUTED_VALUE"""),"")</f>
        <v/>
      </c>
      <c r="W11780" s="16" t="str">
        <f>IFERROR(__xludf.DUMMYFUNCTION("""COMPUTED_VALUE"""),"")</f>
        <v/>
      </c>
      <c r="X11780" s="16" t="str">
        <f>IFERROR(__xludf.DUMMYFUNCTION("""COMPUTED_VALUE"""),"")</f>
        <v/>
      </c>
      <c r="AC11780" s="16" t="str">
        <f>IFERROR(__xludf.DUMMYFUNCTION("""COMPUTED_VALUE"""),"")</f>
        <v/>
      </c>
    </row>
    <row r="11781">
      <c r="A11781" s="16" t="s">
        <v>87</v>
      </c>
      <c r="E11781" s="16" t="str">
        <f>IFERROR(__xludf.DUMMYFUNCTION("""COMPUTED_VALUE"""),"")</f>
        <v/>
      </c>
      <c r="G11781" s="18"/>
      <c r="H11781" s="16" t="s">
        <v>87</v>
      </c>
      <c r="I11781" s="16" t="s">
        <v>87</v>
      </c>
      <c r="J11781" s="19"/>
      <c r="L11781" s="16" t="str">
        <f>IFERROR(__xludf.DUMMYFUNCTION("""COMPUTED_VALUE"""),"")</f>
        <v/>
      </c>
      <c r="M11781" s="16" t="str">
        <f>IFERROR(__xludf.DUMMYFUNCTION("""COMPUTED_VALUE"""),"")</f>
        <v/>
      </c>
      <c r="U11781" s="16" t="s">
        <v>87</v>
      </c>
      <c r="V11781" s="16" t="str">
        <f>IFERROR(__xludf.DUMMYFUNCTION("""COMPUTED_VALUE"""),"")</f>
        <v/>
      </c>
      <c r="W11781" s="16" t="str">
        <f>IFERROR(__xludf.DUMMYFUNCTION("""COMPUTED_VALUE"""),"")</f>
        <v/>
      </c>
      <c r="X11781" s="16" t="str">
        <f>IFERROR(__xludf.DUMMYFUNCTION("""COMPUTED_VALUE"""),"")</f>
        <v/>
      </c>
      <c r="AC11781" s="16" t="str">
        <f>IFERROR(__xludf.DUMMYFUNCTION("""COMPUTED_VALUE"""),"")</f>
        <v/>
      </c>
    </row>
    <row r="11782">
      <c r="A11782" s="16" t="s">
        <v>87</v>
      </c>
      <c r="E11782" s="16" t="str">
        <f>IFERROR(__xludf.DUMMYFUNCTION("""COMPUTED_VALUE"""),"")</f>
        <v/>
      </c>
      <c r="G11782" s="18"/>
      <c r="H11782" s="16" t="s">
        <v>87</v>
      </c>
      <c r="I11782" s="16" t="s">
        <v>87</v>
      </c>
      <c r="J11782" s="19"/>
      <c r="L11782" s="16" t="str">
        <f>IFERROR(__xludf.DUMMYFUNCTION("""COMPUTED_VALUE"""),"")</f>
        <v/>
      </c>
      <c r="M11782" s="16" t="str">
        <f>IFERROR(__xludf.DUMMYFUNCTION("""COMPUTED_VALUE"""),"")</f>
        <v/>
      </c>
      <c r="U11782" s="16" t="s">
        <v>87</v>
      </c>
      <c r="V11782" s="16" t="str">
        <f>IFERROR(__xludf.DUMMYFUNCTION("""COMPUTED_VALUE"""),"")</f>
        <v/>
      </c>
      <c r="W11782" s="16" t="str">
        <f>IFERROR(__xludf.DUMMYFUNCTION("""COMPUTED_VALUE"""),"")</f>
        <v/>
      </c>
      <c r="X11782" s="16" t="str">
        <f>IFERROR(__xludf.DUMMYFUNCTION("""COMPUTED_VALUE"""),"")</f>
        <v/>
      </c>
      <c r="AC11782" s="16" t="str">
        <f>IFERROR(__xludf.DUMMYFUNCTION("""COMPUTED_VALUE"""),"")</f>
        <v/>
      </c>
    </row>
    <row r="11783">
      <c r="A11783" s="16" t="s">
        <v>87</v>
      </c>
      <c r="E11783" s="16" t="str">
        <f>IFERROR(__xludf.DUMMYFUNCTION("""COMPUTED_VALUE"""),"")</f>
        <v/>
      </c>
      <c r="G11783" s="18"/>
      <c r="H11783" s="16" t="s">
        <v>87</v>
      </c>
      <c r="I11783" s="16" t="s">
        <v>87</v>
      </c>
      <c r="J11783" s="19"/>
      <c r="L11783" s="16" t="str">
        <f>IFERROR(__xludf.DUMMYFUNCTION("""COMPUTED_VALUE"""),"")</f>
        <v/>
      </c>
      <c r="M11783" s="16" t="str">
        <f>IFERROR(__xludf.DUMMYFUNCTION("""COMPUTED_VALUE"""),"")</f>
        <v/>
      </c>
      <c r="U11783" s="16" t="s">
        <v>87</v>
      </c>
      <c r="V11783" s="16" t="str">
        <f>IFERROR(__xludf.DUMMYFUNCTION("""COMPUTED_VALUE"""),"")</f>
        <v/>
      </c>
      <c r="W11783" s="16" t="str">
        <f>IFERROR(__xludf.DUMMYFUNCTION("""COMPUTED_VALUE"""),"")</f>
        <v/>
      </c>
      <c r="X11783" s="16" t="str">
        <f>IFERROR(__xludf.DUMMYFUNCTION("""COMPUTED_VALUE"""),"")</f>
        <v/>
      </c>
      <c r="AC11783" s="16" t="str">
        <f>IFERROR(__xludf.DUMMYFUNCTION("""COMPUTED_VALUE"""),"")</f>
        <v/>
      </c>
    </row>
    <row r="11784">
      <c r="A11784" s="16" t="s">
        <v>87</v>
      </c>
      <c r="E11784" s="16" t="str">
        <f>IFERROR(__xludf.DUMMYFUNCTION("""COMPUTED_VALUE"""),"")</f>
        <v/>
      </c>
      <c r="G11784" s="18"/>
      <c r="H11784" s="16" t="s">
        <v>87</v>
      </c>
      <c r="I11784" s="16" t="s">
        <v>87</v>
      </c>
      <c r="J11784" s="19"/>
      <c r="L11784" s="16" t="str">
        <f>IFERROR(__xludf.DUMMYFUNCTION("""COMPUTED_VALUE"""),"")</f>
        <v/>
      </c>
      <c r="M11784" s="16" t="str">
        <f>IFERROR(__xludf.DUMMYFUNCTION("""COMPUTED_VALUE"""),"")</f>
        <v/>
      </c>
      <c r="U11784" s="16" t="s">
        <v>87</v>
      </c>
      <c r="V11784" s="16" t="str">
        <f>IFERROR(__xludf.DUMMYFUNCTION("""COMPUTED_VALUE"""),"")</f>
        <v/>
      </c>
      <c r="W11784" s="16" t="str">
        <f>IFERROR(__xludf.DUMMYFUNCTION("""COMPUTED_VALUE"""),"")</f>
        <v/>
      </c>
      <c r="X11784" s="16" t="str">
        <f>IFERROR(__xludf.DUMMYFUNCTION("""COMPUTED_VALUE"""),"")</f>
        <v/>
      </c>
      <c r="AC11784" s="16" t="str">
        <f>IFERROR(__xludf.DUMMYFUNCTION("""COMPUTED_VALUE"""),"")</f>
        <v/>
      </c>
    </row>
    <row r="11785">
      <c r="A11785" s="16" t="s">
        <v>87</v>
      </c>
      <c r="E11785" s="16" t="str">
        <f>IFERROR(__xludf.DUMMYFUNCTION("""COMPUTED_VALUE"""),"")</f>
        <v/>
      </c>
      <c r="G11785" s="18"/>
      <c r="H11785" s="16" t="s">
        <v>87</v>
      </c>
      <c r="I11785" s="16" t="s">
        <v>87</v>
      </c>
      <c r="J11785" s="19"/>
      <c r="L11785" s="16" t="str">
        <f>IFERROR(__xludf.DUMMYFUNCTION("""COMPUTED_VALUE"""),"")</f>
        <v/>
      </c>
      <c r="M11785" s="16" t="str">
        <f>IFERROR(__xludf.DUMMYFUNCTION("""COMPUTED_VALUE"""),"")</f>
        <v/>
      </c>
      <c r="U11785" s="16" t="s">
        <v>87</v>
      </c>
      <c r="V11785" s="16" t="str">
        <f>IFERROR(__xludf.DUMMYFUNCTION("""COMPUTED_VALUE"""),"")</f>
        <v/>
      </c>
      <c r="W11785" s="16" t="str">
        <f>IFERROR(__xludf.DUMMYFUNCTION("""COMPUTED_VALUE"""),"")</f>
        <v/>
      </c>
      <c r="X11785" s="16" t="str">
        <f>IFERROR(__xludf.DUMMYFUNCTION("""COMPUTED_VALUE"""),"")</f>
        <v/>
      </c>
      <c r="AC11785" s="16" t="str">
        <f>IFERROR(__xludf.DUMMYFUNCTION("""COMPUTED_VALUE"""),"")</f>
        <v/>
      </c>
    </row>
    <row r="11786">
      <c r="A11786" s="16" t="s">
        <v>87</v>
      </c>
      <c r="E11786" s="16" t="str">
        <f>IFERROR(__xludf.DUMMYFUNCTION("""COMPUTED_VALUE"""),"")</f>
        <v/>
      </c>
      <c r="G11786" s="18"/>
      <c r="H11786" s="16" t="s">
        <v>87</v>
      </c>
      <c r="I11786" s="16" t="s">
        <v>87</v>
      </c>
      <c r="J11786" s="19"/>
      <c r="L11786" s="16" t="str">
        <f>IFERROR(__xludf.DUMMYFUNCTION("""COMPUTED_VALUE"""),"")</f>
        <v/>
      </c>
      <c r="M11786" s="16" t="str">
        <f>IFERROR(__xludf.DUMMYFUNCTION("""COMPUTED_VALUE"""),"")</f>
        <v/>
      </c>
      <c r="U11786" s="16" t="s">
        <v>87</v>
      </c>
      <c r="V11786" s="16" t="str">
        <f>IFERROR(__xludf.DUMMYFUNCTION("""COMPUTED_VALUE"""),"")</f>
        <v/>
      </c>
      <c r="W11786" s="16" t="str">
        <f>IFERROR(__xludf.DUMMYFUNCTION("""COMPUTED_VALUE"""),"")</f>
        <v/>
      </c>
      <c r="X11786" s="16" t="str">
        <f>IFERROR(__xludf.DUMMYFUNCTION("""COMPUTED_VALUE"""),"")</f>
        <v/>
      </c>
      <c r="AC11786" s="16" t="str">
        <f>IFERROR(__xludf.DUMMYFUNCTION("""COMPUTED_VALUE"""),"")</f>
        <v/>
      </c>
    </row>
    <row r="11787">
      <c r="A11787" s="16" t="s">
        <v>87</v>
      </c>
      <c r="E11787" s="16" t="str">
        <f>IFERROR(__xludf.DUMMYFUNCTION("""COMPUTED_VALUE"""),"")</f>
        <v/>
      </c>
      <c r="G11787" s="18"/>
      <c r="H11787" s="16" t="s">
        <v>87</v>
      </c>
      <c r="I11787" s="16" t="s">
        <v>87</v>
      </c>
      <c r="J11787" s="19"/>
      <c r="L11787" s="16" t="str">
        <f>IFERROR(__xludf.DUMMYFUNCTION("""COMPUTED_VALUE"""),"")</f>
        <v/>
      </c>
      <c r="M11787" s="16" t="str">
        <f>IFERROR(__xludf.DUMMYFUNCTION("""COMPUTED_VALUE"""),"")</f>
        <v/>
      </c>
      <c r="U11787" s="16" t="s">
        <v>87</v>
      </c>
      <c r="V11787" s="16" t="str">
        <f>IFERROR(__xludf.DUMMYFUNCTION("""COMPUTED_VALUE"""),"")</f>
        <v/>
      </c>
      <c r="W11787" s="16" t="str">
        <f>IFERROR(__xludf.DUMMYFUNCTION("""COMPUTED_VALUE"""),"")</f>
        <v/>
      </c>
      <c r="X11787" s="16" t="str">
        <f>IFERROR(__xludf.DUMMYFUNCTION("""COMPUTED_VALUE"""),"")</f>
        <v/>
      </c>
      <c r="AC11787" s="16" t="str">
        <f>IFERROR(__xludf.DUMMYFUNCTION("""COMPUTED_VALUE"""),"")</f>
        <v/>
      </c>
    </row>
    <row r="11788">
      <c r="A11788" s="16" t="s">
        <v>87</v>
      </c>
      <c r="E11788" s="16" t="str">
        <f>IFERROR(__xludf.DUMMYFUNCTION("""COMPUTED_VALUE"""),"")</f>
        <v/>
      </c>
      <c r="G11788" s="18"/>
      <c r="H11788" s="16" t="s">
        <v>87</v>
      </c>
      <c r="I11788" s="16" t="s">
        <v>87</v>
      </c>
      <c r="J11788" s="19"/>
      <c r="L11788" s="16" t="str">
        <f>IFERROR(__xludf.DUMMYFUNCTION("""COMPUTED_VALUE"""),"")</f>
        <v/>
      </c>
      <c r="M11788" s="16" t="str">
        <f>IFERROR(__xludf.DUMMYFUNCTION("""COMPUTED_VALUE"""),"")</f>
        <v/>
      </c>
      <c r="U11788" s="16" t="s">
        <v>87</v>
      </c>
      <c r="V11788" s="16" t="str">
        <f>IFERROR(__xludf.DUMMYFUNCTION("""COMPUTED_VALUE"""),"")</f>
        <v/>
      </c>
      <c r="W11788" s="16" t="str">
        <f>IFERROR(__xludf.DUMMYFUNCTION("""COMPUTED_VALUE"""),"")</f>
        <v/>
      </c>
      <c r="X11788" s="16" t="str">
        <f>IFERROR(__xludf.DUMMYFUNCTION("""COMPUTED_VALUE"""),"")</f>
        <v/>
      </c>
      <c r="AC11788" s="16" t="str">
        <f>IFERROR(__xludf.DUMMYFUNCTION("""COMPUTED_VALUE"""),"")</f>
        <v/>
      </c>
    </row>
    <row r="11789">
      <c r="A11789" s="16" t="s">
        <v>87</v>
      </c>
      <c r="E11789" s="16" t="str">
        <f>IFERROR(__xludf.DUMMYFUNCTION("""COMPUTED_VALUE"""),"")</f>
        <v/>
      </c>
      <c r="G11789" s="18"/>
      <c r="H11789" s="16" t="s">
        <v>87</v>
      </c>
      <c r="I11789" s="16" t="s">
        <v>87</v>
      </c>
      <c r="J11789" s="19"/>
      <c r="L11789" s="16" t="str">
        <f>IFERROR(__xludf.DUMMYFUNCTION("""COMPUTED_VALUE"""),"")</f>
        <v/>
      </c>
      <c r="M11789" s="16" t="str">
        <f>IFERROR(__xludf.DUMMYFUNCTION("""COMPUTED_VALUE"""),"")</f>
        <v/>
      </c>
      <c r="U11789" s="16" t="s">
        <v>87</v>
      </c>
      <c r="V11789" s="16" t="str">
        <f>IFERROR(__xludf.DUMMYFUNCTION("""COMPUTED_VALUE"""),"")</f>
        <v/>
      </c>
      <c r="W11789" s="16" t="str">
        <f>IFERROR(__xludf.DUMMYFUNCTION("""COMPUTED_VALUE"""),"")</f>
        <v/>
      </c>
      <c r="X11789" s="16" t="str">
        <f>IFERROR(__xludf.DUMMYFUNCTION("""COMPUTED_VALUE"""),"")</f>
        <v/>
      </c>
      <c r="AC11789" s="16" t="str">
        <f>IFERROR(__xludf.DUMMYFUNCTION("""COMPUTED_VALUE"""),"")</f>
        <v/>
      </c>
    </row>
    <row r="11790">
      <c r="A11790" s="16" t="s">
        <v>87</v>
      </c>
      <c r="E11790" s="16" t="str">
        <f>IFERROR(__xludf.DUMMYFUNCTION("""COMPUTED_VALUE"""),"")</f>
        <v/>
      </c>
      <c r="G11790" s="18"/>
      <c r="H11790" s="16" t="s">
        <v>87</v>
      </c>
      <c r="I11790" s="16" t="s">
        <v>87</v>
      </c>
      <c r="J11790" s="19"/>
      <c r="L11790" s="16" t="str">
        <f>IFERROR(__xludf.DUMMYFUNCTION("""COMPUTED_VALUE"""),"")</f>
        <v/>
      </c>
      <c r="M11790" s="16" t="str">
        <f>IFERROR(__xludf.DUMMYFUNCTION("""COMPUTED_VALUE"""),"")</f>
        <v/>
      </c>
      <c r="U11790" s="16" t="s">
        <v>87</v>
      </c>
      <c r="V11790" s="16" t="str">
        <f>IFERROR(__xludf.DUMMYFUNCTION("""COMPUTED_VALUE"""),"")</f>
        <v/>
      </c>
      <c r="W11790" s="16" t="str">
        <f>IFERROR(__xludf.DUMMYFUNCTION("""COMPUTED_VALUE"""),"")</f>
        <v/>
      </c>
      <c r="X11790" s="16" t="str">
        <f>IFERROR(__xludf.DUMMYFUNCTION("""COMPUTED_VALUE"""),"")</f>
        <v/>
      </c>
      <c r="AC11790" s="16" t="str">
        <f>IFERROR(__xludf.DUMMYFUNCTION("""COMPUTED_VALUE"""),"")</f>
        <v/>
      </c>
    </row>
    <row r="11791">
      <c r="A11791" s="16" t="s">
        <v>87</v>
      </c>
      <c r="E11791" s="16" t="str">
        <f>IFERROR(__xludf.DUMMYFUNCTION("""COMPUTED_VALUE"""),"")</f>
        <v/>
      </c>
      <c r="G11791" s="18"/>
      <c r="H11791" s="16" t="s">
        <v>87</v>
      </c>
      <c r="I11791" s="16" t="s">
        <v>87</v>
      </c>
      <c r="J11791" s="19"/>
      <c r="L11791" s="16" t="str">
        <f>IFERROR(__xludf.DUMMYFUNCTION("""COMPUTED_VALUE"""),"")</f>
        <v/>
      </c>
      <c r="M11791" s="16" t="str">
        <f>IFERROR(__xludf.DUMMYFUNCTION("""COMPUTED_VALUE"""),"")</f>
        <v/>
      </c>
      <c r="U11791" s="16" t="s">
        <v>87</v>
      </c>
      <c r="V11791" s="16" t="str">
        <f>IFERROR(__xludf.DUMMYFUNCTION("""COMPUTED_VALUE"""),"")</f>
        <v/>
      </c>
      <c r="W11791" s="16" t="str">
        <f>IFERROR(__xludf.DUMMYFUNCTION("""COMPUTED_VALUE"""),"")</f>
        <v/>
      </c>
      <c r="X11791" s="16" t="str">
        <f>IFERROR(__xludf.DUMMYFUNCTION("""COMPUTED_VALUE"""),"")</f>
        <v/>
      </c>
      <c r="AC11791" s="16" t="str">
        <f>IFERROR(__xludf.DUMMYFUNCTION("""COMPUTED_VALUE"""),"")</f>
        <v/>
      </c>
    </row>
    <row r="11792">
      <c r="A11792" s="16" t="s">
        <v>87</v>
      </c>
      <c r="E11792" s="16" t="str">
        <f>IFERROR(__xludf.DUMMYFUNCTION("""COMPUTED_VALUE"""),"")</f>
        <v/>
      </c>
      <c r="G11792" s="18"/>
      <c r="H11792" s="16" t="s">
        <v>87</v>
      </c>
      <c r="I11792" s="16" t="s">
        <v>87</v>
      </c>
      <c r="J11792" s="19"/>
      <c r="L11792" s="16" t="str">
        <f>IFERROR(__xludf.DUMMYFUNCTION("""COMPUTED_VALUE"""),"")</f>
        <v/>
      </c>
      <c r="M11792" s="16" t="str">
        <f>IFERROR(__xludf.DUMMYFUNCTION("""COMPUTED_VALUE"""),"")</f>
        <v/>
      </c>
      <c r="U11792" s="16" t="s">
        <v>87</v>
      </c>
      <c r="V11792" s="16" t="str">
        <f>IFERROR(__xludf.DUMMYFUNCTION("""COMPUTED_VALUE"""),"")</f>
        <v/>
      </c>
      <c r="W11792" s="16" t="str">
        <f>IFERROR(__xludf.DUMMYFUNCTION("""COMPUTED_VALUE"""),"")</f>
        <v/>
      </c>
      <c r="X11792" s="16" t="str">
        <f>IFERROR(__xludf.DUMMYFUNCTION("""COMPUTED_VALUE"""),"")</f>
        <v/>
      </c>
      <c r="AC11792" s="16" t="str">
        <f>IFERROR(__xludf.DUMMYFUNCTION("""COMPUTED_VALUE"""),"")</f>
        <v/>
      </c>
    </row>
    <row r="11793">
      <c r="A11793" s="16" t="s">
        <v>87</v>
      </c>
      <c r="E11793" s="16" t="str">
        <f>IFERROR(__xludf.DUMMYFUNCTION("""COMPUTED_VALUE"""),"")</f>
        <v/>
      </c>
      <c r="G11793" s="18"/>
      <c r="H11793" s="16" t="s">
        <v>87</v>
      </c>
      <c r="I11793" s="16" t="s">
        <v>87</v>
      </c>
      <c r="J11793" s="19"/>
      <c r="L11793" s="16" t="str">
        <f>IFERROR(__xludf.DUMMYFUNCTION("""COMPUTED_VALUE"""),"")</f>
        <v/>
      </c>
      <c r="M11793" s="16" t="str">
        <f>IFERROR(__xludf.DUMMYFUNCTION("""COMPUTED_VALUE"""),"")</f>
        <v/>
      </c>
      <c r="U11793" s="16" t="s">
        <v>87</v>
      </c>
      <c r="V11793" s="16" t="str">
        <f>IFERROR(__xludf.DUMMYFUNCTION("""COMPUTED_VALUE"""),"")</f>
        <v/>
      </c>
      <c r="W11793" s="16" t="str">
        <f>IFERROR(__xludf.DUMMYFUNCTION("""COMPUTED_VALUE"""),"")</f>
        <v/>
      </c>
      <c r="X11793" s="16" t="str">
        <f>IFERROR(__xludf.DUMMYFUNCTION("""COMPUTED_VALUE"""),"")</f>
        <v/>
      </c>
      <c r="AC11793" s="16" t="str">
        <f>IFERROR(__xludf.DUMMYFUNCTION("""COMPUTED_VALUE"""),"")</f>
        <v/>
      </c>
    </row>
    <row r="11794">
      <c r="A11794" s="16" t="s">
        <v>87</v>
      </c>
      <c r="E11794" s="16" t="str">
        <f>IFERROR(__xludf.DUMMYFUNCTION("""COMPUTED_VALUE"""),"")</f>
        <v/>
      </c>
      <c r="G11794" s="18"/>
      <c r="H11794" s="16" t="s">
        <v>87</v>
      </c>
      <c r="I11794" s="16" t="s">
        <v>87</v>
      </c>
      <c r="J11794" s="19"/>
      <c r="L11794" s="16" t="str">
        <f>IFERROR(__xludf.DUMMYFUNCTION("""COMPUTED_VALUE"""),"")</f>
        <v/>
      </c>
      <c r="M11794" s="16" t="str">
        <f>IFERROR(__xludf.DUMMYFUNCTION("""COMPUTED_VALUE"""),"")</f>
        <v/>
      </c>
      <c r="U11794" s="16" t="s">
        <v>87</v>
      </c>
      <c r="V11794" s="16" t="str">
        <f>IFERROR(__xludf.DUMMYFUNCTION("""COMPUTED_VALUE"""),"")</f>
        <v/>
      </c>
      <c r="W11794" s="16" t="str">
        <f>IFERROR(__xludf.DUMMYFUNCTION("""COMPUTED_VALUE"""),"")</f>
        <v/>
      </c>
      <c r="X11794" s="16" t="str">
        <f>IFERROR(__xludf.DUMMYFUNCTION("""COMPUTED_VALUE"""),"")</f>
        <v/>
      </c>
      <c r="AC11794" s="16" t="str">
        <f>IFERROR(__xludf.DUMMYFUNCTION("""COMPUTED_VALUE"""),"")</f>
        <v/>
      </c>
    </row>
    <row r="11795">
      <c r="A11795" s="16" t="s">
        <v>87</v>
      </c>
      <c r="E11795" s="16" t="str">
        <f>IFERROR(__xludf.DUMMYFUNCTION("""COMPUTED_VALUE"""),"")</f>
        <v/>
      </c>
      <c r="G11795" s="18"/>
      <c r="H11795" s="16" t="s">
        <v>87</v>
      </c>
      <c r="I11795" s="16" t="s">
        <v>87</v>
      </c>
      <c r="J11795" s="19"/>
      <c r="L11795" s="16" t="str">
        <f>IFERROR(__xludf.DUMMYFUNCTION("""COMPUTED_VALUE"""),"")</f>
        <v/>
      </c>
      <c r="M11795" s="16" t="str">
        <f>IFERROR(__xludf.DUMMYFUNCTION("""COMPUTED_VALUE"""),"")</f>
        <v/>
      </c>
      <c r="U11795" s="16" t="s">
        <v>87</v>
      </c>
      <c r="V11795" s="16" t="str">
        <f>IFERROR(__xludf.DUMMYFUNCTION("""COMPUTED_VALUE"""),"")</f>
        <v/>
      </c>
      <c r="W11795" s="16" t="str">
        <f>IFERROR(__xludf.DUMMYFUNCTION("""COMPUTED_VALUE"""),"")</f>
        <v/>
      </c>
      <c r="X11795" s="16" t="str">
        <f>IFERROR(__xludf.DUMMYFUNCTION("""COMPUTED_VALUE"""),"")</f>
        <v/>
      </c>
      <c r="AC11795" s="16" t="str">
        <f>IFERROR(__xludf.DUMMYFUNCTION("""COMPUTED_VALUE"""),"")</f>
        <v/>
      </c>
    </row>
    <row r="11796">
      <c r="A11796" s="16" t="s">
        <v>87</v>
      </c>
      <c r="E11796" s="16" t="str">
        <f>IFERROR(__xludf.DUMMYFUNCTION("""COMPUTED_VALUE"""),"")</f>
        <v/>
      </c>
      <c r="G11796" s="18"/>
      <c r="H11796" s="16" t="s">
        <v>87</v>
      </c>
      <c r="I11796" s="16" t="s">
        <v>87</v>
      </c>
      <c r="J11796" s="19"/>
      <c r="L11796" s="16" t="str">
        <f>IFERROR(__xludf.DUMMYFUNCTION("""COMPUTED_VALUE"""),"")</f>
        <v/>
      </c>
      <c r="M11796" s="16" t="str">
        <f>IFERROR(__xludf.DUMMYFUNCTION("""COMPUTED_VALUE"""),"")</f>
        <v/>
      </c>
      <c r="U11796" s="16" t="s">
        <v>87</v>
      </c>
      <c r="V11796" s="16" t="str">
        <f>IFERROR(__xludf.DUMMYFUNCTION("""COMPUTED_VALUE"""),"")</f>
        <v/>
      </c>
      <c r="W11796" s="16" t="str">
        <f>IFERROR(__xludf.DUMMYFUNCTION("""COMPUTED_VALUE"""),"")</f>
        <v/>
      </c>
      <c r="X11796" s="16" t="str">
        <f>IFERROR(__xludf.DUMMYFUNCTION("""COMPUTED_VALUE"""),"")</f>
        <v/>
      </c>
      <c r="AC11796" s="16" t="str">
        <f>IFERROR(__xludf.DUMMYFUNCTION("""COMPUTED_VALUE"""),"")</f>
        <v/>
      </c>
    </row>
    <row r="11797">
      <c r="A11797" s="16" t="s">
        <v>87</v>
      </c>
      <c r="E11797" s="16" t="str">
        <f>IFERROR(__xludf.DUMMYFUNCTION("""COMPUTED_VALUE"""),"")</f>
        <v/>
      </c>
      <c r="G11797" s="18"/>
      <c r="H11797" s="16" t="s">
        <v>87</v>
      </c>
      <c r="I11797" s="16" t="s">
        <v>87</v>
      </c>
      <c r="J11797" s="19"/>
      <c r="L11797" s="16" t="str">
        <f>IFERROR(__xludf.DUMMYFUNCTION("""COMPUTED_VALUE"""),"")</f>
        <v/>
      </c>
      <c r="M11797" s="16" t="str">
        <f>IFERROR(__xludf.DUMMYFUNCTION("""COMPUTED_VALUE"""),"")</f>
        <v/>
      </c>
      <c r="U11797" s="16" t="s">
        <v>87</v>
      </c>
      <c r="V11797" s="16" t="str">
        <f>IFERROR(__xludf.DUMMYFUNCTION("""COMPUTED_VALUE"""),"")</f>
        <v/>
      </c>
      <c r="W11797" s="16" t="str">
        <f>IFERROR(__xludf.DUMMYFUNCTION("""COMPUTED_VALUE"""),"")</f>
        <v/>
      </c>
      <c r="X11797" s="16" t="str">
        <f>IFERROR(__xludf.DUMMYFUNCTION("""COMPUTED_VALUE"""),"")</f>
        <v/>
      </c>
      <c r="AC11797" s="16" t="str">
        <f>IFERROR(__xludf.DUMMYFUNCTION("""COMPUTED_VALUE"""),"")</f>
        <v/>
      </c>
    </row>
    <row r="11798">
      <c r="A11798" s="16" t="s">
        <v>87</v>
      </c>
      <c r="E11798" s="16" t="str">
        <f>IFERROR(__xludf.DUMMYFUNCTION("""COMPUTED_VALUE"""),"")</f>
        <v/>
      </c>
      <c r="G11798" s="18"/>
      <c r="H11798" s="16" t="s">
        <v>87</v>
      </c>
      <c r="I11798" s="16" t="s">
        <v>87</v>
      </c>
      <c r="J11798" s="19"/>
      <c r="L11798" s="16" t="str">
        <f>IFERROR(__xludf.DUMMYFUNCTION("""COMPUTED_VALUE"""),"")</f>
        <v/>
      </c>
      <c r="M11798" s="16" t="str">
        <f>IFERROR(__xludf.DUMMYFUNCTION("""COMPUTED_VALUE"""),"")</f>
        <v/>
      </c>
      <c r="U11798" s="16" t="s">
        <v>87</v>
      </c>
      <c r="V11798" s="16" t="str">
        <f>IFERROR(__xludf.DUMMYFUNCTION("""COMPUTED_VALUE"""),"")</f>
        <v/>
      </c>
      <c r="W11798" s="16" t="str">
        <f>IFERROR(__xludf.DUMMYFUNCTION("""COMPUTED_VALUE"""),"")</f>
        <v/>
      </c>
      <c r="X11798" s="16" t="str">
        <f>IFERROR(__xludf.DUMMYFUNCTION("""COMPUTED_VALUE"""),"")</f>
        <v/>
      </c>
      <c r="AC11798" s="16" t="str">
        <f>IFERROR(__xludf.DUMMYFUNCTION("""COMPUTED_VALUE"""),"")</f>
        <v/>
      </c>
    </row>
    <row r="11799">
      <c r="A11799" s="16" t="s">
        <v>87</v>
      </c>
      <c r="E11799" s="16" t="str">
        <f>IFERROR(__xludf.DUMMYFUNCTION("""COMPUTED_VALUE"""),"")</f>
        <v/>
      </c>
      <c r="G11799" s="18"/>
      <c r="H11799" s="16" t="s">
        <v>87</v>
      </c>
      <c r="I11799" s="16" t="s">
        <v>87</v>
      </c>
      <c r="J11799" s="19"/>
      <c r="L11799" s="16" t="str">
        <f>IFERROR(__xludf.DUMMYFUNCTION("""COMPUTED_VALUE"""),"")</f>
        <v/>
      </c>
      <c r="M11799" s="16" t="str">
        <f>IFERROR(__xludf.DUMMYFUNCTION("""COMPUTED_VALUE"""),"")</f>
        <v/>
      </c>
      <c r="U11799" s="16" t="s">
        <v>87</v>
      </c>
      <c r="V11799" s="16" t="str">
        <f>IFERROR(__xludf.DUMMYFUNCTION("""COMPUTED_VALUE"""),"")</f>
        <v/>
      </c>
      <c r="W11799" s="16" t="str">
        <f>IFERROR(__xludf.DUMMYFUNCTION("""COMPUTED_VALUE"""),"")</f>
        <v/>
      </c>
      <c r="X11799" s="16" t="str">
        <f>IFERROR(__xludf.DUMMYFUNCTION("""COMPUTED_VALUE"""),"")</f>
        <v/>
      </c>
      <c r="AC11799" s="16" t="str">
        <f>IFERROR(__xludf.DUMMYFUNCTION("""COMPUTED_VALUE"""),"")</f>
        <v/>
      </c>
    </row>
    <row r="11800">
      <c r="A11800" s="16" t="s">
        <v>87</v>
      </c>
      <c r="E11800" s="16" t="str">
        <f>IFERROR(__xludf.DUMMYFUNCTION("""COMPUTED_VALUE"""),"")</f>
        <v/>
      </c>
      <c r="G11800" s="18"/>
      <c r="H11800" s="16" t="s">
        <v>87</v>
      </c>
      <c r="I11800" s="16" t="s">
        <v>87</v>
      </c>
      <c r="J11800" s="19"/>
      <c r="L11800" s="16" t="str">
        <f>IFERROR(__xludf.DUMMYFUNCTION("""COMPUTED_VALUE"""),"")</f>
        <v/>
      </c>
      <c r="M11800" s="16" t="str">
        <f>IFERROR(__xludf.DUMMYFUNCTION("""COMPUTED_VALUE"""),"")</f>
        <v/>
      </c>
      <c r="U11800" s="16" t="s">
        <v>87</v>
      </c>
      <c r="V11800" s="16" t="str">
        <f>IFERROR(__xludf.DUMMYFUNCTION("""COMPUTED_VALUE"""),"")</f>
        <v/>
      </c>
      <c r="W11800" s="16" t="str">
        <f>IFERROR(__xludf.DUMMYFUNCTION("""COMPUTED_VALUE"""),"")</f>
        <v/>
      </c>
      <c r="X11800" s="16" t="str">
        <f>IFERROR(__xludf.DUMMYFUNCTION("""COMPUTED_VALUE"""),"")</f>
        <v/>
      </c>
      <c r="AC11800" s="16" t="str">
        <f>IFERROR(__xludf.DUMMYFUNCTION("""COMPUTED_VALUE"""),"")</f>
        <v/>
      </c>
    </row>
    <row r="11801">
      <c r="A11801" s="16" t="s">
        <v>87</v>
      </c>
      <c r="E11801" s="16" t="str">
        <f>IFERROR(__xludf.DUMMYFUNCTION("""COMPUTED_VALUE"""),"")</f>
        <v/>
      </c>
      <c r="G11801" s="18"/>
      <c r="H11801" s="16" t="s">
        <v>87</v>
      </c>
      <c r="I11801" s="16" t="s">
        <v>87</v>
      </c>
      <c r="J11801" s="19"/>
      <c r="L11801" s="16" t="str">
        <f>IFERROR(__xludf.DUMMYFUNCTION("""COMPUTED_VALUE"""),"")</f>
        <v/>
      </c>
      <c r="M11801" s="16" t="str">
        <f>IFERROR(__xludf.DUMMYFUNCTION("""COMPUTED_VALUE"""),"")</f>
        <v/>
      </c>
      <c r="U11801" s="16" t="s">
        <v>87</v>
      </c>
      <c r="V11801" s="16" t="str">
        <f>IFERROR(__xludf.DUMMYFUNCTION("""COMPUTED_VALUE"""),"")</f>
        <v/>
      </c>
      <c r="W11801" s="16" t="str">
        <f>IFERROR(__xludf.DUMMYFUNCTION("""COMPUTED_VALUE"""),"")</f>
        <v/>
      </c>
      <c r="X11801" s="16" t="str">
        <f>IFERROR(__xludf.DUMMYFUNCTION("""COMPUTED_VALUE"""),"")</f>
        <v/>
      </c>
      <c r="AC11801" s="16" t="str">
        <f>IFERROR(__xludf.DUMMYFUNCTION("""COMPUTED_VALUE"""),"")</f>
        <v/>
      </c>
    </row>
    <row r="11802">
      <c r="A11802" s="16" t="s">
        <v>87</v>
      </c>
      <c r="E11802" s="16" t="str">
        <f>IFERROR(__xludf.DUMMYFUNCTION("""COMPUTED_VALUE"""),"")</f>
        <v/>
      </c>
      <c r="G11802" s="18"/>
      <c r="H11802" s="16" t="s">
        <v>87</v>
      </c>
      <c r="I11802" s="16" t="s">
        <v>87</v>
      </c>
      <c r="J11802" s="19"/>
      <c r="L11802" s="16" t="str">
        <f>IFERROR(__xludf.DUMMYFUNCTION("""COMPUTED_VALUE"""),"")</f>
        <v/>
      </c>
      <c r="M11802" s="16" t="str">
        <f>IFERROR(__xludf.DUMMYFUNCTION("""COMPUTED_VALUE"""),"")</f>
        <v/>
      </c>
      <c r="U11802" s="16" t="s">
        <v>87</v>
      </c>
      <c r="V11802" s="16" t="str">
        <f>IFERROR(__xludf.DUMMYFUNCTION("""COMPUTED_VALUE"""),"")</f>
        <v/>
      </c>
      <c r="W11802" s="16" t="str">
        <f>IFERROR(__xludf.DUMMYFUNCTION("""COMPUTED_VALUE"""),"")</f>
        <v/>
      </c>
      <c r="X11802" s="16" t="str">
        <f>IFERROR(__xludf.DUMMYFUNCTION("""COMPUTED_VALUE"""),"")</f>
        <v/>
      </c>
      <c r="AC11802" s="16" t="str">
        <f>IFERROR(__xludf.DUMMYFUNCTION("""COMPUTED_VALUE"""),"")</f>
        <v/>
      </c>
    </row>
    <row r="11803">
      <c r="A11803" s="16" t="s">
        <v>87</v>
      </c>
      <c r="E11803" s="16" t="str">
        <f>IFERROR(__xludf.DUMMYFUNCTION("""COMPUTED_VALUE"""),"")</f>
        <v/>
      </c>
      <c r="G11803" s="18"/>
      <c r="H11803" s="16" t="s">
        <v>87</v>
      </c>
      <c r="I11803" s="16" t="s">
        <v>87</v>
      </c>
      <c r="J11803" s="19"/>
      <c r="L11803" s="16" t="str">
        <f>IFERROR(__xludf.DUMMYFUNCTION("""COMPUTED_VALUE"""),"")</f>
        <v/>
      </c>
      <c r="M11803" s="16" t="str">
        <f>IFERROR(__xludf.DUMMYFUNCTION("""COMPUTED_VALUE"""),"")</f>
        <v/>
      </c>
      <c r="U11803" s="16" t="s">
        <v>87</v>
      </c>
      <c r="V11803" s="16" t="str">
        <f>IFERROR(__xludf.DUMMYFUNCTION("""COMPUTED_VALUE"""),"")</f>
        <v/>
      </c>
      <c r="W11803" s="16" t="str">
        <f>IFERROR(__xludf.DUMMYFUNCTION("""COMPUTED_VALUE"""),"")</f>
        <v/>
      </c>
      <c r="X11803" s="16" t="str">
        <f>IFERROR(__xludf.DUMMYFUNCTION("""COMPUTED_VALUE"""),"")</f>
        <v/>
      </c>
      <c r="AC11803" s="16" t="str">
        <f>IFERROR(__xludf.DUMMYFUNCTION("""COMPUTED_VALUE"""),"")</f>
        <v/>
      </c>
    </row>
    <row r="11804">
      <c r="A11804" s="16" t="s">
        <v>87</v>
      </c>
      <c r="E11804" s="16" t="str">
        <f>IFERROR(__xludf.DUMMYFUNCTION("""COMPUTED_VALUE"""),"")</f>
        <v/>
      </c>
      <c r="G11804" s="18"/>
      <c r="H11804" s="16" t="s">
        <v>87</v>
      </c>
      <c r="I11804" s="16" t="s">
        <v>87</v>
      </c>
      <c r="J11804" s="19"/>
      <c r="L11804" s="16" t="str">
        <f>IFERROR(__xludf.DUMMYFUNCTION("""COMPUTED_VALUE"""),"")</f>
        <v/>
      </c>
      <c r="M11804" s="16" t="str">
        <f>IFERROR(__xludf.DUMMYFUNCTION("""COMPUTED_VALUE"""),"")</f>
        <v/>
      </c>
      <c r="U11804" s="16" t="s">
        <v>87</v>
      </c>
      <c r="V11804" s="16" t="str">
        <f>IFERROR(__xludf.DUMMYFUNCTION("""COMPUTED_VALUE"""),"")</f>
        <v/>
      </c>
      <c r="W11804" s="16" t="str">
        <f>IFERROR(__xludf.DUMMYFUNCTION("""COMPUTED_VALUE"""),"")</f>
        <v/>
      </c>
      <c r="X11804" s="16" t="str">
        <f>IFERROR(__xludf.DUMMYFUNCTION("""COMPUTED_VALUE"""),"")</f>
        <v/>
      </c>
      <c r="AC11804" s="16" t="str">
        <f>IFERROR(__xludf.DUMMYFUNCTION("""COMPUTED_VALUE"""),"")</f>
        <v/>
      </c>
    </row>
    <row r="11805">
      <c r="A11805" s="16" t="s">
        <v>87</v>
      </c>
      <c r="E11805" s="16" t="str">
        <f>IFERROR(__xludf.DUMMYFUNCTION("""COMPUTED_VALUE"""),"")</f>
        <v/>
      </c>
      <c r="G11805" s="18"/>
      <c r="H11805" s="16" t="s">
        <v>87</v>
      </c>
      <c r="I11805" s="16" t="s">
        <v>87</v>
      </c>
      <c r="J11805" s="19"/>
      <c r="L11805" s="16" t="str">
        <f>IFERROR(__xludf.DUMMYFUNCTION("""COMPUTED_VALUE"""),"")</f>
        <v/>
      </c>
      <c r="M11805" s="16" t="str">
        <f>IFERROR(__xludf.DUMMYFUNCTION("""COMPUTED_VALUE"""),"")</f>
        <v/>
      </c>
      <c r="U11805" s="16" t="s">
        <v>87</v>
      </c>
      <c r="V11805" s="16" t="str">
        <f>IFERROR(__xludf.DUMMYFUNCTION("""COMPUTED_VALUE"""),"")</f>
        <v/>
      </c>
      <c r="W11805" s="16" t="str">
        <f>IFERROR(__xludf.DUMMYFUNCTION("""COMPUTED_VALUE"""),"")</f>
        <v/>
      </c>
      <c r="X11805" s="16" t="str">
        <f>IFERROR(__xludf.DUMMYFUNCTION("""COMPUTED_VALUE"""),"")</f>
        <v/>
      </c>
      <c r="AC11805" s="16" t="str">
        <f>IFERROR(__xludf.DUMMYFUNCTION("""COMPUTED_VALUE"""),"")</f>
        <v/>
      </c>
    </row>
    <row r="11806">
      <c r="A11806" s="16" t="s">
        <v>87</v>
      </c>
      <c r="E11806" s="16" t="str">
        <f>IFERROR(__xludf.DUMMYFUNCTION("""COMPUTED_VALUE"""),"")</f>
        <v/>
      </c>
      <c r="G11806" s="18"/>
      <c r="H11806" s="16" t="s">
        <v>87</v>
      </c>
      <c r="I11806" s="16" t="s">
        <v>87</v>
      </c>
      <c r="J11806" s="19"/>
      <c r="L11806" s="16" t="str">
        <f>IFERROR(__xludf.DUMMYFUNCTION("""COMPUTED_VALUE"""),"")</f>
        <v/>
      </c>
      <c r="M11806" s="16" t="str">
        <f>IFERROR(__xludf.DUMMYFUNCTION("""COMPUTED_VALUE"""),"")</f>
        <v/>
      </c>
      <c r="U11806" s="16" t="s">
        <v>87</v>
      </c>
      <c r="V11806" s="16" t="str">
        <f>IFERROR(__xludf.DUMMYFUNCTION("""COMPUTED_VALUE"""),"")</f>
        <v/>
      </c>
      <c r="W11806" s="16" t="str">
        <f>IFERROR(__xludf.DUMMYFUNCTION("""COMPUTED_VALUE"""),"")</f>
        <v/>
      </c>
      <c r="X11806" s="16" t="str">
        <f>IFERROR(__xludf.DUMMYFUNCTION("""COMPUTED_VALUE"""),"")</f>
        <v/>
      </c>
      <c r="AC11806" s="16" t="str">
        <f>IFERROR(__xludf.DUMMYFUNCTION("""COMPUTED_VALUE"""),"")</f>
        <v/>
      </c>
    </row>
    <row r="11807">
      <c r="A11807" s="16" t="s">
        <v>87</v>
      </c>
      <c r="E11807" s="16" t="str">
        <f>IFERROR(__xludf.DUMMYFUNCTION("""COMPUTED_VALUE"""),"")</f>
        <v/>
      </c>
      <c r="G11807" s="18"/>
      <c r="H11807" s="16" t="s">
        <v>87</v>
      </c>
      <c r="I11807" s="16" t="s">
        <v>87</v>
      </c>
      <c r="J11807" s="19"/>
      <c r="L11807" s="16" t="str">
        <f>IFERROR(__xludf.DUMMYFUNCTION("""COMPUTED_VALUE"""),"")</f>
        <v/>
      </c>
      <c r="M11807" s="16" t="str">
        <f>IFERROR(__xludf.DUMMYFUNCTION("""COMPUTED_VALUE"""),"")</f>
        <v/>
      </c>
      <c r="U11807" s="16" t="s">
        <v>87</v>
      </c>
      <c r="V11807" s="16" t="str">
        <f>IFERROR(__xludf.DUMMYFUNCTION("""COMPUTED_VALUE"""),"")</f>
        <v/>
      </c>
      <c r="W11807" s="16" t="str">
        <f>IFERROR(__xludf.DUMMYFUNCTION("""COMPUTED_VALUE"""),"")</f>
        <v/>
      </c>
      <c r="X11807" s="16" t="str">
        <f>IFERROR(__xludf.DUMMYFUNCTION("""COMPUTED_VALUE"""),"")</f>
        <v/>
      </c>
      <c r="AC11807" s="16" t="str">
        <f>IFERROR(__xludf.DUMMYFUNCTION("""COMPUTED_VALUE"""),"")</f>
        <v/>
      </c>
    </row>
    <row r="11808">
      <c r="A11808" s="16" t="s">
        <v>87</v>
      </c>
      <c r="E11808" s="16" t="str">
        <f>IFERROR(__xludf.DUMMYFUNCTION("""COMPUTED_VALUE"""),"")</f>
        <v/>
      </c>
      <c r="G11808" s="18"/>
      <c r="H11808" s="16" t="s">
        <v>87</v>
      </c>
      <c r="I11808" s="16" t="s">
        <v>87</v>
      </c>
      <c r="J11808" s="19"/>
      <c r="L11808" s="16" t="str">
        <f>IFERROR(__xludf.DUMMYFUNCTION("""COMPUTED_VALUE"""),"")</f>
        <v/>
      </c>
      <c r="M11808" s="16" t="str">
        <f>IFERROR(__xludf.DUMMYFUNCTION("""COMPUTED_VALUE"""),"")</f>
        <v/>
      </c>
      <c r="U11808" s="16" t="s">
        <v>87</v>
      </c>
      <c r="V11808" s="16" t="str">
        <f>IFERROR(__xludf.DUMMYFUNCTION("""COMPUTED_VALUE"""),"")</f>
        <v/>
      </c>
      <c r="W11808" s="16" t="str">
        <f>IFERROR(__xludf.DUMMYFUNCTION("""COMPUTED_VALUE"""),"")</f>
        <v/>
      </c>
      <c r="X11808" s="16" t="str">
        <f>IFERROR(__xludf.DUMMYFUNCTION("""COMPUTED_VALUE"""),"")</f>
        <v/>
      </c>
      <c r="AC11808" s="16" t="str">
        <f>IFERROR(__xludf.DUMMYFUNCTION("""COMPUTED_VALUE"""),"")</f>
        <v/>
      </c>
    </row>
    <row r="11809">
      <c r="A11809" s="16" t="s">
        <v>87</v>
      </c>
      <c r="E11809" s="16" t="str">
        <f>IFERROR(__xludf.DUMMYFUNCTION("""COMPUTED_VALUE"""),"")</f>
        <v/>
      </c>
      <c r="G11809" s="18"/>
      <c r="H11809" s="16" t="s">
        <v>87</v>
      </c>
      <c r="I11809" s="16" t="s">
        <v>87</v>
      </c>
      <c r="J11809" s="19"/>
      <c r="L11809" s="16" t="str">
        <f>IFERROR(__xludf.DUMMYFUNCTION("""COMPUTED_VALUE"""),"")</f>
        <v/>
      </c>
      <c r="M11809" s="16" t="str">
        <f>IFERROR(__xludf.DUMMYFUNCTION("""COMPUTED_VALUE"""),"")</f>
        <v/>
      </c>
      <c r="U11809" s="16" t="s">
        <v>87</v>
      </c>
      <c r="V11809" s="16" t="str">
        <f>IFERROR(__xludf.DUMMYFUNCTION("""COMPUTED_VALUE"""),"")</f>
        <v/>
      </c>
      <c r="W11809" s="16" t="str">
        <f>IFERROR(__xludf.DUMMYFUNCTION("""COMPUTED_VALUE"""),"")</f>
        <v/>
      </c>
      <c r="X11809" s="16" t="str">
        <f>IFERROR(__xludf.DUMMYFUNCTION("""COMPUTED_VALUE"""),"")</f>
        <v/>
      </c>
      <c r="AC11809" s="16" t="str">
        <f>IFERROR(__xludf.DUMMYFUNCTION("""COMPUTED_VALUE"""),"")</f>
        <v/>
      </c>
    </row>
    <row r="11810">
      <c r="A11810" s="16" t="s">
        <v>87</v>
      </c>
      <c r="E11810" s="16" t="str">
        <f>IFERROR(__xludf.DUMMYFUNCTION("""COMPUTED_VALUE"""),"")</f>
        <v/>
      </c>
      <c r="G11810" s="18"/>
      <c r="H11810" s="16" t="s">
        <v>87</v>
      </c>
      <c r="I11810" s="16" t="s">
        <v>87</v>
      </c>
      <c r="J11810" s="19"/>
      <c r="L11810" s="16" t="str">
        <f>IFERROR(__xludf.DUMMYFUNCTION("""COMPUTED_VALUE"""),"")</f>
        <v/>
      </c>
      <c r="M11810" s="16" t="str">
        <f>IFERROR(__xludf.DUMMYFUNCTION("""COMPUTED_VALUE"""),"")</f>
        <v/>
      </c>
      <c r="U11810" s="16" t="s">
        <v>87</v>
      </c>
      <c r="V11810" s="16" t="str">
        <f>IFERROR(__xludf.DUMMYFUNCTION("""COMPUTED_VALUE"""),"")</f>
        <v/>
      </c>
      <c r="W11810" s="16" t="str">
        <f>IFERROR(__xludf.DUMMYFUNCTION("""COMPUTED_VALUE"""),"")</f>
        <v/>
      </c>
      <c r="X11810" s="16" t="str">
        <f>IFERROR(__xludf.DUMMYFUNCTION("""COMPUTED_VALUE"""),"")</f>
        <v/>
      </c>
      <c r="AC11810" s="16" t="str">
        <f>IFERROR(__xludf.DUMMYFUNCTION("""COMPUTED_VALUE"""),"")</f>
        <v/>
      </c>
    </row>
    <row r="11811">
      <c r="A11811" s="16" t="s">
        <v>87</v>
      </c>
      <c r="E11811" s="16" t="str">
        <f>IFERROR(__xludf.DUMMYFUNCTION("""COMPUTED_VALUE"""),"")</f>
        <v/>
      </c>
      <c r="G11811" s="18"/>
      <c r="H11811" s="16" t="s">
        <v>87</v>
      </c>
      <c r="I11811" s="16" t="s">
        <v>87</v>
      </c>
      <c r="J11811" s="19"/>
      <c r="L11811" s="16" t="str">
        <f>IFERROR(__xludf.DUMMYFUNCTION("""COMPUTED_VALUE"""),"")</f>
        <v/>
      </c>
      <c r="M11811" s="16" t="str">
        <f>IFERROR(__xludf.DUMMYFUNCTION("""COMPUTED_VALUE"""),"")</f>
        <v/>
      </c>
      <c r="U11811" s="16" t="s">
        <v>87</v>
      </c>
      <c r="V11811" s="16" t="str">
        <f>IFERROR(__xludf.DUMMYFUNCTION("""COMPUTED_VALUE"""),"")</f>
        <v/>
      </c>
      <c r="W11811" s="16" t="str">
        <f>IFERROR(__xludf.DUMMYFUNCTION("""COMPUTED_VALUE"""),"")</f>
        <v/>
      </c>
      <c r="X11811" s="16" t="str">
        <f>IFERROR(__xludf.DUMMYFUNCTION("""COMPUTED_VALUE"""),"")</f>
        <v/>
      </c>
      <c r="AC11811" s="16" t="str">
        <f>IFERROR(__xludf.DUMMYFUNCTION("""COMPUTED_VALUE"""),"")</f>
        <v/>
      </c>
    </row>
    <row r="11812">
      <c r="A11812" s="16" t="s">
        <v>87</v>
      </c>
      <c r="E11812" s="16" t="str">
        <f>IFERROR(__xludf.DUMMYFUNCTION("""COMPUTED_VALUE"""),"")</f>
        <v/>
      </c>
      <c r="G11812" s="18"/>
      <c r="H11812" s="16" t="s">
        <v>87</v>
      </c>
      <c r="I11812" s="16" t="s">
        <v>87</v>
      </c>
      <c r="J11812" s="19"/>
      <c r="L11812" s="16" t="str">
        <f>IFERROR(__xludf.DUMMYFUNCTION("""COMPUTED_VALUE"""),"")</f>
        <v/>
      </c>
      <c r="M11812" s="16" t="str">
        <f>IFERROR(__xludf.DUMMYFUNCTION("""COMPUTED_VALUE"""),"")</f>
        <v/>
      </c>
      <c r="U11812" s="16" t="s">
        <v>87</v>
      </c>
      <c r="V11812" s="16" t="str">
        <f>IFERROR(__xludf.DUMMYFUNCTION("""COMPUTED_VALUE"""),"")</f>
        <v/>
      </c>
      <c r="W11812" s="16" t="str">
        <f>IFERROR(__xludf.DUMMYFUNCTION("""COMPUTED_VALUE"""),"")</f>
        <v/>
      </c>
      <c r="X11812" s="16" t="str">
        <f>IFERROR(__xludf.DUMMYFUNCTION("""COMPUTED_VALUE"""),"")</f>
        <v/>
      </c>
      <c r="AC11812" s="16" t="str">
        <f>IFERROR(__xludf.DUMMYFUNCTION("""COMPUTED_VALUE"""),"")</f>
        <v/>
      </c>
    </row>
    <row r="11813">
      <c r="A11813" s="16" t="s">
        <v>87</v>
      </c>
      <c r="E11813" s="16" t="str">
        <f>IFERROR(__xludf.DUMMYFUNCTION("""COMPUTED_VALUE"""),"")</f>
        <v/>
      </c>
      <c r="G11813" s="18"/>
      <c r="H11813" s="16" t="s">
        <v>87</v>
      </c>
      <c r="I11813" s="16" t="s">
        <v>87</v>
      </c>
      <c r="J11813" s="19"/>
      <c r="L11813" s="16" t="str">
        <f>IFERROR(__xludf.DUMMYFUNCTION("""COMPUTED_VALUE"""),"")</f>
        <v/>
      </c>
      <c r="M11813" s="16" t="str">
        <f>IFERROR(__xludf.DUMMYFUNCTION("""COMPUTED_VALUE"""),"")</f>
        <v/>
      </c>
      <c r="U11813" s="16" t="s">
        <v>87</v>
      </c>
      <c r="V11813" s="16" t="str">
        <f>IFERROR(__xludf.DUMMYFUNCTION("""COMPUTED_VALUE"""),"")</f>
        <v/>
      </c>
      <c r="W11813" s="16" t="str">
        <f>IFERROR(__xludf.DUMMYFUNCTION("""COMPUTED_VALUE"""),"")</f>
        <v/>
      </c>
      <c r="X11813" s="16" t="str">
        <f>IFERROR(__xludf.DUMMYFUNCTION("""COMPUTED_VALUE"""),"")</f>
        <v/>
      </c>
      <c r="AC11813" s="16" t="str">
        <f>IFERROR(__xludf.DUMMYFUNCTION("""COMPUTED_VALUE"""),"")</f>
        <v/>
      </c>
    </row>
    <row r="11814">
      <c r="A11814" s="16" t="s">
        <v>87</v>
      </c>
      <c r="E11814" s="16" t="str">
        <f>IFERROR(__xludf.DUMMYFUNCTION("""COMPUTED_VALUE"""),"")</f>
        <v/>
      </c>
      <c r="G11814" s="18"/>
      <c r="H11814" s="16" t="s">
        <v>87</v>
      </c>
      <c r="I11814" s="16" t="s">
        <v>87</v>
      </c>
      <c r="J11814" s="19"/>
      <c r="L11814" s="16" t="str">
        <f>IFERROR(__xludf.DUMMYFUNCTION("""COMPUTED_VALUE"""),"")</f>
        <v/>
      </c>
      <c r="M11814" s="16" t="str">
        <f>IFERROR(__xludf.DUMMYFUNCTION("""COMPUTED_VALUE"""),"")</f>
        <v/>
      </c>
      <c r="U11814" s="16" t="s">
        <v>87</v>
      </c>
      <c r="V11814" s="16" t="str">
        <f>IFERROR(__xludf.DUMMYFUNCTION("""COMPUTED_VALUE"""),"")</f>
        <v/>
      </c>
      <c r="W11814" s="16" t="str">
        <f>IFERROR(__xludf.DUMMYFUNCTION("""COMPUTED_VALUE"""),"")</f>
        <v/>
      </c>
      <c r="X11814" s="16" t="str">
        <f>IFERROR(__xludf.DUMMYFUNCTION("""COMPUTED_VALUE"""),"")</f>
        <v/>
      </c>
      <c r="AC11814" s="16" t="str">
        <f>IFERROR(__xludf.DUMMYFUNCTION("""COMPUTED_VALUE"""),"")</f>
        <v/>
      </c>
    </row>
    <row r="11815">
      <c r="A11815" s="16" t="s">
        <v>87</v>
      </c>
      <c r="E11815" s="16" t="str">
        <f>IFERROR(__xludf.DUMMYFUNCTION("""COMPUTED_VALUE"""),"")</f>
        <v/>
      </c>
      <c r="G11815" s="18"/>
      <c r="H11815" s="16" t="s">
        <v>87</v>
      </c>
      <c r="I11815" s="16" t="s">
        <v>87</v>
      </c>
      <c r="J11815" s="19"/>
      <c r="L11815" s="16" t="str">
        <f>IFERROR(__xludf.DUMMYFUNCTION("""COMPUTED_VALUE"""),"")</f>
        <v/>
      </c>
      <c r="M11815" s="16" t="str">
        <f>IFERROR(__xludf.DUMMYFUNCTION("""COMPUTED_VALUE"""),"")</f>
        <v/>
      </c>
      <c r="U11815" s="16" t="s">
        <v>87</v>
      </c>
      <c r="V11815" s="16" t="str">
        <f>IFERROR(__xludf.DUMMYFUNCTION("""COMPUTED_VALUE"""),"")</f>
        <v/>
      </c>
      <c r="W11815" s="16" t="str">
        <f>IFERROR(__xludf.DUMMYFUNCTION("""COMPUTED_VALUE"""),"")</f>
        <v/>
      </c>
      <c r="X11815" s="16" t="str">
        <f>IFERROR(__xludf.DUMMYFUNCTION("""COMPUTED_VALUE"""),"")</f>
        <v/>
      </c>
      <c r="AC11815" s="16" t="str">
        <f>IFERROR(__xludf.DUMMYFUNCTION("""COMPUTED_VALUE"""),"")</f>
        <v/>
      </c>
    </row>
    <row r="11816">
      <c r="A11816" s="16" t="s">
        <v>87</v>
      </c>
      <c r="E11816" s="16" t="str">
        <f>IFERROR(__xludf.DUMMYFUNCTION("""COMPUTED_VALUE"""),"")</f>
        <v/>
      </c>
      <c r="G11816" s="18"/>
      <c r="H11816" s="16" t="s">
        <v>87</v>
      </c>
      <c r="I11816" s="16" t="s">
        <v>87</v>
      </c>
      <c r="J11816" s="19"/>
      <c r="L11816" s="16" t="str">
        <f>IFERROR(__xludf.DUMMYFUNCTION("""COMPUTED_VALUE"""),"")</f>
        <v/>
      </c>
      <c r="M11816" s="16" t="str">
        <f>IFERROR(__xludf.DUMMYFUNCTION("""COMPUTED_VALUE"""),"")</f>
        <v/>
      </c>
      <c r="U11816" s="16" t="s">
        <v>87</v>
      </c>
      <c r="V11816" s="16" t="str">
        <f>IFERROR(__xludf.DUMMYFUNCTION("""COMPUTED_VALUE"""),"")</f>
        <v/>
      </c>
      <c r="W11816" s="16" t="str">
        <f>IFERROR(__xludf.DUMMYFUNCTION("""COMPUTED_VALUE"""),"")</f>
        <v/>
      </c>
      <c r="X11816" s="16" t="str">
        <f>IFERROR(__xludf.DUMMYFUNCTION("""COMPUTED_VALUE"""),"")</f>
        <v/>
      </c>
      <c r="AC11816" s="16" t="str">
        <f>IFERROR(__xludf.DUMMYFUNCTION("""COMPUTED_VALUE"""),"")</f>
        <v/>
      </c>
    </row>
    <row r="11817">
      <c r="A11817" s="16" t="s">
        <v>87</v>
      </c>
      <c r="E11817" s="16" t="str">
        <f>IFERROR(__xludf.DUMMYFUNCTION("""COMPUTED_VALUE"""),"")</f>
        <v/>
      </c>
      <c r="G11817" s="18"/>
      <c r="H11817" s="16" t="s">
        <v>87</v>
      </c>
      <c r="I11817" s="16" t="s">
        <v>87</v>
      </c>
      <c r="J11817" s="19"/>
      <c r="L11817" s="16" t="str">
        <f>IFERROR(__xludf.DUMMYFUNCTION("""COMPUTED_VALUE"""),"")</f>
        <v/>
      </c>
      <c r="M11817" s="16" t="str">
        <f>IFERROR(__xludf.DUMMYFUNCTION("""COMPUTED_VALUE"""),"")</f>
        <v/>
      </c>
      <c r="U11817" s="16" t="s">
        <v>87</v>
      </c>
      <c r="V11817" s="16" t="str">
        <f>IFERROR(__xludf.DUMMYFUNCTION("""COMPUTED_VALUE"""),"")</f>
        <v/>
      </c>
      <c r="W11817" s="16" t="str">
        <f>IFERROR(__xludf.DUMMYFUNCTION("""COMPUTED_VALUE"""),"")</f>
        <v/>
      </c>
      <c r="X11817" s="16" t="str">
        <f>IFERROR(__xludf.DUMMYFUNCTION("""COMPUTED_VALUE"""),"")</f>
        <v/>
      </c>
      <c r="AC11817" s="16" t="str">
        <f>IFERROR(__xludf.DUMMYFUNCTION("""COMPUTED_VALUE"""),"")</f>
        <v/>
      </c>
    </row>
    <row r="11818">
      <c r="A11818" s="16" t="s">
        <v>87</v>
      </c>
      <c r="E11818" s="16" t="str">
        <f>IFERROR(__xludf.DUMMYFUNCTION("""COMPUTED_VALUE"""),"")</f>
        <v/>
      </c>
      <c r="G11818" s="18"/>
      <c r="H11818" s="16" t="s">
        <v>87</v>
      </c>
      <c r="I11818" s="16" t="s">
        <v>87</v>
      </c>
      <c r="J11818" s="19"/>
      <c r="L11818" s="16" t="str">
        <f>IFERROR(__xludf.DUMMYFUNCTION("""COMPUTED_VALUE"""),"")</f>
        <v/>
      </c>
      <c r="M11818" s="16" t="str">
        <f>IFERROR(__xludf.DUMMYFUNCTION("""COMPUTED_VALUE"""),"")</f>
        <v/>
      </c>
      <c r="U11818" s="16" t="s">
        <v>87</v>
      </c>
      <c r="V11818" s="16" t="str">
        <f>IFERROR(__xludf.DUMMYFUNCTION("""COMPUTED_VALUE"""),"")</f>
        <v/>
      </c>
      <c r="W11818" s="16" t="str">
        <f>IFERROR(__xludf.DUMMYFUNCTION("""COMPUTED_VALUE"""),"")</f>
        <v/>
      </c>
      <c r="X11818" s="16" t="str">
        <f>IFERROR(__xludf.DUMMYFUNCTION("""COMPUTED_VALUE"""),"")</f>
        <v/>
      </c>
      <c r="AC11818" s="16" t="str">
        <f>IFERROR(__xludf.DUMMYFUNCTION("""COMPUTED_VALUE"""),"")</f>
        <v/>
      </c>
    </row>
    <row r="11819">
      <c r="A11819" s="16" t="s">
        <v>87</v>
      </c>
      <c r="E11819" s="16" t="str">
        <f>IFERROR(__xludf.DUMMYFUNCTION("""COMPUTED_VALUE"""),"")</f>
        <v/>
      </c>
      <c r="G11819" s="18"/>
      <c r="H11819" s="16" t="s">
        <v>87</v>
      </c>
      <c r="I11819" s="16" t="s">
        <v>87</v>
      </c>
      <c r="J11819" s="19"/>
      <c r="L11819" s="16" t="str">
        <f>IFERROR(__xludf.DUMMYFUNCTION("""COMPUTED_VALUE"""),"")</f>
        <v/>
      </c>
      <c r="M11819" s="16" t="str">
        <f>IFERROR(__xludf.DUMMYFUNCTION("""COMPUTED_VALUE"""),"")</f>
        <v/>
      </c>
      <c r="U11819" s="16" t="s">
        <v>87</v>
      </c>
      <c r="V11819" s="16" t="str">
        <f>IFERROR(__xludf.DUMMYFUNCTION("""COMPUTED_VALUE"""),"")</f>
        <v/>
      </c>
      <c r="W11819" s="16" t="str">
        <f>IFERROR(__xludf.DUMMYFUNCTION("""COMPUTED_VALUE"""),"")</f>
        <v/>
      </c>
      <c r="X11819" s="16" t="str">
        <f>IFERROR(__xludf.DUMMYFUNCTION("""COMPUTED_VALUE"""),"")</f>
        <v/>
      </c>
      <c r="AC11819" s="16" t="str">
        <f>IFERROR(__xludf.DUMMYFUNCTION("""COMPUTED_VALUE"""),"")</f>
        <v/>
      </c>
    </row>
    <row r="11820">
      <c r="A11820" s="16" t="s">
        <v>87</v>
      </c>
      <c r="E11820" s="16" t="str">
        <f>IFERROR(__xludf.DUMMYFUNCTION("""COMPUTED_VALUE"""),"")</f>
        <v/>
      </c>
      <c r="G11820" s="18"/>
      <c r="H11820" s="16" t="s">
        <v>87</v>
      </c>
      <c r="I11820" s="16" t="s">
        <v>87</v>
      </c>
      <c r="J11820" s="19"/>
      <c r="L11820" s="16" t="str">
        <f>IFERROR(__xludf.DUMMYFUNCTION("""COMPUTED_VALUE"""),"")</f>
        <v/>
      </c>
      <c r="M11820" s="16" t="str">
        <f>IFERROR(__xludf.DUMMYFUNCTION("""COMPUTED_VALUE"""),"")</f>
        <v/>
      </c>
      <c r="U11820" s="16" t="s">
        <v>87</v>
      </c>
      <c r="V11820" s="16" t="str">
        <f>IFERROR(__xludf.DUMMYFUNCTION("""COMPUTED_VALUE"""),"")</f>
        <v/>
      </c>
      <c r="W11820" s="16" t="str">
        <f>IFERROR(__xludf.DUMMYFUNCTION("""COMPUTED_VALUE"""),"")</f>
        <v/>
      </c>
      <c r="X11820" s="16" t="str">
        <f>IFERROR(__xludf.DUMMYFUNCTION("""COMPUTED_VALUE"""),"")</f>
        <v/>
      </c>
      <c r="AC11820" s="16" t="str">
        <f>IFERROR(__xludf.DUMMYFUNCTION("""COMPUTED_VALUE"""),"")</f>
        <v/>
      </c>
    </row>
    <row r="11821">
      <c r="A11821" s="16" t="s">
        <v>87</v>
      </c>
      <c r="E11821" s="16" t="str">
        <f>IFERROR(__xludf.DUMMYFUNCTION("""COMPUTED_VALUE"""),"")</f>
        <v/>
      </c>
      <c r="G11821" s="18"/>
      <c r="H11821" s="16" t="s">
        <v>87</v>
      </c>
      <c r="I11821" s="16" t="s">
        <v>87</v>
      </c>
      <c r="J11821" s="19"/>
      <c r="L11821" s="16" t="str">
        <f>IFERROR(__xludf.DUMMYFUNCTION("""COMPUTED_VALUE"""),"")</f>
        <v/>
      </c>
      <c r="M11821" s="16" t="str">
        <f>IFERROR(__xludf.DUMMYFUNCTION("""COMPUTED_VALUE"""),"")</f>
        <v/>
      </c>
      <c r="U11821" s="16" t="s">
        <v>87</v>
      </c>
      <c r="V11821" s="16" t="str">
        <f>IFERROR(__xludf.DUMMYFUNCTION("""COMPUTED_VALUE"""),"")</f>
        <v/>
      </c>
      <c r="W11821" s="16" t="str">
        <f>IFERROR(__xludf.DUMMYFUNCTION("""COMPUTED_VALUE"""),"")</f>
        <v/>
      </c>
      <c r="X11821" s="16" t="str">
        <f>IFERROR(__xludf.DUMMYFUNCTION("""COMPUTED_VALUE"""),"")</f>
        <v/>
      </c>
      <c r="AC11821" s="16" t="str">
        <f>IFERROR(__xludf.DUMMYFUNCTION("""COMPUTED_VALUE"""),"")</f>
        <v/>
      </c>
    </row>
    <row r="11822">
      <c r="A11822" s="16" t="s">
        <v>87</v>
      </c>
      <c r="E11822" s="16" t="str">
        <f>IFERROR(__xludf.DUMMYFUNCTION("""COMPUTED_VALUE"""),"")</f>
        <v/>
      </c>
      <c r="G11822" s="18"/>
      <c r="H11822" s="16" t="s">
        <v>87</v>
      </c>
      <c r="I11822" s="16" t="s">
        <v>87</v>
      </c>
      <c r="J11822" s="19"/>
      <c r="L11822" s="16" t="str">
        <f>IFERROR(__xludf.DUMMYFUNCTION("""COMPUTED_VALUE"""),"")</f>
        <v/>
      </c>
      <c r="M11822" s="16" t="str">
        <f>IFERROR(__xludf.DUMMYFUNCTION("""COMPUTED_VALUE"""),"")</f>
        <v/>
      </c>
      <c r="U11822" s="16" t="s">
        <v>87</v>
      </c>
      <c r="V11822" s="16" t="str">
        <f>IFERROR(__xludf.DUMMYFUNCTION("""COMPUTED_VALUE"""),"")</f>
        <v/>
      </c>
      <c r="W11822" s="16" t="str">
        <f>IFERROR(__xludf.DUMMYFUNCTION("""COMPUTED_VALUE"""),"")</f>
        <v/>
      </c>
      <c r="X11822" s="16" t="str">
        <f>IFERROR(__xludf.DUMMYFUNCTION("""COMPUTED_VALUE"""),"")</f>
        <v/>
      </c>
      <c r="AC11822" s="16" t="str">
        <f>IFERROR(__xludf.DUMMYFUNCTION("""COMPUTED_VALUE"""),"")</f>
        <v/>
      </c>
    </row>
    <row r="11823">
      <c r="A11823" s="16" t="s">
        <v>87</v>
      </c>
      <c r="E11823" s="16" t="str">
        <f>IFERROR(__xludf.DUMMYFUNCTION("""COMPUTED_VALUE"""),"")</f>
        <v/>
      </c>
      <c r="G11823" s="18"/>
      <c r="H11823" s="16" t="s">
        <v>87</v>
      </c>
      <c r="I11823" s="16" t="s">
        <v>87</v>
      </c>
      <c r="J11823" s="19"/>
      <c r="L11823" s="16" t="str">
        <f>IFERROR(__xludf.DUMMYFUNCTION("""COMPUTED_VALUE"""),"")</f>
        <v/>
      </c>
      <c r="M11823" s="16" t="str">
        <f>IFERROR(__xludf.DUMMYFUNCTION("""COMPUTED_VALUE"""),"")</f>
        <v/>
      </c>
      <c r="U11823" s="16" t="s">
        <v>87</v>
      </c>
      <c r="V11823" s="16" t="str">
        <f>IFERROR(__xludf.DUMMYFUNCTION("""COMPUTED_VALUE"""),"")</f>
        <v/>
      </c>
      <c r="W11823" s="16" t="str">
        <f>IFERROR(__xludf.DUMMYFUNCTION("""COMPUTED_VALUE"""),"")</f>
        <v/>
      </c>
      <c r="X11823" s="16" t="str">
        <f>IFERROR(__xludf.DUMMYFUNCTION("""COMPUTED_VALUE"""),"")</f>
        <v/>
      </c>
      <c r="AC11823" s="16" t="str">
        <f>IFERROR(__xludf.DUMMYFUNCTION("""COMPUTED_VALUE"""),"")</f>
        <v/>
      </c>
    </row>
    <row r="11824">
      <c r="A11824" s="16" t="s">
        <v>87</v>
      </c>
      <c r="E11824" s="16" t="str">
        <f>IFERROR(__xludf.DUMMYFUNCTION("""COMPUTED_VALUE"""),"")</f>
        <v/>
      </c>
      <c r="G11824" s="18"/>
      <c r="H11824" s="16" t="s">
        <v>87</v>
      </c>
      <c r="I11824" s="16" t="s">
        <v>87</v>
      </c>
      <c r="J11824" s="19"/>
      <c r="L11824" s="16" t="str">
        <f>IFERROR(__xludf.DUMMYFUNCTION("""COMPUTED_VALUE"""),"")</f>
        <v/>
      </c>
      <c r="M11824" s="16" t="str">
        <f>IFERROR(__xludf.DUMMYFUNCTION("""COMPUTED_VALUE"""),"")</f>
        <v/>
      </c>
      <c r="U11824" s="16" t="s">
        <v>87</v>
      </c>
      <c r="V11824" s="16" t="str">
        <f>IFERROR(__xludf.DUMMYFUNCTION("""COMPUTED_VALUE"""),"")</f>
        <v/>
      </c>
      <c r="W11824" s="16" t="str">
        <f>IFERROR(__xludf.DUMMYFUNCTION("""COMPUTED_VALUE"""),"")</f>
        <v/>
      </c>
      <c r="X11824" s="16" t="str">
        <f>IFERROR(__xludf.DUMMYFUNCTION("""COMPUTED_VALUE"""),"")</f>
        <v/>
      </c>
      <c r="AC11824" s="16" t="str">
        <f>IFERROR(__xludf.DUMMYFUNCTION("""COMPUTED_VALUE"""),"")</f>
        <v/>
      </c>
    </row>
    <row r="11825">
      <c r="A11825" s="16" t="s">
        <v>87</v>
      </c>
      <c r="E11825" s="16" t="str">
        <f>IFERROR(__xludf.DUMMYFUNCTION("""COMPUTED_VALUE"""),"")</f>
        <v/>
      </c>
      <c r="G11825" s="18"/>
      <c r="H11825" s="16" t="s">
        <v>87</v>
      </c>
      <c r="I11825" s="16" t="s">
        <v>87</v>
      </c>
      <c r="J11825" s="19"/>
      <c r="L11825" s="16" t="str">
        <f>IFERROR(__xludf.DUMMYFUNCTION("""COMPUTED_VALUE"""),"")</f>
        <v/>
      </c>
      <c r="M11825" s="16" t="str">
        <f>IFERROR(__xludf.DUMMYFUNCTION("""COMPUTED_VALUE"""),"")</f>
        <v/>
      </c>
      <c r="U11825" s="16" t="s">
        <v>87</v>
      </c>
      <c r="V11825" s="16" t="str">
        <f>IFERROR(__xludf.DUMMYFUNCTION("""COMPUTED_VALUE"""),"")</f>
        <v/>
      </c>
      <c r="W11825" s="16" t="str">
        <f>IFERROR(__xludf.DUMMYFUNCTION("""COMPUTED_VALUE"""),"")</f>
        <v/>
      </c>
      <c r="X11825" s="16" t="str">
        <f>IFERROR(__xludf.DUMMYFUNCTION("""COMPUTED_VALUE"""),"")</f>
        <v/>
      </c>
      <c r="AC11825" s="16" t="str">
        <f>IFERROR(__xludf.DUMMYFUNCTION("""COMPUTED_VALUE"""),"")</f>
        <v/>
      </c>
    </row>
    <row r="11826">
      <c r="A11826" s="16" t="s">
        <v>87</v>
      </c>
      <c r="E11826" s="16" t="str">
        <f>IFERROR(__xludf.DUMMYFUNCTION("""COMPUTED_VALUE"""),"")</f>
        <v/>
      </c>
      <c r="G11826" s="18"/>
      <c r="H11826" s="16" t="s">
        <v>87</v>
      </c>
      <c r="I11826" s="16" t="s">
        <v>87</v>
      </c>
      <c r="J11826" s="19"/>
      <c r="L11826" s="16" t="str">
        <f>IFERROR(__xludf.DUMMYFUNCTION("""COMPUTED_VALUE"""),"")</f>
        <v/>
      </c>
      <c r="M11826" s="16" t="str">
        <f>IFERROR(__xludf.DUMMYFUNCTION("""COMPUTED_VALUE"""),"")</f>
        <v/>
      </c>
      <c r="U11826" s="16" t="s">
        <v>87</v>
      </c>
      <c r="V11826" s="16" t="str">
        <f>IFERROR(__xludf.DUMMYFUNCTION("""COMPUTED_VALUE"""),"")</f>
        <v/>
      </c>
      <c r="W11826" s="16" t="str">
        <f>IFERROR(__xludf.DUMMYFUNCTION("""COMPUTED_VALUE"""),"")</f>
        <v/>
      </c>
      <c r="X11826" s="16" t="str">
        <f>IFERROR(__xludf.DUMMYFUNCTION("""COMPUTED_VALUE"""),"")</f>
        <v/>
      </c>
      <c r="AC11826" s="16" t="str">
        <f>IFERROR(__xludf.DUMMYFUNCTION("""COMPUTED_VALUE"""),"")</f>
        <v/>
      </c>
    </row>
    <row r="11827">
      <c r="A11827" s="16" t="s">
        <v>87</v>
      </c>
      <c r="E11827" s="16" t="str">
        <f>IFERROR(__xludf.DUMMYFUNCTION("""COMPUTED_VALUE"""),"")</f>
        <v/>
      </c>
      <c r="G11827" s="18"/>
      <c r="H11827" s="16" t="s">
        <v>87</v>
      </c>
      <c r="I11827" s="16" t="s">
        <v>87</v>
      </c>
      <c r="J11827" s="19"/>
      <c r="L11827" s="16" t="str">
        <f>IFERROR(__xludf.DUMMYFUNCTION("""COMPUTED_VALUE"""),"")</f>
        <v/>
      </c>
      <c r="M11827" s="16" t="str">
        <f>IFERROR(__xludf.DUMMYFUNCTION("""COMPUTED_VALUE"""),"")</f>
        <v/>
      </c>
      <c r="U11827" s="16" t="s">
        <v>87</v>
      </c>
      <c r="V11827" s="16" t="str">
        <f>IFERROR(__xludf.DUMMYFUNCTION("""COMPUTED_VALUE"""),"")</f>
        <v/>
      </c>
      <c r="W11827" s="16" t="str">
        <f>IFERROR(__xludf.DUMMYFUNCTION("""COMPUTED_VALUE"""),"")</f>
        <v/>
      </c>
      <c r="X11827" s="16" t="str">
        <f>IFERROR(__xludf.DUMMYFUNCTION("""COMPUTED_VALUE"""),"")</f>
        <v/>
      </c>
      <c r="AC11827" s="16" t="str">
        <f>IFERROR(__xludf.DUMMYFUNCTION("""COMPUTED_VALUE"""),"")</f>
        <v/>
      </c>
    </row>
    <row r="11828">
      <c r="A11828" s="16" t="s">
        <v>87</v>
      </c>
      <c r="E11828" s="16" t="str">
        <f>IFERROR(__xludf.DUMMYFUNCTION("""COMPUTED_VALUE"""),"")</f>
        <v/>
      </c>
      <c r="G11828" s="18"/>
      <c r="H11828" s="16" t="s">
        <v>87</v>
      </c>
      <c r="I11828" s="16" t="s">
        <v>87</v>
      </c>
      <c r="J11828" s="19"/>
      <c r="L11828" s="16" t="str">
        <f>IFERROR(__xludf.DUMMYFUNCTION("""COMPUTED_VALUE"""),"")</f>
        <v/>
      </c>
      <c r="M11828" s="16" t="str">
        <f>IFERROR(__xludf.DUMMYFUNCTION("""COMPUTED_VALUE"""),"")</f>
        <v/>
      </c>
      <c r="U11828" s="16" t="s">
        <v>87</v>
      </c>
      <c r="V11828" s="16" t="str">
        <f>IFERROR(__xludf.DUMMYFUNCTION("""COMPUTED_VALUE"""),"")</f>
        <v/>
      </c>
      <c r="W11828" s="16" t="str">
        <f>IFERROR(__xludf.DUMMYFUNCTION("""COMPUTED_VALUE"""),"")</f>
        <v/>
      </c>
      <c r="X11828" s="16" t="str">
        <f>IFERROR(__xludf.DUMMYFUNCTION("""COMPUTED_VALUE"""),"")</f>
        <v/>
      </c>
      <c r="AC11828" s="16" t="str">
        <f>IFERROR(__xludf.DUMMYFUNCTION("""COMPUTED_VALUE"""),"")</f>
        <v/>
      </c>
    </row>
    <row r="11829">
      <c r="A11829" s="16" t="s">
        <v>87</v>
      </c>
      <c r="E11829" s="16" t="str">
        <f>IFERROR(__xludf.DUMMYFUNCTION("""COMPUTED_VALUE"""),"")</f>
        <v/>
      </c>
      <c r="G11829" s="18"/>
      <c r="H11829" s="16" t="s">
        <v>87</v>
      </c>
      <c r="I11829" s="16" t="s">
        <v>87</v>
      </c>
      <c r="J11829" s="19"/>
      <c r="L11829" s="16" t="str">
        <f>IFERROR(__xludf.DUMMYFUNCTION("""COMPUTED_VALUE"""),"")</f>
        <v/>
      </c>
      <c r="M11829" s="16" t="str">
        <f>IFERROR(__xludf.DUMMYFUNCTION("""COMPUTED_VALUE"""),"")</f>
        <v/>
      </c>
      <c r="U11829" s="16" t="s">
        <v>87</v>
      </c>
      <c r="V11829" s="16" t="str">
        <f>IFERROR(__xludf.DUMMYFUNCTION("""COMPUTED_VALUE"""),"")</f>
        <v/>
      </c>
      <c r="W11829" s="16" t="str">
        <f>IFERROR(__xludf.DUMMYFUNCTION("""COMPUTED_VALUE"""),"")</f>
        <v/>
      </c>
      <c r="X11829" s="16" t="str">
        <f>IFERROR(__xludf.DUMMYFUNCTION("""COMPUTED_VALUE"""),"")</f>
        <v/>
      </c>
      <c r="AC11829" s="16" t="str">
        <f>IFERROR(__xludf.DUMMYFUNCTION("""COMPUTED_VALUE"""),"")</f>
        <v/>
      </c>
    </row>
    <row r="11830">
      <c r="A11830" s="16" t="s">
        <v>87</v>
      </c>
      <c r="E11830" s="16" t="str">
        <f>IFERROR(__xludf.DUMMYFUNCTION("""COMPUTED_VALUE"""),"")</f>
        <v/>
      </c>
      <c r="G11830" s="18"/>
      <c r="H11830" s="16" t="s">
        <v>87</v>
      </c>
      <c r="I11830" s="16" t="s">
        <v>87</v>
      </c>
      <c r="J11830" s="19"/>
      <c r="L11830" s="16" t="str">
        <f>IFERROR(__xludf.DUMMYFUNCTION("""COMPUTED_VALUE"""),"")</f>
        <v/>
      </c>
      <c r="M11830" s="16" t="str">
        <f>IFERROR(__xludf.DUMMYFUNCTION("""COMPUTED_VALUE"""),"")</f>
        <v/>
      </c>
      <c r="U11830" s="16" t="s">
        <v>87</v>
      </c>
      <c r="V11830" s="16" t="str">
        <f>IFERROR(__xludf.DUMMYFUNCTION("""COMPUTED_VALUE"""),"")</f>
        <v/>
      </c>
      <c r="W11830" s="16" t="str">
        <f>IFERROR(__xludf.DUMMYFUNCTION("""COMPUTED_VALUE"""),"")</f>
        <v/>
      </c>
      <c r="X11830" s="16" t="str">
        <f>IFERROR(__xludf.DUMMYFUNCTION("""COMPUTED_VALUE"""),"")</f>
        <v/>
      </c>
      <c r="AC11830" s="16" t="str">
        <f>IFERROR(__xludf.DUMMYFUNCTION("""COMPUTED_VALUE"""),"")</f>
        <v/>
      </c>
    </row>
    <row r="11831">
      <c r="A11831" s="16" t="s">
        <v>87</v>
      </c>
      <c r="E11831" s="16" t="str">
        <f>IFERROR(__xludf.DUMMYFUNCTION("""COMPUTED_VALUE"""),"")</f>
        <v/>
      </c>
      <c r="G11831" s="18"/>
      <c r="H11831" s="16" t="s">
        <v>87</v>
      </c>
      <c r="I11831" s="16" t="s">
        <v>87</v>
      </c>
      <c r="J11831" s="19"/>
      <c r="L11831" s="16" t="str">
        <f>IFERROR(__xludf.DUMMYFUNCTION("""COMPUTED_VALUE"""),"")</f>
        <v/>
      </c>
      <c r="M11831" s="16" t="str">
        <f>IFERROR(__xludf.DUMMYFUNCTION("""COMPUTED_VALUE"""),"")</f>
        <v/>
      </c>
      <c r="U11831" s="16" t="s">
        <v>87</v>
      </c>
      <c r="V11831" s="16" t="str">
        <f>IFERROR(__xludf.DUMMYFUNCTION("""COMPUTED_VALUE"""),"")</f>
        <v/>
      </c>
      <c r="W11831" s="16" t="str">
        <f>IFERROR(__xludf.DUMMYFUNCTION("""COMPUTED_VALUE"""),"")</f>
        <v/>
      </c>
      <c r="X11831" s="16" t="str">
        <f>IFERROR(__xludf.DUMMYFUNCTION("""COMPUTED_VALUE"""),"")</f>
        <v/>
      </c>
      <c r="AC11831" s="16" t="str">
        <f>IFERROR(__xludf.DUMMYFUNCTION("""COMPUTED_VALUE"""),"")</f>
        <v/>
      </c>
    </row>
    <row r="11832">
      <c r="A11832" s="16" t="s">
        <v>87</v>
      </c>
      <c r="E11832" s="16" t="str">
        <f>IFERROR(__xludf.DUMMYFUNCTION("""COMPUTED_VALUE"""),"")</f>
        <v/>
      </c>
      <c r="G11832" s="18"/>
      <c r="H11832" s="16" t="s">
        <v>87</v>
      </c>
      <c r="I11832" s="16" t="s">
        <v>87</v>
      </c>
      <c r="J11832" s="19"/>
      <c r="L11832" s="16" t="str">
        <f>IFERROR(__xludf.DUMMYFUNCTION("""COMPUTED_VALUE"""),"")</f>
        <v/>
      </c>
      <c r="M11832" s="16" t="str">
        <f>IFERROR(__xludf.DUMMYFUNCTION("""COMPUTED_VALUE"""),"")</f>
        <v/>
      </c>
      <c r="U11832" s="16" t="s">
        <v>87</v>
      </c>
      <c r="V11832" s="16" t="str">
        <f>IFERROR(__xludf.DUMMYFUNCTION("""COMPUTED_VALUE"""),"")</f>
        <v/>
      </c>
      <c r="W11832" s="16" t="str">
        <f>IFERROR(__xludf.DUMMYFUNCTION("""COMPUTED_VALUE"""),"")</f>
        <v/>
      </c>
      <c r="X11832" s="16" t="str">
        <f>IFERROR(__xludf.DUMMYFUNCTION("""COMPUTED_VALUE"""),"")</f>
        <v/>
      </c>
      <c r="AC11832" s="16" t="str">
        <f>IFERROR(__xludf.DUMMYFUNCTION("""COMPUTED_VALUE"""),"")</f>
        <v/>
      </c>
    </row>
    <row r="11833">
      <c r="A11833" s="16" t="s">
        <v>87</v>
      </c>
      <c r="E11833" s="16" t="str">
        <f>IFERROR(__xludf.DUMMYFUNCTION("""COMPUTED_VALUE"""),"")</f>
        <v/>
      </c>
      <c r="G11833" s="18"/>
      <c r="H11833" s="16" t="s">
        <v>87</v>
      </c>
      <c r="I11833" s="16" t="s">
        <v>87</v>
      </c>
      <c r="J11833" s="19"/>
      <c r="L11833" s="16" t="str">
        <f>IFERROR(__xludf.DUMMYFUNCTION("""COMPUTED_VALUE"""),"")</f>
        <v/>
      </c>
      <c r="M11833" s="16" t="str">
        <f>IFERROR(__xludf.DUMMYFUNCTION("""COMPUTED_VALUE"""),"")</f>
        <v/>
      </c>
      <c r="U11833" s="16" t="s">
        <v>87</v>
      </c>
      <c r="V11833" s="16" t="str">
        <f>IFERROR(__xludf.DUMMYFUNCTION("""COMPUTED_VALUE"""),"")</f>
        <v/>
      </c>
      <c r="W11833" s="16" t="str">
        <f>IFERROR(__xludf.DUMMYFUNCTION("""COMPUTED_VALUE"""),"")</f>
        <v/>
      </c>
      <c r="X11833" s="16" t="str">
        <f>IFERROR(__xludf.DUMMYFUNCTION("""COMPUTED_VALUE"""),"")</f>
        <v/>
      </c>
      <c r="AC11833" s="16" t="str">
        <f>IFERROR(__xludf.DUMMYFUNCTION("""COMPUTED_VALUE"""),"")</f>
        <v/>
      </c>
    </row>
    <row r="11834">
      <c r="A11834" s="16" t="s">
        <v>87</v>
      </c>
      <c r="E11834" s="16" t="str">
        <f>IFERROR(__xludf.DUMMYFUNCTION("""COMPUTED_VALUE"""),"")</f>
        <v/>
      </c>
      <c r="G11834" s="18"/>
      <c r="H11834" s="16" t="s">
        <v>87</v>
      </c>
      <c r="I11834" s="16" t="s">
        <v>87</v>
      </c>
      <c r="J11834" s="19"/>
      <c r="L11834" s="16" t="str">
        <f>IFERROR(__xludf.DUMMYFUNCTION("""COMPUTED_VALUE"""),"")</f>
        <v/>
      </c>
      <c r="M11834" s="16" t="str">
        <f>IFERROR(__xludf.DUMMYFUNCTION("""COMPUTED_VALUE"""),"")</f>
        <v/>
      </c>
      <c r="U11834" s="16" t="s">
        <v>87</v>
      </c>
      <c r="V11834" s="16" t="str">
        <f>IFERROR(__xludf.DUMMYFUNCTION("""COMPUTED_VALUE"""),"")</f>
        <v/>
      </c>
      <c r="W11834" s="16" t="str">
        <f>IFERROR(__xludf.DUMMYFUNCTION("""COMPUTED_VALUE"""),"")</f>
        <v/>
      </c>
      <c r="X11834" s="16" t="str">
        <f>IFERROR(__xludf.DUMMYFUNCTION("""COMPUTED_VALUE"""),"")</f>
        <v/>
      </c>
      <c r="AC11834" s="16" t="str">
        <f>IFERROR(__xludf.DUMMYFUNCTION("""COMPUTED_VALUE"""),"")</f>
        <v/>
      </c>
    </row>
    <row r="11835">
      <c r="A11835" s="16" t="s">
        <v>87</v>
      </c>
      <c r="E11835" s="16" t="str">
        <f>IFERROR(__xludf.DUMMYFUNCTION("""COMPUTED_VALUE"""),"")</f>
        <v/>
      </c>
      <c r="G11835" s="18"/>
      <c r="H11835" s="16" t="s">
        <v>87</v>
      </c>
      <c r="I11835" s="16" t="s">
        <v>87</v>
      </c>
      <c r="J11835" s="19"/>
      <c r="L11835" s="16" t="str">
        <f>IFERROR(__xludf.DUMMYFUNCTION("""COMPUTED_VALUE"""),"")</f>
        <v/>
      </c>
      <c r="M11835" s="16" t="str">
        <f>IFERROR(__xludf.DUMMYFUNCTION("""COMPUTED_VALUE"""),"")</f>
        <v/>
      </c>
      <c r="U11835" s="16" t="s">
        <v>87</v>
      </c>
      <c r="V11835" s="16" t="str">
        <f>IFERROR(__xludf.DUMMYFUNCTION("""COMPUTED_VALUE"""),"")</f>
        <v/>
      </c>
      <c r="W11835" s="16" t="str">
        <f>IFERROR(__xludf.DUMMYFUNCTION("""COMPUTED_VALUE"""),"")</f>
        <v/>
      </c>
      <c r="X11835" s="16" t="str">
        <f>IFERROR(__xludf.DUMMYFUNCTION("""COMPUTED_VALUE"""),"")</f>
        <v/>
      </c>
      <c r="AC11835" s="16" t="str">
        <f>IFERROR(__xludf.DUMMYFUNCTION("""COMPUTED_VALUE"""),"")</f>
        <v/>
      </c>
    </row>
    <row r="11836">
      <c r="A11836" s="16" t="s">
        <v>87</v>
      </c>
      <c r="E11836" s="16" t="str">
        <f>IFERROR(__xludf.DUMMYFUNCTION("""COMPUTED_VALUE"""),"")</f>
        <v/>
      </c>
      <c r="G11836" s="18"/>
      <c r="H11836" s="16" t="s">
        <v>87</v>
      </c>
      <c r="I11836" s="16" t="s">
        <v>87</v>
      </c>
      <c r="J11836" s="19"/>
      <c r="L11836" s="16" t="str">
        <f>IFERROR(__xludf.DUMMYFUNCTION("""COMPUTED_VALUE"""),"")</f>
        <v/>
      </c>
      <c r="M11836" s="16" t="str">
        <f>IFERROR(__xludf.DUMMYFUNCTION("""COMPUTED_VALUE"""),"")</f>
        <v/>
      </c>
      <c r="U11836" s="16" t="s">
        <v>87</v>
      </c>
      <c r="V11836" s="16" t="str">
        <f>IFERROR(__xludf.DUMMYFUNCTION("""COMPUTED_VALUE"""),"")</f>
        <v/>
      </c>
      <c r="W11836" s="16" t="str">
        <f>IFERROR(__xludf.DUMMYFUNCTION("""COMPUTED_VALUE"""),"")</f>
        <v/>
      </c>
      <c r="X11836" s="16" t="str">
        <f>IFERROR(__xludf.DUMMYFUNCTION("""COMPUTED_VALUE"""),"")</f>
        <v/>
      </c>
      <c r="AC11836" s="16" t="str">
        <f>IFERROR(__xludf.DUMMYFUNCTION("""COMPUTED_VALUE"""),"")</f>
        <v/>
      </c>
    </row>
    <row r="11837">
      <c r="A11837" s="16" t="s">
        <v>87</v>
      </c>
      <c r="E11837" s="16" t="str">
        <f>IFERROR(__xludf.DUMMYFUNCTION("""COMPUTED_VALUE"""),"")</f>
        <v/>
      </c>
      <c r="G11837" s="18"/>
      <c r="H11837" s="16" t="s">
        <v>87</v>
      </c>
      <c r="I11837" s="16" t="s">
        <v>87</v>
      </c>
      <c r="J11837" s="19"/>
      <c r="L11837" s="16" t="str">
        <f>IFERROR(__xludf.DUMMYFUNCTION("""COMPUTED_VALUE"""),"")</f>
        <v/>
      </c>
      <c r="M11837" s="16" t="str">
        <f>IFERROR(__xludf.DUMMYFUNCTION("""COMPUTED_VALUE"""),"")</f>
        <v/>
      </c>
      <c r="U11837" s="16" t="s">
        <v>87</v>
      </c>
      <c r="V11837" s="16" t="str">
        <f>IFERROR(__xludf.DUMMYFUNCTION("""COMPUTED_VALUE"""),"")</f>
        <v/>
      </c>
      <c r="W11837" s="16" t="str">
        <f>IFERROR(__xludf.DUMMYFUNCTION("""COMPUTED_VALUE"""),"")</f>
        <v/>
      </c>
      <c r="X11837" s="16" t="str">
        <f>IFERROR(__xludf.DUMMYFUNCTION("""COMPUTED_VALUE"""),"")</f>
        <v/>
      </c>
      <c r="AC11837" s="16" t="str">
        <f>IFERROR(__xludf.DUMMYFUNCTION("""COMPUTED_VALUE"""),"")</f>
        <v/>
      </c>
    </row>
    <row r="11838">
      <c r="A11838" s="16" t="s">
        <v>87</v>
      </c>
      <c r="E11838" s="16" t="str">
        <f>IFERROR(__xludf.DUMMYFUNCTION("""COMPUTED_VALUE"""),"")</f>
        <v/>
      </c>
      <c r="G11838" s="18"/>
      <c r="H11838" s="16" t="s">
        <v>87</v>
      </c>
      <c r="I11838" s="16" t="s">
        <v>87</v>
      </c>
      <c r="J11838" s="19"/>
      <c r="L11838" s="16" t="str">
        <f>IFERROR(__xludf.DUMMYFUNCTION("""COMPUTED_VALUE"""),"")</f>
        <v/>
      </c>
      <c r="M11838" s="16" t="str">
        <f>IFERROR(__xludf.DUMMYFUNCTION("""COMPUTED_VALUE"""),"")</f>
        <v/>
      </c>
      <c r="U11838" s="16" t="s">
        <v>87</v>
      </c>
      <c r="V11838" s="16" t="str">
        <f>IFERROR(__xludf.DUMMYFUNCTION("""COMPUTED_VALUE"""),"")</f>
        <v/>
      </c>
      <c r="W11838" s="16" t="str">
        <f>IFERROR(__xludf.DUMMYFUNCTION("""COMPUTED_VALUE"""),"")</f>
        <v/>
      </c>
      <c r="X11838" s="16" t="str">
        <f>IFERROR(__xludf.DUMMYFUNCTION("""COMPUTED_VALUE"""),"")</f>
        <v/>
      </c>
      <c r="AC11838" s="16" t="str">
        <f>IFERROR(__xludf.DUMMYFUNCTION("""COMPUTED_VALUE"""),"")</f>
        <v/>
      </c>
    </row>
    <row r="11839">
      <c r="A11839" s="16" t="s">
        <v>87</v>
      </c>
      <c r="E11839" s="16" t="str">
        <f>IFERROR(__xludf.DUMMYFUNCTION("""COMPUTED_VALUE"""),"")</f>
        <v/>
      </c>
      <c r="G11839" s="18"/>
      <c r="H11839" s="16" t="s">
        <v>87</v>
      </c>
      <c r="I11839" s="16" t="s">
        <v>87</v>
      </c>
      <c r="J11839" s="19"/>
      <c r="L11839" s="16" t="str">
        <f>IFERROR(__xludf.DUMMYFUNCTION("""COMPUTED_VALUE"""),"")</f>
        <v/>
      </c>
      <c r="M11839" s="16" t="str">
        <f>IFERROR(__xludf.DUMMYFUNCTION("""COMPUTED_VALUE"""),"")</f>
        <v/>
      </c>
      <c r="U11839" s="16" t="s">
        <v>87</v>
      </c>
      <c r="V11839" s="16" t="str">
        <f>IFERROR(__xludf.DUMMYFUNCTION("""COMPUTED_VALUE"""),"")</f>
        <v/>
      </c>
      <c r="W11839" s="16" t="str">
        <f>IFERROR(__xludf.DUMMYFUNCTION("""COMPUTED_VALUE"""),"")</f>
        <v/>
      </c>
      <c r="X11839" s="16" t="str">
        <f>IFERROR(__xludf.DUMMYFUNCTION("""COMPUTED_VALUE"""),"")</f>
        <v/>
      </c>
      <c r="AC11839" s="16" t="str">
        <f>IFERROR(__xludf.DUMMYFUNCTION("""COMPUTED_VALUE"""),"")</f>
        <v/>
      </c>
    </row>
    <row r="11840">
      <c r="A11840" s="16" t="s">
        <v>87</v>
      </c>
      <c r="E11840" s="16" t="str">
        <f>IFERROR(__xludf.DUMMYFUNCTION("""COMPUTED_VALUE"""),"")</f>
        <v/>
      </c>
      <c r="G11840" s="18"/>
      <c r="H11840" s="16" t="s">
        <v>87</v>
      </c>
      <c r="I11840" s="16" t="s">
        <v>87</v>
      </c>
      <c r="J11840" s="19"/>
      <c r="L11840" s="16" t="str">
        <f>IFERROR(__xludf.DUMMYFUNCTION("""COMPUTED_VALUE"""),"")</f>
        <v/>
      </c>
      <c r="M11840" s="16" t="str">
        <f>IFERROR(__xludf.DUMMYFUNCTION("""COMPUTED_VALUE"""),"")</f>
        <v/>
      </c>
      <c r="U11840" s="16" t="s">
        <v>87</v>
      </c>
      <c r="V11840" s="16" t="str">
        <f>IFERROR(__xludf.DUMMYFUNCTION("""COMPUTED_VALUE"""),"")</f>
        <v/>
      </c>
      <c r="W11840" s="16" t="str">
        <f>IFERROR(__xludf.DUMMYFUNCTION("""COMPUTED_VALUE"""),"")</f>
        <v/>
      </c>
      <c r="X11840" s="16" t="str">
        <f>IFERROR(__xludf.DUMMYFUNCTION("""COMPUTED_VALUE"""),"")</f>
        <v/>
      </c>
      <c r="AC11840" s="16" t="str">
        <f>IFERROR(__xludf.DUMMYFUNCTION("""COMPUTED_VALUE"""),"")</f>
        <v/>
      </c>
    </row>
    <row r="11841">
      <c r="A11841" s="16" t="s">
        <v>87</v>
      </c>
      <c r="E11841" s="16" t="str">
        <f>IFERROR(__xludf.DUMMYFUNCTION("""COMPUTED_VALUE"""),"")</f>
        <v/>
      </c>
      <c r="G11841" s="18"/>
      <c r="H11841" s="16" t="s">
        <v>87</v>
      </c>
      <c r="I11841" s="16" t="s">
        <v>87</v>
      </c>
      <c r="J11841" s="19"/>
      <c r="L11841" s="16" t="str">
        <f>IFERROR(__xludf.DUMMYFUNCTION("""COMPUTED_VALUE"""),"")</f>
        <v/>
      </c>
      <c r="M11841" s="16" t="str">
        <f>IFERROR(__xludf.DUMMYFUNCTION("""COMPUTED_VALUE"""),"")</f>
        <v/>
      </c>
      <c r="U11841" s="16" t="s">
        <v>87</v>
      </c>
      <c r="V11841" s="16" t="str">
        <f>IFERROR(__xludf.DUMMYFUNCTION("""COMPUTED_VALUE"""),"")</f>
        <v/>
      </c>
      <c r="W11841" s="16" t="str">
        <f>IFERROR(__xludf.DUMMYFUNCTION("""COMPUTED_VALUE"""),"")</f>
        <v/>
      </c>
      <c r="X11841" s="16" t="str">
        <f>IFERROR(__xludf.DUMMYFUNCTION("""COMPUTED_VALUE"""),"")</f>
        <v/>
      </c>
      <c r="AC11841" s="16" t="str">
        <f>IFERROR(__xludf.DUMMYFUNCTION("""COMPUTED_VALUE"""),"")</f>
        <v/>
      </c>
    </row>
    <row r="11842">
      <c r="A11842" s="16" t="s">
        <v>87</v>
      </c>
      <c r="E11842" s="16" t="str">
        <f>IFERROR(__xludf.DUMMYFUNCTION("""COMPUTED_VALUE"""),"")</f>
        <v/>
      </c>
      <c r="G11842" s="18"/>
      <c r="H11842" s="16" t="s">
        <v>87</v>
      </c>
      <c r="I11842" s="16" t="s">
        <v>87</v>
      </c>
      <c r="J11842" s="19"/>
      <c r="L11842" s="16" t="str">
        <f>IFERROR(__xludf.DUMMYFUNCTION("""COMPUTED_VALUE"""),"")</f>
        <v/>
      </c>
      <c r="M11842" s="16" t="str">
        <f>IFERROR(__xludf.DUMMYFUNCTION("""COMPUTED_VALUE"""),"")</f>
        <v/>
      </c>
      <c r="U11842" s="16" t="s">
        <v>87</v>
      </c>
      <c r="V11842" s="16" t="str">
        <f>IFERROR(__xludf.DUMMYFUNCTION("""COMPUTED_VALUE"""),"")</f>
        <v/>
      </c>
      <c r="W11842" s="16" t="str">
        <f>IFERROR(__xludf.DUMMYFUNCTION("""COMPUTED_VALUE"""),"")</f>
        <v/>
      </c>
      <c r="X11842" s="16" t="str">
        <f>IFERROR(__xludf.DUMMYFUNCTION("""COMPUTED_VALUE"""),"")</f>
        <v/>
      </c>
      <c r="AC11842" s="16" t="str">
        <f>IFERROR(__xludf.DUMMYFUNCTION("""COMPUTED_VALUE"""),"")</f>
        <v/>
      </c>
    </row>
    <row r="11843">
      <c r="A11843" s="16" t="s">
        <v>87</v>
      </c>
      <c r="E11843" s="16" t="str">
        <f>IFERROR(__xludf.DUMMYFUNCTION("""COMPUTED_VALUE"""),"")</f>
        <v/>
      </c>
      <c r="G11843" s="18"/>
      <c r="H11843" s="16" t="s">
        <v>87</v>
      </c>
      <c r="I11843" s="16" t="s">
        <v>87</v>
      </c>
      <c r="J11843" s="19"/>
      <c r="L11843" s="16" t="str">
        <f>IFERROR(__xludf.DUMMYFUNCTION("""COMPUTED_VALUE"""),"")</f>
        <v/>
      </c>
      <c r="M11843" s="16" t="str">
        <f>IFERROR(__xludf.DUMMYFUNCTION("""COMPUTED_VALUE"""),"")</f>
        <v/>
      </c>
      <c r="U11843" s="16" t="s">
        <v>87</v>
      </c>
      <c r="V11843" s="16" t="str">
        <f>IFERROR(__xludf.DUMMYFUNCTION("""COMPUTED_VALUE"""),"")</f>
        <v/>
      </c>
      <c r="W11843" s="16" t="str">
        <f>IFERROR(__xludf.DUMMYFUNCTION("""COMPUTED_VALUE"""),"")</f>
        <v/>
      </c>
      <c r="X11843" s="16" t="str">
        <f>IFERROR(__xludf.DUMMYFUNCTION("""COMPUTED_VALUE"""),"")</f>
        <v/>
      </c>
      <c r="AC11843" s="16" t="str">
        <f>IFERROR(__xludf.DUMMYFUNCTION("""COMPUTED_VALUE"""),"")</f>
        <v/>
      </c>
    </row>
    <row r="11844">
      <c r="A11844" s="16" t="s">
        <v>87</v>
      </c>
      <c r="E11844" s="16" t="str">
        <f>IFERROR(__xludf.DUMMYFUNCTION("""COMPUTED_VALUE"""),"")</f>
        <v/>
      </c>
      <c r="G11844" s="18"/>
      <c r="H11844" s="16" t="s">
        <v>87</v>
      </c>
      <c r="I11844" s="16" t="s">
        <v>87</v>
      </c>
      <c r="J11844" s="19"/>
      <c r="L11844" s="16" t="str">
        <f>IFERROR(__xludf.DUMMYFUNCTION("""COMPUTED_VALUE"""),"")</f>
        <v/>
      </c>
      <c r="M11844" s="16" t="str">
        <f>IFERROR(__xludf.DUMMYFUNCTION("""COMPUTED_VALUE"""),"")</f>
        <v/>
      </c>
      <c r="U11844" s="16" t="s">
        <v>87</v>
      </c>
      <c r="V11844" s="16" t="str">
        <f>IFERROR(__xludf.DUMMYFUNCTION("""COMPUTED_VALUE"""),"")</f>
        <v/>
      </c>
      <c r="W11844" s="16" t="str">
        <f>IFERROR(__xludf.DUMMYFUNCTION("""COMPUTED_VALUE"""),"")</f>
        <v/>
      </c>
      <c r="X11844" s="16" t="str">
        <f>IFERROR(__xludf.DUMMYFUNCTION("""COMPUTED_VALUE"""),"")</f>
        <v/>
      </c>
      <c r="AC11844" s="16" t="str">
        <f>IFERROR(__xludf.DUMMYFUNCTION("""COMPUTED_VALUE"""),"")</f>
        <v/>
      </c>
    </row>
    <row r="11845">
      <c r="A11845" s="16" t="s">
        <v>87</v>
      </c>
      <c r="E11845" s="16" t="str">
        <f>IFERROR(__xludf.DUMMYFUNCTION("""COMPUTED_VALUE"""),"")</f>
        <v/>
      </c>
      <c r="G11845" s="18"/>
      <c r="H11845" s="16" t="s">
        <v>87</v>
      </c>
      <c r="I11845" s="16" t="s">
        <v>87</v>
      </c>
      <c r="J11845" s="19"/>
      <c r="L11845" s="16" t="str">
        <f>IFERROR(__xludf.DUMMYFUNCTION("""COMPUTED_VALUE"""),"")</f>
        <v/>
      </c>
      <c r="M11845" s="16" t="str">
        <f>IFERROR(__xludf.DUMMYFUNCTION("""COMPUTED_VALUE"""),"")</f>
        <v/>
      </c>
      <c r="U11845" s="16" t="s">
        <v>87</v>
      </c>
      <c r="V11845" s="16" t="str">
        <f>IFERROR(__xludf.DUMMYFUNCTION("""COMPUTED_VALUE"""),"")</f>
        <v/>
      </c>
      <c r="W11845" s="16" t="str">
        <f>IFERROR(__xludf.DUMMYFUNCTION("""COMPUTED_VALUE"""),"")</f>
        <v/>
      </c>
      <c r="X11845" s="16" t="str">
        <f>IFERROR(__xludf.DUMMYFUNCTION("""COMPUTED_VALUE"""),"")</f>
        <v/>
      </c>
      <c r="AC11845" s="16" t="str">
        <f>IFERROR(__xludf.DUMMYFUNCTION("""COMPUTED_VALUE"""),"")</f>
        <v/>
      </c>
    </row>
    <row r="11846">
      <c r="A11846" s="16" t="s">
        <v>87</v>
      </c>
      <c r="E11846" s="16" t="str">
        <f>IFERROR(__xludf.DUMMYFUNCTION("""COMPUTED_VALUE"""),"")</f>
        <v/>
      </c>
      <c r="G11846" s="18"/>
      <c r="H11846" s="16" t="s">
        <v>87</v>
      </c>
      <c r="I11846" s="16" t="s">
        <v>87</v>
      </c>
      <c r="J11846" s="19"/>
      <c r="L11846" s="16" t="str">
        <f>IFERROR(__xludf.DUMMYFUNCTION("""COMPUTED_VALUE"""),"")</f>
        <v/>
      </c>
      <c r="M11846" s="16" t="str">
        <f>IFERROR(__xludf.DUMMYFUNCTION("""COMPUTED_VALUE"""),"")</f>
        <v/>
      </c>
      <c r="U11846" s="16" t="s">
        <v>87</v>
      </c>
      <c r="V11846" s="16" t="str">
        <f>IFERROR(__xludf.DUMMYFUNCTION("""COMPUTED_VALUE"""),"")</f>
        <v/>
      </c>
      <c r="W11846" s="16" t="str">
        <f>IFERROR(__xludf.DUMMYFUNCTION("""COMPUTED_VALUE"""),"")</f>
        <v/>
      </c>
      <c r="X11846" s="16" t="str">
        <f>IFERROR(__xludf.DUMMYFUNCTION("""COMPUTED_VALUE"""),"")</f>
        <v/>
      </c>
      <c r="AC11846" s="16" t="str">
        <f>IFERROR(__xludf.DUMMYFUNCTION("""COMPUTED_VALUE"""),"")</f>
        <v/>
      </c>
    </row>
    <row r="11847">
      <c r="A11847" s="16" t="s">
        <v>87</v>
      </c>
      <c r="E11847" s="16" t="str">
        <f>IFERROR(__xludf.DUMMYFUNCTION("""COMPUTED_VALUE"""),"")</f>
        <v/>
      </c>
      <c r="G11847" s="18"/>
      <c r="H11847" s="16" t="s">
        <v>87</v>
      </c>
      <c r="I11847" s="16" t="s">
        <v>87</v>
      </c>
      <c r="J11847" s="19"/>
      <c r="L11847" s="16" t="str">
        <f>IFERROR(__xludf.DUMMYFUNCTION("""COMPUTED_VALUE"""),"")</f>
        <v/>
      </c>
      <c r="M11847" s="16" t="str">
        <f>IFERROR(__xludf.DUMMYFUNCTION("""COMPUTED_VALUE"""),"")</f>
        <v/>
      </c>
      <c r="U11847" s="16" t="s">
        <v>87</v>
      </c>
      <c r="V11847" s="16" t="str">
        <f>IFERROR(__xludf.DUMMYFUNCTION("""COMPUTED_VALUE"""),"")</f>
        <v/>
      </c>
      <c r="W11847" s="16" t="str">
        <f>IFERROR(__xludf.DUMMYFUNCTION("""COMPUTED_VALUE"""),"")</f>
        <v/>
      </c>
      <c r="X11847" s="16" t="str">
        <f>IFERROR(__xludf.DUMMYFUNCTION("""COMPUTED_VALUE"""),"")</f>
        <v/>
      </c>
      <c r="AC11847" s="16" t="str">
        <f>IFERROR(__xludf.DUMMYFUNCTION("""COMPUTED_VALUE"""),"")</f>
        <v/>
      </c>
    </row>
    <row r="11848">
      <c r="A11848" s="16" t="s">
        <v>87</v>
      </c>
      <c r="E11848" s="16" t="str">
        <f>IFERROR(__xludf.DUMMYFUNCTION("""COMPUTED_VALUE"""),"")</f>
        <v/>
      </c>
      <c r="G11848" s="18"/>
      <c r="H11848" s="16" t="s">
        <v>87</v>
      </c>
      <c r="I11848" s="16" t="s">
        <v>87</v>
      </c>
      <c r="J11848" s="19"/>
      <c r="L11848" s="16" t="str">
        <f>IFERROR(__xludf.DUMMYFUNCTION("""COMPUTED_VALUE"""),"")</f>
        <v/>
      </c>
      <c r="M11848" s="16" t="str">
        <f>IFERROR(__xludf.DUMMYFUNCTION("""COMPUTED_VALUE"""),"")</f>
        <v/>
      </c>
      <c r="U11848" s="16" t="s">
        <v>87</v>
      </c>
      <c r="V11848" s="16" t="str">
        <f>IFERROR(__xludf.DUMMYFUNCTION("""COMPUTED_VALUE"""),"")</f>
        <v/>
      </c>
      <c r="W11848" s="16" t="str">
        <f>IFERROR(__xludf.DUMMYFUNCTION("""COMPUTED_VALUE"""),"")</f>
        <v/>
      </c>
      <c r="X11848" s="16" t="str">
        <f>IFERROR(__xludf.DUMMYFUNCTION("""COMPUTED_VALUE"""),"")</f>
        <v/>
      </c>
      <c r="AC11848" s="16" t="str">
        <f>IFERROR(__xludf.DUMMYFUNCTION("""COMPUTED_VALUE"""),"")</f>
        <v/>
      </c>
    </row>
    <row r="11849">
      <c r="A11849" s="16" t="s">
        <v>87</v>
      </c>
      <c r="E11849" s="16" t="str">
        <f>IFERROR(__xludf.DUMMYFUNCTION("""COMPUTED_VALUE"""),"")</f>
        <v/>
      </c>
      <c r="G11849" s="18"/>
      <c r="H11849" s="16" t="s">
        <v>87</v>
      </c>
      <c r="I11849" s="16" t="s">
        <v>87</v>
      </c>
      <c r="J11849" s="19"/>
      <c r="L11849" s="16" t="str">
        <f>IFERROR(__xludf.DUMMYFUNCTION("""COMPUTED_VALUE"""),"")</f>
        <v/>
      </c>
      <c r="M11849" s="16" t="str">
        <f>IFERROR(__xludf.DUMMYFUNCTION("""COMPUTED_VALUE"""),"")</f>
        <v/>
      </c>
      <c r="U11849" s="16" t="s">
        <v>87</v>
      </c>
      <c r="V11849" s="16" t="str">
        <f>IFERROR(__xludf.DUMMYFUNCTION("""COMPUTED_VALUE"""),"")</f>
        <v/>
      </c>
      <c r="W11849" s="16" t="str">
        <f>IFERROR(__xludf.DUMMYFUNCTION("""COMPUTED_VALUE"""),"")</f>
        <v/>
      </c>
      <c r="X11849" s="16" t="str">
        <f>IFERROR(__xludf.DUMMYFUNCTION("""COMPUTED_VALUE"""),"")</f>
        <v/>
      </c>
      <c r="AC11849" s="16" t="str">
        <f>IFERROR(__xludf.DUMMYFUNCTION("""COMPUTED_VALUE"""),"")</f>
        <v/>
      </c>
    </row>
    <row r="11850">
      <c r="A11850" s="16" t="s">
        <v>87</v>
      </c>
      <c r="E11850" s="16" t="str">
        <f>IFERROR(__xludf.DUMMYFUNCTION("""COMPUTED_VALUE"""),"")</f>
        <v/>
      </c>
      <c r="G11850" s="18"/>
      <c r="H11850" s="16" t="s">
        <v>87</v>
      </c>
      <c r="I11850" s="16" t="s">
        <v>87</v>
      </c>
      <c r="J11850" s="19"/>
      <c r="L11850" s="16" t="str">
        <f>IFERROR(__xludf.DUMMYFUNCTION("""COMPUTED_VALUE"""),"")</f>
        <v/>
      </c>
      <c r="M11850" s="16" t="str">
        <f>IFERROR(__xludf.DUMMYFUNCTION("""COMPUTED_VALUE"""),"")</f>
        <v/>
      </c>
      <c r="U11850" s="16" t="s">
        <v>87</v>
      </c>
      <c r="V11850" s="16" t="str">
        <f>IFERROR(__xludf.DUMMYFUNCTION("""COMPUTED_VALUE"""),"")</f>
        <v/>
      </c>
      <c r="W11850" s="16" t="str">
        <f>IFERROR(__xludf.DUMMYFUNCTION("""COMPUTED_VALUE"""),"")</f>
        <v/>
      </c>
      <c r="X11850" s="16" t="str">
        <f>IFERROR(__xludf.DUMMYFUNCTION("""COMPUTED_VALUE"""),"")</f>
        <v/>
      </c>
      <c r="AC11850" s="16" t="str">
        <f>IFERROR(__xludf.DUMMYFUNCTION("""COMPUTED_VALUE"""),"")</f>
        <v/>
      </c>
    </row>
    <row r="11851">
      <c r="A11851" s="16" t="s">
        <v>87</v>
      </c>
      <c r="E11851" s="16" t="str">
        <f>IFERROR(__xludf.DUMMYFUNCTION("""COMPUTED_VALUE"""),"")</f>
        <v/>
      </c>
      <c r="G11851" s="18"/>
      <c r="H11851" s="16" t="s">
        <v>87</v>
      </c>
      <c r="I11851" s="16" t="s">
        <v>87</v>
      </c>
      <c r="J11851" s="19"/>
      <c r="L11851" s="16" t="str">
        <f>IFERROR(__xludf.DUMMYFUNCTION("""COMPUTED_VALUE"""),"")</f>
        <v/>
      </c>
      <c r="M11851" s="16" t="str">
        <f>IFERROR(__xludf.DUMMYFUNCTION("""COMPUTED_VALUE"""),"")</f>
        <v/>
      </c>
      <c r="U11851" s="16" t="s">
        <v>87</v>
      </c>
      <c r="V11851" s="16" t="str">
        <f>IFERROR(__xludf.DUMMYFUNCTION("""COMPUTED_VALUE"""),"")</f>
        <v/>
      </c>
      <c r="W11851" s="16" t="str">
        <f>IFERROR(__xludf.DUMMYFUNCTION("""COMPUTED_VALUE"""),"")</f>
        <v/>
      </c>
      <c r="X11851" s="16" t="str">
        <f>IFERROR(__xludf.DUMMYFUNCTION("""COMPUTED_VALUE"""),"")</f>
        <v/>
      </c>
      <c r="AC11851" s="16" t="str">
        <f>IFERROR(__xludf.DUMMYFUNCTION("""COMPUTED_VALUE"""),"")</f>
        <v/>
      </c>
    </row>
    <row r="11852">
      <c r="A11852" s="16" t="s">
        <v>87</v>
      </c>
      <c r="E11852" s="16" t="str">
        <f>IFERROR(__xludf.DUMMYFUNCTION("""COMPUTED_VALUE"""),"")</f>
        <v/>
      </c>
      <c r="G11852" s="18"/>
      <c r="H11852" s="16" t="s">
        <v>87</v>
      </c>
      <c r="I11852" s="16" t="s">
        <v>87</v>
      </c>
      <c r="J11852" s="19"/>
      <c r="L11852" s="16" t="str">
        <f>IFERROR(__xludf.DUMMYFUNCTION("""COMPUTED_VALUE"""),"")</f>
        <v/>
      </c>
      <c r="M11852" s="16" t="str">
        <f>IFERROR(__xludf.DUMMYFUNCTION("""COMPUTED_VALUE"""),"")</f>
        <v/>
      </c>
      <c r="U11852" s="16" t="s">
        <v>87</v>
      </c>
      <c r="V11852" s="16" t="str">
        <f>IFERROR(__xludf.DUMMYFUNCTION("""COMPUTED_VALUE"""),"")</f>
        <v/>
      </c>
      <c r="W11852" s="16" t="str">
        <f>IFERROR(__xludf.DUMMYFUNCTION("""COMPUTED_VALUE"""),"")</f>
        <v/>
      </c>
      <c r="X11852" s="16" t="str">
        <f>IFERROR(__xludf.DUMMYFUNCTION("""COMPUTED_VALUE"""),"")</f>
        <v/>
      </c>
      <c r="AC11852" s="16" t="str">
        <f>IFERROR(__xludf.DUMMYFUNCTION("""COMPUTED_VALUE"""),"")</f>
        <v/>
      </c>
    </row>
    <row r="11853">
      <c r="A11853" s="16" t="s">
        <v>87</v>
      </c>
      <c r="E11853" s="16" t="str">
        <f>IFERROR(__xludf.DUMMYFUNCTION("""COMPUTED_VALUE"""),"")</f>
        <v/>
      </c>
      <c r="G11853" s="18"/>
      <c r="H11853" s="16" t="s">
        <v>87</v>
      </c>
      <c r="I11853" s="16" t="s">
        <v>87</v>
      </c>
      <c r="J11853" s="19"/>
      <c r="L11853" s="16" t="str">
        <f>IFERROR(__xludf.DUMMYFUNCTION("""COMPUTED_VALUE"""),"")</f>
        <v/>
      </c>
      <c r="M11853" s="16" t="str">
        <f>IFERROR(__xludf.DUMMYFUNCTION("""COMPUTED_VALUE"""),"")</f>
        <v/>
      </c>
      <c r="U11853" s="16" t="s">
        <v>87</v>
      </c>
      <c r="V11853" s="16" t="str">
        <f>IFERROR(__xludf.DUMMYFUNCTION("""COMPUTED_VALUE"""),"")</f>
        <v/>
      </c>
      <c r="W11853" s="16" t="str">
        <f>IFERROR(__xludf.DUMMYFUNCTION("""COMPUTED_VALUE"""),"")</f>
        <v/>
      </c>
      <c r="X11853" s="16" t="str">
        <f>IFERROR(__xludf.DUMMYFUNCTION("""COMPUTED_VALUE"""),"")</f>
        <v/>
      </c>
      <c r="AC11853" s="16" t="str">
        <f>IFERROR(__xludf.DUMMYFUNCTION("""COMPUTED_VALUE"""),"")</f>
        <v/>
      </c>
    </row>
    <row r="11854">
      <c r="A11854" s="16" t="s">
        <v>87</v>
      </c>
      <c r="E11854" s="16" t="str">
        <f>IFERROR(__xludf.DUMMYFUNCTION("""COMPUTED_VALUE"""),"")</f>
        <v/>
      </c>
      <c r="G11854" s="18"/>
      <c r="H11854" s="16" t="s">
        <v>87</v>
      </c>
      <c r="I11854" s="16" t="s">
        <v>87</v>
      </c>
      <c r="J11854" s="19"/>
      <c r="L11854" s="16" t="str">
        <f>IFERROR(__xludf.DUMMYFUNCTION("""COMPUTED_VALUE"""),"")</f>
        <v/>
      </c>
      <c r="M11854" s="16" t="str">
        <f>IFERROR(__xludf.DUMMYFUNCTION("""COMPUTED_VALUE"""),"")</f>
        <v/>
      </c>
      <c r="U11854" s="16" t="s">
        <v>87</v>
      </c>
      <c r="V11854" s="16" t="str">
        <f>IFERROR(__xludf.DUMMYFUNCTION("""COMPUTED_VALUE"""),"")</f>
        <v/>
      </c>
      <c r="W11854" s="16" t="str">
        <f>IFERROR(__xludf.DUMMYFUNCTION("""COMPUTED_VALUE"""),"")</f>
        <v/>
      </c>
      <c r="X11854" s="16" t="str">
        <f>IFERROR(__xludf.DUMMYFUNCTION("""COMPUTED_VALUE"""),"")</f>
        <v/>
      </c>
      <c r="AC11854" s="16" t="str">
        <f>IFERROR(__xludf.DUMMYFUNCTION("""COMPUTED_VALUE"""),"")</f>
        <v/>
      </c>
    </row>
    <row r="11855">
      <c r="A11855" s="16" t="s">
        <v>87</v>
      </c>
      <c r="E11855" s="16" t="str">
        <f>IFERROR(__xludf.DUMMYFUNCTION("""COMPUTED_VALUE"""),"")</f>
        <v/>
      </c>
      <c r="G11855" s="18"/>
      <c r="H11855" s="16" t="s">
        <v>87</v>
      </c>
      <c r="I11855" s="16" t="s">
        <v>87</v>
      </c>
      <c r="J11855" s="19"/>
      <c r="L11855" s="16" t="str">
        <f>IFERROR(__xludf.DUMMYFUNCTION("""COMPUTED_VALUE"""),"")</f>
        <v/>
      </c>
      <c r="M11855" s="16" t="str">
        <f>IFERROR(__xludf.DUMMYFUNCTION("""COMPUTED_VALUE"""),"")</f>
        <v/>
      </c>
      <c r="U11855" s="16" t="s">
        <v>87</v>
      </c>
      <c r="V11855" s="16" t="str">
        <f>IFERROR(__xludf.DUMMYFUNCTION("""COMPUTED_VALUE"""),"")</f>
        <v/>
      </c>
      <c r="W11855" s="16" t="str">
        <f>IFERROR(__xludf.DUMMYFUNCTION("""COMPUTED_VALUE"""),"")</f>
        <v/>
      </c>
      <c r="X11855" s="16" t="str">
        <f>IFERROR(__xludf.DUMMYFUNCTION("""COMPUTED_VALUE"""),"")</f>
        <v/>
      </c>
      <c r="AC11855" s="16" t="str">
        <f>IFERROR(__xludf.DUMMYFUNCTION("""COMPUTED_VALUE"""),"")</f>
        <v/>
      </c>
    </row>
    <row r="11856">
      <c r="A11856" s="16" t="s">
        <v>87</v>
      </c>
      <c r="E11856" s="16" t="str">
        <f>IFERROR(__xludf.DUMMYFUNCTION("""COMPUTED_VALUE"""),"")</f>
        <v/>
      </c>
      <c r="G11856" s="18"/>
      <c r="H11856" s="16" t="s">
        <v>87</v>
      </c>
      <c r="I11856" s="16" t="s">
        <v>87</v>
      </c>
      <c r="J11856" s="19"/>
      <c r="L11856" s="16" t="str">
        <f>IFERROR(__xludf.DUMMYFUNCTION("""COMPUTED_VALUE"""),"")</f>
        <v/>
      </c>
      <c r="M11856" s="16" t="str">
        <f>IFERROR(__xludf.DUMMYFUNCTION("""COMPUTED_VALUE"""),"")</f>
        <v/>
      </c>
      <c r="U11856" s="16" t="s">
        <v>87</v>
      </c>
      <c r="V11856" s="16" t="str">
        <f>IFERROR(__xludf.DUMMYFUNCTION("""COMPUTED_VALUE"""),"")</f>
        <v/>
      </c>
      <c r="W11856" s="16" t="str">
        <f>IFERROR(__xludf.DUMMYFUNCTION("""COMPUTED_VALUE"""),"")</f>
        <v/>
      </c>
      <c r="X11856" s="16" t="str">
        <f>IFERROR(__xludf.DUMMYFUNCTION("""COMPUTED_VALUE"""),"")</f>
        <v/>
      </c>
      <c r="AC11856" s="16" t="str">
        <f>IFERROR(__xludf.DUMMYFUNCTION("""COMPUTED_VALUE"""),"")</f>
        <v/>
      </c>
    </row>
    <row r="11857">
      <c r="A11857" s="16" t="s">
        <v>87</v>
      </c>
      <c r="E11857" s="16" t="str">
        <f>IFERROR(__xludf.DUMMYFUNCTION("""COMPUTED_VALUE"""),"")</f>
        <v/>
      </c>
      <c r="G11857" s="18"/>
      <c r="H11857" s="16" t="s">
        <v>87</v>
      </c>
      <c r="I11857" s="16" t="s">
        <v>87</v>
      </c>
      <c r="J11857" s="19"/>
      <c r="L11857" s="16" t="str">
        <f>IFERROR(__xludf.DUMMYFUNCTION("""COMPUTED_VALUE"""),"")</f>
        <v/>
      </c>
      <c r="M11857" s="16" t="str">
        <f>IFERROR(__xludf.DUMMYFUNCTION("""COMPUTED_VALUE"""),"")</f>
        <v/>
      </c>
      <c r="U11857" s="16" t="s">
        <v>87</v>
      </c>
      <c r="V11857" s="16" t="str">
        <f>IFERROR(__xludf.DUMMYFUNCTION("""COMPUTED_VALUE"""),"")</f>
        <v/>
      </c>
      <c r="W11857" s="16" t="str">
        <f>IFERROR(__xludf.DUMMYFUNCTION("""COMPUTED_VALUE"""),"")</f>
        <v/>
      </c>
      <c r="X11857" s="16" t="str">
        <f>IFERROR(__xludf.DUMMYFUNCTION("""COMPUTED_VALUE"""),"")</f>
        <v/>
      </c>
      <c r="AC11857" s="16" t="str">
        <f>IFERROR(__xludf.DUMMYFUNCTION("""COMPUTED_VALUE"""),"")</f>
        <v/>
      </c>
    </row>
    <row r="11858">
      <c r="A11858" s="16" t="s">
        <v>87</v>
      </c>
      <c r="E11858" s="16" t="str">
        <f>IFERROR(__xludf.DUMMYFUNCTION("""COMPUTED_VALUE"""),"")</f>
        <v/>
      </c>
      <c r="G11858" s="18"/>
      <c r="H11858" s="16" t="s">
        <v>87</v>
      </c>
      <c r="I11858" s="16" t="s">
        <v>87</v>
      </c>
      <c r="J11858" s="19"/>
      <c r="L11858" s="16" t="str">
        <f>IFERROR(__xludf.DUMMYFUNCTION("""COMPUTED_VALUE"""),"")</f>
        <v/>
      </c>
      <c r="M11858" s="16" t="str">
        <f>IFERROR(__xludf.DUMMYFUNCTION("""COMPUTED_VALUE"""),"")</f>
        <v/>
      </c>
      <c r="U11858" s="16" t="s">
        <v>87</v>
      </c>
      <c r="V11858" s="16" t="str">
        <f>IFERROR(__xludf.DUMMYFUNCTION("""COMPUTED_VALUE"""),"")</f>
        <v/>
      </c>
      <c r="W11858" s="16" t="str">
        <f>IFERROR(__xludf.DUMMYFUNCTION("""COMPUTED_VALUE"""),"")</f>
        <v/>
      </c>
      <c r="X11858" s="16" t="str">
        <f>IFERROR(__xludf.DUMMYFUNCTION("""COMPUTED_VALUE"""),"")</f>
        <v/>
      </c>
      <c r="AC11858" s="16" t="str">
        <f>IFERROR(__xludf.DUMMYFUNCTION("""COMPUTED_VALUE"""),"")</f>
        <v/>
      </c>
    </row>
    <row r="11859">
      <c r="A11859" s="16" t="s">
        <v>87</v>
      </c>
      <c r="E11859" s="16" t="str">
        <f>IFERROR(__xludf.DUMMYFUNCTION("""COMPUTED_VALUE"""),"")</f>
        <v/>
      </c>
      <c r="G11859" s="18"/>
      <c r="H11859" s="16" t="s">
        <v>87</v>
      </c>
      <c r="I11859" s="16" t="s">
        <v>87</v>
      </c>
      <c r="J11859" s="19"/>
      <c r="L11859" s="16" t="str">
        <f>IFERROR(__xludf.DUMMYFUNCTION("""COMPUTED_VALUE"""),"")</f>
        <v/>
      </c>
      <c r="M11859" s="16" t="str">
        <f>IFERROR(__xludf.DUMMYFUNCTION("""COMPUTED_VALUE"""),"")</f>
        <v/>
      </c>
      <c r="U11859" s="16" t="s">
        <v>87</v>
      </c>
      <c r="V11859" s="16" t="str">
        <f>IFERROR(__xludf.DUMMYFUNCTION("""COMPUTED_VALUE"""),"")</f>
        <v/>
      </c>
      <c r="W11859" s="16" t="str">
        <f>IFERROR(__xludf.DUMMYFUNCTION("""COMPUTED_VALUE"""),"")</f>
        <v/>
      </c>
      <c r="X11859" s="16" t="str">
        <f>IFERROR(__xludf.DUMMYFUNCTION("""COMPUTED_VALUE"""),"")</f>
        <v/>
      </c>
      <c r="AC11859" s="16" t="str">
        <f>IFERROR(__xludf.DUMMYFUNCTION("""COMPUTED_VALUE"""),"")</f>
        <v/>
      </c>
    </row>
    <row r="11860">
      <c r="A11860" s="16" t="s">
        <v>87</v>
      </c>
      <c r="E11860" s="16" t="str">
        <f>IFERROR(__xludf.DUMMYFUNCTION("""COMPUTED_VALUE"""),"")</f>
        <v/>
      </c>
      <c r="G11860" s="18"/>
      <c r="H11860" s="16" t="s">
        <v>87</v>
      </c>
      <c r="I11860" s="16" t="s">
        <v>87</v>
      </c>
      <c r="J11860" s="19"/>
      <c r="L11860" s="16" t="str">
        <f>IFERROR(__xludf.DUMMYFUNCTION("""COMPUTED_VALUE"""),"")</f>
        <v/>
      </c>
      <c r="M11860" s="16" t="str">
        <f>IFERROR(__xludf.DUMMYFUNCTION("""COMPUTED_VALUE"""),"")</f>
        <v/>
      </c>
      <c r="U11860" s="16" t="s">
        <v>87</v>
      </c>
      <c r="V11860" s="16" t="str">
        <f>IFERROR(__xludf.DUMMYFUNCTION("""COMPUTED_VALUE"""),"")</f>
        <v/>
      </c>
      <c r="W11860" s="16" t="str">
        <f>IFERROR(__xludf.DUMMYFUNCTION("""COMPUTED_VALUE"""),"")</f>
        <v/>
      </c>
      <c r="X11860" s="16" t="str">
        <f>IFERROR(__xludf.DUMMYFUNCTION("""COMPUTED_VALUE"""),"")</f>
        <v/>
      </c>
      <c r="AC11860" s="16" t="str">
        <f>IFERROR(__xludf.DUMMYFUNCTION("""COMPUTED_VALUE"""),"")</f>
        <v/>
      </c>
    </row>
    <row r="11861">
      <c r="A11861" s="16" t="s">
        <v>87</v>
      </c>
      <c r="E11861" s="16" t="str">
        <f>IFERROR(__xludf.DUMMYFUNCTION("""COMPUTED_VALUE"""),"")</f>
        <v/>
      </c>
      <c r="G11861" s="18"/>
      <c r="H11861" s="16" t="s">
        <v>87</v>
      </c>
      <c r="I11861" s="16" t="s">
        <v>87</v>
      </c>
      <c r="J11861" s="19"/>
      <c r="L11861" s="16" t="str">
        <f>IFERROR(__xludf.DUMMYFUNCTION("""COMPUTED_VALUE"""),"")</f>
        <v/>
      </c>
      <c r="M11861" s="16" t="str">
        <f>IFERROR(__xludf.DUMMYFUNCTION("""COMPUTED_VALUE"""),"")</f>
        <v/>
      </c>
      <c r="U11861" s="16" t="s">
        <v>87</v>
      </c>
      <c r="V11861" s="16" t="str">
        <f>IFERROR(__xludf.DUMMYFUNCTION("""COMPUTED_VALUE"""),"")</f>
        <v/>
      </c>
      <c r="W11861" s="16" t="str">
        <f>IFERROR(__xludf.DUMMYFUNCTION("""COMPUTED_VALUE"""),"")</f>
        <v/>
      </c>
      <c r="X11861" s="16" t="str">
        <f>IFERROR(__xludf.DUMMYFUNCTION("""COMPUTED_VALUE"""),"")</f>
        <v/>
      </c>
      <c r="AC11861" s="16" t="str">
        <f>IFERROR(__xludf.DUMMYFUNCTION("""COMPUTED_VALUE"""),"")</f>
        <v/>
      </c>
    </row>
    <row r="11862">
      <c r="A11862" s="16" t="s">
        <v>87</v>
      </c>
      <c r="E11862" s="16" t="str">
        <f>IFERROR(__xludf.DUMMYFUNCTION("""COMPUTED_VALUE"""),"")</f>
        <v/>
      </c>
      <c r="G11862" s="18"/>
      <c r="H11862" s="16" t="s">
        <v>87</v>
      </c>
      <c r="I11862" s="16" t="s">
        <v>87</v>
      </c>
      <c r="J11862" s="19"/>
      <c r="L11862" s="16" t="str">
        <f>IFERROR(__xludf.DUMMYFUNCTION("""COMPUTED_VALUE"""),"")</f>
        <v/>
      </c>
      <c r="M11862" s="16" t="str">
        <f>IFERROR(__xludf.DUMMYFUNCTION("""COMPUTED_VALUE"""),"")</f>
        <v/>
      </c>
      <c r="U11862" s="16" t="s">
        <v>87</v>
      </c>
      <c r="V11862" s="16" t="str">
        <f>IFERROR(__xludf.DUMMYFUNCTION("""COMPUTED_VALUE"""),"")</f>
        <v/>
      </c>
      <c r="W11862" s="16" t="str">
        <f>IFERROR(__xludf.DUMMYFUNCTION("""COMPUTED_VALUE"""),"")</f>
        <v/>
      </c>
      <c r="X11862" s="16" t="str">
        <f>IFERROR(__xludf.DUMMYFUNCTION("""COMPUTED_VALUE"""),"")</f>
        <v/>
      </c>
      <c r="AC11862" s="16" t="str">
        <f>IFERROR(__xludf.DUMMYFUNCTION("""COMPUTED_VALUE"""),"")</f>
        <v/>
      </c>
    </row>
    <row r="11863">
      <c r="A11863" s="16" t="s">
        <v>87</v>
      </c>
      <c r="E11863" s="16" t="str">
        <f>IFERROR(__xludf.DUMMYFUNCTION("""COMPUTED_VALUE"""),"")</f>
        <v/>
      </c>
      <c r="G11863" s="18"/>
      <c r="H11863" s="16" t="s">
        <v>87</v>
      </c>
      <c r="I11863" s="16" t="s">
        <v>87</v>
      </c>
      <c r="J11863" s="19"/>
      <c r="L11863" s="16" t="str">
        <f>IFERROR(__xludf.DUMMYFUNCTION("""COMPUTED_VALUE"""),"")</f>
        <v/>
      </c>
      <c r="M11863" s="16" t="str">
        <f>IFERROR(__xludf.DUMMYFUNCTION("""COMPUTED_VALUE"""),"")</f>
        <v/>
      </c>
      <c r="U11863" s="16" t="s">
        <v>87</v>
      </c>
      <c r="V11863" s="16" t="str">
        <f>IFERROR(__xludf.DUMMYFUNCTION("""COMPUTED_VALUE"""),"")</f>
        <v/>
      </c>
      <c r="W11863" s="16" t="str">
        <f>IFERROR(__xludf.DUMMYFUNCTION("""COMPUTED_VALUE"""),"")</f>
        <v/>
      </c>
      <c r="X11863" s="16" t="str">
        <f>IFERROR(__xludf.DUMMYFUNCTION("""COMPUTED_VALUE"""),"")</f>
        <v/>
      </c>
      <c r="AC11863" s="16" t="str">
        <f>IFERROR(__xludf.DUMMYFUNCTION("""COMPUTED_VALUE"""),"")</f>
        <v/>
      </c>
    </row>
    <row r="11864">
      <c r="A11864" s="16" t="s">
        <v>87</v>
      </c>
      <c r="E11864" s="16" t="str">
        <f>IFERROR(__xludf.DUMMYFUNCTION("""COMPUTED_VALUE"""),"")</f>
        <v/>
      </c>
      <c r="G11864" s="18"/>
      <c r="H11864" s="16" t="s">
        <v>87</v>
      </c>
      <c r="I11864" s="16" t="s">
        <v>87</v>
      </c>
      <c r="J11864" s="19"/>
      <c r="L11864" s="16" t="str">
        <f>IFERROR(__xludf.DUMMYFUNCTION("""COMPUTED_VALUE"""),"")</f>
        <v/>
      </c>
      <c r="M11864" s="16" t="str">
        <f>IFERROR(__xludf.DUMMYFUNCTION("""COMPUTED_VALUE"""),"")</f>
        <v/>
      </c>
      <c r="U11864" s="16" t="s">
        <v>87</v>
      </c>
      <c r="V11864" s="16" t="str">
        <f>IFERROR(__xludf.DUMMYFUNCTION("""COMPUTED_VALUE"""),"")</f>
        <v/>
      </c>
      <c r="W11864" s="16" t="str">
        <f>IFERROR(__xludf.DUMMYFUNCTION("""COMPUTED_VALUE"""),"")</f>
        <v/>
      </c>
      <c r="X11864" s="16" t="str">
        <f>IFERROR(__xludf.DUMMYFUNCTION("""COMPUTED_VALUE"""),"")</f>
        <v/>
      </c>
      <c r="AC11864" s="16" t="str">
        <f>IFERROR(__xludf.DUMMYFUNCTION("""COMPUTED_VALUE"""),"")</f>
        <v/>
      </c>
    </row>
    <row r="11865">
      <c r="A11865" s="16" t="s">
        <v>87</v>
      </c>
      <c r="E11865" s="16" t="str">
        <f>IFERROR(__xludf.DUMMYFUNCTION("""COMPUTED_VALUE"""),"")</f>
        <v/>
      </c>
      <c r="G11865" s="18"/>
      <c r="H11865" s="16" t="s">
        <v>87</v>
      </c>
      <c r="I11865" s="16" t="s">
        <v>87</v>
      </c>
      <c r="J11865" s="19"/>
      <c r="L11865" s="16" t="str">
        <f>IFERROR(__xludf.DUMMYFUNCTION("""COMPUTED_VALUE"""),"")</f>
        <v/>
      </c>
      <c r="M11865" s="16" t="str">
        <f>IFERROR(__xludf.DUMMYFUNCTION("""COMPUTED_VALUE"""),"")</f>
        <v/>
      </c>
      <c r="U11865" s="16" t="s">
        <v>87</v>
      </c>
      <c r="V11865" s="16" t="str">
        <f>IFERROR(__xludf.DUMMYFUNCTION("""COMPUTED_VALUE"""),"")</f>
        <v/>
      </c>
      <c r="W11865" s="16" t="str">
        <f>IFERROR(__xludf.DUMMYFUNCTION("""COMPUTED_VALUE"""),"")</f>
        <v/>
      </c>
      <c r="X11865" s="16" t="str">
        <f>IFERROR(__xludf.DUMMYFUNCTION("""COMPUTED_VALUE"""),"")</f>
        <v/>
      </c>
      <c r="AC11865" s="16" t="str">
        <f>IFERROR(__xludf.DUMMYFUNCTION("""COMPUTED_VALUE"""),"")</f>
        <v/>
      </c>
    </row>
    <row r="11866">
      <c r="A11866" s="16" t="s">
        <v>87</v>
      </c>
      <c r="E11866" s="16" t="str">
        <f>IFERROR(__xludf.DUMMYFUNCTION("""COMPUTED_VALUE"""),"")</f>
        <v/>
      </c>
      <c r="G11866" s="18"/>
      <c r="H11866" s="16" t="s">
        <v>87</v>
      </c>
      <c r="I11866" s="16" t="s">
        <v>87</v>
      </c>
      <c r="J11866" s="19"/>
      <c r="L11866" s="16" t="str">
        <f>IFERROR(__xludf.DUMMYFUNCTION("""COMPUTED_VALUE"""),"")</f>
        <v/>
      </c>
      <c r="M11866" s="16" t="str">
        <f>IFERROR(__xludf.DUMMYFUNCTION("""COMPUTED_VALUE"""),"")</f>
        <v/>
      </c>
      <c r="U11866" s="16" t="s">
        <v>87</v>
      </c>
      <c r="V11866" s="16" t="str">
        <f>IFERROR(__xludf.DUMMYFUNCTION("""COMPUTED_VALUE"""),"")</f>
        <v/>
      </c>
      <c r="W11866" s="16" t="str">
        <f>IFERROR(__xludf.DUMMYFUNCTION("""COMPUTED_VALUE"""),"")</f>
        <v/>
      </c>
      <c r="X11866" s="16" t="str">
        <f>IFERROR(__xludf.DUMMYFUNCTION("""COMPUTED_VALUE"""),"")</f>
        <v/>
      </c>
      <c r="AC11866" s="16" t="str">
        <f>IFERROR(__xludf.DUMMYFUNCTION("""COMPUTED_VALUE"""),"")</f>
        <v/>
      </c>
    </row>
    <row r="11867">
      <c r="A11867" s="16" t="s">
        <v>87</v>
      </c>
      <c r="E11867" s="16" t="str">
        <f>IFERROR(__xludf.DUMMYFUNCTION("""COMPUTED_VALUE"""),"")</f>
        <v/>
      </c>
      <c r="G11867" s="18"/>
      <c r="H11867" s="16" t="s">
        <v>87</v>
      </c>
      <c r="I11867" s="16" t="s">
        <v>87</v>
      </c>
      <c r="J11867" s="19"/>
      <c r="L11867" s="16" t="str">
        <f>IFERROR(__xludf.DUMMYFUNCTION("""COMPUTED_VALUE"""),"")</f>
        <v/>
      </c>
      <c r="M11867" s="16" t="str">
        <f>IFERROR(__xludf.DUMMYFUNCTION("""COMPUTED_VALUE"""),"")</f>
        <v/>
      </c>
      <c r="U11867" s="16" t="s">
        <v>87</v>
      </c>
      <c r="V11867" s="16" t="str">
        <f>IFERROR(__xludf.DUMMYFUNCTION("""COMPUTED_VALUE"""),"")</f>
        <v/>
      </c>
      <c r="W11867" s="16" t="str">
        <f>IFERROR(__xludf.DUMMYFUNCTION("""COMPUTED_VALUE"""),"")</f>
        <v/>
      </c>
      <c r="X11867" s="16" t="str">
        <f>IFERROR(__xludf.DUMMYFUNCTION("""COMPUTED_VALUE"""),"")</f>
        <v/>
      </c>
      <c r="AC11867" s="16" t="str">
        <f>IFERROR(__xludf.DUMMYFUNCTION("""COMPUTED_VALUE"""),"")</f>
        <v/>
      </c>
    </row>
    <row r="11868">
      <c r="A11868" s="16" t="s">
        <v>87</v>
      </c>
      <c r="E11868" s="16" t="str">
        <f>IFERROR(__xludf.DUMMYFUNCTION("""COMPUTED_VALUE"""),"")</f>
        <v/>
      </c>
      <c r="G11868" s="18"/>
      <c r="H11868" s="16" t="s">
        <v>87</v>
      </c>
      <c r="I11868" s="16" t="s">
        <v>87</v>
      </c>
      <c r="J11868" s="19"/>
      <c r="L11868" s="16" t="str">
        <f>IFERROR(__xludf.DUMMYFUNCTION("""COMPUTED_VALUE"""),"")</f>
        <v/>
      </c>
      <c r="M11868" s="16" t="str">
        <f>IFERROR(__xludf.DUMMYFUNCTION("""COMPUTED_VALUE"""),"")</f>
        <v/>
      </c>
      <c r="U11868" s="16" t="s">
        <v>87</v>
      </c>
      <c r="V11868" s="16" t="str">
        <f>IFERROR(__xludf.DUMMYFUNCTION("""COMPUTED_VALUE"""),"")</f>
        <v/>
      </c>
      <c r="W11868" s="16" t="str">
        <f>IFERROR(__xludf.DUMMYFUNCTION("""COMPUTED_VALUE"""),"")</f>
        <v/>
      </c>
      <c r="X11868" s="16" t="str">
        <f>IFERROR(__xludf.DUMMYFUNCTION("""COMPUTED_VALUE"""),"")</f>
        <v/>
      </c>
      <c r="AC11868" s="16" t="str">
        <f>IFERROR(__xludf.DUMMYFUNCTION("""COMPUTED_VALUE"""),"")</f>
        <v/>
      </c>
    </row>
    <row r="11869">
      <c r="A11869" s="16" t="s">
        <v>87</v>
      </c>
      <c r="E11869" s="16" t="str">
        <f>IFERROR(__xludf.DUMMYFUNCTION("""COMPUTED_VALUE"""),"")</f>
        <v/>
      </c>
      <c r="G11869" s="18"/>
      <c r="H11869" s="16" t="s">
        <v>87</v>
      </c>
      <c r="I11869" s="16" t="s">
        <v>87</v>
      </c>
      <c r="J11869" s="19"/>
      <c r="L11869" s="16" t="str">
        <f>IFERROR(__xludf.DUMMYFUNCTION("""COMPUTED_VALUE"""),"")</f>
        <v/>
      </c>
      <c r="M11869" s="16" t="str">
        <f>IFERROR(__xludf.DUMMYFUNCTION("""COMPUTED_VALUE"""),"")</f>
        <v/>
      </c>
      <c r="U11869" s="16" t="s">
        <v>87</v>
      </c>
      <c r="V11869" s="16" t="str">
        <f>IFERROR(__xludf.DUMMYFUNCTION("""COMPUTED_VALUE"""),"")</f>
        <v/>
      </c>
      <c r="W11869" s="16" t="str">
        <f>IFERROR(__xludf.DUMMYFUNCTION("""COMPUTED_VALUE"""),"")</f>
        <v/>
      </c>
      <c r="X11869" s="16" t="str">
        <f>IFERROR(__xludf.DUMMYFUNCTION("""COMPUTED_VALUE"""),"")</f>
        <v/>
      </c>
      <c r="AC11869" s="16" t="str">
        <f>IFERROR(__xludf.DUMMYFUNCTION("""COMPUTED_VALUE"""),"")</f>
        <v/>
      </c>
    </row>
    <row r="11870">
      <c r="A11870" s="16" t="s">
        <v>87</v>
      </c>
      <c r="E11870" s="16" t="str">
        <f>IFERROR(__xludf.DUMMYFUNCTION("""COMPUTED_VALUE"""),"")</f>
        <v/>
      </c>
      <c r="G11870" s="18"/>
      <c r="H11870" s="16" t="s">
        <v>87</v>
      </c>
      <c r="I11870" s="16" t="s">
        <v>87</v>
      </c>
      <c r="J11870" s="19"/>
      <c r="L11870" s="16" t="str">
        <f>IFERROR(__xludf.DUMMYFUNCTION("""COMPUTED_VALUE"""),"")</f>
        <v/>
      </c>
      <c r="M11870" s="16" t="str">
        <f>IFERROR(__xludf.DUMMYFUNCTION("""COMPUTED_VALUE"""),"")</f>
        <v/>
      </c>
      <c r="U11870" s="16" t="s">
        <v>87</v>
      </c>
      <c r="V11870" s="16" t="str">
        <f>IFERROR(__xludf.DUMMYFUNCTION("""COMPUTED_VALUE"""),"")</f>
        <v/>
      </c>
      <c r="W11870" s="16" t="str">
        <f>IFERROR(__xludf.DUMMYFUNCTION("""COMPUTED_VALUE"""),"")</f>
        <v/>
      </c>
      <c r="X11870" s="16" t="str">
        <f>IFERROR(__xludf.DUMMYFUNCTION("""COMPUTED_VALUE"""),"")</f>
        <v/>
      </c>
      <c r="AC11870" s="16" t="str">
        <f>IFERROR(__xludf.DUMMYFUNCTION("""COMPUTED_VALUE"""),"")</f>
        <v/>
      </c>
    </row>
    <row r="11871">
      <c r="A11871" s="16" t="s">
        <v>87</v>
      </c>
      <c r="E11871" s="16" t="str">
        <f>IFERROR(__xludf.DUMMYFUNCTION("""COMPUTED_VALUE"""),"")</f>
        <v/>
      </c>
      <c r="G11871" s="18"/>
      <c r="H11871" s="16" t="s">
        <v>87</v>
      </c>
      <c r="I11871" s="16" t="s">
        <v>87</v>
      </c>
      <c r="J11871" s="19"/>
      <c r="L11871" s="16" t="str">
        <f>IFERROR(__xludf.DUMMYFUNCTION("""COMPUTED_VALUE"""),"")</f>
        <v/>
      </c>
      <c r="M11871" s="16" t="str">
        <f>IFERROR(__xludf.DUMMYFUNCTION("""COMPUTED_VALUE"""),"")</f>
        <v/>
      </c>
      <c r="U11871" s="16" t="s">
        <v>87</v>
      </c>
      <c r="V11871" s="16" t="str">
        <f>IFERROR(__xludf.DUMMYFUNCTION("""COMPUTED_VALUE"""),"")</f>
        <v/>
      </c>
      <c r="W11871" s="16" t="str">
        <f>IFERROR(__xludf.DUMMYFUNCTION("""COMPUTED_VALUE"""),"")</f>
        <v/>
      </c>
      <c r="X11871" s="16" t="str">
        <f>IFERROR(__xludf.DUMMYFUNCTION("""COMPUTED_VALUE"""),"")</f>
        <v/>
      </c>
      <c r="AC11871" s="16" t="str">
        <f>IFERROR(__xludf.DUMMYFUNCTION("""COMPUTED_VALUE"""),"")</f>
        <v/>
      </c>
    </row>
    <row r="11872">
      <c r="A11872" s="16" t="s">
        <v>87</v>
      </c>
      <c r="E11872" s="16" t="str">
        <f>IFERROR(__xludf.DUMMYFUNCTION("""COMPUTED_VALUE"""),"")</f>
        <v/>
      </c>
      <c r="G11872" s="18"/>
      <c r="H11872" s="16" t="s">
        <v>87</v>
      </c>
      <c r="I11872" s="16" t="s">
        <v>87</v>
      </c>
      <c r="J11872" s="19"/>
      <c r="L11872" s="16" t="str">
        <f>IFERROR(__xludf.DUMMYFUNCTION("""COMPUTED_VALUE"""),"")</f>
        <v/>
      </c>
      <c r="M11872" s="16" t="str">
        <f>IFERROR(__xludf.DUMMYFUNCTION("""COMPUTED_VALUE"""),"")</f>
        <v/>
      </c>
      <c r="U11872" s="16" t="s">
        <v>87</v>
      </c>
      <c r="V11872" s="16" t="str">
        <f>IFERROR(__xludf.DUMMYFUNCTION("""COMPUTED_VALUE"""),"")</f>
        <v/>
      </c>
      <c r="W11872" s="16" t="str">
        <f>IFERROR(__xludf.DUMMYFUNCTION("""COMPUTED_VALUE"""),"")</f>
        <v/>
      </c>
      <c r="X11872" s="16" t="str">
        <f>IFERROR(__xludf.DUMMYFUNCTION("""COMPUTED_VALUE"""),"")</f>
        <v/>
      </c>
      <c r="AC11872" s="16" t="str">
        <f>IFERROR(__xludf.DUMMYFUNCTION("""COMPUTED_VALUE"""),"")</f>
        <v/>
      </c>
    </row>
    <row r="11873">
      <c r="A11873" s="16" t="s">
        <v>87</v>
      </c>
      <c r="E11873" s="16" t="str">
        <f>IFERROR(__xludf.DUMMYFUNCTION("""COMPUTED_VALUE"""),"")</f>
        <v/>
      </c>
      <c r="G11873" s="18"/>
      <c r="H11873" s="16" t="s">
        <v>87</v>
      </c>
      <c r="I11873" s="16" t="s">
        <v>87</v>
      </c>
      <c r="J11873" s="19"/>
      <c r="L11873" s="16" t="str">
        <f>IFERROR(__xludf.DUMMYFUNCTION("""COMPUTED_VALUE"""),"")</f>
        <v/>
      </c>
      <c r="M11873" s="16" t="str">
        <f>IFERROR(__xludf.DUMMYFUNCTION("""COMPUTED_VALUE"""),"")</f>
        <v/>
      </c>
      <c r="U11873" s="16" t="s">
        <v>87</v>
      </c>
      <c r="V11873" s="16" t="str">
        <f>IFERROR(__xludf.DUMMYFUNCTION("""COMPUTED_VALUE"""),"")</f>
        <v/>
      </c>
      <c r="W11873" s="16" t="str">
        <f>IFERROR(__xludf.DUMMYFUNCTION("""COMPUTED_VALUE"""),"")</f>
        <v/>
      </c>
      <c r="X11873" s="16" t="str">
        <f>IFERROR(__xludf.DUMMYFUNCTION("""COMPUTED_VALUE"""),"")</f>
        <v/>
      </c>
      <c r="AC11873" s="16" t="str">
        <f>IFERROR(__xludf.DUMMYFUNCTION("""COMPUTED_VALUE"""),"")</f>
        <v/>
      </c>
    </row>
    <row r="11874">
      <c r="A11874" s="16" t="s">
        <v>87</v>
      </c>
      <c r="E11874" s="16" t="str">
        <f>IFERROR(__xludf.DUMMYFUNCTION("""COMPUTED_VALUE"""),"")</f>
        <v/>
      </c>
      <c r="G11874" s="18"/>
      <c r="H11874" s="16" t="s">
        <v>87</v>
      </c>
      <c r="I11874" s="16" t="s">
        <v>87</v>
      </c>
      <c r="J11874" s="19"/>
      <c r="L11874" s="16" t="str">
        <f>IFERROR(__xludf.DUMMYFUNCTION("""COMPUTED_VALUE"""),"")</f>
        <v/>
      </c>
      <c r="M11874" s="16" t="str">
        <f>IFERROR(__xludf.DUMMYFUNCTION("""COMPUTED_VALUE"""),"")</f>
        <v/>
      </c>
      <c r="U11874" s="16" t="s">
        <v>87</v>
      </c>
      <c r="V11874" s="16" t="str">
        <f>IFERROR(__xludf.DUMMYFUNCTION("""COMPUTED_VALUE"""),"")</f>
        <v/>
      </c>
      <c r="W11874" s="16" t="str">
        <f>IFERROR(__xludf.DUMMYFUNCTION("""COMPUTED_VALUE"""),"")</f>
        <v/>
      </c>
      <c r="X11874" s="16" t="str">
        <f>IFERROR(__xludf.DUMMYFUNCTION("""COMPUTED_VALUE"""),"")</f>
        <v/>
      </c>
      <c r="AC11874" s="16" t="str">
        <f>IFERROR(__xludf.DUMMYFUNCTION("""COMPUTED_VALUE"""),"")</f>
        <v/>
      </c>
    </row>
    <row r="11875">
      <c r="A11875" s="16" t="s">
        <v>87</v>
      </c>
      <c r="E11875" s="16" t="str">
        <f>IFERROR(__xludf.DUMMYFUNCTION("""COMPUTED_VALUE"""),"")</f>
        <v/>
      </c>
      <c r="G11875" s="18"/>
      <c r="H11875" s="16" t="s">
        <v>87</v>
      </c>
      <c r="I11875" s="16" t="s">
        <v>87</v>
      </c>
      <c r="J11875" s="19"/>
      <c r="L11875" s="16" t="str">
        <f>IFERROR(__xludf.DUMMYFUNCTION("""COMPUTED_VALUE"""),"")</f>
        <v/>
      </c>
      <c r="M11875" s="16" t="str">
        <f>IFERROR(__xludf.DUMMYFUNCTION("""COMPUTED_VALUE"""),"")</f>
        <v/>
      </c>
      <c r="U11875" s="16" t="s">
        <v>87</v>
      </c>
      <c r="V11875" s="16" t="str">
        <f>IFERROR(__xludf.DUMMYFUNCTION("""COMPUTED_VALUE"""),"")</f>
        <v/>
      </c>
      <c r="W11875" s="16" t="str">
        <f>IFERROR(__xludf.DUMMYFUNCTION("""COMPUTED_VALUE"""),"")</f>
        <v/>
      </c>
      <c r="X11875" s="16" t="str">
        <f>IFERROR(__xludf.DUMMYFUNCTION("""COMPUTED_VALUE"""),"")</f>
        <v/>
      </c>
      <c r="AC11875" s="16" t="str">
        <f>IFERROR(__xludf.DUMMYFUNCTION("""COMPUTED_VALUE"""),"")</f>
        <v/>
      </c>
    </row>
    <row r="11876">
      <c r="A11876" s="16" t="s">
        <v>87</v>
      </c>
      <c r="E11876" s="16" t="str">
        <f>IFERROR(__xludf.DUMMYFUNCTION("""COMPUTED_VALUE"""),"")</f>
        <v/>
      </c>
      <c r="G11876" s="18"/>
      <c r="H11876" s="16" t="s">
        <v>87</v>
      </c>
      <c r="I11876" s="16" t="s">
        <v>87</v>
      </c>
      <c r="J11876" s="19"/>
      <c r="L11876" s="16" t="str">
        <f>IFERROR(__xludf.DUMMYFUNCTION("""COMPUTED_VALUE"""),"")</f>
        <v/>
      </c>
      <c r="M11876" s="16" t="str">
        <f>IFERROR(__xludf.DUMMYFUNCTION("""COMPUTED_VALUE"""),"")</f>
        <v/>
      </c>
      <c r="U11876" s="16" t="s">
        <v>87</v>
      </c>
      <c r="V11876" s="16" t="str">
        <f>IFERROR(__xludf.DUMMYFUNCTION("""COMPUTED_VALUE"""),"")</f>
        <v/>
      </c>
      <c r="W11876" s="16" t="str">
        <f>IFERROR(__xludf.DUMMYFUNCTION("""COMPUTED_VALUE"""),"")</f>
        <v/>
      </c>
      <c r="X11876" s="16" t="str">
        <f>IFERROR(__xludf.DUMMYFUNCTION("""COMPUTED_VALUE"""),"")</f>
        <v/>
      </c>
      <c r="AC11876" s="16" t="str">
        <f>IFERROR(__xludf.DUMMYFUNCTION("""COMPUTED_VALUE"""),"")</f>
        <v/>
      </c>
    </row>
    <row r="11877">
      <c r="A11877" s="16" t="s">
        <v>87</v>
      </c>
      <c r="E11877" s="16" t="str">
        <f>IFERROR(__xludf.DUMMYFUNCTION("""COMPUTED_VALUE"""),"")</f>
        <v/>
      </c>
      <c r="G11877" s="18"/>
      <c r="H11877" s="16" t="s">
        <v>87</v>
      </c>
      <c r="I11877" s="16" t="s">
        <v>87</v>
      </c>
      <c r="J11877" s="19"/>
      <c r="L11877" s="16" t="str">
        <f>IFERROR(__xludf.DUMMYFUNCTION("""COMPUTED_VALUE"""),"")</f>
        <v/>
      </c>
      <c r="M11877" s="16" t="str">
        <f>IFERROR(__xludf.DUMMYFUNCTION("""COMPUTED_VALUE"""),"")</f>
        <v/>
      </c>
      <c r="U11877" s="16" t="s">
        <v>87</v>
      </c>
      <c r="V11877" s="16" t="str">
        <f>IFERROR(__xludf.DUMMYFUNCTION("""COMPUTED_VALUE"""),"")</f>
        <v/>
      </c>
      <c r="W11877" s="16" t="str">
        <f>IFERROR(__xludf.DUMMYFUNCTION("""COMPUTED_VALUE"""),"")</f>
        <v/>
      </c>
      <c r="X11877" s="16" t="str">
        <f>IFERROR(__xludf.DUMMYFUNCTION("""COMPUTED_VALUE"""),"")</f>
        <v/>
      </c>
      <c r="AC11877" s="16" t="str">
        <f>IFERROR(__xludf.DUMMYFUNCTION("""COMPUTED_VALUE"""),"")</f>
        <v/>
      </c>
    </row>
    <row r="11878">
      <c r="A11878" s="16" t="s">
        <v>87</v>
      </c>
      <c r="E11878" s="16" t="str">
        <f>IFERROR(__xludf.DUMMYFUNCTION("""COMPUTED_VALUE"""),"")</f>
        <v/>
      </c>
      <c r="G11878" s="18"/>
      <c r="H11878" s="16" t="s">
        <v>87</v>
      </c>
      <c r="I11878" s="16" t="s">
        <v>87</v>
      </c>
      <c r="J11878" s="19"/>
      <c r="L11878" s="16" t="str">
        <f>IFERROR(__xludf.DUMMYFUNCTION("""COMPUTED_VALUE"""),"")</f>
        <v/>
      </c>
      <c r="M11878" s="16" t="str">
        <f>IFERROR(__xludf.DUMMYFUNCTION("""COMPUTED_VALUE"""),"")</f>
        <v/>
      </c>
      <c r="U11878" s="16" t="s">
        <v>87</v>
      </c>
      <c r="V11878" s="16" t="str">
        <f>IFERROR(__xludf.DUMMYFUNCTION("""COMPUTED_VALUE"""),"")</f>
        <v/>
      </c>
      <c r="W11878" s="16" t="str">
        <f>IFERROR(__xludf.DUMMYFUNCTION("""COMPUTED_VALUE"""),"")</f>
        <v/>
      </c>
      <c r="X11878" s="16" t="str">
        <f>IFERROR(__xludf.DUMMYFUNCTION("""COMPUTED_VALUE"""),"")</f>
        <v/>
      </c>
      <c r="AC11878" s="16" t="str">
        <f>IFERROR(__xludf.DUMMYFUNCTION("""COMPUTED_VALUE"""),"")</f>
        <v/>
      </c>
    </row>
    <row r="11879">
      <c r="A11879" s="16" t="s">
        <v>87</v>
      </c>
      <c r="E11879" s="16" t="str">
        <f>IFERROR(__xludf.DUMMYFUNCTION("""COMPUTED_VALUE"""),"")</f>
        <v/>
      </c>
      <c r="G11879" s="18"/>
      <c r="H11879" s="16" t="s">
        <v>87</v>
      </c>
      <c r="I11879" s="16" t="s">
        <v>87</v>
      </c>
      <c r="J11879" s="19"/>
      <c r="L11879" s="16" t="str">
        <f>IFERROR(__xludf.DUMMYFUNCTION("""COMPUTED_VALUE"""),"")</f>
        <v/>
      </c>
      <c r="M11879" s="16" t="str">
        <f>IFERROR(__xludf.DUMMYFUNCTION("""COMPUTED_VALUE"""),"")</f>
        <v/>
      </c>
      <c r="U11879" s="16" t="s">
        <v>87</v>
      </c>
      <c r="V11879" s="16" t="str">
        <f>IFERROR(__xludf.DUMMYFUNCTION("""COMPUTED_VALUE"""),"")</f>
        <v/>
      </c>
      <c r="W11879" s="16" t="str">
        <f>IFERROR(__xludf.DUMMYFUNCTION("""COMPUTED_VALUE"""),"")</f>
        <v/>
      </c>
      <c r="X11879" s="16" t="str">
        <f>IFERROR(__xludf.DUMMYFUNCTION("""COMPUTED_VALUE"""),"")</f>
        <v/>
      </c>
      <c r="AC11879" s="16" t="str">
        <f>IFERROR(__xludf.DUMMYFUNCTION("""COMPUTED_VALUE"""),"")</f>
        <v/>
      </c>
    </row>
    <row r="11880">
      <c r="A11880" s="16" t="s">
        <v>87</v>
      </c>
      <c r="E11880" s="16" t="str">
        <f>IFERROR(__xludf.DUMMYFUNCTION("""COMPUTED_VALUE"""),"")</f>
        <v/>
      </c>
      <c r="G11880" s="18"/>
      <c r="H11880" s="16" t="s">
        <v>87</v>
      </c>
      <c r="I11880" s="16" t="s">
        <v>87</v>
      </c>
      <c r="J11880" s="19"/>
      <c r="L11880" s="16" t="str">
        <f>IFERROR(__xludf.DUMMYFUNCTION("""COMPUTED_VALUE"""),"")</f>
        <v/>
      </c>
      <c r="M11880" s="16" t="str">
        <f>IFERROR(__xludf.DUMMYFUNCTION("""COMPUTED_VALUE"""),"")</f>
        <v/>
      </c>
      <c r="U11880" s="16" t="s">
        <v>87</v>
      </c>
      <c r="V11880" s="16" t="str">
        <f>IFERROR(__xludf.DUMMYFUNCTION("""COMPUTED_VALUE"""),"")</f>
        <v/>
      </c>
      <c r="W11880" s="16" t="str">
        <f>IFERROR(__xludf.DUMMYFUNCTION("""COMPUTED_VALUE"""),"")</f>
        <v/>
      </c>
      <c r="X11880" s="16" t="str">
        <f>IFERROR(__xludf.DUMMYFUNCTION("""COMPUTED_VALUE"""),"")</f>
        <v/>
      </c>
      <c r="AC11880" s="16" t="str">
        <f>IFERROR(__xludf.DUMMYFUNCTION("""COMPUTED_VALUE"""),"")</f>
        <v/>
      </c>
    </row>
    <row r="11881">
      <c r="A11881" s="16" t="s">
        <v>87</v>
      </c>
      <c r="E11881" s="16" t="str">
        <f>IFERROR(__xludf.DUMMYFUNCTION("""COMPUTED_VALUE"""),"")</f>
        <v/>
      </c>
      <c r="G11881" s="18"/>
      <c r="H11881" s="16" t="s">
        <v>87</v>
      </c>
      <c r="I11881" s="16" t="s">
        <v>87</v>
      </c>
      <c r="J11881" s="19"/>
      <c r="L11881" s="16" t="str">
        <f>IFERROR(__xludf.DUMMYFUNCTION("""COMPUTED_VALUE"""),"")</f>
        <v/>
      </c>
      <c r="M11881" s="16" t="str">
        <f>IFERROR(__xludf.DUMMYFUNCTION("""COMPUTED_VALUE"""),"")</f>
        <v/>
      </c>
      <c r="U11881" s="16" t="s">
        <v>87</v>
      </c>
      <c r="V11881" s="16" t="str">
        <f>IFERROR(__xludf.DUMMYFUNCTION("""COMPUTED_VALUE"""),"")</f>
        <v/>
      </c>
      <c r="W11881" s="16" t="str">
        <f>IFERROR(__xludf.DUMMYFUNCTION("""COMPUTED_VALUE"""),"")</f>
        <v/>
      </c>
      <c r="X11881" s="16" t="str">
        <f>IFERROR(__xludf.DUMMYFUNCTION("""COMPUTED_VALUE"""),"")</f>
        <v/>
      </c>
      <c r="AC11881" s="16" t="str">
        <f>IFERROR(__xludf.DUMMYFUNCTION("""COMPUTED_VALUE"""),"")</f>
        <v/>
      </c>
    </row>
    <row r="11882">
      <c r="A11882" s="16" t="s">
        <v>87</v>
      </c>
      <c r="E11882" s="16" t="str">
        <f>IFERROR(__xludf.DUMMYFUNCTION("""COMPUTED_VALUE"""),"")</f>
        <v/>
      </c>
      <c r="G11882" s="18"/>
      <c r="H11882" s="16" t="s">
        <v>87</v>
      </c>
      <c r="I11882" s="16" t="s">
        <v>87</v>
      </c>
      <c r="J11882" s="19"/>
      <c r="L11882" s="16" t="str">
        <f>IFERROR(__xludf.DUMMYFUNCTION("""COMPUTED_VALUE"""),"")</f>
        <v/>
      </c>
      <c r="M11882" s="16" t="str">
        <f>IFERROR(__xludf.DUMMYFUNCTION("""COMPUTED_VALUE"""),"")</f>
        <v/>
      </c>
      <c r="U11882" s="16" t="s">
        <v>87</v>
      </c>
      <c r="V11882" s="16" t="str">
        <f>IFERROR(__xludf.DUMMYFUNCTION("""COMPUTED_VALUE"""),"")</f>
        <v/>
      </c>
      <c r="W11882" s="16" t="str">
        <f>IFERROR(__xludf.DUMMYFUNCTION("""COMPUTED_VALUE"""),"")</f>
        <v/>
      </c>
      <c r="X11882" s="16" t="str">
        <f>IFERROR(__xludf.DUMMYFUNCTION("""COMPUTED_VALUE"""),"")</f>
        <v/>
      </c>
      <c r="AC11882" s="16" t="str">
        <f>IFERROR(__xludf.DUMMYFUNCTION("""COMPUTED_VALUE"""),"")</f>
        <v/>
      </c>
    </row>
    <row r="11883">
      <c r="A11883" s="16" t="s">
        <v>87</v>
      </c>
      <c r="E11883" s="16" t="str">
        <f>IFERROR(__xludf.DUMMYFUNCTION("""COMPUTED_VALUE"""),"")</f>
        <v/>
      </c>
      <c r="G11883" s="18"/>
      <c r="H11883" s="16" t="s">
        <v>87</v>
      </c>
      <c r="I11883" s="16" t="s">
        <v>87</v>
      </c>
      <c r="J11883" s="19"/>
      <c r="L11883" s="16" t="str">
        <f>IFERROR(__xludf.DUMMYFUNCTION("""COMPUTED_VALUE"""),"")</f>
        <v/>
      </c>
      <c r="M11883" s="16" t="str">
        <f>IFERROR(__xludf.DUMMYFUNCTION("""COMPUTED_VALUE"""),"")</f>
        <v/>
      </c>
      <c r="U11883" s="16" t="s">
        <v>87</v>
      </c>
      <c r="V11883" s="16" t="str">
        <f>IFERROR(__xludf.DUMMYFUNCTION("""COMPUTED_VALUE"""),"")</f>
        <v/>
      </c>
      <c r="W11883" s="16" t="str">
        <f>IFERROR(__xludf.DUMMYFUNCTION("""COMPUTED_VALUE"""),"")</f>
        <v/>
      </c>
      <c r="X11883" s="16" t="str">
        <f>IFERROR(__xludf.DUMMYFUNCTION("""COMPUTED_VALUE"""),"")</f>
        <v/>
      </c>
      <c r="AC11883" s="16" t="str">
        <f>IFERROR(__xludf.DUMMYFUNCTION("""COMPUTED_VALUE"""),"")</f>
        <v/>
      </c>
    </row>
    <row r="11884">
      <c r="A11884" s="16" t="s">
        <v>87</v>
      </c>
      <c r="E11884" s="16" t="str">
        <f>IFERROR(__xludf.DUMMYFUNCTION("""COMPUTED_VALUE"""),"")</f>
        <v/>
      </c>
      <c r="G11884" s="18"/>
      <c r="H11884" s="16" t="s">
        <v>87</v>
      </c>
      <c r="I11884" s="16" t="s">
        <v>87</v>
      </c>
      <c r="J11884" s="19"/>
      <c r="L11884" s="16" t="str">
        <f>IFERROR(__xludf.DUMMYFUNCTION("""COMPUTED_VALUE"""),"")</f>
        <v/>
      </c>
      <c r="M11884" s="16" t="str">
        <f>IFERROR(__xludf.DUMMYFUNCTION("""COMPUTED_VALUE"""),"")</f>
        <v/>
      </c>
      <c r="U11884" s="16" t="s">
        <v>87</v>
      </c>
      <c r="V11884" s="16" t="str">
        <f>IFERROR(__xludf.DUMMYFUNCTION("""COMPUTED_VALUE"""),"")</f>
        <v/>
      </c>
      <c r="W11884" s="16" t="str">
        <f>IFERROR(__xludf.DUMMYFUNCTION("""COMPUTED_VALUE"""),"")</f>
        <v/>
      </c>
      <c r="X11884" s="16" t="str">
        <f>IFERROR(__xludf.DUMMYFUNCTION("""COMPUTED_VALUE"""),"")</f>
        <v/>
      </c>
      <c r="AC11884" s="16" t="str">
        <f>IFERROR(__xludf.DUMMYFUNCTION("""COMPUTED_VALUE"""),"")</f>
        <v/>
      </c>
    </row>
    <row r="11885">
      <c r="A11885" s="16" t="s">
        <v>87</v>
      </c>
      <c r="E11885" s="16" t="str">
        <f>IFERROR(__xludf.DUMMYFUNCTION("""COMPUTED_VALUE"""),"")</f>
        <v/>
      </c>
      <c r="G11885" s="18"/>
      <c r="H11885" s="16" t="s">
        <v>87</v>
      </c>
      <c r="I11885" s="16" t="s">
        <v>87</v>
      </c>
      <c r="J11885" s="19"/>
      <c r="L11885" s="16" t="str">
        <f>IFERROR(__xludf.DUMMYFUNCTION("""COMPUTED_VALUE"""),"")</f>
        <v/>
      </c>
      <c r="M11885" s="16" t="str">
        <f>IFERROR(__xludf.DUMMYFUNCTION("""COMPUTED_VALUE"""),"")</f>
        <v/>
      </c>
      <c r="U11885" s="16" t="s">
        <v>87</v>
      </c>
      <c r="V11885" s="16" t="str">
        <f>IFERROR(__xludf.DUMMYFUNCTION("""COMPUTED_VALUE"""),"")</f>
        <v/>
      </c>
      <c r="W11885" s="16" t="str">
        <f>IFERROR(__xludf.DUMMYFUNCTION("""COMPUTED_VALUE"""),"")</f>
        <v/>
      </c>
      <c r="X11885" s="16" t="str">
        <f>IFERROR(__xludf.DUMMYFUNCTION("""COMPUTED_VALUE"""),"")</f>
        <v/>
      </c>
      <c r="AC11885" s="16" t="str">
        <f>IFERROR(__xludf.DUMMYFUNCTION("""COMPUTED_VALUE"""),"")</f>
        <v/>
      </c>
    </row>
    <row r="11886">
      <c r="A11886" s="16" t="s">
        <v>87</v>
      </c>
      <c r="E11886" s="16" t="str">
        <f>IFERROR(__xludf.DUMMYFUNCTION("""COMPUTED_VALUE"""),"")</f>
        <v/>
      </c>
      <c r="G11886" s="18"/>
      <c r="H11886" s="16" t="s">
        <v>87</v>
      </c>
      <c r="I11886" s="16" t="s">
        <v>87</v>
      </c>
      <c r="J11886" s="19"/>
      <c r="L11886" s="16" t="str">
        <f>IFERROR(__xludf.DUMMYFUNCTION("""COMPUTED_VALUE"""),"")</f>
        <v/>
      </c>
      <c r="M11886" s="16" t="str">
        <f>IFERROR(__xludf.DUMMYFUNCTION("""COMPUTED_VALUE"""),"")</f>
        <v/>
      </c>
      <c r="U11886" s="16" t="s">
        <v>87</v>
      </c>
      <c r="V11886" s="16" t="str">
        <f>IFERROR(__xludf.DUMMYFUNCTION("""COMPUTED_VALUE"""),"")</f>
        <v/>
      </c>
      <c r="W11886" s="16" t="str">
        <f>IFERROR(__xludf.DUMMYFUNCTION("""COMPUTED_VALUE"""),"")</f>
        <v/>
      </c>
      <c r="X11886" s="16" t="str">
        <f>IFERROR(__xludf.DUMMYFUNCTION("""COMPUTED_VALUE"""),"")</f>
        <v/>
      </c>
      <c r="AC11886" s="16" t="str">
        <f>IFERROR(__xludf.DUMMYFUNCTION("""COMPUTED_VALUE"""),"")</f>
        <v/>
      </c>
    </row>
    <row r="11887">
      <c r="A11887" s="16" t="s">
        <v>87</v>
      </c>
      <c r="E11887" s="16" t="str">
        <f>IFERROR(__xludf.DUMMYFUNCTION("""COMPUTED_VALUE"""),"")</f>
        <v/>
      </c>
      <c r="G11887" s="18"/>
      <c r="H11887" s="16" t="s">
        <v>87</v>
      </c>
      <c r="I11887" s="16" t="s">
        <v>87</v>
      </c>
      <c r="J11887" s="19"/>
      <c r="L11887" s="16" t="str">
        <f>IFERROR(__xludf.DUMMYFUNCTION("""COMPUTED_VALUE"""),"")</f>
        <v/>
      </c>
      <c r="M11887" s="16" t="str">
        <f>IFERROR(__xludf.DUMMYFUNCTION("""COMPUTED_VALUE"""),"")</f>
        <v/>
      </c>
      <c r="U11887" s="16" t="s">
        <v>87</v>
      </c>
      <c r="V11887" s="16" t="str">
        <f>IFERROR(__xludf.DUMMYFUNCTION("""COMPUTED_VALUE"""),"")</f>
        <v/>
      </c>
      <c r="W11887" s="16" t="str">
        <f>IFERROR(__xludf.DUMMYFUNCTION("""COMPUTED_VALUE"""),"")</f>
        <v/>
      </c>
      <c r="X11887" s="16" t="str">
        <f>IFERROR(__xludf.DUMMYFUNCTION("""COMPUTED_VALUE"""),"")</f>
        <v/>
      </c>
      <c r="AC11887" s="16" t="str">
        <f>IFERROR(__xludf.DUMMYFUNCTION("""COMPUTED_VALUE"""),"")</f>
        <v/>
      </c>
    </row>
    <row r="11888">
      <c r="A11888" s="16" t="s">
        <v>87</v>
      </c>
      <c r="E11888" s="16" t="str">
        <f>IFERROR(__xludf.DUMMYFUNCTION("""COMPUTED_VALUE"""),"")</f>
        <v/>
      </c>
      <c r="G11888" s="18"/>
      <c r="H11888" s="16" t="s">
        <v>87</v>
      </c>
      <c r="I11888" s="16" t="s">
        <v>87</v>
      </c>
      <c r="J11888" s="19"/>
      <c r="L11888" s="16" t="str">
        <f>IFERROR(__xludf.DUMMYFUNCTION("""COMPUTED_VALUE"""),"")</f>
        <v/>
      </c>
      <c r="M11888" s="16" t="str">
        <f>IFERROR(__xludf.DUMMYFUNCTION("""COMPUTED_VALUE"""),"")</f>
        <v/>
      </c>
      <c r="U11888" s="16" t="s">
        <v>87</v>
      </c>
      <c r="V11888" s="16" t="str">
        <f>IFERROR(__xludf.DUMMYFUNCTION("""COMPUTED_VALUE"""),"")</f>
        <v/>
      </c>
      <c r="W11888" s="16" t="str">
        <f>IFERROR(__xludf.DUMMYFUNCTION("""COMPUTED_VALUE"""),"")</f>
        <v/>
      </c>
      <c r="X11888" s="16" t="str">
        <f>IFERROR(__xludf.DUMMYFUNCTION("""COMPUTED_VALUE"""),"")</f>
        <v/>
      </c>
      <c r="AC11888" s="16" t="str">
        <f>IFERROR(__xludf.DUMMYFUNCTION("""COMPUTED_VALUE"""),"")</f>
        <v/>
      </c>
    </row>
    <row r="11889">
      <c r="A11889" s="16" t="s">
        <v>87</v>
      </c>
      <c r="E11889" s="16" t="str">
        <f>IFERROR(__xludf.DUMMYFUNCTION("""COMPUTED_VALUE"""),"")</f>
        <v/>
      </c>
      <c r="G11889" s="18"/>
      <c r="H11889" s="16" t="s">
        <v>87</v>
      </c>
      <c r="I11889" s="16" t="s">
        <v>87</v>
      </c>
      <c r="J11889" s="19"/>
      <c r="L11889" s="16" t="str">
        <f>IFERROR(__xludf.DUMMYFUNCTION("""COMPUTED_VALUE"""),"")</f>
        <v/>
      </c>
      <c r="M11889" s="16" t="str">
        <f>IFERROR(__xludf.DUMMYFUNCTION("""COMPUTED_VALUE"""),"")</f>
        <v/>
      </c>
      <c r="U11889" s="16" t="s">
        <v>87</v>
      </c>
      <c r="V11889" s="16" t="str">
        <f>IFERROR(__xludf.DUMMYFUNCTION("""COMPUTED_VALUE"""),"")</f>
        <v/>
      </c>
      <c r="W11889" s="16" t="str">
        <f>IFERROR(__xludf.DUMMYFUNCTION("""COMPUTED_VALUE"""),"")</f>
        <v/>
      </c>
      <c r="X11889" s="16" t="str">
        <f>IFERROR(__xludf.DUMMYFUNCTION("""COMPUTED_VALUE"""),"")</f>
        <v/>
      </c>
      <c r="AC11889" s="16" t="str">
        <f>IFERROR(__xludf.DUMMYFUNCTION("""COMPUTED_VALUE"""),"")</f>
        <v/>
      </c>
    </row>
    <row r="11890">
      <c r="A11890" s="16" t="s">
        <v>87</v>
      </c>
      <c r="E11890" s="16" t="str">
        <f>IFERROR(__xludf.DUMMYFUNCTION("""COMPUTED_VALUE"""),"")</f>
        <v/>
      </c>
      <c r="G11890" s="18"/>
      <c r="H11890" s="16" t="s">
        <v>87</v>
      </c>
      <c r="I11890" s="16" t="s">
        <v>87</v>
      </c>
      <c r="J11890" s="19"/>
      <c r="L11890" s="16" t="str">
        <f>IFERROR(__xludf.DUMMYFUNCTION("""COMPUTED_VALUE"""),"")</f>
        <v/>
      </c>
      <c r="M11890" s="16" t="str">
        <f>IFERROR(__xludf.DUMMYFUNCTION("""COMPUTED_VALUE"""),"")</f>
        <v/>
      </c>
      <c r="U11890" s="16" t="s">
        <v>87</v>
      </c>
      <c r="V11890" s="16" t="str">
        <f>IFERROR(__xludf.DUMMYFUNCTION("""COMPUTED_VALUE"""),"")</f>
        <v/>
      </c>
      <c r="W11890" s="16" t="str">
        <f>IFERROR(__xludf.DUMMYFUNCTION("""COMPUTED_VALUE"""),"")</f>
        <v/>
      </c>
      <c r="X11890" s="16" t="str">
        <f>IFERROR(__xludf.DUMMYFUNCTION("""COMPUTED_VALUE"""),"")</f>
        <v/>
      </c>
      <c r="AC11890" s="16" t="str">
        <f>IFERROR(__xludf.DUMMYFUNCTION("""COMPUTED_VALUE"""),"")</f>
        <v/>
      </c>
    </row>
    <row r="11891">
      <c r="A11891" s="16" t="s">
        <v>87</v>
      </c>
      <c r="E11891" s="16" t="str">
        <f>IFERROR(__xludf.DUMMYFUNCTION("""COMPUTED_VALUE"""),"")</f>
        <v/>
      </c>
      <c r="G11891" s="18"/>
      <c r="H11891" s="16" t="s">
        <v>87</v>
      </c>
      <c r="I11891" s="16" t="s">
        <v>87</v>
      </c>
      <c r="J11891" s="19"/>
      <c r="L11891" s="16" t="str">
        <f>IFERROR(__xludf.DUMMYFUNCTION("""COMPUTED_VALUE"""),"")</f>
        <v/>
      </c>
      <c r="M11891" s="16" t="str">
        <f>IFERROR(__xludf.DUMMYFUNCTION("""COMPUTED_VALUE"""),"")</f>
        <v/>
      </c>
      <c r="U11891" s="16" t="s">
        <v>87</v>
      </c>
      <c r="V11891" s="16" t="str">
        <f>IFERROR(__xludf.DUMMYFUNCTION("""COMPUTED_VALUE"""),"")</f>
        <v/>
      </c>
      <c r="W11891" s="16" t="str">
        <f>IFERROR(__xludf.DUMMYFUNCTION("""COMPUTED_VALUE"""),"")</f>
        <v/>
      </c>
      <c r="X11891" s="16" t="str">
        <f>IFERROR(__xludf.DUMMYFUNCTION("""COMPUTED_VALUE"""),"")</f>
        <v/>
      </c>
      <c r="AC11891" s="16" t="str">
        <f>IFERROR(__xludf.DUMMYFUNCTION("""COMPUTED_VALUE"""),"")</f>
        <v/>
      </c>
    </row>
    <row r="11892">
      <c r="A11892" s="16" t="s">
        <v>87</v>
      </c>
      <c r="E11892" s="16" t="str">
        <f>IFERROR(__xludf.DUMMYFUNCTION("""COMPUTED_VALUE"""),"")</f>
        <v/>
      </c>
      <c r="G11892" s="18"/>
      <c r="H11892" s="16" t="s">
        <v>87</v>
      </c>
      <c r="I11892" s="16" t="s">
        <v>87</v>
      </c>
      <c r="J11892" s="19"/>
      <c r="L11892" s="16" t="str">
        <f>IFERROR(__xludf.DUMMYFUNCTION("""COMPUTED_VALUE"""),"")</f>
        <v/>
      </c>
      <c r="M11892" s="16" t="str">
        <f>IFERROR(__xludf.DUMMYFUNCTION("""COMPUTED_VALUE"""),"")</f>
        <v/>
      </c>
      <c r="U11892" s="16" t="s">
        <v>87</v>
      </c>
      <c r="V11892" s="16" t="str">
        <f>IFERROR(__xludf.DUMMYFUNCTION("""COMPUTED_VALUE"""),"")</f>
        <v/>
      </c>
      <c r="W11892" s="16" t="str">
        <f>IFERROR(__xludf.DUMMYFUNCTION("""COMPUTED_VALUE"""),"")</f>
        <v/>
      </c>
      <c r="X11892" s="16" t="str">
        <f>IFERROR(__xludf.DUMMYFUNCTION("""COMPUTED_VALUE"""),"")</f>
        <v/>
      </c>
      <c r="AC11892" s="16" t="str">
        <f>IFERROR(__xludf.DUMMYFUNCTION("""COMPUTED_VALUE"""),"")</f>
        <v/>
      </c>
    </row>
    <row r="11893">
      <c r="A11893" s="16" t="s">
        <v>87</v>
      </c>
      <c r="E11893" s="16" t="str">
        <f>IFERROR(__xludf.DUMMYFUNCTION("""COMPUTED_VALUE"""),"")</f>
        <v/>
      </c>
      <c r="G11893" s="18"/>
      <c r="H11893" s="16" t="s">
        <v>87</v>
      </c>
      <c r="I11893" s="16" t="s">
        <v>87</v>
      </c>
      <c r="J11893" s="19"/>
      <c r="L11893" s="16" t="str">
        <f>IFERROR(__xludf.DUMMYFUNCTION("""COMPUTED_VALUE"""),"")</f>
        <v/>
      </c>
      <c r="M11893" s="16" t="str">
        <f>IFERROR(__xludf.DUMMYFUNCTION("""COMPUTED_VALUE"""),"")</f>
        <v/>
      </c>
      <c r="U11893" s="16" t="s">
        <v>87</v>
      </c>
      <c r="V11893" s="16" t="str">
        <f>IFERROR(__xludf.DUMMYFUNCTION("""COMPUTED_VALUE"""),"")</f>
        <v/>
      </c>
      <c r="W11893" s="16" t="str">
        <f>IFERROR(__xludf.DUMMYFUNCTION("""COMPUTED_VALUE"""),"")</f>
        <v/>
      </c>
      <c r="X11893" s="16" t="str">
        <f>IFERROR(__xludf.DUMMYFUNCTION("""COMPUTED_VALUE"""),"")</f>
        <v/>
      </c>
      <c r="AC11893" s="16" t="str">
        <f>IFERROR(__xludf.DUMMYFUNCTION("""COMPUTED_VALUE"""),"")</f>
        <v/>
      </c>
    </row>
    <row r="11894">
      <c r="A11894" s="16" t="s">
        <v>87</v>
      </c>
      <c r="E11894" s="16" t="str">
        <f>IFERROR(__xludf.DUMMYFUNCTION("""COMPUTED_VALUE"""),"")</f>
        <v/>
      </c>
      <c r="G11894" s="18"/>
      <c r="H11894" s="16" t="s">
        <v>87</v>
      </c>
      <c r="I11894" s="16" t="s">
        <v>87</v>
      </c>
      <c r="J11894" s="19"/>
      <c r="L11894" s="16" t="str">
        <f>IFERROR(__xludf.DUMMYFUNCTION("""COMPUTED_VALUE"""),"")</f>
        <v/>
      </c>
      <c r="M11894" s="16" t="str">
        <f>IFERROR(__xludf.DUMMYFUNCTION("""COMPUTED_VALUE"""),"")</f>
        <v/>
      </c>
      <c r="U11894" s="16" t="s">
        <v>87</v>
      </c>
      <c r="V11894" s="16" t="str">
        <f>IFERROR(__xludf.DUMMYFUNCTION("""COMPUTED_VALUE"""),"")</f>
        <v/>
      </c>
      <c r="W11894" s="16" t="str">
        <f>IFERROR(__xludf.DUMMYFUNCTION("""COMPUTED_VALUE"""),"")</f>
        <v/>
      </c>
      <c r="X11894" s="16" t="str">
        <f>IFERROR(__xludf.DUMMYFUNCTION("""COMPUTED_VALUE"""),"")</f>
        <v/>
      </c>
      <c r="AC11894" s="16" t="str">
        <f>IFERROR(__xludf.DUMMYFUNCTION("""COMPUTED_VALUE"""),"")</f>
        <v/>
      </c>
    </row>
    <row r="11895">
      <c r="A11895" s="16" t="s">
        <v>87</v>
      </c>
      <c r="E11895" s="16" t="str">
        <f>IFERROR(__xludf.DUMMYFUNCTION("""COMPUTED_VALUE"""),"")</f>
        <v/>
      </c>
      <c r="G11895" s="18"/>
      <c r="H11895" s="16" t="s">
        <v>87</v>
      </c>
      <c r="I11895" s="16" t="s">
        <v>87</v>
      </c>
      <c r="J11895" s="19"/>
      <c r="L11895" s="16" t="str">
        <f>IFERROR(__xludf.DUMMYFUNCTION("""COMPUTED_VALUE"""),"")</f>
        <v/>
      </c>
      <c r="M11895" s="16" t="str">
        <f>IFERROR(__xludf.DUMMYFUNCTION("""COMPUTED_VALUE"""),"")</f>
        <v/>
      </c>
      <c r="U11895" s="16" t="s">
        <v>87</v>
      </c>
      <c r="V11895" s="16" t="str">
        <f>IFERROR(__xludf.DUMMYFUNCTION("""COMPUTED_VALUE"""),"")</f>
        <v/>
      </c>
      <c r="W11895" s="16" t="str">
        <f>IFERROR(__xludf.DUMMYFUNCTION("""COMPUTED_VALUE"""),"")</f>
        <v/>
      </c>
      <c r="X11895" s="16" t="str">
        <f>IFERROR(__xludf.DUMMYFUNCTION("""COMPUTED_VALUE"""),"")</f>
        <v/>
      </c>
      <c r="AC11895" s="16" t="str">
        <f>IFERROR(__xludf.DUMMYFUNCTION("""COMPUTED_VALUE"""),"")</f>
        <v/>
      </c>
    </row>
    <row r="11896">
      <c r="A11896" s="16" t="s">
        <v>87</v>
      </c>
      <c r="E11896" s="16" t="str">
        <f>IFERROR(__xludf.DUMMYFUNCTION("""COMPUTED_VALUE"""),"")</f>
        <v/>
      </c>
      <c r="G11896" s="18"/>
      <c r="H11896" s="16" t="s">
        <v>87</v>
      </c>
      <c r="I11896" s="16" t="s">
        <v>87</v>
      </c>
      <c r="J11896" s="19"/>
      <c r="L11896" s="16" t="str">
        <f>IFERROR(__xludf.DUMMYFUNCTION("""COMPUTED_VALUE"""),"")</f>
        <v/>
      </c>
      <c r="M11896" s="16" t="str">
        <f>IFERROR(__xludf.DUMMYFUNCTION("""COMPUTED_VALUE"""),"")</f>
        <v/>
      </c>
      <c r="U11896" s="16" t="s">
        <v>87</v>
      </c>
      <c r="V11896" s="16" t="str">
        <f>IFERROR(__xludf.DUMMYFUNCTION("""COMPUTED_VALUE"""),"")</f>
        <v/>
      </c>
      <c r="W11896" s="16" t="str">
        <f>IFERROR(__xludf.DUMMYFUNCTION("""COMPUTED_VALUE"""),"")</f>
        <v/>
      </c>
      <c r="X11896" s="16" t="str">
        <f>IFERROR(__xludf.DUMMYFUNCTION("""COMPUTED_VALUE"""),"")</f>
        <v/>
      </c>
      <c r="AC11896" s="16" t="str">
        <f>IFERROR(__xludf.DUMMYFUNCTION("""COMPUTED_VALUE"""),"")</f>
        <v/>
      </c>
    </row>
    <row r="11897">
      <c r="A11897" s="16" t="s">
        <v>87</v>
      </c>
      <c r="E11897" s="16" t="str">
        <f>IFERROR(__xludf.DUMMYFUNCTION("""COMPUTED_VALUE"""),"")</f>
        <v/>
      </c>
      <c r="G11897" s="18"/>
      <c r="H11897" s="16" t="s">
        <v>87</v>
      </c>
      <c r="I11897" s="16" t="s">
        <v>87</v>
      </c>
      <c r="J11897" s="19"/>
      <c r="L11897" s="16" t="str">
        <f>IFERROR(__xludf.DUMMYFUNCTION("""COMPUTED_VALUE"""),"")</f>
        <v/>
      </c>
      <c r="M11897" s="16" t="str">
        <f>IFERROR(__xludf.DUMMYFUNCTION("""COMPUTED_VALUE"""),"")</f>
        <v/>
      </c>
      <c r="U11897" s="16" t="s">
        <v>87</v>
      </c>
      <c r="V11897" s="16" t="str">
        <f>IFERROR(__xludf.DUMMYFUNCTION("""COMPUTED_VALUE"""),"")</f>
        <v/>
      </c>
      <c r="W11897" s="16" t="str">
        <f>IFERROR(__xludf.DUMMYFUNCTION("""COMPUTED_VALUE"""),"")</f>
        <v/>
      </c>
      <c r="X11897" s="16" t="str">
        <f>IFERROR(__xludf.DUMMYFUNCTION("""COMPUTED_VALUE"""),"")</f>
        <v/>
      </c>
      <c r="AC11897" s="16" t="str">
        <f>IFERROR(__xludf.DUMMYFUNCTION("""COMPUTED_VALUE"""),"")</f>
        <v/>
      </c>
    </row>
    <row r="11898">
      <c r="A11898" s="16" t="s">
        <v>87</v>
      </c>
      <c r="E11898" s="16" t="str">
        <f>IFERROR(__xludf.DUMMYFUNCTION("""COMPUTED_VALUE"""),"")</f>
        <v/>
      </c>
      <c r="G11898" s="18"/>
      <c r="H11898" s="16" t="s">
        <v>87</v>
      </c>
      <c r="I11898" s="16" t="s">
        <v>87</v>
      </c>
      <c r="J11898" s="19"/>
      <c r="L11898" s="16" t="str">
        <f>IFERROR(__xludf.DUMMYFUNCTION("""COMPUTED_VALUE"""),"")</f>
        <v/>
      </c>
      <c r="M11898" s="16" t="str">
        <f>IFERROR(__xludf.DUMMYFUNCTION("""COMPUTED_VALUE"""),"")</f>
        <v/>
      </c>
      <c r="U11898" s="16" t="s">
        <v>87</v>
      </c>
      <c r="V11898" s="16" t="str">
        <f>IFERROR(__xludf.DUMMYFUNCTION("""COMPUTED_VALUE"""),"")</f>
        <v/>
      </c>
      <c r="W11898" s="16" t="str">
        <f>IFERROR(__xludf.DUMMYFUNCTION("""COMPUTED_VALUE"""),"")</f>
        <v/>
      </c>
      <c r="X11898" s="16" t="str">
        <f>IFERROR(__xludf.DUMMYFUNCTION("""COMPUTED_VALUE"""),"")</f>
        <v/>
      </c>
      <c r="AC11898" s="16" t="str">
        <f>IFERROR(__xludf.DUMMYFUNCTION("""COMPUTED_VALUE"""),"")</f>
        <v/>
      </c>
    </row>
    <row r="11899">
      <c r="A11899" s="16" t="s">
        <v>87</v>
      </c>
      <c r="E11899" s="16" t="str">
        <f>IFERROR(__xludf.DUMMYFUNCTION("""COMPUTED_VALUE"""),"")</f>
        <v/>
      </c>
      <c r="G11899" s="18"/>
      <c r="H11899" s="16" t="s">
        <v>87</v>
      </c>
      <c r="I11899" s="16" t="s">
        <v>87</v>
      </c>
      <c r="J11899" s="19"/>
      <c r="L11899" s="16" t="str">
        <f>IFERROR(__xludf.DUMMYFUNCTION("""COMPUTED_VALUE"""),"")</f>
        <v/>
      </c>
      <c r="M11899" s="16" t="str">
        <f>IFERROR(__xludf.DUMMYFUNCTION("""COMPUTED_VALUE"""),"")</f>
        <v/>
      </c>
      <c r="U11899" s="16" t="s">
        <v>87</v>
      </c>
      <c r="V11899" s="16" t="str">
        <f>IFERROR(__xludf.DUMMYFUNCTION("""COMPUTED_VALUE"""),"")</f>
        <v/>
      </c>
      <c r="W11899" s="16" t="str">
        <f>IFERROR(__xludf.DUMMYFUNCTION("""COMPUTED_VALUE"""),"")</f>
        <v/>
      </c>
      <c r="X11899" s="16" t="str">
        <f>IFERROR(__xludf.DUMMYFUNCTION("""COMPUTED_VALUE"""),"")</f>
        <v/>
      </c>
      <c r="AC11899" s="16" t="str">
        <f>IFERROR(__xludf.DUMMYFUNCTION("""COMPUTED_VALUE"""),"")</f>
        <v/>
      </c>
    </row>
    <row r="11900">
      <c r="A11900" s="16" t="s">
        <v>87</v>
      </c>
      <c r="E11900" s="16" t="str">
        <f>IFERROR(__xludf.DUMMYFUNCTION("""COMPUTED_VALUE"""),"")</f>
        <v/>
      </c>
      <c r="G11900" s="18"/>
      <c r="H11900" s="16" t="s">
        <v>87</v>
      </c>
      <c r="I11900" s="16" t="s">
        <v>87</v>
      </c>
      <c r="J11900" s="19"/>
      <c r="L11900" s="16" t="str">
        <f>IFERROR(__xludf.DUMMYFUNCTION("""COMPUTED_VALUE"""),"")</f>
        <v/>
      </c>
      <c r="M11900" s="16" t="str">
        <f>IFERROR(__xludf.DUMMYFUNCTION("""COMPUTED_VALUE"""),"")</f>
        <v/>
      </c>
      <c r="U11900" s="16" t="s">
        <v>87</v>
      </c>
      <c r="V11900" s="16" t="str">
        <f>IFERROR(__xludf.DUMMYFUNCTION("""COMPUTED_VALUE"""),"")</f>
        <v/>
      </c>
      <c r="W11900" s="16" t="str">
        <f>IFERROR(__xludf.DUMMYFUNCTION("""COMPUTED_VALUE"""),"")</f>
        <v/>
      </c>
      <c r="X11900" s="16" t="str">
        <f>IFERROR(__xludf.DUMMYFUNCTION("""COMPUTED_VALUE"""),"")</f>
        <v/>
      </c>
      <c r="AC11900" s="16" t="str">
        <f>IFERROR(__xludf.DUMMYFUNCTION("""COMPUTED_VALUE"""),"")</f>
        <v/>
      </c>
    </row>
    <row r="11901">
      <c r="A11901" s="16" t="s">
        <v>87</v>
      </c>
      <c r="E11901" s="16" t="str">
        <f>IFERROR(__xludf.DUMMYFUNCTION("""COMPUTED_VALUE"""),"")</f>
        <v/>
      </c>
      <c r="G11901" s="18"/>
      <c r="H11901" s="16" t="s">
        <v>87</v>
      </c>
      <c r="I11901" s="16" t="s">
        <v>87</v>
      </c>
      <c r="J11901" s="19"/>
      <c r="L11901" s="16" t="str">
        <f>IFERROR(__xludf.DUMMYFUNCTION("""COMPUTED_VALUE"""),"")</f>
        <v/>
      </c>
      <c r="M11901" s="16" t="str">
        <f>IFERROR(__xludf.DUMMYFUNCTION("""COMPUTED_VALUE"""),"")</f>
        <v/>
      </c>
      <c r="U11901" s="16" t="s">
        <v>87</v>
      </c>
      <c r="V11901" s="16" t="str">
        <f>IFERROR(__xludf.DUMMYFUNCTION("""COMPUTED_VALUE"""),"")</f>
        <v/>
      </c>
      <c r="W11901" s="16" t="str">
        <f>IFERROR(__xludf.DUMMYFUNCTION("""COMPUTED_VALUE"""),"")</f>
        <v/>
      </c>
      <c r="X11901" s="16" t="str">
        <f>IFERROR(__xludf.DUMMYFUNCTION("""COMPUTED_VALUE"""),"")</f>
        <v/>
      </c>
      <c r="AC11901" s="16" t="str">
        <f>IFERROR(__xludf.DUMMYFUNCTION("""COMPUTED_VALUE"""),"")</f>
        <v/>
      </c>
    </row>
    <row r="11902">
      <c r="A11902" s="16" t="s">
        <v>87</v>
      </c>
      <c r="E11902" s="16" t="str">
        <f>IFERROR(__xludf.DUMMYFUNCTION("""COMPUTED_VALUE"""),"")</f>
        <v/>
      </c>
      <c r="G11902" s="18"/>
      <c r="H11902" s="16" t="s">
        <v>87</v>
      </c>
      <c r="I11902" s="16" t="s">
        <v>87</v>
      </c>
      <c r="J11902" s="19"/>
      <c r="L11902" s="16" t="str">
        <f>IFERROR(__xludf.DUMMYFUNCTION("""COMPUTED_VALUE"""),"")</f>
        <v/>
      </c>
      <c r="M11902" s="16" t="str">
        <f>IFERROR(__xludf.DUMMYFUNCTION("""COMPUTED_VALUE"""),"")</f>
        <v/>
      </c>
      <c r="U11902" s="16" t="s">
        <v>87</v>
      </c>
      <c r="V11902" s="16" t="str">
        <f>IFERROR(__xludf.DUMMYFUNCTION("""COMPUTED_VALUE"""),"")</f>
        <v/>
      </c>
      <c r="W11902" s="16" t="str">
        <f>IFERROR(__xludf.DUMMYFUNCTION("""COMPUTED_VALUE"""),"")</f>
        <v/>
      </c>
      <c r="X11902" s="16" t="str">
        <f>IFERROR(__xludf.DUMMYFUNCTION("""COMPUTED_VALUE"""),"")</f>
        <v/>
      </c>
      <c r="AC11902" s="16" t="str">
        <f>IFERROR(__xludf.DUMMYFUNCTION("""COMPUTED_VALUE"""),"")</f>
        <v/>
      </c>
    </row>
    <row r="11903">
      <c r="A11903" s="16" t="s">
        <v>87</v>
      </c>
      <c r="E11903" s="16" t="str">
        <f>IFERROR(__xludf.DUMMYFUNCTION("""COMPUTED_VALUE"""),"")</f>
        <v/>
      </c>
      <c r="G11903" s="18"/>
      <c r="H11903" s="16" t="s">
        <v>87</v>
      </c>
      <c r="I11903" s="16" t="s">
        <v>87</v>
      </c>
      <c r="J11903" s="19"/>
      <c r="L11903" s="16" t="str">
        <f>IFERROR(__xludf.DUMMYFUNCTION("""COMPUTED_VALUE"""),"")</f>
        <v/>
      </c>
      <c r="M11903" s="16" t="str">
        <f>IFERROR(__xludf.DUMMYFUNCTION("""COMPUTED_VALUE"""),"")</f>
        <v/>
      </c>
      <c r="U11903" s="16" t="s">
        <v>87</v>
      </c>
      <c r="V11903" s="16" t="str">
        <f>IFERROR(__xludf.DUMMYFUNCTION("""COMPUTED_VALUE"""),"")</f>
        <v/>
      </c>
      <c r="W11903" s="16" t="str">
        <f>IFERROR(__xludf.DUMMYFUNCTION("""COMPUTED_VALUE"""),"")</f>
        <v/>
      </c>
      <c r="X11903" s="16" t="str">
        <f>IFERROR(__xludf.DUMMYFUNCTION("""COMPUTED_VALUE"""),"")</f>
        <v/>
      </c>
      <c r="AC11903" s="16" t="str">
        <f>IFERROR(__xludf.DUMMYFUNCTION("""COMPUTED_VALUE"""),"")</f>
        <v/>
      </c>
    </row>
    <row r="11904">
      <c r="A11904" s="16" t="s">
        <v>87</v>
      </c>
      <c r="E11904" s="16" t="str">
        <f>IFERROR(__xludf.DUMMYFUNCTION("""COMPUTED_VALUE"""),"")</f>
        <v/>
      </c>
      <c r="G11904" s="18"/>
      <c r="H11904" s="16" t="s">
        <v>87</v>
      </c>
      <c r="I11904" s="16" t="s">
        <v>87</v>
      </c>
      <c r="J11904" s="19"/>
      <c r="L11904" s="16" t="str">
        <f>IFERROR(__xludf.DUMMYFUNCTION("""COMPUTED_VALUE"""),"")</f>
        <v/>
      </c>
      <c r="M11904" s="16" t="str">
        <f>IFERROR(__xludf.DUMMYFUNCTION("""COMPUTED_VALUE"""),"")</f>
        <v/>
      </c>
      <c r="U11904" s="16" t="s">
        <v>87</v>
      </c>
      <c r="V11904" s="16" t="str">
        <f>IFERROR(__xludf.DUMMYFUNCTION("""COMPUTED_VALUE"""),"")</f>
        <v/>
      </c>
      <c r="W11904" s="16" t="str">
        <f>IFERROR(__xludf.DUMMYFUNCTION("""COMPUTED_VALUE"""),"")</f>
        <v/>
      </c>
      <c r="X11904" s="16" t="str">
        <f>IFERROR(__xludf.DUMMYFUNCTION("""COMPUTED_VALUE"""),"")</f>
        <v/>
      </c>
      <c r="AC11904" s="16" t="str">
        <f>IFERROR(__xludf.DUMMYFUNCTION("""COMPUTED_VALUE"""),"")</f>
        <v/>
      </c>
    </row>
    <row r="11905">
      <c r="A11905" s="16" t="s">
        <v>87</v>
      </c>
      <c r="E11905" s="16" t="str">
        <f>IFERROR(__xludf.DUMMYFUNCTION("""COMPUTED_VALUE"""),"")</f>
        <v/>
      </c>
      <c r="G11905" s="18"/>
      <c r="H11905" s="16" t="s">
        <v>87</v>
      </c>
      <c r="I11905" s="16" t="s">
        <v>87</v>
      </c>
      <c r="J11905" s="19"/>
      <c r="L11905" s="16" t="str">
        <f>IFERROR(__xludf.DUMMYFUNCTION("""COMPUTED_VALUE"""),"")</f>
        <v/>
      </c>
      <c r="M11905" s="16" t="str">
        <f>IFERROR(__xludf.DUMMYFUNCTION("""COMPUTED_VALUE"""),"")</f>
        <v/>
      </c>
      <c r="U11905" s="16" t="s">
        <v>87</v>
      </c>
      <c r="V11905" s="16" t="str">
        <f>IFERROR(__xludf.DUMMYFUNCTION("""COMPUTED_VALUE"""),"")</f>
        <v/>
      </c>
      <c r="W11905" s="16" t="str">
        <f>IFERROR(__xludf.DUMMYFUNCTION("""COMPUTED_VALUE"""),"")</f>
        <v/>
      </c>
      <c r="X11905" s="16" t="str">
        <f>IFERROR(__xludf.DUMMYFUNCTION("""COMPUTED_VALUE"""),"")</f>
        <v/>
      </c>
      <c r="AC11905" s="16" t="str">
        <f>IFERROR(__xludf.DUMMYFUNCTION("""COMPUTED_VALUE"""),"")</f>
        <v/>
      </c>
    </row>
    <row r="11906">
      <c r="A11906" s="16" t="s">
        <v>87</v>
      </c>
      <c r="E11906" s="16" t="str">
        <f>IFERROR(__xludf.DUMMYFUNCTION("""COMPUTED_VALUE"""),"")</f>
        <v/>
      </c>
      <c r="G11906" s="18"/>
      <c r="H11906" s="16" t="s">
        <v>87</v>
      </c>
      <c r="I11906" s="16" t="s">
        <v>87</v>
      </c>
      <c r="J11906" s="19"/>
      <c r="L11906" s="16" t="str">
        <f>IFERROR(__xludf.DUMMYFUNCTION("""COMPUTED_VALUE"""),"")</f>
        <v/>
      </c>
      <c r="M11906" s="16" t="str">
        <f>IFERROR(__xludf.DUMMYFUNCTION("""COMPUTED_VALUE"""),"")</f>
        <v/>
      </c>
      <c r="U11906" s="16" t="s">
        <v>87</v>
      </c>
      <c r="V11906" s="16" t="str">
        <f>IFERROR(__xludf.DUMMYFUNCTION("""COMPUTED_VALUE"""),"")</f>
        <v/>
      </c>
      <c r="W11906" s="16" t="str">
        <f>IFERROR(__xludf.DUMMYFUNCTION("""COMPUTED_VALUE"""),"")</f>
        <v/>
      </c>
      <c r="X11906" s="16" t="str">
        <f>IFERROR(__xludf.DUMMYFUNCTION("""COMPUTED_VALUE"""),"")</f>
        <v/>
      </c>
      <c r="AC11906" s="16" t="str">
        <f>IFERROR(__xludf.DUMMYFUNCTION("""COMPUTED_VALUE"""),"")</f>
        <v/>
      </c>
    </row>
    <row r="11907">
      <c r="A11907" s="16" t="s">
        <v>87</v>
      </c>
      <c r="E11907" s="16" t="str">
        <f>IFERROR(__xludf.DUMMYFUNCTION("""COMPUTED_VALUE"""),"")</f>
        <v/>
      </c>
      <c r="G11907" s="18"/>
      <c r="H11907" s="16" t="s">
        <v>87</v>
      </c>
      <c r="I11907" s="16" t="s">
        <v>87</v>
      </c>
      <c r="J11907" s="19"/>
      <c r="L11907" s="16" t="str">
        <f>IFERROR(__xludf.DUMMYFUNCTION("""COMPUTED_VALUE"""),"")</f>
        <v/>
      </c>
      <c r="M11907" s="16" t="str">
        <f>IFERROR(__xludf.DUMMYFUNCTION("""COMPUTED_VALUE"""),"")</f>
        <v/>
      </c>
      <c r="U11907" s="16" t="s">
        <v>87</v>
      </c>
      <c r="V11907" s="16" t="str">
        <f>IFERROR(__xludf.DUMMYFUNCTION("""COMPUTED_VALUE"""),"")</f>
        <v/>
      </c>
      <c r="W11907" s="16" t="str">
        <f>IFERROR(__xludf.DUMMYFUNCTION("""COMPUTED_VALUE"""),"")</f>
        <v/>
      </c>
      <c r="X11907" s="16" t="str">
        <f>IFERROR(__xludf.DUMMYFUNCTION("""COMPUTED_VALUE"""),"")</f>
        <v/>
      </c>
      <c r="AC11907" s="16" t="str">
        <f>IFERROR(__xludf.DUMMYFUNCTION("""COMPUTED_VALUE"""),"")</f>
        <v/>
      </c>
    </row>
    <row r="11908">
      <c r="A11908" s="16" t="s">
        <v>87</v>
      </c>
      <c r="E11908" s="16" t="str">
        <f>IFERROR(__xludf.DUMMYFUNCTION("""COMPUTED_VALUE"""),"")</f>
        <v/>
      </c>
      <c r="G11908" s="18"/>
      <c r="H11908" s="16" t="s">
        <v>87</v>
      </c>
      <c r="I11908" s="16" t="s">
        <v>87</v>
      </c>
      <c r="J11908" s="19"/>
      <c r="L11908" s="16" t="str">
        <f>IFERROR(__xludf.DUMMYFUNCTION("""COMPUTED_VALUE"""),"")</f>
        <v/>
      </c>
      <c r="M11908" s="16" t="str">
        <f>IFERROR(__xludf.DUMMYFUNCTION("""COMPUTED_VALUE"""),"")</f>
        <v/>
      </c>
      <c r="U11908" s="16" t="s">
        <v>87</v>
      </c>
      <c r="V11908" s="16" t="str">
        <f>IFERROR(__xludf.DUMMYFUNCTION("""COMPUTED_VALUE"""),"")</f>
        <v/>
      </c>
      <c r="W11908" s="16" t="str">
        <f>IFERROR(__xludf.DUMMYFUNCTION("""COMPUTED_VALUE"""),"")</f>
        <v/>
      </c>
      <c r="X11908" s="16" t="str">
        <f>IFERROR(__xludf.DUMMYFUNCTION("""COMPUTED_VALUE"""),"")</f>
        <v/>
      </c>
      <c r="AC11908" s="16" t="str">
        <f>IFERROR(__xludf.DUMMYFUNCTION("""COMPUTED_VALUE"""),"")</f>
        <v/>
      </c>
    </row>
    <row r="11909">
      <c r="A11909" s="16" t="s">
        <v>87</v>
      </c>
      <c r="E11909" s="16" t="str">
        <f>IFERROR(__xludf.DUMMYFUNCTION("""COMPUTED_VALUE"""),"")</f>
        <v/>
      </c>
      <c r="G11909" s="18"/>
      <c r="H11909" s="16" t="s">
        <v>87</v>
      </c>
      <c r="I11909" s="16" t="s">
        <v>87</v>
      </c>
      <c r="J11909" s="19"/>
      <c r="L11909" s="16" t="str">
        <f>IFERROR(__xludf.DUMMYFUNCTION("""COMPUTED_VALUE"""),"")</f>
        <v/>
      </c>
      <c r="M11909" s="16" t="str">
        <f>IFERROR(__xludf.DUMMYFUNCTION("""COMPUTED_VALUE"""),"")</f>
        <v/>
      </c>
      <c r="U11909" s="16" t="s">
        <v>87</v>
      </c>
      <c r="V11909" s="16" t="str">
        <f>IFERROR(__xludf.DUMMYFUNCTION("""COMPUTED_VALUE"""),"")</f>
        <v/>
      </c>
      <c r="W11909" s="16" t="str">
        <f>IFERROR(__xludf.DUMMYFUNCTION("""COMPUTED_VALUE"""),"")</f>
        <v/>
      </c>
      <c r="X11909" s="16" t="str">
        <f>IFERROR(__xludf.DUMMYFUNCTION("""COMPUTED_VALUE"""),"")</f>
        <v/>
      </c>
      <c r="AC11909" s="16" t="str">
        <f>IFERROR(__xludf.DUMMYFUNCTION("""COMPUTED_VALUE"""),"")</f>
        <v/>
      </c>
    </row>
    <row r="11910">
      <c r="A11910" s="16" t="s">
        <v>87</v>
      </c>
      <c r="E11910" s="16" t="str">
        <f>IFERROR(__xludf.DUMMYFUNCTION("""COMPUTED_VALUE"""),"")</f>
        <v/>
      </c>
      <c r="G11910" s="18"/>
      <c r="H11910" s="16" t="s">
        <v>87</v>
      </c>
      <c r="I11910" s="16" t="s">
        <v>87</v>
      </c>
      <c r="J11910" s="19"/>
      <c r="L11910" s="16" t="str">
        <f>IFERROR(__xludf.DUMMYFUNCTION("""COMPUTED_VALUE"""),"")</f>
        <v/>
      </c>
      <c r="M11910" s="16" t="str">
        <f>IFERROR(__xludf.DUMMYFUNCTION("""COMPUTED_VALUE"""),"")</f>
        <v/>
      </c>
      <c r="U11910" s="16" t="s">
        <v>87</v>
      </c>
      <c r="V11910" s="16" t="str">
        <f>IFERROR(__xludf.DUMMYFUNCTION("""COMPUTED_VALUE"""),"")</f>
        <v/>
      </c>
      <c r="W11910" s="16" t="str">
        <f>IFERROR(__xludf.DUMMYFUNCTION("""COMPUTED_VALUE"""),"")</f>
        <v/>
      </c>
      <c r="X11910" s="16" t="str">
        <f>IFERROR(__xludf.DUMMYFUNCTION("""COMPUTED_VALUE"""),"")</f>
        <v/>
      </c>
      <c r="AC11910" s="16" t="str">
        <f>IFERROR(__xludf.DUMMYFUNCTION("""COMPUTED_VALUE"""),"")</f>
        <v/>
      </c>
    </row>
    <row r="11911">
      <c r="A11911" s="16" t="s">
        <v>87</v>
      </c>
      <c r="E11911" s="16" t="str">
        <f>IFERROR(__xludf.DUMMYFUNCTION("""COMPUTED_VALUE"""),"")</f>
        <v/>
      </c>
      <c r="G11911" s="18"/>
      <c r="H11911" s="16" t="s">
        <v>87</v>
      </c>
      <c r="I11911" s="16" t="s">
        <v>87</v>
      </c>
      <c r="J11911" s="19"/>
      <c r="L11911" s="16" t="str">
        <f>IFERROR(__xludf.DUMMYFUNCTION("""COMPUTED_VALUE"""),"")</f>
        <v/>
      </c>
      <c r="M11911" s="16" t="str">
        <f>IFERROR(__xludf.DUMMYFUNCTION("""COMPUTED_VALUE"""),"")</f>
        <v/>
      </c>
      <c r="U11911" s="16" t="s">
        <v>87</v>
      </c>
      <c r="V11911" s="16" t="str">
        <f>IFERROR(__xludf.DUMMYFUNCTION("""COMPUTED_VALUE"""),"")</f>
        <v/>
      </c>
      <c r="W11911" s="16" t="str">
        <f>IFERROR(__xludf.DUMMYFUNCTION("""COMPUTED_VALUE"""),"")</f>
        <v/>
      </c>
      <c r="X11911" s="16" t="str">
        <f>IFERROR(__xludf.DUMMYFUNCTION("""COMPUTED_VALUE"""),"")</f>
        <v/>
      </c>
      <c r="AC11911" s="16" t="str">
        <f>IFERROR(__xludf.DUMMYFUNCTION("""COMPUTED_VALUE"""),"")</f>
        <v/>
      </c>
    </row>
    <row r="11912">
      <c r="A11912" s="16" t="s">
        <v>87</v>
      </c>
      <c r="E11912" s="16" t="str">
        <f>IFERROR(__xludf.DUMMYFUNCTION("""COMPUTED_VALUE"""),"")</f>
        <v/>
      </c>
      <c r="G11912" s="18"/>
      <c r="H11912" s="16" t="s">
        <v>87</v>
      </c>
      <c r="I11912" s="16" t="s">
        <v>87</v>
      </c>
      <c r="J11912" s="19"/>
      <c r="L11912" s="16" t="str">
        <f>IFERROR(__xludf.DUMMYFUNCTION("""COMPUTED_VALUE"""),"")</f>
        <v/>
      </c>
      <c r="M11912" s="16" t="str">
        <f>IFERROR(__xludf.DUMMYFUNCTION("""COMPUTED_VALUE"""),"")</f>
        <v/>
      </c>
      <c r="U11912" s="16" t="s">
        <v>87</v>
      </c>
      <c r="V11912" s="16" t="str">
        <f>IFERROR(__xludf.DUMMYFUNCTION("""COMPUTED_VALUE"""),"")</f>
        <v/>
      </c>
      <c r="W11912" s="16" t="str">
        <f>IFERROR(__xludf.DUMMYFUNCTION("""COMPUTED_VALUE"""),"")</f>
        <v/>
      </c>
      <c r="X11912" s="16" t="str">
        <f>IFERROR(__xludf.DUMMYFUNCTION("""COMPUTED_VALUE"""),"")</f>
        <v/>
      </c>
      <c r="AC11912" s="16" t="str">
        <f>IFERROR(__xludf.DUMMYFUNCTION("""COMPUTED_VALUE"""),"")</f>
        <v/>
      </c>
    </row>
    <row r="11913">
      <c r="A11913" s="16" t="s">
        <v>87</v>
      </c>
      <c r="E11913" s="16" t="str">
        <f>IFERROR(__xludf.DUMMYFUNCTION("""COMPUTED_VALUE"""),"")</f>
        <v/>
      </c>
      <c r="G11913" s="18"/>
      <c r="H11913" s="16" t="s">
        <v>87</v>
      </c>
      <c r="I11913" s="16" t="s">
        <v>87</v>
      </c>
      <c r="J11913" s="19"/>
      <c r="L11913" s="16" t="str">
        <f>IFERROR(__xludf.DUMMYFUNCTION("""COMPUTED_VALUE"""),"")</f>
        <v/>
      </c>
      <c r="M11913" s="16" t="str">
        <f>IFERROR(__xludf.DUMMYFUNCTION("""COMPUTED_VALUE"""),"")</f>
        <v/>
      </c>
      <c r="U11913" s="16" t="s">
        <v>87</v>
      </c>
      <c r="V11913" s="16" t="str">
        <f>IFERROR(__xludf.DUMMYFUNCTION("""COMPUTED_VALUE"""),"")</f>
        <v/>
      </c>
      <c r="W11913" s="16" t="str">
        <f>IFERROR(__xludf.DUMMYFUNCTION("""COMPUTED_VALUE"""),"")</f>
        <v/>
      </c>
      <c r="X11913" s="16" t="str">
        <f>IFERROR(__xludf.DUMMYFUNCTION("""COMPUTED_VALUE"""),"")</f>
        <v/>
      </c>
      <c r="AC11913" s="16" t="str">
        <f>IFERROR(__xludf.DUMMYFUNCTION("""COMPUTED_VALUE"""),"")</f>
        <v/>
      </c>
    </row>
    <row r="11914">
      <c r="A11914" s="16" t="s">
        <v>87</v>
      </c>
      <c r="E11914" s="16" t="str">
        <f>IFERROR(__xludf.DUMMYFUNCTION("""COMPUTED_VALUE"""),"")</f>
        <v/>
      </c>
      <c r="G11914" s="18"/>
      <c r="H11914" s="16" t="s">
        <v>87</v>
      </c>
      <c r="I11914" s="16" t="s">
        <v>87</v>
      </c>
      <c r="J11914" s="19"/>
      <c r="L11914" s="16" t="str">
        <f>IFERROR(__xludf.DUMMYFUNCTION("""COMPUTED_VALUE"""),"")</f>
        <v/>
      </c>
      <c r="M11914" s="16" t="str">
        <f>IFERROR(__xludf.DUMMYFUNCTION("""COMPUTED_VALUE"""),"")</f>
        <v/>
      </c>
      <c r="U11914" s="16" t="s">
        <v>87</v>
      </c>
      <c r="V11914" s="16" t="str">
        <f>IFERROR(__xludf.DUMMYFUNCTION("""COMPUTED_VALUE"""),"")</f>
        <v/>
      </c>
      <c r="W11914" s="16" t="str">
        <f>IFERROR(__xludf.DUMMYFUNCTION("""COMPUTED_VALUE"""),"")</f>
        <v/>
      </c>
      <c r="X11914" s="16" t="str">
        <f>IFERROR(__xludf.DUMMYFUNCTION("""COMPUTED_VALUE"""),"")</f>
        <v/>
      </c>
      <c r="AC11914" s="16" t="str">
        <f>IFERROR(__xludf.DUMMYFUNCTION("""COMPUTED_VALUE"""),"")</f>
        <v/>
      </c>
    </row>
    <row r="11915">
      <c r="A11915" s="16" t="s">
        <v>87</v>
      </c>
      <c r="E11915" s="16" t="str">
        <f>IFERROR(__xludf.DUMMYFUNCTION("""COMPUTED_VALUE"""),"")</f>
        <v/>
      </c>
      <c r="G11915" s="18"/>
      <c r="H11915" s="16" t="s">
        <v>87</v>
      </c>
      <c r="I11915" s="16" t="s">
        <v>87</v>
      </c>
      <c r="J11915" s="19"/>
      <c r="L11915" s="16" t="str">
        <f>IFERROR(__xludf.DUMMYFUNCTION("""COMPUTED_VALUE"""),"")</f>
        <v/>
      </c>
      <c r="M11915" s="16" t="str">
        <f>IFERROR(__xludf.DUMMYFUNCTION("""COMPUTED_VALUE"""),"")</f>
        <v/>
      </c>
      <c r="U11915" s="16" t="s">
        <v>87</v>
      </c>
      <c r="V11915" s="16" t="str">
        <f>IFERROR(__xludf.DUMMYFUNCTION("""COMPUTED_VALUE"""),"")</f>
        <v/>
      </c>
      <c r="W11915" s="16" t="str">
        <f>IFERROR(__xludf.DUMMYFUNCTION("""COMPUTED_VALUE"""),"")</f>
        <v/>
      </c>
      <c r="X11915" s="16" t="str">
        <f>IFERROR(__xludf.DUMMYFUNCTION("""COMPUTED_VALUE"""),"")</f>
        <v/>
      </c>
      <c r="AC11915" s="16" t="str">
        <f>IFERROR(__xludf.DUMMYFUNCTION("""COMPUTED_VALUE"""),"")</f>
        <v/>
      </c>
    </row>
    <row r="11916">
      <c r="A11916" s="16" t="s">
        <v>87</v>
      </c>
      <c r="E11916" s="16" t="str">
        <f>IFERROR(__xludf.DUMMYFUNCTION("""COMPUTED_VALUE"""),"")</f>
        <v/>
      </c>
      <c r="G11916" s="18"/>
      <c r="H11916" s="16" t="s">
        <v>87</v>
      </c>
      <c r="I11916" s="16" t="s">
        <v>87</v>
      </c>
      <c r="J11916" s="19"/>
      <c r="L11916" s="16" t="str">
        <f>IFERROR(__xludf.DUMMYFUNCTION("""COMPUTED_VALUE"""),"")</f>
        <v/>
      </c>
      <c r="M11916" s="16" t="str">
        <f>IFERROR(__xludf.DUMMYFUNCTION("""COMPUTED_VALUE"""),"")</f>
        <v/>
      </c>
      <c r="U11916" s="16" t="s">
        <v>87</v>
      </c>
      <c r="V11916" s="16" t="str">
        <f>IFERROR(__xludf.DUMMYFUNCTION("""COMPUTED_VALUE"""),"")</f>
        <v/>
      </c>
      <c r="W11916" s="16" t="str">
        <f>IFERROR(__xludf.DUMMYFUNCTION("""COMPUTED_VALUE"""),"")</f>
        <v/>
      </c>
      <c r="X11916" s="16" t="str">
        <f>IFERROR(__xludf.DUMMYFUNCTION("""COMPUTED_VALUE"""),"")</f>
        <v/>
      </c>
      <c r="AC11916" s="16" t="str">
        <f>IFERROR(__xludf.DUMMYFUNCTION("""COMPUTED_VALUE"""),"")</f>
        <v/>
      </c>
    </row>
    <row r="11917">
      <c r="A11917" s="16" t="s">
        <v>87</v>
      </c>
      <c r="E11917" s="16" t="str">
        <f>IFERROR(__xludf.DUMMYFUNCTION("""COMPUTED_VALUE"""),"")</f>
        <v/>
      </c>
      <c r="G11917" s="18"/>
      <c r="H11917" s="16" t="s">
        <v>87</v>
      </c>
      <c r="I11917" s="16" t="s">
        <v>87</v>
      </c>
      <c r="J11917" s="19"/>
      <c r="L11917" s="16" t="str">
        <f>IFERROR(__xludf.DUMMYFUNCTION("""COMPUTED_VALUE"""),"")</f>
        <v/>
      </c>
      <c r="M11917" s="16" t="str">
        <f>IFERROR(__xludf.DUMMYFUNCTION("""COMPUTED_VALUE"""),"")</f>
        <v/>
      </c>
      <c r="U11917" s="16" t="s">
        <v>87</v>
      </c>
      <c r="V11917" s="16" t="str">
        <f>IFERROR(__xludf.DUMMYFUNCTION("""COMPUTED_VALUE"""),"")</f>
        <v/>
      </c>
      <c r="W11917" s="16" t="str">
        <f>IFERROR(__xludf.DUMMYFUNCTION("""COMPUTED_VALUE"""),"")</f>
        <v/>
      </c>
      <c r="X11917" s="16" t="str">
        <f>IFERROR(__xludf.DUMMYFUNCTION("""COMPUTED_VALUE"""),"")</f>
        <v/>
      </c>
      <c r="AC11917" s="16" t="str">
        <f>IFERROR(__xludf.DUMMYFUNCTION("""COMPUTED_VALUE"""),"")</f>
        <v/>
      </c>
    </row>
    <row r="11918">
      <c r="A11918" s="16" t="s">
        <v>87</v>
      </c>
      <c r="E11918" s="16" t="str">
        <f>IFERROR(__xludf.DUMMYFUNCTION("""COMPUTED_VALUE"""),"")</f>
        <v/>
      </c>
      <c r="G11918" s="18"/>
      <c r="H11918" s="16" t="s">
        <v>87</v>
      </c>
      <c r="I11918" s="16" t="s">
        <v>87</v>
      </c>
      <c r="J11918" s="19"/>
      <c r="L11918" s="16" t="str">
        <f>IFERROR(__xludf.DUMMYFUNCTION("""COMPUTED_VALUE"""),"")</f>
        <v/>
      </c>
      <c r="M11918" s="16" t="str">
        <f>IFERROR(__xludf.DUMMYFUNCTION("""COMPUTED_VALUE"""),"")</f>
        <v/>
      </c>
      <c r="U11918" s="16" t="s">
        <v>87</v>
      </c>
      <c r="V11918" s="16" t="str">
        <f>IFERROR(__xludf.DUMMYFUNCTION("""COMPUTED_VALUE"""),"")</f>
        <v/>
      </c>
      <c r="W11918" s="16" t="str">
        <f>IFERROR(__xludf.DUMMYFUNCTION("""COMPUTED_VALUE"""),"")</f>
        <v/>
      </c>
      <c r="X11918" s="16" t="str">
        <f>IFERROR(__xludf.DUMMYFUNCTION("""COMPUTED_VALUE"""),"")</f>
        <v/>
      </c>
      <c r="AC11918" s="16" t="str">
        <f>IFERROR(__xludf.DUMMYFUNCTION("""COMPUTED_VALUE"""),"")</f>
        <v/>
      </c>
    </row>
    <row r="11919">
      <c r="A11919" s="16" t="s">
        <v>87</v>
      </c>
      <c r="E11919" s="16" t="str">
        <f>IFERROR(__xludf.DUMMYFUNCTION("""COMPUTED_VALUE"""),"")</f>
        <v/>
      </c>
      <c r="G11919" s="18"/>
      <c r="H11919" s="16" t="s">
        <v>87</v>
      </c>
      <c r="I11919" s="16" t="s">
        <v>87</v>
      </c>
      <c r="J11919" s="19"/>
      <c r="L11919" s="16" t="str">
        <f>IFERROR(__xludf.DUMMYFUNCTION("""COMPUTED_VALUE"""),"")</f>
        <v/>
      </c>
      <c r="M11919" s="16" t="str">
        <f>IFERROR(__xludf.DUMMYFUNCTION("""COMPUTED_VALUE"""),"")</f>
        <v/>
      </c>
      <c r="U11919" s="16" t="s">
        <v>87</v>
      </c>
      <c r="V11919" s="16" t="str">
        <f>IFERROR(__xludf.DUMMYFUNCTION("""COMPUTED_VALUE"""),"")</f>
        <v/>
      </c>
      <c r="W11919" s="16" t="str">
        <f>IFERROR(__xludf.DUMMYFUNCTION("""COMPUTED_VALUE"""),"")</f>
        <v/>
      </c>
      <c r="X11919" s="16" t="str">
        <f>IFERROR(__xludf.DUMMYFUNCTION("""COMPUTED_VALUE"""),"")</f>
        <v/>
      </c>
      <c r="AC11919" s="16" t="str">
        <f>IFERROR(__xludf.DUMMYFUNCTION("""COMPUTED_VALUE"""),"")</f>
        <v/>
      </c>
    </row>
    <row r="11920">
      <c r="A11920" s="16" t="s">
        <v>87</v>
      </c>
      <c r="E11920" s="16" t="str">
        <f>IFERROR(__xludf.DUMMYFUNCTION("""COMPUTED_VALUE"""),"")</f>
        <v/>
      </c>
      <c r="G11920" s="18"/>
      <c r="H11920" s="16" t="s">
        <v>87</v>
      </c>
      <c r="I11920" s="16" t="s">
        <v>87</v>
      </c>
      <c r="J11920" s="19"/>
      <c r="L11920" s="16" t="str">
        <f>IFERROR(__xludf.DUMMYFUNCTION("""COMPUTED_VALUE"""),"")</f>
        <v/>
      </c>
      <c r="M11920" s="16" t="str">
        <f>IFERROR(__xludf.DUMMYFUNCTION("""COMPUTED_VALUE"""),"")</f>
        <v/>
      </c>
      <c r="U11920" s="16" t="s">
        <v>87</v>
      </c>
      <c r="V11920" s="16" t="str">
        <f>IFERROR(__xludf.DUMMYFUNCTION("""COMPUTED_VALUE"""),"")</f>
        <v/>
      </c>
      <c r="W11920" s="16" t="str">
        <f>IFERROR(__xludf.DUMMYFUNCTION("""COMPUTED_VALUE"""),"")</f>
        <v/>
      </c>
      <c r="X11920" s="16" t="str">
        <f>IFERROR(__xludf.DUMMYFUNCTION("""COMPUTED_VALUE"""),"")</f>
        <v/>
      </c>
      <c r="AC11920" s="16" t="str">
        <f>IFERROR(__xludf.DUMMYFUNCTION("""COMPUTED_VALUE"""),"")</f>
        <v/>
      </c>
    </row>
    <row r="11921">
      <c r="A11921" s="16" t="s">
        <v>87</v>
      </c>
      <c r="E11921" s="16" t="str">
        <f>IFERROR(__xludf.DUMMYFUNCTION("""COMPUTED_VALUE"""),"")</f>
        <v/>
      </c>
      <c r="G11921" s="18"/>
      <c r="H11921" s="16" t="s">
        <v>87</v>
      </c>
      <c r="I11921" s="16" t="s">
        <v>87</v>
      </c>
      <c r="J11921" s="19"/>
      <c r="L11921" s="16" t="str">
        <f>IFERROR(__xludf.DUMMYFUNCTION("""COMPUTED_VALUE"""),"")</f>
        <v/>
      </c>
      <c r="M11921" s="16" t="str">
        <f>IFERROR(__xludf.DUMMYFUNCTION("""COMPUTED_VALUE"""),"")</f>
        <v/>
      </c>
      <c r="U11921" s="16" t="s">
        <v>87</v>
      </c>
      <c r="V11921" s="16" t="str">
        <f>IFERROR(__xludf.DUMMYFUNCTION("""COMPUTED_VALUE"""),"")</f>
        <v/>
      </c>
      <c r="W11921" s="16" t="str">
        <f>IFERROR(__xludf.DUMMYFUNCTION("""COMPUTED_VALUE"""),"")</f>
        <v/>
      </c>
      <c r="X11921" s="16" t="str">
        <f>IFERROR(__xludf.DUMMYFUNCTION("""COMPUTED_VALUE"""),"")</f>
        <v/>
      </c>
      <c r="AC11921" s="16" t="str">
        <f>IFERROR(__xludf.DUMMYFUNCTION("""COMPUTED_VALUE"""),"")</f>
        <v/>
      </c>
    </row>
    <row r="11922">
      <c r="A11922" s="16" t="s">
        <v>87</v>
      </c>
      <c r="E11922" s="16" t="str">
        <f>IFERROR(__xludf.DUMMYFUNCTION("""COMPUTED_VALUE"""),"")</f>
        <v/>
      </c>
      <c r="G11922" s="18"/>
      <c r="H11922" s="16" t="s">
        <v>87</v>
      </c>
      <c r="I11922" s="16" t="s">
        <v>87</v>
      </c>
      <c r="J11922" s="19"/>
      <c r="L11922" s="16" t="str">
        <f>IFERROR(__xludf.DUMMYFUNCTION("""COMPUTED_VALUE"""),"")</f>
        <v/>
      </c>
      <c r="M11922" s="16" t="str">
        <f>IFERROR(__xludf.DUMMYFUNCTION("""COMPUTED_VALUE"""),"")</f>
        <v/>
      </c>
      <c r="U11922" s="16" t="s">
        <v>87</v>
      </c>
      <c r="V11922" s="16" t="str">
        <f>IFERROR(__xludf.DUMMYFUNCTION("""COMPUTED_VALUE"""),"")</f>
        <v/>
      </c>
      <c r="W11922" s="16" t="str">
        <f>IFERROR(__xludf.DUMMYFUNCTION("""COMPUTED_VALUE"""),"")</f>
        <v/>
      </c>
      <c r="X11922" s="16" t="str">
        <f>IFERROR(__xludf.DUMMYFUNCTION("""COMPUTED_VALUE"""),"")</f>
        <v/>
      </c>
      <c r="AC11922" s="16" t="str">
        <f>IFERROR(__xludf.DUMMYFUNCTION("""COMPUTED_VALUE"""),"")</f>
        <v/>
      </c>
    </row>
    <row r="11923">
      <c r="A11923" s="16" t="s">
        <v>87</v>
      </c>
      <c r="E11923" s="16" t="str">
        <f>IFERROR(__xludf.DUMMYFUNCTION("""COMPUTED_VALUE"""),"")</f>
        <v/>
      </c>
      <c r="G11923" s="18"/>
      <c r="H11923" s="16" t="s">
        <v>87</v>
      </c>
      <c r="I11923" s="16" t="s">
        <v>87</v>
      </c>
      <c r="J11923" s="19"/>
      <c r="L11923" s="16" t="str">
        <f>IFERROR(__xludf.DUMMYFUNCTION("""COMPUTED_VALUE"""),"")</f>
        <v/>
      </c>
      <c r="M11923" s="16" t="str">
        <f>IFERROR(__xludf.DUMMYFUNCTION("""COMPUTED_VALUE"""),"")</f>
        <v/>
      </c>
      <c r="U11923" s="16" t="s">
        <v>87</v>
      </c>
      <c r="V11923" s="16" t="str">
        <f>IFERROR(__xludf.DUMMYFUNCTION("""COMPUTED_VALUE"""),"")</f>
        <v/>
      </c>
      <c r="W11923" s="16" t="str">
        <f>IFERROR(__xludf.DUMMYFUNCTION("""COMPUTED_VALUE"""),"")</f>
        <v/>
      </c>
      <c r="X11923" s="16" t="str">
        <f>IFERROR(__xludf.DUMMYFUNCTION("""COMPUTED_VALUE"""),"")</f>
        <v/>
      </c>
      <c r="AC11923" s="16" t="str">
        <f>IFERROR(__xludf.DUMMYFUNCTION("""COMPUTED_VALUE"""),"")</f>
        <v/>
      </c>
    </row>
    <row r="11924">
      <c r="A11924" s="16" t="s">
        <v>87</v>
      </c>
      <c r="E11924" s="16" t="str">
        <f>IFERROR(__xludf.DUMMYFUNCTION("""COMPUTED_VALUE"""),"")</f>
        <v/>
      </c>
      <c r="G11924" s="18"/>
      <c r="H11924" s="16" t="s">
        <v>87</v>
      </c>
      <c r="I11924" s="16" t="s">
        <v>87</v>
      </c>
      <c r="J11924" s="19"/>
      <c r="L11924" s="16" t="str">
        <f>IFERROR(__xludf.DUMMYFUNCTION("""COMPUTED_VALUE"""),"")</f>
        <v/>
      </c>
      <c r="M11924" s="16" t="str">
        <f>IFERROR(__xludf.DUMMYFUNCTION("""COMPUTED_VALUE"""),"")</f>
        <v/>
      </c>
      <c r="U11924" s="16" t="s">
        <v>87</v>
      </c>
      <c r="V11924" s="16" t="str">
        <f>IFERROR(__xludf.DUMMYFUNCTION("""COMPUTED_VALUE"""),"")</f>
        <v/>
      </c>
      <c r="W11924" s="16" t="str">
        <f>IFERROR(__xludf.DUMMYFUNCTION("""COMPUTED_VALUE"""),"")</f>
        <v/>
      </c>
      <c r="X11924" s="16" t="str">
        <f>IFERROR(__xludf.DUMMYFUNCTION("""COMPUTED_VALUE"""),"")</f>
        <v/>
      </c>
      <c r="AC11924" s="16" t="str">
        <f>IFERROR(__xludf.DUMMYFUNCTION("""COMPUTED_VALUE"""),"")</f>
        <v/>
      </c>
    </row>
    <row r="11925">
      <c r="A11925" s="16" t="s">
        <v>87</v>
      </c>
      <c r="E11925" s="16" t="str">
        <f>IFERROR(__xludf.DUMMYFUNCTION("""COMPUTED_VALUE"""),"")</f>
        <v/>
      </c>
      <c r="G11925" s="18"/>
      <c r="H11925" s="16" t="s">
        <v>87</v>
      </c>
      <c r="I11925" s="16" t="s">
        <v>87</v>
      </c>
      <c r="J11925" s="19"/>
      <c r="L11925" s="16" t="str">
        <f>IFERROR(__xludf.DUMMYFUNCTION("""COMPUTED_VALUE"""),"")</f>
        <v/>
      </c>
      <c r="M11925" s="16" t="str">
        <f>IFERROR(__xludf.DUMMYFUNCTION("""COMPUTED_VALUE"""),"")</f>
        <v/>
      </c>
      <c r="U11925" s="16" t="s">
        <v>87</v>
      </c>
      <c r="V11925" s="16" t="str">
        <f>IFERROR(__xludf.DUMMYFUNCTION("""COMPUTED_VALUE"""),"")</f>
        <v/>
      </c>
      <c r="W11925" s="16" t="str">
        <f>IFERROR(__xludf.DUMMYFUNCTION("""COMPUTED_VALUE"""),"")</f>
        <v/>
      </c>
      <c r="X11925" s="16" t="str">
        <f>IFERROR(__xludf.DUMMYFUNCTION("""COMPUTED_VALUE"""),"")</f>
        <v/>
      </c>
      <c r="AC11925" s="16" t="str">
        <f>IFERROR(__xludf.DUMMYFUNCTION("""COMPUTED_VALUE"""),"")</f>
        <v/>
      </c>
    </row>
    <row r="11926">
      <c r="A11926" s="16" t="s">
        <v>87</v>
      </c>
      <c r="E11926" s="16" t="str">
        <f>IFERROR(__xludf.DUMMYFUNCTION("""COMPUTED_VALUE"""),"")</f>
        <v/>
      </c>
      <c r="G11926" s="18"/>
      <c r="H11926" s="16" t="s">
        <v>87</v>
      </c>
      <c r="I11926" s="16" t="s">
        <v>87</v>
      </c>
      <c r="J11926" s="19"/>
      <c r="L11926" s="16" t="str">
        <f>IFERROR(__xludf.DUMMYFUNCTION("""COMPUTED_VALUE"""),"")</f>
        <v/>
      </c>
      <c r="M11926" s="16" t="str">
        <f>IFERROR(__xludf.DUMMYFUNCTION("""COMPUTED_VALUE"""),"")</f>
        <v/>
      </c>
      <c r="U11926" s="16" t="s">
        <v>87</v>
      </c>
      <c r="V11926" s="16" t="str">
        <f>IFERROR(__xludf.DUMMYFUNCTION("""COMPUTED_VALUE"""),"")</f>
        <v/>
      </c>
      <c r="W11926" s="16" t="str">
        <f>IFERROR(__xludf.DUMMYFUNCTION("""COMPUTED_VALUE"""),"")</f>
        <v/>
      </c>
      <c r="X11926" s="16" t="str">
        <f>IFERROR(__xludf.DUMMYFUNCTION("""COMPUTED_VALUE"""),"")</f>
        <v/>
      </c>
      <c r="AC11926" s="16" t="str">
        <f>IFERROR(__xludf.DUMMYFUNCTION("""COMPUTED_VALUE"""),"")</f>
        <v/>
      </c>
    </row>
    <row r="11927">
      <c r="A11927" s="16" t="s">
        <v>87</v>
      </c>
      <c r="E11927" s="16" t="str">
        <f>IFERROR(__xludf.DUMMYFUNCTION("""COMPUTED_VALUE"""),"")</f>
        <v/>
      </c>
      <c r="G11927" s="18"/>
      <c r="H11927" s="16" t="s">
        <v>87</v>
      </c>
      <c r="I11927" s="16" t="s">
        <v>87</v>
      </c>
      <c r="J11927" s="19"/>
      <c r="L11927" s="16" t="str">
        <f>IFERROR(__xludf.DUMMYFUNCTION("""COMPUTED_VALUE"""),"")</f>
        <v/>
      </c>
      <c r="M11927" s="16" t="str">
        <f>IFERROR(__xludf.DUMMYFUNCTION("""COMPUTED_VALUE"""),"")</f>
        <v/>
      </c>
      <c r="U11927" s="16" t="s">
        <v>87</v>
      </c>
      <c r="V11927" s="16" t="str">
        <f>IFERROR(__xludf.DUMMYFUNCTION("""COMPUTED_VALUE"""),"")</f>
        <v/>
      </c>
      <c r="W11927" s="16" t="str">
        <f>IFERROR(__xludf.DUMMYFUNCTION("""COMPUTED_VALUE"""),"")</f>
        <v/>
      </c>
      <c r="X11927" s="16" t="str">
        <f>IFERROR(__xludf.DUMMYFUNCTION("""COMPUTED_VALUE"""),"")</f>
        <v/>
      </c>
      <c r="AC11927" s="16" t="str">
        <f>IFERROR(__xludf.DUMMYFUNCTION("""COMPUTED_VALUE"""),"")</f>
        <v/>
      </c>
    </row>
    <row r="11928">
      <c r="A11928" s="16" t="s">
        <v>87</v>
      </c>
      <c r="E11928" s="16" t="str">
        <f>IFERROR(__xludf.DUMMYFUNCTION("""COMPUTED_VALUE"""),"")</f>
        <v/>
      </c>
      <c r="G11928" s="18"/>
      <c r="H11928" s="16" t="s">
        <v>87</v>
      </c>
      <c r="I11928" s="16" t="s">
        <v>87</v>
      </c>
      <c r="J11928" s="19"/>
      <c r="L11928" s="16" t="str">
        <f>IFERROR(__xludf.DUMMYFUNCTION("""COMPUTED_VALUE"""),"")</f>
        <v/>
      </c>
      <c r="M11928" s="16" t="str">
        <f>IFERROR(__xludf.DUMMYFUNCTION("""COMPUTED_VALUE"""),"")</f>
        <v/>
      </c>
      <c r="U11928" s="16" t="s">
        <v>87</v>
      </c>
      <c r="V11928" s="16" t="str">
        <f>IFERROR(__xludf.DUMMYFUNCTION("""COMPUTED_VALUE"""),"")</f>
        <v/>
      </c>
      <c r="W11928" s="16" t="str">
        <f>IFERROR(__xludf.DUMMYFUNCTION("""COMPUTED_VALUE"""),"")</f>
        <v/>
      </c>
      <c r="X11928" s="16" t="str">
        <f>IFERROR(__xludf.DUMMYFUNCTION("""COMPUTED_VALUE"""),"")</f>
        <v/>
      </c>
      <c r="AC11928" s="16" t="str">
        <f>IFERROR(__xludf.DUMMYFUNCTION("""COMPUTED_VALUE"""),"")</f>
        <v/>
      </c>
    </row>
    <row r="11929">
      <c r="A11929" s="16" t="s">
        <v>87</v>
      </c>
      <c r="E11929" s="16" t="str">
        <f>IFERROR(__xludf.DUMMYFUNCTION("""COMPUTED_VALUE"""),"")</f>
        <v/>
      </c>
      <c r="G11929" s="18"/>
      <c r="H11929" s="16" t="s">
        <v>87</v>
      </c>
      <c r="I11929" s="16" t="s">
        <v>87</v>
      </c>
      <c r="J11929" s="19"/>
      <c r="L11929" s="16" t="str">
        <f>IFERROR(__xludf.DUMMYFUNCTION("""COMPUTED_VALUE"""),"")</f>
        <v/>
      </c>
      <c r="M11929" s="16" t="str">
        <f>IFERROR(__xludf.DUMMYFUNCTION("""COMPUTED_VALUE"""),"")</f>
        <v/>
      </c>
      <c r="U11929" s="16" t="s">
        <v>87</v>
      </c>
      <c r="V11929" s="16" t="str">
        <f>IFERROR(__xludf.DUMMYFUNCTION("""COMPUTED_VALUE"""),"")</f>
        <v/>
      </c>
      <c r="W11929" s="16" t="str">
        <f>IFERROR(__xludf.DUMMYFUNCTION("""COMPUTED_VALUE"""),"")</f>
        <v/>
      </c>
      <c r="X11929" s="16" t="str">
        <f>IFERROR(__xludf.DUMMYFUNCTION("""COMPUTED_VALUE"""),"")</f>
        <v/>
      </c>
      <c r="AC11929" s="16" t="str">
        <f>IFERROR(__xludf.DUMMYFUNCTION("""COMPUTED_VALUE"""),"")</f>
        <v/>
      </c>
    </row>
    <row r="11930">
      <c r="A11930" s="16" t="s">
        <v>87</v>
      </c>
      <c r="E11930" s="16" t="str">
        <f>IFERROR(__xludf.DUMMYFUNCTION("""COMPUTED_VALUE"""),"")</f>
        <v/>
      </c>
      <c r="G11930" s="18"/>
      <c r="H11930" s="16" t="s">
        <v>87</v>
      </c>
      <c r="I11930" s="16" t="s">
        <v>87</v>
      </c>
      <c r="J11930" s="19"/>
      <c r="L11930" s="16" t="str">
        <f>IFERROR(__xludf.DUMMYFUNCTION("""COMPUTED_VALUE"""),"")</f>
        <v/>
      </c>
      <c r="M11930" s="16" t="str">
        <f>IFERROR(__xludf.DUMMYFUNCTION("""COMPUTED_VALUE"""),"")</f>
        <v/>
      </c>
      <c r="U11930" s="16" t="s">
        <v>87</v>
      </c>
      <c r="V11930" s="16" t="str">
        <f>IFERROR(__xludf.DUMMYFUNCTION("""COMPUTED_VALUE"""),"")</f>
        <v/>
      </c>
      <c r="W11930" s="16" t="str">
        <f>IFERROR(__xludf.DUMMYFUNCTION("""COMPUTED_VALUE"""),"")</f>
        <v/>
      </c>
      <c r="X11930" s="16" t="str">
        <f>IFERROR(__xludf.DUMMYFUNCTION("""COMPUTED_VALUE"""),"")</f>
        <v/>
      </c>
      <c r="AC11930" s="16" t="str">
        <f>IFERROR(__xludf.DUMMYFUNCTION("""COMPUTED_VALUE"""),"")</f>
        <v/>
      </c>
    </row>
    <row r="11931">
      <c r="A11931" s="16" t="s">
        <v>87</v>
      </c>
      <c r="E11931" s="16" t="str">
        <f>IFERROR(__xludf.DUMMYFUNCTION("""COMPUTED_VALUE"""),"")</f>
        <v/>
      </c>
      <c r="G11931" s="18"/>
      <c r="H11931" s="16" t="s">
        <v>87</v>
      </c>
      <c r="I11931" s="16" t="s">
        <v>87</v>
      </c>
      <c r="J11931" s="19"/>
      <c r="L11931" s="16" t="str">
        <f>IFERROR(__xludf.DUMMYFUNCTION("""COMPUTED_VALUE"""),"")</f>
        <v/>
      </c>
      <c r="M11931" s="16" t="str">
        <f>IFERROR(__xludf.DUMMYFUNCTION("""COMPUTED_VALUE"""),"")</f>
        <v/>
      </c>
      <c r="U11931" s="16" t="s">
        <v>87</v>
      </c>
      <c r="V11931" s="16" t="str">
        <f>IFERROR(__xludf.DUMMYFUNCTION("""COMPUTED_VALUE"""),"")</f>
        <v/>
      </c>
      <c r="W11931" s="16" t="str">
        <f>IFERROR(__xludf.DUMMYFUNCTION("""COMPUTED_VALUE"""),"")</f>
        <v/>
      </c>
      <c r="X11931" s="16" t="str">
        <f>IFERROR(__xludf.DUMMYFUNCTION("""COMPUTED_VALUE"""),"")</f>
        <v/>
      </c>
      <c r="AC11931" s="16" t="str">
        <f>IFERROR(__xludf.DUMMYFUNCTION("""COMPUTED_VALUE"""),"")</f>
        <v/>
      </c>
    </row>
    <row r="11932">
      <c r="A11932" s="16" t="s">
        <v>87</v>
      </c>
      <c r="E11932" s="16" t="str">
        <f>IFERROR(__xludf.DUMMYFUNCTION("""COMPUTED_VALUE"""),"")</f>
        <v/>
      </c>
      <c r="G11932" s="18"/>
      <c r="H11932" s="16" t="s">
        <v>87</v>
      </c>
      <c r="I11932" s="16" t="s">
        <v>87</v>
      </c>
      <c r="J11932" s="19"/>
      <c r="L11932" s="16" t="str">
        <f>IFERROR(__xludf.DUMMYFUNCTION("""COMPUTED_VALUE"""),"")</f>
        <v/>
      </c>
      <c r="M11932" s="16" t="str">
        <f>IFERROR(__xludf.DUMMYFUNCTION("""COMPUTED_VALUE"""),"")</f>
        <v/>
      </c>
      <c r="U11932" s="16" t="s">
        <v>87</v>
      </c>
      <c r="V11932" s="16" t="str">
        <f>IFERROR(__xludf.DUMMYFUNCTION("""COMPUTED_VALUE"""),"")</f>
        <v/>
      </c>
      <c r="W11932" s="16" t="str">
        <f>IFERROR(__xludf.DUMMYFUNCTION("""COMPUTED_VALUE"""),"")</f>
        <v/>
      </c>
      <c r="X11932" s="16" t="str">
        <f>IFERROR(__xludf.DUMMYFUNCTION("""COMPUTED_VALUE"""),"")</f>
        <v/>
      </c>
      <c r="AC11932" s="16" t="str">
        <f>IFERROR(__xludf.DUMMYFUNCTION("""COMPUTED_VALUE"""),"")</f>
        <v/>
      </c>
    </row>
    <row r="11933">
      <c r="A11933" s="16" t="s">
        <v>87</v>
      </c>
      <c r="E11933" s="16" t="str">
        <f>IFERROR(__xludf.DUMMYFUNCTION("""COMPUTED_VALUE"""),"")</f>
        <v/>
      </c>
      <c r="G11933" s="18"/>
      <c r="H11933" s="16" t="s">
        <v>87</v>
      </c>
      <c r="I11933" s="16" t="s">
        <v>87</v>
      </c>
      <c r="J11933" s="19"/>
      <c r="L11933" s="16" t="str">
        <f>IFERROR(__xludf.DUMMYFUNCTION("""COMPUTED_VALUE"""),"")</f>
        <v/>
      </c>
      <c r="M11933" s="16" t="str">
        <f>IFERROR(__xludf.DUMMYFUNCTION("""COMPUTED_VALUE"""),"")</f>
        <v/>
      </c>
      <c r="U11933" s="16" t="s">
        <v>87</v>
      </c>
      <c r="V11933" s="16" t="str">
        <f>IFERROR(__xludf.DUMMYFUNCTION("""COMPUTED_VALUE"""),"")</f>
        <v/>
      </c>
      <c r="W11933" s="16" t="str">
        <f>IFERROR(__xludf.DUMMYFUNCTION("""COMPUTED_VALUE"""),"")</f>
        <v/>
      </c>
      <c r="X11933" s="16" t="str">
        <f>IFERROR(__xludf.DUMMYFUNCTION("""COMPUTED_VALUE"""),"")</f>
        <v/>
      </c>
      <c r="AC11933" s="16" t="str">
        <f>IFERROR(__xludf.DUMMYFUNCTION("""COMPUTED_VALUE"""),"")</f>
        <v/>
      </c>
    </row>
    <row r="11934">
      <c r="A11934" s="16" t="s">
        <v>87</v>
      </c>
      <c r="E11934" s="16" t="str">
        <f>IFERROR(__xludf.DUMMYFUNCTION("""COMPUTED_VALUE"""),"")</f>
        <v/>
      </c>
      <c r="G11934" s="18"/>
      <c r="H11934" s="16" t="s">
        <v>87</v>
      </c>
      <c r="I11934" s="16" t="s">
        <v>87</v>
      </c>
      <c r="J11934" s="19"/>
      <c r="L11934" s="16" t="str">
        <f>IFERROR(__xludf.DUMMYFUNCTION("""COMPUTED_VALUE"""),"")</f>
        <v/>
      </c>
      <c r="M11934" s="16" t="str">
        <f>IFERROR(__xludf.DUMMYFUNCTION("""COMPUTED_VALUE"""),"")</f>
        <v/>
      </c>
      <c r="U11934" s="16" t="s">
        <v>87</v>
      </c>
      <c r="V11934" s="16" t="str">
        <f>IFERROR(__xludf.DUMMYFUNCTION("""COMPUTED_VALUE"""),"")</f>
        <v/>
      </c>
      <c r="W11934" s="16" t="str">
        <f>IFERROR(__xludf.DUMMYFUNCTION("""COMPUTED_VALUE"""),"")</f>
        <v/>
      </c>
      <c r="X11934" s="16" t="str">
        <f>IFERROR(__xludf.DUMMYFUNCTION("""COMPUTED_VALUE"""),"")</f>
        <v/>
      </c>
      <c r="AC11934" s="16" t="str">
        <f>IFERROR(__xludf.DUMMYFUNCTION("""COMPUTED_VALUE"""),"")</f>
        <v/>
      </c>
    </row>
    <row r="11935">
      <c r="A11935" s="16" t="s">
        <v>87</v>
      </c>
      <c r="E11935" s="16" t="str">
        <f>IFERROR(__xludf.DUMMYFUNCTION("""COMPUTED_VALUE"""),"")</f>
        <v/>
      </c>
      <c r="G11935" s="18"/>
      <c r="H11935" s="16" t="s">
        <v>87</v>
      </c>
      <c r="I11935" s="16" t="s">
        <v>87</v>
      </c>
      <c r="J11935" s="19"/>
      <c r="L11935" s="16" t="str">
        <f>IFERROR(__xludf.DUMMYFUNCTION("""COMPUTED_VALUE"""),"")</f>
        <v/>
      </c>
      <c r="M11935" s="16" t="str">
        <f>IFERROR(__xludf.DUMMYFUNCTION("""COMPUTED_VALUE"""),"")</f>
        <v/>
      </c>
      <c r="U11935" s="16" t="s">
        <v>87</v>
      </c>
      <c r="V11935" s="16" t="str">
        <f>IFERROR(__xludf.DUMMYFUNCTION("""COMPUTED_VALUE"""),"")</f>
        <v/>
      </c>
      <c r="W11935" s="16" t="str">
        <f>IFERROR(__xludf.DUMMYFUNCTION("""COMPUTED_VALUE"""),"")</f>
        <v/>
      </c>
      <c r="X11935" s="16" t="str">
        <f>IFERROR(__xludf.DUMMYFUNCTION("""COMPUTED_VALUE"""),"")</f>
        <v/>
      </c>
      <c r="AC11935" s="16" t="str">
        <f>IFERROR(__xludf.DUMMYFUNCTION("""COMPUTED_VALUE"""),"")</f>
        <v/>
      </c>
    </row>
    <row r="11936">
      <c r="A11936" s="16" t="s">
        <v>87</v>
      </c>
      <c r="E11936" s="16" t="str">
        <f>IFERROR(__xludf.DUMMYFUNCTION("""COMPUTED_VALUE"""),"")</f>
        <v/>
      </c>
      <c r="G11936" s="18"/>
      <c r="H11936" s="16" t="s">
        <v>87</v>
      </c>
      <c r="I11936" s="16" t="s">
        <v>87</v>
      </c>
      <c r="J11936" s="19"/>
      <c r="L11936" s="16" t="str">
        <f>IFERROR(__xludf.DUMMYFUNCTION("""COMPUTED_VALUE"""),"")</f>
        <v/>
      </c>
      <c r="M11936" s="16" t="str">
        <f>IFERROR(__xludf.DUMMYFUNCTION("""COMPUTED_VALUE"""),"")</f>
        <v/>
      </c>
      <c r="U11936" s="16" t="s">
        <v>87</v>
      </c>
      <c r="V11936" s="16" t="str">
        <f>IFERROR(__xludf.DUMMYFUNCTION("""COMPUTED_VALUE"""),"")</f>
        <v/>
      </c>
      <c r="W11936" s="16" t="str">
        <f>IFERROR(__xludf.DUMMYFUNCTION("""COMPUTED_VALUE"""),"")</f>
        <v/>
      </c>
      <c r="X11936" s="16" t="str">
        <f>IFERROR(__xludf.DUMMYFUNCTION("""COMPUTED_VALUE"""),"")</f>
        <v/>
      </c>
      <c r="AC11936" s="16" t="str">
        <f>IFERROR(__xludf.DUMMYFUNCTION("""COMPUTED_VALUE"""),"")</f>
        <v/>
      </c>
    </row>
    <row r="11937">
      <c r="A11937" s="16" t="s">
        <v>87</v>
      </c>
      <c r="E11937" s="16" t="str">
        <f>IFERROR(__xludf.DUMMYFUNCTION("""COMPUTED_VALUE"""),"")</f>
        <v/>
      </c>
      <c r="G11937" s="18"/>
      <c r="H11937" s="16" t="s">
        <v>87</v>
      </c>
      <c r="I11937" s="16" t="s">
        <v>87</v>
      </c>
      <c r="J11937" s="19"/>
      <c r="L11937" s="16" t="str">
        <f>IFERROR(__xludf.DUMMYFUNCTION("""COMPUTED_VALUE"""),"")</f>
        <v/>
      </c>
      <c r="M11937" s="16" t="str">
        <f>IFERROR(__xludf.DUMMYFUNCTION("""COMPUTED_VALUE"""),"")</f>
        <v/>
      </c>
      <c r="U11937" s="16" t="s">
        <v>87</v>
      </c>
      <c r="V11937" s="16" t="str">
        <f>IFERROR(__xludf.DUMMYFUNCTION("""COMPUTED_VALUE"""),"")</f>
        <v/>
      </c>
      <c r="W11937" s="16" t="str">
        <f>IFERROR(__xludf.DUMMYFUNCTION("""COMPUTED_VALUE"""),"")</f>
        <v/>
      </c>
      <c r="X11937" s="16" t="str">
        <f>IFERROR(__xludf.DUMMYFUNCTION("""COMPUTED_VALUE"""),"")</f>
        <v/>
      </c>
      <c r="AC11937" s="16" t="str">
        <f>IFERROR(__xludf.DUMMYFUNCTION("""COMPUTED_VALUE"""),"")</f>
        <v/>
      </c>
    </row>
    <row r="11938">
      <c r="A11938" s="16" t="s">
        <v>87</v>
      </c>
      <c r="E11938" s="16" t="str">
        <f>IFERROR(__xludf.DUMMYFUNCTION("""COMPUTED_VALUE"""),"")</f>
        <v/>
      </c>
      <c r="G11938" s="18"/>
      <c r="H11938" s="16" t="s">
        <v>87</v>
      </c>
      <c r="I11938" s="16" t="s">
        <v>87</v>
      </c>
      <c r="J11938" s="19"/>
      <c r="L11938" s="16" t="str">
        <f>IFERROR(__xludf.DUMMYFUNCTION("""COMPUTED_VALUE"""),"")</f>
        <v/>
      </c>
      <c r="M11938" s="16" t="str">
        <f>IFERROR(__xludf.DUMMYFUNCTION("""COMPUTED_VALUE"""),"")</f>
        <v/>
      </c>
      <c r="U11938" s="16" t="s">
        <v>87</v>
      </c>
      <c r="V11938" s="16" t="str">
        <f>IFERROR(__xludf.DUMMYFUNCTION("""COMPUTED_VALUE"""),"")</f>
        <v/>
      </c>
      <c r="W11938" s="16" t="str">
        <f>IFERROR(__xludf.DUMMYFUNCTION("""COMPUTED_VALUE"""),"")</f>
        <v/>
      </c>
      <c r="X11938" s="16" t="str">
        <f>IFERROR(__xludf.DUMMYFUNCTION("""COMPUTED_VALUE"""),"")</f>
        <v/>
      </c>
      <c r="AC11938" s="16" t="str">
        <f>IFERROR(__xludf.DUMMYFUNCTION("""COMPUTED_VALUE"""),"")</f>
        <v/>
      </c>
    </row>
    <row r="11939">
      <c r="A11939" s="16" t="s">
        <v>87</v>
      </c>
      <c r="E11939" s="16" t="str">
        <f>IFERROR(__xludf.DUMMYFUNCTION("""COMPUTED_VALUE"""),"")</f>
        <v/>
      </c>
      <c r="G11939" s="18"/>
      <c r="H11939" s="16" t="s">
        <v>87</v>
      </c>
      <c r="I11939" s="16" t="s">
        <v>87</v>
      </c>
      <c r="J11939" s="19"/>
      <c r="L11939" s="16" t="str">
        <f>IFERROR(__xludf.DUMMYFUNCTION("""COMPUTED_VALUE"""),"")</f>
        <v/>
      </c>
      <c r="M11939" s="16" t="str">
        <f>IFERROR(__xludf.DUMMYFUNCTION("""COMPUTED_VALUE"""),"")</f>
        <v/>
      </c>
      <c r="U11939" s="16" t="s">
        <v>87</v>
      </c>
      <c r="V11939" s="16" t="str">
        <f>IFERROR(__xludf.DUMMYFUNCTION("""COMPUTED_VALUE"""),"")</f>
        <v/>
      </c>
      <c r="W11939" s="16" t="str">
        <f>IFERROR(__xludf.DUMMYFUNCTION("""COMPUTED_VALUE"""),"")</f>
        <v/>
      </c>
      <c r="X11939" s="16" t="str">
        <f>IFERROR(__xludf.DUMMYFUNCTION("""COMPUTED_VALUE"""),"")</f>
        <v/>
      </c>
      <c r="AC11939" s="16" t="str">
        <f>IFERROR(__xludf.DUMMYFUNCTION("""COMPUTED_VALUE"""),"")</f>
        <v/>
      </c>
    </row>
    <row r="11940">
      <c r="A11940" s="16" t="s">
        <v>87</v>
      </c>
      <c r="E11940" s="16" t="str">
        <f>IFERROR(__xludf.DUMMYFUNCTION("""COMPUTED_VALUE"""),"")</f>
        <v/>
      </c>
      <c r="G11940" s="18"/>
      <c r="H11940" s="16" t="s">
        <v>87</v>
      </c>
      <c r="I11940" s="16" t="s">
        <v>87</v>
      </c>
      <c r="J11940" s="19"/>
      <c r="L11940" s="16" t="str">
        <f>IFERROR(__xludf.DUMMYFUNCTION("""COMPUTED_VALUE"""),"")</f>
        <v/>
      </c>
      <c r="M11940" s="16" t="str">
        <f>IFERROR(__xludf.DUMMYFUNCTION("""COMPUTED_VALUE"""),"")</f>
        <v/>
      </c>
      <c r="U11940" s="16" t="s">
        <v>87</v>
      </c>
      <c r="V11940" s="16" t="str">
        <f>IFERROR(__xludf.DUMMYFUNCTION("""COMPUTED_VALUE"""),"")</f>
        <v/>
      </c>
      <c r="W11940" s="16" t="str">
        <f>IFERROR(__xludf.DUMMYFUNCTION("""COMPUTED_VALUE"""),"")</f>
        <v/>
      </c>
      <c r="X11940" s="16" t="str">
        <f>IFERROR(__xludf.DUMMYFUNCTION("""COMPUTED_VALUE"""),"")</f>
        <v/>
      </c>
      <c r="AC11940" s="16" t="str">
        <f>IFERROR(__xludf.DUMMYFUNCTION("""COMPUTED_VALUE"""),"")</f>
        <v/>
      </c>
    </row>
    <row r="11941">
      <c r="A11941" s="16" t="s">
        <v>87</v>
      </c>
      <c r="E11941" s="16" t="str">
        <f>IFERROR(__xludf.DUMMYFUNCTION("""COMPUTED_VALUE"""),"")</f>
        <v/>
      </c>
      <c r="G11941" s="18"/>
      <c r="H11941" s="16" t="s">
        <v>87</v>
      </c>
      <c r="I11941" s="16" t="s">
        <v>87</v>
      </c>
      <c r="J11941" s="19"/>
      <c r="L11941" s="16" t="str">
        <f>IFERROR(__xludf.DUMMYFUNCTION("""COMPUTED_VALUE"""),"")</f>
        <v/>
      </c>
      <c r="M11941" s="16" t="str">
        <f>IFERROR(__xludf.DUMMYFUNCTION("""COMPUTED_VALUE"""),"")</f>
        <v/>
      </c>
      <c r="U11941" s="16" t="s">
        <v>87</v>
      </c>
      <c r="V11941" s="16" t="str">
        <f>IFERROR(__xludf.DUMMYFUNCTION("""COMPUTED_VALUE"""),"")</f>
        <v/>
      </c>
      <c r="W11941" s="16" t="str">
        <f>IFERROR(__xludf.DUMMYFUNCTION("""COMPUTED_VALUE"""),"")</f>
        <v/>
      </c>
      <c r="X11941" s="16" t="str">
        <f>IFERROR(__xludf.DUMMYFUNCTION("""COMPUTED_VALUE"""),"")</f>
        <v/>
      </c>
      <c r="AC11941" s="16" t="str">
        <f>IFERROR(__xludf.DUMMYFUNCTION("""COMPUTED_VALUE"""),"")</f>
        <v/>
      </c>
    </row>
    <row r="11942">
      <c r="A11942" s="16" t="s">
        <v>87</v>
      </c>
      <c r="E11942" s="16" t="str">
        <f>IFERROR(__xludf.DUMMYFUNCTION("""COMPUTED_VALUE"""),"")</f>
        <v/>
      </c>
      <c r="G11942" s="18"/>
      <c r="H11942" s="16" t="s">
        <v>87</v>
      </c>
      <c r="I11942" s="16" t="s">
        <v>87</v>
      </c>
      <c r="J11942" s="19"/>
      <c r="L11942" s="16" t="str">
        <f>IFERROR(__xludf.DUMMYFUNCTION("""COMPUTED_VALUE"""),"")</f>
        <v/>
      </c>
      <c r="M11942" s="16" t="str">
        <f>IFERROR(__xludf.DUMMYFUNCTION("""COMPUTED_VALUE"""),"")</f>
        <v/>
      </c>
      <c r="U11942" s="16" t="s">
        <v>87</v>
      </c>
      <c r="V11942" s="16" t="str">
        <f>IFERROR(__xludf.DUMMYFUNCTION("""COMPUTED_VALUE"""),"")</f>
        <v/>
      </c>
      <c r="W11942" s="16" t="str">
        <f>IFERROR(__xludf.DUMMYFUNCTION("""COMPUTED_VALUE"""),"")</f>
        <v/>
      </c>
      <c r="X11942" s="16" t="str">
        <f>IFERROR(__xludf.DUMMYFUNCTION("""COMPUTED_VALUE"""),"")</f>
        <v/>
      </c>
      <c r="AC11942" s="16" t="str">
        <f>IFERROR(__xludf.DUMMYFUNCTION("""COMPUTED_VALUE"""),"")</f>
        <v/>
      </c>
    </row>
    <row r="11943">
      <c r="A11943" s="16" t="s">
        <v>87</v>
      </c>
      <c r="E11943" s="16" t="str">
        <f>IFERROR(__xludf.DUMMYFUNCTION("""COMPUTED_VALUE"""),"")</f>
        <v/>
      </c>
      <c r="G11943" s="18"/>
      <c r="H11943" s="16" t="s">
        <v>87</v>
      </c>
      <c r="I11943" s="16" t="s">
        <v>87</v>
      </c>
      <c r="J11943" s="19"/>
      <c r="L11943" s="16" t="str">
        <f>IFERROR(__xludf.DUMMYFUNCTION("""COMPUTED_VALUE"""),"")</f>
        <v/>
      </c>
      <c r="M11943" s="16" t="str">
        <f>IFERROR(__xludf.DUMMYFUNCTION("""COMPUTED_VALUE"""),"")</f>
        <v/>
      </c>
      <c r="U11943" s="16" t="s">
        <v>87</v>
      </c>
      <c r="V11943" s="16" t="str">
        <f>IFERROR(__xludf.DUMMYFUNCTION("""COMPUTED_VALUE"""),"")</f>
        <v/>
      </c>
      <c r="W11943" s="16" t="str">
        <f>IFERROR(__xludf.DUMMYFUNCTION("""COMPUTED_VALUE"""),"")</f>
        <v/>
      </c>
      <c r="X11943" s="16" t="str">
        <f>IFERROR(__xludf.DUMMYFUNCTION("""COMPUTED_VALUE"""),"")</f>
        <v/>
      </c>
      <c r="AC11943" s="16" t="str">
        <f>IFERROR(__xludf.DUMMYFUNCTION("""COMPUTED_VALUE"""),"")</f>
        <v/>
      </c>
    </row>
    <row r="11944">
      <c r="A11944" s="16" t="s">
        <v>87</v>
      </c>
      <c r="E11944" s="16" t="str">
        <f>IFERROR(__xludf.DUMMYFUNCTION("""COMPUTED_VALUE"""),"")</f>
        <v/>
      </c>
      <c r="G11944" s="18"/>
      <c r="H11944" s="16" t="s">
        <v>87</v>
      </c>
      <c r="I11944" s="16" t="s">
        <v>87</v>
      </c>
      <c r="J11944" s="19"/>
      <c r="L11944" s="16" t="str">
        <f>IFERROR(__xludf.DUMMYFUNCTION("""COMPUTED_VALUE"""),"")</f>
        <v/>
      </c>
      <c r="M11944" s="16" t="str">
        <f>IFERROR(__xludf.DUMMYFUNCTION("""COMPUTED_VALUE"""),"")</f>
        <v/>
      </c>
      <c r="U11944" s="16" t="s">
        <v>87</v>
      </c>
      <c r="V11944" s="16" t="str">
        <f>IFERROR(__xludf.DUMMYFUNCTION("""COMPUTED_VALUE"""),"")</f>
        <v/>
      </c>
      <c r="W11944" s="16" t="str">
        <f>IFERROR(__xludf.DUMMYFUNCTION("""COMPUTED_VALUE"""),"")</f>
        <v/>
      </c>
      <c r="X11944" s="16" t="str">
        <f>IFERROR(__xludf.DUMMYFUNCTION("""COMPUTED_VALUE"""),"")</f>
        <v/>
      </c>
      <c r="AC11944" s="16" t="str">
        <f>IFERROR(__xludf.DUMMYFUNCTION("""COMPUTED_VALUE"""),"")</f>
        <v/>
      </c>
    </row>
    <row r="11945">
      <c r="A11945" s="16" t="s">
        <v>87</v>
      </c>
      <c r="E11945" s="16" t="str">
        <f>IFERROR(__xludf.DUMMYFUNCTION("""COMPUTED_VALUE"""),"")</f>
        <v/>
      </c>
      <c r="G11945" s="18"/>
      <c r="H11945" s="16" t="s">
        <v>87</v>
      </c>
      <c r="I11945" s="16" t="s">
        <v>87</v>
      </c>
      <c r="J11945" s="19"/>
      <c r="L11945" s="16" t="str">
        <f>IFERROR(__xludf.DUMMYFUNCTION("""COMPUTED_VALUE"""),"")</f>
        <v/>
      </c>
      <c r="M11945" s="16" t="str">
        <f>IFERROR(__xludf.DUMMYFUNCTION("""COMPUTED_VALUE"""),"")</f>
        <v/>
      </c>
      <c r="U11945" s="16" t="s">
        <v>87</v>
      </c>
      <c r="V11945" s="16" t="str">
        <f>IFERROR(__xludf.DUMMYFUNCTION("""COMPUTED_VALUE"""),"")</f>
        <v/>
      </c>
      <c r="W11945" s="16" t="str">
        <f>IFERROR(__xludf.DUMMYFUNCTION("""COMPUTED_VALUE"""),"")</f>
        <v/>
      </c>
      <c r="X11945" s="16" t="str">
        <f>IFERROR(__xludf.DUMMYFUNCTION("""COMPUTED_VALUE"""),"")</f>
        <v/>
      </c>
      <c r="AC11945" s="16" t="str">
        <f>IFERROR(__xludf.DUMMYFUNCTION("""COMPUTED_VALUE"""),"")</f>
        <v/>
      </c>
    </row>
    <row r="11946">
      <c r="A11946" s="16" t="s">
        <v>87</v>
      </c>
      <c r="E11946" s="16" t="str">
        <f>IFERROR(__xludf.DUMMYFUNCTION("""COMPUTED_VALUE"""),"")</f>
        <v/>
      </c>
      <c r="G11946" s="18"/>
      <c r="H11946" s="16" t="s">
        <v>87</v>
      </c>
      <c r="I11946" s="16" t="s">
        <v>87</v>
      </c>
      <c r="J11946" s="19"/>
      <c r="L11946" s="16" t="str">
        <f>IFERROR(__xludf.DUMMYFUNCTION("""COMPUTED_VALUE"""),"")</f>
        <v/>
      </c>
      <c r="M11946" s="16" t="str">
        <f>IFERROR(__xludf.DUMMYFUNCTION("""COMPUTED_VALUE"""),"")</f>
        <v/>
      </c>
      <c r="U11946" s="16" t="s">
        <v>87</v>
      </c>
      <c r="V11946" s="16" t="str">
        <f>IFERROR(__xludf.DUMMYFUNCTION("""COMPUTED_VALUE"""),"")</f>
        <v/>
      </c>
      <c r="W11946" s="16" t="str">
        <f>IFERROR(__xludf.DUMMYFUNCTION("""COMPUTED_VALUE"""),"")</f>
        <v/>
      </c>
      <c r="X11946" s="16" t="str">
        <f>IFERROR(__xludf.DUMMYFUNCTION("""COMPUTED_VALUE"""),"")</f>
        <v/>
      </c>
      <c r="AC11946" s="16" t="str">
        <f>IFERROR(__xludf.DUMMYFUNCTION("""COMPUTED_VALUE"""),"")</f>
        <v/>
      </c>
    </row>
    <row r="11947">
      <c r="A11947" s="16" t="s">
        <v>87</v>
      </c>
      <c r="E11947" s="16" t="str">
        <f>IFERROR(__xludf.DUMMYFUNCTION("""COMPUTED_VALUE"""),"")</f>
        <v/>
      </c>
      <c r="G11947" s="18"/>
      <c r="H11947" s="16" t="s">
        <v>87</v>
      </c>
      <c r="I11947" s="16" t="s">
        <v>87</v>
      </c>
      <c r="J11947" s="19"/>
      <c r="L11947" s="16" t="str">
        <f>IFERROR(__xludf.DUMMYFUNCTION("""COMPUTED_VALUE"""),"")</f>
        <v/>
      </c>
      <c r="M11947" s="16" t="str">
        <f>IFERROR(__xludf.DUMMYFUNCTION("""COMPUTED_VALUE"""),"")</f>
        <v/>
      </c>
      <c r="U11947" s="16" t="s">
        <v>87</v>
      </c>
      <c r="V11947" s="16" t="str">
        <f>IFERROR(__xludf.DUMMYFUNCTION("""COMPUTED_VALUE"""),"")</f>
        <v/>
      </c>
      <c r="W11947" s="16" t="str">
        <f>IFERROR(__xludf.DUMMYFUNCTION("""COMPUTED_VALUE"""),"")</f>
        <v/>
      </c>
      <c r="X11947" s="16" t="str">
        <f>IFERROR(__xludf.DUMMYFUNCTION("""COMPUTED_VALUE"""),"")</f>
        <v/>
      </c>
      <c r="AC11947" s="16" t="str">
        <f>IFERROR(__xludf.DUMMYFUNCTION("""COMPUTED_VALUE"""),"")</f>
        <v/>
      </c>
    </row>
    <row r="11948">
      <c r="A11948" s="16" t="s">
        <v>87</v>
      </c>
      <c r="E11948" s="16" t="str">
        <f>IFERROR(__xludf.DUMMYFUNCTION("""COMPUTED_VALUE"""),"")</f>
        <v/>
      </c>
      <c r="G11948" s="18"/>
      <c r="H11948" s="16" t="s">
        <v>87</v>
      </c>
      <c r="I11948" s="16" t="s">
        <v>87</v>
      </c>
      <c r="J11948" s="19"/>
      <c r="L11948" s="16" t="str">
        <f>IFERROR(__xludf.DUMMYFUNCTION("""COMPUTED_VALUE"""),"")</f>
        <v/>
      </c>
      <c r="M11948" s="16" t="str">
        <f>IFERROR(__xludf.DUMMYFUNCTION("""COMPUTED_VALUE"""),"")</f>
        <v/>
      </c>
      <c r="U11948" s="16" t="s">
        <v>87</v>
      </c>
      <c r="V11948" s="16" t="str">
        <f>IFERROR(__xludf.DUMMYFUNCTION("""COMPUTED_VALUE"""),"")</f>
        <v/>
      </c>
      <c r="W11948" s="16" t="str">
        <f>IFERROR(__xludf.DUMMYFUNCTION("""COMPUTED_VALUE"""),"")</f>
        <v/>
      </c>
      <c r="X11948" s="16" t="str">
        <f>IFERROR(__xludf.DUMMYFUNCTION("""COMPUTED_VALUE"""),"")</f>
        <v/>
      </c>
      <c r="AC11948" s="16" t="str">
        <f>IFERROR(__xludf.DUMMYFUNCTION("""COMPUTED_VALUE"""),"")</f>
        <v/>
      </c>
    </row>
    <row r="11949">
      <c r="A11949" s="16" t="s">
        <v>87</v>
      </c>
      <c r="E11949" s="16" t="str">
        <f>IFERROR(__xludf.DUMMYFUNCTION("""COMPUTED_VALUE"""),"")</f>
        <v/>
      </c>
      <c r="G11949" s="18"/>
      <c r="H11949" s="16" t="s">
        <v>87</v>
      </c>
      <c r="I11949" s="16" t="s">
        <v>87</v>
      </c>
      <c r="J11949" s="19"/>
      <c r="L11949" s="16" t="str">
        <f>IFERROR(__xludf.DUMMYFUNCTION("""COMPUTED_VALUE"""),"")</f>
        <v/>
      </c>
      <c r="M11949" s="16" t="str">
        <f>IFERROR(__xludf.DUMMYFUNCTION("""COMPUTED_VALUE"""),"")</f>
        <v/>
      </c>
      <c r="U11949" s="16" t="s">
        <v>87</v>
      </c>
      <c r="V11949" s="16" t="str">
        <f>IFERROR(__xludf.DUMMYFUNCTION("""COMPUTED_VALUE"""),"")</f>
        <v/>
      </c>
      <c r="W11949" s="16" t="str">
        <f>IFERROR(__xludf.DUMMYFUNCTION("""COMPUTED_VALUE"""),"")</f>
        <v/>
      </c>
      <c r="X11949" s="16" t="str">
        <f>IFERROR(__xludf.DUMMYFUNCTION("""COMPUTED_VALUE"""),"")</f>
        <v/>
      </c>
      <c r="AC11949" s="16" t="str">
        <f>IFERROR(__xludf.DUMMYFUNCTION("""COMPUTED_VALUE"""),"")</f>
        <v/>
      </c>
    </row>
    <row r="11950">
      <c r="A11950" s="16" t="s">
        <v>87</v>
      </c>
      <c r="E11950" s="16" t="str">
        <f>IFERROR(__xludf.DUMMYFUNCTION("""COMPUTED_VALUE"""),"")</f>
        <v/>
      </c>
      <c r="G11950" s="18"/>
      <c r="H11950" s="16" t="s">
        <v>87</v>
      </c>
      <c r="I11950" s="16" t="s">
        <v>87</v>
      </c>
      <c r="J11950" s="19"/>
      <c r="L11950" s="16" t="str">
        <f>IFERROR(__xludf.DUMMYFUNCTION("""COMPUTED_VALUE"""),"")</f>
        <v/>
      </c>
      <c r="M11950" s="16" t="str">
        <f>IFERROR(__xludf.DUMMYFUNCTION("""COMPUTED_VALUE"""),"")</f>
        <v/>
      </c>
      <c r="U11950" s="16" t="s">
        <v>87</v>
      </c>
      <c r="V11950" s="16" t="str">
        <f>IFERROR(__xludf.DUMMYFUNCTION("""COMPUTED_VALUE"""),"")</f>
        <v/>
      </c>
      <c r="W11950" s="16" t="str">
        <f>IFERROR(__xludf.DUMMYFUNCTION("""COMPUTED_VALUE"""),"")</f>
        <v/>
      </c>
      <c r="X11950" s="16" t="str">
        <f>IFERROR(__xludf.DUMMYFUNCTION("""COMPUTED_VALUE"""),"")</f>
        <v/>
      </c>
      <c r="AC11950" s="16" t="str">
        <f>IFERROR(__xludf.DUMMYFUNCTION("""COMPUTED_VALUE"""),"")</f>
        <v/>
      </c>
    </row>
    <row r="11951">
      <c r="A11951" s="16" t="s">
        <v>87</v>
      </c>
      <c r="E11951" s="16" t="str">
        <f>IFERROR(__xludf.DUMMYFUNCTION("""COMPUTED_VALUE"""),"")</f>
        <v/>
      </c>
      <c r="G11951" s="18"/>
      <c r="H11951" s="16" t="s">
        <v>87</v>
      </c>
      <c r="I11951" s="16" t="s">
        <v>87</v>
      </c>
      <c r="J11951" s="19"/>
      <c r="L11951" s="16" t="str">
        <f>IFERROR(__xludf.DUMMYFUNCTION("""COMPUTED_VALUE"""),"")</f>
        <v/>
      </c>
      <c r="M11951" s="16" t="str">
        <f>IFERROR(__xludf.DUMMYFUNCTION("""COMPUTED_VALUE"""),"")</f>
        <v/>
      </c>
      <c r="U11951" s="16" t="s">
        <v>87</v>
      </c>
      <c r="V11951" s="16" t="str">
        <f>IFERROR(__xludf.DUMMYFUNCTION("""COMPUTED_VALUE"""),"")</f>
        <v/>
      </c>
      <c r="W11951" s="16" t="str">
        <f>IFERROR(__xludf.DUMMYFUNCTION("""COMPUTED_VALUE"""),"")</f>
        <v/>
      </c>
      <c r="X11951" s="16" t="str">
        <f>IFERROR(__xludf.DUMMYFUNCTION("""COMPUTED_VALUE"""),"")</f>
        <v/>
      </c>
      <c r="AC11951" s="16" t="str">
        <f>IFERROR(__xludf.DUMMYFUNCTION("""COMPUTED_VALUE"""),"")</f>
        <v/>
      </c>
    </row>
    <row r="11952">
      <c r="A11952" s="16" t="s">
        <v>87</v>
      </c>
      <c r="E11952" s="16" t="str">
        <f>IFERROR(__xludf.DUMMYFUNCTION("""COMPUTED_VALUE"""),"")</f>
        <v/>
      </c>
      <c r="G11952" s="18"/>
      <c r="H11952" s="16" t="s">
        <v>87</v>
      </c>
      <c r="I11952" s="16" t="s">
        <v>87</v>
      </c>
      <c r="J11952" s="19"/>
      <c r="L11952" s="16" t="str">
        <f>IFERROR(__xludf.DUMMYFUNCTION("""COMPUTED_VALUE"""),"")</f>
        <v/>
      </c>
      <c r="M11952" s="16" t="str">
        <f>IFERROR(__xludf.DUMMYFUNCTION("""COMPUTED_VALUE"""),"")</f>
        <v/>
      </c>
      <c r="U11952" s="16" t="s">
        <v>87</v>
      </c>
      <c r="V11952" s="16" t="str">
        <f>IFERROR(__xludf.DUMMYFUNCTION("""COMPUTED_VALUE"""),"")</f>
        <v/>
      </c>
      <c r="W11952" s="16" t="str">
        <f>IFERROR(__xludf.DUMMYFUNCTION("""COMPUTED_VALUE"""),"")</f>
        <v/>
      </c>
      <c r="X11952" s="16" t="str">
        <f>IFERROR(__xludf.DUMMYFUNCTION("""COMPUTED_VALUE"""),"")</f>
        <v/>
      </c>
      <c r="AC11952" s="16" t="str">
        <f>IFERROR(__xludf.DUMMYFUNCTION("""COMPUTED_VALUE"""),"")</f>
        <v/>
      </c>
    </row>
    <row r="11953">
      <c r="A11953" s="16" t="s">
        <v>87</v>
      </c>
      <c r="E11953" s="16" t="str">
        <f>IFERROR(__xludf.DUMMYFUNCTION("""COMPUTED_VALUE"""),"")</f>
        <v/>
      </c>
      <c r="G11953" s="18"/>
      <c r="H11953" s="16" t="s">
        <v>87</v>
      </c>
      <c r="I11953" s="16" t="s">
        <v>87</v>
      </c>
      <c r="J11953" s="19"/>
      <c r="L11953" s="16" t="str">
        <f>IFERROR(__xludf.DUMMYFUNCTION("""COMPUTED_VALUE"""),"")</f>
        <v/>
      </c>
      <c r="M11953" s="16" t="str">
        <f>IFERROR(__xludf.DUMMYFUNCTION("""COMPUTED_VALUE"""),"")</f>
        <v/>
      </c>
      <c r="U11953" s="16" t="s">
        <v>87</v>
      </c>
      <c r="V11953" s="16" t="str">
        <f>IFERROR(__xludf.DUMMYFUNCTION("""COMPUTED_VALUE"""),"")</f>
        <v/>
      </c>
      <c r="W11953" s="16" t="str">
        <f>IFERROR(__xludf.DUMMYFUNCTION("""COMPUTED_VALUE"""),"")</f>
        <v/>
      </c>
      <c r="X11953" s="16" t="str">
        <f>IFERROR(__xludf.DUMMYFUNCTION("""COMPUTED_VALUE"""),"")</f>
        <v/>
      </c>
      <c r="AC11953" s="16" t="str">
        <f>IFERROR(__xludf.DUMMYFUNCTION("""COMPUTED_VALUE"""),"")</f>
        <v/>
      </c>
    </row>
    <row r="11954">
      <c r="A11954" s="16" t="s">
        <v>87</v>
      </c>
      <c r="E11954" s="16" t="str">
        <f>IFERROR(__xludf.DUMMYFUNCTION("""COMPUTED_VALUE"""),"")</f>
        <v/>
      </c>
      <c r="G11954" s="18"/>
      <c r="H11954" s="16" t="s">
        <v>87</v>
      </c>
      <c r="I11954" s="16" t="s">
        <v>87</v>
      </c>
      <c r="J11954" s="19"/>
      <c r="L11954" s="16" t="str">
        <f>IFERROR(__xludf.DUMMYFUNCTION("""COMPUTED_VALUE"""),"")</f>
        <v/>
      </c>
      <c r="M11954" s="16" t="str">
        <f>IFERROR(__xludf.DUMMYFUNCTION("""COMPUTED_VALUE"""),"")</f>
        <v/>
      </c>
      <c r="U11954" s="16" t="s">
        <v>87</v>
      </c>
      <c r="V11954" s="16" t="str">
        <f>IFERROR(__xludf.DUMMYFUNCTION("""COMPUTED_VALUE"""),"")</f>
        <v/>
      </c>
      <c r="W11954" s="16" t="str">
        <f>IFERROR(__xludf.DUMMYFUNCTION("""COMPUTED_VALUE"""),"")</f>
        <v/>
      </c>
      <c r="X11954" s="16" t="str">
        <f>IFERROR(__xludf.DUMMYFUNCTION("""COMPUTED_VALUE"""),"")</f>
        <v/>
      </c>
      <c r="AC11954" s="16" t="str">
        <f>IFERROR(__xludf.DUMMYFUNCTION("""COMPUTED_VALUE"""),"")</f>
        <v/>
      </c>
    </row>
    <row r="11955">
      <c r="A11955" s="16" t="s">
        <v>87</v>
      </c>
      <c r="E11955" s="16" t="str">
        <f>IFERROR(__xludf.DUMMYFUNCTION("""COMPUTED_VALUE"""),"")</f>
        <v/>
      </c>
      <c r="G11955" s="18"/>
      <c r="H11955" s="16" t="s">
        <v>87</v>
      </c>
      <c r="I11955" s="16" t="s">
        <v>87</v>
      </c>
      <c r="J11955" s="19"/>
      <c r="L11955" s="16" t="str">
        <f>IFERROR(__xludf.DUMMYFUNCTION("""COMPUTED_VALUE"""),"")</f>
        <v/>
      </c>
      <c r="M11955" s="16" t="str">
        <f>IFERROR(__xludf.DUMMYFUNCTION("""COMPUTED_VALUE"""),"")</f>
        <v/>
      </c>
      <c r="U11955" s="16" t="s">
        <v>87</v>
      </c>
      <c r="V11955" s="16" t="str">
        <f>IFERROR(__xludf.DUMMYFUNCTION("""COMPUTED_VALUE"""),"")</f>
        <v/>
      </c>
      <c r="W11955" s="16" t="str">
        <f>IFERROR(__xludf.DUMMYFUNCTION("""COMPUTED_VALUE"""),"")</f>
        <v/>
      </c>
      <c r="X11955" s="16" t="str">
        <f>IFERROR(__xludf.DUMMYFUNCTION("""COMPUTED_VALUE"""),"")</f>
        <v/>
      </c>
      <c r="AC11955" s="16" t="str">
        <f>IFERROR(__xludf.DUMMYFUNCTION("""COMPUTED_VALUE"""),"")</f>
        <v/>
      </c>
    </row>
    <row r="11956">
      <c r="A11956" s="16" t="s">
        <v>87</v>
      </c>
      <c r="E11956" s="16" t="str">
        <f>IFERROR(__xludf.DUMMYFUNCTION("""COMPUTED_VALUE"""),"")</f>
        <v/>
      </c>
      <c r="G11956" s="18"/>
      <c r="H11956" s="16" t="s">
        <v>87</v>
      </c>
      <c r="I11956" s="16" t="s">
        <v>87</v>
      </c>
      <c r="J11956" s="19"/>
      <c r="L11956" s="16" t="str">
        <f>IFERROR(__xludf.DUMMYFUNCTION("""COMPUTED_VALUE"""),"")</f>
        <v/>
      </c>
      <c r="M11956" s="16" t="str">
        <f>IFERROR(__xludf.DUMMYFUNCTION("""COMPUTED_VALUE"""),"")</f>
        <v/>
      </c>
      <c r="U11956" s="16" t="s">
        <v>87</v>
      </c>
      <c r="V11956" s="16" t="str">
        <f>IFERROR(__xludf.DUMMYFUNCTION("""COMPUTED_VALUE"""),"")</f>
        <v/>
      </c>
      <c r="W11956" s="16" t="str">
        <f>IFERROR(__xludf.DUMMYFUNCTION("""COMPUTED_VALUE"""),"")</f>
        <v/>
      </c>
      <c r="X11956" s="16" t="str">
        <f>IFERROR(__xludf.DUMMYFUNCTION("""COMPUTED_VALUE"""),"")</f>
        <v/>
      </c>
      <c r="AC11956" s="16" t="str">
        <f>IFERROR(__xludf.DUMMYFUNCTION("""COMPUTED_VALUE"""),"")</f>
        <v/>
      </c>
    </row>
    <row r="11957">
      <c r="A11957" s="16" t="s">
        <v>87</v>
      </c>
      <c r="E11957" s="16" t="str">
        <f>IFERROR(__xludf.DUMMYFUNCTION("""COMPUTED_VALUE"""),"")</f>
        <v/>
      </c>
      <c r="G11957" s="18"/>
      <c r="H11957" s="16" t="s">
        <v>87</v>
      </c>
      <c r="I11957" s="16" t="s">
        <v>87</v>
      </c>
      <c r="J11957" s="19"/>
      <c r="L11957" s="16" t="str">
        <f>IFERROR(__xludf.DUMMYFUNCTION("""COMPUTED_VALUE"""),"")</f>
        <v/>
      </c>
      <c r="M11957" s="16" t="str">
        <f>IFERROR(__xludf.DUMMYFUNCTION("""COMPUTED_VALUE"""),"")</f>
        <v/>
      </c>
      <c r="U11957" s="16" t="s">
        <v>87</v>
      </c>
      <c r="V11957" s="16" t="str">
        <f>IFERROR(__xludf.DUMMYFUNCTION("""COMPUTED_VALUE"""),"")</f>
        <v/>
      </c>
      <c r="W11957" s="16" t="str">
        <f>IFERROR(__xludf.DUMMYFUNCTION("""COMPUTED_VALUE"""),"")</f>
        <v/>
      </c>
      <c r="X11957" s="16" t="str">
        <f>IFERROR(__xludf.DUMMYFUNCTION("""COMPUTED_VALUE"""),"")</f>
        <v/>
      </c>
      <c r="AC11957" s="16" t="str">
        <f>IFERROR(__xludf.DUMMYFUNCTION("""COMPUTED_VALUE"""),"")</f>
        <v/>
      </c>
    </row>
    <row r="11958">
      <c r="A11958" s="16" t="s">
        <v>87</v>
      </c>
      <c r="E11958" s="16" t="str">
        <f>IFERROR(__xludf.DUMMYFUNCTION("""COMPUTED_VALUE"""),"")</f>
        <v/>
      </c>
      <c r="G11958" s="18"/>
      <c r="H11958" s="16" t="s">
        <v>87</v>
      </c>
      <c r="I11958" s="16" t="s">
        <v>87</v>
      </c>
      <c r="J11958" s="19"/>
      <c r="L11958" s="16" t="str">
        <f>IFERROR(__xludf.DUMMYFUNCTION("""COMPUTED_VALUE"""),"")</f>
        <v/>
      </c>
      <c r="M11958" s="16" t="str">
        <f>IFERROR(__xludf.DUMMYFUNCTION("""COMPUTED_VALUE"""),"")</f>
        <v/>
      </c>
      <c r="U11958" s="16" t="s">
        <v>87</v>
      </c>
      <c r="V11958" s="16" t="str">
        <f>IFERROR(__xludf.DUMMYFUNCTION("""COMPUTED_VALUE"""),"")</f>
        <v/>
      </c>
      <c r="W11958" s="16" t="str">
        <f>IFERROR(__xludf.DUMMYFUNCTION("""COMPUTED_VALUE"""),"")</f>
        <v/>
      </c>
      <c r="X11958" s="16" t="str">
        <f>IFERROR(__xludf.DUMMYFUNCTION("""COMPUTED_VALUE"""),"")</f>
        <v/>
      </c>
      <c r="AC11958" s="16" t="str">
        <f>IFERROR(__xludf.DUMMYFUNCTION("""COMPUTED_VALUE"""),"")</f>
        <v/>
      </c>
    </row>
    <row r="11959">
      <c r="A11959" s="16" t="s">
        <v>87</v>
      </c>
      <c r="E11959" s="16" t="str">
        <f>IFERROR(__xludf.DUMMYFUNCTION("""COMPUTED_VALUE"""),"")</f>
        <v/>
      </c>
      <c r="G11959" s="18"/>
      <c r="H11959" s="16" t="s">
        <v>87</v>
      </c>
      <c r="I11959" s="16" t="s">
        <v>87</v>
      </c>
      <c r="J11959" s="19"/>
      <c r="L11959" s="16" t="str">
        <f>IFERROR(__xludf.DUMMYFUNCTION("""COMPUTED_VALUE"""),"")</f>
        <v/>
      </c>
      <c r="M11959" s="16" t="str">
        <f>IFERROR(__xludf.DUMMYFUNCTION("""COMPUTED_VALUE"""),"")</f>
        <v/>
      </c>
      <c r="U11959" s="16" t="s">
        <v>87</v>
      </c>
      <c r="V11959" s="16" t="str">
        <f>IFERROR(__xludf.DUMMYFUNCTION("""COMPUTED_VALUE"""),"")</f>
        <v/>
      </c>
      <c r="W11959" s="16" t="str">
        <f>IFERROR(__xludf.DUMMYFUNCTION("""COMPUTED_VALUE"""),"")</f>
        <v/>
      </c>
      <c r="X11959" s="16" t="str">
        <f>IFERROR(__xludf.DUMMYFUNCTION("""COMPUTED_VALUE"""),"")</f>
        <v/>
      </c>
      <c r="AC11959" s="16" t="str">
        <f>IFERROR(__xludf.DUMMYFUNCTION("""COMPUTED_VALUE"""),"")</f>
        <v/>
      </c>
    </row>
    <row r="11960">
      <c r="A11960" s="16" t="s">
        <v>87</v>
      </c>
      <c r="E11960" s="16" t="str">
        <f>IFERROR(__xludf.DUMMYFUNCTION("""COMPUTED_VALUE"""),"")</f>
        <v/>
      </c>
      <c r="G11960" s="18"/>
      <c r="H11960" s="16" t="s">
        <v>87</v>
      </c>
      <c r="I11960" s="16" t="s">
        <v>87</v>
      </c>
      <c r="J11960" s="19"/>
      <c r="L11960" s="16" t="str">
        <f>IFERROR(__xludf.DUMMYFUNCTION("""COMPUTED_VALUE"""),"")</f>
        <v/>
      </c>
      <c r="M11960" s="16" t="str">
        <f>IFERROR(__xludf.DUMMYFUNCTION("""COMPUTED_VALUE"""),"")</f>
        <v/>
      </c>
      <c r="U11960" s="16" t="s">
        <v>87</v>
      </c>
      <c r="V11960" s="16" t="str">
        <f>IFERROR(__xludf.DUMMYFUNCTION("""COMPUTED_VALUE"""),"")</f>
        <v/>
      </c>
      <c r="W11960" s="16" t="str">
        <f>IFERROR(__xludf.DUMMYFUNCTION("""COMPUTED_VALUE"""),"")</f>
        <v/>
      </c>
      <c r="X11960" s="16" t="str">
        <f>IFERROR(__xludf.DUMMYFUNCTION("""COMPUTED_VALUE"""),"")</f>
        <v/>
      </c>
      <c r="AC11960" s="16" t="str">
        <f>IFERROR(__xludf.DUMMYFUNCTION("""COMPUTED_VALUE"""),"")</f>
        <v/>
      </c>
    </row>
    <row r="11961">
      <c r="A11961" s="16" t="s">
        <v>87</v>
      </c>
      <c r="E11961" s="16" t="str">
        <f>IFERROR(__xludf.DUMMYFUNCTION("""COMPUTED_VALUE"""),"")</f>
        <v/>
      </c>
      <c r="G11961" s="18"/>
      <c r="H11961" s="16" t="s">
        <v>87</v>
      </c>
      <c r="I11961" s="16" t="s">
        <v>87</v>
      </c>
      <c r="J11961" s="19"/>
      <c r="L11961" s="16" t="str">
        <f>IFERROR(__xludf.DUMMYFUNCTION("""COMPUTED_VALUE"""),"")</f>
        <v/>
      </c>
      <c r="M11961" s="16" t="str">
        <f>IFERROR(__xludf.DUMMYFUNCTION("""COMPUTED_VALUE"""),"")</f>
        <v/>
      </c>
      <c r="U11961" s="16" t="s">
        <v>87</v>
      </c>
      <c r="V11961" s="16" t="str">
        <f>IFERROR(__xludf.DUMMYFUNCTION("""COMPUTED_VALUE"""),"")</f>
        <v/>
      </c>
      <c r="W11961" s="16" t="str">
        <f>IFERROR(__xludf.DUMMYFUNCTION("""COMPUTED_VALUE"""),"")</f>
        <v/>
      </c>
      <c r="X11961" s="16" t="str">
        <f>IFERROR(__xludf.DUMMYFUNCTION("""COMPUTED_VALUE"""),"")</f>
        <v/>
      </c>
      <c r="AC11961" s="16" t="str">
        <f>IFERROR(__xludf.DUMMYFUNCTION("""COMPUTED_VALUE"""),"")</f>
        <v/>
      </c>
    </row>
    <row r="11962">
      <c r="A11962" s="16" t="s">
        <v>87</v>
      </c>
      <c r="E11962" s="16" t="str">
        <f>IFERROR(__xludf.DUMMYFUNCTION("""COMPUTED_VALUE"""),"")</f>
        <v/>
      </c>
      <c r="G11962" s="18"/>
      <c r="H11962" s="16" t="s">
        <v>87</v>
      </c>
      <c r="I11962" s="16" t="s">
        <v>87</v>
      </c>
      <c r="J11962" s="19"/>
      <c r="L11962" s="16" t="str">
        <f>IFERROR(__xludf.DUMMYFUNCTION("""COMPUTED_VALUE"""),"")</f>
        <v/>
      </c>
      <c r="M11962" s="16" t="str">
        <f>IFERROR(__xludf.DUMMYFUNCTION("""COMPUTED_VALUE"""),"")</f>
        <v/>
      </c>
      <c r="U11962" s="16" t="s">
        <v>87</v>
      </c>
      <c r="V11962" s="16" t="str">
        <f>IFERROR(__xludf.DUMMYFUNCTION("""COMPUTED_VALUE"""),"")</f>
        <v/>
      </c>
      <c r="W11962" s="16" t="str">
        <f>IFERROR(__xludf.DUMMYFUNCTION("""COMPUTED_VALUE"""),"")</f>
        <v/>
      </c>
      <c r="X11962" s="16" t="str">
        <f>IFERROR(__xludf.DUMMYFUNCTION("""COMPUTED_VALUE"""),"")</f>
        <v/>
      </c>
      <c r="AC11962" s="16" t="str">
        <f>IFERROR(__xludf.DUMMYFUNCTION("""COMPUTED_VALUE"""),"")</f>
        <v/>
      </c>
    </row>
    <row r="11963">
      <c r="A11963" s="16" t="s">
        <v>87</v>
      </c>
      <c r="E11963" s="16" t="str">
        <f>IFERROR(__xludf.DUMMYFUNCTION("""COMPUTED_VALUE"""),"")</f>
        <v/>
      </c>
      <c r="G11963" s="18"/>
      <c r="H11963" s="16" t="s">
        <v>87</v>
      </c>
      <c r="I11963" s="16" t="s">
        <v>87</v>
      </c>
      <c r="J11963" s="19"/>
      <c r="L11963" s="16" t="str">
        <f>IFERROR(__xludf.DUMMYFUNCTION("""COMPUTED_VALUE"""),"")</f>
        <v/>
      </c>
      <c r="M11963" s="16" t="str">
        <f>IFERROR(__xludf.DUMMYFUNCTION("""COMPUTED_VALUE"""),"")</f>
        <v/>
      </c>
      <c r="U11963" s="16" t="s">
        <v>87</v>
      </c>
      <c r="V11963" s="16" t="str">
        <f>IFERROR(__xludf.DUMMYFUNCTION("""COMPUTED_VALUE"""),"")</f>
        <v/>
      </c>
      <c r="W11963" s="16" t="str">
        <f>IFERROR(__xludf.DUMMYFUNCTION("""COMPUTED_VALUE"""),"")</f>
        <v/>
      </c>
      <c r="X11963" s="16" t="str">
        <f>IFERROR(__xludf.DUMMYFUNCTION("""COMPUTED_VALUE"""),"")</f>
        <v/>
      </c>
      <c r="AC11963" s="16" t="str">
        <f>IFERROR(__xludf.DUMMYFUNCTION("""COMPUTED_VALUE"""),"")</f>
        <v/>
      </c>
    </row>
    <row r="11964">
      <c r="A11964" s="16" t="s">
        <v>87</v>
      </c>
      <c r="E11964" s="16" t="str">
        <f>IFERROR(__xludf.DUMMYFUNCTION("""COMPUTED_VALUE"""),"")</f>
        <v/>
      </c>
      <c r="G11964" s="18"/>
      <c r="H11964" s="16" t="s">
        <v>87</v>
      </c>
      <c r="I11964" s="16" t="s">
        <v>87</v>
      </c>
      <c r="J11964" s="19"/>
      <c r="L11964" s="16" t="str">
        <f>IFERROR(__xludf.DUMMYFUNCTION("""COMPUTED_VALUE"""),"")</f>
        <v/>
      </c>
      <c r="M11964" s="16" t="str">
        <f>IFERROR(__xludf.DUMMYFUNCTION("""COMPUTED_VALUE"""),"")</f>
        <v/>
      </c>
      <c r="U11964" s="16" t="s">
        <v>87</v>
      </c>
      <c r="V11964" s="16" t="str">
        <f>IFERROR(__xludf.DUMMYFUNCTION("""COMPUTED_VALUE"""),"")</f>
        <v/>
      </c>
      <c r="W11964" s="16" t="str">
        <f>IFERROR(__xludf.DUMMYFUNCTION("""COMPUTED_VALUE"""),"")</f>
        <v/>
      </c>
      <c r="X11964" s="16" t="str">
        <f>IFERROR(__xludf.DUMMYFUNCTION("""COMPUTED_VALUE"""),"")</f>
        <v/>
      </c>
      <c r="AC11964" s="16" t="str">
        <f>IFERROR(__xludf.DUMMYFUNCTION("""COMPUTED_VALUE"""),"")</f>
        <v/>
      </c>
    </row>
    <row r="11965">
      <c r="A11965" s="16" t="s">
        <v>87</v>
      </c>
      <c r="E11965" s="16" t="str">
        <f>IFERROR(__xludf.DUMMYFUNCTION("""COMPUTED_VALUE"""),"")</f>
        <v/>
      </c>
      <c r="G11965" s="18"/>
      <c r="H11965" s="16" t="s">
        <v>87</v>
      </c>
      <c r="I11965" s="16" t="s">
        <v>87</v>
      </c>
      <c r="J11965" s="19"/>
      <c r="L11965" s="16" t="str">
        <f>IFERROR(__xludf.DUMMYFUNCTION("""COMPUTED_VALUE"""),"")</f>
        <v/>
      </c>
      <c r="M11965" s="16" t="str">
        <f>IFERROR(__xludf.DUMMYFUNCTION("""COMPUTED_VALUE"""),"")</f>
        <v/>
      </c>
      <c r="U11965" s="16" t="s">
        <v>87</v>
      </c>
      <c r="V11965" s="16" t="str">
        <f>IFERROR(__xludf.DUMMYFUNCTION("""COMPUTED_VALUE"""),"")</f>
        <v/>
      </c>
      <c r="W11965" s="16" t="str">
        <f>IFERROR(__xludf.DUMMYFUNCTION("""COMPUTED_VALUE"""),"")</f>
        <v/>
      </c>
      <c r="X11965" s="16" t="str">
        <f>IFERROR(__xludf.DUMMYFUNCTION("""COMPUTED_VALUE"""),"")</f>
        <v/>
      </c>
      <c r="AC11965" s="16" t="str">
        <f>IFERROR(__xludf.DUMMYFUNCTION("""COMPUTED_VALUE"""),"")</f>
        <v/>
      </c>
    </row>
    <row r="11966">
      <c r="A11966" s="16" t="s">
        <v>87</v>
      </c>
      <c r="E11966" s="16" t="str">
        <f>IFERROR(__xludf.DUMMYFUNCTION("""COMPUTED_VALUE"""),"")</f>
        <v/>
      </c>
      <c r="G11966" s="18"/>
      <c r="H11966" s="16" t="s">
        <v>87</v>
      </c>
      <c r="I11966" s="16" t="s">
        <v>87</v>
      </c>
      <c r="J11966" s="19"/>
      <c r="L11966" s="16" t="str">
        <f>IFERROR(__xludf.DUMMYFUNCTION("""COMPUTED_VALUE"""),"")</f>
        <v/>
      </c>
      <c r="M11966" s="16" t="str">
        <f>IFERROR(__xludf.DUMMYFUNCTION("""COMPUTED_VALUE"""),"")</f>
        <v/>
      </c>
      <c r="U11966" s="16" t="s">
        <v>87</v>
      </c>
      <c r="V11966" s="16" t="str">
        <f>IFERROR(__xludf.DUMMYFUNCTION("""COMPUTED_VALUE"""),"")</f>
        <v/>
      </c>
      <c r="W11966" s="16" t="str">
        <f>IFERROR(__xludf.DUMMYFUNCTION("""COMPUTED_VALUE"""),"")</f>
        <v/>
      </c>
      <c r="X11966" s="16" t="str">
        <f>IFERROR(__xludf.DUMMYFUNCTION("""COMPUTED_VALUE"""),"")</f>
        <v/>
      </c>
      <c r="AC11966" s="16" t="str">
        <f>IFERROR(__xludf.DUMMYFUNCTION("""COMPUTED_VALUE"""),"")</f>
        <v/>
      </c>
    </row>
    <row r="11967">
      <c r="A11967" s="16" t="s">
        <v>87</v>
      </c>
      <c r="E11967" s="16" t="str">
        <f>IFERROR(__xludf.DUMMYFUNCTION("""COMPUTED_VALUE"""),"")</f>
        <v/>
      </c>
      <c r="G11967" s="18"/>
      <c r="H11967" s="16" t="s">
        <v>87</v>
      </c>
      <c r="I11967" s="16" t="s">
        <v>87</v>
      </c>
      <c r="J11967" s="19"/>
      <c r="L11967" s="16" t="str">
        <f>IFERROR(__xludf.DUMMYFUNCTION("""COMPUTED_VALUE"""),"")</f>
        <v/>
      </c>
      <c r="M11967" s="16" t="str">
        <f>IFERROR(__xludf.DUMMYFUNCTION("""COMPUTED_VALUE"""),"")</f>
        <v/>
      </c>
      <c r="U11967" s="16" t="s">
        <v>87</v>
      </c>
      <c r="V11967" s="16" t="str">
        <f>IFERROR(__xludf.DUMMYFUNCTION("""COMPUTED_VALUE"""),"")</f>
        <v/>
      </c>
      <c r="W11967" s="16" t="str">
        <f>IFERROR(__xludf.DUMMYFUNCTION("""COMPUTED_VALUE"""),"")</f>
        <v/>
      </c>
      <c r="X11967" s="16" t="str">
        <f>IFERROR(__xludf.DUMMYFUNCTION("""COMPUTED_VALUE"""),"")</f>
        <v/>
      </c>
      <c r="AC11967" s="16" t="str">
        <f>IFERROR(__xludf.DUMMYFUNCTION("""COMPUTED_VALUE"""),"")</f>
        <v/>
      </c>
    </row>
    <row r="11968">
      <c r="A11968" s="16" t="s">
        <v>87</v>
      </c>
      <c r="E11968" s="16" t="str">
        <f>IFERROR(__xludf.DUMMYFUNCTION("""COMPUTED_VALUE"""),"")</f>
        <v/>
      </c>
      <c r="G11968" s="18"/>
      <c r="H11968" s="16" t="s">
        <v>87</v>
      </c>
      <c r="I11968" s="16" t="s">
        <v>87</v>
      </c>
      <c r="J11968" s="19"/>
      <c r="L11968" s="16" t="str">
        <f>IFERROR(__xludf.DUMMYFUNCTION("""COMPUTED_VALUE"""),"")</f>
        <v/>
      </c>
      <c r="M11968" s="16" t="str">
        <f>IFERROR(__xludf.DUMMYFUNCTION("""COMPUTED_VALUE"""),"")</f>
        <v/>
      </c>
      <c r="U11968" s="16" t="s">
        <v>87</v>
      </c>
      <c r="V11968" s="16" t="str">
        <f>IFERROR(__xludf.DUMMYFUNCTION("""COMPUTED_VALUE"""),"")</f>
        <v/>
      </c>
      <c r="W11968" s="16" t="str">
        <f>IFERROR(__xludf.DUMMYFUNCTION("""COMPUTED_VALUE"""),"")</f>
        <v/>
      </c>
      <c r="X11968" s="16" t="str">
        <f>IFERROR(__xludf.DUMMYFUNCTION("""COMPUTED_VALUE"""),"")</f>
        <v/>
      </c>
      <c r="AC11968" s="16" t="str">
        <f>IFERROR(__xludf.DUMMYFUNCTION("""COMPUTED_VALUE"""),"")</f>
        <v/>
      </c>
    </row>
    <row r="11969">
      <c r="A11969" s="16" t="s">
        <v>87</v>
      </c>
      <c r="E11969" s="16" t="str">
        <f>IFERROR(__xludf.DUMMYFUNCTION("""COMPUTED_VALUE"""),"")</f>
        <v/>
      </c>
      <c r="G11969" s="18"/>
      <c r="H11969" s="16" t="s">
        <v>87</v>
      </c>
      <c r="I11969" s="16" t="s">
        <v>87</v>
      </c>
      <c r="J11969" s="19"/>
      <c r="L11969" s="16" t="str">
        <f>IFERROR(__xludf.DUMMYFUNCTION("""COMPUTED_VALUE"""),"")</f>
        <v/>
      </c>
      <c r="M11969" s="16" t="str">
        <f>IFERROR(__xludf.DUMMYFUNCTION("""COMPUTED_VALUE"""),"")</f>
        <v/>
      </c>
      <c r="U11969" s="16" t="s">
        <v>87</v>
      </c>
      <c r="V11969" s="16" t="str">
        <f>IFERROR(__xludf.DUMMYFUNCTION("""COMPUTED_VALUE"""),"")</f>
        <v/>
      </c>
      <c r="W11969" s="16" t="str">
        <f>IFERROR(__xludf.DUMMYFUNCTION("""COMPUTED_VALUE"""),"")</f>
        <v/>
      </c>
      <c r="X11969" s="16" t="str">
        <f>IFERROR(__xludf.DUMMYFUNCTION("""COMPUTED_VALUE"""),"")</f>
        <v/>
      </c>
      <c r="AC11969" s="16" t="str">
        <f>IFERROR(__xludf.DUMMYFUNCTION("""COMPUTED_VALUE"""),"")</f>
        <v/>
      </c>
    </row>
    <row r="11970">
      <c r="A11970" s="16" t="s">
        <v>87</v>
      </c>
      <c r="E11970" s="16" t="str">
        <f>IFERROR(__xludf.DUMMYFUNCTION("""COMPUTED_VALUE"""),"")</f>
        <v/>
      </c>
      <c r="G11970" s="18"/>
      <c r="H11970" s="16" t="s">
        <v>87</v>
      </c>
      <c r="I11970" s="16" t="s">
        <v>87</v>
      </c>
      <c r="J11970" s="19"/>
      <c r="L11970" s="16" t="str">
        <f>IFERROR(__xludf.DUMMYFUNCTION("""COMPUTED_VALUE"""),"")</f>
        <v/>
      </c>
      <c r="M11970" s="16" t="str">
        <f>IFERROR(__xludf.DUMMYFUNCTION("""COMPUTED_VALUE"""),"")</f>
        <v/>
      </c>
      <c r="U11970" s="16" t="s">
        <v>87</v>
      </c>
      <c r="V11970" s="16" t="str">
        <f>IFERROR(__xludf.DUMMYFUNCTION("""COMPUTED_VALUE"""),"")</f>
        <v/>
      </c>
      <c r="W11970" s="16" t="str">
        <f>IFERROR(__xludf.DUMMYFUNCTION("""COMPUTED_VALUE"""),"")</f>
        <v/>
      </c>
      <c r="X11970" s="16" t="str">
        <f>IFERROR(__xludf.DUMMYFUNCTION("""COMPUTED_VALUE"""),"")</f>
        <v/>
      </c>
      <c r="AC11970" s="16" t="str">
        <f>IFERROR(__xludf.DUMMYFUNCTION("""COMPUTED_VALUE"""),"")</f>
        <v/>
      </c>
    </row>
    <row r="11971">
      <c r="A11971" s="16" t="s">
        <v>87</v>
      </c>
      <c r="E11971" s="16" t="str">
        <f>IFERROR(__xludf.DUMMYFUNCTION("""COMPUTED_VALUE"""),"")</f>
        <v/>
      </c>
      <c r="G11971" s="18"/>
      <c r="H11971" s="16" t="s">
        <v>87</v>
      </c>
      <c r="I11971" s="16" t="s">
        <v>87</v>
      </c>
      <c r="J11971" s="19"/>
      <c r="L11971" s="16" t="str">
        <f>IFERROR(__xludf.DUMMYFUNCTION("""COMPUTED_VALUE"""),"")</f>
        <v/>
      </c>
      <c r="M11971" s="16" t="str">
        <f>IFERROR(__xludf.DUMMYFUNCTION("""COMPUTED_VALUE"""),"")</f>
        <v/>
      </c>
      <c r="U11971" s="16" t="s">
        <v>87</v>
      </c>
      <c r="V11971" s="16" t="str">
        <f>IFERROR(__xludf.DUMMYFUNCTION("""COMPUTED_VALUE"""),"")</f>
        <v/>
      </c>
      <c r="W11971" s="16" t="str">
        <f>IFERROR(__xludf.DUMMYFUNCTION("""COMPUTED_VALUE"""),"")</f>
        <v/>
      </c>
      <c r="X11971" s="16" t="str">
        <f>IFERROR(__xludf.DUMMYFUNCTION("""COMPUTED_VALUE"""),"")</f>
        <v/>
      </c>
      <c r="AC11971" s="16" t="str">
        <f>IFERROR(__xludf.DUMMYFUNCTION("""COMPUTED_VALUE"""),"")</f>
        <v/>
      </c>
    </row>
    <row r="11972">
      <c r="A11972" s="16" t="s">
        <v>87</v>
      </c>
      <c r="E11972" s="16" t="str">
        <f>IFERROR(__xludf.DUMMYFUNCTION("""COMPUTED_VALUE"""),"")</f>
        <v/>
      </c>
      <c r="G11972" s="18"/>
      <c r="H11972" s="16" t="s">
        <v>87</v>
      </c>
      <c r="I11972" s="16" t="s">
        <v>87</v>
      </c>
      <c r="J11972" s="19"/>
      <c r="L11972" s="16" t="str">
        <f>IFERROR(__xludf.DUMMYFUNCTION("""COMPUTED_VALUE"""),"")</f>
        <v/>
      </c>
      <c r="M11972" s="16" t="str">
        <f>IFERROR(__xludf.DUMMYFUNCTION("""COMPUTED_VALUE"""),"")</f>
        <v/>
      </c>
      <c r="U11972" s="16" t="s">
        <v>87</v>
      </c>
      <c r="V11972" s="16" t="str">
        <f>IFERROR(__xludf.DUMMYFUNCTION("""COMPUTED_VALUE"""),"")</f>
        <v/>
      </c>
      <c r="W11972" s="16" t="str">
        <f>IFERROR(__xludf.DUMMYFUNCTION("""COMPUTED_VALUE"""),"")</f>
        <v/>
      </c>
      <c r="X11972" s="16" t="str">
        <f>IFERROR(__xludf.DUMMYFUNCTION("""COMPUTED_VALUE"""),"")</f>
        <v/>
      </c>
      <c r="AC11972" s="16" t="str">
        <f>IFERROR(__xludf.DUMMYFUNCTION("""COMPUTED_VALUE"""),"")</f>
        <v/>
      </c>
    </row>
    <row r="11973">
      <c r="A11973" s="16" t="s">
        <v>87</v>
      </c>
      <c r="E11973" s="16" t="str">
        <f>IFERROR(__xludf.DUMMYFUNCTION("""COMPUTED_VALUE"""),"")</f>
        <v/>
      </c>
      <c r="G11973" s="18"/>
      <c r="H11973" s="16" t="s">
        <v>87</v>
      </c>
      <c r="I11973" s="16" t="s">
        <v>87</v>
      </c>
      <c r="J11973" s="19"/>
      <c r="L11973" s="16" t="str">
        <f>IFERROR(__xludf.DUMMYFUNCTION("""COMPUTED_VALUE"""),"")</f>
        <v/>
      </c>
      <c r="M11973" s="16" t="str">
        <f>IFERROR(__xludf.DUMMYFUNCTION("""COMPUTED_VALUE"""),"")</f>
        <v/>
      </c>
      <c r="U11973" s="16" t="s">
        <v>87</v>
      </c>
      <c r="V11973" s="16" t="str">
        <f>IFERROR(__xludf.DUMMYFUNCTION("""COMPUTED_VALUE"""),"")</f>
        <v/>
      </c>
      <c r="W11973" s="16" t="str">
        <f>IFERROR(__xludf.DUMMYFUNCTION("""COMPUTED_VALUE"""),"")</f>
        <v/>
      </c>
      <c r="X11973" s="16" t="str">
        <f>IFERROR(__xludf.DUMMYFUNCTION("""COMPUTED_VALUE"""),"")</f>
        <v/>
      </c>
      <c r="AC11973" s="16" t="str">
        <f>IFERROR(__xludf.DUMMYFUNCTION("""COMPUTED_VALUE"""),"")</f>
        <v/>
      </c>
    </row>
    <row r="11974">
      <c r="A11974" s="16" t="s">
        <v>87</v>
      </c>
      <c r="E11974" s="16" t="str">
        <f>IFERROR(__xludf.DUMMYFUNCTION("""COMPUTED_VALUE"""),"")</f>
        <v/>
      </c>
      <c r="G11974" s="18"/>
      <c r="H11974" s="16" t="s">
        <v>87</v>
      </c>
      <c r="I11974" s="16" t="s">
        <v>87</v>
      </c>
      <c r="J11974" s="19"/>
      <c r="L11974" s="16" t="str">
        <f>IFERROR(__xludf.DUMMYFUNCTION("""COMPUTED_VALUE"""),"")</f>
        <v/>
      </c>
      <c r="M11974" s="16" t="str">
        <f>IFERROR(__xludf.DUMMYFUNCTION("""COMPUTED_VALUE"""),"")</f>
        <v/>
      </c>
      <c r="U11974" s="16" t="s">
        <v>87</v>
      </c>
      <c r="V11974" s="16" t="str">
        <f>IFERROR(__xludf.DUMMYFUNCTION("""COMPUTED_VALUE"""),"")</f>
        <v/>
      </c>
      <c r="W11974" s="16" t="str">
        <f>IFERROR(__xludf.DUMMYFUNCTION("""COMPUTED_VALUE"""),"")</f>
        <v/>
      </c>
      <c r="X11974" s="16" t="str">
        <f>IFERROR(__xludf.DUMMYFUNCTION("""COMPUTED_VALUE"""),"")</f>
        <v/>
      </c>
      <c r="AC11974" s="16" t="str">
        <f>IFERROR(__xludf.DUMMYFUNCTION("""COMPUTED_VALUE"""),"")</f>
        <v/>
      </c>
    </row>
    <row r="11975">
      <c r="A11975" s="16" t="s">
        <v>87</v>
      </c>
      <c r="E11975" s="16" t="str">
        <f>IFERROR(__xludf.DUMMYFUNCTION("""COMPUTED_VALUE"""),"")</f>
        <v/>
      </c>
      <c r="G11975" s="18"/>
      <c r="H11975" s="16" t="s">
        <v>87</v>
      </c>
      <c r="I11975" s="16" t="s">
        <v>87</v>
      </c>
      <c r="J11975" s="19"/>
      <c r="L11975" s="16" t="str">
        <f>IFERROR(__xludf.DUMMYFUNCTION("""COMPUTED_VALUE"""),"")</f>
        <v/>
      </c>
      <c r="M11975" s="16" t="str">
        <f>IFERROR(__xludf.DUMMYFUNCTION("""COMPUTED_VALUE"""),"")</f>
        <v/>
      </c>
      <c r="U11975" s="16" t="s">
        <v>87</v>
      </c>
      <c r="V11975" s="16" t="str">
        <f>IFERROR(__xludf.DUMMYFUNCTION("""COMPUTED_VALUE"""),"")</f>
        <v/>
      </c>
      <c r="W11975" s="16" t="str">
        <f>IFERROR(__xludf.DUMMYFUNCTION("""COMPUTED_VALUE"""),"")</f>
        <v/>
      </c>
      <c r="X11975" s="16" t="str">
        <f>IFERROR(__xludf.DUMMYFUNCTION("""COMPUTED_VALUE"""),"")</f>
        <v/>
      </c>
      <c r="AC11975" s="16" t="str">
        <f>IFERROR(__xludf.DUMMYFUNCTION("""COMPUTED_VALUE"""),"")</f>
        <v/>
      </c>
    </row>
    <row r="11976">
      <c r="A11976" s="16" t="s">
        <v>87</v>
      </c>
      <c r="E11976" s="16" t="str">
        <f>IFERROR(__xludf.DUMMYFUNCTION("""COMPUTED_VALUE"""),"")</f>
        <v/>
      </c>
      <c r="G11976" s="18"/>
      <c r="H11976" s="16" t="s">
        <v>87</v>
      </c>
      <c r="I11976" s="16" t="s">
        <v>87</v>
      </c>
      <c r="J11976" s="19"/>
      <c r="L11976" s="16" t="str">
        <f>IFERROR(__xludf.DUMMYFUNCTION("""COMPUTED_VALUE"""),"")</f>
        <v/>
      </c>
      <c r="M11976" s="16" t="str">
        <f>IFERROR(__xludf.DUMMYFUNCTION("""COMPUTED_VALUE"""),"")</f>
        <v/>
      </c>
      <c r="U11976" s="16" t="s">
        <v>87</v>
      </c>
      <c r="V11976" s="16" t="str">
        <f>IFERROR(__xludf.DUMMYFUNCTION("""COMPUTED_VALUE"""),"")</f>
        <v/>
      </c>
      <c r="W11976" s="16" t="str">
        <f>IFERROR(__xludf.DUMMYFUNCTION("""COMPUTED_VALUE"""),"")</f>
        <v/>
      </c>
      <c r="X11976" s="16" t="str">
        <f>IFERROR(__xludf.DUMMYFUNCTION("""COMPUTED_VALUE"""),"")</f>
        <v/>
      </c>
      <c r="AC11976" s="16" t="str">
        <f>IFERROR(__xludf.DUMMYFUNCTION("""COMPUTED_VALUE"""),"")</f>
        <v/>
      </c>
    </row>
    <row r="11977">
      <c r="A11977" s="16" t="s">
        <v>87</v>
      </c>
      <c r="E11977" s="16" t="str">
        <f>IFERROR(__xludf.DUMMYFUNCTION("""COMPUTED_VALUE"""),"")</f>
        <v/>
      </c>
      <c r="G11977" s="18"/>
      <c r="H11977" s="16" t="s">
        <v>87</v>
      </c>
      <c r="I11977" s="16" t="s">
        <v>87</v>
      </c>
      <c r="J11977" s="19"/>
      <c r="L11977" s="16" t="str">
        <f>IFERROR(__xludf.DUMMYFUNCTION("""COMPUTED_VALUE"""),"")</f>
        <v/>
      </c>
      <c r="M11977" s="16" t="str">
        <f>IFERROR(__xludf.DUMMYFUNCTION("""COMPUTED_VALUE"""),"")</f>
        <v/>
      </c>
      <c r="U11977" s="16" t="s">
        <v>87</v>
      </c>
      <c r="V11977" s="16" t="str">
        <f>IFERROR(__xludf.DUMMYFUNCTION("""COMPUTED_VALUE"""),"")</f>
        <v/>
      </c>
      <c r="W11977" s="16" t="str">
        <f>IFERROR(__xludf.DUMMYFUNCTION("""COMPUTED_VALUE"""),"")</f>
        <v/>
      </c>
      <c r="X11977" s="16" t="str">
        <f>IFERROR(__xludf.DUMMYFUNCTION("""COMPUTED_VALUE"""),"")</f>
        <v/>
      </c>
      <c r="AC11977" s="16" t="str">
        <f>IFERROR(__xludf.DUMMYFUNCTION("""COMPUTED_VALUE"""),"")</f>
        <v/>
      </c>
    </row>
    <row r="11978">
      <c r="A11978" s="16" t="s">
        <v>87</v>
      </c>
      <c r="E11978" s="16" t="str">
        <f>IFERROR(__xludf.DUMMYFUNCTION("""COMPUTED_VALUE"""),"")</f>
        <v/>
      </c>
      <c r="G11978" s="18"/>
      <c r="H11978" s="16" t="s">
        <v>87</v>
      </c>
      <c r="I11978" s="16" t="s">
        <v>87</v>
      </c>
      <c r="J11978" s="19"/>
      <c r="L11978" s="16" t="str">
        <f>IFERROR(__xludf.DUMMYFUNCTION("""COMPUTED_VALUE"""),"")</f>
        <v/>
      </c>
      <c r="M11978" s="16" t="str">
        <f>IFERROR(__xludf.DUMMYFUNCTION("""COMPUTED_VALUE"""),"")</f>
        <v/>
      </c>
      <c r="U11978" s="16" t="s">
        <v>87</v>
      </c>
      <c r="V11978" s="16" t="str">
        <f>IFERROR(__xludf.DUMMYFUNCTION("""COMPUTED_VALUE"""),"")</f>
        <v/>
      </c>
      <c r="W11978" s="16" t="str">
        <f>IFERROR(__xludf.DUMMYFUNCTION("""COMPUTED_VALUE"""),"")</f>
        <v/>
      </c>
      <c r="X11978" s="16" t="str">
        <f>IFERROR(__xludf.DUMMYFUNCTION("""COMPUTED_VALUE"""),"")</f>
        <v/>
      </c>
      <c r="AC11978" s="16" t="str">
        <f>IFERROR(__xludf.DUMMYFUNCTION("""COMPUTED_VALUE"""),"")</f>
        <v/>
      </c>
    </row>
    <row r="11979">
      <c r="A11979" s="16" t="s">
        <v>87</v>
      </c>
      <c r="E11979" s="16" t="str">
        <f>IFERROR(__xludf.DUMMYFUNCTION("""COMPUTED_VALUE"""),"")</f>
        <v/>
      </c>
      <c r="G11979" s="18"/>
      <c r="H11979" s="16" t="s">
        <v>87</v>
      </c>
      <c r="I11979" s="16" t="s">
        <v>87</v>
      </c>
      <c r="J11979" s="19"/>
      <c r="L11979" s="16" t="str">
        <f>IFERROR(__xludf.DUMMYFUNCTION("""COMPUTED_VALUE"""),"")</f>
        <v/>
      </c>
      <c r="M11979" s="16" t="str">
        <f>IFERROR(__xludf.DUMMYFUNCTION("""COMPUTED_VALUE"""),"")</f>
        <v/>
      </c>
      <c r="U11979" s="16" t="s">
        <v>87</v>
      </c>
      <c r="V11979" s="16" t="str">
        <f>IFERROR(__xludf.DUMMYFUNCTION("""COMPUTED_VALUE"""),"")</f>
        <v/>
      </c>
      <c r="W11979" s="16" t="str">
        <f>IFERROR(__xludf.DUMMYFUNCTION("""COMPUTED_VALUE"""),"")</f>
        <v/>
      </c>
      <c r="X11979" s="16" t="str">
        <f>IFERROR(__xludf.DUMMYFUNCTION("""COMPUTED_VALUE"""),"")</f>
        <v/>
      </c>
      <c r="AC11979" s="16" t="str">
        <f>IFERROR(__xludf.DUMMYFUNCTION("""COMPUTED_VALUE"""),"")</f>
        <v/>
      </c>
    </row>
    <row r="11980">
      <c r="A11980" s="16" t="s">
        <v>87</v>
      </c>
      <c r="E11980" s="16" t="str">
        <f>IFERROR(__xludf.DUMMYFUNCTION("""COMPUTED_VALUE"""),"")</f>
        <v/>
      </c>
      <c r="G11980" s="18"/>
      <c r="H11980" s="16" t="s">
        <v>87</v>
      </c>
      <c r="I11980" s="16" t="s">
        <v>87</v>
      </c>
      <c r="J11980" s="19"/>
      <c r="L11980" s="16" t="str">
        <f>IFERROR(__xludf.DUMMYFUNCTION("""COMPUTED_VALUE"""),"")</f>
        <v/>
      </c>
      <c r="M11980" s="16" t="str">
        <f>IFERROR(__xludf.DUMMYFUNCTION("""COMPUTED_VALUE"""),"")</f>
        <v/>
      </c>
      <c r="U11980" s="16" t="s">
        <v>87</v>
      </c>
      <c r="V11980" s="16" t="str">
        <f>IFERROR(__xludf.DUMMYFUNCTION("""COMPUTED_VALUE"""),"")</f>
        <v/>
      </c>
      <c r="W11980" s="16" t="str">
        <f>IFERROR(__xludf.DUMMYFUNCTION("""COMPUTED_VALUE"""),"")</f>
        <v/>
      </c>
      <c r="X11980" s="16" t="str">
        <f>IFERROR(__xludf.DUMMYFUNCTION("""COMPUTED_VALUE"""),"")</f>
        <v/>
      </c>
      <c r="AC11980" s="16" t="str">
        <f>IFERROR(__xludf.DUMMYFUNCTION("""COMPUTED_VALUE"""),"")</f>
        <v/>
      </c>
    </row>
    <row r="11981">
      <c r="A11981" s="16" t="s">
        <v>87</v>
      </c>
      <c r="E11981" s="16" t="str">
        <f>IFERROR(__xludf.DUMMYFUNCTION("""COMPUTED_VALUE"""),"")</f>
        <v/>
      </c>
      <c r="G11981" s="18"/>
      <c r="H11981" s="16" t="s">
        <v>87</v>
      </c>
      <c r="I11981" s="16" t="s">
        <v>87</v>
      </c>
      <c r="J11981" s="19"/>
      <c r="L11981" s="16" t="str">
        <f>IFERROR(__xludf.DUMMYFUNCTION("""COMPUTED_VALUE"""),"")</f>
        <v/>
      </c>
      <c r="M11981" s="16" t="str">
        <f>IFERROR(__xludf.DUMMYFUNCTION("""COMPUTED_VALUE"""),"")</f>
        <v/>
      </c>
      <c r="U11981" s="16" t="s">
        <v>87</v>
      </c>
      <c r="V11981" s="16" t="str">
        <f>IFERROR(__xludf.DUMMYFUNCTION("""COMPUTED_VALUE"""),"")</f>
        <v/>
      </c>
      <c r="W11981" s="16" t="str">
        <f>IFERROR(__xludf.DUMMYFUNCTION("""COMPUTED_VALUE"""),"")</f>
        <v/>
      </c>
      <c r="X11981" s="16" t="str">
        <f>IFERROR(__xludf.DUMMYFUNCTION("""COMPUTED_VALUE"""),"")</f>
        <v/>
      </c>
      <c r="AC11981" s="16" t="str">
        <f>IFERROR(__xludf.DUMMYFUNCTION("""COMPUTED_VALUE"""),"")</f>
        <v/>
      </c>
    </row>
    <row r="11982">
      <c r="A11982" s="16" t="s">
        <v>87</v>
      </c>
      <c r="E11982" s="16" t="str">
        <f>IFERROR(__xludf.DUMMYFUNCTION("""COMPUTED_VALUE"""),"")</f>
        <v/>
      </c>
      <c r="G11982" s="18"/>
      <c r="H11982" s="16" t="s">
        <v>87</v>
      </c>
      <c r="I11982" s="16" t="s">
        <v>87</v>
      </c>
      <c r="J11982" s="19"/>
      <c r="L11982" s="16" t="str">
        <f>IFERROR(__xludf.DUMMYFUNCTION("""COMPUTED_VALUE"""),"")</f>
        <v/>
      </c>
      <c r="M11982" s="16" t="str">
        <f>IFERROR(__xludf.DUMMYFUNCTION("""COMPUTED_VALUE"""),"")</f>
        <v/>
      </c>
      <c r="U11982" s="16" t="s">
        <v>87</v>
      </c>
      <c r="V11982" s="16" t="str">
        <f>IFERROR(__xludf.DUMMYFUNCTION("""COMPUTED_VALUE"""),"")</f>
        <v/>
      </c>
      <c r="W11982" s="16" t="str">
        <f>IFERROR(__xludf.DUMMYFUNCTION("""COMPUTED_VALUE"""),"")</f>
        <v/>
      </c>
      <c r="X11982" s="16" t="str">
        <f>IFERROR(__xludf.DUMMYFUNCTION("""COMPUTED_VALUE"""),"")</f>
        <v/>
      </c>
      <c r="AC11982" s="16" t="str">
        <f>IFERROR(__xludf.DUMMYFUNCTION("""COMPUTED_VALUE"""),"")</f>
        <v/>
      </c>
    </row>
    <row r="11983">
      <c r="A11983" s="16" t="s">
        <v>87</v>
      </c>
      <c r="E11983" s="16" t="str">
        <f>IFERROR(__xludf.DUMMYFUNCTION("""COMPUTED_VALUE"""),"")</f>
        <v/>
      </c>
      <c r="G11983" s="18"/>
      <c r="H11983" s="16" t="s">
        <v>87</v>
      </c>
      <c r="I11983" s="16" t="s">
        <v>87</v>
      </c>
      <c r="J11983" s="19"/>
      <c r="L11983" s="16" t="str">
        <f>IFERROR(__xludf.DUMMYFUNCTION("""COMPUTED_VALUE"""),"")</f>
        <v/>
      </c>
      <c r="M11983" s="16" t="str">
        <f>IFERROR(__xludf.DUMMYFUNCTION("""COMPUTED_VALUE"""),"")</f>
        <v/>
      </c>
      <c r="U11983" s="16" t="s">
        <v>87</v>
      </c>
      <c r="V11983" s="16" t="str">
        <f>IFERROR(__xludf.DUMMYFUNCTION("""COMPUTED_VALUE"""),"")</f>
        <v/>
      </c>
      <c r="W11983" s="16" t="str">
        <f>IFERROR(__xludf.DUMMYFUNCTION("""COMPUTED_VALUE"""),"")</f>
        <v/>
      </c>
      <c r="X11983" s="16" t="str">
        <f>IFERROR(__xludf.DUMMYFUNCTION("""COMPUTED_VALUE"""),"")</f>
        <v/>
      </c>
      <c r="AC11983" s="16" t="str">
        <f>IFERROR(__xludf.DUMMYFUNCTION("""COMPUTED_VALUE"""),"")</f>
        <v/>
      </c>
    </row>
    <row r="11984">
      <c r="A11984" s="16" t="s">
        <v>87</v>
      </c>
      <c r="E11984" s="16" t="str">
        <f>IFERROR(__xludf.DUMMYFUNCTION("""COMPUTED_VALUE"""),"")</f>
        <v/>
      </c>
      <c r="G11984" s="18"/>
      <c r="H11984" s="16" t="s">
        <v>87</v>
      </c>
      <c r="I11984" s="16" t="s">
        <v>87</v>
      </c>
      <c r="J11984" s="19"/>
      <c r="L11984" s="16" t="str">
        <f>IFERROR(__xludf.DUMMYFUNCTION("""COMPUTED_VALUE"""),"")</f>
        <v/>
      </c>
      <c r="M11984" s="16" t="str">
        <f>IFERROR(__xludf.DUMMYFUNCTION("""COMPUTED_VALUE"""),"")</f>
        <v/>
      </c>
      <c r="U11984" s="16" t="s">
        <v>87</v>
      </c>
      <c r="V11984" s="16" t="str">
        <f>IFERROR(__xludf.DUMMYFUNCTION("""COMPUTED_VALUE"""),"")</f>
        <v/>
      </c>
      <c r="W11984" s="16" t="str">
        <f>IFERROR(__xludf.DUMMYFUNCTION("""COMPUTED_VALUE"""),"")</f>
        <v/>
      </c>
      <c r="X11984" s="16" t="str">
        <f>IFERROR(__xludf.DUMMYFUNCTION("""COMPUTED_VALUE"""),"")</f>
        <v/>
      </c>
      <c r="AC11984" s="16" t="str">
        <f>IFERROR(__xludf.DUMMYFUNCTION("""COMPUTED_VALUE"""),"")</f>
        <v/>
      </c>
    </row>
    <row r="11985">
      <c r="A11985" s="16" t="s">
        <v>87</v>
      </c>
      <c r="E11985" s="16" t="str">
        <f>IFERROR(__xludf.DUMMYFUNCTION("""COMPUTED_VALUE"""),"")</f>
        <v/>
      </c>
      <c r="G11985" s="18"/>
      <c r="H11985" s="16" t="s">
        <v>87</v>
      </c>
      <c r="I11985" s="16" t="s">
        <v>87</v>
      </c>
      <c r="J11985" s="19"/>
      <c r="L11985" s="16" t="str">
        <f>IFERROR(__xludf.DUMMYFUNCTION("""COMPUTED_VALUE"""),"")</f>
        <v/>
      </c>
      <c r="M11985" s="16" t="str">
        <f>IFERROR(__xludf.DUMMYFUNCTION("""COMPUTED_VALUE"""),"")</f>
        <v/>
      </c>
      <c r="U11985" s="16" t="s">
        <v>87</v>
      </c>
      <c r="V11985" s="16" t="str">
        <f>IFERROR(__xludf.DUMMYFUNCTION("""COMPUTED_VALUE"""),"")</f>
        <v/>
      </c>
      <c r="W11985" s="16" t="str">
        <f>IFERROR(__xludf.DUMMYFUNCTION("""COMPUTED_VALUE"""),"")</f>
        <v/>
      </c>
      <c r="X11985" s="16" t="str">
        <f>IFERROR(__xludf.DUMMYFUNCTION("""COMPUTED_VALUE"""),"")</f>
        <v/>
      </c>
      <c r="AC11985" s="16" t="str">
        <f>IFERROR(__xludf.DUMMYFUNCTION("""COMPUTED_VALUE"""),"")</f>
        <v/>
      </c>
    </row>
    <row r="11986">
      <c r="A11986" s="16" t="s">
        <v>87</v>
      </c>
      <c r="E11986" s="16" t="str">
        <f>IFERROR(__xludf.DUMMYFUNCTION("""COMPUTED_VALUE"""),"")</f>
        <v/>
      </c>
      <c r="G11986" s="18"/>
      <c r="H11986" s="16" t="s">
        <v>87</v>
      </c>
      <c r="I11986" s="16" t="s">
        <v>87</v>
      </c>
      <c r="J11986" s="19"/>
      <c r="L11986" s="16" t="str">
        <f>IFERROR(__xludf.DUMMYFUNCTION("""COMPUTED_VALUE"""),"")</f>
        <v/>
      </c>
      <c r="M11986" s="16" t="str">
        <f>IFERROR(__xludf.DUMMYFUNCTION("""COMPUTED_VALUE"""),"")</f>
        <v/>
      </c>
      <c r="U11986" s="16" t="s">
        <v>87</v>
      </c>
      <c r="V11986" s="16" t="str">
        <f>IFERROR(__xludf.DUMMYFUNCTION("""COMPUTED_VALUE"""),"")</f>
        <v/>
      </c>
      <c r="W11986" s="16" t="str">
        <f>IFERROR(__xludf.DUMMYFUNCTION("""COMPUTED_VALUE"""),"")</f>
        <v/>
      </c>
      <c r="X11986" s="16" t="str">
        <f>IFERROR(__xludf.DUMMYFUNCTION("""COMPUTED_VALUE"""),"")</f>
        <v/>
      </c>
      <c r="AC11986" s="16" t="str">
        <f>IFERROR(__xludf.DUMMYFUNCTION("""COMPUTED_VALUE"""),"")</f>
        <v/>
      </c>
    </row>
    <row r="11987">
      <c r="A11987" s="16" t="s">
        <v>87</v>
      </c>
      <c r="E11987" s="16" t="str">
        <f>IFERROR(__xludf.DUMMYFUNCTION("""COMPUTED_VALUE"""),"")</f>
        <v/>
      </c>
      <c r="G11987" s="18"/>
      <c r="H11987" s="16" t="s">
        <v>87</v>
      </c>
      <c r="I11987" s="16" t="s">
        <v>87</v>
      </c>
      <c r="J11987" s="19"/>
      <c r="L11987" s="16" t="str">
        <f>IFERROR(__xludf.DUMMYFUNCTION("""COMPUTED_VALUE"""),"")</f>
        <v/>
      </c>
      <c r="M11987" s="16" t="str">
        <f>IFERROR(__xludf.DUMMYFUNCTION("""COMPUTED_VALUE"""),"")</f>
        <v/>
      </c>
      <c r="U11987" s="16" t="s">
        <v>87</v>
      </c>
      <c r="V11987" s="16" t="str">
        <f>IFERROR(__xludf.DUMMYFUNCTION("""COMPUTED_VALUE"""),"")</f>
        <v/>
      </c>
      <c r="W11987" s="16" t="str">
        <f>IFERROR(__xludf.DUMMYFUNCTION("""COMPUTED_VALUE"""),"")</f>
        <v/>
      </c>
      <c r="X11987" s="16" t="str">
        <f>IFERROR(__xludf.DUMMYFUNCTION("""COMPUTED_VALUE"""),"")</f>
        <v/>
      </c>
      <c r="AC11987" s="16" t="str">
        <f>IFERROR(__xludf.DUMMYFUNCTION("""COMPUTED_VALUE"""),"")</f>
        <v/>
      </c>
    </row>
    <row r="11988">
      <c r="A11988" s="16" t="s">
        <v>87</v>
      </c>
      <c r="E11988" s="16" t="str">
        <f>IFERROR(__xludf.DUMMYFUNCTION("""COMPUTED_VALUE"""),"")</f>
        <v/>
      </c>
      <c r="G11988" s="18"/>
      <c r="H11988" s="16" t="s">
        <v>87</v>
      </c>
      <c r="I11988" s="16" t="s">
        <v>87</v>
      </c>
      <c r="J11988" s="19"/>
      <c r="L11988" s="16" t="str">
        <f>IFERROR(__xludf.DUMMYFUNCTION("""COMPUTED_VALUE"""),"")</f>
        <v/>
      </c>
      <c r="M11988" s="16" t="str">
        <f>IFERROR(__xludf.DUMMYFUNCTION("""COMPUTED_VALUE"""),"")</f>
        <v/>
      </c>
      <c r="U11988" s="16" t="s">
        <v>87</v>
      </c>
      <c r="V11988" s="16" t="str">
        <f>IFERROR(__xludf.DUMMYFUNCTION("""COMPUTED_VALUE"""),"")</f>
        <v/>
      </c>
      <c r="W11988" s="16" t="str">
        <f>IFERROR(__xludf.DUMMYFUNCTION("""COMPUTED_VALUE"""),"")</f>
        <v/>
      </c>
      <c r="X11988" s="16" t="str">
        <f>IFERROR(__xludf.DUMMYFUNCTION("""COMPUTED_VALUE"""),"")</f>
        <v/>
      </c>
      <c r="AC11988" s="16" t="str">
        <f>IFERROR(__xludf.DUMMYFUNCTION("""COMPUTED_VALUE"""),"")</f>
        <v/>
      </c>
    </row>
    <row r="11989">
      <c r="A11989" s="16" t="s">
        <v>87</v>
      </c>
      <c r="E11989" s="16" t="str">
        <f>IFERROR(__xludf.DUMMYFUNCTION("""COMPUTED_VALUE"""),"")</f>
        <v/>
      </c>
      <c r="G11989" s="18"/>
      <c r="H11989" s="16" t="s">
        <v>87</v>
      </c>
      <c r="I11989" s="16" t="s">
        <v>87</v>
      </c>
      <c r="J11989" s="19"/>
      <c r="L11989" s="16" t="str">
        <f>IFERROR(__xludf.DUMMYFUNCTION("""COMPUTED_VALUE"""),"")</f>
        <v/>
      </c>
      <c r="M11989" s="16" t="str">
        <f>IFERROR(__xludf.DUMMYFUNCTION("""COMPUTED_VALUE"""),"")</f>
        <v/>
      </c>
      <c r="U11989" s="16" t="s">
        <v>87</v>
      </c>
      <c r="V11989" s="16" t="str">
        <f>IFERROR(__xludf.DUMMYFUNCTION("""COMPUTED_VALUE"""),"")</f>
        <v/>
      </c>
      <c r="W11989" s="16" t="str">
        <f>IFERROR(__xludf.DUMMYFUNCTION("""COMPUTED_VALUE"""),"")</f>
        <v/>
      </c>
      <c r="X11989" s="16" t="str">
        <f>IFERROR(__xludf.DUMMYFUNCTION("""COMPUTED_VALUE"""),"")</f>
        <v/>
      </c>
      <c r="AC11989" s="16" t="str">
        <f>IFERROR(__xludf.DUMMYFUNCTION("""COMPUTED_VALUE"""),"")</f>
        <v/>
      </c>
    </row>
    <row r="11990">
      <c r="A11990" s="16" t="s">
        <v>87</v>
      </c>
      <c r="E11990" s="16" t="str">
        <f>IFERROR(__xludf.DUMMYFUNCTION("""COMPUTED_VALUE"""),"")</f>
        <v/>
      </c>
      <c r="G11990" s="18"/>
      <c r="H11990" s="16" t="s">
        <v>87</v>
      </c>
      <c r="I11990" s="16" t="s">
        <v>87</v>
      </c>
      <c r="J11990" s="19"/>
      <c r="L11990" s="16" t="str">
        <f>IFERROR(__xludf.DUMMYFUNCTION("""COMPUTED_VALUE"""),"")</f>
        <v/>
      </c>
      <c r="M11990" s="16" t="str">
        <f>IFERROR(__xludf.DUMMYFUNCTION("""COMPUTED_VALUE"""),"")</f>
        <v/>
      </c>
      <c r="U11990" s="16" t="s">
        <v>87</v>
      </c>
      <c r="V11990" s="16" t="str">
        <f>IFERROR(__xludf.DUMMYFUNCTION("""COMPUTED_VALUE"""),"")</f>
        <v/>
      </c>
      <c r="W11990" s="16" t="str">
        <f>IFERROR(__xludf.DUMMYFUNCTION("""COMPUTED_VALUE"""),"")</f>
        <v/>
      </c>
      <c r="X11990" s="16" t="str">
        <f>IFERROR(__xludf.DUMMYFUNCTION("""COMPUTED_VALUE"""),"")</f>
        <v/>
      </c>
      <c r="AC11990" s="16" t="str">
        <f>IFERROR(__xludf.DUMMYFUNCTION("""COMPUTED_VALUE"""),"")</f>
        <v/>
      </c>
    </row>
    <row r="11991">
      <c r="A11991" s="16" t="s">
        <v>87</v>
      </c>
      <c r="E11991" s="16" t="str">
        <f>IFERROR(__xludf.DUMMYFUNCTION("""COMPUTED_VALUE"""),"")</f>
        <v/>
      </c>
      <c r="G11991" s="18"/>
      <c r="H11991" s="16" t="s">
        <v>87</v>
      </c>
      <c r="I11991" s="16" t="s">
        <v>87</v>
      </c>
      <c r="J11991" s="19"/>
      <c r="L11991" s="16" t="str">
        <f>IFERROR(__xludf.DUMMYFUNCTION("""COMPUTED_VALUE"""),"")</f>
        <v/>
      </c>
      <c r="M11991" s="16" t="str">
        <f>IFERROR(__xludf.DUMMYFUNCTION("""COMPUTED_VALUE"""),"")</f>
        <v/>
      </c>
      <c r="U11991" s="16" t="s">
        <v>87</v>
      </c>
      <c r="V11991" s="16" t="str">
        <f>IFERROR(__xludf.DUMMYFUNCTION("""COMPUTED_VALUE"""),"")</f>
        <v/>
      </c>
      <c r="W11991" s="16" t="str">
        <f>IFERROR(__xludf.DUMMYFUNCTION("""COMPUTED_VALUE"""),"")</f>
        <v/>
      </c>
      <c r="X11991" s="16" t="str">
        <f>IFERROR(__xludf.DUMMYFUNCTION("""COMPUTED_VALUE"""),"")</f>
        <v/>
      </c>
      <c r="AC11991" s="16" t="str">
        <f>IFERROR(__xludf.DUMMYFUNCTION("""COMPUTED_VALUE"""),"")</f>
        <v/>
      </c>
    </row>
    <row r="11992">
      <c r="A11992" s="16" t="s">
        <v>87</v>
      </c>
      <c r="E11992" s="16" t="str">
        <f>IFERROR(__xludf.DUMMYFUNCTION("""COMPUTED_VALUE"""),"")</f>
        <v/>
      </c>
      <c r="G11992" s="18"/>
      <c r="H11992" s="16" t="s">
        <v>87</v>
      </c>
      <c r="I11992" s="16" t="s">
        <v>87</v>
      </c>
      <c r="J11992" s="19"/>
      <c r="L11992" s="16" t="str">
        <f>IFERROR(__xludf.DUMMYFUNCTION("""COMPUTED_VALUE"""),"")</f>
        <v/>
      </c>
      <c r="M11992" s="16" t="str">
        <f>IFERROR(__xludf.DUMMYFUNCTION("""COMPUTED_VALUE"""),"")</f>
        <v/>
      </c>
      <c r="U11992" s="16" t="s">
        <v>87</v>
      </c>
      <c r="V11992" s="16" t="str">
        <f>IFERROR(__xludf.DUMMYFUNCTION("""COMPUTED_VALUE"""),"")</f>
        <v/>
      </c>
      <c r="W11992" s="16" t="str">
        <f>IFERROR(__xludf.DUMMYFUNCTION("""COMPUTED_VALUE"""),"")</f>
        <v/>
      </c>
      <c r="X11992" s="16" t="str">
        <f>IFERROR(__xludf.DUMMYFUNCTION("""COMPUTED_VALUE"""),"")</f>
        <v/>
      </c>
      <c r="AC11992" s="16" t="str">
        <f>IFERROR(__xludf.DUMMYFUNCTION("""COMPUTED_VALUE"""),"")</f>
        <v/>
      </c>
    </row>
    <row r="11993">
      <c r="A11993" s="16" t="s">
        <v>87</v>
      </c>
      <c r="E11993" s="16" t="str">
        <f>IFERROR(__xludf.DUMMYFUNCTION("""COMPUTED_VALUE"""),"")</f>
        <v/>
      </c>
      <c r="G11993" s="18"/>
      <c r="H11993" s="16" t="s">
        <v>87</v>
      </c>
      <c r="I11993" s="16" t="s">
        <v>87</v>
      </c>
      <c r="J11993" s="19"/>
      <c r="L11993" s="16" t="str">
        <f>IFERROR(__xludf.DUMMYFUNCTION("""COMPUTED_VALUE"""),"")</f>
        <v/>
      </c>
      <c r="M11993" s="16" t="str">
        <f>IFERROR(__xludf.DUMMYFUNCTION("""COMPUTED_VALUE"""),"")</f>
        <v/>
      </c>
      <c r="U11993" s="16" t="s">
        <v>87</v>
      </c>
      <c r="V11993" s="16" t="str">
        <f>IFERROR(__xludf.DUMMYFUNCTION("""COMPUTED_VALUE"""),"")</f>
        <v/>
      </c>
      <c r="W11993" s="16" t="str">
        <f>IFERROR(__xludf.DUMMYFUNCTION("""COMPUTED_VALUE"""),"")</f>
        <v/>
      </c>
      <c r="X11993" s="16" t="str">
        <f>IFERROR(__xludf.DUMMYFUNCTION("""COMPUTED_VALUE"""),"")</f>
        <v/>
      </c>
      <c r="AC11993" s="16" t="str">
        <f>IFERROR(__xludf.DUMMYFUNCTION("""COMPUTED_VALUE"""),"")</f>
        <v/>
      </c>
    </row>
    <row r="11994">
      <c r="A11994" s="16" t="s">
        <v>87</v>
      </c>
      <c r="E11994" s="16" t="str">
        <f>IFERROR(__xludf.DUMMYFUNCTION("""COMPUTED_VALUE"""),"")</f>
        <v/>
      </c>
      <c r="G11994" s="18"/>
      <c r="H11994" s="16" t="s">
        <v>87</v>
      </c>
      <c r="I11994" s="16" t="s">
        <v>87</v>
      </c>
      <c r="J11994" s="19"/>
      <c r="L11994" s="16" t="str">
        <f>IFERROR(__xludf.DUMMYFUNCTION("""COMPUTED_VALUE"""),"")</f>
        <v/>
      </c>
      <c r="M11994" s="16" t="str">
        <f>IFERROR(__xludf.DUMMYFUNCTION("""COMPUTED_VALUE"""),"")</f>
        <v/>
      </c>
      <c r="U11994" s="16" t="s">
        <v>87</v>
      </c>
      <c r="V11994" s="16" t="str">
        <f>IFERROR(__xludf.DUMMYFUNCTION("""COMPUTED_VALUE"""),"")</f>
        <v/>
      </c>
      <c r="W11994" s="16" t="str">
        <f>IFERROR(__xludf.DUMMYFUNCTION("""COMPUTED_VALUE"""),"")</f>
        <v/>
      </c>
      <c r="X11994" s="16" t="str">
        <f>IFERROR(__xludf.DUMMYFUNCTION("""COMPUTED_VALUE"""),"")</f>
        <v/>
      </c>
      <c r="AC11994" s="16" t="str">
        <f>IFERROR(__xludf.DUMMYFUNCTION("""COMPUTED_VALUE"""),"")</f>
        <v/>
      </c>
    </row>
    <row r="11995">
      <c r="A11995" s="16" t="s">
        <v>87</v>
      </c>
      <c r="E11995" s="16" t="str">
        <f>IFERROR(__xludf.DUMMYFUNCTION("""COMPUTED_VALUE"""),"")</f>
        <v/>
      </c>
      <c r="G11995" s="18"/>
      <c r="H11995" s="16" t="s">
        <v>87</v>
      </c>
      <c r="I11995" s="16" t="s">
        <v>87</v>
      </c>
      <c r="J11995" s="19"/>
      <c r="L11995" s="16" t="str">
        <f>IFERROR(__xludf.DUMMYFUNCTION("""COMPUTED_VALUE"""),"")</f>
        <v/>
      </c>
      <c r="M11995" s="16" t="str">
        <f>IFERROR(__xludf.DUMMYFUNCTION("""COMPUTED_VALUE"""),"")</f>
        <v/>
      </c>
      <c r="U11995" s="16" t="s">
        <v>87</v>
      </c>
      <c r="V11995" s="16" t="str">
        <f>IFERROR(__xludf.DUMMYFUNCTION("""COMPUTED_VALUE"""),"")</f>
        <v/>
      </c>
      <c r="W11995" s="16" t="str">
        <f>IFERROR(__xludf.DUMMYFUNCTION("""COMPUTED_VALUE"""),"")</f>
        <v/>
      </c>
      <c r="X11995" s="16" t="str">
        <f>IFERROR(__xludf.DUMMYFUNCTION("""COMPUTED_VALUE"""),"")</f>
        <v/>
      </c>
      <c r="AC11995" s="16" t="str">
        <f>IFERROR(__xludf.DUMMYFUNCTION("""COMPUTED_VALUE"""),"")</f>
        <v/>
      </c>
    </row>
    <row r="11996">
      <c r="A11996" s="16" t="s">
        <v>87</v>
      </c>
      <c r="E11996" s="16" t="str">
        <f>IFERROR(__xludf.DUMMYFUNCTION("""COMPUTED_VALUE"""),"")</f>
        <v/>
      </c>
      <c r="G11996" s="18"/>
      <c r="H11996" s="16" t="s">
        <v>87</v>
      </c>
      <c r="I11996" s="16" t="s">
        <v>87</v>
      </c>
      <c r="J11996" s="19"/>
      <c r="L11996" s="16" t="str">
        <f>IFERROR(__xludf.DUMMYFUNCTION("""COMPUTED_VALUE"""),"")</f>
        <v/>
      </c>
      <c r="M11996" s="16" t="str">
        <f>IFERROR(__xludf.DUMMYFUNCTION("""COMPUTED_VALUE"""),"")</f>
        <v/>
      </c>
      <c r="U11996" s="16" t="s">
        <v>87</v>
      </c>
      <c r="V11996" s="16" t="str">
        <f>IFERROR(__xludf.DUMMYFUNCTION("""COMPUTED_VALUE"""),"")</f>
        <v/>
      </c>
      <c r="W11996" s="16" t="str">
        <f>IFERROR(__xludf.DUMMYFUNCTION("""COMPUTED_VALUE"""),"")</f>
        <v/>
      </c>
      <c r="X11996" s="16" t="str">
        <f>IFERROR(__xludf.DUMMYFUNCTION("""COMPUTED_VALUE"""),"")</f>
        <v/>
      </c>
      <c r="AC11996" s="16" t="str">
        <f>IFERROR(__xludf.DUMMYFUNCTION("""COMPUTED_VALUE"""),"")</f>
        <v/>
      </c>
    </row>
    <row r="11997">
      <c r="A11997" s="16" t="s">
        <v>87</v>
      </c>
      <c r="E11997" s="16" t="str">
        <f>IFERROR(__xludf.DUMMYFUNCTION("""COMPUTED_VALUE"""),"")</f>
        <v/>
      </c>
      <c r="G11997" s="18"/>
      <c r="H11997" s="16" t="s">
        <v>87</v>
      </c>
      <c r="I11997" s="16" t="s">
        <v>87</v>
      </c>
      <c r="J11997" s="19"/>
      <c r="L11997" s="16" t="str">
        <f>IFERROR(__xludf.DUMMYFUNCTION("""COMPUTED_VALUE"""),"")</f>
        <v/>
      </c>
      <c r="M11997" s="16" t="str">
        <f>IFERROR(__xludf.DUMMYFUNCTION("""COMPUTED_VALUE"""),"")</f>
        <v/>
      </c>
      <c r="U11997" s="16" t="s">
        <v>87</v>
      </c>
      <c r="V11997" s="16" t="str">
        <f>IFERROR(__xludf.DUMMYFUNCTION("""COMPUTED_VALUE"""),"")</f>
        <v/>
      </c>
      <c r="W11997" s="16" t="str">
        <f>IFERROR(__xludf.DUMMYFUNCTION("""COMPUTED_VALUE"""),"")</f>
        <v/>
      </c>
      <c r="X11997" s="16" t="str">
        <f>IFERROR(__xludf.DUMMYFUNCTION("""COMPUTED_VALUE"""),"")</f>
        <v/>
      </c>
      <c r="AC11997" s="16" t="str">
        <f>IFERROR(__xludf.DUMMYFUNCTION("""COMPUTED_VALUE"""),"")</f>
        <v/>
      </c>
    </row>
    <row r="11998">
      <c r="A11998" s="16" t="s">
        <v>87</v>
      </c>
      <c r="E11998" s="16" t="str">
        <f>IFERROR(__xludf.DUMMYFUNCTION("""COMPUTED_VALUE"""),"")</f>
        <v/>
      </c>
      <c r="G11998" s="18"/>
      <c r="H11998" s="16" t="s">
        <v>87</v>
      </c>
      <c r="I11998" s="16" t="s">
        <v>87</v>
      </c>
      <c r="J11998" s="19"/>
      <c r="L11998" s="16" t="str">
        <f>IFERROR(__xludf.DUMMYFUNCTION("""COMPUTED_VALUE"""),"")</f>
        <v/>
      </c>
      <c r="M11998" s="16" t="str">
        <f>IFERROR(__xludf.DUMMYFUNCTION("""COMPUTED_VALUE"""),"")</f>
        <v/>
      </c>
      <c r="U11998" s="16" t="s">
        <v>87</v>
      </c>
      <c r="V11998" s="16" t="str">
        <f>IFERROR(__xludf.DUMMYFUNCTION("""COMPUTED_VALUE"""),"")</f>
        <v/>
      </c>
      <c r="W11998" s="16" t="str">
        <f>IFERROR(__xludf.DUMMYFUNCTION("""COMPUTED_VALUE"""),"")</f>
        <v/>
      </c>
      <c r="X11998" s="16" t="str">
        <f>IFERROR(__xludf.DUMMYFUNCTION("""COMPUTED_VALUE"""),"")</f>
        <v/>
      </c>
      <c r="AC11998" s="16" t="str">
        <f>IFERROR(__xludf.DUMMYFUNCTION("""COMPUTED_VALUE"""),"")</f>
        <v/>
      </c>
    </row>
    <row r="11999">
      <c r="A11999" s="16" t="s">
        <v>87</v>
      </c>
      <c r="E11999" s="16" t="str">
        <f>IFERROR(__xludf.DUMMYFUNCTION("""COMPUTED_VALUE"""),"")</f>
        <v/>
      </c>
      <c r="G11999" s="18"/>
      <c r="H11999" s="16" t="s">
        <v>87</v>
      </c>
      <c r="I11999" s="16" t="s">
        <v>87</v>
      </c>
      <c r="J11999" s="19"/>
      <c r="L11999" s="16" t="str">
        <f>IFERROR(__xludf.DUMMYFUNCTION("""COMPUTED_VALUE"""),"")</f>
        <v/>
      </c>
      <c r="M11999" s="16" t="str">
        <f>IFERROR(__xludf.DUMMYFUNCTION("""COMPUTED_VALUE"""),"")</f>
        <v/>
      </c>
      <c r="U11999" s="16" t="s">
        <v>87</v>
      </c>
      <c r="V11999" s="16" t="str">
        <f>IFERROR(__xludf.DUMMYFUNCTION("""COMPUTED_VALUE"""),"")</f>
        <v/>
      </c>
      <c r="W11999" s="16" t="str">
        <f>IFERROR(__xludf.DUMMYFUNCTION("""COMPUTED_VALUE"""),"")</f>
        <v/>
      </c>
      <c r="X11999" s="16" t="str">
        <f>IFERROR(__xludf.DUMMYFUNCTION("""COMPUTED_VALUE"""),"")</f>
        <v/>
      </c>
      <c r="AC11999" s="16" t="str">
        <f>IFERROR(__xludf.DUMMYFUNCTION("""COMPUTED_VALUE"""),"")</f>
        <v/>
      </c>
    </row>
    <row r="12000">
      <c r="A12000" s="16" t="s">
        <v>87</v>
      </c>
      <c r="E12000" s="16" t="str">
        <f>IFERROR(__xludf.DUMMYFUNCTION("""COMPUTED_VALUE"""),"")</f>
        <v/>
      </c>
      <c r="G12000" s="18"/>
      <c r="H12000" s="16" t="s">
        <v>87</v>
      </c>
      <c r="I12000" s="16" t="s">
        <v>87</v>
      </c>
      <c r="J12000" s="19"/>
      <c r="L12000" s="16" t="str">
        <f>IFERROR(__xludf.DUMMYFUNCTION("""COMPUTED_VALUE"""),"")</f>
        <v/>
      </c>
      <c r="M12000" s="16" t="str">
        <f>IFERROR(__xludf.DUMMYFUNCTION("""COMPUTED_VALUE"""),"")</f>
        <v/>
      </c>
      <c r="U12000" s="16" t="s">
        <v>87</v>
      </c>
      <c r="V12000" s="16" t="str">
        <f>IFERROR(__xludf.DUMMYFUNCTION("""COMPUTED_VALUE"""),"")</f>
        <v/>
      </c>
      <c r="W12000" s="16" t="str">
        <f>IFERROR(__xludf.DUMMYFUNCTION("""COMPUTED_VALUE"""),"")</f>
        <v/>
      </c>
      <c r="X12000" s="16" t="str">
        <f>IFERROR(__xludf.DUMMYFUNCTION("""COMPUTED_VALUE"""),"")</f>
        <v/>
      </c>
      <c r="AC12000" s="16" t="str">
        <f>IFERROR(__xludf.DUMMYFUNCTION("""COMPUTED_VALUE"""),"")</f>
        <v/>
      </c>
    </row>
    <row r="12001">
      <c r="A12001" s="16" t="s">
        <v>87</v>
      </c>
      <c r="E12001" s="16" t="str">
        <f>IFERROR(__xludf.DUMMYFUNCTION("""COMPUTED_VALUE"""),"")</f>
        <v/>
      </c>
      <c r="G12001" s="18"/>
      <c r="H12001" s="16" t="s">
        <v>87</v>
      </c>
      <c r="I12001" s="16" t="s">
        <v>87</v>
      </c>
      <c r="J12001" s="19"/>
      <c r="L12001" s="16" t="str">
        <f>IFERROR(__xludf.DUMMYFUNCTION("""COMPUTED_VALUE"""),"")</f>
        <v/>
      </c>
      <c r="M12001" s="16" t="str">
        <f>IFERROR(__xludf.DUMMYFUNCTION("""COMPUTED_VALUE"""),"")</f>
        <v/>
      </c>
      <c r="U12001" s="16" t="s">
        <v>87</v>
      </c>
      <c r="V12001" s="16" t="str">
        <f>IFERROR(__xludf.DUMMYFUNCTION("""COMPUTED_VALUE"""),"")</f>
        <v/>
      </c>
      <c r="W12001" s="16" t="str">
        <f>IFERROR(__xludf.DUMMYFUNCTION("""COMPUTED_VALUE"""),"")</f>
        <v/>
      </c>
      <c r="X12001" s="16" t="str">
        <f>IFERROR(__xludf.DUMMYFUNCTION("""COMPUTED_VALUE"""),"")</f>
        <v/>
      </c>
      <c r="AC12001" s="16" t="str">
        <f>IFERROR(__xludf.DUMMYFUNCTION("""COMPUTED_VALUE"""),"")</f>
        <v/>
      </c>
    </row>
    <row r="12002">
      <c r="A12002" s="16" t="s">
        <v>87</v>
      </c>
      <c r="E12002" s="16" t="str">
        <f>IFERROR(__xludf.DUMMYFUNCTION("""COMPUTED_VALUE"""),"")</f>
        <v/>
      </c>
      <c r="G12002" s="18"/>
      <c r="H12002" s="16" t="s">
        <v>87</v>
      </c>
      <c r="I12002" s="16" t="s">
        <v>87</v>
      </c>
      <c r="J12002" s="19"/>
      <c r="L12002" s="16" t="str">
        <f>IFERROR(__xludf.DUMMYFUNCTION("""COMPUTED_VALUE"""),"")</f>
        <v/>
      </c>
      <c r="M12002" s="16" t="str">
        <f>IFERROR(__xludf.DUMMYFUNCTION("""COMPUTED_VALUE"""),"")</f>
        <v/>
      </c>
      <c r="U12002" s="16" t="s">
        <v>87</v>
      </c>
      <c r="V12002" s="16" t="str">
        <f>IFERROR(__xludf.DUMMYFUNCTION("""COMPUTED_VALUE"""),"")</f>
        <v/>
      </c>
      <c r="W12002" s="16" t="str">
        <f>IFERROR(__xludf.DUMMYFUNCTION("""COMPUTED_VALUE"""),"")</f>
        <v/>
      </c>
      <c r="X12002" s="16" t="str">
        <f>IFERROR(__xludf.DUMMYFUNCTION("""COMPUTED_VALUE"""),"")</f>
        <v/>
      </c>
      <c r="AC12002" s="16" t="str">
        <f>IFERROR(__xludf.DUMMYFUNCTION("""COMPUTED_VALUE"""),"")</f>
        <v/>
      </c>
    </row>
    <row r="12003">
      <c r="A12003" s="16" t="s">
        <v>87</v>
      </c>
      <c r="E12003" s="16" t="str">
        <f>IFERROR(__xludf.DUMMYFUNCTION("""COMPUTED_VALUE"""),"")</f>
        <v/>
      </c>
      <c r="G12003" s="18"/>
      <c r="H12003" s="16" t="s">
        <v>87</v>
      </c>
      <c r="I12003" s="16" t="s">
        <v>87</v>
      </c>
      <c r="J12003" s="19"/>
      <c r="L12003" s="16" t="str">
        <f>IFERROR(__xludf.DUMMYFUNCTION("""COMPUTED_VALUE"""),"")</f>
        <v/>
      </c>
      <c r="M12003" s="16" t="str">
        <f>IFERROR(__xludf.DUMMYFUNCTION("""COMPUTED_VALUE"""),"")</f>
        <v/>
      </c>
      <c r="U12003" s="16" t="s">
        <v>87</v>
      </c>
      <c r="V12003" s="16" t="str">
        <f>IFERROR(__xludf.DUMMYFUNCTION("""COMPUTED_VALUE"""),"")</f>
        <v/>
      </c>
      <c r="W12003" s="16" t="str">
        <f>IFERROR(__xludf.DUMMYFUNCTION("""COMPUTED_VALUE"""),"")</f>
        <v/>
      </c>
      <c r="X12003" s="16" t="str">
        <f>IFERROR(__xludf.DUMMYFUNCTION("""COMPUTED_VALUE"""),"")</f>
        <v/>
      </c>
      <c r="AC12003" s="16" t="str">
        <f>IFERROR(__xludf.DUMMYFUNCTION("""COMPUTED_VALUE"""),"")</f>
        <v/>
      </c>
    </row>
    <row r="12004">
      <c r="A12004" s="16" t="s">
        <v>87</v>
      </c>
      <c r="E12004" s="16" t="str">
        <f>IFERROR(__xludf.DUMMYFUNCTION("""COMPUTED_VALUE"""),"")</f>
        <v/>
      </c>
      <c r="G12004" s="18"/>
      <c r="H12004" s="16" t="s">
        <v>87</v>
      </c>
      <c r="I12004" s="16" t="s">
        <v>87</v>
      </c>
      <c r="J12004" s="19"/>
      <c r="L12004" s="16" t="str">
        <f>IFERROR(__xludf.DUMMYFUNCTION("""COMPUTED_VALUE"""),"")</f>
        <v/>
      </c>
      <c r="M12004" s="16" t="str">
        <f>IFERROR(__xludf.DUMMYFUNCTION("""COMPUTED_VALUE"""),"")</f>
        <v/>
      </c>
      <c r="U12004" s="16" t="s">
        <v>87</v>
      </c>
      <c r="V12004" s="16" t="str">
        <f>IFERROR(__xludf.DUMMYFUNCTION("""COMPUTED_VALUE"""),"")</f>
        <v/>
      </c>
      <c r="W12004" s="16" t="str">
        <f>IFERROR(__xludf.DUMMYFUNCTION("""COMPUTED_VALUE"""),"")</f>
        <v/>
      </c>
      <c r="X12004" s="16" t="str">
        <f>IFERROR(__xludf.DUMMYFUNCTION("""COMPUTED_VALUE"""),"")</f>
        <v/>
      </c>
      <c r="AC12004" s="16" t="str">
        <f>IFERROR(__xludf.DUMMYFUNCTION("""COMPUTED_VALUE"""),"")</f>
        <v/>
      </c>
    </row>
    <row r="12005">
      <c r="A12005" s="16" t="s">
        <v>87</v>
      </c>
      <c r="E12005" s="16" t="str">
        <f>IFERROR(__xludf.DUMMYFUNCTION("""COMPUTED_VALUE"""),"")</f>
        <v/>
      </c>
      <c r="G12005" s="18"/>
      <c r="H12005" s="16" t="s">
        <v>87</v>
      </c>
      <c r="I12005" s="16" t="s">
        <v>87</v>
      </c>
      <c r="J12005" s="19"/>
      <c r="L12005" s="16" t="str">
        <f>IFERROR(__xludf.DUMMYFUNCTION("""COMPUTED_VALUE"""),"")</f>
        <v/>
      </c>
      <c r="M12005" s="16" t="str">
        <f>IFERROR(__xludf.DUMMYFUNCTION("""COMPUTED_VALUE"""),"")</f>
        <v/>
      </c>
      <c r="U12005" s="16" t="s">
        <v>87</v>
      </c>
      <c r="V12005" s="16" t="str">
        <f>IFERROR(__xludf.DUMMYFUNCTION("""COMPUTED_VALUE"""),"")</f>
        <v/>
      </c>
      <c r="W12005" s="16" t="str">
        <f>IFERROR(__xludf.DUMMYFUNCTION("""COMPUTED_VALUE"""),"")</f>
        <v/>
      </c>
      <c r="X12005" s="16" t="str">
        <f>IFERROR(__xludf.DUMMYFUNCTION("""COMPUTED_VALUE"""),"")</f>
        <v/>
      </c>
      <c r="AC12005" s="16" t="str">
        <f>IFERROR(__xludf.DUMMYFUNCTION("""COMPUTED_VALUE"""),"")</f>
        <v/>
      </c>
    </row>
    <row r="12006">
      <c r="A12006" s="16" t="s">
        <v>87</v>
      </c>
      <c r="E12006" s="16" t="str">
        <f>IFERROR(__xludf.DUMMYFUNCTION("""COMPUTED_VALUE"""),"")</f>
        <v/>
      </c>
      <c r="G12006" s="18"/>
      <c r="H12006" s="16" t="s">
        <v>87</v>
      </c>
      <c r="I12006" s="16" t="s">
        <v>87</v>
      </c>
      <c r="J12006" s="19"/>
      <c r="L12006" s="16" t="str">
        <f>IFERROR(__xludf.DUMMYFUNCTION("""COMPUTED_VALUE"""),"")</f>
        <v/>
      </c>
      <c r="M12006" s="16" t="str">
        <f>IFERROR(__xludf.DUMMYFUNCTION("""COMPUTED_VALUE"""),"")</f>
        <v/>
      </c>
      <c r="U12006" s="16" t="s">
        <v>87</v>
      </c>
      <c r="V12006" s="16" t="str">
        <f>IFERROR(__xludf.DUMMYFUNCTION("""COMPUTED_VALUE"""),"")</f>
        <v/>
      </c>
      <c r="W12006" s="16" t="str">
        <f>IFERROR(__xludf.DUMMYFUNCTION("""COMPUTED_VALUE"""),"")</f>
        <v/>
      </c>
      <c r="X12006" s="16" t="str">
        <f>IFERROR(__xludf.DUMMYFUNCTION("""COMPUTED_VALUE"""),"")</f>
        <v/>
      </c>
      <c r="AC12006" s="16" t="str">
        <f>IFERROR(__xludf.DUMMYFUNCTION("""COMPUTED_VALUE"""),"")</f>
        <v/>
      </c>
    </row>
    <row r="12007">
      <c r="A12007" s="16" t="s">
        <v>87</v>
      </c>
      <c r="E12007" s="16" t="str">
        <f>IFERROR(__xludf.DUMMYFUNCTION("""COMPUTED_VALUE"""),"")</f>
        <v/>
      </c>
      <c r="G12007" s="18"/>
      <c r="H12007" s="16" t="s">
        <v>87</v>
      </c>
      <c r="I12007" s="16" t="s">
        <v>87</v>
      </c>
      <c r="J12007" s="19"/>
      <c r="L12007" s="16" t="str">
        <f>IFERROR(__xludf.DUMMYFUNCTION("""COMPUTED_VALUE"""),"")</f>
        <v/>
      </c>
      <c r="M12007" s="16" t="str">
        <f>IFERROR(__xludf.DUMMYFUNCTION("""COMPUTED_VALUE"""),"")</f>
        <v/>
      </c>
      <c r="U12007" s="16" t="s">
        <v>87</v>
      </c>
      <c r="V12007" s="16" t="str">
        <f>IFERROR(__xludf.DUMMYFUNCTION("""COMPUTED_VALUE"""),"")</f>
        <v/>
      </c>
      <c r="W12007" s="16" t="str">
        <f>IFERROR(__xludf.DUMMYFUNCTION("""COMPUTED_VALUE"""),"")</f>
        <v/>
      </c>
      <c r="X12007" s="16" t="str">
        <f>IFERROR(__xludf.DUMMYFUNCTION("""COMPUTED_VALUE"""),"")</f>
        <v/>
      </c>
      <c r="AC12007" s="16" t="str">
        <f>IFERROR(__xludf.DUMMYFUNCTION("""COMPUTED_VALUE"""),"")</f>
        <v/>
      </c>
    </row>
    <row r="12008">
      <c r="A12008" s="16" t="s">
        <v>87</v>
      </c>
      <c r="E12008" s="16" t="str">
        <f>IFERROR(__xludf.DUMMYFUNCTION("""COMPUTED_VALUE"""),"")</f>
        <v/>
      </c>
      <c r="G12008" s="18"/>
      <c r="H12008" s="16" t="s">
        <v>87</v>
      </c>
      <c r="I12008" s="16" t="s">
        <v>87</v>
      </c>
      <c r="J12008" s="19"/>
      <c r="L12008" s="16" t="str">
        <f>IFERROR(__xludf.DUMMYFUNCTION("""COMPUTED_VALUE"""),"")</f>
        <v/>
      </c>
      <c r="M12008" s="16" t="str">
        <f>IFERROR(__xludf.DUMMYFUNCTION("""COMPUTED_VALUE"""),"")</f>
        <v/>
      </c>
      <c r="U12008" s="16" t="s">
        <v>87</v>
      </c>
      <c r="V12008" s="16" t="str">
        <f>IFERROR(__xludf.DUMMYFUNCTION("""COMPUTED_VALUE"""),"")</f>
        <v/>
      </c>
      <c r="W12008" s="16" t="str">
        <f>IFERROR(__xludf.DUMMYFUNCTION("""COMPUTED_VALUE"""),"")</f>
        <v/>
      </c>
      <c r="X12008" s="16" t="str">
        <f>IFERROR(__xludf.DUMMYFUNCTION("""COMPUTED_VALUE"""),"")</f>
        <v/>
      </c>
      <c r="AC12008" s="16" t="str">
        <f>IFERROR(__xludf.DUMMYFUNCTION("""COMPUTED_VALUE"""),"")</f>
        <v/>
      </c>
    </row>
    <row r="12009">
      <c r="A12009" s="16" t="s">
        <v>87</v>
      </c>
      <c r="E12009" s="16" t="str">
        <f>IFERROR(__xludf.DUMMYFUNCTION("""COMPUTED_VALUE"""),"")</f>
        <v/>
      </c>
      <c r="G12009" s="18"/>
      <c r="H12009" s="16" t="s">
        <v>87</v>
      </c>
      <c r="I12009" s="16" t="s">
        <v>87</v>
      </c>
      <c r="J12009" s="19"/>
      <c r="L12009" s="16" t="str">
        <f>IFERROR(__xludf.DUMMYFUNCTION("""COMPUTED_VALUE"""),"")</f>
        <v/>
      </c>
      <c r="M12009" s="16" t="str">
        <f>IFERROR(__xludf.DUMMYFUNCTION("""COMPUTED_VALUE"""),"")</f>
        <v/>
      </c>
      <c r="U12009" s="16" t="s">
        <v>87</v>
      </c>
      <c r="V12009" s="16" t="str">
        <f>IFERROR(__xludf.DUMMYFUNCTION("""COMPUTED_VALUE"""),"")</f>
        <v/>
      </c>
      <c r="W12009" s="16" t="str">
        <f>IFERROR(__xludf.DUMMYFUNCTION("""COMPUTED_VALUE"""),"")</f>
        <v/>
      </c>
      <c r="X12009" s="16" t="str">
        <f>IFERROR(__xludf.DUMMYFUNCTION("""COMPUTED_VALUE"""),"")</f>
        <v/>
      </c>
      <c r="AC12009" s="16" t="str">
        <f>IFERROR(__xludf.DUMMYFUNCTION("""COMPUTED_VALUE"""),"")</f>
        <v/>
      </c>
    </row>
    <row r="12010">
      <c r="A12010" s="16" t="s">
        <v>87</v>
      </c>
      <c r="E12010" s="16" t="str">
        <f>IFERROR(__xludf.DUMMYFUNCTION("""COMPUTED_VALUE"""),"")</f>
        <v/>
      </c>
      <c r="G12010" s="18"/>
      <c r="H12010" s="16" t="s">
        <v>87</v>
      </c>
      <c r="I12010" s="16" t="s">
        <v>87</v>
      </c>
      <c r="J12010" s="19"/>
      <c r="L12010" s="16" t="str">
        <f>IFERROR(__xludf.DUMMYFUNCTION("""COMPUTED_VALUE"""),"")</f>
        <v/>
      </c>
      <c r="M12010" s="16" t="str">
        <f>IFERROR(__xludf.DUMMYFUNCTION("""COMPUTED_VALUE"""),"")</f>
        <v/>
      </c>
      <c r="U12010" s="16" t="s">
        <v>87</v>
      </c>
      <c r="V12010" s="16" t="str">
        <f>IFERROR(__xludf.DUMMYFUNCTION("""COMPUTED_VALUE"""),"")</f>
        <v/>
      </c>
      <c r="W12010" s="16" t="str">
        <f>IFERROR(__xludf.DUMMYFUNCTION("""COMPUTED_VALUE"""),"")</f>
        <v/>
      </c>
      <c r="X12010" s="16" t="str">
        <f>IFERROR(__xludf.DUMMYFUNCTION("""COMPUTED_VALUE"""),"")</f>
        <v/>
      </c>
      <c r="AC12010" s="16" t="str">
        <f>IFERROR(__xludf.DUMMYFUNCTION("""COMPUTED_VALUE"""),"")</f>
        <v/>
      </c>
    </row>
    <row r="12011">
      <c r="A12011" s="16" t="s">
        <v>87</v>
      </c>
      <c r="E12011" s="16" t="str">
        <f>IFERROR(__xludf.DUMMYFUNCTION("""COMPUTED_VALUE"""),"")</f>
        <v/>
      </c>
      <c r="G12011" s="18"/>
      <c r="H12011" s="16" t="s">
        <v>87</v>
      </c>
      <c r="I12011" s="16" t="s">
        <v>87</v>
      </c>
      <c r="J12011" s="19"/>
      <c r="L12011" s="16" t="str">
        <f>IFERROR(__xludf.DUMMYFUNCTION("""COMPUTED_VALUE"""),"")</f>
        <v/>
      </c>
      <c r="M12011" s="16" t="str">
        <f>IFERROR(__xludf.DUMMYFUNCTION("""COMPUTED_VALUE"""),"")</f>
        <v/>
      </c>
      <c r="U12011" s="16" t="s">
        <v>87</v>
      </c>
      <c r="V12011" s="16" t="str">
        <f>IFERROR(__xludf.DUMMYFUNCTION("""COMPUTED_VALUE"""),"")</f>
        <v/>
      </c>
      <c r="W12011" s="16" t="str">
        <f>IFERROR(__xludf.DUMMYFUNCTION("""COMPUTED_VALUE"""),"")</f>
        <v/>
      </c>
      <c r="X12011" s="16" t="str">
        <f>IFERROR(__xludf.DUMMYFUNCTION("""COMPUTED_VALUE"""),"")</f>
        <v/>
      </c>
      <c r="AC12011" s="16" t="str">
        <f>IFERROR(__xludf.DUMMYFUNCTION("""COMPUTED_VALUE"""),"")</f>
        <v/>
      </c>
    </row>
    <row r="12012">
      <c r="A12012" s="16" t="s">
        <v>87</v>
      </c>
      <c r="E12012" s="16" t="str">
        <f>IFERROR(__xludf.DUMMYFUNCTION("""COMPUTED_VALUE"""),"")</f>
        <v/>
      </c>
      <c r="G12012" s="18"/>
      <c r="H12012" s="16" t="s">
        <v>87</v>
      </c>
      <c r="I12012" s="16" t="s">
        <v>87</v>
      </c>
      <c r="J12012" s="19"/>
      <c r="L12012" s="16" t="str">
        <f>IFERROR(__xludf.DUMMYFUNCTION("""COMPUTED_VALUE"""),"")</f>
        <v/>
      </c>
      <c r="M12012" s="16" t="str">
        <f>IFERROR(__xludf.DUMMYFUNCTION("""COMPUTED_VALUE"""),"")</f>
        <v/>
      </c>
      <c r="U12012" s="16" t="s">
        <v>87</v>
      </c>
      <c r="V12012" s="16" t="str">
        <f>IFERROR(__xludf.DUMMYFUNCTION("""COMPUTED_VALUE"""),"")</f>
        <v/>
      </c>
      <c r="W12012" s="16" t="str">
        <f>IFERROR(__xludf.DUMMYFUNCTION("""COMPUTED_VALUE"""),"")</f>
        <v/>
      </c>
      <c r="X12012" s="16" t="str">
        <f>IFERROR(__xludf.DUMMYFUNCTION("""COMPUTED_VALUE"""),"")</f>
        <v/>
      </c>
      <c r="AC12012" s="16" t="str">
        <f>IFERROR(__xludf.DUMMYFUNCTION("""COMPUTED_VALUE"""),"")</f>
        <v/>
      </c>
    </row>
    <row r="12013">
      <c r="A12013" s="16" t="s">
        <v>87</v>
      </c>
      <c r="E12013" s="16" t="str">
        <f>IFERROR(__xludf.DUMMYFUNCTION("""COMPUTED_VALUE"""),"")</f>
        <v/>
      </c>
      <c r="G12013" s="18"/>
      <c r="H12013" s="16" t="s">
        <v>87</v>
      </c>
      <c r="I12013" s="16" t="s">
        <v>87</v>
      </c>
      <c r="J12013" s="19"/>
      <c r="L12013" s="16" t="str">
        <f>IFERROR(__xludf.DUMMYFUNCTION("""COMPUTED_VALUE"""),"")</f>
        <v/>
      </c>
      <c r="M12013" s="16" t="str">
        <f>IFERROR(__xludf.DUMMYFUNCTION("""COMPUTED_VALUE"""),"")</f>
        <v/>
      </c>
      <c r="U12013" s="16" t="s">
        <v>87</v>
      </c>
      <c r="V12013" s="16" t="str">
        <f>IFERROR(__xludf.DUMMYFUNCTION("""COMPUTED_VALUE"""),"")</f>
        <v/>
      </c>
      <c r="W12013" s="16" t="str">
        <f>IFERROR(__xludf.DUMMYFUNCTION("""COMPUTED_VALUE"""),"")</f>
        <v/>
      </c>
      <c r="X12013" s="16" t="str">
        <f>IFERROR(__xludf.DUMMYFUNCTION("""COMPUTED_VALUE"""),"")</f>
        <v/>
      </c>
      <c r="AC12013" s="16" t="str">
        <f>IFERROR(__xludf.DUMMYFUNCTION("""COMPUTED_VALUE"""),"")</f>
        <v/>
      </c>
    </row>
    <row r="12014">
      <c r="A12014" s="16" t="s">
        <v>87</v>
      </c>
      <c r="E12014" s="16" t="str">
        <f>IFERROR(__xludf.DUMMYFUNCTION("""COMPUTED_VALUE"""),"")</f>
        <v/>
      </c>
      <c r="G12014" s="18"/>
      <c r="H12014" s="16" t="s">
        <v>87</v>
      </c>
      <c r="I12014" s="16" t="s">
        <v>87</v>
      </c>
      <c r="J12014" s="19"/>
      <c r="L12014" s="16" t="str">
        <f>IFERROR(__xludf.DUMMYFUNCTION("""COMPUTED_VALUE"""),"")</f>
        <v/>
      </c>
      <c r="M12014" s="16" t="str">
        <f>IFERROR(__xludf.DUMMYFUNCTION("""COMPUTED_VALUE"""),"")</f>
        <v/>
      </c>
      <c r="U12014" s="16" t="s">
        <v>87</v>
      </c>
      <c r="V12014" s="16" t="str">
        <f>IFERROR(__xludf.DUMMYFUNCTION("""COMPUTED_VALUE"""),"")</f>
        <v/>
      </c>
      <c r="W12014" s="16" t="str">
        <f>IFERROR(__xludf.DUMMYFUNCTION("""COMPUTED_VALUE"""),"")</f>
        <v/>
      </c>
      <c r="X12014" s="16" t="str">
        <f>IFERROR(__xludf.DUMMYFUNCTION("""COMPUTED_VALUE"""),"")</f>
        <v/>
      </c>
      <c r="AC12014" s="16" t="str">
        <f>IFERROR(__xludf.DUMMYFUNCTION("""COMPUTED_VALUE"""),"")</f>
        <v/>
      </c>
    </row>
    <row r="12015">
      <c r="A12015" s="16" t="s">
        <v>87</v>
      </c>
      <c r="E12015" s="16" t="str">
        <f>IFERROR(__xludf.DUMMYFUNCTION("""COMPUTED_VALUE"""),"")</f>
        <v/>
      </c>
      <c r="G12015" s="18"/>
      <c r="H12015" s="16" t="s">
        <v>87</v>
      </c>
      <c r="I12015" s="16" t="s">
        <v>87</v>
      </c>
      <c r="J12015" s="19"/>
      <c r="L12015" s="16" t="str">
        <f>IFERROR(__xludf.DUMMYFUNCTION("""COMPUTED_VALUE"""),"")</f>
        <v/>
      </c>
      <c r="M12015" s="16" t="str">
        <f>IFERROR(__xludf.DUMMYFUNCTION("""COMPUTED_VALUE"""),"")</f>
        <v/>
      </c>
      <c r="U12015" s="16" t="s">
        <v>87</v>
      </c>
      <c r="V12015" s="16" t="str">
        <f>IFERROR(__xludf.DUMMYFUNCTION("""COMPUTED_VALUE"""),"")</f>
        <v/>
      </c>
      <c r="W12015" s="16" t="str">
        <f>IFERROR(__xludf.DUMMYFUNCTION("""COMPUTED_VALUE"""),"")</f>
        <v/>
      </c>
      <c r="X12015" s="16" t="str">
        <f>IFERROR(__xludf.DUMMYFUNCTION("""COMPUTED_VALUE"""),"")</f>
        <v/>
      </c>
      <c r="AC12015" s="16" t="str">
        <f>IFERROR(__xludf.DUMMYFUNCTION("""COMPUTED_VALUE"""),"")</f>
        <v/>
      </c>
    </row>
    <row r="12016">
      <c r="A12016" s="16" t="s">
        <v>87</v>
      </c>
      <c r="E12016" s="16" t="str">
        <f>IFERROR(__xludf.DUMMYFUNCTION("""COMPUTED_VALUE"""),"")</f>
        <v/>
      </c>
      <c r="G12016" s="18"/>
      <c r="H12016" s="16" t="s">
        <v>87</v>
      </c>
      <c r="I12016" s="16" t="s">
        <v>87</v>
      </c>
      <c r="J12016" s="19"/>
      <c r="L12016" s="16" t="str">
        <f>IFERROR(__xludf.DUMMYFUNCTION("""COMPUTED_VALUE"""),"")</f>
        <v/>
      </c>
      <c r="M12016" s="16" t="str">
        <f>IFERROR(__xludf.DUMMYFUNCTION("""COMPUTED_VALUE"""),"")</f>
        <v/>
      </c>
      <c r="U12016" s="16" t="s">
        <v>87</v>
      </c>
      <c r="V12016" s="16" t="str">
        <f>IFERROR(__xludf.DUMMYFUNCTION("""COMPUTED_VALUE"""),"")</f>
        <v/>
      </c>
      <c r="W12016" s="16" t="str">
        <f>IFERROR(__xludf.DUMMYFUNCTION("""COMPUTED_VALUE"""),"")</f>
        <v/>
      </c>
      <c r="X12016" s="16" t="str">
        <f>IFERROR(__xludf.DUMMYFUNCTION("""COMPUTED_VALUE"""),"")</f>
        <v/>
      </c>
      <c r="AC12016" s="16" t="str">
        <f>IFERROR(__xludf.DUMMYFUNCTION("""COMPUTED_VALUE"""),"")</f>
        <v/>
      </c>
    </row>
    <row r="12017">
      <c r="A12017" s="16" t="s">
        <v>87</v>
      </c>
      <c r="E12017" s="16" t="str">
        <f>IFERROR(__xludf.DUMMYFUNCTION("""COMPUTED_VALUE"""),"")</f>
        <v/>
      </c>
      <c r="G12017" s="18"/>
      <c r="H12017" s="16" t="s">
        <v>87</v>
      </c>
      <c r="I12017" s="16" t="s">
        <v>87</v>
      </c>
      <c r="J12017" s="19"/>
      <c r="L12017" s="16" t="str">
        <f>IFERROR(__xludf.DUMMYFUNCTION("""COMPUTED_VALUE"""),"")</f>
        <v/>
      </c>
      <c r="M12017" s="16" t="str">
        <f>IFERROR(__xludf.DUMMYFUNCTION("""COMPUTED_VALUE"""),"")</f>
        <v/>
      </c>
      <c r="U12017" s="16" t="s">
        <v>87</v>
      </c>
      <c r="V12017" s="16" t="str">
        <f>IFERROR(__xludf.DUMMYFUNCTION("""COMPUTED_VALUE"""),"")</f>
        <v/>
      </c>
      <c r="W12017" s="16" t="str">
        <f>IFERROR(__xludf.DUMMYFUNCTION("""COMPUTED_VALUE"""),"")</f>
        <v/>
      </c>
      <c r="X12017" s="16" t="str">
        <f>IFERROR(__xludf.DUMMYFUNCTION("""COMPUTED_VALUE"""),"")</f>
        <v/>
      </c>
      <c r="AC12017" s="16" t="str">
        <f>IFERROR(__xludf.DUMMYFUNCTION("""COMPUTED_VALUE"""),"")</f>
        <v/>
      </c>
    </row>
    <row r="12018">
      <c r="A12018" s="16" t="s">
        <v>87</v>
      </c>
      <c r="E12018" s="16" t="str">
        <f>IFERROR(__xludf.DUMMYFUNCTION("""COMPUTED_VALUE"""),"")</f>
        <v/>
      </c>
      <c r="G12018" s="18"/>
      <c r="H12018" s="16" t="s">
        <v>87</v>
      </c>
      <c r="I12018" s="16" t="s">
        <v>87</v>
      </c>
      <c r="J12018" s="19"/>
      <c r="L12018" s="16" t="str">
        <f>IFERROR(__xludf.DUMMYFUNCTION("""COMPUTED_VALUE"""),"")</f>
        <v/>
      </c>
      <c r="M12018" s="16" t="str">
        <f>IFERROR(__xludf.DUMMYFUNCTION("""COMPUTED_VALUE"""),"")</f>
        <v/>
      </c>
      <c r="U12018" s="16" t="s">
        <v>87</v>
      </c>
      <c r="V12018" s="16" t="str">
        <f>IFERROR(__xludf.DUMMYFUNCTION("""COMPUTED_VALUE"""),"")</f>
        <v/>
      </c>
      <c r="W12018" s="16" t="str">
        <f>IFERROR(__xludf.DUMMYFUNCTION("""COMPUTED_VALUE"""),"")</f>
        <v/>
      </c>
      <c r="X12018" s="16" t="str">
        <f>IFERROR(__xludf.DUMMYFUNCTION("""COMPUTED_VALUE"""),"")</f>
        <v/>
      </c>
      <c r="AC12018" s="16" t="str">
        <f>IFERROR(__xludf.DUMMYFUNCTION("""COMPUTED_VALUE"""),"")</f>
        <v/>
      </c>
    </row>
    <row r="12019">
      <c r="A12019" s="16" t="s">
        <v>87</v>
      </c>
      <c r="E12019" s="16" t="str">
        <f>IFERROR(__xludf.DUMMYFUNCTION("""COMPUTED_VALUE"""),"")</f>
        <v/>
      </c>
      <c r="G12019" s="18"/>
      <c r="H12019" s="16" t="s">
        <v>87</v>
      </c>
      <c r="I12019" s="16" t="s">
        <v>87</v>
      </c>
      <c r="J12019" s="19"/>
      <c r="L12019" s="16" t="str">
        <f>IFERROR(__xludf.DUMMYFUNCTION("""COMPUTED_VALUE"""),"")</f>
        <v/>
      </c>
      <c r="M12019" s="16" t="str">
        <f>IFERROR(__xludf.DUMMYFUNCTION("""COMPUTED_VALUE"""),"")</f>
        <v/>
      </c>
      <c r="U12019" s="16" t="s">
        <v>87</v>
      </c>
      <c r="V12019" s="16" t="str">
        <f>IFERROR(__xludf.DUMMYFUNCTION("""COMPUTED_VALUE"""),"")</f>
        <v/>
      </c>
      <c r="W12019" s="16" t="str">
        <f>IFERROR(__xludf.DUMMYFUNCTION("""COMPUTED_VALUE"""),"")</f>
        <v/>
      </c>
      <c r="X12019" s="16" t="str">
        <f>IFERROR(__xludf.DUMMYFUNCTION("""COMPUTED_VALUE"""),"")</f>
        <v/>
      </c>
      <c r="AC12019" s="16" t="str">
        <f>IFERROR(__xludf.DUMMYFUNCTION("""COMPUTED_VALUE"""),"")</f>
        <v/>
      </c>
    </row>
    <row r="12020">
      <c r="A12020" s="16" t="s">
        <v>87</v>
      </c>
      <c r="E12020" s="16" t="str">
        <f>IFERROR(__xludf.DUMMYFUNCTION("""COMPUTED_VALUE"""),"")</f>
        <v/>
      </c>
      <c r="G12020" s="18"/>
      <c r="H12020" s="16" t="s">
        <v>87</v>
      </c>
      <c r="I12020" s="16" t="s">
        <v>87</v>
      </c>
      <c r="J12020" s="19"/>
      <c r="L12020" s="16" t="str">
        <f>IFERROR(__xludf.DUMMYFUNCTION("""COMPUTED_VALUE"""),"")</f>
        <v/>
      </c>
      <c r="M12020" s="16" t="str">
        <f>IFERROR(__xludf.DUMMYFUNCTION("""COMPUTED_VALUE"""),"")</f>
        <v/>
      </c>
      <c r="U12020" s="16" t="s">
        <v>87</v>
      </c>
      <c r="V12020" s="16" t="str">
        <f>IFERROR(__xludf.DUMMYFUNCTION("""COMPUTED_VALUE"""),"")</f>
        <v/>
      </c>
      <c r="W12020" s="16" t="str">
        <f>IFERROR(__xludf.DUMMYFUNCTION("""COMPUTED_VALUE"""),"")</f>
        <v/>
      </c>
      <c r="X12020" s="16" t="str">
        <f>IFERROR(__xludf.DUMMYFUNCTION("""COMPUTED_VALUE"""),"")</f>
        <v/>
      </c>
      <c r="AC12020" s="16" t="str">
        <f>IFERROR(__xludf.DUMMYFUNCTION("""COMPUTED_VALUE"""),"")</f>
        <v/>
      </c>
    </row>
    <row r="12021">
      <c r="A12021" s="16" t="s">
        <v>87</v>
      </c>
      <c r="E12021" s="16" t="str">
        <f>IFERROR(__xludf.DUMMYFUNCTION("""COMPUTED_VALUE"""),"")</f>
        <v/>
      </c>
      <c r="G12021" s="18"/>
      <c r="H12021" s="16" t="s">
        <v>87</v>
      </c>
      <c r="I12021" s="16" t="s">
        <v>87</v>
      </c>
      <c r="J12021" s="19"/>
      <c r="L12021" s="16" t="str">
        <f>IFERROR(__xludf.DUMMYFUNCTION("""COMPUTED_VALUE"""),"")</f>
        <v/>
      </c>
      <c r="M12021" s="16" t="str">
        <f>IFERROR(__xludf.DUMMYFUNCTION("""COMPUTED_VALUE"""),"")</f>
        <v/>
      </c>
      <c r="U12021" s="16" t="s">
        <v>87</v>
      </c>
      <c r="V12021" s="16" t="str">
        <f>IFERROR(__xludf.DUMMYFUNCTION("""COMPUTED_VALUE"""),"")</f>
        <v/>
      </c>
      <c r="W12021" s="16" t="str">
        <f>IFERROR(__xludf.DUMMYFUNCTION("""COMPUTED_VALUE"""),"")</f>
        <v/>
      </c>
      <c r="X12021" s="16" t="str">
        <f>IFERROR(__xludf.DUMMYFUNCTION("""COMPUTED_VALUE"""),"")</f>
        <v/>
      </c>
      <c r="AC12021" s="16" t="str">
        <f>IFERROR(__xludf.DUMMYFUNCTION("""COMPUTED_VALUE"""),"")</f>
        <v/>
      </c>
    </row>
    <row r="12022">
      <c r="A12022" s="16" t="s">
        <v>87</v>
      </c>
      <c r="E12022" s="16" t="str">
        <f>IFERROR(__xludf.DUMMYFUNCTION("""COMPUTED_VALUE"""),"")</f>
        <v/>
      </c>
      <c r="G12022" s="18"/>
      <c r="H12022" s="16" t="s">
        <v>87</v>
      </c>
      <c r="I12022" s="16" t="s">
        <v>87</v>
      </c>
      <c r="J12022" s="19"/>
      <c r="L12022" s="16" t="str">
        <f>IFERROR(__xludf.DUMMYFUNCTION("""COMPUTED_VALUE"""),"")</f>
        <v/>
      </c>
      <c r="M12022" s="16" t="str">
        <f>IFERROR(__xludf.DUMMYFUNCTION("""COMPUTED_VALUE"""),"")</f>
        <v/>
      </c>
      <c r="U12022" s="16" t="s">
        <v>87</v>
      </c>
      <c r="V12022" s="16" t="str">
        <f>IFERROR(__xludf.DUMMYFUNCTION("""COMPUTED_VALUE"""),"")</f>
        <v/>
      </c>
      <c r="W12022" s="16" t="str">
        <f>IFERROR(__xludf.DUMMYFUNCTION("""COMPUTED_VALUE"""),"")</f>
        <v/>
      </c>
      <c r="X12022" s="16" t="str">
        <f>IFERROR(__xludf.DUMMYFUNCTION("""COMPUTED_VALUE"""),"")</f>
        <v/>
      </c>
      <c r="AC12022" s="16" t="str">
        <f>IFERROR(__xludf.DUMMYFUNCTION("""COMPUTED_VALUE"""),"")</f>
        <v/>
      </c>
    </row>
    <row r="12023">
      <c r="A12023" s="16" t="s">
        <v>87</v>
      </c>
      <c r="E12023" s="16" t="str">
        <f>IFERROR(__xludf.DUMMYFUNCTION("""COMPUTED_VALUE"""),"")</f>
        <v/>
      </c>
      <c r="G12023" s="18"/>
      <c r="H12023" s="16" t="s">
        <v>87</v>
      </c>
      <c r="I12023" s="16" t="s">
        <v>87</v>
      </c>
      <c r="J12023" s="19"/>
      <c r="L12023" s="16" t="str">
        <f>IFERROR(__xludf.DUMMYFUNCTION("""COMPUTED_VALUE"""),"")</f>
        <v/>
      </c>
      <c r="M12023" s="16" t="str">
        <f>IFERROR(__xludf.DUMMYFUNCTION("""COMPUTED_VALUE"""),"")</f>
        <v/>
      </c>
      <c r="U12023" s="16" t="s">
        <v>87</v>
      </c>
      <c r="V12023" s="16" t="str">
        <f>IFERROR(__xludf.DUMMYFUNCTION("""COMPUTED_VALUE"""),"")</f>
        <v/>
      </c>
      <c r="W12023" s="16" t="str">
        <f>IFERROR(__xludf.DUMMYFUNCTION("""COMPUTED_VALUE"""),"")</f>
        <v/>
      </c>
      <c r="X12023" s="16" t="str">
        <f>IFERROR(__xludf.DUMMYFUNCTION("""COMPUTED_VALUE"""),"")</f>
        <v/>
      </c>
      <c r="AC12023" s="16" t="str">
        <f>IFERROR(__xludf.DUMMYFUNCTION("""COMPUTED_VALUE"""),"")</f>
        <v/>
      </c>
    </row>
    <row r="12024">
      <c r="A12024" s="16" t="s">
        <v>87</v>
      </c>
      <c r="E12024" s="16" t="str">
        <f>IFERROR(__xludf.DUMMYFUNCTION("""COMPUTED_VALUE"""),"")</f>
        <v/>
      </c>
      <c r="G12024" s="18"/>
      <c r="H12024" s="16" t="s">
        <v>87</v>
      </c>
      <c r="I12024" s="16" t="s">
        <v>87</v>
      </c>
      <c r="J12024" s="19"/>
      <c r="L12024" s="16" t="str">
        <f>IFERROR(__xludf.DUMMYFUNCTION("""COMPUTED_VALUE"""),"")</f>
        <v/>
      </c>
      <c r="M12024" s="16" t="str">
        <f>IFERROR(__xludf.DUMMYFUNCTION("""COMPUTED_VALUE"""),"")</f>
        <v/>
      </c>
      <c r="U12024" s="16" t="s">
        <v>87</v>
      </c>
      <c r="V12024" s="16" t="str">
        <f>IFERROR(__xludf.DUMMYFUNCTION("""COMPUTED_VALUE"""),"")</f>
        <v/>
      </c>
      <c r="W12024" s="16" t="str">
        <f>IFERROR(__xludf.DUMMYFUNCTION("""COMPUTED_VALUE"""),"")</f>
        <v/>
      </c>
      <c r="X12024" s="16" t="str">
        <f>IFERROR(__xludf.DUMMYFUNCTION("""COMPUTED_VALUE"""),"")</f>
        <v/>
      </c>
      <c r="AC12024" s="16" t="str">
        <f>IFERROR(__xludf.DUMMYFUNCTION("""COMPUTED_VALUE"""),"")</f>
        <v/>
      </c>
    </row>
    <row r="12025">
      <c r="A12025" s="16" t="s">
        <v>87</v>
      </c>
      <c r="E12025" s="16" t="str">
        <f>IFERROR(__xludf.DUMMYFUNCTION("""COMPUTED_VALUE"""),"")</f>
        <v/>
      </c>
      <c r="G12025" s="18"/>
      <c r="H12025" s="16" t="s">
        <v>87</v>
      </c>
      <c r="I12025" s="16" t="s">
        <v>87</v>
      </c>
      <c r="J12025" s="19"/>
      <c r="L12025" s="16" t="str">
        <f>IFERROR(__xludf.DUMMYFUNCTION("""COMPUTED_VALUE"""),"")</f>
        <v/>
      </c>
      <c r="M12025" s="16" t="str">
        <f>IFERROR(__xludf.DUMMYFUNCTION("""COMPUTED_VALUE"""),"")</f>
        <v/>
      </c>
      <c r="U12025" s="16" t="s">
        <v>87</v>
      </c>
      <c r="V12025" s="16" t="str">
        <f>IFERROR(__xludf.DUMMYFUNCTION("""COMPUTED_VALUE"""),"")</f>
        <v/>
      </c>
      <c r="W12025" s="16" t="str">
        <f>IFERROR(__xludf.DUMMYFUNCTION("""COMPUTED_VALUE"""),"")</f>
        <v/>
      </c>
      <c r="X12025" s="16" t="str">
        <f>IFERROR(__xludf.DUMMYFUNCTION("""COMPUTED_VALUE"""),"")</f>
        <v/>
      </c>
      <c r="AC12025" s="16" t="str">
        <f>IFERROR(__xludf.DUMMYFUNCTION("""COMPUTED_VALUE"""),"")</f>
        <v/>
      </c>
    </row>
    <row r="12026">
      <c r="A12026" s="16" t="s">
        <v>87</v>
      </c>
      <c r="E12026" s="16" t="str">
        <f>IFERROR(__xludf.DUMMYFUNCTION("""COMPUTED_VALUE"""),"")</f>
        <v/>
      </c>
      <c r="G12026" s="18"/>
      <c r="H12026" s="16" t="s">
        <v>87</v>
      </c>
      <c r="I12026" s="16" t="s">
        <v>87</v>
      </c>
      <c r="J12026" s="19"/>
      <c r="L12026" s="16" t="str">
        <f>IFERROR(__xludf.DUMMYFUNCTION("""COMPUTED_VALUE"""),"")</f>
        <v/>
      </c>
      <c r="M12026" s="16" t="str">
        <f>IFERROR(__xludf.DUMMYFUNCTION("""COMPUTED_VALUE"""),"")</f>
        <v/>
      </c>
      <c r="U12026" s="16" t="s">
        <v>87</v>
      </c>
      <c r="V12026" s="16" t="str">
        <f>IFERROR(__xludf.DUMMYFUNCTION("""COMPUTED_VALUE"""),"")</f>
        <v/>
      </c>
      <c r="W12026" s="16" t="str">
        <f>IFERROR(__xludf.DUMMYFUNCTION("""COMPUTED_VALUE"""),"")</f>
        <v/>
      </c>
      <c r="X12026" s="16" t="str">
        <f>IFERROR(__xludf.DUMMYFUNCTION("""COMPUTED_VALUE"""),"")</f>
        <v/>
      </c>
      <c r="AC12026" s="16" t="str">
        <f>IFERROR(__xludf.DUMMYFUNCTION("""COMPUTED_VALUE"""),"")</f>
        <v/>
      </c>
    </row>
    <row r="12027">
      <c r="A12027" s="16" t="s">
        <v>87</v>
      </c>
      <c r="E12027" s="16" t="str">
        <f>IFERROR(__xludf.DUMMYFUNCTION("""COMPUTED_VALUE"""),"")</f>
        <v/>
      </c>
      <c r="G12027" s="18"/>
      <c r="H12027" s="16" t="s">
        <v>87</v>
      </c>
      <c r="I12027" s="16" t="s">
        <v>87</v>
      </c>
      <c r="J12027" s="19"/>
      <c r="L12027" s="16" t="str">
        <f>IFERROR(__xludf.DUMMYFUNCTION("""COMPUTED_VALUE"""),"")</f>
        <v/>
      </c>
      <c r="M12027" s="16" t="str">
        <f>IFERROR(__xludf.DUMMYFUNCTION("""COMPUTED_VALUE"""),"")</f>
        <v/>
      </c>
      <c r="U12027" s="16" t="s">
        <v>87</v>
      </c>
      <c r="V12027" s="16" t="str">
        <f>IFERROR(__xludf.DUMMYFUNCTION("""COMPUTED_VALUE"""),"")</f>
        <v/>
      </c>
      <c r="W12027" s="16" t="str">
        <f>IFERROR(__xludf.DUMMYFUNCTION("""COMPUTED_VALUE"""),"")</f>
        <v/>
      </c>
      <c r="X12027" s="16" t="str">
        <f>IFERROR(__xludf.DUMMYFUNCTION("""COMPUTED_VALUE"""),"")</f>
        <v/>
      </c>
      <c r="AC12027" s="16" t="str">
        <f>IFERROR(__xludf.DUMMYFUNCTION("""COMPUTED_VALUE"""),"")</f>
        <v/>
      </c>
    </row>
    <row r="12028">
      <c r="A12028" s="16" t="s">
        <v>87</v>
      </c>
      <c r="E12028" s="16" t="str">
        <f>IFERROR(__xludf.DUMMYFUNCTION("""COMPUTED_VALUE"""),"")</f>
        <v/>
      </c>
      <c r="G12028" s="18"/>
      <c r="H12028" s="16" t="s">
        <v>87</v>
      </c>
      <c r="I12028" s="16" t="s">
        <v>87</v>
      </c>
      <c r="J12028" s="19"/>
      <c r="L12028" s="16" t="str">
        <f>IFERROR(__xludf.DUMMYFUNCTION("""COMPUTED_VALUE"""),"")</f>
        <v/>
      </c>
      <c r="M12028" s="16" t="str">
        <f>IFERROR(__xludf.DUMMYFUNCTION("""COMPUTED_VALUE"""),"")</f>
        <v/>
      </c>
      <c r="U12028" s="16" t="s">
        <v>87</v>
      </c>
      <c r="V12028" s="16" t="str">
        <f>IFERROR(__xludf.DUMMYFUNCTION("""COMPUTED_VALUE"""),"")</f>
        <v/>
      </c>
      <c r="W12028" s="16" t="str">
        <f>IFERROR(__xludf.DUMMYFUNCTION("""COMPUTED_VALUE"""),"")</f>
        <v/>
      </c>
      <c r="X12028" s="16" t="str">
        <f>IFERROR(__xludf.DUMMYFUNCTION("""COMPUTED_VALUE"""),"")</f>
        <v/>
      </c>
      <c r="AC12028" s="16" t="str">
        <f>IFERROR(__xludf.DUMMYFUNCTION("""COMPUTED_VALUE"""),"")</f>
        <v/>
      </c>
    </row>
    <row r="12029">
      <c r="A12029" s="16" t="s">
        <v>87</v>
      </c>
      <c r="E12029" s="16" t="str">
        <f>IFERROR(__xludf.DUMMYFUNCTION("""COMPUTED_VALUE"""),"")</f>
        <v/>
      </c>
      <c r="G12029" s="18"/>
      <c r="H12029" s="16" t="s">
        <v>87</v>
      </c>
      <c r="I12029" s="16" t="s">
        <v>87</v>
      </c>
      <c r="J12029" s="19"/>
      <c r="L12029" s="16" t="str">
        <f>IFERROR(__xludf.DUMMYFUNCTION("""COMPUTED_VALUE"""),"")</f>
        <v/>
      </c>
      <c r="M12029" s="16" t="str">
        <f>IFERROR(__xludf.DUMMYFUNCTION("""COMPUTED_VALUE"""),"")</f>
        <v/>
      </c>
      <c r="U12029" s="16" t="s">
        <v>87</v>
      </c>
      <c r="V12029" s="16" t="str">
        <f>IFERROR(__xludf.DUMMYFUNCTION("""COMPUTED_VALUE"""),"")</f>
        <v/>
      </c>
      <c r="W12029" s="16" t="str">
        <f>IFERROR(__xludf.DUMMYFUNCTION("""COMPUTED_VALUE"""),"")</f>
        <v/>
      </c>
      <c r="X12029" s="16" t="str">
        <f>IFERROR(__xludf.DUMMYFUNCTION("""COMPUTED_VALUE"""),"")</f>
        <v/>
      </c>
      <c r="AC12029" s="16" t="str">
        <f>IFERROR(__xludf.DUMMYFUNCTION("""COMPUTED_VALUE"""),"")</f>
        <v/>
      </c>
    </row>
    <row r="12030">
      <c r="A12030" s="16" t="s">
        <v>87</v>
      </c>
      <c r="E12030" s="16" t="str">
        <f>IFERROR(__xludf.DUMMYFUNCTION("""COMPUTED_VALUE"""),"")</f>
        <v/>
      </c>
      <c r="G12030" s="18"/>
      <c r="H12030" s="16" t="s">
        <v>87</v>
      </c>
      <c r="I12030" s="16" t="s">
        <v>87</v>
      </c>
      <c r="J12030" s="19"/>
      <c r="L12030" s="16" t="str">
        <f>IFERROR(__xludf.DUMMYFUNCTION("""COMPUTED_VALUE"""),"")</f>
        <v/>
      </c>
      <c r="M12030" s="16" t="str">
        <f>IFERROR(__xludf.DUMMYFUNCTION("""COMPUTED_VALUE"""),"")</f>
        <v/>
      </c>
      <c r="U12030" s="16" t="s">
        <v>87</v>
      </c>
      <c r="V12030" s="16" t="str">
        <f>IFERROR(__xludf.DUMMYFUNCTION("""COMPUTED_VALUE"""),"")</f>
        <v/>
      </c>
      <c r="W12030" s="16" t="str">
        <f>IFERROR(__xludf.DUMMYFUNCTION("""COMPUTED_VALUE"""),"")</f>
        <v/>
      </c>
      <c r="X12030" s="16" t="str">
        <f>IFERROR(__xludf.DUMMYFUNCTION("""COMPUTED_VALUE"""),"")</f>
        <v/>
      </c>
      <c r="AC12030" s="16" t="str">
        <f>IFERROR(__xludf.DUMMYFUNCTION("""COMPUTED_VALUE"""),"")</f>
        <v/>
      </c>
    </row>
    <row r="12031">
      <c r="A12031" s="16" t="s">
        <v>87</v>
      </c>
      <c r="E12031" s="16" t="str">
        <f>IFERROR(__xludf.DUMMYFUNCTION("""COMPUTED_VALUE"""),"")</f>
        <v/>
      </c>
      <c r="G12031" s="18"/>
      <c r="H12031" s="16" t="s">
        <v>87</v>
      </c>
      <c r="I12031" s="16" t="s">
        <v>87</v>
      </c>
      <c r="J12031" s="19"/>
      <c r="L12031" s="16" t="str">
        <f>IFERROR(__xludf.DUMMYFUNCTION("""COMPUTED_VALUE"""),"")</f>
        <v/>
      </c>
      <c r="M12031" s="16" t="str">
        <f>IFERROR(__xludf.DUMMYFUNCTION("""COMPUTED_VALUE"""),"")</f>
        <v/>
      </c>
      <c r="U12031" s="16" t="s">
        <v>87</v>
      </c>
      <c r="V12031" s="16" t="str">
        <f>IFERROR(__xludf.DUMMYFUNCTION("""COMPUTED_VALUE"""),"")</f>
        <v/>
      </c>
      <c r="W12031" s="16" t="str">
        <f>IFERROR(__xludf.DUMMYFUNCTION("""COMPUTED_VALUE"""),"")</f>
        <v/>
      </c>
      <c r="X12031" s="16" t="str">
        <f>IFERROR(__xludf.DUMMYFUNCTION("""COMPUTED_VALUE"""),"")</f>
        <v/>
      </c>
      <c r="AC12031" s="16" t="str">
        <f>IFERROR(__xludf.DUMMYFUNCTION("""COMPUTED_VALUE"""),"")</f>
        <v/>
      </c>
    </row>
    <row r="12032">
      <c r="A12032" s="16" t="s">
        <v>87</v>
      </c>
      <c r="E12032" s="16" t="str">
        <f>IFERROR(__xludf.DUMMYFUNCTION("""COMPUTED_VALUE"""),"")</f>
        <v/>
      </c>
      <c r="G12032" s="18"/>
      <c r="H12032" s="16" t="s">
        <v>87</v>
      </c>
      <c r="I12032" s="16" t="s">
        <v>87</v>
      </c>
      <c r="J12032" s="19"/>
      <c r="L12032" s="16" t="str">
        <f>IFERROR(__xludf.DUMMYFUNCTION("""COMPUTED_VALUE"""),"")</f>
        <v/>
      </c>
      <c r="M12032" s="16" t="str">
        <f>IFERROR(__xludf.DUMMYFUNCTION("""COMPUTED_VALUE"""),"")</f>
        <v/>
      </c>
      <c r="U12032" s="16" t="s">
        <v>87</v>
      </c>
      <c r="V12032" s="16" t="str">
        <f>IFERROR(__xludf.DUMMYFUNCTION("""COMPUTED_VALUE"""),"")</f>
        <v/>
      </c>
      <c r="W12032" s="16" t="str">
        <f>IFERROR(__xludf.DUMMYFUNCTION("""COMPUTED_VALUE"""),"")</f>
        <v/>
      </c>
      <c r="X12032" s="16" t="str">
        <f>IFERROR(__xludf.DUMMYFUNCTION("""COMPUTED_VALUE"""),"")</f>
        <v/>
      </c>
      <c r="AC12032" s="16" t="str">
        <f>IFERROR(__xludf.DUMMYFUNCTION("""COMPUTED_VALUE"""),"")</f>
        <v/>
      </c>
    </row>
    <row r="12033">
      <c r="A12033" s="16" t="s">
        <v>87</v>
      </c>
      <c r="E12033" s="16" t="str">
        <f>IFERROR(__xludf.DUMMYFUNCTION("""COMPUTED_VALUE"""),"")</f>
        <v/>
      </c>
      <c r="G12033" s="18"/>
      <c r="H12033" s="16" t="s">
        <v>87</v>
      </c>
      <c r="I12033" s="16" t="s">
        <v>87</v>
      </c>
      <c r="J12033" s="19"/>
      <c r="L12033" s="16" t="str">
        <f>IFERROR(__xludf.DUMMYFUNCTION("""COMPUTED_VALUE"""),"")</f>
        <v/>
      </c>
      <c r="M12033" s="16" t="str">
        <f>IFERROR(__xludf.DUMMYFUNCTION("""COMPUTED_VALUE"""),"")</f>
        <v/>
      </c>
      <c r="U12033" s="16" t="s">
        <v>87</v>
      </c>
      <c r="V12033" s="16" t="str">
        <f>IFERROR(__xludf.DUMMYFUNCTION("""COMPUTED_VALUE"""),"")</f>
        <v/>
      </c>
      <c r="W12033" s="16" t="str">
        <f>IFERROR(__xludf.DUMMYFUNCTION("""COMPUTED_VALUE"""),"")</f>
        <v/>
      </c>
      <c r="X12033" s="16" t="str">
        <f>IFERROR(__xludf.DUMMYFUNCTION("""COMPUTED_VALUE"""),"")</f>
        <v/>
      </c>
      <c r="AC12033" s="16" t="str">
        <f>IFERROR(__xludf.DUMMYFUNCTION("""COMPUTED_VALUE"""),"")</f>
        <v/>
      </c>
    </row>
    <row r="12034">
      <c r="A12034" s="16" t="s">
        <v>87</v>
      </c>
      <c r="E12034" s="16" t="str">
        <f>IFERROR(__xludf.DUMMYFUNCTION("""COMPUTED_VALUE"""),"")</f>
        <v/>
      </c>
      <c r="G12034" s="18"/>
      <c r="H12034" s="16" t="s">
        <v>87</v>
      </c>
      <c r="I12034" s="16" t="s">
        <v>87</v>
      </c>
      <c r="J12034" s="19"/>
      <c r="L12034" s="16" t="str">
        <f>IFERROR(__xludf.DUMMYFUNCTION("""COMPUTED_VALUE"""),"")</f>
        <v/>
      </c>
      <c r="M12034" s="16" t="str">
        <f>IFERROR(__xludf.DUMMYFUNCTION("""COMPUTED_VALUE"""),"")</f>
        <v/>
      </c>
      <c r="U12034" s="16" t="s">
        <v>87</v>
      </c>
      <c r="V12034" s="16" t="str">
        <f>IFERROR(__xludf.DUMMYFUNCTION("""COMPUTED_VALUE"""),"")</f>
        <v/>
      </c>
      <c r="W12034" s="16" t="str">
        <f>IFERROR(__xludf.DUMMYFUNCTION("""COMPUTED_VALUE"""),"")</f>
        <v/>
      </c>
      <c r="X12034" s="16" t="str">
        <f>IFERROR(__xludf.DUMMYFUNCTION("""COMPUTED_VALUE"""),"")</f>
        <v/>
      </c>
      <c r="AC12034" s="16" t="str">
        <f>IFERROR(__xludf.DUMMYFUNCTION("""COMPUTED_VALUE"""),"")</f>
        <v/>
      </c>
    </row>
    <row r="12035">
      <c r="A12035" s="16" t="s">
        <v>87</v>
      </c>
      <c r="E12035" s="16" t="str">
        <f>IFERROR(__xludf.DUMMYFUNCTION("""COMPUTED_VALUE"""),"")</f>
        <v/>
      </c>
      <c r="G12035" s="18"/>
      <c r="H12035" s="16" t="s">
        <v>87</v>
      </c>
      <c r="I12035" s="16" t="s">
        <v>87</v>
      </c>
      <c r="J12035" s="19"/>
      <c r="L12035" s="16" t="str">
        <f>IFERROR(__xludf.DUMMYFUNCTION("""COMPUTED_VALUE"""),"")</f>
        <v/>
      </c>
      <c r="M12035" s="16" t="str">
        <f>IFERROR(__xludf.DUMMYFUNCTION("""COMPUTED_VALUE"""),"")</f>
        <v/>
      </c>
      <c r="U12035" s="16" t="s">
        <v>87</v>
      </c>
      <c r="V12035" s="16" t="str">
        <f>IFERROR(__xludf.DUMMYFUNCTION("""COMPUTED_VALUE"""),"")</f>
        <v/>
      </c>
      <c r="W12035" s="16" t="str">
        <f>IFERROR(__xludf.DUMMYFUNCTION("""COMPUTED_VALUE"""),"")</f>
        <v/>
      </c>
      <c r="X12035" s="16" t="str">
        <f>IFERROR(__xludf.DUMMYFUNCTION("""COMPUTED_VALUE"""),"")</f>
        <v/>
      </c>
      <c r="AC12035" s="16" t="str">
        <f>IFERROR(__xludf.DUMMYFUNCTION("""COMPUTED_VALUE"""),"")</f>
        <v/>
      </c>
    </row>
    <row r="12036">
      <c r="A12036" s="16" t="s">
        <v>87</v>
      </c>
      <c r="E12036" s="16" t="str">
        <f>IFERROR(__xludf.DUMMYFUNCTION("""COMPUTED_VALUE"""),"")</f>
        <v/>
      </c>
      <c r="G12036" s="18"/>
      <c r="H12036" s="16" t="s">
        <v>87</v>
      </c>
      <c r="I12036" s="16" t="s">
        <v>87</v>
      </c>
      <c r="J12036" s="19"/>
      <c r="L12036" s="16" t="str">
        <f>IFERROR(__xludf.DUMMYFUNCTION("""COMPUTED_VALUE"""),"")</f>
        <v/>
      </c>
      <c r="M12036" s="16" t="str">
        <f>IFERROR(__xludf.DUMMYFUNCTION("""COMPUTED_VALUE"""),"")</f>
        <v/>
      </c>
      <c r="U12036" s="16" t="s">
        <v>87</v>
      </c>
      <c r="V12036" s="16" t="str">
        <f>IFERROR(__xludf.DUMMYFUNCTION("""COMPUTED_VALUE"""),"")</f>
        <v/>
      </c>
      <c r="W12036" s="16" t="str">
        <f>IFERROR(__xludf.DUMMYFUNCTION("""COMPUTED_VALUE"""),"")</f>
        <v/>
      </c>
      <c r="X12036" s="16" t="str">
        <f>IFERROR(__xludf.DUMMYFUNCTION("""COMPUTED_VALUE"""),"")</f>
        <v/>
      </c>
      <c r="AC12036" s="16" t="str">
        <f>IFERROR(__xludf.DUMMYFUNCTION("""COMPUTED_VALUE"""),"")</f>
        <v/>
      </c>
    </row>
    <row r="12037">
      <c r="A12037" s="16" t="s">
        <v>87</v>
      </c>
      <c r="E12037" s="16" t="str">
        <f>IFERROR(__xludf.DUMMYFUNCTION("""COMPUTED_VALUE"""),"")</f>
        <v/>
      </c>
      <c r="G12037" s="18"/>
      <c r="H12037" s="16" t="s">
        <v>87</v>
      </c>
      <c r="I12037" s="16" t="s">
        <v>87</v>
      </c>
      <c r="J12037" s="19"/>
      <c r="L12037" s="16" t="str">
        <f>IFERROR(__xludf.DUMMYFUNCTION("""COMPUTED_VALUE"""),"")</f>
        <v/>
      </c>
      <c r="M12037" s="16" t="str">
        <f>IFERROR(__xludf.DUMMYFUNCTION("""COMPUTED_VALUE"""),"")</f>
        <v/>
      </c>
      <c r="U12037" s="16" t="s">
        <v>87</v>
      </c>
      <c r="V12037" s="16" t="str">
        <f>IFERROR(__xludf.DUMMYFUNCTION("""COMPUTED_VALUE"""),"")</f>
        <v/>
      </c>
      <c r="W12037" s="16" t="str">
        <f>IFERROR(__xludf.DUMMYFUNCTION("""COMPUTED_VALUE"""),"")</f>
        <v/>
      </c>
      <c r="X12037" s="16" t="str">
        <f>IFERROR(__xludf.DUMMYFUNCTION("""COMPUTED_VALUE"""),"")</f>
        <v/>
      </c>
      <c r="AC12037" s="16" t="str">
        <f>IFERROR(__xludf.DUMMYFUNCTION("""COMPUTED_VALUE"""),"")</f>
        <v/>
      </c>
    </row>
    <row r="12038">
      <c r="A12038" s="16" t="s">
        <v>87</v>
      </c>
      <c r="E12038" s="16" t="str">
        <f>IFERROR(__xludf.DUMMYFUNCTION("""COMPUTED_VALUE"""),"")</f>
        <v/>
      </c>
      <c r="G12038" s="18"/>
      <c r="H12038" s="16" t="s">
        <v>87</v>
      </c>
      <c r="I12038" s="16" t="s">
        <v>87</v>
      </c>
      <c r="J12038" s="19"/>
      <c r="L12038" s="16" t="str">
        <f>IFERROR(__xludf.DUMMYFUNCTION("""COMPUTED_VALUE"""),"")</f>
        <v/>
      </c>
      <c r="M12038" s="16" t="str">
        <f>IFERROR(__xludf.DUMMYFUNCTION("""COMPUTED_VALUE"""),"")</f>
        <v/>
      </c>
      <c r="U12038" s="16" t="s">
        <v>87</v>
      </c>
      <c r="V12038" s="16" t="str">
        <f>IFERROR(__xludf.DUMMYFUNCTION("""COMPUTED_VALUE"""),"")</f>
        <v/>
      </c>
      <c r="W12038" s="16" t="str">
        <f>IFERROR(__xludf.DUMMYFUNCTION("""COMPUTED_VALUE"""),"")</f>
        <v/>
      </c>
      <c r="X12038" s="16" t="str">
        <f>IFERROR(__xludf.DUMMYFUNCTION("""COMPUTED_VALUE"""),"")</f>
        <v/>
      </c>
      <c r="AC12038" s="16" t="str">
        <f>IFERROR(__xludf.DUMMYFUNCTION("""COMPUTED_VALUE"""),"")</f>
        <v/>
      </c>
    </row>
    <row r="12039">
      <c r="A12039" s="16" t="s">
        <v>87</v>
      </c>
      <c r="E12039" s="16" t="str">
        <f>IFERROR(__xludf.DUMMYFUNCTION("""COMPUTED_VALUE"""),"")</f>
        <v/>
      </c>
      <c r="G12039" s="18"/>
      <c r="H12039" s="16" t="s">
        <v>87</v>
      </c>
      <c r="I12039" s="16" t="s">
        <v>87</v>
      </c>
      <c r="J12039" s="19"/>
      <c r="L12039" s="16" t="str">
        <f>IFERROR(__xludf.DUMMYFUNCTION("""COMPUTED_VALUE"""),"")</f>
        <v/>
      </c>
      <c r="M12039" s="16" t="str">
        <f>IFERROR(__xludf.DUMMYFUNCTION("""COMPUTED_VALUE"""),"")</f>
        <v/>
      </c>
      <c r="U12039" s="16" t="s">
        <v>87</v>
      </c>
      <c r="V12039" s="16" t="str">
        <f>IFERROR(__xludf.DUMMYFUNCTION("""COMPUTED_VALUE"""),"")</f>
        <v/>
      </c>
      <c r="W12039" s="16" t="str">
        <f>IFERROR(__xludf.DUMMYFUNCTION("""COMPUTED_VALUE"""),"")</f>
        <v/>
      </c>
      <c r="X12039" s="16" t="str">
        <f>IFERROR(__xludf.DUMMYFUNCTION("""COMPUTED_VALUE"""),"")</f>
        <v/>
      </c>
      <c r="AC12039" s="16" t="str">
        <f>IFERROR(__xludf.DUMMYFUNCTION("""COMPUTED_VALUE"""),"")</f>
        <v/>
      </c>
    </row>
    <row r="12040">
      <c r="A12040" s="16" t="s">
        <v>87</v>
      </c>
      <c r="E12040" s="16" t="str">
        <f>IFERROR(__xludf.DUMMYFUNCTION("""COMPUTED_VALUE"""),"")</f>
        <v/>
      </c>
      <c r="G12040" s="18"/>
      <c r="H12040" s="16" t="s">
        <v>87</v>
      </c>
      <c r="I12040" s="16" t="s">
        <v>87</v>
      </c>
      <c r="J12040" s="19"/>
      <c r="L12040" s="16" t="str">
        <f>IFERROR(__xludf.DUMMYFUNCTION("""COMPUTED_VALUE"""),"")</f>
        <v/>
      </c>
      <c r="M12040" s="16" t="str">
        <f>IFERROR(__xludf.DUMMYFUNCTION("""COMPUTED_VALUE"""),"")</f>
        <v/>
      </c>
      <c r="U12040" s="16" t="s">
        <v>87</v>
      </c>
      <c r="V12040" s="16" t="str">
        <f>IFERROR(__xludf.DUMMYFUNCTION("""COMPUTED_VALUE"""),"")</f>
        <v/>
      </c>
      <c r="W12040" s="16" t="str">
        <f>IFERROR(__xludf.DUMMYFUNCTION("""COMPUTED_VALUE"""),"")</f>
        <v/>
      </c>
      <c r="X12040" s="16" t="str">
        <f>IFERROR(__xludf.DUMMYFUNCTION("""COMPUTED_VALUE"""),"")</f>
        <v/>
      </c>
      <c r="AC12040" s="16" t="str">
        <f>IFERROR(__xludf.DUMMYFUNCTION("""COMPUTED_VALUE"""),"")</f>
        <v/>
      </c>
    </row>
    <row r="12041">
      <c r="A12041" s="16" t="s">
        <v>87</v>
      </c>
      <c r="E12041" s="16" t="str">
        <f>IFERROR(__xludf.DUMMYFUNCTION("""COMPUTED_VALUE"""),"")</f>
        <v/>
      </c>
      <c r="G12041" s="18"/>
      <c r="H12041" s="16" t="s">
        <v>87</v>
      </c>
      <c r="I12041" s="16" t="s">
        <v>87</v>
      </c>
      <c r="J12041" s="19"/>
      <c r="L12041" s="16" t="str">
        <f>IFERROR(__xludf.DUMMYFUNCTION("""COMPUTED_VALUE"""),"")</f>
        <v/>
      </c>
      <c r="M12041" s="16" t="str">
        <f>IFERROR(__xludf.DUMMYFUNCTION("""COMPUTED_VALUE"""),"")</f>
        <v/>
      </c>
      <c r="U12041" s="16" t="s">
        <v>87</v>
      </c>
      <c r="V12041" s="16" t="str">
        <f>IFERROR(__xludf.DUMMYFUNCTION("""COMPUTED_VALUE"""),"")</f>
        <v/>
      </c>
      <c r="W12041" s="16" t="str">
        <f>IFERROR(__xludf.DUMMYFUNCTION("""COMPUTED_VALUE"""),"")</f>
        <v/>
      </c>
      <c r="X12041" s="16" t="str">
        <f>IFERROR(__xludf.DUMMYFUNCTION("""COMPUTED_VALUE"""),"")</f>
        <v/>
      </c>
      <c r="AC12041" s="16" t="str">
        <f>IFERROR(__xludf.DUMMYFUNCTION("""COMPUTED_VALUE"""),"")</f>
        <v/>
      </c>
    </row>
    <row r="12042">
      <c r="A12042" s="16" t="s">
        <v>87</v>
      </c>
      <c r="E12042" s="16" t="str">
        <f>IFERROR(__xludf.DUMMYFUNCTION("""COMPUTED_VALUE"""),"")</f>
        <v/>
      </c>
      <c r="G12042" s="18"/>
      <c r="H12042" s="16" t="s">
        <v>87</v>
      </c>
      <c r="I12042" s="16" t="s">
        <v>87</v>
      </c>
      <c r="J12042" s="19"/>
      <c r="L12042" s="16" t="str">
        <f>IFERROR(__xludf.DUMMYFUNCTION("""COMPUTED_VALUE"""),"")</f>
        <v/>
      </c>
      <c r="M12042" s="16" t="str">
        <f>IFERROR(__xludf.DUMMYFUNCTION("""COMPUTED_VALUE"""),"")</f>
        <v/>
      </c>
      <c r="U12042" s="16" t="s">
        <v>87</v>
      </c>
      <c r="V12042" s="16" t="str">
        <f>IFERROR(__xludf.DUMMYFUNCTION("""COMPUTED_VALUE"""),"")</f>
        <v/>
      </c>
      <c r="W12042" s="16" t="str">
        <f>IFERROR(__xludf.DUMMYFUNCTION("""COMPUTED_VALUE"""),"")</f>
        <v/>
      </c>
      <c r="X12042" s="16" t="str">
        <f>IFERROR(__xludf.DUMMYFUNCTION("""COMPUTED_VALUE"""),"")</f>
        <v/>
      </c>
      <c r="AC12042" s="16" t="str">
        <f>IFERROR(__xludf.DUMMYFUNCTION("""COMPUTED_VALUE"""),"")</f>
        <v/>
      </c>
    </row>
    <row r="12043">
      <c r="A12043" s="16" t="s">
        <v>87</v>
      </c>
      <c r="E12043" s="16" t="str">
        <f>IFERROR(__xludf.DUMMYFUNCTION("""COMPUTED_VALUE"""),"")</f>
        <v/>
      </c>
      <c r="G12043" s="18"/>
      <c r="H12043" s="16" t="s">
        <v>87</v>
      </c>
      <c r="I12043" s="16" t="s">
        <v>87</v>
      </c>
      <c r="J12043" s="19"/>
      <c r="L12043" s="16" t="str">
        <f>IFERROR(__xludf.DUMMYFUNCTION("""COMPUTED_VALUE"""),"")</f>
        <v/>
      </c>
      <c r="M12043" s="16" t="str">
        <f>IFERROR(__xludf.DUMMYFUNCTION("""COMPUTED_VALUE"""),"")</f>
        <v/>
      </c>
      <c r="U12043" s="16" t="s">
        <v>87</v>
      </c>
      <c r="V12043" s="16" t="str">
        <f>IFERROR(__xludf.DUMMYFUNCTION("""COMPUTED_VALUE"""),"")</f>
        <v/>
      </c>
      <c r="W12043" s="16" t="str">
        <f>IFERROR(__xludf.DUMMYFUNCTION("""COMPUTED_VALUE"""),"")</f>
        <v/>
      </c>
      <c r="X12043" s="16" t="str">
        <f>IFERROR(__xludf.DUMMYFUNCTION("""COMPUTED_VALUE"""),"")</f>
        <v/>
      </c>
      <c r="AC12043" s="16" t="str">
        <f>IFERROR(__xludf.DUMMYFUNCTION("""COMPUTED_VALUE"""),"")</f>
        <v/>
      </c>
    </row>
    <row r="12044">
      <c r="A12044" s="16" t="s">
        <v>87</v>
      </c>
      <c r="E12044" s="16" t="str">
        <f>IFERROR(__xludf.DUMMYFUNCTION("""COMPUTED_VALUE"""),"")</f>
        <v/>
      </c>
      <c r="G12044" s="18"/>
      <c r="H12044" s="16" t="s">
        <v>87</v>
      </c>
      <c r="I12044" s="16" t="s">
        <v>87</v>
      </c>
      <c r="J12044" s="19"/>
      <c r="L12044" s="16" t="str">
        <f>IFERROR(__xludf.DUMMYFUNCTION("""COMPUTED_VALUE"""),"")</f>
        <v/>
      </c>
      <c r="M12044" s="16" t="str">
        <f>IFERROR(__xludf.DUMMYFUNCTION("""COMPUTED_VALUE"""),"")</f>
        <v/>
      </c>
      <c r="U12044" s="16" t="s">
        <v>87</v>
      </c>
      <c r="V12044" s="16" t="str">
        <f>IFERROR(__xludf.DUMMYFUNCTION("""COMPUTED_VALUE"""),"")</f>
        <v/>
      </c>
      <c r="W12044" s="16" t="str">
        <f>IFERROR(__xludf.DUMMYFUNCTION("""COMPUTED_VALUE"""),"")</f>
        <v/>
      </c>
      <c r="X12044" s="16" t="str">
        <f>IFERROR(__xludf.DUMMYFUNCTION("""COMPUTED_VALUE"""),"")</f>
        <v/>
      </c>
      <c r="AC12044" s="16" t="str">
        <f>IFERROR(__xludf.DUMMYFUNCTION("""COMPUTED_VALUE"""),"")</f>
        <v/>
      </c>
    </row>
    <row r="12045">
      <c r="A12045" s="16" t="s">
        <v>87</v>
      </c>
      <c r="E12045" s="16" t="str">
        <f>IFERROR(__xludf.DUMMYFUNCTION("""COMPUTED_VALUE"""),"")</f>
        <v/>
      </c>
      <c r="G12045" s="18"/>
      <c r="H12045" s="16" t="s">
        <v>87</v>
      </c>
      <c r="I12045" s="16" t="s">
        <v>87</v>
      </c>
      <c r="J12045" s="19"/>
      <c r="L12045" s="16" t="str">
        <f>IFERROR(__xludf.DUMMYFUNCTION("""COMPUTED_VALUE"""),"")</f>
        <v/>
      </c>
      <c r="M12045" s="16" t="str">
        <f>IFERROR(__xludf.DUMMYFUNCTION("""COMPUTED_VALUE"""),"")</f>
        <v/>
      </c>
      <c r="U12045" s="16" t="s">
        <v>87</v>
      </c>
      <c r="V12045" s="16" t="str">
        <f>IFERROR(__xludf.DUMMYFUNCTION("""COMPUTED_VALUE"""),"")</f>
        <v/>
      </c>
      <c r="W12045" s="16" t="str">
        <f>IFERROR(__xludf.DUMMYFUNCTION("""COMPUTED_VALUE"""),"")</f>
        <v/>
      </c>
      <c r="X12045" s="16" t="str">
        <f>IFERROR(__xludf.DUMMYFUNCTION("""COMPUTED_VALUE"""),"")</f>
        <v/>
      </c>
      <c r="AC12045" s="16" t="str">
        <f>IFERROR(__xludf.DUMMYFUNCTION("""COMPUTED_VALUE"""),"")</f>
        <v/>
      </c>
    </row>
    <row r="12046">
      <c r="A12046" s="16" t="s">
        <v>87</v>
      </c>
      <c r="E12046" s="16" t="str">
        <f>IFERROR(__xludf.DUMMYFUNCTION("""COMPUTED_VALUE"""),"")</f>
        <v/>
      </c>
      <c r="G12046" s="18"/>
      <c r="H12046" s="16" t="s">
        <v>87</v>
      </c>
      <c r="I12046" s="16" t="s">
        <v>87</v>
      </c>
      <c r="J12046" s="19"/>
      <c r="L12046" s="16" t="str">
        <f>IFERROR(__xludf.DUMMYFUNCTION("""COMPUTED_VALUE"""),"")</f>
        <v/>
      </c>
      <c r="M12046" s="16" t="str">
        <f>IFERROR(__xludf.DUMMYFUNCTION("""COMPUTED_VALUE"""),"")</f>
        <v/>
      </c>
      <c r="U12046" s="16" t="s">
        <v>87</v>
      </c>
      <c r="V12046" s="16" t="str">
        <f>IFERROR(__xludf.DUMMYFUNCTION("""COMPUTED_VALUE"""),"")</f>
        <v/>
      </c>
      <c r="W12046" s="16" t="str">
        <f>IFERROR(__xludf.DUMMYFUNCTION("""COMPUTED_VALUE"""),"")</f>
        <v/>
      </c>
      <c r="X12046" s="16" t="str">
        <f>IFERROR(__xludf.DUMMYFUNCTION("""COMPUTED_VALUE"""),"")</f>
        <v/>
      </c>
      <c r="AC12046" s="16" t="str">
        <f>IFERROR(__xludf.DUMMYFUNCTION("""COMPUTED_VALUE"""),"")</f>
        <v/>
      </c>
    </row>
    <row r="12047">
      <c r="A12047" s="16" t="s">
        <v>87</v>
      </c>
      <c r="E12047" s="16" t="str">
        <f>IFERROR(__xludf.DUMMYFUNCTION("""COMPUTED_VALUE"""),"")</f>
        <v/>
      </c>
      <c r="G12047" s="18"/>
      <c r="H12047" s="16" t="s">
        <v>87</v>
      </c>
      <c r="I12047" s="16" t="s">
        <v>87</v>
      </c>
      <c r="J12047" s="19"/>
      <c r="L12047" s="16" t="str">
        <f>IFERROR(__xludf.DUMMYFUNCTION("""COMPUTED_VALUE"""),"")</f>
        <v/>
      </c>
      <c r="M12047" s="16" t="str">
        <f>IFERROR(__xludf.DUMMYFUNCTION("""COMPUTED_VALUE"""),"")</f>
        <v/>
      </c>
      <c r="U12047" s="16" t="s">
        <v>87</v>
      </c>
      <c r="V12047" s="16" t="str">
        <f>IFERROR(__xludf.DUMMYFUNCTION("""COMPUTED_VALUE"""),"")</f>
        <v/>
      </c>
      <c r="W12047" s="16" t="str">
        <f>IFERROR(__xludf.DUMMYFUNCTION("""COMPUTED_VALUE"""),"")</f>
        <v/>
      </c>
      <c r="X12047" s="16" t="str">
        <f>IFERROR(__xludf.DUMMYFUNCTION("""COMPUTED_VALUE"""),"")</f>
        <v/>
      </c>
      <c r="AC12047" s="16" t="str">
        <f>IFERROR(__xludf.DUMMYFUNCTION("""COMPUTED_VALUE"""),"")</f>
        <v/>
      </c>
    </row>
    <row r="12048">
      <c r="A12048" s="16" t="s">
        <v>87</v>
      </c>
      <c r="E12048" s="16" t="str">
        <f>IFERROR(__xludf.DUMMYFUNCTION("""COMPUTED_VALUE"""),"")</f>
        <v/>
      </c>
      <c r="G12048" s="18"/>
      <c r="H12048" s="16" t="s">
        <v>87</v>
      </c>
      <c r="I12048" s="16" t="s">
        <v>87</v>
      </c>
      <c r="J12048" s="19"/>
      <c r="L12048" s="16" t="str">
        <f>IFERROR(__xludf.DUMMYFUNCTION("""COMPUTED_VALUE"""),"")</f>
        <v/>
      </c>
      <c r="M12048" s="16" t="str">
        <f>IFERROR(__xludf.DUMMYFUNCTION("""COMPUTED_VALUE"""),"")</f>
        <v/>
      </c>
      <c r="U12048" s="16" t="s">
        <v>87</v>
      </c>
      <c r="V12048" s="16" t="str">
        <f>IFERROR(__xludf.DUMMYFUNCTION("""COMPUTED_VALUE"""),"")</f>
        <v/>
      </c>
      <c r="W12048" s="16" t="str">
        <f>IFERROR(__xludf.DUMMYFUNCTION("""COMPUTED_VALUE"""),"")</f>
        <v/>
      </c>
      <c r="X12048" s="16" t="str">
        <f>IFERROR(__xludf.DUMMYFUNCTION("""COMPUTED_VALUE"""),"")</f>
        <v/>
      </c>
      <c r="AC12048" s="16" t="str">
        <f>IFERROR(__xludf.DUMMYFUNCTION("""COMPUTED_VALUE"""),"")</f>
        <v/>
      </c>
    </row>
    <row r="12049">
      <c r="A12049" s="16" t="s">
        <v>87</v>
      </c>
      <c r="E12049" s="16" t="str">
        <f>IFERROR(__xludf.DUMMYFUNCTION("""COMPUTED_VALUE"""),"")</f>
        <v/>
      </c>
      <c r="G12049" s="18"/>
      <c r="H12049" s="16" t="s">
        <v>87</v>
      </c>
      <c r="I12049" s="16" t="s">
        <v>87</v>
      </c>
      <c r="J12049" s="19"/>
      <c r="L12049" s="16" t="str">
        <f>IFERROR(__xludf.DUMMYFUNCTION("""COMPUTED_VALUE"""),"")</f>
        <v/>
      </c>
      <c r="M12049" s="16" t="str">
        <f>IFERROR(__xludf.DUMMYFUNCTION("""COMPUTED_VALUE"""),"")</f>
        <v/>
      </c>
      <c r="U12049" s="16" t="s">
        <v>87</v>
      </c>
      <c r="V12049" s="16" t="str">
        <f>IFERROR(__xludf.DUMMYFUNCTION("""COMPUTED_VALUE"""),"")</f>
        <v/>
      </c>
      <c r="W12049" s="16" t="str">
        <f>IFERROR(__xludf.DUMMYFUNCTION("""COMPUTED_VALUE"""),"")</f>
        <v/>
      </c>
      <c r="X12049" s="16" t="str">
        <f>IFERROR(__xludf.DUMMYFUNCTION("""COMPUTED_VALUE"""),"")</f>
        <v/>
      </c>
      <c r="AC12049" s="16" t="str">
        <f>IFERROR(__xludf.DUMMYFUNCTION("""COMPUTED_VALUE"""),"")</f>
        <v/>
      </c>
    </row>
    <row r="12050">
      <c r="A12050" s="16" t="s">
        <v>87</v>
      </c>
      <c r="E12050" s="16" t="str">
        <f>IFERROR(__xludf.DUMMYFUNCTION("""COMPUTED_VALUE"""),"")</f>
        <v/>
      </c>
      <c r="G12050" s="18"/>
      <c r="H12050" s="16" t="s">
        <v>87</v>
      </c>
      <c r="I12050" s="16" t="s">
        <v>87</v>
      </c>
      <c r="J12050" s="19"/>
      <c r="L12050" s="16" t="str">
        <f>IFERROR(__xludf.DUMMYFUNCTION("""COMPUTED_VALUE"""),"")</f>
        <v/>
      </c>
      <c r="M12050" s="16" t="str">
        <f>IFERROR(__xludf.DUMMYFUNCTION("""COMPUTED_VALUE"""),"")</f>
        <v/>
      </c>
      <c r="U12050" s="16" t="s">
        <v>87</v>
      </c>
      <c r="V12050" s="16" t="str">
        <f>IFERROR(__xludf.DUMMYFUNCTION("""COMPUTED_VALUE"""),"")</f>
        <v/>
      </c>
      <c r="W12050" s="16" t="str">
        <f>IFERROR(__xludf.DUMMYFUNCTION("""COMPUTED_VALUE"""),"")</f>
        <v/>
      </c>
      <c r="X12050" s="16" t="str">
        <f>IFERROR(__xludf.DUMMYFUNCTION("""COMPUTED_VALUE"""),"")</f>
        <v/>
      </c>
      <c r="AC12050" s="16" t="str">
        <f>IFERROR(__xludf.DUMMYFUNCTION("""COMPUTED_VALUE"""),"")</f>
        <v/>
      </c>
    </row>
    <row r="12051">
      <c r="A12051" s="16" t="s">
        <v>87</v>
      </c>
      <c r="E12051" s="16" t="str">
        <f>IFERROR(__xludf.DUMMYFUNCTION("""COMPUTED_VALUE"""),"")</f>
        <v/>
      </c>
      <c r="G12051" s="18"/>
      <c r="H12051" s="16" t="s">
        <v>87</v>
      </c>
      <c r="I12051" s="16" t="s">
        <v>87</v>
      </c>
      <c r="J12051" s="19"/>
      <c r="L12051" s="16" t="str">
        <f>IFERROR(__xludf.DUMMYFUNCTION("""COMPUTED_VALUE"""),"")</f>
        <v/>
      </c>
      <c r="M12051" s="16" t="str">
        <f>IFERROR(__xludf.DUMMYFUNCTION("""COMPUTED_VALUE"""),"")</f>
        <v/>
      </c>
      <c r="U12051" s="16" t="s">
        <v>87</v>
      </c>
      <c r="V12051" s="16" t="str">
        <f>IFERROR(__xludf.DUMMYFUNCTION("""COMPUTED_VALUE"""),"")</f>
        <v/>
      </c>
      <c r="W12051" s="16" t="str">
        <f>IFERROR(__xludf.DUMMYFUNCTION("""COMPUTED_VALUE"""),"")</f>
        <v/>
      </c>
      <c r="X12051" s="16" t="str">
        <f>IFERROR(__xludf.DUMMYFUNCTION("""COMPUTED_VALUE"""),"")</f>
        <v/>
      </c>
      <c r="AC12051" s="16" t="str">
        <f>IFERROR(__xludf.DUMMYFUNCTION("""COMPUTED_VALUE"""),"")</f>
        <v/>
      </c>
    </row>
    <row r="12052">
      <c r="A12052" s="16" t="s">
        <v>87</v>
      </c>
      <c r="E12052" s="16" t="str">
        <f>IFERROR(__xludf.DUMMYFUNCTION("""COMPUTED_VALUE"""),"")</f>
        <v/>
      </c>
      <c r="G12052" s="18"/>
      <c r="H12052" s="16" t="s">
        <v>87</v>
      </c>
      <c r="I12052" s="16" t="s">
        <v>87</v>
      </c>
      <c r="J12052" s="19"/>
      <c r="L12052" s="16" t="str">
        <f>IFERROR(__xludf.DUMMYFUNCTION("""COMPUTED_VALUE"""),"")</f>
        <v/>
      </c>
      <c r="M12052" s="16" t="str">
        <f>IFERROR(__xludf.DUMMYFUNCTION("""COMPUTED_VALUE"""),"")</f>
        <v/>
      </c>
      <c r="U12052" s="16" t="s">
        <v>87</v>
      </c>
      <c r="V12052" s="16" t="str">
        <f>IFERROR(__xludf.DUMMYFUNCTION("""COMPUTED_VALUE"""),"")</f>
        <v/>
      </c>
      <c r="W12052" s="16" t="str">
        <f>IFERROR(__xludf.DUMMYFUNCTION("""COMPUTED_VALUE"""),"")</f>
        <v/>
      </c>
      <c r="X12052" s="16" t="str">
        <f>IFERROR(__xludf.DUMMYFUNCTION("""COMPUTED_VALUE"""),"")</f>
        <v/>
      </c>
      <c r="AC12052" s="16" t="str">
        <f>IFERROR(__xludf.DUMMYFUNCTION("""COMPUTED_VALUE"""),"")</f>
        <v/>
      </c>
    </row>
    <row r="12053">
      <c r="A12053" s="16" t="s">
        <v>87</v>
      </c>
      <c r="E12053" s="16" t="str">
        <f>IFERROR(__xludf.DUMMYFUNCTION("""COMPUTED_VALUE"""),"")</f>
        <v/>
      </c>
      <c r="G12053" s="18"/>
      <c r="H12053" s="16" t="s">
        <v>87</v>
      </c>
      <c r="I12053" s="16" t="s">
        <v>87</v>
      </c>
      <c r="J12053" s="19"/>
      <c r="L12053" s="16" t="str">
        <f>IFERROR(__xludf.DUMMYFUNCTION("""COMPUTED_VALUE"""),"")</f>
        <v/>
      </c>
      <c r="M12053" s="16" t="str">
        <f>IFERROR(__xludf.DUMMYFUNCTION("""COMPUTED_VALUE"""),"")</f>
        <v/>
      </c>
      <c r="U12053" s="16" t="s">
        <v>87</v>
      </c>
      <c r="V12053" s="16" t="str">
        <f>IFERROR(__xludf.DUMMYFUNCTION("""COMPUTED_VALUE"""),"")</f>
        <v/>
      </c>
      <c r="W12053" s="16" t="str">
        <f>IFERROR(__xludf.DUMMYFUNCTION("""COMPUTED_VALUE"""),"")</f>
        <v/>
      </c>
      <c r="X12053" s="16" t="str">
        <f>IFERROR(__xludf.DUMMYFUNCTION("""COMPUTED_VALUE"""),"")</f>
        <v/>
      </c>
      <c r="AC12053" s="16" t="str">
        <f>IFERROR(__xludf.DUMMYFUNCTION("""COMPUTED_VALUE"""),"")</f>
        <v/>
      </c>
    </row>
    <row r="12054">
      <c r="A12054" s="16" t="s">
        <v>87</v>
      </c>
      <c r="E12054" s="16" t="str">
        <f>IFERROR(__xludf.DUMMYFUNCTION("""COMPUTED_VALUE"""),"")</f>
        <v/>
      </c>
      <c r="G12054" s="18"/>
      <c r="H12054" s="16" t="s">
        <v>87</v>
      </c>
      <c r="I12054" s="16" t="s">
        <v>87</v>
      </c>
      <c r="J12054" s="19"/>
      <c r="L12054" s="16" t="str">
        <f>IFERROR(__xludf.DUMMYFUNCTION("""COMPUTED_VALUE"""),"")</f>
        <v/>
      </c>
      <c r="M12054" s="16" t="str">
        <f>IFERROR(__xludf.DUMMYFUNCTION("""COMPUTED_VALUE"""),"")</f>
        <v/>
      </c>
      <c r="U12054" s="16" t="s">
        <v>87</v>
      </c>
      <c r="V12054" s="16" t="str">
        <f>IFERROR(__xludf.DUMMYFUNCTION("""COMPUTED_VALUE"""),"")</f>
        <v/>
      </c>
      <c r="W12054" s="16" t="str">
        <f>IFERROR(__xludf.DUMMYFUNCTION("""COMPUTED_VALUE"""),"")</f>
        <v/>
      </c>
      <c r="X12054" s="16" t="str">
        <f>IFERROR(__xludf.DUMMYFUNCTION("""COMPUTED_VALUE"""),"")</f>
        <v/>
      </c>
      <c r="AC12054" s="16" t="str">
        <f>IFERROR(__xludf.DUMMYFUNCTION("""COMPUTED_VALUE"""),"")</f>
        <v/>
      </c>
    </row>
    <row r="12055">
      <c r="A12055" s="16" t="s">
        <v>87</v>
      </c>
      <c r="E12055" s="16" t="str">
        <f>IFERROR(__xludf.DUMMYFUNCTION("""COMPUTED_VALUE"""),"")</f>
        <v/>
      </c>
      <c r="G12055" s="18"/>
      <c r="H12055" s="16" t="s">
        <v>87</v>
      </c>
      <c r="I12055" s="16" t="s">
        <v>87</v>
      </c>
      <c r="J12055" s="19"/>
      <c r="L12055" s="16" t="str">
        <f>IFERROR(__xludf.DUMMYFUNCTION("""COMPUTED_VALUE"""),"")</f>
        <v/>
      </c>
      <c r="M12055" s="16" t="str">
        <f>IFERROR(__xludf.DUMMYFUNCTION("""COMPUTED_VALUE"""),"")</f>
        <v/>
      </c>
      <c r="U12055" s="16" t="s">
        <v>87</v>
      </c>
      <c r="V12055" s="16" t="str">
        <f>IFERROR(__xludf.DUMMYFUNCTION("""COMPUTED_VALUE"""),"")</f>
        <v/>
      </c>
      <c r="W12055" s="16" t="str">
        <f>IFERROR(__xludf.DUMMYFUNCTION("""COMPUTED_VALUE"""),"")</f>
        <v/>
      </c>
      <c r="X12055" s="16" t="str">
        <f>IFERROR(__xludf.DUMMYFUNCTION("""COMPUTED_VALUE"""),"")</f>
        <v/>
      </c>
      <c r="AC12055" s="16" t="str">
        <f>IFERROR(__xludf.DUMMYFUNCTION("""COMPUTED_VALUE"""),"")</f>
        <v/>
      </c>
    </row>
    <row r="12056">
      <c r="A12056" s="16" t="s">
        <v>87</v>
      </c>
      <c r="E12056" s="16" t="str">
        <f>IFERROR(__xludf.DUMMYFUNCTION("""COMPUTED_VALUE"""),"")</f>
        <v/>
      </c>
      <c r="G12056" s="18"/>
      <c r="H12056" s="16" t="s">
        <v>87</v>
      </c>
      <c r="I12056" s="16" t="s">
        <v>87</v>
      </c>
      <c r="J12056" s="19"/>
      <c r="L12056" s="16" t="str">
        <f>IFERROR(__xludf.DUMMYFUNCTION("""COMPUTED_VALUE"""),"")</f>
        <v/>
      </c>
      <c r="M12056" s="16" t="str">
        <f>IFERROR(__xludf.DUMMYFUNCTION("""COMPUTED_VALUE"""),"")</f>
        <v/>
      </c>
      <c r="U12056" s="16" t="s">
        <v>87</v>
      </c>
      <c r="V12056" s="16" t="str">
        <f>IFERROR(__xludf.DUMMYFUNCTION("""COMPUTED_VALUE"""),"")</f>
        <v/>
      </c>
      <c r="W12056" s="16" t="str">
        <f>IFERROR(__xludf.DUMMYFUNCTION("""COMPUTED_VALUE"""),"")</f>
        <v/>
      </c>
      <c r="X12056" s="16" t="str">
        <f>IFERROR(__xludf.DUMMYFUNCTION("""COMPUTED_VALUE"""),"")</f>
        <v/>
      </c>
      <c r="AC12056" s="16" t="str">
        <f>IFERROR(__xludf.DUMMYFUNCTION("""COMPUTED_VALUE"""),"")</f>
        <v/>
      </c>
    </row>
    <row r="12057">
      <c r="A12057" s="16" t="s">
        <v>87</v>
      </c>
      <c r="E12057" s="16" t="str">
        <f>IFERROR(__xludf.DUMMYFUNCTION("""COMPUTED_VALUE"""),"")</f>
        <v/>
      </c>
      <c r="G12057" s="18"/>
      <c r="H12057" s="16" t="s">
        <v>87</v>
      </c>
      <c r="I12057" s="16" t="s">
        <v>87</v>
      </c>
      <c r="J12057" s="19"/>
      <c r="L12057" s="16" t="str">
        <f>IFERROR(__xludf.DUMMYFUNCTION("""COMPUTED_VALUE"""),"")</f>
        <v/>
      </c>
      <c r="M12057" s="16" t="str">
        <f>IFERROR(__xludf.DUMMYFUNCTION("""COMPUTED_VALUE"""),"")</f>
        <v/>
      </c>
      <c r="U12057" s="16" t="s">
        <v>87</v>
      </c>
      <c r="V12057" s="16" t="str">
        <f>IFERROR(__xludf.DUMMYFUNCTION("""COMPUTED_VALUE"""),"")</f>
        <v/>
      </c>
      <c r="W12057" s="16" t="str">
        <f>IFERROR(__xludf.DUMMYFUNCTION("""COMPUTED_VALUE"""),"")</f>
        <v/>
      </c>
      <c r="X12057" s="16" t="str">
        <f>IFERROR(__xludf.DUMMYFUNCTION("""COMPUTED_VALUE"""),"")</f>
        <v/>
      </c>
      <c r="AC12057" s="16" t="str">
        <f>IFERROR(__xludf.DUMMYFUNCTION("""COMPUTED_VALUE"""),"")</f>
        <v/>
      </c>
    </row>
    <row r="12058">
      <c r="A12058" s="16" t="s">
        <v>87</v>
      </c>
      <c r="E12058" s="16" t="str">
        <f>IFERROR(__xludf.DUMMYFUNCTION("""COMPUTED_VALUE"""),"")</f>
        <v/>
      </c>
      <c r="G12058" s="18"/>
      <c r="H12058" s="16" t="s">
        <v>87</v>
      </c>
      <c r="I12058" s="16" t="s">
        <v>87</v>
      </c>
      <c r="J12058" s="19"/>
      <c r="L12058" s="16" t="str">
        <f>IFERROR(__xludf.DUMMYFUNCTION("""COMPUTED_VALUE"""),"")</f>
        <v/>
      </c>
      <c r="M12058" s="16" t="str">
        <f>IFERROR(__xludf.DUMMYFUNCTION("""COMPUTED_VALUE"""),"")</f>
        <v/>
      </c>
      <c r="U12058" s="16" t="s">
        <v>87</v>
      </c>
      <c r="V12058" s="16" t="str">
        <f>IFERROR(__xludf.DUMMYFUNCTION("""COMPUTED_VALUE"""),"")</f>
        <v/>
      </c>
      <c r="W12058" s="16" t="str">
        <f>IFERROR(__xludf.DUMMYFUNCTION("""COMPUTED_VALUE"""),"")</f>
        <v/>
      </c>
      <c r="X12058" s="16" t="str">
        <f>IFERROR(__xludf.DUMMYFUNCTION("""COMPUTED_VALUE"""),"")</f>
        <v/>
      </c>
      <c r="AC12058" s="16" t="str">
        <f>IFERROR(__xludf.DUMMYFUNCTION("""COMPUTED_VALUE"""),"")</f>
        <v/>
      </c>
    </row>
    <row r="12059">
      <c r="A12059" s="16" t="s">
        <v>87</v>
      </c>
      <c r="E12059" s="16" t="str">
        <f>IFERROR(__xludf.DUMMYFUNCTION("""COMPUTED_VALUE"""),"")</f>
        <v/>
      </c>
      <c r="G12059" s="18"/>
      <c r="H12059" s="16" t="s">
        <v>87</v>
      </c>
      <c r="I12059" s="16" t="s">
        <v>87</v>
      </c>
      <c r="J12059" s="19"/>
      <c r="L12059" s="16" t="str">
        <f>IFERROR(__xludf.DUMMYFUNCTION("""COMPUTED_VALUE"""),"")</f>
        <v/>
      </c>
      <c r="M12059" s="16" t="str">
        <f>IFERROR(__xludf.DUMMYFUNCTION("""COMPUTED_VALUE"""),"")</f>
        <v/>
      </c>
      <c r="U12059" s="16" t="s">
        <v>87</v>
      </c>
      <c r="V12059" s="16" t="str">
        <f>IFERROR(__xludf.DUMMYFUNCTION("""COMPUTED_VALUE"""),"")</f>
        <v/>
      </c>
      <c r="W12059" s="16" t="str">
        <f>IFERROR(__xludf.DUMMYFUNCTION("""COMPUTED_VALUE"""),"")</f>
        <v/>
      </c>
      <c r="X12059" s="16" t="str">
        <f>IFERROR(__xludf.DUMMYFUNCTION("""COMPUTED_VALUE"""),"")</f>
        <v/>
      </c>
      <c r="AC12059" s="16" t="str">
        <f>IFERROR(__xludf.DUMMYFUNCTION("""COMPUTED_VALUE"""),"")</f>
        <v/>
      </c>
    </row>
    <row r="12060">
      <c r="A12060" s="16" t="s">
        <v>87</v>
      </c>
      <c r="E12060" s="16" t="str">
        <f>IFERROR(__xludf.DUMMYFUNCTION("""COMPUTED_VALUE"""),"")</f>
        <v/>
      </c>
      <c r="G12060" s="18"/>
      <c r="H12060" s="16" t="s">
        <v>87</v>
      </c>
      <c r="I12060" s="16" t="s">
        <v>87</v>
      </c>
      <c r="J12060" s="19"/>
      <c r="L12060" s="16" t="str">
        <f>IFERROR(__xludf.DUMMYFUNCTION("""COMPUTED_VALUE"""),"")</f>
        <v/>
      </c>
      <c r="M12060" s="16" t="str">
        <f>IFERROR(__xludf.DUMMYFUNCTION("""COMPUTED_VALUE"""),"")</f>
        <v/>
      </c>
      <c r="U12060" s="16" t="s">
        <v>87</v>
      </c>
      <c r="V12060" s="16" t="str">
        <f>IFERROR(__xludf.DUMMYFUNCTION("""COMPUTED_VALUE"""),"")</f>
        <v/>
      </c>
      <c r="W12060" s="16" t="str">
        <f>IFERROR(__xludf.DUMMYFUNCTION("""COMPUTED_VALUE"""),"")</f>
        <v/>
      </c>
      <c r="X12060" s="16" t="str">
        <f>IFERROR(__xludf.DUMMYFUNCTION("""COMPUTED_VALUE"""),"")</f>
        <v/>
      </c>
      <c r="AC12060" s="16" t="str">
        <f>IFERROR(__xludf.DUMMYFUNCTION("""COMPUTED_VALUE"""),"")</f>
        <v/>
      </c>
    </row>
    <row r="12061">
      <c r="A12061" s="16" t="s">
        <v>87</v>
      </c>
      <c r="E12061" s="16" t="str">
        <f>IFERROR(__xludf.DUMMYFUNCTION("""COMPUTED_VALUE"""),"")</f>
        <v/>
      </c>
      <c r="G12061" s="18"/>
      <c r="H12061" s="16" t="s">
        <v>87</v>
      </c>
      <c r="I12061" s="16" t="s">
        <v>87</v>
      </c>
      <c r="J12061" s="19"/>
      <c r="L12061" s="16" t="str">
        <f>IFERROR(__xludf.DUMMYFUNCTION("""COMPUTED_VALUE"""),"")</f>
        <v/>
      </c>
      <c r="M12061" s="16" t="str">
        <f>IFERROR(__xludf.DUMMYFUNCTION("""COMPUTED_VALUE"""),"")</f>
        <v/>
      </c>
      <c r="U12061" s="16" t="s">
        <v>87</v>
      </c>
      <c r="V12061" s="16" t="str">
        <f>IFERROR(__xludf.DUMMYFUNCTION("""COMPUTED_VALUE"""),"")</f>
        <v/>
      </c>
      <c r="W12061" s="16" t="str">
        <f>IFERROR(__xludf.DUMMYFUNCTION("""COMPUTED_VALUE"""),"")</f>
        <v/>
      </c>
      <c r="X12061" s="16" t="str">
        <f>IFERROR(__xludf.DUMMYFUNCTION("""COMPUTED_VALUE"""),"")</f>
        <v/>
      </c>
      <c r="AC12061" s="16" t="str">
        <f>IFERROR(__xludf.DUMMYFUNCTION("""COMPUTED_VALUE"""),"")</f>
        <v/>
      </c>
    </row>
    <row r="12062">
      <c r="A12062" s="16" t="s">
        <v>87</v>
      </c>
      <c r="E12062" s="16" t="str">
        <f>IFERROR(__xludf.DUMMYFUNCTION("""COMPUTED_VALUE"""),"")</f>
        <v/>
      </c>
      <c r="G12062" s="18"/>
      <c r="H12062" s="16" t="s">
        <v>87</v>
      </c>
      <c r="I12062" s="16" t="s">
        <v>87</v>
      </c>
      <c r="J12062" s="19"/>
      <c r="L12062" s="16" t="str">
        <f>IFERROR(__xludf.DUMMYFUNCTION("""COMPUTED_VALUE"""),"")</f>
        <v/>
      </c>
      <c r="M12062" s="16" t="str">
        <f>IFERROR(__xludf.DUMMYFUNCTION("""COMPUTED_VALUE"""),"")</f>
        <v/>
      </c>
      <c r="U12062" s="16" t="s">
        <v>87</v>
      </c>
      <c r="V12062" s="16" t="str">
        <f>IFERROR(__xludf.DUMMYFUNCTION("""COMPUTED_VALUE"""),"")</f>
        <v/>
      </c>
      <c r="W12062" s="16" t="str">
        <f>IFERROR(__xludf.DUMMYFUNCTION("""COMPUTED_VALUE"""),"")</f>
        <v/>
      </c>
      <c r="X12062" s="16" t="str">
        <f>IFERROR(__xludf.DUMMYFUNCTION("""COMPUTED_VALUE"""),"")</f>
        <v/>
      </c>
      <c r="AC12062" s="16" t="str">
        <f>IFERROR(__xludf.DUMMYFUNCTION("""COMPUTED_VALUE"""),"")</f>
        <v/>
      </c>
    </row>
    <row r="12063">
      <c r="A12063" s="16" t="s">
        <v>87</v>
      </c>
      <c r="E12063" s="16" t="str">
        <f>IFERROR(__xludf.DUMMYFUNCTION("""COMPUTED_VALUE"""),"")</f>
        <v/>
      </c>
      <c r="G12063" s="18"/>
      <c r="H12063" s="16" t="s">
        <v>87</v>
      </c>
      <c r="I12063" s="16" t="s">
        <v>87</v>
      </c>
      <c r="J12063" s="19"/>
      <c r="L12063" s="16" t="str">
        <f>IFERROR(__xludf.DUMMYFUNCTION("""COMPUTED_VALUE"""),"")</f>
        <v/>
      </c>
      <c r="M12063" s="16" t="str">
        <f>IFERROR(__xludf.DUMMYFUNCTION("""COMPUTED_VALUE"""),"")</f>
        <v/>
      </c>
      <c r="U12063" s="16" t="s">
        <v>87</v>
      </c>
      <c r="V12063" s="16" t="str">
        <f>IFERROR(__xludf.DUMMYFUNCTION("""COMPUTED_VALUE"""),"")</f>
        <v/>
      </c>
      <c r="W12063" s="16" t="str">
        <f>IFERROR(__xludf.DUMMYFUNCTION("""COMPUTED_VALUE"""),"")</f>
        <v/>
      </c>
      <c r="X12063" s="16" t="str">
        <f>IFERROR(__xludf.DUMMYFUNCTION("""COMPUTED_VALUE"""),"")</f>
        <v/>
      </c>
      <c r="AC12063" s="16" t="str">
        <f>IFERROR(__xludf.DUMMYFUNCTION("""COMPUTED_VALUE"""),"")</f>
        <v/>
      </c>
    </row>
    <row r="12064">
      <c r="A12064" s="16" t="s">
        <v>87</v>
      </c>
      <c r="E12064" s="16" t="str">
        <f>IFERROR(__xludf.DUMMYFUNCTION("""COMPUTED_VALUE"""),"")</f>
        <v/>
      </c>
      <c r="G12064" s="18"/>
      <c r="H12064" s="16" t="s">
        <v>87</v>
      </c>
      <c r="I12064" s="16" t="s">
        <v>87</v>
      </c>
      <c r="J12064" s="19"/>
      <c r="L12064" s="16" t="str">
        <f>IFERROR(__xludf.DUMMYFUNCTION("""COMPUTED_VALUE"""),"")</f>
        <v/>
      </c>
      <c r="M12064" s="16" t="str">
        <f>IFERROR(__xludf.DUMMYFUNCTION("""COMPUTED_VALUE"""),"")</f>
        <v/>
      </c>
      <c r="U12064" s="16" t="s">
        <v>87</v>
      </c>
      <c r="V12064" s="16" t="str">
        <f>IFERROR(__xludf.DUMMYFUNCTION("""COMPUTED_VALUE"""),"")</f>
        <v/>
      </c>
      <c r="W12064" s="16" t="str">
        <f>IFERROR(__xludf.DUMMYFUNCTION("""COMPUTED_VALUE"""),"")</f>
        <v/>
      </c>
      <c r="X12064" s="16" t="str">
        <f>IFERROR(__xludf.DUMMYFUNCTION("""COMPUTED_VALUE"""),"")</f>
        <v/>
      </c>
      <c r="AC12064" s="16" t="str">
        <f>IFERROR(__xludf.DUMMYFUNCTION("""COMPUTED_VALUE"""),"")</f>
        <v/>
      </c>
    </row>
    <row r="12065">
      <c r="A12065" s="16" t="s">
        <v>87</v>
      </c>
      <c r="E12065" s="16" t="str">
        <f>IFERROR(__xludf.DUMMYFUNCTION("""COMPUTED_VALUE"""),"")</f>
        <v/>
      </c>
      <c r="G12065" s="18"/>
      <c r="H12065" s="16" t="s">
        <v>87</v>
      </c>
      <c r="I12065" s="16" t="s">
        <v>87</v>
      </c>
      <c r="J12065" s="19"/>
      <c r="L12065" s="16" t="str">
        <f>IFERROR(__xludf.DUMMYFUNCTION("""COMPUTED_VALUE"""),"")</f>
        <v/>
      </c>
      <c r="M12065" s="16" t="str">
        <f>IFERROR(__xludf.DUMMYFUNCTION("""COMPUTED_VALUE"""),"")</f>
        <v/>
      </c>
      <c r="U12065" s="16" t="s">
        <v>87</v>
      </c>
      <c r="V12065" s="16" t="str">
        <f>IFERROR(__xludf.DUMMYFUNCTION("""COMPUTED_VALUE"""),"")</f>
        <v/>
      </c>
      <c r="W12065" s="16" t="str">
        <f>IFERROR(__xludf.DUMMYFUNCTION("""COMPUTED_VALUE"""),"")</f>
        <v/>
      </c>
      <c r="X12065" s="16" t="str">
        <f>IFERROR(__xludf.DUMMYFUNCTION("""COMPUTED_VALUE"""),"")</f>
        <v/>
      </c>
      <c r="AC12065" s="16" t="str">
        <f>IFERROR(__xludf.DUMMYFUNCTION("""COMPUTED_VALUE"""),"")</f>
        <v/>
      </c>
    </row>
    <row r="12066">
      <c r="A12066" s="16" t="s">
        <v>87</v>
      </c>
      <c r="E12066" s="16" t="str">
        <f>IFERROR(__xludf.DUMMYFUNCTION("""COMPUTED_VALUE"""),"")</f>
        <v/>
      </c>
      <c r="G12066" s="18"/>
      <c r="H12066" s="16" t="s">
        <v>87</v>
      </c>
      <c r="I12066" s="16" t="s">
        <v>87</v>
      </c>
      <c r="J12066" s="19"/>
      <c r="L12066" s="16" t="str">
        <f>IFERROR(__xludf.DUMMYFUNCTION("""COMPUTED_VALUE"""),"")</f>
        <v/>
      </c>
      <c r="M12066" s="16" t="str">
        <f>IFERROR(__xludf.DUMMYFUNCTION("""COMPUTED_VALUE"""),"")</f>
        <v/>
      </c>
      <c r="U12066" s="16" t="s">
        <v>87</v>
      </c>
      <c r="V12066" s="16" t="str">
        <f>IFERROR(__xludf.DUMMYFUNCTION("""COMPUTED_VALUE"""),"")</f>
        <v/>
      </c>
      <c r="W12066" s="16" t="str">
        <f>IFERROR(__xludf.DUMMYFUNCTION("""COMPUTED_VALUE"""),"")</f>
        <v/>
      </c>
      <c r="X12066" s="16" t="str">
        <f>IFERROR(__xludf.DUMMYFUNCTION("""COMPUTED_VALUE"""),"")</f>
        <v/>
      </c>
      <c r="AC12066" s="16" t="str">
        <f>IFERROR(__xludf.DUMMYFUNCTION("""COMPUTED_VALUE"""),"")</f>
        <v/>
      </c>
    </row>
    <row r="12067">
      <c r="A12067" s="16" t="s">
        <v>87</v>
      </c>
      <c r="E12067" s="16" t="str">
        <f>IFERROR(__xludf.DUMMYFUNCTION("""COMPUTED_VALUE"""),"")</f>
        <v/>
      </c>
      <c r="G12067" s="18"/>
      <c r="H12067" s="16" t="s">
        <v>87</v>
      </c>
      <c r="I12067" s="16" t="s">
        <v>87</v>
      </c>
      <c r="J12067" s="19"/>
      <c r="L12067" s="16" t="str">
        <f>IFERROR(__xludf.DUMMYFUNCTION("""COMPUTED_VALUE"""),"")</f>
        <v/>
      </c>
      <c r="M12067" s="16" t="str">
        <f>IFERROR(__xludf.DUMMYFUNCTION("""COMPUTED_VALUE"""),"")</f>
        <v/>
      </c>
      <c r="U12067" s="16" t="s">
        <v>87</v>
      </c>
      <c r="V12067" s="16" t="str">
        <f>IFERROR(__xludf.DUMMYFUNCTION("""COMPUTED_VALUE"""),"")</f>
        <v/>
      </c>
      <c r="W12067" s="16" t="str">
        <f>IFERROR(__xludf.DUMMYFUNCTION("""COMPUTED_VALUE"""),"")</f>
        <v/>
      </c>
      <c r="X12067" s="16" t="str">
        <f>IFERROR(__xludf.DUMMYFUNCTION("""COMPUTED_VALUE"""),"")</f>
        <v/>
      </c>
      <c r="AC12067" s="16" t="str">
        <f>IFERROR(__xludf.DUMMYFUNCTION("""COMPUTED_VALUE"""),"")</f>
        <v/>
      </c>
    </row>
    <row r="12068">
      <c r="A12068" s="16" t="s">
        <v>87</v>
      </c>
      <c r="E12068" s="16" t="str">
        <f>IFERROR(__xludf.DUMMYFUNCTION("""COMPUTED_VALUE"""),"")</f>
        <v/>
      </c>
      <c r="G12068" s="18"/>
      <c r="H12068" s="16" t="s">
        <v>87</v>
      </c>
      <c r="I12068" s="16" t="s">
        <v>87</v>
      </c>
      <c r="J12068" s="19"/>
      <c r="L12068" s="16" t="str">
        <f>IFERROR(__xludf.DUMMYFUNCTION("""COMPUTED_VALUE"""),"")</f>
        <v/>
      </c>
      <c r="M12068" s="16" t="str">
        <f>IFERROR(__xludf.DUMMYFUNCTION("""COMPUTED_VALUE"""),"")</f>
        <v/>
      </c>
      <c r="U12068" s="16" t="s">
        <v>87</v>
      </c>
      <c r="V12068" s="16" t="str">
        <f>IFERROR(__xludf.DUMMYFUNCTION("""COMPUTED_VALUE"""),"")</f>
        <v/>
      </c>
      <c r="W12068" s="16" t="str">
        <f>IFERROR(__xludf.DUMMYFUNCTION("""COMPUTED_VALUE"""),"")</f>
        <v/>
      </c>
      <c r="X12068" s="16" t="str">
        <f>IFERROR(__xludf.DUMMYFUNCTION("""COMPUTED_VALUE"""),"")</f>
        <v/>
      </c>
      <c r="AC12068" s="16" t="str">
        <f>IFERROR(__xludf.DUMMYFUNCTION("""COMPUTED_VALUE"""),"")</f>
        <v/>
      </c>
    </row>
    <row r="12069">
      <c r="A12069" s="16" t="s">
        <v>87</v>
      </c>
      <c r="E12069" s="16" t="str">
        <f>IFERROR(__xludf.DUMMYFUNCTION("""COMPUTED_VALUE"""),"")</f>
        <v/>
      </c>
      <c r="G12069" s="18"/>
      <c r="H12069" s="16" t="s">
        <v>87</v>
      </c>
      <c r="I12069" s="16" t="s">
        <v>87</v>
      </c>
      <c r="J12069" s="19"/>
      <c r="L12069" s="16" t="str">
        <f>IFERROR(__xludf.DUMMYFUNCTION("""COMPUTED_VALUE"""),"")</f>
        <v/>
      </c>
      <c r="M12069" s="16" t="str">
        <f>IFERROR(__xludf.DUMMYFUNCTION("""COMPUTED_VALUE"""),"")</f>
        <v/>
      </c>
      <c r="U12069" s="16" t="s">
        <v>87</v>
      </c>
      <c r="V12069" s="16" t="str">
        <f>IFERROR(__xludf.DUMMYFUNCTION("""COMPUTED_VALUE"""),"")</f>
        <v/>
      </c>
      <c r="W12069" s="16" t="str">
        <f>IFERROR(__xludf.DUMMYFUNCTION("""COMPUTED_VALUE"""),"")</f>
        <v/>
      </c>
      <c r="X12069" s="16" t="str">
        <f>IFERROR(__xludf.DUMMYFUNCTION("""COMPUTED_VALUE"""),"")</f>
        <v/>
      </c>
      <c r="AC12069" s="16" t="str">
        <f>IFERROR(__xludf.DUMMYFUNCTION("""COMPUTED_VALUE"""),"")</f>
        <v/>
      </c>
    </row>
    <row r="12070">
      <c r="A12070" s="16" t="s">
        <v>87</v>
      </c>
      <c r="E12070" s="16" t="str">
        <f>IFERROR(__xludf.DUMMYFUNCTION("""COMPUTED_VALUE"""),"")</f>
        <v/>
      </c>
      <c r="G12070" s="18"/>
      <c r="H12070" s="16" t="s">
        <v>87</v>
      </c>
      <c r="I12070" s="16" t="s">
        <v>87</v>
      </c>
      <c r="J12070" s="19"/>
      <c r="L12070" s="16" t="str">
        <f>IFERROR(__xludf.DUMMYFUNCTION("""COMPUTED_VALUE"""),"")</f>
        <v/>
      </c>
      <c r="M12070" s="16" t="str">
        <f>IFERROR(__xludf.DUMMYFUNCTION("""COMPUTED_VALUE"""),"")</f>
        <v/>
      </c>
      <c r="U12070" s="16" t="s">
        <v>87</v>
      </c>
      <c r="V12070" s="16" t="str">
        <f>IFERROR(__xludf.DUMMYFUNCTION("""COMPUTED_VALUE"""),"")</f>
        <v/>
      </c>
      <c r="W12070" s="16" t="str">
        <f>IFERROR(__xludf.DUMMYFUNCTION("""COMPUTED_VALUE"""),"")</f>
        <v/>
      </c>
      <c r="X12070" s="16" t="str">
        <f>IFERROR(__xludf.DUMMYFUNCTION("""COMPUTED_VALUE"""),"")</f>
        <v/>
      </c>
      <c r="AC12070" s="16" t="str">
        <f>IFERROR(__xludf.DUMMYFUNCTION("""COMPUTED_VALUE"""),"")</f>
        <v/>
      </c>
    </row>
    <row r="12071">
      <c r="A12071" s="16" t="s">
        <v>87</v>
      </c>
      <c r="E12071" s="16" t="str">
        <f>IFERROR(__xludf.DUMMYFUNCTION("""COMPUTED_VALUE"""),"")</f>
        <v/>
      </c>
      <c r="G12071" s="18"/>
      <c r="H12071" s="16" t="s">
        <v>87</v>
      </c>
      <c r="I12071" s="16" t="s">
        <v>87</v>
      </c>
      <c r="J12071" s="19"/>
      <c r="L12071" s="16" t="str">
        <f>IFERROR(__xludf.DUMMYFUNCTION("""COMPUTED_VALUE"""),"")</f>
        <v/>
      </c>
      <c r="M12071" s="16" t="str">
        <f>IFERROR(__xludf.DUMMYFUNCTION("""COMPUTED_VALUE"""),"")</f>
        <v/>
      </c>
      <c r="U12071" s="16" t="s">
        <v>87</v>
      </c>
      <c r="V12071" s="16" t="str">
        <f>IFERROR(__xludf.DUMMYFUNCTION("""COMPUTED_VALUE"""),"")</f>
        <v/>
      </c>
      <c r="W12071" s="16" t="str">
        <f>IFERROR(__xludf.DUMMYFUNCTION("""COMPUTED_VALUE"""),"")</f>
        <v/>
      </c>
      <c r="X12071" s="16" t="str">
        <f>IFERROR(__xludf.DUMMYFUNCTION("""COMPUTED_VALUE"""),"")</f>
        <v/>
      </c>
      <c r="AC12071" s="16" t="str">
        <f>IFERROR(__xludf.DUMMYFUNCTION("""COMPUTED_VALUE"""),"")</f>
        <v/>
      </c>
    </row>
    <row r="12072">
      <c r="A12072" s="16" t="s">
        <v>87</v>
      </c>
      <c r="E12072" s="16" t="str">
        <f>IFERROR(__xludf.DUMMYFUNCTION("""COMPUTED_VALUE"""),"")</f>
        <v/>
      </c>
      <c r="G12072" s="18"/>
      <c r="H12072" s="16" t="s">
        <v>87</v>
      </c>
      <c r="I12072" s="16" t="s">
        <v>87</v>
      </c>
      <c r="J12072" s="19"/>
      <c r="L12072" s="16" t="str">
        <f>IFERROR(__xludf.DUMMYFUNCTION("""COMPUTED_VALUE"""),"")</f>
        <v/>
      </c>
      <c r="M12072" s="16" t="str">
        <f>IFERROR(__xludf.DUMMYFUNCTION("""COMPUTED_VALUE"""),"")</f>
        <v/>
      </c>
      <c r="U12072" s="16" t="s">
        <v>87</v>
      </c>
      <c r="V12072" s="16" t="str">
        <f>IFERROR(__xludf.DUMMYFUNCTION("""COMPUTED_VALUE"""),"")</f>
        <v/>
      </c>
      <c r="W12072" s="16" t="str">
        <f>IFERROR(__xludf.DUMMYFUNCTION("""COMPUTED_VALUE"""),"")</f>
        <v/>
      </c>
      <c r="X12072" s="16" t="str">
        <f>IFERROR(__xludf.DUMMYFUNCTION("""COMPUTED_VALUE"""),"")</f>
        <v/>
      </c>
      <c r="AC12072" s="16" t="str">
        <f>IFERROR(__xludf.DUMMYFUNCTION("""COMPUTED_VALUE"""),"")</f>
        <v/>
      </c>
    </row>
    <row r="12073">
      <c r="A12073" s="16" t="s">
        <v>87</v>
      </c>
      <c r="E12073" s="16" t="str">
        <f>IFERROR(__xludf.DUMMYFUNCTION("""COMPUTED_VALUE"""),"")</f>
        <v/>
      </c>
      <c r="G12073" s="18"/>
      <c r="H12073" s="16" t="s">
        <v>87</v>
      </c>
      <c r="I12073" s="16" t="s">
        <v>87</v>
      </c>
      <c r="J12073" s="19"/>
      <c r="L12073" s="16" t="str">
        <f>IFERROR(__xludf.DUMMYFUNCTION("""COMPUTED_VALUE"""),"")</f>
        <v/>
      </c>
      <c r="M12073" s="16" t="str">
        <f>IFERROR(__xludf.DUMMYFUNCTION("""COMPUTED_VALUE"""),"")</f>
        <v/>
      </c>
      <c r="U12073" s="16" t="s">
        <v>87</v>
      </c>
      <c r="V12073" s="16" t="str">
        <f>IFERROR(__xludf.DUMMYFUNCTION("""COMPUTED_VALUE"""),"")</f>
        <v/>
      </c>
      <c r="W12073" s="16" t="str">
        <f>IFERROR(__xludf.DUMMYFUNCTION("""COMPUTED_VALUE"""),"")</f>
        <v/>
      </c>
      <c r="X12073" s="16" t="str">
        <f>IFERROR(__xludf.DUMMYFUNCTION("""COMPUTED_VALUE"""),"")</f>
        <v/>
      </c>
      <c r="AC12073" s="16" t="str">
        <f>IFERROR(__xludf.DUMMYFUNCTION("""COMPUTED_VALUE"""),"")</f>
        <v/>
      </c>
    </row>
    <row r="12074">
      <c r="A12074" s="16" t="s">
        <v>87</v>
      </c>
      <c r="E12074" s="16" t="str">
        <f>IFERROR(__xludf.DUMMYFUNCTION("""COMPUTED_VALUE"""),"")</f>
        <v/>
      </c>
      <c r="G12074" s="18"/>
      <c r="H12074" s="16" t="s">
        <v>87</v>
      </c>
      <c r="I12074" s="16" t="s">
        <v>87</v>
      </c>
      <c r="J12074" s="19"/>
      <c r="L12074" s="16" t="str">
        <f>IFERROR(__xludf.DUMMYFUNCTION("""COMPUTED_VALUE"""),"")</f>
        <v/>
      </c>
      <c r="M12074" s="16" t="str">
        <f>IFERROR(__xludf.DUMMYFUNCTION("""COMPUTED_VALUE"""),"")</f>
        <v/>
      </c>
      <c r="U12074" s="16" t="s">
        <v>87</v>
      </c>
      <c r="V12074" s="16" t="str">
        <f>IFERROR(__xludf.DUMMYFUNCTION("""COMPUTED_VALUE"""),"")</f>
        <v/>
      </c>
      <c r="W12074" s="16" t="str">
        <f>IFERROR(__xludf.DUMMYFUNCTION("""COMPUTED_VALUE"""),"")</f>
        <v/>
      </c>
      <c r="X12074" s="16" t="str">
        <f>IFERROR(__xludf.DUMMYFUNCTION("""COMPUTED_VALUE"""),"")</f>
        <v/>
      </c>
      <c r="AC12074" s="16" t="str">
        <f>IFERROR(__xludf.DUMMYFUNCTION("""COMPUTED_VALUE"""),"")</f>
        <v/>
      </c>
    </row>
    <row r="12075">
      <c r="A12075" s="16" t="s">
        <v>87</v>
      </c>
      <c r="E12075" s="16" t="str">
        <f>IFERROR(__xludf.DUMMYFUNCTION("""COMPUTED_VALUE"""),"")</f>
        <v/>
      </c>
      <c r="G12075" s="18"/>
      <c r="H12075" s="16" t="s">
        <v>87</v>
      </c>
      <c r="I12075" s="16" t="s">
        <v>87</v>
      </c>
      <c r="J12075" s="19"/>
      <c r="L12075" s="16" t="str">
        <f>IFERROR(__xludf.DUMMYFUNCTION("""COMPUTED_VALUE"""),"")</f>
        <v/>
      </c>
      <c r="M12075" s="16" t="str">
        <f>IFERROR(__xludf.DUMMYFUNCTION("""COMPUTED_VALUE"""),"")</f>
        <v/>
      </c>
      <c r="U12075" s="16" t="s">
        <v>87</v>
      </c>
      <c r="V12075" s="16" t="str">
        <f>IFERROR(__xludf.DUMMYFUNCTION("""COMPUTED_VALUE"""),"")</f>
        <v/>
      </c>
      <c r="W12075" s="16" t="str">
        <f>IFERROR(__xludf.DUMMYFUNCTION("""COMPUTED_VALUE"""),"")</f>
        <v/>
      </c>
      <c r="X12075" s="16" t="str">
        <f>IFERROR(__xludf.DUMMYFUNCTION("""COMPUTED_VALUE"""),"")</f>
        <v/>
      </c>
      <c r="AC12075" s="16" t="str">
        <f>IFERROR(__xludf.DUMMYFUNCTION("""COMPUTED_VALUE"""),"")</f>
        <v/>
      </c>
    </row>
    <row r="12076">
      <c r="A12076" s="16" t="s">
        <v>87</v>
      </c>
      <c r="E12076" s="16" t="str">
        <f>IFERROR(__xludf.DUMMYFUNCTION("""COMPUTED_VALUE"""),"")</f>
        <v/>
      </c>
      <c r="G12076" s="18"/>
      <c r="H12076" s="16" t="s">
        <v>87</v>
      </c>
      <c r="I12076" s="16" t="s">
        <v>87</v>
      </c>
      <c r="J12076" s="19"/>
      <c r="L12076" s="16" t="str">
        <f>IFERROR(__xludf.DUMMYFUNCTION("""COMPUTED_VALUE"""),"")</f>
        <v/>
      </c>
      <c r="M12076" s="16" t="str">
        <f>IFERROR(__xludf.DUMMYFUNCTION("""COMPUTED_VALUE"""),"")</f>
        <v/>
      </c>
      <c r="U12076" s="16" t="s">
        <v>87</v>
      </c>
      <c r="V12076" s="16" t="str">
        <f>IFERROR(__xludf.DUMMYFUNCTION("""COMPUTED_VALUE"""),"")</f>
        <v/>
      </c>
      <c r="W12076" s="16" t="str">
        <f>IFERROR(__xludf.DUMMYFUNCTION("""COMPUTED_VALUE"""),"")</f>
        <v/>
      </c>
      <c r="X12076" s="16" t="str">
        <f>IFERROR(__xludf.DUMMYFUNCTION("""COMPUTED_VALUE"""),"")</f>
        <v/>
      </c>
      <c r="AC12076" s="16" t="str">
        <f>IFERROR(__xludf.DUMMYFUNCTION("""COMPUTED_VALUE"""),"")</f>
        <v/>
      </c>
    </row>
    <row r="12077">
      <c r="A12077" s="16" t="s">
        <v>87</v>
      </c>
      <c r="E12077" s="16" t="str">
        <f>IFERROR(__xludf.DUMMYFUNCTION("""COMPUTED_VALUE"""),"")</f>
        <v/>
      </c>
      <c r="G12077" s="18"/>
      <c r="H12077" s="16" t="s">
        <v>87</v>
      </c>
      <c r="I12077" s="16" t="s">
        <v>87</v>
      </c>
      <c r="J12077" s="19"/>
      <c r="L12077" s="16" t="str">
        <f>IFERROR(__xludf.DUMMYFUNCTION("""COMPUTED_VALUE"""),"")</f>
        <v/>
      </c>
      <c r="M12077" s="16" t="str">
        <f>IFERROR(__xludf.DUMMYFUNCTION("""COMPUTED_VALUE"""),"")</f>
        <v/>
      </c>
      <c r="U12077" s="16" t="s">
        <v>87</v>
      </c>
      <c r="V12077" s="16" t="str">
        <f>IFERROR(__xludf.DUMMYFUNCTION("""COMPUTED_VALUE"""),"")</f>
        <v/>
      </c>
      <c r="W12077" s="16" t="str">
        <f>IFERROR(__xludf.DUMMYFUNCTION("""COMPUTED_VALUE"""),"")</f>
        <v/>
      </c>
      <c r="X12077" s="16" t="str">
        <f>IFERROR(__xludf.DUMMYFUNCTION("""COMPUTED_VALUE"""),"")</f>
        <v/>
      </c>
      <c r="AC12077" s="16" t="str">
        <f>IFERROR(__xludf.DUMMYFUNCTION("""COMPUTED_VALUE"""),"")</f>
        <v/>
      </c>
    </row>
    <row r="12078">
      <c r="A12078" s="16" t="s">
        <v>87</v>
      </c>
      <c r="E12078" s="16" t="str">
        <f>IFERROR(__xludf.DUMMYFUNCTION("""COMPUTED_VALUE"""),"")</f>
        <v/>
      </c>
      <c r="G12078" s="18"/>
      <c r="H12078" s="16" t="s">
        <v>87</v>
      </c>
      <c r="I12078" s="16" t="s">
        <v>87</v>
      </c>
      <c r="J12078" s="19"/>
      <c r="L12078" s="16" t="str">
        <f>IFERROR(__xludf.DUMMYFUNCTION("""COMPUTED_VALUE"""),"")</f>
        <v/>
      </c>
      <c r="M12078" s="16" t="str">
        <f>IFERROR(__xludf.DUMMYFUNCTION("""COMPUTED_VALUE"""),"")</f>
        <v/>
      </c>
      <c r="U12078" s="16" t="s">
        <v>87</v>
      </c>
      <c r="V12078" s="16" t="str">
        <f>IFERROR(__xludf.DUMMYFUNCTION("""COMPUTED_VALUE"""),"")</f>
        <v/>
      </c>
      <c r="W12078" s="16" t="str">
        <f>IFERROR(__xludf.DUMMYFUNCTION("""COMPUTED_VALUE"""),"")</f>
        <v/>
      </c>
      <c r="X12078" s="16" t="str">
        <f>IFERROR(__xludf.DUMMYFUNCTION("""COMPUTED_VALUE"""),"")</f>
        <v/>
      </c>
      <c r="AC12078" s="16" t="str">
        <f>IFERROR(__xludf.DUMMYFUNCTION("""COMPUTED_VALUE"""),"")</f>
        <v/>
      </c>
    </row>
    <row r="12079">
      <c r="A12079" s="16" t="s">
        <v>87</v>
      </c>
      <c r="E12079" s="16" t="str">
        <f>IFERROR(__xludf.DUMMYFUNCTION("""COMPUTED_VALUE"""),"")</f>
        <v/>
      </c>
      <c r="G12079" s="18"/>
      <c r="H12079" s="16" t="s">
        <v>87</v>
      </c>
      <c r="I12079" s="16" t="s">
        <v>87</v>
      </c>
      <c r="J12079" s="19"/>
      <c r="L12079" s="16" t="str">
        <f>IFERROR(__xludf.DUMMYFUNCTION("""COMPUTED_VALUE"""),"")</f>
        <v/>
      </c>
      <c r="M12079" s="16" t="str">
        <f>IFERROR(__xludf.DUMMYFUNCTION("""COMPUTED_VALUE"""),"")</f>
        <v/>
      </c>
      <c r="U12079" s="16" t="s">
        <v>87</v>
      </c>
      <c r="V12079" s="16" t="str">
        <f>IFERROR(__xludf.DUMMYFUNCTION("""COMPUTED_VALUE"""),"")</f>
        <v/>
      </c>
      <c r="W12079" s="16" t="str">
        <f>IFERROR(__xludf.DUMMYFUNCTION("""COMPUTED_VALUE"""),"")</f>
        <v/>
      </c>
      <c r="X12079" s="16" t="str">
        <f>IFERROR(__xludf.DUMMYFUNCTION("""COMPUTED_VALUE"""),"")</f>
        <v/>
      </c>
      <c r="AC12079" s="16" t="str">
        <f>IFERROR(__xludf.DUMMYFUNCTION("""COMPUTED_VALUE"""),"")</f>
        <v/>
      </c>
    </row>
    <row r="12080">
      <c r="A12080" s="16" t="s">
        <v>87</v>
      </c>
      <c r="E12080" s="16" t="str">
        <f>IFERROR(__xludf.DUMMYFUNCTION("""COMPUTED_VALUE"""),"")</f>
        <v/>
      </c>
      <c r="G12080" s="18"/>
      <c r="H12080" s="16" t="s">
        <v>87</v>
      </c>
      <c r="I12080" s="16" t="s">
        <v>87</v>
      </c>
      <c r="J12080" s="19"/>
      <c r="L12080" s="16" t="str">
        <f>IFERROR(__xludf.DUMMYFUNCTION("""COMPUTED_VALUE"""),"")</f>
        <v/>
      </c>
      <c r="M12080" s="16" t="str">
        <f>IFERROR(__xludf.DUMMYFUNCTION("""COMPUTED_VALUE"""),"")</f>
        <v/>
      </c>
      <c r="U12080" s="16" t="s">
        <v>87</v>
      </c>
      <c r="V12080" s="16" t="str">
        <f>IFERROR(__xludf.DUMMYFUNCTION("""COMPUTED_VALUE"""),"")</f>
        <v/>
      </c>
      <c r="W12080" s="16" t="str">
        <f>IFERROR(__xludf.DUMMYFUNCTION("""COMPUTED_VALUE"""),"")</f>
        <v/>
      </c>
      <c r="X12080" s="16" t="str">
        <f>IFERROR(__xludf.DUMMYFUNCTION("""COMPUTED_VALUE"""),"")</f>
        <v/>
      </c>
      <c r="AC12080" s="16" t="str">
        <f>IFERROR(__xludf.DUMMYFUNCTION("""COMPUTED_VALUE"""),"")</f>
        <v/>
      </c>
    </row>
    <row r="12081">
      <c r="A12081" s="16" t="s">
        <v>87</v>
      </c>
      <c r="E12081" s="16" t="str">
        <f>IFERROR(__xludf.DUMMYFUNCTION("""COMPUTED_VALUE"""),"")</f>
        <v/>
      </c>
      <c r="G12081" s="18"/>
      <c r="H12081" s="16" t="s">
        <v>87</v>
      </c>
      <c r="I12081" s="16" t="s">
        <v>87</v>
      </c>
      <c r="J12081" s="19"/>
      <c r="L12081" s="16" t="str">
        <f>IFERROR(__xludf.DUMMYFUNCTION("""COMPUTED_VALUE"""),"")</f>
        <v/>
      </c>
      <c r="M12081" s="16" t="str">
        <f>IFERROR(__xludf.DUMMYFUNCTION("""COMPUTED_VALUE"""),"")</f>
        <v/>
      </c>
      <c r="U12081" s="16" t="s">
        <v>87</v>
      </c>
      <c r="V12081" s="16" t="str">
        <f>IFERROR(__xludf.DUMMYFUNCTION("""COMPUTED_VALUE"""),"")</f>
        <v/>
      </c>
      <c r="W12081" s="16" t="str">
        <f>IFERROR(__xludf.DUMMYFUNCTION("""COMPUTED_VALUE"""),"")</f>
        <v/>
      </c>
      <c r="X12081" s="16" t="str">
        <f>IFERROR(__xludf.DUMMYFUNCTION("""COMPUTED_VALUE"""),"")</f>
        <v/>
      </c>
      <c r="AC12081" s="16" t="str">
        <f>IFERROR(__xludf.DUMMYFUNCTION("""COMPUTED_VALUE"""),"")</f>
        <v/>
      </c>
    </row>
    <row r="12082">
      <c r="A12082" s="16" t="s">
        <v>87</v>
      </c>
      <c r="E12082" s="16" t="str">
        <f>IFERROR(__xludf.DUMMYFUNCTION("""COMPUTED_VALUE"""),"")</f>
        <v/>
      </c>
      <c r="G12082" s="18"/>
      <c r="H12082" s="16" t="s">
        <v>87</v>
      </c>
      <c r="I12082" s="16" t="s">
        <v>87</v>
      </c>
      <c r="J12082" s="19"/>
      <c r="L12082" s="16" t="str">
        <f>IFERROR(__xludf.DUMMYFUNCTION("""COMPUTED_VALUE"""),"")</f>
        <v/>
      </c>
      <c r="M12082" s="16" t="str">
        <f>IFERROR(__xludf.DUMMYFUNCTION("""COMPUTED_VALUE"""),"")</f>
        <v/>
      </c>
      <c r="U12082" s="16" t="s">
        <v>87</v>
      </c>
      <c r="V12082" s="16" t="str">
        <f>IFERROR(__xludf.DUMMYFUNCTION("""COMPUTED_VALUE"""),"")</f>
        <v/>
      </c>
      <c r="W12082" s="16" t="str">
        <f>IFERROR(__xludf.DUMMYFUNCTION("""COMPUTED_VALUE"""),"")</f>
        <v/>
      </c>
      <c r="X12082" s="16" t="str">
        <f>IFERROR(__xludf.DUMMYFUNCTION("""COMPUTED_VALUE"""),"")</f>
        <v/>
      </c>
      <c r="AC12082" s="16" t="str">
        <f>IFERROR(__xludf.DUMMYFUNCTION("""COMPUTED_VALUE"""),"")</f>
        <v/>
      </c>
    </row>
    <row r="12083">
      <c r="A12083" s="16" t="s">
        <v>87</v>
      </c>
      <c r="E12083" s="16" t="str">
        <f>IFERROR(__xludf.DUMMYFUNCTION("""COMPUTED_VALUE"""),"")</f>
        <v/>
      </c>
      <c r="G12083" s="18"/>
      <c r="H12083" s="16" t="s">
        <v>87</v>
      </c>
      <c r="I12083" s="16" t="s">
        <v>87</v>
      </c>
      <c r="J12083" s="19"/>
      <c r="L12083" s="16" t="str">
        <f>IFERROR(__xludf.DUMMYFUNCTION("""COMPUTED_VALUE"""),"")</f>
        <v/>
      </c>
      <c r="M12083" s="16" t="str">
        <f>IFERROR(__xludf.DUMMYFUNCTION("""COMPUTED_VALUE"""),"")</f>
        <v/>
      </c>
      <c r="U12083" s="16" t="s">
        <v>87</v>
      </c>
      <c r="V12083" s="16" t="str">
        <f>IFERROR(__xludf.DUMMYFUNCTION("""COMPUTED_VALUE"""),"")</f>
        <v/>
      </c>
      <c r="W12083" s="16" t="str">
        <f>IFERROR(__xludf.DUMMYFUNCTION("""COMPUTED_VALUE"""),"")</f>
        <v/>
      </c>
      <c r="X12083" s="16" t="str">
        <f>IFERROR(__xludf.DUMMYFUNCTION("""COMPUTED_VALUE"""),"")</f>
        <v/>
      </c>
      <c r="AC12083" s="16" t="str">
        <f>IFERROR(__xludf.DUMMYFUNCTION("""COMPUTED_VALUE"""),"")</f>
        <v/>
      </c>
    </row>
    <row r="12084">
      <c r="A12084" s="16" t="s">
        <v>87</v>
      </c>
      <c r="E12084" s="16" t="str">
        <f>IFERROR(__xludf.DUMMYFUNCTION("""COMPUTED_VALUE"""),"")</f>
        <v/>
      </c>
      <c r="G12084" s="18"/>
      <c r="H12084" s="16" t="s">
        <v>87</v>
      </c>
      <c r="I12084" s="16" t="s">
        <v>87</v>
      </c>
      <c r="J12084" s="19"/>
      <c r="L12084" s="16" t="str">
        <f>IFERROR(__xludf.DUMMYFUNCTION("""COMPUTED_VALUE"""),"")</f>
        <v/>
      </c>
      <c r="M12084" s="16" t="str">
        <f>IFERROR(__xludf.DUMMYFUNCTION("""COMPUTED_VALUE"""),"")</f>
        <v/>
      </c>
      <c r="U12084" s="16" t="s">
        <v>87</v>
      </c>
      <c r="V12084" s="16" t="str">
        <f>IFERROR(__xludf.DUMMYFUNCTION("""COMPUTED_VALUE"""),"")</f>
        <v/>
      </c>
      <c r="W12084" s="16" t="str">
        <f>IFERROR(__xludf.DUMMYFUNCTION("""COMPUTED_VALUE"""),"")</f>
        <v/>
      </c>
      <c r="X12084" s="16" t="str">
        <f>IFERROR(__xludf.DUMMYFUNCTION("""COMPUTED_VALUE"""),"")</f>
        <v/>
      </c>
      <c r="AC12084" s="16" t="str">
        <f>IFERROR(__xludf.DUMMYFUNCTION("""COMPUTED_VALUE"""),"")</f>
        <v/>
      </c>
    </row>
    <row r="12085">
      <c r="A12085" s="16" t="s">
        <v>87</v>
      </c>
      <c r="E12085" s="16" t="str">
        <f>IFERROR(__xludf.DUMMYFUNCTION("""COMPUTED_VALUE"""),"")</f>
        <v/>
      </c>
      <c r="G12085" s="18"/>
      <c r="H12085" s="16" t="s">
        <v>87</v>
      </c>
      <c r="I12085" s="16" t="s">
        <v>87</v>
      </c>
      <c r="J12085" s="19"/>
      <c r="L12085" s="16" t="str">
        <f>IFERROR(__xludf.DUMMYFUNCTION("""COMPUTED_VALUE"""),"")</f>
        <v/>
      </c>
      <c r="M12085" s="16" t="str">
        <f>IFERROR(__xludf.DUMMYFUNCTION("""COMPUTED_VALUE"""),"")</f>
        <v/>
      </c>
      <c r="U12085" s="16" t="s">
        <v>87</v>
      </c>
      <c r="V12085" s="16" t="str">
        <f>IFERROR(__xludf.DUMMYFUNCTION("""COMPUTED_VALUE"""),"")</f>
        <v/>
      </c>
      <c r="W12085" s="16" t="str">
        <f>IFERROR(__xludf.DUMMYFUNCTION("""COMPUTED_VALUE"""),"")</f>
        <v/>
      </c>
      <c r="X12085" s="16" t="str">
        <f>IFERROR(__xludf.DUMMYFUNCTION("""COMPUTED_VALUE"""),"")</f>
        <v/>
      </c>
      <c r="AC12085" s="16" t="str">
        <f>IFERROR(__xludf.DUMMYFUNCTION("""COMPUTED_VALUE"""),"")</f>
        <v/>
      </c>
    </row>
    <row r="12086">
      <c r="A12086" s="16" t="s">
        <v>87</v>
      </c>
      <c r="E12086" s="16" t="str">
        <f>IFERROR(__xludf.DUMMYFUNCTION("""COMPUTED_VALUE"""),"")</f>
        <v/>
      </c>
      <c r="G12086" s="18"/>
      <c r="H12086" s="16" t="s">
        <v>87</v>
      </c>
      <c r="I12086" s="16" t="s">
        <v>87</v>
      </c>
      <c r="J12086" s="19"/>
      <c r="L12086" s="16" t="str">
        <f>IFERROR(__xludf.DUMMYFUNCTION("""COMPUTED_VALUE"""),"")</f>
        <v/>
      </c>
      <c r="M12086" s="16" t="str">
        <f>IFERROR(__xludf.DUMMYFUNCTION("""COMPUTED_VALUE"""),"")</f>
        <v/>
      </c>
      <c r="U12086" s="16" t="s">
        <v>87</v>
      </c>
      <c r="V12086" s="16" t="str">
        <f>IFERROR(__xludf.DUMMYFUNCTION("""COMPUTED_VALUE"""),"")</f>
        <v/>
      </c>
      <c r="W12086" s="16" t="str">
        <f>IFERROR(__xludf.DUMMYFUNCTION("""COMPUTED_VALUE"""),"")</f>
        <v/>
      </c>
      <c r="X12086" s="16" t="str">
        <f>IFERROR(__xludf.DUMMYFUNCTION("""COMPUTED_VALUE"""),"")</f>
        <v/>
      </c>
      <c r="AC12086" s="16" t="str">
        <f>IFERROR(__xludf.DUMMYFUNCTION("""COMPUTED_VALUE"""),"")</f>
        <v/>
      </c>
    </row>
    <row r="12087">
      <c r="A12087" s="16" t="s">
        <v>87</v>
      </c>
      <c r="E12087" s="16" t="str">
        <f>IFERROR(__xludf.DUMMYFUNCTION("""COMPUTED_VALUE"""),"")</f>
        <v/>
      </c>
      <c r="G12087" s="18"/>
      <c r="H12087" s="16" t="s">
        <v>87</v>
      </c>
      <c r="I12087" s="16" t="s">
        <v>87</v>
      </c>
      <c r="J12087" s="19"/>
      <c r="L12087" s="16" t="str">
        <f>IFERROR(__xludf.DUMMYFUNCTION("""COMPUTED_VALUE"""),"")</f>
        <v/>
      </c>
      <c r="M12087" s="16" t="str">
        <f>IFERROR(__xludf.DUMMYFUNCTION("""COMPUTED_VALUE"""),"")</f>
        <v/>
      </c>
      <c r="U12087" s="16" t="s">
        <v>87</v>
      </c>
      <c r="V12087" s="16" t="str">
        <f>IFERROR(__xludf.DUMMYFUNCTION("""COMPUTED_VALUE"""),"")</f>
        <v/>
      </c>
      <c r="W12087" s="16" t="str">
        <f>IFERROR(__xludf.DUMMYFUNCTION("""COMPUTED_VALUE"""),"")</f>
        <v/>
      </c>
      <c r="X12087" s="16" t="str">
        <f>IFERROR(__xludf.DUMMYFUNCTION("""COMPUTED_VALUE"""),"")</f>
        <v/>
      </c>
      <c r="AC12087" s="16" t="str">
        <f>IFERROR(__xludf.DUMMYFUNCTION("""COMPUTED_VALUE"""),"")</f>
        <v/>
      </c>
    </row>
    <row r="12088">
      <c r="A12088" s="16" t="s">
        <v>87</v>
      </c>
      <c r="E12088" s="16" t="str">
        <f>IFERROR(__xludf.DUMMYFUNCTION("""COMPUTED_VALUE"""),"")</f>
        <v/>
      </c>
      <c r="G12088" s="18"/>
      <c r="H12088" s="16" t="s">
        <v>87</v>
      </c>
      <c r="I12088" s="16" t="s">
        <v>87</v>
      </c>
      <c r="J12088" s="19"/>
      <c r="L12088" s="16" t="str">
        <f>IFERROR(__xludf.DUMMYFUNCTION("""COMPUTED_VALUE"""),"")</f>
        <v/>
      </c>
      <c r="M12088" s="16" t="str">
        <f>IFERROR(__xludf.DUMMYFUNCTION("""COMPUTED_VALUE"""),"")</f>
        <v/>
      </c>
      <c r="U12088" s="16" t="s">
        <v>87</v>
      </c>
      <c r="V12088" s="16" t="str">
        <f>IFERROR(__xludf.DUMMYFUNCTION("""COMPUTED_VALUE"""),"")</f>
        <v/>
      </c>
      <c r="W12088" s="16" t="str">
        <f>IFERROR(__xludf.DUMMYFUNCTION("""COMPUTED_VALUE"""),"")</f>
        <v/>
      </c>
      <c r="X12088" s="16" t="str">
        <f>IFERROR(__xludf.DUMMYFUNCTION("""COMPUTED_VALUE"""),"")</f>
        <v/>
      </c>
      <c r="AC12088" s="16" t="str">
        <f>IFERROR(__xludf.DUMMYFUNCTION("""COMPUTED_VALUE"""),"")</f>
        <v/>
      </c>
    </row>
    <row r="12089">
      <c r="A12089" s="16" t="s">
        <v>87</v>
      </c>
      <c r="E12089" s="16" t="str">
        <f>IFERROR(__xludf.DUMMYFUNCTION("""COMPUTED_VALUE"""),"")</f>
        <v/>
      </c>
      <c r="G12089" s="18"/>
      <c r="H12089" s="16" t="s">
        <v>87</v>
      </c>
      <c r="I12089" s="16" t="s">
        <v>87</v>
      </c>
      <c r="J12089" s="19"/>
      <c r="L12089" s="16" t="str">
        <f>IFERROR(__xludf.DUMMYFUNCTION("""COMPUTED_VALUE"""),"")</f>
        <v/>
      </c>
      <c r="M12089" s="16" t="str">
        <f>IFERROR(__xludf.DUMMYFUNCTION("""COMPUTED_VALUE"""),"")</f>
        <v/>
      </c>
      <c r="U12089" s="16" t="s">
        <v>87</v>
      </c>
      <c r="V12089" s="16" t="str">
        <f>IFERROR(__xludf.DUMMYFUNCTION("""COMPUTED_VALUE"""),"")</f>
        <v/>
      </c>
      <c r="W12089" s="16" t="str">
        <f>IFERROR(__xludf.DUMMYFUNCTION("""COMPUTED_VALUE"""),"")</f>
        <v/>
      </c>
      <c r="X12089" s="16" t="str">
        <f>IFERROR(__xludf.DUMMYFUNCTION("""COMPUTED_VALUE"""),"")</f>
        <v/>
      </c>
      <c r="AC12089" s="16" t="str">
        <f>IFERROR(__xludf.DUMMYFUNCTION("""COMPUTED_VALUE"""),"")</f>
        <v/>
      </c>
    </row>
    <row r="12090">
      <c r="A12090" s="16" t="s">
        <v>87</v>
      </c>
      <c r="E12090" s="16" t="str">
        <f>IFERROR(__xludf.DUMMYFUNCTION("""COMPUTED_VALUE"""),"")</f>
        <v/>
      </c>
      <c r="G12090" s="18"/>
      <c r="H12090" s="16" t="s">
        <v>87</v>
      </c>
      <c r="I12090" s="16" t="s">
        <v>87</v>
      </c>
      <c r="J12090" s="19"/>
      <c r="L12090" s="16" t="str">
        <f>IFERROR(__xludf.DUMMYFUNCTION("""COMPUTED_VALUE"""),"")</f>
        <v/>
      </c>
      <c r="M12090" s="16" t="str">
        <f>IFERROR(__xludf.DUMMYFUNCTION("""COMPUTED_VALUE"""),"")</f>
        <v/>
      </c>
      <c r="U12090" s="16" t="s">
        <v>87</v>
      </c>
      <c r="V12090" s="16" t="str">
        <f>IFERROR(__xludf.DUMMYFUNCTION("""COMPUTED_VALUE"""),"")</f>
        <v/>
      </c>
      <c r="W12090" s="16" t="str">
        <f>IFERROR(__xludf.DUMMYFUNCTION("""COMPUTED_VALUE"""),"")</f>
        <v/>
      </c>
      <c r="X12090" s="16" t="str">
        <f>IFERROR(__xludf.DUMMYFUNCTION("""COMPUTED_VALUE"""),"")</f>
        <v/>
      </c>
      <c r="AC12090" s="16" t="str">
        <f>IFERROR(__xludf.DUMMYFUNCTION("""COMPUTED_VALUE"""),"")</f>
        <v/>
      </c>
    </row>
    <row r="12091">
      <c r="A12091" s="16" t="s">
        <v>87</v>
      </c>
      <c r="E12091" s="16" t="str">
        <f>IFERROR(__xludf.DUMMYFUNCTION("""COMPUTED_VALUE"""),"")</f>
        <v/>
      </c>
      <c r="G12091" s="18"/>
      <c r="H12091" s="16" t="s">
        <v>87</v>
      </c>
      <c r="I12091" s="16" t="s">
        <v>87</v>
      </c>
      <c r="J12091" s="19"/>
      <c r="L12091" s="16" t="str">
        <f>IFERROR(__xludf.DUMMYFUNCTION("""COMPUTED_VALUE"""),"")</f>
        <v/>
      </c>
      <c r="M12091" s="16" t="str">
        <f>IFERROR(__xludf.DUMMYFUNCTION("""COMPUTED_VALUE"""),"")</f>
        <v/>
      </c>
      <c r="U12091" s="16" t="s">
        <v>87</v>
      </c>
      <c r="V12091" s="16" t="str">
        <f>IFERROR(__xludf.DUMMYFUNCTION("""COMPUTED_VALUE"""),"")</f>
        <v/>
      </c>
      <c r="W12091" s="16" t="str">
        <f>IFERROR(__xludf.DUMMYFUNCTION("""COMPUTED_VALUE"""),"")</f>
        <v/>
      </c>
      <c r="X12091" s="16" t="str">
        <f>IFERROR(__xludf.DUMMYFUNCTION("""COMPUTED_VALUE"""),"")</f>
        <v/>
      </c>
      <c r="AC12091" s="16" t="str">
        <f>IFERROR(__xludf.DUMMYFUNCTION("""COMPUTED_VALUE"""),"")</f>
        <v/>
      </c>
    </row>
    <row r="12092">
      <c r="A12092" s="16" t="s">
        <v>87</v>
      </c>
      <c r="E12092" s="16" t="str">
        <f>IFERROR(__xludf.DUMMYFUNCTION("""COMPUTED_VALUE"""),"")</f>
        <v/>
      </c>
      <c r="G12092" s="18"/>
      <c r="H12092" s="16" t="s">
        <v>87</v>
      </c>
      <c r="I12092" s="16" t="s">
        <v>87</v>
      </c>
      <c r="J12092" s="19"/>
      <c r="L12092" s="16" t="str">
        <f>IFERROR(__xludf.DUMMYFUNCTION("""COMPUTED_VALUE"""),"")</f>
        <v/>
      </c>
      <c r="M12092" s="16" t="str">
        <f>IFERROR(__xludf.DUMMYFUNCTION("""COMPUTED_VALUE"""),"")</f>
        <v/>
      </c>
      <c r="U12092" s="16" t="s">
        <v>87</v>
      </c>
      <c r="V12092" s="16" t="str">
        <f>IFERROR(__xludf.DUMMYFUNCTION("""COMPUTED_VALUE"""),"")</f>
        <v/>
      </c>
      <c r="W12092" s="16" t="str">
        <f>IFERROR(__xludf.DUMMYFUNCTION("""COMPUTED_VALUE"""),"")</f>
        <v/>
      </c>
      <c r="X12092" s="16" t="str">
        <f>IFERROR(__xludf.DUMMYFUNCTION("""COMPUTED_VALUE"""),"")</f>
        <v/>
      </c>
      <c r="AC12092" s="16" t="str">
        <f>IFERROR(__xludf.DUMMYFUNCTION("""COMPUTED_VALUE"""),"")</f>
        <v/>
      </c>
    </row>
    <row r="12093">
      <c r="A12093" s="16" t="s">
        <v>87</v>
      </c>
      <c r="E12093" s="16" t="str">
        <f>IFERROR(__xludf.DUMMYFUNCTION("""COMPUTED_VALUE"""),"")</f>
        <v/>
      </c>
      <c r="G12093" s="18"/>
      <c r="H12093" s="16" t="s">
        <v>87</v>
      </c>
      <c r="I12093" s="16" t="s">
        <v>87</v>
      </c>
      <c r="J12093" s="19"/>
      <c r="L12093" s="16" t="str">
        <f>IFERROR(__xludf.DUMMYFUNCTION("""COMPUTED_VALUE"""),"")</f>
        <v/>
      </c>
      <c r="M12093" s="16" t="str">
        <f>IFERROR(__xludf.DUMMYFUNCTION("""COMPUTED_VALUE"""),"")</f>
        <v/>
      </c>
      <c r="U12093" s="16" t="s">
        <v>87</v>
      </c>
      <c r="V12093" s="16" t="str">
        <f>IFERROR(__xludf.DUMMYFUNCTION("""COMPUTED_VALUE"""),"")</f>
        <v/>
      </c>
      <c r="W12093" s="16" t="str">
        <f>IFERROR(__xludf.DUMMYFUNCTION("""COMPUTED_VALUE"""),"")</f>
        <v/>
      </c>
      <c r="X12093" s="16" t="str">
        <f>IFERROR(__xludf.DUMMYFUNCTION("""COMPUTED_VALUE"""),"")</f>
        <v/>
      </c>
      <c r="AC12093" s="16" t="str">
        <f>IFERROR(__xludf.DUMMYFUNCTION("""COMPUTED_VALUE"""),"")</f>
        <v/>
      </c>
    </row>
    <row r="12094">
      <c r="A12094" s="16" t="s">
        <v>87</v>
      </c>
      <c r="E12094" s="16" t="str">
        <f>IFERROR(__xludf.DUMMYFUNCTION("""COMPUTED_VALUE"""),"")</f>
        <v/>
      </c>
      <c r="G12094" s="18"/>
      <c r="H12094" s="16" t="s">
        <v>87</v>
      </c>
      <c r="I12094" s="16" t="s">
        <v>87</v>
      </c>
      <c r="J12094" s="19"/>
      <c r="L12094" s="16" t="str">
        <f>IFERROR(__xludf.DUMMYFUNCTION("""COMPUTED_VALUE"""),"")</f>
        <v/>
      </c>
      <c r="M12094" s="16" t="str">
        <f>IFERROR(__xludf.DUMMYFUNCTION("""COMPUTED_VALUE"""),"")</f>
        <v/>
      </c>
      <c r="U12094" s="16" t="s">
        <v>87</v>
      </c>
      <c r="V12094" s="16" t="str">
        <f>IFERROR(__xludf.DUMMYFUNCTION("""COMPUTED_VALUE"""),"")</f>
        <v/>
      </c>
      <c r="W12094" s="16" t="str">
        <f>IFERROR(__xludf.DUMMYFUNCTION("""COMPUTED_VALUE"""),"")</f>
        <v/>
      </c>
      <c r="X12094" s="16" t="str">
        <f>IFERROR(__xludf.DUMMYFUNCTION("""COMPUTED_VALUE"""),"")</f>
        <v/>
      </c>
      <c r="AC12094" s="16" t="str">
        <f>IFERROR(__xludf.DUMMYFUNCTION("""COMPUTED_VALUE"""),"")</f>
        <v/>
      </c>
    </row>
    <row r="12095">
      <c r="A12095" s="16" t="s">
        <v>87</v>
      </c>
      <c r="E12095" s="16" t="str">
        <f>IFERROR(__xludf.DUMMYFUNCTION("""COMPUTED_VALUE"""),"")</f>
        <v/>
      </c>
      <c r="G12095" s="18"/>
      <c r="H12095" s="16" t="s">
        <v>87</v>
      </c>
      <c r="I12095" s="16" t="s">
        <v>87</v>
      </c>
      <c r="J12095" s="19"/>
      <c r="L12095" s="16" t="str">
        <f>IFERROR(__xludf.DUMMYFUNCTION("""COMPUTED_VALUE"""),"")</f>
        <v/>
      </c>
      <c r="M12095" s="16" t="str">
        <f>IFERROR(__xludf.DUMMYFUNCTION("""COMPUTED_VALUE"""),"")</f>
        <v/>
      </c>
      <c r="U12095" s="16" t="s">
        <v>87</v>
      </c>
      <c r="V12095" s="16" t="str">
        <f>IFERROR(__xludf.DUMMYFUNCTION("""COMPUTED_VALUE"""),"")</f>
        <v/>
      </c>
      <c r="W12095" s="16" t="str">
        <f>IFERROR(__xludf.DUMMYFUNCTION("""COMPUTED_VALUE"""),"")</f>
        <v/>
      </c>
      <c r="X12095" s="16" t="str">
        <f>IFERROR(__xludf.DUMMYFUNCTION("""COMPUTED_VALUE"""),"")</f>
        <v/>
      </c>
      <c r="AC12095" s="16" t="str">
        <f>IFERROR(__xludf.DUMMYFUNCTION("""COMPUTED_VALUE"""),"")</f>
        <v/>
      </c>
    </row>
    <row r="12096">
      <c r="A12096" s="16" t="s">
        <v>87</v>
      </c>
      <c r="E12096" s="16" t="str">
        <f>IFERROR(__xludf.DUMMYFUNCTION("""COMPUTED_VALUE"""),"")</f>
        <v/>
      </c>
      <c r="G12096" s="18"/>
      <c r="H12096" s="16" t="s">
        <v>87</v>
      </c>
      <c r="I12096" s="16" t="s">
        <v>87</v>
      </c>
      <c r="J12096" s="19"/>
      <c r="L12096" s="16" t="str">
        <f>IFERROR(__xludf.DUMMYFUNCTION("""COMPUTED_VALUE"""),"")</f>
        <v/>
      </c>
      <c r="M12096" s="16" t="str">
        <f>IFERROR(__xludf.DUMMYFUNCTION("""COMPUTED_VALUE"""),"")</f>
        <v/>
      </c>
      <c r="U12096" s="16" t="s">
        <v>87</v>
      </c>
      <c r="V12096" s="16" t="str">
        <f>IFERROR(__xludf.DUMMYFUNCTION("""COMPUTED_VALUE"""),"")</f>
        <v/>
      </c>
      <c r="W12096" s="16" t="str">
        <f>IFERROR(__xludf.DUMMYFUNCTION("""COMPUTED_VALUE"""),"")</f>
        <v/>
      </c>
      <c r="X12096" s="16" t="str">
        <f>IFERROR(__xludf.DUMMYFUNCTION("""COMPUTED_VALUE"""),"")</f>
        <v/>
      </c>
      <c r="AC12096" s="16" t="str">
        <f>IFERROR(__xludf.DUMMYFUNCTION("""COMPUTED_VALUE"""),"")</f>
        <v/>
      </c>
    </row>
    <row r="12097">
      <c r="A12097" s="16" t="s">
        <v>87</v>
      </c>
      <c r="E12097" s="16" t="str">
        <f>IFERROR(__xludf.DUMMYFUNCTION("""COMPUTED_VALUE"""),"")</f>
        <v/>
      </c>
      <c r="G12097" s="18"/>
      <c r="H12097" s="16" t="s">
        <v>87</v>
      </c>
      <c r="I12097" s="16" t="s">
        <v>87</v>
      </c>
      <c r="J12097" s="19"/>
      <c r="L12097" s="16" t="str">
        <f>IFERROR(__xludf.DUMMYFUNCTION("""COMPUTED_VALUE"""),"")</f>
        <v/>
      </c>
      <c r="M12097" s="16" t="str">
        <f>IFERROR(__xludf.DUMMYFUNCTION("""COMPUTED_VALUE"""),"")</f>
        <v/>
      </c>
      <c r="U12097" s="16" t="s">
        <v>87</v>
      </c>
      <c r="V12097" s="16" t="str">
        <f>IFERROR(__xludf.DUMMYFUNCTION("""COMPUTED_VALUE"""),"")</f>
        <v/>
      </c>
      <c r="W12097" s="16" t="str">
        <f>IFERROR(__xludf.DUMMYFUNCTION("""COMPUTED_VALUE"""),"")</f>
        <v/>
      </c>
      <c r="X12097" s="16" t="str">
        <f>IFERROR(__xludf.DUMMYFUNCTION("""COMPUTED_VALUE"""),"")</f>
        <v/>
      </c>
      <c r="AC12097" s="16" t="str">
        <f>IFERROR(__xludf.DUMMYFUNCTION("""COMPUTED_VALUE"""),"")</f>
        <v/>
      </c>
    </row>
    <row r="12098">
      <c r="A12098" s="16" t="s">
        <v>87</v>
      </c>
      <c r="E12098" s="16" t="str">
        <f>IFERROR(__xludf.DUMMYFUNCTION("""COMPUTED_VALUE"""),"")</f>
        <v/>
      </c>
      <c r="G12098" s="18"/>
      <c r="H12098" s="16" t="s">
        <v>87</v>
      </c>
      <c r="I12098" s="16" t="s">
        <v>87</v>
      </c>
      <c r="J12098" s="19"/>
      <c r="L12098" s="16" t="str">
        <f>IFERROR(__xludf.DUMMYFUNCTION("""COMPUTED_VALUE"""),"")</f>
        <v/>
      </c>
      <c r="M12098" s="16" t="str">
        <f>IFERROR(__xludf.DUMMYFUNCTION("""COMPUTED_VALUE"""),"")</f>
        <v/>
      </c>
      <c r="U12098" s="16" t="s">
        <v>87</v>
      </c>
      <c r="V12098" s="16" t="str">
        <f>IFERROR(__xludf.DUMMYFUNCTION("""COMPUTED_VALUE"""),"")</f>
        <v/>
      </c>
      <c r="W12098" s="16" t="str">
        <f>IFERROR(__xludf.DUMMYFUNCTION("""COMPUTED_VALUE"""),"")</f>
        <v/>
      </c>
      <c r="X12098" s="16" t="str">
        <f>IFERROR(__xludf.DUMMYFUNCTION("""COMPUTED_VALUE"""),"")</f>
        <v/>
      </c>
      <c r="AC12098" s="16" t="str">
        <f>IFERROR(__xludf.DUMMYFUNCTION("""COMPUTED_VALUE"""),"")</f>
        <v/>
      </c>
    </row>
    <row r="12099">
      <c r="A12099" s="16" t="s">
        <v>87</v>
      </c>
      <c r="E12099" s="16" t="str">
        <f>IFERROR(__xludf.DUMMYFUNCTION("""COMPUTED_VALUE"""),"")</f>
        <v/>
      </c>
      <c r="G12099" s="18"/>
      <c r="H12099" s="16" t="s">
        <v>87</v>
      </c>
      <c r="I12099" s="16" t="s">
        <v>87</v>
      </c>
      <c r="J12099" s="19"/>
      <c r="L12099" s="16" t="str">
        <f>IFERROR(__xludf.DUMMYFUNCTION("""COMPUTED_VALUE"""),"")</f>
        <v/>
      </c>
      <c r="M12099" s="16" t="str">
        <f>IFERROR(__xludf.DUMMYFUNCTION("""COMPUTED_VALUE"""),"")</f>
        <v/>
      </c>
      <c r="U12099" s="16" t="s">
        <v>87</v>
      </c>
      <c r="V12099" s="16" t="str">
        <f>IFERROR(__xludf.DUMMYFUNCTION("""COMPUTED_VALUE"""),"")</f>
        <v/>
      </c>
      <c r="W12099" s="16" t="str">
        <f>IFERROR(__xludf.DUMMYFUNCTION("""COMPUTED_VALUE"""),"")</f>
        <v/>
      </c>
      <c r="X12099" s="16" t="str">
        <f>IFERROR(__xludf.DUMMYFUNCTION("""COMPUTED_VALUE"""),"")</f>
        <v/>
      </c>
      <c r="AC12099" s="16" t="str">
        <f>IFERROR(__xludf.DUMMYFUNCTION("""COMPUTED_VALUE"""),"")</f>
        <v/>
      </c>
    </row>
    <row r="12100">
      <c r="A12100" s="16" t="s">
        <v>87</v>
      </c>
      <c r="E12100" s="16" t="str">
        <f>IFERROR(__xludf.DUMMYFUNCTION("""COMPUTED_VALUE"""),"")</f>
        <v/>
      </c>
      <c r="G12100" s="18"/>
      <c r="H12100" s="16" t="s">
        <v>87</v>
      </c>
      <c r="I12100" s="16" t="s">
        <v>87</v>
      </c>
      <c r="J12100" s="19"/>
      <c r="L12100" s="16" t="str">
        <f>IFERROR(__xludf.DUMMYFUNCTION("""COMPUTED_VALUE"""),"")</f>
        <v/>
      </c>
      <c r="M12100" s="16" t="str">
        <f>IFERROR(__xludf.DUMMYFUNCTION("""COMPUTED_VALUE"""),"")</f>
        <v/>
      </c>
      <c r="U12100" s="16" t="s">
        <v>87</v>
      </c>
      <c r="V12100" s="16" t="str">
        <f>IFERROR(__xludf.DUMMYFUNCTION("""COMPUTED_VALUE"""),"")</f>
        <v/>
      </c>
      <c r="W12100" s="16" t="str">
        <f>IFERROR(__xludf.DUMMYFUNCTION("""COMPUTED_VALUE"""),"")</f>
        <v/>
      </c>
      <c r="X12100" s="16" t="str">
        <f>IFERROR(__xludf.DUMMYFUNCTION("""COMPUTED_VALUE"""),"")</f>
        <v/>
      </c>
      <c r="AC12100" s="16" t="str">
        <f>IFERROR(__xludf.DUMMYFUNCTION("""COMPUTED_VALUE"""),"")</f>
        <v/>
      </c>
    </row>
    <row r="12101">
      <c r="A12101" s="16" t="s">
        <v>87</v>
      </c>
      <c r="E12101" s="16" t="str">
        <f>IFERROR(__xludf.DUMMYFUNCTION("""COMPUTED_VALUE"""),"")</f>
        <v/>
      </c>
      <c r="G12101" s="18"/>
      <c r="H12101" s="16" t="s">
        <v>87</v>
      </c>
      <c r="I12101" s="16" t="s">
        <v>87</v>
      </c>
      <c r="J12101" s="19"/>
      <c r="L12101" s="16" t="str">
        <f>IFERROR(__xludf.DUMMYFUNCTION("""COMPUTED_VALUE"""),"")</f>
        <v/>
      </c>
      <c r="M12101" s="16" t="str">
        <f>IFERROR(__xludf.DUMMYFUNCTION("""COMPUTED_VALUE"""),"")</f>
        <v/>
      </c>
      <c r="U12101" s="16" t="s">
        <v>87</v>
      </c>
      <c r="V12101" s="16" t="str">
        <f>IFERROR(__xludf.DUMMYFUNCTION("""COMPUTED_VALUE"""),"")</f>
        <v/>
      </c>
      <c r="W12101" s="16" t="str">
        <f>IFERROR(__xludf.DUMMYFUNCTION("""COMPUTED_VALUE"""),"")</f>
        <v/>
      </c>
      <c r="X12101" s="16" t="str">
        <f>IFERROR(__xludf.DUMMYFUNCTION("""COMPUTED_VALUE"""),"")</f>
        <v/>
      </c>
      <c r="AC12101" s="16" t="str">
        <f>IFERROR(__xludf.DUMMYFUNCTION("""COMPUTED_VALUE"""),"")</f>
        <v/>
      </c>
    </row>
    <row r="12102">
      <c r="A12102" s="16" t="s">
        <v>87</v>
      </c>
      <c r="E12102" s="16" t="str">
        <f>IFERROR(__xludf.DUMMYFUNCTION("""COMPUTED_VALUE"""),"")</f>
        <v/>
      </c>
      <c r="G12102" s="18"/>
      <c r="H12102" s="16" t="s">
        <v>87</v>
      </c>
      <c r="I12102" s="16" t="s">
        <v>87</v>
      </c>
      <c r="J12102" s="19"/>
      <c r="L12102" s="16" t="str">
        <f>IFERROR(__xludf.DUMMYFUNCTION("""COMPUTED_VALUE"""),"")</f>
        <v/>
      </c>
      <c r="M12102" s="16" t="str">
        <f>IFERROR(__xludf.DUMMYFUNCTION("""COMPUTED_VALUE"""),"")</f>
        <v/>
      </c>
      <c r="U12102" s="16" t="s">
        <v>87</v>
      </c>
      <c r="V12102" s="16" t="str">
        <f>IFERROR(__xludf.DUMMYFUNCTION("""COMPUTED_VALUE"""),"")</f>
        <v/>
      </c>
      <c r="W12102" s="16" t="str">
        <f>IFERROR(__xludf.DUMMYFUNCTION("""COMPUTED_VALUE"""),"")</f>
        <v/>
      </c>
      <c r="X12102" s="16" t="str">
        <f>IFERROR(__xludf.DUMMYFUNCTION("""COMPUTED_VALUE"""),"")</f>
        <v/>
      </c>
      <c r="AC12102" s="16" t="str">
        <f>IFERROR(__xludf.DUMMYFUNCTION("""COMPUTED_VALUE"""),"")</f>
        <v/>
      </c>
    </row>
    <row r="12103">
      <c r="A12103" s="16" t="s">
        <v>87</v>
      </c>
      <c r="E12103" s="16" t="str">
        <f>IFERROR(__xludf.DUMMYFUNCTION("""COMPUTED_VALUE"""),"")</f>
        <v/>
      </c>
      <c r="G12103" s="18"/>
      <c r="H12103" s="16" t="s">
        <v>87</v>
      </c>
      <c r="I12103" s="16" t="s">
        <v>87</v>
      </c>
      <c r="J12103" s="19"/>
      <c r="L12103" s="16" t="str">
        <f>IFERROR(__xludf.DUMMYFUNCTION("""COMPUTED_VALUE"""),"")</f>
        <v/>
      </c>
      <c r="M12103" s="16" t="str">
        <f>IFERROR(__xludf.DUMMYFUNCTION("""COMPUTED_VALUE"""),"")</f>
        <v/>
      </c>
      <c r="U12103" s="16" t="s">
        <v>87</v>
      </c>
      <c r="V12103" s="16" t="str">
        <f>IFERROR(__xludf.DUMMYFUNCTION("""COMPUTED_VALUE"""),"")</f>
        <v/>
      </c>
      <c r="W12103" s="16" t="str">
        <f>IFERROR(__xludf.DUMMYFUNCTION("""COMPUTED_VALUE"""),"")</f>
        <v/>
      </c>
      <c r="X12103" s="16" t="str">
        <f>IFERROR(__xludf.DUMMYFUNCTION("""COMPUTED_VALUE"""),"")</f>
        <v/>
      </c>
      <c r="AC12103" s="16" t="str">
        <f>IFERROR(__xludf.DUMMYFUNCTION("""COMPUTED_VALUE"""),"")</f>
        <v/>
      </c>
    </row>
    <row r="12104">
      <c r="A12104" s="16" t="s">
        <v>87</v>
      </c>
      <c r="E12104" s="16" t="str">
        <f>IFERROR(__xludf.DUMMYFUNCTION("""COMPUTED_VALUE"""),"")</f>
        <v/>
      </c>
      <c r="G12104" s="18"/>
      <c r="H12104" s="16" t="s">
        <v>87</v>
      </c>
      <c r="I12104" s="16" t="s">
        <v>87</v>
      </c>
      <c r="J12104" s="19"/>
      <c r="L12104" s="16" t="str">
        <f>IFERROR(__xludf.DUMMYFUNCTION("""COMPUTED_VALUE"""),"")</f>
        <v/>
      </c>
      <c r="M12104" s="16" t="str">
        <f>IFERROR(__xludf.DUMMYFUNCTION("""COMPUTED_VALUE"""),"")</f>
        <v/>
      </c>
      <c r="U12104" s="16" t="s">
        <v>87</v>
      </c>
      <c r="V12104" s="16" t="str">
        <f>IFERROR(__xludf.DUMMYFUNCTION("""COMPUTED_VALUE"""),"")</f>
        <v/>
      </c>
      <c r="W12104" s="16" t="str">
        <f>IFERROR(__xludf.DUMMYFUNCTION("""COMPUTED_VALUE"""),"")</f>
        <v/>
      </c>
      <c r="X12104" s="16" t="str">
        <f>IFERROR(__xludf.DUMMYFUNCTION("""COMPUTED_VALUE"""),"")</f>
        <v/>
      </c>
      <c r="AC12104" s="16" t="str">
        <f>IFERROR(__xludf.DUMMYFUNCTION("""COMPUTED_VALUE"""),"")</f>
        <v/>
      </c>
    </row>
    <row r="12105">
      <c r="A12105" s="16" t="s">
        <v>87</v>
      </c>
      <c r="E12105" s="16" t="str">
        <f>IFERROR(__xludf.DUMMYFUNCTION("""COMPUTED_VALUE"""),"")</f>
        <v/>
      </c>
      <c r="G12105" s="18"/>
      <c r="H12105" s="16" t="s">
        <v>87</v>
      </c>
      <c r="I12105" s="16" t="s">
        <v>87</v>
      </c>
      <c r="J12105" s="19"/>
      <c r="L12105" s="16" t="str">
        <f>IFERROR(__xludf.DUMMYFUNCTION("""COMPUTED_VALUE"""),"")</f>
        <v/>
      </c>
      <c r="M12105" s="16" t="str">
        <f>IFERROR(__xludf.DUMMYFUNCTION("""COMPUTED_VALUE"""),"")</f>
        <v/>
      </c>
      <c r="U12105" s="16" t="s">
        <v>87</v>
      </c>
      <c r="V12105" s="16" t="str">
        <f>IFERROR(__xludf.DUMMYFUNCTION("""COMPUTED_VALUE"""),"")</f>
        <v/>
      </c>
      <c r="W12105" s="16" t="str">
        <f>IFERROR(__xludf.DUMMYFUNCTION("""COMPUTED_VALUE"""),"")</f>
        <v/>
      </c>
      <c r="X12105" s="16" t="str">
        <f>IFERROR(__xludf.DUMMYFUNCTION("""COMPUTED_VALUE"""),"")</f>
        <v/>
      </c>
      <c r="AC12105" s="16" t="str">
        <f>IFERROR(__xludf.DUMMYFUNCTION("""COMPUTED_VALUE"""),"")</f>
        <v/>
      </c>
    </row>
    <row r="12106">
      <c r="A12106" s="16" t="s">
        <v>87</v>
      </c>
      <c r="E12106" s="16" t="str">
        <f>IFERROR(__xludf.DUMMYFUNCTION("""COMPUTED_VALUE"""),"")</f>
        <v/>
      </c>
      <c r="G12106" s="18"/>
      <c r="H12106" s="16" t="s">
        <v>87</v>
      </c>
      <c r="I12106" s="16" t="s">
        <v>87</v>
      </c>
      <c r="J12106" s="19"/>
      <c r="L12106" s="16" t="str">
        <f>IFERROR(__xludf.DUMMYFUNCTION("""COMPUTED_VALUE"""),"")</f>
        <v/>
      </c>
      <c r="M12106" s="16" t="str">
        <f>IFERROR(__xludf.DUMMYFUNCTION("""COMPUTED_VALUE"""),"")</f>
        <v/>
      </c>
      <c r="U12106" s="16" t="s">
        <v>87</v>
      </c>
      <c r="V12106" s="16" t="str">
        <f>IFERROR(__xludf.DUMMYFUNCTION("""COMPUTED_VALUE"""),"")</f>
        <v/>
      </c>
      <c r="W12106" s="16" t="str">
        <f>IFERROR(__xludf.DUMMYFUNCTION("""COMPUTED_VALUE"""),"")</f>
        <v/>
      </c>
      <c r="X12106" s="16" t="str">
        <f>IFERROR(__xludf.DUMMYFUNCTION("""COMPUTED_VALUE"""),"")</f>
        <v/>
      </c>
      <c r="AC12106" s="16" t="str">
        <f>IFERROR(__xludf.DUMMYFUNCTION("""COMPUTED_VALUE"""),"")</f>
        <v/>
      </c>
    </row>
    <row r="12107">
      <c r="A12107" s="16" t="s">
        <v>87</v>
      </c>
      <c r="E12107" s="16" t="str">
        <f>IFERROR(__xludf.DUMMYFUNCTION("""COMPUTED_VALUE"""),"")</f>
        <v/>
      </c>
      <c r="G12107" s="18"/>
      <c r="H12107" s="16" t="s">
        <v>87</v>
      </c>
      <c r="I12107" s="16" t="s">
        <v>87</v>
      </c>
      <c r="J12107" s="19"/>
      <c r="L12107" s="16" t="str">
        <f>IFERROR(__xludf.DUMMYFUNCTION("""COMPUTED_VALUE"""),"")</f>
        <v/>
      </c>
      <c r="M12107" s="16" t="str">
        <f>IFERROR(__xludf.DUMMYFUNCTION("""COMPUTED_VALUE"""),"")</f>
        <v/>
      </c>
      <c r="U12107" s="16" t="s">
        <v>87</v>
      </c>
      <c r="V12107" s="16" t="str">
        <f>IFERROR(__xludf.DUMMYFUNCTION("""COMPUTED_VALUE"""),"")</f>
        <v/>
      </c>
      <c r="W12107" s="16" t="str">
        <f>IFERROR(__xludf.DUMMYFUNCTION("""COMPUTED_VALUE"""),"")</f>
        <v/>
      </c>
      <c r="X12107" s="16" t="str">
        <f>IFERROR(__xludf.DUMMYFUNCTION("""COMPUTED_VALUE"""),"")</f>
        <v/>
      </c>
      <c r="AC12107" s="16" t="str">
        <f>IFERROR(__xludf.DUMMYFUNCTION("""COMPUTED_VALUE"""),"")</f>
        <v/>
      </c>
    </row>
    <row r="12108">
      <c r="A12108" s="16" t="s">
        <v>87</v>
      </c>
      <c r="E12108" s="16" t="str">
        <f>IFERROR(__xludf.DUMMYFUNCTION("""COMPUTED_VALUE"""),"")</f>
        <v/>
      </c>
      <c r="G12108" s="18"/>
      <c r="H12108" s="16" t="s">
        <v>87</v>
      </c>
      <c r="I12108" s="16" t="s">
        <v>87</v>
      </c>
      <c r="J12108" s="19"/>
      <c r="L12108" s="16" t="str">
        <f>IFERROR(__xludf.DUMMYFUNCTION("""COMPUTED_VALUE"""),"")</f>
        <v/>
      </c>
      <c r="M12108" s="16" t="str">
        <f>IFERROR(__xludf.DUMMYFUNCTION("""COMPUTED_VALUE"""),"")</f>
        <v/>
      </c>
      <c r="U12108" s="16" t="s">
        <v>87</v>
      </c>
      <c r="V12108" s="16" t="str">
        <f>IFERROR(__xludf.DUMMYFUNCTION("""COMPUTED_VALUE"""),"")</f>
        <v/>
      </c>
      <c r="W12108" s="16" t="str">
        <f>IFERROR(__xludf.DUMMYFUNCTION("""COMPUTED_VALUE"""),"")</f>
        <v/>
      </c>
      <c r="X12108" s="16" t="str">
        <f>IFERROR(__xludf.DUMMYFUNCTION("""COMPUTED_VALUE"""),"")</f>
        <v/>
      </c>
      <c r="AC12108" s="16" t="str">
        <f>IFERROR(__xludf.DUMMYFUNCTION("""COMPUTED_VALUE"""),"")</f>
        <v/>
      </c>
    </row>
    <row r="12109">
      <c r="A12109" s="16" t="s">
        <v>87</v>
      </c>
      <c r="E12109" s="16" t="str">
        <f>IFERROR(__xludf.DUMMYFUNCTION("""COMPUTED_VALUE"""),"")</f>
        <v/>
      </c>
      <c r="G12109" s="18"/>
      <c r="H12109" s="16" t="s">
        <v>87</v>
      </c>
      <c r="I12109" s="16" t="s">
        <v>87</v>
      </c>
      <c r="J12109" s="19"/>
      <c r="L12109" s="16" t="str">
        <f>IFERROR(__xludf.DUMMYFUNCTION("""COMPUTED_VALUE"""),"")</f>
        <v/>
      </c>
      <c r="M12109" s="16" t="str">
        <f>IFERROR(__xludf.DUMMYFUNCTION("""COMPUTED_VALUE"""),"")</f>
        <v/>
      </c>
      <c r="U12109" s="16" t="s">
        <v>87</v>
      </c>
      <c r="V12109" s="16" t="str">
        <f>IFERROR(__xludf.DUMMYFUNCTION("""COMPUTED_VALUE"""),"")</f>
        <v/>
      </c>
      <c r="W12109" s="16" t="str">
        <f>IFERROR(__xludf.DUMMYFUNCTION("""COMPUTED_VALUE"""),"")</f>
        <v/>
      </c>
      <c r="X12109" s="16" t="str">
        <f>IFERROR(__xludf.DUMMYFUNCTION("""COMPUTED_VALUE"""),"")</f>
        <v/>
      </c>
      <c r="AC12109" s="16" t="str">
        <f>IFERROR(__xludf.DUMMYFUNCTION("""COMPUTED_VALUE"""),"")</f>
        <v/>
      </c>
    </row>
    <row r="12110">
      <c r="A12110" s="16" t="s">
        <v>87</v>
      </c>
      <c r="E12110" s="16" t="str">
        <f>IFERROR(__xludf.DUMMYFUNCTION("""COMPUTED_VALUE"""),"")</f>
        <v/>
      </c>
      <c r="G12110" s="18"/>
      <c r="H12110" s="16" t="s">
        <v>87</v>
      </c>
      <c r="I12110" s="16" t="s">
        <v>87</v>
      </c>
      <c r="J12110" s="19"/>
      <c r="L12110" s="16" t="str">
        <f>IFERROR(__xludf.DUMMYFUNCTION("""COMPUTED_VALUE"""),"")</f>
        <v/>
      </c>
      <c r="M12110" s="16" t="str">
        <f>IFERROR(__xludf.DUMMYFUNCTION("""COMPUTED_VALUE"""),"")</f>
        <v/>
      </c>
      <c r="U12110" s="16" t="s">
        <v>87</v>
      </c>
      <c r="V12110" s="16" t="str">
        <f>IFERROR(__xludf.DUMMYFUNCTION("""COMPUTED_VALUE"""),"")</f>
        <v/>
      </c>
      <c r="W12110" s="16" t="str">
        <f>IFERROR(__xludf.DUMMYFUNCTION("""COMPUTED_VALUE"""),"")</f>
        <v/>
      </c>
      <c r="X12110" s="16" t="str">
        <f>IFERROR(__xludf.DUMMYFUNCTION("""COMPUTED_VALUE"""),"")</f>
        <v/>
      </c>
      <c r="AC12110" s="16" t="str">
        <f>IFERROR(__xludf.DUMMYFUNCTION("""COMPUTED_VALUE"""),"")</f>
        <v/>
      </c>
    </row>
    <row r="12111">
      <c r="A12111" s="16" t="s">
        <v>87</v>
      </c>
      <c r="E12111" s="16" t="str">
        <f>IFERROR(__xludf.DUMMYFUNCTION("""COMPUTED_VALUE"""),"")</f>
        <v/>
      </c>
      <c r="G12111" s="18"/>
      <c r="H12111" s="16" t="s">
        <v>87</v>
      </c>
      <c r="I12111" s="16" t="s">
        <v>87</v>
      </c>
      <c r="J12111" s="19"/>
      <c r="L12111" s="16" t="str">
        <f>IFERROR(__xludf.DUMMYFUNCTION("""COMPUTED_VALUE"""),"")</f>
        <v/>
      </c>
      <c r="M12111" s="16" t="str">
        <f>IFERROR(__xludf.DUMMYFUNCTION("""COMPUTED_VALUE"""),"")</f>
        <v/>
      </c>
      <c r="U12111" s="16" t="s">
        <v>87</v>
      </c>
      <c r="V12111" s="16" t="str">
        <f>IFERROR(__xludf.DUMMYFUNCTION("""COMPUTED_VALUE"""),"")</f>
        <v/>
      </c>
      <c r="W12111" s="16" t="str">
        <f>IFERROR(__xludf.DUMMYFUNCTION("""COMPUTED_VALUE"""),"")</f>
        <v/>
      </c>
      <c r="X12111" s="16" t="str">
        <f>IFERROR(__xludf.DUMMYFUNCTION("""COMPUTED_VALUE"""),"")</f>
        <v/>
      </c>
      <c r="AC12111" s="16" t="str">
        <f>IFERROR(__xludf.DUMMYFUNCTION("""COMPUTED_VALUE"""),"")</f>
        <v/>
      </c>
    </row>
    <row r="12112">
      <c r="A12112" s="16" t="s">
        <v>87</v>
      </c>
      <c r="E12112" s="16" t="str">
        <f>IFERROR(__xludf.DUMMYFUNCTION("""COMPUTED_VALUE"""),"")</f>
        <v/>
      </c>
      <c r="G12112" s="18"/>
      <c r="H12112" s="16" t="s">
        <v>87</v>
      </c>
      <c r="I12112" s="16" t="s">
        <v>87</v>
      </c>
      <c r="J12112" s="19"/>
      <c r="L12112" s="16" t="str">
        <f>IFERROR(__xludf.DUMMYFUNCTION("""COMPUTED_VALUE"""),"")</f>
        <v/>
      </c>
      <c r="M12112" s="16" t="str">
        <f>IFERROR(__xludf.DUMMYFUNCTION("""COMPUTED_VALUE"""),"")</f>
        <v/>
      </c>
      <c r="U12112" s="16" t="s">
        <v>87</v>
      </c>
      <c r="V12112" s="16" t="str">
        <f>IFERROR(__xludf.DUMMYFUNCTION("""COMPUTED_VALUE"""),"")</f>
        <v/>
      </c>
      <c r="W12112" s="16" t="str">
        <f>IFERROR(__xludf.DUMMYFUNCTION("""COMPUTED_VALUE"""),"")</f>
        <v/>
      </c>
      <c r="X12112" s="16" t="str">
        <f>IFERROR(__xludf.DUMMYFUNCTION("""COMPUTED_VALUE"""),"")</f>
        <v/>
      </c>
      <c r="AC12112" s="16" t="str">
        <f>IFERROR(__xludf.DUMMYFUNCTION("""COMPUTED_VALUE"""),"")</f>
        <v/>
      </c>
    </row>
    <row r="12113">
      <c r="A12113" s="16" t="s">
        <v>87</v>
      </c>
      <c r="E12113" s="16" t="str">
        <f>IFERROR(__xludf.DUMMYFUNCTION("""COMPUTED_VALUE"""),"")</f>
        <v/>
      </c>
      <c r="G12113" s="18"/>
      <c r="H12113" s="16" t="s">
        <v>87</v>
      </c>
      <c r="I12113" s="16" t="s">
        <v>87</v>
      </c>
      <c r="J12113" s="19"/>
      <c r="L12113" s="16" t="str">
        <f>IFERROR(__xludf.DUMMYFUNCTION("""COMPUTED_VALUE"""),"")</f>
        <v/>
      </c>
      <c r="M12113" s="16" t="str">
        <f>IFERROR(__xludf.DUMMYFUNCTION("""COMPUTED_VALUE"""),"")</f>
        <v/>
      </c>
      <c r="U12113" s="16" t="s">
        <v>87</v>
      </c>
      <c r="V12113" s="16" t="str">
        <f>IFERROR(__xludf.DUMMYFUNCTION("""COMPUTED_VALUE"""),"")</f>
        <v/>
      </c>
      <c r="W12113" s="16" t="str">
        <f>IFERROR(__xludf.DUMMYFUNCTION("""COMPUTED_VALUE"""),"")</f>
        <v/>
      </c>
      <c r="X12113" s="16" t="str">
        <f>IFERROR(__xludf.DUMMYFUNCTION("""COMPUTED_VALUE"""),"")</f>
        <v/>
      </c>
      <c r="AC12113" s="16" t="str">
        <f>IFERROR(__xludf.DUMMYFUNCTION("""COMPUTED_VALUE"""),"")</f>
        <v/>
      </c>
    </row>
    <row r="12114">
      <c r="A12114" s="16" t="s">
        <v>87</v>
      </c>
      <c r="E12114" s="16" t="str">
        <f>IFERROR(__xludf.DUMMYFUNCTION("""COMPUTED_VALUE"""),"")</f>
        <v/>
      </c>
      <c r="G12114" s="18"/>
      <c r="H12114" s="16" t="s">
        <v>87</v>
      </c>
      <c r="I12114" s="16" t="s">
        <v>87</v>
      </c>
      <c r="J12114" s="19"/>
      <c r="L12114" s="16" t="str">
        <f>IFERROR(__xludf.DUMMYFUNCTION("""COMPUTED_VALUE"""),"")</f>
        <v/>
      </c>
      <c r="M12114" s="16" t="str">
        <f>IFERROR(__xludf.DUMMYFUNCTION("""COMPUTED_VALUE"""),"")</f>
        <v/>
      </c>
      <c r="U12114" s="16" t="s">
        <v>87</v>
      </c>
      <c r="V12114" s="16" t="str">
        <f>IFERROR(__xludf.DUMMYFUNCTION("""COMPUTED_VALUE"""),"")</f>
        <v/>
      </c>
      <c r="W12114" s="16" t="str">
        <f>IFERROR(__xludf.DUMMYFUNCTION("""COMPUTED_VALUE"""),"")</f>
        <v/>
      </c>
      <c r="X12114" s="16" t="str">
        <f>IFERROR(__xludf.DUMMYFUNCTION("""COMPUTED_VALUE"""),"")</f>
        <v/>
      </c>
      <c r="AC12114" s="16" t="str">
        <f>IFERROR(__xludf.DUMMYFUNCTION("""COMPUTED_VALUE"""),"")</f>
        <v/>
      </c>
    </row>
    <row r="12115">
      <c r="A12115" s="16" t="s">
        <v>87</v>
      </c>
      <c r="E12115" s="16" t="str">
        <f>IFERROR(__xludf.DUMMYFUNCTION("""COMPUTED_VALUE"""),"")</f>
        <v/>
      </c>
      <c r="G12115" s="18"/>
      <c r="H12115" s="16" t="s">
        <v>87</v>
      </c>
      <c r="I12115" s="16" t="s">
        <v>87</v>
      </c>
      <c r="J12115" s="19"/>
      <c r="L12115" s="16" t="str">
        <f>IFERROR(__xludf.DUMMYFUNCTION("""COMPUTED_VALUE"""),"")</f>
        <v/>
      </c>
      <c r="M12115" s="16" t="str">
        <f>IFERROR(__xludf.DUMMYFUNCTION("""COMPUTED_VALUE"""),"")</f>
        <v/>
      </c>
      <c r="U12115" s="16" t="s">
        <v>87</v>
      </c>
      <c r="V12115" s="16" t="str">
        <f>IFERROR(__xludf.DUMMYFUNCTION("""COMPUTED_VALUE"""),"")</f>
        <v/>
      </c>
      <c r="W12115" s="16" t="str">
        <f>IFERROR(__xludf.DUMMYFUNCTION("""COMPUTED_VALUE"""),"")</f>
        <v/>
      </c>
      <c r="X12115" s="16" t="str">
        <f>IFERROR(__xludf.DUMMYFUNCTION("""COMPUTED_VALUE"""),"")</f>
        <v/>
      </c>
      <c r="AC12115" s="16" t="str">
        <f>IFERROR(__xludf.DUMMYFUNCTION("""COMPUTED_VALUE"""),"")</f>
        <v/>
      </c>
    </row>
    <row r="12116">
      <c r="A12116" s="16" t="s">
        <v>87</v>
      </c>
      <c r="E12116" s="16" t="str">
        <f>IFERROR(__xludf.DUMMYFUNCTION("""COMPUTED_VALUE"""),"")</f>
        <v/>
      </c>
      <c r="G12116" s="18"/>
      <c r="H12116" s="16" t="s">
        <v>87</v>
      </c>
      <c r="I12116" s="16" t="s">
        <v>87</v>
      </c>
      <c r="J12116" s="19"/>
      <c r="L12116" s="16" t="str">
        <f>IFERROR(__xludf.DUMMYFUNCTION("""COMPUTED_VALUE"""),"")</f>
        <v/>
      </c>
      <c r="M12116" s="16" t="str">
        <f>IFERROR(__xludf.DUMMYFUNCTION("""COMPUTED_VALUE"""),"")</f>
        <v/>
      </c>
      <c r="U12116" s="16" t="s">
        <v>87</v>
      </c>
      <c r="V12116" s="16" t="str">
        <f>IFERROR(__xludf.DUMMYFUNCTION("""COMPUTED_VALUE"""),"")</f>
        <v/>
      </c>
      <c r="W12116" s="16" t="str">
        <f>IFERROR(__xludf.DUMMYFUNCTION("""COMPUTED_VALUE"""),"")</f>
        <v/>
      </c>
      <c r="X12116" s="16" t="str">
        <f>IFERROR(__xludf.DUMMYFUNCTION("""COMPUTED_VALUE"""),"")</f>
        <v/>
      </c>
      <c r="AC12116" s="16" t="str">
        <f>IFERROR(__xludf.DUMMYFUNCTION("""COMPUTED_VALUE"""),"")</f>
        <v/>
      </c>
    </row>
    <row r="12117">
      <c r="A12117" s="16" t="s">
        <v>87</v>
      </c>
      <c r="E12117" s="16" t="str">
        <f>IFERROR(__xludf.DUMMYFUNCTION("""COMPUTED_VALUE"""),"")</f>
        <v/>
      </c>
      <c r="G12117" s="18"/>
      <c r="H12117" s="16" t="s">
        <v>87</v>
      </c>
      <c r="I12117" s="16" t="s">
        <v>87</v>
      </c>
      <c r="J12117" s="19"/>
      <c r="L12117" s="16" t="str">
        <f>IFERROR(__xludf.DUMMYFUNCTION("""COMPUTED_VALUE"""),"")</f>
        <v/>
      </c>
      <c r="M12117" s="16" t="str">
        <f>IFERROR(__xludf.DUMMYFUNCTION("""COMPUTED_VALUE"""),"")</f>
        <v/>
      </c>
      <c r="U12117" s="16" t="s">
        <v>87</v>
      </c>
      <c r="V12117" s="16" t="str">
        <f>IFERROR(__xludf.DUMMYFUNCTION("""COMPUTED_VALUE"""),"")</f>
        <v/>
      </c>
      <c r="W12117" s="16" t="str">
        <f>IFERROR(__xludf.DUMMYFUNCTION("""COMPUTED_VALUE"""),"")</f>
        <v/>
      </c>
      <c r="X12117" s="16" t="str">
        <f>IFERROR(__xludf.DUMMYFUNCTION("""COMPUTED_VALUE"""),"")</f>
        <v/>
      </c>
      <c r="AC12117" s="16" t="str">
        <f>IFERROR(__xludf.DUMMYFUNCTION("""COMPUTED_VALUE"""),"")</f>
        <v/>
      </c>
    </row>
    <row r="12118">
      <c r="A12118" s="16" t="s">
        <v>87</v>
      </c>
      <c r="E12118" s="16" t="str">
        <f>IFERROR(__xludf.DUMMYFUNCTION("""COMPUTED_VALUE"""),"")</f>
        <v/>
      </c>
      <c r="G12118" s="18"/>
      <c r="H12118" s="16" t="s">
        <v>87</v>
      </c>
      <c r="I12118" s="16" t="s">
        <v>87</v>
      </c>
      <c r="J12118" s="19"/>
      <c r="L12118" s="16" t="str">
        <f>IFERROR(__xludf.DUMMYFUNCTION("""COMPUTED_VALUE"""),"")</f>
        <v/>
      </c>
      <c r="M12118" s="16" t="str">
        <f>IFERROR(__xludf.DUMMYFUNCTION("""COMPUTED_VALUE"""),"")</f>
        <v/>
      </c>
      <c r="U12118" s="16" t="s">
        <v>87</v>
      </c>
      <c r="V12118" s="16" t="str">
        <f>IFERROR(__xludf.DUMMYFUNCTION("""COMPUTED_VALUE"""),"")</f>
        <v/>
      </c>
      <c r="W12118" s="16" t="str">
        <f>IFERROR(__xludf.DUMMYFUNCTION("""COMPUTED_VALUE"""),"")</f>
        <v/>
      </c>
      <c r="X12118" s="16" t="str">
        <f>IFERROR(__xludf.DUMMYFUNCTION("""COMPUTED_VALUE"""),"")</f>
        <v/>
      </c>
      <c r="AC12118" s="16" t="str">
        <f>IFERROR(__xludf.DUMMYFUNCTION("""COMPUTED_VALUE"""),"")</f>
        <v/>
      </c>
    </row>
    <row r="12119">
      <c r="A12119" s="16" t="s">
        <v>87</v>
      </c>
      <c r="E12119" s="16" t="str">
        <f>IFERROR(__xludf.DUMMYFUNCTION("""COMPUTED_VALUE"""),"")</f>
        <v/>
      </c>
      <c r="G12119" s="18"/>
      <c r="H12119" s="16" t="s">
        <v>87</v>
      </c>
      <c r="I12119" s="16" t="s">
        <v>87</v>
      </c>
      <c r="J12119" s="19"/>
      <c r="L12119" s="16" t="str">
        <f>IFERROR(__xludf.DUMMYFUNCTION("""COMPUTED_VALUE"""),"")</f>
        <v/>
      </c>
      <c r="M12119" s="16" t="str">
        <f>IFERROR(__xludf.DUMMYFUNCTION("""COMPUTED_VALUE"""),"")</f>
        <v/>
      </c>
      <c r="U12119" s="16" t="s">
        <v>87</v>
      </c>
      <c r="V12119" s="16" t="str">
        <f>IFERROR(__xludf.DUMMYFUNCTION("""COMPUTED_VALUE"""),"")</f>
        <v/>
      </c>
      <c r="W12119" s="16" t="str">
        <f>IFERROR(__xludf.DUMMYFUNCTION("""COMPUTED_VALUE"""),"")</f>
        <v/>
      </c>
      <c r="X12119" s="16" t="str">
        <f>IFERROR(__xludf.DUMMYFUNCTION("""COMPUTED_VALUE"""),"")</f>
        <v/>
      </c>
      <c r="AC12119" s="16" t="str">
        <f>IFERROR(__xludf.DUMMYFUNCTION("""COMPUTED_VALUE"""),"")</f>
        <v/>
      </c>
    </row>
    <row r="12120">
      <c r="A12120" s="16" t="s">
        <v>87</v>
      </c>
      <c r="E12120" s="16" t="str">
        <f>IFERROR(__xludf.DUMMYFUNCTION("""COMPUTED_VALUE"""),"")</f>
        <v/>
      </c>
      <c r="G12120" s="18"/>
      <c r="H12120" s="16" t="s">
        <v>87</v>
      </c>
      <c r="I12120" s="16" t="s">
        <v>87</v>
      </c>
      <c r="J12120" s="19"/>
      <c r="L12120" s="16" t="str">
        <f>IFERROR(__xludf.DUMMYFUNCTION("""COMPUTED_VALUE"""),"")</f>
        <v/>
      </c>
      <c r="M12120" s="16" t="str">
        <f>IFERROR(__xludf.DUMMYFUNCTION("""COMPUTED_VALUE"""),"")</f>
        <v/>
      </c>
      <c r="U12120" s="16" t="s">
        <v>87</v>
      </c>
      <c r="V12120" s="16" t="str">
        <f>IFERROR(__xludf.DUMMYFUNCTION("""COMPUTED_VALUE"""),"")</f>
        <v/>
      </c>
      <c r="W12120" s="16" t="str">
        <f>IFERROR(__xludf.DUMMYFUNCTION("""COMPUTED_VALUE"""),"")</f>
        <v/>
      </c>
      <c r="X12120" s="16" t="str">
        <f>IFERROR(__xludf.DUMMYFUNCTION("""COMPUTED_VALUE"""),"")</f>
        <v/>
      </c>
      <c r="AC12120" s="16" t="str">
        <f>IFERROR(__xludf.DUMMYFUNCTION("""COMPUTED_VALUE"""),"")</f>
        <v/>
      </c>
    </row>
    <row r="12121">
      <c r="A12121" s="16" t="s">
        <v>87</v>
      </c>
      <c r="E12121" s="16" t="str">
        <f>IFERROR(__xludf.DUMMYFUNCTION("""COMPUTED_VALUE"""),"")</f>
        <v/>
      </c>
      <c r="G12121" s="18"/>
      <c r="H12121" s="16" t="s">
        <v>87</v>
      </c>
      <c r="I12121" s="16" t="s">
        <v>87</v>
      </c>
      <c r="J12121" s="19"/>
      <c r="L12121" s="16" t="str">
        <f>IFERROR(__xludf.DUMMYFUNCTION("""COMPUTED_VALUE"""),"")</f>
        <v/>
      </c>
      <c r="M12121" s="16" t="str">
        <f>IFERROR(__xludf.DUMMYFUNCTION("""COMPUTED_VALUE"""),"")</f>
        <v/>
      </c>
      <c r="U12121" s="16" t="s">
        <v>87</v>
      </c>
      <c r="V12121" s="16" t="str">
        <f>IFERROR(__xludf.DUMMYFUNCTION("""COMPUTED_VALUE"""),"")</f>
        <v/>
      </c>
      <c r="W12121" s="16" t="str">
        <f>IFERROR(__xludf.DUMMYFUNCTION("""COMPUTED_VALUE"""),"")</f>
        <v/>
      </c>
      <c r="X12121" s="16" t="str">
        <f>IFERROR(__xludf.DUMMYFUNCTION("""COMPUTED_VALUE"""),"")</f>
        <v/>
      </c>
      <c r="AC12121" s="16" t="str">
        <f>IFERROR(__xludf.DUMMYFUNCTION("""COMPUTED_VALUE"""),"")</f>
        <v/>
      </c>
    </row>
    <row r="12122">
      <c r="A12122" s="16" t="s">
        <v>87</v>
      </c>
      <c r="E12122" s="16" t="str">
        <f>IFERROR(__xludf.DUMMYFUNCTION("""COMPUTED_VALUE"""),"")</f>
        <v/>
      </c>
      <c r="G12122" s="18"/>
      <c r="H12122" s="16" t="s">
        <v>87</v>
      </c>
      <c r="I12122" s="16" t="s">
        <v>87</v>
      </c>
      <c r="J12122" s="19"/>
      <c r="L12122" s="16" t="str">
        <f>IFERROR(__xludf.DUMMYFUNCTION("""COMPUTED_VALUE"""),"")</f>
        <v/>
      </c>
      <c r="M12122" s="16" t="str">
        <f>IFERROR(__xludf.DUMMYFUNCTION("""COMPUTED_VALUE"""),"")</f>
        <v/>
      </c>
      <c r="U12122" s="16" t="s">
        <v>87</v>
      </c>
      <c r="V12122" s="16" t="str">
        <f>IFERROR(__xludf.DUMMYFUNCTION("""COMPUTED_VALUE"""),"")</f>
        <v/>
      </c>
      <c r="W12122" s="16" t="str">
        <f>IFERROR(__xludf.DUMMYFUNCTION("""COMPUTED_VALUE"""),"")</f>
        <v/>
      </c>
      <c r="X12122" s="16" t="str">
        <f>IFERROR(__xludf.DUMMYFUNCTION("""COMPUTED_VALUE"""),"")</f>
        <v/>
      </c>
      <c r="AC12122" s="16" t="str">
        <f>IFERROR(__xludf.DUMMYFUNCTION("""COMPUTED_VALUE"""),"")</f>
        <v/>
      </c>
    </row>
    <row r="12123">
      <c r="A12123" s="16" t="s">
        <v>87</v>
      </c>
      <c r="E12123" s="16" t="str">
        <f>IFERROR(__xludf.DUMMYFUNCTION("""COMPUTED_VALUE"""),"")</f>
        <v/>
      </c>
      <c r="G12123" s="18"/>
      <c r="H12123" s="16" t="s">
        <v>87</v>
      </c>
      <c r="I12123" s="16" t="s">
        <v>87</v>
      </c>
      <c r="J12123" s="19"/>
      <c r="L12123" s="16" t="str">
        <f>IFERROR(__xludf.DUMMYFUNCTION("""COMPUTED_VALUE"""),"")</f>
        <v/>
      </c>
      <c r="M12123" s="16" t="str">
        <f>IFERROR(__xludf.DUMMYFUNCTION("""COMPUTED_VALUE"""),"")</f>
        <v/>
      </c>
      <c r="U12123" s="16" t="s">
        <v>87</v>
      </c>
      <c r="V12123" s="16" t="str">
        <f>IFERROR(__xludf.DUMMYFUNCTION("""COMPUTED_VALUE"""),"")</f>
        <v/>
      </c>
      <c r="W12123" s="16" t="str">
        <f>IFERROR(__xludf.DUMMYFUNCTION("""COMPUTED_VALUE"""),"")</f>
        <v/>
      </c>
      <c r="X12123" s="16" t="str">
        <f>IFERROR(__xludf.DUMMYFUNCTION("""COMPUTED_VALUE"""),"")</f>
        <v/>
      </c>
      <c r="AC12123" s="16" t="str">
        <f>IFERROR(__xludf.DUMMYFUNCTION("""COMPUTED_VALUE"""),"")</f>
        <v/>
      </c>
    </row>
    <row r="12124">
      <c r="A12124" s="16" t="s">
        <v>87</v>
      </c>
      <c r="E12124" s="16" t="str">
        <f>IFERROR(__xludf.DUMMYFUNCTION("""COMPUTED_VALUE"""),"")</f>
        <v/>
      </c>
      <c r="G12124" s="18"/>
      <c r="H12124" s="16" t="s">
        <v>87</v>
      </c>
      <c r="I12124" s="16" t="s">
        <v>87</v>
      </c>
      <c r="J12124" s="19"/>
      <c r="L12124" s="16" t="str">
        <f>IFERROR(__xludf.DUMMYFUNCTION("""COMPUTED_VALUE"""),"")</f>
        <v/>
      </c>
      <c r="M12124" s="16" t="str">
        <f>IFERROR(__xludf.DUMMYFUNCTION("""COMPUTED_VALUE"""),"")</f>
        <v/>
      </c>
      <c r="U12124" s="16" t="s">
        <v>87</v>
      </c>
      <c r="V12124" s="16" t="str">
        <f>IFERROR(__xludf.DUMMYFUNCTION("""COMPUTED_VALUE"""),"")</f>
        <v/>
      </c>
      <c r="W12124" s="16" t="str">
        <f>IFERROR(__xludf.DUMMYFUNCTION("""COMPUTED_VALUE"""),"")</f>
        <v/>
      </c>
      <c r="X12124" s="16" t="str">
        <f>IFERROR(__xludf.DUMMYFUNCTION("""COMPUTED_VALUE"""),"")</f>
        <v/>
      </c>
      <c r="AC12124" s="16" t="str">
        <f>IFERROR(__xludf.DUMMYFUNCTION("""COMPUTED_VALUE"""),"")</f>
        <v/>
      </c>
    </row>
    <row r="12125">
      <c r="A12125" s="16" t="s">
        <v>87</v>
      </c>
      <c r="E12125" s="16" t="str">
        <f>IFERROR(__xludf.DUMMYFUNCTION("""COMPUTED_VALUE"""),"")</f>
        <v/>
      </c>
      <c r="G12125" s="18"/>
      <c r="H12125" s="16" t="s">
        <v>87</v>
      </c>
      <c r="I12125" s="16" t="s">
        <v>87</v>
      </c>
      <c r="J12125" s="19"/>
      <c r="L12125" s="16" t="str">
        <f>IFERROR(__xludf.DUMMYFUNCTION("""COMPUTED_VALUE"""),"")</f>
        <v/>
      </c>
      <c r="M12125" s="16" t="str">
        <f>IFERROR(__xludf.DUMMYFUNCTION("""COMPUTED_VALUE"""),"")</f>
        <v/>
      </c>
      <c r="U12125" s="16" t="s">
        <v>87</v>
      </c>
      <c r="V12125" s="16" t="str">
        <f>IFERROR(__xludf.DUMMYFUNCTION("""COMPUTED_VALUE"""),"")</f>
        <v/>
      </c>
      <c r="W12125" s="16" t="str">
        <f>IFERROR(__xludf.DUMMYFUNCTION("""COMPUTED_VALUE"""),"")</f>
        <v/>
      </c>
      <c r="X12125" s="16" t="str">
        <f>IFERROR(__xludf.DUMMYFUNCTION("""COMPUTED_VALUE"""),"")</f>
        <v/>
      </c>
      <c r="AC12125" s="16" t="str">
        <f>IFERROR(__xludf.DUMMYFUNCTION("""COMPUTED_VALUE"""),"")</f>
        <v/>
      </c>
    </row>
    <row r="12126">
      <c r="A12126" s="16" t="s">
        <v>87</v>
      </c>
      <c r="E12126" s="16" t="str">
        <f>IFERROR(__xludf.DUMMYFUNCTION("""COMPUTED_VALUE"""),"")</f>
        <v/>
      </c>
      <c r="G12126" s="18"/>
      <c r="H12126" s="16" t="s">
        <v>87</v>
      </c>
      <c r="I12126" s="16" t="s">
        <v>87</v>
      </c>
      <c r="J12126" s="19"/>
      <c r="L12126" s="16" t="str">
        <f>IFERROR(__xludf.DUMMYFUNCTION("""COMPUTED_VALUE"""),"")</f>
        <v/>
      </c>
      <c r="M12126" s="16" t="str">
        <f>IFERROR(__xludf.DUMMYFUNCTION("""COMPUTED_VALUE"""),"")</f>
        <v/>
      </c>
      <c r="U12126" s="16" t="s">
        <v>87</v>
      </c>
      <c r="V12126" s="16" t="str">
        <f>IFERROR(__xludf.DUMMYFUNCTION("""COMPUTED_VALUE"""),"")</f>
        <v/>
      </c>
      <c r="W12126" s="16" t="str">
        <f>IFERROR(__xludf.DUMMYFUNCTION("""COMPUTED_VALUE"""),"")</f>
        <v/>
      </c>
      <c r="X12126" s="16" t="str">
        <f>IFERROR(__xludf.DUMMYFUNCTION("""COMPUTED_VALUE"""),"")</f>
        <v/>
      </c>
      <c r="AC12126" s="16" t="str">
        <f>IFERROR(__xludf.DUMMYFUNCTION("""COMPUTED_VALUE"""),"")</f>
        <v/>
      </c>
    </row>
    <row r="12127">
      <c r="A12127" s="16" t="s">
        <v>87</v>
      </c>
      <c r="E12127" s="16" t="str">
        <f>IFERROR(__xludf.DUMMYFUNCTION("""COMPUTED_VALUE"""),"")</f>
        <v/>
      </c>
      <c r="G12127" s="18"/>
      <c r="H12127" s="16" t="s">
        <v>87</v>
      </c>
      <c r="I12127" s="16" t="s">
        <v>87</v>
      </c>
      <c r="J12127" s="19"/>
      <c r="L12127" s="16" t="str">
        <f>IFERROR(__xludf.DUMMYFUNCTION("""COMPUTED_VALUE"""),"")</f>
        <v/>
      </c>
      <c r="M12127" s="16" t="str">
        <f>IFERROR(__xludf.DUMMYFUNCTION("""COMPUTED_VALUE"""),"")</f>
        <v/>
      </c>
      <c r="U12127" s="16" t="s">
        <v>87</v>
      </c>
      <c r="V12127" s="16" t="str">
        <f>IFERROR(__xludf.DUMMYFUNCTION("""COMPUTED_VALUE"""),"")</f>
        <v/>
      </c>
      <c r="W12127" s="16" t="str">
        <f>IFERROR(__xludf.DUMMYFUNCTION("""COMPUTED_VALUE"""),"")</f>
        <v/>
      </c>
      <c r="X12127" s="16" t="str">
        <f>IFERROR(__xludf.DUMMYFUNCTION("""COMPUTED_VALUE"""),"")</f>
        <v/>
      </c>
      <c r="AC12127" s="16" t="str">
        <f>IFERROR(__xludf.DUMMYFUNCTION("""COMPUTED_VALUE"""),"")</f>
        <v/>
      </c>
    </row>
    <row r="12128">
      <c r="A12128" s="16" t="s">
        <v>87</v>
      </c>
      <c r="E12128" s="16" t="str">
        <f>IFERROR(__xludf.DUMMYFUNCTION("""COMPUTED_VALUE"""),"")</f>
        <v/>
      </c>
      <c r="G12128" s="18"/>
      <c r="H12128" s="16" t="s">
        <v>87</v>
      </c>
      <c r="I12128" s="16" t="s">
        <v>87</v>
      </c>
      <c r="J12128" s="19"/>
      <c r="L12128" s="16" t="str">
        <f>IFERROR(__xludf.DUMMYFUNCTION("""COMPUTED_VALUE"""),"")</f>
        <v/>
      </c>
      <c r="M12128" s="16" t="str">
        <f>IFERROR(__xludf.DUMMYFUNCTION("""COMPUTED_VALUE"""),"")</f>
        <v/>
      </c>
      <c r="U12128" s="16" t="s">
        <v>87</v>
      </c>
      <c r="V12128" s="16" t="str">
        <f>IFERROR(__xludf.DUMMYFUNCTION("""COMPUTED_VALUE"""),"")</f>
        <v/>
      </c>
      <c r="W12128" s="16" t="str">
        <f>IFERROR(__xludf.DUMMYFUNCTION("""COMPUTED_VALUE"""),"")</f>
        <v/>
      </c>
      <c r="X12128" s="16" t="str">
        <f>IFERROR(__xludf.DUMMYFUNCTION("""COMPUTED_VALUE"""),"")</f>
        <v/>
      </c>
      <c r="AC12128" s="16" t="str">
        <f>IFERROR(__xludf.DUMMYFUNCTION("""COMPUTED_VALUE"""),"")</f>
        <v/>
      </c>
    </row>
    <row r="12129">
      <c r="A12129" s="16" t="s">
        <v>87</v>
      </c>
      <c r="E12129" s="16" t="str">
        <f>IFERROR(__xludf.DUMMYFUNCTION("""COMPUTED_VALUE"""),"")</f>
        <v/>
      </c>
      <c r="G12129" s="18"/>
      <c r="H12129" s="16" t="s">
        <v>87</v>
      </c>
      <c r="I12129" s="16" t="s">
        <v>87</v>
      </c>
      <c r="J12129" s="19"/>
      <c r="L12129" s="16" t="str">
        <f>IFERROR(__xludf.DUMMYFUNCTION("""COMPUTED_VALUE"""),"")</f>
        <v/>
      </c>
      <c r="M12129" s="16" t="str">
        <f>IFERROR(__xludf.DUMMYFUNCTION("""COMPUTED_VALUE"""),"")</f>
        <v/>
      </c>
      <c r="U12129" s="16" t="s">
        <v>87</v>
      </c>
      <c r="V12129" s="16" t="str">
        <f>IFERROR(__xludf.DUMMYFUNCTION("""COMPUTED_VALUE"""),"")</f>
        <v/>
      </c>
      <c r="W12129" s="16" t="str">
        <f>IFERROR(__xludf.DUMMYFUNCTION("""COMPUTED_VALUE"""),"")</f>
        <v/>
      </c>
      <c r="X12129" s="16" t="str">
        <f>IFERROR(__xludf.DUMMYFUNCTION("""COMPUTED_VALUE"""),"")</f>
        <v/>
      </c>
      <c r="AC12129" s="16" t="str">
        <f>IFERROR(__xludf.DUMMYFUNCTION("""COMPUTED_VALUE"""),"")</f>
        <v/>
      </c>
    </row>
    <row r="12130">
      <c r="A12130" s="16" t="s">
        <v>87</v>
      </c>
      <c r="E12130" s="16" t="str">
        <f>IFERROR(__xludf.DUMMYFUNCTION("""COMPUTED_VALUE"""),"")</f>
        <v/>
      </c>
      <c r="G12130" s="18"/>
      <c r="H12130" s="16" t="s">
        <v>87</v>
      </c>
      <c r="I12130" s="16" t="s">
        <v>87</v>
      </c>
      <c r="J12130" s="19"/>
      <c r="L12130" s="16" t="str">
        <f>IFERROR(__xludf.DUMMYFUNCTION("""COMPUTED_VALUE"""),"")</f>
        <v/>
      </c>
      <c r="M12130" s="16" t="str">
        <f>IFERROR(__xludf.DUMMYFUNCTION("""COMPUTED_VALUE"""),"")</f>
        <v/>
      </c>
      <c r="U12130" s="16" t="s">
        <v>87</v>
      </c>
      <c r="V12130" s="16" t="str">
        <f>IFERROR(__xludf.DUMMYFUNCTION("""COMPUTED_VALUE"""),"")</f>
        <v/>
      </c>
      <c r="W12130" s="16" t="str">
        <f>IFERROR(__xludf.DUMMYFUNCTION("""COMPUTED_VALUE"""),"")</f>
        <v/>
      </c>
      <c r="X12130" s="16" t="str">
        <f>IFERROR(__xludf.DUMMYFUNCTION("""COMPUTED_VALUE"""),"")</f>
        <v/>
      </c>
      <c r="AC12130" s="16" t="str">
        <f>IFERROR(__xludf.DUMMYFUNCTION("""COMPUTED_VALUE"""),"")</f>
        <v/>
      </c>
    </row>
    <row r="12131">
      <c r="A12131" s="16" t="s">
        <v>87</v>
      </c>
      <c r="E12131" s="16" t="str">
        <f>IFERROR(__xludf.DUMMYFUNCTION("""COMPUTED_VALUE"""),"")</f>
        <v/>
      </c>
      <c r="G12131" s="18"/>
      <c r="H12131" s="16" t="s">
        <v>87</v>
      </c>
      <c r="I12131" s="16" t="s">
        <v>87</v>
      </c>
      <c r="J12131" s="19"/>
      <c r="L12131" s="16" t="str">
        <f>IFERROR(__xludf.DUMMYFUNCTION("""COMPUTED_VALUE"""),"")</f>
        <v/>
      </c>
      <c r="M12131" s="16" t="str">
        <f>IFERROR(__xludf.DUMMYFUNCTION("""COMPUTED_VALUE"""),"")</f>
        <v/>
      </c>
      <c r="U12131" s="16" t="s">
        <v>87</v>
      </c>
      <c r="V12131" s="16" t="str">
        <f>IFERROR(__xludf.DUMMYFUNCTION("""COMPUTED_VALUE"""),"")</f>
        <v/>
      </c>
      <c r="W12131" s="16" t="str">
        <f>IFERROR(__xludf.DUMMYFUNCTION("""COMPUTED_VALUE"""),"")</f>
        <v/>
      </c>
      <c r="X12131" s="16" t="str">
        <f>IFERROR(__xludf.DUMMYFUNCTION("""COMPUTED_VALUE"""),"")</f>
        <v/>
      </c>
      <c r="AC12131" s="16" t="str">
        <f>IFERROR(__xludf.DUMMYFUNCTION("""COMPUTED_VALUE"""),"")</f>
        <v/>
      </c>
    </row>
    <row r="12132">
      <c r="A12132" s="16" t="s">
        <v>87</v>
      </c>
      <c r="E12132" s="16" t="str">
        <f>IFERROR(__xludf.DUMMYFUNCTION("""COMPUTED_VALUE"""),"")</f>
        <v/>
      </c>
      <c r="G12132" s="18"/>
      <c r="H12132" s="16" t="s">
        <v>87</v>
      </c>
      <c r="I12132" s="16" t="s">
        <v>87</v>
      </c>
      <c r="J12132" s="19"/>
      <c r="L12132" s="16" t="str">
        <f>IFERROR(__xludf.DUMMYFUNCTION("""COMPUTED_VALUE"""),"")</f>
        <v/>
      </c>
      <c r="M12132" s="16" t="str">
        <f>IFERROR(__xludf.DUMMYFUNCTION("""COMPUTED_VALUE"""),"")</f>
        <v/>
      </c>
      <c r="U12132" s="16" t="s">
        <v>87</v>
      </c>
      <c r="V12132" s="16" t="str">
        <f>IFERROR(__xludf.DUMMYFUNCTION("""COMPUTED_VALUE"""),"")</f>
        <v/>
      </c>
      <c r="W12132" s="16" t="str">
        <f>IFERROR(__xludf.DUMMYFUNCTION("""COMPUTED_VALUE"""),"")</f>
        <v/>
      </c>
      <c r="X12132" s="16" t="str">
        <f>IFERROR(__xludf.DUMMYFUNCTION("""COMPUTED_VALUE"""),"")</f>
        <v/>
      </c>
      <c r="AC12132" s="16" t="str">
        <f>IFERROR(__xludf.DUMMYFUNCTION("""COMPUTED_VALUE"""),"")</f>
        <v/>
      </c>
    </row>
    <row r="12133">
      <c r="A12133" s="16" t="s">
        <v>87</v>
      </c>
      <c r="E12133" s="16" t="str">
        <f>IFERROR(__xludf.DUMMYFUNCTION("""COMPUTED_VALUE"""),"")</f>
        <v/>
      </c>
      <c r="G12133" s="18"/>
      <c r="H12133" s="16" t="s">
        <v>87</v>
      </c>
      <c r="I12133" s="16" t="s">
        <v>87</v>
      </c>
      <c r="J12133" s="19"/>
      <c r="L12133" s="16" t="str">
        <f>IFERROR(__xludf.DUMMYFUNCTION("""COMPUTED_VALUE"""),"")</f>
        <v/>
      </c>
      <c r="M12133" s="16" t="str">
        <f>IFERROR(__xludf.DUMMYFUNCTION("""COMPUTED_VALUE"""),"")</f>
        <v/>
      </c>
      <c r="U12133" s="16" t="s">
        <v>87</v>
      </c>
      <c r="V12133" s="16" t="str">
        <f>IFERROR(__xludf.DUMMYFUNCTION("""COMPUTED_VALUE"""),"")</f>
        <v/>
      </c>
      <c r="W12133" s="16" t="str">
        <f>IFERROR(__xludf.DUMMYFUNCTION("""COMPUTED_VALUE"""),"")</f>
        <v/>
      </c>
      <c r="X12133" s="16" t="str">
        <f>IFERROR(__xludf.DUMMYFUNCTION("""COMPUTED_VALUE"""),"")</f>
        <v/>
      </c>
      <c r="AC12133" s="16" t="str">
        <f>IFERROR(__xludf.DUMMYFUNCTION("""COMPUTED_VALUE"""),"")</f>
        <v/>
      </c>
    </row>
    <row r="12134">
      <c r="A12134" s="16" t="s">
        <v>87</v>
      </c>
      <c r="E12134" s="16" t="str">
        <f>IFERROR(__xludf.DUMMYFUNCTION("""COMPUTED_VALUE"""),"")</f>
        <v/>
      </c>
      <c r="G12134" s="18"/>
      <c r="H12134" s="16" t="s">
        <v>87</v>
      </c>
      <c r="I12134" s="16" t="s">
        <v>87</v>
      </c>
      <c r="J12134" s="19"/>
      <c r="L12134" s="16" t="str">
        <f>IFERROR(__xludf.DUMMYFUNCTION("""COMPUTED_VALUE"""),"")</f>
        <v/>
      </c>
      <c r="M12134" s="16" t="str">
        <f>IFERROR(__xludf.DUMMYFUNCTION("""COMPUTED_VALUE"""),"")</f>
        <v/>
      </c>
      <c r="U12134" s="16" t="s">
        <v>87</v>
      </c>
      <c r="V12134" s="16" t="str">
        <f>IFERROR(__xludf.DUMMYFUNCTION("""COMPUTED_VALUE"""),"")</f>
        <v/>
      </c>
      <c r="W12134" s="16" t="str">
        <f>IFERROR(__xludf.DUMMYFUNCTION("""COMPUTED_VALUE"""),"")</f>
        <v/>
      </c>
      <c r="X12134" s="16" t="str">
        <f>IFERROR(__xludf.DUMMYFUNCTION("""COMPUTED_VALUE"""),"")</f>
        <v/>
      </c>
      <c r="AC12134" s="16" t="str">
        <f>IFERROR(__xludf.DUMMYFUNCTION("""COMPUTED_VALUE"""),"")</f>
        <v/>
      </c>
    </row>
    <row r="12135">
      <c r="A12135" s="16" t="s">
        <v>87</v>
      </c>
      <c r="E12135" s="16" t="str">
        <f>IFERROR(__xludf.DUMMYFUNCTION("""COMPUTED_VALUE"""),"")</f>
        <v/>
      </c>
      <c r="G12135" s="18"/>
      <c r="H12135" s="16" t="s">
        <v>87</v>
      </c>
      <c r="I12135" s="16" t="s">
        <v>87</v>
      </c>
      <c r="J12135" s="19"/>
      <c r="L12135" s="16" t="str">
        <f>IFERROR(__xludf.DUMMYFUNCTION("""COMPUTED_VALUE"""),"")</f>
        <v/>
      </c>
      <c r="M12135" s="16" t="str">
        <f>IFERROR(__xludf.DUMMYFUNCTION("""COMPUTED_VALUE"""),"")</f>
        <v/>
      </c>
      <c r="U12135" s="16" t="s">
        <v>87</v>
      </c>
      <c r="V12135" s="16" t="str">
        <f>IFERROR(__xludf.DUMMYFUNCTION("""COMPUTED_VALUE"""),"")</f>
        <v/>
      </c>
      <c r="W12135" s="16" t="str">
        <f>IFERROR(__xludf.DUMMYFUNCTION("""COMPUTED_VALUE"""),"")</f>
        <v/>
      </c>
      <c r="X12135" s="16" t="str">
        <f>IFERROR(__xludf.DUMMYFUNCTION("""COMPUTED_VALUE"""),"")</f>
        <v/>
      </c>
      <c r="AC12135" s="16" t="str">
        <f>IFERROR(__xludf.DUMMYFUNCTION("""COMPUTED_VALUE"""),"")</f>
        <v/>
      </c>
    </row>
    <row r="12136">
      <c r="A12136" s="16" t="s">
        <v>87</v>
      </c>
      <c r="E12136" s="16" t="str">
        <f>IFERROR(__xludf.DUMMYFUNCTION("""COMPUTED_VALUE"""),"")</f>
        <v/>
      </c>
      <c r="G12136" s="18"/>
      <c r="H12136" s="16" t="s">
        <v>87</v>
      </c>
      <c r="I12136" s="16" t="s">
        <v>87</v>
      </c>
      <c r="J12136" s="19"/>
      <c r="L12136" s="16" t="str">
        <f>IFERROR(__xludf.DUMMYFUNCTION("""COMPUTED_VALUE"""),"")</f>
        <v/>
      </c>
      <c r="M12136" s="16" t="str">
        <f>IFERROR(__xludf.DUMMYFUNCTION("""COMPUTED_VALUE"""),"")</f>
        <v/>
      </c>
      <c r="U12136" s="16" t="s">
        <v>87</v>
      </c>
      <c r="V12136" s="16" t="str">
        <f>IFERROR(__xludf.DUMMYFUNCTION("""COMPUTED_VALUE"""),"")</f>
        <v/>
      </c>
      <c r="W12136" s="16" t="str">
        <f>IFERROR(__xludf.DUMMYFUNCTION("""COMPUTED_VALUE"""),"")</f>
        <v/>
      </c>
      <c r="X12136" s="16" t="str">
        <f>IFERROR(__xludf.DUMMYFUNCTION("""COMPUTED_VALUE"""),"")</f>
        <v/>
      </c>
      <c r="AC12136" s="16" t="str">
        <f>IFERROR(__xludf.DUMMYFUNCTION("""COMPUTED_VALUE"""),"")</f>
        <v/>
      </c>
    </row>
    <row r="12137">
      <c r="A12137" s="16" t="s">
        <v>87</v>
      </c>
      <c r="E12137" s="16" t="str">
        <f>IFERROR(__xludf.DUMMYFUNCTION("""COMPUTED_VALUE"""),"")</f>
        <v/>
      </c>
      <c r="G12137" s="18"/>
      <c r="H12137" s="16" t="s">
        <v>87</v>
      </c>
      <c r="I12137" s="16" t="s">
        <v>87</v>
      </c>
      <c r="J12137" s="19"/>
      <c r="L12137" s="16" t="str">
        <f>IFERROR(__xludf.DUMMYFUNCTION("""COMPUTED_VALUE"""),"")</f>
        <v/>
      </c>
      <c r="M12137" s="16" t="str">
        <f>IFERROR(__xludf.DUMMYFUNCTION("""COMPUTED_VALUE"""),"")</f>
        <v/>
      </c>
      <c r="U12137" s="16" t="s">
        <v>87</v>
      </c>
      <c r="V12137" s="16" t="str">
        <f>IFERROR(__xludf.DUMMYFUNCTION("""COMPUTED_VALUE"""),"")</f>
        <v/>
      </c>
      <c r="W12137" s="16" t="str">
        <f>IFERROR(__xludf.DUMMYFUNCTION("""COMPUTED_VALUE"""),"")</f>
        <v/>
      </c>
      <c r="X12137" s="16" t="str">
        <f>IFERROR(__xludf.DUMMYFUNCTION("""COMPUTED_VALUE"""),"")</f>
        <v/>
      </c>
      <c r="AC12137" s="16" t="str">
        <f>IFERROR(__xludf.DUMMYFUNCTION("""COMPUTED_VALUE"""),"")</f>
        <v/>
      </c>
    </row>
    <row r="12138">
      <c r="A12138" s="16" t="s">
        <v>87</v>
      </c>
      <c r="E12138" s="16" t="str">
        <f>IFERROR(__xludf.DUMMYFUNCTION("""COMPUTED_VALUE"""),"")</f>
        <v/>
      </c>
      <c r="G12138" s="18"/>
      <c r="H12138" s="16" t="s">
        <v>87</v>
      </c>
      <c r="I12138" s="16" t="s">
        <v>87</v>
      </c>
      <c r="J12138" s="19"/>
      <c r="L12138" s="16" t="str">
        <f>IFERROR(__xludf.DUMMYFUNCTION("""COMPUTED_VALUE"""),"")</f>
        <v/>
      </c>
      <c r="M12138" s="16" t="str">
        <f>IFERROR(__xludf.DUMMYFUNCTION("""COMPUTED_VALUE"""),"")</f>
        <v/>
      </c>
      <c r="U12138" s="16" t="s">
        <v>87</v>
      </c>
      <c r="V12138" s="16" t="str">
        <f>IFERROR(__xludf.DUMMYFUNCTION("""COMPUTED_VALUE"""),"")</f>
        <v/>
      </c>
      <c r="W12138" s="16" t="str">
        <f>IFERROR(__xludf.DUMMYFUNCTION("""COMPUTED_VALUE"""),"")</f>
        <v/>
      </c>
      <c r="X12138" s="16" t="str">
        <f>IFERROR(__xludf.DUMMYFUNCTION("""COMPUTED_VALUE"""),"")</f>
        <v/>
      </c>
      <c r="AC12138" s="16" t="str">
        <f>IFERROR(__xludf.DUMMYFUNCTION("""COMPUTED_VALUE"""),"")</f>
        <v/>
      </c>
    </row>
    <row r="12139">
      <c r="A12139" s="16" t="s">
        <v>87</v>
      </c>
      <c r="E12139" s="16" t="str">
        <f>IFERROR(__xludf.DUMMYFUNCTION("""COMPUTED_VALUE"""),"")</f>
        <v/>
      </c>
      <c r="G12139" s="18"/>
      <c r="H12139" s="16" t="s">
        <v>87</v>
      </c>
      <c r="I12139" s="16" t="s">
        <v>87</v>
      </c>
      <c r="J12139" s="19"/>
      <c r="L12139" s="16" t="str">
        <f>IFERROR(__xludf.DUMMYFUNCTION("""COMPUTED_VALUE"""),"")</f>
        <v/>
      </c>
      <c r="M12139" s="16" t="str">
        <f>IFERROR(__xludf.DUMMYFUNCTION("""COMPUTED_VALUE"""),"")</f>
        <v/>
      </c>
      <c r="U12139" s="16" t="s">
        <v>87</v>
      </c>
      <c r="V12139" s="16" t="str">
        <f>IFERROR(__xludf.DUMMYFUNCTION("""COMPUTED_VALUE"""),"")</f>
        <v/>
      </c>
      <c r="W12139" s="16" t="str">
        <f>IFERROR(__xludf.DUMMYFUNCTION("""COMPUTED_VALUE"""),"")</f>
        <v/>
      </c>
      <c r="X12139" s="16" t="str">
        <f>IFERROR(__xludf.DUMMYFUNCTION("""COMPUTED_VALUE"""),"")</f>
        <v/>
      </c>
      <c r="AC12139" s="16" t="str">
        <f>IFERROR(__xludf.DUMMYFUNCTION("""COMPUTED_VALUE"""),"")</f>
        <v/>
      </c>
    </row>
    <row r="12140">
      <c r="A12140" s="16" t="s">
        <v>87</v>
      </c>
      <c r="E12140" s="16" t="str">
        <f>IFERROR(__xludf.DUMMYFUNCTION("""COMPUTED_VALUE"""),"")</f>
        <v/>
      </c>
      <c r="G12140" s="18"/>
      <c r="H12140" s="16" t="s">
        <v>87</v>
      </c>
      <c r="I12140" s="16" t="s">
        <v>87</v>
      </c>
      <c r="J12140" s="19"/>
      <c r="L12140" s="16" t="str">
        <f>IFERROR(__xludf.DUMMYFUNCTION("""COMPUTED_VALUE"""),"")</f>
        <v/>
      </c>
      <c r="M12140" s="16" t="str">
        <f>IFERROR(__xludf.DUMMYFUNCTION("""COMPUTED_VALUE"""),"")</f>
        <v/>
      </c>
      <c r="U12140" s="16" t="s">
        <v>87</v>
      </c>
      <c r="V12140" s="16" t="str">
        <f>IFERROR(__xludf.DUMMYFUNCTION("""COMPUTED_VALUE"""),"")</f>
        <v/>
      </c>
      <c r="W12140" s="16" t="str">
        <f>IFERROR(__xludf.DUMMYFUNCTION("""COMPUTED_VALUE"""),"")</f>
        <v/>
      </c>
      <c r="X12140" s="16" t="str">
        <f>IFERROR(__xludf.DUMMYFUNCTION("""COMPUTED_VALUE"""),"")</f>
        <v/>
      </c>
      <c r="AC12140" s="16" t="str">
        <f>IFERROR(__xludf.DUMMYFUNCTION("""COMPUTED_VALUE"""),"")</f>
        <v/>
      </c>
    </row>
    <row r="12141">
      <c r="A12141" s="16" t="s">
        <v>87</v>
      </c>
      <c r="E12141" s="16" t="str">
        <f>IFERROR(__xludf.DUMMYFUNCTION("""COMPUTED_VALUE"""),"")</f>
        <v/>
      </c>
      <c r="G12141" s="18"/>
      <c r="H12141" s="16" t="s">
        <v>87</v>
      </c>
      <c r="I12141" s="16" t="s">
        <v>87</v>
      </c>
      <c r="J12141" s="19"/>
      <c r="L12141" s="16" t="str">
        <f>IFERROR(__xludf.DUMMYFUNCTION("""COMPUTED_VALUE"""),"")</f>
        <v/>
      </c>
      <c r="M12141" s="16" t="str">
        <f>IFERROR(__xludf.DUMMYFUNCTION("""COMPUTED_VALUE"""),"")</f>
        <v/>
      </c>
      <c r="U12141" s="16" t="s">
        <v>87</v>
      </c>
      <c r="V12141" s="16" t="str">
        <f>IFERROR(__xludf.DUMMYFUNCTION("""COMPUTED_VALUE"""),"")</f>
        <v/>
      </c>
      <c r="W12141" s="16" t="str">
        <f>IFERROR(__xludf.DUMMYFUNCTION("""COMPUTED_VALUE"""),"")</f>
        <v/>
      </c>
      <c r="X12141" s="16" t="str">
        <f>IFERROR(__xludf.DUMMYFUNCTION("""COMPUTED_VALUE"""),"")</f>
        <v/>
      </c>
      <c r="AC12141" s="16" t="str">
        <f>IFERROR(__xludf.DUMMYFUNCTION("""COMPUTED_VALUE"""),"")</f>
        <v/>
      </c>
    </row>
    <row r="12142">
      <c r="A12142" s="16" t="s">
        <v>87</v>
      </c>
      <c r="E12142" s="16" t="str">
        <f>IFERROR(__xludf.DUMMYFUNCTION("""COMPUTED_VALUE"""),"")</f>
        <v/>
      </c>
      <c r="G12142" s="18"/>
      <c r="H12142" s="16" t="s">
        <v>87</v>
      </c>
      <c r="I12142" s="16" t="s">
        <v>87</v>
      </c>
      <c r="J12142" s="19"/>
      <c r="L12142" s="16" t="str">
        <f>IFERROR(__xludf.DUMMYFUNCTION("""COMPUTED_VALUE"""),"")</f>
        <v/>
      </c>
      <c r="M12142" s="16" t="str">
        <f>IFERROR(__xludf.DUMMYFUNCTION("""COMPUTED_VALUE"""),"")</f>
        <v/>
      </c>
      <c r="U12142" s="16" t="s">
        <v>87</v>
      </c>
      <c r="V12142" s="16" t="str">
        <f>IFERROR(__xludf.DUMMYFUNCTION("""COMPUTED_VALUE"""),"")</f>
        <v/>
      </c>
      <c r="W12142" s="16" t="str">
        <f>IFERROR(__xludf.DUMMYFUNCTION("""COMPUTED_VALUE"""),"")</f>
        <v/>
      </c>
      <c r="X12142" s="16" t="str">
        <f>IFERROR(__xludf.DUMMYFUNCTION("""COMPUTED_VALUE"""),"")</f>
        <v/>
      </c>
      <c r="AC12142" s="16" t="str">
        <f>IFERROR(__xludf.DUMMYFUNCTION("""COMPUTED_VALUE"""),"")</f>
        <v/>
      </c>
    </row>
    <row r="12143">
      <c r="A12143" s="16" t="s">
        <v>87</v>
      </c>
      <c r="E12143" s="16" t="str">
        <f>IFERROR(__xludf.DUMMYFUNCTION("""COMPUTED_VALUE"""),"")</f>
        <v/>
      </c>
      <c r="G12143" s="18"/>
      <c r="H12143" s="16" t="s">
        <v>87</v>
      </c>
      <c r="I12143" s="16" t="s">
        <v>87</v>
      </c>
      <c r="J12143" s="19"/>
      <c r="L12143" s="16" t="str">
        <f>IFERROR(__xludf.DUMMYFUNCTION("""COMPUTED_VALUE"""),"")</f>
        <v/>
      </c>
      <c r="M12143" s="16" t="str">
        <f>IFERROR(__xludf.DUMMYFUNCTION("""COMPUTED_VALUE"""),"")</f>
        <v/>
      </c>
      <c r="U12143" s="16" t="s">
        <v>87</v>
      </c>
      <c r="V12143" s="16" t="str">
        <f>IFERROR(__xludf.DUMMYFUNCTION("""COMPUTED_VALUE"""),"")</f>
        <v/>
      </c>
      <c r="W12143" s="16" t="str">
        <f>IFERROR(__xludf.DUMMYFUNCTION("""COMPUTED_VALUE"""),"")</f>
        <v/>
      </c>
      <c r="X12143" s="16" t="str">
        <f>IFERROR(__xludf.DUMMYFUNCTION("""COMPUTED_VALUE"""),"")</f>
        <v/>
      </c>
      <c r="AC12143" s="16" t="str">
        <f>IFERROR(__xludf.DUMMYFUNCTION("""COMPUTED_VALUE"""),"")</f>
        <v/>
      </c>
    </row>
    <row r="12144">
      <c r="A12144" s="16" t="s">
        <v>87</v>
      </c>
      <c r="E12144" s="16" t="str">
        <f>IFERROR(__xludf.DUMMYFUNCTION("""COMPUTED_VALUE"""),"")</f>
        <v/>
      </c>
      <c r="G12144" s="18"/>
      <c r="H12144" s="16" t="s">
        <v>87</v>
      </c>
      <c r="I12144" s="16" t="s">
        <v>87</v>
      </c>
      <c r="J12144" s="19"/>
      <c r="L12144" s="16" t="str">
        <f>IFERROR(__xludf.DUMMYFUNCTION("""COMPUTED_VALUE"""),"")</f>
        <v/>
      </c>
      <c r="M12144" s="16" t="str">
        <f>IFERROR(__xludf.DUMMYFUNCTION("""COMPUTED_VALUE"""),"")</f>
        <v/>
      </c>
      <c r="U12144" s="16" t="s">
        <v>87</v>
      </c>
      <c r="V12144" s="16" t="str">
        <f>IFERROR(__xludf.DUMMYFUNCTION("""COMPUTED_VALUE"""),"")</f>
        <v/>
      </c>
      <c r="W12144" s="16" t="str">
        <f>IFERROR(__xludf.DUMMYFUNCTION("""COMPUTED_VALUE"""),"")</f>
        <v/>
      </c>
      <c r="X12144" s="16" t="str">
        <f>IFERROR(__xludf.DUMMYFUNCTION("""COMPUTED_VALUE"""),"")</f>
        <v/>
      </c>
      <c r="AC12144" s="16" t="str">
        <f>IFERROR(__xludf.DUMMYFUNCTION("""COMPUTED_VALUE"""),"")</f>
        <v/>
      </c>
    </row>
    <row r="12145">
      <c r="A12145" s="16" t="s">
        <v>87</v>
      </c>
      <c r="E12145" s="16" t="str">
        <f>IFERROR(__xludf.DUMMYFUNCTION("""COMPUTED_VALUE"""),"")</f>
        <v/>
      </c>
      <c r="G12145" s="18"/>
      <c r="H12145" s="16" t="s">
        <v>87</v>
      </c>
      <c r="I12145" s="16" t="s">
        <v>87</v>
      </c>
      <c r="J12145" s="19"/>
      <c r="L12145" s="16" t="str">
        <f>IFERROR(__xludf.DUMMYFUNCTION("""COMPUTED_VALUE"""),"")</f>
        <v/>
      </c>
      <c r="M12145" s="16" t="str">
        <f>IFERROR(__xludf.DUMMYFUNCTION("""COMPUTED_VALUE"""),"")</f>
        <v/>
      </c>
      <c r="U12145" s="16" t="s">
        <v>87</v>
      </c>
      <c r="V12145" s="16" t="str">
        <f>IFERROR(__xludf.DUMMYFUNCTION("""COMPUTED_VALUE"""),"")</f>
        <v/>
      </c>
      <c r="W12145" s="16" t="str">
        <f>IFERROR(__xludf.DUMMYFUNCTION("""COMPUTED_VALUE"""),"")</f>
        <v/>
      </c>
      <c r="X12145" s="16" t="str">
        <f>IFERROR(__xludf.DUMMYFUNCTION("""COMPUTED_VALUE"""),"")</f>
        <v/>
      </c>
      <c r="AC12145" s="16" t="str">
        <f>IFERROR(__xludf.DUMMYFUNCTION("""COMPUTED_VALUE"""),"")</f>
        <v/>
      </c>
    </row>
    <row r="12146">
      <c r="A12146" s="16" t="s">
        <v>87</v>
      </c>
      <c r="E12146" s="16" t="str">
        <f>IFERROR(__xludf.DUMMYFUNCTION("""COMPUTED_VALUE"""),"")</f>
        <v/>
      </c>
      <c r="G12146" s="18"/>
      <c r="H12146" s="16" t="s">
        <v>87</v>
      </c>
      <c r="I12146" s="16" t="s">
        <v>87</v>
      </c>
      <c r="J12146" s="19"/>
      <c r="L12146" s="16" t="str">
        <f>IFERROR(__xludf.DUMMYFUNCTION("""COMPUTED_VALUE"""),"")</f>
        <v/>
      </c>
      <c r="M12146" s="16" t="str">
        <f>IFERROR(__xludf.DUMMYFUNCTION("""COMPUTED_VALUE"""),"")</f>
        <v/>
      </c>
      <c r="U12146" s="16" t="s">
        <v>87</v>
      </c>
      <c r="V12146" s="16" t="str">
        <f>IFERROR(__xludf.DUMMYFUNCTION("""COMPUTED_VALUE"""),"")</f>
        <v/>
      </c>
      <c r="W12146" s="16" t="str">
        <f>IFERROR(__xludf.DUMMYFUNCTION("""COMPUTED_VALUE"""),"")</f>
        <v/>
      </c>
      <c r="X12146" s="16" t="str">
        <f>IFERROR(__xludf.DUMMYFUNCTION("""COMPUTED_VALUE"""),"")</f>
        <v/>
      </c>
      <c r="AC12146" s="16" t="str">
        <f>IFERROR(__xludf.DUMMYFUNCTION("""COMPUTED_VALUE"""),"")</f>
        <v/>
      </c>
    </row>
    <row r="12147">
      <c r="A12147" s="16" t="s">
        <v>87</v>
      </c>
      <c r="E12147" s="16" t="str">
        <f>IFERROR(__xludf.DUMMYFUNCTION("""COMPUTED_VALUE"""),"")</f>
        <v/>
      </c>
      <c r="G12147" s="18"/>
      <c r="H12147" s="16" t="s">
        <v>87</v>
      </c>
      <c r="I12147" s="16" t="s">
        <v>87</v>
      </c>
      <c r="J12147" s="19"/>
      <c r="L12147" s="16" t="str">
        <f>IFERROR(__xludf.DUMMYFUNCTION("""COMPUTED_VALUE"""),"")</f>
        <v/>
      </c>
      <c r="M12147" s="16" t="str">
        <f>IFERROR(__xludf.DUMMYFUNCTION("""COMPUTED_VALUE"""),"")</f>
        <v/>
      </c>
      <c r="U12147" s="16" t="s">
        <v>87</v>
      </c>
      <c r="V12147" s="16" t="str">
        <f>IFERROR(__xludf.DUMMYFUNCTION("""COMPUTED_VALUE"""),"")</f>
        <v/>
      </c>
      <c r="W12147" s="16" t="str">
        <f>IFERROR(__xludf.DUMMYFUNCTION("""COMPUTED_VALUE"""),"")</f>
        <v/>
      </c>
      <c r="X12147" s="16" t="str">
        <f>IFERROR(__xludf.DUMMYFUNCTION("""COMPUTED_VALUE"""),"")</f>
        <v/>
      </c>
      <c r="AC12147" s="16" t="str">
        <f>IFERROR(__xludf.DUMMYFUNCTION("""COMPUTED_VALUE"""),"")</f>
        <v/>
      </c>
    </row>
    <row r="12148">
      <c r="A12148" s="16" t="s">
        <v>87</v>
      </c>
      <c r="E12148" s="16" t="str">
        <f>IFERROR(__xludf.DUMMYFUNCTION("""COMPUTED_VALUE"""),"")</f>
        <v/>
      </c>
      <c r="G12148" s="18"/>
      <c r="H12148" s="16" t="s">
        <v>87</v>
      </c>
      <c r="I12148" s="16" t="s">
        <v>87</v>
      </c>
      <c r="J12148" s="19"/>
      <c r="L12148" s="16" t="str">
        <f>IFERROR(__xludf.DUMMYFUNCTION("""COMPUTED_VALUE"""),"")</f>
        <v/>
      </c>
      <c r="M12148" s="16" t="str">
        <f>IFERROR(__xludf.DUMMYFUNCTION("""COMPUTED_VALUE"""),"")</f>
        <v/>
      </c>
      <c r="U12148" s="16" t="s">
        <v>87</v>
      </c>
      <c r="V12148" s="16" t="str">
        <f>IFERROR(__xludf.DUMMYFUNCTION("""COMPUTED_VALUE"""),"")</f>
        <v/>
      </c>
      <c r="W12148" s="16" t="str">
        <f>IFERROR(__xludf.DUMMYFUNCTION("""COMPUTED_VALUE"""),"")</f>
        <v/>
      </c>
      <c r="X12148" s="16" t="str">
        <f>IFERROR(__xludf.DUMMYFUNCTION("""COMPUTED_VALUE"""),"")</f>
        <v/>
      </c>
      <c r="AC12148" s="16" t="str">
        <f>IFERROR(__xludf.DUMMYFUNCTION("""COMPUTED_VALUE"""),"")</f>
        <v/>
      </c>
    </row>
    <row r="12149">
      <c r="A12149" s="16" t="s">
        <v>87</v>
      </c>
      <c r="E12149" s="16" t="str">
        <f>IFERROR(__xludf.DUMMYFUNCTION("""COMPUTED_VALUE"""),"")</f>
        <v/>
      </c>
      <c r="G12149" s="18"/>
      <c r="H12149" s="16" t="s">
        <v>87</v>
      </c>
      <c r="I12149" s="16" t="s">
        <v>87</v>
      </c>
      <c r="J12149" s="19"/>
      <c r="L12149" s="16" t="str">
        <f>IFERROR(__xludf.DUMMYFUNCTION("""COMPUTED_VALUE"""),"")</f>
        <v/>
      </c>
      <c r="M12149" s="16" t="str">
        <f>IFERROR(__xludf.DUMMYFUNCTION("""COMPUTED_VALUE"""),"")</f>
        <v/>
      </c>
      <c r="U12149" s="16" t="s">
        <v>87</v>
      </c>
      <c r="V12149" s="16" t="str">
        <f>IFERROR(__xludf.DUMMYFUNCTION("""COMPUTED_VALUE"""),"")</f>
        <v/>
      </c>
      <c r="W12149" s="16" t="str">
        <f>IFERROR(__xludf.DUMMYFUNCTION("""COMPUTED_VALUE"""),"")</f>
        <v/>
      </c>
      <c r="X12149" s="16" t="str">
        <f>IFERROR(__xludf.DUMMYFUNCTION("""COMPUTED_VALUE"""),"")</f>
        <v/>
      </c>
      <c r="AC12149" s="16" t="str">
        <f>IFERROR(__xludf.DUMMYFUNCTION("""COMPUTED_VALUE"""),"")</f>
        <v/>
      </c>
    </row>
    <row r="12150">
      <c r="A12150" s="16" t="s">
        <v>87</v>
      </c>
      <c r="E12150" s="16" t="str">
        <f>IFERROR(__xludf.DUMMYFUNCTION("""COMPUTED_VALUE"""),"")</f>
        <v/>
      </c>
      <c r="G12150" s="18"/>
      <c r="H12150" s="16" t="s">
        <v>87</v>
      </c>
      <c r="I12150" s="16" t="s">
        <v>87</v>
      </c>
      <c r="J12150" s="19"/>
      <c r="L12150" s="16" t="str">
        <f>IFERROR(__xludf.DUMMYFUNCTION("""COMPUTED_VALUE"""),"")</f>
        <v/>
      </c>
      <c r="M12150" s="16" t="str">
        <f>IFERROR(__xludf.DUMMYFUNCTION("""COMPUTED_VALUE"""),"")</f>
        <v/>
      </c>
      <c r="U12150" s="16" t="s">
        <v>87</v>
      </c>
      <c r="V12150" s="16" t="str">
        <f>IFERROR(__xludf.DUMMYFUNCTION("""COMPUTED_VALUE"""),"")</f>
        <v/>
      </c>
      <c r="W12150" s="16" t="str">
        <f>IFERROR(__xludf.DUMMYFUNCTION("""COMPUTED_VALUE"""),"")</f>
        <v/>
      </c>
      <c r="X12150" s="16" t="str">
        <f>IFERROR(__xludf.DUMMYFUNCTION("""COMPUTED_VALUE"""),"")</f>
        <v/>
      </c>
      <c r="AC12150" s="16" t="str">
        <f>IFERROR(__xludf.DUMMYFUNCTION("""COMPUTED_VALUE"""),"")</f>
        <v/>
      </c>
    </row>
    <row r="12151">
      <c r="A12151" s="16" t="s">
        <v>87</v>
      </c>
      <c r="E12151" s="16" t="str">
        <f>IFERROR(__xludf.DUMMYFUNCTION("""COMPUTED_VALUE"""),"")</f>
        <v/>
      </c>
      <c r="G12151" s="18"/>
      <c r="H12151" s="16" t="s">
        <v>87</v>
      </c>
      <c r="I12151" s="16" t="s">
        <v>87</v>
      </c>
      <c r="J12151" s="19"/>
      <c r="L12151" s="16" t="str">
        <f>IFERROR(__xludf.DUMMYFUNCTION("""COMPUTED_VALUE"""),"")</f>
        <v/>
      </c>
      <c r="M12151" s="16" t="str">
        <f>IFERROR(__xludf.DUMMYFUNCTION("""COMPUTED_VALUE"""),"")</f>
        <v/>
      </c>
      <c r="U12151" s="16" t="s">
        <v>87</v>
      </c>
      <c r="V12151" s="16" t="str">
        <f>IFERROR(__xludf.DUMMYFUNCTION("""COMPUTED_VALUE"""),"")</f>
        <v/>
      </c>
      <c r="W12151" s="16" t="str">
        <f>IFERROR(__xludf.DUMMYFUNCTION("""COMPUTED_VALUE"""),"")</f>
        <v/>
      </c>
      <c r="X12151" s="16" t="str">
        <f>IFERROR(__xludf.DUMMYFUNCTION("""COMPUTED_VALUE"""),"")</f>
        <v/>
      </c>
      <c r="AC12151" s="16" t="str">
        <f>IFERROR(__xludf.DUMMYFUNCTION("""COMPUTED_VALUE"""),"")</f>
        <v/>
      </c>
    </row>
    <row r="12152">
      <c r="A12152" s="16" t="s">
        <v>87</v>
      </c>
      <c r="E12152" s="16" t="str">
        <f>IFERROR(__xludf.DUMMYFUNCTION("""COMPUTED_VALUE"""),"")</f>
        <v/>
      </c>
      <c r="G12152" s="18"/>
      <c r="H12152" s="16" t="s">
        <v>87</v>
      </c>
      <c r="I12152" s="16" t="s">
        <v>87</v>
      </c>
      <c r="J12152" s="19"/>
      <c r="L12152" s="16" t="str">
        <f>IFERROR(__xludf.DUMMYFUNCTION("""COMPUTED_VALUE"""),"")</f>
        <v/>
      </c>
      <c r="M12152" s="16" t="str">
        <f>IFERROR(__xludf.DUMMYFUNCTION("""COMPUTED_VALUE"""),"")</f>
        <v/>
      </c>
      <c r="U12152" s="16" t="s">
        <v>87</v>
      </c>
      <c r="V12152" s="16" t="str">
        <f>IFERROR(__xludf.DUMMYFUNCTION("""COMPUTED_VALUE"""),"")</f>
        <v/>
      </c>
      <c r="W12152" s="16" t="str">
        <f>IFERROR(__xludf.DUMMYFUNCTION("""COMPUTED_VALUE"""),"")</f>
        <v/>
      </c>
      <c r="X12152" s="16" t="str">
        <f>IFERROR(__xludf.DUMMYFUNCTION("""COMPUTED_VALUE"""),"")</f>
        <v/>
      </c>
      <c r="AC12152" s="16" t="str">
        <f>IFERROR(__xludf.DUMMYFUNCTION("""COMPUTED_VALUE"""),"")</f>
        <v/>
      </c>
    </row>
    <row r="12153">
      <c r="A12153" s="16" t="s">
        <v>87</v>
      </c>
      <c r="E12153" s="16" t="str">
        <f>IFERROR(__xludf.DUMMYFUNCTION("""COMPUTED_VALUE"""),"")</f>
        <v/>
      </c>
      <c r="G12153" s="18"/>
      <c r="H12153" s="16" t="s">
        <v>87</v>
      </c>
      <c r="I12153" s="16" t="s">
        <v>87</v>
      </c>
      <c r="J12153" s="19"/>
      <c r="L12153" s="16" t="str">
        <f>IFERROR(__xludf.DUMMYFUNCTION("""COMPUTED_VALUE"""),"")</f>
        <v/>
      </c>
      <c r="M12153" s="16" t="str">
        <f>IFERROR(__xludf.DUMMYFUNCTION("""COMPUTED_VALUE"""),"")</f>
        <v/>
      </c>
      <c r="U12153" s="16" t="s">
        <v>87</v>
      </c>
      <c r="V12153" s="16" t="str">
        <f>IFERROR(__xludf.DUMMYFUNCTION("""COMPUTED_VALUE"""),"")</f>
        <v/>
      </c>
      <c r="W12153" s="16" t="str">
        <f>IFERROR(__xludf.DUMMYFUNCTION("""COMPUTED_VALUE"""),"")</f>
        <v/>
      </c>
      <c r="X12153" s="16" t="str">
        <f>IFERROR(__xludf.DUMMYFUNCTION("""COMPUTED_VALUE"""),"")</f>
        <v/>
      </c>
      <c r="AC12153" s="16" t="str">
        <f>IFERROR(__xludf.DUMMYFUNCTION("""COMPUTED_VALUE"""),"")</f>
        <v/>
      </c>
    </row>
    <row r="12154">
      <c r="A12154" s="16" t="s">
        <v>87</v>
      </c>
      <c r="E12154" s="16" t="str">
        <f>IFERROR(__xludf.DUMMYFUNCTION("""COMPUTED_VALUE"""),"")</f>
        <v/>
      </c>
      <c r="G12154" s="18"/>
      <c r="H12154" s="16" t="s">
        <v>87</v>
      </c>
      <c r="I12154" s="16" t="s">
        <v>87</v>
      </c>
      <c r="J12154" s="19"/>
      <c r="L12154" s="16" t="str">
        <f>IFERROR(__xludf.DUMMYFUNCTION("""COMPUTED_VALUE"""),"")</f>
        <v/>
      </c>
      <c r="M12154" s="16" t="str">
        <f>IFERROR(__xludf.DUMMYFUNCTION("""COMPUTED_VALUE"""),"")</f>
        <v/>
      </c>
      <c r="U12154" s="16" t="s">
        <v>87</v>
      </c>
      <c r="V12154" s="16" t="str">
        <f>IFERROR(__xludf.DUMMYFUNCTION("""COMPUTED_VALUE"""),"")</f>
        <v/>
      </c>
      <c r="W12154" s="16" t="str">
        <f>IFERROR(__xludf.DUMMYFUNCTION("""COMPUTED_VALUE"""),"")</f>
        <v/>
      </c>
      <c r="X12154" s="16" t="str">
        <f>IFERROR(__xludf.DUMMYFUNCTION("""COMPUTED_VALUE"""),"")</f>
        <v/>
      </c>
      <c r="AC12154" s="16" t="str">
        <f>IFERROR(__xludf.DUMMYFUNCTION("""COMPUTED_VALUE"""),"")</f>
        <v/>
      </c>
    </row>
    <row r="12155">
      <c r="A12155" s="16" t="s">
        <v>87</v>
      </c>
      <c r="E12155" s="16" t="str">
        <f>IFERROR(__xludf.DUMMYFUNCTION("""COMPUTED_VALUE"""),"")</f>
        <v/>
      </c>
      <c r="G12155" s="18"/>
      <c r="H12155" s="16" t="s">
        <v>87</v>
      </c>
      <c r="I12155" s="16" t="s">
        <v>87</v>
      </c>
      <c r="J12155" s="19"/>
      <c r="L12155" s="16" t="str">
        <f>IFERROR(__xludf.DUMMYFUNCTION("""COMPUTED_VALUE"""),"")</f>
        <v/>
      </c>
      <c r="M12155" s="16" t="str">
        <f>IFERROR(__xludf.DUMMYFUNCTION("""COMPUTED_VALUE"""),"")</f>
        <v/>
      </c>
      <c r="U12155" s="16" t="s">
        <v>87</v>
      </c>
      <c r="V12155" s="16" t="str">
        <f>IFERROR(__xludf.DUMMYFUNCTION("""COMPUTED_VALUE"""),"")</f>
        <v/>
      </c>
      <c r="W12155" s="16" t="str">
        <f>IFERROR(__xludf.DUMMYFUNCTION("""COMPUTED_VALUE"""),"")</f>
        <v/>
      </c>
      <c r="X12155" s="16" t="str">
        <f>IFERROR(__xludf.DUMMYFUNCTION("""COMPUTED_VALUE"""),"")</f>
        <v/>
      </c>
      <c r="AC12155" s="16" t="str">
        <f>IFERROR(__xludf.DUMMYFUNCTION("""COMPUTED_VALUE"""),"")</f>
        <v/>
      </c>
    </row>
    <row r="12156">
      <c r="A12156" s="16" t="s">
        <v>87</v>
      </c>
      <c r="E12156" s="16" t="str">
        <f>IFERROR(__xludf.DUMMYFUNCTION("""COMPUTED_VALUE"""),"")</f>
        <v/>
      </c>
      <c r="G12156" s="18"/>
      <c r="H12156" s="16" t="s">
        <v>87</v>
      </c>
      <c r="I12156" s="16" t="s">
        <v>87</v>
      </c>
      <c r="J12156" s="19"/>
      <c r="L12156" s="16" t="str">
        <f>IFERROR(__xludf.DUMMYFUNCTION("""COMPUTED_VALUE"""),"")</f>
        <v/>
      </c>
      <c r="M12156" s="16" t="str">
        <f>IFERROR(__xludf.DUMMYFUNCTION("""COMPUTED_VALUE"""),"")</f>
        <v/>
      </c>
      <c r="U12156" s="16" t="s">
        <v>87</v>
      </c>
      <c r="V12156" s="16" t="str">
        <f>IFERROR(__xludf.DUMMYFUNCTION("""COMPUTED_VALUE"""),"")</f>
        <v/>
      </c>
      <c r="W12156" s="16" t="str">
        <f>IFERROR(__xludf.DUMMYFUNCTION("""COMPUTED_VALUE"""),"")</f>
        <v/>
      </c>
      <c r="X12156" s="16" t="str">
        <f>IFERROR(__xludf.DUMMYFUNCTION("""COMPUTED_VALUE"""),"")</f>
        <v/>
      </c>
      <c r="AC12156" s="16" t="str">
        <f>IFERROR(__xludf.DUMMYFUNCTION("""COMPUTED_VALUE"""),"")</f>
        <v/>
      </c>
    </row>
    <row r="12157">
      <c r="A12157" s="16" t="s">
        <v>87</v>
      </c>
      <c r="E12157" s="16" t="str">
        <f>IFERROR(__xludf.DUMMYFUNCTION("""COMPUTED_VALUE"""),"")</f>
        <v/>
      </c>
      <c r="G12157" s="18"/>
      <c r="H12157" s="16" t="s">
        <v>87</v>
      </c>
      <c r="I12157" s="16" t="s">
        <v>87</v>
      </c>
      <c r="J12157" s="19"/>
      <c r="L12157" s="16" t="str">
        <f>IFERROR(__xludf.DUMMYFUNCTION("""COMPUTED_VALUE"""),"")</f>
        <v/>
      </c>
      <c r="M12157" s="16" t="str">
        <f>IFERROR(__xludf.DUMMYFUNCTION("""COMPUTED_VALUE"""),"")</f>
        <v/>
      </c>
      <c r="U12157" s="16" t="s">
        <v>87</v>
      </c>
      <c r="V12157" s="16" t="str">
        <f>IFERROR(__xludf.DUMMYFUNCTION("""COMPUTED_VALUE"""),"")</f>
        <v/>
      </c>
      <c r="W12157" s="16" t="str">
        <f>IFERROR(__xludf.DUMMYFUNCTION("""COMPUTED_VALUE"""),"")</f>
        <v/>
      </c>
      <c r="X12157" s="16" t="str">
        <f>IFERROR(__xludf.DUMMYFUNCTION("""COMPUTED_VALUE"""),"")</f>
        <v/>
      </c>
      <c r="AC12157" s="16" t="str">
        <f>IFERROR(__xludf.DUMMYFUNCTION("""COMPUTED_VALUE"""),"")</f>
        <v/>
      </c>
    </row>
    <row r="12158">
      <c r="A12158" s="16" t="s">
        <v>87</v>
      </c>
      <c r="E12158" s="16" t="str">
        <f>IFERROR(__xludf.DUMMYFUNCTION("""COMPUTED_VALUE"""),"")</f>
        <v/>
      </c>
      <c r="G12158" s="18"/>
      <c r="H12158" s="16" t="s">
        <v>87</v>
      </c>
      <c r="I12158" s="16" t="s">
        <v>87</v>
      </c>
      <c r="J12158" s="19"/>
      <c r="L12158" s="16" t="str">
        <f>IFERROR(__xludf.DUMMYFUNCTION("""COMPUTED_VALUE"""),"")</f>
        <v/>
      </c>
      <c r="M12158" s="16" t="str">
        <f>IFERROR(__xludf.DUMMYFUNCTION("""COMPUTED_VALUE"""),"")</f>
        <v/>
      </c>
      <c r="U12158" s="16" t="s">
        <v>87</v>
      </c>
      <c r="V12158" s="16" t="str">
        <f>IFERROR(__xludf.DUMMYFUNCTION("""COMPUTED_VALUE"""),"")</f>
        <v/>
      </c>
      <c r="W12158" s="16" t="str">
        <f>IFERROR(__xludf.DUMMYFUNCTION("""COMPUTED_VALUE"""),"")</f>
        <v/>
      </c>
      <c r="X12158" s="16" t="str">
        <f>IFERROR(__xludf.DUMMYFUNCTION("""COMPUTED_VALUE"""),"")</f>
        <v/>
      </c>
      <c r="AC12158" s="16" t="str">
        <f>IFERROR(__xludf.DUMMYFUNCTION("""COMPUTED_VALUE"""),"")</f>
        <v/>
      </c>
    </row>
    <row r="12159">
      <c r="A12159" s="16" t="s">
        <v>87</v>
      </c>
      <c r="E12159" s="16" t="str">
        <f>IFERROR(__xludf.DUMMYFUNCTION("""COMPUTED_VALUE"""),"")</f>
        <v/>
      </c>
      <c r="G12159" s="18"/>
      <c r="H12159" s="16" t="s">
        <v>87</v>
      </c>
      <c r="I12159" s="16" t="s">
        <v>87</v>
      </c>
      <c r="J12159" s="19"/>
      <c r="L12159" s="16" t="str">
        <f>IFERROR(__xludf.DUMMYFUNCTION("""COMPUTED_VALUE"""),"")</f>
        <v/>
      </c>
      <c r="M12159" s="16" t="str">
        <f>IFERROR(__xludf.DUMMYFUNCTION("""COMPUTED_VALUE"""),"")</f>
        <v/>
      </c>
      <c r="U12159" s="16" t="s">
        <v>87</v>
      </c>
      <c r="V12159" s="16" t="str">
        <f>IFERROR(__xludf.DUMMYFUNCTION("""COMPUTED_VALUE"""),"")</f>
        <v/>
      </c>
      <c r="W12159" s="16" t="str">
        <f>IFERROR(__xludf.DUMMYFUNCTION("""COMPUTED_VALUE"""),"")</f>
        <v/>
      </c>
      <c r="X12159" s="16" t="str">
        <f>IFERROR(__xludf.DUMMYFUNCTION("""COMPUTED_VALUE"""),"")</f>
        <v/>
      </c>
      <c r="AC12159" s="16" t="str">
        <f>IFERROR(__xludf.DUMMYFUNCTION("""COMPUTED_VALUE"""),"")</f>
        <v/>
      </c>
    </row>
    <row r="12160">
      <c r="A12160" s="16" t="s">
        <v>87</v>
      </c>
      <c r="E12160" s="16" t="str">
        <f>IFERROR(__xludf.DUMMYFUNCTION("""COMPUTED_VALUE"""),"")</f>
        <v/>
      </c>
      <c r="G12160" s="18"/>
      <c r="H12160" s="16" t="s">
        <v>87</v>
      </c>
      <c r="I12160" s="16" t="s">
        <v>87</v>
      </c>
      <c r="J12160" s="19"/>
      <c r="L12160" s="16" t="str">
        <f>IFERROR(__xludf.DUMMYFUNCTION("""COMPUTED_VALUE"""),"")</f>
        <v/>
      </c>
      <c r="M12160" s="16" t="str">
        <f>IFERROR(__xludf.DUMMYFUNCTION("""COMPUTED_VALUE"""),"")</f>
        <v/>
      </c>
      <c r="U12160" s="16" t="s">
        <v>87</v>
      </c>
      <c r="V12160" s="16" t="str">
        <f>IFERROR(__xludf.DUMMYFUNCTION("""COMPUTED_VALUE"""),"")</f>
        <v/>
      </c>
      <c r="W12160" s="16" t="str">
        <f>IFERROR(__xludf.DUMMYFUNCTION("""COMPUTED_VALUE"""),"")</f>
        <v/>
      </c>
      <c r="X12160" s="16" t="str">
        <f>IFERROR(__xludf.DUMMYFUNCTION("""COMPUTED_VALUE"""),"")</f>
        <v/>
      </c>
      <c r="AC12160" s="16" t="str">
        <f>IFERROR(__xludf.DUMMYFUNCTION("""COMPUTED_VALUE"""),"")</f>
        <v/>
      </c>
    </row>
    <row r="12161">
      <c r="A12161" s="16" t="s">
        <v>87</v>
      </c>
      <c r="E12161" s="16" t="str">
        <f>IFERROR(__xludf.DUMMYFUNCTION("""COMPUTED_VALUE"""),"")</f>
        <v/>
      </c>
      <c r="G12161" s="18"/>
      <c r="H12161" s="16" t="s">
        <v>87</v>
      </c>
      <c r="I12161" s="16" t="s">
        <v>87</v>
      </c>
      <c r="J12161" s="19"/>
      <c r="L12161" s="16" t="str">
        <f>IFERROR(__xludf.DUMMYFUNCTION("""COMPUTED_VALUE"""),"")</f>
        <v/>
      </c>
      <c r="M12161" s="16" t="str">
        <f>IFERROR(__xludf.DUMMYFUNCTION("""COMPUTED_VALUE"""),"")</f>
        <v/>
      </c>
      <c r="U12161" s="16" t="s">
        <v>87</v>
      </c>
      <c r="V12161" s="16" t="str">
        <f>IFERROR(__xludf.DUMMYFUNCTION("""COMPUTED_VALUE"""),"")</f>
        <v/>
      </c>
      <c r="W12161" s="16" t="str">
        <f>IFERROR(__xludf.DUMMYFUNCTION("""COMPUTED_VALUE"""),"")</f>
        <v/>
      </c>
      <c r="X12161" s="16" t="str">
        <f>IFERROR(__xludf.DUMMYFUNCTION("""COMPUTED_VALUE"""),"")</f>
        <v/>
      </c>
      <c r="AC12161" s="16" t="str">
        <f>IFERROR(__xludf.DUMMYFUNCTION("""COMPUTED_VALUE"""),"")</f>
        <v/>
      </c>
    </row>
    <row r="12162">
      <c r="A12162" s="16" t="s">
        <v>87</v>
      </c>
      <c r="E12162" s="16" t="str">
        <f>IFERROR(__xludf.DUMMYFUNCTION("""COMPUTED_VALUE"""),"")</f>
        <v/>
      </c>
      <c r="G12162" s="18"/>
      <c r="H12162" s="16" t="s">
        <v>87</v>
      </c>
      <c r="I12162" s="16" t="s">
        <v>87</v>
      </c>
      <c r="J12162" s="19"/>
      <c r="L12162" s="16" t="str">
        <f>IFERROR(__xludf.DUMMYFUNCTION("""COMPUTED_VALUE"""),"")</f>
        <v/>
      </c>
      <c r="M12162" s="16" t="str">
        <f>IFERROR(__xludf.DUMMYFUNCTION("""COMPUTED_VALUE"""),"")</f>
        <v/>
      </c>
      <c r="U12162" s="16" t="s">
        <v>87</v>
      </c>
      <c r="V12162" s="16" t="str">
        <f>IFERROR(__xludf.DUMMYFUNCTION("""COMPUTED_VALUE"""),"")</f>
        <v/>
      </c>
      <c r="W12162" s="16" t="str">
        <f>IFERROR(__xludf.DUMMYFUNCTION("""COMPUTED_VALUE"""),"")</f>
        <v/>
      </c>
      <c r="X12162" s="16" t="str">
        <f>IFERROR(__xludf.DUMMYFUNCTION("""COMPUTED_VALUE"""),"")</f>
        <v/>
      </c>
      <c r="AC12162" s="16" t="str">
        <f>IFERROR(__xludf.DUMMYFUNCTION("""COMPUTED_VALUE"""),"")</f>
        <v/>
      </c>
    </row>
    <row r="12163">
      <c r="A12163" s="16" t="s">
        <v>87</v>
      </c>
      <c r="E12163" s="16" t="str">
        <f>IFERROR(__xludf.DUMMYFUNCTION("""COMPUTED_VALUE"""),"")</f>
        <v/>
      </c>
      <c r="G12163" s="18"/>
      <c r="H12163" s="16" t="s">
        <v>87</v>
      </c>
      <c r="I12163" s="16" t="s">
        <v>87</v>
      </c>
      <c r="J12163" s="19"/>
      <c r="L12163" s="16" t="str">
        <f>IFERROR(__xludf.DUMMYFUNCTION("""COMPUTED_VALUE"""),"")</f>
        <v/>
      </c>
      <c r="M12163" s="16" t="str">
        <f>IFERROR(__xludf.DUMMYFUNCTION("""COMPUTED_VALUE"""),"")</f>
        <v/>
      </c>
      <c r="U12163" s="16" t="s">
        <v>87</v>
      </c>
      <c r="V12163" s="16" t="str">
        <f>IFERROR(__xludf.DUMMYFUNCTION("""COMPUTED_VALUE"""),"")</f>
        <v/>
      </c>
      <c r="W12163" s="16" t="str">
        <f>IFERROR(__xludf.DUMMYFUNCTION("""COMPUTED_VALUE"""),"")</f>
        <v/>
      </c>
      <c r="X12163" s="16" t="str">
        <f>IFERROR(__xludf.DUMMYFUNCTION("""COMPUTED_VALUE"""),"")</f>
        <v/>
      </c>
      <c r="AC12163" s="16" t="str">
        <f>IFERROR(__xludf.DUMMYFUNCTION("""COMPUTED_VALUE"""),"")</f>
        <v/>
      </c>
    </row>
    <row r="12164">
      <c r="A12164" s="16" t="s">
        <v>87</v>
      </c>
      <c r="E12164" s="16" t="str">
        <f>IFERROR(__xludf.DUMMYFUNCTION("""COMPUTED_VALUE"""),"")</f>
        <v/>
      </c>
      <c r="G12164" s="18"/>
      <c r="H12164" s="16" t="s">
        <v>87</v>
      </c>
      <c r="I12164" s="16" t="s">
        <v>87</v>
      </c>
      <c r="J12164" s="19"/>
      <c r="L12164" s="16" t="str">
        <f>IFERROR(__xludf.DUMMYFUNCTION("""COMPUTED_VALUE"""),"")</f>
        <v/>
      </c>
      <c r="M12164" s="16" t="str">
        <f>IFERROR(__xludf.DUMMYFUNCTION("""COMPUTED_VALUE"""),"")</f>
        <v/>
      </c>
      <c r="U12164" s="16" t="s">
        <v>87</v>
      </c>
      <c r="V12164" s="16" t="str">
        <f>IFERROR(__xludf.DUMMYFUNCTION("""COMPUTED_VALUE"""),"")</f>
        <v/>
      </c>
      <c r="W12164" s="16" t="str">
        <f>IFERROR(__xludf.DUMMYFUNCTION("""COMPUTED_VALUE"""),"")</f>
        <v/>
      </c>
      <c r="X12164" s="16" t="str">
        <f>IFERROR(__xludf.DUMMYFUNCTION("""COMPUTED_VALUE"""),"")</f>
        <v/>
      </c>
      <c r="AC12164" s="16" t="str">
        <f>IFERROR(__xludf.DUMMYFUNCTION("""COMPUTED_VALUE"""),"")</f>
        <v/>
      </c>
    </row>
    <row r="12165">
      <c r="A12165" s="16" t="s">
        <v>87</v>
      </c>
      <c r="E12165" s="16" t="str">
        <f>IFERROR(__xludf.DUMMYFUNCTION("""COMPUTED_VALUE"""),"")</f>
        <v/>
      </c>
      <c r="G12165" s="18"/>
      <c r="H12165" s="16" t="s">
        <v>87</v>
      </c>
      <c r="I12165" s="16" t="s">
        <v>87</v>
      </c>
      <c r="J12165" s="19"/>
      <c r="L12165" s="16" t="str">
        <f>IFERROR(__xludf.DUMMYFUNCTION("""COMPUTED_VALUE"""),"")</f>
        <v/>
      </c>
      <c r="M12165" s="16" t="str">
        <f>IFERROR(__xludf.DUMMYFUNCTION("""COMPUTED_VALUE"""),"")</f>
        <v/>
      </c>
      <c r="U12165" s="16" t="s">
        <v>87</v>
      </c>
      <c r="V12165" s="16" t="str">
        <f>IFERROR(__xludf.DUMMYFUNCTION("""COMPUTED_VALUE"""),"")</f>
        <v/>
      </c>
      <c r="W12165" s="16" t="str">
        <f>IFERROR(__xludf.DUMMYFUNCTION("""COMPUTED_VALUE"""),"")</f>
        <v/>
      </c>
      <c r="X12165" s="16" t="str">
        <f>IFERROR(__xludf.DUMMYFUNCTION("""COMPUTED_VALUE"""),"")</f>
        <v/>
      </c>
      <c r="AC12165" s="16" t="str">
        <f>IFERROR(__xludf.DUMMYFUNCTION("""COMPUTED_VALUE"""),"")</f>
        <v/>
      </c>
    </row>
    <row r="12166">
      <c r="A12166" s="16" t="s">
        <v>87</v>
      </c>
      <c r="E12166" s="16" t="str">
        <f>IFERROR(__xludf.DUMMYFUNCTION("""COMPUTED_VALUE"""),"")</f>
        <v/>
      </c>
      <c r="G12166" s="18"/>
      <c r="H12166" s="16" t="s">
        <v>87</v>
      </c>
      <c r="I12166" s="16" t="s">
        <v>87</v>
      </c>
      <c r="J12166" s="19"/>
      <c r="L12166" s="16" t="str">
        <f>IFERROR(__xludf.DUMMYFUNCTION("""COMPUTED_VALUE"""),"")</f>
        <v/>
      </c>
      <c r="M12166" s="16" t="str">
        <f>IFERROR(__xludf.DUMMYFUNCTION("""COMPUTED_VALUE"""),"")</f>
        <v/>
      </c>
      <c r="U12166" s="16" t="s">
        <v>87</v>
      </c>
      <c r="V12166" s="16" t="str">
        <f>IFERROR(__xludf.DUMMYFUNCTION("""COMPUTED_VALUE"""),"")</f>
        <v/>
      </c>
      <c r="W12166" s="16" t="str">
        <f>IFERROR(__xludf.DUMMYFUNCTION("""COMPUTED_VALUE"""),"")</f>
        <v/>
      </c>
      <c r="X12166" s="16" t="str">
        <f>IFERROR(__xludf.DUMMYFUNCTION("""COMPUTED_VALUE"""),"")</f>
        <v/>
      </c>
      <c r="AC12166" s="16" t="str">
        <f>IFERROR(__xludf.DUMMYFUNCTION("""COMPUTED_VALUE"""),"")</f>
        <v/>
      </c>
    </row>
    <row r="12167">
      <c r="A12167" s="16" t="s">
        <v>87</v>
      </c>
      <c r="E12167" s="16" t="str">
        <f>IFERROR(__xludf.DUMMYFUNCTION("""COMPUTED_VALUE"""),"")</f>
        <v/>
      </c>
      <c r="G12167" s="18"/>
      <c r="H12167" s="16" t="s">
        <v>87</v>
      </c>
      <c r="I12167" s="16" t="s">
        <v>87</v>
      </c>
      <c r="J12167" s="19"/>
      <c r="L12167" s="16" t="str">
        <f>IFERROR(__xludf.DUMMYFUNCTION("""COMPUTED_VALUE"""),"")</f>
        <v/>
      </c>
      <c r="M12167" s="16" t="str">
        <f>IFERROR(__xludf.DUMMYFUNCTION("""COMPUTED_VALUE"""),"")</f>
        <v/>
      </c>
      <c r="U12167" s="16" t="s">
        <v>87</v>
      </c>
      <c r="V12167" s="16" t="str">
        <f>IFERROR(__xludf.DUMMYFUNCTION("""COMPUTED_VALUE"""),"")</f>
        <v/>
      </c>
      <c r="W12167" s="16" t="str">
        <f>IFERROR(__xludf.DUMMYFUNCTION("""COMPUTED_VALUE"""),"")</f>
        <v/>
      </c>
      <c r="X12167" s="16" t="str">
        <f>IFERROR(__xludf.DUMMYFUNCTION("""COMPUTED_VALUE"""),"")</f>
        <v/>
      </c>
      <c r="AC12167" s="16" t="str">
        <f>IFERROR(__xludf.DUMMYFUNCTION("""COMPUTED_VALUE"""),"")</f>
        <v/>
      </c>
    </row>
    <row r="12168">
      <c r="A12168" s="16" t="s">
        <v>87</v>
      </c>
      <c r="E12168" s="16" t="str">
        <f>IFERROR(__xludf.DUMMYFUNCTION("""COMPUTED_VALUE"""),"")</f>
        <v/>
      </c>
      <c r="G12168" s="18"/>
      <c r="H12168" s="16" t="s">
        <v>87</v>
      </c>
      <c r="I12168" s="16" t="s">
        <v>87</v>
      </c>
      <c r="J12168" s="19"/>
      <c r="L12168" s="16" t="str">
        <f>IFERROR(__xludf.DUMMYFUNCTION("""COMPUTED_VALUE"""),"")</f>
        <v/>
      </c>
      <c r="M12168" s="16" t="str">
        <f>IFERROR(__xludf.DUMMYFUNCTION("""COMPUTED_VALUE"""),"")</f>
        <v/>
      </c>
      <c r="U12168" s="16" t="s">
        <v>87</v>
      </c>
      <c r="V12168" s="16" t="str">
        <f>IFERROR(__xludf.DUMMYFUNCTION("""COMPUTED_VALUE"""),"")</f>
        <v/>
      </c>
      <c r="W12168" s="16" t="str">
        <f>IFERROR(__xludf.DUMMYFUNCTION("""COMPUTED_VALUE"""),"")</f>
        <v/>
      </c>
      <c r="X12168" s="16" t="str">
        <f>IFERROR(__xludf.DUMMYFUNCTION("""COMPUTED_VALUE"""),"")</f>
        <v/>
      </c>
      <c r="AC12168" s="16" t="str">
        <f>IFERROR(__xludf.DUMMYFUNCTION("""COMPUTED_VALUE"""),"")</f>
        <v/>
      </c>
    </row>
    <row r="12169">
      <c r="A12169" s="16" t="s">
        <v>87</v>
      </c>
      <c r="E12169" s="16" t="str">
        <f>IFERROR(__xludf.DUMMYFUNCTION("""COMPUTED_VALUE"""),"")</f>
        <v/>
      </c>
      <c r="G12169" s="18"/>
      <c r="H12169" s="16" t="s">
        <v>87</v>
      </c>
      <c r="I12169" s="16" t="s">
        <v>87</v>
      </c>
      <c r="J12169" s="19"/>
      <c r="L12169" s="16" t="str">
        <f>IFERROR(__xludf.DUMMYFUNCTION("""COMPUTED_VALUE"""),"")</f>
        <v/>
      </c>
      <c r="M12169" s="16" t="str">
        <f>IFERROR(__xludf.DUMMYFUNCTION("""COMPUTED_VALUE"""),"")</f>
        <v/>
      </c>
      <c r="U12169" s="16" t="s">
        <v>87</v>
      </c>
      <c r="V12169" s="16" t="str">
        <f>IFERROR(__xludf.DUMMYFUNCTION("""COMPUTED_VALUE"""),"")</f>
        <v/>
      </c>
      <c r="W12169" s="16" t="str">
        <f>IFERROR(__xludf.DUMMYFUNCTION("""COMPUTED_VALUE"""),"")</f>
        <v/>
      </c>
      <c r="X12169" s="16" t="str">
        <f>IFERROR(__xludf.DUMMYFUNCTION("""COMPUTED_VALUE"""),"")</f>
        <v/>
      </c>
      <c r="AC12169" s="16" t="str">
        <f>IFERROR(__xludf.DUMMYFUNCTION("""COMPUTED_VALUE"""),"")</f>
        <v/>
      </c>
    </row>
    <row r="12170">
      <c r="A12170" s="16" t="s">
        <v>87</v>
      </c>
      <c r="E12170" s="16" t="str">
        <f>IFERROR(__xludf.DUMMYFUNCTION("""COMPUTED_VALUE"""),"")</f>
        <v/>
      </c>
      <c r="G12170" s="18"/>
      <c r="H12170" s="16" t="s">
        <v>87</v>
      </c>
      <c r="I12170" s="16" t="s">
        <v>87</v>
      </c>
      <c r="J12170" s="19"/>
      <c r="L12170" s="16" t="str">
        <f>IFERROR(__xludf.DUMMYFUNCTION("""COMPUTED_VALUE"""),"")</f>
        <v/>
      </c>
      <c r="M12170" s="16" t="str">
        <f>IFERROR(__xludf.DUMMYFUNCTION("""COMPUTED_VALUE"""),"")</f>
        <v/>
      </c>
      <c r="U12170" s="16" t="s">
        <v>87</v>
      </c>
      <c r="V12170" s="16" t="str">
        <f>IFERROR(__xludf.DUMMYFUNCTION("""COMPUTED_VALUE"""),"")</f>
        <v/>
      </c>
      <c r="W12170" s="16" t="str">
        <f>IFERROR(__xludf.DUMMYFUNCTION("""COMPUTED_VALUE"""),"")</f>
        <v/>
      </c>
      <c r="X12170" s="16" t="str">
        <f>IFERROR(__xludf.DUMMYFUNCTION("""COMPUTED_VALUE"""),"")</f>
        <v/>
      </c>
      <c r="AC12170" s="16" t="str">
        <f>IFERROR(__xludf.DUMMYFUNCTION("""COMPUTED_VALUE"""),"")</f>
        <v/>
      </c>
    </row>
    <row r="12171">
      <c r="A12171" s="16" t="s">
        <v>87</v>
      </c>
      <c r="E12171" s="16" t="str">
        <f>IFERROR(__xludf.DUMMYFUNCTION("""COMPUTED_VALUE"""),"")</f>
        <v/>
      </c>
      <c r="G12171" s="18"/>
      <c r="H12171" s="16" t="s">
        <v>87</v>
      </c>
      <c r="I12171" s="16" t="s">
        <v>87</v>
      </c>
      <c r="J12171" s="19"/>
      <c r="L12171" s="16" t="str">
        <f>IFERROR(__xludf.DUMMYFUNCTION("""COMPUTED_VALUE"""),"")</f>
        <v/>
      </c>
      <c r="M12171" s="16" t="str">
        <f>IFERROR(__xludf.DUMMYFUNCTION("""COMPUTED_VALUE"""),"")</f>
        <v/>
      </c>
      <c r="U12171" s="16" t="s">
        <v>87</v>
      </c>
      <c r="V12171" s="16" t="str">
        <f>IFERROR(__xludf.DUMMYFUNCTION("""COMPUTED_VALUE"""),"")</f>
        <v/>
      </c>
      <c r="W12171" s="16" t="str">
        <f>IFERROR(__xludf.DUMMYFUNCTION("""COMPUTED_VALUE"""),"")</f>
        <v/>
      </c>
      <c r="X12171" s="16" t="str">
        <f>IFERROR(__xludf.DUMMYFUNCTION("""COMPUTED_VALUE"""),"")</f>
        <v/>
      </c>
      <c r="AC12171" s="16" t="str">
        <f>IFERROR(__xludf.DUMMYFUNCTION("""COMPUTED_VALUE"""),"")</f>
        <v/>
      </c>
    </row>
    <row r="12172">
      <c r="A12172" s="16" t="s">
        <v>87</v>
      </c>
      <c r="E12172" s="16" t="str">
        <f>IFERROR(__xludf.DUMMYFUNCTION("""COMPUTED_VALUE"""),"")</f>
        <v/>
      </c>
      <c r="G12172" s="18"/>
      <c r="H12172" s="16" t="s">
        <v>87</v>
      </c>
      <c r="I12172" s="16" t="s">
        <v>87</v>
      </c>
      <c r="J12172" s="19"/>
      <c r="L12172" s="16" t="str">
        <f>IFERROR(__xludf.DUMMYFUNCTION("""COMPUTED_VALUE"""),"")</f>
        <v/>
      </c>
      <c r="M12172" s="16" t="str">
        <f>IFERROR(__xludf.DUMMYFUNCTION("""COMPUTED_VALUE"""),"")</f>
        <v/>
      </c>
      <c r="U12172" s="16" t="s">
        <v>87</v>
      </c>
      <c r="V12172" s="16" t="str">
        <f>IFERROR(__xludf.DUMMYFUNCTION("""COMPUTED_VALUE"""),"")</f>
        <v/>
      </c>
      <c r="W12172" s="16" t="str">
        <f>IFERROR(__xludf.DUMMYFUNCTION("""COMPUTED_VALUE"""),"")</f>
        <v/>
      </c>
      <c r="X12172" s="16" t="str">
        <f>IFERROR(__xludf.DUMMYFUNCTION("""COMPUTED_VALUE"""),"")</f>
        <v/>
      </c>
      <c r="AC12172" s="16" t="str">
        <f>IFERROR(__xludf.DUMMYFUNCTION("""COMPUTED_VALUE"""),"")</f>
        <v/>
      </c>
    </row>
    <row r="12173">
      <c r="A12173" s="16" t="s">
        <v>87</v>
      </c>
      <c r="E12173" s="16" t="str">
        <f>IFERROR(__xludf.DUMMYFUNCTION("""COMPUTED_VALUE"""),"")</f>
        <v/>
      </c>
      <c r="G12173" s="18"/>
      <c r="H12173" s="16" t="s">
        <v>87</v>
      </c>
      <c r="I12173" s="16" t="s">
        <v>87</v>
      </c>
      <c r="J12173" s="19"/>
      <c r="L12173" s="16" t="str">
        <f>IFERROR(__xludf.DUMMYFUNCTION("""COMPUTED_VALUE"""),"")</f>
        <v/>
      </c>
      <c r="M12173" s="16" t="str">
        <f>IFERROR(__xludf.DUMMYFUNCTION("""COMPUTED_VALUE"""),"")</f>
        <v/>
      </c>
      <c r="U12173" s="16" t="s">
        <v>87</v>
      </c>
      <c r="V12173" s="16" t="str">
        <f>IFERROR(__xludf.DUMMYFUNCTION("""COMPUTED_VALUE"""),"")</f>
        <v/>
      </c>
      <c r="W12173" s="16" t="str">
        <f>IFERROR(__xludf.DUMMYFUNCTION("""COMPUTED_VALUE"""),"")</f>
        <v/>
      </c>
      <c r="X12173" s="16" t="str">
        <f>IFERROR(__xludf.DUMMYFUNCTION("""COMPUTED_VALUE"""),"")</f>
        <v/>
      </c>
      <c r="AC12173" s="16" t="str">
        <f>IFERROR(__xludf.DUMMYFUNCTION("""COMPUTED_VALUE"""),"")</f>
        <v/>
      </c>
    </row>
    <row r="12174">
      <c r="A12174" s="16" t="s">
        <v>87</v>
      </c>
      <c r="E12174" s="16" t="str">
        <f>IFERROR(__xludf.DUMMYFUNCTION("""COMPUTED_VALUE"""),"")</f>
        <v/>
      </c>
      <c r="G12174" s="18"/>
      <c r="H12174" s="16" t="s">
        <v>87</v>
      </c>
      <c r="I12174" s="16" t="s">
        <v>87</v>
      </c>
      <c r="J12174" s="19"/>
      <c r="L12174" s="16" t="str">
        <f>IFERROR(__xludf.DUMMYFUNCTION("""COMPUTED_VALUE"""),"")</f>
        <v/>
      </c>
      <c r="M12174" s="16" t="str">
        <f>IFERROR(__xludf.DUMMYFUNCTION("""COMPUTED_VALUE"""),"")</f>
        <v/>
      </c>
      <c r="U12174" s="16" t="s">
        <v>87</v>
      </c>
      <c r="V12174" s="16" t="str">
        <f>IFERROR(__xludf.DUMMYFUNCTION("""COMPUTED_VALUE"""),"")</f>
        <v/>
      </c>
      <c r="W12174" s="16" t="str">
        <f>IFERROR(__xludf.DUMMYFUNCTION("""COMPUTED_VALUE"""),"")</f>
        <v/>
      </c>
      <c r="X12174" s="16" t="str">
        <f>IFERROR(__xludf.DUMMYFUNCTION("""COMPUTED_VALUE"""),"")</f>
        <v/>
      </c>
      <c r="AC12174" s="16" t="str">
        <f>IFERROR(__xludf.DUMMYFUNCTION("""COMPUTED_VALUE"""),"")</f>
        <v/>
      </c>
    </row>
    <row r="12175">
      <c r="A12175" s="16" t="s">
        <v>87</v>
      </c>
      <c r="E12175" s="16" t="str">
        <f>IFERROR(__xludf.DUMMYFUNCTION("""COMPUTED_VALUE"""),"")</f>
        <v/>
      </c>
      <c r="G12175" s="18"/>
      <c r="H12175" s="16" t="s">
        <v>87</v>
      </c>
      <c r="I12175" s="16" t="s">
        <v>87</v>
      </c>
      <c r="J12175" s="19"/>
      <c r="L12175" s="16" t="str">
        <f>IFERROR(__xludf.DUMMYFUNCTION("""COMPUTED_VALUE"""),"")</f>
        <v/>
      </c>
      <c r="M12175" s="16" t="str">
        <f>IFERROR(__xludf.DUMMYFUNCTION("""COMPUTED_VALUE"""),"")</f>
        <v/>
      </c>
      <c r="U12175" s="16" t="s">
        <v>87</v>
      </c>
      <c r="V12175" s="16" t="str">
        <f>IFERROR(__xludf.DUMMYFUNCTION("""COMPUTED_VALUE"""),"")</f>
        <v/>
      </c>
      <c r="W12175" s="16" t="str">
        <f>IFERROR(__xludf.DUMMYFUNCTION("""COMPUTED_VALUE"""),"")</f>
        <v/>
      </c>
      <c r="X12175" s="16" t="str">
        <f>IFERROR(__xludf.DUMMYFUNCTION("""COMPUTED_VALUE"""),"")</f>
        <v/>
      </c>
      <c r="AC12175" s="16" t="str">
        <f>IFERROR(__xludf.DUMMYFUNCTION("""COMPUTED_VALUE"""),"")</f>
        <v/>
      </c>
    </row>
    <row r="12176">
      <c r="A12176" s="16" t="s">
        <v>87</v>
      </c>
      <c r="E12176" s="16" t="str">
        <f>IFERROR(__xludf.DUMMYFUNCTION("""COMPUTED_VALUE"""),"")</f>
        <v/>
      </c>
      <c r="G12176" s="18"/>
      <c r="H12176" s="16" t="s">
        <v>87</v>
      </c>
      <c r="I12176" s="16" t="s">
        <v>87</v>
      </c>
      <c r="J12176" s="19"/>
      <c r="L12176" s="16" t="str">
        <f>IFERROR(__xludf.DUMMYFUNCTION("""COMPUTED_VALUE"""),"")</f>
        <v/>
      </c>
      <c r="M12176" s="16" t="str">
        <f>IFERROR(__xludf.DUMMYFUNCTION("""COMPUTED_VALUE"""),"")</f>
        <v/>
      </c>
      <c r="U12176" s="16" t="s">
        <v>87</v>
      </c>
      <c r="V12176" s="16" t="str">
        <f>IFERROR(__xludf.DUMMYFUNCTION("""COMPUTED_VALUE"""),"")</f>
        <v/>
      </c>
      <c r="W12176" s="16" t="str">
        <f>IFERROR(__xludf.DUMMYFUNCTION("""COMPUTED_VALUE"""),"")</f>
        <v/>
      </c>
      <c r="X12176" s="16" t="str">
        <f>IFERROR(__xludf.DUMMYFUNCTION("""COMPUTED_VALUE"""),"")</f>
        <v/>
      </c>
      <c r="AC12176" s="16" t="str">
        <f>IFERROR(__xludf.DUMMYFUNCTION("""COMPUTED_VALUE"""),"")</f>
        <v/>
      </c>
    </row>
    <row r="12177">
      <c r="A12177" s="16" t="s">
        <v>87</v>
      </c>
      <c r="E12177" s="16" t="str">
        <f>IFERROR(__xludf.DUMMYFUNCTION("""COMPUTED_VALUE"""),"")</f>
        <v/>
      </c>
      <c r="G12177" s="18"/>
      <c r="H12177" s="16" t="s">
        <v>87</v>
      </c>
      <c r="I12177" s="16" t="s">
        <v>87</v>
      </c>
      <c r="J12177" s="19"/>
      <c r="L12177" s="16" t="str">
        <f>IFERROR(__xludf.DUMMYFUNCTION("""COMPUTED_VALUE"""),"")</f>
        <v/>
      </c>
      <c r="M12177" s="16" t="str">
        <f>IFERROR(__xludf.DUMMYFUNCTION("""COMPUTED_VALUE"""),"")</f>
        <v/>
      </c>
      <c r="U12177" s="16" t="s">
        <v>87</v>
      </c>
      <c r="V12177" s="16" t="str">
        <f>IFERROR(__xludf.DUMMYFUNCTION("""COMPUTED_VALUE"""),"")</f>
        <v/>
      </c>
      <c r="W12177" s="16" t="str">
        <f>IFERROR(__xludf.DUMMYFUNCTION("""COMPUTED_VALUE"""),"")</f>
        <v/>
      </c>
      <c r="X12177" s="16" t="str">
        <f>IFERROR(__xludf.DUMMYFUNCTION("""COMPUTED_VALUE"""),"")</f>
        <v/>
      </c>
      <c r="AC12177" s="16" t="str">
        <f>IFERROR(__xludf.DUMMYFUNCTION("""COMPUTED_VALUE"""),"")</f>
        <v/>
      </c>
    </row>
    <row r="12178">
      <c r="A12178" s="16" t="s">
        <v>87</v>
      </c>
      <c r="E12178" s="16" t="str">
        <f>IFERROR(__xludf.DUMMYFUNCTION("""COMPUTED_VALUE"""),"")</f>
        <v/>
      </c>
      <c r="G12178" s="18"/>
      <c r="H12178" s="16" t="s">
        <v>87</v>
      </c>
      <c r="I12178" s="16" t="s">
        <v>87</v>
      </c>
      <c r="J12178" s="19"/>
      <c r="L12178" s="16" t="str">
        <f>IFERROR(__xludf.DUMMYFUNCTION("""COMPUTED_VALUE"""),"")</f>
        <v/>
      </c>
      <c r="M12178" s="16" t="str">
        <f>IFERROR(__xludf.DUMMYFUNCTION("""COMPUTED_VALUE"""),"")</f>
        <v/>
      </c>
      <c r="U12178" s="16" t="s">
        <v>87</v>
      </c>
      <c r="V12178" s="16" t="str">
        <f>IFERROR(__xludf.DUMMYFUNCTION("""COMPUTED_VALUE"""),"")</f>
        <v/>
      </c>
      <c r="W12178" s="16" t="str">
        <f>IFERROR(__xludf.DUMMYFUNCTION("""COMPUTED_VALUE"""),"")</f>
        <v/>
      </c>
      <c r="X12178" s="16" t="str">
        <f>IFERROR(__xludf.DUMMYFUNCTION("""COMPUTED_VALUE"""),"")</f>
        <v/>
      </c>
      <c r="AC12178" s="16" t="str">
        <f>IFERROR(__xludf.DUMMYFUNCTION("""COMPUTED_VALUE"""),"")</f>
        <v/>
      </c>
    </row>
    <row r="12179">
      <c r="A12179" s="16" t="s">
        <v>87</v>
      </c>
      <c r="E12179" s="16" t="str">
        <f>IFERROR(__xludf.DUMMYFUNCTION("""COMPUTED_VALUE"""),"")</f>
        <v/>
      </c>
      <c r="G12179" s="18"/>
      <c r="H12179" s="16" t="s">
        <v>87</v>
      </c>
      <c r="I12179" s="16" t="s">
        <v>87</v>
      </c>
      <c r="J12179" s="19"/>
      <c r="L12179" s="16" t="str">
        <f>IFERROR(__xludf.DUMMYFUNCTION("""COMPUTED_VALUE"""),"")</f>
        <v/>
      </c>
      <c r="M12179" s="16" t="str">
        <f>IFERROR(__xludf.DUMMYFUNCTION("""COMPUTED_VALUE"""),"")</f>
        <v/>
      </c>
      <c r="U12179" s="16" t="s">
        <v>87</v>
      </c>
      <c r="V12179" s="16" t="str">
        <f>IFERROR(__xludf.DUMMYFUNCTION("""COMPUTED_VALUE"""),"")</f>
        <v/>
      </c>
      <c r="W12179" s="16" t="str">
        <f>IFERROR(__xludf.DUMMYFUNCTION("""COMPUTED_VALUE"""),"")</f>
        <v/>
      </c>
      <c r="X12179" s="16" t="str">
        <f>IFERROR(__xludf.DUMMYFUNCTION("""COMPUTED_VALUE"""),"")</f>
        <v/>
      </c>
      <c r="AC12179" s="16" t="str">
        <f>IFERROR(__xludf.DUMMYFUNCTION("""COMPUTED_VALUE"""),"")</f>
        <v/>
      </c>
    </row>
    <row r="12180">
      <c r="A12180" s="16" t="s">
        <v>87</v>
      </c>
      <c r="E12180" s="16" t="str">
        <f>IFERROR(__xludf.DUMMYFUNCTION("""COMPUTED_VALUE"""),"")</f>
        <v/>
      </c>
      <c r="G12180" s="18"/>
      <c r="H12180" s="16" t="s">
        <v>87</v>
      </c>
      <c r="I12180" s="16" t="s">
        <v>87</v>
      </c>
      <c r="J12180" s="19"/>
      <c r="L12180" s="16" t="str">
        <f>IFERROR(__xludf.DUMMYFUNCTION("""COMPUTED_VALUE"""),"")</f>
        <v/>
      </c>
      <c r="M12180" s="16" t="str">
        <f>IFERROR(__xludf.DUMMYFUNCTION("""COMPUTED_VALUE"""),"")</f>
        <v/>
      </c>
      <c r="U12180" s="16" t="s">
        <v>87</v>
      </c>
      <c r="V12180" s="16" t="str">
        <f>IFERROR(__xludf.DUMMYFUNCTION("""COMPUTED_VALUE"""),"")</f>
        <v/>
      </c>
      <c r="W12180" s="16" t="str">
        <f>IFERROR(__xludf.DUMMYFUNCTION("""COMPUTED_VALUE"""),"")</f>
        <v/>
      </c>
      <c r="X12180" s="16" t="str">
        <f>IFERROR(__xludf.DUMMYFUNCTION("""COMPUTED_VALUE"""),"")</f>
        <v/>
      </c>
      <c r="AC12180" s="16" t="str">
        <f>IFERROR(__xludf.DUMMYFUNCTION("""COMPUTED_VALUE"""),"")</f>
        <v/>
      </c>
    </row>
    <row r="12181">
      <c r="A12181" s="16" t="s">
        <v>87</v>
      </c>
      <c r="E12181" s="16" t="str">
        <f>IFERROR(__xludf.DUMMYFUNCTION("""COMPUTED_VALUE"""),"")</f>
        <v/>
      </c>
      <c r="G12181" s="18"/>
      <c r="H12181" s="16" t="s">
        <v>87</v>
      </c>
      <c r="I12181" s="16" t="s">
        <v>87</v>
      </c>
      <c r="J12181" s="19"/>
      <c r="L12181" s="16" t="str">
        <f>IFERROR(__xludf.DUMMYFUNCTION("""COMPUTED_VALUE"""),"")</f>
        <v/>
      </c>
      <c r="M12181" s="16" t="str">
        <f>IFERROR(__xludf.DUMMYFUNCTION("""COMPUTED_VALUE"""),"")</f>
        <v/>
      </c>
      <c r="U12181" s="16" t="s">
        <v>87</v>
      </c>
      <c r="V12181" s="16" t="str">
        <f>IFERROR(__xludf.DUMMYFUNCTION("""COMPUTED_VALUE"""),"")</f>
        <v/>
      </c>
      <c r="W12181" s="16" t="str">
        <f>IFERROR(__xludf.DUMMYFUNCTION("""COMPUTED_VALUE"""),"")</f>
        <v/>
      </c>
      <c r="X12181" s="16" t="str">
        <f>IFERROR(__xludf.DUMMYFUNCTION("""COMPUTED_VALUE"""),"")</f>
        <v/>
      </c>
      <c r="AC12181" s="16" t="str">
        <f>IFERROR(__xludf.DUMMYFUNCTION("""COMPUTED_VALUE"""),"")</f>
        <v/>
      </c>
    </row>
    <row r="12182">
      <c r="A12182" s="16" t="s">
        <v>87</v>
      </c>
      <c r="E12182" s="16" t="str">
        <f>IFERROR(__xludf.DUMMYFUNCTION("""COMPUTED_VALUE"""),"")</f>
        <v/>
      </c>
      <c r="G12182" s="18"/>
      <c r="H12182" s="16" t="s">
        <v>87</v>
      </c>
      <c r="I12182" s="16" t="s">
        <v>87</v>
      </c>
      <c r="J12182" s="19"/>
      <c r="L12182" s="16" t="str">
        <f>IFERROR(__xludf.DUMMYFUNCTION("""COMPUTED_VALUE"""),"")</f>
        <v/>
      </c>
      <c r="M12182" s="16" t="str">
        <f>IFERROR(__xludf.DUMMYFUNCTION("""COMPUTED_VALUE"""),"")</f>
        <v/>
      </c>
      <c r="U12182" s="16" t="s">
        <v>87</v>
      </c>
      <c r="V12182" s="16" t="str">
        <f>IFERROR(__xludf.DUMMYFUNCTION("""COMPUTED_VALUE"""),"")</f>
        <v/>
      </c>
      <c r="W12182" s="16" t="str">
        <f>IFERROR(__xludf.DUMMYFUNCTION("""COMPUTED_VALUE"""),"")</f>
        <v/>
      </c>
      <c r="X12182" s="16" t="str">
        <f>IFERROR(__xludf.DUMMYFUNCTION("""COMPUTED_VALUE"""),"")</f>
        <v/>
      </c>
      <c r="AC12182" s="16" t="str">
        <f>IFERROR(__xludf.DUMMYFUNCTION("""COMPUTED_VALUE"""),"")</f>
        <v/>
      </c>
    </row>
    <row r="12183">
      <c r="A12183" s="16" t="s">
        <v>87</v>
      </c>
      <c r="E12183" s="16" t="str">
        <f>IFERROR(__xludf.DUMMYFUNCTION("""COMPUTED_VALUE"""),"")</f>
        <v/>
      </c>
      <c r="G12183" s="18"/>
      <c r="H12183" s="16" t="s">
        <v>87</v>
      </c>
      <c r="I12183" s="16" t="s">
        <v>87</v>
      </c>
      <c r="J12183" s="19"/>
      <c r="L12183" s="16" t="str">
        <f>IFERROR(__xludf.DUMMYFUNCTION("""COMPUTED_VALUE"""),"")</f>
        <v/>
      </c>
      <c r="M12183" s="16" t="str">
        <f>IFERROR(__xludf.DUMMYFUNCTION("""COMPUTED_VALUE"""),"")</f>
        <v/>
      </c>
      <c r="U12183" s="16" t="s">
        <v>87</v>
      </c>
      <c r="V12183" s="16" t="str">
        <f>IFERROR(__xludf.DUMMYFUNCTION("""COMPUTED_VALUE"""),"")</f>
        <v/>
      </c>
      <c r="W12183" s="16" t="str">
        <f>IFERROR(__xludf.DUMMYFUNCTION("""COMPUTED_VALUE"""),"")</f>
        <v/>
      </c>
      <c r="X12183" s="16" t="str">
        <f>IFERROR(__xludf.DUMMYFUNCTION("""COMPUTED_VALUE"""),"")</f>
        <v/>
      </c>
      <c r="AC12183" s="16" t="str">
        <f>IFERROR(__xludf.DUMMYFUNCTION("""COMPUTED_VALUE"""),"")</f>
        <v/>
      </c>
    </row>
    <row r="12184">
      <c r="A12184" s="16" t="s">
        <v>87</v>
      </c>
      <c r="E12184" s="16" t="str">
        <f>IFERROR(__xludf.DUMMYFUNCTION("""COMPUTED_VALUE"""),"")</f>
        <v/>
      </c>
      <c r="G12184" s="18"/>
      <c r="H12184" s="16" t="s">
        <v>87</v>
      </c>
      <c r="I12184" s="16" t="s">
        <v>87</v>
      </c>
      <c r="J12184" s="19"/>
      <c r="L12184" s="16" t="str">
        <f>IFERROR(__xludf.DUMMYFUNCTION("""COMPUTED_VALUE"""),"")</f>
        <v/>
      </c>
      <c r="M12184" s="16" t="str">
        <f>IFERROR(__xludf.DUMMYFUNCTION("""COMPUTED_VALUE"""),"")</f>
        <v/>
      </c>
      <c r="U12184" s="16" t="s">
        <v>87</v>
      </c>
      <c r="V12184" s="16" t="str">
        <f>IFERROR(__xludf.DUMMYFUNCTION("""COMPUTED_VALUE"""),"")</f>
        <v/>
      </c>
      <c r="W12184" s="16" t="str">
        <f>IFERROR(__xludf.DUMMYFUNCTION("""COMPUTED_VALUE"""),"")</f>
        <v/>
      </c>
      <c r="X12184" s="16" t="str">
        <f>IFERROR(__xludf.DUMMYFUNCTION("""COMPUTED_VALUE"""),"")</f>
        <v/>
      </c>
      <c r="AC12184" s="16" t="str">
        <f>IFERROR(__xludf.DUMMYFUNCTION("""COMPUTED_VALUE"""),"")</f>
        <v/>
      </c>
    </row>
    <row r="12185">
      <c r="A12185" s="16" t="s">
        <v>87</v>
      </c>
      <c r="E12185" s="16" t="str">
        <f>IFERROR(__xludf.DUMMYFUNCTION("""COMPUTED_VALUE"""),"")</f>
        <v/>
      </c>
      <c r="G12185" s="18"/>
      <c r="H12185" s="16" t="s">
        <v>87</v>
      </c>
      <c r="I12185" s="16" t="s">
        <v>87</v>
      </c>
      <c r="J12185" s="19"/>
      <c r="L12185" s="16" t="str">
        <f>IFERROR(__xludf.DUMMYFUNCTION("""COMPUTED_VALUE"""),"")</f>
        <v/>
      </c>
      <c r="M12185" s="16" t="str">
        <f>IFERROR(__xludf.DUMMYFUNCTION("""COMPUTED_VALUE"""),"")</f>
        <v/>
      </c>
      <c r="U12185" s="16" t="s">
        <v>87</v>
      </c>
      <c r="V12185" s="16" t="str">
        <f>IFERROR(__xludf.DUMMYFUNCTION("""COMPUTED_VALUE"""),"")</f>
        <v/>
      </c>
      <c r="W12185" s="16" t="str">
        <f>IFERROR(__xludf.DUMMYFUNCTION("""COMPUTED_VALUE"""),"")</f>
        <v/>
      </c>
      <c r="X12185" s="16" t="str">
        <f>IFERROR(__xludf.DUMMYFUNCTION("""COMPUTED_VALUE"""),"")</f>
        <v/>
      </c>
      <c r="AC12185" s="16" t="str">
        <f>IFERROR(__xludf.DUMMYFUNCTION("""COMPUTED_VALUE"""),"")</f>
        <v/>
      </c>
    </row>
    <row r="12186">
      <c r="A12186" s="16" t="s">
        <v>87</v>
      </c>
      <c r="E12186" s="16" t="str">
        <f>IFERROR(__xludf.DUMMYFUNCTION("""COMPUTED_VALUE"""),"")</f>
        <v/>
      </c>
      <c r="G12186" s="18"/>
      <c r="H12186" s="16" t="s">
        <v>87</v>
      </c>
      <c r="I12186" s="16" t="s">
        <v>87</v>
      </c>
      <c r="J12186" s="19"/>
      <c r="L12186" s="16" t="str">
        <f>IFERROR(__xludf.DUMMYFUNCTION("""COMPUTED_VALUE"""),"")</f>
        <v/>
      </c>
      <c r="M12186" s="16" t="str">
        <f>IFERROR(__xludf.DUMMYFUNCTION("""COMPUTED_VALUE"""),"")</f>
        <v/>
      </c>
      <c r="U12186" s="16" t="s">
        <v>87</v>
      </c>
      <c r="V12186" s="16" t="str">
        <f>IFERROR(__xludf.DUMMYFUNCTION("""COMPUTED_VALUE"""),"")</f>
        <v/>
      </c>
      <c r="W12186" s="16" t="str">
        <f>IFERROR(__xludf.DUMMYFUNCTION("""COMPUTED_VALUE"""),"")</f>
        <v/>
      </c>
      <c r="X12186" s="16" t="str">
        <f>IFERROR(__xludf.DUMMYFUNCTION("""COMPUTED_VALUE"""),"")</f>
        <v/>
      </c>
      <c r="AC12186" s="16" t="str">
        <f>IFERROR(__xludf.DUMMYFUNCTION("""COMPUTED_VALUE"""),"")</f>
        <v/>
      </c>
    </row>
    <row r="12187">
      <c r="A12187" s="16" t="s">
        <v>87</v>
      </c>
      <c r="E12187" s="16" t="str">
        <f>IFERROR(__xludf.DUMMYFUNCTION("""COMPUTED_VALUE"""),"")</f>
        <v/>
      </c>
      <c r="G12187" s="18"/>
      <c r="H12187" s="16" t="s">
        <v>87</v>
      </c>
      <c r="I12187" s="16" t="s">
        <v>87</v>
      </c>
      <c r="J12187" s="19"/>
      <c r="L12187" s="16" t="str">
        <f>IFERROR(__xludf.DUMMYFUNCTION("""COMPUTED_VALUE"""),"")</f>
        <v/>
      </c>
      <c r="M12187" s="16" t="str">
        <f>IFERROR(__xludf.DUMMYFUNCTION("""COMPUTED_VALUE"""),"")</f>
        <v/>
      </c>
      <c r="U12187" s="16" t="s">
        <v>87</v>
      </c>
      <c r="V12187" s="16" t="str">
        <f>IFERROR(__xludf.DUMMYFUNCTION("""COMPUTED_VALUE"""),"")</f>
        <v/>
      </c>
      <c r="W12187" s="16" t="str">
        <f>IFERROR(__xludf.DUMMYFUNCTION("""COMPUTED_VALUE"""),"")</f>
        <v/>
      </c>
      <c r="X12187" s="16" t="str">
        <f>IFERROR(__xludf.DUMMYFUNCTION("""COMPUTED_VALUE"""),"")</f>
        <v/>
      </c>
      <c r="AC12187" s="16" t="str">
        <f>IFERROR(__xludf.DUMMYFUNCTION("""COMPUTED_VALUE"""),"")</f>
        <v/>
      </c>
    </row>
    <row r="12188">
      <c r="A12188" s="16" t="s">
        <v>87</v>
      </c>
      <c r="E12188" s="16" t="str">
        <f>IFERROR(__xludf.DUMMYFUNCTION("""COMPUTED_VALUE"""),"")</f>
        <v/>
      </c>
      <c r="G12188" s="18"/>
      <c r="H12188" s="16" t="s">
        <v>87</v>
      </c>
      <c r="I12188" s="16" t="s">
        <v>87</v>
      </c>
      <c r="J12188" s="19"/>
      <c r="L12188" s="16" t="str">
        <f>IFERROR(__xludf.DUMMYFUNCTION("""COMPUTED_VALUE"""),"")</f>
        <v/>
      </c>
      <c r="M12188" s="16" t="str">
        <f>IFERROR(__xludf.DUMMYFUNCTION("""COMPUTED_VALUE"""),"")</f>
        <v/>
      </c>
      <c r="U12188" s="16" t="s">
        <v>87</v>
      </c>
      <c r="V12188" s="16" t="str">
        <f>IFERROR(__xludf.DUMMYFUNCTION("""COMPUTED_VALUE"""),"")</f>
        <v/>
      </c>
      <c r="W12188" s="16" t="str">
        <f>IFERROR(__xludf.DUMMYFUNCTION("""COMPUTED_VALUE"""),"")</f>
        <v/>
      </c>
      <c r="X12188" s="16" t="str">
        <f>IFERROR(__xludf.DUMMYFUNCTION("""COMPUTED_VALUE"""),"")</f>
        <v/>
      </c>
      <c r="AC12188" s="16" t="str">
        <f>IFERROR(__xludf.DUMMYFUNCTION("""COMPUTED_VALUE"""),"")</f>
        <v/>
      </c>
    </row>
    <row r="12189">
      <c r="A12189" s="16" t="s">
        <v>87</v>
      </c>
      <c r="E12189" s="16" t="str">
        <f>IFERROR(__xludf.DUMMYFUNCTION("""COMPUTED_VALUE"""),"")</f>
        <v/>
      </c>
      <c r="G12189" s="18"/>
      <c r="H12189" s="16" t="s">
        <v>87</v>
      </c>
      <c r="I12189" s="16" t="s">
        <v>87</v>
      </c>
      <c r="J12189" s="19"/>
      <c r="L12189" s="16" t="str">
        <f>IFERROR(__xludf.DUMMYFUNCTION("""COMPUTED_VALUE"""),"")</f>
        <v/>
      </c>
      <c r="M12189" s="16" t="str">
        <f>IFERROR(__xludf.DUMMYFUNCTION("""COMPUTED_VALUE"""),"")</f>
        <v/>
      </c>
      <c r="U12189" s="16" t="s">
        <v>87</v>
      </c>
      <c r="V12189" s="16" t="str">
        <f>IFERROR(__xludf.DUMMYFUNCTION("""COMPUTED_VALUE"""),"")</f>
        <v/>
      </c>
      <c r="W12189" s="16" t="str">
        <f>IFERROR(__xludf.DUMMYFUNCTION("""COMPUTED_VALUE"""),"")</f>
        <v/>
      </c>
      <c r="X12189" s="16" t="str">
        <f>IFERROR(__xludf.DUMMYFUNCTION("""COMPUTED_VALUE"""),"")</f>
        <v/>
      </c>
      <c r="AC12189" s="16" t="str">
        <f>IFERROR(__xludf.DUMMYFUNCTION("""COMPUTED_VALUE"""),"")</f>
        <v/>
      </c>
    </row>
    <row r="12190">
      <c r="A12190" s="16" t="s">
        <v>87</v>
      </c>
      <c r="E12190" s="16" t="str">
        <f>IFERROR(__xludf.DUMMYFUNCTION("""COMPUTED_VALUE"""),"")</f>
        <v/>
      </c>
      <c r="G12190" s="18"/>
      <c r="H12190" s="16" t="s">
        <v>87</v>
      </c>
      <c r="I12190" s="16" t="s">
        <v>87</v>
      </c>
      <c r="J12190" s="19"/>
      <c r="L12190" s="16" t="str">
        <f>IFERROR(__xludf.DUMMYFUNCTION("""COMPUTED_VALUE"""),"")</f>
        <v/>
      </c>
      <c r="M12190" s="16" t="str">
        <f>IFERROR(__xludf.DUMMYFUNCTION("""COMPUTED_VALUE"""),"")</f>
        <v/>
      </c>
      <c r="U12190" s="16" t="s">
        <v>87</v>
      </c>
      <c r="V12190" s="16" t="str">
        <f>IFERROR(__xludf.DUMMYFUNCTION("""COMPUTED_VALUE"""),"")</f>
        <v/>
      </c>
      <c r="W12190" s="16" t="str">
        <f>IFERROR(__xludf.DUMMYFUNCTION("""COMPUTED_VALUE"""),"")</f>
        <v/>
      </c>
      <c r="X12190" s="16" t="str">
        <f>IFERROR(__xludf.DUMMYFUNCTION("""COMPUTED_VALUE"""),"")</f>
        <v/>
      </c>
      <c r="AC12190" s="16" t="str">
        <f>IFERROR(__xludf.DUMMYFUNCTION("""COMPUTED_VALUE"""),"")</f>
        <v/>
      </c>
    </row>
    <row r="12191">
      <c r="A12191" s="16" t="s">
        <v>87</v>
      </c>
      <c r="E12191" s="16" t="str">
        <f>IFERROR(__xludf.DUMMYFUNCTION("""COMPUTED_VALUE"""),"")</f>
        <v/>
      </c>
      <c r="G12191" s="18"/>
      <c r="H12191" s="16" t="s">
        <v>87</v>
      </c>
      <c r="I12191" s="16" t="s">
        <v>87</v>
      </c>
      <c r="J12191" s="19"/>
      <c r="L12191" s="16" t="str">
        <f>IFERROR(__xludf.DUMMYFUNCTION("""COMPUTED_VALUE"""),"")</f>
        <v/>
      </c>
      <c r="M12191" s="16" t="str">
        <f>IFERROR(__xludf.DUMMYFUNCTION("""COMPUTED_VALUE"""),"")</f>
        <v/>
      </c>
      <c r="U12191" s="16" t="s">
        <v>87</v>
      </c>
      <c r="V12191" s="16" t="str">
        <f>IFERROR(__xludf.DUMMYFUNCTION("""COMPUTED_VALUE"""),"")</f>
        <v/>
      </c>
      <c r="W12191" s="16" t="str">
        <f>IFERROR(__xludf.DUMMYFUNCTION("""COMPUTED_VALUE"""),"")</f>
        <v/>
      </c>
      <c r="X12191" s="16" t="str">
        <f>IFERROR(__xludf.DUMMYFUNCTION("""COMPUTED_VALUE"""),"")</f>
        <v/>
      </c>
      <c r="AC12191" s="16" t="str">
        <f>IFERROR(__xludf.DUMMYFUNCTION("""COMPUTED_VALUE"""),"")</f>
        <v/>
      </c>
    </row>
    <row r="12192">
      <c r="A12192" s="16" t="s">
        <v>87</v>
      </c>
      <c r="E12192" s="16" t="str">
        <f>IFERROR(__xludf.DUMMYFUNCTION("""COMPUTED_VALUE"""),"")</f>
        <v/>
      </c>
      <c r="G12192" s="18"/>
      <c r="H12192" s="16" t="s">
        <v>87</v>
      </c>
      <c r="I12192" s="16" t="s">
        <v>87</v>
      </c>
      <c r="J12192" s="19"/>
      <c r="L12192" s="16" t="str">
        <f>IFERROR(__xludf.DUMMYFUNCTION("""COMPUTED_VALUE"""),"")</f>
        <v/>
      </c>
      <c r="M12192" s="16" t="str">
        <f>IFERROR(__xludf.DUMMYFUNCTION("""COMPUTED_VALUE"""),"")</f>
        <v/>
      </c>
      <c r="U12192" s="16" t="s">
        <v>87</v>
      </c>
      <c r="V12192" s="16" t="str">
        <f>IFERROR(__xludf.DUMMYFUNCTION("""COMPUTED_VALUE"""),"")</f>
        <v/>
      </c>
      <c r="W12192" s="16" t="str">
        <f>IFERROR(__xludf.DUMMYFUNCTION("""COMPUTED_VALUE"""),"")</f>
        <v/>
      </c>
      <c r="X12192" s="16" t="str">
        <f>IFERROR(__xludf.DUMMYFUNCTION("""COMPUTED_VALUE"""),"")</f>
        <v/>
      </c>
      <c r="AC12192" s="16" t="str">
        <f>IFERROR(__xludf.DUMMYFUNCTION("""COMPUTED_VALUE"""),"")</f>
        <v/>
      </c>
    </row>
    <row r="12193">
      <c r="A12193" s="16" t="s">
        <v>87</v>
      </c>
      <c r="E12193" s="16" t="str">
        <f>IFERROR(__xludf.DUMMYFUNCTION("""COMPUTED_VALUE"""),"")</f>
        <v/>
      </c>
      <c r="G12193" s="18"/>
      <c r="H12193" s="16" t="s">
        <v>87</v>
      </c>
      <c r="I12193" s="16" t="s">
        <v>87</v>
      </c>
      <c r="J12193" s="19"/>
      <c r="L12193" s="16" t="str">
        <f>IFERROR(__xludf.DUMMYFUNCTION("""COMPUTED_VALUE"""),"")</f>
        <v/>
      </c>
      <c r="M12193" s="16" t="str">
        <f>IFERROR(__xludf.DUMMYFUNCTION("""COMPUTED_VALUE"""),"")</f>
        <v/>
      </c>
      <c r="U12193" s="16" t="s">
        <v>87</v>
      </c>
      <c r="V12193" s="16" t="str">
        <f>IFERROR(__xludf.DUMMYFUNCTION("""COMPUTED_VALUE"""),"")</f>
        <v/>
      </c>
      <c r="W12193" s="16" t="str">
        <f>IFERROR(__xludf.DUMMYFUNCTION("""COMPUTED_VALUE"""),"")</f>
        <v/>
      </c>
      <c r="X12193" s="16" t="str">
        <f>IFERROR(__xludf.DUMMYFUNCTION("""COMPUTED_VALUE"""),"")</f>
        <v/>
      </c>
      <c r="AC12193" s="16" t="str">
        <f>IFERROR(__xludf.DUMMYFUNCTION("""COMPUTED_VALUE"""),"")</f>
        <v/>
      </c>
    </row>
    <row r="12194">
      <c r="A12194" s="16" t="s">
        <v>87</v>
      </c>
      <c r="E12194" s="16" t="str">
        <f>IFERROR(__xludf.DUMMYFUNCTION("""COMPUTED_VALUE"""),"")</f>
        <v/>
      </c>
      <c r="G12194" s="18"/>
      <c r="H12194" s="16" t="s">
        <v>87</v>
      </c>
      <c r="I12194" s="16" t="s">
        <v>87</v>
      </c>
      <c r="J12194" s="19"/>
      <c r="L12194" s="16" t="str">
        <f>IFERROR(__xludf.DUMMYFUNCTION("""COMPUTED_VALUE"""),"")</f>
        <v/>
      </c>
      <c r="M12194" s="16" t="str">
        <f>IFERROR(__xludf.DUMMYFUNCTION("""COMPUTED_VALUE"""),"")</f>
        <v/>
      </c>
      <c r="U12194" s="16" t="s">
        <v>87</v>
      </c>
      <c r="V12194" s="16" t="str">
        <f>IFERROR(__xludf.DUMMYFUNCTION("""COMPUTED_VALUE"""),"")</f>
        <v/>
      </c>
      <c r="W12194" s="16" t="str">
        <f>IFERROR(__xludf.DUMMYFUNCTION("""COMPUTED_VALUE"""),"")</f>
        <v/>
      </c>
      <c r="X12194" s="16" t="str">
        <f>IFERROR(__xludf.DUMMYFUNCTION("""COMPUTED_VALUE"""),"")</f>
        <v/>
      </c>
      <c r="AC12194" s="16" t="str">
        <f>IFERROR(__xludf.DUMMYFUNCTION("""COMPUTED_VALUE"""),"")</f>
        <v/>
      </c>
    </row>
    <row r="12195">
      <c r="A12195" s="16" t="s">
        <v>87</v>
      </c>
      <c r="E12195" s="16" t="str">
        <f>IFERROR(__xludf.DUMMYFUNCTION("""COMPUTED_VALUE"""),"")</f>
        <v/>
      </c>
      <c r="G12195" s="18"/>
      <c r="H12195" s="16" t="s">
        <v>87</v>
      </c>
      <c r="I12195" s="16" t="s">
        <v>87</v>
      </c>
      <c r="J12195" s="19"/>
      <c r="L12195" s="16" t="str">
        <f>IFERROR(__xludf.DUMMYFUNCTION("""COMPUTED_VALUE"""),"")</f>
        <v/>
      </c>
      <c r="M12195" s="16" t="str">
        <f>IFERROR(__xludf.DUMMYFUNCTION("""COMPUTED_VALUE"""),"")</f>
        <v/>
      </c>
      <c r="U12195" s="16" t="s">
        <v>87</v>
      </c>
      <c r="V12195" s="16" t="str">
        <f>IFERROR(__xludf.DUMMYFUNCTION("""COMPUTED_VALUE"""),"")</f>
        <v/>
      </c>
      <c r="W12195" s="16" t="str">
        <f>IFERROR(__xludf.DUMMYFUNCTION("""COMPUTED_VALUE"""),"")</f>
        <v/>
      </c>
      <c r="X12195" s="16" t="str">
        <f>IFERROR(__xludf.DUMMYFUNCTION("""COMPUTED_VALUE"""),"")</f>
        <v/>
      </c>
      <c r="AC12195" s="16" t="str">
        <f>IFERROR(__xludf.DUMMYFUNCTION("""COMPUTED_VALUE"""),"")</f>
        <v/>
      </c>
    </row>
    <row r="12196">
      <c r="A12196" s="16" t="s">
        <v>87</v>
      </c>
      <c r="E12196" s="16" t="str">
        <f>IFERROR(__xludf.DUMMYFUNCTION("""COMPUTED_VALUE"""),"")</f>
        <v/>
      </c>
      <c r="G12196" s="18"/>
      <c r="H12196" s="16" t="s">
        <v>87</v>
      </c>
      <c r="I12196" s="16" t="s">
        <v>87</v>
      </c>
      <c r="J12196" s="19"/>
      <c r="L12196" s="16" t="str">
        <f>IFERROR(__xludf.DUMMYFUNCTION("""COMPUTED_VALUE"""),"")</f>
        <v/>
      </c>
      <c r="M12196" s="16" t="str">
        <f>IFERROR(__xludf.DUMMYFUNCTION("""COMPUTED_VALUE"""),"")</f>
        <v/>
      </c>
      <c r="U12196" s="16" t="s">
        <v>87</v>
      </c>
      <c r="V12196" s="16" t="str">
        <f>IFERROR(__xludf.DUMMYFUNCTION("""COMPUTED_VALUE"""),"")</f>
        <v/>
      </c>
      <c r="W12196" s="16" t="str">
        <f>IFERROR(__xludf.DUMMYFUNCTION("""COMPUTED_VALUE"""),"")</f>
        <v/>
      </c>
      <c r="X12196" s="16" t="str">
        <f>IFERROR(__xludf.DUMMYFUNCTION("""COMPUTED_VALUE"""),"")</f>
        <v/>
      </c>
      <c r="AC12196" s="16" t="str">
        <f>IFERROR(__xludf.DUMMYFUNCTION("""COMPUTED_VALUE"""),"")</f>
        <v/>
      </c>
    </row>
    <row r="12197">
      <c r="A12197" s="16" t="s">
        <v>87</v>
      </c>
      <c r="E12197" s="16" t="str">
        <f>IFERROR(__xludf.DUMMYFUNCTION("""COMPUTED_VALUE"""),"")</f>
        <v/>
      </c>
      <c r="G12197" s="18"/>
      <c r="H12197" s="16" t="s">
        <v>87</v>
      </c>
      <c r="I12197" s="16" t="s">
        <v>87</v>
      </c>
      <c r="J12197" s="19"/>
      <c r="L12197" s="16" t="str">
        <f>IFERROR(__xludf.DUMMYFUNCTION("""COMPUTED_VALUE"""),"")</f>
        <v/>
      </c>
      <c r="M12197" s="16" t="str">
        <f>IFERROR(__xludf.DUMMYFUNCTION("""COMPUTED_VALUE"""),"")</f>
        <v/>
      </c>
      <c r="U12197" s="16" t="s">
        <v>87</v>
      </c>
      <c r="V12197" s="16" t="str">
        <f>IFERROR(__xludf.DUMMYFUNCTION("""COMPUTED_VALUE"""),"")</f>
        <v/>
      </c>
      <c r="W12197" s="16" t="str">
        <f>IFERROR(__xludf.DUMMYFUNCTION("""COMPUTED_VALUE"""),"")</f>
        <v/>
      </c>
      <c r="X12197" s="16" t="str">
        <f>IFERROR(__xludf.DUMMYFUNCTION("""COMPUTED_VALUE"""),"")</f>
        <v/>
      </c>
      <c r="AC12197" s="16" t="str">
        <f>IFERROR(__xludf.DUMMYFUNCTION("""COMPUTED_VALUE"""),"")</f>
        <v/>
      </c>
    </row>
    <row r="12198">
      <c r="A12198" s="16" t="s">
        <v>87</v>
      </c>
      <c r="E12198" s="16" t="str">
        <f>IFERROR(__xludf.DUMMYFUNCTION("""COMPUTED_VALUE"""),"")</f>
        <v/>
      </c>
      <c r="G12198" s="18"/>
      <c r="H12198" s="16" t="s">
        <v>87</v>
      </c>
      <c r="I12198" s="16" t="s">
        <v>87</v>
      </c>
      <c r="J12198" s="19"/>
      <c r="L12198" s="16" t="str">
        <f>IFERROR(__xludf.DUMMYFUNCTION("""COMPUTED_VALUE"""),"")</f>
        <v/>
      </c>
      <c r="M12198" s="16" t="str">
        <f>IFERROR(__xludf.DUMMYFUNCTION("""COMPUTED_VALUE"""),"")</f>
        <v/>
      </c>
      <c r="U12198" s="16" t="s">
        <v>87</v>
      </c>
      <c r="V12198" s="16" t="str">
        <f>IFERROR(__xludf.DUMMYFUNCTION("""COMPUTED_VALUE"""),"")</f>
        <v/>
      </c>
      <c r="W12198" s="16" t="str">
        <f>IFERROR(__xludf.DUMMYFUNCTION("""COMPUTED_VALUE"""),"")</f>
        <v/>
      </c>
      <c r="X12198" s="16" t="str">
        <f>IFERROR(__xludf.DUMMYFUNCTION("""COMPUTED_VALUE"""),"")</f>
        <v/>
      </c>
      <c r="AC12198" s="16" t="str">
        <f>IFERROR(__xludf.DUMMYFUNCTION("""COMPUTED_VALUE"""),"")</f>
        <v/>
      </c>
    </row>
    <row r="12199">
      <c r="A12199" s="16" t="s">
        <v>87</v>
      </c>
      <c r="E12199" s="16" t="str">
        <f>IFERROR(__xludf.DUMMYFUNCTION("""COMPUTED_VALUE"""),"")</f>
        <v/>
      </c>
      <c r="G12199" s="18"/>
      <c r="H12199" s="16" t="s">
        <v>87</v>
      </c>
      <c r="I12199" s="16" t="s">
        <v>87</v>
      </c>
      <c r="J12199" s="19"/>
      <c r="L12199" s="16" t="str">
        <f>IFERROR(__xludf.DUMMYFUNCTION("""COMPUTED_VALUE"""),"")</f>
        <v/>
      </c>
      <c r="M12199" s="16" t="str">
        <f>IFERROR(__xludf.DUMMYFUNCTION("""COMPUTED_VALUE"""),"")</f>
        <v/>
      </c>
      <c r="U12199" s="16" t="s">
        <v>87</v>
      </c>
      <c r="V12199" s="16" t="str">
        <f>IFERROR(__xludf.DUMMYFUNCTION("""COMPUTED_VALUE"""),"")</f>
        <v/>
      </c>
      <c r="W12199" s="16" t="str">
        <f>IFERROR(__xludf.DUMMYFUNCTION("""COMPUTED_VALUE"""),"")</f>
        <v/>
      </c>
      <c r="X12199" s="16" t="str">
        <f>IFERROR(__xludf.DUMMYFUNCTION("""COMPUTED_VALUE"""),"")</f>
        <v/>
      </c>
      <c r="AC12199" s="16" t="str">
        <f>IFERROR(__xludf.DUMMYFUNCTION("""COMPUTED_VALUE"""),"")</f>
        <v/>
      </c>
    </row>
    <row r="12200">
      <c r="A12200" s="16" t="s">
        <v>87</v>
      </c>
      <c r="E12200" s="16" t="str">
        <f>IFERROR(__xludf.DUMMYFUNCTION("""COMPUTED_VALUE"""),"")</f>
        <v/>
      </c>
      <c r="G12200" s="18"/>
      <c r="H12200" s="16" t="s">
        <v>87</v>
      </c>
      <c r="I12200" s="16" t="s">
        <v>87</v>
      </c>
      <c r="J12200" s="19"/>
      <c r="L12200" s="16" t="str">
        <f>IFERROR(__xludf.DUMMYFUNCTION("""COMPUTED_VALUE"""),"")</f>
        <v/>
      </c>
      <c r="M12200" s="16" t="str">
        <f>IFERROR(__xludf.DUMMYFUNCTION("""COMPUTED_VALUE"""),"")</f>
        <v/>
      </c>
      <c r="U12200" s="16" t="s">
        <v>87</v>
      </c>
      <c r="V12200" s="16" t="str">
        <f>IFERROR(__xludf.DUMMYFUNCTION("""COMPUTED_VALUE"""),"")</f>
        <v/>
      </c>
      <c r="W12200" s="16" t="str">
        <f>IFERROR(__xludf.DUMMYFUNCTION("""COMPUTED_VALUE"""),"")</f>
        <v/>
      </c>
      <c r="X12200" s="16" t="str">
        <f>IFERROR(__xludf.DUMMYFUNCTION("""COMPUTED_VALUE"""),"")</f>
        <v/>
      </c>
      <c r="AC12200" s="16" t="str">
        <f>IFERROR(__xludf.DUMMYFUNCTION("""COMPUTED_VALUE"""),"")</f>
        <v/>
      </c>
    </row>
    <row r="12201">
      <c r="A12201" s="16" t="s">
        <v>87</v>
      </c>
      <c r="E12201" s="16" t="str">
        <f>IFERROR(__xludf.DUMMYFUNCTION("""COMPUTED_VALUE"""),"")</f>
        <v/>
      </c>
      <c r="G12201" s="18"/>
      <c r="H12201" s="16" t="s">
        <v>87</v>
      </c>
      <c r="I12201" s="16" t="s">
        <v>87</v>
      </c>
      <c r="J12201" s="19"/>
      <c r="L12201" s="16" t="str">
        <f>IFERROR(__xludf.DUMMYFUNCTION("""COMPUTED_VALUE"""),"")</f>
        <v/>
      </c>
      <c r="M12201" s="16" t="str">
        <f>IFERROR(__xludf.DUMMYFUNCTION("""COMPUTED_VALUE"""),"")</f>
        <v/>
      </c>
      <c r="U12201" s="16" t="s">
        <v>87</v>
      </c>
      <c r="V12201" s="16" t="str">
        <f>IFERROR(__xludf.DUMMYFUNCTION("""COMPUTED_VALUE"""),"")</f>
        <v/>
      </c>
      <c r="W12201" s="16" t="str">
        <f>IFERROR(__xludf.DUMMYFUNCTION("""COMPUTED_VALUE"""),"")</f>
        <v/>
      </c>
      <c r="X12201" s="16" t="str">
        <f>IFERROR(__xludf.DUMMYFUNCTION("""COMPUTED_VALUE"""),"")</f>
        <v/>
      </c>
      <c r="AC12201" s="16" t="str">
        <f>IFERROR(__xludf.DUMMYFUNCTION("""COMPUTED_VALUE"""),"")</f>
        <v/>
      </c>
    </row>
    <row r="12202">
      <c r="A12202" s="16" t="s">
        <v>87</v>
      </c>
      <c r="E12202" s="16" t="str">
        <f>IFERROR(__xludf.DUMMYFUNCTION("""COMPUTED_VALUE"""),"")</f>
        <v/>
      </c>
      <c r="G12202" s="18"/>
      <c r="H12202" s="16" t="s">
        <v>87</v>
      </c>
      <c r="I12202" s="16" t="s">
        <v>87</v>
      </c>
      <c r="J12202" s="19"/>
      <c r="L12202" s="16" t="str">
        <f>IFERROR(__xludf.DUMMYFUNCTION("""COMPUTED_VALUE"""),"")</f>
        <v/>
      </c>
      <c r="M12202" s="16" t="str">
        <f>IFERROR(__xludf.DUMMYFUNCTION("""COMPUTED_VALUE"""),"")</f>
        <v/>
      </c>
      <c r="U12202" s="16" t="s">
        <v>87</v>
      </c>
      <c r="V12202" s="16" t="str">
        <f>IFERROR(__xludf.DUMMYFUNCTION("""COMPUTED_VALUE"""),"")</f>
        <v/>
      </c>
      <c r="W12202" s="16" t="str">
        <f>IFERROR(__xludf.DUMMYFUNCTION("""COMPUTED_VALUE"""),"")</f>
        <v/>
      </c>
      <c r="X12202" s="16" t="str">
        <f>IFERROR(__xludf.DUMMYFUNCTION("""COMPUTED_VALUE"""),"")</f>
        <v/>
      </c>
      <c r="AC12202" s="16" t="str">
        <f>IFERROR(__xludf.DUMMYFUNCTION("""COMPUTED_VALUE"""),"")</f>
        <v/>
      </c>
    </row>
    <row r="12203">
      <c r="A12203" s="16" t="s">
        <v>87</v>
      </c>
      <c r="E12203" s="16" t="str">
        <f>IFERROR(__xludf.DUMMYFUNCTION("""COMPUTED_VALUE"""),"")</f>
        <v/>
      </c>
      <c r="G12203" s="18"/>
      <c r="H12203" s="16" t="s">
        <v>87</v>
      </c>
      <c r="I12203" s="16" t="s">
        <v>87</v>
      </c>
      <c r="J12203" s="19"/>
      <c r="L12203" s="16" t="str">
        <f>IFERROR(__xludf.DUMMYFUNCTION("""COMPUTED_VALUE"""),"")</f>
        <v/>
      </c>
      <c r="M12203" s="16" t="str">
        <f>IFERROR(__xludf.DUMMYFUNCTION("""COMPUTED_VALUE"""),"")</f>
        <v/>
      </c>
      <c r="U12203" s="16" t="s">
        <v>87</v>
      </c>
      <c r="V12203" s="16" t="str">
        <f>IFERROR(__xludf.DUMMYFUNCTION("""COMPUTED_VALUE"""),"")</f>
        <v/>
      </c>
      <c r="W12203" s="16" t="str">
        <f>IFERROR(__xludf.DUMMYFUNCTION("""COMPUTED_VALUE"""),"")</f>
        <v/>
      </c>
      <c r="X12203" s="16" t="str">
        <f>IFERROR(__xludf.DUMMYFUNCTION("""COMPUTED_VALUE"""),"")</f>
        <v/>
      </c>
      <c r="AC12203" s="16" t="str">
        <f>IFERROR(__xludf.DUMMYFUNCTION("""COMPUTED_VALUE"""),"")</f>
        <v/>
      </c>
    </row>
    <row r="12204">
      <c r="A12204" s="16" t="s">
        <v>87</v>
      </c>
      <c r="E12204" s="16" t="str">
        <f>IFERROR(__xludf.DUMMYFUNCTION("""COMPUTED_VALUE"""),"")</f>
        <v/>
      </c>
      <c r="G12204" s="18"/>
      <c r="H12204" s="16" t="s">
        <v>87</v>
      </c>
      <c r="I12204" s="16" t="s">
        <v>87</v>
      </c>
      <c r="J12204" s="19"/>
      <c r="L12204" s="16" t="str">
        <f>IFERROR(__xludf.DUMMYFUNCTION("""COMPUTED_VALUE"""),"")</f>
        <v/>
      </c>
      <c r="M12204" s="16" t="str">
        <f>IFERROR(__xludf.DUMMYFUNCTION("""COMPUTED_VALUE"""),"")</f>
        <v/>
      </c>
      <c r="U12204" s="16" t="s">
        <v>87</v>
      </c>
      <c r="V12204" s="16" t="str">
        <f>IFERROR(__xludf.DUMMYFUNCTION("""COMPUTED_VALUE"""),"")</f>
        <v/>
      </c>
      <c r="W12204" s="16" t="str">
        <f>IFERROR(__xludf.DUMMYFUNCTION("""COMPUTED_VALUE"""),"")</f>
        <v/>
      </c>
      <c r="X12204" s="16" t="str">
        <f>IFERROR(__xludf.DUMMYFUNCTION("""COMPUTED_VALUE"""),"")</f>
        <v/>
      </c>
      <c r="AC12204" s="16" t="str">
        <f>IFERROR(__xludf.DUMMYFUNCTION("""COMPUTED_VALUE"""),"")</f>
        <v/>
      </c>
    </row>
    <row r="12205">
      <c r="A12205" s="16" t="s">
        <v>87</v>
      </c>
      <c r="E12205" s="16" t="str">
        <f>IFERROR(__xludf.DUMMYFUNCTION("""COMPUTED_VALUE"""),"")</f>
        <v/>
      </c>
      <c r="G12205" s="18"/>
      <c r="H12205" s="16" t="s">
        <v>87</v>
      </c>
      <c r="I12205" s="16" t="s">
        <v>87</v>
      </c>
      <c r="J12205" s="19"/>
      <c r="L12205" s="16" t="str">
        <f>IFERROR(__xludf.DUMMYFUNCTION("""COMPUTED_VALUE"""),"")</f>
        <v/>
      </c>
      <c r="M12205" s="16" t="str">
        <f>IFERROR(__xludf.DUMMYFUNCTION("""COMPUTED_VALUE"""),"")</f>
        <v/>
      </c>
      <c r="U12205" s="16" t="s">
        <v>87</v>
      </c>
      <c r="V12205" s="16" t="str">
        <f>IFERROR(__xludf.DUMMYFUNCTION("""COMPUTED_VALUE"""),"")</f>
        <v/>
      </c>
      <c r="W12205" s="16" t="str">
        <f>IFERROR(__xludf.DUMMYFUNCTION("""COMPUTED_VALUE"""),"")</f>
        <v/>
      </c>
      <c r="X12205" s="16" t="str">
        <f>IFERROR(__xludf.DUMMYFUNCTION("""COMPUTED_VALUE"""),"")</f>
        <v/>
      </c>
      <c r="AC12205" s="16" t="str">
        <f>IFERROR(__xludf.DUMMYFUNCTION("""COMPUTED_VALUE"""),"")</f>
        <v/>
      </c>
    </row>
    <row r="12206">
      <c r="A12206" s="16" t="s">
        <v>87</v>
      </c>
      <c r="E12206" s="16" t="str">
        <f>IFERROR(__xludf.DUMMYFUNCTION("""COMPUTED_VALUE"""),"")</f>
        <v/>
      </c>
      <c r="G12206" s="18"/>
      <c r="H12206" s="16" t="s">
        <v>87</v>
      </c>
      <c r="I12206" s="16" t="s">
        <v>87</v>
      </c>
      <c r="J12206" s="19"/>
      <c r="L12206" s="16" t="str">
        <f>IFERROR(__xludf.DUMMYFUNCTION("""COMPUTED_VALUE"""),"")</f>
        <v/>
      </c>
      <c r="M12206" s="16" t="str">
        <f>IFERROR(__xludf.DUMMYFUNCTION("""COMPUTED_VALUE"""),"")</f>
        <v/>
      </c>
      <c r="U12206" s="16" t="s">
        <v>87</v>
      </c>
      <c r="V12206" s="16" t="str">
        <f>IFERROR(__xludf.DUMMYFUNCTION("""COMPUTED_VALUE"""),"")</f>
        <v/>
      </c>
      <c r="W12206" s="16" t="str">
        <f>IFERROR(__xludf.DUMMYFUNCTION("""COMPUTED_VALUE"""),"")</f>
        <v/>
      </c>
      <c r="X12206" s="16" t="str">
        <f>IFERROR(__xludf.DUMMYFUNCTION("""COMPUTED_VALUE"""),"")</f>
        <v/>
      </c>
      <c r="AC12206" s="16" t="str">
        <f>IFERROR(__xludf.DUMMYFUNCTION("""COMPUTED_VALUE"""),"")</f>
        <v/>
      </c>
    </row>
    <row r="12207">
      <c r="A12207" s="16" t="s">
        <v>87</v>
      </c>
      <c r="E12207" s="16" t="str">
        <f>IFERROR(__xludf.DUMMYFUNCTION("""COMPUTED_VALUE"""),"")</f>
        <v/>
      </c>
      <c r="G12207" s="18"/>
      <c r="H12207" s="16" t="s">
        <v>87</v>
      </c>
      <c r="I12207" s="16" t="s">
        <v>87</v>
      </c>
      <c r="J12207" s="19"/>
      <c r="L12207" s="16" t="str">
        <f>IFERROR(__xludf.DUMMYFUNCTION("""COMPUTED_VALUE"""),"")</f>
        <v/>
      </c>
      <c r="M12207" s="16" t="str">
        <f>IFERROR(__xludf.DUMMYFUNCTION("""COMPUTED_VALUE"""),"")</f>
        <v/>
      </c>
      <c r="U12207" s="16" t="s">
        <v>87</v>
      </c>
      <c r="V12207" s="16" t="str">
        <f>IFERROR(__xludf.DUMMYFUNCTION("""COMPUTED_VALUE"""),"")</f>
        <v/>
      </c>
      <c r="W12207" s="16" t="str">
        <f>IFERROR(__xludf.DUMMYFUNCTION("""COMPUTED_VALUE"""),"")</f>
        <v/>
      </c>
      <c r="X12207" s="16" t="str">
        <f>IFERROR(__xludf.DUMMYFUNCTION("""COMPUTED_VALUE"""),"")</f>
        <v/>
      </c>
      <c r="AC12207" s="16" t="str">
        <f>IFERROR(__xludf.DUMMYFUNCTION("""COMPUTED_VALUE"""),"")</f>
        <v/>
      </c>
    </row>
    <row r="12208">
      <c r="A12208" s="16" t="s">
        <v>87</v>
      </c>
      <c r="E12208" s="16" t="str">
        <f>IFERROR(__xludf.DUMMYFUNCTION("""COMPUTED_VALUE"""),"")</f>
        <v/>
      </c>
      <c r="G12208" s="18"/>
      <c r="H12208" s="16" t="s">
        <v>87</v>
      </c>
      <c r="I12208" s="16" t="s">
        <v>87</v>
      </c>
      <c r="J12208" s="19"/>
      <c r="L12208" s="16" t="str">
        <f>IFERROR(__xludf.DUMMYFUNCTION("""COMPUTED_VALUE"""),"")</f>
        <v/>
      </c>
      <c r="M12208" s="16" t="str">
        <f>IFERROR(__xludf.DUMMYFUNCTION("""COMPUTED_VALUE"""),"")</f>
        <v/>
      </c>
      <c r="U12208" s="16" t="s">
        <v>87</v>
      </c>
      <c r="V12208" s="16" t="str">
        <f>IFERROR(__xludf.DUMMYFUNCTION("""COMPUTED_VALUE"""),"")</f>
        <v/>
      </c>
      <c r="W12208" s="16" t="str">
        <f>IFERROR(__xludf.DUMMYFUNCTION("""COMPUTED_VALUE"""),"")</f>
        <v/>
      </c>
      <c r="X12208" s="16" t="str">
        <f>IFERROR(__xludf.DUMMYFUNCTION("""COMPUTED_VALUE"""),"")</f>
        <v/>
      </c>
      <c r="AC12208" s="16" t="str">
        <f>IFERROR(__xludf.DUMMYFUNCTION("""COMPUTED_VALUE"""),"")</f>
        <v/>
      </c>
    </row>
    <row r="12209">
      <c r="A12209" s="16" t="s">
        <v>87</v>
      </c>
      <c r="E12209" s="16" t="str">
        <f>IFERROR(__xludf.DUMMYFUNCTION("""COMPUTED_VALUE"""),"")</f>
        <v/>
      </c>
      <c r="G12209" s="18"/>
      <c r="H12209" s="16" t="s">
        <v>87</v>
      </c>
      <c r="I12209" s="16" t="s">
        <v>87</v>
      </c>
      <c r="J12209" s="19"/>
      <c r="L12209" s="16" t="str">
        <f>IFERROR(__xludf.DUMMYFUNCTION("""COMPUTED_VALUE"""),"")</f>
        <v/>
      </c>
      <c r="M12209" s="16" t="str">
        <f>IFERROR(__xludf.DUMMYFUNCTION("""COMPUTED_VALUE"""),"")</f>
        <v/>
      </c>
      <c r="U12209" s="16" t="s">
        <v>87</v>
      </c>
      <c r="V12209" s="16" t="str">
        <f>IFERROR(__xludf.DUMMYFUNCTION("""COMPUTED_VALUE"""),"")</f>
        <v/>
      </c>
      <c r="W12209" s="16" t="str">
        <f>IFERROR(__xludf.DUMMYFUNCTION("""COMPUTED_VALUE"""),"")</f>
        <v/>
      </c>
      <c r="X12209" s="16" t="str">
        <f>IFERROR(__xludf.DUMMYFUNCTION("""COMPUTED_VALUE"""),"")</f>
        <v/>
      </c>
      <c r="AC12209" s="16" t="str">
        <f>IFERROR(__xludf.DUMMYFUNCTION("""COMPUTED_VALUE"""),"")</f>
        <v/>
      </c>
    </row>
    <row r="12210">
      <c r="A12210" s="16" t="s">
        <v>87</v>
      </c>
      <c r="E12210" s="16" t="str">
        <f>IFERROR(__xludf.DUMMYFUNCTION("""COMPUTED_VALUE"""),"")</f>
        <v/>
      </c>
      <c r="G12210" s="18"/>
      <c r="H12210" s="16" t="s">
        <v>87</v>
      </c>
      <c r="I12210" s="16" t="s">
        <v>87</v>
      </c>
      <c r="J12210" s="19"/>
      <c r="L12210" s="16" t="str">
        <f>IFERROR(__xludf.DUMMYFUNCTION("""COMPUTED_VALUE"""),"")</f>
        <v/>
      </c>
      <c r="M12210" s="16" t="str">
        <f>IFERROR(__xludf.DUMMYFUNCTION("""COMPUTED_VALUE"""),"")</f>
        <v/>
      </c>
      <c r="U12210" s="16" t="s">
        <v>87</v>
      </c>
      <c r="V12210" s="16" t="str">
        <f>IFERROR(__xludf.DUMMYFUNCTION("""COMPUTED_VALUE"""),"")</f>
        <v/>
      </c>
      <c r="W12210" s="16" t="str">
        <f>IFERROR(__xludf.DUMMYFUNCTION("""COMPUTED_VALUE"""),"")</f>
        <v/>
      </c>
      <c r="X12210" s="16" t="str">
        <f>IFERROR(__xludf.DUMMYFUNCTION("""COMPUTED_VALUE"""),"")</f>
        <v/>
      </c>
      <c r="AC12210" s="16" t="str">
        <f>IFERROR(__xludf.DUMMYFUNCTION("""COMPUTED_VALUE"""),"")</f>
        <v/>
      </c>
    </row>
    <row r="12211">
      <c r="A12211" s="16" t="s">
        <v>87</v>
      </c>
      <c r="E12211" s="16" t="str">
        <f>IFERROR(__xludf.DUMMYFUNCTION("""COMPUTED_VALUE"""),"")</f>
        <v/>
      </c>
      <c r="G12211" s="18"/>
      <c r="H12211" s="16" t="s">
        <v>87</v>
      </c>
      <c r="I12211" s="16" t="s">
        <v>87</v>
      </c>
      <c r="J12211" s="19"/>
      <c r="L12211" s="16" t="str">
        <f>IFERROR(__xludf.DUMMYFUNCTION("""COMPUTED_VALUE"""),"")</f>
        <v/>
      </c>
      <c r="M12211" s="16" t="str">
        <f>IFERROR(__xludf.DUMMYFUNCTION("""COMPUTED_VALUE"""),"")</f>
        <v/>
      </c>
      <c r="U12211" s="16" t="s">
        <v>87</v>
      </c>
      <c r="V12211" s="16" t="str">
        <f>IFERROR(__xludf.DUMMYFUNCTION("""COMPUTED_VALUE"""),"")</f>
        <v/>
      </c>
      <c r="W12211" s="16" t="str">
        <f>IFERROR(__xludf.DUMMYFUNCTION("""COMPUTED_VALUE"""),"")</f>
        <v/>
      </c>
      <c r="X12211" s="16" t="str">
        <f>IFERROR(__xludf.DUMMYFUNCTION("""COMPUTED_VALUE"""),"")</f>
        <v/>
      </c>
      <c r="AC12211" s="16" t="str">
        <f>IFERROR(__xludf.DUMMYFUNCTION("""COMPUTED_VALUE"""),"")</f>
        <v/>
      </c>
    </row>
    <row r="12212">
      <c r="A12212" s="16" t="s">
        <v>87</v>
      </c>
      <c r="E12212" s="16" t="str">
        <f>IFERROR(__xludf.DUMMYFUNCTION("""COMPUTED_VALUE"""),"")</f>
        <v/>
      </c>
      <c r="G12212" s="18"/>
      <c r="H12212" s="16" t="s">
        <v>87</v>
      </c>
      <c r="I12212" s="16" t="s">
        <v>87</v>
      </c>
      <c r="J12212" s="19"/>
      <c r="L12212" s="16" t="str">
        <f>IFERROR(__xludf.DUMMYFUNCTION("""COMPUTED_VALUE"""),"")</f>
        <v/>
      </c>
      <c r="M12212" s="16" t="str">
        <f>IFERROR(__xludf.DUMMYFUNCTION("""COMPUTED_VALUE"""),"")</f>
        <v/>
      </c>
      <c r="U12212" s="16" t="s">
        <v>87</v>
      </c>
      <c r="V12212" s="16" t="str">
        <f>IFERROR(__xludf.DUMMYFUNCTION("""COMPUTED_VALUE"""),"")</f>
        <v/>
      </c>
      <c r="W12212" s="16" t="str">
        <f>IFERROR(__xludf.DUMMYFUNCTION("""COMPUTED_VALUE"""),"")</f>
        <v/>
      </c>
      <c r="X12212" s="16" t="str">
        <f>IFERROR(__xludf.DUMMYFUNCTION("""COMPUTED_VALUE"""),"")</f>
        <v/>
      </c>
      <c r="AC12212" s="16" t="str">
        <f>IFERROR(__xludf.DUMMYFUNCTION("""COMPUTED_VALUE"""),"")</f>
        <v/>
      </c>
    </row>
    <row r="12213">
      <c r="A12213" s="16" t="s">
        <v>87</v>
      </c>
      <c r="E12213" s="16" t="str">
        <f>IFERROR(__xludf.DUMMYFUNCTION("""COMPUTED_VALUE"""),"")</f>
        <v/>
      </c>
      <c r="G12213" s="18"/>
      <c r="H12213" s="16" t="s">
        <v>87</v>
      </c>
      <c r="I12213" s="16" t="s">
        <v>87</v>
      </c>
      <c r="J12213" s="19"/>
      <c r="L12213" s="16" t="str">
        <f>IFERROR(__xludf.DUMMYFUNCTION("""COMPUTED_VALUE"""),"")</f>
        <v/>
      </c>
      <c r="M12213" s="16" t="str">
        <f>IFERROR(__xludf.DUMMYFUNCTION("""COMPUTED_VALUE"""),"")</f>
        <v/>
      </c>
      <c r="U12213" s="16" t="s">
        <v>87</v>
      </c>
      <c r="V12213" s="16" t="str">
        <f>IFERROR(__xludf.DUMMYFUNCTION("""COMPUTED_VALUE"""),"")</f>
        <v/>
      </c>
      <c r="W12213" s="16" t="str">
        <f>IFERROR(__xludf.DUMMYFUNCTION("""COMPUTED_VALUE"""),"")</f>
        <v/>
      </c>
      <c r="X12213" s="16" t="str">
        <f>IFERROR(__xludf.DUMMYFUNCTION("""COMPUTED_VALUE"""),"")</f>
        <v/>
      </c>
      <c r="AC12213" s="16" t="str">
        <f>IFERROR(__xludf.DUMMYFUNCTION("""COMPUTED_VALUE"""),"")</f>
        <v/>
      </c>
    </row>
    <row r="12214">
      <c r="A12214" s="16" t="s">
        <v>87</v>
      </c>
      <c r="E12214" s="16" t="str">
        <f>IFERROR(__xludf.DUMMYFUNCTION("""COMPUTED_VALUE"""),"")</f>
        <v/>
      </c>
      <c r="G12214" s="18"/>
      <c r="H12214" s="16" t="s">
        <v>87</v>
      </c>
      <c r="I12214" s="16" t="s">
        <v>87</v>
      </c>
      <c r="J12214" s="19"/>
      <c r="L12214" s="16" t="str">
        <f>IFERROR(__xludf.DUMMYFUNCTION("""COMPUTED_VALUE"""),"")</f>
        <v/>
      </c>
      <c r="M12214" s="16" t="str">
        <f>IFERROR(__xludf.DUMMYFUNCTION("""COMPUTED_VALUE"""),"")</f>
        <v/>
      </c>
      <c r="U12214" s="16" t="s">
        <v>87</v>
      </c>
      <c r="V12214" s="16" t="str">
        <f>IFERROR(__xludf.DUMMYFUNCTION("""COMPUTED_VALUE"""),"")</f>
        <v/>
      </c>
      <c r="W12214" s="16" t="str">
        <f>IFERROR(__xludf.DUMMYFUNCTION("""COMPUTED_VALUE"""),"")</f>
        <v/>
      </c>
      <c r="X12214" s="16" t="str">
        <f>IFERROR(__xludf.DUMMYFUNCTION("""COMPUTED_VALUE"""),"")</f>
        <v/>
      </c>
      <c r="AC12214" s="16" t="str">
        <f>IFERROR(__xludf.DUMMYFUNCTION("""COMPUTED_VALUE"""),"")</f>
        <v/>
      </c>
    </row>
    <row r="12215">
      <c r="A12215" s="16" t="s">
        <v>87</v>
      </c>
      <c r="E12215" s="16" t="str">
        <f>IFERROR(__xludf.DUMMYFUNCTION("""COMPUTED_VALUE"""),"")</f>
        <v/>
      </c>
      <c r="G12215" s="18"/>
      <c r="H12215" s="16" t="s">
        <v>87</v>
      </c>
      <c r="I12215" s="16" t="s">
        <v>87</v>
      </c>
      <c r="J12215" s="19"/>
      <c r="L12215" s="16" t="str">
        <f>IFERROR(__xludf.DUMMYFUNCTION("""COMPUTED_VALUE"""),"")</f>
        <v/>
      </c>
      <c r="M12215" s="16" t="str">
        <f>IFERROR(__xludf.DUMMYFUNCTION("""COMPUTED_VALUE"""),"")</f>
        <v/>
      </c>
      <c r="U12215" s="16" t="s">
        <v>87</v>
      </c>
      <c r="V12215" s="16" t="str">
        <f>IFERROR(__xludf.DUMMYFUNCTION("""COMPUTED_VALUE"""),"")</f>
        <v/>
      </c>
      <c r="W12215" s="16" t="str">
        <f>IFERROR(__xludf.DUMMYFUNCTION("""COMPUTED_VALUE"""),"")</f>
        <v/>
      </c>
      <c r="X12215" s="16" t="str">
        <f>IFERROR(__xludf.DUMMYFUNCTION("""COMPUTED_VALUE"""),"")</f>
        <v/>
      </c>
      <c r="AC12215" s="16" t="str">
        <f>IFERROR(__xludf.DUMMYFUNCTION("""COMPUTED_VALUE"""),"")</f>
        <v/>
      </c>
    </row>
    <row r="12216">
      <c r="A12216" s="16" t="s">
        <v>87</v>
      </c>
      <c r="E12216" s="16" t="str">
        <f>IFERROR(__xludf.DUMMYFUNCTION("""COMPUTED_VALUE"""),"")</f>
        <v/>
      </c>
      <c r="G12216" s="18"/>
      <c r="H12216" s="16" t="s">
        <v>87</v>
      </c>
      <c r="I12216" s="16" t="s">
        <v>87</v>
      </c>
      <c r="J12216" s="19"/>
      <c r="L12216" s="16" t="str">
        <f>IFERROR(__xludf.DUMMYFUNCTION("""COMPUTED_VALUE"""),"")</f>
        <v/>
      </c>
      <c r="M12216" s="16" t="str">
        <f>IFERROR(__xludf.DUMMYFUNCTION("""COMPUTED_VALUE"""),"")</f>
        <v/>
      </c>
      <c r="U12216" s="16" t="s">
        <v>87</v>
      </c>
      <c r="V12216" s="16" t="str">
        <f>IFERROR(__xludf.DUMMYFUNCTION("""COMPUTED_VALUE"""),"")</f>
        <v/>
      </c>
      <c r="W12216" s="16" t="str">
        <f>IFERROR(__xludf.DUMMYFUNCTION("""COMPUTED_VALUE"""),"")</f>
        <v/>
      </c>
      <c r="X12216" s="16" t="str">
        <f>IFERROR(__xludf.DUMMYFUNCTION("""COMPUTED_VALUE"""),"")</f>
        <v/>
      </c>
      <c r="AC12216" s="16" t="str">
        <f>IFERROR(__xludf.DUMMYFUNCTION("""COMPUTED_VALUE"""),"")</f>
        <v/>
      </c>
    </row>
    <row r="12217">
      <c r="A12217" s="16" t="s">
        <v>87</v>
      </c>
      <c r="E12217" s="16" t="str">
        <f>IFERROR(__xludf.DUMMYFUNCTION("""COMPUTED_VALUE"""),"")</f>
        <v/>
      </c>
      <c r="G12217" s="18"/>
      <c r="H12217" s="16" t="s">
        <v>87</v>
      </c>
      <c r="I12217" s="16" t="s">
        <v>87</v>
      </c>
      <c r="J12217" s="19"/>
      <c r="L12217" s="16" t="str">
        <f>IFERROR(__xludf.DUMMYFUNCTION("""COMPUTED_VALUE"""),"")</f>
        <v/>
      </c>
      <c r="M12217" s="16" t="str">
        <f>IFERROR(__xludf.DUMMYFUNCTION("""COMPUTED_VALUE"""),"")</f>
        <v/>
      </c>
      <c r="U12217" s="16" t="s">
        <v>87</v>
      </c>
      <c r="V12217" s="16" t="str">
        <f>IFERROR(__xludf.DUMMYFUNCTION("""COMPUTED_VALUE"""),"")</f>
        <v/>
      </c>
      <c r="W12217" s="16" t="str">
        <f>IFERROR(__xludf.DUMMYFUNCTION("""COMPUTED_VALUE"""),"")</f>
        <v/>
      </c>
      <c r="X12217" s="16" t="str">
        <f>IFERROR(__xludf.DUMMYFUNCTION("""COMPUTED_VALUE"""),"")</f>
        <v/>
      </c>
      <c r="AC12217" s="16" t="str">
        <f>IFERROR(__xludf.DUMMYFUNCTION("""COMPUTED_VALUE"""),"")</f>
        <v/>
      </c>
    </row>
    <row r="12218">
      <c r="A12218" s="16" t="s">
        <v>87</v>
      </c>
      <c r="E12218" s="16" t="str">
        <f>IFERROR(__xludf.DUMMYFUNCTION("""COMPUTED_VALUE"""),"")</f>
        <v/>
      </c>
      <c r="G12218" s="18"/>
      <c r="H12218" s="16" t="s">
        <v>87</v>
      </c>
      <c r="I12218" s="16" t="s">
        <v>87</v>
      </c>
      <c r="J12218" s="19"/>
      <c r="L12218" s="16" t="str">
        <f>IFERROR(__xludf.DUMMYFUNCTION("""COMPUTED_VALUE"""),"")</f>
        <v/>
      </c>
      <c r="M12218" s="16" t="str">
        <f>IFERROR(__xludf.DUMMYFUNCTION("""COMPUTED_VALUE"""),"")</f>
        <v/>
      </c>
      <c r="U12218" s="16" t="s">
        <v>87</v>
      </c>
      <c r="V12218" s="16" t="str">
        <f>IFERROR(__xludf.DUMMYFUNCTION("""COMPUTED_VALUE"""),"")</f>
        <v/>
      </c>
      <c r="W12218" s="16" t="str">
        <f>IFERROR(__xludf.DUMMYFUNCTION("""COMPUTED_VALUE"""),"")</f>
        <v/>
      </c>
      <c r="X12218" s="16" t="str">
        <f>IFERROR(__xludf.DUMMYFUNCTION("""COMPUTED_VALUE"""),"")</f>
        <v/>
      </c>
      <c r="AC12218" s="16" t="str">
        <f>IFERROR(__xludf.DUMMYFUNCTION("""COMPUTED_VALUE"""),"")</f>
        <v/>
      </c>
    </row>
    <row r="12219">
      <c r="A12219" s="16" t="s">
        <v>87</v>
      </c>
      <c r="E12219" s="16" t="str">
        <f>IFERROR(__xludf.DUMMYFUNCTION("""COMPUTED_VALUE"""),"")</f>
        <v/>
      </c>
      <c r="G12219" s="18"/>
      <c r="H12219" s="16" t="s">
        <v>87</v>
      </c>
      <c r="I12219" s="16" t="s">
        <v>87</v>
      </c>
      <c r="J12219" s="19"/>
      <c r="L12219" s="16" t="str">
        <f>IFERROR(__xludf.DUMMYFUNCTION("""COMPUTED_VALUE"""),"")</f>
        <v/>
      </c>
      <c r="M12219" s="16" t="str">
        <f>IFERROR(__xludf.DUMMYFUNCTION("""COMPUTED_VALUE"""),"")</f>
        <v/>
      </c>
      <c r="U12219" s="16" t="s">
        <v>87</v>
      </c>
      <c r="V12219" s="16" t="str">
        <f>IFERROR(__xludf.DUMMYFUNCTION("""COMPUTED_VALUE"""),"")</f>
        <v/>
      </c>
      <c r="W12219" s="16" t="str">
        <f>IFERROR(__xludf.DUMMYFUNCTION("""COMPUTED_VALUE"""),"")</f>
        <v/>
      </c>
      <c r="X12219" s="16" t="str">
        <f>IFERROR(__xludf.DUMMYFUNCTION("""COMPUTED_VALUE"""),"")</f>
        <v/>
      </c>
      <c r="AC12219" s="16" t="str">
        <f>IFERROR(__xludf.DUMMYFUNCTION("""COMPUTED_VALUE"""),"")</f>
        <v/>
      </c>
    </row>
    <row r="12220">
      <c r="A12220" s="16" t="s">
        <v>87</v>
      </c>
      <c r="E12220" s="16" t="str">
        <f>IFERROR(__xludf.DUMMYFUNCTION("""COMPUTED_VALUE"""),"")</f>
        <v/>
      </c>
      <c r="G12220" s="18"/>
      <c r="H12220" s="16" t="s">
        <v>87</v>
      </c>
      <c r="I12220" s="16" t="s">
        <v>87</v>
      </c>
      <c r="J12220" s="19"/>
      <c r="L12220" s="16" t="str">
        <f>IFERROR(__xludf.DUMMYFUNCTION("""COMPUTED_VALUE"""),"")</f>
        <v/>
      </c>
      <c r="M12220" s="16" t="str">
        <f>IFERROR(__xludf.DUMMYFUNCTION("""COMPUTED_VALUE"""),"")</f>
        <v/>
      </c>
      <c r="U12220" s="16" t="s">
        <v>87</v>
      </c>
      <c r="V12220" s="16" t="str">
        <f>IFERROR(__xludf.DUMMYFUNCTION("""COMPUTED_VALUE"""),"")</f>
        <v/>
      </c>
      <c r="W12220" s="16" t="str">
        <f>IFERROR(__xludf.DUMMYFUNCTION("""COMPUTED_VALUE"""),"")</f>
        <v/>
      </c>
      <c r="X12220" s="16" t="str">
        <f>IFERROR(__xludf.DUMMYFUNCTION("""COMPUTED_VALUE"""),"")</f>
        <v/>
      </c>
      <c r="AC12220" s="16" t="str">
        <f>IFERROR(__xludf.DUMMYFUNCTION("""COMPUTED_VALUE"""),"")</f>
        <v/>
      </c>
    </row>
    <row r="12221">
      <c r="A12221" s="16" t="s">
        <v>87</v>
      </c>
      <c r="E12221" s="16" t="str">
        <f>IFERROR(__xludf.DUMMYFUNCTION("""COMPUTED_VALUE"""),"")</f>
        <v/>
      </c>
      <c r="G12221" s="18"/>
      <c r="H12221" s="16" t="s">
        <v>87</v>
      </c>
      <c r="I12221" s="16" t="s">
        <v>87</v>
      </c>
      <c r="J12221" s="19"/>
      <c r="L12221" s="16" t="str">
        <f>IFERROR(__xludf.DUMMYFUNCTION("""COMPUTED_VALUE"""),"")</f>
        <v/>
      </c>
      <c r="M12221" s="16" t="str">
        <f>IFERROR(__xludf.DUMMYFUNCTION("""COMPUTED_VALUE"""),"")</f>
        <v/>
      </c>
      <c r="U12221" s="16" t="s">
        <v>87</v>
      </c>
      <c r="V12221" s="16" t="str">
        <f>IFERROR(__xludf.DUMMYFUNCTION("""COMPUTED_VALUE"""),"")</f>
        <v/>
      </c>
      <c r="W12221" s="16" t="str">
        <f>IFERROR(__xludf.DUMMYFUNCTION("""COMPUTED_VALUE"""),"")</f>
        <v/>
      </c>
      <c r="X12221" s="16" t="str">
        <f>IFERROR(__xludf.DUMMYFUNCTION("""COMPUTED_VALUE"""),"")</f>
        <v/>
      </c>
      <c r="AC12221" s="16" t="str">
        <f>IFERROR(__xludf.DUMMYFUNCTION("""COMPUTED_VALUE"""),"")</f>
        <v/>
      </c>
    </row>
    <row r="12222">
      <c r="A12222" s="16" t="s">
        <v>87</v>
      </c>
      <c r="E12222" s="16" t="str">
        <f>IFERROR(__xludf.DUMMYFUNCTION("""COMPUTED_VALUE"""),"")</f>
        <v/>
      </c>
      <c r="G12222" s="18"/>
      <c r="H12222" s="16" t="s">
        <v>87</v>
      </c>
      <c r="I12222" s="16" t="s">
        <v>87</v>
      </c>
      <c r="J12222" s="19"/>
      <c r="L12222" s="16" t="str">
        <f>IFERROR(__xludf.DUMMYFUNCTION("""COMPUTED_VALUE"""),"")</f>
        <v/>
      </c>
      <c r="M12222" s="16" t="str">
        <f>IFERROR(__xludf.DUMMYFUNCTION("""COMPUTED_VALUE"""),"")</f>
        <v/>
      </c>
      <c r="U12222" s="16" t="s">
        <v>87</v>
      </c>
      <c r="V12222" s="16" t="str">
        <f>IFERROR(__xludf.DUMMYFUNCTION("""COMPUTED_VALUE"""),"")</f>
        <v/>
      </c>
      <c r="W12222" s="16" t="str">
        <f>IFERROR(__xludf.DUMMYFUNCTION("""COMPUTED_VALUE"""),"")</f>
        <v/>
      </c>
      <c r="X12222" s="16" t="str">
        <f>IFERROR(__xludf.DUMMYFUNCTION("""COMPUTED_VALUE"""),"")</f>
        <v/>
      </c>
      <c r="AC12222" s="16" t="str">
        <f>IFERROR(__xludf.DUMMYFUNCTION("""COMPUTED_VALUE"""),"")</f>
        <v/>
      </c>
    </row>
    <row r="12223">
      <c r="A12223" s="16" t="s">
        <v>87</v>
      </c>
      <c r="E12223" s="16" t="str">
        <f>IFERROR(__xludf.DUMMYFUNCTION("""COMPUTED_VALUE"""),"")</f>
        <v/>
      </c>
      <c r="G12223" s="18"/>
      <c r="H12223" s="16" t="s">
        <v>87</v>
      </c>
      <c r="I12223" s="16" t="s">
        <v>87</v>
      </c>
      <c r="J12223" s="19"/>
      <c r="L12223" s="16" t="str">
        <f>IFERROR(__xludf.DUMMYFUNCTION("""COMPUTED_VALUE"""),"")</f>
        <v/>
      </c>
      <c r="M12223" s="16" t="str">
        <f>IFERROR(__xludf.DUMMYFUNCTION("""COMPUTED_VALUE"""),"")</f>
        <v/>
      </c>
      <c r="U12223" s="16" t="s">
        <v>87</v>
      </c>
      <c r="V12223" s="16" t="str">
        <f>IFERROR(__xludf.DUMMYFUNCTION("""COMPUTED_VALUE"""),"")</f>
        <v/>
      </c>
      <c r="W12223" s="16" t="str">
        <f>IFERROR(__xludf.DUMMYFUNCTION("""COMPUTED_VALUE"""),"")</f>
        <v/>
      </c>
      <c r="X12223" s="16" t="str">
        <f>IFERROR(__xludf.DUMMYFUNCTION("""COMPUTED_VALUE"""),"")</f>
        <v/>
      </c>
      <c r="AC12223" s="16" t="str">
        <f>IFERROR(__xludf.DUMMYFUNCTION("""COMPUTED_VALUE"""),"")</f>
        <v/>
      </c>
    </row>
    <row r="12224">
      <c r="A12224" s="16" t="s">
        <v>87</v>
      </c>
      <c r="E12224" s="16" t="str">
        <f>IFERROR(__xludf.DUMMYFUNCTION("""COMPUTED_VALUE"""),"")</f>
        <v/>
      </c>
      <c r="G12224" s="18"/>
      <c r="H12224" s="16" t="s">
        <v>87</v>
      </c>
      <c r="I12224" s="16" t="s">
        <v>87</v>
      </c>
      <c r="J12224" s="19"/>
      <c r="L12224" s="16" t="str">
        <f>IFERROR(__xludf.DUMMYFUNCTION("""COMPUTED_VALUE"""),"")</f>
        <v/>
      </c>
      <c r="M12224" s="16" t="str">
        <f>IFERROR(__xludf.DUMMYFUNCTION("""COMPUTED_VALUE"""),"")</f>
        <v/>
      </c>
      <c r="U12224" s="16" t="s">
        <v>87</v>
      </c>
      <c r="V12224" s="16" t="str">
        <f>IFERROR(__xludf.DUMMYFUNCTION("""COMPUTED_VALUE"""),"")</f>
        <v/>
      </c>
      <c r="W12224" s="16" t="str">
        <f>IFERROR(__xludf.DUMMYFUNCTION("""COMPUTED_VALUE"""),"")</f>
        <v/>
      </c>
      <c r="X12224" s="16" t="str">
        <f>IFERROR(__xludf.DUMMYFUNCTION("""COMPUTED_VALUE"""),"")</f>
        <v/>
      </c>
      <c r="AC12224" s="16" t="str">
        <f>IFERROR(__xludf.DUMMYFUNCTION("""COMPUTED_VALUE"""),"")</f>
        <v/>
      </c>
    </row>
    <row r="12225">
      <c r="A12225" s="16" t="s">
        <v>87</v>
      </c>
      <c r="E12225" s="16" t="str">
        <f>IFERROR(__xludf.DUMMYFUNCTION("""COMPUTED_VALUE"""),"")</f>
        <v/>
      </c>
      <c r="G12225" s="18"/>
      <c r="H12225" s="16" t="s">
        <v>87</v>
      </c>
      <c r="I12225" s="16" t="s">
        <v>87</v>
      </c>
      <c r="J12225" s="19"/>
      <c r="L12225" s="16" t="str">
        <f>IFERROR(__xludf.DUMMYFUNCTION("""COMPUTED_VALUE"""),"")</f>
        <v/>
      </c>
      <c r="M12225" s="16" t="str">
        <f>IFERROR(__xludf.DUMMYFUNCTION("""COMPUTED_VALUE"""),"")</f>
        <v/>
      </c>
      <c r="U12225" s="16" t="s">
        <v>87</v>
      </c>
      <c r="V12225" s="16" t="str">
        <f>IFERROR(__xludf.DUMMYFUNCTION("""COMPUTED_VALUE"""),"")</f>
        <v/>
      </c>
      <c r="W12225" s="16" t="str">
        <f>IFERROR(__xludf.DUMMYFUNCTION("""COMPUTED_VALUE"""),"")</f>
        <v/>
      </c>
      <c r="X12225" s="16" t="str">
        <f>IFERROR(__xludf.DUMMYFUNCTION("""COMPUTED_VALUE"""),"")</f>
        <v/>
      </c>
      <c r="AC12225" s="16" t="str">
        <f>IFERROR(__xludf.DUMMYFUNCTION("""COMPUTED_VALUE"""),"")</f>
        <v/>
      </c>
    </row>
    <row r="12226">
      <c r="A12226" s="16" t="s">
        <v>87</v>
      </c>
      <c r="E12226" s="16" t="str">
        <f>IFERROR(__xludf.DUMMYFUNCTION("""COMPUTED_VALUE"""),"")</f>
        <v/>
      </c>
      <c r="G12226" s="18"/>
      <c r="H12226" s="16" t="s">
        <v>87</v>
      </c>
      <c r="I12226" s="16" t="s">
        <v>87</v>
      </c>
      <c r="J12226" s="19"/>
      <c r="L12226" s="16" t="str">
        <f>IFERROR(__xludf.DUMMYFUNCTION("""COMPUTED_VALUE"""),"")</f>
        <v/>
      </c>
      <c r="M12226" s="16" t="str">
        <f>IFERROR(__xludf.DUMMYFUNCTION("""COMPUTED_VALUE"""),"")</f>
        <v/>
      </c>
      <c r="U12226" s="16" t="s">
        <v>87</v>
      </c>
      <c r="V12226" s="16" t="str">
        <f>IFERROR(__xludf.DUMMYFUNCTION("""COMPUTED_VALUE"""),"")</f>
        <v/>
      </c>
      <c r="W12226" s="16" t="str">
        <f>IFERROR(__xludf.DUMMYFUNCTION("""COMPUTED_VALUE"""),"")</f>
        <v/>
      </c>
      <c r="X12226" s="16" t="str">
        <f>IFERROR(__xludf.DUMMYFUNCTION("""COMPUTED_VALUE"""),"")</f>
        <v/>
      </c>
      <c r="AC12226" s="16" t="str">
        <f>IFERROR(__xludf.DUMMYFUNCTION("""COMPUTED_VALUE"""),"")</f>
        <v/>
      </c>
    </row>
    <row r="12227">
      <c r="A12227" s="16" t="s">
        <v>87</v>
      </c>
      <c r="E12227" s="16" t="str">
        <f>IFERROR(__xludf.DUMMYFUNCTION("""COMPUTED_VALUE"""),"")</f>
        <v/>
      </c>
      <c r="G12227" s="18"/>
      <c r="H12227" s="16" t="s">
        <v>87</v>
      </c>
      <c r="I12227" s="16" t="s">
        <v>87</v>
      </c>
      <c r="J12227" s="19"/>
      <c r="L12227" s="16" t="str">
        <f>IFERROR(__xludf.DUMMYFUNCTION("""COMPUTED_VALUE"""),"")</f>
        <v/>
      </c>
      <c r="M12227" s="16" t="str">
        <f>IFERROR(__xludf.DUMMYFUNCTION("""COMPUTED_VALUE"""),"")</f>
        <v/>
      </c>
      <c r="U12227" s="16" t="s">
        <v>87</v>
      </c>
      <c r="V12227" s="16" t="str">
        <f>IFERROR(__xludf.DUMMYFUNCTION("""COMPUTED_VALUE"""),"")</f>
        <v/>
      </c>
      <c r="W12227" s="16" t="str">
        <f>IFERROR(__xludf.DUMMYFUNCTION("""COMPUTED_VALUE"""),"")</f>
        <v/>
      </c>
      <c r="X12227" s="16" t="str">
        <f>IFERROR(__xludf.DUMMYFUNCTION("""COMPUTED_VALUE"""),"")</f>
        <v/>
      </c>
      <c r="AC12227" s="16" t="str">
        <f>IFERROR(__xludf.DUMMYFUNCTION("""COMPUTED_VALUE"""),"")</f>
        <v/>
      </c>
    </row>
    <row r="12228">
      <c r="A12228" s="16" t="s">
        <v>87</v>
      </c>
      <c r="E12228" s="16" t="str">
        <f>IFERROR(__xludf.DUMMYFUNCTION("""COMPUTED_VALUE"""),"")</f>
        <v/>
      </c>
      <c r="G12228" s="18"/>
      <c r="H12228" s="16" t="s">
        <v>87</v>
      </c>
      <c r="I12228" s="16" t="s">
        <v>87</v>
      </c>
      <c r="J12228" s="19"/>
      <c r="L12228" s="16" t="str">
        <f>IFERROR(__xludf.DUMMYFUNCTION("""COMPUTED_VALUE"""),"")</f>
        <v/>
      </c>
      <c r="M12228" s="16" t="str">
        <f>IFERROR(__xludf.DUMMYFUNCTION("""COMPUTED_VALUE"""),"")</f>
        <v/>
      </c>
      <c r="U12228" s="16" t="s">
        <v>87</v>
      </c>
      <c r="V12228" s="16" t="str">
        <f>IFERROR(__xludf.DUMMYFUNCTION("""COMPUTED_VALUE"""),"")</f>
        <v/>
      </c>
      <c r="W12228" s="16" t="str">
        <f>IFERROR(__xludf.DUMMYFUNCTION("""COMPUTED_VALUE"""),"")</f>
        <v/>
      </c>
      <c r="X12228" s="16" t="str">
        <f>IFERROR(__xludf.DUMMYFUNCTION("""COMPUTED_VALUE"""),"")</f>
        <v/>
      </c>
      <c r="AC12228" s="16" t="str">
        <f>IFERROR(__xludf.DUMMYFUNCTION("""COMPUTED_VALUE"""),"")</f>
        <v/>
      </c>
    </row>
    <row r="12229">
      <c r="A12229" s="16" t="s">
        <v>87</v>
      </c>
      <c r="E12229" s="16" t="str">
        <f>IFERROR(__xludf.DUMMYFUNCTION("""COMPUTED_VALUE"""),"")</f>
        <v/>
      </c>
      <c r="G12229" s="18"/>
      <c r="H12229" s="16" t="s">
        <v>87</v>
      </c>
      <c r="I12229" s="16" t="s">
        <v>87</v>
      </c>
      <c r="J12229" s="19"/>
      <c r="L12229" s="16" t="str">
        <f>IFERROR(__xludf.DUMMYFUNCTION("""COMPUTED_VALUE"""),"")</f>
        <v/>
      </c>
      <c r="M12229" s="16" t="str">
        <f>IFERROR(__xludf.DUMMYFUNCTION("""COMPUTED_VALUE"""),"")</f>
        <v/>
      </c>
      <c r="U12229" s="16" t="s">
        <v>87</v>
      </c>
      <c r="V12229" s="16" t="str">
        <f>IFERROR(__xludf.DUMMYFUNCTION("""COMPUTED_VALUE"""),"")</f>
        <v/>
      </c>
      <c r="W12229" s="16" t="str">
        <f>IFERROR(__xludf.DUMMYFUNCTION("""COMPUTED_VALUE"""),"")</f>
        <v/>
      </c>
      <c r="X12229" s="16" t="str">
        <f>IFERROR(__xludf.DUMMYFUNCTION("""COMPUTED_VALUE"""),"")</f>
        <v/>
      </c>
      <c r="AC12229" s="16" t="str">
        <f>IFERROR(__xludf.DUMMYFUNCTION("""COMPUTED_VALUE"""),"")</f>
        <v/>
      </c>
    </row>
    <row r="12230">
      <c r="A12230" s="16" t="s">
        <v>87</v>
      </c>
      <c r="E12230" s="16" t="str">
        <f>IFERROR(__xludf.DUMMYFUNCTION("""COMPUTED_VALUE"""),"")</f>
        <v/>
      </c>
      <c r="G12230" s="18"/>
      <c r="H12230" s="16" t="s">
        <v>87</v>
      </c>
      <c r="I12230" s="16" t="s">
        <v>87</v>
      </c>
      <c r="J12230" s="19"/>
      <c r="L12230" s="16" t="str">
        <f>IFERROR(__xludf.DUMMYFUNCTION("""COMPUTED_VALUE"""),"")</f>
        <v/>
      </c>
      <c r="M12230" s="16" t="str">
        <f>IFERROR(__xludf.DUMMYFUNCTION("""COMPUTED_VALUE"""),"")</f>
        <v/>
      </c>
      <c r="U12230" s="16" t="s">
        <v>87</v>
      </c>
      <c r="V12230" s="16" t="str">
        <f>IFERROR(__xludf.DUMMYFUNCTION("""COMPUTED_VALUE"""),"")</f>
        <v/>
      </c>
      <c r="W12230" s="16" t="str">
        <f>IFERROR(__xludf.DUMMYFUNCTION("""COMPUTED_VALUE"""),"")</f>
        <v/>
      </c>
      <c r="X12230" s="16" t="str">
        <f>IFERROR(__xludf.DUMMYFUNCTION("""COMPUTED_VALUE"""),"")</f>
        <v/>
      </c>
      <c r="AC12230" s="16" t="str">
        <f>IFERROR(__xludf.DUMMYFUNCTION("""COMPUTED_VALUE"""),"")</f>
        <v/>
      </c>
    </row>
    <row r="12231">
      <c r="A12231" s="16" t="s">
        <v>87</v>
      </c>
      <c r="E12231" s="16" t="str">
        <f>IFERROR(__xludf.DUMMYFUNCTION("""COMPUTED_VALUE"""),"")</f>
        <v/>
      </c>
      <c r="G12231" s="18"/>
      <c r="H12231" s="16" t="s">
        <v>87</v>
      </c>
      <c r="I12231" s="16" t="s">
        <v>87</v>
      </c>
      <c r="J12231" s="19"/>
      <c r="L12231" s="16" t="str">
        <f>IFERROR(__xludf.DUMMYFUNCTION("""COMPUTED_VALUE"""),"")</f>
        <v/>
      </c>
      <c r="M12231" s="16" t="str">
        <f>IFERROR(__xludf.DUMMYFUNCTION("""COMPUTED_VALUE"""),"")</f>
        <v/>
      </c>
      <c r="U12231" s="16" t="s">
        <v>87</v>
      </c>
      <c r="V12231" s="16" t="str">
        <f>IFERROR(__xludf.DUMMYFUNCTION("""COMPUTED_VALUE"""),"")</f>
        <v/>
      </c>
      <c r="W12231" s="16" t="str">
        <f>IFERROR(__xludf.DUMMYFUNCTION("""COMPUTED_VALUE"""),"")</f>
        <v/>
      </c>
      <c r="X12231" s="16" t="str">
        <f>IFERROR(__xludf.DUMMYFUNCTION("""COMPUTED_VALUE"""),"")</f>
        <v/>
      </c>
      <c r="AC12231" s="16" t="str">
        <f>IFERROR(__xludf.DUMMYFUNCTION("""COMPUTED_VALUE"""),"")</f>
        <v/>
      </c>
    </row>
    <row r="12232">
      <c r="A12232" s="16" t="s">
        <v>87</v>
      </c>
      <c r="E12232" s="16" t="str">
        <f>IFERROR(__xludf.DUMMYFUNCTION("""COMPUTED_VALUE"""),"")</f>
        <v/>
      </c>
      <c r="G12232" s="18"/>
      <c r="H12232" s="16" t="s">
        <v>87</v>
      </c>
      <c r="I12232" s="16" t="s">
        <v>87</v>
      </c>
      <c r="J12232" s="19"/>
      <c r="L12232" s="16" t="str">
        <f>IFERROR(__xludf.DUMMYFUNCTION("""COMPUTED_VALUE"""),"")</f>
        <v/>
      </c>
      <c r="M12232" s="16" t="str">
        <f>IFERROR(__xludf.DUMMYFUNCTION("""COMPUTED_VALUE"""),"")</f>
        <v/>
      </c>
      <c r="U12232" s="16" t="s">
        <v>87</v>
      </c>
      <c r="V12232" s="16" t="str">
        <f>IFERROR(__xludf.DUMMYFUNCTION("""COMPUTED_VALUE"""),"")</f>
        <v/>
      </c>
      <c r="W12232" s="16" t="str">
        <f>IFERROR(__xludf.DUMMYFUNCTION("""COMPUTED_VALUE"""),"")</f>
        <v/>
      </c>
      <c r="X12232" s="16" t="str">
        <f>IFERROR(__xludf.DUMMYFUNCTION("""COMPUTED_VALUE"""),"")</f>
        <v/>
      </c>
      <c r="AC12232" s="16" t="str">
        <f>IFERROR(__xludf.DUMMYFUNCTION("""COMPUTED_VALUE"""),"")</f>
        <v/>
      </c>
    </row>
    <row r="12233">
      <c r="A12233" s="16" t="s">
        <v>87</v>
      </c>
      <c r="E12233" s="16" t="str">
        <f>IFERROR(__xludf.DUMMYFUNCTION("""COMPUTED_VALUE"""),"")</f>
        <v/>
      </c>
      <c r="G12233" s="18"/>
      <c r="H12233" s="16" t="s">
        <v>87</v>
      </c>
      <c r="I12233" s="16" t="s">
        <v>87</v>
      </c>
      <c r="J12233" s="19"/>
      <c r="L12233" s="16" t="str">
        <f>IFERROR(__xludf.DUMMYFUNCTION("""COMPUTED_VALUE"""),"")</f>
        <v/>
      </c>
      <c r="M12233" s="16" t="str">
        <f>IFERROR(__xludf.DUMMYFUNCTION("""COMPUTED_VALUE"""),"")</f>
        <v/>
      </c>
      <c r="U12233" s="16" t="s">
        <v>87</v>
      </c>
      <c r="V12233" s="16" t="str">
        <f>IFERROR(__xludf.DUMMYFUNCTION("""COMPUTED_VALUE"""),"")</f>
        <v/>
      </c>
      <c r="W12233" s="16" t="str">
        <f>IFERROR(__xludf.DUMMYFUNCTION("""COMPUTED_VALUE"""),"")</f>
        <v/>
      </c>
      <c r="X12233" s="16" t="str">
        <f>IFERROR(__xludf.DUMMYFUNCTION("""COMPUTED_VALUE"""),"")</f>
        <v/>
      </c>
      <c r="AC12233" s="16" t="str">
        <f>IFERROR(__xludf.DUMMYFUNCTION("""COMPUTED_VALUE"""),"")</f>
        <v/>
      </c>
    </row>
    <row r="12234">
      <c r="A12234" s="16" t="s">
        <v>87</v>
      </c>
      <c r="E12234" s="16" t="str">
        <f>IFERROR(__xludf.DUMMYFUNCTION("""COMPUTED_VALUE"""),"")</f>
        <v/>
      </c>
      <c r="G12234" s="18"/>
      <c r="H12234" s="16" t="s">
        <v>87</v>
      </c>
      <c r="I12234" s="16" t="s">
        <v>87</v>
      </c>
      <c r="J12234" s="19"/>
      <c r="L12234" s="16" t="str">
        <f>IFERROR(__xludf.DUMMYFUNCTION("""COMPUTED_VALUE"""),"")</f>
        <v/>
      </c>
      <c r="M12234" s="16" t="str">
        <f>IFERROR(__xludf.DUMMYFUNCTION("""COMPUTED_VALUE"""),"")</f>
        <v/>
      </c>
      <c r="U12234" s="16" t="s">
        <v>87</v>
      </c>
      <c r="V12234" s="16" t="str">
        <f>IFERROR(__xludf.DUMMYFUNCTION("""COMPUTED_VALUE"""),"")</f>
        <v/>
      </c>
      <c r="W12234" s="16" t="str">
        <f>IFERROR(__xludf.DUMMYFUNCTION("""COMPUTED_VALUE"""),"")</f>
        <v/>
      </c>
      <c r="X12234" s="16" t="str">
        <f>IFERROR(__xludf.DUMMYFUNCTION("""COMPUTED_VALUE"""),"")</f>
        <v/>
      </c>
      <c r="AC12234" s="16" t="str">
        <f>IFERROR(__xludf.DUMMYFUNCTION("""COMPUTED_VALUE"""),"")</f>
        <v/>
      </c>
    </row>
    <row r="12235">
      <c r="A12235" s="16" t="s">
        <v>87</v>
      </c>
      <c r="E12235" s="16" t="str">
        <f>IFERROR(__xludf.DUMMYFUNCTION("""COMPUTED_VALUE"""),"")</f>
        <v/>
      </c>
      <c r="G12235" s="18"/>
      <c r="H12235" s="16" t="s">
        <v>87</v>
      </c>
      <c r="I12235" s="16" t="s">
        <v>87</v>
      </c>
      <c r="J12235" s="19"/>
      <c r="L12235" s="16" t="str">
        <f>IFERROR(__xludf.DUMMYFUNCTION("""COMPUTED_VALUE"""),"")</f>
        <v/>
      </c>
      <c r="M12235" s="16" t="str">
        <f>IFERROR(__xludf.DUMMYFUNCTION("""COMPUTED_VALUE"""),"")</f>
        <v/>
      </c>
      <c r="U12235" s="16" t="s">
        <v>87</v>
      </c>
      <c r="V12235" s="16" t="str">
        <f>IFERROR(__xludf.DUMMYFUNCTION("""COMPUTED_VALUE"""),"")</f>
        <v/>
      </c>
      <c r="W12235" s="16" t="str">
        <f>IFERROR(__xludf.DUMMYFUNCTION("""COMPUTED_VALUE"""),"")</f>
        <v/>
      </c>
      <c r="X12235" s="16" t="str">
        <f>IFERROR(__xludf.DUMMYFUNCTION("""COMPUTED_VALUE"""),"")</f>
        <v/>
      </c>
      <c r="AC12235" s="16" t="str">
        <f>IFERROR(__xludf.DUMMYFUNCTION("""COMPUTED_VALUE"""),"")</f>
        <v/>
      </c>
    </row>
    <row r="12236">
      <c r="A12236" s="16" t="s">
        <v>87</v>
      </c>
      <c r="E12236" s="16" t="str">
        <f>IFERROR(__xludf.DUMMYFUNCTION("""COMPUTED_VALUE"""),"")</f>
        <v/>
      </c>
      <c r="G12236" s="18"/>
      <c r="H12236" s="16" t="s">
        <v>87</v>
      </c>
      <c r="I12236" s="16" t="s">
        <v>87</v>
      </c>
      <c r="J12236" s="19"/>
      <c r="L12236" s="16" t="str">
        <f>IFERROR(__xludf.DUMMYFUNCTION("""COMPUTED_VALUE"""),"")</f>
        <v/>
      </c>
      <c r="M12236" s="16" t="str">
        <f>IFERROR(__xludf.DUMMYFUNCTION("""COMPUTED_VALUE"""),"")</f>
        <v/>
      </c>
      <c r="U12236" s="16" t="s">
        <v>87</v>
      </c>
      <c r="V12236" s="16" t="str">
        <f>IFERROR(__xludf.DUMMYFUNCTION("""COMPUTED_VALUE"""),"")</f>
        <v/>
      </c>
      <c r="W12236" s="16" t="str">
        <f>IFERROR(__xludf.DUMMYFUNCTION("""COMPUTED_VALUE"""),"")</f>
        <v/>
      </c>
      <c r="X12236" s="16" t="str">
        <f>IFERROR(__xludf.DUMMYFUNCTION("""COMPUTED_VALUE"""),"")</f>
        <v/>
      </c>
      <c r="AC12236" s="16" t="str">
        <f>IFERROR(__xludf.DUMMYFUNCTION("""COMPUTED_VALUE"""),"")</f>
        <v/>
      </c>
    </row>
    <row r="12237">
      <c r="A12237" s="16" t="s">
        <v>87</v>
      </c>
      <c r="E12237" s="16" t="str">
        <f>IFERROR(__xludf.DUMMYFUNCTION("""COMPUTED_VALUE"""),"")</f>
        <v/>
      </c>
      <c r="G12237" s="18"/>
      <c r="H12237" s="16" t="s">
        <v>87</v>
      </c>
      <c r="I12237" s="16" t="s">
        <v>87</v>
      </c>
      <c r="J12237" s="19"/>
      <c r="L12237" s="16" t="str">
        <f>IFERROR(__xludf.DUMMYFUNCTION("""COMPUTED_VALUE"""),"")</f>
        <v/>
      </c>
      <c r="M12237" s="16" t="str">
        <f>IFERROR(__xludf.DUMMYFUNCTION("""COMPUTED_VALUE"""),"")</f>
        <v/>
      </c>
      <c r="U12237" s="16" t="s">
        <v>87</v>
      </c>
      <c r="V12237" s="16" t="str">
        <f>IFERROR(__xludf.DUMMYFUNCTION("""COMPUTED_VALUE"""),"")</f>
        <v/>
      </c>
      <c r="W12237" s="16" t="str">
        <f>IFERROR(__xludf.DUMMYFUNCTION("""COMPUTED_VALUE"""),"")</f>
        <v/>
      </c>
      <c r="X12237" s="16" t="str">
        <f>IFERROR(__xludf.DUMMYFUNCTION("""COMPUTED_VALUE"""),"")</f>
        <v/>
      </c>
      <c r="AC12237" s="16" t="str">
        <f>IFERROR(__xludf.DUMMYFUNCTION("""COMPUTED_VALUE"""),"")</f>
        <v/>
      </c>
    </row>
    <row r="12238">
      <c r="A12238" s="16" t="s">
        <v>87</v>
      </c>
      <c r="E12238" s="16" t="str">
        <f>IFERROR(__xludf.DUMMYFUNCTION("""COMPUTED_VALUE"""),"")</f>
        <v/>
      </c>
      <c r="G12238" s="18"/>
      <c r="H12238" s="16" t="s">
        <v>87</v>
      </c>
      <c r="I12238" s="16" t="s">
        <v>87</v>
      </c>
      <c r="J12238" s="19"/>
      <c r="L12238" s="16" t="str">
        <f>IFERROR(__xludf.DUMMYFUNCTION("""COMPUTED_VALUE"""),"")</f>
        <v/>
      </c>
      <c r="M12238" s="16" t="str">
        <f>IFERROR(__xludf.DUMMYFUNCTION("""COMPUTED_VALUE"""),"")</f>
        <v/>
      </c>
      <c r="U12238" s="16" t="s">
        <v>87</v>
      </c>
      <c r="V12238" s="16" t="str">
        <f>IFERROR(__xludf.DUMMYFUNCTION("""COMPUTED_VALUE"""),"")</f>
        <v/>
      </c>
      <c r="W12238" s="16" t="str">
        <f>IFERROR(__xludf.DUMMYFUNCTION("""COMPUTED_VALUE"""),"")</f>
        <v/>
      </c>
      <c r="X12238" s="16" t="str">
        <f>IFERROR(__xludf.DUMMYFUNCTION("""COMPUTED_VALUE"""),"")</f>
        <v/>
      </c>
      <c r="AC12238" s="16" t="str">
        <f>IFERROR(__xludf.DUMMYFUNCTION("""COMPUTED_VALUE"""),"")</f>
        <v/>
      </c>
    </row>
    <row r="12239">
      <c r="A12239" s="16" t="s">
        <v>87</v>
      </c>
      <c r="E12239" s="16" t="str">
        <f>IFERROR(__xludf.DUMMYFUNCTION("""COMPUTED_VALUE"""),"")</f>
        <v/>
      </c>
      <c r="G12239" s="18"/>
      <c r="H12239" s="16" t="s">
        <v>87</v>
      </c>
      <c r="I12239" s="16" t="s">
        <v>87</v>
      </c>
      <c r="J12239" s="19"/>
      <c r="L12239" s="16" t="str">
        <f>IFERROR(__xludf.DUMMYFUNCTION("""COMPUTED_VALUE"""),"")</f>
        <v/>
      </c>
      <c r="M12239" s="16" t="str">
        <f>IFERROR(__xludf.DUMMYFUNCTION("""COMPUTED_VALUE"""),"")</f>
        <v/>
      </c>
      <c r="U12239" s="16" t="s">
        <v>87</v>
      </c>
      <c r="V12239" s="16" t="str">
        <f>IFERROR(__xludf.DUMMYFUNCTION("""COMPUTED_VALUE"""),"")</f>
        <v/>
      </c>
      <c r="W12239" s="16" t="str">
        <f>IFERROR(__xludf.DUMMYFUNCTION("""COMPUTED_VALUE"""),"")</f>
        <v/>
      </c>
      <c r="X12239" s="16" t="str">
        <f>IFERROR(__xludf.DUMMYFUNCTION("""COMPUTED_VALUE"""),"")</f>
        <v/>
      </c>
      <c r="AC12239" s="16" t="str">
        <f>IFERROR(__xludf.DUMMYFUNCTION("""COMPUTED_VALUE"""),"")</f>
        <v/>
      </c>
    </row>
    <row r="12240">
      <c r="A12240" s="16" t="s">
        <v>87</v>
      </c>
      <c r="E12240" s="16" t="str">
        <f>IFERROR(__xludf.DUMMYFUNCTION("""COMPUTED_VALUE"""),"")</f>
        <v/>
      </c>
      <c r="G12240" s="18"/>
      <c r="H12240" s="16" t="s">
        <v>87</v>
      </c>
      <c r="I12240" s="16" t="s">
        <v>87</v>
      </c>
      <c r="J12240" s="19"/>
      <c r="L12240" s="16" t="str">
        <f>IFERROR(__xludf.DUMMYFUNCTION("""COMPUTED_VALUE"""),"")</f>
        <v/>
      </c>
      <c r="M12240" s="16" t="str">
        <f>IFERROR(__xludf.DUMMYFUNCTION("""COMPUTED_VALUE"""),"")</f>
        <v/>
      </c>
      <c r="U12240" s="16" t="s">
        <v>87</v>
      </c>
      <c r="V12240" s="16" t="str">
        <f>IFERROR(__xludf.DUMMYFUNCTION("""COMPUTED_VALUE"""),"")</f>
        <v/>
      </c>
      <c r="W12240" s="16" t="str">
        <f>IFERROR(__xludf.DUMMYFUNCTION("""COMPUTED_VALUE"""),"")</f>
        <v/>
      </c>
      <c r="X12240" s="16" t="str">
        <f>IFERROR(__xludf.DUMMYFUNCTION("""COMPUTED_VALUE"""),"")</f>
        <v/>
      </c>
      <c r="AC12240" s="16" t="str">
        <f>IFERROR(__xludf.DUMMYFUNCTION("""COMPUTED_VALUE"""),"")</f>
        <v/>
      </c>
    </row>
    <row r="12241">
      <c r="A12241" s="16" t="s">
        <v>87</v>
      </c>
      <c r="E12241" s="16" t="str">
        <f>IFERROR(__xludf.DUMMYFUNCTION("""COMPUTED_VALUE"""),"")</f>
        <v/>
      </c>
      <c r="G12241" s="18"/>
      <c r="H12241" s="16" t="s">
        <v>87</v>
      </c>
      <c r="I12241" s="16" t="s">
        <v>87</v>
      </c>
      <c r="J12241" s="19"/>
      <c r="L12241" s="16" t="str">
        <f>IFERROR(__xludf.DUMMYFUNCTION("""COMPUTED_VALUE"""),"")</f>
        <v/>
      </c>
      <c r="M12241" s="16" t="str">
        <f>IFERROR(__xludf.DUMMYFUNCTION("""COMPUTED_VALUE"""),"")</f>
        <v/>
      </c>
      <c r="U12241" s="16" t="s">
        <v>87</v>
      </c>
      <c r="V12241" s="16" t="str">
        <f>IFERROR(__xludf.DUMMYFUNCTION("""COMPUTED_VALUE"""),"")</f>
        <v/>
      </c>
      <c r="W12241" s="16" t="str">
        <f>IFERROR(__xludf.DUMMYFUNCTION("""COMPUTED_VALUE"""),"")</f>
        <v/>
      </c>
      <c r="X12241" s="16" t="str">
        <f>IFERROR(__xludf.DUMMYFUNCTION("""COMPUTED_VALUE"""),"")</f>
        <v/>
      </c>
      <c r="AC12241" s="16" t="str">
        <f>IFERROR(__xludf.DUMMYFUNCTION("""COMPUTED_VALUE"""),"")</f>
        <v/>
      </c>
    </row>
    <row r="12242">
      <c r="A12242" s="16" t="s">
        <v>87</v>
      </c>
      <c r="E12242" s="16" t="str">
        <f>IFERROR(__xludf.DUMMYFUNCTION("""COMPUTED_VALUE"""),"")</f>
        <v/>
      </c>
      <c r="G12242" s="18"/>
      <c r="H12242" s="16" t="s">
        <v>87</v>
      </c>
      <c r="I12242" s="16" t="s">
        <v>87</v>
      </c>
      <c r="J12242" s="19"/>
      <c r="L12242" s="16" t="str">
        <f>IFERROR(__xludf.DUMMYFUNCTION("""COMPUTED_VALUE"""),"")</f>
        <v/>
      </c>
      <c r="M12242" s="16" t="str">
        <f>IFERROR(__xludf.DUMMYFUNCTION("""COMPUTED_VALUE"""),"")</f>
        <v/>
      </c>
      <c r="U12242" s="16" t="s">
        <v>87</v>
      </c>
      <c r="V12242" s="16" t="str">
        <f>IFERROR(__xludf.DUMMYFUNCTION("""COMPUTED_VALUE"""),"")</f>
        <v/>
      </c>
      <c r="W12242" s="16" t="str">
        <f>IFERROR(__xludf.DUMMYFUNCTION("""COMPUTED_VALUE"""),"")</f>
        <v/>
      </c>
      <c r="X12242" s="16" t="str">
        <f>IFERROR(__xludf.DUMMYFUNCTION("""COMPUTED_VALUE"""),"")</f>
        <v/>
      </c>
      <c r="AC12242" s="16" t="str">
        <f>IFERROR(__xludf.DUMMYFUNCTION("""COMPUTED_VALUE"""),"")</f>
        <v/>
      </c>
    </row>
    <row r="12243">
      <c r="A12243" s="16" t="s">
        <v>87</v>
      </c>
      <c r="E12243" s="16" t="str">
        <f>IFERROR(__xludf.DUMMYFUNCTION("""COMPUTED_VALUE"""),"")</f>
        <v/>
      </c>
      <c r="G12243" s="18"/>
      <c r="H12243" s="16" t="s">
        <v>87</v>
      </c>
      <c r="I12243" s="16" t="s">
        <v>87</v>
      </c>
      <c r="J12243" s="19"/>
      <c r="L12243" s="16" t="str">
        <f>IFERROR(__xludf.DUMMYFUNCTION("""COMPUTED_VALUE"""),"")</f>
        <v/>
      </c>
      <c r="M12243" s="16" t="str">
        <f>IFERROR(__xludf.DUMMYFUNCTION("""COMPUTED_VALUE"""),"")</f>
        <v/>
      </c>
      <c r="U12243" s="16" t="s">
        <v>87</v>
      </c>
      <c r="V12243" s="16" t="str">
        <f>IFERROR(__xludf.DUMMYFUNCTION("""COMPUTED_VALUE"""),"")</f>
        <v/>
      </c>
      <c r="W12243" s="16" t="str">
        <f>IFERROR(__xludf.DUMMYFUNCTION("""COMPUTED_VALUE"""),"")</f>
        <v/>
      </c>
      <c r="X12243" s="16" t="str">
        <f>IFERROR(__xludf.DUMMYFUNCTION("""COMPUTED_VALUE"""),"")</f>
        <v/>
      </c>
      <c r="AC12243" s="16" t="str">
        <f>IFERROR(__xludf.DUMMYFUNCTION("""COMPUTED_VALUE"""),"")</f>
        <v/>
      </c>
    </row>
    <row r="12244">
      <c r="A12244" s="16" t="s">
        <v>87</v>
      </c>
      <c r="E12244" s="16" t="str">
        <f>IFERROR(__xludf.DUMMYFUNCTION("""COMPUTED_VALUE"""),"")</f>
        <v/>
      </c>
      <c r="G12244" s="18"/>
      <c r="H12244" s="16" t="s">
        <v>87</v>
      </c>
      <c r="I12244" s="16" t="s">
        <v>87</v>
      </c>
      <c r="J12244" s="19"/>
      <c r="L12244" s="16" t="str">
        <f>IFERROR(__xludf.DUMMYFUNCTION("""COMPUTED_VALUE"""),"")</f>
        <v/>
      </c>
      <c r="M12244" s="16" t="str">
        <f>IFERROR(__xludf.DUMMYFUNCTION("""COMPUTED_VALUE"""),"")</f>
        <v/>
      </c>
      <c r="U12244" s="16" t="s">
        <v>87</v>
      </c>
      <c r="V12244" s="16" t="str">
        <f>IFERROR(__xludf.DUMMYFUNCTION("""COMPUTED_VALUE"""),"")</f>
        <v/>
      </c>
      <c r="W12244" s="16" t="str">
        <f>IFERROR(__xludf.DUMMYFUNCTION("""COMPUTED_VALUE"""),"")</f>
        <v/>
      </c>
      <c r="X12244" s="16" t="str">
        <f>IFERROR(__xludf.DUMMYFUNCTION("""COMPUTED_VALUE"""),"")</f>
        <v/>
      </c>
      <c r="AC12244" s="16" t="str">
        <f>IFERROR(__xludf.DUMMYFUNCTION("""COMPUTED_VALUE"""),"")</f>
        <v/>
      </c>
    </row>
    <row r="12245">
      <c r="A12245" s="16" t="s">
        <v>87</v>
      </c>
      <c r="E12245" s="16" t="str">
        <f>IFERROR(__xludf.DUMMYFUNCTION("""COMPUTED_VALUE"""),"")</f>
        <v/>
      </c>
      <c r="G12245" s="18"/>
      <c r="H12245" s="16" t="s">
        <v>87</v>
      </c>
      <c r="I12245" s="16" t="s">
        <v>87</v>
      </c>
      <c r="J12245" s="19"/>
      <c r="L12245" s="16" t="str">
        <f>IFERROR(__xludf.DUMMYFUNCTION("""COMPUTED_VALUE"""),"")</f>
        <v/>
      </c>
      <c r="M12245" s="16" t="str">
        <f>IFERROR(__xludf.DUMMYFUNCTION("""COMPUTED_VALUE"""),"")</f>
        <v/>
      </c>
      <c r="U12245" s="16" t="s">
        <v>87</v>
      </c>
      <c r="V12245" s="16" t="str">
        <f>IFERROR(__xludf.DUMMYFUNCTION("""COMPUTED_VALUE"""),"")</f>
        <v/>
      </c>
      <c r="W12245" s="16" t="str">
        <f>IFERROR(__xludf.DUMMYFUNCTION("""COMPUTED_VALUE"""),"")</f>
        <v/>
      </c>
      <c r="X12245" s="16" t="str">
        <f>IFERROR(__xludf.DUMMYFUNCTION("""COMPUTED_VALUE"""),"")</f>
        <v/>
      </c>
      <c r="AC12245" s="16" t="str">
        <f>IFERROR(__xludf.DUMMYFUNCTION("""COMPUTED_VALUE"""),"")</f>
        <v/>
      </c>
    </row>
    <row r="12246">
      <c r="A12246" s="16" t="s">
        <v>87</v>
      </c>
      <c r="E12246" s="16" t="str">
        <f>IFERROR(__xludf.DUMMYFUNCTION("""COMPUTED_VALUE"""),"")</f>
        <v/>
      </c>
      <c r="G12246" s="18"/>
      <c r="H12246" s="16" t="s">
        <v>87</v>
      </c>
      <c r="I12246" s="16" t="s">
        <v>87</v>
      </c>
      <c r="J12246" s="19"/>
      <c r="L12246" s="16" t="str">
        <f>IFERROR(__xludf.DUMMYFUNCTION("""COMPUTED_VALUE"""),"")</f>
        <v/>
      </c>
      <c r="M12246" s="16" t="str">
        <f>IFERROR(__xludf.DUMMYFUNCTION("""COMPUTED_VALUE"""),"")</f>
        <v/>
      </c>
      <c r="U12246" s="16" t="s">
        <v>87</v>
      </c>
      <c r="V12246" s="16" t="str">
        <f>IFERROR(__xludf.DUMMYFUNCTION("""COMPUTED_VALUE"""),"")</f>
        <v/>
      </c>
      <c r="W12246" s="16" t="str">
        <f>IFERROR(__xludf.DUMMYFUNCTION("""COMPUTED_VALUE"""),"")</f>
        <v/>
      </c>
      <c r="X12246" s="16" t="str">
        <f>IFERROR(__xludf.DUMMYFUNCTION("""COMPUTED_VALUE"""),"")</f>
        <v/>
      </c>
      <c r="AC12246" s="16" t="str">
        <f>IFERROR(__xludf.DUMMYFUNCTION("""COMPUTED_VALUE"""),"")</f>
        <v/>
      </c>
    </row>
    <row r="12247">
      <c r="A12247" s="16" t="s">
        <v>87</v>
      </c>
      <c r="E12247" s="16" t="str">
        <f>IFERROR(__xludf.DUMMYFUNCTION("""COMPUTED_VALUE"""),"")</f>
        <v/>
      </c>
      <c r="G12247" s="18"/>
      <c r="H12247" s="16" t="s">
        <v>87</v>
      </c>
      <c r="I12247" s="16" t="s">
        <v>87</v>
      </c>
      <c r="J12247" s="19"/>
      <c r="L12247" s="16" t="str">
        <f>IFERROR(__xludf.DUMMYFUNCTION("""COMPUTED_VALUE"""),"")</f>
        <v/>
      </c>
      <c r="M12247" s="16" t="str">
        <f>IFERROR(__xludf.DUMMYFUNCTION("""COMPUTED_VALUE"""),"")</f>
        <v/>
      </c>
      <c r="U12247" s="16" t="s">
        <v>87</v>
      </c>
      <c r="V12247" s="16" t="str">
        <f>IFERROR(__xludf.DUMMYFUNCTION("""COMPUTED_VALUE"""),"")</f>
        <v/>
      </c>
      <c r="W12247" s="16" t="str">
        <f>IFERROR(__xludf.DUMMYFUNCTION("""COMPUTED_VALUE"""),"")</f>
        <v/>
      </c>
      <c r="X12247" s="16" t="str">
        <f>IFERROR(__xludf.DUMMYFUNCTION("""COMPUTED_VALUE"""),"")</f>
        <v/>
      </c>
      <c r="AC12247" s="16" t="str">
        <f>IFERROR(__xludf.DUMMYFUNCTION("""COMPUTED_VALUE"""),"")</f>
        <v/>
      </c>
    </row>
    <row r="12248">
      <c r="A12248" s="16" t="s">
        <v>87</v>
      </c>
      <c r="E12248" s="16" t="str">
        <f>IFERROR(__xludf.DUMMYFUNCTION("""COMPUTED_VALUE"""),"")</f>
        <v/>
      </c>
      <c r="G12248" s="18"/>
      <c r="H12248" s="16" t="s">
        <v>87</v>
      </c>
      <c r="I12248" s="16" t="s">
        <v>87</v>
      </c>
      <c r="J12248" s="19"/>
      <c r="L12248" s="16" t="str">
        <f>IFERROR(__xludf.DUMMYFUNCTION("""COMPUTED_VALUE"""),"")</f>
        <v/>
      </c>
      <c r="M12248" s="16" t="str">
        <f>IFERROR(__xludf.DUMMYFUNCTION("""COMPUTED_VALUE"""),"")</f>
        <v/>
      </c>
      <c r="U12248" s="16" t="s">
        <v>87</v>
      </c>
      <c r="V12248" s="16" t="str">
        <f>IFERROR(__xludf.DUMMYFUNCTION("""COMPUTED_VALUE"""),"")</f>
        <v/>
      </c>
      <c r="W12248" s="16" t="str">
        <f>IFERROR(__xludf.DUMMYFUNCTION("""COMPUTED_VALUE"""),"")</f>
        <v/>
      </c>
      <c r="X12248" s="16" t="str">
        <f>IFERROR(__xludf.DUMMYFUNCTION("""COMPUTED_VALUE"""),"")</f>
        <v/>
      </c>
      <c r="AC12248" s="16" t="str">
        <f>IFERROR(__xludf.DUMMYFUNCTION("""COMPUTED_VALUE"""),"")</f>
        <v/>
      </c>
    </row>
    <row r="12249">
      <c r="A12249" s="16" t="s">
        <v>87</v>
      </c>
      <c r="E12249" s="16" t="str">
        <f>IFERROR(__xludf.DUMMYFUNCTION("""COMPUTED_VALUE"""),"")</f>
        <v/>
      </c>
      <c r="G12249" s="18"/>
      <c r="H12249" s="16" t="s">
        <v>87</v>
      </c>
      <c r="I12249" s="16" t="s">
        <v>87</v>
      </c>
      <c r="J12249" s="19"/>
      <c r="L12249" s="16" t="str">
        <f>IFERROR(__xludf.DUMMYFUNCTION("""COMPUTED_VALUE"""),"")</f>
        <v/>
      </c>
      <c r="M12249" s="16" t="str">
        <f>IFERROR(__xludf.DUMMYFUNCTION("""COMPUTED_VALUE"""),"")</f>
        <v/>
      </c>
      <c r="U12249" s="16" t="s">
        <v>87</v>
      </c>
      <c r="V12249" s="16" t="str">
        <f>IFERROR(__xludf.DUMMYFUNCTION("""COMPUTED_VALUE"""),"")</f>
        <v/>
      </c>
      <c r="W12249" s="16" t="str">
        <f>IFERROR(__xludf.DUMMYFUNCTION("""COMPUTED_VALUE"""),"")</f>
        <v/>
      </c>
      <c r="X12249" s="16" t="str">
        <f>IFERROR(__xludf.DUMMYFUNCTION("""COMPUTED_VALUE"""),"")</f>
        <v/>
      </c>
      <c r="AC12249" s="16" t="str">
        <f>IFERROR(__xludf.DUMMYFUNCTION("""COMPUTED_VALUE"""),"")</f>
        <v/>
      </c>
    </row>
    <row r="12250">
      <c r="A12250" s="16" t="s">
        <v>87</v>
      </c>
      <c r="E12250" s="16" t="str">
        <f>IFERROR(__xludf.DUMMYFUNCTION("""COMPUTED_VALUE"""),"")</f>
        <v/>
      </c>
      <c r="G12250" s="18"/>
      <c r="H12250" s="16" t="s">
        <v>87</v>
      </c>
      <c r="I12250" s="16" t="s">
        <v>87</v>
      </c>
      <c r="J12250" s="19"/>
      <c r="L12250" s="16" t="str">
        <f>IFERROR(__xludf.DUMMYFUNCTION("""COMPUTED_VALUE"""),"")</f>
        <v/>
      </c>
      <c r="M12250" s="16" t="str">
        <f>IFERROR(__xludf.DUMMYFUNCTION("""COMPUTED_VALUE"""),"")</f>
        <v/>
      </c>
      <c r="U12250" s="16" t="s">
        <v>87</v>
      </c>
      <c r="V12250" s="16" t="str">
        <f>IFERROR(__xludf.DUMMYFUNCTION("""COMPUTED_VALUE"""),"")</f>
        <v/>
      </c>
      <c r="W12250" s="16" t="str">
        <f>IFERROR(__xludf.DUMMYFUNCTION("""COMPUTED_VALUE"""),"")</f>
        <v/>
      </c>
      <c r="X12250" s="16" t="str">
        <f>IFERROR(__xludf.DUMMYFUNCTION("""COMPUTED_VALUE"""),"")</f>
        <v/>
      </c>
      <c r="AC12250" s="16" t="str">
        <f>IFERROR(__xludf.DUMMYFUNCTION("""COMPUTED_VALUE"""),"")</f>
        <v/>
      </c>
    </row>
    <row r="12251">
      <c r="A12251" s="16" t="s">
        <v>87</v>
      </c>
      <c r="E12251" s="16" t="str">
        <f>IFERROR(__xludf.DUMMYFUNCTION("""COMPUTED_VALUE"""),"")</f>
        <v/>
      </c>
      <c r="G12251" s="18"/>
      <c r="H12251" s="16" t="s">
        <v>87</v>
      </c>
      <c r="I12251" s="16" t="s">
        <v>87</v>
      </c>
      <c r="J12251" s="19"/>
      <c r="L12251" s="16" t="str">
        <f>IFERROR(__xludf.DUMMYFUNCTION("""COMPUTED_VALUE"""),"")</f>
        <v/>
      </c>
      <c r="M12251" s="16" t="str">
        <f>IFERROR(__xludf.DUMMYFUNCTION("""COMPUTED_VALUE"""),"")</f>
        <v/>
      </c>
      <c r="U12251" s="16" t="s">
        <v>87</v>
      </c>
      <c r="V12251" s="16" t="str">
        <f>IFERROR(__xludf.DUMMYFUNCTION("""COMPUTED_VALUE"""),"")</f>
        <v/>
      </c>
      <c r="W12251" s="16" t="str">
        <f>IFERROR(__xludf.DUMMYFUNCTION("""COMPUTED_VALUE"""),"")</f>
        <v/>
      </c>
      <c r="X12251" s="16" t="str">
        <f>IFERROR(__xludf.DUMMYFUNCTION("""COMPUTED_VALUE"""),"")</f>
        <v/>
      </c>
      <c r="AC12251" s="16" t="str">
        <f>IFERROR(__xludf.DUMMYFUNCTION("""COMPUTED_VALUE"""),"")</f>
        <v/>
      </c>
    </row>
    <row r="12252">
      <c r="A12252" s="16" t="s">
        <v>87</v>
      </c>
      <c r="E12252" s="16" t="str">
        <f>IFERROR(__xludf.DUMMYFUNCTION("""COMPUTED_VALUE"""),"")</f>
        <v/>
      </c>
      <c r="G12252" s="18"/>
      <c r="H12252" s="16" t="s">
        <v>87</v>
      </c>
      <c r="I12252" s="16" t="s">
        <v>87</v>
      </c>
      <c r="J12252" s="19"/>
      <c r="L12252" s="16" t="str">
        <f>IFERROR(__xludf.DUMMYFUNCTION("""COMPUTED_VALUE"""),"")</f>
        <v/>
      </c>
      <c r="M12252" s="16" t="str">
        <f>IFERROR(__xludf.DUMMYFUNCTION("""COMPUTED_VALUE"""),"")</f>
        <v/>
      </c>
      <c r="U12252" s="16" t="s">
        <v>87</v>
      </c>
      <c r="V12252" s="16" t="str">
        <f>IFERROR(__xludf.DUMMYFUNCTION("""COMPUTED_VALUE"""),"")</f>
        <v/>
      </c>
      <c r="W12252" s="16" t="str">
        <f>IFERROR(__xludf.DUMMYFUNCTION("""COMPUTED_VALUE"""),"")</f>
        <v/>
      </c>
      <c r="X12252" s="16" t="str">
        <f>IFERROR(__xludf.DUMMYFUNCTION("""COMPUTED_VALUE"""),"")</f>
        <v/>
      </c>
      <c r="AC12252" s="16" t="str">
        <f>IFERROR(__xludf.DUMMYFUNCTION("""COMPUTED_VALUE"""),"")</f>
        <v/>
      </c>
    </row>
    <row r="12253">
      <c r="A12253" s="16" t="s">
        <v>87</v>
      </c>
      <c r="E12253" s="16" t="str">
        <f>IFERROR(__xludf.DUMMYFUNCTION("""COMPUTED_VALUE"""),"")</f>
        <v/>
      </c>
      <c r="G12253" s="18"/>
      <c r="H12253" s="16" t="s">
        <v>87</v>
      </c>
      <c r="I12253" s="16" t="s">
        <v>87</v>
      </c>
      <c r="J12253" s="19"/>
      <c r="L12253" s="16" t="str">
        <f>IFERROR(__xludf.DUMMYFUNCTION("""COMPUTED_VALUE"""),"")</f>
        <v/>
      </c>
      <c r="M12253" s="16" t="str">
        <f>IFERROR(__xludf.DUMMYFUNCTION("""COMPUTED_VALUE"""),"")</f>
        <v/>
      </c>
      <c r="U12253" s="16" t="s">
        <v>87</v>
      </c>
      <c r="V12253" s="16" t="str">
        <f>IFERROR(__xludf.DUMMYFUNCTION("""COMPUTED_VALUE"""),"")</f>
        <v/>
      </c>
      <c r="W12253" s="16" t="str">
        <f>IFERROR(__xludf.DUMMYFUNCTION("""COMPUTED_VALUE"""),"")</f>
        <v/>
      </c>
      <c r="X12253" s="16" t="str">
        <f>IFERROR(__xludf.DUMMYFUNCTION("""COMPUTED_VALUE"""),"")</f>
        <v/>
      </c>
      <c r="AC12253" s="16" t="str">
        <f>IFERROR(__xludf.DUMMYFUNCTION("""COMPUTED_VALUE"""),"")</f>
        <v/>
      </c>
    </row>
    <row r="12254">
      <c r="A12254" s="16" t="s">
        <v>87</v>
      </c>
      <c r="E12254" s="16" t="str">
        <f>IFERROR(__xludf.DUMMYFUNCTION("""COMPUTED_VALUE"""),"")</f>
        <v/>
      </c>
      <c r="G12254" s="18"/>
      <c r="H12254" s="16" t="s">
        <v>87</v>
      </c>
      <c r="I12254" s="16" t="s">
        <v>87</v>
      </c>
      <c r="J12254" s="19"/>
      <c r="L12254" s="16" t="str">
        <f>IFERROR(__xludf.DUMMYFUNCTION("""COMPUTED_VALUE"""),"")</f>
        <v/>
      </c>
      <c r="M12254" s="16" t="str">
        <f>IFERROR(__xludf.DUMMYFUNCTION("""COMPUTED_VALUE"""),"")</f>
        <v/>
      </c>
      <c r="U12254" s="16" t="s">
        <v>87</v>
      </c>
      <c r="V12254" s="16" t="str">
        <f>IFERROR(__xludf.DUMMYFUNCTION("""COMPUTED_VALUE"""),"")</f>
        <v/>
      </c>
      <c r="W12254" s="16" t="str">
        <f>IFERROR(__xludf.DUMMYFUNCTION("""COMPUTED_VALUE"""),"")</f>
        <v/>
      </c>
      <c r="X12254" s="16" t="str">
        <f>IFERROR(__xludf.DUMMYFUNCTION("""COMPUTED_VALUE"""),"")</f>
        <v/>
      </c>
      <c r="AC12254" s="16" t="str">
        <f>IFERROR(__xludf.DUMMYFUNCTION("""COMPUTED_VALUE"""),"")</f>
        <v/>
      </c>
    </row>
    <row r="12255">
      <c r="A12255" s="16" t="s">
        <v>87</v>
      </c>
      <c r="E12255" s="16" t="str">
        <f>IFERROR(__xludf.DUMMYFUNCTION("""COMPUTED_VALUE"""),"")</f>
        <v/>
      </c>
      <c r="G12255" s="18"/>
      <c r="H12255" s="16" t="s">
        <v>87</v>
      </c>
      <c r="I12255" s="16" t="s">
        <v>87</v>
      </c>
      <c r="J12255" s="19"/>
      <c r="L12255" s="16" t="str">
        <f>IFERROR(__xludf.DUMMYFUNCTION("""COMPUTED_VALUE"""),"")</f>
        <v/>
      </c>
      <c r="M12255" s="16" t="str">
        <f>IFERROR(__xludf.DUMMYFUNCTION("""COMPUTED_VALUE"""),"")</f>
        <v/>
      </c>
      <c r="U12255" s="16" t="s">
        <v>87</v>
      </c>
      <c r="V12255" s="16" t="str">
        <f>IFERROR(__xludf.DUMMYFUNCTION("""COMPUTED_VALUE"""),"")</f>
        <v/>
      </c>
      <c r="W12255" s="16" t="str">
        <f>IFERROR(__xludf.DUMMYFUNCTION("""COMPUTED_VALUE"""),"")</f>
        <v/>
      </c>
      <c r="X12255" s="16" t="str">
        <f>IFERROR(__xludf.DUMMYFUNCTION("""COMPUTED_VALUE"""),"")</f>
        <v/>
      </c>
      <c r="AC12255" s="16" t="str">
        <f>IFERROR(__xludf.DUMMYFUNCTION("""COMPUTED_VALUE"""),"")</f>
        <v/>
      </c>
    </row>
    <row r="12256">
      <c r="A12256" s="16" t="s">
        <v>87</v>
      </c>
      <c r="E12256" s="16" t="str">
        <f>IFERROR(__xludf.DUMMYFUNCTION("""COMPUTED_VALUE"""),"")</f>
        <v/>
      </c>
      <c r="G12256" s="18"/>
      <c r="H12256" s="16" t="s">
        <v>87</v>
      </c>
      <c r="I12256" s="16" t="s">
        <v>87</v>
      </c>
      <c r="J12256" s="19"/>
      <c r="L12256" s="16" t="str">
        <f>IFERROR(__xludf.DUMMYFUNCTION("""COMPUTED_VALUE"""),"")</f>
        <v/>
      </c>
      <c r="M12256" s="16" t="str">
        <f>IFERROR(__xludf.DUMMYFUNCTION("""COMPUTED_VALUE"""),"")</f>
        <v/>
      </c>
      <c r="U12256" s="16" t="s">
        <v>87</v>
      </c>
      <c r="V12256" s="16" t="str">
        <f>IFERROR(__xludf.DUMMYFUNCTION("""COMPUTED_VALUE"""),"")</f>
        <v/>
      </c>
      <c r="W12256" s="16" t="str">
        <f>IFERROR(__xludf.DUMMYFUNCTION("""COMPUTED_VALUE"""),"")</f>
        <v/>
      </c>
      <c r="X12256" s="16" t="str">
        <f>IFERROR(__xludf.DUMMYFUNCTION("""COMPUTED_VALUE"""),"")</f>
        <v/>
      </c>
      <c r="AC12256" s="16" t="str">
        <f>IFERROR(__xludf.DUMMYFUNCTION("""COMPUTED_VALUE"""),"")</f>
        <v/>
      </c>
    </row>
    <row r="12257">
      <c r="A12257" s="16" t="s">
        <v>87</v>
      </c>
      <c r="E12257" s="16" t="str">
        <f>IFERROR(__xludf.DUMMYFUNCTION("""COMPUTED_VALUE"""),"")</f>
        <v/>
      </c>
      <c r="G12257" s="18"/>
      <c r="H12257" s="16" t="s">
        <v>87</v>
      </c>
      <c r="I12257" s="16" t="s">
        <v>87</v>
      </c>
      <c r="J12257" s="19"/>
      <c r="L12257" s="16" t="str">
        <f>IFERROR(__xludf.DUMMYFUNCTION("""COMPUTED_VALUE"""),"")</f>
        <v/>
      </c>
      <c r="M12257" s="16" t="str">
        <f>IFERROR(__xludf.DUMMYFUNCTION("""COMPUTED_VALUE"""),"")</f>
        <v/>
      </c>
      <c r="U12257" s="16" t="s">
        <v>87</v>
      </c>
      <c r="V12257" s="16" t="str">
        <f>IFERROR(__xludf.DUMMYFUNCTION("""COMPUTED_VALUE"""),"")</f>
        <v/>
      </c>
      <c r="W12257" s="16" t="str">
        <f>IFERROR(__xludf.DUMMYFUNCTION("""COMPUTED_VALUE"""),"")</f>
        <v/>
      </c>
      <c r="X12257" s="16" t="str">
        <f>IFERROR(__xludf.DUMMYFUNCTION("""COMPUTED_VALUE"""),"")</f>
        <v/>
      </c>
      <c r="AC12257" s="16" t="str">
        <f>IFERROR(__xludf.DUMMYFUNCTION("""COMPUTED_VALUE"""),"")</f>
        <v/>
      </c>
    </row>
    <row r="12258">
      <c r="A12258" s="16" t="s">
        <v>87</v>
      </c>
      <c r="E12258" s="16" t="str">
        <f>IFERROR(__xludf.DUMMYFUNCTION("""COMPUTED_VALUE"""),"")</f>
        <v/>
      </c>
      <c r="G12258" s="18"/>
      <c r="H12258" s="16" t="s">
        <v>87</v>
      </c>
      <c r="I12258" s="16" t="s">
        <v>87</v>
      </c>
      <c r="J12258" s="19"/>
      <c r="L12258" s="16" t="str">
        <f>IFERROR(__xludf.DUMMYFUNCTION("""COMPUTED_VALUE"""),"")</f>
        <v/>
      </c>
      <c r="M12258" s="16" t="str">
        <f>IFERROR(__xludf.DUMMYFUNCTION("""COMPUTED_VALUE"""),"")</f>
        <v/>
      </c>
      <c r="U12258" s="16" t="s">
        <v>87</v>
      </c>
      <c r="V12258" s="16" t="str">
        <f>IFERROR(__xludf.DUMMYFUNCTION("""COMPUTED_VALUE"""),"")</f>
        <v/>
      </c>
      <c r="W12258" s="16" t="str">
        <f>IFERROR(__xludf.DUMMYFUNCTION("""COMPUTED_VALUE"""),"")</f>
        <v/>
      </c>
      <c r="X12258" s="16" t="str">
        <f>IFERROR(__xludf.DUMMYFUNCTION("""COMPUTED_VALUE"""),"")</f>
        <v/>
      </c>
      <c r="AC12258" s="16" t="str">
        <f>IFERROR(__xludf.DUMMYFUNCTION("""COMPUTED_VALUE"""),"")</f>
        <v/>
      </c>
    </row>
    <row r="12259">
      <c r="A12259" s="16" t="s">
        <v>87</v>
      </c>
      <c r="E12259" s="16" t="str">
        <f>IFERROR(__xludf.DUMMYFUNCTION("""COMPUTED_VALUE"""),"")</f>
        <v/>
      </c>
      <c r="G12259" s="18"/>
      <c r="H12259" s="16" t="s">
        <v>87</v>
      </c>
      <c r="I12259" s="16" t="s">
        <v>87</v>
      </c>
      <c r="J12259" s="19"/>
      <c r="L12259" s="16" t="str">
        <f>IFERROR(__xludf.DUMMYFUNCTION("""COMPUTED_VALUE"""),"")</f>
        <v/>
      </c>
      <c r="M12259" s="16" t="str">
        <f>IFERROR(__xludf.DUMMYFUNCTION("""COMPUTED_VALUE"""),"")</f>
        <v/>
      </c>
      <c r="U12259" s="16" t="s">
        <v>87</v>
      </c>
      <c r="V12259" s="16" t="str">
        <f>IFERROR(__xludf.DUMMYFUNCTION("""COMPUTED_VALUE"""),"")</f>
        <v/>
      </c>
      <c r="W12259" s="16" t="str">
        <f>IFERROR(__xludf.DUMMYFUNCTION("""COMPUTED_VALUE"""),"")</f>
        <v/>
      </c>
      <c r="X12259" s="16" t="str">
        <f>IFERROR(__xludf.DUMMYFUNCTION("""COMPUTED_VALUE"""),"")</f>
        <v/>
      </c>
      <c r="AC12259" s="16" t="str">
        <f>IFERROR(__xludf.DUMMYFUNCTION("""COMPUTED_VALUE"""),"")</f>
        <v/>
      </c>
    </row>
    <row r="12260">
      <c r="A12260" s="16" t="s">
        <v>87</v>
      </c>
      <c r="E12260" s="16" t="str">
        <f>IFERROR(__xludf.DUMMYFUNCTION("""COMPUTED_VALUE"""),"")</f>
        <v/>
      </c>
      <c r="G12260" s="18"/>
      <c r="H12260" s="16" t="s">
        <v>87</v>
      </c>
      <c r="I12260" s="16" t="s">
        <v>87</v>
      </c>
      <c r="J12260" s="19"/>
      <c r="L12260" s="16" t="str">
        <f>IFERROR(__xludf.DUMMYFUNCTION("""COMPUTED_VALUE"""),"")</f>
        <v/>
      </c>
      <c r="M12260" s="16" t="str">
        <f>IFERROR(__xludf.DUMMYFUNCTION("""COMPUTED_VALUE"""),"")</f>
        <v/>
      </c>
      <c r="U12260" s="16" t="s">
        <v>87</v>
      </c>
      <c r="V12260" s="16" t="str">
        <f>IFERROR(__xludf.DUMMYFUNCTION("""COMPUTED_VALUE"""),"")</f>
        <v/>
      </c>
      <c r="W12260" s="16" t="str">
        <f>IFERROR(__xludf.DUMMYFUNCTION("""COMPUTED_VALUE"""),"")</f>
        <v/>
      </c>
      <c r="X12260" s="16" t="str">
        <f>IFERROR(__xludf.DUMMYFUNCTION("""COMPUTED_VALUE"""),"")</f>
        <v/>
      </c>
      <c r="AC12260" s="16" t="str">
        <f>IFERROR(__xludf.DUMMYFUNCTION("""COMPUTED_VALUE"""),"")</f>
        <v/>
      </c>
    </row>
    <row r="12261">
      <c r="A12261" s="16" t="s">
        <v>87</v>
      </c>
      <c r="E12261" s="16" t="str">
        <f>IFERROR(__xludf.DUMMYFUNCTION("""COMPUTED_VALUE"""),"")</f>
        <v/>
      </c>
      <c r="G12261" s="18"/>
      <c r="H12261" s="16" t="s">
        <v>87</v>
      </c>
      <c r="I12261" s="16" t="s">
        <v>87</v>
      </c>
      <c r="J12261" s="19"/>
      <c r="L12261" s="16" t="str">
        <f>IFERROR(__xludf.DUMMYFUNCTION("""COMPUTED_VALUE"""),"")</f>
        <v/>
      </c>
      <c r="M12261" s="16" t="str">
        <f>IFERROR(__xludf.DUMMYFUNCTION("""COMPUTED_VALUE"""),"")</f>
        <v/>
      </c>
      <c r="U12261" s="16" t="s">
        <v>87</v>
      </c>
      <c r="V12261" s="16" t="str">
        <f>IFERROR(__xludf.DUMMYFUNCTION("""COMPUTED_VALUE"""),"")</f>
        <v/>
      </c>
      <c r="W12261" s="16" t="str">
        <f>IFERROR(__xludf.DUMMYFUNCTION("""COMPUTED_VALUE"""),"")</f>
        <v/>
      </c>
      <c r="X12261" s="16" t="str">
        <f>IFERROR(__xludf.DUMMYFUNCTION("""COMPUTED_VALUE"""),"")</f>
        <v/>
      </c>
      <c r="AC12261" s="16" t="str">
        <f>IFERROR(__xludf.DUMMYFUNCTION("""COMPUTED_VALUE"""),"")</f>
        <v/>
      </c>
    </row>
    <row r="12262">
      <c r="A12262" s="16" t="s">
        <v>87</v>
      </c>
      <c r="E12262" s="16" t="str">
        <f>IFERROR(__xludf.DUMMYFUNCTION("""COMPUTED_VALUE"""),"")</f>
        <v/>
      </c>
      <c r="G12262" s="18"/>
      <c r="H12262" s="16" t="s">
        <v>87</v>
      </c>
      <c r="I12262" s="16" t="s">
        <v>87</v>
      </c>
      <c r="J12262" s="19"/>
      <c r="L12262" s="16" t="str">
        <f>IFERROR(__xludf.DUMMYFUNCTION("""COMPUTED_VALUE"""),"")</f>
        <v/>
      </c>
      <c r="M12262" s="16" t="str">
        <f>IFERROR(__xludf.DUMMYFUNCTION("""COMPUTED_VALUE"""),"")</f>
        <v/>
      </c>
      <c r="U12262" s="16" t="s">
        <v>87</v>
      </c>
      <c r="V12262" s="16" t="str">
        <f>IFERROR(__xludf.DUMMYFUNCTION("""COMPUTED_VALUE"""),"")</f>
        <v/>
      </c>
      <c r="W12262" s="16" t="str">
        <f>IFERROR(__xludf.DUMMYFUNCTION("""COMPUTED_VALUE"""),"")</f>
        <v/>
      </c>
      <c r="X12262" s="16" t="str">
        <f>IFERROR(__xludf.DUMMYFUNCTION("""COMPUTED_VALUE"""),"")</f>
        <v/>
      </c>
      <c r="AC12262" s="16" t="str">
        <f>IFERROR(__xludf.DUMMYFUNCTION("""COMPUTED_VALUE"""),"")</f>
        <v/>
      </c>
    </row>
    <row r="12263">
      <c r="A12263" s="16" t="s">
        <v>87</v>
      </c>
      <c r="E12263" s="16" t="str">
        <f>IFERROR(__xludf.DUMMYFUNCTION("""COMPUTED_VALUE"""),"")</f>
        <v/>
      </c>
      <c r="G12263" s="18"/>
      <c r="H12263" s="16" t="s">
        <v>87</v>
      </c>
      <c r="I12263" s="16" t="s">
        <v>87</v>
      </c>
      <c r="J12263" s="19"/>
      <c r="L12263" s="16" t="str">
        <f>IFERROR(__xludf.DUMMYFUNCTION("""COMPUTED_VALUE"""),"")</f>
        <v/>
      </c>
      <c r="M12263" s="16" t="str">
        <f>IFERROR(__xludf.DUMMYFUNCTION("""COMPUTED_VALUE"""),"")</f>
        <v/>
      </c>
      <c r="U12263" s="16" t="s">
        <v>87</v>
      </c>
      <c r="V12263" s="16" t="str">
        <f>IFERROR(__xludf.DUMMYFUNCTION("""COMPUTED_VALUE"""),"")</f>
        <v/>
      </c>
      <c r="W12263" s="16" t="str">
        <f>IFERROR(__xludf.DUMMYFUNCTION("""COMPUTED_VALUE"""),"")</f>
        <v/>
      </c>
      <c r="X12263" s="16" t="str">
        <f>IFERROR(__xludf.DUMMYFUNCTION("""COMPUTED_VALUE"""),"")</f>
        <v/>
      </c>
      <c r="AC12263" s="16" t="str">
        <f>IFERROR(__xludf.DUMMYFUNCTION("""COMPUTED_VALUE"""),"")</f>
        <v/>
      </c>
    </row>
    <row r="12264">
      <c r="A12264" s="16" t="s">
        <v>87</v>
      </c>
      <c r="E12264" s="16" t="str">
        <f>IFERROR(__xludf.DUMMYFUNCTION("""COMPUTED_VALUE"""),"")</f>
        <v/>
      </c>
      <c r="G12264" s="18"/>
      <c r="H12264" s="16" t="s">
        <v>87</v>
      </c>
      <c r="I12264" s="16" t="s">
        <v>87</v>
      </c>
      <c r="J12264" s="19"/>
      <c r="L12264" s="16" t="str">
        <f>IFERROR(__xludf.DUMMYFUNCTION("""COMPUTED_VALUE"""),"")</f>
        <v/>
      </c>
      <c r="M12264" s="16" t="str">
        <f>IFERROR(__xludf.DUMMYFUNCTION("""COMPUTED_VALUE"""),"")</f>
        <v/>
      </c>
      <c r="U12264" s="16" t="s">
        <v>87</v>
      </c>
      <c r="V12264" s="16" t="str">
        <f>IFERROR(__xludf.DUMMYFUNCTION("""COMPUTED_VALUE"""),"")</f>
        <v/>
      </c>
      <c r="W12264" s="16" t="str">
        <f>IFERROR(__xludf.DUMMYFUNCTION("""COMPUTED_VALUE"""),"")</f>
        <v/>
      </c>
      <c r="X12264" s="16" t="str">
        <f>IFERROR(__xludf.DUMMYFUNCTION("""COMPUTED_VALUE"""),"")</f>
        <v/>
      </c>
      <c r="AC12264" s="16" t="str">
        <f>IFERROR(__xludf.DUMMYFUNCTION("""COMPUTED_VALUE"""),"")</f>
        <v/>
      </c>
    </row>
    <row r="12265">
      <c r="A12265" s="16" t="s">
        <v>87</v>
      </c>
      <c r="E12265" s="16" t="str">
        <f>IFERROR(__xludf.DUMMYFUNCTION("""COMPUTED_VALUE"""),"")</f>
        <v/>
      </c>
      <c r="G12265" s="18"/>
      <c r="H12265" s="16" t="s">
        <v>87</v>
      </c>
      <c r="I12265" s="16" t="s">
        <v>87</v>
      </c>
      <c r="J12265" s="19"/>
      <c r="L12265" s="16" t="str">
        <f>IFERROR(__xludf.DUMMYFUNCTION("""COMPUTED_VALUE"""),"")</f>
        <v/>
      </c>
      <c r="M12265" s="16" t="str">
        <f>IFERROR(__xludf.DUMMYFUNCTION("""COMPUTED_VALUE"""),"")</f>
        <v/>
      </c>
      <c r="U12265" s="16" t="s">
        <v>87</v>
      </c>
      <c r="V12265" s="16" t="str">
        <f>IFERROR(__xludf.DUMMYFUNCTION("""COMPUTED_VALUE"""),"")</f>
        <v/>
      </c>
      <c r="W12265" s="16" t="str">
        <f>IFERROR(__xludf.DUMMYFUNCTION("""COMPUTED_VALUE"""),"")</f>
        <v/>
      </c>
      <c r="X12265" s="16" t="str">
        <f>IFERROR(__xludf.DUMMYFUNCTION("""COMPUTED_VALUE"""),"")</f>
        <v/>
      </c>
      <c r="AC12265" s="16" t="str">
        <f>IFERROR(__xludf.DUMMYFUNCTION("""COMPUTED_VALUE"""),"")</f>
        <v/>
      </c>
    </row>
    <row r="12266">
      <c r="A12266" s="16" t="s">
        <v>87</v>
      </c>
      <c r="E12266" s="16" t="str">
        <f>IFERROR(__xludf.DUMMYFUNCTION("""COMPUTED_VALUE"""),"")</f>
        <v/>
      </c>
      <c r="G12266" s="18"/>
      <c r="H12266" s="16" t="s">
        <v>87</v>
      </c>
      <c r="I12266" s="16" t="s">
        <v>87</v>
      </c>
      <c r="J12266" s="19"/>
      <c r="L12266" s="16" t="str">
        <f>IFERROR(__xludf.DUMMYFUNCTION("""COMPUTED_VALUE"""),"")</f>
        <v/>
      </c>
      <c r="M12266" s="16" t="str">
        <f>IFERROR(__xludf.DUMMYFUNCTION("""COMPUTED_VALUE"""),"")</f>
        <v/>
      </c>
      <c r="U12266" s="16" t="s">
        <v>87</v>
      </c>
      <c r="V12266" s="16" t="str">
        <f>IFERROR(__xludf.DUMMYFUNCTION("""COMPUTED_VALUE"""),"")</f>
        <v/>
      </c>
      <c r="W12266" s="16" t="str">
        <f>IFERROR(__xludf.DUMMYFUNCTION("""COMPUTED_VALUE"""),"")</f>
        <v/>
      </c>
      <c r="X12266" s="16" t="str">
        <f>IFERROR(__xludf.DUMMYFUNCTION("""COMPUTED_VALUE"""),"")</f>
        <v/>
      </c>
      <c r="AC12266" s="16" t="str">
        <f>IFERROR(__xludf.DUMMYFUNCTION("""COMPUTED_VALUE"""),"")</f>
        <v/>
      </c>
    </row>
    <row r="12267">
      <c r="A12267" s="16" t="s">
        <v>87</v>
      </c>
      <c r="E12267" s="16" t="str">
        <f>IFERROR(__xludf.DUMMYFUNCTION("""COMPUTED_VALUE"""),"")</f>
        <v/>
      </c>
      <c r="G12267" s="18"/>
      <c r="H12267" s="16" t="s">
        <v>87</v>
      </c>
      <c r="I12267" s="16" t="s">
        <v>87</v>
      </c>
      <c r="J12267" s="19"/>
      <c r="L12267" s="16" t="str">
        <f>IFERROR(__xludf.DUMMYFUNCTION("""COMPUTED_VALUE"""),"")</f>
        <v/>
      </c>
      <c r="M12267" s="16" t="str">
        <f>IFERROR(__xludf.DUMMYFUNCTION("""COMPUTED_VALUE"""),"")</f>
        <v/>
      </c>
      <c r="U12267" s="16" t="s">
        <v>87</v>
      </c>
      <c r="V12267" s="16" t="str">
        <f>IFERROR(__xludf.DUMMYFUNCTION("""COMPUTED_VALUE"""),"")</f>
        <v/>
      </c>
      <c r="W12267" s="16" t="str">
        <f>IFERROR(__xludf.DUMMYFUNCTION("""COMPUTED_VALUE"""),"")</f>
        <v/>
      </c>
      <c r="X12267" s="16" t="str">
        <f>IFERROR(__xludf.DUMMYFUNCTION("""COMPUTED_VALUE"""),"")</f>
        <v/>
      </c>
      <c r="AC12267" s="16" t="str">
        <f>IFERROR(__xludf.DUMMYFUNCTION("""COMPUTED_VALUE"""),"")</f>
        <v/>
      </c>
    </row>
    <row r="12268">
      <c r="A12268" s="16" t="s">
        <v>87</v>
      </c>
      <c r="E12268" s="16" t="str">
        <f>IFERROR(__xludf.DUMMYFUNCTION("""COMPUTED_VALUE"""),"")</f>
        <v/>
      </c>
      <c r="G12268" s="18"/>
      <c r="H12268" s="16" t="s">
        <v>87</v>
      </c>
      <c r="I12268" s="16" t="s">
        <v>87</v>
      </c>
      <c r="J12268" s="19"/>
      <c r="L12268" s="16" t="str">
        <f>IFERROR(__xludf.DUMMYFUNCTION("""COMPUTED_VALUE"""),"")</f>
        <v/>
      </c>
      <c r="M12268" s="16" t="str">
        <f>IFERROR(__xludf.DUMMYFUNCTION("""COMPUTED_VALUE"""),"")</f>
        <v/>
      </c>
      <c r="U12268" s="16" t="s">
        <v>87</v>
      </c>
      <c r="V12268" s="16" t="str">
        <f>IFERROR(__xludf.DUMMYFUNCTION("""COMPUTED_VALUE"""),"")</f>
        <v/>
      </c>
      <c r="W12268" s="16" t="str">
        <f>IFERROR(__xludf.DUMMYFUNCTION("""COMPUTED_VALUE"""),"")</f>
        <v/>
      </c>
      <c r="X12268" s="16" t="str">
        <f>IFERROR(__xludf.DUMMYFUNCTION("""COMPUTED_VALUE"""),"")</f>
        <v/>
      </c>
      <c r="AC12268" s="16" t="str">
        <f>IFERROR(__xludf.DUMMYFUNCTION("""COMPUTED_VALUE"""),"")</f>
        <v/>
      </c>
    </row>
    <row r="12269">
      <c r="A12269" s="16" t="s">
        <v>87</v>
      </c>
      <c r="E12269" s="16" t="str">
        <f>IFERROR(__xludf.DUMMYFUNCTION("""COMPUTED_VALUE"""),"")</f>
        <v/>
      </c>
      <c r="G12269" s="18"/>
      <c r="H12269" s="16" t="s">
        <v>87</v>
      </c>
      <c r="I12269" s="16" t="s">
        <v>87</v>
      </c>
      <c r="J12269" s="19"/>
      <c r="L12269" s="16" t="str">
        <f>IFERROR(__xludf.DUMMYFUNCTION("""COMPUTED_VALUE"""),"")</f>
        <v/>
      </c>
      <c r="M12269" s="16" t="str">
        <f>IFERROR(__xludf.DUMMYFUNCTION("""COMPUTED_VALUE"""),"")</f>
        <v/>
      </c>
      <c r="U12269" s="16" t="s">
        <v>87</v>
      </c>
      <c r="V12269" s="16" t="str">
        <f>IFERROR(__xludf.DUMMYFUNCTION("""COMPUTED_VALUE"""),"")</f>
        <v/>
      </c>
      <c r="W12269" s="16" t="str">
        <f>IFERROR(__xludf.DUMMYFUNCTION("""COMPUTED_VALUE"""),"")</f>
        <v/>
      </c>
      <c r="X12269" s="16" t="str">
        <f>IFERROR(__xludf.DUMMYFUNCTION("""COMPUTED_VALUE"""),"")</f>
        <v/>
      </c>
      <c r="AC12269" s="16" t="str">
        <f>IFERROR(__xludf.DUMMYFUNCTION("""COMPUTED_VALUE"""),"")</f>
        <v/>
      </c>
    </row>
    <row r="12270">
      <c r="A12270" s="16" t="s">
        <v>87</v>
      </c>
      <c r="E12270" s="16" t="str">
        <f>IFERROR(__xludf.DUMMYFUNCTION("""COMPUTED_VALUE"""),"")</f>
        <v/>
      </c>
      <c r="G12270" s="18"/>
      <c r="H12270" s="16" t="s">
        <v>87</v>
      </c>
      <c r="I12270" s="16" t="s">
        <v>87</v>
      </c>
      <c r="J12270" s="19"/>
      <c r="L12270" s="16" t="str">
        <f>IFERROR(__xludf.DUMMYFUNCTION("""COMPUTED_VALUE"""),"")</f>
        <v/>
      </c>
      <c r="M12270" s="16" t="str">
        <f>IFERROR(__xludf.DUMMYFUNCTION("""COMPUTED_VALUE"""),"")</f>
        <v/>
      </c>
      <c r="U12270" s="16" t="s">
        <v>87</v>
      </c>
      <c r="V12270" s="16" t="str">
        <f>IFERROR(__xludf.DUMMYFUNCTION("""COMPUTED_VALUE"""),"")</f>
        <v/>
      </c>
      <c r="W12270" s="16" t="str">
        <f>IFERROR(__xludf.DUMMYFUNCTION("""COMPUTED_VALUE"""),"")</f>
        <v/>
      </c>
      <c r="X12270" s="16" t="str">
        <f>IFERROR(__xludf.DUMMYFUNCTION("""COMPUTED_VALUE"""),"")</f>
        <v/>
      </c>
      <c r="AC12270" s="16" t="str">
        <f>IFERROR(__xludf.DUMMYFUNCTION("""COMPUTED_VALUE"""),"")</f>
        <v/>
      </c>
    </row>
    <row r="12271">
      <c r="A12271" s="16" t="s">
        <v>87</v>
      </c>
      <c r="E12271" s="16" t="str">
        <f>IFERROR(__xludf.DUMMYFUNCTION("""COMPUTED_VALUE"""),"")</f>
        <v/>
      </c>
      <c r="G12271" s="18"/>
      <c r="H12271" s="16" t="s">
        <v>87</v>
      </c>
      <c r="I12271" s="16" t="s">
        <v>87</v>
      </c>
      <c r="J12271" s="19"/>
      <c r="L12271" s="16" t="str">
        <f>IFERROR(__xludf.DUMMYFUNCTION("""COMPUTED_VALUE"""),"")</f>
        <v/>
      </c>
      <c r="M12271" s="16" t="str">
        <f>IFERROR(__xludf.DUMMYFUNCTION("""COMPUTED_VALUE"""),"")</f>
        <v/>
      </c>
      <c r="U12271" s="16" t="s">
        <v>87</v>
      </c>
      <c r="V12271" s="16" t="str">
        <f>IFERROR(__xludf.DUMMYFUNCTION("""COMPUTED_VALUE"""),"")</f>
        <v/>
      </c>
      <c r="W12271" s="16" t="str">
        <f>IFERROR(__xludf.DUMMYFUNCTION("""COMPUTED_VALUE"""),"")</f>
        <v/>
      </c>
      <c r="X12271" s="16" t="str">
        <f>IFERROR(__xludf.DUMMYFUNCTION("""COMPUTED_VALUE"""),"")</f>
        <v/>
      </c>
      <c r="AC12271" s="16" t="str">
        <f>IFERROR(__xludf.DUMMYFUNCTION("""COMPUTED_VALUE"""),"")</f>
        <v/>
      </c>
    </row>
    <row r="12272">
      <c r="A12272" s="16" t="s">
        <v>87</v>
      </c>
      <c r="E12272" s="16" t="str">
        <f>IFERROR(__xludf.DUMMYFUNCTION("""COMPUTED_VALUE"""),"")</f>
        <v/>
      </c>
      <c r="G12272" s="18"/>
      <c r="H12272" s="16" t="s">
        <v>87</v>
      </c>
      <c r="I12272" s="16" t="s">
        <v>87</v>
      </c>
      <c r="J12272" s="19"/>
      <c r="L12272" s="16" t="str">
        <f>IFERROR(__xludf.DUMMYFUNCTION("""COMPUTED_VALUE"""),"")</f>
        <v/>
      </c>
      <c r="M12272" s="16" t="str">
        <f>IFERROR(__xludf.DUMMYFUNCTION("""COMPUTED_VALUE"""),"")</f>
        <v/>
      </c>
      <c r="U12272" s="16" t="s">
        <v>87</v>
      </c>
      <c r="V12272" s="16" t="str">
        <f>IFERROR(__xludf.DUMMYFUNCTION("""COMPUTED_VALUE"""),"")</f>
        <v/>
      </c>
      <c r="W12272" s="16" t="str">
        <f>IFERROR(__xludf.DUMMYFUNCTION("""COMPUTED_VALUE"""),"")</f>
        <v/>
      </c>
      <c r="X12272" s="16" t="str">
        <f>IFERROR(__xludf.DUMMYFUNCTION("""COMPUTED_VALUE"""),"")</f>
        <v/>
      </c>
      <c r="AC12272" s="16" t="str">
        <f>IFERROR(__xludf.DUMMYFUNCTION("""COMPUTED_VALUE"""),"")</f>
        <v/>
      </c>
    </row>
    <row r="12273">
      <c r="A12273" s="16" t="s">
        <v>87</v>
      </c>
      <c r="E12273" s="16" t="str">
        <f>IFERROR(__xludf.DUMMYFUNCTION("""COMPUTED_VALUE"""),"")</f>
        <v/>
      </c>
      <c r="G12273" s="18"/>
      <c r="H12273" s="16" t="s">
        <v>87</v>
      </c>
      <c r="I12273" s="16" t="s">
        <v>87</v>
      </c>
      <c r="J12273" s="19"/>
      <c r="L12273" s="16" t="str">
        <f>IFERROR(__xludf.DUMMYFUNCTION("""COMPUTED_VALUE"""),"")</f>
        <v/>
      </c>
      <c r="M12273" s="16" t="str">
        <f>IFERROR(__xludf.DUMMYFUNCTION("""COMPUTED_VALUE"""),"")</f>
        <v/>
      </c>
      <c r="U12273" s="16" t="s">
        <v>87</v>
      </c>
      <c r="V12273" s="16" t="str">
        <f>IFERROR(__xludf.DUMMYFUNCTION("""COMPUTED_VALUE"""),"")</f>
        <v/>
      </c>
      <c r="W12273" s="16" t="str">
        <f>IFERROR(__xludf.DUMMYFUNCTION("""COMPUTED_VALUE"""),"")</f>
        <v/>
      </c>
      <c r="X12273" s="16" t="str">
        <f>IFERROR(__xludf.DUMMYFUNCTION("""COMPUTED_VALUE"""),"")</f>
        <v/>
      </c>
      <c r="AC12273" s="16" t="str">
        <f>IFERROR(__xludf.DUMMYFUNCTION("""COMPUTED_VALUE"""),"")</f>
        <v/>
      </c>
    </row>
    <row r="12274">
      <c r="A12274" s="16" t="s">
        <v>87</v>
      </c>
      <c r="E12274" s="16" t="str">
        <f>IFERROR(__xludf.DUMMYFUNCTION("""COMPUTED_VALUE"""),"")</f>
        <v/>
      </c>
      <c r="G12274" s="18"/>
      <c r="H12274" s="16" t="s">
        <v>87</v>
      </c>
      <c r="I12274" s="16" t="s">
        <v>87</v>
      </c>
      <c r="J12274" s="19"/>
      <c r="L12274" s="16" t="str">
        <f>IFERROR(__xludf.DUMMYFUNCTION("""COMPUTED_VALUE"""),"")</f>
        <v/>
      </c>
      <c r="M12274" s="16" t="str">
        <f>IFERROR(__xludf.DUMMYFUNCTION("""COMPUTED_VALUE"""),"")</f>
        <v/>
      </c>
      <c r="U12274" s="16" t="s">
        <v>87</v>
      </c>
      <c r="V12274" s="16" t="str">
        <f>IFERROR(__xludf.DUMMYFUNCTION("""COMPUTED_VALUE"""),"")</f>
        <v/>
      </c>
      <c r="W12274" s="16" t="str">
        <f>IFERROR(__xludf.DUMMYFUNCTION("""COMPUTED_VALUE"""),"")</f>
        <v/>
      </c>
      <c r="X12274" s="16" t="str">
        <f>IFERROR(__xludf.DUMMYFUNCTION("""COMPUTED_VALUE"""),"")</f>
        <v/>
      </c>
      <c r="AC12274" s="16" t="str">
        <f>IFERROR(__xludf.DUMMYFUNCTION("""COMPUTED_VALUE"""),"")</f>
        <v/>
      </c>
    </row>
    <row r="12275">
      <c r="A12275" s="16" t="s">
        <v>87</v>
      </c>
      <c r="E12275" s="16" t="str">
        <f>IFERROR(__xludf.DUMMYFUNCTION("""COMPUTED_VALUE"""),"")</f>
        <v/>
      </c>
      <c r="G12275" s="18"/>
      <c r="H12275" s="16" t="s">
        <v>87</v>
      </c>
      <c r="I12275" s="16" t="s">
        <v>87</v>
      </c>
      <c r="J12275" s="19"/>
      <c r="L12275" s="16" t="str">
        <f>IFERROR(__xludf.DUMMYFUNCTION("""COMPUTED_VALUE"""),"")</f>
        <v/>
      </c>
      <c r="M12275" s="16" t="str">
        <f>IFERROR(__xludf.DUMMYFUNCTION("""COMPUTED_VALUE"""),"")</f>
        <v/>
      </c>
      <c r="U12275" s="16" t="s">
        <v>87</v>
      </c>
      <c r="V12275" s="16" t="str">
        <f>IFERROR(__xludf.DUMMYFUNCTION("""COMPUTED_VALUE"""),"")</f>
        <v/>
      </c>
      <c r="W12275" s="16" t="str">
        <f>IFERROR(__xludf.DUMMYFUNCTION("""COMPUTED_VALUE"""),"")</f>
        <v/>
      </c>
      <c r="X12275" s="16" t="str">
        <f>IFERROR(__xludf.DUMMYFUNCTION("""COMPUTED_VALUE"""),"")</f>
        <v/>
      </c>
      <c r="AC12275" s="16" t="str">
        <f>IFERROR(__xludf.DUMMYFUNCTION("""COMPUTED_VALUE"""),"")</f>
        <v/>
      </c>
    </row>
    <row r="12276">
      <c r="A12276" s="16" t="s">
        <v>87</v>
      </c>
      <c r="E12276" s="16" t="str">
        <f>IFERROR(__xludf.DUMMYFUNCTION("""COMPUTED_VALUE"""),"")</f>
        <v/>
      </c>
      <c r="G12276" s="18"/>
      <c r="H12276" s="16" t="s">
        <v>87</v>
      </c>
      <c r="I12276" s="16" t="s">
        <v>87</v>
      </c>
      <c r="J12276" s="19"/>
      <c r="L12276" s="16" t="str">
        <f>IFERROR(__xludf.DUMMYFUNCTION("""COMPUTED_VALUE"""),"")</f>
        <v/>
      </c>
      <c r="M12276" s="16" t="str">
        <f>IFERROR(__xludf.DUMMYFUNCTION("""COMPUTED_VALUE"""),"")</f>
        <v/>
      </c>
      <c r="U12276" s="16" t="s">
        <v>87</v>
      </c>
      <c r="V12276" s="16" t="str">
        <f>IFERROR(__xludf.DUMMYFUNCTION("""COMPUTED_VALUE"""),"")</f>
        <v/>
      </c>
      <c r="W12276" s="16" t="str">
        <f>IFERROR(__xludf.DUMMYFUNCTION("""COMPUTED_VALUE"""),"")</f>
        <v/>
      </c>
      <c r="X12276" s="16" t="str">
        <f>IFERROR(__xludf.DUMMYFUNCTION("""COMPUTED_VALUE"""),"")</f>
        <v/>
      </c>
      <c r="AC12276" s="16" t="str">
        <f>IFERROR(__xludf.DUMMYFUNCTION("""COMPUTED_VALUE"""),"")</f>
        <v/>
      </c>
    </row>
    <row r="12277">
      <c r="A12277" s="16" t="s">
        <v>87</v>
      </c>
      <c r="E12277" s="16" t="str">
        <f>IFERROR(__xludf.DUMMYFUNCTION("""COMPUTED_VALUE"""),"")</f>
        <v/>
      </c>
      <c r="G12277" s="18"/>
      <c r="H12277" s="16" t="s">
        <v>87</v>
      </c>
      <c r="I12277" s="16" t="s">
        <v>87</v>
      </c>
      <c r="J12277" s="19"/>
      <c r="L12277" s="16" t="str">
        <f>IFERROR(__xludf.DUMMYFUNCTION("""COMPUTED_VALUE"""),"")</f>
        <v/>
      </c>
      <c r="M12277" s="16" t="str">
        <f>IFERROR(__xludf.DUMMYFUNCTION("""COMPUTED_VALUE"""),"")</f>
        <v/>
      </c>
      <c r="U12277" s="16" t="s">
        <v>87</v>
      </c>
      <c r="V12277" s="16" t="str">
        <f>IFERROR(__xludf.DUMMYFUNCTION("""COMPUTED_VALUE"""),"")</f>
        <v/>
      </c>
      <c r="W12277" s="16" t="str">
        <f>IFERROR(__xludf.DUMMYFUNCTION("""COMPUTED_VALUE"""),"")</f>
        <v/>
      </c>
      <c r="X12277" s="16" t="str">
        <f>IFERROR(__xludf.DUMMYFUNCTION("""COMPUTED_VALUE"""),"")</f>
        <v/>
      </c>
      <c r="AC12277" s="16" t="str">
        <f>IFERROR(__xludf.DUMMYFUNCTION("""COMPUTED_VALUE"""),"")</f>
        <v/>
      </c>
    </row>
    <row r="12278">
      <c r="A12278" s="16" t="s">
        <v>87</v>
      </c>
      <c r="E12278" s="16" t="str">
        <f>IFERROR(__xludf.DUMMYFUNCTION("""COMPUTED_VALUE"""),"")</f>
        <v/>
      </c>
      <c r="G12278" s="18"/>
      <c r="H12278" s="16" t="s">
        <v>87</v>
      </c>
      <c r="I12278" s="16" t="s">
        <v>87</v>
      </c>
      <c r="J12278" s="19"/>
      <c r="L12278" s="16" t="str">
        <f>IFERROR(__xludf.DUMMYFUNCTION("""COMPUTED_VALUE"""),"")</f>
        <v/>
      </c>
      <c r="M12278" s="16" t="str">
        <f>IFERROR(__xludf.DUMMYFUNCTION("""COMPUTED_VALUE"""),"")</f>
        <v/>
      </c>
      <c r="U12278" s="16" t="s">
        <v>87</v>
      </c>
      <c r="V12278" s="16" t="str">
        <f>IFERROR(__xludf.DUMMYFUNCTION("""COMPUTED_VALUE"""),"")</f>
        <v/>
      </c>
      <c r="W12278" s="16" t="str">
        <f>IFERROR(__xludf.DUMMYFUNCTION("""COMPUTED_VALUE"""),"")</f>
        <v/>
      </c>
      <c r="X12278" s="16" t="str">
        <f>IFERROR(__xludf.DUMMYFUNCTION("""COMPUTED_VALUE"""),"")</f>
        <v/>
      </c>
      <c r="AC12278" s="16" t="str">
        <f>IFERROR(__xludf.DUMMYFUNCTION("""COMPUTED_VALUE"""),"")</f>
        <v/>
      </c>
    </row>
    <row r="12279">
      <c r="A12279" s="16" t="s">
        <v>87</v>
      </c>
      <c r="E12279" s="16" t="str">
        <f>IFERROR(__xludf.DUMMYFUNCTION("""COMPUTED_VALUE"""),"")</f>
        <v/>
      </c>
      <c r="G12279" s="18"/>
      <c r="H12279" s="16" t="s">
        <v>87</v>
      </c>
      <c r="I12279" s="16" t="s">
        <v>87</v>
      </c>
      <c r="J12279" s="19"/>
      <c r="L12279" s="16" t="str">
        <f>IFERROR(__xludf.DUMMYFUNCTION("""COMPUTED_VALUE"""),"")</f>
        <v/>
      </c>
      <c r="M12279" s="16" t="str">
        <f>IFERROR(__xludf.DUMMYFUNCTION("""COMPUTED_VALUE"""),"")</f>
        <v/>
      </c>
      <c r="U12279" s="16" t="s">
        <v>87</v>
      </c>
      <c r="V12279" s="16" t="str">
        <f>IFERROR(__xludf.DUMMYFUNCTION("""COMPUTED_VALUE"""),"")</f>
        <v/>
      </c>
      <c r="W12279" s="16" t="str">
        <f>IFERROR(__xludf.DUMMYFUNCTION("""COMPUTED_VALUE"""),"")</f>
        <v/>
      </c>
      <c r="X12279" s="16" t="str">
        <f>IFERROR(__xludf.DUMMYFUNCTION("""COMPUTED_VALUE"""),"")</f>
        <v/>
      </c>
      <c r="AC12279" s="16" t="str">
        <f>IFERROR(__xludf.DUMMYFUNCTION("""COMPUTED_VALUE"""),"")</f>
        <v/>
      </c>
    </row>
    <row r="12280">
      <c r="A12280" s="16" t="s">
        <v>87</v>
      </c>
      <c r="E12280" s="16" t="str">
        <f>IFERROR(__xludf.DUMMYFUNCTION("""COMPUTED_VALUE"""),"")</f>
        <v/>
      </c>
      <c r="G12280" s="18"/>
      <c r="H12280" s="16" t="s">
        <v>87</v>
      </c>
      <c r="I12280" s="16" t="s">
        <v>87</v>
      </c>
      <c r="J12280" s="19"/>
      <c r="L12280" s="16" t="str">
        <f>IFERROR(__xludf.DUMMYFUNCTION("""COMPUTED_VALUE"""),"")</f>
        <v/>
      </c>
      <c r="M12280" s="16" t="str">
        <f>IFERROR(__xludf.DUMMYFUNCTION("""COMPUTED_VALUE"""),"")</f>
        <v/>
      </c>
      <c r="U12280" s="16" t="s">
        <v>87</v>
      </c>
      <c r="V12280" s="16" t="str">
        <f>IFERROR(__xludf.DUMMYFUNCTION("""COMPUTED_VALUE"""),"")</f>
        <v/>
      </c>
      <c r="W12280" s="16" t="str">
        <f>IFERROR(__xludf.DUMMYFUNCTION("""COMPUTED_VALUE"""),"")</f>
        <v/>
      </c>
      <c r="X12280" s="16" t="str">
        <f>IFERROR(__xludf.DUMMYFUNCTION("""COMPUTED_VALUE"""),"")</f>
        <v/>
      </c>
      <c r="AC12280" s="16" t="str">
        <f>IFERROR(__xludf.DUMMYFUNCTION("""COMPUTED_VALUE"""),"")</f>
        <v/>
      </c>
    </row>
    <row r="12281">
      <c r="A12281" s="16" t="s">
        <v>87</v>
      </c>
      <c r="E12281" s="16" t="str">
        <f>IFERROR(__xludf.DUMMYFUNCTION("""COMPUTED_VALUE"""),"")</f>
        <v/>
      </c>
      <c r="G12281" s="18"/>
      <c r="H12281" s="16" t="s">
        <v>87</v>
      </c>
      <c r="I12281" s="16" t="s">
        <v>87</v>
      </c>
      <c r="J12281" s="19"/>
      <c r="L12281" s="16" t="str">
        <f>IFERROR(__xludf.DUMMYFUNCTION("""COMPUTED_VALUE"""),"")</f>
        <v/>
      </c>
      <c r="M12281" s="16" t="str">
        <f>IFERROR(__xludf.DUMMYFUNCTION("""COMPUTED_VALUE"""),"")</f>
        <v/>
      </c>
      <c r="U12281" s="16" t="s">
        <v>87</v>
      </c>
      <c r="V12281" s="16" t="str">
        <f>IFERROR(__xludf.DUMMYFUNCTION("""COMPUTED_VALUE"""),"")</f>
        <v/>
      </c>
      <c r="W12281" s="16" t="str">
        <f>IFERROR(__xludf.DUMMYFUNCTION("""COMPUTED_VALUE"""),"")</f>
        <v/>
      </c>
      <c r="X12281" s="16" t="str">
        <f>IFERROR(__xludf.DUMMYFUNCTION("""COMPUTED_VALUE"""),"")</f>
        <v/>
      </c>
      <c r="AC12281" s="16" t="str">
        <f>IFERROR(__xludf.DUMMYFUNCTION("""COMPUTED_VALUE"""),"")</f>
        <v/>
      </c>
    </row>
    <row r="12282">
      <c r="A12282" s="16" t="s">
        <v>87</v>
      </c>
      <c r="E12282" s="16" t="str">
        <f>IFERROR(__xludf.DUMMYFUNCTION("""COMPUTED_VALUE"""),"")</f>
        <v/>
      </c>
      <c r="G12282" s="18"/>
      <c r="H12282" s="16" t="s">
        <v>87</v>
      </c>
      <c r="I12282" s="16" t="s">
        <v>87</v>
      </c>
      <c r="J12282" s="19"/>
      <c r="L12282" s="16" t="str">
        <f>IFERROR(__xludf.DUMMYFUNCTION("""COMPUTED_VALUE"""),"")</f>
        <v/>
      </c>
      <c r="M12282" s="16" t="str">
        <f>IFERROR(__xludf.DUMMYFUNCTION("""COMPUTED_VALUE"""),"")</f>
        <v/>
      </c>
      <c r="U12282" s="16" t="s">
        <v>87</v>
      </c>
      <c r="V12282" s="16" t="str">
        <f>IFERROR(__xludf.DUMMYFUNCTION("""COMPUTED_VALUE"""),"")</f>
        <v/>
      </c>
      <c r="W12282" s="16" t="str">
        <f>IFERROR(__xludf.DUMMYFUNCTION("""COMPUTED_VALUE"""),"")</f>
        <v/>
      </c>
      <c r="X12282" s="16" t="str">
        <f>IFERROR(__xludf.DUMMYFUNCTION("""COMPUTED_VALUE"""),"")</f>
        <v/>
      </c>
      <c r="AC12282" s="16" t="str">
        <f>IFERROR(__xludf.DUMMYFUNCTION("""COMPUTED_VALUE"""),"")</f>
        <v/>
      </c>
    </row>
    <row r="12283">
      <c r="A12283" s="16" t="s">
        <v>87</v>
      </c>
      <c r="E12283" s="16" t="str">
        <f>IFERROR(__xludf.DUMMYFUNCTION("""COMPUTED_VALUE"""),"")</f>
        <v/>
      </c>
      <c r="G12283" s="18"/>
      <c r="H12283" s="16" t="s">
        <v>87</v>
      </c>
      <c r="I12283" s="16" t="s">
        <v>87</v>
      </c>
      <c r="J12283" s="19"/>
      <c r="L12283" s="16" t="str">
        <f>IFERROR(__xludf.DUMMYFUNCTION("""COMPUTED_VALUE"""),"")</f>
        <v/>
      </c>
      <c r="M12283" s="16" t="str">
        <f>IFERROR(__xludf.DUMMYFUNCTION("""COMPUTED_VALUE"""),"")</f>
        <v/>
      </c>
      <c r="U12283" s="16" t="s">
        <v>87</v>
      </c>
      <c r="V12283" s="16" t="str">
        <f>IFERROR(__xludf.DUMMYFUNCTION("""COMPUTED_VALUE"""),"")</f>
        <v/>
      </c>
      <c r="W12283" s="16" t="str">
        <f>IFERROR(__xludf.DUMMYFUNCTION("""COMPUTED_VALUE"""),"")</f>
        <v/>
      </c>
      <c r="X12283" s="16" t="str">
        <f>IFERROR(__xludf.DUMMYFUNCTION("""COMPUTED_VALUE"""),"")</f>
        <v/>
      </c>
      <c r="AC12283" s="16" t="str">
        <f>IFERROR(__xludf.DUMMYFUNCTION("""COMPUTED_VALUE"""),"")</f>
        <v/>
      </c>
    </row>
    <row r="12284">
      <c r="A12284" s="16" t="s">
        <v>87</v>
      </c>
      <c r="E12284" s="16" t="str">
        <f>IFERROR(__xludf.DUMMYFUNCTION("""COMPUTED_VALUE"""),"")</f>
        <v/>
      </c>
      <c r="G12284" s="18"/>
      <c r="H12284" s="16" t="s">
        <v>87</v>
      </c>
      <c r="I12284" s="16" t="s">
        <v>87</v>
      </c>
      <c r="J12284" s="19"/>
      <c r="L12284" s="16" t="str">
        <f>IFERROR(__xludf.DUMMYFUNCTION("""COMPUTED_VALUE"""),"")</f>
        <v/>
      </c>
      <c r="M12284" s="16" t="str">
        <f>IFERROR(__xludf.DUMMYFUNCTION("""COMPUTED_VALUE"""),"")</f>
        <v/>
      </c>
      <c r="U12284" s="16" t="s">
        <v>87</v>
      </c>
      <c r="V12284" s="16" t="str">
        <f>IFERROR(__xludf.DUMMYFUNCTION("""COMPUTED_VALUE"""),"")</f>
        <v/>
      </c>
      <c r="W12284" s="16" t="str">
        <f>IFERROR(__xludf.DUMMYFUNCTION("""COMPUTED_VALUE"""),"")</f>
        <v/>
      </c>
      <c r="X12284" s="16" t="str">
        <f>IFERROR(__xludf.DUMMYFUNCTION("""COMPUTED_VALUE"""),"")</f>
        <v/>
      </c>
      <c r="AC12284" s="16" t="str">
        <f>IFERROR(__xludf.DUMMYFUNCTION("""COMPUTED_VALUE"""),"")</f>
        <v/>
      </c>
    </row>
    <row r="12285">
      <c r="A12285" s="16" t="s">
        <v>87</v>
      </c>
      <c r="E12285" s="16" t="str">
        <f>IFERROR(__xludf.DUMMYFUNCTION("""COMPUTED_VALUE"""),"")</f>
        <v/>
      </c>
      <c r="G12285" s="18"/>
      <c r="H12285" s="16" t="s">
        <v>87</v>
      </c>
      <c r="I12285" s="16" t="s">
        <v>87</v>
      </c>
      <c r="J12285" s="19"/>
      <c r="L12285" s="16" t="str">
        <f>IFERROR(__xludf.DUMMYFUNCTION("""COMPUTED_VALUE"""),"")</f>
        <v/>
      </c>
      <c r="M12285" s="16" t="str">
        <f>IFERROR(__xludf.DUMMYFUNCTION("""COMPUTED_VALUE"""),"")</f>
        <v/>
      </c>
      <c r="U12285" s="16" t="s">
        <v>87</v>
      </c>
      <c r="V12285" s="16" t="str">
        <f>IFERROR(__xludf.DUMMYFUNCTION("""COMPUTED_VALUE"""),"")</f>
        <v/>
      </c>
      <c r="W12285" s="16" t="str">
        <f>IFERROR(__xludf.DUMMYFUNCTION("""COMPUTED_VALUE"""),"")</f>
        <v/>
      </c>
      <c r="X12285" s="16" t="str">
        <f>IFERROR(__xludf.DUMMYFUNCTION("""COMPUTED_VALUE"""),"")</f>
        <v/>
      </c>
      <c r="AC12285" s="16" t="str">
        <f>IFERROR(__xludf.DUMMYFUNCTION("""COMPUTED_VALUE"""),"")</f>
        <v/>
      </c>
    </row>
    <row r="12286">
      <c r="A12286" s="16" t="s">
        <v>87</v>
      </c>
      <c r="E12286" s="16" t="str">
        <f>IFERROR(__xludf.DUMMYFUNCTION("""COMPUTED_VALUE"""),"")</f>
        <v/>
      </c>
      <c r="G12286" s="18"/>
      <c r="H12286" s="16" t="s">
        <v>87</v>
      </c>
      <c r="I12286" s="16" t="s">
        <v>87</v>
      </c>
      <c r="J12286" s="19"/>
      <c r="L12286" s="16" t="str">
        <f>IFERROR(__xludf.DUMMYFUNCTION("""COMPUTED_VALUE"""),"")</f>
        <v/>
      </c>
      <c r="M12286" s="16" t="str">
        <f>IFERROR(__xludf.DUMMYFUNCTION("""COMPUTED_VALUE"""),"")</f>
        <v/>
      </c>
      <c r="U12286" s="16" t="s">
        <v>87</v>
      </c>
      <c r="V12286" s="16" t="str">
        <f>IFERROR(__xludf.DUMMYFUNCTION("""COMPUTED_VALUE"""),"")</f>
        <v/>
      </c>
      <c r="W12286" s="16" t="str">
        <f>IFERROR(__xludf.DUMMYFUNCTION("""COMPUTED_VALUE"""),"")</f>
        <v/>
      </c>
      <c r="X12286" s="16" t="str">
        <f>IFERROR(__xludf.DUMMYFUNCTION("""COMPUTED_VALUE"""),"")</f>
        <v/>
      </c>
      <c r="AC12286" s="16" t="str">
        <f>IFERROR(__xludf.DUMMYFUNCTION("""COMPUTED_VALUE"""),"")</f>
        <v/>
      </c>
    </row>
    <row r="12287">
      <c r="A12287" s="16" t="s">
        <v>87</v>
      </c>
      <c r="E12287" s="16" t="str">
        <f>IFERROR(__xludf.DUMMYFUNCTION("""COMPUTED_VALUE"""),"")</f>
        <v/>
      </c>
      <c r="G12287" s="18"/>
      <c r="H12287" s="16" t="s">
        <v>87</v>
      </c>
      <c r="I12287" s="16" t="s">
        <v>87</v>
      </c>
      <c r="J12287" s="19"/>
      <c r="L12287" s="16" t="str">
        <f>IFERROR(__xludf.DUMMYFUNCTION("""COMPUTED_VALUE"""),"")</f>
        <v/>
      </c>
      <c r="M12287" s="16" t="str">
        <f>IFERROR(__xludf.DUMMYFUNCTION("""COMPUTED_VALUE"""),"")</f>
        <v/>
      </c>
      <c r="U12287" s="16" t="s">
        <v>87</v>
      </c>
      <c r="V12287" s="16" t="str">
        <f>IFERROR(__xludf.DUMMYFUNCTION("""COMPUTED_VALUE"""),"")</f>
        <v/>
      </c>
      <c r="W12287" s="16" t="str">
        <f>IFERROR(__xludf.DUMMYFUNCTION("""COMPUTED_VALUE"""),"")</f>
        <v/>
      </c>
      <c r="X12287" s="16" t="str">
        <f>IFERROR(__xludf.DUMMYFUNCTION("""COMPUTED_VALUE"""),"")</f>
        <v/>
      </c>
      <c r="AC12287" s="16" t="str">
        <f>IFERROR(__xludf.DUMMYFUNCTION("""COMPUTED_VALUE"""),"")</f>
        <v/>
      </c>
    </row>
    <row r="12288">
      <c r="A12288" s="16" t="s">
        <v>87</v>
      </c>
      <c r="E12288" s="16" t="str">
        <f>IFERROR(__xludf.DUMMYFUNCTION("""COMPUTED_VALUE"""),"")</f>
        <v/>
      </c>
      <c r="G12288" s="18"/>
      <c r="H12288" s="16" t="s">
        <v>87</v>
      </c>
      <c r="I12288" s="16" t="s">
        <v>87</v>
      </c>
      <c r="J12288" s="19"/>
      <c r="L12288" s="16" t="str">
        <f>IFERROR(__xludf.DUMMYFUNCTION("""COMPUTED_VALUE"""),"")</f>
        <v/>
      </c>
      <c r="M12288" s="16" t="str">
        <f>IFERROR(__xludf.DUMMYFUNCTION("""COMPUTED_VALUE"""),"")</f>
        <v/>
      </c>
      <c r="U12288" s="16" t="s">
        <v>87</v>
      </c>
      <c r="V12288" s="16" t="str">
        <f>IFERROR(__xludf.DUMMYFUNCTION("""COMPUTED_VALUE"""),"")</f>
        <v/>
      </c>
      <c r="W12288" s="16" t="str">
        <f>IFERROR(__xludf.DUMMYFUNCTION("""COMPUTED_VALUE"""),"")</f>
        <v/>
      </c>
      <c r="X12288" s="16" t="str">
        <f>IFERROR(__xludf.DUMMYFUNCTION("""COMPUTED_VALUE"""),"")</f>
        <v/>
      </c>
      <c r="AC12288" s="16" t="str">
        <f>IFERROR(__xludf.DUMMYFUNCTION("""COMPUTED_VALUE"""),"")</f>
        <v/>
      </c>
    </row>
    <row r="12289">
      <c r="A12289" s="16" t="s">
        <v>87</v>
      </c>
      <c r="E12289" s="16" t="str">
        <f>IFERROR(__xludf.DUMMYFUNCTION("""COMPUTED_VALUE"""),"")</f>
        <v/>
      </c>
      <c r="G12289" s="18"/>
      <c r="H12289" s="16" t="s">
        <v>87</v>
      </c>
      <c r="I12289" s="16" t="s">
        <v>87</v>
      </c>
      <c r="J12289" s="19"/>
      <c r="L12289" s="16" t="str">
        <f>IFERROR(__xludf.DUMMYFUNCTION("""COMPUTED_VALUE"""),"")</f>
        <v/>
      </c>
      <c r="M12289" s="16" t="str">
        <f>IFERROR(__xludf.DUMMYFUNCTION("""COMPUTED_VALUE"""),"")</f>
        <v/>
      </c>
      <c r="U12289" s="16" t="s">
        <v>87</v>
      </c>
      <c r="V12289" s="16" t="str">
        <f>IFERROR(__xludf.DUMMYFUNCTION("""COMPUTED_VALUE"""),"")</f>
        <v/>
      </c>
      <c r="W12289" s="16" t="str">
        <f>IFERROR(__xludf.DUMMYFUNCTION("""COMPUTED_VALUE"""),"")</f>
        <v/>
      </c>
      <c r="X12289" s="16" t="str">
        <f>IFERROR(__xludf.DUMMYFUNCTION("""COMPUTED_VALUE"""),"")</f>
        <v/>
      </c>
      <c r="AC12289" s="16" t="str">
        <f>IFERROR(__xludf.DUMMYFUNCTION("""COMPUTED_VALUE"""),"")</f>
        <v/>
      </c>
    </row>
    <row r="12290">
      <c r="A12290" s="16" t="s">
        <v>87</v>
      </c>
      <c r="E12290" s="16" t="str">
        <f>IFERROR(__xludf.DUMMYFUNCTION("""COMPUTED_VALUE"""),"")</f>
        <v/>
      </c>
      <c r="G12290" s="18"/>
      <c r="H12290" s="16" t="s">
        <v>87</v>
      </c>
      <c r="I12290" s="16" t="s">
        <v>87</v>
      </c>
      <c r="J12290" s="19"/>
      <c r="L12290" s="16" t="str">
        <f>IFERROR(__xludf.DUMMYFUNCTION("""COMPUTED_VALUE"""),"")</f>
        <v/>
      </c>
      <c r="M12290" s="16" t="str">
        <f>IFERROR(__xludf.DUMMYFUNCTION("""COMPUTED_VALUE"""),"")</f>
        <v/>
      </c>
      <c r="U12290" s="16" t="s">
        <v>87</v>
      </c>
      <c r="V12290" s="16" t="str">
        <f>IFERROR(__xludf.DUMMYFUNCTION("""COMPUTED_VALUE"""),"")</f>
        <v/>
      </c>
      <c r="W12290" s="16" t="str">
        <f>IFERROR(__xludf.DUMMYFUNCTION("""COMPUTED_VALUE"""),"")</f>
        <v/>
      </c>
      <c r="X12290" s="16" t="str">
        <f>IFERROR(__xludf.DUMMYFUNCTION("""COMPUTED_VALUE"""),"")</f>
        <v/>
      </c>
      <c r="AC12290" s="16" t="str">
        <f>IFERROR(__xludf.DUMMYFUNCTION("""COMPUTED_VALUE"""),"")</f>
        <v/>
      </c>
    </row>
    <row r="12291">
      <c r="A12291" s="16" t="s">
        <v>87</v>
      </c>
      <c r="E12291" s="16" t="str">
        <f>IFERROR(__xludf.DUMMYFUNCTION("""COMPUTED_VALUE"""),"")</f>
        <v/>
      </c>
      <c r="G12291" s="18"/>
      <c r="H12291" s="16" t="s">
        <v>87</v>
      </c>
      <c r="I12291" s="16" t="s">
        <v>87</v>
      </c>
      <c r="J12291" s="19"/>
      <c r="L12291" s="16" t="str">
        <f>IFERROR(__xludf.DUMMYFUNCTION("""COMPUTED_VALUE"""),"")</f>
        <v/>
      </c>
      <c r="M12291" s="16" t="str">
        <f>IFERROR(__xludf.DUMMYFUNCTION("""COMPUTED_VALUE"""),"")</f>
        <v/>
      </c>
      <c r="U12291" s="16" t="s">
        <v>87</v>
      </c>
      <c r="V12291" s="16" t="str">
        <f>IFERROR(__xludf.DUMMYFUNCTION("""COMPUTED_VALUE"""),"")</f>
        <v/>
      </c>
      <c r="W12291" s="16" t="str">
        <f>IFERROR(__xludf.DUMMYFUNCTION("""COMPUTED_VALUE"""),"")</f>
        <v/>
      </c>
      <c r="X12291" s="16" t="str">
        <f>IFERROR(__xludf.DUMMYFUNCTION("""COMPUTED_VALUE"""),"")</f>
        <v/>
      </c>
      <c r="AC12291" s="16" t="str">
        <f>IFERROR(__xludf.DUMMYFUNCTION("""COMPUTED_VALUE"""),"")</f>
        <v/>
      </c>
    </row>
    <row r="12292">
      <c r="A12292" s="16" t="s">
        <v>87</v>
      </c>
      <c r="E12292" s="16" t="str">
        <f>IFERROR(__xludf.DUMMYFUNCTION("""COMPUTED_VALUE"""),"")</f>
        <v/>
      </c>
      <c r="G12292" s="18"/>
      <c r="H12292" s="16" t="s">
        <v>87</v>
      </c>
      <c r="I12292" s="16" t="s">
        <v>87</v>
      </c>
      <c r="J12292" s="19"/>
      <c r="L12292" s="16" t="str">
        <f>IFERROR(__xludf.DUMMYFUNCTION("""COMPUTED_VALUE"""),"")</f>
        <v/>
      </c>
      <c r="M12292" s="16" t="str">
        <f>IFERROR(__xludf.DUMMYFUNCTION("""COMPUTED_VALUE"""),"")</f>
        <v/>
      </c>
      <c r="U12292" s="16" t="s">
        <v>87</v>
      </c>
      <c r="V12292" s="16" t="str">
        <f>IFERROR(__xludf.DUMMYFUNCTION("""COMPUTED_VALUE"""),"")</f>
        <v/>
      </c>
      <c r="W12292" s="16" t="str">
        <f>IFERROR(__xludf.DUMMYFUNCTION("""COMPUTED_VALUE"""),"")</f>
        <v/>
      </c>
      <c r="X12292" s="16" t="str">
        <f>IFERROR(__xludf.DUMMYFUNCTION("""COMPUTED_VALUE"""),"")</f>
        <v/>
      </c>
      <c r="AC12292" s="16" t="str">
        <f>IFERROR(__xludf.DUMMYFUNCTION("""COMPUTED_VALUE"""),"")</f>
        <v/>
      </c>
    </row>
    <row r="12293">
      <c r="A12293" s="16" t="s">
        <v>87</v>
      </c>
      <c r="E12293" s="16" t="str">
        <f>IFERROR(__xludf.DUMMYFUNCTION("""COMPUTED_VALUE"""),"")</f>
        <v/>
      </c>
      <c r="G12293" s="18"/>
      <c r="H12293" s="16" t="s">
        <v>87</v>
      </c>
      <c r="I12293" s="16" t="s">
        <v>87</v>
      </c>
      <c r="J12293" s="19"/>
      <c r="L12293" s="16" t="str">
        <f>IFERROR(__xludf.DUMMYFUNCTION("""COMPUTED_VALUE"""),"")</f>
        <v/>
      </c>
      <c r="M12293" s="16" t="str">
        <f>IFERROR(__xludf.DUMMYFUNCTION("""COMPUTED_VALUE"""),"")</f>
        <v/>
      </c>
      <c r="U12293" s="16" t="s">
        <v>87</v>
      </c>
      <c r="V12293" s="16" t="str">
        <f>IFERROR(__xludf.DUMMYFUNCTION("""COMPUTED_VALUE"""),"")</f>
        <v/>
      </c>
      <c r="W12293" s="16" t="str">
        <f>IFERROR(__xludf.DUMMYFUNCTION("""COMPUTED_VALUE"""),"")</f>
        <v/>
      </c>
      <c r="X12293" s="16" t="str">
        <f>IFERROR(__xludf.DUMMYFUNCTION("""COMPUTED_VALUE"""),"")</f>
        <v/>
      </c>
      <c r="AC12293" s="16" t="str">
        <f>IFERROR(__xludf.DUMMYFUNCTION("""COMPUTED_VALUE"""),"")</f>
        <v/>
      </c>
    </row>
    <row r="12294">
      <c r="A12294" s="16" t="s">
        <v>87</v>
      </c>
      <c r="E12294" s="16" t="str">
        <f>IFERROR(__xludf.DUMMYFUNCTION("""COMPUTED_VALUE"""),"")</f>
        <v/>
      </c>
      <c r="G12294" s="18"/>
      <c r="H12294" s="16" t="s">
        <v>87</v>
      </c>
      <c r="I12294" s="16" t="s">
        <v>87</v>
      </c>
      <c r="J12294" s="19"/>
      <c r="L12294" s="16" t="str">
        <f>IFERROR(__xludf.DUMMYFUNCTION("""COMPUTED_VALUE"""),"")</f>
        <v/>
      </c>
      <c r="M12294" s="16" t="str">
        <f>IFERROR(__xludf.DUMMYFUNCTION("""COMPUTED_VALUE"""),"")</f>
        <v/>
      </c>
      <c r="U12294" s="16" t="s">
        <v>87</v>
      </c>
      <c r="V12294" s="16" t="str">
        <f>IFERROR(__xludf.DUMMYFUNCTION("""COMPUTED_VALUE"""),"")</f>
        <v/>
      </c>
      <c r="W12294" s="16" t="str">
        <f>IFERROR(__xludf.DUMMYFUNCTION("""COMPUTED_VALUE"""),"")</f>
        <v/>
      </c>
      <c r="X12294" s="16" t="str">
        <f>IFERROR(__xludf.DUMMYFUNCTION("""COMPUTED_VALUE"""),"")</f>
        <v/>
      </c>
      <c r="AC12294" s="16" t="str">
        <f>IFERROR(__xludf.DUMMYFUNCTION("""COMPUTED_VALUE"""),"")</f>
        <v/>
      </c>
    </row>
    <row r="12295">
      <c r="A12295" s="16" t="s">
        <v>87</v>
      </c>
      <c r="E12295" s="16" t="str">
        <f>IFERROR(__xludf.DUMMYFUNCTION("""COMPUTED_VALUE"""),"")</f>
        <v/>
      </c>
      <c r="G12295" s="18"/>
      <c r="H12295" s="16" t="s">
        <v>87</v>
      </c>
      <c r="I12295" s="16" t="s">
        <v>87</v>
      </c>
      <c r="J12295" s="19"/>
      <c r="L12295" s="16" t="str">
        <f>IFERROR(__xludf.DUMMYFUNCTION("""COMPUTED_VALUE"""),"")</f>
        <v/>
      </c>
      <c r="M12295" s="16" t="str">
        <f>IFERROR(__xludf.DUMMYFUNCTION("""COMPUTED_VALUE"""),"")</f>
        <v/>
      </c>
      <c r="U12295" s="16" t="s">
        <v>87</v>
      </c>
      <c r="V12295" s="16" t="str">
        <f>IFERROR(__xludf.DUMMYFUNCTION("""COMPUTED_VALUE"""),"")</f>
        <v/>
      </c>
      <c r="W12295" s="16" t="str">
        <f>IFERROR(__xludf.DUMMYFUNCTION("""COMPUTED_VALUE"""),"")</f>
        <v/>
      </c>
      <c r="X12295" s="16" t="str">
        <f>IFERROR(__xludf.DUMMYFUNCTION("""COMPUTED_VALUE"""),"")</f>
        <v/>
      </c>
      <c r="AC12295" s="16" t="str">
        <f>IFERROR(__xludf.DUMMYFUNCTION("""COMPUTED_VALUE"""),"")</f>
        <v/>
      </c>
    </row>
    <row r="12296">
      <c r="A12296" s="16" t="s">
        <v>87</v>
      </c>
      <c r="E12296" s="16" t="str">
        <f>IFERROR(__xludf.DUMMYFUNCTION("""COMPUTED_VALUE"""),"")</f>
        <v/>
      </c>
      <c r="G12296" s="18"/>
      <c r="H12296" s="16" t="s">
        <v>87</v>
      </c>
      <c r="I12296" s="16" t="s">
        <v>87</v>
      </c>
      <c r="J12296" s="19"/>
      <c r="L12296" s="16" t="str">
        <f>IFERROR(__xludf.DUMMYFUNCTION("""COMPUTED_VALUE"""),"")</f>
        <v/>
      </c>
      <c r="M12296" s="16" t="str">
        <f>IFERROR(__xludf.DUMMYFUNCTION("""COMPUTED_VALUE"""),"")</f>
        <v/>
      </c>
      <c r="U12296" s="16" t="s">
        <v>87</v>
      </c>
      <c r="V12296" s="16" t="str">
        <f>IFERROR(__xludf.DUMMYFUNCTION("""COMPUTED_VALUE"""),"")</f>
        <v/>
      </c>
      <c r="W12296" s="16" t="str">
        <f>IFERROR(__xludf.DUMMYFUNCTION("""COMPUTED_VALUE"""),"")</f>
        <v/>
      </c>
      <c r="X12296" s="16" t="str">
        <f>IFERROR(__xludf.DUMMYFUNCTION("""COMPUTED_VALUE"""),"")</f>
        <v/>
      </c>
      <c r="AC12296" s="16" t="str">
        <f>IFERROR(__xludf.DUMMYFUNCTION("""COMPUTED_VALUE"""),"")</f>
        <v/>
      </c>
    </row>
    <row r="12297">
      <c r="A12297" s="16" t="s">
        <v>87</v>
      </c>
      <c r="E12297" s="16" t="str">
        <f>IFERROR(__xludf.DUMMYFUNCTION("""COMPUTED_VALUE"""),"")</f>
        <v/>
      </c>
      <c r="G12297" s="18"/>
      <c r="H12297" s="16" t="s">
        <v>87</v>
      </c>
      <c r="I12297" s="16" t="s">
        <v>87</v>
      </c>
      <c r="J12297" s="19"/>
      <c r="L12297" s="16" t="str">
        <f>IFERROR(__xludf.DUMMYFUNCTION("""COMPUTED_VALUE"""),"")</f>
        <v/>
      </c>
      <c r="M12297" s="16" t="str">
        <f>IFERROR(__xludf.DUMMYFUNCTION("""COMPUTED_VALUE"""),"")</f>
        <v/>
      </c>
      <c r="U12297" s="16" t="s">
        <v>87</v>
      </c>
      <c r="V12297" s="16" t="str">
        <f>IFERROR(__xludf.DUMMYFUNCTION("""COMPUTED_VALUE"""),"")</f>
        <v/>
      </c>
      <c r="W12297" s="16" t="str">
        <f>IFERROR(__xludf.DUMMYFUNCTION("""COMPUTED_VALUE"""),"")</f>
        <v/>
      </c>
      <c r="X12297" s="16" t="str">
        <f>IFERROR(__xludf.DUMMYFUNCTION("""COMPUTED_VALUE"""),"")</f>
        <v/>
      </c>
      <c r="AC12297" s="16" t="str">
        <f>IFERROR(__xludf.DUMMYFUNCTION("""COMPUTED_VALUE"""),"")</f>
        <v/>
      </c>
    </row>
    <row r="12298">
      <c r="A12298" s="16" t="s">
        <v>87</v>
      </c>
      <c r="E12298" s="16" t="str">
        <f>IFERROR(__xludf.DUMMYFUNCTION("""COMPUTED_VALUE"""),"")</f>
        <v/>
      </c>
      <c r="G12298" s="18"/>
      <c r="H12298" s="16" t="s">
        <v>87</v>
      </c>
      <c r="I12298" s="16" t="s">
        <v>87</v>
      </c>
      <c r="J12298" s="19"/>
      <c r="L12298" s="16" t="str">
        <f>IFERROR(__xludf.DUMMYFUNCTION("""COMPUTED_VALUE"""),"")</f>
        <v/>
      </c>
      <c r="M12298" s="16" t="str">
        <f>IFERROR(__xludf.DUMMYFUNCTION("""COMPUTED_VALUE"""),"")</f>
        <v/>
      </c>
      <c r="U12298" s="16" t="s">
        <v>87</v>
      </c>
      <c r="V12298" s="16" t="str">
        <f>IFERROR(__xludf.DUMMYFUNCTION("""COMPUTED_VALUE"""),"")</f>
        <v/>
      </c>
      <c r="W12298" s="16" t="str">
        <f>IFERROR(__xludf.DUMMYFUNCTION("""COMPUTED_VALUE"""),"")</f>
        <v/>
      </c>
      <c r="X12298" s="16" t="str">
        <f>IFERROR(__xludf.DUMMYFUNCTION("""COMPUTED_VALUE"""),"")</f>
        <v/>
      </c>
      <c r="AC12298" s="16" t="str">
        <f>IFERROR(__xludf.DUMMYFUNCTION("""COMPUTED_VALUE"""),"")</f>
        <v/>
      </c>
    </row>
    <row r="12299">
      <c r="A12299" s="16" t="s">
        <v>87</v>
      </c>
      <c r="E12299" s="16" t="str">
        <f>IFERROR(__xludf.DUMMYFUNCTION("""COMPUTED_VALUE"""),"")</f>
        <v/>
      </c>
      <c r="G12299" s="18"/>
      <c r="H12299" s="16" t="s">
        <v>87</v>
      </c>
      <c r="I12299" s="16" t="s">
        <v>87</v>
      </c>
      <c r="J12299" s="19"/>
      <c r="L12299" s="16" t="str">
        <f>IFERROR(__xludf.DUMMYFUNCTION("""COMPUTED_VALUE"""),"")</f>
        <v/>
      </c>
      <c r="M12299" s="16" t="str">
        <f>IFERROR(__xludf.DUMMYFUNCTION("""COMPUTED_VALUE"""),"")</f>
        <v/>
      </c>
      <c r="U12299" s="16" t="s">
        <v>87</v>
      </c>
      <c r="V12299" s="16" t="str">
        <f>IFERROR(__xludf.DUMMYFUNCTION("""COMPUTED_VALUE"""),"")</f>
        <v/>
      </c>
      <c r="W12299" s="16" t="str">
        <f>IFERROR(__xludf.DUMMYFUNCTION("""COMPUTED_VALUE"""),"")</f>
        <v/>
      </c>
      <c r="X12299" s="16" t="str">
        <f>IFERROR(__xludf.DUMMYFUNCTION("""COMPUTED_VALUE"""),"")</f>
        <v/>
      </c>
      <c r="AC12299" s="16" t="str">
        <f>IFERROR(__xludf.DUMMYFUNCTION("""COMPUTED_VALUE"""),"")</f>
        <v/>
      </c>
    </row>
    <row r="12300">
      <c r="A12300" s="16" t="s">
        <v>87</v>
      </c>
      <c r="E12300" s="16" t="str">
        <f>IFERROR(__xludf.DUMMYFUNCTION("""COMPUTED_VALUE"""),"")</f>
        <v/>
      </c>
      <c r="G12300" s="18"/>
      <c r="H12300" s="16" t="s">
        <v>87</v>
      </c>
      <c r="I12300" s="16" t="s">
        <v>87</v>
      </c>
      <c r="J12300" s="19"/>
      <c r="L12300" s="16" t="str">
        <f>IFERROR(__xludf.DUMMYFUNCTION("""COMPUTED_VALUE"""),"")</f>
        <v/>
      </c>
      <c r="M12300" s="16" t="str">
        <f>IFERROR(__xludf.DUMMYFUNCTION("""COMPUTED_VALUE"""),"")</f>
        <v/>
      </c>
      <c r="U12300" s="16" t="s">
        <v>87</v>
      </c>
      <c r="V12300" s="16" t="str">
        <f>IFERROR(__xludf.DUMMYFUNCTION("""COMPUTED_VALUE"""),"")</f>
        <v/>
      </c>
      <c r="W12300" s="16" t="str">
        <f>IFERROR(__xludf.DUMMYFUNCTION("""COMPUTED_VALUE"""),"")</f>
        <v/>
      </c>
      <c r="X12300" s="16" t="str">
        <f>IFERROR(__xludf.DUMMYFUNCTION("""COMPUTED_VALUE"""),"")</f>
        <v/>
      </c>
      <c r="AC12300" s="16" t="str">
        <f>IFERROR(__xludf.DUMMYFUNCTION("""COMPUTED_VALUE"""),"")</f>
        <v/>
      </c>
    </row>
    <row r="12301">
      <c r="A12301" s="16" t="s">
        <v>87</v>
      </c>
      <c r="E12301" s="16" t="str">
        <f>IFERROR(__xludf.DUMMYFUNCTION("""COMPUTED_VALUE"""),"")</f>
        <v/>
      </c>
      <c r="G12301" s="18"/>
      <c r="H12301" s="16" t="s">
        <v>87</v>
      </c>
      <c r="I12301" s="16" t="s">
        <v>87</v>
      </c>
      <c r="J12301" s="19"/>
      <c r="L12301" s="16" t="str">
        <f>IFERROR(__xludf.DUMMYFUNCTION("""COMPUTED_VALUE"""),"")</f>
        <v/>
      </c>
      <c r="M12301" s="16" t="str">
        <f>IFERROR(__xludf.DUMMYFUNCTION("""COMPUTED_VALUE"""),"")</f>
        <v/>
      </c>
      <c r="U12301" s="16" t="s">
        <v>87</v>
      </c>
      <c r="V12301" s="16" t="str">
        <f>IFERROR(__xludf.DUMMYFUNCTION("""COMPUTED_VALUE"""),"")</f>
        <v/>
      </c>
      <c r="W12301" s="16" t="str">
        <f>IFERROR(__xludf.DUMMYFUNCTION("""COMPUTED_VALUE"""),"")</f>
        <v/>
      </c>
      <c r="X12301" s="16" t="str">
        <f>IFERROR(__xludf.DUMMYFUNCTION("""COMPUTED_VALUE"""),"")</f>
        <v/>
      </c>
      <c r="AC12301" s="16" t="str">
        <f>IFERROR(__xludf.DUMMYFUNCTION("""COMPUTED_VALUE"""),"")</f>
        <v/>
      </c>
    </row>
    <row r="12302">
      <c r="A12302" s="16" t="s">
        <v>87</v>
      </c>
      <c r="E12302" s="16" t="str">
        <f>IFERROR(__xludf.DUMMYFUNCTION("""COMPUTED_VALUE"""),"")</f>
        <v/>
      </c>
      <c r="G12302" s="18"/>
      <c r="H12302" s="16" t="s">
        <v>87</v>
      </c>
      <c r="I12302" s="16" t="s">
        <v>87</v>
      </c>
      <c r="J12302" s="19"/>
      <c r="L12302" s="16" t="str">
        <f>IFERROR(__xludf.DUMMYFUNCTION("""COMPUTED_VALUE"""),"")</f>
        <v/>
      </c>
      <c r="M12302" s="16" t="str">
        <f>IFERROR(__xludf.DUMMYFUNCTION("""COMPUTED_VALUE"""),"")</f>
        <v/>
      </c>
      <c r="U12302" s="16" t="s">
        <v>87</v>
      </c>
      <c r="V12302" s="16" t="str">
        <f>IFERROR(__xludf.DUMMYFUNCTION("""COMPUTED_VALUE"""),"")</f>
        <v/>
      </c>
      <c r="W12302" s="16" t="str">
        <f>IFERROR(__xludf.DUMMYFUNCTION("""COMPUTED_VALUE"""),"")</f>
        <v/>
      </c>
      <c r="X12302" s="16" t="str">
        <f>IFERROR(__xludf.DUMMYFUNCTION("""COMPUTED_VALUE"""),"")</f>
        <v/>
      </c>
      <c r="AC12302" s="16" t="str">
        <f>IFERROR(__xludf.DUMMYFUNCTION("""COMPUTED_VALUE"""),"")</f>
        <v/>
      </c>
    </row>
    <row r="12303">
      <c r="A12303" s="16" t="s">
        <v>87</v>
      </c>
      <c r="E12303" s="16" t="str">
        <f>IFERROR(__xludf.DUMMYFUNCTION("""COMPUTED_VALUE"""),"")</f>
        <v/>
      </c>
      <c r="G12303" s="18"/>
      <c r="H12303" s="16" t="s">
        <v>87</v>
      </c>
      <c r="I12303" s="16" t="s">
        <v>87</v>
      </c>
      <c r="J12303" s="19"/>
      <c r="L12303" s="16" t="str">
        <f>IFERROR(__xludf.DUMMYFUNCTION("""COMPUTED_VALUE"""),"")</f>
        <v/>
      </c>
      <c r="M12303" s="16" t="str">
        <f>IFERROR(__xludf.DUMMYFUNCTION("""COMPUTED_VALUE"""),"")</f>
        <v/>
      </c>
      <c r="U12303" s="16" t="s">
        <v>87</v>
      </c>
      <c r="V12303" s="16" t="str">
        <f>IFERROR(__xludf.DUMMYFUNCTION("""COMPUTED_VALUE"""),"")</f>
        <v/>
      </c>
      <c r="W12303" s="16" t="str">
        <f>IFERROR(__xludf.DUMMYFUNCTION("""COMPUTED_VALUE"""),"")</f>
        <v/>
      </c>
      <c r="X12303" s="16" t="str">
        <f>IFERROR(__xludf.DUMMYFUNCTION("""COMPUTED_VALUE"""),"")</f>
        <v/>
      </c>
      <c r="AC12303" s="16" t="str">
        <f>IFERROR(__xludf.DUMMYFUNCTION("""COMPUTED_VALUE"""),"")</f>
        <v/>
      </c>
    </row>
    <row r="12304">
      <c r="A12304" s="16" t="s">
        <v>87</v>
      </c>
      <c r="E12304" s="16" t="str">
        <f>IFERROR(__xludf.DUMMYFUNCTION("""COMPUTED_VALUE"""),"")</f>
        <v/>
      </c>
      <c r="G12304" s="18"/>
      <c r="H12304" s="16" t="s">
        <v>87</v>
      </c>
      <c r="I12304" s="16" t="s">
        <v>87</v>
      </c>
      <c r="J12304" s="19"/>
      <c r="L12304" s="16" t="str">
        <f>IFERROR(__xludf.DUMMYFUNCTION("""COMPUTED_VALUE"""),"")</f>
        <v/>
      </c>
      <c r="M12304" s="16" t="str">
        <f>IFERROR(__xludf.DUMMYFUNCTION("""COMPUTED_VALUE"""),"")</f>
        <v/>
      </c>
      <c r="U12304" s="16" t="s">
        <v>87</v>
      </c>
      <c r="V12304" s="16" t="str">
        <f>IFERROR(__xludf.DUMMYFUNCTION("""COMPUTED_VALUE"""),"")</f>
        <v/>
      </c>
      <c r="W12304" s="16" t="str">
        <f>IFERROR(__xludf.DUMMYFUNCTION("""COMPUTED_VALUE"""),"")</f>
        <v/>
      </c>
      <c r="X12304" s="16" t="str">
        <f>IFERROR(__xludf.DUMMYFUNCTION("""COMPUTED_VALUE"""),"")</f>
        <v/>
      </c>
      <c r="AC12304" s="16" t="str">
        <f>IFERROR(__xludf.DUMMYFUNCTION("""COMPUTED_VALUE"""),"")</f>
        <v/>
      </c>
    </row>
    <row r="12305">
      <c r="A12305" s="16" t="s">
        <v>87</v>
      </c>
      <c r="E12305" s="16" t="str">
        <f>IFERROR(__xludf.DUMMYFUNCTION("""COMPUTED_VALUE"""),"")</f>
        <v/>
      </c>
      <c r="G12305" s="18"/>
      <c r="H12305" s="16" t="s">
        <v>87</v>
      </c>
      <c r="I12305" s="16" t="s">
        <v>87</v>
      </c>
      <c r="J12305" s="19"/>
      <c r="L12305" s="16" t="str">
        <f>IFERROR(__xludf.DUMMYFUNCTION("""COMPUTED_VALUE"""),"")</f>
        <v/>
      </c>
      <c r="M12305" s="16" t="str">
        <f>IFERROR(__xludf.DUMMYFUNCTION("""COMPUTED_VALUE"""),"")</f>
        <v/>
      </c>
      <c r="U12305" s="16" t="s">
        <v>87</v>
      </c>
      <c r="V12305" s="16" t="str">
        <f>IFERROR(__xludf.DUMMYFUNCTION("""COMPUTED_VALUE"""),"")</f>
        <v/>
      </c>
      <c r="W12305" s="16" t="str">
        <f>IFERROR(__xludf.DUMMYFUNCTION("""COMPUTED_VALUE"""),"")</f>
        <v/>
      </c>
      <c r="X12305" s="16" t="str">
        <f>IFERROR(__xludf.DUMMYFUNCTION("""COMPUTED_VALUE"""),"")</f>
        <v/>
      </c>
      <c r="AC12305" s="16" t="str">
        <f>IFERROR(__xludf.DUMMYFUNCTION("""COMPUTED_VALUE"""),"")</f>
        <v/>
      </c>
    </row>
    <row r="12306">
      <c r="A12306" s="16" t="s">
        <v>87</v>
      </c>
      <c r="E12306" s="16" t="str">
        <f>IFERROR(__xludf.DUMMYFUNCTION("""COMPUTED_VALUE"""),"")</f>
        <v/>
      </c>
      <c r="G12306" s="18"/>
      <c r="H12306" s="16" t="s">
        <v>87</v>
      </c>
      <c r="I12306" s="16" t="s">
        <v>87</v>
      </c>
      <c r="J12306" s="19"/>
      <c r="L12306" s="16" t="str">
        <f>IFERROR(__xludf.DUMMYFUNCTION("""COMPUTED_VALUE"""),"")</f>
        <v/>
      </c>
      <c r="M12306" s="16" t="str">
        <f>IFERROR(__xludf.DUMMYFUNCTION("""COMPUTED_VALUE"""),"")</f>
        <v/>
      </c>
      <c r="U12306" s="16" t="s">
        <v>87</v>
      </c>
      <c r="V12306" s="16" t="str">
        <f>IFERROR(__xludf.DUMMYFUNCTION("""COMPUTED_VALUE"""),"")</f>
        <v/>
      </c>
      <c r="W12306" s="16" t="str">
        <f>IFERROR(__xludf.DUMMYFUNCTION("""COMPUTED_VALUE"""),"")</f>
        <v/>
      </c>
      <c r="X12306" s="16" t="str">
        <f>IFERROR(__xludf.DUMMYFUNCTION("""COMPUTED_VALUE"""),"")</f>
        <v/>
      </c>
      <c r="AC12306" s="16" t="str">
        <f>IFERROR(__xludf.DUMMYFUNCTION("""COMPUTED_VALUE"""),"")</f>
        <v/>
      </c>
    </row>
    <row r="12307">
      <c r="A12307" s="16" t="s">
        <v>87</v>
      </c>
      <c r="E12307" s="16" t="str">
        <f>IFERROR(__xludf.DUMMYFUNCTION("""COMPUTED_VALUE"""),"")</f>
        <v/>
      </c>
      <c r="G12307" s="18"/>
      <c r="H12307" s="16" t="s">
        <v>87</v>
      </c>
      <c r="I12307" s="16" t="s">
        <v>87</v>
      </c>
      <c r="J12307" s="19"/>
      <c r="L12307" s="16" t="str">
        <f>IFERROR(__xludf.DUMMYFUNCTION("""COMPUTED_VALUE"""),"")</f>
        <v/>
      </c>
      <c r="M12307" s="16" t="str">
        <f>IFERROR(__xludf.DUMMYFUNCTION("""COMPUTED_VALUE"""),"")</f>
        <v/>
      </c>
      <c r="U12307" s="16" t="s">
        <v>87</v>
      </c>
      <c r="V12307" s="16" t="str">
        <f>IFERROR(__xludf.DUMMYFUNCTION("""COMPUTED_VALUE"""),"")</f>
        <v/>
      </c>
      <c r="W12307" s="16" t="str">
        <f>IFERROR(__xludf.DUMMYFUNCTION("""COMPUTED_VALUE"""),"")</f>
        <v/>
      </c>
      <c r="X12307" s="16" t="str">
        <f>IFERROR(__xludf.DUMMYFUNCTION("""COMPUTED_VALUE"""),"")</f>
        <v/>
      </c>
      <c r="AC12307" s="16" t="str">
        <f>IFERROR(__xludf.DUMMYFUNCTION("""COMPUTED_VALUE"""),"")</f>
        <v/>
      </c>
    </row>
    <row r="12308">
      <c r="A12308" s="16" t="s">
        <v>87</v>
      </c>
      <c r="E12308" s="16" t="str">
        <f>IFERROR(__xludf.DUMMYFUNCTION("""COMPUTED_VALUE"""),"")</f>
        <v/>
      </c>
      <c r="G12308" s="18"/>
      <c r="H12308" s="16" t="s">
        <v>87</v>
      </c>
      <c r="I12308" s="16" t="s">
        <v>87</v>
      </c>
      <c r="J12308" s="19"/>
      <c r="L12308" s="16" t="str">
        <f>IFERROR(__xludf.DUMMYFUNCTION("""COMPUTED_VALUE"""),"")</f>
        <v/>
      </c>
      <c r="M12308" s="16" t="str">
        <f>IFERROR(__xludf.DUMMYFUNCTION("""COMPUTED_VALUE"""),"")</f>
        <v/>
      </c>
      <c r="U12308" s="16" t="s">
        <v>87</v>
      </c>
      <c r="V12308" s="16" t="str">
        <f>IFERROR(__xludf.DUMMYFUNCTION("""COMPUTED_VALUE"""),"")</f>
        <v/>
      </c>
      <c r="W12308" s="16" t="str">
        <f>IFERROR(__xludf.DUMMYFUNCTION("""COMPUTED_VALUE"""),"")</f>
        <v/>
      </c>
      <c r="X12308" s="16" t="str">
        <f>IFERROR(__xludf.DUMMYFUNCTION("""COMPUTED_VALUE"""),"")</f>
        <v/>
      </c>
      <c r="AC12308" s="16" t="str">
        <f>IFERROR(__xludf.DUMMYFUNCTION("""COMPUTED_VALUE"""),"")</f>
        <v/>
      </c>
    </row>
    <row r="12309">
      <c r="A12309" s="16" t="s">
        <v>87</v>
      </c>
      <c r="E12309" s="16" t="str">
        <f>IFERROR(__xludf.DUMMYFUNCTION("""COMPUTED_VALUE"""),"")</f>
        <v/>
      </c>
      <c r="G12309" s="18"/>
      <c r="H12309" s="16" t="s">
        <v>87</v>
      </c>
      <c r="I12309" s="16" t="s">
        <v>87</v>
      </c>
      <c r="J12309" s="19"/>
      <c r="L12309" s="16" t="str">
        <f>IFERROR(__xludf.DUMMYFUNCTION("""COMPUTED_VALUE"""),"")</f>
        <v/>
      </c>
      <c r="M12309" s="16" t="str">
        <f>IFERROR(__xludf.DUMMYFUNCTION("""COMPUTED_VALUE"""),"")</f>
        <v/>
      </c>
      <c r="U12309" s="16" t="s">
        <v>87</v>
      </c>
      <c r="V12309" s="16" t="str">
        <f>IFERROR(__xludf.DUMMYFUNCTION("""COMPUTED_VALUE"""),"")</f>
        <v/>
      </c>
      <c r="W12309" s="16" t="str">
        <f>IFERROR(__xludf.DUMMYFUNCTION("""COMPUTED_VALUE"""),"")</f>
        <v/>
      </c>
      <c r="X12309" s="16" t="str">
        <f>IFERROR(__xludf.DUMMYFUNCTION("""COMPUTED_VALUE"""),"")</f>
        <v/>
      </c>
      <c r="AC12309" s="16" t="str">
        <f>IFERROR(__xludf.DUMMYFUNCTION("""COMPUTED_VALUE"""),"")</f>
        <v/>
      </c>
    </row>
    <row r="12310">
      <c r="A12310" s="16" t="s">
        <v>87</v>
      </c>
      <c r="E12310" s="16" t="str">
        <f>IFERROR(__xludf.DUMMYFUNCTION("""COMPUTED_VALUE"""),"")</f>
        <v/>
      </c>
      <c r="G12310" s="18"/>
      <c r="H12310" s="16" t="s">
        <v>87</v>
      </c>
      <c r="I12310" s="16" t="s">
        <v>87</v>
      </c>
      <c r="J12310" s="19"/>
      <c r="L12310" s="16" t="str">
        <f>IFERROR(__xludf.DUMMYFUNCTION("""COMPUTED_VALUE"""),"")</f>
        <v/>
      </c>
      <c r="M12310" s="16" t="str">
        <f>IFERROR(__xludf.DUMMYFUNCTION("""COMPUTED_VALUE"""),"")</f>
        <v/>
      </c>
      <c r="U12310" s="16" t="s">
        <v>87</v>
      </c>
      <c r="V12310" s="16" t="str">
        <f>IFERROR(__xludf.DUMMYFUNCTION("""COMPUTED_VALUE"""),"")</f>
        <v/>
      </c>
      <c r="W12310" s="16" t="str">
        <f>IFERROR(__xludf.DUMMYFUNCTION("""COMPUTED_VALUE"""),"")</f>
        <v/>
      </c>
      <c r="X12310" s="16" t="str">
        <f>IFERROR(__xludf.DUMMYFUNCTION("""COMPUTED_VALUE"""),"")</f>
        <v/>
      </c>
      <c r="AC12310" s="16" t="str">
        <f>IFERROR(__xludf.DUMMYFUNCTION("""COMPUTED_VALUE"""),"")</f>
        <v/>
      </c>
    </row>
    <row r="12311">
      <c r="A12311" s="16" t="s">
        <v>87</v>
      </c>
      <c r="E12311" s="16" t="str">
        <f>IFERROR(__xludf.DUMMYFUNCTION("""COMPUTED_VALUE"""),"")</f>
        <v/>
      </c>
      <c r="G12311" s="18"/>
      <c r="H12311" s="16" t="s">
        <v>87</v>
      </c>
      <c r="I12311" s="16" t="s">
        <v>87</v>
      </c>
      <c r="J12311" s="19"/>
      <c r="L12311" s="16" t="str">
        <f>IFERROR(__xludf.DUMMYFUNCTION("""COMPUTED_VALUE"""),"")</f>
        <v/>
      </c>
      <c r="M12311" s="16" t="str">
        <f>IFERROR(__xludf.DUMMYFUNCTION("""COMPUTED_VALUE"""),"")</f>
        <v/>
      </c>
      <c r="U12311" s="16" t="s">
        <v>87</v>
      </c>
      <c r="V12311" s="16" t="str">
        <f>IFERROR(__xludf.DUMMYFUNCTION("""COMPUTED_VALUE"""),"")</f>
        <v/>
      </c>
      <c r="W12311" s="16" t="str">
        <f>IFERROR(__xludf.DUMMYFUNCTION("""COMPUTED_VALUE"""),"")</f>
        <v/>
      </c>
      <c r="X12311" s="16" t="str">
        <f>IFERROR(__xludf.DUMMYFUNCTION("""COMPUTED_VALUE"""),"")</f>
        <v/>
      </c>
      <c r="AC12311" s="16" t="str">
        <f>IFERROR(__xludf.DUMMYFUNCTION("""COMPUTED_VALUE"""),"")</f>
        <v/>
      </c>
    </row>
    <row r="12312">
      <c r="A12312" s="16" t="s">
        <v>87</v>
      </c>
      <c r="E12312" s="16" t="str">
        <f>IFERROR(__xludf.DUMMYFUNCTION("""COMPUTED_VALUE"""),"")</f>
        <v/>
      </c>
      <c r="G12312" s="18"/>
      <c r="H12312" s="16" t="s">
        <v>87</v>
      </c>
      <c r="I12312" s="16" t="s">
        <v>87</v>
      </c>
      <c r="J12312" s="19"/>
      <c r="L12312" s="16" t="str">
        <f>IFERROR(__xludf.DUMMYFUNCTION("""COMPUTED_VALUE"""),"")</f>
        <v/>
      </c>
      <c r="M12312" s="16" t="str">
        <f>IFERROR(__xludf.DUMMYFUNCTION("""COMPUTED_VALUE"""),"")</f>
        <v/>
      </c>
      <c r="U12312" s="16" t="s">
        <v>87</v>
      </c>
      <c r="V12312" s="16" t="str">
        <f>IFERROR(__xludf.DUMMYFUNCTION("""COMPUTED_VALUE"""),"")</f>
        <v/>
      </c>
      <c r="W12312" s="16" t="str">
        <f>IFERROR(__xludf.DUMMYFUNCTION("""COMPUTED_VALUE"""),"")</f>
        <v/>
      </c>
      <c r="X12312" s="16" t="str">
        <f>IFERROR(__xludf.DUMMYFUNCTION("""COMPUTED_VALUE"""),"")</f>
        <v/>
      </c>
      <c r="AC12312" s="16" t="str">
        <f>IFERROR(__xludf.DUMMYFUNCTION("""COMPUTED_VALUE"""),"")</f>
        <v/>
      </c>
    </row>
    <row r="12313">
      <c r="A12313" s="16" t="s">
        <v>87</v>
      </c>
      <c r="E12313" s="16" t="str">
        <f>IFERROR(__xludf.DUMMYFUNCTION("""COMPUTED_VALUE"""),"")</f>
        <v/>
      </c>
      <c r="G12313" s="18"/>
      <c r="H12313" s="16" t="s">
        <v>87</v>
      </c>
      <c r="I12313" s="16" t="s">
        <v>87</v>
      </c>
      <c r="J12313" s="19"/>
      <c r="L12313" s="16" t="str">
        <f>IFERROR(__xludf.DUMMYFUNCTION("""COMPUTED_VALUE"""),"")</f>
        <v/>
      </c>
      <c r="M12313" s="16" t="str">
        <f>IFERROR(__xludf.DUMMYFUNCTION("""COMPUTED_VALUE"""),"")</f>
        <v/>
      </c>
      <c r="U12313" s="16" t="s">
        <v>87</v>
      </c>
      <c r="V12313" s="16" t="str">
        <f>IFERROR(__xludf.DUMMYFUNCTION("""COMPUTED_VALUE"""),"")</f>
        <v/>
      </c>
      <c r="W12313" s="16" t="str">
        <f>IFERROR(__xludf.DUMMYFUNCTION("""COMPUTED_VALUE"""),"")</f>
        <v/>
      </c>
      <c r="X12313" s="16" t="str">
        <f>IFERROR(__xludf.DUMMYFUNCTION("""COMPUTED_VALUE"""),"")</f>
        <v/>
      </c>
      <c r="AC12313" s="16" t="str">
        <f>IFERROR(__xludf.DUMMYFUNCTION("""COMPUTED_VALUE"""),"")</f>
        <v/>
      </c>
    </row>
    <row r="12314">
      <c r="A12314" s="16" t="s">
        <v>87</v>
      </c>
      <c r="E12314" s="16" t="str">
        <f>IFERROR(__xludf.DUMMYFUNCTION("""COMPUTED_VALUE"""),"")</f>
        <v/>
      </c>
      <c r="G12314" s="18"/>
      <c r="H12314" s="16" t="s">
        <v>87</v>
      </c>
      <c r="I12314" s="16" t="s">
        <v>87</v>
      </c>
      <c r="J12314" s="19"/>
      <c r="L12314" s="16" t="str">
        <f>IFERROR(__xludf.DUMMYFUNCTION("""COMPUTED_VALUE"""),"")</f>
        <v/>
      </c>
      <c r="M12314" s="16" t="str">
        <f>IFERROR(__xludf.DUMMYFUNCTION("""COMPUTED_VALUE"""),"")</f>
        <v/>
      </c>
      <c r="U12314" s="16" t="s">
        <v>87</v>
      </c>
      <c r="V12314" s="16" t="str">
        <f>IFERROR(__xludf.DUMMYFUNCTION("""COMPUTED_VALUE"""),"")</f>
        <v/>
      </c>
      <c r="W12314" s="16" t="str">
        <f>IFERROR(__xludf.DUMMYFUNCTION("""COMPUTED_VALUE"""),"")</f>
        <v/>
      </c>
      <c r="X12314" s="16" t="str">
        <f>IFERROR(__xludf.DUMMYFUNCTION("""COMPUTED_VALUE"""),"")</f>
        <v/>
      </c>
      <c r="AC12314" s="16" t="str">
        <f>IFERROR(__xludf.DUMMYFUNCTION("""COMPUTED_VALUE"""),"")</f>
        <v/>
      </c>
    </row>
    <row r="12315">
      <c r="A12315" s="16" t="s">
        <v>87</v>
      </c>
      <c r="E12315" s="16" t="str">
        <f>IFERROR(__xludf.DUMMYFUNCTION("""COMPUTED_VALUE"""),"")</f>
        <v/>
      </c>
      <c r="G12315" s="18"/>
      <c r="H12315" s="16" t="s">
        <v>87</v>
      </c>
      <c r="I12315" s="16" t="s">
        <v>87</v>
      </c>
      <c r="J12315" s="19"/>
      <c r="L12315" s="16" t="str">
        <f>IFERROR(__xludf.DUMMYFUNCTION("""COMPUTED_VALUE"""),"")</f>
        <v/>
      </c>
      <c r="M12315" s="16" t="str">
        <f>IFERROR(__xludf.DUMMYFUNCTION("""COMPUTED_VALUE"""),"")</f>
        <v/>
      </c>
      <c r="U12315" s="16" t="s">
        <v>87</v>
      </c>
      <c r="V12315" s="16" t="str">
        <f>IFERROR(__xludf.DUMMYFUNCTION("""COMPUTED_VALUE"""),"")</f>
        <v/>
      </c>
      <c r="W12315" s="16" t="str">
        <f>IFERROR(__xludf.DUMMYFUNCTION("""COMPUTED_VALUE"""),"")</f>
        <v/>
      </c>
      <c r="X12315" s="16" t="str">
        <f>IFERROR(__xludf.DUMMYFUNCTION("""COMPUTED_VALUE"""),"")</f>
        <v/>
      </c>
      <c r="AC12315" s="16" t="str">
        <f>IFERROR(__xludf.DUMMYFUNCTION("""COMPUTED_VALUE"""),"")</f>
        <v/>
      </c>
    </row>
    <row r="12316">
      <c r="A12316" s="16" t="s">
        <v>87</v>
      </c>
      <c r="E12316" s="16" t="str">
        <f>IFERROR(__xludf.DUMMYFUNCTION("""COMPUTED_VALUE"""),"")</f>
        <v/>
      </c>
      <c r="G12316" s="18"/>
      <c r="H12316" s="16" t="s">
        <v>87</v>
      </c>
      <c r="I12316" s="16" t="s">
        <v>87</v>
      </c>
      <c r="J12316" s="19"/>
      <c r="L12316" s="16" t="str">
        <f>IFERROR(__xludf.DUMMYFUNCTION("""COMPUTED_VALUE"""),"")</f>
        <v/>
      </c>
      <c r="M12316" s="16" t="str">
        <f>IFERROR(__xludf.DUMMYFUNCTION("""COMPUTED_VALUE"""),"")</f>
        <v/>
      </c>
      <c r="U12316" s="16" t="s">
        <v>87</v>
      </c>
      <c r="V12316" s="16" t="str">
        <f>IFERROR(__xludf.DUMMYFUNCTION("""COMPUTED_VALUE"""),"")</f>
        <v/>
      </c>
      <c r="W12316" s="16" t="str">
        <f>IFERROR(__xludf.DUMMYFUNCTION("""COMPUTED_VALUE"""),"")</f>
        <v/>
      </c>
      <c r="X12316" s="16" t="str">
        <f>IFERROR(__xludf.DUMMYFUNCTION("""COMPUTED_VALUE"""),"")</f>
        <v/>
      </c>
      <c r="AC12316" s="16" t="str">
        <f>IFERROR(__xludf.DUMMYFUNCTION("""COMPUTED_VALUE"""),"")</f>
        <v/>
      </c>
    </row>
    <row r="12317">
      <c r="A12317" s="16" t="s">
        <v>87</v>
      </c>
      <c r="E12317" s="16" t="str">
        <f>IFERROR(__xludf.DUMMYFUNCTION("""COMPUTED_VALUE"""),"")</f>
        <v/>
      </c>
      <c r="G12317" s="18"/>
      <c r="H12317" s="16" t="s">
        <v>87</v>
      </c>
      <c r="I12317" s="16" t="s">
        <v>87</v>
      </c>
      <c r="J12317" s="19"/>
      <c r="L12317" s="16" t="str">
        <f>IFERROR(__xludf.DUMMYFUNCTION("""COMPUTED_VALUE"""),"")</f>
        <v/>
      </c>
      <c r="M12317" s="16" t="str">
        <f>IFERROR(__xludf.DUMMYFUNCTION("""COMPUTED_VALUE"""),"")</f>
        <v/>
      </c>
      <c r="U12317" s="16" t="s">
        <v>87</v>
      </c>
      <c r="V12317" s="16" t="str">
        <f>IFERROR(__xludf.DUMMYFUNCTION("""COMPUTED_VALUE"""),"")</f>
        <v/>
      </c>
      <c r="W12317" s="16" t="str">
        <f>IFERROR(__xludf.DUMMYFUNCTION("""COMPUTED_VALUE"""),"")</f>
        <v/>
      </c>
      <c r="X12317" s="16" t="str">
        <f>IFERROR(__xludf.DUMMYFUNCTION("""COMPUTED_VALUE"""),"")</f>
        <v/>
      </c>
      <c r="AC12317" s="16" t="str">
        <f>IFERROR(__xludf.DUMMYFUNCTION("""COMPUTED_VALUE"""),"")</f>
        <v/>
      </c>
    </row>
    <row r="12318">
      <c r="A12318" s="16" t="s">
        <v>87</v>
      </c>
      <c r="E12318" s="16" t="str">
        <f>IFERROR(__xludf.DUMMYFUNCTION("""COMPUTED_VALUE"""),"")</f>
        <v/>
      </c>
      <c r="G12318" s="18"/>
      <c r="H12318" s="16" t="s">
        <v>87</v>
      </c>
      <c r="I12318" s="16" t="s">
        <v>87</v>
      </c>
      <c r="J12318" s="19"/>
      <c r="L12318" s="16" t="str">
        <f>IFERROR(__xludf.DUMMYFUNCTION("""COMPUTED_VALUE"""),"")</f>
        <v/>
      </c>
      <c r="M12318" s="16" t="str">
        <f>IFERROR(__xludf.DUMMYFUNCTION("""COMPUTED_VALUE"""),"")</f>
        <v/>
      </c>
      <c r="U12318" s="16" t="s">
        <v>87</v>
      </c>
      <c r="V12318" s="16" t="str">
        <f>IFERROR(__xludf.DUMMYFUNCTION("""COMPUTED_VALUE"""),"")</f>
        <v/>
      </c>
      <c r="W12318" s="16" t="str">
        <f>IFERROR(__xludf.DUMMYFUNCTION("""COMPUTED_VALUE"""),"")</f>
        <v/>
      </c>
      <c r="X12318" s="16" t="str">
        <f>IFERROR(__xludf.DUMMYFUNCTION("""COMPUTED_VALUE"""),"")</f>
        <v/>
      </c>
      <c r="AC12318" s="16" t="str">
        <f>IFERROR(__xludf.DUMMYFUNCTION("""COMPUTED_VALUE"""),"")</f>
        <v/>
      </c>
    </row>
    <row r="12319">
      <c r="A12319" s="16" t="s">
        <v>87</v>
      </c>
      <c r="E12319" s="16" t="str">
        <f>IFERROR(__xludf.DUMMYFUNCTION("""COMPUTED_VALUE"""),"")</f>
        <v/>
      </c>
      <c r="G12319" s="18"/>
      <c r="H12319" s="16" t="s">
        <v>87</v>
      </c>
      <c r="I12319" s="16" t="s">
        <v>87</v>
      </c>
      <c r="J12319" s="19"/>
      <c r="L12319" s="16" t="str">
        <f>IFERROR(__xludf.DUMMYFUNCTION("""COMPUTED_VALUE"""),"")</f>
        <v/>
      </c>
      <c r="M12319" s="16" t="str">
        <f>IFERROR(__xludf.DUMMYFUNCTION("""COMPUTED_VALUE"""),"")</f>
        <v/>
      </c>
      <c r="U12319" s="16" t="s">
        <v>87</v>
      </c>
      <c r="V12319" s="16" t="str">
        <f>IFERROR(__xludf.DUMMYFUNCTION("""COMPUTED_VALUE"""),"")</f>
        <v/>
      </c>
      <c r="W12319" s="16" t="str">
        <f>IFERROR(__xludf.DUMMYFUNCTION("""COMPUTED_VALUE"""),"")</f>
        <v/>
      </c>
      <c r="X12319" s="16" t="str">
        <f>IFERROR(__xludf.DUMMYFUNCTION("""COMPUTED_VALUE"""),"")</f>
        <v/>
      </c>
      <c r="AC12319" s="16" t="str">
        <f>IFERROR(__xludf.DUMMYFUNCTION("""COMPUTED_VALUE"""),"")</f>
        <v/>
      </c>
    </row>
    <row r="12320">
      <c r="A12320" s="16" t="s">
        <v>87</v>
      </c>
      <c r="E12320" s="16" t="str">
        <f>IFERROR(__xludf.DUMMYFUNCTION("""COMPUTED_VALUE"""),"")</f>
        <v/>
      </c>
      <c r="G12320" s="18"/>
      <c r="H12320" s="16" t="s">
        <v>87</v>
      </c>
      <c r="I12320" s="16" t="s">
        <v>87</v>
      </c>
      <c r="J12320" s="19"/>
      <c r="L12320" s="16" t="str">
        <f>IFERROR(__xludf.DUMMYFUNCTION("""COMPUTED_VALUE"""),"")</f>
        <v/>
      </c>
      <c r="M12320" s="16" t="str">
        <f>IFERROR(__xludf.DUMMYFUNCTION("""COMPUTED_VALUE"""),"")</f>
        <v/>
      </c>
      <c r="U12320" s="16" t="s">
        <v>87</v>
      </c>
      <c r="V12320" s="16" t="str">
        <f>IFERROR(__xludf.DUMMYFUNCTION("""COMPUTED_VALUE"""),"")</f>
        <v/>
      </c>
      <c r="W12320" s="16" t="str">
        <f>IFERROR(__xludf.DUMMYFUNCTION("""COMPUTED_VALUE"""),"")</f>
        <v/>
      </c>
      <c r="X12320" s="16" t="str">
        <f>IFERROR(__xludf.DUMMYFUNCTION("""COMPUTED_VALUE"""),"")</f>
        <v/>
      </c>
      <c r="AC12320" s="16" t="str">
        <f>IFERROR(__xludf.DUMMYFUNCTION("""COMPUTED_VALUE"""),"")</f>
        <v/>
      </c>
    </row>
    <row r="12321">
      <c r="A12321" s="16" t="s">
        <v>87</v>
      </c>
      <c r="E12321" s="16" t="str">
        <f>IFERROR(__xludf.DUMMYFUNCTION("""COMPUTED_VALUE"""),"")</f>
        <v/>
      </c>
      <c r="G12321" s="18"/>
      <c r="H12321" s="16" t="s">
        <v>87</v>
      </c>
      <c r="I12321" s="16" t="s">
        <v>87</v>
      </c>
      <c r="J12321" s="19"/>
      <c r="L12321" s="16" t="str">
        <f>IFERROR(__xludf.DUMMYFUNCTION("""COMPUTED_VALUE"""),"")</f>
        <v/>
      </c>
      <c r="M12321" s="16" t="str">
        <f>IFERROR(__xludf.DUMMYFUNCTION("""COMPUTED_VALUE"""),"")</f>
        <v/>
      </c>
      <c r="U12321" s="16" t="s">
        <v>87</v>
      </c>
      <c r="V12321" s="16" t="str">
        <f>IFERROR(__xludf.DUMMYFUNCTION("""COMPUTED_VALUE"""),"")</f>
        <v/>
      </c>
      <c r="W12321" s="16" t="str">
        <f>IFERROR(__xludf.DUMMYFUNCTION("""COMPUTED_VALUE"""),"")</f>
        <v/>
      </c>
      <c r="X12321" s="16" t="str">
        <f>IFERROR(__xludf.DUMMYFUNCTION("""COMPUTED_VALUE"""),"")</f>
        <v/>
      </c>
      <c r="AC12321" s="16" t="str">
        <f>IFERROR(__xludf.DUMMYFUNCTION("""COMPUTED_VALUE"""),"")</f>
        <v/>
      </c>
    </row>
    <row r="12322">
      <c r="A12322" s="16" t="s">
        <v>87</v>
      </c>
      <c r="E12322" s="16" t="str">
        <f>IFERROR(__xludf.DUMMYFUNCTION("""COMPUTED_VALUE"""),"")</f>
        <v/>
      </c>
      <c r="G12322" s="18"/>
      <c r="H12322" s="16" t="s">
        <v>87</v>
      </c>
      <c r="I12322" s="16" t="s">
        <v>87</v>
      </c>
      <c r="J12322" s="19"/>
      <c r="L12322" s="16" t="str">
        <f>IFERROR(__xludf.DUMMYFUNCTION("""COMPUTED_VALUE"""),"")</f>
        <v/>
      </c>
      <c r="M12322" s="16" t="str">
        <f>IFERROR(__xludf.DUMMYFUNCTION("""COMPUTED_VALUE"""),"")</f>
        <v/>
      </c>
      <c r="U12322" s="16" t="s">
        <v>87</v>
      </c>
      <c r="V12322" s="16" t="str">
        <f>IFERROR(__xludf.DUMMYFUNCTION("""COMPUTED_VALUE"""),"")</f>
        <v/>
      </c>
      <c r="W12322" s="16" t="str">
        <f>IFERROR(__xludf.DUMMYFUNCTION("""COMPUTED_VALUE"""),"")</f>
        <v/>
      </c>
      <c r="X12322" s="16" t="str">
        <f>IFERROR(__xludf.DUMMYFUNCTION("""COMPUTED_VALUE"""),"")</f>
        <v/>
      </c>
      <c r="AC12322" s="16" t="str">
        <f>IFERROR(__xludf.DUMMYFUNCTION("""COMPUTED_VALUE"""),"")</f>
        <v/>
      </c>
    </row>
    <row r="12323">
      <c r="A12323" s="16" t="s">
        <v>87</v>
      </c>
      <c r="E12323" s="16" t="str">
        <f>IFERROR(__xludf.DUMMYFUNCTION("""COMPUTED_VALUE"""),"")</f>
        <v/>
      </c>
      <c r="G12323" s="18"/>
      <c r="H12323" s="16" t="s">
        <v>87</v>
      </c>
      <c r="I12323" s="16" t="s">
        <v>87</v>
      </c>
      <c r="J12323" s="19"/>
      <c r="L12323" s="16" t="str">
        <f>IFERROR(__xludf.DUMMYFUNCTION("""COMPUTED_VALUE"""),"")</f>
        <v/>
      </c>
      <c r="M12323" s="16" t="str">
        <f>IFERROR(__xludf.DUMMYFUNCTION("""COMPUTED_VALUE"""),"")</f>
        <v/>
      </c>
      <c r="U12323" s="16" t="s">
        <v>87</v>
      </c>
      <c r="V12323" s="16" t="str">
        <f>IFERROR(__xludf.DUMMYFUNCTION("""COMPUTED_VALUE"""),"")</f>
        <v/>
      </c>
      <c r="W12323" s="16" t="str">
        <f>IFERROR(__xludf.DUMMYFUNCTION("""COMPUTED_VALUE"""),"")</f>
        <v/>
      </c>
      <c r="X12323" s="16" t="str">
        <f>IFERROR(__xludf.DUMMYFUNCTION("""COMPUTED_VALUE"""),"")</f>
        <v/>
      </c>
      <c r="AC12323" s="16" t="str">
        <f>IFERROR(__xludf.DUMMYFUNCTION("""COMPUTED_VALUE"""),"")</f>
        <v/>
      </c>
    </row>
    <row r="12324">
      <c r="A12324" s="16" t="s">
        <v>87</v>
      </c>
      <c r="E12324" s="16" t="str">
        <f>IFERROR(__xludf.DUMMYFUNCTION("""COMPUTED_VALUE"""),"")</f>
        <v/>
      </c>
      <c r="G12324" s="18"/>
      <c r="H12324" s="16" t="s">
        <v>87</v>
      </c>
      <c r="I12324" s="16" t="s">
        <v>87</v>
      </c>
      <c r="J12324" s="19"/>
      <c r="L12324" s="16" t="str">
        <f>IFERROR(__xludf.DUMMYFUNCTION("""COMPUTED_VALUE"""),"")</f>
        <v/>
      </c>
      <c r="M12324" s="16" t="str">
        <f>IFERROR(__xludf.DUMMYFUNCTION("""COMPUTED_VALUE"""),"")</f>
        <v/>
      </c>
      <c r="U12324" s="16" t="s">
        <v>87</v>
      </c>
      <c r="V12324" s="16" t="str">
        <f>IFERROR(__xludf.DUMMYFUNCTION("""COMPUTED_VALUE"""),"")</f>
        <v/>
      </c>
      <c r="W12324" s="16" t="str">
        <f>IFERROR(__xludf.DUMMYFUNCTION("""COMPUTED_VALUE"""),"")</f>
        <v/>
      </c>
      <c r="X12324" s="16" t="str">
        <f>IFERROR(__xludf.DUMMYFUNCTION("""COMPUTED_VALUE"""),"")</f>
        <v/>
      </c>
      <c r="AC12324" s="16" t="str">
        <f>IFERROR(__xludf.DUMMYFUNCTION("""COMPUTED_VALUE"""),"")</f>
        <v/>
      </c>
    </row>
    <row r="12325">
      <c r="A12325" s="16" t="s">
        <v>87</v>
      </c>
      <c r="E12325" s="16" t="str">
        <f>IFERROR(__xludf.DUMMYFUNCTION("""COMPUTED_VALUE"""),"")</f>
        <v/>
      </c>
      <c r="G12325" s="18"/>
      <c r="H12325" s="16" t="s">
        <v>87</v>
      </c>
      <c r="I12325" s="16" t="s">
        <v>87</v>
      </c>
      <c r="J12325" s="19"/>
      <c r="L12325" s="16" t="str">
        <f>IFERROR(__xludf.DUMMYFUNCTION("""COMPUTED_VALUE"""),"")</f>
        <v/>
      </c>
      <c r="M12325" s="16" t="str">
        <f>IFERROR(__xludf.DUMMYFUNCTION("""COMPUTED_VALUE"""),"")</f>
        <v/>
      </c>
      <c r="U12325" s="16" t="s">
        <v>87</v>
      </c>
      <c r="V12325" s="16" t="str">
        <f>IFERROR(__xludf.DUMMYFUNCTION("""COMPUTED_VALUE"""),"")</f>
        <v/>
      </c>
      <c r="W12325" s="16" t="str">
        <f>IFERROR(__xludf.DUMMYFUNCTION("""COMPUTED_VALUE"""),"")</f>
        <v/>
      </c>
      <c r="X12325" s="16" t="str">
        <f>IFERROR(__xludf.DUMMYFUNCTION("""COMPUTED_VALUE"""),"")</f>
        <v/>
      </c>
      <c r="AC12325" s="16" t="str">
        <f>IFERROR(__xludf.DUMMYFUNCTION("""COMPUTED_VALUE"""),"")</f>
        <v/>
      </c>
    </row>
    <row r="12326">
      <c r="A12326" s="16" t="s">
        <v>87</v>
      </c>
      <c r="E12326" s="16" t="str">
        <f>IFERROR(__xludf.DUMMYFUNCTION("""COMPUTED_VALUE"""),"")</f>
        <v/>
      </c>
      <c r="G12326" s="18"/>
      <c r="H12326" s="16" t="s">
        <v>87</v>
      </c>
      <c r="I12326" s="16" t="s">
        <v>87</v>
      </c>
      <c r="J12326" s="19"/>
      <c r="L12326" s="16" t="str">
        <f>IFERROR(__xludf.DUMMYFUNCTION("""COMPUTED_VALUE"""),"")</f>
        <v/>
      </c>
      <c r="M12326" s="16" t="str">
        <f>IFERROR(__xludf.DUMMYFUNCTION("""COMPUTED_VALUE"""),"")</f>
        <v/>
      </c>
      <c r="U12326" s="16" t="s">
        <v>87</v>
      </c>
      <c r="V12326" s="16" t="str">
        <f>IFERROR(__xludf.DUMMYFUNCTION("""COMPUTED_VALUE"""),"")</f>
        <v/>
      </c>
      <c r="W12326" s="16" t="str">
        <f>IFERROR(__xludf.DUMMYFUNCTION("""COMPUTED_VALUE"""),"")</f>
        <v/>
      </c>
      <c r="X12326" s="16" t="str">
        <f>IFERROR(__xludf.DUMMYFUNCTION("""COMPUTED_VALUE"""),"")</f>
        <v/>
      </c>
      <c r="AC12326" s="16" t="str">
        <f>IFERROR(__xludf.DUMMYFUNCTION("""COMPUTED_VALUE"""),"")</f>
        <v/>
      </c>
    </row>
    <row r="12327">
      <c r="A12327" s="16" t="s">
        <v>87</v>
      </c>
      <c r="E12327" s="16" t="str">
        <f>IFERROR(__xludf.DUMMYFUNCTION("""COMPUTED_VALUE"""),"")</f>
        <v/>
      </c>
      <c r="G12327" s="18"/>
      <c r="H12327" s="16" t="s">
        <v>87</v>
      </c>
      <c r="I12327" s="16" t="s">
        <v>87</v>
      </c>
      <c r="J12327" s="19"/>
      <c r="L12327" s="16" t="str">
        <f>IFERROR(__xludf.DUMMYFUNCTION("""COMPUTED_VALUE"""),"")</f>
        <v/>
      </c>
      <c r="M12327" s="16" t="str">
        <f>IFERROR(__xludf.DUMMYFUNCTION("""COMPUTED_VALUE"""),"")</f>
        <v/>
      </c>
      <c r="U12327" s="16" t="s">
        <v>87</v>
      </c>
      <c r="V12327" s="16" t="str">
        <f>IFERROR(__xludf.DUMMYFUNCTION("""COMPUTED_VALUE"""),"")</f>
        <v/>
      </c>
      <c r="W12327" s="16" t="str">
        <f>IFERROR(__xludf.DUMMYFUNCTION("""COMPUTED_VALUE"""),"")</f>
        <v/>
      </c>
      <c r="X12327" s="16" t="str">
        <f>IFERROR(__xludf.DUMMYFUNCTION("""COMPUTED_VALUE"""),"")</f>
        <v/>
      </c>
      <c r="AC12327" s="16" t="str">
        <f>IFERROR(__xludf.DUMMYFUNCTION("""COMPUTED_VALUE"""),"")</f>
        <v/>
      </c>
    </row>
    <row r="12328">
      <c r="A12328" s="16" t="s">
        <v>87</v>
      </c>
      <c r="E12328" s="16" t="str">
        <f>IFERROR(__xludf.DUMMYFUNCTION("""COMPUTED_VALUE"""),"")</f>
        <v/>
      </c>
      <c r="G12328" s="18"/>
      <c r="H12328" s="16" t="s">
        <v>87</v>
      </c>
      <c r="I12328" s="16" t="s">
        <v>87</v>
      </c>
      <c r="J12328" s="19"/>
      <c r="L12328" s="16" t="str">
        <f>IFERROR(__xludf.DUMMYFUNCTION("""COMPUTED_VALUE"""),"")</f>
        <v/>
      </c>
      <c r="M12328" s="16" t="str">
        <f>IFERROR(__xludf.DUMMYFUNCTION("""COMPUTED_VALUE"""),"")</f>
        <v/>
      </c>
      <c r="U12328" s="16" t="s">
        <v>87</v>
      </c>
      <c r="V12328" s="16" t="str">
        <f>IFERROR(__xludf.DUMMYFUNCTION("""COMPUTED_VALUE"""),"")</f>
        <v/>
      </c>
      <c r="W12328" s="16" t="str">
        <f>IFERROR(__xludf.DUMMYFUNCTION("""COMPUTED_VALUE"""),"")</f>
        <v/>
      </c>
      <c r="X12328" s="16" t="str">
        <f>IFERROR(__xludf.DUMMYFUNCTION("""COMPUTED_VALUE"""),"")</f>
        <v/>
      </c>
      <c r="AC12328" s="16" t="str">
        <f>IFERROR(__xludf.DUMMYFUNCTION("""COMPUTED_VALUE"""),"")</f>
        <v/>
      </c>
    </row>
    <row r="12329">
      <c r="A12329" s="16" t="s">
        <v>87</v>
      </c>
      <c r="E12329" s="16" t="str">
        <f>IFERROR(__xludf.DUMMYFUNCTION("""COMPUTED_VALUE"""),"")</f>
        <v/>
      </c>
      <c r="G12329" s="18"/>
      <c r="H12329" s="16" t="s">
        <v>87</v>
      </c>
      <c r="I12329" s="16" t="s">
        <v>87</v>
      </c>
      <c r="J12329" s="19"/>
      <c r="L12329" s="16" t="str">
        <f>IFERROR(__xludf.DUMMYFUNCTION("""COMPUTED_VALUE"""),"")</f>
        <v/>
      </c>
      <c r="M12329" s="16" t="str">
        <f>IFERROR(__xludf.DUMMYFUNCTION("""COMPUTED_VALUE"""),"")</f>
        <v/>
      </c>
      <c r="U12329" s="16" t="s">
        <v>87</v>
      </c>
      <c r="V12329" s="16" t="str">
        <f>IFERROR(__xludf.DUMMYFUNCTION("""COMPUTED_VALUE"""),"")</f>
        <v/>
      </c>
      <c r="W12329" s="16" t="str">
        <f>IFERROR(__xludf.DUMMYFUNCTION("""COMPUTED_VALUE"""),"")</f>
        <v/>
      </c>
      <c r="X12329" s="16" t="str">
        <f>IFERROR(__xludf.DUMMYFUNCTION("""COMPUTED_VALUE"""),"")</f>
        <v/>
      </c>
      <c r="AC12329" s="16" t="str">
        <f>IFERROR(__xludf.DUMMYFUNCTION("""COMPUTED_VALUE"""),"")</f>
        <v/>
      </c>
    </row>
    <row r="12330">
      <c r="A12330" s="16" t="s">
        <v>87</v>
      </c>
      <c r="E12330" s="16" t="str">
        <f>IFERROR(__xludf.DUMMYFUNCTION("""COMPUTED_VALUE"""),"")</f>
        <v/>
      </c>
      <c r="G12330" s="18"/>
      <c r="H12330" s="16" t="s">
        <v>87</v>
      </c>
      <c r="I12330" s="16" t="s">
        <v>87</v>
      </c>
      <c r="J12330" s="19"/>
      <c r="L12330" s="16" t="str">
        <f>IFERROR(__xludf.DUMMYFUNCTION("""COMPUTED_VALUE"""),"")</f>
        <v/>
      </c>
      <c r="M12330" s="16" t="str">
        <f>IFERROR(__xludf.DUMMYFUNCTION("""COMPUTED_VALUE"""),"")</f>
        <v/>
      </c>
      <c r="U12330" s="16" t="s">
        <v>87</v>
      </c>
      <c r="V12330" s="16" t="str">
        <f>IFERROR(__xludf.DUMMYFUNCTION("""COMPUTED_VALUE"""),"")</f>
        <v/>
      </c>
      <c r="W12330" s="16" t="str">
        <f>IFERROR(__xludf.DUMMYFUNCTION("""COMPUTED_VALUE"""),"")</f>
        <v/>
      </c>
      <c r="X12330" s="16" t="str">
        <f>IFERROR(__xludf.DUMMYFUNCTION("""COMPUTED_VALUE"""),"")</f>
        <v/>
      </c>
      <c r="AC12330" s="16" t="str">
        <f>IFERROR(__xludf.DUMMYFUNCTION("""COMPUTED_VALUE"""),"")</f>
        <v/>
      </c>
    </row>
    <row r="12331">
      <c r="A12331" s="16" t="s">
        <v>87</v>
      </c>
      <c r="E12331" s="16" t="str">
        <f>IFERROR(__xludf.DUMMYFUNCTION("""COMPUTED_VALUE"""),"")</f>
        <v/>
      </c>
      <c r="G12331" s="18"/>
      <c r="H12331" s="16" t="s">
        <v>87</v>
      </c>
      <c r="I12331" s="16" t="s">
        <v>87</v>
      </c>
      <c r="J12331" s="19"/>
      <c r="L12331" s="16" t="str">
        <f>IFERROR(__xludf.DUMMYFUNCTION("""COMPUTED_VALUE"""),"")</f>
        <v/>
      </c>
      <c r="M12331" s="16" t="str">
        <f>IFERROR(__xludf.DUMMYFUNCTION("""COMPUTED_VALUE"""),"")</f>
        <v/>
      </c>
      <c r="U12331" s="16" t="s">
        <v>87</v>
      </c>
      <c r="V12331" s="16" t="str">
        <f>IFERROR(__xludf.DUMMYFUNCTION("""COMPUTED_VALUE"""),"")</f>
        <v/>
      </c>
      <c r="W12331" s="16" t="str">
        <f>IFERROR(__xludf.DUMMYFUNCTION("""COMPUTED_VALUE"""),"")</f>
        <v/>
      </c>
      <c r="X12331" s="16" t="str">
        <f>IFERROR(__xludf.DUMMYFUNCTION("""COMPUTED_VALUE"""),"")</f>
        <v/>
      </c>
      <c r="AC12331" s="16" t="str">
        <f>IFERROR(__xludf.DUMMYFUNCTION("""COMPUTED_VALUE"""),"")</f>
        <v/>
      </c>
    </row>
    <row r="12332">
      <c r="A12332" s="16" t="s">
        <v>87</v>
      </c>
      <c r="E12332" s="16" t="str">
        <f>IFERROR(__xludf.DUMMYFUNCTION("""COMPUTED_VALUE"""),"")</f>
        <v/>
      </c>
      <c r="G12332" s="18"/>
      <c r="H12332" s="16" t="s">
        <v>87</v>
      </c>
      <c r="I12332" s="16" t="s">
        <v>87</v>
      </c>
      <c r="J12332" s="19"/>
      <c r="L12332" s="16" t="str">
        <f>IFERROR(__xludf.DUMMYFUNCTION("""COMPUTED_VALUE"""),"")</f>
        <v/>
      </c>
      <c r="M12332" s="16" t="str">
        <f>IFERROR(__xludf.DUMMYFUNCTION("""COMPUTED_VALUE"""),"")</f>
        <v/>
      </c>
      <c r="U12332" s="16" t="s">
        <v>87</v>
      </c>
      <c r="V12332" s="16" t="str">
        <f>IFERROR(__xludf.DUMMYFUNCTION("""COMPUTED_VALUE"""),"")</f>
        <v/>
      </c>
      <c r="W12332" s="16" t="str">
        <f>IFERROR(__xludf.DUMMYFUNCTION("""COMPUTED_VALUE"""),"")</f>
        <v/>
      </c>
      <c r="X12332" s="16" t="str">
        <f>IFERROR(__xludf.DUMMYFUNCTION("""COMPUTED_VALUE"""),"")</f>
        <v/>
      </c>
      <c r="AC12332" s="16" t="str">
        <f>IFERROR(__xludf.DUMMYFUNCTION("""COMPUTED_VALUE"""),"")</f>
        <v/>
      </c>
    </row>
    <row r="12333">
      <c r="A12333" s="16" t="s">
        <v>87</v>
      </c>
      <c r="E12333" s="16" t="str">
        <f>IFERROR(__xludf.DUMMYFUNCTION("""COMPUTED_VALUE"""),"")</f>
        <v/>
      </c>
      <c r="G12333" s="18"/>
      <c r="H12333" s="16" t="s">
        <v>87</v>
      </c>
      <c r="I12333" s="16" t="s">
        <v>87</v>
      </c>
      <c r="J12333" s="19"/>
      <c r="L12333" s="16" t="str">
        <f>IFERROR(__xludf.DUMMYFUNCTION("""COMPUTED_VALUE"""),"")</f>
        <v/>
      </c>
      <c r="M12333" s="16" t="str">
        <f>IFERROR(__xludf.DUMMYFUNCTION("""COMPUTED_VALUE"""),"")</f>
        <v/>
      </c>
      <c r="U12333" s="16" t="s">
        <v>87</v>
      </c>
      <c r="V12333" s="16" t="str">
        <f>IFERROR(__xludf.DUMMYFUNCTION("""COMPUTED_VALUE"""),"")</f>
        <v/>
      </c>
      <c r="W12333" s="16" t="str">
        <f>IFERROR(__xludf.DUMMYFUNCTION("""COMPUTED_VALUE"""),"")</f>
        <v/>
      </c>
      <c r="X12333" s="16" t="str">
        <f>IFERROR(__xludf.DUMMYFUNCTION("""COMPUTED_VALUE"""),"")</f>
        <v/>
      </c>
      <c r="AC12333" s="16" t="str">
        <f>IFERROR(__xludf.DUMMYFUNCTION("""COMPUTED_VALUE"""),"")</f>
        <v/>
      </c>
    </row>
    <row r="12334">
      <c r="A12334" s="16" t="s">
        <v>87</v>
      </c>
      <c r="E12334" s="16" t="str">
        <f>IFERROR(__xludf.DUMMYFUNCTION("""COMPUTED_VALUE"""),"")</f>
        <v/>
      </c>
      <c r="G12334" s="18"/>
      <c r="H12334" s="16" t="s">
        <v>87</v>
      </c>
      <c r="I12334" s="16" t="s">
        <v>87</v>
      </c>
      <c r="J12334" s="19"/>
      <c r="L12334" s="16" t="str">
        <f>IFERROR(__xludf.DUMMYFUNCTION("""COMPUTED_VALUE"""),"")</f>
        <v/>
      </c>
      <c r="M12334" s="16" t="str">
        <f>IFERROR(__xludf.DUMMYFUNCTION("""COMPUTED_VALUE"""),"")</f>
        <v/>
      </c>
      <c r="U12334" s="16" t="s">
        <v>87</v>
      </c>
      <c r="V12334" s="16" t="str">
        <f>IFERROR(__xludf.DUMMYFUNCTION("""COMPUTED_VALUE"""),"")</f>
        <v/>
      </c>
      <c r="W12334" s="16" t="str">
        <f>IFERROR(__xludf.DUMMYFUNCTION("""COMPUTED_VALUE"""),"")</f>
        <v/>
      </c>
      <c r="X12334" s="16" t="str">
        <f>IFERROR(__xludf.DUMMYFUNCTION("""COMPUTED_VALUE"""),"")</f>
        <v/>
      </c>
      <c r="AC12334" s="16" t="str">
        <f>IFERROR(__xludf.DUMMYFUNCTION("""COMPUTED_VALUE"""),"")</f>
        <v/>
      </c>
    </row>
    <row r="12335">
      <c r="A12335" s="16" t="s">
        <v>87</v>
      </c>
      <c r="E12335" s="16" t="str">
        <f>IFERROR(__xludf.DUMMYFUNCTION("""COMPUTED_VALUE"""),"")</f>
        <v/>
      </c>
      <c r="G12335" s="18"/>
      <c r="H12335" s="16" t="s">
        <v>87</v>
      </c>
      <c r="I12335" s="16" t="s">
        <v>87</v>
      </c>
      <c r="J12335" s="19"/>
      <c r="L12335" s="16" t="str">
        <f>IFERROR(__xludf.DUMMYFUNCTION("""COMPUTED_VALUE"""),"")</f>
        <v/>
      </c>
      <c r="M12335" s="16" t="str">
        <f>IFERROR(__xludf.DUMMYFUNCTION("""COMPUTED_VALUE"""),"")</f>
        <v/>
      </c>
      <c r="U12335" s="16" t="s">
        <v>87</v>
      </c>
      <c r="V12335" s="16" t="str">
        <f>IFERROR(__xludf.DUMMYFUNCTION("""COMPUTED_VALUE"""),"")</f>
        <v/>
      </c>
      <c r="W12335" s="16" t="str">
        <f>IFERROR(__xludf.DUMMYFUNCTION("""COMPUTED_VALUE"""),"")</f>
        <v/>
      </c>
      <c r="X12335" s="16" t="str">
        <f>IFERROR(__xludf.DUMMYFUNCTION("""COMPUTED_VALUE"""),"")</f>
        <v/>
      </c>
      <c r="AC12335" s="16" t="str">
        <f>IFERROR(__xludf.DUMMYFUNCTION("""COMPUTED_VALUE"""),"")</f>
        <v/>
      </c>
    </row>
    <row r="12336">
      <c r="A12336" s="16" t="s">
        <v>87</v>
      </c>
      <c r="E12336" s="16" t="str">
        <f>IFERROR(__xludf.DUMMYFUNCTION("""COMPUTED_VALUE"""),"")</f>
        <v/>
      </c>
      <c r="G12336" s="18"/>
      <c r="H12336" s="16" t="s">
        <v>87</v>
      </c>
      <c r="I12336" s="16" t="s">
        <v>87</v>
      </c>
      <c r="J12336" s="19"/>
      <c r="L12336" s="16" t="str">
        <f>IFERROR(__xludf.DUMMYFUNCTION("""COMPUTED_VALUE"""),"")</f>
        <v/>
      </c>
      <c r="M12336" s="16" t="str">
        <f>IFERROR(__xludf.DUMMYFUNCTION("""COMPUTED_VALUE"""),"")</f>
        <v/>
      </c>
      <c r="U12336" s="16" t="s">
        <v>87</v>
      </c>
      <c r="V12336" s="16" t="str">
        <f>IFERROR(__xludf.DUMMYFUNCTION("""COMPUTED_VALUE"""),"")</f>
        <v/>
      </c>
      <c r="W12336" s="16" t="str">
        <f>IFERROR(__xludf.DUMMYFUNCTION("""COMPUTED_VALUE"""),"")</f>
        <v/>
      </c>
      <c r="X12336" s="16" t="str">
        <f>IFERROR(__xludf.DUMMYFUNCTION("""COMPUTED_VALUE"""),"")</f>
        <v/>
      </c>
      <c r="AC12336" s="16" t="str">
        <f>IFERROR(__xludf.DUMMYFUNCTION("""COMPUTED_VALUE"""),"")</f>
        <v/>
      </c>
    </row>
    <row r="12337">
      <c r="A12337" s="16" t="s">
        <v>87</v>
      </c>
      <c r="E12337" s="16" t="str">
        <f>IFERROR(__xludf.DUMMYFUNCTION("""COMPUTED_VALUE"""),"")</f>
        <v/>
      </c>
      <c r="G12337" s="18"/>
      <c r="H12337" s="16" t="s">
        <v>87</v>
      </c>
      <c r="I12337" s="16" t="s">
        <v>87</v>
      </c>
      <c r="J12337" s="19"/>
      <c r="L12337" s="16" t="str">
        <f>IFERROR(__xludf.DUMMYFUNCTION("""COMPUTED_VALUE"""),"")</f>
        <v/>
      </c>
      <c r="M12337" s="16" t="str">
        <f>IFERROR(__xludf.DUMMYFUNCTION("""COMPUTED_VALUE"""),"")</f>
        <v/>
      </c>
      <c r="U12337" s="16" t="s">
        <v>87</v>
      </c>
      <c r="V12337" s="16" t="str">
        <f>IFERROR(__xludf.DUMMYFUNCTION("""COMPUTED_VALUE"""),"")</f>
        <v/>
      </c>
      <c r="W12337" s="16" t="str">
        <f>IFERROR(__xludf.DUMMYFUNCTION("""COMPUTED_VALUE"""),"")</f>
        <v/>
      </c>
      <c r="X12337" s="16" t="str">
        <f>IFERROR(__xludf.DUMMYFUNCTION("""COMPUTED_VALUE"""),"")</f>
        <v/>
      </c>
      <c r="AC12337" s="16" t="str">
        <f>IFERROR(__xludf.DUMMYFUNCTION("""COMPUTED_VALUE"""),"")</f>
        <v/>
      </c>
    </row>
    <row r="12338">
      <c r="A12338" s="16" t="s">
        <v>87</v>
      </c>
      <c r="E12338" s="16" t="str">
        <f>IFERROR(__xludf.DUMMYFUNCTION("""COMPUTED_VALUE"""),"")</f>
        <v/>
      </c>
      <c r="G12338" s="18"/>
      <c r="H12338" s="16" t="s">
        <v>87</v>
      </c>
      <c r="I12338" s="16" t="s">
        <v>87</v>
      </c>
      <c r="J12338" s="19"/>
      <c r="L12338" s="16" t="str">
        <f>IFERROR(__xludf.DUMMYFUNCTION("""COMPUTED_VALUE"""),"")</f>
        <v/>
      </c>
      <c r="M12338" s="16" t="str">
        <f>IFERROR(__xludf.DUMMYFUNCTION("""COMPUTED_VALUE"""),"")</f>
        <v/>
      </c>
      <c r="U12338" s="16" t="s">
        <v>87</v>
      </c>
      <c r="V12338" s="16" t="str">
        <f>IFERROR(__xludf.DUMMYFUNCTION("""COMPUTED_VALUE"""),"")</f>
        <v/>
      </c>
      <c r="W12338" s="16" t="str">
        <f>IFERROR(__xludf.DUMMYFUNCTION("""COMPUTED_VALUE"""),"")</f>
        <v/>
      </c>
      <c r="X12338" s="16" t="str">
        <f>IFERROR(__xludf.DUMMYFUNCTION("""COMPUTED_VALUE"""),"")</f>
        <v/>
      </c>
      <c r="AC12338" s="16" t="str">
        <f>IFERROR(__xludf.DUMMYFUNCTION("""COMPUTED_VALUE"""),"")</f>
        <v/>
      </c>
    </row>
    <row r="12339">
      <c r="A12339" s="16" t="s">
        <v>87</v>
      </c>
      <c r="E12339" s="16" t="str">
        <f>IFERROR(__xludf.DUMMYFUNCTION("""COMPUTED_VALUE"""),"")</f>
        <v/>
      </c>
      <c r="G12339" s="18"/>
      <c r="H12339" s="16" t="s">
        <v>87</v>
      </c>
      <c r="I12339" s="16" t="s">
        <v>87</v>
      </c>
      <c r="J12339" s="19"/>
      <c r="L12339" s="16" t="str">
        <f>IFERROR(__xludf.DUMMYFUNCTION("""COMPUTED_VALUE"""),"")</f>
        <v/>
      </c>
      <c r="M12339" s="16" t="str">
        <f>IFERROR(__xludf.DUMMYFUNCTION("""COMPUTED_VALUE"""),"")</f>
        <v/>
      </c>
      <c r="U12339" s="16" t="s">
        <v>87</v>
      </c>
      <c r="V12339" s="16" t="str">
        <f>IFERROR(__xludf.DUMMYFUNCTION("""COMPUTED_VALUE"""),"")</f>
        <v/>
      </c>
      <c r="W12339" s="16" t="str">
        <f>IFERROR(__xludf.DUMMYFUNCTION("""COMPUTED_VALUE"""),"")</f>
        <v/>
      </c>
      <c r="X12339" s="16" t="str">
        <f>IFERROR(__xludf.DUMMYFUNCTION("""COMPUTED_VALUE"""),"")</f>
        <v/>
      </c>
      <c r="AC12339" s="16" t="str">
        <f>IFERROR(__xludf.DUMMYFUNCTION("""COMPUTED_VALUE"""),"")</f>
        <v/>
      </c>
    </row>
    <row r="12340">
      <c r="A12340" s="16" t="s">
        <v>87</v>
      </c>
      <c r="E12340" s="16" t="str">
        <f>IFERROR(__xludf.DUMMYFUNCTION("""COMPUTED_VALUE"""),"")</f>
        <v/>
      </c>
      <c r="G12340" s="18"/>
      <c r="H12340" s="16" t="s">
        <v>87</v>
      </c>
      <c r="I12340" s="16" t="s">
        <v>87</v>
      </c>
      <c r="J12340" s="19"/>
      <c r="L12340" s="16" t="str">
        <f>IFERROR(__xludf.DUMMYFUNCTION("""COMPUTED_VALUE"""),"")</f>
        <v/>
      </c>
      <c r="M12340" s="16" t="str">
        <f>IFERROR(__xludf.DUMMYFUNCTION("""COMPUTED_VALUE"""),"")</f>
        <v/>
      </c>
      <c r="U12340" s="16" t="s">
        <v>87</v>
      </c>
      <c r="V12340" s="16" t="str">
        <f>IFERROR(__xludf.DUMMYFUNCTION("""COMPUTED_VALUE"""),"")</f>
        <v/>
      </c>
      <c r="W12340" s="16" t="str">
        <f>IFERROR(__xludf.DUMMYFUNCTION("""COMPUTED_VALUE"""),"")</f>
        <v/>
      </c>
      <c r="X12340" s="16" t="str">
        <f>IFERROR(__xludf.DUMMYFUNCTION("""COMPUTED_VALUE"""),"")</f>
        <v/>
      </c>
      <c r="AC12340" s="16" t="str">
        <f>IFERROR(__xludf.DUMMYFUNCTION("""COMPUTED_VALUE"""),"")</f>
        <v/>
      </c>
    </row>
    <row r="12341">
      <c r="A12341" s="16" t="s">
        <v>87</v>
      </c>
      <c r="E12341" s="16" t="str">
        <f>IFERROR(__xludf.DUMMYFUNCTION("""COMPUTED_VALUE"""),"")</f>
        <v/>
      </c>
      <c r="G12341" s="18"/>
      <c r="H12341" s="16" t="s">
        <v>87</v>
      </c>
      <c r="I12341" s="16" t="s">
        <v>87</v>
      </c>
      <c r="J12341" s="19"/>
      <c r="L12341" s="16" t="str">
        <f>IFERROR(__xludf.DUMMYFUNCTION("""COMPUTED_VALUE"""),"")</f>
        <v/>
      </c>
      <c r="M12341" s="16" t="str">
        <f>IFERROR(__xludf.DUMMYFUNCTION("""COMPUTED_VALUE"""),"")</f>
        <v/>
      </c>
      <c r="U12341" s="16" t="s">
        <v>87</v>
      </c>
      <c r="V12341" s="16" t="str">
        <f>IFERROR(__xludf.DUMMYFUNCTION("""COMPUTED_VALUE"""),"")</f>
        <v/>
      </c>
      <c r="W12341" s="16" t="str">
        <f>IFERROR(__xludf.DUMMYFUNCTION("""COMPUTED_VALUE"""),"")</f>
        <v/>
      </c>
      <c r="X12341" s="16" t="str">
        <f>IFERROR(__xludf.DUMMYFUNCTION("""COMPUTED_VALUE"""),"")</f>
        <v/>
      </c>
      <c r="AC12341" s="16" t="str">
        <f>IFERROR(__xludf.DUMMYFUNCTION("""COMPUTED_VALUE"""),"")</f>
        <v/>
      </c>
    </row>
    <row r="12342">
      <c r="A12342" s="16" t="s">
        <v>87</v>
      </c>
      <c r="E12342" s="16" t="str">
        <f>IFERROR(__xludf.DUMMYFUNCTION("""COMPUTED_VALUE"""),"")</f>
        <v/>
      </c>
      <c r="G12342" s="18"/>
      <c r="H12342" s="16" t="s">
        <v>87</v>
      </c>
      <c r="I12342" s="16" t="s">
        <v>87</v>
      </c>
      <c r="J12342" s="19"/>
      <c r="L12342" s="16" t="str">
        <f>IFERROR(__xludf.DUMMYFUNCTION("""COMPUTED_VALUE"""),"")</f>
        <v/>
      </c>
      <c r="M12342" s="16" t="str">
        <f>IFERROR(__xludf.DUMMYFUNCTION("""COMPUTED_VALUE"""),"")</f>
        <v/>
      </c>
      <c r="U12342" s="16" t="s">
        <v>87</v>
      </c>
      <c r="V12342" s="16" t="str">
        <f>IFERROR(__xludf.DUMMYFUNCTION("""COMPUTED_VALUE"""),"")</f>
        <v/>
      </c>
      <c r="W12342" s="16" t="str">
        <f>IFERROR(__xludf.DUMMYFUNCTION("""COMPUTED_VALUE"""),"")</f>
        <v/>
      </c>
      <c r="X12342" s="16" t="str">
        <f>IFERROR(__xludf.DUMMYFUNCTION("""COMPUTED_VALUE"""),"")</f>
        <v/>
      </c>
      <c r="AC12342" s="16" t="str">
        <f>IFERROR(__xludf.DUMMYFUNCTION("""COMPUTED_VALUE"""),"")</f>
        <v/>
      </c>
    </row>
    <row r="12343">
      <c r="A12343" s="16" t="s">
        <v>87</v>
      </c>
      <c r="E12343" s="16" t="str">
        <f>IFERROR(__xludf.DUMMYFUNCTION("""COMPUTED_VALUE"""),"")</f>
        <v/>
      </c>
      <c r="G12343" s="18"/>
      <c r="H12343" s="16" t="s">
        <v>87</v>
      </c>
      <c r="I12343" s="16" t="s">
        <v>87</v>
      </c>
      <c r="J12343" s="19"/>
      <c r="L12343" s="16" t="str">
        <f>IFERROR(__xludf.DUMMYFUNCTION("""COMPUTED_VALUE"""),"")</f>
        <v/>
      </c>
      <c r="M12343" s="16" t="str">
        <f>IFERROR(__xludf.DUMMYFUNCTION("""COMPUTED_VALUE"""),"")</f>
        <v/>
      </c>
      <c r="U12343" s="16" t="s">
        <v>87</v>
      </c>
      <c r="V12343" s="16" t="str">
        <f>IFERROR(__xludf.DUMMYFUNCTION("""COMPUTED_VALUE"""),"")</f>
        <v/>
      </c>
      <c r="W12343" s="16" t="str">
        <f>IFERROR(__xludf.DUMMYFUNCTION("""COMPUTED_VALUE"""),"")</f>
        <v/>
      </c>
      <c r="X12343" s="16" t="str">
        <f>IFERROR(__xludf.DUMMYFUNCTION("""COMPUTED_VALUE"""),"")</f>
        <v/>
      </c>
      <c r="AC12343" s="16" t="str">
        <f>IFERROR(__xludf.DUMMYFUNCTION("""COMPUTED_VALUE"""),"")</f>
        <v/>
      </c>
    </row>
    <row r="12344">
      <c r="A12344" s="16" t="s">
        <v>87</v>
      </c>
      <c r="E12344" s="16" t="str">
        <f>IFERROR(__xludf.DUMMYFUNCTION("""COMPUTED_VALUE"""),"")</f>
        <v/>
      </c>
      <c r="G12344" s="18"/>
      <c r="H12344" s="16" t="s">
        <v>87</v>
      </c>
      <c r="I12344" s="16" t="s">
        <v>87</v>
      </c>
      <c r="J12344" s="19"/>
      <c r="L12344" s="16" t="str">
        <f>IFERROR(__xludf.DUMMYFUNCTION("""COMPUTED_VALUE"""),"")</f>
        <v/>
      </c>
      <c r="M12344" s="16" t="str">
        <f>IFERROR(__xludf.DUMMYFUNCTION("""COMPUTED_VALUE"""),"")</f>
        <v/>
      </c>
      <c r="U12344" s="16" t="s">
        <v>87</v>
      </c>
      <c r="V12344" s="16" t="str">
        <f>IFERROR(__xludf.DUMMYFUNCTION("""COMPUTED_VALUE"""),"")</f>
        <v/>
      </c>
      <c r="W12344" s="16" t="str">
        <f>IFERROR(__xludf.DUMMYFUNCTION("""COMPUTED_VALUE"""),"")</f>
        <v/>
      </c>
      <c r="X12344" s="16" t="str">
        <f>IFERROR(__xludf.DUMMYFUNCTION("""COMPUTED_VALUE"""),"")</f>
        <v/>
      </c>
      <c r="AC12344" s="16" t="str">
        <f>IFERROR(__xludf.DUMMYFUNCTION("""COMPUTED_VALUE"""),"")</f>
        <v/>
      </c>
    </row>
    <row r="12345">
      <c r="A12345" s="16" t="s">
        <v>87</v>
      </c>
      <c r="E12345" s="16" t="str">
        <f>IFERROR(__xludf.DUMMYFUNCTION("""COMPUTED_VALUE"""),"")</f>
        <v/>
      </c>
      <c r="G12345" s="18"/>
      <c r="H12345" s="16" t="s">
        <v>87</v>
      </c>
      <c r="I12345" s="16" t="s">
        <v>87</v>
      </c>
      <c r="J12345" s="19"/>
      <c r="L12345" s="16" t="str">
        <f>IFERROR(__xludf.DUMMYFUNCTION("""COMPUTED_VALUE"""),"")</f>
        <v/>
      </c>
      <c r="M12345" s="16" t="str">
        <f>IFERROR(__xludf.DUMMYFUNCTION("""COMPUTED_VALUE"""),"")</f>
        <v/>
      </c>
      <c r="U12345" s="16" t="s">
        <v>87</v>
      </c>
      <c r="V12345" s="16" t="str">
        <f>IFERROR(__xludf.DUMMYFUNCTION("""COMPUTED_VALUE"""),"")</f>
        <v/>
      </c>
      <c r="W12345" s="16" t="str">
        <f>IFERROR(__xludf.DUMMYFUNCTION("""COMPUTED_VALUE"""),"")</f>
        <v/>
      </c>
      <c r="X12345" s="16" t="str">
        <f>IFERROR(__xludf.DUMMYFUNCTION("""COMPUTED_VALUE"""),"")</f>
        <v/>
      </c>
      <c r="AC12345" s="16" t="str">
        <f>IFERROR(__xludf.DUMMYFUNCTION("""COMPUTED_VALUE"""),"")</f>
        <v/>
      </c>
    </row>
    <row r="12346">
      <c r="A12346" s="16" t="s">
        <v>87</v>
      </c>
      <c r="E12346" s="16" t="str">
        <f>IFERROR(__xludf.DUMMYFUNCTION("""COMPUTED_VALUE"""),"")</f>
        <v/>
      </c>
      <c r="G12346" s="18"/>
      <c r="H12346" s="16" t="s">
        <v>87</v>
      </c>
      <c r="I12346" s="16" t="s">
        <v>87</v>
      </c>
      <c r="J12346" s="19"/>
      <c r="L12346" s="16" t="str">
        <f>IFERROR(__xludf.DUMMYFUNCTION("""COMPUTED_VALUE"""),"")</f>
        <v/>
      </c>
      <c r="M12346" s="16" t="str">
        <f>IFERROR(__xludf.DUMMYFUNCTION("""COMPUTED_VALUE"""),"")</f>
        <v/>
      </c>
      <c r="U12346" s="16" t="s">
        <v>87</v>
      </c>
      <c r="V12346" s="16" t="str">
        <f>IFERROR(__xludf.DUMMYFUNCTION("""COMPUTED_VALUE"""),"")</f>
        <v/>
      </c>
      <c r="W12346" s="16" t="str">
        <f>IFERROR(__xludf.DUMMYFUNCTION("""COMPUTED_VALUE"""),"")</f>
        <v/>
      </c>
      <c r="X12346" s="16" t="str">
        <f>IFERROR(__xludf.DUMMYFUNCTION("""COMPUTED_VALUE"""),"")</f>
        <v/>
      </c>
      <c r="AC12346" s="16" t="str">
        <f>IFERROR(__xludf.DUMMYFUNCTION("""COMPUTED_VALUE"""),"")</f>
        <v/>
      </c>
    </row>
    <row r="12347">
      <c r="A12347" s="16" t="s">
        <v>87</v>
      </c>
      <c r="E12347" s="16" t="str">
        <f>IFERROR(__xludf.DUMMYFUNCTION("""COMPUTED_VALUE"""),"")</f>
        <v/>
      </c>
      <c r="G12347" s="18"/>
      <c r="H12347" s="16" t="s">
        <v>87</v>
      </c>
      <c r="I12347" s="16" t="s">
        <v>87</v>
      </c>
      <c r="J12347" s="19"/>
      <c r="L12347" s="16" t="str">
        <f>IFERROR(__xludf.DUMMYFUNCTION("""COMPUTED_VALUE"""),"")</f>
        <v/>
      </c>
      <c r="M12347" s="16" t="str">
        <f>IFERROR(__xludf.DUMMYFUNCTION("""COMPUTED_VALUE"""),"")</f>
        <v/>
      </c>
      <c r="U12347" s="16" t="s">
        <v>87</v>
      </c>
      <c r="V12347" s="16" t="str">
        <f>IFERROR(__xludf.DUMMYFUNCTION("""COMPUTED_VALUE"""),"")</f>
        <v/>
      </c>
      <c r="W12347" s="16" t="str">
        <f>IFERROR(__xludf.DUMMYFUNCTION("""COMPUTED_VALUE"""),"")</f>
        <v/>
      </c>
      <c r="X12347" s="16" t="str">
        <f>IFERROR(__xludf.DUMMYFUNCTION("""COMPUTED_VALUE"""),"")</f>
        <v/>
      </c>
      <c r="AC12347" s="16" t="str">
        <f>IFERROR(__xludf.DUMMYFUNCTION("""COMPUTED_VALUE"""),"")</f>
        <v/>
      </c>
    </row>
    <row r="12348">
      <c r="A12348" s="16" t="s">
        <v>87</v>
      </c>
      <c r="E12348" s="16" t="str">
        <f>IFERROR(__xludf.DUMMYFUNCTION("""COMPUTED_VALUE"""),"")</f>
        <v/>
      </c>
      <c r="G12348" s="18"/>
      <c r="H12348" s="16" t="s">
        <v>87</v>
      </c>
      <c r="I12348" s="16" t="s">
        <v>87</v>
      </c>
      <c r="J12348" s="19"/>
      <c r="L12348" s="16" t="str">
        <f>IFERROR(__xludf.DUMMYFUNCTION("""COMPUTED_VALUE"""),"")</f>
        <v/>
      </c>
      <c r="M12348" s="16" t="str">
        <f>IFERROR(__xludf.DUMMYFUNCTION("""COMPUTED_VALUE"""),"")</f>
        <v/>
      </c>
      <c r="U12348" s="16" t="s">
        <v>87</v>
      </c>
      <c r="V12348" s="16" t="str">
        <f>IFERROR(__xludf.DUMMYFUNCTION("""COMPUTED_VALUE"""),"")</f>
        <v/>
      </c>
      <c r="W12348" s="16" t="str">
        <f>IFERROR(__xludf.DUMMYFUNCTION("""COMPUTED_VALUE"""),"")</f>
        <v/>
      </c>
      <c r="X12348" s="16" t="str">
        <f>IFERROR(__xludf.DUMMYFUNCTION("""COMPUTED_VALUE"""),"")</f>
        <v/>
      </c>
      <c r="AC12348" s="16" t="str">
        <f>IFERROR(__xludf.DUMMYFUNCTION("""COMPUTED_VALUE"""),"")</f>
        <v/>
      </c>
    </row>
    <row r="12349">
      <c r="A12349" s="16" t="s">
        <v>87</v>
      </c>
      <c r="E12349" s="16" t="str">
        <f>IFERROR(__xludf.DUMMYFUNCTION("""COMPUTED_VALUE"""),"")</f>
        <v/>
      </c>
      <c r="G12349" s="18"/>
      <c r="H12349" s="16" t="s">
        <v>87</v>
      </c>
      <c r="I12349" s="16" t="s">
        <v>87</v>
      </c>
      <c r="J12349" s="19"/>
      <c r="L12349" s="16" t="str">
        <f>IFERROR(__xludf.DUMMYFUNCTION("""COMPUTED_VALUE"""),"")</f>
        <v/>
      </c>
      <c r="M12349" s="16" t="str">
        <f>IFERROR(__xludf.DUMMYFUNCTION("""COMPUTED_VALUE"""),"")</f>
        <v/>
      </c>
      <c r="U12349" s="16" t="s">
        <v>87</v>
      </c>
      <c r="V12349" s="16" t="str">
        <f>IFERROR(__xludf.DUMMYFUNCTION("""COMPUTED_VALUE"""),"")</f>
        <v/>
      </c>
      <c r="W12349" s="16" t="str">
        <f>IFERROR(__xludf.DUMMYFUNCTION("""COMPUTED_VALUE"""),"")</f>
        <v/>
      </c>
      <c r="X12349" s="16" t="str">
        <f>IFERROR(__xludf.DUMMYFUNCTION("""COMPUTED_VALUE"""),"")</f>
        <v/>
      </c>
      <c r="AC12349" s="16" t="str">
        <f>IFERROR(__xludf.DUMMYFUNCTION("""COMPUTED_VALUE"""),"")</f>
        <v/>
      </c>
    </row>
    <row r="12350">
      <c r="A12350" s="16" t="s">
        <v>87</v>
      </c>
      <c r="E12350" s="16" t="str">
        <f>IFERROR(__xludf.DUMMYFUNCTION("""COMPUTED_VALUE"""),"")</f>
        <v/>
      </c>
      <c r="G12350" s="18"/>
      <c r="H12350" s="16" t="s">
        <v>87</v>
      </c>
      <c r="I12350" s="16" t="s">
        <v>87</v>
      </c>
      <c r="J12350" s="19"/>
      <c r="L12350" s="16" t="str">
        <f>IFERROR(__xludf.DUMMYFUNCTION("""COMPUTED_VALUE"""),"")</f>
        <v/>
      </c>
      <c r="M12350" s="16" t="str">
        <f>IFERROR(__xludf.DUMMYFUNCTION("""COMPUTED_VALUE"""),"")</f>
        <v/>
      </c>
      <c r="U12350" s="16" t="s">
        <v>87</v>
      </c>
      <c r="V12350" s="16" t="str">
        <f>IFERROR(__xludf.DUMMYFUNCTION("""COMPUTED_VALUE"""),"")</f>
        <v/>
      </c>
      <c r="W12350" s="16" t="str">
        <f>IFERROR(__xludf.DUMMYFUNCTION("""COMPUTED_VALUE"""),"")</f>
        <v/>
      </c>
      <c r="X12350" s="16" t="str">
        <f>IFERROR(__xludf.DUMMYFUNCTION("""COMPUTED_VALUE"""),"")</f>
        <v/>
      </c>
      <c r="AC12350" s="16" t="str">
        <f>IFERROR(__xludf.DUMMYFUNCTION("""COMPUTED_VALUE"""),"")</f>
        <v/>
      </c>
    </row>
    <row r="12351">
      <c r="A12351" s="16" t="s">
        <v>87</v>
      </c>
      <c r="E12351" s="16" t="str">
        <f>IFERROR(__xludf.DUMMYFUNCTION("""COMPUTED_VALUE"""),"")</f>
        <v/>
      </c>
      <c r="G12351" s="18"/>
      <c r="H12351" s="16" t="s">
        <v>87</v>
      </c>
      <c r="I12351" s="16" t="s">
        <v>87</v>
      </c>
      <c r="J12351" s="19"/>
      <c r="L12351" s="16" t="str">
        <f>IFERROR(__xludf.DUMMYFUNCTION("""COMPUTED_VALUE"""),"")</f>
        <v/>
      </c>
      <c r="M12351" s="16" t="str">
        <f>IFERROR(__xludf.DUMMYFUNCTION("""COMPUTED_VALUE"""),"")</f>
        <v/>
      </c>
      <c r="U12351" s="16" t="s">
        <v>87</v>
      </c>
      <c r="V12351" s="16" t="str">
        <f>IFERROR(__xludf.DUMMYFUNCTION("""COMPUTED_VALUE"""),"")</f>
        <v/>
      </c>
      <c r="W12351" s="16" t="str">
        <f>IFERROR(__xludf.DUMMYFUNCTION("""COMPUTED_VALUE"""),"")</f>
        <v/>
      </c>
      <c r="X12351" s="16" t="str">
        <f>IFERROR(__xludf.DUMMYFUNCTION("""COMPUTED_VALUE"""),"")</f>
        <v/>
      </c>
      <c r="AC12351" s="16" t="str">
        <f>IFERROR(__xludf.DUMMYFUNCTION("""COMPUTED_VALUE"""),"")</f>
        <v/>
      </c>
    </row>
    <row r="12352">
      <c r="A12352" s="16" t="s">
        <v>87</v>
      </c>
      <c r="E12352" s="16" t="str">
        <f>IFERROR(__xludf.DUMMYFUNCTION("""COMPUTED_VALUE"""),"")</f>
        <v/>
      </c>
      <c r="G12352" s="18"/>
      <c r="H12352" s="16" t="s">
        <v>87</v>
      </c>
      <c r="I12352" s="16" t="s">
        <v>87</v>
      </c>
      <c r="J12352" s="19"/>
      <c r="L12352" s="16" t="str">
        <f>IFERROR(__xludf.DUMMYFUNCTION("""COMPUTED_VALUE"""),"")</f>
        <v/>
      </c>
      <c r="M12352" s="16" t="str">
        <f>IFERROR(__xludf.DUMMYFUNCTION("""COMPUTED_VALUE"""),"")</f>
        <v/>
      </c>
      <c r="U12352" s="16" t="s">
        <v>87</v>
      </c>
      <c r="V12352" s="16" t="str">
        <f>IFERROR(__xludf.DUMMYFUNCTION("""COMPUTED_VALUE"""),"")</f>
        <v/>
      </c>
      <c r="W12352" s="16" t="str">
        <f>IFERROR(__xludf.DUMMYFUNCTION("""COMPUTED_VALUE"""),"")</f>
        <v/>
      </c>
      <c r="X12352" s="16" t="str">
        <f>IFERROR(__xludf.DUMMYFUNCTION("""COMPUTED_VALUE"""),"")</f>
        <v/>
      </c>
      <c r="AC12352" s="16" t="str">
        <f>IFERROR(__xludf.DUMMYFUNCTION("""COMPUTED_VALUE"""),"")</f>
        <v/>
      </c>
    </row>
    <row r="12353">
      <c r="A12353" s="16" t="s">
        <v>87</v>
      </c>
      <c r="E12353" s="16" t="str">
        <f>IFERROR(__xludf.DUMMYFUNCTION("""COMPUTED_VALUE"""),"")</f>
        <v/>
      </c>
      <c r="G12353" s="18"/>
      <c r="H12353" s="16" t="s">
        <v>87</v>
      </c>
      <c r="I12353" s="16" t="s">
        <v>87</v>
      </c>
      <c r="J12353" s="19"/>
      <c r="L12353" s="16" t="str">
        <f>IFERROR(__xludf.DUMMYFUNCTION("""COMPUTED_VALUE"""),"")</f>
        <v/>
      </c>
      <c r="M12353" s="16" t="str">
        <f>IFERROR(__xludf.DUMMYFUNCTION("""COMPUTED_VALUE"""),"")</f>
        <v/>
      </c>
      <c r="U12353" s="16" t="s">
        <v>87</v>
      </c>
      <c r="V12353" s="16" t="str">
        <f>IFERROR(__xludf.DUMMYFUNCTION("""COMPUTED_VALUE"""),"")</f>
        <v/>
      </c>
      <c r="W12353" s="16" t="str">
        <f>IFERROR(__xludf.DUMMYFUNCTION("""COMPUTED_VALUE"""),"")</f>
        <v/>
      </c>
      <c r="X12353" s="16" t="str">
        <f>IFERROR(__xludf.DUMMYFUNCTION("""COMPUTED_VALUE"""),"")</f>
        <v/>
      </c>
      <c r="AC12353" s="16" t="str">
        <f>IFERROR(__xludf.DUMMYFUNCTION("""COMPUTED_VALUE"""),"")</f>
        <v/>
      </c>
    </row>
    <row r="12354">
      <c r="A12354" s="16" t="s">
        <v>87</v>
      </c>
      <c r="E12354" s="16" t="str">
        <f>IFERROR(__xludf.DUMMYFUNCTION("""COMPUTED_VALUE"""),"")</f>
        <v/>
      </c>
      <c r="G12354" s="18"/>
      <c r="H12354" s="16" t="s">
        <v>87</v>
      </c>
      <c r="I12354" s="16" t="s">
        <v>87</v>
      </c>
      <c r="J12354" s="19"/>
      <c r="L12354" s="16" t="str">
        <f>IFERROR(__xludf.DUMMYFUNCTION("""COMPUTED_VALUE"""),"")</f>
        <v/>
      </c>
      <c r="M12354" s="16" t="str">
        <f>IFERROR(__xludf.DUMMYFUNCTION("""COMPUTED_VALUE"""),"")</f>
        <v/>
      </c>
      <c r="U12354" s="16" t="s">
        <v>87</v>
      </c>
      <c r="V12354" s="16" t="str">
        <f>IFERROR(__xludf.DUMMYFUNCTION("""COMPUTED_VALUE"""),"")</f>
        <v/>
      </c>
      <c r="W12354" s="16" t="str">
        <f>IFERROR(__xludf.DUMMYFUNCTION("""COMPUTED_VALUE"""),"")</f>
        <v/>
      </c>
      <c r="X12354" s="16" t="str">
        <f>IFERROR(__xludf.DUMMYFUNCTION("""COMPUTED_VALUE"""),"")</f>
        <v/>
      </c>
      <c r="AC12354" s="16" t="str">
        <f>IFERROR(__xludf.DUMMYFUNCTION("""COMPUTED_VALUE"""),"")</f>
        <v/>
      </c>
    </row>
    <row r="12355">
      <c r="A12355" s="16" t="s">
        <v>87</v>
      </c>
      <c r="E12355" s="16" t="str">
        <f>IFERROR(__xludf.DUMMYFUNCTION("""COMPUTED_VALUE"""),"")</f>
        <v/>
      </c>
      <c r="G12355" s="18"/>
      <c r="H12355" s="16" t="s">
        <v>87</v>
      </c>
      <c r="I12355" s="16" t="s">
        <v>87</v>
      </c>
      <c r="J12355" s="19"/>
      <c r="L12355" s="16" t="str">
        <f>IFERROR(__xludf.DUMMYFUNCTION("""COMPUTED_VALUE"""),"")</f>
        <v/>
      </c>
      <c r="M12355" s="16" t="str">
        <f>IFERROR(__xludf.DUMMYFUNCTION("""COMPUTED_VALUE"""),"")</f>
        <v/>
      </c>
      <c r="U12355" s="16" t="s">
        <v>87</v>
      </c>
      <c r="V12355" s="16" t="str">
        <f>IFERROR(__xludf.DUMMYFUNCTION("""COMPUTED_VALUE"""),"")</f>
        <v/>
      </c>
      <c r="W12355" s="16" t="str">
        <f>IFERROR(__xludf.DUMMYFUNCTION("""COMPUTED_VALUE"""),"")</f>
        <v/>
      </c>
      <c r="X12355" s="16" t="str">
        <f>IFERROR(__xludf.DUMMYFUNCTION("""COMPUTED_VALUE"""),"")</f>
        <v/>
      </c>
      <c r="AC12355" s="16" t="str">
        <f>IFERROR(__xludf.DUMMYFUNCTION("""COMPUTED_VALUE"""),"")</f>
        <v/>
      </c>
    </row>
    <row r="12356">
      <c r="A12356" s="16" t="s">
        <v>87</v>
      </c>
      <c r="E12356" s="16" t="str">
        <f>IFERROR(__xludf.DUMMYFUNCTION("""COMPUTED_VALUE"""),"")</f>
        <v/>
      </c>
      <c r="G12356" s="18"/>
      <c r="H12356" s="16" t="s">
        <v>87</v>
      </c>
      <c r="I12356" s="16" t="s">
        <v>87</v>
      </c>
      <c r="J12356" s="19"/>
      <c r="L12356" s="16" t="str">
        <f>IFERROR(__xludf.DUMMYFUNCTION("""COMPUTED_VALUE"""),"")</f>
        <v/>
      </c>
      <c r="M12356" s="16" t="str">
        <f>IFERROR(__xludf.DUMMYFUNCTION("""COMPUTED_VALUE"""),"")</f>
        <v/>
      </c>
      <c r="U12356" s="16" t="s">
        <v>87</v>
      </c>
      <c r="V12356" s="16" t="str">
        <f>IFERROR(__xludf.DUMMYFUNCTION("""COMPUTED_VALUE"""),"")</f>
        <v/>
      </c>
      <c r="W12356" s="16" t="str">
        <f>IFERROR(__xludf.DUMMYFUNCTION("""COMPUTED_VALUE"""),"")</f>
        <v/>
      </c>
      <c r="X12356" s="16" t="str">
        <f>IFERROR(__xludf.DUMMYFUNCTION("""COMPUTED_VALUE"""),"")</f>
        <v/>
      </c>
      <c r="AC12356" s="16" t="str">
        <f>IFERROR(__xludf.DUMMYFUNCTION("""COMPUTED_VALUE"""),"")</f>
        <v/>
      </c>
    </row>
    <row r="12357">
      <c r="A12357" s="16" t="s">
        <v>87</v>
      </c>
      <c r="E12357" s="16" t="str">
        <f>IFERROR(__xludf.DUMMYFUNCTION("""COMPUTED_VALUE"""),"")</f>
        <v/>
      </c>
      <c r="G12357" s="18"/>
      <c r="H12357" s="16" t="s">
        <v>87</v>
      </c>
      <c r="I12357" s="16" t="s">
        <v>87</v>
      </c>
      <c r="J12357" s="19"/>
      <c r="L12357" s="16" t="str">
        <f>IFERROR(__xludf.DUMMYFUNCTION("""COMPUTED_VALUE"""),"")</f>
        <v/>
      </c>
      <c r="M12357" s="16" t="str">
        <f>IFERROR(__xludf.DUMMYFUNCTION("""COMPUTED_VALUE"""),"")</f>
        <v/>
      </c>
      <c r="U12357" s="16" t="s">
        <v>87</v>
      </c>
      <c r="V12357" s="16" t="str">
        <f>IFERROR(__xludf.DUMMYFUNCTION("""COMPUTED_VALUE"""),"")</f>
        <v/>
      </c>
      <c r="W12357" s="16" t="str">
        <f>IFERROR(__xludf.DUMMYFUNCTION("""COMPUTED_VALUE"""),"")</f>
        <v/>
      </c>
      <c r="X12357" s="16" t="str">
        <f>IFERROR(__xludf.DUMMYFUNCTION("""COMPUTED_VALUE"""),"")</f>
        <v/>
      </c>
      <c r="AC12357" s="16" t="str">
        <f>IFERROR(__xludf.DUMMYFUNCTION("""COMPUTED_VALUE"""),"")</f>
        <v/>
      </c>
    </row>
    <row r="12358">
      <c r="A12358" s="16" t="s">
        <v>87</v>
      </c>
      <c r="E12358" s="16" t="str">
        <f>IFERROR(__xludf.DUMMYFUNCTION("""COMPUTED_VALUE"""),"")</f>
        <v/>
      </c>
      <c r="G12358" s="18"/>
      <c r="H12358" s="16" t="s">
        <v>87</v>
      </c>
      <c r="I12358" s="16" t="s">
        <v>87</v>
      </c>
      <c r="J12358" s="19"/>
      <c r="L12358" s="16" t="str">
        <f>IFERROR(__xludf.DUMMYFUNCTION("""COMPUTED_VALUE"""),"")</f>
        <v/>
      </c>
      <c r="M12358" s="16" t="str">
        <f>IFERROR(__xludf.DUMMYFUNCTION("""COMPUTED_VALUE"""),"")</f>
        <v/>
      </c>
      <c r="U12358" s="16" t="s">
        <v>87</v>
      </c>
      <c r="V12358" s="16" t="str">
        <f>IFERROR(__xludf.DUMMYFUNCTION("""COMPUTED_VALUE"""),"")</f>
        <v/>
      </c>
      <c r="W12358" s="16" t="str">
        <f>IFERROR(__xludf.DUMMYFUNCTION("""COMPUTED_VALUE"""),"")</f>
        <v/>
      </c>
      <c r="X12358" s="16" t="str">
        <f>IFERROR(__xludf.DUMMYFUNCTION("""COMPUTED_VALUE"""),"")</f>
        <v/>
      </c>
      <c r="AC12358" s="16" t="str">
        <f>IFERROR(__xludf.DUMMYFUNCTION("""COMPUTED_VALUE"""),"")</f>
        <v/>
      </c>
    </row>
    <row r="12359">
      <c r="A12359" s="16" t="s">
        <v>87</v>
      </c>
      <c r="E12359" s="16" t="str">
        <f>IFERROR(__xludf.DUMMYFUNCTION("""COMPUTED_VALUE"""),"")</f>
        <v/>
      </c>
      <c r="G12359" s="18"/>
      <c r="H12359" s="16" t="s">
        <v>87</v>
      </c>
      <c r="I12359" s="16" t="s">
        <v>87</v>
      </c>
      <c r="J12359" s="19"/>
      <c r="L12359" s="16" t="str">
        <f>IFERROR(__xludf.DUMMYFUNCTION("""COMPUTED_VALUE"""),"")</f>
        <v/>
      </c>
      <c r="M12359" s="16" t="str">
        <f>IFERROR(__xludf.DUMMYFUNCTION("""COMPUTED_VALUE"""),"")</f>
        <v/>
      </c>
      <c r="U12359" s="16" t="s">
        <v>87</v>
      </c>
      <c r="V12359" s="16" t="str">
        <f>IFERROR(__xludf.DUMMYFUNCTION("""COMPUTED_VALUE"""),"")</f>
        <v/>
      </c>
      <c r="W12359" s="16" t="str">
        <f>IFERROR(__xludf.DUMMYFUNCTION("""COMPUTED_VALUE"""),"")</f>
        <v/>
      </c>
      <c r="X12359" s="16" t="str">
        <f>IFERROR(__xludf.DUMMYFUNCTION("""COMPUTED_VALUE"""),"")</f>
        <v/>
      </c>
      <c r="AC12359" s="16" t="str">
        <f>IFERROR(__xludf.DUMMYFUNCTION("""COMPUTED_VALUE"""),"")</f>
        <v/>
      </c>
    </row>
    <row r="12360">
      <c r="A12360" s="16" t="s">
        <v>87</v>
      </c>
      <c r="E12360" s="16" t="str">
        <f>IFERROR(__xludf.DUMMYFUNCTION("""COMPUTED_VALUE"""),"")</f>
        <v/>
      </c>
      <c r="G12360" s="18"/>
      <c r="H12360" s="16" t="s">
        <v>87</v>
      </c>
      <c r="I12360" s="16" t="s">
        <v>87</v>
      </c>
      <c r="J12360" s="19"/>
      <c r="L12360" s="16" t="str">
        <f>IFERROR(__xludf.DUMMYFUNCTION("""COMPUTED_VALUE"""),"")</f>
        <v/>
      </c>
      <c r="M12360" s="16" t="str">
        <f>IFERROR(__xludf.DUMMYFUNCTION("""COMPUTED_VALUE"""),"")</f>
        <v/>
      </c>
      <c r="U12360" s="16" t="s">
        <v>87</v>
      </c>
      <c r="V12360" s="16" t="str">
        <f>IFERROR(__xludf.DUMMYFUNCTION("""COMPUTED_VALUE"""),"")</f>
        <v/>
      </c>
      <c r="W12360" s="16" t="str">
        <f>IFERROR(__xludf.DUMMYFUNCTION("""COMPUTED_VALUE"""),"")</f>
        <v/>
      </c>
      <c r="X12360" s="16" t="str">
        <f>IFERROR(__xludf.DUMMYFUNCTION("""COMPUTED_VALUE"""),"")</f>
        <v/>
      </c>
      <c r="AC12360" s="16" t="str">
        <f>IFERROR(__xludf.DUMMYFUNCTION("""COMPUTED_VALUE"""),"")</f>
        <v/>
      </c>
    </row>
    <row r="12361">
      <c r="A12361" s="16" t="s">
        <v>87</v>
      </c>
      <c r="E12361" s="16" t="str">
        <f>IFERROR(__xludf.DUMMYFUNCTION("""COMPUTED_VALUE"""),"")</f>
        <v/>
      </c>
      <c r="G12361" s="18"/>
      <c r="H12361" s="16" t="s">
        <v>87</v>
      </c>
      <c r="I12361" s="16" t="s">
        <v>87</v>
      </c>
      <c r="J12361" s="19"/>
      <c r="L12361" s="16" t="str">
        <f>IFERROR(__xludf.DUMMYFUNCTION("""COMPUTED_VALUE"""),"")</f>
        <v/>
      </c>
      <c r="M12361" s="16" t="str">
        <f>IFERROR(__xludf.DUMMYFUNCTION("""COMPUTED_VALUE"""),"")</f>
        <v/>
      </c>
      <c r="U12361" s="16" t="s">
        <v>87</v>
      </c>
      <c r="V12361" s="16" t="str">
        <f>IFERROR(__xludf.DUMMYFUNCTION("""COMPUTED_VALUE"""),"")</f>
        <v/>
      </c>
      <c r="W12361" s="16" t="str">
        <f>IFERROR(__xludf.DUMMYFUNCTION("""COMPUTED_VALUE"""),"")</f>
        <v/>
      </c>
      <c r="X12361" s="16" t="str">
        <f>IFERROR(__xludf.DUMMYFUNCTION("""COMPUTED_VALUE"""),"")</f>
        <v/>
      </c>
      <c r="AC12361" s="16" t="str">
        <f>IFERROR(__xludf.DUMMYFUNCTION("""COMPUTED_VALUE"""),"")</f>
        <v/>
      </c>
    </row>
    <row r="12362">
      <c r="A12362" s="16" t="s">
        <v>87</v>
      </c>
      <c r="E12362" s="16" t="str">
        <f>IFERROR(__xludf.DUMMYFUNCTION("""COMPUTED_VALUE"""),"")</f>
        <v/>
      </c>
      <c r="G12362" s="18"/>
      <c r="H12362" s="16" t="s">
        <v>87</v>
      </c>
      <c r="I12362" s="16" t="s">
        <v>87</v>
      </c>
      <c r="J12362" s="19"/>
      <c r="L12362" s="16" t="str">
        <f>IFERROR(__xludf.DUMMYFUNCTION("""COMPUTED_VALUE"""),"")</f>
        <v/>
      </c>
      <c r="M12362" s="16" t="str">
        <f>IFERROR(__xludf.DUMMYFUNCTION("""COMPUTED_VALUE"""),"")</f>
        <v/>
      </c>
      <c r="U12362" s="16" t="s">
        <v>87</v>
      </c>
      <c r="V12362" s="16" t="str">
        <f>IFERROR(__xludf.DUMMYFUNCTION("""COMPUTED_VALUE"""),"")</f>
        <v/>
      </c>
      <c r="W12362" s="16" t="str">
        <f>IFERROR(__xludf.DUMMYFUNCTION("""COMPUTED_VALUE"""),"")</f>
        <v/>
      </c>
      <c r="X12362" s="16" t="str">
        <f>IFERROR(__xludf.DUMMYFUNCTION("""COMPUTED_VALUE"""),"")</f>
        <v/>
      </c>
      <c r="AC12362" s="16" t="str">
        <f>IFERROR(__xludf.DUMMYFUNCTION("""COMPUTED_VALUE"""),"")</f>
        <v/>
      </c>
    </row>
    <row r="12363">
      <c r="A12363" s="16" t="s">
        <v>87</v>
      </c>
      <c r="E12363" s="16" t="str">
        <f>IFERROR(__xludf.DUMMYFUNCTION("""COMPUTED_VALUE"""),"")</f>
        <v/>
      </c>
      <c r="G12363" s="18"/>
      <c r="H12363" s="16" t="s">
        <v>87</v>
      </c>
      <c r="I12363" s="16" t="s">
        <v>87</v>
      </c>
      <c r="J12363" s="19"/>
      <c r="L12363" s="16" t="str">
        <f>IFERROR(__xludf.DUMMYFUNCTION("""COMPUTED_VALUE"""),"")</f>
        <v/>
      </c>
      <c r="M12363" s="16" t="str">
        <f>IFERROR(__xludf.DUMMYFUNCTION("""COMPUTED_VALUE"""),"")</f>
        <v/>
      </c>
      <c r="U12363" s="16" t="s">
        <v>87</v>
      </c>
      <c r="V12363" s="16" t="str">
        <f>IFERROR(__xludf.DUMMYFUNCTION("""COMPUTED_VALUE"""),"")</f>
        <v/>
      </c>
      <c r="W12363" s="16" t="str">
        <f>IFERROR(__xludf.DUMMYFUNCTION("""COMPUTED_VALUE"""),"")</f>
        <v/>
      </c>
      <c r="X12363" s="16" t="str">
        <f>IFERROR(__xludf.DUMMYFUNCTION("""COMPUTED_VALUE"""),"")</f>
        <v/>
      </c>
      <c r="AC12363" s="16" t="str">
        <f>IFERROR(__xludf.DUMMYFUNCTION("""COMPUTED_VALUE"""),"")</f>
        <v/>
      </c>
    </row>
    <row r="12364">
      <c r="A12364" s="16" t="s">
        <v>87</v>
      </c>
      <c r="E12364" s="16" t="str">
        <f>IFERROR(__xludf.DUMMYFUNCTION("""COMPUTED_VALUE"""),"")</f>
        <v/>
      </c>
      <c r="G12364" s="18"/>
      <c r="H12364" s="16" t="s">
        <v>87</v>
      </c>
      <c r="I12364" s="16" t="s">
        <v>87</v>
      </c>
      <c r="J12364" s="19"/>
      <c r="L12364" s="16" t="str">
        <f>IFERROR(__xludf.DUMMYFUNCTION("""COMPUTED_VALUE"""),"")</f>
        <v/>
      </c>
      <c r="M12364" s="16" t="str">
        <f>IFERROR(__xludf.DUMMYFUNCTION("""COMPUTED_VALUE"""),"")</f>
        <v/>
      </c>
      <c r="U12364" s="16" t="s">
        <v>87</v>
      </c>
      <c r="V12364" s="16" t="str">
        <f>IFERROR(__xludf.DUMMYFUNCTION("""COMPUTED_VALUE"""),"")</f>
        <v/>
      </c>
      <c r="W12364" s="16" t="str">
        <f>IFERROR(__xludf.DUMMYFUNCTION("""COMPUTED_VALUE"""),"")</f>
        <v/>
      </c>
      <c r="X12364" s="16" t="str">
        <f>IFERROR(__xludf.DUMMYFUNCTION("""COMPUTED_VALUE"""),"")</f>
        <v/>
      </c>
      <c r="AC12364" s="16" t="str">
        <f>IFERROR(__xludf.DUMMYFUNCTION("""COMPUTED_VALUE"""),"")</f>
        <v/>
      </c>
    </row>
    <row r="12365">
      <c r="A12365" s="16" t="s">
        <v>87</v>
      </c>
      <c r="E12365" s="16" t="str">
        <f>IFERROR(__xludf.DUMMYFUNCTION("""COMPUTED_VALUE"""),"")</f>
        <v/>
      </c>
      <c r="G12365" s="18"/>
      <c r="H12365" s="16" t="s">
        <v>87</v>
      </c>
      <c r="I12365" s="16" t="s">
        <v>87</v>
      </c>
      <c r="J12365" s="19"/>
      <c r="L12365" s="16" t="str">
        <f>IFERROR(__xludf.DUMMYFUNCTION("""COMPUTED_VALUE"""),"")</f>
        <v/>
      </c>
      <c r="M12365" s="16" t="str">
        <f>IFERROR(__xludf.DUMMYFUNCTION("""COMPUTED_VALUE"""),"")</f>
        <v/>
      </c>
      <c r="U12365" s="16" t="s">
        <v>87</v>
      </c>
      <c r="V12365" s="16" t="str">
        <f>IFERROR(__xludf.DUMMYFUNCTION("""COMPUTED_VALUE"""),"")</f>
        <v/>
      </c>
      <c r="W12365" s="16" t="str">
        <f>IFERROR(__xludf.DUMMYFUNCTION("""COMPUTED_VALUE"""),"")</f>
        <v/>
      </c>
      <c r="X12365" s="16" t="str">
        <f>IFERROR(__xludf.DUMMYFUNCTION("""COMPUTED_VALUE"""),"")</f>
        <v/>
      </c>
      <c r="AC12365" s="16" t="str">
        <f>IFERROR(__xludf.DUMMYFUNCTION("""COMPUTED_VALUE"""),"")</f>
        <v/>
      </c>
    </row>
    <row r="12366">
      <c r="A12366" s="16" t="s">
        <v>87</v>
      </c>
      <c r="E12366" s="16" t="str">
        <f>IFERROR(__xludf.DUMMYFUNCTION("""COMPUTED_VALUE"""),"")</f>
        <v/>
      </c>
      <c r="G12366" s="18"/>
      <c r="H12366" s="16" t="s">
        <v>87</v>
      </c>
      <c r="I12366" s="16" t="s">
        <v>87</v>
      </c>
      <c r="J12366" s="19"/>
      <c r="L12366" s="16" t="str">
        <f>IFERROR(__xludf.DUMMYFUNCTION("""COMPUTED_VALUE"""),"")</f>
        <v/>
      </c>
      <c r="M12366" s="16" t="str">
        <f>IFERROR(__xludf.DUMMYFUNCTION("""COMPUTED_VALUE"""),"")</f>
        <v/>
      </c>
      <c r="U12366" s="16" t="s">
        <v>87</v>
      </c>
      <c r="V12366" s="16" t="str">
        <f>IFERROR(__xludf.DUMMYFUNCTION("""COMPUTED_VALUE"""),"")</f>
        <v/>
      </c>
      <c r="W12366" s="16" t="str">
        <f>IFERROR(__xludf.DUMMYFUNCTION("""COMPUTED_VALUE"""),"")</f>
        <v/>
      </c>
      <c r="X12366" s="16" t="str">
        <f>IFERROR(__xludf.DUMMYFUNCTION("""COMPUTED_VALUE"""),"")</f>
        <v/>
      </c>
      <c r="AC12366" s="16" t="str">
        <f>IFERROR(__xludf.DUMMYFUNCTION("""COMPUTED_VALUE"""),"")</f>
        <v/>
      </c>
    </row>
    <row r="12367">
      <c r="A12367" s="16" t="s">
        <v>87</v>
      </c>
      <c r="E12367" s="16" t="str">
        <f>IFERROR(__xludf.DUMMYFUNCTION("""COMPUTED_VALUE"""),"")</f>
        <v/>
      </c>
      <c r="G12367" s="18"/>
      <c r="H12367" s="16" t="s">
        <v>87</v>
      </c>
      <c r="I12367" s="16" t="s">
        <v>87</v>
      </c>
      <c r="J12367" s="19"/>
      <c r="L12367" s="16" t="str">
        <f>IFERROR(__xludf.DUMMYFUNCTION("""COMPUTED_VALUE"""),"")</f>
        <v/>
      </c>
      <c r="M12367" s="16" t="str">
        <f>IFERROR(__xludf.DUMMYFUNCTION("""COMPUTED_VALUE"""),"")</f>
        <v/>
      </c>
      <c r="U12367" s="16" t="s">
        <v>87</v>
      </c>
      <c r="V12367" s="16" t="str">
        <f>IFERROR(__xludf.DUMMYFUNCTION("""COMPUTED_VALUE"""),"")</f>
        <v/>
      </c>
      <c r="W12367" s="16" t="str">
        <f>IFERROR(__xludf.DUMMYFUNCTION("""COMPUTED_VALUE"""),"")</f>
        <v/>
      </c>
      <c r="X12367" s="16" t="str">
        <f>IFERROR(__xludf.DUMMYFUNCTION("""COMPUTED_VALUE"""),"")</f>
        <v/>
      </c>
      <c r="AC12367" s="16" t="str">
        <f>IFERROR(__xludf.DUMMYFUNCTION("""COMPUTED_VALUE"""),"")</f>
        <v/>
      </c>
    </row>
    <row r="12368">
      <c r="A12368" s="16" t="s">
        <v>87</v>
      </c>
      <c r="E12368" s="16" t="str">
        <f>IFERROR(__xludf.DUMMYFUNCTION("""COMPUTED_VALUE"""),"")</f>
        <v/>
      </c>
      <c r="G12368" s="18"/>
      <c r="H12368" s="16" t="s">
        <v>87</v>
      </c>
      <c r="I12368" s="16" t="s">
        <v>87</v>
      </c>
      <c r="J12368" s="19"/>
      <c r="L12368" s="16" t="str">
        <f>IFERROR(__xludf.DUMMYFUNCTION("""COMPUTED_VALUE"""),"")</f>
        <v/>
      </c>
      <c r="M12368" s="16" t="str">
        <f>IFERROR(__xludf.DUMMYFUNCTION("""COMPUTED_VALUE"""),"")</f>
        <v/>
      </c>
      <c r="U12368" s="16" t="s">
        <v>87</v>
      </c>
      <c r="V12368" s="16" t="str">
        <f>IFERROR(__xludf.DUMMYFUNCTION("""COMPUTED_VALUE"""),"")</f>
        <v/>
      </c>
      <c r="W12368" s="16" t="str">
        <f>IFERROR(__xludf.DUMMYFUNCTION("""COMPUTED_VALUE"""),"")</f>
        <v/>
      </c>
      <c r="X12368" s="16" t="str">
        <f>IFERROR(__xludf.DUMMYFUNCTION("""COMPUTED_VALUE"""),"")</f>
        <v/>
      </c>
      <c r="AC12368" s="16" t="str">
        <f>IFERROR(__xludf.DUMMYFUNCTION("""COMPUTED_VALUE"""),"")</f>
        <v/>
      </c>
    </row>
    <row r="12369">
      <c r="A12369" s="16" t="s">
        <v>87</v>
      </c>
      <c r="E12369" s="16" t="str">
        <f>IFERROR(__xludf.DUMMYFUNCTION("""COMPUTED_VALUE"""),"")</f>
        <v/>
      </c>
      <c r="G12369" s="18"/>
      <c r="H12369" s="16" t="s">
        <v>87</v>
      </c>
      <c r="I12369" s="16" t="s">
        <v>87</v>
      </c>
      <c r="J12369" s="19"/>
      <c r="L12369" s="16" t="str">
        <f>IFERROR(__xludf.DUMMYFUNCTION("""COMPUTED_VALUE"""),"")</f>
        <v/>
      </c>
      <c r="M12369" s="16" t="str">
        <f>IFERROR(__xludf.DUMMYFUNCTION("""COMPUTED_VALUE"""),"")</f>
        <v/>
      </c>
      <c r="U12369" s="16" t="s">
        <v>87</v>
      </c>
      <c r="V12369" s="16" t="str">
        <f>IFERROR(__xludf.DUMMYFUNCTION("""COMPUTED_VALUE"""),"")</f>
        <v/>
      </c>
      <c r="W12369" s="16" t="str">
        <f>IFERROR(__xludf.DUMMYFUNCTION("""COMPUTED_VALUE"""),"")</f>
        <v/>
      </c>
      <c r="X12369" s="16" t="str">
        <f>IFERROR(__xludf.DUMMYFUNCTION("""COMPUTED_VALUE"""),"")</f>
        <v/>
      </c>
      <c r="AC12369" s="16" t="str">
        <f>IFERROR(__xludf.DUMMYFUNCTION("""COMPUTED_VALUE"""),"")</f>
        <v/>
      </c>
    </row>
    <row r="12370">
      <c r="A12370" s="16" t="s">
        <v>87</v>
      </c>
      <c r="E12370" s="16" t="str">
        <f>IFERROR(__xludf.DUMMYFUNCTION("""COMPUTED_VALUE"""),"")</f>
        <v/>
      </c>
      <c r="G12370" s="18"/>
      <c r="H12370" s="16" t="s">
        <v>87</v>
      </c>
      <c r="I12370" s="16" t="s">
        <v>87</v>
      </c>
      <c r="J12370" s="19"/>
      <c r="L12370" s="16" t="str">
        <f>IFERROR(__xludf.DUMMYFUNCTION("""COMPUTED_VALUE"""),"")</f>
        <v/>
      </c>
      <c r="M12370" s="16" t="str">
        <f>IFERROR(__xludf.DUMMYFUNCTION("""COMPUTED_VALUE"""),"")</f>
        <v/>
      </c>
      <c r="U12370" s="16" t="s">
        <v>87</v>
      </c>
      <c r="V12370" s="16" t="str">
        <f>IFERROR(__xludf.DUMMYFUNCTION("""COMPUTED_VALUE"""),"")</f>
        <v/>
      </c>
      <c r="W12370" s="16" t="str">
        <f>IFERROR(__xludf.DUMMYFUNCTION("""COMPUTED_VALUE"""),"")</f>
        <v/>
      </c>
      <c r="X12370" s="16" t="str">
        <f>IFERROR(__xludf.DUMMYFUNCTION("""COMPUTED_VALUE"""),"")</f>
        <v/>
      </c>
      <c r="AC12370" s="16" t="str">
        <f>IFERROR(__xludf.DUMMYFUNCTION("""COMPUTED_VALUE"""),"")</f>
        <v/>
      </c>
    </row>
    <row r="12371">
      <c r="A12371" s="16" t="s">
        <v>87</v>
      </c>
      <c r="E12371" s="16" t="str">
        <f>IFERROR(__xludf.DUMMYFUNCTION("""COMPUTED_VALUE"""),"")</f>
        <v/>
      </c>
      <c r="G12371" s="18"/>
      <c r="H12371" s="16" t="s">
        <v>87</v>
      </c>
      <c r="I12371" s="16" t="s">
        <v>87</v>
      </c>
      <c r="J12371" s="19"/>
      <c r="L12371" s="16" t="str">
        <f>IFERROR(__xludf.DUMMYFUNCTION("""COMPUTED_VALUE"""),"")</f>
        <v/>
      </c>
      <c r="M12371" s="16" t="str">
        <f>IFERROR(__xludf.DUMMYFUNCTION("""COMPUTED_VALUE"""),"")</f>
        <v/>
      </c>
      <c r="U12371" s="16" t="s">
        <v>87</v>
      </c>
      <c r="V12371" s="16" t="str">
        <f>IFERROR(__xludf.DUMMYFUNCTION("""COMPUTED_VALUE"""),"")</f>
        <v/>
      </c>
      <c r="W12371" s="16" t="str">
        <f>IFERROR(__xludf.DUMMYFUNCTION("""COMPUTED_VALUE"""),"")</f>
        <v/>
      </c>
      <c r="X12371" s="16" t="str">
        <f>IFERROR(__xludf.DUMMYFUNCTION("""COMPUTED_VALUE"""),"")</f>
        <v/>
      </c>
      <c r="AC12371" s="16" t="str">
        <f>IFERROR(__xludf.DUMMYFUNCTION("""COMPUTED_VALUE"""),"")</f>
        <v/>
      </c>
    </row>
    <row r="12372">
      <c r="A12372" s="16" t="s">
        <v>87</v>
      </c>
      <c r="E12372" s="16" t="str">
        <f>IFERROR(__xludf.DUMMYFUNCTION("""COMPUTED_VALUE"""),"")</f>
        <v/>
      </c>
      <c r="G12372" s="18"/>
      <c r="H12372" s="16" t="s">
        <v>87</v>
      </c>
      <c r="I12372" s="16" t="s">
        <v>87</v>
      </c>
      <c r="J12372" s="19"/>
      <c r="L12372" s="16" t="str">
        <f>IFERROR(__xludf.DUMMYFUNCTION("""COMPUTED_VALUE"""),"")</f>
        <v/>
      </c>
      <c r="M12372" s="16" t="str">
        <f>IFERROR(__xludf.DUMMYFUNCTION("""COMPUTED_VALUE"""),"")</f>
        <v/>
      </c>
      <c r="U12372" s="16" t="s">
        <v>87</v>
      </c>
      <c r="V12372" s="16" t="str">
        <f>IFERROR(__xludf.DUMMYFUNCTION("""COMPUTED_VALUE"""),"")</f>
        <v/>
      </c>
      <c r="W12372" s="16" t="str">
        <f>IFERROR(__xludf.DUMMYFUNCTION("""COMPUTED_VALUE"""),"")</f>
        <v/>
      </c>
      <c r="X12372" s="16" t="str">
        <f>IFERROR(__xludf.DUMMYFUNCTION("""COMPUTED_VALUE"""),"")</f>
        <v/>
      </c>
      <c r="AC12372" s="16" t="str">
        <f>IFERROR(__xludf.DUMMYFUNCTION("""COMPUTED_VALUE"""),"")</f>
        <v/>
      </c>
    </row>
    <row r="12373">
      <c r="A12373" s="16" t="s">
        <v>87</v>
      </c>
      <c r="E12373" s="16" t="str">
        <f>IFERROR(__xludf.DUMMYFUNCTION("""COMPUTED_VALUE"""),"")</f>
        <v/>
      </c>
      <c r="G12373" s="18"/>
      <c r="H12373" s="16" t="s">
        <v>87</v>
      </c>
      <c r="I12373" s="16" t="s">
        <v>87</v>
      </c>
      <c r="J12373" s="19"/>
      <c r="L12373" s="16" t="str">
        <f>IFERROR(__xludf.DUMMYFUNCTION("""COMPUTED_VALUE"""),"")</f>
        <v/>
      </c>
      <c r="M12373" s="16" t="str">
        <f>IFERROR(__xludf.DUMMYFUNCTION("""COMPUTED_VALUE"""),"")</f>
        <v/>
      </c>
      <c r="U12373" s="16" t="s">
        <v>87</v>
      </c>
      <c r="V12373" s="16" t="str">
        <f>IFERROR(__xludf.DUMMYFUNCTION("""COMPUTED_VALUE"""),"")</f>
        <v/>
      </c>
      <c r="W12373" s="16" t="str">
        <f>IFERROR(__xludf.DUMMYFUNCTION("""COMPUTED_VALUE"""),"")</f>
        <v/>
      </c>
      <c r="X12373" s="16" t="str">
        <f>IFERROR(__xludf.DUMMYFUNCTION("""COMPUTED_VALUE"""),"")</f>
        <v/>
      </c>
      <c r="AC12373" s="16" t="str">
        <f>IFERROR(__xludf.DUMMYFUNCTION("""COMPUTED_VALUE"""),"")</f>
        <v/>
      </c>
    </row>
    <row r="12374">
      <c r="A12374" s="16" t="s">
        <v>87</v>
      </c>
      <c r="E12374" s="16" t="str">
        <f>IFERROR(__xludf.DUMMYFUNCTION("""COMPUTED_VALUE"""),"")</f>
        <v/>
      </c>
      <c r="G12374" s="18"/>
      <c r="H12374" s="16" t="s">
        <v>87</v>
      </c>
      <c r="I12374" s="16" t="s">
        <v>87</v>
      </c>
      <c r="J12374" s="19"/>
      <c r="L12374" s="16" t="str">
        <f>IFERROR(__xludf.DUMMYFUNCTION("""COMPUTED_VALUE"""),"")</f>
        <v/>
      </c>
      <c r="M12374" s="16" t="str">
        <f>IFERROR(__xludf.DUMMYFUNCTION("""COMPUTED_VALUE"""),"")</f>
        <v/>
      </c>
      <c r="U12374" s="16" t="s">
        <v>87</v>
      </c>
      <c r="V12374" s="16" t="str">
        <f>IFERROR(__xludf.DUMMYFUNCTION("""COMPUTED_VALUE"""),"")</f>
        <v/>
      </c>
      <c r="W12374" s="16" t="str">
        <f>IFERROR(__xludf.DUMMYFUNCTION("""COMPUTED_VALUE"""),"")</f>
        <v/>
      </c>
      <c r="X12374" s="16" t="str">
        <f>IFERROR(__xludf.DUMMYFUNCTION("""COMPUTED_VALUE"""),"")</f>
        <v/>
      </c>
      <c r="AC12374" s="16" t="str">
        <f>IFERROR(__xludf.DUMMYFUNCTION("""COMPUTED_VALUE"""),"")</f>
        <v/>
      </c>
    </row>
    <row r="12375">
      <c r="A12375" s="16" t="s">
        <v>87</v>
      </c>
      <c r="E12375" s="16" t="str">
        <f>IFERROR(__xludf.DUMMYFUNCTION("""COMPUTED_VALUE"""),"")</f>
        <v/>
      </c>
      <c r="G12375" s="18"/>
      <c r="H12375" s="16" t="s">
        <v>87</v>
      </c>
      <c r="I12375" s="16" t="s">
        <v>87</v>
      </c>
      <c r="J12375" s="19"/>
      <c r="L12375" s="16" t="str">
        <f>IFERROR(__xludf.DUMMYFUNCTION("""COMPUTED_VALUE"""),"")</f>
        <v/>
      </c>
      <c r="M12375" s="16" t="str">
        <f>IFERROR(__xludf.DUMMYFUNCTION("""COMPUTED_VALUE"""),"")</f>
        <v/>
      </c>
      <c r="U12375" s="16" t="s">
        <v>87</v>
      </c>
      <c r="V12375" s="16" t="str">
        <f>IFERROR(__xludf.DUMMYFUNCTION("""COMPUTED_VALUE"""),"")</f>
        <v/>
      </c>
      <c r="W12375" s="16" t="str">
        <f>IFERROR(__xludf.DUMMYFUNCTION("""COMPUTED_VALUE"""),"")</f>
        <v/>
      </c>
      <c r="X12375" s="16" t="str">
        <f>IFERROR(__xludf.DUMMYFUNCTION("""COMPUTED_VALUE"""),"")</f>
        <v/>
      </c>
      <c r="AC12375" s="16" t="str">
        <f>IFERROR(__xludf.DUMMYFUNCTION("""COMPUTED_VALUE"""),"")</f>
        <v/>
      </c>
    </row>
    <row r="12376">
      <c r="A12376" s="16" t="s">
        <v>87</v>
      </c>
      <c r="E12376" s="16" t="str">
        <f>IFERROR(__xludf.DUMMYFUNCTION("""COMPUTED_VALUE"""),"")</f>
        <v/>
      </c>
      <c r="G12376" s="18"/>
      <c r="H12376" s="16" t="s">
        <v>87</v>
      </c>
      <c r="I12376" s="16" t="s">
        <v>87</v>
      </c>
      <c r="J12376" s="19"/>
      <c r="L12376" s="16" t="str">
        <f>IFERROR(__xludf.DUMMYFUNCTION("""COMPUTED_VALUE"""),"")</f>
        <v/>
      </c>
      <c r="M12376" s="16" t="str">
        <f>IFERROR(__xludf.DUMMYFUNCTION("""COMPUTED_VALUE"""),"")</f>
        <v/>
      </c>
      <c r="U12376" s="16" t="s">
        <v>87</v>
      </c>
      <c r="V12376" s="16" t="str">
        <f>IFERROR(__xludf.DUMMYFUNCTION("""COMPUTED_VALUE"""),"")</f>
        <v/>
      </c>
      <c r="W12376" s="16" t="str">
        <f>IFERROR(__xludf.DUMMYFUNCTION("""COMPUTED_VALUE"""),"")</f>
        <v/>
      </c>
      <c r="X12376" s="16" t="str">
        <f>IFERROR(__xludf.DUMMYFUNCTION("""COMPUTED_VALUE"""),"")</f>
        <v/>
      </c>
      <c r="AC12376" s="16" t="str">
        <f>IFERROR(__xludf.DUMMYFUNCTION("""COMPUTED_VALUE"""),"")</f>
        <v/>
      </c>
    </row>
    <row r="12377">
      <c r="A12377" s="16" t="s">
        <v>87</v>
      </c>
      <c r="E12377" s="16" t="str">
        <f>IFERROR(__xludf.DUMMYFUNCTION("""COMPUTED_VALUE"""),"")</f>
        <v/>
      </c>
      <c r="G12377" s="18"/>
      <c r="H12377" s="16" t="s">
        <v>87</v>
      </c>
      <c r="I12377" s="16" t="s">
        <v>87</v>
      </c>
      <c r="J12377" s="19"/>
      <c r="L12377" s="16" t="str">
        <f>IFERROR(__xludf.DUMMYFUNCTION("""COMPUTED_VALUE"""),"")</f>
        <v/>
      </c>
      <c r="M12377" s="16" t="str">
        <f>IFERROR(__xludf.DUMMYFUNCTION("""COMPUTED_VALUE"""),"")</f>
        <v/>
      </c>
      <c r="U12377" s="16" t="s">
        <v>87</v>
      </c>
      <c r="V12377" s="16" t="str">
        <f>IFERROR(__xludf.DUMMYFUNCTION("""COMPUTED_VALUE"""),"")</f>
        <v/>
      </c>
      <c r="W12377" s="16" t="str">
        <f>IFERROR(__xludf.DUMMYFUNCTION("""COMPUTED_VALUE"""),"")</f>
        <v/>
      </c>
      <c r="X12377" s="16" t="str">
        <f>IFERROR(__xludf.DUMMYFUNCTION("""COMPUTED_VALUE"""),"")</f>
        <v/>
      </c>
      <c r="AC12377" s="16" t="str">
        <f>IFERROR(__xludf.DUMMYFUNCTION("""COMPUTED_VALUE"""),"")</f>
        <v/>
      </c>
    </row>
    <row r="12378">
      <c r="A12378" s="16" t="s">
        <v>87</v>
      </c>
      <c r="E12378" s="16" t="str">
        <f>IFERROR(__xludf.DUMMYFUNCTION("""COMPUTED_VALUE"""),"")</f>
        <v/>
      </c>
      <c r="G12378" s="18"/>
      <c r="H12378" s="16" t="s">
        <v>87</v>
      </c>
      <c r="I12378" s="16" t="s">
        <v>87</v>
      </c>
      <c r="J12378" s="19"/>
      <c r="L12378" s="16" t="str">
        <f>IFERROR(__xludf.DUMMYFUNCTION("""COMPUTED_VALUE"""),"")</f>
        <v/>
      </c>
      <c r="M12378" s="16" t="str">
        <f>IFERROR(__xludf.DUMMYFUNCTION("""COMPUTED_VALUE"""),"")</f>
        <v/>
      </c>
      <c r="U12378" s="16" t="s">
        <v>87</v>
      </c>
      <c r="V12378" s="16" t="str">
        <f>IFERROR(__xludf.DUMMYFUNCTION("""COMPUTED_VALUE"""),"")</f>
        <v/>
      </c>
      <c r="W12378" s="16" t="str">
        <f>IFERROR(__xludf.DUMMYFUNCTION("""COMPUTED_VALUE"""),"")</f>
        <v/>
      </c>
      <c r="X12378" s="16" t="str">
        <f>IFERROR(__xludf.DUMMYFUNCTION("""COMPUTED_VALUE"""),"")</f>
        <v/>
      </c>
      <c r="AC12378" s="16" t="str">
        <f>IFERROR(__xludf.DUMMYFUNCTION("""COMPUTED_VALUE"""),"")</f>
        <v/>
      </c>
    </row>
    <row r="12379">
      <c r="A12379" s="16" t="s">
        <v>87</v>
      </c>
      <c r="E12379" s="16" t="str">
        <f>IFERROR(__xludf.DUMMYFUNCTION("""COMPUTED_VALUE"""),"")</f>
        <v/>
      </c>
      <c r="G12379" s="18"/>
      <c r="H12379" s="16" t="s">
        <v>87</v>
      </c>
      <c r="I12379" s="16" t="s">
        <v>87</v>
      </c>
      <c r="J12379" s="19"/>
      <c r="L12379" s="16" t="str">
        <f>IFERROR(__xludf.DUMMYFUNCTION("""COMPUTED_VALUE"""),"")</f>
        <v/>
      </c>
      <c r="M12379" s="16" t="str">
        <f>IFERROR(__xludf.DUMMYFUNCTION("""COMPUTED_VALUE"""),"")</f>
        <v/>
      </c>
      <c r="U12379" s="16" t="s">
        <v>87</v>
      </c>
      <c r="V12379" s="16" t="str">
        <f>IFERROR(__xludf.DUMMYFUNCTION("""COMPUTED_VALUE"""),"")</f>
        <v/>
      </c>
      <c r="W12379" s="16" t="str">
        <f>IFERROR(__xludf.DUMMYFUNCTION("""COMPUTED_VALUE"""),"")</f>
        <v/>
      </c>
      <c r="X12379" s="16" t="str">
        <f>IFERROR(__xludf.DUMMYFUNCTION("""COMPUTED_VALUE"""),"")</f>
        <v/>
      </c>
      <c r="AC12379" s="16" t="str">
        <f>IFERROR(__xludf.DUMMYFUNCTION("""COMPUTED_VALUE"""),"")</f>
        <v/>
      </c>
    </row>
    <row r="12380">
      <c r="A12380" s="16" t="s">
        <v>87</v>
      </c>
      <c r="E12380" s="16" t="str">
        <f>IFERROR(__xludf.DUMMYFUNCTION("""COMPUTED_VALUE"""),"")</f>
        <v/>
      </c>
      <c r="G12380" s="18"/>
      <c r="H12380" s="16" t="s">
        <v>87</v>
      </c>
      <c r="I12380" s="16" t="s">
        <v>87</v>
      </c>
      <c r="J12380" s="19"/>
      <c r="L12380" s="16" t="str">
        <f>IFERROR(__xludf.DUMMYFUNCTION("""COMPUTED_VALUE"""),"")</f>
        <v/>
      </c>
      <c r="M12380" s="16" t="str">
        <f>IFERROR(__xludf.DUMMYFUNCTION("""COMPUTED_VALUE"""),"")</f>
        <v/>
      </c>
      <c r="U12380" s="16" t="s">
        <v>87</v>
      </c>
      <c r="V12380" s="16" t="str">
        <f>IFERROR(__xludf.DUMMYFUNCTION("""COMPUTED_VALUE"""),"")</f>
        <v/>
      </c>
      <c r="W12380" s="16" t="str">
        <f>IFERROR(__xludf.DUMMYFUNCTION("""COMPUTED_VALUE"""),"")</f>
        <v/>
      </c>
      <c r="X12380" s="16" t="str">
        <f>IFERROR(__xludf.DUMMYFUNCTION("""COMPUTED_VALUE"""),"")</f>
        <v/>
      </c>
      <c r="AC12380" s="16" t="str">
        <f>IFERROR(__xludf.DUMMYFUNCTION("""COMPUTED_VALUE"""),"")</f>
        <v/>
      </c>
    </row>
    <row r="12381">
      <c r="A12381" s="16" t="s">
        <v>87</v>
      </c>
      <c r="E12381" s="16" t="str">
        <f>IFERROR(__xludf.DUMMYFUNCTION("""COMPUTED_VALUE"""),"")</f>
        <v/>
      </c>
      <c r="G12381" s="18"/>
      <c r="H12381" s="16" t="s">
        <v>87</v>
      </c>
      <c r="I12381" s="16" t="s">
        <v>87</v>
      </c>
      <c r="J12381" s="19"/>
      <c r="L12381" s="16" t="str">
        <f>IFERROR(__xludf.DUMMYFUNCTION("""COMPUTED_VALUE"""),"")</f>
        <v/>
      </c>
      <c r="M12381" s="16" t="str">
        <f>IFERROR(__xludf.DUMMYFUNCTION("""COMPUTED_VALUE"""),"")</f>
        <v/>
      </c>
      <c r="U12381" s="16" t="s">
        <v>87</v>
      </c>
      <c r="V12381" s="16" t="str">
        <f>IFERROR(__xludf.DUMMYFUNCTION("""COMPUTED_VALUE"""),"")</f>
        <v/>
      </c>
      <c r="W12381" s="16" t="str">
        <f>IFERROR(__xludf.DUMMYFUNCTION("""COMPUTED_VALUE"""),"")</f>
        <v/>
      </c>
      <c r="X12381" s="16" t="str">
        <f>IFERROR(__xludf.DUMMYFUNCTION("""COMPUTED_VALUE"""),"")</f>
        <v/>
      </c>
      <c r="AC12381" s="16" t="str">
        <f>IFERROR(__xludf.DUMMYFUNCTION("""COMPUTED_VALUE"""),"")</f>
        <v/>
      </c>
    </row>
    <row r="12382">
      <c r="A12382" s="16" t="s">
        <v>87</v>
      </c>
      <c r="E12382" s="16" t="str">
        <f>IFERROR(__xludf.DUMMYFUNCTION("""COMPUTED_VALUE"""),"")</f>
        <v/>
      </c>
      <c r="G12382" s="18"/>
      <c r="H12382" s="16" t="s">
        <v>87</v>
      </c>
      <c r="I12382" s="16" t="s">
        <v>87</v>
      </c>
      <c r="J12382" s="19"/>
      <c r="L12382" s="16" t="str">
        <f>IFERROR(__xludf.DUMMYFUNCTION("""COMPUTED_VALUE"""),"")</f>
        <v/>
      </c>
      <c r="M12382" s="16" t="str">
        <f>IFERROR(__xludf.DUMMYFUNCTION("""COMPUTED_VALUE"""),"")</f>
        <v/>
      </c>
      <c r="U12382" s="16" t="s">
        <v>87</v>
      </c>
      <c r="V12382" s="16" t="str">
        <f>IFERROR(__xludf.DUMMYFUNCTION("""COMPUTED_VALUE"""),"")</f>
        <v/>
      </c>
      <c r="W12382" s="16" t="str">
        <f>IFERROR(__xludf.DUMMYFUNCTION("""COMPUTED_VALUE"""),"")</f>
        <v/>
      </c>
      <c r="X12382" s="16" t="str">
        <f>IFERROR(__xludf.DUMMYFUNCTION("""COMPUTED_VALUE"""),"")</f>
        <v/>
      </c>
      <c r="AC12382" s="16" t="str">
        <f>IFERROR(__xludf.DUMMYFUNCTION("""COMPUTED_VALUE"""),"")</f>
        <v/>
      </c>
    </row>
    <row r="12383">
      <c r="A12383" s="16" t="s">
        <v>87</v>
      </c>
      <c r="E12383" s="16" t="str">
        <f>IFERROR(__xludf.DUMMYFUNCTION("""COMPUTED_VALUE"""),"")</f>
        <v/>
      </c>
      <c r="G12383" s="18"/>
      <c r="H12383" s="16" t="s">
        <v>87</v>
      </c>
      <c r="I12383" s="16" t="s">
        <v>87</v>
      </c>
      <c r="J12383" s="19"/>
      <c r="L12383" s="16" t="str">
        <f>IFERROR(__xludf.DUMMYFUNCTION("""COMPUTED_VALUE"""),"")</f>
        <v/>
      </c>
      <c r="M12383" s="16" t="str">
        <f>IFERROR(__xludf.DUMMYFUNCTION("""COMPUTED_VALUE"""),"")</f>
        <v/>
      </c>
      <c r="U12383" s="16" t="s">
        <v>87</v>
      </c>
      <c r="V12383" s="16" t="str">
        <f>IFERROR(__xludf.DUMMYFUNCTION("""COMPUTED_VALUE"""),"")</f>
        <v/>
      </c>
      <c r="W12383" s="16" t="str">
        <f>IFERROR(__xludf.DUMMYFUNCTION("""COMPUTED_VALUE"""),"")</f>
        <v/>
      </c>
      <c r="X12383" s="16" t="str">
        <f>IFERROR(__xludf.DUMMYFUNCTION("""COMPUTED_VALUE"""),"")</f>
        <v/>
      </c>
      <c r="AC12383" s="16" t="str">
        <f>IFERROR(__xludf.DUMMYFUNCTION("""COMPUTED_VALUE"""),"")</f>
        <v/>
      </c>
    </row>
    <row r="12384">
      <c r="A12384" s="16" t="s">
        <v>87</v>
      </c>
      <c r="E12384" s="16" t="str">
        <f>IFERROR(__xludf.DUMMYFUNCTION("""COMPUTED_VALUE"""),"")</f>
        <v/>
      </c>
      <c r="G12384" s="18"/>
      <c r="H12384" s="16" t="s">
        <v>87</v>
      </c>
      <c r="I12384" s="16" t="s">
        <v>87</v>
      </c>
      <c r="J12384" s="19"/>
      <c r="L12384" s="16" t="str">
        <f>IFERROR(__xludf.DUMMYFUNCTION("""COMPUTED_VALUE"""),"")</f>
        <v/>
      </c>
      <c r="M12384" s="16" t="str">
        <f>IFERROR(__xludf.DUMMYFUNCTION("""COMPUTED_VALUE"""),"")</f>
        <v/>
      </c>
      <c r="U12384" s="16" t="s">
        <v>87</v>
      </c>
      <c r="V12384" s="16" t="str">
        <f>IFERROR(__xludf.DUMMYFUNCTION("""COMPUTED_VALUE"""),"")</f>
        <v/>
      </c>
      <c r="W12384" s="16" t="str">
        <f>IFERROR(__xludf.DUMMYFUNCTION("""COMPUTED_VALUE"""),"")</f>
        <v/>
      </c>
      <c r="X12384" s="16" t="str">
        <f>IFERROR(__xludf.DUMMYFUNCTION("""COMPUTED_VALUE"""),"")</f>
        <v/>
      </c>
      <c r="AC12384" s="16" t="str">
        <f>IFERROR(__xludf.DUMMYFUNCTION("""COMPUTED_VALUE"""),"")</f>
        <v/>
      </c>
    </row>
    <row r="12385">
      <c r="A12385" s="16" t="s">
        <v>87</v>
      </c>
      <c r="E12385" s="16" t="str">
        <f>IFERROR(__xludf.DUMMYFUNCTION("""COMPUTED_VALUE"""),"")</f>
        <v/>
      </c>
      <c r="G12385" s="18"/>
      <c r="H12385" s="16" t="s">
        <v>87</v>
      </c>
      <c r="I12385" s="16" t="s">
        <v>87</v>
      </c>
      <c r="J12385" s="19"/>
      <c r="L12385" s="16" t="str">
        <f>IFERROR(__xludf.DUMMYFUNCTION("""COMPUTED_VALUE"""),"")</f>
        <v/>
      </c>
      <c r="M12385" s="16" t="str">
        <f>IFERROR(__xludf.DUMMYFUNCTION("""COMPUTED_VALUE"""),"")</f>
        <v/>
      </c>
      <c r="U12385" s="16" t="s">
        <v>87</v>
      </c>
      <c r="V12385" s="16" t="str">
        <f>IFERROR(__xludf.DUMMYFUNCTION("""COMPUTED_VALUE"""),"")</f>
        <v/>
      </c>
      <c r="W12385" s="16" t="str">
        <f>IFERROR(__xludf.DUMMYFUNCTION("""COMPUTED_VALUE"""),"")</f>
        <v/>
      </c>
      <c r="X12385" s="16" t="str">
        <f>IFERROR(__xludf.DUMMYFUNCTION("""COMPUTED_VALUE"""),"")</f>
        <v/>
      </c>
      <c r="AC12385" s="16" t="str">
        <f>IFERROR(__xludf.DUMMYFUNCTION("""COMPUTED_VALUE"""),"")</f>
        <v/>
      </c>
    </row>
    <row r="12386">
      <c r="A12386" s="16" t="s">
        <v>87</v>
      </c>
      <c r="E12386" s="16" t="str">
        <f>IFERROR(__xludf.DUMMYFUNCTION("""COMPUTED_VALUE"""),"")</f>
        <v/>
      </c>
      <c r="G12386" s="18"/>
      <c r="H12386" s="16" t="s">
        <v>87</v>
      </c>
      <c r="I12386" s="16" t="s">
        <v>87</v>
      </c>
      <c r="J12386" s="19"/>
      <c r="L12386" s="16" t="str">
        <f>IFERROR(__xludf.DUMMYFUNCTION("""COMPUTED_VALUE"""),"")</f>
        <v/>
      </c>
      <c r="M12386" s="16" t="str">
        <f>IFERROR(__xludf.DUMMYFUNCTION("""COMPUTED_VALUE"""),"")</f>
        <v/>
      </c>
      <c r="U12386" s="16" t="s">
        <v>87</v>
      </c>
      <c r="V12386" s="16" t="str">
        <f>IFERROR(__xludf.DUMMYFUNCTION("""COMPUTED_VALUE"""),"")</f>
        <v/>
      </c>
      <c r="W12386" s="16" t="str">
        <f>IFERROR(__xludf.DUMMYFUNCTION("""COMPUTED_VALUE"""),"")</f>
        <v/>
      </c>
      <c r="X12386" s="16" t="str">
        <f>IFERROR(__xludf.DUMMYFUNCTION("""COMPUTED_VALUE"""),"")</f>
        <v/>
      </c>
      <c r="AC12386" s="16" t="str">
        <f>IFERROR(__xludf.DUMMYFUNCTION("""COMPUTED_VALUE"""),"")</f>
        <v/>
      </c>
    </row>
    <row r="12387">
      <c r="A12387" s="16" t="s">
        <v>87</v>
      </c>
      <c r="E12387" s="16" t="str">
        <f>IFERROR(__xludf.DUMMYFUNCTION("""COMPUTED_VALUE"""),"")</f>
        <v/>
      </c>
      <c r="G12387" s="18"/>
      <c r="H12387" s="16" t="s">
        <v>87</v>
      </c>
      <c r="I12387" s="16" t="s">
        <v>87</v>
      </c>
      <c r="J12387" s="19"/>
      <c r="L12387" s="16" t="str">
        <f>IFERROR(__xludf.DUMMYFUNCTION("""COMPUTED_VALUE"""),"")</f>
        <v/>
      </c>
      <c r="M12387" s="16" t="str">
        <f>IFERROR(__xludf.DUMMYFUNCTION("""COMPUTED_VALUE"""),"")</f>
        <v/>
      </c>
      <c r="U12387" s="16" t="s">
        <v>87</v>
      </c>
      <c r="V12387" s="16" t="str">
        <f>IFERROR(__xludf.DUMMYFUNCTION("""COMPUTED_VALUE"""),"")</f>
        <v/>
      </c>
      <c r="W12387" s="16" t="str">
        <f>IFERROR(__xludf.DUMMYFUNCTION("""COMPUTED_VALUE"""),"")</f>
        <v/>
      </c>
      <c r="X12387" s="16" t="str">
        <f>IFERROR(__xludf.DUMMYFUNCTION("""COMPUTED_VALUE"""),"")</f>
        <v/>
      </c>
      <c r="AC12387" s="16" t="str">
        <f>IFERROR(__xludf.DUMMYFUNCTION("""COMPUTED_VALUE"""),"")</f>
        <v/>
      </c>
    </row>
    <row r="12388">
      <c r="A12388" s="16" t="s">
        <v>87</v>
      </c>
      <c r="E12388" s="16" t="str">
        <f>IFERROR(__xludf.DUMMYFUNCTION("""COMPUTED_VALUE"""),"")</f>
        <v/>
      </c>
      <c r="G12388" s="18"/>
      <c r="H12388" s="16" t="s">
        <v>87</v>
      </c>
      <c r="I12388" s="16" t="s">
        <v>87</v>
      </c>
      <c r="J12388" s="19"/>
      <c r="L12388" s="16" t="str">
        <f>IFERROR(__xludf.DUMMYFUNCTION("""COMPUTED_VALUE"""),"")</f>
        <v/>
      </c>
      <c r="M12388" s="16" t="str">
        <f>IFERROR(__xludf.DUMMYFUNCTION("""COMPUTED_VALUE"""),"")</f>
        <v/>
      </c>
      <c r="U12388" s="16" t="s">
        <v>87</v>
      </c>
      <c r="V12388" s="16" t="str">
        <f>IFERROR(__xludf.DUMMYFUNCTION("""COMPUTED_VALUE"""),"")</f>
        <v/>
      </c>
      <c r="W12388" s="16" t="str">
        <f>IFERROR(__xludf.DUMMYFUNCTION("""COMPUTED_VALUE"""),"")</f>
        <v/>
      </c>
      <c r="X12388" s="16" t="str">
        <f>IFERROR(__xludf.DUMMYFUNCTION("""COMPUTED_VALUE"""),"")</f>
        <v/>
      </c>
      <c r="AC12388" s="16" t="str">
        <f>IFERROR(__xludf.DUMMYFUNCTION("""COMPUTED_VALUE"""),"")</f>
        <v/>
      </c>
    </row>
    <row r="12389">
      <c r="A12389" s="16" t="s">
        <v>87</v>
      </c>
      <c r="E12389" s="16" t="str">
        <f>IFERROR(__xludf.DUMMYFUNCTION("""COMPUTED_VALUE"""),"")</f>
        <v/>
      </c>
      <c r="G12389" s="18"/>
      <c r="H12389" s="16" t="s">
        <v>87</v>
      </c>
      <c r="I12389" s="16" t="s">
        <v>87</v>
      </c>
      <c r="J12389" s="19"/>
      <c r="L12389" s="16" t="str">
        <f>IFERROR(__xludf.DUMMYFUNCTION("""COMPUTED_VALUE"""),"")</f>
        <v/>
      </c>
      <c r="M12389" s="16" t="str">
        <f>IFERROR(__xludf.DUMMYFUNCTION("""COMPUTED_VALUE"""),"")</f>
        <v/>
      </c>
      <c r="U12389" s="16" t="s">
        <v>87</v>
      </c>
      <c r="V12389" s="16" t="str">
        <f>IFERROR(__xludf.DUMMYFUNCTION("""COMPUTED_VALUE"""),"")</f>
        <v/>
      </c>
      <c r="W12389" s="16" t="str">
        <f>IFERROR(__xludf.DUMMYFUNCTION("""COMPUTED_VALUE"""),"")</f>
        <v/>
      </c>
      <c r="X12389" s="16" t="str">
        <f>IFERROR(__xludf.DUMMYFUNCTION("""COMPUTED_VALUE"""),"")</f>
        <v/>
      </c>
      <c r="AC12389" s="16" t="str">
        <f>IFERROR(__xludf.DUMMYFUNCTION("""COMPUTED_VALUE"""),"")</f>
        <v/>
      </c>
    </row>
    <row r="12390">
      <c r="A12390" s="16" t="s">
        <v>87</v>
      </c>
      <c r="E12390" s="16" t="str">
        <f>IFERROR(__xludf.DUMMYFUNCTION("""COMPUTED_VALUE"""),"")</f>
        <v/>
      </c>
      <c r="G12390" s="18"/>
      <c r="H12390" s="16" t="s">
        <v>87</v>
      </c>
      <c r="I12390" s="16" t="s">
        <v>87</v>
      </c>
      <c r="J12390" s="19"/>
      <c r="L12390" s="16" t="str">
        <f>IFERROR(__xludf.DUMMYFUNCTION("""COMPUTED_VALUE"""),"")</f>
        <v/>
      </c>
      <c r="M12390" s="16" t="str">
        <f>IFERROR(__xludf.DUMMYFUNCTION("""COMPUTED_VALUE"""),"")</f>
        <v/>
      </c>
      <c r="U12390" s="16" t="s">
        <v>87</v>
      </c>
      <c r="V12390" s="16" t="str">
        <f>IFERROR(__xludf.DUMMYFUNCTION("""COMPUTED_VALUE"""),"")</f>
        <v/>
      </c>
      <c r="W12390" s="16" t="str">
        <f>IFERROR(__xludf.DUMMYFUNCTION("""COMPUTED_VALUE"""),"")</f>
        <v/>
      </c>
      <c r="X12390" s="16" t="str">
        <f>IFERROR(__xludf.DUMMYFUNCTION("""COMPUTED_VALUE"""),"")</f>
        <v/>
      </c>
      <c r="AC12390" s="16" t="str">
        <f>IFERROR(__xludf.DUMMYFUNCTION("""COMPUTED_VALUE"""),"")</f>
        <v/>
      </c>
    </row>
    <row r="12391">
      <c r="A12391" s="16" t="s">
        <v>87</v>
      </c>
      <c r="E12391" s="16" t="str">
        <f>IFERROR(__xludf.DUMMYFUNCTION("""COMPUTED_VALUE"""),"")</f>
        <v/>
      </c>
      <c r="G12391" s="18"/>
      <c r="H12391" s="16" t="s">
        <v>87</v>
      </c>
      <c r="I12391" s="16" t="s">
        <v>87</v>
      </c>
      <c r="J12391" s="19"/>
      <c r="L12391" s="16" t="str">
        <f>IFERROR(__xludf.DUMMYFUNCTION("""COMPUTED_VALUE"""),"")</f>
        <v/>
      </c>
      <c r="M12391" s="16" t="str">
        <f>IFERROR(__xludf.DUMMYFUNCTION("""COMPUTED_VALUE"""),"")</f>
        <v/>
      </c>
      <c r="U12391" s="16" t="s">
        <v>87</v>
      </c>
      <c r="V12391" s="16" t="str">
        <f>IFERROR(__xludf.DUMMYFUNCTION("""COMPUTED_VALUE"""),"")</f>
        <v/>
      </c>
      <c r="W12391" s="16" t="str">
        <f>IFERROR(__xludf.DUMMYFUNCTION("""COMPUTED_VALUE"""),"")</f>
        <v/>
      </c>
      <c r="X12391" s="16" t="str">
        <f>IFERROR(__xludf.DUMMYFUNCTION("""COMPUTED_VALUE"""),"")</f>
        <v/>
      </c>
      <c r="AC12391" s="16" t="str">
        <f>IFERROR(__xludf.DUMMYFUNCTION("""COMPUTED_VALUE"""),"")</f>
        <v/>
      </c>
    </row>
    <row r="12392">
      <c r="A12392" s="16" t="s">
        <v>87</v>
      </c>
      <c r="E12392" s="16" t="str">
        <f>IFERROR(__xludf.DUMMYFUNCTION("""COMPUTED_VALUE"""),"")</f>
        <v/>
      </c>
      <c r="G12392" s="18"/>
      <c r="H12392" s="16" t="s">
        <v>87</v>
      </c>
      <c r="I12392" s="16" t="s">
        <v>87</v>
      </c>
      <c r="J12392" s="19"/>
      <c r="L12392" s="16" t="str">
        <f>IFERROR(__xludf.DUMMYFUNCTION("""COMPUTED_VALUE"""),"")</f>
        <v/>
      </c>
      <c r="M12392" s="16" t="str">
        <f>IFERROR(__xludf.DUMMYFUNCTION("""COMPUTED_VALUE"""),"")</f>
        <v/>
      </c>
      <c r="U12392" s="16" t="s">
        <v>87</v>
      </c>
      <c r="V12392" s="16" t="str">
        <f>IFERROR(__xludf.DUMMYFUNCTION("""COMPUTED_VALUE"""),"")</f>
        <v/>
      </c>
      <c r="W12392" s="16" t="str">
        <f>IFERROR(__xludf.DUMMYFUNCTION("""COMPUTED_VALUE"""),"")</f>
        <v/>
      </c>
      <c r="X12392" s="16" t="str">
        <f>IFERROR(__xludf.DUMMYFUNCTION("""COMPUTED_VALUE"""),"")</f>
        <v/>
      </c>
      <c r="AC12392" s="16" t="str">
        <f>IFERROR(__xludf.DUMMYFUNCTION("""COMPUTED_VALUE"""),"")</f>
        <v/>
      </c>
    </row>
    <row r="12393">
      <c r="A12393" s="16" t="s">
        <v>87</v>
      </c>
      <c r="E12393" s="16" t="str">
        <f>IFERROR(__xludf.DUMMYFUNCTION("""COMPUTED_VALUE"""),"")</f>
        <v/>
      </c>
      <c r="G12393" s="18"/>
      <c r="H12393" s="16" t="s">
        <v>87</v>
      </c>
      <c r="I12393" s="16" t="s">
        <v>87</v>
      </c>
      <c r="J12393" s="19"/>
      <c r="L12393" s="16" t="str">
        <f>IFERROR(__xludf.DUMMYFUNCTION("""COMPUTED_VALUE"""),"")</f>
        <v/>
      </c>
      <c r="M12393" s="16" t="str">
        <f>IFERROR(__xludf.DUMMYFUNCTION("""COMPUTED_VALUE"""),"")</f>
        <v/>
      </c>
      <c r="U12393" s="16" t="s">
        <v>87</v>
      </c>
      <c r="V12393" s="16" t="str">
        <f>IFERROR(__xludf.DUMMYFUNCTION("""COMPUTED_VALUE"""),"")</f>
        <v/>
      </c>
      <c r="W12393" s="16" t="str">
        <f>IFERROR(__xludf.DUMMYFUNCTION("""COMPUTED_VALUE"""),"")</f>
        <v/>
      </c>
      <c r="X12393" s="16" t="str">
        <f>IFERROR(__xludf.DUMMYFUNCTION("""COMPUTED_VALUE"""),"")</f>
        <v/>
      </c>
      <c r="AC12393" s="16" t="str">
        <f>IFERROR(__xludf.DUMMYFUNCTION("""COMPUTED_VALUE"""),"")</f>
        <v/>
      </c>
    </row>
    <row r="12394">
      <c r="A12394" s="16" t="s">
        <v>87</v>
      </c>
      <c r="E12394" s="16" t="str">
        <f>IFERROR(__xludf.DUMMYFUNCTION("""COMPUTED_VALUE"""),"")</f>
        <v/>
      </c>
      <c r="G12394" s="18"/>
      <c r="H12394" s="16" t="s">
        <v>87</v>
      </c>
      <c r="I12394" s="16" t="s">
        <v>87</v>
      </c>
      <c r="J12394" s="19"/>
      <c r="L12394" s="16" t="str">
        <f>IFERROR(__xludf.DUMMYFUNCTION("""COMPUTED_VALUE"""),"")</f>
        <v/>
      </c>
      <c r="M12394" s="16" t="str">
        <f>IFERROR(__xludf.DUMMYFUNCTION("""COMPUTED_VALUE"""),"")</f>
        <v/>
      </c>
      <c r="U12394" s="16" t="s">
        <v>87</v>
      </c>
      <c r="V12394" s="16" t="str">
        <f>IFERROR(__xludf.DUMMYFUNCTION("""COMPUTED_VALUE"""),"")</f>
        <v/>
      </c>
      <c r="W12394" s="16" t="str">
        <f>IFERROR(__xludf.DUMMYFUNCTION("""COMPUTED_VALUE"""),"")</f>
        <v/>
      </c>
      <c r="X12394" s="16" t="str">
        <f>IFERROR(__xludf.DUMMYFUNCTION("""COMPUTED_VALUE"""),"")</f>
        <v/>
      </c>
      <c r="AC12394" s="16" t="str">
        <f>IFERROR(__xludf.DUMMYFUNCTION("""COMPUTED_VALUE"""),"")</f>
        <v/>
      </c>
    </row>
    <row r="12395">
      <c r="A12395" s="16" t="s">
        <v>87</v>
      </c>
      <c r="E12395" s="16" t="str">
        <f>IFERROR(__xludf.DUMMYFUNCTION("""COMPUTED_VALUE"""),"")</f>
        <v/>
      </c>
      <c r="G12395" s="18"/>
      <c r="H12395" s="16" t="s">
        <v>87</v>
      </c>
      <c r="I12395" s="16" t="s">
        <v>87</v>
      </c>
      <c r="J12395" s="19"/>
      <c r="L12395" s="16" t="str">
        <f>IFERROR(__xludf.DUMMYFUNCTION("""COMPUTED_VALUE"""),"")</f>
        <v/>
      </c>
      <c r="M12395" s="16" t="str">
        <f>IFERROR(__xludf.DUMMYFUNCTION("""COMPUTED_VALUE"""),"")</f>
        <v/>
      </c>
      <c r="U12395" s="16" t="s">
        <v>87</v>
      </c>
      <c r="V12395" s="16" t="str">
        <f>IFERROR(__xludf.DUMMYFUNCTION("""COMPUTED_VALUE"""),"")</f>
        <v/>
      </c>
      <c r="W12395" s="16" t="str">
        <f>IFERROR(__xludf.DUMMYFUNCTION("""COMPUTED_VALUE"""),"")</f>
        <v/>
      </c>
      <c r="X12395" s="16" t="str">
        <f>IFERROR(__xludf.DUMMYFUNCTION("""COMPUTED_VALUE"""),"")</f>
        <v/>
      </c>
      <c r="AC12395" s="16" t="str">
        <f>IFERROR(__xludf.DUMMYFUNCTION("""COMPUTED_VALUE"""),"")</f>
        <v/>
      </c>
    </row>
    <row r="12396">
      <c r="A12396" s="16" t="s">
        <v>87</v>
      </c>
      <c r="E12396" s="16" t="str">
        <f>IFERROR(__xludf.DUMMYFUNCTION("""COMPUTED_VALUE"""),"")</f>
        <v/>
      </c>
      <c r="G12396" s="18"/>
      <c r="H12396" s="16" t="s">
        <v>87</v>
      </c>
      <c r="I12396" s="16" t="s">
        <v>87</v>
      </c>
      <c r="J12396" s="19"/>
      <c r="L12396" s="16" t="str">
        <f>IFERROR(__xludf.DUMMYFUNCTION("""COMPUTED_VALUE"""),"")</f>
        <v/>
      </c>
      <c r="M12396" s="16" t="str">
        <f>IFERROR(__xludf.DUMMYFUNCTION("""COMPUTED_VALUE"""),"")</f>
        <v/>
      </c>
      <c r="U12396" s="16" t="s">
        <v>87</v>
      </c>
      <c r="V12396" s="16" t="str">
        <f>IFERROR(__xludf.DUMMYFUNCTION("""COMPUTED_VALUE"""),"")</f>
        <v/>
      </c>
      <c r="W12396" s="16" t="str">
        <f>IFERROR(__xludf.DUMMYFUNCTION("""COMPUTED_VALUE"""),"")</f>
        <v/>
      </c>
      <c r="X12396" s="16" t="str">
        <f>IFERROR(__xludf.DUMMYFUNCTION("""COMPUTED_VALUE"""),"")</f>
        <v/>
      </c>
      <c r="AC12396" s="16" t="str">
        <f>IFERROR(__xludf.DUMMYFUNCTION("""COMPUTED_VALUE"""),"")</f>
        <v/>
      </c>
    </row>
    <row r="12397">
      <c r="A12397" s="16" t="s">
        <v>87</v>
      </c>
      <c r="E12397" s="16" t="str">
        <f>IFERROR(__xludf.DUMMYFUNCTION("""COMPUTED_VALUE"""),"")</f>
        <v/>
      </c>
      <c r="G12397" s="18"/>
      <c r="H12397" s="16" t="s">
        <v>87</v>
      </c>
      <c r="I12397" s="16" t="s">
        <v>87</v>
      </c>
      <c r="J12397" s="19"/>
      <c r="L12397" s="16" t="str">
        <f>IFERROR(__xludf.DUMMYFUNCTION("""COMPUTED_VALUE"""),"")</f>
        <v/>
      </c>
      <c r="M12397" s="16" t="str">
        <f>IFERROR(__xludf.DUMMYFUNCTION("""COMPUTED_VALUE"""),"")</f>
        <v/>
      </c>
      <c r="U12397" s="16" t="s">
        <v>87</v>
      </c>
      <c r="V12397" s="16" t="str">
        <f>IFERROR(__xludf.DUMMYFUNCTION("""COMPUTED_VALUE"""),"")</f>
        <v/>
      </c>
      <c r="W12397" s="16" t="str">
        <f>IFERROR(__xludf.DUMMYFUNCTION("""COMPUTED_VALUE"""),"")</f>
        <v/>
      </c>
      <c r="X12397" s="16" t="str">
        <f>IFERROR(__xludf.DUMMYFUNCTION("""COMPUTED_VALUE"""),"")</f>
        <v/>
      </c>
      <c r="AC12397" s="16" t="str">
        <f>IFERROR(__xludf.DUMMYFUNCTION("""COMPUTED_VALUE"""),"")</f>
        <v/>
      </c>
    </row>
    <row r="12398">
      <c r="A12398" s="16" t="s">
        <v>87</v>
      </c>
      <c r="E12398" s="16" t="str">
        <f>IFERROR(__xludf.DUMMYFUNCTION("""COMPUTED_VALUE"""),"")</f>
        <v/>
      </c>
      <c r="G12398" s="18"/>
      <c r="H12398" s="16" t="s">
        <v>87</v>
      </c>
      <c r="I12398" s="16" t="s">
        <v>87</v>
      </c>
      <c r="J12398" s="19"/>
      <c r="L12398" s="16" t="str">
        <f>IFERROR(__xludf.DUMMYFUNCTION("""COMPUTED_VALUE"""),"")</f>
        <v/>
      </c>
      <c r="M12398" s="16" t="str">
        <f>IFERROR(__xludf.DUMMYFUNCTION("""COMPUTED_VALUE"""),"")</f>
        <v/>
      </c>
      <c r="U12398" s="16" t="s">
        <v>87</v>
      </c>
      <c r="V12398" s="16" t="str">
        <f>IFERROR(__xludf.DUMMYFUNCTION("""COMPUTED_VALUE"""),"")</f>
        <v/>
      </c>
      <c r="W12398" s="16" t="str">
        <f>IFERROR(__xludf.DUMMYFUNCTION("""COMPUTED_VALUE"""),"")</f>
        <v/>
      </c>
      <c r="X12398" s="16" t="str">
        <f>IFERROR(__xludf.DUMMYFUNCTION("""COMPUTED_VALUE"""),"")</f>
        <v/>
      </c>
      <c r="AC12398" s="16" t="str">
        <f>IFERROR(__xludf.DUMMYFUNCTION("""COMPUTED_VALUE"""),"")</f>
        <v/>
      </c>
    </row>
    <row r="12399">
      <c r="A12399" s="16" t="s">
        <v>87</v>
      </c>
      <c r="E12399" s="16" t="str">
        <f>IFERROR(__xludf.DUMMYFUNCTION("""COMPUTED_VALUE"""),"")</f>
        <v/>
      </c>
      <c r="G12399" s="18"/>
      <c r="H12399" s="16" t="s">
        <v>87</v>
      </c>
      <c r="I12399" s="16" t="s">
        <v>87</v>
      </c>
      <c r="J12399" s="19"/>
      <c r="L12399" s="16" t="str">
        <f>IFERROR(__xludf.DUMMYFUNCTION("""COMPUTED_VALUE"""),"")</f>
        <v/>
      </c>
      <c r="M12399" s="16" t="str">
        <f>IFERROR(__xludf.DUMMYFUNCTION("""COMPUTED_VALUE"""),"")</f>
        <v/>
      </c>
      <c r="U12399" s="16" t="s">
        <v>87</v>
      </c>
      <c r="V12399" s="16" t="str">
        <f>IFERROR(__xludf.DUMMYFUNCTION("""COMPUTED_VALUE"""),"")</f>
        <v/>
      </c>
      <c r="W12399" s="16" t="str">
        <f>IFERROR(__xludf.DUMMYFUNCTION("""COMPUTED_VALUE"""),"")</f>
        <v/>
      </c>
      <c r="X12399" s="16" t="str">
        <f>IFERROR(__xludf.DUMMYFUNCTION("""COMPUTED_VALUE"""),"")</f>
        <v/>
      </c>
      <c r="AC12399" s="16" t="str">
        <f>IFERROR(__xludf.DUMMYFUNCTION("""COMPUTED_VALUE"""),"")</f>
        <v/>
      </c>
    </row>
    <row r="12400">
      <c r="A12400" s="16" t="s">
        <v>87</v>
      </c>
      <c r="E12400" s="16" t="str">
        <f>IFERROR(__xludf.DUMMYFUNCTION("""COMPUTED_VALUE"""),"")</f>
        <v/>
      </c>
      <c r="G12400" s="18"/>
      <c r="H12400" s="16" t="s">
        <v>87</v>
      </c>
      <c r="I12400" s="16" t="s">
        <v>87</v>
      </c>
      <c r="J12400" s="19"/>
      <c r="L12400" s="16" t="str">
        <f>IFERROR(__xludf.DUMMYFUNCTION("""COMPUTED_VALUE"""),"")</f>
        <v/>
      </c>
      <c r="M12400" s="16" t="str">
        <f>IFERROR(__xludf.DUMMYFUNCTION("""COMPUTED_VALUE"""),"")</f>
        <v/>
      </c>
      <c r="U12400" s="16" t="s">
        <v>87</v>
      </c>
      <c r="V12400" s="16" t="str">
        <f>IFERROR(__xludf.DUMMYFUNCTION("""COMPUTED_VALUE"""),"")</f>
        <v/>
      </c>
      <c r="W12400" s="16" t="str">
        <f>IFERROR(__xludf.DUMMYFUNCTION("""COMPUTED_VALUE"""),"")</f>
        <v/>
      </c>
      <c r="X12400" s="16" t="str">
        <f>IFERROR(__xludf.DUMMYFUNCTION("""COMPUTED_VALUE"""),"")</f>
        <v/>
      </c>
      <c r="AC12400" s="16" t="str">
        <f>IFERROR(__xludf.DUMMYFUNCTION("""COMPUTED_VALUE"""),"")</f>
        <v/>
      </c>
    </row>
    <row r="12401">
      <c r="A12401" s="16" t="s">
        <v>87</v>
      </c>
      <c r="E12401" s="16" t="str">
        <f>IFERROR(__xludf.DUMMYFUNCTION("""COMPUTED_VALUE"""),"")</f>
        <v/>
      </c>
      <c r="G12401" s="18"/>
      <c r="H12401" s="16" t="s">
        <v>87</v>
      </c>
      <c r="I12401" s="16" t="s">
        <v>87</v>
      </c>
      <c r="J12401" s="19"/>
      <c r="L12401" s="16" t="str">
        <f>IFERROR(__xludf.DUMMYFUNCTION("""COMPUTED_VALUE"""),"")</f>
        <v/>
      </c>
      <c r="M12401" s="16" t="str">
        <f>IFERROR(__xludf.DUMMYFUNCTION("""COMPUTED_VALUE"""),"")</f>
        <v/>
      </c>
      <c r="U12401" s="16" t="s">
        <v>87</v>
      </c>
      <c r="V12401" s="16" t="str">
        <f>IFERROR(__xludf.DUMMYFUNCTION("""COMPUTED_VALUE"""),"")</f>
        <v/>
      </c>
      <c r="W12401" s="16" t="str">
        <f>IFERROR(__xludf.DUMMYFUNCTION("""COMPUTED_VALUE"""),"")</f>
        <v/>
      </c>
      <c r="X12401" s="16" t="str">
        <f>IFERROR(__xludf.DUMMYFUNCTION("""COMPUTED_VALUE"""),"")</f>
        <v/>
      </c>
      <c r="AC12401" s="16" t="str">
        <f>IFERROR(__xludf.DUMMYFUNCTION("""COMPUTED_VALUE"""),"")</f>
        <v/>
      </c>
    </row>
    <row r="12402">
      <c r="A12402" s="16" t="s">
        <v>87</v>
      </c>
      <c r="E12402" s="16" t="str">
        <f>IFERROR(__xludf.DUMMYFUNCTION("""COMPUTED_VALUE"""),"")</f>
        <v/>
      </c>
      <c r="G12402" s="18"/>
      <c r="H12402" s="16" t="s">
        <v>87</v>
      </c>
      <c r="I12402" s="16" t="s">
        <v>87</v>
      </c>
      <c r="J12402" s="19"/>
      <c r="L12402" s="16" t="str">
        <f>IFERROR(__xludf.DUMMYFUNCTION("""COMPUTED_VALUE"""),"")</f>
        <v/>
      </c>
      <c r="M12402" s="16" t="str">
        <f>IFERROR(__xludf.DUMMYFUNCTION("""COMPUTED_VALUE"""),"")</f>
        <v/>
      </c>
      <c r="U12402" s="16" t="s">
        <v>87</v>
      </c>
      <c r="V12402" s="16" t="str">
        <f>IFERROR(__xludf.DUMMYFUNCTION("""COMPUTED_VALUE"""),"")</f>
        <v/>
      </c>
      <c r="W12402" s="16" t="str">
        <f>IFERROR(__xludf.DUMMYFUNCTION("""COMPUTED_VALUE"""),"")</f>
        <v/>
      </c>
      <c r="X12402" s="16" t="str">
        <f>IFERROR(__xludf.DUMMYFUNCTION("""COMPUTED_VALUE"""),"")</f>
        <v/>
      </c>
      <c r="AC12402" s="16" t="str">
        <f>IFERROR(__xludf.DUMMYFUNCTION("""COMPUTED_VALUE"""),"")</f>
        <v/>
      </c>
    </row>
    <row r="12403">
      <c r="A12403" s="16" t="s">
        <v>87</v>
      </c>
      <c r="E12403" s="16" t="str">
        <f>IFERROR(__xludf.DUMMYFUNCTION("""COMPUTED_VALUE"""),"")</f>
        <v/>
      </c>
      <c r="G12403" s="18"/>
      <c r="H12403" s="16" t="s">
        <v>87</v>
      </c>
      <c r="I12403" s="16" t="s">
        <v>87</v>
      </c>
      <c r="J12403" s="19"/>
      <c r="L12403" s="16" t="str">
        <f>IFERROR(__xludf.DUMMYFUNCTION("""COMPUTED_VALUE"""),"")</f>
        <v/>
      </c>
      <c r="M12403" s="16" t="str">
        <f>IFERROR(__xludf.DUMMYFUNCTION("""COMPUTED_VALUE"""),"")</f>
        <v/>
      </c>
      <c r="U12403" s="16" t="s">
        <v>87</v>
      </c>
      <c r="V12403" s="16" t="str">
        <f>IFERROR(__xludf.DUMMYFUNCTION("""COMPUTED_VALUE"""),"")</f>
        <v/>
      </c>
      <c r="W12403" s="16" t="str">
        <f>IFERROR(__xludf.DUMMYFUNCTION("""COMPUTED_VALUE"""),"")</f>
        <v/>
      </c>
      <c r="X12403" s="16" t="str">
        <f>IFERROR(__xludf.DUMMYFUNCTION("""COMPUTED_VALUE"""),"")</f>
        <v/>
      </c>
      <c r="AC12403" s="16" t="str">
        <f>IFERROR(__xludf.DUMMYFUNCTION("""COMPUTED_VALUE"""),"")</f>
        <v/>
      </c>
    </row>
    <row r="12404">
      <c r="A12404" s="16" t="s">
        <v>87</v>
      </c>
      <c r="E12404" s="16" t="str">
        <f>IFERROR(__xludf.DUMMYFUNCTION("""COMPUTED_VALUE"""),"")</f>
        <v/>
      </c>
      <c r="G12404" s="18"/>
      <c r="H12404" s="16" t="s">
        <v>87</v>
      </c>
      <c r="I12404" s="16" t="s">
        <v>87</v>
      </c>
      <c r="J12404" s="19"/>
      <c r="L12404" s="16" t="str">
        <f>IFERROR(__xludf.DUMMYFUNCTION("""COMPUTED_VALUE"""),"")</f>
        <v/>
      </c>
      <c r="M12404" s="16" t="str">
        <f>IFERROR(__xludf.DUMMYFUNCTION("""COMPUTED_VALUE"""),"")</f>
        <v/>
      </c>
      <c r="U12404" s="16" t="s">
        <v>87</v>
      </c>
      <c r="V12404" s="16" t="str">
        <f>IFERROR(__xludf.DUMMYFUNCTION("""COMPUTED_VALUE"""),"")</f>
        <v/>
      </c>
      <c r="W12404" s="16" t="str">
        <f>IFERROR(__xludf.DUMMYFUNCTION("""COMPUTED_VALUE"""),"")</f>
        <v/>
      </c>
      <c r="X12404" s="16" t="str">
        <f>IFERROR(__xludf.DUMMYFUNCTION("""COMPUTED_VALUE"""),"")</f>
        <v/>
      </c>
      <c r="AC12404" s="16" t="str">
        <f>IFERROR(__xludf.DUMMYFUNCTION("""COMPUTED_VALUE"""),"")</f>
        <v/>
      </c>
    </row>
    <row r="12405">
      <c r="A12405" s="16" t="s">
        <v>87</v>
      </c>
      <c r="E12405" s="16" t="str">
        <f>IFERROR(__xludf.DUMMYFUNCTION("""COMPUTED_VALUE"""),"")</f>
        <v/>
      </c>
      <c r="G12405" s="18"/>
      <c r="H12405" s="16" t="s">
        <v>87</v>
      </c>
      <c r="I12405" s="16" t="s">
        <v>87</v>
      </c>
      <c r="J12405" s="19"/>
      <c r="L12405" s="16" t="str">
        <f>IFERROR(__xludf.DUMMYFUNCTION("""COMPUTED_VALUE"""),"")</f>
        <v/>
      </c>
      <c r="M12405" s="16" t="str">
        <f>IFERROR(__xludf.DUMMYFUNCTION("""COMPUTED_VALUE"""),"")</f>
        <v/>
      </c>
      <c r="U12405" s="16" t="s">
        <v>87</v>
      </c>
      <c r="V12405" s="16" t="str">
        <f>IFERROR(__xludf.DUMMYFUNCTION("""COMPUTED_VALUE"""),"")</f>
        <v/>
      </c>
      <c r="W12405" s="16" t="str">
        <f>IFERROR(__xludf.DUMMYFUNCTION("""COMPUTED_VALUE"""),"")</f>
        <v/>
      </c>
      <c r="X12405" s="16" t="str">
        <f>IFERROR(__xludf.DUMMYFUNCTION("""COMPUTED_VALUE"""),"")</f>
        <v/>
      </c>
      <c r="AC12405" s="16" t="str">
        <f>IFERROR(__xludf.DUMMYFUNCTION("""COMPUTED_VALUE"""),"")</f>
        <v/>
      </c>
    </row>
    <row r="12406">
      <c r="A12406" s="16" t="s">
        <v>87</v>
      </c>
      <c r="E12406" s="16" t="str">
        <f>IFERROR(__xludf.DUMMYFUNCTION("""COMPUTED_VALUE"""),"")</f>
        <v/>
      </c>
      <c r="G12406" s="18"/>
      <c r="H12406" s="16" t="s">
        <v>87</v>
      </c>
      <c r="I12406" s="16" t="s">
        <v>87</v>
      </c>
      <c r="J12406" s="19"/>
      <c r="L12406" s="16" t="str">
        <f>IFERROR(__xludf.DUMMYFUNCTION("""COMPUTED_VALUE"""),"")</f>
        <v/>
      </c>
      <c r="M12406" s="16" t="str">
        <f>IFERROR(__xludf.DUMMYFUNCTION("""COMPUTED_VALUE"""),"")</f>
        <v/>
      </c>
      <c r="U12406" s="16" t="s">
        <v>87</v>
      </c>
      <c r="V12406" s="16" t="str">
        <f>IFERROR(__xludf.DUMMYFUNCTION("""COMPUTED_VALUE"""),"")</f>
        <v/>
      </c>
      <c r="W12406" s="16" t="str">
        <f>IFERROR(__xludf.DUMMYFUNCTION("""COMPUTED_VALUE"""),"")</f>
        <v/>
      </c>
      <c r="X12406" s="16" t="str">
        <f>IFERROR(__xludf.DUMMYFUNCTION("""COMPUTED_VALUE"""),"")</f>
        <v/>
      </c>
      <c r="AC12406" s="16" t="str">
        <f>IFERROR(__xludf.DUMMYFUNCTION("""COMPUTED_VALUE"""),"")</f>
        <v/>
      </c>
    </row>
    <row r="12407">
      <c r="A12407" s="16" t="s">
        <v>87</v>
      </c>
      <c r="E12407" s="16" t="str">
        <f>IFERROR(__xludf.DUMMYFUNCTION("""COMPUTED_VALUE"""),"")</f>
        <v/>
      </c>
      <c r="G12407" s="18"/>
      <c r="H12407" s="16" t="s">
        <v>87</v>
      </c>
      <c r="I12407" s="16" t="s">
        <v>87</v>
      </c>
      <c r="J12407" s="19"/>
      <c r="L12407" s="16" t="str">
        <f>IFERROR(__xludf.DUMMYFUNCTION("""COMPUTED_VALUE"""),"")</f>
        <v/>
      </c>
      <c r="M12407" s="16" t="str">
        <f>IFERROR(__xludf.DUMMYFUNCTION("""COMPUTED_VALUE"""),"")</f>
        <v/>
      </c>
      <c r="U12407" s="16" t="s">
        <v>87</v>
      </c>
      <c r="V12407" s="16" t="str">
        <f>IFERROR(__xludf.DUMMYFUNCTION("""COMPUTED_VALUE"""),"")</f>
        <v/>
      </c>
      <c r="W12407" s="16" t="str">
        <f>IFERROR(__xludf.DUMMYFUNCTION("""COMPUTED_VALUE"""),"")</f>
        <v/>
      </c>
      <c r="X12407" s="16" t="str">
        <f>IFERROR(__xludf.DUMMYFUNCTION("""COMPUTED_VALUE"""),"")</f>
        <v/>
      </c>
      <c r="AC12407" s="16" t="str">
        <f>IFERROR(__xludf.DUMMYFUNCTION("""COMPUTED_VALUE"""),"")</f>
        <v/>
      </c>
    </row>
    <row r="12408">
      <c r="A12408" s="16" t="s">
        <v>87</v>
      </c>
      <c r="E12408" s="16" t="str">
        <f>IFERROR(__xludf.DUMMYFUNCTION("""COMPUTED_VALUE"""),"")</f>
        <v/>
      </c>
      <c r="G12408" s="18"/>
      <c r="H12408" s="16" t="s">
        <v>87</v>
      </c>
      <c r="I12408" s="16" t="s">
        <v>87</v>
      </c>
      <c r="J12408" s="19"/>
      <c r="L12408" s="16" t="str">
        <f>IFERROR(__xludf.DUMMYFUNCTION("""COMPUTED_VALUE"""),"")</f>
        <v/>
      </c>
      <c r="M12408" s="16" t="str">
        <f>IFERROR(__xludf.DUMMYFUNCTION("""COMPUTED_VALUE"""),"")</f>
        <v/>
      </c>
      <c r="U12408" s="16" t="s">
        <v>87</v>
      </c>
      <c r="V12408" s="16" t="str">
        <f>IFERROR(__xludf.DUMMYFUNCTION("""COMPUTED_VALUE"""),"")</f>
        <v/>
      </c>
      <c r="W12408" s="16" t="str">
        <f>IFERROR(__xludf.DUMMYFUNCTION("""COMPUTED_VALUE"""),"")</f>
        <v/>
      </c>
      <c r="X12408" s="16" t="str">
        <f>IFERROR(__xludf.DUMMYFUNCTION("""COMPUTED_VALUE"""),"")</f>
        <v/>
      </c>
      <c r="AC12408" s="16" t="str">
        <f>IFERROR(__xludf.DUMMYFUNCTION("""COMPUTED_VALUE"""),"")</f>
        <v/>
      </c>
    </row>
    <row r="12409">
      <c r="A12409" s="16" t="s">
        <v>87</v>
      </c>
      <c r="E12409" s="16" t="str">
        <f>IFERROR(__xludf.DUMMYFUNCTION("""COMPUTED_VALUE"""),"")</f>
        <v/>
      </c>
      <c r="G12409" s="18"/>
      <c r="H12409" s="16" t="s">
        <v>87</v>
      </c>
      <c r="I12409" s="16" t="s">
        <v>87</v>
      </c>
      <c r="J12409" s="19"/>
      <c r="L12409" s="16" t="str">
        <f>IFERROR(__xludf.DUMMYFUNCTION("""COMPUTED_VALUE"""),"")</f>
        <v/>
      </c>
      <c r="M12409" s="16" t="str">
        <f>IFERROR(__xludf.DUMMYFUNCTION("""COMPUTED_VALUE"""),"")</f>
        <v/>
      </c>
      <c r="U12409" s="16" t="s">
        <v>87</v>
      </c>
      <c r="V12409" s="16" t="str">
        <f>IFERROR(__xludf.DUMMYFUNCTION("""COMPUTED_VALUE"""),"")</f>
        <v/>
      </c>
      <c r="W12409" s="16" t="str">
        <f>IFERROR(__xludf.DUMMYFUNCTION("""COMPUTED_VALUE"""),"")</f>
        <v/>
      </c>
      <c r="X12409" s="16" t="str">
        <f>IFERROR(__xludf.DUMMYFUNCTION("""COMPUTED_VALUE"""),"")</f>
        <v/>
      </c>
      <c r="AC12409" s="16" t="str">
        <f>IFERROR(__xludf.DUMMYFUNCTION("""COMPUTED_VALUE"""),"")</f>
        <v/>
      </c>
    </row>
    <row r="12410">
      <c r="A12410" s="16" t="s">
        <v>87</v>
      </c>
      <c r="E12410" s="16" t="str">
        <f>IFERROR(__xludf.DUMMYFUNCTION("""COMPUTED_VALUE"""),"")</f>
        <v/>
      </c>
      <c r="G12410" s="18"/>
      <c r="H12410" s="16" t="s">
        <v>87</v>
      </c>
      <c r="I12410" s="16" t="s">
        <v>87</v>
      </c>
      <c r="J12410" s="19"/>
      <c r="L12410" s="16" t="str">
        <f>IFERROR(__xludf.DUMMYFUNCTION("""COMPUTED_VALUE"""),"")</f>
        <v/>
      </c>
      <c r="M12410" s="16" t="str">
        <f>IFERROR(__xludf.DUMMYFUNCTION("""COMPUTED_VALUE"""),"")</f>
        <v/>
      </c>
      <c r="U12410" s="16" t="s">
        <v>87</v>
      </c>
      <c r="V12410" s="16" t="str">
        <f>IFERROR(__xludf.DUMMYFUNCTION("""COMPUTED_VALUE"""),"")</f>
        <v/>
      </c>
      <c r="W12410" s="16" t="str">
        <f>IFERROR(__xludf.DUMMYFUNCTION("""COMPUTED_VALUE"""),"")</f>
        <v/>
      </c>
      <c r="X12410" s="16" t="str">
        <f>IFERROR(__xludf.DUMMYFUNCTION("""COMPUTED_VALUE"""),"")</f>
        <v/>
      </c>
      <c r="AC12410" s="16" t="str">
        <f>IFERROR(__xludf.DUMMYFUNCTION("""COMPUTED_VALUE"""),"")</f>
        <v/>
      </c>
    </row>
    <row r="12411">
      <c r="A12411" s="16" t="s">
        <v>87</v>
      </c>
      <c r="E12411" s="16" t="str">
        <f>IFERROR(__xludf.DUMMYFUNCTION("""COMPUTED_VALUE"""),"")</f>
        <v/>
      </c>
      <c r="G12411" s="18"/>
      <c r="H12411" s="16" t="s">
        <v>87</v>
      </c>
      <c r="I12411" s="16" t="s">
        <v>87</v>
      </c>
      <c r="J12411" s="19"/>
      <c r="L12411" s="16" t="str">
        <f>IFERROR(__xludf.DUMMYFUNCTION("""COMPUTED_VALUE"""),"")</f>
        <v/>
      </c>
      <c r="M12411" s="16" t="str">
        <f>IFERROR(__xludf.DUMMYFUNCTION("""COMPUTED_VALUE"""),"")</f>
        <v/>
      </c>
      <c r="U12411" s="16" t="s">
        <v>87</v>
      </c>
      <c r="V12411" s="16" t="str">
        <f>IFERROR(__xludf.DUMMYFUNCTION("""COMPUTED_VALUE"""),"")</f>
        <v/>
      </c>
      <c r="W12411" s="16" t="str">
        <f>IFERROR(__xludf.DUMMYFUNCTION("""COMPUTED_VALUE"""),"")</f>
        <v/>
      </c>
      <c r="X12411" s="16" t="str">
        <f>IFERROR(__xludf.DUMMYFUNCTION("""COMPUTED_VALUE"""),"")</f>
        <v/>
      </c>
      <c r="AC12411" s="16" t="str">
        <f>IFERROR(__xludf.DUMMYFUNCTION("""COMPUTED_VALUE"""),"")</f>
        <v/>
      </c>
    </row>
    <row r="12412">
      <c r="A12412" s="16" t="s">
        <v>87</v>
      </c>
      <c r="E12412" s="16" t="str">
        <f>IFERROR(__xludf.DUMMYFUNCTION("""COMPUTED_VALUE"""),"")</f>
        <v/>
      </c>
      <c r="G12412" s="18"/>
      <c r="H12412" s="16" t="s">
        <v>87</v>
      </c>
      <c r="I12412" s="16" t="s">
        <v>87</v>
      </c>
      <c r="J12412" s="19"/>
      <c r="L12412" s="16" t="str">
        <f>IFERROR(__xludf.DUMMYFUNCTION("""COMPUTED_VALUE"""),"")</f>
        <v/>
      </c>
      <c r="M12412" s="16" t="str">
        <f>IFERROR(__xludf.DUMMYFUNCTION("""COMPUTED_VALUE"""),"")</f>
        <v/>
      </c>
      <c r="U12412" s="16" t="s">
        <v>87</v>
      </c>
      <c r="V12412" s="16" t="str">
        <f>IFERROR(__xludf.DUMMYFUNCTION("""COMPUTED_VALUE"""),"")</f>
        <v/>
      </c>
      <c r="W12412" s="16" t="str">
        <f>IFERROR(__xludf.DUMMYFUNCTION("""COMPUTED_VALUE"""),"")</f>
        <v/>
      </c>
      <c r="X12412" s="16" t="str">
        <f>IFERROR(__xludf.DUMMYFUNCTION("""COMPUTED_VALUE"""),"")</f>
        <v/>
      </c>
      <c r="AC12412" s="16" t="str">
        <f>IFERROR(__xludf.DUMMYFUNCTION("""COMPUTED_VALUE"""),"")</f>
        <v/>
      </c>
    </row>
    <row r="12413">
      <c r="A12413" s="16" t="s">
        <v>87</v>
      </c>
      <c r="E12413" s="16" t="str">
        <f>IFERROR(__xludf.DUMMYFUNCTION("""COMPUTED_VALUE"""),"")</f>
        <v/>
      </c>
      <c r="G12413" s="18"/>
      <c r="H12413" s="16" t="s">
        <v>87</v>
      </c>
      <c r="I12413" s="16" t="s">
        <v>87</v>
      </c>
      <c r="J12413" s="19"/>
      <c r="L12413" s="16" t="str">
        <f>IFERROR(__xludf.DUMMYFUNCTION("""COMPUTED_VALUE"""),"")</f>
        <v/>
      </c>
      <c r="M12413" s="16" t="str">
        <f>IFERROR(__xludf.DUMMYFUNCTION("""COMPUTED_VALUE"""),"")</f>
        <v/>
      </c>
      <c r="U12413" s="16" t="s">
        <v>87</v>
      </c>
      <c r="V12413" s="16" t="str">
        <f>IFERROR(__xludf.DUMMYFUNCTION("""COMPUTED_VALUE"""),"")</f>
        <v/>
      </c>
      <c r="W12413" s="16" t="str">
        <f>IFERROR(__xludf.DUMMYFUNCTION("""COMPUTED_VALUE"""),"")</f>
        <v/>
      </c>
      <c r="X12413" s="16" t="str">
        <f>IFERROR(__xludf.DUMMYFUNCTION("""COMPUTED_VALUE"""),"")</f>
        <v/>
      </c>
      <c r="AC12413" s="16" t="str">
        <f>IFERROR(__xludf.DUMMYFUNCTION("""COMPUTED_VALUE"""),"")</f>
        <v/>
      </c>
    </row>
    <row r="12414">
      <c r="A12414" s="16" t="s">
        <v>87</v>
      </c>
      <c r="E12414" s="16" t="str">
        <f>IFERROR(__xludf.DUMMYFUNCTION("""COMPUTED_VALUE"""),"")</f>
        <v/>
      </c>
      <c r="G12414" s="18"/>
      <c r="H12414" s="16" t="s">
        <v>87</v>
      </c>
      <c r="I12414" s="16" t="s">
        <v>87</v>
      </c>
      <c r="J12414" s="19"/>
      <c r="L12414" s="16" t="str">
        <f>IFERROR(__xludf.DUMMYFUNCTION("""COMPUTED_VALUE"""),"")</f>
        <v/>
      </c>
      <c r="M12414" s="16" t="str">
        <f>IFERROR(__xludf.DUMMYFUNCTION("""COMPUTED_VALUE"""),"")</f>
        <v/>
      </c>
      <c r="U12414" s="16" t="s">
        <v>87</v>
      </c>
      <c r="V12414" s="16" t="str">
        <f>IFERROR(__xludf.DUMMYFUNCTION("""COMPUTED_VALUE"""),"")</f>
        <v/>
      </c>
      <c r="W12414" s="16" t="str">
        <f>IFERROR(__xludf.DUMMYFUNCTION("""COMPUTED_VALUE"""),"")</f>
        <v/>
      </c>
      <c r="X12414" s="16" t="str">
        <f>IFERROR(__xludf.DUMMYFUNCTION("""COMPUTED_VALUE"""),"")</f>
        <v/>
      </c>
      <c r="AC12414" s="16" t="str">
        <f>IFERROR(__xludf.DUMMYFUNCTION("""COMPUTED_VALUE"""),"")</f>
        <v/>
      </c>
    </row>
    <row r="12415">
      <c r="A12415" s="16" t="s">
        <v>87</v>
      </c>
      <c r="E12415" s="16" t="str">
        <f>IFERROR(__xludf.DUMMYFUNCTION("""COMPUTED_VALUE"""),"")</f>
        <v/>
      </c>
      <c r="G12415" s="18"/>
      <c r="H12415" s="16" t="s">
        <v>87</v>
      </c>
      <c r="I12415" s="16" t="s">
        <v>87</v>
      </c>
      <c r="J12415" s="19"/>
      <c r="L12415" s="16" t="str">
        <f>IFERROR(__xludf.DUMMYFUNCTION("""COMPUTED_VALUE"""),"")</f>
        <v/>
      </c>
      <c r="M12415" s="16" t="str">
        <f>IFERROR(__xludf.DUMMYFUNCTION("""COMPUTED_VALUE"""),"")</f>
        <v/>
      </c>
      <c r="U12415" s="16" t="s">
        <v>87</v>
      </c>
      <c r="V12415" s="16" t="str">
        <f>IFERROR(__xludf.DUMMYFUNCTION("""COMPUTED_VALUE"""),"")</f>
        <v/>
      </c>
      <c r="W12415" s="16" t="str">
        <f>IFERROR(__xludf.DUMMYFUNCTION("""COMPUTED_VALUE"""),"")</f>
        <v/>
      </c>
      <c r="X12415" s="16" t="str">
        <f>IFERROR(__xludf.DUMMYFUNCTION("""COMPUTED_VALUE"""),"")</f>
        <v/>
      </c>
      <c r="AC12415" s="16" t="str">
        <f>IFERROR(__xludf.DUMMYFUNCTION("""COMPUTED_VALUE"""),"")</f>
        <v/>
      </c>
    </row>
    <row r="12416">
      <c r="A12416" s="16" t="s">
        <v>87</v>
      </c>
      <c r="E12416" s="16" t="str">
        <f>IFERROR(__xludf.DUMMYFUNCTION("""COMPUTED_VALUE"""),"")</f>
        <v/>
      </c>
      <c r="G12416" s="18"/>
      <c r="H12416" s="16" t="s">
        <v>87</v>
      </c>
      <c r="I12416" s="16" t="s">
        <v>87</v>
      </c>
      <c r="J12416" s="19"/>
      <c r="L12416" s="16" t="str">
        <f>IFERROR(__xludf.DUMMYFUNCTION("""COMPUTED_VALUE"""),"")</f>
        <v/>
      </c>
      <c r="M12416" s="16" t="str">
        <f>IFERROR(__xludf.DUMMYFUNCTION("""COMPUTED_VALUE"""),"")</f>
        <v/>
      </c>
      <c r="U12416" s="16" t="s">
        <v>87</v>
      </c>
      <c r="V12416" s="16" t="str">
        <f>IFERROR(__xludf.DUMMYFUNCTION("""COMPUTED_VALUE"""),"")</f>
        <v/>
      </c>
      <c r="W12416" s="16" t="str">
        <f>IFERROR(__xludf.DUMMYFUNCTION("""COMPUTED_VALUE"""),"")</f>
        <v/>
      </c>
      <c r="X12416" s="16" t="str">
        <f>IFERROR(__xludf.DUMMYFUNCTION("""COMPUTED_VALUE"""),"")</f>
        <v/>
      </c>
      <c r="AC12416" s="16" t="str">
        <f>IFERROR(__xludf.DUMMYFUNCTION("""COMPUTED_VALUE"""),"")</f>
        <v/>
      </c>
    </row>
    <row r="12417">
      <c r="A12417" s="16" t="s">
        <v>87</v>
      </c>
      <c r="E12417" s="16" t="str">
        <f>IFERROR(__xludf.DUMMYFUNCTION("""COMPUTED_VALUE"""),"")</f>
        <v/>
      </c>
      <c r="G12417" s="18"/>
      <c r="H12417" s="16" t="s">
        <v>87</v>
      </c>
      <c r="I12417" s="16" t="s">
        <v>87</v>
      </c>
      <c r="J12417" s="19"/>
      <c r="L12417" s="16" t="str">
        <f>IFERROR(__xludf.DUMMYFUNCTION("""COMPUTED_VALUE"""),"")</f>
        <v/>
      </c>
      <c r="M12417" s="16" t="str">
        <f>IFERROR(__xludf.DUMMYFUNCTION("""COMPUTED_VALUE"""),"")</f>
        <v/>
      </c>
      <c r="U12417" s="16" t="s">
        <v>87</v>
      </c>
      <c r="V12417" s="16" t="str">
        <f>IFERROR(__xludf.DUMMYFUNCTION("""COMPUTED_VALUE"""),"")</f>
        <v/>
      </c>
      <c r="W12417" s="16" t="str">
        <f>IFERROR(__xludf.DUMMYFUNCTION("""COMPUTED_VALUE"""),"")</f>
        <v/>
      </c>
      <c r="X12417" s="16" t="str">
        <f>IFERROR(__xludf.DUMMYFUNCTION("""COMPUTED_VALUE"""),"")</f>
        <v/>
      </c>
      <c r="AC12417" s="16" t="str">
        <f>IFERROR(__xludf.DUMMYFUNCTION("""COMPUTED_VALUE"""),"")</f>
        <v/>
      </c>
    </row>
    <row r="12418">
      <c r="A12418" s="16" t="s">
        <v>87</v>
      </c>
      <c r="E12418" s="16" t="str">
        <f>IFERROR(__xludf.DUMMYFUNCTION("""COMPUTED_VALUE"""),"")</f>
        <v/>
      </c>
      <c r="G12418" s="18"/>
      <c r="H12418" s="16" t="s">
        <v>87</v>
      </c>
      <c r="I12418" s="16" t="s">
        <v>87</v>
      </c>
      <c r="J12418" s="19"/>
      <c r="L12418" s="16" t="str">
        <f>IFERROR(__xludf.DUMMYFUNCTION("""COMPUTED_VALUE"""),"")</f>
        <v/>
      </c>
      <c r="M12418" s="16" t="str">
        <f>IFERROR(__xludf.DUMMYFUNCTION("""COMPUTED_VALUE"""),"")</f>
        <v/>
      </c>
      <c r="U12418" s="16" t="s">
        <v>87</v>
      </c>
      <c r="V12418" s="16" t="str">
        <f>IFERROR(__xludf.DUMMYFUNCTION("""COMPUTED_VALUE"""),"")</f>
        <v/>
      </c>
      <c r="W12418" s="16" t="str">
        <f>IFERROR(__xludf.DUMMYFUNCTION("""COMPUTED_VALUE"""),"")</f>
        <v/>
      </c>
      <c r="X12418" s="16" t="str">
        <f>IFERROR(__xludf.DUMMYFUNCTION("""COMPUTED_VALUE"""),"")</f>
        <v/>
      </c>
      <c r="AC12418" s="16" t="str">
        <f>IFERROR(__xludf.DUMMYFUNCTION("""COMPUTED_VALUE"""),"")</f>
        <v/>
      </c>
    </row>
    <row r="12419">
      <c r="A12419" s="16" t="s">
        <v>87</v>
      </c>
      <c r="E12419" s="16" t="str">
        <f>IFERROR(__xludf.DUMMYFUNCTION("""COMPUTED_VALUE"""),"")</f>
        <v/>
      </c>
      <c r="G12419" s="18"/>
      <c r="H12419" s="16" t="s">
        <v>87</v>
      </c>
      <c r="I12419" s="16" t="s">
        <v>87</v>
      </c>
      <c r="J12419" s="19"/>
      <c r="L12419" s="16" t="str">
        <f>IFERROR(__xludf.DUMMYFUNCTION("""COMPUTED_VALUE"""),"")</f>
        <v/>
      </c>
      <c r="M12419" s="16" t="str">
        <f>IFERROR(__xludf.DUMMYFUNCTION("""COMPUTED_VALUE"""),"")</f>
        <v/>
      </c>
      <c r="U12419" s="16" t="s">
        <v>87</v>
      </c>
      <c r="V12419" s="16" t="str">
        <f>IFERROR(__xludf.DUMMYFUNCTION("""COMPUTED_VALUE"""),"")</f>
        <v/>
      </c>
      <c r="W12419" s="16" t="str">
        <f>IFERROR(__xludf.DUMMYFUNCTION("""COMPUTED_VALUE"""),"")</f>
        <v/>
      </c>
      <c r="X12419" s="16" t="str">
        <f>IFERROR(__xludf.DUMMYFUNCTION("""COMPUTED_VALUE"""),"")</f>
        <v/>
      </c>
      <c r="AC12419" s="16" t="str">
        <f>IFERROR(__xludf.DUMMYFUNCTION("""COMPUTED_VALUE"""),"")</f>
        <v/>
      </c>
    </row>
    <row r="12420">
      <c r="A12420" s="16" t="s">
        <v>87</v>
      </c>
      <c r="E12420" s="16" t="str">
        <f>IFERROR(__xludf.DUMMYFUNCTION("""COMPUTED_VALUE"""),"")</f>
        <v/>
      </c>
      <c r="G12420" s="18"/>
      <c r="H12420" s="16" t="s">
        <v>87</v>
      </c>
      <c r="I12420" s="16" t="s">
        <v>87</v>
      </c>
      <c r="J12420" s="19"/>
      <c r="L12420" s="16" t="str">
        <f>IFERROR(__xludf.DUMMYFUNCTION("""COMPUTED_VALUE"""),"")</f>
        <v/>
      </c>
      <c r="M12420" s="16" t="str">
        <f>IFERROR(__xludf.DUMMYFUNCTION("""COMPUTED_VALUE"""),"")</f>
        <v/>
      </c>
      <c r="U12420" s="16" t="s">
        <v>87</v>
      </c>
      <c r="V12420" s="16" t="str">
        <f>IFERROR(__xludf.DUMMYFUNCTION("""COMPUTED_VALUE"""),"")</f>
        <v/>
      </c>
      <c r="W12420" s="16" t="str">
        <f>IFERROR(__xludf.DUMMYFUNCTION("""COMPUTED_VALUE"""),"")</f>
        <v/>
      </c>
      <c r="X12420" s="16" t="str">
        <f>IFERROR(__xludf.DUMMYFUNCTION("""COMPUTED_VALUE"""),"")</f>
        <v/>
      </c>
      <c r="AC12420" s="16" t="str">
        <f>IFERROR(__xludf.DUMMYFUNCTION("""COMPUTED_VALUE"""),"")</f>
        <v/>
      </c>
    </row>
    <row r="12421">
      <c r="A12421" s="16" t="s">
        <v>87</v>
      </c>
      <c r="E12421" s="16" t="str">
        <f>IFERROR(__xludf.DUMMYFUNCTION("""COMPUTED_VALUE"""),"")</f>
        <v/>
      </c>
      <c r="G12421" s="18"/>
      <c r="H12421" s="16" t="s">
        <v>87</v>
      </c>
      <c r="I12421" s="16" t="s">
        <v>87</v>
      </c>
      <c r="J12421" s="19"/>
      <c r="L12421" s="16" t="str">
        <f>IFERROR(__xludf.DUMMYFUNCTION("""COMPUTED_VALUE"""),"")</f>
        <v/>
      </c>
      <c r="M12421" s="16" t="str">
        <f>IFERROR(__xludf.DUMMYFUNCTION("""COMPUTED_VALUE"""),"")</f>
        <v/>
      </c>
      <c r="U12421" s="16" t="s">
        <v>87</v>
      </c>
      <c r="V12421" s="16" t="str">
        <f>IFERROR(__xludf.DUMMYFUNCTION("""COMPUTED_VALUE"""),"")</f>
        <v/>
      </c>
      <c r="W12421" s="16" t="str">
        <f>IFERROR(__xludf.DUMMYFUNCTION("""COMPUTED_VALUE"""),"")</f>
        <v/>
      </c>
      <c r="X12421" s="16" t="str">
        <f>IFERROR(__xludf.DUMMYFUNCTION("""COMPUTED_VALUE"""),"")</f>
        <v/>
      </c>
      <c r="AC12421" s="16" t="str">
        <f>IFERROR(__xludf.DUMMYFUNCTION("""COMPUTED_VALUE"""),"")</f>
        <v/>
      </c>
    </row>
    <row r="12422">
      <c r="A12422" s="16" t="s">
        <v>87</v>
      </c>
      <c r="E12422" s="16" t="str">
        <f>IFERROR(__xludf.DUMMYFUNCTION("""COMPUTED_VALUE"""),"")</f>
        <v/>
      </c>
      <c r="G12422" s="18"/>
      <c r="H12422" s="16" t="s">
        <v>87</v>
      </c>
      <c r="I12422" s="16" t="s">
        <v>87</v>
      </c>
      <c r="J12422" s="19"/>
      <c r="L12422" s="16" t="str">
        <f>IFERROR(__xludf.DUMMYFUNCTION("""COMPUTED_VALUE"""),"")</f>
        <v/>
      </c>
      <c r="M12422" s="16" t="str">
        <f>IFERROR(__xludf.DUMMYFUNCTION("""COMPUTED_VALUE"""),"")</f>
        <v/>
      </c>
      <c r="U12422" s="16" t="s">
        <v>87</v>
      </c>
      <c r="V12422" s="16" t="str">
        <f>IFERROR(__xludf.DUMMYFUNCTION("""COMPUTED_VALUE"""),"")</f>
        <v/>
      </c>
      <c r="W12422" s="16" t="str">
        <f>IFERROR(__xludf.DUMMYFUNCTION("""COMPUTED_VALUE"""),"")</f>
        <v/>
      </c>
      <c r="X12422" s="16" t="str">
        <f>IFERROR(__xludf.DUMMYFUNCTION("""COMPUTED_VALUE"""),"")</f>
        <v/>
      </c>
      <c r="AC12422" s="16" t="str">
        <f>IFERROR(__xludf.DUMMYFUNCTION("""COMPUTED_VALUE"""),"")</f>
        <v/>
      </c>
    </row>
    <row r="12423">
      <c r="A12423" s="16" t="s">
        <v>87</v>
      </c>
      <c r="E12423" s="16" t="str">
        <f>IFERROR(__xludf.DUMMYFUNCTION("""COMPUTED_VALUE"""),"")</f>
        <v/>
      </c>
      <c r="G12423" s="18"/>
      <c r="H12423" s="16" t="s">
        <v>87</v>
      </c>
      <c r="I12423" s="16" t="s">
        <v>87</v>
      </c>
      <c r="J12423" s="19"/>
      <c r="L12423" s="16" t="str">
        <f>IFERROR(__xludf.DUMMYFUNCTION("""COMPUTED_VALUE"""),"")</f>
        <v/>
      </c>
      <c r="M12423" s="16" t="str">
        <f>IFERROR(__xludf.DUMMYFUNCTION("""COMPUTED_VALUE"""),"")</f>
        <v/>
      </c>
      <c r="U12423" s="16" t="s">
        <v>87</v>
      </c>
      <c r="V12423" s="16" t="str">
        <f>IFERROR(__xludf.DUMMYFUNCTION("""COMPUTED_VALUE"""),"")</f>
        <v/>
      </c>
      <c r="W12423" s="16" t="str">
        <f>IFERROR(__xludf.DUMMYFUNCTION("""COMPUTED_VALUE"""),"")</f>
        <v/>
      </c>
      <c r="X12423" s="16" t="str">
        <f>IFERROR(__xludf.DUMMYFUNCTION("""COMPUTED_VALUE"""),"")</f>
        <v/>
      </c>
      <c r="AC12423" s="16" t="str">
        <f>IFERROR(__xludf.DUMMYFUNCTION("""COMPUTED_VALUE"""),"")</f>
        <v/>
      </c>
    </row>
    <row r="12424">
      <c r="A12424" s="16" t="s">
        <v>87</v>
      </c>
      <c r="E12424" s="16" t="str">
        <f>IFERROR(__xludf.DUMMYFUNCTION("""COMPUTED_VALUE"""),"")</f>
        <v/>
      </c>
      <c r="G12424" s="18"/>
      <c r="H12424" s="16" t="s">
        <v>87</v>
      </c>
      <c r="I12424" s="16" t="s">
        <v>87</v>
      </c>
      <c r="J12424" s="19"/>
      <c r="L12424" s="16" t="str">
        <f>IFERROR(__xludf.DUMMYFUNCTION("""COMPUTED_VALUE"""),"")</f>
        <v/>
      </c>
      <c r="M12424" s="16" t="str">
        <f>IFERROR(__xludf.DUMMYFUNCTION("""COMPUTED_VALUE"""),"")</f>
        <v/>
      </c>
      <c r="U12424" s="16" t="s">
        <v>87</v>
      </c>
      <c r="V12424" s="16" t="str">
        <f>IFERROR(__xludf.DUMMYFUNCTION("""COMPUTED_VALUE"""),"")</f>
        <v/>
      </c>
      <c r="W12424" s="16" t="str">
        <f>IFERROR(__xludf.DUMMYFUNCTION("""COMPUTED_VALUE"""),"")</f>
        <v/>
      </c>
      <c r="X12424" s="16" t="str">
        <f>IFERROR(__xludf.DUMMYFUNCTION("""COMPUTED_VALUE"""),"")</f>
        <v/>
      </c>
      <c r="AC12424" s="16" t="str">
        <f>IFERROR(__xludf.DUMMYFUNCTION("""COMPUTED_VALUE"""),"")</f>
        <v/>
      </c>
    </row>
    <row r="12425">
      <c r="A12425" s="16" t="s">
        <v>87</v>
      </c>
      <c r="E12425" s="16" t="str">
        <f>IFERROR(__xludf.DUMMYFUNCTION("""COMPUTED_VALUE"""),"")</f>
        <v/>
      </c>
      <c r="G12425" s="18"/>
      <c r="H12425" s="16" t="s">
        <v>87</v>
      </c>
      <c r="I12425" s="16" t="s">
        <v>87</v>
      </c>
      <c r="J12425" s="19"/>
      <c r="L12425" s="16" t="str">
        <f>IFERROR(__xludf.DUMMYFUNCTION("""COMPUTED_VALUE"""),"")</f>
        <v/>
      </c>
      <c r="M12425" s="16" t="str">
        <f>IFERROR(__xludf.DUMMYFUNCTION("""COMPUTED_VALUE"""),"")</f>
        <v/>
      </c>
      <c r="U12425" s="16" t="s">
        <v>87</v>
      </c>
      <c r="V12425" s="16" t="str">
        <f>IFERROR(__xludf.DUMMYFUNCTION("""COMPUTED_VALUE"""),"")</f>
        <v/>
      </c>
      <c r="W12425" s="16" t="str">
        <f>IFERROR(__xludf.DUMMYFUNCTION("""COMPUTED_VALUE"""),"")</f>
        <v/>
      </c>
      <c r="X12425" s="16" t="str">
        <f>IFERROR(__xludf.DUMMYFUNCTION("""COMPUTED_VALUE"""),"")</f>
        <v/>
      </c>
      <c r="AC12425" s="16" t="str">
        <f>IFERROR(__xludf.DUMMYFUNCTION("""COMPUTED_VALUE"""),"")</f>
        <v/>
      </c>
    </row>
    <row r="12426">
      <c r="A12426" s="16" t="s">
        <v>87</v>
      </c>
      <c r="E12426" s="16" t="str">
        <f>IFERROR(__xludf.DUMMYFUNCTION("""COMPUTED_VALUE"""),"")</f>
        <v/>
      </c>
      <c r="G12426" s="18"/>
      <c r="H12426" s="16" t="s">
        <v>87</v>
      </c>
      <c r="I12426" s="16" t="s">
        <v>87</v>
      </c>
      <c r="J12426" s="19"/>
      <c r="L12426" s="16" t="str">
        <f>IFERROR(__xludf.DUMMYFUNCTION("""COMPUTED_VALUE"""),"")</f>
        <v/>
      </c>
      <c r="M12426" s="16" t="str">
        <f>IFERROR(__xludf.DUMMYFUNCTION("""COMPUTED_VALUE"""),"")</f>
        <v/>
      </c>
      <c r="U12426" s="16" t="s">
        <v>87</v>
      </c>
      <c r="V12426" s="16" t="str">
        <f>IFERROR(__xludf.DUMMYFUNCTION("""COMPUTED_VALUE"""),"")</f>
        <v/>
      </c>
      <c r="W12426" s="16" t="str">
        <f>IFERROR(__xludf.DUMMYFUNCTION("""COMPUTED_VALUE"""),"")</f>
        <v/>
      </c>
      <c r="X12426" s="16" t="str">
        <f>IFERROR(__xludf.DUMMYFUNCTION("""COMPUTED_VALUE"""),"")</f>
        <v/>
      </c>
      <c r="AC12426" s="16" t="str">
        <f>IFERROR(__xludf.DUMMYFUNCTION("""COMPUTED_VALUE"""),"")</f>
        <v/>
      </c>
    </row>
    <row r="12427">
      <c r="A12427" s="16" t="s">
        <v>87</v>
      </c>
      <c r="E12427" s="16" t="str">
        <f>IFERROR(__xludf.DUMMYFUNCTION("""COMPUTED_VALUE"""),"")</f>
        <v/>
      </c>
      <c r="G12427" s="18"/>
      <c r="H12427" s="16" t="s">
        <v>87</v>
      </c>
      <c r="I12427" s="16" t="s">
        <v>87</v>
      </c>
      <c r="J12427" s="19"/>
      <c r="L12427" s="16" t="str">
        <f>IFERROR(__xludf.DUMMYFUNCTION("""COMPUTED_VALUE"""),"")</f>
        <v/>
      </c>
      <c r="M12427" s="16" t="str">
        <f>IFERROR(__xludf.DUMMYFUNCTION("""COMPUTED_VALUE"""),"")</f>
        <v/>
      </c>
      <c r="U12427" s="16" t="s">
        <v>87</v>
      </c>
      <c r="V12427" s="16" t="str">
        <f>IFERROR(__xludf.DUMMYFUNCTION("""COMPUTED_VALUE"""),"")</f>
        <v/>
      </c>
      <c r="W12427" s="16" t="str">
        <f>IFERROR(__xludf.DUMMYFUNCTION("""COMPUTED_VALUE"""),"")</f>
        <v/>
      </c>
      <c r="X12427" s="16" t="str">
        <f>IFERROR(__xludf.DUMMYFUNCTION("""COMPUTED_VALUE"""),"")</f>
        <v/>
      </c>
      <c r="AC12427" s="16" t="str">
        <f>IFERROR(__xludf.DUMMYFUNCTION("""COMPUTED_VALUE"""),"")</f>
        <v/>
      </c>
    </row>
    <row r="12428">
      <c r="A12428" s="16" t="s">
        <v>87</v>
      </c>
      <c r="E12428" s="16" t="str">
        <f>IFERROR(__xludf.DUMMYFUNCTION("""COMPUTED_VALUE"""),"")</f>
        <v/>
      </c>
      <c r="G12428" s="18"/>
      <c r="H12428" s="16" t="s">
        <v>87</v>
      </c>
      <c r="I12428" s="16" t="s">
        <v>87</v>
      </c>
      <c r="J12428" s="19"/>
      <c r="L12428" s="16" t="str">
        <f>IFERROR(__xludf.DUMMYFUNCTION("""COMPUTED_VALUE"""),"")</f>
        <v/>
      </c>
      <c r="M12428" s="16" t="str">
        <f>IFERROR(__xludf.DUMMYFUNCTION("""COMPUTED_VALUE"""),"")</f>
        <v/>
      </c>
      <c r="U12428" s="16" t="s">
        <v>87</v>
      </c>
      <c r="V12428" s="16" t="str">
        <f>IFERROR(__xludf.DUMMYFUNCTION("""COMPUTED_VALUE"""),"")</f>
        <v/>
      </c>
      <c r="W12428" s="16" t="str">
        <f>IFERROR(__xludf.DUMMYFUNCTION("""COMPUTED_VALUE"""),"")</f>
        <v/>
      </c>
      <c r="X12428" s="16" t="str">
        <f>IFERROR(__xludf.DUMMYFUNCTION("""COMPUTED_VALUE"""),"")</f>
        <v/>
      </c>
      <c r="AC12428" s="16" t="str">
        <f>IFERROR(__xludf.DUMMYFUNCTION("""COMPUTED_VALUE"""),"")</f>
        <v/>
      </c>
    </row>
    <row r="12429">
      <c r="A12429" s="16" t="s">
        <v>87</v>
      </c>
      <c r="E12429" s="16" t="str">
        <f>IFERROR(__xludf.DUMMYFUNCTION("""COMPUTED_VALUE"""),"")</f>
        <v/>
      </c>
      <c r="G12429" s="18"/>
      <c r="H12429" s="16" t="s">
        <v>87</v>
      </c>
      <c r="I12429" s="16" t="s">
        <v>87</v>
      </c>
      <c r="J12429" s="19"/>
      <c r="L12429" s="16" t="str">
        <f>IFERROR(__xludf.DUMMYFUNCTION("""COMPUTED_VALUE"""),"")</f>
        <v/>
      </c>
      <c r="M12429" s="16" t="str">
        <f>IFERROR(__xludf.DUMMYFUNCTION("""COMPUTED_VALUE"""),"")</f>
        <v/>
      </c>
      <c r="U12429" s="16" t="s">
        <v>87</v>
      </c>
      <c r="V12429" s="16" t="str">
        <f>IFERROR(__xludf.DUMMYFUNCTION("""COMPUTED_VALUE"""),"")</f>
        <v/>
      </c>
      <c r="W12429" s="16" t="str">
        <f>IFERROR(__xludf.DUMMYFUNCTION("""COMPUTED_VALUE"""),"")</f>
        <v/>
      </c>
      <c r="X12429" s="16" t="str">
        <f>IFERROR(__xludf.DUMMYFUNCTION("""COMPUTED_VALUE"""),"")</f>
        <v/>
      </c>
      <c r="AC12429" s="16" t="str">
        <f>IFERROR(__xludf.DUMMYFUNCTION("""COMPUTED_VALUE"""),"")</f>
        <v/>
      </c>
    </row>
    <row r="12430">
      <c r="A12430" s="16" t="s">
        <v>87</v>
      </c>
      <c r="E12430" s="16" t="str">
        <f>IFERROR(__xludf.DUMMYFUNCTION("""COMPUTED_VALUE"""),"")</f>
        <v/>
      </c>
      <c r="G12430" s="18"/>
      <c r="H12430" s="16" t="s">
        <v>87</v>
      </c>
      <c r="I12430" s="16" t="s">
        <v>87</v>
      </c>
      <c r="J12430" s="19"/>
      <c r="L12430" s="16" t="str">
        <f>IFERROR(__xludf.DUMMYFUNCTION("""COMPUTED_VALUE"""),"")</f>
        <v/>
      </c>
      <c r="M12430" s="16" t="str">
        <f>IFERROR(__xludf.DUMMYFUNCTION("""COMPUTED_VALUE"""),"")</f>
        <v/>
      </c>
      <c r="U12430" s="16" t="s">
        <v>87</v>
      </c>
      <c r="V12430" s="16" t="str">
        <f>IFERROR(__xludf.DUMMYFUNCTION("""COMPUTED_VALUE"""),"")</f>
        <v/>
      </c>
      <c r="W12430" s="16" t="str">
        <f>IFERROR(__xludf.DUMMYFUNCTION("""COMPUTED_VALUE"""),"")</f>
        <v/>
      </c>
      <c r="X12430" s="16" t="str">
        <f>IFERROR(__xludf.DUMMYFUNCTION("""COMPUTED_VALUE"""),"")</f>
        <v/>
      </c>
      <c r="AC12430" s="16" t="str">
        <f>IFERROR(__xludf.DUMMYFUNCTION("""COMPUTED_VALUE"""),"")</f>
        <v/>
      </c>
    </row>
    <row r="12431">
      <c r="A12431" s="16" t="s">
        <v>87</v>
      </c>
      <c r="E12431" s="16" t="str">
        <f>IFERROR(__xludf.DUMMYFUNCTION("""COMPUTED_VALUE"""),"")</f>
        <v/>
      </c>
      <c r="G12431" s="18"/>
      <c r="H12431" s="16" t="s">
        <v>87</v>
      </c>
      <c r="I12431" s="16" t="s">
        <v>87</v>
      </c>
      <c r="J12431" s="19"/>
      <c r="L12431" s="16" t="str">
        <f>IFERROR(__xludf.DUMMYFUNCTION("""COMPUTED_VALUE"""),"")</f>
        <v/>
      </c>
      <c r="M12431" s="16" t="str">
        <f>IFERROR(__xludf.DUMMYFUNCTION("""COMPUTED_VALUE"""),"")</f>
        <v/>
      </c>
      <c r="U12431" s="16" t="s">
        <v>87</v>
      </c>
      <c r="V12431" s="16" t="str">
        <f>IFERROR(__xludf.DUMMYFUNCTION("""COMPUTED_VALUE"""),"")</f>
        <v/>
      </c>
      <c r="W12431" s="16" t="str">
        <f>IFERROR(__xludf.DUMMYFUNCTION("""COMPUTED_VALUE"""),"")</f>
        <v/>
      </c>
      <c r="X12431" s="16" t="str">
        <f>IFERROR(__xludf.DUMMYFUNCTION("""COMPUTED_VALUE"""),"")</f>
        <v/>
      </c>
      <c r="AC12431" s="16" t="str">
        <f>IFERROR(__xludf.DUMMYFUNCTION("""COMPUTED_VALUE"""),"")</f>
        <v/>
      </c>
    </row>
    <row r="12432">
      <c r="A12432" s="16" t="s">
        <v>87</v>
      </c>
      <c r="E12432" s="16" t="str">
        <f>IFERROR(__xludf.DUMMYFUNCTION("""COMPUTED_VALUE"""),"")</f>
        <v/>
      </c>
      <c r="G12432" s="18"/>
      <c r="H12432" s="16" t="s">
        <v>87</v>
      </c>
      <c r="I12432" s="16" t="s">
        <v>87</v>
      </c>
      <c r="J12432" s="19"/>
      <c r="L12432" s="16" t="str">
        <f>IFERROR(__xludf.DUMMYFUNCTION("""COMPUTED_VALUE"""),"")</f>
        <v/>
      </c>
      <c r="M12432" s="16" t="str">
        <f>IFERROR(__xludf.DUMMYFUNCTION("""COMPUTED_VALUE"""),"")</f>
        <v/>
      </c>
      <c r="U12432" s="16" t="s">
        <v>87</v>
      </c>
      <c r="V12432" s="16" t="str">
        <f>IFERROR(__xludf.DUMMYFUNCTION("""COMPUTED_VALUE"""),"")</f>
        <v/>
      </c>
      <c r="W12432" s="16" t="str">
        <f>IFERROR(__xludf.DUMMYFUNCTION("""COMPUTED_VALUE"""),"")</f>
        <v/>
      </c>
      <c r="X12432" s="16" t="str">
        <f>IFERROR(__xludf.DUMMYFUNCTION("""COMPUTED_VALUE"""),"")</f>
        <v/>
      </c>
      <c r="AC12432" s="16" t="str">
        <f>IFERROR(__xludf.DUMMYFUNCTION("""COMPUTED_VALUE"""),"")</f>
        <v/>
      </c>
    </row>
    <row r="12433">
      <c r="A12433" s="16" t="s">
        <v>87</v>
      </c>
      <c r="E12433" s="16" t="str">
        <f>IFERROR(__xludf.DUMMYFUNCTION("""COMPUTED_VALUE"""),"")</f>
        <v/>
      </c>
      <c r="G12433" s="18"/>
      <c r="H12433" s="16" t="s">
        <v>87</v>
      </c>
      <c r="I12433" s="16" t="s">
        <v>87</v>
      </c>
      <c r="J12433" s="19"/>
      <c r="L12433" s="16" t="str">
        <f>IFERROR(__xludf.DUMMYFUNCTION("""COMPUTED_VALUE"""),"")</f>
        <v/>
      </c>
      <c r="M12433" s="16" t="str">
        <f>IFERROR(__xludf.DUMMYFUNCTION("""COMPUTED_VALUE"""),"")</f>
        <v/>
      </c>
      <c r="U12433" s="16" t="s">
        <v>87</v>
      </c>
      <c r="V12433" s="16" t="str">
        <f>IFERROR(__xludf.DUMMYFUNCTION("""COMPUTED_VALUE"""),"")</f>
        <v/>
      </c>
      <c r="W12433" s="16" t="str">
        <f>IFERROR(__xludf.DUMMYFUNCTION("""COMPUTED_VALUE"""),"")</f>
        <v/>
      </c>
      <c r="X12433" s="16" t="str">
        <f>IFERROR(__xludf.DUMMYFUNCTION("""COMPUTED_VALUE"""),"")</f>
        <v/>
      </c>
      <c r="AC12433" s="16" t="str">
        <f>IFERROR(__xludf.DUMMYFUNCTION("""COMPUTED_VALUE"""),"")</f>
        <v/>
      </c>
    </row>
    <row r="12434">
      <c r="A12434" s="16" t="s">
        <v>87</v>
      </c>
      <c r="E12434" s="16" t="str">
        <f>IFERROR(__xludf.DUMMYFUNCTION("""COMPUTED_VALUE"""),"")</f>
        <v/>
      </c>
      <c r="G12434" s="18"/>
      <c r="H12434" s="16" t="s">
        <v>87</v>
      </c>
      <c r="I12434" s="16" t="s">
        <v>87</v>
      </c>
      <c r="J12434" s="19"/>
      <c r="L12434" s="16" t="str">
        <f>IFERROR(__xludf.DUMMYFUNCTION("""COMPUTED_VALUE"""),"")</f>
        <v/>
      </c>
      <c r="M12434" s="16" t="str">
        <f>IFERROR(__xludf.DUMMYFUNCTION("""COMPUTED_VALUE"""),"")</f>
        <v/>
      </c>
      <c r="U12434" s="16" t="s">
        <v>87</v>
      </c>
      <c r="V12434" s="16" t="str">
        <f>IFERROR(__xludf.DUMMYFUNCTION("""COMPUTED_VALUE"""),"")</f>
        <v/>
      </c>
      <c r="W12434" s="16" t="str">
        <f>IFERROR(__xludf.DUMMYFUNCTION("""COMPUTED_VALUE"""),"")</f>
        <v/>
      </c>
      <c r="X12434" s="16" t="str">
        <f>IFERROR(__xludf.DUMMYFUNCTION("""COMPUTED_VALUE"""),"")</f>
        <v/>
      </c>
      <c r="AC12434" s="16" t="str">
        <f>IFERROR(__xludf.DUMMYFUNCTION("""COMPUTED_VALUE"""),"")</f>
        <v/>
      </c>
    </row>
    <row r="12435">
      <c r="A12435" s="16" t="s">
        <v>87</v>
      </c>
      <c r="E12435" s="16" t="str">
        <f>IFERROR(__xludf.DUMMYFUNCTION("""COMPUTED_VALUE"""),"")</f>
        <v/>
      </c>
      <c r="G12435" s="18"/>
      <c r="H12435" s="16" t="s">
        <v>87</v>
      </c>
      <c r="I12435" s="16" t="s">
        <v>87</v>
      </c>
      <c r="J12435" s="19"/>
      <c r="L12435" s="16" t="str">
        <f>IFERROR(__xludf.DUMMYFUNCTION("""COMPUTED_VALUE"""),"")</f>
        <v/>
      </c>
      <c r="M12435" s="16" t="str">
        <f>IFERROR(__xludf.DUMMYFUNCTION("""COMPUTED_VALUE"""),"")</f>
        <v/>
      </c>
      <c r="U12435" s="16" t="s">
        <v>87</v>
      </c>
      <c r="V12435" s="16" t="str">
        <f>IFERROR(__xludf.DUMMYFUNCTION("""COMPUTED_VALUE"""),"")</f>
        <v/>
      </c>
      <c r="W12435" s="16" t="str">
        <f>IFERROR(__xludf.DUMMYFUNCTION("""COMPUTED_VALUE"""),"")</f>
        <v/>
      </c>
      <c r="X12435" s="16" t="str">
        <f>IFERROR(__xludf.DUMMYFUNCTION("""COMPUTED_VALUE"""),"")</f>
        <v/>
      </c>
      <c r="AC12435" s="16" t="str">
        <f>IFERROR(__xludf.DUMMYFUNCTION("""COMPUTED_VALUE"""),"")</f>
        <v/>
      </c>
    </row>
    <row r="12436">
      <c r="A12436" s="16" t="s">
        <v>87</v>
      </c>
      <c r="E12436" s="16" t="str">
        <f>IFERROR(__xludf.DUMMYFUNCTION("""COMPUTED_VALUE"""),"")</f>
        <v/>
      </c>
      <c r="G12436" s="18"/>
      <c r="H12436" s="16" t="s">
        <v>87</v>
      </c>
      <c r="I12436" s="16" t="s">
        <v>87</v>
      </c>
      <c r="J12436" s="19"/>
      <c r="L12436" s="16" t="str">
        <f>IFERROR(__xludf.DUMMYFUNCTION("""COMPUTED_VALUE"""),"")</f>
        <v/>
      </c>
      <c r="M12436" s="16" t="str">
        <f>IFERROR(__xludf.DUMMYFUNCTION("""COMPUTED_VALUE"""),"")</f>
        <v/>
      </c>
      <c r="U12436" s="16" t="s">
        <v>87</v>
      </c>
      <c r="V12436" s="16" t="str">
        <f>IFERROR(__xludf.DUMMYFUNCTION("""COMPUTED_VALUE"""),"")</f>
        <v/>
      </c>
      <c r="W12436" s="16" t="str">
        <f>IFERROR(__xludf.DUMMYFUNCTION("""COMPUTED_VALUE"""),"")</f>
        <v/>
      </c>
      <c r="X12436" s="16" t="str">
        <f>IFERROR(__xludf.DUMMYFUNCTION("""COMPUTED_VALUE"""),"")</f>
        <v/>
      </c>
      <c r="AC12436" s="16" t="str">
        <f>IFERROR(__xludf.DUMMYFUNCTION("""COMPUTED_VALUE"""),"")</f>
        <v/>
      </c>
    </row>
    <row r="12437">
      <c r="A12437" s="16" t="s">
        <v>87</v>
      </c>
      <c r="E12437" s="16" t="str">
        <f>IFERROR(__xludf.DUMMYFUNCTION("""COMPUTED_VALUE"""),"")</f>
        <v/>
      </c>
      <c r="G12437" s="18"/>
      <c r="H12437" s="16" t="s">
        <v>87</v>
      </c>
      <c r="I12437" s="16" t="s">
        <v>87</v>
      </c>
      <c r="J12437" s="19"/>
      <c r="L12437" s="16" t="str">
        <f>IFERROR(__xludf.DUMMYFUNCTION("""COMPUTED_VALUE"""),"")</f>
        <v/>
      </c>
      <c r="M12437" s="16" t="str">
        <f>IFERROR(__xludf.DUMMYFUNCTION("""COMPUTED_VALUE"""),"")</f>
        <v/>
      </c>
      <c r="U12437" s="16" t="s">
        <v>87</v>
      </c>
      <c r="V12437" s="16" t="str">
        <f>IFERROR(__xludf.DUMMYFUNCTION("""COMPUTED_VALUE"""),"")</f>
        <v/>
      </c>
      <c r="W12437" s="16" t="str">
        <f>IFERROR(__xludf.DUMMYFUNCTION("""COMPUTED_VALUE"""),"")</f>
        <v/>
      </c>
      <c r="X12437" s="16" t="str">
        <f>IFERROR(__xludf.DUMMYFUNCTION("""COMPUTED_VALUE"""),"")</f>
        <v/>
      </c>
      <c r="AC12437" s="16" t="str">
        <f>IFERROR(__xludf.DUMMYFUNCTION("""COMPUTED_VALUE"""),"")</f>
        <v/>
      </c>
    </row>
    <row r="12438">
      <c r="A12438" s="16" t="s">
        <v>87</v>
      </c>
      <c r="E12438" s="16" t="str">
        <f>IFERROR(__xludf.DUMMYFUNCTION("""COMPUTED_VALUE"""),"")</f>
        <v/>
      </c>
      <c r="G12438" s="18"/>
      <c r="H12438" s="16" t="s">
        <v>87</v>
      </c>
      <c r="I12438" s="16" t="s">
        <v>87</v>
      </c>
      <c r="J12438" s="19"/>
      <c r="L12438" s="16" t="str">
        <f>IFERROR(__xludf.DUMMYFUNCTION("""COMPUTED_VALUE"""),"")</f>
        <v/>
      </c>
      <c r="M12438" s="16" t="str">
        <f>IFERROR(__xludf.DUMMYFUNCTION("""COMPUTED_VALUE"""),"")</f>
        <v/>
      </c>
      <c r="U12438" s="16" t="s">
        <v>87</v>
      </c>
      <c r="V12438" s="16" t="str">
        <f>IFERROR(__xludf.DUMMYFUNCTION("""COMPUTED_VALUE"""),"")</f>
        <v/>
      </c>
      <c r="W12438" s="16" t="str">
        <f>IFERROR(__xludf.DUMMYFUNCTION("""COMPUTED_VALUE"""),"")</f>
        <v/>
      </c>
      <c r="X12438" s="16" t="str">
        <f>IFERROR(__xludf.DUMMYFUNCTION("""COMPUTED_VALUE"""),"")</f>
        <v/>
      </c>
      <c r="AC12438" s="16" t="str">
        <f>IFERROR(__xludf.DUMMYFUNCTION("""COMPUTED_VALUE"""),"")</f>
        <v/>
      </c>
    </row>
    <row r="12439">
      <c r="A12439" s="16" t="s">
        <v>87</v>
      </c>
      <c r="E12439" s="16" t="str">
        <f>IFERROR(__xludf.DUMMYFUNCTION("""COMPUTED_VALUE"""),"")</f>
        <v/>
      </c>
      <c r="G12439" s="18"/>
      <c r="H12439" s="16" t="s">
        <v>87</v>
      </c>
      <c r="I12439" s="16" t="s">
        <v>87</v>
      </c>
      <c r="J12439" s="19"/>
      <c r="L12439" s="16" t="str">
        <f>IFERROR(__xludf.DUMMYFUNCTION("""COMPUTED_VALUE"""),"")</f>
        <v/>
      </c>
      <c r="M12439" s="16" t="str">
        <f>IFERROR(__xludf.DUMMYFUNCTION("""COMPUTED_VALUE"""),"")</f>
        <v/>
      </c>
      <c r="U12439" s="16" t="s">
        <v>87</v>
      </c>
      <c r="V12439" s="16" t="str">
        <f>IFERROR(__xludf.DUMMYFUNCTION("""COMPUTED_VALUE"""),"")</f>
        <v/>
      </c>
      <c r="W12439" s="16" t="str">
        <f>IFERROR(__xludf.DUMMYFUNCTION("""COMPUTED_VALUE"""),"")</f>
        <v/>
      </c>
      <c r="X12439" s="16" t="str">
        <f>IFERROR(__xludf.DUMMYFUNCTION("""COMPUTED_VALUE"""),"")</f>
        <v/>
      </c>
      <c r="AC12439" s="16" t="str">
        <f>IFERROR(__xludf.DUMMYFUNCTION("""COMPUTED_VALUE"""),"")</f>
        <v/>
      </c>
    </row>
    <row r="12440">
      <c r="A12440" s="16" t="s">
        <v>87</v>
      </c>
      <c r="E12440" s="16" t="str">
        <f>IFERROR(__xludf.DUMMYFUNCTION("""COMPUTED_VALUE"""),"")</f>
        <v/>
      </c>
      <c r="G12440" s="18"/>
      <c r="H12440" s="16" t="s">
        <v>87</v>
      </c>
      <c r="I12440" s="16" t="s">
        <v>87</v>
      </c>
      <c r="J12440" s="19"/>
      <c r="L12440" s="16" t="str">
        <f>IFERROR(__xludf.DUMMYFUNCTION("""COMPUTED_VALUE"""),"")</f>
        <v/>
      </c>
      <c r="M12440" s="16" t="str">
        <f>IFERROR(__xludf.DUMMYFUNCTION("""COMPUTED_VALUE"""),"")</f>
        <v/>
      </c>
      <c r="U12440" s="16" t="s">
        <v>87</v>
      </c>
      <c r="V12440" s="16" t="str">
        <f>IFERROR(__xludf.DUMMYFUNCTION("""COMPUTED_VALUE"""),"")</f>
        <v/>
      </c>
      <c r="W12440" s="16" t="str">
        <f>IFERROR(__xludf.DUMMYFUNCTION("""COMPUTED_VALUE"""),"")</f>
        <v/>
      </c>
      <c r="X12440" s="16" t="str">
        <f>IFERROR(__xludf.DUMMYFUNCTION("""COMPUTED_VALUE"""),"")</f>
        <v/>
      </c>
      <c r="AC12440" s="16" t="str">
        <f>IFERROR(__xludf.DUMMYFUNCTION("""COMPUTED_VALUE"""),"")</f>
        <v/>
      </c>
    </row>
    <row r="12441">
      <c r="A12441" s="16" t="s">
        <v>87</v>
      </c>
      <c r="E12441" s="16" t="str">
        <f>IFERROR(__xludf.DUMMYFUNCTION("""COMPUTED_VALUE"""),"")</f>
        <v/>
      </c>
      <c r="G12441" s="18"/>
      <c r="H12441" s="16" t="s">
        <v>87</v>
      </c>
      <c r="I12441" s="16" t="s">
        <v>87</v>
      </c>
      <c r="J12441" s="19"/>
      <c r="L12441" s="16" t="str">
        <f>IFERROR(__xludf.DUMMYFUNCTION("""COMPUTED_VALUE"""),"")</f>
        <v/>
      </c>
      <c r="M12441" s="16" t="str">
        <f>IFERROR(__xludf.DUMMYFUNCTION("""COMPUTED_VALUE"""),"")</f>
        <v/>
      </c>
      <c r="U12441" s="16" t="s">
        <v>87</v>
      </c>
      <c r="V12441" s="16" t="str">
        <f>IFERROR(__xludf.DUMMYFUNCTION("""COMPUTED_VALUE"""),"")</f>
        <v/>
      </c>
      <c r="W12441" s="16" t="str">
        <f>IFERROR(__xludf.DUMMYFUNCTION("""COMPUTED_VALUE"""),"")</f>
        <v/>
      </c>
      <c r="X12441" s="16" t="str">
        <f>IFERROR(__xludf.DUMMYFUNCTION("""COMPUTED_VALUE"""),"")</f>
        <v/>
      </c>
      <c r="AC12441" s="16" t="str">
        <f>IFERROR(__xludf.DUMMYFUNCTION("""COMPUTED_VALUE"""),"")</f>
        <v/>
      </c>
    </row>
    <row r="12442">
      <c r="A12442" s="16" t="s">
        <v>87</v>
      </c>
      <c r="E12442" s="16" t="str">
        <f>IFERROR(__xludf.DUMMYFUNCTION("""COMPUTED_VALUE"""),"")</f>
        <v/>
      </c>
      <c r="G12442" s="18"/>
      <c r="H12442" s="16" t="s">
        <v>87</v>
      </c>
      <c r="I12442" s="16" t="s">
        <v>87</v>
      </c>
      <c r="J12442" s="19"/>
      <c r="L12442" s="16" t="str">
        <f>IFERROR(__xludf.DUMMYFUNCTION("""COMPUTED_VALUE"""),"")</f>
        <v/>
      </c>
      <c r="M12442" s="16" t="str">
        <f>IFERROR(__xludf.DUMMYFUNCTION("""COMPUTED_VALUE"""),"")</f>
        <v/>
      </c>
      <c r="U12442" s="16" t="s">
        <v>87</v>
      </c>
      <c r="V12442" s="16" t="str">
        <f>IFERROR(__xludf.DUMMYFUNCTION("""COMPUTED_VALUE"""),"")</f>
        <v/>
      </c>
      <c r="W12442" s="16" t="str">
        <f>IFERROR(__xludf.DUMMYFUNCTION("""COMPUTED_VALUE"""),"")</f>
        <v/>
      </c>
      <c r="X12442" s="16" t="str">
        <f>IFERROR(__xludf.DUMMYFUNCTION("""COMPUTED_VALUE"""),"")</f>
        <v/>
      </c>
      <c r="AC12442" s="16" t="str">
        <f>IFERROR(__xludf.DUMMYFUNCTION("""COMPUTED_VALUE"""),"")</f>
        <v/>
      </c>
    </row>
    <row r="12443">
      <c r="A12443" s="16" t="s">
        <v>87</v>
      </c>
      <c r="E12443" s="16" t="str">
        <f>IFERROR(__xludf.DUMMYFUNCTION("""COMPUTED_VALUE"""),"")</f>
        <v/>
      </c>
      <c r="G12443" s="18"/>
      <c r="H12443" s="16" t="s">
        <v>87</v>
      </c>
      <c r="I12443" s="16" t="s">
        <v>87</v>
      </c>
      <c r="J12443" s="19"/>
      <c r="L12443" s="16" t="str">
        <f>IFERROR(__xludf.DUMMYFUNCTION("""COMPUTED_VALUE"""),"")</f>
        <v/>
      </c>
      <c r="M12443" s="16" t="str">
        <f>IFERROR(__xludf.DUMMYFUNCTION("""COMPUTED_VALUE"""),"")</f>
        <v/>
      </c>
      <c r="U12443" s="16" t="s">
        <v>87</v>
      </c>
      <c r="V12443" s="16" t="str">
        <f>IFERROR(__xludf.DUMMYFUNCTION("""COMPUTED_VALUE"""),"")</f>
        <v/>
      </c>
      <c r="W12443" s="16" t="str">
        <f>IFERROR(__xludf.DUMMYFUNCTION("""COMPUTED_VALUE"""),"")</f>
        <v/>
      </c>
      <c r="X12443" s="16" t="str">
        <f>IFERROR(__xludf.DUMMYFUNCTION("""COMPUTED_VALUE"""),"")</f>
        <v/>
      </c>
      <c r="AC12443" s="16" t="str">
        <f>IFERROR(__xludf.DUMMYFUNCTION("""COMPUTED_VALUE"""),"")</f>
        <v/>
      </c>
    </row>
    <row r="12444">
      <c r="A12444" s="16" t="s">
        <v>87</v>
      </c>
      <c r="E12444" s="16" t="str">
        <f>IFERROR(__xludf.DUMMYFUNCTION("""COMPUTED_VALUE"""),"")</f>
        <v/>
      </c>
      <c r="G12444" s="18"/>
      <c r="H12444" s="16" t="s">
        <v>87</v>
      </c>
      <c r="I12444" s="16" t="s">
        <v>87</v>
      </c>
      <c r="J12444" s="19"/>
      <c r="L12444" s="16" t="str">
        <f>IFERROR(__xludf.DUMMYFUNCTION("""COMPUTED_VALUE"""),"")</f>
        <v/>
      </c>
      <c r="M12444" s="16" t="str">
        <f>IFERROR(__xludf.DUMMYFUNCTION("""COMPUTED_VALUE"""),"")</f>
        <v/>
      </c>
      <c r="U12444" s="16" t="s">
        <v>87</v>
      </c>
      <c r="V12444" s="16" t="str">
        <f>IFERROR(__xludf.DUMMYFUNCTION("""COMPUTED_VALUE"""),"")</f>
        <v/>
      </c>
      <c r="W12444" s="16" t="str">
        <f>IFERROR(__xludf.DUMMYFUNCTION("""COMPUTED_VALUE"""),"")</f>
        <v/>
      </c>
      <c r="X12444" s="16" t="str">
        <f>IFERROR(__xludf.DUMMYFUNCTION("""COMPUTED_VALUE"""),"")</f>
        <v/>
      </c>
      <c r="AC12444" s="16" t="str">
        <f>IFERROR(__xludf.DUMMYFUNCTION("""COMPUTED_VALUE"""),"")</f>
        <v/>
      </c>
    </row>
    <row r="12445">
      <c r="A12445" s="16" t="s">
        <v>87</v>
      </c>
      <c r="E12445" s="16" t="str">
        <f>IFERROR(__xludf.DUMMYFUNCTION("""COMPUTED_VALUE"""),"")</f>
        <v/>
      </c>
      <c r="G12445" s="18"/>
      <c r="H12445" s="16" t="s">
        <v>87</v>
      </c>
      <c r="I12445" s="16" t="s">
        <v>87</v>
      </c>
      <c r="J12445" s="19"/>
      <c r="L12445" s="16" t="str">
        <f>IFERROR(__xludf.DUMMYFUNCTION("""COMPUTED_VALUE"""),"")</f>
        <v/>
      </c>
      <c r="M12445" s="16" t="str">
        <f>IFERROR(__xludf.DUMMYFUNCTION("""COMPUTED_VALUE"""),"")</f>
        <v/>
      </c>
      <c r="U12445" s="16" t="s">
        <v>87</v>
      </c>
      <c r="V12445" s="16" t="str">
        <f>IFERROR(__xludf.DUMMYFUNCTION("""COMPUTED_VALUE"""),"")</f>
        <v/>
      </c>
      <c r="W12445" s="16" t="str">
        <f>IFERROR(__xludf.DUMMYFUNCTION("""COMPUTED_VALUE"""),"")</f>
        <v/>
      </c>
      <c r="X12445" s="16" t="str">
        <f>IFERROR(__xludf.DUMMYFUNCTION("""COMPUTED_VALUE"""),"")</f>
        <v/>
      </c>
      <c r="AC12445" s="16" t="str">
        <f>IFERROR(__xludf.DUMMYFUNCTION("""COMPUTED_VALUE"""),"")</f>
        <v/>
      </c>
    </row>
    <row r="12446">
      <c r="A12446" s="16" t="s">
        <v>87</v>
      </c>
      <c r="E12446" s="16" t="str">
        <f>IFERROR(__xludf.DUMMYFUNCTION("""COMPUTED_VALUE"""),"")</f>
        <v/>
      </c>
      <c r="G12446" s="18"/>
      <c r="H12446" s="16" t="s">
        <v>87</v>
      </c>
      <c r="I12446" s="16" t="s">
        <v>87</v>
      </c>
      <c r="J12446" s="19"/>
      <c r="L12446" s="16" t="str">
        <f>IFERROR(__xludf.DUMMYFUNCTION("""COMPUTED_VALUE"""),"")</f>
        <v/>
      </c>
      <c r="M12446" s="16" t="str">
        <f>IFERROR(__xludf.DUMMYFUNCTION("""COMPUTED_VALUE"""),"")</f>
        <v/>
      </c>
      <c r="U12446" s="16" t="s">
        <v>87</v>
      </c>
      <c r="V12446" s="16" t="str">
        <f>IFERROR(__xludf.DUMMYFUNCTION("""COMPUTED_VALUE"""),"")</f>
        <v/>
      </c>
      <c r="W12446" s="16" t="str">
        <f>IFERROR(__xludf.DUMMYFUNCTION("""COMPUTED_VALUE"""),"")</f>
        <v/>
      </c>
      <c r="X12446" s="16" t="str">
        <f>IFERROR(__xludf.DUMMYFUNCTION("""COMPUTED_VALUE"""),"")</f>
        <v/>
      </c>
      <c r="AC12446" s="16" t="str">
        <f>IFERROR(__xludf.DUMMYFUNCTION("""COMPUTED_VALUE"""),"")</f>
        <v/>
      </c>
    </row>
    <row r="12447">
      <c r="A12447" s="16" t="s">
        <v>87</v>
      </c>
      <c r="E12447" s="16" t="str">
        <f>IFERROR(__xludf.DUMMYFUNCTION("""COMPUTED_VALUE"""),"")</f>
        <v/>
      </c>
      <c r="G12447" s="18"/>
      <c r="H12447" s="16" t="s">
        <v>87</v>
      </c>
      <c r="I12447" s="16" t="s">
        <v>87</v>
      </c>
      <c r="J12447" s="19"/>
      <c r="L12447" s="16" t="str">
        <f>IFERROR(__xludf.DUMMYFUNCTION("""COMPUTED_VALUE"""),"")</f>
        <v/>
      </c>
      <c r="M12447" s="16" t="str">
        <f>IFERROR(__xludf.DUMMYFUNCTION("""COMPUTED_VALUE"""),"")</f>
        <v/>
      </c>
      <c r="U12447" s="16" t="s">
        <v>87</v>
      </c>
      <c r="V12447" s="16" t="str">
        <f>IFERROR(__xludf.DUMMYFUNCTION("""COMPUTED_VALUE"""),"")</f>
        <v/>
      </c>
      <c r="W12447" s="16" t="str">
        <f>IFERROR(__xludf.DUMMYFUNCTION("""COMPUTED_VALUE"""),"")</f>
        <v/>
      </c>
      <c r="X12447" s="16" t="str">
        <f>IFERROR(__xludf.DUMMYFUNCTION("""COMPUTED_VALUE"""),"")</f>
        <v/>
      </c>
      <c r="AC12447" s="16" t="str">
        <f>IFERROR(__xludf.DUMMYFUNCTION("""COMPUTED_VALUE"""),"")</f>
        <v/>
      </c>
    </row>
    <row r="12448">
      <c r="A12448" s="16" t="s">
        <v>87</v>
      </c>
      <c r="E12448" s="16" t="str">
        <f>IFERROR(__xludf.DUMMYFUNCTION("""COMPUTED_VALUE"""),"")</f>
        <v/>
      </c>
      <c r="G12448" s="18"/>
      <c r="H12448" s="16" t="s">
        <v>87</v>
      </c>
      <c r="I12448" s="16" t="s">
        <v>87</v>
      </c>
      <c r="J12448" s="19"/>
      <c r="L12448" s="16" t="str">
        <f>IFERROR(__xludf.DUMMYFUNCTION("""COMPUTED_VALUE"""),"")</f>
        <v/>
      </c>
      <c r="M12448" s="16" t="str">
        <f>IFERROR(__xludf.DUMMYFUNCTION("""COMPUTED_VALUE"""),"")</f>
        <v/>
      </c>
      <c r="U12448" s="16" t="s">
        <v>87</v>
      </c>
      <c r="V12448" s="16" t="str">
        <f>IFERROR(__xludf.DUMMYFUNCTION("""COMPUTED_VALUE"""),"")</f>
        <v/>
      </c>
      <c r="W12448" s="16" t="str">
        <f>IFERROR(__xludf.DUMMYFUNCTION("""COMPUTED_VALUE"""),"")</f>
        <v/>
      </c>
      <c r="X12448" s="16" t="str">
        <f>IFERROR(__xludf.DUMMYFUNCTION("""COMPUTED_VALUE"""),"")</f>
        <v/>
      </c>
      <c r="AC12448" s="16" t="str">
        <f>IFERROR(__xludf.DUMMYFUNCTION("""COMPUTED_VALUE"""),"")</f>
        <v/>
      </c>
    </row>
    <row r="12449">
      <c r="A12449" s="16" t="s">
        <v>87</v>
      </c>
      <c r="E12449" s="16" t="str">
        <f>IFERROR(__xludf.DUMMYFUNCTION("""COMPUTED_VALUE"""),"")</f>
        <v/>
      </c>
      <c r="G12449" s="18"/>
      <c r="H12449" s="16" t="s">
        <v>87</v>
      </c>
      <c r="I12449" s="16" t="s">
        <v>87</v>
      </c>
      <c r="J12449" s="19"/>
      <c r="L12449" s="16" t="str">
        <f>IFERROR(__xludf.DUMMYFUNCTION("""COMPUTED_VALUE"""),"")</f>
        <v/>
      </c>
      <c r="M12449" s="16" t="str">
        <f>IFERROR(__xludf.DUMMYFUNCTION("""COMPUTED_VALUE"""),"")</f>
        <v/>
      </c>
      <c r="U12449" s="16" t="s">
        <v>87</v>
      </c>
      <c r="V12449" s="16" t="str">
        <f>IFERROR(__xludf.DUMMYFUNCTION("""COMPUTED_VALUE"""),"")</f>
        <v/>
      </c>
      <c r="W12449" s="16" t="str">
        <f>IFERROR(__xludf.DUMMYFUNCTION("""COMPUTED_VALUE"""),"")</f>
        <v/>
      </c>
      <c r="X12449" s="16" t="str">
        <f>IFERROR(__xludf.DUMMYFUNCTION("""COMPUTED_VALUE"""),"")</f>
        <v/>
      </c>
      <c r="AC12449" s="16" t="str">
        <f>IFERROR(__xludf.DUMMYFUNCTION("""COMPUTED_VALUE"""),"")</f>
        <v/>
      </c>
    </row>
    <row r="12450">
      <c r="A12450" s="16" t="s">
        <v>87</v>
      </c>
      <c r="E12450" s="16" t="str">
        <f>IFERROR(__xludf.DUMMYFUNCTION("""COMPUTED_VALUE"""),"")</f>
        <v/>
      </c>
      <c r="G12450" s="18"/>
      <c r="H12450" s="16" t="s">
        <v>87</v>
      </c>
      <c r="I12450" s="16" t="s">
        <v>87</v>
      </c>
      <c r="J12450" s="19"/>
      <c r="L12450" s="16" t="str">
        <f>IFERROR(__xludf.DUMMYFUNCTION("""COMPUTED_VALUE"""),"")</f>
        <v/>
      </c>
      <c r="M12450" s="16" t="str">
        <f>IFERROR(__xludf.DUMMYFUNCTION("""COMPUTED_VALUE"""),"")</f>
        <v/>
      </c>
      <c r="U12450" s="16" t="s">
        <v>87</v>
      </c>
      <c r="V12450" s="16" t="str">
        <f>IFERROR(__xludf.DUMMYFUNCTION("""COMPUTED_VALUE"""),"")</f>
        <v/>
      </c>
      <c r="W12450" s="16" t="str">
        <f>IFERROR(__xludf.DUMMYFUNCTION("""COMPUTED_VALUE"""),"")</f>
        <v/>
      </c>
      <c r="X12450" s="16" t="str">
        <f>IFERROR(__xludf.DUMMYFUNCTION("""COMPUTED_VALUE"""),"")</f>
        <v/>
      </c>
      <c r="AC12450" s="16" t="str">
        <f>IFERROR(__xludf.DUMMYFUNCTION("""COMPUTED_VALUE"""),"")</f>
        <v/>
      </c>
    </row>
    <row r="12451">
      <c r="A12451" s="16" t="s">
        <v>87</v>
      </c>
      <c r="E12451" s="16" t="str">
        <f>IFERROR(__xludf.DUMMYFUNCTION("""COMPUTED_VALUE"""),"")</f>
        <v/>
      </c>
      <c r="G12451" s="18"/>
      <c r="H12451" s="16" t="s">
        <v>87</v>
      </c>
      <c r="I12451" s="16" t="s">
        <v>87</v>
      </c>
      <c r="J12451" s="19"/>
      <c r="L12451" s="16" t="str">
        <f>IFERROR(__xludf.DUMMYFUNCTION("""COMPUTED_VALUE"""),"")</f>
        <v/>
      </c>
      <c r="M12451" s="16" t="str">
        <f>IFERROR(__xludf.DUMMYFUNCTION("""COMPUTED_VALUE"""),"")</f>
        <v/>
      </c>
      <c r="U12451" s="16" t="s">
        <v>87</v>
      </c>
      <c r="V12451" s="16" t="str">
        <f>IFERROR(__xludf.DUMMYFUNCTION("""COMPUTED_VALUE"""),"")</f>
        <v/>
      </c>
      <c r="W12451" s="16" t="str">
        <f>IFERROR(__xludf.DUMMYFUNCTION("""COMPUTED_VALUE"""),"")</f>
        <v/>
      </c>
      <c r="X12451" s="16" t="str">
        <f>IFERROR(__xludf.DUMMYFUNCTION("""COMPUTED_VALUE"""),"")</f>
        <v/>
      </c>
      <c r="AC12451" s="16" t="str">
        <f>IFERROR(__xludf.DUMMYFUNCTION("""COMPUTED_VALUE"""),"")</f>
        <v/>
      </c>
    </row>
    <row r="12452">
      <c r="A12452" s="16" t="s">
        <v>87</v>
      </c>
      <c r="E12452" s="16" t="str">
        <f>IFERROR(__xludf.DUMMYFUNCTION("""COMPUTED_VALUE"""),"")</f>
        <v/>
      </c>
      <c r="G12452" s="18"/>
      <c r="H12452" s="16" t="s">
        <v>87</v>
      </c>
      <c r="I12452" s="16" t="s">
        <v>87</v>
      </c>
      <c r="J12452" s="19"/>
      <c r="L12452" s="16" t="str">
        <f>IFERROR(__xludf.DUMMYFUNCTION("""COMPUTED_VALUE"""),"")</f>
        <v/>
      </c>
      <c r="M12452" s="16" t="str">
        <f>IFERROR(__xludf.DUMMYFUNCTION("""COMPUTED_VALUE"""),"")</f>
        <v/>
      </c>
      <c r="U12452" s="16" t="s">
        <v>87</v>
      </c>
      <c r="V12452" s="16" t="str">
        <f>IFERROR(__xludf.DUMMYFUNCTION("""COMPUTED_VALUE"""),"")</f>
        <v/>
      </c>
      <c r="W12452" s="16" t="str">
        <f>IFERROR(__xludf.DUMMYFUNCTION("""COMPUTED_VALUE"""),"")</f>
        <v/>
      </c>
      <c r="X12452" s="16" t="str">
        <f>IFERROR(__xludf.DUMMYFUNCTION("""COMPUTED_VALUE"""),"")</f>
        <v/>
      </c>
      <c r="AC12452" s="16" t="str">
        <f>IFERROR(__xludf.DUMMYFUNCTION("""COMPUTED_VALUE"""),"")</f>
        <v/>
      </c>
    </row>
    <row r="12453">
      <c r="A12453" s="16" t="s">
        <v>87</v>
      </c>
      <c r="E12453" s="16" t="str">
        <f>IFERROR(__xludf.DUMMYFUNCTION("""COMPUTED_VALUE"""),"")</f>
        <v/>
      </c>
      <c r="G12453" s="18"/>
      <c r="H12453" s="16" t="s">
        <v>87</v>
      </c>
      <c r="I12453" s="16" t="s">
        <v>87</v>
      </c>
      <c r="J12453" s="19"/>
      <c r="L12453" s="16" t="str">
        <f>IFERROR(__xludf.DUMMYFUNCTION("""COMPUTED_VALUE"""),"")</f>
        <v/>
      </c>
      <c r="M12453" s="16" t="str">
        <f>IFERROR(__xludf.DUMMYFUNCTION("""COMPUTED_VALUE"""),"")</f>
        <v/>
      </c>
      <c r="U12453" s="16" t="s">
        <v>87</v>
      </c>
      <c r="V12453" s="16" t="str">
        <f>IFERROR(__xludf.DUMMYFUNCTION("""COMPUTED_VALUE"""),"")</f>
        <v/>
      </c>
      <c r="W12453" s="16" t="str">
        <f>IFERROR(__xludf.DUMMYFUNCTION("""COMPUTED_VALUE"""),"")</f>
        <v/>
      </c>
      <c r="X12453" s="16" t="str">
        <f>IFERROR(__xludf.DUMMYFUNCTION("""COMPUTED_VALUE"""),"")</f>
        <v/>
      </c>
      <c r="AC12453" s="16" t="str">
        <f>IFERROR(__xludf.DUMMYFUNCTION("""COMPUTED_VALUE"""),"")</f>
        <v/>
      </c>
    </row>
    <row r="12454">
      <c r="A12454" s="16" t="s">
        <v>87</v>
      </c>
      <c r="E12454" s="16" t="str">
        <f>IFERROR(__xludf.DUMMYFUNCTION("""COMPUTED_VALUE"""),"")</f>
        <v/>
      </c>
      <c r="G12454" s="18"/>
      <c r="H12454" s="16" t="s">
        <v>87</v>
      </c>
      <c r="I12454" s="16" t="s">
        <v>87</v>
      </c>
      <c r="J12454" s="19"/>
      <c r="L12454" s="16" t="str">
        <f>IFERROR(__xludf.DUMMYFUNCTION("""COMPUTED_VALUE"""),"")</f>
        <v/>
      </c>
      <c r="M12454" s="16" t="str">
        <f>IFERROR(__xludf.DUMMYFUNCTION("""COMPUTED_VALUE"""),"")</f>
        <v/>
      </c>
      <c r="U12454" s="16" t="s">
        <v>87</v>
      </c>
      <c r="V12454" s="16" t="str">
        <f>IFERROR(__xludf.DUMMYFUNCTION("""COMPUTED_VALUE"""),"")</f>
        <v/>
      </c>
      <c r="W12454" s="16" t="str">
        <f>IFERROR(__xludf.DUMMYFUNCTION("""COMPUTED_VALUE"""),"")</f>
        <v/>
      </c>
      <c r="X12454" s="16" t="str">
        <f>IFERROR(__xludf.DUMMYFUNCTION("""COMPUTED_VALUE"""),"")</f>
        <v/>
      </c>
      <c r="AC12454" s="16" t="str">
        <f>IFERROR(__xludf.DUMMYFUNCTION("""COMPUTED_VALUE"""),"")</f>
        <v/>
      </c>
    </row>
    <row r="12455">
      <c r="A12455" s="16" t="s">
        <v>87</v>
      </c>
      <c r="E12455" s="16" t="str">
        <f>IFERROR(__xludf.DUMMYFUNCTION("""COMPUTED_VALUE"""),"")</f>
        <v/>
      </c>
      <c r="G12455" s="18"/>
      <c r="H12455" s="16" t="s">
        <v>87</v>
      </c>
      <c r="I12455" s="16" t="s">
        <v>87</v>
      </c>
      <c r="J12455" s="19"/>
      <c r="L12455" s="16" t="str">
        <f>IFERROR(__xludf.DUMMYFUNCTION("""COMPUTED_VALUE"""),"")</f>
        <v/>
      </c>
      <c r="M12455" s="16" t="str">
        <f>IFERROR(__xludf.DUMMYFUNCTION("""COMPUTED_VALUE"""),"")</f>
        <v/>
      </c>
      <c r="U12455" s="16" t="s">
        <v>87</v>
      </c>
      <c r="V12455" s="16" t="str">
        <f>IFERROR(__xludf.DUMMYFUNCTION("""COMPUTED_VALUE"""),"")</f>
        <v/>
      </c>
      <c r="W12455" s="16" t="str">
        <f>IFERROR(__xludf.DUMMYFUNCTION("""COMPUTED_VALUE"""),"")</f>
        <v/>
      </c>
      <c r="X12455" s="16" t="str">
        <f>IFERROR(__xludf.DUMMYFUNCTION("""COMPUTED_VALUE"""),"")</f>
        <v/>
      </c>
      <c r="AC12455" s="16" t="str">
        <f>IFERROR(__xludf.DUMMYFUNCTION("""COMPUTED_VALUE"""),"")</f>
        <v/>
      </c>
    </row>
    <row r="12456">
      <c r="A12456" s="16" t="s">
        <v>87</v>
      </c>
      <c r="E12456" s="16" t="str">
        <f>IFERROR(__xludf.DUMMYFUNCTION("""COMPUTED_VALUE"""),"")</f>
        <v/>
      </c>
      <c r="G12456" s="18"/>
      <c r="H12456" s="16" t="s">
        <v>87</v>
      </c>
      <c r="I12456" s="16" t="s">
        <v>87</v>
      </c>
      <c r="J12456" s="19"/>
      <c r="L12456" s="16" t="str">
        <f>IFERROR(__xludf.DUMMYFUNCTION("""COMPUTED_VALUE"""),"")</f>
        <v/>
      </c>
      <c r="M12456" s="16" t="str">
        <f>IFERROR(__xludf.DUMMYFUNCTION("""COMPUTED_VALUE"""),"")</f>
        <v/>
      </c>
      <c r="U12456" s="16" t="s">
        <v>87</v>
      </c>
      <c r="V12456" s="16" t="str">
        <f>IFERROR(__xludf.DUMMYFUNCTION("""COMPUTED_VALUE"""),"")</f>
        <v/>
      </c>
      <c r="W12456" s="16" t="str">
        <f>IFERROR(__xludf.DUMMYFUNCTION("""COMPUTED_VALUE"""),"")</f>
        <v/>
      </c>
      <c r="X12456" s="16" t="str">
        <f>IFERROR(__xludf.DUMMYFUNCTION("""COMPUTED_VALUE"""),"")</f>
        <v/>
      </c>
      <c r="AC12456" s="16" t="str">
        <f>IFERROR(__xludf.DUMMYFUNCTION("""COMPUTED_VALUE"""),"")</f>
        <v/>
      </c>
    </row>
    <row r="12457">
      <c r="A12457" s="16" t="s">
        <v>87</v>
      </c>
      <c r="E12457" s="16" t="str">
        <f>IFERROR(__xludf.DUMMYFUNCTION("""COMPUTED_VALUE"""),"")</f>
        <v/>
      </c>
      <c r="G12457" s="18"/>
      <c r="H12457" s="16" t="s">
        <v>87</v>
      </c>
      <c r="I12457" s="16" t="s">
        <v>87</v>
      </c>
      <c r="J12457" s="19"/>
      <c r="L12457" s="16" t="str">
        <f>IFERROR(__xludf.DUMMYFUNCTION("""COMPUTED_VALUE"""),"")</f>
        <v/>
      </c>
      <c r="M12457" s="16" t="str">
        <f>IFERROR(__xludf.DUMMYFUNCTION("""COMPUTED_VALUE"""),"")</f>
        <v/>
      </c>
      <c r="U12457" s="16" t="s">
        <v>87</v>
      </c>
      <c r="V12457" s="16" t="str">
        <f>IFERROR(__xludf.DUMMYFUNCTION("""COMPUTED_VALUE"""),"")</f>
        <v/>
      </c>
      <c r="W12457" s="16" t="str">
        <f>IFERROR(__xludf.DUMMYFUNCTION("""COMPUTED_VALUE"""),"")</f>
        <v/>
      </c>
      <c r="X12457" s="16" t="str">
        <f>IFERROR(__xludf.DUMMYFUNCTION("""COMPUTED_VALUE"""),"")</f>
        <v/>
      </c>
      <c r="AC12457" s="16" t="str">
        <f>IFERROR(__xludf.DUMMYFUNCTION("""COMPUTED_VALUE"""),"")</f>
        <v/>
      </c>
    </row>
    <row r="12458">
      <c r="A12458" s="16" t="s">
        <v>87</v>
      </c>
      <c r="E12458" s="16" t="str">
        <f>IFERROR(__xludf.DUMMYFUNCTION("""COMPUTED_VALUE"""),"")</f>
        <v/>
      </c>
      <c r="G12458" s="18"/>
      <c r="H12458" s="16" t="s">
        <v>87</v>
      </c>
      <c r="I12458" s="16" t="s">
        <v>87</v>
      </c>
      <c r="J12458" s="19"/>
      <c r="L12458" s="16" t="str">
        <f>IFERROR(__xludf.DUMMYFUNCTION("""COMPUTED_VALUE"""),"")</f>
        <v/>
      </c>
      <c r="M12458" s="16" t="str">
        <f>IFERROR(__xludf.DUMMYFUNCTION("""COMPUTED_VALUE"""),"")</f>
        <v/>
      </c>
      <c r="U12458" s="16" t="s">
        <v>87</v>
      </c>
      <c r="V12458" s="16" t="str">
        <f>IFERROR(__xludf.DUMMYFUNCTION("""COMPUTED_VALUE"""),"")</f>
        <v/>
      </c>
      <c r="W12458" s="16" t="str">
        <f>IFERROR(__xludf.DUMMYFUNCTION("""COMPUTED_VALUE"""),"")</f>
        <v/>
      </c>
      <c r="X12458" s="16" t="str">
        <f>IFERROR(__xludf.DUMMYFUNCTION("""COMPUTED_VALUE"""),"")</f>
        <v/>
      </c>
      <c r="AC12458" s="16" t="str">
        <f>IFERROR(__xludf.DUMMYFUNCTION("""COMPUTED_VALUE"""),"")</f>
        <v/>
      </c>
    </row>
    <row r="12459">
      <c r="A12459" s="16" t="s">
        <v>87</v>
      </c>
      <c r="E12459" s="16" t="str">
        <f>IFERROR(__xludf.DUMMYFUNCTION("""COMPUTED_VALUE"""),"")</f>
        <v/>
      </c>
      <c r="G12459" s="18"/>
      <c r="H12459" s="16" t="s">
        <v>87</v>
      </c>
      <c r="I12459" s="16" t="s">
        <v>87</v>
      </c>
      <c r="J12459" s="19"/>
      <c r="L12459" s="16" t="str">
        <f>IFERROR(__xludf.DUMMYFUNCTION("""COMPUTED_VALUE"""),"")</f>
        <v/>
      </c>
      <c r="M12459" s="16" t="str">
        <f>IFERROR(__xludf.DUMMYFUNCTION("""COMPUTED_VALUE"""),"")</f>
        <v/>
      </c>
      <c r="U12459" s="16" t="s">
        <v>87</v>
      </c>
      <c r="V12459" s="16" t="str">
        <f>IFERROR(__xludf.DUMMYFUNCTION("""COMPUTED_VALUE"""),"")</f>
        <v/>
      </c>
      <c r="W12459" s="16" t="str">
        <f>IFERROR(__xludf.DUMMYFUNCTION("""COMPUTED_VALUE"""),"")</f>
        <v/>
      </c>
      <c r="X12459" s="16" t="str">
        <f>IFERROR(__xludf.DUMMYFUNCTION("""COMPUTED_VALUE"""),"")</f>
        <v/>
      </c>
      <c r="AC12459" s="16" t="str">
        <f>IFERROR(__xludf.DUMMYFUNCTION("""COMPUTED_VALUE"""),"")</f>
        <v/>
      </c>
    </row>
    <row r="12460">
      <c r="A12460" s="16" t="s">
        <v>87</v>
      </c>
      <c r="E12460" s="16" t="str">
        <f>IFERROR(__xludf.DUMMYFUNCTION("""COMPUTED_VALUE"""),"")</f>
        <v/>
      </c>
      <c r="G12460" s="18"/>
      <c r="H12460" s="16" t="s">
        <v>87</v>
      </c>
      <c r="I12460" s="16" t="s">
        <v>87</v>
      </c>
      <c r="J12460" s="19"/>
      <c r="L12460" s="16" t="str">
        <f>IFERROR(__xludf.DUMMYFUNCTION("""COMPUTED_VALUE"""),"")</f>
        <v/>
      </c>
      <c r="M12460" s="16" t="str">
        <f>IFERROR(__xludf.DUMMYFUNCTION("""COMPUTED_VALUE"""),"")</f>
        <v/>
      </c>
      <c r="U12460" s="16" t="s">
        <v>87</v>
      </c>
      <c r="V12460" s="16" t="str">
        <f>IFERROR(__xludf.DUMMYFUNCTION("""COMPUTED_VALUE"""),"")</f>
        <v/>
      </c>
      <c r="W12460" s="16" t="str">
        <f>IFERROR(__xludf.DUMMYFUNCTION("""COMPUTED_VALUE"""),"")</f>
        <v/>
      </c>
      <c r="X12460" s="16" t="str">
        <f>IFERROR(__xludf.DUMMYFUNCTION("""COMPUTED_VALUE"""),"")</f>
        <v/>
      </c>
      <c r="AC12460" s="16" t="str">
        <f>IFERROR(__xludf.DUMMYFUNCTION("""COMPUTED_VALUE"""),"")</f>
        <v/>
      </c>
    </row>
    <row r="12461">
      <c r="A12461" s="16" t="s">
        <v>87</v>
      </c>
      <c r="E12461" s="16" t="str">
        <f>IFERROR(__xludf.DUMMYFUNCTION("""COMPUTED_VALUE"""),"")</f>
        <v/>
      </c>
      <c r="G12461" s="18"/>
      <c r="H12461" s="16" t="s">
        <v>87</v>
      </c>
      <c r="I12461" s="16" t="s">
        <v>87</v>
      </c>
      <c r="J12461" s="19"/>
      <c r="L12461" s="16" t="str">
        <f>IFERROR(__xludf.DUMMYFUNCTION("""COMPUTED_VALUE"""),"")</f>
        <v/>
      </c>
      <c r="M12461" s="16" t="str">
        <f>IFERROR(__xludf.DUMMYFUNCTION("""COMPUTED_VALUE"""),"")</f>
        <v/>
      </c>
      <c r="U12461" s="16" t="s">
        <v>87</v>
      </c>
      <c r="V12461" s="16" t="str">
        <f>IFERROR(__xludf.DUMMYFUNCTION("""COMPUTED_VALUE"""),"")</f>
        <v/>
      </c>
      <c r="W12461" s="16" t="str">
        <f>IFERROR(__xludf.DUMMYFUNCTION("""COMPUTED_VALUE"""),"")</f>
        <v/>
      </c>
      <c r="X12461" s="16" t="str">
        <f>IFERROR(__xludf.DUMMYFUNCTION("""COMPUTED_VALUE"""),"")</f>
        <v/>
      </c>
      <c r="AC12461" s="16" t="str">
        <f>IFERROR(__xludf.DUMMYFUNCTION("""COMPUTED_VALUE"""),"")</f>
        <v/>
      </c>
    </row>
    <row r="12462">
      <c r="A12462" s="16" t="s">
        <v>87</v>
      </c>
      <c r="E12462" s="16" t="str">
        <f>IFERROR(__xludf.DUMMYFUNCTION("""COMPUTED_VALUE"""),"")</f>
        <v/>
      </c>
      <c r="G12462" s="18"/>
      <c r="H12462" s="16" t="s">
        <v>87</v>
      </c>
      <c r="I12462" s="16" t="s">
        <v>87</v>
      </c>
      <c r="J12462" s="19"/>
      <c r="L12462" s="16" t="str">
        <f>IFERROR(__xludf.DUMMYFUNCTION("""COMPUTED_VALUE"""),"")</f>
        <v/>
      </c>
      <c r="M12462" s="16" t="str">
        <f>IFERROR(__xludf.DUMMYFUNCTION("""COMPUTED_VALUE"""),"")</f>
        <v/>
      </c>
      <c r="U12462" s="16" t="s">
        <v>87</v>
      </c>
      <c r="V12462" s="16" t="str">
        <f>IFERROR(__xludf.DUMMYFUNCTION("""COMPUTED_VALUE"""),"")</f>
        <v/>
      </c>
      <c r="W12462" s="16" t="str">
        <f>IFERROR(__xludf.DUMMYFUNCTION("""COMPUTED_VALUE"""),"")</f>
        <v/>
      </c>
      <c r="X12462" s="16" t="str">
        <f>IFERROR(__xludf.DUMMYFUNCTION("""COMPUTED_VALUE"""),"")</f>
        <v/>
      </c>
      <c r="AC12462" s="16" t="str">
        <f>IFERROR(__xludf.DUMMYFUNCTION("""COMPUTED_VALUE"""),"")</f>
        <v/>
      </c>
    </row>
    <row r="12463">
      <c r="A12463" s="16" t="s">
        <v>87</v>
      </c>
      <c r="E12463" s="16" t="str">
        <f>IFERROR(__xludf.DUMMYFUNCTION("""COMPUTED_VALUE"""),"")</f>
        <v/>
      </c>
      <c r="G12463" s="18"/>
      <c r="H12463" s="16" t="s">
        <v>87</v>
      </c>
      <c r="I12463" s="16" t="s">
        <v>87</v>
      </c>
      <c r="J12463" s="19"/>
      <c r="L12463" s="16" t="str">
        <f>IFERROR(__xludf.DUMMYFUNCTION("""COMPUTED_VALUE"""),"")</f>
        <v/>
      </c>
      <c r="M12463" s="16" t="str">
        <f>IFERROR(__xludf.DUMMYFUNCTION("""COMPUTED_VALUE"""),"")</f>
        <v/>
      </c>
      <c r="U12463" s="16" t="s">
        <v>87</v>
      </c>
      <c r="V12463" s="16" t="str">
        <f>IFERROR(__xludf.DUMMYFUNCTION("""COMPUTED_VALUE"""),"")</f>
        <v/>
      </c>
      <c r="W12463" s="16" t="str">
        <f>IFERROR(__xludf.DUMMYFUNCTION("""COMPUTED_VALUE"""),"")</f>
        <v/>
      </c>
      <c r="X12463" s="16" t="str">
        <f>IFERROR(__xludf.DUMMYFUNCTION("""COMPUTED_VALUE"""),"")</f>
        <v/>
      </c>
      <c r="AC12463" s="16" t="str">
        <f>IFERROR(__xludf.DUMMYFUNCTION("""COMPUTED_VALUE"""),"")</f>
        <v/>
      </c>
    </row>
    <row r="12464">
      <c r="A12464" s="16" t="s">
        <v>87</v>
      </c>
      <c r="E12464" s="16" t="str">
        <f>IFERROR(__xludf.DUMMYFUNCTION("""COMPUTED_VALUE"""),"")</f>
        <v/>
      </c>
      <c r="G12464" s="18"/>
      <c r="H12464" s="16" t="s">
        <v>87</v>
      </c>
      <c r="I12464" s="16" t="s">
        <v>87</v>
      </c>
      <c r="J12464" s="19"/>
      <c r="L12464" s="16" t="str">
        <f>IFERROR(__xludf.DUMMYFUNCTION("""COMPUTED_VALUE"""),"")</f>
        <v/>
      </c>
      <c r="M12464" s="16" t="str">
        <f>IFERROR(__xludf.DUMMYFUNCTION("""COMPUTED_VALUE"""),"")</f>
        <v/>
      </c>
      <c r="U12464" s="16" t="s">
        <v>87</v>
      </c>
      <c r="V12464" s="16" t="str">
        <f>IFERROR(__xludf.DUMMYFUNCTION("""COMPUTED_VALUE"""),"")</f>
        <v/>
      </c>
      <c r="W12464" s="16" t="str">
        <f>IFERROR(__xludf.DUMMYFUNCTION("""COMPUTED_VALUE"""),"")</f>
        <v/>
      </c>
      <c r="X12464" s="16" t="str">
        <f>IFERROR(__xludf.DUMMYFUNCTION("""COMPUTED_VALUE"""),"")</f>
        <v/>
      </c>
      <c r="AC12464" s="16" t="str">
        <f>IFERROR(__xludf.DUMMYFUNCTION("""COMPUTED_VALUE"""),"")</f>
        <v/>
      </c>
    </row>
    <row r="12465">
      <c r="A12465" s="16" t="s">
        <v>87</v>
      </c>
      <c r="E12465" s="16" t="str">
        <f>IFERROR(__xludf.DUMMYFUNCTION("""COMPUTED_VALUE"""),"")</f>
        <v/>
      </c>
      <c r="G12465" s="18"/>
      <c r="H12465" s="16" t="s">
        <v>87</v>
      </c>
      <c r="I12465" s="16" t="s">
        <v>87</v>
      </c>
      <c r="J12465" s="19"/>
      <c r="L12465" s="16" t="str">
        <f>IFERROR(__xludf.DUMMYFUNCTION("""COMPUTED_VALUE"""),"")</f>
        <v/>
      </c>
      <c r="M12465" s="16" t="str">
        <f>IFERROR(__xludf.DUMMYFUNCTION("""COMPUTED_VALUE"""),"")</f>
        <v/>
      </c>
      <c r="U12465" s="16" t="s">
        <v>87</v>
      </c>
      <c r="V12465" s="16" t="str">
        <f>IFERROR(__xludf.DUMMYFUNCTION("""COMPUTED_VALUE"""),"")</f>
        <v/>
      </c>
      <c r="W12465" s="16" t="str">
        <f>IFERROR(__xludf.DUMMYFUNCTION("""COMPUTED_VALUE"""),"")</f>
        <v/>
      </c>
      <c r="X12465" s="16" t="str">
        <f>IFERROR(__xludf.DUMMYFUNCTION("""COMPUTED_VALUE"""),"")</f>
        <v/>
      </c>
      <c r="AC12465" s="16" t="str">
        <f>IFERROR(__xludf.DUMMYFUNCTION("""COMPUTED_VALUE"""),"")</f>
        <v/>
      </c>
    </row>
    <row r="12466">
      <c r="A12466" s="16" t="s">
        <v>87</v>
      </c>
      <c r="E12466" s="16" t="str">
        <f>IFERROR(__xludf.DUMMYFUNCTION("""COMPUTED_VALUE"""),"")</f>
        <v/>
      </c>
      <c r="G12466" s="18"/>
      <c r="H12466" s="16" t="s">
        <v>87</v>
      </c>
      <c r="I12466" s="16" t="s">
        <v>87</v>
      </c>
      <c r="J12466" s="19"/>
      <c r="L12466" s="16" t="str">
        <f>IFERROR(__xludf.DUMMYFUNCTION("""COMPUTED_VALUE"""),"")</f>
        <v/>
      </c>
      <c r="M12466" s="16" t="str">
        <f>IFERROR(__xludf.DUMMYFUNCTION("""COMPUTED_VALUE"""),"")</f>
        <v/>
      </c>
      <c r="U12466" s="16" t="s">
        <v>87</v>
      </c>
      <c r="V12466" s="16" t="str">
        <f>IFERROR(__xludf.DUMMYFUNCTION("""COMPUTED_VALUE"""),"")</f>
        <v/>
      </c>
      <c r="W12466" s="16" t="str">
        <f>IFERROR(__xludf.DUMMYFUNCTION("""COMPUTED_VALUE"""),"")</f>
        <v/>
      </c>
      <c r="X12466" s="16" t="str">
        <f>IFERROR(__xludf.DUMMYFUNCTION("""COMPUTED_VALUE"""),"")</f>
        <v/>
      </c>
      <c r="AC12466" s="16" t="str">
        <f>IFERROR(__xludf.DUMMYFUNCTION("""COMPUTED_VALUE"""),"")</f>
        <v/>
      </c>
    </row>
    <row r="12467">
      <c r="A12467" s="16" t="s">
        <v>87</v>
      </c>
      <c r="E12467" s="16" t="str">
        <f>IFERROR(__xludf.DUMMYFUNCTION("""COMPUTED_VALUE"""),"")</f>
        <v/>
      </c>
      <c r="G12467" s="18"/>
      <c r="H12467" s="16" t="s">
        <v>87</v>
      </c>
      <c r="I12467" s="16" t="s">
        <v>87</v>
      </c>
      <c r="J12467" s="19"/>
      <c r="L12467" s="16" t="str">
        <f>IFERROR(__xludf.DUMMYFUNCTION("""COMPUTED_VALUE"""),"")</f>
        <v/>
      </c>
      <c r="M12467" s="16" t="str">
        <f>IFERROR(__xludf.DUMMYFUNCTION("""COMPUTED_VALUE"""),"")</f>
        <v/>
      </c>
      <c r="U12467" s="16" t="s">
        <v>87</v>
      </c>
      <c r="V12467" s="16" t="str">
        <f>IFERROR(__xludf.DUMMYFUNCTION("""COMPUTED_VALUE"""),"")</f>
        <v/>
      </c>
      <c r="W12467" s="16" t="str">
        <f>IFERROR(__xludf.DUMMYFUNCTION("""COMPUTED_VALUE"""),"")</f>
        <v/>
      </c>
      <c r="X12467" s="16" t="str">
        <f>IFERROR(__xludf.DUMMYFUNCTION("""COMPUTED_VALUE"""),"")</f>
        <v/>
      </c>
      <c r="AC12467" s="16" t="str">
        <f>IFERROR(__xludf.DUMMYFUNCTION("""COMPUTED_VALUE"""),"")</f>
        <v/>
      </c>
    </row>
    <row r="12468">
      <c r="A12468" s="16" t="s">
        <v>87</v>
      </c>
      <c r="E12468" s="16" t="str">
        <f>IFERROR(__xludf.DUMMYFUNCTION("""COMPUTED_VALUE"""),"")</f>
        <v/>
      </c>
      <c r="G12468" s="18"/>
      <c r="H12468" s="16" t="s">
        <v>87</v>
      </c>
      <c r="I12468" s="16" t="s">
        <v>87</v>
      </c>
      <c r="J12468" s="19"/>
      <c r="L12468" s="16" t="str">
        <f>IFERROR(__xludf.DUMMYFUNCTION("""COMPUTED_VALUE"""),"")</f>
        <v/>
      </c>
      <c r="M12468" s="16" t="str">
        <f>IFERROR(__xludf.DUMMYFUNCTION("""COMPUTED_VALUE"""),"")</f>
        <v/>
      </c>
      <c r="U12468" s="16" t="s">
        <v>87</v>
      </c>
      <c r="V12468" s="16" t="str">
        <f>IFERROR(__xludf.DUMMYFUNCTION("""COMPUTED_VALUE"""),"")</f>
        <v/>
      </c>
      <c r="W12468" s="16" t="str">
        <f>IFERROR(__xludf.DUMMYFUNCTION("""COMPUTED_VALUE"""),"")</f>
        <v/>
      </c>
      <c r="X12468" s="16" t="str">
        <f>IFERROR(__xludf.DUMMYFUNCTION("""COMPUTED_VALUE"""),"")</f>
        <v/>
      </c>
      <c r="AC12468" s="16" t="str">
        <f>IFERROR(__xludf.DUMMYFUNCTION("""COMPUTED_VALUE"""),"")</f>
        <v/>
      </c>
    </row>
    <row r="12469">
      <c r="A12469" s="16" t="s">
        <v>87</v>
      </c>
      <c r="E12469" s="16" t="str">
        <f>IFERROR(__xludf.DUMMYFUNCTION("""COMPUTED_VALUE"""),"")</f>
        <v/>
      </c>
      <c r="G12469" s="18"/>
      <c r="H12469" s="16" t="s">
        <v>87</v>
      </c>
      <c r="I12469" s="16" t="s">
        <v>87</v>
      </c>
      <c r="J12469" s="19"/>
      <c r="L12469" s="16" t="str">
        <f>IFERROR(__xludf.DUMMYFUNCTION("""COMPUTED_VALUE"""),"")</f>
        <v/>
      </c>
      <c r="M12469" s="16" t="str">
        <f>IFERROR(__xludf.DUMMYFUNCTION("""COMPUTED_VALUE"""),"")</f>
        <v/>
      </c>
      <c r="U12469" s="16" t="s">
        <v>87</v>
      </c>
      <c r="V12469" s="16" t="str">
        <f>IFERROR(__xludf.DUMMYFUNCTION("""COMPUTED_VALUE"""),"")</f>
        <v/>
      </c>
      <c r="W12469" s="16" t="str">
        <f>IFERROR(__xludf.DUMMYFUNCTION("""COMPUTED_VALUE"""),"")</f>
        <v/>
      </c>
      <c r="X12469" s="16" t="str">
        <f>IFERROR(__xludf.DUMMYFUNCTION("""COMPUTED_VALUE"""),"")</f>
        <v/>
      </c>
      <c r="AC12469" s="16" t="str">
        <f>IFERROR(__xludf.DUMMYFUNCTION("""COMPUTED_VALUE"""),"")</f>
        <v/>
      </c>
    </row>
    <row r="12470">
      <c r="A12470" s="16" t="s">
        <v>87</v>
      </c>
      <c r="E12470" s="16" t="str">
        <f>IFERROR(__xludf.DUMMYFUNCTION("""COMPUTED_VALUE"""),"")</f>
        <v/>
      </c>
      <c r="G12470" s="18"/>
      <c r="H12470" s="16" t="s">
        <v>87</v>
      </c>
      <c r="I12470" s="16" t="s">
        <v>87</v>
      </c>
      <c r="J12470" s="19"/>
      <c r="L12470" s="16" t="str">
        <f>IFERROR(__xludf.DUMMYFUNCTION("""COMPUTED_VALUE"""),"")</f>
        <v/>
      </c>
      <c r="M12470" s="16" t="str">
        <f>IFERROR(__xludf.DUMMYFUNCTION("""COMPUTED_VALUE"""),"")</f>
        <v/>
      </c>
      <c r="U12470" s="16" t="s">
        <v>87</v>
      </c>
      <c r="V12470" s="16" t="str">
        <f>IFERROR(__xludf.DUMMYFUNCTION("""COMPUTED_VALUE"""),"")</f>
        <v/>
      </c>
      <c r="W12470" s="16" t="str">
        <f>IFERROR(__xludf.DUMMYFUNCTION("""COMPUTED_VALUE"""),"")</f>
        <v/>
      </c>
      <c r="X12470" s="16" t="str">
        <f>IFERROR(__xludf.DUMMYFUNCTION("""COMPUTED_VALUE"""),"")</f>
        <v/>
      </c>
      <c r="AC12470" s="16" t="str">
        <f>IFERROR(__xludf.DUMMYFUNCTION("""COMPUTED_VALUE"""),"")</f>
        <v/>
      </c>
    </row>
    <row r="12471">
      <c r="A12471" s="16" t="s">
        <v>87</v>
      </c>
      <c r="E12471" s="16" t="str">
        <f>IFERROR(__xludf.DUMMYFUNCTION("""COMPUTED_VALUE"""),"")</f>
        <v/>
      </c>
      <c r="G12471" s="18"/>
      <c r="H12471" s="16" t="s">
        <v>87</v>
      </c>
      <c r="I12471" s="16" t="s">
        <v>87</v>
      </c>
      <c r="J12471" s="19"/>
      <c r="L12471" s="16" t="str">
        <f>IFERROR(__xludf.DUMMYFUNCTION("""COMPUTED_VALUE"""),"")</f>
        <v/>
      </c>
      <c r="M12471" s="16" t="str">
        <f>IFERROR(__xludf.DUMMYFUNCTION("""COMPUTED_VALUE"""),"")</f>
        <v/>
      </c>
      <c r="U12471" s="16" t="s">
        <v>87</v>
      </c>
      <c r="V12471" s="16" t="str">
        <f>IFERROR(__xludf.DUMMYFUNCTION("""COMPUTED_VALUE"""),"")</f>
        <v/>
      </c>
      <c r="W12471" s="16" t="str">
        <f>IFERROR(__xludf.DUMMYFUNCTION("""COMPUTED_VALUE"""),"")</f>
        <v/>
      </c>
      <c r="X12471" s="16" t="str">
        <f>IFERROR(__xludf.DUMMYFUNCTION("""COMPUTED_VALUE"""),"")</f>
        <v/>
      </c>
      <c r="AC12471" s="16" t="str">
        <f>IFERROR(__xludf.DUMMYFUNCTION("""COMPUTED_VALUE"""),"")</f>
        <v/>
      </c>
    </row>
    <row r="12472">
      <c r="A12472" s="16" t="s">
        <v>87</v>
      </c>
      <c r="E12472" s="16" t="str">
        <f>IFERROR(__xludf.DUMMYFUNCTION("""COMPUTED_VALUE"""),"")</f>
        <v/>
      </c>
      <c r="G12472" s="18"/>
      <c r="H12472" s="16" t="s">
        <v>87</v>
      </c>
      <c r="I12472" s="16" t="s">
        <v>87</v>
      </c>
      <c r="J12472" s="19"/>
      <c r="L12472" s="16" t="str">
        <f>IFERROR(__xludf.DUMMYFUNCTION("""COMPUTED_VALUE"""),"")</f>
        <v/>
      </c>
      <c r="M12472" s="16" t="str">
        <f>IFERROR(__xludf.DUMMYFUNCTION("""COMPUTED_VALUE"""),"")</f>
        <v/>
      </c>
      <c r="U12472" s="16" t="s">
        <v>87</v>
      </c>
      <c r="V12472" s="16" t="str">
        <f>IFERROR(__xludf.DUMMYFUNCTION("""COMPUTED_VALUE"""),"")</f>
        <v/>
      </c>
      <c r="W12472" s="16" t="str">
        <f>IFERROR(__xludf.DUMMYFUNCTION("""COMPUTED_VALUE"""),"")</f>
        <v/>
      </c>
      <c r="X12472" s="16" t="str">
        <f>IFERROR(__xludf.DUMMYFUNCTION("""COMPUTED_VALUE"""),"")</f>
        <v/>
      </c>
      <c r="AC12472" s="16" t="str">
        <f>IFERROR(__xludf.DUMMYFUNCTION("""COMPUTED_VALUE"""),"")</f>
        <v/>
      </c>
    </row>
    <row r="12473">
      <c r="A12473" s="16" t="s">
        <v>87</v>
      </c>
      <c r="E12473" s="16" t="str">
        <f>IFERROR(__xludf.DUMMYFUNCTION("""COMPUTED_VALUE"""),"")</f>
        <v/>
      </c>
      <c r="G12473" s="18"/>
      <c r="H12473" s="16" t="s">
        <v>87</v>
      </c>
      <c r="I12473" s="16" t="s">
        <v>87</v>
      </c>
      <c r="J12473" s="19"/>
      <c r="L12473" s="16" t="str">
        <f>IFERROR(__xludf.DUMMYFUNCTION("""COMPUTED_VALUE"""),"")</f>
        <v/>
      </c>
      <c r="M12473" s="16" t="str">
        <f>IFERROR(__xludf.DUMMYFUNCTION("""COMPUTED_VALUE"""),"")</f>
        <v/>
      </c>
      <c r="U12473" s="16" t="s">
        <v>87</v>
      </c>
      <c r="V12473" s="16" t="str">
        <f>IFERROR(__xludf.DUMMYFUNCTION("""COMPUTED_VALUE"""),"")</f>
        <v/>
      </c>
      <c r="W12473" s="16" t="str">
        <f>IFERROR(__xludf.DUMMYFUNCTION("""COMPUTED_VALUE"""),"")</f>
        <v/>
      </c>
      <c r="X12473" s="16" t="str">
        <f>IFERROR(__xludf.DUMMYFUNCTION("""COMPUTED_VALUE"""),"")</f>
        <v/>
      </c>
      <c r="AC12473" s="16" t="str">
        <f>IFERROR(__xludf.DUMMYFUNCTION("""COMPUTED_VALUE"""),"")</f>
        <v/>
      </c>
    </row>
    <row r="12474">
      <c r="A12474" s="16" t="s">
        <v>87</v>
      </c>
      <c r="E12474" s="16" t="str">
        <f>IFERROR(__xludf.DUMMYFUNCTION("""COMPUTED_VALUE"""),"")</f>
        <v/>
      </c>
      <c r="G12474" s="18"/>
      <c r="H12474" s="16" t="s">
        <v>87</v>
      </c>
      <c r="I12474" s="16" t="s">
        <v>87</v>
      </c>
      <c r="J12474" s="19"/>
      <c r="L12474" s="16" t="str">
        <f>IFERROR(__xludf.DUMMYFUNCTION("""COMPUTED_VALUE"""),"")</f>
        <v/>
      </c>
      <c r="M12474" s="16" t="str">
        <f>IFERROR(__xludf.DUMMYFUNCTION("""COMPUTED_VALUE"""),"")</f>
        <v/>
      </c>
      <c r="U12474" s="16" t="s">
        <v>87</v>
      </c>
      <c r="V12474" s="16" t="str">
        <f>IFERROR(__xludf.DUMMYFUNCTION("""COMPUTED_VALUE"""),"")</f>
        <v/>
      </c>
      <c r="W12474" s="16" t="str">
        <f>IFERROR(__xludf.DUMMYFUNCTION("""COMPUTED_VALUE"""),"")</f>
        <v/>
      </c>
      <c r="X12474" s="16" t="str">
        <f>IFERROR(__xludf.DUMMYFUNCTION("""COMPUTED_VALUE"""),"")</f>
        <v/>
      </c>
      <c r="AC12474" s="16" t="str">
        <f>IFERROR(__xludf.DUMMYFUNCTION("""COMPUTED_VALUE"""),"")</f>
        <v/>
      </c>
    </row>
    <row r="12475">
      <c r="A12475" s="16" t="s">
        <v>87</v>
      </c>
      <c r="E12475" s="16" t="str">
        <f>IFERROR(__xludf.DUMMYFUNCTION("""COMPUTED_VALUE"""),"")</f>
        <v/>
      </c>
      <c r="G12475" s="18"/>
      <c r="H12475" s="16" t="s">
        <v>87</v>
      </c>
      <c r="I12475" s="16" t="s">
        <v>87</v>
      </c>
      <c r="J12475" s="19"/>
      <c r="L12475" s="16" t="str">
        <f>IFERROR(__xludf.DUMMYFUNCTION("""COMPUTED_VALUE"""),"")</f>
        <v/>
      </c>
      <c r="M12475" s="16" t="str">
        <f>IFERROR(__xludf.DUMMYFUNCTION("""COMPUTED_VALUE"""),"")</f>
        <v/>
      </c>
      <c r="U12475" s="16" t="s">
        <v>87</v>
      </c>
      <c r="V12475" s="16" t="str">
        <f>IFERROR(__xludf.DUMMYFUNCTION("""COMPUTED_VALUE"""),"")</f>
        <v/>
      </c>
      <c r="W12475" s="16" t="str">
        <f>IFERROR(__xludf.DUMMYFUNCTION("""COMPUTED_VALUE"""),"")</f>
        <v/>
      </c>
      <c r="X12475" s="16" t="str">
        <f>IFERROR(__xludf.DUMMYFUNCTION("""COMPUTED_VALUE"""),"")</f>
        <v/>
      </c>
      <c r="AC12475" s="16" t="str">
        <f>IFERROR(__xludf.DUMMYFUNCTION("""COMPUTED_VALUE"""),"")</f>
        <v/>
      </c>
    </row>
    <row r="12476">
      <c r="A12476" s="16" t="s">
        <v>87</v>
      </c>
      <c r="E12476" s="16" t="str">
        <f>IFERROR(__xludf.DUMMYFUNCTION("""COMPUTED_VALUE"""),"")</f>
        <v/>
      </c>
      <c r="G12476" s="18"/>
      <c r="H12476" s="16" t="s">
        <v>87</v>
      </c>
      <c r="I12476" s="16" t="s">
        <v>87</v>
      </c>
      <c r="J12476" s="19"/>
      <c r="L12476" s="16" t="str">
        <f>IFERROR(__xludf.DUMMYFUNCTION("""COMPUTED_VALUE"""),"")</f>
        <v/>
      </c>
      <c r="M12476" s="16" t="str">
        <f>IFERROR(__xludf.DUMMYFUNCTION("""COMPUTED_VALUE"""),"")</f>
        <v/>
      </c>
      <c r="U12476" s="16" t="s">
        <v>87</v>
      </c>
      <c r="V12476" s="16" t="str">
        <f>IFERROR(__xludf.DUMMYFUNCTION("""COMPUTED_VALUE"""),"")</f>
        <v/>
      </c>
      <c r="W12476" s="16" t="str">
        <f>IFERROR(__xludf.DUMMYFUNCTION("""COMPUTED_VALUE"""),"")</f>
        <v/>
      </c>
      <c r="X12476" s="16" t="str">
        <f>IFERROR(__xludf.DUMMYFUNCTION("""COMPUTED_VALUE"""),"")</f>
        <v/>
      </c>
      <c r="AC12476" s="16" t="str">
        <f>IFERROR(__xludf.DUMMYFUNCTION("""COMPUTED_VALUE"""),"")</f>
        <v/>
      </c>
    </row>
    <row r="12477">
      <c r="A12477" s="16" t="s">
        <v>87</v>
      </c>
      <c r="E12477" s="16" t="str">
        <f>IFERROR(__xludf.DUMMYFUNCTION("""COMPUTED_VALUE"""),"")</f>
        <v/>
      </c>
      <c r="G12477" s="18"/>
      <c r="H12477" s="16" t="s">
        <v>87</v>
      </c>
      <c r="I12477" s="16" t="s">
        <v>87</v>
      </c>
      <c r="J12477" s="19"/>
      <c r="L12477" s="16" t="str">
        <f>IFERROR(__xludf.DUMMYFUNCTION("""COMPUTED_VALUE"""),"")</f>
        <v/>
      </c>
      <c r="M12477" s="16" t="str">
        <f>IFERROR(__xludf.DUMMYFUNCTION("""COMPUTED_VALUE"""),"")</f>
        <v/>
      </c>
      <c r="U12477" s="16" t="s">
        <v>87</v>
      </c>
      <c r="V12477" s="16" t="str">
        <f>IFERROR(__xludf.DUMMYFUNCTION("""COMPUTED_VALUE"""),"")</f>
        <v/>
      </c>
      <c r="W12477" s="16" t="str">
        <f>IFERROR(__xludf.DUMMYFUNCTION("""COMPUTED_VALUE"""),"")</f>
        <v/>
      </c>
      <c r="X12477" s="16" t="str">
        <f>IFERROR(__xludf.DUMMYFUNCTION("""COMPUTED_VALUE"""),"")</f>
        <v/>
      </c>
      <c r="AC12477" s="16" t="str">
        <f>IFERROR(__xludf.DUMMYFUNCTION("""COMPUTED_VALUE"""),"")</f>
        <v/>
      </c>
    </row>
    <row r="12478">
      <c r="A12478" s="16" t="s">
        <v>87</v>
      </c>
      <c r="E12478" s="16" t="str">
        <f>IFERROR(__xludf.DUMMYFUNCTION("""COMPUTED_VALUE"""),"")</f>
        <v/>
      </c>
      <c r="G12478" s="18"/>
      <c r="H12478" s="16" t="s">
        <v>87</v>
      </c>
      <c r="I12478" s="16" t="s">
        <v>87</v>
      </c>
      <c r="J12478" s="19"/>
      <c r="L12478" s="16" t="str">
        <f>IFERROR(__xludf.DUMMYFUNCTION("""COMPUTED_VALUE"""),"")</f>
        <v/>
      </c>
      <c r="M12478" s="16" t="str">
        <f>IFERROR(__xludf.DUMMYFUNCTION("""COMPUTED_VALUE"""),"")</f>
        <v/>
      </c>
      <c r="U12478" s="16" t="s">
        <v>87</v>
      </c>
      <c r="V12478" s="16" t="str">
        <f>IFERROR(__xludf.DUMMYFUNCTION("""COMPUTED_VALUE"""),"")</f>
        <v/>
      </c>
      <c r="W12478" s="16" t="str">
        <f>IFERROR(__xludf.DUMMYFUNCTION("""COMPUTED_VALUE"""),"")</f>
        <v/>
      </c>
      <c r="X12478" s="16" t="str">
        <f>IFERROR(__xludf.DUMMYFUNCTION("""COMPUTED_VALUE"""),"")</f>
        <v/>
      </c>
      <c r="AC12478" s="16" t="str">
        <f>IFERROR(__xludf.DUMMYFUNCTION("""COMPUTED_VALUE"""),"")</f>
        <v/>
      </c>
    </row>
    <row r="12479">
      <c r="A12479" s="16" t="s">
        <v>87</v>
      </c>
      <c r="E12479" s="16" t="str">
        <f>IFERROR(__xludf.DUMMYFUNCTION("""COMPUTED_VALUE"""),"")</f>
        <v/>
      </c>
      <c r="G12479" s="18"/>
      <c r="H12479" s="16" t="s">
        <v>87</v>
      </c>
      <c r="I12479" s="16" t="s">
        <v>87</v>
      </c>
      <c r="J12479" s="19"/>
      <c r="L12479" s="16" t="str">
        <f>IFERROR(__xludf.DUMMYFUNCTION("""COMPUTED_VALUE"""),"")</f>
        <v/>
      </c>
      <c r="M12479" s="16" t="str">
        <f>IFERROR(__xludf.DUMMYFUNCTION("""COMPUTED_VALUE"""),"")</f>
        <v/>
      </c>
      <c r="U12479" s="16" t="s">
        <v>87</v>
      </c>
      <c r="V12479" s="16" t="str">
        <f>IFERROR(__xludf.DUMMYFUNCTION("""COMPUTED_VALUE"""),"")</f>
        <v/>
      </c>
      <c r="W12479" s="16" t="str">
        <f>IFERROR(__xludf.DUMMYFUNCTION("""COMPUTED_VALUE"""),"")</f>
        <v/>
      </c>
      <c r="X12479" s="16" t="str">
        <f>IFERROR(__xludf.DUMMYFUNCTION("""COMPUTED_VALUE"""),"")</f>
        <v/>
      </c>
      <c r="AC12479" s="16" t="str">
        <f>IFERROR(__xludf.DUMMYFUNCTION("""COMPUTED_VALUE"""),"")</f>
        <v/>
      </c>
    </row>
    <row r="12480">
      <c r="A12480" s="16" t="s">
        <v>87</v>
      </c>
      <c r="E12480" s="16" t="str">
        <f>IFERROR(__xludf.DUMMYFUNCTION("""COMPUTED_VALUE"""),"")</f>
        <v/>
      </c>
      <c r="G12480" s="18"/>
      <c r="H12480" s="16" t="s">
        <v>87</v>
      </c>
      <c r="I12480" s="16" t="s">
        <v>87</v>
      </c>
      <c r="J12480" s="19"/>
      <c r="L12480" s="16" t="str">
        <f>IFERROR(__xludf.DUMMYFUNCTION("""COMPUTED_VALUE"""),"")</f>
        <v/>
      </c>
      <c r="M12480" s="16" t="str">
        <f>IFERROR(__xludf.DUMMYFUNCTION("""COMPUTED_VALUE"""),"")</f>
        <v/>
      </c>
      <c r="U12480" s="16" t="s">
        <v>87</v>
      </c>
      <c r="V12480" s="16" t="str">
        <f>IFERROR(__xludf.DUMMYFUNCTION("""COMPUTED_VALUE"""),"")</f>
        <v/>
      </c>
      <c r="W12480" s="16" t="str">
        <f>IFERROR(__xludf.DUMMYFUNCTION("""COMPUTED_VALUE"""),"")</f>
        <v/>
      </c>
      <c r="X12480" s="16" t="str">
        <f>IFERROR(__xludf.DUMMYFUNCTION("""COMPUTED_VALUE"""),"")</f>
        <v/>
      </c>
      <c r="AC12480" s="16" t="str">
        <f>IFERROR(__xludf.DUMMYFUNCTION("""COMPUTED_VALUE"""),"")</f>
        <v/>
      </c>
    </row>
    <row r="12481">
      <c r="A12481" s="16" t="s">
        <v>87</v>
      </c>
      <c r="E12481" s="16" t="str">
        <f>IFERROR(__xludf.DUMMYFUNCTION("""COMPUTED_VALUE"""),"")</f>
        <v/>
      </c>
      <c r="G12481" s="18"/>
      <c r="H12481" s="16" t="s">
        <v>87</v>
      </c>
      <c r="I12481" s="16" t="s">
        <v>87</v>
      </c>
      <c r="J12481" s="19"/>
      <c r="L12481" s="16" t="str">
        <f>IFERROR(__xludf.DUMMYFUNCTION("""COMPUTED_VALUE"""),"")</f>
        <v/>
      </c>
      <c r="M12481" s="16" t="str">
        <f>IFERROR(__xludf.DUMMYFUNCTION("""COMPUTED_VALUE"""),"")</f>
        <v/>
      </c>
      <c r="U12481" s="16" t="s">
        <v>87</v>
      </c>
      <c r="V12481" s="16" t="str">
        <f>IFERROR(__xludf.DUMMYFUNCTION("""COMPUTED_VALUE"""),"")</f>
        <v/>
      </c>
      <c r="W12481" s="16" t="str">
        <f>IFERROR(__xludf.DUMMYFUNCTION("""COMPUTED_VALUE"""),"")</f>
        <v/>
      </c>
      <c r="X12481" s="16" t="str">
        <f>IFERROR(__xludf.DUMMYFUNCTION("""COMPUTED_VALUE"""),"")</f>
        <v/>
      </c>
      <c r="AC12481" s="16" t="str">
        <f>IFERROR(__xludf.DUMMYFUNCTION("""COMPUTED_VALUE"""),"")</f>
        <v/>
      </c>
    </row>
    <row r="12482">
      <c r="A12482" s="16" t="s">
        <v>87</v>
      </c>
      <c r="E12482" s="16" t="str">
        <f>IFERROR(__xludf.DUMMYFUNCTION("""COMPUTED_VALUE"""),"")</f>
        <v/>
      </c>
      <c r="G12482" s="18"/>
      <c r="H12482" s="16" t="s">
        <v>87</v>
      </c>
      <c r="I12482" s="16" t="s">
        <v>87</v>
      </c>
      <c r="J12482" s="19"/>
      <c r="L12482" s="16" t="str">
        <f>IFERROR(__xludf.DUMMYFUNCTION("""COMPUTED_VALUE"""),"")</f>
        <v/>
      </c>
      <c r="M12482" s="16" t="str">
        <f>IFERROR(__xludf.DUMMYFUNCTION("""COMPUTED_VALUE"""),"")</f>
        <v/>
      </c>
      <c r="U12482" s="16" t="s">
        <v>87</v>
      </c>
      <c r="V12482" s="16" t="str">
        <f>IFERROR(__xludf.DUMMYFUNCTION("""COMPUTED_VALUE"""),"")</f>
        <v/>
      </c>
      <c r="W12482" s="16" t="str">
        <f>IFERROR(__xludf.DUMMYFUNCTION("""COMPUTED_VALUE"""),"")</f>
        <v/>
      </c>
      <c r="X12482" s="16" t="str">
        <f>IFERROR(__xludf.DUMMYFUNCTION("""COMPUTED_VALUE"""),"")</f>
        <v/>
      </c>
      <c r="AC12482" s="16" t="str">
        <f>IFERROR(__xludf.DUMMYFUNCTION("""COMPUTED_VALUE"""),"")</f>
        <v/>
      </c>
    </row>
    <row r="12483">
      <c r="A12483" s="16" t="s">
        <v>87</v>
      </c>
      <c r="E12483" s="16" t="str">
        <f>IFERROR(__xludf.DUMMYFUNCTION("""COMPUTED_VALUE"""),"")</f>
        <v/>
      </c>
      <c r="G12483" s="18"/>
      <c r="H12483" s="16" t="s">
        <v>87</v>
      </c>
      <c r="I12483" s="16" t="s">
        <v>87</v>
      </c>
      <c r="J12483" s="19"/>
      <c r="L12483" s="16" t="str">
        <f>IFERROR(__xludf.DUMMYFUNCTION("""COMPUTED_VALUE"""),"")</f>
        <v/>
      </c>
      <c r="M12483" s="16" t="str">
        <f>IFERROR(__xludf.DUMMYFUNCTION("""COMPUTED_VALUE"""),"")</f>
        <v/>
      </c>
      <c r="U12483" s="16" t="s">
        <v>87</v>
      </c>
      <c r="V12483" s="16" t="str">
        <f>IFERROR(__xludf.DUMMYFUNCTION("""COMPUTED_VALUE"""),"")</f>
        <v/>
      </c>
      <c r="W12483" s="16" t="str">
        <f>IFERROR(__xludf.DUMMYFUNCTION("""COMPUTED_VALUE"""),"")</f>
        <v/>
      </c>
      <c r="X12483" s="16" t="str">
        <f>IFERROR(__xludf.DUMMYFUNCTION("""COMPUTED_VALUE"""),"")</f>
        <v/>
      </c>
      <c r="AC12483" s="16" t="str">
        <f>IFERROR(__xludf.DUMMYFUNCTION("""COMPUTED_VALUE"""),"")</f>
        <v/>
      </c>
    </row>
    <row r="12484">
      <c r="A12484" s="16" t="s">
        <v>87</v>
      </c>
      <c r="E12484" s="16" t="str">
        <f>IFERROR(__xludf.DUMMYFUNCTION("""COMPUTED_VALUE"""),"")</f>
        <v/>
      </c>
      <c r="G12484" s="18"/>
      <c r="H12484" s="16" t="s">
        <v>87</v>
      </c>
      <c r="I12484" s="16" t="s">
        <v>87</v>
      </c>
      <c r="J12484" s="19"/>
      <c r="L12484" s="16" t="str">
        <f>IFERROR(__xludf.DUMMYFUNCTION("""COMPUTED_VALUE"""),"")</f>
        <v/>
      </c>
      <c r="M12484" s="16" t="str">
        <f>IFERROR(__xludf.DUMMYFUNCTION("""COMPUTED_VALUE"""),"")</f>
        <v/>
      </c>
      <c r="U12484" s="16" t="s">
        <v>87</v>
      </c>
      <c r="V12484" s="16" t="str">
        <f>IFERROR(__xludf.DUMMYFUNCTION("""COMPUTED_VALUE"""),"")</f>
        <v/>
      </c>
      <c r="W12484" s="16" t="str">
        <f>IFERROR(__xludf.DUMMYFUNCTION("""COMPUTED_VALUE"""),"")</f>
        <v/>
      </c>
      <c r="X12484" s="16" t="str">
        <f>IFERROR(__xludf.DUMMYFUNCTION("""COMPUTED_VALUE"""),"")</f>
        <v/>
      </c>
      <c r="AC12484" s="16" t="str">
        <f>IFERROR(__xludf.DUMMYFUNCTION("""COMPUTED_VALUE"""),"")</f>
        <v/>
      </c>
    </row>
    <row r="12485">
      <c r="A12485" s="16" t="s">
        <v>87</v>
      </c>
      <c r="E12485" s="16" t="str">
        <f>IFERROR(__xludf.DUMMYFUNCTION("""COMPUTED_VALUE"""),"")</f>
        <v/>
      </c>
      <c r="G12485" s="18"/>
      <c r="H12485" s="16" t="s">
        <v>87</v>
      </c>
      <c r="I12485" s="16" t="s">
        <v>87</v>
      </c>
      <c r="J12485" s="19"/>
      <c r="L12485" s="16" t="str">
        <f>IFERROR(__xludf.DUMMYFUNCTION("""COMPUTED_VALUE"""),"")</f>
        <v/>
      </c>
      <c r="M12485" s="16" t="str">
        <f>IFERROR(__xludf.DUMMYFUNCTION("""COMPUTED_VALUE"""),"")</f>
        <v/>
      </c>
      <c r="U12485" s="16" t="s">
        <v>87</v>
      </c>
      <c r="V12485" s="16" t="str">
        <f>IFERROR(__xludf.DUMMYFUNCTION("""COMPUTED_VALUE"""),"")</f>
        <v/>
      </c>
      <c r="W12485" s="16" t="str">
        <f>IFERROR(__xludf.DUMMYFUNCTION("""COMPUTED_VALUE"""),"")</f>
        <v/>
      </c>
      <c r="X12485" s="16" t="str">
        <f>IFERROR(__xludf.DUMMYFUNCTION("""COMPUTED_VALUE"""),"")</f>
        <v/>
      </c>
      <c r="AC12485" s="16" t="str">
        <f>IFERROR(__xludf.DUMMYFUNCTION("""COMPUTED_VALUE"""),"")</f>
        <v/>
      </c>
    </row>
    <row r="12486">
      <c r="A12486" s="16" t="s">
        <v>87</v>
      </c>
      <c r="E12486" s="16" t="str">
        <f>IFERROR(__xludf.DUMMYFUNCTION("""COMPUTED_VALUE"""),"")</f>
        <v/>
      </c>
      <c r="G12486" s="18"/>
      <c r="H12486" s="16" t="s">
        <v>87</v>
      </c>
      <c r="I12486" s="16" t="s">
        <v>87</v>
      </c>
      <c r="J12486" s="19"/>
      <c r="L12486" s="16" t="str">
        <f>IFERROR(__xludf.DUMMYFUNCTION("""COMPUTED_VALUE"""),"")</f>
        <v/>
      </c>
      <c r="M12486" s="16" t="str">
        <f>IFERROR(__xludf.DUMMYFUNCTION("""COMPUTED_VALUE"""),"")</f>
        <v/>
      </c>
      <c r="U12486" s="16" t="s">
        <v>87</v>
      </c>
      <c r="V12486" s="16" t="str">
        <f>IFERROR(__xludf.DUMMYFUNCTION("""COMPUTED_VALUE"""),"")</f>
        <v/>
      </c>
      <c r="W12486" s="16" t="str">
        <f>IFERROR(__xludf.DUMMYFUNCTION("""COMPUTED_VALUE"""),"")</f>
        <v/>
      </c>
      <c r="X12486" s="16" t="str">
        <f>IFERROR(__xludf.DUMMYFUNCTION("""COMPUTED_VALUE"""),"")</f>
        <v/>
      </c>
      <c r="AC12486" s="16" t="str">
        <f>IFERROR(__xludf.DUMMYFUNCTION("""COMPUTED_VALUE"""),"")</f>
        <v/>
      </c>
    </row>
    <row r="12487">
      <c r="A12487" s="16" t="s">
        <v>87</v>
      </c>
      <c r="E12487" s="16" t="str">
        <f>IFERROR(__xludf.DUMMYFUNCTION("""COMPUTED_VALUE"""),"")</f>
        <v/>
      </c>
      <c r="G12487" s="18"/>
      <c r="H12487" s="16" t="s">
        <v>87</v>
      </c>
      <c r="I12487" s="16" t="s">
        <v>87</v>
      </c>
      <c r="J12487" s="19"/>
      <c r="L12487" s="16" t="str">
        <f>IFERROR(__xludf.DUMMYFUNCTION("""COMPUTED_VALUE"""),"")</f>
        <v/>
      </c>
      <c r="M12487" s="16" t="str">
        <f>IFERROR(__xludf.DUMMYFUNCTION("""COMPUTED_VALUE"""),"")</f>
        <v/>
      </c>
      <c r="U12487" s="16" t="s">
        <v>87</v>
      </c>
      <c r="V12487" s="16" t="str">
        <f>IFERROR(__xludf.DUMMYFUNCTION("""COMPUTED_VALUE"""),"")</f>
        <v/>
      </c>
      <c r="W12487" s="16" t="str">
        <f>IFERROR(__xludf.DUMMYFUNCTION("""COMPUTED_VALUE"""),"")</f>
        <v/>
      </c>
      <c r="X12487" s="16" t="str">
        <f>IFERROR(__xludf.DUMMYFUNCTION("""COMPUTED_VALUE"""),"")</f>
        <v/>
      </c>
      <c r="AC12487" s="16" t="str">
        <f>IFERROR(__xludf.DUMMYFUNCTION("""COMPUTED_VALUE"""),"")</f>
        <v/>
      </c>
    </row>
    <row r="12488">
      <c r="A12488" s="16" t="s">
        <v>87</v>
      </c>
      <c r="E12488" s="16" t="str">
        <f>IFERROR(__xludf.DUMMYFUNCTION("""COMPUTED_VALUE"""),"")</f>
        <v/>
      </c>
      <c r="G12488" s="18"/>
      <c r="H12488" s="16" t="s">
        <v>87</v>
      </c>
      <c r="I12488" s="16" t="s">
        <v>87</v>
      </c>
      <c r="J12488" s="19"/>
      <c r="L12488" s="16" t="str">
        <f>IFERROR(__xludf.DUMMYFUNCTION("""COMPUTED_VALUE"""),"")</f>
        <v/>
      </c>
      <c r="M12488" s="16" t="str">
        <f>IFERROR(__xludf.DUMMYFUNCTION("""COMPUTED_VALUE"""),"")</f>
        <v/>
      </c>
      <c r="U12488" s="16" t="s">
        <v>87</v>
      </c>
      <c r="V12488" s="16" t="str">
        <f>IFERROR(__xludf.DUMMYFUNCTION("""COMPUTED_VALUE"""),"")</f>
        <v/>
      </c>
      <c r="W12488" s="16" t="str">
        <f>IFERROR(__xludf.DUMMYFUNCTION("""COMPUTED_VALUE"""),"")</f>
        <v/>
      </c>
      <c r="X12488" s="16" t="str">
        <f>IFERROR(__xludf.DUMMYFUNCTION("""COMPUTED_VALUE"""),"")</f>
        <v/>
      </c>
      <c r="AC12488" s="16" t="str">
        <f>IFERROR(__xludf.DUMMYFUNCTION("""COMPUTED_VALUE"""),"")</f>
        <v/>
      </c>
    </row>
    <row r="12489">
      <c r="A12489" s="16" t="s">
        <v>87</v>
      </c>
      <c r="E12489" s="16" t="str">
        <f>IFERROR(__xludf.DUMMYFUNCTION("""COMPUTED_VALUE"""),"")</f>
        <v/>
      </c>
      <c r="G12489" s="18"/>
      <c r="H12489" s="16" t="s">
        <v>87</v>
      </c>
      <c r="I12489" s="16" t="s">
        <v>87</v>
      </c>
      <c r="J12489" s="19"/>
      <c r="L12489" s="16" t="str">
        <f>IFERROR(__xludf.DUMMYFUNCTION("""COMPUTED_VALUE"""),"")</f>
        <v/>
      </c>
      <c r="M12489" s="16" t="str">
        <f>IFERROR(__xludf.DUMMYFUNCTION("""COMPUTED_VALUE"""),"")</f>
        <v/>
      </c>
      <c r="U12489" s="16" t="s">
        <v>87</v>
      </c>
      <c r="V12489" s="16" t="str">
        <f>IFERROR(__xludf.DUMMYFUNCTION("""COMPUTED_VALUE"""),"")</f>
        <v/>
      </c>
      <c r="W12489" s="16" t="str">
        <f>IFERROR(__xludf.DUMMYFUNCTION("""COMPUTED_VALUE"""),"")</f>
        <v/>
      </c>
      <c r="X12489" s="16" t="str">
        <f>IFERROR(__xludf.DUMMYFUNCTION("""COMPUTED_VALUE"""),"")</f>
        <v/>
      </c>
      <c r="AC12489" s="16" t="str">
        <f>IFERROR(__xludf.DUMMYFUNCTION("""COMPUTED_VALUE"""),"")</f>
        <v/>
      </c>
    </row>
    <row r="12490">
      <c r="A12490" s="16" t="s">
        <v>87</v>
      </c>
      <c r="E12490" s="16" t="str">
        <f>IFERROR(__xludf.DUMMYFUNCTION("""COMPUTED_VALUE"""),"")</f>
        <v/>
      </c>
      <c r="G12490" s="18"/>
      <c r="H12490" s="16" t="s">
        <v>87</v>
      </c>
      <c r="I12490" s="16" t="s">
        <v>87</v>
      </c>
      <c r="J12490" s="19"/>
      <c r="L12490" s="16" t="str">
        <f>IFERROR(__xludf.DUMMYFUNCTION("""COMPUTED_VALUE"""),"")</f>
        <v/>
      </c>
      <c r="M12490" s="16" t="str">
        <f>IFERROR(__xludf.DUMMYFUNCTION("""COMPUTED_VALUE"""),"")</f>
        <v/>
      </c>
      <c r="U12490" s="16" t="s">
        <v>87</v>
      </c>
      <c r="V12490" s="16" t="str">
        <f>IFERROR(__xludf.DUMMYFUNCTION("""COMPUTED_VALUE"""),"")</f>
        <v/>
      </c>
      <c r="W12490" s="16" t="str">
        <f>IFERROR(__xludf.DUMMYFUNCTION("""COMPUTED_VALUE"""),"")</f>
        <v/>
      </c>
      <c r="X12490" s="16" t="str">
        <f>IFERROR(__xludf.DUMMYFUNCTION("""COMPUTED_VALUE"""),"")</f>
        <v/>
      </c>
      <c r="AC12490" s="16" t="str">
        <f>IFERROR(__xludf.DUMMYFUNCTION("""COMPUTED_VALUE"""),"")</f>
        <v/>
      </c>
    </row>
    <row r="12491">
      <c r="A12491" s="16" t="s">
        <v>87</v>
      </c>
      <c r="E12491" s="16" t="str">
        <f>IFERROR(__xludf.DUMMYFUNCTION("""COMPUTED_VALUE"""),"")</f>
        <v/>
      </c>
      <c r="G12491" s="18"/>
      <c r="H12491" s="16" t="s">
        <v>87</v>
      </c>
      <c r="I12491" s="16" t="s">
        <v>87</v>
      </c>
      <c r="J12491" s="19"/>
      <c r="L12491" s="16" t="str">
        <f>IFERROR(__xludf.DUMMYFUNCTION("""COMPUTED_VALUE"""),"")</f>
        <v/>
      </c>
      <c r="M12491" s="16" t="str">
        <f>IFERROR(__xludf.DUMMYFUNCTION("""COMPUTED_VALUE"""),"")</f>
        <v/>
      </c>
      <c r="U12491" s="16" t="s">
        <v>87</v>
      </c>
      <c r="V12491" s="16" t="str">
        <f>IFERROR(__xludf.DUMMYFUNCTION("""COMPUTED_VALUE"""),"")</f>
        <v/>
      </c>
      <c r="W12491" s="16" t="str">
        <f>IFERROR(__xludf.DUMMYFUNCTION("""COMPUTED_VALUE"""),"")</f>
        <v/>
      </c>
      <c r="X12491" s="16" t="str">
        <f>IFERROR(__xludf.DUMMYFUNCTION("""COMPUTED_VALUE"""),"")</f>
        <v/>
      </c>
      <c r="AC12491" s="16" t="str">
        <f>IFERROR(__xludf.DUMMYFUNCTION("""COMPUTED_VALUE"""),"")</f>
        <v/>
      </c>
    </row>
    <row r="12492">
      <c r="A12492" s="16" t="s">
        <v>87</v>
      </c>
      <c r="E12492" s="16" t="str">
        <f>IFERROR(__xludf.DUMMYFUNCTION("""COMPUTED_VALUE"""),"")</f>
        <v/>
      </c>
      <c r="G12492" s="18"/>
      <c r="H12492" s="16" t="s">
        <v>87</v>
      </c>
      <c r="I12492" s="16" t="s">
        <v>87</v>
      </c>
      <c r="J12492" s="19"/>
      <c r="L12492" s="16" t="str">
        <f>IFERROR(__xludf.DUMMYFUNCTION("""COMPUTED_VALUE"""),"")</f>
        <v/>
      </c>
      <c r="M12492" s="16" t="str">
        <f>IFERROR(__xludf.DUMMYFUNCTION("""COMPUTED_VALUE"""),"")</f>
        <v/>
      </c>
      <c r="U12492" s="16" t="s">
        <v>87</v>
      </c>
      <c r="V12492" s="16" t="str">
        <f>IFERROR(__xludf.DUMMYFUNCTION("""COMPUTED_VALUE"""),"")</f>
        <v/>
      </c>
      <c r="W12492" s="16" t="str">
        <f>IFERROR(__xludf.DUMMYFUNCTION("""COMPUTED_VALUE"""),"")</f>
        <v/>
      </c>
      <c r="X12492" s="16" t="str">
        <f>IFERROR(__xludf.DUMMYFUNCTION("""COMPUTED_VALUE"""),"")</f>
        <v/>
      </c>
      <c r="AC12492" s="16" t="str">
        <f>IFERROR(__xludf.DUMMYFUNCTION("""COMPUTED_VALUE"""),"")</f>
        <v/>
      </c>
    </row>
    <row r="12493">
      <c r="A12493" s="16" t="s">
        <v>87</v>
      </c>
      <c r="E12493" s="16" t="str">
        <f>IFERROR(__xludf.DUMMYFUNCTION("""COMPUTED_VALUE"""),"")</f>
        <v/>
      </c>
      <c r="G12493" s="18"/>
      <c r="H12493" s="16" t="s">
        <v>87</v>
      </c>
      <c r="I12493" s="16" t="s">
        <v>87</v>
      </c>
      <c r="J12493" s="19"/>
      <c r="L12493" s="16" t="str">
        <f>IFERROR(__xludf.DUMMYFUNCTION("""COMPUTED_VALUE"""),"")</f>
        <v/>
      </c>
      <c r="M12493" s="16" t="str">
        <f>IFERROR(__xludf.DUMMYFUNCTION("""COMPUTED_VALUE"""),"")</f>
        <v/>
      </c>
      <c r="U12493" s="16" t="s">
        <v>87</v>
      </c>
      <c r="V12493" s="16" t="str">
        <f>IFERROR(__xludf.DUMMYFUNCTION("""COMPUTED_VALUE"""),"")</f>
        <v/>
      </c>
      <c r="W12493" s="16" t="str">
        <f>IFERROR(__xludf.DUMMYFUNCTION("""COMPUTED_VALUE"""),"")</f>
        <v/>
      </c>
      <c r="X12493" s="16" t="str">
        <f>IFERROR(__xludf.DUMMYFUNCTION("""COMPUTED_VALUE"""),"")</f>
        <v/>
      </c>
      <c r="AC12493" s="16" t="str">
        <f>IFERROR(__xludf.DUMMYFUNCTION("""COMPUTED_VALUE"""),"")</f>
        <v/>
      </c>
    </row>
    <row r="12494">
      <c r="A12494" s="16" t="s">
        <v>87</v>
      </c>
      <c r="E12494" s="16" t="str">
        <f>IFERROR(__xludf.DUMMYFUNCTION("""COMPUTED_VALUE"""),"")</f>
        <v/>
      </c>
      <c r="G12494" s="18"/>
      <c r="H12494" s="16" t="s">
        <v>87</v>
      </c>
      <c r="I12494" s="16" t="s">
        <v>87</v>
      </c>
      <c r="J12494" s="19"/>
      <c r="L12494" s="16" t="str">
        <f>IFERROR(__xludf.DUMMYFUNCTION("""COMPUTED_VALUE"""),"")</f>
        <v/>
      </c>
      <c r="M12494" s="16" t="str">
        <f>IFERROR(__xludf.DUMMYFUNCTION("""COMPUTED_VALUE"""),"")</f>
        <v/>
      </c>
      <c r="U12494" s="16" t="s">
        <v>87</v>
      </c>
      <c r="V12494" s="16" t="str">
        <f>IFERROR(__xludf.DUMMYFUNCTION("""COMPUTED_VALUE"""),"")</f>
        <v/>
      </c>
      <c r="W12494" s="16" t="str">
        <f>IFERROR(__xludf.DUMMYFUNCTION("""COMPUTED_VALUE"""),"")</f>
        <v/>
      </c>
      <c r="X12494" s="16" t="str">
        <f>IFERROR(__xludf.DUMMYFUNCTION("""COMPUTED_VALUE"""),"")</f>
        <v/>
      </c>
      <c r="AC12494" s="16" t="str">
        <f>IFERROR(__xludf.DUMMYFUNCTION("""COMPUTED_VALUE"""),"")</f>
        <v/>
      </c>
    </row>
    <row r="12495">
      <c r="A12495" s="16" t="s">
        <v>87</v>
      </c>
      <c r="E12495" s="16" t="str">
        <f>IFERROR(__xludf.DUMMYFUNCTION("""COMPUTED_VALUE"""),"")</f>
        <v/>
      </c>
      <c r="G12495" s="18"/>
      <c r="H12495" s="16" t="s">
        <v>87</v>
      </c>
      <c r="I12495" s="16" t="s">
        <v>87</v>
      </c>
      <c r="J12495" s="19"/>
      <c r="L12495" s="16" t="str">
        <f>IFERROR(__xludf.DUMMYFUNCTION("""COMPUTED_VALUE"""),"")</f>
        <v/>
      </c>
      <c r="M12495" s="16" t="str">
        <f>IFERROR(__xludf.DUMMYFUNCTION("""COMPUTED_VALUE"""),"")</f>
        <v/>
      </c>
      <c r="U12495" s="16" t="s">
        <v>87</v>
      </c>
      <c r="V12495" s="16" t="str">
        <f>IFERROR(__xludf.DUMMYFUNCTION("""COMPUTED_VALUE"""),"")</f>
        <v/>
      </c>
      <c r="W12495" s="16" t="str">
        <f>IFERROR(__xludf.DUMMYFUNCTION("""COMPUTED_VALUE"""),"")</f>
        <v/>
      </c>
      <c r="X12495" s="16" t="str">
        <f>IFERROR(__xludf.DUMMYFUNCTION("""COMPUTED_VALUE"""),"")</f>
        <v/>
      </c>
      <c r="AC12495" s="16" t="str">
        <f>IFERROR(__xludf.DUMMYFUNCTION("""COMPUTED_VALUE"""),"")</f>
        <v/>
      </c>
    </row>
    <row r="12496">
      <c r="A12496" s="16" t="s">
        <v>87</v>
      </c>
      <c r="E12496" s="16" t="str">
        <f>IFERROR(__xludf.DUMMYFUNCTION("""COMPUTED_VALUE"""),"")</f>
        <v/>
      </c>
      <c r="G12496" s="18"/>
      <c r="H12496" s="16" t="s">
        <v>87</v>
      </c>
      <c r="I12496" s="16" t="s">
        <v>87</v>
      </c>
      <c r="J12496" s="19"/>
      <c r="L12496" s="16" t="str">
        <f>IFERROR(__xludf.DUMMYFUNCTION("""COMPUTED_VALUE"""),"")</f>
        <v/>
      </c>
      <c r="M12496" s="16" t="str">
        <f>IFERROR(__xludf.DUMMYFUNCTION("""COMPUTED_VALUE"""),"")</f>
        <v/>
      </c>
      <c r="U12496" s="16" t="s">
        <v>87</v>
      </c>
      <c r="V12496" s="16" t="str">
        <f>IFERROR(__xludf.DUMMYFUNCTION("""COMPUTED_VALUE"""),"")</f>
        <v/>
      </c>
      <c r="W12496" s="16" t="str">
        <f>IFERROR(__xludf.DUMMYFUNCTION("""COMPUTED_VALUE"""),"")</f>
        <v/>
      </c>
      <c r="X12496" s="16" t="str">
        <f>IFERROR(__xludf.DUMMYFUNCTION("""COMPUTED_VALUE"""),"")</f>
        <v/>
      </c>
      <c r="AC12496" s="16" t="str">
        <f>IFERROR(__xludf.DUMMYFUNCTION("""COMPUTED_VALUE"""),"")</f>
        <v/>
      </c>
    </row>
    <row r="12497">
      <c r="A12497" s="16" t="s">
        <v>87</v>
      </c>
      <c r="E12497" s="16" t="str">
        <f>IFERROR(__xludf.DUMMYFUNCTION("""COMPUTED_VALUE"""),"")</f>
        <v/>
      </c>
      <c r="G12497" s="18"/>
      <c r="H12497" s="16" t="s">
        <v>87</v>
      </c>
      <c r="I12497" s="16" t="s">
        <v>87</v>
      </c>
      <c r="J12497" s="19"/>
      <c r="L12497" s="16" t="str">
        <f>IFERROR(__xludf.DUMMYFUNCTION("""COMPUTED_VALUE"""),"")</f>
        <v/>
      </c>
      <c r="M12497" s="16" t="str">
        <f>IFERROR(__xludf.DUMMYFUNCTION("""COMPUTED_VALUE"""),"")</f>
        <v/>
      </c>
      <c r="U12497" s="16" t="s">
        <v>87</v>
      </c>
      <c r="V12497" s="16" t="str">
        <f>IFERROR(__xludf.DUMMYFUNCTION("""COMPUTED_VALUE"""),"")</f>
        <v/>
      </c>
      <c r="W12497" s="16" t="str">
        <f>IFERROR(__xludf.DUMMYFUNCTION("""COMPUTED_VALUE"""),"")</f>
        <v/>
      </c>
      <c r="X12497" s="16" t="str">
        <f>IFERROR(__xludf.DUMMYFUNCTION("""COMPUTED_VALUE"""),"")</f>
        <v/>
      </c>
      <c r="AC12497" s="16" t="str">
        <f>IFERROR(__xludf.DUMMYFUNCTION("""COMPUTED_VALUE"""),"")</f>
        <v/>
      </c>
    </row>
    <row r="12498">
      <c r="A12498" s="16" t="s">
        <v>87</v>
      </c>
      <c r="E12498" s="16" t="str">
        <f>IFERROR(__xludf.DUMMYFUNCTION("""COMPUTED_VALUE"""),"")</f>
        <v/>
      </c>
      <c r="G12498" s="18"/>
      <c r="H12498" s="16" t="s">
        <v>87</v>
      </c>
      <c r="I12498" s="16" t="s">
        <v>87</v>
      </c>
      <c r="J12498" s="19"/>
      <c r="L12498" s="16" t="str">
        <f>IFERROR(__xludf.DUMMYFUNCTION("""COMPUTED_VALUE"""),"")</f>
        <v/>
      </c>
      <c r="M12498" s="16" t="str">
        <f>IFERROR(__xludf.DUMMYFUNCTION("""COMPUTED_VALUE"""),"")</f>
        <v/>
      </c>
      <c r="U12498" s="16" t="s">
        <v>87</v>
      </c>
      <c r="V12498" s="16" t="str">
        <f>IFERROR(__xludf.DUMMYFUNCTION("""COMPUTED_VALUE"""),"")</f>
        <v/>
      </c>
      <c r="W12498" s="16" t="str">
        <f>IFERROR(__xludf.DUMMYFUNCTION("""COMPUTED_VALUE"""),"")</f>
        <v/>
      </c>
      <c r="X12498" s="16" t="str">
        <f>IFERROR(__xludf.DUMMYFUNCTION("""COMPUTED_VALUE"""),"")</f>
        <v/>
      </c>
      <c r="AC12498" s="16" t="str">
        <f>IFERROR(__xludf.DUMMYFUNCTION("""COMPUTED_VALUE"""),"")</f>
        <v/>
      </c>
    </row>
    <row r="12499">
      <c r="A12499" s="16" t="s">
        <v>87</v>
      </c>
      <c r="E12499" s="16" t="str">
        <f>IFERROR(__xludf.DUMMYFUNCTION("""COMPUTED_VALUE"""),"")</f>
        <v/>
      </c>
      <c r="G12499" s="18"/>
      <c r="H12499" s="16" t="s">
        <v>87</v>
      </c>
      <c r="I12499" s="16" t="s">
        <v>87</v>
      </c>
      <c r="J12499" s="19"/>
      <c r="L12499" s="16" t="str">
        <f>IFERROR(__xludf.DUMMYFUNCTION("""COMPUTED_VALUE"""),"")</f>
        <v/>
      </c>
      <c r="M12499" s="16" t="str">
        <f>IFERROR(__xludf.DUMMYFUNCTION("""COMPUTED_VALUE"""),"")</f>
        <v/>
      </c>
      <c r="U12499" s="16" t="s">
        <v>87</v>
      </c>
      <c r="V12499" s="16" t="str">
        <f>IFERROR(__xludf.DUMMYFUNCTION("""COMPUTED_VALUE"""),"")</f>
        <v/>
      </c>
      <c r="W12499" s="16" t="str">
        <f>IFERROR(__xludf.DUMMYFUNCTION("""COMPUTED_VALUE"""),"")</f>
        <v/>
      </c>
      <c r="X12499" s="16" t="str">
        <f>IFERROR(__xludf.DUMMYFUNCTION("""COMPUTED_VALUE"""),"")</f>
        <v/>
      </c>
      <c r="AC12499" s="16" t="str">
        <f>IFERROR(__xludf.DUMMYFUNCTION("""COMPUTED_VALUE"""),"")</f>
        <v/>
      </c>
    </row>
    <row r="12500">
      <c r="A12500" s="16" t="s">
        <v>87</v>
      </c>
      <c r="E12500" s="16" t="str">
        <f>IFERROR(__xludf.DUMMYFUNCTION("""COMPUTED_VALUE"""),"")</f>
        <v/>
      </c>
      <c r="G12500" s="18"/>
      <c r="H12500" s="16" t="s">
        <v>87</v>
      </c>
      <c r="I12500" s="16" t="s">
        <v>87</v>
      </c>
      <c r="J12500" s="19"/>
      <c r="L12500" s="16" t="str">
        <f>IFERROR(__xludf.DUMMYFUNCTION("""COMPUTED_VALUE"""),"")</f>
        <v/>
      </c>
      <c r="M12500" s="16" t="str">
        <f>IFERROR(__xludf.DUMMYFUNCTION("""COMPUTED_VALUE"""),"")</f>
        <v/>
      </c>
      <c r="U12500" s="16" t="s">
        <v>87</v>
      </c>
      <c r="V12500" s="16" t="str">
        <f>IFERROR(__xludf.DUMMYFUNCTION("""COMPUTED_VALUE"""),"")</f>
        <v/>
      </c>
      <c r="W12500" s="16" t="str">
        <f>IFERROR(__xludf.DUMMYFUNCTION("""COMPUTED_VALUE"""),"")</f>
        <v/>
      </c>
      <c r="X12500" s="16" t="str">
        <f>IFERROR(__xludf.DUMMYFUNCTION("""COMPUTED_VALUE"""),"")</f>
        <v/>
      </c>
      <c r="AC12500" s="16" t="str">
        <f>IFERROR(__xludf.DUMMYFUNCTION("""COMPUTED_VALUE"""),"")</f>
        <v/>
      </c>
    </row>
    <row r="12501">
      <c r="A12501" s="16" t="s">
        <v>87</v>
      </c>
      <c r="E12501" s="16" t="str">
        <f>IFERROR(__xludf.DUMMYFUNCTION("""COMPUTED_VALUE"""),"")</f>
        <v/>
      </c>
      <c r="G12501" s="18"/>
      <c r="H12501" s="16" t="s">
        <v>87</v>
      </c>
      <c r="I12501" s="16" t="s">
        <v>87</v>
      </c>
      <c r="J12501" s="19"/>
      <c r="L12501" s="16" t="str">
        <f>IFERROR(__xludf.DUMMYFUNCTION("""COMPUTED_VALUE"""),"")</f>
        <v/>
      </c>
      <c r="M12501" s="16" t="str">
        <f>IFERROR(__xludf.DUMMYFUNCTION("""COMPUTED_VALUE"""),"")</f>
        <v/>
      </c>
      <c r="U12501" s="16" t="s">
        <v>87</v>
      </c>
      <c r="V12501" s="16" t="str">
        <f>IFERROR(__xludf.DUMMYFUNCTION("""COMPUTED_VALUE"""),"")</f>
        <v/>
      </c>
      <c r="W12501" s="16" t="str">
        <f>IFERROR(__xludf.DUMMYFUNCTION("""COMPUTED_VALUE"""),"")</f>
        <v/>
      </c>
      <c r="X12501" s="16" t="str">
        <f>IFERROR(__xludf.DUMMYFUNCTION("""COMPUTED_VALUE"""),"")</f>
        <v/>
      </c>
      <c r="AC12501" s="16" t="str">
        <f>IFERROR(__xludf.DUMMYFUNCTION("""COMPUTED_VALUE"""),"")</f>
        <v/>
      </c>
    </row>
    <row r="12502">
      <c r="A12502" s="16" t="s">
        <v>87</v>
      </c>
      <c r="E12502" s="16" t="str">
        <f>IFERROR(__xludf.DUMMYFUNCTION("""COMPUTED_VALUE"""),"")</f>
        <v/>
      </c>
      <c r="G12502" s="18"/>
      <c r="H12502" s="16" t="s">
        <v>87</v>
      </c>
      <c r="I12502" s="16" t="s">
        <v>87</v>
      </c>
      <c r="J12502" s="19"/>
      <c r="L12502" s="16" t="str">
        <f>IFERROR(__xludf.DUMMYFUNCTION("""COMPUTED_VALUE"""),"")</f>
        <v/>
      </c>
      <c r="M12502" s="16" t="str">
        <f>IFERROR(__xludf.DUMMYFUNCTION("""COMPUTED_VALUE"""),"")</f>
        <v/>
      </c>
      <c r="U12502" s="16" t="s">
        <v>87</v>
      </c>
      <c r="V12502" s="16" t="str">
        <f>IFERROR(__xludf.DUMMYFUNCTION("""COMPUTED_VALUE"""),"")</f>
        <v/>
      </c>
      <c r="W12502" s="16" t="str">
        <f>IFERROR(__xludf.DUMMYFUNCTION("""COMPUTED_VALUE"""),"")</f>
        <v/>
      </c>
      <c r="X12502" s="16" t="str">
        <f>IFERROR(__xludf.DUMMYFUNCTION("""COMPUTED_VALUE"""),"")</f>
        <v/>
      </c>
      <c r="AC12502" s="16" t="str">
        <f>IFERROR(__xludf.DUMMYFUNCTION("""COMPUTED_VALUE"""),"")</f>
        <v/>
      </c>
    </row>
    <row r="12503">
      <c r="A12503" s="16" t="s">
        <v>87</v>
      </c>
      <c r="E12503" s="16" t="str">
        <f>IFERROR(__xludf.DUMMYFUNCTION("""COMPUTED_VALUE"""),"")</f>
        <v/>
      </c>
      <c r="G12503" s="18"/>
      <c r="H12503" s="16" t="s">
        <v>87</v>
      </c>
      <c r="I12503" s="16" t="s">
        <v>87</v>
      </c>
      <c r="J12503" s="19"/>
      <c r="L12503" s="16" t="str">
        <f>IFERROR(__xludf.DUMMYFUNCTION("""COMPUTED_VALUE"""),"")</f>
        <v/>
      </c>
      <c r="M12503" s="16" t="str">
        <f>IFERROR(__xludf.DUMMYFUNCTION("""COMPUTED_VALUE"""),"")</f>
        <v/>
      </c>
      <c r="U12503" s="16" t="s">
        <v>87</v>
      </c>
      <c r="V12503" s="16" t="str">
        <f>IFERROR(__xludf.DUMMYFUNCTION("""COMPUTED_VALUE"""),"")</f>
        <v/>
      </c>
      <c r="W12503" s="16" t="str">
        <f>IFERROR(__xludf.DUMMYFUNCTION("""COMPUTED_VALUE"""),"")</f>
        <v/>
      </c>
      <c r="X12503" s="16" t="str">
        <f>IFERROR(__xludf.DUMMYFUNCTION("""COMPUTED_VALUE"""),"")</f>
        <v/>
      </c>
      <c r="AC12503" s="16" t="str">
        <f>IFERROR(__xludf.DUMMYFUNCTION("""COMPUTED_VALUE"""),"")</f>
        <v/>
      </c>
    </row>
    <row r="12504">
      <c r="A12504" s="16" t="s">
        <v>87</v>
      </c>
      <c r="E12504" s="16" t="str">
        <f>IFERROR(__xludf.DUMMYFUNCTION("""COMPUTED_VALUE"""),"")</f>
        <v/>
      </c>
      <c r="G12504" s="18"/>
      <c r="H12504" s="16" t="s">
        <v>87</v>
      </c>
      <c r="I12504" s="16" t="s">
        <v>87</v>
      </c>
      <c r="J12504" s="19"/>
      <c r="L12504" s="16" t="str">
        <f>IFERROR(__xludf.DUMMYFUNCTION("""COMPUTED_VALUE"""),"")</f>
        <v/>
      </c>
      <c r="M12504" s="16" t="str">
        <f>IFERROR(__xludf.DUMMYFUNCTION("""COMPUTED_VALUE"""),"")</f>
        <v/>
      </c>
      <c r="U12504" s="16" t="s">
        <v>87</v>
      </c>
      <c r="V12504" s="16" t="str">
        <f>IFERROR(__xludf.DUMMYFUNCTION("""COMPUTED_VALUE"""),"")</f>
        <v/>
      </c>
      <c r="W12504" s="16" t="str">
        <f>IFERROR(__xludf.DUMMYFUNCTION("""COMPUTED_VALUE"""),"")</f>
        <v/>
      </c>
      <c r="X12504" s="16" t="str">
        <f>IFERROR(__xludf.DUMMYFUNCTION("""COMPUTED_VALUE"""),"")</f>
        <v/>
      </c>
      <c r="AC12504" s="16" t="str">
        <f>IFERROR(__xludf.DUMMYFUNCTION("""COMPUTED_VALUE"""),"")</f>
        <v/>
      </c>
    </row>
    <row r="12505">
      <c r="A12505" s="16" t="s">
        <v>87</v>
      </c>
      <c r="E12505" s="16" t="str">
        <f>IFERROR(__xludf.DUMMYFUNCTION("""COMPUTED_VALUE"""),"")</f>
        <v/>
      </c>
      <c r="G12505" s="18"/>
      <c r="H12505" s="16" t="s">
        <v>87</v>
      </c>
      <c r="I12505" s="16" t="s">
        <v>87</v>
      </c>
      <c r="J12505" s="19"/>
      <c r="L12505" s="16" t="str">
        <f>IFERROR(__xludf.DUMMYFUNCTION("""COMPUTED_VALUE"""),"")</f>
        <v/>
      </c>
      <c r="M12505" s="16" t="str">
        <f>IFERROR(__xludf.DUMMYFUNCTION("""COMPUTED_VALUE"""),"")</f>
        <v/>
      </c>
      <c r="U12505" s="16" t="s">
        <v>87</v>
      </c>
      <c r="V12505" s="16" t="str">
        <f>IFERROR(__xludf.DUMMYFUNCTION("""COMPUTED_VALUE"""),"")</f>
        <v/>
      </c>
      <c r="W12505" s="16" t="str">
        <f>IFERROR(__xludf.DUMMYFUNCTION("""COMPUTED_VALUE"""),"")</f>
        <v/>
      </c>
      <c r="X12505" s="16" t="str">
        <f>IFERROR(__xludf.DUMMYFUNCTION("""COMPUTED_VALUE"""),"")</f>
        <v/>
      </c>
      <c r="AC12505" s="16" t="str">
        <f>IFERROR(__xludf.DUMMYFUNCTION("""COMPUTED_VALUE"""),"")</f>
        <v/>
      </c>
    </row>
    <row r="12506">
      <c r="A12506" s="16" t="s">
        <v>87</v>
      </c>
      <c r="E12506" s="16" t="str">
        <f>IFERROR(__xludf.DUMMYFUNCTION("""COMPUTED_VALUE"""),"")</f>
        <v/>
      </c>
      <c r="G12506" s="18"/>
      <c r="H12506" s="16" t="s">
        <v>87</v>
      </c>
      <c r="I12506" s="16" t="s">
        <v>87</v>
      </c>
      <c r="J12506" s="19"/>
      <c r="L12506" s="16" t="str">
        <f>IFERROR(__xludf.DUMMYFUNCTION("""COMPUTED_VALUE"""),"")</f>
        <v/>
      </c>
      <c r="M12506" s="16" t="str">
        <f>IFERROR(__xludf.DUMMYFUNCTION("""COMPUTED_VALUE"""),"")</f>
        <v/>
      </c>
      <c r="U12506" s="16" t="s">
        <v>87</v>
      </c>
      <c r="V12506" s="16" t="str">
        <f>IFERROR(__xludf.DUMMYFUNCTION("""COMPUTED_VALUE"""),"")</f>
        <v/>
      </c>
      <c r="W12506" s="16" t="str">
        <f>IFERROR(__xludf.DUMMYFUNCTION("""COMPUTED_VALUE"""),"")</f>
        <v/>
      </c>
      <c r="X12506" s="16" t="str">
        <f>IFERROR(__xludf.DUMMYFUNCTION("""COMPUTED_VALUE"""),"")</f>
        <v/>
      </c>
      <c r="AC12506" s="16" t="str">
        <f>IFERROR(__xludf.DUMMYFUNCTION("""COMPUTED_VALUE"""),"")</f>
        <v/>
      </c>
    </row>
    <row r="12507">
      <c r="A12507" s="16" t="s">
        <v>87</v>
      </c>
      <c r="E12507" s="16" t="str">
        <f>IFERROR(__xludf.DUMMYFUNCTION("""COMPUTED_VALUE"""),"")</f>
        <v/>
      </c>
      <c r="G12507" s="18"/>
      <c r="H12507" s="16" t="s">
        <v>87</v>
      </c>
      <c r="I12507" s="16" t="s">
        <v>87</v>
      </c>
      <c r="J12507" s="19"/>
      <c r="L12507" s="16" t="str">
        <f>IFERROR(__xludf.DUMMYFUNCTION("""COMPUTED_VALUE"""),"")</f>
        <v/>
      </c>
      <c r="M12507" s="16" t="str">
        <f>IFERROR(__xludf.DUMMYFUNCTION("""COMPUTED_VALUE"""),"")</f>
        <v/>
      </c>
      <c r="U12507" s="16" t="s">
        <v>87</v>
      </c>
      <c r="V12507" s="16" t="str">
        <f>IFERROR(__xludf.DUMMYFUNCTION("""COMPUTED_VALUE"""),"")</f>
        <v/>
      </c>
      <c r="W12507" s="16" t="str">
        <f>IFERROR(__xludf.DUMMYFUNCTION("""COMPUTED_VALUE"""),"")</f>
        <v/>
      </c>
      <c r="X12507" s="16" t="str">
        <f>IFERROR(__xludf.DUMMYFUNCTION("""COMPUTED_VALUE"""),"")</f>
        <v/>
      </c>
      <c r="AC12507" s="16" t="str">
        <f>IFERROR(__xludf.DUMMYFUNCTION("""COMPUTED_VALUE"""),"")</f>
        <v/>
      </c>
    </row>
    <row r="12508">
      <c r="A12508" s="16" t="s">
        <v>87</v>
      </c>
      <c r="E12508" s="16" t="str">
        <f>IFERROR(__xludf.DUMMYFUNCTION("""COMPUTED_VALUE"""),"")</f>
        <v/>
      </c>
      <c r="G12508" s="18"/>
      <c r="H12508" s="16" t="s">
        <v>87</v>
      </c>
      <c r="I12508" s="16" t="s">
        <v>87</v>
      </c>
      <c r="J12508" s="19"/>
      <c r="L12508" s="16" t="str">
        <f>IFERROR(__xludf.DUMMYFUNCTION("""COMPUTED_VALUE"""),"")</f>
        <v/>
      </c>
      <c r="M12508" s="16" t="str">
        <f>IFERROR(__xludf.DUMMYFUNCTION("""COMPUTED_VALUE"""),"")</f>
        <v/>
      </c>
      <c r="U12508" s="16" t="s">
        <v>87</v>
      </c>
      <c r="V12508" s="16" t="str">
        <f>IFERROR(__xludf.DUMMYFUNCTION("""COMPUTED_VALUE"""),"")</f>
        <v/>
      </c>
      <c r="W12508" s="16" t="str">
        <f>IFERROR(__xludf.DUMMYFUNCTION("""COMPUTED_VALUE"""),"")</f>
        <v/>
      </c>
      <c r="X12508" s="16" t="str">
        <f>IFERROR(__xludf.DUMMYFUNCTION("""COMPUTED_VALUE"""),"")</f>
        <v/>
      </c>
      <c r="AC12508" s="16" t="str">
        <f>IFERROR(__xludf.DUMMYFUNCTION("""COMPUTED_VALUE"""),"")</f>
        <v/>
      </c>
    </row>
    <row r="12509">
      <c r="A12509" s="16" t="s">
        <v>87</v>
      </c>
      <c r="E12509" s="16" t="str">
        <f>IFERROR(__xludf.DUMMYFUNCTION("""COMPUTED_VALUE"""),"")</f>
        <v/>
      </c>
      <c r="G12509" s="18"/>
      <c r="H12509" s="16" t="s">
        <v>87</v>
      </c>
      <c r="I12509" s="16" t="s">
        <v>87</v>
      </c>
      <c r="J12509" s="19"/>
      <c r="L12509" s="16" t="str">
        <f>IFERROR(__xludf.DUMMYFUNCTION("""COMPUTED_VALUE"""),"")</f>
        <v/>
      </c>
      <c r="M12509" s="16" t="str">
        <f>IFERROR(__xludf.DUMMYFUNCTION("""COMPUTED_VALUE"""),"")</f>
        <v/>
      </c>
      <c r="U12509" s="16" t="s">
        <v>87</v>
      </c>
      <c r="V12509" s="16" t="str">
        <f>IFERROR(__xludf.DUMMYFUNCTION("""COMPUTED_VALUE"""),"")</f>
        <v/>
      </c>
      <c r="W12509" s="16" t="str">
        <f>IFERROR(__xludf.DUMMYFUNCTION("""COMPUTED_VALUE"""),"")</f>
        <v/>
      </c>
      <c r="X12509" s="16" t="str">
        <f>IFERROR(__xludf.DUMMYFUNCTION("""COMPUTED_VALUE"""),"")</f>
        <v/>
      </c>
      <c r="AC12509" s="16" t="str">
        <f>IFERROR(__xludf.DUMMYFUNCTION("""COMPUTED_VALUE"""),"")</f>
        <v/>
      </c>
    </row>
    <row r="12510">
      <c r="A12510" s="16" t="s">
        <v>87</v>
      </c>
      <c r="E12510" s="16" t="str">
        <f>IFERROR(__xludf.DUMMYFUNCTION("""COMPUTED_VALUE"""),"")</f>
        <v/>
      </c>
      <c r="G12510" s="18"/>
      <c r="H12510" s="16" t="s">
        <v>87</v>
      </c>
      <c r="I12510" s="16" t="s">
        <v>87</v>
      </c>
      <c r="J12510" s="19"/>
      <c r="L12510" s="16" t="str">
        <f>IFERROR(__xludf.DUMMYFUNCTION("""COMPUTED_VALUE"""),"")</f>
        <v/>
      </c>
      <c r="M12510" s="16" t="str">
        <f>IFERROR(__xludf.DUMMYFUNCTION("""COMPUTED_VALUE"""),"")</f>
        <v/>
      </c>
      <c r="U12510" s="16" t="s">
        <v>87</v>
      </c>
      <c r="V12510" s="16" t="str">
        <f>IFERROR(__xludf.DUMMYFUNCTION("""COMPUTED_VALUE"""),"")</f>
        <v/>
      </c>
      <c r="W12510" s="16" t="str">
        <f>IFERROR(__xludf.DUMMYFUNCTION("""COMPUTED_VALUE"""),"")</f>
        <v/>
      </c>
      <c r="X12510" s="16" t="str">
        <f>IFERROR(__xludf.DUMMYFUNCTION("""COMPUTED_VALUE"""),"")</f>
        <v/>
      </c>
      <c r="AC12510" s="16" t="str">
        <f>IFERROR(__xludf.DUMMYFUNCTION("""COMPUTED_VALUE"""),"")</f>
        <v/>
      </c>
    </row>
    <row r="12511">
      <c r="A12511" s="16" t="s">
        <v>87</v>
      </c>
      <c r="E12511" s="16" t="str">
        <f>IFERROR(__xludf.DUMMYFUNCTION("""COMPUTED_VALUE"""),"")</f>
        <v/>
      </c>
      <c r="G12511" s="18"/>
      <c r="H12511" s="16" t="s">
        <v>87</v>
      </c>
      <c r="I12511" s="16" t="s">
        <v>87</v>
      </c>
      <c r="J12511" s="19"/>
      <c r="L12511" s="16" t="str">
        <f>IFERROR(__xludf.DUMMYFUNCTION("""COMPUTED_VALUE"""),"")</f>
        <v/>
      </c>
      <c r="M12511" s="16" t="str">
        <f>IFERROR(__xludf.DUMMYFUNCTION("""COMPUTED_VALUE"""),"")</f>
        <v/>
      </c>
      <c r="U12511" s="16" t="s">
        <v>87</v>
      </c>
      <c r="V12511" s="16" t="str">
        <f>IFERROR(__xludf.DUMMYFUNCTION("""COMPUTED_VALUE"""),"")</f>
        <v/>
      </c>
      <c r="W12511" s="16" t="str">
        <f>IFERROR(__xludf.DUMMYFUNCTION("""COMPUTED_VALUE"""),"")</f>
        <v/>
      </c>
      <c r="X12511" s="16" t="str">
        <f>IFERROR(__xludf.DUMMYFUNCTION("""COMPUTED_VALUE"""),"")</f>
        <v/>
      </c>
      <c r="AC12511" s="16" t="str">
        <f>IFERROR(__xludf.DUMMYFUNCTION("""COMPUTED_VALUE"""),"")</f>
        <v/>
      </c>
    </row>
    <row r="12512">
      <c r="A12512" s="16" t="s">
        <v>87</v>
      </c>
      <c r="E12512" s="16" t="str">
        <f>IFERROR(__xludf.DUMMYFUNCTION("""COMPUTED_VALUE"""),"")</f>
        <v/>
      </c>
      <c r="G12512" s="18"/>
      <c r="H12512" s="16" t="s">
        <v>87</v>
      </c>
      <c r="I12512" s="16" t="s">
        <v>87</v>
      </c>
      <c r="J12512" s="19"/>
      <c r="L12512" s="16" t="str">
        <f>IFERROR(__xludf.DUMMYFUNCTION("""COMPUTED_VALUE"""),"")</f>
        <v/>
      </c>
      <c r="M12512" s="16" t="str">
        <f>IFERROR(__xludf.DUMMYFUNCTION("""COMPUTED_VALUE"""),"")</f>
        <v/>
      </c>
      <c r="U12512" s="16" t="s">
        <v>87</v>
      </c>
      <c r="V12512" s="16" t="str">
        <f>IFERROR(__xludf.DUMMYFUNCTION("""COMPUTED_VALUE"""),"")</f>
        <v/>
      </c>
      <c r="W12512" s="16" t="str">
        <f>IFERROR(__xludf.DUMMYFUNCTION("""COMPUTED_VALUE"""),"")</f>
        <v/>
      </c>
      <c r="X12512" s="16" t="str">
        <f>IFERROR(__xludf.DUMMYFUNCTION("""COMPUTED_VALUE"""),"")</f>
        <v/>
      </c>
      <c r="AC12512" s="16" t="str">
        <f>IFERROR(__xludf.DUMMYFUNCTION("""COMPUTED_VALUE"""),"")</f>
        <v/>
      </c>
    </row>
    <row r="12513">
      <c r="A12513" s="16" t="s">
        <v>87</v>
      </c>
      <c r="E12513" s="16" t="str">
        <f>IFERROR(__xludf.DUMMYFUNCTION("""COMPUTED_VALUE"""),"")</f>
        <v/>
      </c>
      <c r="G12513" s="18"/>
      <c r="H12513" s="16" t="s">
        <v>87</v>
      </c>
      <c r="I12513" s="16" t="s">
        <v>87</v>
      </c>
      <c r="J12513" s="19"/>
      <c r="L12513" s="16" t="str">
        <f>IFERROR(__xludf.DUMMYFUNCTION("""COMPUTED_VALUE"""),"")</f>
        <v/>
      </c>
      <c r="M12513" s="16" t="str">
        <f>IFERROR(__xludf.DUMMYFUNCTION("""COMPUTED_VALUE"""),"")</f>
        <v/>
      </c>
      <c r="U12513" s="16" t="s">
        <v>87</v>
      </c>
      <c r="V12513" s="16" t="str">
        <f>IFERROR(__xludf.DUMMYFUNCTION("""COMPUTED_VALUE"""),"")</f>
        <v/>
      </c>
      <c r="W12513" s="16" t="str">
        <f>IFERROR(__xludf.DUMMYFUNCTION("""COMPUTED_VALUE"""),"")</f>
        <v/>
      </c>
      <c r="X12513" s="16" t="str">
        <f>IFERROR(__xludf.DUMMYFUNCTION("""COMPUTED_VALUE"""),"")</f>
        <v/>
      </c>
      <c r="AC12513" s="16" t="str">
        <f>IFERROR(__xludf.DUMMYFUNCTION("""COMPUTED_VALUE"""),"")</f>
        <v/>
      </c>
    </row>
    <row r="12514">
      <c r="A12514" s="16" t="s">
        <v>87</v>
      </c>
      <c r="E12514" s="16" t="str">
        <f>IFERROR(__xludf.DUMMYFUNCTION("""COMPUTED_VALUE"""),"")</f>
        <v/>
      </c>
      <c r="G12514" s="18"/>
      <c r="H12514" s="16" t="s">
        <v>87</v>
      </c>
      <c r="I12514" s="16" t="s">
        <v>87</v>
      </c>
      <c r="J12514" s="19"/>
      <c r="L12514" s="16" t="str">
        <f>IFERROR(__xludf.DUMMYFUNCTION("""COMPUTED_VALUE"""),"")</f>
        <v/>
      </c>
      <c r="M12514" s="16" t="str">
        <f>IFERROR(__xludf.DUMMYFUNCTION("""COMPUTED_VALUE"""),"")</f>
        <v/>
      </c>
      <c r="U12514" s="16" t="s">
        <v>87</v>
      </c>
      <c r="V12514" s="16" t="str">
        <f>IFERROR(__xludf.DUMMYFUNCTION("""COMPUTED_VALUE"""),"")</f>
        <v/>
      </c>
      <c r="W12514" s="16" t="str">
        <f>IFERROR(__xludf.DUMMYFUNCTION("""COMPUTED_VALUE"""),"")</f>
        <v/>
      </c>
      <c r="X12514" s="16" t="str">
        <f>IFERROR(__xludf.DUMMYFUNCTION("""COMPUTED_VALUE"""),"")</f>
        <v/>
      </c>
      <c r="AC12514" s="16" t="str">
        <f>IFERROR(__xludf.DUMMYFUNCTION("""COMPUTED_VALUE"""),"")</f>
        <v/>
      </c>
    </row>
    <row r="12515">
      <c r="A12515" s="16" t="s">
        <v>87</v>
      </c>
      <c r="E12515" s="16" t="str">
        <f>IFERROR(__xludf.DUMMYFUNCTION("""COMPUTED_VALUE"""),"")</f>
        <v/>
      </c>
      <c r="G12515" s="18"/>
      <c r="H12515" s="16" t="s">
        <v>87</v>
      </c>
      <c r="I12515" s="16" t="s">
        <v>87</v>
      </c>
      <c r="J12515" s="19"/>
      <c r="L12515" s="16" t="str">
        <f>IFERROR(__xludf.DUMMYFUNCTION("""COMPUTED_VALUE"""),"")</f>
        <v/>
      </c>
      <c r="M12515" s="16" t="str">
        <f>IFERROR(__xludf.DUMMYFUNCTION("""COMPUTED_VALUE"""),"")</f>
        <v/>
      </c>
      <c r="U12515" s="16" t="s">
        <v>87</v>
      </c>
      <c r="V12515" s="16" t="str">
        <f>IFERROR(__xludf.DUMMYFUNCTION("""COMPUTED_VALUE"""),"")</f>
        <v/>
      </c>
      <c r="W12515" s="16" t="str">
        <f>IFERROR(__xludf.DUMMYFUNCTION("""COMPUTED_VALUE"""),"")</f>
        <v/>
      </c>
      <c r="X12515" s="16" t="str">
        <f>IFERROR(__xludf.DUMMYFUNCTION("""COMPUTED_VALUE"""),"")</f>
        <v/>
      </c>
      <c r="AC12515" s="16" t="str">
        <f>IFERROR(__xludf.DUMMYFUNCTION("""COMPUTED_VALUE"""),"")</f>
        <v/>
      </c>
    </row>
    <row r="12516">
      <c r="A12516" s="16" t="s">
        <v>87</v>
      </c>
      <c r="E12516" s="16" t="str">
        <f>IFERROR(__xludf.DUMMYFUNCTION("""COMPUTED_VALUE"""),"")</f>
        <v/>
      </c>
      <c r="G12516" s="18"/>
      <c r="H12516" s="16" t="s">
        <v>87</v>
      </c>
      <c r="I12516" s="16" t="s">
        <v>87</v>
      </c>
      <c r="J12516" s="19"/>
      <c r="L12516" s="16" t="str">
        <f>IFERROR(__xludf.DUMMYFUNCTION("""COMPUTED_VALUE"""),"")</f>
        <v/>
      </c>
      <c r="M12516" s="16" t="str">
        <f>IFERROR(__xludf.DUMMYFUNCTION("""COMPUTED_VALUE"""),"")</f>
        <v/>
      </c>
      <c r="U12516" s="16" t="s">
        <v>87</v>
      </c>
      <c r="V12516" s="16" t="str">
        <f>IFERROR(__xludf.DUMMYFUNCTION("""COMPUTED_VALUE"""),"")</f>
        <v/>
      </c>
      <c r="W12516" s="16" t="str">
        <f>IFERROR(__xludf.DUMMYFUNCTION("""COMPUTED_VALUE"""),"")</f>
        <v/>
      </c>
      <c r="X12516" s="16" t="str">
        <f>IFERROR(__xludf.DUMMYFUNCTION("""COMPUTED_VALUE"""),"")</f>
        <v/>
      </c>
      <c r="AC12516" s="16" t="str">
        <f>IFERROR(__xludf.DUMMYFUNCTION("""COMPUTED_VALUE"""),"")</f>
        <v/>
      </c>
    </row>
    <row r="12517">
      <c r="A12517" s="16" t="s">
        <v>87</v>
      </c>
      <c r="E12517" s="16" t="str">
        <f>IFERROR(__xludf.DUMMYFUNCTION("""COMPUTED_VALUE"""),"")</f>
        <v/>
      </c>
      <c r="G12517" s="18"/>
      <c r="H12517" s="16" t="s">
        <v>87</v>
      </c>
      <c r="I12517" s="16" t="s">
        <v>87</v>
      </c>
      <c r="J12517" s="19"/>
      <c r="L12517" s="16" t="str">
        <f>IFERROR(__xludf.DUMMYFUNCTION("""COMPUTED_VALUE"""),"")</f>
        <v/>
      </c>
      <c r="M12517" s="16" t="str">
        <f>IFERROR(__xludf.DUMMYFUNCTION("""COMPUTED_VALUE"""),"")</f>
        <v/>
      </c>
      <c r="U12517" s="16" t="s">
        <v>87</v>
      </c>
      <c r="V12517" s="16" t="str">
        <f>IFERROR(__xludf.DUMMYFUNCTION("""COMPUTED_VALUE"""),"")</f>
        <v/>
      </c>
      <c r="W12517" s="16" t="str">
        <f>IFERROR(__xludf.DUMMYFUNCTION("""COMPUTED_VALUE"""),"")</f>
        <v/>
      </c>
      <c r="X12517" s="16" t="str">
        <f>IFERROR(__xludf.DUMMYFUNCTION("""COMPUTED_VALUE"""),"")</f>
        <v/>
      </c>
      <c r="AC12517" s="16" t="str">
        <f>IFERROR(__xludf.DUMMYFUNCTION("""COMPUTED_VALUE"""),"")</f>
        <v/>
      </c>
    </row>
    <row r="12518">
      <c r="A12518" s="16" t="s">
        <v>87</v>
      </c>
      <c r="E12518" s="16" t="str">
        <f>IFERROR(__xludf.DUMMYFUNCTION("""COMPUTED_VALUE"""),"")</f>
        <v/>
      </c>
      <c r="G12518" s="18"/>
      <c r="H12518" s="16" t="s">
        <v>87</v>
      </c>
      <c r="I12518" s="16" t="s">
        <v>87</v>
      </c>
      <c r="J12518" s="19"/>
      <c r="L12518" s="16" t="str">
        <f>IFERROR(__xludf.DUMMYFUNCTION("""COMPUTED_VALUE"""),"")</f>
        <v/>
      </c>
      <c r="M12518" s="16" t="str">
        <f>IFERROR(__xludf.DUMMYFUNCTION("""COMPUTED_VALUE"""),"")</f>
        <v/>
      </c>
      <c r="U12518" s="16" t="s">
        <v>87</v>
      </c>
      <c r="V12518" s="16" t="str">
        <f>IFERROR(__xludf.DUMMYFUNCTION("""COMPUTED_VALUE"""),"")</f>
        <v/>
      </c>
      <c r="W12518" s="16" t="str">
        <f>IFERROR(__xludf.DUMMYFUNCTION("""COMPUTED_VALUE"""),"")</f>
        <v/>
      </c>
      <c r="X12518" s="16" t="str">
        <f>IFERROR(__xludf.DUMMYFUNCTION("""COMPUTED_VALUE"""),"")</f>
        <v/>
      </c>
      <c r="AC12518" s="16" t="str">
        <f>IFERROR(__xludf.DUMMYFUNCTION("""COMPUTED_VALUE"""),"")</f>
        <v/>
      </c>
    </row>
    <row r="12519">
      <c r="A12519" s="16" t="s">
        <v>87</v>
      </c>
      <c r="E12519" s="16" t="str">
        <f>IFERROR(__xludf.DUMMYFUNCTION("""COMPUTED_VALUE"""),"")</f>
        <v/>
      </c>
      <c r="G12519" s="18"/>
      <c r="H12519" s="16" t="s">
        <v>87</v>
      </c>
      <c r="I12519" s="16" t="s">
        <v>87</v>
      </c>
      <c r="J12519" s="19"/>
      <c r="L12519" s="16" t="str">
        <f>IFERROR(__xludf.DUMMYFUNCTION("""COMPUTED_VALUE"""),"")</f>
        <v/>
      </c>
      <c r="M12519" s="16" t="str">
        <f>IFERROR(__xludf.DUMMYFUNCTION("""COMPUTED_VALUE"""),"")</f>
        <v/>
      </c>
      <c r="U12519" s="16" t="s">
        <v>87</v>
      </c>
      <c r="V12519" s="16" t="str">
        <f>IFERROR(__xludf.DUMMYFUNCTION("""COMPUTED_VALUE"""),"")</f>
        <v/>
      </c>
      <c r="W12519" s="16" t="str">
        <f>IFERROR(__xludf.DUMMYFUNCTION("""COMPUTED_VALUE"""),"")</f>
        <v/>
      </c>
      <c r="X12519" s="16" t="str">
        <f>IFERROR(__xludf.DUMMYFUNCTION("""COMPUTED_VALUE"""),"")</f>
        <v/>
      </c>
      <c r="AC12519" s="16" t="str">
        <f>IFERROR(__xludf.DUMMYFUNCTION("""COMPUTED_VALUE"""),"")</f>
        <v/>
      </c>
    </row>
    <row r="12520">
      <c r="A12520" s="16" t="s">
        <v>87</v>
      </c>
      <c r="E12520" s="16" t="str">
        <f>IFERROR(__xludf.DUMMYFUNCTION("""COMPUTED_VALUE"""),"")</f>
        <v/>
      </c>
      <c r="G12520" s="18"/>
      <c r="H12520" s="16" t="s">
        <v>87</v>
      </c>
      <c r="I12520" s="16" t="s">
        <v>87</v>
      </c>
      <c r="J12520" s="19"/>
      <c r="L12520" s="16" t="str">
        <f>IFERROR(__xludf.DUMMYFUNCTION("""COMPUTED_VALUE"""),"")</f>
        <v/>
      </c>
      <c r="M12520" s="16" t="str">
        <f>IFERROR(__xludf.DUMMYFUNCTION("""COMPUTED_VALUE"""),"")</f>
        <v/>
      </c>
      <c r="U12520" s="16" t="s">
        <v>87</v>
      </c>
      <c r="V12520" s="16" t="str">
        <f>IFERROR(__xludf.DUMMYFUNCTION("""COMPUTED_VALUE"""),"")</f>
        <v/>
      </c>
      <c r="W12520" s="16" t="str">
        <f>IFERROR(__xludf.DUMMYFUNCTION("""COMPUTED_VALUE"""),"")</f>
        <v/>
      </c>
      <c r="X12520" s="16" t="str">
        <f>IFERROR(__xludf.DUMMYFUNCTION("""COMPUTED_VALUE"""),"")</f>
        <v/>
      </c>
      <c r="AC12520" s="16" t="str">
        <f>IFERROR(__xludf.DUMMYFUNCTION("""COMPUTED_VALUE"""),"")</f>
        <v/>
      </c>
    </row>
    <row r="12521">
      <c r="A12521" s="16" t="s">
        <v>87</v>
      </c>
      <c r="E12521" s="16" t="str">
        <f>IFERROR(__xludf.DUMMYFUNCTION("""COMPUTED_VALUE"""),"")</f>
        <v/>
      </c>
      <c r="G12521" s="18"/>
      <c r="H12521" s="16" t="s">
        <v>87</v>
      </c>
      <c r="I12521" s="16" t="s">
        <v>87</v>
      </c>
      <c r="J12521" s="19"/>
      <c r="L12521" s="16" t="str">
        <f>IFERROR(__xludf.DUMMYFUNCTION("""COMPUTED_VALUE"""),"")</f>
        <v/>
      </c>
      <c r="M12521" s="16" t="str">
        <f>IFERROR(__xludf.DUMMYFUNCTION("""COMPUTED_VALUE"""),"")</f>
        <v/>
      </c>
      <c r="U12521" s="16" t="s">
        <v>87</v>
      </c>
      <c r="V12521" s="16" t="str">
        <f>IFERROR(__xludf.DUMMYFUNCTION("""COMPUTED_VALUE"""),"")</f>
        <v/>
      </c>
      <c r="W12521" s="16" t="str">
        <f>IFERROR(__xludf.DUMMYFUNCTION("""COMPUTED_VALUE"""),"")</f>
        <v/>
      </c>
      <c r="X12521" s="16" t="str">
        <f>IFERROR(__xludf.DUMMYFUNCTION("""COMPUTED_VALUE"""),"")</f>
        <v/>
      </c>
      <c r="AC12521" s="16" t="str">
        <f>IFERROR(__xludf.DUMMYFUNCTION("""COMPUTED_VALUE"""),"")</f>
        <v/>
      </c>
    </row>
    <row r="12522">
      <c r="A12522" s="16" t="s">
        <v>87</v>
      </c>
      <c r="E12522" s="16" t="str">
        <f>IFERROR(__xludf.DUMMYFUNCTION("""COMPUTED_VALUE"""),"")</f>
        <v/>
      </c>
      <c r="G12522" s="18"/>
      <c r="H12522" s="16" t="s">
        <v>87</v>
      </c>
      <c r="I12522" s="16" t="s">
        <v>87</v>
      </c>
      <c r="J12522" s="19"/>
      <c r="L12522" s="16" t="str">
        <f>IFERROR(__xludf.DUMMYFUNCTION("""COMPUTED_VALUE"""),"")</f>
        <v/>
      </c>
      <c r="M12522" s="16" t="str">
        <f>IFERROR(__xludf.DUMMYFUNCTION("""COMPUTED_VALUE"""),"")</f>
        <v/>
      </c>
      <c r="U12522" s="16" t="s">
        <v>87</v>
      </c>
      <c r="V12522" s="16" t="str">
        <f>IFERROR(__xludf.DUMMYFUNCTION("""COMPUTED_VALUE"""),"")</f>
        <v/>
      </c>
      <c r="W12522" s="16" t="str">
        <f>IFERROR(__xludf.DUMMYFUNCTION("""COMPUTED_VALUE"""),"")</f>
        <v/>
      </c>
      <c r="X12522" s="16" t="str">
        <f>IFERROR(__xludf.DUMMYFUNCTION("""COMPUTED_VALUE"""),"")</f>
        <v/>
      </c>
      <c r="AC12522" s="16" t="str">
        <f>IFERROR(__xludf.DUMMYFUNCTION("""COMPUTED_VALUE"""),"")</f>
        <v/>
      </c>
    </row>
    <row r="12523">
      <c r="A12523" s="16" t="s">
        <v>87</v>
      </c>
      <c r="E12523" s="16" t="str">
        <f>IFERROR(__xludf.DUMMYFUNCTION("""COMPUTED_VALUE"""),"")</f>
        <v/>
      </c>
      <c r="G12523" s="18"/>
      <c r="H12523" s="16" t="s">
        <v>87</v>
      </c>
      <c r="I12523" s="16" t="s">
        <v>87</v>
      </c>
      <c r="J12523" s="19"/>
      <c r="L12523" s="16" t="str">
        <f>IFERROR(__xludf.DUMMYFUNCTION("""COMPUTED_VALUE"""),"")</f>
        <v/>
      </c>
      <c r="M12523" s="16" t="str">
        <f>IFERROR(__xludf.DUMMYFUNCTION("""COMPUTED_VALUE"""),"")</f>
        <v/>
      </c>
      <c r="U12523" s="16" t="s">
        <v>87</v>
      </c>
      <c r="V12523" s="16" t="str">
        <f>IFERROR(__xludf.DUMMYFUNCTION("""COMPUTED_VALUE"""),"")</f>
        <v/>
      </c>
      <c r="W12523" s="16" t="str">
        <f>IFERROR(__xludf.DUMMYFUNCTION("""COMPUTED_VALUE"""),"")</f>
        <v/>
      </c>
      <c r="X12523" s="16" t="str">
        <f>IFERROR(__xludf.DUMMYFUNCTION("""COMPUTED_VALUE"""),"")</f>
        <v/>
      </c>
      <c r="AC12523" s="16" t="str">
        <f>IFERROR(__xludf.DUMMYFUNCTION("""COMPUTED_VALUE"""),"")</f>
        <v/>
      </c>
    </row>
    <row r="12524">
      <c r="A12524" s="16" t="s">
        <v>87</v>
      </c>
      <c r="E12524" s="16" t="str">
        <f>IFERROR(__xludf.DUMMYFUNCTION("""COMPUTED_VALUE"""),"")</f>
        <v/>
      </c>
      <c r="G12524" s="18"/>
      <c r="H12524" s="16" t="s">
        <v>87</v>
      </c>
      <c r="I12524" s="16" t="s">
        <v>87</v>
      </c>
      <c r="J12524" s="19"/>
      <c r="L12524" s="16" t="str">
        <f>IFERROR(__xludf.DUMMYFUNCTION("""COMPUTED_VALUE"""),"")</f>
        <v/>
      </c>
      <c r="M12524" s="16" t="str">
        <f>IFERROR(__xludf.DUMMYFUNCTION("""COMPUTED_VALUE"""),"")</f>
        <v/>
      </c>
      <c r="U12524" s="16" t="s">
        <v>87</v>
      </c>
      <c r="V12524" s="16" t="str">
        <f>IFERROR(__xludf.DUMMYFUNCTION("""COMPUTED_VALUE"""),"")</f>
        <v/>
      </c>
      <c r="W12524" s="16" t="str">
        <f>IFERROR(__xludf.DUMMYFUNCTION("""COMPUTED_VALUE"""),"")</f>
        <v/>
      </c>
      <c r="X12524" s="16" t="str">
        <f>IFERROR(__xludf.DUMMYFUNCTION("""COMPUTED_VALUE"""),"")</f>
        <v/>
      </c>
      <c r="AC12524" s="16" t="str">
        <f>IFERROR(__xludf.DUMMYFUNCTION("""COMPUTED_VALUE"""),"")</f>
        <v/>
      </c>
    </row>
    <row r="12525">
      <c r="A12525" s="16" t="s">
        <v>87</v>
      </c>
      <c r="E12525" s="16" t="str">
        <f>IFERROR(__xludf.DUMMYFUNCTION("""COMPUTED_VALUE"""),"")</f>
        <v/>
      </c>
      <c r="G12525" s="18"/>
      <c r="H12525" s="16" t="s">
        <v>87</v>
      </c>
      <c r="I12525" s="16" t="s">
        <v>87</v>
      </c>
      <c r="J12525" s="19"/>
      <c r="L12525" s="16" t="str">
        <f>IFERROR(__xludf.DUMMYFUNCTION("""COMPUTED_VALUE"""),"")</f>
        <v/>
      </c>
      <c r="M12525" s="16" t="str">
        <f>IFERROR(__xludf.DUMMYFUNCTION("""COMPUTED_VALUE"""),"")</f>
        <v/>
      </c>
      <c r="U12525" s="16" t="s">
        <v>87</v>
      </c>
      <c r="V12525" s="16" t="str">
        <f>IFERROR(__xludf.DUMMYFUNCTION("""COMPUTED_VALUE"""),"")</f>
        <v/>
      </c>
      <c r="W12525" s="16" t="str">
        <f>IFERROR(__xludf.DUMMYFUNCTION("""COMPUTED_VALUE"""),"")</f>
        <v/>
      </c>
      <c r="X12525" s="16" t="str">
        <f>IFERROR(__xludf.DUMMYFUNCTION("""COMPUTED_VALUE"""),"")</f>
        <v/>
      </c>
      <c r="AC12525" s="16" t="str">
        <f>IFERROR(__xludf.DUMMYFUNCTION("""COMPUTED_VALUE"""),"")</f>
        <v/>
      </c>
    </row>
    <row r="12526">
      <c r="A12526" s="16" t="s">
        <v>87</v>
      </c>
      <c r="E12526" s="16" t="str">
        <f>IFERROR(__xludf.DUMMYFUNCTION("""COMPUTED_VALUE"""),"")</f>
        <v/>
      </c>
      <c r="G12526" s="18"/>
      <c r="H12526" s="16" t="s">
        <v>87</v>
      </c>
      <c r="I12526" s="16" t="s">
        <v>87</v>
      </c>
      <c r="J12526" s="19"/>
      <c r="L12526" s="16" t="str">
        <f>IFERROR(__xludf.DUMMYFUNCTION("""COMPUTED_VALUE"""),"")</f>
        <v/>
      </c>
      <c r="M12526" s="16" t="str">
        <f>IFERROR(__xludf.DUMMYFUNCTION("""COMPUTED_VALUE"""),"")</f>
        <v/>
      </c>
      <c r="U12526" s="16" t="s">
        <v>87</v>
      </c>
      <c r="V12526" s="16" t="str">
        <f>IFERROR(__xludf.DUMMYFUNCTION("""COMPUTED_VALUE"""),"")</f>
        <v/>
      </c>
      <c r="W12526" s="16" t="str">
        <f>IFERROR(__xludf.DUMMYFUNCTION("""COMPUTED_VALUE"""),"")</f>
        <v/>
      </c>
      <c r="X12526" s="16" t="str">
        <f>IFERROR(__xludf.DUMMYFUNCTION("""COMPUTED_VALUE"""),"")</f>
        <v/>
      </c>
      <c r="AC12526" s="16" t="str">
        <f>IFERROR(__xludf.DUMMYFUNCTION("""COMPUTED_VALUE"""),"")</f>
        <v/>
      </c>
    </row>
    <row r="12527">
      <c r="A12527" s="16" t="s">
        <v>87</v>
      </c>
      <c r="E12527" s="16" t="str">
        <f>IFERROR(__xludf.DUMMYFUNCTION("""COMPUTED_VALUE"""),"")</f>
        <v/>
      </c>
      <c r="G12527" s="18"/>
      <c r="H12527" s="16" t="s">
        <v>87</v>
      </c>
      <c r="I12527" s="16" t="s">
        <v>87</v>
      </c>
      <c r="J12527" s="19"/>
      <c r="L12527" s="16" t="str">
        <f>IFERROR(__xludf.DUMMYFUNCTION("""COMPUTED_VALUE"""),"")</f>
        <v/>
      </c>
      <c r="M12527" s="16" t="str">
        <f>IFERROR(__xludf.DUMMYFUNCTION("""COMPUTED_VALUE"""),"")</f>
        <v/>
      </c>
      <c r="U12527" s="16" t="s">
        <v>87</v>
      </c>
      <c r="V12527" s="16" t="str">
        <f>IFERROR(__xludf.DUMMYFUNCTION("""COMPUTED_VALUE"""),"")</f>
        <v/>
      </c>
      <c r="W12527" s="16" t="str">
        <f>IFERROR(__xludf.DUMMYFUNCTION("""COMPUTED_VALUE"""),"")</f>
        <v/>
      </c>
      <c r="X12527" s="16" t="str">
        <f>IFERROR(__xludf.DUMMYFUNCTION("""COMPUTED_VALUE"""),"")</f>
        <v/>
      </c>
      <c r="AC12527" s="16" t="str">
        <f>IFERROR(__xludf.DUMMYFUNCTION("""COMPUTED_VALUE"""),"")</f>
        <v/>
      </c>
    </row>
    <row r="12528">
      <c r="A12528" s="16" t="s">
        <v>87</v>
      </c>
      <c r="E12528" s="16" t="str">
        <f>IFERROR(__xludf.DUMMYFUNCTION("""COMPUTED_VALUE"""),"")</f>
        <v/>
      </c>
      <c r="G12528" s="18"/>
      <c r="H12528" s="16" t="s">
        <v>87</v>
      </c>
      <c r="I12528" s="16" t="s">
        <v>87</v>
      </c>
      <c r="J12528" s="19"/>
      <c r="L12528" s="16" t="str">
        <f>IFERROR(__xludf.DUMMYFUNCTION("""COMPUTED_VALUE"""),"")</f>
        <v/>
      </c>
      <c r="M12528" s="16" t="str">
        <f>IFERROR(__xludf.DUMMYFUNCTION("""COMPUTED_VALUE"""),"")</f>
        <v/>
      </c>
      <c r="U12528" s="16" t="s">
        <v>87</v>
      </c>
      <c r="V12528" s="16" t="str">
        <f>IFERROR(__xludf.DUMMYFUNCTION("""COMPUTED_VALUE"""),"")</f>
        <v/>
      </c>
      <c r="W12528" s="16" t="str">
        <f>IFERROR(__xludf.DUMMYFUNCTION("""COMPUTED_VALUE"""),"")</f>
        <v/>
      </c>
      <c r="X12528" s="16" t="str">
        <f>IFERROR(__xludf.DUMMYFUNCTION("""COMPUTED_VALUE"""),"")</f>
        <v/>
      </c>
      <c r="AC12528" s="16" t="str">
        <f>IFERROR(__xludf.DUMMYFUNCTION("""COMPUTED_VALUE"""),"")</f>
        <v/>
      </c>
    </row>
    <row r="12529">
      <c r="A12529" s="16" t="s">
        <v>87</v>
      </c>
      <c r="E12529" s="16" t="str">
        <f>IFERROR(__xludf.DUMMYFUNCTION("""COMPUTED_VALUE"""),"")</f>
        <v/>
      </c>
      <c r="G12529" s="18"/>
      <c r="H12529" s="16" t="s">
        <v>87</v>
      </c>
      <c r="I12529" s="16" t="s">
        <v>87</v>
      </c>
      <c r="J12529" s="19"/>
      <c r="L12529" s="16" t="str">
        <f>IFERROR(__xludf.DUMMYFUNCTION("""COMPUTED_VALUE"""),"")</f>
        <v/>
      </c>
      <c r="M12529" s="16" t="str">
        <f>IFERROR(__xludf.DUMMYFUNCTION("""COMPUTED_VALUE"""),"")</f>
        <v/>
      </c>
      <c r="U12529" s="16" t="s">
        <v>87</v>
      </c>
      <c r="V12529" s="16" t="str">
        <f>IFERROR(__xludf.DUMMYFUNCTION("""COMPUTED_VALUE"""),"")</f>
        <v/>
      </c>
      <c r="W12529" s="16" t="str">
        <f>IFERROR(__xludf.DUMMYFUNCTION("""COMPUTED_VALUE"""),"")</f>
        <v/>
      </c>
      <c r="X12529" s="16" t="str">
        <f>IFERROR(__xludf.DUMMYFUNCTION("""COMPUTED_VALUE"""),"")</f>
        <v/>
      </c>
      <c r="AC12529" s="16" t="str">
        <f>IFERROR(__xludf.DUMMYFUNCTION("""COMPUTED_VALUE"""),"")</f>
        <v/>
      </c>
    </row>
    <row r="12530">
      <c r="A12530" s="16" t="s">
        <v>87</v>
      </c>
      <c r="E12530" s="16" t="str">
        <f>IFERROR(__xludf.DUMMYFUNCTION("""COMPUTED_VALUE"""),"")</f>
        <v/>
      </c>
      <c r="G12530" s="18"/>
      <c r="H12530" s="16" t="s">
        <v>87</v>
      </c>
      <c r="I12530" s="16" t="s">
        <v>87</v>
      </c>
      <c r="J12530" s="19"/>
      <c r="L12530" s="16" t="str">
        <f>IFERROR(__xludf.DUMMYFUNCTION("""COMPUTED_VALUE"""),"")</f>
        <v/>
      </c>
      <c r="M12530" s="16" t="str">
        <f>IFERROR(__xludf.DUMMYFUNCTION("""COMPUTED_VALUE"""),"")</f>
        <v/>
      </c>
      <c r="U12530" s="16" t="s">
        <v>87</v>
      </c>
      <c r="V12530" s="16" t="str">
        <f>IFERROR(__xludf.DUMMYFUNCTION("""COMPUTED_VALUE"""),"")</f>
        <v/>
      </c>
      <c r="W12530" s="16" t="str">
        <f>IFERROR(__xludf.DUMMYFUNCTION("""COMPUTED_VALUE"""),"")</f>
        <v/>
      </c>
      <c r="X12530" s="16" t="str">
        <f>IFERROR(__xludf.DUMMYFUNCTION("""COMPUTED_VALUE"""),"")</f>
        <v/>
      </c>
      <c r="AC12530" s="16" t="str">
        <f>IFERROR(__xludf.DUMMYFUNCTION("""COMPUTED_VALUE"""),"")</f>
        <v/>
      </c>
    </row>
    <row r="12531">
      <c r="A12531" s="16" t="s">
        <v>87</v>
      </c>
      <c r="E12531" s="16" t="str">
        <f>IFERROR(__xludf.DUMMYFUNCTION("""COMPUTED_VALUE"""),"")</f>
        <v/>
      </c>
      <c r="G12531" s="18"/>
      <c r="H12531" s="16" t="s">
        <v>87</v>
      </c>
      <c r="I12531" s="16" t="s">
        <v>87</v>
      </c>
      <c r="J12531" s="19"/>
      <c r="L12531" s="16" t="str">
        <f>IFERROR(__xludf.DUMMYFUNCTION("""COMPUTED_VALUE"""),"")</f>
        <v/>
      </c>
      <c r="M12531" s="16" t="str">
        <f>IFERROR(__xludf.DUMMYFUNCTION("""COMPUTED_VALUE"""),"")</f>
        <v/>
      </c>
      <c r="U12531" s="16" t="s">
        <v>87</v>
      </c>
      <c r="V12531" s="16" t="str">
        <f>IFERROR(__xludf.DUMMYFUNCTION("""COMPUTED_VALUE"""),"")</f>
        <v/>
      </c>
      <c r="W12531" s="16" t="str">
        <f>IFERROR(__xludf.DUMMYFUNCTION("""COMPUTED_VALUE"""),"")</f>
        <v/>
      </c>
      <c r="X12531" s="16" t="str">
        <f>IFERROR(__xludf.DUMMYFUNCTION("""COMPUTED_VALUE"""),"")</f>
        <v/>
      </c>
      <c r="AC12531" s="16" t="str">
        <f>IFERROR(__xludf.DUMMYFUNCTION("""COMPUTED_VALUE"""),"")</f>
        <v/>
      </c>
    </row>
    <row r="12532">
      <c r="A12532" s="16" t="s">
        <v>87</v>
      </c>
      <c r="E12532" s="16" t="str">
        <f>IFERROR(__xludf.DUMMYFUNCTION("""COMPUTED_VALUE"""),"")</f>
        <v/>
      </c>
      <c r="G12532" s="18"/>
      <c r="H12532" s="16" t="s">
        <v>87</v>
      </c>
      <c r="I12532" s="16" t="s">
        <v>87</v>
      </c>
      <c r="J12532" s="19"/>
      <c r="L12532" s="16" t="str">
        <f>IFERROR(__xludf.DUMMYFUNCTION("""COMPUTED_VALUE"""),"")</f>
        <v/>
      </c>
      <c r="M12532" s="16" t="str">
        <f>IFERROR(__xludf.DUMMYFUNCTION("""COMPUTED_VALUE"""),"")</f>
        <v/>
      </c>
      <c r="U12532" s="16" t="s">
        <v>87</v>
      </c>
      <c r="V12532" s="16" t="str">
        <f>IFERROR(__xludf.DUMMYFUNCTION("""COMPUTED_VALUE"""),"")</f>
        <v/>
      </c>
      <c r="W12532" s="16" t="str">
        <f>IFERROR(__xludf.DUMMYFUNCTION("""COMPUTED_VALUE"""),"")</f>
        <v/>
      </c>
      <c r="X12532" s="16" t="str">
        <f>IFERROR(__xludf.DUMMYFUNCTION("""COMPUTED_VALUE"""),"")</f>
        <v/>
      </c>
      <c r="AC12532" s="16" t="str">
        <f>IFERROR(__xludf.DUMMYFUNCTION("""COMPUTED_VALUE"""),"")</f>
        <v/>
      </c>
    </row>
    <row r="12533">
      <c r="A12533" s="16" t="s">
        <v>87</v>
      </c>
      <c r="E12533" s="16" t="str">
        <f>IFERROR(__xludf.DUMMYFUNCTION("""COMPUTED_VALUE"""),"")</f>
        <v/>
      </c>
      <c r="G12533" s="18"/>
      <c r="H12533" s="16" t="s">
        <v>87</v>
      </c>
      <c r="I12533" s="16" t="s">
        <v>87</v>
      </c>
      <c r="J12533" s="19"/>
      <c r="L12533" s="16" t="str">
        <f>IFERROR(__xludf.DUMMYFUNCTION("""COMPUTED_VALUE"""),"")</f>
        <v/>
      </c>
      <c r="M12533" s="16" t="str">
        <f>IFERROR(__xludf.DUMMYFUNCTION("""COMPUTED_VALUE"""),"")</f>
        <v/>
      </c>
      <c r="U12533" s="16" t="s">
        <v>87</v>
      </c>
      <c r="V12533" s="16" t="str">
        <f>IFERROR(__xludf.DUMMYFUNCTION("""COMPUTED_VALUE"""),"")</f>
        <v/>
      </c>
      <c r="W12533" s="16" t="str">
        <f>IFERROR(__xludf.DUMMYFUNCTION("""COMPUTED_VALUE"""),"")</f>
        <v/>
      </c>
      <c r="X12533" s="16" t="str">
        <f>IFERROR(__xludf.DUMMYFUNCTION("""COMPUTED_VALUE"""),"")</f>
        <v/>
      </c>
      <c r="AC12533" s="16" t="str">
        <f>IFERROR(__xludf.DUMMYFUNCTION("""COMPUTED_VALUE"""),"")</f>
        <v/>
      </c>
    </row>
    <row r="12534">
      <c r="A12534" s="16" t="s">
        <v>87</v>
      </c>
      <c r="E12534" s="16" t="str">
        <f>IFERROR(__xludf.DUMMYFUNCTION("""COMPUTED_VALUE"""),"")</f>
        <v/>
      </c>
      <c r="G12534" s="18"/>
      <c r="H12534" s="16" t="s">
        <v>87</v>
      </c>
      <c r="I12534" s="16" t="s">
        <v>87</v>
      </c>
      <c r="J12534" s="19"/>
      <c r="L12534" s="16" t="str">
        <f>IFERROR(__xludf.DUMMYFUNCTION("""COMPUTED_VALUE"""),"")</f>
        <v/>
      </c>
      <c r="M12534" s="16" t="str">
        <f>IFERROR(__xludf.DUMMYFUNCTION("""COMPUTED_VALUE"""),"")</f>
        <v/>
      </c>
      <c r="U12534" s="16" t="s">
        <v>87</v>
      </c>
      <c r="V12534" s="16" t="str">
        <f>IFERROR(__xludf.DUMMYFUNCTION("""COMPUTED_VALUE"""),"")</f>
        <v/>
      </c>
      <c r="W12534" s="16" t="str">
        <f>IFERROR(__xludf.DUMMYFUNCTION("""COMPUTED_VALUE"""),"")</f>
        <v/>
      </c>
      <c r="X12534" s="16" t="str">
        <f>IFERROR(__xludf.DUMMYFUNCTION("""COMPUTED_VALUE"""),"")</f>
        <v/>
      </c>
      <c r="AC12534" s="16" t="str">
        <f>IFERROR(__xludf.DUMMYFUNCTION("""COMPUTED_VALUE"""),"")</f>
        <v/>
      </c>
    </row>
    <row r="12535">
      <c r="A12535" s="16" t="s">
        <v>87</v>
      </c>
      <c r="E12535" s="16" t="str">
        <f>IFERROR(__xludf.DUMMYFUNCTION("""COMPUTED_VALUE"""),"")</f>
        <v/>
      </c>
      <c r="G12535" s="18"/>
      <c r="H12535" s="16" t="s">
        <v>87</v>
      </c>
      <c r="I12535" s="16" t="s">
        <v>87</v>
      </c>
      <c r="J12535" s="19"/>
      <c r="L12535" s="16" t="str">
        <f>IFERROR(__xludf.DUMMYFUNCTION("""COMPUTED_VALUE"""),"")</f>
        <v/>
      </c>
      <c r="M12535" s="16" t="str">
        <f>IFERROR(__xludf.DUMMYFUNCTION("""COMPUTED_VALUE"""),"")</f>
        <v/>
      </c>
      <c r="U12535" s="16" t="s">
        <v>87</v>
      </c>
      <c r="V12535" s="16" t="str">
        <f>IFERROR(__xludf.DUMMYFUNCTION("""COMPUTED_VALUE"""),"")</f>
        <v/>
      </c>
      <c r="W12535" s="16" t="str">
        <f>IFERROR(__xludf.DUMMYFUNCTION("""COMPUTED_VALUE"""),"")</f>
        <v/>
      </c>
      <c r="X12535" s="16" t="str">
        <f>IFERROR(__xludf.DUMMYFUNCTION("""COMPUTED_VALUE"""),"")</f>
        <v/>
      </c>
      <c r="AC12535" s="16" t="str">
        <f>IFERROR(__xludf.DUMMYFUNCTION("""COMPUTED_VALUE"""),"")</f>
        <v/>
      </c>
    </row>
    <row r="12536">
      <c r="A12536" s="16" t="s">
        <v>87</v>
      </c>
      <c r="E12536" s="16" t="str">
        <f>IFERROR(__xludf.DUMMYFUNCTION("""COMPUTED_VALUE"""),"")</f>
        <v/>
      </c>
      <c r="G12536" s="18"/>
      <c r="H12536" s="16" t="s">
        <v>87</v>
      </c>
      <c r="I12536" s="16" t="s">
        <v>87</v>
      </c>
      <c r="J12536" s="19"/>
      <c r="L12536" s="16" t="str">
        <f>IFERROR(__xludf.DUMMYFUNCTION("""COMPUTED_VALUE"""),"")</f>
        <v/>
      </c>
      <c r="M12536" s="16" t="str">
        <f>IFERROR(__xludf.DUMMYFUNCTION("""COMPUTED_VALUE"""),"")</f>
        <v/>
      </c>
      <c r="U12536" s="16" t="s">
        <v>87</v>
      </c>
      <c r="V12536" s="16" t="str">
        <f>IFERROR(__xludf.DUMMYFUNCTION("""COMPUTED_VALUE"""),"")</f>
        <v/>
      </c>
      <c r="W12536" s="16" t="str">
        <f>IFERROR(__xludf.DUMMYFUNCTION("""COMPUTED_VALUE"""),"")</f>
        <v/>
      </c>
      <c r="X12536" s="16" t="str">
        <f>IFERROR(__xludf.DUMMYFUNCTION("""COMPUTED_VALUE"""),"")</f>
        <v/>
      </c>
      <c r="AC12536" s="16" t="str">
        <f>IFERROR(__xludf.DUMMYFUNCTION("""COMPUTED_VALUE"""),"")</f>
        <v/>
      </c>
    </row>
    <row r="12537">
      <c r="A12537" s="16" t="s">
        <v>87</v>
      </c>
      <c r="E12537" s="16" t="str">
        <f>IFERROR(__xludf.DUMMYFUNCTION("""COMPUTED_VALUE"""),"")</f>
        <v/>
      </c>
      <c r="G12537" s="18"/>
      <c r="H12537" s="16" t="s">
        <v>87</v>
      </c>
      <c r="I12537" s="16" t="s">
        <v>87</v>
      </c>
      <c r="J12537" s="19"/>
      <c r="L12537" s="16" t="str">
        <f>IFERROR(__xludf.DUMMYFUNCTION("""COMPUTED_VALUE"""),"")</f>
        <v/>
      </c>
      <c r="M12537" s="16" t="str">
        <f>IFERROR(__xludf.DUMMYFUNCTION("""COMPUTED_VALUE"""),"")</f>
        <v/>
      </c>
      <c r="U12537" s="16" t="s">
        <v>87</v>
      </c>
      <c r="V12537" s="16" t="str">
        <f>IFERROR(__xludf.DUMMYFUNCTION("""COMPUTED_VALUE"""),"")</f>
        <v/>
      </c>
      <c r="W12537" s="16" t="str">
        <f>IFERROR(__xludf.DUMMYFUNCTION("""COMPUTED_VALUE"""),"")</f>
        <v/>
      </c>
      <c r="X12537" s="16" t="str">
        <f>IFERROR(__xludf.DUMMYFUNCTION("""COMPUTED_VALUE"""),"")</f>
        <v/>
      </c>
      <c r="AC12537" s="16" t="str">
        <f>IFERROR(__xludf.DUMMYFUNCTION("""COMPUTED_VALUE"""),"")</f>
        <v/>
      </c>
    </row>
    <row r="12538">
      <c r="A12538" s="16" t="s">
        <v>87</v>
      </c>
      <c r="E12538" s="16" t="str">
        <f>IFERROR(__xludf.DUMMYFUNCTION("""COMPUTED_VALUE"""),"")</f>
        <v/>
      </c>
      <c r="G12538" s="18"/>
      <c r="H12538" s="16" t="s">
        <v>87</v>
      </c>
      <c r="I12538" s="16" t="s">
        <v>87</v>
      </c>
      <c r="J12538" s="19"/>
      <c r="L12538" s="16" t="str">
        <f>IFERROR(__xludf.DUMMYFUNCTION("""COMPUTED_VALUE"""),"")</f>
        <v/>
      </c>
      <c r="M12538" s="16" t="str">
        <f>IFERROR(__xludf.DUMMYFUNCTION("""COMPUTED_VALUE"""),"")</f>
        <v/>
      </c>
      <c r="U12538" s="16" t="s">
        <v>87</v>
      </c>
      <c r="V12538" s="16" t="str">
        <f>IFERROR(__xludf.DUMMYFUNCTION("""COMPUTED_VALUE"""),"")</f>
        <v/>
      </c>
      <c r="W12538" s="16" t="str">
        <f>IFERROR(__xludf.DUMMYFUNCTION("""COMPUTED_VALUE"""),"")</f>
        <v/>
      </c>
      <c r="X12538" s="16" t="str">
        <f>IFERROR(__xludf.DUMMYFUNCTION("""COMPUTED_VALUE"""),"")</f>
        <v/>
      </c>
      <c r="AC12538" s="16" t="str">
        <f>IFERROR(__xludf.DUMMYFUNCTION("""COMPUTED_VALUE"""),"")</f>
        <v/>
      </c>
    </row>
    <row r="12539">
      <c r="A12539" s="16" t="s">
        <v>87</v>
      </c>
      <c r="E12539" s="16" t="str">
        <f>IFERROR(__xludf.DUMMYFUNCTION("""COMPUTED_VALUE"""),"")</f>
        <v/>
      </c>
      <c r="G12539" s="18"/>
      <c r="H12539" s="16" t="s">
        <v>87</v>
      </c>
      <c r="I12539" s="16" t="s">
        <v>87</v>
      </c>
      <c r="J12539" s="19"/>
      <c r="L12539" s="16" t="str">
        <f>IFERROR(__xludf.DUMMYFUNCTION("""COMPUTED_VALUE"""),"")</f>
        <v/>
      </c>
      <c r="M12539" s="16" t="str">
        <f>IFERROR(__xludf.DUMMYFUNCTION("""COMPUTED_VALUE"""),"")</f>
        <v/>
      </c>
      <c r="U12539" s="16" t="s">
        <v>87</v>
      </c>
      <c r="V12539" s="16" t="str">
        <f>IFERROR(__xludf.DUMMYFUNCTION("""COMPUTED_VALUE"""),"")</f>
        <v/>
      </c>
      <c r="W12539" s="16" t="str">
        <f>IFERROR(__xludf.DUMMYFUNCTION("""COMPUTED_VALUE"""),"")</f>
        <v/>
      </c>
      <c r="X12539" s="16" t="str">
        <f>IFERROR(__xludf.DUMMYFUNCTION("""COMPUTED_VALUE"""),"")</f>
        <v/>
      </c>
      <c r="AC12539" s="16" t="str">
        <f>IFERROR(__xludf.DUMMYFUNCTION("""COMPUTED_VALUE"""),"")</f>
        <v/>
      </c>
    </row>
    <row r="12540">
      <c r="A12540" s="16" t="s">
        <v>87</v>
      </c>
      <c r="E12540" s="16" t="str">
        <f>IFERROR(__xludf.DUMMYFUNCTION("""COMPUTED_VALUE"""),"")</f>
        <v/>
      </c>
      <c r="G12540" s="18"/>
      <c r="H12540" s="16" t="s">
        <v>87</v>
      </c>
      <c r="I12540" s="16" t="s">
        <v>87</v>
      </c>
      <c r="J12540" s="19"/>
      <c r="L12540" s="16" t="str">
        <f>IFERROR(__xludf.DUMMYFUNCTION("""COMPUTED_VALUE"""),"")</f>
        <v/>
      </c>
      <c r="M12540" s="16" t="str">
        <f>IFERROR(__xludf.DUMMYFUNCTION("""COMPUTED_VALUE"""),"")</f>
        <v/>
      </c>
      <c r="U12540" s="16" t="s">
        <v>87</v>
      </c>
      <c r="V12540" s="16" t="str">
        <f>IFERROR(__xludf.DUMMYFUNCTION("""COMPUTED_VALUE"""),"")</f>
        <v/>
      </c>
      <c r="W12540" s="16" t="str">
        <f>IFERROR(__xludf.DUMMYFUNCTION("""COMPUTED_VALUE"""),"")</f>
        <v/>
      </c>
      <c r="X12540" s="16" t="str">
        <f>IFERROR(__xludf.DUMMYFUNCTION("""COMPUTED_VALUE"""),"")</f>
        <v/>
      </c>
      <c r="AC12540" s="16" t="str">
        <f>IFERROR(__xludf.DUMMYFUNCTION("""COMPUTED_VALUE"""),"")</f>
        <v/>
      </c>
    </row>
    <row r="12541">
      <c r="A12541" s="16" t="s">
        <v>87</v>
      </c>
      <c r="E12541" s="16" t="str">
        <f>IFERROR(__xludf.DUMMYFUNCTION("""COMPUTED_VALUE"""),"")</f>
        <v/>
      </c>
      <c r="G12541" s="18"/>
      <c r="H12541" s="16" t="s">
        <v>87</v>
      </c>
      <c r="I12541" s="16" t="s">
        <v>87</v>
      </c>
      <c r="J12541" s="19"/>
      <c r="L12541" s="16" t="str">
        <f>IFERROR(__xludf.DUMMYFUNCTION("""COMPUTED_VALUE"""),"")</f>
        <v/>
      </c>
      <c r="M12541" s="16" t="str">
        <f>IFERROR(__xludf.DUMMYFUNCTION("""COMPUTED_VALUE"""),"")</f>
        <v/>
      </c>
      <c r="U12541" s="16" t="s">
        <v>87</v>
      </c>
      <c r="V12541" s="16" t="str">
        <f>IFERROR(__xludf.DUMMYFUNCTION("""COMPUTED_VALUE"""),"")</f>
        <v/>
      </c>
      <c r="W12541" s="16" t="str">
        <f>IFERROR(__xludf.DUMMYFUNCTION("""COMPUTED_VALUE"""),"")</f>
        <v/>
      </c>
      <c r="X12541" s="16" t="str">
        <f>IFERROR(__xludf.DUMMYFUNCTION("""COMPUTED_VALUE"""),"")</f>
        <v/>
      </c>
      <c r="AC12541" s="16" t="str">
        <f>IFERROR(__xludf.DUMMYFUNCTION("""COMPUTED_VALUE"""),"")</f>
        <v/>
      </c>
    </row>
    <row r="12542">
      <c r="A12542" s="16" t="s">
        <v>87</v>
      </c>
      <c r="E12542" s="16" t="str">
        <f>IFERROR(__xludf.DUMMYFUNCTION("""COMPUTED_VALUE"""),"")</f>
        <v/>
      </c>
      <c r="G12542" s="18"/>
      <c r="H12542" s="16" t="s">
        <v>87</v>
      </c>
      <c r="I12542" s="16" t="s">
        <v>87</v>
      </c>
      <c r="J12542" s="19"/>
      <c r="L12542" s="16" t="str">
        <f>IFERROR(__xludf.DUMMYFUNCTION("""COMPUTED_VALUE"""),"")</f>
        <v/>
      </c>
      <c r="M12542" s="16" t="str">
        <f>IFERROR(__xludf.DUMMYFUNCTION("""COMPUTED_VALUE"""),"")</f>
        <v/>
      </c>
      <c r="U12542" s="16" t="s">
        <v>87</v>
      </c>
      <c r="V12542" s="16" t="str">
        <f>IFERROR(__xludf.DUMMYFUNCTION("""COMPUTED_VALUE"""),"")</f>
        <v/>
      </c>
      <c r="W12542" s="16" t="str">
        <f>IFERROR(__xludf.DUMMYFUNCTION("""COMPUTED_VALUE"""),"")</f>
        <v/>
      </c>
      <c r="X12542" s="16" t="str">
        <f>IFERROR(__xludf.DUMMYFUNCTION("""COMPUTED_VALUE"""),"")</f>
        <v/>
      </c>
      <c r="AC12542" s="16" t="str">
        <f>IFERROR(__xludf.DUMMYFUNCTION("""COMPUTED_VALUE"""),"")</f>
        <v/>
      </c>
    </row>
    <row r="12543">
      <c r="A12543" s="16" t="s">
        <v>87</v>
      </c>
      <c r="E12543" s="16" t="str">
        <f>IFERROR(__xludf.DUMMYFUNCTION("""COMPUTED_VALUE"""),"")</f>
        <v/>
      </c>
      <c r="G12543" s="18"/>
      <c r="H12543" s="16" t="s">
        <v>87</v>
      </c>
      <c r="I12543" s="16" t="s">
        <v>87</v>
      </c>
      <c r="J12543" s="19"/>
      <c r="L12543" s="16" t="str">
        <f>IFERROR(__xludf.DUMMYFUNCTION("""COMPUTED_VALUE"""),"")</f>
        <v/>
      </c>
      <c r="M12543" s="16" t="str">
        <f>IFERROR(__xludf.DUMMYFUNCTION("""COMPUTED_VALUE"""),"")</f>
        <v/>
      </c>
      <c r="U12543" s="16" t="s">
        <v>87</v>
      </c>
      <c r="V12543" s="16" t="str">
        <f>IFERROR(__xludf.DUMMYFUNCTION("""COMPUTED_VALUE"""),"")</f>
        <v/>
      </c>
      <c r="W12543" s="16" t="str">
        <f>IFERROR(__xludf.DUMMYFUNCTION("""COMPUTED_VALUE"""),"")</f>
        <v/>
      </c>
      <c r="X12543" s="16" t="str">
        <f>IFERROR(__xludf.DUMMYFUNCTION("""COMPUTED_VALUE"""),"")</f>
        <v/>
      </c>
      <c r="AC12543" s="16" t="str">
        <f>IFERROR(__xludf.DUMMYFUNCTION("""COMPUTED_VALUE"""),"")</f>
        <v/>
      </c>
    </row>
    <row r="12544">
      <c r="A12544" s="16" t="s">
        <v>87</v>
      </c>
      <c r="E12544" s="16" t="str">
        <f>IFERROR(__xludf.DUMMYFUNCTION("""COMPUTED_VALUE"""),"")</f>
        <v/>
      </c>
      <c r="G12544" s="18"/>
      <c r="H12544" s="16" t="s">
        <v>87</v>
      </c>
      <c r="I12544" s="16" t="s">
        <v>87</v>
      </c>
      <c r="J12544" s="19"/>
      <c r="L12544" s="16" t="str">
        <f>IFERROR(__xludf.DUMMYFUNCTION("""COMPUTED_VALUE"""),"")</f>
        <v/>
      </c>
      <c r="M12544" s="16" t="str">
        <f>IFERROR(__xludf.DUMMYFUNCTION("""COMPUTED_VALUE"""),"")</f>
        <v/>
      </c>
      <c r="U12544" s="16" t="s">
        <v>87</v>
      </c>
      <c r="V12544" s="16" t="str">
        <f>IFERROR(__xludf.DUMMYFUNCTION("""COMPUTED_VALUE"""),"")</f>
        <v/>
      </c>
      <c r="W12544" s="16" t="str">
        <f>IFERROR(__xludf.DUMMYFUNCTION("""COMPUTED_VALUE"""),"")</f>
        <v/>
      </c>
      <c r="X12544" s="16" t="str">
        <f>IFERROR(__xludf.DUMMYFUNCTION("""COMPUTED_VALUE"""),"")</f>
        <v/>
      </c>
      <c r="AC12544" s="16" t="str">
        <f>IFERROR(__xludf.DUMMYFUNCTION("""COMPUTED_VALUE"""),"")</f>
        <v/>
      </c>
    </row>
    <row r="12545">
      <c r="A12545" s="16" t="s">
        <v>87</v>
      </c>
      <c r="E12545" s="16" t="str">
        <f>IFERROR(__xludf.DUMMYFUNCTION("""COMPUTED_VALUE"""),"")</f>
        <v/>
      </c>
      <c r="G12545" s="18"/>
      <c r="H12545" s="16" t="s">
        <v>87</v>
      </c>
      <c r="I12545" s="16" t="s">
        <v>87</v>
      </c>
      <c r="J12545" s="19"/>
      <c r="L12545" s="16" t="str">
        <f>IFERROR(__xludf.DUMMYFUNCTION("""COMPUTED_VALUE"""),"")</f>
        <v/>
      </c>
      <c r="M12545" s="16" t="str">
        <f>IFERROR(__xludf.DUMMYFUNCTION("""COMPUTED_VALUE"""),"")</f>
        <v/>
      </c>
      <c r="U12545" s="16" t="s">
        <v>87</v>
      </c>
      <c r="V12545" s="16" t="str">
        <f>IFERROR(__xludf.DUMMYFUNCTION("""COMPUTED_VALUE"""),"")</f>
        <v/>
      </c>
      <c r="W12545" s="16" t="str">
        <f>IFERROR(__xludf.DUMMYFUNCTION("""COMPUTED_VALUE"""),"")</f>
        <v/>
      </c>
      <c r="X12545" s="16" t="str">
        <f>IFERROR(__xludf.DUMMYFUNCTION("""COMPUTED_VALUE"""),"")</f>
        <v/>
      </c>
      <c r="AC12545" s="16" t="str">
        <f>IFERROR(__xludf.DUMMYFUNCTION("""COMPUTED_VALUE"""),"")</f>
        <v/>
      </c>
    </row>
    <row r="12546">
      <c r="A12546" s="16" t="s">
        <v>87</v>
      </c>
      <c r="E12546" s="16" t="str">
        <f>IFERROR(__xludf.DUMMYFUNCTION("""COMPUTED_VALUE"""),"")</f>
        <v/>
      </c>
      <c r="G12546" s="18"/>
      <c r="H12546" s="16" t="s">
        <v>87</v>
      </c>
      <c r="I12546" s="16" t="s">
        <v>87</v>
      </c>
      <c r="J12546" s="19"/>
      <c r="L12546" s="16" t="str">
        <f>IFERROR(__xludf.DUMMYFUNCTION("""COMPUTED_VALUE"""),"")</f>
        <v/>
      </c>
      <c r="M12546" s="16" t="str">
        <f>IFERROR(__xludf.DUMMYFUNCTION("""COMPUTED_VALUE"""),"")</f>
        <v/>
      </c>
      <c r="U12546" s="16" t="s">
        <v>87</v>
      </c>
      <c r="V12546" s="16" t="str">
        <f>IFERROR(__xludf.DUMMYFUNCTION("""COMPUTED_VALUE"""),"")</f>
        <v/>
      </c>
      <c r="W12546" s="16" t="str">
        <f>IFERROR(__xludf.DUMMYFUNCTION("""COMPUTED_VALUE"""),"")</f>
        <v/>
      </c>
      <c r="X12546" s="16" t="str">
        <f>IFERROR(__xludf.DUMMYFUNCTION("""COMPUTED_VALUE"""),"")</f>
        <v/>
      </c>
      <c r="AC12546" s="16" t="str">
        <f>IFERROR(__xludf.DUMMYFUNCTION("""COMPUTED_VALUE"""),"")</f>
        <v/>
      </c>
    </row>
    <row r="12547">
      <c r="A12547" s="16" t="s">
        <v>87</v>
      </c>
      <c r="E12547" s="16" t="str">
        <f>IFERROR(__xludf.DUMMYFUNCTION("""COMPUTED_VALUE"""),"")</f>
        <v/>
      </c>
      <c r="G12547" s="18"/>
      <c r="H12547" s="16" t="s">
        <v>87</v>
      </c>
      <c r="I12547" s="16" t="s">
        <v>87</v>
      </c>
      <c r="J12547" s="19"/>
      <c r="L12547" s="16" t="str">
        <f>IFERROR(__xludf.DUMMYFUNCTION("""COMPUTED_VALUE"""),"")</f>
        <v/>
      </c>
      <c r="M12547" s="16" t="str">
        <f>IFERROR(__xludf.DUMMYFUNCTION("""COMPUTED_VALUE"""),"")</f>
        <v/>
      </c>
      <c r="U12547" s="16" t="s">
        <v>87</v>
      </c>
      <c r="V12547" s="16" t="str">
        <f>IFERROR(__xludf.DUMMYFUNCTION("""COMPUTED_VALUE"""),"")</f>
        <v/>
      </c>
      <c r="W12547" s="16" t="str">
        <f>IFERROR(__xludf.DUMMYFUNCTION("""COMPUTED_VALUE"""),"")</f>
        <v/>
      </c>
      <c r="X12547" s="16" t="str">
        <f>IFERROR(__xludf.DUMMYFUNCTION("""COMPUTED_VALUE"""),"")</f>
        <v/>
      </c>
      <c r="AC12547" s="16" t="str">
        <f>IFERROR(__xludf.DUMMYFUNCTION("""COMPUTED_VALUE"""),"")</f>
        <v/>
      </c>
    </row>
    <row r="12548">
      <c r="A12548" s="16" t="s">
        <v>87</v>
      </c>
      <c r="E12548" s="16" t="str">
        <f>IFERROR(__xludf.DUMMYFUNCTION("""COMPUTED_VALUE"""),"")</f>
        <v/>
      </c>
      <c r="G12548" s="18"/>
      <c r="H12548" s="16" t="s">
        <v>87</v>
      </c>
      <c r="I12548" s="16" t="s">
        <v>87</v>
      </c>
      <c r="J12548" s="19"/>
      <c r="L12548" s="16" t="str">
        <f>IFERROR(__xludf.DUMMYFUNCTION("""COMPUTED_VALUE"""),"")</f>
        <v/>
      </c>
      <c r="M12548" s="16" t="str">
        <f>IFERROR(__xludf.DUMMYFUNCTION("""COMPUTED_VALUE"""),"")</f>
        <v/>
      </c>
      <c r="U12548" s="16" t="s">
        <v>87</v>
      </c>
      <c r="V12548" s="16" t="str">
        <f>IFERROR(__xludf.DUMMYFUNCTION("""COMPUTED_VALUE"""),"")</f>
        <v/>
      </c>
      <c r="W12548" s="16" t="str">
        <f>IFERROR(__xludf.DUMMYFUNCTION("""COMPUTED_VALUE"""),"")</f>
        <v/>
      </c>
      <c r="X12548" s="16" t="str">
        <f>IFERROR(__xludf.DUMMYFUNCTION("""COMPUTED_VALUE"""),"")</f>
        <v/>
      </c>
      <c r="AC12548" s="16" t="str">
        <f>IFERROR(__xludf.DUMMYFUNCTION("""COMPUTED_VALUE"""),"")</f>
        <v/>
      </c>
    </row>
    <row r="12549">
      <c r="A12549" s="16" t="s">
        <v>87</v>
      </c>
      <c r="E12549" s="16" t="str">
        <f>IFERROR(__xludf.DUMMYFUNCTION("""COMPUTED_VALUE"""),"")</f>
        <v/>
      </c>
      <c r="G12549" s="18"/>
      <c r="H12549" s="16" t="s">
        <v>87</v>
      </c>
      <c r="I12549" s="16" t="s">
        <v>87</v>
      </c>
      <c r="J12549" s="19"/>
      <c r="L12549" s="16" t="str">
        <f>IFERROR(__xludf.DUMMYFUNCTION("""COMPUTED_VALUE"""),"")</f>
        <v/>
      </c>
      <c r="M12549" s="16" t="str">
        <f>IFERROR(__xludf.DUMMYFUNCTION("""COMPUTED_VALUE"""),"")</f>
        <v/>
      </c>
      <c r="U12549" s="16" t="s">
        <v>87</v>
      </c>
      <c r="V12549" s="16" t="str">
        <f>IFERROR(__xludf.DUMMYFUNCTION("""COMPUTED_VALUE"""),"")</f>
        <v/>
      </c>
      <c r="W12549" s="16" t="str">
        <f>IFERROR(__xludf.DUMMYFUNCTION("""COMPUTED_VALUE"""),"")</f>
        <v/>
      </c>
      <c r="X12549" s="16" t="str">
        <f>IFERROR(__xludf.DUMMYFUNCTION("""COMPUTED_VALUE"""),"")</f>
        <v/>
      </c>
      <c r="AC12549" s="16" t="str">
        <f>IFERROR(__xludf.DUMMYFUNCTION("""COMPUTED_VALUE"""),"")</f>
        <v/>
      </c>
    </row>
    <row r="12550">
      <c r="A12550" s="16" t="s">
        <v>87</v>
      </c>
      <c r="E12550" s="16" t="str">
        <f>IFERROR(__xludf.DUMMYFUNCTION("""COMPUTED_VALUE"""),"")</f>
        <v/>
      </c>
      <c r="G12550" s="18"/>
      <c r="H12550" s="16" t="s">
        <v>87</v>
      </c>
      <c r="I12550" s="16" t="s">
        <v>87</v>
      </c>
      <c r="J12550" s="19"/>
      <c r="L12550" s="16" t="str">
        <f>IFERROR(__xludf.DUMMYFUNCTION("""COMPUTED_VALUE"""),"")</f>
        <v/>
      </c>
      <c r="M12550" s="16" t="str">
        <f>IFERROR(__xludf.DUMMYFUNCTION("""COMPUTED_VALUE"""),"")</f>
        <v/>
      </c>
      <c r="U12550" s="16" t="s">
        <v>87</v>
      </c>
      <c r="V12550" s="16" t="str">
        <f>IFERROR(__xludf.DUMMYFUNCTION("""COMPUTED_VALUE"""),"")</f>
        <v/>
      </c>
      <c r="W12550" s="16" t="str">
        <f>IFERROR(__xludf.DUMMYFUNCTION("""COMPUTED_VALUE"""),"")</f>
        <v/>
      </c>
      <c r="X12550" s="16" t="str">
        <f>IFERROR(__xludf.DUMMYFUNCTION("""COMPUTED_VALUE"""),"")</f>
        <v/>
      </c>
      <c r="AC12550" s="16" t="str">
        <f>IFERROR(__xludf.DUMMYFUNCTION("""COMPUTED_VALUE"""),"")</f>
        <v/>
      </c>
    </row>
    <row r="12551">
      <c r="A12551" s="16" t="s">
        <v>87</v>
      </c>
      <c r="E12551" s="16" t="str">
        <f>IFERROR(__xludf.DUMMYFUNCTION("""COMPUTED_VALUE"""),"")</f>
        <v/>
      </c>
      <c r="G12551" s="18"/>
      <c r="H12551" s="16" t="s">
        <v>87</v>
      </c>
      <c r="I12551" s="16" t="s">
        <v>87</v>
      </c>
      <c r="J12551" s="19"/>
      <c r="L12551" s="16" t="str">
        <f>IFERROR(__xludf.DUMMYFUNCTION("""COMPUTED_VALUE"""),"")</f>
        <v/>
      </c>
      <c r="M12551" s="16" t="str">
        <f>IFERROR(__xludf.DUMMYFUNCTION("""COMPUTED_VALUE"""),"")</f>
        <v/>
      </c>
      <c r="U12551" s="16" t="s">
        <v>87</v>
      </c>
      <c r="V12551" s="16" t="str">
        <f>IFERROR(__xludf.DUMMYFUNCTION("""COMPUTED_VALUE"""),"")</f>
        <v/>
      </c>
      <c r="W12551" s="16" t="str">
        <f>IFERROR(__xludf.DUMMYFUNCTION("""COMPUTED_VALUE"""),"")</f>
        <v/>
      </c>
      <c r="X12551" s="16" t="str">
        <f>IFERROR(__xludf.DUMMYFUNCTION("""COMPUTED_VALUE"""),"")</f>
        <v/>
      </c>
      <c r="AC12551" s="16" t="str">
        <f>IFERROR(__xludf.DUMMYFUNCTION("""COMPUTED_VALUE"""),"")</f>
        <v/>
      </c>
    </row>
    <row r="12552">
      <c r="A12552" s="16" t="s">
        <v>87</v>
      </c>
      <c r="E12552" s="16" t="str">
        <f>IFERROR(__xludf.DUMMYFUNCTION("""COMPUTED_VALUE"""),"")</f>
        <v/>
      </c>
      <c r="G12552" s="18"/>
      <c r="H12552" s="16" t="s">
        <v>87</v>
      </c>
      <c r="I12552" s="16" t="s">
        <v>87</v>
      </c>
      <c r="J12552" s="19"/>
      <c r="L12552" s="16" t="str">
        <f>IFERROR(__xludf.DUMMYFUNCTION("""COMPUTED_VALUE"""),"")</f>
        <v/>
      </c>
      <c r="M12552" s="16" t="str">
        <f>IFERROR(__xludf.DUMMYFUNCTION("""COMPUTED_VALUE"""),"")</f>
        <v/>
      </c>
      <c r="U12552" s="16" t="s">
        <v>87</v>
      </c>
      <c r="V12552" s="16" t="str">
        <f>IFERROR(__xludf.DUMMYFUNCTION("""COMPUTED_VALUE"""),"")</f>
        <v/>
      </c>
      <c r="W12552" s="16" t="str">
        <f>IFERROR(__xludf.DUMMYFUNCTION("""COMPUTED_VALUE"""),"")</f>
        <v/>
      </c>
      <c r="X12552" s="16" t="str">
        <f>IFERROR(__xludf.DUMMYFUNCTION("""COMPUTED_VALUE"""),"")</f>
        <v/>
      </c>
      <c r="AC12552" s="16" t="str">
        <f>IFERROR(__xludf.DUMMYFUNCTION("""COMPUTED_VALUE"""),"")</f>
        <v/>
      </c>
    </row>
    <row r="12553">
      <c r="A12553" s="16" t="s">
        <v>87</v>
      </c>
      <c r="E12553" s="16" t="str">
        <f>IFERROR(__xludf.DUMMYFUNCTION("""COMPUTED_VALUE"""),"")</f>
        <v/>
      </c>
      <c r="G12553" s="18"/>
      <c r="H12553" s="16" t="s">
        <v>87</v>
      </c>
      <c r="I12553" s="16" t="s">
        <v>87</v>
      </c>
      <c r="J12553" s="19"/>
      <c r="L12553" s="16" t="str">
        <f>IFERROR(__xludf.DUMMYFUNCTION("""COMPUTED_VALUE"""),"")</f>
        <v/>
      </c>
      <c r="M12553" s="16" t="str">
        <f>IFERROR(__xludf.DUMMYFUNCTION("""COMPUTED_VALUE"""),"")</f>
        <v/>
      </c>
      <c r="U12553" s="16" t="s">
        <v>87</v>
      </c>
      <c r="V12553" s="16" t="str">
        <f>IFERROR(__xludf.DUMMYFUNCTION("""COMPUTED_VALUE"""),"")</f>
        <v/>
      </c>
      <c r="W12553" s="16" t="str">
        <f>IFERROR(__xludf.DUMMYFUNCTION("""COMPUTED_VALUE"""),"")</f>
        <v/>
      </c>
      <c r="X12553" s="16" t="str">
        <f>IFERROR(__xludf.DUMMYFUNCTION("""COMPUTED_VALUE"""),"")</f>
        <v/>
      </c>
      <c r="AC12553" s="16" t="str">
        <f>IFERROR(__xludf.DUMMYFUNCTION("""COMPUTED_VALUE"""),"")</f>
        <v/>
      </c>
    </row>
    <row r="12554">
      <c r="A12554" s="16" t="s">
        <v>87</v>
      </c>
      <c r="E12554" s="16" t="str">
        <f>IFERROR(__xludf.DUMMYFUNCTION("""COMPUTED_VALUE"""),"")</f>
        <v/>
      </c>
      <c r="G12554" s="18"/>
      <c r="H12554" s="16" t="s">
        <v>87</v>
      </c>
      <c r="I12554" s="16" t="s">
        <v>87</v>
      </c>
      <c r="J12554" s="19"/>
      <c r="L12554" s="16" t="str">
        <f>IFERROR(__xludf.DUMMYFUNCTION("""COMPUTED_VALUE"""),"")</f>
        <v/>
      </c>
      <c r="M12554" s="16" t="str">
        <f>IFERROR(__xludf.DUMMYFUNCTION("""COMPUTED_VALUE"""),"")</f>
        <v/>
      </c>
      <c r="U12554" s="16" t="s">
        <v>87</v>
      </c>
      <c r="V12554" s="16" t="str">
        <f>IFERROR(__xludf.DUMMYFUNCTION("""COMPUTED_VALUE"""),"")</f>
        <v/>
      </c>
      <c r="W12554" s="16" t="str">
        <f>IFERROR(__xludf.DUMMYFUNCTION("""COMPUTED_VALUE"""),"")</f>
        <v/>
      </c>
      <c r="X12554" s="16" t="str">
        <f>IFERROR(__xludf.DUMMYFUNCTION("""COMPUTED_VALUE"""),"")</f>
        <v/>
      </c>
      <c r="AC12554" s="16" t="str">
        <f>IFERROR(__xludf.DUMMYFUNCTION("""COMPUTED_VALUE"""),"")</f>
        <v/>
      </c>
    </row>
    <row r="12555">
      <c r="A12555" s="16" t="s">
        <v>87</v>
      </c>
      <c r="E12555" s="16" t="str">
        <f>IFERROR(__xludf.DUMMYFUNCTION("""COMPUTED_VALUE"""),"")</f>
        <v/>
      </c>
      <c r="G12555" s="18"/>
      <c r="H12555" s="16" t="s">
        <v>87</v>
      </c>
      <c r="I12555" s="16" t="s">
        <v>87</v>
      </c>
      <c r="J12555" s="19"/>
      <c r="L12555" s="16" t="str">
        <f>IFERROR(__xludf.DUMMYFUNCTION("""COMPUTED_VALUE"""),"")</f>
        <v/>
      </c>
      <c r="M12555" s="16" t="str">
        <f>IFERROR(__xludf.DUMMYFUNCTION("""COMPUTED_VALUE"""),"")</f>
        <v/>
      </c>
      <c r="U12555" s="16" t="s">
        <v>87</v>
      </c>
      <c r="V12555" s="16" t="str">
        <f>IFERROR(__xludf.DUMMYFUNCTION("""COMPUTED_VALUE"""),"")</f>
        <v/>
      </c>
      <c r="W12555" s="16" t="str">
        <f>IFERROR(__xludf.DUMMYFUNCTION("""COMPUTED_VALUE"""),"")</f>
        <v/>
      </c>
      <c r="X12555" s="16" t="str">
        <f>IFERROR(__xludf.DUMMYFUNCTION("""COMPUTED_VALUE"""),"")</f>
        <v/>
      </c>
      <c r="AC12555" s="16" t="str">
        <f>IFERROR(__xludf.DUMMYFUNCTION("""COMPUTED_VALUE"""),"")</f>
        <v/>
      </c>
    </row>
    <row r="12556">
      <c r="A12556" s="16" t="s">
        <v>87</v>
      </c>
      <c r="E12556" s="16" t="str">
        <f>IFERROR(__xludf.DUMMYFUNCTION("""COMPUTED_VALUE"""),"")</f>
        <v/>
      </c>
      <c r="G12556" s="18"/>
      <c r="H12556" s="16" t="s">
        <v>87</v>
      </c>
      <c r="I12556" s="16" t="s">
        <v>87</v>
      </c>
      <c r="J12556" s="19"/>
      <c r="L12556" s="16" t="str">
        <f>IFERROR(__xludf.DUMMYFUNCTION("""COMPUTED_VALUE"""),"")</f>
        <v/>
      </c>
      <c r="M12556" s="16" t="str">
        <f>IFERROR(__xludf.DUMMYFUNCTION("""COMPUTED_VALUE"""),"")</f>
        <v/>
      </c>
      <c r="U12556" s="16" t="s">
        <v>87</v>
      </c>
      <c r="V12556" s="16" t="str">
        <f>IFERROR(__xludf.DUMMYFUNCTION("""COMPUTED_VALUE"""),"")</f>
        <v/>
      </c>
      <c r="W12556" s="16" t="str">
        <f>IFERROR(__xludf.DUMMYFUNCTION("""COMPUTED_VALUE"""),"")</f>
        <v/>
      </c>
      <c r="X12556" s="16" t="str">
        <f>IFERROR(__xludf.DUMMYFUNCTION("""COMPUTED_VALUE"""),"")</f>
        <v/>
      </c>
      <c r="AC12556" s="16" t="str">
        <f>IFERROR(__xludf.DUMMYFUNCTION("""COMPUTED_VALUE"""),"")</f>
        <v/>
      </c>
    </row>
    <row r="12557">
      <c r="A12557" s="16" t="s">
        <v>87</v>
      </c>
      <c r="E12557" s="16" t="str">
        <f>IFERROR(__xludf.DUMMYFUNCTION("""COMPUTED_VALUE"""),"")</f>
        <v/>
      </c>
      <c r="G12557" s="18"/>
      <c r="H12557" s="16" t="s">
        <v>87</v>
      </c>
      <c r="I12557" s="16" t="s">
        <v>87</v>
      </c>
      <c r="J12557" s="19"/>
      <c r="L12557" s="16" t="str">
        <f>IFERROR(__xludf.DUMMYFUNCTION("""COMPUTED_VALUE"""),"")</f>
        <v/>
      </c>
      <c r="M12557" s="16" t="str">
        <f>IFERROR(__xludf.DUMMYFUNCTION("""COMPUTED_VALUE"""),"")</f>
        <v/>
      </c>
      <c r="U12557" s="16" t="s">
        <v>87</v>
      </c>
      <c r="V12557" s="16" t="str">
        <f>IFERROR(__xludf.DUMMYFUNCTION("""COMPUTED_VALUE"""),"")</f>
        <v/>
      </c>
      <c r="W12557" s="16" t="str">
        <f>IFERROR(__xludf.DUMMYFUNCTION("""COMPUTED_VALUE"""),"")</f>
        <v/>
      </c>
      <c r="X12557" s="16" t="str">
        <f>IFERROR(__xludf.DUMMYFUNCTION("""COMPUTED_VALUE"""),"")</f>
        <v/>
      </c>
      <c r="AC12557" s="16" t="str">
        <f>IFERROR(__xludf.DUMMYFUNCTION("""COMPUTED_VALUE"""),"")</f>
        <v/>
      </c>
    </row>
    <row r="12558">
      <c r="A12558" s="16" t="s">
        <v>87</v>
      </c>
      <c r="E12558" s="16" t="str">
        <f>IFERROR(__xludf.DUMMYFUNCTION("""COMPUTED_VALUE"""),"")</f>
        <v/>
      </c>
      <c r="G12558" s="18"/>
      <c r="H12558" s="16" t="s">
        <v>87</v>
      </c>
      <c r="I12558" s="16" t="s">
        <v>87</v>
      </c>
      <c r="J12558" s="19"/>
      <c r="L12558" s="16" t="str">
        <f>IFERROR(__xludf.DUMMYFUNCTION("""COMPUTED_VALUE"""),"")</f>
        <v/>
      </c>
      <c r="M12558" s="16" t="str">
        <f>IFERROR(__xludf.DUMMYFUNCTION("""COMPUTED_VALUE"""),"")</f>
        <v/>
      </c>
      <c r="U12558" s="16" t="s">
        <v>87</v>
      </c>
      <c r="V12558" s="16" t="str">
        <f>IFERROR(__xludf.DUMMYFUNCTION("""COMPUTED_VALUE"""),"")</f>
        <v/>
      </c>
      <c r="W12558" s="16" t="str">
        <f>IFERROR(__xludf.DUMMYFUNCTION("""COMPUTED_VALUE"""),"")</f>
        <v/>
      </c>
      <c r="X12558" s="16" t="str">
        <f>IFERROR(__xludf.DUMMYFUNCTION("""COMPUTED_VALUE"""),"")</f>
        <v/>
      </c>
      <c r="AC12558" s="16" t="str">
        <f>IFERROR(__xludf.DUMMYFUNCTION("""COMPUTED_VALUE"""),"")</f>
        <v/>
      </c>
    </row>
    <row r="12559">
      <c r="A12559" s="16" t="s">
        <v>87</v>
      </c>
      <c r="E12559" s="16" t="str">
        <f>IFERROR(__xludf.DUMMYFUNCTION("""COMPUTED_VALUE"""),"")</f>
        <v/>
      </c>
      <c r="G12559" s="18"/>
      <c r="H12559" s="16" t="s">
        <v>87</v>
      </c>
      <c r="I12559" s="16" t="s">
        <v>87</v>
      </c>
      <c r="J12559" s="19"/>
      <c r="L12559" s="16" t="str">
        <f>IFERROR(__xludf.DUMMYFUNCTION("""COMPUTED_VALUE"""),"")</f>
        <v/>
      </c>
      <c r="M12559" s="16" t="str">
        <f>IFERROR(__xludf.DUMMYFUNCTION("""COMPUTED_VALUE"""),"")</f>
        <v/>
      </c>
      <c r="U12559" s="16" t="s">
        <v>87</v>
      </c>
      <c r="V12559" s="16" t="str">
        <f>IFERROR(__xludf.DUMMYFUNCTION("""COMPUTED_VALUE"""),"")</f>
        <v/>
      </c>
      <c r="W12559" s="16" t="str">
        <f>IFERROR(__xludf.DUMMYFUNCTION("""COMPUTED_VALUE"""),"")</f>
        <v/>
      </c>
      <c r="X12559" s="16" t="str">
        <f>IFERROR(__xludf.DUMMYFUNCTION("""COMPUTED_VALUE"""),"")</f>
        <v/>
      </c>
      <c r="AC12559" s="16" t="str">
        <f>IFERROR(__xludf.DUMMYFUNCTION("""COMPUTED_VALUE"""),"")</f>
        <v/>
      </c>
    </row>
    <row r="12560">
      <c r="A12560" s="16" t="s">
        <v>87</v>
      </c>
      <c r="E12560" s="16" t="str">
        <f>IFERROR(__xludf.DUMMYFUNCTION("""COMPUTED_VALUE"""),"")</f>
        <v/>
      </c>
      <c r="G12560" s="18"/>
      <c r="H12560" s="16" t="s">
        <v>87</v>
      </c>
      <c r="I12560" s="16" t="s">
        <v>87</v>
      </c>
      <c r="J12560" s="19"/>
      <c r="L12560" s="16" t="str">
        <f>IFERROR(__xludf.DUMMYFUNCTION("""COMPUTED_VALUE"""),"")</f>
        <v/>
      </c>
      <c r="M12560" s="16" t="str">
        <f>IFERROR(__xludf.DUMMYFUNCTION("""COMPUTED_VALUE"""),"")</f>
        <v/>
      </c>
      <c r="U12560" s="16" t="s">
        <v>87</v>
      </c>
      <c r="V12560" s="16" t="str">
        <f>IFERROR(__xludf.DUMMYFUNCTION("""COMPUTED_VALUE"""),"")</f>
        <v/>
      </c>
      <c r="W12560" s="16" t="str">
        <f>IFERROR(__xludf.DUMMYFUNCTION("""COMPUTED_VALUE"""),"")</f>
        <v/>
      </c>
      <c r="X12560" s="16" t="str">
        <f>IFERROR(__xludf.DUMMYFUNCTION("""COMPUTED_VALUE"""),"")</f>
        <v/>
      </c>
      <c r="AC12560" s="16" t="str">
        <f>IFERROR(__xludf.DUMMYFUNCTION("""COMPUTED_VALUE"""),"")</f>
        <v/>
      </c>
    </row>
    <row r="12561">
      <c r="A12561" s="16" t="s">
        <v>87</v>
      </c>
      <c r="E12561" s="16" t="str">
        <f>IFERROR(__xludf.DUMMYFUNCTION("""COMPUTED_VALUE"""),"")</f>
        <v/>
      </c>
      <c r="G12561" s="18"/>
      <c r="H12561" s="16" t="s">
        <v>87</v>
      </c>
      <c r="I12561" s="16" t="s">
        <v>87</v>
      </c>
      <c r="J12561" s="19"/>
      <c r="L12561" s="16" t="str">
        <f>IFERROR(__xludf.DUMMYFUNCTION("""COMPUTED_VALUE"""),"")</f>
        <v/>
      </c>
      <c r="M12561" s="16" t="str">
        <f>IFERROR(__xludf.DUMMYFUNCTION("""COMPUTED_VALUE"""),"")</f>
        <v/>
      </c>
      <c r="U12561" s="16" t="s">
        <v>87</v>
      </c>
      <c r="V12561" s="16" t="str">
        <f>IFERROR(__xludf.DUMMYFUNCTION("""COMPUTED_VALUE"""),"")</f>
        <v/>
      </c>
      <c r="W12561" s="16" t="str">
        <f>IFERROR(__xludf.DUMMYFUNCTION("""COMPUTED_VALUE"""),"")</f>
        <v/>
      </c>
      <c r="X12561" s="16" t="str">
        <f>IFERROR(__xludf.DUMMYFUNCTION("""COMPUTED_VALUE"""),"")</f>
        <v/>
      </c>
      <c r="AC12561" s="16" t="str">
        <f>IFERROR(__xludf.DUMMYFUNCTION("""COMPUTED_VALUE"""),"")</f>
        <v/>
      </c>
    </row>
    <row r="12562">
      <c r="A12562" s="16" t="s">
        <v>87</v>
      </c>
      <c r="E12562" s="16" t="str">
        <f>IFERROR(__xludf.DUMMYFUNCTION("""COMPUTED_VALUE"""),"")</f>
        <v/>
      </c>
      <c r="G12562" s="18"/>
      <c r="H12562" s="16" t="s">
        <v>87</v>
      </c>
      <c r="I12562" s="16" t="s">
        <v>87</v>
      </c>
      <c r="J12562" s="19"/>
      <c r="L12562" s="16" t="str">
        <f>IFERROR(__xludf.DUMMYFUNCTION("""COMPUTED_VALUE"""),"")</f>
        <v/>
      </c>
      <c r="M12562" s="16" t="str">
        <f>IFERROR(__xludf.DUMMYFUNCTION("""COMPUTED_VALUE"""),"")</f>
        <v/>
      </c>
      <c r="U12562" s="16" t="s">
        <v>87</v>
      </c>
      <c r="V12562" s="16" t="str">
        <f>IFERROR(__xludf.DUMMYFUNCTION("""COMPUTED_VALUE"""),"")</f>
        <v/>
      </c>
      <c r="W12562" s="16" t="str">
        <f>IFERROR(__xludf.DUMMYFUNCTION("""COMPUTED_VALUE"""),"")</f>
        <v/>
      </c>
      <c r="X12562" s="16" t="str">
        <f>IFERROR(__xludf.DUMMYFUNCTION("""COMPUTED_VALUE"""),"")</f>
        <v/>
      </c>
      <c r="AC12562" s="16" t="str">
        <f>IFERROR(__xludf.DUMMYFUNCTION("""COMPUTED_VALUE"""),"")</f>
        <v/>
      </c>
    </row>
    <row r="12563">
      <c r="A12563" s="16" t="s">
        <v>87</v>
      </c>
      <c r="E12563" s="16" t="str">
        <f>IFERROR(__xludf.DUMMYFUNCTION("""COMPUTED_VALUE"""),"")</f>
        <v/>
      </c>
      <c r="G12563" s="18"/>
      <c r="H12563" s="16" t="s">
        <v>87</v>
      </c>
      <c r="I12563" s="16" t="s">
        <v>87</v>
      </c>
      <c r="J12563" s="19"/>
      <c r="L12563" s="16" t="str">
        <f>IFERROR(__xludf.DUMMYFUNCTION("""COMPUTED_VALUE"""),"")</f>
        <v/>
      </c>
      <c r="M12563" s="16" t="str">
        <f>IFERROR(__xludf.DUMMYFUNCTION("""COMPUTED_VALUE"""),"")</f>
        <v/>
      </c>
      <c r="U12563" s="16" t="s">
        <v>87</v>
      </c>
      <c r="V12563" s="16" t="str">
        <f>IFERROR(__xludf.DUMMYFUNCTION("""COMPUTED_VALUE"""),"")</f>
        <v/>
      </c>
      <c r="W12563" s="16" t="str">
        <f>IFERROR(__xludf.DUMMYFUNCTION("""COMPUTED_VALUE"""),"")</f>
        <v/>
      </c>
      <c r="X12563" s="16" t="str">
        <f>IFERROR(__xludf.DUMMYFUNCTION("""COMPUTED_VALUE"""),"")</f>
        <v/>
      </c>
      <c r="AC12563" s="16" t="str">
        <f>IFERROR(__xludf.DUMMYFUNCTION("""COMPUTED_VALUE"""),"")</f>
        <v/>
      </c>
    </row>
    <row r="12564">
      <c r="A12564" s="16" t="s">
        <v>87</v>
      </c>
      <c r="E12564" s="16" t="str">
        <f>IFERROR(__xludf.DUMMYFUNCTION("""COMPUTED_VALUE"""),"")</f>
        <v/>
      </c>
      <c r="G12564" s="18"/>
      <c r="H12564" s="16" t="s">
        <v>87</v>
      </c>
      <c r="I12564" s="16" t="s">
        <v>87</v>
      </c>
      <c r="J12564" s="19"/>
      <c r="L12564" s="16" t="str">
        <f>IFERROR(__xludf.DUMMYFUNCTION("""COMPUTED_VALUE"""),"")</f>
        <v/>
      </c>
      <c r="M12564" s="16" t="str">
        <f>IFERROR(__xludf.DUMMYFUNCTION("""COMPUTED_VALUE"""),"")</f>
        <v/>
      </c>
      <c r="U12564" s="16" t="s">
        <v>87</v>
      </c>
      <c r="V12564" s="16" t="str">
        <f>IFERROR(__xludf.DUMMYFUNCTION("""COMPUTED_VALUE"""),"")</f>
        <v/>
      </c>
      <c r="W12564" s="16" t="str">
        <f>IFERROR(__xludf.DUMMYFUNCTION("""COMPUTED_VALUE"""),"")</f>
        <v/>
      </c>
      <c r="X12564" s="16" t="str">
        <f>IFERROR(__xludf.DUMMYFUNCTION("""COMPUTED_VALUE"""),"")</f>
        <v/>
      </c>
      <c r="AC12564" s="16" t="str">
        <f>IFERROR(__xludf.DUMMYFUNCTION("""COMPUTED_VALUE"""),"")</f>
        <v/>
      </c>
    </row>
    <row r="12565">
      <c r="A12565" s="16" t="s">
        <v>87</v>
      </c>
      <c r="E12565" s="16" t="str">
        <f>IFERROR(__xludf.DUMMYFUNCTION("""COMPUTED_VALUE"""),"")</f>
        <v/>
      </c>
      <c r="G12565" s="18"/>
      <c r="H12565" s="16" t="s">
        <v>87</v>
      </c>
      <c r="I12565" s="16" t="s">
        <v>87</v>
      </c>
      <c r="J12565" s="19"/>
      <c r="L12565" s="16" t="str">
        <f>IFERROR(__xludf.DUMMYFUNCTION("""COMPUTED_VALUE"""),"")</f>
        <v/>
      </c>
      <c r="M12565" s="16" t="str">
        <f>IFERROR(__xludf.DUMMYFUNCTION("""COMPUTED_VALUE"""),"")</f>
        <v/>
      </c>
      <c r="U12565" s="16" t="s">
        <v>87</v>
      </c>
      <c r="V12565" s="16" t="str">
        <f>IFERROR(__xludf.DUMMYFUNCTION("""COMPUTED_VALUE"""),"")</f>
        <v/>
      </c>
      <c r="W12565" s="16" t="str">
        <f>IFERROR(__xludf.DUMMYFUNCTION("""COMPUTED_VALUE"""),"")</f>
        <v/>
      </c>
      <c r="X12565" s="16" t="str">
        <f>IFERROR(__xludf.DUMMYFUNCTION("""COMPUTED_VALUE"""),"")</f>
        <v/>
      </c>
      <c r="AC12565" s="16" t="str">
        <f>IFERROR(__xludf.DUMMYFUNCTION("""COMPUTED_VALUE"""),"")</f>
        <v/>
      </c>
    </row>
    <row r="12566">
      <c r="A12566" s="16" t="s">
        <v>87</v>
      </c>
      <c r="E12566" s="16" t="str">
        <f>IFERROR(__xludf.DUMMYFUNCTION("""COMPUTED_VALUE"""),"")</f>
        <v/>
      </c>
      <c r="G12566" s="18"/>
      <c r="H12566" s="16" t="s">
        <v>87</v>
      </c>
      <c r="I12566" s="16" t="s">
        <v>87</v>
      </c>
      <c r="J12566" s="19"/>
      <c r="L12566" s="16" t="str">
        <f>IFERROR(__xludf.DUMMYFUNCTION("""COMPUTED_VALUE"""),"")</f>
        <v/>
      </c>
      <c r="M12566" s="16" t="str">
        <f>IFERROR(__xludf.DUMMYFUNCTION("""COMPUTED_VALUE"""),"")</f>
        <v/>
      </c>
      <c r="U12566" s="16" t="s">
        <v>87</v>
      </c>
      <c r="V12566" s="16" t="str">
        <f>IFERROR(__xludf.DUMMYFUNCTION("""COMPUTED_VALUE"""),"")</f>
        <v/>
      </c>
      <c r="W12566" s="16" t="str">
        <f>IFERROR(__xludf.DUMMYFUNCTION("""COMPUTED_VALUE"""),"")</f>
        <v/>
      </c>
      <c r="X12566" s="16" t="str">
        <f>IFERROR(__xludf.DUMMYFUNCTION("""COMPUTED_VALUE"""),"")</f>
        <v/>
      </c>
      <c r="AC12566" s="16" t="str">
        <f>IFERROR(__xludf.DUMMYFUNCTION("""COMPUTED_VALUE"""),"")</f>
        <v/>
      </c>
    </row>
    <row r="12567">
      <c r="A12567" s="16" t="s">
        <v>87</v>
      </c>
      <c r="E12567" s="16" t="str">
        <f>IFERROR(__xludf.DUMMYFUNCTION("""COMPUTED_VALUE"""),"")</f>
        <v/>
      </c>
      <c r="G12567" s="18"/>
      <c r="H12567" s="16" t="s">
        <v>87</v>
      </c>
      <c r="I12567" s="16" t="s">
        <v>87</v>
      </c>
      <c r="J12567" s="19"/>
      <c r="L12567" s="16" t="str">
        <f>IFERROR(__xludf.DUMMYFUNCTION("""COMPUTED_VALUE"""),"")</f>
        <v/>
      </c>
      <c r="M12567" s="16" t="str">
        <f>IFERROR(__xludf.DUMMYFUNCTION("""COMPUTED_VALUE"""),"")</f>
        <v/>
      </c>
      <c r="U12567" s="16" t="s">
        <v>87</v>
      </c>
      <c r="V12567" s="16" t="str">
        <f>IFERROR(__xludf.DUMMYFUNCTION("""COMPUTED_VALUE"""),"")</f>
        <v/>
      </c>
      <c r="W12567" s="16" t="str">
        <f>IFERROR(__xludf.DUMMYFUNCTION("""COMPUTED_VALUE"""),"")</f>
        <v/>
      </c>
      <c r="X12567" s="16" t="str">
        <f>IFERROR(__xludf.DUMMYFUNCTION("""COMPUTED_VALUE"""),"")</f>
        <v/>
      </c>
      <c r="AC12567" s="16" t="str">
        <f>IFERROR(__xludf.DUMMYFUNCTION("""COMPUTED_VALUE"""),"")</f>
        <v/>
      </c>
    </row>
    <row r="12568">
      <c r="A12568" s="16" t="s">
        <v>87</v>
      </c>
      <c r="E12568" s="16" t="str">
        <f>IFERROR(__xludf.DUMMYFUNCTION("""COMPUTED_VALUE"""),"")</f>
        <v/>
      </c>
      <c r="G12568" s="18"/>
      <c r="H12568" s="16" t="s">
        <v>87</v>
      </c>
      <c r="I12568" s="16" t="s">
        <v>87</v>
      </c>
      <c r="J12568" s="19"/>
      <c r="L12568" s="16" t="str">
        <f>IFERROR(__xludf.DUMMYFUNCTION("""COMPUTED_VALUE"""),"")</f>
        <v/>
      </c>
      <c r="M12568" s="16" t="str">
        <f>IFERROR(__xludf.DUMMYFUNCTION("""COMPUTED_VALUE"""),"")</f>
        <v/>
      </c>
      <c r="U12568" s="16" t="s">
        <v>87</v>
      </c>
      <c r="V12568" s="16" t="str">
        <f>IFERROR(__xludf.DUMMYFUNCTION("""COMPUTED_VALUE"""),"")</f>
        <v/>
      </c>
      <c r="W12568" s="16" t="str">
        <f>IFERROR(__xludf.DUMMYFUNCTION("""COMPUTED_VALUE"""),"")</f>
        <v/>
      </c>
      <c r="X12568" s="16" t="str">
        <f>IFERROR(__xludf.DUMMYFUNCTION("""COMPUTED_VALUE"""),"")</f>
        <v/>
      </c>
      <c r="AC12568" s="16" t="str">
        <f>IFERROR(__xludf.DUMMYFUNCTION("""COMPUTED_VALUE"""),"")</f>
        <v/>
      </c>
    </row>
    <row r="12569">
      <c r="A12569" s="16" t="s">
        <v>87</v>
      </c>
      <c r="E12569" s="16" t="str">
        <f>IFERROR(__xludf.DUMMYFUNCTION("""COMPUTED_VALUE"""),"")</f>
        <v/>
      </c>
      <c r="G12569" s="18"/>
      <c r="H12569" s="16" t="s">
        <v>87</v>
      </c>
      <c r="I12569" s="16" t="s">
        <v>87</v>
      </c>
      <c r="J12569" s="19"/>
      <c r="L12569" s="16" t="str">
        <f>IFERROR(__xludf.DUMMYFUNCTION("""COMPUTED_VALUE"""),"")</f>
        <v/>
      </c>
      <c r="M12569" s="16" t="str">
        <f>IFERROR(__xludf.DUMMYFUNCTION("""COMPUTED_VALUE"""),"")</f>
        <v/>
      </c>
      <c r="U12569" s="16" t="s">
        <v>87</v>
      </c>
      <c r="V12569" s="16" t="str">
        <f>IFERROR(__xludf.DUMMYFUNCTION("""COMPUTED_VALUE"""),"")</f>
        <v/>
      </c>
      <c r="W12569" s="16" t="str">
        <f>IFERROR(__xludf.DUMMYFUNCTION("""COMPUTED_VALUE"""),"")</f>
        <v/>
      </c>
      <c r="X12569" s="16" t="str">
        <f>IFERROR(__xludf.DUMMYFUNCTION("""COMPUTED_VALUE"""),"")</f>
        <v/>
      </c>
      <c r="AC12569" s="16" t="str">
        <f>IFERROR(__xludf.DUMMYFUNCTION("""COMPUTED_VALUE"""),"")</f>
        <v/>
      </c>
    </row>
    <row r="12570">
      <c r="A12570" s="16" t="s">
        <v>87</v>
      </c>
      <c r="E12570" s="16" t="str">
        <f>IFERROR(__xludf.DUMMYFUNCTION("""COMPUTED_VALUE"""),"")</f>
        <v/>
      </c>
      <c r="G12570" s="18"/>
      <c r="H12570" s="16" t="s">
        <v>87</v>
      </c>
      <c r="I12570" s="16" t="s">
        <v>87</v>
      </c>
      <c r="J12570" s="19"/>
      <c r="L12570" s="16" t="str">
        <f>IFERROR(__xludf.DUMMYFUNCTION("""COMPUTED_VALUE"""),"")</f>
        <v/>
      </c>
      <c r="M12570" s="16" t="str">
        <f>IFERROR(__xludf.DUMMYFUNCTION("""COMPUTED_VALUE"""),"")</f>
        <v/>
      </c>
      <c r="U12570" s="16" t="s">
        <v>87</v>
      </c>
      <c r="V12570" s="16" t="str">
        <f>IFERROR(__xludf.DUMMYFUNCTION("""COMPUTED_VALUE"""),"")</f>
        <v/>
      </c>
      <c r="W12570" s="16" t="str">
        <f>IFERROR(__xludf.DUMMYFUNCTION("""COMPUTED_VALUE"""),"")</f>
        <v/>
      </c>
      <c r="X12570" s="16" t="str">
        <f>IFERROR(__xludf.DUMMYFUNCTION("""COMPUTED_VALUE"""),"")</f>
        <v/>
      </c>
      <c r="AC12570" s="16" t="str">
        <f>IFERROR(__xludf.DUMMYFUNCTION("""COMPUTED_VALUE"""),"")</f>
        <v/>
      </c>
    </row>
    <row r="12571">
      <c r="A12571" s="16" t="s">
        <v>87</v>
      </c>
      <c r="E12571" s="16" t="str">
        <f>IFERROR(__xludf.DUMMYFUNCTION("""COMPUTED_VALUE"""),"")</f>
        <v/>
      </c>
      <c r="G12571" s="18"/>
      <c r="H12571" s="16" t="s">
        <v>87</v>
      </c>
      <c r="I12571" s="16" t="s">
        <v>87</v>
      </c>
      <c r="J12571" s="19"/>
      <c r="L12571" s="16" t="str">
        <f>IFERROR(__xludf.DUMMYFUNCTION("""COMPUTED_VALUE"""),"")</f>
        <v/>
      </c>
      <c r="M12571" s="16" t="str">
        <f>IFERROR(__xludf.DUMMYFUNCTION("""COMPUTED_VALUE"""),"")</f>
        <v/>
      </c>
      <c r="U12571" s="16" t="s">
        <v>87</v>
      </c>
      <c r="V12571" s="16" t="str">
        <f>IFERROR(__xludf.DUMMYFUNCTION("""COMPUTED_VALUE"""),"")</f>
        <v/>
      </c>
      <c r="W12571" s="16" t="str">
        <f>IFERROR(__xludf.DUMMYFUNCTION("""COMPUTED_VALUE"""),"")</f>
        <v/>
      </c>
      <c r="X12571" s="16" t="str">
        <f>IFERROR(__xludf.DUMMYFUNCTION("""COMPUTED_VALUE"""),"")</f>
        <v/>
      </c>
      <c r="AC12571" s="16" t="str">
        <f>IFERROR(__xludf.DUMMYFUNCTION("""COMPUTED_VALUE"""),"")</f>
        <v/>
      </c>
    </row>
    <row r="12572">
      <c r="A12572" s="16" t="s">
        <v>87</v>
      </c>
      <c r="E12572" s="16" t="str">
        <f>IFERROR(__xludf.DUMMYFUNCTION("""COMPUTED_VALUE"""),"")</f>
        <v/>
      </c>
      <c r="G12572" s="18"/>
      <c r="H12572" s="16" t="s">
        <v>87</v>
      </c>
      <c r="I12572" s="16" t="s">
        <v>87</v>
      </c>
      <c r="J12572" s="19"/>
      <c r="L12572" s="16" t="str">
        <f>IFERROR(__xludf.DUMMYFUNCTION("""COMPUTED_VALUE"""),"")</f>
        <v/>
      </c>
      <c r="M12572" s="16" t="str">
        <f>IFERROR(__xludf.DUMMYFUNCTION("""COMPUTED_VALUE"""),"")</f>
        <v/>
      </c>
      <c r="U12572" s="16" t="s">
        <v>87</v>
      </c>
      <c r="V12572" s="16" t="str">
        <f>IFERROR(__xludf.DUMMYFUNCTION("""COMPUTED_VALUE"""),"")</f>
        <v/>
      </c>
      <c r="W12572" s="16" t="str">
        <f>IFERROR(__xludf.DUMMYFUNCTION("""COMPUTED_VALUE"""),"")</f>
        <v/>
      </c>
      <c r="X12572" s="16" t="str">
        <f>IFERROR(__xludf.DUMMYFUNCTION("""COMPUTED_VALUE"""),"")</f>
        <v/>
      </c>
      <c r="AC12572" s="16" t="str">
        <f>IFERROR(__xludf.DUMMYFUNCTION("""COMPUTED_VALUE"""),"")</f>
        <v/>
      </c>
    </row>
    <row r="12573">
      <c r="A12573" s="16" t="s">
        <v>87</v>
      </c>
      <c r="E12573" s="16" t="str">
        <f>IFERROR(__xludf.DUMMYFUNCTION("""COMPUTED_VALUE"""),"")</f>
        <v/>
      </c>
      <c r="G12573" s="18"/>
      <c r="H12573" s="16" t="s">
        <v>87</v>
      </c>
      <c r="I12573" s="16" t="s">
        <v>87</v>
      </c>
      <c r="J12573" s="19"/>
      <c r="L12573" s="16" t="str">
        <f>IFERROR(__xludf.DUMMYFUNCTION("""COMPUTED_VALUE"""),"")</f>
        <v/>
      </c>
      <c r="M12573" s="16" t="str">
        <f>IFERROR(__xludf.DUMMYFUNCTION("""COMPUTED_VALUE"""),"")</f>
        <v/>
      </c>
      <c r="U12573" s="16" t="s">
        <v>87</v>
      </c>
      <c r="V12573" s="16" t="str">
        <f>IFERROR(__xludf.DUMMYFUNCTION("""COMPUTED_VALUE"""),"")</f>
        <v/>
      </c>
      <c r="W12573" s="16" t="str">
        <f>IFERROR(__xludf.DUMMYFUNCTION("""COMPUTED_VALUE"""),"")</f>
        <v/>
      </c>
      <c r="X12573" s="16" t="str">
        <f>IFERROR(__xludf.DUMMYFUNCTION("""COMPUTED_VALUE"""),"")</f>
        <v/>
      </c>
      <c r="AC12573" s="16" t="str">
        <f>IFERROR(__xludf.DUMMYFUNCTION("""COMPUTED_VALUE"""),"")</f>
        <v/>
      </c>
    </row>
    <row r="12574">
      <c r="A12574" s="16" t="s">
        <v>87</v>
      </c>
      <c r="E12574" s="16" t="str">
        <f>IFERROR(__xludf.DUMMYFUNCTION("""COMPUTED_VALUE"""),"")</f>
        <v/>
      </c>
      <c r="G12574" s="18"/>
      <c r="H12574" s="16" t="s">
        <v>87</v>
      </c>
      <c r="I12574" s="16" t="s">
        <v>87</v>
      </c>
      <c r="J12574" s="19"/>
      <c r="L12574" s="16" t="str">
        <f>IFERROR(__xludf.DUMMYFUNCTION("""COMPUTED_VALUE"""),"")</f>
        <v/>
      </c>
      <c r="M12574" s="16" t="str">
        <f>IFERROR(__xludf.DUMMYFUNCTION("""COMPUTED_VALUE"""),"")</f>
        <v/>
      </c>
      <c r="U12574" s="16" t="s">
        <v>87</v>
      </c>
      <c r="V12574" s="16" t="str">
        <f>IFERROR(__xludf.DUMMYFUNCTION("""COMPUTED_VALUE"""),"")</f>
        <v/>
      </c>
      <c r="W12574" s="16" t="str">
        <f>IFERROR(__xludf.DUMMYFUNCTION("""COMPUTED_VALUE"""),"")</f>
        <v/>
      </c>
      <c r="X12574" s="16" t="str">
        <f>IFERROR(__xludf.DUMMYFUNCTION("""COMPUTED_VALUE"""),"")</f>
        <v/>
      </c>
      <c r="AC12574" s="16" t="str">
        <f>IFERROR(__xludf.DUMMYFUNCTION("""COMPUTED_VALUE"""),"")</f>
        <v/>
      </c>
    </row>
    <row r="12575">
      <c r="A12575" s="16" t="s">
        <v>87</v>
      </c>
      <c r="E12575" s="16" t="str">
        <f>IFERROR(__xludf.DUMMYFUNCTION("""COMPUTED_VALUE"""),"")</f>
        <v/>
      </c>
      <c r="G12575" s="18"/>
      <c r="H12575" s="16" t="s">
        <v>87</v>
      </c>
      <c r="I12575" s="16" t="s">
        <v>87</v>
      </c>
      <c r="J12575" s="19"/>
      <c r="L12575" s="16" t="str">
        <f>IFERROR(__xludf.DUMMYFUNCTION("""COMPUTED_VALUE"""),"")</f>
        <v/>
      </c>
      <c r="M12575" s="16" t="str">
        <f>IFERROR(__xludf.DUMMYFUNCTION("""COMPUTED_VALUE"""),"")</f>
        <v/>
      </c>
      <c r="U12575" s="16" t="s">
        <v>87</v>
      </c>
      <c r="V12575" s="16" t="str">
        <f>IFERROR(__xludf.DUMMYFUNCTION("""COMPUTED_VALUE"""),"")</f>
        <v/>
      </c>
      <c r="W12575" s="16" t="str">
        <f>IFERROR(__xludf.DUMMYFUNCTION("""COMPUTED_VALUE"""),"")</f>
        <v/>
      </c>
      <c r="X12575" s="16" t="str">
        <f>IFERROR(__xludf.DUMMYFUNCTION("""COMPUTED_VALUE"""),"")</f>
        <v/>
      </c>
      <c r="AC12575" s="16" t="str">
        <f>IFERROR(__xludf.DUMMYFUNCTION("""COMPUTED_VALUE"""),"")</f>
        <v/>
      </c>
    </row>
    <row r="12576">
      <c r="A12576" s="16" t="s">
        <v>87</v>
      </c>
      <c r="E12576" s="16" t="str">
        <f>IFERROR(__xludf.DUMMYFUNCTION("""COMPUTED_VALUE"""),"")</f>
        <v/>
      </c>
      <c r="G12576" s="18"/>
      <c r="H12576" s="16" t="s">
        <v>87</v>
      </c>
      <c r="I12576" s="16" t="s">
        <v>87</v>
      </c>
      <c r="J12576" s="19"/>
      <c r="L12576" s="16" t="str">
        <f>IFERROR(__xludf.DUMMYFUNCTION("""COMPUTED_VALUE"""),"")</f>
        <v/>
      </c>
      <c r="M12576" s="16" t="str">
        <f>IFERROR(__xludf.DUMMYFUNCTION("""COMPUTED_VALUE"""),"")</f>
        <v/>
      </c>
      <c r="U12576" s="16" t="s">
        <v>87</v>
      </c>
      <c r="V12576" s="16" t="str">
        <f>IFERROR(__xludf.DUMMYFUNCTION("""COMPUTED_VALUE"""),"")</f>
        <v/>
      </c>
      <c r="W12576" s="16" t="str">
        <f>IFERROR(__xludf.DUMMYFUNCTION("""COMPUTED_VALUE"""),"")</f>
        <v/>
      </c>
      <c r="X12576" s="16" t="str">
        <f>IFERROR(__xludf.DUMMYFUNCTION("""COMPUTED_VALUE"""),"")</f>
        <v/>
      </c>
      <c r="AC12576" s="16" t="str">
        <f>IFERROR(__xludf.DUMMYFUNCTION("""COMPUTED_VALUE"""),"")</f>
        <v/>
      </c>
    </row>
    <row r="12577">
      <c r="A12577" s="16" t="s">
        <v>87</v>
      </c>
      <c r="E12577" s="16" t="str">
        <f>IFERROR(__xludf.DUMMYFUNCTION("""COMPUTED_VALUE"""),"")</f>
        <v/>
      </c>
      <c r="G12577" s="18"/>
      <c r="H12577" s="16" t="s">
        <v>87</v>
      </c>
      <c r="I12577" s="16" t="s">
        <v>87</v>
      </c>
      <c r="J12577" s="19"/>
      <c r="L12577" s="16" t="str">
        <f>IFERROR(__xludf.DUMMYFUNCTION("""COMPUTED_VALUE"""),"")</f>
        <v/>
      </c>
      <c r="M12577" s="16" t="str">
        <f>IFERROR(__xludf.DUMMYFUNCTION("""COMPUTED_VALUE"""),"")</f>
        <v/>
      </c>
      <c r="U12577" s="16" t="s">
        <v>87</v>
      </c>
      <c r="V12577" s="16" t="str">
        <f>IFERROR(__xludf.DUMMYFUNCTION("""COMPUTED_VALUE"""),"")</f>
        <v/>
      </c>
      <c r="W12577" s="16" t="str">
        <f>IFERROR(__xludf.DUMMYFUNCTION("""COMPUTED_VALUE"""),"")</f>
        <v/>
      </c>
      <c r="X12577" s="16" t="str">
        <f>IFERROR(__xludf.DUMMYFUNCTION("""COMPUTED_VALUE"""),"")</f>
        <v/>
      </c>
      <c r="AC12577" s="16" t="str">
        <f>IFERROR(__xludf.DUMMYFUNCTION("""COMPUTED_VALUE"""),"")</f>
        <v/>
      </c>
    </row>
    <row r="12578">
      <c r="A12578" s="16" t="s">
        <v>87</v>
      </c>
      <c r="E12578" s="16" t="str">
        <f>IFERROR(__xludf.DUMMYFUNCTION("""COMPUTED_VALUE"""),"")</f>
        <v/>
      </c>
      <c r="G12578" s="18"/>
      <c r="H12578" s="16" t="s">
        <v>87</v>
      </c>
      <c r="I12578" s="16" t="s">
        <v>87</v>
      </c>
      <c r="J12578" s="19"/>
      <c r="L12578" s="16" t="str">
        <f>IFERROR(__xludf.DUMMYFUNCTION("""COMPUTED_VALUE"""),"")</f>
        <v/>
      </c>
      <c r="M12578" s="16" t="str">
        <f>IFERROR(__xludf.DUMMYFUNCTION("""COMPUTED_VALUE"""),"")</f>
        <v/>
      </c>
      <c r="U12578" s="16" t="s">
        <v>87</v>
      </c>
      <c r="V12578" s="16" t="str">
        <f>IFERROR(__xludf.DUMMYFUNCTION("""COMPUTED_VALUE"""),"")</f>
        <v/>
      </c>
      <c r="W12578" s="16" t="str">
        <f>IFERROR(__xludf.DUMMYFUNCTION("""COMPUTED_VALUE"""),"")</f>
        <v/>
      </c>
      <c r="X12578" s="16" t="str">
        <f>IFERROR(__xludf.DUMMYFUNCTION("""COMPUTED_VALUE"""),"")</f>
        <v/>
      </c>
      <c r="AC12578" s="16" t="str">
        <f>IFERROR(__xludf.DUMMYFUNCTION("""COMPUTED_VALUE"""),"")</f>
        <v/>
      </c>
    </row>
    <row r="12579">
      <c r="A12579" s="16" t="s">
        <v>87</v>
      </c>
      <c r="E12579" s="16" t="str">
        <f>IFERROR(__xludf.DUMMYFUNCTION("""COMPUTED_VALUE"""),"")</f>
        <v/>
      </c>
      <c r="G12579" s="18"/>
      <c r="H12579" s="16" t="s">
        <v>87</v>
      </c>
      <c r="I12579" s="16" t="s">
        <v>87</v>
      </c>
      <c r="J12579" s="19"/>
      <c r="L12579" s="16" t="str">
        <f>IFERROR(__xludf.DUMMYFUNCTION("""COMPUTED_VALUE"""),"")</f>
        <v/>
      </c>
      <c r="M12579" s="16" t="str">
        <f>IFERROR(__xludf.DUMMYFUNCTION("""COMPUTED_VALUE"""),"")</f>
        <v/>
      </c>
      <c r="U12579" s="16" t="s">
        <v>87</v>
      </c>
      <c r="V12579" s="16" t="str">
        <f>IFERROR(__xludf.DUMMYFUNCTION("""COMPUTED_VALUE"""),"")</f>
        <v/>
      </c>
      <c r="W12579" s="16" t="str">
        <f>IFERROR(__xludf.DUMMYFUNCTION("""COMPUTED_VALUE"""),"")</f>
        <v/>
      </c>
      <c r="X12579" s="16" t="str">
        <f>IFERROR(__xludf.DUMMYFUNCTION("""COMPUTED_VALUE"""),"")</f>
        <v/>
      </c>
      <c r="AC12579" s="16" t="str">
        <f>IFERROR(__xludf.DUMMYFUNCTION("""COMPUTED_VALUE"""),"")</f>
        <v/>
      </c>
    </row>
    <row r="12580">
      <c r="A12580" s="16" t="s">
        <v>87</v>
      </c>
      <c r="E12580" s="16" t="str">
        <f>IFERROR(__xludf.DUMMYFUNCTION("""COMPUTED_VALUE"""),"")</f>
        <v/>
      </c>
      <c r="G12580" s="18"/>
      <c r="H12580" s="16" t="s">
        <v>87</v>
      </c>
      <c r="I12580" s="16" t="s">
        <v>87</v>
      </c>
      <c r="J12580" s="19"/>
      <c r="L12580" s="16" t="str">
        <f>IFERROR(__xludf.DUMMYFUNCTION("""COMPUTED_VALUE"""),"")</f>
        <v/>
      </c>
      <c r="M12580" s="16" t="str">
        <f>IFERROR(__xludf.DUMMYFUNCTION("""COMPUTED_VALUE"""),"")</f>
        <v/>
      </c>
      <c r="U12580" s="16" t="s">
        <v>87</v>
      </c>
      <c r="V12580" s="16" t="str">
        <f>IFERROR(__xludf.DUMMYFUNCTION("""COMPUTED_VALUE"""),"")</f>
        <v/>
      </c>
      <c r="W12580" s="16" t="str">
        <f>IFERROR(__xludf.DUMMYFUNCTION("""COMPUTED_VALUE"""),"")</f>
        <v/>
      </c>
      <c r="X12580" s="16" t="str">
        <f>IFERROR(__xludf.DUMMYFUNCTION("""COMPUTED_VALUE"""),"")</f>
        <v/>
      </c>
      <c r="AC12580" s="16" t="str">
        <f>IFERROR(__xludf.DUMMYFUNCTION("""COMPUTED_VALUE"""),"")</f>
        <v/>
      </c>
    </row>
    <row r="12581">
      <c r="A12581" s="16" t="s">
        <v>87</v>
      </c>
      <c r="E12581" s="16" t="str">
        <f>IFERROR(__xludf.DUMMYFUNCTION("""COMPUTED_VALUE"""),"")</f>
        <v/>
      </c>
      <c r="G12581" s="18"/>
      <c r="H12581" s="16" t="s">
        <v>87</v>
      </c>
      <c r="I12581" s="16" t="s">
        <v>87</v>
      </c>
      <c r="J12581" s="19"/>
      <c r="L12581" s="16" t="str">
        <f>IFERROR(__xludf.DUMMYFUNCTION("""COMPUTED_VALUE"""),"")</f>
        <v/>
      </c>
      <c r="M12581" s="16" t="str">
        <f>IFERROR(__xludf.DUMMYFUNCTION("""COMPUTED_VALUE"""),"")</f>
        <v/>
      </c>
      <c r="U12581" s="16" t="s">
        <v>87</v>
      </c>
      <c r="V12581" s="16" t="str">
        <f>IFERROR(__xludf.DUMMYFUNCTION("""COMPUTED_VALUE"""),"")</f>
        <v/>
      </c>
      <c r="W12581" s="16" t="str">
        <f>IFERROR(__xludf.DUMMYFUNCTION("""COMPUTED_VALUE"""),"")</f>
        <v/>
      </c>
      <c r="X12581" s="16" t="str">
        <f>IFERROR(__xludf.DUMMYFUNCTION("""COMPUTED_VALUE"""),"")</f>
        <v/>
      </c>
      <c r="AC12581" s="16" t="str">
        <f>IFERROR(__xludf.DUMMYFUNCTION("""COMPUTED_VALUE"""),"")</f>
        <v/>
      </c>
    </row>
    <row r="12582">
      <c r="A12582" s="16" t="s">
        <v>87</v>
      </c>
      <c r="E12582" s="16" t="str">
        <f>IFERROR(__xludf.DUMMYFUNCTION("""COMPUTED_VALUE"""),"")</f>
        <v/>
      </c>
      <c r="G12582" s="18"/>
      <c r="H12582" s="16" t="s">
        <v>87</v>
      </c>
      <c r="I12582" s="16" t="s">
        <v>87</v>
      </c>
      <c r="J12582" s="19"/>
      <c r="L12582" s="16" t="str">
        <f>IFERROR(__xludf.DUMMYFUNCTION("""COMPUTED_VALUE"""),"")</f>
        <v/>
      </c>
      <c r="M12582" s="16" t="str">
        <f>IFERROR(__xludf.DUMMYFUNCTION("""COMPUTED_VALUE"""),"")</f>
        <v/>
      </c>
      <c r="U12582" s="16" t="s">
        <v>87</v>
      </c>
      <c r="V12582" s="16" t="str">
        <f>IFERROR(__xludf.DUMMYFUNCTION("""COMPUTED_VALUE"""),"")</f>
        <v/>
      </c>
      <c r="W12582" s="16" t="str">
        <f>IFERROR(__xludf.DUMMYFUNCTION("""COMPUTED_VALUE"""),"")</f>
        <v/>
      </c>
      <c r="X12582" s="16" t="str">
        <f>IFERROR(__xludf.DUMMYFUNCTION("""COMPUTED_VALUE"""),"")</f>
        <v/>
      </c>
      <c r="AC12582" s="16" t="str">
        <f>IFERROR(__xludf.DUMMYFUNCTION("""COMPUTED_VALUE"""),"")</f>
        <v/>
      </c>
    </row>
    <row r="12583">
      <c r="A12583" s="16" t="s">
        <v>87</v>
      </c>
      <c r="E12583" s="16" t="str">
        <f>IFERROR(__xludf.DUMMYFUNCTION("""COMPUTED_VALUE"""),"")</f>
        <v/>
      </c>
      <c r="G12583" s="18"/>
      <c r="H12583" s="16" t="s">
        <v>87</v>
      </c>
      <c r="I12583" s="16" t="s">
        <v>87</v>
      </c>
      <c r="J12583" s="19"/>
      <c r="L12583" s="16" t="str">
        <f>IFERROR(__xludf.DUMMYFUNCTION("""COMPUTED_VALUE"""),"")</f>
        <v/>
      </c>
      <c r="M12583" s="16" t="str">
        <f>IFERROR(__xludf.DUMMYFUNCTION("""COMPUTED_VALUE"""),"")</f>
        <v/>
      </c>
      <c r="U12583" s="16" t="s">
        <v>87</v>
      </c>
      <c r="V12583" s="16" t="str">
        <f>IFERROR(__xludf.DUMMYFUNCTION("""COMPUTED_VALUE"""),"")</f>
        <v/>
      </c>
      <c r="W12583" s="16" t="str">
        <f>IFERROR(__xludf.DUMMYFUNCTION("""COMPUTED_VALUE"""),"")</f>
        <v/>
      </c>
      <c r="X12583" s="16" t="str">
        <f>IFERROR(__xludf.DUMMYFUNCTION("""COMPUTED_VALUE"""),"")</f>
        <v/>
      </c>
      <c r="AC12583" s="16" t="str">
        <f>IFERROR(__xludf.DUMMYFUNCTION("""COMPUTED_VALUE"""),"")</f>
        <v/>
      </c>
    </row>
    <row r="12584">
      <c r="A12584" s="16" t="s">
        <v>87</v>
      </c>
      <c r="E12584" s="16" t="str">
        <f>IFERROR(__xludf.DUMMYFUNCTION("""COMPUTED_VALUE"""),"")</f>
        <v/>
      </c>
      <c r="G12584" s="18"/>
      <c r="H12584" s="16" t="s">
        <v>87</v>
      </c>
      <c r="I12584" s="16" t="s">
        <v>87</v>
      </c>
      <c r="J12584" s="19"/>
      <c r="L12584" s="16" t="str">
        <f>IFERROR(__xludf.DUMMYFUNCTION("""COMPUTED_VALUE"""),"")</f>
        <v/>
      </c>
      <c r="M12584" s="16" t="str">
        <f>IFERROR(__xludf.DUMMYFUNCTION("""COMPUTED_VALUE"""),"")</f>
        <v/>
      </c>
      <c r="U12584" s="16" t="s">
        <v>87</v>
      </c>
      <c r="V12584" s="16" t="str">
        <f>IFERROR(__xludf.DUMMYFUNCTION("""COMPUTED_VALUE"""),"")</f>
        <v/>
      </c>
      <c r="W12584" s="16" t="str">
        <f>IFERROR(__xludf.DUMMYFUNCTION("""COMPUTED_VALUE"""),"")</f>
        <v/>
      </c>
      <c r="X12584" s="16" t="str">
        <f>IFERROR(__xludf.DUMMYFUNCTION("""COMPUTED_VALUE"""),"")</f>
        <v/>
      </c>
      <c r="AC12584" s="16" t="str">
        <f>IFERROR(__xludf.DUMMYFUNCTION("""COMPUTED_VALUE"""),"")</f>
        <v/>
      </c>
    </row>
    <row r="12585">
      <c r="A12585" s="16" t="s">
        <v>87</v>
      </c>
      <c r="E12585" s="16" t="str">
        <f>IFERROR(__xludf.DUMMYFUNCTION("""COMPUTED_VALUE"""),"")</f>
        <v/>
      </c>
      <c r="G12585" s="18"/>
      <c r="H12585" s="16" t="s">
        <v>87</v>
      </c>
      <c r="I12585" s="16" t="s">
        <v>87</v>
      </c>
      <c r="J12585" s="19"/>
      <c r="L12585" s="16" t="str">
        <f>IFERROR(__xludf.DUMMYFUNCTION("""COMPUTED_VALUE"""),"")</f>
        <v/>
      </c>
      <c r="M12585" s="16" t="str">
        <f>IFERROR(__xludf.DUMMYFUNCTION("""COMPUTED_VALUE"""),"")</f>
        <v/>
      </c>
      <c r="U12585" s="16" t="s">
        <v>87</v>
      </c>
      <c r="V12585" s="16" t="str">
        <f>IFERROR(__xludf.DUMMYFUNCTION("""COMPUTED_VALUE"""),"")</f>
        <v/>
      </c>
      <c r="W12585" s="16" t="str">
        <f>IFERROR(__xludf.DUMMYFUNCTION("""COMPUTED_VALUE"""),"")</f>
        <v/>
      </c>
      <c r="X12585" s="16" t="str">
        <f>IFERROR(__xludf.DUMMYFUNCTION("""COMPUTED_VALUE"""),"")</f>
        <v/>
      </c>
      <c r="AC12585" s="16" t="str">
        <f>IFERROR(__xludf.DUMMYFUNCTION("""COMPUTED_VALUE"""),"")</f>
        <v/>
      </c>
    </row>
    <row r="12586">
      <c r="A12586" s="16" t="s">
        <v>87</v>
      </c>
      <c r="E12586" s="16" t="str">
        <f>IFERROR(__xludf.DUMMYFUNCTION("""COMPUTED_VALUE"""),"")</f>
        <v/>
      </c>
      <c r="G12586" s="18"/>
      <c r="H12586" s="16" t="s">
        <v>87</v>
      </c>
      <c r="I12586" s="16" t="s">
        <v>87</v>
      </c>
      <c r="J12586" s="19"/>
      <c r="L12586" s="16" t="str">
        <f>IFERROR(__xludf.DUMMYFUNCTION("""COMPUTED_VALUE"""),"")</f>
        <v/>
      </c>
      <c r="M12586" s="16" t="str">
        <f>IFERROR(__xludf.DUMMYFUNCTION("""COMPUTED_VALUE"""),"")</f>
        <v/>
      </c>
      <c r="U12586" s="16" t="s">
        <v>87</v>
      </c>
      <c r="V12586" s="16" t="str">
        <f>IFERROR(__xludf.DUMMYFUNCTION("""COMPUTED_VALUE"""),"")</f>
        <v/>
      </c>
      <c r="W12586" s="16" t="str">
        <f>IFERROR(__xludf.DUMMYFUNCTION("""COMPUTED_VALUE"""),"")</f>
        <v/>
      </c>
      <c r="X12586" s="16" t="str">
        <f>IFERROR(__xludf.DUMMYFUNCTION("""COMPUTED_VALUE"""),"")</f>
        <v/>
      </c>
      <c r="AC12586" s="16" t="str">
        <f>IFERROR(__xludf.DUMMYFUNCTION("""COMPUTED_VALUE"""),"")</f>
        <v/>
      </c>
    </row>
    <row r="12587">
      <c r="A12587" s="16" t="s">
        <v>87</v>
      </c>
      <c r="E12587" s="16" t="str">
        <f>IFERROR(__xludf.DUMMYFUNCTION("""COMPUTED_VALUE"""),"")</f>
        <v/>
      </c>
      <c r="G12587" s="18"/>
      <c r="H12587" s="16" t="s">
        <v>87</v>
      </c>
      <c r="I12587" s="16" t="s">
        <v>87</v>
      </c>
      <c r="J12587" s="19"/>
      <c r="L12587" s="16" t="str">
        <f>IFERROR(__xludf.DUMMYFUNCTION("""COMPUTED_VALUE"""),"")</f>
        <v/>
      </c>
      <c r="M12587" s="16" t="str">
        <f>IFERROR(__xludf.DUMMYFUNCTION("""COMPUTED_VALUE"""),"")</f>
        <v/>
      </c>
      <c r="U12587" s="16" t="s">
        <v>87</v>
      </c>
      <c r="V12587" s="16" t="str">
        <f>IFERROR(__xludf.DUMMYFUNCTION("""COMPUTED_VALUE"""),"")</f>
        <v/>
      </c>
      <c r="W12587" s="16" t="str">
        <f>IFERROR(__xludf.DUMMYFUNCTION("""COMPUTED_VALUE"""),"")</f>
        <v/>
      </c>
      <c r="X12587" s="16" t="str">
        <f>IFERROR(__xludf.DUMMYFUNCTION("""COMPUTED_VALUE"""),"")</f>
        <v/>
      </c>
      <c r="AC12587" s="16" t="str">
        <f>IFERROR(__xludf.DUMMYFUNCTION("""COMPUTED_VALUE"""),"")</f>
        <v/>
      </c>
    </row>
    <row r="12588">
      <c r="A12588" s="16" t="s">
        <v>87</v>
      </c>
      <c r="E12588" s="16" t="str">
        <f>IFERROR(__xludf.DUMMYFUNCTION("""COMPUTED_VALUE"""),"")</f>
        <v/>
      </c>
      <c r="G12588" s="18"/>
      <c r="H12588" s="16" t="s">
        <v>87</v>
      </c>
      <c r="I12588" s="16" t="s">
        <v>87</v>
      </c>
      <c r="J12588" s="19"/>
      <c r="L12588" s="16" t="str">
        <f>IFERROR(__xludf.DUMMYFUNCTION("""COMPUTED_VALUE"""),"")</f>
        <v/>
      </c>
      <c r="M12588" s="16" t="str">
        <f>IFERROR(__xludf.DUMMYFUNCTION("""COMPUTED_VALUE"""),"")</f>
        <v/>
      </c>
      <c r="U12588" s="16" t="s">
        <v>87</v>
      </c>
      <c r="V12588" s="16" t="str">
        <f>IFERROR(__xludf.DUMMYFUNCTION("""COMPUTED_VALUE"""),"")</f>
        <v/>
      </c>
      <c r="W12588" s="16" t="str">
        <f>IFERROR(__xludf.DUMMYFUNCTION("""COMPUTED_VALUE"""),"")</f>
        <v/>
      </c>
      <c r="X12588" s="16" t="str">
        <f>IFERROR(__xludf.DUMMYFUNCTION("""COMPUTED_VALUE"""),"")</f>
        <v/>
      </c>
      <c r="AC12588" s="16" t="str">
        <f>IFERROR(__xludf.DUMMYFUNCTION("""COMPUTED_VALUE"""),"")</f>
        <v/>
      </c>
    </row>
    <row r="12589">
      <c r="A12589" s="16" t="s">
        <v>87</v>
      </c>
      <c r="E12589" s="16" t="str">
        <f>IFERROR(__xludf.DUMMYFUNCTION("""COMPUTED_VALUE"""),"")</f>
        <v/>
      </c>
      <c r="G12589" s="18"/>
      <c r="H12589" s="16" t="s">
        <v>87</v>
      </c>
      <c r="I12589" s="16" t="s">
        <v>87</v>
      </c>
      <c r="J12589" s="19"/>
      <c r="L12589" s="16" t="str">
        <f>IFERROR(__xludf.DUMMYFUNCTION("""COMPUTED_VALUE"""),"")</f>
        <v/>
      </c>
      <c r="M12589" s="16" t="str">
        <f>IFERROR(__xludf.DUMMYFUNCTION("""COMPUTED_VALUE"""),"")</f>
        <v/>
      </c>
      <c r="U12589" s="16" t="s">
        <v>87</v>
      </c>
      <c r="V12589" s="16" t="str">
        <f>IFERROR(__xludf.DUMMYFUNCTION("""COMPUTED_VALUE"""),"")</f>
        <v/>
      </c>
      <c r="W12589" s="16" t="str">
        <f>IFERROR(__xludf.DUMMYFUNCTION("""COMPUTED_VALUE"""),"")</f>
        <v/>
      </c>
      <c r="X12589" s="16" t="str">
        <f>IFERROR(__xludf.DUMMYFUNCTION("""COMPUTED_VALUE"""),"")</f>
        <v/>
      </c>
      <c r="AC12589" s="16" t="str">
        <f>IFERROR(__xludf.DUMMYFUNCTION("""COMPUTED_VALUE"""),"")</f>
        <v/>
      </c>
    </row>
    <row r="12590">
      <c r="A12590" s="16" t="s">
        <v>87</v>
      </c>
      <c r="E12590" s="16" t="str">
        <f>IFERROR(__xludf.DUMMYFUNCTION("""COMPUTED_VALUE"""),"")</f>
        <v/>
      </c>
      <c r="G12590" s="18"/>
      <c r="H12590" s="16" t="s">
        <v>87</v>
      </c>
      <c r="I12590" s="16" t="s">
        <v>87</v>
      </c>
      <c r="J12590" s="19"/>
      <c r="L12590" s="16" t="str">
        <f>IFERROR(__xludf.DUMMYFUNCTION("""COMPUTED_VALUE"""),"")</f>
        <v/>
      </c>
      <c r="M12590" s="16" t="str">
        <f>IFERROR(__xludf.DUMMYFUNCTION("""COMPUTED_VALUE"""),"")</f>
        <v/>
      </c>
      <c r="U12590" s="16" t="s">
        <v>87</v>
      </c>
      <c r="V12590" s="16" t="str">
        <f>IFERROR(__xludf.DUMMYFUNCTION("""COMPUTED_VALUE"""),"")</f>
        <v/>
      </c>
      <c r="W12590" s="16" t="str">
        <f>IFERROR(__xludf.DUMMYFUNCTION("""COMPUTED_VALUE"""),"")</f>
        <v/>
      </c>
      <c r="X12590" s="16" t="str">
        <f>IFERROR(__xludf.DUMMYFUNCTION("""COMPUTED_VALUE"""),"")</f>
        <v/>
      </c>
      <c r="AC12590" s="16" t="str">
        <f>IFERROR(__xludf.DUMMYFUNCTION("""COMPUTED_VALUE"""),"")</f>
        <v/>
      </c>
    </row>
    <row r="12591">
      <c r="A12591" s="16" t="s">
        <v>87</v>
      </c>
      <c r="E12591" s="16" t="str">
        <f>IFERROR(__xludf.DUMMYFUNCTION("""COMPUTED_VALUE"""),"")</f>
        <v/>
      </c>
      <c r="G12591" s="18"/>
      <c r="H12591" s="16" t="s">
        <v>87</v>
      </c>
      <c r="I12591" s="16" t="s">
        <v>87</v>
      </c>
      <c r="J12591" s="19"/>
      <c r="L12591" s="16" t="str">
        <f>IFERROR(__xludf.DUMMYFUNCTION("""COMPUTED_VALUE"""),"")</f>
        <v/>
      </c>
      <c r="M12591" s="16" t="str">
        <f>IFERROR(__xludf.DUMMYFUNCTION("""COMPUTED_VALUE"""),"")</f>
        <v/>
      </c>
      <c r="U12591" s="16" t="s">
        <v>87</v>
      </c>
      <c r="V12591" s="16" t="str">
        <f>IFERROR(__xludf.DUMMYFUNCTION("""COMPUTED_VALUE"""),"")</f>
        <v/>
      </c>
      <c r="W12591" s="16" t="str">
        <f>IFERROR(__xludf.DUMMYFUNCTION("""COMPUTED_VALUE"""),"")</f>
        <v/>
      </c>
      <c r="X12591" s="16" t="str">
        <f>IFERROR(__xludf.DUMMYFUNCTION("""COMPUTED_VALUE"""),"")</f>
        <v/>
      </c>
      <c r="AC12591" s="16" t="str">
        <f>IFERROR(__xludf.DUMMYFUNCTION("""COMPUTED_VALUE"""),"")</f>
        <v/>
      </c>
    </row>
    <row r="12592">
      <c r="A12592" s="16" t="s">
        <v>87</v>
      </c>
      <c r="E12592" s="16" t="str">
        <f>IFERROR(__xludf.DUMMYFUNCTION("""COMPUTED_VALUE"""),"")</f>
        <v/>
      </c>
      <c r="G12592" s="18"/>
      <c r="H12592" s="16" t="s">
        <v>87</v>
      </c>
      <c r="I12592" s="16" t="s">
        <v>87</v>
      </c>
      <c r="J12592" s="19"/>
      <c r="L12592" s="16" t="str">
        <f>IFERROR(__xludf.DUMMYFUNCTION("""COMPUTED_VALUE"""),"")</f>
        <v/>
      </c>
      <c r="M12592" s="16" t="str">
        <f>IFERROR(__xludf.DUMMYFUNCTION("""COMPUTED_VALUE"""),"")</f>
        <v/>
      </c>
      <c r="U12592" s="16" t="s">
        <v>87</v>
      </c>
      <c r="V12592" s="16" t="str">
        <f>IFERROR(__xludf.DUMMYFUNCTION("""COMPUTED_VALUE"""),"")</f>
        <v/>
      </c>
      <c r="W12592" s="16" t="str">
        <f>IFERROR(__xludf.DUMMYFUNCTION("""COMPUTED_VALUE"""),"")</f>
        <v/>
      </c>
      <c r="X12592" s="16" t="str">
        <f>IFERROR(__xludf.DUMMYFUNCTION("""COMPUTED_VALUE"""),"")</f>
        <v/>
      </c>
      <c r="AC12592" s="16" t="str">
        <f>IFERROR(__xludf.DUMMYFUNCTION("""COMPUTED_VALUE"""),"")</f>
        <v/>
      </c>
    </row>
    <row r="12593">
      <c r="A12593" s="16" t="s">
        <v>87</v>
      </c>
      <c r="E12593" s="16" t="str">
        <f>IFERROR(__xludf.DUMMYFUNCTION("""COMPUTED_VALUE"""),"")</f>
        <v/>
      </c>
      <c r="G12593" s="18"/>
      <c r="H12593" s="16" t="s">
        <v>87</v>
      </c>
      <c r="I12593" s="16" t="s">
        <v>87</v>
      </c>
      <c r="J12593" s="19"/>
      <c r="L12593" s="16" t="str">
        <f>IFERROR(__xludf.DUMMYFUNCTION("""COMPUTED_VALUE"""),"")</f>
        <v/>
      </c>
      <c r="M12593" s="16" t="str">
        <f>IFERROR(__xludf.DUMMYFUNCTION("""COMPUTED_VALUE"""),"")</f>
        <v/>
      </c>
      <c r="U12593" s="16" t="s">
        <v>87</v>
      </c>
      <c r="V12593" s="16" t="str">
        <f>IFERROR(__xludf.DUMMYFUNCTION("""COMPUTED_VALUE"""),"")</f>
        <v/>
      </c>
      <c r="W12593" s="16" t="str">
        <f>IFERROR(__xludf.DUMMYFUNCTION("""COMPUTED_VALUE"""),"")</f>
        <v/>
      </c>
      <c r="X12593" s="16" t="str">
        <f>IFERROR(__xludf.DUMMYFUNCTION("""COMPUTED_VALUE"""),"")</f>
        <v/>
      </c>
      <c r="AC12593" s="16" t="str">
        <f>IFERROR(__xludf.DUMMYFUNCTION("""COMPUTED_VALUE"""),"")</f>
        <v/>
      </c>
    </row>
    <row r="12594">
      <c r="A12594" s="16" t="s">
        <v>87</v>
      </c>
      <c r="E12594" s="16" t="str">
        <f>IFERROR(__xludf.DUMMYFUNCTION("""COMPUTED_VALUE"""),"")</f>
        <v/>
      </c>
      <c r="G12594" s="18"/>
      <c r="H12594" s="16" t="s">
        <v>87</v>
      </c>
      <c r="I12594" s="16" t="s">
        <v>87</v>
      </c>
      <c r="J12594" s="19"/>
      <c r="L12594" s="16" t="str">
        <f>IFERROR(__xludf.DUMMYFUNCTION("""COMPUTED_VALUE"""),"")</f>
        <v/>
      </c>
      <c r="M12594" s="16" t="str">
        <f>IFERROR(__xludf.DUMMYFUNCTION("""COMPUTED_VALUE"""),"")</f>
        <v/>
      </c>
      <c r="U12594" s="16" t="s">
        <v>87</v>
      </c>
      <c r="V12594" s="16" t="str">
        <f>IFERROR(__xludf.DUMMYFUNCTION("""COMPUTED_VALUE"""),"")</f>
        <v/>
      </c>
      <c r="W12594" s="16" t="str">
        <f>IFERROR(__xludf.DUMMYFUNCTION("""COMPUTED_VALUE"""),"")</f>
        <v/>
      </c>
      <c r="X12594" s="16" t="str">
        <f>IFERROR(__xludf.DUMMYFUNCTION("""COMPUTED_VALUE"""),"")</f>
        <v/>
      </c>
      <c r="AC12594" s="16" t="str">
        <f>IFERROR(__xludf.DUMMYFUNCTION("""COMPUTED_VALUE"""),"")</f>
        <v/>
      </c>
    </row>
    <row r="12595">
      <c r="A12595" s="16" t="s">
        <v>87</v>
      </c>
      <c r="E12595" s="16" t="str">
        <f>IFERROR(__xludf.DUMMYFUNCTION("""COMPUTED_VALUE"""),"")</f>
        <v/>
      </c>
      <c r="G12595" s="18"/>
      <c r="H12595" s="16" t="s">
        <v>87</v>
      </c>
      <c r="I12595" s="16" t="s">
        <v>87</v>
      </c>
      <c r="J12595" s="19"/>
      <c r="L12595" s="16" t="str">
        <f>IFERROR(__xludf.DUMMYFUNCTION("""COMPUTED_VALUE"""),"")</f>
        <v/>
      </c>
      <c r="M12595" s="16" t="str">
        <f>IFERROR(__xludf.DUMMYFUNCTION("""COMPUTED_VALUE"""),"")</f>
        <v/>
      </c>
      <c r="U12595" s="16" t="s">
        <v>87</v>
      </c>
      <c r="V12595" s="16" t="str">
        <f>IFERROR(__xludf.DUMMYFUNCTION("""COMPUTED_VALUE"""),"")</f>
        <v/>
      </c>
      <c r="W12595" s="16" t="str">
        <f>IFERROR(__xludf.DUMMYFUNCTION("""COMPUTED_VALUE"""),"")</f>
        <v/>
      </c>
      <c r="X12595" s="16" t="str">
        <f>IFERROR(__xludf.DUMMYFUNCTION("""COMPUTED_VALUE"""),"")</f>
        <v/>
      </c>
      <c r="AC12595" s="16" t="str">
        <f>IFERROR(__xludf.DUMMYFUNCTION("""COMPUTED_VALUE"""),"")</f>
        <v/>
      </c>
    </row>
    <row r="12596">
      <c r="A12596" s="16" t="s">
        <v>87</v>
      </c>
      <c r="E12596" s="16" t="str">
        <f>IFERROR(__xludf.DUMMYFUNCTION("""COMPUTED_VALUE"""),"")</f>
        <v/>
      </c>
      <c r="G12596" s="18"/>
      <c r="H12596" s="16" t="s">
        <v>87</v>
      </c>
      <c r="I12596" s="16" t="s">
        <v>87</v>
      </c>
      <c r="J12596" s="19"/>
      <c r="L12596" s="16" t="str">
        <f>IFERROR(__xludf.DUMMYFUNCTION("""COMPUTED_VALUE"""),"")</f>
        <v/>
      </c>
      <c r="M12596" s="16" t="str">
        <f>IFERROR(__xludf.DUMMYFUNCTION("""COMPUTED_VALUE"""),"")</f>
        <v/>
      </c>
      <c r="U12596" s="16" t="s">
        <v>87</v>
      </c>
      <c r="V12596" s="16" t="str">
        <f>IFERROR(__xludf.DUMMYFUNCTION("""COMPUTED_VALUE"""),"")</f>
        <v/>
      </c>
      <c r="W12596" s="16" t="str">
        <f>IFERROR(__xludf.DUMMYFUNCTION("""COMPUTED_VALUE"""),"")</f>
        <v/>
      </c>
      <c r="X12596" s="16" t="str">
        <f>IFERROR(__xludf.DUMMYFUNCTION("""COMPUTED_VALUE"""),"")</f>
        <v/>
      </c>
      <c r="AC12596" s="16" t="str">
        <f>IFERROR(__xludf.DUMMYFUNCTION("""COMPUTED_VALUE"""),"")</f>
        <v/>
      </c>
    </row>
    <row r="12597">
      <c r="A12597" s="16" t="s">
        <v>87</v>
      </c>
      <c r="E12597" s="16" t="str">
        <f>IFERROR(__xludf.DUMMYFUNCTION("""COMPUTED_VALUE"""),"")</f>
        <v/>
      </c>
      <c r="G12597" s="18"/>
      <c r="H12597" s="16" t="s">
        <v>87</v>
      </c>
      <c r="I12597" s="16" t="s">
        <v>87</v>
      </c>
      <c r="J12597" s="19"/>
      <c r="L12597" s="16" t="str">
        <f>IFERROR(__xludf.DUMMYFUNCTION("""COMPUTED_VALUE"""),"")</f>
        <v/>
      </c>
      <c r="M12597" s="16" t="str">
        <f>IFERROR(__xludf.DUMMYFUNCTION("""COMPUTED_VALUE"""),"")</f>
        <v/>
      </c>
      <c r="U12597" s="16" t="s">
        <v>87</v>
      </c>
      <c r="V12597" s="16" t="str">
        <f>IFERROR(__xludf.DUMMYFUNCTION("""COMPUTED_VALUE"""),"")</f>
        <v/>
      </c>
      <c r="W12597" s="16" t="str">
        <f>IFERROR(__xludf.DUMMYFUNCTION("""COMPUTED_VALUE"""),"")</f>
        <v/>
      </c>
      <c r="X12597" s="16" t="str">
        <f>IFERROR(__xludf.DUMMYFUNCTION("""COMPUTED_VALUE"""),"")</f>
        <v/>
      </c>
      <c r="AC12597" s="16" t="str">
        <f>IFERROR(__xludf.DUMMYFUNCTION("""COMPUTED_VALUE"""),"")</f>
        <v/>
      </c>
    </row>
    <row r="12598">
      <c r="A12598" s="16" t="s">
        <v>87</v>
      </c>
      <c r="E12598" s="16" t="str">
        <f>IFERROR(__xludf.DUMMYFUNCTION("""COMPUTED_VALUE"""),"")</f>
        <v/>
      </c>
      <c r="G12598" s="18"/>
      <c r="H12598" s="16" t="s">
        <v>87</v>
      </c>
      <c r="I12598" s="16" t="s">
        <v>87</v>
      </c>
      <c r="J12598" s="19"/>
      <c r="L12598" s="16" t="str">
        <f>IFERROR(__xludf.DUMMYFUNCTION("""COMPUTED_VALUE"""),"")</f>
        <v/>
      </c>
      <c r="M12598" s="16" t="str">
        <f>IFERROR(__xludf.DUMMYFUNCTION("""COMPUTED_VALUE"""),"")</f>
        <v/>
      </c>
      <c r="U12598" s="16" t="s">
        <v>87</v>
      </c>
      <c r="V12598" s="16" t="str">
        <f>IFERROR(__xludf.DUMMYFUNCTION("""COMPUTED_VALUE"""),"")</f>
        <v/>
      </c>
      <c r="W12598" s="16" t="str">
        <f>IFERROR(__xludf.DUMMYFUNCTION("""COMPUTED_VALUE"""),"")</f>
        <v/>
      </c>
      <c r="X12598" s="16" t="str">
        <f>IFERROR(__xludf.DUMMYFUNCTION("""COMPUTED_VALUE"""),"")</f>
        <v/>
      </c>
      <c r="AC12598" s="16" t="str">
        <f>IFERROR(__xludf.DUMMYFUNCTION("""COMPUTED_VALUE"""),"")</f>
        <v/>
      </c>
    </row>
    <row r="12599">
      <c r="A12599" s="16" t="s">
        <v>87</v>
      </c>
      <c r="E12599" s="16" t="str">
        <f>IFERROR(__xludf.DUMMYFUNCTION("""COMPUTED_VALUE"""),"")</f>
        <v/>
      </c>
      <c r="G12599" s="18"/>
      <c r="H12599" s="16" t="s">
        <v>87</v>
      </c>
      <c r="I12599" s="16" t="s">
        <v>87</v>
      </c>
      <c r="J12599" s="19"/>
      <c r="L12599" s="16" t="str">
        <f>IFERROR(__xludf.DUMMYFUNCTION("""COMPUTED_VALUE"""),"")</f>
        <v/>
      </c>
      <c r="M12599" s="16" t="str">
        <f>IFERROR(__xludf.DUMMYFUNCTION("""COMPUTED_VALUE"""),"")</f>
        <v/>
      </c>
      <c r="U12599" s="16" t="s">
        <v>87</v>
      </c>
      <c r="V12599" s="16" t="str">
        <f>IFERROR(__xludf.DUMMYFUNCTION("""COMPUTED_VALUE"""),"")</f>
        <v/>
      </c>
      <c r="W12599" s="16" t="str">
        <f>IFERROR(__xludf.DUMMYFUNCTION("""COMPUTED_VALUE"""),"")</f>
        <v/>
      </c>
      <c r="X12599" s="16" t="str">
        <f>IFERROR(__xludf.DUMMYFUNCTION("""COMPUTED_VALUE"""),"")</f>
        <v/>
      </c>
      <c r="AC12599" s="16" t="str">
        <f>IFERROR(__xludf.DUMMYFUNCTION("""COMPUTED_VALUE"""),"")</f>
        <v/>
      </c>
    </row>
    <row r="12600">
      <c r="A12600" s="16" t="s">
        <v>87</v>
      </c>
      <c r="E12600" s="16" t="str">
        <f>IFERROR(__xludf.DUMMYFUNCTION("""COMPUTED_VALUE"""),"")</f>
        <v/>
      </c>
      <c r="G12600" s="18"/>
      <c r="H12600" s="16" t="s">
        <v>87</v>
      </c>
      <c r="I12600" s="16" t="s">
        <v>87</v>
      </c>
      <c r="J12600" s="19"/>
      <c r="L12600" s="16" t="str">
        <f>IFERROR(__xludf.DUMMYFUNCTION("""COMPUTED_VALUE"""),"")</f>
        <v/>
      </c>
      <c r="M12600" s="16" t="str">
        <f>IFERROR(__xludf.DUMMYFUNCTION("""COMPUTED_VALUE"""),"")</f>
        <v/>
      </c>
      <c r="U12600" s="16" t="s">
        <v>87</v>
      </c>
      <c r="V12600" s="16" t="str">
        <f>IFERROR(__xludf.DUMMYFUNCTION("""COMPUTED_VALUE"""),"")</f>
        <v/>
      </c>
      <c r="W12600" s="16" t="str">
        <f>IFERROR(__xludf.DUMMYFUNCTION("""COMPUTED_VALUE"""),"")</f>
        <v/>
      </c>
      <c r="X12600" s="16" t="str">
        <f>IFERROR(__xludf.DUMMYFUNCTION("""COMPUTED_VALUE"""),"")</f>
        <v/>
      </c>
      <c r="AC12600" s="16" t="str">
        <f>IFERROR(__xludf.DUMMYFUNCTION("""COMPUTED_VALUE"""),"")</f>
        <v/>
      </c>
    </row>
    <row r="12601">
      <c r="A12601" s="16" t="s">
        <v>87</v>
      </c>
      <c r="E12601" s="16" t="str">
        <f>IFERROR(__xludf.DUMMYFUNCTION("""COMPUTED_VALUE"""),"")</f>
        <v/>
      </c>
      <c r="G12601" s="18"/>
      <c r="H12601" s="16" t="s">
        <v>87</v>
      </c>
      <c r="I12601" s="16" t="s">
        <v>87</v>
      </c>
      <c r="J12601" s="19"/>
      <c r="L12601" s="16" t="str">
        <f>IFERROR(__xludf.DUMMYFUNCTION("""COMPUTED_VALUE"""),"")</f>
        <v/>
      </c>
      <c r="M12601" s="16" t="str">
        <f>IFERROR(__xludf.DUMMYFUNCTION("""COMPUTED_VALUE"""),"")</f>
        <v/>
      </c>
      <c r="U12601" s="16" t="s">
        <v>87</v>
      </c>
      <c r="V12601" s="16" t="str">
        <f>IFERROR(__xludf.DUMMYFUNCTION("""COMPUTED_VALUE"""),"")</f>
        <v/>
      </c>
      <c r="W12601" s="16" t="str">
        <f>IFERROR(__xludf.DUMMYFUNCTION("""COMPUTED_VALUE"""),"")</f>
        <v/>
      </c>
      <c r="X12601" s="16" t="str">
        <f>IFERROR(__xludf.DUMMYFUNCTION("""COMPUTED_VALUE"""),"")</f>
        <v/>
      </c>
      <c r="AC12601" s="16" t="str">
        <f>IFERROR(__xludf.DUMMYFUNCTION("""COMPUTED_VALUE"""),"")</f>
        <v/>
      </c>
    </row>
    <row r="12602">
      <c r="A12602" s="16" t="s">
        <v>87</v>
      </c>
      <c r="E12602" s="16" t="str">
        <f>IFERROR(__xludf.DUMMYFUNCTION("""COMPUTED_VALUE"""),"")</f>
        <v/>
      </c>
      <c r="G12602" s="18"/>
      <c r="H12602" s="16" t="s">
        <v>87</v>
      </c>
      <c r="I12602" s="16" t="s">
        <v>87</v>
      </c>
      <c r="J12602" s="19"/>
      <c r="L12602" s="16" t="str">
        <f>IFERROR(__xludf.DUMMYFUNCTION("""COMPUTED_VALUE"""),"")</f>
        <v/>
      </c>
      <c r="M12602" s="16" t="str">
        <f>IFERROR(__xludf.DUMMYFUNCTION("""COMPUTED_VALUE"""),"")</f>
        <v/>
      </c>
      <c r="U12602" s="16" t="s">
        <v>87</v>
      </c>
      <c r="V12602" s="16" t="str">
        <f>IFERROR(__xludf.DUMMYFUNCTION("""COMPUTED_VALUE"""),"")</f>
        <v/>
      </c>
      <c r="W12602" s="16" t="str">
        <f>IFERROR(__xludf.DUMMYFUNCTION("""COMPUTED_VALUE"""),"")</f>
        <v/>
      </c>
      <c r="X12602" s="16" t="str">
        <f>IFERROR(__xludf.DUMMYFUNCTION("""COMPUTED_VALUE"""),"")</f>
        <v/>
      </c>
      <c r="AC12602" s="16" t="str">
        <f>IFERROR(__xludf.DUMMYFUNCTION("""COMPUTED_VALUE"""),"")</f>
        <v/>
      </c>
    </row>
    <row r="12603">
      <c r="A12603" s="16" t="s">
        <v>87</v>
      </c>
      <c r="E12603" s="16" t="str">
        <f>IFERROR(__xludf.DUMMYFUNCTION("""COMPUTED_VALUE"""),"")</f>
        <v/>
      </c>
      <c r="G12603" s="18"/>
      <c r="H12603" s="16" t="s">
        <v>87</v>
      </c>
      <c r="I12603" s="16" t="s">
        <v>87</v>
      </c>
      <c r="J12603" s="19"/>
      <c r="L12603" s="16" t="str">
        <f>IFERROR(__xludf.DUMMYFUNCTION("""COMPUTED_VALUE"""),"")</f>
        <v/>
      </c>
      <c r="M12603" s="16" t="str">
        <f>IFERROR(__xludf.DUMMYFUNCTION("""COMPUTED_VALUE"""),"")</f>
        <v/>
      </c>
      <c r="U12603" s="16" t="s">
        <v>87</v>
      </c>
      <c r="V12603" s="16" t="str">
        <f>IFERROR(__xludf.DUMMYFUNCTION("""COMPUTED_VALUE"""),"")</f>
        <v/>
      </c>
      <c r="W12603" s="16" t="str">
        <f>IFERROR(__xludf.DUMMYFUNCTION("""COMPUTED_VALUE"""),"")</f>
        <v/>
      </c>
      <c r="X12603" s="16" t="str">
        <f>IFERROR(__xludf.DUMMYFUNCTION("""COMPUTED_VALUE"""),"")</f>
        <v/>
      </c>
      <c r="AC12603" s="16" t="str">
        <f>IFERROR(__xludf.DUMMYFUNCTION("""COMPUTED_VALUE"""),"")</f>
        <v/>
      </c>
    </row>
    <row r="12604">
      <c r="A12604" s="16" t="s">
        <v>87</v>
      </c>
      <c r="E12604" s="16" t="str">
        <f>IFERROR(__xludf.DUMMYFUNCTION("""COMPUTED_VALUE"""),"")</f>
        <v/>
      </c>
      <c r="G12604" s="18"/>
      <c r="H12604" s="16" t="s">
        <v>87</v>
      </c>
      <c r="I12604" s="16" t="s">
        <v>87</v>
      </c>
      <c r="J12604" s="19"/>
      <c r="L12604" s="16" t="str">
        <f>IFERROR(__xludf.DUMMYFUNCTION("""COMPUTED_VALUE"""),"")</f>
        <v/>
      </c>
      <c r="M12604" s="16" t="str">
        <f>IFERROR(__xludf.DUMMYFUNCTION("""COMPUTED_VALUE"""),"")</f>
        <v/>
      </c>
      <c r="U12604" s="16" t="s">
        <v>87</v>
      </c>
      <c r="V12604" s="16" t="str">
        <f>IFERROR(__xludf.DUMMYFUNCTION("""COMPUTED_VALUE"""),"")</f>
        <v/>
      </c>
      <c r="W12604" s="16" t="str">
        <f>IFERROR(__xludf.DUMMYFUNCTION("""COMPUTED_VALUE"""),"")</f>
        <v/>
      </c>
      <c r="X12604" s="16" t="str">
        <f>IFERROR(__xludf.DUMMYFUNCTION("""COMPUTED_VALUE"""),"")</f>
        <v/>
      </c>
      <c r="AC12604" s="16" t="str">
        <f>IFERROR(__xludf.DUMMYFUNCTION("""COMPUTED_VALUE"""),"")</f>
        <v/>
      </c>
    </row>
    <row r="12605">
      <c r="A12605" s="16" t="s">
        <v>87</v>
      </c>
      <c r="E12605" s="16" t="str">
        <f>IFERROR(__xludf.DUMMYFUNCTION("""COMPUTED_VALUE"""),"")</f>
        <v/>
      </c>
      <c r="G12605" s="18"/>
      <c r="H12605" s="16" t="s">
        <v>87</v>
      </c>
      <c r="I12605" s="16" t="s">
        <v>87</v>
      </c>
      <c r="J12605" s="19"/>
      <c r="L12605" s="16" t="str">
        <f>IFERROR(__xludf.DUMMYFUNCTION("""COMPUTED_VALUE"""),"")</f>
        <v/>
      </c>
      <c r="M12605" s="16" t="str">
        <f>IFERROR(__xludf.DUMMYFUNCTION("""COMPUTED_VALUE"""),"")</f>
        <v/>
      </c>
      <c r="U12605" s="16" t="s">
        <v>87</v>
      </c>
      <c r="V12605" s="16" t="str">
        <f>IFERROR(__xludf.DUMMYFUNCTION("""COMPUTED_VALUE"""),"")</f>
        <v/>
      </c>
      <c r="W12605" s="16" t="str">
        <f>IFERROR(__xludf.DUMMYFUNCTION("""COMPUTED_VALUE"""),"")</f>
        <v/>
      </c>
      <c r="X12605" s="16" t="str">
        <f>IFERROR(__xludf.DUMMYFUNCTION("""COMPUTED_VALUE"""),"")</f>
        <v/>
      </c>
      <c r="AC12605" s="16" t="str">
        <f>IFERROR(__xludf.DUMMYFUNCTION("""COMPUTED_VALUE"""),"")</f>
        <v/>
      </c>
    </row>
    <row r="12606">
      <c r="A12606" s="16" t="s">
        <v>87</v>
      </c>
      <c r="E12606" s="16" t="str">
        <f>IFERROR(__xludf.DUMMYFUNCTION("""COMPUTED_VALUE"""),"")</f>
        <v/>
      </c>
      <c r="G12606" s="18"/>
      <c r="H12606" s="16" t="s">
        <v>87</v>
      </c>
      <c r="I12606" s="16" t="s">
        <v>87</v>
      </c>
      <c r="J12606" s="19"/>
      <c r="L12606" s="16" t="str">
        <f>IFERROR(__xludf.DUMMYFUNCTION("""COMPUTED_VALUE"""),"")</f>
        <v/>
      </c>
      <c r="M12606" s="16" t="str">
        <f>IFERROR(__xludf.DUMMYFUNCTION("""COMPUTED_VALUE"""),"")</f>
        <v/>
      </c>
      <c r="U12606" s="16" t="s">
        <v>87</v>
      </c>
      <c r="V12606" s="16" t="str">
        <f>IFERROR(__xludf.DUMMYFUNCTION("""COMPUTED_VALUE"""),"")</f>
        <v/>
      </c>
      <c r="W12606" s="16" t="str">
        <f>IFERROR(__xludf.DUMMYFUNCTION("""COMPUTED_VALUE"""),"")</f>
        <v/>
      </c>
      <c r="X12606" s="16" t="str">
        <f>IFERROR(__xludf.DUMMYFUNCTION("""COMPUTED_VALUE"""),"")</f>
        <v/>
      </c>
      <c r="AC12606" s="16" t="str">
        <f>IFERROR(__xludf.DUMMYFUNCTION("""COMPUTED_VALUE"""),"")</f>
        <v/>
      </c>
    </row>
    <row r="12607">
      <c r="A12607" s="16" t="s">
        <v>87</v>
      </c>
      <c r="E12607" s="16" t="str">
        <f>IFERROR(__xludf.DUMMYFUNCTION("""COMPUTED_VALUE"""),"")</f>
        <v/>
      </c>
      <c r="G12607" s="18"/>
      <c r="H12607" s="16" t="s">
        <v>87</v>
      </c>
      <c r="I12607" s="16" t="s">
        <v>87</v>
      </c>
      <c r="J12607" s="19"/>
      <c r="L12607" s="16" t="str">
        <f>IFERROR(__xludf.DUMMYFUNCTION("""COMPUTED_VALUE"""),"")</f>
        <v/>
      </c>
      <c r="M12607" s="16" t="str">
        <f>IFERROR(__xludf.DUMMYFUNCTION("""COMPUTED_VALUE"""),"")</f>
        <v/>
      </c>
      <c r="U12607" s="16" t="s">
        <v>87</v>
      </c>
      <c r="V12607" s="16" t="str">
        <f>IFERROR(__xludf.DUMMYFUNCTION("""COMPUTED_VALUE"""),"")</f>
        <v/>
      </c>
      <c r="W12607" s="16" t="str">
        <f>IFERROR(__xludf.DUMMYFUNCTION("""COMPUTED_VALUE"""),"")</f>
        <v/>
      </c>
      <c r="X12607" s="16" t="str">
        <f>IFERROR(__xludf.DUMMYFUNCTION("""COMPUTED_VALUE"""),"")</f>
        <v/>
      </c>
      <c r="AC12607" s="16" t="str">
        <f>IFERROR(__xludf.DUMMYFUNCTION("""COMPUTED_VALUE"""),"")</f>
        <v/>
      </c>
    </row>
    <row r="12608">
      <c r="A12608" s="16" t="s">
        <v>87</v>
      </c>
      <c r="E12608" s="16" t="str">
        <f>IFERROR(__xludf.DUMMYFUNCTION("""COMPUTED_VALUE"""),"")</f>
        <v/>
      </c>
      <c r="G12608" s="18"/>
      <c r="H12608" s="16" t="s">
        <v>87</v>
      </c>
      <c r="I12608" s="16" t="s">
        <v>87</v>
      </c>
      <c r="J12608" s="19"/>
      <c r="L12608" s="16" t="str">
        <f>IFERROR(__xludf.DUMMYFUNCTION("""COMPUTED_VALUE"""),"")</f>
        <v/>
      </c>
      <c r="M12608" s="16" t="str">
        <f>IFERROR(__xludf.DUMMYFUNCTION("""COMPUTED_VALUE"""),"")</f>
        <v/>
      </c>
      <c r="U12608" s="16" t="s">
        <v>87</v>
      </c>
      <c r="V12608" s="16" t="str">
        <f>IFERROR(__xludf.DUMMYFUNCTION("""COMPUTED_VALUE"""),"")</f>
        <v/>
      </c>
      <c r="W12608" s="16" t="str">
        <f>IFERROR(__xludf.DUMMYFUNCTION("""COMPUTED_VALUE"""),"")</f>
        <v/>
      </c>
      <c r="X12608" s="16" t="str">
        <f>IFERROR(__xludf.DUMMYFUNCTION("""COMPUTED_VALUE"""),"")</f>
        <v/>
      </c>
      <c r="AC12608" s="16" t="str">
        <f>IFERROR(__xludf.DUMMYFUNCTION("""COMPUTED_VALUE"""),"")</f>
        <v/>
      </c>
    </row>
    <row r="12609">
      <c r="A12609" s="16" t="s">
        <v>87</v>
      </c>
      <c r="E12609" s="16" t="str">
        <f>IFERROR(__xludf.DUMMYFUNCTION("""COMPUTED_VALUE"""),"")</f>
        <v/>
      </c>
      <c r="G12609" s="18"/>
      <c r="H12609" s="16" t="s">
        <v>87</v>
      </c>
      <c r="I12609" s="16" t="s">
        <v>87</v>
      </c>
      <c r="J12609" s="19"/>
      <c r="L12609" s="16" t="str">
        <f>IFERROR(__xludf.DUMMYFUNCTION("""COMPUTED_VALUE"""),"")</f>
        <v/>
      </c>
      <c r="M12609" s="16" t="str">
        <f>IFERROR(__xludf.DUMMYFUNCTION("""COMPUTED_VALUE"""),"")</f>
        <v/>
      </c>
      <c r="U12609" s="16" t="s">
        <v>87</v>
      </c>
      <c r="V12609" s="16" t="str">
        <f>IFERROR(__xludf.DUMMYFUNCTION("""COMPUTED_VALUE"""),"")</f>
        <v/>
      </c>
      <c r="W12609" s="16" t="str">
        <f>IFERROR(__xludf.DUMMYFUNCTION("""COMPUTED_VALUE"""),"")</f>
        <v/>
      </c>
      <c r="X12609" s="16" t="str">
        <f>IFERROR(__xludf.DUMMYFUNCTION("""COMPUTED_VALUE"""),"")</f>
        <v/>
      </c>
      <c r="AC12609" s="16" t="str">
        <f>IFERROR(__xludf.DUMMYFUNCTION("""COMPUTED_VALUE"""),"")</f>
        <v/>
      </c>
    </row>
    <row r="12610">
      <c r="A12610" s="16" t="s">
        <v>87</v>
      </c>
      <c r="E12610" s="16" t="str">
        <f>IFERROR(__xludf.DUMMYFUNCTION("""COMPUTED_VALUE"""),"")</f>
        <v/>
      </c>
      <c r="G12610" s="18"/>
      <c r="H12610" s="16" t="s">
        <v>87</v>
      </c>
      <c r="I12610" s="16" t="s">
        <v>87</v>
      </c>
      <c r="J12610" s="19"/>
      <c r="L12610" s="16" t="str">
        <f>IFERROR(__xludf.DUMMYFUNCTION("""COMPUTED_VALUE"""),"")</f>
        <v/>
      </c>
      <c r="M12610" s="16" t="str">
        <f>IFERROR(__xludf.DUMMYFUNCTION("""COMPUTED_VALUE"""),"")</f>
        <v/>
      </c>
      <c r="U12610" s="16" t="s">
        <v>87</v>
      </c>
      <c r="V12610" s="16" t="str">
        <f>IFERROR(__xludf.DUMMYFUNCTION("""COMPUTED_VALUE"""),"")</f>
        <v/>
      </c>
      <c r="W12610" s="16" t="str">
        <f>IFERROR(__xludf.DUMMYFUNCTION("""COMPUTED_VALUE"""),"")</f>
        <v/>
      </c>
      <c r="X12610" s="16" t="str">
        <f>IFERROR(__xludf.DUMMYFUNCTION("""COMPUTED_VALUE"""),"")</f>
        <v/>
      </c>
      <c r="AC12610" s="16" t="str">
        <f>IFERROR(__xludf.DUMMYFUNCTION("""COMPUTED_VALUE"""),"")</f>
        <v/>
      </c>
    </row>
    <row r="12611">
      <c r="A12611" s="16" t="s">
        <v>87</v>
      </c>
      <c r="E12611" s="16" t="str">
        <f>IFERROR(__xludf.DUMMYFUNCTION("""COMPUTED_VALUE"""),"")</f>
        <v/>
      </c>
      <c r="G12611" s="18"/>
      <c r="H12611" s="16" t="s">
        <v>87</v>
      </c>
      <c r="I12611" s="16" t="s">
        <v>87</v>
      </c>
      <c r="J12611" s="19"/>
      <c r="L12611" s="16" t="str">
        <f>IFERROR(__xludf.DUMMYFUNCTION("""COMPUTED_VALUE"""),"")</f>
        <v/>
      </c>
      <c r="M12611" s="16" t="str">
        <f>IFERROR(__xludf.DUMMYFUNCTION("""COMPUTED_VALUE"""),"")</f>
        <v/>
      </c>
      <c r="U12611" s="16" t="s">
        <v>87</v>
      </c>
      <c r="V12611" s="16" t="str">
        <f>IFERROR(__xludf.DUMMYFUNCTION("""COMPUTED_VALUE"""),"")</f>
        <v/>
      </c>
      <c r="W12611" s="16" t="str">
        <f>IFERROR(__xludf.DUMMYFUNCTION("""COMPUTED_VALUE"""),"")</f>
        <v/>
      </c>
      <c r="X12611" s="16" t="str">
        <f>IFERROR(__xludf.DUMMYFUNCTION("""COMPUTED_VALUE"""),"")</f>
        <v/>
      </c>
      <c r="AC12611" s="16" t="str">
        <f>IFERROR(__xludf.DUMMYFUNCTION("""COMPUTED_VALUE"""),"")</f>
        <v/>
      </c>
    </row>
    <row r="12612">
      <c r="A12612" s="16" t="s">
        <v>87</v>
      </c>
      <c r="E12612" s="16" t="str">
        <f>IFERROR(__xludf.DUMMYFUNCTION("""COMPUTED_VALUE"""),"")</f>
        <v/>
      </c>
      <c r="G12612" s="18"/>
      <c r="H12612" s="16" t="s">
        <v>87</v>
      </c>
      <c r="I12612" s="16" t="s">
        <v>87</v>
      </c>
      <c r="J12612" s="19"/>
      <c r="L12612" s="16" t="str">
        <f>IFERROR(__xludf.DUMMYFUNCTION("""COMPUTED_VALUE"""),"")</f>
        <v/>
      </c>
      <c r="M12612" s="16" t="str">
        <f>IFERROR(__xludf.DUMMYFUNCTION("""COMPUTED_VALUE"""),"")</f>
        <v/>
      </c>
      <c r="U12612" s="16" t="s">
        <v>87</v>
      </c>
      <c r="V12612" s="16" t="str">
        <f>IFERROR(__xludf.DUMMYFUNCTION("""COMPUTED_VALUE"""),"")</f>
        <v/>
      </c>
      <c r="W12612" s="16" t="str">
        <f>IFERROR(__xludf.DUMMYFUNCTION("""COMPUTED_VALUE"""),"")</f>
        <v/>
      </c>
      <c r="X12612" s="16" t="str">
        <f>IFERROR(__xludf.DUMMYFUNCTION("""COMPUTED_VALUE"""),"")</f>
        <v/>
      </c>
      <c r="AC12612" s="16" t="str">
        <f>IFERROR(__xludf.DUMMYFUNCTION("""COMPUTED_VALUE"""),"")</f>
        <v/>
      </c>
    </row>
    <row r="12613">
      <c r="A12613" s="16" t="s">
        <v>87</v>
      </c>
      <c r="E12613" s="16" t="str">
        <f>IFERROR(__xludf.DUMMYFUNCTION("""COMPUTED_VALUE"""),"")</f>
        <v/>
      </c>
      <c r="G12613" s="18"/>
      <c r="H12613" s="16" t="s">
        <v>87</v>
      </c>
      <c r="I12613" s="16" t="s">
        <v>87</v>
      </c>
      <c r="J12613" s="19"/>
      <c r="L12613" s="16" t="str">
        <f>IFERROR(__xludf.DUMMYFUNCTION("""COMPUTED_VALUE"""),"")</f>
        <v/>
      </c>
      <c r="M12613" s="16" t="str">
        <f>IFERROR(__xludf.DUMMYFUNCTION("""COMPUTED_VALUE"""),"")</f>
        <v/>
      </c>
      <c r="U12613" s="16" t="s">
        <v>87</v>
      </c>
      <c r="V12613" s="16" t="str">
        <f>IFERROR(__xludf.DUMMYFUNCTION("""COMPUTED_VALUE"""),"")</f>
        <v/>
      </c>
      <c r="W12613" s="16" t="str">
        <f>IFERROR(__xludf.DUMMYFUNCTION("""COMPUTED_VALUE"""),"")</f>
        <v/>
      </c>
      <c r="X12613" s="16" t="str">
        <f>IFERROR(__xludf.DUMMYFUNCTION("""COMPUTED_VALUE"""),"")</f>
        <v/>
      </c>
      <c r="AC12613" s="16" t="str">
        <f>IFERROR(__xludf.DUMMYFUNCTION("""COMPUTED_VALUE"""),"")</f>
        <v/>
      </c>
    </row>
    <row r="12614">
      <c r="A12614" s="16" t="s">
        <v>87</v>
      </c>
      <c r="E12614" s="16" t="str">
        <f>IFERROR(__xludf.DUMMYFUNCTION("""COMPUTED_VALUE"""),"")</f>
        <v/>
      </c>
      <c r="G12614" s="18"/>
      <c r="H12614" s="16" t="s">
        <v>87</v>
      </c>
      <c r="I12614" s="16" t="s">
        <v>87</v>
      </c>
      <c r="J12614" s="19"/>
      <c r="L12614" s="16" t="str">
        <f>IFERROR(__xludf.DUMMYFUNCTION("""COMPUTED_VALUE"""),"")</f>
        <v/>
      </c>
      <c r="M12614" s="16" t="str">
        <f>IFERROR(__xludf.DUMMYFUNCTION("""COMPUTED_VALUE"""),"")</f>
        <v/>
      </c>
      <c r="U12614" s="16" t="s">
        <v>87</v>
      </c>
      <c r="V12614" s="16" t="str">
        <f>IFERROR(__xludf.DUMMYFUNCTION("""COMPUTED_VALUE"""),"")</f>
        <v/>
      </c>
      <c r="W12614" s="16" t="str">
        <f>IFERROR(__xludf.DUMMYFUNCTION("""COMPUTED_VALUE"""),"")</f>
        <v/>
      </c>
      <c r="X12614" s="16" t="str">
        <f>IFERROR(__xludf.DUMMYFUNCTION("""COMPUTED_VALUE"""),"")</f>
        <v/>
      </c>
      <c r="AC12614" s="16" t="str">
        <f>IFERROR(__xludf.DUMMYFUNCTION("""COMPUTED_VALUE"""),"")</f>
        <v/>
      </c>
    </row>
    <row r="12615">
      <c r="A12615" s="16" t="s">
        <v>87</v>
      </c>
      <c r="E12615" s="16" t="str">
        <f>IFERROR(__xludf.DUMMYFUNCTION("""COMPUTED_VALUE"""),"")</f>
        <v/>
      </c>
      <c r="G12615" s="18"/>
      <c r="H12615" s="16" t="s">
        <v>87</v>
      </c>
      <c r="I12615" s="16" t="s">
        <v>87</v>
      </c>
      <c r="J12615" s="19"/>
      <c r="L12615" s="16" t="str">
        <f>IFERROR(__xludf.DUMMYFUNCTION("""COMPUTED_VALUE"""),"")</f>
        <v/>
      </c>
      <c r="M12615" s="16" t="str">
        <f>IFERROR(__xludf.DUMMYFUNCTION("""COMPUTED_VALUE"""),"")</f>
        <v/>
      </c>
      <c r="U12615" s="16" t="s">
        <v>87</v>
      </c>
      <c r="V12615" s="16" t="str">
        <f>IFERROR(__xludf.DUMMYFUNCTION("""COMPUTED_VALUE"""),"")</f>
        <v/>
      </c>
      <c r="W12615" s="16" t="str">
        <f>IFERROR(__xludf.DUMMYFUNCTION("""COMPUTED_VALUE"""),"")</f>
        <v/>
      </c>
      <c r="X12615" s="16" t="str">
        <f>IFERROR(__xludf.DUMMYFUNCTION("""COMPUTED_VALUE"""),"")</f>
        <v/>
      </c>
      <c r="AC12615" s="16" t="str">
        <f>IFERROR(__xludf.DUMMYFUNCTION("""COMPUTED_VALUE"""),"")</f>
        <v/>
      </c>
    </row>
    <row r="12616">
      <c r="A12616" s="16" t="s">
        <v>87</v>
      </c>
      <c r="E12616" s="16" t="str">
        <f>IFERROR(__xludf.DUMMYFUNCTION("""COMPUTED_VALUE"""),"")</f>
        <v/>
      </c>
      <c r="G12616" s="18"/>
      <c r="H12616" s="16" t="s">
        <v>87</v>
      </c>
      <c r="I12616" s="16" t="s">
        <v>87</v>
      </c>
      <c r="J12616" s="19"/>
      <c r="L12616" s="16" t="str">
        <f>IFERROR(__xludf.DUMMYFUNCTION("""COMPUTED_VALUE"""),"")</f>
        <v/>
      </c>
      <c r="M12616" s="16" t="str">
        <f>IFERROR(__xludf.DUMMYFUNCTION("""COMPUTED_VALUE"""),"")</f>
        <v/>
      </c>
      <c r="U12616" s="16" t="s">
        <v>87</v>
      </c>
      <c r="V12616" s="16" t="str">
        <f>IFERROR(__xludf.DUMMYFUNCTION("""COMPUTED_VALUE"""),"")</f>
        <v/>
      </c>
      <c r="W12616" s="16" t="str">
        <f>IFERROR(__xludf.DUMMYFUNCTION("""COMPUTED_VALUE"""),"")</f>
        <v/>
      </c>
      <c r="X12616" s="16" t="str">
        <f>IFERROR(__xludf.DUMMYFUNCTION("""COMPUTED_VALUE"""),"")</f>
        <v/>
      </c>
      <c r="AC12616" s="16" t="str">
        <f>IFERROR(__xludf.DUMMYFUNCTION("""COMPUTED_VALUE"""),"")</f>
        <v/>
      </c>
    </row>
    <row r="12617">
      <c r="A12617" s="16" t="s">
        <v>87</v>
      </c>
      <c r="E12617" s="16" t="str">
        <f>IFERROR(__xludf.DUMMYFUNCTION("""COMPUTED_VALUE"""),"")</f>
        <v/>
      </c>
      <c r="G12617" s="18"/>
      <c r="H12617" s="16" t="s">
        <v>87</v>
      </c>
      <c r="I12617" s="16" t="s">
        <v>87</v>
      </c>
      <c r="J12617" s="19"/>
      <c r="L12617" s="16" t="str">
        <f>IFERROR(__xludf.DUMMYFUNCTION("""COMPUTED_VALUE"""),"")</f>
        <v/>
      </c>
      <c r="M12617" s="16" t="str">
        <f>IFERROR(__xludf.DUMMYFUNCTION("""COMPUTED_VALUE"""),"")</f>
        <v/>
      </c>
      <c r="U12617" s="16" t="s">
        <v>87</v>
      </c>
      <c r="V12617" s="16" t="str">
        <f>IFERROR(__xludf.DUMMYFUNCTION("""COMPUTED_VALUE"""),"")</f>
        <v/>
      </c>
      <c r="W12617" s="16" t="str">
        <f>IFERROR(__xludf.DUMMYFUNCTION("""COMPUTED_VALUE"""),"")</f>
        <v/>
      </c>
      <c r="X12617" s="16" t="str">
        <f>IFERROR(__xludf.DUMMYFUNCTION("""COMPUTED_VALUE"""),"")</f>
        <v/>
      </c>
      <c r="AC12617" s="16" t="str">
        <f>IFERROR(__xludf.DUMMYFUNCTION("""COMPUTED_VALUE"""),"")</f>
        <v/>
      </c>
    </row>
    <row r="12618">
      <c r="A12618" s="16" t="s">
        <v>87</v>
      </c>
      <c r="E12618" s="16" t="str">
        <f>IFERROR(__xludf.DUMMYFUNCTION("""COMPUTED_VALUE"""),"")</f>
        <v/>
      </c>
      <c r="G12618" s="18"/>
      <c r="H12618" s="16" t="s">
        <v>87</v>
      </c>
      <c r="I12618" s="16" t="s">
        <v>87</v>
      </c>
      <c r="J12618" s="19"/>
      <c r="L12618" s="16" t="str">
        <f>IFERROR(__xludf.DUMMYFUNCTION("""COMPUTED_VALUE"""),"")</f>
        <v/>
      </c>
      <c r="M12618" s="16" t="str">
        <f>IFERROR(__xludf.DUMMYFUNCTION("""COMPUTED_VALUE"""),"")</f>
        <v/>
      </c>
      <c r="U12618" s="16" t="s">
        <v>87</v>
      </c>
      <c r="V12618" s="16" t="str">
        <f>IFERROR(__xludf.DUMMYFUNCTION("""COMPUTED_VALUE"""),"")</f>
        <v/>
      </c>
      <c r="W12618" s="16" t="str">
        <f>IFERROR(__xludf.DUMMYFUNCTION("""COMPUTED_VALUE"""),"")</f>
        <v/>
      </c>
      <c r="X12618" s="16" t="str">
        <f>IFERROR(__xludf.DUMMYFUNCTION("""COMPUTED_VALUE"""),"")</f>
        <v/>
      </c>
      <c r="AC12618" s="16" t="str">
        <f>IFERROR(__xludf.DUMMYFUNCTION("""COMPUTED_VALUE"""),"")</f>
        <v/>
      </c>
    </row>
    <row r="12619">
      <c r="A12619" s="16" t="s">
        <v>87</v>
      </c>
      <c r="E12619" s="16" t="str">
        <f>IFERROR(__xludf.DUMMYFUNCTION("""COMPUTED_VALUE"""),"")</f>
        <v/>
      </c>
      <c r="G12619" s="18"/>
      <c r="H12619" s="16" t="s">
        <v>87</v>
      </c>
      <c r="I12619" s="16" t="s">
        <v>87</v>
      </c>
      <c r="J12619" s="19"/>
      <c r="L12619" s="16" t="str">
        <f>IFERROR(__xludf.DUMMYFUNCTION("""COMPUTED_VALUE"""),"")</f>
        <v/>
      </c>
      <c r="M12619" s="16" t="str">
        <f>IFERROR(__xludf.DUMMYFUNCTION("""COMPUTED_VALUE"""),"")</f>
        <v/>
      </c>
      <c r="U12619" s="16" t="s">
        <v>87</v>
      </c>
      <c r="V12619" s="16" t="str">
        <f>IFERROR(__xludf.DUMMYFUNCTION("""COMPUTED_VALUE"""),"")</f>
        <v/>
      </c>
      <c r="W12619" s="16" t="str">
        <f>IFERROR(__xludf.DUMMYFUNCTION("""COMPUTED_VALUE"""),"")</f>
        <v/>
      </c>
      <c r="X12619" s="16" t="str">
        <f>IFERROR(__xludf.DUMMYFUNCTION("""COMPUTED_VALUE"""),"")</f>
        <v/>
      </c>
      <c r="AC12619" s="16" t="str">
        <f>IFERROR(__xludf.DUMMYFUNCTION("""COMPUTED_VALUE"""),"")</f>
        <v/>
      </c>
    </row>
    <row r="12620">
      <c r="A12620" s="16" t="s">
        <v>87</v>
      </c>
      <c r="E12620" s="16" t="str">
        <f>IFERROR(__xludf.DUMMYFUNCTION("""COMPUTED_VALUE"""),"")</f>
        <v/>
      </c>
      <c r="G12620" s="18"/>
      <c r="H12620" s="16" t="s">
        <v>87</v>
      </c>
      <c r="I12620" s="16" t="s">
        <v>87</v>
      </c>
      <c r="J12620" s="19"/>
      <c r="L12620" s="16" t="str">
        <f>IFERROR(__xludf.DUMMYFUNCTION("""COMPUTED_VALUE"""),"")</f>
        <v/>
      </c>
      <c r="M12620" s="16" t="str">
        <f>IFERROR(__xludf.DUMMYFUNCTION("""COMPUTED_VALUE"""),"")</f>
        <v/>
      </c>
      <c r="U12620" s="16" t="s">
        <v>87</v>
      </c>
      <c r="V12620" s="16" t="str">
        <f>IFERROR(__xludf.DUMMYFUNCTION("""COMPUTED_VALUE"""),"")</f>
        <v/>
      </c>
      <c r="W12620" s="16" t="str">
        <f>IFERROR(__xludf.DUMMYFUNCTION("""COMPUTED_VALUE"""),"")</f>
        <v/>
      </c>
      <c r="X12620" s="16" t="str">
        <f>IFERROR(__xludf.DUMMYFUNCTION("""COMPUTED_VALUE"""),"")</f>
        <v/>
      </c>
      <c r="AC12620" s="16" t="str">
        <f>IFERROR(__xludf.DUMMYFUNCTION("""COMPUTED_VALUE"""),"")</f>
        <v/>
      </c>
    </row>
    <row r="12621">
      <c r="A12621" s="16" t="s">
        <v>87</v>
      </c>
      <c r="E12621" s="16" t="str">
        <f>IFERROR(__xludf.DUMMYFUNCTION("""COMPUTED_VALUE"""),"")</f>
        <v/>
      </c>
      <c r="G12621" s="18"/>
      <c r="H12621" s="16" t="s">
        <v>87</v>
      </c>
      <c r="I12621" s="16" t="s">
        <v>87</v>
      </c>
      <c r="J12621" s="19"/>
      <c r="L12621" s="16" t="str">
        <f>IFERROR(__xludf.DUMMYFUNCTION("""COMPUTED_VALUE"""),"")</f>
        <v/>
      </c>
      <c r="M12621" s="16" t="str">
        <f>IFERROR(__xludf.DUMMYFUNCTION("""COMPUTED_VALUE"""),"")</f>
        <v/>
      </c>
      <c r="U12621" s="16" t="s">
        <v>87</v>
      </c>
      <c r="V12621" s="16" t="str">
        <f>IFERROR(__xludf.DUMMYFUNCTION("""COMPUTED_VALUE"""),"")</f>
        <v/>
      </c>
      <c r="W12621" s="16" t="str">
        <f>IFERROR(__xludf.DUMMYFUNCTION("""COMPUTED_VALUE"""),"")</f>
        <v/>
      </c>
      <c r="X12621" s="16" t="str">
        <f>IFERROR(__xludf.DUMMYFUNCTION("""COMPUTED_VALUE"""),"")</f>
        <v/>
      </c>
      <c r="AC12621" s="16" t="str">
        <f>IFERROR(__xludf.DUMMYFUNCTION("""COMPUTED_VALUE"""),"")</f>
        <v/>
      </c>
    </row>
    <row r="12622">
      <c r="A12622" s="16" t="s">
        <v>87</v>
      </c>
      <c r="E12622" s="16" t="str">
        <f>IFERROR(__xludf.DUMMYFUNCTION("""COMPUTED_VALUE"""),"")</f>
        <v/>
      </c>
      <c r="G12622" s="18"/>
      <c r="H12622" s="16" t="s">
        <v>87</v>
      </c>
      <c r="I12622" s="16" t="s">
        <v>87</v>
      </c>
      <c r="J12622" s="19"/>
      <c r="L12622" s="16" t="str">
        <f>IFERROR(__xludf.DUMMYFUNCTION("""COMPUTED_VALUE"""),"")</f>
        <v/>
      </c>
      <c r="M12622" s="16" t="str">
        <f>IFERROR(__xludf.DUMMYFUNCTION("""COMPUTED_VALUE"""),"")</f>
        <v/>
      </c>
      <c r="U12622" s="16" t="s">
        <v>87</v>
      </c>
      <c r="V12622" s="16" t="str">
        <f>IFERROR(__xludf.DUMMYFUNCTION("""COMPUTED_VALUE"""),"")</f>
        <v/>
      </c>
      <c r="W12622" s="16" t="str">
        <f>IFERROR(__xludf.DUMMYFUNCTION("""COMPUTED_VALUE"""),"")</f>
        <v/>
      </c>
      <c r="X12622" s="16" t="str">
        <f>IFERROR(__xludf.DUMMYFUNCTION("""COMPUTED_VALUE"""),"")</f>
        <v/>
      </c>
      <c r="AC12622" s="16" t="str">
        <f>IFERROR(__xludf.DUMMYFUNCTION("""COMPUTED_VALUE"""),"")</f>
        <v/>
      </c>
    </row>
    <row r="12623">
      <c r="A12623" s="16" t="s">
        <v>87</v>
      </c>
      <c r="E12623" s="16" t="str">
        <f>IFERROR(__xludf.DUMMYFUNCTION("""COMPUTED_VALUE"""),"")</f>
        <v/>
      </c>
      <c r="G12623" s="18"/>
      <c r="H12623" s="16" t="s">
        <v>87</v>
      </c>
      <c r="I12623" s="16" t="s">
        <v>87</v>
      </c>
      <c r="J12623" s="19"/>
      <c r="L12623" s="16" t="str">
        <f>IFERROR(__xludf.DUMMYFUNCTION("""COMPUTED_VALUE"""),"")</f>
        <v/>
      </c>
      <c r="M12623" s="16" t="str">
        <f>IFERROR(__xludf.DUMMYFUNCTION("""COMPUTED_VALUE"""),"")</f>
        <v/>
      </c>
      <c r="U12623" s="16" t="s">
        <v>87</v>
      </c>
      <c r="V12623" s="16" t="str">
        <f>IFERROR(__xludf.DUMMYFUNCTION("""COMPUTED_VALUE"""),"")</f>
        <v/>
      </c>
      <c r="W12623" s="16" t="str">
        <f>IFERROR(__xludf.DUMMYFUNCTION("""COMPUTED_VALUE"""),"")</f>
        <v/>
      </c>
      <c r="X12623" s="16" t="str">
        <f>IFERROR(__xludf.DUMMYFUNCTION("""COMPUTED_VALUE"""),"")</f>
        <v/>
      </c>
      <c r="AC12623" s="16" t="str">
        <f>IFERROR(__xludf.DUMMYFUNCTION("""COMPUTED_VALUE"""),"")</f>
        <v/>
      </c>
    </row>
    <row r="12624">
      <c r="A12624" s="16" t="s">
        <v>87</v>
      </c>
      <c r="E12624" s="16" t="str">
        <f>IFERROR(__xludf.DUMMYFUNCTION("""COMPUTED_VALUE"""),"")</f>
        <v/>
      </c>
      <c r="G12624" s="18"/>
      <c r="H12624" s="16" t="s">
        <v>87</v>
      </c>
      <c r="I12624" s="16" t="s">
        <v>87</v>
      </c>
      <c r="J12624" s="19"/>
      <c r="L12624" s="16" t="str">
        <f>IFERROR(__xludf.DUMMYFUNCTION("""COMPUTED_VALUE"""),"")</f>
        <v/>
      </c>
      <c r="M12624" s="16" t="str">
        <f>IFERROR(__xludf.DUMMYFUNCTION("""COMPUTED_VALUE"""),"")</f>
        <v/>
      </c>
      <c r="U12624" s="16" t="s">
        <v>87</v>
      </c>
      <c r="V12624" s="16" t="str">
        <f>IFERROR(__xludf.DUMMYFUNCTION("""COMPUTED_VALUE"""),"")</f>
        <v/>
      </c>
      <c r="W12624" s="16" t="str">
        <f>IFERROR(__xludf.DUMMYFUNCTION("""COMPUTED_VALUE"""),"")</f>
        <v/>
      </c>
      <c r="X12624" s="16" t="str">
        <f>IFERROR(__xludf.DUMMYFUNCTION("""COMPUTED_VALUE"""),"")</f>
        <v/>
      </c>
      <c r="AC12624" s="16" t="str">
        <f>IFERROR(__xludf.DUMMYFUNCTION("""COMPUTED_VALUE"""),"")</f>
        <v/>
      </c>
    </row>
    <row r="12625">
      <c r="A12625" s="16" t="s">
        <v>87</v>
      </c>
      <c r="E12625" s="16" t="str">
        <f>IFERROR(__xludf.DUMMYFUNCTION("""COMPUTED_VALUE"""),"")</f>
        <v/>
      </c>
      <c r="G12625" s="18"/>
      <c r="H12625" s="16" t="s">
        <v>87</v>
      </c>
      <c r="I12625" s="16" t="s">
        <v>87</v>
      </c>
      <c r="J12625" s="19"/>
      <c r="L12625" s="16" t="str">
        <f>IFERROR(__xludf.DUMMYFUNCTION("""COMPUTED_VALUE"""),"")</f>
        <v/>
      </c>
      <c r="M12625" s="16" t="str">
        <f>IFERROR(__xludf.DUMMYFUNCTION("""COMPUTED_VALUE"""),"")</f>
        <v/>
      </c>
      <c r="U12625" s="16" t="s">
        <v>87</v>
      </c>
      <c r="V12625" s="16" t="str">
        <f>IFERROR(__xludf.DUMMYFUNCTION("""COMPUTED_VALUE"""),"")</f>
        <v/>
      </c>
      <c r="W12625" s="16" t="str">
        <f>IFERROR(__xludf.DUMMYFUNCTION("""COMPUTED_VALUE"""),"")</f>
        <v/>
      </c>
      <c r="X12625" s="16" t="str">
        <f>IFERROR(__xludf.DUMMYFUNCTION("""COMPUTED_VALUE"""),"")</f>
        <v/>
      </c>
      <c r="AC12625" s="16" t="str">
        <f>IFERROR(__xludf.DUMMYFUNCTION("""COMPUTED_VALUE"""),"")</f>
        <v/>
      </c>
    </row>
    <row r="12626">
      <c r="A12626" s="16" t="s">
        <v>87</v>
      </c>
      <c r="E12626" s="16" t="str">
        <f>IFERROR(__xludf.DUMMYFUNCTION("""COMPUTED_VALUE"""),"")</f>
        <v/>
      </c>
      <c r="G12626" s="18"/>
      <c r="H12626" s="16" t="s">
        <v>87</v>
      </c>
      <c r="I12626" s="16" t="s">
        <v>87</v>
      </c>
      <c r="J12626" s="19"/>
      <c r="L12626" s="16" t="str">
        <f>IFERROR(__xludf.DUMMYFUNCTION("""COMPUTED_VALUE"""),"")</f>
        <v/>
      </c>
      <c r="M12626" s="16" t="str">
        <f>IFERROR(__xludf.DUMMYFUNCTION("""COMPUTED_VALUE"""),"")</f>
        <v/>
      </c>
      <c r="U12626" s="16" t="s">
        <v>87</v>
      </c>
      <c r="V12626" s="16" t="str">
        <f>IFERROR(__xludf.DUMMYFUNCTION("""COMPUTED_VALUE"""),"")</f>
        <v/>
      </c>
      <c r="W12626" s="16" t="str">
        <f>IFERROR(__xludf.DUMMYFUNCTION("""COMPUTED_VALUE"""),"")</f>
        <v/>
      </c>
      <c r="X12626" s="16" t="str">
        <f>IFERROR(__xludf.DUMMYFUNCTION("""COMPUTED_VALUE"""),"")</f>
        <v/>
      </c>
      <c r="AC12626" s="16" t="str">
        <f>IFERROR(__xludf.DUMMYFUNCTION("""COMPUTED_VALUE"""),"")</f>
        <v/>
      </c>
    </row>
    <row r="12627">
      <c r="A12627" s="16" t="s">
        <v>87</v>
      </c>
      <c r="E12627" s="16" t="str">
        <f>IFERROR(__xludf.DUMMYFUNCTION("""COMPUTED_VALUE"""),"")</f>
        <v/>
      </c>
      <c r="G12627" s="18"/>
      <c r="H12627" s="16" t="s">
        <v>87</v>
      </c>
      <c r="I12627" s="16" t="s">
        <v>87</v>
      </c>
      <c r="J12627" s="19"/>
      <c r="L12627" s="16" t="str">
        <f>IFERROR(__xludf.DUMMYFUNCTION("""COMPUTED_VALUE"""),"")</f>
        <v/>
      </c>
      <c r="M12627" s="16" t="str">
        <f>IFERROR(__xludf.DUMMYFUNCTION("""COMPUTED_VALUE"""),"")</f>
        <v/>
      </c>
      <c r="U12627" s="16" t="s">
        <v>87</v>
      </c>
      <c r="V12627" s="16" t="str">
        <f>IFERROR(__xludf.DUMMYFUNCTION("""COMPUTED_VALUE"""),"")</f>
        <v/>
      </c>
      <c r="W12627" s="16" t="str">
        <f>IFERROR(__xludf.DUMMYFUNCTION("""COMPUTED_VALUE"""),"")</f>
        <v/>
      </c>
      <c r="X12627" s="16" t="str">
        <f>IFERROR(__xludf.DUMMYFUNCTION("""COMPUTED_VALUE"""),"")</f>
        <v/>
      </c>
      <c r="AC12627" s="16" t="str">
        <f>IFERROR(__xludf.DUMMYFUNCTION("""COMPUTED_VALUE"""),"")</f>
        <v/>
      </c>
    </row>
    <row r="12628">
      <c r="A12628" s="16" t="s">
        <v>87</v>
      </c>
      <c r="E12628" s="16" t="str">
        <f>IFERROR(__xludf.DUMMYFUNCTION("""COMPUTED_VALUE"""),"")</f>
        <v/>
      </c>
      <c r="G12628" s="18"/>
      <c r="H12628" s="16" t="s">
        <v>87</v>
      </c>
      <c r="I12628" s="16" t="s">
        <v>87</v>
      </c>
      <c r="J12628" s="19"/>
      <c r="L12628" s="16" t="str">
        <f>IFERROR(__xludf.DUMMYFUNCTION("""COMPUTED_VALUE"""),"")</f>
        <v/>
      </c>
      <c r="M12628" s="16" t="str">
        <f>IFERROR(__xludf.DUMMYFUNCTION("""COMPUTED_VALUE"""),"")</f>
        <v/>
      </c>
      <c r="U12628" s="16" t="s">
        <v>87</v>
      </c>
      <c r="V12628" s="16" t="str">
        <f>IFERROR(__xludf.DUMMYFUNCTION("""COMPUTED_VALUE"""),"")</f>
        <v/>
      </c>
      <c r="W12628" s="16" t="str">
        <f>IFERROR(__xludf.DUMMYFUNCTION("""COMPUTED_VALUE"""),"")</f>
        <v/>
      </c>
      <c r="X12628" s="16" t="str">
        <f>IFERROR(__xludf.DUMMYFUNCTION("""COMPUTED_VALUE"""),"")</f>
        <v/>
      </c>
      <c r="AC12628" s="16" t="str">
        <f>IFERROR(__xludf.DUMMYFUNCTION("""COMPUTED_VALUE"""),"")</f>
        <v/>
      </c>
    </row>
    <row r="12629">
      <c r="A12629" s="16" t="s">
        <v>87</v>
      </c>
      <c r="E12629" s="16" t="str">
        <f>IFERROR(__xludf.DUMMYFUNCTION("""COMPUTED_VALUE"""),"")</f>
        <v/>
      </c>
      <c r="G12629" s="18"/>
      <c r="H12629" s="16" t="s">
        <v>87</v>
      </c>
      <c r="I12629" s="16" t="s">
        <v>87</v>
      </c>
      <c r="J12629" s="19"/>
      <c r="L12629" s="16" t="str">
        <f>IFERROR(__xludf.DUMMYFUNCTION("""COMPUTED_VALUE"""),"")</f>
        <v/>
      </c>
      <c r="M12629" s="16" t="str">
        <f>IFERROR(__xludf.DUMMYFUNCTION("""COMPUTED_VALUE"""),"")</f>
        <v/>
      </c>
      <c r="U12629" s="16" t="s">
        <v>87</v>
      </c>
      <c r="V12629" s="16" t="str">
        <f>IFERROR(__xludf.DUMMYFUNCTION("""COMPUTED_VALUE"""),"")</f>
        <v/>
      </c>
      <c r="W12629" s="16" t="str">
        <f>IFERROR(__xludf.DUMMYFUNCTION("""COMPUTED_VALUE"""),"")</f>
        <v/>
      </c>
      <c r="X12629" s="16" t="str">
        <f>IFERROR(__xludf.DUMMYFUNCTION("""COMPUTED_VALUE"""),"")</f>
        <v/>
      </c>
      <c r="AC12629" s="16" t="str">
        <f>IFERROR(__xludf.DUMMYFUNCTION("""COMPUTED_VALUE"""),"")</f>
        <v/>
      </c>
    </row>
    <row r="12630">
      <c r="A12630" s="16" t="s">
        <v>87</v>
      </c>
      <c r="E12630" s="16" t="str">
        <f>IFERROR(__xludf.DUMMYFUNCTION("""COMPUTED_VALUE"""),"")</f>
        <v/>
      </c>
      <c r="G12630" s="18"/>
      <c r="H12630" s="16" t="s">
        <v>87</v>
      </c>
      <c r="I12630" s="16" t="s">
        <v>87</v>
      </c>
      <c r="J12630" s="19"/>
      <c r="L12630" s="16" t="str">
        <f>IFERROR(__xludf.DUMMYFUNCTION("""COMPUTED_VALUE"""),"")</f>
        <v/>
      </c>
      <c r="M12630" s="16" t="str">
        <f>IFERROR(__xludf.DUMMYFUNCTION("""COMPUTED_VALUE"""),"")</f>
        <v/>
      </c>
      <c r="U12630" s="16" t="s">
        <v>87</v>
      </c>
      <c r="V12630" s="16" t="str">
        <f>IFERROR(__xludf.DUMMYFUNCTION("""COMPUTED_VALUE"""),"")</f>
        <v/>
      </c>
      <c r="W12630" s="16" t="str">
        <f>IFERROR(__xludf.DUMMYFUNCTION("""COMPUTED_VALUE"""),"")</f>
        <v/>
      </c>
      <c r="X12630" s="16" t="str">
        <f>IFERROR(__xludf.DUMMYFUNCTION("""COMPUTED_VALUE"""),"")</f>
        <v/>
      </c>
      <c r="AC12630" s="16" t="str">
        <f>IFERROR(__xludf.DUMMYFUNCTION("""COMPUTED_VALUE"""),"")</f>
        <v/>
      </c>
    </row>
    <row r="12631">
      <c r="A12631" s="16" t="s">
        <v>87</v>
      </c>
      <c r="E12631" s="16" t="str">
        <f>IFERROR(__xludf.DUMMYFUNCTION("""COMPUTED_VALUE"""),"")</f>
        <v/>
      </c>
      <c r="G12631" s="18"/>
      <c r="H12631" s="16" t="s">
        <v>87</v>
      </c>
      <c r="I12631" s="16" t="s">
        <v>87</v>
      </c>
      <c r="J12631" s="19"/>
      <c r="L12631" s="16" t="str">
        <f>IFERROR(__xludf.DUMMYFUNCTION("""COMPUTED_VALUE"""),"")</f>
        <v/>
      </c>
      <c r="M12631" s="16" t="str">
        <f>IFERROR(__xludf.DUMMYFUNCTION("""COMPUTED_VALUE"""),"")</f>
        <v/>
      </c>
      <c r="U12631" s="16" t="s">
        <v>87</v>
      </c>
      <c r="V12631" s="16" t="str">
        <f>IFERROR(__xludf.DUMMYFUNCTION("""COMPUTED_VALUE"""),"")</f>
        <v/>
      </c>
      <c r="W12631" s="16" t="str">
        <f>IFERROR(__xludf.DUMMYFUNCTION("""COMPUTED_VALUE"""),"")</f>
        <v/>
      </c>
      <c r="X12631" s="16" t="str">
        <f>IFERROR(__xludf.DUMMYFUNCTION("""COMPUTED_VALUE"""),"")</f>
        <v/>
      </c>
      <c r="AC12631" s="16" t="str">
        <f>IFERROR(__xludf.DUMMYFUNCTION("""COMPUTED_VALUE"""),"")</f>
        <v/>
      </c>
    </row>
    <row r="12632">
      <c r="A12632" s="16" t="s">
        <v>87</v>
      </c>
      <c r="E12632" s="16" t="str">
        <f>IFERROR(__xludf.DUMMYFUNCTION("""COMPUTED_VALUE"""),"")</f>
        <v/>
      </c>
      <c r="G12632" s="18"/>
      <c r="H12632" s="16" t="s">
        <v>87</v>
      </c>
      <c r="I12632" s="16" t="s">
        <v>87</v>
      </c>
      <c r="J12632" s="19"/>
      <c r="L12632" s="16" t="str">
        <f>IFERROR(__xludf.DUMMYFUNCTION("""COMPUTED_VALUE"""),"")</f>
        <v/>
      </c>
      <c r="M12632" s="16" t="str">
        <f>IFERROR(__xludf.DUMMYFUNCTION("""COMPUTED_VALUE"""),"")</f>
        <v/>
      </c>
      <c r="U12632" s="16" t="s">
        <v>87</v>
      </c>
      <c r="V12632" s="16" t="str">
        <f>IFERROR(__xludf.DUMMYFUNCTION("""COMPUTED_VALUE"""),"")</f>
        <v/>
      </c>
      <c r="W12632" s="16" t="str">
        <f>IFERROR(__xludf.DUMMYFUNCTION("""COMPUTED_VALUE"""),"")</f>
        <v/>
      </c>
      <c r="X12632" s="16" t="str">
        <f>IFERROR(__xludf.DUMMYFUNCTION("""COMPUTED_VALUE"""),"")</f>
        <v/>
      </c>
      <c r="AC12632" s="16" t="str">
        <f>IFERROR(__xludf.DUMMYFUNCTION("""COMPUTED_VALUE"""),"")</f>
        <v/>
      </c>
    </row>
    <row r="12633">
      <c r="A12633" s="16" t="s">
        <v>87</v>
      </c>
      <c r="E12633" s="16" t="str">
        <f>IFERROR(__xludf.DUMMYFUNCTION("""COMPUTED_VALUE"""),"")</f>
        <v/>
      </c>
      <c r="G12633" s="18"/>
      <c r="H12633" s="16" t="s">
        <v>87</v>
      </c>
      <c r="I12633" s="16" t="s">
        <v>87</v>
      </c>
      <c r="J12633" s="19"/>
      <c r="L12633" s="16" t="str">
        <f>IFERROR(__xludf.DUMMYFUNCTION("""COMPUTED_VALUE"""),"")</f>
        <v/>
      </c>
      <c r="M12633" s="16" t="str">
        <f>IFERROR(__xludf.DUMMYFUNCTION("""COMPUTED_VALUE"""),"")</f>
        <v/>
      </c>
      <c r="U12633" s="16" t="s">
        <v>87</v>
      </c>
      <c r="V12633" s="16" t="str">
        <f>IFERROR(__xludf.DUMMYFUNCTION("""COMPUTED_VALUE"""),"")</f>
        <v/>
      </c>
      <c r="W12633" s="16" t="str">
        <f>IFERROR(__xludf.DUMMYFUNCTION("""COMPUTED_VALUE"""),"")</f>
        <v/>
      </c>
      <c r="X12633" s="16" t="str">
        <f>IFERROR(__xludf.DUMMYFUNCTION("""COMPUTED_VALUE"""),"")</f>
        <v/>
      </c>
      <c r="AC12633" s="16" t="str">
        <f>IFERROR(__xludf.DUMMYFUNCTION("""COMPUTED_VALUE"""),"")</f>
        <v/>
      </c>
    </row>
    <row r="12634">
      <c r="A12634" s="16" t="s">
        <v>87</v>
      </c>
      <c r="E12634" s="16" t="str">
        <f>IFERROR(__xludf.DUMMYFUNCTION("""COMPUTED_VALUE"""),"")</f>
        <v/>
      </c>
      <c r="G12634" s="18"/>
      <c r="H12634" s="16" t="s">
        <v>87</v>
      </c>
      <c r="I12634" s="16" t="s">
        <v>87</v>
      </c>
      <c r="J12634" s="19"/>
      <c r="L12634" s="16" t="str">
        <f>IFERROR(__xludf.DUMMYFUNCTION("""COMPUTED_VALUE"""),"")</f>
        <v/>
      </c>
      <c r="M12634" s="16" t="str">
        <f>IFERROR(__xludf.DUMMYFUNCTION("""COMPUTED_VALUE"""),"")</f>
        <v/>
      </c>
      <c r="U12634" s="16" t="s">
        <v>87</v>
      </c>
      <c r="V12634" s="16" t="str">
        <f>IFERROR(__xludf.DUMMYFUNCTION("""COMPUTED_VALUE"""),"")</f>
        <v/>
      </c>
      <c r="W12634" s="16" t="str">
        <f>IFERROR(__xludf.DUMMYFUNCTION("""COMPUTED_VALUE"""),"")</f>
        <v/>
      </c>
      <c r="X12634" s="16" t="str">
        <f>IFERROR(__xludf.DUMMYFUNCTION("""COMPUTED_VALUE"""),"")</f>
        <v/>
      </c>
      <c r="AC12634" s="16" t="str">
        <f>IFERROR(__xludf.DUMMYFUNCTION("""COMPUTED_VALUE"""),"")</f>
        <v/>
      </c>
    </row>
    <row r="12635">
      <c r="A12635" s="16" t="s">
        <v>87</v>
      </c>
      <c r="E12635" s="16" t="str">
        <f>IFERROR(__xludf.DUMMYFUNCTION("""COMPUTED_VALUE"""),"")</f>
        <v/>
      </c>
      <c r="G12635" s="18"/>
      <c r="H12635" s="16" t="s">
        <v>87</v>
      </c>
      <c r="I12635" s="16" t="s">
        <v>87</v>
      </c>
      <c r="J12635" s="19"/>
      <c r="L12635" s="16" t="str">
        <f>IFERROR(__xludf.DUMMYFUNCTION("""COMPUTED_VALUE"""),"")</f>
        <v/>
      </c>
      <c r="M12635" s="16" t="str">
        <f>IFERROR(__xludf.DUMMYFUNCTION("""COMPUTED_VALUE"""),"")</f>
        <v/>
      </c>
      <c r="U12635" s="16" t="s">
        <v>87</v>
      </c>
      <c r="V12635" s="16" t="str">
        <f>IFERROR(__xludf.DUMMYFUNCTION("""COMPUTED_VALUE"""),"")</f>
        <v/>
      </c>
      <c r="W12635" s="16" t="str">
        <f>IFERROR(__xludf.DUMMYFUNCTION("""COMPUTED_VALUE"""),"")</f>
        <v/>
      </c>
      <c r="X12635" s="16" t="str">
        <f>IFERROR(__xludf.DUMMYFUNCTION("""COMPUTED_VALUE"""),"")</f>
        <v/>
      </c>
      <c r="AC12635" s="16" t="str">
        <f>IFERROR(__xludf.DUMMYFUNCTION("""COMPUTED_VALUE"""),"")</f>
        <v/>
      </c>
    </row>
    <row r="12636">
      <c r="A12636" s="16" t="s">
        <v>87</v>
      </c>
      <c r="E12636" s="16" t="str">
        <f>IFERROR(__xludf.DUMMYFUNCTION("""COMPUTED_VALUE"""),"")</f>
        <v/>
      </c>
      <c r="G12636" s="18"/>
      <c r="H12636" s="16" t="s">
        <v>87</v>
      </c>
      <c r="I12636" s="16" t="s">
        <v>87</v>
      </c>
      <c r="J12636" s="19"/>
      <c r="L12636" s="16" t="str">
        <f>IFERROR(__xludf.DUMMYFUNCTION("""COMPUTED_VALUE"""),"")</f>
        <v/>
      </c>
      <c r="M12636" s="16" t="str">
        <f>IFERROR(__xludf.DUMMYFUNCTION("""COMPUTED_VALUE"""),"")</f>
        <v/>
      </c>
      <c r="U12636" s="16" t="s">
        <v>87</v>
      </c>
      <c r="V12636" s="16" t="str">
        <f>IFERROR(__xludf.DUMMYFUNCTION("""COMPUTED_VALUE"""),"")</f>
        <v/>
      </c>
      <c r="W12636" s="16" t="str">
        <f>IFERROR(__xludf.DUMMYFUNCTION("""COMPUTED_VALUE"""),"")</f>
        <v/>
      </c>
      <c r="X12636" s="16" t="str">
        <f>IFERROR(__xludf.DUMMYFUNCTION("""COMPUTED_VALUE"""),"")</f>
        <v/>
      </c>
      <c r="AC12636" s="16" t="str">
        <f>IFERROR(__xludf.DUMMYFUNCTION("""COMPUTED_VALUE"""),"")</f>
        <v/>
      </c>
    </row>
    <row r="12637">
      <c r="A12637" s="16" t="s">
        <v>87</v>
      </c>
      <c r="E12637" s="16" t="str">
        <f>IFERROR(__xludf.DUMMYFUNCTION("""COMPUTED_VALUE"""),"")</f>
        <v/>
      </c>
      <c r="G12637" s="18"/>
      <c r="H12637" s="16" t="s">
        <v>87</v>
      </c>
      <c r="I12637" s="16" t="s">
        <v>87</v>
      </c>
      <c r="J12637" s="19"/>
      <c r="L12637" s="16" t="str">
        <f>IFERROR(__xludf.DUMMYFUNCTION("""COMPUTED_VALUE"""),"")</f>
        <v/>
      </c>
      <c r="M12637" s="16" t="str">
        <f>IFERROR(__xludf.DUMMYFUNCTION("""COMPUTED_VALUE"""),"")</f>
        <v/>
      </c>
      <c r="U12637" s="16" t="s">
        <v>87</v>
      </c>
      <c r="V12637" s="16" t="str">
        <f>IFERROR(__xludf.DUMMYFUNCTION("""COMPUTED_VALUE"""),"")</f>
        <v/>
      </c>
      <c r="W12637" s="16" t="str">
        <f>IFERROR(__xludf.DUMMYFUNCTION("""COMPUTED_VALUE"""),"")</f>
        <v/>
      </c>
      <c r="X12637" s="16" t="str">
        <f>IFERROR(__xludf.DUMMYFUNCTION("""COMPUTED_VALUE"""),"")</f>
        <v/>
      </c>
      <c r="AC12637" s="16" t="str">
        <f>IFERROR(__xludf.DUMMYFUNCTION("""COMPUTED_VALUE"""),"")</f>
        <v/>
      </c>
    </row>
    <row r="12638">
      <c r="A12638" s="16" t="s">
        <v>87</v>
      </c>
      <c r="E12638" s="16" t="str">
        <f>IFERROR(__xludf.DUMMYFUNCTION("""COMPUTED_VALUE"""),"")</f>
        <v/>
      </c>
      <c r="G12638" s="18"/>
      <c r="H12638" s="16" t="s">
        <v>87</v>
      </c>
      <c r="I12638" s="16" t="s">
        <v>87</v>
      </c>
      <c r="J12638" s="19"/>
      <c r="L12638" s="16" t="str">
        <f>IFERROR(__xludf.DUMMYFUNCTION("""COMPUTED_VALUE"""),"")</f>
        <v/>
      </c>
      <c r="M12638" s="16" t="str">
        <f>IFERROR(__xludf.DUMMYFUNCTION("""COMPUTED_VALUE"""),"")</f>
        <v/>
      </c>
      <c r="U12638" s="16" t="s">
        <v>87</v>
      </c>
      <c r="V12638" s="16" t="str">
        <f>IFERROR(__xludf.DUMMYFUNCTION("""COMPUTED_VALUE"""),"")</f>
        <v/>
      </c>
      <c r="W12638" s="16" t="str">
        <f>IFERROR(__xludf.DUMMYFUNCTION("""COMPUTED_VALUE"""),"")</f>
        <v/>
      </c>
      <c r="X12638" s="16" t="str">
        <f>IFERROR(__xludf.DUMMYFUNCTION("""COMPUTED_VALUE"""),"")</f>
        <v/>
      </c>
      <c r="AC12638" s="16" t="str">
        <f>IFERROR(__xludf.DUMMYFUNCTION("""COMPUTED_VALUE"""),"")</f>
        <v/>
      </c>
    </row>
    <row r="12639">
      <c r="A12639" s="16" t="s">
        <v>87</v>
      </c>
      <c r="E12639" s="16" t="str">
        <f>IFERROR(__xludf.DUMMYFUNCTION("""COMPUTED_VALUE"""),"")</f>
        <v/>
      </c>
      <c r="G12639" s="18"/>
      <c r="H12639" s="16" t="s">
        <v>87</v>
      </c>
      <c r="I12639" s="16" t="s">
        <v>87</v>
      </c>
      <c r="J12639" s="19"/>
      <c r="L12639" s="16" t="str">
        <f>IFERROR(__xludf.DUMMYFUNCTION("""COMPUTED_VALUE"""),"")</f>
        <v/>
      </c>
      <c r="M12639" s="16" t="str">
        <f>IFERROR(__xludf.DUMMYFUNCTION("""COMPUTED_VALUE"""),"")</f>
        <v/>
      </c>
      <c r="U12639" s="16" t="s">
        <v>87</v>
      </c>
      <c r="V12639" s="16" t="str">
        <f>IFERROR(__xludf.DUMMYFUNCTION("""COMPUTED_VALUE"""),"")</f>
        <v/>
      </c>
      <c r="W12639" s="16" t="str">
        <f>IFERROR(__xludf.DUMMYFUNCTION("""COMPUTED_VALUE"""),"")</f>
        <v/>
      </c>
      <c r="X12639" s="16" t="str">
        <f>IFERROR(__xludf.DUMMYFUNCTION("""COMPUTED_VALUE"""),"")</f>
        <v/>
      </c>
      <c r="AC12639" s="16" t="str">
        <f>IFERROR(__xludf.DUMMYFUNCTION("""COMPUTED_VALUE"""),"")</f>
        <v/>
      </c>
    </row>
    <row r="12640">
      <c r="A12640" s="16" t="s">
        <v>87</v>
      </c>
      <c r="E12640" s="16" t="str">
        <f>IFERROR(__xludf.DUMMYFUNCTION("""COMPUTED_VALUE"""),"")</f>
        <v/>
      </c>
      <c r="G12640" s="18"/>
      <c r="H12640" s="16" t="s">
        <v>87</v>
      </c>
      <c r="I12640" s="16" t="s">
        <v>87</v>
      </c>
      <c r="J12640" s="19"/>
      <c r="L12640" s="16" t="str">
        <f>IFERROR(__xludf.DUMMYFUNCTION("""COMPUTED_VALUE"""),"")</f>
        <v/>
      </c>
      <c r="M12640" s="16" t="str">
        <f>IFERROR(__xludf.DUMMYFUNCTION("""COMPUTED_VALUE"""),"")</f>
        <v/>
      </c>
      <c r="U12640" s="16" t="s">
        <v>87</v>
      </c>
      <c r="V12640" s="16" t="str">
        <f>IFERROR(__xludf.DUMMYFUNCTION("""COMPUTED_VALUE"""),"")</f>
        <v/>
      </c>
      <c r="W12640" s="16" t="str">
        <f>IFERROR(__xludf.DUMMYFUNCTION("""COMPUTED_VALUE"""),"")</f>
        <v/>
      </c>
      <c r="X12640" s="16" t="str">
        <f>IFERROR(__xludf.DUMMYFUNCTION("""COMPUTED_VALUE"""),"")</f>
        <v/>
      </c>
      <c r="AC12640" s="16" t="str">
        <f>IFERROR(__xludf.DUMMYFUNCTION("""COMPUTED_VALUE"""),"")</f>
        <v/>
      </c>
    </row>
    <row r="12641">
      <c r="A12641" s="16" t="s">
        <v>87</v>
      </c>
      <c r="E12641" s="16" t="str">
        <f>IFERROR(__xludf.DUMMYFUNCTION("""COMPUTED_VALUE"""),"")</f>
        <v/>
      </c>
      <c r="G12641" s="18"/>
      <c r="H12641" s="16" t="s">
        <v>87</v>
      </c>
      <c r="I12641" s="16" t="s">
        <v>87</v>
      </c>
      <c r="J12641" s="19"/>
      <c r="L12641" s="16" t="str">
        <f>IFERROR(__xludf.DUMMYFUNCTION("""COMPUTED_VALUE"""),"")</f>
        <v/>
      </c>
      <c r="M12641" s="16" t="str">
        <f>IFERROR(__xludf.DUMMYFUNCTION("""COMPUTED_VALUE"""),"")</f>
        <v/>
      </c>
      <c r="U12641" s="16" t="s">
        <v>87</v>
      </c>
      <c r="V12641" s="16" t="str">
        <f>IFERROR(__xludf.DUMMYFUNCTION("""COMPUTED_VALUE"""),"")</f>
        <v/>
      </c>
      <c r="W12641" s="16" t="str">
        <f>IFERROR(__xludf.DUMMYFUNCTION("""COMPUTED_VALUE"""),"")</f>
        <v/>
      </c>
      <c r="X12641" s="16" t="str">
        <f>IFERROR(__xludf.DUMMYFUNCTION("""COMPUTED_VALUE"""),"")</f>
        <v/>
      </c>
      <c r="AC12641" s="16" t="str">
        <f>IFERROR(__xludf.DUMMYFUNCTION("""COMPUTED_VALUE"""),"")</f>
        <v/>
      </c>
    </row>
    <row r="12642">
      <c r="A12642" s="16" t="s">
        <v>87</v>
      </c>
      <c r="E12642" s="16" t="str">
        <f>IFERROR(__xludf.DUMMYFUNCTION("""COMPUTED_VALUE"""),"")</f>
        <v/>
      </c>
      <c r="G12642" s="18"/>
      <c r="H12642" s="16" t="s">
        <v>87</v>
      </c>
      <c r="I12642" s="16" t="s">
        <v>87</v>
      </c>
      <c r="J12642" s="19"/>
      <c r="L12642" s="16" t="str">
        <f>IFERROR(__xludf.DUMMYFUNCTION("""COMPUTED_VALUE"""),"")</f>
        <v/>
      </c>
      <c r="M12642" s="16" t="str">
        <f>IFERROR(__xludf.DUMMYFUNCTION("""COMPUTED_VALUE"""),"")</f>
        <v/>
      </c>
      <c r="U12642" s="16" t="s">
        <v>87</v>
      </c>
      <c r="V12642" s="16" t="str">
        <f>IFERROR(__xludf.DUMMYFUNCTION("""COMPUTED_VALUE"""),"")</f>
        <v/>
      </c>
      <c r="W12642" s="16" t="str">
        <f>IFERROR(__xludf.DUMMYFUNCTION("""COMPUTED_VALUE"""),"")</f>
        <v/>
      </c>
      <c r="X12642" s="16" t="str">
        <f>IFERROR(__xludf.DUMMYFUNCTION("""COMPUTED_VALUE"""),"")</f>
        <v/>
      </c>
      <c r="AC12642" s="16" t="str">
        <f>IFERROR(__xludf.DUMMYFUNCTION("""COMPUTED_VALUE"""),"")</f>
        <v/>
      </c>
    </row>
    <row r="12643">
      <c r="A12643" s="16" t="s">
        <v>87</v>
      </c>
      <c r="E12643" s="16" t="str">
        <f>IFERROR(__xludf.DUMMYFUNCTION("""COMPUTED_VALUE"""),"")</f>
        <v/>
      </c>
      <c r="G12643" s="18"/>
      <c r="H12643" s="16" t="s">
        <v>87</v>
      </c>
      <c r="I12643" s="16" t="s">
        <v>87</v>
      </c>
      <c r="J12643" s="19"/>
      <c r="L12643" s="16" t="str">
        <f>IFERROR(__xludf.DUMMYFUNCTION("""COMPUTED_VALUE"""),"")</f>
        <v/>
      </c>
      <c r="M12643" s="16" t="str">
        <f>IFERROR(__xludf.DUMMYFUNCTION("""COMPUTED_VALUE"""),"")</f>
        <v/>
      </c>
      <c r="U12643" s="16" t="s">
        <v>87</v>
      </c>
      <c r="V12643" s="16" t="str">
        <f>IFERROR(__xludf.DUMMYFUNCTION("""COMPUTED_VALUE"""),"")</f>
        <v/>
      </c>
      <c r="W12643" s="16" t="str">
        <f>IFERROR(__xludf.DUMMYFUNCTION("""COMPUTED_VALUE"""),"")</f>
        <v/>
      </c>
      <c r="X12643" s="16" t="str">
        <f>IFERROR(__xludf.DUMMYFUNCTION("""COMPUTED_VALUE"""),"")</f>
        <v/>
      </c>
      <c r="AC12643" s="16" t="str">
        <f>IFERROR(__xludf.DUMMYFUNCTION("""COMPUTED_VALUE"""),"")</f>
        <v/>
      </c>
    </row>
    <row r="12644">
      <c r="A12644" s="16" t="s">
        <v>87</v>
      </c>
      <c r="E12644" s="16" t="str">
        <f>IFERROR(__xludf.DUMMYFUNCTION("""COMPUTED_VALUE"""),"")</f>
        <v/>
      </c>
      <c r="G12644" s="18"/>
      <c r="H12644" s="16" t="s">
        <v>87</v>
      </c>
      <c r="I12644" s="16" t="s">
        <v>87</v>
      </c>
      <c r="J12644" s="19"/>
      <c r="L12644" s="16" t="str">
        <f>IFERROR(__xludf.DUMMYFUNCTION("""COMPUTED_VALUE"""),"")</f>
        <v/>
      </c>
      <c r="M12644" s="16" t="str">
        <f>IFERROR(__xludf.DUMMYFUNCTION("""COMPUTED_VALUE"""),"")</f>
        <v/>
      </c>
      <c r="U12644" s="16" t="s">
        <v>87</v>
      </c>
      <c r="V12644" s="16" t="str">
        <f>IFERROR(__xludf.DUMMYFUNCTION("""COMPUTED_VALUE"""),"")</f>
        <v/>
      </c>
      <c r="W12644" s="16" t="str">
        <f>IFERROR(__xludf.DUMMYFUNCTION("""COMPUTED_VALUE"""),"")</f>
        <v/>
      </c>
      <c r="X12644" s="16" t="str">
        <f>IFERROR(__xludf.DUMMYFUNCTION("""COMPUTED_VALUE"""),"")</f>
        <v/>
      </c>
      <c r="AC12644" s="16" t="str">
        <f>IFERROR(__xludf.DUMMYFUNCTION("""COMPUTED_VALUE"""),"")</f>
        <v/>
      </c>
    </row>
    <row r="12645">
      <c r="A12645" s="16" t="s">
        <v>87</v>
      </c>
      <c r="E12645" s="16" t="str">
        <f>IFERROR(__xludf.DUMMYFUNCTION("""COMPUTED_VALUE"""),"")</f>
        <v/>
      </c>
      <c r="G12645" s="18"/>
      <c r="H12645" s="16" t="s">
        <v>87</v>
      </c>
      <c r="I12645" s="16" t="s">
        <v>87</v>
      </c>
      <c r="J12645" s="19"/>
      <c r="L12645" s="16" t="str">
        <f>IFERROR(__xludf.DUMMYFUNCTION("""COMPUTED_VALUE"""),"")</f>
        <v/>
      </c>
      <c r="M12645" s="16" t="str">
        <f>IFERROR(__xludf.DUMMYFUNCTION("""COMPUTED_VALUE"""),"")</f>
        <v/>
      </c>
      <c r="U12645" s="16" t="s">
        <v>87</v>
      </c>
      <c r="V12645" s="16" t="str">
        <f>IFERROR(__xludf.DUMMYFUNCTION("""COMPUTED_VALUE"""),"")</f>
        <v/>
      </c>
      <c r="W12645" s="16" t="str">
        <f>IFERROR(__xludf.DUMMYFUNCTION("""COMPUTED_VALUE"""),"")</f>
        <v/>
      </c>
      <c r="X12645" s="16" t="str">
        <f>IFERROR(__xludf.DUMMYFUNCTION("""COMPUTED_VALUE"""),"")</f>
        <v/>
      </c>
      <c r="AC12645" s="16" t="str">
        <f>IFERROR(__xludf.DUMMYFUNCTION("""COMPUTED_VALUE"""),"")</f>
        <v/>
      </c>
    </row>
    <row r="12646">
      <c r="A12646" s="16" t="s">
        <v>87</v>
      </c>
      <c r="E12646" s="16" t="str">
        <f>IFERROR(__xludf.DUMMYFUNCTION("""COMPUTED_VALUE"""),"")</f>
        <v/>
      </c>
      <c r="G12646" s="18"/>
      <c r="H12646" s="16" t="s">
        <v>87</v>
      </c>
      <c r="I12646" s="16" t="s">
        <v>87</v>
      </c>
      <c r="J12646" s="19"/>
      <c r="L12646" s="16" t="str">
        <f>IFERROR(__xludf.DUMMYFUNCTION("""COMPUTED_VALUE"""),"")</f>
        <v/>
      </c>
      <c r="M12646" s="16" t="str">
        <f>IFERROR(__xludf.DUMMYFUNCTION("""COMPUTED_VALUE"""),"")</f>
        <v/>
      </c>
      <c r="U12646" s="16" t="s">
        <v>87</v>
      </c>
      <c r="V12646" s="16" t="str">
        <f>IFERROR(__xludf.DUMMYFUNCTION("""COMPUTED_VALUE"""),"")</f>
        <v/>
      </c>
      <c r="W12646" s="16" t="str">
        <f>IFERROR(__xludf.DUMMYFUNCTION("""COMPUTED_VALUE"""),"")</f>
        <v/>
      </c>
      <c r="X12646" s="16" t="str">
        <f>IFERROR(__xludf.DUMMYFUNCTION("""COMPUTED_VALUE"""),"")</f>
        <v/>
      </c>
      <c r="AC12646" s="16" t="str">
        <f>IFERROR(__xludf.DUMMYFUNCTION("""COMPUTED_VALUE"""),"")</f>
        <v/>
      </c>
    </row>
    <row r="12647">
      <c r="A12647" s="16" t="s">
        <v>87</v>
      </c>
      <c r="E12647" s="16" t="str">
        <f>IFERROR(__xludf.DUMMYFUNCTION("""COMPUTED_VALUE"""),"")</f>
        <v/>
      </c>
      <c r="G12647" s="18"/>
      <c r="H12647" s="16" t="s">
        <v>87</v>
      </c>
      <c r="I12647" s="16" t="s">
        <v>87</v>
      </c>
      <c r="J12647" s="19"/>
      <c r="L12647" s="16" t="str">
        <f>IFERROR(__xludf.DUMMYFUNCTION("""COMPUTED_VALUE"""),"")</f>
        <v/>
      </c>
      <c r="M12647" s="16" t="str">
        <f>IFERROR(__xludf.DUMMYFUNCTION("""COMPUTED_VALUE"""),"")</f>
        <v/>
      </c>
      <c r="U12647" s="16" t="s">
        <v>87</v>
      </c>
      <c r="V12647" s="16" t="str">
        <f>IFERROR(__xludf.DUMMYFUNCTION("""COMPUTED_VALUE"""),"")</f>
        <v/>
      </c>
      <c r="W12647" s="16" t="str">
        <f>IFERROR(__xludf.DUMMYFUNCTION("""COMPUTED_VALUE"""),"")</f>
        <v/>
      </c>
      <c r="X12647" s="16" t="str">
        <f>IFERROR(__xludf.DUMMYFUNCTION("""COMPUTED_VALUE"""),"")</f>
        <v/>
      </c>
      <c r="AC12647" s="16" t="str">
        <f>IFERROR(__xludf.DUMMYFUNCTION("""COMPUTED_VALUE"""),"")</f>
        <v/>
      </c>
    </row>
    <row r="12648">
      <c r="A12648" s="16" t="s">
        <v>87</v>
      </c>
      <c r="E12648" s="16" t="str">
        <f>IFERROR(__xludf.DUMMYFUNCTION("""COMPUTED_VALUE"""),"")</f>
        <v/>
      </c>
      <c r="G12648" s="18"/>
      <c r="H12648" s="16" t="s">
        <v>87</v>
      </c>
      <c r="I12648" s="16" t="s">
        <v>87</v>
      </c>
      <c r="J12648" s="19"/>
      <c r="L12648" s="16" t="str">
        <f>IFERROR(__xludf.DUMMYFUNCTION("""COMPUTED_VALUE"""),"")</f>
        <v/>
      </c>
      <c r="M12648" s="16" t="str">
        <f>IFERROR(__xludf.DUMMYFUNCTION("""COMPUTED_VALUE"""),"")</f>
        <v/>
      </c>
      <c r="U12648" s="16" t="s">
        <v>87</v>
      </c>
      <c r="V12648" s="16" t="str">
        <f>IFERROR(__xludf.DUMMYFUNCTION("""COMPUTED_VALUE"""),"")</f>
        <v/>
      </c>
      <c r="W12648" s="16" t="str">
        <f>IFERROR(__xludf.DUMMYFUNCTION("""COMPUTED_VALUE"""),"")</f>
        <v/>
      </c>
      <c r="X12648" s="16" t="str">
        <f>IFERROR(__xludf.DUMMYFUNCTION("""COMPUTED_VALUE"""),"")</f>
        <v/>
      </c>
      <c r="AC12648" s="16" t="str">
        <f>IFERROR(__xludf.DUMMYFUNCTION("""COMPUTED_VALUE"""),"")</f>
        <v/>
      </c>
    </row>
    <row r="12649">
      <c r="A12649" s="16" t="s">
        <v>87</v>
      </c>
      <c r="E12649" s="16" t="str">
        <f>IFERROR(__xludf.DUMMYFUNCTION("""COMPUTED_VALUE"""),"")</f>
        <v/>
      </c>
      <c r="G12649" s="18"/>
      <c r="H12649" s="16" t="s">
        <v>87</v>
      </c>
      <c r="I12649" s="16" t="s">
        <v>87</v>
      </c>
      <c r="J12649" s="19"/>
      <c r="L12649" s="16" t="str">
        <f>IFERROR(__xludf.DUMMYFUNCTION("""COMPUTED_VALUE"""),"")</f>
        <v/>
      </c>
      <c r="M12649" s="16" t="str">
        <f>IFERROR(__xludf.DUMMYFUNCTION("""COMPUTED_VALUE"""),"")</f>
        <v/>
      </c>
      <c r="U12649" s="16" t="s">
        <v>87</v>
      </c>
      <c r="V12649" s="16" t="str">
        <f>IFERROR(__xludf.DUMMYFUNCTION("""COMPUTED_VALUE"""),"")</f>
        <v/>
      </c>
      <c r="W12649" s="16" t="str">
        <f>IFERROR(__xludf.DUMMYFUNCTION("""COMPUTED_VALUE"""),"")</f>
        <v/>
      </c>
      <c r="X12649" s="16" t="str">
        <f>IFERROR(__xludf.DUMMYFUNCTION("""COMPUTED_VALUE"""),"")</f>
        <v/>
      </c>
      <c r="AC12649" s="16" t="str">
        <f>IFERROR(__xludf.DUMMYFUNCTION("""COMPUTED_VALUE"""),"")</f>
        <v/>
      </c>
    </row>
    <row r="12650">
      <c r="A12650" s="16" t="s">
        <v>87</v>
      </c>
      <c r="E12650" s="16" t="str">
        <f>IFERROR(__xludf.DUMMYFUNCTION("""COMPUTED_VALUE"""),"")</f>
        <v/>
      </c>
      <c r="G12650" s="18"/>
      <c r="H12650" s="16" t="s">
        <v>87</v>
      </c>
      <c r="I12650" s="16" t="s">
        <v>87</v>
      </c>
      <c r="J12650" s="19"/>
      <c r="L12650" s="16" t="str">
        <f>IFERROR(__xludf.DUMMYFUNCTION("""COMPUTED_VALUE"""),"")</f>
        <v/>
      </c>
      <c r="M12650" s="16" t="str">
        <f>IFERROR(__xludf.DUMMYFUNCTION("""COMPUTED_VALUE"""),"")</f>
        <v/>
      </c>
      <c r="U12650" s="16" t="s">
        <v>87</v>
      </c>
      <c r="V12650" s="16" t="str">
        <f>IFERROR(__xludf.DUMMYFUNCTION("""COMPUTED_VALUE"""),"")</f>
        <v/>
      </c>
      <c r="W12650" s="16" t="str">
        <f>IFERROR(__xludf.DUMMYFUNCTION("""COMPUTED_VALUE"""),"")</f>
        <v/>
      </c>
      <c r="X12650" s="16" t="str">
        <f>IFERROR(__xludf.DUMMYFUNCTION("""COMPUTED_VALUE"""),"")</f>
        <v/>
      </c>
      <c r="AC12650" s="16" t="str">
        <f>IFERROR(__xludf.DUMMYFUNCTION("""COMPUTED_VALUE"""),"")</f>
        <v/>
      </c>
    </row>
    <row r="12651">
      <c r="A12651" s="16" t="s">
        <v>87</v>
      </c>
      <c r="E12651" s="16" t="str">
        <f>IFERROR(__xludf.DUMMYFUNCTION("""COMPUTED_VALUE"""),"")</f>
        <v/>
      </c>
      <c r="G12651" s="18"/>
      <c r="H12651" s="16" t="s">
        <v>87</v>
      </c>
      <c r="I12651" s="16" t="s">
        <v>87</v>
      </c>
      <c r="J12651" s="19"/>
      <c r="L12651" s="16" t="str">
        <f>IFERROR(__xludf.DUMMYFUNCTION("""COMPUTED_VALUE"""),"")</f>
        <v/>
      </c>
      <c r="M12651" s="16" t="str">
        <f>IFERROR(__xludf.DUMMYFUNCTION("""COMPUTED_VALUE"""),"")</f>
        <v/>
      </c>
      <c r="U12651" s="16" t="s">
        <v>87</v>
      </c>
      <c r="V12651" s="16" t="str">
        <f>IFERROR(__xludf.DUMMYFUNCTION("""COMPUTED_VALUE"""),"")</f>
        <v/>
      </c>
      <c r="W12651" s="16" t="str">
        <f>IFERROR(__xludf.DUMMYFUNCTION("""COMPUTED_VALUE"""),"")</f>
        <v/>
      </c>
      <c r="X12651" s="16" t="str">
        <f>IFERROR(__xludf.DUMMYFUNCTION("""COMPUTED_VALUE"""),"")</f>
        <v/>
      </c>
      <c r="AC12651" s="16" t="str">
        <f>IFERROR(__xludf.DUMMYFUNCTION("""COMPUTED_VALUE"""),"")</f>
        <v/>
      </c>
    </row>
    <row r="12652">
      <c r="A12652" s="16" t="s">
        <v>87</v>
      </c>
      <c r="E12652" s="16" t="str">
        <f>IFERROR(__xludf.DUMMYFUNCTION("""COMPUTED_VALUE"""),"")</f>
        <v/>
      </c>
      <c r="G12652" s="18"/>
      <c r="H12652" s="16" t="s">
        <v>87</v>
      </c>
      <c r="I12652" s="16" t="s">
        <v>87</v>
      </c>
      <c r="J12652" s="19"/>
      <c r="L12652" s="16" t="str">
        <f>IFERROR(__xludf.DUMMYFUNCTION("""COMPUTED_VALUE"""),"")</f>
        <v/>
      </c>
      <c r="M12652" s="16" t="str">
        <f>IFERROR(__xludf.DUMMYFUNCTION("""COMPUTED_VALUE"""),"")</f>
        <v/>
      </c>
      <c r="U12652" s="16" t="s">
        <v>87</v>
      </c>
      <c r="V12652" s="16" t="str">
        <f>IFERROR(__xludf.DUMMYFUNCTION("""COMPUTED_VALUE"""),"")</f>
        <v/>
      </c>
      <c r="W12652" s="16" t="str">
        <f>IFERROR(__xludf.DUMMYFUNCTION("""COMPUTED_VALUE"""),"")</f>
        <v/>
      </c>
      <c r="X12652" s="16" t="str">
        <f>IFERROR(__xludf.DUMMYFUNCTION("""COMPUTED_VALUE"""),"")</f>
        <v/>
      </c>
      <c r="AC12652" s="16" t="str">
        <f>IFERROR(__xludf.DUMMYFUNCTION("""COMPUTED_VALUE"""),"")</f>
        <v/>
      </c>
    </row>
    <row r="12653">
      <c r="A12653" s="16" t="s">
        <v>87</v>
      </c>
      <c r="E12653" s="16" t="str">
        <f>IFERROR(__xludf.DUMMYFUNCTION("""COMPUTED_VALUE"""),"")</f>
        <v/>
      </c>
      <c r="G12653" s="18"/>
      <c r="H12653" s="16" t="s">
        <v>87</v>
      </c>
      <c r="I12653" s="16" t="s">
        <v>87</v>
      </c>
      <c r="J12653" s="19"/>
      <c r="L12653" s="16" t="str">
        <f>IFERROR(__xludf.DUMMYFUNCTION("""COMPUTED_VALUE"""),"")</f>
        <v/>
      </c>
      <c r="M12653" s="16" t="str">
        <f>IFERROR(__xludf.DUMMYFUNCTION("""COMPUTED_VALUE"""),"")</f>
        <v/>
      </c>
      <c r="U12653" s="16" t="s">
        <v>87</v>
      </c>
      <c r="V12653" s="16" t="str">
        <f>IFERROR(__xludf.DUMMYFUNCTION("""COMPUTED_VALUE"""),"")</f>
        <v/>
      </c>
      <c r="W12653" s="16" t="str">
        <f>IFERROR(__xludf.DUMMYFUNCTION("""COMPUTED_VALUE"""),"")</f>
        <v/>
      </c>
      <c r="X12653" s="16" t="str">
        <f>IFERROR(__xludf.DUMMYFUNCTION("""COMPUTED_VALUE"""),"")</f>
        <v/>
      </c>
      <c r="AC12653" s="16" t="str">
        <f>IFERROR(__xludf.DUMMYFUNCTION("""COMPUTED_VALUE"""),"")</f>
        <v/>
      </c>
    </row>
    <row r="12654">
      <c r="A12654" s="16" t="s">
        <v>87</v>
      </c>
      <c r="E12654" s="16" t="str">
        <f>IFERROR(__xludf.DUMMYFUNCTION("""COMPUTED_VALUE"""),"")</f>
        <v/>
      </c>
      <c r="G12654" s="18"/>
      <c r="H12654" s="16" t="s">
        <v>87</v>
      </c>
      <c r="I12654" s="16" t="s">
        <v>87</v>
      </c>
      <c r="J12654" s="19"/>
      <c r="L12654" s="16" t="str">
        <f>IFERROR(__xludf.DUMMYFUNCTION("""COMPUTED_VALUE"""),"")</f>
        <v/>
      </c>
      <c r="M12654" s="16" t="str">
        <f>IFERROR(__xludf.DUMMYFUNCTION("""COMPUTED_VALUE"""),"")</f>
        <v/>
      </c>
      <c r="U12654" s="16" t="s">
        <v>87</v>
      </c>
      <c r="V12654" s="16" t="str">
        <f>IFERROR(__xludf.DUMMYFUNCTION("""COMPUTED_VALUE"""),"")</f>
        <v/>
      </c>
      <c r="W12654" s="16" t="str">
        <f>IFERROR(__xludf.DUMMYFUNCTION("""COMPUTED_VALUE"""),"")</f>
        <v/>
      </c>
      <c r="X12654" s="16" t="str">
        <f>IFERROR(__xludf.DUMMYFUNCTION("""COMPUTED_VALUE"""),"")</f>
        <v/>
      </c>
      <c r="AC12654" s="16" t="str">
        <f>IFERROR(__xludf.DUMMYFUNCTION("""COMPUTED_VALUE"""),"")</f>
        <v/>
      </c>
    </row>
    <row r="12655">
      <c r="A12655" s="16" t="s">
        <v>87</v>
      </c>
      <c r="E12655" s="16" t="str">
        <f>IFERROR(__xludf.DUMMYFUNCTION("""COMPUTED_VALUE"""),"")</f>
        <v/>
      </c>
      <c r="G12655" s="18"/>
      <c r="H12655" s="16" t="s">
        <v>87</v>
      </c>
      <c r="I12655" s="16" t="s">
        <v>87</v>
      </c>
      <c r="J12655" s="19"/>
      <c r="L12655" s="16" t="str">
        <f>IFERROR(__xludf.DUMMYFUNCTION("""COMPUTED_VALUE"""),"")</f>
        <v/>
      </c>
      <c r="M12655" s="16" t="str">
        <f>IFERROR(__xludf.DUMMYFUNCTION("""COMPUTED_VALUE"""),"")</f>
        <v/>
      </c>
      <c r="U12655" s="16" t="s">
        <v>87</v>
      </c>
      <c r="V12655" s="16" t="str">
        <f>IFERROR(__xludf.DUMMYFUNCTION("""COMPUTED_VALUE"""),"")</f>
        <v/>
      </c>
      <c r="W12655" s="16" t="str">
        <f>IFERROR(__xludf.DUMMYFUNCTION("""COMPUTED_VALUE"""),"")</f>
        <v/>
      </c>
      <c r="X12655" s="16" t="str">
        <f>IFERROR(__xludf.DUMMYFUNCTION("""COMPUTED_VALUE"""),"")</f>
        <v/>
      </c>
      <c r="AC12655" s="16" t="str">
        <f>IFERROR(__xludf.DUMMYFUNCTION("""COMPUTED_VALUE"""),"")</f>
        <v/>
      </c>
    </row>
    <row r="12656">
      <c r="A12656" s="16" t="s">
        <v>87</v>
      </c>
      <c r="E12656" s="16" t="str">
        <f>IFERROR(__xludf.DUMMYFUNCTION("""COMPUTED_VALUE"""),"")</f>
        <v/>
      </c>
      <c r="G12656" s="18"/>
      <c r="H12656" s="16" t="s">
        <v>87</v>
      </c>
      <c r="I12656" s="16" t="s">
        <v>87</v>
      </c>
      <c r="J12656" s="19"/>
      <c r="L12656" s="16" t="str">
        <f>IFERROR(__xludf.DUMMYFUNCTION("""COMPUTED_VALUE"""),"")</f>
        <v/>
      </c>
      <c r="M12656" s="16" t="str">
        <f>IFERROR(__xludf.DUMMYFUNCTION("""COMPUTED_VALUE"""),"")</f>
        <v/>
      </c>
      <c r="U12656" s="16" t="s">
        <v>87</v>
      </c>
      <c r="V12656" s="16" t="str">
        <f>IFERROR(__xludf.DUMMYFUNCTION("""COMPUTED_VALUE"""),"")</f>
        <v/>
      </c>
      <c r="W12656" s="16" t="str">
        <f>IFERROR(__xludf.DUMMYFUNCTION("""COMPUTED_VALUE"""),"")</f>
        <v/>
      </c>
      <c r="X12656" s="16" t="str">
        <f>IFERROR(__xludf.DUMMYFUNCTION("""COMPUTED_VALUE"""),"")</f>
        <v/>
      </c>
      <c r="AC12656" s="16" t="str">
        <f>IFERROR(__xludf.DUMMYFUNCTION("""COMPUTED_VALUE"""),"")</f>
        <v/>
      </c>
    </row>
    <row r="12657">
      <c r="A12657" s="16" t="s">
        <v>87</v>
      </c>
      <c r="E12657" s="16" t="str">
        <f>IFERROR(__xludf.DUMMYFUNCTION("""COMPUTED_VALUE"""),"")</f>
        <v/>
      </c>
      <c r="G12657" s="18"/>
      <c r="H12657" s="16" t="s">
        <v>87</v>
      </c>
      <c r="I12657" s="16" t="s">
        <v>87</v>
      </c>
      <c r="J12657" s="19"/>
      <c r="L12657" s="16" t="str">
        <f>IFERROR(__xludf.DUMMYFUNCTION("""COMPUTED_VALUE"""),"")</f>
        <v/>
      </c>
      <c r="M12657" s="16" t="str">
        <f>IFERROR(__xludf.DUMMYFUNCTION("""COMPUTED_VALUE"""),"")</f>
        <v/>
      </c>
      <c r="U12657" s="16" t="s">
        <v>87</v>
      </c>
      <c r="V12657" s="16" t="str">
        <f>IFERROR(__xludf.DUMMYFUNCTION("""COMPUTED_VALUE"""),"")</f>
        <v/>
      </c>
      <c r="W12657" s="16" t="str">
        <f>IFERROR(__xludf.DUMMYFUNCTION("""COMPUTED_VALUE"""),"")</f>
        <v/>
      </c>
      <c r="X12657" s="16" t="str">
        <f>IFERROR(__xludf.DUMMYFUNCTION("""COMPUTED_VALUE"""),"")</f>
        <v/>
      </c>
      <c r="AC12657" s="16" t="str">
        <f>IFERROR(__xludf.DUMMYFUNCTION("""COMPUTED_VALUE"""),"")</f>
        <v/>
      </c>
    </row>
    <row r="12658">
      <c r="A12658" s="16" t="s">
        <v>87</v>
      </c>
      <c r="E12658" s="16" t="str">
        <f>IFERROR(__xludf.DUMMYFUNCTION("""COMPUTED_VALUE"""),"")</f>
        <v/>
      </c>
      <c r="G12658" s="18"/>
      <c r="H12658" s="16" t="s">
        <v>87</v>
      </c>
      <c r="I12658" s="16" t="s">
        <v>87</v>
      </c>
      <c r="J12658" s="19"/>
      <c r="L12658" s="16" t="str">
        <f>IFERROR(__xludf.DUMMYFUNCTION("""COMPUTED_VALUE"""),"")</f>
        <v/>
      </c>
      <c r="M12658" s="16" t="str">
        <f>IFERROR(__xludf.DUMMYFUNCTION("""COMPUTED_VALUE"""),"")</f>
        <v/>
      </c>
      <c r="U12658" s="16" t="s">
        <v>87</v>
      </c>
      <c r="V12658" s="16" t="str">
        <f>IFERROR(__xludf.DUMMYFUNCTION("""COMPUTED_VALUE"""),"")</f>
        <v/>
      </c>
      <c r="W12658" s="16" t="str">
        <f>IFERROR(__xludf.DUMMYFUNCTION("""COMPUTED_VALUE"""),"")</f>
        <v/>
      </c>
      <c r="X12658" s="16" t="str">
        <f>IFERROR(__xludf.DUMMYFUNCTION("""COMPUTED_VALUE"""),"")</f>
        <v/>
      </c>
      <c r="AC12658" s="16" t="str">
        <f>IFERROR(__xludf.DUMMYFUNCTION("""COMPUTED_VALUE"""),"")</f>
        <v/>
      </c>
    </row>
    <row r="12659">
      <c r="A12659" s="16" t="s">
        <v>87</v>
      </c>
      <c r="E12659" s="16" t="str">
        <f>IFERROR(__xludf.DUMMYFUNCTION("""COMPUTED_VALUE"""),"")</f>
        <v/>
      </c>
      <c r="G12659" s="18"/>
      <c r="H12659" s="16" t="s">
        <v>87</v>
      </c>
      <c r="I12659" s="16" t="s">
        <v>87</v>
      </c>
      <c r="J12659" s="19"/>
      <c r="L12659" s="16" t="str">
        <f>IFERROR(__xludf.DUMMYFUNCTION("""COMPUTED_VALUE"""),"")</f>
        <v/>
      </c>
      <c r="M12659" s="16" t="str">
        <f>IFERROR(__xludf.DUMMYFUNCTION("""COMPUTED_VALUE"""),"")</f>
        <v/>
      </c>
      <c r="U12659" s="16" t="s">
        <v>87</v>
      </c>
      <c r="V12659" s="16" t="str">
        <f>IFERROR(__xludf.DUMMYFUNCTION("""COMPUTED_VALUE"""),"")</f>
        <v/>
      </c>
      <c r="W12659" s="16" t="str">
        <f>IFERROR(__xludf.DUMMYFUNCTION("""COMPUTED_VALUE"""),"")</f>
        <v/>
      </c>
      <c r="X12659" s="16" t="str">
        <f>IFERROR(__xludf.DUMMYFUNCTION("""COMPUTED_VALUE"""),"")</f>
        <v/>
      </c>
      <c r="AC12659" s="16" t="str">
        <f>IFERROR(__xludf.DUMMYFUNCTION("""COMPUTED_VALUE"""),"")</f>
        <v/>
      </c>
    </row>
    <row r="12660">
      <c r="A12660" s="16" t="s">
        <v>87</v>
      </c>
      <c r="E12660" s="16" t="str">
        <f>IFERROR(__xludf.DUMMYFUNCTION("""COMPUTED_VALUE"""),"")</f>
        <v/>
      </c>
      <c r="G12660" s="18"/>
      <c r="H12660" s="16" t="s">
        <v>87</v>
      </c>
      <c r="I12660" s="16" t="s">
        <v>87</v>
      </c>
      <c r="J12660" s="19"/>
      <c r="L12660" s="16" t="str">
        <f>IFERROR(__xludf.DUMMYFUNCTION("""COMPUTED_VALUE"""),"")</f>
        <v/>
      </c>
      <c r="M12660" s="16" t="str">
        <f>IFERROR(__xludf.DUMMYFUNCTION("""COMPUTED_VALUE"""),"")</f>
        <v/>
      </c>
      <c r="U12660" s="16" t="s">
        <v>87</v>
      </c>
      <c r="V12660" s="16" t="str">
        <f>IFERROR(__xludf.DUMMYFUNCTION("""COMPUTED_VALUE"""),"")</f>
        <v/>
      </c>
      <c r="W12660" s="16" t="str">
        <f>IFERROR(__xludf.DUMMYFUNCTION("""COMPUTED_VALUE"""),"")</f>
        <v/>
      </c>
      <c r="X12660" s="16" t="str">
        <f>IFERROR(__xludf.DUMMYFUNCTION("""COMPUTED_VALUE"""),"")</f>
        <v/>
      </c>
      <c r="AC12660" s="16" t="str">
        <f>IFERROR(__xludf.DUMMYFUNCTION("""COMPUTED_VALUE"""),"")</f>
        <v/>
      </c>
    </row>
    <row r="12661">
      <c r="A12661" s="16" t="s">
        <v>87</v>
      </c>
      <c r="E12661" s="16" t="str">
        <f>IFERROR(__xludf.DUMMYFUNCTION("""COMPUTED_VALUE"""),"")</f>
        <v/>
      </c>
      <c r="G12661" s="18"/>
      <c r="H12661" s="16" t="s">
        <v>87</v>
      </c>
      <c r="I12661" s="16" t="s">
        <v>87</v>
      </c>
      <c r="J12661" s="19"/>
      <c r="L12661" s="16" t="str">
        <f>IFERROR(__xludf.DUMMYFUNCTION("""COMPUTED_VALUE"""),"")</f>
        <v/>
      </c>
      <c r="M12661" s="16" t="str">
        <f>IFERROR(__xludf.DUMMYFUNCTION("""COMPUTED_VALUE"""),"")</f>
        <v/>
      </c>
      <c r="U12661" s="16" t="s">
        <v>87</v>
      </c>
      <c r="V12661" s="16" t="str">
        <f>IFERROR(__xludf.DUMMYFUNCTION("""COMPUTED_VALUE"""),"")</f>
        <v/>
      </c>
      <c r="W12661" s="16" t="str">
        <f>IFERROR(__xludf.DUMMYFUNCTION("""COMPUTED_VALUE"""),"")</f>
        <v/>
      </c>
      <c r="X12661" s="16" t="str">
        <f>IFERROR(__xludf.DUMMYFUNCTION("""COMPUTED_VALUE"""),"")</f>
        <v/>
      </c>
      <c r="AC12661" s="16" t="str">
        <f>IFERROR(__xludf.DUMMYFUNCTION("""COMPUTED_VALUE"""),"")</f>
        <v/>
      </c>
    </row>
    <row r="12662">
      <c r="A12662" s="16" t="s">
        <v>87</v>
      </c>
      <c r="E12662" s="16" t="str">
        <f>IFERROR(__xludf.DUMMYFUNCTION("""COMPUTED_VALUE"""),"")</f>
        <v/>
      </c>
      <c r="G12662" s="18"/>
      <c r="H12662" s="16" t="s">
        <v>87</v>
      </c>
      <c r="I12662" s="16" t="s">
        <v>87</v>
      </c>
      <c r="J12662" s="19"/>
      <c r="L12662" s="16" t="str">
        <f>IFERROR(__xludf.DUMMYFUNCTION("""COMPUTED_VALUE"""),"")</f>
        <v/>
      </c>
      <c r="M12662" s="16" t="str">
        <f>IFERROR(__xludf.DUMMYFUNCTION("""COMPUTED_VALUE"""),"")</f>
        <v/>
      </c>
      <c r="U12662" s="16" t="s">
        <v>87</v>
      </c>
      <c r="V12662" s="16" t="str">
        <f>IFERROR(__xludf.DUMMYFUNCTION("""COMPUTED_VALUE"""),"")</f>
        <v/>
      </c>
      <c r="W12662" s="16" t="str">
        <f>IFERROR(__xludf.DUMMYFUNCTION("""COMPUTED_VALUE"""),"")</f>
        <v/>
      </c>
      <c r="X12662" s="16" t="str">
        <f>IFERROR(__xludf.DUMMYFUNCTION("""COMPUTED_VALUE"""),"")</f>
        <v/>
      </c>
      <c r="AC12662" s="16" t="str">
        <f>IFERROR(__xludf.DUMMYFUNCTION("""COMPUTED_VALUE"""),"")</f>
        <v/>
      </c>
    </row>
    <row r="12663">
      <c r="A12663" s="16" t="s">
        <v>87</v>
      </c>
      <c r="E12663" s="16" t="str">
        <f>IFERROR(__xludf.DUMMYFUNCTION("""COMPUTED_VALUE"""),"")</f>
        <v/>
      </c>
      <c r="G12663" s="18"/>
      <c r="H12663" s="16" t="s">
        <v>87</v>
      </c>
      <c r="I12663" s="16" t="s">
        <v>87</v>
      </c>
      <c r="J12663" s="19"/>
      <c r="L12663" s="16" t="str">
        <f>IFERROR(__xludf.DUMMYFUNCTION("""COMPUTED_VALUE"""),"")</f>
        <v/>
      </c>
      <c r="M12663" s="16" t="str">
        <f>IFERROR(__xludf.DUMMYFUNCTION("""COMPUTED_VALUE"""),"")</f>
        <v/>
      </c>
      <c r="U12663" s="16" t="s">
        <v>87</v>
      </c>
      <c r="V12663" s="16" t="str">
        <f>IFERROR(__xludf.DUMMYFUNCTION("""COMPUTED_VALUE"""),"")</f>
        <v/>
      </c>
      <c r="W12663" s="16" t="str">
        <f>IFERROR(__xludf.DUMMYFUNCTION("""COMPUTED_VALUE"""),"")</f>
        <v/>
      </c>
      <c r="X12663" s="16" t="str">
        <f>IFERROR(__xludf.DUMMYFUNCTION("""COMPUTED_VALUE"""),"")</f>
        <v/>
      </c>
      <c r="AC12663" s="16" t="str">
        <f>IFERROR(__xludf.DUMMYFUNCTION("""COMPUTED_VALUE"""),"")</f>
        <v/>
      </c>
    </row>
    <row r="12664">
      <c r="A12664" s="16" t="s">
        <v>87</v>
      </c>
      <c r="E12664" s="16" t="str">
        <f>IFERROR(__xludf.DUMMYFUNCTION("""COMPUTED_VALUE"""),"")</f>
        <v/>
      </c>
      <c r="G12664" s="18"/>
      <c r="H12664" s="16" t="s">
        <v>87</v>
      </c>
      <c r="I12664" s="16" t="s">
        <v>87</v>
      </c>
      <c r="J12664" s="19"/>
      <c r="L12664" s="16" t="str">
        <f>IFERROR(__xludf.DUMMYFUNCTION("""COMPUTED_VALUE"""),"")</f>
        <v/>
      </c>
      <c r="M12664" s="16" t="str">
        <f>IFERROR(__xludf.DUMMYFUNCTION("""COMPUTED_VALUE"""),"")</f>
        <v/>
      </c>
      <c r="U12664" s="16" t="s">
        <v>87</v>
      </c>
      <c r="V12664" s="16" t="str">
        <f>IFERROR(__xludf.DUMMYFUNCTION("""COMPUTED_VALUE"""),"")</f>
        <v/>
      </c>
      <c r="W12664" s="16" t="str">
        <f>IFERROR(__xludf.DUMMYFUNCTION("""COMPUTED_VALUE"""),"")</f>
        <v/>
      </c>
      <c r="X12664" s="16" t="str">
        <f>IFERROR(__xludf.DUMMYFUNCTION("""COMPUTED_VALUE"""),"")</f>
        <v/>
      </c>
      <c r="AC12664" s="16" t="str">
        <f>IFERROR(__xludf.DUMMYFUNCTION("""COMPUTED_VALUE"""),"")</f>
        <v/>
      </c>
    </row>
    <row r="12665">
      <c r="A12665" s="16" t="s">
        <v>87</v>
      </c>
      <c r="E12665" s="16" t="str">
        <f>IFERROR(__xludf.DUMMYFUNCTION("""COMPUTED_VALUE"""),"")</f>
        <v/>
      </c>
      <c r="G12665" s="18"/>
      <c r="H12665" s="16" t="s">
        <v>87</v>
      </c>
      <c r="I12665" s="16" t="s">
        <v>87</v>
      </c>
      <c r="J12665" s="19"/>
      <c r="L12665" s="16" t="str">
        <f>IFERROR(__xludf.DUMMYFUNCTION("""COMPUTED_VALUE"""),"")</f>
        <v/>
      </c>
      <c r="M12665" s="16" t="str">
        <f>IFERROR(__xludf.DUMMYFUNCTION("""COMPUTED_VALUE"""),"")</f>
        <v/>
      </c>
      <c r="U12665" s="16" t="s">
        <v>87</v>
      </c>
      <c r="V12665" s="16" t="str">
        <f>IFERROR(__xludf.DUMMYFUNCTION("""COMPUTED_VALUE"""),"")</f>
        <v/>
      </c>
      <c r="W12665" s="16" t="str">
        <f>IFERROR(__xludf.DUMMYFUNCTION("""COMPUTED_VALUE"""),"")</f>
        <v/>
      </c>
      <c r="X12665" s="16" t="str">
        <f>IFERROR(__xludf.DUMMYFUNCTION("""COMPUTED_VALUE"""),"")</f>
        <v/>
      </c>
      <c r="AC12665" s="16" t="str">
        <f>IFERROR(__xludf.DUMMYFUNCTION("""COMPUTED_VALUE"""),"")</f>
        <v/>
      </c>
    </row>
    <row r="12666">
      <c r="A12666" s="16" t="s">
        <v>87</v>
      </c>
      <c r="E12666" s="16" t="str">
        <f>IFERROR(__xludf.DUMMYFUNCTION("""COMPUTED_VALUE"""),"")</f>
        <v/>
      </c>
      <c r="G12666" s="18"/>
      <c r="H12666" s="16" t="s">
        <v>87</v>
      </c>
      <c r="I12666" s="16" t="s">
        <v>87</v>
      </c>
      <c r="J12666" s="19"/>
      <c r="L12666" s="16" t="str">
        <f>IFERROR(__xludf.DUMMYFUNCTION("""COMPUTED_VALUE"""),"")</f>
        <v/>
      </c>
      <c r="M12666" s="16" t="str">
        <f>IFERROR(__xludf.DUMMYFUNCTION("""COMPUTED_VALUE"""),"")</f>
        <v/>
      </c>
      <c r="U12666" s="16" t="s">
        <v>87</v>
      </c>
      <c r="V12666" s="16" t="str">
        <f>IFERROR(__xludf.DUMMYFUNCTION("""COMPUTED_VALUE"""),"")</f>
        <v/>
      </c>
      <c r="W12666" s="16" t="str">
        <f>IFERROR(__xludf.DUMMYFUNCTION("""COMPUTED_VALUE"""),"")</f>
        <v/>
      </c>
      <c r="X12666" s="16" t="str">
        <f>IFERROR(__xludf.DUMMYFUNCTION("""COMPUTED_VALUE"""),"")</f>
        <v/>
      </c>
      <c r="AC12666" s="16" t="str">
        <f>IFERROR(__xludf.DUMMYFUNCTION("""COMPUTED_VALUE"""),"")</f>
        <v/>
      </c>
    </row>
    <row r="12667">
      <c r="A12667" s="16" t="s">
        <v>87</v>
      </c>
      <c r="E12667" s="16" t="str">
        <f>IFERROR(__xludf.DUMMYFUNCTION("""COMPUTED_VALUE"""),"")</f>
        <v/>
      </c>
      <c r="G12667" s="18"/>
      <c r="H12667" s="16" t="s">
        <v>87</v>
      </c>
      <c r="I12667" s="16" t="s">
        <v>87</v>
      </c>
      <c r="J12667" s="19"/>
      <c r="L12667" s="16" t="str">
        <f>IFERROR(__xludf.DUMMYFUNCTION("""COMPUTED_VALUE"""),"")</f>
        <v/>
      </c>
      <c r="M12667" s="16" t="str">
        <f>IFERROR(__xludf.DUMMYFUNCTION("""COMPUTED_VALUE"""),"")</f>
        <v/>
      </c>
      <c r="U12667" s="16" t="s">
        <v>87</v>
      </c>
      <c r="V12667" s="16" t="str">
        <f>IFERROR(__xludf.DUMMYFUNCTION("""COMPUTED_VALUE"""),"")</f>
        <v/>
      </c>
      <c r="W12667" s="16" t="str">
        <f>IFERROR(__xludf.DUMMYFUNCTION("""COMPUTED_VALUE"""),"")</f>
        <v/>
      </c>
      <c r="X12667" s="16" t="str">
        <f>IFERROR(__xludf.DUMMYFUNCTION("""COMPUTED_VALUE"""),"")</f>
        <v/>
      </c>
      <c r="AC12667" s="16" t="str">
        <f>IFERROR(__xludf.DUMMYFUNCTION("""COMPUTED_VALUE"""),"")</f>
        <v/>
      </c>
    </row>
    <row r="12668">
      <c r="A12668" s="16" t="s">
        <v>87</v>
      </c>
      <c r="E12668" s="16" t="str">
        <f>IFERROR(__xludf.DUMMYFUNCTION("""COMPUTED_VALUE"""),"")</f>
        <v/>
      </c>
      <c r="G12668" s="18"/>
      <c r="H12668" s="16" t="s">
        <v>87</v>
      </c>
      <c r="I12668" s="16" t="s">
        <v>87</v>
      </c>
      <c r="J12668" s="19"/>
      <c r="L12668" s="16" t="str">
        <f>IFERROR(__xludf.DUMMYFUNCTION("""COMPUTED_VALUE"""),"")</f>
        <v/>
      </c>
      <c r="M12668" s="16" t="str">
        <f>IFERROR(__xludf.DUMMYFUNCTION("""COMPUTED_VALUE"""),"")</f>
        <v/>
      </c>
      <c r="U12668" s="16" t="s">
        <v>87</v>
      </c>
      <c r="V12668" s="16" t="str">
        <f>IFERROR(__xludf.DUMMYFUNCTION("""COMPUTED_VALUE"""),"")</f>
        <v/>
      </c>
      <c r="W12668" s="16" t="str">
        <f>IFERROR(__xludf.DUMMYFUNCTION("""COMPUTED_VALUE"""),"")</f>
        <v/>
      </c>
      <c r="X12668" s="16" t="str">
        <f>IFERROR(__xludf.DUMMYFUNCTION("""COMPUTED_VALUE"""),"")</f>
        <v/>
      </c>
      <c r="AC12668" s="16" t="str">
        <f>IFERROR(__xludf.DUMMYFUNCTION("""COMPUTED_VALUE"""),"")</f>
        <v/>
      </c>
    </row>
    <row r="12669">
      <c r="A12669" s="16" t="s">
        <v>87</v>
      </c>
      <c r="E12669" s="16" t="str">
        <f>IFERROR(__xludf.DUMMYFUNCTION("""COMPUTED_VALUE"""),"")</f>
        <v/>
      </c>
      <c r="G12669" s="18"/>
      <c r="H12669" s="16" t="s">
        <v>87</v>
      </c>
      <c r="I12669" s="16" t="s">
        <v>87</v>
      </c>
      <c r="J12669" s="19"/>
      <c r="L12669" s="16" t="str">
        <f>IFERROR(__xludf.DUMMYFUNCTION("""COMPUTED_VALUE"""),"")</f>
        <v/>
      </c>
      <c r="M12669" s="16" t="str">
        <f>IFERROR(__xludf.DUMMYFUNCTION("""COMPUTED_VALUE"""),"")</f>
        <v/>
      </c>
      <c r="U12669" s="16" t="s">
        <v>87</v>
      </c>
      <c r="V12669" s="16" t="str">
        <f>IFERROR(__xludf.DUMMYFUNCTION("""COMPUTED_VALUE"""),"")</f>
        <v/>
      </c>
      <c r="W12669" s="16" t="str">
        <f>IFERROR(__xludf.DUMMYFUNCTION("""COMPUTED_VALUE"""),"")</f>
        <v/>
      </c>
      <c r="X12669" s="16" t="str">
        <f>IFERROR(__xludf.DUMMYFUNCTION("""COMPUTED_VALUE"""),"")</f>
        <v/>
      </c>
      <c r="AC12669" s="16" t="str">
        <f>IFERROR(__xludf.DUMMYFUNCTION("""COMPUTED_VALUE"""),"")</f>
        <v/>
      </c>
    </row>
    <row r="12670">
      <c r="A12670" s="16" t="s">
        <v>87</v>
      </c>
      <c r="E12670" s="16" t="str">
        <f>IFERROR(__xludf.DUMMYFUNCTION("""COMPUTED_VALUE"""),"")</f>
        <v/>
      </c>
      <c r="G12670" s="18"/>
      <c r="H12670" s="16" t="s">
        <v>87</v>
      </c>
      <c r="I12670" s="16" t="s">
        <v>87</v>
      </c>
      <c r="J12670" s="19"/>
      <c r="L12670" s="16" t="str">
        <f>IFERROR(__xludf.DUMMYFUNCTION("""COMPUTED_VALUE"""),"")</f>
        <v/>
      </c>
      <c r="M12670" s="16" t="str">
        <f>IFERROR(__xludf.DUMMYFUNCTION("""COMPUTED_VALUE"""),"")</f>
        <v/>
      </c>
      <c r="U12670" s="16" t="s">
        <v>87</v>
      </c>
      <c r="V12670" s="16" t="str">
        <f>IFERROR(__xludf.DUMMYFUNCTION("""COMPUTED_VALUE"""),"")</f>
        <v/>
      </c>
      <c r="W12670" s="16" t="str">
        <f>IFERROR(__xludf.DUMMYFUNCTION("""COMPUTED_VALUE"""),"")</f>
        <v/>
      </c>
      <c r="X12670" s="16" t="str">
        <f>IFERROR(__xludf.DUMMYFUNCTION("""COMPUTED_VALUE"""),"")</f>
        <v/>
      </c>
      <c r="AC12670" s="16" t="str">
        <f>IFERROR(__xludf.DUMMYFUNCTION("""COMPUTED_VALUE"""),"")</f>
        <v/>
      </c>
    </row>
    <row r="12671">
      <c r="A12671" s="16" t="s">
        <v>87</v>
      </c>
      <c r="E12671" s="16" t="str">
        <f>IFERROR(__xludf.DUMMYFUNCTION("""COMPUTED_VALUE"""),"")</f>
        <v/>
      </c>
      <c r="G12671" s="18"/>
      <c r="H12671" s="16" t="s">
        <v>87</v>
      </c>
      <c r="I12671" s="16" t="s">
        <v>87</v>
      </c>
      <c r="J12671" s="19"/>
      <c r="L12671" s="16" t="str">
        <f>IFERROR(__xludf.DUMMYFUNCTION("""COMPUTED_VALUE"""),"")</f>
        <v/>
      </c>
      <c r="M12671" s="16" t="str">
        <f>IFERROR(__xludf.DUMMYFUNCTION("""COMPUTED_VALUE"""),"")</f>
        <v/>
      </c>
      <c r="U12671" s="16" t="s">
        <v>87</v>
      </c>
      <c r="V12671" s="16" t="str">
        <f>IFERROR(__xludf.DUMMYFUNCTION("""COMPUTED_VALUE"""),"")</f>
        <v/>
      </c>
      <c r="W12671" s="16" t="str">
        <f>IFERROR(__xludf.DUMMYFUNCTION("""COMPUTED_VALUE"""),"")</f>
        <v/>
      </c>
      <c r="X12671" s="16" t="str">
        <f>IFERROR(__xludf.DUMMYFUNCTION("""COMPUTED_VALUE"""),"")</f>
        <v/>
      </c>
      <c r="AC12671" s="16" t="str">
        <f>IFERROR(__xludf.DUMMYFUNCTION("""COMPUTED_VALUE"""),"")</f>
        <v/>
      </c>
    </row>
    <row r="12672">
      <c r="A12672" s="16" t="s">
        <v>87</v>
      </c>
      <c r="E12672" s="16" t="str">
        <f>IFERROR(__xludf.DUMMYFUNCTION("""COMPUTED_VALUE"""),"")</f>
        <v/>
      </c>
      <c r="G12672" s="18"/>
      <c r="H12672" s="16" t="s">
        <v>87</v>
      </c>
      <c r="I12672" s="16" t="s">
        <v>87</v>
      </c>
      <c r="J12672" s="19"/>
      <c r="L12672" s="16" t="str">
        <f>IFERROR(__xludf.DUMMYFUNCTION("""COMPUTED_VALUE"""),"")</f>
        <v/>
      </c>
      <c r="M12672" s="16" t="str">
        <f>IFERROR(__xludf.DUMMYFUNCTION("""COMPUTED_VALUE"""),"")</f>
        <v/>
      </c>
      <c r="U12672" s="16" t="s">
        <v>87</v>
      </c>
      <c r="V12672" s="16" t="str">
        <f>IFERROR(__xludf.DUMMYFUNCTION("""COMPUTED_VALUE"""),"")</f>
        <v/>
      </c>
      <c r="W12672" s="16" t="str">
        <f>IFERROR(__xludf.DUMMYFUNCTION("""COMPUTED_VALUE"""),"")</f>
        <v/>
      </c>
      <c r="X12672" s="16" t="str">
        <f>IFERROR(__xludf.DUMMYFUNCTION("""COMPUTED_VALUE"""),"")</f>
        <v/>
      </c>
      <c r="AC12672" s="16" t="str">
        <f>IFERROR(__xludf.DUMMYFUNCTION("""COMPUTED_VALUE"""),"")</f>
        <v/>
      </c>
    </row>
    <row r="12673">
      <c r="A12673" s="16" t="s">
        <v>87</v>
      </c>
      <c r="E12673" s="16" t="str">
        <f>IFERROR(__xludf.DUMMYFUNCTION("""COMPUTED_VALUE"""),"")</f>
        <v/>
      </c>
      <c r="G12673" s="18"/>
      <c r="H12673" s="16" t="s">
        <v>87</v>
      </c>
      <c r="I12673" s="16" t="s">
        <v>87</v>
      </c>
      <c r="J12673" s="19"/>
      <c r="L12673" s="16" t="str">
        <f>IFERROR(__xludf.DUMMYFUNCTION("""COMPUTED_VALUE"""),"")</f>
        <v/>
      </c>
      <c r="M12673" s="16" t="str">
        <f>IFERROR(__xludf.DUMMYFUNCTION("""COMPUTED_VALUE"""),"")</f>
        <v/>
      </c>
      <c r="U12673" s="16" t="s">
        <v>87</v>
      </c>
      <c r="V12673" s="16" t="str">
        <f>IFERROR(__xludf.DUMMYFUNCTION("""COMPUTED_VALUE"""),"")</f>
        <v/>
      </c>
      <c r="W12673" s="16" t="str">
        <f>IFERROR(__xludf.DUMMYFUNCTION("""COMPUTED_VALUE"""),"")</f>
        <v/>
      </c>
      <c r="X12673" s="16" t="str">
        <f>IFERROR(__xludf.DUMMYFUNCTION("""COMPUTED_VALUE"""),"")</f>
        <v/>
      </c>
      <c r="AC12673" s="16" t="str">
        <f>IFERROR(__xludf.DUMMYFUNCTION("""COMPUTED_VALUE"""),"")</f>
        <v/>
      </c>
    </row>
    <row r="12674">
      <c r="A12674" s="16" t="s">
        <v>87</v>
      </c>
      <c r="E12674" s="16" t="str">
        <f>IFERROR(__xludf.DUMMYFUNCTION("""COMPUTED_VALUE"""),"")</f>
        <v/>
      </c>
      <c r="G12674" s="18"/>
      <c r="H12674" s="16" t="s">
        <v>87</v>
      </c>
      <c r="I12674" s="16" t="s">
        <v>87</v>
      </c>
      <c r="J12674" s="19"/>
      <c r="L12674" s="16" t="str">
        <f>IFERROR(__xludf.DUMMYFUNCTION("""COMPUTED_VALUE"""),"")</f>
        <v/>
      </c>
      <c r="M12674" s="16" t="str">
        <f>IFERROR(__xludf.DUMMYFUNCTION("""COMPUTED_VALUE"""),"")</f>
        <v/>
      </c>
      <c r="U12674" s="16" t="s">
        <v>87</v>
      </c>
      <c r="V12674" s="16" t="str">
        <f>IFERROR(__xludf.DUMMYFUNCTION("""COMPUTED_VALUE"""),"")</f>
        <v/>
      </c>
      <c r="W12674" s="16" t="str">
        <f>IFERROR(__xludf.DUMMYFUNCTION("""COMPUTED_VALUE"""),"")</f>
        <v/>
      </c>
      <c r="X12674" s="16" t="str">
        <f>IFERROR(__xludf.DUMMYFUNCTION("""COMPUTED_VALUE"""),"")</f>
        <v/>
      </c>
      <c r="AC12674" s="16" t="str">
        <f>IFERROR(__xludf.DUMMYFUNCTION("""COMPUTED_VALUE"""),"")</f>
        <v/>
      </c>
    </row>
    <row r="12675">
      <c r="A12675" s="16" t="s">
        <v>87</v>
      </c>
      <c r="E12675" s="16" t="str">
        <f>IFERROR(__xludf.DUMMYFUNCTION("""COMPUTED_VALUE"""),"")</f>
        <v/>
      </c>
      <c r="G12675" s="18"/>
      <c r="H12675" s="16" t="s">
        <v>87</v>
      </c>
      <c r="I12675" s="16" t="s">
        <v>87</v>
      </c>
      <c r="J12675" s="19"/>
      <c r="L12675" s="16" t="str">
        <f>IFERROR(__xludf.DUMMYFUNCTION("""COMPUTED_VALUE"""),"")</f>
        <v/>
      </c>
      <c r="M12675" s="16" t="str">
        <f>IFERROR(__xludf.DUMMYFUNCTION("""COMPUTED_VALUE"""),"")</f>
        <v/>
      </c>
      <c r="U12675" s="16" t="s">
        <v>87</v>
      </c>
      <c r="V12675" s="16" t="str">
        <f>IFERROR(__xludf.DUMMYFUNCTION("""COMPUTED_VALUE"""),"")</f>
        <v/>
      </c>
      <c r="W12675" s="16" t="str">
        <f>IFERROR(__xludf.DUMMYFUNCTION("""COMPUTED_VALUE"""),"")</f>
        <v/>
      </c>
      <c r="X12675" s="16" t="str">
        <f>IFERROR(__xludf.DUMMYFUNCTION("""COMPUTED_VALUE"""),"")</f>
        <v/>
      </c>
      <c r="AC12675" s="16" t="str">
        <f>IFERROR(__xludf.DUMMYFUNCTION("""COMPUTED_VALUE"""),"")</f>
        <v/>
      </c>
    </row>
    <row r="12676">
      <c r="A12676" s="16" t="s">
        <v>87</v>
      </c>
      <c r="E12676" s="16" t="str">
        <f>IFERROR(__xludf.DUMMYFUNCTION("""COMPUTED_VALUE"""),"")</f>
        <v/>
      </c>
      <c r="G12676" s="18"/>
      <c r="H12676" s="16" t="s">
        <v>87</v>
      </c>
      <c r="I12676" s="16" t="s">
        <v>87</v>
      </c>
      <c r="J12676" s="19"/>
      <c r="L12676" s="16" t="str">
        <f>IFERROR(__xludf.DUMMYFUNCTION("""COMPUTED_VALUE"""),"")</f>
        <v/>
      </c>
      <c r="M12676" s="16" t="str">
        <f>IFERROR(__xludf.DUMMYFUNCTION("""COMPUTED_VALUE"""),"")</f>
        <v/>
      </c>
      <c r="U12676" s="16" t="s">
        <v>87</v>
      </c>
      <c r="V12676" s="16" t="str">
        <f>IFERROR(__xludf.DUMMYFUNCTION("""COMPUTED_VALUE"""),"")</f>
        <v/>
      </c>
      <c r="W12676" s="16" t="str">
        <f>IFERROR(__xludf.DUMMYFUNCTION("""COMPUTED_VALUE"""),"")</f>
        <v/>
      </c>
      <c r="X12676" s="16" t="str">
        <f>IFERROR(__xludf.DUMMYFUNCTION("""COMPUTED_VALUE"""),"")</f>
        <v/>
      </c>
      <c r="AC12676" s="16" t="str">
        <f>IFERROR(__xludf.DUMMYFUNCTION("""COMPUTED_VALUE"""),"")</f>
        <v/>
      </c>
    </row>
    <row r="12677">
      <c r="A12677" s="16" t="s">
        <v>87</v>
      </c>
      <c r="E12677" s="16" t="str">
        <f>IFERROR(__xludf.DUMMYFUNCTION("""COMPUTED_VALUE"""),"")</f>
        <v/>
      </c>
      <c r="G12677" s="18"/>
      <c r="H12677" s="16" t="s">
        <v>87</v>
      </c>
      <c r="I12677" s="16" t="s">
        <v>87</v>
      </c>
      <c r="J12677" s="19"/>
      <c r="L12677" s="16" t="str">
        <f>IFERROR(__xludf.DUMMYFUNCTION("""COMPUTED_VALUE"""),"")</f>
        <v/>
      </c>
      <c r="M12677" s="16" t="str">
        <f>IFERROR(__xludf.DUMMYFUNCTION("""COMPUTED_VALUE"""),"")</f>
        <v/>
      </c>
      <c r="U12677" s="16" t="s">
        <v>87</v>
      </c>
      <c r="V12677" s="16" t="str">
        <f>IFERROR(__xludf.DUMMYFUNCTION("""COMPUTED_VALUE"""),"")</f>
        <v/>
      </c>
      <c r="W12677" s="16" t="str">
        <f>IFERROR(__xludf.DUMMYFUNCTION("""COMPUTED_VALUE"""),"")</f>
        <v/>
      </c>
      <c r="X12677" s="16" t="str">
        <f>IFERROR(__xludf.DUMMYFUNCTION("""COMPUTED_VALUE"""),"")</f>
        <v/>
      </c>
      <c r="AC12677" s="16" t="str">
        <f>IFERROR(__xludf.DUMMYFUNCTION("""COMPUTED_VALUE"""),"")</f>
        <v/>
      </c>
    </row>
    <row r="12678">
      <c r="A12678" s="16" t="s">
        <v>87</v>
      </c>
      <c r="E12678" s="16" t="str">
        <f>IFERROR(__xludf.DUMMYFUNCTION("""COMPUTED_VALUE"""),"")</f>
        <v/>
      </c>
      <c r="G12678" s="18"/>
      <c r="H12678" s="16" t="s">
        <v>87</v>
      </c>
      <c r="I12678" s="16" t="s">
        <v>87</v>
      </c>
      <c r="J12678" s="19"/>
      <c r="L12678" s="16" t="str">
        <f>IFERROR(__xludf.DUMMYFUNCTION("""COMPUTED_VALUE"""),"")</f>
        <v/>
      </c>
      <c r="M12678" s="16" t="str">
        <f>IFERROR(__xludf.DUMMYFUNCTION("""COMPUTED_VALUE"""),"")</f>
        <v/>
      </c>
      <c r="U12678" s="16" t="s">
        <v>87</v>
      </c>
      <c r="V12678" s="16" t="str">
        <f>IFERROR(__xludf.DUMMYFUNCTION("""COMPUTED_VALUE"""),"")</f>
        <v/>
      </c>
      <c r="W12678" s="16" t="str">
        <f>IFERROR(__xludf.DUMMYFUNCTION("""COMPUTED_VALUE"""),"")</f>
        <v/>
      </c>
      <c r="X12678" s="16" t="str">
        <f>IFERROR(__xludf.DUMMYFUNCTION("""COMPUTED_VALUE"""),"")</f>
        <v/>
      </c>
      <c r="AC12678" s="16" t="str">
        <f>IFERROR(__xludf.DUMMYFUNCTION("""COMPUTED_VALUE"""),"")</f>
        <v/>
      </c>
    </row>
    <row r="12679">
      <c r="A12679" s="16" t="s">
        <v>87</v>
      </c>
      <c r="E12679" s="16" t="str">
        <f>IFERROR(__xludf.DUMMYFUNCTION("""COMPUTED_VALUE"""),"")</f>
        <v/>
      </c>
      <c r="G12679" s="18"/>
      <c r="H12679" s="16" t="s">
        <v>87</v>
      </c>
      <c r="I12679" s="16" t="s">
        <v>87</v>
      </c>
      <c r="J12679" s="19"/>
      <c r="L12679" s="16" t="str">
        <f>IFERROR(__xludf.DUMMYFUNCTION("""COMPUTED_VALUE"""),"")</f>
        <v/>
      </c>
      <c r="M12679" s="16" t="str">
        <f>IFERROR(__xludf.DUMMYFUNCTION("""COMPUTED_VALUE"""),"")</f>
        <v/>
      </c>
      <c r="U12679" s="16" t="s">
        <v>87</v>
      </c>
      <c r="V12679" s="16" t="str">
        <f>IFERROR(__xludf.DUMMYFUNCTION("""COMPUTED_VALUE"""),"")</f>
        <v/>
      </c>
      <c r="W12679" s="16" t="str">
        <f>IFERROR(__xludf.DUMMYFUNCTION("""COMPUTED_VALUE"""),"")</f>
        <v/>
      </c>
      <c r="X12679" s="16" t="str">
        <f>IFERROR(__xludf.DUMMYFUNCTION("""COMPUTED_VALUE"""),"")</f>
        <v/>
      </c>
      <c r="AC12679" s="16" t="str">
        <f>IFERROR(__xludf.DUMMYFUNCTION("""COMPUTED_VALUE"""),"")</f>
        <v/>
      </c>
    </row>
    <row r="12680">
      <c r="A12680" s="16" t="s">
        <v>87</v>
      </c>
      <c r="E12680" s="16" t="str">
        <f>IFERROR(__xludf.DUMMYFUNCTION("""COMPUTED_VALUE"""),"")</f>
        <v/>
      </c>
      <c r="G12680" s="18"/>
      <c r="H12680" s="16" t="s">
        <v>87</v>
      </c>
      <c r="I12680" s="16" t="s">
        <v>87</v>
      </c>
      <c r="J12680" s="19"/>
      <c r="L12680" s="16" t="str">
        <f>IFERROR(__xludf.DUMMYFUNCTION("""COMPUTED_VALUE"""),"")</f>
        <v/>
      </c>
      <c r="M12680" s="16" t="str">
        <f>IFERROR(__xludf.DUMMYFUNCTION("""COMPUTED_VALUE"""),"")</f>
        <v/>
      </c>
      <c r="U12680" s="16" t="s">
        <v>87</v>
      </c>
      <c r="V12680" s="16" t="str">
        <f>IFERROR(__xludf.DUMMYFUNCTION("""COMPUTED_VALUE"""),"")</f>
        <v/>
      </c>
      <c r="W12680" s="16" t="str">
        <f>IFERROR(__xludf.DUMMYFUNCTION("""COMPUTED_VALUE"""),"")</f>
        <v/>
      </c>
      <c r="X12680" s="16" t="str">
        <f>IFERROR(__xludf.DUMMYFUNCTION("""COMPUTED_VALUE"""),"")</f>
        <v/>
      </c>
      <c r="AC12680" s="16" t="str">
        <f>IFERROR(__xludf.DUMMYFUNCTION("""COMPUTED_VALUE"""),"")</f>
        <v/>
      </c>
    </row>
    <row r="12681">
      <c r="A12681" s="16" t="s">
        <v>87</v>
      </c>
      <c r="E12681" s="16" t="str">
        <f>IFERROR(__xludf.DUMMYFUNCTION("""COMPUTED_VALUE"""),"")</f>
        <v/>
      </c>
      <c r="G12681" s="18"/>
      <c r="H12681" s="16" t="s">
        <v>87</v>
      </c>
      <c r="I12681" s="16" t="s">
        <v>87</v>
      </c>
      <c r="J12681" s="19"/>
      <c r="L12681" s="16" t="str">
        <f>IFERROR(__xludf.DUMMYFUNCTION("""COMPUTED_VALUE"""),"")</f>
        <v/>
      </c>
      <c r="M12681" s="16" t="str">
        <f>IFERROR(__xludf.DUMMYFUNCTION("""COMPUTED_VALUE"""),"")</f>
        <v/>
      </c>
      <c r="U12681" s="16" t="s">
        <v>87</v>
      </c>
      <c r="V12681" s="16" t="str">
        <f>IFERROR(__xludf.DUMMYFUNCTION("""COMPUTED_VALUE"""),"")</f>
        <v/>
      </c>
      <c r="W12681" s="16" t="str">
        <f>IFERROR(__xludf.DUMMYFUNCTION("""COMPUTED_VALUE"""),"")</f>
        <v/>
      </c>
      <c r="X12681" s="16" t="str">
        <f>IFERROR(__xludf.DUMMYFUNCTION("""COMPUTED_VALUE"""),"")</f>
        <v/>
      </c>
      <c r="AC12681" s="16" t="str">
        <f>IFERROR(__xludf.DUMMYFUNCTION("""COMPUTED_VALUE"""),"")</f>
        <v/>
      </c>
    </row>
    <row r="12682">
      <c r="A12682" s="16" t="s">
        <v>87</v>
      </c>
      <c r="E12682" s="16" t="str">
        <f>IFERROR(__xludf.DUMMYFUNCTION("""COMPUTED_VALUE"""),"")</f>
        <v/>
      </c>
      <c r="G12682" s="18"/>
      <c r="H12682" s="16" t="s">
        <v>87</v>
      </c>
      <c r="I12682" s="16" t="s">
        <v>87</v>
      </c>
      <c r="J12682" s="19"/>
      <c r="L12682" s="16" t="str">
        <f>IFERROR(__xludf.DUMMYFUNCTION("""COMPUTED_VALUE"""),"")</f>
        <v/>
      </c>
      <c r="M12682" s="16" t="str">
        <f>IFERROR(__xludf.DUMMYFUNCTION("""COMPUTED_VALUE"""),"")</f>
        <v/>
      </c>
      <c r="U12682" s="16" t="s">
        <v>87</v>
      </c>
      <c r="V12682" s="16" t="str">
        <f>IFERROR(__xludf.DUMMYFUNCTION("""COMPUTED_VALUE"""),"")</f>
        <v/>
      </c>
      <c r="W12682" s="16" t="str">
        <f>IFERROR(__xludf.DUMMYFUNCTION("""COMPUTED_VALUE"""),"")</f>
        <v/>
      </c>
      <c r="X12682" s="16" t="str">
        <f>IFERROR(__xludf.DUMMYFUNCTION("""COMPUTED_VALUE"""),"")</f>
        <v/>
      </c>
      <c r="AC12682" s="16" t="str">
        <f>IFERROR(__xludf.DUMMYFUNCTION("""COMPUTED_VALUE"""),"")</f>
        <v/>
      </c>
    </row>
    <row r="12683">
      <c r="A12683" s="16" t="s">
        <v>87</v>
      </c>
      <c r="E12683" s="16" t="str">
        <f>IFERROR(__xludf.DUMMYFUNCTION("""COMPUTED_VALUE"""),"")</f>
        <v/>
      </c>
      <c r="G12683" s="18"/>
      <c r="H12683" s="16" t="s">
        <v>87</v>
      </c>
      <c r="I12683" s="16" t="s">
        <v>87</v>
      </c>
      <c r="J12683" s="19"/>
      <c r="L12683" s="16" t="str">
        <f>IFERROR(__xludf.DUMMYFUNCTION("""COMPUTED_VALUE"""),"")</f>
        <v/>
      </c>
      <c r="M12683" s="16" t="str">
        <f>IFERROR(__xludf.DUMMYFUNCTION("""COMPUTED_VALUE"""),"")</f>
        <v/>
      </c>
      <c r="U12683" s="16" t="s">
        <v>87</v>
      </c>
      <c r="V12683" s="16" t="str">
        <f>IFERROR(__xludf.DUMMYFUNCTION("""COMPUTED_VALUE"""),"")</f>
        <v/>
      </c>
      <c r="W12683" s="16" t="str">
        <f>IFERROR(__xludf.DUMMYFUNCTION("""COMPUTED_VALUE"""),"")</f>
        <v/>
      </c>
      <c r="X12683" s="16" t="str">
        <f>IFERROR(__xludf.DUMMYFUNCTION("""COMPUTED_VALUE"""),"")</f>
        <v/>
      </c>
      <c r="AC12683" s="16" t="str">
        <f>IFERROR(__xludf.DUMMYFUNCTION("""COMPUTED_VALUE"""),"")</f>
        <v/>
      </c>
    </row>
    <row r="12684">
      <c r="A12684" s="16" t="s">
        <v>87</v>
      </c>
      <c r="E12684" s="16" t="str">
        <f>IFERROR(__xludf.DUMMYFUNCTION("""COMPUTED_VALUE"""),"")</f>
        <v/>
      </c>
      <c r="G12684" s="18"/>
      <c r="H12684" s="16" t="s">
        <v>87</v>
      </c>
      <c r="I12684" s="16" t="s">
        <v>87</v>
      </c>
      <c r="J12684" s="19"/>
      <c r="L12684" s="16" t="str">
        <f>IFERROR(__xludf.DUMMYFUNCTION("""COMPUTED_VALUE"""),"")</f>
        <v/>
      </c>
      <c r="M12684" s="16" t="str">
        <f>IFERROR(__xludf.DUMMYFUNCTION("""COMPUTED_VALUE"""),"")</f>
        <v/>
      </c>
      <c r="U12684" s="16" t="s">
        <v>87</v>
      </c>
      <c r="V12684" s="16" t="str">
        <f>IFERROR(__xludf.DUMMYFUNCTION("""COMPUTED_VALUE"""),"")</f>
        <v/>
      </c>
      <c r="W12684" s="16" t="str">
        <f>IFERROR(__xludf.DUMMYFUNCTION("""COMPUTED_VALUE"""),"")</f>
        <v/>
      </c>
      <c r="X12684" s="16" t="str">
        <f>IFERROR(__xludf.DUMMYFUNCTION("""COMPUTED_VALUE"""),"")</f>
        <v/>
      </c>
      <c r="AC12684" s="16" t="str">
        <f>IFERROR(__xludf.DUMMYFUNCTION("""COMPUTED_VALUE"""),"")</f>
        <v/>
      </c>
    </row>
    <row r="12685">
      <c r="A12685" s="16" t="s">
        <v>87</v>
      </c>
      <c r="E12685" s="16" t="str">
        <f>IFERROR(__xludf.DUMMYFUNCTION("""COMPUTED_VALUE"""),"")</f>
        <v/>
      </c>
      <c r="G12685" s="18"/>
      <c r="H12685" s="16" t="s">
        <v>87</v>
      </c>
      <c r="I12685" s="16" t="s">
        <v>87</v>
      </c>
      <c r="J12685" s="19"/>
      <c r="L12685" s="16" t="str">
        <f>IFERROR(__xludf.DUMMYFUNCTION("""COMPUTED_VALUE"""),"")</f>
        <v/>
      </c>
      <c r="M12685" s="16" t="str">
        <f>IFERROR(__xludf.DUMMYFUNCTION("""COMPUTED_VALUE"""),"")</f>
        <v/>
      </c>
      <c r="U12685" s="16" t="s">
        <v>87</v>
      </c>
      <c r="V12685" s="16" t="str">
        <f>IFERROR(__xludf.DUMMYFUNCTION("""COMPUTED_VALUE"""),"")</f>
        <v/>
      </c>
      <c r="W12685" s="16" t="str">
        <f>IFERROR(__xludf.DUMMYFUNCTION("""COMPUTED_VALUE"""),"")</f>
        <v/>
      </c>
      <c r="X12685" s="16" t="str">
        <f>IFERROR(__xludf.DUMMYFUNCTION("""COMPUTED_VALUE"""),"")</f>
        <v/>
      </c>
      <c r="AC12685" s="16" t="str">
        <f>IFERROR(__xludf.DUMMYFUNCTION("""COMPUTED_VALUE"""),"")</f>
        <v/>
      </c>
    </row>
    <row r="12686">
      <c r="A12686" s="16" t="s">
        <v>87</v>
      </c>
      <c r="E12686" s="16" t="str">
        <f>IFERROR(__xludf.DUMMYFUNCTION("""COMPUTED_VALUE"""),"")</f>
        <v/>
      </c>
      <c r="G12686" s="18"/>
      <c r="H12686" s="16" t="s">
        <v>87</v>
      </c>
      <c r="I12686" s="16" t="s">
        <v>87</v>
      </c>
      <c r="J12686" s="19"/>
      <c r="L12686" s="16" t="str">
        <f>IFERROR(__xludf.DUMMYFUNCTION("""COMPUTED_VALUE"""),"")</f>
        <v/>
      </c>
      <c r="M12686" s="16" t="str">
        <f>IFERROR(__xludf.DUMMYFUNCTION("""COMPUTED_VALUE"""),"")</f>
        <v/>
      </c>
      <c r="U12686" s="16" t="s">
        <v>87</v>
      </c>
      <c r="V12686" s="16" t="str">
        <f>IFERROR(__xludf.DUMMYFUNCTION("""COMPUTED_VALUE"""),"")</f>
        <v/>
      </c>
      <c r="W12686" s="16" t="str">
        <f>IFERROR(__xludf.DUMMYFUNCTION("""COMPUTED_VALUE"""),"")</f>
        <v/>
      </c>
      <c r="X12686" s="16" t="str">
        <f>IFERROR(__xludf.DUMMYFUNCTION("""COMPUTED_VALUE"""),"")</f>
        <v/>
      </c>
      <c r="AC12686" s="16" t="str">
        <f>IFERROR(__xludf.DUMMYFUNCTION("""COMPUTED_VALUE"""),"")</f>
        <v/>
      </c>
    </row>
    <row r="12687">
      <c r="A12687" s="16" t="s">
        <v>87</v>
      </c>
      <c r="E12687" s="16" t="str">
        <f>IFERROR(__xludf.DUMMYFUNCTION("""COMPUTED_VALUE"""),"")</f>
        <v/>
      </c>
      <c r="G12687" s="18"/>
      <c r="H12687" s="16" t="s">
        <v>87</v>
      </c>
      <c r="I12687" s="16" t="s">
        <v>87</v>
      </c>
      <c r="J12687" s="19"/>
      <c r="L12687" s="16" t="str">
        <f>IFERROR(__xludf.DUMMYFUNCTION("""COMPUTED_VALUE"""),"")</f>
        <v/>
      </c>
      <c r="M12687" s="16" t="str">
        <f>IFERROR(__xludf.DUMMYFUNCTION("""COMPUTED_VALUE"""),"")</f>
        <v/>
      </c>
      <c r="U12687" s="16" t="s">
        <v>87</v>
      </c>
      <c r="V12687" s="16" t="str">
        <f>IFERROR(__xludf.DUMMYFUNCTION("""COMPUTED_VALUE"""),"")</f>
        <v/>
      </c>
      <c r="W12687" s="16" t="str">
        <f>IFERROR(__xludf.DUMMYFUNCTION("""COMPUTED_VALUE"""),"")</f>
        <v/>
      </c>
      <c r="X12687" s="16" t="str">
        <f>IFERROR(__xludf.DUMMYFUNCTION("""COMPUTED_VALUE"""),"")</f>
        <v/>
      </c>
      <c r="AC12687" s="16" t="str">
        <f>IFERROR(__xludf.DUMMYFUNCTION("""COMPUTED_VALUE"""),"")</f>
        <v/>
      </c>
    </row>
    <row r="12688">
      <c r="A12688" s="16" t="s">
        <v>87</v>
      </c>
      <c r="E12688" s="16" t="str">
        <f>IFERROR(__xludf.DUMMYFUNCTION("""COMPUTED_VALUE"""),"")</f>
        <v/>
      </c>
      <c r="G12688" s="18"/>
      <c r="H12688" s="16" t="s">
        <v>87</v>
      </c>
      <c r="I12688" s="16" t="s">
        <v>87</v>
      </c>
      <c r="J12688" s="19"/>
      <c r="L12688" s="16" t="str">
        <f>IFERROR(__xludf.DUMMYFUNCTION("""COMPUTED_VALUE"""),"")</f>
        <v/>
      </c>
      <c r="M12688" s="16" t="str">
        <f>IFERROR(__xludf.DUMMYFUNCTION("""COMPUTED_VALUE"""),"")</f>
        <v/>
      </c>
      <c r="U12688" s="16" t="s">
        <v>87</v>
      </c>
      <c r="V12688" s="16" t="str">
        <f>IFERROR(__xludf.DUMMYFUNCTION("""COMPUTED_VALUE"""),"")</f>
        <v/>
      </c>
      <c r="W12688" s="16" t="str">
        <f>IFERROR(__xludf.DUMMYFUNCTION("""COMPUTED_VALUE"""),"")</f>
        <v/>
      </c>
      <c r="X12688" s="16" t="str">
        <f>IFERROR(__xludf.DUMMYFUNCTION("""COMPUTED_VALUE"""),"")</f>
        <v/>
      </c>
      <c r="AC12688" s="16" t="str">
        <f>IFERROR(__xludf.DUMMYFUNCTION("""COMPUTED_VALUE"""),"")</f>
        <v/>
      </c>
    </row>
    <row r="12689">
      <c r="A12689" s="16" t="s">
        <v>87</v>
      </c>
      <c r="E12689" s="16" t="str">
        <f>IFERROR(__xludf.DUMMYFUNCTION("""COMPUTED_VALUE"""),"")</f>
        <v/>
      </c>
      <c r="G12689" s="18"/>
      <c r="H12689" s="16" t="s">
        <v>87</v>
      </c>
      <c r="I12689" s="16" t="s">
        <v>87</v>
      </c>
      <c r="J12689" s="19"/>
      <c r="L12689" s="16" t="str">
        <f>IFERROR(__xludf.DUMMYFUNCTION("""COMPUTED_VALUE"""),"")</f>
        <v/>
      </c>
      <c r="M12689" s="16" t="str">
        <f>IFERROR(__xludf.DUMMYFUNCTION("""COMPUTED_VALUE"""),"")</f>
        <v/>
      </c>
      <c r="U12689" s="16" t="s">
        <v>87</v>
      </c>
      <c r="V12689" s="16" t="str">
        <f>IFERROR(__xludf.DUMMYFUNCTION("""COMPUTED_VALUE"""),"")</f>
        <v/>
      </c>
      <c r="W12689" s="16" t="str">
        <f>IFERROR(__xludf.DUMMYFUNCTION("""COMPUTED_VALUE"""),"")</f>
        <v/>
      </c>
      <c r="X12689" s="16" t="str">
        <f>IFERROR(__xludf.DUMMYFUNCTION("""COMPUTED_VALUE"""),"")</f>
        <v/>
      </c>
      <c r="AC12689" s="16" t="str">
        <f>IFERROR(__xludf.DUMMYFUNCTION("""COMPUTED_VALUE"""),"")</f>
        <v/>
      </c>
    </row>
    <row r="12690">
      <c r="A12690" s="16" t="s">
        <v>87</v>
      </c>
      <c r="E12690" s="16" t="str">
        <f>IFERROR(__xludf.DUMMYFUNCTION("""COMPUTED_VALUE"""),"")</f>
        <v/>
      </c>
      <c r="G12690" s="18"/>
      <c r="H12690" s="16" t="s">
        <v>87</v>
      </c>
      <c r="I12690" s="16" t="s">
        <v>87</v>
      </c>
      <c r="J12690" s="19"/>
      <c r="L12690" s="16" t="str">
        <f>IFERROR(__xludf.DUMMYFUNCTION("""COMPUTED_VALUE"""),"")</f>
        <v/>
      </c>
      <c r="M12690" s="16" t="str">
        <f>IFERROR(__xludf.DUMMYFUNCTION("""COMPUTED_VALUE"""),"")</f>
        <v/>
      </c>
      <c r="U12690" s="16" t="s">
        <v>87</v>
      </c>
      <c r="V12690" s="16" t="str">
        <f>IFERROR(__xludf.DUMMYFUNCTION("""COMPUTED_VALUE"""),"")</f>
        <v/>
      </c>
      <c r="W12690" s="16" t="str">
        <f>IFERROR(__xludf.DUMMYFUNCTION("""COMPUTED_VALUE"""),"")</f>
        <v/>
      </c>
      <c r="X12690" s="16" t="str">
        <f>IFERROR(__xludf.DUMMYFUNCTION("""COMPUTED_VALUE"""),"")</f>
        <v/>
      </c>
      <c r="AC12690" s="16" t="str">
        <f>IFERROR(__xludf.DUMMYFUNCTION("""COMPUTED_VALUE"""),"")</f>
        <v/>
      </c>
    </row>
    <row r="12691">
      <c r="A12691" s="16" t="s">
        <v>87</v>
      </c>
      <c r="E12691" s="16" t="str">
        <f>IFERROR(__xludf.DUMMYFUNCTION("""COMPUTED_VALUE"""),"")</f>
        <v/>
      </c>
      <c r="G12691" s="18"/>
      <c r="H12691" s="16" t="s">
        <v>87</v>
      </c>
      <c r="I12691" s="16" t="s">
        <v>87</v>
      </c>
      <c r="J12691" s="19"/>
      <c r="L12691" s="16" t="str">
        <f>IFERROR(__xludf.DUMMYFUNCTION("""COMPUTED_VALUE"""),"")</f>
        <v/>
      </c>
      <c r="M12691" s="16" t="str">
        <f>IFERROR(__xludf.DUMMYFUNCTION("""COMPUTED_VALUE"""),"")</f>
        <v/>
      </c>
      <c r="U12691" s="16" t="s">
        <v>87</v>
      </c>
      <c r="V12691" s="16" t="str">
        <f>IFERROR(__xludf.DUMMYFUNCTION("""COMPUTED_VALUE"""),"")</f>
        <v/>
      </c>
      <c r="W12691" s="16" t="str">
        <f>IFERROR(__xludf.DUMMYFUNCTION("""COMPUTED_VALUE"""),"")</f>
        <v/>
      </c>
      <c r="X12691" s="16" t="str">
        <f>IFERROR(__xludf.DUMMYFUNCTION("""COMPUTED_VALUE"""),"")</f>
        <v/>
      </c>
      <c r="AC12691" s="16" t="str">
        <f>IFERROR(__xludf.DUMMYFUNCTION("""COMPUTED_VALUE"""),"")</f>
        <v/>
      </c>
    </row>
    <row r="12692">
      <c r="A12692" s="16" t="s">
        <v>87</v>
      </c>
      <c r="E12692" s="16" t="str">
        <f>IFERROR(__xludf.DUMMYFUNCTION("""COMPUTED_VALUE"""),"")</f>
        <v/>
      </c>
      <c r="G12692" s="18"/>
      <c r="H12692" s="16" t="s">
        <v>87</v>
      </c>
      <c r="I12692" s="16" t="s">
        <v>87</v>
      </c>
      <c r="J12692" s="19"/>
      <c r="L12692" s="16" t="str">
        <f>IFERROR(__xludf.DUMMYFUNCTION("""COMPUTED_VALUE"""),"")</f>
        <v/>
      </c>
      <c r="M12692" s="16" t="str">
        <f>IFERROR(__xludf.DUMMYFUNCTION("""COMPUTED_VALUE"""),"")</f>
        <v/>
      </c>
      <c r="U12692" s="16" t="s">
        <v>87</v>
      </c>
      <c r="V12692" s="16" t="str">
        <f>IFERROR(__xludf.DUMMYFUNCTION("""COMPUTED_VALUE"""),"")</f>
        <v/>
      </c>
      <c r="W12692" s="16" t="str">
        <f>IFERROR(__xludf.DUMMYFUNCTION("""COMPUTED_VALUE"""),"")</f>
        <v/>
      </c>
      <c r="X12692" s="16" t="str">
        <f>IFERROR(__xludf.DUMMYFUNCTION("""COMPUTED_VALUE"""),"")</f>
        <v/>
      </c>
      <c r="AC12692" s="16" t="str">
        <f>IFERROR(__xludf.DUMMYFUNCTION("""COMPUTED_VALUE"""),"")</f>
        <v/>
      </c>
    </row>
    <row r="12693">
      <c r="A12693" s="16" t="s">
        <v>87</v>
      </c>
      <c r="E12693" s="16" t="str">
        <f>IFERROR(__xludf.DUMMYFUNCTION("""COMPUTED_VALUE"""),"")</f>
        <v/>
      </c>
      <c r="G12693" s="18"/>
      <c r="H12693" s="16" t="s">
        <v>87</v>
      </c>
      <c r="I12693" s="16" t="s">
        <v>87</v>
      </c>
      <c r="J12693" s="19"/>
      <c r="L12693" s="16" t="str">
        <f>IFERROR(__xludf.DUMMYFUNCTION("""COMPUTED_VALUE"""),"")</f>
        <v/>
      </c>
      <c r="M12693" s="16" t="str">
        <f>IFERROR(__xludf.DUMMYFUNCTION("""COMPUTED_VALUE"""),"")</f>
        <v/>
      </c>
      <c r="U12693" s="16" t="s">
        <v>87</v>
      </c>
      <c r="V12693" s="16" t="str">
        <f>IFERROR(__xludf.DUMMYFUNCTION("""COMPUTED_VALUE"""),"")</f>
        <v/>
      </c>
      <c r="W12693" s="16" t="str">
        <f>IFERROR(__xludf.DUMMYFUNCTION("""COMPUTED_VALUE"""),"")</f>
        <v/>
      </c>
      <c r="X12693" s="16" t="str">
        <f>IFERROR(__xludf.DUMMYFUNCTION("""COMPUTED_VALUE"""),"")</f>
        <v/>
      </c>
      <c r="AC12693" s="16" t="str">
        <f>IFERROR(__xludf.DUMMYFUNCTION("""COMPUTED_VALUE"""),"")</f>
        <v/>
      </c>
    </row>
    <row r="12694">
      <c r="A12694" s="16" t="s">
        <v>87</v>
      </c>
      <c r="E12694" s="16" t="str">
        <f>IFERROR(__xludf.DUMMYFUNCTION("""COMPUTED_VALUE"""),"")</f>
        <v/>
      </c>
      <c r="G12694" s="18"/>
      <c r="H12694" s="16" t="s">
        <v>87</v>
      </c>
      <c r="I12694" s="16" t="s">
        <v>87</v>
      </c>
      <c r="J12694" s="19"/>
      <c r="L12694" s="16" t="str">
        <f>IFERROR(__xludf.DUMMYFUNCTION("""COMPUTED_VALUE"""),"")</f>
        <v/>
      </c>
      <c r="M12694" s="16" t="str">
        <f>IFERROR(__xludf.DUMMYFUNCTION("""COMPUTED_VALUE"""),"")</f>
        <v/>
      </c>
      <c r="U12694" s="16" t="s">
        <v>87</v>
      </c>
      <c r="V12694" s="16" t="str">
        <f>IFERROR(__xludf.DUMMYFUNCTION("""COMPUTED_VALUE"""),"")</f>
        <v/>
      </c>
      <c r="W12694" s="16" t="str">
        <f>IFERROR(__xludf.DUMMYFUNCTION("""COMPUTED_VALUE"""),"")</f>
        <v/>
      </c>
      <c r="X12694" s="16" t="str">
        <f>IFERROR(__xludf.DUMMYFUNCTION("""COMPUTED_VALUE"""),"")</f>
        <v/>
      </c>
      <c r="AC12694" s="16" t="str">
        <f>IFERROR(__xludf.DUMMYFUNCTION("""COMPUTED_VALUE"""),"")</f>
        <v/>
      </c>
    </row>
    <row r="12695">
      <c r="A12695" s="16" t="s">
        <v>87</v>
      </c>
      <c r="E12695" s="16" t="str">
        <f>IFERROR(__xludf.DUMMYFUNCTION("""COMPUTED_VALUE"""),"")</f>
        <v/>
      </c>
      <c r="G12695" s="18"/>
      <c r="H12695" s="16" t="s">
        <v>87</v>
      </c>
      <c r="I12695" s="16" t="s">
        <v>87</v>
      </c>
      <c r="J12695" s="19"/>
      <c r="L12695" s="16" t="str">
        <f>IFERROR(__xludf.DUMMYFUNCTION("""COMPUTED_VALUE"""),"")</f>
        <v/>
      </c>
      <c r="M12695" s="16" t="str">
        <f>IFERROR(__xludf.DUMMYFUNCTION("""COMPUTED_VALUE"""),"")</f>
        <v/>
      </c>
      <c r="U12695" s="16" t="s">
        <v>87</v>
      </c>
      <c r="V12695" s="16" t="str">
        <f>IFERROR(__xludf.DUMMYFUNCTION("""COMPUTED_VALUE"""),"")</f>
        <v/>
      </c>
      <c r="W12695" s="16" t="str">
        <f>IFERROR(__xludf.DUMMYFUNCTION("""COMPUTED_VALUE"""),"")</f>
        <v/>
      </c>
      <c r="X12695" s="16" t="str">
        <f>IFERROR(__xludf.DUMMYFUNCTION("""COMPUTED_VALUE"""),"")</f>
        <v/>
      </c>
      <c r="AC12695" s="16" t="str">
        <f>IFERROR(__xludf.DUMMYFUNCTION("""COMPUTED_VALUE"""),"")</f>
        <v/>
      </c>
    </row>
    <row r="12696">
      <c r="A12696" s="16" t="s">
        <v>87</v>
      </c>
      <c r="E12696" s="16" t="str">
        <f>IFERROR(__xludf.DUMMYFUNCTION("""COMPUTED_VALUE"""),"")</f>
        <v/>
      </c>
      <c r="G12696" s="18"/>
      <c r="H12696" s="16" t="s">
        <v>87</v>
      </c>
      <c r="I12696" s="16" t="s">
        <v>87</v>
      </c>
      <c r="J12696" s="19"/>
      <c r="L12696" s="16" t="str">
        <f>IFERROR(__xludf.DUMMYFUNCTION("""COMPUTED_VALUE"""),"")</f>
        <v/>
      </c>
      <c r="M12696" s="16" t="str">
        <f>IFERROR(__xludf.DUMMYFUNCTION("""COMPUTED_VALUE"""),"")</f>
        <v/>
      </c>
      <c r="U12696" s="16" t="s">
        <v>87</v>
      </c>
      <c r="V12696" s="16" t="str">
        <f>IFERROR(__xludf.DUMMYFUNCTION("""COMPUTED_VALUE"""),"")</f>
        <v/>
      </c>
      <c r="W12696" s="16" t="str">
        <f>IFERROR(__xludf.DUMMYFUNCTION("""COMPUTED_VALUE"""),"")</f>
        <v/>
      </c>
      <c r="X12696" s="16" t="str">
        <f>IFERROR(__xludf.DUMMYFUNCTION("""COMPUTED_VALUE"""),"")</f>
        <v/>
      </c>
      <c r="AC12696" s="16" t="str">
        <f>IFERROR(__xludf.DUMMYFUNCTION("""COMPUTED_VALUE"""),"")</f>
        <v/>
      </c>
    </row>
    <row r="12697">
      <c r="A12697" s="16" t="s">
        <v>87</v>
      </c>
      <c r="E12697" s="16" t="str">
        <f>IFERROR(__xludf.DUMMYFUNCTION("""COMPUTED_VALUE"""),"")</f>
        <v/>
      </c>
      <c r="G12697" s="18"/>
      <c r="H12697" s="16" t="s">
        <v>87</v>
      </c>
      <c r="I12697" s="16" t="s">
        <v>87</v>
      </c>
      <c r="J12697" s="19"/>
      <c r="L12697" s="16" t="str">
        <f>IFERROR(__xludf.DUMMYFUNCTION("""COMPUTED_VALUE"""),"")</f>
        <v/>
      </c>
      <c r="M12697" s="16" t="str">
        <f>IFERROR(__xludf.DUMMYFUNCTION("""COMPUTED_VALUE"""),"")</f>
        <v/>
      </c>
      <c r="U12697" s="16" t="s">
        <v>87</v>
      </c>
      <c r="V12697" s="16" t="str">
        <f>IFERROR(__xludf.DUMMYFUNCTION("""COMPUTED_VALUE"""),"")</f>
        <v/>
      </c>
      <c r="W12697" s="16" t="str">
        <f>IFERROR(__xludf.DUMMYFUNCTION("""COMPUTED_VALUE"""),"")</f>
        <v/>
      </c>
      <c r="X12697" s="16" t="str">
        <f>IFERROR(__xludf.DUMMYFUNCTION("""COMPUTED_VALUE"""),"")</f>
        <v/>
      </c>
      <c r="AC12697" s="16" t="str">
        <f>IFERROR(__xludf.DUMMYFUNCTION("""COMPUTED_VALUE"""),"")</f>
        <v/>
      </c>
    </row>
    <row r="12698">
      <c r="A12698" s="16" t="s">
        <v>87</v>
      </c>
      <c r="E12698" s="16" t="str">
        <f>IFERROR(__xludf.DUMMYFUNCTION("""COMPUTED_VALUE"""),"")</f>
        <v/>
      </c>
      <c r="G12698" s="18"/>
      <c r="H12698" s="16" t="s">
        <v>87</v>
      </c>
      <c r="I12698" s="16" t="s">
        <v>87</v>
      </c>
      <c r="J12698" s="19"/>
      <c r="L12698" s="16" t="str">
        <f>IFERROR(__xludf.DUMMYFUNCTION("""COMPUTED_VALUE"""),"")</f>
        <v/>
      </c>
      <c r="M12698" s="16" t="str">
        <f>IFERROR(__xludf.DUMMYFUNCTION("""COMPUTED_VALUE"""),"")</f>
        <v/>
      </c>
      <c r="U12698" s="16" t="s">
        <v>87</v>
      </c>
      <c r="V12698" s="16" t="str">
        <f>IFERROR(__xludf.DUMMYFUNCTION("""COMPUTED_VALUE"""),"")</f>
        <v/>
      </c>
      <c r="W12698" s="16" t="str">
        <f>IFERROR(__xludf.DUMMYFUNCTION("""COMPUTED_VALUE"""),"")</f>
        <v/>
      </c>
      <c r="X12698" s="16" t="str">
        <f>IFERROR(__xludf.DUMMYFUNCTION("""COMPUTED_VALUE"""),"")</f>
        <v/>
      </c>
      <c r="AC12698" s="16" t="str">
        <f>IFERROR(__xludf.DUMMYFUNCTION("""COMPUTED_VALUE"""),"")</f>
        <v/>
      </c>
    </row>
    <row r="12699">
      <c r="A12699" s="16" t="s">
        <v>87</v>
      </c>
      <c r="E12699" s="16" t="str">
        <f>IFERROR(__xludf.DUMMYFUNCTION("""COMPUTED_VALUE"""),"")</f>
        <v/>
      </c>
      <c r="G12699" s="18"/>
      <c r="H12699" s="16" t="s">
        <v>87</v>
      </c>
      <c r="I12699" s="16" t="s">
        <v>87</v>
      </c>
      <c r="J12699" s="19"/>
      <c r="L12699" s="16" t="str">
        <f>IFERROR(__xludf.DUMMYFUNCTION("""COMPUTED_VALUE"""),"")</f>
        <v/>
      </c>
      <c r="M12699" s="16" t="str">
        <f>IFERROR(__xludf.DUMMYFUNCTION("""COMPUTED_VALUE"""),"")</f>
        <v/>
      </c>
      <c r="U12699" s="16" t="s">
        <v>87</v>
      </c>
      <c r="V12699" s="16" t="str">
        <f>IFERROR(__xludf.DUMMYFUNCTION("""COMPUTED_VALUE"""),"")</f>
        <v/>
      </c>
      <c r="W12699" s="16" t="str">
        <f>IFERROR(__xludf.DUMMYFUNCTION("""COMPUTED_VALUE"""),"")</f>
        <v/>
      </c>
      <c r="X12699" s="16" t="str">
        <f>IFERROR(__xludf.DUMMYFUNCTION("""COMPUTED_VALUE"""),"")</f>
        <v/>
      </c>
      <c r="AC12699" s="16" t="str">
        <f>IFERROR(__xludf.DUMMYFUNCTION("""COMPUTED_VALUE"""),"")</f>
        <v/>
      </c>
    </row>
    <row r="12700">
      <c r="A12700" s="16" t="s">
        <v>87</v>
      </c>
      <c r="E12700" s="16" t="str">
        <f>IFERROR(__xludf.DUMMYFUNCTION("""COMPUTED_VALUE"""),"")</f>
        <v/>
      </c>
      <c r="G12700" s="18"/>
      <c r="H12700" s="16" t="s">
        <v>87</v>
      </c>
      <c r="I12700" s="16" t="s">
        <v>87</v>
      </c>
      <c r="J12700" s="19"/>
      <c r="L12700" s="16" t="str">
        <f>IFERROR(__xludf.DUMMYFUNCTION("""COMPUTED_VALUE"""),"")</f>
        <v/>
      </c>
      <c r="M12700" s="16" t="str">
        <f>IFERROR(__xludf.DUMMYFUNCTION("""COMPUTED_VALUE"""),"")</f>
        <v/>
      </c>
      <c r="U12700" s="16" t="s">
        <v>87</v>
      </c>
      <c r="V12700" s="16" t="str">
        <f>IFERROR(__xludf.DUMMYFUNCTION("""COMPUTED_VALUE"""),"")</f>
        <v/>
      </c>
      <c r="W12700" s="16" t="str">
        <f>IFERROR(__xludf.DUMMYFUNCTION("""COMPUTED_VALUE"""),"")</f>
        <v/>
      </c>
      <c r="X12700" s="16" t="str">
        <f>IFERROR(__xludf.DUMMYFUNCTION("""COMPUTED_VALUE"""),"")</f>
        <v/>
      </c>
      <c r="AC12700" s="16" t="str">
        <f>IFERROR(__xludf.DUMMYFUNCTION("""COMPUTED_VALUE"""),"")</f>
        <v/>
      </c>
    </row>
    <row r="12701">
      <c r="A12701" s="16" t="s">
        <v>87</v>
      </c>
      <c r="E12701" s="16" t="str">
        <f>IFERROR(__xludf.DUMMYFUNCTION("""COMPUTED_VALUE"""),"")</f>
        <v/>
      </c>
      <c r="G12701" s="18"/>
      <c r="H12701" s="16" t="s">
        <v>87</v>
      </c>
      <c r="I12701" s="16" t="s">
        <v>87</v>
      </c>
      <c r="J12701" s="19"/>
      <c r="L12701" s="16" t="str">
        <f>IFERROR(__xludf.DUMMYFUNCTION("""COMPUTED_VALUE"""),"")</f>
        <v/>
      </c>
      <c r="M12701" s="16" t="str">
        <f>IFERROR(__xludf.DUMMYFUNCTION("""COMPUTED_VALUE"""),"")</f>
        <v/>
      </c>
      <c r="U12701" s="16" t="s">
        <v>87</v>
      </c>
      <c r="V12701" s="16" t="str">
        <f>IFERROR(__xludf.DUMMYFUNCTION("""COMPUTED_VALUE"""),"")</f>
        <v/>
      </c>
      <c r="W12701" s="16" t="str">
        <f>IFERROR(__xludf.DUMMYFUNCTION("""COMPUTED_VALUE"""),"")</f>
        <v/>
      </c>
      <c r="X12701" s="16" t="str">
        <f>IFERROR(__xludf.DUMMYFUNCTION("""COMPUTED_VALUE"""),"")</f>
        <v/>
      </c>
      <c r="AC12701" s="16" t="str">
        <f>IFERROR(__xludf.DUMMYFUNCTION("""COMPUTED_VALUE"""),"")</f>
        <v/>
      </c>
    </row>
    <row r="12702">
      <c r="A12702" s="16" t="s">
        <v>87</v>
      </c>
      <c r="E12702" s="16" t="str">
        <f>IFERROR(__xludf.DUMMYFUNCTION("""COMPUTED_VALUE"""),"")</f>
        <v/>
      </c>
      <c r="G12702" s="18"/>
      <c r="H12702" s="16" t="s">
        <v>87</v>
      </c>
      <c r="I12702" s="16" t="s">
        <v>87</v>
      </c>
      <c r="J12702" s="19"/>
      <c r="L12702" s="16" t="str">
        <f>IFERROR(__xludf.DUMMYFUNCTION("""COMPUTED_VALUE"""),"")</f>
        <v/>
      </c>
      <c r="M12702" s="16" t="str">
        <f>IFERROR(__xludf.DUMMYFUNCTION("""COMPUTED_VALUE"""),"")</f>
        <v/>
      </c>
      <c r="U12702" s="16" t="s">
        <v>87</v>
      </c>
      <c r="V12702" s="16" t="str">
        <f>IFERROR(__xludf.DUMMYFUNCTION("""COMPUTED_VALUE"""),"")</f>
        <v/>
      </c>
      <c r="W12702" s="16" t="str">
        <f>IFERROR(__xludf.DUMMYFUNCTION("""COMPUTED_VALUE"""),"")</f>
        <v/>
      </c>
      <c r="X12702" s="16" t="str">
        <f>IFERROR(__xludf.DUMMYFUNCTION("""COMPUTED_VALUE"""),"")</f>
        <v/>
      </c>
      <c r="AC12702" s="16" t="str">
        <f>IFERROR(__xludf.DUMMYFUNCTION("""COMPUTED_VALUE"""),"")</f>
        <v/>
      </c>
    </row>
    <row r="12703">
      <c r="A12703" s="16" t="s">
        <v>87</v>
      </c>
      <c r="E12703" s="16" t="str">
        <f>IFERROR(__xludf.DUMMYFUNCTION("""COMPUTED_VALUE"""),"")</f>
        <v/>
      </c>
      <c r="G12703" s="18"/>
      <c r="H12703" s="16" t="s">
        <v>87</v>
      </c>
      <c r="I12703" s="16" t="s">
        <v>87</v>
      </c>
      <c r="J12703" s="19"/>
      <c r="L12703" s="16" t="str">
        <f>IFERROR(__xludf.DUMMYFUNCTION("""COMPUTED_VALUE"""),"")</f>
        <v/>
      </c>
      <c r="M12703" s="16" t="str">
        <f>IFERROR(__xludf.DUMMYFUNCTION("""COMPUTED_VALUE"""),"")</f>
        <v/>
      </c>
      <c r="U12703" s="16" t="s">
        <v>87</v>
      </c>
      <c r="V12703" s="16" t="str">
        <f>IFERROR(__xludf.DUMMYFUNCTION("""COMPUTED_VALUE"""),"")</f>
        <v/>
      </c>
      <c r="W12703" s="16" t="str">
        <f>IFERROR(__xludf.DUMMYFUNCTION("""COMPUTED_VALUE"""),"")</f>
        <v/>
      </c>
      <c r="X12703" s="16" t="str">
        <f>IFERROR(__xludf.DUMMYFUNCTION("""COMPUTED_VALUE"""),"")</f>
        <v/>
      </c>
      <c r="AC12703" s="16" t="str">
        <f>IFERROR(__xludf.DUMMYFUNCTION("""COMPUTED_VALUE"""),"")</f>
        <v/>
      </c>
    </row>
    <row r="12704">
      <c r="A12704" s="16" t="s">
        <v>87</v>
      </c>
      <c r="E12704" s="16" t="str">
        <f>IFERROR(__xludf.DUMMYFUNCTION("""COMPUTED_VALUE"""),"")</f>
        <v/>
      </c>
      <c r="G12704" s="18"/>
      <c r="H12704" s="16" t="s">
        <v>87</v>
      </c>
      <c r="I12704" s="16" t="s">
        <v>87</v>
      </c>
      <c r="J12704" s="19"/>
      <c r="L12704" s="16" t="str">
        <f>IFERROR(__xludf.DUMMYFUNCTION("""COMPUTED_VALUE"""),"")</f>
        <v/>
      </c>
      <c r="M12704" s="16" t="str">
        <f>IFERROR(__xludf.DUMMYFUNCTION("""COMPUTED_VALUE"""),"")</f>
        <v/>
      </c>
      <c r="U12704" s="16" t="s">
        <v>87</v>
      </c>
      <c r="V12704" s="16" t="str">
        <f>IFERROR(__xludf.DUMMYFUNCTION("""COMPUTED_VALUE"""),"")</f>
        <v/>
      </c>
      <c r="W12704" s="16" t="str">
        <f>IFERROR(__xludf.DUMMYFUNCTION("""COMPUTED_VALUE"""),"")</f>
        <v/>
      </c>
      <c r="X12704" s="16" t="str">
        <f>IFERROR(__xludf.DUMMYFUNCTION("""COMPUTED_VALUE"""),"")</f>
        <v/>
      </c>
      <c r="AC12704" s="16" t="str">
        <f>IFERROR(__xludf.DUMMYFUNCTION("""COMPUTED_VALUE"""),"")</f>
        <v/>
      </c>
    </row>
    <row r="12705">
      <c r="A12705" s="16" t="s">
        <v>87</v>
      </c>
      <c r="E12705" s="16" t="str">
        <f>IFERROR(__xludf.DUMMYFUNCTION("""COMPUTED_VALUE"""),"")</f>
        <v/>
      </c>
      <c r="G12705" s="18"/>
      <c r="H12705" s="16" t="s">
        <v>87</v>
      </c>
      <c r="I12705" s="16" t="s">
        <v>87</v>
      </c>
      <c r="J12705" s="19"/>
      <c r="L12705" s="16" t="str">
        <f>IFERROR(__xludf.DUMMYFUNCTION("""COMPUTED_VALUE"""),"")</f>
        <v/>
      </c>
      <c r="M12705" s="16" t="str">
        <f>IFERROR(__xludf.DUMMYFUNCTION("""COMPUTED_VALUE"""),"")</f>
        <v/>
      </c>
      <c r="U12705" s="16" t="s">
        <v>87</v>
      </c>
      <c r="V12705" s="16" t="str">
        <f>IFERROR(__xludf.DUMMYFUNCTION("""COMPUTED_VALUE"""),"")</f>
        <v/>
      </c>
      <c r="W12705" s="16" t="str">
        <f>IFERROR(__xludf.DUMMYFUNCTION("""COMPUTED_VALUE"""),"")</f>
        <v/>
      </c>
      <c r="X12705" s="16" t="str">
        <f>IFERROR(__xludf.DUMMYFUNCTION("""COMPUTED_VALUE"""),"")</f>
        <v/>
      </c>
      <c r="AC12705" s="16" t="str">
        <f>IFERROR(__xludf.DUMMYFUNCTION("""COMPUTED_VALUE"""),"")</f>
        <v/>
      </c>
    </row>
    <row r="12706">
      <c r="A12706" s="16" t="s">
        <v>87</v>
      </c>
      <c r="E12706" s="16" t="str">
        <f>IFERROR(__xludf.DUMMYFUNCTION("""COMPUTED_VALUE"""),"")</f>
        <v/>
      </c>
      <c r="G12706" s="18"/>
      <c r="H12706" s="16" t="s">
        <v>87</v>
      </c>
      <c r="I12706" s="16" t="s">
        <v>87</v>
      </c>
      <c r="J12706" s="19"/>
      <c r="L12706" s="16" t="str">
        <f>IFERROR(__xludf.DUMMYFUNCTION("""COMPUTED_VALUE"""),"")</f>
        <v/>
      </c>
      <c r="M12706" s="16" t="str">
        <f>IFERROR(__xludf.DUMMYFUNCTION("""COMPUTED_VALUE"""),"")</f>
        <v/>
      </c>
      <c r="U12706" s="16" t="s">
        <v>87</v>
      </c>
      <c r="V12706" s="16" t="str">
        <f>IFERROR(__xludf.DUMMYFUNCTION("""COMPUTED_VALUE"""),"")</f>
        <v/>
      </c>
      <c r="W12706" s="16" t="str">
        <f>IFERROR(__xludf.DUMMYFUNCTION("""COMPUTED_VALUE"""),"")</f>
        <v/>
      </c>
      <c r="X12706" s="16" t="str">
        <f>IFERROR(__xludf.DUMMYFUNCTION("""COMPUTED_VALUE"""),"")</f>
        <v/>
      </c>
      <c r="AC12706" s="16" t="str">
        <f>IFERROR(__xludf.DUMMYFUNCTION("""COMPUTED_VALUE"""),"")</f>
        <v/>
      </c>
    </row>
    <row r="12707">
      <c r="A12707" s="16" t="s">
        <v>87</v>
      </c>
      <c r="E12707" s="16" t="str">
        <f>IFERROR(__xludf.DUMMYFUNCTION("""COMPUTED_VALUE"""),"")</f>
        <v/>
      </c>
      <c r="G12707" s="18"/>
      <c r="H12707" s="16" t="s">
        <v>87</v>
      </c>
      <c r="I12707" s="16" t="s">
        <v>87</v>
      </c>
      <c r="J12707" s="19"/>
      <c r="L12707" s="16" t="str">
        <f>IFERROR(__xludf.DUMMYFUNCTION("""COMPUTED_VALUE"""),"")</f>
        <v/>
      </c>
      <c r="M12707" s="16" t="str">
        <f>IFERROR(__xludf.DUMMYFUNCTION("""COMPUTED_VALUE"""),"")</f>
        <v/>
      </c>
      <c r="U12707" s="16" t="s">
        <v>87</v>
      </c>
      <c r="V12707" s="16" t="str">
        <f>IFERROR(__xludf.DUMMYFUNCTION("""COMPUTED_VALUE"""),"")</f>
        <v/>
      </c>
      <c r="W12707" s="16" t="str">
        <f>IFERROR(__xludf.DUMMYFUNCTION("""COMPUTED_VALUE"""),"")</f>
        <v/>
      </c>
      <c r="X12707" s="16" t="str">
        <f>IFERROR(__xludf.DUMMYFUNCTION("""COMPUTED_VALUE"""),"")</f>
        <v/>
      </c>
      <c r="AC12707" s="16" t="str">
        <f>IFERROR(__xludf.DUMMYFUNCTION("""COMPUTED_VALUE"""),"")</f>
        <v/>
      </c>
    </row>
    <row r="12708">
      <c r="A12708" s="16" t="s">
        <v>87</v>
      </c>
      <c r="E12708" s="16" t="str">
        <f>IFERROR(__xludf.DUMMYFUNCTION("""COMPUTED_VALUE"""),"")</f>
        <v/>
      </c>
      <c r="G12708" s="18"/>
      <c r="H12708" s="16" t="s">
        <v>87</v>
      </c>
      <c r="I12708" s="16" t="s">
        <v>87</v>
      </c>
      <c r="J12708" s="19"/>
      <c r="L12708" s="16" t="str">
        <f>IFERROR(__xludf.DUMMYFUNCTION("""COMPUTED_VALUE"""),"")</f>
        <v/>
      </c>
      <c r="M12708" s="16" t="str">
        <f>IFERROR(__xludf.DUMMYFUNCTION("""COMPUTED_VALUE"""),"")</f>
        <v/>
      </c>
      <c r="U12708" s="16" t="s">
        <v>87</v>
      </c>
      <c r="V12708" s="16" t="str">
        <f>IFERROR(__xludf.DUMMYFUNCTION("""COMPUTED_VALUE"""),"")</f>
        <v/>
      </c>
      <c r="W12708" s="16" t="str">
        <f>IFERROR(__xludf.DUMMYFUNCTION("""COMPUTED_VALUE"""),"")</f>
        <v/>
      </c>
      <c r="X12708" s="16" t="str">
        <f>IFERROR(__xludf.DUMMYFUNCTION("""COMPUTED_VALUE"""),"")</f>
        <v/>
      </c>
      <c r="AC12708" s="16" t="str">
        <f>IFERROR(__xludf.DUMMYFUNCTION("""COMPUTED_VALUE"""),"")</f>
        <v/>
      </c>
    </row>
    <row r="12709">
      <c r="A12709" s="16" t="s">
        <v>87</v>
      </c>
      <c r="E12709" s="16" t="str">
        <f>IFERROR(__xludf.DUMMYFUNCTION("""COMPUTED_VALUE"""),"")</f>
        <v/>
      </c>
      <c r="G12709" s="18"/>
      <c r="H12709" s="16" t="s">
        <v>87</v>
      </c>
      <c r="I12709" s="16" t="s">
        <v>87</v>
      </c>
      <c r="J12709" s="19"/>
      <c r="L12709" s="16" t="str">
        <f>IFERROR(__xludf.DUMMYFUNCTION("""COMPUTED_VALUE"""),"")</f>
        <v/>
      </c>
      <c r="M12709" s="16" t="str">
        <f>IFERROR(__xludf.DUMMYFUNCTION("""COMPUTED_VALUE"""),"")</f>
        <v/>
      </c>
      <c r="U12709" s="16" t="s">
        <v>87</v>
      </c>
      <c r="V12709" s="16" t="str">
        <f>IFERROR(__xludf.DUMMYFUNCTION("""COMPUTED_VALUE"""),"")</f>
        <v/>
      </c>
      <c r="W12709" s="16" t="str">
        <f>IFERROR(__xludf.DUMMYFUNCTION("""COMPUTED_VALUE"""),"")</f>
        <v/>
      </c>
      <c r="X12709" s="16" t="str">
        <f>IFERROR(__xludf.DUMMYFUNCTION("""COMPUTED_VALUE"""),"")</f>
        <v/>
      </c>
      <c r="AC12709" s="16" t="str">
        <f>IFERROR(__xludf.DUMMYFUNCTION("""COMPUTED_VALUE"""),"")</f>
        <v/>
      </c>
    </row>
    <row r="12710">
      <c r="A12710" s="16" t="s">
        <v>87</v>
      </c>
      <c r="E12710" s="16" t="str">
        <f>IFERROR(__xludf.DUMMYFUNCTION("""COMPUTED_VALUE"""),"")</f>
        <v/>
      </c>
      <c r="G12710" s="18"/>
      <c r="H12710" s="16" t="s">
        <v>87</v>
      </c>
      <c r="I12710" s="16" t="s">
        <v>87</v>
      </c>
      <c r="J12710" s="19"/>
      <c r="L12710" s="16" t="str">
        <f>IFERROR(__xludf.DUMMYFUNCTION("""COMPUTED_VALUE"""),"")</f>
        <v/>
      </c>
      <c r="M12710" s="16" t="str">
        <f>IFERROR(__xludf.DUMMYFUNCTION("""COMPUTED_VALUE"""),"")</f>
        <v/>
      </c>
      <c r="U12710" s="16" t="s">
        <v>87</v>
      </c>
      <c r="V12710" s="16" t="str">
        <f>IFERROR(__xludf.DUMMYFUNCTION("""COMPUTED_VALUE"""),"")</f>
        <v/>
      </c>
      <c r="W12710" s="16" t="str">
        <f>IFERROR(__xludf.DUMMYFUNCTION("""COMPUTED_VALUE"""),"")</f>
        <v/>
      </c>
      <c r="X12710" s="16" t="str">
        <f>IFERROR(__xludf.DUMMYFUNCTION("""COMPUTED_VALUE"""),"")</f>
        <v/>
      </c>
      <c r="AC12710" s="16" t="str">
        <f>IFERROR(__xludf.DUMMYFUNCTION("""COMPUTED_VALUE"""),"")</f>
        <v/>
      </c>
    </row>
    <row r="12711">
      <c r="A12711" s="16" t="s">
        <v>87</v>
      </c>
      <c r="E12711" s="16" t="str">
        <f>IFERROR(__xludf.DUMMYFUNCTION("""COMPUTED_VALUE"""),"")</f>
        <v/>
      </c>
      <c r="G12711" s="18"/>
      <c r="H12711" s="16" t="s">
        <v>87</v>
      </c>
      <c r="I12711" s="16" t="s">
        <v>87</v>
      </c>
      <c r="J12711" s="19"/>
      <c r="L12711" s="16" t="str">
        <f>IFERROR(__xludf.DUMMYFUNCTION("""COMPUTED_VALUE"""),"")</f>
        <v/>
      </c>
      <c r="M12711" s="16" t="str">
        <f>IFERROR(__xludf.DUMMYFUNCTION("""COMPUTED_VALUE"""),"")</f>
        <v/>
      </c>
      <c r="U12711" s="16" t="s">
        <v>87</v>
      </c>
      <c r="V12711" s="16" t="str">
        <f>IFERROR(__xludf.DUMMYFUNCTION("""COMPUTED_VALUE"""),"")</f>
        <v/>
      </c>
      <c r="W12711" s="16" t="str">
        <f>IFERROR(__xludf.DUMMYFUNCTION("""COMPUTED_VALUE"""),"")</f>
        <v/>
      </c>
      <c r="X12711" s="16" t="str">
        <f>IFERROR(__xludf.DUMMYFUNCTION("""COMPUTED_VALUE"""),"")</f>
        <v/>
      </c>
      <c r="AC12711" s="16" t="str">
        <f>IFERROR(__xludf.DUMMYFUNCTION("""COMPUTED_VALUE"""),"")</f>
        <v/>
      </c>
    </row>
    <row r="12712">
      <c r="A12712" s="16" t="s">
        <v>87</v>
      </c>
      <c r="E12712" s="16" t="str">
        <f>IFERROR(__xludf.DUMMYFUNCTION("""COMPUTED_VALUE"""),"")</f>
        <v/>
      </c>
      <c r="G12712" s="18"/>
      <c r="H12712" s="16" t="s">
        <v>87</v>
      </c>
      <c r="I12712" s="16" t="s">
        <v>87</v>
      </c>
      <c r="J12712" s="19"/>
      <c r="L12712" s="16" t="str">
        <f>IFERROR(__xludf.DUMMYFUNCTION("""COMPUTED_VALUE"""),"")</f>
        <v/>
      </c>
      <c r="M12712" s="16" t="str">
        <f>IFERROR(__xludf.DUMMYFUNCTION("""COMPUTED_VALUE"""),"")</f>
        <v/>
      </c>
      <c r="U12712" s="16" t="s">
        <v>87</v>
      </c>
      <c r="V12712" s="16" t="str">
        <f>IFERROR(__xludf.DUMMYFUNCTION("""COMPUTED_VALUE"""),"")</f>
        <v/>
      </c>
      <c r="W12712" s="16" t="str">
        <f>IFERROR(__xludf.DUMMYFUNCTION("""COMPUTED_VALUE"""),"")</f>
        <v/>
      </c>
      <c r="X12712" s="16" t="str">
        <f>IFERROR(__xludf.DUMMYFUNCTION("""COMPUTED_VALUE"""),"")</f>
        <v/>
      </c>
      <c r="AC12712" s="16" t="str">
        <f>IFERROR(__xludf.DUMMYFUNCTION("""COMPUTED_VALUE"""),"")</f>
        <v/>
      </c>
    </row>
    <row r="12713">
      <c r="A12713" s="16" t="s">
        <v>87</v>
      </c>
      <c r="E12713" s="16" t="str">
        <f>IFERROR(__xludf.DUMMYFUNCTION("""COMPUTED_VALUE"""),"")</f>
        <v/>
      </c>
      <c r="G12713" s="18"/>
      <c r="H12713" s="16" t="s">
        <v>87</v>
      </c>
      <c r="I12713" s="16" t="s">
        <v>87</v>
      </c>
      <c r="J12713" s="19"/>
      <c r="L12713" s="16" t="str">
        <f>IFERROR(__xludf.DUMMYFUNCTION("""COMPUTED_VALUE"""),"")</f>
        <v/>
      </c>
      <c r="M12713" s="16" t="str">
        <f>IFERROR(__xludf.DUMMYFUNCTION("""COMPUTED_VALUE"""),"")</f>
        <v/>
      </c>
      <c r="U12713" s="16" t="s">
        <v>87</v>
      </c>
      <c r="V12713" s="16" t="str">
        <f>IFERROR(__xludf.DUMMYFUNCTION("""COMPUTED_VALUE"""),"")</f>
        <v/>
      </c>
      <c r="W12713" s="16" t="str">
        <f>IFERROR(__xludf.DUMMYFUNCTION("""COMPUTED_VALUE"""),"")</f>
        <v/>
      </c>
      <c r="X12713" s="16" t="str">
        <f>IFERROR(__xludf.DUMMYFUNCTION("""COMPUTED_VALUE"""),"")</f>
        <v/>
      </c>
      <c r="AC12713" s="16" t="str">
        <f>IFERROR(__xludf.DUMMYFUNCTION("""COMPUTED_VALUE"""),"")</f>
        <v/>
      </c>
    </row>
    <row r="12714">
      <c r="A12714" s="16" t="s">
        <v>87</v>
      </c>
      <c r="E12714" s="16" t="str">
        <f>IFERROR(__xludf.DUMMYFUNCTION("""COMPUTED_VALUE"""),"")</f>
        <v/>
      </c>
      <c r="G12714" s="18"/>
      <c r="H12714" s="16" t="s">
        <v>87</v>
      </c>
      <c r="I12714" s="16" t="s">
        <v>87</v>
      </c>
      <c r="J12714" s="19"/>
      <c r="L12714" s="16" t="str">
        <f>IFERROR(__xludf.DUMMYFUNCTION("""COMPUTED_VALUE"""),"")</f>
        <v/>
      </c>
      <c r="M12714" s="16" t="str">
        <f>IFERROR(__xludf.DUMMYFUNCTION("""COMPUTED_VALUE"""),"")</f>
        <v/>
      </c>
      <c r="U12714" s="16" t="s">
        <v>87</v>
      </c>
      <c r="V12714" s="16" t="str">
        <f>IFERROR(__xludf.DUMMYFUNCTION("""COMPUTED_VALUE"""),"")</f>
        <v/>
      </c>
      <c r="W12714" s="16" t="str">
        <f>IFERROR(__xludf.DUMMYFUNCTION("""COMPUTED_VALUE"""),"")</f>
        <v/>
      </c>
      <c r="X12714" s="16" t="str">
        <f>IFERROR(__xludf.DUMMYFUNCTION("""COMPUTED_VALUE"""),"")</f>
        <v/>
      </c>
      <c r="AC12714" s="16" t="str">
        <f>IFERROR(__xludf.DUMMYFUNCTION("""COMPUTED_VALUE"""),"")</f>
        <v/>
      </c>
    </row>
    <row r="12715">
      <c r="A12715" s="16" t="s">
        <v>87</v>
      </c>
      <c r="E12715" s="16" t="str">
        <f>IFERROR(__xludf.DUMMYFUNCTION("""COMPUTED_VALUE"""),"")</f>
        <v/>
      </c>
      <c r="G12715" s="18"/>
      <c r="H12715" s="16" t="s">
        <v>87</v>
      </c>
      <c r="I12715" s="16" t="s">
        <v>87</v>
      </c>
      <c r="J12715" s="19"/>
      <c r="L12715" s="16" t="str">
        <f>IFERROR(__xludf.DUMMYFUNCTION("""COMPUTED_VALUE"""),"")</f>
        <v/>
      </c>
      <c r="M12715" s="16" t="str">
        <f>IFERROR(__xludf.DUMMYFUNCTION("""COMPUTED_VALUE"""),"")</f>
        <v/>
      </c>
      <c r="U12715" s="16" t="s">
        <v>87</v>
      </c>
      <c r="V12715" s="16" t="str">
        <f>IFERROR(__xludf.DUMMYFUNCTION("""COMPUTED_VALUE"""),"")</f>
        <v/>
      </c>
      <c r="W12715" s="16" t="str">
        <f>IFERROR(__xludf.DUMMYFUNCTION("""COMPUTED_VALUE"""),"")</f>
        <v/>
      </c>
      <c r="X12715" s="16" t="str">
        <f>IFERROR(__xludf.DUMMYFUNCTION("""COMPUTED_VALUE"""),"")</f>
        <v/>
      </c>
      <c r="AC12715" s="16" t="str">
        <f>IFERROR(__xludf.DUMMYFUNCTION("""COMPUTED_VALUE"""),"")</f>
        <v/>
      </c>
    </row>
    <row r="12716">
      <c r="A12716" s="16" t="s">
        <v>87</v>
      </c>
      <c r="E12716" s="16" t="str">
        <f>IFERROR(__xludf.DUMMYFUNCTION("""COMPUTED_VALUE"""),"")</f>
        <v/>
      </c>
      <c r="G12716" s="18"/>
      <c r="H12716" s="16" t="s">
        <v>87</v>
      </c>
      <c r="I12716" s="16" t="s">
        <v>87</v>
      </c>
      <c r="J12716" s="19"/>
      <c r="L12716" s="16" t="str">
        <f>IFERROR(__xludf.DUMMYFUNCTION("""COMPUTED_VALUE"""),"")</f>
        <v/>
      </c>
      <c r="M12716" s="16" t="str">
        <f>IFERROR(__xludf.DUMMYFUNCTION("""COMPUTED_VALUE"""),"")</f>
        <v/>
      </c>
      <c r="U12716" s="16" t="s">
        <v>87</v>
      </c>
      <c r="V12716" s="16" t="str">
        <f>IFERROR(__xludf.DUMMYFUNCTION("""COMPUTED_VALUE"""),"")</f>
        <v/>
      </c>
      <c r="W12716" s="16" t="str">
        <f>IFERROR(__xludf.DUMMYFUNCTION("""COMPUTED_VALUE"""),"")</f>
        <v/>
      </c>
      <c r="X12716" s="16" t="str">
        <f>IFERROR(__xludf.DUMMYFUNCTION("""COMPUTED_VALUE"""),"")</f>
        <v/>
      </c>
      <c r="AC12716" s="16" t="str">
        <f>IFERROR(__xludf.DUMMYFUNCTION("""COMPUTED_VALUE"""),"")</f>
        <v/>
      </c>
    </row>
    <row r="12717">
      <c r="A12717" s="16" t="s">
        <v>87</v>
      </c>
      <c r="E12717" s="16" t="str">
        <f>IFERROR(__xludf.DUMMYFUNCTION("""COMPUTED_VALUE"""),"")</f>
        <v/>
      </c>
      <c r="G12717" s="18"/>
      <c r="H12717" s="16" t="s">
        <v>87</v>
      </c>
      <c r="I12717" s="16" t="s">
        <v>87</v>
      </c>
      <c r="J12717" s="19"/>
      <c r="L12717" s="16" t="str">
        <f>IFERROR(__xludf.DUMMYFUNCTION("""COMPUTED_VALUE"""),"")</f>
        <v/>
      </c>
      <c r="M12717" s="16" t="str">
        <f>IFERROR(__xludf.DUMMYFUNCTION("""COMPUTED_VALUE"""),"")</f>
        <v/>
      </c>
      <c r="U12717" s="16" t="s">
        <v>87</v>
      </c>
      <c r="V12717" s="16" t="str">
        <f>IFERROR(__xludf.DUMMYFUNCTION("""COMPUTED_VALUE"""),"")</f>
        <v/>
      </c>
      <c r="W12717" s="16" t="str">
        <f>IFERROR(__xludf.DUMMYFUNCTION("""COMPUTED_VALUE"""),"")</f>
        <v/>
      </c>
      <c r="X12717" s="16" t="str">
        <f>IFERROR(__xludf.DUMMYFUNCTION("""COMPUTED_VALUE"""),"")</f>
        <v/>
      </c>
      <c r="AC12717" s="16" t="str">
        <f>IFERROR(__xludf.DUMMYFUNCTION("""COMPUTED_VALUE"""),"")</f>
        <v/>
      </c>
    </row>
    <row r="12718">
      <c r="A12718" s="16" t="s">
        <v>87</v>
      </c>
      <c r="E12718" s="16" t="str">
        <f>IFERROR(__xludf.DUMMYFUNCTION("""COMPUTED_VALUE"""),"")</f>
        <v/>
      </c>
      <c r="G12718" s="18"/>
      <c r="H12718" s="16" t="s">
        <v>87</v>
      </c>
      <c r="I12718" s="16" t="s">
        <v>87</v>
      </c>
      <c r="J12718" s="19"/>
      <c r="L12718" s="16" t="str">
        <f>IFERROR(__xludf.DUMMYFUNCTION("""COMPUTED_VALUE"""),"")</f>
        <v/>
      </c>
      <c r="M12718" s="16" t="str">
        <f>IFERROR(__xludf.DUMMYFUNCTION("""COMPUTED_VALUE"""),"")</f>
        <v/>
      </c>
      <c r="U12718" s="16" t="s">
        <v>87</v>
      </c>
      <c r="V12718" s="16" t="str">
        <f>IFERROR(__xludf.DUMMYFUNCTION("""COMPUTED_VALUE"""),"")</f>
        <v/>
      </c>
      <c r="W12718" s="16" t="str">
        <f>IFERROR(__xludf.DUMMYFUNCTION("""COMPUTED_VALUE"""),"")</f>
        <v/>
      </c>
      <c r="X12718" s="16" t="str">
        <f>IFERROR(__xludf.DUMMYFUNCTION("""COMPUTED_VALUE"""),"")</f>
        <v/>
      </c>
      <c r="AC12718" s="16" t="str">
        <f>IFERROR(__xludf.DUMMYFUNCTION("""COMPUTED_VALUE"""),"")</f>
        <v/>
      </c>
    </row>
    <row r="12719">
      <c r="A12719" s="16" t="s">
        <v>87</v>
      </c>
      <c r="E12719" s="16" t="str">
        <f>IFERROR(__xludf.DUMMYFUNCTION("""COMPUTED_VALUE"""),"")</f>
        <v/>
      </c>
      <c r="G12719" s="18"/>
      <c r="H12719" s="16" t="s">
        <v>87</v>
      </c>
      <c r="I12719" s="16" t="s">
        <v>87</v>
      </c>
      <c r="J12719" s="19"/>
      <c r="L12719" s="16" t="str">
        <f>IFERROR(__xludf.DUMMYFUNCTION("""COMPUTED_VALUE"""),"")</f>
        <v/>
      </c>
      <c r="M12719" s="16" t="str">
        <f>IFERROR(__xludf.DUMMYFUNCTION("""COMPUTED_VALUE"""),"")</f>
        <v/>
      </c>
      <c r="U12719" s="16" t="s">
        <v>87</v>
      </c>
      <c r="V12719" s="16" t="str">
        <f>IFERROR(__xludf.DUMMYFUNCTION("""COMPUTED_VALUE"""),"")</f>
        <v/>
      </c>
      <c r="W12719" s="16" t="str">
        <f>IFERROR(__xludf.DUMMYFUNCTION("""COMPUTED_VALUE"""),"")</f>
        <v/>
      </c>
      <c r="X12719" s="16" t="str">
        <f>IFERROR(__xludf.DUMMYFUNCTION("""COMPUTED_VALUE"""),"")</f>
        <v/>
      </c>
      <c r="AC12719" s="16" t="str">
        <f>IFERROR(__xludf.DUMMYFUNCTION("""COMPUTED_VALUE"""),"")</f>
        <v/>
      </c>
    </row>
    <row r="12720">
      <c r="A12720" s="16" t="s">
        <v>87</v>
      </c>
      <c r="E12720" s="16" t="str">
        <f>IFERROR(__xludf.DUMMYFUNCTION("""COMPUTED_VALUE"""),"")</f>
        <v/>
      </c>
      <c r="G12720" s="18"/>
      <c r="H12720" s="16" t="s">
        <v>87</v>
      </c>
      <c r="I12720" s="16" t="s">
        <v>87</v>
      </c>
      <c r="J12720" s="19"/>
      <c r="L12720" s="16" t="str">
        <f>IFERROR(__xludf.DUMMYFUNCTION("""COMPUTED_VALUE"""),"")</f>
        <v/>
      </c>
      <c r="M12720" s="16" t="str">
        <f>IFERROR(__xludf.DUMMYFUNCTION("""COMPUTED_VALUE"""),"")</f>
        <v/>
      </c>
      <c r="U12720" s="16" t="s">
        <v>87</v>
      </c>
      <c r="V12720" s="16" t="str">
        <f>IFERROR(__xludf.DUMMYFUNCTION("""COMPUTED_VALUE"""),"")</f>
        <v/>
      </c>
      <c r="W12720" s="16" t="str">
        <f>IFERROR(__xludf.DUMMYFUNCTION("""COMPUTED_VALUE"""),"")</f>
        <v/>
      </c>
      <c r="X12720" s="16" t="str">
        <f>IFERROR(__xludf.DUMMYFUNCTION("""COMPUTED_VALUE"""),"")</f>
        <v/>
      </c>
      <c r="AC12720" s="16" t="str">
        <f>IFERROR(__xludf.DUMMYFUNCTION("""COMPUTED_VALUE"""),"")</f>
        <v/>
      </c>
    </row>
    <row r="12721">
      <c r="A12721" s="16" t="s">
        <v>87</v>
      </c>
      <c r="E12721" s="16" t="str">
        <f>IFERROR(__xludf.DUMMYFUNCTION("""COMPUTED_VALUE"""),"")</f>
        <v/>
      </c>
      <c r="G12721" s="18"/>
      <c r="H12721" s="16" t="s">
        <v>87</v>
      </c>
      <c r="I12721" s="16" t="s">
        <v>87</v>
      </c>
      <c r="J12721" s="19"/>
      <c r="L12721" s="16" t="str">
        <f>IFERROR(__xludf.DUMMYFUNCTION("""COMPUTED_VALUE"""),"")</f>
        <v/>
      </c>
      <c r="M12721" s="16" t="str">
        <f>IFERROR(__xludf.DUMMYFUNCTION("""COMPUTED_VALUE"""),"")</f>
        <v/>
      </c>
      <c r="U12721" s="16" t="s">
        <v>87</v>
      </c>
      <c r="V12721" s="16" t="str">
        <f>IFERROR(__xludf.DUMMYFUNCTION("""COMPUTED_VALUE"""),"")</f>
        <v/>
      </c>
      <c r="W12721" s="16" t="str">
        <f>IFERROR(__xludf.DUMMYFUNCTION("""COMPUTED_VALUE"""),"")</f>
        <v/>
      </c>
      <c r="X12721" s="16" t="str">
        <f>IFERROR(__xludf.DUMMYFUNCTION("""COMPUTED_VALUE"""),"")</f>
        <v/>
      </c>
      <c r="AC12721" s="16" t="str">
        <f>IFERROR(__xludf.DUMMYFUNCTION("""COMPUTED_VALUE"""),"")</f>
        <v/>
      </c>
    </row>
    <row r="12722">
      <c r="A12722" s="16" t="s">
        <v>87</v>
      </c>
      <c r="E12722" s="16" t="str">
        <f>IFERROR(__xludf.DUMMYFUNCTION("""COMPUTED_VALUE"""),"")</f>
        <v/>
      </c>
      <c r="G12722" s="18"/>
      <c r="H12722" s="16" t="s">
        <v>87</v>
      </c>
      <c r="I12722" s="16" t="s">
        <v>87</v>
      </c>
      <c r="J12722" s="19"/>
      <c r="L12722" s="16" t="str">
        <f>IFERROR(__xludf.DUMMYFUNCTION("""COMPUTED_VALUE"""),"")</f>
        <v/>
      </c>
      <c r="M12722" s="16" t="str">
        <f>IFERROR(__xludf.DUMMYFUNCTION("""COMPUTED_VALUE"""),"")</f>
        <v/>
      </c>
      <c r="U12722" s="16" t="s">
        <v>87</v>
      </c>
      <c r="V12722" s="16" t="str">
        <f>IFERROR(__xludf.DUMMYFUNCTION("""COMPUTED_VALUE"""),"")</f>
        <v/>
      </c>
      <c r="W12722" s="16" t="str">
        <f>IFERROR(__xludf.DUMMYFUNCTION("""COMPUTED_VALUE"""),"")</f>
        <v/>
      </c>
      <c r="X12722" s="16" t="str">
        <f>IFERROR(__xludf.DUMMYFUNCTION("""COMPUTED_VALUE"""),"")</f>
        <v/>
      </c>
      <c r="AC12722" s="16" t="str">
        <f>IFERROR(__xludf.DUMMYFUNCTION("""COMPUTED_VALUE"""),"")</f>
        <v/>
      </c>
    </row>
    <row r="12723">
      <c r="A12723" s="16" t="s">
        <v>87</v>
      </c>
      <c r="E12723" s="16" t="str">
        <f>IFERROR(__xludf.DUMMYFUNCTION("""COMPUTED_VALUE"""),"")</f>
        <v/>
      </c>
      <c r="G12723" s="18"/>
      <c r="H12723" s="16" t="s">
        <v>87</v>
      </c>
      <c r="I12723" s="16" t="s">
        <v>87</v>
      </c>
      <c r="J12723" s="19"/>
      <c r="L12723" s="16" t="str">
        <f>IFERROR(__xludf.DUMMYFUNCTION("""COMPUTED_VALUE"""),"")</f>
        <v/>
      </c>
      <c r="M12723" s="16" t="str">
        <f>IFERROR(__xludf.DUMMYFUNCTION("""COMPUTED_VALUE"""),"")</f>
        <v/>
      </c>
      <c r="U12723" s="16" t="s">
        <v>87</v>
      </c>
      <c r="V12723" s="16" t="str">
        <f>IFERROR(__xludf.DUMMYFUNCTION("""COMPUTED_VALUE"""),"")</f>
        <v/>
      </c>
      <c r="W12723" s="16" t="str">
        <f>IFERROR(__xludf.DUMMYFUNCTION("""COMPUTED_VALUE"""),"")</f>
        <v/>
      </c>
      <c r="X12723" s="16" t="str">
        <f>IFERROR(__xludf.DUMMYFUNCTION("""COMPUTED_VALUE"""),"")</f>
        <v/>
      </c>
      <c r="AC12723" s="16" t="str">
        <f>IFERROR(__xludf.DUMMYFUNCTION("""COMPUTED_VALUE"""),"")</f>
        <v/>
      </c>
    </row>
    <row r="12724">
      <c r="A12724" s="16" t="s">
        <v>87</v>
      </c>
      <c r="E12724" s="16" t="str">
        <f>IFERROR(__xludf.DUMMYFUNCTION("""COMPUTED_VALUE"""),"")</f>
        <v/>
      </c>
      <c r="G12724" s="18"/>
      <c r="H12724" s="16" t="s">
        <v>87</v>
      </c>
      <c r="I12724" s="16" t="s">
        <v>87</v>
      </c>
      <c r="J12724" s="19"/>
      <c r="L12724" s="16" t="str">
        <f>IFERROR(__xludf.DUMMYFUNCTION("""COMPUTED_VALUE"""),"")</f>
        <v/>
      </c>
      <c r="M12724" s="16" t="str">
        <f>IFERROR(__xludf.DUMMYFUNCTION("""COMPUTED_VALUE"""),"")</f>
        <v/>
      </c>
      <c r="U12724" s="16" t="s">
        <v>87</v>
      </c>
      <c r="V12724" s="16" t="str">
        <f>IFERROR(__xludf.DUMMYFUNCTION("""COMPUTED_VALUE"""),"")</f>
        <v/>
      </c>
      <c r="W12724" s="16" t="str">
        <f>IFERROR(__xludf.DUMMYFUNCTION("""COMPUTED_VALUE"""),"")</f>
        <v/>
      </c>
      <c r="X12724" s="16" t="str">
        <f>IFERROR(__xludf.DUMMYFUNCTION("""COMPUTED_VALUE"""),"")</f>
        <v/>
      </c>
      <c r="AC12724" s="16" t="str">
        <f>IFERROR(__xludf.DUMMYFUNCTION("""COMPUTED_VALUE"""),"")</f>
        <v/>
      </c>
    </row>
    <row r="12725">
      <c r="A12725" s="16" t="s">
        <v>87</v>
      </c>
      <c r="E12725" s="16" t="str">
        <f>IFERROR(__xludf.DUMMYFUNCTION("""COMPUTED_VALUE"""),"")</f>
        <v/>
      </c>
      <c r="G12725" s="18"/>
      <c r="H12725" s="16" t="s">
        <v>87</v>
      </c>
      <c r="I12725" s="16" t="s">
        <v>87</v>
      </c>
      <c r="J12725" s="19"/>
      <c r="L12725" s="16" t="str">
        <f>IFERROR(__xludf.DUMMYFUNCTION("""COMPUTED_VALUE"""),"")</f>
        <v/>
      </c>
      <c r="M12725" s="16" t="str">
        <f>IFERROR(__xludf.DUMMYFUNCTION("""COMPUTED_VALUE"""),"")</f>
        <v/>
      </c>
      <c r="U12725" s="16" t="s">
        <v>87</v>
      </c>
      <c r="V12725" s="16" t="str">
        <f>IFERROR(__xludf.DUMMYFUNCTION("""COMPUTED_VALUE"""),"")</f>
        <v/>
      </c>
      <c r="W12725" s="16" t="str">
        <f>IFERROR(__xludf.DUMMYFUNCTION("""COMPUTED_VALUE"""),"")</f>
        <v/>
      </c>
      <c r="X12725" s="16" t="str">
        <f>IFERROR(__xludf.DUMMYFUNCTION("""COMPUTED_VALUE"""),"")</f>
        <v/>
      </c>
      <c r="AC12725" s="16" t="str">
        <f>IFERROR(__xludf.DUMMYFUNCTION("""COMPUTED_VALUE"""),"")</f>
        <v/>
      </c>
    </row>
    <row r="12726">
      <c r="A12726" s="16" t="s">
        <v>87</v>
      </c>
      <c r="E12726" s="16" t="str">
        <f>IFERROR(__xludf.DUMMYFUNCTION("""COMPUTED_VALUE"""),"")</f>
        <v/>
      </c>
      <c r="G12726" s="18"/>
      <c r="H12726" s="16" t="s">
        <v>87</v>
      </c>
      <c r="I12726" s="16" t="s">
        <v>87</v>
      </c>
      <c r="J12726" s="19"/>
      <c r="L12726" s="16" t="str">
        <f>IFERROR(__xludf.DUMMYFUNCTION("""COMPUTED_VALUE"""),"")</f>
        <v/>
      </c>
      <c r="M12726" s="16" t="str">
        <f>IFERROR(__xludf.DUMMYFUNCTION("""COMPUTED_VALUE"""),"")</f>
        <v/>
      </c>
      <c r="U12726" s="16" t="s">
        <v>87</v>
      </c>
      <c r="V12726" s="16" t="str">
        <f>IFERROR(__xludf.DUMMYFUNCTION("""COMPUTED_VALUE"""),"")</f>
        <v/>
      </c>
      <c r="W12726" s="16" t="str">
        <f>IFERROR(__xludf.DUMMYFUNCTION("""COMPUTED_VALUE"""),"")</f>
        <v/>
      </c>
      <c r="X12726" s="16" t="str">
        <f>IFERROR(__xludf.DUMMYFUNCTION("""COMPUTED_VALUE"""),"")</f>
        <v/>
      </c>
      <c r="AC12726" s="16" t="str">
        <f>IFERROR(__xludf.DUMMYFUNCTION("""COMPUTED_VALUE"""),"")</f>
        <v/>
      </c>
    </row>
    <row r="12727">
      <c r="A12727" s="16" t="s">
        <v>87</v>
      </c>
      <c r="E12727" s="16" t="str">
        <f>IFERROR(__xludf.DUMMYFUNCTION("""COMPUTED_VALUE"""),"")</f>
        <v/>
      </c>
      <c r="G12727" s="18"/>
      <c r="H12727" s="16" t="s">
        <v>87</v>
      </c>
      <c r="I12727" s="16" t="s">
        <v>87</v>
      </c>
      <c r="J12727" s="19"/>
      <c r="L12727" s="16" t="str">
        <f>IFERROR(__xludf.DUMMYFUNCTION("""COMPUTED_VALUE"""),"")</f>
        <v/>
      </c>
      <c r="M12727" s="16" t="str">
        <f>IFERROR(__xludf.DUMMYFUNCTION("""COMPUTED_VALUE"""),"")</f>
        <v/>
      </c>
      <c r="U12727" s="16" t="s">
        <v>87</v>
      </c>
      <c r="V12727" s="16" t="str">
        <f>IFERROR(__xludf.DUMMYFUNCTION("""COMPUTED_VALUE"""),"")</f>
        <v/>
      </c>
      <c r="W12727" s="16" t="str">
        <f>IFERROR(__xludf.DUMMYFUNCTION("""COMPUTED_VALUE"""),"")</f>
        <v/>
      </c>
      <c r="X12727" s="16" t="str">
        <f>IFERROR(__xludf.DUMMYFUNCTION("""COMPUTED_VALUE"""),"")</f>
        <v/>
      </c>
      <c r="AC12727" s="16" t="str">
        <f>IFERROR(__xludf.DUMMYFUNCTION("""COMPUTED_VALUE"""),"")</f>
        <v/>
      </c>
    </row>
    <row r="12728">
      <c r="A12728" s="16" t="s">
        <v>87</v>
      </c>
      <c r="E12728" s="16" t="str">
        <f>IFERROR(__xludf.DUMMYFUNCTION("""COMPUTED_VALUE"""),"")</f>
        <v/>
      </c>
      <c r="G12728" s="18"/>
      <c r="H12728" s="16" t="s">
        <v>87</v>
      </c>
      <c r="I12728" s="16" t="s">
        <v>87</v>
      </c>
      <c r="J12728" s="19"/>
      <c r="L12728" s="16" t="str">
        <f>IFERROR(__xludf.DUMMYFUNCTION("""COMPUTED_VALUE"""),"")</f>
        <v/>
      </c>
      <c r="M12728" s="16" t="str">
        <f>IFERROR(__xludf.DUMMYFUNCTION("""COMPUTED_VALUE"""),"")</f>
        <v/>
      </c>
      <c r="U12728" s="16" t="s">
        <v>87</v>
      </c>
      <c r="V12728" s="16" t="str">
        <f>IFERROR(__xludf.DUMMYFUNCTION("""COMPUTED_VALUE"""),"")</f>
        <v/>
      </c>
      <c r="W12728" s="16" t="str">
        <f>IFERROR(__xludf.DUMMYFUNCTION("""COMPUTED_VALUE"""),"")</f>
        <v/>
      </c>
      <c r="X12728" s="16" t="str">
        <f>IFERROR(__xludf.DUMMYFUNCTION("""COMPUTED_VALUE"""),"")</f>
        <v/>
      </c>
      <c r="AC12728" s="16" t="str">
        <f>IFERROR(__xludf.DUMMYFUNCTION("""COMPUTED_VALUE"""),"")</f>
        <v/>
      </c>
    </row>
    <row r="12729">
      <c r="A12729" s="16" t="s">
        <v>87</v>
      </c>
      <c r="E12729" s="16" t="str">
        <f>IFERROR(__xludf.DUMMYFUNCTION("""COMPUTED_VALUE"""),"")</f>
        <v/>
      </c>
      <c r="G12729" s="18"/>
      <c r="H12729" s="16" t="s">
        <v>87</v>
      </c>
      <c r="I12729" s="16" t="s">
        <v>87</v>
      </c>
      <c r="J12729" s="19"/>
      <c r="L12729" s="16" t="str">
        <f>IFERROR(__xludf.DUMMYFUNCTION("""COMPUTED_VALUE"""),"")</f>
        <v/>
      </c>
      <c r="M12729" s="16" t="str">
        <f>IFERROR(__xludf.DUMMYFUNCTION("""COMPUTED_VALUE"""),"")</f>
        <v/>
      </c>
      <c r="U12729" s="16" t="s">
        <v>87</v>
      </c>
      <c r="V12729" s="16" t="str">
        <f>IFERROR(__xludf.DUMMYFUNCTION("""COMPUTED_VALUE"""),"")</f>
        <v/>
      </c>
      <c r="W12729" s="16" t="str">
        <f>IFERROR(__xludf.DUMMYFUNCTION("""COMPUTED_VALUE"""),"")</f>
        <v/>
      </c>
      <c r="X12729" s="16" t="str">
        <f>IFERROR(__xludf.DUMMYFUNCTION("""COMPUTED_VALUE"""),"")</f>
        <v/>
      </c>
      <c r="AC12729" s="16" t="str">
        <f>IFERROR(__xludf.DUMMYFUNCTION("""COMPUTED_VALUE"""),"")</f>
        <v/>
      </c>
    </row>
    <row r="12730">
      <c r="A12730" s="16" t="s">
        <v>87</v>
      </c>
      <c r="E12730" s="16" t="str">
        <f>IFERROR(__xludf.DUMMYFUNCTION("""COMPUTED_VALUE"""),"")</f>
        <v/>
      </c>
      <c r="G12730" s="18"/>
      <c r="H12730" s="16" t="s">
        <v>87</v>
      </c>
      <c r="I12730" s="16" t="s">
        <v>87</v>
      </c>
      <c r="J12730" s="19"/>
      <c r="L12730" s="16" t="str">
        <f>IFERROR(__xludf.DUMMYFUNCTION("""COMPUTED_VALUE"""),"")</f>
        <v/>
      </c>
      <c r="M12730" s="16" t="str">
        <f>IFERROR(__xludf.DUMMYFUNCTION("""COMPUTED_VALUE"""),"")</f>
        <v/>
      </c>
      <c r="U12730" s="16" t="s">
        <v>87</v>
      </c>
      <c r="V12730" s="16" t="str">
        <f>IFERROR(__xludf.DUMMYFUNCTION("""COMPUTED_VALUE"""),"")</f>
        <v/>
      </c>
      <c r="W12730" s="16" t="str">
        <f>IFERROR(__xludf.DUMMYFUNCTION("""COMPUTED_VALUE"""),"")</f>
        <v/>
      </c>
      <c r="X12730" s="16" t="str">
        <f>IFERROR(__xludf.DUMMYFUNCTION("""COMPUTED_VALUE"""),"")</f>
        <v/>
      </c>
      <c r="AC12730" s="16" t="str">
        <f>IFERROR(__xludf.DUMMYFUNCTION("""COMPUTED_VALUE"""),"")</f>
        <v/>
      </c>
    </row>
    <row r="12731">
      <c r="A12731" s="16" t="s">
        <v>87</v>
      </c>
      <c r="E12731" s="16" t="str">
        <f>IFERROR(__xludf.DUMMYFUNCTION("""COMPUTED_VALUE"""),"")</f>
        <v/>
      </c>
      <c r="G12731" s="18"/>
      <c r="H12731" s="16" t="s">
        <v>87</v>
      </c>
      <c r="I12731" s="16" t="s">
        <v>87</v>
      </c>
      <c r="J12731" s="19"/>
      <c r="L12731" s="16" t="str">
        <f>IFERROR(__xludf.DUMMYFUNCTION("""COMPUTED_VALUE"""),"")</f>
        <v/>
      </c>
      <c r="M12731" s="16" t="str">
        <f>IFERROR(__xludf.DUMMYFUNCTION("""COMPUTED_VALUE"""),"")</f>
        <v/>
      </c>
      <c r="U12731" s="16" t="s">
        <v>87</v>
      </c>
      <c r="V12731" s="16" t="str">
        <f>IFERROR(__xludf.DUMMYFUNCTION("""COMPUTED_VALUE"""),"")</f>
        <v/>
      </c>
      <c r="W12731" s="16" t="str">
        <f>IFERROR(__xludf.DUMMYFUNCTION("""COMPUTED_VALUE"""),"")</f>
        <v/>
      </c>
      <c r="X12731" s="16" t="str">
        <f>IFERROR(__xludf.DUMMYFUNCTION("""COMPUTED_VALUE"""),"")</f>
        <v/>
      </c>
      <c r="AC12731" s="16" t="str">
        <f>IFERROR(__xludf.DUMMYFUNCTION("""COMPUTED_VALUE"""),"")</f>
        <v/>
      </c>
    </row>
    <row r="12732">
      <c r="A12732" s="16" t="s">
        <v>87</v>
      </c>
      <c r="E12732" s="16" t="str">
        <f>IFERROR(__xludf.DUMMYFUNCTION("""COMPUTED_VALUE"""),"")</f>
        <v/>
      </c>
      <c r="G12732" s="18"/>
      <c r="H12732" s="16" t="s">
        <v>87</v>
      </c>
      <c r="I12732" s="16" t="s">
        <v>87</v>
      </c>
      <c r="J12732" s="19"/>
      <c r="L12732" s="16" t="str">
        <f>IFERROR(__xludf.DUMMYFUNCTION("""COMPUTED_VALUE"""),"")</f>
        <v/>
      </c>
      <c r="M12732" s="16" t="str">
        <f>IFERROR(__xludf.DUMMYFUNCTION("""COMPUTED_VALUE"""),"")</f>
        <v/>
      </c>
      <c r="U12732" s="16" t="s">
        <v>87</v>
      </c>
      <c r="V12732" s="16" t="str">
        <f>IFERROR(__xludf.DUMMYFUNCTION("""COMPUTED_VALUE"""),"")</f>
        <v/>
      </c>
      <c r="W12732" s="16" t="str">
        <f>IFERROR(__xludf.DUMMYFUNCTION("""COMPUTED_VALUE"""),"")</f>
        <v/>
      </c>
      <c r="X12732" s="16" t="str">
        <f>IFERROR(__xludf.DUMMYFUNCTION("""COMPUTED_VALUE"""),"")</f>
        <v/>
      </c>
      <c r="AC12732" s="16" t="str">
        <f>IFERROR(__xludf.DUMMYFUNCTION("""COMPUTED_VALUE"""),"")</f>
        <v/>
      </c>
    </row>
    <row r="12733">
      <c r="A12733" s="16" t="s">
        <v>87</v>
      </c>
      <c r="E12733" s="16" t="str">
        <f>IFERROR(__xludf.DUMMYFUNCTION("""COMPUTED_VALUE"""),"")</f>
        <v/>
      </c>
      <c r="G12733" s="18"/>
      <c r="H12733" s="16" t="s">
        <v>87</v>
      </c>
      <c r="I12733" s="16" t="s">
        <v>87</v>
      </c>
      <c r="J12733" s="19"/>
      <c r="L12733" s="16" t="str">
        <f>IFERROR(__xludf.DUMMYFUNCTION("""COMPUTED_VALUE"""),"")</f>
        <v/>
      </c>
      <c r="M12733" s="16" t="str">
        <f>IFERROR(__xludf.DUMMYFUNCTION("""COMPUTED_VALUE"""),"")</f>
        <v/>
      </c>
      <c r="U12733" s="16" t="s">
        <v>87</v>
      </c>
      <c r="V12733" s="16" t="str">
        <f>IFERROR(__xludf.DUMMYFUNCTION("""COMPUTED_VALUE"""),"")</f>
        <v/>
      </c>
      <c r="W12733" s="16" t="str">
        <f>IFERROR(__xludf.DUMMYFUNCTION("""COMPUTED_VALUE"""),"")</f>
        <v/>
      </c>
      <c r="X12733" s="16" t="str">
        <f>IFERROR(__xludf.DUMMYFUNCTION("""COMPUTED_VALUE"""),"")</f>
        <v/>
      </c>
      <c r="AC12733" s="16" t="str">
        <f>IFERROR(__xludf.DUMMYFUNCTION("""COMPUTED_VALUE"""),"")</f>
        <v/>
      </c>
    </row>
    <row r="12734">
      <c r="A12734" s="16" t="s">
        <v>87</v>
      </c>
      <c r="E12734" s="16" t="str">
        <f>IFERROR(__xludf.DUMMYFUNCTION("""COMPUTED_VALUE"""),"")</f>
        <v/>
      </c>
      <c r="G12734" s="18"/>
      <c r="H12734" s="16" t="s">
        <v>87</v>
      </c>
      <c r="I12734" s="16" t="s">
        <v>87</v>
      </c>
      <c r="J12734" s="19"/>
      <c r="L12734" s="16" t="str">
        <f>IFERROR(__xludf.DUMMYFUNCTION("""COMPUTED_VALUE"""),"")</f>
        <v/>
      </c>
      <c r="M12734" s="16" t="str">
        <f>IFERROR(__xludf.DUMMYFUNCTION("""COMPUTED_VALUE"""),"")</f>
        <v/>
      </c>
      <c r="U12734" s="16" t="s">
        <v>87</v>
      </c>
      <c r="V12734" s="16" t="str">
        <f>IFERROR(__xludf.DUMMYFUNCTION("""COMPUTED_VALUE"""),"")</f>
        <v/>
      </c>
      <c r="W12734" s="16" t="str">
        <f>IFERROR(__xludf.DUMMYFUNCTION("""COMPUTED_VALUE"""),"")</f>
        <v/>
      </c>
      <c r="X12734" s="16" t="str">
        <f>IFERROR(__xludf.DUMMYFUNCTION("""COMPUTED_VALUE"""),"")</f>
        <v/>
      </c>
      <c r="AC12734" s="16" t="str">
        <f>IFERROR(__xludf.DUMMYFUNCTION("""COMPUTED_VALUE"""),"")</f>
        <v/>
      </c>
    </row>
    <row r="12735">
      <c r="A12735" s="16" t="s">
        <v>87</v>
      </c>
      <c r="E12735" s="16" t="str">
        <f>IFERROR(__xludf.DUMMYFUNCTION("""COMPUTED_VALUE"""),"")</f>
        <v/>
      </c>
      <c r="G12735" s="18"/>
      <c r="H12735" s="16" t="s">
        <v>87</v>
      </c>
      <c r="I12735" s="16" t="s">
        <v>87</v>
      </c>
      <c r="J12735" s="19"/>
      <c r="L12735" s="16" t="str">
        <f>IFERROR(__xludf.DUMMYFUNCTION("""COMPUTED_VALUE"""),"")</f>
        <v/>
      </c>
      <c r="M12735" s="16" t="str">
        <f>IFERROR(__xludf.DUMMYFUNCTION("""COMPUTED_VALUE"""),"")</f>
        <v/>
      </c>
      <c r="U12735" s="16" t="s">
        <v>87</v>
      </c>
      <c r="V12735" s="16" t="str">
        <f>IFERROR(__xludf.DUMMYFUNCTION("""COMPUTED_VALUE"""),"")</f>
        <v/>
      </c>
      <c r="W12735" s="16" t="str">
        <f>IFERROR(__xludf.DUMMYFUNCTION("""COMPUTED_VALUE"""),"")</f>
        <v/>
      </c>
      <c r="X12735" s="16" t="str">
        <f>IFERROR(__xludf.DUMMYFUNCTION("""COMPUTED_VALUE"""),"")</f>
        <v/>
      </c>
      <c r="AC12735" s="16" t="str">
        <f>IFERROR(__xludf.DUMMYFUNCTION("""COMPUTED_VALUE"""),"")</f>
        <v/>
      </c>
    </row>
    <row r="12736">
      <c r="A12736" s="16" t="s">
        <v>87</v>
      </c>
      <c r="E12736" s="16" t="str">
        <f>IFERROR(__xludf.DUMMYFUNCTION("""COMPUTED_VALUE"""),"")</f>
        <v/>
      </c>
      <c r="G12736" s="18"/>
      <c r="H12736" s="16" t="s">
        <v>87</v>
      </c>
      <c r="I12736" s="16" t="s">
        <v>87</v>
      </c>
      <c r="J12736" s="19"/>
      <c r="L12736" s="16" t="str">
        <f>IFERROR(__xludf.DUMMYFUNCTION("""COMPUTED_VALUE"""),"")</f>
        <v/>
      </c>
      <c r="M12736" s="16" t="str">
        <f>IFERROR(__xludf.DUMMYFUNCTION("""COMPUTED_VALUE"""),"")</f>
        <v/>
      </c>
      <c r="U12736" s="16" t="s">
        <v>87</v>
      </c>
      <c r="V12736" s="16" t="str">
        <f>IFERROR(__xludf.DUMMYFUNCTION("""COMPUTED_VALUE"""),"")</f>
        <v/>
      </c>
      <c r="W12736" s="16" t="str">
        <f>IFERROR(__xludf.DUMMYFUNCTION("""COMPUTED_VALUE"""),"")</f>
        <v/>
      </c>
      <c r="X12736" s="16" t="str">
        <f>IFERROR(__xludf.DUMMYFUNCTION("""COMPUTED_VALUE"""),"")</f>
        <v/>
      </c>
      <c r="AC12736" s="16" t="str">
        <f>IFERROR(__xludf.DUMMYFUNCTION("""COMPUTED_VALUE"""),"")</f>
        <v/>
      </c>
    </row>
    <row r="12737">
      <c r="A12737" s="16" t="s">
        <v>87</v>
      </c>
      <c r="E12737" s="16" t="str">
        <f>IFERROR(__xludf.DUMMYFUNCTION("""COMPUTED_VALUE"""),"")</f>
        <v/>
      </c>
      <c r="G12737" s="18"/>
      <c r="H12737" s="16" t="s">
        <v>87</v>
      </c>
      <c r="I12737" s="16" t="s">
        <v>87</v>
      </c>
      <c r="J12737" s="19"/>
      <c r="L12737" s="16" t="str">
        <f>IFERROR(__xludf.DUMMYFUNCTION("""COMPUTED_VALUE"""),"")</f>
        <v/>
      </c>
      <c r="M12737" s="16" t="str">
        <f>IFERROR(__xludf.DUMMYFUNCTION("""COMPUTED_VALUE"""),"")</f>
        <v/>
      </c>
      <c r="U12737" s="16" t="s">
        <v>87</v>
      </c>
      <c r="V12737" s="16" t="str">
        <f>IFERROR(__xludf.DUMMYFUNCTION("""COMPUTED_VALUE"""),"")</f>
        <v/>
      </c>
      <c r="W12737" s="16" t="str">
        <f>IFERROR(__xludf.DUMMYFUNCTION("""COMPUTED_VALUE"""),"")</f>
        <v/>
      </c>
      <c r="X12737" s="16" t="str">
        <f>IFERROR(__xludf.DUMMYFUNCTION("""COMPUTED_VALUE"""),"")</f>
        <v/>
      </c>
      <c r="AC12737" s="16" t="str">
        <f>IFERROR(__xludf.DUMMYFUNCTION("""COMPUTED_VALUE"""),"")</f>
        <v/>
      </c>
    </row>
    <row r="12738">
      <c r="A12738" s="16" t="s">
        <v>87</v>
      </c>
      <c r="E12738" s="16" t="str">
        <f>IFERROR(__xludf.DUMMYFUNCTION("""COMPUTED_VALUE"""),"")</f>
        <v/>
      </c>
      <c r="G12738" s="18"/>
      <c r="H12738" s="16" t="s">
        <v>87</v>
      </c>
      <c r="I12738" s="16" t="s">
        <v>87</v>
      </c>
      <c r="J12738" s="19"/>
      <c r="L12738" s="16" t="str">
        <f>IFERROR(__xludf.DUMMYFUNCTION("""COMPUTED_VALUE"""),"")</f>
        <v/>
      </c>
      <c r="M12738" s="16" t="str">
        <f>IFERROR(__xludf.DUMMYFUNCTION("""COMPUTED_VALUE"""),"")</f>
        <v/>
      </c>
      <c r="U12738" s="16" t="s">
        <v>87</v>
      </c>
      <c r="V12738" s="16" t="str">
        <f>IFERROR(__xludf.DUMMYFUNCTION("""COMPUTED_VALUE"""),"")</f>
        <v/>
      </c>
      <c r="W12738" s="16" t="str">
        <f>IFERROR(__xludf.DUMMYFUNCTION("""COMPUTED_VALUE"""),"")</f>
        <v/>
      </c>
      <c r="X12738" s="16" t="str">
        <f>IFERROR(__xludf.DUMMYFUNCTION("""COMPUTED_VALUE"""),"")</f>
        <v/>
      </c>
      <c r="AC12738" s="16" t="str">
        <f>IFERROR(__xludf.DUMMYFUNCTION("""COMPUTED_VALUE"""),"")</f>
        <v/>
      </c>
    </row>
    <row r="12739">
      <c r="A12739" s="16" t="s">
        <v>87</v>
      </c>
      <c r="E12739" s="16" t="str">
        <f>IFERROR(__xludf.DUMMYFUNCTION("""COMPUTED_VALUE"""),"")</f>
        <v/>
      </c>
      <c r="G12739" s="18"/>
      <c r="H12739" s="16" t="s">
        <v>87</v>
      </c>
      <c r="I12739" s="16" t="s">
        <v>87</v>
      </c>
      <c r="J12739" s="19"/>
      <c r="L12739" s="16" t="str">
        <f>IFERROR(__xludf.DUMMYFUNCTION("""COMPUTED_VALUE"""),"")</f>
        <v/>
      </c>
      <c r="M12739" s="16" t="str">
        <f>IFERROR(__xludf.DUMMYFUNCTION("""COMPUTED_VALUE"""),"")</f>
        <v/>
      </c>
      <c r="U12739" s="16" t="s">
        <v>87</v>
      </c>
      <c r="V12739" s="16" t="str">
        <f>IFERROR(__xludf.DUMMYFUNCTION("""COMPUTED_VALUE"""),"")</f>
        <v/>
      </c>
      <c r="W12739" s="16" t="str">
        <f>IFERROR(__xludf.DUMMYFUNCTION("""COMPUTED_VALUE"""),"")</f>
        <v/>
      </c>
      <c r="X12739" s="16" t="str">
        <f>IFERROR(__xludf.DUMMYFUNCTION("""COMPUTED_VALUE"""),"")</f>
        <v/>
      </c>
      <c r="AC12739" s="16" t="str">
        <f>IFERROR(__xludf.DUMMYFUNCTION("""COMPUTED_VALUE"""),"")</f>
        <v/>
      </c>
    </row>
    <row r="12740">
      <c r="A12740" s="16" t="s">
        <v>87</v>
      </c>
      <c r="E12740" s="16" t="str">
        <f>IFERROR(__xludf.DUMMYFUNCTION("""COMPUTED_VALUE"""),"")</f>
        <v/>
      </c>
      <c r="G12740" s="18"/>
      <c r="H12740" s="16" t="s">
        <v>87</v>
      </c>
      <c r="I12740" s="16" t="s">
        <v>87</v>
      </c>
      <c r="J12740" s="19"/>
      <c r="L12740" s="16" t="str">
        <f>IFERROR(__xludf.DUMMYFUNCTION("""COMPUTED_VALUE"""),"")</f>
        <v/>
      </c>
      <c r="M12740" s="16" t="str">
        <f>IFERROR(__xludf.DUMMYFUNCTION("""COMPUTED_VALUE"""),"")</f>
        <v/>
      </c>
      <c r="U12740" s="16" t="s">
        <v>87</v>
      </c>
      <c r="V12740" s="16" t="str">
        <f>IFERROR(__xludf.DUMMYFUNCTION("""COMPUTED_VALUE"""),"")</f>
        <v/>
      </c>
      <c r="W12740" s="16" t="str">
        <f>IFERROR(__xludf.DUMMYFUNCTION("""COMPUTED_VALUE"""),"")</f>
        <v/>
      </c>
      <c r="X12740" s="16" t="str">
        <f>IFERROR(__xludf.DUMMYFUNCTION("""COMPUTED_VALUE"""),"")</f>
        <v/>
      </c>
      <c r="AC12740" s="16" t="str">
        <f>IFERROR(__xludf.DUMMYFUNCTION("""COMPUTED_VALUE"""),"")</f>
        <v/>
      </c>
    </row>
    <row r="12741">
      <c r="A12741" s="16" t="s">
        <v>87</v>
      </c>
      <c r="E12741" s="16" t="str">
        <f>IFERROR(__xludf.DUMMYFUNCTION("""COMPUTED_VALUE"""),"")</f>
        <v/>
      </c>
      <c r="G12741" s="18"/>
      <c r="H12741" s="16" t="s">
        <v>87</v>
      </c>
      <c r="I12741" s="16" t="s">
        <v>87</v>
      </c>
      <c r="J12741" s="19"/>
      <c r="L12741" s="16" t="str">
        <f>IFERROR(__xludf.DUMMYFUNCTION("""COMPUTED_VALUE"""),"")</f>
        <v/>
      </c>
      <c r="M12741" s="16" t="str">
        <f>IFERROR(__xludf.DUMMYFUNCTION("""COMPUTED_VALUE"""),"")</f>
        <v/>
      </c>
      <c r="U12741" s="16" t="s">
        <v>87</v>
      </c>
      <c r="V12741" s="16" t="str">
        <f>IFERROR(__xludf.DUMMYFUNCTION("""COMPUTED_VALUE"""),"")</f>
        <v/>
      </c>
      <c r="W12741" s="16" t="str">
        <f>IFERROR(__xludf.DUMMYFUNCTION("""COMPUTED_VALUE"""),"")</f>
        <v/>
      </c>
      <c r="X12741" s="16" t="str">
        <f>IFERROR(__xludf.DUMMYFUNCTION("""COMPUTED_VALUE"""),"")</f>
        <v/>
      </c>
      <c r="AC12741" s="16" t="str">
        <f>IFERROR(__xludf.DUMMYFUNCTION("""COMPUTED_VALUE"""),"")</f>
        <v/>
      </c>
    </row>
    <row r="12742">
      <c r="A12742" s="16" t="s">
        <v>87</v>
      </c>
      <c r="E12742" s="16" t="str">
        <f>IFERROR(__xludf.DUMMYFUNCTION("""COMPUTED_VALUE"""),"")</f>
        <v/>
      </c>
      <c r="G12742" s="18"/>
      <c r="H12742" s="16" t="s">
        <v>87</v>
      </c>
      <c r="I12742" s="16" t="s">
        <v>87</v>
      </c>
      <c r="J12742" s="19"/>
      <c r="L12742" s="16" t="str">
        <f>IFERROR(__xludf.DUMMYFUNCTION("""COMPUTED_VALUE"""),"")</f>
        <v/>
      </c>
      <c r="M12742" s="16" t="str">
        <f>IFERROR(__xludf.DUMMYFUNCTION("""COMPUTED_VALUE"""),"")</f>
        <v/>
      </c>
      <c r="U12742" s="16" t="s">
        <v>87</v>
      </c>
      <c r="V12742" s="16" t="str">
        <f>IFERROR(__xludf.DUMMYFUNCTION("""COMPUTED_VALUE"""),"")</f>
        <v/>
      </c>
      <c r="W12742" s="16" t="str">
        <f>IFERROR(__xludf.DUMMYFUNCTION("""COMPUTED_VALUE"""),"")</f>
        <v/>
      </c>
      <c r="X12742" s="16" t="str">
        <f>IFERROR(__xludf.DUMMYFUNCTION("""COMPUTED_VALUE"""),"")</f>
        <v/>
      </c>
      <c r="AC12742" s="16" t="str">
        <f>IFERROR(__xludf.DUMMYFUNCTION("""COMPUTED_VALUE"""),"")</f>
        <v/>
      </c>
    </row>
    <row r="12743">
      <c r="A12743" s="16" t="s">
        <v>87</v>
      </c>
      <c r="E12743" s="16" t="str">
        <f>IFERROR(__xludf.DUMMYFUNCTION("""COMPUTED_VALUE"""),"")</f>
        <v/>
      </c>
      <c r="G12743" s="18"/>
      <c r="H12743" s="16" t="s">
        <v>87</v>
      </c>
      <c r="I12743" s="16" t="s">
        <v>87</v>
      </c>
      <c r="J12743" s="19"/>
      <c r="L12743" s="16" t="str">
        <f>IFERROR(__xludf.DUMMYFUNCTION("""COMPUTED_VALUE"""),"")</f>
        <v/>
      </c>
      <c r="M12743" s="16" t="str">
        <f>IFERROR(__xludf.DUMMYFUNCTION("""COMPUTED_VALUE"""),"")</f>
        <v/>
      </c>
      <c r="U12743" s="16" t="s">
        <v>87</v>
      </c>
      <c r="V12743" s="16" t="str">
        <f>IFERROR(__xludf.DUMMYFUNCTION("""COMPUTED_VALUE"""),"")</f>
        <v/>
      </c>
      <c r="W12743" s="16" t="str">
        <f>IFERROR(__xludf.DUMMYFUNCTION("""COMPUTED_VALUE"""),"")</f>
        <v/>
      </c>
      <c r="X12743" s="16" t="str">
        <f>IFERROR(__xludf.DUMMYFUNCTION("""COMPUTED_VALUE"""),"")</f>
        <v/>
      </c>
      <c r="AC12743" s="16" t="str">
        <f>IFERROR(__xludf.DUMMYFUNCTION("""COMPUTED_VALUE"""),"")</f>
        <v/>
      </c>
    </row>
    <row r="12744">
      <c r="A12744" s="16" t="s">
        <v>87</v>
      </c>
      <c r="E12744" s="16" t="str">
        <f>IFERROR(__xludf.DUMMYFUNCTION("""COMPUTED_VALUE"""),"")</f>
        <v/>
      </c>
      <c r="G12744" s="18"/>
      <c r="H12744" s="16" t="s">
        <v>87</v>
      </c>
      <c r="I12744" s="16" t="s">
        <v>87</v>
      </c>
      <c r="J12744" s="19"/>
      <c r="L12744" s="16" t="str">
        <f>IFERROR(__xludf.DUMMYFUNCTION("""COMPUTED_VALUE"""),"")</f>
        <v/>
      </c>
      <c r="M12744" s="16" t="str">
        <f>IFERROR(__xludf.DUMMYFUNCTION("""COMPUTED_VALUE"""),"")</f>
        <v/>
      </c>
      <c r="U12744" s="16" t="s">
        <v>87</v>
      </c>
      <c r="V12744" s="16" t="str">
        <f>IFERROR(__xludf.DUMMYFUNCTION("""COMPUTED_VALUE"""),"")</f>
        <v/>
      </c>
      <c r="W12744" s="16" t="str">
        <f>IFERROR(__xludf.DUMMYFUNCTION("""COMPUTED_VALUE"""),"")</f>
        <v/>
      </c>
      <c r="X12744" s="16" t="str">
        <f>IFERROR(__xludf.DUMMYFUNCTION("""COMPUTED_VALUE"""),"")</f>
        <v/>
      </c>
      <c r="AC12744" s="16" t="str">
        <f>IFERROR(__xludf.DUMMYFUNCTION("""COMPUTED_VALUE"""),"")</f>
        <v/>
      </c>
    </row>
    <row r="12745">
      <c r="A12745" s="16" t="s">
        <v>87</v>
      </c>
      <c r="E12745" s="16" t="str">
        <f>IFERROR(__xludf.DUMMYFUNCTION("""COMPUTED_VALUE"""),"")</f>
        <v/>
      </c>
      <c r="G12745" s="18"/>
      <c r="H12745" s="16" t="s">
        <v>87</v>
      </c>
      <c r="I12745" s="16" t="s">
        <v>87</v>
      </c>
      <c r="J12745" s="19"/>
      <c r="L12745" s="16" t="str">
        <f>IFERROR(__xludf.DUMMYFUNCTION("""COMPUTED_VALUE"""),"")</f>
        <v/>
      </c>
      <c r="M12745" s="16" t="str">
        <f>IFERROR(__xludf.DUMMYFUNCTION("""COMPUTED_VALUE"""),"")</f>
        <v/>
      </c>
      <c r="U12745" s="16" t="s">
        <v>87</v>
      </c>
      <c r="V12745" s="16" t="str">
        <f>IFERROR(__xludf.DUMMYFUNCTION("""COMPUTED_VALUE"""),"")</f>
        <v/>
      </c>
      <c r="W12745" s="16" t="str">
        <f>IFERROR(__xludf.DUMMYFUNCTION("""COMPUTED_VALUE"""),"")</f>
        <v/>
      </c>
      <c r="X12745" s="16" t="str">
        <f>IFERROR(__xludf.DUMMYFUNCTION("""COMPUTED_VALUE"""),"")</f>
        <v/>
      </c>
      <c r="AC12745" s="16" t="str">
        <f>IFERROR(__xludf.DUMMYFUNCTION("""COMPUTED_VALUE"""),"")</f>
        <v/>
      </c>
    </row>
    <row r="12746">
      <c r="A12746" s="16" t="s">
        <v>87</v>
      </c>
      <c r="E12746" s="16" t="str">
        <f>IFERROR(__xludf.DUMMYFUNCTION("""COMPUTED_VALUE"""),"")</f>
        <v/>
      </c>
      <c r="G12746" s="18"/>
      <c r="H12746" s="16" t="s">
        <v>87</v>
      </c>
      <c r="I12746" s="16" t="s">
        <v>87</v>
      </c>
      <c r="J12746" s="19"/>
      <c r="L12746" s="16" t="str">
        <f>IFERROR(__xludf.DUMMYFUNCTION("""COMPUTED_VALUE"""),"")</f>
        <v/>
      </c>
      <c r="M12746" s="16" t="str">
        <f>IFERROR(__xludf.DUMMYFUNCTION("""COMPUTED_VALUE"""),"")</f>
        <v/>
      </c>
      <c r="U12746" s="16" t="s">
        <v>87</v>
      </c>
      <c r="V12746" s="16" t="str">
        <f>IFERROR(__xludf.DUMMYFUNCTION("""COMPUTED_VALUE"""),"")</f>
        <v/>
      </c>
      <c r="W12746" s="16" t="str">
        <f>IFERROR(__xludf.DUMMYFUNCTION("""COMPUTED_VALUE"""),"")</f>
        <v/>
      </c>
      <c r="X12746" s="16" t="str">
        <f>IFERROR(__xludf.DUMMYFUNCTION("""COMPUTED_VALUE"""),"")</f>
        <v/>
      </c>
      <c r="AC12746" s="16" t="str">
        <f>IFERROR(__xludf.DUMMYFUNCTION("""COMPUTED_VALUE"""),"")</f>
        <v/>
      </c>
    </row>
    <row r="12747">
      <c r="A12747" s="16" t="s">
        <v>87</v>
      </c>
      <c r="E12747" s="16" t="str">
        <f>IFERROR(__xludf.DUMMYFUNCTION("""COMPUTED_VALUE"""),"")</f>
        <v/>
      </c>
      <c r="G12747" s="18"/>
      <c r="H12747" s="16" t="s">
        <v>87</v>
      </c>
      <c r="I12747" s="16" t="s">
        <v>87</v>
      </c>
      <c r="J12747" s="19"/>
      <c r="L12747" s="16" t="str">
        <f>IFERROR(__xludf.DUMMYFUNCTION("""COMPUTED_VALUE"""),"")</f>
        <v/>
      </c>
      <c r="M12747" s="16" t="str">
        <f>IFERROR(__xludf.DUMMYFUNCTION("""COMPUTED_VALUE"""),"")</f>
        <v/>
      </c>
      <c r="U12747" s="16" t="s">
        <v>87</v>
      </c>
      <c r="V12747" s="16" t="str">
        <f>IFERROR(__xludf.DUMMYFUNCTION("""COMPUTED_VALUE"""),"")</f>
        <v/>
      </c>
      <c r="W12747" s="16" t="str">
        <f>IFERROR(__xludf.DUMMYFUNCTION("""COMPUTED_VALUE"""),"")</f>
        <v/>
      </c>
      <c r="X12747" s="16" t="str">
        <f>IFERROR(__xludf.DUMMYFUNCTION("""COMPUTED_VALUE"""),"")</f>
        <v/>
      </c>
      <c r="AC12747" s="16" t="str">
        <f>IFERROR(__xludf.DUMMYFUNCTION("""COMPUTED_VALUE"""),"")</f>
        <v/>
      </c>
    </row>
    <row r="12748">
      <c r="A12748" s="16" t="s">
        <v>87</v>
      </c>
      <c r="E12748" s="16" t="str">
        <f>IFERROR(__xludf.DUMMYFUNCTION("""COMPUTED_VALUE"""),"")</f>
        <v/>
      </c>
      <c r="G12748" s="18"/>
      <c r="H12748" s="16" t="s">
        <v>87</v>
      </c>
      <c r="I12748" s="16" t="s">
        <v>87</v>
      </c>
      <c r="J12748" s="19"/>
      <c r="L12748" s="16" t="str">
        <f>IFERROR(__xludf.DUMMYFUNCTION("""COMPUTED_VALUE"""),"")</f>
        <v/>
      </c>
      <c r="M12748" s="16" t="str">
        <f>IFERROR(__xludf.DUMMYFUNCTION("""COMPUTED_VALUE"""),"")</f>
        <v/>
      </c>
      <c r="U12748" s="16" t="s">
        <v>87</v>
      </c>
      <c r="V12748" s="16" t="str">
        <f>IFERROR(__xludf.DUMMYFUNCTION("""COMPUTED_VALUE"""),"")</f>
        <v/>
      </c>
      <c r="W12748" s="16" t="str">
        <f>IFERROR(__xludf.DUMMYFUNCTION("""COMPUTED_VALUE"""),"")</f>
        <v/>
      </c>
      <c r="X12748" s="16" t="str">
        <f>IFERROR(__xludf.DUMMYFUNCTION("""COMPUTED_VALUE"""),"")</f>
        <v/>
      </c>
      <c r="AC12748" s="16" t="str">
        <f>IFERROR(__xludf.DUMMYFUNCTION("""COMPUTED_VALUE"""),"")</f>
        <v/>
      </c>
    </row>
    <row r="12749">
      <c r="A12749" s="16" t="s">
        <v>87</v>
      </c>
      <c r="E12749" s="16" t="str">
        <f>IFERROR(__xludf.DUMMYFUNCTION("""COMPUTED_VALUE"""),"")</f>
        <v/>
      </c>
      <c r="G12749" s="18"/>
      <c r="H12749" s="16" t="s">
        <v>87</v>
      </c>
      <c r="I12749" s="16" t="s">
        <v>87</v>
      </c>
      <c r="J12749" s="19"/>
      <c r="L12749" s="16" t="str">
        <f>IFERROR(__xludf.DUMMYFUNCTION("""COMPUTED_VALUE"""),"")</f>
        <v/>
      </c>
      <c r="M12749" s="16" t="str">
        <f>IFERROR(__xludf.DUMMYFUNCTION("""COMPUTED_VALUE"""),"")</f>
        <v/>
      </c>
      <c r="U12749" s="16" t="s">
        <v>87</v>
      </c>
      <c r="V12749" s="16" t="str">
        <f>IFERROR(__xludf.DUMMYFUNCTION("""COMPUTED_VALUE"""),"")</f>
        <v/>
      </c>
      <c r="W12749" s="16" t="str">
        <f>IFERROR(__xludf.DUMMYFUNCTION("""COMPUTED_VALUE"""),"")</f>
        <v/>
      </c>
      <c r="X12749" s="16" t="str">
        <f>IFERROR(__xludf.DUMMYFUNCTION("""COMPUTED_VALUE"""),"")</f>
        <v/>
      </c>
      <c r="AC12749" s="16" t="str">
        <f>IFERROR(__xludf.DUMMYFUNCTION("""COMPUTED_VALUE"""),"")</f>
        <v/>
      </c>
    </row>
    <row r="12750">
      <c r="A12750" s="16" t="s">
        <v>87</v>
      </c>
      <c r="E12750" s="16" t="str">
        <f>IFERROR(__xludf.DUMMYFUNCTION("""COMPUTED_VALUE"""),"")</f>
        <v/>
      </c>
      <c r="G12750" s="18"/>
      <c r="H12750" s="16" t="s">
        <v>87</v>
      </c>
      <c r="I12750" s="16" t="s">
        <v>87</v>
      </c>
      <c r="J12750" s="19"/>
      <c r="L12750" s="16" t="str">
        <f>IFERROR(__xludf.DUMMYFUNCTION("""COMPUTED_VALUE"""),"")</f>
        <v/>
      </c>
      <c r="M12750" s="16" t="str">
        <f>IFERROR(__xludf.DUMMYFUNCTION("""COMPUTED_VALUE"""),"")</f>
        <v/>
      </c>
      <c r="U12750" s="16" t="s">
        <v>87</v>
      </c>
      <c r="V12750" s="16" t="str">
        <f>IFERROR(__xludf.DUMMYFUNCTION("""COMPUTED_VALUE"""),"")</f>
        <v/>
      </c>
      <c r="W12750" s="16" t="str">
        <f>IFERROR(__xludf.DUMMYFUNCTION("""COMPUTED_VALUE"""),"")</f>
        <v/>
      </c>
      <c r="X12750" s="16" t="str">
        <f>IFERROR(__xludf.DUMMYFUNCTION("""COMPUTED_VALUE"""),"")</f>
        <v/>
      </c>
      <c r="AC12750" s="16" t="str">
        <f>IFERROR(__xludf.DUMMYFUNCTION("""COMPUTED_VALUE"""),"")</f>
        <v/>
      </c>
    </row>
    <row r="12751">
      <c r="A12751" s="16" t="s">
        <v>87</v>
      </c>
      <c r="E12751" s="16" t="str">
        <f>IFERROR(__xludf.DUMMYFUNCTION("""COMPUTED_VALUE"""),"")</f>
        <v/>
      </c>
      <c r="G12751" s="18"/>
      <c r="H12751" s="16" t="s">
        <v>87</v>
      </c>
      <c r="I12751" s="16" t="s">
        <v>87</v>
      </c>
      <c r="J12751" s="19"/>
      <c r="L12751" s="16" t="str">
        <f>IFERROR(__xludf.DUMMYFUNCTION("""COMPUTED_VALUE"""),"")</f>
        <v/>
      </c>
      <c r="M12751" s="16" t="str">
        <f>IFERROR(__xludf.DUMMYFUNCTION("""COMPUTED_VALUE"""),"")</f>
        <v/>
      </c>
      <c r="U12751" s="16" t="s">
        <v>87</v>
      </c>
      <c r="V12751" s="16" t="str">
        <f>IFERROR(__xludf.DUMMYFUNCTION("""COMPUTED_VALUE"""),"")</f>
        <v/>
      </c>
      <c r="W12751" s="16" t="str">
        <f>IFERROR(__xludf.DUMMYFUNCTION("""COMPUTED_VALUE"""),"")</f>
        <v/>
      </c>
      <c r="X12751" s="16" t="str">
        <f>IFERROR(__xludf.DUMMYFUNCTION("""COMPUTED_VALUE"""),"")</f>
        <v/>
      </c>
      <c r="AC12751" s="16" t="str">
        <f>IFERROR(__xludf.DUMMYFUNCTION("""COMPUTED_VALUE"""),"")</f>
        <v/>
      </c>
    </row>
    <row r="12752">
      <c r="A12752" s="16" t="s">
        <v>87</v>
      </c>
      <c r="E12752" s="16" t="str">
        <f>IFERROR(__xludf.DUMMYFUNCTION("""COMPUTED_VALUE"""),"")</f>
        <v/>
      </c>
      <c r="G12752" s="18"/>
      <c r="H12752" s="16" t="s">
        <v>87</v>
      </c>
      <c r="I12752" s="16" t="s">
        <v>87</v>
      </c>
      <c r="J12752" s="19"/>
      <c r="L12752" s="16" t="str">
        <f>IFERROR(__xludf.DUMMYFUNCTION("""COMPUTED_VALUE"""),"")</f>
        <v/>
      </c>
      <c r="M12752" s="16" t="str">
        <f>IFERROR(__xludf.DUMMYFUNCTION("""COMPUTED_VALUE"""),"")</f>
        <v/>
      </c>
      <c r="U12752" s="16" t="s">
        <v>87</v>
      </c>
      <c r="V12752" s="16" t="str">
        <f>IFERROR(__xludf.DUMMYFUNCTION("""COMPUTED_VALUE"""),"")</f>
        <v/>
      </c>
      <c r="W12752" s="16" t="str">
        <f>IFERROR(__xludf.DUMMYFUNCTION("""COMPUTED_VALUE"""),"")</f>
        <v/>
      </c>
      <c r="X12752" s="16" t="str">
        <f>IFERROR(__xludf.DUMMYFUNCTION("""COMPUTED_VALUE"""),"")</f>
        <v/>
      </c>
      <c r="AC12752" s="16" t="str">
        <f>IFERROR(__xludf.DUMMYFUNCTION("""COMPUTED_VALUE"""),"")</f>
        <v/>
      </c>
    </row>
    <row r="12753">
      <c r="A12753" s="16" t="s">
        <v>87</v>
      </c>
      <c r="E12753" s="16" t="str">
        <f>IFERROR(__xludf.DUMMYFUNCTION("""COMPUTED_VALUE"""),"")</f>
        <v/>
      </c>
      <c r="G12753" s="18"/>
      <c r="H12753" s="16" t="s">
        <v>87</v>
      </c>
      <c r="I12753" s="16" t="s">
        <v>87</v>
      </c>
      <c r="J12753" s="19"/>
      <c r="L12753" s="16" t="str">
        <f>IFERROR(__xludf.DUMMYFUNCTION("""COMPUTED_VALUE"""),"")</f>
        <v/>
      </c>
      <c r="M12753" s="16" t="str">
        <f>IFERROR(__xludf.DUMMYFUNCTION("""COMPUTED_VALUE"""),"")</f>
        <v/>
      </c>
      <c r="U12753" s="16" t="s">
        <v>87</v>
      </c>
      <c r="V12753" s="16" t="str">
        <f>IFERROR(__xludf.DUMMYFUNCTION("""COMPUTED_VALUE"""),"")</f>
        <v/>
      </c>
      <c r="W12753" s="16" t="str">
        <f>IFERROR(__xludf.DUMMYFUNCTION("""COMPUTED_VALUE"""),"")</f>
        <v/>
      </c>
      <c r="X12753" s="16" t="str">
        <f>IFERROR(__xludf.DUMMYFUNCTION("""COMPUTED_VALUE"""),"")</f>
        <v/>
      </c>
      <c r="AC12753" s="16" t="str">
        <f>IFERROR(__xludf.DUMMYFUNCTION("""COMPUTED_VALUE"""),"")</f>
        <v/>
      </c>
    </row>
    <row r="12754">
      <c r="A12754" s="16" t="s">
        <v>87</v>
      </c>
      <c r="E12754" s="16" t="str">
        <f>IFERROR(__xludf.DUMMYFUNCTION("""COMPUTED_VALUE"""),"")</f>
        <v/>
      </c>
      <c r="G12754" s="18"/>
      <c r="H12754" s="16" t="s">
        <v>87</v>
      </c>
      <c r="I12754" s="16" t="s">
        <v>87</v>
      </c>
      <c r="J12754" s="19"/>
      <c r="L12754" s="16" t="str">
        <f>IFERROR(__xludf.DUMMYFUNCTION("""COMPUTED_VALUE"""),"")</f>
        <v/>
      </c>
      <c r="M12754" s="16" t="str">
        <f>IFERROR(__xludf.DUMMYFUNCTION("""COMPUTED_VALUE"""),"")</f>
        <v/>
      </c>
      <c r="U12754" s="16" t="s">
        <v>87</v>
      </c>
      <c r="V12754" s="16" t="str">
        <f>IFERROR(__xludf.DUMMYFUNCTION("""COMPUTED_VALUE"""),"")</f>
        <v/>
      </c>
      <c r="W12754" s="16" t="str">
        <f>IFERROR(__xludf.DUMMYFUNCTION("""COMPUTED_VALUE"""),"")</f>
        <v/>
      </c>
      <c r="X12754" s="16" t="str">
        <f>IFERROR(__xludf.DUMMYFUNCTION("""COMPUTED_VALUE"""),"")</f>
        <v/>
      </c>
      <c r="AC12754" s="16" t="str">
        <f>IFERROR(__xludf.DUMMYFUNCTION("""COMPUTED_VALUE"""),"")</f>
        <v/>
      </c>
    </row>
    <row r="12755">
      <c r="A12755" s="16" t="s">
        <v>87</v>
      </c>
      <c r="E12755" s="16" t="str">
        <f>IFERROR(__xludf.DUMMYFUNCTION("""COMPUTED_VALUE"""),"")</f>
        <v/>
      </c>
      <c r="G12755" s="18"/>
      <c r="H12755" s="16" t="s">
        <v>87</v>
      </c>
      <c r="I12755" s="16" t="s">
        <v>87</v>
      </c>
      <c r="J12755" s="19"/>
      <c r="L12755" s="16" t="str">
        <f>IFERROR(__xludf.DUMMYFUNCTION("""COMPUTED_VALUE"""),"")</f>
        <v/>
      </c>
      <c r="M12755" s="16" t="str">
        <f>IFERROR(__xludf.DUMMYFUNCTION("""COMPUTED_VALUE"""),"")</f>
        <v/>
      </c>
      <c r="U12755" s="16" t="s">
        <v>87</v>
      </c>
      <c r="V12755" s="16" t="str">
        <f>IFERROR(__xludf.DUMMYFUNCTION("""COMPUTED_VALUE"""),"")</f>
        <v/>
      </c>
      <c r="W12755" s="16" t="str">
        <f>IFERROR(__xludf.DUMMYFUNCTION("""COMPUTED_VALUE"""),"")</f>
        <v/>
      </c>
      <c r="X12755" s="16" t="str">
        <f>IFERROR(__xludf.DUMMYFUNCTION("""COMPUTED_VALUE"""),"")</f>
        <v/>
      </c>
      <c r="AC12755" s="16" t="str">
        <f>IFERROR(__xludf.DUMMYFUNCTION("""COMPUTED_VALUE"""),"")</f>
        <v/>
      </c>
    </row>
    <row r="12756">
      <c r="A12756" s="16" t="s">
        <v>87</v>
      </c>
      <c r="E12756" s="16" t="str">
        <f>IFERROR(__xludf.DUMMYFUNCTION("""COMPUTED_VALUE"""),"")</f>
        <v/>
      </c>
      <c r="G12756" s="18"/>
      <c r="H12756" s="16" t="s">
        <v>87</v>
      </c>
      <c r="I12756" s="16" t="s">
        <v>87</v>
      </c>
      <c r="J12756" s="19"/>
      <c r="L12756" s="16" t="str">
        <f>IFERROR(__xludf.DUMMYFUNCTION("""COMPUTED_VALUE"""),"")</f>
        <v/>
      </c>
      <c r="M12756" s="16" t="str">
        <f>IFERROR(__xludf.DUMMYFUNCTION("""COMPUTED_VALUE"""),"")</f>
        <v/>
      </c>
      <c r="U12756" s="16" t="s">
        <v>87</v>
      </c>
      <c r="V12756" s="16" t="str">
        <f>IFERROR(__xludf.DUMMYFUNCTION("""COMPUTED_VALUE"""),"")</f>
        <v/>
      </c>
      <c r="W12756" s="16" t="str">
        <f>IFERROR(__xludf.DUMMYFUNCTION("""COMPUTED_VALUE"""),"")</f>
        <v/>
      </c>
      <c r="X12756" s="16" t="str">
        <f>IFERROR(__xludf.DUMMYFUNCTION("""COMPUTED_VALUE"""),"")</f>
        <v/>
      </c>
      <c r="AC12756" s="16" t="str">
        <f>IFERROR(__xludf.DUMMYFUNCTION("""COMPUTED_VALUE"""),"")</f>
        <v/>
      </c>
    </row>
    <row r="12757">
      <c r="A12757" s="16" t="s">
        <v>87</v>
      </c>
      <c r="E12757" s="16" t="str">
        <f>IFERROR(__xludf.DUMMYFUNCTION("""COMPUTED_VALUE"""),"")</f>
        <v/>
      </c>
      <c r="G12757" s="18"/>
      <c r="H12757" s="16" t="s">
        <v>87</v>
      </c>
      <c r="I12757" s="16" t="s">
        <v>87</v>
      </c>
      <c r="J12757" s="19"/>
      <c r="L12757" s="16" t="str">
        <f>IFERROR(__xludf.DUMMYFUNCTION("""COMPUTED_VALUE"""),"")</f>
        <v/>
      </c>
      <c r="M12757" s="16" t="str">
        <f>IFERROR(__xludf.DUMMYFUNCTION("""COMPUTED_VALUE"""),"")</f>
        <v/>
      </c>
      <c r="U12757" s="16" t="s">
        <v>87</v>
      </c>
      <c r="V12757" s="16" t="str">
        <f>IFERROR(__xludf.DUMMYFUNCTION("""COMPUTED_VALUE"""),"")</f>
        <v/>
      </c>
      <c r="W12757" s="16" t="str">
        <f>IFERROR(__xludf.DUMMYFUNCTION("""COMPUTED_VALUE"""),"")</f>
        <v/>
      </c>
      <c r="X12757" s="16" t="str">
        <f>IFERROR(__xludf.DUMMYFUNCTION("""COMPUTED_VALUE"""),"")</f>
        <v/>
      </c>
      <c r="AC12757" s="16" t="str">
        <f>IFERROR(__xludf.DUMMYFUNCTION("""COMPUTED_VALUE"""),"")</f>
        <v/>
      </c>
    </row>
    <row r="12758">
      <c r="A12758" s="16" t="s">
        <v>87</v>
      </c>
      <c r="E12758" s="16" t="str">
        <f>IFERROR(__xludf.DUMMYFUNCTION("""COMPUTED_VALUE"""),"")</f>
        <v/>
      </c>
      <c r="G12758" s="18"/>
      <c r="H12758" s="16" t="s">
        <v>87</v>
      </c>
      <c r="I12758" s="16" t="s">
        <v>87</v>
      </c>
      <c r="J12758" s="19"/>
      <c r="L12758" s="16" t="str">
        <f>IFERROR(__xludf.DUMMYFUNCTION("""COMPUTED_VALUE"""),"")</f>
        <v/>
      </c>
      <c r="M12758" s="16" t="str">
        <f>IFERROR(__xludf.DUMMYFUNCTION("""COMPUTED_VALUE"""),"")</f>
        <v/>
      </c>
      <c r="U12758" s="16" t="s">
        <v>87</v>
      </c>
      <c r="V12758" s="16" t="str">
        <f>IFERROR(__xludf.DUMMYFUNCTION("""COMPUTED_VALUE"""),"")</f>
        <v/>
      </c>
      <c r="W12758" s="16" t="str">
        <f>IFERROR(__xludf.DUMMYFUNCTION("""COMPUTED_VALUE"""),"")</f>
        <v/>
      </c>
      <c r="X12758" s="16" t="str">
        <f>IFERROR(__xludf.DUMMYFUNCTION("""COMPUTED_VALUE"""),"")</f>
        <v/>
      </c>
      <c r="AC12758" s="16" t="str">
        <f>IFERROR(__xludf.DUMMYFUNCTION("""COMPUTED_VALUE"""),"")</f>
        <v/>
      </c>
    </row>
    <row r="12759">
      <c r="A12759" s="16" t="s">
        <v>87</v>
      </c>
      <c r="E12759" s="16" t="str">
        <f>IFERROR(__xludf.DUMMYFUNCTION("""COMPUTED_VALUE"""),"")</f>
        <v/>
      </c>
      <c r="G12759" s="18"/>
      <c r="H12759" s="16" t="s">
        <v>87</v>
      </c>
      <c r="I12759" s="16" t="s">
        <v>87</v>
      </c>
      <c r="J12759" s="19"/>
      <c r="L12759" s="16" t="str">
        <f>IFERROR(__xludf.DUMMYFUNCTION("""COMPUTED_VALUE"""),"")</f>
        <v/>
      </c>
      <c r="M12759" s="16" t="str">
        <f>IFERROR(__xludf.DUMMYFUNCTION("""COMPUTED_VALUE"""),"")</f>
        <v/>
      </c>
      <c r="U12759" s="16" t="s">
        <v>87</v>
      </c>
      <c r="V12759" s="16" t="str">
        <f>IFERROR(__xludf.DUMMYFUNCTION("""COMPUTED_VALUE"""),"")</f>
        <v/>
      </c>
      <c r="W12759" s="16" t="str">
        <f>IFERROR(__xludf.DUMMYFUNCTION("""COMPUTED_VALUE"""),"")</f>
        <v/>
      </c>
      <c r="X12759" s="16" t="str">
        <f>IFERROR(__xludf.DUMMYFUNCTION("""COMPUTED_VALUE"""),"")</f>
        <v/>
      </c>
      <c r="AC12759" s="16" t="str">
        <f>IFERROR(__xludf.DUMMYFUNCTION("""COMPUTED_VALUE"""),"")</f>
        <v/>
      </c>
    </row>
    <row r="12760">
      <c r="A12760" s="16" t="s">
        <v>87</v>
      </c>
      <c r="E12760" s="16" t="str">
        <f>IFERROR(__xludf.DUMMYFUNCTION("""COMPUTED_VALUE"""),"")</f>
        <v/>
      </c>
      <c r="G12760" s="18"/>
      <c r="H12760" s="16" t="s">
        <v>87</v>
      </c>
      <c r="I12760" s="16" t="s">
        <v>87</v>
      </c>
      <c r="J12760" s="19"/>
      <c r="L12760" s="16" t="str">
        <f>IFERROR(__xludf.DUMMYFUNCTION("""COMPUTED_VALUE"""),"")</f>
        <v/>
      </c>
      <c r="M12760" s="16" t="str">
        <f>IFERROR(__xludf.DUMMYFUNCTION("""COMPUTED_VALUE"""),"")</f>
        <v/>
      </c>
      <c r="U12760" s="16" t="s">
        <v>87</v>
      </c>
      <c r="V12760" s="16" t="str">
        <f>IFERROR(__xludf.DUMMYFUNCTION("""COMPUTED_VALUE"""),"")</f>
        <v/>
      </c>
      <c r="W12760" s="16" t="str">
        <f>IFERROR(__xludf.DUMMYFUNCTION("""COMPUTED_VALUE"""),"")</f>
        <v/>
      </c>
      <c r="X12760" s="16" t="str">
        <f>IFERROR(__xludf.DUMMYFUNCTION("""COMPUTED_VALUE"""),"")</f>
        <v/>
      </c>
      <c r="AC12760" s="16" t="str">
        <f>IFERROR(__xludf.DUMMYFUNCTION("""COMPUTED_VALUE"""),"")</f>
        <v/>
      </c>
    </row>
    <row r="12761">
      <c r="A12761" s="16" t="s">
        <v>87</v>
      </c>
      <c r="E12761" s="16" t="str">
        <f>IFERROR(__xludf.DUMMYFUNCTION("""COMPUTED_VALUE"""),"")</f>
        <v/>
      </c>
      <c r="G12761" s="18"/>
      <c r="H12761" s="16" t="s">
        <v>87</v>
      </c>
      <c r="I12761" s="16" t="s">
        <v>87</v>
      </c>
      <c r="J12761" s="19"/>
      <c r="L12761" s="16" t="str">
        <f>IFERROR(__xludf.DUMMYFUNCTION("""COMPUTED_VALUE"""),"")</f>
        <v/>
      </c>
      <c r="M12761" s="16" t="str">
        <f>IFERROR(__xludf.DUMMYFUNCTION("""COMPUTED_VALUE"""),"")</f>
        <v/>
      </c>
      <c r="U12761" s="16" t="s">
        <v>87</v>
      </c>
      <c r="V12761" s="16" t="str">
        <f>IFERROR(__xludf.DUMMYFUNCTION("""COMPUTED_VALUE"""),"")</f>
        <v/>
      </c>
      <c r="W12761" s="16" t="str">
        <f>IFERROR(__xludf.DUMMYFUNCTION("""COMPUTED_VALUE"""),"")</f>
        <v/>
      </c>
      <c r="X12761" s="16" t="str">
        <f>IFERROR(__xludf.DUMMYFUNCTION("""COMPUTED_VALUE"""),"")</f>
        <v/>
      </c>
      <c r="AC12761" s="16" t="str">
        <f>IFERROR(__xludf.DUMMYFUNCTION("""COMPUTED_VALUE"""),"")</f>
        <v/>
      </c>
    </row>
    <row r="12762">
      <c r="A12762" s="16" t="s">
        <v>87</v>
      </c>
      <c r="E12762" s="16" t="str">
        <f>IFERROR(__xludf.DUMMYFUNCTION("""COMPUTED_VALUE"""),"")</f>
        <v/>
      </c>
      <c r="G12762" s="18"/>
      <c r="H12762" s="16" t="s">
        <v>87</v>
      </c>
      <c r="I12762" s="16" t="s">
        <v>87</v>
      </c>
      <c r="J12762" s="19"/>
      <c r="L12762" s="16" t="str">
        <f>IFERROR(__xludf.DUMMYFUNCTION("""COMPUTED_VALUE"""),"")</f>
        <v/>
      </c>
      <c r="M12762" s="16" t="str">
        <f>IFERROR(__xludf.DUMMYFUNCTION("""COMPUTED_VALUE"""),"")</f>
        <v/>
      </c>
      <c r="U12762" s="16" t="s">
        <v>87</v>
      </c>
      <c r="V12762" s="16" t="str">
        <f>IFERROR(__xludf.DUMMYFUNCTION("""COMPUTED_VALUE"""),"")</f>
        <v/>
      </c>
      <c r="W12762" s="16" t="str">
        <f>IFERROR(__xludf.DUMMYFUNCTION("""COMPUTED_VALUE"""),"")</f>
        <v/>
      </c>
      <c r="X12762" s="16" t="str">
        <f>IFERROR(__xludf.DUMMYFUNCTION("""COMPUTED_VALUE"""),"")</f>
        <v/>
      </c>
      <c r="AC12762" s="16" t="str">
        <f>IFERROR(__xludf.DUMMYFUNCTION("""COMPUTED_VALUE"""),"")</f>
        <v/>
      </c>
    </row>
    <row r="12763">
      <c r="A12763" s="16" t="s">
        <v>87</v>
      </c>
      <c r="E12763" s="16" t="str">
        <f>IFERROR(__xludf.DUMMYFUNCTION("""COMPUTED_VALUE"""),"")</f>
        <v/>
      </c>
      <c r="G12763" s="18"/>
      <c r="H12763" s="16" t="s">
        <v>87</v>
      </c>
      <c r="I12763" s="16" t="s">
        <v>87</v>
      </c>
      <c r="J12763" s="19"/>
      <c r="L12763" s="16" t="str">
        <f>IFERROR(__xludf.DUMMYFUNCTION("""COMPUTED_VALUE"""),"")</f>
        <v/>
      </c>
      <c r="M12763" s="16" t="str">
        <f>IFERROR(__xludf.DUMMYFUNCTION("""COMPUTED_VALUE"""),"")</f>
        <v/>
      </c>
      <c r="U12763" s="16" t="s">
        <v>87</v>
      </c>
      <c r="V12763" s="16" t="str">
        <f>IFERROR(__xludf.DUMMYFUNCTION("""COMPUTED_VALUE"""),"")</f>
        <v/>
      </c>
      <c r="W12763" s="16" t="str">
        <f>IFERROR(__xludf.DUMMYFUNCTION("""COMPUTED_VALUE"""),"")</f>
        <v/>
      </c>
      <c r="X12763" s="16" t="str">
        <f>IFERROR(__xludf.DUMMYFUNCTION("""COMPUTED_VALUE"""),"")</f>
        <v/>
      </c>
      <c r="AC12763" s="16" t="str">
        <f>IFERROR(__xludf.DUMMYFUNCTION("""COMPUTED_VALUE"""),"")</f>
        <v/>
      </c>
    </row>
    <row r="12764">
      <c r="A12764" s="16" t="s">
        <v>87</v>
      </c>
      <c r="E12764" s="16" t="str">
        <f>IFERROR(__xludf.DUMMYFUNCTION("""COMPUTED_VALUE"""),"")</f>
        <v/>
      </c>
      <c r="G12764" s="18"/>
      <c r="H12764" s="16" t="s">
        <v>87</v>
      </c>
      <c r="I12764" s="16" t="s">
        <v>87</v>
      </c>
      <c r="J12764" s="19"/>
      <c r="L12764" s="16" t="str">
        <f>IFERROR(__xludf.DUMMYFUNCTION("""COMPUTED_VALUE"""),"")</f>
        <v/>
      </c>
      <c r="M12764" s="16" t="str">
        <f>IFERROR(__xludf.DUMMYFUNCTION("""COMPUTED_VALUE"""),"")</f>
        <v/>
      </c>
      <c r="U12764" s="16" t="s">
        <v>87</v>
      </c>
      <c r="V12764" s="16" t="str">
        <f>IFERROR(__xludf.DUMMYFUNCTION("""COMPUTED_VALUE"""),"")</f>
        <v/>
      </c>
      <c r="W12764" s="16" t="str">
        <f>IFERROR(__xludf.DUMMYFUNCTION("""COMPUTED_VALUE"""),"")</f>
        <v/>
      </c>
      <c r="X12764" s="16" t="str">
        <f>IFERROR(__xludf.DUMMYFUNCTION("""COMPUTED_VALUE"""),"")</f>
        <v/>
      </c>
      <c r="AC12764" s="16" t="str">
        <f>IFERROR(__xludf.DUMMYFUNCTION("""COMPUTED_VALUE"""),"")</f>
        <v/>
      </c>
    </row>
    <row r="12765">
      <c r="A12765" s="16" t="s">
        <v>87</v>
      </c>
      <c r="E12765" s="16" t="str">
        <f>IFERROR(__xludf.DUMMYFUNCTION("""COMPUTED_VALUE"""),"")</f>
        <v/>
      </c>
      <c r="G12765" s="18"/>
      <c r="H12765" s="16" t="s">
        <v>87</v>
      </c>
      <c r="I12765" s="16" t="s">
        <v>87</v>
      </c>
      <c r="J12765" s="19"/>
      <c r="L12765" s="16" t="str">
        <f>IFERROR(__xludf.DUMMYFUNCTION("""COMPUTED_VALUE"""),"")</f>
        <v/>
      </c>
      <c r="M12765" s="16" t="str">
        <f>IFERROR(__xludf.DUMMYFUNCTION("""COMPUTED_VALUE"""),"")</f>
        <v/>
      </c>
      <c r="U12765" s="16" t="s">
        <v>87</v>
      </c>
      <c r="V12765" s="16" t="str">
        <f>IFERROR(__xludf.DUMMYFUNCTION("""COMPUTED_VALUE"""),"")</f>
        <v/>
      </c>
      <c r="W12765" s="16" t="str">
        <f>IFERROR(__xludf.DUMMYFUNCTION("""COMPUTED_VALUE"""),"")</f>
        <v/>
      </c>
      <c r="X12765" s="16" t="str">
        <f>IFERROR(__xludf.DUMMYFUNCTION("""COMPUTED_VALUE"""),"")</f>
        <v/>
      </c>
      <c r="AC12765" s="16" t="str">
        <f>IFERROR(__xludf.DUMMYFUNCTION("""COMPUTED_VALUE"""),"")</f>
        <v/>
      </c>
    </row>
    <row r="12766">
      <c r="A12766" s="16" t="s">
        <v>87</v>
      </c>
      <c r="E12766" s="16" t="str">
        <f>IFERROR(__xludf.DUMMYFUNCTION("""COMPUTED_VALUE"""),"")</f>
        <v/>
      </c>
      <c r="G12766" s="18"/>
      <c r="H12766" s="16" t="s">
        <v>87</v>
      </c>
      <c r="I12766" s="16" t="s">
        <v>87</v>
      </c>
      <c r="J12766" s="19"/>
      <c r="L12766" s="16" t="str">
        <f>IFERROR(__xludf.DUMMYFUNCTION("""COMPUTED_VALUE"""),"")</f>
        <v/>
      </c>
      <c r="M12766" s="16" t="str">
        <f>IFERROR(__xludf.DUMMYFUNCTION("""COMPUTED_VALUE"""),"")</f>
        <v/>
      </c>
      <c r="U12766" s="16" t="s">
        <v>87</v>
      </c>
      <c r="V12766" s="16" t="str">
        <f>IFERROR(__xludf.DUMMYFUNCTION("""COMPUTED_VALUE"""),"")</f>
        <v/>
      </c>
      <c r="W12766" s="16" t="str">
        <f>IFERROR(__xludf.DUMMYFUNCTION("""COMPUTED_VALUE"""),"")</f>
        <v/>
      </c>
      <c r="X12766" s="16" t="str">
        <f>IFERROR(__xludf.DUMMYFUNCTION("""COMPUTED_VALUE"""),"")</f>
        <v/>
      </c>
      <c r="AC12766" s="16" t="str">
        <f>IFERROR(__xludf.DUMMYFUNCTION("""COMPUTED_VALUE"""),"")</f>
        <v/>
      </c>
    </row>
    <row r="12767">
      <c r="A12767" s="16" t="s">
        <v>87</v>
      </c>
      <c r="E12767" s="16" t="str">
        <f>IFERROR(__xludf.DUMMYFUNCTION("""COMPUTED_VALUE"""),"")</f>
        <v/>
      </c>
      <c r="G12767" s="18"/>
      <c r="H12767" s="16" t="s">
        <v>87</v>
      </c>
      <c r="I12767" s="16" t="s">
        <v>87</v>
      </c>
      <c r="J12767" s="19"/>
      <c r="L12767" s="16" t="str">
        <f>IFERROR(__xludf.DUMMYFUNCTION("""COMPUTED_VALUE"""),"")</f>
        <v/>
      </c>
      <c r="M12767" s="16" t="str">
        <f>IFERROR(__xludf.DUMMYFUNCTION("""COMPUTED_VALUE"""),"")</f>
        <v/>
      </c>
      <c r="U12767" s="16" t="s">
        <v>87</v>
      </c>
      <c r="V12767" s="16" t="str">
        <f>IFERROR(__xludf.DUMMYFUNCTION("""COMPUTED_VALUE"""),"")</f>
        <v/>
      </c>
      <c r="W12767" s="16" t="str">
        <f>IFERROR(__xludf.DUMMYFUNCTION("""COMPUTED_VALUE"""),"")</f>
        <v/>
      </c>
      <c r="X12767" s="16" t="str">
        <f>IFERROR(__xludf.DUMMYFUNCTION("""COMPUTED_VALUE"""),"")</f>
        <v/>
      </c>
      <c r="AC12767" s="16" t="str">
        <f>IFERROR(__xludf.DUMMYFUNCTION("""COMPUTED_VALUE"""),"")</f>
        <v/>
      </c>
    </row>
    <row r="12768">
      <c r="A12768" s="16" t="s">
        <v>87</v>
      </c>
      <c r="E12768" s="16" t="str">
        <f>IFERROR(__xludf.DUMMYFUNCTION("""COMPUTED_VALUE"""),"")</f>
        <v/>
      </c>
      <c r="G12768" s="18"/>
      <c r="H12768" s="16" t="s">
        <v>87</v>
      </c>
      <c r="I12768" s="16" t="s">
        <v>87</v>
      </c>
      <c r="J12768" s="19"/>
      <c r="L12768" s="16" t="str">
        <f>IFERROR(__xludf.DUMMYFUNCTION("""COMPUTED_VALUE"""),"")</f>
        <v/>
      </c>
      <c r="M12768" s="16" t="str">
        <f>IFERROR(__xludf.DUMMYFUNCTION("""COMPUTED_VALUE"""),"")</f>
        <v/>
      </c>
      <c r="U12768" s="16" t="s">
        <v>87</v>
      </c>
      <c r="V12768" s="16" t="str">
        <f>IFERROR(__xludf.DUMMYFUNCTION("""COMPUTED_VALUE"""),"")</f>
        <v/>
      </c>
      <c r="W12768" s="16" t="str">
        <f>IFERROR(__xludf.DUMMYFUNCTION("""COMPUTED_VALUE"""),"")</f>
        <v/>
      </c>
      <c r="X12768" s="16" t="str">
        <f>IFERROR(__xludf.DUMMYFUNCTION("""COMPUTED_VALUE"""),"")</f>
        <v/>
      </c>
      <c r="AC12768" s="16" t="str">
        <f>IFERROR(__xludf.DUMMYFUNCTION("""COMPUTED_VALUE"""),"")</f>
        <v/>
      </c>
    </row>
    <row r="12769">
      <c r="A12769" s="16" t="s">
        <v>87</v>
      </c>
      <c r="E12769" s="16" t="str">
        <f>IFERROR(__xludf.DUMMYFUNCTION("""COMPUTED_VALUE"""),"")</f>
        <v/>
      </c>
      <c r="G12769" s="18"/>
      <c r="H12769" s="16" t="s">
        <v>87</v>
      </c>
      <c r="I12769" s="16" t="s">
        <v>87</v>
      </c>
      <c r="J12769" s="19"/>
      <c r="L12769" s="16" t="str">
        <f>IFERROR(__xludf.DUMMYFUNCTION("""COMPUTED_VALUE"""),"")</f>
        <v/>
      </c>
      <c r="M12769" s="16" t="str">
        <f>IFERROR(__xludf.DUMMYFUNCTION("""COMPUTED_VALUE"""),"")</f>
        <v/>
      </c>
      <c r="U12769" s="16" t="s">
        <v>87</v>
      </c>
      <c r="V12769" s="16" t="str">
        <f>IFERROR(__xludf.DUMMYFUNCTION("""COMPUTED_VALUE"""),"")</f>
        <v/>
      </c>
      <c r="W12769" s="16" t="str">
        <f>IFERROR(__xludf.DUMMYFUNCTION("""COMPUTED_VALUE"""),"")</f>
        <v/>
      </c>
      <c r="X12769" s="16" t="str">
        <f>IFERROR(__xludf.DUMMYFUNCTION("""COMPUTED_VALUE"""),"")</f>
        <v/>
      </c>
      <c r="AC12769" s="16" t="str">
        <f>IFERROR(__xludf.DUMMYFUNCTION("""COMPUTED_VALUE"""),"")</f>
        <v/>
      </c>
    </row>
    <row r="12770">
      <c r="A12770" s="16" t="s">
        <v>87</v>
      </c>
      <c r="E12770" s="16" t="str">
        <f>IFERROR(__xludf.DUMMYFUNCTION("""COMPUTED_VALUE"""),"")</f>
        <v/>
      </c>
      <c r="G12770" s="18"/>
      <c r="H12770" s="16" t="s">
        <v>87</v>
      </c>
      <c r="I12770" s="16" t="s">
        <v>87</v>
      </c>
      <c r="J12770" s="19"/>
      <c r="L12770" s="16" t="str">
        <f>IFERROR(__xludf.DUMMYFUNCTION("""COMPUTED_VALUE"""),"")</f>
        <v/>
      </c>
      <c r="M12770" s="16" t="str">
        <f>IFERROR(__xludf.DUMMYFUNCTION("""COMPUTED_VALUE"""),"")</f>
        <v/>
      </c>
      <c r="U12770" s="16" t="s">
        <v>87</v>
      </c>
      <c r="V12770" s="16" t="str">
        <f>IFERROR(__xludf.DUMMYFUNCTION("""COMPUTED_VALUE"""),"")</f>
        <v/>
      </c>
      <c r="W12770" s="16" t="str">
        <f>IFERROR(__xludf.DUMMYFUNCTION("""COMPUTED_VALUE"""),"")</f>
        <v/>
      </c>
      <c r="X12770" s="16" t="str">
        <f>IFERROR(__xludf.DUMMYFUNCTION("""COMPUTED_VALUE"""),"")</f>
        <v/>
      </c>
      <c r="AC12770" s="16" t="str">
        <f>IFERROR(__xludf.DUMMYFUNCTION("""COMPUTED_VALUE"""),"")</f>
        <v/>
      </c>
    </row>
    <row r="12771">
      <c r="A12771" s="16" t="s">
        <v>87</v>
      </c>
      <c r="E12771" s="16" t="str">
        <f>IFERROR(__xludf.DUMMYFUNCTION("""COMPUTED_VALUE"""),"")</f>
        <v/>
      </c>
      <c r="G12771" s="18"/>
      <c r="H12771" s="16" t="s">
        <v>87</v>
      </c>
      <c r="I12771" s="16" t="s">
        <v>87</v>
      </c>
      <c r="J12771" s="19"/>
      <c r="L12771" s="16" t="str">
        <f>IFERROR(__xludf.DUMMYFUNCTION("""COMPUTED_VALUE"""),"")</f>
        <v/>
      </c>
      <c r="M12771" s="16" t="str">
        <f>IFERROR(__xludf.DUMMYFUNCTION("""COMPUTED_VALUE"""),"")</f>
        <v/>
      </c>
      <c r="U12771" s="16" t="s">
        <v>87</v>
      </c>
      <c r="V12771" s="16" t="str">
        <f>IFERROR(__xludf.DUMMYFUNCTION("""COMPUTED_VALUE"""),"")</f>
        <v/>
      </c>
      <c r="W12771" s="16" t="str">
        <f>IFERROR(__xludf.DUMMYFUNCTION("""COMPUTED_VALUE"""),"")</f>
        <v/>
      </c>
      <c r="X12771" s="16" t="str">
        <f>IFERROR(__xludf.DUMMYFUNCTION("""COMPUTED_VALUE"""),"")</f>
        <v/>
      </c>
      <c r="AC12771" s="16" t="str">
        <f>IFERROR(__xludf.DUMMYFUNCTION("""COMPUTED_VALUE"""),"")</f>
        <v/>
      </c>
    </row>
    <row r="12772">
      <c r="A12772" s="16" t="s">
        <v>87</v>
      </c>
      <c r="E12772" s="16" t="str">
        <f>IFERROR(__xludf.DUMMYFUNCTION("""COMPUTED_VALUE"""),"")</f>
        <v/>
      </c>
      <c r="G12772" s="18"/>
      <c r="H12772" s="16" t="s">
        <v>87</v>
      </c>
      <c r="I12772" s="16" t="s">
        <v>87</v>
      </c>
      <c r="J12772" s="19"/>
      <c r="L12772" s="16" t="str">
        <f>IFERROR(__xludf.DUMMYFUNCTION("""COMPUTED_VALUE"""),"")</f>
        <v/>
      </c>
      <c r="M12772" s="16" t="str">
        <f>IFERROR(__xludf.DUMMYFUNCTION("""COMPUTED_VALUE"""),"")</f>
        <v/>
      </c>
      <c r="U12772" s="16" t="s">
        <v>87</v>
      </c>
      <c r="V12772" s="16" t="str">
        <f>IFERROR(__xludf.DUMMYFUNCTION("""COMPUTED_VALUE"""),"")</f>
        <v/>
      </c>
      <c r="W12772" s="16" t="str">
        <f>IFERROR(__xludf.DUMMYFUNCTION("""COMPUTED_VALUE"""),"")</f>
        <v/>
      </c>
      <c r="X12772" s="16" t="str">
        <f>IFERROR(__xludf.DUMMYFUNCTION("""COMPUTED_VALUE"""),"")</f>
        <v/>
      </c>
      <c r="AC12772" s="16" t="str">
        <f>IFERROR(__xludf.DUMMYFUNCTION("""COMPUTED_VALUE"""),"")</f>
        <v/>
      </c>
    </row>
    <row r="12773">
      <c r="A12773" s="16" t="s">
        <v>87</v>
      </c>
      <c r="E12773" s="16" t="str">
        <f>IFERROR(__xludf.DUMMYFUNCTION("""COMPUTED_VALUE"""),"")</f>
        <v/>
      </c>
      <c r="G12773" s="18"/>
      <c r="H12773" s="16" t="s">
        <v>87</v>
      </c>
      <c r="I12773" s="16" t="s">
        <v>87</v>
      </c>
      <c r="J12773" s="19"/>
      <c r="L12773" s="16" t="str">
        <f>IFERROR(__xludf.DUMMYFUNCTION("""COMPUTED_VALUE"""),"")</f>
        <v/>
      </c>
      <c r="M12773" s="16" t="str">
        <f>IFERROR(__xludf.DUMMYFUNCTION("""COMPUTED_VALUE"""),"")</f>
        <v/>
      </c>
      <c r="U12773" s="16" t="s">
        <v>87</v>
      </c>
      <c r="V12773" s="16" t="str">
        <f>IFERROR(__xludf.DUMMYFUNCTION("""COMPUTED_VALUE"""),"")</f>
        <v/>
      </c>
      <c r="W12773" s="16" t="str">
        <f>IFERROR(__xludf.DUMMYFUNCTION("""COMPUTED_VALUE"""),"")</f>
        <v/>
      </c>
      <c r="X12773" s="16" t="str">
        <f>IFERROR(__xludf.DUMMYFUNCTION("""COMPUTED_VALUE"""),"")</f>
        <v/>
      </c>
      <c r="AC12773" s="16" t="str">
        <f>IFERROR(__xludf.DUMMYFUNCTION("""COMPUTED_VALUE"""),"")</f>
        <v/>
      </c>
    </row>
    <row r="12774">
      <c r="A12774" s="16" t="s">
        <v>87</v>
      </c>
      <c r="E12774" s="16" t="str">
        <f>IFERROR(__xludf.DUMMYFUNCTION("""COMPUTED_VALUE"""),"")</f>
        <v/>
      </c>
      <c r="G12774" s="18"/>
      <c r="H12774" s="16" t="s">
        <v>87</v>
      </c>
      <c r="I12774" s="16" t="s">
        <v>87</v>
      </c>
      <c r="J12774" s="19"/>
      <c r="L12774" s="16" t="str">
        <f>IFERROR(__xludf.DUMMYFUNCTION("""COMPUTED_VALUE"""),"")</f>
        <v/>
      </c>
      <c r="M12774" s="16" t="str">
        <f>IFERROR(__xludf.DUMMYFUNCTION("""COMPUTED_VALUE"""),"")</f>
        <v/>
      </c>
      <c r="U12774" s="16" t="s">
        <v>87</v>
      </c>
      <c r="V12774" s="16" t="str">
        <f>IFERROR(__xludf.DUMMYFUNCTION("""COMPUTED_VALUE"""),"")</f>
        <v/>
      </c>
      <c r="W12774" s="16" t="str">
        <f>IFERROR(__xludf.DUMMYFUNCTION("""COMPUTED_VALUE"""),"")</f>
        <v/>
      </c>
      <c r="X12774" s="16" t="str">
        <f>IFERROR(__xludf.DUMMYFUNCTION("""COMPUTED_VALUE"""),"")</f>
        <v/>
      </c>
      <c r="AC12774" s="16" t="str">
        <f>IFERROR(__xludf.DUMMYFUNCTION("""COMPUTED_VALUE"""),"")</f>
        <v/>
      </c>
    </row>
    <row r="12775">
      <c r="A12775" s="16" t="s">
        <v>87</v>
      </c>
      <c r="E12775" s="16" t="str">
        <f>IFERROR(__xludf.DUMMYFUNCTION("""COMPUTED_VALUE"""),"")</f>
        <v/>
      </c>
      <c r="G12775" s="18"/>
      <c r="H12775" s="16" t="s">
        <v>87</v>
      </c>
      <c r="I12775" s="16" t="s">
        <v>87</v>
      </c>
      <c r="J12775" s="19"/>
      <c r="L12775" s="16" t="str">
        <f>IFERROR(__xludf.DUMMYFUNCTION("""COMPUTED_VALUE"""),"")</f>
        <v/>
      </c>
      <c r="M12775" s="16" t="str">
        <f>IFERROR(__xludf.DUMMYFUNCTION("""COMPUTED_VALUE"""),"")</f>
        <v/>
      </c>
      <c r="U12775" s="16" t="s">
        <v>87</v>
      </c>
      <c r="V12775" s="16" t="str">
        <f>IFERROR(__xludf.DUMMYFUNCTION("""COMPUTED_VALUE"""),"")</f>
        <v/>
      </c>
      <c r="W12775" s="16" t="str">
        <f>IFERROR(__xludf.DUMMYFUNCTION("""COMPUTED_VALUE"""),"")</f>
        <v/>
      </c>
      <c r="X12775" s="16" t="str">
        <f>IFERROR(__xludf.DUMMYFUNCTION("""COMPUTED_VALUE"""),"")</f>
        <v/>
      </c>
      <c r="AC12775" s="16" t="str">
        <f>IFERROR(__xludf.DUMMYFUNCTION("""COMPUTED_VALUE"""),"")</f>
        <v/>
      </c>
    </row>
    <row r="12776">
      <c r="A12776" s="16" t="s">
        <v>87</v>
      </c>
      <c r="E12776" s="16" t="str">
        <f>IFERROR(__xludf.DUMMYFUNCTION("""COMPUTED_VALUE"""),"")</f>
        <v/>
      </c>
      <c r="G12776" s="18"/>
      <c r="H12776" s="16" t="s">
        <v>87</v>
      </c>
      <c r="I12776" s="16" t="s">
        <v>87</v>
      </c>
      <c r="J12776" s="19"/>
      <c r="L12776" s="16" t="str">
        <f>IFERROR(__xludf.DUMMYFUNCTION("""COMPUTED_VALUE"""),"")</f>
        <v/>
      </c>
      <c r="M12776" s="16" t="str">
        <f>IFERROR(__xludf.DUMMYFUNCTION("""COMPUTED_VALUE"""),"")</f>
        <v/>
      </c>
      <c r="U12776" s="16" t="s">
        <v>87</v>
      </c>
      <c r="V12776" s="16" t="str">
        <f>IFERROR(__xludf.DUMMYFUNCTION("""COMPUTED_VALUE"""),"")</f>
        <v/>
      </c>
      <c r="W12776" s="16" t="str">
        <f>IFERROR(__xludf.DUMMYFUNCTION("""COMPUTED_VALUE"""),"")</f>
        <v/>
      </c>
      <c r="X12776" s="16" t="str">
        <f>IFERROR(__xludf.DUMMYFUNCTION("""COMPUTED_VALUE"""),"")</f>
        <v/>
      </c>
      <c r="AC12776" s="16" t="str">
        <f>IFERROR(__xludf.DUMMYFUNCTION("""COMPUTED_VALUE"""),"")</f>
        <v/>
      </c>
    </row>
    <row r="12777">
      <c r="A12777" s="16" t="s">
        <v>87</v>
      </c>
      <c r="E12777" s="16" t="str">
        <f>IFERROR(__xludf.DUMMYFUNCTION("""COMPUTED_VALUE"""),"")</f>
        <v/>
      </c>
      <c r="G12777" s="18"/>
      <c r="H12777" s="16" t="s">
        <v>87</v>
      </c>
      <c r="I12777" s="16" t="s">
        <v>87</v>
      </c>
      <c r="J12777" s="19"/>
      <c r="L12777" s="16" t="str">
        <f>IFERROR(__xludf.DUMMYFUNCTION("""COMPUTED_VALUE"""),"")</f>
        <v/>
      </c>
      <c r="M12777" s="16" t="str">
        <f>IFERROR(__xludf.DUMMYFUNCTION("""COMPUTED_VALUE"""),"")</f>
        <v/>
      </c>
      <c r="U12777" s="16" t="s">
        <v>87</v>
      </c>
      <c r="V12777" s="16" t="str">
        <f>IFERROR(__xludf.DUMMYFUNCTION("""COMPUTED_VALUE"""),"")</f>
        <v/>
      </c>
      <c r="W12777" s="16" t="str">
        <f>IFERROR(__xludf.DUMMYFUNCTION("""COMPUTED_VALUE"""),"")</f>
        <v/>
      </c>
      <c r="X12777" s="16" t="str">
        <f>IFERROR(__xludf.DUMMYFUNCTION("""COMPUTED_VALUE"""),"")</f>
        <v/>
      </c>
      <c r="AC12777" s="16" t="str">
        <f>IFERROR(__xludf.DUMMYFUNCTION("""COMPUTED_VALUE"""),"")</f>
        <v/>
      </c>
    </row>
    <row r="12778">
      <c r="A12778" s="16" t="s">
        <v>87</v>
      </c>
      <c r="E12778" s="16" t="str">
        <f>IFERROR(__xludf.DUMMYFUNCTION("""COMPUTED_VALUE"""),"")</f>
        <v/>
      </c>
      <c r="G12778" s="18"/>
      <c r="H12778" s="16" t="s">
        <v>87</v>
      </c>
      <c r="I12778" s="16" t="s">
        <v>87</v>
      </c>
      <c r="J12778" s="19"/>
      <c r="L12778" s="16" t="str">
        <f>IFERROR(__xludf.DUMMYFUNCTION("""COMPUTED_VALUE"""),"")</f>
        <v/>
      </c>
      <c r="M12778" s="16" t="str">
        <f>IFERROR(__xludf.DUMMYFUNCTION("""COMPUTED_VALUE"""),"")</f>
        <v/>
      </c>
      <c r="U12778" s="16" t="s">
        <v>87</v>
      </c>
      <c r="V12778" s="16" t="str">
        <f>IFERROR(__xludf.DUMMYFUNCTION("""COMPUTED_VALUE"""),"")</f>
        <v/>
      </c>
      <c r="W12778" s="16" t="str">
        <f>IFERROR(__xludf.DUMMYFUNCTION("""COMPUTED_VALUE"""),"")</f>
        <v/>
      </c>
      <c r="X12778" s="16" t="str">
        <f>IFERROR(__xludf.DUMMYFUNCTION("""COMPUTED_VALUE"""),"")</f>
        <v/>
      </c>
      <c r="AC12778" s="16" t="str">
        <f>IFERROR(__xludf.DUMMYFUNCTION("""COMPUTED_VALUE"""),"")</f>
        <v/>
      </c>
    </row>
    <row r="12779">
      <c r="A12779" s="16" t="s">
        <v>87</v>
      </c>
      <c r="E12779" s="16" t="str">
        <f>IFERROR(__xludf.DUMMYFUNCTION("""COMPUTED_VALUE"""),"")</f>
        <v/>
      </c>
      <c r="G12779" s="18"/>
      <c r="H12779" s="16" t="s">
        <v>87</v>
      </c>
      <c r="I12779" s="16" t="s">
        <v>87</v>
      </c>
      <c r="J12779" s="19"/>
      <c r="L12779" s="16" t="str">
        <f>IFERROR(__xludf.DUMMYFUNCTION("""COMPUTED_VALUE"""),"")</f>
        <v/>
      </c>
      <c r="M12779" s="16" t="str">
        <f>IFERROR(__xludf.DUMMYFUNCTION("""COMPUTED_VALUE"""),"")</f>
        <v/>
      </c>
      <c r="U12779" s="16" t="s">
        <v>87</v>
      </c>
      <c r="V12779" s="16" t="str">
        <f>IFERROR(__xludf.DUMMYFUNCTION("""COMPUTED_VALUE"""),"")</f>
        <v/>
      </c>
      <c r="W12779" s="16" t="str">
        <f>IFERROR(__xludf.DUMMYFUNCTION("""COMPUTED_VALUE"""),"")</f>
        <v/>
      </c>
      <c r="X12779" s="16" t="str">
        <f>IFERROR(__xludf.DUMMYFUNCTION("""COMPUTED_VALUE"""),"")</f>
        <v/>
      </c>
      <c r="AC12779" s="16" t="str">
        <f>IFERROR(__xludf.DUMMYFUNCTION("""COMPUTED_VALUE"""),"")</f>
        <v/>
      </c>
    </row>
    <row r="12780">
      <c r="A12780" s="16" t="s">
        <v>87</v>
      </c>
      <c r="E12780" s="16" t="str">
        <f>IFERROR(__xludf.DUMMYFUNCTION("""COMPUTED_VALUE"""),"")</f>
        <v/>
      </c>
      <c r="G12780" s="18"/>
      <c r="H12780" s="16" t="s">
        <v>87</v>
      </c>
      <c r="I12780" s="16" t="s">
        <v>87</v>
      </c>
      <c r="J12780" s="19"/>
      <c r="L12780" s="16" t="str">
        <f>IFERROR(__xludf.DUMMYFUNCTION("""COMPUTED_VALUE"""),"")</f>
        <v/>
      </c>
      <c r="M12780" s="16" t="str">
        <f>IFERROR(__xludf.DUMMYFUNCTION("""COMPUTED_VALUE"""),"")</f>
        <v/>
      </c>
      <c r="U12780" s="16" t="s">
        <v>87</v>
      </c>
      <c r="V12780" s="16" t="str">
        <f>IFERROR(__xludf.DUMMYFUNCTION("""COMPUTED_VALUE"""),"")</f>
        <v/>
      </c>
      <c r="W12780" s="16" t="str">
        <f>IFERROR(__xludf.DUMMYFUNCTION("""COMPUTED_VALUE"""),"")</f>
        <v/>
      </c>
      <c r="X12780" s="16" t="str">
        <f>IFERROR(__xludf.DUMMYFUNCTION("""COMPUTED_VALUE"""),"")</f>
        <v/>
      </c>
      <c r="AC12780" s="16" t="str">
        <f>IFERROR(__xludf.DUMMYFUNCTION("""COMPUTED_VALUE"""),"")</f>
        <v/>
      </c>
    </row>
    <row r="12781">
      <c r="A12781" s="16" t="s">
        <v>87</v>
      </c>
      <c r="E12781" s="16" t="str">
        <f>IFERROR(__xludf.DUMMYFUNCTION("""COMPUTED_VALUE"""),"")</f>
        <v/>
      </c>
      <c r="G12781" s="18"/>
      <c r="H12781" s="16" t="s">
        <v>87</v>
      </c>
      <c r="I12781" s="16" t="s">
        <v>87</v>
      </c>
      <c r="J12781" s="19"/>
      <c r="L12781" s="16" t="str">
        <f>IFERROR(__xludf.DUMMYFUNCTION("""COMPUTED_VALUE"""),"")</f>
        <v/>
      </c>
      <c r="M12781" s="16" t="str">
        <f>IFERROR(__xludf.DUMMYFUNCTION("""COMPUTED_VALUE"""),"")</f>
        <v/>
      </c>
      <c r="U12781" s="16" t="s">
        <v>87</v>
      </c>
      <c r="V12781" s="16" t="str">
        <f>IFERROR(__xludf.DUMMYFUNCTION("""COMPUTED_VALUE"""),"")</f>
        <v/>
      </c>
      <c r="W12781" s="16" t="str">
        <f>IFERROR(__xludf.DUMMYFUNCTION("""COMPUTED_VALUE"""),"")</f>
        <v/>
      </c>
      <c r="X12781" s="16" t="str">
        <f>IFERROR(__xludf.DUMMYFUNCTION("""COMPUTED_VALUE"""),"")</f>
        <v/>
      </c>
      <c r="AC12781" s="16" t="str">
        <f>IFERROR(__xludf.DUMMYFUNCTION("""COMPUTED_VALUE"""),"")</f>
        <v/>
      </c>
    </row>
    <row r="12782">
      <c r="A12782" s="16" t="s">
        <v>87</v>
      </c>
      <c r="E12782" s="16" t="str">
        <f>IFERROR(__xludf.DUMMYFUNCTION("""COMPUTED_VALUE"""),"")</f>
        <v/>
      </c>
      <c r="G12782" s="18"/>
      <c r="H12782" s="16" t="s">
        <v>87</v>
      </c>
      <c r="I12782" s="16" t="s">
        <v>87</v>
      </c>
      <c r="J12782" s="19"/>
      <c r="L12782" s="16" t="str">
        <f>IFERROR(__xludf.DUMMYFUNCTION("""COMPUTED_VALUE"""),"")</f>
        <v/>
      </c>
      <c r="M12782" s="16" t="str">
        <f>IFERROR(__xludf.DUMMYFUNCTION("""COMPUTED_VALUE"""),"")</f>
        <v/>
      </c>
      <c r="U12782" s="16" t="s">
        <v>87</v>
      </c>
      <c r="V12782" s="16" t="str">
        <f>IFERROR(__xludf.DUMMYFUNCTION("""COMPUTED_VALUE"""),"")</f>
        <v/>
      </c>
      <c r="W12782" s="16" t="str">
        <f>IFERROR(__xludf.DUMMYFUNCTION("""COMPUTED_VALUE"""),"")</f>
        <v/>
      </c>
      <c r="X12782" s="16" t="str">
        <f>IFERROR(__xludf.DUMMYFUNCTION("""COMPUTED_VALUE"""),"")</f>
        <v/>
      </c>
      <c r="AC12782" s="16" t="str">
        <f>IFERROR(__xludf.DUMMYFUNCTION("""COMPUTED_VALUE"""),"")</f>
        <v/>
      </c>
    </row>
    <row r="12783">
      <c r="A12783" s="16" t="s">
        <v>87</v>
      </c>
      <c r="E12783" s="16" t="str">
        <f>IFERROR(__xludf.DUMMYFUNCTION("""COMPUTED_VALUE"""),"")</f>
        <v/>
      </c>
      <c r="G12783" s="18"/>
      <c r="H12783" s="16" t="s">
        <v>87</v>
      </c>
      <c r="I12783" s="16" t="s">
        <v>87</v>
      </c>
      <c r="J12783" s="19"/>
      <c r="L12783" s="16" t="str">
        <f>IFERROR(__xludf.DUMMYFUNCTION("""COMPUTED_VALUE"""),"")</f>
        <v/>
      </c>
      <c r="M12783" s="16" t="str">
        <f>IFERROR(__xludf.DUMMYFUNCTION("""COMPUTED_VALUE"""),"")</f>
        <v/>
      </c>
      <c r="U12783" s="16" t="s">
        <v>87</v>
      </c>
      <c r="V12783" s="16" t="str">
        <f>IFERROR(__xludf.DUMMYFUNCTION("""COMPUTED_VALUE"""),"")</f>
        <v/>
      </c>
      <c r="W12783" s="16" t="str">
        <f>IFERROR(__xludf.DUMMYFUNCTION("""COMPUTED_VALUE"""),"")</f>
        <v/>
      </c>
      <c r="X12783" s="16" t="str">
        <f>IFERROR(__xludf.DUMMYFUNCTION("""COMPUTED_VALUE"""),"")</f>
        <v/>
      </c>
      <c r="AC12783" s="16" t="str">
        <f>IFERROR(__xludf.DUMMYFUNCTION("""COMPUTED_VALUE"""),"")</f>
        <v/>
      </c>
    </row>
    <row r="12784">
      <c r="A12784" s="16" t="s">
        <v>87</v>
      </c>
      <c r="E12784" s="16" t="str">
        <f>IFERROR(__xludf.DUMMYFUNCTION("""COMPUTED_VALUE"""),"")</f>
        <v/>
      </c>
      <c r="G12784" s="18"/>
      <c r="H12784" s="16" t="s">
        <v>87</v>
      </c>
      <c r="I12784" s="16" t="s">
        <v>87</v>
      </c>
      <c r="J12784" s="19"/>
      <c r="L12784" s="16" t="str">
        <f>IFERROR(__xludf.DUMMYFUNCTION("""COMPUTED_VALUE"""),"")</f>
        <v/>
      </c>
      <c r="M12784" s="16" t="str">
        <f>IFERROR(__xludf.DUMMYFUNCTION("""COMPUTED_VALUE"""),"")</f>
        <v/>
      </c>
      <c r="U12784" s="16" t="s">
        <v>87</v>
      </c>
      <c r="V12784" s="16" t="str">
        <f>IFERROR(__xludf.DUMMYFUNCTION("""COMPUTED_VALUE"""),"")</f>
        <v/>
      </c>
      <c r="W12784" s="16" t="str">
        <f>IFERROR(__xludf.DUMMYFUNCTION("""COMPUTED_VALUE"""),"")</f>
        <v/>
      </c>
      <c r="X12784" s="16" t="str">
        <f>IFERROR(__xludf.DUMMYFUNCTION("""COMPUTED_VALUE"""),"")</f>
        <v/>
      </c>
      <c r="AC12784" s="16" t="str">
        <f>IFERROR(__xludf.DUMMYFUNCTION("""COMPUTED_VALUE"""),"")</f>
        <v/>
      </c>
    </row>
    <row r="12785">
      <c r="A12785" s="16" t="s">
        <v>87</v>
      </c>
      <c r="E12785" s="16" t="str">
        <f>IFERROR(__xludf.DUMMYFUNCTION("""COMPUTED_VALUE"""),"")</f>
        <v/>
      </c>
      <c r="G12785" s="18"/>
      <c r="H12785" s="16" t="s">
        <v>87</v>
      </c>
      <c r="I12785" s="16" t="s">
        <v>87</v>
      </c>
      <c r="J12785" s="19"/>
      <c r="L12785" s="16" t="str">
        <f>IFERROR(__xludf.DUMMYFUNCTION("""COMPUTED_VALUE"""),"")</f>
        <v/>
      </c>
      <c r="M12785" s="16" t="str">
        <f>IFERROR(__xludf.DUMMYFUNCTION("""COMPUTED_VALUE"""),"")</f>
        <v/>
      </c>
      <c r="U12785" s="16" t="s">
        <v>87</v>
      </c>
      <c r="V12785" s="16" t="str">
        <f>IFERROR(__xludf.DUMMYFUNCTION("""COMPUTED_VALUE"""),"")</f>
        <v/>
      </c>
      <c r="W12785" s="16" t="str">
        <f>IFERROR(__xludf.DUMMYFUNCTION("""COMPUTED_VALUE"""),"")</f>
        <v/>
      </c>
      <c r="X12785" s="16" t="str">
        <f>IFERROR(__xludf.DUMMYFUNCTION("""COMPUTED_VALUE"""),"")</f>
        <v/>
      </c>
      <c r="AC12785" s="16" t="str">
        <f>IFERROR(__xludf.DUMMYFUNCTION("""COMPUTED_VALUE"""),"")</f>
        <v/>
      </c>
    </row>
    <row r="12786">
      <c r="A12786" s="16" t="s">
        <v>87</v>
      </c>
      <c r="E12786" s="16" t="str">
        <f>IFERROR(__xludf.DUMMYFUNCTION("""COMPUTED_VALUE"""),"")</f>
        <v/>
      </c>
      <c r="G12786" s="18"/>
      <c r="H12786" s="16" t="s">
        <v>87</v>
      </c>
      <c r="I12786" s="16" t="s">
        <v>87</v>
      </c>
      <c r="J12786" s="19"/>
      <c r="L12786" s="16" t="str">
        <f>IFERROR(__xludf.DUMMYFUNCTION("""COMPUTED_VALUE"""),"")</f>
        <v/>
      </c>
      <c r="M12786" s="16" t="str">
        <f>IFERROR(__xludf.DUMMYFUNCTION("""COMPUTED_VALUE"""),"")</f>
        <v/>
      </c>
      <c r="U12786" s="16" t="s">
        <v>87</v>
      </c>
      <c r="V12786" s="16" t="str">
        <f>IFERROR(__xludf.DUMMYFUNCTION("""COMPUTED_VALUE"""),"")</f>
        <v/>
      </c>
      <c r="W12786" s="16" t="str">
        <f>IFERROR(__xludf.DUMMYFUNCTION("""COMPUTED_VALUE"""),"")</f>
        <v/>
      </c>
      <c r="X12786" s="16" t="str">
        <f>IFERROR(__xludf.DUMMYFUNCTION("""COMPUTED_VALUE"""),"")</f>
        <v/>
      </c>
      <c r="AC12786" s="16" t="str">
        <f>IFERROR(__xludf.DUMMYFUNCTION("""COMPUTED_VALUE"""),"")</f>
        <v/>
      </c>
    </row>
    <row r="12787">
      <c r="A12787" s="16" t="s">
        <v>87</v>
      </c>
      <c r="E12787" s="16" t="str">
        <f>IFERROR(__xludf.DUMMYFUNCTION("""COMPUTED_VALUE"""),"")</f>
        <v/>
      </c>
      <c r="G12787" s="18"/>
      <c r="H12787" s="16" t="s">
        <v>87</v>
      </c>
      <c r="I12787" s="16" t="s">
        <v>87</v>
      </c>
      <c r="J12787" s="19"/>
      <c r="L12787" s="16" t="str">
        <f>IFERROR(__xludf.DUMMYFUNCTION("""COMPUTED_VALUE"""),"")</f>
        <v/>
      </c>
      <c r="M12787" s="16" t="str">
        <f>IFERROR(__xludf.DUMMYFUNCTION("""COMPUTED_VALUE"""),"")</f>
        <v/>
      </c>
      <c r="U12787" s="16" t="s">
        <v>87</v>
      </c>
      <c r="V12787" s="16" t="str">
        <f>IFERROR(__xludf.DUMMYFUNCTION("""COMPUTED_VALUE"""),"")</f>
        <v/>
      </c>
      <c r="W12787" s="16" t="str">
        <f>IFERROR(__xludf.DUMMYFUNCTION("""COMPUTED_VALUE"""),"")</f>
        <v/>
      </c>
      <c r="X12787" s="16" t="str">
        <f>IFERROR(__xludf.DUMMYFUNCTION("""COMPUTED_VALUE"""),"")</f>
        <v/>
      </c>
      <c r="AC12787" s="16" t="str">
        <f>IFERROR(__xludf.DUMMYFUNCTION("""COMPUTED_VALUE"""),"")</f>
        <v/>
      </c>
    </row>
    <row r="12788">
      <c r="A12788" s="16" t="s">
        <v>87</v>
      </c>
      <c r="E12788" s="16" t="str">
        <f>IFERROR(__xludf.DUMMYFUNCTION("""COMPUTED_VALUE"""),"")</f>
        <v/>
      </c>
      <c r="G12788" s="18"/>
      <c r="H12788" s="16" t="s">
        <v>87</v>
      </c>
      <c r="I12788" s="16" t="s">
        <v>87</v>
      </c>
      <c r="J12788" s="19"/>
      <c r="L12788" s="16" t="str">
        <f>IFERROR(__xludf.DUMMYFUNCTION("""COMPUTED_VALUE"""),"")</f>
        <v/>
      </c>
      <c r="M12788" s="16" t="str">
        <f>IFERROR(__xludf.DUMMYFUNCTION("""COMPUTED_VALUE"""),"")</f>
        <v/>
      </c>
      <c r="U12788" s="16" t="s">
        <v>87</v>
      </c>
      <c r="V12788" s="16" t="str">
        <f>IFERROR(__xludf.DUMMYFUNCTION("""COMPUTED_VALUE"""),"")</f>
        <v/>
      </c>
      <c r="W12788" s="16" t="str">
        <f>IFERROR(__xludf.DUMMYFUNCTION("""COMPUTED_VALUE"""),"")</f>
        <v/>
      </c>
      <c r="X12788" s="16" t="str">
        <f>IFERROR(__xludf.DUMMYFUNCTION("""COMPUTED_VALUE"""),"")</f>
        <v/>
      </c>
      <c r="AC12788" s="16" t="str">
        <f>IFERROR(__xludf.DUMMYFUNCTION("""COMPUTED_VALUE"""),"")</f>
        <v/>
      </c>
    </row>
    <row r="12789">
      <c r="A12789" s="16" t="s">
        <v>87</v>
      </c>
      <c r="E12789" s="16" t="str">
        <f>IFERROR(__xludf.DUMMYFUNCTION("""COMPUTED_VALUE"""),"")</f>
        <v/>
      </c>
      <c r="G12789" s="18"/>
      <c r="H12789" s="16" t="s">
        <v>87</v>
      </c>
      <c r="I12789" s="16" t="s">
        <v>87</v>
      </c>
      <c r="J12789" s="19"/>
      <c r="L12789" s="16" t="str">
        <f>IFERROR(__xludf.DUMMYFUNCTION("""COMPUTED_VALUE"""),"")</f>
        <v/>
      </c>
      <c r="M12789" s="16" t="str">
        <f>IFERROR(__xludf.DUMMYFUNCTION("""COMPUTED_VALUE"""),"")</f>
        <v/>
      </c>
      <c r="U12789" s="16" t="s">
        <v>87</v>
      </c>
      <c r="V12789" s="16" t="str">
        <f>IFERROR(__xludf.DUMMYFUNCTION("""COMPUTED_VALUE"""),"")</f>
        <v/>
      </c>
      <c r="W12789" s="16" t="str">
        <f>IFERROR(__xludf.DUMMYFUNCTION("""COMPUTED_VALUE"""),"")</f>
        <v/>
      </c>
      <c r="X12789" s="16" t="str">
        <f>IFERROR(__xludf.DUMMYFUNCTION("""COMPUTED_VALUE"""),"")</f>
        <v/>
      </c>
      <c r="AC12789" s="16" t="str">
        <f>IFERROR(__xludf.DUMMYFUNCTION("""COMPUTED_VALUE"""),"")</f>
        <v/>
      </c>
    </row>
    <row r="12790">
      <c r="A12790" s="16" t="s">
        <v>87</v>
      </c>
      <c r="E12790" s="16" t="str">
        <f>IFERROR(__xludf.DUMMYFUNCTION("""COMPUTED_VALUE"""),"")</f>
        <v/>
      </c>
      <c r="G12790" s="18"/>
      <c r="H12790" s="16" t="s">
        <v>87</v>
      </c>
      <c r="I12790" s="16" t="s">
        <v>87</v>
      </c>
      <c r="J12790" s="19"/>
      <c r="L12790" s="16" t="str">
        <f>IFERROR(__xludf.DUMMYFUNCTION("""COMPUTED_VALUE"""),"")</f>
        <v/>
      </c>
      <c r="M12790" s="16" t="str">
        <f>IFERROR(__xludf.DUMMYFUNCTION("""COMPUTED_VALUE"""),"")</f>
        <v/>
      </c>
      <c r="U12790" s="16" t="s">
        <v>87</v>
      </c>
      <c r="V12790" s="16" t="str">
        <f>IFERROR(__xludf.DUMMYFUNCTION("""COMPUTED_VALUE"""),"")</f>
        <v/>
      </c>
      <c r="W12790" s="16" t="str">
        <f>IFERROR(__xludf.DUMMYFUNCTION("""COMPUTED_VALUE"""),"")</f>
        <v/>
      </c>
      <c r="X12790" s="16" t="str">
        <f>IFERROR(__xludf.DUMMYFUNCTION("""COMPUTED_VALUE"""),"")</f>
        <v/>
      </c>
      <c r="AC12790" s="16" t="str">
        <f>IFERROR(__xludf.DUMMYFUNCTION("""COMPUTED_VALUE"""),"")</f>
        <v/>
      </c>
    </row>
    <row r="12791">
      <c r="A12791" s="16" t="s">
        <v>87</v>
      </c>
      <c r="E12791" s="16" t="str">
        <f>IFERROR(__xludf.DUMMYFUNCTION("""COMPUTED_VALUE"""),"")</f>
        <v/>
      </c>
      <c r="G12791" s="18"/>
      <c r="H12791" s="16" t="s">
        <v>87</v>
      </c>
      <c r="I12791" s="16" t="s">
        <v>87</v>
      </c>
      <c r="J12791" s="19"/>
      <c r="L12791" s="16" t="str">
        <f>IFERROR(__xludf.DUMMYFUNCTION("""COMPUTED_VALUE"""),"")</f>
        <v/>
      </c>
      <c r="M12791" s="16" t="str">
        <f>IFERROR(__xludf.DUMMYFUNCTION("""COMPUTED_VALUE"""),"")</f>
        <v/>
      </c>
      <c r="U12791" s="16" t="s">
        <v>87</v>
      </c>
      <c r="V12791" s="16" t="str">
        <f>IFERROR(__xludf.DUMMYFUNCTION("""COMPUTED_VALUE"""),"")</f>
        <v/>
      </c>
      <c r="W12791" s="16" t="str">
        <f>IFERROR(__xludf.DUMMYFUNCTION("""COMPUTED_VALUE"""),"")</f>
        <v/>
      </c>
      <c r="X12791" s="16" t="str">
        <f>IFERROR(__xludf.DUMMYFUNCTION("""COMPUTED_VALUE"""),"")</f>
        <v/>
      </c>
      <c r="AC12791" s="16" t="str">
        <f>IFERROR(__xludf.DUMMYFUNCTION("""COMPUTED_VALUE"""),"")</f>
        <v/>
      </c>
    </row>
    <row r="12792">
      <c r="A12792" s="16" t="s">
        <v>87</v>
      </c>
      <c r="E12792" s="16" t="str">
        <f>IFERROR(__xludf.DUMMYFUNCTION("""COMPUTED_VALUE"""),"")</f>
        <v/>
      </c>
      <c r="G12792" s="18"/>
      <c r="H12792" s="16" t="s">
        <v>87</v>
      </c>
      <c r="I12792" s="16" t="s">
        <v>87</v>
      </c>
      <c r="J12792" s="19"/>
      <c r="L12792" s="16" t="str">
        <f>IFERROR(__xludf.DUMMYFUNCTION("""COMPUTED_VALUE"""),"")</f>
        <v/>
      </c>
      <c r="M12792" s="16" t="str">
        <f>IFERROR(__xludf.DUMMYFUNCTION("""COMPUTED_VALUE"""),"")</f>
        <v/>
      </c>
      <c r="U12792" s="16" t="s">
        <v>87</v>
      </c>
      <c r="V12792" s="16" t="str">
        <f>IFERROR(__xludf.DUMMYFUNCTION("""COMPUTED_VALUE"""),"")</f>
        <v/>
      </c>
      <c r="W12792" s="16" t="str">
        <f>IFERROR(__xludf.DUMMYFUNCTION("""COMPUTED_VALUE"""),"")</f>
        <v/>
      </c>
      <c r="X12792" s="16" t="str">
        <f>IFERROR(__xludf.DUMMYFUNCTION("""COMPUTED_VALUE"""),"")</f>
        <v/>
      </c>
      <c r="AC12792" s="16" t="str">
        <f>IFERROR(__xludf.DUMMYFUNCTION("""COMPUTED_VALUE"""),"")</f>
        <v/>
      </c>
    </row>
    <row r="12793">
      <c r="A12793" s="16" t="s">
        <v>87</v>
      </c>
      <c r="E12793" s="16" t="str">
        <f>IFERROR(__xludf.DUMMYFUNCTION("""COMPUTED_VALUE"""),"")</f>
        <v/>
      </c>
      <c r="G12793" s="18"/>
      <c r="H12793" s="16" t="s">
        <v>87</v>
      </c>
      <c r="I12793" s="16" t="s">
        <v>87</v>
      </c>
      <c r="J12793" s="19"/>
      <c r="L12793" s="16" t="str">
        <f>IFERROR(__xludf.DUMMYFUNCTION("""COMPUTED_VALUE"""),"")</f>
        <v/>
      </c>
      <c r="M12793" s="16" t="str">
        <f>IFERROR(__xludf.DUMMYFUNCTION("""COMPUTED_VALUE"""),"")</f>
        <v/>
      </c>
      <c r="U12793" s="16" t="s">
        <v>87</v>
      </c>
      <c r="V12793" s="16" t="str">
        <f>IFERROR(__xludf.DUMMYFUNCTION("""COMPUTED_VALUE"""),"")</f>
        <v/>
      </c>
      <c r="W12793" s="16" t="str">
        <f>IFERROR(__xludf.DUMMYFUNCTION("""COMPUTED_VALUE"""),"")</f>
        <v/>
      </c>
      <c r="X12793" s="16" t="str">
        <f>IFERROR(__xludf.DUMMYFUNCTION("""COMPUTED_VALUE"""),"")</f>
        <v/>
      </c>
      <c r="AC12793" s="16" t="str">
        <f>IFERROR(__xludf.DUMMYFUNCTION("""COMPUTED_VALUE"""),"")</f>
        <v/>
      </c>
    </row>
    <row r="12794">
      <c r="A12794" s="16" t="s">
        <v>87</v>
      </c>
      <c r="E12794" s="16" t="str">
        <f>IFERROR(__xludf.DUMMYFUNCTION("""COMPUTED_VALUE"""),"")</f>
        <v/>
      </c>
      <c r="G12794" s="18"/>
      <c r="H12794" s="16" t="s">
        <v>87</v>
      </c>
      <c r="I12794" s="16" t="s">
        <v>87</v>
      </c>
      <c r="J12794" s="19"/>
      <c r="L12794" s="16" t="str">
        <f>IFERROR(__xludf.DUMMYFUNCTION("""COMPUTED_VALUE"""),"")</f>
        <v/>
      </c>
      <c r="M12794" s="16" t="str">
        <f>IFERROR(__xludf.DUMMYFUNCTION("""COMPUTED_VALUE"""),"")</f>
        <v/>
      </c>
      <c r="U12794" s="16" t="s">
        <v>87</v>
      </c>
      <c r="V12794" s="16" t="str">
        <f>IFERROR(__xludf.DUMMYFUNCTION("""COMPUTED_VALUE"""),"")</f>
        <v/>
      </c>
      <c r="W12794" s="16" t="str">
        <f>IFERROR(__xludf.DUMMYFUNCTION("""COMPUTED_VALUE"""),"")</f>
        <v/>
      </c>
      <c r="X12794" s="16" t="str">
        <f>IFERROR(__xludf.DUMMYFUNCTION("""COMPUTED_VALUE"""),"")</f>
        <v/>
      </c>
      <c r="AC12794" s="16" t="str">
        <f>IFERROR(__xludf.DUMMYFUNCTION("""COMPUTED_VALUE"""),"")</f>
        <v/>
      </c>
    </row>
    <row r="12795">
      <c r="A12795" s="16" t="s">
        <v>87</v>
      </c>
      <c r="E12795" s="16" t="str">
        <f>IFERROR(__xludf.DUMMYFUNCTION("""COMPUTED_VALUE"""),"")</f>
        <v/>
      </c>
      <c r="G12795" s="18"/>
      <c r="H12795" s="16" t="s">
        <v>87</v>
      </c>
      <c r="I12795" s="16" t="s">
        <v>87</v>
      </c>
      <c r="J12795" s="19"/>
      <c r="L12795" s="16" t="str">
        <f>IFERROR(__xludf.DUMMYFUNCTION("""COMPUTED_VALUE"""),"")</f>
        <v/>
      </c>
      <c r="M12795" s="16" t="str">
        <f>IFERROR(__xludf.DUMMYFUNCTION("""COMPUTED_VALUE"""),"")</f>
        <v/>
      </c>
      <c r="U12795" s="16" t="s">
        <v>87</v>
      </c>
      <c r="V12795" s="16" t="str">
        <f>IFERROR(__xludf.DUMMYFUNCTION("""COMPUTED_VALUE"""),"")</f>
        <v/>
      </c>
      <c r="W12795" s="16" t="str">
        <f>IFERROR(__xludf.DUMMYFUNCTION("""COMPUTED_VALUE"""),"")</f>
        <v/>
      </c>
      <c r="X12795" s="16" t="str">
        <f>IFERROR(__xludf.DUMMYFUNCTION("""COMPUTED_VALUE"""),"")</f>
        <v/>
      </c>
      <c r="AC12795" s="16" t="str">
        <f>IFERROR(__xludf.DUMMYFUNCTION("""COMPUTED_VALUE"""),"")</f>
        <v/>
      </c>
    </row>
    <row r="12796">
      <c r="A12796" s="16" t="s">
        <v>87</v>
      </c>
      <c r="E12796" s="16" t="str">
        <f>IFERROR(__xludf.DUMMYFUNCTION("""COMPUTED_VALUE"""),"")</f>
        <v/>
      </c>
      <c r="G12796" s="18"/>
      <c r="H12796" s="16" t="s">
        <v>87</v>
      </c>
      <c r="I12796" s="16" t="s">
        <v>87</v>
      </c>
      <c r="J12796" s="19"/>
      <c r="L12796" s="16" t="str">
        <f>IFERROR(__xludf.DUMMYFUNCTION("""COMPUTED_VALUE"""),"")</f>
        <v/>
      </c>
      <c r="M12796" s="16" t="str">
        <f>IFERROR(__xludf.DUMMYFUNCTION("""COMPUTED_VALUE"""),"")</f>
        <v/>
      </c>
      <c r="U12796" s="16" t="s">
        <v>87</v>
      </c>
      <c r="V12796" s="16" t="str">
        <f>IFERROR(__xludf.DUMMYFUNCTION("""COMPUTED_VALUE"""),"")</f>
        <v/>
      </c>
      <c r="W12796" s="16" t="str">
        <f>IFERROR(__xludf.DUMMYFUNCTION("""COMPUTED_VALUE"""),"")</f>
        <v/>
      </c>
      <c r="X12796" s="16" t="str">
        <f>IFERROR(__xludf.DUMMYFUNCTION("""COMPUTED_VALUE"""),"")</f>
        <v/>
      </c>
      <c r="AC12796" s="16" t="str">
        <f>IFERROR(__xludf.DUMMYFUNCTION("""COMPUTED_VALUE"""),"")</f>
        <v/>
      </c>
    </row>
    <row r="12797">
      <c r="A12797" s="16" t="s">
        <v>87</v>
      </c>
      <c r="E12797" s="16" t="str">
        <f>IFERROR(__xludf.DUMMYFUNCTION("""COMPUTED_VALUE"""),"")</f>
        <v/>
      </c>
      <c r="G12797" s="18"/>
      <c r="H12797" s="16" t="s">
        <v>87</v>
      </c>
      <c r="I12797" s="16" t="s">
        <v>87</v>
      </c>
      <c r="J12797" s="19"/>
      <c r="L12797" s="16" t="str">
        <f>IFERROR(__xludf.DUMMYFUNCTION("""COMPUTED_VALUE"""),"")</f>
        <v/>
      </c>
      <c r="M12797" s="16" t="str">
        <f>IFERROR(__xludf.DUMMYFUNCTION("""COMPUTED_VALUE"""),"")</f>
        <v/>
      </c>
      <c r="U12797" s="16" t="s">
        <v>87</v>
      </c>
      <c r="V12797" s="16" t="str">
        <f>IFERROR(__xludf.DUMMYFUNCTION("""COMPUTED_VALUE"""),"")</f>
        <v/>
      </c>
      <c r="W12797" s="16" t="str">
        <f>IFERROR(__xludf.DUMMYFUNCTION("""COMPUTED_VALUE"""),"")</f>
        <v/>
      </c>
      <c r="X12797" s="16" t="str">
        <f>IFERROR(__xludf.DUMMYFUNCTION("""COMPUTED_VALUE"""),"")</f>
        <v/>
      </c>
      <c r="AC12797" s="16" t="str">
        <f>IFERROR(__xludf.DUMMYFUNCTION("""COMPUTED_VALUE"""),"")</f>
        <v/>
      </c>
    </row>
    <row r="12798">
      <c r="A12798" s="16" t="s">
        <v>87</v>
      </c>
      <c r="E12798" s="16" t="str">
        <f>IFERROR(__xludf.DUMMYFUNCTION("""COMPUTED_VALUE"""),"")</f>
        <v/>
      </c>
      <c r="G12798" s="18"/>
      <c r="H12798" s="16" t="s">
        <v>87</v>
      </c>
      <c r="I12798" s="16" t="s">
        <v>87</v>
      </c>
      <c r="J12798" s="19"/>
      <c r="L12798" s="16" t="str">
        <f>IFERROR(__xludf.DUMMYFUNCTION("""COMPUTED_VALUE"""),"")</f>
        <v/>
      </c>
      <c r="M12798" s="16" t="str">
        <f>IFERROR(__xludf.DUMMYFUNCTION("""COMPUTED_VALUE"""),"")</f>
        <v/>
      </c>
      <c r="U12798" s="16" t="s">
        <v>87</v>
      </c>
      <c r="V12798" s="16" t="str">
        <f>IFERROR(__xludf.DUMMYFUNCTION("""COMPUTED_VALUE"""),"")</f>
        <v/>
      </c>
      <c r="W12798" s="16" t="str">
        <f>IFERROR(__xludf.DUMMYFUNCTION("""COMPUTED_VALUE"""),"")</f>
        <v/>
      </c>
      <c r="X12798" s="16" t="str">
        <f>IFERROR(__xludf.DUMMYFUNCTION("""COMPUTED_VALUE"""),"")</f>
        <v/>
      </c>
      <c r="AC12798" s="16" t="str">
        <f>IFERROR(__xludf.DUMMYFUNCTION("""COMPUTED_VALUE"""),"")</f>
        <v/>
      </c>
    </row>
    <row r="12799">
      <c r="A12799" s="16" t="s">
        <v>87</v>
      </c>
      <c r="E12799" s="16" t="str">
        <f>IFERROR(__xludf.DUMMYFUNCTION("""COMPUTED_VALUE"""),"")</f>
        <v/>
      </c>
      <c r="G12799" s="18"/>
      <c r="H12799" s="16" t="s">
        <v>87</v>
      </c>
      <c r="I12799" s="16" t="s">
        <v>87</v>
      </c>
      <c r="J12799" s="19"/>
      <c r="L12799" s="16" t="str">
        <f>IFERROR(__xludf.DUMMYFUNCTION("""COMPUTED_VALUE"""),"")</f>
        <v/>
      </c>
      <c r="M12799" s="16" t="str">
        <f>IFERROR(__xludf.DUMMYFUNCTION("""COMPUTED_VALUE"""),"")</f>
        <v/>
      </c>
      <c r="U12799" s="16" t="s">
        <v>87</v>
      </c>
      <c r="V12799" s="16" t="str">
        <f>IFERROR(__xludf.DUMMYFUNCTION("""COMPUTED_VALUE"""),"")</f>
        <v/>
      </c>
      <c r="W12799" s="16" t="str">
        <f>IFERROR(__xludf.DUMMYFUNCTION("""COMPUTED_VALUE"""),"")</f>
        <v/>
      </c>
      <c r="X12799" s="16" t="str">
        <f>IFERROR(__xludf.DUMMYFUNCTION("""COMPUTED_VALUE"""),"")</f>
        <v/>
      </c>
      <c r="AC12799" s="16" t="str">
        <f>IFERROR(__xludf.DUMMYFUNCTION("""COMPUTED_VALUE"""),"")</f>
        <v/>
      </c>
    </row>
    <row r="12800">
      <c r="A12800" s="16" t="s">
        <v>87</v>
      </c>
      <c r="E12800" s="16" t="str">
        <f>IFERROR(__xludf.DUMMYFUNCTION("""COMPUTED_VALUE"""),"")</f>
        <v/>
      </c>
      <c r="G12800" s="18"/>
      <c r="H12800" s="16" t="s">
        <v>87</v>
      </c>
      <c r="I12800" s="16" t="s">
        <v>87</v>
      </c>
      <c r="J12800" s="19"/>
      <c r="L12800" s="16" t="str">
        <f>IFERROR(__xludf.DUMMYFUNCTION("""COMPUTED_VALUE"""),"")</f>
        <v/>
      </c>
      <c r="M12800" s="16" t="str">
        <f>IFERROR(__xludf.DUMMYFUNCTION("""COMPUTED_VALUE"""),"")</f>
        <v/>
      </c>
      <c r="U12800" s="16" t="s">
        <v>87</v>
      </c>
      <c r="V12800" s="16" t="str">
        <f>IFERROR(__xludf.DUMMYFUNCTION("""COMPUTED_VALUE"""),"")</f>
        <v/>
      </c>
      <c r="W12800" s="16" t="str">
        <f>IFERROR(__xludf.DUMMYFUNCTION("""COMPUTED_VALUE"""),"")</f>
        <v/>
      </c>
      <c r="X12800" s="16" t="str">
        <f>IFERROR(__xludf.DUMMYFUNCTION("""COMPUTED_VALUE"""),"")</f>
        <v/>
      </c>
      <c r="AC12800" s="16" t="str">
        <f>IFERROR(__xludf.DUMMYFUNCTION("""COMPUTED_VALUE"""),"")</f>
        <v/>
      </c>
    </row>
    <row r="12801">
      <c r="A12801" s="16" t="s">
        <v>87</v>
      </c>
      <c r="E12801" s="16" t="str">
        <f>IFERROR(__xludf.DUMMYFUNCTION("""COMPUTED_VALUE"""),"")</f>
        <v/>
      </c>
      <c r="G12801" s="18"/>
      <c r="H12801" s="16" t="s">
        <v>87</v>
      </c>
      <c r="I12801" s="16" t="s">
        <v>87</v>
      </c>
      <c r="J12801" s="19"/>
      <c r="L12801" s="16" t="str">
        <f>IFERROR(__xludf.DUMMYFUNCTION("""COMPUTED_VALUE"""),"")</f>
        <v/>
      </c>
      <c r="M12801" s="16" t="str">
        <f>IFERROR(__xludf.DUMMYFUNCTION("""COMPUTED_VALUE"""),"")</f>
        <v/>
      </c>
      <c r="U12801" s="16" t="s">
        <v>87</v>
      </c>
      <c r="V12801" s="16" t="str">
        <f>IFERROR(__xludf.DUMMYFUNCTION("""COMPUTED_VALUE"""),"")</f>
        <v/>
      </c>
      <c r="W12801" s="16" t="str">
        <f>IFERROR(__xludf.DUMMYFUNCTION("""COMPUTED_VALUE"""),"")</f>
        <v/>
      </c>
      <c r="X12801" s="16" t="str">
        <f>IFERROR(__xludf.DUMMYFUNCTION("""COMPUTED_VALUE"""),"")</f>
        <v/>
      </c>
      <c r="AC12801" s="16" t="str">
        <f>IFERROR(__xludf.DUMMYFUNCTION("""COMPUTED_VALUE"""),"")</f>
        <v/>
      </c>
    </row>
    <row r="12802">
      <c r="A12802" s="16" t="s">
        <v>87</v>
      </c>
      <c r="E12802" s="16" t="str">
        <f>IFERROR(__xludf.DUMMYFUNCTION("""COMPUTED_VALUE"""),"")</f>
        <v/>
      </c>
      <c r="G12802" s="18"/>
      <c r="H12802" s="16" t="s">
        <v>87</v>
      </c>
      <c r="I12802" s="16" t="s">
        <v>87</v>
      </c>
      <c r="J12802" s="19"/>
      <c r="L12802" s="16" t="str">
        <f>IFERROR(__xludf.DUMMYFUNCTION("""COMPUTED_VALUE"""),"")</f>
        <v/>
      </c>
      <c r="M12802" s="16" t="str">
        <f>IFERROR(__xludf.DUMMYFUNCTION("""COMPUTED_VALUE"""),"")</f>
        <v/>
      </c>
      <c r="U12802" s="16" t="s">
        <v>87</v>
      </c>
      <c r="V12802" s="16" t="str">
        <f>IFERROR(__xludf.DUMMYFUNCTION("""COMPUTED_VALUE"""),"")</f>
        <v/>
      </c>
      <c r="W12802" s="16" t="str">
        <f>IFERROR(__xludf.DUMMYFUNCTION("""COMPUTED_VALUE"""),"")</f>
        <v/>
      </c>
      <c r="X12802" s="16" t="str">
        <f>IFERROR(__xludf.DUMMYFUNCTION("""COMPUTED_VALUE"""),"")</f>
        <v/>
      </c>
      <c r="AC12802" s="16" t="str">
        <f>IFERROR(__xludf.DUMMYFUNCTION("""COMPUTED_VALUE"""),"")</f>
        <v/>
      </c>
    </row>
    <row r="12803">
      <c r="A12803" s="16" t="s">
        <v>87</v>
      </c>
      <c r="E12803" s="16" t="str">
        <f>IFERROR(__xludf.DUMMYFUNCTION("""COMPUTED_VALUE"""),"")</f>
        <v/>
      </c>
      <c r="G12803" s="18"/>
      <c r="H12803" s="16" t="s">
        <v>87</v>
      </c>
      <c r="I12803" s="16" t="s">
        <v>87</v>
      </c>
      <c r="J12803" s="19"/>
      <c r="L12803" s="16" t="str">
        <f>IFERROR(__xludf.DUMMYFUNCTION("""COMPUTED_VALUE"""),"")</f>
        <v/>
      </c>
      <c r="M12803" s="16" t="str">
        <f>IFERROR(__xludf.DUMMYFUNCTION("""COMPUTED_VALUE"""),"")</f>
        <v/>
      </c>
      <c r="U12803" s="16" t="s">
        <v>87</v>
      </c>
      <c r="V12803" s="16" t="str">
        <f>IFERROR(__xludf.DUMMYFUNCTION("""COMPUTED_VALUE"""),"")</f>
        <v/>
      </c>
      <c r="W12803" s="16" t="str">
        <f>IFERROR(__xludf.DUMMYFUNCTION("""COMPUTED_VALUE"""),"")</f>
        <v/>
      </c>
      <c r="X12803" s="16" t="str">
        <f>IFERROR(__xludf.DUMMYFUNCTION("""COMPUTED_VALUE"""),"")</f>
        <v/>
      </c>
      <c r="AC12803" s="16" t="str">
        <f>IFERROR(__xludf.DUMMYFUNCTION("""COMPUTED_VALUE"""),"")</f>
        <v/>
      </c>
    </row>
    <row r="12804">
      <c r="A12804" s="16" t="s">
        <v>87</v>
      </c>
      <c r="E12804" s="16" t="str">
        <f>IFERROR(__xludf.DUMMYFUNCTION("""COMPUTED_VALUE"""),"")</f>
        <v/>
      </c>
      <c r="G12804" s="18"/>
      <c r="H12804" s="16" t="s">
        <v>87</v>
      </c>
      <c r="I12804" s="16" t="s">
        <v>87</v>
      </c>
      <c r="J12804" s="19"/>
      <c r="L12804" s="16" t="str">
        <f>IFERROR(__xludf.DUMMYFUNCTION("""COMPUTED_VALUE"""),"")</f>
        <v/>
      </c>
      <c r="M12804" s="16" t="str">
        <f>IFERROR(__xludf.DUMMYFUNCTION("""COMPUTED_VALUE"""),"")</f>
        <v/>
      </c>
      <c r="U12804" s="16" t="s">
        <v>87</v>
      </c>
      <c r="V12804" s="16" t="str">
        <f>IFERROR(__xludf.DUMMYFUNCTION("""COMPUTED_VALUE"""),"")</f>
        <v/>
      </c>
      <c r="W12804" s="16" t="str">
        <f>IFERROR(__xludf.DUMMYFUNCTION("""COMPUTED_VALUE"""),"")</f>
        <v/>
      </c>
      <c r="X12804" s="16" t="str">
        <f>IFERROR(__xludf.DUMMYFUNCTION("""COMPUTED_VALUE"""),"")</f>
        <v/>
      </c>
      <c r="AC12804" s="16" t="str">
        <f>IFERROR(__xludf.DUMMYFUNCTION("""COMPUTED_VALUE"""),"")</f>
        <v/>
      </c>
    </row>
    <row r="12805">
      <c r="A12805" s="16" t="s">
        <v>87</v>
      </c>
      <c r="E12805" s="16" t="str">
        <f>IFERROR(__xludf.DUMMYFUNCTION("""COMPUTED_VALUE"""),"")</f>
        <v/>
      </c>
      <c r="G12805" s="18"/>
      <c r="H12805" s="16" t="s">
        <v>87</v>
      </c>
      <c r="I12805" s="16" t="s">
        <v>87</v>
      </c>
      <c r="J12805" s="19"/>
      <c r="L12805" s="16" t="str">
        <f>IFERROR(__xludf.DUMMYFUNCTION("""COMPUTED_VALUE"""),"")</f>
        <v/>
      </c>
      <c r="M12805" s="16" t="str">
        <f>IFERROR(__xludf.DUMMYFUNCTION("""COMPUTED_VALUE"""),"")</f>
        <v/>
      </c>
      <c r="U12805" s="16" t="s">
        <v>87</v>
      </c>
      <c r="V12805" s="16" t="str">
        <f>IFERROR(__xludf.DUMMYFUNCTION("""COMPUTED_VALUE"""),"")</f>
        <v/>
      </c>
      <c r="W12805" s="16" t="str">
        <f>IFERROR(__xludf.DUMMYFUNCTION("""COMPUTED_VALUE"""),"")</f>
        <v/>
      </c>
      <c r="X12805" s="16" t="str">
        <f>IFERROR(__xludf.DUMMYFUNCTION("""COMPUTED_VALUE"""),"")</f>
        <v/>
      </c>
      <c r="AC12805" s="16" t="str">
        <f>IFERROR(__xludf.DUMMYFUNCTION("""COMPUTED_VALUE"""),"")</f>
        <v/>
      </c>
    </row>
    <row r="12806">
      <c r="A12806" s="16" t="s">
        <v>87</v>
      </c>
      <c r="E12806" s="16" t="str">
        <f>IFERROR(__xludf.DUMMYFUNCTION("""COMPUTED_VALUE"""),"")</f>
        <v/>
      </c>
      <c r="G12806" s="18"/>
      <c r="H12806" s="16" t="s">
        <v>87</v>
      </c>
      <c r="I12806" s="16" t="s">
        <v>87</v>
      </c>
      <c r="J12806" s="19"/>
      <c r="L12806" s="16" t="str">
        <f>IFERROR(__xludf.DUMMYFUNCTION("""COMPUTED_VALUE"""),"")</f>
        <v/>
      </c>
      <c r="M12806" s="16" t="str">
        <f>IFERROR(__xludf.DUMMYFUNCTION("""COMPUTED_VALUE"""),"")</f>
        <v/>
      </c>
      <c r="U12806" s="16" t="s">
        <v>87</v>
      </c>
      <c r="V12806" s="16" t="str">
        <f>IFERROR(__xludf.DUMMYFUNCTION("""COMPUTED_VALUE"""),"")</f>
        <v/>
      </c>
      <c r="W12806" s="16" t="str">
        <f>IFERROR(__xludf.DUMMYFUNCTION("""COMPUTED_VALUE"""),"")</f>
        <v/>
      </c>
      <c r="X12806" s="16" t="str">
        <f>IFERROR(__xludf.DUMMYFUNCTION("""COMPUTED_VALUE"""),"")</f>
        <v/>
      </c>
      <c r="AC12806" s="16" t="str">
        <f>IFERROR(__xludf.DUMMYFUNCTION("""COMPUTED_VALUE"""),"")</f>
        <v/>
      </c>
    </row>
    <row r="12807">
      <c r="A12807" s="16" t="s">
        <v>87</v>
      </c>
      <c r="E12807" s="16" t="str">
        <f>IFERROR(__xludf.DUMMYFUNCTION("""COMPUTED_VALUE"""),"")</f>
        <v/>
      </c>
      <c r="G12807" s="18"/>
      <c r="H12807" s="16" t="s">
        <v>87</v>
      </c>
      <c r="I12807" s="16" t="s">
        <v>87</v>
      </c>
      <c r="J12807" s="19"/>
      <c r="L12807" s="16" t="str">
        <f>IFERROR(__xludf.DUMMYFUNCTION("""COMPUTED_VALUE"""),"")</f>
        <v/>
      </c>
      <c r="M12807" s="16" t="str">
        <f>IFERROR(__xludf.DUMMYFUNCTION("""COMPUTED_VALUE"""),"")</f>
        <v/>
      </c>
      <c r="U12807" s="16" t="s">
        <v>87</v>
      </c>
      <c r="V12807" s="16" t="str">
        <f>IFERROR(__xludf.DUMMYFUNCTION("""COMPUTED_VALUE"""),"")</f>
        <v/>
      </c>
      <c r="W12807" s="16" t="str">
        <f>IFERROR(__xludf.DUMMYFUNCTION("""COMPUTED_VALUE"""),"")</f>
        <v/>
      </c>
      <c r="X12807" s="16" t="str">
        <f>IFERROR(__xludf.DUMMYFUNCTION("""COMPUTED_VALUE"""),"")</f>
        <v/>
      </c>
      <c r="AC12807" s="16" t="str">
        <f>IFERROR(__xludf.DUMMYFUNCTION("""COMPUTED_VALUE"""),"")</f>
        <v/>
      </c>
    </row>
    <row r="12808">
      <c r="A12808" s="16" t="s">
        <v>87</v>
      </c>
      <c r="E12808" s="16" t="str">
        <f>IFERROR(__xludf.DUMMYFUNCTION("""COMPUTED_VALUE"""),"")</f>
        <v/>
      </c>
      <c r="G12808" s="18"/>
      <c r="H12808" s="16" t="s">
        <v>87</v>
      </c>
      <c r="I12808" s="16" t="s">
        <v>87</v>
      </c>
      <c r="J12808" s="19"/>
      <c r="L12808" s="16" t="str">
        <f>IFERROR(__xludf.DUMMYFUNCTION("""COMPUTED_VALUE"""),"")</f>
        <v/>
      </c>
      <c r="M12808" s="16" t="str">
        <f>IFERROR(__xludf.DUMMYFUNCTION("""COMPUTED_VALUE"""),"")</f>
        <v/>
      </c>
      <c r="U12808" s="16" t="s">
        <v>87</v>
      </c>
      <c r="V12808" s="16" t="str">
        <f>IFERROR(__xludf.DUMMYFUNCTION("""COMPUTED_VALUE"""),"")</f>
        <v/>
      </c>
      <c r="W12808" s="16" t="str">
        <f>IFERROR(__xludf.DUMMYFUNCTION("""COMPUTED_VALUE"""),"")</f>
        <v/>
      </c>
      <c r="X12808" s="16" t="str">
        <f>IFERROR(__xludf.DUMMYFUNCTION("""COMPUTED_VALUE"""),"")</f>
        <v/>
      </c>
      <c r="AC12808" s="16" t="str">
        <f>IFERROR(__xludf.DUMMYFUNCTION("""COMPUTED_VALUE"""),"")</f>
        <v/>
      </c>
    </row>
    <row r="12809">
      <c r="A12809" s="16" t="s">
        <v>87</v>
      </c>
      <c r="E12809" s="16" t="str">
        <f>IFERROR(__xludf.DUMMYFUNCTION("""COMPUTED_VALUE"""),"")</f>
        <v/>
      </c>
      <c r="G12809" s="18"/>
      <c r="H12809" s="16" t="s">
        <v>87</v>
      </c>
      <c r="I12809" s="16" t="s">
        <v>87</v>
      </c>
      <c r="J12809" s="19"/>
      <c r="L12809" s="16" t="str">
        <f>IFERROR(__xludf.DUMMYFUNCTION("""COMPUTED_VALUE"""),"")</f>
        <v/>
      </c>
      <c r="M12809" s="16" t="str">
        <f>IFERROR(__xludf.DUMMYFUNCTION("""COMPUTED_VALUE"""),"")</f>
        <v/>
      </c>
      <c r="U12809" s="16" t="s">
        <v>87</v>
      </c>
      <c r="V12809" s="16" t="str">
        <f>IFERROR(__xludf.DUMMYFUNCTION("""COMPUTED_VALUE"""),"")</f>
        <v/>
      </c>
      <c r="W12809" s="16" t="str">
        <f>IFERROR(__xludf.DUMMYFUNCTION("""COMPUTED_VALUE"""),"")</f>
        <v/>
      </c>
      <c r="X12809" s="16" t="str">
        <f>IFERROR(__xludf.DUMMYFUNCTION("""COMPUTED_VALUE"""),"")</f>
        <v/>
      </c>
      <c r="AC12809" s="16" t="str">
        <f>IFERROR(__xludf.DUMMYFUNCTION("""COMPUTED_VALUE"""),"")</f>
        <v/>
      </c>
    </row>
    <row r="12810">
      <c r="A12810" s="16" t="s">
        <v>87</v>
      </c>
      <c r="E12810" s="16" t="str">
        <f>IFERROR(__xludf.DUMMYFUNCTION("""COMPUTED_VALUE"""),"")</f>
        <v/>
      </c>
      <c r="G12810" s="18"/>
      <c r="H12810" s="16" t="s">
        <v>87</v>
      </c>
      <c r="I12810" s="16" t="s">
        <v>87</v>
      </c>
      <c r="J12810" s="19"/>
      <c r="L12810" s="16" t="str">
        <f>IFERROR(__xludf.DUMMYFUNCTION("""COMPUTED_VALUE"""),"")</f>
        <v/>
      </c>
      <c r="M12810" s="16" t="str">
        <f>IFERROR(__xludf.DUMMYFUNCTION("""COMPUTED_VALUE"""),"")</f>
        <v/>
      </c>
      <c r="U12810" s="16" t="s">
        <v>87</v>
      </c>
      <c r="V12810" s="16" t="str">
        <f>IFERROR(__xludf.DUMMYFUNCTION("""COMPUTED_VALUE"""),"")</f>
        <v/>
      </c>
      <c r="W12810" s="16" t="str">
        <f>IFERROR(__xludf.DUMMYFUNCTION("""COMPUTED_VALUE"""),"")</f>
        <v/>
      </c>
      <c r="X12810" s="16" t="str">
        <f>IFERROR(__xludf.DUMMYFUNCTION("""COMPUTED_VALUE"""),"")</f>
        <v/>
      </c>
      <c r="AC12810" s="16" t="str">
        <f>IFERROR(__xludf.DUMMYFUNCTION("""COMPUTED_VALUE"""),"")</f>
        <v/>
      </c>
    </row>
    <row r="12811">
      <c r="A12811" s="16" t="s">
        <v>87</v>
      </c>
      <c r="E12811" s="16" t="str">
        <f>IFERROR(__xludf.DUMMYFUNCTION("""COMPUTED_VALUE"""),"")</f>
        <v/>
      </c>
      <c r="G12811" s="18"/>
      <c r="H12811" s="16" t="s">
        <v>87</v>
      </c>
      <c r="I12811" s="16" t="s">
        <v>87</v>
      </c>
      <c r="J12811" s="19"/>
      <c r="L12811" s="16" t="str">
        <f>IFERROR(__xludf.DUMMYFUNCTION("""COMPUTED_VALUE"""),"")</f>
        <v/>
      </c>
      <c r="M12811" s="16" t="str">
        <f>IFERROR(__xludf.DUMMYFUNCTION("""COMPUTED_VALUE"""),"")</f>
        <v/>
      </c>
      <c r="U12811" s="16" t="s">
        <v>87</v>
      </c>
      <c r="V12811" s="16" t="str">
        <f>IFERROR(__xludf.DUMMYFUNCTION("""COMPUTED_VALUE"""),"")</f>
        <v/>
      </c>
      <c r="W12811" s="16" t="str">
        <f>IFERROR(__xludf.DUMMYFUNCTION("""COMPUTED_VALUE"""),"")</f>
        <v/>
      </c>
      <c r="X12811" s="16" t="str">
        <f>IFERROR(__xludf.DUMMYFUNCTION("""COMPUTED_VALUE"""),"")</f>
        <v/>
      </c>
      <c r="AC12811" s="16" t="str">
        <f>IFERROR(__xludf.DUMMYFUNCTION("""COMPUTED_VALUE"""),"")</f>
        <v/>
      </c>
    </row>
    <row r="12812">
      <c r="A12812" s="16" t="s">
        <v>87</v>
      </c>
      <c r="E12812" s="16" t="str">
        <f>IFERROR(__xludf.DUMMYFUNCTION("""COMPUTED_VALUE"""),"")</f>
        <v/>
      </c>
      <c r="G12812" s="18"/>
      <c r="H12812" s="16" t="s">
        <v>87</v>
      </c>
      <c r="I12812" s="16" t="s">
        <v>87</v>
      </c>
      <c r="J12812" s="19"/>
      <c r="L12812" s="16" t="str">
        <f>IFERROR(__xludf.DUMMYFUNCTION("""COMPUTED_VALUE"""),"")</f>
        <v/>
      </c>
      <c r="M12812" s="16" t="str">
        <f>IFERROR(__xludf.DUMMYFUNCTION("""COMPUTED_VALUE"""),"")</f>
        <v/>
      </c>
      <c r="U12812" s="16" t="s">
        <v>87</v>
      </c>
      <c r="V12812" s="16" t="str">
        <f>IFERROR(__xludf.DUMMYFUNCTION("""COMPUTED_VALUE"""),"")</f>
        <v/>
      </c>
      <c r="W12812" s="16" t="str">
        <f>IFERROR(__xludf.DUMMYFUNCTION("""COMPUTED_VALUE"""),"")</f>
        <v/>
      </c>
      <c r="X12812" s="16" t="str">
        <f>IFERROR(__xludf.DUMMYFUNCTION("""COMPUTED_VALUE"""),"")</f>
        <v/>
      </c>
      <c r="AC12812" s="16" t="str">
        <f>IFERROR(__xludf.DUMMYFUNCTION("""COMPUTED_VALUE"""),"")</f>
        <v/>
      </c>
    </row>
    <row r="12813">
      <c r="A12813" s="16" t="s">
        <v>87</v>
      </c>
      <c r="E12813" s="16" t="str">
        <f>IFERROR(__xludf.DUMMYFUNCTION("""COMPUTED_VALUE"""),"")</f>
        <v/>
      </c>
      <c r="G12813" s="18"/>
      <c r="H12813" s="16" t="s">
        <v>87</v>
      </c>
      <c r="I12813" s="16" t="s">
        <v>87</v>
      </c>
      <c r="J12813" s="19"/>
      <c r="L12813" s="16" t="str">
        <f>IFERROR(__xludf.DUMMYFUNCTION("""COMPUTED_VALUE"""),"")</f>
        <v/>
      </c>
      <c r="M12813" s="16" t="str">
        <f>IFERROR(__xludf.DUMMYFUNCTION("""COMPUTED_VALUE"""),"")</f>
        <v/>
      </c>
      <c r="U12813" s="16" t="s">
        <v>87</v>
      </c>
      <c r="V12813" s="16" t="str">
        <f>IFERROR(__xludf.DUMMYFUNCTION("""COMPUTED_VALUE"""),"")</f>
        <v/>
      </c>
      <c r="W12813" s="16" t="str">
        <f>IFERROR(__xludf.DUMMYFUNCTION("""COMPUTED_VALUE"""),"")</f>
        <v/>
      </c>
      <c r="X12813" s="16" t="str">
        <f>IFERROR(__xludf.DUMMYFUNCTION("""COMPUTED_VALUE"""),"")</f>
        <v/>
      </c>
      <c r="AC12813" s="16" t="str">
        <f>IFERROR(__xludf.DUMMYFUNCTION("""COMPUTED_VALUE"""),"")</f>
        <v/>
      </c>
    </row>
    <row r="12814">
      <c r="A12814" s="16" t="s">
        <v>87</v>
      </c>
      <c r="E12814" s="16" t="str">
        <f>IFERROR(__xludf.DUMMYFUNCTION("""COMPUTED_VALUE"""),"")</f>
        <v/>
      </c>
      <c r="G12814" s="18"/>
      <c r="H12814" s="16" t="s">
        <v>87</v>
      </c>
      <c r="I12814" s="16" t="s">
        <v>87</v>
      </c>
      <c r="J12814" s="19"/>
      <c r="L12814" s="16" t="str">
        <f>IFERROR(__xludf.DUMMYFUNCTION("""COMPUTED_VALUE"""),"")</f>
        <v/>
      </c>
      <c r="M12814" s="16" t="str">
        <f>IFERROR(__xludf.DUMMYFUNCTION("""COMPUTED_VALUE"""),"")</f>
        <v/>
      </c>
      <c r="U12814" s="16" t="s">
        <v>87</v>
      </c>
      <c r="V12814" s="16" t="str">
        <f>IFERROR(__xludf.DUMMYFUNCTION("""COMPUTED_VALUE"""),"")</f>
        <v/>
      </c>
      <c r="W12814" s="16" t="str">
        <f>IFERROR(__xludf.DUMMYFUNCTION("""COMPUTED_VALUE"""),"")</f>
        <v/>
      </c>
      <c r="X12814" s="16" t="str">
        <f>IFERROR(__xludf.DUMMYFUNCTION("""COMPUTED_VALUE"""),"")</f>
        <v/>
      </c>
      <c r="AC12814" s="16" t="str">
        <f>IFERROR(__xludf.DUMMYFUNCTION("""COMPUTED_VALUE"""),"")</f>
        <v/>
      </c>
    </row>
    <row r="12815">
      <c r="A12815" s="16" t="s">
        <v>87</v>
      </c>
      <c r="E12815" s="16" t="str">
        <f>IFERROR(__xludf.DUMMYFUNCTION("""COMPUTED_VALUE"""),"")</f>
        <v/>
      </c>
      <c r="G12815" s="18"/>
      <c r="H12815" s="16" t="s">
        <v>87</v>
      </c>
      <c r="I12815" s="16" t="s">
        <v>87</v>
      </c>
      <c r="J12815" s="19"/>
      <c r="L12815" s="16" t="str">
        <f>IFERROR(__xludf.DUMMYFUNCTION("""COMPUTED_VALUE"""),"")</f>
        <v/>
      </c>
      <c r="M12815" s="16" t="str">
        <f>IFERROR(__xludf.DUMMYFUNCTION("""COMPUTED_VALUE"""),"")</f>
        <v/>
      </c>
      <c r="U12815" s="16" t="s">
        <v>87</v>
      </c>
      <c r="V12815" s="16" t="str">
        <f>IFERROR(__xludf.DUMMYFUNCTION("""COMPUTED_VALUE"""),"")</f>
        <v/>
      </c>
      <c r="W12815" s="16" t="str">
        <f>IFERROR(__xludf.DUMMYFUNCTION("""COMPUTED_VALUE"""),"")</f>
        <v/>
      </c>
      <c r="X12815" s="16" t="str">
        <f>IFERROR(__xludf.DUMMYFUNCTION("""COMPUTED_VALUE"""),"")</f>
        <v/>
      </c>
      <c r="AC12815" s="16" t="str">
        <f>IFERROR(__xludf.DUMMYFUNCTION("""COMPUTED_VALUE"""),"")</f>
        <v/>
      </c>
    </row>
    <row r="12816">
      <c r="A12816" s="16" t="s">
        <v>87</v>
      </c>
      <c r="E12816" s="16" t="str">
        <f>IFERROR(__xludf.DUMMYFUNCTION("""COMPUTED_VALUE"""),"")</f>
        <v/>
      </c>
      <c r="G12816" s="18"/>
      <c r="H12816" s="16" t="s">
        <v>87</v>
      </c>
      <c r="I12816" s="16" t="s">
        <v>87</v>
      </c>
      <c r="J12816" s="19"/>
      <c r="L12816" s="16" t="str">
        <f>IFERROR(__xludf.DUMMYFUNCTION("""COMPUTED_VALUE"""),"")</f>
        <v/>
      </c>
      <c r="M12816" s="16" t="str">
        <f>IFERROR(__xludf.DUMMYFUNCTION("""COMPUTED_VALUE"""),"")</f>
        <v/>
      </c>
      <c r="U12816" s="16" t="s">
        <v>87</v>
      </c>
      <c r="V12816" s="16" t="str">
        <f>IFERROR(__xludf.DUMMYFUNCTION("""COMPUTED_VALUE"""),"")</f>
        <v/>
      </c>
      <c r="W12816" s="16" t="str">
        <f>IFERROR(__xludf.DUMMYFUNCTION("""COMPUTED_VALUE"""),"")</f>
        <v/>
      </c>
      <c r="X12816" s="16" t="str">
        <f>IFERROR(__xludf.DUMMYFUNCTION("""COMPUTED_VALUE"""),"")</f>
        <v/>
      </c>
      <c r="AC12816" s="16" t="str">
        <f>IFERROR(__xludf.DUMMYFUNCTION("""COMPUTED_VALUE"""),"")</f>
        <v/>
      </c>
    </row>
    <row r="12817">
      <c r="A12817" s="16" t="s">
        <v>87</v>
      </c>
      <c r="E12817" s="16" t="str">
        <f>IFERROR(__xludf.DUMMYFUNCTION("""COMPUTED_VALUE"""),"")</f>
        <v/>
      </c>
      <c r="G12817" s="18"/>
      <c r="H12817" s="16" t="s">
        <v>87</v>
      </c>
      <c r="I12817" s="16" t="s">
        <v>87</v>
      </c>
      <c r="J12817" s="19"/>
      <c r="L12817" s="16" t="str">
        <f>IFERROR(__xludf.DUMMYFUNCTION("""COMPUTED_VALUE"""),"")</f>
        <v/>
      </c>
      <c r="M12817" s="16" t="str">
        <f>IFERROR(__xludf.DUMMYFUNCTION("""COMPUTED_VALUE"""),"")</f>
        <v/>
      </c>
      <c r="U12817" s="16" t="s">
        <v>87</v>
      </c>
      <c r="V12817" s="16" t="str">
        <f>IFERROR(__xludf.DUMMYFUNCTION("""COMPUTED_VALUE"""),"")</f>
        <v/>
      </c>
      <c r="W12817" s="16" t="str">
        <f>IFERROR(__xludf.DUMMYFUNCTION("""COMPUTED_VALUE"""),"")</f>
        <v/>
      </c>
      <c r="X12817" s="16" t="str">
        <f>IFERROR(__xludf.DUMMYFUNCTION("""COMPUTED_VALUE"""),"")</f>
        <v/>
      </c>
      <c r="AC12817" s="16" t="str">
        <f>IFERROR(__xludf.DUMMYFUNCTION("""COMPUTED_VALUE"""),"")</f>
        <v/>
      </c>
    </row>
    <row r="12818">
      <c r="A12818" s="16" t="s">
        <v>87</v>
      </c>
      <c r="E12818" s="16" t="str">
        <f>IFERROR(__xludf.DUMMYFUNCTION("""COMPUTED_VALUE"""),"")</f>
        <v/>
      </c>
      <c r="G12818" s="18"/>
      <c r="H12818" s="16" t="s">
        <v>87</v>
      </c>
      <c r="I12818" s="16" t="s">
        <v>87</v>
      </c>
      <c r="J12818" s="19"/>
      <c r="L12818" s="16" t="str">
        <f>IFERROR(__xludf.DUMMYFUNCTION("""COMPUTED_VALUE"""),"")</f>
        <v/>
      </c>
      <c r="M12818" s="16" t="str">
        <f>IFERROR(__xludf.DUMMYFUNCTION("""COMPUTED_VALUE"""),"")</f>
        <v/>
      </c>
      <c r="U12818" s="16" t="s">
        <v>87</v>
      </c>
      <c r="V12818" s="16" t="str">
        <f>IFERROR(__xludf.DUMMYFUNCTION("""COMPUTED_VALUE"""),"")</f>
        <v/>
      </c>
      <c r="W12818" s="16" t="str">
        <f>IFERROR(__xludf.DUMMYFUNCTION("""COMPUTED_VALUE"""),"")</f>
        <v/>
      </c>
      <c r="X12818" s="16" t="str">
        <f>IFERROR(__xludf.DUMMYFUNCTION("""COMPUTED_VALUE"""),"")</f>
        <v/>
      </c>
      <c r="AC12818" s="16" t="str">
        <f>IFERROR(__xludf.DUMMYFUNCTION("""COMPUTED_VALUE"""),"")</f>
        <v/>
      </c>
    </row>
    <row r="12819">
      <c r="A12819" s="16" t="s">
        <v>87</v>
      </c>
      <c r="E12819" s="16" t="str">
        <f>IFERROR(__xludf.DUMMYFUNCTION("""COMPUTED_VALUE"""),"")</f>
        <v/>
      </c>
      <c r="G12819" s="18"/>
      <c r="H12819" s="16" t="s">
        <v>87</v>
      </c>
      <c r="I12819" s="16" t="s">
        <v>87</v>
      </c>
      <c r="J12819" s="19"/>
      <c r="L12819" s="16" t="str">
        <f>IFERROR(__xludf.DUMMYFUNCTION("""COMPUTED_VALUE"""),"")</f>
        <v/>
      </c>
      <c r="M12819" s="16" t="str">
        <f>IFERROR(__xludf.DUMMYFUNCTION("""COMPUTED_VALUE"""),"")</f>
        <v/>
      </c>
      <c r="U12819" s="16" t="s">
        <v>87</v>
      </c>
      <c r="V12819" s="16" t="str">
        <f>IFERROR(__xludf.DUMMYFUNCTION("""COMPUTED_VALUE"""),"")</f>
        <v/>
      </c>
      <c r="W12819" s="16" t="str">
        <f>IFERROR(__xludf.DUMMYFUNCTION("""COMPUTED_VALUE"""),"")</f>
        <v/>
      </c>
      <c r="X12819" s="16" t="str">
        <f>IFERROR(__xludf.DUMMYFUNCTION("""COMPUTED_VALUE"""),"")</f>
        <v/>
      </c>
      <c r="AC12819" s="16" t="str">
        <f>IFERROR(__xludf.DUMMYFUNCTION("""COMPUTED_VALUE"""),"")</f>
        <v/>
      </c>
    </row>
    <row r="12820">
      <c r="A12820" s="16" t="s">
        <v>87</v>
      </c>
      <c r="E12820" s="16" t="str">
        <f>IFERROR(__xludf.DUMMYFUNCTION("""COMPUTED_VALUE"""),"")</f>
        <v/>
      </c>
      <c r="G12820" s="18"/>
      <c r="H12820" s="16" t="s">
        <v>87</v>
      </c>
      <c r="I12820" s="16" t="s">
        <v>87</v>
      </c>
      <c r="J12820" s="19"/>
      <c r="L12820" s="16" t="str">
        <f>IFERROR(__xludf.DUMMYFUNCTION("""COMPUTED_VALUE"""),"")</f>
        <v/>
      </c>
      <c r="M12820" s="16" t="str">
        <f>IFERROR(__xludf.DUMMYFUNCTION("""COMPUTED_VALUE"""),"")</f>
        <v/>
      </c>
      <c r="U12820" s="16" t="s">
        <v>87</v>
      </c>
      <c r="V12820" s="16" t="str">
        <f>IFERROR(__xludf.DUMMYFUNCTION("""COMPUTED_VALUE"""),"")</f>
        <v/>
      </c>
      <c r="W12820" s="16" t="str">
        <f>IFERROR(__xludf.DUMMYFUNCTION("""COMPUTED_VALUE"""),"")</f>
        <v/>
      </c>
      <c r="X12820" s="16" t="str">
        <f>IFERROR(__xludf.DUMMYFUNCTION("""COMPUTED_VALUE"""),"")</f>
        <v/>
      </c>
      <c r="AC12820" s="16" t="str">
        <f>IFERROR(__xludf.DUMMYFUNCTION("""COMPUTED_VALUE"""),"")</f>
        <v/>
      </c>
    </row>
    <row r="12821">
      <c r="A12821" s="16" t="s">
        <v>87</v>
      </c>
      <c r="E12821" s="16" t="str">
        <f>IFERROR(__xludf.DUMMYFUNCTION("""COMPUTED_VALUE"""),"")</f>
        <v/>
      </c>
      <c r="G12821" s="18"/>
      <c r="H12821" s="16" t="s">
        <v>87</v>
      </c>
      <c r="I12821" s="16" t="s">
        <v>87</v>
      </c>
      <c r="J12821" s="19"/>
      <c r="L12821" s="16" t="str">
        <f>IFERROR(__xludf.DUMMYFUNCTION("""COMPUTED_VALUE"""),"")</f>
        <v/>
      </c>
      <c r="M12821" s="16" t="str">
        <f>IFERROR(__xludf.DUMMYFUNCTION("""COMPUTED_VALUE"""),"")</f>
        <v/>
      </c>
      <c r="U12821" s="16" t="s">
        <v>87</v>
      </c>
      <c r="V12821" s="16" t="str">
        <f>IFERROR(__xludf.DUMMYFUNCTION("""COMPUTED_VALUE"""),"")</f>
        <v/>
      </c>
      <c r="W12821" s="16" t="str">
        <f>IFERROR(__xludf.DUMMYFUNCTION("""COMPUTED_VALUE"""),"")</f>
        <v/>
      </c>
      <c r="X12821" s="16" t="str">
        <f>IFERROR(__xludf.DUMMYFUNCTION("""COMPUTED_VALUE"""),"")</f>
        <v/>
      </c>
      <c r="AC12821" s="16" t="str">
        <f>IFERROR(__xludf.DUMMYFUNCTION("""COMPUTED_VALUE"""),"")</f>
        <v/>
      </c>
    </row>
    <row r="12822">
      <c r="A12822" s="16" t="s">
        <v>87</v>
      </c>
      <c r="E12822" s="16" t="str">
        <f>IFERROR(__xludf.DUMMYFUNCTION("""COMPUTED_VALUE"""),"")</f>
        <v/>
      </c>
      <c r="G12822" s="18"/>
      <c r="H12822" s="16" t="s">
        <v>87</v>
      </c>
      <c r="I12822" s="16" t="s">
        <v>87</v>
      </c>
      <c r="J12822" s="19"/>
      <c r="L12822" s="16" t="str">
        <f>IFERROR(__xludf.DUMMYFUNCTION("""COMPUTED_VALUE"""),"")</f>
        <v/>
      </c>
      <c r="M12822" s="16" t="str">
        <f>IFERROR(__xludf.DUMMYFUNCTION("""COMPUTED_VALUE"""),"")</f>
        <v/>
      </c>
      <c r="U12822" s="16" t="s">
        <v>87</v>
      </c>
      <c r="V12822" s="16" t="str">
        <f>IFERROR(__xludf.DUMMYFUNCTION("""COMPUTED_VALUE"""),"")</f>
        <v/>
      </c>
      <c r="W12822" s="16" t="str">
        <f>IFERROR(__xludf.DUMMYFUNCTION("""COMPUTED_VALUE"""),"")</f>
        <v/>
      </c>
      <c r="X12822" s="16" t="str">
        <f>IFERROR(__xludf.DUMMYFUNCTION("""COMPUTED_VALUE"""),"")</f>
        <v/>
      </c>
      <c r="AC12822" s="16" t="str">
        <f>IFERROR(__xludf.DUMMYFUNCTION("""COMPUTED_VALUE"""),"")</f>
        <v/>
      </c>
    </row>
    <row r="12823">
      <c r="A12823" s="16" t="s">
        <v>87</v>
      </c>
      <c r="E12823" s="16" t="str">
        <f>IFERROR(__xludf.DUMMYFUNCTION("""COMPUTED_VALUE"""),"")</f>
        <v/>
      </c>
      <c r="G12823" s="18"/>
      <c r="H12823" s="16" t="s">
        <v>87</v>
      </c>
      <c r="I12823" s="16" t="s">
        <v>87</v>
      </c>
      <c r="J12823" s="19"/>
      <c r="L12823" s="16" t="str">
        <f>IFERROR(__xludf.DUMMYFUNCTION("""COMPUTED_VALUE"""),"")</f>
        <v/>
      </c>
      <c r="M12823" s="16" t="str">
        <f>IFERROR(__xludf.DUMMYFUNCTION("""COMPUTED_VALUE"""),"")</f>
        <v/>
      </c>
      <c r="U12823" s="16" t="s">
        <v>87</v>
      </c>
      <c r="V12823" s="16" t="str">
        <f>IFERROR(__xludf.DUMMYFUNCTION("""COMPUTED_VALUE"""),"")</f>
        <v/>
      </c>
      <c r="W12823" s="16" t="str">
        <f>IFERROR(__xludf.DUMMYFUNCTION("""COMPUTED_VALUE"""),"")</f>
        <v/>
      </c>
      <c r="X12823" s="16" t="str">
        <f>IFERROR(__xludf.DUMMYFUNCTION("""COMPUTED_VALUE"""),"")</f>
        <v/>
      </c>
      <c r="AC12823" s="16" t="str">
        <f>IFERROR(__xludf.DUMMYFUNCTION("""COMPUTED_VALUE"""),"")</f>
        <v/>
      </c>
    </row>
    <row r="12824">
      <c r="A12824" s="16" t="s">
        <v>87</v>
      </c>
      <c r="E12824" s="16" t="str">
        <f>IFERROR(__xludf.DUMMYFUNCTION("""COMPUTED_VALUE"""),"")</f>
        <v/>
      </c>
      <c r="G12824" s="18"/>
      <c r="H12824" s="16" t="s">
        <v>87</v>
      </c>
      <c r="I12824" s="16" t="s">
        <v>87</v>
      </c>
      <c r="J12824" s="19"/>
      <c r="L12824" s="16" t="str">
        <f>IFERROR(__xludf.DUMMYFUNCTION("""COMPUTED_VALUE"""),"")</f>
        <v/>
      </c>
      <c r="M12824" s="16" t="str">
        <f>IFERROR(__xludf.DUMMYFUNCTION("""COMPUTED_VALUE"""),"")</f>
        <v/>
      </c>
      <c r="U12824" s="16" t="s">
        <v>87</v>
      </c>
      <c r="V12824" s="16" t="str">
        <f>IFERROR(__xludf.DUMMYFUNCTION("""COMPUTED_VALUE"""),"")</f>
        <v/>
      </c>
      <c r="W12824" s="16" t="str">
        <f>IFERROR(__xludf.DUMMYFUNCTION("""COMPUTED_VALUE"""),"")</f>
        <v/>
      </c>
      <c r="X12824" s="16" t="str">
        <f>IFERROR(__xludf.DUMMYFUNCTION("""COMPUTED_VALUE"""),"")</f>
        <v/>
      </c>
      <c r="AC12824" s="16" t="str">
        <f>IFERROR(__xludf.DUMMYFUNCTION("""COMPUTED_VALUE"""),"")</f>
        <v/>
      </c>
    </row>
    <row r="12825">
      <c r="A12825" s="16" t="s">
        <v>87</v>
      </c>
      <c r="E12825" s="16" t="str">
        <f>IFERROR(__xludf.DUMMYFUNCTION("""COMPUTED_VALUE"""),"")</f>
        <v/>
      </c>
      <c r="G12825" s="18"/>
      <c r="H12825" s="16" t="s">
        <v>87</v>
      </c>
      <c r="I12825" s="16" t="s">
        <v>87</v>
      </c>
      <c r="J12825" s="19"/>
      <c r="L12825" s="16" t="str">
        <f>IFERROR(__xludf.DUMMYFUNCTION("""COMPUTED_VALUE"""),"")</f>
        <v/>
      </c>
      <c r="M12825" s="16" t="str">
        <f>IFERROR(__xludf.DUMMYFUNCTION("""COMPUTED_VALUE"""),"")</f>
        <v/>
      </c>
      <c r="U12825" s="16" t="s">
        <v>87</v>
      </c>
      <c r="V12825" s="16" t="str">
        <f>IFERROR(__xludf.DUMMYFUNCTION("""COMPUTED_VALUE"""),"")</f>
        <v/>
      </c>
      <c r="W12825" s="16" t="str">
        <f>IFERROR(__xludf.DUMMYFUNCTION("""COMPUTED_VALUE"""),"")</f>
        <v/>
      </c>
      <c r="X12825" s="16" t="str">
        <f>IFERROR(__xludf.DUMMYFUNCTION("""COMPUTED_VALUE"""),"")</f>
        <v/>
      </c>
      <c r="AC12825" s="16" t="str">
        <f>IFERROR(__xludf.DUMMYFUNCTION("""COMPUTED_VALUE"""),"")</f>
        <v/>
      </c>
    </row>
    <row r="12826">
      <c r="A12826" s="16" t="s">
        <v>87</v>
      </c>
      <c r="E12826" s="16" t="str">
        <f>IFERROR(__xludf.DUMMYFUNCTION("""COMPUTED_VALUE"""),"")</f>
        <v/>
      </c>
      <c r="G12826" s="18"/>
      <c r="H12826" s="16" t="s">
        <v>87</v>
      </c>
      <c r="I12826" s="16" t="s">
        <v>87</v>
      </c>
      <c r="J12826" s="19"/>
      <c r="L12826" s="16" t="str">
        <f>IFERROR(__xludf.DUMMYFUNCTION("""COMPUTED_VALUE"""),"")</f>
        <v/>
      </c>
      <c r="M12826" s="16" t="str">
        <f>IFERROR(__xludf.DUMMYFUNCTION("""COMPUTED_VALUE"""),"")</f>
        <v/>
      </c>
      <c r="U12826" s="16" t="s">
        <v>87</v>
      </c>
      <c r="V12826" s="16" t="str">
        <f>IFERROR(__xludf.DUMMYFUNCTION("""COMPUTED_VALUE"""),"")</f>
        <v/>
      </c>
      <c r="W12826" s="16" t="str">
        <f>IFERROR(__xludf.DUMMYFUNCTION("""COMPUTED_VALUE"""),"")</f>
        <v/>
      </c>
      <c r="X12826" s="16" t="str">
        <f>IFERROR(__xludf.DUMMYFUNCTION("""COMPUTED_VALUE"""),"")</f>
        <v/>
      </c>
      <c r="AC12826" s="16" t="str">
        <f>IFERROR(__xludf.DUMMYFUNCTION("""COMPUTED_VALUE"""),"")</f>
        <v/>
      </c>
    </row>
    <row r="12827">
      <c r="A12827" s="16" t="s">
        <v>87</v>
      </c>
      <c r="E12827" s="16" t="str">
        <f>IFERROR(__xludf.DUMMYFUNCTION("""COMPUTED_VALUE"""),"")</f>
        <v/>
      </c>
      <c r="G12827" s="18"/>
      <c r="H12827" s="16" t="s">
        <v>87</v>
      </c>
      <c r="I12827" s="16" t="s">
        <v>87</v>
      </c>
      <c r="J12827" s="19"/>
      <c r="L12827" s="16" t="str">
        <f>IFERROR(__xludf.DUMMYFUNCTION("""COMPUTED_VALUE"""),"")</f>
        <v/>
      </c>
      <c r="M12827" s="16" t="str">
        <f>IFERROR(__xludf.DUMMYFUNCTION("""COMPUTED_VALUE"""),"")</f>
        <v/>
      </c>
      <c r="U12827" s="16" t="s">
        <v>87</v>
      </c>
      <c r="V12827" s="16" t="str">
        <f>IFERROR(__xludf.DUMMYFUNCTION("""COMPUTED_VALUE"""),"")</f>
        <v/>
      </c>
      <c r="W12827" s="16" t="str">
        <f>IFERROR(__xludf.DUMMYFUNCTION("""COMPUTED_VALUE"""),"")</f>
        <v/>
      </c>
      <c r="X12827" s="16" t="str">
        <f>IFERROR(__xludf.DUMMYFUNCTION("""COMPUTED_VALUE"""),"")</f>
        <v/>
      </c>
      <c r="AC12827" s="16" t="str">
        <f>IFERROR(__xludf.DUMMYFUNCTION("""COMPUTED_VALUE"""),"")</f>
        <v/>
      </c>
    </row>
    <row r="12828">
      <c r="A12828" s="16" t="s">
        <v>87</v>
      </c>
      <c r="E12828" s="16" t="str">
        <f>IFERROR(__xludf.DUMMYFUNCTION("""COMPUTED_VALUE"""),"")</f>
        <v/>
      </c>
      <c r="G12828" s="18"/>
      <c r="H12828" s="16" t="s">
        <v>87</v>
      </c>
      <c r="I12828" s="16" t="s">
        <v>87</v>
      </c>
      <c r="J12828" s="19"/>
      <c r="L12828" s="16" t="str">
        <f>IFERROR(__xludf.DUMMYFUNCTION("""COMPUTED_VALUE"""),"")</f>
        <v/>
      </c>
      <c r="M12828" s="16" t="str">
        <f>IFERROR(__xludf.DUMMYFUNCTION("""COMPUTED_VALUE"""),"")</f>
        <v/>
      </c>
      <c r="U12828" s="16" t="s">
        <v>87</v>
      </c>
      <c r="V12828" s="16" t="str">
        <f>IFERROR(__xludf.DUMMYFUNCTION("""COMPUTED_VALUE"""),"")</f>
        <v/>
      </c>
      <c r="W12828" s="16" t="str">
        <f>IFERROR(__xludf.DUMMYFUNCTION("""COMPUTED_VALUE"""),"")</f>
        <v/>
      </c>
      <c r="X12828" s="16" t="str">
        <f>IFERROR(__xludf.DUMMYFUNCTION("""COMPUTED_VALUE"""),"")</f>
        <v/>
      </c>
      <c r="AC12828" s="16" t="str">
        <f>IFERROR(__xludf.DUMMYFUNCTION("""COMPUTED_VALUE"""),"")</f>
        <v/>
      </c>
    </row>
    <row r="12829">
      <c r="A12829" s="16" t="s">
        <v>87</v>
      </c>
      <c r="E12829" s="16" t="str">
        <f>IFERROR(__xludf.DUMMYFUNCTION("""COMPUTED_VALUE"""),"")</f>
        <v/>
      </c>
      <c r="G12829" s="18"/>
      <c r="H12829" s="16" t="s">
        <v>87</v>
      </c>
      <c r="I12829" s="16" t="s">
        <v>87</v>
      </c>
      <c r="J12829" s="19"/>
      <c r="L12829" s="16" t="str">
        <f>IFERROR(__xludf.DUMMYFUNCTION("""COMPUTED_VALUE"""),"")</f>
        <v/>
      </c>
      <c r="M12829" s="16" t="str">
        <f>IFERROR(__xludf.DUMMYFUNCTION("""COMPUTED_VALUE"""),"")</f>
        <v/>
      </c>
      <c r="U12829" s="16" t="s">
        <v>87</v>
      </c>
      <c r="V12829" s="16" t="str">
        <f>IFERROR(__xludf.DUMMYFUNCTION("""COMPUTED_VALUE"""),"")</f>
        <v/>
      </c>
      <c r="W12829" s="16" t="str">
        <f>IFERROR(__xludf.DUMMYFUNCTION("""COMPUTED_VALUE"""),"")</f>
        <v/>
      </c>
      <c r="X12829" s="16" t="str">
        <f>IFERROR(__xludf.DUMMYFUNCTION("""COMPUTED_VALUE"""),"")</f>
        <v/>
      </c>
      <c r="AC12829" s="16" t="str">
        <f>IFERROR(__xludf.DUMMYFUNCTION("""COMPUTED_VALUE"""),"")</f>
        <v/>
      </c>
    </row>
    <row r="12830">
      <c r="A12830" s="16" t="s">
        <v>87</v>
      </c>
      <c r="E12830" s="16" t="str">
        <f>IFERROR(__xludf.DUMMYFUNCTION("""COMPUTED_VALUE"""),"")</f>
        <v/>
      </c>
      <c r="G12830" s="18"/>
      <c r="H12830" s="16" t="s">
        <v>87</v>
      </c>
      <c r="I12830" s="16" t="s">
        <v>87</v>
      </c>
      <c r="J12830" s="19"/>
      <c r="L12830" s="16" t="str">
        <f>IFERROR(__xludf.DUMMYFUNCTION("""COMPUTED_VALUE"""),"")</f>
        <v/>
      </c>
      <c r="M12830" s="16" t="str">
        <f>IFERROR(__xludf.DUMMYFUNCTION("""COMPUTED_VALUE"""),"")</f>
        <v/>
      </c>
      <c r="U12830" s="16" t="s">
        <v>87</v>
      </c>
      <c r="V12830" s="16" t="str">
        <f>IFERROR(__xludf.DUMMYFUNCTION("""COMPUTED_VALUE"""),"")</f>
        <v/>
      </c>
      <c r="W12830" s="16" t="str">
        <f>IFERROR(__xludf.DUMMYFUNCTION("""COMPUTED_VALUE"""),"")</f>
        <v/>
      </c>
      <c r="X12830" s="16" t="str">
        <f>IFERROR(__xludf.DUMMYFUNCTION("""COMPUTED_VALUE"""),"")</f>
        <v/>
      </c>
      <c r="AC12830" s="16" t="str">
        <f>IFERROR(__xludf.DUMMYFUNCTION("""COMPUTED_VALUE"""),"")</f>
        <v/>
      </c>
    </row>
    <row r="12831">
      <c r="A12831" s="16" t="s">
        <v>87</v>
      </c>
      <c r="E12831" s="16" t="str">
        <f>IFERROR(__xludf.DUMMYFUNCTION("""COMPUTED_VALUE"""),"")</f>
        <v/>
      </c>
      <c r="G12831" s="18"/>
      <c r="H12831" s="16" t="s">
        <v>87</v>
      </c>
      <c r="I12831" s="16" t="s">
        <v>87</v>
      </c>
      <c r="J12831" s="19"/>
      <c r="L12831" s="16" t="str">
        <f>IFERROR(__xludf.DUMMYFUNCTION("""COMPUTED_VALUE"""),"")</f>
        <v/>
      </c>
      <c r="M12831" s="16" t="str">
        <f>IFERROR(__xludf.DUMMYFUNCTION("""COMPUTED_VALUE"""),"")</f>
        <v/>
      </c>
      <c r="U12831" s="16" t="s">
        <v>87</v>
      </c>
      <c r="V12831" s="16" t="str">
        <f>IFERROR(__xludf.DUMMYFUNCTION("""COMPUTED_VALUE"""),"")</f>
        <v/>
      </c>
      <c r="W12831" s="16" t="str">
        <f>IFERROR(__xludf.DUMMYFUNCTION("""COMPUTED_VALUE"""),"")</f>
        <v/>
      </c>
      <c r="X12831" s="16" t="str">
        <f>IFERROR(__xludf.DUMMYFUNCTION("""COMPUTED_VALUE"""),"")</f>
        <v/>
      </c>
      <c r="AC12831" s="16" t="str">
        <f>IFERROR(__xludf.DUMMYFUNCTION("""COMPUTED_VALUE"""),"")</f>
        <v/>
      </c>
    </row>
    <row r="12832">
      <c r="A12832" s="16" t="s">
        <v>87</v>
      </c>
      <c r="E12832" s="16" t="str">
        <f>IFERROR(__xludf.DUMMYFUNCTION("""COMPUTED_VALUE"""),"")</f>
        <v/>
      </c>
      <c r="G12832" s="18"/>
      <c r="H12832" s="16" t="s">
        <v>87</v>
      </c>
      <c r="I12832" s="16" t="s">
        <v>87</v>
      </c>
      <c r="J12832" s="19"/>
      <c r="L12832" s="16" t="str">
        <f>IFERROR(__xludf.DUMMYFUNCTION("""COMPUTED_VALUE"""),"")</f>
        <v/>
      </c>
      <c r="M12832" s="16" t="str">
        <f>IFERROR(__xludf.DUMMYFUNCTION("""COMPUTED_VALUE"""),"")</f>
        <v/>
      </c>
      <c r="U12832" s="16" t="s">
        <v>87</v>
      </c>
      <c r="V12832" s="16" t="str">
        <f>IFERROR(__xludf.DUMMYFUNCTION("""COMPUTED_VALUE"""),"")</f>
        <v/>
      </c>
      <c r="W12832" s="16" t="str">
        <f>IFERROR(__xludf.DUMMYFUNCTION("""COMPUTED_VALUE"""),"")</f>
        <v/>
      </c>
      <c r="X12832" s="16" t="str">
        <f>IFERROR(__xludf.DUMMYFUNCTION("""COMPUTED_VALUE"""),"")</f>
        <v/>
      </c>
      <c r="AC12832" s="16" t="str">
        <f>IFERROR(__xludf.DUMMYFUNCTION("""COMPUTED_VALUE"""),"")</f>
        <v/>
      </c>
    </row>
    <row r="12833">
      <c r="A12833" s="16" t="s">
        <v>87</v>
      </c>
      <c r="E12833" s="16" t="str">
        <f>IFERROR(__xludf.DUMMYFUNCTION("""COMPUTED_VALUE"""),"")</f>
        <v/>
      </c>
      <c r="G12833" s="18"/>
      <c r="H12833" s="16" t="s">
        <v>87</v>
      </c>
      <c r="I12833" s="16" t="s">
        <v>87</v>
      </c>
      <c r="J12833" s="19"/>
      <c r="L12833" s="16" t="str">
        <f>IFERROR(__xludf.DUMMYFUNCTION("""COMPUTED_VALUE"""),"")</f>
        <v/>
      </c>
      <c r="M12833" s="16" t="str">
        <f>IFERROR(__xludf.DUMMYFUNCTION("""COMPUTED_VALUE"""),"")</f>
        <v/>
      </c>
      <c r="U12833" s="16" t="s">
        <v>87</v>
      </c>
      <c r="V12833" s="16" t="str">
        <f>IFERROR(__xludf.DUMMYFUNCTION("""COMPUTED_VALUE"""),"")</f>
        <v/>
      </c>
      <c r="W12833" s="16" t="str">
        <f>IFERROR(__xludf.DUMMYFUNCTION("""COMPUTED_VALUE"""),"")</f>
        <v/>
      </c>
      <c r="X12833" s="16" t="str">
        <f>IFERROR(__xludf.DUMMYFUNCTION("""COMPUTED_VALUE"""),"")</f>
        <v/>
      </c>
      <c r="AC12833" s="16" t="str">
        <f>IFERROR(__xludf.DUMMYFUNCTION("""COMPUTED_VALUE"""),"")</f>
        <v/>
      </c>
    </row>
    <row r="12834">
      <c r="A12834" s="16" t="s">
        <v>87</v>
      </c>
      <c r="E12834" s="16" t="str">
        <f>IFERROR(__xludf.DUMMYFUNCTION("""COMPUTED_VALUE"""),"")</f>
        <v/>
      </c>
      <c r="G12834" s="18"/>
      <c r="H12834" s="16" t="s">
        <v>87</v>
      </c>
      <c r="I12834" s="16" t="s">
        <v>87</v>
      </c>
      <c r="J12834" s="19"/>
      <c r="L12834" s="16" t="str">
        <f>IFERROR(__xludf.DUMMYFUNCTION("""COMPUTED_VALUE"""),"")</f>
        <v/>
      </c>
      <c r="M12834" s="16" t="str">
        <f>IFERROR(__xludf.DUMMYFUNCTION("""COMPUTED_VALUE"""),"")</f>
        <v/>
      </c>
      <c r="U12834" s="16" t="s">
        <v>87</v>
      </c>
      <c r="V12834" s="16" t="str">
        <f>IFERROR(__xludf.DUMMYFUNCTION("""COMPUTED_VALUE"""),"")</f>
        <v/>
      </c>
      <c r="W12834" s="16" t="str">
        <f>IFERROR(__xludf.DUMMYFUNCTION("""COMPUTED_VALUE"""),"")</f>
        <v/>
      </c>
      <c r="X12834" s="16" t="str">
        <f>IFERROR(__xludf.DUMMYFUNCTION("""COMPUTED_VALUE"""),"")</f>
        <v/>
      </c>
      <c r="AC12834" s="16" t="str">
        <f>IFERROR(__xludf.DUMMYFUNCTION("""COMPUTED_VALUE"""),"")</f>
        <v/>
      </c>
    </row>
    <row r="12835">
      <c r="A12835" s="16" t="s">
        <v>87</v>
      </c>
      <c r="E12835" s="16" t="str">
        <f>IFERROR(__xludf.DUMMYFUNCTION("""COMPUTED_VALUE"""),"")</f>
        <v/>
      </c>
      <c r="G12835" s="18"/>
      <c r="H12835" s="16" t="s">
        <v>87</v>
      </c>
      <c r="I12835" s="16" t="s">
        <v>87</v>
      </c>
      <c r="J12835" s="19"/>
      <c r="L12835" s="16" t="str">
        <f>IFERROR(__xludf.DUMMYFUNCTION("""COMPUTED_VALUE"""),"")</f>
        <v/>
      </c>
      <c r="M12835" s="16" t="str">
        <f>IFERROR(__xludf.DUMMYFUNCTION("""COMPUTED_VALUE"""),"")</f>
        <v/>
      </c>
      <c r="U12835" s="16" t="s">
        <v>87</v>
      </c>
      <c r="V12835" s="16" t="str">
        <f>IFERROR(__xludf.DUMMYFUNCTION("""COMPUTED_VALUE"""),"")</f>
        <v/>
      </c>
      <c r="W12835" s="16" t="str">
        <f>IFERROR(__xludf.DUMMYFUNCTION("""COMPUTED_VALUE"""),"")</f>
        <v/>
      </c>
      <c r="X12835" s="16" t="str">
        <f>IFERROR(__xludf.DUMMYFUNCTION("""COMPUTED_VALUE"""),"")</f>
        <v/>
      </c>
      <c r="AC12835" s="16" t="str">
        <f>IFERROR(__xludf.DUMMYFUNCTION("""COMPUTED_VALUE"""),"")</f>
        <v/>
      </c>
    </row>
    <row r="12836">
      <c r="A12836" s="16" t="s">
        <v>87</v>
      </c>
      <c r="E12836" s="16" t="str">
        <f>IFERROR(__xludf.DUMMYFUNCTION("""COMPUTED_VALUE"""),"")</f>
        <v/>
      </c>
      <c r="G12836" s="18"/>
      <c r="H12836" s="16" t="s">
        <v>87</v>
      </c>
      <c r="I12836" s="16" t="s">
        <v>87</v>
      </c>
      <c r="J12836" s="19"/>
      <c r="L12836" s="16" t="str">
        <f>IFERROR(__xludf.DUMMYFUNCTION("""COMPUTED_VALUE"""),"")</f>
        <v/>
      </c>
      <c r="M12836" s="16" t="str">
        <f>IFERROR(__xludf.DUMMYFUNCTION("""COMPUTED_VALUE"""),"")</f>
        <v/>
      </c>
      <c r="U12836" s="16" t="s">
        <v>87</v>
      </c>
      <c r="V12836" s="16" t="str">
        <f>IFERROR(__xludf.DUMMYFUNCTION("""COMPUTED_VALUE"""),"")</f>
        <v/>
      </c>
      <c r="W12836" s="16" t="str">
        <f>IFERROR(__xludf.DUMMYFUNCTION("""COMPUTED_VALUE"""),"")</f>
        <v/>
      </c>
      <c r="X12836" s="16" t="str">
        <f>IFERROR(__xludf.DUMMYFUNCTION("""COMPUTED_VALUE"""),"")</f>
        <v/>
      </c>
      <c r="AC12836" s="16" t="str">
        <f>IFERROR(__xludf.DUMMYFUNCTION("""COMPUTED_VALUE"""),"")</f>
        <v/>
      </c>
    </row>
    <row r="12837">
      <c r="A12837" s="16" t="s">
        <v>87</v>
      </c>
      <c r="E12837" s="16" t="str">
        <f>IFERROR(__xludf.DUMMYFUNCTION("""COMPUTED_VALUE"""),"")</f>
        <v/>
      </c>
      <c r="G12837" s="18"/>
      <c r="H12837" s="16" t="s">
        <v>87</v>
      </c>
      <c r="I12837" s="16" t="s">
        <v>87</v>
      </c>
      <c r="J12837" s="19"/>
      <c r="L12837" s="16" t="str">
        <f>IFERROR(__xludf.DUMMYFUNCTION("""COMPUTED_VALUE"""),"")</f>
        <v/>
      </c>
      <c r="M12837" s="16" t="str">
        <f>IFERROR(__xludf.DUMMYFUNCTION("""COMPUTED_VALUE"""),"")</f>
        <v/>
      </c>
      <c r="U12837" s="16" t="s">
        <v>87</v>
      </c>
      <c r="V12837" s="16" t="str">
        <f>IFERROR(__xludf.DUMMYFUNCTION("""COMPUTED_VALUE"""),"")</f>
        <v/>
      </c>
      <c r="W12837" s="16" t="str">
        <f>IFERROR(__xludf.DUMMYFUNCTION("""COMPUTED_VALUE"""),"")</f>
        <v/>
      </c>
      <c r="X12837" s="16" t="str">
        <f>IFERROR(__xludf.DUMMYFUNCTION("""COMPUTED_VALUE"""),"")</f>
        <v/>
      </c>
      <c r="AC12837" s="16" t="str">
        <f>IFERROR(__xludf.DUMMYFUNCTION("""COMPUTED_VALUE"""),"")</f>
        <v/>
      </c>
    </row>
    <row r="12838">
      <c r="A12838" s="16" t="s">
        <v>87</v>
      </c>
      <c r="E12838" s="16" t="str">
        <f>IFERROR(__xludf.DUMMYFUNCTION("""COMPUTED_VALUE"""),"")</f>
        <v/>
      </c>
      <c r="G12838" s="18"/>
      <c r="H12838" s="16" t="s">
        <v>87</v>
      </c>
      <c r="I12838" s="16" t="s">
        <v>87</v>
      </c>
      <c r="J12838" s="19"/>
      <c r="L12838" s="16" t="str">
        <f>IFERROR(__xludf.DUMMYFUNCTION("""COMPUTED_VALUE"""),"")</f>
        <v/>
      </c>
      <c r="M12838" s="16" t="str">
        <f>IFERROR(__xludf.DUMMYFUNCTION("""COMPUTED_VALUE"""),"")</f>
        <v/>
      </c>
      <c r="U12838" s="16" t="s">
        <v>87</v>
      </c>
      <c r="V12838" s="16" t="str">
        <f>IFERROR(__xludf.DUMMYFUNCTION("""COMPUTED_VALUE"""),"")</f>
        <v/>
      </c>
      <c r="W12838" s="16" t="str">
        <f>IFERROR(__xludf.DUMMYFUNCTION("""COMPUTED_VALUE"""),"")</f>
        <v/>
      </c>
      <c r="X12838" s="16" t="str">
        <f>IFERROR(__xludf.DUMMYFUNCTION("""COMPUTED_VALUE"""),"")</f>
        <v/>
      </c>
      <c r="AC12838" s="16" t="str">
        <f>IFERROR(__xludf.DUMMYFUNCTION("""COMPUTED_VALUE"""),"")</f>
        <v/>
      </c>
    </row>
    <row r="12839">
      <c r="A12839" s="16" t="s">
        <v>87</v>
      </c>
      <c r="E12839" s="16" t="str">
        <f>IFERROR(__xludf.DUMMYFUNCTION("""COMPUTED_VALUE"""),"")</f>
        <v/>
      </c>
      <c r="G12839" s="18"/>
      <c r="H12839" s="16" t="s">
        <v>87</v>
      </c>
      <c r="I12839" s="16" t="s">
        <v>87</v>
      </c>
      <c r="J12839" s="19"/>
      <c r="L12839" s="16" t="str">
        <f>IFERROR(__xludf.DUMMYFUNCTION("""COMPUTED_VALUE"""),"")</f>
        <v/>
      </c>
      <c r="M12839" s="16" t="str">
        <f>IFERROR(__xludf.DUMMYFUNCTION("""COMPUTED_VALUE"""),"")</f>
        <v/>
      </c>
      <c r="U12839" s="16" t="s">
        <v>87</v>
      </c>
      <c r="V12839" s="16" t="str">
        <f>IFERROR(__xludf.DUMMYFUNCTION("""COMPUTED_VALUE"""),"")</f>
        <v/>
      </c>
      <c r="W12839" s="16" t="str">
        <f>IFERROR(__xludf.DUMMYFUNCTION("""COMPUTED_VALUE"""),"")</f>
        <v/>
      </c>
      <c r="X12839" s="16" t="str">
        <f>IFERROR(__xludf.DUMMYFUNCTION("""COMPUTED_VALUE"""),"")</f>
        <v/>
      </c>
      <c r="AC12839" s="16" t="str">
        <f>IFERROR(__xludf.DUMMYFUNCTION("""COMPUTED_VALUE"""),"")</f>
        <v/>
      </c>
    </row>
    <row r="12840">
      <c r="A12840" s="16" t="s">
        <v>87</v>
      </c>
      <c r="E12840" s="16" t="str">
        <f>IFERROR(__xludf.DUMMYFUNCTION("""COMPUTED_VALUE"""),"")</f>
        <v/>
      </c>
      <c r="G12840" s="18"/>
      <c r="H12840" s="16" t="s">
        <v>87</v>
      </c>
      <c r="I12840" s="16" t="s">
        <v>87</v>
      </c>
      <c r="J12840" s="19"/>
      <c r="L12840" s="16" t="str">
        <f>IFERROR(__xludf.DUMMYFUNCTION("""COMPUTED_VALUE"""),"")</f>
        <v/>
      </c>
      <c r="M12840" s="16" t="str">
        <f>IFERROR(__xludf.DUMMYFUNCTION("""COMPUTED_VALUE"""),"")</f>
        <v/>
      </c>
      <c r="U12840" s="16" t="s">
        <v>87</v>
      </c>
      <c r="V12840" s="16" t="str">
        <f>IFERROR(__xludf.DUMMYFUNCTION("""COMPUTED_VALUE"""),"")</f>
        <v/>
      </c>
      <c r="W12840" s="16" t="str">
        <f>IFERROR(__xludf.DUMMYFUNCTION("""COMPUTED_VALUE"""),"")</f>
        <v/>
      </c>
      <c r="X12840" s="16" t="str">
        <f>IFERROR(__xludf.DUMMYFUNCTION("""COMPUTED_VALUE"""),"")</f>
        <v/>
      </c>
      <c r="AC12840" s="16" t="str">
        <f>IFERROR(__xludf.DUMMYFUNCTION("""COMPUTED_VALUE"""),"")</f>
        <v/>
      </c>
    </row>
    <row r="12841">
      <c r="A12841" s="16" t="s">
        <v>87</v>
      </c>
      <c r="E12841" s="16" t="str">
        <f>IFERROR(__xludf.DUMMYFUNCTION("""COMPUTED_VALUE"""),"")</f>
        <v/>
      </c>
      <c r="G12841" s="18"/>
      <c r="H12841" s="16" t="s">
        <v>87</v>
      </c>
      <c r="I12841" s="16" t="s">
        <v>87</v>
      </c>
      <c r="J12841" s="19"/>
      <c r="L12841" s="16" t="str">
        <f>IFERROR(__xludf.DUMMYFUNCTION("""COMPUTED_VALUE"""),"")</f>
        <v/>
      </c>
      <c r="M12841" s="16" t="str">
        <f>IFERROR(__xludf.DUMMYFUNCTION("""COMPUTED_VALUE"""),"")</f>
        <v/>
      </c>
      <c r="U12841" s="16" t="s">
        <v>87</v>
      </c>
      <c r="V12841" s="16" t="str">
        <f>IFERROR(__xludf.DUMMYFUNCTION("""COMPUTED_VALUE"""),"")</f>
        <v/>
      </c>
      <c r="W12841" s="16" t="str">
        <f>IFERROR(__xludf.DUMMYFUNCTION("""COMPUTED_VALUE"""),"")</f>
        <v/>
      </c>
      <c r="X12841" s="16" t="str">
        <f>IFERROR(__xludf.DUMMYFUNCTION("""COMPUTED_VALUE"""),"")</f>
        <v/>
      </c>
      <c r="AC12841" s="16" t="str">
        <f>IFERROR(__xludf.DUMMYFUNCTION("""COMPUTED_VALUE"""),"")</f>
        <v/>
      </c>
    </row>
    <row r="12842">
      <c r="A12842" s="16" t="s">
        <v>87</v>
      </c>
      <c r="E12842" s="16" t="str">
        <f>IFERROR(__xludf.DUMMYFUNCTION("""COMPUTED_VALUE"""),"")</f>
        <v/>
      </c>
      <c r="G12842" s="18"/>
      <c r="H12842" s="16" t="s">
        <v>87</v>
      </c>
      <c r="I12842" s="16" t="s">
        <v>87</v>
      </c>
      <c r="J12842" s="19"/>
      <c r="L12842" s="16" t="str">
        <f>IFERROR(__xludf.DUMMYFUNCTION("""COMPUTED_VALUE"""),"")</f>
        <v/>
      </c>
      <c r="M12842" s="16" t="str">
        <f>IFERROR(__xludf.DUMMYFUNCTION("""COMPUTED_VALUE"""),"")</f>
        <v/>
      </c>
      <c r="U12842" s="16" t="s">
        <v>87</v>
      </c>
      <c r="V12842" s="16" t="str">
        <f>IFERROR(__xludf.DUMMYFUNCTION("""COMPUTED_VALUE"""),"")</f>
        <v/>
      </c>
      <c r="W12842" s="16" t="str">
        <f>IFERROR(__xludf.DUMMYFUNCTION("""COMPUTED_VALUE"""),"")</f>
        <v/>
      </c>
      <c r="X12842" s="16" t="str">
        <f>IFERROR(__xludf.DUMMYFUNCTION("""COMPUTED_VALUE"""),"")</f>
        <v/>
      </c>
      <c r="AC12842" s="16" t="str">
        <f>IFERROR(__xludf.DUMMYFUNCTION("""COMPUTED_VALUE"""),"")</f>
        <v/>
      </c>
    </row>
    <row r="12843">
      <c r="A12843" s="16" t="s">
        <v>87</v>
      </c>
      <c r="E12843" s="16" t="str">
        <f>IFERROR(__xludf.DUMMYFUNCTION("""COMPUTED_VALUE"""),"")</f>
        <v/>
      </c>
      <c r="G12843" s="18"/>
      <c r="H12843" s="16" t="s">
        <v>87</v>
      </c>
      <c r="I12843" s="16" t="s">
        <v>87</v>
      </c>
      <c r="J12843" s="19"/>
      <c r="L12843" s="16" t="str">
        <f>IFERROR(__xludf.DUMMYFUNCTION("""COMPUTED_VALUE"""),"")</f>
        <v/>
      </c>
      <c r="M12843" s="16" t="str">
        <f>IFERROR(__xludf.DUMMYFUNCTION("""COMPUTED_VALUE"""),"")</f>
        <v/>
      </c>
      <c r="U12843" s="16" t="s">
        <v>87</v>
      </c>
      <c r="V12843" s="16" t="str">
        <f>IFERROR(__xludf.DUMMYFUNCTION("""COMPUTED_VALUE"""),"")</f>
        <v/>
      </c>
      <c r="W12843" s="16" t="str">
        <f>IFERROR(__xludf.DUMMYFUNCTION("""COMPUTED_VALUE"""),"")</f>
        <v/>
      </c>
      <c r="X12843" s="16" t="str">
        <f>IFERROR(__xludf.DUMMYFUNCTION("""COMPUTED_VALUE"""),"")</f>
        <v/>
      </c>
      <c r="AC12843" s="16" t="str">
        <f>IFERROR(__xludf.DUMMYFUNCTION("""COMPUTED_VALUE"""),"")</f>
        <v/>
      </c>
    </row>
    <row r="12844">
      <c r="A12844" s="16" t="s">
        <v>87</v>
      </c>
      <c r="E12844" s="16" t="str">
        <f>IFERROR(__xludf.DUMMYFUNCTION("""COMPUTED_VALUE"""),"")</f>
        <v/>
      </c>
      <c r="G12844" s="18"/>
      <c r="H12844" s="16" t="s">
        <v>87</v>
      </c>
      <c r="I12844" s="16" t="s">
        <v>87</v>
      </c>
      <c r="J12844" s="19"/>
      <c r="L12844" s="16" t="str">
        <f>IFERROR(__xludf.DUMMYFUNCTION("""COMPUTED_VALUE"""),"")</f>
        <v/>
      </c>
      <c r="M12844" s="16" t="str">
        <f>IFERROR(__xludf.DUMMYFUNCTION("""COMPUTED_VALUE"""),"")</f>
        <v/>
      </c>
      <c r="U12844" s="16" t="s">
        <v>87</v>
      </c>
      <c r="V12844" s="16" t="str">
        <f>IFERROR(__xludf.DUMMYFUNCTION("""COMPUTED_VALUE"""),"")</f>
        <v/>
      </c>
      <c r="W12844" s="16" t="str">
        <f>IFERROR(__xludf.DUMMYFUNCTION("""COMPUTED_VALUE"""),"")</f>
        <v/>
      </c>
      <c r="X12844" s="16" t="str">
        <f>IFERROR(__xludf.DUMMYFUNCTION("""COMPUTED_VALUE"""),"")</f>
        <v/>
      </c>
      <c r="AC12844" s="16" t="str">
        <f>IFERROR(__xludf.DUMMYFUNCTION("""COMPUTED_VALUE"""),"")</f>
        <v/>
      </c>
    </row>
    <row r="12845">
      <c r="A12845" s="16" t="s">
        <v>87</v>
      </c>
      <c r="E12845" s="16" t="str">
        <f>IFERROR(__xludf.DUMMYFUNCTION("""COMPUTED_VALUE"""),"")</f>
        <v/>
      </c>
      <c r="G12845" s="18"/>
      <c r="H12845" s="16" t="s">
        <v>87</v>
      </c>
      <c r="I12845" s="16" t="s">
        <v>87</v>
      </c>
      <c r="J12845" s="19"/>
      <c r="L12845" s="16" t="str">
        <f>IFERROR(__xludf.DUMMYFUNCTION("""COMPUTED_VALUE"""),"")</f>
        <v/>
      </c>
      <c r="M12845" s="16" t="str">
        <f>IFERROR(__xludf.DUMMYFUNCTION("""COMPUTED_VALUE"""),"")</f>
        <v/>
      </c>
      <c r="U12845" s="16" t="s">
        <v>87</v>
      </c>
      <c r="V12845" s="16" t="str">
        <f>IFERROR(__xludf.DUMMYFUNCTION("""COMPUTED_VALUE"""),"")</f>
        <v/>
      </c>
      <c r="W12845" s="16" t="str">
        <f>IFERROR(__xludf.DUMMYFUNCTION("""COMPUTED_VALUE"""),"")</f>
        <v/>
      </c>
      <c r="X12845" s="16" t="str">
        <f>IFERROR(__xludf.DUMMYFUNCTION("""COMPUTED_VALUE"""),"")</f>
        <v/>
      </c>
      <c r="AC12845" s="16" t="str">
        <f>IFERROR(__xludf.DUMMYFUNCTION("""COMPUTED_VALUE"""),"")</f>
        <v/>
      </c>
    </row>
    <row r="12846">
      <c r="A12846" s="16" t="s">
        <v>87</v>
      </c>
      <c r="E12846" s="16" t="str">
        <f>IFERROR(__xludf.DUMMYFUNCTION("""COMPUTED_VALUE"""),"")</f>
        <v/>
      </c>
      <c r="G12846" s="18"/>
      <c r="H12846" s="16" t="s">
        <v>87</v>
      </c>
      <c r="I12846" s="16" t="s">
        <v>87</v>
      </c>
      <c r="J12846" s="19"/>
      <c r="L12846" s="16" t="str">
        <f>IFERROR(__xludf.DUMMYFUNCTION("""COMPUTED_VALUE"""),"")</f>
        <v/>
      </c>
      <c r="M12846" s="16" t="str">
        <f>IFERROR(__xludf.DUMMYFUNCTION("""COMPUTED_VALUE"""),"")</f>
        <v/>
      </c>
      <c r="U12846" s="16" t="s">
        <v>87</v>
      </c>
      <c r="V12846" s="16" t="str">
        <f>IFERROR(__xludf.DUMMYFUNCTION("""COMPUTED_VALUE"""),"")</f>
        <v/>
      </c>
      <c r="W12846" s="16" t="str">
        <f>IFERROR(__xludf.DUMMYFUNCTION("""COMPUTED_VALUE"""),"")</f>
        <v/>
      </c>
      <c r="X12846" s="16" t="str">
        <f>IFERROR(__xludf.DUMMYFUNCTION("""COMPUTED_VALUE"""),"")</f>
        <v/>
      </c>
      <c r="AC12846" s="16" t="str">
        <f>IFERROR(__xludf.DUMMYFUNCTION("""COMPUTED_VALUE"""),"")</f>
        <v/>
      </c>
    </row>
    <row r="12847">
      <c r="A12847" s="16" t="s">
        <v>87</v>
      </c>
      <c r="E12847" s="16" t="str">
        <f>IFERROR(__xludf.DUMMYFUNCTION("""COMPUTED_VALUE"""),"")</f>
        <v/>
      </c>
      <c r="G12847" s="18"/>
      <c r="H12847" s="16" t="s">
        <v>87</v>
      </c>
      <c r="I12847" s="16" t="s">
        <v>87</v>
      </c>
      <c r="J12847" s="19"/>
      <c r="L12847" s="16" t="str">
        <f>IFERROR(__xludf.DUMMYFUNCTION("""COMPUTED_VALUE"""),"")</f>
        <v/>
      </c>
      <c r="M12847" s="16" t="str">
        <f>IFERROR(__xludf.DUMMYFUNCTION("""COMPUTED_VALUE"""),"")</f>
        <v/>
      </c>
      <c r="U12847" s="16" t="s">
        <v>87</v>
      </c>
      <c r="V12847" s="16" t="str">
        <f>IFERROR(__xludf.DUMMYFUNCTION("""COMPUTED_VALUE"""),"")</f>
        <v/>
      </c>
      <c r="W12847" s="16" t="str">
        <f>IFERROR(__xludf.DUMMYFUNCTION("""COMPUTED_VALUE"""),"")</f>
        <v/>
      </c>
      <c r="X12847" s="16" t="str">
        <f>IFERROR(__xludf.DUMMYFUNCTION("""COMPUTED_VALUE"""),"")</f>
        <v/>
      </c>
      <c r="AC12847" s="16" t="str">
        <f>IFERROR(__xludf.DUMMYFUNCTION("""COMPUTED_VALUE"""),"")</f>
        <v/>
      </c>
    </row>
    <row r="12848">
      <c r="A12848" s="16" t="s">
        <v>87</v>
      </c>
      <c r="E12848" s="16" t="str">
        <f>IFERROR(__xludf.DUMMYFUNCTION("""COMPUTED_VALUE"""),"")</f>
        <v/>
      </c>
      <c r="G12848" s="18"/>
      <c r="H12848" s="16" t="s">
        <v>87</v>
      </c>
      <c r="I12848" s="16" t="s">
        <v>87</v>
      </c>
      <c r="J12848" s="19"/>
      <c r="L12848" s="16" t="str">
        <f>IFERROR(__xludf.DUMMYFUNCTION("""COMPUTED_VALUE"""),"")</f>
        <v/>
      </c>
      <c r="M12848" s="16" t="str">
        <f>IFERROR(__xludf.DUMMYFUNCTION("""COMPUTED_VALUE"""),"")</f>
        <v/>
      </c>
      <c r="U12848" s="16" t="s">
        <v>87</v>
      </c>
      <c r="V12848" s="16" t="str">
        <f>IFERROR(__xludf.DUMMYFUNCTION("""COMPUTED_VALUE"""),"")</f>
        <v/>
      </c>
      <c r="W12848" s="16" t="str">
        <f>IFERROR(__xludf.DUMMYFUNCTION("""COMPUTED_VALUE"""),"")</f>
        <v/>
      </c>
      <c r="X12848" s="16" t="str">
        <f>IFERROR(__xludf.DUMMYFUNCTION("""COMPUTED_VALUE"""),"")</f>
        <v/>
      </c>
      <c r="AC12848" s="16" t="str">
        <f>IFERROR(__xludf.DUMMYFUNCTION("""COMPUTED_VALUE"""),"")</f>
        <v/>
      </c>
    </row>
    <row r="12849">
      <c r="A12849" s="16" t="s">
        <v>87</v>
      </c>
      <c r="E12849" s="16" t="str">
        <f>IFERROR(__xludf.DUMMYFUNCTION("""COMPUTED_VALUE"""),"")</f>
        <v/>
      </c>
      <c r="G12849" s="18"/>
      <c r="H12849" s="16" t="s">
        <v>87</v>
      </c>
      <c r="I12849" s="16" t="s">
        <v>87</v>
      </c>
      <c r="J12849" s="19"/>
      <c r="L12849" s="16" t="str">
        <f>IFERROR(__xludf.DUMMYFUNCTION("""COMPUTED_VALUE"""),"")</f>
        <v/>
      </c>
      <c r="M12849" s="16" t="str">
        <f>IFERROR(__xludf.DUMMYFUNCTION("""COMPUTED_VALUE"""),"")</f>
        <v/>
      </c>
      <c r="U12849" s="16" t="s">
        <v>87</v>
      </c>
      <c r="V12849" s="16" t="str">
        <f>IFERROR(__xludf.DUMMYFUNCTION("""COMPUTED_VALUE"""),"")</f>
        <v/>
      </c>
      <c r="W12849" s="16" t="str">
        <f>IFERROR(__xludf.DUMMYFUNCTION("""COMPUTED_VALUE"""),"")</f>
        <v/>
      </c>
      <c r="X12849" s="16" t="str">
        <f>IFERROR(__xludf.DUMMYFUNCTION("""COMPUTED_VALUE"""),"")</f>
        <v/>
      </c>
      <c r="AC12849" s="16" t="str">
        <f>IFERROR(__xludf.DUMMYFUNCTION("""COMPUTED_VALUE"""),"")</f>
        <v/>
      </c>
    </row>
    <row r="12850">
      <c r="A12850" s="16" t="s">
        <v>87</v>
      </c>
      <c r="E12850" s="16" t="str">
        <f>IFERROR(__xludf.DUMMYFUNCTION("""COMPUTED_VALUE"""),"")</f>
        <v/>
      </c>
      <c r="G12850" s="18"/>
      <c r="H12850" s="16" t="s">
        <v>87</v>
      </c>
      <c r="I12850" s="16" t="s">
        <v>87</v>
      </c>
      <c r="J12850" s="19"/>
      <c r="L12850" s="16" t="str">
        <f>IFERROR(__xludf.DUMMYFUNCTION("""COMPUTED_VALUE"""),"")</f>
        <v/>
      </c>
      <c r="M12850" s="16" t="str">
        <f>IFERROR(__xludf.DUMMYFUNCTION("""COMPUTED_VALUE"""),"")</f>
        <v/>
      </c>
      <c r="U12850" s="16" t="s">
        <v>87</v>
      </c>
      <c r="V12850" s="16" t="str">
        <f>IFERROR(__xludf.DUMMYFUNCTION("""COMPUTED_VALUE"""),"")</f>
        <v/>
      </c>
      <c r="W12850" s="16" t="str">
        <f>IFERROR(__xludf.DUMMYFUNCTION("""COMPUTED_VALUE"""),"")</f>
        <v/>
      </c>
      <c r="X12850" s="16" t="str">
        <f>IFERROR(__xludf.DUMMYFUNCTION("""COMPUTED_VALUE"""),"")</f>
        <v/>
      </c>
      <c r="AC12850" s="16" t="str">
        <f>IFERROR(__xludf.DUMMYFUNCTION("""COMPUTED_VALUE"""),"")</f>
        <v/>
      </c>
    </row>
    <row r="12851">
      <c r="A12851" s="16" t="s">
        <v>87</v>
      </c>
      <c r="E12851" s="16" t="str">
        <f>IFERROR(__xludf.DUMMYFUNCTION("""COMPUTED_VALUE"""),"")</f>
        <v/>
      </c>
      <c r="G12851" s="18"/>
      <c r="H12851" s="16" t="s">
        <v>87</v>
      </c>
      <c r="I12851" s="16" t="s">
        <v>87</v>
      </c>
      <c r="J12851" s="19"/>
      <c r="L12851" s="16" t="str">
        <f>IFERROR(__xludf.DUMMYFUNCTION("""COMPUTED_VALUE"""),"")</f>
        <v/>
      </c>
      <c r="M12851" s="16" t="str">
        <f>IFERROR(__xludf.DUMMYFUNCTION("""COMPUTED_VALUE"""),"")</f>
        <v/>
      </c>
      <c r="U12851" s="16" t="s">
        <v>87</v>
      </c>
      <c r="V12851" s="16" t="str">
        <f>IFERROR(__xludf.DUMMYFUNCTION("""COMPUTED_VALUE"""),"")</f>
        <v/>
      </c>
      <c r="W12851" s="16" t="str">
        <f>IFERROR(__xludf.DUMMYFUNCTION("""COMPUTED_VALUE"""),"")</f>
        <v/>
      </c>
      <c r="X12851" s="16" t="str">
        <f>IFERROR(__xludf.DUMMYFUNCTION("""COMPUTED_VALUE"""),"")</f>
        <v/>
      </c>
      <c r="AC12851" s="16" t="str">
        <f>IFERROR(__xludf.DUMMYFUNCTION("""COMPUTED_VALUE"""),"")</f>
        <v/>
      </c>
    </row>
    <row r="12852">
      <c r="A12852" s="16" t="s">
        <v>87</v>
      </c>
      <c r="E12852" s="16" t="str">
        <f>IFERROR(__xludf.DUMMYFUNCTION("""COMPUTED_VALUE"""),"")</f>
        <v/>
      </c>
      <c r="G12852" s="18"/>
      <c r="H12852" s="16" t="s">
        <v>87</v>
      </c>
      <c r="I12852" s="16" t="s">
        <v>87</v>
      </c>
      <c r="J12852" s="19"/>
      <c r="L12852" s="16" t="str">
        <f>IFERROR(__xludf.DUMMYFUNCTION("""COMPUTED_VALUE"""),"")</f>
        <v/>
      </c>
      <c r="M12852" s="16" t="str">
        <f>IFERROR(__xludf.DUMMYFUNCTION("""COMPUTED_VALUE"""),"")</f>
        <v/>
      </c>
      <c r="U12852" s="16" t="s">
        <v>87</v>
      </c>
      <c r="V12852" s="16" t="str">
        <f>IFERROR(__xludf.DUMMYFUNCTION("""COMPUTED_VALUE"""),"")</f>
        <v/>
      </c>
      <c r="W12852" s="16" t="str">
        <f>IFERROR(__xludf.DUMMYFUNCTION("""COMPUTED_VALUE"""),"")</f>
        <v/>
      </c>
      <c r="X12852" s="16" t="str">
        <f>IFERROR(__xludf.DUMMYFUNCTION("""COMPUTED_VALUE"""),"")</f>
        <v/>
      </c>
      <c r="AC12852" s="16" t="str">
        <f>IFERROR(__xludf.DUMMYFUNCTION("""COMPUTED_VALUE"""),"")</f>
        <v/>
      </c>
    </row>
    <row r="12853">
      <c r="A12853" s="16" t="s">
        <v>87</v>
      </c>
      <c r="E12853" s="16" t="str">
        <f>IFERROR(__xludf.DUMMYFUNCTION("""COMPUTED_VALUE"""),"")</f>
        <v/>
      </c>
      <c r="G12853" s="18"/>
      <c r="H12853" s="16" t="s">
        <v>87</v>
      </c>
      <c r="I12853" s="16" t="s">
        <v>87</v>
      </c>
      <c r="J12853" s="19"/>
      <c r="L12853" s="16" t="str">
        <f>IFERROR(__xludf.DUMMYFUNCTION("""COMPUTED_VALUE"""),"")</f>
        <v/>
      </c>
      <c r="M12853" s="16" t="str">
        <f>IFERROR(__xludf.DUMMYFUNCTION("""COMPUTED_VALUE"""),"")</f>
        <v/>
      </c>
      <c r="U12853" s="16" t="s">
        <v>87</v>
      </c>
      <c r="V12853" s="16" t="str">
        <f>IFERROR(__xludf.DUMMYFUNCTION("""COMPUTED_VALUE"""),"")</f>
        <v/>
      </c>
      <c r="W12853" s="16" t="str">
        <f>IFERROR(__xludf.DUMMYFUNCTION("""COMPUTED_VALUE"""),"")</f>
        <v/>
      </c>
      <c r="X12853" s="16" t="str">
        <f>IFERROR(__xludf.DUMMYFUNCTION("""COMPUTED_VALUE"""),"")</f>
        <v/>
      </c>
      <c r="AC12853" s="16" t="str">
        <f>IFERROR(__xludf.DUMMYFUNCTION("""COMPUTED_VALUE"""),"")</f>
        <v/>
      </c>
    </row>
    <row r="12854">
      <c r="A12854" s="16" t="s">
        <v>87</v>
      </c>
      <c r="E12854" s="16" t="str">
        <f>IFERROR(__xludf.DUMMYFUNCTION("""COMPUTED_VALUE"""),"")</f>
        <v/>
      </c>
      <c r="G12854" s="18"/>
      <c r="H12854" s="16" t="s">
        <v>87</v>
      </c>
      <c r="I12854" s="16" t="s">
        <v>87</v>
      </c>
      <c r="J12854" s="19"/>
      <c r="L12854" s="16" t="str">
        <f>IFERROR(__xludf.DUMMYFUNCTION("""COMPUTED_VALUE"""),"")</f>
        <v/>
      </c>
      <c r="M12854" s="16" t="str">
        <f>IFERROR(__xludf.DUMMYFUNCTION("""COMPUTED_VALUE"""),"")</f>
        <v/>
      </c>
      <c r="U12854" s="16" t="s">
        <v>87</v>
      </c>
      <c r="V12854" s="16" t="str">
        <f>IFERROR(__xludf.DUMMYFUNCTION("""COMPUTED_VALUE"""),"")</f>
        <v/>
      </c>
      <c r="W12854" s="16" t="str">
        <f>IFERROR(__xludf.DUMMYFUNCTION("""COMPUTED_VALUE"""),"")</f>
        <v/>
      </c>
      <c r="X12854" s="16" t="str">
        <f>IFERROR(__xludf.DUMMYFUNCTION("""COMPUTED_VALUE"""),"")</f>
        <v/>
      </c>
      <c r="AC12854" s="16" t="str">
        <f>IFERROR(__xludf.DUMMYFUNCTION("""COMPUTED_VALUE"""),"")</f>
        <v/>
      </c>
    </row>
    <row r="12855">
      <c r="A12855" s="16" t="s">
        <v>87</v>
      </c>
      <c r="E12855" s="16" t="str">
        <f>IFERROR(__xludf.DUMMYFUNCTION("""COMPUTED_VALUE"""),"")</f>
        <v/>
      </c>
      <c r="G12855" s="18"/>
      <c r="H12855" s="16" t="s">
        <v>87</v>
      </c>
      <c r="I12855" s="16" t="s">
        <v>87</v>
      </c>
      <c r="J12855" s="19"/>
      <c r="L12855" s="16" t="str">
        <f>IFERROR(__xludf.DUMMYFUNCTION("""COMPUTED_VALUE"""),"")</f>
        <v/>
      </c>
      <c r="M12855" s="16" t="str">
        <f>IFERROR(__xludf.DUMMYFUNCTION("""COMPUTED_VALUE"""),"")</f>
        <v/>
      </c>
      <c r="U12855" s="16" t="s">
        <v>87</v>
      </c>
      <c r="V12855" s="16" t="str">
        <f>IFERROR(__xludf.DUMMYFUNCTION("""COMPUTED_VALUE"""),"")</f>
        <v/>
      </c>
      <c r="W12855" s="16" t="str">
        <f>IFERROR(__xludf.DUMMYFUNCTION("""COMPUTED_VALUE"""),"")</f>
        <v/>
      </c>
      <c r="X12855" s="16" t="str">
        <f>IFERROR(__xludf.DUMMYFUNCTION("""COMPUTED_VALUE"""),"")</f>
        <v/>
      </c>
      <c r="AC12855" s="16" t="str">
        <f>IFERROR(__xludf.DUMMYFUNCTION("""COMPUTED_VALUE"""),"")</f>
        <v/>
      </c>
    </row>
    <row r="12856">
      <c r="A12856" s="16" t="s">
        <v>87</v>
      </c>
      <c r="E12856" s="16" t="str">
        <f>IFERROR(__xludf.DUMMYFUNCTION("""COMPUTED_VALUE"""),"")</f>
        <v/>
      </c>
      <c r="G12856" s="18"/>
      <c r="H12856" s="16" t="s">
        <v>87</v>
      </c>
      <c r="I12856" s="16" t="s">
        <v>87</v>
      </c>
      <c r="J12856" s="19"/>
      <c r="L12856" s="16" t="str">
        <f>IFERROR(__xludf.DUMMYFUNCTION("""COMPUTED_VALUE"""),"")</f>
        <v/>
      </c>
      <c r="M12856" s="16" t="str">
        <f>IFERROR(__xludf.DUMMYFUNCTION("""COMPUTED_VALUE"""),"")</f>
        <v/>
      </c>
      <c r="U12856" s="16" t="s">
        <v>87</v>
      </c>
      <c r="V12856" s="16" t="str">
        <f>IFERROR(__xludf.DUMMYFUNCTION("""COMPUTED_VALUE"""),"")</f>
        <v/>
      </c>
      <c r="W12856" s="16" t="str">
        <f>IFERROR(__xludf.DUMMYFUNCTION("""COMPUTED_VALUE"""),"")</f>
        <v/>
      </c>
      <c r="X12856" s="16" t="str">
        <f>IFERROR(__xludf.DUMMYFUNCTION("""COMPUTED_VALUE"""),"")</f>
        <v/>
      </c>
      <c r="AC12856" s="16" t="str">
        <f>IFERROR(__xludf.DUMMYFUNCTION("""COMPUTED_VALUE"""),"")</f>
        <v/>
      </c>
    </row>
    <row r="12857">
      <c r="A12857" s="16" t="s">
        <v>87</v>
      </c>
      <c r="E12857" s="16" t="str">
        <f>IFERROR(__xludf.DUMMYFUNCTION("""COMPUTED_VALUE"""),"")</f>
        <v/>
      </c>
      <c r="G12857" s="18"/>
      <c r="H12857" s="16" t="s">
        <v>87</v>
      </c>
      <c r="I12857" s="16" t="s">
        <v>87</v>
      </c>
      <c r="J12857" s="19"/>
      <c r="L12857" s="16" t="str">
        <f>IFERROR(__xludf.DUMMYFUNCTION("""COMPUTED_VALUE"""),"")</f>
        <v/>
      </c>
      <c r="M12857" s="16" t="str">
        <f>IFERROR(__xludf.DUMMYFUNCTION("""COMPUTED_VALUE"""),"")</f>
        <v/>
      </c>
      <c r="U12857" s="16" t="s">
        <v>87</v>
      </c>
      <c r="V12857" s="16" t="str">
        <f>IFERROR(__xludf.DUMMYFUNCTION("""COMPUTED_VALUE"""),"")</f>
        <v/>
      </c>
      <c r="W12857" s="16" t="str">
        <f>IFERROR(__xludf.DUMMYFUNCTION("""COMPUTED_VALUE"""),"")</f>
        <v/>
      </c>
      <c r="X12857" s="16" t="str">
        <f>IFERROR(__xludf.DUMMYFUNCTION("""COMPUTED_VALUE"""),"")</f>
        <v/>
      </c>
      <c r="AC12857" s="16" t="str">
        <f>IFERROR(__xludf.DUMMYFUNCTION("""COMPUTED_VALUE"""),"")</f>
        <v/>
      </c>
    </row>
    <row r="12858">
      <c r="A12858" s="16" t="s">
        <v>87</v>
      </c>
      <c r="E12858" s="16" t="str">
        <f>IFERROR(__xludf.DUMMYFUNCTION("""COMPUTED_VALUE"""),"")</f>
        <v/>
      </c>
      <c r="G12858" s="18"/>
      <c r="H12858" s="16" t="s">
        <v>87</v>
      </c>
      <c r="I12858" s="16" t="s">
        <v>87</v>
      </c>
      <c r="J12858" s="19"/>
      <c r="L12858" s="16" t="str">
        <f>IFERROR(__xludf.DUMMYFUNCTION("""COMPUTED_VALUE"""),"")</f>
        <v/>
      </c>
      <c r="M12858" s="16" t="str">
        <f>IFERROR(__xludf.DUMMYFUNCTION("""COMPUTED_VALUE"""),"")</f>
        <v/>
      </c>
      <c r="U12858" s="16" t="s">
        <v>87</v>
      </c>
      <c r="V12858" s="16" t="str">
        <f>IFERROR(__xludf.DUMMYFUNCTION("""COMPUTED_VALUE"""),"")</f>
        <v/>
      </c>
      <c r="W12858" s="16" t="str">
        <f>IFERROR(__xludf.DUMMYFUNCTION("""COMPUTED_VALUE"""),"")</f>
        <v/>
      </c>
      <c r="X12858" s="16" t="str">
        <f>IFERROR(__xludf.DUMMYFUNCTION("""COMPUTED_VALUE"""),"")</f>
        <v/>
      </c>
      <c r="AC12858" s="16" t="str">
        <f>IFERROR(__xludf.DUMMYFUNCTION("""COMPUTED_VALUE"""),"")</f>
        <v/>
      </c>
    </row>
    <row r="12859">
      <c r="A12859" s="16" t="s">
        <v>87</v>
      </c>
      <c r="E12859" s="16" t="str">
        <f>IFERROR(__xludf.DUMMYFUNCTION("""COMPUTED_VALUE"""),"")</f>
        <v/>
      </c>
      <c r="G12859" s="18"/>
      <c r="H12859" s="16" t="s">
        <v>87</v>
      </c>
      <c r="I12859" s="16" t="s">
        <v>87</v>
      </c>
      <c r="J12859" s="19"/>
      <c r="L12859" s="16" t="str">
        <f>IFERROR(__xludf.DUMMYFUNCTION("""COMPUTED_VALUE"""),"")</f>
        <v/>
      </c>
      <c r="M12859" s="16" t="str">
        <f>IFERROR(__xludf.DUMMYFUNCTION("""COMPUTED_VALUE"""),"")</f>
        <v/>
      </c>
      <c r="U12859" s="16" t="s">
        <v>87</v>
      </c>
      <c r="V12859" s="16" t="str">
        <f>IFERROR(__xludf.DUMMYFUNCTION("""COMPUTED_VALUE"""),"")</f>
        <v/>
      </c>
      <c r="W12859" s="16" t="str">
        <f>IFERROR(__xludf.DUMMYFUNCTION("""COMPUTED_VALUE"""),"")</f>
        <v/>
      </c>
      <c r="X12859" s="16" t="str">
        <f>IFERROR(__xludf.DUMMYFUNCTION("""COMPUTED_VALUE"""),"")</f>
        <v/>
      </c>
      <c r="AC12859" s="16" t="str">
        <f>IFERROR(__xludf.DUMMYFUNCTION("""COMPUTED_VALUE"""),"")</f>
        <v/>
      </c>
    </row>
    <row r="12860">
      <c r="A12860" s="16" t="s">
        <v>87</v>
      </c>
      <c r="E12860" s="16" t="str">
        <f>IFERROR(__xludf.DUMMYFUNCTION("""COMPUTED_VALUE"""),"")</f>
        <v/>
      </c>
      <c r="G12860" s="18"/>
      <c r="H12860" s="16" t="s">
        <v>87</v>
      </c>
      <c r="I12860" s="16" t="s">
        <v>87</v>
      </c>
      <c r="J12860" s="19"/>
      <c r="L12860" s="16" t="str">
        <f>IFERROR(__xludf.DUMMYFUNCTION("""COMPUTED_VALUE"""),"")</f>
        <v/>
      </c>
      <c r="M12860" s="16" t="str">
        <f>IFERROR(__xludf.DUMMYFUNCTION("""COMPUTED_VALUE"""),"")</f>
        <v/>
      </c>
      <c r="U12860" s="16" t="s">
        <v>87</v>
      </c>
      <c r="V12860" s="16" t="str">
        <f>IFERROR(__xludf.DUMMYFUNCTION("""COMPUTED_VALUE"""),"")</f>
        <v/>
      </c>
      <c r="W12860" s="16" t="str">
        <f>IFERROR(__xludf.DUMMYFUNCTION("""COMPUTED_VALUE"""),"")</f>
        <v/>
      </c>
      <c r="X12860" s="16" t="str">
        <f>IFERROR(__xludf.DUMMYFUNCTION("""COMPUTED_VALUE"""),"")</f>
        <v/>
      </c>
      <c r="AC12860" s="16" t="str">
        <f>IFERROR(__xludf.DUMMYFUNCTION("""COMPUTED_VALUE"""),"")</f>
        <v/>
      </c>
    </row>
    <row r="12861">
      <c r="A12861" s="16" t="s">
        <v>87</v>
      </c>
      <c r="E12861" s="16" t="str">
        <f>IFERROR(__xludf.DUMMYFUNCTION("""COMPUTED_VALUE"""),"")</f>
        <v/>
      </c>
      <c r="G12861" s="18"/>
      <c r="H12861" s="16" t="s">
        <v>87</v>
      </c>
      <c r="I12861" s="16" t="s">
        <v>87</v>
      </c>
      <c r="J12861" s="19"/>
      <c r="L12861" s="16" t="str">
        <f>IFERROR(__xludf.DUMMYFUNCTION("""COMPUTED_VALUE"""),"")</f>
        <v/>
      </c>
      <c r="M12861" s="16" t="str">
        <f>IFERROR(__xludf.DUMMYFUNCTION("""COMPUTED_VALUE"""),"")</f>
        <v/>
      </c>
      <c r="U12861" s="16" t="s">
        <v>87</v>
      </c>
      <c r="V12861" s="16" t="str">
        <f>IFERROR(__xludf.DUMMYFUNCTION("""COMPUTED_VALUE"""),"")</f>
        <v/>
      </c>
      <c r="W12861" s="16" t="str">
        <f>IFERROR(__xludf.DUMMYFUNCTION("""COMPUTED_VALUE"""),"")</f>
        <v/>
      </c>
      <c r="X12861" s="16" t="str">
        <f>IFERROR(__xludf.DUMMYFUNCTION("""COMPUTED_VALUE"""),"")</f>
        <v/>
      </c>
      <c r="AC12861" s="16" t="str">
        <f>IFERROR(__xludf.DUMMYFUNCTION("""COMPUTED_VALUE"""),"")</f>
        <v/>
      </c>
    </row>
    <row r="12862">
      <c r="A12862" s="16" t="s">
        <v>87</v>
      </c>
      <c r="E12862" s="16" t="str">
        <f>IFERROR(__xludf.DUMMYFUNCTION("""COMPUTED_VALUE"""),"")</f>
        <v/>
      </c>
      <c r="G12862" s="18"/>
      <c r="H12862" s="16" t="s">
        <v>87</v>
      </c>
      <c r="I12862" s="16" t="s">
        <v>87</v>
      </c>
      <c r="J12862" s="19"/>
      <c r="L12862" s="16" t="str">
        <f>IFERROR(__xludf.DUMMYFUNCTION("""COMPUTED_VALUE"""),"")</f>
        <v/>
      </c>
      <c r="M12862" s="16" t="str">
        <f>IFERROR(__xludf.DUMMYFUNCTION("""COMPUTED_VALUE"""),"")</f>
        <v/>
      </c>
      <c r="U12862" s="16" t="s">
        <v>87</v>
      </c>
      <c r="V12862" s="16" t="str">
        <f>IFERROR(__xludf.DUMMYFUNCTION("""COMPUTED_VALUE"""),"")</f>
        <v/>
      </c>
      <c r="W12862" s="16" t="str">
        <f>IFERROR(__xludf.DUMMYFUNCTION("""COMPUTED_VALUE"""),"")</f>
        <v/>
      </c>
      <c r="X12862" s="16" t="str">
        <f>IFERROR(__xludf.DUMMYFUNCTION("""COMPUTED_VALUE"""),"")</f>
        <v/>
      </c>
      <c r="AC12862" s="16" t="str">
        <f>IFERROR(__xludf.DUMMYFUNCTION("""COMPUTED_VALUE"""),"")</f>
        <v/>
      </c>
    </row>
    <row r="12863">
      <c r="A12863" s="16" t="s">
        <v>87</v>
      </c>
      <c r="E12863" s="16" t="str">
        <f>IFERROR(__xludf.DUMMYFUNCTION("""COMPUTED_VALUE"""),"")</f>
        <v/>
      </c>
      <c r="G12863" s="18"/>
      <c r="H12863" s="16" t="s">
        <v>87</v>
      </c>
      <c r="I12863" s="16" t="s">
        <v>87</v>
      </c>
      <c r="J12863" s="19"/>
      <c r="L12863" s="16" t="str">
        <f>IFERROR(__xludf.DUMMYFUNCTION("""COMPUTED_VALUE"""),"")</f>
        <v/>
      </c>
      <c r="M12863" s="16" t="str">
        <f>IFERROR(__xludf.DUMMYFUNCTION("""COMPUTED_VALUE"""),"")</f>
        <v/>
      </c>
      <c r="U12863" s="16" t="s">
        <v>87</v>
      </c>
      <c r="V12863" s="16" t="str">
        <f>IFERROR(__xludf.DUMMYFUNCTION("""COMPUTED_VALUE"""),"")</f>
        <v/>
      </c>
      <c r="W12863" s="16" t="str">
        <f>IFERROR(__xludf.DUMMYFUNCTION("""COMPUTED_VALUE"""),"")</f>
        <v/>
      </c>
      <c r="X12863" s="16" t="str">
        <f>IFERROR(__xludf.DUMMYFUNCTION("""COMPUTED_VALUE"""),"")</f>
        <v/>
      </c>
      <c r="AC12863" s="16" t="str">
        <f>IFERROR(__xludf.DUMMYFUNCTION("""COMPUTED_VALUE"""),"")</f>
        <v/>
      </c>
    </row>
    <row r="12864">
      <c r="A12864" s="16" t="s">
        <v>87</v>
      </c>
      <c r="E12864" s="16" t="str">
        <f>IFERROR(__xludf.DUMMYFUNCTION("""COMPUTED_VALUE"""),"")</f>
        <v/>
      </c>
      <c r="G12864" s="18"/>
      <c r="H12864" s="16" t="s">
        <v>87</v>
      </c>
      <c r="I12864" s="16" t="s">
        <v>87</v>
      </c>
      <c r="J12864" s="19"/>
      <c r="L12864" s="16" t="str">
        <f>IFERROR(__xludf.DUMMYFUNCTION("""COMPUTED_VALUE"""),"")</f>
        <v/>
      </c>
      <c r="M12864" s="16" t="str">
        <f>IFERROR(__xludf.DUMMYFUNCTION("""COMPUTED_VALUE"""),"")</f>
        <v/>
      </c>
      <c r="U12864" s="16" t="s">
        <v>87</v>
      </c>
      <c r="V12864" s="16" t="str">
        <f>IFERROR(__xludf.DUMMYFUNCTION("""COMPUTED_VALUE"""),"")</f>
        <v/>
      </c>
      <c r="W12864" s="16" t="str">
        <f>IFERROR(__xludf.DUMMYFUNCTION("""COMPUTED_VALUE"""),"")</f>
        <v/>
      </c>
      <c r="X12864" s="16" t="str">
        <f>IFERROR(__xludf.DUMMYFUNCTION("""COMPUTED_VALUE"""),"")</f>
        <v/>
      </c>
      <c r="AC12864" s="16" t="str">
        <f>IFERROR(__xludf.DUMMYFUNCTION("""COMPUTED_VALUE"""),"")</f>
        <v/>
      </c>
    </row>
    <row r="12865">
      <c r="A12865" s="16" t="s">
        <v>87</v>
      </c>
      <c r="E12865" s="16" t="str">
        <f>IFERROR(__xludf.DUMMYFUNCTION("""COMPUTED_VALUE"""),"")</f>
        <v/>
      </c>
      <c r="G12865" s="18"/>
      <c r="H12865" s="16" t="s">
        <v>87</v>
      </c>
      <c r="I12865" s="16" t="s">
        <v>87</v>
      </c>
      <c r="J12865" s="19"/>
      <c r="L12865" s="16" t="str">
        <f>IFERROR(__xludf.DUMMYFUNCTION("""COMPUTED_VALUE"""),"")</f>
        <v/>
      </c>
      <c r="M12865" s="16" t="str">
        <f>IFERROR(__xludf.DUMMYFUNCTION("""COMPUTED_VALUE"""),"")</f>
        <v/>
      </c>
      <c r="U12865" s="16" t="s">
        <v>87</v>
      </c>
      <c r="V12865" s="16" t="str">
        <f>IFERROR(__xludf.DUMMYFUNCTION("""COMPUTED_VALUE"""),"")</f>
        <v/>
      </c>
      <c r="W12865" s="16" t="str">
        <f>IFERROR(__xludf.DUMMYFUNCTION("""COMPUTED_VALUE"""),"")</f>
        <v/>
      </c>
      <c r="X12865" s="16" t="str">
        <f>IFERROR(__xludf.DUMMYFUNCTION("""COMPUTED_VALUE"""),"")</f>
        <v/>
      </c>
      <c r="AC12865" s="16" t="str">
        <f>IFERROR(__xludf.DUMMYFUNCTION("""COMPUTED_VALUE"""),"")</f>
        <v/>
      </c>
    </row>
    <row r="12866">
      <c r="A12866" s="16" t="s">
        <v>87</v>
      </c>
      <c r="E12866" s="16" t="str">
        <f>IFERROR(__xludf.DUMMYFUNCTION("""COMPUTED_VALUE"""),"")</f>
        <v/>
      </c>
      <c r="G12866" s="18"/>
      <c r="H12866" s="16" t="s">
        <v>87</v>
      </c>
      <c r="I12866" s="16" t="s">
        <v>87</v>
      </c>
      <c r="J12866" s="19"/>
      <c r="L12866" s="16" t="str">
        <f>IFERROR(__xludf.DUMMYFUNCTION("""COMPUTED_VALUE"""),"")</f>
        <v/>
      </c>
      <c r="M12866" s="16" t="str">
        <f>IFERROR(__xludf.DUMMYFUNCTION("""COMPUTED_VALUE"""),"")</f>
        <v/>
      </c>
      <c r="U12866" s="16" t="s">
        <v>87</v>
      </c>
      <c r="V12866" s="16" t="str">
        <f>IFERROR(__xludf.DUMMYFUNCTION("""COMPUTED_VALUE"""),"")</f>
        <v/>
      </c>
      <c r="W12866" s="16" t="str">
        <f>IFERROR(__xludf.DUMMYFUNCTION("""COMPUTED_VALUE"""),"")</f>
        <v/>
      </c>
      <c r="X12866" s="16" t="str">
        <f>IFERROR(__xludf.DUMMYFUNCTION("""COMPUTED_VALUE"""),"")</f>
        <v/>
      </c>
      <c r="AC12866" s="16" t="str">
        <f>IFERROR(__xludf.DUMMYFUNCTION("""COMPUTED_VALUE"""),"")</f>
        <v/>
      </c>
    </row>
    <row r="12867">
      <c r="A12867" s="16" t="s">
        <v>87</v>
      </c>
      <c r="E12867" s="16" t="str">
        <f>IFERROR(__xludf.DUMMYFUNCTION("""COMPUTED_VALUE"""),"")</f>
        <v/>
      </c>
      <c r="G12867" s="18"/>
      <c r="H12867" s="16" t="s">
        <v>87</v>
      </c>
      <c r="I12867" s="16" t="s">
        <v>87</v>
      </c>
      <c r="J12867" s="19"/>
      <c r="L12867" s="16" t="str">
        <f>IFERROR(__xludf.DUMMYFUNCTION("""COMPUTED_VALUE"""),"")</f>
        <v/>
      </c>
      <c r="M12867" s="16" t="str">
        <f>IFERROR(__xludf.DUMMYFUNCTION("""COMPUTED_VALUE"""),"")</f>
        <v/>
      </c>
      <c r="U12867" s="16" t="s">
        <v>87</v>
      </c>
      <c r="V12867" s="16" t="str">
        <f>IFERROR(__xludf.DUMMYFUNCTION("""COMPUTED_VALUE"""),"")</f>
        <v/>
      </c>
      <c r="W12867" s="16" t="str">
        <f>IFERROR(__xludf.DUMMYFUNCTION("""COMPUTED_VALUE"""),"")</f>
        <v/>
      </c>
      <c r="X12867" s="16" t="str">
        <f>IFERROR(__xludf.DUMMYFUNCTION("""COMPUTED_VALUE"""),"")</f>
        <v/>
      </c>
      <c r="AC12867" s="16" t="str">
        <f>IFERROR(__xludf.DUMMYFUNCTION("""COMPUTED_VALUE"""),"")</f>
        <v/>
      </c>
    </row>
    <row r="12868">
      <c r="A12868" s="16" t="s">
        <v>87</v>
      </c>
      <c r="E12868" s="16" t="str">
        <f>IFERROR(__xludf.DUMMYFUNCTION("""COMPUTED_VALUE"""),"")</f>
        <v/>
      </c>
      <c r="G12868" s="18"/>
      <c r="H12868" s="16" t="s">
        <v>87</v>
      </c>
      <c r="I12868" s="16" t="s">
        <v>87</v>
      </c>
      <c r="J12868" s="19"/>
      <c r="L12868" s="16" t="str">
        <f>IFERROR(__xludf.DUMMYFUNCTION("""COMPUTED_VALUE"""),"")</f>
        <v/>
      </c>
      <c r="M12868" s="16" t="str">
        <f>IFERROR(__xludf.DUMMYFUNCTION("""COMPUTED_VALUE"""),"")</f>
        <v/>
      </c>
      <c r="U12868" s="16" t="s">
        <v>87</v>
      </c>
      <c r="V12868" s="16" t="str">
        <f>IFERROR(__xludf.DUMMYFUNCTION("""COMPUTED_VALUE"""),"")</f>
        <v/>
      </c>
      <c r="W12868" s="16" t="str">
        <f>IFERROR(__xludf.DUMMYFUNCTION("""COMPUTED_VALUE"""),"")</f>
        <v/>
      </c>
      <c r="X12868" s="16" t="str">
        <f>IFERROR(__xludf.DUMMYFUNCTION("""COMPUTED_VALUE"""),"")</f>
        <v/>
      </c>
      <c r="AC12868" s="16" t="str">
        <f>IFERROR(__xludf.DUMMYFUNCTION("""COMPUTED_VALUE"""),"")</f>
        <v/>
      </c>
    </row>
    <row r="12869">
      <c r="A12869" s="16" t="s">
        <v>87</v>
      </c>
      <c r="E12869" s="16" t="str">
        <f>IFERROR(__xludf.DUMMYFUNCTION("""COMPUTED_VALUE"""),"")</f>
        <v/>
      </c>
      <c r="G12869" s="18"/>
      <c r="H12869" s="16" t="s">
        <v>87</v>
      </c>
      <c r="I12869" s="16" t="s">
        <v>87</v>
      </c>
      <c r="J12869" s="19"/>
      <c r="L12869" s="16" t="str">
        <f>IFERROR(__xludf.DUMMYFUNCTION("""COMPUTED_VALUE"""),"")</f>
        <v/>
      </c>
      <c r="M12869" s="16" t="str">
        <f>IFERROR(__xludf.DUMMYFUNCTION("""COMPUTED_VALUE"""),"")</f>
        <v/>
      </c>
      <c r="U12869" s="16" t="s">
        <v>87</v>
      </c>
      <c r="V12869" s="16" t="str">
        <f>IFERROR(__xludf.DUMMYFUNCTION("""COMPUTED_VALUE"""),"")</f>
        <v/>
      </c>
      <c r="W12869" s="16" t="str">
        <f>IFERROR(__xludf.DUMMYFUNCTION("""COMPUTED_VALUE"""),"")</f>
        <v/>
      </c>
      <c r="X12869" s="16" t="str">
        <f>IFERROR(__xludf.DUMMYFUNCTION("""COMPUTED_VALUE"""),"")</f>
        <v/>
      </c>
      <c r="AC12869" s="16" t="str">
        <f>IFERROR(__xludf.DUMMYFUNCTION("""COMPUTED_VALUE"""),"")</f>
        <v/>
      </c>
    </row>
    <row r="12870">
      <c r="A12870" s="16" t="s">
        <v>87</v>
      </c>
      <c r="E12870" s="16" t="str">
        <f>IFERROR(__xludf.DUMMYFUNCTION("""COMPUTED_VALUE"""),"")</f>
        <v/>
      </c>
      <c r="G12870" s="18"/>
      <c r="H12870" s="16" t="s">
        <v>87</v>
      </c>
      <c r="I12870" s="16" t="s">
        <v>87</v>
      </c>
      <c r="J12870" s="19"/>
      <c r="L12870" s="16" t="str">
        <f>IFERROR(__xludf.DUMMYFUNCTION("""COMPUTED_VALUE"""),"")</f>
        <v/>
      </c>
      <c r="M12870" s="16" t="str">
        <f>IFERROR(__xludf.DUMMYFUNCTION("""COMPUTED_VALUE"""),"")</f>
        <v/>
      </c>
      <c r="U12870" s="16" t="s">
        <v>87</v>
      </c>
      <c r="V12870" s="16" t="str">
        <f>IFERROR(__xludf.DUMMYFUNCTION("""COMPUTED_VALUE"""),"")</f>
        <v/>
      </c>
      <c r="W12870" s="16" t="str">
        <f>IFERROR(__xludf.DUMMYFUNCTION("""COMPUTED_VALUE"""),"")</f>
        <v/>
      </c>
      <c r="X12870" s="16" t="str">
        <f>IFERROR(__xludf.DUMMYFUNCTION("""COMPUTED_VALUE"""),"")</f>
        <v/>
      </c>
      <c r="AC12870" s="16" t="str">
        <f>IFERROR(__xludf.DUMMYFUNCTION("""COMPUTED_VALUE"""),"")</f>
        <v/>
      </c>
    </row>
    <row r="12871">
      <c r="A12871" s="16" t="s">
        <v>87</v>
      </c>
      <c r="E12871" s="16" t="str">
        <f>IFERROR(__xludf.DUMMYFUNCTION("""COMPUTED_VALUE"""),"")</f>
        <v/>
      </c>
      <c r="G12871" s="18"/>
      <c r="H12871" s="16" t="s">
        <v>87</v>
      </c>
      <c r="I12871" s="16" t="s">
        <v>87</v>
      </c>
      <c r="J12871" s="19"/>
      <c r="L12871" s="16" t="str">
        <f>IFERROR(__xludf.DUMMYFUNCTION("""COMPUTED_VALUE"""),"")</f>
        <v/>
      </c>
      <c r="M12871" s="16" t="str">
        <f>IFERROR(__xludf.DUMMYFUNCTION("""COMPUTED_VALUE"""),"")</f>
        <v/>
      </c>
      <c r="U12871" s="16" t="s">
        <v>87</v>
      </c>
      <c r="V12871" s="16" t="str">
        <f>IFERROR(__xludf.DUMMYFUNCTION("""COMPUTED_VALUE"""),"")</f>
        <v/>
      </c>
      <c r="W12871" s="16" t="str">
        <f>IFERROR(__xludf.DUMMYFUNCTION("""COMPUTED_VALUE"""),"")</f>
        <v/>
      </c>
      <c r="X12871" s="16" t="str">
        <f>IFERROR(__xludf.DUMMYFUNCTION("""COMPUTED_VALUE"""),"")</f>
        <v/>
      </c>
      <c r="AC12871" s="16" t="str">
        <f>IFERROR(__xludf.DUMMYFUNCTION("""COMPUTED_VALUE"""),"")</f>
        <v/>
      </c>
    </row>
    <row r="12872">
      <c r="A12872" s="16" t="s">
        <v>87</v>
      </c>
      <c r="E12872" s="16" t="str">
        <f>IFERROR(__xludf.DUMMYFUNCTION("""COMPUTED_VALUE"""),"")</f>
        <v/>
      </c>
      <c r="G12872" s="18"/>
      <c r="H12872" s="16" t="s">
        <v>87</v>
      </c>
      <c r="I12872" s="16" t="s">
        <v>87</v>
      </c>
      <c r="J12872" s="19"/>
      <c r="L12872" s="16" t="str">
        <f>IFERROR(__xludf.DUMMYFUNCTION("""COMPUTED_VALUE"""),"")</f>
        <v/>
      </c>
      <c r="M12872" s="16" t="str">
        <f>IFERROR(__xludf.DUMMYFUNCTION("""COMPUTED_VALUE"""),"")</f>
        <v/>
      </c>
      <c r="U12872" s="16" t="s">
        <v>87</v>
      </c>
      <c r="V12872" s="16" t="str">
        <f>IFERROR(__xludf.DUMMYFUNCTION("""COMPUTED_VALUE"""),"")</f>
        <v/>
      </c>
      <c r="W12872" s="16" t="str">
        <f>IFERROR(__xludf.DUMMYFUNCTION("""COMPUTED_VALUE"""),"")</f>
        <v/>
      </c>
      <c r="X12872" s="16" t="str">
        <f>IFERROR(__xludf.DUMMYFUNCTION("""COMPUTED_VALUE"""),"")</f>
        <v/>
      </c>
      <c r="AC12872" s="16" t="str">
        <f>IFERROR(__xludf.DUMMYFUNCTION("""COMPUTED_VALUE"""),"")</f>
        <v/>
      </c>
    </row>
    <row r="12873">
      <c r="A12873" s="16" t="s">
        <v>87</v>
      </c>
      <c r="E12873" s="16" t="str">
        <f>IFERROR(__xludf.DUMMYFUNCTION("""COMPUTED_VALUE"""),"")</f>
        <v/>
      </c>
      <c r="G12873" s="18"/>
      <c r="H12873" s="16" t="s">
        <v>87</v>
      </c>
      <c r="I12873" s="16" t="s">
        <v>87</v>
      </c>
      <c r="J12873" s="19"/>
      <c r="L12873" s="16" t="str">
        <f>IFERROR(__xludf.DUMMYFUNCTION("""COMPUTED_VALUE"""),"")</f>
        <v/>
      </c>
      <c r="M12873" s="16" t="str">
        <f>IFERROR(__xludf.DUMMYFUNCTION("""COMPUTED_VALUE"""),"")</f>
        <v/>
      </c>
      <c r="U12873" s="16" t="s">
        <v>87</v>
      </c>
      <c r="V12873" s="16" t="str">
        <f>IFERROR(__xludf.DUMMYFUNCTION("""COMPUTED_VALUE"""),"")</f>
        <v/>
      </c>
      <c r="W12873" s="16" t="str">
        <f>IFERROR(__xludf.DUMMYFUNCTION("""COMPUTED_VALUE"""),"")</f>
        <v/>
      </c>
      <c r="X12873" s="16" t="str">
        <f>IFERROR(__xludf.DUMMYFUNCTION("""COMPUTED_VALUE"""),"")</f>
        <v/>
      </c>
      <c r="AC12873" s="16" t="str">
        <f>IFERROR(__xludf.DUMMYFUNCTION("""COMPUTED_VALUE"""),"")</f>
        <v/>
      </c>
    </row>
    <row r="12874">
      <c r="A12874" s="16" t="s">
        <v>87</v>
      </c>
      <c r="E12874" s="16" t="str">
        <f>IFERROR(__xludf.DUMMYFUNCTION("""COMPUTED_VALUE"""),"")</f>
        <v/>
      </c>
      <c r="G12874" s="18"/>
      <c r="H12874" s="16" t="s">
        <v>87</v>
      </c>
      <c r="I12874" s="16" t="s">
        <v>87</v>
      </c>
      <c r="J12874" s="19"/>
      <c r="L12874" s="16" t="str">
        <f>IFERROR(__xludf.DUMMYFUNCTION("""COMPUTED_VALUE"""),"")</f>
        <v/>
      </c>
      <c r="M12874" s="16" t="str">
        <f>IFERROR(__xludf.DUMMYFUNCTION("""COMPUTED_VALUE"""),"")</f>
        <v/>
      </c>
      <c r="U12874" s="16" t="s">
        <v>87</v>
      </c>
      <c r="V12874" s="16" t="str">
        <f>IFERROR(__xludf.DUMMYFUNCTION("""COMPUTED_VALUE"""),"")</f>
        <v/>
      </c>
      <c r="W12874" s="16" t="str">
        <f>IFERROR(__xludf.DUMMYFUNCTION("""COMPUTED_VALUE"""),"")</f>
        <v/>
      </c>
      <c r="X12874" s="16" t="str">
        <f>IFERROR(__xludf.DUMMYFUNCTION("""COMPUTED_VALUE"""),"")</f>
        <v/>
      </c>
      <c r="AC12874" s="16" t="str">
        <f>IFERROR(__xludf.DUMMYFUNCTION("""COMPUTED_VALUE"""),"")</f>
        <v/>
      </c>
    </row>
    <row r="12875">
      <c r="A12875" s="16" t="s">
        <v>87</v>
      </c>
      <c r="E12875" s="16" t="str">
        <f>IFERROR(__xludf.DUMMYFUNCTION("""COMPUTED_VALUE"""),"")</f>
        <v/>
      </c>
      <c r="G12875" s="18"/>
      <c r="H12875" s="16" t="s">
        <v>87</v>
      </c>
      <c r="I12875" s="16" t="s">
        <v>87</v>
      </c>
      <c r="J12875" s="19"/>
      <c r="L12875" s="16" t="str">
        <f>IFERROR(__xludf.DUMMYFUNCTION("""COMPUTED_VALUE"""),"")</f>
        <v/>
      </c>
      <c r="M12875" s="16" t="str">
        <f>IFERROR(__xludf.DUMMYFUNCTION("""COMPUTED_VALUE"""),"")</f>
        <v/>
      </c>
      <c r="U12875" s="16" t="s">
        <v>87</v>
      </c>
      <c r="V12875" s="16" t="str">
        <f>IFERROR(__xludf.DUMMYFUNCTION("""COMPUTED_VALUE"""),"")</f>
        <v/>
      </c>
      <c r="W12875" s="16" t="str">
        <f>IFERROR(__xludf.DUMMYFUNCTION("""COMPUTED_VALUE"""),"")</f>
        <v/>
      </c>
      <c r="X12875" s="16" t="str">
        <f>IFERROR(__xludf.DUMMYFUNCTION("""COMPUTED_VALUE"""),"")</f>
        <v/>
      </c>
      <c r="AC12875" s="16" t="str">
        <f>IFERROR(__xludf.DUMMYFUNCTION("""COMPUTED_VALUE"""),"")</f>
        <v/>
      </c>
    </row>
    <row r="12876">
      <c r="A12876" s="16" t="s">
        <v>87</v>
      </c>
      <c r="E12876" s="16" t="str">
        <f>IFERROR(__xludf.DUMMYFUNCTION("""COMPUTED_VALUE"""),"")</f>
        <v/>
      </c>
      <c r="G12876" s="18"/>
      <c r="H12876" s="16" t="s">
        <v>87</v>
      </c>
      <c r="I12876" s="16" t="s">
        <v>87</v>
      </c>
      <c r="J12876" s="19"/>
      <c r="L12876" s="16" t="str">
        <f>IFERROR(__xludf.DUMMYFUNCTION("""COMPUTED_VALUE"""),"")</f>
        <v/>
      </c>
      <c r="M12876" s="16" t="str">
        <f>IFERROR(__xludf.DUMMYFUNCTION("""COMPUTED_VALUE"""),"")</f>
        <v/>
      </c>
      <c r="U12876" s="16" t="s">
        <v>87</v>
      </c>
      <c r="V12876" s="16" t="str">
        <f>IFERROR(__xludf.DUMMYFUNCTION("""COMPUTED_VALUE"""),"")</f>
        <v/>
      </c>
      <c r="W12876" s="16" t="str">
        <f>IFERROR(__xludf.DUMMYFUNCTION("""COMPUTED_VALUE"""),"")</f>
        <v/>
      </c>
      <c r="X12876" s="16" t="str">
        <f>IFERROR(__xludf.DUMMYFUNCTION("""COMPUTED_VALUE"""),"")</f>
        <v/>
      </c>
      <c r="AC12876" s="16" t="str">
        <f>IFERROR(__xludf.DUMMYFUNCTION("""COMPUTED_VALUE"""),"")</f>
        <v/>
      </c>
    </row>
    <row r="12877">
      <c r="A12877" s="16" t="s">
        <v>87</v>
      </c>
      <c r="E12877" s="16" t="str">
        <f>IFERROR(__xludf.DUMMYFUNCTION("""COMPUTED_VALUE"""),"")</f>
        <v/>
      </c>
      <c r="G12877" s="18"/>
      <c r="H12877" s="16" t="s">
        <v>87</v>
      </c>
      <c r="I12877" s="16" t="s">
        <v>87</v>
      </c>
      <c r="J12877" s="19"/>
      <c r="L12877" s="16" t="str">
        <f>IFERROR(__xludf.DUMMYFUNCTION("""COMPUTED_VALUE"""),"")</f>
        <v/>
      </c>
      <c r="M12877" s="16" t="str">
        <f>IFERROR(__xludf.DUMMYFUNCTION("""COMPUTED_VALUE"""),"")</f>
        <v/>
      </c>
      <c r="U12877" s="16" t="s">
        <v>87</v>
      </c>
      <c r="V12877" s="16" t="str">
        <f>IFERROR(__xludf.DUMMYFUNCTION("""COMPUTED_VALUE"""),"")</f>
        <v/>
      </c>
      <c r="W12877" s="16" t="str">
        <f>IFERROR(__xludf.DUMMYFUNCTION("""COMPUTED_VALUE"""),"")</f>
        <v/>
      </c>
      <c r="X12877" s="16" t="str">
        <f>IFERROR(__xludf.DUMMYFUNCTION("""COMPUTED_VALUE"""),"")</f>
        <v/>
      </c>
      <c r="AC12877" s="16" t="str">
        <f>IFERROR(__xludf.DUMMYFUNCTION("""COMPUTED_VALUE"""),"")</f>
        <v/>
      </c>
    </row>
    <row r="12878">
      <c r="A12878" s="16" t="s">
        <v>87</v>
      </c>
      <c r="E12878" s="16" t="str">
        <f>IFERROR(__xludf.DUMMYFUNCTION("""COMPUTED_VALUE"""),"")</f>
        <v/>
      </c>
      <c r="G12878" s="18"/>
      <c r="H12878" s="16" t="s">
        <v>87</v>
      </c>
      <c r="I12878" s="16" t="s">
        <v>87</v>
      </c>
      <c r="J12878" s="19"/>
      <c r="L12878" s="16" t="str">
        <f>IFERROR(__xludf.DUMMYFUNCTION("""COMPUTED_VALUE"""),"")</f>
        <v/>
      </c>
      <c r="M12878" s="16" t="str">
        <f>IFERROR(__xludf.DUMMYFUNCTION("""COMPUTED_VALUE"""),"")</f>
        <v/>
      </c>
      <c r="U12878" s="16" t="s">
        <v>87</v>
      </c>
      <c r="V12878" s="16" t="str">
        <f>IFERROR(__xludf.DUMMYFUNCTION("""COMPUTED_VALUE"""),"")</f>
        <v/>
      </c>
      <c r="W12878" s="16" t="str">
        <f>IFERROR(__xludf.DUMMYFUNCTION("""COMPUTED_VALUE"""),"")</f>
        <v/>
      </c>
      <c r="X12878" s="16" t="str">
        <f>IFERROR(__xludf.DUMMYFUNCTION("""COMPUTED_VALUE"""),"")</f>
        <v/>
      </c>
      <c r="AC12878" s="16" t="str">
        <f>IFERROR(__xludf.DUMMYFUNCTION("""COMPUTED_VALUE"""),"")</f>
        <v/>
      </c>
    </row>
    <row r="12879">
      <c r="A12879" s="16" t="s">
        <v>87</v>
      </c>
      <c r="E12879" s="16" t="str">
        <f>IFERROR(__xludf.DUMMYFUNCTION("""COMPUTED_VALUE"""),"")</f>
        <v/>
      </c>
      <c r="G12879" s="18"/>
      <c r="H12879" s="16" t="s">
        <v>87</v>
      </c>
      <c r="I12879" s="16" t="s">
        <v>87</v>
      </c>
      <c r="J12879" s="19"/>
      <c r="L12879" s="16" t="str">
        <f>IFERROR(__xludf.DUMMYFUNCTION("""COMPUTED_VALUE"""),"")</f>
        <v/>
      </c>
      <c r="M12879" s="16" t="str">
        <f>IFERROR(__xludf.DUMMYFUNCTION("""COMPUTED_VALUE"""),"")</f>
        <v/>
      </c>
      <c r="U12879" s="16" t="s">
        <v>87</v>
      </c>
      <c r="V12879" s="16" t="str">
        <f>IFERROR(__xludf.DUMMYFUNCTION("""COMPUTED_VALUE"""),"")</f>
        <v/>
      </c>
      <c r="W12879" s="16" t="str">
        <f>IFERROR(__xludf.DUMMYFUNCTION("""COMPUTED_VALUE"""),"")</f>
        <v/>
      </c>
      <c r="X12879" s="16" t="str">
        <f>IFERROR(__xludf.DUMMYFUNCTION("""COMPUTED_VALUE"""),"")</f>
        <v/>
      </c>
      <c r="AC12879" s="16" t="str">
        <f>IFERROR(__xludf.DUMMYFUNCTION("""COMPUTED_VALUE"""),"")</f>
        <v/>
      </c>
    </row>
    <row r="12880">
      <c r="A12880" s="16" t="s">
        <v>87</v>
      </c>
      <c r="E12880" s="16" t="str">
        <f>IFERROR(__xludf.DUMMYFUNCTION("""COMPUTED_VALUE"""),"")</f>
        <v/>
      </c>
      <c r="G12880" s="18"/>
      <c r="H12880" s="16" t="s">
        <v>87</v>
      </c>
      <c r="I12880" s="16" t="s">
        <v>87</v>
      </c>
      <c r="J12880" s="19"/>
      <c r="L12880" s="16" t="str">
        <f>IFERROR(__xludf.DUMMYFUNCTION("""COMPUTED_VALUE"""),"")</f>
        <v/>
      </c>
      <c r="M12880" s="16" t="str">
        <f>IFERROR(__xludf.DUMMYFUNCTION("""COMPUTED_VALUE"""),"")</f>
        <v/>
      </c>
      <c r="U12880" s="16" t="s">
        <v>87</v>
      </c>
      <c r="V12880" s="16" t="str">
        <f>IFERROR(__xludf.DUMMYFUNCTION("""COMPUTED_VALUE"""),"")</f>
        <v/>
      </c>
      <c r="W12880" s="16" t="str">
        <f>IFERROR(__xludf.DUMMYFUNCTION("""COMPUTED_VALUE"""),"")</f>
        <v/>
      </c>
      <c r="X12880" s="16" t="str">
        <f>IFERROR(__xludf.DUMMYFUNCTION("""COMPUTED_VALUE"""),"")</f>
        <v/>
      </c>
      <c r="AC12880" s="16" t="str">
        <f>IFERROR(__xludf.DUMMYFUNCTION("""COMPUTED_VALUE"""),"")</f>
        <v/>
      </c>
    </row>
    <row r="12881">
      <c r="A12881" s="16" t="s">
        <v>87</v>
      </c>
      <c r="E12881" s="16" t="str">
        <f>IFERROR(__xludf.DUMMYFUNCTION("""COMPUTED_VALUE"""),"")</f>
        <v/>
      </c>
      <c r="G12881" s="18"/>
      <c r="H12881" s="16" t="s">
        <v>87</v>
      </c>
      <c r="I12881" s="16" t="s">
        <v>87</v>
      </c>
      <c r="J12881" s="19"/>
      <c r="L12881" s="16" t="str">
        <f>IFERROR(__xludf.DUMMYFUNCTION("""COMPUTED_VALUE"""),"")</f>
        <v/>
      </c>
      <c r="M12881" s="16" t="str">
        <f>IFERROR(__xludf.DUMMYFUNCTION("""COMPUTED_VALUE"""),"")</f>
        <v/>
      </c>
      <c r="U12881" s="16" t="s">
        <v>87</v>
      </c>
      <c r="V12881" s="16" t="str">
        <f>IFERROR(__xludf.DUMMYFUNCTION("""COMPUTED_VALUE"""),"")</f>
        <v/>
      </c>
      <c r="W12881" s="16" t="str">
        <f>IFERROR(__xludf.DUMMYFUNCTION("""COMPUTED_VALUE"""),"")</f>
        <v/>
      </c>
      <c r="X12881" s="16" t="str">
        <f>IFERROR(__xludf.DUMMYFUNCTION("""COMPUTED_VALUE"""),"")</f>
        <v/>
      </c>
      <c r="AC12881" s="16" t="str">
        <f>IFERROR(__xludf.DUMMYFUNCTION("""COMPUTED_VALUE"""),"")</f>
        <v/>
      </c>
    </row>
    <row r="12882">
      <c r="A12882" s="16" t="s">
        <v>87</v>
      </c>
      <c r="E12882" s="16" t="str">
        <f>IFERROR(__xludf.DUMMYFUNCTION("""COMPUTED_VALUE"""),"")</f>
        <v/>
      </c>
      <c r="G12882" s="18"/>
      <c r="H12882" s="16" t="s">
        <v>87</v>
      </c>
      <c r="I12882" s="16" t="s">
        <v>87</v>
      </c>
      <c r="J12882" s="19"/>
      <c r="L12882" s="16" t="str">
        <f>IFERROR(__xludf.DUMMYFUNCTION("""COMPUTED_VALUE"""),"")</f>
        <v/>
      </c>
      <c r="M12882" s="16" t="str">
        <f>IFERROR(__xludf.DUMMYFUNCTION("""COMPUTED_VALUE"""),"")</f>
        <v/>
      </c>
      <c r="U12882" s="16" t="s">
        <v>87</v>
      </c>
      <c r="V12882" s="16" t="str">
        <f>IFERROR(__xludf.DUMMYFUNCTION("""COMPUTED_VALUE"""),"")</f>
        <v/>
      </c>
      <c r="W12882" s="16" t="str">
        <f>IFERROR(__xludf.DUMMYFUNCTION("""COMPUTED_VALUE"""),"")</f>
        <v/>
      </c>
      <c r="X12882" s="16" t="str">
        <f>IFERROR(__xludf.DUMMYFUNCTION("""COMPUTED_VALUE"""),"")</f>
        <v/>
      </c>
      <c r="AC12882" s="16" t="str">
        <f>IFERROR(__xludf.DUMMYFUNCTION("""COMPUTED_VALUE"""),"")</f>
        <v/>
      </c>
    </row>
    <row r="12883">
      <c r="A12883" s="16" t="s">
        <v>87</v>
      </c>
      <c r="E12883" s="16" t="str">
        <f>IFERROR(__xludf.DUMMYFUNCTION("""COMPUTED_VALUE"""),"")</f>
        <v/>
      </c>
      <c r="G12883" s="18"/>
      <c r="H12883" s="16" t="s">
        <v>87</v>
      </c>
      <c r="I12883" s="16" t="s">
        <v>87</v>
      </c>
      <c r="J12883" s="19"/>
      <c r="L12883" s="16" t="str">
        <f>IFERROR(__xludf.DUMMYFUNCTION("""COMPUTED_VALUE"""),"")</f>
        <v/>
      </c>
      <c r="M12883" s="16" t="str">
        <f>IFERROR(__xludf.DUMMYFUNCTION("""COMPUTED_VALUE"""),"")</f>
        <v/>
      </c>
      <c r="U12883" s="16" t="s">
        <v>87</v>
      </c>
      <c r="V12883" s="16" t="str">
        <f>IFERROR(__xludf.DUMMYFUNCTION("""COMPUTED_VALUE"""),"")</f>
        <v/>
      </c>
      <c r="W12883" s="16" t="str">
        <f>IFERROR(__xludf.DUMMYFUNCTION("""COMPUTED_VALUE"""),"")</f>
        <v/>
      </c>
      <c r="X12883" s="16" t="str">
        <f>IFERROR(__xludf.DUMMYFUNCTION("""COMPUTED_VALUE"""),"")</f>
        <v/>
      </c>
      <c r="AC12883" s="16" t="str">
        <f>IFERROR(__xludf.DUMMYFUNCTION("""COMPUTED_VALUE"""),"")</f>
        <v/>
      </c>
    </row>
    <row r="12884">
      <c r="A12884" s="16" t="s">
        <v>87</v>
      </c>
      <c r="E12884" s="16" t="str">
        <f>IFERROR(__xludf.DUMMYFUNCTION("""COMPUTED_VALUE"""),"")</f>
        <v/>
      </c>
      <c r="G12884" s="18"/>
      <c r="H12884" s="16" t="s">
        <v>87</v>
      </c>
      <c r="I12884" s="16" t="s">
        <v>87</v>
      </c>
      <c r="J12884" s="19"/>
      <c r="L12884" s="16" t="str">
        <f>IFERROR(__xludf.DUMMYFUNCTION("""COMPUTED_VALUE"""),"")</f>
        <v/>
      </c>
      <c r="M12884" s="16" t="str">
        <f>IFERROR(__xludf.DUMMYFUNCTION("""COMPUTED_VALUE"""),"")</f>
        <v/>
      </c>
      <c r="U12884" s="16" t="s">
        <v>87</v>
      </c>
      <c r="V12884" s="16" t="str">
        <f>IFERROR(__xludf.DUMMYFUNCTION("""COMPUTED_VALUE"""),"")</f>
        <v/>
      </c>
      <c r="W12884" s="16" t="str">
        <f>IFERROR(__xludf.DUMMYFUNCTION("""COMPUTED_VALUE"""),"")</f>
        <v/>
      </c>
      <c r="X12884" s="16" t="str">
        <f>IFERROR(__xludf.DUMMYFUNCTION("""COMPUTED_VALUE"""),"")</f>
        <v/>
      </c>
      <c r="AC12884" s="16" t="str">
        <f>IFERROR(__xludf.DUMMYFUNCTION("""COMPUTED_VALUE"""),"")</f>
        <v/>
      </c>
    </row>
    <row r="12885">
      <c r="A12885" s="16" t="s">
        <v>87</v>
      </c>
      <c r="E12885" s="16" t="str">
        <f>IFERROR(__xludf.DUMMYFUNCTION("""COMPUTED_VALUE"""),"")</f>
        <v/>
      </c>
      <c r="G12885" s="18"/>
      <c r="H12885" s="16" t="s">
        <v>87</v>
      </c>
      <c r="I12885" s="16" t="s">
        <v>87</v>
      </c>
      <c r="J12885" s="19"/>
      <c r="L12885" s="16" t="str">
        <f>IFERROR(__xludf.DUMMYFUNCTION("""COMPUTED_VALUE"""),"")</f>
        <v/>
      </c>
      <c r="M12885" s="16" t="str">
        <f>IFERROR(__xludf.DUMMYFUNCTION("""COMPUTED_VALUE"""),"")</f>
        <v/>
      </c>
      <c r="U12885" s="16" t="s">
        <v>87</v>
      </c>
      <c r="V12885" s="16" t="str">
        <f>IFERROR(__xludf.DUMMYFUNCTION("""COMPUTED_VALUE"""),"")</f>
        <v/>
      </c>
      <c r="W12885" s="16" t="str">
        <f>IFERROR(__xludf.DUMMYFUNCTION("""COMPUTED_VALUE"""),"")</f>
        <v/>
      </c>
      <c r="X12885" s="16" t="str">
        <f>IFERROR(__xludf.DUMMYFUNCTION("""COMPUTED_VALUE"""),"")</f>
        <v/>
      </c>
      <c r="AC12885" s="16" t="str">
        <f>IFERROR(__xludf.DUMMYFUNCTION("""COMPUTED_VALUE"""),"")</f>
        <v/>
      </c>
    </row>
    <row r="12886">
      <c r="A12886" s="16" t="s">
        <v>87</v>
      </c>
      <c r="E12886" s="16" t="str">
        <f>IFERROR(__xludf.DUMMYFUNCTION("""COMPUTED_VALUE"""),"")</f>
        <v/>
      </c>
      <c r="G12886" s="18"/>
      <c r="H12886" s="16" t="s">
        <v>87</v>
      </c>
      <c r="I12886" s="16" t="s">
        <v>87</v>
      </c>
      <c r="J12886" s="19"/>
      <c r="L12886" s="16" t="str">
        <f>IFERROR(__xludf.DUMMYFUNCTION("""COMPUTED_VALUE"""),"")</f>
        <v/>
      </c>
      <c r="M12886" s="16" t="str">
        <f>IFERROR(__xludf.DUMMYFUNCTION("""COMPUTED_VALUE"""),"")</f>
        <v/>
      </c>
      <c r="U12886" s="16" t="s">
        <v>87</v>
      </c>
      <c r="V12886" s="16" t="str">
        <f>IFERROR(__xludf.DUMMYFUNCTION("""COMPUTED_VALUE"""),"")</f>
        <v/>
      </c>
      <c r="W12886" s="16" t="str">
        <f>IFERROR(__xludf.DUMMYFUNCTION("""COMPUTED_VALUE"""),"")</f>
        <v/>
      </c>
      <c r="X12886" s="16" t="str">
        <f>IFERROR(__xludf.DUMMYFUNCTION("""COMPUTED_VALUE"""),"")</f>
        <v/>
      </c>
      <c r="AC12886" s="16" t="str">
        <f>IFERROR(__xludf.DUMMYFUNCTION("""COMPUTED_VALUE"""),"")</f>
        <v/>
      </c>
    </row>
    <row r="12887">
      <c r="A12887" s="16" t="s">
        <v>87</v>
      </c>
      <c r="E12887" s="16" t="str">
        <f>IFERROR(__xludf.DUMMYFUNCTION("""COMPUTED_VALUE"""),"")</f>
        <v/>
      </c>
      <c r="G12887" s="18"/>
      <c r="H12887" s="16" t="s">
        <v>87</v>
      </c>
      <c r="I12887" s="16" t="s">
        <v>87</v>
      </c>
      <c r="J12887" s="19"/>
      <c r="L12887" s="16" t="str">
        <f>IFERROR(__xludf.DUMMYFUNCTION("""COMPUTED_VALUE"""),"")</f>
        <v/>
      </c>
      <c r="M12887" s="16" t="str">
        <f>IFERROR(__xludf.DUMMYFUNCTION("""COMPUTED_VALUE"""),"")</f>
        <v/>
      </c>
      <c r="U12887" s="16" t="s">
        <v>87</v>
      </c>
      <c r="V12887" s="16" t="str">
        <f>IFERROR(__xludf.DUMMYFUNCTION("""COMPUTED_VALUE"""),"")</f>
        <v/>
      </c>
      <c r="W12887" s="16" t="str">
        <f>IFERROR(__xludf.DUMMYFUNCTION("""COMPUTED_VALUE"""),"")</f>
        <v/>
      </c>
      <c r="X12887" s="16" t="str">
        <f>IFERROR(__xludf.DUMMYFUNCTION("""COMPUTED_VALUE"""),"")</f>
        <v/>
      </c>
      <c r="AC12887" s="16" t="str">
        <f>IFERROR(__xludf.DUMMYFUNCTION("""COMPUTED_VALUE"""),"")</f>
        <v/>
      </c>
    </row>
    <row r="12888">
      <c r="A12888" s="16" t="s">
        <v>87</v>
      </c>
      <c r="E12888" s="16" t="str">
        <f>IFERROR(__xludf.DUMMYFUNCTION("""COMPUTED_VALUE"""),"")</f>
        <v/>
      </c>
      <c r="G12888" s="18"/>
      <c r="H12888" s="16" t="s">
        <v>87</v>
      </c>
      <c r="I12888" s="16" t="s">
        <v>87</v>
      </c>
      <c r="J12888" s="19"/>
      <c r="L12888" s="16" t="str">
        <f>IFERROR(__xludf.DUMMYFUNCTION("""COMPUTED_VALUE"""),"")</f>
        <v/>
      </c>
      <c r="M12888" s="16" t="str">
        <f>IFERROR(__xludf.DUMMYFUNCTION("""COMPUTED_VALUE"""),"")</f>
        <v/>
      </c>
      <c r="U12888" s="16" t="s">
        <v>87</v>
      </c>
      <c r="V12888" s="16" t="str">
        <f>IFERROR(__xludf.DUMMYFUNCTION("""COMPUTED_VALUE"""),"")</f>
        <v/>
      </c>
      <c r="W12888" s="16" t="str">
        <f>IFERROR(__xludf.DUMMYFUNCTION("""COMPUTED_VALUE"""),"")</f>
        <v/>
      </c>
      <c r="X12888" s="16" t="str">
        <f>IFERROR(__xludf.DUMMYFUNCTION("""COMPUTED_VALUE"""),"")</f>
        <v/>
      </c>
      <c r="AC12888" s="16" t="str">
        <f>IFERROR(__xludf.DUMMYFUNCTION("""COMPUTED_VALUE"""),"")</f>
        <v/>
      </c>
    </row>
    <row r="12889">
      <c r="A12889" s="16" t="s">
        <v>87</v>
      </c>
      <c r="E12889" s="16" t="str">
        <f>IFERROR(__xludf.DUMMYFUNCTION("""COMPUTED_VALUE"""),"")</f>
        <v/>
      </c>
      <c r="G12889" s="18"/>
      <c r="H12889" s="16" t="s">
        <v>87</v>
      </c>
      <c r="I12889" s="16" t="s">
        <v>87</v>
      </c>
      <c r="J12889" s="19"/>
      <c r="L12889" s="16" t="str">
        <f>IFERROR(__xludf.DUMMYFUNCTION("""COMPUTED_VALUE"""),"")</f>
        <v/>
      </c>
      <c r="M12889" s="16" t="str">
        <f>IFERROR(__xludf.DUMMYFUNCTION("""COMPUTED_VALUE"""),"")</f>
        <v/>
      </c>
      <c r="U12889" s="16" t="s">
        <v>87</v>
      </c>
      <c r="V12889" s="16" t="str">
        <f>IFERROR(__xludf.DUMMYFUNCTION("""COMPUTED_VALUE"""),"")</f>
        <v/>
      </c>
      <c r="W12889" s="16" t="str">
        <f>IFERROR(__xludf.DUMMYFUNCTION("""COMPUTED_VALUE"""),"")</f>
        <v/>
      </c>
      <c r="X12889" s="16" t="str">
        <f>IFERROR(__xludf.DUMMYFUNCTION("""COMPUTED_VALUE"""),"")</f>
        <v/>
      </c>
      <c r="AC12889" s="16" t="str">
        <f>IFERROR(__xludf.DUMMYFUNCTION("""COMPUTED_VALUE"""),"")</f>
        <v/>
      </c>
    </row>
    <row r="12890">
      <c r="A12890" s="16" t="s">
        <v>87</v>
      </c>
      <c r="E12890" s="16" t="str">
        <f>IFERROR(__xludf.DUMMYFUNCTION("""COMPUTED_VALUE"""),"")</f>
        <v/>
      </c>
      <c r="G12890" s="18"/>
      <c r="H12890" s="16" t="s">
        <v>87</v>
      </c>
      <c r="I12890" s="16" t="s">
        <v>87</v>
      </c>
      <c r="J12890" s="19"/>
      <c r="L12890" s="16" t="str">
        <f>IFERROR(__xludf.DUMMYFUNCTION("""COMPUTED_VALUE"""),"")</f>
        <v/>
      </c>
      <c r="M12890" s="16" t="str">
        <f>IFERROR(__xludf.DUMMYFUNCTION("""COMPUTED_VALUE"""),"")</f>
        <v/>
      </c>
      <c r="U12890" s="16" t="s">
        <v>87</v>
      </c>
      <c r="V12890" s="16" t="str">
        <f>IFERROR(__xludf.DUMMYFUNCTION("""COMPUTED_VALUE"""),"")</f>
        <v/>
      </c>
      <c r="W12890" s="16" t="str">
        <f>IFERROR(__xludf.DUMMYFUNCTION("""COMPUTED_VALUE"""),"")</f>
        <v/>
      </c>
      <c r="X12890" s="16" t="str">
        <f>IFERROR(__xludf.DUMMYFUNCTION("""COMPUTED_VALUE"""),"")</f>
        <v/>
      </c>
      <c r="AC12890" s="16" t="str">
        <f>IFERROR(__xludf.DUMMYFUNCTION("""COMPUTED_VALUE"""),"")</f>
        <v/>
      </c>
    </row>
    <row r="12891">
      <c r="A12891" s="16" t="s">
        <v>87</v>
      </c>
      <c r="E12891" s="16" t="str">
        <f>IFERROR(__xludf.DUMMYFUNCTION("""COMPUTED_VALUE"""),"")</f>
        <v/>
      </c>
      <c r="G12891" s="18"/>
      <c r="H12891" s="16" t="s">
        <v>87</v>
      </c>
      <c r="I12891" s="16" t="s">
        <v>87</v>
      </c>
      <c r="J12891" s="19"/>
      <c r="L12891" s="16" t="str">
        <f>IFERROR(__xludf.DUMMYFUNCTION("""COMPUTED_VALUE"""),"")</f>
        <v/>
      </c>
      <c r="M12891" s="16" t="str">
        <f>IFERROR(__xludf.DUMMYFUNCTION("""COMPUTED_VALUE"""),"")</f>
        <v/>
      </c>
      <c r="U12891" s="16" t="s">
        <v>87</v>
      </c>
      <c r="V12891" s="16" t="str">
        <f>IFERROR(__xludf.DUMMYFUNCTION("""COMPUTED_VALUE"""),"")</f>
        <v/>
      </c>
      <c r="W12891" s="16" t="str">
        <f>IFERROR(__xludf.DUMMYFUNCTION("""COMPUTED_VALUE"""),"")</f>
        <v/>
      </c>
      <c r="X12891" s="16" t="str">
        <f>IFERROR(__xludf.DUMMYFUNCTION("""COMPUTED_VALUE"""),"")</f>
        <v/>
      </c>
      <c r="AC12891" s="16" t="str">
        <f>IFERROR(__xludf.DUMMYFUNCTION("""COMPUTED_VALUE"""),"")</f>
        <v/>
      </c>
    </row>
    <row r="12892">
      <c r="A12892" s="16" t="s">
        <v>87</v>
      </c>
      <c r="E12892" s="16" t="str">
        <f>IFERROR(__xludf.DUMMYFUNCTION("""COMPUTED_VALUE"""),"")</f>
        <v/>
      </c>
      <c r="G12892" s="18"/>
      <c r="H12892" s="16" t="s">
        <v>87</v>
      </c>
      <c r="I12892" s="16" t="s">
        <v>87</v>
      </c>
      <c r="J12892" s="19"/>
      <c r="L12892" s="16" t="str">
        <f>IFERROR(__xludf.DUMMYFUNCTION("""COMPUTED_VALUE"""),"")</f>
        <v/>
      </c>
      <c r="M12892" s="16" t="str">
        <f>IFERROR(__xludf.DUMMYFUNCTION("""COMPUTED_VALUE"""),"")</f>
        <v/>
      </c>
      <c r="U12892" s="16" t="s">
        <v>87</v>
      </c>
      <c r="V12892" s="16" t="str">
        <f>IFERROR(__xludf.DUMMYFUNCTION("""COMPUTED_VALUE"""),"")</f>
        <v/>
      </c>
      <c r="W12892" s="16" t="str">
        <f>IFERROR(__xludf.DUMMYFUNCTION("""COMPUTED_VALUE"""),"")</f>
        <v/>
      </c>
      <c r="X12892" s="16" t="str">
        <f>IFERROR(__xludf.DUMMYFUNCTION("""COMPUTED_VALUE"""),"")</f>
        <v/>
      </c>
      <c r="AC12892" s="16" t="str">
        <f>IFERROR(__xludf.DUMMYFUNCTION("""COMPUTED_VALUE"""),"")</f>
        <v/>
      </c>
    </row>
    <row r="12893">
      <c r="A12893" s="16" t="s">
        <v>87</v>
      </c>
      <c r="E12893" s="16" t="str">
        <f>IFERROR(__xludf.DUMMYFUNCTION("""COMPUTED_VALUE"""),"")</f>
        <v/>
      </c>
      <c r="G12893" s="18"/>
      <c r="H12893" s="16" t="s">
        <v>87</v>
      </c>
      <c r="I12893" s="16" t="s">
        <v>87</v>
      </c>
      <c r="J12893" s="19"/>
      <c r="L12893" s="16" t="str">
        <f>IFERROR(__xludf.DUMMYFUNCTION("""COMPUTED_VALUE"""),"")</f>
        <v/>
      </c>
      <c r="M12893" s="16" t="str">
        <f>IFERROR(__xludf.DUMMYFUNCTION("""COMPUTED_VALUE"""),"")</f>
        <v/>
      </c>
      <c r="U12893" s="16" t="s">
        <v>87</v>
      </c>
      <c r="V12893" s="16" t="str">
        <f>IFERROR(__xludf.DUMMYFUNCTION("""COMPUTED_VALUE"""),"")</f>
        <v/>
      </c>
      <c r="W12893" s="16" t="str">
        <f>IFERROR(__xludf.DUMMYFUNCTION("""COMPUTED_VALUE"""),"")</f>
        <v/>
      </c>
      <c r="X12893" s="16" t="str">
        <f>IFERROR(__xludf.DUMMYFUNCTION("""COMPUTED_VALUE"""),"")</f>
        <v/>
      </c>
      <c r="AC12893" s="16" t="str">
        <f>IFERROR(__xludf.DUMMYFUNCTION("""COMPUTED_VALUE"""),"")</f>
        <v/>
      </c>
    </row>
    <row r="12894">
      <c r="A12894" s="16" t="s">
        <v>87</v>
      </c>
      <c r="E12894" s="16" t="str">
        <f>IFERROR(__xludf.DUMMYFUNCTION("""COMPUTED_VALUE"""),"")</f>
        <v/>
      </c>
      <c r="G12894" s="18"/>
      <c r="H12894" s="16" t="s">
        <v>87</v>
      </c>
      <c r="I12894" s="16" t="s">
        <v>87</v>
      </c>
      <c r="J12894" s="19"/>
      <c r="L12894" s="16" t="str">
        <f>IFERROR(__xludf.DUMMYFUNCTION("""COMPUTED_VALUE"""),"")</f>
        <v/>
      </c>
      <c r="M12894" s="16" t="str">
        <f>IFERROR(__xludf.DUMMYFUNCTION("""COMPUTED_VALUE"""),"")</f>
        <v/>
      </c>
      <c r="U12894" s="16" t="s">
        <v>87</v>
      </c>
      <c r="V12894" s="16" t="str">
        <f>IFERROR(__xludf.DUMMYFUNCTION("""COMPUTED_VALUE"""),"")</f>
        <v/>
      </c>
      <c r="W12894" s="16" t="str">
        <f>IFERROR(__xludf.DUMMYFUNCTION("""COMPUTED_VALUE"""),"")</f>
        <v/>
      </c>
      <c r="X12894" s="16" t="str">
        <f>IFERROR(__xludf.DUMMYFUNCTION("""COMPUTED_VALUE"""),"")</f>
        <v/>
      </c>
      <c r="AC12894" s="16" t="str">
        <f>IFERROR(__xludf.DUMMYFUNCTION("""COMPUTED_VALUE"""),"")</f>
        <v/>
      </c>
    </row>
    <row r="12895">
      <c r="A12895" s="16" t="s">
        <v>87</v>
      </c>
      <c r="E12895" s="16" t="str">
        <f>IFERROR(__xludf.DUMMYFUNCTION("""COMPUTED_VALUE"""),"")</f>
        <v/>
      </c>
      <c r="G12895" s="18"/>
      <c r="H12895" s="16" t="s">
        <v>87</v>
      </c>
      <c r="I12895" s="16" t="s">
        <v>87</v>
      </c>
      <c r="J12895" s="19"/>
      <c r="L12895" s="16" t="str">
        <f>IFERROR(__xludf.DUMMYFUNCTION("""COMPUTED_VALUE"""),"")</f>
        <v/>
      </c>
      <c r="M12895" s="16" t="str">
        <f>IFERROR(__xludf.DUMMYFUNCTION("""COMPUTED_VALUE"""),"")</f>
        <v/>
      </c>
      <c r="U12895" s="16" t="s">
        <v>87</v>
      </c>
      <c r="V12895" s="16" t="str">
        <f>IFERROR(__xludf.DUMMYFUNCTION("""COMPUTED_VALUE"""),"")</f>
        <v/>
      </c>
      <c r="W12895" s="16" t="str">
        <f>IFERROR(__xludf.DUMMYFUNCTION("""COMPUTED_VALUE"""),"")</f>
        <v/>
      </c>
      <c r="X12895" s="16" t="str">
        <f>IFERROR(__xludf.DUMMYFUNCTION("""COMPUTED_VALUE"""),"")</f>
        <v/>
      </c>
      <c r="AC12895" s="16" t="str">
        <f>IFERROR(__xludf.DUMMYFUNCTION("""COMPUTED_VALUE"""),"")</f>
        <v/>
      </c>
    </row>
    <row r="12896">
      <c r="A12896" s="16" t="s">
        <v>87</v>
      </c>
      <c r="E12896" s="16" t="str">
        <f>IFERROR(__xludf.DUMMYFUNCTION("""COMPUTED_VALUE"""),"")</f>
        <v/>
      </c>
      <c r="G12896" s="18"/>
      <c r="H12896" s="16" t="s">
        <v>87</v>
      </c>
      <c r="I12896" s="16" t="s">
        <v>87</v>
      </c>
      <c r="J12896" s="19"/>
      <c r="L12896" s="16" t="str">
        <f>IFERROR(__xludf.DUMMYFUNCTION("""COMPUTED_VALUE"""),"")</f>
        <v/>
      </c>
      <c r="M12896" s="16" t="str">
        <f>IFERROR(__xludf.DUMMYFUNCTION("""COMPUTED_VALUE"""),"")</f>
        <v/>
      </c>
      <c r="U12896" s="16" t="s">
        <v>87</v>
      </c>
      <c r="V12896" s="16" t="str">
        <f>IFERROR(__xludf.DUMMYFUNCTION("""COMPUTED_VALUE"""),"")</f>
        <v/>
      </c>
      <c r="W12896" s="16" t="str">
        <f>IFERROR(__xludf.DUMMYFUNCTION("""COMPUTED_VALUE"""),"")</f>
        <v/>
      </c>
      <c r="X12896" s="16" t="str">
        <f>IFERROR(__xludf.DUMMYFUNCTION("""COMPUTED_VALUE"""),"")</f>
        <v/>
      </c>
      <c r="AC12896" s="16" t="str">
        <f>IFERROR(__xludf.DUMMYFUNCTION("""COMPUTED_VALUE"""),"")</f>
        <v/>
      </c>
    </row>
    <row r="12897">
      <c r="A12897" s="16" t="s">
        <v>87</v>
      </c>
      <c r="E12897" s="16" t="str">
        <f>IFERROR(__xludf.DUMMYFUNCTION("""COMPUTED_VALUE"""),"")</f>
        <v/>
      </c>
      <c r="G12897" s="18"/>
      <c r="H12897" s="16" t="s">
        <v>87</v>
      </c>
      <c r="I12897" s="16" t="s">
        <v>87</v>
      </c>
      <c r="J12897" s="19"/>
      <c r="L12897" s="16" t="str">
        <f>IFERROR(__xludf.DUMMYFUNCTION("""COMPUTED_VALUE"""),"")</f>
        <v/>
      </c>
      <c r="M12897" s="16" t="str">
        <f>IFERROR(__xludf.DUMMYFUNCTION("""COMPUTED_VALUE"""),"")</f>
        <v/>
      </c>
      <c r="U12897" s="16" t="s">
        <v>87</v>
      </c>
      <c r="V12897" s="16" t="str">
        <f>IFERROR(__xludf.DUMMYFUNCTION("""COMPUTED_VALUE"""),"")</f>
        <v/>
      </c>
      <c r="W12897" s="16" t="str">
        <f>IFERROR(__xludf.DUMMYFUNCTION("""COMPUTED_VALUE"""),"")</f>
        <v/>
      </c>
      <c r="X12897" s="16" t="str">
        <f>IFERROR(__xludf.DUMMYFUNCTION("""COMPUTED_VALUE"""),"")</f>
        <v/>
      </c>
      <c r="AC12897" s="16" t="str">
        <f>IFERROR(__xludf.DUMMYFUNCTION("""COMPUTED_VALUE"""),"")</f>
        <v/>
      </c>
    </row>
    <row r="12898">
      <c r="A12898" s="16" t="s">
        <v>87</v>
      </c>
      <c r="E12898" s="16" t="str">
        <f>IFERROR(__xludf.DUMMYFUNCTION("""COMPUTED_VALUE"""),"")</f>
        <v/>
      </c>
      <c r="G12898" s="18"/>
      <c r="H12898" s="16" t="s">
        <v>87</v>
      </c>
      <c r="I12898" s="16" t="s">
        <v>87</v>
      </c>
      <c r="J12898" s="19"/>
      <c r="L12898" s="16" t="str">
        <f>IFERROR(__xludf.DUMMYFUNCTION("""COMPUTED_VALUE"""),"")</f>
        <v/>
      </c>
      <c r="M12898" s="16" t="str">
        <f>IFERROR(__xludf.DUMMYFUNCTION("""COMPUTED_VALUE"""),"")</f>
        <v/>
      </c>
      <c r="U12898" s="16" t="s">
        <v>87</v>
      </c>
      <c r="V12898" s="16" t="str">
        <f>IFERROR(__xludf.DUMMYFUNCTION("""COMPUTED_VALUE"""),"")</f>
        <v/>
      </c>
      <c r="W12898" s="16" t="str">
        <f>IFERROR(__xludf.DUMMYFUNCTION("""COMPUTED_VALUE"""),"")</f>
        <v/>
      </c>
      <c r="X12898" s="16" t="str">
        <f>IFERROR(__xludf.DUMMYFUNCTION("""COMPUTED_VALUE"""),"")</f>
        <v/>
      </c>
      <c r="AC12898" s="16" t="str">
        <f>IFERROR(__xludf.DUMMYFUNCTION("""COMPUTED_VALUE"""),"")</f>
        <v/>
      </c>
    </row>
    <row r="12899">
      <c r="A12899" s="16" t="s">
        <v>87</v>
      </c>
      <c r="E12899" s="16" t="str">
        <f>IFERROR(__xludf.DUMMYFUNCTION("""COMPUTED_VALUE"""),"")</f>
        <v/>
      </c>
      <c r="G12899" s="18"/>
      <c r="H12899" s="16" t="s">
        <v>87</v>
      </c>
      <c r="I12899" s="16" t="s">
        <v>87</v>
      </c>
      <c r="J12899" s="19"/>
      <c r="L12899" s="16" t="str">
        <f>IFERROR(__xludf.DUMMYFUNCTION("""COMPUTED_VALUE"""),"")</f>
        <v/>
      </c>
      <c r="M12899" s="16" t="str">
        <f>IFERROR(__xludf.DUMMYFUNCTION("""COMPUTED_VALUE"""),"")</f>
        <v/>
      </c>
      <c r="U12899" s="16" t="s">
        <v>87</v>
      </c>
      <c r="V12899" s="16" t="str">
        <f>IFERROR(__xludf.DUMMYFUNCTION("""COMPUTED_VALUE"""),"")</f>
        <v/>
      </c>
      <c r="W12899" s="16" t="str">
        <f>IFERROR(__xludf.DUMMYFUNCTION("""COMPUTED_VALUE"""),"")</f>
        <v/>
      </c>
      <c r="X12899" s="16" t="str">
        <f>IFERROR(__xludf.DUMMYFUNCTION("""COMPUTED_VALUE"""),"")</f>
        <v/>
      </c>
      <c r="AC12899" s="16" t="str">
        <f>IFERROR(__xludf.DUMMYFUNCTION("""COMPUTED_VALUE"""),"")</f>
        <v/>
      </c>
    </row>
    <row r="12900">
      <c r="A12900" s="16" t="s">
        <v>87</v>
      </c>
      <c r="E12900" s="16" t="str">
        <f>IFERROR(__xludf.DUMMYFUNCTION("""COMPUTED_VALUE"""),"")</f>
        <v/>
      </c>
      <c r="G12900" s="18"/>
      <c r="H12900" s="16" t="s">
        <v>87</v>
      </c>
      <c r="I12900" s="16" t="s">
        <v>87</v>
      </c>
      <c r="J12900" s="19"/>
      <c r="L12900" s="16" t="str">
        <f>IFERROR(__xludf.DUMMYFUNCTION("""COMPUTED_VALUE"""),"")</f>
        <v/>
      </c>
      <c r="M12900" s="16" t="str">
        <f>IFERROR(__xludf.DUMMYFUNCTION("""COMPUTED_VALUE"""),"")</f>
        <v/>
      </c>
      <c r="U12900" s="16" t="s">
        <v>87</v>
      </c>
      <c r="V12900" s="16" t="str">
        <f>IFERROR(__xludf.DUMMYFUNCTION("""COMPUTED_VALUE"""),"")</f>
        <v/>
      </c>
      <c r="W12900" s="16" t="str">
        <f>IFERROR(__xludf.DUMMYFUNCTION("""COMPUTED_VALUE"""),"")</f>
        <v/>
      </c>
      <c r="X12900" s="16" t="str">
        <f>IFERROR(__xludf.DUMMYFUNCTION("""COMPUTED_VALUE"""),"")</f>
        <v/>
      </c>
      <c r="AC12900" s="16" t="str">
        <f>IFERROR(__xludf.DUMMYFUNCTION("""COMPUTED_VALUE"""),"")</f>
        <v/>
      </c>
    </row>
    <row r="12901">
      <c r="A12901" s="16" t="s">
        <v>87</v>
      </c>
      <c r="E12901" s="16" t="str">
        <f>IFERROR(__xludf.DUMMYFUNCTION("""COMPUTED_VALUE"""),"")</f>
        <v/>
      </c>
      <c r="G12901" s="18"/>
      <c r="H12901" s="16" t="s">
        <v>87</v>
      </c>
      <c r="I12901" s="16" t="s">
        <v>87</v>
      </c>
      <c r="J12901" s="19"/>
      <c r="L12901" s="16" t="str">
        <f>IFERROR(__xludf.DUMMYFUNCTION("""COMPUTED_VALUE"""),"")</f>
        <v/>
      </c>
      <c r="M12901" s="16" t="str">
        <f>IFERROR(__xludf.DUMMYFUNCTION("""COMPUTED_VALUE"""),"")</f>
        <v/>
      </c>
      <c r="U12901" s="16" t="s">
        <v>87</v>
      </c>
      <c r="V12901" s="16" t="str">
        <f>IFERROR(__xludf.DUMMYFUNCTION("""COMPUTED_VALUE"""),"")</f>
        <v/>
      </c>
      <c r="W12901" s="16" t="str">
        <f>IFERROR(__xludf.DUMMYFUNCTION("""COMPUTED_VALUE"""),"")</f>
        <v/>
      </c>
      <c r="X12901" s="16" t="str">
        <f>IFERROR(__xludf.DUMMYFUNCTION("""COMPUTED_VALUE"""),"")</f>
        <v/>
      </c>
      <c r="AC12901" s="16" t="str">
        <f>IFERROR(__xludf.DUMMYFUNCTION("""COMPUTED_VALUE"""),"")</f>
        <v/>
      </c>
    </row>
    <row r="12902">
      <c r="A12902" s="16" t="s">
        <v>87</v>
      </c>
      <c r="E12902" s="16" t="str">
        <f>IFERROR(__xludf.DUMMYFUNCTION("""COMPUTED_VALUE"""),"")</f>
        <v/>
      </c>
      <c r="G12902" s="18"/>
      <c r="H12902" s="16" t="s">
        <v>87</v>
      </c>
      <c r="I12902" s="16" t="s">
        <v>87</v>
      </c>
      <c r="J12902" s="19"/>
      <c r="L12902" s="16" t="str">
        <f>IFERROR(__xludf.DUMMYFUNCTION("""COMPUTED_VALUE"""),"")</f>
        <v/>
      </c>
      <c r="M12902" s="16" t="str">
        <f>IFERROR(__xludf.DUMMYFUNCTION("""COMPUTED_VALUE"""),"")</f>
        <v/>
      </c>
      <c r="U12902" s="16" t="s">
        <v>87</v>
      </c>
      <c r="V12902" s="16" t="str">
        <f>IFERROR(__xludf.DUMMYFUNCTION("""COMPUTED_VALUE"""),"")</f>
        <v/>
      </c>
      <c r="W12902" s="16" t="str">
        <f>IFERROR(__xludf.DUMMYFUNCTION("""COMPUTED_VALUE"""),"")</f>
        <v/>
      </c>
      <c r="X12902" s="16" t="str">
        <f>IFERROR(__xludf.DUMMYFUNCTION("""COMPUTED_VALUE"""),"")</f>
        <v/>
      </c>
      <c r="AC12902" s="16" t="str">
        <f>IFERROR(__xludf.DUMMYFUNCTION("""COMPUTED_VALUE"""),"")</f>
        <v/>
      </c>
    </row>
    <row r="12903">
      <c r="A12903" s="16" t="s">
        <v>87</v>
      </c>
      <c r="E12903" s="16" t="str">
        <f>IFERROR(__xludf.DUMMYFUNCTION("""COMPUTED_VALUE"""),"")</f>
        <v/>
      </c>
      <c r="G12903" s="18"/>
      <c r="H12903" s="16" t="s">
        <v>87</v>
      </c>
      <c r="I12903" s="16" t="s">
        <v>87</v>
      </c>
      <c r="J12903" s="19"/>
      <c r="L12903" s="16" t="str">
        <f>IFERROR(__xludf.DUMMYFUNCTION("""COMPUTED_VALUE"""),"")</f>
        <v/>
      </c>
      <c r="M12903" s="16" t="str">
        <f>IFERROR(__xludf.DUMMYFUNCTION("""COMPUTED_VALUE"""),"")</f>
        <v/>
      </c>
      <c r="U12903" s="16" t="s">
        <v>87</v>
      </c>
      <c r="V12903" s="16" t="str">
        <f>IFERROR(__xludf.DUMMYFUNCTION("""COMPUTED_VALUE"""),"")</f>
        <v/>
      </c>
      <c r="W12903" s="16" t="str">
        <f>IFERROR(__xludf.DUMMYFUNCTION("""COMPUTED_VALUE"""),"")</f>
        <v/>
      </c>
      <c r="X12903" s="16" t="str">
        <f>IFERROR(__xludf.DUMMYFUNCTION("""COMPUTED_VALUE"""),"")</f>
        <v/>
      </c>
      <c r="AC12903" s="16" t="str">
        <f>IFERROR(__xludf.DUMMYFUNCTION("""COMPUTED_VALUE"""),"")</f>
        <v/>
      </c>
    </row>
    <row r="12904">
      <c r="A12904" s="16" t="s">
        <v>87</v>
      </c>
      <c r="E12904" s="16" t="str">
        <f>IFERROR(__xludf.DUMMYFUNCTION("""COMPUTED_VALUE"""),"")</f>
        <v/>
      </c>
      <c r="G12904" s="18"/>
      <c r="H12904" s="16" t="s">
        <v>87</v>
      </c>
      <c r="I12904" s="16" t="s">
        <v>87</v>
      </c>
      <c r="J12904" s="19"/>
      <c r="L12904" s="16" t="str">
        <f>IFERROR(__xludf.DUMMYFUNCTION("""COMPUTED_VALUE"""),"")</f>
        <v/>
      </c>
      <c r="M12904" s="16" t="str">
        <f>IFERROR(__xludf.DUMMYFUNCTION("""COMPUTED_VALUE"""),"")</f>
        <v/>
      </c>
      <c r="U12904" s="16" t="s">
        <v>87</v>
      </c>
      <c r="V12904" s="16" t="str">
        <f>IFERROR(__xludf.DUMMYFUNCTION("""COMPUTED_VALUE"""),"")</f>
        <v/>
      </c>
      <c r="W12904" s="16" t="str">
        <f>IFERROR(__xludf.DUMMYFUNCTION("""COMPUTED_VALUE"""),"")</f>
        <v/>
      </c>
      <c r="X12904" s="16" t="str">
        <f>IFERROR(__xludf.DUMMYFUNCTION("""COMPUTED_VALUE"""),"")</f>
        <v/>
      </c>
      <c r="AC12904" s="16" t="str">
        <f>IFERROR(__xludf.DUMMYFUNCTION("""COMPUTED_VALUE"""),"")</f>
        <v/>
      </c>
    </row>
    <row r="12905">
      <c r="A12905" s="16" t="s">
        <v>87</v>
      </c>
      <c r="E12905" s="16" t="str">
        <f>IFERROR(__xludf.DUMMYFUNCTION("""COMPUTED_VALUE"""),"")</f>
        <v/>
      </c>
      <c r="G12905" s="18"/>
      <c r="H12905" s="16" t="s">
        <v>87</v>
      </c>
      <c r="I12905" s="16" t="s">
        <v>87</v>
      </c>
      <c r="J12905" s="19"/>
      <c r="L12905" s="16" t="str">
        <f>IFERROR(__xludf.DUMMYFUNCTION("""COMPUTED_VALUE"""),"")</f>
        <v/>
      </c>
      <c r="M12905" s="16" t="str">
        <f>IFERROR(__xludf.DUMMYFUNCTION("""COMPUTED_VALUE"""),"")</f>
        <v/>
      </c>
      <c r="U12905" s="16" t="s">
        <v>87</v>
      </c>
      <c r="V12905" s="16" t="str">
        <f>IFERROR(__xludf.DUMMYFUNCTION("""COMPUTED_VALUE"""),"")</f>
        <v/>
      </c>
      <c r="W12905" s="16" t="str">
        <f>IFERROR(__xludf.DUMMYFUNCTION("""COMPUTED_VALUE"""),"")</f>
        <v/>
      </c>
      <c r="X12905" s="16" t="str">
        <f>IFERROR(__xludf.DUMMYFUNCTION("""COMPUTED_VALUE"""),"")</f>
        <v/>
      </c>
      <c r="AC12905" s="16" t="str">
        <f>IFERROR(__xludf.DUMMYFUNCTION("""COMPUTED_VALUE"""),"")</f>
        <v/>
      </c>
    </row>
    <row r="12906">
      <c r="A12906" s="16" t="s">
        <v>87</v>
      </c>
      <c r="E12906" s="16" t="str">
        <f>IFERROR(__xludf.DUMMYFUNCTION("""COMPUTED_VALUE"""),"")</f>
        <v/>
      </c>
      <c r="G12906" s="18"/>
      <c r="H12906" s="16" t="s">
        <v>87</v>
      </c>
      <c r="I12906" s="16" t="s">
        <v>87</v>
      </c>
      <c r="J12906" s="19"/>
      <c r="L12906" s="16" t="str">
        <f>IFERROR(__xludf.DUMMYFUNCTION("""COMPUTED_VALUE"""),"")</f>
        <v/>
      </c>
      <c r="M12906" s="16" t="str">
        <f>IFERROR(__xludf.DUMMYFUNCTION("""COMPUTED_VALUE"""),"")</f>
        <v/>
      </c>
      <c r="U12906" s="16" t="s">
        <v>87</v>
      </c>
      <c r="V12906" s="16" t="str">
        <f>IFERROR(__xludf.DUMMYFUNCTION("""COMPUTED_VALUE"""),"")</f>
        <v/>
      </c>
      <c r="W12906" s="16" t="str">
        <f>IFERROR(__xludf.DUMMYFUNCTION("""COMPUTED_VALUE"""),"")</f>
        <v/>
      </c>
      <c r="X12906" s="16" t="str">
        <f>IFERROR(__xludf.DUMMYFUNCTION("""COMPUTED_VALUE"""),"")</f>
        <v/>
      </c>
      <c r="AC12906" s="16" t="str">
        <f>IFERROR(__xludf.DUMMYFUNCTION("""COMPUTED_VALUE"""),"")</f>
        <v/>
      </c>
    </row>
    <row r="12907">
      <c r="A12907" s="16" t="s">
        <v>87</v>
      </c>
      <c r="E12907" s="16" t="str">
        <f>IFERROR(__xludf.DUMMYFUNCTION("""COMPUTED_VALUE"""),"")</f>
        <v/>
      </c>
      <c r="G12907" s="18"/>
      <c r="H12907" s="16" t="s">
        <v>87</v>
      </c>
      <c r="I12907" s="16" t="s">
        <v>87</v>
      </c>
      <c r="J12907" s="19"/>
      <c r="L12907" s="16" t="str">
        <f>IFERROR(__xludf.DUMMYFUNCTION("""COMPUTED_VALUE"""),"")</f>
        <v/>
      </c>
      <c r="M12907" s="16" t="str">
        <f>IFERROR(__xludf.DUMMYFUNCTION("""COMPUTED_VALUE"""),"")</f>
        <v/>
      </c>
      <c r="U12907" s="16" t="s">
        <v>87</v>
      </c>
      <c r="V12907" s="16" t="str">
        <f>IFERROR(__xludf.DUMMYFUNCTION("""COMPUTED_VALUE"""),"")</f>
        <v/>
      </c>
      <c r="W12907" s="16" t="str">
        <f>IFERROR(__xludf.DUMMYFUNCTION("""COMPUTED_VALUE"""),"")</f>
        <v/>
      </c>
      <c r="X12907" s="16" t="str">
        <f>IFERROR(__xludf.DUMMYFUNCTION("""COMPUTED_VALUE"""),"")</f>
        <v/>
      </c>
      <c r="AC12907" s="16" t="str">
        <f>IFERROR(__xludf.DUMMYFUNCTION("""COMPUTED_VALUE"""),"")</f>
        <v/>
      </c>
    </row>
    <row r="12908">
      <c r="A12908" s="16" t="s">
        <v>87</v>
      </c>
      <c r="E12908" s="16" t="str">
        <f>IFERROR(__xludf.DUMMYFUNCTION("""COMPUTED_VALUE"""),"")</f>
        <v/>
      </c>
      <c r="G12908" s="18"/>
      <c r="H12908" s="16" t="s">
        <v>87</v>
      </c>
      <c r="I12908" s="16" t="s">
        <v>87</v>
      </c>
      <c r="J12908" s="19"/>
      <c r="L12908" s="16" t="str">
        <f>IFERROR(__xludf.DUMMYFUNCTION("""COMPUTED_VALUE"""),"")</f>
        <v/>
      </c>
      <c r="M12908" s="16" t="str">
        <f>IFERROR(__xludf.DUMMYFUNCTION("""COMPUTED_VALUE"""),"")</f>
        <v/>
      </c>
      <c r="U12908" s="16" t="s">
        <v>87</v>
      </c>
      <c r="V12908" s="16" t="str">
        <f>IFERROR(__xludf.DUMMYFUNCTION("""COMPUTED_VALUE"""),"")</f>
        <v/>
      </c>
      <c r="W12908" s="16" t="str">
        <f>IFERROR(__xludf.DUMMYFUNCTION("""COMPUTED_VALUE"""),"")</f>
        <v/>
      </c>
      <c r="X12908" s="16" t="str">
        <f>IFERROR(__xludf.DUMMYFUNCTION("""COMPUTED_VALUE"""),"")</f>
        <v/>
      </c>
      <c r="AC12908" s="16" t="str">
        <f>IFERROR(__xludf.DUMMYFUNCTION("""COMPUTED_VALUE"""),"")</f>
        <v/>
      </c>
    </row>
    <row r="12909">
      <c r="A12909" s="16" t="s">
        <v>87</v>
      </c>
      <c r="E12909" s="16" t="str">
        <f>IFERROR(__xludf.DUMMYFUNCTION("""COMPUTED_VALUE"""),"")</f>
        <v/>
      </c>
      <c r="G12909" s="18"/>
      <c r="H12909" s="16" t="s">
        <v>87</v>
      </c>
      <c r="I12909" s="16" t="s">
        <v>87</v>
      </c>
      <c r="J12909" s="19"/>
      <c r="L12909" s="16" t="str">
        <f>IFERROR(__xludf.DUMMYFUNCTION("""COMPUTED_VALUE"""),"")</f>
        <v/>
      </c>
      <c r="M12909" s="16" t="str">
        <f>IFERROR(__xludf.DUMMYFUNCTION("""COMPUTED_VALUE"""),"")</f>
        <v/>
      </c>
      <c r="U12909" s="16" t="s">
        <v>87</v>
      </c>
      <c r="V12909" s="16" t="str">
        <f>IFERROR(__xludf.DUMMYFUNCTION("""COMPUTED_VALUE"""),"")</f>
        <v/>
      </c>
      <c r="W12909" s="16" t="str">
        <f>IFERROR(__xludf.DUMMYFUNCTION("""COMPUTED_VALUE"""),"")</f>
        <v/>
      </c>
      <c r="X12909" s="16" t="str">
        <f>IFERROR(__xludf.DUMMYFUNCTION("""COMPUTED_VALUE"""),"")</f>
        <v/>
      </c>
      <c r="AC12909" s="16" t="str">
        <f>IFERROR(__xludf.DUMMYFUNCTION("""COMPUTED_VALUE"""),"")</f>
        <v/>
      </c>
    </row>
    <row r="12910">
      <c r="A12910" s="16" t="s">
        <v>87</v>
      </c>
      <c r="E12910" s="16" t="str">
        <f>IFERROR(__xludf.DUMMYFUNCTION("""COMPUTED_VALUE"""),"")</f>
        <v/>
      </c>
      <c r="G12910" s="18"/>
      <c r="H12910" s="16" t="s">
        <v>87</v>
      </c>
      <c r="I12910" s="16" t="s">
        <v>87</v>
      </c>
      <c r="J12910" s="19"/>
      <c r="L12910" s="16" t="str">
        <f>IFERROR(__xludf.DUMMYFUNCTION("""COMPUTED_VALUE"""),"")</f>
        <v/>
      </c>
      <c r="M12910" s="16" t="str">
        <f>IFERROR(__xludf.DUMMYFUNCTION("""COMPUTED_VALUE"""),"")</f>
        <v/>
      </c>
      <c r="U12910" s="16" t="s">
        <v>87</v>
      </c>
      <c r="V12910" s="16" t="str">
        <f>IFERROR(__xludf.DUMMYFUNCTION("""COMPUTED_VALUE"""),"")</f>
        <v/>
      </c>
      <c r="W12910" s="16" t="str">
        <f>IFERROR(__xludf.DUMMYFUNCTION("""COMPUTED_VALUE"""),"")</f>
        <v/>
      </c>
      <c r="X12910" s="16" t="str">
        <f>IFERROR(__xludf.DUMMYFUNCTION("""COMPUTED_VALUE"""),"")</f>
        <v/>
      </c>
      <c r="AC12910" s="16" t="str">
        <f>IFERROR(__xludf.DUMMYFUNCTION("""COMPUTED_VALUE"""),"")</f>
        <v/>
      </c>
    </row>
    <row r="12911">
      <c r="A12911" s="16" t="s">
        <v>87</v>
      </c>
      <c r="E12911" s="16" t="str">
        <f>IFERROR(__xludf.DUMMYFUNCTION("""COMPUTED_VALUE"""),"")</f>
        <v/>
      </c>
      <c r="G12911" s="18"/>
      <c r="H12911" s="16" t="s">
        <v>87</v>
      </c>
      <c r="I12911" s="16" t="s">
        <v>87</v>
      </c>
      <c r="J12911" s="19"/>
      <c r="L12911" s="16" t="str">
        <f>IFERROR(__xludf.DUMMYFUNCTION("""COMPUTED_VALUE"""),"")</f>
        <v/>
      </c>
      <c r="M12911" s="16" t="str">
        <f>IFERROR(__xludf.DUMMYFUNCTION("""COMPUTED_VALUE"""),"")</f>
        <v/>
      </c>
      <c r="U12911" s="16" t="s">
        <v>87</v>
      </c>
      <c r="V12911" s="16" t="str">
        <f>IFERROR(__xludf.DUMMYFUNCTION("""COMPUTED_VALUE"""),"")</f>
        <v/>
      </c>
      <c r="W12911" s="16" t="str">
        <f>IFERROR(__xludf.DUMMYFUNCTION("""COMPUTED_VALUE"""),"")</f>
        <v/>
      </c>
      <c r="X12911" s="16" t="str">
        <f>IFERROR(__xludf.DUMMYFUNCTION("""COMPUTED_VALUE"""),"")</f>
        <v/>
      </c>
      <c r="AC12911" s="16" t="str">
        <f>IFERROR(__xludf.DUMMYFUNCTION("""COMPUTED_VALUE"""),"")</f>
        <v/>
      </c>
    </row>
    <row r="12912">
      <c r="A12912" s="16" t="s">
        <v>87</v>
      </c>
      <c r="E12912" s="16" t="str">
        <f>IFERROR(__xludf.DUMMYFUNCTION("""COMPUTED_VALUE"""),"")</f>
        <v/>
      </c>
      <c r="G12912" s="18"/>
      <c r="H12912" s="16" t="s">
        <v>87</v>
      </c>
      <c r="I12912" s="16" t="s">
        <v>87</v>
      </c>
      <c r="J12912" s="19"/>
      <c r="L12912" s="16" t="str">
        <f>IFERROR(__xludf.DUMMYFUNCTION("""COMPUTED_VALUE"""),"")</f>
        <v/>
      </c>
      <c r="M12912" s="16" t="str">
        <f>IFERROR(__xludf.DUMMYFUNCTION("""COMPUTED_VALUE"""),"")</f>
        <v/>
      </c>
      <c r="U12912" s="16" t="s">
        <v>87</v>
      </c>
      <c r="V12912" s="16" t="str">
        <f>IFERROR(__xludf.DUMMYFUNCTION("""COMPUTED_VALUE"""),"")</f>
        <v/>
      </c>
      <c r="W12912" s="16" t="str">
        <f>IFERROR(__xludf.DUMMYFUNCTION("""COMPUTED_VALUE"""),"")</f>
        <v/>
      </c>
      <c r="X12912" s="16" t="str">
        <f>IFERROR(__xludf.DUMMYFUNCTION("""COMPUTED_VALUE"""),"")</f>
        <v/>
      </c>
      <c r="AC12912" s="16" t="str">
        <f>IFERROR(__xludf.DUMMYFUNCTION("""COMPUTED_VALUE"""),"")</f>
        <v/>
      </c>
    </row>
    <row r="12913">
      <c r="A12913" s="16" t="s">
        <v>87</v>
      </c>
      <c r="E12913" s="16" t="str">
        <f>IFERROR(__xludf.DUMMYFUNCTION("""COMPUTED_VALUE"""),"")</f>
        <v/>
      </c>
      <c r="G12913" s="18"/>
      <c r="H12913" s="16" t="s">
        <v>87</v>
      </c>
      <c r="I12913" s="16" t="s">
        <v>87</v>
      </c>
      <c r="J12913" s="19"/>
      <c r="L12913" s="16" t="str">
        <f>IFERROR(__xludf.DUMMYFUNCTION("""COMPUTED_VALUE"""),"")</f>
        <v/>
      </c>
      <c r="M12913" s="16" t="str">
        <f>IFERROR(__xludf.DUMMYFUNCTION("""COMPUTED_VALUE"""),"")</f>
        <v/>
      </c>
      <c r="U12913" s="16" t="s">
        <v>87</v>
      </c>
      <c r="V12913" s="16" t="str">
        <f>IFERROR(__xludf.DUMMYFUNCTION("""COMPUTED_VALUE"""),"")</f>
        <v/>
      </c>
      <c r="W12913" s="16" t="str">
        <f>IFERROR(__xludf.DUMMYFUNCTION("""COMPUTED_VALUE"""),"")</f>
        <v/>
      </c>
      <c r="X12913" s="16" t="str">
        <f>IFERROR(__xludf.DUMMYFUNCTION("""COMPUTED_VALUE"""),"")</f>
        <v/>
      </c>
      <c r="AC12913" s="16" t="str">
        <f>IFERROR(__xludf.DUMMYFUNCTION("""COMPUTED_VALUE"""),"")</f>
        <v/>
      </c>
    </row>
    <row r="12914">
      <c r="A12914" s="16" t="s">
        <v>87</v>
      </c>
      <c r="E12914" s="16" t="str">
        <f>IFERROR(__xludf.DUMMYFUNCTION("""COMPUTED_VALUE"""),"")</f>
        <v/>
      </c>
      <c r="G12914" s="18"/>
      <c r="H12914" s="16" t="s">
        <v>87</v>
      </c>
      <c r="I12914" s="16" t="s">
        <v>87</v>
      </c>
      <c r="J12914" s="19"/>
      <c r="L12914" s="16" t="str">
        <f>IFERROR(__xludf.DUMMYFUNCTION("""COMPUTED_VALUE"""),"")</f>
        <v/>
      </c>
      <c r="M12914" s="16" t="str">
        <f>IFERROR(__xludf.DUMMYFUNCTION("""COMPUTED_VALUE"""),"")</f>
        <v/>
      </c>
      <c r="U12914" s="16" t="s">
        <v>87</v>
      </c>
      <c r="V12914" s="16" t="str">
        <f>IFERROR(__xludf.DUMMYFUNCTION("""COMPUTED_VALUE"""),"")</f>
        <v/>
      </c>
      <c r="W12914" s="16" t="str">
        <f>IFERROR(__xludf.DUMMYFUNCTION("""COMPUTED_VALUE"""),"")</f>
        <v/>
      </c>
      <c r="X12914" s="16" t="str">
        <f>IFERROR(__xludf.DUMMYFUNCTION("""COMPUTED_VALUE"""),"")</f>
        <v/>
      </c>
      <c r="AC12914" s="16" t="str">
        <f>IFERROR(__xludf.DUMMYFUNCTION("""COMPUTED_VALUE"""),"")</f>
        <v/>
      </c>
    </row>
    <row r="12915">
      <c r="A12915" s="16" t="s">
        <v>87</v>
      </c>
      <c r="E12915" s="16" t="str">
        <f>IFERROR(__xludf.DUMMYFUNCTION("""COMPUTED_VALUE"""),"")</f>
        <v/>
      </c>
      <c r="G12915" s="18"/>
      <c r="H12915" s="16" t="s">
        <v>87</v>
      </c>
      <c r="I12915" s="16" t="s">
        <v>87</v>
      </c>
      <c r="J12915" s="19"/>
      <c r="L12915" s="16" t="str">
        <f>IFERROR(__xludf.DUMMYFUNCTION("""COMPUTED_VALUE"""),"")</f>
        <v/>
      </c>
      <c r="M12915" s="16" t="str">
        <f>IFERROR(__xludf.DUMMYFUNCTION("""COMPUTED_VALUE"""),"")</f>
        <v/>
      </c>
      <c r="U12915" s="16" t="s">
        <v>87</v>
      </c>
      <c r="V12915" s="16" t="str">
        <f>IFERROR(__xludf.DUMMYFUNCTION("""COMPUTED_VALUE"""),"")</f>
        <v/>
      </c>
      <c r="W12915" s="16" t="str">
        <f>IFERROR(__xludf.DUMMYFUNCTION("""COMPUTED_VALUE"""),"")</f>
        <v/>
      </c>
      <c r="X12915" s="16" t="str">
        <f>IFERROR(__xludf.DUMMYFUNCTION("""COMPUTED_VALUE"""),"")</f>
        <v/>
      </c>
      <c r="AC12915" s="16" t="str">
        <f>IFERROR(__xludf.DUMMYFUNCTION("""COMPUTED_VALUE"""),"")</f>
        <v/>
      </c>
    </row>
    <row r="12916">
      <c r="A12916" s="16" t="s">
        <v>87</v>
      </c>
      <c r="E12916" s="16" t="str">
        <f>IFERROR(__xludf.DUMMYFUNCTION("""COMPUTED_VALUE"""),"")</f>
        <v/>
      </c>
      <c r="G12916" s="18"/>
      <c r="H12916" s="16" t="s">
        <v>87</v>
      </c>
      <c r="I12916" s="16" t="s">
        <v>87</v>
      </c>
      <c r="J12916" s="19"/>
      <c r="L12916" s="16" t="str">
        <f>IFERROR(__xludf.DUMMYFUNCTION("""COMPUTED_VALUE"""),"")</f>
        <v/>
      </c>
      <c r="M12916" s="16" t="str">
        <f>IFERROR(__xludf.DUMMYFUNCTION("""COMPUTED_VALUE"""),"")</f>
        <v/>
      </c>
      <c r="U12916" s="16" t="s">
        <v>87</v>
      </c>
      <c r="V12916" s="16" t="str">
        <f>IFERROR(__xludf.DUMMYFUNCTION("""COMPUTED_VALUE"""),"")</f>
        <v/>
      </c>
      <c r="W12916" s="16" t="str">
        <f>IFERROR(__xludf.DUMMYFUNCTION("""COMPUTED_VALUE"""),"")</f>
        <v/>
      </c>
      <c r="X12916" s="16" t="str">
        <f>IFERROR(__xludf.DUMMYFUNCTION("""COMPUTED_VALUE"""),"")</f>
        <v/>
      </c>
      <c r="AC12916" s="16" t="str">
        <f>IFERROR(__xludf.DUMMYFUNCTION("""COMPUTED_VALUE"""),"")</f>
        <v/>
      </c>
    </row>
    <row r="12917">
      <c r="A12917" s="16" t="s">
        <v>87</v>
      </c>
      <c r="E12917" s="16" t="str">
        <f>IFERROR(__xludf.DUMMYFUNCTION("""COMPUTED_VALUE"""),"")</f>
        <v/>
      </c>
      <c r="G12917" s="18"/>
      <c r="H12917" s="16" t="s">
        <v>87</v>
      </c>
      <c r="I12917" s="16" t="s">
        <v>87</v>
      </c>
      <c r="J12917" s="19"/>
      <c r="L12917" s="16" t="str">
        <f>IFERROR(__xludf.DUMMYFUNCTION("""COMPUTED_VALUE"""),"")</f>
        <v/>
      </c>
      <c r="M12917" s="16" t="str">
        <f>IFERROR(__xludf.DUMMYFUNCTION("""COMPUTED_VALUE"""),"")</f>
        <v/>
      </c>
      <c r="U12917" s="16" t="s">
        <v>87</v>
      </c>
      <c r="V12917" s="16" t="str">
        <f>IFERROR(__xludf.DUMMYFUNCTION("""COMPUTED_VALUE"""),"")</f>
        <v/>
      </c>
      <c r="W12917" s="16" t="str">
        <f>IFERROR(__xludf.DUMMYFUNCTION("""COMPUTED_VALUE"""),"")</f>
        <v/>
      </c>
      <c r="X12917" s="16" t="str">
        <f>IFERROR(__xludf.DUMMYFUNCTION("""COMPUTED_VALUE"""),"")</f>
        <v/>
      </c>
      <c r="AC12917" s="16" t="str">
        <f>IFERROR(__xludf.DUMMYFUNCTION("""COMPUTED_VALUE"""),"")</f>
        <v/>
      </c>
    </row>
    <row r="12918">
      <c r="A12918" s="16" t="s">
        <v>87</v>
      </c>
      <c r="E12918" s="16" t="str">
        <f>IFERROR(__xludf.DUMMYFUNCTION("""COMPUTED_VALUE"""),"")</f>
        <v/>
      </c>
      <c r="G12918" s="18"/>
      <c r="H12918" s="16" t="s">
        <v>87</v>
      </c>
      <c r="I12918" s="16" t="s">
        <v>87</v>
      </c>
      <c r="J12918" s="19"/>
      <c r="L12918" s="16" t="str">
        <f>IFERROR(__xludf.DUMMYFUNCTION("""COMPUTED_VALUE"""),"")</f>
        <v/>
      </c>
      <c r="M12918" s="16" t="str">
        <f>IFERROR(__xludf.DUMMYFUNCTION("""COMPUTED_VALUE"""),"")</f>
        <v/>
      </c>
      <c r="U12918" s="16" t="s">
        <v>87</v>
      </c>
      <c r="V12918" s="16" t="str">
        <f>IFERROR(__xludf.DUMMYFUNCTION("""COMPUTED_VALUE"""),"")</f>
        <v/>
      </c>
      <c r="W12918" s="16" t="str">
        <f>IFERROR(__xludf.DUMMYFUNCTION("""COMPUTED_VALUE"""),"")</f>
        <v/>
      </c>
      <c r="X12918" s="16" t="str">
        <f>IFERROR(__xludf.DUMMYFUNCTION("""COMPUTED_VALUE"""),"")</f>
        <v/>
      </c>
      <c r="AC12918" s="16" t="str">
        <f>IFERROR(__xludf.DUMMYFUNCTION("""COMPUTED_VALUE"""),"")</f>
        <v/>
      </c>
    </row>
    <row r="12919">
      <c r="A12919" s="16" t="s">
        <v>87</v>
      </c>
      <c r="E12919" s="16" t="str">
        <f>IFERROR(__xludf.DUMMYFUNCTION("""COMPUTED_VALUE"""),"")</f>
        <v/>
      </c>
      <c r="G12919" s="18"/>
      <c r="H12919" s="16" t="s">
        <v>87</v>
      </c>
      <c r="I12919" s="16" t="s">
        <v>87</v>
      </c>
      <c r="J12919" s="19"/>
      <c r="L12919" s="16" t="str">
        <f>IFERROR(__xludf.DUMMYFUNCTION("""COMPUTED_VALUE"""),"")</f>
        <v/>
      </c>
      <c r="M12919" s="16" t="str">
        <f>IFERROR(__xludf.DUMMYFUNCTION("""COMPUTED_VALUE"""),"")</f>
        <v/>
      </c>
      <c r="U12919" s="16" t="s">
        <v>87</v>
      </c>
      <c r="V12919" s="16" t="str">
        <f>IFERROR(__xludf.DUMMYFUNCTION("""COMPUTED_VALUE"""),"")</f>
        <v/>
      </c>
      <c r="W12919" s="16" t="str">
        <f>IFERROR(__xludf.DUMMYFUNCTION("""COMPUTED_VALUE"""),"")</f>
        <v/>
      </c>
      <c r="X12919" s="16" t="str">
        <f>IFERROR(__xludf.DUMMYFUNCTION("""COMPUTED_VALUE"""),"")</f>
        <v/>
      </c>
      <c r="AC12919" s="16" t="str">
        <f>IFERROR(__xludf.DUMMYFUNCTION("""COMPUTED_VALUE"""),"")</f>
        <v/>
      </c>
    </row>
    <row r="12920">
      <c r="A12920" s="16" t="s">
        <v>87</v>
      </c>
      <c r="E12920" s="16" t="str">
        <f>IFERROR(__xludf.DUMMYFUNCTION("""COMPUTED_VALUE"""),"")</f>
        <v/>
      </c>
      <c r="G12920" s="18"/>
      <c r="H12920" s="16" t="s">
        <v>87</v>
      </c>
      <c r="I12920" s="16" t="s">
        <v>87</v>
      </c>
      <c r="J12920" s="19"/>
      <c r="L12920" s="16" t="str">
        <f>IFERROR(__xludf.DUMMYFUNCTION("""COMPUTED_VALUE"""),"")</f>
        <v/>
      </c>
      <c r="M12920" s="16" t="str">
        <f>IFERROR(__xludf.DUMMYFUNCTION("""COMPUTED_VALUE"""),"")</f>
        <v/>
      </c>
      <c r="U12920" s="16" t="s">
        <v>87</v>
      </c>
      <c r="V12920" s="16" t="str">
        <f>IFERROR(__xludf.DUMMYFUNCTION("""COMPUTED_VALUE"""),"")</f>
        <v/>
      </c>
      <c r="W12920" s="16" t="str">
        <f>IFERROR(__xludf.DUMMYFUNCTION("""COMPUTED_VALUE"""),"")</f>
        <v/>
      </c>
      <c r="X12920" s="16" t="str">
        <f>IFERROR(__xludf.DUMMYFUNCTION("""COMPUTED_VALUE"""),"")</f>
        <v/>
      </c>
      <c r="AC12920" s="16" t="str">
        <f>IFERROR(__xludf.DUMMYFUNCTION("""COMPUTED_VALUE"""),"")</f>
        <v/>
      </c>
    </row>
    <row r="12921">
      <c r="A12921" s="16" t="s">
        <v>87</v>
      </c>
      <c r="E12921" s="16" t="str">
        <f>IFERROR(__xludf.DUMMYFUNCTION("""COMPUTED_VALUE"""),"")</f>
        <v/>
      </c>
      <c r="G12921" s="18"/>
      <c r="H12921" s="16" t="s">
        <v>87</v>
      </c>
      <c r="I12921" s="16" t="s">
        <v>87</v>
      </c>
      <c r="J12921" s="19"/>
      <c r="L12921" s="16" t="str">
        <f>IFERROR(__xludf.DUMMYFUNCTION("""COMPUTED_VALUE"""),"")</f>
        <v/>
      </c>
      <c r="M12921" s="16" t="str">
        <f>IFERROR(__xludf.DUMMYFUNCTION("""COMPUTED_VALUE"""),"")</f>
        <v/>
      </c>
      <c r="U12921" s="16" t="s">
        <v>87</v>
      </c>
      <c r="V12921" s="16" t="str">
        <f>IFERROR(__xludf.DUMMYFUNCTION("""COMPUTED_VALUE"""),"")</f>
        <v/>
      </c>
      <c r="W12921" s="16" t="str">
        <f>IFERROR(__xludf.DUMMYFUNCTION("""COMPUTED_VALUE"""),"")</f>
        <v/>
      </c>
      <c r="X12921" s="16" t="str">
        <f>IFERROR(__xludf.DUMMYFUNCTION("""COMPUTED_VALUE"""),"")</f>
        <v/>
      </c>
      <c r="AC12921" s="16" t="str">
        <f>IFERROR(__xludf.DUMMYFUNCTION("""COMPUTED_VALUE"""),"")</f>
        <v/>
      </c>
    </row>
    <row r="12922">
      <c r="A12922" s="16" t="s">
        <v>87</v>
      </c>
      <c r="E12922" s="16" t="str">
        <f>IFERROR(__xludf.DUMMYFUNCTION("""COMPUTED_VALUE"""),"")</f>
        <v/>
      </c>
      <c r="G12922" s="18"/>
      <c r="H12922" s="16" t="s">
        <v>87</v>
      </c>
      <c r="I12922" s="16" t="s">
        <v>87</v>
      </c>
      <c r="J12922" s="19"/>
      <c r="L12922" s="16" t="str">
        <f>IFERROR(__xludf.DUMMYFUNCTION("""COMPUTED_VALUE"""),"")</f>
        <v/>
      </c>
      <c r="M12922" s="16" t="str">
        <f>IFERROR(__xludf.DUMMYFUNCTION("""COMPUTED_VALUE"""),"")</f>
        <v/>
      </c>
      <c r="U12922" s="16" t="s">
        <v>87</v>
      </c>
      <c r="V12922" s="16" t="str">
        <f>IFERROR(__xludf.DUMMYFUNCTION("""COMPUTED_VALUE"""),"")</f>
        <v/>
      </c>
      <c r="W12922" s="16" t="str">
        <f>IFERROR(__xludf.DUMMYFUNCTION("""COMPUTED_VALUE"""),"")</f>
        <v/>
      </c>
      <c r="X12922" s="16" t="str">
        <f>IFERROR(__xludf.DUMMYFUNCTION("""COMPUTED_VALUE"""),"")</f>
        <v/>
      </c>
      <c r="AC12922" s="16" t="str">
        <f>IFERROR(__xludf.DUMMYFUNCTION("""COMPUTED_VALUE"""),"")</f>
        <v/>
      </c>
    </row>
    <row r="12923">
      <c r="A12923" s="16" t="s">
        <v>87</v>
      </c>
      <c r="E12923" s="16" t="str">
        <f>IFERROR(__xludf.DUMMYFUNCTION("""COMPUTED_VALUE"""),"")</f>
        <v/>
      </c>
      <c r="G12923" s="18"/>
      <c r="H12923" s="16" t="s">
        <v>87</v>
      </c>
      <c r="I12923" s="16" t="s">
        <v>87</v>
      </c>
      <c r="J12923" s="19"/>
      <c r="L12923" s="16" t="str">
        <f>IFERROR(__xludf.DUMMYFUNCTION("""COMPUTED_VALUE"""),"")</f>
        <v/>
      </c>
      <c r="M12923" s="16" t="str">
        <f>IFERROR(__xludf.DUMMYFUNCTION("""COMPUTED_VALUE"""),"")</f>
        <v/>
      </c>
      <c r="U12923" s="16" t="s">
        <v>87</v>
      </c>
      <c r="V12923" s="16" t="str">
        <f>IFERROR(__xludf.DUMMYFUNCTION("""COMPUTED_VALUE"""),"")</f>
        <v/>
      </c>
      <c r="W12923" s="16" t="str">
        <f>IFERROR(__xludf.DUMMYFUNCTION("""COMPUTED_VALUE"""),"")</f>
        <v/>
      </c>
      <c r="X12923" s="16" t="str">
        <f>IFERROR(__xludf.DUMMYFUNCTION("""COMPUTED_VALUE"""),"")</f>
        <v/>
      </c>
      <c r="AC12923" s="16" t="str">
        <f>IFERROR(__xludf.DUMMYFUNCTION("""COMPUTED_VALUE"""),"")</f>
        <v/>
      </c>
    </row>
    <row r="12924">
      <c r="A12924" s="16" t="s">
        <v>87</v>
      </c>
      <c r="E12924" s="16" t="str">
        <f>IFERROR(__xludf.DUMMYFUNCTION("""COMPUTED_VALUE"""),"")</f>
        <v/>
      </c>
      <c r="G12924" s="18"/>
      <c r="H12924" s="16" t="s">
        <v>87</v>
      </c>
      <c r="I12924" s="16" t="s">
        <v>87</v>
      </c>
      <c r="J12924" s="19"/>
      <c r="L12924" s="16" t="str">
        <f>IFERROR(__xludf.DUMMYFUNCTION("""COMPUTED_VALUE"""),"")</f>
        <v/>
      </c>
      <c r="M12924" s="16" t="str">
        <f>IFERROR(__xludf.DUMMYFUNCTION("""COMPUTED_VALUE"""),"")</f>
        <v/>
      </c>
      <c r="U12924" s="16" t="s">
        <v>87</v>
      </c>
      <c r="V12924" s="16" t="str">
        <f>IFERROR(__xludf.DUMMYFUNCTION("""COMPUTED_VALUE"""),"")</f>
        <v/>
      </c>
      <c r="W12924" s="16" t="str">
        <f>IFERROR(__xludf.DUMMYFUNCTION("""COMPUTED_VALUE"""),"")</f>
        <v/>
      </c>
      <c r="X12924" s="16" t="str">
        <f>IFERROR(__xludf.DUMMYFUNCTION("""COMPUTED_VALUE"""),"")</f>
        <v/>
      </c>
      <c r="AC12924" s="16" t="str">
        <f>IFERROR(__xludf.DUMMYFUNCTION("""COMPUTED_VALUE"""),"")</f>
        <v/>
      </c>
    </row>
    <row r="12925">
      <c r="A12925" s="16" t="s">
        <v>87</v>
      </c>
      <c r="E12925" s="16" t="str">
        <f>IFERROR(__xludf.DUMMYFUNCTION("""COMPUTED_VALUE"""),"")</f>
        <v/>
      </c>
      <c r="G12925" s="18"/>
      <c r="H12925" s="16" t="s">
        <v>87</v>
      </c>
      <c r="I12925" s="16" t="s">
        <v>87</v>
      </c>
      <c r="J12925" s="19"/>
      <c r="L12925" s="16" t="str">
        <f>IFERROR(__xludf.DUMMYFUNCTION("""COMPUTED_VALUE"""),"")</f>
        <v/>
      </c>
      <c r="M12925" s="16" t="str">
        <f>IFERROR(__xludf.DUMMYFUNCTION("""COMPUTED_VALUE"""),"")</f>
        <v/>
      </c>
      <c r="U12925" s="16" t="s">
        <v>87</v>
      </c>
      <c r="V12925" s="16" t="str">
        <f>IFERROR(__xludf.DUMMYFUNCTION("""COMPUTED_VALUE"""),"")</f>
        <v/>
      </c>
      <c r="W12925" s="16" t="str">
        <f>IFERROR(__xludf.DUMMYFUNCTION("""COMPUTED_VALUE"""),"")</f>
        <v/>
      </c>
      <c r="X12925" s="16" t="str">
        <f>IFERROR(__xludf.DUMMYFUNCTION("""COMPUTED_VALUE"""),"")</f>
        <v/>
      </c>
      <c r="AC12925" s="16" t="str">
        <f>IFERROR(__xludf.DUMMYFUNCTION("""COMPUTED_VALUE"""),"")</f>
        <v/>
      </c>
    </row>
    <row r="12926">
      <c r="A12926" s="16" t="s">
        <v>87</v>
      </c>
      <c r="E12926" s="16" t="str">
        <f>IFERROR(__xludf.DUMMYFUNCTION("""COMPUTED_VALUE"""),"")</f>
        <v/>
      </c>
      <c r="G12926" s="18"/>
      <c r="H12926" s="16" t="s">
        <v>87</v>
      </c>
      <c r="I12926" s="16" t="s">
        <v>87</v>
      </c>
      <c r="J12926" s="19"/>
      <c r="L12926" s="16" t="str">
        <f>IFERROR(__xludf.DUMMYFUNCTION("""COMPUTED_VALUE"""),"")</f>
        <v/>
      </c>
      <c r="M12926" s="16" t="str">
        <f>IFERROR(__xludf.DUMMYFUNCTION("""COMPUTED_VALUE"""),"")</f>
        <v/>
      </c>
      <c r="U12926" s="16" t="s">
        <v>87</v>
      </c>
      <c r="V12926" s="16" t="str">
        <f>IFERROR(__xludf.DUMMYFUNCTION("""COMPUTED_VALUE"""),"")</f>
        <v/>
      </c>
      <c r="W12926" s="16" t="str">
        <f>IFERROR(__xludf.DUMMYFUNCTION("""COMPUTED_VALUE"""),"")</f>
        <v/>
      </c>
      <c r="X12926" s="16" t="str">
        <f>IFERROR(__xludf.DUMMYFUNCTION("""COMPUTED_VALUE"""),"")</f>
        <v/>
      </c>
      <c r="AC12926" s="16" t="str">
        <f>IFERROR(__xludf.DUMMYFUNCTION("""COMPUTED_VALUE"""),"")</f>
        <v/>
      </c>
    </row>
    <row r="12927">
      <c r="A12927" s="16" t="s">
        <v>87</v>
      </c>
      <c r="E12927" s="16" t="str">
        <f>IFERROR(__xludf.DUMMYFUNCTION("""COMPUTED_VALUE"""),"")</f>
        <v/>
      </c>
      <c r="G12927" s="18"/>
      <c r="H12927" s="16" t="s">
        <v>87</v>
      </c>
      <c r="I12927" s="16" t="s">
        <v>87</v>
      </c>
      <c r="J12927" s="19"/>
      <c r="L12927" s="16" t="str">
        <f>IFERROR(__xludf.DUMMYFUNCTION("""COMPUTED_VALUE"""),"")</f>
        <v/>
      </c>
      <c r="M12927" s="16" t="str">
        <f>IFERROR(__xludf.DUMMYFUNCTION("""COMPUTED_VALUE"""),"")</f>
        <v/>
      </c>
      <c r="U12927" s="16" t="s">
        <v>87</v>
      </c>
      <c r="V12927" s="16" t="str">
        <f>IFERROR(__xludf.DUMMYFUNCTION("""COMPUTED_VALUE"""),"")</f>
        <v/>
      </c>
      <c r="W12927" s="16" t="str">
        <f>IFERROR(__xludf.DUMMYFUNCTION("""COMPUTED_VALUE"""),"")</f>
        <v/>
      </c>
      <c r="X12927" s="16" t="str">
        <f>IFERROR(__xludf.DUMMYFUNCTION("""COMPUTED_VALUE"""),"")</f>
        <v/>
      </c>
      <c r="AC12927" s="16" t="str">
        <f>IFERROR(__xludf.DUMMYFUNCTION("""COMPUTED_VALUE"""),"")</f>
        <v/>
      </c>
    </row>
    <row r="12928">
      <c r="A12928" s="16" t="s">
        <v>87</v>
      </c>
      <c r="E12928" s="16" t="str">
        <f>IFERROR(__xludf.DUMMYFUNCTION("""COMPUTED_VALUE"""),"")</f>
        <v/>
      </c>
      <c r="G12928" s="18"/>
      <c r="H12928" s="16" t="s">
        <v>87</v>
      </c>
      <c r="I12928" s="16" t="s">
        <v>87</v>
      </c>
      <c r="J12928" s="19"/>
      <c r="L12928" s="16" t="str">
        <f>IFERROR(__xludf.DUMMYFUNCTION("""COMPUTED_VALUE"""),"")</f>
        <v/>
      </c>
      <c r="M12928" s="16" t="str">
        <f>IFERROR(__xludf.DUMMYFUNCTION("""COMPUTED_VALUE"""),"")</f>
        <v/>
      </c>
      <c r="U12928" s="16" t="s">
        <v>87</v>
      </c>
      <c r="V12928" s="16" t="str">
        <f>IFERROR(__xludf.DUMMYFUNCTION("""COMPUTED_VALUE"""),"")</f>
        <v/>
      </c>
      <c r="W12928" s="16" t="str">
        <f>IFERROR(__xludf.DUMMYFUNCTION("""COMPUTED_VALUE"""),"")</f>
        <v/>
      </c>
      <c r="X12928" s="16" t="str">
        <f>IFERROR(__xludf.DUMMYFUNCTION("""COMPUTED_VALUE"""),"")</f>
        <v/>
      </c>
      <c r="AC12928" s="16" t="str">
        <f>IFERROR(__xludf.DUMMYFUNCTION("""COMPUTED_VALUE"""),"")</f>
        <v/>
      </c>
    </row>
    <row r="12929">
      <c r="A12929" s="16" t="s">
        <v>87</v>
      </c>
      <c r="E12929" s="16" t="str">
        <f>IFERROR(__xludf.DUMMYFUNCTION("""COMPUTED_VALUE"""),"")</f>
        <v/>
      </c>
      <c r="G12929" s="18"/>
      <c r="H12929" s="16" t="s">
        <v>87</v>
      </c>
      <c r="I12929" s="16" t="s">
        <v>87</v>
      </c>
      <c r="J12929" s="19"/>
      <c r="L12929" s="16" t="str">
        <f>IFERROR(__xludf.DUMMYFUNCTION("""COMPUTED_VALUE"""),"")</f>
        <v/>
      </c>
      <c r="M12929" s="16" t="str">
        <f>IFERROR(__xludf.DUMMYFUNCTION("""COMPUTED_VALUE"""),"")</f>
        <v/>
      </c>
      <c r="U12929" s="16" t="s">
        <v>87</v>
      </c>
      <c r="V12929" s="16" t="str">
        <f>IFERROR(__xludf.DUMMYFUNCTION("""COMPUTED_VALUE"""),"")</f>
        <v/>
      </c>
      <c r="W12929" s="16" t="str">
        <f>IFERROR(__xludf.DUMMYFUNCTION("""COMPUTED_VALUE"""),"")</f>
        <v/>
      </c>
      <c r="X12929" s="16" t="str">
        <f>IFERROR(__xludf.DUMMYFUNCTION("""COMPUTED_VALUE"""),"")</f>
        <v/>
      </c>
      <c r="AC12929" s="16" t="str">
        <f>IFERROR(__xludf.DUMMYFUNCTION("""COMPUTED_VALUE"""),"")</f>
        <v/>
      </c>
    </row>
    <row r="12930">
      <c r="A12930" s="16" t="s">
        <v>87</v>
      </c>
      <c r="E12930" s="16" t="str">
        <f>IFERROR(__xludf.DUMMYFUNCTION("""COMPUTED_VALUE"""),"")</f>
        <v/>
      </c>
      <c r="G12930" s="18"/>
      <c r="H12930" s="16" t="s">
        <v>87</v>
      </c>
      <c r="I12930" s="16" t="s">
        <v>87</v>
      </c>
      <c r="J12930" s="19"/>
      <c r="L12930" s="16" t="str">
        <f>IFERROR(__xludf.DUMMYFUNCTION("""COMPUTED_VALUE"""),"")</f>
        <v/>
      </c>
      <c r="M12930" s="16" t="str">
        <f>IFERROR(__xludf.DUMMYFUNCTION("""COMPUTED_VALUE"""),"")</f>
        <v/>
      </c>
      <c r="U12930" s="16" t="s">
        <v>87</v>
      </c>
      <c r="V12930" s="16" t="str">
        <f>IFERROR(__xludf.DUMMYFUNCTION("""COMPUTED_VALUE"""),"")</f>
        <v/>
      </c>
      <c r="W12930" s="16" t="str">
        <f>IFERROR(__xludf.DUMMYFUNCTION("""COMPUTED_VALUE"""),"")</f>
        <v/>
      </c>
      <c r="X12930" s="16" t="str">
        <f>IFERROR(__xludf.DUMMYFUNCTION("""COMPUTED_VALUE"""),"")</f>
        <v/>
      </c>
      <c r="AC12930" s="16" t="str">
        <f>IFERROR(__xludf.DUMMYFUNCTION("""COMPUTED_VALUE"""),"")</f>
        <v/>
      </c>
    </row>
    <row r="12931">
      <c r="A12931" s="16" t="s">
        <v>87</v>
      </c>
      <c r="E12931" s="16" t="str">
        <f>IFERROR(__xludf.DUMMYFUNCTION("""COMPUTED_VALUE"""),"")</f>
        <v/>
      </c>
      <c r="G12931" s="18"/>
      <c r="H12931" s="16" t="s">
        <v>87</v>
      </c>
      <c r="I12931" s="16" t="s">
        <v>87</v>
      </c>
      <c r="J12931" s="19"/>
      <c r="L12931" s="16" t="str">
        <f>IFERROR(__xludf.DUMMYFUNCTION("""COMPUTED_VALUE"""),"")</f>
        <v/>
      </c>
      <c r="M12931" s="16" t="str">
        <f>IFERROR(__xludf.DUMMYFUNCTION("""COMPUTED_VALUE"""),"")</f>
        <v/>
      </c>
      <c r="U12931" s="16" t="s">
        <v>87</v>
      </c>
      <c r="V12931" s="16" t="str">
        <f>IFERROR(__xludf.DUMMYFUNCTION("""COMPUTED_VALUE"""),"")</f>
        <v/>
      </c>
      <c r="W12931" s="16" t="str">
        <f>IFERROR(__xludf.DUMMYFUNCTION("""COMPUTED_VALUE"""),"")</f>
        <v/>
      </c>
      <c r="X12931" s="16" t="str">
        <f>IFERROR(__xludf.DUMMYFUNCTION("""COMPUTED_VALUE"""),"")</f>
        <v/>
      </c>
      <c r="AC12931" s="16" t="str">
        <f>IFERROR(__xludf.DUMMYFUNCTION("""COMPUTED_VALUE"""),"")</f>
        <v/>
      </c>
    </row>
    <row r="12932">
      <c r="A12932" s="16" t="s">
        <v>87</v>
      </c>
      <c r="E12932" s="16" t="str">
        <f>IFERROR(__xludf.DUMMYFUNCTION("""COMPUTED_VALUE"""),"")</f>
        <v/>
      </c>
      <c r="G12932" s="18"/>
      <c r="H12932" s="16" t="s">
        <v>87</v>
      </c>
      <c r="I12932" s="16" t="s">
        <v>87</v>
      </c>
      <c r="J12932" s="19"/>
      <c r="L12932" s="16" t="str">
        <f>IFERROR(__xludf.DUMMYFUNCTION("""COMPUTED_VALUE"""),"")</f>
        <v/>
      </c>
      <c r="M12932" s="16" t="str">
        <f>IFERROR(__xludf.DUMMYFUNCTION("""COMPUTED_VALUE"""),"")</f>
        <v/>
      </c>
      <c r="U12932" s="16" t="s">
        <v>87</v>
      </c>
      <c r="V12932" s="16" t="str">
        <f>IFERROR(__xludf.DUMMYFUNCTION("""COMPUTED_VALUE"""),"")</f>
        <v/>
      </c>
      <c r="W12932" s="16" t="str">
        <f>IFERROR(__xludf.DUMMYFUNCTION("""COMPUTED_VALUE"""),"")</f>
        <v/>
      </c>
      <c r="X12932" s="16" t="str">
        <f>IFERROR(__xludf.DUMMYFUNCTION("""COMPUTED_VALUE"""),"")</f>
        <v/>
      </c>
      <c r="AC12932" s="16" t="str">
        <f>IFERROR(__xludf.DUMMYFUNCTION("""COMPUTED_VALUE"""),"")</f>
        <v/>
      </c>
    </row>
    <row r="12933">
      <c r="A12933" s="16" t="s">
        <v>87</v>
      </c>
      <c r="E12933" s="16" t="str">
        <f>IFERROR(__xludf.DUMMYFUNCTION("""COMPUTED_VALUE"""),"")</f>
        <v/>
      </c>
      <c r="G12933" s="18"/>
      <c r="H12933" s="16" t="s">
        <v>87</v>
      </c>
      <c r="I12933" s="16" t="s">
        <v>87</v>
      </c>
      <c r="J12933" s="19"/>
      <c r="L12933" s="16" t="str">
        <f>IFERROR(__xludf.DUMMYFUNCTION("""COMPUTED_VALUE"""),"")</f>
        <v/>
      </c>
      <c r="M12933" s="16" t="str">
        <f>IFERROR(__xludf.DUMMYFUNCTION("""COMPUTED_VALUE"""),"")</f>
        <v/>
      </c>
      <c r="U12933" s="16" t="s">
        <v>87</v>
      </c>
      <c r="V12933" s="16" t="str">
        <f>IFERROR(__xludf.DUMMYFUNCTION("""COMPUTED_VALUE"""),"")</f>
        <v/>
      </c>
      <c r="W12933" s="16" t="str">
        <f>IFERROR(__xludf.DUMMYFUNCTION("""COMPUTED_VALUE"""),"")</f>
        <v/>
      </c>
      <c r="X12933" s="16" t="str">
        <f>IFERROR(__xludf.DUMMYFUNCTION("""COMPUTED_VALUE"""),"")</f>
        <v/>
      </c>
      <c r="AC12933" s="16" t="str">
        <f>IFERROR(__xludf.DUMMYFUNCTION("""COMPUTED_VALUE"""),"")</f>
        <v/>
      </c>
    </row>
    <row r="12934">
      <c r="A12934" s="16" t="s">
        <v>87</v>
      </c>
      <c r="E12934" s="16" t="str">
        <f>IFERROR(__xludf.DUMMYFUNCTION("""COMPUTED_VALUE"""),"")</f>
        <v/>
      </c>
      <c r="G12934" s="18"/>
      <c r="H12934" s="16" t="s">
        <v>87</v>
      </c>
      <c r="I12934" s="16" t="s">
        <v>87</v>
      </c>
      <c r="J12934" s="19"/>
      <c r="L12934" s="16" t="str">
        <f>IFERROR(__xludf.DUMMYFUNCTION("""COMPUTED_VALUE"""),"")</f>
        <v/>
      </c>
      <c r="M12934" s="16" t="str">
        <f>IFERROR(__xludf.DUMMYFUNCTION("""COMPUTED_VALUE"""),"")</f>
        <v/>
      </c>
      <c r="U12934" s="16" t="s">
        <v>87</v>
      </c>
      <c r="V12934" s="16" t="str">
        <f>IFERROR(__xludf.DUMMYFUNCTION("""COMPUTED_VALUE"""),"")</f>
        <v/>
      </c>
      <c r="W12934" s="16" t="str">
        <f>IFERROR(__xludf.DUMMYFUNCTION("""COMPUTED_VALUE"""),"")</f>
        <v/>
      </c>
      <c r="X12934" s="16" t="str">
        <f>IFERROR(__xludf.DUMMYFUNCTION("""COMPUTED_VALUE"""),"")</f>
        <v/>
      </c>
      <c r="AC12934" s="16" t="str">
        <f>IFERROR(__xludf.DUMMYFUNCTION("""COMPUTED_VALUE"""),"")</f>
        <v/>
      </c>
    </row>
    <row r="12935">
      <c r="A12935" s="16" t="s">
        <v>87</v>
      </c>
      <c r="E12935" s="16" t="str">
        <f>IFERROR(__xludf.DUMMYFUNCTION("""COMPUTED_VALUE"""),"")</f>
        <v/>
      </c>
      <c r="G12935" s="18"/>
      <c r="H12935" s="16" t="s">
        <v>87</v>
      </c>
      <c r="I12935" s="16" t="s">
        <v>87</v>
      </c>
      <c r="J12935" s="19"/>
      <c r="L12935" s="16" t="str">
        <f>IFERROR(__xludf.DUMMYFUNCTION("""COMPUTED_VALUE"""),"")</f>
        <v/>
      </c>
      <c r="M12935" s="16" t="str">
        <f>IFERROR(__xludf.DUMMYFUNCTION("""COMPUTED_VALUE"""),"")</f>
        <v/>
      </c>
      <c r="U12935" s="16" t="s">
        <v>87</v>
      </c>
      <c r="V12935" s="16" t="str">
        <f>IFERROR(__xludf.DUMMYFUNCTION("""COMPUTED_VALUE"""),"")</f>
        <v/>
      </c>
      <c r="W12935" s="16" t="str">
        <f>IFERROR(__xludf.DUMMYFUNCTION("""COMPUTED_VALUE"""),"")</f>
        <v/>
      </c>
      <c r="X12935" s="16" t="str">
        <f>IFERROR(__xludf.DUMMYFUNCTION("""COMPUTED_VALUE"""),"")</f>
        <v/>
      </c>
      <c r="AC12935" s="16" t="str">
        <f>IFERROR(__xludf.DUMMYFUNCTION("""COMPUTED_VALUE"""),"")</f>
        <v/>
      </c>
    </row>
    <row r="12936">
      <c r="A12936" s="16" t="s">
        <v>87</v>
      </c>
      <c r="E12936" s="16" t="str">
        <f>IFERROR(__xludf.DUMMYFUNCTION("""COMPUTED_VALUE"""),"")</f>
        <v/>
      </c>
      <c r="G12936" s="18"/>
      <c r="H12936" s="16" t="s">
        <v>87</v>
      </c>
      <c r="I12936" s="16" t="s">
        <v>87</v>
      </c>
      <c r="J12936" s="19"/>
      <c r="L12936" s="16" t="str">
        <f>IFERROR(__xludf.DUMMYFUNCTION("""COMPUTED_VALUE"""),"")</f>
        <v/>
      </c>
      <c r="M12936" s="16" t="str">
        <f>IFERROR(__xludf.DUMMYFUNCTION("""COMPUTED_VALUE"""),"")</f>
        <v/>
      </c>
      <c r="U12936" s="16" t="s">
        <v>87</v>
      </c>
      <c r="V12936" s="16" t="str">
        <f>IFERROR(__xludf.DUMMYFUNCTION("""COMPUTED_VALUE"""),"")</f>
        <v/>
      </c>
      <c r="W12936" s="16" t="str">
        <f>IFERROR(__xludf.DUMMYFUNCTION("""COMPUTED_VALUE"""),"")</f>
        <v/>
      </c>
      <c r="X12936" s="16" t="str">
        <f>IFERROR(__xludf.DUMMYFUNCTION("""COMPUTED_VALUE"""),"")</f>
        <v/>
      </c>
      <c r="AC12936" s="16" t="str">
        <f>IFERROR(__xludf.DUMMYFUNCTION("""COMPUTED_VALUE"""),"")</f>
        <v/>
      </c>
    </row>
    <row r="12937">
      <c r="A12937" s="16" t="s">
        <v>87</v>
      </c>
      <c r="E12937" s="16" t="str">
        <f>IFERROR(__xludf.DUMMYFUNCTION("""COMPUTED_VALUE"""),"")</f>
        <v/>
      </c>
      <c r="G12937" s="18"/>
      <c r="H12937" s="16" t="s">
        <v>87</v>
      </c>
      <c r="I12937" s="16" t="s">
        <v>87</v>
      </c>
      <c r="J12937" s="19"/>
      <c r="L12937" s="16" t="str">
        <f>IFERROR(__xludf.DUMMYFUNCTION("""COMPUTED_VALUE"""),"")</f>
        <v/>
      </c>
      <c r="M12937" s="16" t="str">
        <f>IFERROR(__xludf.DUMMYFUNCTION("""COMPUTED_VALUE"""),"")</f>
        <v/>
      </c>
      <c r="U12937" s="16" t="s">
        <v>87</v>
      </c>
      <c r="V12937" s="16" t="str">
        <f>IFERROR(__xludf.DUMMYFUNCTION("""COMPUTED_VALUE"""),"")</f>
        <v/>
      </c>
      <c r="W12937" s="16" t="str">
        <f>IFERROR(__xludf.DUMMYFUNCTION("""COMPUTED_VALUE"""),"")</f>
        <v/>
      </c>
      <c r="X12937" s="16" t="str">
        <f>IFERROR(__xludf.DUMMYFUNCTION("""COMPUTED_VALUE"""),"")</f>
        <v/>
      </c>
      <c r="AC12937" s="16" t="str">
        <f>IFERROR(__xludf.DUMMYFUNCTION("""COMPUTED_VALUE"""),"")</f>
        <v/>
      </c>
    </row>
    <row r="12938">
      <c r="A12938" s="16" t="s">
        <v>87</v>
      </c>
      <c r="E12938" s="16" t="str">
        <f>IFERROR(__xludf.DUMMYFUNCTION("""COMPUTED_VALUE"""),"")</f>
        <v/>
      </c>
      <c r="G12938" s="18"/>
      <c r="H12938" s="16" t="s">
        <v>87</v>
      </c>
      <c r="I12938" s="16" t="s">
        <v>87</v>
      </c>
      <c r="J12938" s="19"/>
      <c r="L12938" s="16" t="str">
        <f>IFERROR(__xludf.DUMMYFUNCTION("""COMPUTED_VALUE"""),"")</f>
        <v/>
      </c>
      <c r="M12938" s="16" t="str">
        <f>IFERROR(__xludf.DUMMYFUNCTION("""COMPUTED_VALUE"""),"")</f>
        <v/>
      </c>
      <c r="U12938" s="16" t="s">
        <v>87</v>
      </c>
      <c r="V12938" s="16" t="str">
        <f>IFERROR(__xludf.DUMMYFUNCTION("""COMPUTED_VALUE"""),"")</f>
        <v/>
      </c>
      <c r="W12938" s="16" t="str">
        <f>IFERROR(__xludf.DUMMYFUNCTION("""COMPUTED_VALUE"""),"")</f>
        <v/>
      </c>
      <c r="X12938" s="16" t="str">
        <f>IFERROR(__xludf.DUMMYFUNCTION("""COMPUTED_VALUE"""),"")</f>
        <v/>
      </c>
      <c r="AC12938" s="16" t="str">
        <f>IFERROR(__xludf.DUMMYFUNCTION("""COMPUTED_VALUE"""),"")</f>
        <v/>
      </c>
    </row>
    <row r="12939">
      <c r="A12939" s="16" t="s">
        <v>87</v>
      </c>
      <c r="E12939" s="16" t="str">
        <f>IFERROR(__xludf.DUMMYFUNCTION("""COMPUTED_VALUE"""),"")</f>
        <v/>
      </c>
      <c r="G12939" s="18"/>
      <c r="H12939" s="16" t="s">
        <v>87</v>
      </c>
      <c r="I12939" s="16" t="s">
        <v>87</v>
      </c>
      <c r="J12939" s="19"/>
      <c r="L12939" s="16" t="str">
        <f>IFERROR(__xludf.DUMMYFUNCTION("""COMPUTED_VALUE"""),"")</f>
        <v/>
      </c>
      <c r="M12939" s="16" t="str">
        <f>IFERROR(__xludf.DUMMYFUNCTION("""COMPUTED_VALUE"""),"")</f>
        <v/>
      </c>
      <c r="U12939" s="16" t="s">
        <v>87</v>
      </c>
      <c r="V12939" s="16" t="str">
        <f>IFERROR(__xludf.DUMMYFUNCTION("""COMPUTED_VALUE"""),"")</f>
        <v/>
      </c>
      <c r="W12939" s="16" t="str">
        <f>IFERROR(__xludf.DUMMYFUNCTION("""COMPUTED_VALUE"""),"")</f>
        <v/>
      </c>
      <c r="X12939" s="16" t="str">
        <f>IFERROR(__xludf.DUMMYFUNCTION("""COMPUTED_VALUE"""),"")</f>
        <v/>
      </c>
      <c r="AC12939" s="16" t="str">
        <f>IFERROR(__xludf.DUMMYFUNCTION("""COMPUTED_VALUE"""),"")</f>
        <v/>
      </c>
    </row>
    <row r="12940">
      <c r="A12940" s="16" t="s">
        <v>87</v>
      </c>
      <c r="E12940" s="16" t="str">
        <f>IFERROR(__xludf.DUMMYFUNCTION("""COMPUTED_VALUE"""),"")</f>
        <v/>
      </c>
      <c r="G12940" s="18"/>
      <c r="H12940" s="16" t="s">
        <v>87</v>
      </c>
      <c r="I12940" s="16" t="s">
        <v>87</v>
      </c>
      <c r="J12940" s="19"/>
      <c r="L12940" s="16" t="str">
        <f>IFERROR(__xludf.DUMMYFUNCTION("""COMPUTED_VALUE"""),"")</f>
        <v/>
      </c>
      <c r="M12940" s="16" t="str">
        <f>IFERROR(__xludf.DUMMYFUNCTION("""COMPUTED_VALUE"""),"")</f>
        <v/>
      </c>
      <c r="U12940" s="16" t="s">
        <v>87</v>
      </c>
      <c r="V12940" s="16" t="str">
        <f>IFERROR(__xludf.DUMMYFUNCTION("""COMPUTED_VALUE"""),"")</f>
        <v/>
      </c>
      <c r="W12940" s="16" t="str">
        <f>IFERROR(__xludf.DUMMYFUNCTION("""COMPUTED_VALUE"""),"")</f>
        <v/>
      </c>
      <c r="X12940" s="16" t="str">
        <f>IFERROR(__xludf.DUMMYFUNCTION("""COMPUTED_VALUE"""),"")</f>
        <v/>
      </c>
      <c r="AC12940" s="16" t="str">
        <f>IFERROR(__xludf.DUMMYFUNCTION("""COMPUTED_VALUE"""),"")</f>
        <v/>
      </c>
    </row>
    <row r="12941">
      <c r="A12941" s="16" t="s">
        <v>87</v>
      </c>
      <c r="E12941" s="16" t="str">
        <f>IFERROR(__xludf.DUMMYFUNCTION("""COMPUTED_VALUE"""),"")</f>
        <v/>
      </c>
      <c r="G12941" s="18"/>
      <c r="H12941" s="16" t="s">
        <v>87</v>
      </c>
      <c r="I12941" s="16" t="s">
        <v>87</v>
      </c>
      <c r="J12941" s="19"/>
      <c r="L12941" s="16" t="str">
        <f>IFERROR(__xludf.DUMMYFUNCTION("""COMPUTED_VALUE"""),"")</f>
        <v/>
      </c>
      <c r="M12941" s="16" t="str">
        <f>IFERROR(__xludf.DUMMYFUNCTION("""COMPUTED_VALUE"""),"")</f>
        <v/>
      </c>
      <c r="U12941" s="16" t="s">
        <v>87</v>
      </c>
      <c r="V12941" s="16" t="str">
        <f>IFERROR(__xludf.DUMMYFUNCTION("""COMPUTED_VALUE"""),"")</f>
        <v/>
      </c>
      <c r="W12941" s="16" t="str">
        <f>IFERROR(__xludf.DUMMYFUNCTION("""COMPUTED_VALUE"""),"")</f>
        <v/>
      </c>
      <c r="X12941" s="16" t="str">
        <f>IFERROR(__xludf.DUMMYFUNCTION("""COMPUTED_VALUE"""),"")</f>
        <v/>
      </c>
      <c r="AC12941" s="16" t="str">
        <f>IFERROR(__xludf.DUMMYFUNCTION("""COMPUTED_VALUE"""),"")</f>
        <v/>
      </c>
    </row>
    <row r="12942">
      <c r="A12942" s="16" t="s">
        <v>87</v>
      </c>
      <c r="E12942" s="16" t="str">
        <f>IFERROR(__xludf.DUMMYFUNCTION("""COMPUTED_VALUE"""),"")</f>
        <v/>
      </c>
      <c r="G12942" s="18"/>
      <c r="H12942" s="16" t="s">
        <v>87</v>
      </c>
      <c r="I12942" s="16" t="s">
        <v>87</v>
      </c>
      <c r="J12942" s="19"/>
      <c r="L12942" s="16" t="str">
        <f>IFERROR(__xludf.DUMMYFUNCTION("""COMPUTED_VALUE"""),"")</f>
        <v/>
      </c>
      <c r="M12942" s="16" t="str">
        <f>IFERROR(__xludf.DUMMYFUNCTION("""COMPUTED_VALUE"""),"")</f>
        <v/>
      </c>
      <c r="U12942" s="16" t="s">
        <v>87</v>
      </c>
      <c r="V12942" s="16" t="str">
        <f>IFERROR(__xludf.DUMMYFUNCTION("""COMPUTED_VALUE"""),"")</f>
        <v/>
      </c>
      <c r="W12942" s="16" t="str">
        <f>IFERROR(__xludf.DUMMYFUNCTION("""COMPUTED_VALUE"""),"")</f>
        <v/>
      </c>
      <c r="X12942" s="16" t="str">
        <f>IFERROR(__xludf.DUMMYFUNCTION("""COMPUTED_VALUE"""),"")</f>
        <v/>
      </c>
      <c r="AC12942" s="16" t="str">
        <f>IFERROR(__xludf.DUMMYFUNCTION("""COMPUTED_VALUE"""),"")</f>
        <v/>
      </c>
    </row>
    <row r="12943">
      <c r="A12943" s="16" t="s">
        <v>87</v>
      </c>
      <c r="E12943" s="16" t="str">
        <f>IFERROR(__xludf.DUMMYFUNCTION("""COMPUTED_VALUE"""),"")</f>
        <v/>
      </c>
      <c r="G12943" s="18"/>
      <c r="H12943" s="16" t="s">
        <v>87</v>
      </c>
      <c r="I12943" s="16" t="s">
        <v>87</v>
      </c>
      <c r="J12943" s="19"/>
      <c r="L12943" s="16" t="str">
        <f>IFERROR(__xludf.DUMMYFUNCTION("""COMPUTED_VALUE"""),"")</f>
        <v/>
      </c>
      <c r="M12943" s="16" t="str">
        <f>IFERROR(__xludf.DUMMYFUNCTION("""COMPUTED_VALUE"""),"")</f>
        <v/>
      </c>
      <c r="U12943" s="16" t="s">
        <v>87</v>
      </c>
      <c r="V12943" s="16" t="str">
        <f>IFERROR(__xludf.DUMMYFUNCTION("""COMPUTED_VALUE"""),"")</f>
        <v/>
      </c>
      <c r="W12943" s="16" t="str">
        <f>IFERROR(__xludf.DUMMYFUNCTION("""COMPUTED_VALUE"""),"")</f>
        <v/>
      </c>
      <c r="X12943" s="16" t="str">
        <f>IFERROR(__xludf.DUMMYFUNCTION("""COMPUTED_VALUE"""),"")</f>
        <v/>
      </c>
      <c r="AC12943" s="16" t="str">
        <f>IFERROR(__xludf.DUMMYFUNCTION("""COMPUTED_VALUE"""),"")</f>
        <v/>
      </c>
    </row>
    <row r="12944">
      <c r="A12944" s="16" t="s">
        <v>87</v>
      </c>
      <c r="E12944" s="16" t="str">
        <f>IFERROR(__xludf.DUMMYFUNCTION("""COMPUTED_VALUE"""),"")</f>
        <v/>
      </c>
      <c r="G12944" s="18"/>
      <c r="H12944" s="16" t="s">
        <v>87</v>
      </c>
      <c r="I12944" s="16" t="s">
        <v>87</v>
      </c>
      <c r="J12944" s="19"/>
      <c r="L12944" s="16" t="str">
        <f>IFERROR(__xludf.DUMMYFUNCTION("""COMPUTED_VALUE"""),"")</f>
        <v/>
      </c>
      <c r="M12944" s="16" t="str">
        <f>IFERROR(__xludf.DUMMYFUNCTION("""COMPUTED_VALUE"""),"")</f>
        <v/>
      </c>
      <c r="U12944" s="16" t="s">
        <v>87</v>
      </c>
      <c r="V12944" s="16" t="str">
        <f>IFERROR(__xludf.DUMMYFUNCTION("""COMPUTED_VALUE"""),"")</f>
        <v/>
      </c>
      <c r="W12944" s="16" t="str">
        <f>IFERROR(__xludf.DUMMYFUNCTION("""COMPUTED_VALUE"""),"")</f>
        <v/>
      </c>
      <c r="X12944" s="16" t="str">
        <f>IFERROR(__xludf.DUMMYFUNCTION("""COMPUTED_VALUE"""),"")</f>
        <v/>
      </c>
      <c r="AC12944" s="16" t="str">
        <f>IFERROR(__xludf.DUMMYFUNCTION("""COMPUTED_VALUE"""),"")</f>
        <v/>
      </c>
    </row>
    <row r="12945">
      <c r="A12945" s="16" t="s">
        <v>87</v>
      </c>
      <c r="E12945" s="16" t="str">
        <f>IFERROR(__xludf.DUMMYFUNCTION("""COMPUTED_VALUE"""),"")</f>
        <v/>
      </c>
      <c r="G12945" s="18"/>
      <c r="H12945" s="16" t="s">
        <v>87</v>
      </c>
      <c r="I12945" s="16" t="s">
        <v>87</v>
      </c>
      <c r="J12945" s="19"/>
      <c r="L12945" s="16" t="str">
        <f>IFERROR(__xludf.DUMMYFUNCTION("""COMPUTED_VALUE"""),"")</f>
        <v/>
      </c>
      <c r="M12945" s="16" t="str">
        <f>IFERROR(__xludf.DUMMYFUNCTION("""COMPUTED_VALUE"""),"")</f>
        <v/>
      </c>
      <c r="U12945" s="16" t="s">
        <v>87</v>
      </c>
      <c r="V12945" s="16" t="str">
        <f>IFERROR(__xludf.DUMMYFUNCTION("""COMPUTED_VALUE"""),"")</f>
        <v/>
      </c>
      <c r="W12945" s="16" t="str">
        <f>IFERROR(__xludf.DUMMYFUNCTION("""COMPUTED_VALUE"""),"")</f>
        <v/>
      </c>
      <c r="X12945" s="16" t="str">
        <f>IFERROR(__xludf.DUMMYFUNCTION("""COMPUTED_VALUE"""),"")</f>
        <v/>
      </c>
      <c r="AC12945" s="16" t="str">
        <f>IFERROR(__xludf.DUMMYFUNCTION("""COMPUTED_VALUE"""),"")</f>
        <v/>
      </c>
    </row>
    <row r="12946">
      <c r="A12946" s="16" t="s">
        <v>87</v>
      </c>
      <c r="E12946" s="16" t="str">
        <f>IFERROR(__xludf.DUMMYFUNCTION("""COMPUTED_VALUE"""),"")</f>
        <v/>
      </c>
      <c r="G12946" s="18"/>
      <c r="H12946" s="16" t="s">
        <v>87</v>
      </c>
      <c r="I12946" s="16" t="s">
        <v>87</v>
      </c>
      <c r="J12946" s="19"/>
      <c r="L12946" s="16" t="str">
        <f>IFERROR(__xludf.DUMMYFUNCTION("""COMPUTED_VALUE"""),"")</f>
        <v/>
      </c>
      <c r="M12946" s="16" t="str">
        <f>IFERROR(__xludf.DUMMYFUNCTION("""COMPUTED_VALUE"""),"")</f>
        <v/>
      </c>
      <c r="U12946" s="16" t="s">
        <v>87</v>
      </c>
      <c r="V12946" s="16" t="str">
        <f>IFERROR(__xludf.DUMMYFUNCTION("""COMPUTED_VALUE"""),"")</f>
        <v/>
      </c>
      <c r="W12946" s="16" t="str">
        <f>IFERROR(__xludf.DUMMYFUNCTION("""COMPUTED_VALUE"""),"")</f>
        <v/>
      </c>
      <c r="X12946" s="16" t="str">
        <f>IFERROR(__xludf.DUMMYFUNCTION("""COMPUTED_VALUE"""),"")</f>
        <v/>
      </c>
      <c r="AC12946" s="16" t="str">
        <f>IFERROR(__xludf.DUMMYFUNCTION("""COMPUTED_VALUE"""),"")</f>
        <v/>
      </c>
    </row>
    <row r="12947">
      <c r="A12947" s="16" t="s">
        <v>87</v>
      </c>
      <c r="E12947" s="16" t="str">
        <f>IFERROR(__xludf.DUMMYFUNCTION("""COMPUTED_VALUE"""),"")</f>
        <v/>
      </c>
      <c r="G12947" s="18"/>
      <c r="H12947" s="16" t="s">
        <v>87</v>
      </c>
      <c r="I12947" s="16" t="s">
        <v>87</v>
      </c>
      <c r="J12947" s="19"/>
      <c r="L12947" s="16" t="str">
        <f>IFERROR(__xludf.DUMMYFUNCTION("""COMPUTED_VALUE"""),"")</f>
        <v/>
      </c>
      <c r="M12947" s="16" t="str">
        <f>IFERROR(__xludf.DUMMYFUNCTION("""COMPUTED_VALUE"""),"")</f>
        <v/>
      </c>
      <c r="U12947" s="16" t="s">
        <v>87</v>
      </c>
      <c r="V12947" s="16" t="str">
        <f>IFERROR(__xludf.DUMMYFUNCTION("""COMPUTED_VALUE"""),"")</f>
        <v/>
      </c>
      <c r="W12947" s="16" t="str">
        <f>IFERROR(__xludf.DUMMYFUNCTION("""COMPUTED_VALUE"""),"")</f>
        <v/>
      </c>
      <c r="X12947" s="16" t="str">
        <f>IFERROR(__xludf.DUMMYFUNCTION("""COMPUTED_VALUE"""),"")</f>
        <v/>
      </c>
      <c r="AC12947" s="16" t="str">
        <f>IFERROR(__xludf.DUMMYFUNCTION("""COMPUTED_VALUE"""),"")</f>
        <v/>
      </c>
    </row>
    <row r="12948">
      <c r="A12948" s="16" t="s">
        <v>87</v>
      </c>
      <c r="E12948" s="16" t="str">
        <f>IFERROR(__xludf.DUMMYFUNCTION("""COMPUTED_VALUE"""),"")</f>
        <v/>
      </c>
      <c r="G12948" s="18"/>
      <c r="H12948" s="16" t="s">
        <v>87</v>
      </c>
      <c r="I12948" s="16" t="s">
        <v>87</v>
      </c>
      <c r="J12948" s="19"/>
      <c r="L12948" s="16" t="str">
        <f>IFERROR(__xludf.DUMMYFUNCTION("""COMPUTED_VALUE"""),"")</f>
        <v/>
      </c>
      <c r="M12948" s="16" t="str">
        <f>IFERROR(__xludf.DUMMYFUNCTION("""COMPUTED_VALUE"""),"")</f>
        <v/>
      </c>
      <c r="U12948" s="16" t="s">
        <v>87</v>
      </c>
      <c r="V12948" s="16" t="str">
        <f>IFERROR(__xludf.DUMMYFUNCTION("""COMPUTED_VALUE"""),"")</f>
        <v/>
      </c>
      <c r="W12948" s="16" t="str">
        <f>IFERROR(__xludf.DUMMYFUNCTION("""COMPUTED_VALUE"""),"")</f>
        <v/>
      </c>
      <c r="X12948" s="16" t="str">
        <f>IFERROR(__xludf.DUMMYFUNCTION("""COMPUTED_VALUE"""),"")</f>
        <v/>
      </c>
      <c r="AC12948" s="16" t="str">
        <f>IFERROR(__xludf.DUMMYFUNCTION("""COMPUTED_VALUE"""),"")</f>
        <v/>
      </c>
    </row>
    <row r="12949">
      <c r="A12949" s="16" t="s">
        <v>87</v>
      </c>
      <c r="E12949" s="16" t="str">
        <f>IFERROR(__xludf.DUMMYFUNCTION("""COMPUTED_VALUE"""),"")</f>
        <v/>
      </c>
      <c r="G12949" s="18"/>
      <c r="H12949" s="16" t="s">
        <v>87</v>
      </c>
      <c r="I12949" s="16" t="s">
        <v>87</v>
      </c>
      <c r="J12949" s="19"/>
      <c r="L12949" s="16" t="str">
        <f>IFERROR(__xludf.DUMMYFUNCTION("""COMPUTED_VALUE"""),"")</f>
        <v/>
      </c>
      <c r="M12949" s="16" t="str">
        <f>IFERROR(__xludf.DUMMYFUNCTION("""COMPUTED_VALUE"""),"")</f>
        <v/>
      </c>
      <c r="U12949" s="16" t="s">
        <v>87</v>
      </c>
      <c r="V12949" s="16" t="str">
        <f>IFERROR(__xludf.DUMMYFUNCTION("""COMPUTED_VALUE"""),"")</f>
        <v/>
      </c>
      <c r="W12949" s="16" t="str">
        <f>IFERROR(__xludf.DUMMYFUNCTION("""COMPUTED_VALUE"""),"")</f>
        <v/>
      </c>
      <c r="X12949" s="16" t="str">
        <f>IFERROR(__xludf.DUMMYFUNCTION("""COMPUTED_VALUE"""),"")</f>
        <v/>
      </c>
      <c r="AC12949" s="16" t="str">
        <f>IFERROR(__xludf.DUMMYFUNCTION("""COMPUTED_VALUE"""),"")</f>
        <v/>
      </c>
    </row>
    <row r="12950">
      <c r="A12950" s="16" t="s">
        <v>87</v>
      </c>
      <c r="E12950" s="16" t="str">
        <f>IFERROR(__xludf.DUMMYFUNCTION("""COMPUTED_VALUE"""),"")</f>
        <v/>
      </c>
      <c r="G12950" s="18"/>
      <c r="H12950" s="16" t="s">
        <v>87</v>
      </c>
      <c r="I12950" s="16" t="s">
        <v>87</v>
      </c>
      <c r="J12950" s="19"/>
      <c r="L12950" s="16" t="str">
        <f>IFERROR(__xludf.DUMMYFUNCTION("""COMPUTED_VALUE"""),"")</f>
        <v/>
      </c>
      <c r="M12950" s="16" t="str">
        <f>IFERROR(__xludf.DUMMYFUNCTION("""COMPUTED_VALUE"""),"")</f>
        <v/>
      </c>
      <c r="U12950" s="16" t="s">
        <v>87</v>
      </c>
      <c r="V12950" s="16" t="str">
        <f>IFERROR(__xludf.DUMMYFUNCTION("""COMPUTED_VALUE"""),"")</f>
        <v/>
      </c>
      <c r="W12950" s="16" t="str">
        <f>IFERROR(__xludf.DUMMYFUNCTION("""COMPUTED_VALUE"""),"")</f>
        <v/>
      </c>
      <c r="X12950" s="16" t="str">
        <f>IFERROR(__xludf.DUMMYFUNCTION("""COMPUTED_VALUE"""),"")</f>
        <v/>
      </c>
      <c r="AC12950" s="16" t="str">
        <f>IFERROR(__xludf.DUMMYFUNCTION("""COMPUTED_VALUE"""),"")</f>
        <v/>
      </c>
    </row>
    <row r="12951">
      <c r="A12951" s="16" t="s">
        <v>87</v>
      </c>
      <c r="E12951" s="16" t="str">
        <f>IFERROR(__xludf.DUMMYFUNCTION("""COMPUTED_VALUE"""),"")</f>
        <v/>
      </c>
      <c r="G12951" s="18"/>
      <c r="H12951" s="16" t="s">
        <v>87</v>
      </c>
      <c r="I12951" s="16" t="s">
        <v>87</v>
      </c>
      <c r="J12951" s="19"/>
      <c r="L12951" s="16" t="str">
        <f>IFERROR(__xludf.DUMMYFUNCTION("""COMPUTED_VALUE"""),"")</f>
        <v/>
      </c>
      <c r="M12951" s="16" t="str">
        <f>IFERROR(__xludf.DUMMYFUNCTION("""COMPUTED_VALUE"""),"")</f>
        <v/>
      </c>
      <c r="U12951" s="16" t="s">
        <v>87</v>
      </c>
      <c r="V12951" s="16" t="str">
        <f>IFERROR(__xludf.DUMMYFUNCTION("""COMPUTED_VALUE"""),"")</f>
        <v/>
      </c>
      <c r="W12951" s="16" t="str">
        <f>IFERROR(__xludf.DUMMYFUNCTION("""COMPUTED_VALUE"""),"")</f>
        <v/>
      </c>
      <c r="X12951" s="16" t="str">
        <f>IFERROR(__xludf.DUMMYFUNCTION("""COMPUTED_VALUE"""),"")</f>
        <v/>
      </c>
      <c r="AC12951" s="16" t="str">
        <f>IFERROR(__xludf.DUMMYFUNCTION("""COMPUTED_VALUE"""),"")</f>
        <v/>
      </c>
    </row>
    <row r="12952">
      <c r="A12952" s="16" t="s">
        <v>87</v>
      </c>
      <c r="E12952" s="16" t="str">
        <f>IFERROR(__xludf.DUMMYFUNCTION("""COMPUTED_VALUE"""),"")</f>
        <v/>
      </c>
      <c r="G12952" s="18"/>
      <c r="H12952" s="16" t="s">
        <v>87</v>
      </c>
      <c r="I12952" s="16" t="s">
        <v>87</v>
      </c>
      <c r="J12952" s="19"/>
      <c r="L12952" s="16" t="str">
        <f>IFERROR(__xludf.DUMMYFUNCTION("""COMPUTED_VALUE"""),"")</f>
        <v/>
      </c>
      <c r="M12952" s="16" t="str">
        <f>IFERROR(__xludf.DUMMYFUNCTION("""COMPUTED_VALUE"""),"")</f>
        <v/>
      </c>
      <c r="U12952" s="16" t="s">
        <v>87</v>
      </c>
      <c r="V12952" s="16" t="str">
        <f>IFERROR(__xludf.DUMMYFUNCTION("""COMPUTED_VALUE"""),"")</f>
        <v/>
      </c>
      <c r="W12952" s="16" t="str">
        <f>IFERROR(__xludf.DUMMYFUNCTION("""COMPUTED_VALUE"""),"")</f>
        <v/>
      </c>
      <c r="X12952" s="16" t="str">
        <f>IFERROR(__xludf.DUMMYFUNCTION("""COMPUTED_VALUE"""),"")</f>
        <v/>
      </c>
      <c r="AC12952" s="16" t="str">
        <f>IFERROR(__xludf.DUMMYFUNCTION("""COMPUTED_VALUE"""),"")</f>
        <v/>
      </c>
    </row>
    <row r="12953">
      <c r="A12953" s="16" t="s">
        <v>87</v>
      </c>
      <c r="E12953" s="16" t="str">
        <f>IFERROR(__xludf.DUMMYFUNCTION("""COMPUTED_VALUE"""),"")</f>
        <v/>
      </c>
      <c r="G12953" s="18"/>
      <c r="H12953" s="16" t="s">
        <v>87</v>
      </c>
      <c r="I12953" s="16" t="s">
        <v>87</v>
      </c>
      <c r="J12953" s="19"/>
      <c r="L12953" s="16" t="str">
        <f>IFERROR(__xludf.DUMMYFUNCTION("""COMPUTED_VALUE"""),"")</f>
        <v/>
      </c>
      <c r="M12953" s="16" t="str">
        <f>IFERROR(__xludf.DUMMYFUNCTION("""COMPUTED_VALUE"""),"")</f>
        <v/>
      </c>
      <c r="U12953" s="16" t="s">
        <v>87</v>
      </c>
      <c r="V12953" s="16" t="str">
        <f>IFERROR(__xludf.DUMMYFUNCTION("""COMPUTED_VALUE"""),"")</f>
        <v/>
      </c>
      <c r="W12953" s="16" t="str">
        <f>IFERROR(__xludf.DUMMYFUNCTION("""COMPUTED_VALUE"""),"")</f>
        <v/>
      </c>
      <c r="X12953" s="16" t="str">
        <f>IFERROR(__xludf.DUMMYFUNCTION("""COMPUTED_VALUE"""),"")</f>
        <v/>
      </c>
      <c r="AC12953" s="16" t="str">
        <f>IFERROR(__xludf.DUMMYFUNCTION("""COMPUTED_VALUE"""),"")</f>
        <v/>
      </c>
    </row>
    <row r="12954">
      <c r="A12954" s="16" t="s">
        <v>87</v>
      </c>
      <c r="E12954" s="16" t="str">
        <f>IFERROR(__xludf.DUMMYFUNCTION("""COMPUTED_VALUE"""),"")</f>
        <v/>
      </c>
      <c r="G12954" s="18"/>
      <c r="H12954" s="16" t="s">
        <v>87</v>
      </c>
      <c r="I12954" s="16" t="s">
        <v>87</v>
      </c>
      <c r="J12954" s="19"/>
      <c r="L12954" s="16" t="str">
        <f>IFERROR(__xludf.DUMMYFUNCTION("""COMPUTED_VALUE"""),"")</f>
        <v/>
      </c>
      <c r="M12954" s="16" t="str">
        <f>IFERROR(__xludf.DUMMYFUNCTION("""COMPUTED_VALUE"""),"")</f>
        <v/>
      </c>
      <c r="U12954" s="16" t="s">
        <v>87</v>
      </c>
      <c r="V12954" s="16" t="str">
        <f>IFERROR(__xludf.DUMMYFUNCTION("""COMPUTED_VALUE"""),"")</f>
        <v/>
      </c>
      <c r="W12954" s="16" t="str">
        <f>IFERROR(__xludf.DUMMYFUNCTION("""COMPUTED_VALUE"""),"")</f>
        <v/>
      </c>
      <c r="X12954" s="16" t="str">
        <f>IFERROR(__xludf.DUMMYFUNCTION("""COMPUTED_VALUE"""),"")</f>
        <v/>
      </c>
      <c r="AC12954" s="16" t="str">
        <f>IFERROR(__xludf.DUMMYFUNCTION("""COMPUTED_VALUE"""),"")</f>
        <v/>
      </c>
    </row>
    <row r="12955">
      <c r="A12955" s="16" t="s">
        <v>87</v>
      </c>
      <c r="E12955" s="16" t="str">
        <f>IFERROR(__xludf.DUMMYFUNCTION("""COMPUTED_VALUE"""),"")</f>
        <v/>
      </c>
      <c r="G12955" s="18"/>
      <c r="H12955" s="16" t="s">
        <v>87</v>
      </c>
      <c r="I12955" s="16" t="s">
        <v>87</v>
      </c>
      <c r="J12955" s="19"/>
      <c r="L12955" s="16" t="str">
        <f>IFERROR(__xludf.DUMMYFUNCTION("""COMPUTED_VALUE"""),"")</f>
        <v/>
      </c>
      <c r="M12955" s="16" t="str">
        <f>IFERROR(__xludf.DUMMYFUNCTION("""COMPUTED_VALUE"""),"")</f>
        <v/>
      </c>
      <c r="U12955" s="16" t="s">
        <v>87</v>
      </c>
      <c r="V12955" s="16" t="str">
        <f>IFERROR(__xludf.DUMMYFUNCTION("""COMPUTED_VALUE"""),"")</f>
        <v/>
      </c>
      <c r="W12955" s="16" t="str">
        <f>IFERROR(__xludf.DUMMYFUNCTION("""COMPUTED_VALUE"""),"")</f>
        <v/>
      </c>
      <c r="X12955" s="16" t="str">
        <f>IFERROR(__xludf.DUMMYFUNCTION("""COMPUTED_VALUE"""),"")</f>
        <v/>
      </c>
      <c r="AC12955" s="16" t="str">
        <f>IFERROR(__xludf.DUMMYFUNCTION("""COMPUTED_VALUE"""),"")</f>
        <v/>
      </c>
    </row>
    <row r="12956">
      <c r="A12956" s="16" t="s">
        <v>87</v>
      </c>
      <c r="E12956" s="16" t="str">
        <f>IFERROR(__xludf.DUMMYFUNCTION("""COMPUTED_VALUE"""),"")</f>
        <v/>
      </c>
      <c r="G12956" s="18"/>
      <c r="H12956" s="16" t="s">
        <v>87</v>
      </c>
      <c r="I12956" s="16" t="s">
        <v>87</v>
      </c>
      <c r="J12956" s="19"/>
      <c r="L12956" s="16" t="str">
        <f>IFERROR(__xludf.DUMMYFUNCTION("""COMPUTED_VALUE"""),"")</f>
        <v/>
      </c>
      <c r="M12956" s="16" t="str">
        <f>IFERROR(__xludf.DUMMYFUNCTION("""COMPUTED_VALUE"""),"")</f>
        <v/>
      </c>
      <c r="U12956" s="16" t="s">
        <v>87</v>
      </c>
      <c r="V12956" s="16" t="str">
        <f>IFERROR(__xludf.DUMMYFUNCTION("""COMPUTED_VALUE"""),"")</f>
        <v/>
      </c>
      <c r="W12956" s="16" t="str">
        <f>IFERROR(__xludf.DUMMYFUNCTION("""COMPUTED_VALUE"""),"")</f>
        <v/>
      </c>
      <c r="X12956" s="16" t="str">
        <f>IFERROR(__xludf.DUMMYFUNCTION("""COMPUTED_VALUE"""),"")</f>
        <v/>
      </c>
      <c r="AC12956" s="16" t="str">
        <f>IFERROR(__xludf.DUMMYFUNCTION("""COMPUTED_VALUE"""),"")</f>
        <v/>
      </c>
    </row>
    <row r="12957">
      <c r="A12957" s="16" t="s">
        <v>87</v>
      </c>
      <c r="E12957" s="16" t="str">
        <f>IFERROR(__xludf.DUMMYFUNCTION("""COMPUTED_VALUE"""),"")</f>
        <v/>
      </c>
      <c r="G12957" s="18"/>
      <c r="H12957" s="16" t="s">
        <v>87</v>
      </c>
      <c r="I12957" s="16" t="s">
        <v>87</v>
      </c>
      <c r="J12957" s="19"/>
      <c r="L12957" s="16" t="str">
        <f>IFERROR(__xludf.DUMMYFUNCTION("""COMPUTED_VALUE"""),"")</f>
        <v/>
      </c>
      <c r="M12957" s="16" t="str">
        <f>IFERROR(__xludf.DUMMYFUNCTION("""COMPUTED_VALUE"""),"")</f>
        <v/>
      </c>
      <c r="U12957" s="16" t="s">
        <v>87</v>
      </c>
      <c r="V12957" s="16" t="str">
        <f>IFERROR(__xludf.DUMMYFUNCTION("""COMPUTED_VALUE"""),"")</f>
        <v/>
      </c>
      <c r="W12957" s="16" t="str">
        <f>IFERROR(__xludf.DUMMYFUNCTION("""COMPUTED_VALUE"""),"")</f>
        <v/>
      </c>
      <c r="X12957" s="16" t="str">
        <f>IFERROR(__xludf.DUMMYFUNCTION("""COMPUTED_VALUE"""),"")</f>
        <v/>
      </c>
      <c r="AC12957" s="16" t="str">
        <f>IFERROR(__xludf.DUMMYFUNCTION("""COMPUTED_VALUE"""),"")</f>
        <v/>
      </c>
    </row>
    <row r="12958">
      <c r="A12958" s="16" t="s">
        <v>87</v>
      </c>
      <c r="E12958" s="16" t="str">
        <f>IFERROR(__xludf.DUMMYFUNCTION("""COMPUTED_VALUE"""),"")</f>
        <v/>
      </c>
      <c r="G12958" s="18"/>
      <c r="H12958" s="16" t="s">
        <v>87</v>
      </c>
      <c r="I12958" s="16" t="s">
        <v>87</v>
      </c>
      <c r="J12958" s="19"/>
      <c r="L12958" s="16" t="str">
        <f>IFERROR(__xludf.DUMMYFUNCTION("""COMPUTED_VALUE"""),"")</f>
        <v/>
      </c>
      <c r="M12958" s="16" t="str">
        <f>IFERROR(__xludf.DUMMYFUNCTION("""COMPUTED_VALUE"""),"")</f>
        <v/>
      </c>
      <c r="U12958" s="16" t="s">
        <v>87</v>
      </c>
      <c r="V12958" s="16" t="str">
        <f>IFERROR(__xludf.DUMMYFUNCTION("""COMPUTED_VALUE"""),"")</f>
        <v/>
      </c>
      <c r="W12958" s="16" t="str">
        <f>IFERROR(__xludf.DUMMYFUNCTION("""COMPUTED_VALUE"""),"")</f>
        <v/>
      </c>
      <c r="X12958" s="16" t="str">
        <f>IFERROR(__xludf.DUMMYFUNCTION("""COMPUTED_VALUE"""),"")</f>
        <v/>
      </c>
      <c r="AC12958" s="16" t="str">
        <f>IFERROR(__xludf.DUMMYFUNCTION("""COMPUTED_VALUE"""),"")</f>
        <v/>
      </c>
    </row>
    <row r="12959">
      <c r="A12959" s="16" t="s">
        <v>87</v>
      </c>
      <c r="E12959" s="16" t="str">
        <f>IFERROR(__xludf.DUMMYFUNCTION("""COMPUTED_VALUE"""),"")</f>
        <v/>
      </c>
      <c r="G12959" s="18"/>
      <c r="H12959" s="16" t="s">
        <v>87</v>
      </c>
      <c r="I12959" s="16" t="s">
        <v>87</v>
      </c>
      <c r="J12959" s="19"/>
      <c r="L12959" s="16" t="str">
        <f>IFERROR(__xludf.DUMMYFUNCTION("""COMPUTED_VALUE"""),"")</f>
        <v/>
      </c>
      <c r="M12959" s="16" t="str">
        <f>IFERROR(__xludf.DUMMYFUNCTION("""COMPUTED_VALUE"""),"")</f>
        <v/>
      </c>
      <c r="U12959" s="16" t="s">
        <v>87</v>
      </c>
      <c r="V12959" s="16" t="str">
        <f>IFERROR(__xludf.DUMMYFUNCTION("""COMPUTED_VALUE"""),"")</f>
        <v/>
      </c>
      <c r="W12959" s="16" t="str">
        <f>IFERROR(__xludf.DUMMYFUNCTION("""COMPUTED_VALUE"""),"")</f>
        <v/>
      </c>
      <c r="X12959" s="16" t="str">
        <f>IFERROR(__xludf.DUMMYFUNCTION("""COMPUTED_VALUE"""),"")</f>
        <v/>
      </c>
      <c r="AC12959" s="16" t="str">
        <f>IFERROR(__xludf.DUMMYFUNCTION("""COMPUTED_VALUE"""),"")</f>
        <v/>
      </c>
    </row>
    <row r="12960">
      <c r="A12960" s="16" t="s">
        <v>87</v>
      </c>
      <c r="E12960" s="16" t="str">
        <f>IFERROR(__xludf.DUMMYFUNCTION("""COMPUTED_VALUE"""),"")</f>
        <v/>
      </c>
      <c r="G12960" s="18"/>
      <c r="H12960" s="16" t="s">
        <v>87</v>
      </c>
      <c r="I12960" s="16" t="s">
        <v>87</v>
      </c>
      <c r="J12960" s="19"/>
      <c r="L12960" s="16" t="str">
        <f>IFERROR(__xludf.DUMMYFUNCTION("""COMPUTED_VALUE"""),"")</f>
        <v/>
      </c>
      <c r="M12960" s="16" t="str">
        <f>IFERROR(__xludf.DUMMYFUNCTION("""COMPUTED_VALUE"""),"")</f>
        <v/>
      </c>
      <c r="U12960" s="16" t="s">
        <v>87</v>
      </c>
      <c r="V12960" s="16" t="str">
        <f>IFERROR(__xludf.DUMMYFUNCTION("""COMPUTED_VALUE"""),"")</f>
        <v/>
      </c>
      <c r="W12960" s="16" t="str">
        <f>IFERROR(__xludf.DUMMYFUNCTION("""COMPUTED_VALUE"""),"")</f>
        <v/>
      </c>
      <c r="X12960" s="16" t="str">
        <f>IFERROR(__xludf.DUMMYFUNCTION("""COMPUTED_VALUE"""),"")</f>
        <v/>
      </c>
      <c r="AC12960" s="16" t="str">
        <f>IFERROR(__xludf.DUMMYFUNCTION("""COMPUTED_VALUE"""),"")</f>
        <v/>
      </c>
    </row>
    <row r="12961">
      <c r="A12961" s="16" t="s">
        <v>87</v>
      </c>
      <c r="E12961" s="16" t="str">
        <f>IFERROR(__xludf.DUMMYFUNCTION("""COMPUTED_VALUE"""),"")</f>
        <v/>
      </c>
      <c r="G12961" s="18"/>
      <c r="H12961" s="16" t="s">
        <v>87</v>
      </c>
      <c r="I12961" s="16" t="s">
        <v>87</v>
      </c>
      <c r="J12961" s="19"/>
      <c r="L12961" s="16" t="str">
        <f>IFERROR(__xludf.DUMMYFUNCTION("""COMPUTED_VALUE"""),"")</f>
        <v/>
      </c>
      <c r="M12961" s="16" t="str">
        <f>IFERROR(__xludf.DUMMYFUNCTION("""COMPUTED_VALUE"""),"")</f>
        <v/>
      </c>
      <c r="U12961" s="16" t="s">
        <v>87</v>
      </c>
      <c r="V12961" s="16" t="str">
        <f>IFERROR(__xludf.DUMMYFUNCTION("""COMPUTED_VALUE"""),"")</f>
        <v/>
      </c>
      <c r="W12961" s="16" t="str">
        <f>IFERROR(__xludf.DUMMYFUNCTION("""COMPUTED_VALUE"""),"")</f>
        <v/>
      </c>
      <c r="X12961" s="16" t="str">
        <f>IFERROR(__xludf.DUMMYFUNCTION("""COMPUTED_VALUE"""),"")</f>
        <v/>
      </c>
      <c r="AC12961" s="16" t="str">
        <f>IFERROR(__xludf.DUMMYFUNCTION("""COMPUTED_VALUE"""),"")</f>
        <v/>
      </c>
    </row>
    <row r="12962">
      <c r="A12962" s="16" t="s">
        <v>87</v>
      </c>
      <c r="E12962" s="16" t="str">
        <f>IFERROR(__xludf.DUMMYFUNCTION("""COMPUTED_VALUE"""),"")</f>
        <v/>
      </c>
      <c r="G12962" s="18"/>
      <c r="H12962" s="16" t="s">
        <v>87</v>
      </c>
      <c r="I12962" s="16" t="s">
        <v>87</v>
      </c>
      <c r="J12962" s="19"/>
      <c r="L12962" s="16" t="str">
        <f>IFERROR(__xludf.DUMMYFUNCTION("""COMPUTED_VALUE"""),"")</f>
        <v/>
      </c>
      <c r="M12962" s="16" t="str">
        <f>IFERROR(__xludf.DUMMYFUNCTION("""COMPUTED_VALUE"""),"")</f>
        <v/>
      </c>
      <c r="U12962" s="16" t="s">
        <v>87</v>
      </c>
      <c r="V12962" s="16" t="str">
        <f>IFERROR(__xludf.DUMMYFUNCTION("""COMPUTED_VALUE"""),"")</f>
        <v/>
      </c>
      <c r="W12962" s="16" t="str">
        <f>IFERROR(__xludf.DUMMYFUNCTION("""COMPUTED_VALUE"""),"")</f>
        <v/>
      </c>
      <c r="X12962" s="16" t="str">
        <f>IFERROR(__xludf.DUMMYFUNCTION("""COMPUTED_VALUE"""),"")</f>
        <v/>
      </c>
      <c r="AC12962" s="16" t="str">
        <f>IFERROR(__xludf.DUMMYFUNCTION("""COMPUTED_VALUE"""),"")</f>
        <v/>
      </c>
    </row>
    <row r="12963">
      <c r="A12963" s="16" t="s">
        <v>87</v>
      </c>
      <c r="E12963" s="16" t="str">
        <f>IFERROR(__xludf.DUMMYFUNCTION("""COMPUTED_VALUE"""),"")</f>
        <v/>
      </c>
      <c r="G12963" s="18"/>
      <c r="H12963" s="16" t="s">
        <v>87</v>
      </c>
      <c r="I12963" s="16" t="s">
        <v>87</v>
      </c>
      <c r="J12963" s="19"/>
      <c r="L12963" s="16" t="str">
        <f>IFERROR(__xludf.DUMMYFUNCTION("""COMPUTED_VALUE"""),"")</f>
        <v/>
      </c>
      <c r="M12963" s="16" t="str">
        <f>IFERROR(__xludf.DUMMYFUNCTION("""COMPUTED_VALUE"""),"")</f>
        <v/>
      </c>
      <c r="U12963" s="16" t="s">
        <v>87</v>
      </c>
      <c r="V12963" s="16" t="str">
        <f>IFERROR(__xludf.DUMMYFUNCTION("""COMPUTED_VALUE"""),"")</f>
        <v/>
      </c>
      <c r="W12963" s="16" t="str">
        <f>IFERROR(__xludf.DUMMYFUNCTION("""COMPUTED_VALUE"""),"")</f>
        <v/>
      </c>
      <c r="X12963" s="16" t="str">
        <f>IFERROR(__xludf.DUMMYFUNCTION("""COMPUTED_VALUE"""),"")</f>
        <v/>
      </c>
      <c r="AC12963" s="16" t="str">
        <f>IFERROR(__xludf.DUMMYFUNCTION("""COMPUTED_VALUE"""),"")</f>
        <v/>
      </c>
    </row>
    <row r="12964">
      <c r="A12964" s="16" t="s">
        <v>87</v>
      </c>
      <c r="E12964" s="16" t="str">
        <f>IFERROR(__xludf.DUMMYFUNCTION("""COMPUTED_VALUE"""),"")</f>
        <v/>
      </c>
      <c r="G12964" s="18"/>
      <c r="H12964" s="16" t="s">
        <v>87</v>
      </c>
      <c r="I12964" s="16" t="s">
        <v>87</v>
      </c>
      <c r="J12964" s="19"/>
      <c r="L12964" s="16" t="str">
        <f>IFERROR(__xludf.DUMMYFUNCTION("""COMPUTED_VALUE"""),"")</f>
        <v/>
      </c>
      <c r="M12964" s="16" t="str">
        <f>IFERROR(__xludf.DUMMYFUNCTION("""COMPUTED_VALUE"""),"")</f>
        <v/>
      </c>
      <c r="U12964" s="16" t="s">
        <v>87</v>
      </c>
      <c r="V12964" s="16" t="str">
        <f>IFERROR(__xludf.DUMMYFUNCTION("""COMPUTED_VALUE"""),"")</f>
        <v/>
      </c>
      <c r="W12964" s="16" t="str">
        <f>IFERROR(__xludf.DUMMYFUNCTION("""COMPUTED_VALUE"""),"")</f>
        <v/>
      </c>
      <c r="X12964" s="16" t="str">
        <f>IFERROR(__xludf.DUMMYFUNCTION("""COMPUTED_VALUE"""),"")</f>
        <v/>
      </c>
      <c r="AC12964" s="16" t="str">
        <f>IFERROR(__xludf.DUMMYFUNCTION("""COMPUTED_VALUE"""),"")</f>
        <v/>
      </c>
    </row>
    <row r="12965">
      <c r="A12965" s="16" t="s">
        <v>87</v>
      </c>
      <c r="E12965" s="16" t="str">
        <f>IFERROR(__xludf.DUMMYFUNCTION("""COMPUTED_VALUE"""),"")</f>
        <v/>
      </c>
      <c r="G12965" s="18"/>
      <c r="H12965" s="16" t="s">
        <v>87</v>
      </c>
      <c r="I12965" s="16" t="s">
        <v>87</v>
      </c>
      <c r="J12965" s="19"/>
      <c r="L12965" s="16" t="str">
        <f>IFERROR(__xludf.DUMMYFUNCTION("""COMPUTED_VALUE"""),"")</f>
        <v/>
      </c>
      <c r="M12965" s="16" t="str">
        <f>IFERROR(__xludf.DUMMYFUNCTION("""COMPUTED_VALUE"""),"")</f>
        <v/>
      </c>
      <c r="U12965" s="16" t="s">
        <v>87</v>
      </c>
      <c r="V12965" s="16" t="str">
        <f>IFERROR(__xludf.DUMMYFUNCTION("""COMPUTED_VALUE"""),"")</f>
        <v/>
      </c>
      <c r="W12965" s="16" t="str">
        <f>IFERROR(__xludf.DUMMYFUNCTION("""COMPUTED_VALUE"""),"")</f>
        <v/>
      </c>
      <c r="X12965" s="16" t="str">
        <f>IFERROR(__xludf.DUMMYFUNCTION("""COMPUTED_VALUE"""),"")</f>
        <v/>
      </c>
      <c r="AC12965" s="16" t="str">
        <f>IFERROR(__xludf.DUMMYFUNCTION("""COMPUTED_VALUE"""),"")</f>
        <v/>
      </c>
    </row>
    <row r="12966">
      <c r="A12966" s="16" t="s">
        <v>87</v>
      </c>
      <c r="E12966" s="16" t="str">
        <f>IFERROR(__xludf.DUMMYFUNCTION("""COMPUTED_VALUE"""),"")</f>
        <v/>
      </c>
      <c r="G12966" s="18"/>
      <c r="H12966" s="16" t="s">
        <v>87</v>
      </c>
      <c r="I12966" s="16" t="s">
        <v>87</v>
      </c>
      <c r="J12966" s="19"/>
      <c r="L12966" s="16" t="str">
        <f>IFERROR(__xludf.DUMMYFUNCTION("""COMPUTED_VALUE"""),"")</f>
        <v/>
      </c>
      <c r="M12966" s="16" t="str">
        <f>IFERROR(__xludf.DUMMYFUNCTION("""COMPUTED_VALUE"""),"")</f>
        <v/>
      </c>
      <c r="U12966" s="16" t="s">
        <v>87</v>
      </c>
      <c r="V12966" s="16" t="str">
        <f>IFERROR(__xludf.DUMMYFUNCTION("""COMPUTED_VALUE"""),"")</f>
        <v/>
      </c>
      <c r="W12966" s="16" t="str">
        <f>IFERROR(__xludf.DUMMYFUNCTION("""COMPUTED_VALUE"""),"")</f>
        <v/>
      </c>
      <c r="X12966" s="16" t="str">
        <f>IFERROR(__xludf.DUMMYFUNCTION("""COMPUTED_VALUE"""),"")</f>
        <v/>
      </c>
      <c r="AC12966" s="16" t="str">
        <f>IFERROR(__xludf.DUMMYFUNCTION("""COMPUTED_VALUE"""),"")</f>
        <v/>
      </c>
    </row>
    <row r="12967">
      <c r="A12967" s="16" t="s">
        <v>87</v>
      </c>
      <c r="E12967" s="16" t="str">
        <f>IFERROR(__xludf.DUMMYFUNCTION("""COMPUTED_VALUE"""),"")</f>
        <v/>
      </c>
      <c r="G12967" s="18"/>
      <c r="H12967" s="16" t="s">
        <v>87</v>
      </c>
      <c r="I12967" s="16" t="s">
        <v>87</v>
      </c>
      <c r="J12967" s="19"/>
      <c r="L12967" s="16" t="str">
        <f>IFERROR(__xludf.DUMMYFUNCTION("""COMPUTED_VALUE"""),"")</f>
        <v/>
      </c>
      <c r="M12967" s="16" t="str">
        <f>IFERROR(__xludf.DUMMYFUNCTION("""COMPUTED_VALUE"""),"")</f>
        <v/>
      </c>
      <c r="U12967" s="16" t="s">
        <v>87</v>
      </c>
      <c r="V12967" s="16" t="str">
        <f>IFERROR(__xludf.DUMMYFUNCTION("""COMPUTED_VALUE"""),"")</f>
        <v/>
      </c>
      <c r="W12967" s="16" t="str">
        <f>IFERROR(__xludf.DUMMYFUNCTION("""COMPUTED_VALUE"""),"")</f>
        <v/>
      </c>
      <c r="X12967" s="16" t="str">
        <f>IFERROR(__xludf.DUMMYFUNCTION("""COMPUTED_VALUE"""),"")</f>
        <v/>
      </c>
      <c r="AC12967" s="16" t="str">
        <f>IFERROR(__xludf.DUMMYFUNCTION("""COMPUTED_VALUE"""),"")</f>
        <v/>
      </c>
    </row>
    <row r="12968">
      <c r="A12968" s="16" t="s">
        <v>87</v>
      </c>
      <c r="E12968" s="16" t="str">
        <f>IFERROR(__xludf.DUMMYFUNCTION("""COMPUTED_VALUE"""),"")</f>
        <v/>
      </c>
      <c r="G12968" s="18"/>
      <c r="H12968" s="16" t="s">
        <v>87</v>
      </c>
      <c r="I12968" s="16" t="s">
        <v>87</v>
      </c>
      <c r="J12968" s="19"/>
      <c r="L12968" s="16" t="str">
        <f>IFERROR(__xludf.DUMMYFUNCTION("""COMPUTED_VALUE"""),"")</f>
        <v/>
      </c>
      <c r="M12968" s="16" t="str">
        <f>IFERROR(__xludf.DUMMYFUNCTION("""COMPUTED_VALUE"""),"")</f>
        <v/>
      </c>
      <c r="U12968" s="16" t="s">
        <v>87</v>
      </c>
      <c r="V12968" s="16" t="str">
        <f>IFERROR(__xludf.DUMMYFUNCTION("""COMPUTED_VALUE"""),"")</f>
        <v/>
      </c>
      <c r="W12968" s="16" t="str">
        <f>IFERROR(__xludf.DUMMYFUNCTION("""COMPUTED_VALUE"""),"")</f>
        <v/>
      </c>
      <c r="X12968" s="16" t="str">
        <f>IFERROR(__xludf.DUMMYFUNCTION("""COMPUTED_VALUE"""),"")</f>
        <v/>
      </c>
      <c r="AC12968" s="16" t="str">
        <f>IFERROR(__xludf.DUMMYFUNCTION("""COMPUTED_VALUE"""),"")</f>
        <v/>
      </c>
    </row>
    <row r="12969">
      <c r="A12969" s="16" t="s">
        <v>87</v>
      </c>
      <c r="E12969" s="16" t="str">
        <f>IFERROR(__xludf.DUMMYFUNCTION("""COMPUTED_VALUE"""),"")</f>
        <v/>
      </c>
      <c r="G12969" s="18"/>
      <c r="H12969" s="16" t="s">
        <v>87</v>
      </c>
      <c r="I12969" s="16" t="s">
        <v>87</v>
      </c>
      <c r="J12969" s="19"/>
      <c r="L12969" s="16" t="str">
        <f>IFERROR(__xludf.DUMMYFUNCTION("""COMPUTED_VALUE"""),"")</f>
        <v/>
      </c>
      <c r="M12969" s="16" t="str">
        <f>IFERROR(__xludf.DUMMYFUNCTION("""COMPUTED_VALUE"""),"")</f>
        <v/>
      </c>
      <c r="U12969" s="16" t="s">
        <v>87</v>
      </c>
      <c r="V12969" s="16" t="str">
        <f>IFERROR(__xludf.DUMMYFUNCTION("""COMPUTED_VALUE"""),"")</f>
        <v/>
      </c>
      <c r="W12969" s="16" t="str">
        <f>IFERROR(__xludf.DUMMYFUNCTION("""COMPUTED_VALUE"""),"")</f>
        <v/>
      </c>
      <c r="X12969" s="16" t="str">
        <f>IFERROR(__xludf.DUMMYFUNCTION("""COMPUTED_VALUE"""),"")</f>
        <v/>
      </c>
      <c r="AC12969" s="16" t="str">
        <f>IFERROR(__xludf.DUMMYFUNCTION("""COMPUTED_VALUE"""),"")</f>
        <v/>
      </c>
    </row>
    <row r="12970">
      <c r="A12970" s="16" t="s">
        <v>87</v>
      </c>
      <c r="E12970" s="16" t="str">
        <f>IFERROR(__xludf.DUMMYFUNCTION("""COMPUTED_VALUE"""),"")</f>
        <v/>
      </c>
      <c r="G12970" s="18"/>
      <c r="H12970" s="16" t="s">
        <v>87</v>
      </c>
      <c r="I12970" s="16" t="s">
        <v>87</v>
      </c>
      <c r="J12970" s="19"/>
      <c r="L12970" s="16" t="str">
        <f>IFERROR(__xludf.DUMMYFUNCTION("""COMPUTED_VALUE"""),"")</f>
        <v/>
      </c>
      <c r="M12970" s="16" t="str">
        <f>IFERROR(__xludf.DUMMYFUNCTION("""COMPUTED_VALUE"""),"")</f>
        <v/>
      </c>
      <c r="U12970" s="16" t="s">
        <v>87</v>
      </c>
      <c r="V12970" s="16" t="str">
        <f>IFERROR(__xludf.DUMMYFUNCTION("""COMPUTED_VALUE"""),"")</f>
        <v/>
      </c>
      <c r="W12970" s="16" t="str">
        <f>IFERROR(__xludf.DUMMYFUNCTION("""COMPUTED_VALUE"""),"")</f>
        <v/>
      </c>
      <c r="X12970" s="16" t="str">
        <f>IFERROR(__xludf.DUMMYFUNCTION("""COMPUTED_VALUE"""),"")</f>
        <v/>
      </c>
      <c r="AC12970" s="16" t="str">
        <f>IFERROR(__xludf.DUMMYFUNCTION("""COMPUTED_VALUE"""),"")</f>
        <v/>
      </c>
    </row>
    <row r="12971">
      <c r="A12971" s="16" t="s">
        <v>87</v>
      </c>
      <c r="E12971" s="16" t="str">
        <f>IFERROR(__xludf.DUMMYFUNCTION("""COMPUTED_VALUE"""),"")</f>
        <v/>
      </c>
      <c r="G12971" s="18"/>
      <c r="H12971" s="16" t="s">
        <v>87</v>
      </c>
      <c r="I12971" s="16" t="s">
        <v>87</v>
      </c>
      <c r="J12971" s="19"/>
      <c r="L12971" s="16" t="str">
        <f>IFERROR(__xludf.DUMMYFUNCTION("""COMPUTED_VALUE"""),"")</f>
        <v/>
      </c>
      <c r="M12971" s="16" t="str">
        <f>IFERROR(__xludf.DUMMYFUNCTION("""COMPUTED_VALUE"""),"")</f>
        <v/>
      </c>
      <c r="U12971" s="16" t="s">
        <v>87</v>
      </c>
      <c r="V12971" s="16" t="str">
        <f>IFERROR(__xludf.DUMMYFUNCTION("""COMPUTED_VALUE"""),"")</f>
        <v/>
      </c>
      <c r="W12971" s="16" t="str">
        <f>IFERROR(__xludf.DUMMYFUNCTION("""COMPUTED_VALUE"""),"")</f>
        <v/>
      </c>
      <c r="X12971" s="16" t="str">
        <f>IFERROR(__xludf.DUMMYFUNCTION("""COMPUTED_VALUE"""),"")</f>
        <v/>
      </c>
      <c r="AC12971" s="16" t="str">
        <f>IFERROR(__xludf.DUMMYFUNCTION("""COMPUTED_VALUE"""),"")</f>
        <v/>
      </c>
    </row>
    <row r="12972">
      <c r="A12972" s="16" t="s">
        <v>87</v>
      </c>
      <c r="E12972" s="16" t="str">
        <f>IFERROR(__xludf.DUMMYFUNCTION("""COMPUTED_VALUE"""),"")</f>
        <v/>
      </c>
      <c r="G12972" s="18"/>
      <c r="H12972" s="16" t="s">
        <v>87</v>
      </c>
      <c r="I12972" s="16" t="s">
        <v>87</v>
      </c>
      <c r="J12972" s="19"/>
      <c r="L12972" s="16" t="str">
        <f>IFERROR(__xludf.DUMMYFUNCTION("""COMPUTED_VALUE"""),"")</f>
        <v/>
      </c>
      <c r="M12972" s="16" t="str">
        <f>IFERROR(__xludf.DUMMYFUNCTION("""COMPUTED_VALUE"""),"")</f>
        <v/>
      </c>
      <c r="U12972" s="16" t="s">
        <v>87</v>
      </c>
      <c r="V12972" s="16" t="str">
        <f>IFERROR(__xludf.DUMMYFUNCTION("""COMPUTED_VALUE"""),"")</f>
        <v/>
      </c>
      <c r="W12972" s="16" t="str">
        <f>IFERROR(__xludf.DUMMYFUNCTION("""COMPUTED_VALUE"""),"")</f>
        <v/>
      </c>
      <c r="X12972" s="16" t="str">
        <f>IFERROR(__xludf.DUMMYFUNCTION("""COMPUTED_VALUE"""),"")</f>
        <v/>
      </c>
      <c r="AC12972" s="16" t="str">
        <f>IFERROR(__xludf.DUMMYFUNCTION("""COMPUTED_VALUE"""),"")</f>
        <v/>
      </c>
    </row>
    <row r="12973">
      <c r="A12973" s="16" t="s">
        <v>87</v>
      </c>
      <c r="E12973" s="16" t="str">
        <f>IFERROR(__xludf.DUMMYFUNCTION("""COMPUTED_VALUE"""),"")</f>
        <v/>
      </c>
      <c r="G12973" s="18"/>
      <c r="H12973" s="16" t="s">
        <v>87</v>
      </c>
      <c r="I12973" s="16" t="s">
        <v>87</v>
      </c>
      <c r="J12973" s="19"/>
      <c r="L12973" s="16" t="str">
        <f>IFERROR(__xludf.DUMMYFUNCTION("""COMPUTED_VALUE"""),"")</f>
        <v/>
      </c>
      <c r="M12973" s="16" t="str">
        <f>IFERROR(__xludf.DUMMYFUNCTION("""COMPUTED_VALUE"""),"")</f>
        <v/>
      </c>
      <c r="U12973" s="16" t="s">
        <v>87</v>
      </c>
      <c r="V12973" s="16" t="str">
        <f>IFERROR(__xludf.DUMMYFUNCTION("""COMPUTED_VALUE"""),"")</f>
        <v/>
      </c>
      <c r="W12973" s="16" t="str">
        <f>IFERROR(__xludf.DUMMYFUNCTION("""COMPUTED_VALUE"""),"")</f>
        <v/>
      </c>
      <c r="X12973" s="16" t="str">
        <f>IFERROR(__xludf.DUMMYFUNCTION("""COMPUTED_VALUE"""),"")</f>
        <v/>
      </c>
      <c r="AC12973" s="16" t="str">
        <f>IFERROR(__xludf.DUMMYFUNCTION("""COMPUTED_VALUE"""),"")</f>
        <v/>
      </c>
    </row>
    <row r="12974">
      <c r="A12974" s="16" t="s">
        <v>87</v>
      </c>
      <c r="E12974" s="16" t="str">
        <f>IFERROR(__xludf.DUMMYFUNCTION("""COMPUTED_VALUE"""),"")</f>
        <v/>
      </c>
      <c r="G12974" s="18"/>
      <c r="H12974" s="16" t="s">
        <v>87</v>
      </c>
      <c r="I12974" s="16" t="s">
        <v>87</v>
      </c>
      <c r="J12974" s="19"/>
      <c r="L12974" s="16" t="str">
        <f>IFERROR(__xludf.DUMMYFUNCTION("""COMPUTED_VALUE"""),"")</f>
        <v/>
      </c>
      <c r="M12974" s="16" t="str">
        <f>IFERROR(__xludf.DUMMYFUNCTION("""COMPUTED_VALUE"""),"")</f>
        <v/>
      </c>
      <c r="U12974" s="16" t="s">
        <v>87</v>
      </c>
      <c r="V12974" s="16" t="str">
        <f>IFERROR(__xludf.DUMMYFUNCTION("""COMPUTED_VALUE"""),"")</f>
        <v/>
      </c>
      <c r="W12974" s="16" t="str">
        <f>IFERROR(__xludf.DUMMYFUNCTION("""COMPUTED_VALUE"""),"")</f>
        <v/>
      </c>
      <c r="X12974" s="16" t="str">
        <f>IFERROR(__xludf.DUMMYFUNCTION("""COMPUTED_VALUE"""),"")</f>
        <v/>
      </c>
      <c r="AC12974" s="16" t="str">
        <f>IFERROR(__xludf.DUMMYFUNCTION("""COMPUTED_VALUE"""),"")</f>
        <v/>
      </c>
    </row>
    <row r="12975">
      <c r="A12975" s="16" t="s">
        <v>87</v>
      </c>
      <c r="E12975" s="16" t="str">
        <f>IFERROR(__xludf.DUMMYFUNCTION("""COMPUTED_VALUE"""),"")</f>
        <v/>
      </c>
      <c r="G12975" s="18"/>
      <c r="H12975" s="16" t="s">
        <v>87</v>
      </c>
      <c r="I12975" s="16" t="s">
        <v>87</v>
      </c>
      <c r="J12975" s="19"/>
      <c r="L12975" s="16" t="str">
        <f>IFERROR(__xludf.DUMMYFUNCTION("""COMPUTED_VALUE"""),"")</f>
        <v/>
      </c>
      <c r="M12975" s="16" t="str">
        <f>IFERROR(__xludf.DUMMYFUNCTION("""COMPUTED_VALUE"""),"")</f>
        <v/>
      </c>
      <c r="U12975" s="16" t="s">
        <v>87</v>
      </c>
      <c r="V12975" s="16" t="str">
        <f>IFERROR(__xludf.DUMMYFUNCTION("""COMPUTED_VALUE"""),"")</f>
        <v/>
      </c>
      <c r="W12975" s="16" t="str">
        <f>IFERROR(__xludf.DUMMYFUNCTION("""COMPUTED_VALUE"""),"")</f>
        <v/>
      </c>
      <c r="X12975" s="16" t="str">
        <f>IFERROR(__xludf.DUMMYFUNCTION("""COMPUTED_VALUE"""),"")</f>
        <v/>
      </c>
      <c r="AC12975" s="16" t="str">
        <f>IFERROR(__xludf.DUMMYFUNCTION("""COMPUTED_VALUE"""),"")</f>
        <v/>
      </c>
    </row>
    <row r="12976">
      <c r="A12976" s="16" t="s">
        <v>87</v>
      </c>
      <c r="E12976" s="16" t="str">
        <f>IFERROR(__xludf.DUMMYFUNCTION("""COMPUTED_VALUE"""),"")</f>
        <v/>
      </c>
      <c r="G12976" s="18"/>
      <c r="H12976" s="16" t="s">
        <v>87</v>
      </c>
      <c r="I12976" s="16" t="s">
        <v>87</v>
      </c>
      <c r="J12976" s="19"/>
      <c r="L12976" s="16" t="str">
        <f>IFERROR(__xludf.DUMMYFUNCTION("""COMPUTED_VALUE"""),"")</f>
        <v/>
      </c>
      <c r="M12976" s="16" t="str">
        <f>IFERROR(__xludf.DUMMYFUNCTION("""COMPUTED_VALUE"""),"")</f>
        <v/>
      </c>
      <c r="U12976" s="16" t="s">
        <v>87</v>
      </c>
      <c r="V12976" s="16" t="str">
        <f>IFERROR(__xludf.DUMMYFUNCTION("""COMPUTED_VALUE"""),"")</f>
        <v/>
      </c>
      <c r="W12976" s="16" t="str">
        <f>IFERROR(__xludf.DUMMYFUNCTION("""COMPUTED_VALUE"""),"")</f>
        <v/>
      </c>
      <c r="X12976" s="16" t="str">
        <f>IFERROR(__xludf.DUMMYFUNCTION("""COMPUTED_VALUE"""),"")</f>
        <v/>
      </c>
      <c r="AC12976" s="16" t="str">
        <f>IFERROR(__xludf.DUMMYFUNCTION("""COMPUTED_VALUE"""),"")</f>
        <v/>
      </c>
    </row>
    <row r="12977">
      <c r="A12977" s="16" t="s">
        <v>87</v>
      </c>
      <c r="E12977" s="16" t="str">
        <f>IFERROR(__xludf.DUMMYFUNCTION("""COMPUTED_VALUE"""),"")</f>
        <v/>
      </c>
      <c r="G12977" s="18"/>
      <c r="H12977" s="16" t="s">
        <v>87</v>
      </c>
      <c r="I12977" s="16" t="s">
        <v>87</v>
      </c>
      <c r="J12977" s="19"/>
      <c r="L12977" s="16" t="str">
        <f>IFERROR(__xludf.DUMMYFUNCTION("""COMPUTED_VALUE"""),"")</f>
        <v/>
      </c>
      <c r="M12977" s="16" t="str">
        <f>IFERROR(__xludf.DUMMYFUNCTION("""COMPUTED_VALUE"""),"")</f>
        <v/>
      </c>
      <c r="U12977" s="16" t="s">
        <v>87</v>
      </c>
      <c r="V12977" s="16" t="str">
        <f>IFERROR(__xludf.DUMMYFUNCTION("""COMPUTED_VALUE"""),"")</f>
        <v/>
      </c>
      <c r="W12977" s="16" t="str">
        <f>IFERROR(__xludf.DUMMYFUNCTION("""COMPUTED_VALUE"""),"")</f>
        <v/>
      </c>
      <c r="X12977" s="16" t="str">
        <f>IFERROR(__xludf.DUMMYFUNCTION("""COMPUTED_VALUE"""),"")</f>
        <v/>
      </c>
      <c r="AC12977" s="16" t="str">
        <f>IFERROR(__xludf.DUMMYFUNCTION("""COMPUTED_VALUE"""),"")</f>
        <v/>
      </c>
    </row>
    <row r="12978">
      <c r="A12978" s="16" t="s">
        <v>87</v>
      </c>
      <c r="E12978" s="16" t="str">
        <f>IFERROR(__xludf.DUMMYFUNCTION("""COMPUTED_VALUE"""),"")</f>
        <v/>
      </c>
      <c r="G12978" s="18"/>
      <c r="H12978" s="16" t="s">
        <v>87</v>
      </c>
      <c r="I12978" s="16" t="s">
        <v>87</v>
      </c>
      <c r="J12978" s="19"/>
      <c r="L12978" s="16" t="str">
        <f>IFERROR(__xludf.DUMMYFUNCTION("""COMPUTED_VALUE"""),"")</f>
        <v/>
      </c>
      <c r="M12978" s="16" t="str">
        <f>IFERROR(__xludf.DUMMYFUNCTION("""COMPUTED_VALUE"""),"")</f>
        <v/>
      </c>
      <c r="U12978" s="16" t="s">
        <v>87</v>
      </c>
      <c r="V12978" s="16" t="str">
        <f>IFERROR(__xludf.DUMMYFUNCTION("""COMPUTED_VALUE"""),"")</f>
        <v/>
      </c>
      <c r="W12978" s="16" t="str">
        <f>IFERROR(__xludf.DUMMYFUNCTION("""COMPUTED_VALUE"""),"")</f>
        <v/>
      </c>
      <c r="X12978" s="16" t="str">
        <f>IFERROR(__xludf.DUMMYFUNCTION("""COMPUTED_VALUE"""),"")</f>
        <v/>
      </c>
      <c r="AC12978" s="16" t="str">
        <f>IFERROR(__xludf.DUMMYFUNCTION("""COMPUTED_VALUE"""),"")</f>
        <v/>
      </c>
    </row>
    <row r="12979">
      <c r="A12979" s="16" t="s">
        <v>87</v>
      </c>
      <c r="E12979" s="16" t="str">
        <f>IFERROR(__xludf.DUMMYFUNCTION("""COMPUTED_VALUE"""),"")</f>
        <v/>
      </c>
      <c r="G12979" s="18"/>
      <c r="H12979" s="16" t="s">
        <v>87</v>
      </c>
      <c r="I12979" s="16" t="s">
        <v>87</v>
      </c>
      <c r="J12979" s="19"/>
      <c r="L12979" s="16" t="str">
        <f>IFERROR(__xludf.DUMMYFUNCTION("""COMPUTED_VALUE"""),"")</f>
        <v/>
      </c>
      <c r="M12979" s="16" t="str">
        <f>IFERROR(__xludf.DUMMYFUNCTION("""COMPUTED_VALUE"""),"")</f>
        <v/>
      </c>
      <c r="U12979" s="16" t="s">
        <v>87</v>
      </c>
      <c r="V12979" s="16" t="str">
        <f>IFERROR(__xludf.DUMMYFUNCTION("""COMPUTED_VALUE"""),"")</f>
        <v/>
      </c>
      <c r="W12979" s="16" t="str">
        <f>IFERROR(__xludf.DUMMYFUNCTION("""COMPUTED_VALUE"""),"")</f>
        <v/>
      </c>
      <c r="X12979" s="16" t="str">
        <f>IFERROR(__xludf.DUMMYFUNCTION("""COMPUTED_VALUE"""),"")</f>
        <v/>
      </c>
      <c r="AC12979" s="16" t="str">
        <f>IFERROR(__xludf.DUMMYFUNCTION("""COMPUTED_VALUE"""),"")</f>
        <v/>
      </c>
    </row>
    <row r="12980">
      <c r="A12980" s="16" t="s">
        <v>87</v>
      </c>
      <c r="E12980" s="16" t="str">
        <f>IFERROR(__xludf.DUMMYFUNCTION("""COMPUTED_VALUE"""),"")</f>
        <v/>
      </c>
      <c r="G12980" s="18"/>
      <c r="H12980" s="16" t="s">
        <v>87</v>
      </c>
      <c r="I12980" s="16" t="s">
        <v>87</v>
      </c>
      <c r="J12980" s="19"/>
      <c r="L12980" s="16" t="str">
        <f>IFERROR(__xludf.DUMMYFUNCTION("""COMPUTED_VALUE"""),"")</f>
        <v/>
      </c>
      <c r="M12980" s="16" t="str">
        <f>IFERROR(__xludf.DUMMYFUNCTION("""COMPUTED_VALUE"""),"")</f>
        <v/>
      </c>
      <c r="U12980" s="16" t="s">
        <v>87</v>
      </c>
      <c r="V12980" s="16" t="str">
        <f>IFERROR(__xludf.DUMMYFUNCTION("""COMPUTED_VALUE"""),"")</f>
        <v/>
      </c>
      <c r="W12980" s="16" t="str">
        <f>IFERROR(__xludf.DUMMYFUNCTION("""COMPUTED_VALUE"""),"")</f>
        <v/>
      </c>
      <c r="X12980" s="16" t="str">
        <f>IFERROR(__xludf.DUMMYFUNCTION("""COMPUTED_VALUE"""),"")</f>
        <v/>
      </c>
      <c r="AC12980" s="16" t="str">
        <f>IFERROR(__xludf.DUMMYFUNCTION("""COMPUTED_VALUE"""),"")</f>
        <v/>
      </c>
    </row>
    <row r="12981">
      <c r="A12981" s="16" t="s">
        <v>87</v>
      </c>
      <c r="E12981" s="16" t="str">
        <f>IFERROR(__xludf.DUMMYFUNCTION("""COMPUTED_VALUE"""),"")</f>
        <v/>
      </c>
      <c r="G12981" s="18"/>
      <c r="H12981" s="16" t="s">
        <v>87</v>
      </c>
      <c r="I12981" s="16" t="s">
        <v>87</v>
      </c>
      <c r="J12981" s="19"/>
      <c r="L12981" s="16" t="str">
        <f>IFERROR(__xludf.DUMMYFUNCTION("""COMPUTED_VALUE"""),"")</f>
        <v/>
      </c>
      <c r="M12981" s="16" t="str">
        <f>IFERROR(__xludf.DUMMYFUNCTION("""COMPUTED_VALUE"""),"")</f>
        <v/>
      </c>
      <c r="U12981" s="16" t="s">
        <v>87</v>
      </c>
      <c r="V12981" s="16" t="str">
        <f>IFERROR(__xludf.DUMMYFUNCTION("""COMPUTED_VALUE"""),"")</f>
        <v/>
      </c>
      <c r="W12981" s="16" t="str">
        <f>IFERROR(__xludf.DUMMYFUNCTION("""COMPUTED_VALUE"""),"")</f>
        <v/>
      </c>
      <c r="X12981" s="16" t="str">
        <f>IFERROR(__xludf.DUMMYFUNCTION("""COMPUTED_VALUE"""),"")</f>
        <v/>
      </c>
      <c r="AC12981" s="16" t="str">
        <f>IFERROR(__xludf.DUMMYFUNCTION("""COMPUTED_VALUE"""),"")</f>
        <v/>
      </c>
    </row>
    <row r="12982">
      <c r="A12982" s="16" t="s">
        <v>87</v>
      </c>
      <c r="E12982" s="16" t="str">
        <f>IFERROR(__xludf.DUMMYFUNCTION("""COMPUTED_VALUE"""),"")</f>
        <v/>
      </c>
      <c r="G12982" s="18"/>
      <c r="H12982" s="16" t="s">
        <v>87</v>
      </c>
      <c r="I12982" s="16" t="s">
        <v>87</v>
      </c>
      <c r="J12982" s="19"/>
      <c r="L12982" s="16" t="str">
        <f>IFERROR(__xludf.DUMMYFUNCTION("""COMPUTED_VALUE"""),"")</f>
        <v/>
      </c>
      <c r="M12982" s="16" t="str">
        <f>IFERROR(__xludf.DUMMYFUNCTION("""COMPUTED_VALUE"""),"")</f>
        <v/>
      </c>
      <c r="U12982" s="16" t="s">
        <v>87</v>
      </c>
      <c r="V12982" s="16" t="str">
        <f>IFERROR(__xludf.DUMMYFUNCTION("""COMPUTED_VALUE"""),"")</f>
        <v/>
      </c>
      <c r="W12982" s="16" t="str">
        <f>IFERROR(__xludf.DUMMYFUNCTION("""COMPUTED_VALUE"""),"")</f>
        <v/>
      </c>
      <c r="X12982" s="16" t="str">
        <f>IFERROR(__xludf.DUMMYFUNCTION("""COMPUTED_VALUE"""),"")</f>
        <v/>
      </c>
      <c r="AC12982" s="16" t="str">
        <f>IFERROR(__xludf.DUMMYFUNCTION("""COMPUTED_VALUE"""),"")</f>
        <v/>
      </c>
    </row>
    <row r="12983">
      <c r="A12983" s="16" t="s">
        <v>87</v>
      </c>
      <c r="E12983" s="16" t="str">
        <f>IFERROR(__xludf.DUMMYFUNCTION("""COMPUTED_VALUE"""),"")</f>
        <v/>
      </c>
      <c r="G12983" s="18"/>
      <c r="H12983" s="16" t="s">
        <v>87</v>
      </c>
      <c r="I12983" s="16" t="s">
        <v>87</v>
      </c>
      <c r="J12983" s="19"/>
      <c r="L12983" s="16" t="str">
        <f>IFERROR(__xludf.DUMMYFUNCTION("""COMPUTED_VALUE"""),"")</f>
        <v/>
      </c>
      <c r="M12983" s="16" t="str">
        <f>IFERROR(__xludf.DUMMYFUNCTION("""COMPUTED_VALUE"""),"")</f>
        <v/>
      </c>
      <c r="U12983" s="16" t="s">
        <v>87</v>
      </c>
      <c r="V12983" s="16" t="str">
        <f>IFERROR(__xludf.DUMMYFUNCTION("""COMPUTED_VALUE"""),"")</f>
        <v/>
      </c>
      <c r="W12983" s="16" t="str">
        <f>IFERROR(__xludf.DUMMYFUNCTION("""COMPUTED_VALUE"""),"")</f>
        <v/>
      </c>
      <c r="X12983" s="16" t="str">
        <f>IFERROR(__xludf.DUMMYFUNCTION("""COMPUTED_VALUE"""),"")</f>
        <v/>
      </c>
      <c r="AC12983" s="16" t="str">
        <f>IFERROR(__xludf.DUMMYFUNCTION("""COMPUTED_VALUE"""),"")</f>
        <v/>
      </c>
    </row>
    <row r="12984">
      <c r="A12984" s="16" t="s">
        <v>87</v>
      </c>
      <c r="E12984" s="16" t="str">
        <f>IFERROR(__xludf.DUMMYFUNCTION("""COMPUTED_VALUE"""),"")</f>
        <v/>
      </c>
      <c r="G12984" s="18"/>
      <c r="H12984" s="16" t="s">
        <v>87</v>
      </c>
      <c r="I12984" s="16" t="s">
        <v>87</v>
      </c>
      <c r="J12984" s="19"/>
      <c r="L12984" s="16" t="str">
        <f>IFERROR(__xludf.DUMMYFUNCTION("""COMPUTED_VALUE"""),"")</f>
        <v/>
      </c>
      <c r="M12984" s="16" t="str">
        <f>IFERROR(__xludf.DUMMYFUNCTION("""COMPUTED_VALUE"""),"")</f>
        <v/>
      </c>
      <c r="U12984" s="16" t="s">
        <v>87</v>
      </c>
      <c r="V12984" s="16" t="str">
        <f>IFERROR(__xludf.DUMMYFUNCTION("""COMPUTED_VALUE"""),"")</f>
        <v/>
      </c>
      <c r="W12984" s="16" t="str">
        <f>IFERROR(__xludf.DUMMYFUNCTION("""COMPUTED_VALUE"""),"")</f>
        <v/>
      </c>
      <c r="X12984" s="16" t="str">
        <f>IFERROR(__xludf.DUMMYFUNCTION("""COMPUTED_VALUE"""),"")</f>
        <v/>
      </c>
      <c r="AC12984" s="16" t="str">
        <f>IFERROR(__xludf.DUMMYFUNCTION("""COMPUTED_VALUE"""),"")</f>
        <v/>
      </c>
    </row>
    <row r="12985">
      <c r="A12985" s="16" t="s">
        <v>87</v>
      </c>
      <c r="E12985" s="16" t="str">
        <f>IFERROR(__xludf.DUMMYFUNCTION("""COMPUTED_VALUE"""),"")</f>
        <v/>
      </c>
      <c r="G12985" s="18"/>
      <c r="H12985" s="16" t="s">
        <v>87</v>
      </c>
      <c r="I12985" s="16" t="s">
        <v>87</v>
      </c>
      <c r="J12985" s="19"/>
      <c r="L12985" s="16" t="str">
        <f>IFERROR(__xludf.DUMMYFUNCTION("""COMPUTED_VALUE"""),"")</f>
        <v/>
      </c>
      <c r="M12985" s="16" t="str">
        <f>IFERROR(__xludf.DUMMYFUNCTION("""COMPUTED_VALUE"""),"")</f>
        <v/>
      </c>
      <c r="U12985" s="16" t="s">
        <v>87</v>
      </c>
      <c r="V12985" s="16" t="str">
        <f>IFERROR(__xludf.DUMMYFUNCTION("""COMPUTED_VALUE"""),"")</f>
        <v/>
      </c>
      <c r="W12985" s="16" t="str">
        <f>IFERROR(__xludf.DUMMYFUNCTION("""COMPUTED_VALUE"""),"")</f>
        <v/>
      </c>
      <c r="X12985" s="16" t="str">
        <f>IFERROR(__xludf.DUMMYFUNCTION("""COMPUTED_VALUE"""),"")</f>
        <v/>
      </c>
      <c r="AC12985" s="16" t="str">
        <f>IFERROR(__xludf.DUMMYFUNCTION("""COMPUTED_VALUE"""),"")</f>
        <v/>
      </c>
    </row>
    <row r="12986">
      <c r="A12986" s="16" t="s">
        <v>87</v>
      </c>
      <c r="E12986" s="16" t="str">
        <f>IFERROR(__xludf.DUMMYFUNCTION("""COMPUTED_VALUE"""),"")</f>
        <v/>
      </c>
      <c r="G12986" s="18"/>
      <c r="H12986" s="16" t="s">
        <v>87</v>
      </c>
      <c r="I12986" s="16" t="s">
        <v>87</v>
      </c>
      <c r="J12986" s="19"/>
      <c r="L12986" s="16" t="str">
        <f>IFERROR(__xludf.DUMMYFUNCTION("""COMPUTED_VALUE"""),"")</f>
        <v/>
      </c>
      <c r="M12986" s="16" t="str">
        <f>IFERROR(__xludf.DUMMYFUNCTION("""COMPUTED_VALUE"""),"")</f>
        <v/>
      </c>
      <c r="U12986" s="16" t="s">
        <v>87</v>
      </c>
      <c r="V12986" s="16" t="str">
        <f>IFERROR(__xludf.DUMMYFUNCTION("""COMPUTED_VALUE"""),"")</f>
        <v/>
      </c>
      <c r="W12986" s="16" t="str">
        <f>IFERROR(__xludf.DUMMYFUNCTION("""COMPUTED_VALUE"""),"")</f>
        <v/>
      </c>
      <c r="X12986" s="16" t="str">
        <f>IFERROR(__xludf.DUMMYFUNCTION("""COMPUTED_VALUE"""),"")</f>
        <v/>
      </c>
      <c r="AC12986" s="16" t="str">
        <f>IFERROR(__xludf.DUMMYFUNCTION("""COMPUTED_VALUE"""),"")</f>
        <v/>
      </c>
    </row>
    <row r="12987">
      <c r="A12987" s="16" t="s">
        <v>87</v>
      </c>
      <c r="E12987" s="16" t="str">
        <f>IFERROR(__xludf.DUMMYFUNCTION("""COMPUTED_VALUE"""),"")</f>
        <v/>
      </c>
      <c r="G12987" s="18"/>
      <c r="H12987" s="16" t="s">
        <v>87</v>
      </c>
      <c r="I12987" s="16" t="s">
        <v>87</v>
      </c>
      <c r="J12987" s="19"/>
      <c r="L12987" s="16" t="str">
        <f>IFERROR(__xludf.DUMMYFUNCTION("""COMPUTED_VALUE"""),"")</f>
        <v/>
      </c>
      <c r="M12987" s="16" t="str">
        <f>IFERROR(__xludf.DUMMYFUNCTION("""COMPUTED_VALUE"""),"")</f>
        <v/>
      </c>
      <c r="U12987" s="16" t="s">
        <v>87</v>
      </c>
      <c r="V12987" s="16" t="str">
        <f>IFERROR(__xludf.DUMMYFUNCTION("""COMPUTED_VALUE"""),"")</f>
        <v/>
      </c>
      <c r="W12987" s="16" t="str">
        <f>IFERROR(__xludf.DUMMYFUNCTION("""COMPUTED_VALUE"""),"")</f>
        <v/>
      </c>
      <c r="X12987" s="16" t="str">
        <f>IFERROR(__xludf.DUMMYFUNCTION("""COMPUTED_VALUE"""),"")</f>
        <v/>
      </c>
      <c r="AC12987" s="16" t="str">
        <f>IFERROR(__xludf.DUMMYFUNCTION("""COMPUTED_VALUE"""),"")</f>
        <v/>
      </c>
    </row>
    <row r="12988">
      <c r="A12988" s="16" t="s">
        <v>87</v>
      </c>
      <c r="E12988" s="16" t="str">
        <f>IFERROR(__xludf.DUMMYFUNCTION("""COMPUTED_VALUE"""),"")</f>
        <v/>
      </c>
      <c r="G12988" s="18"/>
      <c r="H12988" s="16" t="s">
        <v>87</v>
      </c>
      <c r="I12988" s="16" t="s">
        <v>87</v>
      </c>
      <c r="J12988" s="19"/>
      <c r="L12988" s="16" t="str">
        <f>IFERROR(__xludf.DUMMYFUNCTION("""COMPUTED_VALUE"""),"")</f>
        <v/>
      </c>
      <c r="M12988" s="16" t="str">
        <f>IFERROR(__xludf.DUMMYFUNCTION("""COMPUTED_VALUE"""),"")</f>
        <v/>
      </c>
      <c r="U12988" s="16" t="s">
        <v>87</v>
      </c>
      <c r="V12988" s="16" t="str">
        <f>IFERROR(__xludf.DUMMYFUNCTION("""COMPUTED_VALUE"""),"")</f>
        <v/>
      </c>
      <c r="W12988" s="16" t="str">
        <f>IFERROR(__xludf.DUMMYFUNCTION("""COMPUTED_VALUE"""),"")</f>
        <v/>
      </c>
      <c r="X12988" s="16" t="str">
        <f>IFERROR(__xludf.DUMMYFUNCTION("""COMPUTED_VALUE"""),"")</f>
        <v/>
      </c>
      <c r="AC12988" s="16" t="str">
        <f>IFERROR(__xludf.DUMMYFUNCTION("""COMPUTED_VALUE"""),"")</f>
        <v/>
      </c>
    </row>
    <row r="12989">
      <c r="A12989" s="16" t="s">
        <v>87</v>
      </c>
      <c r="E12989" s="16" t="str">
        <f>IFERROR(__xludf.DUMMYFUNCTION("""COMPUTED_VALUE"""),"")</f>
        <v/>
      </c>
      <c r="G12989" s="18"/>
      <c r="H12989" s="16" t="s">
        <v>87</v>
      </c>
      <c r="I12989" s="16" t="s">
        <v>87</v>
      </c>
      <c r="J12989" s="19"/>
      <c r="L12989" s="16" t="str">
        <f>IFERROR(__xludf.DUMMYFUNCTION("""COMPUTED_VALUE"""),"")</f>
        <v/>
      </c>
      <c r="M12989" s="16" t="str">
        <f>IFERROR(__xludf.DUMMYFUNCTION("""COMPUTED_VALUE"""),"")</f>
        <v/>
      </c>
      <c r="U12989" s="16" t="s">
        <v>87</v>
      </c>
      <c r="V12989" s="16" t="str">
        <f>IFERROR(__xludf.DUMMYFUNCTION("""COMPUTED_VALUE"""),"")</f>
        <v/>
      </c>
      <c r="W12989" s="16" t="str">
        <f>IFERROR(__xludf.DUMMYFUNCTION("""COMPUTED_VALUE"""),"")</f>
        <v/>
      </c>
      <c r="X12989" s="16" t="str">
        <f>IFERROR(__xludf.DUMMYFUNCTION("""COMPUTED_VALUE"""),"")</f>
        <v/>
      </c>
      <c r="AC12989" s="16" t="str">
        <f>IFERROR(__xludf.DUMMYFUNCTION("""COMPUTED_VALUE"""),"")</f>
        <v/>
      </c>
    </row>
    <row r="12990">
      <c r="A12990" s="16" t="s">
        <v>87</v>
      </c>
      <c r="E12990" s="16" t="str">
        <f>IFERROR(__xludf.DUMMYFUNCTION("""COMPUTED_VALUE"""),"")</f>
        <v/>
      </c>
      <c r="G12990" s="18"/>
      <c r="H12990" s="16" t="s">
        <v>87</v>
      </c>
      <c r="I12990" s="16" t="s">
        <v>87</v>
      </c>
      <c r="J12990" s="19"/>
      <c r="L12990" s="16" t="str">
        <f>IFERROR(__xludf.DUMMYFUNCTION("""COMPUTED_VALUE"""),"")</f>
        <v/>
      </c>
      <c r="M12990" s="16" t="str">
        <f>IFERROR(__xludf.DUMMYFUNCTION("""COMPUTED_VALUE"""),"")</f>
        <v/>
      </c>
      <c r="U12990" s="16" t="s">
        <v>87</v>
      </c>
      <c r="V12990" s="16" t="str">
        <f>IFERROR(__xludf.DUMMYFUNCTION("""COMPUTED_VALUE"""),"")</f>
        <v/>
      </c>
      <c r="W12990" s="16" t="str">
        <f>IFERROR(__xludf.DUMMYFUNCTION("""COMPUTED_VALUE"""),"")</f>
        <v/>
      </c>
      <c r="X12990" s="16" t="str">
        <f>IFERROR(__xludf.DUMMYFUNCTION("""COMPUTED_VALUE"""),"")</f>
        <v/>
      </c>
      <c r="AC12990" s="16" t="str">
        <f>IFERROR(__xludf.DUMMYFUNCTION("""COMPUTED_VALUE"""),"")</f>
        <v/>
      </c>
    </row>
    <row r="12991">
      <c r="A12991" s="16" t="s">
        <v>87</v>
      </c>
      <c r="E12991" s="16" t="str">
        <f>IFERROR(__xludf.DUMMYFUNCTION("""COMPUTED_VALUE"""),"")</f>
        <v/>
      </c>
      <c r="G12991" s="18"/>
      <c r="H12991" s="16" t="s">
        <v>87</v>
      </c>
      <c r="I12991" s="16" t="s">
        <v>87</v>
      </c>
      <c r="J12991" s="19"/>
      <c r="L12991" s="16" t="str">
        <f>IFERROR(__xludf.DUMMYFUNCTION("""COMPUTED_VALUE"""),"")</f>
        <v/>
      </c>
      <c r="M12991" s="16" t="str">
        <f>IFERROR(__xludf.DUMMYFUNCTION("""COMPUTED_VALUE"""),"")</f>
        <v/>
      </c>
      <c r="U12991" s="16" t="s">
        <v>87</v>
      </c>
      <c r="V12991" s="16" t="str">
        <f>IFERROR(__xludf.DUMMYFUNCTION("""COMPUTED_VALUE"""),"")</f>
        <v/>
      </c>
      <c r="W12991" s="16" t="str">
        <f>IFERROR(__xludf.DUMMYFUNCTION("""COMPUTED_VALUE"""),"")</f>
        <v/>
      </c>
      <c r="X12991" s="16" t="str">
        <f>IFERROR(__xludf.DUMMYFUNCTION("""COMPUTED_VALUE"""),"")</f>
        <v/>
      </c>
      <c r="AC12991" s="16" t="str">
        <f>IFERROR(__xludf.DUMMYFUNCTION("""COMPUTED_VALUE"""),"")</f>
        <v/>
      </c>
    </row>
    <row r="12992">
      <c r="A12992" s="16" t="s">
        <v>87</v>
      </c>
      <c r="E12992" s="16" t="str">
        <f>IFERROR(__xludf.DUMMYFUNCTION("""COMPUTED_VALUE"""),"")</f>
        <v/>
      </c>
      <c r="G12992" s="18"/>
      <c r="H12992" s="16" t="s">
        <v>87</v>
      </c>
      <c r="I12992" s="16" t="s">
        <v>87</v>
      </c>
      <c r="J12992" s="19"/>
      <c r="L12992" s="16" t="str">
        <f>IFERROR(__xludf.DUMMYFUNCTION("""COMPUTED_VALUE"""),"")</f>
        <v/>
      </c>
      <c r="M12992" s="16" t="str">
        <f>IFERROR(__xludf.DUMMYFUNCTION("""COMPUTED_VALUE"""),"")</f>
        <v/>
      </c>
      <c r="U12992" s="16" t="s">
        <v>87</v>
      </c>
      <c r="V12992" s="16" t="str">
        <f>IFERROR(__xludf.DUMMYFUNCTION("""COMPUTED_VALUE"""),"")</f>
        <v/>
      </c>
      <c r="W12992" s="16" t="str">
        <f>IFERROR(__xludf.DUMMYFUNCTION("""COMPUTED_VALUE"""),"")</f>
        <v/>
      </c>
      <c r="X12992" s="16" t="str">
        <f>IFERROR(__xludf.DUMMYFUNCTION("""COMPUTED_VALUE"""),"")</f>
        <v/>
      </c>
      <c r="AC12992" s="16" t="str">
        <f>IFERROR(__xludf.DUMMYFUNCTION("""COMPUTED_VALUE"""),"")</f>
        <v/>
      </c>
    </row>
    <row r="12993">
      <c r="A12993" s="16" t="s">
        <v>87</v>
      </c>
      <c r="E12993" s="16" t="str">
        <f>IFERROR(__xludf.DUMMYFUNCTION("""COMPUTED_VALUE"""),"")</f>
        <v/>
      </c>
      <c r="G12993" s="18"/>
      <c r="H12993" s="16" t="s">
        <v>87</v>
      </c>
      <c r="I12993" s="16" t="s">
        <v>87</v>
      </c>
      <c r="J12993" s="19"/>
      <c r="L12993" s="16" t="str">
        <f>IFERROR(__xludf.DUMMYFUNCTION("""COMPUTED_VALUE"""),"")</f>
        <v/>
      </c>
      <c r="M12993" s="16" t="str">
        <f>IFERROR(__xludf.DUMMYFUNCTION("""COMPUTED_VALUE"""),"")</f>
        <v/>
      </c>
      <c r="U12993" s="16" t="s">
        <v>87</v>
      </c>
      <c r="V12993" s="16" t="str">
        <f>IFERROR(__xludf.DUMMYFUNCTION("""COMPUTED_VALUE"""),"")</f>
        <v/>
      </c>
      <c r="W12993" s="16" t="str">
        <f>IFERROR(__xludf.DUMMYFUNCTION("""COMPUTED_VALUE"""),"")</f>
        <v/>
      </c>
      <c r="X12993" s="16" t="str">
        <f>IFERROR(__xludf.DUMMYFUNCTION("""COMPUTED_VALUE"""),"")</f>
        <v/>
      </c>
      <c r="AC12993" s="16" t="str">
        <f>IFERROR(__xludf.DUMMYFUNCTION("""COMPUTED_VALUE"""),"")</f>
        <v/>
      </c>
    </row>
    <row r="12994">
      <c r="A12994" s="16" t="s">
        <v>87</v>
      </c>
      <c r="E12994" s="16" t="str">
        <f>IFERROR(__xludf.DUMMYFUNCTION("""COMPUTED_VALUE"""),"")</f>
        <v/>
      </c>
      <c r="G12994" s="18"/>
      <c r="H12994" s="16" t="s">
        <v>87</v>
      </c>
      <c r="I12994" s="16" t="s">
        <v>87</v>
      </c>
      <c r="J12994" s="19"/>
      <c r="L12994" s="16" t="str">
        <f>IFERROR(__xludf.DUMMYFUNCTION("""COMPUTED_VALUE"""),"")</f>
        <v/>
      </c>
      <c r="M12994" s="16" t="str">
        <f>IFERROR(__xludf.DUMMYFUNCTION("""COMPUTED_VALUE"""),"")</f>
        <v/>
      </c>
      <c r="U12994" s="16" t="s">
        <v>87</v>
      </c>
      <c r="V12994" s="16" t="str">
        <f>IFERROR(__xludf.DUMMYFUNCTION("""COMPUTED_VALUE"""),"")</f>
        <v/>
      </c>
      <c r="W12994" s="16" t="str">
        <f>IFERROR(__xludf.DUMMYFUNCTION("""COMPUTED_VALUE"""),"")</f>
        <v/>
      </c>
      <c r="X12994" s="16" t="str">
        <f>IFERROR(__xludf.DUMMYFUNCTION("""COMPUTED_VALUE"""),"")</f>
        <v/>
      </c>
      <c r="AC12994" s="16" t="str">
        <f>IFERROR(__xludf.DUMMYFUNCTION("""COMPUTED_VALUE"""),"")</f>
        <v/>
      </c>
    </row>
    <row r="12995">
      <c r="A12995" s="16" t="s">
        <v>87</v>
      </c>
      <c r="E12995" s="16" t="str">
        <f>IFERROR(__xludf.DUMMYFUNCTION("""COMPUTED_VALUE"""),"")</f>
        <v/>
      </c>
      <c r="G12995" s="18"/>
      <c r="H12995" s="16" t="s">
        <v>87</v>
      </c>
      <c r="I12995" s="16" t="s">
        <v>87</v>
      </c>
      <c r="J12995" s="19"/>
      <c r="L12995" s="16" t="str">
        <f>IFERROR(__xludf.DUMMYFUNCTION("""COMPUTED_VALUE"""),"")</f>
        <v/>
      </c>
      <c r="M12995" s="16" t="str">
        <f>IFERROR(__xludf.DUMMYFUNCTION("""COMPUTED_VALUE"""),"")</f>
        <v/>
      </c>
      <c r="U12995" s="16" t="s">
        <v>87</v>
      </c>
      <c r="V12995" s="16" t="str">
        <f>IFERROR(__xludf.DUMMYFUNCTION("""COMPUTED_VALUE"""),"")</f>
        <v/>
      </c>
      <c r="W12995" s="16" t="str">
        <f>IFERROR(__xludf.DUMMYFUNCTION("""COMPUTED_VALUE"""),"")</f>
        <v/>
      </c>
      <c r="X12995" s="16" t="str">
        <f>IFERROR(__xludf.DUMMYFUNCTION("""COMPUTED_VALUE"""),"")</f>
        <v/>
      </c>
      <c r="AC12995" s="16" t="str">
        <f>IFERROR(__xludf.DUMMYFUNCTION("""COMPUTED_VALUE"""),"")</f>
        <v/>
      </c>
    </row>
    <row r="12996">
      <c r="A12996" s="16" t="s">
        <v>87</v>
      </c>
      <c r="E12996" s="16" t="str">
        <f>IFERROR(__xludf.DUMMYFUNCTION("""COMPUTED_VALUE"""),"")</f>
        <v/>
      </c>
      <c r="G12996" s="18"/>
      <c r="H12996" s="16" t="s">
        <v>87</v>
      </c>
      <c r="I12996" s="16" t="s">
        <v>87</v>
      </c>
      <c r="J12996" s="19"/>
      <c r="L12996" s="16" t="str">
        <f>IFERROR(__xludf.DUMMYFUNCTION("""COMPUTED_VALUE"""),"")</f>
        <v/>
      </c>
      <c r="M12996" s="16" t="str">
        <f>IFERROR(__xludf.DUMMYFUNCTION("""COMPUTED_VALUE"""),"")</f>
        <v/>
      </c>
      <c r="U12996" s="16" t="s">
        <v>87</v>
      </c>
      <c r="V12996" s="16" t="str">
        <f>IFERROR(__xludf.DUMMYFUNCTION("""COMPUTED_VALUE"""),"")</f>
        <v/>
      </c>
      <c r="W12996" s="16" t="str">
        <f>IFERROR(__xludf.DUMMYFUNCTION("""COMPUTED_VALUE"""),"")</f>
        <v/>
      </c>
      <c r="X12996" s="16" t="str">
        <f>IFERROR(__xludf.DUMMYFUNCTION("""COMPUTED_VALUE"""),"")</f>
        <v/>
      </c>
      <c r="AC12996" s="16" t="str">
        <f>IFERROR(__xludf.DUMMYFUNCTION("""COMPUTED_VALUE"""),"")</f>
        <v/>
      </c>
    </row>
    <row r="12997">
      <c r="A12997" s="16" t="s">
        <v>87</v>
      </c>
      <c r="E12997" s="16" t="str">
        <f>IFERROR(__xludf.DUMMYFUNCTION("""COMPUTED_VALUE"""),"")</f>
        <v/>
      </c>
      <c r="G12997" s="18"/>
      <c r="H12997" s="16" t="s">
        <v>87</v>
      </c>
      <c r="I12997" s="16" t="s">
        <v>87</v>
      </c>
      <c r="J12997" s="19"/>
      <c r="L12997" s="16" t="str">
        <f>IFERROR(__xludf.DUMMYFUNCTION("""COMPUTED_VALUE"""),"")</f>
        <v/>
      </c>
      <c r="M12997" s="16" t="str">
        <f>IFERROR(__xludf.DUMMYFUNCTION("""COMPUTED_VALUE"""),"")</f>
        <v/>
      </c>
      <c r="U12997" s="16" t="s">
        <v>87</v>
      </c>
      <c r="V12997" s="16" t="str">
        <f>IFERROR(__xludf.DUMMYFUNCTION("""COMPUTED_VALUE"""),"")</f>
        <v/>
      </c>
      <c r="W12997" s="16" t="str">
        <f>IFERROR(__xludf.DUMMYFUNCTION("""COMPUTED_VALUE"""),"")</f>
        <v/>
      </c>
      <c r="X12997" s="16" t="str">
        <f>IFERROR(__xludf.DUMMYFUNCTION("""COMPUTED_VALUE"""),"")</f>
        <v/>
      </c>
      <c r="AC12997" s="16" t="str">
        <f>IFERROR(__xludf.DUMMYFUNCTION("""COMPUTED_VALUE"""),"")</f>
        <v/>
      </c>
    </row>
    <row r="12998">
      <c r="A12998" s="16" t="s">
        <v>87</v>
      </c>
      <c r="E12998" s="16" t="str">
        <f>IFERROR(__xludf.DUMMYFUNCTION("""COMPUTED_VALUE"""),"")</f>
        <v/>
      </c>
      <c r="G12998" s="18"/>
      <c r="H12998" s="16" t="s">
        <v>87</v>
      </c>
      <c r="I12998" s="16" t="s">
        <v>87</v>
      </c>
      <c r="J12998" s="19"/>
      <c r="L12998" s="16" t="str">
        <f>IFERROR(__xludf.DUMMYFUNCTION("""COMPUTED_VALUE"""),"")</f>
        <v/>
      </c>
      <c r="M12998" s="16" t="str">
        <f>IFERROR(__xludf.DUMMYFUNCTION("""COMPUTED_VALUE"""),"")</f>
        <v/>
      </c>
      <c r="U12998" s="16" t="s">
        <v>87</v>
      </c>
      <c r="V12998" s="16" t="str">
        <f>IFERROR(__xludf.DUMMYFUNCTION("""COMPUTED_VALUE"""),"")</f>
        <v/>
      </c>
      <c r="W12998" s="16" t="str">
        <f>IFERROR(__xludf.DUMMYFUNCTION("""COMPUTED_VALUE"""),"")</f>
        <v/>
      </c>
      <c r="X12998" s="16" t="str">
        <f>IFERROR(__xludf.DUMMYFUNCTION("""COMPUTED_VALUE"""),"")</f>
        <v/>
      </c>
      <c r="AC12998" s="16" t="str">
        <f>IFERROR(__xludf.DUMMYFUNCTION("""COMPUTED_VALUE"""),"")</f>
        <v/>
      </c>
    </row>
    <row r="12999">
      <c r="A12999" s="16" t="s">
        <v>87</v>
      </c>
      <c r="E12999" s="16" t="str">
        <f>IFERROR(__xludf.DUMMYFUNCTION("""COMPUTED_VALUE"""),"")</f>
        <v/>
      </c>
      <c r="G12999" s="18"/>
      <c r="H12999" s="16" t="s">
        <v>87</v>
      </c>
      <c r="I12999" s="16" t="s">
        <v>87</v>
      </c>
      <c r="J12999" s="19"/>
      <c r="L12999" s="16" t="str">
        <f>IFERROR(__xludf.DUMMYFUNCTION("""COMPUTED_VALUE"""),"")</f>
        <v/>
      </c>
      <c r="M12999" s="16" t="str">
        <f>IFERROR(__xludf.DUMMYFUNCTION("""COMPUTED_VALUE"""),"")</f>
        <v/>
      </c>
      <c r="U12999" s="16" t="s">
        <v>87</v>
      </c>
      <c r="V12999" s="16" t="str">
        <f>IFERROR(__xludf.DUMMYFUNCTION("""COMPUTED_VALUE"""),"")</f>
        <v/>
      </c>
      <c r="W12999" s="16" t="str">
        <f>IFERROR(__xludf.DUMMYFUNCTION("""COMPUTED_VALUE"""),"")</f>
        <v/>
      </c>
      <c r="X12999" s="16" t="str">
        <f>IFERROR(__xludf.DUMMYFUNCTION("""COMPUTED_VALUE"""),"")</f>
        <v/>
      </c>
      <c r="AC12999" s="16" t="str">
        <f>IFERROR(__xludf.DUMMYFUNCTION("""COMPUTED_VALUE"""),"")</f>
        <v/>
      </c>
    </row>
    <row r="13000">
      <c r="A13000" s="16" t="s">
        <v>87</v>
      </c>
      <c r="E13000" s="16" t="str">
        <f>IFERROR(__xludf.DUMMYFUNCTION("""COMPUTED_VALUE"""),"")</f>
        <v/>
      </c>
      <c r="G13000" s="18"/>
      <c r="H13000" s="16" t="s">
        <v>87</v>
      </c>
      <c r="I13000" s="16" t="s">
        <v>87</v>
      </c>
      <c r="J13000" s="19"/>
      <c r="L13000" s="16" t="str">
        <f>IFERROR(__xludf.DUMMYFUNCTION("""COMPUTED_VALUE"""),"")</f>
        <v/>
      </c>
      <c r="M13000" s="16" t="str">
        <f>IFERROR(__xludf.DUMMYFUNCTION("""COMPUTED_VALUE"""),"")</f>
        <v/>
      </c>
      <c r="U13000" s="16" t="s">
        <v>87</v>
      </c>
      <c r="V13000" s="16" t="str">
        <f>IFERROR(__xludf.DUMMYFUNCTION("""COMPUTED_VALUE"""),"")</f>
        <v/>
      </c>
      <c r="W13000" s="16" t="str">
        <f>IFERROR(__xludf.DUMMYFUNCTION("""COMPUTED_VALUE"""),"")</f>
        <v/>
      </c>
      <c r="X13000" s="16" t="str">
        <f>IFERROR(__xludf.DUMMYFUNCTION("""COMPUTED_VALUE"""),"")</f>
        <v/>
      </c>
      <c r="AC13000" s="16" t="str">
        <f>IFERROR(__xludf.DUMMYFUNCTION("""COMPUTED_VALUE"""),"")</f>
        <v/>
      </c>
    </row>
    <row r="13001">
      <c r="A13001" s="16" t="s">
        <v>87</v>
      </c>
      <c r="E13001" s="16" t="str">
        <f>IFERROR(__xludf.DUMMYFUNCTION("""COMPUTED_VALUE"""),"")</f>
        <v/>
      </c>
      <c r="G13001" s="18"/>
      <c r="H13001" s="16" t="s">
        <v>87</v>
      </c>
      <c r="I13001" s="16" t="s">
        <v>87</v>
      </c>
      <c r="J13001" s="19"/>
      <c r="L13001" s="16" t="str">
        <f>IFERROR(__xludf.DUMMYFUNCTION("""COMPUTED_VALUE"""),"")</f>
        <v/>
      </c>
      <c r="M13001" s="16" t="str">
        <f>IFERROR(__xludf.DUMMYFUNCTION("""COMPUTED_VALUE"""),"")</f>
        <v/>
      </c>
      <c r="U13001" s="16" t="s">
        <v>87</v>
      </c>
      <c r="V13001" s="16" t="str">
        <f>IFERROR(__xludf.DUMMYFUNCTION("""COMPUTED_VALUE"""),"")</f>
        <v/>
      </c>
      <c r="W13001" s="16" t="str">
        <f>IFERROR(__xludf.DUMMYFUNCTION("""COMPUTED_VALUE"""),"")</f>
        <v/>
      </c>
      <c r="X13001" s="16" t="str">
        <f>IFERROR(__xludf.DUMMYFUNCTION("""COMPUTED_VALUE"""),"")</f>
        <v/>
      </c>
      <c r="AC13001" s="16" t="str">
        <f>IFERROR(__xludf.DUMMYFUNCTION("""COMPUTED_VALUE"""),"")</f>
        <v/>
      </c>
    </row>
    <row r="13002">
      <c r="A13002" s="16" t="s">
        <v>87</v>
      </c>
      <c r="E13002" s="16" t="str">
        <f>IFERROR(__xludf.DUMMYFUNCTION("""COMPUTED_VALUE"""),"")</f>
        <v/>
      </c>
      <c r="G13002" s="18"/>
      <c r="H13002" s="16" t="s">
        <v>87</v>
      </c>
      <c r="I13002" s="16" t="s">
        <v>87</v>
      </c>
      <c r="J13002" s="19"/>
      <c r="L13002" s="16" t="str">
        <f>IFERROR(__xludf.DUMMYFUNCTION("""COMPUTED_VALUE"""),"")</f>
        <v/>
      </c>
      <c r="M13002" s="16" t="str">
        <f>IFERROR(__xludf.DUMMYFUNCTION("""COMPUTED_VALUE"""),"")</f>
        <v/>
      </c>
      <c r="U13002" s="16" t="s">
        <v>87</v>
      </c>
      <c r="V13002" s="16" t="str">
        <f>IFERROR(__xludf.DUMMYFUNCTION("""COMPUTED_VALUE"""),"")</f>
        <v/>
      </c>
      <c r="W13002" s="16" t="str">
        <f>IFERROR(__xludf.DUMMYFUNCTION("""COMPUTED_VALUE"""),"")</f>
        <v/>
      </c>
      <c r="X13002" s="16" t="str">
        <f>IFERROR(__xludf.DUMMYFUNCTION("""COMPUTED_VALUE"""),"")</f>
        <v/>
      </c>
      <c r="AC13002" s="16" t="str">
        <f>IFERROR(__xludf.DUMMYFUNCTION("""COMPUTED_VALUE"""),"")</f>
        <v/>
      </c>
    </row>
    <row r="13003">
      <c r="A13003" s="16" t="s">
        <v>87</v>
      </c>
      <c r="E13003" s="16" t="str">
        <f>IFERROR(__xludf.DUMMYFUNCTION("""COMPUTED_VALUE"""),"")</f>
        <v/>
      </c>
      <c r="G13003" s="18"/>
      <c r="H13003" s="16" t="s">
        <v>87</v>
      </c>
      <c r="I13003" s="16" t="s">
        <v>87</v>
      </c>
      <c r="J13003" s="19"/>
      <c r="L13003" s="16" t="str">
        <f>IFERROR(__xludf.DUMMYFUNCTION("""COMPUTED_VALUE"""),"")</f>
        <v/>
      </c>
      <c r="M13003" s="16" t="str">
        <f>IFERROR(__xludf.DUMMYFUNCTION("""COMPUTED_VALUE"""),"")</f>
        <v/>
      </c>
      <c r="U13003" s="16" t="s">
        <v>87</v>
      </c>
      <c r="V13003" s="16" t="str">
        <f>IFERROR(__xludf.DUMMYFUNCTION("""COMPUTED_VALUE"""),"")</f>
        <v/>
      </c>
      <c r="W13003" s="16" t="str">
        <f>IFERROR(__xludf.DUMMYFUNCTION("""COMPUTED_VALUE"""),"")</f>
        <v/>
      </c>
      <c r="X13003" s="16" t="str">
        <f>IFERROR(__xludf.DUMMYFUNCTION("""COMPUTED_VALUE"""),"")</f>
        <v/>
      </c>
      <c r="AC13003" s="16" t="str">
        <f>IFERROR(__xludf.DUMMYFUNCTION("""COMPUTED_VALUE"""),"")</f>
        <v/>
      </c>
    </row>
    <row r="13004">
      <c r="A13004" s="16" t="s">
        <v>87</v>
      </c>
      <c r="E13004" s="16" t="str">
        <f>IFERROR(__xludf.DUMMYFUNCTION("""COMPUTED_VALUE"""),"")</f>
        <v/>
      </c>
      <c r="G13004" s="18"/>
      <c r="H13004" s="16" t="s">
        <v>87</v>
      </c>
      <c r="I13004" s="16" t="s">
        <v>87</v>
      </c>
      <c r="J13004" s="19"/>
      <c r="L13004" s="16" t="str">
        <f>IFERROR(__xludf.DUMMYFUNCTION("""COMPUTED_VALUE"""),"")</f>
        <v/>
      </c>
      <c r="M13004" s="16" t="str">
        <f>IFERROR(__xludf.DUMMYFUNCTION("""COMPUTED_VALUE"""),"")</f>
        <v/>
      </c>
      <c r="U13004" s="16" t="s">
        <v>87</v>
      </c>
      <c r="V13004" s="16" t="str">
        <f>IFERROR(__xludf.DUMMYFUNCTION("""COMPUTED_VALUE"""),"")</f>
        <v/>
      </c>
      <c r="W13004" s="16" t="str">
        <f>IFERROR(__xludf.DUMMYFUNCTION("""COMPUTED_VALUE"""),"")</f>
        <v/>
      </c>
      <c r="X13004" s="16" t="str">
        <f>IFERROR(__xludf.DUMMYFUNCTION("""COMPUTED_VALUE"""),"")</f>
        <v/>
      </c>
      <c r="AC13004" s="16" t="str">
        <f>IFERROR(__xludf.DUMMYFUNCTION("""COMPUTED_VALUE"""),"")</f>
        <v/>
      </c>
    </row>
    <row r="13005">
      <c r="A13005" s="16" t="s">
        <v>87</v>
      </c>
      <c r="E13005" s="16" t="str">
        <f>IFERROR(__xludf.DUMMYFUNCTION("""COMPUTED_VALUE"""),"")</f>
        <v/>
      </c>
      <c r="G13005" s="18"/>
      <c r="H13005" s="16" t="s">
        <v>87</v>
      </c>
      <c r="I13005" s="16" t="s">
        <v>87</v>
      </c>
      <c r="J13005" s="19"/>
      <c r="L13005" s="16" t="str">
        <f>IFERROR(__xludf.DUMMYFUNCTION("""COMPUTED_VALUE"""),"")</f>
        <v/>
      </c>
      <c r="M13005" s="16" t="str">
        <f>IFERROR(__xludf.DUMMYFUNCTION("""COMPUTED_VALUE"""),"")</f>
        <v/>
      </c>
      <c r="U13005" s="16" t="s">
        <v>87</v>
      </c>
      <c r="V13005" s="16" t="str">
        <f>IFERROR(__xludf.DUMMYFUNCTION("""COMPUTED_VALUE"""),"")</f>
        <v/>
      </c>
      <c r="W13005" s="16" t="str">
        <f>IFERROR(__xludf.DUMMYFUNCTION("""COMPUTED_VALUE"""),"")</f>
        <v/>
      </c>
      <c r="X13005" s="16" t="str">
        <f>IFERROR(__xludf.DUMMYFUNCTION("""COMPUTED_VALUE"""),"")</f>
        <v/>
      </c>
      <c r="AC13005" s="16" t="str">
        <f>IFERROR(__xludf.DUMMYFUNCTION("""COMPUTED_VALUE"""),"")</f>
        <v/>
      </c>
    </row>
    <row r="13006">
      <c r="A13006" s="16" t="s">
        <v>87</v>
      </c>
      <c r="E13006" s="16" t="str">
        <f>IFERROR(__xludf.DUMMYFUNCTION("""COMPUTED_VALUE"""),"")</f>
        <v/>
      </c>
      <c r="G13006" s="18"/>
      <c r="H13006" s="16" t="s">
        <v>87</v>
      </c>
      <c r="I13006" s="16" t="s">
        <v>87</v>
      </c>
      <c r="J13006" s="19"/>
      <c r="L13006" s="16" t="str">
        <f>IFERROR(__xludf.DUMMYFUNCTION("""COMPUTED_VALUE"""),"")</f>
        <v/>
      </c>
      <c r="M13006" s="16" t="str">
        <f>IFERROR(__xludf.DUMMYFUNCTION("""COMPUTED_VALUE"""),"")</f>
        <v/>
      </c>
      <c r="U13006" s="16" t="s">
        <v>87</v>
      </c>
      <c r="V13006" s="16" t="str">
        <f>IFERROR(__xludf.DUMMYFUNCTION("""COMPUTED_VALUE"""),"")</f>
        <v/>
      </c>
      <c r="W13006" s="16" t="str">
        <f>IFERROR(__xludf.DUMMYFUNCTION("""COMPUTED_VALUE"""),"")</f>
        <v/>
      </c>
      <c r="X13006" s="16" t="str">
        <f>IFERROR(__xludf.DUMMYFUNCTION("""COMPUTED_VALUE"""),"")</f>
        <v/>
      </c>
      <c r="AC13006" s="16" t="str">
        <f>IFERROR(__xludf.DUMMYFUNCTION("""COMPUTED_VALUE"""),"")</f>
        <v/>
      </c>
    </row>
    <row r="13007">
      <c r="A13007" s="16" t="s">
        <v>87</v>
      </c>
      <c r="E13007" s="16" t="str">
        <f>IFERROR(__xludf.DUMMYFUNCTION("""COMPUTED_VALUE"""),"")</f>
        <v/>
      </c>
      <c r="G13007" s="18"/>
      <c r="H13007" s="16" t="s">
        <v>87</v>
      </c>
      <c r="I13007" s="16" t="s">
        <v>87</v>
      </c>
      <c r="J13007" s="19"/>
      <c r="L13007" s="16" t="str">
        <f>IFERROR(__xludf.DUMMYFUNCTION("""COMPUTED_VALUE"""),"")</f>
        <v/>
      </c>
      <c r="M13007" s="16" t="str">
        <f>IFERROR(__xludf.DUMMYFUNCTION("""COMPUTED_VALUE"""),"")</f>
        <v/>
      </c>
      <c r="U13007" s="16" t="s">
        <v>87</v>
      </c>
      <c r="V13007" s="16" t="str">
        <f>IFERROR(__xludf.DUMMYFUNCTION("""COMPUTED_VALUE"""),"")</f>
        <v/>
      </c>
      <c r="W13007" s="16" t="str">
        <f>IFERROR(__xludf.DUMMYFUNCTION("""COMPUTED_VALUE"""),"")</f>
        <v/>
      </c>
      <c r="X13007" s="16" t="str">
        <f>IFERROR(__xludf.DUMMYFUNCTION("""COMPUTED_VALUE"""),"")</f>
        <v/>
      </c>
      <c r="AC13007" s="16" t="str">
        <f>IFERROR(__xludf.DUMMYFUNCTION("""COMPUTED_VALUE"""),"")</f>
        <v/>
      </c>
    </row>
    <row r="13008">
      <c r="A13008" s="16" t="s">
        <v>87</v>
      </c>
      <c r="E13008" s="16" t="str">
        <f>IFERROR(__xludf.DUMMYFUNCTION("""COMPUTED_VALUE"""),"")</f>
        <v/>
      </c>
      <c r="G13008" s="18"/>
      <c r="H13008" s="16" t="s">
        <v>87</v>
      </c>
      <c r="I13008" s="16" t="s">
        <v>87</v>
      </c>
      <c r="J13008" s="19"/>
      <c r="L13008" s="16" t="str">
        <f>IFERROR(__xludf.DUMMYFUNCTION("""COMPUTED_VALUE"""),"")</f>
        <v/>
      </c>
      <c r="M13008" s="16" t="str">
        <f>IFERROR(__xludf.DUMMYFUNCTION("""COMPUTED_VALUE"""),"")</f>
        <v/>
      </c>
      <c r="U13008" s="16" t="s">
        <v>87</v>
      </c>
      <c r="V13008" s="16" t="str">
        <f>IFERROR(__xludf.DUMMYFUNCTION("""COMPUTED_VALUE"""),"")</f>
        <v/>
      </c>
      <c r="W13008" s="16" t="str">
        <f>IFERROR(__xludf.DUMMYFUNCTION("""COMPUTED_VALUE"""),"")</f>
        <v/>
      </c>
      <c r="X13008" s="16" t="str">
        <f>IFERROR(__xludf.DUMMYFUNCTION("""COMPUTED_VALUE"""),"")</f>
        <v/>
      </c>
      <c r="AC13008" s="16" t="str">
        <f>IFERROR(__xludf.DUMMYFUNCTION("""COMPUTED_VALUE"""),"")</f>
        <v/>
      </c>
    </row>
    <row r="13009">
      <c r="A13009" s="16" t="s">
        <v>87</v>
      </c>
      <c r="E13009" s="16" t="str">
        <f>IFERROR(__xludf.DUMMYFUNCTION("""COMPUTED_VALUE"""),"")</f>
        <v/>
      </c>
      <c r="G13009" s="18"/>
      <c r="H13009" s="16" t="s">
        <v>87</v>
      </c>
      <c r="I13009" s="16" t="s">
        <v>87</v>
      </c>
      <c r="J13009" s="19"/>
      <c r="L13009" s="16" t="str">
        <f>IFERROR(__xludf.DUMMYFUNCTION("""COMPUTED_VALUE"""),"")</f>
        <v/>
      </c>
      <c r="M13009" s="16" t="str">
        <f>IFERROR(__xludf.DUMMYFUNCTION("""COMPUTED_VALUE"""),"")</f>
        <v/>
      </c>
      <c r="U13009" s="16" t="s">
        <v>87</v>
      </c>
      <c r="V13009" s="16" t="str">
        <f>IFERROR(__xludf.DUMMYFUNCTION("""COMPUTED_VALUE"""),"")</f>
        <v/>
      </c>
      <c r="W13009" s="16" t="str">
        <f>IFERROR(__xludf.DUMMYFUNCTION("""COMPUTED_VALUE"""),"")</f>
        <v/>
      </c>
      <c r="X13009" s="16" t="str">
        <f>IFERROR(__xludf.DUMMYFUNCTION("""COMPUTED_VALUE"""),"")</f>
        <v/>
      </c>
      <c r="AC13009" s="16" t="str">
        <f>IFERROR(__xludf.DUMMYFUNCTION("""COMPUTED_VALUE"""),"")</f>
        <v/>
      </c>
    </row>
    <row r="13010">
      <c r="A13010" s="16" t="s">
        <v>87</v>
      </c>
      <c r="E13010" s="16" t="str">
        <f>IFERROR(__xludf.DUMMYFUNCTION("""COMPUTED_VALUE"""),"")</f>
        <v/>
      </c>
      <c r="G13010" s="18"/>
      <c r="H13010" s="16" t="s">
        <v>87</v>
      </c>
      <c r="I13010" s="16" t="s">
        <v>87</v>
      </c>
      <c r="J13010" s="19"/>
      <c r="L13010" s="16" t="str">
        <f>IFERROR(__xludf.DUMMYFUNCTION("""COMPUTED_VALUE"""),"")</f>
        <v/>
      </c>
      <c r="M13010" s="16" t="str">
        <f>IFERROR(__xludf.DUMMYFUNCTION("""COMPUTED_VALUE"""),"")</f>
        <v/>
      </c>
      <c r="U13010" s="16" t="s">
        <v>87</v>
      </c>
      <c r="V13010" s="16" t="str">
        <f>IFERROR(__xludf.DUMMYFUNCTION("""COMPUTED_VALUE"""),"")</f>
        <v/>
      </c>
      <c r="W13010" s="16" t="str">
        <f>IFERROR(__xludf.DUMMYFUNCTION("""COMPUTED_VALUE"""),"")</f>
        <v/>
      </c>
      <c r="X13010" s="16" t="str">
        <f>IFERROR(__xludf.DUMMYFUNCTION("""COMPUTED_VALUE"""),"")</f>
        <v/>
      </c>
      <c r="AC13010" s="16" t="str">
        <f>IFERROR(__xludf.DUMMYFUNCTION("""COMPUTED_VALUE"""),"")</f>
        <v/>
      </c>
    </row>
    <row r="13011">
      <c r="A13011" s="16" t="s">
        <v>87</v>
      </c>
      <c r="E13011" s="16" t="str">
        <f>IFERROR(__xludf.DUMMYFUNCTION("""COMPUTED_VALUE"""),"")</f>
        <v/>
      </c>
      <c r="G13011" s="18"/>
      <c r="H13011" s="16" t="s">
        <v>87</v>
      </c>
      <c r="I13011" s="16" t="s">
        <v>87</v>
      </c>
      <c r="J13011" s="19"/>
      <c r="L13011" s="16" t="str">
        <f>IFERROR(__xludf.DUMMYFUNCTION("""COMPUTED_VALUE"""),"")</f>
        <v/>
      </c>
      <c r="M13011" s="16" t="str">
        <f>IFERROR(__xludf.DUMMYFUNCTION("""COMPUTED_VALUE"""),"")</f>
        <v/>
      </c>
      <c r="U13011" s="16" t="s">
        <v>87</v>
      </c>
      <c r="V13011" s="16" t="str">
        <f>IFERROR(__xludf.DUMMYFUNCTION("""COMPUTED_VALUE"""),"")</f>
        <v/>
      </c>
      <c r="W13011" s="16" t="str">
        <f>IFERROR(__xludf.DUMMYFUNCTION("""COMPUTED_VALUE"""),"")</f>
        <v/>
      </c>
      <c r="X13011" s="16" t="str">
        <f>IFERROR(__xludf.DUMMYFUNCTION("""COMPUTED_VALUE"""),"")</f>
        <v/>
      </c>
      <c r="AC13011" s="16" t="str">
        <f>IFERROR(__xludf.DUMMYFUNCTION("""COMPUTED_VALUE"""),"")</f>
        <v/>
      </c>
    </row>
    <row r="13012">
      <c r="A13012" s="16" t="s">
        <v>87</v>
      </c>
      <c r="E13012" s="16" t="str">
        <f>IFERROR(__xludf.DUMMYFUNCTION("""COMPUTED_VALUE"""),"")</f>
        <v/>
      </c>
      <c r="G13012" s="18"/>
      <c r="H13012" s="16" t="s">
        <v>87</v>
      </c>
      <c r="I13012" s="16" t="s">
        <v>87</v>
      </c>
      <c r="J13012" s="19"/>
      <c r="L13012" s="16" t="str">
        <f>IFERROR(__xludf.DUMMYFUNCTION("""COMPUTED_VALUE"""),"")</f>
        <v/>
      </c>
      <c r="M13012" s="16" t="str">
        <f>IFERROR(__xludf.DUMMYFUNCTION("""COMPUTED_VALUE"""),"")</f>
        <v/>
      </c>
      <c r="U13012" s="16" t="s">
        <v>87</v>
      </c>
      <c r="V13012" s="16" t="str">
        <f>IFERROR(__xludf.DUMMYFUNCTION("""COMPUTED_VALUE"""),"")</f>
        <v/>
      </c>
      <c r="W13012" s="16" t="str">
        <f>IFERROR(__xludf.DUMMYFUNCTION("""COMPUTED_VALUE"""),"")</f>
        <v/>
      </c>
      <c r="X13012" s="16" t="str">
        <f>IFERROR(__xludf.DUMMYFUNCTION("""COMPUTED_VALUE"""),"")</f>
        <v/>
      </c>
      <c r="AC13012" s="16" t="str">
        <f>IFERROR(__xludf.DUMMYFUNCTION("""COMPUTED_VALUE"""),"")</f>
        <v/>
      </c>
    </row>
    <row r="13013">
      <c r="A13013" s="16" t="s">
        <v>87</v>
      </c>
      <c r="E13013" s="16" t="str">
        <f>IFERROR(__xludf.DUMMYFUNCTION("""COMPUTED_VALUE"""),"")</f>
        <v/>
      </c>
      <c r="G13013" s="18"/>
      <c r="H13013" s="16" t="s">
        <v>87</v>
      </c>
      <c r="I13013" s="16" t="s">
        <v>87</v>
      </c>
      <c r="J13013" s="19"/>
      <c r="L13013" s="16" t="str">
        <f>IFERROR(__xludf.DUMMYFUNCTION("""COMPUTED_VALUE"""),"")</f>
        <v/>
      </c>
      <c r="M13013" s="16" t="str">
        <f>IFERROR(__xludf.DUMMYFUNCTION("""COMPUTED_VALUE"""),"")</f>
        <v/>
      </c>
      <c r="U13013" s="16" t="s">
        <v>87</v>
      </c>
      <c r="V13013" s="16" t="str">
        <f>IFERROR(__xludf.DUMMYFUNCTION("""COMPUTED_VALUE"""),"")</f>
        <v/>
      </c>
      <c r="W13013" s="16" t="str">
        <f>IFERROR(__xludf.DUMMYFUNCTION("""COMPUTED_VALUE"""),"")</f>
        <v/>
      </c>
      <c r="X13013" s="16" t="str">
        <f>IFERROR(__xludf.DUMMYFUNCTION("""COMPUTED_VALUE"""),"")</f>
        <v/>
      </c>
      <c r="AC13013" s="16" t="str">
        <f>IFERROR(__xludf.DUMMYFUNCTION("""COMPUTED_VALUE"""),"")</f>
        <v/>
      </c>
    </row>
    <row r="13014">
      <c r="A13014" s="16" t="s">
        <v>87</v>
      </c>
      <c r="E13014" s="16" t="str">
        <f>IFERROR(__xludf.DUMMYFUNCTION("""COMPUTED_VALUE"""),"")</f>
        <v/>
      </c>
      <c r="G13014" s="18"/>
      <c r="H13014" s="16" t="s">
        <v>87</v>
      </c>
      <c r="I13014" s="16" t="s">
        <v>87</v>
      </c>
      <c r="J13014" s="19"/>
      <c r="L13014" s="16" t="str">
        <f>IFERROR(__xludf.DUMMYFUNCTION("""COMPUTED_VALUE"""),"")</f>
        <v/>
      </c>
      <c r="M13014" s="16" t="str">
        <f>IFERROR(__xludf.DUMMYFUNCTION("""COMPUTED_VALUE"""),"")</f>
        <v/>
      </c>
      <c r="U13014" s="16" t="s">
        <v>87</v>
      </c>
      <c r="V13014" s="16" t="str">
        <f>IFERROR(__xludf.DUMMYFUNCTION("""COMPUTED_VALUE"""),"")</f>
        <v/>
      </c>
      <c r="W13014" s="16" t="str">
        <f>IFERROR(__xludf.DUMMYFUNCTION("""COMPUTED_VALUE"""),"")</f>
        <v/>
      </c>
      <c r="X13014" s="16" t="str">
        <f>IFERROR(__xludf.DUMMYFUNCTION("""COMPUTED_VALUE"""),"")</f>
        <v/>
      </c>
      <c r="AC13014" s="16" t="str">
        <f>IFERROR(__xludf.DUMMYFUNCTION("""COMPUTED_VALUE"""),"")</f>
        <v/>
      </c>
    </row>
    <row r="13015">
      <c r="A13015" s="16" t="s">
        <v>87</v>
      </c>
      <c r="E13015" s="16" t="str">
        <f>IFERROR(__xludf.DUMMYFUNCTION("""COMPUTED_VALUE"""),"")</f>
        <v/>
      </c>
      <c r="G13015" s="18"/>
      <c r="H13015" s="16" t="s">
        <v>87</v>
      </c>
      <c r="I13015" s="16" t="s">
        <v>87</v>
      </c>
      <c r="J13015" s="19"/>
      <c r="L13015" s="16" t="str">
        <f>IFERROR(__xludf.DUMMYFUNCTION("""COMPUTED_VALUE"""),"")</f>
        <v/>
      </c>
      <c r="M13015" s="16" t="str">
        <f>IFERROR(__xludf.DUMMYFUNCTION("""COMPUTED_VALUE"""),"")</f>
        <v/>
      </c>
      <c r="U13015" s="16" t="s">
        <v>87</v>
      </c>
      <c r="V13015" s="16" t="str">
        <f>IFERROR(__xludf.DUMMYFUNCTION("""COMPUTED_VALUE"""),"")</f>
        <v/>
      </c>
      <c r="W13015" s="16" t="str">
        <f>IFERROR(__xludf.DUMMYFUNCTION("""COMPUTED_VALUE"""),"")</f>
        <v/>
      </c>
      <c r="X13015" s="16" t="str">
        <f>IFERROR(__xludf.DUMMYFUNCTION("""COMPUTED_VALUE"""),"")</f>
        <v/>
      </c>
      <c r="AC13015" s="16" t="str">
        <f>IFERROR(__xludf.DUMMYFUNCTION("""COMPUTED_VALUE"""),"")</f>
        <v/>
      </c>
    </row>
    <row r="13016">
      <c r="A13016" s="16" t="s">
        <v>87</v>
      </c>
      <c r="E13016" s="16" t="str">
        <f>IFERROR(__xludf.DUMMYFUNCTION("""COMPUTED_VALUE"""),"")</f>
        <v/>
      </c>
      <c r="G13016" s="18"/>
      <c r="H13016" s="16" t="s">
        <v>87</v>
      </c>
      <c r="I13016" s="16" t="s">
        <v>87</v>
      </c>
      <c r="J13016" s="19"/>
      <c r="L13016" s="16" t="str">
        <f>IFERROR(__xludf.DUMMYFUNCTION("""COMPUTED_VALUE"""),"")</f>
        <v/>
      </c>
      <c r="M13016" s="16" t="str">
        <f>IFERROR(__xludf.DUMMYFUNCTION("""COMPUTED_VALUE"""),"")</f>
        <v/>
      </c>
      <c r="U13016" s="16" t="s">
        <v>87</v>
      </c>
      <c r="V13016" s="16" t="str">
        <f>IFERROR(__xludf.DUMMYFUNCTION("""COMPUTED_VALUE"""),"")</f>
        <v/>
      </c>
      <c r="W13016" s="16" t="str">
        <f>IFERROR(__xludf.DUMMYFUNCTION("""COMPUTED_VALUE"""),"")</f>
        <v/>
      </c>
      <c r="X13016" s="16" t="str">
        <f>IFERROR(__xludf.DUMMYFUNCTION("""COMPUTED_VALUE"""),"")</f>
        <v/>
      </c>
      <c r="AC13016" s="16" t="str">
        <f>IFERROR(__xludf.DUMMYFUNCTION("""COMPUTED_VALUE"""),"")</f>
        <v/>
      </c>
    </row>
    <row r="13017">
      <c r="A13017" s="16" t="s">
        <v>87</v>
      </c>
      <c r="E13017" s="16" t="str">
        <f>IFERROR(__xludf.DUMMYFUNCTION("""COMPUTED_VALUE"""),"")</f>
        <v/>
      </c>
      <c r="G13017" s="18"/>
      <c r="H13017" s="16" t="s">
        <v>87</v>
      </c>
      <c r="I13017" s="16" t="s">
        <v>87</v>
      </c>
      <c r="J13017" s="19"/>
      <c r="L13017" s="16" t="str">
        <f>IFERROR(__xludf.DUMMYFUNCTION("""COMPUTED_VALUE"""),"")</f>
        <v/>
      </c>
      <c r="M13017" s="16" t="str">
        <f>IFERROR(__xludf.DUMMYFUNCTION("""COMPUTED_VALUE"""),"")</f>
        <v/>
      </c>
      <c r="U13017" s="16" t="s">
        <v>87</v>
      </c>
      <c r="V13017" s="16" t="str">
        <f>IFERROR(__xludf.DUMMYFUNCTION("""COMPUTED_VALUE"""),"")</f>
        <v/>
      </c>
      <c r="W13017" s="16" t="str">
        <f>IFERROR(__xludf.DUMMYFUNCTION("""COMPUTED_VALUE"""),"")</f>
        <v/>
      </c>
      <c r="X13017" s="16" t="str">
        <f>IFERROR(__xludf.DUMMYFUNCTION("""COMPUTED_VALUE"""),"")</f>
        <v/>
      </c>
      <c r="AC13017" s="16" t="str">
        <f>IFERROR(__xludf.DUMMYFUNCTION("""COMPUTED_VALUE"""),"")</f>
        <v/>
      </c>
    </row>
    <row r="13018">
      <c r="A13018" s="16" t="s">
        <v>87</v>
      </c>
      <c r="E13018" s="16" t="str">
        <f>IFERROR(__xludf.DUMMYFUNCTION("""COMPUTED_VALUE"""),"")</f>
        <v/>
      </c>
      <c r="G13018" s="18"/>
      <c r="H13018" s="16" t="s">
        <v>87</v>
      </c>
      <c r="I13018" s="16" t="s">
        <v>87</v>
      </c>
      <c r="J13018" s="19"/>
      <c r="L13018" s="16" t="str">
        <f>IFERROR(__xludf.DUMMYFUNCTION("""COMPUTED_VALUE"""),"")</f>
        <v/>
      </c>
      <c r="M13018" s="16" t="str">
        <f>IFERROR(__xludf.DUMMYFUNCTION("""COMPUTED_VALUE"""),"")</f>
        <v/>
      </c>
      <c r="U13018" s="16" t="s">
        <v>87</v>
      </c>
      <c r="V13018" s="16" t="str">
        <f>IFERROR(__xludf.DUMMYFUNCTION("""COMPUTED_VALUE"""),"")</f>
        <v/>
      </c>
      <c r="W13018" s="16" t="str">
        <f>IFERROR(__xludf.DUMMYFUNCTION("""COMPUTED_VALUE"""),"")</f>
        <v/>
      </c>
      <c r="X13018" s="16" t="str">
        <f>IFERROR(__xludf.DUMMYFUNCTION("""COMPUTED_VALUE"""),"")</f>
        <v/>
      </c>
      <c r="AC13018" s="16" t="str">
        <f>IFERROR(__xludf.DUMMYFUNCTION("""COMPUTED_VALUE"""),"")</f>
        <v/>
      </c>
    </row>
    <row r="13019">
      <c r="A13019" s="16" t="s">
        <v>87</v>
      </c>
      <c r="E13019" s="16" t="str">
        <f>IFERROR(__xludf.DUMMYFUNCTION("""COMPUTED_VALUE"""),"")</f>
        <v/>
      </c>
      <c r="G13019" s="18"/>
      <c r="H13019" s="16" t="s">
        <v>87</v>
      </c>
      <c r="I13019" s="16" t="s">
        <v>87</v>
      </c>
      <c r="J13019" s="19"/>
      <c r="L13019" s="16" t="str">
        <f>IFERROR(__xludf.DUMMYFUNCTION("""COMPUTED_VALUE"""),"")</f>
        <v/>
      </c>
      <c r="M13019" s="16" t="str">
        <f>IFERROR(__xludf.DUMMYFUNCTION("""COMPUTED_VALUE"""),"")</f>
        <v/>
      </c>
      <c r="U13019" s="16" t="s">
        <v>87</v>
      </c>
      <c r="V13019" s="16" t="str">
        <f>IFERROR(__xludf.DUMMYFUNCTION("""COMPUTED_VALUE"""),"")</f>
        <v/>
      </c>
      <c r="W13019" s="16" t="str">
        <f>IFERROR(__xludf.DUMMYFUNCTION("""COMPUTED_VALUE"""),"")</f>
        <v/>
      </c>
      <c r="X13019" s="16" t="str">
        <f>IFERROR(__xludf.DUMMYFUNCTION("""COMPUTED_VALUE"""),"")</f>
        <v/>
      </c>
      <c r="AC13019" s="16" t="str">
        <f>IFERROR(__xludf.DUMMYFUNCTION("""COMPUTED_VALUE"""),"")</f>
        <v/>
      </c>
    </row>
    <row r="13020">
      <c r="A13020" s="16" t="s">
        <v>87</v>
      </c>
      <c r="E13020" s="16" t="str">
        <f>IFERROR(__xludf.DUMMYFUNCTION("""COMPUTED_VALUE"""),"")</f>
        <v/>
      </c>
      <c r="G13020" s="18"/>
      <c r="H13020" s="16" t="s">
        <v>87</v>
      </c>
      <c r="I13020" s="16" t="s">
        <v>87</v>
      </c>
      <c r="J13020" s="19"/>
      <c r="L13020" s="16" t="str">
        <f>IFERROR(__xludf.DUMMYFUNCTION("""COMPUTED_VALUE"""),"")</f>
        <v/>
      </c>
      <c r="M13020" s="16" t="str">
        <f>IFERROR(__xludf.DUMMYFUNCTION("""COMPUTED_VALUE"""),"")</f>
        <v/>
      </c>
      <c r="U13020" s="16" t="s">
        <v>87</v>
      </c>
      <c r="V13020" s="16" t="str">
        <f>IFERROR(__xludf.DUMMYFUNCTION("""COMPUTED_VALUE"""),"")</f>
        <v/>
      </c>
      <c r="W13020" s="16" t="str">
        <f>IFERROR(__xludf.DUMMYFUNCTION("""COMPUTED_VALUE"""),"")</f>
        <v/>
      </c>
      <c r="X13020" s="16" t="str">
        <f>IFERROR(__xludf.DUMMYFUNCTION("""COMPUTED_VALUE"""),"")</f>
        <v/>
      </c>
      <c r="AC13020" s="16" t="str">
        <f>IFERROR(__xludf.DUMMYFUNCTION("""COMPUTED_VALUE"""),"")</f>
        <v/>
      </c>
    </row>
    <row r="13021">
      <c r="A13021" s="16" t="s">
        <v>87</v>
      </c>
      <c r="E13021" s="16" t="str">
        <f>IFERROR(__xludf.DUMMYFUNCTION("""COMPUTED_VALUE"""),"")</f>
        <v/>
      </c>
      <c r="G13021" s="18"/>
      <c r="H13021" s="16" t="s">
        <v>87</v>
      </c>
      <c r="I13021" s="16" t="s">
        <v>87</v>
      </c>
      <c r="J13021" s="19"/>
      <c r="L13021" s="16" t="str">
        <f>IFERROR(__xludf.DUMMYFUNCTION("""COMPUTED_VALUE"""),"")</f>
        <v/>
      </c>
      <c r="M13021" s="16" t="str">
        <f>IFERROR(__xludf.DUMMYFUNCTION("""COMPUTED_VALUE"""),"")</f>
        <v/>
      </c>
      <c r="U13021" s="16" t="s">
        <v>87</v>
      </c>
      <c r="V13021" s="16" t="str">
        <f>IFERROR(__xludf.DUMMYFUNCTION("""COMPUTED_VALUE"""),"")</f>
        <v/>
      </c>
      <c r="W13021" s="16" t="str">
        <f>IFERROR(__xludf.DUMMYFUNCTION("""COMPUTED_VALUE"""),"")</f>
        <v/>
      </c>
      <c r="X13021" s="16" t="str">
        <f>IFERROR(__xludf.DUMMYFUNCTION("""COMPUTED_VALUE"""),"")</f>
        <v/>
      </c>
      <c r="AC13021" s="16" t="str">
        <f>IFERROR(__xludf.DUMMYFUNCTION("""COMPUTED_VALUE"""),"")</f>
        <v/>
      </c>
    </row>
    <row r="13022">
      <c r="A13022" s="16" t="s">
        <v>87</v>
      </c>
      <c r="E13022" s="16" t="str">
        <f>IFERROR(__xludf.DUMMYFUNCTION("""COMPUTED_VALUE"""),"")</f>
        <v/>
      </c>
      <c r="G13022" s="18"/>
      <c r="H13022" s="16" t="s">
        <v>87</v>
      </c>
      <c r="I13022" s="16" t="s">
        <v>87</v>
      </c>
      <c r="J13022" s="19"/>
      <c r="L13022" s="16" t="str">
        <f>IFERROR(__xludf.DUMMYFUNCTION("""COMPUTED_VALUE"""),"")</f>
        <v/>
      </c>
      <c r="M13022" s="16" t="str">
        <f>IFERROR(__xludf.DUMMYFUNCTION("""COMPUTED_VALUE"""),"")</f>
        <v/>
      </c>
      <c r="U13022" s="16" t="s">
        <v>87</v>
      </c>
      <c r="V13022" s="16" t="str">
        <f>IFERROR(__xludf.DUMMYFUNCTION("""COMPUTED_VALUE"""),"")</f>
        <v/>
      </c>
      <c r="W13022" s="16" t="str">
        <f>IFERROR(__xludf.DUMMYFUNCTION("""COMPUTED_VALUE"""),"")</f>
        <v/>
      </c>
      <c r="X13022" s="16" t="str">
        <f>IFERROR(__xludf.DUMMYFUNCTION("""COMPUTED_VALUE"""),"")</f>
        <v/>
      </c>
      <c r="AC13022" s="16" t="str">
        <f>IFERROR(__xludf.DUMMYFUNCTION("""COMPUTED_VALUE"""),"")</f>
        <v/>
      </c>
    </row>
    <row r="13023">
      <c r="A13023" s="16" t="s">
        <v>87</v>
      </c>
      <c r="E13023" s="16" t="str">
        <f>IFERROR(__xludf.DUMMYFUNCTION("""COMPUTED_VALUE"""),"")</f>
        <v/>
      </c>
      <c r="G13023" s="18"/>
      <c r="H13023" s="16" t="s">
        <v>87</v>
      </c>
      <c r="I13023" s="16" t="s">
        <v>87</v>
      </c>
      <c r="J13023" s="19"/>
      <c r="L13023" s="16" t="str">
        <f>IFERROR(__xludf.DUMMYFUNCTION("""COMPUTED_VALUE"""),"")</f>
        <v/>
      </c>
      <c r="M13023" s="16" t="str">
        <f>IFERROR(__xludf.DUMMYFUNCTION("""COMPUTED_VALUE"""),"")</f>
        <v/>
      </c>
      <c r="U13023" s="16" t="s">
        <v>87</v>
      </c>
      <c r="V13023" s="16" t="str">
        <f>IFERROR(__xludf.DUMMYFUNCTION("""COMPUTED_VALUE"""),"")</f>
        <v/>
      </c>
      <c r="W13023" s="16" t="str">
        <f>IFERROR(__xludf.DUMMYFUNCTION("""COMPUTED_VALUE"""),"")</f>
        <v/>
      </c>
      <c r="X13023" s="16" t="str">
        <f>IFERROR(__xludf.DUMMYFUNCTION("""COMPUTED_VALUE"""),"")</f>
        <v/>
      </c>
      <c r="AC13023" s="16" t="str">
        <f>IFERROR(__xludf.DUMMYFUNCTION("""COMPUTED_VALUE"""),"")</f>
        <v/>
      </c>
    </row>
    <row r="13024">
      <c r="A13024" s="16" t="s">
        <v>87</v>
      </c>
      <c r="E13024" s="16" t="str">
        <f>IFERROR(__xludf.DUMMYFUNCTION("""COMPUTED_VALUE"""),"")</f>
        <v/>
      </c>
      <c r="G13024" s="18"/>
      <c r="H13024" s="16" t="s">
        <v>87</v>
      </c>
      <c r="I13024" s="16" t="s">
        <v>87</v>
      </c>
      <c r="J13024" s="19"/>
      <c r="L13024" s="16" t="str">
        <f>IFERROR(__xludf.DUMMYFUNCTION("""COMPUTED_VALUE"""),"")</f>
        <v/>
      </c>
      <c r="M13024" s="16" t="str">
        <f>IFERROR(__xludf.DUMMYFUNCTION("""COMPUTED_VALUE"""),"")</f>
        <v/>
      </c>
      <c r="U13024" s="16" t="s">
        <v>87</v>
      </c>
      <c r="V13024" s="16" t="str">
        <f>IFERROR(__xludf.DUMMYFUNCTION("""COMPUTED_VALUE"""),"")</f>
        <v/>
      </c>
      <c r="W13024" s="16" t="str">
        <f>IFERROR(__xludf.DUMMYFUNCTION("""COMPUTED_VALUE"""),"")</f>
        <v/>
      </c>
      <c r="X13024" s="16" t="str">
        <f>IFERROR(__xludf.DUMMYFUNCTION("""COMPUTED_VALUE"""),"")</f>
        <v/>
      </c>
      <c r="AC13024" s="16" t="str">
        <f>IFERROR(__xludf.DUMMYFUNCTION("""COMPUTED_VALUE"""),"")</f>
        <v/>
      </c>
    </row>
    <row r="13025">
      <c r="A13025" s="16" t="s">
        <v>87</v>
      </c>
      <c r="E13025" s="16" t="str">
        <f>IFERROR(__xludf.DUMMYFUNCTION("""COMPUTED_VALUE"""),"")</f>
        <v/>
      </c>
      <c r="G13025" s="18"/>
      <c r="H13025" s="16" t="s">
        <v>87</v>
      </c>
      <c r="I13025" s="16" t="s">
        <v>87</v>
      </c>
      <c r="J13025" s="19"/>
      <c r="L13025" s="16" t="str">
        <f>IFERROR(__xludf.DUMMYFUNCTION("""COMPUTED_VALUE"""),"")</f>
        <v/>
      </c>
      <c r="M13025" s="16" t="str">
        <f>IFERROR(__xludf.DUMMYFUNCTION("""COMPUTED_VALUE"""),"")</f>
        <v/>
      </c>
      <c r="U13025" s="16" t="s">
        <v>87</v>
      </c>
      <c r="V13025" s="16" t="str">
        <f>IFERROR(__xludf.DUMMYFUNCTION("""COMPUTED_VALUE"""),"")</f>
        <v/>
      </c>
      <c r="W13025" s="16" t="str">
        <f>IFERROR(__xludf.DUMMYFUNCTION("""COMPUTED_VALUE"""),"")</f>
        <v/>
      </c>
      <c r="X13025" s="16" t="str">
        <f>IFERROR(__xludf.DUMMYFUNCTION("""COMPUTED_VALUE"""),"")</f>
        <v/>
      </c>
      <c r="AC13025" s="16" t="str">
        <f>IFERROR(__xludf.DUMMYFUNCTION("""COMPUTED_VALUE"""),"")</f>
        <v/>
      </c>
    </row>
    <row r="13026">
      <c r="A13026" s="16" t="s">
        <v>87</v>
      </c>
      <c r="E13026" s="16" t="str">
        <f>IFERROR(__xludf.DUMMYFUNCTION("""COMPUTED_VALUE"""),"")</f>
        <v/>
      </c>
      <c r="G13026" s="18"/>
      <c r="H13026" s="16" t="s">
        <v>87</v>
      </c>
      <c r="I13026" s="16" t="s">
        <v>87</v>
      </c>
      <c r="J13026" s="19"/>
      <c r="L13026" s="16" t="str">
        <f>IFERROR(__xludf.DUMMYFUNCTION("""COMPUTED_VALUE"""),"")</f>
        <v/>
      </c>
      <c r="M13026" s="16" t="str">
        <f>IFERROR(__xludf.DUMMYFUNCTION("""COMPUTED_VALUE"""),"")</f>
        <v/>
      </c>
      <c r="U13026" s="16" t="s">
        <v>87</v>
      </c>
      <c r="V13026" s="16" t="str">
        <f>IFERROR(__xludf.DUMMYFUNCTION("""COMPUTED_VALUE"""),"")</f>
        <v/>
      </c>
      <c r="W13026" s="16" t="str">
        <f>IFERROR(__xludf.DUMMYFUNCTION("""COMPUTED_VALUE"""),"")</f>
        <v/>
      </c>
      <c r="X13026" s="16" t="str">
        <f>IFERROR(__xludf.DUMMYFUNCTION("""COMPUTED_VALUE"""),"")</f>
        <v/>
      </c>
      <c r="AC13026" s="16" t="str">
        <f>IFERROR(__xludf.DUMMYFUNCTION("""COMPUTED_VALUE"""),"")</f>
        <v/>
      </c>
    </row>
    <row r="13027">
      <c r="A13027" s="16" t="s">
        <v>87</v>
      </c>
      <c r="E13027" s="16" t="str">
        <f>IFERROR(__xludf.DUMMYFUNCTION("""COMPUTED_VALUE"""),"")</f>
        <v/>
      </c>
      <c r="G13027" s="18"/>
      <c r="H13027" s="16" t="s">
        <v>87</v>
      </c>
      <c r="I13027" s="16" t="s">
        <v>87</v>
      </c>
      <c r="J13027" s="19"/>
      <c r="L13027" s="16" t="str">
        <f>IFERROR(__xludf.DUMMYFUNCTION("""COMPUTED_VALUE"""),"")</f>
        <v/>
      </c>
      <c r="M13027" s="16" t="str">
        <f>IFERROR(__xludf.DUMMYFUNCTION("""COMPUTED_VALUE"""),"")</f>
        <v/>
      </c>
      <c r="U13027" s="16" t="s">
        <v>87</v>
      </c>
      <c r="V13027" s="16" t="str">
        <f>IFERROR(__xludf.DUMMYFUNCTION("""COMPUTED_VALUE"""),"")</f>
        <v/>
      </c>
      <c r="W13027" s="16" t="str">
        <f>IFERROR(__xludf.DUMMYFUNCTION("""COMPUTED_VALUE"""),"")</f>
        <v/>
      </c>
      <c r="X13027" s="16" t="str">
        <f>IFERROR(__xludf.DUMMYFUNCTION("""COMPUTED_VALUE"""),"")</f>
        <v/>
      </c>
      <c r="AC13027" s="16" t="str">
        <f>IFERROR(__xludf.DUMMYFUNCTION("""COMPUTED_VALUE"""),"")</f>
        <v/>
      </c>
    </row>
    <row r="13028">
      <c r="A13028" s="16" t="s">
        <v>87</v>
      </c>
      <c r="E13028" s="16" t="str">
        <f>IFERROR(__xludf.DUMMYFUNCTION("""COMPUTED_VALUE"""),"")</f>
        <v/>
      </c>
      <c r="G13028" s="18"/>
      <c r="H13028" s="16" t="s">
        <v>87</v>
      </c>
      <c r="I13028" s="16" t="s">
        <v>87</v>
      </c>
      <c r="J13028" s="19"/>
      <c r="L13028" s="16" t="str">
        <f>IFERROR(__xludf.DUMMYFUNCTION("""COMPUTED_VALUE"""),"")</f>
        <v/>
      </c>
      <c r="M13028" s="16" t="str">
        <f>IFERROR(__xludf.DUMMYFUNCTION("""COMPUTED_VALUE"""),"")</f>
        <v/>
      </c>
      <c r="U13028" s="16" t="s">
        <v>87</v>
      </c>
      <c r="V13028" s="16" t="str">
        <f>IFERROR(__xludf.DUMMYFUNCTION("""COMPUTED_VALUE"""),"")</f>
        <v/>
      </c>
      <c r="W13028" s="16" t="str">
        <f>IFERROR(__xludf.DUMMYFUNCTION("""COMPUTED_VALUE"""),"")</f>
        <v/>
      </c>
      <c r="X13028" s="16" t="str">
        <f>IFERROR(__xludf.DUMMYFUNCTION("""COMPUTED_VALUE"""),"")</f>
        <v/>
      </c>
      <c r="AC13028" s="16" t="str">
        <f>IFERROR(__xludf.DUMMYFUNCTION("""COMPUTED_VALUE"""),"")</f>
        <v/>
      </c>
    </row>
    <row r="13029">
      <c r="A13029" s="16" t="s">
        <v>87</v>
      </c>
      <c r="E13029" s="16" t="str">
        <f>IFERROR(__xludf.DUMMYFUNCTION("""COMPUTED_VALUE"""),"")</f>
        <v/>
      </c>
      <c r="G13029" s="18"/>
      <c r="H13029" s="16" t="s">
        <v>87</v>
      </c>
      <c r="I13029" s="16" t="s">
        <v>87</v>
      </c>
      <c r="J13029" s="19"/>
      <c r="L13029" s="16" t="str">
        <f>IFERROR(__xludf.DUMMYFUNCTION("""COMPUTED_VALUE"""),"")</f>
        <v/>
      </c>
      <c r="M13029" s="16" t="str">
        <f>IFERROR(__xludf.DUMMYFUNCTION("""COMPUTED_VALUE"""),"")</f>
        <v/>
      </c>
      <c r="U13029" s="16" t="s">
        <v>87</v>
      </c>
      <c r="V13029" s="16" t="str">
        <f>IFERROR(__xludf.DUMMYFUNCTION("""COMPUTED_VALUE"""),"")</f>
        <v/>
      </c>
      <c r="W13029" s="16" t="str">
        <f>IFERROR(__xludf.DUMMYFUNCTION("""COMPUTED_VALUE"""),"")</f>
        <v/>
      </c>
      <c r="X13029" s="16" t="str">
        <f>IFERROR(__xludf.DUMMYFUNCTION("""COMPUTED_VALUE"""),"")</f>
        <v/>
      </c>
      <c r="AC13029" s="16" t="str">
        <f>IFERROR(__xludf.DUMMYFUNCTION("""COMPUTED_VALUE"""),"")</f>
        <v/>
      </c>
    </row>
    <row r="13030">
      <c r="A13030" s="16" t="s">
        <v>87</v>
      </c>
      <c r="E13030" s="16" t="str">
        <f>IFERROR(__xludf.DUMMYFUNCTION("""COMPUTED_VALUE"""),"")</f>
        <v/>
      </c>
      <c r="G13030" s="18"/>
      <c r="H13030" s="16" t="s">
        <v>87</v>
      </c>
      <c r="I13030" s="16" t="s">
        <v>87</v>
      </c>
      <c r="J13030" s="19"/>
      <c r="L13030" s="16" t="str">
        <f>IFERROR(__xludf.DUMMYFUNCTION("""COMPUTED_VALUE"""),"")</f>
        <v/>
      </c>
      <c r="M13030" s="16" t="str">
        <f>IFERROR(__xludf.DUMMYFUNCTION("""COMPUTED_VALUE"""),"")</f>
        <v/>
      </c>
      <c r="U13030" s="16" t="s">
        <v>87</v>
      </c>
      <c r="V13030" s="16" t="str">
        <f>IFERROR(__xludf.DUMMYFUNCTION("""COMPUTED_VALUE"""),"")</f>
        <v/>
      </c>
      <c r="W13030" s="16" t="str">
        <f>IFERROR(__xludf.DUMMYFUNCTION("""COMPUTED_VALUE"""),"")</f>
        <v/>
      </c>
      <c r="X13030" s="16" t="str">
        <f>IFERROR(__xludf.DUMMYFUNCTION("""COMPUTED_VALUE"""),"")</f>
        <v/>
      </c>
      <c r="AC13030" s="16" t="str">
        <f>IFERROR(__xludf.DUMMYFUNCTION("""COMPUTED_VALUE"""),"")</f>
        <v/>
      </c>
    </row>
    <row r="13031">
      <c r="A13031" s="16" t="s">
        <v>87</v>
      </c>
      <c r="E13031" s="16" t="str">
        <f>IFERROR(__xludf.DUMMYFUNCTION("""COMPUTED_VALUE"""),"")</f>
        <v/>
      </c>
      <c r="G13031" s="18"/>
      <c r="H13031" s="16" t="s">
        <v>87</v>
      </c>
      <c r="I13031" s="16" t="s">
        <v>87</v>
      </c>
      <c r="J13031" s="19"/>
      <c r="L13031" s="16" t="str">
        <f>IFERROR(__xludf.DUMMYFUNCTION("""COMPUTED_VALUE"""),"")</f>
        <v/>
      </c>
      <c r="M13031" s="16" t="str">
        <f>IFERROR(__xludf.DUMMYFUNCTION("""COMPUTED_VALUE"""),"")</f>
        <v/>
      </c>
      <c r="U13031" s="16" t="s">
        <v>87</v>
      </c>
      <c r="V13031" s="16" t="str">
        <f>IFERROR(__xludf.DUMMYFUNCTION("""COMPUTED_VALUE"""),"")</f>
        <v/>
      </c>
      <c r="W13031" s="16" t="str">
        <f>IFERROR(__xludf.DUMMYFUNCTION("""COMPUTED_VALUE"""),"")</f>
        <v/>
      </c>
      <c r="X13031" s="16" t="str">
        <f>IFERROR(__xludf.DUMMYFUNCTION("""COMPUTED_VALUE"""),"")</f>
        <v/>
      </c>
      <c r="AC13031" s="16" t="str">
        <f>IFERROR(__xludf.DUMMYFUNCTION("""COMPUTED_VALUE"""),"")</f>
        <v/>
      </c>
    </row>
    <row r="13032">
      <c r="A13032" s="16" t="s">
        <v>87</v>
      </c>
      <c r="E13032" s="16" t="str">
        <f>IFERROR(__xludf.DUMMYFUNCTION("""COMPUTED_VALUE"""),"")</f>
        <v/>
      </c>
      <c r="G13032" s="18"/>
      <c r="H13032" s="16" t="s">
        <v>87</v>
      </c>
      <c r="I13032" s="16" t="s">
        <v>87</v>
      </c>
      <c r="J13032" s="19"/>
      <c r="L13032" s="16" t="str">
        <f>IFERROR(__xludf.DUMMYFUNCTION("""COMPUTED_VALUE"""),"")</f>
        <v/>
      </c>
      <c r="M13032" s="16" t="str">
        <f>IFERROR(__xludf.DUMMYFUNCTION("""COMPUTED_VALUE"""),"")</f>
        <v/>
      </c>
      <c r="U13032" s="16" t="s">
        <v>87</v>
      </c>
      <c r="V13032" s="16" t="str">
        <f>IFERROR(__xludf.DUMMYFUNCTION("""COMPUTED_VALUE"""),"")</f>
        <v/>
      </c>
      <c r="W13032" s="16" t="str">
        <f>IFERROR(__xludf.DUMMYFUNCTION("""COMPUTED_VALUE"""),"")</f>
        <v/>
      </c>
      <c r="X13032" s="16" t="str">
        <f>IFERROR(__xludf.DUMMYFUNCTION("""COMPUTED_VALUE"""),"")</f>
        <v/>
      </c>
      <c r="AC13032" s="16" t="str">
        <f>IFERROR(__xludf.DUMMYFUNCTION("""COMPUTED_VALUE"""),"")</f>
        <v/>
      </c>
    </row>
    <row r="13033">
      <c r="A13033" s="16" t="s">
        <v>87</v>
      </c>
      <c r="E13033" s="16" t="str">
        <f>IFERROR(__xludf.DUMMYFUNCTION("""COMPUTED_VALUE"""),"")</f>
        <v/>
      </c>
      <c r="G13033" s="18"/>
      <c r="H13033" s="16" t="s">
        <v>87</v>
      </c>
      <c r="I13033" s="16" t="s">
        <v>87</v>
      </c>
      <c r="J13033" s="19"/>
      <c r="L13033" s="16" t="str">
        <f>IFERROR(__xludf.DUMMYFUNCTION("""COMPUTED_VALUE"""),"")</f>
        <v/>
      </c>
      <c r="M13033" s="16" t="str">
        <f>IFERROR(__xludf.DUMMYFUNCTION("""COMPUTED_VALUE"""),"")</f>
        <v/>
      </c>
      <c r="U13033" s="16" t="s">
        <v>87</v>
      </c>
      <c r="V13033" s="16" t="str">
        <f>IFERROR(__xludf.DUMMYFUNCTION("""COMPUTED_VALUE"""),"")</f>
        <v/>
      </c>
      <c r="W13033" s="16" t="str">
        <f>IFERROR(__xludf.DUMMYFUNCTION("""COMPUTED_VALUE"""),"")</f>
        <v/>
      </c>
      <c r="X13033" s="16" t="str">
        <f>IFERROR(__xludf.DUMMYFUNCTION("""COMPUTED_VALUE"""),"")</f>
        <v/>
      </c>
      <c r="AC13033" s="16" t="str">
        <f>IFERROR(__xludf.DUMMYFUNCTION("""COMPUTED_VALUE"""),"")</f>
        <v/>
      </c>
    </row>
    <row r="13034">
      <c r="A13034" s="16" t="s">
        <v>87</v>
      </c>
      <c r="E13034" s="16" t="str">
        <f>IFERROR(__xludf.DUMMYFUNCTION("""COMPUTED_VALUE"""),"")</f>
        <v/>
      </c>
      <c r="G13034" s="18"/>
      <c r="H13034" s="16" t="s">
        <v>87</v>
      </c>
      <c r="I13034" s="16" t="s">
        <v>87</v>
      </c>
      <c r="J13034" s="19"/>
      <c r="L13034" s="16" t="str">
        <f>IFERROR(__xludf.DUMMYFUNCTION("""COMPUTED_VALUE"""),"")</f>
        <v/>
      </c>
      <c r="M13034" s="16" t="str">
        <f>IFERROR(__xludf.DUMMYFUNCTION("""COMPUTED_VALUE"""),"")</f>
        <v/>
      </c>
      <c r="U13034" s="16" t="s">
        <v>87</v>
      </c>
      <c r="V13034" s="16" t="str">
        <f>IFERROR(__xludf.DUMMYFUNCTION("""COMPUTED_VALUE"""),"")</f>
        <v/>
      </c>
      <c r="W13034" s="16" t="str">
        <f>IFERROR(__xludf.DUMMYFUNCTION("""COMPUTED_VALUE"""),"")</f>
        <v/>
      </c>
      <c r="X13034" s="16" t="str">
        <f>IFERROR(__xludf.DUMMYFUNCTION("""COMPUTED_VALUE"""),"")</f>
        <v/>
      </c>
      <c r="AC13034" s="16" t="str">
        <f>IFERROR(__xludf.DUMMYFUNCTION("""COMPUTED_VALUE"""),"")</f>
        <v/>
      </c>
    </row>
    <row r="13035">
      <c r="A13035" s="16" t="s">
        <v>87</v>
      </c>
      <c r="E13035" s="16" t="str">
        <f>IFERROR(__xludf.DUMMYFUNCTION("""COMPUTED_VALUE"""),"")</f>
        <v/>
      </c>
      <c r="G13035" s="18"/>
      <c r="H13035" s="16" t="s">
        <v>87</v>
      </c>
      <c r="I13035" s="16" t="s">
        <v>87</v>
      </c>
      <c r="J13035" s="19"/>
      <c r="L13035" s="16" t="str">
        <f>IFERROR(__xludf.DUMMYFUNCTION("""COMPUTED_VALUE"""),"")</f>
        <v/>
      </c>
      <c r="M13035" s="16" t="str">
        <f>IFERROR(__xludf.DUMMYFUNCTION("""COMPUTED_VALUE"""),"")</f>
        <v/>
      </c>
      <c r="U13035" s="16" t="s">
        <v>87</v>
      </c>
      <c r="V13035" s="16" t="str">
        <f>IFERROR(__xludf.DUMMYFUNCTION("""COMPUTED_VALUE"""),"")</f>
        <v/>
      </c>
      <c r="W13035" s="16" t="str">
        <f>IFERROR(__xludf.DUMMYFUNCTION("""COMPUTED_VALUE"""),"")</f>
        <v/>
      </c>
      <c r="X13035" s="16" t="str">
        <f>IFERROR(__xludf.DUMMYFUNCTION("""COMPUTED_VALUE"""),"")</f>
        <v/>
      </c>
      <c r="AC13035" s="16" t="str">
        <f>IFERROR(__xludf.DUMMYFUNCTION("""COMPUTED_VALUE"""),"")</f>
        <v/>
      </c>
    </row>
    <row r="13036">
      <c r="A13036" s="16" t="s">
        <v>87</v>
      </c>
      <c r="E13036" s="16" t="str">
        <f>IFERROR(__xludf.DUMMYFUNCTION("""COMPUTED_VALUE"""),"")</f>
        <v/>
      </c>
      <c r="G13036" s="18"/>
      <c r="H13036" s="16" t="s">
        <v>87</v>
      </c>
      <c r="I13036" s="16" t="s">
        <v>87</v>
      </c>
      <c r="J13036" s="19"/>
      <c r="L13036" s="16" t="str">
        <f>IFERROR(__xludf.DUMMYFUNCTION("""COMPUTED_VALUE"""),"")</f>
        <v/>
      </c>
      <c r="M13036" s="16" t="str">
        <f>IFERROR(__xludf.DUMMYFUNCTION("""COMPUTED_VALUE"""),"")</f>
        <v/>
      </c>
      <c r="U13036" s="16" t="s">
        <v>87</v>
      </c>
      <c r="V13036" s="16" t="str">
        <f>IFERROR(__xludf.DUMMYFUNCTION("""COMPUTED_VALUE"""),"")</f>
        <v/>
      </c>
      <c r="W13036" s="16" t="str">
        <f>IFERROR(__xludf.DUMMYFUNCTION("""COMPUTED_VALUE"""),"")</f>
        <v/>
      </c>
      <c r="X13036" s="16" t="str">
        <f>IFERROR(__xludf.DUMMYFUNCTION("""COMPUTED_VALUE"""),"")</f>
        <v/>
      </c>
      <c r="AC13036" s="16" t="str">
        <f>IFERROR(__xludf.DUMMYFUNCTION("""COMPUTED_VALUE"""),"")</f>
        <v/>
      </c>
    </row>
    <row r="13037">
      <c r="A13037" s="16" t="s">
        <v>87</v>
      </c>
      <c r="E13037" s="16" t="str">
        <f>IFERROR(__xludf.DUMMYFUNCTION("""COMPUTED_VALUE"""),"")</f>
        <v/>
      </c>
      <c r="G13037" s="18"/>
      <c r="H13037" s="16" t="s">
        <v>87</v>
      </c>
      <c r="I13037" s="16" t="s">
        <v>87</v>
      </c>
      <c r="J13037" s="19"/>
      <c r="L13037" s="16" t="str">
        <f>IFERROR(__xludf.DUMMYFUNCTION("""COMPUTED_VALUE"""),"")</f>
        <v/>
      </c>
      <c r="M13037" s="16" t="str">
        <f>IFERROR(__xludf.DUMMYFUNCTION("""COMPUTED_VALUE"""),"")</f>
        <v/>
      </c>
      <c r="U13037" s="16" t="s">
        <v>87</v>
      </c>
      <c r="V13037" s="16" t="str">
        <f>IFERROR(__xludf.DUMMYFUNCTION("""COMPUTED_VALUE"""),"")</f>
        <v/>
      </c>
      <c r="W13037" s="16" t="str">
        <f>IFERROR(__xludf.DUMMYFUNCTION("""COMPUTED_VALUE"""),"")</f>
        <v/>
      </c>
      <c r="X13037" s="16" t="str">
        <f>IFERROR(__xludf.DUMMYFUNCTION("""COMPUTED_VALUE"""),"")</f>
        <v/>
      </c>
      <c r="AC13037" s="16" t="str">
        <f>IFERROR(__xludf.DUMMYFUNCTION("""COMPUTED_VALUE"""),"")</f>
        <v/>
      </c>
    </row>
    <row r="13038">
      <c r="A13038" s="16" t="s">
        <v>87</v>
      </c>
      <c r="E13038" s="16" t="str">
        <f>IFERROR(__xludf.DUMMYFUNCTION("""COMPUTED_VALUE"""),"")</f>
        <v/>
      </c>
      <c r="G13038" s="18"/>
      <c r="H13038" s="16" t="s">
        <v>87</v>
      </c>
      <c r="I13038" s="16" t="s">
        <v>87</v>
      </c>
      <c r="J13038" s="19"/>
      <c r="L13038" s="16" t="str">
        <f>IFERROR(__xludf.DUMMYFUNCTION("""COMPUTED_VALUE"""),"")</f>
        <v/>
      </c>
      <c r="M13038" s="16" t="str">
        <f>IFERROR(__xludf.DUMMYFUNCTION("""COMPUTED_VALUE"""),"")</f>
        <v/>
      </c>
      <c r="U13038" s="16" t="s">
        <v>87</v>
      </c>
      <c r="V13038" s="16" t="str">
        <f>IFERROR(__xludf.DUMMYFUNCTION("""COMPUTED_VALUE"""),"")</f>
        <v/>
      </c>
      <c r="W13038" s="16" t="str">
        <f>IFERROR(__xludf.DUMMYFUNCTION("""COMPUTED_VALUE"""),"")</f>
        <v/>
      </c>
      <c r="X13038" s="16" t="str">
        <f>IFERROR(__xludf.DUMMYFUNCTION("""COMPUTED_VALUE"""),"")</f>
        <v/>
      </c>
      <c r="AC13038" s="16" t="str">
        <f>IFERROR(__xludf.DUMMYFUNCTION("""COMPUTED_VALUE"""),"")</f>
        <v/>
      </c>
    </row>
    <row r="13039">
      <c r="A13039" s="16" t="s">
        <v>87</v>
      </c>
      <c r="E13039" s="16" t="str">
        <f>IFERROR(__xludf.DUMMYFUNCTION("""COMPUTED_VALUE"""),"")</f>
        <v/>
      </c>
      <c r="G13039" s="18"/>
      <c r="H13039" s="16" t="s">
        <v>87</v>
      </c>
      <c r="I13039" s="16" t="s">
        <v>87</v>
      </c>
      <c r="J13039" s="19"/>
      <c r="L13039" s="16" t="str">
        <f>IFERROR(__xludf.DUMMYFUNCTION("""COMPUTED_VALUE"""),"")</f>
        <v/>
      </c>
      <c r="M13039" s="16" t="str">
        <f>IFERROR(__xludf.DUMMYFUNCTION("""COMPUTED_VALUE"""),"")</f>
        <v/>
      </c>
      <c r="U13039" s="16" t="s">
        <v>87</v>
      </c>
      <c r="V13039" s="16" t="str">
        <f>IFERROR(__xludf.DUMMYFUNCTION("""COMPUTED_VALUE"""),"")</f>
        <v/>
      </c>
      <c r="W13039" s="16" t="str">
        <f>IFERROR(__xludf.DUMMYFUNCTION("""COMPUTED_VALUE"""),"")</f>
        <v/>
      </c>
      <c r="X13039" s="16" t="str">
        <f>IFERROR(__xludf.DUMMYFUNCTION("""COMPUTED_VALUE"""),"")</f>
        <v/>
      </c>
      <c r="AC13039" s="16" t="str">
        <f>IFERROR(__xludf.DUMMYFUNCTION("""COMPUTED_VALUE"""),"")</f>
        <v/>
      </c>
    </row>
    <row r="13040">
      <c r="A13040" s="16" t="s">
        <v>87</v>
      </c>
      <c r="E13040" s="16" t="str">
        <f>IFERROR(__xludf.DUMMYFUNCTION("""COMPUTED_VALUE"""),"")</f>
        <v/>
      </c>
      <c r="G13040" s="18"/>
      <c r="H13040" s="16" t="s">
        <v>87</v>
      </c>
      <c r="I13040" s="16" t="s">
        <v>87</v>
      </c>
      <c r="J13040" s="19"/>
      <c r="L13040" s="16" t="str">
        <f>IFERROR(__xludf.DUMMYFUNCTION("""COMPUTED_VALUE"""),"")</f>
        <v/>
      </c>
      <c r="M13040" s="16" t="str">
        <f>IFERROR(__xludf.DUMMYFUNCTION("""COMPUTED_VALUE"""),"")</f>
        <v/>
      </c>
      <c r="U13040" s="16" t="s">
        <v>87</v>
      </c>
      <c r="V13040" s="16" t="str">
        <f>IFERROR(__xludf.DUMMYFUNCTION("""COMPUTED_VALUE"""),"")</f>
        <v/>
      </c>
      <c r="W13040" s="16" t="str">
        <f>IFERROR(__xludf.DUMMYFUNCTION("""COMPUTED_VALUE"""),"")</f>
        <v/>
      </c>
      <c r="X13040" s="16" t="str">
        <f>IFERROR(__xludf.DUMMYFUNCTION("""COMPUTED_VALUE"""),"")</f>
        <v/>
      </c>
      <c r="AC13040" s="16" t="str">
        <f>IFERROR(__xludf.DUMMYFUNCTION("""COMPUTED_VALUE"""),"")</f>
        <v/>
      </c>
    </row>
    <row r="13041">
      <c r="A13041" s="16" t="s">
        <v>87</v>
      </c>
      <c r="E13041" s="16" t="str">
        <f>IFERROR(__xludf.DUMMYFUNCTION("""COMPUTED_VALUE"""),"")</f>
        <v/>
      </c>
      <c r="G13041" s="18"/>
      <c r="H13041" s="16" t="s">
        <v>87</v>
      </c>
      <c r="I13041" s="16" t="s">
        <v>87</v>
      </c>
      <c r="J13041" s="19"/>
      <c r="L13041" s="16" t="str">
        <f>IFERROR(__xludf.DUMMYFUNCTION("""COMPUTED_VALUE"""),"")</f>
        <v/>
      </c>
      <c r="M13041" s="16" t="str">
        <f>IFERROR(__xludf.DUMMYFUNCTION("""COMPUTED_VALUE"""),"")</f>
        <v/>
      </c>
      <c r="U13041" s="16" t="s">
        <v>87</v>
      </c>
      <c r="V13041" s="16" t="str">
        <f>IFERROR(__xludf.DUMMYFUNCTION("""COMPUTED_VALUE"""),"")</f>
        <v/>
      </c>
      <c r="W13041" s="16" t="str">
        <f>IFERROR(__xludf.DUMMYFUNCTION("""COMPUTED_VALUE"""),"")</f>
        <v/>
      </c>
      <c r="X13041" s="16" t="str">
        <f>IFERROR(__xludf.DUMMYFUNCTION("""COMPUTED_VALUE"""),"")</f>
        <v/>
      </c>
      <c r="AC13041" s="16" t="str">
        <f>IFERROR(__xludf.DUMMYFUNCTION("""COMPUTED_VALUE"""),"")</f>
        <v/>
      </c>
    </row>
    <row r="13042">
      <c r="A13042" s="16" t="s">
        <v>87</v>
      </c>
      <c r="E13042" s="16" t="str">
        <f>IFERROR(__xludf.DUMMYFUNCTION("""COMPUTED_VALUE"""),"")</f>
        <v/>
      </c>
      <c r="G13042" s="18"/>
      <c r="H13042" s="16" t="s">
        <v>87</v>
      </c>
      <c r="I13042" s="16" t="s">
        <v>87</v>
      </c>
      <c r="J13042" s="19"/>
      <c r="L13042" s="16" t="str">
        <f>IFERROR(__xludf.DUMMYFUNCTION("""COMPUTED_VALUE"""),"")</f>
        <v/>
      </c>
      <c r="M13042" s="16" t="str">
        <f>IFERROR(__xludf.DUMMYFUNCTION("""COMPUTED_VALUE"""),"")</f>
        <v/>
      </c>
      <c r="U13042" s="16" t="s">
        <v>87</v>
      </c>
      <c r="V13042" s="16" t="str">
        <f>IFERROR(__xludf.DUMMYFUNCTION("""COMPUTED_VALUE"""),"")</f>
        <v/>
      </c>
      <c r="W13042" s="16" t="str">
        <f>IFERROR(__xludf.DUMMYFUNCTION("""COMPUTED_VALUE"""),"")</f>
        <v/>
      </c>
      <c r="X13042" s="16" t="str">
        <f>IFERROR(__xludf.DUMMYFUNCTION("""COMPUTED_VALUE"""),"")</f>
        <v/>
      </c>
      <c r="AC13042" s="16" t="str">
        <f>IFERROR(__xludf.DUMMYFUNCTION("""COMPUTED_VALUE"""),"")</f>
        <v/>
      </c>
    </row>
    <row r="13043">
      <c r="A13043" s="16" t="s">
        <v>87</v>
      </c>
      <c r="E13043" s="16" t="str">
        <f>IFERROR(__xludf.DUMMYFUNCTION("""COMPUTED_VALUE"""),"")</f>
        <v/>
      </c>
      <c r="G13043" s="18"/>
      <c r="H13043" s="16" t="s">
        <v>87</v>
      </c>
      <c r="I13043" s="16" t="s">
        <v>87</v>
      </c>
      <c r="J13043" s="19"/>
      <c r="L13043" s="16" t="str">
        <f>IFERROR(__xludf.DUMMYFUNCTION("""COMPUTED_VALUE"""),"")</f>
        <v/>
      </c>
      <c r="M13043" s="16" t="str">
        <f>IFERROR(__xludf.DUMMYFUNCTION("""COMPUTED_VALUE"""),"")</f>
        <v/>
      </c>
      <c r="U13043" s="16" t="s">
        <v>87</v>
      </c>
      <c r="V13043" s="16" t="str">
        <f>IFERROR(__xludf.DUMMYFUNCTION("""COMPUTED_VALUE"""),"")</f>
        <v/>
      </c>
      <c r="W13043" s="16" t="str">
        <f>IFERROR(__xludf.DUMMYFUNCTION("""COMPUTED_VALUE"""),"")</f>
        <v/>
      </c>
      <c r="X13043" s="16" t="str">
        <f>IFERROR(__xludf.DUMMYFUNCTION("""COMPUTED_VALUE"""),"")</f>
        <v/>
      </c>
      <c r="AC13043" s="16" t="str">
        <f>IFERROR(__xludf.DUMMYFUNCTION("""COMPUTED_VALUE"""),"")</f>
        <v/>
      </c>
    </row>
    <row r="13044">
      <c r="A13044" s="16" t="s">
        <v>87</v>
      </c>
      <c r="E13044" s="16" t="str">
        <f>IFERROR(__xludf.DUMMYFUNCTION("""COMPUTED_VALUE"""),"")</f>
        <v/>
      </c>
      <c r="G13044" s="18"/>
      <c r="H13044" s="16" t="s">
        <v>87</v>
      </c>
      <c r="I13044" s="16" t="s">
        <v>87</v>
      </c>
      <c r="J13044" s="19"/>
      <c r="L13044" s="16" t="str">
        <f>IFERROR(__xludf.DUMMYFUNCTION("""COMPUTED_VALUE"""),"")</f>
        <v/>
      </c>
      <c r="M13044" s="16" t="str">
        <f>IFERROR(__xludf.DUMMYFUNCTION("""COMPUTED_VALUE"""),"")</f>
        <v/>
      </c>
      <c r="U13044" s="16" t="s">
        <v>87</v>
      </c>
      <c r="V13044" s="16" t="str">
        <f>IFERROR(__xludf.DUMMYFUNCTION("""COMPUTED_VALUE"""),"")</f>
        <v/>
      </c>
      <c r="W13044" s="16" t="str">
        <f>IFERROR(__xludf.DUMMYFUNCTION("""COMPUTED_VALUE"""),"")</f>
        <v/>
      </c>
      <c r="X13044" s="16" t="str">
        <f>IFERROR(__xludf.DUMMYFUNCTION("""COMPUTED_VALUE"""),"")</f>
        <v/>
      </c>
      <c r="AC13044" s="16" t="str">
        <f>IFERROR(__xludf.DUMMYFUNCTION("""COMPUTED_VALUE"""),"")</f>
        <v/>
      </c>
    </row>
    <row r="13045">
      <c r="A13045" s="16" t="s">
        <v>87</v>
      </c>
      <c r="E13045" s="16" t="str">
        <f>IFERROR(__xludf.DUMMYFUNCTION("""COMPUTED_VALUE"""),"")</f>
        <v/>
      </c>
      <c r="G13045" s="18"/>
      <c r="H13045" s="16" t="s">
        <v>87</v>
      </c>
      <c r="I13045" s="16" t="s">
        <v>87</v>
      </c>
      <c r="J13045" s="19"/>
      <c r="L13045" s="16" t="str">
        <f>IFERROR(__xludf.DUMMYFUNCTION("""COMPUTED_VALUE"""),"")</f>
        <v/>
      </c>
      <c r="M13045" s="16" t="str">
        <f>IFERROR(__xludf.DUMMYFUNCTION("""COMPUTED_VALUE"""),"")</f>
        <v/>
      </c>
      <c r="U13045" s="16" t="s">
        <v>87</v>
      </c>
      <c r="V13045" s="16" t="str">
        <f>IFERROR(__xludf.DUMMYFUNCTION("""COMPUTED_VALUE"""),"")</f>
        <v/>
      </c>
      <c r="W13045" s="16" t="str">
        <f>IFERROR(__xludf.DUMMYFUNCTION("""COMPUTED_VALUE"""),"")</f>
        <v/>
      </c>
      <c r="X13045" s="16" t="str">
        <f>IFERROR(__xludf.DUMMYFUNCTION("""COMPUTED_VALUE"""),"")</f>
        <v/>
      </c>
      <c r="AC13045" s="16" t="str">
        <f>IFERROR(__xludf.DUMMYFUNCTION("""COMPUTED_VALUE"""),"")</f>
        <v/>
      </c>
    </row>
    <row r="13046">
      <c r="A13046" s="16" t="s">
        <v>87</v>
      </c>
      <c r="E13046" s="16" t="str">
        <f>IFERROR(__xludf.DUMMYFUNCTION("""COMPUTED_VALUE"""),"")</f>
        <v/>
      </c>
      <c r="G13046" s="18"/>
      <c r="H13046" s="16" t="s">
        <v>87</v>
      </c>
      <c r="I13046" s="16" t="s">
        <v>87</v>
      </c>
      <c r="J13046" s="19"/>
      <c r="L13046" s="16" t="str">
        <f>IFERROR(__xludf.DUMMYFUNCTION("""COMPUTED_VALUE"""),"")</f>
        <v/>
      </c>
      <c r="M13046" s="16" t="str">
        <f>IFERROR(__xludf.DUMMYFUNCTION("""COMPUTED_VALUE"""),"")</f>
        <v/>
      </c>
      <c r="U13046" s="16" t="s">
        <v>87</v>
      </c>
      <c r="V13046" s="16" t="str">
        <f>IFERROR(__xludf.DUMMYFUNCTION("""COMPUTED_VALUE"""),"")</f>
        <v/>
      </c>
      <c r="W13046" s="16" t="str">
        <f>IFERROR(__xludf.DUMMYFUNCTION("""COMPUTED_VALUE"""),"")</f>
        <v/>
      </c>
      <c r="X13046" s="16" t="str">
        <f>IFERROR(__xludf.DUMMYFUNCTION("""COMPUTED_VALUE"""),"")</f>
        <v/>
      </c>
      <c r="AC13046" s="16" t="str">
        <f>IFERROR(__xludf.DUMMYFUNCTION("""COMPUTED_VALUE"""),"")</f>
        <v/>
      </c>
    </row>
    <row r="13047">
      <c r="A13047" s="16" t="s">
        <v>87</v>
      </c>
      <c r="E13047" s="16" t="str">
        <f>IFERROR(__xludf.DUMMYFUNCTION("""COMPUTED_VALUE"""),"")</f>
        <v/>
      </c>
      <c r="G13047" s="18"/>
      <c r="H13047" s="16" t="s">
        <v>87</v>
      </c>
      <c r="I13047" s="16" t="s">
        <v>87</v>
      </c>
      <c r="J13047" s="19"/>
      <c r="L13047" s="16" t="str">
        <f>IFERROR(__xludf.DUMMYFUNCTION("""COMPUTED_VALUE"""),"")</f>
        <v/>
      </c>
      <c r="M13047" s="16" t="str">
        <f>IFERROR(__xludf.DUMMYFUNCTION("""COMPUTED_VALUE"""),"")</f>
        <v/>
      </c>
      <c r="U13047" s="16" t="s">
        <v>87</v>
      </c>
      <c r="V13047" s="16" t="str">
        <f>IFERROR(__xludf.DUMMYFUNCTION("""COMPUTED_VALUE"""),"")</f>
        <v/>
      </c>
      <c r="W13047" s="16" t="str">
        <f>IFERROR(__xludf.DUMMYFUNCTION("""COMPUTED_VALUE"""),"")</f>
        <v/>
      </c>
      <c r="X13047" s="16" t="str">
        <f>IFERROR(__xludf.DUMMYFUNCTION("""COMPUTED_VALUE"""),"")</f>
        <v/>
      </c>
      <c r="AC13047" s="16" t="str">
        <f>IFERROR(__xludf.DUMMYFUNCTION("""COMPUTED_VALUE"""),"")</f>
        <v/>
      </c>
    </row>
    <row r="13048">
      <c r="A13048" s="16" t="s">
        <v>87</v>
      </c>
      <c r="E13048" s="16" t="str">
        <f>IFERROR(__xludf.DUMMYFUNCTION("""COMPUTED_VALUE"""),"")</f>
        <v/>
      </c>
      <c r="G13048" s="18"/>
      <c r="H13048" s="16" t="s">
        <v>87</v>
      </c>
      <c r="I13048" s="16" t="s">
        <v>87</v>
      </c>
      <c r="J13048" s="19"/>
      <c r="L13048" s="16" t="str">
        <f>IFERROR(__xludf.DUMMYFUNCTION("""COMPUTED_VALUE"""),"")</f>
        <v/>
      </c>
      <c r="M13048" s="16" t="str">
        <f>IFERROR(__xludf.DUMMYFUNCTION("""COMPUTED_VALUE"""),"")</f>
        <v/>
      </c>
      <c r="U13048" s="16" t="s">
        <v>87</v>
      </c>
      <c r="V13048" s="16" t="str">
        <f>IFERROR(__xludf.DUMMYFUNCTION("""COMPUTED_VALUE"""),"")</f>
        <v/>
      </c>
      <c r="W13048" s="16" t="str">
        <f>IFERROR(__xludf.DUMMYFUNCTION("""COMPUTED_VALUE"""),"")</f>
        <v/>
      </c>
      <c r="X13048" s="16" t="str">
        <f>IFERROR(__xludf.DUMMYFUNCTION("""COMPUTED_VALUE"""),"")</f>
        <v/>
      </c>
      <c r="AC13048" s="16" t="str">
        <f>IFERROR(__xludf.DUMMYFUNCTION("""COMPUTED_VALUE"""),"")</f>
        <v/>
      </c>
    </row>
    <row r="13049">
      <c r="A13049" s="16" t="s">
        <v>87</v>
      </c>
      <c r="E13049" s="16" t="str">
        <f>IFERROR(__xludf.DUMMYFUNCTION("""COMPUTED_VALUE"""),"")</f>
        <v/>
      </c>
      <c r="G13049" s="18"/>
      <c r="H13049" s="16" t="s">
        <v>87</v>
      </c>
      <c r="I13049" s="16" t="s">
        <v>87</v>
      </c>
      <c r="J13049" s="19"/>
      <c r="L13049" s="16" t="str">
        <f>IFERROR(__xludf.DUMMYFUNCTION("""COMPUTED_VALUE"""),"")</f>
        <v/>
      </c>
      <c r="M13049" s="16" t="str">
        <f>IFERROR(__xludf.DUMMYFUNCTION("""COMPUTED_VALUE"""),"")</f>
        <v/>
      </c>
      <c r="U13049" s="16" t="s">
        <v>87</v>
      </c>
      <c r="V13049" s="16" t="str">
        <f>IFERROR(__xludf.DUMMYFUNCTION("""COMPUTED_VALUE"""),"")</f>
        <v/>
      </c>
      <c r="W13049" s="16" t="str">
        <f>IFERROR(__xludf.DUMMYFUNCTION("""COMPUTED_VALUE"""),"")</f>
        <v/>
      </c>
      <c r="X13049" s="16" t="str">
        <f>IFERROR(__xludf.DUMMYFUNCTION("""COMPUTED_VALUE"""),"")</f>
        <v/>
      </c>
      <c r="AC13049" s="16" t="str">
        <f>IFERROR(__xludf.DUMMYFUNCTION("""COMPUTED_VALUE"""),"")</f>
        <v/>
      </c>
    </row>
    <row r="13050">
      <c r="A13050" s="16" t="s">
        <v>87</v>
      </c>
      <c r="E13050" s="16" t="str">
        <f>IFERROR(__xludf.DUMMYFUNCTION("""COMPUTED_VALUE"""),"")</f>
        <v/>
      </c>
      <c r="G13050" s="18"/>
      <c r="H13050" s="16" t="s">
        <v>87</v>
      </c>
      <c r="I13050" s="16" t="s">
        <v>87</v>
      </c>
      <c r="J13050" s="19"/>
      <c r="L13050" s="16" t="str">
        <f>IFERROR(__xludf.DUMMYFUNCTION("""COMPUTED_VALUE"""),"")</f>
        <v/>
      </c>
      <c r="M13050" s="16" t="str">
        <f>IFERROR(__xludf.DUMMYFUNCTION("""COMPUTED_VALUE"""),"")</f>
        <v/>
      </c>
      <c r="U13050" s="16" t="s">
        <v>87</v>
      </c>
      <c r="V13050" s="16" t="str">
        <f>IFERROR(__xludf.DUMMYFUNCTION("""COMPUTED_VALUE"""),"")</f>
        <v/>
      </c>
      <c r="W13050" s="16" t="str">
        <f>IFERROR(__xludf.DUMMYFUNCTION("""COMPUTED_VALUE"""),"")</f>
        <v/>
      </c>
      <c r="X13050" s="16" t="str">
        <f>IFERROR(__xludf.DUMMYFUNCTION("""COMPUTED_VALUE"""),"")</f>
        <v/>
      </c>
      <c r="AC13050" s="16" t="str">
        <f>IFERROR(__xludf.DUMMYFUNCTION("""COMPUTED_VALUE"""),"")</f>
        <v/>
      </c>
    </row>
    <row r="13051">
      <c r="A13051" s="16" t="s">
        <v>87</v>
      </c>
      <c r="E13051" s="16" t="str">
        <f>IFERROR(__xludf.DUMMYFUNCTION("""COMPUTED_VALUE"""),"")</f>
        <v/>
      </c>
      <c r="G13051" s="18"/>
      <c r="H13051" s="16" t="s">
        <v>87</v>
      </c>
      <c r="I13051" s="16" t="s">
        <v>87</v>
      </c>
      <c r="J13051" s="19"/>
      <c r="L13051" s="16" t="str">
        <f>IFERROR(__xludf.DUMMYFUNCTION("""COMPUTED_VALUE"""),"")</f>
        <v/>
      </c>
      <c r="M13051" s="16" t="str">
        <f>IFERROR(__xludf.DUMMYFUNCTION("""COMPUTED_VALUE"""),"")</f>
        <v/>
      </c>
      <c r="U13051" s="16" t="s">
        <v>87</v>
      </c>
      <c r="V13051" s="16" t="str">
        <f>IFERROR(__xludf.DUMMYFUNCTION("""COMPUTED_VALUE"""),"")</f>
        <v/>
      </c>
      <c r="W13051" s="16" t="str">
        <f>IFERROR(__xludf.DUMMYFUNCTION("""COMPUTED_VALUE"""),"")</f>
        <v/>
      </c>
      <c r="X13051" s="16" t="str">
        <f>IFERROR(__xludf.DUMMYFUNCTION("""COMPUTED_VALUE"""),"")</f>
        <v/>
      </c>
      <c r="AC13051" s="16" t="str">
        <f>IFERROR(__xludf.DUMMYFUNCTION("""COMPUTED_VALUE"""),"")</f>
        <v/>
      </c>
    </row>
    <row r="13052">
      <c r="A13052" s="16" t="s">
        <v>87</v>
      </c>
      <c r="E13052" s="16" t="str">
        <f>IFERROR(__xludf.DUMMYFUNCTION("""COMPUTED_VALUE"""),"")</f>
        <v/>
      </c>
      <c r="G13052" s="18"/>
      <c r="H13052" s="16" t="s">
        <v>87</v>
      </c>
      <c r="I13052" s="16" t="s">
        <v>87</v>
      </c>
      <c r="J13052" s="19"/>
      <c r="L13052" s="16" t="str">
        <f>IFERROR(__xludf.DUMMYFUNCTION("""COMPUTED_VALUE"""),"")</f>
        <v/>
      </c>
      <c r="M13052" s="16" t="str">
        <f>IFERROR(__xludf.DUMMYFUNCTION("""COMPUTED_VALUE"""),"")</f>
        <v/>
      </c>
      <c r="U13052" s="16" t="s">
        <v>87</v>
      </c>
      <c r="V13052" s="16" t="str">
        <f>IFERROR(__xludf.DUMMYFUNCTION("""COMPUTED_VALUE"""),"")</f>
        <v/>
      </c>
      <c r="W13052" s="16" t="str">
        <f>IFERROR(__xludf.DUMMYFUNCTION("""COMPUTED_VALUE"""),"")</f>
        <v/>
      </c>
      <c r="X13052" s="16" t="str">
        <f>IFERROR(__xludf.DUMMYFUNCTION("""COMPUTED_VALUE"""),"")</f>
        <v/>
      </c>
      <c r="AC13052" s="16" t="str">
        <f>IFERROR(__xludf.DUMMYFUNCTION("""COMPUTED_VALUE"""),"")</f>
        <v/>
      </c>
    </row>
    <row r="13053">
      <c r="A13053" s="16" t="s">
        <v>87</v>
      </c>
      <c r="E13053" s="16" t="str">
        <f>IFERROR(__xludf.DUMMYFUNCTION("""COMPUTED_VALUE"""),"")</f>
        <v/>
      </c>
      <c r="G13053" s="18"/>
      <c r="H13053" s="16" t="s">
        <v>87</v>
      </c>
      <c r="I13053" s="16" t="s">
        <v>87</v>
      </c>
      <c r="J13053" s="19"/>
      <c r="L13053" s="16" t="str">
        <f>IFERROR(__xludf.DUMMYFUNCTION("""COMPUTED_VALUE"""),"")</f>
        <v/>
      </c>
      <c r="M13053" s="16" t="str">
        <f>IFERROR(__xludf.DUMMYFUNCTION("""COMPUTED_VALUE"""),"")</f>
        <v/>
      </c>
      <c r="U13053" s="16" t="s">
        <v>87</v>
      </c>
      <c r="V13053" s="16" t="str">
        <f>IFERROR(__xludf.DUMMYFUNCTION("""COMPUTED_VALUE"""),"")</f>
        <v/>
      </c>
      <c r="W13053" s="16" t="str">
        <f>IFERROR(__xludf.DUMMYFUNCTION("""COMPUTED_VALUE"""),"")</f>
        <v/>
      </c>
      <c r="X13053" s="16" t="str">
        <f>IFERROR(__xludf.DUMMYFUNCTION("""COMPUTED_VALUE"""),"")</f>
        <v/>
      </c>
      <c r="AC13053" s="16" t="str">
        <f>IFERROR(__xludf.DUMMYFUNCTION("""COMPUTED_VALUE"""),"")</f>
        <v/>
      </c>
    </row>
    <row r="13054">
      <c r="A13054" s="16" t="s">
        <v>87</v>
      </c>
      <c r="E13054" s="16" t="str">
        <f>IFERROR(__xludf.DUMMYFUNCTION("""COMPUTED_VALUE"""),"")</f>
        <v/>
      </c>
      <c r="G13054" s="18"/>
      <c r="H13054" s="16" t="s">
        <v>87</v>
      </c>
      <c r="I13054" s="16" t="s">
        <v>87</v>
      </c>
      <c r="J13054" s="19"/>
      <c r="L13054" s="16" t="str">
        <f>IFERROR(__xludf.DUMMYFUNCTION("""COMPUTED_VALUE"""),"")</f>
        <v/>
      </c>
      <c r="M13054" s="16" t="str">
        <f>IFERROR(__xludf.DUMMYFUNCTION("""COMPUTED_VALUE"""),"")</f>
        <v/>
      </c>
      <c r="U13054" s="16" t="s">
        <v>87</v>
      </c>
      <c r="V13054" s="16" t="str">
        <f>IFERROR(__xludf.DUMMYFUNCTION("""COMPUTED_VALUE"""),"")</f>
        <v/>
      </c>
      <c r="W13054" s="16" t="str">
        <f>IFERROR(__xludf.DUMMYFUNCTION("""COMPUTED_VALUE"""),"")</f>
        <v/>
      </c>
      <c r="X13054" s="16" t="str">
        <f>IFERROR(__xludf.DUMMYFUNCTION("""COMPUTED_VALUE"""),"")</f>
        <v/>
      </c>
      <c r="AC13054" s="16" t="str">
        <f>IFERROR(__xludf.DUMMYFUNCTION("""COMPUTED_VALUE"""),"")</f>
        <v/>
      </c>
    </row>
    <row r="13055">
      <c r="A13055" s="16" t="s">
        <v>87</v>
      </c>
      <c r="E13055" s="16" t="str">
        <f>IFERROR(__xludf.DUMMYFUNCTION("""COMPUTED_VALUE"""),"")</f>
        <v/>
      </c>
      <c r="G13055" s="18"/>
      <c r="H13055" s="16" t="s">
        <v>87</v>
      </c>
      <c r="I13055" s="16" t="s">
        <v>87</v>
      </c>
      <c r="J13055" s="19"/>
      <c r="L13055" s="16" t="str">
        <f>IFERROR(__xludf.DUMMYFUNCTION("""COMPUTED_VALUE"""),"")</f>
        <v/>
      </c>
      <c r="M13055" s="16" t="str">
        <f>IFERROR(__xludf.DUMMYFUNCTION("""COMPUTED_VALUE"""),"")</f>
        <v/>
      </c>
      <c r="U13055" s="16" t="s">
        <v>87</v>
      </c>
      <c r="V13055" s="16" t="str">
        <f>IFERROR(__xludf.DUMMYFUNCTION("""COMPUTED_VALUE"""),"")</f>
        <v/>
      </c>
      <c r="W13055" s="16" t="str">
        <f>IFERROR(__xludf.DUMMYFUNCTION("""COMPUTED_VALUE"""),"")</f>
        <v/>
      </c>
      <c r="X13055" s="16" t="str">
        <f>IFERROR(__xludf.DUMMYFUNCTION("""COMPUTED_VALUE"""),"")</f>
        <v/>
      </c>
      <c r="AC13055" s="16" t="str">
        <f>IFERROR(__xludf.DUMMYFUNCTION("""COMPUTED_VALUE"""),"")</f>
        <v/>
      </c>
    </row>
    <row r="13056">
      <c r="A13056" s="16" t="s">
        <v>87</v>
      </c>
      <c r="E13056" s="16" t="str">
        <f>IFERROR(__xludf.DUMMYFUNCTION("""COMPUTED_VALUE"""),"")</f>
        <v/>
      </c>
      <c r="G13056" s="18"/>
      <c r="H13056" s="16" t="s">
        <v>87</v>
      </c>
      <c r="I13056" s="16" t="s">
        <v>87</v>
      </c>
      <c r="J13056" s="19"/>
      <c r="L13056" s="16" t="str">
        <f>IFERROR(__xludf.DUMMYFUNCTION("""COMPUTED_VALUE"""),"")</f>
        <v/>
      </c>
      <c r="M13056" s="16" t="str">
        <f>IFERROR(__xludf.DUMMYFUNCTION("""COMPUTED_VALUE"""),"")</f>
        <v/>
      </c>
      <c r="U13056" s="16" t="s">
        <v>87</v>
      </c>
      <c r="V13056" s="16" t="str">
        <f>IFERROR(__xludf.DUMMYFUNCTION("""COMPUTED_VALUE"""),"")</f>
        <v/>
      </c>
      <c r="W13056" s="16" t="str">
        <f>IFERROR(__xludf.DUMMYFUNCTION("""COMPUTED_VALUE"""),"")</f>
        <v/>
      </c>
      <c r="X13056" s="16" t="str">
        <f>IFERROR(__xludf.DUMMYFUNCTION("""COMPUTED_VALUE"""),"")</f>
        <v/>
      </c>
      <c r="AC13056" s="16" t="str">
        <f>IFERROR(__xludf.DUMMYFUNCTION("""COMPUTED_VALUE"""),"")</f>
        <v/>
      </c>
    </row>
    <row r="13057">
      <c r="A13057" s="16" t="s">
        <v>87</v>
      </c>
      <c r="E13057" s="16" t="str">
        <f>IFERROR(__xludf.DUMMYFUNCTION("""COMPUTED_VALUE"""),"")</f>
        <v/>
      </c>
      <c r="G13057" s="18"/>
      <c r="H13057" s="16" t="s">
        <v>87</v>
      </c>
      <c r="I13057" s="16" t="s">
        <v>87</v>
      </c>
      <c r="J13057" s="19"/>
      <c r="L13057" s="16" t="str">
        <f>IFERROR(__xludf.DUMMYFUNCTION("""COMPUTED_VALUE"""),"")</f>
        <v/>
      </c>
      <c r="M13057" s="16" t="str">
        <f>IFERROR(__xludf.DUMMYFUNCTION("""COMPUTED_VALUE"""),"")</f>
        <v/>
      </c>
      <c r="U13057" s="16" t="s">
        <v>87</v>
      </c>
      <c r="V13057" s="16" t="str">
        <f>IFERROR(__xludf.DUMMYFUNCTION("""COMPUTED_VALUE"""),"")</f>
        <v/>
      </c>
      <c r="W13057" s="16" t="str">
        <f>IFERROR(__xludf.DUMMYFUNCTION("""COMPUTED_VALUE"""),"")</f>
        <v/>
      </c>
      <c r="X13057" s="16" t="str">
        <f>IFERROR(__xludf.DUMMYFUNCTION("""COMPUTED_VALUE"""),"")</f>
        <v/>
      </c>
      <c r="AC13057" s="16" t="str">
        <f>IFERROR(__xludf.DUMMYFUNCTION("""COMPUTED_VALUE"""),"")</f>
        <v/>
      </c>
    </row>
    <row r="13058">
      <c r="A13058" s="16" t="s">
        <v>87</v>
      </c>
      <c r="E13058" s="16" t="str">
        <f>IFERROR(__xludf.DUMMYFUNCTION("""COMPUTED_VALUE"""),"")</f>
        <v/>
      </c>
      <c r="G13058" s="18"/>
      <c r="H13058" s="16" t="s">
        <v>87</v>
      </c>
      <c r="I13058" s="16" t="s">
        <v>87</v>
      </c>
      <c r="J13058" s="19"/>
      <c r="L13058" s="16" t="str">
        <f>IFERROR(__xludf.DUMMYFUNCTION("""COMPUTED_VALUE"""),"")</f>
        <v/>
      </c>
      <c r="M13058" s="16" t="str">
        <f>IFERROR(__xludf.DUMMYFUNCTION("""COMPUTED_VALUE"""),"")</f>
        <v/>
      </c>
      <c r="U13058" s="16" t="s">
        <v>87</v>
      </c>
      <c r="V13058" s="16" t="str">
        <f>IFERROR(__xludf.DUMMYFUNCTION("""COMPUTED_VALUE"""),"")</f>
        <v/>
      </c>
      <c r="W13058" s="16" t="str">
        <f>IFERROR(__xludf.DUMMYFUNCTION("""COMPUTED_VALUE"""),"")</f>
        <v/>
      </c>
      <c r="X13058" s="16" t="str">
        <f>IFERROR(__xludf.DUMMYFUNCTION("""COMPUTED_VALUE"""),"")</f>
        <v/>
      </c>
      <c r="AC13058" s="16" t="str">
        <f>IFERROR(__xludf.DUMMYFUNCTION("""COMPUTED_VALUE"""),"")</f>
        <v/>
      </c>
    </row>
    <row r="13059">
      <c r="A13059" s="16" t="s">
        <v>87</v>
      </c>
      <c r="E13059" s="16" t="str">
        <f>IFERROR(__xludf.DUMMYFUNCTION("""COMPUTED_VALUE"""),"")</f>
        <v/>
      </c>
      <c r="G13059" s="18"/>
      <c r="H13059" s="16" t="s">
        <v>87</v>
      </c>
      <c r="I13059" s="16" t="s">
        <v>87</v>
      </c>
      <c r="J13059" s="19"/>
      <c r="L13059" s="16" t="str">
        <f>IFERROR(__xludf.DUMMYFUNCTION("""COMPUTED_VALUE"""),"")</f>
        <v/>
      </c>
      <c r="M13059" s="16" t="str">
        <f>IFERROR(__xludf.DUMMYFUNCTION("""COMPUTED_VALUE"""),"")</f>
        <v/>
      </c>
      <c r="U13059" s="16" t="s">
        <v>87</v>
      </c>
      <c r="V13059" s="16" t="str">
        <f>IFERROR(__xludf.DUMMYFUNCTION("""COMPUTED_VALUE"""),"")</f>
        <v/>
      </c>
      <c r="W13059" s="16" t="str">
        <f>IFERROR(__xludf.DUMMYFUNCTION("""COMPUTED_VALUE"""),"")</f>
        <v/>
      </c>
      <c r="X13059" s="16" t="str">
        <f>IFERROR(__xludf.DUMMYFUNCTION("""COMPUTED_VALUE"""),"")</f>
        <v/>
      </c>
      <c r="AC13059" s="16" t="str">
        <f>IFERROR(__xludf.DUMMYFUNCTION("""COMPUTED_VALUE"""),"")</f>
        <v/>
      </c>
    </row>
    <row r="13060">
      <c r="A13060" s="16" t="s">
        <v>87</v>
      </c>
      <c r="E13060" s="16" t="str">
        <f>IFERROR(__xludf.DUMMYFUNCTION("""COMPUTED_VALUE"""),"")</f>
        <v/>
      </c>
      <c r="G13060" s="18"/>
      <c r="H13060" s="16" t="s">
        <v>87</v>
      </c>
      <c r="I13060" s="16" t="s">
        <v>87</v>
      </c>
      <c r="J13060" s="19"/>
      <c r="L13060" s="16" t="str">
        <f>IFERROR(__xludf.DUMMYFUNCTION("""COMPUTED_VALUE"""),"")</f>
        <v/>
      </c>
      <c r="M13060" s="16" t="str">
        <f>IFERROR(__xludf.DUMMYFUNCTION("""COMPUTED_VALUE"""),"")</f>
        <v/>
      </c>
      <c r="U13060" s="16" t="s">
        <v>87</v>
      </c>
      <c r="V13060" s="16" t="str">
        <f>IFERROR(__xludf.DUMMYFUNCTION("""COMPUTED_VALUE"""),"")</f>
        <v/>
      </c>
      <c r="W13060" s="16" t="str">
        <f>IFERROR(__xludf.DUMMYFUNCTION("""COMPUTED_VALUE"""),"")</f>
        <v/>
      </c>
      <c r="X13060" s="16" t="str">
        <f>IFERROR(__xludf.DUMMYFUNCTION("""COMPUTED_VALUE"""),"")</f>
        <v/>
      </c>
      <c r="AC13060" s="16" t="str">
        <f>IFERROR(__xludf.DUMMYFUNCTION("""COMPUTED_VALUE"""),"")</f>
        <v/>
      </c>
    </row>
    <row r="13061">
      <c r="A13061" s="16" t="s">
        <v>87</v>
      </c>
      <c r="E13061" s="16" t="str">
        <f>IFERROR(__xludf.DUMMYFUNCTION("""COMPUTED_VALUE"""),"")</f>
        <v/>
      </c>
      <c r="G13061" s="18"/>
      <c r="H13061" s="16" t="s">
        <v>87</v>
      </c>
      <c r="I13061" s="16" t="s">
        <v>87</v>
      </c>
      <c r="J13061" s="19"/>
      <c r="L13061" s="16" t="str">
        <f>IFERROR(__xludf.DUMMYFUNCTION("""COMPUTED_VALUE"""),"")</f>
        <v/>
      </c>
      <c r="M13061" s="16" t="str">
        <f>IFERROR(__xludf.DUMMYFUNCTION("""COMPUTED_VALUE"""),"")</f>
        <v/>
      </c>
      <c r="U13061" s="16" t="s">
        <v>87</v>
      </c>
      <c r="V13061" s="16" t="str">
        <f>IFERROR(__xludf.DUMMYFUNCTION("""COMPUTED_VALUE"""),"")</f>
        <v/>
      </c>
      <c r="W13061" s="16" t="str">
        <f>IFERROR(__xludf.DUMMYFUNCTION("""COMPUTED_VALUE"""),"")</f>
        <v/>
      </c>
      <c r="X13061" s="16" t="str">
        <f>IFERROR(__xludf.DUMMYFUNCTION("""COMPUTED_VALUE"""),"")</f>
        <v/>
      </c>
      <c r="AC13061" s="16" t="str">
        <f>IFERROR(__xludf.DUMMYFUNCTION("""COMPUTED_VALUE"""),"")</f>
        <v/>
      </c>
    </row>
    <row r="13062">
      <c r="A13062" s="16" t="s">
        <v>87</v>
      </c>
      <c r="E13062" s="16" t="str">
        <f>IFERROR(__xludf.DUMMYFUNCTION("""COMPUTED_VALUE"""),"")</f>
        <v/>
      </c>
      <c r="G13062" s="18"/>
      <c r="H13062" s="16" t="s">
        <v>87</v>
      </c>
      <c r="I13062" s="16" t="s">
        <v>87</v>
      </c>
      <c r="J13062" s="19"/>
      <c r="L13062" s="16" t="str">
        <f>IFERROR(__xludf.DUMMYFUNCTION("""COMPUTED_VALUE"""),"")</f>
        <v/>
      </c>
      <c r="M13062" s="16" t="str">
        <f>IFERROR(__xludf.DUMMYFUNCTION("""COMPUTED_VALUE"""),"")</f>
        <v/>
      </c>
      <c r="U13062" s="16" t="s">
        <v>87</v>
      </c>
      <c r="V13062" s="16" t="str">
        <f>IFERROR(__xludf.DUMMYFUNCTION("""COMPUTED_VALUE"""),"")</f>
        <v/>
      </c>
      <c r="W13062" s="16" t="str">
        <f>IFERROR(__xludf.DUMMYFUNCTION("""COMPUTED_VALUE"""),"")</f>
        <v/>
      </c>
      <c r="X13062" s="16" t="str">
        <f>IFERROR(__xludf.DUMMYFUNCTION("""COMPUTED_VALUE"""),"")</f>
        <v/>
      </c>
      <c r="AC13062" s="16" t="str">
        <f>IFERROR(__xludf.DUMMYFUNCTION("""COMPUTED_VALUE"""),"")</f>
        <v/>
      </c>
    </row>
    <row r="13063">
      <c r="A13063" s="16" t="s">
        <v>87</v>
      </c>
      <c r="E13063" s="16" t="str">
        <f>IFERROR(__xludf.DUMMYFUNCTION("""COMPUTED_VALUE"""),"")</f>
        <v/>
      </c>
      <c r="G13063" s="18"/>
      <c r="H13063" s="16" t="s">
        <v>87</v>
      </c>
      <c r="I13063" s="16" t="s">
        <v>87</v>
      </c>
      <c r="J13063" s="19"/>
      <c r="L13063" s="16" t="str">
        <f>IFERROR(__xludf.DUMMYFUNCTION("""COMPUTED_VALUE"""),"")</f>
        <v/>
      </c>
      <c r="M13063" s="16" t="str">
        <f>IFERROR(__xludf.DUMMYFUNCTION("""COMPUTED_VALUE"""),"")</f>
        <v/>
      </c>
      <c r="U13063" s="16" t="s">
        <v>87</v>
      </c>
      <c r="V13063" s="16" t="str">
        <f>IFERROR(__xludf.DUMMYFUNCTION("""COMPUTED_VALUE"""),"")</f>
        <v/>
      </c>
      <c r="W13063" s="16" t="str">
        <f>IFERROR(__xludf.DUMMYFUNCTION("""COMPUTED_VALUE"""),"")</f>
        <v/>
      </c>
      <c r="X13063" s="16" t="str">
        <f>IFERROR(__xludf.DUMMYFUNCTION("""COMPUTED_VALUE"""),"")</f>
        <v/>
      </c>
      <c r="AC13063" s="16" t="str">
        <f>IFERROR(__xludf.DUMMYFUNCTION("""COMPUTED_VALUE"""),"")</f>
        <v/>
      </c>
    </row>
    <row r="13064">
      <c r="A13064" s="16" t="s">
        <v>87</v>
      </c>
      <c r="E13064" s="16" t="str">
        <f>IFERROR(__xludf.DUMMYFUNCTION("""COMPUTED_VALUE"""),"")</f>
        <v/>
      </c>
      <c r="G13064" s="18"/>
      <c r="H13064" s="16" t="s">
        <v>87</v>
      </c>
      <c r="I13064" s="16" t="s">
        <v>87</v>
      </c>
      <c r="J13064" s="19"/>
      <c r="L13064" s="16" t="str">
        <f>IFERROR(__xludf.DUMMYFUNCTION("""COMPUTED_VALUE"""),"")</f>
        <v/>
      </c>
      <c r="M13064" s="16" t="str">
        <f>IFERROR(__xludf.DUMMYFUNCTION("""COMPUTED_VALUE"""),"")</f>
        <v/>
      </c>
      <c r="U13064" s="16" t="s">
        <v>87</v>
      </c>
      <c r="V13064" s="16" t="str">
        <f>IFERROR(__xludf.DUMMYFUNCTION("""COMPUTED_VALUE"""),"")</f>
        <v/>
      </c>
      <c r="W13064" s="16" t="str">
        <f>IFERROR(__xludf.DUMMYFUNCTION("""COMPUTED_VALUE"""),"")</f>
        <v/>
      </c>
      <c r="X13064" s="16" t="str">
        <f>IFERROR(__xludf.DUMMYFUNCTION("""COMPUTED_VALUE"""),"")</f>
        <v/>
      </c>
      <c r="AC13064" s="16" t="str">
        <f>IFERROR(__xludf.DUMMYFUNCTION("""COMPUTED_VALUE"""),"")</f>
        <v/>
      </c>
    </row>
    <row r="13065">
      <c r="A13065" s="16" t="s">
        <v>87</v>
      </c>
      <c r="E13065" s="16" t="str">
        <f>IFERROR(__xludf.DUMMYFUNCTION("""COMPUTED_VALUE"""),"")</f>
        <v/>
      </c>
      <c r="G13065" s="18"/>
      <c r="H13065" s="16" t="s">
        <v>87</v>
      </c>
      <c r="I13065" s="16" t="s">
        <v>87</v>
      </c>
      <c r="J13065" s="19"/>
      <c r="L13065" s="16" t="str">
        <f>IFERROR(__xludf.DUMMYFUNCTION("""COMPUTED_VALUE"""),"")</f>
        <v/>
      </c>
      <c r="M13065" s="16" t="str">
        <f>IFERROR(__xludf.DUMMYFUNCTION("""COMPUTED_VALUE"""),"")</f>
        <v/>
      </c>
      <c r="U13065" s="16" t="s">
        <v>87</v>
      </c>
      <c r="V13065" s="16" t="str">
        <f>IFERROR(__xludf.DUMMYFUNCTION("""COMPUTED_VALUE"""),"")</f>
        <v/>
      </c>
      <c r="W13065" s="16" t="str">
        <f>IFERROR(__xludf.DUMMYFUNCTION("""COMPUTED_VALUE"""),"")</f>
        <v/>
      </c>
      <c r="X13065" s="16" t="str">
        <f>IFERROR(__xludf.DUMMYFUNCTION("""COMPUTED_VALUE"""),"")</f>
        <v/>
      </c>
      <c r="AC13065" s="16" t="str">
        <f>IFERROR(__xludf.DUMMYFUNCTION("""COMPUTED_VALUE"""),"")</f>
        <v/>
      </c>
    </row>
    <row r="13066">
      <c r="A13066" s="16" t="s">
        <v>87</v>
      </c>
      <c r="E13066" s="16" t="str">
        <f>IFERROR(__xludf.DUMMYFUNCTION("""COMPUTED_VALUE"""),"")</f>
        <v/>
      </c>
      <c r="G13066" s="18"/>
      <c r="H13066" s="16" t="s">
        <v>87</v>
      </c>
      <c r="I13066" s="16" t="s">
        <v>87</v>
      </c>
      <c r="J13066" s="19"/>
      <c r="L13066" s="16" t="str">
        <f>IFERROR(__xludf.DUMMYFUNCTION("""COMPUTED_VALUE"""),"")</f>
        <v/>
      </c>
      <c r="M13066" s="16" t="str">
        <f>IFERROR(__xludf.DUMMYFUNCTION("""COMPUTED_VALUE"""),"")</f>
        <v/>
      </c>
      <c r="U13066" s="16" t="s">
        <v>87</v>
      </c>
      <c r="V13066" s="16" t="str">
        <f>IFERROR(__xludf.DUMMYFUNCTION("""COMPUTED_VALUE"""),"")</f>
        <v/>
      </c>
      <c r="W13066" s="16" t="str">
        <f>IFERROR(__xludf.DUMMYFUNCTION("""COMPUTED_VALUE"""),"")</f>
        <v/>
      </c>
      <c r="X13066" s="16" t="str">
        <f>IFERROR(__xludf.DUMMYFUNCTION("""COMPUTED_VALUE"""),"")</f>
        <v/>
      </c>
      <c r="AC13066" s="16" t="str">
        <f>IFERROR(__xludf.DUMMYFUNCTION("""COMPUTED_VALUE"""),"")</f>
        <v/>
      </c>
    </row>
    <row r="13067">
      <c r="A13067" s="16" t="s">
        <v>87</v>
      </c>
      <c r="E13067" s="16" t="str">
        <f>IFERROR(__xludf.DUMMYFUNCTION("""COMPUTED_VALUE"""),"")</f>
        <v/>
      </c>
      <c r="G13067" s="18"/>
      <c r="H13067" s="16" t="s">
        <v>87</v>
      </c>
      <c r="I13067" s="16" t="s">
        <v>87</v>
      </c>
      <c r="J13067" s="19"/>
      <c r="L13067" s="16" t="str">
        <f>IFERROR(__xludf.DUMMYFUNCTION("""COMPUTED_VALUE"""),"")</f>
        <v/>
      </c>
      <c r="M13067" s="16" t="str">
        <f>IFERROR(__xludf.DUMMYFUNCTION("""COMPUTED_VALUE"""),"")</f>
        <v/>
      </c>
      <c r="U13067" s="16" t="s">
        <v>87</v>
      </c>
      <c r="V13067" s="16" t="str">
        <f>IFERROR(__xludf.DUMMYFUNCTION("""COMPUTED_VALUE"""),"")</f>
        <v/>
      </c>
      <c r="W13067" s="16" t="str">
        <f>IFERROR(__xludf.DUMMYFUNCTION("""COMPUTED_VALUE"""),"")</f>
        <v/>
      </c>
      <c r="X13067" s="16" t="str">
        <f>IFERROR(__xludf.DUMMYFUNCTION("""COMPUTED_VALUE"""),"")</f>
        <v/>
      </c>
      <c r="AC13067" s="16" t="str">
        <f>IFERROR(__xludf.DUMMYFUNCTION("""COMPUTED_VALUE"""),"")</f>
        <v/>
      </c>
    </row>
    <row r="13068">
      <c r="A13068" s="16" t="s">
        <v>87</v>
      </c>
      <c r="E13068" s="16" t="str">
        <f>IFERROR(__xludf.DUMMYFUNCTION("""COMPUTED_VALUE"""),"")</f>
        <v/>
      </c>
      <c r="G13068" s="18"/>
      <c r="H13068" s="16" t="s">
        <v>87</v>
      </c>
      <c r="I13068" s="16" t="s">
        <v>87</v>
      </c>
      <c r="J13068" s="19"/>
      <c r="L13068" s="16" t="str">
        <f>IFERROR(__xludf.DUMMYFUNCTION("""COMPUTED_VALUE"""),"")</f>
        <v/>
      </c>
      <c r="M13068" s="16" t="str">
        <f>IFERROR(__xludf.DUMMYFUNCTION("""COMPUTED_VALUE"""),"")</f>
        <v/>
      </c>
      <c r="U13068" s="16" t="s">
        <v>87</v>
      </c>
      <c r="V13068" s="16" t="str">
        <f>IFERROR(__xludf.DUMMYFUNCTION("""COMPUTED_VALUE"""),"")</f>
        <v/>
      </c>
      <c r="W13068" s="16" t="str">
        <f>IFERROR(__xludf.DUMMYFUNCTION("""COMPUTED_VALUE"""),"")</f>
        <v/>
      </c>
      <c r="X13068" s="16" t="str">
        <f>IFERROR(__xludf.DUMMYFUNCTION("""COMPUTED_VALUE"""),"")</f>
        <v/>
      </c>
      <c r="AC13068" s="16" t="str">
        <f>IFERROR(__xludf.DUMMYFUNCTION("""COMPUTED_VALUE"""),"")</f>
        <v/>
      </c>
    </row>
    <row r="13069">
      <c r="A13069" s="16" t="s">
        <v>87</v>
      </c>
      <c r="E13069" s="16" t="str">
        <f>IFERROR(__xludf.DUMMYFUNCTION("""COMPUTED_VALUE"""),"")</f>
        <v/>
      </c>
      <c r="G13069" s="18"/>
      <c r="H13069" s="16" t="s">
        <v>87</v>
      </c>
      <c r="I13069" s="16" t="s">
        <v>87</v>
      </c>
      <c r="J13069" s="19"/>
      <c r="L13069" s="16" t="str">
        <f>IFERROR(__xludf.DUMMYFUNCTION("""COMPUTED_VALUE"""),"")</f>
        <v/>
      </c>
      <c r="M13069" s="16" t="str">
        <f>IFERROR(__xludf.DUMMYFUNCTION("""COMPUTED_VALUE"""),"")</f>
        <v/>
      </c>
      <c r="U13069" s="16" t="s">
        <v>87</v>
      </c>
      <c r="V13069" s="16" t="str">
        <f>IFERROR(__xludf.DUMMYFUNCTION("""COMPUTED_VALUE"""),"")</f>
        <v/>
      </c>
      <c r="W13069" s="16" t="str">
        <f>IFERROR(__xludf.DUMMYFUNCTION("""COMPUTED_VALUE"""),"")</f>
        <v/>
      </c>
      <c r="X13069" s="16" t="str">
        <f>IFERROR(__xludf.DUMMYFUNCTION("""COMPUTED_VALUE"""),"")</f>
        <v/>
      </c>
      <c r="AC13069" s="16" t="str">
        <f>IFERROR(__xludf.DUMMYFUNCTION("""COMPUTED_VALUE"""),"")</f>
        <v/>
      </c>
    </row>
    <row r="13070">
      <c r="A13070" s="16" t="s">
        <v>87</v>
      </c>
      <c r="E13070" s="16" t="str">
        <f>IFERROR(__xludf.DUMMYFUNCTION("""COMPUTED_VALUE"""),"")</f>
        <v/>
      </c>
      <c r="G13070" s="18"/>
      <c r="H13070" s="16" t="s">
        <v>87</v>
      </c>
      <c r="I13070" s="16" t="s">
        <v>87</v>
      </c>
      <c r="J13070" s="19"/>
      <c r="L13070" s="16" t="str">
        <f>IFERROR(__xludf.DUMMYFUNCTION("""COMPUTED_VALUE"""),"")</f>
        <v/>
      </c>
      <c r="M13070" s="16" t="str">
        <f>IFERROR(__xludf.DUMMYFUNCTION("""COMPUTED_VALUE"""),"")</f>
        <v/>
      </c>
      <c r="U13070" s="16" t="s">
        <v>87</v>
      </c>
      <c r="V13070" s="16" t="str">
        <f>IFERROR(__xludf.DUMMYFUNCTION("""COMPUTED_VALUE"""),"")</f>
        <v/>
      </c>
      <c r="W13070" s="16" t="str">
        <f>IFERROR(__xludf.DUMMYFUNCTION("""COMPUTED_VALUE"""),"")</f>
        <v/>
      </c>
      <c r="X13070" s="16" t="str">
        <f>IFERROR(__xludf.DUMMYFUNCTION("""COMPUTED_VALUE"""),"")</f>
        <v/>
      </c>
      <c r="AC13070" s="16" t="str">
        <f>IFERROR(__xludf.DUMMYFUNCTION("""COMPUTED_VALUE"""),"")</f>
        <v/>
      </c>
    </row>
    <row r="13071">
      <c r="A13071" s="16" t="s">
        <v>87</v>
      </c>
      <c r="E13071" s="16" t="str">
        <f>IFERROR(__xludf.DUMMYFUNCTION("""COMPUTED_VALUE"""),"")</f>
        <v/>
      </c>
      <c r="G13071" s="18"/>
      <c r="H13071" s="16" t="s">
        <v>87</v>
      </c>
      <c r="I13071" s="16" t="s">
        <v>87</v>
      </c>
      <c r="J13071" s="19"/>
      <c r="L13071" s="16" t="str">
        <f>IFERROR(__xludf.DUMMYFUNCTION("""COMPUTED_VALUE"""),"")</f>
        <v/>
      </c>
      <c r="M13071" s="16" t="str">
        <f>IFERROR(__xludf.DUMMYFUNCTION("""COMPUTED_VALUE"""),"")</f>
        <v/>
      </c>
      <c r="U13071" s="16" t="s">
        <v>87</v>
      </c>
      <c r="V13071" s="16" t="str">
        <f>IFERROR(__xludf.DUMMYFUNCTION("""COMPUTED_VALUE"""),"")</f>
        <v/>
      </c>
      <c r="W13071" s="16" t="str">
        <f>IFERROR(__xludf.DUMMYFUNCTION("""COMPUTED_VALUE"""),"")</f>
        <v/>
      </c>
      <c r="X13071" s="16" t="str">
        <f>IFERROR(__xludf.DUMMYFUNCTION("""COMPUTED_VALUE"""),"")</f>
        <v/>
      </c>
      <c r="AC13071" s="16" t="str">
        <f>IFERROR(__xludf.DUMMYFUNCTION("""COMPUTED_VALUE"""),"")</f>
        <v/>
      </c>
    </row>
    <row r="13072">
      <c r="A13072" s="16" t="s">
        <v>87</v>
      </c>
      <c r="E13072" s="16" t="str">
        <f>IFERROR(__xludf.DUMMYFUNCTION("""COMPUTED_VALUE"""),"")</f>
        <v/>
      </c>
      <c r="G13072" s="18"/>
      <c r="H13072" s="16" t="s">
        <v>87</v>
      </c>
      <c r="I13072" s="16" t="s">
        <v>87</v>
      </c>
      <c r="J13072" s="19"/>
      <c r="L13072" s="16" t="str">
        <f>IFERROR(__xludf.DUMMYFUNCTION("""COMPUTED_VALUE"""),"")</f>
        <v/>
      </c>
      <c r="M13072" s="16" t="str">
        <f>IFERROR(__xludf.DUMMYFUNCTION("""COMPUTED_VALUE"""),"")</f>
        <v/>
      </c>
      <c r="U13072" s="16" t="s">
        <v>87</v>
      </c>
      <c r="V13072" s="16" t="str">
        <f>IFERROR(__xludf.DUMMYFUNCTION("""COMPUTED_VALUE"""),"")</f>
        <v/>
      </c>
      <c r="W13072" s="16" t="str">
        <f>IFERROR(__xludf.DUMMYFUNCTION("""COMPUTED_VALUE"""),"")</f>
        <v/>
      </c>
      <c r="X13072" s="16" t="str">
        <f>IFERROR(__xludf.DUMMYFUNCTION("""COMPUTED_VALUE"""),"")</f>
        <v/>
      </c>
      <c r="AC13072" s="16" t="str">
        <f>IFERROR(__xludf.DUMMYFUNCTION("""COMPUTED_VALUE"""),"")</f>
        <v/>
      </c>
    </row>
    <row r="13073">
      <c r="A13073" s="16" t="s">
        <v>87</v>
      </c>
      <c r="E13073" s="16" t="str">
        <f>IFERROR(__xludf.DUMMYFUNCTION("""COMPUTED_VALUE"""),"")</f>
        <v/>
      </c>
      <c r="G13073" s="18"/>
      <c r="H13073" s="16" t="s">
        <v>87</v>
      </c>
      <c r="I13073" s="16" t="s">
        <v>87</v>
      </c>
      <c r="J13073" s="19"/>
      <c r="L13073" s="16" t="str">
        <f>IFERROR(__xludf.DUMMYFUNCTION("""COMPUTED_VALUE"""),"")</f>
        <v/>
      </c>
      <c r="M13073" s="16" t="str">
        <f>IFERROR(__xludf.DUMMYFUNCTION("""COMPUTED_VALUE"""),"")</f>
        <v/>
      </c>
      <c r="U13073" s="16" t="s">
        <v>87</v>
      </c>
      <c r="V13073" s="16" t="str">
        <f>IFERROR(__xludf.DUMMYFUNCTION("""COMPUTED_VALUE"""),"")</f>
        <v/>
      </c>
      <c r="W13073" s="16" t="str">
        <f>IFERROR(__xludf.DUMMYFUNCTION("""COMPUTED_VALUE"""),"")</f>
        <v/>
      </c>
      <c r="X13073" s="16" t="str">
        <f>IFERROR(__xludf.DUMMYFUNCTION("""COMPUTED_VALUE"""),"")</f>
        <v/>
      </c>
      <c r="AC13073" s="16" t="str">
        <f>IFERROR(__xludf.DUMMYFUNCTION("""COMPUTED_VALUE"""),"")</f>
        <v/>
      </c>
    </row>
    <row r="13074">
      <c r="A13074" s="16" t="s">
        <v>87</v>
      </c>
      <c r="E13074" s="16" t="str">
        <f>IFERROR(__xludf.DUMMYFUNCTION("""COMPUTED_VALUE"""),"")</f>
        <v/>
      </c>
      <c r="G13074" s="18"/>
      <c r="H13074" s="16" t="s">
        <v>87</v>
      </c>
      <c r="I13074" s="16" t="s">
        <v>87</v>
      </c>
      <c r="J13074" s="19"/>
      <c r="L13074" s="16" t="str">
        <f>IFERROR(__xludf.DUMMYFUNCTION("""COMPUTED_VALUE"""),"")</f>
        <v/>
      </c>
      <c r="M13074" s="16" t="str">
        <f>IFERROR(__xludf.DUMMYFUNCTION("""COMPUTED_VALUE"""),"")</f>
        <v/>
      </c>
      <c r="U13074" s="16" t="s">
        <v>87</v>
      </c>
      <c r="V13074" s="16" t="str">
        <f>IFERROR(__xludf.DUMMYFUNCTION("""COMPUTED_VALUE"""),"")</f>
        <v/>
      </c>
      <c r="W13074" s="16" t="str">
        <f>IFERROR(__xludf.DUMMYFUNCTION("""COMPUTED_VALUE"""),"")</f>
        <v/>
      </c>
      <c r="X13074" s="16" t="str">
        <f>IFERROR(__xludf.DUMMYFUNCTION("""COMPUTED_VALUE"""),"")</f>
        <v/>
      </c>
      <c r="AC13074" s="16" t="str">
        <f>IFERROR(__xludf.DUMMYFUNCTION("""COMPUTED_VALUE"""),"")</f>
        <v/>
      </c>
    </row>
    <row r="13075">
      <c r="A13075" s="16" t="s">
        <v>87</v>
      </c>
      <c r="E13075" s="16" t="str">
        <f>IFERROR(__xludf.DUMMYFUNCTION("""COMPUTED_VALUE"""),"")</f>
        <v/>
      </c>
      <c r="G13075" s="18"/>
      <c r="H13075" s="16" t="s">
        <v>87</v>
      </c>
      <c r="I13075" s="16" t="s">
        <v>87</v>
      </c>
      <c r="J13075" s="19"/>
      <c r="L13075" s="16" t="str">
        <f>IFERROR(__xludf.DUMMYFUNCTION("""COMPUTED_VALUE"""),"")</f>
        <v/>
      </c>
      <c r="M13075" s="16" t="str">
        <f>IFERROR(__xludf.DUMMYFUNCTION("""COMPUTED_VALUE"""),"")</f>
        <v/>
      </c>
      <c r="U13075" s="16" t="s">
        <v>87</v>
      </c>
      <c r="V13075" s="16" t="str">
        <f>IFERROR(__xludf.DUMMYFUNCTION("""COMPUTED_VALUE"""),"")</f>
        <v/>
      </c>
      <c r="W13075" s="16" t="str">
        <f>IFERROR(__xludf.DUMMYFUNCTION("""COMPUTED_VALUE"""),"")</f>
        <v/>
      </c>
      <c r="X13075" s="16" t="str">
        <f>IFERROR(__xludf.DUMMYFUNCTION("""COMPUTED_VALUE"""),"")</f>
        <v/>
      </c>
      <c r="AC13075" s="16" t="str">
        <f>IFERROR(__xludf.DUMMYFUNCTION("""COMPUTED_VALUE"""),"")</f>
        <v/>
      </c>
    </row>
    <row r="13076">
      <c r="A13076" s="16" t="s">
        <v>87</v>
      </c>
      <c r="E13076" s="16" t="str">
        <f>IFERROR(__xludf.DUMMYFUNCTION("""COMPUTED_VALUE"""),"")</f>
        <v/>
      </c>
      <c r="G13076" s="18"/>
      <c r="H13076" s="16" t="s">
        <v>87</v>
      </c>
      <c r="I13076" s="16" t="s">
        <v>87</v>
      </c>
      <c r="J13076" s="19"/>
      <c r="L13076" s="16" t="str">
        <f>IFERROR(__xludf.DUMMYFUNCTION("""COMPUTED_VALUE"""),"")</f>
        <v/>
      </c>
      <c r="M13076" s="16" t="str">
        <f>IFERROR(__xludf.DUMMYFUNCTION("""COMPUTED_VALUE"""),"")</f>
        <v/>
      </c>
      <c r="U13076" s="16" t="s">
        <v>87</v>
      </c>
      <c r="V13076" s="16" t="str">
        <f>IFERROR(__xludf.DUMMYFUNCTION("""COMPUTED_VALUE"""),"")</f>
        <v/>
      </c>
      <c r="W13076" s="16" t="str">
        <f>IFERROR(__xludf.DUMMYFUNCTION("""COMPUTED_VALUE"""),"")</f>
        <v/>
      </c>
      <c r="X13076" s="16" t="str">
        <f>IFERROR(__xludf.DUMMYFUNCTION("""COMPUTED_VALUE"""),"")</f>
        <v/>
      </c>
      <c r="AC13076" s="16" t="str">
        <f>IFERROR(__xludf.DUMMYFUNCTION("""COMPUTED_VALUE"""),"")</f>
        <v/>
      </c>
    </row>
    <row r="13077">
      <c r="A13077" s="16" t="s">
        <v>87</v>
      </c>
      <c r="E13077" s="16" t="str">
        <f>IFERROR(__xludf.DUMMYFUNCTION("""COMPUTED_VALUE"""),"")</f>
        <v/>
      </c>
      <c r="G13077" s="18"/>
      <c r="H13077" s="16" t="s">
        <v>87</v>
      </c>
      <c r="I13077" s="16" t="s">
        <v>87</v>
      </c>
      <c r="J13077" s="19"/>
      <c r="L13077" s="16" t="str">
        <f>IFERROR(__xludf.DUMMYFUNCTION("""COMPUTED_VALUE"""),"")</f>
        <v/>
      </c>
      <c r="M13077" s="16" t="str">
        <f>IFERROR(__xludf.DUMMYFUNCTION("""COMPUTED_VALUE"""),"")</f>
        <v/>
      </c>
      <c r="U13077" s="16" t="s">
        <v>87</v>
      </c>
      <c r="V13077" s="16" t="str">
        <f>IFERROR(__xludf.DUMMYFUNCTION("""COMPUTED_VALUE"""),"")</f>
        <v/>
      </c>
      <c r="W13077" s="16" t="str">
        <f>IFERROR(__xludf.DUMMYFUNCTION("""COMPUTED_VALUE"""),"")</f>
        <v/>
      </c>
      <c r="X13077" s="16" t="str">
        <f>IFERROR(__xludf.DUMMYFUNCTION("""COMPUTED_VALUE"""),"")</f>
        <v/>
      </c>
      <c r="AC13077" s="16" t="str">
        <f>IFERROR(__xludf.DUMMYFUNCTION("""COMPUTED_VALUE"""),"")</f>
        <v/>
      </c>
    </row>
    <row r="13078">
      <c r="A13078" s="16" t="s">
        <v>87</v>
      </c>
      <c r="E13078" s="16" t="str">
        <f>IFERROR(__xludf.DUMMYFUNCTION("""COMPUTED_VALUE"""),"")</f>
        <v/>
      </c>
      <c r="G13078" s="18"/>
      <c r="H13078" s="16" t="s">
        <v>87</v>
      </c>
      <c r="I13078" s="16" t="s">
        <v>87</v>
      </c>
      <c r="J13078" s="19"/>
      <c r="L13078" s="16" t="str">
        <f>IFERROR(__xludf.DUMMYFUNCTION("""COMPUTED_VALUE"""),"")</f>
        <v/>
      </c>
      <c r="M13078" s="16" t="str">
        <f>IFERROR(__xludf.DUMMYFUNCTION("""COMPUTED_VALUE"""),"")</f>
        <v/>
      </c>
      <c r="U13078" s="16" t="s">
        <v>87</v>
      </c>
      <c r="V13078" s="16" t="str">
        <f>IFERROR(__xludf.DUMMYFUNCTION("""COMPUTED_VALUE"""),"")</f>
        <v/>
      </c>
      <c r="W13078" s="16" t="str">
        <f>IFERROR(__xludf.DUMMYFUNCTION("""COMPUTED_VALUE"""),"")</f>
        <v/>
      </c>
      <c r="X13078" s="16" t="str">
        <f>IFERROR(__xludf.DUMMYFUNCTION("""COMPUTED_VALUE"""),"")</f>
        <v/>
      </c>
      <c r="AC13078" s="16" t="str">
        <f>IFERROR(__xludf.DUMMYFUNCTION("""COMPUTED_VALUE"""),"")</f>
        <v/>
      </c>
    </row>
    <row r="13079">
      <c r="A13079" s="16" t="s">
        <v>87</v>
      </c>
      <c r="E13079" s="16" t="str">
        <f>IFERROR(__xludf.DUMMYFUNCTION("""COMPUTED_VALUE"""),"")</f>
        <v/>
      </c>
      <c r="G13079" s="18"/>
      <c r="H13079" s="16" t="s">
        <v>87</v>
      </c>
      <c r="I13079" s="16" t="s">
        <v>87</v>
      </c>
      <c r="J13079" s="19"/>
      <c r="L13079" s="16" t="str">
        <f>IFERROR(__xludf.DUMMYFUNCTION("""COMPUTED_VALUE"""),"")</f>
        <v/>
      </c>
      <c r="M13079" s="16" t="str">
        <f>IFERROR(__xludf.DUMMYFUNCTION("""COMPUTED_VALUE"""),"")</f>
        <v/>
      </c>
      <c r="U13079" s="16" t="s">
        <v>87</v>
      </c>
      <c r="V13079" s="16" t="str">
        <f>IFERROR(__xludf.DUMMYFUNCTION("""COMPUTED_VALUE"""),"")</f>
        <v/>
      </c>
      <c r="W13079" s="16" t="str">
        <f>IFERROR(__xludf.DUMMYFUNCTION("""COMPUTED_VALUE"""),"")</f>
        <v/>
      </c>
      <c r="X13079" s="16" t="str">
        <f>IFERROR(__xludf.DUMMYFUNCTION("""COMPUTED_VALUE"""),"")</f>
        <v/>
      </c>
      <c r="AC13079" s="16" t="str">
        <f>IFERROR(__xludf.DUMMYFUNCTION("""COMPUTED_VALUE"""),"")</f>
        <v/>
      </c>
    </row>
    <row r="13080">
      <c r="A13080" s="16" t="s">
        <v>87</v>
      </c>
      <c r="E13080" s="16" t="str">
        <f>IFERROR(__xludf.DUMMYFUNCTION("""COMPUTED_VALUE"""),"")</f>
        <v/>
      </c>
      <c r="G13080" s="18"/>
      <c r="H13080" s="16" t="s">
        <v>87</v>
      </c>
      <c r="I13080" s="16" t="s">
        <v>87</v>
      </c>
      <c r="J13080" s="19"/>
      <c r="L13080" s="16" t="str">
        <f>IFERROR(__xludf.DUMMYFUNCTION("""COMPUTED_VALUE"""),"")</f>
        <v/>
      </c>
      <c r="M13080" s="16" t="str">
        <f>IFERROR(__xludf.DUMMYFUNCTION("""COMPUTED_VALUE"""),"")</f>
        <v/>
      </c>
      <c r="U13080" s="16" t="s">
        <v>87</v>
      </c>
      <c r="V13080" s="16" t="str">
        <f>IFERROR(__xludf.DUMMYFUNCTION("""COMPUTED_VALUE"""),"")</f>
        <v/>
      </c>
      <c r="W13080" s="16" t="str">
        <f>IFERROR(__xludf.DUMMYFUNCTION("""COMPUTED_VALUE"""),"")</f>
        <v/>
      </c>
      <c r="X13080" s="16" t="str">
        <f>IFERROR(__xludf.DUMMYFUNCTION("""COMPUTED_VALUE"""),"")</f>
        <v/>
      </c>
      <c r="AC13080" s="16" t="str">
        <f>IFERROR(__xludf.DUMMYFUNCTION("""COMPUTED_VALUE"""),"")</f>
        <v/>
      </c>
    </row>
    <row r="13081">
      <c r="A13081" s="16" t="s">
        <v>87</v>
      </c>
      <c r="E13081" s="16" t="str">
        <f>IFERROR(__xludf.DUMMYFUNCTION("""COMPUTED_VALUE"""),"")</f>
        <v/>
      </c>
      <c r="G13081" s="18"/>
      <c r="H13081" s="16" t="s">
        <v>87</v>
      </c>
      <c r="I13081" s="16" t="s">
        <v>87</v>
      </c>
      <c r="J13081" s="19"/>
      <c r="L13081" s="16" t="str">
        <f>IFERROR(__xludf.DUMMYFUNCTION("""COMPUTED_VALUE"""),"")</f>
        <v/>
      </c>
      <c r="M13081" s="16" t="str">
        <f>IFERROR(__xludf.DUMMYFUNCTION("""COMPUTED_VALUE"""),"")</f>
        <v/>
      </c>
      <c r="U13081" s="16" t="s">
        <v>87</v>
      </c>
      <c r="V13081" s="16" t="str">
        <f>IFERROR(__xludf.DUMMYFUNCTION("""COMPUTED_VALUE"""),"")</f>
        <v/>
      </c>
      <c r="W13081" s="16" t="str">
        <f>IFERROR(__xludf.DUMMYFUNCTION("""COMPUTED_VALUE"""),"")</f>
        <v/>
      </c>
      <c r="X13081" s="16" t="str">
        <f>IFERROR(__xludf.DUMMYFUNCTION("""COMPUTED_VALUE"""),"")</f>
        <v/>
      </c>
      <c r="AC13081" s="16" t="str">
        <f>IFERROR(__xludf.DUMMYFUNCTION("""COMPUTED_VALUE"""),"")</f>
        <v/>
      </c>
    </row>
    <row r="13082">
      <c r="A13082" s="16" t="s">
        <v>87</v>
      </c>
      <c r="E13082" s="16" t="str">
        <f>IFERROR(__xludf.DUMMYFUNCTION("""COMPUTED_VALUE"""),"")</f>
        <v/>
      </c>
      <c r="G13082" s="18"/>
      <c r="H13082" s="16" t="s">
        <v>87</v>
      </c>
      <c r="I13082" s="16" t="s">
        <v>87</v>
      </c>
      <c r="J13082" s="19"/>
      <c r="L13082" s="16" t="str">
        <f>IFERROR(__xludf.DUMMYFUNCTION("""COMPUTED_VALUE"""),"")</f>
        <v/>
      </c>
      <c r="M13082" s="16" t="str">
        <f>IFERROR(__xludf.DUMMYFUNCTION("""COMPUTED_VALUE"""),"")</f>
        <v/>
      </c>
      <c r="U13082" s="16" t="s">
        <v>87</v>
      </c>
      <c r="V13082" s="16" t="str">
        <f>IFERROR(__xludf.DUMMYFUNCTION("""COMPUTED_VALUE"""),"")</f>
        <v/>
      </c>
      <c r="W13082" s="16" t="str">
        <f>IFERROR(__xludf.DUMMYFUNCTION("""COMPUTED_VALUE"""),"")</f>
        <v/>
      </c>
      <c r="X13082" s="16" t="str">
        <f>IFERROR(__xludf.DUMMYFUNCTION("""COMPUTED_VALUE"""),"")</f>
        <v/>
      </c>
      <c r="AC13082" s="16" t="str">
        <f>IFERROR(__xludf.DUMMYFUNCTION("""COMPUTED_VALUE"""),"")</f>
        <v/>
      </c>
    </row>
    <row r="13083">
      <c r="A13083" s="16" t="s">
        <v>87</v>
      </c>
      <c r="E13083" s="16" t="str">
        <f>IFERROR(__xludf.DUMMYFUNCTION("""COMPUTED_VALUE"""),"")</f>
        <v/>
      </c>
      <c r="G13083" s="18"/>
      <c r="H13083" s="16" t="s">
        <v>87</v>
      </c>
      <c r="I13083" s="16" t="s">
        <v>87</v>
      </c>
      <c r="J13083" s="19"/>
      <c r="L13083" s="16" t="str">
        <f>IFERROR(__xludf.DUMMYFUNCTION("""COMPUTED_VALUE"""),"")</f>
        <v/>
      </c>
      <c r="M13083" s="16" t="str">
        <f>IFERROR(__xludf.DUMMYFUNCTION("""COMPUTED_VALUE"""),"")</f>
        <v/>
      </c>
      <c r="U13083" s="16" t="s">
        <v>87</v>
      </c>
      <c r="V13083" s="16" t="str">
        <f>IFERROR(__xludf.DUMMYFUNCTION("""COMPUTED_VALUE"""),"")</f>
        <v/>
      </c>
      <c r="W13083" s="16" t="str">
        <f>IFERROR(__xludf.DUMMYFUNCTION("""COMPUTED_VALUE"""),"")</f>
        <v/>
      </c>
      <c r="X13083" s="16" t="str">
        <f>IFERROR(__xludf.DUMMYFUNCTION("""COMPUTED_VALUE"""),"")</f>
        <v/>
      </c>
      <c r="AC13083" s="16" t="str">
        <f>IFERROR(__xludf.DUMMYFUNCTION("""COMPUTED_VALUE"""),"")</f>
        <v/>
      </c>
    </row>
    <row r="13084">
      <c r="A13084" s="16" t="s">
        <v>87</v>
      </c>
      <c r="E13084" s="16" t="str">
        <f>IFERROR(__xludf.DUMMYFUNCTION("""COMPUTED_VALUE"""),"")</f>
        <v/>
      </c>
      <c r="G13084" s="18"/>
      <c r="H13084" s="16" t="s">
        <v>87</v>
      </c>
      <c r="I13084" s="16" t="s">
        <v>87</v>
      </c>
      <c r="J13084" s="19"/>
      <c r="L13084" s="16" t="str">
        <f>IFERROR(__xludf.DUMMYFUNCTION("""COMPUTED_VALUE"""),"")</f>
        <v/>
      </c>
      <c r="M13084" s="16" t="str">
        <f>IFERROR(__xludf.DUMMYFUNCTION("""COMPUTED_VALUE"""),"")</f>
        <v/>
      </c>
      <c r="U13084" s="16" t="s">
        <v>87</v>
      </c>
      <c r="V13084" s="16" t="str">
        <f>IFERROR(__xludf.DUMMYFUNCTION("""COMPUTED_VALUE"""),"")</f>
        <v/>
      </c>
      <c r="W13084" s="16" t="str">
        <f>IFERROR(__xludf.DUMMYFUNCTION("""COMPUTED_VALUE"""),"")</f>
        <v/>
      </c>
      <c r="X13084" s="16" t="str">
        <f>IFERROR(__xludf.DUMMYFUNCTION("""COMPUTED_VALUE"""),"")</f>
        <v/>
      </c>
      <c r="AC13084" s="16" t="str">
        <f>IFERROR(__xludf.DUMMYFUNCTION("""COMPUTED_VALUE"""),"")</f>
        <v/>
      </c>
    </row>
    <row r="13085">
      <c r="A13085" s="16" t="s">
        <v>87</v>
      </c>
      <c r="E13085" s="16" t="str">
        <f>IFERROR(__xludf.DUMMYFUNCTION("""COMPUTED_VALUE"""),"")</f>
        <v/>
      </c>
      <c r="G13085" s="18"/>
      <c r="H13085" s="16" t="s">
        <v>87</v>
      </c>
      <c r="I13085" s="16" t="s">
        <v>87</v>
      </c>
      <c r="J13085" s="19"/>
      <c r="L13085" s="16" t="str">
        <f>IFERROR(__xludf.DUMMYFUNCTION("""COMPUTED_VALUE"""),"")</f>
        <v/>
      </c>
      <c r="M13085" s="16" t="str">
        <f>IFERROR(__xludf.DUMMYFUNCTION("""COMPUTED_VALUE"""),"")</f>
        <v/>
      </c>
      <c r="U13085" s="16" t="s">
        <v>87</v>
      </c>
      <c r="V13085" s="16" t="str">
        <f>IFERROR(__xludf.DUMMYFUNCTION("""COMPUTED_VALUE"""),"")</f>
        <v/>
      </c>
      <c r="W13085" s="16" t="str">
        <f>IFERROR(__xludf.DUMMYFUNCTION("""COMPUTED_VALUE"""),"")</f>
        <v/>
      </c>
      <c r="X13085" s="16" t="str">
        <f>IFERROR(__xludf.DUMMYFUNCTION("""COMPUTED_VALUE"""),"")</f>
        <v/>
      </c>
      <c r="AC13085" s="16" t="str">
        <f>IFERROR(__xludf.DUMMYFUNCTION("""COMPUTED_VALUE"""),"")</f>
        <v/>
      </c>
    </row>
    <row r="13086">
      <c r="A13086" s="16" t="s">
        <v>87</v>
      </c>
      <c r="E13086" s="16" t="str">
        <f>IFERROR(__xludf.DUMMYFUNCTION("""COMPUTED_VALUE"""),"")</f>
        <v/>
      </c>
      <c r="G13086" s="18"/>
      <c r="H13086" s="16" t="s">
        <v>87</v>
      </c>
      <c r="I13086" s="16" t="s">
        <v>87</v>
      </c>
      <c r="J13086" s="19"/>
      <c r="L13086" s="16" t="str">
        <f>IFERROR(__xludf.DUMMYFUNCTION("""COMPUTED_VALUE"""),"")</f>
        <v/>
      </c>
      <c r="M13086" s="16" t="str">
        <f>IFERROR(__xludf.DUMMYFUNCTION("""COMPUTED_VALUE"""),"")</f>
        <v/>
      </c>
      <c r="U13086" s="16" t="s">
        <v>87</v>
      </c>
      <c r="V13086" s="16" t="str">
        <f>IFERROR(__xludf.DUMMYFUNCTION("""COMPUTED_VALUE"""),"")</f>
        <v/>
      </c>
      <c r="W13086" s="16" t="str">
        <f>IFERROR(__xludf.DUMMYFUNCTION("""COMPUTED_VALUE"""),"")</f>
        <v/>
      </c>
      <c r="X13086" s="16" t="str">
        <f>IFERROR(__xludf.DUMMYFUNCTION("""COMPUTED_VALUE"""),"")</f>
        <v/>
      </c>
      <c r="AC13086" s="16" t="str">
        <f>IFERROR(__xludf.DUMMYFUNCTION("""COMPUTED_VALUE"""),"")</f>
        <v/>
      </c>
    </row>
    <row r="13087">
      <c r="A13087" s="16" t="s">
        <v>87</v>
      </c>
      <c r="E13087" s="16" t="str">
        <f>IFERROR(__xludf.DUMMYFUNCTION("""COMPUTED_VALUE"""),"")</f>
        <v/>
      </c>
      <c r="G13087" s="18"/>
      <c r="H13087" s="16" t="s">
        <v>87</v>
      </c>
      <c r="I13087" s="16" t="s">
        <v>87</v>
      </c>
      <c r="J13087" s="19"/>
      <c r="L13087" s="16" t="str">
        <f>IFERROR(__xludf.DUMMYFUNCTION("""COMPUTED_VALUE"""),"")</f>
        <v/>
      </c>
      <c r="M13087" s="16" t="str">
        <f>IFERROR(__xludf.DUMMYFUNCTION("""COMPUTED_VALUE"""),"")</f>
        <v/>
      </c>
      <c r="U13087" s="16" t="s">
        <v>87</v>
      </c>
      <c r="V13087" s="16" t="str">
        <f>IFERROR(__xludf.DUMMYFUNCTION("""COMPUTED_VALUE"""),"")</f>
        <v/>
      </c>
      <c r="W13087" s="16" t="str">
        <f>IFERROR(__xludf.DUMMYFUNCTION("""COMPUTED_VALUE"""),"")</f>
        <v/>
      </c>
      <c r="X13087" s="16" t="str">
        <f>IFERROR(__xludf.DUMMYFUNCTION("""COMPUTED_VALUE"""),"")</f>
        <v/>
      </c>
      <c r="AC13087" s="16" t="str">
        <f>IFERROR(__xludf.DUMMYFUNCTION("""COMPUTED_VALUE"""),"")</f>
        <v/>
      </c>
    </row>
    <row r="13088">
      <c r="A13088" s="16" t="s">
        <v>87</v>
      </c>
      <c r="E13088" s="16" t="str">
        <f>IFERROR(__xludf.DUMMYFUNCTION("""COMPUTED_VALUE"""),"")</f>
        <v/>
      </c>
      <c r="G13088" s="18"/>
      <c r="H13088" s="16" t="s">
        <v>87</v>
      </c>
      <c r="I13088" s="16" t="s">
        <v>87</v>
      </c>
      <c r="J13088" s="19"/>
      <c r="L13088" s="16" t="str">
        <f>IFERROR(__xludf.DUMMYFUNCTION("""COMPUTED_VALUE"""),"")</f>
        <v/>
      </c>
      <c r="M13088" s="16" t="str">
        <f>IFERROR(__xludf.DUMMYFUNCTION("""COMPUTED_VALUE"""),"")</f>
        <v/>
      </c>
      <c r="U13088" s="16" t="s">
        <v>87</v>
      </c>
      <c r="V13088" s="16" t="str">
        <f>IFERROR(__xludf.DUMMYFUNCTION("""COMPUTED_VALUE"""),"")</f>
        <v/>
      </c>
      <c r="W13088" s="16" t="str">
        <f>IFERROR(__xludf.DUMMYFUNCTION("""COMPUTED_VALUE"""),"")</f>
        <v/>
      </c>
      <c r="X13088" s="16" t="str">
        <f>IFERROR(__xludf.DUMMYFUNCTION("""COMPUTED_VALUE"""),"")</f>
        <v/>
      </c>
      <c r="AC13088" s="16" t="str">
        <f>IFERROR(__xludf.DUMMYFUNCTION("""COMPUTED_VALUE"""),"")</f>
        <v/>
      </c>
    </row>
    <row r="13089">
      <c r="A13089" s="16" t="s">
        <v>87</v>
      </c>
      <c r="E13089" s="16" t="str">
        <f>IFERROR(__xludf.DUMMYFUNCTION("""COMPUTED_VALUE"""),"")</f>
        <v/>
      </c>
      <c r="G13089" s="18"/>
      <c r="H13089" s="16" t="s">
        <v>87</v>
      </c>
      <c r="I13089" s="16" t="s">
        <v>87</v>
      </c>
      <c r="J13089" s="19"/>
      <c r="L13089" s="16" t="str">
        <f>IFERROR(__xludf.DUMMYFUNCTION("""COMPUTED_VALUE"""),"")</f>
        <v/>
      </c>
      <c r="M13089" s="16" t="str">
        <f>IFERROR(__xludf.DUMMYFUNCTION("""COMPUTED_VALUE"""),"")</f>
        <v/>
      </c>
      <c r="U13089" s="16" t="s">
        <v>87</v>
      </c>
      <c r="V13089" s="16" t="str">
        <f>IFERROR(__xludf.DUMMYFUNCTION("""COMPUTED_VALUE"""),"")</f>
        <v/>
      </c>
      <c r="W13089" s="16" t="str">
        <f>IFERROR(__xludf.DUMMYFUNCTION("""COMPUTED_VALUE"""),"")</f>
        <v/>
      </c>
      <c r="X13089" s="16" t="str">
        <f>IFERROR(__xludf.DUMMYFUNCTION("""COMPUTED_VALUE"""),"")</f>
        <v/>
      </c>
      <c r="AC13089" s="16" t="str">
        <f>IFERROR(__xludf.DUMMYFUNCTION("""COMPUTED_VALUE"""),"")</f>
        <v/>
      </c>
    </row>
    <row r="13090">
      <c r="A13090" s="16" t="s">
        <v>87</v>
      </c>
      <c r="E13090" s="16" t="str">
        <f>IFERROR(__xludf.DUMMYFUNCTION("""COMPUTED_VALUE"""),"")</f>
        <v/>
      </c>
      <c r="G13090" s="18"/>
      <c r="H13090" s="16" t="s">
        <v>87</v>
      </c>
      <c r="I13090" s="16" t="s">
        <v>87</v>
      </c>
      <c r="J13090" s="19"/>
      <c r="L13090" s="16" t="str">
        <f>IFERROR(__xludf.DUMMYFUNCTION("""COMPUTED_VALUE"""),"")</f>
        <v/>
      </c>
      <c r="M13090" s="16" t="str">
        <f>IFERROR(__xludf.DUMMYFUNCTION("""COMPUTED_VALUE"""),"")</f>
        <v/>
      </c>
      <c r="U13090" s="16" t="s">
        <v>87</v>
      </c>
      <c r="V13090" s="16" t="str">
        <f>IFERROR(__xludf.DUMMYFUNCTION("""COMPUTED_VALUE"""),"")</f>
        <v/>
      </c>
      <c r="W13090" s="16" t="str">
        <f>IFERROR(__xludf.DUMMYFUNCTION("""COMPUTED_VALUE"""),"")</f>
        <v/>
      </c>
      <c r="X13090" s="16" t="str">
        <f>IFERROR(__xludf.DUMMYFUNCTION("""COMPUTED_VALUE"""),"")</f>
        <v/>
      </c>
      <c r="AC13090" s="16" t="str">
        <f>IFERROR(__xludf.DUMMYFUNCTION("""COMPUTED_VALUE"""),"")</f>
        <v/>
      </c>
    </row>
    <row r="13091">
      <c r="A13091" s="16" t="s">
        <v>87</v>
      </c>
      <c r="E13091" s="16" t="str">
        <f>IFERROR(__xludf.DUMMYFUNCTION("""COMPUTED_VALUE"""),"")</f>
        <v/>
      </c>
      <c r="G13091" s="18"/>
      <c r="H13091" s="16" t="s">
        <v>87</v>
      </c>
      <c r="I13091" s="16" t="s">
        <v>87</v>
      </c>
      <c r="J13091" s="19"/>
      <c r="L13091" s="16" t="str">
        <f>IFERROR(__xludf.DUMMYFUNCTION("""COMPUTED_VALUE"""),"")</f>
        <v/>
      </c>
      <c r="M13091" s="16" t="str">
        <f>IFERROR(__xludf.DUMMYFUNCTION("""COMPUTED_VALUE"""),"")</f>
        <v/>
      </c>
      <c r="U13091" s="16" t="s">
        <v>87</v>
      </c>
      <c r="V13091" s="16" t="str">
        <f>IFERROR(__xludf.DUMMYFUNCTION("""COMPUTED_VALUE"""),"")</f>
        <v/>
      </c>
      <c r="W13091" s="16" t="str">
        <f>IFERROR(__xludf.DUMMYFUNCTION("""COMPUTED_VALUE"""),"")</f>
        <v/>
      </c>
      <c r="X13091" s="16" t="str">
        <f>IFERROR(__xludf.DUMMYFUNCTION("""COMPUTED_VALUE"""),"")</f>
        <v/>
      </c>
      <c r="AC13091" s="16" t="str">
        <f>IFERROR(__xludf.DUMMYFUNCTION("""COMPUTED_VALUE"""),"")</f>
        <v/>
      </c>
    </row>
    <row r="13092">
      <c r="A13092" s="16" t="s">
        <v>87</v>
      </c>
      <c r="E13092" s="16" t="str">
        <f>IFERROR(__xludf.DUMMYFUNCTION("""COMPUTED_VALUE"""),"")</f>
        <v/>
      </c>
      <c r="G13092" s="18"/>
      <c r="H13092" s="16" t="s">
        <v>87</v>
      </c>
      <c r="I13092" s="16" t="s">
        <v>87</v>
      </c>
      <c r="J13092" s="19"/>
      <c r="L13092" s="16" t="str">
        <f>IFERROR(__xludf.DUMMYFUNCTION("""COMPUTED_VALUE"""),"")</f>
        <v/>
      </c>
      <c r="M13092" s="16" t="str">
        <f>IFERROR(__xludf.DUMMYFUNCTION("""COMPUTED_VALUE"""),"")</f>
        <v/>
      </c>
      <c r="U13092" s="16" t="s">
        <v>87</v>
      </c>
      <c r="V13092" s="16" t="str">
        <f>IFERROR(__xludf.DUMMYFUNCTION("""COMPUTED_VALUE"""),"")</f>
        <v/>
      </c>
      <c r="W13092" s="16" t="str">
        <f>IFERROR(__xludf.DUMMYFUNCTION("""COMPUTED_VALUE"""),"")</f>
        <v/>
      </c>
      <c r="X13092" s="16" t="str">
        <f>IFERROR(__xludf.DUMMYFUNCTION("""COMPUTED_VALUE"""),"")</f>
        <v/>
      </c>
      <c r="AC13092" s="16" t="str">
        <f>IFERROR(__xludf.DUMMYFUNCTION("""COMPUTED_VALUE"""),"")</f>
        <v/>
      </c>
    </row>
    <row r="13093">
      <c r="A13093" s="16" t="s">
        <v>87</v>
      </c>
      <c r="E13093" s="16" t="str">
        <f>IFERROR(__xludf.DUMMYFUNCTION("""COMPUTED_VALUE"""),"")</f>
        <v/>
      </c>
      <c r="G13093" s="18"/>
      <c r="H13093" s="16" t="s">
        <v>87</v>
      </c>
      <c r="I13093" s="16" t="s">
        <v>87</v>
      </c>
      <c r="J13093" s="19"/>
      <c r="L13093" s="16" t="str">
        <f>IFERROR(__xludf.DUMMYFUNCTION("""COMPUTED_VALUE"""),"")</f>
        <v/>
      </c>
      <c r="M13093" s="16" t="str">
        <f>IFERROR(__xludf.DUMMYFUNCTION("""COMPUTED_VALUE"""),"")</f>
        <v/>
      </c>
      <c r="U13093" s="16" t="s">
        <v>87</v>
      </c>
      <c r="V13093" s="16" t="str">
        <f>IFERROR(__xludf.DUMMYFUNCTION("""COMPUTED_VALUE"""),"")</f>
        <v/>
      </c>
      <c r="W13093" s="16" t="str">
        <f>IFERROR(__xludf.DUMMYFUNCTION("""COMPUTED_VALUE"""),"")</f>
        <v/>
      </c>
      <c r="X13093" s="16" t="str">
        <f>IFERROR(__xludf.DUMMYFUNCTION("""COMPUTED_VALUE"""),"")</f>
        <v/>
      </c>
      <c r="AC13093" s="16" t="str">
        <f>IFERROR(__xludf.DUMMYFUNCTION("""COMPUTED_VALUE"""),"")</f>
        <v/>
      </c>
    </row>
    <row r="13094">
      <c r="A13094" s="16" t="s">
        <v>87</v>
      </c>
      <c r="E13094" s="16" t="str">
        <f>IFERROR(__xludf.DUMMYFUNCTION("""COMPUTED_VALUE"""),"")</f>
        <v/>
      </c>
      <c r="G13094" s="18"/>
      <c r="H13094" s="16" t="s">
        <v>87</v>
      </c>
      <c r="I13094" s="16" t="s">
        <v>87</v>
      </c>
      <c r="J13094" s="19"/>
      <c r="L13094" s="16" t="str">
        <f>IFERROR(__xludf.DUMMYFUNCTION("""COMPUTED_VALUE"""),"")</f>
        <v/>
      </c>
      <c r="M13094" s="16" t="str">
        <f>IFERROR(__xludf.DUMMYFUNCTION("""COMPUTED_VALUE"""),"")</f>
        <v/>
      </c>
      <c r="U13094" s="16" t="s">
        <v>87</v>
      </c>
      <c r="V13094" s="16" t="str">
        <f>IFERROR(__xludf.DUMMYFUNCTION("""COMPUTED_VALUE"""),"")</f>
        <v/>
      </c>
      <c r="W13094" s="16" t="str">
        <f>IFERROR(__xludf.DUMMYFUNCTION("""COMPUTED_VALUE"""),"")</f>
        <v/>
      </c>
      <c r="X13094" s="16" t="str">
        <f>IFERROR(__xludf.DUMMYFUNCTION("""COMPUTED_VALUE"""),"")</f>
        <v/>
      </c>
      <c r="AC13094" s="16" t="str">
        <f>IFERROR(__xludf.DUMMYFUNCTION("""COMPUTED_VALUE"""),"")</f>
        <v/>
      </c>
    </row>
    <row r="13095">
      <c r="A13095" s="16" t="s">
        <v>87</v>
      </c>
      <c r="E13095" s="16" t="str">
        <f>IFERROR(__xludf.DUMMYFUNCTION("""COMPUTED_VALUE"""),"")</f>
        <v/>
      </c>
      <c r="G13095" s="18"/>
      <c r="H13095" s="16" t="s">
        <v>87</v>
      </c>
      <c r="I13095" s="16" t="s">
        <v>87</v>
      </c>
      <c r="J13095" s="19"/>
      <c r="L13095" s="16" t="str">
        <f>IFERROR(__xludf.DUMMYFUNCTION("""COMPUTED_VALUE"""),"")</f>
        <v/>
      </c>
      <c r="M13095" s="16" t="str">
        <f>IFERROR(__xludf.DUMMYFUNCTION("""COMPUTED_VALUE"""),"")</f>
        <v/>
      </c>
      <c r="U13095" s="16" t="s">
        <v>87</v>
      </c>
      <c r="V13095" s="16" t="str">
        <f>IFERROR(__xludf.DUMMYFUNCTION("""COMPUTED_VALUE"""),"")</f>
        <v/>
      </c>
      <c r="W13095" s="16" t="str">
        <f>IFERROR(__xludf.DUMMYFUNCTION("""COMPUTED_VALUE"""),"")</f>
        <v/>
      </c>
      <c r="X13095" s="16" t="str">
        <f>IFERROR(__xludf.DUMMYFUNCTION("""COMPUTED_VALUE"""),"")</f>
        <v/>
      </c>
      <c r="AC13095" s="16" t="str">
        <f>IFERROR(__xludf.DUMMYFUNCTION("""COMPUTED_VALUE"""),"")</f>
        <v/>
      </c>
    </row>
    <row r="13096">
      <c r="A13096" s="16" t="s">
        <v>87</v>
      </c>
      <c r="E13096" s="16" t="str">
        <f>IFERROR(__xludf.DUMMYFUNCTION("""COMPUTED_VALUE"""),"")</f>
        <v/>
      </c>
      <c r="G13096" s="18"/>
      <c r="H13096" s="16" t="s">
        <v>87</v>
      </c>
      <c r="I13096" s="16" t="s">
        <v>87</v>
      </c>
      <c r="J13096" s="19"/>
      <c r="L13096" s="16" t="str">
        <f>IFERROR(__xludf.DUMMYFUNCTION("""COMPUTED_VALUE"""),"")</f>
        <v/>
      </c>
      <c r="M13096" s="16" t="str">
        <f>IFERROR(__xludf.DUMMYFUNCTION("""COMPUTED_VALUE"""),"")</f>
        <v/>
      </c>
      <c r="U13096" s="16" t="s">
        <v>87</v>
      </c>
      <c r="V13096" s="16" t="str">
        <f>IFERROR(__xludf.DUMMYFUNCTION("""COMPUTED_VALUE"""),"")</f>
        <v/>
      </c>
      <c r="W13096" s="16" t="str">
        <f>IFERROR(__xludf.DUMMYFUNCTION("""COMPUTED_VALUE"""),"")</f>
        <v/>
      </c>
      <c r="X13096" s="16" t="str">
        <f>IFERROR(__xludf.DUMMYFUNCTION("""COMPUTED_VALUE"""),"")</f>
        <v/>
      </c>
      <c r="AC13096" s="16" t="str">
        <f>IFERROR(__xludf.DUMMYFUNCTION("""COMPUTED_VALUE"""),"")</f>
        <v/>
      </c>
    </row>
    <row r="13097">
      <c r="A13097" s="16" t="s">
        <v>87</v>
      </c>
      <c r="E13097" s="16" t="str">
        <f>IFERROR(__xludf.DUMMYFUNCTION("""COMPUTED_VALUE"""),"")</f>
        <v/>
      </c>
      <c r="G13097" s="18"/>
      <c r="H13097" s="16" t="s">
        <v>87</v>
      </c>
      <c r="I13097" s="16" t="s">
        <v>87</v>
      </c>
      <c r="J13097" s="19"/>
      <c r="L13097" s="16" t="str">
        <f>IFERROR(__xludf.DUMMYFUNCTION("""COMPUTED_VALUE"""),"")</f>
        <v/>
      </c>
      <c r="M13097" s="16" t="str">
        <f>IFERROR(__xludf.DUMMYFUNCTION("""COMPUTED_VALUE"""),"")</f>
        <v/>
      </c>
      <c r="U13097" s="16" t="s">
        <v>87</v>
      </c>
      <c r="V13097" s="16" t="str">
        <f>IFERROR(__xludf.DUMMYFUNCTION("""COMPUTED_VALUE"""),"")</f>
        <v/>
      </c>
      <c r="W13097" s="16" t="str">
        <f>IFERROR(__xludf.DUMMYFUNCTION("""COMPUTED_VALUE"""),"")</f>
        <v/>
      </c>
      <c r="X13097" s="16" t="str">
        <f>IFERROR(__xludf.DUMMYFUNCTION("""COMPUTED_VALUE"""),"")</f>
        <v/>
      </c>
      <c r="AC13097" s="16" t="str">
        <f>IFERROR(__xludf.DUMMYFUNCTION("""COMPUTED_VALUE"""),"")</f>
        <v/>
      </c>
    </row>
    <row r="13098">
      <c r="A13098" s="16" t="s">
        <v>87</v>
      </c>
      <c r="E13098" s="16" t="str">
        <f>IFERROR(__xludf.DUMMYFUNCTION("""COMPUTED_VALUE"""),"")</f>
        <v/>
      </c>
      <c r="G13098" s="18"/>
      <c r="H13098" s="16" t="s">
        <v>87</v>
      </c>
      <c r="I13098" s="16" t="s">
        <v>87</v>
      </c>
      <c r="J13098" s="19"/>
      <c r="L13098" s="16" t="str">
        <f>IFERROR(__xludf.DUMMYFUNCTION("""COMPUTED_VALUE"""),"")</f>
        <v/>
      </c>
      <c r="M13098" s="16" t="str">
        <f>IFERROR(__xludf.DUMMYFUNCTION("""COMPUTED_VALUE"""),"")</f>
        <v/>
      </c>
      <c r="U13098" s="16" t="s">
        <v>87</v>
      </c>
      <c r="V13098" s="16" t="str">
        <f>IFERROR(__xludf.DUMMYFUNCTION("""COMPUTED_VALUE"""),"")</f>
        <v/>
      </c>
      <c r="W13098" s="16" t="str">
        <f>IFERROR(__xludf.DUMMYFUNCTION("""COMPUTED_VALUE"""),"")</f>
        <v/>
      </c>
      <c r="X13098" s="16" t="str">
        <f>IFERROR(__xludf.DUMMYFUNCTION("""COMPUTED_VALUE"""),"")</f>
        <v/>
      </c>
      <c r="AC13098" s="16" t="str">
        <f>IFERROR(__xludf.DUMMYFUNCTION("""COMPUTED_VALUE"""),"")</f>
        <v/>
      </c>
    </row>
    <row r="13099">
      <c r="A13099" s="16" t="s">
        <v>87</v>
      </c>
      <c r="E13099" s="16" t="str">
        <f>IFERROR(__xludf.DUMMYFUNCTION("""COMPUTED_VALUE"""),"")</f>
        <v/>
      </c>
      <c r="G13099" s="18"/>
      <c r="H13099" s="16" t="s">
        <v>87</v>
      </c>
      <c r="I13099" s="16" t="s">
        <v>87</v>
      </c>
      <c r="J13099" s="19"/>
      <c r="L13099" s="16" t="str">
        <f>IFERROR(__xludf.DUMMYFUNCTION("""COMPUTED_VALUE"""),"")</f>
        <v/>
      </c>
      <c r="M13099" s="16" t="str">
        <f>IFERROR(__xludf.DUMMYFUNCTION("""COMPUTED_VALUE"""),"")</f>
        <v/>
      </c>
      <c r="U13099" s="16" t="s">
        <v>87</v>
      </c>
      <c r="V13099" s="16" t="str">
        <f>IFERROR(__xludf.DUMMYFUNCTION("""COMPUTED_VALUE"""),"")</f>
        <v/>
      </c>
      <c r="W13099" s="16" t="str">
        <f>IFERROR(__xludf.DUMMYFUNCTION("""COMPUTED_VALUE"""),"")</f>
        <v/>
      </c>
      <c r="X13099" s="16" t="str">
        <f>IFERROR(__xludf.DUMMYFUNCTION("""COMPUTED_VALUE"""),"")</f>
        <v/>
      </c>
      <c r="AC13099" s="16" t="str">
        <f>IFERROR(__xludf.DUMMYFUNCTION("""COMPUTED_VALUE"""),"")</f>
        <v/>
      </c>
    </row>
    <row r="13100">
      <c r="A13100" s="16" t="s">
        <v>87</v>
      </c>
      <c r="E13100" s="16" t="str">
        <f>IFERROR(__xludf.DUMMYFUNCTION("""COMPUTED_VALUE"""),"")</f>
        <v/>
      </c>
      <c r="G13100" s="18"/>
      <c r="H13100" s="16" t="s">
        <v>87</v>
      </c>
      <c r="I13100" s="16" t="s">
        <v>87</v>
      </c>
      <c r="J13100" s="19"/>
      <c r="L13100" s="16" t="str">
        <f>IFERROR(__xludf.DUMMYFUNCTION("""COMPUTED_VALUE"""),"")</f>
        <v/>
      </c>
      <c r="M13100" s="16" t="str">
        <f>IFERROR(__xludf.DUMMYFUNCTION("""COMPUTED_VALUE"""),"")</f>
        <v/>
      </c>
      <c r="U13100" s="16" t="s">
        <v>87</v>
      </c>
      <c r="V13100" s="16" t="str">
        <f>IFERROR(__xludf.DUMMYFUNCTION("""COMPUTED_VALUE"""),"")</f>
        <v/>
      </c>
      <c r="W13100" s="16" t="str">
        <f>IFERROR(__xludf.DUMMYFUNCTION("""COMPUTED_VALUE"""),"")</f>
        <v/>
      </c>
      <c r="X13100" s="16" t="str">
        <f>IFERROR(__xludf.DUMMYFUNCTION("""COMPUTED_VALUE"""),"")</f>
        <v/>
      </c>
      <c r="AC13100" s="16" t="str">
        <f>IFERROR(__xludf.DUMMYFUNCTION("""COMPUTED_VALUE"""),"")</f>
        <v/>
      </c>
    </row>
    <row r="13101">
      <c r="A13101" s="16" t="s">
        <v>87</v>
      </c>
      <c r="E13101" s="16" t="str">
        <f>IFERROR(__xludf.DUMMYFUNCTION("""COMPUTED_VALUE"""),"")</f>
        <v/>
      </c>
      <c r="G13101" s="18"/>
      <c r="H13101" s="16" t="s">
        <v>87</v>
      </c>
      <c r="I13101" s="16" t="s">
        <v>87</v>
      </c>
      <c r="J13101" s="19"/>
      <c r="L13101" s="16" t="str">
        <f>IFERROR(__xludf.DUMMYFUNCTION("""COMPUTED_VALUE"""),"")</f>
        <v/>
      </c>
      <c r="M13101" s="16" t="str">
        <f>IFERROR(__xludf.DUMMYFUNCTION("""COMPUTED_VALUE"""),"")</f>
        <v/>
      </c>
      <c r="U13101" s="16" t="s">
        <v>87</v>
      </c>
      <c r="V13101" s="16" t="str">
        <f>IFERROR(__xludf.DUMMYFUNCTION("""COMPUTED_VALUE"""),"")</f>
        <v/>
      </c>
      <c r="W13101" s="16" t="str">
        <f>IFERROR(__xludf.DUMMYFUNCTION("""COMPUTED_VALUE"""),"")</f>
        <v/>
      </c>
      <c r="X13101" s="16" t="str">
        <f>IFERROR(__xludf.DUMMYFUNCTION("""COMPUTED_VALUE"""),"")</f>
        <v/>
      </c>
      <c r="AC13101" s="16" t="str">
        <f>IFERROR(__xludf.DUMMYFUNCTION("""COMPUTED_VALUE"""),"")</f>
        <v/>
      </c>
    </row>
    <row r="13102">
      <c r="A13102" s="16" t="s">
        <v>87</v>
      </c>
      <c r="E13102" s="16" t="str">
        <f>IFERROR(__xludf.DUMMYFUNCTION("""COMPUTED_VALUE"""),"")</f>
        <v/>
      </c>
      <c r="G13102" s="18"/>
      <c r="H13102" s="16" t="s">
        <v>87</v>
      </c>
      <c r="I13102" s="16" t="s">
        <v>87</v>
      </c>
      <c r="J13102" s="19"/>
      <c r="L13102" s="16" t="str">
        <f>IFERROR(__xludf.DUMMYFUNCTION("""COMPUTED_VALUE"""),"")</f>
        <v/>
      </c>
      <c r="M13102" s="16" t="str">
        <f>IFERROR(__xludf.DUMMYFUNCTION("""COMPUTED_VALUE"""),"")</f>
        <v/>
      </c>
      <c r="U13102" s="16" t="s">
        <v>87</v>
      </c>
      <c r="V13102" s="16" t="str">
        <f>IFERROR(__xludf.DUMMYFUNCTION("""COMPUTED_VALUE"""),"")</f>
        <v/>
      </c>
      <c r="W13102" s="16" t="str">
        <f>IFERROR(__xludf.DUMMYFUNCTION("""COMPUTED_VALUE"""),"")</f>
        <v/>
      </c>
      <c r="X13102" s="16" t="str">
        <f>IFERROR(__xludf.DUMMYFUNCTION("""COMPUTED_VALUE"""),"")</f>
        <v/>
      </c>
      <c r="AC13102" s="16" t="str">
        <f>IFERROR(__xludf.DUMMYFUNCTION("""COMPUTED_VALUE"""),"")</f>
        <v/>
      </c>
    </row>
    <row r="13103">
      <c r="A13103" s="16" t="s">
        <v>87</v>
      </c>
      <c r="E13103" s="16" t="str">
        <f>IFERROR(__xludf.DUMMYFUNCTION("""COMPUTED_VALUE"""),"")</f>
        <v/>
      </c>
      <c r="G13103" s="18"/>
      <c r="H13103" s="16" t="s">
        <v>87</v>
      </c>
      <c r="I13103" s="16" t="s">
        <v>87</v>
      </c>
      <c r="J13103" s="19"/>
      <c r="L13103" s="16" t="str">
        <f>IFERROR(__xludf.DUMMYFUNCTION("""COMPUTED_VALUE"""),"")</f>
        <v/>
      </c>
      <c r="M13103" s="16" t="str">
        <f>IFERROR(__xludf.DUMMYFUNCTION("""COMPUTED_VALUE"""),"")</f>
        <v/>
      </c>
      <c r="U13103" s="16" t="s">
        <v>87</v>
      </c>
      <c r="V13103" s="16" t="str">
        <f>IFERROR(__xludf.DUMMYFUNCTION("""COMPUTED_VALUE"""),"")</f>
        <v/>
      </c>
      <c r="W13103" s="16" t="str">
        <f>IFERROR(__xludf.DUMMYFUNCTION("""COMPUTED_VALUE"""),"")</f>
        <v/>
      </c>
      <c r="X13103" s="16" t="str">
        <f>IFERROR(__xludf.DUMMYFUNCTION("""COMPUTED_VALUE"""),"")</f>
        <v/>
      </c>
      <c r="AC13103" s="16" t="str">
        <f>IFERROR(__xludf.DUMMYFUNCTION("""COMPUTED_VALUE"""),"")</f>
        <v/>
      </c>
    </row>
    <row r="13104">
      <c r="A13104" s="16" t="s">
        <v>87</v>
      </c>
      <c r="E13104" s="16" t="str">
        <f>IFERROR(__xludf.DUMMYFUNCTION("""COMPUTED_VALUE"""),"")</f>
        <v/>
      </c>
      <c r="G13104" s="18"/>
      <c r="H13104" s="16" t="s">
        <v>87</v>
      </c>
      <c r="I13104" s="16" t="s">
        <v>87</v>
      </c>
      <c r="J13104" s="19"/>
      <c r="L13104" s="16" t="str">
        <f>IFERROR(__xludf.DUMMYFUNCTION("""COMPUTED_VALUE"""),"")</f>
        <v/>
      </c>
      <c r="M13104" s="16" t="str">
        <f>IFERROR(__xludf.DUMMYFUNCTION("""COMPUTED_VALUE"""),"")</f>
        <v/>
      </c>
      <c r="U13104" s="16" t="s">
        <v>87</v>
      </c>
      <c r="V13104" s="16" t="str">
        <f>IFERROR(__xludf.DUMMYFUNCTION("""COMPUTED_VALUE"""),"")</f>
        <v/>
      </c>
      <c r="W13104" s="16" t="str">
        <f>IFERROR(__xludf.DUMMYFUNCTION("""COMPUTED_VALUE"""),"")</f>
        <v/>
      </c>
      <c r="X13104" s="16" t="str">
        <f>IFERROR(__xludf.DUMMYFUNCTION("""COMPUTED_VALUE"""),"")</f>
        <v/>
      </c>
      <c r="AC13104" s="16" t="str">
        <f>IFERROR(__xludf.DUMMYFUNCTION("""COMPUTED_VALUE"""),"")</f>
        <v/>
      </c>
    </row>
    <row r="13105">
      <c r="A13105" s="16" t="s">
        <v>87</v>
      </c>
      <c r="E13105" s="16" t="str">
        <f>IFERROR(__xludf.DUMMYFUNCTION("""COMPUTED_VALUE"""),"")</f>
        <v/>
      </c>
      <c r="G13105" s="18"/>
      <c r="H13105" s="16" t="s">
        <v>87</v>
      </c>
      <c r="I13105" s="16" t="s">
        <v>87</v>
      </c>
      <c r="J13105" s="19"/>
      <c r="L13105" s="16" t="str">
        <f>IFERROR(__xludf.DUMMYFUNCTION("""COMPUTED_VALUE"""),"")</f>
        <v/>
      </c>
      <c r="M13105" s="16" t="str">
        <f>IFERROR(__xludf.DUMMYFUNCTION("""COMPUTED_VALUE"""),"")</f>
        <v/>
      </c>
      <c r="U13105" s="16" t="s">
        <v>87</v>
      </c>
      <c r="V13105" s="16" t="str">
        <f>IFERROR(__xludf.DUMMYFUNCTION("""COMPUTED_VALUE"""),"")</f>
        <v/>
      </c>
      <c r="W13105" s="16" t="str">
        <f>IFERROR(__xludf.DUMMYFUNCTION("""COMPUTED_VALUE"""),"")</f>
        <v/>
      </c>
      <c r="X13105" s="16" t="str">
        <f>IFERROR(__xludf.DUMMYFUNCTION("""COMPUTED_VALUE"""),"")</f>
        <v/>
      </c>
      <c r="AC13105" s="16" t="str">
        <f>IFERROR(__xludf.DUMMYFUNCTION("""COMPUTED_VALUE"""),"")</f>
        <v/>
      </c>
    </row>
    <row r="13106">
      <c r="A13106" s="16" t="s">
        <v>87</v>
      </c>
      <c r="E13106" s="16" t="str">
        <f>IFERROR(__xludf.DUMMYFUNCTION("""COMPUTED_VALUE"""),"")</f>
        <v/>
      </c>
      <c r="G13106" s="18"/>
      <c r="H13106" s="16" t="s">
        <v>87</v>
      </c>
      <c r="I13106" s="16" t="s">
        <v>87</v>
      </c>
      <c r="J13106" s="19"/>
      <c r="L13106" s="16" t="str">
        <f>IFERROR(__xludf.DUMMYFUNCTION("""COMPUTED_VALUE"""),"")</f>
        <v/>
      </c>
      <c r="M13106" s="16" t="str">
        <f>IFERROR(__xludf.DUMMYFUNCTION("""COMPUTED_VALUE"""),"")</f>
        <v/>
      </c>
      <c r="U13106" s="16" t="s">
        <v>87</v>
      </c>
      <c r="V13106" s="16" t="str">
        <f>IFERROR(__xludf.DUMMYFUNCTION("""COMPUTED_VALUE"""),"")</f>
        <v/>
      </c>
      <c r="W13106" s="16" t="str">
        <f>IFERROR(__xludf.DUMMYFUNCTION("""COMPUTED_VALUE"""),"")</f>
        <v/>
      </c>
      <c r="X13106" s="16" t="str">
        <f>IFERROR(__xludf.DUMMYFUNCTION("""COMPUTED_VALUE"""),"")</f>
        <v/>
      </c>
      <c r="AC13106" s="16" t="str">
        <f>IFERROR(__xludf.DUMMYFUNCTION("""COMPUTED_VALUE"""),"")</f>
        <v/>
      </c>
    </row>
    <row r="13107">
      <c r="A13107" s="16" t="s">
        <v>87</v>
      </c>
      <c r="E13107" s="16" t="str">
        <f>IFERROR(__xludf.DUMMYFUNCTION("""COMPUTED_VALUE"""),"")</f>
        <v/>
      </c>
      <c r="G13107" s="18"/>
      <c r="H13107" s="16" t="s">
        <v>87</v>
      </c>
      <c r="I13107" s="16" t="s">
        <v>87</v>
      </c>
      <c r="J13107" s="19"/>
      <c r="L13107" s="16" t="str">
        <f>IFERROR(__xludf.DUMMYFUNCTION("""COMPUTED_VALUE"""),"")</f>
        <v/>
      </c>
      <c r="M13107" s="16" t="str">
        <f>IFERROR(__xludf.DUMMYFUNCTION("""COMPUTED_VALUE"""),"")</f>
        <v/>
      </c>
      <c r="U13107" s="16" t="s">
        <v>87</v>
      </c>
      <c r="V13107" s="16" t="str">
        <f>IFERROR(__xludf.DUMMYFUNCTION("""COMPUTED_VALUE"""),"")</f>
        <v/>
      </c>
      <c r="W13107" s="16" t="str">
        <f>IFERROR(__xludf.DUMMYFUNCTION("""COMPUTED_VALUE"""),"")</f>
        <v/>
      </c>
      <c r="X13107" s="16" t="str">
        <f>IFERROR(__xludf.DUMMYFUNCTION("""COMPUTED_VALUE"""),"")</f>
        <v/>
      </c>
      <c r="AC13107" s="16" t="str">
        <f>IFERROR(__xludf.DUMMYFUNCTION("""COMPUTED_VALUE"""),"")</f>
        <v/>
      </c>
    </row>
    <row r="13108">
      <c r="A13108" s="16" t="s">
        <v>87</v>
      </c>
      <c r="E13108" s="16" t="str">
        <f>IFERROR(__xludf.DUMMYFUNCTION("""COMPUTED_VALUE"""),"")</f>
        <v/>
      </c>
      <c r="G13108" s="18"/>
      <c r="H13108" s="16" t="s">
        <v>87</v>
      </c>
      <c r="I13108" s="16" t="s">
        <v>87</v>
      </c>
      <c r="J13108" s="19"/>
      <c r="L13108" s="16" t="str">
        <f>IFERROR(__xludf.DUMMYFUNCTION("""COMPUTED_VALUE"""),"")</f>
        <v/>
      </c>
      <c r="M13108" s="16" t="str">
        <f>IFERROR(__xludf.DUMMYFUNCTION("""COMPUTED_VALUE"""),"")</f>
        <v/>
      </c>
      <c r="U13108" s="16" t="s">
        <v>87</v>
      </c>
      <c r="V13108" s="16" t="str">
        <f>IFERROR(__xludf.DUMMYFUNCTION("""COMPUTED_VALUE"""),"")</f>
        <v/>
      </c>
      <c r="W13108" s="16" t="str">
        <f>IFERROR(__xludf.DUMMYFUNCTION("""COMPUTED_VALUE"""),"")</f>
        <v/>
      </c>
      <c r="X13108" s="16" t="str">
        <f>IFERROR(__xludf.DUMMYFUNCTION("""COMPUTED_VALUE"""),"")</f>
        <v/>
      </c>
      <c r="AC13108" s="16" t="str">
        <f>IFERROR(__xludf.DUMMYFUNCTION("""COMPUTED_VALUE"""),"")</f>
        <v/>
      </c>
    </row>
    <row r="13109">
      <c r="A13109" s="16" t="s">
        <v>87</v>
      </c>
      <c r="E13109" s="16" t="str">
        <f>IFERROR(__xludf.DUMMYFUNCTION("""COMPUTED_VALUE"""),"")</f>
        <v/>
      </c>
      <c r="G13109" s="18"/>
      <c r="H13109" s="16" t="s">
        <v>87</v>
      </c>
      <c r="I13109" s="16" t="s">
        <v>87</v>
      </c>
      <c r="J13109" s="19"/>
      <c r="L13109" s="16" t="str">
        <f>IFERROR(__xludf.DUMMYFUNCTION("""COMPUTED_VALUE"""),"")</f>
        <v/>
      </c>
      <c r="M13109" s="16" t="str">
        <f>IFERROR(__xludf.DUMMYFUNCTION("""COMPUTED_VALUE"""),"")</f>
        <v/>
      </c>
      <c r="U13109" s="16" t="s">
        <v>87</v>
      </c>
      <c r="V13109" s="16" t="str">
        <f>IFERROR(__xludf.DUMMYFUNCTION("""COMPUTED_VALUE"""),"")</f>
        <v/>
      </c>
      <c r="W13109" s="16" t="str">
        <f>IFERROR(__xludf.DUMMYFUNCTION("""COMPUTED_VALUE"""),"")</f>
        <v/>
      </c>
      <c r="X13109" s="16" t="str">
        <f>IFERROR(__xludf.DUMMYFUNCTION("""COMPUTED_VALUE"""),"")</f>
        <v/>
      </c>
      <c r="AC13109" s="16" t="str">
        <f>IFERROR(__xludf.DUMMYFUNCTION("""COMPUTED_VALUE"""),"")</f>
        <v/>
      </c>
    </row>
    <row r="13110">
      <c r="A13110" s="16" t="s">
        <v>87</v>
      </c>
      <c r="E13110" s="16" t="str">
        <f>IFERROR(__xludf.DUMMYFUNCTION("""COMPUTED_VALUE"""),"")</f>
        <v/>
      </c>
      <c r="G13110" s="18"/>
      <c r="H13110" s="16" t="s">
        <v>87</v>
      </c>
      <c r="I13110" s="16" t="s">
        <v>87</v>
      </c>
      <c r="J13110" s="19"/>
      <c r="L13110" s="16" t="str">
        <f>IFERROR(__xludf.DUMMYFUNCTION("""COMPUTED_VALUE"""),"")</f>
        <v/>
      </c>
      <c r="M13110" s="16" t="str">
        <f>IFERROR(__xludf.DUMMYFUNCTION("""COMPUTED_VALUE"""),"")</f>
        <v/>
      </c>
      <c r="U13110" s="16" t="s">
        <v>87</v>
      </c>
      <c r="V13110" s="16" t="str">
        <f>IFERROR(__xludf.DUMMYFUNCTION("""COMPUTED_VALUE"""),"")</f>
        <v/>
      </c>
      <c r="W13110" s="16" t="str">
        <f>IFERROR(__xludf.DUMMYFUNCTION("""COMPUTED_VALUE"""),"")</f>
        <v/>
      </c>
      <c r="X13110" s="16" t="str">
        <f>IFERROR(__xludf.DUMMYFUNCTION("""COMPUTED_VALUE"""),"")</f>
        <v/>
      </c>
      <c r="AC13110" s="16" t="str">
        <f>IFERROR(__xludf.DUMMYFUNCTION("""COMPUTED_VALUE"""),"")</f>
        <v/>
      </c>
    </row>
    <row r="13111">
      <c r="A13111" s="16" t="s">
        <v>87</v>
      </c>
      <c r="E13111" s="16" t="str">
        <f>IFERROR(__xludf.DUMMYFUNCTION("""COMPUTED_VALUE"""),"")</f>
        <v/>
      </c>
      <c r="G13111" s="18"/>
      <c r="H13111" s="16" t="s">
        <v>87</v>
      </c>
      <c r="I13111" s="16" t="s">
        <v>87</v>
      </c>
      <c r="J13111" s="19"/>
      <c r="L13111" s="16" t="str">
        <f>IFERROR(__xludf.DUMMYFUNCTION("""COMPUTED_VALUE"""),"")</f>
        <v/>
      </c>
      <c r="M13111" s="16" t="str">
        <f>IFERROR(__xludf.DUMMYFUNCTION("""COMPUTED_VALUE"""),"")</f>
        <v/>
      </c>
      <c r="U13111" s="16" t="s">
        <v>87</v>
      </c>
      <c r="V13111" s="16" t="str">
        <f>IFERROR(__xludf.DUMMYFUNCTION("""COMPUTED_VALUE"""),"")</f>
        <v/>
      </c>
      <c r="W13111" s="16" t="str">
        <f>IFERROR(__xludf.DUMMYFUNCTION("""COMPUTED_VALUE"""),"")</f>
        <v/>
      </c>
      <c r="X13111" s="16" t="str">
        <f>IFERROR(__xludf.DUMMYFUNCTION("""COMPUTED_VALUE"""),"")</f>
        <v/>
      </c>
      <c r="AC13111" s="16" t="str">
        <f>IFERROR(__xludf.DUMMYFUNCTION("""COMPUTED_VALUE"""),"")</f>
        <v/>
      </c>
    </row>
    <row r="13112">
      <c r="A13112" s="16" t="s">
        <v>87</v>
      </c>
      <c r="E13112" s="16" t="str">
        <f>IFERROR(__xludf.DUMMYFUNCTION("""COMPUTED_VALUE"""),"")</f>
        <v/>
      </c>
      <c r="G13112" s="18"/>
      <c r="H13112" s="16" t="s">
        <v>87</v>
      </c>
      <c r="I13112" s="16" t="s">
        <v>87</v>
      </c>
      <c r="J13112" s="19"/>
      <c r="L13112" s="16" t="str">
        <f>IFERROR(__xludf.DUMMYFUNCTION("""COMPUTED_VALUE"""),"")</f>
        <v/>
      </c>
      <c r="M13112" s="16" t="str">
        <f>IFERROR(__xludf.DUMMYFUNCTION("""COMPUTED_VALUE"""),"")</f>
        <v/>
      </c>
      <c r="U13112" s="16" t="s">
        <v>87</v>
      </c>
      <c r="V13112" s="16" t="str">
        <f>IFERROR(__xludf.DUMMYFUNCTION("""COMPUTED_VALUE"""),"")</f>
        <v/>
      </c>
      <c r="W13112" s="16" t="str">
        <f>IFERROR(__xludf.DUMMYFUNCTION("""COMPUTED_VALUE"""),"")</f>
        <v/>
      </c>
      <c r="X13112" s="16" t="str">
        <f>IFERROR(__xludf.DUMMYFUNCTION("""COMPUTED_VALUE"""),"")</f>
        <v/>
      </c>
      <c r="AC13112" s="16" t="str">
        <f>IFERROR(__xludf.DUMMYFUNCTION("""COMPUTED_VALUE"""),"")</f>
        <v/>
      </c>
    </row>
    <row r="13113">
      <c r="A13113" s="16" t="s">
        <v>87</v>
      </c>
      <c r="E13113" s="16" t="str">
        <f>IFERROR(__xludf.DUMMYFUNCTION("""COMPUTED_VALUE"""),"")</f>
        <v/>
      </c>
      <c r="G13113" s="18"/>
      <c r="H13113" s="16" t="s">
        <v>87</v>
      </c>
      <c r="I13113" s="16" t="s">
        <v>87</v>
      </c>
      <c r="J13113" s="19"/>
      <c r="L13113" s="16" t="str">
        <f>IFERROR(__xludf.DUMMYFUNCTION("""COMPUTED_VALUE"""),"")</f>
        <v/>
      </c>
      <c r="M13113" s="16" t="str">
        <f>IFERROR(__xludf.DUMMYFUNCTION("""COMPUTED_VALUE"""),"")</f>
        <v/>
      </c>
      <c r="U13113" s="16" t="s">
        <v>87</v>
      </c>
      <c r="V13113" s="16" t="str">
        <f>IFERROR(__xludf.DUMMYFUNCTION("""COMPUTED_VALUE"""),"")</f>
        <v/>
      </c>
      <c r="W13113" s="16" t="str">
        <f>IFERROR(__xludf.DUMMYFUNCTION("""COMPUTED_VALUE"""),"")</f>
        <v/>
      </c>
      <c r="X13113" s="16" t="str">
        <f>IFERROR(__xludf.DUMMYFUNCTION("""COMPUTED_VALUE"""),"")</f>
        <v/>
      </c>
      <c r="AC13113" s="16" t="str">
        <f>IFERROR(__xludf.DUMMYFUNCTION("""COMPUTED_VALUE"""),"")</f>
        <v/>
      </c>
    </row>
    <row r="13114">
      <c r="A13114" s="16" t="s">
        <v>87</v>
      </c>
      <c r="E13114" s="16" t="str">
        <f>IFERROR(__xludf.DUMMYFUNCTION("""COMPUTED_VALUE"""),"")</f>
        <v/>
      </c>
      <c r="G13114" s="18"/>
      <c r="H13114" s="16" t="s">
        <v>87</v>
      </c>
      <c r="I13114" s="16" t="s">
        <v>87</v>
      </c>
      <c r="J13114" s="19"/>
      <c r="L13114" s="16" t="str">
        <f>IFERROR(__xludf.DUMMYFUNCTION("""COMPUTED_VALUE"""),"")</f>
        <v/>
      </c>
      <c r="M13114" s="16" t="str">
        <f>IFERROR(__xludf.DUMMYFUNCTION("""COMPUTED_VALUE"""),"")</f>
        <v/>
      </c>
      <c r="U13114" s="16" t="s">
        <v>87</v>
      </c>
      <c r="V13114" s="16" t="str">
        <f>IFERROR(__xludf.DUMMYFUNCTION("""COMPUTED_VALUE"""),"")</f>
        <v/>
      </c>
      <c r="W13114" s="16" t="str">
        <f>IFERROR(__xludf.DUMMYFUNCTION("""COMPUTED_VALUE"""),"")</f>
        <v/>
      </c>
      <c r="X13114" s="16" t="str">
        <f>IFERROR(__xludf.DUMMYFUNCTION("""COMPUTED_VALUE"""),"")</f>
        <v/>
      </c>
      <c r="AC13114" s="16" t="str">
        <f>IFERROR(__xludf.DUMMYFUNCTION("""COMPUTED_VALUE"""),"")</f>
        <v/>
      </c>
    </row>
    <row r="13115">
      <c r="A13115" s="16" t="s">
        <v>87</v>
      </c>
      <c r="E13115" s="16" t="str">
        <f>IFERROR(__xludf.DUMMYFUNCTION("""COMPUTED_VALUE"""),"")</f>
        <v/>
      </c>
      <c r="G13115" s="18"/>
      <c r="H13115" s="16" t="s">
        <v>87</v>
      </c>
      <c r="I13115" s="16" t="s">
        <v>87</v>
      </c>
      <c r="J13115" s="19"/>
      <c r="L13115" s="16" t="str">
        <f>IFERROR(__xludf.DUMMYFUNCTION("""COMPUTED_VALUE"""),"")</f>
        <v/>
      </c>
      <c r="M13115" s="16" t="str">
        <f>IFERROR(__xludf.DUMMYFUNCTION("""COMPUTED_VALUE"""),"")</f>
        <v/>
      </c>
      <c r="U13115" s="16" t="s">
        <v>87</v>
      </c>
      <c r="V13115" s="16" t="str">
        <f>IFERROR(__xludf.DUMMYFUNCTION("""COMPUTED_VALUE"""),"")</f>
        <v/>
      </c>
      <c r="W13115" s="16" t="str">
        <f>IFERROR(__xludf.DUMMYFUNCTION("""COMPUTED_VALUE"""),"")</f>
        <v/>
      </c>
      <c r="X13115" s="16" t="str">
        <f>IFERROR(__xludf.DUMMYFUNCTION("""COMPUTED_VALUE"""),"")</f>
        <v/>
      </c>
      <c r="AC13115" s="16" t="str">
        <f>IFERROR(__xludf.DUMMYFUNCTION("""COMPUTED_VALUE"""),"")</f>
        <v/>
      </c>
    </row>
    <row r="13116">
      <c r="A13116" s="16" t="s">
        <v>87</v>
      </c>
      <c r="E13116" s="16" t="str">
        <f>IFERROR(__xludf.DUMMYFUNCTION("""COMPUTED_VALUE"""),"")</f>
        <v/>
      </c>
      <c r="G13116" s="18"/>
      <c r="H13116" s="16" t="s">
        <v>87</v>
      </c>
      <c r="I13116" s="16" t="s">
        <v>87</v>
      </c>
      <c r="J13116" s="19"/>
      <c r="L13116" s="16" t="str">
        <f>IFERROR(__xludf.DUMMYFUNCTION("""COMPUTED_VALUE"""),"")</f>
        <v/>
      </c>
      <c r="M13116" s="16" t="str">
        <f>IFERROR(__xludf.DUMMYFUNCTION("""COMPUTED_VALUE"""),"")</f>
        <v/>
      </c>
      <c r="U13116" s="16" t="s">
        <v>87</v>
      </c>
      <c r="V13116" s="16" t="str">
        <f>IFERROR(__xludf.DUMMYFUNCTION("""COMPUTED_VALUE"""),"")</f>
        <v/>
      </c>
      <c r="W13116" s="16" t="str">
        <f>IFERROR(__xludf.DUMMYFUNCTION("""COMPUTED_VALUE"""),"")</f>
        <v/>
      </c>
      <c r="X13116" s="16" t="str">
        <f>IFERROR(__xludf.DUMMYFUNCTION("""COMPUTED_VALUE"""),"")</f>
        <v/>
      </c>
      <c r="AC13116" s="16" t="str">
        <f>IFERROR(__xludf.DUMMYFUNCTION("""COMPUTED_VALUE"""),"")</f>
        <v/>
      </c>
    </row>
    <row r="13117">
      <c r="A13117" s="16" t="s">
        <v>87</v>
      </c>
      <c r="E13117" s="16" t="str">
        <f>IFERROR(__xludf.DUMMYFUNCTION("""COMPUTED_VALUE"""),"")</f>
        <v/>
      </c>
      <c r="G13117" s="18"/>
      <c r="H13117" s="16" t="s">
        <v>87</v>
      </c>
      <c r="I13117" s="16" t="s">
        <v>87</v>
      </c>
      <c r="J13117" s="19"/>
      <c r="L13117" s="16" t="str">
        <f>IFERROR(__xludf.DUMMYFUNCTION("""COMPUTED_VALUE"""),"")</f>
        <v/>
      </c>
      <c r="M13117" s="16" t="str">
        <f>IFERROR(__xludf.DUMMYFUNCTION("""COMPUTED_VALUE"""),"")</f>
        <v/>
      </c>
      <c r="U13117" s="16" t="s">
        <v>87</v>
      </c>
      <c r="V13117" s="16" t="str">
        <f>IFERROR(__xludf.DUMMYFUNCTION("""COMPUTED_VALUE"""),"")</f>
        <v/>
      </c>
      <c r="W13117" s="16" t="str">
        <f>IFERROR(__xludf.DUMMYFUNCTION("""COMPUTED_VALUE"""),"")</f>
        <v/>
      </c>
      <c r="X13117" s="16" t="str">
        <f>IFERROR(__xludf.DUMMYFUNCTION("""COMPUTED_VALUE"""),"")</f>
        <v/>
      </c>
      <c r="AC13117" s="16" t="str">
        <f>IFERROR(__xludf.DUMMYFUNCTION("""COMPUTED_VALUE"""),"")</f>
        <v/>
      </c>
    </row>
    <row r="13118">
      <c r="A13118" s="16" t="s">
        <v>87</v>
      </c>
      <c r="E13118" s="16" t="str">
        <f>IFERROR(__xludf.DUMMYFUNCTION("""COMPUTED_VALUE"""),"")</f>
        <v/>
      </c>
      <c r="G13118" s="18"/>
      <c r="H13118" s="16" t="s">
        <v>87</v>
      </c>
      <c r="I13118" s="16" t="s">
        <v>87</v>
      </c>
      <c r="J13118" s="19"/>
      <c r="L13118" s="16" t="str">
        <f>IFERROR(__xludf.DUMMYFUNCTION("""COMPUTED_VALUE"""),"")</f>
        <v/>
      </c>
      <c r="M13118" s="16" t="str">
        <f>IFERROR(__xludf.DUMMYFUNCTION("""COMPUTED_VALUE"""),"")</f>
        <v/>
      </c>
      <c r="U13118" s="16" t="s">
        <v>87</v>
      </c>
      <c r="V13118" s="16" t="str">
        <f>IFERROR(__xludf.DUMMYFUNCTION("""COMPUTED_VALUE"""),"")</f>
        <v/>
      </c>
      <c r="W13118" s="16" t="str">
        <f>IFERROR(__xludf.DUMMYFUNCTION("""COMPUTED_VALUE"""),"")</f>
        <v/>
      </c>
      <c r="X13118" s="16" t="str">
        <f>IFERROR(__xludf.DUMMYFUNCTION("""COMPUTED_VALUE"""),"")</f>
        <v/>
      </c>
      <c r="AC13118" s="16" t="str">
        <f>IFERROR(__xludf.DUMMYFUNCTION("""COMPUTED_VALUE"""),"")</f>
        <v/>
      </c>
    </row>
    <row r="13119">
      <c r="A13119" s="16" t="s">
        <v>87</v>
      </c>
      <c r="E13119" s="16" t="str">
        <f>IFERROR(__xludf.DUMMYFUNCTION("""COMPUTED_VALUE"""),"")</f>
        <v/>
      </c>
      <c r="G13119" s="18"/>
      <c r="H13119" s="16" t="s">
        <v>87</v>
      </c>
      <c r="I13119" s="16" t="s">
        <v>87</v>
      </c>
      <c r="J13119" s="19"/>
      <c r="L13119" s="16" t="str">
        <f>IFERROR(__xludf.DUMMYFUNCTION("""COMPUTED_VALUE"""),"")</f>
        <v/>
      </c>
      <c r="M13119" s="16" t="str">
        <f>IFERROR(__xludf.DUMMYFUNCTION("""COMPUTED_VALUE"""),"")</f>
        <v/>
      </c>
      <c r="U13119" s="16" t="s">
        <v>87</v>
      </c>
      <c r="V13119" s="16" t="str">
        <f>IFERROR(__xludf.DUMMYFUNCTION("""COMPUTED_VALUE"""),"")</f>
        <v/>
      </c>
      <c r="W13119" s="16" t="str">
        <f>IFERROR(__xludf.DUMMYFUNCTION("""COMPUTED_VALUE"""),"")</f>
        <v/>
      </c>
      <c r="X13119" s="16" t="str">
        <f>IFERROR(__xludf.DUMMYFUNCTION("""COMPUTED_VALUE"""),"")</f>
        <v/>
      </c>
      <c r="AC13119" s="16" t="str">
        <f>IFERROR(__xludf.DUMMYFUNCTION("""COMPUTED_VALUE"""),"")</f>
        <v/>
      </c>
    </row>
    <row r="13120">
      <c r="A13120" s="16" t="s">
        <v>87</v>
      </c>
      <c r="E13120" s="16" t="str">
        <f>IFERROR(__xludf.DUMMYFUNCTION("""COMPUTED_VALUE"""),"")</f>
        <v/>
      </c>
      <c r="G13120" s="18"/>
      <c r="H13120" s="16" t="s">
        <v>87</v>
      </c>
      <c r="I13120" s="16" t="s">
        <v>87</v>
      </c>
      <c r="J13120" s="19"/>
      <c r="L13120" s="16" t="str">
        <f>IFERROR(__xludf.DUMMYFUNCTION("""COMPUTED_VALUE"""),"")</f>
        <v/>
      </c>
      <c r="M13120" s="16" t="str">
        <f>IFERROR(__xludf.DUMMYFUNCTION("""COMPUTED_VALUE"""),"")</f>
        <v/>
      </c>
      <c r="U13120" s="16" t="s">
        <v>87</v>
      </c>
      <c r="V13120" s="16" t="str">
        <f>IFERROR(__xludf.DUMMYFUNCTION("""COMPUTED_VALUE"""),"")</f>
        <v/>
      </c>
      <c r="W13120" s="16" t="str">
        <f>IFERROR(__xludf.DUMMYFUNCTION("""COMPUTED_VALUE"""),"")</f>
        <v/>
      </c>
      <c r="X13120" s="16" t="str">
        <f>IFERROR(__xludf.DUMMYFUNCTION("""COMPUTED_VALUE"""),"")</f>
        <v/>
      </c>
      <c r="AC13120" s="16" t="str">
        <f>IFERROR(__xludf.DUMMYFUNCTION("""COMPUTED_VALUE"""),"")</f>
        <v/>
      </c>
    </row>
    <row r="13121">
      <c r="A13121" s="16" t="s">
        <v>87</v>
      </c>
      <c r="E13121" s="16" t="str">
        <f>IFERROR(__xludf.DUMMYFUNCTION("""COMPUTED_VALUE"""),"")</f>
        <v/>
      </c>
      <c r="G13121" s="18"/>
      <c r="H13121" s="16" t="s">
        <v>87</v>
      </c>
      <c r="I13121" s="16" t="s">
        <v>87</v>
      </c>
      <c r="J13121" s="19"/>
      <c r="L13121" s="16" t="str">
        <f>IFERROR(__xludf.DUMMYFUNCTION("""COMPUTED_VALUE"""),"")</f>
        <v/>
      </c>
      <c r="M13121" s="16" t="str">
        <f>IFERROR(__xludf.DUMMYFUNCTION("""COMPUTED_VALUE"""),"")</f>
        <v/>
      </c>
      <c r="U13121" s="16" t="s">
        <v>87</v>
      </c>
      <c r="V13121" s="16" t="str">
        <f>IFERROR(__xludf.DUMMYFUNCTION("""COMPUTED_VALUE"""),"")</f>
        <v/>
      </c>
      <c r="W13121" s="16" t="str">
        <f>IFERROR(__xludf.DUMMYFUNCTION("""COMPUTED_VALUE"""),"")</f>
        <v/>
      </c>
      <c r="X13121" s="16" t="str">
        <f>IFERROR(__xludf.DUMMYFUNCTION("""COMPUTED_VALUE"""),"")</f>
        <v/>
      </c>
      <c r="AC13121" s="16" t="str">
        <f>IFERROR(__xludf.DUMMYFUNCTION("""COMPUTED_VALUE"""),"")</f>
        <v/>
      </c>
    </row>
    <row r="13122">
      <c r="A13122" s="16" t="s">
        <v>87</v>
      </c>
      <c r="E13122" s="16" t="str">
        <f>IFERROR(__xludf.DUMMYFUNCTION("""COMPUTED_VALUE"""),"")</f>
        <v/>
      </c>
      <c r="G13122" s="18"/>
      <c r="H13122" s="16" t="s">
        <v>87</v>
      </c>
      <c r="I13122" s="16" t="s">
        <v>87</v>
      </c>
      <c r="J13122" s="19"/>
      <c r="L13122" s="16" t="str">
        <f>IFERROR(__xludf.DUMMYFUNCTION("""COMPUTED_VALUE"""),"")</f>
        <v/>
      </c>
      <c r="M13122" s="16" t="str">
        <f>IFERROR(__xludf.DUMMYFUNCTION("""COMPUTED_VALUE"""),"")</f>
        <v/>
      </c>
      <c r="U13122" s="16" t="s">
        <v>87</v>
      </c>
      <c r="V13122" s="16" t="str">
        <f>IFERROR(__xludf.DUMMYFUNCTION("""COMPUTED_VALUE"""),"")</f>
        <v/>
      </c>
      <c r="W13122" s="16" t="str">
        <f>IFERROR(__xludf.DUMMYFUNCTION("""COMPUTED_VALUE"""),"")</f>
        <v/>
      </c>
      <c r="X13122" s="16" t="str">
        <f>IFERROR(__xludf.DUMMYFUNCTION("""COMPUTED_VALUE"""),"")</f>
        <v/>
      </c>
      <c r="AC13122" s="16" t="str">
        <f>IFERROR(__xludf.DUMMYFUNCTION("""COMPUTED_VALUE"""),"")</f>
        <v/>
      </c>
    </row>
    <row r="13123">
      <c r="A13123" s="16" t="s">
        <v>87</v>
      </c>
      <c r="E13123" s="16" t="str">
        <f>IFERROR(__xludf.DUMMYFUNCTION("""COMPUTED_VALUE"""),"")</f>
        <v/>
      </c>
      <c r="G13123" s="18"/>
      <c r="H13123" s="16" t="s">
        <v>87</v>
      </c>
      <c r="I13123" s="16" t="s">
        <v>87</v>
      </c>
      <c r="J13123" s="19"/>
      <c r="L13123" s="16" t="str">
        <f>IFERROR(__xludf.DUMMYFUNCTION("""COMPUTED_VALUE"""),"")</f>
        <v/>
      </c>
      <c r="M13123" s="16" t="str">
        <f>IFERROR(__xludf.DUMMYFUNCTION("""COMPUTED_VALUE"""),"")</f>
        <v/>
      </c>
      <c r="U13123" s="16" t="s">
        <v>87</v>
      </c>
      <c r="V13123" s="16" t="str">
        <f>IFERROR(__xludf.DUMMYFUNCTION("""COMPUTED_VALUE"""),"")</f>
        <v/>
      </c>
      <c r="W13123" s="16" t="str">
        <f>IFERROR(__xludf.DUMMYFUNCTION("""COMPUTED_VALUE"""),"")</f>
        <v/>
      </c>
      <c r="X13123" s="16" t="str">
        <f>IFERROR(__xludf.DUMMYFUNCTION("""COMPUTED_VALUE"""),"")</f>
        <v/>
      </c>
      <c r="AC13123" s="16" t="str">
        <f>IFERROR(__xludf.DUMMYFUNCTION("""COMPUTED_VALUE"""),"")</f>
        <v/>
      </c>
    </row>
    <row r="13124">
      <c r="A13124" s="16" t="s">
        <v>87</v>
      </c>
      <c r="E13124" s="16" t="str">
        <f>IFERROR(__xludf.DUMMYFUNCTION("""COMPUTED_VALUE"""),"")</f>
        <v/>
      </c>
      <c r="G13124" s="18"/>
      <c r="H13124" s="16" t="s">
        <v>87</v>
      </c>
      <c r="I13124" s="16" t="s">
        <v>87</v>
      </c>
      <c r="J13124" s="19"/>
      <c r="L13124" s="16" t="str">
        <f>IFERROR(__xludf.DUMMYFUNCTION("""COMPUTED_VALUE"""),"")</f>
        <v/>
      </c>
      <c r="M13124" s="16" t="str">
        <f>IFERROR(__xludf.DUMMYFUNCTION("""COMPUTED_VALUE"""),"")</f>
        <v/>
      </c>
      <c r="U13124" s="16" t="s">
        <v>87</v>
      </c>
      <c r="V13124" s="16" t="str">
        <f>IFERROR(__xludf.DUMMYFUNCTION("""COMPUTED_VALUE"""),"")</f>
        <v/>
      </c>
      <c r="W13124" s="16" t="str">
        <f>IFERROR(__xludf.DUMMYFUNCTION("""COMPUTED_VALUE"""),"")</f>
        <v/>
      </c>
      <c r="X13124" s="16" t="str">
        <f>IFERROR(__xludf.DUMMYFUNCTION("""COMPUTED_VALUE"""),"")</f>
        <v/>
      </c>
      <c r="AC13124" s="16" t="str">
        <f>IFERROR(__xludf.DUMMYFUNCTION("""COMPUTED_VALUE"""),"")</f>
        <v/>
      </c>
    </row>
    <row r="13125">
      <c r="A13125" s="16" t="s">
        <v>87</v>
      </c>
      <c r="E13125" s="16" t="str">
        <f>IFERROR(__xludf.DUMMYFUNCTION("""COMPUTED_VALUE"""),"")</f>
        <v/>
      </c>
      <c r="G13125" s="18"/>
      <c r="H13125" s="16" t="s">
        <v>87</v>
      </c>
      <c r="I13125" s="16" t="s">
        <v>87</v>
      </c>
      <c r="J13125" s="19"/>
      <c r="L13125" s="16" t="str">
        <f>IFERROR(__xludf.DUMMYFUNCTION("""COMPUTED_VALUE"""),"")</f>
        <v/>
      </c>
      <c r="M13125" s="16" t="str">
        <f>IFERROR(__xludf.DUMMYFUNCTION("""COMPUTED_VALUE"""),"")</f>
        <v/>
      </c>
      <c r="U13125" s="16" t="s">
        <v>87</v>
      </c>
      <c r="V13125" s="16" t="str">
        <f>IFERROR(__xludf.DUMMYFUNCTION("""COMPUTED_VALUE"""),"")</f>
        <v/>
      </c>
      <c r="W13125" s="16" t="str">
        <f>IFERROR(__xludf.DUMMYFUNCTION("""COMPUTED_VALUE"""),"")</f>
        <v/>
      </c>
      <c r="X13125" s="16" t="str">
        <f>IFERROR(__xludf.DUMMYFUNCTION("""COMPUTED_VALUE"""),"")</f>
        <v/>
      </c>
      <c r="AC13125" s="16" t="str">
        <f>IFERROR(__xludf.DUMMYFUNCTION("""COMPUTED_VALUE"""),"")</f>
        <v/>
      </c>
    </row>
    <row r="13126">
      <c r="A13126" s="16" t="s">
        <v>87</v>
      </c>
      <c r="E13126" s="16" t="str">
        <f>IFERROR(__xludf.DUMMYFUNCTION("""COMPUTED_VALUE"""),"")</f>
        <v/>
      </c>
      <c r="G13126" s="18"/>
      <c r="H13126" s="16" t="s">
        <v>87</v>
      </c>
      <c r="I13126" s="16" t="s">
        <v>87</v>
      </c>
      <c r="J13126" s="19"/>
      <c r="L13126" s="16" t="str">
        <f>IFERROR(__xludf.DUMMYFUNCTION("""COMPUTED_VALUE"""),"")</f>
        <v/>
      </c>
      <c r="M13126" s="16" t="str">
        <f>IFERROR(__xludf.DUMMYFUNCTION("""COMPUTED_VALUE"""),"")</f>
        <v/>
      </c>
      <c r="U13126" s="16" t="s">
        <v>87</v>
      </c>
      <c r="V13126" s="16" t="str">
        <f>IFERROR(__xludf.DUMMYFUNCTION("""COMPUTED_VALUE"""),"")</f>
        <v/>
      </c>
      <c r="W13126" s="16" t="str">
        <f>IFERROR(__xludf.DUMMYFUNCTION("""COMPUTED_VALUE"""),"")</f>
        <v/>
      </c>
      <c r="X13126" s="16" t="str">
        <f>IFERROR(__xludf.DUMMYFUNCTION("""COMPUTED_VALUE"""),"")</f>
        <v/>
      </c>
      <c r="AC13126" s="16" t="str">
        <f>IFERROR(__xludf.DUMMYFUNCTION("""COMPUTED_VALUE"""),"")</f>
        <v/>
      </c>
    </row>
    <row r="13127">
      <c r="A13127" s="16" t="s">
        <v>87</v>
      </c>
      <c r="E13127" s="16" t="str">
        <f>IFERROR(__xludf.DUMMYFUNCTION("""COMPUTED_VALUE"""),"")</f>
        <v/>
      </c>
      <c r="G13127" s="18"/>
      <c r="H13127" s="16" t="s">
        <v>87</v>
      </c>
      <c r="I13127" s="16" t="s">
        <v>87</v>
      </c>
      <c r="J13127" s="19"/>
      <c r="L13127" s="16" t="str">
        <f>IFERROR(__xludf.DUMMYFUNCTION("""COMPUTED_VALUE"""),"")</f>
        <v/>
      </c>
      <c r="M13127" s="16" t="str">
        <f>IFERROR(__xludf.DUMMYFUNCTION("""COMPUTED_VALUE"""),"")</f>
        <v/>
      </c>
      <c r="U13127" s="16" t="s">
        <v>87</v>
      </c>
      <c r="V13127" s="16" t="str">
        <f>IFERROR(__xludf.DUMMYFUNCTION("""COMPUTED_VALUE"""),"")</f>
        <v/>
      </c>
      <c r="W13127" s="16" t="str">
        <f>IFERROR(__xludf.DUMMYFUNCTION("""COMPUTED_VALUE"""),"")</f>
        <v/>
      </c>
      <c r="X13127" s="16" t="str">
        <f>IFERROR(__xludf.DUMMYFUNCTION("""COMPUTED_VALUE"""),"")</f>
        <v/>
      </c>
      <c r="AC13127" s="16" t="str">
        <f>IFERROR(__xludf.DUMMYFUNCTION("""COMPUTED_VALUE"""),"")</f>
        <v/>
      </c>
    </row>
    <row r="13128">
      <c r="A13128" s="16" t="s">
        <v>87</v>
      </c>
      <c r="E13128" s="16" t="str">
        <f>IFERROR(__xludf.DUMMYFUNCTION("""COMPUTED_VALUE"""),"")</f>
        <v/>
      </c>
      <c r="G13128" s="18"/>
      <c r="H13128" s="16" t="s">
        <v>87</v>
      </c>
      <c r="I13128" s="16" t="s">
        <v>87</v>
      </c>
      <c r="J13128" s="19"/>
      <c r="L13128" s="16" t="str">
        <f>IFERROR(__xludf.DUMMYFUNCTION("""COMPUTED_VALUE"""),"")</f>
        <v/>
      </c>
      <c r="M13128" s="16" t="str">
        <f>IFERROR(__xludf.DUMMYFUNCTION("""COMPUTED_VALUE"""),"")</f>
        <v/>
      </c>
      <c r="U13128" s="16" t="s">
        <v>87</v>
      </c>
      <c r="V13128" s="16" t="str">
        <f>IFERROR(__xludf.DUMMYFUNCTION("""COMPUTED_VALUE"""),"")</f>
        <v/>
      </c>
      <c r="W13128" s="16" t="str">
        <f>IFERROR(__xludf.DUMMYFUNCTION("""COMPUTED_VALUE"""),"")</f>
        <v/>
      </c>
      <c r="X13128" s="16" t="str">
        <f>IFERROR(__xludf.DUMMYFUNCTION("""COMPUTED_VALUE"""),"")</f>
        <v/>
      </c>
      <c r="AC13128" s="16" t="str">
        <f>IFERROR(__xludf.DUMMYFUNCTION("""COMPUTED_VALUE"""),"")</f>
        <v/>
      </c>
    </row>
    <row r="13129">
      <c r="A13129" s="16" t="s">
        <v>87</v>
      </c>
      <c r="E13129" s="16" t="str">
        <f>IFERROR(__xludf.DUMMYFUNCTION("""COMPUTED_VALUE"""),"")</f>
        <v/>
      </c>
      <c r="G13129" s="18"/>
      <c r="H13129" s="16" t="s">
        <v>87</v>
      </c>
      <c r="I13129" s="16" t="s">
        <v>87</v>
      </c>
      <c r="J13129" s="19"/>
      <c r="L13129" s="16" t="str">
        <f>IFERROR(__xludf.DUMMYFUNCTION("""COMPUTED_VALUE"""),"")</f>
        <v/>
      </c>
      <c r="M13129" s="16" t="str">
        <f>IFERROR(__xludf.DUMMYFUNCTION("""COMPUTED_VALUE"""),"")</f>
        <v/>
      </c>
      <c r="U13129" s="16" t="s">
        <v>87</v>
      </c>
      <c r="V13129" s="16" t="str">
        <f>IFERROR(__xludf.DUMMYFUNCTION("""COMPUTED_VALUE"""),"")</f>
        <v/>
      </c>
      <c r="W13129" s="16" t="str">
        <f>IFERROR(__xludf.DUMMYFUNCTION("""COMPUTED_VALUE"""),"")</f>
        <v/>
      </c>
      <c r="X13129" s="16" t="str">
        <f>IFERROR(__xludf.DUMMYFUNCTION("""COMPUTED_VALUE"""),"")</f>
        <v/>
      </c>
      <c r="AC13129" s="16" t="str">
        <f>IFERROR(__xludf.DUMMYFUNCTION("""COMPUTED_VALUE"""),"")</f>
        <v/>
      </c>
    </row>
    <row r="13130">
      <c r="A13130" s="16" t="s">
        <v>87</v>
      </c>
      <c r="E13130" s="16" t="str">
        <f>IFERROR(__xludf.DUMMYFUNCTION("""COMPUTED_VALUE"""),"")</f>
        <v/>
      </c>
      <c r="G13130" s="18"/>
      <c r="H13130" s="16" t="s">
        <v>87</v>
      </c>
      <c r="I13130" s="16" t="s">
        <v>87</v>
      </c>
      <c r="J13130" s="19"/>
      <c r="L13130" s="16" t="str">
        <f>IFERROR(__xludf.DUMMYFUNCTION("""COMPUTED_VALUE"""),"")</f>
        <v/>
      </c>
      <c r="M13130" s="16" t="str">
        <f>IFERROR(__xludf.DUMMYFUNCTION("""COMPUTED_VALUE"""),"")</f>
        <v/>
      </c>
      <c r="U13130" s="16" t="s">
        <v>87</v>
      </c>
      <c r="V13130" s="16" t="str">
        <f>IFERROR(__xludf.DUMMYFUNCTION("""COMPUTED_VALUE"""),"")</f>
        <v/>
      </c>
      <c r="W13130" s="16" t="str">
        <f>IFERROR(__xludf.DUMMYFUNCTION("""COMPUTED_VALUE"""),"")</f>
        <v/>
      </c>
      <c r="X13130" s="16" t="str">
        <f>IFERROR(__xludf.DUMMYFUNCTION("""COMPUTED_VALUE"""),"")</f>
        <v/>
      </c>
      <c r="AC13130" s="16" t="str">
        <f>IFERROR(__xludf.DUMMYFUNCTION("""COMPUTED_VALUE"""),"")</f>
        <v/>
      </c>
    </row>
    <row r="13131">
      <c r="A13131" s="16" t="s">
        <v>87</v>
      </c>
      <c r="E13131" s="16" t="str">
        <f>IFERROR(__xludf.DUMMYFUNCTION("""COMPUTED_VALUE"""),"")</f>
        <v/>
      </c>
      <c r="G13131" s="18"/>
      <c r="H13131" s="16" t="s">
        <v>87</v>
      </c>
      <c r="I13131" s="16" t="s">
        <v>87</v>
      </c>
      <c r="J13131" s="19"/>
      <c r="L13131" s="16" t="str">
        <f>IFERROR(__xludf.DUMMYFUNCTION("""COMPUTED_VALUE"""),"")</f>
        <v/>
      </c>
      <c r="M13131" s="16" t="str">
        <f>IFERROR(__xludf.DUMMYFUNCTION("""COMPUTED_VALUE"""),"")</f>
        <v/>
      </c>
      <c r="U13131" s="16" t="s">
        <v>87</v>
      </c>
      <c r="V13131" s="16" t="str">
        <f>IFERROR(__xludf.DUMMYFUNCTION("""COMPUTED_VALUE"""),"")</f>
        <v/>
      </c>
      <c r="W13131" s="16" t="str">
        <f>IFERROR(__xludf.DUMMYFUNCTION("""COMPUTED_VALUE"""),"")</f>
        <v/>
      </c>
      <c r="X13131" s="16" t="str">
        <f>IFERROR(__xludf.DUMMYFUNCTION("""COMPUTED_VALUE"""),"")</f>
        <v/>
      </c>
      <c r="AC13131" s="16" t="str">
        <f>IFERROR(__xludf.DUMMYFUNCTION("""COMPUTED_VALUE"""),"")</f>
        <v/>
      </c>
    </row>
    <row r="13132">
      <c r="A13132" s="16" t="s">
        <v>87</v>
      </c>
      <c r="E13132" s="16" t="str">
        <f>IFERROR(__xludf.DUMMYFUNCTION("""COMPUTED_VALUE"""),"")</f>
        <v/>
      </c>
      <c r="G13132" s="18"/>
      <c r="H13132" s="16" t="s">
        <v>87</v>
      </c>
      <c r="I13132" s="16" t="s">
        <v>87</v>
      </c>
      <c r="J13132" s="19"/>
      <c r="L13132" s="16" t="str">
        <f>IFERROR(__xludf.DUMMYFUNCTION("""COMPUTED_VALUE"""),"")</f>
        <v/>
      </c>
      <c r="M13132" s="16" t="str">
        <f>IFERROR(__xludf.DUMMYFUNCTION("""COMPUTED_VALUE"""),"")</f>
        <v/>
      </c>
      <c r="U13132" s="16" t="s">
        <v>87</v>
      </c>
      <c r="V13132" s="16" t="str">
        <f>IFERROR(__xludf.DUMMYFUNCTION("""COMPUTED_VALUE"""),"")</f>
        <v/>
      </c>
      <c r="W13132" s="16" t="str">
        <f>IFERROR(__xludf.DUMMYFUNCTION("""COMPUTED_VALUE"""),"")</f>
        <v/>
      </c>
      <c r="X13132" s="16" t="str">
        <f>IFERROR(__xludf.DUMMYFUNCTION("""COMPUTED_VALUE"""),"")</f>
        <v/>
      </c>
      <c r="AC13132" s="16" t="str">
        <f>IFERROR(__xludf.DUMMYFUNCTION("""COMPUTED_VALUE"""),"")</f>
        <v/>
      </c>
    </row>
    <row r="13133">
      <c r="A13133" s="16" t="s">
        <v>87</v>
      </c>
      <c r="E13133" s="16" t="str">
        <f>IFERROR(__xludf.DUMMYFUNCTION("""COMPUTED_VALUE"""),"")</f>
        <v/>
      </c>
      <c r="G13133" s="18"/>
      <c r="H13133" s="16" t="s">
        <v>87</v>
      </c>
      <c r="I13133" s="16" t="s">
        <v>87</v>
      </c>
      <c r="J13133" s="19"/>
      <c r="L13133" s="16" t="str">
        <f>IFERROR(__xludf.DUMMYFUNCTION("""COMPUTED_VALUE"""),"")</f>
        <v/>
      </c>
      <c r="M13133" s="16" t="str">
        <f>IFERROR(__xludf.DUMMYFUNCTION("""COMPUTED_VALUE"""),"")</f>
        <v/>
      </c>
      <c r="U13133" s="16" t="s">
        <v>87</v>
      </c>
      <c r="V13133" s="16" t="str">
        <f>IFERROR(__xludf.DUMMYFUNCTION("""COMPUTED_VALUE"""),"")</f>
        <v/>
      </c>
      <c r="W13133" s="16" t="str">
        <f>IFERROR(__xludf.DUMMYFUNCTION("""COMPUTED_VALUE"""),"")</f>
        <v/>
      </c>
      <c r="X13133" s="16" t="str">
        <f>IFERROR(__xludf.DUMMYFUNCTION("""COMPUTED_VALUE"""),"")</f>
        <v/>
      </c>
      <c r="AC13133" s="16" t="str">
        <f>IFERROR(__xludf.DUMMYFUNCTION("""COMPUTED_VALUE"""),"")</f>
        <v/>
      </c>
    </row>
    <row r="13134">
      <c r="A13134" s="16" t="s">
        <v>87</v>
      </c>
      <c r="E13134" s="16" t="str">
        <f>IFERROR(__xludf.DUMMYFUNCTION("""COMPUTED_VALUE"""),"")</f>
        <v/>
      </c>
      <c r="G13134" s="18"/>
      <c r="H13134" s="16" t="s">
        <v>87</v>
      </c>
      <c r="I13134" s="16" t="s">
        <v>87</v>
      </c>
      <c r="J13134" s="19"/>
      <c r="L13134" s="16" t="str">
        <f>IFERROR(__xludf.DUMMYFUNCTION("""COMPUTED_VALUE"""),"")</f>
        <v/>
      </c>
      <c r="M13134" s="16" t="str">
        <f>IFERROR(__xludf.DUMMYFUNCTION("""COMPUTED_VALUE"""),"")</f>
        <v/>
      </c>
      <c r="U13134" s="16" t="s">
        <v>87</v>
      </c>
      <c r="V13134" s="16" t="str">
        <f>IFERROR(__xludf.DUMMYFUNCTION("""COMPUTED_VALUE"""),"")</f>
        <v/>
      </c>
      <c r="W13134" s="16" t="str">
        <f>IFERROR(__xludf.DUMMYFUNCTION("""COMPUTED_VALUE"""),"")</f>
        <v/>
      </c>
      <c r="X13134" s="16" t="str">
        <f>IFERROR(__xludf.DUMMYFUNCTION("""COMPUTED_VALUE"""),"")</f>
        <v/>
      </c>
      <c r="AC13134" s="16" t="str">
        <f>IFERROR(__xludf.DUMMYFUNCTION("""COMPUTED_VALUE"""),"")</f>
        <v/>
      </c>
    </row>
    <row r="13135">
      <c r="A13135" s="16" t="s">
        <v>87</v>
      </c>
      <c r="E13135" s="16" t="str">
        <f>IFERROR(__xludf.DUMMYFUNCTION("""COMPUTED_VALUE"""),"")</f>
        <v/>
      </c>
      <c r="G13135" s="18"/>
      <c r="H13135" s="16" t="s">
        <v>87</v>
      </c>
      <c r="I13135" s="16" t="s">
        <v>87</v>
      </c>
      <c r="J13135" s="19"/>
      <c r="L13135" s="16" t="str">
        <f>IFERROR(__xludf.DUMMYFUNCTION("""COMPUTED_VALUE"""),"")</f>
        <v/>
      </c>
      <c r="M13135" s="16" t="str">
        <f>IFERROR(__xludf.DUMMYFUNCTION("""COMPUTED_VALUE"""),"")</f>
        <v/>
      </c>
      <c r="U13135" s="16" t="s">
        <v>87</v>
      </c>
      <c r="V13135" s="16" t="str">
        <f>IFERROR(__xludf.DUMMYFUNCTION("""COMPUTED_VALUE"""),"")</f>
        <v/>
      </c>
      <c r="W13135" s="16" t="str">
        <f>IFERROR(__xludf.DUMMYFUNCTION("""COMPUTED_VALUE"""),"")</f>
        <v/>
      </c>
      <c r="X13135" s="16" t="str">
        <f>IFERROR(__xludf.DUMMYFUNCTION("""COMPUTED_VALUE"""),"")</f>
        <v/>
      </c>
      <c r="AC13135" s="16" t="str">
        <f>IFERROR(__xludf.DUMMYFUNCTION("""COMPUTED_VALUE"""),"")</f>
        <v/>
      </c>
    </row>
    <row r="13136">
      <c r="A13136" s="16" t="s">
        <v>87</v>
      </c>
      <c r="E13136" s="16" t="str">
        <f>IFERROR(__xludf.DUMMYFUNCTION("""COMPUTED_VALUE"""),"")</f>
        <v/>
      </c>
      <c r="G13136" s="18"/>
      <c r="H13136" s="16" t="s">
        <v>87</v>
      </c>
      <c r="I13136" s="16" t="s">
        <v>87</v>
      </c>
      <c r="J13136" s="19"/>
      <c r="L13136" s="16" t="str">
        <f>IFERROR(__xludf.DUMMYFUNCTION("""COMPUTED_VALUE"""),"")</f>
        <v/>
      </c>
      <c r="M13136" s="16" t="str">
        <f>IFERROR(__xludf.DUMMYFUNCTION("""COMPUTED_VALUE"""),"")</f>
        <v/>
      </c>
      <c r="U13136" s="16" t="s">
        <v>87</v>
      </c>
      <c r="V13136" s="16" t="str">
        <f>IFERROR(__xludf.DUMMYFUNCTION("""COMPUTED_VALUE"""),"")</f>
        <v/>
      </c>
      <c r="W13136" s="16" t="str">
        <f>IFERROR(__xludf.DUMMYFUNCTION("""COMPUTED_VALUE"""),"")</f>
        <v/>
      </c>
      <c r="X13136" s="16" t="str">
        <f>IFERROR(__xludf.DUMMYFUNCTION("""COMPUTED_VALUE"""),"")</f>
        <v/>
      </c>
      <c r="AC13136" s="16" t="str">
        <f>IFERROR(__xludf.DUMMYFUNCTION("""COMPUTED_VALUE"""),"")</f>
        <v/>
      </c>
    </row>
    <row r="13137">
      <c r="A13137" s="16" t="s">
        <v>87</v>
      </c>
      <c r="E13137" s="16" t="str">
        <f>IFERROR(__xludf.DUMMYFUNCTION("""COMPUTED_VALUE"""),"")</f>
        <v/>
      </c>
      <c r="G13137" s="18"/>
      <c r="H13137" s="16" t="s">
        <v>87</v>
      </c>
      <c r="I13137" s="16" t="s">
        <v>87</v>
      </c>
      <c r="J13137" s="19"/>
      <c r="L13137" s="16" t="str">
        <f>IFERROR(__xludf.DUMMYFUNCTION("""COMPUTED_VALUE"""),"")</f>
        <v/>
      </c>
      <c r="M13137" s="16" t="str">
        <f>IFERROR(__xludf.DUMMYFUNCTION("""COMPUTED_VALUE"""),"")</f>
        <v/>
      </c>
      <c r="U13137" s="16" t="s">
        <v>87</v>
      </c>
      <c r="V13137" s="16" t="str">
        <f>IFERROR(__xludf.DUMMYFUNCTION("""COMPUTED_VALUE"""),"")</f>
        <v/>
      </c>
      <c r="W13137" s="16" t="str">
        <f>IFERROR(__xludf.DUMMYFUNCTION("""COMPUTED_VALUE"""),"")</f>
        <v/>
      </c>
      <c r="X13137" s="16" t="str">
        <f>IFERROR(__xludf.DUMMYFUNCTION("""COMPUTED_VALUE"""),"")</f>
        <v/>
      </c>
      <c r="AC13137" s="16" t="str">
        <f>IFERROR(__xludf.DUMMYFUNCTION("""COMPUTED_VALUE"""),"")</f>
        <v/>
      </c>
    </row>
    <row r="13138">
      <c r="A13138" s="16" t="s">
        <v>87</v>
      </c>
      <c r="E13138" s="16" t="str">
        <f>IFERROR(__xludf.DUMMYFUNCTION("""COMPUTED_VALUE"""),"")</f>
        <v/>
      </c>
      <c r="G13138" s="18"/>
      <c r="H13138" s="16" t="s">
        <v>87</v>
      </c>
      <c r="I13138" s="16" t="s">
        <v>87</v>
      </c>
      <c r="J13138" s="19"/>
      <c r="L13138" s="16" t="str">
        <f>IFERROR(__xludf.DUMMYFUNCTION("""COMPUTED_VALUE"""),"")</f>
        <v/>
      </c>
      <c r="M13138" s="16" t="str">
        <f>IFERROR(__xludf.DUMMYFUNCTION("""COMPUTED_VALUE"""),"")</f>
        <v/>
      </c>
      <c r="U13138" s="16" t="s">
        <v>87</v>
      </c>
      <c r="V13138" s="16" t="str">
        <f>IFERROR(__xludf.DUMMYFUNCTION("""COMPUTED_VALUE"""),"")</f>
        <v/>
      </c>
      <c r="W13138" s="16" t="str">
        <f>IFERROR(__xludf.DUMMYFUNCTION("""COMPUTED_VALUE"""),"")</f>
        <v/>
      </c>
      <c r="X13138" s="16" t="str">
        <f>IFERROR(__xludf.DUMMYFUNCTION("""COMPUTED_VALUE"""),"")</f>
        <v/>
      </c>
      <c r="AC13138" s="16" t="str">
        <f>IFERROR(__xludf.DUMMYFUNCTION("""COMPUTED_VALUE"""),"")</f>
        <v/>
      </c>
    </row>
    <row r="13139">
      <c r="A13139" s="16" t="s">
        <v>87</v>
      </c>
      <c r="E13139" s="16" t="str">
        <f>IFERROR(__xludf.DUMMYFUNCTION("""COMPUTED_VALUE"""),"")</f>
        <v/>
      </c>
      <c r="G13139" s="18"/>
      <c r="H13139" s="16" t="s">
        <v>87</v>
      </c>
      <c r="I13139" s="16" t="s">
        <v>87</v>
      </c>
      <c r="J13139" s="19"/>
      <c r="L13139" s="16" t="str">
        <f>IFERROR(__xludf.DUMMYFUNCTION("""COMPUTED_VALUE"""),"")</f>
        <v/>
      </c>
      <c r="M13139" s="16" t="str">
        <f>IFERROR(__xludf.DUMMYFUNCTION("""COMPUTED_VALUE"""),"")</f>
        <v/>
      </c>
      <c r="U13139" s="16" t="s">
        <v>87</v>
      </c>
      <c r="V13139" s="16" t="str">
        <f>IFERROR(__xludf.DUMMYFUNCTION("""COMPUTED_VALUE"""),"")</f>
        <v/>
      </c>
      <c r="W13139" s="16" t="str">
        <f>IFERROR(__xludf.DUMMYFUNCTION("""COMPUTED_VALUE"""),"")</f>
        <v/>
      </c>
      <c r="X13139" s="16" t="str">
        <f>IFERROR(__xludf.DUMMYFUNCTION("""COMPUTED_VALUE"""),"")</f>
        <v/>
      </c>
      <c r="AC13139" s="16" t="str">
        <f>IFERROR(__xludf.DUMMYFUNCTION("""COMPUTED_VALUE"""),"")</f>
        <v/>
      </c>
    </row>
    <row r="13140">
      <c r="A13140" s="16" t="s">
        <v>87</v>
      </c>
      <c r="E13140" s="16" t="str">
        <f>IFERROR(__xludf.DUMMYFUNCTION("""COMPUTED_VALUE"""),"")</f>
        <v/>
      </c>
      <c r="G13140" s="18"/>
      <c r="H13140" s="16" t="s">
        <v>87</v>
      </c>
      <c r="I13140" s="16" t="s">
        <v>87</v>
      </c>
      <c r="J13140" s="19"/>
      <c r="L13140" s="16" t="str">
        <f>IFERROR(__xludf.DUMMYFUNCTION("""COMPUTED_VALUE"""),"")</f>
        <v/>
      </c>
      <c r="M13140" s="16" t="str">
        <f>IFERROR(__xludf.DUMMYFUNCTION("""COMPUTED_VALUE"""),"")</f>
        <v/>
      </c>
      <c r="U13140" s="16" t="s">
        <v>87</v>
      </c>
      <c r="V13140" s="16" t="str">
        <f>IFERROR(__xludf.DUMMYFUNCTION("""COMPUTED_VALUE"""),"")</f>
        <v/>
      </c>
      <c r="W13140" s="16" t="str">
        <f>IFERROR(__xludf.DUMMYFUNCTION("""COMPUTED_VALUE"""),"")</f>
        <v/>
      </c>
      <c r="X13140" s="16" t="str">
        <f>IFERROR(__xludf.DUMMYFUNCTION("""COMPUTED_VALUE"""),"")</f>
        <v/>
      </c>
      <c r="AC13140" s="16" t="str">
        <f>IFERROR(__xludf.DUMMYFUNCTION("""COMPUTED_VALUE"""),"")</f>
        <v/>
      </c>
    </row>
    <row r="13141">
      <c r="A13141" s="16" t="s">
        <v>87</v>
      </c>
      <c r="E13141" s="16" t="str">
        <f>IFERROR(__xludf.DUMMYFUNCTION("""COMPUTED_VALUE"""),"")</f>
        <v/>
      </c>
      <c r="G13141" s="18"/>
      <c r="H13141" s="16" t="s">
        <v>87</v>
      </c>
      <c r="I13141" s="16" t="s">
        <v>87</v>
      </c>
      <c r="J13141" s="19"/>
      <c r="L13141" s="16" t="str">
        <f>IFERROR(__xludf.DUMMYFUNCTION("""COMPUTED_VALUE"""),"")</f>
        <v/>
      </c>
      <c r="M13141" s="16" t="str">
        <f>IFERROR(__xludf.DUMMYFUNCTION("""COMPUTED_VALUE"""),"")</f>
        <v/>
      </c>
      <c r="U13141" s="16" t="s">
        <v>87</v>
      </c>
      <c r="V13141" s="16" t="str">
        <f>IFERROR(__xludf.DUMMYFUNCTION("""COMPUTED_VALUE"""),"")</f>
        <v/>
      </c>
      <c r="W13141" s="16" t="str">
        <f>IFERROR(__xludf.DUMMYFUNCTION("""COMPUTED_VALUE"""),"")</f>
        <v/>
      </c>
      <c r="X13141" s="16" t="str">
        <f>IFERROR(__xludf.DUMMYFUNCTION("""COMPUTED_VALUE"""),"")</f>
        <v/>
      </c>
      <c r="AC13141" s="16" t="str">
        <f>IFERROR(__xludf.DUMMYFUNCTION("""COMPUTED_VALUE"""),"")</f>
        <v/>
      </c>
    </row>
    <row r="13142">
      <c r="A13142" s="16" t="s">
        <v>87</v>
      </c>
      <c r="E13142" s="16" t="str">
        <f>IFERROR(__xludf.DUMMYFUNCTION("""COMPUTED_VALUE"""),"")</f>
        <v/>
      </c>
      <c r="G13142" s="18"/>
      <c r="H13142" s="16" t="s">
        <v>87</v>
      </c>
      <c r="I13142" s="16" t="s">
        <v>87</v>
      </c>
      <c r="J13142" s="19"/>
      <c r="L13142" s="16" t="str">
        <f>IFERROR(__xludf.DUMMYFUNCTION("""COMPUTED_VALUE"""),"")</f>
        <v/>
      </c>
      <c r="M13142" s="16" t="str">
        <f>IFERROR(__xludf.DUMMYFUNCTION("""COMPUTED_VALUE"""),"")</f>
        <v/>
      </c>
      <c r="U13142" s="16" t="s">
        <v>87</v>
      </c>
      <c r="V13142" s="16" t="str">
        <f>IFERROR(__xludf.DUMMYFUNCTION("""COMPUTED_VALUE"""),"")</f>
        <v/>
      </c>
      <c r="W13142" s="16" t="str">
        <f>IFERROR(__xludf.DUMMYFUNCTION("""COMPUTED_VALUE"""),"")</f>
        <v/>
      </c>
      <c r="X13142" s="16" t="str">
        <f>IFERROR(__xludf.DUMMYFUNCTION("""COMPUTED_VALUE"""),"")</f>
        <v/>
      </c>
      <c r="AC13142" s="16" t="str">
        <f>IFERROR(__xludf.DUMMYFUNCTION("""COMPUTED_VALUE"""),"")</f>
        <v/>
      </c>
    </row>
    <row r="13143">
      <c r="A13143" s="16" t="s">
        <v>87</v>
      </c>
      <c r="E13143" s="16" t="str">
        <f>IFERROR(__xludf.DUMMYFUNCTION("""COMPUTED_VALUE"""),"")</f>
        <v/>
      </c>
      <c r="G13143" s="18"/>
      <c r="H13143" s="16" t="s">
        <v>87</v>
      </c>
      <c r="I13143" s="16" t="s">
        <v>87</v>
      </c>
      <c r="J13143" s="19"/>
      <c r="L13143" s="16" t="str">
        <f>IFERROR(__xludf.DUMMYFUNCTION("""COMPUTED_VALUE"""),"")</f>
        <v/>
      </c>
      <c r="M13143" s="16" t="str">
        <f>IFERROR(__xludf.DUMMYFUNCTION("""COMPUTED_VALUE"""),"")</f>
        <v/>
      </c>
      <c r="U13143" s="16" t="s">
        <v>87</v>
      </c>
      <c r="V13143" s="16" t="str">
        <f>IFERROR(__xludf.DUMMYFUNCTION("""COMPUTED_VALUE"""),"")</f>
        <v/>
      </c>
      <c r="W13143" s="16" t="str">
        <f>IFERROR(__xludf.DUMMYFUNCTION("""COMPUTED_VALUE"""),"")</f>
        <v/>
      </c>
      <c r="X13143" s="16" t="str">
        <f>IFERROR(__xludf.DUMMYFUNCTION("""COMPUTED_VALUE"""),"")</f>
        <v/>
      </c>
      <c r="AC13143" s="16" t="str">
        <f>IFERROR(__xludf.DUMMYFUNCTION("""COMPUTED_VALUE"""),"")</f>
        <v/>
      </c>
    </row>
    <row r="13144">
      <c r="A13144" s="16" t="s">
        <v>87</v>
      </c>
      <c r="E13144" s="16" t="str">
        <f>IFERROR(__xludf.DUMMYFUNCTION("""COMPUTED_VALUE"""),"")</f>
        <v/>
      </c>
      <c r="G13144" s="18"/>
      <c r="H13144" s="16" t="s">
        <v>87</v>
      </c>
      <c r="I13144" s="16" t="s">
        <v>87</v>
      </c>
      <c r="J13144" s="19"/>
      <c r="L13144" s="16" t="str">
        <f>IFERROR(__xludf.DUMMYFUNCTION("""COMPUTED_VALUE"""),"")</f>
        <v/>
      </c>
      <c r="M13144" s="16" t="str">
        <f>IFERROR(__xludf.DUMMYFUNCTION("""COMPUTED_VALUE"""),"")</f>
        <v/>
      </c>
      <c r="U13144" s="16" t="s">
        <v>87</v>
      </c>
      <c r="V13144" s="16" t="str">
        <f>IFERROR(__xludf.DUMMYFUNCTION("""COMPUTED_VALUE"""),"")</f>
        <v/>
      </c>
      <c r="W13144" s="16" t="str">
        <f>IFERROR(__xludf.DUMMYFUNCTION("""COMPUTED_VALUE"""),"")</f>
        <v/>
      </c>
      <c r="X13144" s="16" t="str">
        <f>IFERROR(__xludf.DUMMYFUNCTION("""COMPUTED_VALUE"""),"")</f>
        <v/>
      </c>
      <c r="AC13144" s="16" t="str">
        <f>IFERROR(__xludf.DUMMYFUNCTION("""COMPUTED_VALUE"""),"")</f>
        <v/>
      </c>
    </row>
    <row r="13145">
      <c r="A13145" s="16" t="s">
        <v>87</v>
      </c>
      <c r="E13145" s="16" t="str">
        <f>IFERROR(__xludf.DUMMYFUNCTION("""COMPUTED_VALUE"""),"")</f>
        <v/>
      </c>
      <c r="G13145" s="18"/>
      <c r="H13145" s="16" t="s">
        <v>87</v>
      </c>
      <c r="I13145" s="16" t="s">
        <v>87</v>
      </c>
      <c r="J13145" s="19"/>
      <c r="L13145" s="16" t="str">
        <f>IFERROR(__xludf.DUMMYFUNCTION("""COMPUTED_VALUE"""),"")</f>
        <v/>
      </c>
      <c r="M13145" s="16" t="str">
        <f>IFERROR(__xludf.DUMMYFUNCTION("""COMPUTED_VALUE"""),"")</f>
        <v/>
      </c>
      <c r="U13145" s="16" t="s">
        <v>87</v>
      </c>
      <c r="V13145" s="16" t="str">
        <f>IFERROR(__xludf.DUMMYFUNCTION("""COMPUTED_VALUE"""),"")</f>
        <v/>
      </c>
      <c r="W13145" s="16" t="str">
        <f>IFERROR(__xludf.DUMMYFUNCTION("""COMPUTED_VALUE"""),"")</f>
        <v/>
      </c>
      <c r="X13145" s="16" t="str">
        <f>IFERROR(__xludf.DUMMYFUNCTION("""COMPUTED_VALUE"""),"")</f>
        <v/>
      </c>
      <c r="AC13145" s="16" t="str">
        <f>IFERROR(__xludf.DUMMYFUNCTION("""COMPUTED_VALUE"""),"")</f>
        <v/>
      </c>
    </row>
    <row r="13146">
      <c r="A13146" s="16" t="s">
        <v>87</v>
      </c>
      <c r="E13146" s="16" t="str">
        <f>IFERROR(__xludf.DUMMYFUNCTION("""COMPUTED_VALUE"""),"")</f>
        <v/>
      </c>
      <c r="G13146" s="18"/>
      <c r="H13146" s="16" t="s">
        <v>87</v>
      </c>
      <c r="I13146" s="16" t="s">
        <v>87</v>
      </c>
      <c r="J13146" s="19"/>
      <c r="L13146" s="16" t="str">
        <f>IFERROR(__xludf.DUMMYFUNCTION("""COMPUTED_VALUE"""),"")</f>
        <v/>
      </c>
      <c r="M13146" s="16" t="str">
        <f>IFERROR(__xludf.DUMMYFUNCTION("""COMPUTED_VALUE"""),"")</f>
        <v/>
      </c>
      <c r="U13146" s="16" t="s">
        <v>87</v>
      </c>
      <c r="V13146" s="16" t="str">
        <f>IFERROR(__xludf.DUMMYFUNCTION("""COMPUTED_VALUE"""),"")</f>
        <v/>
      </c>
      <c r="W13146" s="16" t="str">
        <f>IFERROR(__xludf.DUMMYFUNCTION("""COMPUTED_VALUE"""),"")</f>
        <v/>
      </c>
      <c r="X13146" s="16" t="str">
        <f>IFERROR(__xludf.DUMMYFUNCTION("""COMPUTED_VALUE"""),"")</f>
        <v/>
      </c>
      <c r="AC13146" s="16" t="str">
        <f>IFERROR(__xludf.DUMMYFUNCTION("""COMPUTED_VALUE"""),"")</f>
        <v/>
      </c>
    </row>
    <row r="13147">
      <c r="A13147" s="16" t="s">
        <v>87</v>
      </c>
      <c r="E13147" s="16" t="str">
        <f>IFERROR(__xludf.DUMMYFUNCTION("""COMPUTED_VALUE"""),"")</f>
        <v/>
      </c>
      <c r="G13147" s="18"/>
      <c r="H13147" s="16" t="s">
        <v>87</v>
      </c>
      <c r="I13147" s="16" t="s">
        <v>87</v>
      </c>
      <c r="J13147" s="19"/>
      <c r="L13147" s="16" t="str">
        <f>IFERROR(__xludf.DUMMYFUNCTION("""COMPUTED_VALUE"""),"")</f>
        <v/>
      </c>
      <c r="M13147" s="16" t="str">
        <f>IFERROR(__xludf.DUMMYFUNCTION("""COMPUTED_VALUE"""),"")</f>
        <v/>
      </c>
      <c r="U13147" s="16" t="s">
        <v>87</v>
      </c>
      <c r="V13147" s="16" t="str">
        <f>IFERROR(__xludf.DUMMYFUNCTION("""COMPUTED_VALUE"""),"")</f>
        <v/>
      </c>
      <c r="W13147" s="16" t="str">
        <f>IFERROR(__xludf.DUMMYFUNCTION("""COMPUTED_VALUE"""),"")</f>
        <v/>
      </c>
      <c r="X13147" s="16" t="str">
        <f>IFERROR(__xludf.DUMMYFUNCTION("""COMPUTED_VALUE"""),"")</f>
        <v/>
      </c>
      <c r="AC13147" s="16" t="str">
        <f>IFERROR(__xludf.DUMMYFUNCTION("""COMPUTED_VALUE"""),"")</f>
        <v/>
      </c>
    </row>
    <row r="13148">
      <c r="A13148" s="16" t="s">
        <v>87</v>
      </c>
      <c r="E13148" s="16" t="str">
        <f>IFERROR(__xludf.DUMMYFUNCTION("""COMPUTED_VALUE"""),"")</f>
        <v/>
      </c>
      <c r="G13148" s="18"/>
      <c r="H13148" s="16" t="s">
        <v>87</v>
      </c>
      <c r="I13148" s="16" t="s">
        <v>87</v>
      </c>
      <c r="J13148" s="19"/>
      <c r="L13148" s="16" t="str">
        <f>IFERROR(__xludf.DUMMYFUNCTION("""COMPUTED_VALUE"""),"")</f>
        <v/>
      </c>
      <c r="M13148" s="16" t="str">
        <f>IFERROR(__xludf.DUMMYFUNCTION("""COMPUTED_VALUE"""),"")</f>
        <v/>
      </c>
      <c r="U13148" s="16" t="s">
        <v>87</v>
      </c>
      <c r="V13148" s="16" t="str">
        <f>IFERROR(__xludf.DUMMYFUNCTION("""COMPUTED_VALUE"""),"")</f>
        <v/>
      </c>
      <c r="W13148" s="16" t="str">
        <f>IFERROR(__xludf.DUMMYFUNCTION("""COMPUTED_VALUE"""),"")</f>
        <v/>
      </c>
      <c r="X13148" s="16" t="str">
        <f>IFERROR(__xludf.DUMMYFUNCTION("""COMPUTED_VALUE"""),"")</f>
        <v/>
      </c>
      <c r="AC13148" s="16" t="str">
        <f>IFERROR(__xludf.DUMMYFUNCTION("""COMPUTED_VALUE"""),"")</f>
        <v/>
      </c>
    </row>
    <row r="13149">
      <c r="A13149" s="16" t="s">
        <v>87</v>
      </c>
      <c r="E13149" s="16" t="str">
        <f>IFERROR(__xludf.DUMMYFUNCTION("""COMPUTED_VALUE"""),"")</f>
        <v/>
      </c>
      <c r="G13149" s="18"/>
      <c r="H13149" s="16" t="s">
        <v>87</v>
      </c>
      <c r="I13149" s="16" t="s">
        <v>87</v>
      </c>
      <c r="J13149" s="19"/>
      <c r="L13149" s="16" t="str">
        <f>IFERROR(__xludf.DUMMYFUNCTION("""COMPUTED_VALUE"""),"")</f>
        <v/>
      </c>
      <c r="M13149" s="16" t="str">
        <f>IFERROR(__xludf.DUMMYFUNCTION("""COMPUTED_VALUE"""),"")</f>
        <v/>
      </c>
      <c r="U13149" s="16" t="s">
        <v>87</v>
      </c>
      <c r="V13149" s="16" t="str">
        <f>IFERROR(__xludf.DUMMYFUNCTION("""COMPUTED_VALUE"""),"")</f>
        <v/>
      </c>
      <c r="W13149" s="16" t="str">
        <f>IFERROR(__xludf.DUMMYFUNCTION("""COMPUTED_VALUE"""),"")</f>
        <v/>
      </c>
      <c r="X13149" s="16" t="str">
        <f>IFERROR(__xludf.DUMMYFUNCTION("""COMPUTED_VALUE"""),"")</f>
        <v/>
      </c>
      <c r="AC13149" s="16" t="str">
        <f>IFERROR(__xludf.DUMMYFUNCTION("""COMPUTED_VALUE"""),"")</f>
        <v/>
      </c>
    </row>
    <row r="13150">
      <c r="A13150" s="16" t="s">
        <v>87</v>
      </c>
      <c r="E13150" s="16" t="str">
        <f>IFERROR(__xludf.DUMMYFUNCTION("""COMPUTED_VALUE"""),"")</f>
        <v/>
      </c>
      <c r="G13150" s="18"/>
      <c r="H13150" s="16" t="s">
        <v>87</v>
      </c>
      <c r="I13150" s="16" t="s">
        <v>87</v>
      </c>
      <c r="J13150" s="19"/>
      <c r="L13150" s="16" t="str">
        <f>IFERROR(__xludf.DUMMYFUNCTION("""COMPUTED_VALUE"""),"")</f>
        <v/>
      </c>
      <c r="M13150" s="16" t="str">
        <f>IFERROR(__xludf.DUMMYFUNCTION("""COMPUTED_VALUE"""),"")</f>
        <v/>
      </c>
      <c r="U13150" s="16" t="s">
        <v>87</v>
      </c>
      <c r="V13150" s="16" t="str">
        <f>IFERROR(__xludf.DUMMYFUNCTION("""COMPUTED_VALUE"""),"")</f>
        <v/>
      </c>
      <c r="W13150" s="16" t="str">
        <f>IFERROR(__xludf.DUMMYFUNCTION("""COMPUTED_VALUE"""),"")</f>
        <v/>
      </c>
      <c r="X13150" s="16" t="str">
        <f>IFERROR(__xludf.DUMMYFUNCTION("""COMPUTED_VALUE"""),"")</f>
        <v/>
      </c>
      <c r="AC13150" s="16" t="str">
        <f>IFERROR(__xludf.DUMMYFUNCTION("""COMPUTED_VALUE"""),"")</f>
        <v/>
      </c>
    </row>
    <row r="13151">
      <c r="A13151" s="16" t="s">
        <v>87</v>
      </c>
      <c r="E13151" s="16" t="str">
        <f>IFERROR(__xludf.DUMMYFUNCTION("""COMPUTED_VALUE"""),"")</f>
        <v/>
      </c>
      <c r="G13151" s="18"/>
      <c r="H13151" s="16" t="s">
        <v>87</v>
      </c>
      <c r="I13151" s="16" t="s">
        <v>87</v>
      </c>
      <c r="J13151" s="19"/>
      <c r="L13151" s="16" t="str">
        <f>IFERROR(__xludf.DUMMYFUNCTION("""COMPUTED_VALUE"""),"")</f>
        <v/>
      </c>
      <c r="M13151" s="16" t="str">
        <f>IFERROR(__xludf.DUMMYFUNCTION("""COMPUTED_VALUE"""),"")</f>
        <v/>
      </c>
      <c r="U13151" s="16" t="s">
        <v>87</v>
      </c>
      <c r="V13151" s="16" t="str">
        <f>IFERROR(__xludf.DUMMYFUNCTION("""COMPUTED_VALUE"""),"")</f>
        <v/>
      </c>
      <c r="W13151" s="16" t="str">
        <f>IFERROR(__xludf.DUMMYFUNCTION("""COMPUTED_VALUE"""),"")</f>
        <v/>
      </c>
      <c r="X13151" s="16" t="str">
        <f>IFERROR(__xludf.DUMMYFUNCTION("""COMPUTED_VALUE"""),"")</f>
        <v/>
      </c>
      <c r="AC13151" s="16" t="str">
        <f>IFERROR(__xludf.DUMMYFUNCTION("""COMPUTED_VALUE"""),"")</f>
        <v/>
      </c>
    </row>
    <row r="13152">
      <c r="A13152" s="16" t="s">
        <v>87</v>
      </c>
      <c r="E13152" s="16" t="str">
        <f>IFERROR(__xludf.DUMMYFUNCTION("""COMPUTED_VALUE"""),"")</f>
        <v/>
      </c>
      <c r="G13152" s="18"/>
      <c r="H13152" s="16" t="s">
        <v>87</v>
      </c>
      <c r="I13152" s="16" t="s">
        <v>87</v>
      </c>
      <c r="J13152" s="19"/>
      <c r="L13152" s="16" t="str">
        <f>IFERROR(__xludf.DUMMYFUNCTION("""COMPUTED_VALUE"""),"")</f>
        <v/>
      </c>
      <c r="M13152" s="16" t="str">
        <f>IFERROR(__xludf.DUMMYFUNCTION("""COMPUTED_VALUE"""),"")</f>
        <v/>
      </c>
      <c r="U13152" s="16" t="s">
        <v>87</v>
      </c>
      <c r="V13152" s="16" t="str">
        <f>IFERROR(__xludf.DUMMYFUNCTION("""COMPUTED_VALUE"""),"")</f>
        <v/>
      </c>
      <c r="W13152" s="16" t="str">
        <f>IFERROR(__xludf.DUMMYFUNCTION("""COMPUTED_VALUE"""),"")</f>
        <v/>
      </c>
      <c r="X13152" s="16" t="str">
        <f>IFERROR(__xludf.DUMMYFUNCTION("""COMPUTED_VALUE"""),"")</f>
        <v/>
      </c>
      <c r="AC13152" s="16" t="str">
        <f>IFERROR(__xludf.DUMMYFUNCTION("""COMPUTED_VALUE"""),"")</f>
        <v/>
      </c>
    </row>
    <row r="13153">
      <c r="A13153" s="16" t="s">
        <v>87</v>
      </c>
      <c r="E13153" s="16" t="str">
        <f>IFERROR(__xludf.DUMMYFUNCTION("""COMPUTED_VALUE"""),"")</f>
        <v/>
      </c>
      <c r="G13153" s="18"/>
      <c r="H13153" s="16" t="s">
        <v>87</v>
      </c>
      <c r="I13153" s="16" t="s">
        <v>87</v>
      </c>
      <c r="J13153" s="19"/>
      <c r="L13153" s="16" t="str">
        <f>IFERROR(__xludf.DUMMYFUNCTION("""COMPUTED_VALUE"""),"")</f>
        <v/>
      </c>
      <c r="M13153" s="16" t="str">
        <f>IFERROR(__xludf.DUMMYFUNCTION("""COMPUTED_VALUE"""),"")</f>
        <v/>
      </c>
      <c r="U13153" s="16" t="s">
        <v>87</v>
      </c>
      <c r="V13153" s="16" t="str">
        <f>IFERROR(__xludf.DUMMYFUNCTION("""COMPUTED_VALUE"""),"")</f>
        <v/>
      </c>
      <c r="W13153" s="16" t="str">
        <f>IFERROR(__xludf.DUMMYFUNCTION("""COMPUTED_VALUE"""),"")</f>
        <v/>
      </c>
      <c r="X13153" s="16" t="str">
        <f>IFERROR(__xludf.DUMMYFUNCTION("""COMPUTED_VALUE"""),"")</f>
        <v/>
      </c>
      <c r="AC13153" s="16" t="str">
        <f>IFERROR(__xludf.DUMMYFUNCTION("""COMPUTED_VALUE"""),"")</f>
        <v/>
      </c>
    </row>
    <row r="13154">
      <c r="A13154" s="16" t="s">
        <v>87</v>
      </c>
      <c r="E13154" s="16" t="str">
        <f>IFERROR(__xludf.DUMMYFUNCTION("""COMPUTED_VALUE"""),"")</f>
        <v/>
      </c>
      <c r="G13154" s="18"/>
      <c r="H13154" s="16" t="s">
        <v>87</v>
      </c>
      <c r="I13154" s="16" t="s">
        <v>87</v>
      </c>
      <c r="J13154" s="19"/>
      <c r="L13154" s="16" t="str">
        <f>IFERROR(__xludf.DUMMYFUNCTION("""COMPUTED_VALUE"""),"")</f>
        <v/>
      </c>
      <c r="M13154" s="16" t="str">
        <f>IFERROR(__xludf.DUMMYFUNCTION("""COMPUTED_VALUE"""),"")</f>
        <v/>
      </c>
      <c r="U13154" s="16" t="s">
        <v>87</v>
      </c>
      <c r="V13154" s="16" t="str">
        <f>IFERROR(__xludf.DUMMYFUNCTION("""COMPUTED_VALUE"""),"")</f>
        <v/>
      </c>
      <c r="W13154" s="16" t="str">
        <f>IFERROR(__xludf.DUMMYFUNCTION("""COMPUTED_VALUE"""),"")</f>
        <v/>
      </c>
      <c r="X13154" s="16" t="str">
        <f>IFERROR(__xludf.DUMMYFUNCTION("""COMPUTED_VALUE"""),"")</f>
        <v/>
      </c>
      <c r="AC13154" s="16" t="str">
        <f>IFERROR(__xludf.DUMMYFUNCTION("""COMPUTED_VALUE"""),"")</f>
        <v/>
      </c>
    </row>
    <row r="13155">
      <c r="A13155" s="16" t="s">
        <v>87</v>
      </c>
      <c r="E13155" s="16" t="str">
        <f>IFERROR(__xludf.DUMMYFUNCTION("""COMPUTED_VALUE"""),"")</f>
        <v/>
      </c>
      <c r="G13155" s="18"/>
      <c r="H13155" s="16" t="s">
        <v>87</v>
      </c>
      <c r="I13155" s="16" t="s">
        <v>87</v>
      </c>
      <c r="J13155" s="19"/>
      <c r="L13155" s="16" t="str">
        <f>IFERROR(__xludf.DUMMYFUNCTION("""COMPUTED_VALUE"""),"")</f>
        <v/>
      </c>
      <c r="M13155" s="16" t="str">
        <f>IFERROR(__xludf.DUMMYFUNCTION("""COMPUTED_VALUE"""),"")</f>
        <v/>
      </c>
      <c r="U13155" s="16" t="s">
        <v>87</v>
      </c>
      <c r="V13155" s="16" t="str">
        <f>IFERROR(__xludf.DUMMYFUNCTION("""COMPUTED_VALUE"""),"")</f>
        <v/>
      </c>
      <c r="W13155" s="16" t="str">
        <f>IFERROR(__xludf.DUMMYFUNCTION("""COMPUTED_VALUE"""),"")</f>
        <v/>
      </c>
      <c r="X13155" s="16" t="str">
        <f>IFERROR(__xludf.DUMMYFUNCTION("""COMPUTED_VALUE"""),"")</f>
        <v/>
      </c>
      <c r="AC13155" s="16" t="str">
        <f>IFERROR(__xludf.DUMMYFUNCTION("""COMPUTED_VALUE"""),"")</f>
        <v/>
      </c>
    </row>
    <row r="13156">
      <c r="A13156" s="16" t="s">
        <v>87</v>
      </c>
      <c r="E13156" s="16" t="str">
        <f>IFERROR(__xludf.DUMMYFUNCTION("""COMPUTED_VALUE"""),"")</f>
        <v/>
      </c>
      <c r="G13156" s="18"/>
      <c r="H13156" s="16" t="s">
        <v>87</v>
      </c>
      <c r="I13156" s="16" t="s">
        <v>87</v>
      </c>
      <c r="J13156" s="19"/>
      <c r="L13156" s="16" t="str">
        <f>IFERROR(__xludf.DUMMYFUNCTION("""COMPUTED_VALUE"""),"")</f>
        <v/>
      </c>
      <c r="M13156" s="16" t="str">
        <f>IFERROR(__xludf.DUMMYFUNCTION("""COMPUTED_VALUE"""),"")</f>
        <v/>
      </c>
      <c r="U13156" s="16" t="s">
        <v>87</v>
      </c>
      <c r="V13156" s="16" t="str">
        <f>IFERROR(__xludf.DUMMYFUNCTION("""COMPUTED_VALUE"""),"")</f>
        <v/>
      </c>
      <c r="W13156" s="16" t="str">
        <f>IFERROR(__xludf.DUMMYFUNCTION("""COMPUTED_VALUE"""),"")</f>
        <v/>
      </c>
      <c r="X13156" s="16" t="str">
        <f>IFERROR(__xludf.DUMMYFUNCTION("""COMPUTED_VALUE"""),"")</f>
        <v/>
      </c>
      <c r="AC13156" s="16" t="str">
        <f>IFERROR(__xludf.DUMMYFUNCTION("""COMPUTED_VALUE"""),"")</f>
        <v/>
      </c>
    </row>
    <row r="13157">
      <c r="A13157" s="16" t="s">
        <v>87</v>
      </c>
      <c r="E13157" s="16" t="str">
        <f>IFERROR(__xludf.DUMMYFUNCTION("""COMPUTED_VALUE"""),"")</f>
        <v/>
      </c>
      <c r="G13157" s="18"/>
      <c r="H13157" s="16" t="s">
        <v>87</v>
      </c>
      <c r="I13157" s="16" t="s">
        <v>87</v>
      </c>
      <c r="J13157" s="19"/>
      <c r="L13157" s="16" t="str">
        <f>IFERROR(__xludf.DUMMYFUNCTION("""COMPUTED_VALUE"""),"")</f>
        <v/>
      </c>
      <c r="M13157" s="16" t="str">
        <f>IFERROR(__xludf.DUMMYFUNCTION("""COMPUTED_VALUE"""),"")</f>
        <v/>
      </c>
      <c r="U13157" s="16" t="s">
        <v>87</v>
      </c>
      <c r="V13157" s="16" t="str">
        <f>IFERROR(__xludf.DUMMYFUNCTION("""COMPUTED_VALUE"""),"")</f>
        <v/>
      </c>
      <c r="W13157" s="16" t="str">
        <f>IFERROR(__xludf.DUMMYFUNCTION("""COMPUTED_VALUE"""),"")</f>
        <v/>
      </c>
      <c r="X13157" s="16" t="str">
        <f>IFERROR(__xludf.DUMMYFUNCTION("""COMPUTED_VALUE"""),"")</f>
        <v/>
      </c>
      <c r="AC13157" s="16" t="str">
        <f>IFERROR(__xludf.DUMMYFUNCTION("""COMPUTED_VALUE"""),"")</f>
        <v/>
      </c>
    </row>
    <row r="13158">
      <c r="A13158" s="16" t="s">
        <v>87</v>
      </c>
      <c r="E13158" s="16" t="str">
        <f>IFERROR(__xludf.DUMMYFUNCTION("""COMPUTED_VALUE"""),"")</f>
        <v/>
      </c>
      <c r="G13158" s="18"/>
      <c r="H13158" s="16" t="s">
        <v>87</v>
      </c>
      <c r="I13158" s="16" t="s">
        <v>87</v>
      </c>
      <c r="J13158" s="19"/>
      <c r="L13158" s="16" t="str">
        <f>IFERROR(__xludf.DUMMYFUNCTION("""COMPUTED_VALUE"""),"")</f>
        <v/>
      </c>
      <c r="M13158" s="16" t="str">
        <f>IFERROR(__xludf.DUMMYFUNCTION("""COMPUTED_VALUE"""),"")</f>
        <v/>
      </c>
      <c r="U13158" s="16" t="s">
        <v>87</v>
      </c>
      <c r="V13158" s="16" t="str">
        <f>IFERROR(__xludf.DUMMYFUNCTION("""COMPUTED_VALUE"""),"")</f>
        <v/>
      </c>
      <c r="W13158" s="16" t="str">
        <f>IFERROR(__xludf.DUMMYFUNCTION("""COMPUTED_VALUE"""),"")</f>
        <v/>
      </c>
      <c r="X13158" s="16" t="str">
        <f>IFERROR(__xludf.DUMMYFUNCTION("""COMPUTED_VALUE"""),"")</f>
        <v/>
      </c>
      <c r="AC13158" s="16" t="str">
        <f>IFERROR(__xludf.DUMMYFUNCTION("""COMPUTED_VALUE"""),"")</f>
        <v/>
      </c>
    </row>
    <row r="13159">
      <c r="A13159" s="16" t="s">
        <v>87</v>
      </c>
      <c r="E13159" s="16" t="str">
        <f>IFERROR(__xludf.DUMMYFUNCTION("""COMPUTED_VALUE"""),"")</f>
        <v/>
      </c>
      <c r="G13159" s="18"/>
      <c r="H13159" s="16" t="s">
        <v>87</v>
      </c>
      <c r="I13159" s="16" t="s">
        <v>87</v>
      </c>
      <c r="J13159" s="19"/>
      <c r="L13159" s="16" t="str">
        <f>IFERROR(__xludf.DUMMYFUNCTION("""COMPUTED_VALUE"""),"")</f>
        <v/>
      </c>
      <c r="M13159" s="16" t="str">
        <f>IFERROR(__xludf.DUMMYFUNCTION("""COMPUTED_VALUE"""),"")</f>
        <v/>
      </c>
      <c r="U13159" s="16" t="s">
        <v>87</v>
      </c>
      <c r="V13159" s="16" t="str">
        <f>IFERROR(__xludf.DUMMYFUNCTION("""COMPUTED_VALUE"""),"")</f>
        <v/>
      </c>
      <c r="W13159" s="16" t="str">
        <f>IFERROR(__xludf.DUMMYFUNCTION("""COMPUTED_VALUE"""),"")</f>
        <v/>
      </c>
      <c r="X13159" s="16" t="str">
        <f>IFERROR(__xludf.DUMMYFUNCTION("""COMPUTED_VALUE"""),"")</f>
        <v/>
      </c>
      <c r="AC13159" s="16" t="str">
        <f>IFERROR(__xludf.DUMMYFUNCTION("""COMPUTED_VALUE"""),"")</f>
        <v/>
      </c>
    </row>
    <row r="13160">
      <c r="A13160" s="16" t="s">
        <v>87</v>
      </c>
      <c r="E13160" s="16" t="str">
        <f>IFERROR(__xludf.DUMMYFUNCTION("""COMPUTED_VALUE"""),"")</f>
        <v/>
      </c>
      <c r="G13160" s="18"/>
      <c r="H13160" s="16" t="s">
        <v>87</v>
      </c>
      <c r="I13160" s="16" t="s">
        <v>87</v>
      </c>
      <c r="J13160" s="19"/>
      <c r="L13160" s="16" t="str">
        <f>IFERROR(__xludf.DUMMYFUNCTION("""COMPUTED_VALUE"""),"")</f>
        <v/>
      </c>
      <c r="M13160" s="16" t="str">
        <f>IFERROR(__xludf.DUMMYFUNCTION("""COMPUTED_VALUE"""),"")</f>
        <v/>
      </c>
      <c r="U13160" s="16" t="s">
        <v>87</v>
      </c>
      <c r="V13160" s="16" t="str">
        <f>IFERROR(__xludf.DUMMYFUNCTION("""COMPUTED_VALUE"""),"")</f>
        <v/>
      </c>
      <c r="W13160" s="16" t="str">
        <f>IFERROR(__xludf.DUMMYFUNCTION("""COMPUTED_VALUE"""),"")</f>
        <v/>
      </c>
      <c r="X13160" s="16" t="str">
        <f>IFERROR(__xludf.DUMMYFUNCTION("""COMPUTED_VALUE"""),"")</f>
        <v/>
      </c>
      <c r="AC13160" s="16" t="str">
        <f>IFERROR(__xludf.DUMMYFUNCTION("""COMPUTED_VALUE"""),"")</f>
        <v/>
      </c>
    </row>
    <row r="13161">
      <c r="A13161" s="16" t="s">
        <v>87</v>
      </c>
      <c r="E13161" s="16" t="str">
        <f>IFERROR(__xludf.DUMMYFUNCTION("""COMPUTED_VALUE"""),"")</f>
        <v/>
      </c>
      <c r="G13161" s="18"/>
      <c r="H13161" s="16" t="s">
        <v>87</v>
      </c>
      <c r="I13161" s="16" t="s">
        <v>87</v>
      </c>
      <c r="J13161" s="19"/>
      <c r="L13161" s="16" t="str">
        <f>IFERROR(__xludf.DUMMYFUNCTION("""COMPUTED_VALUE"""),"")</f>
        <v/>
      </c>
      <c r="M13161" s="16" t="str">
        <f>IFERROR(__xludf.DUMMYFUNCTION("""COMPUTED_VALUE"""),"")</f>
        <v/>
      </c>
      <c r="U13161" s="16" t="s">
        <v>87</v>
      </c>
      <c r="V13161" s="16" t="str">
        <f>IFERROR(__xludf.DUMMYFUNCTION("""COMPUTED_VALUE"""),"")</f>
        <v/>
      </c>
      <c r="W13161" s="16" t="str">
        <f>IFERROR(__xludf.DUMMYFUNCTION("""COMPUTED_VALUE"""),"")</f>
        <v/>
      </c>
      <c r="X13161" s="16" t="str">
        <f>IFERROR(__xludf.DUMMYFUNCTION("""COMPUTED_VALUE"""),"")</f>
        <v/>
      </c>
      <c r="AC13161" s="16" t="str">
        <f>IFERROR(__xludf.DUMMYFUNCTION("""COMPUTED_VALUE"""),"")</f>
        <v/>
      </c>
    </row>
    <row r="13162">
      <c r="A13162" s="16" t="s">
        <v>87</v>
      </c>
      <c r="E13162" s="16" t="str">
        <f>IFERROR(__xludf.DUMMYFUNCTION("""COMPUTED_VALUE"""),"")</f>
        <v/>
      </c>
      <c r="G13162" s="18"/>
      <c r="H13162" s="16" t="s">
        <v>87</v>
      </c>
      <c r="I13162" s="16" t="s">
        <v>87</v>
      </c>
      <c r="J13162" s="19"/>
      <c r="L13162" s="16" t="str">
        <f>IFERROR(__xludf.DUMMYFUNCTION("""COMPUTED_VALUE"""),"")</f>
        <v/>
      </c>
      <c r="M13162" s="16" t="str">
        <f>IFERROR(__xludf.DUMMYFUNCTION("""COMPUTED_VALUE"""),"")</f>
        <v/>
      </c>
      <c r="U13162" s="16" t="s">
        <v>87</v>
      </c>
      <c r="V13162" s="16" t="str">
        <f>IFERROR(__xludf.DUMMYFUNCTION("""COMPUTED_VALUE"""),"")</f>
        <v/>
      </c>
      <c r="W13162" s="16" t="str">
        <f>IFERROR(__xludf.DUMMYFUNCTION("""COMPUTED_VALUE"""),"")</f>
        <v/>
      </c>
      <c r="X13162" s="16" t="str">
        <f>IFERROR(__xludf.DUMMYFUNCTION("""COMPUTED_VALUE"""),"")</f>
        <v/>
      </c>
      <c r="AC13162" s="16" t="str">
        <f>IFERROR(__xludf.DUMMYFUNCTION("""COMPUTED_VALUE"""),"")</f>
        <v/>
      </c>
    </row>
    <row r="13163">
      <c r="A13163" s="16" t="s">
        <v>87</v>
      </c>
      <c r="E13163" s="16" t="str">
        <f>IFERROR(__xludf.DUMMYFUNCTION("""COMPUTED_VALUE"""),"")</f>
        <v/>
      </c>
      <c r="G13163" s="18"/>
      <c r="H13163" s="16" t="s">
        <v>87</v>
      </c>
      <c r="I13163" s="16" t="s">
        <v>87</v>
      </c>
      <c r="J13163" s="19"/>
      <c r="L13163" s="16" t="str">
        <f>IFERROR(__xludf.DUMMYFUNCTION("""COMPUTED_VALUE"""),"")</f>
        <v/>
      </c>
      <c r="M13163" s="16" t="str">
        <f>IFERROR(__xludf.DUMMYFUNCTION("""COMPUTED_VALUE"""),"")</f>
        <v/>
      </c>
      <c r="U13163" s="16" t="s">
        <v>87</v>
      </c>
      <c r="V13163" s="16" t="str">
        <f>IFERROR(__xludf.DUMMYFUNCTION("""COMPUTED_VALUE"""),"")</f>
        <v/>
      </c>
      <c r="W13163" s="16" t="str">
        <f>IFERROR(__xludf.DUMMYFUNCTION("""COMPUTED_VALUE"""),"")</f>
        <v/>
      </c>
      <c r="X13163" s="16" t="str">
        <f>IFERROR(__xludf.DUMMYFUNCTION("""COMPUTED_VALUE"""),"")</f>
        <v/>
      </c>
      <c r="AC13163" s="16" t="str">
        <f>IFERROR(__xludf.DUMMYFUNCTION("""COMPUTED_VALUE"""),"")</f>
        <v/>
      </c>
    </row>
    <row r="13164">
      <c r="A13164" s="16" t="s">
        <v>87</v>
      </c>
      <c r="E13164" s="16" t="str">
        <f>IFERROR(__xludf.DUMMYFUNCTION("""COMPUTED_VALUE"""),"")</f>
        <v/>
      </c>
      <c r="G13164" s="18"/>
      <c r="H13164" s="16" t="s">
        <v>87</v>
      </c>
      <c r="I13164" s="16" t="s">
        <v>87</v>
      </c>
      <c r="J13164" s="19"/>
      <c r="L13164" s="16" t="str">
        <f>IFERROR(__xludf.DUMMYFUNCTION("""COMPUTED_VALUE"""),"")</f>
        <v/>
      </c>
      <c r="M13164" s="16" t="str">
        <f>IFERROR(__xludf.DUMMYFUNCTION("""COMPUTED_VALUE"""),"")</f>
        <v/>
      </c>
      <c r="U13164" s="16" t="s">
        <v>87</v>
      </c>
      <c r="V13164" s="16" t="str">
        <f>IFERROR(__xludf.DUMMYFUNCTION("""COMPUTED_VALUE"""),"")</f>
        <v/>
      </c>
      <c r="W13164" s="16" t="str">
        <f>IFERROR(__xludf.DUMMYFUNCTION("""COMPUTED_VALUE"""),"")</f>
        <v/>
      </c>
      <c r="X13164" s="16" t="str">
        <f>IFERROR(__xludf.DUMMYFUNCTION("""COMPUTED_VALUE"""),"")</f>
        <v/>
      </c>
      <c r="AC13164" s="16" t="str">
        <f>IFERROR(__xludf.DUMMYFUNCTION("""COMPUTED_VALUE"""),"")</f>
        <v/>
      </c>
    </row>
    <row r="13165">
      <c r="A13165" s="16" t="s">
        <v>87</v>
      </c>
      <c r="E13165" s="16" t="str">
        <f>IFERROR(__xludf.DUMMYFUNCTION("""COMPUTED_VALUE"""),"")</f>
        <v/>
      </c>
      <c r="G13165" s="18"/>
      <c r="H13165" s="16" t="s">
        <v>87</v>
      </c>
      <c r="I13165" s="16" t="s">
        <v>87</v>
      </c>
      <c r="J13165" s="19"/>
      <c r="L13165" s="16" t="str">
        <f>IFERROR(__xludf.DUMMYFUNCTION("""COMPUTED_VALUE"""),"")</f>
        <v/>
      </c>
      <c r="M13165" s="16" t="str">
        <f>IFERROR(__xludf.DUMMYFUNCTION("""COMPUTED_VALUE"""),"")</f>
        <v/>
      </c>
      <c r="U13165" s="16" t="s">
        <v>87</v>
      </c>
      <c r="V13165" s="16" t="str">
        <f>IFERROR(__xludf.DUMMYFUNCTION("""COMPUTED_VALUE"""),"")</f>
        <v/>
      </c>
      <c r="W13165" s="16" t="str">
        <f>IFERROR(__xludf.DUMMYFUNCTION("""COMPUTED_VALUE"""),"")</f>
        <v/>
      </c>
      <c r="X13165" s="16" t="str">
        <f>IFERROR(__xludf.DUMMYFUNCTION("""COMPUTED_VALUE"""),"")</f>
        <v/>
      </c>
      <c r="AC13165" s="16" t="str">
        <f>IFERROR(__xludf.DUMMYFUNCTION("""COMPUTED_VALUE"""),"")</f>
        <v/>
      </c>
    </row>
    <row r="13166">
      <c r="A13166" s="16" t="s">
        <v>87</v>
      </c>
      <c r="E13166" s="16" t="str">
        <f>IFERROR(__xludf.DUMMYFUNCTION("""COMPUTED_VALUE"""),"")</f>
        <v/>
      </c>
      <c r="G13166" s="18"/>
      <c r="H13166" s="16" t="s">
        <v>87</v>
      </c>
      <c r="I13166" s="16" t="s">
        <v>87</v>
      </c>
      <c r="J13166" s="19"/>
      <c r="L13166" s="16" t="str">
        <f>IFERROR(__xludf.DUMMYFUNCTION("""COMPUTED_VALUE"""),"")</f>
        <v/>
      </c>
      <c r="M13166" s="16" t="str">
        <f>IFERROR(__xludf.DUMMYFUNCTION("""COMPUTED_VALUE"""),"")</f>
        <v/>
      </c>
      <c r="U13166" s="16" t="s">
        <v>87</v>
      </c>
      <c r="V13166" s="16" t="str">
        <f>IFERROR(__xludf.DUMMYFUNCTION("""COMPUTED_VALUE"""),"")</f>
        <v/>
      </c>
      <c r="W13166" s="16" t="str">
        <f>IFERROR(__xludf.DUMMYFUNCTION("""COMPUTED_VALUE"""),"")</f>
        <v/>
      </c>
      <c r="X13166" s="16" t="str">
        <f>IFERROR(__xludf.DUMMYFUNCTION("""COMPUTED_VALUE"""),"")</f>
        <v/>
      </c>
      <c r="AC13166" s="16" t="str">
        <f>IFERROR(__xludf.DUMMYFUNCTION("""COMPUTED_VALUE"""),"")</f>
        <v/>
      </c>
    </row>
    <row r="13167">
      <c r="A13167" s="16" t="s">
        <v>87</v>
      </c>
      <c r="E13167" s="16" t="str">
        <f>IFERROR(__xludf.DUMMYFUNCTION("""COMPUTED_VALUE"""),"")</f>
        <v/>
      </c>
      <c r="G13167" s="18"/>
      <c r="H13167" s="16" t="s">
        <v>87</v>
      </c>
      <c r="I13167" s="16" t="s">
        <v>87</v>
      </c>
      <c r="J13167" s="19"/>
      <c r="L13167" s="16" t="str">
        <f>IFERROR(__xludf.DUMMYFUNCTION("""COMPUTED_VALUE"""),"")</f>
        <v/>
      </c>
      <c r="M13167" s="16" t="str">
        <f>IFERROR(__xludf.DUMMYFUNCTION("""COMPUTED_VALUE"""),"")</f>
        <v/>
      </c>
      <c r="U13167" s="16" t="s">
        <v>87</v>
      </c>
      <c r="V13167" s="16" t="str">
        <f>IFERROR(__xludf.DUMMYFUNCTION("""COMPUTED_VALUE"""),"")</f>
        <v/>
      </c>
      <c r="W13167" s="16" t="str">
        <f>IFERROR(__xludf.DUMMYFUNCTION("""COMPUTED_VALUE"""),"")</f>
        <v/>
      </c>
      <c r="X13167" s="16" t="str">
        <f>IFERROR(__xludf.DUMMYFUNCTION("""COMPUTED_VALUE"""),"")</f>
        <v/>
      </c>
      <c r="AC13167" s="16" t="str">
        <f>IFERROR(__xludf.DUMMYFUNCTION("""COMPUTED_VALUE"""),"")</f>
        <v/>
      </c>
    </row>
    <row r="13168">
      <c r="A13168" s="16" t="s">
        <v>87</v>
      </c>
      <c r="E13168" s="16" t="str">
        <f>IFERROR(__xludf.DUMMYFUNCTION("""COMPUTED_VALUE"""),"")</f>
        <v/>
      </c>
      <c r="G13168" s="18"/>
      <c r="H13168" s="16" t="s">
        <v>87</v>
      </c>
      <c r="I13168" s="16" t="s">
        <v>87</v>
      </c>
      <c r="J13168" s="19"/>
      <c r="L13168" s="16" t="str">
        <f>IFERROR(__xludf.DUMMYFUNCTION("""COMPUTED_VALUE"""),"")</f>
        <v/>
      </c>
      <c r="M13168" s="16" t="str">
        <f>IFERROR(__xludf.DUMMYFUNCTION("""COMPUTED_VALUE"""),"")</f>
        <v/>
      </c>
      <c r="U13168" s="16" t="s">
        <v>87</v>
      </c>
      <c r="V13168" s="16" t="str">
        <f>IFERROR(__xludf.DUMMYFUNCTION("""COMPUTED_VALUE"""),"")</f>
        <v/>
      </c>
      <c r="W13168" s="16" t="str">
        <f>IFERROR(__xludf.DUMMYFUNCTION("""COMPUTED_VALUE"""),"")</f>
        <v/>
      </c>
      <c r="X13168" s="16" t="str">
        <f>IFERROR(__xludf.DUMMYFUNCTION("""COMPUTED_VALUE"""),"")</f>
        <v/>
      </c>
      <c r="AC13168" s="16" t="str">
        <f>IFERROR(__xludf.DUMMYFUNCTION("""COMPUTED_VALUE"""),"")</f>
        <v/>
      </c>
    </row>
    <row r="13169">
      <c r="A13169" s="16" t="s">
        <v>87</v>
      </c>
      <c r="E13169" s="16" t="str">
        <f>IFERROR(__xludf.DUMMYFUNCTION("""COMPUTED_VALUE"""),"")</f>
        <v/>
      </c>
      <c r="G13169" s="18"/>
      <c r="H13169" s="16" t="s">
        <v>87</v>
      </c>
      <c r="I13169" s="16" t="s">
        <v>87</v>
      </c>
      <c r="J13169" s="19"/>
      <c r="L13169" s="16" t="str">
        <f>IFERROR(__xludf.DUMMYFUNCTION("""COMPUTED_VALUE"""),"")</f>
        <v/>
      </c>
      <c r="M13169" s="16" t="str">
        <f>IFERROR(__xludf.DUMMYFUNCTION("""COMPUTED_VALUE"""),"")</f>
        <v/>
      </c>
      <c r="U13169" s="16" t="s">
        <v>87</v>
      </c>
      <c r="V13169" s="16" t="str">
        <f>IFERROR(__xludf.DUMMYFUNCTION("""COMPUTED_VALUE"""),"")</f>
        <v/>
      </c>
      <c r="W13169" s="16" t="str">
        <f>IFERROR(__xludf.DUMMYFUNCTION("""COMPUTED_VALUE"""),"")</f>
        <v/>
      </c>
      <c r="X13169" s="16" t="str">
        <f>IFERROR(__xludf.DUMMYFUNCTION("""COMPUTED_VALUE"""),"")</f>
        <v/>
      </c>
      <c r="AC13169" s="16" t="str">
        <f>IFERROR(__xludf.DUMMYFUNCTION("""COMPUTED_VALUE"""),"")</f>
        <v/>
      </c>
    </row>
    <row r="13170">
      <c r="A13170" s="16" t="s">
        <v>87</v>
      </c>
      <c r="E13170" s="16" t="str">
        <f>IFERROR(__xludf.DUMMYFUNCTION("""COMPUTED_VALUE"""),"")</f>
        <v/>
      </c>
      <c r="G13170" s="18"/>
      <c r="H13170" s="16" t="s">
        <v>87</v>
      </c>
      <c r="I13170" s="16" t="s">
        <v>87</v>
      </c>
      <c r="J13170" s="19"/>
      <c r="L13170" s="16" t="str">
        <f>IFERROR(__xludf.DUMMYFUNCTION("""COMPUTED_VALUE"""),"")</f>
        <v/>
      </c>
      <c r="M13170" s="16" t="str">
        <f>IFERROR(__xludf.DUMMYFUNCTION("""COMPUTED_VALUE"""),"")</f>
        <v/>
      </c>
      <c r="U13170" s="16" t="s">
        <v>87</v>
      </c>
      <c r="V13170" s="16" t="str">
        <f>IFERROR(__xludf.DUMMYFUNCTION("""COMPUTED_VALUE"""),"")</f>
        <v/>
      </c>
      <c r="W13170" s="16" t="str">
        <f>IFERROR(__xludf.DUMMYFUNCTION("""COMPUTED_VALUE"""),"")</f>
        <v/>
      </c>
      <c r="X13170" s="16" t="str">
        <f>IFERROR(__xludf.DUMMYFUNCTION("""COMPUTED_VALUE"""),"")</f>
        <v/>
      </c>
      <c r="AC13170" s="16" t="str">
        <f>IFERROR(__xludf.DUMMYFUNCTION("""COMPUTED_VALUE"""),"")</f>
        <v/>
      </c>
    </row>
    <row r="13171">
      <c r="A13171" s="16" t="s">
        <v>87</v>
      </c>
      <c r="E13171" s="16" t="str">
        <f>IFERROR(__xludf.DUMMYFUNCTION("""COMPUTED_VALUE"""),"")</f>
        <v/>
      </c>
      <c r="G13171" s="18"/>
      <c r="H13171" s="16" t="s">
        <v>87</v>
      </c>
      <c r="I13171" s="16" t="s">
        <v>87</v>
      </c>
      <c r="J13171" s="19"/>
      <c r="L13171" s="16" t="str">
        <f>IFERROR(__xludf.DUMMYFUNCTION("""COMPUTED_VALUE"""),"")</f>
        <v/>
      </c>
      <c r="M13171" s="16" t="str">
        <f>IFERROR(__xludf.DUMMYFUNCTION("""COMPUTED_VALUE"""),"")</f>
        <v/>
      </c>
      <c r="U13171" s="16" t="s">
        <v>87</v>
      </c>
      <c r="V13171" s="16" t="str">
        <f>IFERROR(__xludf.DUMMYFUNCTION("""COMPUTED_VALUE"""),"")</f>
        <v/>
      </c>
      <c r="W13171" s="16" t="str">
        <f>IFERROR(__xludf.DUMMYFUNCTION("""COMPUTED_VALUE"""),"")</f>
        <v/>
      </c>
      <c r="X13171" s="16" t="str">
        <f>IFERROR(__xludf.DUMMYFUNCTION("""COMPUTED_VALUE"""),"")</f>
        <v/>
      </c>
      <c r="AC13171" s="16" t="str">
        <f>IFERROR(__xludf.DUMMYFUNCTION("""COMPUTED_VALUE"""),"")</f>
        <v/>
      </c>
    </row>
    <row r="13172">
      <c r="A13172" s="16" t="s">
        <v>87</v>
      </c>
      <c r="E13172" s="16" t="str">
        <f>IFERROR(__xludf.DUMMYFUNCTION("""COMPUTED_VALUE"""),"")</f>
        <v/>
      </c>
      <c r="G13172" s="18"/>
      <c r="H13172" s="16" t="s">
        <v>87</v>
      </c>
      <c r="I13172" s="16" t="s">
        <v>87</v>
      </c>
      <c r="J13172" s="19"/>
      <c r="L13172" s="16" t="str">
        <f>IFERROR(__xludf.DUMMYFUNCTION("""COMPUTED_VALUE"""),"")</f>
        <v/>
      </c>
      <c r="M13172" s="16" t="str">
        <f>IFERROR(__xludf.DUMMYFUNCTION("""COMPUTED_VALUE"""),"")</f>
        <v/>
      </c>
      <c r="U13172" s="16" t="s">
        <v>87</v>
      </c>
      <c r="V13172" s="16" t="str">
        <f>IFERROR(__xludf.DUMMYFUNCTION("""COMPUTED_VALUE"""),"")</f>
        <v/>
      </c>
      <c r="W13172" s="16" t="str">
        <f>IFERROR(__xludf.DUMMYFUNCTION("""COMPUTED_VALUE"""),"")</f>
        <v/>
      </c>
      <c r="X13172" s="16" t="str">
        <f>IFERROR(__xludf.DUMMYFUNCTION("""COMPUTED_VALUE"""),"")</f>
        <v/>
      </c>
      <c r="AC13172" s="16" t="str">
        <f>IFERROR(__xludf.DUMMYFUNCTION("""COMPUTED_VALUE"""),"")</f>
        <v/>
      </c>
    </row>
    <row r="13173">
      <c r="A13173" s="16" t="s">
        <v>87</v>
      </c>
      <c r="E13173" s="16" t="str">
        <f>IFERROR(__xludf.DUMMYFUNCTION("""COMPUTED_VALUE"""),"")</f>
        <v/>
      </c>
      <c r="G13173" s="18"/>
      <c r="H13173" s="16" t="s">
        <v>87</v>
      </c>
      <c r="I13173" s="16" t="s">
        <v>87</v>
      </c>
      <c r="J13173" s="19"/>
      <c r="L13173" s="16" t="str">
        <f>IFERROR(__xludf.DUMMYFUNCTION("""COMPUTED_VALUE"""),"")</f>
        <v/>
      </c>
      <c r="M13173" s="16" t="str">
        <f>IFERROR(__xludf.DUMMYFUNCTION("""COMPUTED_VALUE"""),"")</f>
        <v/>
      </c>
      <c r="U13173" s="16" t="s">
        <v>87</v>
      </c>
      <c r="V13173" s="16" t="str">
        <f>IFERROR(__xludf.DUMMYFUNCTION("""COMPUTED_VALUE"""),"")</f>
        <v/>
      </c>
      <c r="W13173" s="16" t="str">
        <f>IFERROR(__xludf.DUMMYFUNCTION("""COMPUTED_VALUE"""),"")</f>
        <v/>
      </c>
      <c r="X13173" s="16" t="str">
        <f>IFERROR(__xludf.DUMMYFUNCTION("""COMPUTED_VALUE"""),"")</f>
        <v/>
      </c>
      <c r="AC13173" s="16" t="str">
        <f>IFERROR(__xludf.DUMMYFUNCTION("""COMPUTED_VALUE"""),"")</f>
        <v/>
      </c>
    </row>
    <row r="13174">
      <c r="A13174" s="16" t="s">
        <v>87</v>
      </c>
      <c r="E13174" s="16" t="str">
        <f>IFERROR(__xludf.DUMMYFUNCTION("""COMPUTED_VALUE"""),"")</f>
        <v/>
      </c>
      <c r="G13174" s="18"/>
      <c r="H13174" s="16" t="s">
        <v>87</v>
      </c>
      <c r="I13174" s="16" t="s">
        <v>87</v>
      </c>
      <c r="J13174" s="19"/>
      <c r="L13174" s="16" t="str">
        <f>IFERROR(__xludf.DUMMYFUNCTION("""COMPUTED_VALUE"""),"")</f>
        <v/>
      </c>
      <c r="M13174" s="16" t="str">
        <f>IFERROR(__xludf.DUMMYFUNCTION("""COMPUTED_VALUE"""),"")</f>
        <v/>
      </c>
      <c r="U13174" s="16" t="s">
        <v>87</v>
      </c>
      <c r="V13174" s="16" t="str">
        <f>IFERROR(__xludf.DUMMYFUNCTION("""COMPUTED_VALUE"""),"")</f>
        <v/>
      </c>
      <c r="W13174" s="16" t="str">
        <f>IFERROR(__xludf.DUMMYFUNCTION("""COMPUTED_VALUE"""),"")</f>
        <v/>
      </c>
      <c r="X13174" s="16" t="str">
        <f>IFERROR(__xludf.DUMMYFUNCTION("""COMPUTED_VALUE"""),"")</f>
        <v/>
      </c>
      <c r="AC13174" s="16" t="str">
        <f>IFERROR(__xludf.DUMMYFUNCTION("""COMPUTED_VALUE"""),"")</f>
        <v/>
      </c>
    </row>
    <row r="13175">
      <c r="A13175" s="16" t="s">
        <v>87</v>
      </c>
      <c r="E13175" s="16" t="str">
        <f>IFERROR(__xludf.DUMMYFUNCTION("""COMPUTED_VALUE"""),"")</f>
        <v/>
      </c>
      <c r="G13175" s="18"/>
      <c r="H13175" s="16" t="s">
        <v>87</v>
      </c>
      <c r="I13175" s="16" t="s">
        <v>87</v>
      </c>
      <c r="J13175" s="19"/>
      <c r="L13175" s="16" t="str">
        <f>IFERROR(__xludf.DUMMYFUNCTION("""COMPUTED_VALUE"""),"")</f>
        <v/>
      </c>
      <c r="M13175" s="16" t="str">
        <f>IFERROR(__xludf.DUMMYFUNCTION("""COMPUTED_VALUE"""),"")</f>
        <v/>
      </c>
      <c r="U13175" s="16" t="s">
        <v>87</v>
      </c>
      <c r="V13175" s="16" t="str">
        <f>IFERROR(__xludf.DUMMYFUNCTION("""COMPUTED_VALUE"""),"")</f>
        <v/>
      </c>
      <c r="W13175" s="16" t="str">
        <f>IFERROR(__xludf.DUMMYFUNCTION("""COMPUTED_VALUE"""),"")</f>
        <v/>
      </c>
      <c r="X13175" s="16" t="str">
        <f>IFERROR(__xludf.DUMMYFUNCTION("""COMPUTED_VALUE"""),"")</f>
        <v/>
      </c>
      <c r="AC13175" s="16" t="str">
        <f>IFERROR(__xludf.DUMMYFUNCTION("""COMPUTED_VALUE"""),"")</f>
        <v/>
      </c>
    </row>
    <row r="13176">
      <c r="A13176" s="16" t="s">
        <v>87</v>
      </c>
      <c r="E13176" s="16" t="str">
        <f>IFERROR(__xludf.DUMMYFUNCTION("""COMPUTED_VALUE"""),"")</f>
        <v/>
      </c>
      <c r="G13176" s="18"/>
      <c r="H13176" s="16" t="s">
        <v>87</v>
      </c>
      <c r="I13176" s="16" t="s">
        <v>87</v>
      </c>
      <c r="J13176" s="19"/>
      <c r="L13176" s="16" t="str">
        <f>IFERROR(__xludf.DUMMYFUNCTION("""COMPUTED_VALUE"""),"")</f>
        <v/>
      </c>
      <c r="M13176" s="16" t="str">
        <f>IFERROR(__xludf.DUMMYFUNCTION("""COMPUTED_VALUE"""),"")</f>
        <v/>
      </c>
      <c r="U13176" s="16" t="s">
        <v>87</v>
      </c>
      <c r="V13176" s="16" t="str">
        <f>IFERROR(__xludf.DUMMYFUNCTION("""COMPUTED_VALUE"""),"")</f>
        <v/>
      </c>
      <c r="W13176" s="16" t="str">
        <f>IFERROR(__xludf.DUMMYFUNCTION("""COMPUTED_VALUE"""),"")</f>
        <v/>
      </c>
      <c r="X13176" s="16" t="str">
        <f>IFERROR(__xludf.DUMMYFUNCTION("""COMPUTED_VALUE"""),"")</f>
        <v/>
      </c>
      <c r="AC13176" s="16" t="str">
        <f>IFERROR(__xludf.DUMMYFUNCTION("""COMPUTED_VALUE"""),"")</f>
        <v/>
      </c>
    </row>
    <row r="13177">
      <c r="A13177" s="16" t="s">
        <v>87</v>
      </c>
      <c r="E13177" s="16" t="str">
        <f>IFERROR(__xludf.DUMMYFUNCTION("""COMPUTED_VALUE"""),"")</f>
        <v/>
      </c>
      <c r="G13177" s="18"/>
      <c r="H13177" s="16" t="s">
        <v>87</v>
      </c>
      <c r="I13177" s="16" t="s">
        <v>87</v>
      </c>
      <c r="J13177" s="19"/>
      <c r="L13177" s="16" t="str">
        <f>IFERROR(__xludf.DUMMYFUNCTION("""COMPUTED_VALUE"""),"")</f>
        <v/>
      </c>
      <c r="M13177" s="16" t="str">
        <f>IFERROR(__xludf.DUMMYFUNCTION("""COMPUTED_VALUE"""),"")</f>
        <v/>
      </c>
      <c r="U13177" s="16" t="s">
        <v>87</v>
      </c>
      <c r="V13177" s="16" t="str">
        <f>IFERROR(__xludf.DUMMYFUNCTION("""COMPUTED_VALUE"""),"")</f>
        <v/>
      </c>
      <c r="W13177" s="16" t="str">
        <f>IFERROR(__xludf.DUMMYFUNCTION("""COMPUTED_VALUE"""),"")</f>
        <v/>
      </c>
      <c r="X13177" s="16" t="str">
        <f>IFERROR(__xludf.DUMMYFUNCTION("""COMPUTED_VALUE"""),"")</f>
        <v/>
      </c>
      <c r="AC13177" s="16" t="str">
        <f>IFERROR(__xludf.DUMMYFUNCTION("""COMPUTED_VALUE"""),"")</f>
        <v/>
      </c>
    </row>
    <row r="13178">
      <c r="A13178" s="16" t="s">
        <v>87</v>
      </c>
      <c r="E13178" s="16" t="str">
        <f>IFERROR(__xludf.DUMMYFUNCTION("""COMPUTED_VALUE"""),"")</f>
        <v/>
      </c>
      <c r="G13178" s="18"/>
      <c r="H13178" s="16" t="s">
        <v>87</v>
      </c>
      <c r="I13178" s="16" t="s">
        <v>87</v>
      </c>
      <c r="J13178" s="19"/>
      <c r="L13178" s="16" t="str">
        <f>IFERROR(__xludf.DUMMYFUNCTION("""COMPUTED_VALUE"""),"")</f>
        <v/>
      </c>
      <c r="M13178" s="16" t="str">
        <f>IFERROR(__xludf.DUMMYFUNCTION("""COMPUTED_VALUE"""),"")</f>
        <v/>
      </c>
      <c r="U13178" s="16" t="s">
        <v>87</v>
      </c>
      <c r="V13178" s="16" t="str">
        <f>IFERROR(__xludf.DUMMYFUNCTION("""COMPUTED_VALUE"""),"")</f>
        <v/>
      </c>
      <c r="W13178" s="16" t="str">
        <f>IFERROR(__xludf.DUMMYFUNCTION("""COMPUTED_VALUE"""),"")</f>
        <v/>
      </c>
      <c r="X13178" s="16" t="str">
        <f>IFERROR(__xludf.DUMMYFUNCTION("""COMPUTED_VALUE"""),"")</f>
        <v/>
      </c>
      <c r="AC13178" s="16" t="str">
        <f>IFERROR(__xludf.DUMMYFUNCTION("""COMPUTED_VALUE"""),"")</f>
        <v/>
      </c>
    </row>
    <row r="13179">
      <c r="A13179" s="16" t="s">
        <v>87</v>
      </c>
      <c r="E13179" s="16" t="str">
        <f>IFERROR(__xludf.DUMMYFUNCTION("""COMPUTED_VALUE"""),"")</f>
        <v/>
      </c>
      <c r="G13179" s="18"/>
      <c r="H13179" s="16" t="s">
        <v>87</v>
      </c>
      <c r="I13179" s="16" t="s">
        <v>87</v>
      </c>
      <c r="J13179" s="19"/>
      <c r="L13179" s="16" t="str">
        <f>IFERROR(__xludf.DUMMYFUNCTION("""COMPUTED_VALUE"""),"")</f>
        <v/>
      </c>
      <c r="M13179" s="16" t="str">
        <f>IFERROR(__xludf.DUMMYFUNCTION("""COMPUTED_VALUE"""),"")</f>
        <v/>
      </c>
      <c r="U13179" s="16" t="s">
        <v>87</v>
      </c>
      <c r="V13179" s="16" t="str">
        <f>IFERROR(__xludf.DUMMYFUNCTION("""COMPUTED_VALUE"""),"")</f>
        <v/>
      </c>
      <c r="W13179" s="16" t="str">
        <f>IFERROR(__xludf.DUMMYFUNCTION("""COMPUTED_VALUE"""),"")</f>
        <v/>
      </c>
      <c r="X13179" s="16" t="str">
        <f>IFERROR(__xludf.DUMMYFUNCTION("""COMPUTED_VALUE"""),"")</f>
        <v/>
      </c>
      <c r="AC13179" s="16" t="str">
        <f>IFERROR(__xludf.DUMMYFUNCTION("""COMPUTED_VALUE"""),"")</f>
        <v/>
      </c>
    </row>
    <row r="13180">
      <c r="A13180" s="16" t="s">
        <v>87</v>
      </c>
      <c r="E13180" s="16" t="str">
        <f>IFERROR(__xludf.DUMMYFUNCTION("""COMPUTED_VALUE"""),"")</f>
        <v/>
      </c>
      <c r="G13180" s="18"/>
      <c r="H13180" s="16" t="s">
        <v>87</v>
      </c>
      <c r="I13180" s="16" t="s">
        <v>87</v>
      </c>
      <c r="J13180" s="19"/>
      <c r="L13180" s="16" t="str">
        <f>IFERROR(__xludf.DUMMYFUNCTION("""COMPUTED_VALUE"""),"")</f>
        <v/>
      </c>
      <c r="M13180" s="16" t="str">
        <f>IFERROR(__xludf.DUMMYFUNCTION("""COMPUTED_VALUE"""),"")</f>
        <v/>
      </c>
      <c r="U13180" s="16" t="s">
        <v>87</v>
      </c>
      <c r="V13180" s="16" t="str">
        <f>IFERROR(__xludf.DUMMYFUNCTION("""COMPUTED_VALUE"""),"")</f>
        <v/>
      </c>
      <c r="W13180" s="16" t="str">
        <f>IFERROR(__xludf.DUMMYFUNCTION("""COMPUTED_VALUE"""),"")</f>
        <v/>
      </c>
      <c r="X13180" s="16" t="str">
        <f>IFERROR(__xludf.DUMMYFUNCTION("""COMPUTED_VALUE"""),"")</f>
        <v/>
      </c>
      <c r="AC13180" s="16" t="str">
        <f>IFERROR(__xludf.DUMMYFUNCTION("""COMPUTED_VALUE"""),"")</f>
        <v/>
      </c>
    </row>
    <row r="13181">
      <c r="A13181" s="16" t="s">
        <v>87</v>
      </c>
      <c r="E13181" s="16" t="str">
        <f>IFERROR(__xludf.DUMMYFUNCTION("""COMPUTED_VALUE"""),"")</f>
        <v/>
      </c>
      <c r="G13181" s="18"/>
      <c r="H13181" s="16" t="s">
        <v>87</v>
      </c>
      <c r="I13181" s="16" t="s">
        <v>87</v>
      </c>
      <c r="J13181" s="19"/>
      <c r="L13181" s="16" t="str">
        <f>IFERROR(__xludf.DUMMYFUNCTION("""COMPUTED_VALUE"""),"")</f>
        <v/>
      </c>
      <c r="M13181" s="16" t="str">
        <f>IFERROR(__xludf.DUMMYFUNCTION("""COMPUTED_VALUE"""),"")</f>
        <v/>
      </c>
      <c r="U13181" s="16" t="s">
        <v>87</v>
      </c>
      <c r="V13181" s="16" t="str">
        <f>IFERROR(__xludf.DUMMYFUNCTION("""COMPUTED_VALUE"""),"")</f>
        <v/>
      </c>
      <c r="W13181" s="16" t="str">
        <f>IFERROR(__xludf.DUMMYFUNCTION("""COMPUTED_VALUE"""),"")</f>
        <v/>
      </c>
      <c r="X13181" s="16" t="str">
        <f>IFERROR(__xludf.DUMMYFUNCTION("""COMPUTED_VALUE"""),"")</f>
        <v/>
      </c>
      <c r="AC13181" s="16" t="str">
        <f>IFERROR(__xludf.DUMMYFUNCTION("""COMPUTED_VALUE"""),"")</f>
        <v/>
      </c>
    </row>
    <row r="13182">
      <c r="A13182" s="16" t="s">
        <v>87</v>
      </c>
      <c r="E13182" s="16" t="str">
        <f>IFERROR(__xludf.DUMMYFUNCTION("""COMPUTED_VALUE"""),"")</f>
        <v/>
      </c>
      <c r="G13182" s="18"/>
      <c r="H13182" s="16" t="s">
        <v>87</v>
      </c>
      <c r="I13182" s="16" t="s">
        <v>87</v>
      </c>
      <c r="J13182" s="19"/>
      <c r="L13182" s="16" t="str">
        <f>IFERROR(__xludf.DUMMYFUNCTION("""COMPUTED_VALUE"""),"")</f>
        <v/>
      </c>
      <c r="M13182" s="16" t="str">
        <f>IFERROR(__xludf.DUMMYFUNCTION("""COMPUTED_VALUE"""),"")</f>
        <v/>
      </c>
      <c r="U13182" s="16" t="s">
        <v>87</v>
      </c>
      <c r="V13182" s="16" t="str">
        <f>IFERROR(__xludf.DUMMYFUNCTION("""COMPUTED_VALUE"""),"")</f>
        <v/>
      </c>
      <c r="W13182" s="16" t="str">
        <f>IFERROR(__xludf.DUMMYFUNCTION("""COMPUTED_VALUE"""),"")</f>
        <v/>
      </c>
      <c r="X13182" s="16" t="str">
        <f>IFERROR(__xludf.DUMMYFUNCTION("""COMPUTED_VALUE"""),"")</f>
        <v/>
      </c>
      <c r="AC13182" s="16" t="str">
        <f>IFERROR(__xludf.DUMMYFUNCTION("""COMPUTED_VALUE"""),"")</f>
        <v/>
      </c>
    </row>
    <row r="13183">
      <c r="A13183" s="16" t="s">
        <v>87</v>
      </c>
      <c r="E13183" s="16" t="str">
        <f>IFERROR(__xludf.DUMMYFUNCTION("""COMPUTED_VALUE"""),"")</f>
        <v/>
      </c>
      <c r="G13183" s="18"/>
      <c r="H13183" s="16" t="s">
        <v>87</v>
      </c>
      <c r="I13183" s="16" t="s">
        <v>87</v>
      </c>
      <c r="J13183" s="19"/>
      <c r="L13183" s="16" t="str">
        <f>IFERROR(__xludf.DUMMYFUNCTION("""COMPUTED_VALUE"""),"")</f>
        <v/>
      </c>
      <c r="M13183" s="16" t="str">
        <f>IFERROR(__xludf.DUMMYFUNCTION("""COMPUTED_VALUE"""),"")</f>
        <v/>
      </c>
      <c r="U13183" s="16" t="s">
        <v>87</v>
      </c>
      <c r="V13183" s="16" t="str">
        <f>IFERROR(__xludf.DUMMYFUNCTION("""COMPUTED_VALUE"""),"")</f>
        <v/>
      </c>
      <c r="W13183" s="16" t="str">
        <f>IFERROR(__xludf.DUMMYFUNCTION("""COMPUTED_VALUE"""),"")</f>
        <v/>
      </c>
      <c r="X13183" s="16" t="str">
        <f>IFERROR(__xludf.DUMMYFUNCTION("""COMPUTED_VALUE"""),"")</f>
        <v/>
      </c>
      <c r="AC13183" s="16" t="str">
        <f>IFERROR(__xludf.DUMMYFUNCTION("""COMPUTED_VALUE"""),"")</f>
        <v/>
      </c>
    </row>
    <row r="13184">
      <c r="A13184" s="16" t="s">
        <v>87</v>
      </c>
      <c r="E13184" s="16" t="str">
        <f>IFERROR(__xludf.DUMMYFUNCTION("""COMPUTED_VALUE"""),"")</f>
        <v/>
      </c>
      <c r="G13184" s="18"/>
      <c r="H13184" s="16" t="s">
        <v>87</v>
      </c>
      <c r="I13184" s="16" t="s">
        <v>87</v>
      </c>
      <c r="J13184" s="19"/>
      <c r="L13184" s="16" t="str">
        <f>IFERROR(__xludf.DUMMYFUNCTION("""COMPUTED_VALUE"""),"")</f>
        <v/>
      </c>
      <c r="M13184" s="16" t="str">
        <f>IFERROR(__xludf.DUMMYFUNCTION("""COMPUTED_VALUE"""),"")</f>
        <v/>
      </c>
      <c r="U13184" s="16" t="s">
        <v>87</v>
      </c>
      <c r="V13184" s="16" t="str">
        <f>IFERROR(__xludf.DUMMYFUNCTION("""COMPUTED_VALUE"""),"")</f>
        <v/>
      </c>
      <c r="W13184" s="16" t="str">
        <f>IFERROR(__xludf.DUMMYFUNCTION("""COMPUTED_VALUE"""),"")</f>
        <v/>
      </c>
      <c r="X13184" s="16" t="str">
        <f>IFERROR(__xludf.DUMMYFUNCTION("""COMPUTED_VALUE"""),"")</f>
        <v/>
      </c>
      <c r="AC13184" s="16" t="str">
        <f>IFERROR(__xludf.DUMMYFUNCTION("""COMPUTED_VALUE"""),"")</f>
        <v/>
      </c>
    </row>
    <row r="13185">
      <c r="A13185" s="16" t="s">
        <v>87</v>
      </c>
      <c r="E13185" s="16" t="str">
        <f>IFERROR(__xludf.DUMMYFUNCTION("""COMPUTED_VALUE"""),"")</f>
        <v/>
      </c>
      <c r="G13185" s="18"/>
      <c r="H13185" s="16" t="s">
        <v>87</v>
      </c>
      <c r="I13185" s="16" t="s">
        <v>87</v>
      </c>
      <c r="J13185" s="19"/>
      <c r="L13185" s="16" t="str">
        <f>IFERROR(__xludf.DUMMYFUNCTION("""COMPUTED_VALUE"""),"")</f>
        <v/>
      </c>
      <c r="M13185" s="16" t="str">
        <f>IFERROR(__xludf.DUMMYFUNCTION("""COMPUTED_VALUE"""),"")</f>
        <v/>
      </c>
      <c r="U13185" s="16" t="s">
        <v>87</v>
      </c>
      <c r="V13185" s="16" t="str">
        <f>IFERROR(__xludf.DUMMYFUNCTION("""COMPUTED_VALUE"""),"")</f>
        <v/>
      </c>
      <c r="W13185" s="16" t="str">
        <f>IFERROR(__xludf.DUMMYFUNCTION("""COMPUTED_VALUE"""),"")</f>
        <v/>
      </c>
      <c r="X13185" s="16" t="str">
        <f>IFERROR(__xludf.DUMMYFUNCTION("""COMPUTED_VALUE"""),"")</f>
        <v/>
      </c>
      <c r="AC13185" s="16" t="str">
        <f>IFERROR(__xludf.DUMMYFUNCTION("""COMPUTED_VALUE"""),"")</f>
        <v/>
      </c>
    </row>
    <row r="13186">
      <c r="A13186" s="16" t="s">
        <v>87</v>
      </c>
      <c r="E13186" s="16" t="str">
        <f>IFERROR(__xludf.DUMMYFUNCTION("""COMPUTED_VALUE"""),"")</f>
        <v/>
      </c>
      <c r="G13186" s="18"/>
      <c r="H13186" s="16" t="s">
        <v>87</v>
      </c>
      <c r="I13186" s="16" t="s">
        <v>87</v>
      </c>
      <c r="J13186" s="19"/>
      <c r="L13186" s="16" t="str">
        <f>IFERROR(__xludf.DUMMYFUNCTION("""COMPUTED_VALUE"""),"")</f>
        <v/>
      </c>
      <c r="M13186" s="16" t="str">
        <f>IFERROR(__xludf.DUMMYFUNCTION("""COMPUTED_VALUE"""),"")</f>
        <v/>
      </c>
      <c r="U13186" s="16" t="s">
        <v>87</v>
      </c>
      <c r="V13186" s="16" t="str">
        <f>IFERROR(__xludf.DUMMYFUNCTION("""COMPUTED_VALUE"""),"")</f>
        <v/>
      </c>
      <c r="W13186" s="16" t="str">
        <f>IFERROR(__xludf.DUMMYFUNCTION("""COMPUTED_VALUE"""),"")</f>
        <v/>
      </c>
      <c r="X13186" s="16" t="str">
        <f>IFERROR(__xludf.DUMMYFUNCTION("""COMPUTED_VALUE"""),"")</f>
        <v/>
      </c>
      <c r="AC13186" s="16" t="str">
        <f>IFERROR(__xludf.DUMMYFUNCTION("""COMPUTED_VALUE"""),"")</f>
        <v/>
      </c>
    </row>
    <row r="13187">
      <c r="A13187" s="16" t="s">
        <v>87</v>
      </c>
      <c r="E13187" s="16" t="str">
        <f>IFERROR(__xludf.DUMMYFUNCTION("""COMPUTED_VALUE"""),"")</f>
        <v/>
      </c>
      <c r="G13187" s="18"/>
      <c r="H13187" s="16" t="s">
        <v>87</v>
      </c>
      <c r="I13187" s="16" t="s">
        <v>87</v>
      </c>
      <c r="J13187" s="19"/>
      <c r="L13187" s="16" t="str">
        <f>IFERROR(__xludf.DUMMYFUNCTION("""COMPUTED_VALUE"""),"")</f>
        <v/>
      </c>
      <c r="M13187" s="16" t="str">
        <f>IFERROR(__xludf.DUMMYFUNCTION("""COMPUTED_VALUE"""),"")</f>
        <v/>
      </c>
      <c r="U13187" s="16" t="s">
        <v>87</v>
      </c>
      <c r="V13187" s="16" t="str">
        <f>IFERROR(__xludf.DUMMYFUNCTION("""COMPUTED_VALUE"""),"")</f>
        <v/>
      </c>
      <c r="W13187" s="16" t="str">
        <f>IFERROR(__xludf.DUMMYFUNCTION("""COMPUTED_VALUE"""),"")</f>
        <v/>
      </c>
      <c r="X13187" s="16" t="str">
        <f>IFERROR(__xludf.DUMMYFUNCTION("""COMPUTED_VALUE"""),"")</f>
        <v/>
      </c>
      <c r="AC13187" s="16" t="str">
        <f>IFERROR(__xludf.DUMMYFUNCTION("""COMPUTED_VALUE"""),"")</f>
        <v/>
      </c>
    </row>
    <row r="13188">
      <c r="A13188" s="16" t="s">
        <v>87</v>
      </c>
      <c r="E13188" s="16" t="str">
        <f>IFERROR(__xludf.DUMMYFUNCTION("""COMPUTED_VALUE"""),"")</f>
        <v/>
      </c>
      <c r="G13188" s="18"/>
      <c r="H13188" s="16" t="s">
        <v>87</v>
      </c>
      <c r="I13188" s="16" t="s">
        <v>87</v>
      </c>
      <c r="J13188" s="19"/>
      <c r="L13188" s="16" t="str">
        <f>IFERROR(__xludf.DUMMYFUNCTION("""COMPUTED_VALUE"""),"")</f>
        <v/>
      </c>
      <c r="M13188" s="16" t="str">
        <f>IFERROR(__xludf.DUMMYFUNCTION("""COMPUTED_VALUE"""),"")</f>
        <v/>
      </c>
      <c r="U13188" s="16" t="s">
        <v>87</v>
      </c>
      <c r="V13188" s="16" t="str">
        <f>IFERROR(__xludf.DUMMYFUNCTION("""COMPUTED_VALUE"""),"")</f>
        <v/>
      </c>
      <c r="W13188" s="16" t="str">
        <f>IFERROR(__xludf.DUMMYFUNCTION("""COMPUTED_VALUE"""),"")</f>
        <v/>
      </c>
      <c r="X13188" s="16" t="str">
        <f>IFERROR(__xludf.DUMMYFUNCTION("""COMPUTED_VALUE"""),"")</f>
        <v/>
      </c>
      <c r="AC13188" s="16" t="str">
        <f>IFERROR(__xludf.DUMMYFUNCTION("""COMPUTED_VALUE"""),"")</f>
        <v/>
      </c>
    </row>
    <row r="13189">
      <c r="A13189" s="16" t="s">
        <v>87</v>
      </c>
      <c r="E13189" s="16" t="str">
        <f>IFERROR(__xludf.DUMMYFUNCTION("""COMPUTED_VALUE"""),"")</f>
        <v/>
      </c>
      <c r="G13189" s="18"/>
      <c r="H13189" s="16" t="s">
        <v>87</v>
      </c>
      <c r="I13189" s="16" t="s">
        <v>87</v>
      </c>
      <c r="J13189" s="19"/>
      <c r="L13189" s="16" t="str">
        <f>IFERROR(__xludf.DUMMYFUNCTION("""COMPUTED_VALUE"""),"")</f>
        <v/>
      </c>
      <c r="M13189" s="16" t="str">
        <f>IFERROR(__xludf.DUMMYFUNCTION("""COMPUTED_VALUE"""),"")</f>
        <v/>
      </c>
      <c r="U13189" s="16" t="s">
        <v>87</v>
      </c>
      <c r="V13189" s="16" t="str">
        <f>IFERROR(__xludf.DUMMYFUNCTION("""COMPUTED_VALUE"""),"")</f>
        <v/>
      </c>
      <c r="W13189" s="16" t="str">
        <f>IFERROR(__xludf.DUMMYFUNCTION("""COMPUTED_VALUE"""),"")</f>
        <v/>
      </c>
      <c r="X13189" s="16" t="str">
        <f>IFERROR(__xludf.DUMMYFUNCTION("""COMPUTED_VALUE"""),"")</f>
        <v/>
      </c>
      <c r="AC13189" s="16" t="str">
        <f>IFERROR(__xludf.DUMMYFUNCTION("""COMPUTED_VALUE"""),"")</f>
        <v/>
      </c>
    </row>
    <row r="13190">
      <c r="A13190" s="16" t="s">
        <v>87</v>
      </c>
      <c r="E13190" s="16" t="str">
        <f>IFERROR(__xludf.DUMMYFUNCTION("""COMPUTED_VALUE"""),"")</f>
        <v/>
      </c>
      <c r="G13190" s="18"/>
      <c r="H13190" s="16" t="s">
        <v>87</v>
      </c>
      <c r="I13190" s="16" t="s">
        <v>87</v>
      </c>
      <c r="J13190" s="19"/>
      <c r="L13190" s="16" t="str">
        <f>IFERROR(__xludf.DUMMYFUNCTION("""COMPUTED_VALUE"""),"")</f>
        <v/>
      </c>
      <c r="M13190" s="16" t="str">
        <f>IFERROR(__xludf.DUMMYFUNCTION("""COMPUTED_VALUE"""),"")</f>
        <v/>
      </c>
      <c r="U13190" s="16" t="s">
        <v>87</v>
      </c>
      <c r="V13190" s="16" t="str">
        <f>IFERROR(__xludf.DUMMYFUNCTION("""COMPUTED_VALUE"""),"")</f>
        <v/>
      </c>
      <c r="W13190" s="16" t="str">
        <f>IFERROR(__xludf.DUMMYFUNCTION("""COMPUTED_VALUE"""),"")</f>
        <v/>
      </c>
      <c r="X13190" s="16" t="str">
        <f>IFERROR(__xludf.DUMMYFUNCTION("""COMPUTED_VALUE"""),"")</f>
        <v/>
      </c>
      <c r="AC13190" s="16" t="str">
        <f>IFERROR(__xludf.DUMMYFUNCTION("""COMPUTED_VALUE"""),"")</f>
        <v/>
      </c>
    </row>
    <row r="13191">
      <c r="A13191" s="16" t="s">
        <v>87</v>
      </c>
      <c r="E13191" s="16" t="str">
        <f>IFERROR(__xludf.DUMMYFUNCTION("""COMPUTED_VALUE"""),"")</f>
        <v/>
      </c>
      <c r="G13191" s="18"/>
      <c r="H13191" s="16" t="s">
        <v>87</v>
      </c>
      <c r="I13191" s="16" t="s">
        <v>87</v>
      </c>
      <c r="J13191" s="19"/>
      <c r="L13191" s="16" t="str">
        <f>IFERROR(__xludf.DUMMYFUNCTION("""COMPUTED_VALUE"""),"")</f>
        <v/>
      </c>
      <c r="M13191" s="16" t="str">
        <f>IFERROR(__xludf.DUMMYFUNCTION("""COMPUTED_VALUE"""),"")</f>
        <v/>
      </c>
      <c r="U13191" s="16" t="s">
        <v>87</v>
      </c>
      <c r="V13191" s="16" t="str">
        <f>IFERROR(__xludf.DUMMYFUNCTION("""COMPUTED_VALUE"""),"")</f>
        <v/>
      </c>
      <c r="W13191" s="16" t="str">
        <f>IFERROR(__xludf.DUMMYFUNCTION("""COMPUTED_VALUE"""),"")</f>
        <v/>
      </c>
      <c r="X13191" s="16" t="str">
        <f>IFERROR(__xludf.DUMMYFUNCTION("""COMPUTED_VALUE"""),"")</f>
        <v/>
      </c>
      <c r="AC13191" s="16" t="str">
        <f>IFERROR(__xludf.DUMMYFUNCTION("""COMPUTED_VALUE"""),"")</f>
        <v/>
      </c>
    </row>
    <row r="13192">
      <c r="A13192" s="16" t="s">
        <v>87</v>
      </c>
      <c r="E13192" s="16" t="str">
        <f>IFERROR(__xludf.DUMMYFUNCTION("""COMPUTED_VALUE"""),"")</f>
        <v/>
      </c>
      <c r="G13192" s="18"/>
      <c r="H13192" s="16" t="s">
        <v>87</v>
      </c>
      <c r="I13192" s="16" t="s">
        <v>87</v>
      </c>
      <c r="J13192" s="19"/>
      <c r="L13192" s="16" t="str">
        <f>IFERROR(__xludf.DUMMYFUNCTION("""COMPUTED_VALUE"""),"")</f>
        <v/>
      </c>
      <c r="M13192" s="16" t="str">
        <f>IFERROR(__xludf.DUMMYFUNCTION("""COMPUTED_VALUE"""),"")</f>
        <v/>
      </c>
      <c r="U13192" s="16" t="s">
        <v>87</v>
      </c>
      <c r="V13192" s="16" t="str">
        <f>IFERROR(__xludf.DUMMYFUNCTION("""COMPUTED_VALUE"""),"")</f>
        <v/>
      </c>
      <c r="W13192" s="16" t="str">
        <f>IFERROR(__xludf.DUMMYFUNCTION("""COMPUTED_VALUE"""),"")</f>
        <v/>
      </c>
      <c r="X13192" s="16" t="str">
        <f>IFERROR(__xludf.DUMMYFUNCTION("""COMPUTED_VALUE"""),"")</f>
        <v/>
      </c>
      <c r="AC13192" s="16" t="str">
        <f>IFERROR(__xludf.DUMMYFUNCTION("""COMPUTED_VALUE"""),"")</f>
        <v/>
      </c>
    </row>
    <row r="13193">
      <c r="A13193" s="16" t="s">
        <v>87</v>
      </c>
      <c r="E13193" s="16" t="str">
        <f>IFERROR(__xludf.DUMMYFUNCTION("""COMPUTED_VALUE"""),"")</f>
        <v/>
      </c>
      <c r="G13193" s="18"/>
      <c r="H13193" s="16" t="s">
        <v>87</v>
      </c>
      <c r="I13193" s="16" t="s">
        <v>87</v>
      </c>
      <c r="J13193" s="19"/>
      <c r="L13193" s="16" t="str">
        <f>IFERROR(__xludf.DUMMYFUNCTION("""COMPUTED_VALUE"""),"")</f>
        <v/>
      </c>
      <c r="M13193" s="16" t="str">
        <f>IFERROR(__xludf.DUMMYFUNCTION("""COMPUTED_VALUE"""),"")</f>
        <v/>
      </c>
      <c r="U13193" s="16" t="s">
        <v>87</v>
      </c>
      <c r="V13193" s="16" t="str">
        <f>IFERROR(__xludf.DUMMYFUNCTION("""COMPUTED_VALUE"""),"")</f>
        <v/>
      </c>
      <c r="W13193" s="16" t="str">
        <f>IFERROR(__xludf.DUMMYFUNCTION("""COMPUTED_VALUE"""),"")</f>
        <v/>
      </c>
      <c r="X13193" s="16" t="str">
        <f>IFERROR(__xludf.DUMMYFUNCTION("""COMPUTED_VALUE"""),"")</f>
        <v/>
      </c>
      <c r="AC13193" s="16" t="str">
        <f>IFERROR(__xludf.DUMMYFUNCTION("""COMPUTED_VALUE"""),"")</f>
        <v/>
      </c>
    </row>
    <row r="13194">
      <c r="A13194" s="16" t="s">
        <v>87</v>
      </c>
      <c r="E13194" s="16" t="str">
        <f>IFERROR(__xludf.DUMMYFUNCTION("""COMPUTED_VALUE"""),"")</f>
        <v/>
      </c>
      <c r="G13194" s="18"/>
      <c r="H13194" s="16" t="s">
        <v>87</v>
      </c>
      <c r="I13194" s="16" t="s">
        <v>87</v>
      </c>
      <c r="J13194" s="19"/>
      <c r="L13194" s="16" t="str">
        <f>IFERROR(__xludf.DUMMYFUNCTION("""COMPUTED_VALUE"""),"")</f>
        <v/>
      </c>
      <c r="M13194" s="16" t="str">
        <f>IFERROR(__xludf.DUMMYFUNCTION("""COMPUTED_VALUE"""),"")</f>
        <v/>
      </c>
      <c r="U13194" s="16" t="s">
        <v>87</v>
      </c>
      <c r="V13194" s="16" t="str">
        <f>IFERROR(__xludf.DUMMYFUNCTION("""COMPUTED_VALUE"""),"")</f>
        <v/>
      </c>
      <c r="W13194" s="16" t="str">
        <f>IFERROR(__xludf.DUMMYFUNCTION("""COMPUTED_VALUE"""),"")</f>
        <v/>
      </c>
      <c r="X13194" s="16" t="str">
        <f>IFERROR(__xludf.DUMMYFUNCTION("""COMPUTED_VALUE"""),"")</f>
        <v/>
      </c>
      <c r="AC13194" s="16" t="str">
        <f>IFERROR(__xludf.DUMMYFUNCTION("""COMPUTED_VALUE"""),"")</f>
        <v/>
      </c>
    </row>
    <row r="13195">
      <c r="A13195" s="16" t="s">
        <v>87</v>
      </c>
      <c r="E13195" s="16" t="str">
        <f>IFERROR(__xludf.DUMMYFUNCTION("""COMPUTED_VALUE"""),"")</f>
        <v/>
      </c>
      <c r="G13195" s="18"/>
      <c r="H13195" s="16" t="s">
        <v>87</v>
      </c>
      <c r="I13195" s="16" t="s">
        <v>87</v>
      </c>
      <c r="J13195" s="19"/>
      <c r="L13195" s="16" t="str">
        <f>IFERROR(__xludf.DUMMYFUNCTION("""COMPUTED_VALUE"""),"")</f>
        <v/>
      </c>
      <c r="M13195" s="16" t="str">
        <f>IFERROR(__xludf.DUMMYFUNCTION("""COMPUTED_VALUE"""),"")</f>
        <v/>
      </c>
      <c r="U13195" s="16" t="s">
        <v>87</v>
      </c>
      <c r="V13195" s="16" t="str">
        <f>IFERROR(__xludf.DUMMYFUNCTION("""COMPUTED_VALUE"""),"")</f>
        <v/>
      </c>
      <c r="W13195" s="16" t="str">
        <f>IFERROR(__xludf.DUMMYFUNCTION("""COMPUTED_VALUE"""),"")</f>
        <v/>
      </c>
      <c r="X13195" s="16" t="str">
        <f>IFERROR(__xludf.DUMMYFUNCTION("""COMPUTED_VALUE"""),"")</f>
        <v/>
      </c>
      <c r="AC13195" s="16" t="str">
        <f>IFERROR(__xludf.DUMMYFUNCTION("""COMPUTED_VALUE"""),"")</f>
        <v/>
      </c>
    </row>
    <row r="13196">
      <c r="A13196" s="16" t="s">
        <v>87</v>
      </c>
      <c r="E13196" s="16" t="str">
        <f>IFERROR(__xludf.DUMMYFUNCTION("""COMPUTED_VALUE"""),"")</f>
        <v/>
      </c>
      <c r="G13196" s="18"/>
      <c r="H13196" s="16" t="s">
        <v>87</v>
      </c>
      <c r="I13196" s="16" t="s">
        <v>87</v>
      </c>
      <c r="J13196" s="19"/>
      <c r="L13196" s="16" t="str">
        <f>IFERROR(__xludf.DUMMYFUNCTION("""COMPUTED_VALUE"""),"")</f>
        <v/>
      </c>
      <c r="M13196" s="16" t="str">
        <f>IFERROR(__xludf.DUMMYFUNCTION("""COMPUTED_VALUE"""),"")</f>
        <v/>
      </c>
      <c r="U13196" s="16" t="s">
        <v>87</v>
      </c>
      <c r="V13196" s="16" t="str">
        <f>IFERROR(__xludf.DUMMYFUNCTION("""COMPUTED_VALUE"""),"")</f>
        <v/>
      </c>
      <c r="W13196" s="16" t="str">
        <f>IFERROR(__xludf.DUMMYFUNCTION("""COMPUTED_VALUE"""),"")</f>
        <v/>
      </c>
      <c r="X13196" s="16" t="str">
        <f>IFERROR(__xludf.DUMMYFUNCTION("""COMPUTED_VALUE"""),"")</f>
        <v/>
      </c>
      <c r="AC13196" s="16" t="str">
        <f>IFERROR(__xludf.DUMMYFUNCTION("""COMPUTED_VALUE"""),"")</f>
        <v/>
      </c>
    </row>
    <row r="13197">
      <c r="A13197" s="16" t="s">
        <v>87</v>
      </c>
      <c r="E13197" s="16" t="str">
        <f>IFERROR(__xludf.DUMMYFUNCTION("""COMPUTED_VALUE"""),"")</f>
        <v/>
      </c>
      <c r="G13197" s="18"/>
      <c r="H13197" s="16" t="s">
        <v>87</v>
      </c>
      <c r="I13197" s="16" t="s">
        <v>87</v>
      </c>
      <c r="J13197" s="19"/>
      <c r="L13197" s="16" t="str">
        <f>IFERROR(__xludf.DUMMYFUNCTION("""COMPUTED_VALUE"""),"")</f>
        <v/>
      </c>
      <c r="M13197" s="16" t="str">
        <f>IFERROR(__xludf.DUMMYFUNCTION("""COMPUTED_VALUE"""),"")</f>
        <v/>
      </c>
      <c r="U13197" s="16" t="s">
        <v>87</v>
      </c>
      <c r="V13197" s="16" t="str">
        <f>IFERROR(__xludf.DUMMYFUNCTION("""COMPUTED_VALUE"""),"")</f>
        <v/>
      </c>
      <c r="W13197" s="16" t="str">
        <f>IFERROR(__xludf.DUMMYFUNCTION("""COMPUTED_VALUE"""),"")</f>
        <v/>
      </c>
      <c r="X13197" s="16" t="str">
        <f>IFERROR(__xludf.DUMMYFUNCTION("""COMPUTED_VALUE"""),"")</f>
        <v/>
      </c>
      <c r="AC13197" s="16" t="str">
        <f>IFERROR(__xludf.DUMMYFUNCTION("""COMPUTED_VALUE"""),"")</f>
        <v/>
      </c>
    </row>
    <row r="13198">
      <c r="A13198" s="16" t="s">
        <v>87</v>
      </c>
      <c r="E13198" s="16" t="str">
        <f>IFERROR(__xludf.DUMMYFUNCTION("""COMPUTED_VALUE"""),"")</f>
        <v/>
      </c>
      <c r="G13198" s="18"/>
      <c r="H13198" s="16" t="s">
        <v>87</v>
      </c>
      <c r="I13198" s="16" t="s">
        <v>87</v>
      </c>
      <c r="J13198" s="19"/>
      <c r="L13198" s="16" t="str">
        <f>IFERROR(__xludf.DUMMYFUNCTION("""COMPUTED_VALUE"""),"")</f>
        <v/>
      </c>
      <c r="M13198" s="16" t="str">
        <f>IFERROR(__xludf.DUMMYFUNCTION("""COMPUTED_VALUE"""),"")</f>
        <v/>
      </c>
      <c r="U13198" s="16" t="s">
        <v>87</v>
      </c>
      <c r="V13198" s="16" t="str">
        <f>IFERROR(__xludf.DUMMYFUNCTION("""COMPUTED_VALUE"""),"")</f>
        <v/>
      </c>
      <c r="W13198" s="16" t="str">
        <f>IFERROR(__xludf.DUMMYFUNCTION("""COMPUTED_VALUE"""),"")</f>
        <v/>
      </c>
      <c r="X13198" s="16" t="str">
        <f>IFERROR(__xludf.DUMMYFUNCTION("""COMPUTED_VALUE"""),"")</f>
        <v/>
      </c>
      <c r="AC13198" s="16" t="str">
        <f>IFERROR(__xludf.DUMMYFUNCTION("""COMPUTED_VALUE"""),"")</f>
        <v/>
      </c>
    </row>
    <row r="13199">
      <c r="A13199" s="16" t="s">
        <v>87</v>
      </c>
      <c r="E13199" s="16" t="str">
        <f>IFERROR(__xludf.DUMMYFUNCTION("""COMPUTED_VALUE"""),"")</f>
        <v/>
      </c>
      <c r="G13199" s="18"/>
      <c r="H13199" s="16" t="s">
        <v>87</v>
      </c>
      <c r="I13199" s="16" t="s">
        <v>87</v>
      </c>
      <c r="J13199" s="19"/>
      <c r="L13199" s="16" t="str">
        <f>IFERROR(__xludf.DUMMYFUNCTION("""COMPUTED_VALUE"""),"")</f>
        <v/>
      </c>
      <c r="M13199" s="16" t="str">
        <f>IFERROR(__xludf.DUMMYFUNCTION("""COMPUTED_VALUE"""),"")</f>
        <v/>
      </c>
      <c r="U13199" s="16" t="s">
        <v>87</v>
      </c>
      <c r="V13199" s="16" t="str">
        <f>IFERROR(__xludf.DUMMYFUNCTION("""COMPUTED_VALUE"""),"")</f>
        <v/>
      </c>
      <c r="W13199" s="16" t="str">
        <f>IFERROR(__xludf.DUMMYFUNCTION("""COMPUTED_VALUE"""),"")</f>
        <v/>
      </c>
      <c r="X13199" s="16" t="str">
        <f>IFERROR(__xludf.DUMMYFUNCTION("""COMPUTED_VALUE"""),"")</f>
        <v/>
      </c>
      <c r="AC13199" s="16" t="str">
        <f>IFERROR(__xludf.DUMMYFUNCTION("""COMPUTED_VALUE"""),"")</f>
        <v/>
      </c>
    </row>
    <row r="13200">
      <c r="A13200" s="16" t="s">
        <v>87</v>
      </c>
      <c r="E13200" s="16" t="str">
        <f>IFERROR(__xludf.DUMMYFUNCTION("""COMPUTED_VALUE"""),"")</f>
        <v/>
      </c>
      <c r="G13200" s="18"/>
      <c r="H13200" s="16" t="s">
        <v>87</v>
      </c>
      <c r="I13200" s="16" t="s">
        <v>87</v>
      </c>
      <c r="J13200" s="19"/>
      <c r="L13200" s="16" t="str">
        <f>IFERROR(__xludf.DUMMYFUNCTION("""COMPUTED_VALUE"""),"")</f>
        <v/>
      </c>
      <c r="M13200" s="16" t="str">
        <f>IFERROR(__xludf.DUMMYFUNCTION("""COMPUTED_VALUE"""),"")</f>
        <v/>
      </c>
      <c r="U13200" s="16" t="s">
        <v>87</v>
      </c>
      <c r="V13200" s="16" t="str">
        <f>IFERROR(__xludf.DUMMYFUNCTION("""COMPUTED_VALUE"""),"")</f>
        <v/>
      </c>
      <c r="W13200" s="16" t="str">
        <f>IFERROR(__xludf.DUMMYFUNCTION("""COMPUTED_VALUE"""),"")</f>
        <v/>
      </c>
      <c r="X13200" s="16" t="str">
        <f>IFERROR(__xludf.DUMMYFUNCTION("""COMPUTED_VALUE"""),"")</f>
        <v/>
      </c>
      <c r="AC13200" s="16" t="str">
        <f>IFERROR(__xludf.DUMMYFUNCTION("""COMPUTED_VALUE"""),"")</f>
        <v/>
      </c>
    </row>
    <row r="13201">
      <c r="A13201" s="16" t="s">
        <v>87</v>
      </c>
      <c r="E13201" s="16" t="str">
        <f>IFERROR(__xludf.DUMMYFUNCTION("""COMPUTED_VALUE"""),"")</f>
        <v/>
      </c>
      <c r="G13201" s="18"/>
      <c r="H13201" s="16" t="s">
        <v>87</v>
      </c>
      <c r="I13201" s="16" t="s">
        <v>87</v>
      </c>
      <c r="J13201" s="19"/>
      <c r="L13201" s="16" t="str">
        <f>IFERROR(__xludf.DUMMYFUNCTION("""COMPUTED_VALUE"""),"")</f>
        <v/>
      </c>
      <c r="M13201" s="16" t="str">
        <f>IFERROR(__xludf.DUMMYFUNCTION("""COMPUTED_VALUE"""),"")</f>
        <v/>
      </c>
      <c r="U13201" s="16" t="s">
        <v>87</v>
      </c>
      <c r="V13201" s="16" t="str">
        <f>IFERROR(__xludf.DUMMYFUNCTION("""COMPUTED_VALUE"""),"")</f>
        <v/>
      </c>
      <c r="W13201" s="16" t="str">
        <f>IFERROR(__xludf.DUMMYFUNCTION("""COMPUTED_VALUE"""),"")</f>
        <v/>
      </c>
      <c r="X13201" s="16" t="str">
        <f>IFERROR(__xludf.DUMMYFUNCTION("""COMPUTED_VALUE"""),"")</f>
        <v/>
      </c>
      <c r="AC13201" s="16" t="str">
        <f>IFERROR(__xludf.DUMMYFUNCTION("""COMPUTED_VALUE"""),"")</f>
        <v/>
      </c>
    </row>
    <row r="13202">
      <c r="A13202" s="16" t="s">
        <v>87</v>
      </c>
      <c r="E13202" s="16" t="str">
        <f>IFERROR(__xludf.DUMMYFUNCTION("""COMPUTED_VALUE"""),"")</f>
        <v/>
      </c>
      <c r="G13202" s="18"/>
      <c r="H13202" s="16" t="s">
        <v>87</v>
      </c>
      <c r="I13202" s="16" t="s">
        <v>87</v>
      </c>
      <c r="J13202" s="19"/>
      <c r="L13202" s="16" t="str">
        <f>IFERROR(__xludf.DUMMYFUNCTION("""COMPUTED_VALUE"""),"")</f>
        <v/>
      </c>
      <c r="M13202" s="16" t="str">
        <f>IFERROR(__xludf.DUMMYFUNCTION("""COMPUTED_VALUE"""),"")</f>
        <v/>
      </c>
      <c r="U13202" s="16" t="s">
        <v>87</v>
      </c>
      <c r="V13202" s="16" t="str">
        <f>IFERROR(__xludf.DUMMYFUNCTION("""COMPUTED_VALUE"""),"")</f>
        <v/>
      </c>
      <c r="W13202" s="16" t="str">
        <f>IFERROR(__xludf.DUMMYFUNCTION("""COMPUTED_VALUE"""),"")</f>
        <v/>
      </c>
      <c r="X13202" s="16" t="str">
        <f>IFERROR(__xludf.DUMMYFUNCTION("""COMPUTED_VALUE"""),"")</f>
        <v/>
      </c>
      <c r="AC13202" s="16" t="str">
        <f>IFERROR(__xludf.DUMMYFUNCTION("""COMPUTED_VALUE"""),"")</f>
        <v/>
      </c>
    </row>
    <row r="13203">
      <c r="A13203" s="16" t="s">
        <v>87</v>
      </c>
      <c r="E13203" s="16" t="str">
        <f>IFERROR(__xludf.DUMMYFUNCTION("""COMPUTED_VALUE"""),"")</f>
        <v/>
      </c>
      <c r="G13203" s="18"/>
      <c r="H13203" s="16" t="s">
        <v>87</v>
      </c>
      <c r="I13203" s="16" t="s">
        <v>87</v>
      </c>
      <c r="J13203" s="19"/>
      <c r="L13203" s="16" t="str">
        <f>IFERROR(__xludf.DUMMYFUNCTION("""COMPUTED_VALUE"""),"")</f>
        <v/>
      </c>
      <c r="M13203" s="16" t="str">
        <f>IFERROR(__xludf.DUMMYFUNCTION("""COMPUTED_VALUE"""),"")</f>
        <v/>
      </c>
      <c r="U13203" s="16" t="s">
        <v>87</v>
      </c>
      <c r="V13203" s="16" t="str">
        <f>IFERROR(__xludf.DUMMYFUNCTION("""COMPUTED_VALUE"""),"")</f>
        <v/>
      </c>
      <c r="W13203" s="16" t="str">
        <f>IFERROR(__xludf.DUMMYFUNCTION("""COMPUTED_VALUE"""),"")</f>
        <v/>
      </c>
      <c r="X13203" s="16" t="str">
        <f>IFERROR(__xludf.DUMMYFUNCTION("""COMPUTED_VALUE"""),"")</f>
        <v/>
      </c>
      <c r="AC13203" s="16" t="str">
        <f>IFERROR(__xludf.DUMMYFUNCTION("""COMPUTED_VALUE"""),"")</f>
        <v/>
      </c>
    </row>
    <row r="13204">
      <c r="A13204" s="16" t="s">
        <v>87</v>
      </c>
      <c r="E13204" s="16" t="str">
        <f>IFERROR(__xludf.DUMMYFUNCTION("""COMPUTED_VALUE"""),"")</f>
        <v/>
      </c>
      <c r="G13204" s="18"/>
      <c r="H13204" s="16" t="s">
        <v>87</v>
      </c>
      <c r="I13204" s="16" t="s">
        <v>87</v>
      </c>
      <c r="J13204" s="19"/>
      <c r="L13204" s="16" t="str">
        <f>IFERROR(__xludf.DUMMYFUNCTION("""COMPUTED_VALUE"""),"")</f>
        <v/>
      </c>
      <c r="M13204" s="16" t="str">
        <f>IFERROR(__xludf.DUMMYFUNCTION("""COMPUTED_VALUE"""),"")</f>
        <v/>
      </c>
      <c r="U13204" s="16" t="s">
        <v>87</v>
      </c>
      <c r="V13204" s="16" t="str">
        <f>IFERROR(__xludf.DUMMYFUNCTION("""COMPUTED_VALUE"""),"")</f>
        <v/>
      </c>
      <c r="W13204" s="16" t="str">
        <f>IFERROR(__xludf.DUMMYFUNCTION("""COMPUTED_VALUE"""),"")</f>
        <v/>
      </c>
      <c r="X13204" s="16" t="str">
        <f>IFERROR(__xludf.DUMMYFUNCTION("""COMPUTED_VALUE"""),"")</f>
        <v/>
      </c>
      <c r="AC13204" s="16" t="str">
        <f>IFERROR(__xludf.DUMMYFUNCTION("""COMPUTED_VALUE"""),"")</f>
        <v/>
      </c>
    </row>
    <row r="13205">
      <c r="A13205" s="16" t="s">
        <v>87</v>
      </c>
      <c r="E13205" s="16" t="str">
        <f>IFERROR(__xludf.DUMMYFUNCTION("""COMPUTED_VALUE"""),"")</f>
        <v/>
      </c>
      <c r="G13205" s="18"/>
      <c r="H13205" s="16" t="s">
        <v>87</v>
      </c>
      <c r="I13205" s="16" t="s">
        <v>87</v>
      </c>
      <c r="J13205" s="19"/>
      <c r="L13205" s="16" t="str">
        <f>IFERROR(__xludf.DUMMYFUNCTION("""COMPUTED_VALUE"""),"")</f>
        <v/>
      </c>
      <c r="M13205" s="16" t="str">
        <f>IFERROR(__xludf.DUMMYFUNCTION("""COMPUTED_VALUE"""),"")</f>
        <v/>
      </c>
      <c r="U13205" s="16" t="s">
        <v>87</v>
      </c>
      <c r="V13205" s="16" t="str">
        <f>IFERROR(__xludf.DUMMYFUNCTION("""COMPUTED_VALUE"""),"")</f>
        <v/>
      </c>
      <c r="W13205" s="16" t="str">
        <f>IFERROR(__xludf.DUMMYFUNCTION("""COMPUTED_VALUE"""),"")</f>
        <v/>
      </c>
      <c r="X13205" s="16" t="str">
        <f>IFERROR(__xludf.DUMMYFUNCTION("""COMPUTED_VALUE"""),"")</f>
        <v/>
      </c>
      <c r="AC13205" s="16" t="str">
        <f>IFERROR(__xludf.DUMMYFUNCTION("""COMPUTED_VALUE"""),"")</f>
        <v/>
      </c>
    </row>
    <row r="13206">
      <c r="A13206" s="16" t="s">
        <v>87</v>
      </c>
      <c r="E13206" s="16" t="str">
        <f>IFERROR(__xludf.DUMMYFUNCTION("""COMPUTED_VALUE"""),"")</f>
        <v/>
      </c>
      <c r="G13206" s="18"/>
      <c r="H13206" s="16" t="s">
        <v>87</v>
      </c>
      <c r="I13206" s="16" t="s">
        <v>87</v>
      </c>
      <c r="J13206" s="19"/>
      <c r="L13206" s="16" t="str">
        <f>IFERROR(__xludf.DUMMYFUNCTION("""COMPUTED_VALUE"""),"")</f>
        <v/>
      </c>
      <c r="M13206" s="16" t="str">
        <f>IFERROR(__xludf.DUMMYFUNCTION("""COMPUTED_VALUE"""),"")</f>
        <v/>
      </c>
      <c r="U13206" s="16" t="s">
        <v>87</v>
      </c>
      <c r="V13206" s="16" t="str">
        <f>IFERROR(__xludf.DUMMYFUNCTION("""COMPUTED_VALUE"""),"")</f>
        <v/>
      </c>
      <c r="W13206" s="16" t="str">
        <f>IFERROR(__xludf.DUMMYFUNCTION("""COMPUTED_VALUE"""),"")</f>
        <v/>
      </c>
      <c r="X13206" s="16" t="str">
        <f>IFERROR(__xludf.DUMMYFUNCTION("""COMPUTED_VALUE"""),"")</f>
        <v/>
      </c>
      <c r="AC13206" s="16" t="str">
        <f>IFERROR(__xludf.DUMMYFUNCTION("""COMPUTED_VALUE"""),"")</f>
        <v/>
      </c>
    </row>
    <row r="13207">
      <c r="A13207" s="16" t="s">
        <v>87</v>
      </c>
      <c r="E13207" s="16" t="str">
        <f>IFERROR(__xludf.DUMMYFUNCTION("""COMPUTED_VALUE"""),"")</f>
        <v/>
      </c>
      <c r="G13207" s="18"/>
      <c r="H13207" s="16" t="s">
        <v>87</v>
      </c>
      <c r="I13207" s="16" t="s">
        <v>87</v>
      </c>
      <c r="J13207" s="19"/>
      <c r="L13207" s="16" t="str">
        <f>IFERROR(__xludf.DUMMYFUNCTION("""COMPUTED_VALUE"""),"")</f>
        <v/>
      </c>
      <c r="M13207" s="16" t="str">
        <f>IFERROR(__xludf.DUMMYFUNCTION("""COMPUTED_VALUE"""),"")</f>
        <v/>
      </c>
      <c r="U13207" s="16" t="s">
        <v>87</v>
      </c>
      <c r="V13207" s="16" t="str">
        <f>IFERROR(__xludf.DUMMYFUNCTION("""COMPUTED_VALUE"""),"")</f>
        <v/>
      </c>
      <c r="W13207" s="16" t="str">
        <f>IFERROR(__xludf.DUMMYFUNCTION("""COMPUTED_VALUE"""),"")</f>
        <v/>
      </c>
      <c r="X13207" s="16" t="str">
        <f>IFERROR(__xludf.DUMMYFUNCTION("""COMPUTED_VALUE"""),"")</f>
        <v/>
      </c>
      <c r="AC13207" s="16" t="str">
        <f>IFERROR(__xludf.DUMMYFUNCTION("""COMPUTED_VALUE"""),"")</f>
        <v/>
      </c>
    </row>
    <row r="13208">
      <c r="A13208" s="16" t="s">
        <v>87</v>
      </c>
      <c r="E13208" s="16" t="str">
        <f>IFERROR(__xludf.DUMMYFUNCTION("""COMPUTED_VALUE"""),"")</f>
        <v/>
      </c>
      <c r="G13208" s="18"/>
      <c r="H13208" s="16" t="s">
        <v>87</v>
      </c>
      <c r="I13208" s="16" t="s">
        <v>87</v>
      </c>
      <c r="J13208" s="19"/>
      <c r="L13208" s="16" t="str">
        <f>IFERROR(__xludf.DUMMYFUNCTION("""COMPUTED_VALUE"""),"")</f>
        <v/>
      </c>
      <c r="M13208" s="16" t="str">
        <f>IFERROR(__xludf.DUMMYFUNCTION("""COMPUTED_VALUE"""),"")</f>
        <v/>
      </c>
      <c r="U13208" s="16" t="s">
        <v>87</v>
      </c>
      <c r="V13208" s="16" t="str">
        <f>IFERROR(__xludf.DUMMYFUNCTION("""COMPUTED_VALUE"""),"")</f>
        <v/>
      </c>
      <c r="W13208" s="16" t="str">
        <f>IFERROR(__xludf.DUMMYFUNCTION("""COMPUTED_VALUE"""),"")</f>
        <v/>
      </c>
      <c r="X13208" s="16" t="str">
        <f>IFERROR(__xludf.DUMMYFUNCTION("""COMPUTED_VALUE"""),"")</f>
        <v/>
      </c>
      <c r="AC13208" s="16" t="str">
        <f>IFERROR(__xludf.DUMMYFUNCTION("""COMPUTED_VALUE"""),"")</f>
        <v/>
      </c>
    </row>
    <row r="13209">
      <c r="A13209" s="16" t="s">
        <v>87</v>
      </c>
      <c r="E13209" s="16" t="str">
        <f>IFERROR(__xludf.DUMMYFUNCTION("""COMPUTED_VALUE"""),"")</f>
        <v/>
      </c>
      <c r="G13209" s="18"/>
      <c r="H13209" s="16" t="s">
        <v>87</v>
      </c>
      <c r="I13209" s="16" t="s">
        <v>87</v>
      </c>
      <c r="J13209" s="19"/>
      <c r="L13209" s="16" t="str">
        <f>IFERROR(__xludf.DUMMYFUNCTION("""COMPUTED_VALUE"""),"")</f>
        <v/>
      </c>
      <c r="M13209" s="16" t="str">
        <f>IFERROR(__xludf.DUMMYFUNCTION("""COMPUTED_VALUE"""),"")</f>
        <v/>
      </c>
      <c r="U13209" s="16" t="s">
        <v>87</v>
      </c>
      <c r="V13209" s="16" t="str">
        <f>IFERROR(__xludf.DUMMYFUNCTION("""COMPUTED_VALUE"""),"")</f>
        <v/>
      </c>
      <c r="W13209" s="16" t="str">
        <f>IFERROR(__xludf.DUMMYFUNCTION("""COMPUTED_VALUE"""),"")</f>
        <v/>
      </c>
      <c r="X13209" s="16" t="str">
        <f>IFERROR(__xludf.DUMMYFUNCTION("""COMPUTED_VALUE"""),"")</f>
        <v/>
      </c>
      <c r="AC13209" s="16" t="str">
        <f>IFERROR(__xludf.DUMMYFUNCTION("""COMPUTED_VALUE"""),"")</f>
        <v/>
      </c>
    </row>
    <row r="13210">
      <c r="A13210" s="16" t="s">
        <v>87</v>
      </c>
      <c r="E13210" s="16" t="str">
        <f>IFERROR(__xludf.DUMMYFUNCTION("""COMPUTED_VALUE"""),"")</f>
        <v/>
      </c>
      <c r="G13210" s="18"/>
      <c r="H13210" s="16" t="s">
        <v>87</v>
      </c>
      <c r="I13210" s="16" t="s">
        <v>87</v>
      </c>
      <c r="J13210" s="19"/>
      <c r="L13210" s="16" t="str">
        <f>IFERROR(__xludf.DUMMYFUNCTION("""COMPUTED_VALUE"""),"")</f>
        <v/>
      </c>
      <c r="M13210" s="16" t="str">
        <f>IFERROR(__xludf.DUMMYFUNCTION("""COMPUTED_VALUE"""),"")</f>
        <v/>
      </c>
      <c r="U13210" s="16" t="s">
        <v>87</v>
      </c>
      <c r="V13210" s="16" t="str">
        <f>IFERROR(__xludf.DUMMYFUNCTION("""COMPUTED_VALUE"""),"")</f>
        <v/>
      </c>
      <c r="W13210" s="16" t="str">
        <f>IFERROR(__xludf.DUMMYFUNCTION("""COMPUTED_VALUE"""),"")</f>
        <v/>
      </c>
      <c r="X13210" s="16" t="str">
        <f>IFERROR(__xludf.DUMMYFUNCTION("""COMPUTED_VALUE"""),"")</f>
        <v/>
      </c>
      <c r="AC13210" s="16" t="str">
        <f>IFERROR(__xludf.DUMMYFUNCTION("""COMPUTED_VALUE"""),"")</f>
        <v/>
      </c>
    </row>
    <row r="13211">
      <c r="A13211" s="16" t="s">
        <v>87</v>
      </c>
      <c r="E13211" s="16" t="str">
        <f>IFERROR(__xludf.DUMMYFUNCTION("""COMPUTED_VALUE"""),"")</f>
        <v/>
      </c>
      <c r="G13211" s="18"/>
      <c r="H13211" s="16" t="s">
        <v>87</v>
      </c>
      <c r="I13211" s="16" t="s">
        <v>87</v>
      </c>
      <c r="J13211" s="19"/>
      <c r="L13211" s="16" t="str">
        <f>IFERROR(__xludf.DUMMYFUNCTION("""COMPUTED_VALUE"""),"")</f>
        <v/>
      </c>
      <c r="M13211" s="16" t="str">
        <f>IFERROR(__xludf.DUMMYFUNCTION("""COMPUTED_VALUE"""),"")</f>
        <v/>
      </c>
      <c r="U13211" s="16" t="s">
        <v>87</v>
      </c>
      <c r="V13211" s="16" t="str">
        <f>IFERROR(__xludf.DUMMYFUNCTION("""COMPUTED_VALUE"""),"")</f>
        <v/>
      </c>
      <c r="W13211" s="16" t="str">
        <f>IFERROR(__xludf.DUMMYFUNCTION("""COMPUTED_VALUE"""),"")</f>
        <v/>
      </c>
      <c r="X13211" s="16" t="str">
        <f>IFERROR(__xludf.DUMMYFUNCTION("""COMPUTED_VALUE"""),"")</f>
        <v/>
      </c>
      <c r="AC13211" s="16" t="str">
        <f>IFERROR(__xludf.DUMMYFUNCTION("""COMPUTED_VALUE"""),"")</f>
        <v/>
      </c>
    </row>
    <row r="13212">
      <c r="A13212" s="16" t="s">
        <v>87</v>
      </c>
      <c r="E13212" s="16" t="str">
        <f>IFERROR(__xludf.DUMMYFUNCTION("""COMPUTED_VALUE"""),"")</f>
        <v/>
      </c>
      <c r="G13212" s="18"/>
      <c r="H13212" s="16" t="s">
        <v>87</v>
      </c>
      <c r="I13212" s="16" t="s">
        <v>87</v>
      </c>
      <c r="J13212" s="19"/>
      <c r="L13212" s="16" t="str">
        <f>IFERROR(__xludf.DUMMYFUNCTION("""COMPUTED_VALUE"""),"")</f>
        <v/>
      </c>
      <c r="M13212" s="16" t="str">
        <f>IFERROR(__xludf.DUMMYFUNCTION("""COMPUTED_VALUE"""),"")</f>
        <v/>
      </c>
      <c r="U13212" s="16" t="s">
        <v>87</v>
      </c>
      <c r="V13212" s="16" t="str">
        <f>IFERROR(__xludf.DUMMYFUNCTION("""COMPUTED_VALUE"""),"")</f>
        <v/>
      </c>
      <c r="W13212" s="16" t="str">
        <f>IFERROR(__xludf.DUMMYFUNCTION("""COMPUTED_VALUE"""),"")</f>
        <v/>
      </c>
      <c r="X13212" s="16" t="str">
        <f>IFERROR(__xludf.DUMMYFUNCTION("""COMPUTED_VALUE"""),"")</f>
        <v/>
      </c>
      <c r="AC13212" s="16" t="str">
        <f>IFERROR(__xludf.DUMMYFUNCTION("""COMPUTED_VALUE"""),"")</f>
        <v/>
      </c>
    </row>
    <row r="13213">
      <c r="A13213" s="16" t="s">
        <v>87</v>
      </c>
      <c r="E13213" s="16" t="str">
        <f>IFERROR(__xludf.DUMMYFUNCTION("""COMPUTED_VALUE"""),"")</f>
        <v/>
      </c>
      <c r="G13213" s="18"/>
      <c r="H13213" s="16" t="s">
        <v>87</v>
      </c>
      <c r="I13213" s="16" t="s">
        <v>87</v>
      </c>
      <c r="J13213" s="19"/>
      <c r="L13213" s="16" t="str">
        <f>IFERROR(__xludf.DUMMYFUNCTION("""COMPUTED_VALUE"""),"")</f>
        <v/>
      </c>
      <c r="M13213" s="16" t="str">
        <f>IFERROR(__xludf.DUMMYFUNCTION("""COMPUTED_VALUE"""),"")</f>
        <v/>
      </c>
      <c r="U13213" s="16" t="s">
        <v>87</v>
      </c>
      <c r="V13213" s="16" t="str">
        <f>IFERROR(__xludf.DUMMYFUNCTION("""COMPUTED_VALUE"""),"")</f>
        <v/>
      </c>
      <c r="W13213" s="16" t="str">
        <f>IFERROR(__xludf.DUMMYFUNCTION("""COMPUTED_VALUE"""),"")</f>
        <v/>
      </c>
      <c r="X13213" s="16" t="str">
        <f>IFERROR(__xludf.DUMMYFUNCTION("""COMPUTED_VALUE"""),"")</f>
        <v/>
      </c>
      <c r="AC13213" s="16" t="str">
        <f>IFERROR(__xludf.DUMMYFUNCTION("""COMPUTED_VALUE"""),"")</f>
        <v/>
      </c>
    </row>
    <row r="13214">
      <c r="A13214" s="16" t="s">
        <v>87</v>
      </c>
      <c r="E13214" s="16" t="str">
        <f>IFERROR(__xludf.DUMMYFUNCTION("""COMPUTED_VALUE"""),"")</f>
        <v/>
      </c>
      <c r="G13214" s="18"/>
      <c r="H13214" s="16" t="s">
        <v>87</v>
      </c>
      <c r="I13214" s="16" t="s">
        <v>87</v>
      </c>
      <c r="J13214" s="19"/>
      <c r="L13214" s="16" t="str">
        <f>IFERROR(__xludf.DUMMYFUNCTION("""COMPUTED_VALUE"""),"")</f>
        <v/>
      </c>
      <c r="M13214" s="16" t="str">
        <f>IFERROR(__xludf.DUMMYFUNCTION("""COMPUTED_VALUE"""),"")</f>
        <v/>
      </c>
      <c r="U13214" s="16" t="s">
        <v>87</v>
      </c>
      <c r="V13214" s="16" t="str">
        <f>IFERROR(__xludf.DUMMYFUNCTION("""COMPUTED_VALUE"""),"")</f>
        <v/>
      </c>
      <c r="W13214" s="16" t="str">
        <f>IFERROR(__xludf.DUMMYFUNCTION("""COMPUTED_VALUE"""),"")</f>
        <v/>
      </c>
      <c r="X13214" s="16" t="str">
        <f>IFERROR(__xludf.DUMMYFUNCTION("""COMPUTED_VALUE"""),"")</f>
        <v/>
      </c>
      <c r="AC13214" s="16" t="str">
        <f>IFERROR(__xludf.DUMMYFUNCTION("""COMPUTED_VALUE"""),"")</f>
        <v/>
      </c>
    </row>
    <row r="13215">
      <c r="A13215" s="16" t="s">
        <v>87</v>
      </c>
      <c r="E13215" s="16" t="str">
        <f>IFERROR(__xludf.DUMMYFUNCTION("""COMPUTED_VALUE"""),"")</f>
        <v/>
      </c>
      <c r="G13215" s="18"/>
      <c r="H13215" s="16" t="s">
        <v>87</v>
      </c>
      <c r="I13215" s="16" t="s">
        <v>87</v>
      </c>
      <c r="J13215" s="19"/>
      <c r="L13215" s="16" t="str">
        <f>IFERROR(__xludf.DUMMYFUNCTION("""COMPUTED_VALUE"""),"")</f>
        <v/>
      </c>
      <c r="M13215" s="16" t="str">
        <f>IFERROR(__xludf.DUMMYFUNCTION("""COMPUTED_VALUE"""),"")</f>
        <v/>
      </c>
      <c r="U13215" s="16" t="s">
        <v>87</v>
      </c>
      <c r="V13215" s="16" t="str">
        <f>IFERROR(__xludf.DUMMYFUNCTION("""COMPUTED_VALUE"""),"")</f>
        <v/>
      </c>
      <c r="W13215" s="16" t="str">
        <f>IFERROR(__xludf.DUMMYFUNCTION("""COMPUTED_VALUE"""),"")</f>
        <v/>
      </c>
      <c r="X13215" s="16" t="str">
        <f>IFERROR(__xludf.DUMMYFUNCTION("""COMPUTED_VALUE"""),"")</f>
        <v/>
      </c>
      <c r="AC13215" s="16" t="str">
        <f>IFERROR(__xludf.DUMMYFUNCTION("""COMPUTED_VALUE"""),"")</f>
        <v/>
      </c>
    </row>
    <row r="13216">
      <c r="A13216" s="16" t="s">
        <v>87</v>
      </c>
      <c r="E13216" s="16" t="str">
        <f>IFERROR(__xludf.DUMMYFUNCTION("""COMPUTED_VALUE"""),"")</f>
        <v/>
      </c>
      <c r="G13216" s="18"/>
      <c r="H13216" s="16" t="s">
        <v>87</v>
      </c>
      <c r="I13216" s="16" t="s">
        <v>87</v>
      </c>
      <c r="J13216" s="19"/>
      <c r="L13216" s="16" t="str">
        <f>IFERROR(__xludf.DUMMYFUNCTION("""COMPUTED_VALUE"""),"")</f>
        <v/>
      </c>
      <c r="M13216" s="16" t="str">
        <f>IFERROR(__xludf.DUMMYFUNCTION("""COMPUTED_VALUE"""),"")</f>
        <v/>
      </c>
      <c r="U13216" s="16" t="s">
        <v>87</v>
      </c>
      <c r="V13216" s="16" t="str">
        <f>IFERROR(__xludf.DUMMYFUNCTION("""COMPUTED_VALUE"""),"")</f>
        <v/>
      </c>
      <c r="W13216" s="16" t="str">
        <f>IFERROR(__xludf.DUMMYFUNCTION("""COMPUTED_VALUE"""),"")</f>
        <v/>
      </c>
      <c r="X13216" s="16" t="str">
        <f>IFERROR(__xludf.DUMMYFUNCTION("""COMPUTED_VALUE"""),"")</f>
        <v/>
      </c>
      <c r="AC13216" s="16" t="str">
        <f>IFERROR(__xludf.DUMMYFUNCTION("""COMPUTED_VALUE"""),"")</f>
        <v/>
      </c>
    </row>
    <row r="13217">
      <c r="A13217" s="16" t="s">
        <v>87</v>
      </c>
      <c r="E13217" s="16" t="str">
        <f>IFERROR(__xludf.DUMMYFUNCTION("""COMPUTED_VALUE"""),"")</f>
        <v/>
      </c>
      <c r="G13217" s="18"/>
      <c r="H13217" s="16" t="s">
        <v>87</v>
      </c>
      <c r="I13217" s="16" t="s">
        <v>87</v>
      </c>
      <c r="J13217" s="19"/>
      <c r="L13217" s="16" t="str">
        <f>IFERROR(__xludf.DUMMYFUNCTION("""COMPUTED_VALUE"""),"")</f>
        <v/>
      </c>
      <c r="M13217" s="16" t="str">
        <f>IFERROR(__xludf.DUMMYFUNCTION("""COMPUTED_VALUE"""),"")</f>
        <v/>
      </c>
      <c r="U13217" s="16" t="s">
        <v>87</v>
      </c>
      <c r="V13217" s="16" t="str">
        <f>IFERROR(__xludf.DUMMYFUNCTION("""COMPUTED_VALUE"""),"")</f>
        <v/>
      </c>
      <c r="W13217" s="16" t="str">
        <f>IFERROR(__xludf.DUMMYFUNCTION("""COMPUTED_VALUE"""),"")</f>
        <v/>
      </c>
      <c r="X13217" s="16" t="str">
        <f>IFERROR(__xludf.DUMMYFUNCTION("""COMPUTED_VALUE"""),"")</f>
        <v/>
      </c>
      <c r="AC13217" s="16" t="str">
        <f>IFERROR(__xludf.DUMMYFUNCTION("""COMPUTED_VALUE"""),"")</f>
        <v/>
      </c>
    </row>
    <row r="13218">
      <c r="A13218" s="16" t="s">
        <v>87</v>
      </c>
      <c r="E13218" s="16" t="str">
        <f>IFERROR(__xludf.DUMMYFUNCTION("""COMPUTED_VALUE"""),"")</f>
        <v/>
      </c>
      <c r="G13218" s="18"/>
      <c r="H13218" s="16" t="s">
        <v>87</v>
      </c>
      <c r="I13218" s="16" t="s">
        <v>87</v>
      </c>
      <c r="J13218" s="19"/>
      <c r="L13218" s="16" t="str">
        <f>IFERROR(__xludf.DUMMYFUNCTION("""COMPUTED_VALUE"""),"")</f>
        <v/>
      </c>
      <c r="M13218" s="16" t="str">
        <f>IFERROR(__xludf.DUMMYFUNCTION("""COMPUTED_VALUE"""),"")</f>
        <v/>
      </c>
      <c r="U13218" s="16" t="s">
        <v>87</v>
      </c>
      <c r="V13218" s="16" t="str">
        <f>IFERROR(__xludf.DUMMYFUNCTION("""COMPUTED_VALUE"""),"")</f>
        <v/>
      </c>
      <c r="W13218" s="16" t="str">
        <f>IFERROR(__xludf.DUMMYFUNCTION("""COMPUTED_VALUE"""),"")</f>
        <v/>
      </c>
      <c r="X13218" s="16" t="str">
        <f>IFERROR(__xludf.DUMMYFUNCTION("""COMPUTED_VALUE"""),"")</f>
        <v/>
      </c>
      <c r="AC13218" s="16" t="str">
        <f>IFERROR(__xludf.DUMMYFUNCTION("""COMPUTED_VALUE"""),"")</f>
        <v/>
      </c>
    </row>
    <row r="13219">
      <c r="A13219" s="16" t="s">
        <v>87</v>
      </c>
      <c r="E13219" s="16" t="str">
        <f>IFERROR(__xludf.DUMMYFUNCTION("""COMPUTED_VALUE"""),"")</f>
        <v/>
      </c>
      <c r="G13219" s="18"/>
      <c r="H13219" s="16" t="s">
        <v>87</v>
      </c>
      <c r="I13219" s="16" t="s">
        <v>87</v>
      </c>
      <c r="J13219" s="19"/>
      <c r="L13219" s="16" t="str">
        <f>IFERROR(__xludf.DUMMYFUNCTION("""COMPUTED_VALUE"""),"")</f>
        <v/>
      </c>
      <c r="M13219" s="16" t="str">
        <f>IFERROR(__xludf.DUMMYFUNCTION("""COMPUTED_VALUE"""),"")</f>
        <v/>
      </c>
      <c r="U13219" s="16" t="s">
        <v>87</v>
      </c>
      <c r="V13219" s="16" t="str">
        <f>IFERROR(__xludf.DUMMYFUNCTION("""COMPUTED_VALUE"""),"")</f>
        <v/>
      </c>
      <c r="W13219" s="16" t="str">
        <f>IFERROR(__xludf.DUMMYFUNCTION("""COMPUTED_VALUE"""),"")</f>
        <v/>
      </c>
      <c r="X13219" s="16" t="str">
        <f>IFERROR(__xludf.DUMMYFUNCTION("""COMPUTED_VALUE"""),"")</f>
        <v/>
      </c>
      <c r="AC13219" s="16" t="str">
        <f>IFERROR(__xludf.DUMMYFUNCTION("""COMPUTED_VALUE"""),"")</f>
        <v/>
      </c>
    </row>
    <row r="13220">
      <c r="A13220" s="16" t="s">
        <v>87</v>
      </c>
      <c r="E13220" s="16" t="str">
        <f>IFERROR(__xludf.DUMMYFUNCTION("""COMPUTED_VALUE"""),"")</f>
        <v/>
      </c>
      <c r="G13220" s="18"/>
      <c r="H13220" s="16" t="s">
        <v>87</v>
      </c>
      <c r="I13220" s="16" t="s">
        <v>87</v>
      </c>
      <c r="J13220" s="19"/>
      <c r="L13220" s="16" t="str">
        <f>IFERROR(__xludf.DUMMYFUNCTION("""COMPUTED_VALUE"""),"")</f>
        <v/>
      </c>
      <c r="M13220" s="16" t="str">
        <f>IFERROR(__xludf.DUMMYFUNCTION("""COMPUTED_VALUE"""),"")</f>
        <v/>
      </c>
      <c r="U13220" s="16" t="s">
        <v>87</v>
      </c>
      <c r="V13220" s="16" t="str">
        <f>IFERROR(__xludf.DUMMYFUNCTION("""COMPUTED_VALUE"""),"")</f>
        <v/>
      </c>
      <c r="W13220" s="16" t="str">
        <f>IFERROR(__xludf.DUMMYFUNCTION("""COMPUTED_VALUE"""),"")</f>
        <v/>
      </c>
      <c r="X13220" s="16" t="str">
        <f>IFERROR(__xludf.DUMMYFUNCTION("""COMPUTED_VALUE"""),"")</f>
        <v/>
      </c>
      <c r="AC13220" s="16" t="str">
        <f>IFERROR(__xludf.DUMMYFUNCTION("""COMPUTED_VALUE"""),"")</f>
        <v/>
      </c>
    </row>
    <row r="13221">
      <c r="A13221" s="16" t="s">
        <v>87</v>
      </c>
      <c r="E13221" s="16" t="str">
        <f>IFERROR(__xludf.DUMMYFUNCTION("""COMPUTED_VALUE"""),"")</f>
        <v/>
      </c>
      <c r="G13221" s="18"/>
      <c r="H13221" s="16" t="s">
        <v>87</v>
      </c>
      <c r="I13221" s="16" t="s">
        <v>87</v>
      </c>
      <c r="J13221" s="19"/>
      <c r="L13221" s="16" t="str">
        <f>IFERROR(__xludf.DUMMYFUNCTION("""COMPUTED_VALUE"""),"")</f>
        <v/>
      </c>
      <c r="M13221" s="16" t="str">
        <f>IFERROR(__xludf.DUMMYFUNCTION("""COMPUTED_VALUE"""),"")</f>
        <v/>
      </c>
      <c r="U13221" s="16" t="s">
        <v>87</v>
      </c>
      <c r="V13221" s="16" t="str">
        <f>IFERROR(__xludf.DUMMYFUNCTION("""COMPUTED_VALUE"""),"")</f>
        <v/>
      </c>
      <c r="W13221" s="16" t="str">
        <f>IFERROR(__xludf.DUMMYFUNCTION("""COMPUTED_VALUE"""),"")</f>
        <v/>
      </c>
      <c r="X13221" s="16" t="str">
        <f>IFERROR(__xludf.DUMMYFUNCTION("""COMPUTED_VALUE"""),"")</f>
        <v/>
      </c>
      <c r="AC13221" s="16" t="str">
        <f>IFERROR(__xludf.DUMMYFUNCTION("""COMPUTED_VALUE"""),"")</f>
        <v/>
      </c>
    </row>
    <row r="13222">
      <c r="A13222" s="16" t="s">
        <v>87</v>
      </c>
      <c r="E13222" s="16" t="str">
        <f>IFERROR(__xludf.DUMMYFUNCTION("""COMPUTED_VALUE"""),"")</f>
        <v/>
      </c>
      <c r="G13222" s="18"/>
      <c r="H13222" s="16" t="s">
        <v>87</v>
      </c>
      <c r="I13222" s="16" t="s">
        <v>87</v>
      </c>
      <c r="J13222" s="19"/>
      <c r="L13222" s="16" t="str">
        <f>IFERROR(__xludf.DUMMYFUNCTION("""COMPUTED_VALUE"""),"")</f>
        <v/>
      </c>
      <c r="M13222" s="16" t="str">
        <f>IFERROR(__xludf.DUMMYFUNCTION("""COMPUTED_VALUE"""),"")</f>
        <v/>
      </c>
      <c r="U13222" s="16" t="s">
        <v>87</v>
      </c>
      <c r="V13222" s="16" t="str">
        <f>IFERROR(__xludf.DUMMYFUNCTION("""COMPUTED_VALUE"""),"")</f>
        <v/>
      </c>
      <c r="W13222" s="16" t="str">
        <f>IFERROR(__xludf.DUMMYFUNCTION("""COMPUTED_VALUE"""),"")</f>
        <v/>
      </c>
      <c r="X13222" s="16" t="str">
        <f>IFERROR(__xludf.DUMMYFUNCTION("""COMPUTED_VALUE"""),"")</f>
        <v/>
      </c>
      <c r="AC13222" s="16" t="str">
        <f>IFERROR(__xludf.DUMMYFUNCTION("""COMPUTED_VALUE"""),"")</f>
        <v/>
      </c>
    </row>
    <row r="13223">
      <c r="A13223" s="16" t="s">
        <v>87</v>
      </c>
      <c r="E13223" s="16" t="str">
        <f>IFERROR(__xludf.DUMMYFUNCTION("""COMPUTED_VALUE"""),"")</f>
        <v/>
      </c>
      <c r="G13223" s="18"/>
      <c r="H13223" s="16" t="s">
        <v>87</v>
      </c>
      <c r="I13223" s="16" t="s">
        <v>87</v>
      </c>
      <c r="J13223" s="19"/>
      <c r="L13223" s="16" t="str">
        <f>IFERROR(__xludf.DUMMYFUNCTION("""COMPUTED_VALUE"""),"")</f>
        <v/>
      </c>
      <c r="M13223" s="16" t="str">
        <f>IFERROR(__xludf.DUMMYFUNCTION("""COMPUTED_VALUE"""),"")</f>
        <v/>
      </c>
      <c r="U13223" s="16" t="s">
        <v>87</v>
      </c>
      <c r="V13223" s="16" t="str">
        <f>IFERROR(__xludf.DUMMYFUNCTION("""COMPUTED_VALUE"""),"")</f>
        <v/>
      </c>
      <c r="W13223" s="16" t="str">
        <f>IFERROR(__xludf.DUMMYFUNCTION("""COMPUTED_VALUE"""),"")</f>
        <v/>
      </c>
      <c r="X13223" s="16" t="str">
        <f>IFERROR(__xludf.DUMMYFUNCTION("""COMPUTED_VALUE"""),"")</f>
        <v/>
      </c>
      <c r="AC13223" s="16" t="str">
        <f>IFERROR(__xludf.DUMMYFUNCTION("""COMPUTED_VALUE"""),"")</f>
        <v/>
      </c>
    </row>
    <row r="13224">
      <c r="A13224" s="16" t="s">
        <v>87</v>
      </c>
      <c r="E13224" s="16" t="str">
        <f>IFERROR(__xludf.DUMMYFUNCTION("""COMPUTED_VALUE"""),"")</f>
        <v/>
      </c>
      <c r="G13224" s="18"/>
      <c r="H13224" s="16" t="s">
        <v>87</v>
      </c>
      <c r="I13224" s="16" t="s">
        <v>87</v>
      </c>
      <c r="J13224" s="19"/>
      <c r="L13224" s="16" t="str">
        <f>IFERROR(__xludf.DUMMYFUNCTION("""COMPUTED_VALUE"""),"")</f>
        <v/>
      </c>
      <c r="M13224" s="16" t="str">
        <f>IFERROR(__xludf.DUMMYFUNCTION("""COMPUTED_VALUE"""),"")</f>
        <v/>
      </c>
      <c r="U13224" s="16" t="s">
        <v>87</v>
      </c>
      <c r="V13224" s="16" t="str">
        <f>IFERROR(__xludf.DUMMYFUNCTION("""COMPUTED_VALUE"""),"")</f>
        <v/>
      </c>
      <c r="W13224" s="16" t="str">
        <f>IFERROR(__xludf.DUMMYFUNCTION("""COMPUTED_VALUE"""),"")</f>
        <v/>
      </c>
      <c r="X13224" s="16" t="str">
        <f>IFERROR(__xludf.DUMMYFUNCTION("""COMPUTED_VALUE"""),"")</f>
        <v/>
      </c>
      <c r="AC13224" s="16" t="str">
        <f>IFERROR(__xludf.DUMMYFUNCTION("""COMPUTED_VALUE"""),"")</f>
        <v/>
      </c>
    </row>
    <row r="13225">
      <c r="A13225" s="16" t="s">
        <v>87</v>
      </c>
      <c r="E13225" s="16" t="str">
        <f>IFERROR(__xludf.DUMMYFUNCTION("""COMPUTED_VALUE"""),"")</f>
        <v/>
      </c>
      <c r="G13225" s="18"/>
      <c r="H13225" s="16" t="s">
        <v>87</v>
      </c>
      <c r="I13225" s="16" t="s">
        <v>87</v>
      </c>
      <c r="J13225" s="19"/>
      <c r="L13225" s="16" t="str">
        <f>IFERROR(__xludf.DUMMYFUNCTION("""COMPUTED_VALUE"""),"")</f>
        <v/>
      </c>
      <c r="M13225" s="16" t="str">
        <f>IFERROR(__xludf.DUMMYFUNCTION("""COMPUTED_VALUE"""),"")</f>
        <v/>
      </c>
      <c r="U13225" s="16" t="s">
        <v>87</v>
      </c>
      <c r="V13225" s="16" t="str">
        <f>IFERROR(__xludf.DUMMYFUNCTION("""COMPUTED_VALUE"""),"")</f>
        <v/>
      </c>
      <c r="W13225" s="16" t="str">
        <f>IFERROR(__xludf.DUMMYFUNCTION("""COMPUTED_VALUE"""),"")</f>
        <v/>
      </c>
      <c r="X13225" s="16" t="str">
        <f>IFERROR(__xludf.DUMMYFUNCTION("""COMPUTED_VALUE"""),"")</f>
        <v/>
      </c>
      <c r="AC13225" s="16" t="str">
        <f>IFERROR(__xludf.DUMMYFUNCTION("""COMPUTED_VALUE"""),"")</f>
        <v/>
      </c>
    </row>
    <row r="13226">
      <c r="A13226" s="16" t="s">
        <v>87</v>
      </c>
      <c r="E13226" s="16" t="str">
        <f>IFERROR(__xludf.DUMMYFUNCTION("""COMPUTED_VALUE"""),"")</f>
        <v/>
      </c>
      <c r="G13226" s="18"/>
      <c r="H13226" s="16" t="s">
        <v>87</v>
      </c>
      <c r="I13226" s="16" t="s">
        <v>87</v>
      </c>
      <c r="J13226" s="19"/>
      <c r="L13226" s="16" t="str">
        <f>IFERROR(__xludf.DUMMYFUNCTION("""COMPUTED_VALUE"""),"")</f>
        <v/>
      </c>
      <c r="M13226" s="16" t="str">
        <f>IFERROR(__xludf.DUMMYFUNCTION("""COMPUTED_VALUE"""),"")</f>
        <v/>
      </c>
      <c r="U13226" s="16" t="s">
        <v>87</v>
      </c>
      <c r="V13226" s="16" t="str">
        <f>IFERROR(__xludf.DUMMYFUNCTION("""COMPUTED_VALUE"""),"")</f>
        <v/>
      </c>
      <c r="W13226" s="16" t="str">
        <f>IFERROR(__xludf.DUMMYFUNCTION("""COMPUTED_VALUE"""),"")</f>
        <v/>
      </c>
      <c r="X13226" s="16" t="str">
        <f>IFERROR(__xludf.DUMMYFUNCTION("""COMPUTED_VALUE"""),"")</f>
        <v/>
      </c>
      <c r="AC13226" s="16" t="str">
        <f>IFERROR(__xludf.DUMMYFUNCTION("""COMPUTED_VALUE"""),"")</f>
        <v/>
      </c>
    </row>
    <row r="13227">
      <c r="A13227" s="16" t="s">
        <v>87</v>
      </c>
      <c r="E13227" s="16" t="str">
        <f>IFERROR(__xludf.DUMMYFUNCTION("""COMPUTED_VALUE"""),"")</f>
        <v/>
      </c>
      <c r="G13227" s="18"/>
      <c r="H13227" s="16" t="s">
        <v>87</v>
      </c>
      <c r="I13227" s="16" t="s">
        <v>87</v>
      </c>
      <c r="J13227" s="19"/>
      <c r="L13227" s="16" t="str">
        <f>IFERROR(__xludf.DUMMYFUNCTION("""COMPUTED_VALUE"""),"")</f>
        <v/>
      </c>
      <c r="M13227" s="16" t="str">
        <f>IFERROR(__xludf.DUMMYFUNCTION("""COMPUTED_VALUE"""),"")</f>
        <v/>
      </c>
      <c r="U13227" s="16" t="s">
        <v>87</v>
      </c>
      <c r="V13227" s="16" t="str">
        <f>IFERROR(__xludf.DUMMYFUNCTION("""COMPUTED_VALUE"""),"")</f>
        <v/>
      </c>
      <c r="W13227" s="16" t="str">
        <f>IFERROR(__xludf.DUMMYFUNCTION("""COMPUTED_VALUE"""),"")</f>
        <v/>
      </c>
      <c r="X13227" s="16" t="str">
        <f>IFERROR(__xludf.DUMMYFUNCTION("""COMPUTED_VALUE"""),"")</f>
        <v/>
      </c>
      <c r="AC13227" s="16" t="str">
        <f>IFERROR(__xludf.DUMMYFUNCTION("""COMPUTED_VALUE"""),"")</f>
        <v/>
      </c>
    </row>
    <row r="13228">
      <c r="A13228" s="16" t="s">
        <v>87</v>
      </c>
      <c r="E13228" s="16" t="str">
        <f>IFERROR(__xludf.DUMMYFUNCTION("""COMPUTED_VALUE"""),"")</f>
        <v/>
      </c>
      <c r="G13228" s="18"/>
      <c r="H13228" s="16" t="s">
        <v>87</v>
      </c>
      <c r="I13228" s="16" t="s">
        <v>87</v>
      </c>
      <c r="J13228" s="19"/>
      <c r="L13228" s="16" t="str">
        <f>IFERROR(__xludf.DUMMYFUNCTION("""COMPUTED_VALUE"""),"")</f>
        <v/>
      </c>
      <c r="M13228" s="16" t="str">
        <f>IFERROR(__xludf.DUMMYFUNCTION("""COMPUTED_VALUE"""),"")</f>
        <v/>
      </c>
      <c r="U13228" s="16" t="s">
        <v>87</v>
      </c>
      <c r="V13228" s="16" t="str">
        <f>IFERROR(__xludf.DUMMYFUNCTION("""COMPUTED_VALUE"""),"")</f>
        <v/>
      </c>
      <c r="W13228" s="16" t="str">
        <f>IFERROR(__xludf.DUMMYFUNCTION("""COMPUTED_VALUE"""),"")</f>
        <v/>
      </c>
      <c r="X13228" s="16" t="str">
        <f>IFERROR(__xludf.DUMMYFUNCTION("""COMPUTED_VALUE"""),"")</f>
        <v/>
      </c>
      <c r="AC13228" s="16" t="str">
        <f>IFERROR(__xludf.DUMMYFUNCTION("""COMPUTED_VALUE"""),"")</f>
        <v/>
      </c>
    </row>
    <row r="13229">
      <c r="A13229" s="16" t="s">
        <v>87</v>
      </c>
      <c r="E13229" s="16" t="str">
        <f>IFERROR(__xludf.DUMMYFUNCTION("""COMPUTED_VALUE"""),"")</f>
        <v/>
      </c>
      <c r="G13229" s="18"/>
      <c r="H13229" s="16" t="s">
        <v>87</v>
      </c>
      <c r="I13229" s="16" t="s">
        <v>87</v>
      </c>
      <c r="J13229" s="19"/>
      <c r="L13229" s="16" t="str">
        <f>IFERROR(__xludf.DUMMYFUNCTION("""COMPUTED_VALUE"""),"")</f>
        <v/>
      </c>
      <c r="M13229" s="16" t="str">
        <f>IFERROR(__xludf.DUMMYFUNCTION("""COMPUTED_VALUE"""),"")</f>
        <v/>
      </c>
      <c r="U13229" s="16" t="s">
        <v>87</v>
      </c>
      <c r="V13229" s="16" t="str">
        <f>IFERROR(__xludf.DUMMYFUNCTION("""COMPUTED_VALUE"""),"")</f>
        <v/>
      </c>
      <c r="W13229" s="16" t="str">
        <f>IFERROR(__xludf.DUMMYFUNCTION("""COMPUTED_VALUE"""),"")</f>
        <v/>
      </c>
      <c r="X13229" s="16" t="str">
        <f>IFERROR(__xludf.DUMMYFUNCTION("""COMPUTED_VALUE"""),"")</f>
        <v/>
      </c>
      <c r="AC13229" s="16" t="str">
        <f>IFERROR(__xludf.DUMMYFUNCTION("""COMPUTED_VALUE"""),"")</f>
        <v/>
      </c>
    </row>
    <row r="13230">
      <c r="A13230" s="16" t="s">
        <v>87</v>
      </c>
      <c r="E13230" s="16" t="str">
        <f>IFERROR(__xludf.DUMMYFUNCTION("""COMPUTED_VALUE"""),"")</f>
        <v/>
      </c>
      <c r="G13230" s="18"/>
      <c r="H13230" s="16" t="s">
        <v>87</v>
      </c>
      <c r="I13230" s="16" t="s">
        <v>87</v>
      </c>
      <c r="J13230" s="19"/>
      <c r="L13230" s="16" t="str">
        <f>IFERROR(__xludf.DUMMYFUNCTION("""COMPUTED_VALUE"""),"")</f>
        <v/>
      </c>
      <c r="M13230" s="16" t="str">
        <f>IFERROR(__xludf.DUMMYFUNCTION("""COMPUTED_VALUE"""),"")</f>
        <v/>
      </c>
      <c r="U13230" s="16" t="s">
        <v>87</v>
      </c>
      <c r="V13230" s="16" t="str">
        <f>IFERROR(__xludf.DUMMYFUNCTION("""COMPUTED_VALUE"""),"")</f>
        <v/>
      </c>
      <c r="W13230" s="16" t="str">
        <f>IFERROR(__xludf.DUMMYFUNCTION("""COMPUTED_VALUE"""),"")</f>
        <v/>
      </c>
      <c r="X13230" s="16" t="str">
        <f>IFERROR(__xludf.DUMMYFUNCTION("""COMPUTED_VALUE"""),"")</f>
        <v/>
      </c>
      <c r="AC13230" s="16" t="str">
        <f>IFERROR(__xludf.DUMMYFUNCTION("""COMPUTED_VALUE"""),"")</f>
        <v/>
      </c>
    </row>
    <row r="13231">
      <c r="A13231" s="16" t="s">
        <v>87</v>
      </c>
      <c r="E13231" s="16" t="str">
        <f>IFERROR(__xludf.DUMMYFUNCTION("""COMPUTED_VALUE"""),"")</f>
        <v/>
      </c>
      <c r="G13231" s="18"/>
      <c r="H13231" s="16" t="s">
        <v>87</v>
      </c>
      <c r="I13231" s="16" t="s">
        <v>87</v>
      </c>
      <c r="J13231" s="19"/>
      <c r="L13231" s="16" t="str">
        <f>IFERROR(__xludf.DUMMYFUNCTION("""COMPUTED_VALUE"""),"")</f>
        <v/>
      </c>
      <c r="M13231" s="16" t="str">
        <f>IFERROR(__xludf.DUMMYFUNCTION("""COMPUTED_VALUE"""),"")</f>
        <v/>
      </c>
      <c r="U13231" s="16" t="s">
        <v>87</v>
      </c>
      <c r="V13231" s="16" t="str">
        <f>IFERROR(__xludf.DUMMYFUNCTION("""COMPUTED_VALUE"""),"")</f>
        <v/>
      </c>
      <c r="W13231" s="16" t="str">
        <f>IFERROR(__xludf.DUMMYFUNCTION("""COMPUTED_VALUE"""),"")</f>
        <v/>
      </c>
      <c r="X13231" s="16" t="str">
        <f>IFERROR(__xludf.DUMMYFUNCTION("""COMPUTED_VALUE"""),"")</f>
        <v/>
      </c>
      <c r="AC13231" s="16" t="str">
        <f>IFERROR(__xludf.DUMMYFUNCTION("""COMPUTED_VALUE"""),"")</f>
        <v/>
      </c>
    </row>
    <row r="13232">
      <c r="A13232" s="16" t="s">
        <v>87</v>
      </c>
      <c r="E13232" s="16" t="str">
        <f>IFERROR(__xludf.DUMMYFUNCTION("""COMPUTED_VALUE"""),"")</f>
        <v/>
      </c>
      <c r="G13232" s="18"/>
      <c r="H13232" s="16" t="s">
        <v>87</v>
      </c>
      <c r="I13232" s="16" t="s">
        <v>87</v>
      </c>
      <c r="J13232" s="19"/>
      <c r="L13232" s="16" t="str">
        <f>IFERROR(__xludf.DUMMYFUNCTION("""COMPUTED_VALUE"""),"")</f>
        <v/>
      </c>
      <c r="M13232" s="16" t="str">
        <f>IFERROR(__xludf.DUMMYFUNCTION("""COMPUTED_VALUE"""),"")</f>
        <v/>
      </c>
      <c r="U13232" s="16" t="s">
        <v>87</v>
      </c>
      <c r="V13232" s="16" t="str">
        <f>IFERROR(__xludf.DUMMYFUNCTION("""COMPUTED_VALUE"""),"")</f>
        <v/>
      </c>
      <c r="W13232" s="16" t="str">
        <f>IFERROR(__xludf.DUMMYFUNCTION("""COMPUTED_VALUE"""),"")</f>
        <v/>
      </c>
      <c r="X13232" s="16" t="str">
        <f>IFERROR(__xludf.DUMMYFUNCTION("""COMPUTED_VALUE"""),"")</f>
        <v/>
      </c>
      <c r="AC13232" s="16" t="str">
        <f>IFERROR(__xludf.DUMMYFUNCTION("""COMPUTED_VALUE"""),"")</f>
        <v/>
      </c>
    </row>
    <row r="13233">
      <c r="A13233" s="16" t="s">
        <v>87</v>
      </c>
      <c r="E13233" s="16" t="str">
        <f>IFERROR(__xludf.DUMMYFUNCTION("""COMPUTED_VALUE"""),"")</f>
        <v/>
      </c>
      <c r="G13233" s="18"/>
      <c r="H13233" s="16" t="s">
        <v>87</v>
      </c>
      <c r="I13233" s="16" t="s">
        <v>87</v>
      </c>
      <c r="J13233" s="19"/>
      <c r="L13233" s="16" t="str">
        <f>IFERROR(__xludf.DUMMYFUNCTION("""COMPUTED_VALUE"""),"")</f>
        <v/>
      </c>
      <c r="M13233" s="16" t="str">
        <f>IFERROR(__xludf.DUMMYFUNCTION("""COMPUTED_VALUE"""),"")</f>
        <v/>
      </c>
      <c r="U13233" s="16" t="s">
        <v>87</v>
      </c>
      <c r="V13233" s="16" t="str">
        <f>IFERROR(__xludf.DUMMYFUNCTION("""COMPUTED_VALUE"""),"")</f>
        <v/>
      </c>
      <c r="W13233" s="16" t="str">
        <f>IFERROR(__xludf.DUMMYFUNCTION("""COMPUTED_VALUE"""),"")</f>
        <v/>
      </c>
      <c r="X13233" s="16" t="str">
        <f>IFERROR(__xludf.DUMMYFUNCTION("""COMPUTED_VALUE"""),"")</f>
        <v/>
      </c>
      <c r="AC13233" s="16" t="str">
        <f>IFERROR(__xludf.DUMMYFUNCTION("""COMPUTED_VALUE"""),"")</f>
        <v/>
      </c>
    </row>
    <row r="13234">
      <c r="A13234" s="16" t="s">
        <v>87</v>
      </c>
      <c r="E13234" s="16" t="str">
        <f>IFERROR(__xludf.DUMMYFUNCTION("""COMPUTED_VALUE"""),"")</f>
        <v/>
      </c>
      <c r="G13234" s="18"/>
      <c r="H13234" s="16" t="s">
        <v>87</v>
      </c>
      <c r="I13234" s="16" t="s">
        <v>87</v>
      </c>
      <c r="J13234" s="19"/>
      <c r="L13234" s="16" t="str">
        <f>IFERROR(__xludf.DUMMYFUNCTION("""COMPUTED_VALUE"""),"")</f>
        <v/>
      </c>
      <c r="M13234" s="16" t="str">
        <f>IFERROR(__xludf.DUMMYFUNCTION("""COMPUTED_VALUE"""),"")</f>
        <v/>
      </c>
      <c r="U13234" s="16" t="s">
        <v>87</v>
      </c>
      <c r="V13234" s="16" t="str">
        <f>IFERROR(__xludf.DUMMYFUNCTION("""COMPUTED_VALUE"""),"")</f>
        <v/>
      </c>
      <c r="W13234" s="16" t="str">
        <f>IFERROR(__xludf.DUMMYFUNCTION("""COMPUTED_VALUE"""),"")</f>
        <v/>
      </c>
      <c r="X13234" s="16" t="str">
        <f>IFERROR(__xludf.DUMMYFUNCTION("""COMPUTED_VALUE"""),"")</f>
        <v/>
      </c>
      <c r="AC13234" s="16" t="str">
        <f>IFERROR(__xludf.DUMMYFUNCTION("""COMPUTED_VALUE"""),"")</f>
        <v/>
      </c>
    </row>
    <row r="13235">
      <c r="A13235" s="16" t="s">
        <v>87</v>
      </c>
      <c r="E13235" s="16" t="str">
        <f>IFERROR(__xludf.DUMMYFUNCTION("""COMPUTED_VALUE"""),"")</f>
        <v/>
      </c>
      <c r="G13235" s="18"/>
      <c r="H13235" s="16" t="s">
        <v>87</v>
      </c>
      <c r="I13235" s="16" t="s">
        <v>87</v>
      </c>
      <c r="J13235" s="19"/>
      <c r="L13235" s="16" t="str">
        <f>IFERROR(__xludf.DUMMYFUNCTION("""COMPUTED_VALUE"""),"")</f>
        <v/>
      </c>
      <c r="M13235" s="16" t="str">
        <f>IFERROR(__xludf.DUMMYFUNCTION("""COMPUTED_VALUE"""),"")</f>
        <v/>
      </c>
      <c r="U13235" s="16" t="s">
        <v>87</v>
      </c>
      <c r="V13235" s="16" t="str">
        <f>IFERROR(__xludf.DUMMYFUNCTION("""COMPUTED_VALUE"""),"")</f>
        <v/>
      </c>
      <c r="W13235" s="16" t="str">
        <f>IFERROR(__xludf.DUMMYFUNCTION("""COMPUTED_VALUE"""),"")</f>
        <v/>
      </c>
      <c r="X13235" s="16" t="str">
        <f>IFERROR(__xludf.DUMMYFUNCTION("""COMPUTED_VALUE"""),"")</f>
        <v/>
      </c>
      <c r="AC13235" s="16" t="str">
        <f>IFERROR(__xludf.DUMMYFUNCTION("""COMPUTED_VALUE"""),"")</f>
        <v/>
      </c>
    </row>
    <row r="13236">
      <c r="A13236" s="16" t="s">
        <v>87</v>
      </c>
      <c r="E13236" s="16" t="str">
        <f>IFERROR(__xludf.DUMMYFUNCTION("""COMPUTED_VALUE"""),"")</f>
        <v/>
      </c>
      <c r="G13236" s="18"/>
      <c r="H13236" s="16" t="s">
        <v>87</v>
      </c>
      <c r="I13236" s="16" t="s">
        <v>87</v>
      </c>
      <c r="J13236" s="19"/>
      <c r="L13236" s="16" t="str">
        <f>IFERROR(__xludf.DUMMYFUNCTION("""COMPUTED_VALUE"""),"")</f>
        <v/>
      </c>
      <c r="M13236" s="16" t="str">
        <f>IFERROR(__xludf.DUMMYFUNCTION("""COMPUTED_VALUE"""),"")</f>
        <v/>
      </c>
      <c r="U13236" s="16" t="s">
        <v>87</v>
      </c>
      <c r="V13236" s="16" t="str">
        <f>IFERROR(__xludf.DUMMYFUNCTION("""COMPUTED_VALUE"""),"")</f>
        <v/>
      </c>
      <c r="W13236" s="16" t="str">
        <f>IFERROR(__xludf.DUMMYFUNCTION("""COMPUTED_VALUE"""),"")</f>
        <v/>
      </c>
      <c r="X13236" s="16" t="str">
        <f>IFERROR(__xludf.DUMMYFUNCTION("""COMPUTED_VALUE"""),"")</f>
        <v/>
      </c>
      <c r="AC13236" s="16" t="str">
        <f>IFERROR(__xludf.DUMMYFUNCTION("""COMPUTED_VALUE"""),"")</f>
        <v/>
      </c>
    </row>
    <row r="13237">
      <c r="A13237" s="16" t="s">
        <v>87</v>
      </c>
      <c r="E13237" s="16" t="str">
        <f>IFERROR(__xludf.DUMMYFUNCTION("""COMPUTED_VALUE"""),"")</f>
        <v/>
      </c>
      <c r="G13237" s="18"/>
      <c r="H13237" s="16" t="s">
        <v>87</v>
      </c>
      <c r="I13237" s="16" t="s">
        <v>87</v>
      </c>
      <c r="J13237" s="19"/>
      <c r="L13237" s="16" t="str">
        <f>IFERROR(__xludf.DUMMYFUNCTION("""COMPUTED_VALUE"""),"")</f>
        <v/>
      </c>
      <c r="M13237" s="16" t="str">
        <f>IFERROR(__xludf.DUMMYFUNCTION("""COMPUTED_VALUE"""),"")</f>
        <v/>
      </c>
      <c r="U13237" s="16" t="s">
        <v>87</v>
      </c>
      <c r="V13237" s="16" t="str">
        <f>IFERROR(__xludf.DUMMYFUNCTION("""COMPUTED_VALUE"""),"")</f>
        <v/>
      </c>
      <c r="W13237" s="16" t="str">
        <f>IFERROR(__xludf.DUMMYFUNCTION("""COMPUTED_VALUE"""),"")</f>
        <v/>
      </c>
      <c r="X13237" s="16" t="str">
        <f>IFERROR(__xludf.DUMMYFUNCTION("""COMPUTED_VALUE"""),"")</f>
        <v/>
      </c>
      <c r="AC13237" s="16" t="str">
        <f>IFERROR(__xludf.DUMMYFUNCTION("""COMPUTED_VALUE"""),"")</f>
        <v/>
      </c>
    </row>
    <row r="13238">
      <c r="A13238" s="16" t="s">
        <v>87</v>
      </c>
      <c r="E13238" s="16" t="str">
        <f>IFERROR(__xludf.DUMMYFUNCTION("""COMPUTED_VALUE"""),"")</f>
        <v/>
      </c>
      <c r="G13238" s="18"/>
      <c r="H13238" s="16" t="s">
        <v>87</v>
      </c>
      <c r="I13238" s="16" t="s">
        <v>87</v>
      </c>
      <c r="J13238" s="19"/>
      <c r="L13238" s="16" t="str">
        <f>IFERROR(__xludf.DUMMYFUNCTION("""COMPUTED_VALUE"""),"")</f>
        <v/>
      </c>
      <c r="M13238" s="16" t="str">
        <f>IFERROR(__xludf.DUMMYFUNCTION("""COMPUTED_VALUE"""),"")</f>
        <v/>
      </c>
      <c r="U13238" s="16" t="s">
        <v>87</v>
      </c>
      <c r="V13238" s="16" t="str">
        <f>IFERROR(__xludf.DUMMYFUNCTION("""COMPUTED_VALUE"""),"")</f>
        <v/>
      </c>
      <c r="W13238" s="16" t="str">
        <f>IFERROR(__xludf.DUMMYFUNCTION("""COMPUTED_VALUE"""),"")</f>
        <v/>
      </c>
      <c r="X13238" s="16" t="str">
        <f>IFERROR(__xludf.DUMMYFUNCTION("""COMPUTED_VALUE"""),"")</f>
        <v/>
      </c>
      <c r="AC13238" s="16" t="str">
        <f>IFERROR(__xludf.DUMMYFUNCTION("""COMPUTED_VALUE"""),"")</f>
        <v/>
      </c>
    </row>
    <row r="13239">
      <c r="A13239" s="16" t="s">
        <v>87</v>
      </c>
      <c r="E13239" s="16" t="str">
        <f>IFERROR(__xludf.DUMMYFUNCTION("""COMPUTED_VALUE"""),"")</f>
        <v/>
      </c>
      <c r="G13239" s="18"/>
      <c r="H13239" s="16" t="s">
        <v>87</v>
      </c>
      <c r="I13239" s="16" t="s">
        <v>87</v>
      </c>
      <c r="J13239" s="19"/>
      <c r="L13239" s="16" t="str">
        <f>IFERROR(__xludf.DUMMYFUNCTION("""COMPUTED_VALUE"""),"")</f>
        <v/>
      </c>
      <c r="M13239" s="16" t="str">
        <f>IFERROR(__xludf.DUMMYFUNCTION("""COMPUTED_VALUE"""),"")</f>
        <v/>
      </c>
      <c r="U13239" s="16" t="s">
        <v>87</v>
      </c>
      <c r="V13239" s="16" t="str">
        <f>IFERROR(__xludf.DUMMYFUNCTION("""COMPUTED_VALUE"""),"")</f>
        <v/>
      </c>
      <c r="W13239" s="16" t="str">
        <f>IFERROR(__xludf.DUMMYFUNCTION("""COMPUTED_VALUE"""),"")</f>
        <v/>
      </c>
      <c r="X13239" s="16" t="str">
        <f>IFERROR(__xludf.DUMMYFUNCTION("""COMPUTED_VALUE"""),"")</f>
        <v/>
      </c>
      <c r="AC13239" s="16" t="str">
        <f>IFERROR(__xludf.DUMMYFUNCTION("""COMPUTED_VALUE"""),"")</f>
        <v/>
      </c>
    </row>
    <row r="13240">
      <c r="A13240" s="16" t="s">
        <v>87</v>
      </c>
      <c r="E13240" s="16" t="str">
        <f>IFERROR(__xludf.DUMMYFUNCTION("""COMPUTED_VALUE"""),"")</f>
        <v/>
      </c>
      <c r="G13240" s="18"/>
      <c r="H13240" s="16" t="s">
        <v>87</v>
      </c>
      <c r="I13240" s="16" t="s">
        <v>87</v>
      </c>
      <c r="J13240" s="19"/>
      <c r="L13240" s="16" t="str">
        <f>IFERROR(__xludf.DUMMYFUNCTION("""COMPUTED_VALUE"""),"")</f>
        <v/>
      </c>
      <c r="M13240" s="16" t="str">
        <f>IFERROR(__xludf.DUMMYFUNCTION("""COMPUTED_VALUE"""),"")</f>
        <v/>
      </c>
      <c r="U13240" s="16" t="s">
        <v>87</v>
      </c>
      <c r="V13240" s="16" t="str">
        <f>IFERROR(__xludf.DUMMYFUNCTION("""COMPUTED_VALUE"""),"")</f>
        <v/>
      </c>
      <c r="W13240" s="16" t="str">
        <f>IFERROR(__xludf.DUMMYFUNCTION("""COMPUTED_VALUE"""),"")</f>
        <v/>
      </c>
      <c r="X13240" s="16" t="str">
        <f>IFERROR(__xludf.DUMMYFUNCTION("""COMPUTED_VALUE"""),"")</f>
        <v/>
      </c>
      <c r="AC13240" s="16" t="str">
        <f>IFERROR(__xludf.DUMMYFUNCTION("""COMPUTED_VALUE"""),"")</f>
        <v/>
      </c>
    </row>
    <row r="13241">
      <c r="A13241" s="16" t="s">
        <v>87</v>
      </c>
      <c r="E13241" s="16" t="str">
        <f>IFERROR(__xludf.DUMMYFUNCTION("""COMPUTED_VALUE"""),"")</f>
        <v/>
      </c>
      <c r="G13241" s="18"/>
      <c r="H13241" s="16" t="s">
        <v>87</v>
      </c>
      <c r="I13241" s="16" t="s">
        <v>87</v>
      </c>
      <c r="J13241" s="19"/>
      <c r="L13241" s="16" t="str">
        <f>IFERROR(__xludf.DUMMYFUNCTION("""COMPUTED_VALUE"""),"")</f>
        <v/>
      </c>
      <c r="M13241" s="16" t="str">
        <f>IFERROR(__xludf.DUMMYFUNCTION("""COMPUTED_VALUE"""),"")</f>
        <v/>
      </c>
      <c r="U13241" s="16" t="s">
        <v>87</v>
      </c>
      <c r="V13241" s="16" t="str">
        <f>IFERROR(__xludf.DUMMYFUNCTION("""COMPUTED_VALUE"""),"")</f>
        <v/>
      </c>
      <c r="W13241" s="16" t="str">
        <f>IFERROR(__xludf.DUMMYFUNCTION("""COMPUTED_VALUE"""),"")</f>
        <v/>
      </c>
      <c r="X13241" s="16" t="str">
        <f>IFERROR(__xludf.DUMMYFUNCTION("""COMPUTED_VALUE"""),"")</f>
        <v/>
      </c>
      <c r="AC13241" s="16" t="str">
        <f>IFERROR(__xludf.DUMMYFUNCTION("""COMPUTED_VALUE"""),"")</f>
        <v/>
      </c>
    </row>
    <row r="13242">
      <c r="A13242" s="16" t="s">
        <v>87</v>
      </c>
      <c r="E13242" s="16" t="str">
        <f>IFERROR(__xludf.DUMMYFUNCTION("""COMPUTED_VALUE"""),"")</f>
        <v/>
      </c>
      <c r="G13242" s="18"/>
      <c r="H13242" s="16" t="s">
        <v>87</v>
      </c>
      <c r="I13242" s="16" t="s">
        <v>87</v>
      </c>
      <c r="J13242" s="19"/>
      <c r="L13242" s="16" t="str">
        <f>IFERROR(__xludf.DUMMYFUNCTION("""COMPUTED_VALUE"""),"")</f>
        <v/>
      </c>
      <c r="M13242" s="16" t="str">
        <f>IFERROR(__xludf.DUMMYFUNCTION("""COMPUTED_VALUE"""),"")</f>
        <v/>
      </c>
      <c r="U13242" s="16" t="s">
        <v>87</v>
      </c>
      <c r="V13242" s="16" t="str">
        <f>IFERROR(__xludf.DUMMYFUNCTION("""COMPUTED_VALUE"""),"")</f>
        <v/>
      </c>
      <c r="W13242" s="16" t="str">
        <f>IFERROR(__xludf.DUMMYFUNCTION("""COMPUTED_VALUE"""),"")</f>
        <v/>
      </c>
      <c r="X13242" s="16" t="str">
        <f>IFERROR(__xludf.DUMMYFUNCTION("""COMPUTED_VALUE"""),"")</f>
        <v/>
      </c>
      <c r="AC13242" s="16" t="str">
        <f>IFERROR(__xludf.DUMMYFUNCTION("""COMPUTED_VALUE"""),"")</f>
        <v/>
      </c>
    </row>
    <row r="13243">
      <c r="A13243" s="16" t="s">
        <v>87</v>
      </c>
      <c r="E13243" s="16" t="str">
        <f>IFERROR(__xludf.DUMMYFUNCTION("""COMPUTED_VALUE"""),"")</f>
        <v/>
      </c>
      <c r="G13243" s="18"/>
      <c r="H13243" s="16" t="s">
        <v>87</v>
      </c>
      <c r="I13243" s="16" t="s">
        <v>87</v>
      </c>
      <c r="J13243" s="19"/>
      <c r="L13243" s="16" t="str">
        <f>IFERROR(__xludf.DUMMYFUNCTION("""COMPUTED_VALUE"""),"")</f>
        <v/>
      </c>
      <c r="M13243" s="16" t="str">
        <f>IFERROR(__xludf.DUMMYFUNCTION("""COMPUTED_VALUE"""),"")</f>
        <v/>
      </c>
      <c r="U13243" s="16" t="s">
        <v>87</v>
      </c>
      <c r="V13243" s="16" t="str">
        <f>IFERROR(__xludf.DUMMYFUNCTION("""COMPUTED_VALUE"""),"")</f>
        <v/>
      </c>
      <c r="W13243" s="16" t="str">
        <f>IFERROR(__xludf.DUMMYFUNCTION("""COMPUTED_VALUE"""),"")</f>
        <v/>
      </c>
      <c r="X13243" s="16" t="str">
        <f>IFERROR(__xludf.DUMMYFUNCTION("""COMPUTED_VALUE"""),"")</f>
        <v/>
      </c>
      <c r="AC13243" s="16" t="str">
        <f>IFERROR(__xludf.DUMMYFUNCTION("""COMPUTED_VALUE"""),"")</f>
        <v/>
      </c>
    </row>
    <row r="13244">
      <c r="A13244" s="16" t="s">
        <v>87</v>
      </c>
      <c r="E13244" s="16" t="str">
        <f>IFERROR(__xludf.DUMMYFUNCTION("""COMPUTED_VALUE"""),"")</f>
        <v/>
      </c>
      <c r="G13244" s="18"/>
      <c r="H13244" s="16" t="s">
        <v>87</v>
      </c>
      <c r="I13244" s="16" t="s">
        <v>87</v>
      </c>
      <c r="J13244" s="19"/>
      <c r="L13244" s="16" t="str">
        <f>IFERROR(__xludf.DUMMYFUNCTION("""COMPUTED_VALUE"""),"")</f>
        <v/>
      </c>
      <c r="M13244" s="16" t="str">
        <f>IFERROR(__xludf.DUMMYFUNCTION("""COMPUTED_VALUE"""),"")</f>
        <v/>
      </c>
      <c r="U13244" s="16" t="s">
        <v>87</v>
      </c>
      <c r="V13244" s="16" t="str">
        <f>IFERROR(__xludf.DUMMYFUNCTION("""COMPUTED_VALUE"""),"")</f>
        <v/>
      </c>
      <c r="W13244" s="16" t="str">
        <f>IFERROR(__xludf.DUMMYFUNCTION("""COMPUTED_VALUE"""),"")</f>
        <v/>
      </c>
      <c r="X13244" s="16" t="str">
        <f>IFERROR(__xludf.DUMMYFUNCTION("""COMPUTED_VALUE"""),"")</f>
        <v/>
      </c>
      <c r="AC13244" s="16" t="str">
        <f>IFERROR(__xludf.DUMMYFUNCTION("""COMPUTED_VALUE"""),"")</f>
        <v/>
      </c>
    </row>
    <row r="13245">
      <c r="A13245" s="16" t="s">
        <v>87</v>
      </c>
      <c r="E13245" s="16" t="str">
        <f>IFERROR(__xludf.DUMMYFUNCTION("""COMPUTED_VALUE"""),"")</f>
        <v/>
      </c>
      <c r="G13245" s="18"/>
      <c r="H13245" s="16" t="s">
        <v>87</v>
      </c>
      <c r="I13245" s="16" t="s">
        <v>87</v>
      </c>
      <c r="J13245" s="19"/>
      <c r="L13245" s="16" t="str">
        <f>IFERROR(__xludf.DUMMYFUNCTION("""COMPUTED_VALUE"""),"")</f>
        <v/>
      </c>
      <c r="M13245" s="16" t="str">
        <f>IFERROR(__xludf.DUMMYFUNCTION("""COMPUTED_VALUE"""),"")</f>
        <v/>
      </c>
      <c r="U13245" s="16" t="s">
        <v>87</v>
      </c>
      <c r="V13245" s="16" t="str">
        <f>IFERROR(__xludf.DUMMYFUNCTION("""COMPUTED_VALUE"""),"")</f>
        <v/>
      </c>
      <c r="W13245" s="16" t="str">
        <f>IFERROR(__xludf.DUMMYFUNCTION("""COMPUTED_VALUE"""),"")</f>
        <v/>
      </c>
      <c r="X13245" s="16" t="str">
        <f>IFERROR(__xludf.DUMMYFUNCTION("""COMPUTED_VALUE"""),"")</f>
        <v/>
      </c>
      <c r="AC13245" s="16" t="str">
        <f>IFERROR(__xludf.DUMMYFUNCTION("""COMPUTED_VALUE"""),"")</f>
        <v/>
      </c>
    </row>
    <row r="13246">
      <c r="A13246" s="16" t="s">
        <v>87</v>
      </c>
      <c r="E13246" s="16" t="str">
        <f>IFERROR(__xludf.DUMMYFUNCTION("""COMPUTED_VALUE"""),"")</f>
        <v/>
      </c>
      <c r="G13246" s="18"/>
      <c r="H13246" s="16" t="s">
        <v>87</v>
      </c>
      <c r="I13246" s="16" t="s">
        <v>87</v>
      </c>
      <c r="J13246" s="19"/>
      <c r="L13246" s="16" t="str">
        <f>IFERROR(__xludf.DUMMYFUNCTION("""COMPUTED_VALUE"""),"")</f>
        <v/>
      </c>
      <c r="M13246" s="16" t="str">
        <f>IFERROR(__xludf.DUMMYFUNCTION("""COMPUTED_VALUE"""),"")</f>
        <v/>
      </c>
      <c r="U13246" s="16" t="s">
        <v>87</v>
      </c>
      <c r="V13246" s="16" t="str">
        <f>IFERROR(__xludf.DUMMYFUNCTION("""COMPUTED_VALUE"""),"")</f>
        <v/>
      </c>
      <c r="W13246" s="16" t="str">
        <f>IFERROR(__xludf.DUMMYFUNCTION("""COMPUTED_VALUE"""),"")</f>
        <v/>
      </c>
      <c r="X13246" s="16" t="str">
        <f>IFERROR(__xludf.DUMMYFUNCTION("""COMPUTED_VALUE"""),"")</f>
        <v/>
      </c>
      <c r="AC13246" s="16" t="str">
        <f>IFERROR(__xludf.DUMMYFUNCTION("""COMPUTED_VALUE"""),"")</f>
        <v/>
      </c>
    </row>
    <row r="13247">
      <c r="A13247" s="16" t="s">
        <v>87</v>
      </c>
      <c r="E13247" s="16" t="str">
        <f>IFERROR(__xludf.DUMMYFUNCTION("""COMPUTED_VALUE"""),"")</f>
        <v/>
      </c>
      <c r="G13247" s="18"/>
      <c r="H13247" s="16" t="s">
        <v>87</v>
      </c>
      <c r="I13247" s="16" t="s">
        <v>87</v>
      </c>
      <c r="J13247" s="19"/>
      <c r="L13247" s="16" t="str">
        <f>IFERROR(__xludf.DUMMYFUNCTION("""COMPUTED_VALUE"""),"")</f>
        <v/>
      </c>
      <c r="M13247" s="16" t="str">
        <f>IFERROR(__xludf.DUMMYFUNCTION("""COMPUTED_VALUE"""),"")</f>
        <v/>
      </c>
      <c r="U13247" s="16" t="s">
        <v>87</v>
      </c>
      <c r="V13247" s="16" t="str">
        <f>IFERROR(__xludf.DUMMYFUNCTION("""COMPUTED_VALUE"""),"")</f>
        <v/>
      </c>
      <c r="W13247" s="16" t="str">
        <f>IFERROR(__xludf.DUMMYFUNCTION("""COMPUTED_VALUE"""),"")</f>
        <v/>
      </c>
      <c r="X13247" s="16" t="str">
        <f>IFERROR(__xludf.DUMMYFUNCTION("""COMPUTED_VALUE"""),"")</f>
        <v/>
      </c>
      <c r="AC13247" s="16" t="str">
        <f>IFERROR(__xludf.DUMMYFUNCTION("""COMPUTED_VALUE"""),"")</f>
        <v/>
      </c>
    </row>
    <row r="13248">
      <c r="A13248" s="16" t="s">
        <v>87</v>
      </c>
      <c r="E13248" s="16" t="str">
        <f>IFERROR(__xludf.DUMMYFUNCTION("""COMPUTED_VALUE"""),"")</f>
        <v/>
      </c>
      <c r="G13248" s="18"/>
      <c r="H13248" s="16" t="s">
        <v>87</v>
      </c>
      <c r="I13248" s="16" t="s">
        <v>87</v>
      </c>
      <c r="J13248" s="19"/>
      <c r="L13248" s="16" t="str">
        <f>IFERROR(__xludf.DUMMYFUNCTION("""COMPUTED_VALUE"""),"")</f>
        <v/>
      </c>
      <c r="M13248" s="16" t="str">
        <f>IFERROR(__xludf.DUMMYFUNCTION("""COMPUTED_VALUE"""),"")</f>
        <v/>
      </c>
      <c r="U13248" s="16" t="s">
        <v>87</v>
      </c>
      <c r="V13248" s="16" t="str">
        <f>IFERROR(__xludf.DUMMYFUNCTION("""COMPUTED_VALUE"""),"")</f>
        <v/>
      </c>
      <c r="W13248" s="16" t="str">
        <f>IFERROR(__xludf.DUMMYFUNCTION("""COMPUTED_VALUE"""),"")</f>
        <v/>
      </c>
      <c r="X13248" s="16" t="str">
        <f>IFERROR(__xludf.DUMMYFUNCTION("""COMPUTED_VALUE"""),"")</f>
        <v/>
      </c>
      <c r="AC13248" s="16" t="str">
        <f>IFERROR(__xludf.DUMMYFUNCTION("""COMPUTED_VALUE"""),"")</f>
        <v/>
      </c>
    </row>
    <row r="13249">
      <c r="A13249" s="16" t="s">
        <v>87</v>
      </c>
      <c r="E13249" s="16" t="str">
        <f>IFERROR(__xludf.DUMMYFUNCTION("""COMPUTED_VALUE"""),"")</f>
        <v/>
      </c>
      <c r="G13249" s="18"/>
      <c r="H13249" s="16" t="s">
        <v>87</v>
      </c>
      <c r="I13249" s="16" t="s">
        <v>87</v>
      </c>
      <c r="J13249" s="19"/>
      <c r="L13249" s="16" t="str">
        <f>IFERROR(__xludf.DUMMYFUNCTION("""COMPUTED_VALUE"""),"")</f>
        <v/>
      </c>
      <c r="M13249" s="16" t="str">
        <f>IFERROR(__xludf.DUMMYFUNCTION("""COMPUTED_VALUE"""),"")</f>
        <v/>
      </c>
      <c r="U13249" s="16" t="s">
        <v>87</v>
      </c>
      <c r="V13249" s="16" t="str">
        <f>IFERROR(__xludf.DUMMYFUNCTION("""COMPUTED_VALUE"""),"")</f>
        <v/>
      </c>
      <c r="W13249" s="16" t="str">
        <f>IFERROR(__xludf.DUMMYFUNCTION("""COMPUTED_VALUE"""),"")</f>
        <v/>
      </c>
      <c r="X13249" s="16" t="str">
        <f>IFERROR(__xludf.DUMMYFUNCTION("""COMPUTED_VALUE"""),"")</f>
        <v/>
      </c>
      <c r="AC13249" s="16" t="str">
        <f>IFERROR(__xludf.DUMMYFUNCTION("""COMPUTED_VALUE"""),"")</f>
        <v/>
      </c>
    </row>
    <row r="13250">
      <c r="A13250" s="16" t="s">
        <v>87</v>
      </c>
      <c r="E13250" s="16" t="str">
        <f>IFERROR(__xludf.DUMMYFUNCTION("""COMPUTED_VALUE"""),"")</f>
        <v/>
      </c>
      <c r="G13250" s="18"/>
      <c r="H13250" s="16" t="s">
        <v>87</v>
      </c>
      <c r="I13250" s="16" t="s">
        <v>87</v>
      </c>
      <c r="J13250" s="19"/>
      <c r="L13250" s="16" t="str">
        <f>IFERROR(__xludf.DUMMYFUNCTION("""COMPUTED_VALUE"""),"")</f>
        <v/>
      </c>
      <c r="M13250" s="16" t="str">
        <f>IFERROR(__xludf.DUMMYFUNCTION("""COMPUTED_VALUE"""),"")</f>
        <v/>
      </c>
      <c r="U13250" s="16" t="s">
        <v>87</v>
      </c>
      <c r="V13250" s="16" t="str">
        <f>IFERROR(__xludf.DUMMYFUNCTION("""COMPUTED_VALUE"""),"")</f>
        <v/>
      </c>
      <c r="W13250" s="16" t="str">
        <f>IFERROR(__xludf.DUMMYFUNCTION("""COMPUTED_VALUE"""),"")</f>
        <v/>
      </c>
      <c r="X13250" s="16" t="str">
        <f>IFERROR(__xludf.DUMMYFUNCTION("""COMPUTED_VALUE"""),"")</f>
        <v/>
      </c>
      <c r="AC13250" s="16" t="str">
        <f>IFERROR(__xludf.DUMMYFUNCTION("""COMPUTED_VALUE"""),"")</f>
        <v/>
      </c>
    </row>
    <row r="13251">
      <c r="A13251" s="16" t="s">
        <v>87</v>
      </c>
      <c r="E13251" s="16" t="str">
        <f>IFERROR(__xludf.DUMMYFUNCTION("""COMPUTED_VALUE"""),"")</f>
        <v/>
      </c>
      <c r="G13251" s="18"/>
      <c r="H13251" s="16" t="s">
        <v>87</v>
      </c>
      <c r="I13251" s="16" t="s">
        <v>87</v>
      </c>
      <c r="J13251" s="19"/>
      <c r="L13251" s="16" t="str">
        <f>IFERROR(__xludf.DUMMYFUNCTION("""COMPUTED_VALUE"""),"")</f>
        <v/>
      </c>
      <c r="M13251" s="16" t="str">
        <f>IFERROR(__xludf.DUMMYFUNCTION("""COMPUTED_VALUE"""),"")</f>
        <v/>
      </c>
      <c r="U13251" s="16" t="s">
        <v>87</v>
      </c>
      <c r="V13251" s="16" t="str">
        <f>IFERROR(__xludf.DUMMYFUNCTION("""COMPUTED_VALUE"""),"")</f>
        <v/>
      </c>
      <c r="W13251" s="16" t="str">
        <f>IFERROR(__xludf.DUMMYFUNCTION("""COMPUTED_VALUE"""),"")</f>
        <v/>
      </c>
      <c r="X13251" s="16" t="str">
        <f>IFERROR(__xludf.DUMMYFUNCTION("""COMPUTED_VALUE"""),"")</f>
        <v/>
      </c>
      <c r="AC13251" s="16" t="str">
        <f>IFERROR(__xludf.DUMMYFUNCTION("""COMPUTED_VALUE"""),"")</f>
        <v/>
      </c>
    </row>
    <row r="13252">
      <c r="A13252" s="16" t="s">
        <v>87</v>
      </c>
      <c r="E13252" s="16" t="str">
        <f>IFERROR(__xludf.DUMMYFUNCTION("""COMPUTED_VALUE"""),"")</f>
        <v/>
      </c>
      <c r="G13252" s="18"/>
      <c r="H13252" s="16" t="s">
        <v>87</v>
      </c>
      <c r="I13252" s="16" t="s">
        <v>87</v>
      </c>
      <c r="J13252" s="19"/>
      <c r="L13252" s="16" t="str">
        <f>IFERROR(__xludf.DUMMYFUNCTION("""COMPUTED_VALUE"""),"")</f>
        <v/>
      </c>
      <c r="M13252" s="16" t="str">
        <f>IFERROR(__xludf.DUMMYFUNCTION("""COMPUTED_VALUE"""),"")</f>
        <v/>
      </c>
      <c r="U13252" s="16" t="s">
        <v>87</v>
      </c>
      <c r="V13252" s="16" t="str">
        <f>IFERROR(__xludf.DUMMYFUNCTION("""COMPUTED_VALUE"""),"")</f>
        <v/>
      </c>
      <c r="W13252" s="16" t="str">
        <f>IFERROR(__xludf.DUMMYFUNCTION("""COMPUTED_VALUE"""),"")</f>
        <v/>
      </c>
      <c r="X13252" s="16" t="str">
        <f>IFERROR(__xludf.DUMMYFUNCTION("""COMPUTED_VALUE"""),"")</f>
        <v/>
      </c>
      <c r="AC13252" s="16" t="str">
        <f>IFERROR(__xludf.DUMMYFUNCTION("""COMPUTED_VALUE"""),"")</f>
        <v/>
      </c>
    </row>
    <row r="13253">
      <c r="A13253" s="16" t="s">
        <v>87</v>
      </c>
      <c r="E13253" s="16" t="str">
        <f>IFERROR(__xludf.DUMMYFUNCTION("""COMPUTED_VALUE"""),"")</f>
        <v/>
      </c>
      <c r="G13253" s="18"/>
      <c r="H13253" s="16" t="s">
        <v>87</v>
      </c>
      <c r="I13253" s="16" t="s">
        <v>87</v>
      </c>
      <c r="J13253" s="19"/>
      <c r="L13253" s="16" t="str">
        <f>IFERROR(__xludf.DUMMYFUNCTION("""COMPUTED_VALUE"""),"")</f>
        <v/>
      </c>
      <c r="M13253" s="16" t="str">
        <f>IFERROR(__xludf.DUMMYFUNCTION("""COMPUTED_VALUE"""),"")</f>
        <v/>
      </c>
      <c r="U13253" s="16" t="s">
        <v>87</v>
      </c>
      <c r="V13253" s="16" t="str">
        <f>IFERROR(__xludf.DUMMYFUNCTION("""COMPUTED_VALUE"""),"")</f>
        <v/>
      </c>
      <c r="W13253" s="16" t="str">
        <f>IFERROR(__xludf.DUMMYFUNCTION("""COMPUTED_VALUE"""),"")</f>
        <v/>
      </c>
      <c r="X13253" s="16" t="str">
        <f>IFERROR(__xludf.DUMMYFUNCTION("""COMPUTED_VALUE"""),"")</f>
        <v/>
      </c>
      <c r="AC13253" s="16" t="str">
        <f>IFERROR(__xludf.DUMMYFUNCTION("""COMPUTED_VALUE"""),"")</f>
        <v/>
      </c>
    </row>
    <row r="13254">
      <c r="A13254" s="16" t="s">
        <v>87</v>
      </c>
      <c r="E13254" s="16" t="str">
        <f>IFERROR(__xludf.DUMMYFUNCTION("""COMPUTED_VALUE"""),"")</f>
        <v/>
      </c>
      <c r="G13254" s="18"/>
      <c r="H13254" s="16" t="s">
        <v>87</v>
      </c>
      <c r="I13254" s="16" t="s">
        <v>87</v>
      </c>
      <c r="J13254" s="19"/>
      <c r="L13254" s="16" t="str">
        <f>IFERROR(__xludf.DUMMYFUNCTION("""COMPUTED_VALUE"""),"")</f>
        <v/>
      </c>
      <c r="M13254" s="16" t="str">
        <f>IFERROR(__xludf.DUMMYFUNCTION("""COMPUTED_VALUE"""),"")</f>
        <v/>
      </c>
      <c r="U13254" s="16" t="s">
        <v>87</v>
      </c>
      <c r="V13254" s="16" t="str">
        <f>IFERROR(__xludf.DUMMYFUNCTION("""COMPUTED_VALUE"""),"")</f>
        <v/>
      </c>
      <c r="W13254" s="16" t="str">
        <f>IFERROR(__xludf.DUMMYFUNCTION("""COMPUTED_VALUE"""),"")</f>
        <v/>
      </c>
      <c r="X13254" s="16" t="str">
        <f>IFERROR(__xludf.DUMMYFUNCTION("""COMPUTED_VALUE"""),"")</f>
        <v/>
      </c>
      <c r="AC13254" s="16" t="str">
        <f>IFERROR(__xludf.DUMMYFUNCTION("""COMPUTED_VALUE"""),"")</f>
        <v/>
      </c>
    </row>
    <row r="13255">
      <c r="A13255" s="16" t="s">
        <v>87</v>
      </c>
      <c r="E13255" s="16" t="str">
        <f>IFERROR(__xludf.DUMMYFUNCTION("""COMPUTED_VALUE"""),"")</f>
        <v/>
      </c>
      <c r="G13255" s="18"/>
      <c r="H13255" s="16" t="s">
        <v>87</v>
      </c>
      <c r="I13255" s="16" t="s">
        <v>87</v>
      </c>
      <c r="J13255" s="19"/>
      <c r="L13255" s="16" t="str">
        <f>IFERROR(__xludf.DUMMYFUNCTION("""COMPUTED_VALUE"""),"")</f>
        <v/>
      </c>
      <c r="M13255" s="16" t="str">
        <f>IFERROR(__xludf.DUMMYFUNCTION("""COMPUTED_VALUE"""),"")</f>
        <v/>
      </c>
      <c r="U13255" s="16" t="s">
        <v>87</v>
      </c>
      <c r="V13255" s="16" t="str">
        <f>IFERROR(__xludf.DUMMYFUNCTION("""COMPUTED_VALUE"""),"")</f>
        <v/>
      </c>
      <c r="W13255" s="16" t="str">
        <f>IFERROR(__xludf.DUMMYFUNCTION("""COMPUTED_VALUE"""),"")</f>
        <v/>
      </c>
      <c r="X13255" s="16" t="str">
        <f>IFERROR(__xludf.DUMMYFUNCTION("""COMPUTED_VALUE"""),"")</f>
        <v/>
      </c>
      <c r="AC13255" s="16" t="str">
        <f>IFERROR(__xludf.DUMMYFUNCTION("""COMPUTED_VALUE"""),"")</f>
        <v/>
      </c>
    </row>
    <row r="13256">
      <c r="A13256" s="16" t="s">
        <v>87</v>
      </c>
      <c r="E13256" s="16" t="str">
        <f>IFERROR(__xludf.DUMMYFUNCTION("""COMPUTED_VALUE"""),"")</f>
        <v/>
      </c>
      <c r="G13256" s="18"/>
      <c r="H13256" s="16" t="s">
        <v>87</v>
      </c>
      <c r="I13256" s="16" t="s">
        <v>87</v>
      </c>
      <c r="J13256" s="19"/>
      <c r="L13256" s="16" t="str">
        <f>IFERROR(__xludf.DUMMYFUNCTION("""COMPUTED_VALUE"""),"")</f>
        <v/>
      </c>
      <c r="M13256" s="16" t="str">
        <f>IFERROR(__xludf.DUMMYFUNCTION("""COMPUTED_VALUE"""),"")</f>
        <v/>
      </c>
      <c r="U13256" s="16" t="s">
        <v>87</v>
      </c>
      <c r="V13256" s="16" t="str">
        <f>IFERROR(__xludf.DUMMYFUNCTION("""COMPUTED_VALUE"""),"")</f>
        <v/>
      </c>
      <c r="W13256" s="16" t="str">
        <f>IFERROR(__xludf.DUMMYFUNCTION("""COMPUTED_VALUE"""),"")</f>
        <v/>
      </c>
      <c r="X13256" s="16" t="str">
        <f>IFERROR(__xludf.DUMMYFUNCTION("""COMPUTED_VALUE"""),"")</f>
        <v/>
      </c>
      <c r="AC13256" s="16" t="str">
        <f>IFERROR(__xludf.DUMMYFUNCTION("""COMPUTED_VALUE"""),"")</f>
        <v/>
      </c>
    </row>
    <row r="13257">
      <c r="A13257" s="16" t="s">
        <v>87</v>
      </c>
      <c r="E13257" s="16" t="str">
        <f>IFERROR(__xludf.DUMMYFUNCTION("""COMPUTED_VALUE"""),"")</f>
        <v/>
      </c>
      <c r="G13257" s="18"/>
      <c r="H13257" s="16" t="s">
        <v>87</v>
      </c>
      <c r="I13257" s="16" t="s">
        <v>87</v>
      </c>
      <c r="J13257" s="19"/>
      <c r="L13257" s="16" t="str">
        <f>IFERROR(__xludf.DUMMYFUNCTION("""COMPUTED_VALUE"""),"")</f>
        <v/>
      </c>
      <c r="M13257" s="16" t="str">
        <f>IFERROR(__xludf.DUMMYFUNCTION("""COMPUTED_VALUE"""),"")</f>
        <v/>
      </c>
      <c r="U13257" s="16" t="s">
        <v>87</v>
      </c>
      <c r="V13257" s="16" t="str">
        <f>IFERROR(__xludf.DUMMYFUNCTION("""COMPUTED_VALUE"""),"")</f>
        <v/>
      </c>
      <c r="W13257" s="16" t="str">
        <f>IFERROR(__xludf.DUMMYFUNCTION("""COMPUTED_VALUE"""),"")</f>
        <v/>
      </c>
      <c r="X13257" s="16" t="str">
        <f>IFERROR(__xludf.DUMMYFUNCTION("""COMPUTED_VALUE"""),"")</f>
        <v/>
      </c>
      <c r="AC13257" s="16" t="str">
        <f>IFERROR(__xludf.DUMMYFUNCTION("""COMPUTED_VALUE"""),"")</f>
        <v/>
      </c>
    </row>
    <row r="13258">
      <c r="A13258" s="16" t="s">
        <v>87</v>
      </c>
      <c r="E13258" s="16" t="str">
        <f>IFERROR(__xludf.DUMMYFUNCTION("""COMPUTED_VALUE"""),"")</f>
        <v/>
      </c>
      <c r="G13258" s="18"/>
      <c r="H13258" s="16" t="s">
        <v>87</v>
      </c>
      <c r="I13258" s="16" t="s">
        <v>87</v>
      </c>
      <c r="J13258" s="19"/>
      <c r="L13258" s="16" t="str">
        <f>IFERROR(__xludf.DUMMYFUNCTION("""COMPUTED_VALUE"""),"")</f>
        <v/>
      </c>
      <c r="M13258" s="16" t="str">
        <f>IFERROR(__xludf.DUMMYFUNCTION("""COMPUTED_VALUE"""),"")</f>
        <v/>
      </c>
      <c r="U13258" s="16" t="s">
        <v>87</v>
      </c>
      <c r="V13258" s="16" t="str">
        <f>IFERROR(__xludf.DUMMYFUNCTION("""COMPUTED_VALUE"""),"")</f>
        <v/>
      </c>
      <c r="W13258" s="16" t="str">
        <f>IFERROR(__xludf.DUMMYFUNCTION("""COMPUTED_VALUE"""),"")</f>
        <v/>
      </c>
      <c r="X13258" s="16" t="str">
        <f>IFERROR(__xludf.DUMMYFUNCTION("""COMPUTED_VALUE"""),"")</f>
        <v/>
      </c>
      <c r="AC13258" s="16" t="str">
        <f>IFERROR(__xludf.DUMMYFUNCTION("""COMPUTED_VALUE"""),"")</f>
        <v/>
      </c>
    </row>
    <row r="13259">
      <c r="A13259" s="16" t="s">
        <v>87</v>
      </c>
      <c r="E13259" s="16" t="str">
        <f>IFERROR(__xludf.DUMMYFUNCTION("""COMPUTED_VALUE"""),"")</f>
        <v/>
      </c>
      <c r="G13259" s="18"/>
      <c r="H13259" s="16" t="s">
        <v>87</v>
      </c>
      <c r="I13259" s="16" t="s">
        <v>87</v>
      </c>
      <c r="J13259" s="19"/>
      <c r="L13259" s="16" t="str">
        <f>IFERROR(__xludf.DUMMYFUNCTION("""COMPUTED_VALUE"""),"")</f>
        <v/>
      </c>
      <c r="M13259" s="16" t="str">
        <f>IFERROR(__xludf.DUMMYFUNCTION("""COMPUTED_VALUE"""),"")</f>
        <v/>
      </c>
      <c r="U13259" s="16" t="s">
        <v>87</v>
      </c>
      <c r="V13259" s="16" t="str">
        <f>IFERROR(__xludf.DUMMYFUNCTION("""COMPUTED_VALUE"""),"")</f>
        <v/>
      </c>
      <c r="W13259" s="16" t="str">
        <f>IFERROR(__xludf.DUMMYFUNCTION("""COMPUTED_VALUE"""),"")</f>
        <v/>
      </c>
      <c r="X13259" s="16" t="str">
        <f>IFERROR(__xludf.DUMMYFUNCTION("""COMPUTED_VALUE"""),"")</f>
        <v/>
      </c>
      <c r="AC13259" s="16" t="str">
        <f>IFERROR(__xludf.DUMMYFUNCTION("""COMPUTED_VALUE"""),"")</f>
        <v/>
      </c>
    </row>
    <row r="13260">
      <c r="A13260" s="16" t="s">
        <v>87</v>
      </c>
      <c r="E13260" s="16" t="str">
        <f>IFERROR(__xludf.DUMMYFUNCTION("""COMPUTED_VALUE"""),"")</f>
        <v/>
      </c>
      <c r="G13260" s="18"/>
      <c r="H13260" s="16" t="s">
        <v>87</v>
      </c>
      <c r="I13260" s="16" t="s">
        <v>87</v>
      </c>
      <c r="J13260" s="19"/>
      <c r="L13260" s="16" t="str">
        <f>IFERROR(__xludf.DUMMYFUNCTION("""COMPUTED_VALUE"""),"")</f>
        <v/>
      </c>
      <c r="M13260" s="16" t="str">
        <f>IFERROR(__xludf.DUMMYFUNCTION("""COMPUTED_VALUE"""),"")</f>
        <v/>
      </c>
      <c r="U13260" s="16" t="s">
        <v>87</v>
      </c>
      <c r="V13260" s="16" t="str">
        <f>IFERROR(__xludf.DUMMYFUNCTION("""COMPUTED_VALUE"""),"")</f>
        <v/>
      </c>
      <c r="W13260" s="16" t="str">
        <f>IFERROR(__xludf.DUMMYFUNCTION("""COMPUTED_VALUE"""),"")</f>
        <v/>
      </c>
      <c r="X13260" s="16" t="str">
        <f>IFERROR(__xludf.DUMMYFUNCTION("""COMPUTED_VALUE"""),"")</f>
        <v/>
      </c>
      <c r="AC13260" s="16" t="str">
        <f>IFERROR(__xludf.DUMMYFUNCTION("""COMPUTED_VALUE"""),"")</f>
        <v/>
      </c>
    </row>
    <row r="13261">
      <c r="A13261" s="16" t="s">
        <v>87</v>
      </c>
      <c r="E13261" s="16" t="str">
        <f>IFERROR(__xludf.DUMMYFUNCTION("""COMPUTED_VALUE"""),"")</f>
        <v/>
      </c>
      <c r="G13261" s="18"/>
      <c r="H13261" s="16" t="s">
        <v>87</v>
      </c>
      <c r="I13261" s="16" t="s">
        <v>87</v>
      </c>
      <c r="J13261" s="19"/>
      <c r="L13261" s="16" t="str">
        <f>IFERROR(__xludf.DUMMYFUNCTION("""COMPUTED_VALUE"""),"")</f>
        <v/>
      </c>
      <c r="M13261" s="16" t="str">
        <f>IFERROR(__xludf.DUMMYFUNCTION("""COMPUTED_VALUE"""),"")</f>
        <v/>
      </c>
      <c r="U13261" s="16" t="s">
        <v>87</v>
      </c>
      <c r="V13261" s="16" t="str">
        <f>IFERROR(__xludf.DUMMYFUNCTION("""COMPUTED_VALUE"""),"")</f>
        <v/>
      </c>
      <c r="W13261" s="16" t="str">
        <f>IFERROR(__xludf.DUMMYFUNCTION("""COMPUTED_VALUE"""),"")</f>
        <v/>
      </c>
      <c r="X13261" s="16" t="str">
        <f>IFERROR(__xludf.DUMMYFUNCTION("""COMPUTED_VALUE"""),"")</f>
        <v/>
      </c>
      <c r="AC13261" s="16" t="str">
        <f>IFERROR(__xludf.DUMMYFUNCTION("""COMPUTED_VALUE"""),"")</f>
        <v/>
      </c>
    </row>
    <row r="13262">
      <c r="A13262" s="16" t="s">
        <v>87</v>
      </c>
      <c r="E13262" s="16" t="str">
        <f>IFERROR(__xludf.DUMMYFUNCTION("""COMPUTED_VALUE"""),"")</f>
        <v/>
      </c>
      <c r="G13262" s="18"/>
      <c r="H13262" s="16" t="s">
        <v>87</v>
      </c>
      <c r="I13262" s="16" t="s">
        <v>87</v>
      </c>
      <c r="J13262" s="19"/>
      <c r="L13262" s="16" t="str">
        <f>IFERROR(__xludf.DUMMYFUNCTION("""COMPUTED_VALUE"""),"")</f>
        <v/>
      </c>
      <c r="M13262" s="16" t="str">
        <f>IFERROR(__xludf.DUMMYFUNCTION("""COMPUTED_VALUE"""),"")</f>
        <v/>
      </c>
      <c r="U13262" s="16" t="s">
        <v>87</v>
      </c>
      <c r="V13262" s="16" t="str">
        <f>IFERROR(__xludf.DUMMYFUNCTION("""COMPUTED_VALUE"""),"")</f>
        <v/>
      </c>
      <c r="W13262" s="16" t="str">
        <f>IFERROR(__xludf.DUMMYFUNCTION("""COMPUTED_VALUE"""),"")</f>
        <v/>
      </c>
      <c r="X13262" s="16" t="str">
        <f>IFERROR(__xludf.DUMMYFUNCTION("""COMPUTED_VALUE"""),"")</f>
        <v/>
      </c>
      <c r="AC13262" s="16" t="str">
        <f>IFERROR(__xludf.DUMMYFUNCTION("""COMPUTED_VALUE"""),"")</f>
        <v/>
      </c>
    </row>
    <row r="13263">
      <c r="A13263" s="16" t="s">
        <v>87</v>
      </c>
      <c r="E13263" s="16" t="str">
        <f>IFERROR(__xludf.DUMMYFUNCTION("""COMPUTED_VALUE"""),"")</f>
        <v/>
      </c>
      <c r="G13263" s="18"/>
      <c r="H13263" s="16" t="s">
        <v>87</v>
      </c>
      <c r="I13263" s="16" t="s">
        <v>87</v>
      </c>
      <c r="J13263" s="19"/>
      <c r="L13263" s="16" t="str">
        <f>IFERROR(__xludf.DUMMYFUNCTION("""COMPUTED_VALUE"""),"")</f>
        <v/>
      </c>
      <c r="M13263" s="16" t="str">
        <f>IFERROR(__xludf.DUMMYFUNCTION("""COMPUTED_VALUE"""),"")</f>
        <v/>
      </c>
      <c r="U13263" s="16" t="s">
        <v>87</v>
      </c>
      <c r="V13263" s="16" t="str">
        <f>IFERROR(__xludf.DUMMYFUNCTION("""COMPUTED_VALUE"""),"")</f>
        <v/>
      </c>
      <c r="W13263" s="16" t="str">
        <f>IFERROR(__xludf.DUMMYFUNCTION("""COMPUTED_VALUE"""),"")</f>
        <v/>
      </c>
      <c r="X13263" s="16" t="str">
        <f>IFERROR(__xludf.DUMMYFUNCTION("""COMPUTED_VALUE"""),"")</f>
        <v/>
      </c>
      <c r="AC13263" s="16" t="str">
        <f>IFERROR(__xludf.DUMMYFUNCTION("""COMPUTED_VALUE"""),"")</f>
        <v/>
      </c>
    </row>
    <row r="13264">
      <c r="A13264" s="16" t="s">
        <v>87</v>
      </c>
      <c r="E13264" s="16" t="str">
        <f>IFERROR(__xludf.DUMMYFUNCTION("""COMPUTED_VALUE"""),"")</f>
        <v/>
      </c>
      <c r="G13264" s="18"/>
      <c r="H13264" s="16" t="s">
        <v>87</v>
      </c>
      <c r="I13264" s="16" t="s">
        <v>87</v>
      </c>
      <c r="J13264" s="19"/>
      <c r="L13264" s="16" t="str">
        <f>IFERROR(__xludf.DUMMYFUNCTION("""COMPUTED_VALUE"""),"")</f>
        <v/>
      </c>
      <c r="M13264" s="16" t="str">
        <f>IFERROR(__xludf.DUMMYFUNCTION("""COMPUTED_VALUE"""),"")</f>
        <v/>
      </c>
      <c r="U13264" s="16" t="s">
        <v>87</v>
      </c>
      <c r="V13264" s="16" t="str">
        <f>IFERROR(__xludf.DUMMYFUNCTION("""COMPUTED_VALUE"""),"")</f>
        <v/>
      </c>
      <c r="W13264" s="16" t="str">
        <f>IFERROR(__xludf.DUMMYFUNCTION("""COMPUTED_VALUE"""),"")</f>
        <v/>
      </c>
      <c r="X13264" s="16" t="str">
        <f>IFERROR(__xludf.DUMMYFUNCTION("""COMPUTED_VALUE"""),"")</f>
        <v/>
      </c>
      <c r="AC13264" s="16" t="str">
        <f>IFERROR(__xludf.DUMMYFUNCTION("""COMPUTED_VALUE"""),"")</f>
        <v/>
      </c>
    </row>
    <row r="13265">
      <c r="A13265" s="16" t="s">
        <v>87</v>
      </c>
      <c r="E13265" s="16" t="str">
        <f>IFERROR(__xludf.DUMMYFUNCTION("""COMPUTED_VALUE"""),"")</f>
        <v/>
      </c>
      <c r="G13265" s="18"/>
      <c r="H13265" s="16" t="s">
        <v>87</v>
      </c>
      <c r="I13265" s="16" t="s">
        <v>87</v>
      </c>
      <c r="J13265" s="19"/>
      <c r="L13265" s="16" t="str">
        <f>IFERROR(__xludf.DUMMYFUNCTION("""COMPUTED_VALUE"""),"")</f>
        <v/>
      </c>
      <c r="M13265" s="16" t="str">
        <f>IFERROR(__xludf.DUMMYFUNCTION("""COMPUTED_VALUE"""),"")</f>
        <v/>
      </c>
      <c r="U13265" s="16" t="s">
        <v>87</v>
      </c>
      <c r="V13265" s="16" t="str">
        <f>IFERROR(__xludf.DUMMYFUNCTION("""COMPUTED_VALUE"""),"")</f>
        <v/>
      </c>
      <c r="W13265" s="16" t="str">
        <f>IFERROR(__xludf.DUMMYFUNCTION("""COMPUTED_VALUE"""),"")</f>
        <v/>
      </c>
      <c r="X13265" s="16" t="str">
        <f>IFERROR(__xludf.DUMMYFUNCTION("""COMPUTED_VALUE"""),"")</f>
        <v/>
      </c>
      <c r="AC13265" s="16" t="str">
        <f>IFERROR(__xludf.DUMMYFUNCTION("""COMPUTED_VALUE"""),"")</f>
        <v/>
      </c>
    </row>
    <row r="13266">
      <c r="A13266" s="16" t="s">
        <v>87</v>
      </c>
      <c r="E13266" s="16" t="str">
        <f>IFERROR(__xludf.DUMMYFUNCTION("""COMPUTED_VALUE"""),"")</f>
        <v/>
      </c>
      <c r="G13266" s="18"/>
      <c r="H13266" s="16" t="s">
        <v>87</v>
      </c>
      <c r="I13266" s="16" t="s">
        <v>87</v>
      </c>
      <c r="J13266" s="19"/>
      <c r="L13266" s="16" t="str">
        <f>IFERROR(__xludf.DUMMYFUNCTION("""COMPUTED_VALUE"""),"")</f>
        <v/>
      </c>
      <c r="M13266" s="16" t="str">
        <f>IFERROR(__xludf.DUMMYFUNCTION("""COMPUTED_VALUE"""),"")</f>
        <v/>
      </c>
      <c r="U13266" s="16" t="s">
        <v>87</v>
      </c>
      <c r="V13266" s="16" t="str">
        <f>IFERROR(__xludf.DUMMYFUNCTION("""COMPUTED_VALUE"""),"")</f>
        <v/>
      </c>
      <c r="W13266" s="16" t="str">
        <f>IFERROR(__xludf.DUMMYFUNCTION("""COMPUTED_VALUE"""),"")</f>
        <v/>
      </c>
      <c r="X13266" s="16" t="str">
        <f>IFERROR(__xludf.DUMMYFUNCTION("""COMPUTED_VALUE"""),"")</f>
        <v/>
      </c>
      <c r="AC13266" s="16" t="str">
        <f>IFERROR(__xludf.DUMMYFUNCTION("""COMPUTED_VALUE"""),"")</f>
        <v/>
      </c>
    </row>
    <row r="13267">
      <c r="A13267" s="16" t="s">
        <v>87</v>
      </c>
      <c r="E13267" s="16" t="str">
        <f>IFERROR(__xludf.DUMMYFUNCTION("""COMPUTED_VALUE"""),"")</f>
        <v/>
      </c>
      <c r="G13267" s="18"/>
      <c r="H13267" s="16" t="s">
        <v>87</v>
      </c>
      <c r="I13267" s="16" t="s">
        <v>87</v>
      </c>
      <c r="J13267" s="19"/>
      <c r="L13267" s="16" t="str">
        <f>IFERROR(__xludf.DUMMYFUNCTION("""COMPUTED_VALUE"""),"")</f>
        <v/>
      </c>
      <c r="M13267" s="16" t="str">
        <f>IFERROR(__xludf.DUMMYFUNCTION("""COMPUTED_VALUE"""),"")</f>
        <v/>
      </c>
      <c r="U13267" s="16" t="s">
        <v>87</v>
      </c>
      <c r="V13267" s="16" t="str">
        <f>IFERROR(__xludf.DUMMYFUNCTION("""COMPUTED_VALUE"""),"")</f>
        <v/>
      </c>
      <c r="W13267" s="16" t="str">
        <f>IFERROR(__xludf.DUMMYFUNCTION("""COMPUTED_VALUE"""),"")</f>
        <v/>
      </c>
      <c r="X13267" s="16" t="str">
        <f>IFERROR(__xludf.DUMMYFUNCTION("""COMPUTED_VALUE"""),"")</f>
        <v/>
      </c>
      <c r="AC13267" s="16" t="str">
        <f>IFERROR(__xludf.DUMMYFUNCTION("""COMPUTED_VALUE"""),"")</f>
        <v/>
      </c>
    </row>
    <row r="13268">
      <c r="A13268" s="16" t="s">
        <v>87</v>
      </c>
      <c r="E13268" s="16" t="str">
        <f>IFERROR(__xludf.DUMMYFUNCTION("""COMPUTED_VALUE"""),"")</f>
        <v/>
      </c>
      <c r="G13268" s="18"/>
      <c r="H13268" s="16" t="s">
        <v>87</v>
      </c>
      <c r="I13268" s="16" t="s">
        <v>87</v>
      </c>
      <c r="J13268" s="19"/>
      <c r="L13268" s="16" t="str">
        <f>IFERROR(__xludf.DUMMYFUNCTION("""COMPUTED_VALUE"""),"")</f>
        <v/>
      </c>
      <c r="M13268" s="16" t="str">
        <f>IFERROR(__xludf.DUMMYFUNCTION("""COMPUTED_VALUE"""),"")</f>
        <v/>
      </c>
      <c r="U13268" s="16" t="s">
        <v>87</v>
      </c>
      <c r="V13268" s="16" t="str">
        <f>IFERROR(__xludf.DUMMYFUNCTION("""COMPUTED_VALUE"""),"")</f>
        <v/>
      </c>
      <c r="W13268" s="16" t="str">
        <f>IFERROR(__xludf.DUMMYFUNCTION("""COMPUTED_VALUE"""),"")</f>
        <v/>
      </c>
      <c r="X13268" s="16" t="str">
        <f>IFERROR(__xludf.DUMMYFUNCTION("""COMPUTED_VALUE"""),"")</f>
        <v/>
      </c>
      <c r="AC13268" s="16" t="str">
        <f>IFERROR(__xludf.DUMMYFUNCTION("""COMPUTED_VALUE"""),"")</f>
        <v/>
      </c>
    </row>
    <row r="13269">
      <c r="A13269" s="16" t="s">
        <v>87</v>
      </c>
      <c r="E13269" s="16" t="str">
        <f>IFERROR(__xludf.DUMMYFUNCTION("""COMPUTED_VALUE"""),"")</f>
        <v/>
      </c>
      <c r="G13269" s="18"/>
      <c r="H13269" s="16" t="s">
        <v>87</v>
      </c>
      <c r="I13269" s="16" t="s">
        <v>87</v>
      </c>
      <c r="J13269" s="19"/>
      <c r="L13269" s="16" t="str">
        <f>IFERROR(__xludf.DUMMYFUNCTION("""COMPUTED_VALUE"""),"")</f>
        <v/>
      </c>
      <c r="M13269" s="16" t="str">
        <f>IFERROR(__xludf.DUMMYFUNCTION("""COMPUTED_VALUE"""),"")</f>
        <v/>
      </c>
      <c r="U13269" s="16" t="s">
        <v>87</v>
      </c>
      <c r="V13269" s="16" t="str">
        <f>IFERROR(__xludf.DUMMYFUNCTION("""COMPUTED_VALUE"""),"")</f>
        <v/>
      </c>
      <c r="W13269" s="16" t="str">
        <f>IFERROR(__xludf.DUMMYFUNCTION("""COMPUTED_VALUE"""),"")</f>
        <v/>
      </c>
      <c r="X13269" s="16" t="str">
        <f>IFERROR(__xludf.DUMMYFUNCTION("""COMPUTED_VALUE"""),"")</f>
        <v/>
      </c>
      <c r="AC13269" s="16" t="str">
        <f>IFERROR(__xludf.DUMMYFUNCTION("""COMPUTED_VALUE"""),"")</f>
        <v/>
      </c>
    </row>
    <row r="13270">
      <c r="A13270" s="16" t="s">
        <v>87</v>
      </c>
      <c r="E13270" s="16" t="str">
        <f>IFERROR(__xludf.DUMMYFUNCTION("""COMPUTED_VALUE"""),"")</f>
        <v/>
      </c>
      <c r="G13270" s="18"/>
      <c r="H13270" s="16" t="s">
        <v>87</v>
      </c>
      <c r="I13270" s="16" t="s">
        <v>87</v>
      </c>
      <c r="J13270" s="19"/>
      <c r="L13270" s="16" t="str">
        <f>IFERROR(__xludf.DUMMYFUNCTION("""COMPUTED_VALUE"""),"")</f>
        <v/>
      </c>
      <c r="M13270" s="16" t="str">
        <f>IFERROR(__xludf.DUMMYFUNCTION("""COMPUTED_VALUE"""),"")</f>
        <v/>
      </c>
      <c r="U13270" s="16" t="s">
        <v>87</v>
      </c>
      <c r="V13270" s="16" t="str">
        <f>IFERROR(__xludf.DUMMYFUNCTION("""COMPUTED_VALUE"""),"")</f>
        <v/>
      </c>
      <c r="W13270" s="16" t="str">
        <f>IFERROR(__xludf.DUMMYFUNCTION("""COMPUTED_VALUE"""),"")</f>
        <v/>
      </c>
      <c r="X13270" s="16" t="str">
        <f>IFERROR(__xludf.DUMMYFUNCTION("""COMPUTED_VALUE"""),"")</f>
        <v/>
      </c>
      <c r="AC13270" s="16" t="str">
        <f>IFERROR(__xludf.DUMMYFUNCTION("""COMPUTED_VALUE"""),"")</f>
        <v/>
      </c>
    </row>
    <row r="13271">
      <c r="A13271" s="16" t="s">
        <v>87</v>
      </c>
      <c r="E13271" s="16" t="str">
        <f>IFERROR(__xludf.DUMMYFUNCTION("""COMPUTED_VALUE"""),"")</f>
        <v/>
      </c>
      <c r="G13271" s="18"/>
      <c r="H13271" s="16" t="s">
        <v>87</v>
      </c>
      <c r="I13271" s="16" t="s">
        <v>87</v>
      </c>
      <c r="J13271" s="19"/>
      <c r="L13271" s="16" t="str">
        <f>IFERROR(__xludf.DUMMYFUNCTION("""COMPUTED_VALUE"""),"")</f>
        <v/>
      </c>
      <c r="M13271" s="16" t="str">
        <f>IFERROR(__xludf.DUMMYFUNCTION("""COMPUTED_VALUE"""),"")</f>
        <v/>
      </c>
      <c r="U13271" s="16" t="s">
        <v>87</v>
      </c>
      <c r="V13271" s="16" t="str">
        <f>IFERROR(__xludf.DUMMYFUNCTION("""COMPUTED_VALUE"""),"")</f>
        <v/>
      </c>
      <c r="W13271" s="16" t="str">
        <f>IFERROR(__xludf.DUMMYFUNCTION("""COMPUTED_VALUE"""),"")</f>
        <v/>
      </c>
      <c r="X13271" s="16" t="str">
        <f>IFERROR(__xludf.DUMMYFUNCTION("""COMPUTED_VALUE"""),"")</f>
        <v/>
      </c>
      <c r="AC13271" s="16" t="str">
        <f>IFERROR(__xludf.DUMMYFUNCTION("""COMPUTED_VALUE"""),"")</f>
        <v/>
      </c>
    </row>
    <row r="13272">
      <c r="A13272" s="16" t="s">
        <v>87</v>
      </c>
      <c r="E13272" s="16" t="str">
        <f>IFERROR(__xludf.DUMMYFUNCTION("""COMPUTED_VALUE"""),"")</f>
        <v/>
      </c>
      <c r="G13272" s="18"/>
      <c r="H13272" s="16" t="s">
        <v>87</v>
      </c>
      <c r="I13272" s="16" t="s">
        <v>87</v>
      </c>
      <c r="J13272" s="19"/>
      <c r="L13272" s="16" t="str">
        <f>IFERROR(__xludf.DUMMYFUNCTION("""COMPUTED_VALUE"""),"")</f>
        <v/>
      </c>
      <c r="M13272" s="16" t="str">
        <f>IFERROR(__xludf.DUMMYFUNCTION("""COMPUTED_VALUE"""),"")</f>
        <v/>
      </c>
      <c r="U13272" s="16" t="s">
        <v>87</v>
      </c>
      <c r="V13272" s="16" t="str">
        <f>IFERROR(__xludf.DUMMYFUNCTION("""COMPUTED_VALUE"""),"")</f>
        <v/>
      </c>
      <c r="W13272" s="16" t="str">
        <f>IFERROR(__xludf.DUMMYFUNCTION("""COMPUTED_VALUE"""),"")</f>
        <v/>
      </c>
      <c r="X13272" s="16" t="str">
        <f>IFERROR(__xludf.DUMMYFUNCTION("""COMPUTED_VALUE"""),"")</f>
        <v/>
      </c>
      <c r="AC13272" s="16" t="str">
        <f>IFERROR(__xludf.DUMMYFUNCTION("""COMPUTED_VALUE"""),"")</f>
        <v/>
      </c>
    </row>
    <row r="13273">
      <c r="A13273" s="16" t="s">
        <v>87</v>
      </c>
      <c r="E13273" s="16" t="str">
        <f>IFERROR(__xludf.DUMMYFUNCTION("""COMPUTED_VALUE"""),"")</f>
        <v/>
      </c>
      <c r="G13273" s="18"/>
      <c r="H13273" s="16" t="s">
        <v>87</v>
      </c>
      <c r="I13273" s="16" t="s">
        <v>87</v>
      </c>
      <c r="J13273" s="19"/>
      <c r="L13273" s="16" t="str">
        <f>IFERROR(__xludf.DUMMYFUNCTION("""COMPUTED_VALUE"""),"")</f>
        <v/>
      </c>
      <c r="M13273" s="16" t="str">
        <f>IFERROR(__xludf.DUMMYFUNCTION("""COMPUTED_VALUE"""),"")</f>
        <v/>
      </c>
      <c r="U13273" s="16" t="s">
        <v>87</v>
      </c>
      <c r="V13273" s="16" t="str">
        <f>IFERROR(__xludf.DUMMYFUNCTION("""COMPUTED_VALUE"""),"")</f>
        <v/>
      </c>
      <c r="W13273" s="16" t="str">
        <f>IFERROR(__xludf.DUMMYFUNCTION("""COMPUTED_VALUE"""),"")</f>
        <v/>
      </c>
      <c r="X13273" s="16" t="str">
        <f>IFERROR(__xludf.DUMMYFUNCTION("""COMPUTED_VALUE"""),"")</f>
        <v/>
      </c>
      <c r="AC13273" s="16" t="str">
        <f>IFERROR(__xludf.DUMMYFUNCTION("""COMPUTED_VALUE"""),"")</f>
        <v/>
      </c>
    </row>
    <row r="13274">
      <c r="A13274" s="16" t="s">
        <v>87</v>
      </c>
      <c r="E13274" s="16" t="str">
        <f>IFERROR(__xludf.DUMMYFUNCTION("""COMPUTED_VALUE"""),"")</f>
        <v/>
      </c>
      <c r="G13274" s="18"/>
      <c r="H13274" s="16" t="s">
        <v>87</v>
      </c>
      <c r="I13274" s="16" t="s">
        <v>87</v>
      </c>
      <c r="J13274" s="19"/>
      <c r="L13274" s="16" t="str">
        <f>IFERROR(__xludf.DUMMYFUNCTION("""COMPUTED_VALUE"""),"")</f>
        <v/>
      </c>
      <c r="M13274" s="16" t="str">
        <f>IFERROR(__xludf.DUMMYFUNCTION("""COMPUTED_VALUE"""),"")</f>
        <v/>
      </c>
      <c r="U13274" s="16" t="s">
        <v>87</v>
      </c>
      <c r="V13274" s="16" t="str">
        <f>IFERROR(__xludf.DUMMYFUNCTION("""COMPUTED_VALUE"""),"")</f>
        <v/>
      </c>
      <c r="W13274" s="16" t="str">
        <f>IFERROR(__xludf.DUMMYFUNCTION("""COMPUTED_VALUE"""),"")</f>
        <v/>
      </c>
      <c r="X13274" s="16" t="str">
        <f>IFERROR(__xludf.DUMMYFUNCTION("""COMPUTED_VALUE"""),"")</f>
        <v/>
      </c>
      <c r="AC13274" s="16" t="str">
        <f>IFERROR(__xludf.DUMMYFUNCTION("""COMPUTED_VALUE"""),"")</f>
        <v/>
      </c>
    </row>
    <row r="13275">
      <c r="A13275" s="16" t="s">
        <v>87</v>
      </c>
      <c r="E13275" s="16" t="str">
        <f>IFERROR(__xludf.DUMMYFUNCTION("""COMPUTED_VALUE"""),"")</f>
        <v/>
      </c>
      <c r="G13275" s="18"/>
      <c r="H13275" s="16" t="s">
        <v>87</v>
      </c>
      <c r="I13275" s="16" t="s">
        <v>87</v>
      </c>
      <c r="J13275" s="19"/>
      <c r="L13275" s="16" t="str">
        <f>IFERROR(__xludf.DUMMYFUNCTION("""COMPUTED_VALUE"""),"")</f>
        <v/>
      </c>
      <c r="M13275" s="16" t="str">
        <f>IFERROR(__xludf.DUMMYFUNCTION("""COMPUTED_VALUE"""),"")</f>
        <v/>
      </c>
      <c r="U13275" s="16" t="s">
        <v>87</v>
      </c>
      <c r="V13275" s="16" t="str">
        <f>IFERROR(__xludf.DUMMYFUNCTION("""COMPUTED_VALUE"""),"")</f>
        <v/>
      </c>
      <c r="W13275" s="16" t="str">
        <f>IFERROR(__xludf.DUMMYFUNCTION("""COMPUTED_VALUE"""),"")</f>
        <v/>
      </c>
      <c r="X13275" s="16" t="str">
        <f>IFERROR(__xludf.DUMMYFUNCTION("""COMPUTED_VALUE"""),"")</f>
        <v/>
      </c>
      <c r="AC13275" s="16" t="str">
        <f>IFERROR(__xludf.DUMMYFUNCTION("""COMPUTED_VALUE"""),"")</f>
        <v/>
      </c>
    </row>
    <row r="13276">
      <c r="A13276" s="16" t="s">
        <v>87</v>
      </c>
      <c r="E13276" s="16" t="str">
        <f>IFERROR(__xludf.DUMMYFUNCTION("""COMPUTED_VALUE"""),"")</f>
        <v/>
      </c>
      <c r="G13276" s="18"/>
      <c r="H13276" s="16" t="s">
        <v>87</v>
      </c>
      <c r="I13276" s="16" t="s">
        <v>87</v>
      </c>
      <c r="J13276" s="19"/>
      <c r="L13276" s="16" t="str">
        <f>IFERROR(__xludf.DUMMYFUNCTION("""COMPUTED_VALUE"""),"")</f>
        <v/>
      </c>
      <c r="M13276" s="16" t="str">
        <f>IFERROR(__xludf.DUMMYFUNCTION("""COMPUTED_VALUE"""),"")</f>
        <v/>
      </c>
      <c r="U13276" s="16" t="s">
        <v>87</v>
      </c>
      <c r="V13276" s="16" t="str">
        <f>IFERROR(__xludf.DUMMYFUNCTION("""COMPUTED_VALUE"""),"")</f>
        <v/>
      </c>
      <c r="W13276" s="16" t="str">
        <f>IFERROR(__xludf.DUMMYFUNCTION("""COMPUTED_VALUE"""),"")</f>
        <v/>
      </c>
      <c r="X13276" s="16" t="str">
        <f>IFERROR(__xludf.DUMMYFUNCTION("""COMPUTED_VALUE"""),"")</f>
        <v/>
      </c>
      <c r="AC13276" s="16" t="str">
        <f>IFERROR(__xludf.DUMMYFUNCTION("""COMPUTED_VALUE"""),"")</f>
        <v/>
      </c>
    </row>
    <row r="13277">
      <c r="A13277" s="16" t="s">
        <v>87</v>
      </c>
      <c r="E13277" s="16" t="str">
        <f>IFERROR(__xludf.DUMMYFUNCTION("""COMPUTED_VALUE"""),"")</f>
        <v/>
      </c>
      <c r="G13277" s="18"/>
      <c r="H13277" s="16" t="s">
        <v>87</v>
      </c>
      <c r="I13277" s="16" t="s">
        <v>87</v>
      </c>
      <c r="J13277" s="19"/>
      <c r="L13277" s="16" t="str">
        <f>IFERROR(__xludf.DUMMYFUNCTION("""COMPUTED_VALUE"""),"")</f>
        <v/>
      </c>
      <c r="M13277" s="16" t="str">
        <f>IFERROR(__xludf.DUMMYFUNCTION("""COMPUTED_VALUE"""),"")</f>
        <v/>
      </c>
      <c r="U13277" s="16" t="s">
        <v>87</v>
      </c>
      <c r="V13277" s="16" t="str">
        <f>IFERROR(__xludf.DUMMYFUNCTION("""COMPUTED_VALUE"""),"")</f>
        <v/>
      </c>
      <c r="W13277" s="16" t="str">
        <f>IFERROR(__xludf.DUMMYFUNCTION("""COMPUTED_VALUE"""),"")</f>
        <v/>
      </c>
      <c r="X13277" s="16" t="str">
        <f>IFERROR(__xludf.DUMMYFUNCTION("""COMPUTED_VALUE"""),"")</f>
        <v/>
      </c>
      <c r="AC13277" s="16" t="str">
        <f>IFERROR(__xludf.DUMMYFUNCTION("""COMPUTED_VALUE"""),"")</f>
        <v/>
      </c>
    </row>
    <row r="13278">
      <c r="A13278" s="16" t="s">
        <v>87</v>
      </c>
      <c r="E13278" s="16" t="str">
        <f>IFERROR(__xludf.DUMMYFUNCTION("""COMPUTED_VALUE"""),"")</f>
        <v/>
      </c>
      <c r="G13278" s="18"/>
      <c r="H13278" s="16" t="s">
        <v>87</v>
      </c>
      <c r="I13278" s="16" t="s">
        <v>87</v>
      </c>
      <c r="J13278" s="19"/>
      <c r="L13278" s="16" t="str">
        <f>IFERROR(__xludf.DUMMYFUNCTION("""COMPUTED_VALUE"""),"")</f>
        <v/>
      </c>
      <c r="M13278" s="16" t="str">
        <f>IFERROR(__xludf.DUMMYFUNCTION("""COMPUTED_VALUE"""),"")</f>
        <v/>
      </c>
      <c r="U13278" s="16" t="s">
        <v>87</v>
      </c>
      <c r="V13278" s="16" t="str">
        <f>IFERROR(__xludf.DUMMYFUNCTION("""COMPUTED_VALUE"""),"")</f>
        <v/>
      </c>
      <c r="W13278" s="16" t="str">
        <f>IFERROR(__xludf.DUMMYFUNCTION("""COMPUTED_VALUE"""),"")</f>
        <v/>
      </c>
      <c r="X13278" s="16" t="str">
        <f>IFERROR(__xludf.DUMMYFUNCTION("""COMPUTED_VALUE"""),"")</f>
        <v/>
      </c>
      <c r="AC13278" s="16" t="str">
        <f>IFERROR(__xludf.DUMMYFUNCTION("""COMPUTED_VALUE"""),"")</f>
        <v/>
      </c>
    </row>
    <row r="13279">
      <c r="A13279" s="16" t="s">
        <v>87</v>
      </c>
      <c r="E13279" s="16" t="str">
        <f>IFERROR(__xludf.DUMMYFUNCTION("""COMPUTED_VALUE"""),"")</f>
        <v/>
      </c>
      <c r="G13279" s="18"/>
      <c r="H13279" s="16" t="s">
        <v>87</v>
      </c>
      <c r="I13279" s="16" t="s">
        <v>87</v>
      </c>
      <c r="J13279" s="19"/>
      <c r="L13279" s="16" t="str">
        <f>IFERROR(__xludf.DUMMYFUNCTION("""COMPUTED_VALUE"""),"")</f>
        <v/>
      </c>
      <c r="M13279" s="16" t="str">
        <f>IFERROR(__xludf.DUMMYFUNCTION("""COMPUTED_VALUE"""),"")</f>
        <v/>
      </c>
      <c r="U13279" s="16" t="s">
        <v>87</v>
      </c>
      <c r="V13279" s="16" t="str">
        <f>IFERROR(__xludf.DUMMYFUNCTION("""COMPUTED_VALUE"""),"")</f>
        <v/>
      </c>
      <c r="W13279" s="16" t="str">
        <f>IFERROR(__xludf.DUMMYFUNCTION("""COMPUTED_VALUE"""),"")</f>
        <v/>
      </c>
      <c r="X13279" s="16" t="str">
        <f>IFERROR(__xludf.DUMMYFUNCTION("""COMPUTED_VALUE"""),"")</f>
        <v/>
      </c>
      <c r="AC13279" s="16" t="str">
        <f>IFERROR(__xludf.DUMMYFUNCTION("""COMPUTED_VALUE"""),"")</f>
        <v/>
      </c>
    </row>
    <row r="13280">
      <c r="A13280" s="16" t="s">
        <v>87</v>
      </c>
      <c r="E13280" s="16" t="str">
        <f>IFERROR(__xludf.DUMMYFUNCTION("""COMPUTED_VALUE"""),"")</f>
        <v/>
      </c>
      <c r="G13280" s="18"/>
      <c r="H13280" s="16" t="s">
        <v>87</v>
      </c>
      <c r="I13280" s="16" t="s">
        <v>87</v>
      </c>
      <c r="J13280" s="19"/>
      <c r="L13280" s="16" t="str">
        <f>IFERROR(__xludf.DUMMYFUNCTION("""COMPUTED_VALUE"""),"")</f>
        <v/>
      </c>
      <c r="M13280" s="16" t="str">
        <f>IFERROR(__xludf.DUMMYFUNCTION("""COMPUTED_VALUE"""),"")</f>
        <v/>
      </c>
      <c r="U13280" s="16" t="s">
        <v>87</v>
      </c>
      <c r="V13280" s="16" t="str">
        <f>IFERROR(__xludf.DUMMYFUNCTION("""COMPUTED_VALUE"""),"")</f>
        <v/>
      </c>
      <c r="W13280" s="16" t="str">
        <f>IFERROR(__xludf.DUMMYFUNCTION("""COMPUTED_VALUE"""),"")</f>
        <v/>
      </c>
      <c r="X13280" s="16" t="str">
        <f>IFERROR(__xludf.DUMMYFUNCTION("""COMPUTED_VALUE"""),"")</f>
        <v/>
      </c>
      <c r="AC13280" s="16" t="str">
        <f>IFERROR(__xludf.DUMMYFUNCTION("""COMPUTED_VALUE"""),"")</f>
        <v/>
      </c>
    </row>
    <row r="13281">
      <c r="A13281" s="16" t="s">
        <v>87</v>
      </c>
      <c r="E13281" s="16" t="str">
        <f>IFERROR(__xludf.DUMMYFUNCTION("""COMPUTED_VALUE"""),"")</f>
        <v/>
      </c>
      <c r="G13281" s="18"/>
      <c r="H13281" s="16" t="s">
        <v>87</v>
      </c>
      <c r="I13281" s="16" t="s">
        <v>87</v>
      </c>
      <c r="J13281" s="19"/>
      <c r="L13281" s="16" t="str">
        <f>IFERROR(__xludf.DUMMYFUNCTION("""COMPUTED_VALUE"""),"")</f>
        <v/>
      </c>
      <c r="M13281" s="16" t="str">
        <f>IFERROR(__xludf.DUMMYFUNCTION("""COMPUTED_VALUE"""),"")</f>
        <v/>
      </c>
      <c r="U13281" s="16" t="s">
        <v>87</v>
      </c>
      <c r="V13281" s="16" t="str">
        <f>IFERROR(__xludf.DUMMYFUNCTION("""COMPUTED_VALUE"""),"")</f>
        <v/>
      </c>
      <c r="W13281" s="16" t="str">
        <f>IFERROR(__xludf.DUMMYFUNCTION("""COMPUTED_VALUE"""),"")</f>
        <v/>
      </c>
      <c r="X13281" s="16" t="str">
        <f>IFERROR(__xludf.DUMMYFUNCTION("""COMPUTED_VALUE"""),"")</f>
        <v/>
      </c>
      <c r="AC13281" s="16" t="str">
        <f>IFERROR(__xludf.DUMMYFUNCTION("""COMPUTED_VALUE"""),"")</f>
        <v/>
      </c>
    </row>
    <row r="13282">
      <c r="A13282" s="16" t="s">
        <v>87</v>
      </c>
      <c r="E13282" s="16" t="str">
        <f>IFERROR(__xludf.DUMMYFUNCTION("""COMPUTED_VALUE"""),"")</f>
        <v/>
      </c>
      <c r="G13282" s="18"/>
      <c r="H13282" s="16" t="s">
        <v>87</v>
      </c>
      <c r="I13282" s="16" t="s">
        <v>87</v>
      </c>
      <c r="J13282" s="19"/>
      <c r="L13282" s="16" t="str">
        <f>IFERROR(__xludf.DUMMYFUNCTION("""COMPUTED_VALUE"""),"")</f>
        <v/>
      </c>
      <c r="M13282" s="16" t="str">
        <f>IFERROR(__xludf.DUMMYFUNCTION("""COMPUTED_VALUE"""),"")</f>
        <v/>
      </c>
      <c r="U13282" s="16" t="s">
        <v>87</v>
      </c>
      <c r="V13282" s="16" t="str">
        <f>IFERROR(__xludf.DUMMYFUNCTION("""COMPUTED_VALUE"""),"")</f>
        <v/>
      </c>
      <c r="W13282" s="16" t="str">
        <f>IFERROR(__xludf.DUMMYFUNCTION("""COMPUTED_VALUE"""),"")</f>
        <v/>
      </c>
      <c r="X13282" s="16" t="str">
        <f>IFERROR(__xludf.DUMMYFUNCTION("""COMPUTED_VALUE"""),"")</f>
        <v/>
      </c>
      <c r="AC13282" s="16" t="str">
        <f>IFERROR(__xludf.DUMMYFUNCTION("""COMPUTED_VALUE"""),"")</f>
        <v/>
      </c>
    </row>
    <row r="13283">
      <c r="A13283" s="16" t="s">
        <v>87</v>
      </c>
      <c r="E13283" s="16" t="str">
        <f>IFERROR(__xludf.DUMMYFUNCTION("""COMPUTED_VALUE"""),"")</f>
        <v/>
      </c>
      <c r="G13283" s="18"/>
      <c r="H13283" s="16" t="s">
        <v>87</v>
      </c>
      <c r="I13283" s="16" t="s">
        <v>87</v>
      </c>
      <c r="J13283" s="19"/>
      <c r="L13283" s="16" t="str">
        <f>IFERROR(__xludf.DUMMYFUNCTION("""COMPUTED_VALUE"""),"")</f>
        <v/>
      </c>
      <c r="M13283" s="16" t="str">
        <f>IFERROR(__xludf.DUMMYFUNCTION("""COMPUTED_VALUE"""),"")</f>
        <v/>
      </c>
      <c r="U13283" s="16" t="s">
        <v>87</v>
      </c>
      <c r="V13283" s="16" t="str">
        <f>IFERROR(__xludf.DUMMYFUNCTION("""COMPUTED_VALUE"""),"")</f>
        <v/>
      </c>
      <c r="W13283" s="16" t="str">
        <f>IFERROR(__xludf.DUMMYFUNCTION("""COMPUTED_VALUE"""),"")</f>
        <v/>
      </c>
      <c r="X13283" s="16" t="str">
        <f>IFERROR(__xludf.DUMMYFUNCTION("""COMPUTED_VALUE"""),"")</f>
        <v/>
      </c>
      <c r="AC13283" s="16" t="str">
        <f>IFERROR(__xludf.DUMMYFUNCTION("""COMPUTED_VALUE"""),"")</f>
        <v/>
      </c>
    </row>
    <row r="13284">
      <c r="A13284" s="16" t="s">
        <v>87</v>
      </c>
      <c r="E13284" s="16" t="str">
        <f>IFERROR(__xludf.DUMMYFUNCTION("""COMPUTED_VALUE"""),"")</f>
        <v/>
      </c>
      <c r="G13284" s="18"/>
      <c r="H13284" s="16" t="s">
        <v>87</v>
      </c>
      <c r="I13284" s="16" t="s">
        <v>87</v>
      </c>
      <c r="J13284" s="19"/>
      <c r="L13284" s="16" t="str">
        <f>IFERROR(__xludf.DUMMYFUNCTION("""COMPUTED_VALUE"""),"")</f>
        <v/>
      </c>
      <c r="M13284" s="16" t="str">
        <f>IFERROR(__xludf.DUMMYFUNCTION("""COMPUTED_VALUE"""),"")</f>
        <v/>
      </c>
      <c r="U13284" s="16" t="s">
        <v>87</v>
      </c>
      <c r="V13284" s="16" t="str">
        <f>IFERROR(__xludf.DUMMYFUNCTION("""COMPUTED_VALUE"""),"")</f>
        <v/>
      </c>
      <c r="W13284" s="16" t="str">
        <f>IFERROR(__xludf.DUMMYFUNCTION("""COMPUTED_VALUE"""),"")</f>
        <v/>
      </c>
      <c r="X13284" s="16" t="str">
        <f>IFERROR(__xludf.DUMMYFUNCTION("""COMPUTED_VALUE"""),"")</f>
        <v/>
      </c>
      <c r="AC13284" s="16" t="str">
        <f>IFERROR(__xludf.DUMMYFUNCTION("""COMPUTED_VALUE"""),"")</f>
        <v/>
      </c>
    </row>
    <row r="13285">
      <c r="A13285" s="16" t="s">
        <v>87</v>
      </c>
      <c r="E13285" s="16" t="str">
        <f>IFERROR(__xludf.DUMMYFUNCTION("""COMPUTED_VALUE"""),"")</f>
        <v/>
      </c>
      <c r="G13285" s="18"/>
      <c r="H13285" s="16" t="s">
        <v>87</v>
      </c>
      <c r="I13285" s="16" t="s">
        <v>87</v>
      </c>
      <c r="J13285" s="19"/>
      <c r="L13285" s="16" t="str">
        <f>IFERROR(__xludf.DUMMYFUNCTION("""COMPUTED_VALUE"""),"")</f>
        <v/>
      </c>
      <c r="M13285" s="16" t="str">
        <f>IFERROR(__xludf.DUMMYFUNCTION("""COMPUTED_VALUE"""),"")</f>
        <v/>
      </c>
      <c r="U13285" s="16" t="s">
        <v>87</v>
      </c>
      <c r="V13285" s="16" t="str">
        <f>IFERROR(__xludf.DUMMYFUNCTION("""COMPUTED_VALUE"""),"")</f>
        <v/>
      </c>
      <c r="W13285" s="16" t="str">
        <f>IFERROR(__xludf.DUMMYFUNCTION("""COMPUTED_VALUE"""),"")</f>
        <v/>
      </c>
      <c r="X13285" s="16" t="str">
        <f>IFERROR(__xludf.DUMMYFUNCTION("""COMPUTED_VALUE"""),"")</f>
        <v/>
      </c>
      <c r="AC13285" s="16" t="str">
        <f>IFERROR(__xludf.DUMMYFUNCTION("""COMPUTED_VALUE"""),"")</f>
        <v/>
      </c>
    </row>
    <row r="13286">
      <c r="A13286" s="16" t="s">
        <v>87</v>
      </c>
      <c r="E13286" s="16" t="str">
        <f>IFERROR(__xludf.DUMMYFUNCTION("""COMPUTED_VALUE"""),"")</f>
        <v/>
      </c>
      <c r="G13286" s="18"/>
      <c r="H13286" s="16" t="s">
        <v>87</v>
      </c>
      <c r="I13286" s="16" t="s">
        <v>87</v>
      </c>
      <c r="J13286" s="19"/>
      <c r="L13286" s="16" t="str">
        <f>IFERROR(__xludf.DUMMYFUNCTION("""COMPUTED_VALUE"""),"")</f>
        <v/>
      </c>
      <c r="M13286" s="16" t="str">
        <f>IFERROR(__xludf.DUMMYFUNCTION("""COMPUTED_VALUE"""),"")</f>
        <v/>
      </c>
      <c r="U13286" s="16" t="s">
        <v>87</v>
      </c>
      <c r="V13286" s="16" t="str">
        <f>IFERROR(__xludf.DUMMYFUNCTION("""COMPUTED_VALUE"""),"")</f>
        <v/>
      </c>
      <c r="W13286" s="16" t="str">
        <f>IFERROR(__xludf.DUMMYFUNCTION("""COMPUTED_VALUE"""),"")</f>
        <v/>
      </c>
      <c r="X13286" s="16" t="str">
        <f>IFERROR(__xludf.DUMMYFUNCTION("""COMPUTED_VALUE"""),"")</f>
        <v/>
      </c>
      <c r="AC13286" s="16" t="str">
        <f>IFERROR(__xludf.DUMMYFUNCTION("""COMPUTED_VALUE"""),"")</f>
        <v/>
      </c>
    </row>
    <row r="13287">
      <c r="A13287" s="16" t="s">
        <v>87</v>
      </c>
      <c r="E13287" s="16" t="str">
        <f>IFERROR(__xludf.DUMMYFUNCTION("""COMPUTED_VALUE"""),"")</f>
        <v/>
      </c>
      <c r="G13287" s="18"/>
      <c r="H13287" s="16" t="s">
        <v>87</v>
      </c>
      <c r="I13287" s="16" t="s">
        <v>87</v>
      </c>
      <c r="J13287" s="19"/>
      <c r="L13287" s="16" t="str">
        <f>IFERROR(__xludf.DUMMYFUNCTION("""COMPUTED_VALUE"""),"")</f>
        <v/>
      </c>
      <c r="M13287" s="16" t="str">
        <f>IFERROR(__xludf.DUMMYFUNCTION("""COMPUTED_VALUE"""),"")</f>
        <v/>
      </c>
      <c r="U13287" s="16" t="s">
        <v>87</v>
      </c>
      <c r="V13287" s="16" t="str">
        <f>IFERROR(__xludf.DUMMYFUNCTION("""COMPUTED_VALUE"""),"")</f>
        <v/>
      </c>
      <c r="W13287" s="16" t="str">
        <f>IFERROR(__xludf.DUMMYFUNCTION("""COMPUTED_VALUE"""),"")</f>
        <v/>
      </c>
      <c r="X13287" s="16" t="str">
        <f>IFERROR(__xludf.DUMMYFUNCTION("""COMPUTED_VALUE"""),"")</f>
        <v/>
      </c>
      <c r="AC13287" s="16" t="str">
        <f>IFERROR(__xludf.DUMMYFUNCTION("""COMPUTED_VALUE"""),"")</f>
        <v/>
      </c>
    </row>
    <row r="13288">
      <c r="A13288" s="16" t="s">
        <v>87</v>
      </c>
      <c r="E13288" s="16" t="str">
        <f>IFERROR(__xludf.DUMMYFUNCTION("""COMPUTED_VALUE"""),"")</f>
        <v/>
      </c>
      <c r="G13288" s="18"/>
      <c r="H13288" s="16" t="s">
        <v>87</v>
      </c>
      <c r="I13288" s="16" t="s">
        <v>87</v>
      </c>
      <c r="J13288" s="19"/>
      <c r="L13288" s="16" t="str">
        <f>IFERROR(__xludf.DUMMYFUNCTION("""COMPUTED_VALUE"""),"")</f>
        <v/>
      </c>
      <c r="M13288" s="16" t="str">
        <f>IFERROR(__xludf.DUMMYFUNCTION("""COMPUTED_VALUE"""),"")</f>
        <v/>
      </c>
      <c r="U13288" s="16" t="s">
        <v>87</v>
      </c>
      <c r="V13288" s="16" t="str">
        <f>IFERROR(__xludf.DUMMYFUNCTION("""COMPUTED_VALUE"""),"")</f>
        <v/>
      </c>
      <c r="W13288" s="16" t="str">
        <f>IFERROR(__xludf.DUMMYFUNCTION("""COMPUTED_VALUE"""),"")</f>
        <v/>
      </c>
      <c r="X13288" s="16" t="str">
        <f>IFERROR(__xludf.DUMMYFUNCTION("""COMPUTED_VALUE"""),"")</f>
        <v/>
      </c>
      <c r="AC13288" s="16" t="str">
        <f>IFERROR(__xludf.DUMMYFUNCTION("""COMPUTED_VALUE"""),"")</f>
        <v/>
      </c>
    </row>
    <row r="13289">
      <c r="A13289" s="16" t="s">
        <v>87</v>
      </c>
      <c r="E13289" s="16" t="str">
        <f>IFERROR(__xludf.DUMMYFUNCTION("""COMPUTED_VALUE"""),"")</f>
        <v/>
      </c>
      <c r="G13289" s="18"/>
      <c r="H13289" s="16" t="s">
        <v>87</v>
      </c>
      <c r="I13289" s="16" t="s">
        <v>87</v>
      </c>
      <c r="J13289" s="19"/>
      <c r="L13289" s="16" t="str">
        <f>IFERROR(__xludf.DUMMYFUNCTION("""COMPUTED_VALUE"""),"")</f>
        <v/>
      </c>
      <c r="M13289" s="16" t="str">
        <f>IFERROR(__xludf.DUMMYFUNCTION("""COMPUTED_VALUE"""),"")</f>
        <v/>
      </c>
      <c r="U13289" s="16" t="s">
        <v>87</v>
      </c>
      <c r="V13289" s="16" t="str">
        <f>IFERROR(__xludf.DUMMYFUNCTION("""COMPUTED_VALUE"""),"")</f>
        <v/>
      </c>
      <c r="W13289" s="16" t="str">
        <f>IFERROR(__xludf.DUMMYFUNCTION("""COMPUTED_VALUE"""),"")</f>
        <v/>
      </c>
      <c r="X13289" s="16" t="str">
        <f>IFERROR(__xludf.DUMMYFUNCTION("""COMPUTED_VALUE"""),"")</f>
        <v/>
      </c>
      <c r="AC13289" s="16" t="str">
        <f>IFERROR(__xludf.DUMMYFUNCTION("""COMPUTED_VALUE"""),"")</f>
        <v/>
      </c>
    </row>
    <row r="13290">
      <c r="A13290" s="16" t="s">
        <v>87</v>
      </c>
      <c r="E13290" s="16" t="str">
        <f>IFERROR(__xludf.DUMMYFUNCTION("""COMPUTED_VALUE"""),"")</f>
        <v/>
      </c>
      <c r="G13290" s="18"/>
      <c r="H13290" s="16" t="s">
        <v>87</v>
      </c>
      <c r="I13290" s="16" t="s">
        <v>87</v>
      </c>
      <c r="J13290" s="19"/>
      <c r="L13290" s="16" t="str">
        <f>IFERROR(__xludf.DUMMYFUNCTION("""COMPUTED_VALUE"""),"")</f>
        <v/>
      </c>
      <c r="M13290" s="16" t="str">
        <f>IFERROR(__xludf.DUMMYFUNCTION("""COMPUTED_VALUE"""),"")</f>
        <v/>
      </c>
      <c r="U13290" s="16" t="s">
        <v>87</v>
      </c>
      <c r="V13290" s="16" t="str">
        <f>IFERROR(__xludf.DUMMYFUNCTION("""COMPUTED_VALUE"""),"")</f>
        <v/>
      </c>
      <c r="W13290" s="16" t="str">
        <f>IFERROR(__xludf.DUMMYFUNCTION("""COMPUTED_VALUE"""),"")</f>
        <v/>
      </c>
      <c r="X13290" s="16" t="str">
        <f>IFERROR(__xludf.DUMMYFUNCTION("""COMPUTED_VALUE"""),"")</f>
        <v/>
      </c>
      <c r="AC13290" s="16" t="str">
        <f>IFERROR(__xludf.DUMMYFUNCTION("""COMPUTED_VALUE"""),"")</f>
        <v/>
      </c>
    </row>
    <row r="13291">
      <c r="A13291" s="16" t="s">
        <v>87</v>
      </c>
      <c r="E13291" s="16" t="str">
        <f>IFERROR(__xludf.DUMMYFUNCTION("""COMPUTED_VALUE"""),"")</f>
        <v/>
      </c>
      <c r="G13291" s="18"/>
      <c r="H13291" s="16" t="s">
        <v>87</v>
      </c>
      <c r="I13291" s="16" t="s">
        <v>87</v>
      </c>
      <c r="J13291" s="19"/>
      <c r="L13291" s="16" t="str">
        <f>IFERROR(__xludf.DUMMYFUNCTION("""COMPUTED_VALUE"""),"")</f>
        <v/>
      </c>
      <c r="M13291" s="16" t="str">
        <f>IFERROR(__xludf.DUMMYFUNCTION("""COMPUTED_VALUE"""),"")</f>
        <v/>
      </c>
      <c r="U13291" s="16" t="s">
        <v>87</v>
      </c>
      <c r="V13291" s="16" t="str">
        <f>IFERROR(__xludf.DUMMYFUNCTION("""COMPUTED_VALUE"""),"")</f>
        <v/>
      </c>
      <c r="W13291" s="16" t="str">
        <f>IFERROR(__xludf.DUMMYFUNCTION("""COMPUTED_VALUE"""),"")</f>
        <v/>
      </c>
      <c r="X13291" s="16" t="str">
        <f>IFERROR(__xludf.DUMMYFUNCTION("""COMPUTED_VALUE"""),"")</f>
        <v/>
      </c>
      <c r="AC13291" s="16" t="str">
        <f>IFERROR(__xludf.DUMMYFUNCTION("""COMPUTED_VALUE"""),"")</f>
        <v/>
      </c>
    </row>
    <row r="13292">
      <c r="A13292" s="16" t="s">
        <v>87</v>
      </c>
      <c r="E13292" s="16" t="str">
        <f>IFERROR(__xludf.DUMMYFUNCTION("""COMPUTED_VALUE"""),"")</f>
        <v/>
      </c>
      <c r="G13292" s="18"/>
      <c r="H13292" s="16" t="s">
        <v>87</v>
      </c>
      <c r="I13292" s="16" t="s">
        <v>87</v>
      </c>
      <c r="J13292" s="19"/>
      <c r="L13292" s="16" t="str">
        <f>IFERROR(__xludf.DUMMYFUNCTION("""COMPUTED_VALUE"""),"")</f>
        <v/>
      </c>
      <c r="M13292" s="16" t="str">
        <f>IFERROR(__xludf.DUMMYFUNCTION("""COMPUTED_VALUE"""),"")</f>
        <v/>
      </c>
      <c r="U13292" s="16" t="s">
        <v>87</v>
      </c>
      <c r="V13292" s="16" t="str">
        <f>IFERROR(__xludf.DUMMYFUNCTION("""COMPUTED_VALUE"""),"")</f>
        <v/>
      </c>
      <c r="W13292" s="16" t="str">
        <f>IFERROR(__xludf.DUMMYFUNCTION("""COMPUTED_VALUE"""),"")</f>
        <v/>
      </c>
      <c r="X13292" s="16" t="str">
        <f>IFERROR(__xludf.DUMMYFUNCTION("""COMPUTED_VALUE"""),"")</f>
        <v/>
      </c>
      <c r="AC13292" s="16" t="str">
        <f>IFERROR(__xludf.DUMMYFUNCTION("""COMPUTED_VALUE"""),"")</f>
        <v/>
      </c>
    </row>
    <row r="13293">
      <c r="A13293" s="16" t="s">
        <v>87</v>
      </c>
      <c r="E13293" s="16" t="str">
        <f>IFERROR(__xludf.DUMMYFUNCTION("""COMPUTED_VALUE"""),"")</f>
        <v/>
      </c>
      <c r="G13293" s="18"/>
      <c r="H13293" s="16" t="s">
        <v>87</v>
      </c>
      <c r="I13293" s="16" t="s">
        <v>87</v>
      </c>
      <c r="J13293" s="19"/>
      <c r="L13293" s="16" t="str">
        <f>IFERROR(__xludf.DUMMYFUNCTION("""COMPUTED_VALUE"""),"")</f>
        <v/>
      </c>
      <c r="M13293" s="16" t="str">
        <f>IFERROR(__xludf.DUMMYFUNCTION("""COMPUTED_VALUE"""),"")</f>
        <v/>
      </c>
      <c r="U13293" s="16" t="s">
        <v>87</v>
      </c>
      <c r="V13293" s="16" t="str">
        <f>IFERROR(__xludf.DUMMYFUNCTION("""COMPUTED_VALUE"""),"")</f>
        <v/>
      </c>
      <c r="W13293" s="16" t="str">
        <f>IFERROR(__xludf.DUMMYFUNCTION("""COMPUTED_VALUE"""),"")</f>
        <v/>
      </c>
      <c r="X13293" s="16" t="str">
        <f>IFERROR(__xludf.DUMMYFUNCTION("""COMPUTED_VALUE"""),"")</f>
        <v/>
      </c>
      <c r="AC13293" s="16" t="str">
        <f>IFERROR(__xludf.DUMMYFUNCTION("""COMPUTED_VALUE"""),"")</f>
        <v/>
      </c>
    </row>
    <row r="13294">
      <c r="A13294" s="16" t="s">
        <v>87</v>
      </c>
      <c r="E13294" s="16" t="str">
        <f>IFERROR(__xludf.DUMMYFUNCTION("""COMPUTED_VALUE"""),"")</f>
        <v/>
      </c>
      <c r="G13294" s="18"/>
      <c r="H13294" s="16" t="s">
        <v>87</v>
      </c>
      <c r="I13294" s="16" t="s">
        <v>87</v>
      </c>
      <c r="J13294" s="19"/>
      <c r="L13294" s="16" t="str">
        <f>IFERROR(__xludf.DUMMYFUNCTION("""COMPUTED_VALUE"""),"")</f>
        <v/>
      </c>
      <c r="M13294" s="16" t="str">
        <f>IFERROR(__xludf.DUMMYFUNCTION("""COMPUTED_VALUE"""),"")</f>
        <v/>
      </c>
      <c r="U13294" s="16" t="s">
        <v>87</v>
      </c>
      <c r="V13294" s="16" t="str">
        <f>IFERROR(__xludf.DUMMYFUNCTION("""COMPUTED_VALUE"""),"")</f>
        <v/>
      </c>
      <c r="W13294" s="16" t="str">
        <f>IFERROR(__xludf.DUMMYFUNCTION("""COMPUTED_VALUE"""),"")</f>
        <v/>
      </c>
      <c r="X13294" s="16" t="str">
        <f>IFERROR(__xludf.DUMMYFUNCTION("""COMPUTED_VALUE"""),"")</f>
        <v/>
      </c>
      <c r="AC13294" s="16" t="str">
        <f>IFERROR(__xludf.DUMMYFUNCTION("""COMPUTED_VALUE"""),"")</f>
        <v/>
      </c>
    </row>
    <row r="13295">
      <c r="A13295" s="16" t="s">
        <v>87</v>
      </c>
      <c r="E13295" s="16" t="str">
        <f>IFERROR(__xludf.DUMMYFUNCTION("""COMPUTED_VALUE"""),"")</f>
        <v/>
      </c>
      <c r="G13295" s="18"/>
      <c r="H13295" s="16" t="s">
        <v>87</v>
      </c>
      <c r="I13295" s="16" t="s">
        <v>87</v>
      </c>
      <c r="J13295" s="19"/>
      <c r="L13295" s="16" t="str">
        <f>IFERROR(__xludf.DUMMYFUNCTION("""COMPUTED_VALUE"""),"")</f>
        <v/>
      </c>
      <c r="M13295" s="16" t="str">
        <f>IFERROR(__xludf.DUMMYFUNCTION("""COMPUTED_VALUE"""),"")</f>
        <v/>
      </c>
      <c r="U13295" s="16" t="s">
        <v>87</v>
      </c>
      <c r="V13295" s="16" t="str">
        <f>IFERROR(__xludf.DUMMYFUNCTION("""COMPUTED_VALUE"""),"")</f>
        <v/>
      </c>
      <c r="W13295" s="16" t="str">
        <f>IFERROR(__xludf.DUMMYFUNCTION("""COMPUTED_VALUE"""),"")</f>
        <v/>
      </c>
      <c r="X13295" s="16" t="str">
        <f>IFERROR(__xludf.DUMMYFUNCTION("""COMPUTED_VALUE"""),"")</f>
        <v/>
      </c>
      <c r="AC13295" s="16" t="str">
        <f>IFERROR(__xludf.DUMMYFUNCTION("""COMPUTED_VALUE"""),"")</f>
        <v/>
      </c>
    </row>
    <row r="13296">
      <c r="A13296" s="16" t="s">
        <v>87</v>
      </c>
      <c r="E13296" s="16" t="str">
        <f>IFERROR(__xludf.DUMMYFUNCTION("""COMPUTED_VALUE"""),"")</f>
        <v/>
      </c>
      <c r="G13296" s="18"/>
      <c r="H13296" s="16" t="s">
        <v>87</v>
      </c>
      <c r="I13296" s="16" t="s">
        <v>87</v>
      </c>
      <c r="J13296" s="19"/>
      <c r="L13296" s="16" t="str">
        <f>IFERROR(__xludf.DUMMYFUNCTION("""COMPUTED_VALUE"""),"")</f>
        <v/>
      </c>
      <c r="M13296" s="16" t="str">
        <f>IFERROR(__xludf.DUMMYFUNCTION("""COMPUTED_VALUE"""),"")</f>
        <v/>
      </c>
      <c r="U13296" s="16" t="s">
        <v>87</v>
      </c>
      <c r="V13296" s="16" t="str">
        <f>IFERROR(__xludf.DUMMYFUNCTION("""COMPUTED_VALUE"""),"")</f>
        <v/>
      </c>
      <c r="W13296" s="16" t="str">
        <f>IFERROR(__xludf.DUMMYFUNCTION("""COMPUTED_VALUE"""),"")</f>
        <v/>
      </c>
      <c r="X13296" s="16" t="str">
        <f>IFERROR(__xludf.DUMMYFUNCTION("""COMPUTED_VALUE"""),"")</f>
        <v/>
      </c>
      <c r="AC13296" s="16" t="str">
        <f>IFERROR(__xludf.DUMMYFUNCTION("""COMPUTED_VALUE"""),"")</f>
        <v/>
      </c>
    </row>
    <row r="13297">
      <c r="A13297" s="16" t="s">
        <v>87</v>
      </c>
      <c r="E13297" s="16" t="str">
        <f>IFERROR(__xludf.DUMMYFUNCTION("""COMPUTED_VALUE"""),"")</f>
        <v/>
      </c>
      <c r="G13297" s="18"/>
      <c r="H13297" s="16" t="s">
        <v>87</v>
      </c>
      <c r="I13297" s="16" t="s">
        <v>87</v>
      </c>
      <c r="J13297" s="19"/>
      <c r="L13297" s="16" t="str">
        <f>IFERROR(__xludf.DUMMYFUNCTION("""COMPUTED_VALUE"""),"")</f>
        <v/>
      </c>
      <c r="M13297" s="16" t="str">
        <f>IFERROR(__xludf.DUMMYFUNCTION("""COMPUTED_VALUE"""),"")</f>
        <v/>
      </c>
      <c r="U13297" s="16" t="s">
        <v>87</v>
      </c>
      <c r="V13297" s="16" t="str">
        <f>IFERROR(__xludf.DUMMYFUNCTION("""COMPUTED_VALUE"""),"")</f>
        <v/>
      </c>
      <c r="W13297" s="16" t="str">
        <f>IFERROR(__xludf.DUMMYFUNCTION("""COMPUTED_VALUE"""),"")</f>
        <v/>
      </c>
      <c r="X13297" s="16" t="str">
        <f>IFERROR(__xludf.DUMMYFUNCTION("""COMPUTED_VALUE"""),"")</f>
        <v/>
      </c>
      <c r="AC13297" s="16" t="str">
        <f>IFERROR(__xludf.DUMMYFUNCTION("""COMPUTED_VALUE"""),"")</f>
        <v/>
      </c>
    </row>
    <row r="13298">
      <c r="A13298" s="16" t="s">
        <v>87</v>
      </c>
      <c r="E13298" s="16" t="str">
        <f>IFERROR(__xludf.DUMMYFUNCTION("""COMPUTED_VALUE"""),"")</f>
        <v/>
      </c>
      <c r="G13298" s="18"/>
      <c r="H13298" s="16" t="s">
        <v>87</v>
      </c>
      <c r="I13298" s="16" t="s">
        <v>87</v>
      </c>
      <c r="J13298" s="19"/>
      <c r="L13298" s="16" t="str">
        <f>IFERROR(__xludf.DUMMYFUNCTION("""COMPUTED_VALUE"""),"")</f>
        <v/>
      </c>
      <c r="M13298" s="16" t="str">
        <f>IFERROR(__xludf.DUMMYFUNCTION("""COMPUTED_VALUE"""),"")</f>
        <v/>
      </c>
      <c r="U13298" s="16" t="s">
        <v>87</v>
      </c>
      <c r="V13298" s="16" t="str">
        <f>IFERROR(__xludf.DUMMYFUNCTION("""COMPUTED_VALUE"""),"")</f>
        <v/>
      </c>
      <c r="W13298" s="16" t="str">
        <f>IFERROR(__xludf.DUMMYFUNCTION("""COMPUTED_VALUE"""),"")</f>
        <v/>
      </c>
      <c r="X13298" s="16" t="str">
        <f>IFERROR(__xludf.DUMMYFUNCTION("""COMPUTED_VALUE"""),"")</f>
        <v/>
      </c>
      <c r="AC13298" s="16" t="str">
        <f>IFERROR(__xludf.DUMMYFUNCTION("""COMPUTED_VALUE"""),"")</f>
        <v/>
      </c>
    </row>
    <row r="13299">
      <c r="A13299" s="16" t="s">
        <v>87</v>
      </c>
      <c r="E13299" s="16" t="str">
        <f>IFERROR(__xludf.DUMMYFUNCTION("""COMPUTED_VALUE"""),"")</f>
        <v/>
      </c>
      <c r="G13299" s="18"/>
      <c r="H13299" s="16" t="s">
        <v>87</v>
      </c>
      <c r="I13299" s="16" t="s">
        <v>87</v>
      </c>
      <c r="J13299" s="19"/>
      <c r="L13299" s="16" t="str">
        <f>IFERROR(__xludf.DUMMYFUNCTION("""COMPUTED_VALUE"""),"")</f>
        <v/>
      </c>
      <c r="M13299" s="16" t="str">
        <f>IFERROR(__xludf.DUMMYFUNCTION("""COMPUTED_VALUE"""),"")</f>
        <v/>
      </c>
      <c r="U13299" s="16" t="s">
        <v>87</v>
      </c>
      <c r="V13299" s="16" t="str">
        <f>IFERROR(__xludf.DUMMYFUNCTION("""COMPUTED_VALUE"""),"")</f>
        <v/>
      </c>
      <c r="W13299" s="16" t="str">
        <f>IFERROR(__xludf.DUMMYFUNCTION("""COMPUTED_VALUE"""),"")</f>
        <v/>
      </c>
      <c r="X13299" s="16" t="str">
        <f>IFERROR(__xludf.DUMMYFUNCTION("""COMPUTED_VALUE"""),"")</f>
        <v/>
      </c>
      <c r="AC13299" s="16" t="str">
        <f>IFERROR(__xludf.DUMMYFUNCTION("""COMPUTED_VALUE"""),"")</f>
        <v/>
      </c>
    </row>
    <row r="13300">
      <c r="A13300" s="16" t="s">
        <v>87</v>
      </c>
      <c r="E13300" s="16" t="str">
        <f>IFERROR(__xludf.DUMMYFUNCTION("""COMPUTED_VALUE"""),"")</f>
        <v/>
      </c>
      <c r="G13300" s="18"/>
      <c r="H13300" s="16" t="s">
        <v>87</v>
      </c>
      <c r="I13300" s="16" t="s">
        <v>87</v>
      </c>
      <c r="J13300" s="19"/>
      <c r="L13300" s="16" t="str">
        <f>IFERROR(__xludf.DUMMYFUNCTION("""COMPUTED_VALUE"""),"")</f>
        <v/>
      </c>
      <c r="M13300" s="16" t="str">
        <f>IFERROR(__xludf.DUMMYFUNCTION("""COMPUTED_VALUE"""),"")</f>
        <v/>
      </c>
      <c r="U13300" s="16" t="s">
        <v>87</v>
      </c>
      <c r="V13300" s="16" t="str">
        <f>IFERROR(__xludf.DUMMYFUNCTION("""COMPUTED_VALUE"""),"")</f>
        <v/>
      </c>
      <c r="W13300" s="16" t="str">
        <f>IFERROR(__xludf.DUMMYFUNCTION("""COMPUTED_VALUE"""),"")</f>
        <v/>
      </c>
      <c r="X13300" s="16" t="str">
        <f>IFERROR(__xludf.DUMMYFUNCTION("""COMPUTED_VALUE"""),"")</f>
        <v/>
      </c>
      <c r="AC13300" s="16" t="str">
        <f>IFERROR(__xludf.DUMMYFUNCTION("""COMPUTED_VALUE"""),"")</f>
        <v/>
      </c>
    </row>
    <row r="13301">
      <c r="A13301" s="16" t="s">
        <v>87</v>
      </c>
      <c r="E13301" s="16" t="str">
        <f>IFERROR(__xludf.DUMMYFUNCTION("""COMPUTED_VALUE"""),"")</f>
        <v/>
      </c>
      <c r="G13301" s="18"/>
      <c r="H13301" s="16" t="s">
        <v>87</v>
      </c>
      <c r="I13301" s="16" t="s">
        <v>87</v>
      </c>
      <c r="J13301" s="19"/>
      <c r="L13301" s="16" t="str">
        <f>IFERROR(__xludf.DUMMYFUNCTION("""COMPUTED_VALUE"""),"")</f>
        <v/>
      </c>
      <c r="M13301" s="16" t="str">
        <f>IFERROR(__xludf.DUMMYFUNCTION("""COMPUTED_VALUE"""),"")</f>
        <v/>
      </c>
      <c r="U13301" s="16" t="s">
        <v>87</v>
      </c>
      <c r="V13301" s="16" t="str">
        <f>IFERROR(__xludf.DUMMYFUNCTION("""COMPUTED_VALUE"""),"")</f>
        <v/>
      </c>
      <c r="W13301" s="16" t="str">
        <f>IFERROR(__xludf.DUMMYFUNCTION("""COMPUTED_VALUE"""),"")</f>
        <v/>
      </c>
      <c r="X13301" s="16" t="str">
        <f>IFERROR(__xludf.DUMMYFUNCTION("""COMPUTED_VALUE"""),"")</f>
        <v/>
      </c>
      <c r="AC13301" s="16" t="str">
        <f>IFERROR(__xludf.DUMMYFUNCTION("""COMPUTED_VALUE"""),"")</f>
        <v/>
      </c>
    </row>
    <row r="13302">
      <c r="A13302" s="16" t="s">
        <v>87</v>
      </c>
      <c r="E13302" s="16" t="str">
        <f>IFERROR(__xludf.DUMMYFUNCTION("""COMPUTED_VALUE"""),"")</f>
        <v/>
      </c>
      <c r="G13302" s="18"/>
      <c r="H13302" s="16" t="s">
        <v>87</v>
      </c>
      <c r="I13302" s="16" t="s">
        <v>87</v>
      </c>
      <c r="J13302" s="19"/>
      <c r="L13302" s="16" t="str">
        <f>IFERROR(__xludf.DUMMYFUNCTION("""COMPUTED_VALUE"""),"")</f>
        <v/>
      </c>
      <c r="M13302" s="16" t="str">
        <f>IFERROR(__xludf.DUMMYFUNCTION("""COMPUTED_VALUE"""),"")</f>
        <v/>
      </c>
      <c r="U13302" s="16" t="s">
        <v>87</v>
      </c>
      <c r="V13302" s="16" t="str">
        <f>IFERROR(__xludf.DUMMYFUNCTION("""COMPUTED_VALUE"""),"")</f>
        <v/>
      </c>
      <c r="W13302" s="16" t="str">
        <f>IFERROR(__xludf.DUMMYFUNCTION("""COMPUTED_VALUE"""),"")</f>
        <v/>
      </c>
      <c r="X13302" s="16" t="str">
        <f>IFERROR(__xludf.DUMMYFUNCTION("""COMPUTED_VALUE"""),"")</f>
        <v/>
      </c>
      <c r="AC13302" s="16" t="str">
        <f>IFERROR(__xludf.DUMMYFUNCTION("""COMPUTED_VALUE"""),"")</f>
        <v/>
      </c>
    </row>
    <row r="13303">
      <c r="A13303" s="16" t="s">
        <v>87</v>
      </c>
      <c r="E13303" s="16" t="str">
        <f>IFERROR(__xludf.DUMMYFUNCTION("""COMPUTED_VALUE"""),"")</f>
        <v/>
      </c>
      <c r="G13303" s="18"/>
      <c r="H13303" s="16" t="s">
        <v>87</v>
      </c>
      <c r="I13303" s="16" t="s">
        <v>87</v>
      </c>
      <c r="J13303" s="19"/>
      <c r="L13303" s="16" t="str">
        <f>IFERROR(__xludf.DUMMYFUNCTION("""COMPUTED_VALUE"""),"")</f>
        <v/>
      </c>
      <c r="M13303" s="16" t="str">
        <f>IFERROR(__xludf.DUMMYFUNCTION("""COMPUTED_VALUE"""),"")</f>
        <v/>
      </c>
      <c r="U13303" s="16" t="s">
        <v>87</v>
      </c>
      <c r="V13303" s="16" t="str">
        <f>IFERROR(__xludf.DUMMYFUNCTION("""COMPUTED_VALUE"""),"")</f>
        <v/>
      </c>
      <c r="W13303" s="16" t="str">
        <f>IFERROR(__xludf.DUMMYFUNCTION("""COMPUTED_VALUE"""),"")</f>
        <v/>
      </c>
      <c r="X13303" s="16" t="str">
        <f>IFERROR(__xludf.DUMMYFUNCTION("""COMPUTED_VALUE"""),"")</f>
        <v/>
      </c>
      <c r="AC13303" s="16" t="str">
        <f>IFERROR(__xludf.DUMMYFUNCTION("""COMPUTED_VALUE"""),"")</f>
        <v/>
      </c>
    </row>
    <row r="13304">
      <c r="A13304" s="16" t="s">
        <v>87</v>
      </c>
      <c r="E13304" s="16" t="str">
        <f>IFERROR(__xludf.DUMMYFUNCTION("""COMPUTED_VALUE"""),"")</f>
        <v/>
      </c>
      <c r="G13304" s="18"/>
      <c r="H13304" s="16" t="s">
        <v>87</v>
      </c>
      <c r="I13304" s="16" t="s">
        <v>87</v>
      </c>
      <c r="J13304" s="19"/>
      <c r="L13304" s="16" t="str">
        <f>IFERROR(__xludf.DUMMYFUNCTION("""COMPUTED_VALUE"""),"")</f>
        <v/>
      </c>
      <c r="M13304" s="16" t="str">
        <f>IFERROR(__xludf.DUMMYFUNCTION("""COMPUTED_VALUE"""),"")</f>
        <v/>
      </c>
      <c r="U13304" s="16" t="s">
        <v>87</v>
      </c>
      <c r="V13304" s="16" t="str">
        <f>IFERROR(__xludf.DUMMYFUNCTION("""COMPUTED_VALUE"""),"")</f>
        <v/>
      </c>
      <c r="W13304" s="16" t="str">
        <f>IFERROR(__xludf.DUMMYFUNCTION("""COMPUTED_VALUE"""),"")</f>
        <v/>
      </c>
      <c r="X13304" s="16" t="str">
        <f>IFERROR(__xludf.DUMMYFUNCTION("""COMPUTED_VALUE"""),"")</f>
        <v/>
      </c>
      <c r="AC13304" s="16" t="str">
        <f>IFERROR(__xludf.DUMMYFUNCTION("""COMPUTED_VALUE"""),"")</f>
        <v/>
      </c>
    </row>
    <row r="13305">
      <c r="A13305" s="16" t="s">
        <v>87</v>
      </c>
      <c r="E13305" s="16" t="str">
        <f>IFERROR(__xludf.DUMMYFUNCTION("""COMPUTED_VALUE"""),"")</f>
        <v/>
      </c>
      <c r="G13305" s="18"/>
      <c r="H13305" s="16" t="s">
        <v>87</v>
      </c>
      <c r="I13305" s="16" t="s">
        <v>87</v>
      </c>
      <c r="J13305" s="19"/>
      <c r="L13305" s="16" t="str">
        <f>IFERROR(__xludf.DUMMYFUNCTION("""COMPUTED_VALUE"""),"")</f>
        <v/>
      </c>
      <c r="M13305" s="16" t="str">
        <f>IFERROR(__xludf.DUMMYFUNCTION("""COMPUTED_VALUE"""),"")</f>
        <v/>
      </c>
      <c r="U13305" s="16" t="s">
        <v>87</v>
      </c>
      <c r="V13305" s="16" t="str">
        <f>IFERROR(__xludf.DUMMYFUNCTION("""COMPUTED_VALUE"""),"")</f>
        <v/>
      </c>
      <c r="W13305" s="16" t="str">
        <f>IFERROR(__xludf.DUMMYFUNCTION("""COMPUTED_VALUE"""),"")</f>
        <v/>
      </c>
      <c r="X13305" s="16" t="str">
        <f>IFERROR(__xludf.DUMMYFUNCTION("""COMPUTED_VALUE"""),"")</f>
        <v/>
      </c>
      <c r="AC13305" s="16" t="str">
        <f>IFERROR(__xludf.DUMMYFUNCTION("""COMPUTED_VALUE"""),"")</f>
        <v/>
      </c>
    </row>
    <row r="13306">
      <c r="A13306" s="16" t="s">
        <v>87</v>
      </c>
      <c r="E13306" s="16" t="str">
        <f>IFERROR(__xludf.DUMMYFUNCTION("""COMPUTED_VALUE"""),"")</f>
        <v/>
      </c>
      <c r="G13306" s="18"/>
      <c r="H13306" s="16" t="s">
        <v>87</v>
      </c>
      <c r="I13306" s="16" t="s">
        <v>87</v>
      </c>
      <c r="J13306" s="19"/>
      <c r="L13306" s="16" t="str">
        <f>IFERROR(__xludf.DUMMYFUNCTION("""COMPUTED_VALUE"""),"")</f>
        <v/>
      </c>
      <c r="M13306" s="16" t="str">
        <f>IFERROR(__xludf.DUMMYFUNCTION("""COMPUTED_VALUE"""),"")</f>
        <v/>
      </c>
      <c r="U13306" s="16" t="s">
        <v>87</v>
      </c>
      <c r="V13306" s="16" t="str">
        <f>IFERROR(__xludf.DUMMYFUNCTION("""COMPUTED_VALUE"""),"")</f>
        <v/>
      </c>
      <c r="W13306" s="16" t="str">
        <f>IFERROR(__xludf.DUMMYFUNCTION("""COMPUTED_VALUE"""),"")</f>
        <v/>
      </c>
      <c r="X13306" s="16" t="str">
        <f>IFERROR(__xludf.DUMMYFUNCTION("""COMPUTED_VALUE"""),"")</f>
        <v/>
      </c>
      <c r="AC13306" s="16" t="str">
        <f>IFERROR(__xludf.DUMMYFUNCTION("""COMPUTED_VALUE"""),"")</f>
        <v/>
      </c>
    </row>
    <row r="13307">
      <c r="A13307" s="16" t="s">
        <v>87</v>
      </c>
      <c r="E13307" s="16" t="str">
        <f>IFERROR(__xludf.DUMMYFUNCTION("""COMPUTED_VALUE"""),"")</f>
        <v/>
      </c>
      <c r="G13307" s="18"/>
      <c r="H13307" s="16" t="s">
        <v>87</v>
      </c>
      <c r="I13307" s="16" t="s">
        <v>87</v>
      </c>
      <c r="J13307" s="19"/>
      <c r="L13307" s="16" t="str">
        <f>IFERROR(__xludf.DUMMYFUNCTION("""COMPUTED_VALUE"""),"")</f>
        <v/>
      </c>
      <c r="M13307" s="16" t="str">
        <f>IFERROR(__xludf.DUMMYFUNCTION("""COMPUTED_VALUE"""),"")</f>
        <v/>
      </c>
      <c r="U13307" s="16" t="s">
        <v>87</v>
      </c>
      <c r="V13307" s="16" t="str">
        <f>IFERROR(__xludf.DUMMYFUNCTION("""COMPUTED_VALUE"""),"")</f>
        <v/>
      </c>
      <c r="W13307" s="16" t="str">
        <f>IFERROR(__xludf.DUMMYFUNCTION("""COMPUTED_VALUE"""),"")</f>
        <v/>
      </c>
      <c r="X13307" s="16" t="str">
        <f>IFERROR(__xludf.DUMMYFUNCTION("""COMPUTED_VALUE"""),"")</f>
        <v/>
      </c>
      <c r="AC13307" s="16" t="str">
        <f>IFERROR(__xludf.DUMMYFUNCTION("""COMPUTED_VALUE"""),"")</f>
        <v/>
      </c>
    </row>
    <row r="13308">
      <c r="A13308" s="16" t="s">
        <v>87</v>
      </c>
      <c r="E13308" s="16" t="str">
        <f>IFERROR(__xludf.DUMMYFUNCTION("""COMPUTED_VALUE"""),"")</f>
        <v/>
      </c>
      <c r="G13308" s="18"/>
      <c r="H13308" s="16" t="s">
        <v>87</v>
      </c>
      <c r="I13308" s="16" t="s">
        <v>87</v>
      </c>
      <c r="J13308" s="19"/>
      <c r="L13308" s="16" t="str">
        <f>IFERROR(__xludf.DUMMYFUNCTION("""COMPUTED_VALUE"""),"")</f>
        <v/>
      </c>
      <c r="M13308" s="16" t="str">
        <f>IFERROR(__xludf.DUMMYFUNCTION("""COMPUTED_VALUE"""),"")</f>
        <v/>
      </c>
      <c r="U13308" s="16" t="s">
        <v>87</v>
      </c>
      <c r="V13308" s="16" t="str">
        <f>IFERROR(__xludf.DUMMYFUNCTION("""COMPUTED_VALUE"""),"")</f>
        <v/>
      </c>
      <c r="W13308" s="16" t="str">
        <f>IFERROR(__xludf.DUMMYFUNCTION("""COMPUTED_VALUE"""),"")</f>
        <v/>
      </c>
      <c r="X13308" s="16" t="str">
        <f>IFERROR(__xludf.DUMMYFUNCTION("""COMPUTED_VALUE"""),"")</f>
        <v/>
      </c>
      <c r="AC13308" s="16" t="str">
        <f>IFERROR(__xludf.DUMMYFUNCTION("""COMPUTED_VALUE"""),"")</f>
        <v/>
      </c>
    </row>
    <row r="13309">
      <c r="A13309" s="16" t="s">
        <v>87</v>
      </c>
      <c r="E13309" s="16" t="str">
        <f>IFERROR(__xludf.DUMMYFUNCTION("""COMPUTED_VALUE"""),"")</f>
        <v/>
      </c>
      <c r="G13309" s="18"/>
      <c r="H13309" s="16" t="s">
        <v>87</v>
      </c>
      <c r="I13309" s="16" t="s">
        <v>87</v>
      </c>
      <c r="J13309" s="19"/>
      <c r="L13309" s="16" t="str">
        <f>IFERROR(__xludf.DUMMYFUNCTION("""COMPUTED_VALUE"""),"")</f>
        <v/>
      </c>
      <c r="M13309" s="16" t="str">
        <f>IFERROR(__xludf.DUMMYFUNCTION("""COMPUTED_VALUE"""),"")</f>
        <v/>
      </c>
      <c r="U13309" s="16" t="s">
        <v>87</v>
      </c>
      <c r="V13309" s="16" t="str">
        <f>IFERROR(__xludf.DUMMYFUNCTION("""COMPUTED_VALUE"""),"")</f>
        <v/>
      </c>
      <c r="W13309" s="16" t="str">
        <f>IFERROR(__xludf.DUMMYFUNCTION("""COMPUTED_VALUE"""),"")</f>
        <v/>
      </c>
      <c r="X13309" s="16" t="str">
        <f>IFERROR(__xludf.DUMMYFUNCTION("""COMPUTED_VALUE"""),"")</f>
        <v/>
      </c>
      <c r="AC13309" s="16" t="str">
        <f>IFERROR(__xludf.DUMMYFUNCTION("""COMPUTED_VALUE"""),"")</f>
        <v/>
      </c>
    </row>
    <row r="13310">
      <c r="A13310" s="16" t="s">
        <v>87</v>
      </c>
      <c r="E13310" s="16" t="str">
        <f>IFERROR(__xludf.DUMMYFUNCTION("""COMPUTED_VALUE"""),"")</f>
        <v/>
      </c>
      <c r="G13310" s="18"/>
      <c r="H13310" s="16" t="s">
        <v>87</v>
      </c>
      <c r="I13310" s="16" t="s">
        <v>87</v>
      </c>
      <c r="J13310" s="19"/>
      <c r="L13310" s="16" t="str">
        <f>IFERROR(__xludf.DUMMYFUNCTION("""COMPUTED_VALUE"""),"")</f>
        <v/>
      </c>
      <c r="M13310" s="16" t="str">
        <f>IFERROR(__xludf.DUMMYFUNCTION("""COMPUTED_VALUE"""),"")</f>
        <v/>
      </c>
      <c r="U13310" s="16" t="s">
        <v>87</v>
      </c>
      <c r="V13310" s="16" t="str">
        <f>IFERROR(__xludf.DUMMYFUNCTION("""COMPUTED_VALUE"""),"")</f>
        <v/>
      </c>
      <c r="W13310" s="16" t="str">
        <f>IFERROR(__xludf.DUMMYFUNCTION("""COMPUTED_VALUE"""),"")</f>
        <v/>
      </c>
      <c r="X13310" s="16" t="str">
        <f>IFERROR(__xludf.DUMMYFUNCTION("""COMPUTED_VALUE"""),"")</f>
        <v/>
      </c>
      <c r="AC13310" s="16" t="str">
        <f>IFERROR(__xludf.DUMMYFUNCTION("""COMPUTED_VALUE"""),"")</f>
        <v/>
      </c>
    </row>
    <row r="13311">
      <c r="A13311" s="16" t="s">
        <v>87</v>
      </c>
      <c r="E13311" s="16" t="str">
        <f>IFERROR(__xludf.DUMMYFUNCTION("""COMPUTED_VALUE"""),"")</f>
        <v/>
      </c>
      <c r="G13311" s="18"/>
      <c r="H13311" s="16" t="s">
        <v>87</v>
      </c>
      <c r="I13311" s="16" t="s">
        <v>87</v>
      </c>
      <c r="J13311" s="19"/>
      <c r="L13311" s="16" t="str">
        <f>IFERROR(__xludf.DUMMYFUNCTION("""COMPUTED_VALUE"""),"")</f>
        <v/>
      </c>
      <c r="M13311" s="16" t="str">
        <f>IFERROR(__xludf.DUMMYFUNCTION("""COMPUTED_VALUE"""),"")</f>
        <v/>
      </c>
      <c r="U13311" s="16" t="s">
        <v>87</v>
      </c>
      <c r="V13311" s="16" t="str">
        <f>IFERROR(__xludf.DUMMYFUNCTION("""COMPUTED_VALUE"""),"")</f>
        <v/>
      </c>
      <c r="W13311" s="16" t="str">
        <f>IFERROR(__xludf.DUMMYFUNCTION("""COMPUTED_VALUE"""),"")</f>
        <v/>
      </c>
      <c r="X13311" s="16" t="str">
        <f>IFERROR(__xludf.DUMMYFUNCTION("""COMPUTED_VALUE"""),"")</f>
        <v/>
      </c>
      <c r="AC13311" s="16" t="str">
        <f>IFERROR(__xludf.DUMMYFUNCTION("""COMPUTED_VALUE"""),"")</f>
        <v/>
      </c>
    </row>
    <row r="13312">
      <c r="A13312" s="16" t="s">
        <v>87</v>
      </c>
      <c r="E13312" s="16" t="str">
        <f>IFERROR(__xludf.DUMMYFUNCTION("""COMPUTED_VALUE"""),"")</f>
        <v/>
      </c>
      <c r="G13312" s="18"/>
      <c r="H13312" s="16" t="s">
        <v>87</v>
      </c>
      <c r="I13312" s="16" t="s">
        <v>87</v>
      </c>
      <c r="J13312" s="19"/>
      <c r="L13312" s="16" t="str">
        <f>IFERROR(__xludf.DUMMYFUNCTION("""COMPUTED_VALUE"""),"")</f>
        <v/>
      </c>
      <c r="M13312" s="16" t="str">
        <f>IFERROR(__xludf.DUMMYFUNCTION("""COMPUTED_VALUE"""),"")</f>
        <v/>
      </c>
      <c r="U13312" s="16" t="s">
        <v>87</v>
      </c>
      <c r="V13312" s="16" t="str">
        <f>IFERROR(__xludf.DUMMYFUNCTION("""COMPUTED_VALUE"""),"")</f>
        <v/>
      </c>
      <c r="W13312" s="16" t="str">
        <f>IFERROR(__xludf.DUMMYFUNCTION("""COMPUTED_VALUE"""),"")</f>
        <v/>
      </c>
      <c r="X13312" s="16" t="str">
        <f>IFERROR(__xludf.DUMMYFUNCTION("""COMPUTED_VALUE"""),"")</f>
        <v/>
      </c>
      <c r="AC13312" s="16" t="str">
        <f>IFERROR(__xludf.DUMMYFUNCTION("""COMPUTED_VALUE"""),"")</f>
        <v/>
      </c>
    </row>
    <row r="13313">
      <c r="A13313" s="16" t="s">
        <v>87</v>
      </c>
      <c r="E13313" s="16" t="str">
        <f>IFERROR(__xludf.DUMMYFUNCTION("""COMPUTED_VALUE"""),"")</f>
        <v/>
      </c>
      <c r="G13313" s="18"/>
      <c r="H13313" s="16" t="s">
        <v>87</v>
      </c>
      <c r="I13313" s="16" t="s">
        <v>87</v>
      </c>
      <c r="J13313" s="19"/>
      <c r="L13313" s="16" t="str">
        <f>IFERROR(__xludf.DUMMYFUNCTION("""COMPUTED_VALUE"""),"")</f>
        <v/>
      </c>
      <c r="M13313" s="16" t="str">
        <f>IFERROR(__xludf.DUMMYFUNCTION("""COMPUTED_VALUE"""),"")</f>
        <v/>
      </c>
      <c r="U13313" s="16" t="s">
        <v>87</v>
      </c>
      <c r="V13313" s="16" t="str">
        <f>IFERROR(__xludf.DUMMYFUNCTION("""COMPUTED_VALUE"""),"")</f>
        <v/>
      </c>
      <c r="W13313" s="16" t="str">
        <f>IFERROR(__xludf.DUMMYFUNCTION("""COMPUTED_VALUE"""),"")</f>
        <v/>
      </c>
      <c r="X13313" s="16" t="str">
        <f>IFERROR(__xludf.DUMMYFUNCTION("""COMPUTED_VALUE"""),"")</f>
        <v/>
      </c>
      <c r="AC13313" s="16" t="str">
        <f>IFERROR(__xludf.DUMMYFUNCTION("""COMPUTED_VALUE"""),"")</f>
        <v/>
      </c>
    </row>
    <row r="13314">
      <c r="A13314" s="16" t="s">
        <v>87</v>
      </c>
      <c r="E13314" s="16" t="str">
        <f>IFERROR(__xludf.DUMMYFUNCTION("""COMPUTED_VALUE"""),"")</f>
        <v/>
      </c>
      <c r="G13314" s="18"/>
      <c r="H13314" s="16" t="s">
        <v>87</v>
      </c>
      <c r="I13314" s="16" t="s">
        <v>87</v>
      </c>
      <c r="J13314" s="19"/>
      <c r="L13314" s="16" t="str">
        <f>IFERROR(__xludf.DUMMYFUNCTION("""COMPUTED_VALUE"""),"")</f>
        <v/>
      </c>
      <c r="M13314" s="16" t="str">
        <f>IFERROR(__xludf.DUMMYFUNCTION("""COMPUTED_VALUE"""),"")</f>
        <v/>
      </c>
      <c r="U13314" s="16" t="s">
        <v>87</v>
      </c>
      <c r="V13314" s="16" t="str">
        <f>IFERROR(__xludf.DUMMYFUNCTION("""COMPUTED_VALUE"""),"")</f>
        <v/>
      </c>
      <c r="W13314" s="16" t="str">
        <f>IFERROR(__xludf.DUMMYFUNCTION("""COMPUTED_VALUE"""),"")</f>
        <v/>
      </c>
      <c r="X13314" s="16" t="str">
        <f>IFERROR(__xludf.DUMMYFUNCTION("""COMPUTED_VALUE"""),"")</f>
        <v/>
      </c>
      <c r="AC13314" s="16" t="str">
        <f>IFERROR(__xludf.DUMMYFUNCTION("""COMPUTED_VALUE"""),"")</f>
        <v/>
      </c>
    </row>
    <row r="13315">
      <c r="A13315" s="16" t="s">
        <v>87</v>
      </c>
      <c r="E13315" s="16" t="str">
        <f>IFERROR(__xludf.DUMMYFUNCTION("""COMPUTED_VALUE"""),"")</f>
        <v/>
      </c>
      <c r="G13315" s="18"/>
      <c r="H13315" s="16" t="s">
        <v>87</v>
      </c>
      <c r="I13315" s="16" t="s">
        <v>87</v>
      </c>
      <c r="J13315" s="19"/>
      <c r="L13315" s="16" t="str">
        <f>IFERROR(__xludf.DUMMYFUNCTION("""COMPUTED_VALUE"""),"")</f>
        <v/>
      </c>
      <c r="M13315" s="16" t="str">
        <f>IFERROR(__xludf.DUMMYFUNCTION("""COMPUTED_VALUE"""),"")</f>
        <v/>
      </c>
      <c r="U13315" s="16" t="s">
        <v>87</v>
      </c>
      <c r="V13315" s="16" t="str">
        <f>IFERROR(__xludf.DUMMYFUNCTION("""COMPUTED_VALUE"""),"")</f>
        <v/>
      </c>
      <c r="W13315" s="16" t="str">
        <f>IFERROR(__xludf.DUMMYFUNCTION("""COMPUTED_VALUE"""),"")</f>
        <v/>
      </c>
      <c r="X13315" s="16" t="str">
        <f>IFERROR(__xludf.DUMMYFUNCTION("""COMPUTED_VALUE"""),"")</f>
        <v/>
      </c>
      <c r="AC13315" s="16" t="str">
        <f>IFERROR(__xludf.DUMMYFUNCTION("""COMPUTED_VALUE"""),"")</f>
        <v/>
      </c>
    </row>
    <row r="13316">
      <c r="A13316" s="16" t="s">
        <v>87</v>
      </c>
      <c r="E13316" s="16" t="str">
        <f>IFERROR(__xludf.DUMMYFUNCTION("""COMPUTED_VALUE"""),"")</f>
        <v/>
      </c>
      <c r="G13316" s="18"/>
      <c r="H13316" s="16" t="s">
        <v>87</v>
      </c>
      <c r="I13316" s="16" t="s">
        <v>87</v>
      </c>
      <c r="J13316" s="19"/>
      <c r="L13316" s="16" t="str">
        <f>IFERROR(__xludf.DUMMYFUNCTION("""COMPUTED_VALUE"""),"")</f>
        <v/>
      </c>
      <c r="M13316" s="16" t="str">
        <f>IFERROR(__xludf.DUMMYFUNCTION("""COMPUTED_VALUE"""),"")</f>
        <v/>
      </c>
      <c r="U13316" s="16" t="s">
        <v>87</v>
      </c>
      <c r="V13316" s="16" t="str">
        <f>IFERROR(__xludf.DUMMYFUNCTION("""COMPUTED_VALUE"""),"")</f>
        <v/>
      </c>
      <c r="W13316" s="16" t="str">
        <f>IFERROR(__xludf.DUMMYFUNCTION("""COMPUTED_VALUE"""),"")</f>
        <v/>
      </c>
      <c r="X13316" s="16" t="str">
        <f>IFERROR(__xludf.DUMMYFUNCTION("""COMPUTED_VALUE"""),"")</f>
        <v/>
      </c>
      <c r="AC13316" s="16" t="str">
        <f>IFERROR(__xludf.DUMMYFUNCTION("""COMPUTED_VALUE"""),"")</f>
        <v/>
      </c>
    </row>
    <row r="13317">
      <c r="A13317" s="16" t="s">
        <v>87</v>
      </c>
      <c r="E13317" s="16" t="str">
        <f>IFERROR(__xludf.DUMMYFUNCTION("""COMPUTED_VALUE"""),"")</f>
        <v/>
      </c>
      <c r="G13317" s="18"/>
      <c r="H13317" s="16" t="s">
        <v>87</v>
      </c>
      <c r="I13317" s="16" t="s">
        <v>87</v>
      </c>
      <c r="J13317" s="19"/>
      <c r="L13317" s="16" t="str">
        <f>IFERROR(__xludf.DUMMYFUNCTION("""COMPUTED_VALUE"""),"")</f>
        <v/>
      </c>
      <c r="M13317" s="16" t="str">
        <f>IFERROR(__xludf.DUMMYFUNCTION("""COMPUTED_VALUE"""),"")</f>
        <v/>
      </c>
      <c r="U13317" s="16" t="s">
        <v>87</v>
      </c>
      <c r="V13317" s="16" t="str">
        <f>IFERROR(__xludf.DUMMYFUNCTION("""COMPUTED_VALUE"""),"")</f>
        <v/>
      </c>
      <c r="W13317" s="16" t="str">
        <f>IFERROR(__xludf.DUMMYFUNCTION("""COMPUTED_VALUE"""),"")</f>
        <v/>
      </c>
      <c r="X13317" s="16" t="str">
        <f>IFERROR(__xludf.DUMMYFUNCTION("""COMPUTED_VALUE"""),"")</f>
        <v/>
      </c>
      <c r="AC13317" s="16" t="str">
        <f>IFERROR(__xludf.DUMMYFUNCTION("""COMPUTED_VALUE"""),"")</f>
        <v/>
      </c>
    </row>
    <row r="13318">
      <c r="A13318" s="16" t="s">
        <v>87</v>
      </c>
      <c r="E13318" s="16" t="str">
        <f>IFERROR(__xludf.DUMMYFUNCTION("""COMPUTED_VALUE"""),"")</f>
        <v/>
      </c>
      <c r="G13318" s="18"/>
      <c r="H13318" s="16" t="s">
        <v>87</v>
      </c>
      <c r="I13318" s="16" t="s">
        <v>87</v>
      </c>
      <c r="J13318" s="19"/>
      <c r="L13318" s="16" t="str">
        <f>IFERROR(__xludf.DUMMYFUNCTION("""COMPUTED_VALUE"""),"")</f>
        <v/>
      </c>
      <c r="M13318" s="16" t="str">
        <f>IFERROR(__xludf.DUMMYFUNCTION("""COMPUTED_VALUE"""),"")</f>
        <v/>
      </c>
      <c r="U13318" s="16" t="s">
        <v>87</v>
      </c>
      <c r="V13318" s="16" t="str">
        <f>IFERROR(__xludf.DUMMYFUNCTION("""COMPUTED_VALUE"""),"")</f>
        <v/>
      </c>
      <c r="W13318" s="16" t="str">
        <f>IFERROR(__xludf.DUMMYFUNCTION("""COMPUTED_VALUE"""),"")</f>
        <v/>
      </c>
      <c r="X13318" s="16" t="str">
        <f>IFERROR(__xludf.DUMMYFUNCTION("""COMPUTED_VALUE"""),"")</f>
        <v/>
      </c>
      <c r="AC13318" s="16" t="str">
        <f>IFERROR(__xludf.DUMMYFUNCTION("""COMPUTED_VALUE"""),"")</f>
        <v/>
      </c>
    </row>
    <row r="13319">
      <c r="A13319" s="16" t="s">
        <v>87</v>
      </c>
      <c r="E13319" s="16" t="str">
        <f>IFERROR(__xludf.DUMMYFUNCTION("""COMPUTED_VALUE"""),"")</f>
        <v/>
      </c>
      <c r="G13319" s="18"/>
      <c r="H13319" s="16" t="s">
        <v>87</v>
      </c>
      <c r="I13319" s="16" t="s">
        <v>87</v>
      </c>
      <c r="J13319" s="19"/>
      <c r="L13319" s="16" t="str">
        <f>IFERROR(__xludf.DUMMYFUNCTION("""COMPUTED_VALUE"""),"")</f>
        <v/>
      </c>
      <c r="M13319" s="16" t="str">
        <f>IFERROR(__xludf.DUMMYFUNCTION("""COMPUTED_VALUE"""),"")</f>
        <v/>
      </c>
      <c r="U13319" s="16" t="s">
        <v>87</v>
      </c>
      <c r="V13319" s="16" t="str">
        <f>IFERROR(__xludf.DUMMYFUNCTION("""COMPUTED_VALUE"""),"")</f>
        <v/>
      </c>
      <c r="W13319" s="16" t="str">
        <f>IFERROR(__xludf.DUMMYFUNCTION("""COMPUTED_VALUE"""),"")</f>
        <v/>
      </c>
      <c r="X13319" s="16" t="str">
        <f>IFERROR(__xludf.DUMMYFUNCTION("""COMPUTED_VALUE"""),"")</f>
        <v/>
      </c>
      <c r="AC13319" s="16" t="str">
        <f>IFERROR(__xludf.DUMMYFUNCTION("""COMPUTED_VALUE"""),"")</f>
        <v/>
      </c>
    </row>
    <row r="13320">
      <c r="A13320" s="16" t="s">
        <v>87</v>
      </c>
      <c r="E13320" s="16" t="str">
        <f>IFERROR(__xludf.DUMMYFUNCTION("""COMPUTED_VALUE"""),"")</f>
        <v/>
      </c>
      <c r="G13320" s="18"/>
      <c r="H13320" s="16" t="s">
        <v>87</v>
      </c>
      <c r="I13320" s="16" t="s">
        <v>87</v>
      </c>
      <c r="J13320" s="19"/>
      <c r="L13320" s="16" t="str">
        <f>IFERROR(__xludf.DUMMYFUNCTION("""COMPUTED_VALUE"""),"")</f>
        <v/>
      </c>
      <c r="M13320" s="16" t="str">
        <f>IFERROR(__xludf.DUMMYFUNCTION("""COMPUTED_VALUE"""),"")</f>
        <v/>
      </c>
      <c r="U13320" s="16" t="s">
        <v>87</v>
      </c>
      <c r="V13320" s="16" t="str">
        <f>IFERROR(__xludf.DUMMYFUNCTION("""COMPUTED_VALUE"""),"")</f>
        <v/>
      </c>
      <c r="W13320" s="16" t="str">
        <f>IFERROR(__xludf.DUMMYFUNCTION("""COMPUTED_VALUE"""),"")</f>
        <v/>
      </c>
      <c r="X13320" s="16" t="str">
        <f>IFERROR(__xludf.DUMMYFUNCTION("""COMPUTED_VALUE"""),"")</f>
        <v/>
      </c>
      <c r="AC13320" s="16" t="str">
        <f>IFERROR(__xludf.DUMMYFUNCTION("""COMPUTED_VALUE"""),"")</f>
        <v/>
      </c>
    </row>
    <row r="13321">
      <c r="A13321" s="16" t="s">
        <v>87</v>
      </c>
      <c r="E13321" s="16" t="str">
        <f>IFERROR(__xludf.DUMMYFUNCTION("""COMPUTED_VALUE"""),"")</f>
        <v/>
      </c>
      <c r="G13321" s="18"/>
      <c r="H13321" s="16" t="s">
        <v>87</v>
      </c>
      <c r="I13321" s="16" t="s">
        <v>87</v>
      </c>
      <c r="J13321" s="19"/>
      <c r="L13321" s="16" t="str">
        <f>IFERROR(__xludf.DUMMYFUNCTION("""COMPUTED_VALUE"""),"")</f>
        <v/>
      </c>
      <c r="M13321" s="16" t="str">
        <f>IFERROR(__xludf.DUMMYFUNCTION("""COMPUTED_VALUE"""),"")</f>
        <v/>
      </c>
      <c r="U13321" s="16" t="s">
        <v>87</v>
      </c>
      <c r="V13321" s="16" t="str">
        <f>IFERROR(__xludf.DUMMYFUNCTION("""COMPUTED_VALUE"""),"")</f>
        <v/>
      </c>
      <c r="W13321" s="16" t="str">
        <f>IFERROR(__xludf.DUMMYFUNCTION("""COMPUTED_VALUE"""),"")</f>
        <v/>
      </c>
      <c r="X13321" s="16" t="str">
        <f>IFERROR(__xludf.DUMMYFUNCTION("""COMPUTED_VALUE"""),"")</f>
        <v/>
      </c>
      <c r="AC13321" s="16" t="str">
        <f>IFERROR(__xludf.DUMMYFUNCTION("""COMPUTED_VALUE"""),"")</f>
        <v/>
      </c>
    </row>
    <row r="13322">
      <c r="A13322" s="16" t="s">
        <v>87</v>
      </c>
      <c r="E13322" s="16" t="str">
        <f>IFERROR(__xludf.DUMMYFUNCTION("""COMPUTED_VALUE"""),"")</f>
        <v/>
      </c>
      <c r="G13322" s="18"/>
      <c r="H13322" s="16" t="s">
        <v>87</v>
      </c>
      <c r="I13322" s="16" t="s">
        <v>87</v>
      </c>
      <c r="J13322" s="19"/>
      <c r="L13322" s="16" t="str">
        <f>IFERROR(__xludf.DUMMYFUNCTION("""COMPUTED_VALUE"""),"")</f>
        <v/>
      </c>
      <c r="M13322" s="16" t="str">
        <f>IFERROR(__xludf.DUMMYFUNCTION("""COMPUTED_VALUE"""),"")</f>
        <v/>
      </c>
      <c r="U13322" s="16" t="s">
        <v>87</v>
      </c>
      <c r="V13322" s="16" t="str">
        <f>IFERROR(__xludf.DUMMYFUNCTION("""COMPUTED_VALUE"""),"")</f>
        <v/>
      </c>
      <c r="W13322" s="16" t="str">
        <f>IFERROR(__xludf.DUMMYFUNCTION("""COMPUTED_VALUE"""),"")</f>
        <v/>
      </c>
      <c r="X13322" s="16" t="str">
        <f>IFERROR(__xludf.DUMMYFUNCTION("""COMPUTED_VALUE"""),"")</f>
        <v/>
      </c>
      <c r="AC13322" s="16" t="str">
        <f>IFERROR(__xludf.DUMMYFUNCTION("""COMPUTED_VALUE"""),"")</f>
        <v/>
      </c>
    </row>
    <row r="13323">
      <c r="A13323" s="16" t="s">
        <v>87</v>
      </c>
      <c r="E13323" s="16" t="str">
        <f>IFERROR(__xludf.DUMMYFUNCTION("""COMPUTED_VALUE"""),"")</f>
        <v/>
      </c>
      <c r="G13323" s="18"/>
      <c r="H13323" s="16" t="s">
        <v>87</v>
      </c>
      <c r="I13323" s="16" t="s">
        <v>87</v>
      </c>
      <c r="J13323" s="19"/>
      <c r="L13323" s="16" t="str">
        <f>IFERROR(__xludf.DUMMYFUNCTION("""COMPUTED_VALUE"""),"")</f>
        <v/>
      </c>
      <c r="M13323" s="16" t="str">
        <f>IFERROR(__xludf.DUMMYFUNCTION("""COMPUTED_VALUE"""),"")</f>
        <v/>
      </c>
      <c r="U13323" s="16" t="s">
        <v>87</v>
      </c>
      <c r="V13323" s="16" t="str">
        <f>IFERROR(__xludf.DUMMYFUNCTION("""COMPUTED_VALUE"""),"")</f>
        <v/>
      </c>
      <c r="W13323" s="16" t="str">
        <f>IFERROR(__xludf.DUMMYFUNCTION("""COMPUTED_VALUE"""),"")</f>
        <v/>
      </c>
      <c r="X13323" s="16" t="str">
        <f>IFERROR(__xludf.DUMMYFUNCTION("""COMPUTED_VALUE"""),"")</f>
        <v/>
      </c>
      <c r="AC13323" s="16" t="str">
        <f>IFERROR(__xludf.DUMMYFUNCTION("""COMPUTED_VALUE"""),"")</f>
        <v/>
      </c>
    </row>
    <row r="13324">
      <c r="A13324" s="16" t="s">
        <v>87</v>
      </c>
      <c r="E13324" s="16" t="str">
        <f>IFERROR(__xludf.DUMMYFUNCTION("""COMPUTED_VALUE"""),"")</f>
        <v/>
      </c>
      <c r="G13324" s="18"/>
      <c r="H13324" s="16" t="s">
        <v>87</v>
      </c>
      <c r="I13324" s="16" t="s">
        <v>87</v>
      </c>
      <c r="J13324" s="19"/>
      <c r="L13324" s="16" t="str">
        <f>IFERROR(__xludf.DUMMYFUNCTION("""COMPUTED_VALUE"""),"")</f>
        <v/>
      </c>
      <c r="M13324" s="16" t="str">
        <f>IFERROR(__xludf.DUMMYFUNCTION("""COMPUTED_VALUE"""),"")</f>
        <v/>
      </c>
      <c r="U13324" s="16" t="s">
        <v>87</v>
      </c>
      <c r="V13324" s="16" t="str">
        <f>IFERROR(__xludf.DUMMYFUNCTION("""COMPUTED_VALUE"""),"")</f>
        <v/>
      </c>
      <c r="W13324" s="16" t="str">
        <f>IFERROR(__xludf.DUMMYFUNCTION("""COMPUTED_VALUE"""),"")</f>
        <v/>
      </c>
      <c r="X13324" s="16" t="str">
        <f>IFERROR(__xludf.DUMMYFUNCTION("""COMPUTED_VALUE"""),"")</f>
        <v/>
      </c>
      <c r="AC13324" s="16" t="str">
        <f>IFERROR(__xludf.DUMMYFUNCTION("""COMPUTED_VALUE"""),"")</f>
        <v/>
      </c>
    </row>
    <row r="13325">
      <c r="A13325" s="16" t="s">
        <v>87</v>
      </c>
      <c r="E13325" s="16" t="str">
        <f>IFERROR(__xludf.DUMMYFUNCTION("""COMPUTED_VALUE"""),"")</f>
        <v/>
      </c>
      <c r="G13325" s="18"/>
      <c r="H13325" s="16" t="s">
        <v>87</v>
      </c>
      <c r="I13325" s="16" t="s">
        <v>87</v>
      </c>
      <c r="J13325" s="19"/>
      <c r="L13325" s="16" t="str">
        <f>IFERROR(__xludf.DUMMYFUNCTION("""COMPUTED_VALUE"""),"")</f>
        <v/>
      </c>
      <c r="M13325" s="16" t="str">
        <f>IFERROR(__xludf.DUMMYFUNCTION("""COMPUTED_VALUE"""),"")</f>
        <v/>
      </c>
      <c r="U13325" s="16" t="s">
        <v>87</v>
      </c>
      <c r="V13325" s="16" t="str">
        <f>IFERROR(__xludf.DUMMYFUNCTION("""COMPUTED_VALUE"""),"")</f>
        <v/>
      </c>
      <c r="W13325" s="16" t="str">
        <f>IFERROR(__xludf.DUMMYFUNCTION("""COMPUTED_VALUE"""),"")</f>
        <v/>
      </c>
      <c r="X13325" s="16" t="str">
        <f>IFERROR(__xludf.DUMMYFUNCTION("""COMPUTED_VALUE"""),"")</f>
        <v/>
      </c>
      <c r="AC13325" s="16" t="str">
        <f>IFERROR(__xludf.DUMMYFUNCTION("""COMPUTED_VALUE"""),"")</f>
        <v/>
      </c>
    </row>
    <row r="13326">
      <c r="A13326" s="16" t="s">
        <v>87</v>
      </c>
      <c r="E13326" s="16" t="str">
        <f>IFERROR(__xludf.DUMMYFUNCTION("""COMPUTED_VALUE"""),"")</f>
        <v/>
      </c>
      <c r="G13326" s="18"/>
      <c r="H13326" s="16" t="s">
        <v>87</v>
      </c>
      <c r="I13326" s="16" t="s">
        <v>87</v>
      </c>
      <c r="J13326" s="19"/>
      <c r="L13326" s="16" t="str">
        <f>IFERROR(__xludf.DUMMYFUNCTION("""COMPUTED_VALUE"""),"")</f>
        <v/>
      </c>
      <c r="M13326" s="16" t="str">
        <f>IFERROR(__xludf.DUMMYFUNCTION("""COMPUTED_VALUE"""),"")</f>
        <v/>
      </c>
      <c r="U13326" s="16" t="s">
        <v>87</v>
      </c>
      <c r="V13326" s="16" t="str">
        <f>IFERROR(__xludf.DUMMYFUNCTION("""COMPUTED_VALUE"""),"")</f>
        <v/>
      </c>
      <c r="W13326" s="16" t="str">
        <f>IFERROR(__xludf.DUMMYFUNCTION("""COMPUTED_VALUE"""),"")</f>
        <v/>
      </c>
      <c r="X13326" s="16" t="str">
        <f>IFERROR(__xludf.DUMMYFUNCTION("""COMPUTED_VALUE"""),"")</f>
        <v/>
      </c>
      <c r="AC13326" s="16" t="str">
        <f>IFERROR(__xludf.DUMMYFUNCTION("""COMPUTED_VALUE"""),"")</f>
        <v/>
      </c>
    </row>
    <row r="13327">
      <c r="A13327" s="16" t="s">
        <v>87</v>
      </c>
      <c r="E13327" s="16" t="str">
        <f>IFERROR(__xludf.DUMMYFUNCTION("""COMPUTED_VALUE"""),"")</f>
        <v/>
      </c>
      <c r="G13327" s="18"/>
      <c r="H13327" s="16" t="s">
        <v>87</v>
      </c>
      <c r="I13327" s="16" t="s">
        <v>87</v>
      </c>
      <c r="J13327" s="19"/>
      <c r="L13327" s="16" t="str">
        <f>IFERROR(__xludf.DUMMYFUNCTION("""COMPUTED_VALUE"""),"")</f>
        <v/>
      </c>
      <c r="M13327" s="16" t="str">
        <f>IFERROR(__xludf.DUMMYFUNCTION("""COMPUTED_VALUE"""),"")</f>
        <v/>
      </c>
      <c r="U13327" s="16" t="s">
        <v>87</v>
      </c>
      <c r="V13327" s="16" t="str">
        <f>IFERROR(__xludf.DUMMYFUNCTION("""COMPUTED_VALUE"""),"")</f>
        <v/>
      </c>
      <c r="W13327" s="16" t="str">
        <f>IFERROR(__xludf.DUMMYFUNCTION("""COMPUTED_VALUE"""),"")</f>
        <v/>
      </c>
      <c r="X13327" s="16" t="str">
        <f>IFERROR(__xludf.DUMMYFUNCTION("""COMPUTED_VALUE"""),"")</f>
        <v/>
      </c>
      <c r="AC13327" s="16" t="str">
        <f>IFERROR(__xludf.DUMMYFUNCTION("""COMPUTED_VALUE"""),"")</f>
        <v/>
      </c>
    </row>
    <row r="13328">
      <c r="A13328" s="16" t="s">
        <v>87</v>
      </c>
      <c r="E13328" s="16" t="str">
        <f>IFERROR(__xludf.DUMMYFUNCTION("""COMPUTED_VALUE"""),"")</f>
        <v/>
      </c>
      <c r="G13328" s="18"/>
      <c r="H13328" s="16" t="s">
        <v>87</v>
      </c>
      <c r="I13328" s="16" t="s">
        <v>87</v>
      </c>
      <c r="J13328" s="19"/>
      <c r="L13328" s="16" t="str">
        <f>IFERROR(__xludf.DUMMYFUNCTION("""COMPUTED_VALUE"""),"")</f>
        <v/>
      </c>
      <c r="M13328" s="16" t="str">
        <f>IFERROR(__xludf.DUMMYFUNCTION("""COMPUTED_VALUE"""),"")</f>
        <v/>
      </c>
      <c r="U13328" s="16" t="s">
        <v>87</v>
      </c>
      <c r="V13328" s="16" t="str">
        <f>IFERROR(__xludf.DUMMYFUNCTION("""COMPUTED_VALUE"""),"")</f>
        <v/>
      </c>
      <c r="W13328" s="16" t="str">
        <f>IFERROR(__xludf.DUMMYFUNCTION("""COMPUTED_VALUE"""),"")</f>
        <v/>
      </c>
      <c r="X13328" s="16" t="str">
        <f>IFERROR(__xludf.DUMMYFUNCTION("""COMPUTED_VALUE"""),"")</f>
        <v/>
      </c>
      <c r="AC13328" s="16" t="str">
        <f>IFERROR(__xludf.DUMMYFUNCTION("""COMPUTED_VALUE"""),"")</f>
        <v/>
      </c>
    </row>
    <row r="13329">
      <c r="A13329" s="16" t="s">
        <v>87</v>
      </c>
      <c r="E13329" s="16" t="str">
        <f>IFERROR(__xludf.DUMMYFUNCTION("""COMPUTED_VALUE"""),"")</f>
        <v/>
      </c>
      <c r="G13329" s="18"/>
      <c r="H13329" s="16" t="s">
        <v>87</v>
      </c>
      <c r="I13329" s="16" t="s">
        <v>87</v>
      </c>
      <c r="J13329" s="19"/>
      <c r="L13329" s="16" t="str">
        <f>IFERROR(__xludf.DUMMYFUNCTION("""COMPUTED_VALUE"""),"")</f>
        <v/>
      </c>
      <c r="M13329" s="16" t="str">
        <f>IFERROR(__xludf.DUMMYFUNCTION("""COMPUTED_VALUE"""),"")</f>
        <v/>
      </c>
      <c r="U13329" s="16" t="s">
        <v>87</v>
      </c>
      <c r="V13329" s="16" t="str">
        <f>IFERROR(__xludf.DUMMYFUNCTION("""COMPUTED_VALUE"""),"")</f>
        <v/>
      </c>
      <c r="W13329" s="16" t="str">
        <f>IFERROR(__xludf.DUMMYFUNCTION("""COMPUTED_VALUE"""),"")</f>
        <v/>
      </c>
      <c r="X13329" s="16" t="str">
        <f>IFERROR(__xludf.DUMMYFUNCTION("""COMPUTED_VALUE"""),"")</f>
        <v/>
      </c>
      <c r="AC13329" s="16" t="str">
        <f>IFERROR(__xludf.DUMMYFUNCTION("""COMPUTED_VALUE"""),"")</f>
        <v/>
      </c>
    </row>
    <row r="13330">
      <c r="A13330" s="16" t="s">
        <v>87</v>
      </c>
      <c r="E13330" s="16" t="str">
        <f>IFERROR(__xludf.DUMMYFUNCTION("""COMPUTED_VALUE"""),"")</f>
        <v/>
      </c>
      <c r="G13330" s="18"/>
      <c r="H13330" s="16" t="s">
        <v>87</v>
      </c>
      <c r="I13330" s="16" t="s">
        <v>87</v>
      </c>
      <c r="J13330" s="19"/>
      <c r="L13330" s="16" t="str">
        <f>IFERROR(__xludf.DUMMYFUNCTION("""COMPUTED_VALUE"""),"")</f>
        <v/>
      </c>
      <c r="M13330" s="16" t="str">
        <f>IFERROR(__xludf.DUMMYFUNCTION("""COMPUTED_VALUE"""),"")</f>
        <v/>
      </c>
      <c r="U13330" s="16" t="s">
        <v>87</v>
      </c>
      <c r="V13330" s="16" t="str">
        <f>IFERROR(__xludf.DUMMYFUNCTION("""COMPUTED_VALUE"""),"")</f>
        <v/>
      </c>
      <c r="W13330" s="16" t="str">
        <f>IFERROR(__xludf.DUMMYFUNCTION("""COMPUTED_VALUE"""),"")</f>
        <v/>
      </c>
      <c r="X13330" s="16" t="str">
        <f>IFERROR(__xludf.DUMMYFUNCTION("""COMPUTED_VALUE"""),"")</f>
        <v/>
      </c>
      <c r="AC13330" s="16" t="str">
        <f>IFERROR(__xludf.DUMMYFUNCTION("""COMPUTED_VALUE"""),"")</f>
        <v/>
      </c>
    </row>
    <row r="13331">
      <c r="A13331" s="16" t="s">
        <v>87</v>
      </c>
      <c r="E13331" s="16" t="str">
        <f>IFERROR(__xludf.DUMMYFUNCTION("""COMPUTED_VALUE"""),"")</f>
        <v/>
      </c>
      <c r="G13331" s="18"/>
      <c r="H13331" s="16" t="s">
        <v>87</v>
      </c>
      <c r="I13331" s="16" t="s">
        <v>87</v>
      </c>
      <c r="J13331" s="19"/>
      <c r="L13331" s="16" t="str">
        <f>IFERROR(__xludf.DUMMYFUNCTION("""COMPUTED_VALUE"""),"")</f>
        <v/>
      </c>
      <c r="M13331" s="16" t="str">
        <f>IFERROR(__xludf.DUMMYFUNCTION("""COMPUTED_VALUE"""),"")</f>
        <v/>
      </c>
      <c r="U13331" s="16" t="s">
        <v>87</v>
      </c>
      <c r="V13331" s="16" t="str">
        <f>IFERROR(__xludf.DUMMYFUNCTION("""COMPUTED_VALUE"""),"")</f>
        <v/>
      </c>
      <c r="W13331" s="16" t="str">
        <f>IFERROR(__xludf.DUMMYFUNCTION("""COMPUTED_VALUE"""),"")</f>
        <v/>
      </c>
      <c r="X13331" s="16" t="str">
        <f>IFERROR(__xludf.DUMMYFUNCTION("""COMPUTED_VALUE"""),"")</f>
        <v/>
      </c>
      <c r="AC13331" s="16" t="str">
        <f>IFERROR(__xludf.DUMMYFUNCTION("""COMPUTED_VALUE"""),"")</f>
        <v/>
      </c>
    </row>
    <row r="13332">
      <c r="A13332" s="16" t="s">
        <v>87</v>
      </c>
      <c r="E13332" s="16" t="str">
        <f>IFERROR(__xludf.DUMMYFUNCTION("""COMPUTED_VALUE"""),"")</f>
        <v/>
      </c>
      <c r="G13332" s="18"/>
      <c r="H13332" s="16" t="s">
        <v>87</v>
      </c>
      <c r="I13332" s="16" t="s">
        <v>87</v>
      </c>
      <c r="J13332" s="19"/>
      <c r="L13332" s="16" t="str">
        <f>IFERROR(__xludf.DUMMYFUNCTION("""COMPUTED_VALUE"""),"")</f>
        <v/>
      </c>
      <c r="M13332" s="16" t="str">
        <f>IFERROR(__xludf.DUMMYFUNCTION("""COMPUTED_VALUE"""),"")</f>
        <v/>
      </c>
      <c r="U13332" s="16" t="s">
        <v>87</v>
      </c>
      <c r="V13332" s="16" t="str">
        <f>IFERROR(__xludf.DUMMYFUNCTION("""COMPUTED_VALUE"""),"")</f>
        <v/>
      </c>
      <c r="W13332" s="16" t="str">
        <f>IFERROR(__xludf.DUMMYFUNCTION("""COMPUTED_VALUE"""),"")</f>
        <v/>
      </c>
      <c r="X13332" s="16" t="str">
        <f>IFERROR(__xludf.DUMMYFUNCTION("""COMPUTED_VALUE"""),"")</f>
        <v/>
      </c>
      <c r="AC13332" s="16" t="str">
        <f>IFERROR(__xludf.DUMMYFUNCTION("""COMPUTED_VALUE"""),"")</f>
        <v/>
      </c>
    </row>
    <row r="13333">
      <c r="A13333" s="16" t="s">
        <v>87</v>
      </c>
      <c r="E13333" s="16" t="str">
        <f>IFERROR(__xludf.DUMMYFUNCTION("""COMPUTED_VALUE"""),"")</f>
        <v/>
      </c>
      <c r="G13333" s="18"/>
      <c r="H13333" s="16" t="s">
        <v>87</v>
      </c>
      <c r="I13333" s="16" t="s">
        <v>87</v>
      </c>
      <c r="J13333" s="19"/>
      <c r="L13333" s="16" t="str">
        <f>IFERROR(__xludf.DUMMYFUNCTION("""COMPUTED_VALUE"""),"")</f>
        <v/>
      </c>
      <c r="M13333" s="16" t="str">
        <f>IFERROR(__xludf.DUMMYFUNCTION("""COMPUTED_VALUE"""),"")</f>
        <v/>
      </c>
      <c r="U13333" s="16" t="s">
        <v>87</v>
      </c>
      <c r="V13333" s="16" t="str">
        <f>IFERROR(__xludf.DUMMYFUNCTION("""COMPUTED_VALUE"""),"")</f>
        <v/>
      </c>
      <c r="W13333" s="16" t="str">
        <f>IFERROR(__xludf.DUMMYFUNCTION("""COMPUTED_VALUE"""),"")</f>
        <v/>
      </c>
      <c r="X13333" s="16" t="str">
        <f>IFERROR(__xludf.DUMMYFUNCTION("""COMPUTED_VALUE"""),"")</f>
        <v/>
      </c>
      <c r="AC13333" s="16" t="str">
        <f>IFERROR(__xludf.DUMMYFUNCTION("""COMPUTED_VALUE"""),"")</f>
        <v/>
      </c>
    </row>
    <row r="13334">
      <c r="A13334" s="16" t="s">
        <v>87</v>
      </c>
      <c r="E13334" s="16" t="str">
        <f>IFERROR(__xludf.DUMMYFUNCTION("""COMPUTED_VALUE"""),"")</f>
        <v/>
      </c>
      <c r="G13334" s="18"/>
      <c r="H13334" s="16" t="s">
        <v>87</v>
      </c>
      <c r="I13334" s="16" t="s">
        <v>87</v>
      </c>
      <c r="J13334" s="19"/>
      <c r="L13334" s="16" t="str">
        <f>IFERROR(__xludf.DUMMYFUNCTION("""COMPUTED_VALUE"""),"")</f>
        <v/>
      </c>
      <c r="M13334" s="16" t="str">
        <f>IFERROR(__xludf.DUMMYFUNCTION("""COMPUTED_VALUE"""),"")</f>
        <v/>
      </c>
      <c r="U13334" s="16" t="s">
        <v>87</v>
      </c>
      <c r="V13334" s="16" t="str">
        <f>IFERROR(__xludf.DUMMYFUNCTION("""COMPUTED_VALUE"""),"")</f>
        <v/>
      </c>
      <c r="W13334" s="16" t="str">
        <f>IFERROR(__xludf.DUMMYFUNCTION("""COMPUTED_VALUE"""),"")</f>
        <v/>
      </c>
      <c r="X13334" s="16" t="str">
        <f>IFERROR(__xludf.DUMMYFUNCTION("""COMPUTED_VALUE"""),"")</f>
        <v/>
      </c>
      <c r="AC13334" s="16" t="str">
        <f>IFERROR(__xludf.DUMMYFUNCTION("""COMPUTED_VALUE"""),"")</f>
        <v/>
      </c>
    </row>
    <row r="13335">
      <c r="A13335" s="16" t="s">
        <v>87</v>
      </c>
      <c r="E13335" s="16" t="str">
        <f>IFERROR(__xludf.DUMMYFUNCTION("""COMPUTED_VALUE"""),"")</f>
        <v/>
      </c>
      <c r="G13335" s="18"/>
      <c r="H13335" s="16" t="s">
        <v>87</v>
      </c>
      <c r="I13335" s="16" t="s">
        <v>87</v>
      </c>
      <c r="J13335" s="19"/>
      <c r="L13335" s="16" t="str">
        <f>IFERROR(__xludf.DUMMYFUNCTION("""COMPUTED_VALUE"""),"")</f>
        <v/>
      </c>
      <c r="M13335" s="16" t="str">
        <f>IFERROR(__xludf.DUMMYFUNCTION("""COMPUTED_VALUE"""),"")</f>
        <v/>
      </c>
      <c r="U13335" s="16" t="s">
        <v>87</v>
      </c>
      <c r="V13335" s="16" t="str">
        <f>IFERROR(__xludf.DUMMYFUNCTION("""COMPUTED_VALUE"""),"")</f>
        <v/>
      </c>
      <c r="W13335" s="16" t="str">
        <f>IFERROR(__xludf.DUMMYFUNCTION("""COMPUTED_VALUE"""),"")</f>
        <v/>
      </c>
      <c r="X13335" s="16" t="str">
        <f>IFERROR(__xludf.DUMMYFUNCTION("""COMPUTED_VALUE"""),"")</f>
        <v/>
      </c>
      <c r="AC13335" s="16" t="str">
        <f>IFERROR(__xludf.DUMMYFUNCTION("""COMPUTED_VALUE"""),"")</f>
        <v/>
      </c>
    </row>
    <row r="13336">
      <c r="A13336" s="16" t="s">
        <v>87</v>
      </c>
      <c r="E13336" s="16" t="str">
        <f>IFERROR(__xludf.DUMMYFUNCTION("""COMPUTED_VALUE"""),"")</f>
        <v/>
      </c>
      <c r="G13336" s="18"/>
      <c r="H13336" s="16" t="s">
        <v>87</v>
      </c>
      <c r="I13336" s="16" t="s">
        <v>87</v>
      </c>
      <c r="J13336" s="19"/>
      <c r="L13336" s="16" t="str">
        <f>IFERROR(__xludf.DUMMYFUNCTION("""COMPUTED_VALUE"""),"")</f>
        <v/>
      </c>
      <c r="M13336" s="16" t="str">
        <f>IFERROR(__xludf.DUMMYFUNCTION("""COMPUTED_VALUE"""),"")</f>
        <v/>
      </c>
      <c r="U13336" s="16" t="s">
        <v>87</v>
      </c>
      <c r="V13336" s="16" t="str">
        <f>IFERROR(__xludf.DUMMYFUNCTION("""COMPUTED_VALUE"""),"")</f>
        <v/>
      </c>
      <c r="W13336" s="16" t="str">
        <f>IFERROR(__xludf.DUMMYFUNCTION("""COMPUTED_VALUE"""),"")</f>
        <v/>
      </c>
      <c r="X13336" s="16" t="str">
        <f>IFERROR(__xludf.DUMMYFUNCTION("""COMPUTED_VALUE"""),"")</f>
        <v/>
      </c>
      <c r="AC13336" s="16" t="str">
        <f>IFERROR(__xludf.DUMMYFUNCTION("""COMPUTED_VALUE"""),"")</f>
        <v/>
      </c>
    </row>
    <row r="13337">
      <c r="A13337" s="16" t="s">
        <v>87</v>
      </c>
      <c r="E13337" s="16" t="str">
        <f>IFERROR(__xludf.DUMMYFUNCTION("""COMPUTED_VALUE"""),"")</f>
        <v/>
      </c>
      <c r="G13337" s="18"/>
      <c r="H13337" s="16" t="s">
        <v>87</v>
      </c>
      <c r="I13337" s="16" t="s">
        <v>87</v>
      </c>
      <c r="J13337" s="19"/>
      <c r="L13337" s="16" t="str">
        <f>IFERROR(__xludf.DUMMYFUNCTION("""COMPUTED_VALUE"""),"")</f>
        <v/>
      </c>
      <c r="M13337" s="16" t="str">
        <f>IFERROR(__xludf.DUMMYFUNCTION("""COMPUTED_VALUE"""),"")</f>
        <v/>
      </c>
      <c r="U13337" s="16" t="s">
        <v>87</v>
      </c>
      <c r="V13337" s="16" t="str">
        <f>IFERROR(__xludf.DUMMYFUNCTION("""COMPUTED_VALUE"""),"")</f>
        <v/>
      </c>
      <c r="W13337" s="16" t="str">
        <f>IFERROR(__xludf.DUMMYFUNCTION("""COMPUTED_VALUE"""),"")</f>
        <v/>
      </c>
      <c r="X13337" s="16" t="str">
        <f>IFERROR(__xludf.DUMMYFUNCTION("""COMPUTED_VALUE"""),"")</f>
        <v/>
      </c>
      <c r="AC13337" s="16" t="str">
        <f>IFERROR(__xludf.DUMMYFUNCTION("""COMPUTED_VALUE"""),"")</f>
        <v/>
      </c>
    </row>
    <row r="13338">
      <c r="A13338" s="16" t="s">
        <v>87</v>
      </c>
      <c r="E13338" s="16" t="str">
        <f>IFERROR(__xludf.DUMMYFUNCTION("""COMPUTED_VALUE"""),"")</f>
        <v/>
      </c>
      <c r="G13338" s="18"/>
      <c r="H13338" s="16" t="s">
        <v>87</v>
      </c>
      <c r="I13338" s="16" t="s">
        <v>87</v>
      </c>
      <c r="J13338" s="19"/>
      <c r="L13338" s="16" t="str">
        <f>IFERROR(__xludf.DUMMYFUNCTION("""COMPUTED_VALUE"""),"")</f>
        <v/>
      </c>
      <c r="M13338" s="16" t="str">
        <f>IFERROR(__xludf.DUMMYFUNCTION("""COMPUTED_VALUE"""),"")</f>
        <v/>
      </c>
      <c r="U13338" s="16" t="s">
        <v>87</v>
      </c>
      <c r="V13338" s="16" t="str">
        <f>IFERROR(__xludf.DUMMYFUNCTION("""COMPUTED_VALUE"""),"")</f>
        <v/>
      </c>
      <c r="W13338" s="16" t="str">
        <f>IFERROR(__xludf.DUMMYFUNCTION("""COMPUTED_VALUE"""),"")</f>
        <v/>
      </c>
      <c r="X13338" s="16" t="str">
        <f>IFERROR(__xludf.DUMMYFUNCTION("""COMPUTED_VALUE"""),"")</f>
        <v/>
      </c>
      <c r="AC13338" s="16" t="str">
        <f>IFERROR(__xludf.DUMMYFUNCTION("""COMPUTED_VALUE"""),"")</f>
        <v/>
      </c>
    </row>
    <row r="13339">
      <c r="A13339" s="16" t="s">
        <v>87</v>
      </c>
      <c r="E13339" s="16" t="str">
        <f>IFERROR(__xludf.DUMMYFUNCTION("""COMPUTED_VALUE"""),"")</f>
        <v/>
      </c>
      <c r="G13339" s="18"/>
      <c r="H13339" s="16" t="s">
        <v>87</v>
      </c>
      <c r="I13339" s="16" t="s">
        <v>87</v>
      </c>
      <c r="J13339" s="19"/>
      <c r="L13339" s="16" t="str">
        <f>IFERROR(__xludf.DUMMYFUNCTION("""COMPUTED_VALUE"""),"")</f>
        <v/>
      </c>
      <c r="M13339" s="16" t="str">
        <f>IFERROR(__xludf.DUMMYFUNCTION("""COMPUTED_VALUE"""),"")</f>
        <v/>
      </c>
      <c r="U13339" s="16" t="s">
        <v>87</v>
      </c>
      <c r="V13339" s="16" t="str">
        <f>IFERROR(__xludf.DUMMYFUNCTION("""COMPUTED_VALUE"""),"")</f>
        <v/>
      </c>
      <c r="W13339" s="16" t="str">
        <f>IFERROR(__xludf.DUMMYFUNCTION("""COMPUTED_VALUE"""),"")</f>
        <v/>
      </c>
      <c r="X13339" s="16" t="str">
        <f>IFERROR(__xludf.DUMMYFUNCTION("""COMPUTED_VALUE"""),"")</f>
        <v/>
      </c>
      <c r="AC13339" s="16" t="str">
        <f>IFERROR(__xludf.DUMMYFUNCTION("""COMPUTED_VALUE"""),"")</f>
        <v/>
      </c>
    </row>
    <row r="13340">
      <c r="A13340" s="16" t="s">
        <v>87</v>
      </c>
      <c r="E13340" s="16" t="str">
        <f>IFERROR(__xludf.DUMMYFUNCTION("""COMPUTED_VALUE"""),"")</f>
        <v/>
      </c>
      <c r="G13340" s="18"/>
      <c r="H13340" s="16" t="s">
        <v>87</v>
      </c>
      <c r="I13340" s="16" t="s">
        <v>87</v>
      </c>
      <c r="J13340" s="19"/>
      <c r="L13340" s="16" t="str">
        <f>IFERROR(__xludf.DUMMYFUNCTION("""COMPUTED_VALUE"""),"")</f>
        <v/>
      </c>
      <c r="M13340" s="16" t="str">
        <f>IFERROR(__xludf.DUMMYFUNCTION("""COMPUTED_VALUE"""),"")</f>
        <v/>
      </c>
      <c r="U13340" s="16" t="s">
        <v>87</v>
      </c>
      <c r="V13340" s="16" t="str">
        <f>IFERROR(__xludf.DUMMYFUNCTION("""COMPUTED_VALUE"""),"")</f>
        <v/>
      </c>
      <c r="W13340" s="16" t="str">
        <f>IFERROR(__xludf.DUMMYFUNCTION("""COMPUTED_VALUE"""),"")</f>
        <v/>
      </c>
      <c r="X13340" s="16" t="str">
        <f>IFERROR(__xludf.DUMMYFUNCTION("""COMPUTED_VALUE"""),"")</f>
        <v/>
      </c>
      <c r="AC13340" s="16" t="str">
        <f>IFERROR(__xludf.DUMMYFUNCTION("""COMPUTED_VALUE"""),"")</f>
        <v/>
      </c>
    </row>
    <row r="13341">
      <c r="A13341" s="16" t="s">
        <v>87</v>
      </c>
      <c r="E13341" s="16" t="str">
        <f>IFERROR(__xludf.DUMMYFUNCTION("""COMPUTED_VALUE"""),"")</f>
        <v/>
      </c>
      <c r="G13341" s="18"/>
      <c r="H13341" s="16" t="s">
        <v>87</v>
      </c>
      <c r="I13341" s="16" t="s">
        <v>87</v>
      </c>
      <c r="J13341" s="19"/>
      <c r="L13341" s="16" t="str">
        <f>IFERROR(__xludf.DUMMYFUNCTION("""COMPUTED_VALUE"""),"")</f>
        <v/>
      </c>
      <c r="M13341" s="16" t="str">
        <f>IFERROR(__xludf.DUMMYFUNCTION("""COMPUTED_VALUE"""),"")</f>
        <v/>
      </c>
      <c r="U13341" s="16" t="s">
        <v>87</v>
      </c>
      <c r="V13341" s="16" t="str">
        <f>IFERROR(__xludf.DUMMYFUNCTION("""COMPUTED_VALUE"""),"")</f>
        <v/>
      </c>
      <c r="W13341" s="16" t="str">
        <f>IFERROR(__xludf.DUMMYFUNCTION("""COMPUTED_VALUE"""),"")</f>
        <v/>
      </c>
      <c r="X13341" s="16" t="str">
        <f>IFERROR(__xludf.DUMMYFUNCTION("""COMPUTED_VALUE"""),"")</f>
        <v/>
      </c>
      <c r="AC13341" s="16" t="str">
        <f>IFERROR(__xludf.DUMMYFUNCTION("""COMPUTED_VALUE"""),"")</f>
        <v/>
      </c>
    </row>
    <row r="13342">
      <c r="A13342" s="16" t="s">
        <v>87</v>
      </c>
      <c r="E13342" s="16" t="str">
        <f>IFERROR(__xludf.DUMMYFUNCTION("""COMPUTED_VALUE"""),"")</f>
        <v/>
      </c>
      <c r="G13342" s="18"/>
      <c r="H13342" s="16" t="s">
        <v>87</v>
      </c>
      <c r="I13342" s="16" t="s">
        <v>87</v>
      </c>
      <c r="J13342" s="19"/>
      <c r="L13342" s="16" t="str">
        <f>IFERROR(__xludf.DUMMYFUNCTION("""COMPUTED_VALUE"""),"")</f>
        <v/>
      </c>
      <c r="M13342" s="16" t="str">
        <f>IFERROR(__xludf.DUMMYFUNCTION("""COMPUTED_VALUE"""),"")</f>
        <v/>
      </c>
      <c r="U13342" s="16" t="s">
        <v>87</v>
      </c>
      <c r="V13342" s="16" t="str">
        <f>IFERROR(__xludf.DUMMYFUNCTION("""COMPUTED_VALUE"""),"")</f>
        <v/>
      </c>
      <c r="W13342" s="16" t="str">
        <f>IFERROR(__xludf.DUMMYFUNCTION("""COMPUTED_VALUE"""),"")</f>
        <v/>
      </c>
      <c r="X13342" s="16" t="str">
        <f>IFERROR(__xludf.DUMMYFUNCTION("""COMPUTED_VALUE"""),"")</f>
        <v/>
      </c>
      <c r="AC13342" s="16" t="str">
        <f>IFERROR(__xludf.DUMMYFUNCTION("""COMPUTED_VALUE"""),"")</f>
        <v/>
      </c>
    </row>
    <row r="13343">
      <c r="A13343" s="16" t="s">
        <v>87</v>
      </c>
      <c r="E13343" s="16" t="str">
        <f>IFERROR(__xludf.DUMMYFUNCTION("""COMPUTED_VALUE"""),"")</f>
        <v/>
      </c>
      <c r="G13343" s="18"/>
      <c r="H13343" s="16" t="s">
        <v>87</v>
      </c>
      <c r="I13343" s="16" t="s">
        <v>87</v>
      </c>
      <c r="J13343" s="19"/>
      <c r="L13343" s="16" t="str">
        <f>IFERROR(__xludf.DUMMYFUNCTION("""COMPUTED_VALUE"""),"")</f>
        <v/>
      </c>
      <c r="M13343" s="16" t="str">
        <f>IFERROR(__xludf.DUMMYFUNCTION("""COMPUTED_VALUE"""),"")</f>
        <v/>
      </c>
      <c r="U13343" s="16" t="s">
        <v>87</v>
      </c>
      <c r="V13343" s="16" t="str">
        <f>IFERROR(__xludf.DUMMYFUNCTION("""COMPUTED_VALUE"""),"")</f>
        <v/>
      </c>
      <c r="W13343" s="16" t="str">
        <f>IFERROR(__xludf.DUMMYFUNCTION("""COMPUTED_VALUE"""),"")</f>
        <v/>
      </c>
      <c r="X13343" s="16" t="str">
        <f>IFERROR(__xludf.DUMMYFUNCTION("""COMPUTED_VALUE"""),"")</f>
        <v/>
      </c>
      <c r="AC13343" s="16" t="str">
        <f>IFERROR(__xludf.DUMMYFUNCTION("""COMPUTED_VALUE"""),"")</f>
        <v/>
      </c>
    </row>
    <row r="13344">
      <c r="A13344" s="16" t="s">
        <v>87</v>
      </c>
      <c r="E13344" s="16" t="str">
        <f>IFERROR(__xludf.DUMMYFUNCTION("""COMPUTED_VALUE"""),"")</f>
        <v/>
      </c>
      <c r="G13344" s="18"/>
      <c r="H13344" s="16" t="s">
        <v>87</v>
      </c>
      <c r="I13344" s="16" t="s">
        <v>87</v>
      </c>
      <c r="J13344" s="19"/>
      <c r="L13344" s="16" t="str">
        <f>IFERROR(__xludf.DUMMYFUNCTION("""COMPUTED_VALUE"""),"")</f>
        <v/>
      </c>
      <c r="M13344" s="16" t="str">
        <f>IFERROR(__xludf.DUMMYFUNCTION("""COMPUTED_VALUE"""),"")</f>
        <v/>
      </c>
      <c r="U13344" s="16" t="s">
        <v>87</v>
      </c>
      <c r="V13344" s="16" t="str">
        <f>IFERROR(__xludf.DUMMYFUNCTION("""COMPUTED_VALUE"""),"")</f>
        <v/>
      </c>
      <c r="W13344" s="16" t="str">
        <f>IFERROR(__xludf.DUMMYFUNCTION("""COMPUTED_VALUE"""),"")</f>
        <v/>
      </c>
      <c r="X13344" s="16" t="str">
        <f>IFERROR(__xludf.DUMMYFUNCTION("""COMPUTED_VALUE"""),"")</f>
        <v/>
      </c>
      <c r="AC13344" s="16" t="str">
        <f>IFERROR(__xludf.DUMMYFUNCTION("""COMPUTED_VALUE"""),"")</f>
        <v/>
      </c>
    </row>
    <row r="13345">
      <c r="A13345" s="16" t="s">
        <v>87</v>
      </c>
      <c r="E13345" s="16" t="str">
        <f>IFERROR(__xludf.DUMMYFUNCTION("""COMPUTED_VALUE"""),"")</f>
        <v/>
      </c>
      <c r="G13345" s="18"/>
      <c r="H13345" s="16" t="s">
        <v>87</v>
      </c>
      <c r="I13345" s="16" t="s">
        <v>87</v>
      </c>
      <c r="J13345" s="19"/>
      <c r="L13345" s="16" t="str">
        <f>IFERROR(__xludf.DUMMYFUNCTION("""COMPUTED_VALUE"""),"")</f>
        <v/>
      </c>
      <c r="M13345" s="16" t="str">
        <f>IFERROR(__xludf.DUMMYFUNCTION("""COMPUTED_VALUE"""),"")</f>
        <v/>
      </c>
      <c r="U13345" s="16" t="s">
        <v>87</v>
      </c>
      <c r="V13345" s="16" t="str">
        <f>IFERROR(__xludf.DUMMYFUNCTION("""COMPUTED_VALUE"""),"")</f>
        <v/>
      </c>
      <c r="W13345" s="16" t="str">
        <f>IFERROR(__xludf.DUMMYFUNCTION("""COMPUTED_VALUE"""),"")</f>
        <v/>
      </c>
      <c r="X13345" s="16" t="str">
        <f>IFERROR(__xludf.DUMMYFUNCTION("""COMPUTED_VALUE"""),"")</f>
        <v/>
      </c>
      <c r="AC13345" s="16" t="str">
        <f>IFERROR(__xludf.DUMMYFUNCTION("""COMPUTED_VALUE"""),"")</f>
        <v/>
      </c>
    </row>
    <row r="13346">
      <c r="A13346" s="16" t="s">
        <v>87</v>
      </c>
      <c r="E13346" s="16" t="str">
        <f>IFERROR(__xludf.DUMMYFUNCTION("""COMPUTED_VALUE"""),"")</f>
        <v/>
      </c>
      <c r="G13346" s="18"/>
      <c r="H13346" s="16" t="s">
        <v>87</v>
      </c>
      <c r="I13346" s="16" t="s">
        <v>87</v>
      </c>
      <c r="J13346" s="19"/>
      <c r="L13346" s="16" t="str">
        <f>IFERROR(__xludf.DUMMYFUNCTION("""COMPUTED_VALUE"""),"")</f>
        <v/>
      </c>
      <c r="M13346" s="16" t="str">
        <f>IFERROR(__xludf.DUMMYFUNCTION("""COMPUTED_VALUE"""),"")</f>
        <v/>
      </c>
      <c r="U13346" s="16" t="s">
        <v>87</v>
      </c>
      <c r="V13346" s="16" t="str">
        <f>IFERROR(__xludf.DUMMYFUNCTION("""COMPUTED_VALUE"""),"")</f>
        <v/>
      </c>
      <c r="W13346" s="16" t="str">
        <f>IFERROR(__xludf.DUMMYFUNCTION("""COMPUTED_VALUE"""),"")</f>
        <v/>
      </c>
      <c r="X13346" s="16" t="str">
        <f>IFERROR(__xludf.DUMMYFUNCTION("""COMPUTED_VALUE"""),"")</f>
        <v/>
      </c>
      <c r="AC13346" s="16" t="str">
        <f>IFERROR(__xludf.DUMMYFUNCTION("""COMPUTED_VALUE"""),"")</f>
        <v/>
      </c>
    </row>
    <row r="13347">
      <c r="A13347" s="16" t="s">
        <v>87</v>
      </c>
      <c r="E13347" s="16" t="str">
        <f>IFERROR(__xludf.DUMMYFUNCTION("""COMPUTED_VALUE"""),"")</f>
        <v/>
      </c>
      <c r="G13347" s="18"/>
      <c r="H13347" s="16" t="s">
        <v>87</v>
      </c>
      <c r="I13347" s="16" t="s">
        <v>87</v>
      </c>
      <c r="J13347" s="19"/>
      <c r="L13347" s="16" t="str">
        <f>IFERROR(__xludf.DUMMYFUNCTION("""COMPUTED_VALUE"""),"")</f>
        <v/>
      </c>
      <c r="M13347" s="16" t="str">
        <f>IFERROR(__xludf.DUMMYFUNCTION("""COMPUTED_VALUE"""),"")</f>
        <v/>
      </c>
      <c r="U13347" s="16" t="s">
        <v>87</v>
      </c>
      <c r="V13347" s="16" t="str">
        <f>IFERROR(__xludf.DUMMYFUNCTION("""COMPUTED_VALUE"""),"")</f>
        <v/>
      </c>
      <c r="W13347" s="16" t="str">
        <f>IFERROR(__xludf.DUMMYFUNCTION("""COMPUTED_VALUE"""),"")</f>
        <v/>
      </c>
      <c r="X13347" s="16" t="str">
        <f>IFERROR(__xludf.DUMMYFUNCTION("""COMPUTED_VALUE"""),"")</f>
        <v/>
      </c>
      <c r="AC13347" s="16" t="str">
        <f>IFERROR(__xludf.DUMMYFUNCTION("""COMPUTED_VALUE"""),"")</f>
        <v/>
      </c>
    </row>
    <row r="13348">
      <c r="A13348" s="16" t="s">
        <v>87</v>
      </c>
      <c r="E13348" s="16" t="str">
        <f>IFERROR(__xludf.DUMMYFUNCTION("""COMPUTED_VALUE"""),"")</f>
        <v/>
      </c>
      <c r="G13348" s="18"/>
      <c r="H13348" s="16" t="s">
        <v>87</v>
      </c>
      <c r="I13348" s="16" t="s">
        <v>87</v>
      </c>
      <c r="J13348" s="19"/>
      <c r="L13348" s="16" t="str">
        <f>IFERROR(__xludf.DUMMYFUNCTION("""COMPUTED_VALUE"""),"")</f>
        <v/>
      </c>
      <c r="M13348" s="16" t="str">
        <f>IFERROR(__xludf.DUMMYFUNCTION("""COMPUTED_VALUE"""),"")</f>
        <v/>
      </c>
      <c r="U13348" s="16" t="s">
        <v>87</v>
      </c>
      <c r="V13348" s="16" t="str">
        <f>IFERROR(__xludf.DUMMYFUNCTION("""COMPUTED_VALUE"""),"")</f>
        <v/>
      </c>
      <c r="W13348" s="16" t="str">
        <f>IFERROR(__xludf.DUMMYFUNCTION("""COMPUTED_VALUE"""),"")</f>
        <v/>
      </c>
      <c r="X13348" s="16" t="str">
        <f>IFERROR(__xludf.DUMMYFUNCTION("""COMPUTED_VALUE"""),"")</f>
        <v/>
      </c>
      <c r="AC13348" s="16" t="str">
        <f>IFERROR(__xludf.DUMMYFUNCTION("""COMPUTED_VALUE"""),"")</f>
        <v/>
      </c>
    </row>
    <row r="13349">
      <c r="A13349" s="16" t="s">
        <v>87</v>
      </c>
      <c r="E13349" s="16" t="str">
        <f>IFERROR(__xludf.DUMMYFUNCTION("""COMPUTED_VALUE"""),"")</f>
        <v/>
      </c>
      <c r="G13349" s="18"/>
      <c r="H13349" s="16" t="s">
        <v>87</v>
      </c>
      <c r="I13349" s="16" t="s">
        <v>87</v>
      </c>
      <c r="J13349" s="19"/>
      <c r="L13349" s="16" t="str">
        <f>IFERROR(__xludf.DUMMYFUNCTION("""COMPUTED_VALUE"""),"")</f>
        <v/>
      </c>
      <c r="M13349" s="16" t="str">
        <f>IFERROR(__xludf.DUMMYFUNCTION("""COMPUTED_VALUE"""),"")</f>
        <v/>
      </c>
      <c r="U13349" s="16" t="s">
        <v>87</v>
      </c>
      <c r="V13349" s="16" t="str">
        <f>IFERROR(__xludf.DUMMYFUNCTION("""COMPUTED_VALUE"""),"")</f>
        <v/>
      </c>
      <c r="W13349" s="16" t="str">
        <f>IFERROR(__xludf.DUMMYFUNCTION("""COMPUTED_VALUE"""),"")</f>
        <v/>
      </c>
      <c r="X13349" s="16" t="str">
        <f>IFERROR(__xludf.DUMMYFUNCTION("""COMPUTED_VALUE"""),"")</f>
        <v/>
      </c>
      <c r="AC13349" s="16" t="str">
        <f>IFERROR(__xludf.DUMMYFUNCTION("""COMPUTED_VALUE"""),"")</f>
        <v/>
      </c>
    </row>
    <row r="13350">
      <c r="A13350" s="16" t="s">
        <v>87</v>
      </c>
      <c r="E13350" s="16" t="str">
        <f>IFERROR(__xludf.DUMMYFUNCTION("""COMPUTED_VALUE"""),"")</f>
        <v/>
      </c>
      <c r="G13350" s="18"/>
      <c r="H13350" s="16" t="s">
        <v>87</v>
      </c>
      <c r="I13350" s="16" t="s">
        <v>87</v>
      </c>
      <c r="J13350" s="19"/>
      <c r="L13350" s="16" t="str">
        <f>IFERROR(__xludf.DUMMYFUNCTION("""COMPUTED_VALUE"""),"")</f>
        <v/>
      </c>
      <c r="M13350" s="16" t="str">
        <f>IFERROR(__xludf.DUMMYFUNCTION("""COMPUTED_VALUE"""),"")</f>
        <v/>
      </c>
      <c r="U13350" s="16" t="s">
        <v>87</v>
      </c>
      <c r="V13350" s="16" t="str">
        <f>IFERROR(__xludf.DUMMYFUNCTION("""COMPUTED_VALUE"""),"")</f>
        <v/>
      </c>
      <c r="W13350" s="16" t="str">
        <f>IFERROR(__xludf.DUMMYFUNCTION("""COMPUTED_VALUE"""),"")</f>
        <v/>
      </c>
      <c r="X13350" s="16" t="str">
        <f>IFERROR(__xludf.DUMMYFUNCTION("""COMPUTED_VALUE"""),"")</f>
        <v/>
      </c>
      <c r="AC13350" s="16" t="str">
        <f>IFERROR(__xludf.DUMMYFUNCTION("""COMPUTED_VALUE"""),"")</f>
        <v/>
      </c>
    </row>
    <row r="13351">
      <c r="A13351" s="16" t="s">
        <v>87</v>
      </c>
      <c r="E13351" s="16" t="str">
        <f>IFERROR(__xludf.DUMMYFUNCTION("""COMPUTED_VALUE"""),"")</f>
        <v/>
      </c>
      <c r="G13351" s="18"/>
      <c r="H13351" s="16" t="s">
        <v>87</v>
      </c>
      <c r="I13351" s="16" t="s">
        <v>87</v>
      </c>
      <c r="J13351" s="19"/>
      <c r="L13351" s="16" t="str">
        <f>IFERROR(__xludf.DUMMYFUNCTION("""COMPUTED_VALUE"""),"")</f>
        <v/>
      </c>
      <c r="M13351" s="16" t="str">
        <f>IFERROR(__xludf.DUMMYFUNCTION("""COMPUTED_VALUE"""),"")</f>
        <v/>
      </c>
      <c r="U13351" s="16" t="s">
        <v>87</v>
      </c>
      <c r="V13351" s="16" t="str">
        <f>IFERROR(__xludf.DUMMYFUNCTION("""COMPUTED_VALUE"""),"")</f>
        <v/>
      </c>
      <c r="W13351" s="16" t="str">
        <f>IFERROR(__xludf.DUMMYFUNCTION("""COMPUTED_VALUE"""),"")</f>
        <v/>
      </c>
      <c r="X13351" s="16" t="str">
        <f>IFERROR(__xludf.DUMMYFUNCTION("""COMPUTED_VALUE"""),"")</f>
        <v/>
      </c>
      <c r="AC13351" s="16" t="str">
        <f>IFERROR(__xludf.DUMMYFUNCTION("""COMPUTED_VALUE"""),"")</f>
        <v/>
      </c>
    </row>
    <row r="13352">
      <c r="A13352" s="16" t="s">
        <v>87</v>
      </c>
      <c r="E13352" s="16" t="str">
        <f>IFERROR(__xludf.DUMMYFUNCTION("""COMPUTED_VALUE"""),"")</f>
        <v/>
      </c>
      <c r="G13352" s="18"/>
      <c r="H13352" s="16" t="s">
        <v>87</v>
      </c>
      <c r="I13352" s="16" t="s">
        <v>87</v>
      </c>
      <c r="J13352" s="19"/>
      <c r="L13352" s="16" t="str">
        <f>IFERROR(__xludf.DUMMYFUNCTION("""COMPUTED_VALUE"""),"")</f>
        <v/>
      </c>
      <c r="M13352" s="16" t="str">
        <f>IFERROR(__xludf.DUMMYFUNCTION("""COMPUTED_VALUE"""),"")</f>
        <v/>
      </c>
      <c r="U13352" s="16" t="s">
        <v>87</v>
      </c>
      <c r="V13352" s="16" t="str">
        <f>IFERROR(__xludf.DUMMYFUNCTION("""COMPUTED_VALUE"""),"")</f>
        <v/>
      </c>
      <c r="W13352" s="16" t="str">
        <f>IFERROR(__xludf.DUMMYFUNCTION("""COMPUTED_VALUE"""),"")</f>
        <v/>
      </c>
      <c r="X13352" s="16" t="str">
        <f>IFERROR(__xludf.DUMMYFUNCTION("""COMPUTED_VALUE"""),"")</f>
        <v/>
      </c>
      <c r="AC13352" s="16" t="str">
        <f>IFERROR(__xludf.DUMMYFUNCTION("""COMPUTED_VALUE"""),"")</f>
        <v/>
      </c>
    </row>
    <row r="13353">
      <c r="A13353" s="16" t="s">
        <v>87</v>
      </c>
      <c r="E13353" s="16" t="str">
        <f>IFERROR(__xludf.DUMMYFUNCTION("""COMPUTED_VALUE"""),"")</f>
        <v/>
      </c>
      <c r="G13353" s="18"/>
      <c r="H13353" s="16" t="s">
        <v>87</v>
      </c>
      <c r="I13353" s="16" t="s">
        <v>87</v>
      </c>
      <c r="J13353" s="19"/>
      <c r="L13353" s="16" t="str">
        <f>IFERROR(__xludf.DUMMYFUNCTION("""COMPUTED_VALUE"""),"")</f>
        <v/>
      </c>
      <c r="M13353" s="16" t="str">
        <f>IFERROR(__xludf.DUMMYFUNCTION("""COMPUTED_VALUE"""),"")</f>
        <v/>
      </c>
      <c r="U13353" s="16" t="s">
        <v>87</v>
      </c>
      <c r="V13353" s="16" t="str">
        <f>IFERROR(__xludf.DUMMYFUNCTION("""COMPUTED_VALUE"""),"")</f>
        <v/>
      </c>
      <c r="W13353" s="16" t="str">
        <f>IFERROR(__xludf.DUMMYFUNCTION("""COMPUTED_VALUE"""),"")</f>
        <v/>
      </c>
      <c r="X13353" s="16" t="str">
        <f>IFERROR(__xludf.DUMMYFUNCTION("""COMPUTED_VALUE"""),"")</f>
        <v/>
      </c>
      <c r="AC13353" s="16" t="str">
        <f>IFERROR(__xludf.DUMMYFUNCTION("""COMPUTED_VALUE"""),"")</f>
        <v/>
      </c>
    </row>
    <row r="13354">
      <c r="A13354" s="16" t="s">
        <v>87</v>
      </c>
      <c r="E13354" s="16" t="str">
        <f>IFERROR(__xludf.DUMMYFUNCTION("""COMPUTED_VALUE"""),"")</f>
        <v/>
      </c>
      <c r="G13354" s="18"/>
      <c r="H13354" s="16" t="s">
        <v>87</v>
      </c>
      <c r="I13354" s="16" t="s">
        <v>87</v>
      </c>
      <c r="J13354" s="19"/>
      <c r="L13354" s="16" t="str">
        <f>IFERROR(__xludf.DUMMYFUNCTION("""COMPUTED_VALUE"""),"")</f>
        <v/>
      </c>
      <c r="M13354" s="16" t="str">
        <f>IFERROR(__xludf.DUMMYFUNCTION("""COMPUTED_VALUE"""),"")</f>
        <v/>
      </c>
      <c r="U13354" s="16" t="s">
        <v>87</v>
      </c>
      <c r="V13354" s="16" t="str">
        <f>IFERROR(__xludf.DUMMYFUNCTION("""COMPUTED_VALUE"""),"")</f>
        <v/>
      </c>
      <c r="W13354" s="16" t="str">
        <f>IFERROR(__xludf.DUMMYFUNCTION("""COMPUTED_VALUE"""),"")</f>
        <v/>
      </c>
      <c r="X13354" s="16" t="str">
        <f>IFERROR(__xludf.DUMMYFUNCTION("""COMPUTED_VALUE"""),"")</f>
        <v/>
      </c>
      <c r="AC13354" s="16" t="str">
        <f>IFERROR(__xludf.DUMMYFUNCTION("""COMPUTED_VALUE"""),"")</f>
        <v/>
      </c>
    </row>
    <row r="13355">
      <c r="A13355" s="16" t="s">
        <v>87</v>
      </c>
      <c r="E13355" s="16" t="str">
        <f>IFERROR(__xludf.DUMMYFUNCTION("""COMPUTED_VALUE"""),"")</f>
        <v/>
      </c>
      <c r="G13355" s="18"/>
      <c r="H13355" s="16" t="s">
        <v>87</v>
      </c>
      <c r="I13355" s="16" t="s">
        <v>87</v>
      </c>
      <c r="J13355" s="19"/>
      <c r="L13355" s="16" t="str">
        <f>IFERROR(__xludf.DUMMYFUNCTION("""COMPUTED_VALUE"""),"")</f>
        <v/>
      </c>
      <c r="M13355" s="16" t="str">
        <f>IFERROR(__xludf.DUMMYFUNCTION("""COMPUTED_VALUE"""),"")</f>
        <v/>
      </c>
      <c r="U13355" s="16" t="s">
        <v>87</v>
      </c>
      <c r="V13355" s="16" t="str">
        <f>IFERROR(__xludf.DUMMYFUNCTION("""COMPUTED_VALUE"""),"")</f>
        <v/>
      </c>
      <c r="W13355" s="16" t="str">
        <f>IFERROR(__xludf.DUMMYFUNCTION("""COMPUTED_VALUE"""),"")</f>
        <v/>
      </c>
      <c r="X13355" s="16" t="str">
        <f>IFERROR(__xludf.DUMMYFUNCTION("""COMPUTED_VALUE"""),"")</f>
        <v/>
      </c>
      <c r="AC13355" s="16" t="str">
        <f>IFERROR(__xludf.DUMMYFUNCTION("""COMPUTED_VALUE"""),"")</f>
        <v/>
      </c>
    </row>
    <row r="13356">
      <c r="A13356" s="16" t="s">
        <v>87</v>
      </c>
      <c r="E13356" s="16" t="str">
        <f>IFERROR(__xludf.DUMMYFUNCTION("""COMPUTED_VALUE"""),"")</f>
        <v/>
      </c>
      <c r="G13356" s="18"/>
      <c r="H13356" s="16" t="s">
        <v>87</v>
      </c>
      <c r="I13356" s="16" t="s">
        <v>87</v>
      </c>
      <c r="J13356" s="19"/>
      <c r="L13356" s="16" t="str">
        <f>IFERROR(__xludf.DUMMYFUNCTION("""COMPUTED_VALUE"""),"")</f>
        <v/>
      </c>
      <c r="M13356" s="16" t="str">
        <f>IFERROR(__xludf.DUMMYFUNCTION("""COMPUTED_VALUE"""),"")</f>
        <v/>
      </c>
      <c r="U13356" s="16" t="s">
        <v>87</v>
      </c>
      <c r="V13356" s="16" t="str">
        <f>IFERROR(__xludf.DUMMYFUNCTION("""COMPUTED_VALUE"""),"")</f>
        <v/>
      </c>
      <c r="W13356" s="16" t="str">
        <f>IFERROR(__xludf.DUMMYFUNCTION("""COMPUTED_VALUE"""),"")</f>
        <v/>
      </c>
      <c r="X13356" s="16" t="str">
        <f>IFERROR(__xludf.DUMMYFUNCTION("""COMPUTED_VALUE"""),"")</f>
        <v/>
      </c>
      <c r="AC13356" s="16" t="str">
        <f>IFERROR(__xludf.DUMMYFUNCTION("""COMPUTED_VALUE"""),"")</f>
        <v/>
      </c>
    </row>
    <row r="13357">
      <c r="A13357" s="16" t="s">
        <v>87</v>
      </c>
      <c r="E13357" s="16" t="str">
        <f>IFERROR(__xludf.DUMMYFUNCTION("""COMPUTED_VALUE"""),"")</f>
        <v/>
      </c>
      <c r="G13357" s="18"/>
      <c r="H13357" s="16" t="s">
        <v>87</v>
      </c>
      <c r="I13357" s="16" t="s">
        <v>87</v>
      </c>
      <c r="J13357" s="19"/>
      <c r="L13357" s="16" t="str">
        <f>IFERROR(__xludf.DUMMYFUNCTION("""COMPUTED_VALUE"""),"")</f>
        <v/>
      </c>
      <c r="M13357" s="16" t="str">
        <f>IFERROR(__xludf.DUMMYFUNCTION("""COMPUTED_VALUE"""),"")</f>
        <v/>
      </c>
      <c r="U13357" s="16" t="s">
        <v>87</v>
      </c>
      <c r="V13357" s="16" t="str">
        <f>IFERROR(__xludf.DUMMYFUNCTION("""COMPUTED_VALUE"""),"")</f>
        <v/>
      </c>
      <c r="W13357" s="16" t="str">
        <f>IFERROR(__xludf.DUMMYFUNCTION("""COMPUTED_VALUE"""),"")</f>
        <v/>
      </c>
      <c r="X13357" s="16" t="str">
        <f>IFERROR(__xludf.DUMMYFUNCTION("""COMPUTED_VALUE"""),"")</f>
        <v/>
      </c>
      <c r="AC13357" s="16" t="str">
        <f>IFERROR(__xludf.DUMMYFUNCTION("""COMPUTED_VALUE"""),"")</f>
        <v/>
      </c>
    </row>
    <row r="13358">
      <c r="A13358" s="16" t="s">
        <v>87</v>
      </c>
      <c r="E13358" s="16" t="str">
        <f>IFERROR(__xludf.DUMMYFUNCTION("""COMPUTED_VALUE"""),"")</f>
        <v/>
      </c>
      <c r="G13358" s="18"/>
      <c r="H13358" s="16" t="s">
        <v>87</v>
      </c>
      <c r="I13358" s="16" t="s">
        <v>87</v>
      </c>
      <c r="J13358" s="19"/>
      <c r="L13358" s="16" t="str">
        <f>IFERROR(__xludf.DUMMYFUNCTION("""COMPUTED_VALUE"""),"")</f>
        <v/>
      </c>
      <c r="M13358" s="16" t="str">
        <f>IFERROR(__xludf.DUMMYFUNCTION("""COMPUTED_VALUE"""),"")</f>
        <v/>
      </c>
      <c r="U13358" s="16" t="s">
        <v>87</v>
      </c>
      <c r="V13358" s="16" t="str">
        <f>IFERROR(__xludf.DUMMYFUNCTION("""COMPUTED_VALUE"""),"")</f>
        <v/>
      </c>
      <c r="W13358" s="16" t="str">
        <f>IFERROR(__xludf.DUMMYFUNCTION("""COMPUTED_VALUE"""),"")</f>
        <v/>
      </c>
      <c r="X13358" s="16" t="str">
        <f>IFERROR(__xludf.DUMMYFUNCTION("""COMPUTED_VALUE"""),"")</f>
        <v/>
      </c>
      <c r="AC13358" s="16" t="str">
        <f>IFERROR(__xludf.DUMMYFUNCTION("""COMPUTED_VALUE"""),"")</f>
        <v/>
      </c>
    </row>
    <row r="13359">
      <c r="A13359" s="16" t="s">
        <v>87</v>
      </c>
      <c r="E13359" s="16" t="str">
        <f>IFERROR(__xludf.DUMMYFUNCTION("""COMPUTED_VALUE"""),"")</f>
        <v/>
      </c>
      <c r="G13359" s="18"/>
      <c r="H13359" s="16" t="s">
        <v>87</v>
      </c>
      <c r="I13359" s="16" t="s">
        <v>87</v>
      </c>
      <c r="J13359" s="19"/>
      <c r="L13359" s="16" t="str">
        <f>IFERROR(__xludf.DUMMYFUNCTION("""COMPUTED_VALUE"""),"")</f>
        <v/>
      </c>
      <c r="M13359" s="16" t="str">
        <f>IFERROR(__xludf.DUMMYFUNCTION("""COMPUTED_VALUE"""),"")</f>
        <v/>
      </c>
      <c r="U13359" s="16" t="s">
        <v>87</v>
      </c>
      <c r="V13359" s="16" t="str">
        <f>IFERROR(__xludf.DUMMYFUNCTION("""COMPUTED_VALUE"""),"")</f>
        <v/>
      </c>
      <c r="W13359" s="16" t="str">
        <f>IFERROR(__xludf.DUMMYFUNCTION("""COMPUTED_VALUE"""),"")</f>
        <v/>
      </c>
      <c r="X13359" s="16" t="str">
        <f>IFERROR(__xludf.DUMMYFUNCTION("""COMPUTED_VALUE"""),"")</f>
        <v/>
      </c>
      <c r="AC13359" s="16" t="str">
        <f>IFERROR(__xludf.DUMMYFUNCTION("""COMPUTED_VALUE"""),"")</f>
        <v/>
      </c>
    </row>
    <row r="13360">
      <c r="A13360" s="16" t="s">
        <v>87</v>
      </c>
      <c r="E13360" s="16" t="str">
        <f>IFERROR(__xludf.DUMMYFUNCTION("""COMPUTED_VALUE"""),"")</f>
        <v/>
      </c>
      <c r="G13360" s="18"/>
      <c r="H13360" s="16" t="s">
        <v>87</v>
      </c>
      <c r="I13360" s="16" t="s">
        <v>87</v>
      </c>
      <c r="J13360" s="19"/>
      <c r="L13360" s="16" t="str">
        <f>IFERROR(__xludf.DUMMYFUNCTION("""COMPUTED_VALUE"""),"")</f>
        <v/>
      </c>
      <c r="M13360" s="16" t="str">
        <f>IFERROR(__xludf.DUMMYFUNCTION("""COMPUTED_VALUE"""),"")</f>
        <v/>
      </c>
      <c r="U13360" s="16" t="s">
        <v>87</v>
      </c>
      <c r="V13360" s="16" t="str">
        <f>IFERROR(__xludf.DUMMYFUNCTION("""COMPUTED_VALUE"""),"")</f>
        <v/>
      </c>
      <c r="W13360" s="16" t="str">
        <f>IFERROR(__xludf.DUMMYFUNCTION("""COMPUTED_VALUE"""),"")</f>
        <v/>
      </c>
      <c r="X13360" s="16" t="str">
        <f>IFERROR(__xludf.DUMMYFUNCTION("""COMPUTED_VALUE"""),"")</f>
        <v/>
      </c>
      <c r="AC13360" s="16" t="str">
        <f>IFERROR(__xludf.DUMMYFUNCTION("""COMPUTED_VALUE"""),"")</f>
        <v/>
      </c>
    </row>
    <row r="13361">
      <c r="A13361" s="16" t="s">
        <v>87</v>
      </c>
      <c r="E13361" s="16" t="str">
        <f>IFERROR(__xludf.DUMMYFUNCTION("""COMPUTED_VALUE"""),"")</f>
        <v/>
      </c>
      <c r="G13361" s="18"/>
      <c r="H13361" s="16" t="s">
        <v>87</v>
      </c>
      <c r="I13361" s="16" t="s">
        <v>87</v>
      </c>
      <c r="J13361" s="19"/>
      <c r="L13361" s="16" t="str">
        <f>IFERROR(__xludf.DUMMYFUNCTION("""COMPUTED_VALUE"""),"")</f>
        <v/>
      </c>
      <c r="M13361" s="16" t="str">
        <f>IFERROR(__xludf.DUMMYFUNCTION("""COMPUTED_VALUE"""),"")</f>
        <v/>
      </c>
      <c r="U13361" s="16" t="s">
        <v>87</v>
      </c>
      <c r="V13361" s="16" t="str">
        <f>IFERROR(__xludf.DUMMYFUNCTION("""COMPUTED_VALUE"""),"")</f>
        <v/>
      </c>
      <c r="W13361" s="16" t="str">
        <f>IFERROR(__xludf.DUMMYFUNCTION("""COMPUTED_VALUE"""),"")</f>
        <v/>
      </c>
      <c r="X13361" s="16" t="str">
        <f>IFERROR(__xludf.DUMMYFUNCTION("""COMPUTED_VALUE"""),"")</f>
        <v/>
      </c>
      <c r="AC13361" s="16" t="str">
        <f>IFERROR(__xludf.DUMMYFUNCTION("""COMPUTED_VALUE"""),"")</f>
        <v/>
      </c>
    </row>
    <row r="13362">
      <c r="A13362" s="16" t="s">
        <v>87</v>
      </c>
      <c r="E13362" s="16" t="str">
        <f>IFERROR(__xludf.DUMMYFUNCTION("""COMPUTED_VALUE"""),"")</f>
        <v/>
      </c>
      <c r="G13362" s="18"/>
      <c r="H13362" s="16" t="s">
        <v>87</v>
      </c>
      <c r="I13362" s="16" t="s">
        <v>87</v>
      </c>
      <c r="J13362" s="19"/>
      <c r="L13362" s="16" t="str">
        <f>IFERROR(__xludf.DUMMYFUNCTION("""COMPUTED_VALUE"""),"")</f>
        <v/>
      </c>
      <c r="M13362" s="16" t="str">
        <f>IFERROR(__xludf.DUMMYFUNCTION("""COMPUTED_VALUE"""),"")</f>
        <v/>
      </c>
      <c r="U13362" s="16" t="s">
        <v>87</v>
      </c>
      <c r="V13362" s="16" t="str">
        <f>IFERROR(__xludf.DUMMYFUNCTION("""COMPUTED_VALUE"""),"")</f>
        <v/>
      </c>
      <c r="W13362" s="16" t="str">
        <f>IFERROR(__xludf.DUMMYFUNCTION("""COMPUTED_VALUE"""),"")</f>
        <v/>
      </c>
      <c r="X13362" s="16" t="str">
        <f>IFERROR(__xludf.DUMMYFUNCTION("""COMPUTED_VALUE"""),"")</f>
        <v/>
      </c>
      <c r="AC13362" s="16" t="str">
        <f>IFERROR(__xludf.DUMMYFUNCTION("""COMPUTED_VALUE"""),"")</f>
        <v/>
      </c>
    </row>
    <row r="13363">
      <c r="A13363" s="16" t="s">
        <v>87</v>
      </c>
      <c r="E13363" s="16" t="str">
        <f>IFERROR(__xludf.DUMMYFUNCTION("""COMPUTED_VALUE"""),"")</f>
        <v/>
      </c>
      <c r="G13363" s="18"/>
      <c r="H13363" s="16" t="s">
        <v>87</v>
      </c>
      <c r="I13363" s="16" t="s">
        <v>87</v>
      </c>
      <c r="J13363" s="19"/>
      <c r="L13363" s="16" t="str">
        <f>IFERROR(__xludf.DUMMYFUNCTION("""COMPUTED_VALUE"""),"")</f>
        <v/>
      </c>
      <c r="M13363" s="16" t="str">
        <f>IFERROR(__xludf.DUMMYFUNCTION("""COMPUTED_VALUE"""),"")</f>
        <v/>
      </c>
      <c r="U13363" s="16" t="s">
        <v>87</v>
      </c>
      <c r="V13363" s="16" t="str">
        <f>IFERROR(__xludf.DUMMYFUNCTION("""COMPUTED_VALUE"""),"")</f>
        <v/>
      </c>
      <c r="W13363" s="16" t="str">
        <f>IFERROR(__xludf.DUMMYFUNCTION("""COMPUTED_VALUE"""),"")</f>
        <v/>
      </c>
      <c r="X13363" s="16" t="str">
        <f>IFERROR(__xludf.DUMMYFUNCTION("""COMPUTED_VALUE"""),"")</f>
        <v/>
      </c>
      <c r="AC13363" s="16" t="str">
        <f>IFERROR(__xludf.DUMMYFUNCTION("""COMPUTED_VALUE"""),"")</f>
        <v/>
      </c>
    </row>
    <row r="13364">
      <c r="A13364" s="16" t="s">
        <v>87</v>
      </c>
      <c r="E13364" s="16" t="str">
        <f>IFERROR(__xludf.DUMMYFUNCTION("""COMPUTED_VALUE"""),"")</f>
        <v/>
      </c>
      <c r="G13364" s="18"/>
      <c r="H13364" s="16" t="s">
        <v>87</v>
      </c>
      <c r="I13364" s="16" t="s">
        <v>87</v>
      </c>
      <c r="J13364" s="19"/>
      <c r="L13364" s="16" t="str">
        <f>IFERROR(__xludf.DUMMYFUNCTION("""COMPUTED_VALUE"""),"")</f>
        <v/>
      </c>
      <c r="M13364" s="16" t="str">
        <f>IFERROR(__xludf.DUMMYFUNCTION("""COMPUTED_VALUE"""),"")</f>
        <v/>
      </c>
      <c r="U13364" s="16" t="s">
        <v>87</v>
      </c>
      <c r="V13364" s="16" t="str">
        <f>IFERROR(__xludf.DUMMYFUNCTION("""COMPUTED_VALUE"""),"")</f>
        <v/>
      </c>
      <c r="W13364" s="16" t="str">
        <f>IFERROR(__xludf.DUMMYFUNCTION("""COMPUTED_VALUE"""),"")</f>
        <v/>
      </c>
      <c r="X13364" s="16" t="str">
        <f>IFERROR(__xludf.DUMMYFUNCTION("""COMPUTED_VALUE"""),"")</f>
        <v/>
      </c>
      <c r="AC13364" s="16" t="str">
        <f>IFERROR(__xludf.DUMMYFUNCTION("""COMPUTED_VALUE"""),"")</f>
        <v/>
      </c>
    </row>
    <row r="13365">
      <c r="A13365" s="16" t="s">
        <v>87</v>
      </c>
      <c r="E13365" s="16" t="str">
        <f>IFERROR(__xludf.DUMMYFUNCTION("""COMPUTED_VALUE"""),"")</f>
        <v/>
      </c>
      <c r="G13365" s="18"/>
      <c r="H13365" s="16" t="s">
        <v>87</v>
      </c>
      <c r="I13365" s="16" t="s">
        <v>87</v>
      </c>
      <c r="J13365" s="19"/>
      <c r="L13365" s="16" t="str">
        <f>IFERROR(__xludf.DUMMYFUNCTION("""COMPUTED_VALUE"""),"")</f>
        <v/>
      </c>
      <c r="M13365" s="16" t="str">
        <f>IFERROR(__xludf.DUMMYFUNCTION("""COMPUTED_VALUE"""),"")</f>
        <v/>
      </c>
      <c r="U13365" s="16" t="s">
        <v>87</v>
      </c>
      <c r="V13365" s="16" t="str">
        <f>IFERROR(__xludf.DUMMYFUNCTION("""COMPUTED_VALUE"""),"")</f>
        <v/>
      </c>
      <c r="W13365" s="16" t="str">
        <f>IFERROR(__xludf.DUMMYFUNCTION("""COMPUTED_VALUE"""),"")</f>
        <v/>
      </c>
      <c r="X13365" s="16" t="str">
        <f>IFERROR(__xludf.DUMMYFUNCTION("""COMPUTED_VALUE"""),"")</f>
        <v/>
      </c>
      <c r="AC13365" s="16" t="str">
        <f>IFERROR(__xludf.DUMMYFUNCTION("""COMPUTED_VALUE"""),"")</f>
        <v/>
      </c>
    </row>
    <row r="13366">
      <c r="A13366" s="16" t="s">
        <v>87</v>
      </c>
      <c r="E13366" s="16" t="str">
        <f>IFERROR(__xludf.DUMMYFUNCTION("""COMPUTED_VALUE"""),"")</f>
        <v/>
      </c>
      <c r="G13366" s="18"/>
      <c r="H13366" s="16" t="s">
        <v>87</v>
      </c>
      <c r="I13366" s="16" t="s">
        <v>87</v>
      </c>
      <c r="J13366" s="19"/>
      <c r="L13366" s="16" t="str">
        <f>IFERROR(__xludf.DUMMYFUNCTION("""COMPUTED_VALUE"""),"")</f>
        <v/>
      </c>
      <c r="M13366" s="16" t="str">
        <f>IFERROR(__xludf.DUMMYFUNCTION("""COMPUTED_VALUE"""),"")</f>
        <v/>
      </c>
      <c r="U13366" s="16" t="s">
        <v>87</v>
      </c>
      <c r="V13366" s="16" t="str">
        <f>IFERROR(__xludf.DUMMYFUNCTION("""COMPUTED_VALUE"""),"")</f>
        <v/>
      </c>
      <c r="W13366" s="16" t="str">
        <f>IFERROR(__xludf.DUMMYFUNCTION("""COMPUTED_VALUE"""),"")</f>
        <v/>
      </c>
      <c r="X13366" s="16" t="str">
        <f>IFERROR(__xludf.DUMMYFUNCTION("""COMPUTED_VALUE"""),"")</f>
        <v/>
      </c>
      <c r="AC13366" s="16" t="str">
        <f>IFERROR(__xludf.DUMMYFUNCTION("""COMPUTED_VALUE"""),"")</f>
        <v/>
      </c>
    </row>
    <row r="13367">
      <c r="A13367" s="16" t="s">
        <v>87</v>
      </c>
      <c r="E13367" s="16" t="str">
        <f>IFERROR(__xludf.DUMMYFUNCTION("""COMPUTED_VALUE"""),"")</f>
        <v/>
      </c>
      <c r="G13367" s="18"/>
      <c r="H13367" s="16" t="s">
        <v>87</v>
      </c>
      <c r="I13367" s="16" t="s">
        <v>87</v>
      </c>
      <c r="J13367" s="19"/>
      <c r="L13367" s="16" t="str">
        <f>IFERROR(__xludf.DUMMYFUNCTION("""COMPUTED_VALUE"""),"")</f>
        <v/>
      </c>
      <c r="M13367" s="16" t="str">
        <f>IFERROR(__xludf.DUMMYFUNCTION("""COMPUTED_VALUE"""),"")</f>
        <v/>
      </c>
      <c r="U13367" s="16" t="s">
        <v>87</v>
      </c>
      <c r="V13367" s="16" t="str">
        <f>IFERROR(__xludf.DUMMYFUNCTION("""COMPUTED_VALUE"""),"")</f>
        <v/>
      </c>
      <c r="W13367" s="16" t="str">
        <f>IFERROR(__xludf.DUMMYFUNCTION("""COMPUTED_VALUE"""),"")</f>
        <v/>
      </c>
      <c r="X13367" s="16" t="str">
        <f>IFERROR(__xludf.DUMMYFUNCTION("""COMPUTED_VALUE"""),"")</f>
        <v/>
      </c>
      <c r="AC13367" s="16" t="str">
        <f>IFERROR(__xludf.DUMMYFUNCTION("""COMPUTED_VALUE"""),"")</f>
        <v/>
      </c>
    </row>
    <row r="13368">
      <c r="A13368" s="16" t="s">
        <v>87</v>
      </c>
      <c r="E13368" s="16" t="str">
        <f>IFERROR(__xludf.DUMMYFUNCTION("""COMPUTED_VALUE"""),"")</f>
        <v/>
      </c>
      <c r="G13368" s="18"/>
      <c r="H13368" s="16" t="s">
        <v>87</v>
      </c>
      <c r="I13368" s="16" t="s">
        <v>87</v>
      </c>
      <c r="J13368" s="19"/>
      <c r="L13368" s="16" t="str">
        <f>IFERROR(__xludf.DUMMYFUNCTION("""COMPUTED_VALUE"""),"")</f>
        <v/>
      </c>
      <c r="M13368" s="16" t="str">
        <f>IFERROR(__xludf.DUMMYFUNCTION("""COMPUTED_VALUE"""),"")</f>
        <v/>
      </c>
      <c r="U13368" s="16" t="s">
        <v>87</v>
      </c>
      <c r="V13368" s="16" t="str">
        <f>IFERROR(__xludf.DUMMYFUNCTION("""COMPUTED_VALUE"""),"")</f>
        <v/>
      </c>
      <c r="W13368" s="16" t="str">
        <f>IFERROR(__xludf.DUMMYFUNCTION("""COMPUTED_VALUE"""),"")</f>
        <v/>
      </c>
      <c r="X13368" s="16" t="str">
        <f>IFERROR(__xludf.DUMMYFUNCTION("""COMPUTED_VALUE"""),"")</f>
        <v/>
      </c>
      <c r="AC13368" s="16" t="str">
        <f>IFERROR(__xludf.DUMMYFUNCTION("""COMPUTED_VALUE"""),"")</f>
        <v/>
      </c>
    </row>
    <row r="13369">
      <c r="A13369" s="16" t="s">
        <v>87</v>
      </c>
      <c r="E13369" s="16" t="str">
        <f>IFERROR(__xludf.DUMMYFUNCTION("""COMPUTED_VALUE"""),"")</f>
        <v/>
      </c>
      <c r="G13369" s="18"/>
      <c r="H13369" s="16" t="s">
        <v>87</v>
      </c>
      <c r="I13369" s="16" t="s">
        <v>87</v>
      </c>
      <c r="J13369" s="19"/>
      <c r="L13369" s="16" t="str">
        <f>IFERROR(__xludf.DUMMYFUNCTION("""COMPUTED_VALUE"""),"")</f>
        <v/>
      </c>
      <c r="M13369" s="16" t="str">
        <f>IFERROR(__xludf.DUMMYFUNCTION("""COMPUTED_VALUE"""),"")</f>
        <v/>
      </c>
      <c r="U13369" s="16" t="s">
        <v>87</v>
      </c>
      <c r="V13369" s="16" t="str">
        <f>IFERROR(__xludf.DUMMYFUNCTION("""COMPUTED_VALUE"""),"")</f>
        <v/>
      </c>
      <c r="W13369" s="16" t="str">
        <f>IFERROR(__xludf.DUMMYFUNCTION("""COMPUTED_VALUE"""),"")</f>
        <v/>
      </c>
      <c r="X13369" s="16" t="str">
        <f>IFERROR(__xludf.DUMMYFUNCTION("""COMPUTED_VALUE"""),"")</f>
        <v/>
      </c>
      <c r="AC13369" s="16" t="str">
        <f>IFERROR(__xludf.DUMMYFUNCTION("""COMPUTED_VALUE"""),"")</f>
        <v/>
      </c>
    </row>
    <row r="13370">
      <c r="A13370" s="16" t="s">
        <v>87</v>
      </c>
      <c r="E13370" s="16" t="str">
        <f>IFERROR(__xludf.DUMMYFUNCTION("""COMPUTED_VALUE"""),"")</f>
        <v/>
      </c>
      <c r="G13370" s="18"/>
      <c r="H13370" s="16" t="s">
        <v>87</v>
      </c>
      <c r="I13370" s="16" t="s">
        <v>87</v>
      </c>
      <c r="J13370" s="19"/>
      <c r="L13370" s="16" t="str">
        <f>IFERROR(__xludf.DUMMYFUNCTION("""COMPUTED_VALUE"""),"")</f>
        <v/>
      </c>
      <c r="M13370" s="16" t="str">
        <f>IFERROR(__xludf.DUMMYFUNCTION("""COMPUTED_VALUE"""),"")</f>
        <v/>
      </c>
      <c r="U13370" s="16" t="s">
        <v>87</v>
      </c>
      <c r="V13370" s="16" t="str">
        <f>IFERROR(__xludf.DUMMYFUNCTION("""COMPUTED_VALUE"""),"")</f>
        <v/>
      </c>
      <c r="W13370" s="16" t="str">
        <f>IFERROR(__xludf.DUMMYFUNCTION("""COMPUTED_VALUE"""),"")</f>
        <v/>
      </c>
      <c r="X13370" s="16" t="str">
        <f>IFERROR(__xludf.DUMMYFUNCTION("""COMPUTED_VALUE"""),"")</f>
        <v/>
      </c>
      <c r="AC13370" s="16" t="str">
        <f>IFERROR(__xludf.DUMMYFUNCTION("""COMPUTED_VALUE"""),"")</f>
        <v/>
      </c>
    </row>
    <row r="13371">
      <c r="A13371" s="16" t="s">
        <v>87</v>
      </c>
      <c r="E13371" s="16" t="str">
        <f>IFERROR(__xludf.DUMMYFUNCTION("""COMPUTED_VALUE"""),"")</f>
        <v/>
      </c>
      <c r="G13371" s="18"/>
      <c r="H13371" s="16" t="s">
        <v>87</v>
      </c>
      <c r="I13371" s="16" t="s">
        <v>87</v>
      </c>
      <c r="J13371" s="19"/>
      <c r="L13371" s="16" t="str">
        <f>IFERROR(__xludf.DUMMYFUNCTION("""COMPUTED_VALUE"""),"")</f>
        <v/>
      </c>
      <c r="M13371" s="16" t="str">
        <f>IFERROR(__xludf.DUMMYFUNCTION("""COMPUTED_VALUE"""),"")</f>
        <v/>
      </c>
      <c r="U13371" s="16" t="s">
        <v>87</v>
      </c>
      <c r="V13371" s="16" t="str">
        <f>IFERROR(__xludf.DUMMYFUNCTION("""COMPUTED_VALUE"""),"")</f>
        <v/>
      </c>
      <c r="W13371" s="16" t="str">
        <f>IFERROR(__xludf.DUMMYFUNCTION("""COMPUTED_VALUE"""),"")</f>
        <v/>
      </c>
      <c r="X13371" s="16" t="str">
        <f>IFERROR(__xludf.DUMMYFUNCTION("""COMPUTED_VALUE"""),"")</f>
        <v/>
      </c>
      <c r="AC13371" s="16" t="str">
        <f>IFERROR(__xludf.DUMMYFUNCTION("""COMPUTED_VALUE"""),"")</f>
        <v/>
      </c>
    </row>
    <row r="13372">
      <c r="A13372" s="16" t="s">
        <v>87</v>
      </c>
      <c r="E13372" s="16" t="str">
        <f>IFERROR(__xludf.DUMMYFUNCTION("""COMPUTED_VALUE"""),"")</f>
        <v/>
      </c>
      <c r="G13372" s="18"/>
      <c r="H13372" s="16" t="s">
        <v>87</v>
      </c>
      <c r="I13372" s="16" t="s">
        <v>87</v>
      </c>
      <c r="J13372" s="19"/>
      <c r="L13372" s="16" t="str">
        <f>IFERROR(__xludf.DUMMYFUNCTION("""COMPUTED_VALUE"""),"")</f>
        <v/>
      </c>
      <c r="M13372" s="16" t="str">
        <f>IFERROR(__xludf.DUMMYFUNCTION("""COMPUTED_VALUE"""),"")</f>
        <v/>
      </c>
      <c r="U13372" s="16" t="s">
        <v>87</v>
      </c>
      <c r="V13372" s="16" t="str">
        <f>IFERROR(__xludf.DUMMYFUNCTION("""COMPUTED_VALUE"""),"")</f>
        <v/>
      </c>
      <c r="W13372" s="16" t="str">
        <f>IFERROR(__xludf.DUMMYFUNCTION("""COMPUTED_VALUE"""),"")</f>
        <v/>
      </c>
      <c r="X13372" s="16" t="str">
        <f>IFERROR(__xludf.DUMMYFUNCTION("""COMPUTED_VALUE"""),"")</f>
        <v/>
      </c>
      <c r="AC13372" s="16" t="str">
        <f>IFERROR(__xludf.DUMMYFUNCTION("""COMPUTED_VALUE"""),"")</f>
        <v/>
      </c>
    </row>
    <row r="13373">
      <c r="A13373" s="16" t="s">
        <v>87</v>
      </c>
      <c r="E13373" s="16" t="str">
        <f>IFERROR(__xludf.DUMMYFUNCTION("""COMPUTED_VALUE"""),"")</f>
        <v/>
      </c>
      <c r="G13373" s="18"/>
      <c r="H13373" s="16" t="s">
        <v>87</v>
      </c>
      <c r="I13373" s="16" t="s">
        <v>87</v>
      </c>
      <c r="J13373" s="19"/>
      <c r="L13373" s="16" t="str">
        <f>IFERROR(__xludf.DUMMYFUNCTION("""COMPUTED_VALUE"""),"")</f>
        <v/>
      </c>
      <c r="M13373" s="16" t="str">
        <f>IFERROR(__xludf.DUMMYFUNCTION("""COMPUTED_VALUE"""),"")</f>
        <v/>
      </c>
      <c r="U13373" s="16" t="s">
        <v>87</v>
      </c>
      <c r="V13373" s="16" t="str">
        <f>IFERROR(__xludf.DUMMYFUNCTION("""COMPUTED_VALUE"""),"")</f>
        <v/>
      </c>
      <c r="W13373" s="16" t="str">
        <f>IFERROR(__xludf.DUMMYFUNCTION("""COMPUTED_VALUE"""),"")</f>
        <v/>
      </c>
      <c r="X13373" s="16" t="str">
        <f>IFERROR(__xludf.DUMMYFUNCTION("""COMPUTED_VALUE"""),"")</f>
        <v/>
      </c>
      <c r="AC13373" s="16" t="str">
        <f>IFERROR(__xludf.DUMMYFUNCTION("""COMPUTED_VALUE"""),"")</f>
        <v/>
      </c>
    </row>
    <row r="13374">
      <c r="A13374" s="16" t="s">
        <v>87</v>
      </c>
      <c r="E13374" s="16" t="str">
        <f>IFERROR(__xludf.DUMMYFUNCTION("""COMPUTED_VALUE"""),"")</f>
        <v/>
      </c>
      <c r="G13374" s="18"/>
      <c r="H13374" s="16" t="s">
        <v>87</v>
      </c>
      <c r="I13374" s="16" t="s">
        <v>87</v>
      </c>
      <c r="J13374" s="19"/>
      <c r="L13374" s="16" t="str">
        <f>IFERROR(__xludf.DUMMYFUNCTION("""COMPUTED_VALUE"""),"")</f>
        <v/>
      </c>
      <c r="M13374" s="16" t="str">
        <f>IFERROR(__xludf.DUMMYFUNCTION("""COMPUTED_VALUE"""),"")</f>
        <v/>
      </c>
      <c r="U13374" s="16" t="s">
        <v>87</v>
      </c>
      <c r="V13374" s="16" t="str">
        <f>IFERROR(__xludf.DUMMYFUNCTION("""COMPUTED_VALUE"""),"")</f>
        <v/>
      </c>
      <c r="W13374" s="16" t="str">
        <f>IFERROR(__xludf.DUMMYFUNCTION("""COMPUTED_VALUE"""),"")</f>
        <v/>
      </c>
      <c r="X13374" s="16" t="str">
        <f>IFERROR(__xludf.DUMMYFUNCTION("""COMPUTED_VALUE"""),"")</f>
        <v/>
      </c>
      <c r="AC13374" s="16" t="str">
        <f>IFERROR(__xludf.DUMMYFUNCTION("""COMPUTED_VALUE"""),"")</f>
        <v/>
      </c>
    </row>
    <row r="13375">
      <c r="A13375" s="16" t="s">
        <v>87</v>
      </c>
      <c r="E13375" s="16" t="str">
        <f>IFERROR(__xludf.DUMMYFUNCTION("""COMPUTED_VALUE"""),"")</f>
        <v/>
      </c>
      <c r="G13375" s="18"/>
      <c r="H13375" s="16" t="s">
        <v>87</v>
      </c>
      <c r="I13375" s="16" t="s">
        <v>87</v>
      </c>
      <c r="J13375" s="19"/>
      <c r="L13375" s="16" t="str">
        <f>IFERROR(__xludf.DUMMYFUNCTION("""COMPUTED_VALUE"""),"")</f>
        <v/>
      </c>
      <c r="M13375" s="16" t="str">
        <f>IFERROR(__xludf.DUMMYFUNCTION("""COMPUTED_VALUE"""),"")</f>
        <v/>
      </c>
      <c r="U13375" s="16" t="s">
        <v>87</v>
      </c>
      <c r="V13375" s="16" t="str">
        <f>IFERROR(__xludf.DUMMYFUNCTION("""COMPUTED_VALUE"""),"")</f>
        <v/>
      </c>
      <c r="W13375" s="16" t="str">
        <f>IFERROR(__xludf.DUMMYFUNCTION("""COMPUTED_VALUE"""),"")</f>
        <v/>
      </c>
      <c r="X13375" s="16" t="str">
        <f>IFERROR(__xludf.DUMMYFUNCTION("""COMPUTED_VALUE"""),"")</f>
        <v/>
      </c>
      <c r="AC13375" s="16" t="str">
        <f>IFERROR(__xludf.DUMMYFUNCTION("""COMPUTED_VALUE"""),"")</f>
        <v/>
      </c>
    </row>
    <row r="13376">
      <c r="A13376" s="16" t="s">
        <v>87</v>
      </c>
      <c r="E13376" s="16" t="str">
        <f>IFERROR(__xludf.DUMMYFUNCTION("""COMPUTED_VALUE"""),"")</f>
        <v/>
      </c>
      <c r="G13376" s="18"/>
      <c r="H13376" s="16" t="s">
        <v>87</v>
      </c>
      <c r="I13376" s="16" t="s">
        <v>87</v>
      </c>
      <c r="J13376" s="19"/>
      <c r="L13376" s="16" t="str">
        <f>IFERROR(__xludf.DUMMYFUNCTION("""COMPUTED_VALUE"""),"")</f>
        <v/>
      </c>
      <c r="M13376" s="16" t="str">
        <f>IFERROR(__xludf.DUMMYFUNCTION("""COMPUTED_VALUE"""),"")</f>
        <v/>
      </c>
      <c r="U13376" s="16" t="s">
        <v>87</v>
      </c>
      <c r="V13376" s="16" t="str">
        <f>IFERROR(__xludf.DUMMYFUNCTION("""COMPUTED_VALUE"""),"")</f>
        <v/>
      </c>
      <c r="W13376" s="16" t="str">
        <f>IFERROR(__xludf.DUMMYFUNCTION("""COMPUTED_VALUE"""),"")</f>
        <v/>
      </c>
      <c r="X13376" s="16" t="str">
        <f>IFERROR(__xludf.DUMMYFUNCTION("""COMPUTED_VALUE"""),"")</f>
        <v/>
      </c>
      <c r="AC13376" s="16" t="str">
        <f>IFERROR(__xludf.DUMMYFUNCTION("""COMPUTED_VALUE"""),"")</f>
        <v/>
      </c>
    </row>
    <row r="13377">
      <c r="A13377" s="16" t="s">
        <v>87</v>
      </c>
      <c r="E13377" s="16" t="str">
        <f>IFERROR(__xludf.DUMMYFUNCTION("""COMPUTED_VALUE"""),"")</f>
        <v/>
      </c>
      <c r="G13377" s="18"/>
      <c r="H13377" s="16" t="s">
        <v>87</v>
      </c>
      <c r="I13377" s="16" t="s">
        <v>87</v>
      </c>
      <c r="J13377" s="19"/>
      <c r="L13377" s="16" t="str">
        <f>IFERROR(__xludf.DUMMYFUNCTION("""COMPUTED_VALUE"""),"")</f>
        <v/>
      </c>
      <c r="M13377" s="16" t="str">
        <f>IFERROR(__xludf.DUMMYFUNCTION("""COMPUTED_VALUE"""),"")</f>
        <v/>
      </c>
      <c r="U13377" s="16" t="s">
        <v>87</v>
      </c>
      <c r="V13377" s="16" t="str">
        <f>IFERROR(__xludf.DUMMYFUNCTION("""COMPUTED_VALUE"""),"")</f>
        <v/>
      </c>
      <c r="W13377" s="16" t="str">
        <f>IFERROR(__xludf.DUMMYFUNCTION("""COMPUTED_VALUE"""),"")</f>
        <v/>
      </c>
      <c r="X13377" s="16" t="str">
        <f>IFERROR(__xludf.DUMMYFUNCTION("""COMPUTED_VALUE"""),"")</f>
        <v/>
      </c>
      <c r="AC13377" s="16" t="str">
        <f>IFERROR(__xludf.DUMMYFUNCTION("""COMPUTED_VALUE"""),"")</f>
        <v/>
      </c>
    </row>
    <row r="13378">
      <c r="A13378" s="16" t="s">
        <v>87</v>
      </c>
      <c r="E13378" s="16" t="str">
        <f>IFERROR(__xludf.DUMMYFUNCTION("""COMPUTED_VALUE"""),"")</f>
        <v/>
      </c>
      <c r="G13378" s="18"/>
      <c r="H13378" s="16" t="s">
        <v>87</v>
      </c>
      <c r="I13378" s="16" t="s">
        <v>87</v>
      </c>
      <c r="J13378" s="19"/>
      <c r="L13378" s="16" t="str">
        <f>IFERROR(__xludf.DUMMYFUNCTION("""COMPUTED_VALUE"""),"")</f>
        <v/>
      </c>
      <c r="M13378" s="16" t="str">
        <f>IFERROR(__xludf.DUMMYFUNCTION("""COMPUTED_VALUE"""),"")</f>
        <v/>
      </c>
      <c r="U13378" s="16" t="s">
        <v>87</v>
      </c>
      <c r="V13378" s="16" t="str">
        <f>IFERROR(__xludf.DUMMYFUNCTION("""COMPUTED_VALUE"""),"")</f>
        <v/>
      </c>
      <c r="W13378" s="16" t="str">
        <f>IFERROR(__xludf.DUMMYFUNCTION("""COMPUTED_VALUE"""),"")</f>
        <v/>
      </c>
      <c r="X13378" s="16" t="str">
        <f>IFERROR(__xludf.DUMMYFUNCTION("""COMPUTED_VALUE"""),"")</f>
        <v/>
      </c>
      <c r="AC13378" s="16" t="str">
        <f>IFERROR(__xludf.DUMMYFUNCTION("""COMPUTED_VALUE"""),"")</f>
        <v/>
      </c>
    </row>
    <row r="13379">
      <c r="A13379" s="16" t="s">
        <v>87</v>
      </c>
      <c r="E13379" s="16" t="str">
        <f>IFERROR(__xludf.DUMMYFUNCTION("""COMPUTED_VALUE"""),"")</f>
        <v/>
      </c>
      <c r="G13379" s="18"/>
      <c r="H13379" s="16" t="s">
        <v>87</v>
      </c>
      <c r="I13379" s="16" t="s">
        <v>87</v>
      </c>
      <c r="J13379" s="19"/>
      <c r="L13379" s="16" t="str">
        <f>IFERROR(__xludf.DUMMYFUNCTION("""COMPUTED_VALUE"""),"")</f>
        <v/>
      </c>
      <c r="M13379" s="16" t="str">
        <f>IFERROR(__xludf.DUMMYFUNCTION("""COMPUTED_VALUE"""),"")</f>
        <v/>
      </c>
      <c r="U13379" s="16" t="s">
        <v>87</v>
      </c>
      <c r="V13379" s="16" t="str">
        <f>IFERROR(__xludf.DUMMYFUNCTION("""COMPUTED_VALUE"""),"")</f>
        <v/>
      </c>
      <c r="W13379" s="16" t="str">
        <f>IFERROR(__xludf.DUMMYFUNCTION("""COMPUTED_VALUE"""),"")</f>
        <v/>
      </c>
      <c r="X13379" s="16" t="str">
        <f>IFERROR(__xludf.DUMMYFUNCTION("""COMPUTED_VALUE"""),"")</f>
        <v/>
      </c>
      <c r="AC13379" s="16" t="str">
        <f>IFERROR(__xludf.DUMMYFUNCTION("""COMPUTED_VALUE"""),"")</f>
        <v/>
      </c>
    </row>
    <row r="13380">
      <c r="A13380" s="16" t="s">
        <v>87</v>
      </c>
      <c r="E13380" s="16" t="str">
        <f>IFERROR(__xludf.DUMMYFUNCTION("""COMPUTED_VALUE"""),"")</f>
        <v/>
      </c>
      <c r="G13380" s="18"/>
      <c r="H13380" s="16" t="s">
        <v>87</v>
      </c>
      <c r="I13380" s="16" t="s">
        <v>87</v>
      </c>
      <c r="J13380" s="19"/>
      <c r="L13380" s="16" t="str">
        <f>IFERROR(__xludf.DUMMYFUNCTION("""COMPUTED_VALUE"""),"")</f>
        <v/>
      </c>
      <c r="M13380" s="16" t="str">
        <f>IFERROR(__xludf.DUMMYFUNCTION("""COMPUTED_VALUE"""),"")</f>
        <v/>
      </c>
      <c r="U13380" s="16" t="s">
        <v>87</v>
      </c>
      <c r="V13380" s="16" t="str">
        <f>IFERROR(__xludf.DUMMYFUNCTION("""COMPUTED_VALUE"""),"")</f>
        <v/>
      </c>
      <c r="W13380" s="16" t="str">
        <f>IFERROR(__xludf.DUMMYFUNCTION("""COMPUTED_VALUE"""),"")</f>
        <v/>
      </c>
      <c r="X13380" s="16" t="str">
        <f>IFERROR(__xludf.DUMMYFUNCTION("""COMPUTED_VALUE"""),"")</f>
        <v/>
      </c>
      <c r="AC13380" s="16" t="str">
        <f>IFERROR(__xludf.DUMMYFUNCTION("""COMPUTED_VALUE"""),"")</f>
        <v/>
      </c>
    </row>
    <row r="13381">
      <c r="A13381" s="16" t="s">
        <v>87</v>
      </c>
      <c r="E13381" s="16" t="str">
        <f>IFERROR(__xludf.DUMMYFUNCTION("""COMPUTED_VALUE"""),"")</f>
        <v/>
      </c>
      <c r="G13381" s="18"/>
      <c r="H13381" s="16" t="s">
        <v>87</v>
      </c>
      <c r="I13381" s="16" t="s">
        <v>87</v>
      </c>
      <c r="J13381" s="19"/>
      <c r="L13381" s="16" t="str">
        <f>IFERROR(__xludf.DUMMYFUNCTION("""COMPUTED_VALUE"""),"")</f>
        <v/>
      </c>
      <c r="M13381" s="16" t="str">
        <f>IFERROR(__xludf.DUMMYFUNCTION("""COMPUTED_VALUE"""),"")</f>
        <v/>
      </c>
      <c r="U13381" s="16" t="s">
        <v>87</v>
      </c>
      <c r="V13381" s="16" t="str">
        <f>IFERROR(__xludf.DUMMYFUNCTION("""COMPUTED_VALUE"""),"")</f>
        <v/>
      </c>
      <c r="W13381" s="16" t="str">
        <f>IFERROR(__xludf.DUMMYFUNCTION("""COMPUTED_VALUE"""),"")</f>
        <v/>
      </c>
      <c r="X13381" s="16" t="str">
        <f>IFERROR(__xludf.DUMMYFUNCTION("""COMPUTED_VALUE"""),"")</f>
        <v/>
      </c>
      <c r="AC13381" s="16" t="str">
        <f>IFERROR(__xludf.DUMMYFUNCTION("""COMPUTED_VALUE"""),"")</f>
        <v/>
      </c>
    </row>
    <row r="13382">
      <c r="A13382" s="16" t="s">
        <v>87</v>
      </c>
      <c r="E13382" s="16" t="str">
        <f>IFERROR(__xludf.DUMMYFUNCTION("""COMPUTED_VALUE"""),"")</f>
        <v/>
      </c>
      <c r="G13382" s="18"/>
      <c r="H13382" s="16" t="s">
        <v>87</v>
      </c>
      <c r="I13382" s="16" t="s">
        <v>87</v>
      </c>
      <c r="J13382" s="19"/>
      <c r="L13382" s="16" t="str">
        <f>IFERROR(__xludf.DUMMYFUNCTION("""COMPUTED_VALUE"""),"")</f>
        <v/>
      </c>
      <c r="M13382" s="16" t="str">
        <f>IFERROR(__xludf.DUMMYFUNCTION("""COMPUTED_VALUE"""),"")</f>
        <v/>
      </c>
      <c r="U13382" s="16" t="s">
        <v>87</v>
      </c>
      <c r="V13382" s="16" t="str">
        <f>IFERROR(__xludf.DUMMYFUNCTION("""COMPUTED_VALUE"""),"")</f>
        <v/>
      </c>
      <c r="W13382" s="16" t="str">
        <f>IFERROR(__xludf.DUMMYFUNCTION("""COMPUTED_VALUE"""),"")</f>
        <v/>
      </c>
      <c r="X13382" s="16" t="str">
        <f>IFERROR(__xludf.DUMMYFUNCTION("""COMPUTED_VALUE"""),"")</f>
        <v/>
      </c>
      <c r="AC13382" s="16" t="str">
        <f>IFERROR(__xludf.DUMMYFUNCTION("""COMPUTED_VALUE"""),"")</f>
        <v/>
      </c>
    </row>
    <row r="13383">
      <c r="A13383" s="16" t="s">
        <v>87</v>
      </c>
      <c r="E13383" s="16" t="str">
        <f>IFERROR(__xludf.DUMMYFUNCTION("""COMPUTED_VALUE"""),"")</f>
        <v/>
      </c>
      <c r="G13383" s="18"/>
      <c r="H13383" s="16" t="s">
        <v>87</v>
      </c>
      <c r="I13383" s="16" t="s">
        <v>87</v>
      </c>
      <c r="J13383" s="19"/>
      <c r="L13383" s="16" t="str">
        <f>IFERROR(__xludf.DUMMYFUNCTION("""COMPUTED_VALUE"""),"")</f>
        <v/>
      </c>
      <c r="M13383" s="16" t="str">
        <f>IFERROR(__xludf.DUMMYFUNCTION("""COMPUTED_VALUE"""),"")</f>
        <v/>
      </c>
      <c r="U13383" s="16" t="s">
        <v>87</v>
      </c>
      <c r="V13383" s="16" t="str">
        <f>IFERROR(__xludf.DUMMYFUNCTION("""COMPUTED_VALUE"""),"")</f>
        <v/>
      </c>
      <c r="W13383" s="16" t="str">
        <f>IFERROR(__xludf.DUMMYFUNCTION("""COMPUTED_VALUE"""),"")</f>
        <v/>
      </c>
      <c r="X13383" s="16" t="str">
        <f>IFERROR(__xludf.DUMMYFUNCTION("""COMPUTED_VALUE"""),"")</f>
        <v/>
      </c>
      <c r="AC13383" s="16" t="str">
        <f>IFERROR(__xludf.DUMMYFUNCTION("""COMPUTED_VALUE"""),"")</f>
        <v/>
      </c>
    </row>
    <row r="13384">
      <c r="A13384" s="16" t="s">
        <v>87</v>
      </c>
      <c r="E13384" s="16" t="str">
        <f>IFERROR(__xludf.DUMMYFUNCTION("""COMPUTED_VALUE"""),"")</f>
        <v/>
      </c>
      <c r="G13384" s="18"/>
      <c r="H13384" s="16" t="s">
        <v>87</v>
      </c>
      <c r="I13384" s="16" t="s">
        <v>87</v>
      </c>
      <c r="J13384" s="19"/>
      <c r="L13384" s="16" t="str">
        <f>IFERROR(__xludf.DUMMYFUNCTION("""COMPUTED_VALUE"""),"")</f>
        <v/>
      </c>
      <c r="M13384" s="16" t="str">
        <f>IFERROR(__xludf.DUMMYFUNCTION("""COMPUTED_VALUE"""),"")</f>
        <v/>
      </c>
      <c r="U13384" s="16" t="s">
        <v>87</v>
      </c>
      <c r="V13384" s="16" t="str">
        <f>IFERROR(__xludf.DUMMYFUNCTION("""COMPUTED_VALUE"""),"")</f>
        <v/>
      </c>
      <c r="W13384" s="16" t="str">
        <f>IFERROR(__xludf.DUMMYFUNCTION("""COMPUTED_VALUE"""),"")</f>
        <v/>
      </c>
      <c r="X13384" s="16" t="str">
        <f>IFERROR(__xludf.DUMMYFUNCTION("""COMPUTED_VALUE"""),"")</f>
        <v/>
      </c>
      <c r="AC13384" s="16" t="str">
        <f>IFERROR(__xludf.DUMMYFUNCTION("""COMPUTED_VALUE"""),"")</f>
        <v/>
      </c>
    </row>
    <row r="13385">
      <c r="A13385" s="16" t="s">
        <v>87</v>
      </c>
      <c r="E13385" s="16" t="str">
        <f>IFERROR(__xludf.DUMMYFUNCTION("""COMPUTED_VALUE"""),"")</f>
        <v/>
      </c>
      <c r="G13385" s="18"/>
      <c r="H13385" s="16" t="s">
        <v>87</v>
      </c>
      <c r="I13385" s="16" t="s">
        <v>87</v>
      </c>
      <c r="J13385" s="19"/>
      <c r="L13385" s="16" t="str">
        <f>IFERROR(__xludf.DUMMYFUNCTION("""COMPUTED_VALUE"""),"")</f>
        <v/>
      </c>
      <c r="M13385" s="16" t="str">
        <f>IFERROR(__xludf.DUMMYFUNCTION("""COMPUTED_VALUE"""),"")</f>
        <v/>
      </c>
      <c r="U13385" s="16" t="s">
        <v>87</v>
      </c>
      <c r="V13385" s="16" t="str">
        <f>IFERROR(__xludf.DUMMYFUNCTION("""COMPUTED_VALUE"""),"")</f>
        <v/>
      </c>
      <c r="W13385" s="16" t="str">
        <f>IFERROR(__xludf.DUMMYFUNCTION("""COMPUTED_VALUE"""),"")</f>
        <v/>
      </c>
      <c r="X13385" s="16" t="str">
        <f>IFERROR(__xludf.DUMMYFUNCTION("""COMPUTED_VALUE"""),"")</f>
        <v/>
      </c>
      <c r="AC13385" s="16" t="str">
        <f>IFERROR(__xludf.DUMMYFUNCTION("""COMPUTED_VALUE"""),"")</f>
        <v/>
      </c>
    </row>
    <row r="13386">
      <c r="A13386" s="16" t="s">
        <v>87</v>
      </c>
      <c r="E13386" s="16" t="str">
        <f>IFERROR(__xludf.DUMMYFUNCTION("""COMPUTED_VALUE"""),"")</f>
        <v/>
      </c>
      <c r="G13386" s="18"/>
      <c r="H13386" s="16" t="s">
        <v>87</v>
      </c>
      <c r="I13386" s="16" t="s">
        <v>87</v>
      </c>
      <c r="J13386" s="19"/>
      <c r="L13386" s="16" t="str">
        <f>IFERROR(__xludf.DUMMYFUNCTION("""COMPUTED_VALUE"""),"")</f>
        <v/>
      </c>
      <c r="M13386" s="16" t="str">
        <f>IFERROR(__xludf.DUMMYFUNCTION("""COMPUTED_VALUE"""),"")</f>
        <v/>
      </c>
      <c r="U13386" s="16" t="s">
        <v>87</v>
      </c>
      <c r="V13386" s="16" t="str">
        <f>IFERROR(__xludf.DUMMYFUNCTION("""COMPUTED_VALUE"""),"")</f>
        <v/>
      </c>
      <c r="W13386" s="16" t="str">
        <f>IFERROR(__xludf.DUMMYFUNCTION("""COMPUTED_VALUE"""),"")</f>
        <v/>
      </c>
      <c r="X13386" s="16" t="str">
        <f>IFERROR(__xludf.DUMMYFUNCTION("""COMPUTED_VALUE"""),"")</f>
        <v/>
      </c>
      <c r="AC13386" s="16" t="str">
        <f>IFERROR(__xludf.DUMMYFUNCTION("""COMPUTED_VALUE"""),"")</f>
        <v/>
      </c>
    </row>
    <row r="13387">
      <c r="A13387" s="16" t="s">
        <v>87</v>
      </c>
      <c r="E13387" s="16" t="str">
        <f>IFERROR(__xludf.DUMMYFUNCTION("""COMPUTED_VALUE"""),"")</f>
        <v/>
      </c>
      <c r="G13387" s="18"/>
      <c r="H13387" s="16" t="s">
        <v>87</v>
      </c>
      <c r="I13387" s="16" t="s">
        <v>87</v>
      </c>
      <c r="J13387" s="19"/>
      <c r="L13387" s="16" t="str">
        <f>IFERROR(__xludf.DUMMYFUNCTION("""COMPUTED_VALUE"""),"")</f>
        <v/>
      </c>
      <c r="M13387" s="16" t="str">
        <f>IFERROR(__xludf.DUMMYFUNCTION("""COMPUTED_VALUE"""),"")</f>
        <v/>
      </c>
      <c r="U13387" s="16" t="s">
        <v>87</v>
      </c>
      <c r="V13387" s="16" t="str">
        <f>IFERROR(__xludf.DUMMYFUNCTION("""COMPUTED_VALUE"""),"")</f>
        <v/>
      </c>
      <c r="W13387" s="16" t="str">
        <f>IFERROR(__xludf.DUMMYFUNCTION("""COMPUTED_VALUE"""),"")</f>
        <v/>
      </c>
      <c r="X13387" s="16" t="str">
        <f>IFERROR(__xludf.DUMMYFUNCTION("""COMPUTED_VALUE"""),"")</f>
        <v/>
      </c>
      <c r="AC13387" s="16" t="str">
        <f>IFERROR(__xludf.DUMMYFUNCTION("""COMPUTED_VALUE"""),"")</f>
        <v/>
      </c>
    </row>
    <row r="13388">
      <c r="A13388" s="16" t="s">
        <v>87</v>
      </c>
      <c r="E13388" s="16" t="str">
        <f>IFERROR(__xludf.DUMMYFUNCTION("""COMPUTED_VALUE"""),"")</f>
        <v/>
      </c>
      <c r="G13388" s="18"/>
      <c r="H13388" s="16" t="s">
        <v>87</v>
      </c>
      <c r="I13388" s="16" t="s">
        <v>87</v>
      </c>
      <c r="J13388" s="19"/>
      <c r="L13388" s="16" t="str">
        <f>IFERROR(__xludf.DUMMYFUNCTION("""COMPUTED_VALUE"""),"")</f>
        <v/>
      </c>
      <c r="M13388" s="16" t="str">
        <f>IFERROR(__xludf.DUMMYFUNCTION("""COMPUTED_VALUE"""),"")</f>
        <v/>
      </c>
      <c r="U13388" s="16" t="s">
        <v>87</v>
      </c>
      <c r="V13388" s="16" t="str">
        <f>IFERROR(__xludf.DUMMYFUNCTION("""COMPUTED_VALUE"""),"")</f>
        <v/>
      </c>
      <c r="W13388" s="16" t="str">
        <f>IFERROR(__xludf.DUMMYFUNCTION("""COMPUTED_VALUE"""),"")</f>
        <v/>
      </c>
      <c r="X13388" s="16" t="str">
        <f>IFERROR(__xludf.DUMMYFUNCTION("""COMPUTED_VALUE"""),"")</f>
        <v/>
      </c>
      <c r="AC13388" s="16" t="str">
        <f>IFERROR(__xludf.DUMMYFUNCTION("""COMPUTED_VALUE"""),"")</f>
        <v/>
      </c>
    </row>
    <row r="13389">
      <c r="A13389" s="16" t="s">
        <v>87</v>
      </c>
      <c r="E13389" s="16" t="str">
        <f>IFERROR(__xludf.DUMMYFUNCTION("""COMPUTED_VALUE"""),"")</f>
        <v/>
      </c>
      <c r="G13389" s="18"/>
      <c r="H13389" s="16" t="s">
        <v>87</v>
      </c>
      <c r="I13389" s="16" t="s">
        <v>87</v>
      </c>
      <c r="J13389" s="19"/>
      <c r="L13389" s="16" t="str">
        <f>IFERROR(__xludf.DUMMYFUNCTION("""COMPUTED_VALUE"""),"")</f>
        <v/>
      </c>
      <c r="M13389" s="16" t="str">
        <f>IFERROR(__xludf.DUMMYFUNCTION("""COMPUTED_VALUE"""),"")</f>
        <v/>
      </c>
      <c r="U13389" s="16" t="s">
        <v>87</v>
      </c>
      <c r="V13389" s="16" t="str">
        <f>IFERROR(__xludf.DUMMYFUNCTION("""COMPUTED_VALUE"""),"")</f>
        <v/>
      </c>
      <c r="W13389" s="16" t="str">
        <f>IFERROR(__xludf.DUMMYFUNCTION("""COMPUTED_VALUE"""),"")</f>
        <v/>
      </c>
      <c r="X13389" s="16" t="str">
        <f>IFERROR(__xludf.DUMMYFUNCTION("""COMPUTED_VALUE"""),"")</f>
        <v/>
      </c>
      <c r="AC13389" s="16" t="str">
        <f>IFERROR(__xludf.DUMMYFUNCTION("""COMPUTED_VALUE"""),"")</f>
        <v/>
      </c>
    </row>
    <row r="13390">
      <c r="A13390" s="16" t="s">
        <v>87</v>
      </c>
      <c r="E13390" s="16" t="str">
        <f>IFERROR(__xludf.DUMMYFUNCTION("""COMPUTED_VALUE"""),"")</f>
        <v/>
      </c>
      <c r="G13390" s="18"/>
      <c r="H13390" s="16" t="s">
        <v>87</v>
      </c>
      <c r="I13390" s="16" t="s">
        <v>87</v>
      </c>
      <c r="J13390" s="19"/>
      <c r="L13390" s="16" t="str">
        <f>IFERROR(__xludf.DUMMYFUNCTION("""COMPUTED_VALUE"""),"")</f>
        <v/>
      </c>
      <c r="M13390" s="16" t="str">
        <f>IFERROR(__xludf.DUMMYFUNCTION("""COMPUTED_VALUE"""),"")</f>
        <v/>
      </c>
      <c r="U13390" s="16" t="s">
        <v>87</v>
      </c>
      <c r="V13390" s="16" t="str">
        <f>IFERROR(__xludf.DUMMYFUNCTION("""COMPUTED_VALUE"""),"")</f>
        <v/>
      </c>
      <c r="W13390" s="16" t="str">
        <f>IFERROR(__xludf.DUMMYFUNCTION("""COMPUTED_VALUE"""),"")</f>
        <v/>
      </c>
      <c r="X13390" s="16" t="str">
        <f>IFERROR(__xludf.DUMMYFUNCTION("""COMPUTED_VALUE"""),"")</f>
        <v/>
      </c>
      <c r="AC13390" s="16" t="str">
        <f>IFERROR(__xludf.DUMMYFUNCTION("""COMPUTED_VALUE"""),"")</f>
        <v/>
      </c>
    </row>
    <row r="13391">
      <c r="A13391" s="16" t="s">
        <v>87</v>
      </c>
      <c r="E13391" s="16" t="str">
        <f>IFERROR(__xludf.DUMMYFUNCTION("""COMPUTED_VALUE"""),"")</f>
        <v/>
      </c>
      <c r="G13391" s="18"/>
      <c r="H13391" s="16" t="s">
        <v>87</v>
      </c>
      <c r="I13391" s="16" t="s">
        <v>87</v>
      </c>
      <c r="J13391" s="19"/>
      <c r="L13391" s="16" t="str">
        <f>IFERROR(__xludf.DUMMYFUNCTION("""COMPUTED_VALUE"""),"")</f>
        <v/>
      </c>
      <c r="M13391" s="16" t="str">
        <f>IFERROR(__xludf.DUMMYFUNCTION("""COMPUTED_VALUE"""),"")</f>
        <v/>
      </c>
      <c r="U13391" s="16" t="s">
        <v>87</v>
      </c>
      <c r="V13391" s="16" t="str">
        <f>IFERROR(__xludf.DUMMYFUNCTION("""COMPUTED_VALUE"""),"")</f>
        <v/>
      </c>
      <c r="W13391" s="16" t="str">
        <f>IFERROR(__xludf.DUMMYFUNCTION("""COMPUTED_VALUE"""),"")</f>
        <v/>
      </c>
      <c r="X13391" s="16" t="str">
        <f>IFERROR(__xludf.DUMMYFUNCTION("""COMPUTED_VALUE"""),"")</f>
        <v/>
      </c>
      <c r="AC13391" s="16" t="str">
        <f>IFERROR(__xludf.DUMMYFUNCTION("""COMPUTED_VALUE"""),"")</f>
        <v/>
      </c>
    </row>
    <row r="13392">
      <c r="A13392" s="16" t="s">
        <v>87</v>
      </c>
      <c r="E13392" s="16" t="str">
        <f>IFERROR(__xludf.DUMMYFUNCTION("""COMPUTED_VALUE"""),"")</f>
        <v/>
      </c>
      <c r="G13392" s="18"/>
      <c r="H13392" s="16" t="s">
        <v>87</v>
      </c>
      <c r="I13392" s="16" t="s">
        <v>87</v>
      </c>
      <c r="J13392" s="19"/>
      <c r="L13392" s="16" t="str">
        <f>IFERROR(__xludf.DUMMYFUNCTION("""COMPUTED_VALUE"""),"")</f>
        <v/>
      </c>
      <c r="M13392" s="16" t="str">
        <f>IFERROR(__xludf.DUMMYFUNCTION("""COMPUTED_VALUE"""),"")</f>
        <v/>
      </c>
      <c r="U13392" s="16" t="s">
        <v>87</v>
      </c>
      <c r="V13392" s="16" t="str">
        <f>IFERROR(__xludf.DUMMYFUNCTION("""COMPUTED_VALUE"""),"")</f>
        <v/>
      </c>
      <c r="W13392" s="16" t="str">
        <f>IFERROR(__xludf.DUMMYFUNCTION("""COMPUTED_VALUE"""),"")</f>
        <v/>
      </c>
      <c r="X13392" s="16" t="str">
        <f>IFERROR(__xludf.DUMMYFUNCTION("""COMPUTED_VALUE"""),"")</f>
        <v/>
      </c>
      <c r="AC13392" s="16" t="str">
        <f>IFERROR(__xludf.DUMMYFUNCTION("""COMPUTED_VALUE"""),"")</f>
        <v/>
      </c>
    </row>
    <row r="13393">
      <c r="A13393" s="16" t="s">
        <v>87</v>
      </c>
      <c r="E13393" s="16" t="str">
        <f>IFERROR(__xludf.DUMMYFUNCTION("""COMPUTED_VALUE"""),"")</f>
        <v/>
      </c>
      <c r="G13393" s="18"/>
      <c r="H13393" s="16" t="s">
        <v>87</v>
      </c>
      <c r="I13393" s="16" t="s">
        <v>87</v>
      </c>
      <c r="J13393" s="19"/>
      <c r="L13393" s="16" t="str">
        <f>IFERROR(__xludf.DUMMYFUNCTION("""COMPUTED_VALUE"""),"")</f>
        <v/>
      </c>
      <c r="M13393" s="16" t="str">
        <f>IFERROR(__xludf.DUMMYFUNCTION("""COMPUTED_VALUE"""),"")</f>
        <v/>
      </c>
      <c r="U13393" s="16" t="s">
        <v>87</v>
      </c>
      <c r="V13393" s="16" t="str">
        <f>IFERROR(__xludf.DUMMYFUNCTION("""COMPUTED_VALUE"""),"")</f>
        <v/>
      </c>
      <c r="W13393" s="16" t="str">
        <f>IFERROR(__xludf.DUMMYFUNCTION("""COMPUTED_VALUE"""),"")</f>
        <v/>
      </c>
      <c r="X13393" s="16" t="str">
        <f>IFERROR(__xludf.DUMMYFUNCTION("""COMPUTED_VALUE"""),"")</f>
        <v/>
      </c>
      <c r="AC13393" s="16" t="str">
        <f>IFERROR(__xludf.DUMMYFUNCTION("""COMPUTED_VALUE"""),"")</f>
        <v/>
      </c>
    </row>
    <row r="13394">
      <c r="A13394" s="16" t="s">
        <v>87</v>
      </c>
      <c r="E13394" s="16" t="str">
        <f>IFERROR(__xludf.DUMMYFUNCTION("""COMPUTED_VALUE"""),"")</f>
        <v/>
      </c>
      <c r="G13394" s="18"/>
      <c r="H13394" s="16" t="s">
        <v>87</v>
      </c>
      <c r="I13394" s="16" t="s">
        <v>87</v>
      </c>
      <c r="J13394" s="19"/>
      <c r="L13394" s="16" t="str">
        <f>IFERROR(__xludf.DUMMYFUNCTION("""COMPUTED_VALUE"""),"")</f>
        <v/>
      </c>
      <c r="M13394" s="16" t="str">
        <f>IFERROR(__xludf.DUMMYFUNCTION("""COMPUTED_VALUE"""),"")</f>
        <v/>
      </c>
      <c r="U13394" s="16" t="s">
        <v>87</v>
      </c>
      <c r="V13394" s="16" t="str">
        <f>IFERROR(__xludf.DUMMYFUNCTION("""COMPUTED_VALUE"""),"")</f>
        <v/>
      </c>
      <c r="W13394" s="16" t="str">
        <f>IFERROR(__xludf.DUMMYFUNCTION("""COMPUTED_VALUE"""),"")</f>
        <v/>
      </c>
      <c r="X13394" s="16" t="str">
        <f>IFERROR(__xludf.DUMMYFUNCTION("""COMPUTED_VALUE"""),"")</f>
        <v/>
      </c>
      <c r="AC13394" s="16" t="str">
        <f>IFERROR(__xludf.DUMMYFUNCTION("""COMPUTED_VALUE"""),"")</f>
        <v/>
      </c>
    </row>
    <row r="13395">
      <c r="A13395" s="16" t="s">
        <v>87</v>
      </c>
      <c r="E13395" s="16" t="str">
        <f>IFERROR(__xludf.DUMMYFUNCTION("""COMPUTED_VALUE"""),"")</f>
        <v/>
      </c>
      <c r="G13395" s="18"/>
      <c r="H13395" s="16" t="s">
        <v>87</v>
      </c>
      <c r="I13395" s="16" t="s">
        <v>87</v>
      </c>
      <c r="J13395" s="19"/>
      <c r="L13395" s="16" t="str">
        <f>IFERROR(__xludf.DUMMYFUNCTION("""COMPUTED_VALUE"""),"")</f>
        <v/>
      </c>
      <c r="M13395" s="16" t="str">
        <f>IFERROR(__xludf.DUMMYFUNCTION("""COMPUTED_VALUE"""),"")</f>
        <v/>
      </c>
      <c r="U13395" s="16" t="s">
        <v>87</v>
      </c>
      <c r="V13395" s="16" t="str">
        <f>IFERROR(__xludf.DUMMYFUNCTION("""COMPUTED_VALUE"""),"")</f>
        <v/>
      </c>
      <c r="W13395" s="16" t="str">
        <f>IFERROR(__xludf.DUMMYFUNCTION("""COMPUTED_VALUE"""),"")</f>
        <v/>
      </c>
      <c r="X13395" s="16" t="str">
        <f>IFERROR(__xludf.DUMMYFUNCTION("""COMPUTED_VALUE"""),"")</f>
        <v/>
      </c>
      <c r="AC13395" s="16" t="str">
        <f>IFERROR(__xludf.DUMMYFUNCTION("""COMPUTED_VALUE"""),"")</f>
        <v/>
      </c>
    </row>
    <row r="13396">
      <c r="A13396" s="16" t="s">
        <v>87</v>
      </c>
      <c r="E13396" s="16" t="str">
        <f>IFERROR(__xludf.DUMMYFUNCTION("""COMPUTED_VALUE"""),"")</f>
        <v/>
      </c>
      <c r="G13396" s="18"/>
      <c r="H13396" s="16" t="s">
        <v>87</v>
      </c>
      <c r="I13396" s="16" t="s">
        <v>87</v>
      </c>
      <c r="J13396" s="19"/>
      <c r="L13396" s="16" t="str">
        <f>IFERROR(__xludf.DUMMYFUNCTION("""COMPUTED_VALUE"""),"")</f>
        <v/>
      </c>
      <c r="M13396" s="16" t="str">
        <f>IFERROR(__xludf.DUMMYFUNCTION("""COMPUTED_VALUE"""),"")</f>
        <v/>
      </c>
      <c r="U13396" s="16" t="s">
        <v>87</v>
      </c>
      <c r="V13396" s="16" t="str">
        <f>IFERROR(__xludf.DUMMYFUNCTION("""COMPUTED_VALUE"""),"")</f>
        <v/>
      </c>
      <c r="W13396" s="16" t="str">
        <f>IFERROR(__xludf.DUMMYFUNCTION("""COMPUTED_VALUE"""),"")</f>
        <v/>
      </c>
      <c r="X13396" s="16" t="str">
        <f>IFERROR(__xludf.DUMMYFUNCTION("""COMPUTED_VALUE"""),"")</f>
        <v/>
      </c>
      <c r="AC13396" s="16" t="str">
        <f>IFERROR(__xludf.DUMMYFUNCTION("""COMPUTED_VALUE"""),"")</f>
        <v/>
      </c>
    </row>
    <row r="13397">
      <c r="A13397" s="16" t="s">
        <v>87</v>
      </c>
      <c r="E13397" s="16" t="str">
        <f>IFERROR(__xludf.DUMMYFUNCTION("""COMPUTED_VALUE"""),"")</f>
        <v/>
      </c>
      <c r="G13397" s="18"/>
      <c r="H13397" s="16" t="s">
        <v>87</v>
      </c>
      <c r="I13397" s="16" t="s">
        <v>87</v>
      </c>
      <c r="J13397" s="19"/>
      <c r="L13397" s="16" t="str">
        <f>IFERROR(__xludf.DUMMYFUNCTION("""COMPUTED_VALUE"""),"")</f>
        <v/>
      </c>
      <c r="M13397" s="16" t="str">
        <f>IFERROR(__xludf.DUMMYFUNCTION("""COMPUTED_VALUE"""),"")</f>
        <v/>
      </c>
      <c r="U13397" s="16" t="s">
        <v>87</v>
      </c>
      <c r="V13397" s="16" t="str">
        <f>IFERROR(__xludf.DUMMYFUNCTION("""COMPUTED_VALUE"""),"")</f>
        <v/>
      </c>
      <c r="W13397" s="16" t="str">
        <f>IFERROR(__xludf.DUMMYFUNCTION("""COMPUTED_VALUE"""),"")</f>
        <v/>
      </c>
      <c r="X13397" s="16" t="str">
        <f>IFERROR(__xludf.DUMMYFUNCTION("""COMPUTED_VALUE"""),"")</f>
        <v/>
      </c>
      <c r="AC13397" s="16" t="str">
        <f>IFERROR(__xludf.DUMMYFUNCTION("""COMPUTED_VALUE"""),"")</f>
        <v/>
      </c>
    </row>
    <row r="13398">
      <c r="A13398" s="16" t="s">
        <v>87</v>
      </c>
      <c r="E13398" s="16" t="str">
        <f>IFERROR(__xludf.DUMMYFUNCTION("""COMPUTED_VALUE"""),"")</f>
        <v/>
      </c>
      <c r="G13398" s="18"/>
      <c r="H13398" s="16" t="s">
        <v>87</v>
      </c>
      <c r="I13398" s="16" t="s">
        <v>87</v>
      </c>
      <c r="J13398" s="19"/>
      <c r="L13398" s="16" t="str">
        <f>IFERROR(__xludf.DUMMYFUNCTION("""COMPUTED_VALUE"""),"")</f>
        <v/>
      </c>
      <c r="M13398" s="16" t="str">
        <f>IFERROR(__xludf.DUMMYFUNCTION("""COMPUTED_VALUE"""),"")</f>
        <v/>
      </c>
      <c r="U13398" s="16" t="s">
        <v>87</v>
      </c>
      <c r="V13398" s="16" t="str">
        <f>IFERROR(__xludf.DUMMYFUNCTION("""COMPUTED_VALUE"""),"")</f>
        <v/>
      </c>
      <c r="W13398" s="16" t="str">
        <f>IFERROR(__xludf.DUMMYFUNCTION("""COMPUTED_VALUE"""),"")</f>
        <v/>
      </c>
      <c r="X13398" s="16" t="str">
        <f>IFERROR(__xludf.DUMMYFUNCTION("""COMPUTED_VALUE"""),"")</f>
        <v/>
      </c>
      <c r="AC13398" s="16" t="str">
        <f>IFERROR(__xludf.DUMMYFUNCTION("""COMPUTED_VALUE"""),"")</f>
        <v/>
      </c>
    </row>
    <row r="13399">
      <c r="A13399" s="16" t="s">
        <v>87</v>
      </c>
      <c r="E13399" s="16" t="str">
        <f>IFERROR(__xludf.DUMMYFUNCTION("""COMPUTED_VALUE"""),"")</f>
        <v/>
      </c>
      <c r="G13399" s="18"/>
      <c r="H13399" s="16" t="s">
        <v>87</v>
      </c>
      <c r="I13399" s="16" t="s">
        <v>87</v>
      </c>
      <c r="J13399" s="19"/>
      <c r="L13399" s="16" t="str">
        <f>IFERROR(__xludf.DUMMYFUNCTION("""COMPUTED_VALUE"""),"")</f>
        <v/>
      </c>
      <c r="M13399" s="16" t="str">
        <f>IFERROR(__xludf.DUMMYFUNCTION("""COMPUTED_VALUE"""),"")</f>
        <v/>
      </c>
      <c r="U13399" s="16" t="s">
        <v>87</v>
      </c>
      <c r="V13399" s="16" t="str">
        <f>IFERROR(__xludf.DUMMYFUNCTION("""COMPUTED_VALUE"""),"")</f>
        <v/>
      </c>
      <c r="W13399" s="16" t="str">
        <f>IFERROR(__xludf.DUMMYFUNCTION("""COMPUTED_VALUE"""),"")</f>
        <v/>
      </c>
      <c r="X13399" s="16" t="str">
        <f>IFERROR(__xludf.DUMMYFUNCTION("""COMPUTED_VALUE"""),"")</f>
        <v/>
      </c>
      <c r="AC13399" s="16" t="str">
        <f>IFERROR(__xludf.DUMMYFUNCTION("""COMPUTED_VALUE"""),"")</f>
        <v/>
      </c>
    </row>
    <row r="13400">
      <c r="A13400" s="16" t="s">
        <v>87</v>
      </c>
      <c r="E13400" s="16" t="str">
        <f>IFERROR(__xludf.DUMMYFUNCTION("""COMPUTED_VALUE"""),"")</f>
        <v/>
      </c>
      <c r="G13400" s="18"/>
      <c r="H13400" s="16" t="s">
        <v>87</v>
      </c>
      <c r="I13400" s="16" t="s">
        <v>87</v>
      </c>
      <c r="J13400" s="19"/>
      <c r="L13400" s="16" t="str">
        <f>IFERROR(__xludf.DUMMYFUNCTION("""COMPUTED_VALUE"""),"")</f>
        <v/>
      </c>
      <c r="M13400" s="16" t="str">
        <f>IFERROR(__xludf.DUMMYFUNCTION("""COMPUTED_VALUE"""),"")</f>
        <v/>
      </c>
      <c r="U13400" s="16" t="s">
        <v>87</v>
      </c>
      <c r="V13400" s="16" t="str">
        <f>IFERROR(__xludf.DUMMYFUNCTION("""COMPUTED_VALUE"""),"")</f>
        <v/>
      </c>
      <c r="W13400" s="16" t="str">
        <f>IFERROR(__xludf.DUMMYFUNCTION("""COMPUTED_VALUE"""),"")</f>
        <v/>
      </c>
      <c r="X13400" s="16" t="str">
        <f>IFERROR(__xludf.DUMMYFUNCTION("""COMPUTED_VALUE"""),"")</f>
        <v/>
      </c>
      <c r="AC13400" s="16" t="str">
        <f>IFERROR(__xludf.DUMMYFUNCTION("""COMPUTED_VALUE"""),"")</f>
        <v/>
      </c>
    </row>
    <row r="13401">
      <c r="A13401" s="16" t="s">
        <v>87</v>
      </c>
      <c r="E13401" s="16" t="str">
        <f>IFERROR(__xludf.DUMMYFUNCTION("""COMPUTED_VALUE"""),"")</f>
        <v/>
      </c>
      <c r="G13401" s="18"/>
      <c r="H13401" s="16" t="s">
        <v>87</v>
      </c>
      <c r="I13401" s="16" t="s">
        <v>87</v>
      </c>
      <c r="J13401" s="19"/>
      <c r="L13401" s="16" t="str">
        <f>IFERROR(__xludf.DUMMYFUNCTION("""COMPUTED_VALUE"""),"")</f>
        <v/>
      </c>
      <c r="M13401" s="16" t="str">
        <f>IFERROR(__xludf.DUMMYFUNCTION("""COMPUTED_VALUE"""),"")</f>
        <v/>
      </c>
      <c r="U13401" s="16" t="s">
        <v>87</v>
      </c>
      <c r="V13401" s="16" t="str">
        <f>IFERROR(__xludf.DUMMYFUNCTION("""COMPUTED_VALUE"""),"")</f>
        <v/>
      </c>
      <c r="W13401" s="16" t="str">
        <f>IFERROR(__xludf.DUMMYFUNCTION("""COMPUTED_VALUE"""),"")</f>
        <v/>
      </c>
      <c r="X13401" s="16" t="str">
        <f>IFERROR(__xludf.DUMMYFUNCTION("""COMPUTED_VALUE"""),"")</f>
        <v/>
      </c>
      <c r="AC13401" s="16" t="str">
        <f>IFERROR(__xludf.DUMMYFUNCTION("""COMPUTED_VALUE"""),"")</f>
        <v/>
      </c>
    </row>
    <row r="13402">
      <c r="A13402" s="16" t="s">
        <v>87</v>
      </c>
      <c r="E13402" s="16" t="str">
        <f>IFERROR(__xludf.DUMMYFUNCTION("""COMPUTED_VALUE"""),"")</f>
        <v/>
      </c>
      <c r="G13402" s="18"/>
      <c r="H13402" s="16" t="s">
        <v>87</v>
      </c>
      <c r="I13402" s="16" t="s">
        <v>87</v>
      </c>
      <c r="J13402" s="19"/>
      <c r="L13402" s="16" t="str">
        <f>IFERROR(__xludf.DUMMYFUNCTION("""COMPUTED_VALUE"""),"")</f>
        <v/>
      </c>
      <c r="M13402" s="16" t="str">
        <f>IFERROR(__xludf.DUMMYFUNCTION("""COMPUTED_VALUE"""),"")</f>
        <v/>
      </c>
      <c r="U13402" s="16" t="s">
        <v>87</v>
      </c>
      <c r="V13402" s="16" t="str">
        <f>IFERROR(__xludf.DUMMYFUNCTION("""COMPUTED_VALUE"""),"")</f>
        <v/>
      </c>
      <c r="W13402" s="16" t="str">
        <f>IFERROR(__xludf.DUMMYFUNCTION("""COMPUTED_VALUE"""),"")</f>
        <v/>
      </c>
      <c r="X13402" s="16" t="str">
        <f>IFERROR(__xludf.DUMMYFUNCTION("""COMPUTED_VALUE"""),"")</f>
        <v/>
      </c>
      <c r="AC13402" s="16" t="str">
        <f>IFERROR(__xludf.DUMMYFUNCTION("""COMPUTED_VALUE"""),"")</f>
        <v/>
      </c>
    </row>
    <row r="13403">
      <c r="A13403" s="16" t="s">
        <v>87</v>
      </c>
      <c r="E13403" s="16" t="str">
        <f>IFERROR(__xludf.DUMMYFUNCTION("""COMPUTED_VALUE"""),"")</f>
        <v/>
      </c>
      <c r="G13403" s="18"/>
      <c r="H13403" s="16" t="s">
        <v>87</v>
      </c>
      <c r="I13403" s="16" t="s">
        <v>87</v>
      </c>
      <c r="J13403" s="19"/>
      <c r="L13403" s="16" t="str">
        <f>IFERROR(__xludf.DUMMYFUNCTION("""COMPUTED_VALUE"""),"")</f>
        <v/>
      </c>
      <c r="M13403" s="16" t="str">
        <f>IFERROR(__xludf.DUMMYFUNCTION("""COMPUTED_VALUE"""),"")</f>
        <v/>
      </c>
      <c r="U13403" s="16" t="s">
        <v>87</v>
      </c>
      <c r="V13403" s="16" t="str">
        <f>IFERROR(__xludf.DUMMYFUNCTION("""COMPUTED_VALUE"""),"")</f>
        <v/>
      </c>
      <c r="W13403" s="16" t="str">
        <f>IFERROR(__xludf.DUMMYFUNCTION("""COMPUTED_VALUE"""),"")</f>
        <v/>
      </c>
      <c r="X13403" s="16" t="str">
        <f>IFERROR(__xludf.DUMMYFUNCTION("""COMPUTED_VALUE"""),"")</f>
        <v/>
      </c>
      <c r="AC13403" s="16" t="str">
        <f>IFERROR(__xludf.DUMMYFUNCTION("""COMPUTED_VALUE"""),"")</f>
        <v/>
      </c>
    </row>
    <row r="13404">
      <c r="A13404" s="16" t="s">
        <v>87</v>
      </c>
      <c r="E13404" s="16" t="str">
        <f>IFERROR(__xludf.DUMMYFUNCTION("""COMPUTED_VALUE"""),"")</f>
        <v/>
      </c>
      <c r="G13404" s="18"/>
      <c r="H13404" s="16" t="s">
        <v>87</v>
      </c>
      <c r="I13404" s="16" t="s">
        <v>87</v>
      </c>
      <c r="J13404" s="19"/>
      <c r="L13404" s="16" t="str">
        <f>IFERROR(__xludf.DUMMYFUNCTION("""COMPUTED_VALUE"""),"")</f>
        <v/>
      </c>
      <c r="M13404" s="16" t="str">
        <f>IFERROR(__xludf.DUMMYFUNCTION("""COMPUTED_VALUE"""),"")</f>
        <v/>
      </c>
      <c r="U13404" s="16" t="s">
        <v>87</v>
      </c>
      <c r="V13404" s="16" t="str">
        <f>IFERROR(__xludf.DUMMYFUNCTION("""COMPUTED_VALUE"""),"")</f>
        <v/>
      </c>
      <c r="W13404" s="16" t="str">
        <f>IFERROR(__xludf.DUMMYFUNCTION("""COMPUTED_VALUE"""),"")</f>
        <v/>
      </c>
      <c r="X13404" s="16" t="str">
        <f>IFERROR(__xludf.DUMMYFUNCTION("""COMPUTED_VALUE"""),"")</f>
        <v/>
      </c>
      <c r="AC13404" s="16" t="str">
        <f>IFERROR(__xludf.DUMMYFUNCTION("""COMPUTED_VALUE"""),"")</f>
        <v/>
      </c>
    </row>
    <row r="13405">
      <c r="A13405" s="16" t="s">
        <v>87</v>
      </c>
      <c r="E13405" s="16" t="str">
        <f>IFERROR(__xludf.DUMMYFUNCTION("""COMPUTED_VALUE"""),"")</f>
        <v/>
      </c>
      <c r="G13405" s="18"/>
      <c r="H13405" s="16" t="s">
        <v>87</v>
      </c>
      <c r="I13405" s="16" t="s">
        <v>87</v>
      </c>
      <c r="J13405" s="19"/>
      <c r="L13405" s="16" t="str">
        <f>IFERROR(__xludf.DUMMYFUNCTION("""COMPUTED_VALUE"""),"")</f>
        <v/>
      </c>
      <c r="M13405" s="16" t="str">
        <f>IFERROR(__xludf.DUMMYFUNCTION("""COMPUTED_VALUE"""),"")</f>
        <v/>
      </c>
      <c r="U13405" s="16" t="s">
        <v>87</v>
      </c>
      <c r="V13405" s="16" t="str">
        <f>IFERROR(__xludf.DUMMYFUNCTION("""COMPUTED_VALUE"""),"")</f>
        <v/>
      </c>
      <c r="W13405" s="16" t="str">
        <f>IFERROR(__xludf.DUMMYFUNCTION("""COMPUTED_VALUE"""),"")</f>
        <v/>
      </c>
      <c r="X13405" s="16" t="str">
        <f>IFERROR(__xludf.DUMMYFUNCTION("""COMPUTED_VALUE"""),"")</f>
        <v/>
      </c>
      <c r="AC13405" s="16" t="str">
        <f>IFERROR(__xludf.DUMMYFUNCTION("""COMPUTED_VALUE"""),"")</f>
        <v/>
      </c>
    </row>
    <row r="13406">
      <c r="A13406" s="16" t="s">
        <v>87</v>
      </c>
      <c r="E13406" s="16" t="str">
        <f>IFERROR(__xludf.DUMMYFUNCTION("""COMPUTED_VALUE"""),"")</f>
        <v/>
      </c>
      <c r="G13406" s="18"/>
      <c r="H13406" s="16" t="s">
        <v>87</v>
      </c>
      <c r="I13406" s="16" t="s">
        <v>87</v>
      </c>
      <c r="J13406" s="19"/>
      <c r="L13406" s="16" t="str">
        <f>IFERROR(__xludf.DUMMYFUNCTION("""COMPUTED_VALUE"""),"")</f>
        <v/>
      </c>
      <c r="M13406" s="16" t="str">
        <f>IFERROR(__xludf.DUMMYFUNCTION("""COMPUTED_VALUE"""),"")</f>
        <v/>
      </c>
      <c r="U13406" s="16" t="s">
        <v>87</v>
      </c>
      <c r="V13406" s="16" t="str">
        <f>IFERROR(__xludf.DUMMYFUNCTION("""COMPUTED_VALUE"""),"")</f>
        <v/>
      </c>
      <c r="W13406" s="16" t="str">
        <f>IFERROR(__xludf.DUMMYFUNCTION("""COMPUTED_VALUE"""),"")</f>
        <v/>
      </c>
      <c r="X13406" s="16" t="str">
        <f>IFERROR(__xludf.DUMMYFUNCTION("""COMPUTED_VALUE"""),"")</f>
        <v/>
      </c>
      <c r="AC13406" s="16" t="str">
        <f>IFERROR(__xludf.DUMMYFUNCTION("""COMPUTED_VALUE"""),"")</f>
        <v/>
      </c>
    </row>
    <row r="13407">
      <c r="A13407" s="16" t="s">
        <v>87</v>
      </c>
      <c r="E13407" s="16" t="str">
        <f>IFERROR(__xludf.DUMMYFUNCTION("""COMPUTED_VALUE"""),"")</f>
        <v/>
      </c>
      <c r="G13407" s="18"/>
      <c r="H13407" s="16" t="s">
        <v>87</v>
      </c>
      <c r="I13407" s="16" t="s">
        <v>87</v>
      </c>
      <c r="J13407" s="19"/>
      <c r="L13407" s="16" t="str">
        <f>IFERROR(__xludf.DUMMYFUNCTION("""COMPUTED_VALUE"""),"")</f>
        <v/>
      </c>
      <c r="M13407" s="16" t="str">
        <f>IFERROR(__xludf.DUMMYFUNCTION("""COMPUTED_VALUE"""),"")</f>
        <v/>
      </c>
      <c r="U13407" s="16" t="s">
        <v>87</v>
      </c>
      <c r="V13407" s="16" t="str">
        <f>IFERROR(__xludf.DUMMYFUNCTION("""COMPUTED_VALUE"""),"")</f>
        <v/>
      </c>
      <c r="W13407" s="16" t="str">
        <f>IFERROR(__xludf.DUMMYFUNCTION("""COMPUTED_VALUE"""),"")</f>
        <v/>
      </c>
      <c r="X13407" s="16" t="str">
        <f>IFERROR(__xludf.DUMMYFUNCTION("""COMPUTED_VALUE"""),"")</f>
        <v/>
      </c>
      <c r="AC13407" s="16" t="str">
        <f>IFERROR(__xludf.DUMMYFUNCTION("""COMPUTED_VALUE"""),"")</f>
        <v/>
      </c>
    </row>
    <row r="13408">
      <c r="A13408" s="16" t="s">
        <v>87</v>
      </c>
      <c r="E13408" s="16" t="str">
        <f>IFERROR(__xludf.DUMMYFUNCTION("""COMPUTED_VALUE"""),"")</f>
        <v/>
      </c>
      <c r="G13408" s="18"/>
      <c r="H13408" s="16" t="s">
        <v>87</v>
      </c>
      <c r="I13408" s="16" t="s">
        <v>87</v>
      </c>
      <c r="J13408" s="19"/>
      <c r="L13408" s="16" t="str">
        <f>IFERROR(__xludf.DUMMYFUNCTION("""COMPUTED_VALUE"""),"")</f>
        <v/>
      </c>
      <c r="M13408" s="16" t="str">
        <f>IFERROR(__xludf.DUMMYFUNCTION("""COMPUTED_VALUE"""),"")</f>
        <v/>
      </c>
      <c r="U13408" s="16" t="s">
        <v>87</v>
      </c>
      <c r="V13408" s="16" t="str">
        <f>IFERROR(__xludf.DUMMYFUNCTION("""COMPUTED_VALUE"""),"")</f>
        <v/>
      </c>
      <c r="W13408" s="16" t="str">
        <f>IFERROR(__xludf.DUMMYFUNCTION("""COMPUTED_VALUE"""),"")</f>
        <v/>
      </c>
      <c r="X13408" s="16" t="str">
        <f>IFERROR(__xludf.DUMMYFUNCTION("""COMPUTED_VALUE"""),"")</f>
        <v/>
      </c>
      <c r="AC13408" s="16" t="str">
        <f>IFERROR(__xludf.DUMMYFUNCTION("""COMPUTED_VALUE"""),"")</f>
        <v/>
      </c>
    </row>
    <row r="13409">
      <c r="A13409" s="16" t="s">
        <v>87</v>
      </c>
      <c r="E13409" s="16" t="str">
        <f>IFERROR(__xludf.DUMMYFUNCTION("""COMPUTED_VALUE"""),"")</f>
        <v/>
      </c>
      <c r="G13409" s="18"/>
      <c r="H13409" s="16" t="s">
        <v>87</v>
      </c>
      <c r="I13409" s="16" t="s">
        <v>87</v>
      </c>
      <c r="J13409" s="19"/>
      <c r="L13409" s="16" t="str">
        <f>IFERROR(__xludf.DUMMYFUNCTION("""COMPUTED_VALUE"""),"")</f>
        <v/>
      </c>
      <c r="M13409" s="16" t="str">
        <f>IFERROR(__xludf.DUMMYFUNCTION("""COMPUTED_VALUE"""),"")</f>
        <v/>
      </c>
      <c r="U13409" s="16" t="s">
        <v>87</v>
      </c>
      <c r="V13409" s="16" t="str">
        <f>IFERROR(__xludf.DUMMYFUNCTION("""COMPUTED_VALUE"""),"")</f>
        <v/>
      </c>
      <c r="W13409" s="16" t="str">
        <f>IFERROR(__xludf.DUMMYFUNCTION("""COMPUTED_VALUE"""),"")</f>
        <v/>
      </c>
      <c r="X13409" s="16" t="str">
        <f>IFERROR(__xludf.DUMMYFUNCTION("""COMPUTED_VALUE"""),"")</f>
        <v/>
      </c>
      <c r="AC13409" s="16" t="str">
        <f>IFERROR(__xludf.DUMMYFUNCTION("""COMPUTED_VALUE"""),"")</f>
        <v/>
      </c>
    </row>
    <row r="13410">
      <c r="A13410" s="16" t="s">
        <v>87</v>
      </c>
      <c r="E13410" s="16" t="str">
        <f>IFERROR(__xludf.DUMMYFUNCTION("""COMPUTED_VALUE"""),"")</f>
        <v/>
      </c>
      <c r="G13410" s="18"/>
      <c r="H13410" s="16" t="s">
        <v>87</v>
      </c>
      <c r="I13410" s="16" t="s">
        <v>87</v>
      </c>
      <c r="J13410" s="19"/>
      <c r="L13410" s="16" t="str">
        <f>IFERROR(__xludf.DUMMYFUNCTION("""COMPUTED_VALUE"""),"")</f>
        <v/>
      </c>
      <c r="M13410" s="16" t="str">
        <f>IFERROR(__xludf.DUMMYFUNCTION("""COMPUTED_VALUE"""),"")</f>
        <v/>
      </c>
      <c r="U13410" s="16" t="s">
        <v>87</v>
      </c>
      <c r="V13410" s="16" t="str">
        <f>IFERROR(__xludf.DUMMYFUNCTION("""COMPUTED_VALUE"""),"")</f>
        <v/>
      </c>
      <c r="W13410" s="16" t="str">
        <f>IFERROR(__xludf.DUMMYFUNCTION("""COMPUTED_VALUE"""),"")</f>
        <v/>
      </c>
      <c r="X13410" s="16" t="str">
        <f>IFERROR(__xludf.DUMMYFUNCTION("""COMPUTED_VALUE"""),"")</f>
        <v/>
      </c>
      <c r="AC13410" s="16" t="str">
        <f>IFERROR(__xludf.DUMMYFUNCTION("""COMPUTED_VALUE"""),"")</f>
        <v/>
      </c>
    </row>
    <row r="13411">
      <c r="A13411" s="16" t="s">
        <v>87</v>
      </c>
      <c r="E13411" s="16" t="str">
        <f>IFERROR(__xludf.DUMMYFUNCTION("""COMPUTED_VALUE"""),"")</f>
        <v/>
      </c>
      <c r="G13411" s="18"/>
      <c r="H13411" s="16" t="s">
        <v>87</v>
      </c>
      <c r="I13411" s="16" t="s">
        <v>87</v>
      </c>
      <c r="J13411" s="19"/>
      <c r="L13411" s="16" t="str">
        <f>IFERROR(__xludf.DUMMYFUNCTION("""COMPUTED_VALUE"""),"")</f>
        <v/>
      </c>
      <c r="M13411" s="16" t="str">
        <f>IFERROR(__xludf.DUMMYFUNCTION("""COMPUTED_VALUE"""),"")</f>
        <v/>
      </c>
      <c r="U13411" s="16" t="s">
        <v>87</v>
      </c>
      <c r="V13411" s="16" t="str">
        <f>IFERROR(__xludf.DUMMYFUNCTION("""COMPUTED_VALUE"""),"")</f>
        <v/>
      </c>
      <c r="W13411" s="16" t="str">
        <f>IFERROR(__xludf.DUMMYFUNCTION("""COMPUTED_VALUE"""),"")</f>
        <v/>
      </c>
      <c r="X13411" s="16" t="str">
        <f>IFERROR(__xludf.DUMMYFUNCTION("""COMPUTED_VALUE"""),"")</f>
        <v/>
      </c>
      <c r="AC13411" s="16" t="str">
        <f>IFERROR(__xludf.DUMMYFUNCTION("""COMPUTED_VALUE"""),"")</f>
        <v/>
      </c>
    </row>
    <row r="13412">
      <c r="A13412" s="16" t="s">
        <v>87</v>
      </c>
      <c r="E13412" s="16" t="str">
        <f>IFERROR(__xludf.DUMMYFUNCTION("""COMPUTED_VALUE"""),"")</f>
        <v/>
      </c>
      <c r="G13412" s="18"/>
      <c r="H13412" s="16" t="s">
        <v>87</v>
      </c>
      <c r="I13412" s="16" t="s">
        <v>87</v>
      </c>
      <c r="J13412" s="19"/>
      <c r="L13412" s="16" t="str">
        <f>IFERROR(__xludf.DUMMYFUNCTION("""COMPUTED_VALUE"""),"")</f>
        <v/>
      </c>
      <c r="M13412" s="16" t="str">
        <f>IFERROR(__xludf.DUMMYFUNCTION("""COMPUTED_VALUE"""),"")</f>
        <v/>
      </c>
      <c r="U13412" s="16" t="s">
        <v>87</v>
      </c>
      <c r="V13412" s="16" t="str">
        <f>IFERROR(__xludf.DUMMYFUNCTION("""COMPUTED_VALUE"""),"")</f>
        <v/>
      </c>
      <c r="W13412" s="16" t="str">
        <f>IFERROR(__xludf.DUMMYFUNCTION("""COMPUTED_VALUE"""),"")</f>
        <v/>
      </c>
      <c r="X13412" s="16" t="str">
        <f>IFERROR(__xludf.DUMMYFUNCTION("""COMPUTED_VALUE"""),"")</f>
        <v/>
      </c>
      <c r="AC13412" s="16" t="str">
        <f>IFERROR(__xludf.DUMMYFUNCTION("""COMPUTED_VALUE"""),"")</f>
        <v/>
      </c>
    </row>
    <row r="13413">
      <c r="A13413" s="16" t="s">
        <v>87</v>
      </c>
      <c r="E13413" s="16" t="str">
        <f>IFERROR(__xludf.DUMMYFUNCTION("""COMPUTED_VALUE"""),"")</f>
        <v/>
      </c>
      <c r="G13413" s="18"/>
      <c r="H13413" s="16" t="s">
        <v>87</v>
      </c>
      <c r="I13413" s="16" t="s">
        <v>87</v>
      </c>
      <c r="J13413" s="19"/>
      <c r="L13413" s="16" t="str">
        <f>IFERROR(__xludf.DUMMYFUNCTION("""COMPUTED_VALUE"""),"")</f>
        <v/>
      </c>
      <c r="M13413" s="16" t="str">
        <f>IFERROR(__xludf.DUMMYFUNCTION("""COMPUTED_VALUE"""),"")</f>
        <v/>
      </c>
      <c r="U13413" s="16" t="s">
        <v>87</v>
      </c>
      <c r="V13413" s="16" t="str">
        <f>IFERROR(__xludf.DUMMYFUNCTION("""COMPUTED_VALUE"""),"")</f>
        <v/>
      </c>
      <c r="W13413" s="16" t="str">
        <f>IFERROR(__xludf.DUMMYFUNCTION("""COMPUTED_VALUE"""),"")</f>
        <v/>
      </c>
      <c r="X13413" s="16" t="str">
        <f>IFERROR(__xludf.DUMMYFUNCTION("""COMPUTED_VALUE"""),"")</f>
        <v/>
      </c>
      <c r="AC13413" s="16" t="str">
        <f>IFERROR(__xludf.DUMMYFUNCTION("""COMPUTED_VALUE"""),"")</f>
        <v/>
      </c>
    </row>
    <row r="13414">
      <c r="A13414" s="16" t="s">
        <v>87</v>
      </c>
      <c r="E13414" s="16" t="str">
        <f>IFERROR(__xludf.DUMMYFUNCTION("""COMPUTED_VALUE"""),"")</f>
        <v/>
      </c>
      <c r="G13414" s="18"/>
      <c r="H13414" s="16" t="s">
        <v>87</v>
      </c>
      <c r="I13414" s="16" t="s">
        <v>87</v>
      </c>
      <c r="J13414" s="19"/>
      <c r="L13414" s="16" t="str">
        <f>IFERROR(__xludf.DUMMYFUNCTION("""COMPUTED_VALUE"""),"")</f>
        <v/>
      </c>
      <c r="M13414" s="16" t="str">
        <f>IFERROR(__xludf.DUMMYFUNCTION("""COMPUTED_VALUE"""),"")</f>
        <v/>
      </c>
      <c r="U13414" s="16" t="s">
        <v>87</v>
      </c>
      <c r="V13414" s="16" t="str">
        <f>IFERROR(__xludf.DUMMYFUNCTION("""COMPUTED_VALUE"""),"")</f>
        <v/>
      </c>
      <c r="W13414" s="16" t="str">
        <f>IFERROR(__xludf.DUMMYFUNCTION("""COMPUTED_VALUE"""),"")</f>
        <v/>
      </c>
      <c r="X13414" s="16" t="str">
        <f>IFERROR(__xludf.DUMMYFUNCTION("""COMPUTED_VALUE"""),"")</f>
        <v/>
      </c>
      <c r="AC13414" s="16" t="str">
        <f>IFERROR(__xludf.DUMMYFUNCTION("""COMPUTED_VALUE"""),"")</f>
        <v/>
      </c>
    </row>
    <row r="13415">
      <c r="A13415" s="16" t="s">
        <v>87</v>
      </c>
      <c r="E13415" s="16" t="str">
        <f>IFERROR(__xludf.DUMMYFUNCTION("""COMPUTED_VALUE"""),"")</f>
        <v/>
      </c>
      <c r="G13415" s="18"/>
      <c r="H13415" s="16" t="s">
        <v>87</v>
      </c>
      <c r="I13415" s="16" t="s">
        <v>87</v>
      </c>
      <c r="J13415" s="19"/>
      <c r="L13415" s="16" t="str">
        <f>IFERROR(__xludf.DUMMYFUNCTION("""COMPUTED_VALUE"""),"")</f>
        <v/>
      </c>
      <c r="M13415" s="16" t="str">
        <f>IFERROR(__xludf.DUMMYFUNCTION("""COMPUTED_VALUE"""),"")</f>
        <v/>
      </c>
      <c r="U13415" s="16" t="s">
        <v>87</v>
      </c>
      <c r="V13415" s="16" t="str">
        <f>IFERROR(__xludf.DUMMYFUNCTION("""COMPUTED_VALUE"""),"")</f>
        <v/>
      </c>
      <c r="W13415" s="16" t="str">
        <f>IFERROR(__xludf.DUMMYFUNCTION("""COMPUTED_VALUE"""),"")</f>
        <v/>
      </c>
      <c r="X13415" s="16" t="str">
        <f>IFERROR(__xludf.DUMMYFUNCTION("""COMPUTED_VALUE"""),"")</f>
        <v/>
      </c>
      <c r="AC13415" s="16" t="str">
        <f>IFERROR(__xludf.DUMMYFUNCTION("""COMPUTED_VALUE"""),"")</f>
        <v/>
      </c>
    </row>
    <row r="13416">
      <c r="A13416" s="16" t="s">
        <v>87</v>
      </c>
      <c r="E13416" s="16" t="str">
        <f>IFERROR(__xludf.DUMMYFUNCTION("""COMPUTED_VALUE"""),"")</f>
        <v/>
      </c>
      <c r="G13416" s="18"/>
      <c r="H13416" s="16" t="s">
        <v>87</v>
      </c>
      <c r="I13416" s="16" t="s">
        <v>87</v>
      </c>
      <c r="J13416" s="19"/>
      <c r="L13416" s="16" t="str">
        <f>IFERROR(__xludf.DUMMYFUNCTION("""COMPUTED_VALUE"""),"")</f>
        <v/>
      </c>
      <c r="M13416" s="16" t="str">
        <f>IFERROR(__xludf.DUMMYFUNCTION("""COMPUTED_VALUE"""),"")</f>
        <v/>
      </c>
      <c r="U13416" s="16" t="s">
        <v>87</v>
      </c>
      <c r="V13416" s="16" t="str">
        <f>IFERROR(__xludf.DUMMYFUNCTION("""COMPUTED_VALUE"""),"")</f>
        <v/>
      </c>
      <c r="W13416" s="16" t="str">
        <f>IFERROR(__xludf.DUMMYFUNCTION("""COMPUTED_VALUE"""),"")</f>
        <v/>
      </c>
      <c r="X13416" s="16" t="str">
        <f>IFERROR(__xludf.DUMMYFUNCTION("""COMPUTED_VALUE"""),"")</f>
        <v/>
      </c>
      <c r="AC13416" s="16" t="str">
        <f>IFERROR(__xludf.DUMMYFUNCTION("""COMPUTED_VALUE"""),"")</f>
        <v/>
      </c>
    </row>
    <row r="13417">
      <c r="A13417" s="16" t="s">
        <v>87</v>
      </c>
      <c r="E13417" s="16" t="str">
        <f>IFERROR(__xludf.DUMMYFUNCTION("""COMPUTED_VALUE"""),"")</f>
        <v/>
      </c>
      <c r="G13417" s="18"/>
      <c r="H13417" s="16" t="s">
        <v>87</v>
      </c>
      <c r="I13417" s="16" t="s">
        <v>87</v>
      </c>
      <c r="J13417" s="19"/>
      <c r="L13417" s="16" t="str">
        <f>IFERROR(__xludf.DUMMYFUNCTION("""COMPUTED_VALUE"""),"")</f>
        <v/>
      </c>
      <c r="M13417" s="16" t="str">
        <f>IFERROR(__xludf.DUMMYFUNCTION("""COMPUTED_VALUE"""),"")</f>
        <v/>
      </c>
      <c r="U13417" s="16" t="s">
        <v>87</v>
      </c>
      <c r="V13417" s="16" t="str">
        <f>IFERROR(__xludf.DUMMYFUNCTION("""COMPUTED_VALUE"""),"")</f>
        <v/>
      </c>
      <c r="W13417" s="16" t="str">
        <f>IFERROR(__xludf.DUMMYFUNCTION("""COMPUTED_VALUE"""),"")</f>
        <v/>
      </c>
      <c r="X13417" s="16" t="str">
        <f>IFERROR(__xludf.DUMMYFUNCTION("""COMPUTED_VALUE"""),"")</f>
        <v/>
      </c>
      <c r="AC13417" s="16" t="str">
        <f>IFERROR(__xludf.DUMMYFUNCTION("""COMPUTED_VALUE"""),"")</f>
        <v/>
      </c>
    </row>
    <row r="13418">
      <c r="A13418" s="16" t="s">
        <v>87</v>
      </c>
      <c r="E13418" s="16" t="str">
        <f>IFERROR(__xludf.DUMMYFUNCTION("""COMPUTED_VALUE"""),"")</f>
        <v/>
      </c>
      <c r="G13418" s="18"/>
      <c r="H13418" s="16" t="s">
        <v>87</v>
      </c>
      <c r="I13418" s="16" t="s">
        <v>87</v>
      </c>
      <c r="J13418" s="19"/>
      <c r="L13418" s="16" t="str">
        <f>IFERROR(__xludf.DUMMYFUNCTION("""COMPUTED_VALUE"""),"")</f>
        <v/>
      </c>
      <c r="M13418" s="16" t="str">
        <f>IFERROR(__xludf.DUMMYFUNCTION("""COMPUTED_VALUE"""),"")</f>
        <v/>
      </c>
      <c r="U13418" s="16" t="s">
        <v>87</v>
      </c>
      <c r="V13418" s="16" t="str">
        <f>IFERROR(__xludf.DUMMYFUNCTION("""COMPUTED_VALUE"""),"")</f>
        <v/>
      </c>
      <c r="W13418" s="16" t="str">
        <f>IFERROR(__xludf.DUMMYFUNCTION("""COMPUTED_VALUE"""),"")</f>
        <v/>
      </c>
      <c r="X13418" s="16" t="str">
        <f>IFERROR(__xludf.DUMMYFUNCTION("""COMPUTED_VALUE"""),"")</f>
        <v/>
      </c>
      <c r="AC13418" s="16" t="str">
        <f>IFERROR(__xludf.DUMMYFUNCTION("""COMPUTED_VALUE"""),"")</f>
        <v/>
      </c>
    </row>
    <row r="13419">
      <c r="A13419" s="16" t="s">
        <v>87</v>
      </c>
      <c r="E13419" s="16" t="str">
        <f>IFERROR(__xludf.DUMMYFUNCTION("""COMPUTED_VALUE"""),"")</f>
        <v/>
      </c>
      <c r="G13419" s="18"/>
      <c r="H13419" s="16" t="s">
        <v>87</v>
      </c>
      <c r="I13419" s="16" t="s">
        <v>87</v>
      </c>
      <c r="J13419" s="19"/>
      <c r="L13419" s="16" t="str">
        <f>IFERROR(__xludf.DUMMYFUNCTION("""COMPUTED_VALUE"""),"")</f>
        <v/>
      </c>
      <c r="M13419" s="16" t="str">
        <f>IFERROR(__xludf.DUMMYFUNCTION("""COMPUTED_VALUE"""),"")</f>
        <v/>
      </c>
      <c r="U13419" s="16" t="s">
        <v>87</v>
      </c>
      <c r="V13419" s="16" t="str">
        <f>IFERROR(__xludf.DUMMYFUNCTION("""COMPUTED_VALUE"""),"")</f>
        <v/>
      </c>
      <c r="W13419" s="16" t="str">
        <f>IFERROR(__xludf.DUMMYFUNCTION("""COMPUTED_VALUE"""),"")</f>
        <v/>
      </c>
      <c r="X13419" s="16" t="str">
        <f>IFERROR(__xludf.DUMMYFUNCTION("""COMPUTED_VALUE"""),"")</f>
        <v/>
      </c>
      <c r="AC13419" s="16" t="str">
        <f>IFERROR(__xludf.DUMMYFUNCTION("""COMPUTED_VALUE"""),"")</f>
        <v/>
      </c>
    </row>
    <row r="13420">
      <c r="A13420" s="16" t="s">
        <v>87</v>
      </c>
      <c r="E13420" s="16" t="str">
        <f>IFERROR(__xludf.DUMMYFUNCTION("""COMPUTED_VALUE"""),"")</f>
        <v/>
      </c>
      <c r="G13420" s="18"/>
      <c r="H13420" s="16" t="s">
        <v>87</v>
      </c>
      <c r="I13420" s="16" t="s">
        <v>87</v>
      </c>
      <c r="J13420" s="19"/>
      <c r="L13420" s="16" t="str">
        <f>IFERROR(__xludf.DUMMYFUNCTION("""COMPUTED_VALUE"""),"")</f>
        <v/>
      </c>
      <c r="M13420" s="16" t="str">
        <f>IFERROR(__xludf.DUMMYFUNCTION("""COMPUTED_VALUE"""),"")</f>
        <v/>
      </c>
      <c r="U13420" s="16" t="s">
        <v>87</v>
      </c>
      <c r="V13420" s="16" t="str">
        <f>IFERROR(__xludf.DUMMYFUNCTION("""COMPUTED_VALUE"""),"")</f>
        <v/>
      </c>
      <c r="W13420" s="16" t="str">
        <f>IFERROR(__xludf.DUMMYFUNCTION("""COMPUTED_VALUE"""),"")</f>
        <v/>
      </c>
      <c r="X13420" s="16" t="str">
        <f>IFERROR(__xludf.DUMMYFUNCTION("""COMPUTED_VALUE"""),"")</f>
        <v/>
      </c>
      <c r="AC13420" s="16" t="str">
        <f>IFERROR(__xludf.DUMMYFUNCTION("""COMPUTED_VALUE"""),"")</f>
        <v/>
      </c>
    </row>
    <row r="13421">
      <c r="A13421" s="16" t="s">
        <v>87</v>
      </c>
      <c r="E13421" s="16" t="str">
        <f>IFERROR(__xludf.DUMMYFUNCTION("""COMPUTED_VALUE"""),"")</f>
        <v/>
      </c>
      <c r="G13421" s="18"/>
      <c r="H13421" s="16" t="s">
        <v>87</v>
      </c>
      <c r="I13421" s="16" t="s">
        <v>87</v>
      </c>
      <c r="J13421" s="19"/>
      <c r="L13421" s="16" t="str">
        <f>IFERROR(__xludf.DUMMYFUNCTION("""COMPUTED_VALUE"""),"")</f>
        <v/>
      </c>
      <c r="M13421" s="16" t="str">
        <f>IFERROR(__xludf.DUMMYFUNCTION("""COMPUTED_VALUE"""),"")</f>
        <v/>
      </c>
      <c r="U13421" s="16" t="s">
        <v>87</v>
      </c>
      <c r="V13421" s="16" t="str">
        <f>IFERROR(__xludf.DUMMYFUNCTION("""COMPUTED_VALUE"""),"")</f>
        <v/>
      </c>
      <c r="W13421" s="16" t="str">
        <f>IFERROR(__xludf.DUMMYFUNCTION("""COMPUTED_VALUE"""),"")</f>
        <v/>
      </c>
      <c r="X13421" s="16" t="str">
        <f>IFERROR(__xludf.DUMMYFUNCTION("""COMPUTED_VALUE"""),"")</f>
        <v/>
      </c>
      <c r="AC13421" s="16" t="str">
        <f>IFERROR(__xludf.DUMMYFUNCTION("""COMPUTED_VALUE"""),"")</f>
        <v/>
      </c>
    </row>
    <row r="13422">
      <c r="A13422" s="16" t="s">
        <v>87</v>
      </c>
      <c r="E13422" s="16" t="str">
        <f>IFERROR(__xludf.DUMMYFUNCTION("""COMPUTED_VALUE"""),"")</f>
        <v/>
      </c>
      <c r="G13422" s="18"/>
      <c r="H13422" s="16" t="s">
        <v>87</v>
      </c>
      <c r="I13422" s="16" t="s">
        <v>87</v>
      </c>
      <c r="J13422" s="19"/>
      <c r="L13422" s="16" t="str">
        <f>IFERROR(__xludf.DUMMYFUNCTION("""COMPUTED_VALUE"""),"")</f>
        <v/>
      </c>
      <c r="M13422" s="16" t="str">
        <f>IFERROR(__xludf.DUMMYFUNCTION("""COMPUTED_VALUE"""),"")</f>
        <v/>
      </c>
      <c r="U13422" s="16" t="s">
        <v>87</v>
      </c>
      <c r="V13422" s="16" t="str">
        <f>IFERROR(__xludf.DUMMYFUNCTION("""COMPUTED_VALUE"""),"")</f>
        <v/>
      </c>
      <c r="W13422" s="16" t="str">
        <f>IFERROR(__xludf.DUMMYFUNCTION("""COMPUTED_VALUE"""),"")</f>
        <v/>
      </c>
      <c r="X13422" s="16" t="str">
        <f>IFERROR(__xludf.DUMMYFUNCTION("""COMPUTED_VALUE"""),"")</f>
        <v/>
      </c>
      <c r="AC13422" s="16" t="str">
        <f>IFERROR(__xludf.DUMMYFUNCTION("""COMPUTED_VALUE"""),"")</f>
        <v/>
      </c>
    </row>
    <row r="13423">
      <c r="A13423" s="16" t="s">
        <v>87</v>
      </c>
      <c r="E13423" s="16" t="str">
        <f>IFERROR(__xludf.DUMMYFUNCTION("""COMPUTED_VALUE"""),"")</f>
        <v/>
      </c>
      <c r="G13423" s="18"/>
      <c r="H13423" s="16" t="s">
        <v>87</v>
      </c>
      <c r="I13423" s="16" t="s">
        <v>87</v>
      </c>
      <c r="J13423" s="19"/>
      <c r="L13423" s="16" t="str">
        <f>IFERROR(__xludf.DUMMYFUNCTION("""COMPUTED_VALUE"""),"")</f>
        <v/>
      </c>
      <c r="M13423" s="16" t="str">
        <f>IFERROR(__xludf.DUMMYFUNCTION("""COMPUTED_VALUE"""),"")</f>
        <v/>
      </c>
      <c r="U13423" s="16" t="s">
        <v>87</v>
      </c>
      <c r="V13423" s="16" t="str">
        <f>IFERROR(__xludf.DUMMYFUNCTION("""COMPUTED_VALUE"""),"")</f>
        <v/>
      </c>
      <c r="W13423" s="16" t="str">
        <f>IFERROR(__xludf.DUMMYFUNCTION("""COMPUTED_VALUE"""),"")</f>
        <v/>
      </c>
      <c r="X13423" s="16" t="str">
        <f>IFERROR(__xludf.DUMMYFUNCTION("""COMPUTED_VALUE"""),"")</f>
        <v/>
      </c>
      <c r="AC13423" s="16" t="str">
        <f>IFERROR(__xludf.DUMMYFUNCTION("""COMPUTED_VALUE"""),"")</f>
        <v/>
      </c>
    </row>
    <row r="13424">
      <c r="A13424" s="16" t="s">
        <v>87</v>
      </c>
      <c r="E13424" s="16" t="str">
        <f>IFERROR(__xludf.DUMMYFUNCTION("""COMPUTED_VALUE"""),"")</f>
        <v/>
      </c>
      <c r="G13424" s="18"/>
      <c r="H13424" s="16" t="s">
        <v>87</v>
      </c>
      <c r="I13424" s="16" t="s">
        <v>87</v>
      </c>
      <c r="J13424" s="19"/>
      <c r="L13424" s="16" t="str">
        <f>IFERROR(__xludf.DUMMYFUNCTION("""COMPUTED_VALUE"""),"")</f>
        <v/>
      </c>
      <c r="M13424" s="16" t="str">
        <f>IFERROR(__xludf.DUMMYFUNCTION("""COMPUTED_VALUE"""),"")</f>
        <v/>
      </c>
      <c r="U13424" s="16" t="s">
        <v>87</v>
      </c>
      <c r="V13424" s="16" t="str">
        <f>IFERROR(__xludf.DUMMYFUNCTION("""COMPUTED_VALUE"""),"")</f>
        <v/>
      </c>
      <c r="W13424" s="16" t="str">
        <f>IFERROR(__xludf.DUMMYFUNCTION("""COMPUTED_VALUE"""),"")</f>
        <v/>
      </c>
      <c r="X13424" s="16" t="str">
        <f>IFERROR(__xludf.DUMMYFUNCTION("""COMPUTED_VALUE"""),"")</f>
        <v/>
      </c>
      <c r="AC13424" s="16" t="str">
        <f>IFERROR(__xludf.DUMMYFUNCTION("""COMPUTED_VALUE"""),"")</f>
        <v/>
      </c>
    </row>
    <row r="13425">
      <c r="A13425" s="16" t="s">
        <v>87</v>
      </c>
      <c r="E13425" s="16" t="str">
        <f>IFERROR(__xludf.DUMMYFUNCTION("""COMPUTED_VALUE"""),"")</f>
        <v/>
      </c>
      <c r="G13425" s="18"/>
      <c r="H13425" s="16" t="s">
        <v>87</v>
      </c>
      <c r="I13425" s="16" t="s">
        <v>87</v>
      </c>
      <c r="J13425" s="19"/>
      <c r="L13425" s="16" t="str">
        <f>IFERROR(__xludf.DUMMYFUNCTION("""COMPUTED_VALUE"""),"")</f>
        <v/>
      </c>
      <c r="M13425" s="16" t="str">
        <f>IFERROR(__xludf.DUMMYFUNCTION("""COMPUTED_VALUE"""),"")</f>
        <v/>
      </c>
      <c r="U13425" s="16" t="s">
        <v>87</v>
      </c>
      <c r="V13425" s="16" t="str">
        <f>IFERROR(__xludf.DUMMYFUNCTION("""COMPUTED_VALUE"""),"")</f>
        <v/>
      </c>
      <c r="W13425" s="16" t="str">
        <f>IFERROR(__xludf.DUMMYFUNCTION("""COMPUTED_VALUE"""),"")</f>
        <v/>
      </c>
      <c r="X13425" s="16" t="str">
        <f>IFERROR(__xludf.DUMMYFUNCTION("""COMPUTED_VALUE"""),"")</f>
        <v/>
      </c>
      <c r="AC13425" s="16" t="str">
        <f>IFERROR(__xludf.DUMMYFUNCTION("""COMPUTED_VALUE"""),"")</f>
        <v/>
      </c>
    </row>
    <row r="13426">
      <c r="A13426" s="16" t="s">
        <v>87</v>
      </c>
      <c r="E13426" s="16" t="str">
        <f>IFERROR(__xludf.DUMMYFUNCTION("""COMPUTED_VALUE"""),"")</f>
        <v/>
      </c>
      <c r="G13426" s="18"/>
      <c r="H13426" s="16" t="s">
        <v>87</v>
      </c>
      <c r="I13426" s="16" t="s">
        <v>87</v>
      </c>
      <c r="J13426" s="19"/>
      <c r="L13426" s="16" t="str">
        <f>IFERROR(__xludf.DUMMYFUNCTION("""COMPUTED_VALUE"""),"")</f>
        <v/>
      </c>
      <c r="M13426" s="16" t="str">
        <f>IFERROR(__xludf.DUMMYFUNCTION("""COMPUTED_VALUE"""),"")</f>
        <v/>
      </c>
      <c r="U13426" s="16" t="s">
        <v>87</v>
      </c>
      <c r="V13426" s="16" t="str">
        <f>IFERROR(__xludf.DUMMYFUNCTION("""COMPUTED_VALUE"""),"")</f>
        <v/>
      </c>
      <c r="W13426" s="16" t="str">
        <f>IFERROR(__xludf.DUMMYFUNCTION("""COMPUTED_VALUE"""),"")</f>
        <v/>
      </c>
      <c r="X13426" s="16" t="str">
        <f>IFERROR(__xludf.DUMMYFUNCTION("""COMPUTED_VALUE"""),"")</f>
        <v/>
      </c>
      <c r="AC13426" s="16" t="str">
        <f>IFERROR(__xludf.DUMMYFUNCTION("""COMPUTED_VALUE"""),"")</f>
        <v/>
      </c>
    </row>
    <row r="13427">
      <c r="A13427" s="16" t="s">
        <v>87</v>
      </c>
      <c r="E13427" s="16" t="str">
        <f>IFERROR(__xludf.DUMMYFUNCTION("""COMPUTED_VALUE"""),"")</f>
        <v/>
      </c>
      <c r="G13427" s="18"/>
      <c r="H13427" s="16" t="s">
        <v>87</v>
      </c>
      <c r="I13427" s="16" t="s">
        <v>87</v>
      </c>
      <c r="J13427" s="19"/>
      <c r="L13427" s="16" t="str">
        <f>IFERROR(__xludf.DUMMYFUNCTION("""COMPUTED_VALUE"""),"")</f>
        <v/>
      </c>
      <c r="M13427" s="16" t="str">
        <f>IFERROR(__xludf.DUMMYFUNCTION("""COMPUTED_VALUE"""),"")</f>
        <v/>
      </c>
      <c r="U13427" s="16" t="s">
        <v>87</v>
      </c>
      <c r="V13427" s="16" t="str">
        <f>IFERROR(__xludf.DUMMYFUNCTION("""COMPUTED_VALUE"""),"")</f>
        <v/>
      </c>
      <c r="W13427" s="16" t="str">
        <f>IFERROR(__xludf.DUMMYFUNCTION("""COMPUTED_VALUE"""),"")</f>
        <v/>
      </c>
      <c r="X13427" s="16" t="str">
        <f>IFERROR(__xludf.DUMMYFUNCTION("""COMPUTED_VALUE"""),"")</f>
        <v/>
      </c>
      <c r="AC13427" s="16" t="str">
        <f>IFERROR(__xludf.DUMMYFUNCTION("""COMPUTED_VALUE"""),"")</f>
        <v/>
      </c>
    </row>
    <row r="13428">
      <c r="A13428" s="16" t="s">
        <v>87</v>
      </c>
      <c r="E13428" s="16" t="str">
        <f>IFERROR(__xludf.DUMMYFUNCTION("""COMPUTED_VALUE"""),"")</f>
        <v/>
      </c>
      <c r="G13428" s="18"/>
      <c r="H13428" s="16" t="s">
        <v>87</v>
      </c>
      <c r="I13428" s="16" t="s">
        <v>87</v>
      </c>
      <c r="J13428" s="19"/>
      <c r="L13428" s="16" t="str">
        <f>IFERROR(__xludf.DUMMYFUNCTION("""COMPUTED_VALUE"""),"")</f>
        <v/>
      </c>
      <c r="M13428" s="16" t="str">
        <f>IFERROR(__xludf.DUMMYFUNCTION("""COMPUTED_VALUE"""),"")</f>
        <v/>
      </c>
      <c r="U13428" s="16" t="s">
        <v>87</v>
      </c>
      <c r="V13428" s="16" t="str">
        <f>IFERROR(__xludf.DUMMYFUNCTION("""COMPUTED_VALUE"""),"")</f>
        <v/>
      </c>
      <c r="W13428" s="16" t="str">
        <f>IFERROR(__xludf.DUMMYFUNCTION("""COMPUTED_VALUE"""),"")</f>
        <v/>
      </c>
      <c r="X13428" s="16" t="str">
        <f>IFERROR(__xludf.DUMMYFUNCTION("""COMPUTED_VALUE"""),"")</f>
        <v/>
      </c>
      <c r="AC13428" s="16" t="str">
        <f>IFERROR(__xludf.DUMMYFUNCTION("""COMPUTED_VALUE"""),"")</f>
        <v/>
      </c>
    </row>
    <row r="13429">
      <c r="A13429" s="16" t="s">
        <v>87</v>
      </c>
      <c r="E13429" s="16" t="str">
        <f>IFERROR(__xludf.DUMMYFUNCTION("""COMPUTED_VALUE"""),"")</f>
        <v/>
      </c>
      <c r="G13429" s="18"/>
      <c r="H13429" s="16" t="s">
        <v>87</v>
      </c>
      <c r="I13429" s="16" t="s">
        <v>87</v>
      </c>
      <c r="J13429" s="19"/>
      <c r="L13429" s="16" t="str">
        <f>IFERROR(__xludf.DUMMYFUNCTION("""COMPUTED_VALUE"""),"")</f>
        <v/>
      </c>
      <c r="M13429" s="16" t="str">
        <f>IFERROR(__xludf.DUMMYFUNCTION("""COMPUTED_VALUE"""),"")</f>
        <v/>
      </c>
      <c r="U13429" s="16" t="s">
        <v>87</v>
      </c>
      <c r="V13429" s="16" t="str">
        <f>IFERROR(__xludf.DUMMYFUNCTION("""COMPUTED_VALUE"""),"")</f>
        <v/>
      </c>
      <c r="W13429" s="16" t="str">
        <f>IFERROR(__xludf.DUMMYFUNCTION("""COMPUTED_VALUE"""),"")</f>
        <v/>
      </c>
      <c r="X13429" s="16" t="str">
        <f>IFERROR(__xludf.DUMMYFUNCTION("""COMPUTED_VALUE"""),"")</f>
        <v/>
      </c>
      <c r="AC13429" s="16" t="str">
        <f>IFERROR(__xludf.DUMMYFUNCTION("""COMPUTED_VALUE"""),"")</f>
        <v/>
      </c>
    </row>
    <row r="13430">
      <c r="A13430" s="16" t="s">
        <v>87</v>
      </c>
      <c r="E13430" s="16" t="str">
        <f>IFERROR(__xludf.DUMMYFUNCTION("""COMPUTED_VALUE"""),"")</f>
        <v/>
      </c>
      <c r="G13430" s="18"/>
      <c r="H13430" s="16" t="s">
        <v>87</v>
      </c>
      <c r="I13430" s="16" t="s">
        <v>87</v>
      </c>
      <c r="J13430" s="19"/>
      <c r="L13430" s="16" t="str">
        <f>IFERROR(__xludf.DUMMYFUNCTION("""COMPUTED_VALUE"""),"")</f>
        <v/>
      </c>
      <c r="M13430" s="16" t="str">
        <f>IFERROR(__xludf.DUMMYFUNCTION("""COMPUTED_VALUE"""),"")</f>
        <v/>
      </c>
      <c r="U13430" s="16" t="s">
        <v>87</v>
      </c>
      <c r="V13430" s="16" t="str">
        <f>IFERROR(__xludf.DUMMYFUNCTION("""COMPUTED_VALUE"""),"")</f>
        <v/>
      </c>
      <c r="W13430" s="16" t="str">
        <f>IFERROR(__xludf.DUMMYFUNCTION("""COMPUTED_VALUE"""),"")</f>
        <v/>
      </c>
      <c r="X13430" s="16" t="str">
        <f>IFERROR(__xludf.DUMMYFUNCTION("""COMPUTED_VALUE"""),"")</f>
        <v/>
      </c>
      <c r="AC13430" s="16" t="str">
        <f>IFERROR(__xludf.DUMMYFUNCTION("""COMPUTED_VALUE"""),"")</f>
        <v/>
      </c>
    </row>
    <row r="13431">
      <c r="A13431" s="16" t="s">
        <v>87</v>
      </c>
      <c r="E13431" s="16" t="str">
        <f>IFERROR(__xludf.DUMMYFUNCTION("""COMPUTED_VALUE"""),"")</f>
        <v/>
      </c>
      <c r="G13431" s="18"/>
      <c r="H13431" s="16" t="s">
        <v>87</v>
      </c>
      <c r="I13431" s="16" t="s">
        <v>87</v>
      </c>
      <c r="J13431" s="19"/>
      <c r="L13431" s="16" t="str">
        <f>IFERROR(__xludf.DUMMYFUNCTION("""COMPUTED_VALUE"""),"")</f>
        <v/>
      </c>
      <c r="M13431" s="16" t="str">
        <f>IFERROR(__xludf.DUMMYFUNCTION("""COMPUTED_VALUE"""),"")</f>
        <v/>
      </c>
      <c r="U13431" s="16" t="s">
        <v>87</v>
      </c>
      <c r="V13431" s="16" t="str">
        <f>IFERROR(__xludf.DUMMYFUNCTION("""COMPUTED_VALUE"""),"")</f>
        <v/>
      </c>
      <c r="W13431" s="16" t="str">
        <f>IFERROR(__xludf.DUMMYFUNCTION("""COMPUTED_VALUE"""),"")</f>
        <v/>
      </c>
      <c r="X13431" s="16" t="str">
        <f>IFERROR(__xludf.DUMMYFUNCTION("""COMPUTED_VALUE"""),"")</f>
        <v/>
      </c>
      <c r="AC13431" s="16" t="str">
        <f>IFERROR(__xludf.DUMMYFUNCTION("""COMPUTED_VALUE"""),"")</f>
        <v/>
      </c>
    </row>
    <row r="13432">
      <c r="A13432" s="16" t="s">
        <v>87</v>
      </c>
      <c r="E13432" s="16" t="str">
        <f>IFERROR(__xludf.DUMMYFUNCTION("""COMPUTED_VALUE"""),"")</f>
        <v/>
      </c>
      <c r="G13432" s="18"/>
      <c r="H13432" s="16" t="s">
        <v>87</v>
      </c>
      <c r="I13432" s="16" t="s">
        <v>87</v>
      </c>
      <c r="J13432" s="19"/>
      <c r="L13432" s="16" t="str">
        <f>IFERROR(__xludf.DUMMYFUNCTION("""COMPUTED_VALUE"""),"")</f>
        <v/>
      </c>
      <c r="M13432" s="16" t="str">
        <f>IFERROR(__xludf.DUMMYFUNCTION("""COMPUTED_VALUE"""),"")</f>
        <v/>
      </c>
      <c r="U13432" s="16" t="s">
        <v>87</v>
      </c>
      <c r="V13432" s="16" t="str">
        <f>IFERROR(__xludf.DUMMYFUNCTION("""COMPUTED_VALUE"""),"")</f>
        <v/>
      </c>
      <c r="W13432" s="16" t="str">
        <f>IFERROR(__xludf.DUMMYFUNCTION("""COMPUTED_VALUE"""),"")</f>
        <v/>
      </c>
      <c r="X13432" s="16" t="str">
        <f>IFERROR(__xludf.DUMMYFUNCTION("""COMPUTED_VALUE"""),"")</f>
        <v/>
      </c>
      <c r="AC13432" s="16" t="str">
        <f>IFERROR(__xludf.DUMMYFUNCTION("""COMPUTED_VALUE"""),"")</f>
        <v/>
      </c>
    </row>
    <row r="13433">
      <c r="A13433" s="16" t="s">
        <v>87</v>
      </c>
      <c r="E13433" s="16" t="str">
        <f>IFERROR(__xludf.DUMMYFUNCTION("""COMPUTED_VALUE"""),"")</f>
        <v/>
      </c>
      <c r="G13433" s="18"/>
      <c r="H13433" s="16" t="s">
        <v>87</v>
      </c>
      <c r="I13433" s="16" t="s">
        <v>87</v>
      </c>
      <c r="J13433" s="19"/>
      <c r="L13433" s="16" t="str">
        <f>IFERROR(__xludf.DUMMYFUNCTION("""COMPUTED_VALUE"""),"")</f>
        <v/>
      </c>
      <c r="M13433" s="16" t="str">
        <f>IFERROR(__xludf.DUMMYFUNCTION("""COMPUTED_VALUE"""),"")</f>
        <v/>
      </c>
      <c r="U13433" s="16" t="s">
        <v>87</v>
      </c>
      <c r="V13433" s="16" t="str">
        <f>IFERROR(__xludf.DUMMYFUNCTION("""COMPUTED_VALUE"""),"")</f>
        <v/>
      </c>
      <c r="W13433" s="16" t="str">
        <f>IFERROR(__xludf.DUMMYFUNCTION("""COMPUTED_VALUE"""),"")</f>
        <v/>
      </c>
      <c r="X13433" s="16" t="str">
        <f>IFERROR(__xludf.DUMMYFUNCTION("""COMPUTED_VALUE"""),"")</f>
        <v/>
      </c>
      <c r="AC13433" s="16" t="str">
        <f>IFERROR(__xludf.DUMMYFUNCTION("""COMPUTED_VALUE"""),"")</f>
        <v/>
      </c>
    </row>
    <row r="13434">
      <c r="A13434" s="16" t="s">
        <v>87</v>
      </c>
      <c r="E13434" s="16" t="str">
        <f>IFERROR(__xludf.DUMMYFUNCTION("""COMPUTED_VALUE"""),"")</f>
        <v/>
      </c>
      <c r="G13434" s="18"/>
      <c r="H13434" s="16" t="s">
        <v>87</v>
      </c>
      <c r="I13434" s="16" t="s">
        <v>87</v>
      </c>
      <c r="J13434" s="19"/>
      <c r="L13434" s="16" t="str">
        <f>IFERROR(__xludf.DUMMYFUNCTION("""COMPUTED_VALUE"""),"")</f>
        <v/>
      </c>
      <c r="M13434" s="16" t="str">
        <f>IFERROR(__xludf.DUMMYFUNCTION("""COMPUTED_VALUE"""),"")</f>
        <v/>
      </c>
      <c r="U13434" s="16" t="s">
        <v>87</v>
      </c>
      <c r="V13434" s="16" t="str">
        <f>IFERROR(__xludf.DUMMYFUNCTION("""COMPUTED_VALUE"""),"")</f>
        <v/>
      </c>
      <c r="W13434" s="16" t="str">
        <f>IFERROR(__xludf.DUMMYFUNCTION("""COMPUTED_VALUE"""),"")</f>
        <v/>
      </c>
      <c r="X13434" s="16" t="str">
        <f>IFERROR(__xludf.DUMMYFUNCTION("""COMPUTED_VALUE"""),"")</f>
        <v/>
      </c>
      <c r="AC13434" s="16" t="str">
        <f>IFERROR(__xludf.DUMMYFUNCTION("""COMPUTED_VALUE"""),"")</f>
        <v/>
      </c>
    </row>
    <row r="13435">
      <c r="A13435" s="16" t="s">
        <v>87</v>
      </c>
      <c r="E13435" s="16" t="str">
        <f>IFERROR(__xludf.DUMMYFUNCTION("""COMPUTED_VALUE"""),"")</f>
        <v/>
      </c>
      <c r="G13435" s="18"/>
      <c r="H13435" s="16" t="s">
        <v>87</v>
      </c>
      <c r="I13435" s="16" t="s">
        <v>87</v>
      </c>
      <c r="J13435" s="19"/>
      <c r="L13435" s="16" t="str">
        <f>IFERROR(__xludf.DUMMYFUNCTION("""COMPUTED_VALUE"""),"")</f>
        <v/>
      </c>
      <c r="M13435" s="16" t="str">
        <f>IFERROR(__xludf.DUMMYFUNCTION("""COMPUTED_VALUE"""),"")</f>
        <v/>
      </c>
      <c r="U13435" s="16" t="s">
        <v>87</v>
      </c>
      <c r="V13435" s="16" t="str">
        <f>IFERROR(__xludf.DUMMYFUNCTION("""COMPUTED_VALUE"""),"")</f>
        <v/>
      </c>
      <c r="W13435" s="16" t="str">
        <f>IFERROR(__xludf.DUMMYFUNCTION("""COMPUTED_VALUE"""),"")</f>
        <v/>
      </c>
      <c r="X13435" s="16" t="str">
        <f>IFERROR(__xludf.DUMMYFUNCTION("""COMPUTED_VALUE"""),"")</f>
        <v/>
      </c>
      <c r="AC13435" s="16" t="str">
        <f>IFERROR(__xludf.DUMMYFUNCTION("""COMPUTED_VALUE"""),"")</f>
        <v/>
      </c>
    </row>
    <row r="13436">
      <c r="A13436" s="16" t="s">
        <v>87</v>
      </c>
      <c r="E13436" s="16" t="str">
        <f>IFERROR(__xludf.DUMMYFUNCTION("""COMPUTED_VALUE"""),"")</f>
        <v/>
      </c>
      <c r="G13436" s="18"/>
      <c r="H13436" s="16" t="s">
        <v>87</v>
      </c>
      <c r="I13436" s="16" t="s">
        <v>87</v>
      </c>
      <c r="J13436" s="19"/>
      <c r="L13436" s="16" t="str">
        <f>IFERROR(__xludf.DUMMYFUNCTION("""COMPUTED_VALUE"""),"")</f>
        <v/>
      </c>
      <c r="M13436" s="16" t="str">
        <f>IFERROR(__xludf.DUMMYFUNCTION("""COMPUTED_VALUE"""),"")</f>
        <v/>
      </c>
      <c r="U13436" s="16" t="s">
        <v>87</v>
      </c>
      <c r="V13436" s="16" t="str">
        <f>IFERROR(__xludf.DUMMYFUNCTION("""COMPUTED_VALUE"""),"")</f>
        <v/>
      </c>
      <c r="W13436" s="16" t="str">
        <f>IFERROR(__xludf.DUMMYFUNCTION("""COMPUTED_VALUE"""),"")</f>
        <v/>
      </c>
      <c r="X13436" s="16" t="str">
        <f>IFERROR(__xludf.DUMMYFUNCTION("""COMPUTED_VALUE"""),"")</f>
        <v/>
      </c>
      <c r="AC13436" s="16" t="str">
        <f>IFERROR(__xludf.DUMMYFUNCTION("""COMPUTED_VALUE"""),"")</f>
        <v/>
      </c>
    </row>
    <row r="13437">
      <c r="A13437" s="16" t="s">
        <v>87</v>
      </c>
      <c r="E13437" s="16" t="str">
        <f>IFERROR(__xludf.DUMMYFUNCTION("""COMPUTED_VALUE"""),"")</f>
        <v/>
      </c>
      <c r="G13437" s="18"/>
      <c r="H13437" s="16" t="s">
        <v>87</v>
      </c>
      <c r="I13437" s="16" t="s">
        <v>87</v>
      </c>
      <c r="J13437" s="19"/>
      <c r="L13437" s="16" t="str">
        <f>IFERROR(__xludf.DUMMYFUNCTION("""COMPUTED_VALUE"""),"")</f>
        <v/>
      </c>
      <c r="M13437" s="16" t="str">
        <f>IFERROR(__xludf.DUMMYFUNCTION("""COMPUTED_VALUE"""),"")</f>
        <v/>
      </c>
      <c r="U13437" s="16" t="s">
        <v>87</v>
      </c>
      <c r="V13437" s="16" t="str">
        <f>IFERROR(__xludf.DUMMYFUNCTION("""COMPUTED_VALUE"""),"")</f>
        <v/>
      </c>
      <c r="W13437" s="16" t="str">
        <f>IFERROR(__xludf.DUMMYFUNCTION("""COMPUTED_VALUE"""),"")</f>
        <v/>
      </c>
      <c r="X13437" s="16" t="str">
        <f>IFERROR(__xludf.DUMMYFUNCTION("""COMPUTED_VALUE"""),"")</f>
        <v/>
      </c>
      <c r="AC13437" s="16" t="str">
        <f>IFERROR(__xludf.DUMMYFUNCTION("""COMPUTED_VALUE"""),"")</f>
        <v/>
      </c>
    </row>
    <row r="13438">
      <c r="A13438" s="16" t="s">
        <v>87</v>
      </c>
      <c r="E13438" s="16" t="str">
        <f>IFERROR(__xludf.DUMMYFUNCTION("""COMPUTED_VALUE"""),"")</f>
        <v/>
      </c>
      <c r="G13438" s="18"/>
      <c r="H13438" s="16" t="s">
        <v>87</v>
      </c>
      <c r="I13438" s="16" t="s">
        <v>87</v>
      </c>
      <c r="J13438" s="19"/>
      <c r="L13438" s="16" t="str">
        <f>IFERROR(__xludf.DUMMYFUNCTION("""COMPUTED_VALUE"""),"")</f>
        <v/>
      </c>
      <c r="M13438" s="16" t="str">
        <f>IFERROR(__xludf.DUMMYFUNCTION("""COMPUTED_VALUE"""),"")</f>
        <v/>
      </c>
      <c r="U13438" s="16" t="s">
        <v>87</v>
      </c>
      <c r="V13438" s="16" t="str">
        <f>IFERROR(__xludf.DUMMYFUNCTION("""COMPUTED_VALUE"""),"")</f>
        <v/>
      </c>
      <c r="W13438" s="16" t="str">
        <f>IFERROR(__xludf.DUMMYFUNCTION("""COMPUTED_VALUE"""),"")</f>
        <v/>
      </c>
      <c r="X13438" s="16" t="str">
        <f>IFERROR(__xludf.DUMMYFUNCTION("""COMPUTED_VALUE"""),"")</f>
        <v/>
      </c>
      <c r="AC13438" s="16" t="str">
        <f>IFERROR(__xludf.DUMMYFUNCTION("""COMPUTED_VALUE"""),"")</f>
        <v/>
      </c>
    </row>
    <row r="13439">
      <c r="A13439" s="16" t="s">
        <v>87</v>
      </c>
      <c r="E13439" s="16" t="str">
        <f>IFERROR(__xludf.DUMMYFUNCTION("""COMPUTED_VALUE"""),"")</f>
        <v/>
      </c>
      <c r="G13439" s="18"/>
      <c r="H13439" s="16" t="s">
        <v>87</v>
      </c>
      <c r="I13439" s="16" t="s">
        <v>87</v>
      </c>
      <c r="J13439" s="19"/>
      <c r="L13439" s="16" t="str">
        <f>IFERROR(__xludf.DUMMYFUNCTION("""COMPUTED_VALUE"""),"")</f>
        <v/>
      </c>
      <c r="M13439" s="16" t="str">
        <f>IFERROR(__xludf.DUMMYFUNCTION("""COMPUTED_VALUE"""),"")</f>
        <v/>
      </c>
      <c r="U13439" s="16" t="s">
        <v>87</v>
      </c>
      <c r="V13439" s="16" t="str">
        <f>IFERROR(__xludf.DUMMYFUNCTION("""COMPUTED_VALUE"""),"")</f>
        <v/>
      </c>
      <c r="W13439" s="16" t="str">
        <f>IFERROR(__xludf.DUMMYFUNCTION("""COMPUTED_VALUE"""),"")</f>
        <v/>
      </c>
      <c r="X13439" s="16" t="str">
        <f>IFERROR(__xludf.DUMMYFUNCTION("""COMPUTED_VALUE"""),"")</f>
        <v/>
      </c>
      <c r="AC13439" s="16" t="str">
        <f>IFERROR(__xludf.DUMMYFUNCTION("""COMPUTED_VALUE"""),"")</f>
        <v/>
      </c>
    </row>
    <row r="13440">
      <c r="A13440" s="16" t="s">
        <v>87</v>
      </c>
      <c r="E13440" s="16" t="str">
        <f>IFERROR(__xludf.DUMMYFUNCTION("""COMPUTED_VALUE"""),"")</f>
        <v/>
      </c>
      <c r="G13440" s="18"/>
      <c r="H13440" s="16" t="s">
        <v>87</v>
      </c>
      <c r="I13440" s="16" t="s">
        <v>87</v>
      </c>
      <c r="J13440" s="19"/>
      <c r="L13440" s="16" t="str">
        <f>IFERROR(__xludf.DUMMYFUNCTION("""COMPUTED_VALUE"""),"")</f>
        <v/>
      </c>
      <c r="M13440" s="16" t="str">
        <f>IFERROR(__xludf.DUMMYFUNCTION("""COMPUTED_VALUE"""),"")</f>
        <v/>
      </c>
      <c r="U13440" s="16" t="s">
        <v>87</v>
      </c>
      <c r="V13440" s="16" t="str">
        <f>IFERROR(__xludf.DUMMYFUNCTION("""COMPUTED_VALUE"""),"")</f>
        <v/>
      </c>
      <c r="W13440" s="16" t="str">
        <f>IFERROR(__xludf.DUMMYFUNCTION("""COMPUTED_VALUE"""),"")</f>
        <v/>
      </c>
      <c r="X13440" s="16" t="str">
        <f>IFERROR(__xludf.DUMMYFUNCTION("""COMPUTED_VALUE"""),"")</f>
        <v/>
      </c>
      <c r="AC13440" s="16" t="str">
        <f>IFERROR(__xludf.DUMMYFUNCTION("""COMPUTED_VALUE"""),"")</f>
        <v/>
      </c>
    </row>
    <row r="13441">
      <c r="A13441" s="16" t="s">
        <v>87</v>
      </c>
      <c r="E13441" s="16" t="str">
        <f>IFERROR(__xludf.DUMMYFUNCTION("""COMPUTED_VALUE"""),"")</f>
        <v/>
      </c>
      <c r="G13441" s="18"/>
      <c r="H13441" s="16" t="s">
        <v>87</v>
      </c>
      <c r="I13441" s="16" t="s">
        <v>87</v>
      </c>
      <c r="J13441" s="19"/>
      <c r="L13441" s="16" t="str">
        <f>IFERROR(__xludf.DUMMYFUNCTION("""COMPUTED_VALUE"""),"")</f>
        <v/>
      </c>
      <c r="M13441" s="16" t="str">
        <f>IFERROR(__xludf.DUMMYFUNCTION("""COMPUTED_VALUE"""),"")</f>
        <v/>
      </c>
      <c r="U13441" s="16" t="s">
        <v>87</v>
      </c>
      <c r="V13441" s="16" t="str">
        <f>IFERROR(__xludf.DUMMYFUNCTION("""COMPUTED_VALUE"""),"")</f>
        <v/>
      </c>
      <c r="W13441" s="16" t="str">
        <f>IFERROR(__xludf.DUMMYFUNCTION("""COMPUTED_VALUE"""),"")</f>
        <v/>
      </c>
      <c r="X13441" s="16" t="str">
        <f>IFERROR(__xludf.DUMMYFUNCTION("""COMPUTED_VALUE"""),"")</f>
        <v/>
      </c>
      <c r="AC13441" s="16" t="str">
        <f>IFERROR(__xludf.DUMMYFUNCTION("""COMPUTED_VALUE"""),"")</f>
        <v/>
      </c>
    </row>
    <row r="13442">
      <c r="A13442" s="16" t="s">
        <v>87</v>
      </c>
      <c r="E13442" s="16" t="str">
        <f>IFERROR(__xludf.DUMMYFUNCTION("""COMPUTED_VALUE"""),"")</f>
        <v/>
      </c>
      <c r="G13442" s="18"/>
      <c r="H13442" s="16" t="s">
        <v>87</v>
      </c>
      <c r="I13442" s="16" t="s">
        <v>87</v>
      </c>
      <c r="J13442" s="19"/>
      <c r="L13442" s="16" t="str">
        <f>IFERROR(__xludf.DUMMYFUNCTION("""COMPUTED_VALUE"""),"")</f>
        <v/>
      </c>
      <c r="M13442" s="16" t="str">
        <f>IFERROR(__xludf.DUMMYFUNCTION("""COMPUTED_VALUE"""),"")</f>
        <v/>
      </c>
      <c r="U13442" s="16" t="s">
        <v>87</v>
      </c>
      <c r="V13442" s="16" t="str">
        <f>IFERROR(__xludf.DUMMYFUNCTION("""COMPUTED_VALUE"""),"")</f>
        <v/>
      </c>
      <c r="W13442" s="16" t="str">
        <f>IFERROR(__xludf.DUMMYFUNCTION("""COMPUTED_VALUE"""),"")</f>
        <v/>
      </c>
      <c r="X13442" s="16" t="str">
        <f>IFERROR(__xludf.DUMMYFUNCTION("""COMPUTED_VALUE"""),"")</f>
        <v/>
      </c>
      <c r="AC13442" s="16" t="str">
        <f>IFERROR(__xludf.DUMMYFUNCTION("""COMPUTED_VALUE"""),"")</f>
        <v/>
      </c>
    </row>
    <row r="13443">
      <c r="A13443" s="16" t="s">
        <v>87</v>
      </c>
      <c r="E13443" s="16" t="str">
        <f>IFERROR(__xludf.DUMMYFUNCTION("""COMPUTED_VALUE"""),"")</f>
        <v/>
      </c>
      <c r="G13443" s="18"/>
      <c r="H13443" s="16" t="s">
        <v>87</v>
      </c>
      <c r="I13443" s="16" t="s">
        <v>87</v>
      </c>
      <c r="J13443" s="19"/>
      <c r="L13443" s="16" t="str">
        <f>IFERROR(__xludf.DUMMYFUNCTION("""COMPUTED_VALUE"""),"")</f>
        <v/>
      </c>
      <c r="M13443" s="16" t="str">
        <f>IFERROR(__xludf.DUMMYFUNCTION("""COMPUTED_VALUE"""),"")</f>
        <v/>
      </c>
      <c r="U13443" s="16" t="s">
        <v>87</v>
      </c>
      <c r="V13443" s="16" t="str">
        <f>IFERROR(__xludf.DUMMYFUNCTION("""COMPUTED_VALUE"""),"")</f>
        <v/>
      </c>
      <c r="W13443" s="16" t="str">
        <f>IFERROR(__xludf.DUMMYFUNCTION("""COMPUTED_VALUE"""),"")</f>
        <v/>
      </c>
      <c r="X13443" s="16" t="str">
        <f>IFERROR(__xludf.DUMMYFUNCTION("""COMPUTED_VALUE"""),"")</f>
        <v/>
      </c>
      <c r="AC13443" s="16" t="str">
        <f>IFERROR(__xludf.DUMMYFUNCTION("""COMPUTED_VALUE"""),"")</f>
        <v/>
      </c>
    </row>
    <row r="13444">
      <c r="A13444" s="16" t="s">
        <v>87</v>
      </c>
      <c r="E13444" s="16" t="str">
        <f>IFERROR(__xludf.DUMMYFUNCTION("""COMPUTED_VALUE"""),"")</f>
        <v/>
      </c>
      <c r="G13444" s="18"/>
      <c r="H13444" s="16" t="s">
        <v>87</v>
      </c>
      <c r="I13444" s="16" t="s">
        <v>87</v>
      </c>
      <c r="J13444" s="19"/>
      <c r="L13444" s="16" t="str">
        <f>IFERROR(__xludf.DUMMYFUNCTION("""COMPUTED_VALUE"""),"")</f>
        <v/>
      </c>
      <c r="M13444" s="16" t="str">
        <f>IFERROR(__xludf.DUMMYFUNCTION("""COMPUTED_VALUE"""),"")</f>
        <v/>
      </c>
      <c r="U13444" s="16" t="s">
        <v>87</v>
      </c>
      <c r="V13444" s="16" t="str">
        <f>IFERROR(__xludf.DUMMYFUNCTION("""COMPUTED_VALUE"""),"")</f>
        <v/>
      </c>
      <c r="W13444" s="16" t="str">
        <f>IFERROR(__xludf.DUMMYFUNCTION("""COMPUTED_VALUE"""),"")</f>
        <v/>
      </c>
      <c r="X13444" s="16" t="str">
        <f>IFERROR(__xludf.DUMMYFUNCTION("""COMPUTED_VALUE"""),"")</f>
        <v/>
      </c>
      <c r="AC13444" s="16" t="str">
        <f>IFERROR(__xludf.DUMMYFUNCTION("""COMPUTED_VALUE"""),"")</f>
        <v/>
      </c>
    </row>
    <row r="13445">
      <c r="A13445" s="16" t="s">
        <v>87</v>
      </c>
      <c r="E13445" s="16" t="str">
        <f>IFERROR(__xludf.DUMMYFUNCTION("""COMPUTED_VALUE"""),"")</f>
        <v/>
      </c>
      <c r="G13445" s="18"/>
      <c r="H13445" s="16" t="s">
        <v>87</v>
      </c>
      <c r="I13445" s="16" t="s">
        <v>87</v>
      </c>
      <c r="J13445" s="19"/>
      <c r="L13445" s="16" t="str">
        <f>IFERROR(__xludf.DUMMYFUNCTION("""COMPUTED_VALUE"""),"")</f>
        <v/>
      </c>
      <c r="M13445" s="16" t="str">
        <f>IFERROR(__xludf.DUMMYFUNCTION("""COMPUTED_VALUE"""),"")</f>
        <v/>
      </c>
      <c r="U13445" s="16" t="s">
        <v>87</v>
      </c>
      <c r="V13445" s="16" t="str">
        <f>IFERROR(__xludf.DUMMYFUNCTION("""COMPUTED_VALUE"""),"")</f>
        <v/>
      </c>
      <c r="W13445" s="16" t="str">
        <f>IFERROR(__xludf.DUMMYFUNCTION("""COMPUTED_VALUE"""),"")</f>
        <v/>
      </c>
      <c r="X13445" s="16" t="str">
        <f>IFERROR(__xludf.DUMMYFUNCTION("""COMPUTED_VALUE"""),"")</f>
        <v/>
      </c>
      <c r="AC13445" s="16" t="str">
        <f>IFERROR(__xludf.DUMMYFUNCTION("""COMPUTED_VALUE"""),"")</f>
        <v/>
      </c>
    </row>
    <row r="13446">
      <c r="A13446" s="16" t="s">
        <v>87</v>
      </c>
      <c r="E13446" s="16" t="str">
        <f>IFERROR(__xludf.DUMMYFUNCTION("""COMPUTED_VALUE"""),"")</f>
        <v/>
      </c>
      <c r="G13446" s="18"/>
      <c r="H13446" s="16" t="s">
        <v>87</v>
      </c>
      <c r="I13446" s="16" t="s">
        <v>87</v>
      </c>
      <c r="J13446" s="19"/>
      <c r="L13446" s="16" t="str">
        <f>IFERROR(__xludf.DUMMYFUNCTION("""COMPUTED_VALUE"""),"")</f>
        <v/>
      </c>
      <c r="M13446" s="16" t="str">
        <f>IFERROR(__xludf.DUMMYFUNCTION("""COMPUTED_VALUE"""),"")</f>
        <v/>
      </c>
      <c r="U13446" s="16" t="s">
        <v>87</v>
      </c>
      <c r="V13446" s="16" t="str">
        <f>IFERROR(__xludf.DUMMYFUNCTION("""COMPUTED_VALUE"""),"")</f>
        <v/>
      </c>
      <c r="W13446" s="16" t="str">
        <f>IFERROR(__xludf.DUMMYFUNCTION("""COMPUTED_VALUE"""),"")</f>
        <v/>
      </c>
      <c r="X13446" s="16" t="str">
        <f>IFERROR(__xludf.DUMMYFUNCTION("""COMPUTED_VALUE"""),"")</f>
        <v/>
      </c>
      <c r="AC13446" s="16" t="str">
        <f>IFERROR(__xludf.DUMMYFUNCTION("""COMPUTED_VALUE"""),"")</f>
        <v/>
      </c>
    </row>
    <row r="13447">
      <c r="A13447" s="16" t="s">
        <v>87</v>
      </c>
      <c r="E13447" s="16" t="str">
        <f>IFERROR(__xludf.DUMMYFUNCTION("""COMPUTED_VALUE"""),"")</f>
        <v/>
      </c>
      <c r="G13447" s="18"/>
      <c r="H13447" s="16" t="s">
        <v>87</v>
      </c>
      <c r="I13447" s="16" t="s">
        <v>87</v>
      </c>
      <c r="J13447" s="19"/>
      <c r="L13447" s="16" t="str">
        <f>IFERROR(__xludf.DUMMYFUNCTION("""COMPUTED_VALUE"""),"")</f>
        <v/>
      </c>
      <c r="M13447" s="16" t="str">
        <f>IFERROR(__xludf.DUMMYFUNCTION("""COMPUTED_VALUE"""),"")</f>
        <v/>
      </c>
      <c r="U13447" s="16" t="s">
        <v>87</v>
      </c>
      <c r="V13447" s="16" t="str">
        <f>IFERROR(__xludf.DUMMYFUNCTION("""COMPUTED_VALUE"""),"")</f>
        <v/>
      </c>
      <c r="W13447" s="16" t="str">
        <f>IFERROR(__xludf.DUMMYFUNCTION("""COMPUTED_VALUE"""),"")</f>
        <v/>
      </c>
      <c r="X13447" s="16" t="str">
        <f>IFERROR(__xludf.DUMMYFUNCTION("""COMPUTED_VALUE"""),"")</f>
        <v/>
      </c>
      <c r="AC13447" s="16" t="str">
        <f>IFERROR(__xludf.DUMMYFUNCTION("""COMPUTED_VALUE"""),"")</f>
        <v/>
      </c>
    </row>
    <row r="13448">
      <c r="A13448" s="16" t="s">
        <v>87</v>
      </c>
      <c r="E13448" s="16" t="str">
        <f>IFERROR(__xludf.DUMMYFUNCTION("""COMPUTED_VALUE"""),"")</f>
        <v/>
      </c>
      <c r="G13448" s="18"/>
      <c r="H13448" s="16" t="s">
        <v>87</v>
      </c>
      <c r="I13448" s="16" t="s">
        <v>87</v>
      </c>
      <c r="J13448" s="19"/>
      <c r="L13448" s="16" t="str">
        <f>IFERROR(__xludf.DUMMYFUNCTION("""COMPUTED_VALUE"""),"")</f>
        <v/>
      </c>
      <c r="M13448" s="16" t="str">
        <f>IFERROR(__xludf.DUMMYFUNCTION("""COMPUTED_VALUE"""),"")</f>
        <v/>
      </c>
      <c r="U13448" s="16" t="s">
        <v>87</v>
      </c>
      <c r="V13448" s="16" t="str">
        <f>IFERROR(__xludf.DUMMYFUNCTION("""COMPUTED_VALUE"""),"")</f>
        <v/>
      </c>
      <c r="W13448" s="16" t="str">
        <f>IFERROR(__xludf.DUMMYFUNCTION("""COMPUTED_VALUE"""),"")</f>
        <v/>
      </c>
      <c r="X13448" s="16" t="str">
        <f>IFERROR(__xludf.DUMMYFUNCTION("""COMPUTED_VALUE"""),"")</f>
        <v/>
      </c>
      <c r="AC13448" s="16" t="str">
        <f>IFERROR(__xludf.DUMMYFUNCTION("""COMPUTED_VALUE"""),"")</f>
        <v/>
      </c>
    </row>
    <row r="13449">
      <c r="A13449" s="16" t="s">
        <v>87</v>
      </c>
      <c r="E13449" s="16" t="str">
        <f>IFERROR(__xludf.DUMMYFUNCTION("""COMPUTED_VALUE"""),"")</f>
        <v/>
      </c>
      <c r="G13449" s="18"/>
      <c r="H13449" s="16" t="s">
        <v>87</v>
      </c>
      <c r="I13449" s="16" t="s">
        <v>87</v>
      </c>
      <c r="J13449" s="19"/>
      <c r="L13449" s="16" t="str">
        <f>IFERROR(__xludf.DUMMYFUNCTION("""COMPUTED_VALUE"""),"")</f>
        <v/>
      </c>
      <c r="M13449" s="16" t="str">
        <f>IFERROR(__xludf.DUMMYFUNCTION("""COMPUTED_VALUE"""),"")</f>
        <v/>
      </c>
      <c r="U13449" s="16" t="s">
        <v>87</v>
      </c>
      <c r="V13449" s="16" t="str">
        <f>IFERROR(__xludf.DUMMYFUNCTION("""COMPUTED_VALUE"""),"")</f>
        <v/>
      </c>
      <c r="W13449" s="16" t="str">
        <f>IFERROR(__xludf.DUMMYFUNCTION("""COMPUTED_VALUE"""),"")</f>
        <v/>
      </c>
      <c r="X13449" s="16" t="str">
        <f>IFERROR(__xludf.DUMMYFUNCTION("""COMPUTED_VALUE"""),"")</f>
        <v/>
      </c>
      <c r="AC13449" s="16" t="str">
        <f>IFERROR(__xludf.DUMMYFUNCTION("""COMPUTED_VALUE"""),"")</f>
        <v/>
      </c>
    </row>
    <row r="13450">
      <c r="A13450" s="16" t="s">
        <v>87</v>
      </c>
      <c r="E13450" s="16" t="str">
        <f>IFERROR(__xludf.DUMMYFUNCTION("""COMPUTED_VALUE"""),"")</f>
        <v/>
      </c>
      <c r="G13450" s="18"/>
      <c r="H13450" s="16" t="s">
        <v>87</v>
      </c>
      <c r="I13450" s="16" t="s">
        <v>87</v>
      </c>
      <c r="J13450" s="19"/>
      <c r="L13450" s="16" t="str">
        <f>IFERROR(__xludf.DUMMYFUNCTION("""COMPUTED_VALUE"""),"")</f>
        <v/>
      </c>
      <c r="M13450" s="16" t="str">
        <f>IFERROR(__xludf.DUMMYFUNCTION("""COMPUTED_VALUE"""),"")</f>
        <v/>
      </c>
      <c r="U13450" s="16" t="s">
        <v>87</v>
      </c>
      <c r="V13450" s="16" t="str">
        <f>IFERROR(__xludf.DUMMYFUNCTION("""COMPUTED_VALUE"""),"")</f>
        <v/>
      </c>
      <c r="W13450" s="16" t="str">
        <f>IFERROR(__xludf.DUMMYFUNCTION("""COMPUTED_VALUE"""),"")</f>
        <v/>
      </c>
      <c r="X13450" s="16" t="str">
        <f>IFERROR(__xludf.DUMMYFUNCTION("""COMPUTED_VALUE"""),"")</f>
        <v/>
      </c>
      <c r="AC13450" s="16" t="str">
        <f>IFERROR(__xludf.DUMMYFUNCTION("""COMPUTED_VALUE"""),"")</f>
        <v/>
      </c>
    </row>
    <row r="13451">
      <c r="A13451" s="16" t="s">
        <v>87</v>
      </c>
      <c r="E13451" s="16" t="str">
        <f>IFERROR(__xludf.DUMMYFUNCTION("""COMPUTED_VALUE"""),"")</f>
        <v/>
      </c>
      <c r="G13451" s="18"/>
      <c r="H13451" s="16" t="s">
        <v>87</v>
      </c>
      <c r="I13451" s="16" t="s">
        <v>87</v>
      </c>
      <c r="J13451" s="19"/>
      <c r="L13451" s="16" t="str">
        <f>IFERROR(__xludf.DUMMYFUNCTION("""COMPUTED_VALUE"""),"")</f>
        <v/>
      </c>
      <c r="M13451" s="16" t="str">
        <f>IFERROR(__xludf.DUMMYFUNCTION("""COMPUTED_VALUE"""),"")</f>
        <v/>
      </c>
      <c r="U13451" s="16" t="s">
        <v>87</v>
      </c>
      <c r="V13451" s="16" t="str">
        <f>IFERROR(__xludf.DUMMYFUNCTION("""COMPUTED_VALUE"""),"")</f>
        <v/>
      </c>
      <c r="W13451" s="16" t="str">
        <f>IFERROR(__xludf.DUMMYFUNCTION("""COMPUTED_VALUE"""),"")</f>
        <v/>
      </c>
      <c r="X13451" s="16" t="str">
        <f>IFERROR(__xludf.DUMMYFUNCTION("""COMPUTED_VALUE"""),"")</f>
        <v/>
      </c>
      <c r="AC13451" s="16" t="str">
        <f>IFERROR(__xludf.DUMMYFUNCTION("""COMPUTED_VALUE"""),"")</f>
        <v/>
      </c>
    </row>
    <row r="13452">
      <c r="A13452" s="16" t="s">
        <v>87</v>
      </c>
      <c r="E13452" s="16" t="str">
        <f>IFERROR(__xludf.DUMMYFUNCTION("""COMPUTED_VALUE"""),"")</f>
        <v/>
      </c>
      <c r="G13452" s="18"/>
      <c r="H13452" s="16" t="s">
        <v>87</v>
      </c>
      <c r="I13452" s="16" t="s">
        <v>87</v>
      </c>
      <c r="J13452" s="19"/>
      <c r="L13452" s="16" t="str">
        <f>IFERROR(__xludf.DUMMYFUNCTION("""COMPUTED_VALUE"""),"")</f>
        <v/>
      </c>
      <c r="M13452" s="16" t="str">
        <f>IFERROR(__xludf.DUMMYFUNCTION("""COMPUTED_VALUE"""),"")</f>
        <v/>
      </c>
      <c r="U13452" s="16" t="s">
        <v>87</v>
      </c>
      <c r="V13452" s="16" t="str">
        <f>IFERROR(__xludf.DUMMYFUNCTION("""COMPUTED_VALUE"""),"")</f>
        <v/>
      </c>
      <c r="W13452" s="16" t="str">
        <f>IFERROR(__xludf.DUMMYFUNCTION("""COMPUTED_VALUE"""),"")</f>
        <v/>
      </c>
      <c r="X13452" s="16" t="str">
        <f>IFERROR(__xludf.DUMMYFUNCTION("""COMPUTED_VALUE"""),"")</f>
        <v/>
      </c>
      <c r="AC13452" s="16" t="str">
        <f>IFERROR(__xludf.DUMMYFUNCTION("""COMPUTED_VALUE"""),"")</f>
        <v/>
      </c>
    </row>
    <row r="13453">
      <c r="A13453" s="16" t="s">
        <v>87</v>
      </c>
      <c r="E13453" s="16" t="str">
        <f>IFERROR(__xludf.DUMMYFUNCTION("""COMPUTED_VALUE"""),"")</f>
        <v/>
      </c>
      <c r="G13453" s="18"/>
      <c r="H13453" s="16" t="s">
        <v>87</v>
      </c>
      <c r="I13453" s="16" t="s">
        <v>87</v>
      </c>
      <c r="J13453" s="19"/>
      <c r="L13453" s="16" t="str">
        <f>IFERROR(__xludf.DUMMYFUNCTION("""COMPUTED_VALUE"""),"")</f>
        <v/>
      </c>
      <c r="M13453" s="16" t="str">
        <f>IFERROR(__xludf.DUMMYFUNCTION("""COMPUTED_VALUE"""),"")</f>
        <v/>
      </c>
      <c r="U13453" s="16" t="s">
        <v>87</v>
      </c>
      <c r="V13453" s="16" t="str">
        <f>IFERROR(__xludf.DUMMYFUNCTION("""COMPUTED_VALUE"""),"")</f>
        <v/>
      </c>
      <c r="W13453" s="16" t="str">
        <f>IFERROR(__xludf.DUMMYFUNCTION("""COMPUTED_VALUE"""),"")</f>
        <v/>
      </c>
      <c r="X13453" s="16" t="str">
        <f>IFERROR(__xludf.DUMMYFUNCTION("""COMPUTED_VALUE"""),"")</f>
        <v/>
      </c>
      <c r="AC13453" s="16" t="str">
        <f>IFERROR(__xludf.DUMMYFUNCTION("""COMPUTED_VALUE"""),"")</f>
        <v/>
      </c>
    </row>
    <row r="13454">
      <c r="A13454" s="16" t="s">
        <v>87</v>
      </c>
      <c r="E13454" s="16" t="str">
        <f>IFERROR(__xludf.DUMMYFUNCTION("""COMPUTED_VALUE"""),"")</f>
        <v/>
      </c>
      <c r="G13454" s="18"/>
      <c r="H13454" s="16" t="s">
        <v>87</v>
      </c>
      <c r="I13454" s="16" t="s">
        <v>87</v>
      </c>
      <c r="J13454" s="19"/>
      <c r="L13454" s="16" t="str">
        <f>IFERROR(__xludf.DUMMYFUNCTION("""COMPUTED_VALUE"""),"")</f>
        <v/>
      </c>
      <c r="M13454" s="16" t="str">
        <f>IFERROR(__xludf.DUMMYFUNCTION("""COMPUTED_VALUE"""),"")</f>
        <v/>
      </c>
      <c r="U13454" s="16" t="s">
        <v>87</v>
      </c>
      <c r="V13454" s="16" t="str">
        <f>IFERROR(__xludf.DUMMYFUNCTION("""COMPUTED_VALUE"""),"")</f>
        <v/>
      </c>
      <c r="W13454" s="16" t="str">
        <f>IFERROR(__xludf.DUMMYFUNCTION("""COMPUTED_VALUE"""),"")</f>
        <v/>
      </c>
      <c r="X13454" s="16" t="str">
        <f>IFERROR(__xludf.DUMMYFUNCTION("""COMPUTED_VALUE"""),"")</f>
        <v/>
      </c>
      <c r="AC13454" s="16" t="str">
        <f>IFERROR(__xludf.DUMMYFUNCTION("""COMPUTED_VALUE"""),"")</f>
        <v/>
      </c>
    </row>
    <row r="13455">
      <c r="A13455" s="16" t="s">
        <v>87</v>
      </c>
      <c r="E13455" s="16" t="str">
        <f>IFERROR(__xludf.DUMMYFUNCTION("""COMPUTED_VALUE"""),"")</f>
        <v/>
      </c>
      <c r="G13455" s="18"/>
      <c r="H13455" s="16" t="s">
        <v>87</v>
      </c>
      <c r="I13455" s="16" t="s">
        <v>87</v>
      </c>
      <c r="J13455" s="19"/>
      <c r="L13455" s="16" t="str">
        <f>IFERROR(__xludf.DUMMYFUNCTION("""COMPUTED_VALUE"""),"")</f>
        <v/>
      </c>
      <c r="M13455" s="16" t="str">
        <f>IFERROR(__xludf.DUMMYFUNCTION("""COMPUTED_VALUE"""),"")</f>
        <v/>
      </c>
      <c r="U13455" s="16" t="s">
        <v>87</v>
      </c>
      <c r="V13455" s="16" t="str">
        <f>IFERROR(__xludf.DUMMYFUNCTION("""COMPUTED_VALUE"""),"")</f>
        <v/>
      </c>
      <c r="W13455" s="16" t="str">
        <f>IFERROR(__xludf.DUMMYFUNCTION("""COMPUTED_VALUE"""),"")</f>
        <v/>
      </c>
      <c r="X13455" s="16" t="str">
        <f>IFERROR(__xludf.DUMMYFUNCTION("""COMPUTED_VALUE"""),"")</f>
        <v/>
      </c>
      <c r="AC13455" s="16" t="str">
        <f>IFERROR(__xludf.DUMMYFUNCTION("""COMPUTED_VALUE"""),"")</f>
        <v/>
      </c>
    </row>
    <row r="13456">
      <c r="A13456" s="16" t="s">
        <v>87</v>
      </c>
      <c r="E13456" s="16" t="str">
        <f>IFERROR(__xludf.DUMMYFUNCTION("""COMPUTED_VALUE"""),"")</f>
        <v/>
      </c>
      <c r="G13456" s="18"/>
      <c r="H13456" s="16" t="s">
        <v>87</v>
      </c>
      <c r="I13456" s="16" t="s">
        <v>87</v>
      </c>
      <c r="J13456" s="19"/>
      <c r="L13456" s="16" t="str">
        <f>IFERROR(__xludf.DUMMYFUNCTION("""COMPUTED_VALUE"""),"")</f>
        <v/>
      </c>
      <c r="M13456" s="16" t="str">
        <f>IFERROR(__xludf.DUMMYFUNCTION("""COMPUTED_VALUE"""),"")</f>
        <v/>
      </c>
      <c r="U13456" s="16" t="s">
        <v>87</v>
      </c>
      <c r="V13456" s="16" t="str">
        <f>IFERROR(__xludf.DUMMYFUNCTION("""COMPUTED_VALUE"""),"")</f>
        <v/>
      </c>
      <c r="W13456" s="16" t="str">
        <f>IFERROR(__xludf.DUMMYFUNCTION("""COMPUTED_VALUE"""),"")</f>
        <v/>
      </c>
      <c r="X13456" s="16" t="str">
        <f>IFERROR(__xludf.DUMMYFUNCTION("""COMPUTED_VALUE"""),"")</f>
        <v/>
      </c>
      <c r="AC13456" s="16" t="str">
        <f>IFERROR(__xludf.DUMMYFUNCTION("""COMPUTED_VALUE"""),"")</f>
        <v/>
      </c>
    </row>
    <row r="13457">
      <c r="A13457" s="16" t="s">
        <v>87</v>
      </c>
      <c r="E13457" s="16" t="str">
        <f>IFERROR(__xludf.DUMMYFUNCTION("""COMPUTED_VALUE"""),"")</f>
        <v/>
      </c>
      <c r="G13457" s="18"/>
      <c r="H13457" s="16" t="s">
        <v>87</v>
      </c>
      <c r="I13457" s="16" t="s">
        <v>87</v>
      </c>
      <c r="J13457" s="19"/>
      <c r="L13457" s="16" t="str">
        <f>IFERROR(__xludf.DUMMYFUNCTION("""COMPUTED_VALUE"""),"")</f>
        <v/>
      </c>
      <c r="M13457" s="16" t="str">
        <f>IFERROR(__xludf.DUMMYFUNCTION("""COMPUTED_VALUE"""),"")</f>
        <v/>
      </c>
      <c r="U13457" s="16" t="s">
        <v>87</v>
      </c>
      <c r="V13457" s="16" t="str">
        <f>IFERROR(__xludf.DUMMYFUNCTION("""COMPUTED_VALUE"""),"")</f>
        <v/>
      </c>
      <c r="W13457" s="16" t="str">
        <f>IFERROR(__xludf.DUMMYFUNCTION("""COMPUTED_VALUE"""),"")</f>
        <v/>
      </c>
      <c r="X13457" s="16" t="str">
        <f>IFERROR(__xludf.DUMMYFUNCTION("""COMPUTED_VALUE"""),"")</f>
        <v/>
      </c>
      <c r="AC13457" s="16" t="str">
        <f>IFERROR(__xludf.DUMMYFUNCTION("""COMPUTED_VALUE"""),"")</f>
        <v/>
      </c>
    </row>
    <row r="13458">
      <c r="A13458" s="16" t="s">
        <v>87</v>
      </c>
      <c r="E13458" s="16" t="str">
        <f>IFERROR(__xludf.DUMMYFUNCTION("""COMPUTED_VALUE"""),"")</f>
        <v/>
      </c>
      <c r="G13458" s="18"/>
      <c r="H13458" s="16" t="s">
        <v>87</v>
      </c>
      <c r="I13458" s="16" t="s">
        <v>87</v>
      </c>
      <c r="J13458" s="19"/>
      <c r="L13458" s="16" t="str">
        <f>IFERROR(__xludf.DUMMYFUNCTION("""COMPUTED_VALUE"""),"")</f>
        <v/>
      </c>
      <c r="M13458" s="16" t="str">
        <f>IFERROR(__xludf.DUMMYFUNCTION("""COMPUTED_VALUE"""),"")</f>
        <v/>
      </c>
      <c r="U13458" s="16" t="s">
        <v>87</v>
      </c>
      <c r="V13458" s="16" t="str">
        <f>IFERROR(__xludf.DUMMYFUNCTION("""COMPUTED_VALUE"""),"")</f>
        <v/>
      </c>
      <c r="W13458" s="16" t="str">
        <f>IFERROR(__xludf.DUMMYFUNCTION("""COMPUTED_VALUE"""),"")</f>
        <v/>
      </c>
      <c r="X13458" s="16" t="str">
        <f>IFERROR(__xludf.DUMMYFUNCTION("""COMPUTED_VALUE"""),"")</f>
        <v/>
      </c>
      <c r="AC13458" s="16" t="str">
        <f>IFERROR(__xludf.DUMMYFUNCTION("""COMPUTED_VALUE"""),"")</f>
        <v/>
      </c>
    </row>
    <row r="13459">
      <c r="A13459" s="16" t="s">
        <v>87</v>
      </c>
      <c r="E13459" s="16" t="str">
        <f>IFERROR(__xludf.DUMMYFUNCTION("""COMPUTED_VALUE"""),"")</f>
        <v/>
      </c>
      <c r="G13459" s="18"/>
      <c r="H13459" s="16" t="s">
        <v>87</v>
      </c>
      <c r="I13459" s="16" t="s">
        <v>87</v>
      </c>
      <c r="J13459" s="19"/>
      <c r="L13459" s="16" t="str">
        <f>IFERROR(__xludf.DUMMYFUNCTION("""COMPUTED_VALUE"""),"")</f>
        <v/>
      </c>
      <c r="M13459" s="16" t="str">
        <f>IFERROR(__xludf.DUMMYFUNCTION("""COMPUTED_VALUE"""),"")</f>
        <v/>
      </c>
      <c r="U13459" s="16" t="s">
        <v>87</v>
      </c>
      <c r="V13459" s="16" t="str">
        <f>IFERROR(__xludf.DUMMYFUNCTION("""COMPUTED_VALUE"""),"")</f>
        <v/>
      </c>
      <c r="W13459" s="16" t="str">
        <f>IFERROR(__xludf.DUMMYFUNCTION("""COMPUTED_VALUE"""),"")</f>
        <v/>
      </c>
      <c r="X13459" s="16" t="str">
        <f>IFERROR(__xludf.DUMMYFUNCTION("""COMPUTED_VALUE"""),"")</f>
        <v/>
      </c>
      <c r="AC13459" s="16" t="str">
        <f>IFERROR(__xludf.DUMMYFUNCTION("""COMPUTED_VALUE"""),"")</f>
        <v/>
      </c>
    </row>
    <row r="13460">
      <c r="A13460" s="16" t="s">
        <v>87</v>
      </c>
      <c r="E13460" s="16" t="str">
        <f>IFERROR(__xludf.DUMMYFUNCTION("""COMPUTED_VALUE"""),"")</f>
        <v/>
      </c>
      <c r="G13460" s="18"/>
      <c r="H13460" s="16" t="s">
        <v>87</v>
      </c>
      <c r="I13460" s="16" t="s">
        <v>87</v>
      </c>
      <c r="J13460" s="19"/>
      <c r="L13460" s="16" t="str">
        <f>IFERROR(__xludf.DUMMYFUNCTION("""COMPUTED_VALUE"""),"")</f>
        <v/>
      </c>
      <c r="M13460" s="16" t="str">
        <f>IFERROR(__xludf.DUMMYFUNCTION("""COMPUTED_VALUE"""),"")</f>
        <v/>
      </c>
      <c r="U13460" s="16" t="s">
        <v>87</v>
      </c>
      <c r="V13460" s="16" t="str">
        <f>IFERROR(__xludf.DUMMYFUNCTION("""COMPUTED_VALUE"""),"")</f>
        <v/>
      </c>
      <c r="W13460" s="16" t="str">
        <f>IFERROR(__xludf.DUMMYFUNCTION("""COMPUTED_VALUE"""),"")</f>
        <v/>
      </c>
      <c r="X13460" s="16" t="str">
        <f>IFERROR(__xludf.DUMMYFUNCTION("""COMPUTED_VALUE"""),"")</f>
        <v/>
      </c>
      <c r="AC13460" s="16" t="str">
        <f>IFERROR(__xludf.DUMMYFUNCTION("""COMPUTED_VALUE"""),"")</f>
        <v/>
      </c>
    </row>
    <row r="13461">
      <c r="A13461" s="16" t="s">
        <v>87</v>
      </c>
      <c r="E13461" s="16" t="str">
        <f>IFERROR(__xludf.DUMMYFUNCTION("""COMPUTED_VALUE"""),"")</f>
        <v/>
      </c>
      <c r="G13461" s="18"/>
      <c r="H13461" s="16" t="s">
        <v>87</v>
      </c>
      <c r="I13461" s="16" t="s">
        <v>87</v>
      </c>
      <c r="J13461" s="19"/>
      <c r="L13461" s="16" t="str">
        <f>IFERROR(__xludf.DUMMYFUNCTION("""COMPUTED_VALUE"""),"")</f>
        <v/>
      </c>
      <c r="M13461" s="16" t="str">
        <f>IFERROR(__xludf.DUMMYFUNCTION("""COMPUTED_VALUE"""),"")</f>
        <v/>
      </c>
      <c r="U13461" s="16" t="s">
        <v>87</v>
      </c>
      <c r="V13461" s="16" t="str">
        <f>IFERROR(__xludf.DUMMYFUNCTION("""COMPUTED_VALUE"""),"")</f>
        <v/>
      </c>
      <c r="W13461" s="16" t="str">
        <f>IFERROR(__xludf.DUMMYFUNCTION("""COMPUTED_VALUE"""),"")</f>
        <v/>
      </c>
      <c r="X13461" s="16" t="str">
        <f>IFERROR(__xludf.DUMMYFUNCTION("""COMPUTED_VALUE"""),"")</f>
        <v/>
      </c>
      <c r="AC13461" s="16" t="str">
        <f>IFERROR(__xludf.DUMMYFUNCTION("""COMPUTED_VALUE"""),"")</f>
        <v/>
      </c>
    </row>
    <row r="13462">
      <c r="A13462" s="16" t="s">
        <v>87</v>
      </c>
      <c r="E13462" s="16" t="str">
        <f>IFERROR(__xludf.DUMMYFUNCTION("""COMPUTED_VALUE"""),"")</f>
        <v/>
      </c>
      <c r="G13462" s="18"/>
      <c r="H13462" s="16" t="s">
        <v>87</v>
      </c>
      <c r="I13462" s="16" t="s">
        <v>87</v>
      </c>
      <c r="J13462" s="19"/>
      <c r="L13462" s="16" t="str">
        <f>IFERROR(__xludf.DUMMYFUNCTION("""COMPUTED_VALUE"""),"")</f>
        <v/>
      </c>
      <c r="M13462" s="16" t="str">
        <f>IFERROR(__xludf.DUMMYFUNCTION("""COMPUTED_VALUE"""),"")</f>
        <v/>
      </c>
      <c r="U13462" s="16" t="s">
        <v>87</v>
      </c>
      <c r="V13462" s="16" t="str">
        <f>IFERROR(__xludf.DUMMYFUNCTION("""COMPUTED_VALUE"""),"")</f>
        <v/>
      </c>
      <c r="W13462" s="16" t="str">
        <f>IFERROR(__xludf.DUMMYFUNCTION("""COMPUTED_VALUE"""),"")</f>
        <v/>
      </c>
      <c r="X13462" s="16" t="str">
        <f>IFERROR(__xludf.DUMMYFUNCTION("""COMPUTED_VALUE"""),"")</f>
        <v/>
      </c>
      <c r="AC13462" s="16" t="str">
        <f>IFERROR(__xludf.DUMMYFUNCTION("""COMPUTED_VALUE"""),"")</f>
        <v/>
      </c>
    </row>
    <row r="13463">
      <c r="A13463" s="16" t="s">
        <v>87</v>
      </c>
      <c r="E13463" s="16" t="str">
        <f>IFERROR(__xludf.DUMMYFUNCTION("""COMPUTED_VALUE"""),"")</f>
        <v/>
      </c>
      <c r="G13463" s="18"/>
      <c r="H13463" s="16" t="s">
        <v>87</v>
      </c>
      <c r="I13463" s="16" t="s">
        <v>87</v>
      </c>
      <c r="J13463" s="19"/>
      <c r="L13463" s="16" t="str">
        <f>IFERROR(__xludf.DUMMYFUNCTION("""COMPUTED_VALUE"""),"")</f>
        <v/>
      </c>
      <c r="M13463" s="16" t="str">
        <f>IFERROR(__xludf.DUMMYFUNCTION("""COMPUTED_VALUE"""),"")</f>
        <v/>
      </c>
      <c r="U13463" s="16" t="s">
        <v>87</v>
      </c>
      <c r="V13463" s="16" t="str">
        <f>IFERROR(__xludf.DUMMYFUNCTION("""COMPUTED_VALUE"""),"")</f>
        <v/>
      </c>
      <c r="W13463" s="16" t="str">
        <f>IFERROR(__xludf.DUMMYFUNCTION("""COMPUTED_VALUE"""),"")</f>
        <v/>
      </c>
      <c r="X13463" s="16" t="str">
        <f>IFERROR(__xludf.DUMMYFUNCTION("""COMPUTED_VALUE"""),"")</f>
        <v/>
      </c>
      <c r="AC13463" s="16" t="str">
        <f>IFERROR(__xludf.DUMMYFUNCTION("""COMPUTED_VALUE"""),"")</f>
        <v/>
      </c>
    </row>
    <row r="13464">
      <c r="A13464" s="16" t="s">
        <v>87</v>
      </c>
      <c r="E13464" s="16" t="str">
        <f>IFERROR(__xludf.DUMMYFUNCTION("""COMPUTED_VALUE"""),"")</f>
        <v/>
      </c>
      <c r="G13464" s="18"/>
      <c r="H13464" s="16" t="s">
        <v>87</v>
      </c>
      <c r="I13464" s="16" t="s">
        <v>87</v>
      </c>
      <c r="J13464" s="19"/>
      <c r="L13464" s="16" t="str">
        <f>IFERROR(__xludf.DUMMYFUNCTION("""COMPUTED_VALUE"""),"")</f>
        <v/>
      </c>
      <c r="M13464" s="16" t="str">
        <f>IFERROR(__xludf.DUMMYFUNCTION("""COMPUTED_VALUE"""),"")</f>
        <v/>
      </c>
      <c r="U13464" s="16" t="s">
        <v>87</v>
      </c>
      <c r="V13464" s="16" t="str">
        <f>IFERROR(__xludf.DUMMYFUNCTION("""COMPUTED_VALUE"""),"")</f>
        <v/>
      </c>
      <c r="W13464" s="16" t="str">
        <f>IFERROR(__xludf.DUMMYFUNCTION("""COMPUTED_VALUE"""),"")</f>
        <v/>
      </c>
      <c r="X13464" s="16" t="str">
        <f>IFERROR(__xludf.DUMMYFUNCTION("""COMPUTED_VALUE"""),"")</f>
        <v/>
      </c>
      <c r="AC13464" s="16" t="str">
        <f>IFERROR(__xludf.DUMMYFUNCTION("""COMPUTED_VALUE"""),"")</f>
        <v/>
      </c>
    </row>
    <row r="13465">
      <c r="A13465" s="16" t="s">
        <v>87</v>
      </c>
      <c r="E13465" s="16" t="str">
        <f>IFERROR(__xludf.DUMMYFUNCTION("""COMPUTED_VALUE"""),"")</f>
        <v/>
      </c>
      <c r="G13465" s="18"/>
      <c r="H13465" s="16" t="s">
        <v>87</v>
      </c>
      <c r="I13465" s="16" t="s">
        <v>87</v>
      </c>
      <c r="J13465" s="19"/>
      <c r="L13465" s="16" t="str">
        <f>IFERROR(__xludf.DUMMYFUNCTION("""COMPUTED_VALUE"""),"")</f>
        <v/>
      </c>
      <c r="M13465" s="16" t="str">
        <f>IFERROR(__xludf.DUMMYFUNCTION("""COMPUTED_VALUE"""),"")</f>
        <v/>
      </c>
      <c r="U13465" s="16" t="s">
        <v>87</v>
      </c>
      <c r="V13465" s="16" t="str">
        <f>IFERROR(__xludf.DUMMYFUNCTION("""COMPUTED_VALUE"""),"")</f>
        <v/>
      </c>
      <c r="W13465" s="16" t="str">
        <f>IFERROR(__xludf.DUMMYFUNCTION("""COMPUTED_VALUE"""),"")</f>
        <v/>
      </c>
      <c r="X13465" s="16" t="str">
        <f>IFERROR(__xludf.DUMMYFUNCTION("""COMPUTED_VALUE"""),"")</f>
        <v/>
      </c>
      <c r="AC13465" s="16" t="str">
        <f>IFERROR(__xludf.DUMMYFUNCTION("""COMPUTED_VALUE"""),"")</f>
        <v/>
      </c>
    </row>
    <row r="13466">
      <c r="A13466" s="16" t="s">
        <v>87</v>
      </c>
      <c r="E13466" s="16" t="str">
        <f>IFERROR(__xludf.DUMMYFUNCTION("""COMPUTED_VALUE"""),"")</f>
        <v/>
      </c>
      <c r="G13466" s="18"/>
      <c r="H13466" s="16" t="s">
        <v>87</v>
      </c>
      <c r="I13466" s="16" t="s">
        <v>87</v>
      </c>
      <c r="J13466" s="19"/>
      <c r="L13466" s="16" t="str">
        <f>IFERROR(__xludf.DUMMYFUNCTION("""COMPUTED_VALUE"""),"")</f>
        <v/>
      </c>
      <c r="M13466" s="16" t="str">
        <f>IFERROR(__xludf.DUMMYFUNCTION("""COMPUTED_VALUE"""),"")</f>
        <v/>
      </c>
      <c r="U13466" s="16" t="s">
        <v>87</v>
      </c>
      <c r="V13466" s="16" t="str">
        <f>IFERROR(__xludf.DUMMYFUNCTION("""COMPUTED_VALUE"""),"")</f>
        <v/>
      </c>
      <c r="W13466" s="16" t="str">
        <f>IFERROR(__xludf.DUMMYFUNCTION("""COMPUTED_VALUE"""),"")</f>
        <v/>
      </c>
      <c r="X13466" s="16" t="str">
        <f>IFERROR(__xludf.DUMMYFUNCTION("""COMPUTED_VALUE"""),"")</f>
        <v/>
      </c>
      <c r="AC13466" s="16" t="str">
        <f>IFERROR(__xludf.DUMMYFUNCTION("""COMPUTED_VALUE"""),"")</f>
        <v/>
      </c>
    </row>
    <row r="13467">
      <c r="A13467" s="16" t="s">
        <v>87</v>
      </c>
      <c r="E13467" s="16" t="str">
        <f>IFERROR(__xludf.DUMMYFUNCTION("""COMPUTED_VALUE"""),"")</f>
        <v/>
      </c>
      <c r="G13467" s="18"/>
      <c r="H13467" s="16" t="s">
        <v>87</v>
      </c>
      <c r="I13467" s="16" t="s">
        <v>87</v>
      </c>
      <c r="J13467" s="19"/>
      <c r="L13467" s="16" t="str">
        <f>IFERROR(__xludf.DUMMYFUNCTION("""COMPUTED_VALUE"""),"")</f>
        <v/>
      </c>
      <c r="M13467" s="16" t="str">
        <f>IFERROR(__xludf.DUMMYFUNCTION("""COMPUTED_VALUE"""),"")</f>
        <v/>
      </c>
      <c r="U13467" s="16" t="s">
        <v>87</v>
      </c>
      <c r="V13467" s="16" t="str">
        <f>IFERROR(__xludf.DUMMYFUNCTION("""COMPUTED_VALUE"""),"")</f>
        <v/>
      </c>
      <c r="W13467" s="16" t="str">
        <f>IFERROR(__xludf.DUMMYFUNCTION("""COMPUTED_VALUE"""),"")</f>
        <v/>
      </c>
      <c r="X13467" s="16" t="str">
        <f>IFERROR(__xludf.DUMMYFUNCTION("""COMPUTED_VALUE"""),"")</f>
        <v/>
      </c>
      <c r="AC13467" s="16" t="str">
        <f>IFERROR(__xludf.DUMMYFUNCTION("""COMPUTED_VALUE"""),"")</f>
        <v/>
      </c>
    </row>
    <row r="13468">
      <c r="A13468" s="16" t="s">
        <v>87</v>
      </c>
      <c r="E13468" s="16" t="str">
        <f>IFERROR(__xludf.DUMMYFUNCTION("""COMPUTED_VALUE"""),"")</f>
        <v/>
      </c>
      <c r="G13468" s="18"/>
      <c r="H13468" s="16" t="s">
        <v>87</v>
      </c>
      <c r="I13468" s="16" t="s">
        <v>87</v>
      </c>
      <c r="J13468" s="19"/>
      <c r="L13468" s="16" t="str">
        <f>IFERROR(__xludf.DUMMYFUNCTION("""COMPUTED_VALUE"""),"")</f>
        <v/>
      </c>
      <c r="M13468" s="16" t="str">
        <f>IFERROR(__xludf.DUMMYFUNCTION("""COMPUTED_VALUE"""),"")</f>
        <v/>
      </c>
      <c r="U13468" s="16" t="s">
        <v>87</v>
      </c>
      <c r="V13468" s="16" t="str">
        <f>IFERROR(__xludf.DUMMYFUNCTION("""COMPUTED_VALUE"""),"")</f>
        <v/>
      </c>
      <c r="W13468" s="16" t="str">
        <f>IFERROR(__xludf.DUMMYFUNCTION("""COMPUTED_VALUE"""),"")</f>
        <v/>
      </c>
      <c r="X13468" s="16" t="str">
        <f>IFERROR(__xludf.DUMMYFUNCTION("""COMPUTED_VALUE"""),"")</f>
        <v/>
      </c>
      <c r="AC13468" s="16" t="str">
        <f>IFERROR(__xludf.DUMMYFUNCTION("""COMPUTED_VALUE"""),"")</f>
        <v/>
      </c>
    </row>
    <row r="13469">
      <c r="A13469" s="16" t="s">
        <v>87</v>
      </c>
      <c r="E13469" s="16" t="str">
        <f>IFERROR(__xludf.DUMMYFUNCTION("""COMPUTED_VALUE"""),"")</f>
        <v/>
      </c>
      <c r="G13469" s="18"/>
      <c r="H13469" s="16" t="s">
        <v>87</v>
      </c>
      <c r="I13469" s="16" t="s">
        <v>87</v>
      </c>
      <c r="J13469" s="19"/>
      <c r="L13469" s="16" t="str">
        <f>IFERROR(__xludf.DUMMYFUNCTION("""COMPUTED_VALUE"""),"")</f>
        <v/>
      </c>
      <c r="M13469" s="16" t="str">
        <f>IFERROR(__xludf.DUMMYFUNCTION("""COMPUTED_VALUE"""),"")</f>
        <v/>
      </c>
      <c r="U13469" s="16" t="s">
        <v>87</v>
      </c>
      <c r="V13469" s="16" t="str">
        <f>IFERROR(__xludf.DUMMYFUNCTION("""COMPUTED_VALUE"""),"")</f>
        <v/>
      </c>
      <c r="W13469" s="16" t="str">
        <f>IFERROR(__xludf.DUMMYFUNCTION("""COMPUTED_VALUE"""),"")</f>
        <v/>
      </c>
      <c r="X13469" s="16" t="str">
        <f>IFERROR(__xludf.DUMMYFUNCTION("""COMPUTED_VALUE"""),"")</f>
        <v/>
      </c>
      <c r="AC13469" s="16" t="str">
        <f>IFERROR(__xludf.DUMMYFUNCTION("""COMPUTED_VALUE"""),"")</f>
        <v/>
      </c>
    </row>
    <row r="13470">
      <c r="A13470" s="16" t="s">
        <v>87</v>
      </c>
      <c r="E13470" s="16" t="str">
        <f>IFERROR(__xludf.DUMMYFUNCTION("""COMPUTED_VALUE"""),"")</f>
        <v/>
      </c>
      <c r="G13470" s="18"/>
      <c r="H13470" s="16" t="s">
        <v>87</v>
      </c>
      <c r="I13470" s="16" t="s">
        <v>87</v>
      </c>
      <c r="J13470" s="19"/>
      <c r="L13470" s="16" t="str">
        <f>IFERROR(__xludf.DUMMYFUNCTION("""COMPUTED_VALUE"""),"")</f>
        <v/>
      </c>
      <c r="M13470" s="16" t="str">
        <f>IFERROR(__xludf.DUMMYFUNCTION("""COMPUTED_VALUE"""),"")</f>
        <v/>
      </c>
      <c r="U13470" s="16" t="s">
        <v>87</v>
      </c>
      <c r="V13470" s="16" t="str">
        <f>IFERROR(__xludf.DUMMYFUNCTION("""COMPUTED_VALUE"""),"")</f>
        <v/>
      </c>
      <c r="W13470" s="16" t="str">
        <f>IFERROR(__xludf.DUMMYFUNCTION("""COMPUTED_VALUE"""),"")</f>
        <v/>
      </c>
      <c r="X13470" s="16" t="str">
        <f>IFERROR(__xludf.DUMMYFUNCTION("""COMPUTED_VALUE"""),"")</f>
        <v/>
      </c>
      <c r="AC13470" s="16" t="str">
        <f>IFERROR(__xludf.DUMMYFUNCTION("""COMPUTED_VALUE"""),"")</f>
        <v/>
      </c>
    </row>
    <row r="13471">
      <c r="A13471" s="16" t="s">
        <v>87</v>
      </c>
      <c r="E13471" s="16" t="str">
        <f>IFERROR(__xludf.DUMMYFUNCTION("""COMPUTED_VALUE"""),"")</f>
        <v/>
      </c>
      <c r="G13471" s="18"/>
      <c r="H13471" s="16" t="s">
        <v>87</v>
      </c>
      <c r="I13471" s="16" t="s">
        <v>87</v>
      </c>
      <c r="J13471" s="19"/>
      <c r="L13471" s="16" t="str">
        <f>IFERROR(__xludf.DUMMYFUNCTION("""COMPUTED_VALUE"""),"")</f>
        <v/>
      </c>
      <c r="M13471" s="16" t="str">
        <f>IFERROR(__xludf.DUMMYFUNCTION("""COMPUTED_VALUE"""),"")</f>
        <v/>
      </c>
      <c r="U13471" s="16" t="s">
        <v>87</v>
      </c>
      <c r="V13471" s="16" t="str">
        <f>IFERROR(__xludf.DUMMYFUNCTION("""COMPUTED_VALUE"""),"")</f>
        <v/>
      </c>
      <c r="W13471" s="16" t="str">
        <f>IFERROR(__xludf.DUMMYFUNCTION("""COMPUTED_VALUE"""),"")</f>
        <v/>
      </c>
      <c r="X13471" s="16" t="str">
        <f>IFERROR(__xludf.DUMMYFUNCTION("""COMPUTED_VALUE"""),"")</f>
        <v/>
      </c>
      <c r="AC13471" s="16" t="str">
        <f>IFERROR(__xludf.DUMMYFUNCTION("""COMPUTED_VALUE"""),"")</f>
        <v/>
      </c>
    </row>
    <row r="13472">
      <c r="A13472" s="16" t="s">
        <v>87</v>
      </c>
      <c r="E13472" s="16" t="str">
        <f>IFERROR(__xludf.DUMMYFUNCTION("""COMPUTED_VALUE"""),"")</f>
        <v/>
      </c>
      <c r="G13472" s="18"/>
      <c r="H13472" s="16" t="s">
        <v>87</v>
      </c>
      <c r="I13472" s="16" t="s">
        <v>87</v>
      </c>
      <c r="J13472" s="19"/>
      <c r="L13472" s="16" t="str">
        <f>IFERROR(__xludf.DUMMYFUNCTION("""COMPUTED_VALUE"""),"")</f>
        <v/>
      </c>
      <c r="M13472" s="16" t="str">
        <f>IFERROR(__xludf.DUMMYFUNCTION("""COMPUTED_VALUE"""),"")</f>
        <v/>
      </c>
      <c r="U13472" s="16" t="s">
        <v>87</v>
      </c>
      <c r="V13472" s="16" t="str">
        <f>IFERROR(__xludf.DUMMYFUNCTION("""COMPUTED_VALUE"""),"")</f>
        <v/>
      </c>
      <c r="W13472" s="16" t="str">
        <f>IFERROR(__xludf.DUMMYFUNCTION("""COMPUTED_VALUE"""),"")</f>
        <v/>
      </c>
      <c r="X13472" s="16" t="str">
        <f>IFERROR(__xludf.DUMMYFUNCTION("""COMPUTED_VALUE"""),"")</f>
        <v/>
      </c>
      <c r="AC13472" s="16" t="str">
        <f>IFERROR(__xludf.DUMMYFUNCTION("""COMPUTED_VALUE"""),"")</f>
        <v/>
      </c>
    </row>
    <row r="13473">
      <c r="A13473" s="16" t="s">
        <v>87</v>
      </c>
      <c r="E13473" s="16" t="str">
        <f>IFERROR(__xludf.DUMMYFUNCTION("""COMPUTED_VALUE"""),"")</f>
        <v/>
      </c>
      <c r="G13473" s="18"/>
      <c r="H13473" s="16" t="s">
        <v>87</v>
      </c>
      <c r="I13473" s="16" t="s">
        <v>87</v>
      </c>
      <c r="J13473" s="19"/>
      <c r="L13473" s="16" t="str">
        <f>IFERROR(__xludf.DUMMYFUNCTION("""COMPUTED_VALUE"""),"")</f>
        <v/>
      </c>
      <c r="M13473" s="16" t="str">
        <f>IFERROR(__xludf.DUMMYFUNCTION("""COMPUTED_VALUE"""),"")</f>
        <v/>
      </c>
      <c r="U13473" s="16" t="s">
        <v>87</v>
      </c>
      <c r="V13473" s="16" t="str">
        <f>IFERROR(__xludf.DUMMYFUNCTION("""COMPUTED_VALUE"""),"")</f>
        <v/>
      </c>
      <c r="W13473" s="16" t="str">
        <f>IFERROR(__xludf.DUMMYFUNCTION("""COMPUTED_VALUE"""),"")</f>
        <v/>
      </c>
      <c r="X13473" s="16" t="str">
        <f>IFERROR(__xludf.DUMMYFUNCTION("""COMPUTED_VALUE"""),"")</f>
        <v/>
      </c>
      <c r="AC13473" s="16" t="str">
        <f>IFERROR(__xludf.DUMMYFUNCTION("""COMPUTED_VALUE"""),"")</f>
        <v/>
      </c>
    </row>
    <row r="13474">
      <c r="A13474" s="16" t="s">
        <v>87</v>
      </c>
      <c r="E13474" s="16" t="str">
        <f>IFERROR(__xludf.DUMMYFUNCTION("""COMPUTED_VALUE"""),"")</f>
        <v/>
      </c>
      <c r="G13474" s="18"/>
      <c r="H13474" s="16" t="s">
        <v>87</v>
      </c>
      <c r="I13474" s="16" t="s">
        <v>87</v>
      </c>
      <c r="J13474" s="19"/>
      <c r="L13474" s="16" t="str">
        <f>IFERROR(__xludf.DUMMYFUNCTION("""COMPUTED_VALUE"""),"")</f>
        <v/>
      </c>
      <c r="M13474" s="16" t="str">
        <f>IFERROR(__xludf.DUMMYFUNCTION("""COMPUTED_VALUE"""),"")</f>
        <v/>
      </c>
      <c r="U13474" s="16" t="s">
        <v>87</v>
      </c>
      <c r="V13474" s="16" t="str">
        <f>IFERROR(__xludf.DUMMYFUNCTION("""COMPUTED_VALUE"""),"")</f>
        <v/>
      </c>
      <c r="W13474" s="16" t="str">
        <f>IFERROR(__xludf.DUMMYFUNCTION("""COMPUTED_VALUE"""),"")</f>
        <v/>
      </c>
      <c r="X13474" s="16" t="str">
        <f>IFERROR(__xludf.DUMMYFUNCTION("""COMPUTED_VALUE"""),"")</f>
        <v/>
      </c>
      <c r="AC13474" s="16" t="str">
        <f>IFERROR(__xludf.DUMMYFUNCTION("""COMPUTED_VALUE"""),"")</f>
        <v/>
      </c>
    </row>
    <row r="13475">
      <c r="A13475" s="16" t="s">
        <v>87</v>
      </c>
      <c r="E13475" s="16" t="str">
        <f>IFERROR(__xludf.DUMMYFUNCTION("""COMPUTED_VALUE"""),"")</f>
        <v/>
      </c>
      <c r="G13475" s="18"/>
      <c r="H13475" s="16" t="s">
        <v>87</v>
      </c>
      <c r="I13475" s="16" t="s">
        <v>87</v>
      </c>
      <c r="J13475" s="19"/>
      <c r="L13475" s="16" t="str">
        <f>IFERROR(__xludf.DUMMYFUNCTION("""COMPUTED_VALUE"""),"")</f>
        <v/>
      </c>
      <c r="M13475" s="16" t="str">
        <f>IFERROR(__xludf.DUMMYFUNCTION("""COMPUTED_VALUE"""),"")</f>
        <v/>
      </c>
      <c r="U13475" s="16" t="s">
        <v>87</v>
      </c>
      <c r="V13475" s="16" t="str">
        <f>IFERROR(__xludf.DUMMYFUNCTION("""COMPUTED_VALUE"""),"")</f>
        <v/>
      </c>
      <c r="W13475" s="16" t="str">
        <f>IFERROR(__xludf.DUMMYFUNCTION("""COMPUTED_VALUE"""),"")</f>
        <v/>
      </c>
      <c r="X13475" s="16" t="str">
        <f>IFERROR(__xludf.DUMMYFUNCTION("""COMPUTED_VALUE"""),"")</f>
        <v/>
      </c>
      <c r="AC13475" s="16" t="str">
        <f>IFERROR(__xludf.DUMMYFUNCTION("""COMPUTED_VALUE"""),"")</f>
        <v/>
      </c>
    </row>
    <row r="13476">
      <c r="A13476" s="16" t="s">
        <v>87</v>
      </c>
      <c r="E13476" s="16" t="str">
        <f>IFERROR(__xludf.DUMMYFUNCTION("""COMPUTED_VALUE"""),"")</f>
        <v/>
      </c>
      <c r="G13476" s="18"/>
      <c r="H13476" s="16" t="s">
        <v>87</v>
      </c>
      <c r="I13476" s="16" t="s">
        <v>87</v>
      </c>
      <c r="J13476" s="19"/>
      <c r="L13476" s="16" t="str">
        <f>IFERROR(__xludf.DUMMYFUNCTION("""COMPUTED_VALUE"""),"")</f>
        <v/>
      </c>
      <c r="M13476" s="16" t="str">
        <f>IFERROR(__xludf.DUMMYFUNCTION("""COMPUTED_VALUE"""),"")</f>
        <v/>
      </c>
      <c r="U13476" s="16" t="s">
        <v>87</v>
      </c>
      <c r="V13476" s="16" t="str">
        <f>IFERROR(__xludf.DUMMYFUNCTION("""COMPUTED_VALUE"""),"")</f>
        <v/>
      </c>
      <c r="W13476" s="16" t="str">
        <f>IFERROR(__xludf.DUMMYFUNCTION("""COMPUTED_VALUE"""),"")</f>
        <v/>
      </c>
      <c r="X13476" s="16" t="str">
        <f>IFERROR(__xludf.DUMMYFUNCTION("""COMPUTED_VALUE"""),"")</f>
        <v/>
      </c>
      <c r="AC13476" s="16" t="str">
        <f>IFERROR(__xludf.DUMMYFUNCTION("""COMPUTED_VALUE"""),"")</f>
        <v/>
      </c>
    </row>
    <row r="13477">
      <c r="A13477" s="16" t="s">
        <v>87</v>
      </c>
      <c r="E13477" s="16" t="str">
        <f>IFERROR(__xludf.DUMMYFUNCTION("""COMPUTED_VALUE"""),"")</f>
        <v/>
      </c>
      <c r="G13477" s="18"/>
      <c r="H13477" s="16" t="s">
        <v>87</v>
      </c>
      <c r="I13477" s="16" t="s">
        <v>87</v>
      </c>
      <c r="J13477" s="19"/>
      <c r="L13477" s="16" t="str">
        <f>IFERROR(__xludf.DUMMYFUNCTION("""COMPUTED_VALUE"""),"")</f>
        <v/>
      </c>
      <c r="M13477" s="16" t="str">
        <f>IFERROR(__xludf.DUMMYFUNCTION("""COMPUTED_VALUE"""),"")</f>
        <v/>
      </c>
      <c r="U13477" s="16" t="s">
        <v>87</v>
      </c>
      <c r="V13477" s="16" t="str">
        <f>IFERROR(__xludf.DUMMYFUNCTION("""COMPUTED_VALUE"""),"")</f>
        <v/>
      </c>
      <c r="W13477" s="16" t="str">
        <f>IFERROR(__xludf.DUMMYFUNCTION("""COMPUTED_VALUE"""),"")</f>
        <v/>
      </c>
      <c r="X13477" s="16" t="str">
        <f>IFERROR(__xludf.DUMMYFUNCTION("""COMPUTED_VALUE"""),"")</f>
        <v/>
      </c>
      <c r="AC13477" s="16" t="str">
        <f>IFERROR(__xludf.DUMMYFUNCTION("""COMPUTED_VALUE"""),"")</f>
        <v/>
      </c>
    </row>
    <row r="13478">
      <c r="A13478" s="16" t="s">
        <v>87</v>
      </c>
      <c r="E13478" s="16" t="str">
        <f>IFERROR(__xludf.DUMMYFUNCTION("""COMPUTED_VALUE"""),"")</f>
        <v/>
      </c>
      <c r="G13478" s="18"/>
      <c r="H13478" s="16" t="s">
        <v>87</v>
      </c>
      <c r="I13478" s="16" t="s">
        <v>87</v>
      </c>
      <c r="J13478" s="19"/>
      <c r="L13478" s="16" t="str">
        <f>IFERROR(__xludf.DUMMYFUNCTION("""COMPUTED_VALUE"""),"")</f>
        <v/>
      </c>
      <c r="M13478" s="16" t="str">
        <f>IFERROR(__xludf.DUMMYFUNCTION("""COMPUTED_VALUE"""),"")</f>
        <v/>
      </c>
      <c r="U13478" s="16" t="s">
        <v>87</v>
      </c>
      <c r="V13478" s="16" t="str">
        <f>IFERROR(__xludf.DUMMYFUNCTION("""COMPUTED_VALUE"""),"")</f>
        <v/>
      </c>
      <c r="W13478" s="16" t="str">
        <f>IFERROR(__xludf.DUMMYFUNCTION("""COMPUTED_VALUE"""),"")</f>
        <v/>
      </c>
      <c r="X13478" s="16" t="str">
        <f>IFERROR(__xludf.DUMMYFUNCTION("""COMPUTED_VALUE"""),"")</f>
        <v/>
      </c>
      <c r="AC13478" s="16" t="str">
        <f>IFERROR(__xludf.DUMMYFUNCTION("""COMPUTED_VALUE"""),"")</f>
        <v/>
      </c>
    </row>
    <row r="13479">
      <c r="A13479" s="16" t="s">
        <v>87</v>
      </c>
      <c r="E13479" s="16" t="str">
        <f>IFERROR(__xludf.DUMMYFUNCTION("""COMPUTED_VALUE"""),"")</f>
        <v/>
      </c>
      <c r="G13479" s="18"/>
      <c r="H13479" s="16" t="s">
        <v>87</v>
      </c>
      <c r="I13479" s="16" t="s">
        <v>87</v>
      </c>
      <c r="J13479" s="19"/>
      <c r="L13479" s="16" t="str">
        <f>IFERROR(__xludf.DUMMYFUNCTION("""COMPUTED_VALUE"""),"")</f>
        <v/>
      </c>
      <c r="M13479" s="16" t="str">
        <f>IFERROR(__xludf.DUMMYFUNCTION("""COMPUTED_VALUE"""),"")</f>
        <v/>
      </c>
      <c r="U13479" s="16" t="s">
        <v>87</v>
      </c>
      <c r="V13479" s="16" t="str">
        <f>IFERROR(__xludf.DUMMYFUNCTION("""COMPUTED_VALUE"""),"")</f>
        <v/>
      </c>
      <c r="W13479" s="16" t="str">
        <f>IFERROR(__xludf.DUMMYFUNCTION("""COMPUTED_VALUE"""),"")</f>
        <v/>
      </c>
      <c r="X13479" s="16" t="str">
        <f>IFERROR(__xludf.DUMMYFUNCTION("""COMPUTED_VALUE"""),"")</f>
        <v/>
      </c>
      <c r="AC13479" s="16" t="str">
        <f>IFERROR(__xludf.DUMMYFUNCTION("""COMPUTED_VALUE"""),"")</f>
        <v/>
      </c>
    </row>
    <row r="13480">
      <c r="A13480" s="16" t="s">
        <v>87</v>
      </c>
      <c r="E13480" s="16" t="str">
        <f>IFERROR(__xludf.DUMMYFUNCTION("""COMPUTED_VALUE"""),"")</f>
        <v/>
      </c>
      <c r="G13480" s="18"/>
      <c r="H13480" s="16" t="s">
        <v>87</v>
      </c>
      <c r="I13480" s="16" t="s">
        <v>87</v>
      </c>
      <c r="J13480" s="19"/>
      <c r="L13480" s="16" t="str">
        <f>IFERROR(__xludf.DUMMYFUNCTION("""COMPUTED_VALUE"""),"")</f>
        <v/>
      </c>
      <c r="M13480" s="16" t="str">
        <f>IFERROR(__xludf.DUMMYFUNCTION("""COMPUTED_VALUE"""),"")</f>
        <v/>
      </c>
      <c r="U13480" s="16" t="s">
        <v>87</v>
      </c>
      <c r="V13480" s="16" t="str">
        <f>IFERROR(__xludf.DUMMYFUNCTION("""COMPUTED_VALUE"""),"")</f>
        <v/>
      </c>
      <c r="W13480" s="16" t="str">
        <f>IFERROR(__xludf.DUMMYFUNCTION("""COMPUTED_VALUE"""),"")</f>
        <v/>
      </c>
      <c r="X13480" s="16" t="str">
        <f>IFERROR(__xludf.DUMMYFUNCTION("""COMPUTED_VALUE"""),"")</f>
        <v/>
      </c>
      <c r="AC13480" s="16" t="str">
        <f>IFERROR(__xludf.DUMMYFUNCTION("""COMPUTED_VALUE"""),"")</f>
        <v/>
      </c>
    </row>
    <row r="13481">
      <c r="A13481" s="16" t="s">
        <v>87</v>
      </c>
      <c r="E13481" s="16" t="str">
        <f>IFERROR(__xludf.DUMMYFUNCTION("""COMPUTED_VALUE"""),"")</f>
        <v/>
      </c>
      <c r="G13481" s="18"/>
      <c r="H13481" s="16" t="s">
        <v>87</v>
      </c>
      <c r="I13481" s="16" t="s">
        <v>87</v>
      </c>
      <c r="J13481" s="19"/>
      <c r="L13481" s="16" t="str">
        <f>IFERROR(__xludf.DUMMYFUNCTION("""COMPUTED_VALUE"""),"")</f>
        <v/>
      </c>
      <c r="M13481" s="16" t="str">
        <f>IFERROR(__xludf.DUMMYFUNCTION("""COMPUTED_VALUE"""),"")</f>
        <v/>
      </c>
      <c r="U13481" s="16" t="s">
        <v>87</v>
      </c>
      <c r="V13481" s="16" t="str">
        <f>IFERROR(__xludf.DUMMYFUNCTION("""COMPUTED_VALUE"""),"")</f>
        <v/>
      </c>
      <c r="W13481" s="16" t="str">
        <f>IFERROR(__xludf.DUMMYFUNCTION("""COMPUTED_VALUE"""),"")</f>
        <v/>
      </c>
      <c r="X13481" s="16" t="str">
        <f>IFERROR(__xludf.DUMMYFUNCTION("""COMPUTED_VALUE"""),"")</f>
        <v/>
      </c>
      <c r="AC13481" s="16" t="str">
        <f>IFERROR(__xludf.DUMMYFUNCTION("""COMPUTED_VALUE"""),"")</f>
        <v/>
      </c>
    </row>
    <row r="13482">
      <c r="A13482" s="16" t="s">
        <v>87</v>
      </c>
      <c r="E13482" s="16" t="str">
        <f>IFERROR(__xludf.DUMMYFUNCTION("""COMPUTED_VALUE"""),"")</f>
        <v/>
      </c>
      <c r="G13482" s="18"/>
      <c r="H13482" s="16" t="s">
        <v>87</v>
      </c>
      <c r="I13482" s="16" t="s">
        <v>87</v>
      </c>
      <c r="J13482" s="19"/>
      <c r="L13482" s="16" t="str">
        <f>IFERROR(__xludf.DUMMYFUNCTION("""COMPUTED_VALUE"""),"")</f>
        <v/>
      </c>
      <c r="M13482" s="16" t="str">
        <f>IFERROR(__xludf.DUMMYFUNCTION("""COMPUTED_VALUE"""),"")</f>
        <v/>
      </c>
      <c r="U13482" s="16" t="s">
        <v>87</v>
      </c>
      <c r="V13482" s="16" t="str">
        <f>IFERROR(__xludf.DUMMYFUNCTION("""COMPUTED_VALUE"""),"")</f>
        <v/>
      </c>
      <c r="W13482" s="16" t="str">
        <f>IFERROR(__xludf.DUMMYFUNCTION("""COMPUTED_VALUE"""),"")</f>
        <v/>
      </c>
      <c r="X13482" s="16" t="str">
        <f>IFERROR(__xludf.DUMMYFUNCTION("""COMPUTED_VALUE"""),"")</f>
        <v/>
      </c>
      <c r="AC13482" s="16" t="str">
        <f>IFERROR(__xludf.DUMMYFUNCTION("""COMPUTED_VALUE"""),"")</f>
        <v/>
      </c>
    </row>
    <row r="13483">
      <c r="A13483" s="16" t="s">
        <v>87</v>
      </c>
      <c r="E13483" s="16" t="str">
        <f>IFERROR(__xludf.DUMMYFUNCTION("""COMPUTED_VALUE"""),"")</f>
        <v/>
      </c>
      <c r="G13483" s="18"/>
      <c r="H13483" s="16" t="s">
        <v>87</v>
      </c>
      <c r="I13483" s="16" t="s">
        <v>87</v>
      </c>
      <c r="J13483" s="19"/>
      <c r="L13483" s="16" t="str">
        <f>IFERROR(__xludf.DUMMYFUNCTION("""COMPUTED_VALUE"""),"")</f>
        <v/>
      </c>
      <c r="M13483" s="16" t="str">
        <f>IFERROR(__xludf.DUMMYFUNCTION("""COMPUTED_VALUE"""),"")</f>
        <v/>
      </c>
      <c r="U13483" s="16" t="s">
        <v>87</v>
      </c>
      <c r="V13483" s="16" t="str">
        <f>IFERROR(__xludf.DUMMYFUNCTION("""COMPUTED_VALUE"""),"")</f>
        <v/>
      </c>
      <c r="W13483" s="16" t="str">
        <f>IFERROR(__xludf.DUMMYFUNCTION("""COMPUTED_VALUE"""),"")</f>
        <v/>
      </c>
      <c r="X13483" s="16" t="str">
        <f>IFERROR(__xludf.DUMMYFUNCTION("""COMPUTED_VALUE"""),"")</f>
        <v/>
      </c>
      <c r="AC13483" s="16" t="str">
        <f>IFERROR(__xludf.DUMMYFUNCTION("""COMPUTED_VALUE"""),"")</f>
        <v/>
      </c>
    </row>
    <row r="13484">
      <c r="A13484" s="16" t="s">
        <v>87</v>
      </c>
      <c r="E13484" s="16" t="str">
        <f>IFERROR(__xludf.DUMMYFUNCTION("""COMPUTED_VALUE"""),"")</f>
        <v/>
      </c>
      <c r="G13484" s="18"/>
      <c r="H13484" s="16" t="s">
        <v>87</v>
      </c>
      <c r="I13484" s="16" t="s">
        <v>87</v>
      </c>
      <c r="J13484" s="19"/>
      <c r="L13484" s="16" t="str">
        <f>IFERROR(__xludf.DUMMYFUNCTION("""COMPUTED_VALUE"""),"")</f>
        <v/>
      </c>
      <c r="M13484" s="16" t="str">
        <f>IFERROR(__xludf.DUMMYFUNCTION("""COMPUTED_VALUE"""),"")</f>
        <v/>
      </c>
      <c r="U13484" s="16" t="s">
        <v>87</v>
      </c>
      <c r="V13484" s="16" t="str">
        <f>IFERROR(__xludf.DUMMYFUNCTION("""COMPUTED_VALUE"""),"")</f>
        <v/>
      </c>
      <c r="W13484" s="16" t="str">
        <f>IFERROR(__xludf.DUMMYFUNCTION("""COMPUTED_VALUE"""),"")</f>
        <v/>
      </c>
      <c r="X13484" s="16" t="str">
        <f>IFERROR(__xludf.DUMMYFUNCTION("""COMPUTED_VALUE"""),"")</f>
        <v/>
      </c>
      <c r="AC13484" s="16" t="str">
        <f>IFERROR(__xludf.DUMMYFUNCTION("""COMPUTED_VALUE"""),"")</f>
        <v/>
      </c>
    </row>
    <row r="13485">
      <c r="A13485" s="16" t="s">
        <v>87</v>
      </c>
      <c r="E13485" s="16" t="str">
        <f>IFERROR(__xludf.DUMMYFUNCTION("""COMPUTED_VALUE"""),"")</f>
        <v/>
      </c>
      <c r="G13485" s="18"/>
      <c r="H13485" s="16" t="s">
        <v>87</v>
      </c>
      <c r="I13485" s="16" t="s">
        <v>87</v>
      </c>
      <c r="J13485" s="19"/>
      <c r="L13485" s="16" t="str">
        <f>IFERROR(__xludf.DUMMYFUNCTION("""COMPUTED_VALUE"""),"")</f>
        <v/>
      </c>
      <c r="M13485" s="16" t="str">
        <f>IFERROR(__xludf.DUMMYFUNCTION("""COMPUTED_VALUE"""),"")</f>
        <v/>
      </c>
      <c r="U13485" s="16" t="s">
        <v>87</v>
      </c>
      <c r="V13485" s="16" t="str">
        <f>IFERROR(__xludf.DUMMYFUNCTION("""COMPUTED_VALUE"""),"")</f>
        <v/>
      </c>
      <c r="W13485" s="16" t="str">
        <f>IFERROR(__xludf.DUMMYFUNCTION("""COMPUTED_VALUE"""),"")</f>
        <v/>
      </c>
      <c r="X13485" s="16" t="str">
        <f>IFERROR(__xludf.DUMMYFUNCTION("""COMPUTED_VALUE"""),"")</f>
        <v/>
      </c>
      <c r="AC13485" s="16" t="str">
        <f>IFERROR(__xludf.DUMMYFUNCTION("""COMPUTED_VALUE"""),"")</f>
        <v/>
      </c>
    </row>
    <row r="13486">
      <c r="A13486" s="16" t="s">
        <v>87</v>
      </c>
      <c r="E13486" s="16" t="str">
        <f>IFERROR(__xludf.DUMMYFUNCTION("""COMPUTED_VALUE"""),"")</f>
        <v/>
      </c>
      <c r="G13486" s="18"/>
      <c r="H13486" s="16" t="s">
        <v>87</v>
      </c>
      <c r="I13486" s="16" t="s">
        <v>87</v>
      </c>
      <c r="J13486" s="19"/>
      <c r="L13486" s="16" t="str">
        <f>IFERROR(__xludf.DUMMYFUNCTION("""COMPUTED_VALUE"""),"")</f>
        <v/>
      </c>
      <c r="M13486" s="16" t="str">
        <f>IFERROR(__xludf.DUMMYFUNCTION("""COMPUTED_VALUE"""),"")</f>
        <v/>
      </c>
      <c r="U13486" s="16" t="s">
        <v>87</v>
      </c>
      <c r="V13486" s="16" t="str">
        <f>IFERROR(__xludf.DUMMYFUNCTION("""COMPUTED_VALUE"""),"")</f>
        <v/>
      </c>
      <c r="W13486" s="16" t="str">
        <f>IFERROR(__xludf.DUMMYFUNCTION("""COMPUTED_VALUE"""),"")</f>
        <v/>
      </c>
      <c r="X13486" s="16" t="str">
        <f>IFERROR(__xludf.DUMMYFUNCTION("""COMPUTED_VALUE"""),"")</f>
        <v/>
      </c>
      <c r="AC13486" s="16" t="str">
        <f>IFERROR(__xludf.DUMMYFUNCTION("""COMPUTED_VALUE"""),"")</f>
        <v/>
      </c>
    </row>
    <row r="13487">
      <c r="A13487" s="16" t="s">
        <v>87</v>
      </c>
      <c r="E13487" s="16" t="str">
        <f>IFERROR(__xludf.DUMMYFUNCTION("""COMPUTED_VALUE"""),"")</f>
        <v/>
      </c>
      <c r="G13487" s="18"/>
      <c r="H13487" s="16" t="s">
        <v>87</v>
      </c>
      <c r="I13487" s="16" t="s">
        <v>87</v>
      </c>
      <c r="J13487" s="19"/>
      <c r="L13487" s="16" t="str">
        <f>IFERROR(__xludf.DUMMYFUNCTION("""COMPUTED_VALUE"""),"")</f>
        <v/>
      </c>
      <c r="M13487" s="16" t="str">
        <f>IFERROR(__xludf.DUMMYFUNCTION("""COMPUTED_VALUE"""),"")</f>
        <v/>
      </c>
      <c r="U13487" s="16" t="s">
        <v>87</v>
      </c>
      <c r="V13487" s="16" t="str">
        <f>IFERROR(__xludf.DUMMYFUNCTION("""COMPUTED_VALUE"""),"")</f>
        <v/>
      </c>
      <c r="W13487" s="16" t="str">
        <f>IFERROR(__xludf.DUMMYFUNCTION("""COMPUTED_VALUE"""),"")</f>
        <v/>
      </c>
      <c r="X13487" s="16" t="str">
        <f>IFERROR(__xludf.DUMMYFUNCTION("""COMPUTED_VALUE"""),"")</f>
        <v/>
      </c>
      <c r="AC13487" s="16" t="str">
        <f>IFERROR(__xludf.DUMMYFUNCTION("""COMPUTED_VALUE"""),"")</f>
        <v/>
      </c>
    </row>
    <row r="13488">
      <c r="A13488" s="16" t="s">
        <v>87</v>
      </c>
      <c r="E13488" s="16" t="str">
        <f>IFERROR(__xludf.DUMMYFUNCTION("""COMPUTED_VALUE"""),"")</f>
        <v/>
      </c>
      <c r="G13488" s="18"/>
      <c r="H13488" s="16" t="s">
        <v>87</v>
      </c>
      <c r="I13488" s="16" t="s">
        <v>87</v>
      </c>
      <c r="J13488" s="19"/>
      <c r="L13488" s="16" t="str">
        <f>IFERROR(__xludf.DUMMYFUNCTION("""COMPUTED_VALUE"""),"")</f>
        <v/>
      </c>
      <c r="M13488" s="16" t="str">
        <f>IFERROR(__xludf.DUMMYFUNCTION("""COMPUTED_VALUE"""),"")</f>
        <v/>
      </c>
      <c r="U13488" s="16" t="s">
        <v>87</v>
      </c>
      <c r="V13488" s="16" t="str">
        <f>IFERROR(__xludf.DUMMYFUNCTION("""COMPUTED_VALUE"""),"")</f>
        <v/>
      </c>
      <c r="W13488" s="16" t="str">
        <f>IFERROR(__xludf.DUMMYFUNCTION("""COMPUTED_VALUE"""),"")</f>
        <v/>
      </c>
      <c r="X13488" s="16" t="str">
        <f>IFERROR(__xludf.DUMMYFUNCTION("""COMPUTED_VALUE"""),"")</f>
        <v/>
      </c>
      <c r="AC13488" s="16" t="str">
        <f>IFERROR(__xludf.DUMMYFUNCTION("""COMPUTED_VALUE"""),"")</f>
        <v/>
      </c>
    </row>
    <row r="13489">
      <c r="A13489" s="16" t="s">
        <v>87</v>
      </c>
      <c r="E13489" s="16" t="str">
        <f>IFERROR(__xludf.DUMMYFUNCTION("""COMPUTED_VALUE"""),"")</f>
        <v/>
      </c>
      <c r="G13489" s="18"/>
      <c r="H13489" s="16" t="s">
        <v>87</v>
      </c>
      <c r="I13489" s="16" t="s">
        <v>87</v>
      </c>
      <c r="J13489" s="19"/>
      <c r="L13489" s="16" t="str">
        <f>IFERROR(__xludf.DUMMYFUNCTION("""COMPUTED_VALUE"""),"")</f>
        <v/>
      </c>
      <c r="M13489" s="16" t="str">
        <f>IFERROR(__xludf.DUMMYFUNCTION("""COMPUTED_VALUE"""),"")</f>
        <v/>
      </c>
      <c r="U13489" s="16" t="s">
        <v>87</v>
      </c>
      <c r="V13489" s="16" t="str">
        <f>IFERROR(__xludf.DUMMYFUNCTION("""COMPUTED_VALUE"""),"")</f>
        <v/>
      </c>
      <c r="W13489" s="16" t="str">
        <f>IFERROR(__xludf.DUMMYFUNCTION("""COMPUTED_VALUE"""),"")</f>
        <v/>
      </c>
      <c r="X13489" s="16" t="str">
        <f>IFERROR(__xludf.DUMMYFUNCTION("""COMPUTED_VALUE"""),"")</f>
        <v/>
      </c>
      <c r="AC13489" s="16" t="str">
        <f>IFERROR(__xludf.DUMMYFUNCTION("""COMPUTED_VALUE"""),"")</f>
        <v/>
      </c>
    </row>
    <row r="13490">
      <c r="A13490" s="16" t="s">
        <v>87</v>
      </c>
      <c r="E13490" s="16" t="str">
        <f>IFERROR(__xludf.DUMMYFUNCTION("""COMPUTED_VALUE"""),"")</f>
        <v/>
      </c>
      <c r="G13490" s="18"/>
      <c r="H13490" s="16" t="s">
        <v>87</v>
      </c>
      <c r="I13490" s="16" t="s">
        <v>87</v>
      </c>
      <c r="J13490" s="19"/>
      <c r="L13490" s="16" t="str">
        <f>IFERROR(__xludf.DUMMYFUNCTION("""COMPUTED_VALUE"""),"")</f>
        <v/>
      </c>
      <c r="M13490" s="16" t="str">
        <f>IFERROR(__xludf.DUMMYFUNCTION("""COMPUTED_VALUE"""),"")</f>
        <v/>
      </c>
      <c r="U13490" s="16" t="s">
        <v>87</v>
      </c>
      <c r="V13490" s="16" t="str">
        <f>IFERROR(__xludf.DUMMYFUNCTION("""COMPUTED_VALUE"""),"")</f>
        <v/>
      </c>
      <c r="W13490" s="16" t="str">
        <f>IFERROR(__xludf.DUMMYFUNCTION("""COMPUTED_VALUE"""),"")</f>
        <v/>
      </c>
      <c r="X13490" s="16" t="str">
        <f>IFERROR(__xludf.DUMMYFUNCTION("""COMPUTED_VALUE"""),"")</f>
        <v/>
      </c>
      <c r="AC13490" s="16" t="str">
        <f>IFERROR(__xludf.DUMMYFUNCTION("""COMPUTED_VALUE"""),"")</f>
        <v/>
      </c>
    </row>
    <row r="13491">
      <c r="A13491" s="16" t="s">
        <v>87</v>
      </c>
      <c r="E13491" s="16" t="str">
        <f>IFERROR(__xludf.DUMMYFUNCTION("""COMPUTED_VALUE"""),"")</f>
        <v/>
      </c>
      <c r="G13491" s="18"/>
      <c r="H13491" s="16" t="s">
        <v>87</v>
      </c>
      <c r="I13491" s="16" t="s">
        <v>87</v>
      </c>
      <c r="J13491" s="19"/>
      <c r="L13491" s="16" t="str">
        <f>IFERROR(__xludf.DUMMYFUNCTION("""COMPUTED_VALUE"""),"")</f>
        <v/>
      </c>
      <c r="M13491" s="16" t="str">
        <f>IFERROR(__xludf.DUMMYFUNCTION("""COMPUTED_VALUE"""),"")</f>
        <v/>
      </c>
      <c r="U13491" s="16" t="s">
        <v>87</v>
      </c>
      <c r="V13491" s="16" t="str">
        <f>IFERROR(__xludf.DUMMYFUNCTION("""COMPUTED_VALUE"""),"")</f>
        <v/>
      </c>
      <c r="W13491" s="16" t="str">
        <f>IFERROR(__xludf.DUMMYFUNCTION("""COMPUTED_VALUE"""),"")</f>
        <v/>
      </c>
      <c r="X13491" s="16" t="str">
        <f>IFERROR(__xludf.DUMMYFUNCTION("""COMPUTED_VALUE"""),"")</f>
        <v/>
      </c>
      <c r="AC13491" s="16" t="str">
        <f>IFERROR(__xludf.DUMMYFUNCTION("""COMPUTED_VALUE"""),"")</f>
        <v/>
      </c>
    </row>
    <row r="13492">
      <c r="A13492" s="16" t="s">
        <v>87</v>
      </c>
      <c r="E13492" s="16" t="str">
        <f>IFERROR(__xludf.DUMMYFUNCTION("""COMPUTED_VALUE"""),"")</f>
        <v/>
      </c>
      <c r="G13492" s="18"/>
      <c r="H13492" s="16" t="s">
        <v>87</v>
      </c>
      <c r="I13492" s="16" t="s">
        <v>87</v>
      </c>
      <c r="J13492" s="19"/>
      <c r="L13492" s="16" t="str">
        <f>IFERROR(__xludf.DUMMYFUNCTION("""COMPUTED_VALUE"""),"")</f>
        <v/>
      </c>
      <c r="M13492" s="16" t="str">
        <f>IFERROR(__xludf.DUMMYFUNCTION("""COMPUTED_VALUE"""),"")</f>
        <v/>
      </c>
      <c r="U13492" s="16" t="s">
        <v>87</v>
      </c>
      <c r="V13492" s="16" t="str">
        <f>IFERROR(__xludf.DUMMYFUNCTION("""COMPUTED_VALUE"""),"")</f>
        <v/>
      </c>
      <c r="W13492" s="16" t="str">
        <f>IFERROR(__xludf.DUMMYFUNCTION("""COMPUTED_VALUE"""),"")</f>
        <v/>
      </c>
      <c r="X13492" s="16" t="str">
        <f>IFERROR(__xludf.DUMMYFUNCTION("""COMPUTED_VALUE"""),"")</f>
        <v/>
      </c>
      <c r="AC13492" s="16" t="str">
        <f>IFERROR(__xludf.DUMMYFUNCTION("""COMPUTED_VALUE"""),"")</f>
        <v/>
      </c>
    </row>
    <row r="13493">
      <c r="A13493" s="16" t="s">
        <v>87</v>
      </c>
      <c r="E13493" s="16" t="str">
        <f>IFERROR(__xludf.DUMMYFUNCTION("""COMPUTED_VALUE"""),"")</f>
        <v/>
      </c>
      <c r="G13493" s="18"/>
      <c r="H13493" s="16" t="s">
        <v>87</v>
      </c>
      <c r="I13493" s="16" t="s">
        <v>87</v>
      </c>
      <c r="J13493" s="19"/>
      <c r="L13493" s="16" t="str">
        <f>IFERROR(__xludf.DUMMYFUNCTION("""COMPUTED_VALUE"""),"")</f>
        <v/>
      </c>
      <c r="M13493" s="16" t="str">
        <f>IFERROR(__xludf.DUMMYFUNCTION("""COMPUTED_VALUE"""),"")</f>
        <v/>
      </c>
      <c r="U13493" s="16" t="s">
        <v>87</v>
      </c>
      <c r="V13493" s="16" t="str">
        <f>IFERROR(__xludf.DUMMYFUNCTION("""COMPUTED_VALUE"""),"")</f>
        <v/>
      </c>
      <c r="W13493" s="16" t="str">
        <f>IFERROR(__xludf.DUMMYFUNCTION("""COMPUTED_VALUE"""),"")</f>
        <v/>
      </c>
      <c r="X13493" s="16" t="str">
        <f>IFERROR(__xludf.DUMMYFUNCTION("""COMPUTED_VALUE"""),"")</f>
        <v/>
      </c>
      <c r="AC13493" s="16" t="str">
        <f>IFERROR(__xludf.DUMMYFUNCTION("""COMPUTED_VALUE"""),"")</f>
        <v/>
      </c>
    </row>
    <row r="13494">
      <c r="A13494" s="16" t="s">
        <v>87</v>
      </c>
      <c r="E13494" s="16" t="str">
        <f>IFERROR(__xludf.DUMMYFUNCTION("""COMPUTED_VALUE"""),"")</f>
        <v/>
      </c>
      <c r="G13494" s="18"/>
      <c r="H13494" s="16" t="s">
        <v>87</v>
      </c>
      <c r="I13494" s="16" t="s">
        <v>87</v>
      </c>
      <c r="J13494" s="19"/>
      <c r="L13494" s="16" t="str">
        <f>IFERROR(__xludf.DUMMYFUNCTION("""COMPUTED_VALUE"""),"")</f>
        <v/>
      </c>
      <c r="M13494" s="16" t="str">
        <f>IFERROR(__xludf.DUMMYFUNCTION("""COMPUTED_VALUE"""),"")</f>
        <v/>
      </c>
      <c r="U13494" s="16" t="s">
        <v>87</v>
      </c>
      <c r="V13494" s="16" t="str">
        <f>IFERROR(__xludf.DUMMYFUNCTION("""COMPUTED_VALUE"""),"")</f>
        <v/>
      </c>
      <c r="W13494" s="16" t="str">
        <f>IFERROR(__xludf.DUMMYFUNCTION("""COMPUTED_VALUE"""),"")</f>
        <v/>
      </c>
      <c r="X13494" s="16" t="str">
        <f>IFERROR(__xludf.DUMMYFUNCTION("""COMPUTED_VALUE"""),"")</f>
        <v/>
      </c>
      <c r="AC13494" s="16" t="str">
        <f>IFERROR(__xludf.DUMMYFUNCTION("""COMPUTED_VALUE"""),"")</f>
        <v/>
      </c>
    </row>
    <row r="13495">
      <c r="A13495" s="16" t="s">
        <v>87</v>
      </c>
      <c r="E13495" s="16" t="str">
        <f>IFERROR(__xludf.DUMMYFUNCTION("""COMPUTED_VALUE"""),"")</f>
        <v/>
      </c>
      <c r="G13495" s="18"/>
      <c r="H13495" s="16" t="s">
        <v>87</v>
      </c>
      <c r="I13495" s="16" t="s">
        <v>87</v>
      </c>
      <c r="J13495" s="19"/>
      <c r="L13495" s="16" t="str">
        <f>IFERROR(__xludf.DUMMYFUNCTION("""COMPUTED_VALUE"""),"")</f>
        <v/>
      </c>
      <c r="M13495" s="16" t="str">
        <f>IFERROR(__xludf.DUMMYFUNCTION("""COMPUTED_VALUE"""),"")</f>
        <v/>
      </c>
      <c r="U13495" s="16" t="s">
        <v>87</v>
      </c>
      <c r="V13495" s="16" t="str">
        <f>IFERROR(__xludf.DUMMYFUNCTION("""COMPUTED_VALUE"""),"")</f>
        <v/>
      </c>
      <c r="W13495" s="16" t="str">
        <f>IFERROR(__xludf.DUMMYFUNCTION("""COMPUTED_VALUE"""),"")</f>
        <v/>
      </c>
      <c r="X13495" s="16" t="str">
        <f>IFERROR(__xludf.DUMMYFUNCTION("""COMPUTED_VALUE"""),"")</f>
        <v/>
      </c>
      <c r="AC13495" s="16" t="str">
        <f>IFERROR(__xludf.DUMMYFUNCTION("""COMPUTED_VALUE"""),"")</f>
        <v/>
      </c>
    </row>
    <row r="13496">
      <c r="A13496" s="16" t="s">
        <v>87</v>
      </c>
      <c r="E13496" s="16" t="str">
        <f>IFERROR(__xludf.DUMMYFUNCTION("""COMPUTED_VALUE"""),"")</f>
        <v/>
      </c>
      <c r="G13496" s="18"/>
      <c r="H13496" s="16" t="s">
        <v>87</v>
      </c>
      <c r="I13496" s="16" t="s">
        <v>87</v>
      </c>
      <c r="J13496" s="19"/>
      <c r="L13496" s="16" t="str">
        <f>IFERROR(__xludf.DUMMYFUNCTION("""COMPUTED_VALUE"""),"")</f>
        <v/>
      </c>
      <c r="M13496" s="16" t="str">
        <f>IFERROR(__xludf.DUMMYFUNCTION("""COMPUTED_VALUE"""),"")</f>
        <v/>
      </c>
      <c r="U13496" s="16" t="s">
        <v>87</v>
      </c>
      <c r="V13496" s="16" t="str">
        <f>IFERROR(__xludf.DUMMYFUNCTION("""COMPUTED_VALUE"""),"")</f>
        <v/>
      </c>
      <c r="W13496" s="16" t="str">
        <f>IFERROR(__xludf.DUMMYFUNCTION("""COMPUTED_VALUE"""),"")</f>
        <v/>
      </c>
      <c r="X13496" s="16" t="str">
        <f>IFERROR(__xludf.DUMMYFUNCTION("""COMPUTED_VALUE"""),"")</f>
        <v/>
      </c>
      <c r="AC13496" s="16" t="str">
        <f>IFERROR(__xludf.DUMMYFUNCTION("""COMPUTED_VALUE"""),"")</f>
        <v/>
      </c>
    </row>
    <row r="13497">
      <c r="A13497" s="16" t="s">
        <v>87</v>
      </c>
      <c r="E13497" s="16" t="str">
        <f>IFERROR(__xludf.DUMMYFUNCTION("""COMPUTED_VALUE"""),"")</f>
        <v/>
      </c>
      <c r="G13497" s="18"/>
      <c r="H13497" s="16" t="s">
        <v>87</v>
      </c>
      <c r="I13497" s="16" t="s">
        <v>87</v>
      </c>
      <c r="J13497" s="19"/>
      <c r="L13497" s="16" t="str">
        <f>IFERROR(__xludf.DUMMYFUNCTION("""COMPUTED_VALUE"""),"")</f>
        <v/>
      </c>
      <c r="M13497" s="16" t="str">
        <f>IFERROR(__xludf.DUMMYFUNCTION("""COMPUTED_VALUE"""),"")</f>
        <v/>
      </c>
      <c r="U13497" s="16" t="s">
        <v>87</v>
      </c>
      <c r="V13497" s="16" t="str">
        <f>IFERROR(__xludf.DUMMYFUNCTION("""COMPUTED_VALUE"""),"")</f>
        <v/>
      </c>
      <c r="W13497" s="16" t="str">
        <f>IFERROR(__xludf.DUMMYFUNCTION("""COMPUTED_VALUE"""),"")</f>
        <v/>
      </c>
      <c r="X13497" s="16" t="str">
        <f>IFERROR(__xludf.DUMMYFUNCTION("""COMPUTED_VALUE"""),"")</f>
        <v/>
      </c>
      <c r="AC13497" s="16" t="str">
        <f>IFERROR(__xludf.DUMMYFUNCTION("""COMPUTED_VALUE"""),"")</f>
        <v/>
      </c>
    </row>
    <row r="13498">
      <c r="A13498" s="16" t="s">
        <v>87</v>
      </c>
      <c r="E13498" s="16" t="str">
        <f>IFERROR(__xludf.DUMMYFUNCTION("""COMPUTED_VALUE"""),"")</f>
        <v/>
      </c>
      <c r="G13498" s="18"/>
      <c r="H13498" s="16" t="s">
        <v>87</v>
      </c>
      <c r="I13498" s="16" t="s">
        <v>87</v>
      </c>
      <c r="J13498" s="19"/>
      <c r="L13498" s="16" t="str">
        <f>IFERROR(__xludf.DUMMYFUNCTION("""COMPUTED_VALUE"""),"")</f>
        <v/>
      </c>
      <c r="M13498" s="16" t="str">
        <f>IFERROR(__xludf.DUMMYFUNCTION("""COMPUTED_VALUE"""),"")</f>
        <v/>
      </c>
      <c r="U13498" s="16" t="s">
        <v>87</v>
      </c>
      <c r="V13498" s="16" t="str">
        <f>IFERROR(__xludf.DUMMYFUNCTION("""COMPUTED_VALUE"""),"")</f>
        <v/>
      </c>
      <c r="W13498" s="16" t="str">
        <f>IFERROR(__xludf.DUMMYFUNCTION("""COMPUTED_VALUE"""),"")</f>
        <v/>
      </c>
      <c r="X13498" s="16" t="str">
        <f>IFERROR(__xludf.DUMMYFUNCTION("""COMPUTED_VALUE"""),"")</f>
        <v/>
      </c>
      <c r="AC13498" s="16" t="str">
        <f>IFERROR(__xludf.DUMMYFUNCTION("""COMPUTED_VALUE"""),"")</f>
        <v/>
      </c>
    </row>
    <row r="13499">
      <c r="A13499" s="16" t="s">
        <v>87</v>
      </c>
      <c r="E13499" s="16" t="str">
        <f>IFERROR(__xludf.DUMMYFUNCTION("""COMPUTED_VALUE"""),"")</f>
        <v/>
      </c>
      <c r="G13499" s="18"/>
      <c r="H13499" s="16" t="s">
        <v>87</v>
      </c>
      <c r="I13499" s="16" t="s">
        <v>87</v>
      </c>
      <c r="J13499" s="19"/>
      <c r="L13499" s="16" t="str">
        <f>IFERROR(__xludf.DUMMYFUNCTION("""COMPUTED_VALUE"""),"")</f>
        <v/>
      </c>
      <c r="M13499" s="16" t="str">
        <f>IFERROR(__xludf.DUMMYFUNCTION("""COMPUTED_VALUE"""),"")</f>
        <v/>
      </c>
      <c r="U13499" s="16" t="s">
        <v>87</v>
      </c>
      <c r="V13499" s="16" t="str">
        <f>IFERROR(__xludf.DUMMYFUNCTION("""COMPUTED_VALUE"""),"")</f>
        <v/>
      </c>
      <c r="W13499" s="16" t="str">
        <f>IFERROR(__xludf.DUMMYFUNCTION("""COMPUTED_VALUE"""),"")</f>
        <v/>
      </c>
      <c r="X13499" s="16" t="str">
        <f>IFERROR(__xludf.DUMMYFUNCTION("""COMPUTED_VALUE"""),"")</f>
        <v/>
      </c>
      <c r="AC13499" s="16" t="str">
        <f>IFERROR(__xludf.DUMMYFUNCTION("""COMPUTED_VALUE"""),"")</f>
        <v/>
      </c>
    </row>
    <row r="13500">
      <c r="A13500" s="16" t="s">
        <v>87</v>
      </c>
      <c r="E13500" s="16" t="str">
        <f>IFERROR(__xludf.DUMMYFUNCTION("""COMPUTED_VALUE"""),"")</f>
        <v/>
      </c>
      <c r="G13500" s="18"/>
      <c r="H13500" s="16" t="s">
        <v>87</v>
      </c>
      <c r="I13500" s="16" t="s">
        <v>87</v>
      </c>
      <c r="J13500" s="19"/>
      <c r="L13500" s="16" t="str">
        <f>IFERROR(__xludf.DUMMYFUNCTION("""COMPUTED_VALUE"""),"")</f>
        <v/>
      </c>
      <c r="M13500" s="16" t="str">
        <f>IFERROR(__xludf.DUMMYFUNCTION("""COMPUTED_VALUE"""),"")</f>
        <v/>
      </c>
      <c r="U13500" s="16" t="s">
        <v>87</v>
      </c>
      <c r="V13500" s="16" t="str">
        <f>IFERROR(__xludf.DUMMYFUNCTION("""COMPUTED_VALUE"""),"")</f>
        <v/>
      </c>
      <c r="W13500" s="16" t="str">
        <f>IFERROR(__xludf.DUMMYFUNCTION("""COMPUTED_VALUE"""),"")</f>
        <v/>
      </c>
      <c r="X13500" s="16" t="str">
        <f>IFERROR(__xludf.DUMMYFUNCTION("""COMPUTED_VALUE"""),"")</f>
        <v/>
      </c>
      <c r="AC13500" s="16" t="str">
        <f>IFERROR(__xludf.DUMMYFUNCTION("""COMPUTED_VALUE"""),"")</f>
        <v/>
      </c>
    </row>
    <row r="13501">
      <c r="A13501" s="16" t="s">
        <v>87</v>
      </c>
      <c r="E13501" s="16" t="str">
        <f>IFERROR(__xludf.DUMMYFUNCTION("""COMPUTED_VALUE"""),"")</f>
        <v/>
      </c>
      <c r="G13501" s="18"/>
      <c r="H13501" s="16" t="s">
        <v>87</v>
      </c>
      <c r="I13501" s="16" t="s">
        <v>87</v>
      </c>
      <c r="J13501" s="19"/>
      <c r="L13501" s="16" t="str">
        <f>IFERROR(__xludf.DUMMYFUNCTION("""COMPUTED_VALUE"""),"")</f>
        <v/>
      </c>
      <c r="M13501" s="16" t="str">
        <f>IFERROR(__xludf.DUMMYFUNCTION("""COMPUTED_VALUE"""),"")</f>
        <v/>
      </c>
      <c r="U13501" s="16" t="s">
        <v>87</v>
      </c>
      <c r="V13501" s="16" t="str">
        <f>IFERROR(__xludf.DUMMYFUNCTION("""COMPUTED_VALUE"""),"")</f>
        <v/>
      </c>
      <c r="W13501" s="16" t="str">
        <f>IFERROR(__xludf.DUMMYFUNCTION("""COMPUTED_VALUE"""),"")</f>
        <v/>
      </c>
      <c r="X13501" s="16" t="str">
        <f>IFERROR(__xludf.DUMMYFUNCTION("""COMPUTED_VALUE"""),"")</f>
        <v/>
      </c>
      <c r="AC13501" s="16" t="str">
        <f>IFERROR(__xludf.DUMMYFUNCTION("""COMPUTED_VALUE"""),"")</f>
        <v/>
      </c>
    </row>
    <row r="13502">
      <c r="A13502" s="16" t="s">
        <v>87</v>
      </c>
      <c r="E13502" s="16" t="str">
        <f>IFERROR(__xludf.DUMMYFUNCTION("""COMPUTED_VALUE"""),"")</f>
        <v/>
      </c>
      <c r="G13502" s="18"/>
      <c r="H13502" s="16" t="s">
        <v>87</v>
      </c>
      <c r="I13502" s="16" t="s">
        <v>87</v>
      </c>
      <c r="J13502" s="19"/>
      <c r="L13502" s="16" t="str">
        <f>IFERROR(__xludf.DUMMYFUNCTION("""COMPUTED_VALUE"""),"")</f>
        <v/>
      </c>
      <c r="M13502" s="16" t="str">
        <f>IFERROR(__xludf.DUMMYFUNCTION("""COMPUTED_VALUE"""),"")</f>
        <v/>
      </c>
      <c r="U13502" s="16" t="s">
        <v>87</v>
      </c>
      <c r="V13502" s="16" t="str">
        <f>IFERROR(__xludf.DUMMYFUNCTION("""COMPUTED_VALUE"""),"")</f>
        <v/>
      </c>
      <c r="W13502" s="16" t="str">
        <f>IFERROR(__xludf.DUMMYFUNCTION("""COMPUTED_VALUE"""),"")</f>
        <v/>
      </c>
      <c r="X13502" s="16" t="str">
        <f>IFERROR(__xludf.DUMMYFUNCTION("""COMPUTED_VALUE"""),"")</f>
        <v/>
      </c>
      <c r="AC13502" s="16" t="str">
        <f>IFERROR(__xludf.DUMMYFUNCTION("""COMPUTED_VALUE"""),"")</f>
        <v/>
      </c>
    </row>
    <row r="13503">
      <c r="A13503" s="16" t="s">
        <v>87</v>
      </c>
      <c r="E13503" s="16" t="str">
        <f>IFERROR(__xludf.DUMMYFUNCTION("""COMPUTED_VALUE"""),"")</f>
        <v/>
      </c>
      <c r="G13503" s="18"/>
      <c r="H13503" s="16" t="s">
        <v>87</v>
      </c>
      <c r="I13503" s="16" t="s">
        <v>87</v>
      </c>
      <c r="J13503" s="19"/>
      <c r="L13503" s="16" t="str">
        <f>IFERROR(__xludf.DUMMYFUNCTION("""COMPUTED_VALUE"""),"")</f>
        <v/>
      </c>
      <c r="M13503" s="16" t="str">
        <f>IFERROR(__xludf.DUMMYFUNCTION("""COMPUTED_VALUE"""),"")</f>
        <v/>
      </c>
      <c r="U13503" s="16" t="s">
        <v>87</v>
      </c>
      <c r="V13503" s="16" t="str">
        <f>IFERROR(__xludf.DUMMYFUNCTION("""COMPUTED_VALUE"""),"")</f>
        <v/>
      </c>
      <c r="W13503" s="16" t="str">
        <f>IFERROR(__xludf.DUMMYFUNCTION("""COMPUTED_VALUE"""),"")</f>
        <v/>
      </c>
      <c r="X13503" s="16" t="str">
        <f>IFERROR(__xludf.DUMMYFUNCTION("""COMPUTED_VALUE"""),"")</f>
        <v/>
      </c>
      <c r="AC13503" s="16" t="str">
        <f>IFERROR(__xludf.DUMMYFUNCTION("""COMPUTED_VALUE"""),"")</f>
        <v/>
      </c>
    </row>
    <row r="13504">
      <c r="A13504" s="16" t="s">
        <v>87</v>
      </c>
      <c r="E13504" s="16" t="str">
        <f>IFERROR(__xludf.DUMMYFUNCTION("""COMPUTED_VALUE"""),"")</f>
        <v/>
      </c>
      <c r="G13504" s="18"/>
      <c r="H13504" s="16" t="s">
        <v>87</v>
      </c>
      <c r="I13504" s="16" t="s">
        <v>87</v>
      </c>
      <c r="J13504" s="19"/>
      <c r="L13504" s="16" t="str">
        <f>IFERROR(__xludf.DUMMYFUNCTION("""COMPUTED_VALUE"""),"")</f>
        <v/>
      </c>
      <c r="M13504" s="16" t="str">
        <f>IFERROR(__xludf.DUMMYFUNCTION("""COMPUTED_VALUE"""),"")</f>
        <v/>
      </c>
      <c r="U13504" s="16" t="s">
        <v>87</v>
      </c>
      <c r="V13504" s="16" t="str">
        <f>IFERROR(__xludf.DUMMYFUNCTION("""COMPUTED_VALUE"""),"")</f>
        <v/>
      </c>
      <c r="W13504" s="16" t="str">
        <f>IFERROR(__xludf.DUMMYFUNCTION("""COMPUTED_VALUE"""),"")</f>
        <v/>
      </c>
      <c r="X13504" s="16" t="str">
        <f>IFERROR(__xludf.DUMMYFUNCTION("""COMPUTED_VALUE"""),"")</f>
        <v/>
      </c>
      <c r="AC13504" s="16" t="str">
        <f>IFERROR(__xludf.DUMMYFUNCTION("""COMPUTED_VALUE"""),"")</f>
        <v/>
      </c>
    </row>
    <row r="13505">
      <c r="A13505" s="16" t="s">
        <v>87</v>
      </c>
      <c r="E13505" s="16" t="str">
        <f>IFERROR(__xludf.DUMMYFUNCTION("""COMPUTED_VALUE"""),"")</f>
        <v/>
      </c>
      <c r="G13505" s="18"/>
      <c r="H13505" s="16" t="s">
        <v>87</v>
      </c>
      <c r="I13505" s="16" t="s">
        <v>87</v>
      </c>
      <c r="J13505" s="19"/>
      <c r="L13505" s="16" t="str">
        <f>IFERROR(__xludf.DUMMYFUNCTION("""COMPUTED_VALUE"""),"")</f>
        <v/>
      </c>
      <c r="M13505" s="16" t="str">
        <f>IFERROR(__xludf.DUMMYFUNCTION("""COMPUTED_VALUE"""),"")</f>
        <v/>
      </c>
      <c r="U13505" s="16" t="s">
        <v>87</v>
      </c>
      <c r="V13505" s="16" t="str">
        <f>IFERROR(__xludf.DUMMYFUNCTION("""COMPUTED_VALUE"""),"")</f>
        <v/>
      </c>
      <c r="W13505" s="16" t="str">
        <f>IFERROR(__xludf.DUMMYFUNCTION("""COMPUTED_VALUE"""),"")</f>
        <v/>
      </c>
      <c r="X13505" s="16" t="str">
        <f>IFERROR(__xludf.DUMMYFUNCTION("""COMPUTED_VALUE"""),"")</f>
        <v/>
      </c>
      <c r="AC13505" s="16" t="str">
        <f>IFERROR(__xludf.DUMMYFUNCTION("""COMPUTED_VALUE"""),"")</f>
        <v/>
      </c>
    </row>
    <row r="13506">
      <c r="A13506" s="16" t="s">
        <v>87</v>
      </c>
      <c r="E13506" s="16" t="str">
        <f>IFERROR(__xludf.DUMMYFUNCTION("""COMPUTED_VALUE"""),"")</f>
        <v/>
      </c>
      <c r="G13506" s="18"/>
      <c r="H13506" s="16" t="s">
        <v>87</v>
      </c>
      <c r="I13506" s="16" t="s">
        <v>87</v>
      </c>
      <c r="J13506" s="19"/>
      <c r="L13506" s="16" t="str">
        <f>IFERROR(__xludf.DUMMYFUNCTION("""COMPUTED_VALUE"""),"")</f>
        <v/>
      </c>
      <c r="M13506" s="16" t="str">
        <f>IFERROR(__xludf.DUMMYFUNCTION("""COMPUTED_VALUE"""),"")</f>
        <v/>
      </c>
      <c r="U13506" s="16" t="s">
        <v>87</v>
      </c>
      <c r="V13506" s="16" t="str">
        <f>IFERROR(__xludf.DUMMYFUNCTION("""COMPUTED_VALUE"""),"")</f>
        <v/>
      </c>
      <c r="W13506" s="16" t="str">
        <f>IFERROR(__xludf.DUMMYFUNCTION("""COMPUTED_VALUE"""),"")</f>
        <v/>
      </c>
      <c r="X13506" s="16" t="str">
        <f>IFERROR(__xludf.DUMMYFUNCTION("""COMPUTED_VALUE"""),"")</f>
        <v/>
      </c>
      <c r="AC13506" s="16" t="str">
        <f>IFERROR(__xludf.DUMMYFUNCTION("""COMPUTED_VALUE"""),"")</f>
        <v/>
      </c>
    </row>
    <row r="13507">
      <c r="A13507" s="16" t="s">
        <v>87</v>
      </c>
      <c r="E13507" s="16" t="str">
        <f>IFERROR(__xludf.DUMMYFUNCTION("""COMPUTED_VALUE"""),"")</f>
        <v/>
      </c>
      <c r="G13507" s="18"/>
      <c r="H13507" s="16" t="s">
        <v>87</v>
      </c>
      <c r="I13507" s="16" t="s">
        <v>87</v>
      </c>
      <c r="J13507" s="19"/>
      <c r="L13507" s="16" t="str">
        <f>IFERROR(__xludf.DUMMYFUNCTION("""COMPUTED_VALUE"""),"")</f>
        <v/>
      </c>
      <c r="M13507" s="16" t="str">
        <f>IFERROR(__xludf.DUMMYFUNCTION("""COMPUTED_VALUE"""),"")</f>
        <v/>
      </c>
      <c r="U13507" s="16" t="s">
        <v>87</v>
      </c>
      <c r="V13507" s="16" t="str">
        <f>IFERROR(__xludf.DUMMYFUNCTION("""COMPUTED_VALUE"""),"")</f>
        <v/>
      </c>
      <c r="W13507" s="16" t="str">
        <f>IFERROR(__xludf.DUMMYFUNCTION("""COMPUTED_VALUE"""),"")</f>
        <v/>
      </c>
      <c r="X13507" s="16" t="str">
        <f>IFERROR(__xludf.DUMMYFUNCTION("""COMPUTED_VALUE"""),"")</f>
        <v/>
      </c>
      <c r="AC13507" s="16" t="str">
        <f>IFERROR(__xludf.DUMMYFUNCTION("""COMPUTED_VALUE"""),"")</f>
        <v/>
      </c>
    </row>
    <row r="13508">
      <c r="A13508" s="16" t="s">
        <v>87</v>
      </c>
      <c r="E13508" s="16" t="str">
        <f>IFERROR(__xludf.DUMMYFUNCTION("""COMPUTED_VALUE"""),"")</f>
        <v/>
      </c>
      <c r="G13508" s="18"/>
      <c r="H13508" s="16" t="s">
        <v>87</v>
      </c>
      <c r="I13508" s="16" t="s">
        <v>87</v>
      </c>
      <c r="J13508" s="19"/>
      <c r="L13508" s="16" t="str">
        <f>IFERROR(__xludf.DUMMYFUNCTION("""COMPUTED_VALUE"""),"")</f>
        <v/>
      </c>
      <c r="M13508" s="16" t="str">
        <f>IFERROR(__xludf.DUMMYFUNCTION("""COMPUTED_VALUE"""),"")</f>
        <v/>
      </c>
      <c r="U13508" s="16" t="s">
        <v>87</v>
      </c>
      <c r="V13508" s="16" t="str">
        <f>IFERROR(__xludf.DUMMYFUNCTION("""COMPUTED_VALUE"""),"")</f>
        <v/>
      </c>
      <c r="W13508" s="16" t="str">
        <f>IFERROR(__xludf.DUMMYFUNCTION("""COMPUTED_VALUE"""),"")</f>
        <v/>
      </c>
      <c r="X13508" s="16" t="str">
        <f>IFERROR(__xludf.DUMMYFUNCTION("""COMPUTED_VALUE"""),"")</f>
        <v/>
      </c>
      <c r="AC13508" s="16" t="str">
        <f>IFERROR(__xludf.DUMMYFUNCTION("""COMPUTED_VALUE"""),"")</f>
        <v/>
      </c>
    </row>
    <row r="13509">
      <c r="A13509" s="16" t="s">
        <v>87</v>
      </c>
      <c r="E13509" s="16" t="str">
        <f>IFERROR(__xludf.DUMMYFUNCTION("""COMPUTED_VALUE"""),"")</f>
        <v/>
      </c>
      <c r="G13509" s="18"/>
      <c r="H13509" s="16" t="s">
        <v>87</v>
      </c>
      <c r="I13509" s="16" t="s">
        <v>87</v>
      </c>
      <c r="J13509" s="19"/>
      <c r="L13509" s="16" t="str">
        <f>IFERROR(__xludf.DUMMYFUNCTION("""COMPUTED_VALUE"""),"")</f>
        <v/>
      </c>
      <c r="M13509" s="16" t="str">
        <f>IFERROR(__xludf.DUMMYFUNCTION("""COMPUTED_VALUE"""),"")</f>
        <v/>
      </c>
      <c r="U13509" s="16" t="s">
        <v>87</v>
      </c>
      <c r="V13509" s="16" t="str">
        <f>IFERROR(__xludf.DUMMYFUNCTION("""COMPUTED_VALUE"""),"")</f>
        <v/>
      </c>
      <c r="W13509" s="16" t="str">
        <f>IFERROR(__xludf.DUMMYFUNCTION("""COMPUTED_VALUE"""),"")</f>
        <v/>
      </c>
      <c r="X13509" s="16" t="str">
        <f>IFERROR(__xludf.DUMMYFUNCTION("""COMPUTED_VALUE"""),"")</f>
        <v/>
      </c>
      <c r="AC13509" s="16" t="str">
        <f>IFERROR(__xludf.DUMMYFUNCTION("""COMPUTED_VALUE"""),"")</f>
        <v/>
      </c>
    </row>
    <row r="13510">
      <c r="A13510" s="16" t="s">
        <v>87</v>
      </c>
      <c r="E13510" s="16" t="str">
        <f>IFERROR(__xludf.DUMMYFUNCTION("""COMPUTED_VALUE"""),"")</f>
        <v/>
      </c>
      <c r="G13510" s="18"/>
      <c r="H13510" s="16" t="s">
        <v>87</v>
      </c>
      <c r="I13510" s="16" t="s">
        <v>87</v>
      </c>
      <c r="J13510" s="19"/>
      <c r="L13510" s="16" t="str">
        <f>IFERROR(__xludf.DUMMYFUNCTION("""COMPUTED_VALUE"""),"")</f>
        <v/>
      </c>
      <c r="M13510" s="16" t="str">
        <f>IFERROR(__xludf.DUMMYFUNCTION("""COMPUTED_VALUE"""),"")</f>
        <v/>
      </c>
      <c r="U13510" s="16" t="s">
        <v>87</v>
      </c>
      <c r="V13510" s="16" t="str">
        <f>IFERROR(__xludf.DUMMYFUNCTION("""COMPUTED_VALUE"""),"")</f>
        <v/>
      </c>
      <c r="W13510" s="16" t="str">
        <f>IFERROR(__xludf.DUMMYFUNCTION("""COMPUTED_VALUE"""),"")</f>
        <v/>
      </c>
      <c r="X13510" s="16" t="str">
        <f>IFERROR(__xludf.DUMMYFUNCTION("""COMPUTED_VALUE"""),"")</f>
        <v/>
      </c>
      <c r="AC13510" s="16" t="str">
        <f>IFERROR(__xludf.DUMMYFUNCTION("""COMPUTED_VALUE"""),"")</f>
        <v/>
      </c>
    </row>
    <row r="13511">
      <c r="A13511" s="16" t="s">
        <v>87</v>
      </c>
      <c r="E13511" s="16" t="str">
        <f>IFERROR(__xludf.DUMMYFUNCTION("""COMPUTED_VALUE"""),"")</f>
        <v/>
      </c>
      <c r="G13511" s="18"/>
      <c r="H13511" s="16" t="s">
        <v>87</v>
      </c>
      <c r="I13511" s="16" t="s">
        <v>87</v>
      </c>
      <c r="J13511" s="19"/>
      <c r="L13511" s="16" t="str">
        <f>IFERROR(__xludf.DUMMYFUNCTION("""COMPUTED_VALUE"""),"")</f>
        <v/>
      </c>
      <c r="M13511" s="16" t="str">
        <f>IFERROR(__xludf.DUMMYFUNCTION("""COMPUTED_VALUE"""),"")</f>
        <v/>
      </c>
      <c r="U13511" s="16" t="s">
        <v>87</v>
      </c>
      <c r="V13511" s="16" t="str">
        <f>IFERROR(__xludf.DUMMYFUNCTION("""COMPUTED_VALUE"""),"")</f>
        <v/>
      </c>
      <c r="W13511" s="16" t="str">
        <f>IFERROR(__xludf.DUMMYFUNCTION("""COMPUTED_VALUE"""),"")</f>
        <v/>
      </c>
      <c r="X13511" s="16" t="str">
        <f>IFERROR(__xludf.DUMMYFUNCTION("""COMPUTED_VALUE"""),"")</f>
        <v/>
      </c>
      <c r="AC13511" s="16" t="str">
        <f>IFERROR(__xludf.DUMMYFUNCTION("""COMPUTED_VALUE"""),"")</f>
        <v/>
      </c>
    </row>
    <row r="13512">
      <c r="A13512" s="16" t="s">
        <v>87</v>
      </c>
      <c r="E13512" s="16" t="str">
        <f>IFERROR(__xludf.DUMMYFUNCTION("""COMPUTED_VALUE"""),"")</f>
        <v/>
      </c>
      <c r="G13512" s="18"/>
      <c r="H13512" s="16" t="s">
        <v>87</v>
      </c>
      <c r="I13512" s="16" t="s">
        <v>87</v>
      </c>
      <c r="J13512" s="19"/>
      <c r="L13512" s="16" t="str">
        <f>IFERROR(__xludf.DUMMYFUNCTION("""COMPUTED_VALUE"""),"")</f>
        <v/>
      </c>
      <c r="M13512" s="16" t="str">
        <f>IFERROR(__xludf.DUMMYFUNCTION("""COMPUTED_VALUE"""),"")</f>
        <v/>
      </c>
      <c r="U13512" s="16" t="s">
        <v>87</v>
      </c>
      <c r="V13512" s="16" t="str">
        <f>IFERROR(__xludf.DUMMYFUNCTION("""COMPUTED_VALUE"""),"")</f>
        <v/>
      </c>
      <c r="W13512" s="16" t="str">
        <f>IFERROR(__xludf.DUMMYFUNCTION("""COMPUTED_VALUE"""),"")</f>
        <v/>
      </c>
      <c r="X13512" s="16" t="str">
        <f>IFERROR(__xludf.DUMMYFUNCTION("""COMPUTED_VALUE"""),"")</f>
        <v/>
      </c>
      <c r="AC13512" s="16" t="str">
        <f>IFERROR(__xludf.DUMMYFUNCTION("""COMPUTED_VALUE"""),"")</f>
        <v/>
      </c>
    </row>
    <row r="13513">
      <c r="A13513" s="16" t="s">
        <v>87</v>
      </c>
      <c r="E13513" s="16" t="str">
        <f>IFERROR(__xludf.DUMMYFUNCTION("""COMPUTED_VALUE"""),"")</f>
        <v/>
      </c>
      <c r="G13513" s="18"/>
      <c r="H13513" s="16" t="s">
        <v>87</v>
      </c>
      <c r="I13513" s="16" t="s">
        <v>87</v>
      </c>
      <c r="J13513" s="19"/>
      <c r="L13513" s="16" t="str">
        <f>IFERROR(__xludf.DUMMYFUNCTION("""COMPUTED_VALUE"""),"")</f>
        <v/>
      </c>
      <c r="M13513" s="16" t="str">
        <f>IFERROR(__xludf.DUMMYFUNCTION("""COMPUTED_VALUE"""),"")</f>
        <v/>
      </c>
      <c r="U13513" s="16" t="s">
        <v>87</v>
      </c>
      <c r="V13513" s="16" t="str">
        <f>IFERROR(__xludf.DUMMYFUNCTION("""COMPUTED_VALUE"""),"")</f>
        <v/>
      </c>
      <c r="W13513" s="16" t="str">
        <f>IFERROR(__xludf.DUMMYFUNCTION("""COMPUTED_VALUE"""),"")</f>
        <v/>
      </c>
      <c r="X13513" s="16" t="str">
        <f>IFERROR(__xludf.DUMMYFUNCTION("""COMPUTED_VALUE"""),"")</f>
        <v/>
      </c>
      <c r="AC13513" s="16" t="str">
        <f>IFERROR(__xludf.DUMMYFUNCTION("""COMPUTED_VALUE"""),"")</f>
        <v/>
      </c>
    </row>
    <row r="13514">
      <c r="A13514" s="16" t="s">
        <v>87</v>
      </c>
      <c r="E13514" s="16" t="str">
        <f>IFERROR(__xludf.DUMMYFUNCTION("""COMPUTED_VALUE"""),"")</f>
        <v/>
      </c>
      <c r="G13514" s="18"/>
      <c r="H13514" s="16" t="s">
        <v>87</v>
      </c>
      <c r="I13514" s="16" t="s">
        <v>87</v>
      </c>
      <c r="J13514" s="19"/>
      <c r="L13514" s="16" t="str">
        <f>IFERROR(__xludf.DUMMYFUNCTION("""COMPUTED_VALUE"""),"")</f>
        <v/>
      </c>
      <c r="M13514" s="16" t="str">
        <f>IFERROR(__xludf.DUMMYFUNCTION("""COMPUTED_VALUE"""),"")</f>
        <v/>
      </c>
      <c r="U13514" s="16" t="s">
        <v>87</v>
      </c>
      <c r="V13514" s="16" t="str">
        <f>IFERROR(__xludf.DUMMYFUNCTION("""COMPUTED_VALUE"""),"")</f>
        <v/>
      </c>
      <c r="W13514" s="16" t="str">
        <f>IFERROR(__xludf.DUMMYFUNCTION("""COMPUTED_VALUE"""),"")</f>
        <v/>
      </c>
      <c r="X13514" s="16" t="str">
        <f>IFERROR(__xludf.DUMMYFUNCTION("""COMPUTED_VALUE"""),"")</f>
        <v/>
      </c>
      <c r="AC13514" s="16" t="str">
        <f>IFERROR(__xludf.DUMMYFUNCTION("""COMPUTED_VALUE"""),"")</f>
        <v/>
      </c>
    </row>
    <row r="13515">
      <c r="A13515" s="16" t="s">
        <v>87</v>
      </c>
      <c r="E13515" s="16" t="str">
        <f>IFERROR(__xludf.DUMMYFUNCTION("""COMPUTED_VALUE"""),"")</f>
        <v/>
      </c>
      <c r="G13515" s="18"/>
      <c r="H13515" s="16" t="s">
        <v>87</v>
      </c>
      <c r="I13515" s="16" t="s">
        <v>87</v>
      </c>
      <c r="J13515" s="19"/>
      <c r="L13515" s="16" t="str">
        <f>IFERROR(__xludf.DUMMYFUNCTION("""COMPUTED_VALUE"""),"")</f>
        <v/>
      </c>
      <c r="M13515" s="16" t="str">
        <f>IFERROR(__xludf.DUMMYFUNCTION("""COMPUTED_VALUE"""),"")</f>
        <v/>
      </c>
      <c r="U13515" s="16" t="s">
        <v>87</v>
      </c>
      <c r="V13515" s="16" t="str">
        <f>IFERROR(__xludf.DUMMYFUNCTION("""COMPUTED_VALUE"""),"")</f>
        <v/>
      </c>
      <c r="W13515" s="16" t="str">
        <f>IFERROR(__xludf.DUMMYFUNCTION("""COMPUTED_VALUE"""),"")</f>
        <v/>
      </c>
      <c r="X13515" s="16" t="str">
        <f>IFERROR(__xludf.DUMMYFUNCTION("""COMPUTED_VALUE"""),"")</f>
        <v/>
      </c>
      <c r="AC13515" s="16" t="str">
        <f>IFERROR(__xludf.DUMMYFUNCTION("""COMPUTED_VALUE"""),"")</f>
        <v/>
      </c>
    </row>
    <row r="13516">
      <c r="A13516" s="16" t="s">
        <v>87</v>
      </c>
      <c r="E13516" s="16" t="str">
        <f>IFERROR(__xludf.DUMMYFUNCTION("""COMPUTED_VALUE"""),"")</f>
        <v/>
      </c>
      <c r="G13516" s="18"/>
      <c r="H13516" s="16" t="s">
        <v>87</v>
      </c>
      <c r="I13516" s="16" t="s">
        <v>87</v>
      </c>
      <c r="J13516" s="19"/>
      <c r="L13516" s="16" t="str">
        <f>IFERROR(__xludf.DUMMYFUNCTION("""COMPUTED_VALUE"""),"")</f>
        <v/>
      </c>
      <c r="M13516" s="16" t="str">
        <f>IFERROR(__xludf.DUMMYFUNCTION("""COMPUTED_VALUE"""),"")</f>
        <v/>
      </c>
      <c r="U13516" s="16" t="s">
        <v>87</v>
      </c>
      <c r="V13516" s="16" t="str">
        <f>IFERROR(__xludf.DUMMYFUNCTION("""COMPUTED_VALUE"""),"")</f>
        <v/>
      </c>
      <c r="W13516" s="16" t="str">
        <f>IFERROR(__xludf.DUMMYFUNCTION("""COMPUTED_VALUE"""),"")</f>
        <v/>
      </c>
      <c r="X13516" s="16" t="str">
        <f>IFERROR(__xludf.DUMMYFUNCTION("""COMPUTED_VALUE"""),"")</f>
        <v/>
      </c>
      <c r="AC13516" s="16" t="str">
        <f>IFERROR(__xludf.DUMMYFUNCTION("""COMPUTED_VALUE"""),"")</f>
        <v/>
      </c>
    </row>
    <row r="13517">
      <c r="A13517" s="16" t="s">
        <v>87</v>
      </c>
      <c r="E13517" s="16" t="str">
        <f>IFERROR(__xludf.DUMMYFUNCTION("""COMPUTED_VALUE"""),"")</f>
        <v/>
      </c>
      <c r="G13517" s="18"/>
      <c r="H13517" s="16" t="s">
        <v>87</v>
      </c>
      <c r="I13517" s="16" t="s">
        <v>87</v>
      </c>
      <c r="J13517" s="19"/>
      <c r="L13517" s="16" t="str">
        <f>IFERROR(__xludf.DUMMYFUNCTION("""COMPUTED_VALUE"""),"")</f>
        <v/>
      </c>
      <c r="M13517" s="16" t="str">
        <f>IFERROR(__xludf.DUMMYFUNCTION("""COMPUTED_VALUE"""),"")</f>
        <v/>
      </c>
      <c r="U13517" s="16" t="s">
        <v>87</v>
      </c>
      <c r="V13517" s="16" t="str">
        <f>IFERROR(__xludf.DUMMYFUNCTION("""COMPUTED_VALUE"""),"")</f>
        <v/>
      </c>
      <c r="W13517" s="16" t="str">
        <f>IFERROR(__xludf.DUMMYFUNCTION("""COMPUTED_VALUE"""),"")</f>
        <v/>
      </c>
      <c r="X13517" s="16" t="str">
        <f>IFERROR(__xludf.DUMMYFUNCTION("""COMPUTED_VALUE"""),"")</f>
        <v/>
      </c>
      <c r="AC13517" s="16" t="str">
        <f>IFERROR(__xludf.DUMMYFUNCTION("""COMPUTED_VALUE"""),"")</f>
        <v/>
      </c>
    </row>
    <row r="13518">
      <c r="A13518" s="16" t="s">
        <v>87</v>
      </c>
      <c r="E13518" s="16" t="str">
        <f>IFERROR(__xludf.DUMMYFUNCTION("""COMPUTED_VALUE"""),"")</f>
        <v/>
      </c>
      <c r="G13518" s="18"/>
      <c r="H13518" s="16" t="s">
        <v>87</v>
      </c>
      <c r="I13518" s="16" t="s">
        <v>87</v>
      </c>
      <c r="J13518" s="19"/>
      <c r="L13518" s="16" t="str">
        <f>IFERROR(__xludf.DUMMYFUNCTION("""COMPUTED_VALUE"""),"")</f>
        <v/>
      </c>
      <c r="M13518" s="16" t="str">
        <f>IFERROR(__xludf.DUMMYFUNCTION("""COMPUTED_VALUE"""),"")</f>
        <v/>
      </c>
      <c r="U13518" s="16" t="s">
        <v>87</v>
      </c>
      <c r="V13518" s="16" t="str">
        <f>IFERROR(__xludf.DUMMYFUNCTION("""COMPUTED_VALUE"""),"")</f>
        <v/>
      </c>
      <c r="W13518" s="16" t="str">
        <f>IFERROR(__xludf.DUMMYFUNCTION("""COMPUTED_VALUE"""),"")</f>
        <v/>
      </c>
      <c r="X13518" s="16" t="str">
        <f>IFERROR(__xludf.DUMMYFUNCTION("""COMPUTED_VALUE"""),"")</f>
        <v/>
      </c>
      <c r="AC13518" s="16" t="str">
        <f>IFERROR(__xludf.DUMMYFUNCTION("""COMPUTED_VALUE"""),"")</f>
        <v/>
      </c>
    </row>
    <row r="13519">
      <c r="A13519" s="16" t="s">
        <v>87</v>
      </c>
      <c r="E13519" s="16" t="str">
        <f>IFERROR(__xludf.DUMMYFUNCTION("""COMPUTED_VALUE"""),"")</f>
        <v/>
      </c>
      <c r="G13519" s="18"/>
      <c r="H13519" s="16" t="s">
        <v>87</v>
      </c>
      <c r="I13519" s="16" t="s">
        <v>87</v>
      </c>
      <c r="J13519" s="19"/>
      <c r="L13519" s="16" t="str">
        <f>IFERROR(__xludf.DUMMYFUNCTION("""COMPUTED_VALUE"""),"")</f>
        <v/>
      </c>
      <c r="M13519" s="16" t="str">
        <f>IFERROR(__xludf.DUMMYFUNCTION("""COMPUTED_VALUE"""),"")</f>
        <v/>
      </c>
      <c r="U13519" s="16" t="s">
        <v>87</v>
      </c>
      <c r="V13519" s="16" t="str">
        <f>IFERROR(__xludf.DUMMYFUNCTION("""COMPUTED_VALUE"""),"")</f>
        <v/>
      </c>
      <c r="W13519" s="16" t="str">
        <f>IFERROR(__xludf.DUMMYFUNCTION("""COMPUTED_VALUE"""),"")</f>
        <v/>
      </c>
      <c r="X13519" s="16" t="str">
        <f>IFERROR(__xludf.DUMMYFUNCTION("""COMPUTED_VALUE"""),"")</f>
        <v/>
      </c>
      <c r="AC13519" s="16" t="str">
        <f>IFERROR(__xludf.DUMMYFUNCTION("""COMPUTED_VALUE"""),"")</f>
        <v/>
      </c>
    </row>
    <row r="13520">
      <c r="A13520" s="16" t="s">
        <v>87</v>
      </c>
      <c r="E13520" s="16" t="str">
        <f>IFERROR(__xludf.DUMMYFUNCTION("""COMPUTED_VALUE"""),"")</f>
        <v/>
      </c>
      <c r="G13520" s="18"/>
      <c r="H13520" s="16" t="s">
        <v>87</v>
      </c>
      <c r="I13520" s="16" t="s">
        <v>87</v>
      </c>
      <c r="J13520" s="19"/>
      <c r="L13520" s="16" t="str">
        <f>IFERROR(__xludf.DUMMYFUNCTION("""COMPUTED_VALUE"""),"")</f>
        <v/>
      </c>
      <c r="M13520" s="16" t="str">
        <f>IFERROR(__xludf.DUMMYFUNCTION("""COMPUTED_VALUE"""),"")</f>
        <v/>
      </c>
      <c r="U13520" s="16" t="s">
        <v>87</v>
      </c>
      <c r="V13520" s="16" t="str">
        <f>IFERROR(__xludf.DUMMYFUNCTION("""COMPUTED_VALUE"""),"")</f>
        <v/>
      </c>
      <c r="W13520" s="16" t="str">
        <f>IFERROR(__xludf.DUMMYFUNCTION("""COMPUTED_VALUE"""),"")</f>
        <v/>
      </c>
      <c r="X13520" s="16" t="str">
        <f>IFERROR(__xludf.DUMMYFUNCTION("""COMPUTED_VALUE"""),"")</f>
        <v/>
      </c>
      <c r="AC13520" s="16" t="str">
        <f>IFERROR(__xludf.DUMMYFUNCTION("""COMPUTED_VALUE"""),"")</f>
        <v/>
      </c>
    </row>
    <row r="13521">
      <c r="A13521" s="16" t="s">
        <v>87</v>
      </c>
      <c r="E13521" s="16" t="str">
        <f>IFERROR(__xludf.DUMMYFUNCTION("""COMPUTED_VALUE"""),"")</f>
        <v/>
      </c>
      <c r="G13521" s="18"/>
      <c r="H13521" s="16" t="s">
        <v>87</v>
      </c>
      <c r="I13521" s="16" t="s">
        <v>87</v>
      </c>
      <c r="J13521" s="19"/>
      <c r="L13521" s="16" t="str">
        <f>IFERROR(__xludf.DUMMYFUNCTION("""COMPUTED_VALUE"""),"")</f>
        <v/>
      </c>
      <c r="M13521" s="16" t="str">
        <f>IFERROR(__xludf.DUMMYFUNCTION("""COMPUTED_VALUE"""),"")</f>
        <v/>
      </c>
      <c r="U13521" s="16" t="s">
        <v>87</v>
      </c>
      <c r="V13521" s="16" t="str">
        <f>IFERROR(__xludf.DUMMYFUNCTION("""COMPUTED_VALUE"""),"")</f>
        <v/>
      </c>
      <c r="W13521" s="16" t="str">
        <f>IFERROR(__xludf.DUMMYFUNCTION("""COMPUTED_VALUE"""),"")</f>
        <v/>
      </c>
      <c r="X13521" s="16" t="str">
        <f>IFERROR(__xludf.DUMMYFUNCTION("""COMPUTED_VALUE"""),"")</f>
        <v/>
      </c>
      <c r="AC13521" s="16" t="str">
        <f>IFERROR(__xludf.DUMMYFUNCTION("""COMPUTED_VALUE"""),"")</f>
        <v/>
      </c>
    </row>
    <row r="13522">
      <c r="A13522" s="16" t="s">
        <v>87</v>
      </c>
      <c r="E13522" s="16" t="str">
        <f>IFERROR(__xludf.DUMMYFUNCTION("""COMPUTED_VALUE"""),"")</f>
        <v/>
      </c>
      <c r="G13522" s="18"/>
      <c r="H13522" s="16" t="s">
        <v>87</v>
      </c>
      <c r="I13522" s="16" t="s">
        <v>87</v>
      </c>
      <c r="J13522" s="19"/>
      <c r="L13522" s="16" t="str">
        <f>IFERROR(__xludf.DUMMYFUNCTION("""COMPUTED_VALUE"""),"")</f>
        <v/>
      </c>
      <c r="M13522" s="16" t="str">
        <f>IFERROR(__xludf.DUMMYFUNCTION("""COMPUTED_VALUE"""),"")</f>
        <v/>
      </c>
      <c r="U13522" s="16" t="s">
        <v>87</v>
      </c>
      <c r="V13522" s="16" t="str">
        <f>IFERROR(__xludf.DUMMYFUNCTION("""COMPUTED_VALUE"""),"")</f>
        <v/>
      </c>
      <c r="W13522" s="16" t="str">
        <f>IFERROR(__xludf.DUMMYFUNCTION("""COMPUTED_VALUE"""),"")</f>
        <v/>
      </c>
      <c r="X13522" s="16" t="str">
        <f>IFERROR(__xludf.DUMMYFUNCTION("""COMPUTED_VALUE"""),"")</f>
        <v/>
      </c>
      <c r="AC13522" s="16" t="str">
        <f>IFERROR(__xludf.DUMMYFUNCTION("""COMPUTED_VALUE"""),"")</f>
        <v/>
      </c>
    </row>
    <row r="13523">
      <c r="A13523" s="16" t="s">
        <v>87</v>
      </c>
      <c r="E13523" s="16" t="str">
        <f>IFERROR(__xludf.DUMMYFUNCTION("""COMPUTED_VALUE"""),"")</f>
        <v/>
      </c>
      <c r="G13523" s="18"/>
      <c r="H13523" s="16" t="s">
        <v>87</v>
      </c>
      <c r="I13523" s="16" t="s">
        <v>87</v>
      </c>
      <c r="J13523" s="19"/>
      <c r="L13523" s="16" t="str">
        <f>IFERROR(__xludf.DUMMYFUNCTION("""COMPUTED_VALUE"""),"")</f>
        <v/>
      </c>
      <c r="M13523" s="16" t="str">
        <f>IFERROR(__xludf.DUMMYFUNCTION("""COMPUTED_VALUE"""),"")</f>
        <v/>
      </c>
      <c r="U13523" s="16" t="s">
        <v>87</v>
      </c>
      <c r="V13523" s="16" t="str">
        <f>IFERROR(__xludf.DUMMYFUNCTION("""COMPUTED_VALUE"""),"")</f>
        <v/>
      </c>
      <c r="W13523" s="16" t="str">
        <f>IFERROR(__xludf.DUMMYFUNCTION("""COMPUTED_VALUE"""),"")</f>
        <v/>
      </c>
      <c r="X13523" s="16" t="str">
        <f>IFERROR(__xludf.DUMMYFUNCTION("""COMPUTED_VALUE"""),"")</f>
        <v/>
      </c>
      <c r="AC13523" s="16" t="str">
        <f>IFERROR(__xludf.DUMMYFUNCTION("""COMPUTED_VALUE"""),"")</f>
        <v/>
      </c>
    </row>
    <row r="13524">
      <c r="A13524" s="16" t="s">
        <v>87</v>
      </c>
      <c r="E13524" s="16" t="str">
        <f>IFERROR(__xludf.DUMMYFUNCTION("""COMPUTED_VALUE"""),"")</f>
        <v/>
      </c>
      <c r="G13524" s="18"/>
      <c r="H13524" s="16" t="s">
        <v>87</v>
      </c>
      <c r="I13524" s="16" t="s">
        <v>87</v>
      </c>
      <c r="J13524" s="19"/>
      <c r="L13524" s="16" t="str">
        <f>IFERROR(__xludf.DUMMYFUNCTION("""COMPUTED_VALUE"""),"")</f>
        <v/>
      </c>
      <c r="M13524" s="16" t="str">
        <f>IFERROR(__xludf.DUMMYFUNCTION("""COMPUTED_VALUE"""),"")</f>
        <v/>
      </c>
      <c r="U13524" s="16" t="s">
        <v>87</v>
      </c>
      <c r="V13524" s="16" t="str">
        <f>IFERROR(__xludf.DUMMYFUNCTION("""COMPUTED_VALUE"""),"")</f>
        <v/>
      </c>
      <c r="W13524" s="16" t="str">
        <f>IFERROR(__xludf.DUMMYFUNCTION("""COMPUTED_VALUE"""),"")</f>
        <v/>
      </c>
      <c r="X13524" s="16" t="str">
        <f>IFERROR(__xludf.DUMMYFUNCTION("""COMPUTED_VALUE"""),"")</f>
        <v/>
      </c>
      <c r="AC13524" s="16" t="str">
        <f>IFERROR(__xludf.DUMMYFUNCTION("""COMPUTED_VALUE"""),"")</f>
        <v/>
      </c>
    </row>
    <row r="13525">
      <c r="A13525" s="16" t="s">
        <v>87</v>
      </c>
      <c r="E13525" s="16" t="str">
        <f>IFERROR(__xludf.DUMMYFUNCTION("""COMPUTED_VALUE"""),"")</f>
        <v/>
      </c>
      <c r="G13525" s="18"/>
      <c r="H13525" s="16" t="s">
        <v>87</v>
      </c>
      <c r="I13525" s="16" t="s">
        <v>87</v>
      </c>
      <c r="J13525" s="19"/>
      <c r="L13525" s="16" t="str">
        <f>IFERROR(__xludf.DUMMYFUNCTION("""COMPUTED_VALUE"""),"")</f>
        <v/>
      </c>
      <c r="M13525" s="16" t="str">
        <f>IFERROR(__xludf.DUMMYFUNCTION("""COMPUTED_VALUE"""),"")</f>
        <v/>
      </c>
      <c r="U13525" s="16" t="s">
        <v>87</v>
      </c>
      <c r="V13525" s="16" t="str">
        <f>IFERROR(__xludf.DUMMYFUNCTION("""COMPUTED_VALUE"""),"")</f>
        <v/>
      </c>
      <c r="W13525" s="16" t="str">
        <f>IFERROR(__xludf.DUMMYFUNCTION("""COMPUTED_VALUE"""),"")</f>
        <v/>
      </c>
      <c r="X13525" s="16" t="str">
        <f>IFERROR(__xludf.DUMMYFUNCTION("""COMPUTED_VALUE"""),"")</f>
        <v/>
      </c>
      <c r="AC13525" s="16" t="str">
        <f>IFERROR(__xludf.DUMMYFUNCTION("""COMPUTED_VALUE"""),"")</f>
        <v/>
      </c>
    </row>
    <row r="13526">
      <c r="A13526" s="16" t="s">
        <v>87</v>
      </c>
      <c r="E13526" s="16" t="str">
        <f>IFERROR(__xludf.DUMMYFUNCTION("""COMPUTED_VALUE"""),"")</f>
        <v/>
      </c>
      <c r="G13526" s="18"/>
      <c r="H13526" s="16" t="s">
        <v>87</v>
      </c>
      <c r="I13526" s="16" t="s">
        <v>87</v>
      </c>
      <c r="J13526" s="19"/>
      <c r="L13526" s="16" t="str">
        <f>IFERROR(__xludf.DUMMYFUNCTION("""COMPUTED_VALUE"""),"")</f>
        <v/>
      </c>
      <c r="M13526" s="16" t="str">
        <f>IFERROR(__xludf.DUMMYFUNCTION("""COMPUTED_VALUE"""),"")</f>
        <v/>
      </c>
      <c r="U13526" s="16" t="s">
        <v>87</v>
      </c>
      <c r="V13526" s="16" t="str">
        <f>IFERROR(__xludf.DUMMYFUNCTION("""COMPUTED_VALUE"""),"")</f>
        <v/>
      </c>
      <c r="W13526" s="16" t="str">
        <f>IFERROR(__xludf.DUMMYFUNCTION("""COMPUTED_VALUE"""),"")</f>
        <v/>
      </c>
      <c r="X13526" s="16" t="str">
        <f>IFERROR(__xludf.DUMMYFUNCTION("""COMPUTED_VALUE"""),"")</f>
        <v/>
      </c>
      <c r="AC13526" s="16" t="str">
        <f>IFERROR(__xludf.DUMMYFUNCTION("""COMPUTED_VALUE"""),"")</f>
        <v/>
      </c>
    </row>
    <row r="13527">
      <c r="A13527" s="16" t="s">
        <v>87</v>
      </c>
      <c r="E13527" s="16" t="str">
        <f>IFERROR(__xludf.DUMMYFUNCTION("""COMPUTED_VALUE"""),"")</f>
        <v/>
      </c>
      <c r="G13527" s="18"/>
      <c r="H13527" s="16" t="s">
        <v>87</v>
      </c>
      <c r="I13527" s="16" t="s">
        <v>87</v>
      </c>
      <c r="J13527" s="19"/>
      <c r="L13527" s="16" t="str">
        <f>IFERROR(__xludf.DUMMYFUNCTION("""COMPUTED_VALUE"""),"")</f>
        <v/>
      </c>
      <c r="M13527" s="16" t="str">
        <f>IFERROR(__xludf.DUMMYFUNCTION("""COMPUTED_VALUE"""),"")</f>
        <v/>
      </c>
      <c r="U13527" s="16" t="s">
        <v>87</v>
      </c>
      <c r="V13527" s="16" t="str">
        <f>IFERROR(__xludf.DUMMYFUNCTION("""COMPUTED_VALUE"""),"")</f>
        <v/>
      </c>
      <c r="W13527" s="16" t="str">
        <f>IFERROR(__xludf.DUMMYFUNCTION("""COMPUTED_VALUE"""),"")</f>
        <v/>
      </c>
      <c r="X13527" s="16" t="str">
        <f>IFERROR(__xludf.DUMMYFUNCTION("""COMPUTED_VALUE"""),"")</f>
        <v/>
      </c>
      <c r="AC13527" s="16" t="str">
        <f>IFERROR(__xludf.DUMMYFUNCTION("""COMPUTED_VALUE"""),"")</f>
        <v/>
      </c>
    </row>
    <row r="13528">
      <c r="A13528" s="16" t="s">
        <v>87</v>
      </c>
      <c r="E13528" s="16" t="str">
        <f>IFERROR(__xludf.DUMMYFUNCTION("""COMPUTED_VALUE"""),"")</f>
        <v/>
      </c>
      <c r="G13528" s="18"/>
      <c r="H13528" s="16" t="s">
        <v>87</v>
      </c>
      <c r="I13528" s="16" t="s">
        <v>87</v>
      </c>
      <c r="J13528" s="19"/>
      <c r="L13528" s="16" t="str">
        <f>IFERROR(__xludf.DUMMYFUNCTION("""COMPUTED_VALUE"""),"")</f>
        <v/>
      </c>
      <c r="M13528" s="16" t="str">
        <f>IFERROR(__xludf.DUMMYFUNCTION("""COMPUTED_VALUE"""),"")</f>
        <v/>
      </c>
      <c r="U13528" s="16" t="s">
        <v>87</v>
      </c>
      <c r="V13528" s="16" t="str">
        <f>IFERROR(__xludf.DUMMYFUNCTION("""COMPUTED_VALUE"""),"")</f>
        <v/>
      </c>
      <c r="W13528" s="16" t="str">
        <f>IFERROR(__xludf.DUMMYFUNCTION("""COMPUTED_VALUE"""),"")</f>
        <v/>
      </c>
      <c r="X13528" s="16" t="str">
        <f>IFERROR(__xludf.DUMMYFUNCTION("""COMPUTED_VALUE"""),"")</f>
        <v/>
      </c>
      <c r="AC13528" s="16" t="str">
        <f>IFERROR(__xludf.DUMMYFUNCTION("""COMPUTED_VALUE"""),"")</f>
        <v/>
      </c>
    </row>
    <row r="13529">
      <c r="A13529" s="16" t="s">
        <v>87</v>
      </c>
      <c r="E13529" s="16" t="str">
        <f>IFERROR(__xludf.DUMMYFUNCTION("""COMPUTED_VALUE"""),"")</f>
        <v/>
      </c>
      <c r="G13529" s="18"/>
      <c r="H13529" s="16" t="s">
        <v>87</v>
      </c>
      <c r="I13529" s="16" t="s">
        <v>87</v>
      </c>
      <c r="J13529" s="19"/>
      <c r="L13529" s="16" t="str">
        <f>IFERROR(__xludf.DUMMYFUNCTION("""COMPUTED_VALUE"""),"")</f>
        <v/>
      </c>
      <c r="M13529" s="16" t="str">
        <f>IFERROR(__xludf.DUMMYFUNCTION("""COMPUTED_VALUE"""),"")</f>
        <v/>
      </c>
      <c r="U13529" s="16" t="s">
        <v>87</v>
      </c>
      <c r="V13529" s="16" t="str">
        <f>IFERROR(__xludf.DUMMYFUNCTION("""COMPUTED_VALUE"""),"")</f>
        <v/>
      </c>
      <c r="W13529" s="16" t="str">
        <f>IFERROR(__xludf.DUMMYFUNCTION("""COMPUTED_VALUE"""),"")</f>
        <v/>
      </c>
      <c r="X13529" s="16" t="str">
        <f>IFERROR(__xludf.DUMMYFUNCTION("""COMPUTED_VALUE"""),"")</f>
        <v/>
      </c>
      <c r="AC13529" s="16" t="str">
        <f>IFERROR(__xludf.DUMMYFUNCTION("""COMPUTED_VALUE"""),"")</f>
        <v/>
      </c>
    </row>
    <row r="13530">
      <c r="A13530" s="16" t="s">
        <v>87</v>
      </c>
      <c r="E13530" s="16" t="str">
        <f>IFERROR(__xludf.DUMMYFUNCTION("""COMPUTED_VALUE"""),"")</f>
        <v/>
      </c>
      <c r="G13530" s="18"/>
      <c r="H13530" s="16" t="s">
        <v>87</v>
      </c>
      <c r="I13530" s="16" t="s">
        <v>87</v>
      </c>
      <c r="J13530" s="19"/>
      <c r="L13530" s="16" t="str">
        <f>IFERROR(__xludf.DUMMYFUNCTION("""COMPUTED_VALUE"""),"")</f>
        <v/>
      </c>
      <c r="M13530" s="16" t="str">
        <f>IFERROR(__xludf.DUMMYFUNCTION("""COMPUTED_VALUE"""),"")</f>
        <v/>
      </c>
      <c r="U13530" s="16" t="s">
        <v>87</v>
      </c>
      <c r="V13530" s="16" t="str">
        <f>IFERROR(__xludf.DUMMYFUNCTION("""COMPUTED_VALUE"""),"")</f>
        <v/>
      </c>
      <c r="W13530" s="16" t="str">
        <f>IFERROR(__xludf.DUMMYFUNCTION("""COMPUTED_VALUE"""),"")</f>
        <v/>
      </c>
      <c r="X13530" s="16" t="str">
        <f>IFERROR(__xludf.DUMMYFUNCTION("""COMPUTED_VALUE"""),"")</f>
        <v/>
      </c>
      <c r="AC13530" s="16" t="str">
        <f>IFERROR(__xludf.DUMMYFUNCTION("""COMPUTED_VALUE"""),"")</f>
        <v/>
      </c>
    </row>
    <row r="13531">
      <c r="A13531" s="16" t="s">
        <v>87</v>
      </c>
      <c r="E13531" s="16" t="str">
        <f>IFERROR(__xludf.DUMMYFUNCTION("""COMPUTED_VALUE"""),"")</f>
        <v/>
      </c>
      <c r="G13531" s="18"/>
      <c r="H13531" s="16" t="s">
        <v>87</v>
      </c>
      <c r="I13531" s="16" t="s">
        <v>87</v>
      </c>
      <c r="J13531" s="19"/>
      <c r="L13531" s="16" t="str">
        <f>IFERROR(__xludf.DUMMYFUNCTION("""COMPUTED_VALUE"""),"")</f>
        <v/>
      </c>
      <c r="M13531" s="16" t="str">
        <f>IFERROR(__xludf.DUMMYFUNCTION("""COMPUTED_VALUE"""),"")</f>
        <v/>
      </c>
      <c r="U13531" s="16" t="s">
        <v>87</v>
      </c>
      <c r="V13531" s="16" t="str">
        <f>IFERROR(__xludf.DUMMYFUNCTION("""COMPUTED_VALUE"""),"")</f>
        <v/>
      </c>
      <c r="W13531" s="16" t="str">
        <f>IFERROR(__xludf.DUMMYFUNCTION("""COMPUTED_VALUE"""),"")</f>
        <v/>
      </c>
      <c r="X13531" s="16" t="str">
        <f>IFERROR(__xludf.DUMMYFUNCTION("""COMPUTED_VALUE"""),"")</f>
        <v/>
      </c>
      <c r="AC13531" s="16" t="str">
        <f>IFERROR(__xludf.DUMMYFUNCTION("""COMPUTED_VALUE"""),"")</f>
        <v/>
      </c>
    </row>
    <row r="13532">
      <c r="A13532" s="16" t="s">
        <v>87</v>
      </c>
      <c r="E13532" s="16" t="str">
        <f>IFERROR(__xludf.DUMMYFUNCTION("""COMPUTED_VALUE"""),"")</f>
        <v/>
      </c>
      <c r="G13532" s="18"/>
      <c r="H13532" s="16" t="s">
        <v>87</v>
      </c>
      <c r="I13532" s="16" t="s">
        <v>87</v>
      </c>
      <c r="J13532" s="19"/>
      <c r="L13532" s="16" t="str">
        <f>IFERROR(__xludf.DUMMYFUNCTION("""COMPUTED_VALUE"""),"")</f>
        <v/>
      </c>
      <c r="M13532" s="16" t="str">
        <f>IFERROR(__xludf.DUMMYFUNCTION("""COMPUTED_VALUE"""),"")</f>
        <v/>
      </c>
      <c r="U13532" s="16" t="s">
        <v>87</v>
      </c>
      <c r="V13532" s="16" t="str">
        <f>IFERROR(__xludf.DUMMYFUNCTION("""COMPUTED_VALUE"""),"")</f>
        <v/>
      </c>
      <c r="W13532" s="16" t="str">
        <f>IFERROR(__xludf.DUMMYFUNCTION("""COMPUTED_VALUE"""),"")</f>
        <v/>
      </c>
      <c r="X13532" s="16" t="str">
        <f>IFERROR(__xludf.DUMMYFUNCTION("""COMPUTED_VALUE"""),"")</f>
        <v/>
      </c>
      <c r="AC13532" s="16" t="str">
        <f>IFERROR(__xludf.DUMMYFUNCTION("""COMPUTED_VALUE"""),"")</f>
        <v/>
      </c>
    </row>
    <row r="13533">
      <c r="A13533" s="16" t="s">
        <v>87</v>
      </c>
      <c r="E13533" s="16" t="str">
        <f>IFERROR(__xludf.DUMMYFUNCTION("""COMPUTED_VALUE"""),"")</f>
        <v/>
      </c>
      <c r="G13533" s="18"/>
      <c r="H13533" s="16" t="s">
        <v>87</v>
      </c>
      <c r="I13533" s="16" t="s">
        <v>87</v>
      </c>
      <c r="J13533" s="19"/>
      <c r="L13533" s="16" t="str">
        <f>IFERROR(__xludf.DUMMYFUNCTION("""COMPUTED_VALUE"""),"")</f>
        <v/>
      </c>
      <c r="M13533" s="16" t="str">
        <f>IFERROR(__xludf.DUMMYFUNCTION("""COMPUTED_VALUE"""),"")</f>
        <v/>
      </c>
      <c r="U13533" s="16" t="s">
        <v>87</v>
      </c>
      <c r="V13533" s="16" t="str">
        <f>IFERROR(__xludf.DUMMYFUNCTION("""COMPUTED_VALUE"""),"")</f>
        <v/>
      </c>
      <c r="W13533" s="16" t="str">
        <f>IFERROR(__xludf.DUMMYFUNCTION("""COMPUTED_VALUE"""),"")</f>
        <v/>
      </c>
      <c r="X13533" s="16" t="str">
        <f>IFERROR(__xludf.DUMMYFUNCTION("""COMPUTED_VALUE"""),"")</f>
        <v/>
      </c>
      <c r="AC13533" s="16" t="str">
        <f>IFERROR(__xludf.DUMMYFUNCTION("""COMPUTED_VALUE"""),"")</f>
        <v/>
      </c>
    </row>
    <row r="13534">
      <c r="A13534" s="16" t="s">
        <v>87</v>
      </c>
      <c r="E13534" s="16" t="str">
        <f>IFERROR(__xludf.DUMMYFUNCTION("""COMPUTED_VALUE"""),"")</f>
        <v/>
      </c>
      <c r="G13534" s="18"/>
      <c r="H13534" s="16" t="s">
        <v>87</v>
      </c>
      <c r="I13534" s="16" t="s">
        <v>87</v>
      </c>
      <c r="J13534" s="19"/>
      <c r="L13534" s="16" t="str">
        <f>IFERROR(__xludf.DUMMYFUNCTION("""COMPUTED_VALUE"""),"")</f>
        <v/>
      </c>
      <c r="M13534" s="16" t="str">
        <f>IFERROR(__xludf.DUMMYFUNCTION("""COMPUTED_VALUE"""),"")</f>
        <v/>
      </c>
      <c r="U13534" s="16" t="s">
        <v>87</v>
      </c>
      <c r="V13534" s="16" t="str">
        <f>IFERROR(__xludf.DUMMYFUNCTION("""COMPUTED_VALUE"""),"")</f>
        <v/>
      </c>
      <c r="W13534" s="16" t="str">
        <f>IFERROR(__xludf.DUMMYFUNCTION("""COMPUTED_VALUE"""),"")</f>
        <v/>
      </c>
      <c r="X13534" s="16" t="str">
        <f>IFERROR(__xludf.DUMMYFUNCTION("""COMPUTED_VALUE"""),"")</f>
        <v/>
      </c>
      <c r="AC13534" s="16" t="str">
        <f>IFERROR(__xludf.DUMMYFUNCTION("""COMPUTED_VALUE"""),"")</f>
        <v/>
      </c>
    </row>
    <row r="13535">
      <c r="A13535" s="16" t="s">
        <v>87</v>
      </c>
      <c r="E13535" s="16" t="str">
        <f>IFERROR(__xludf.DUMMYFUNCTION("""COMPUTED_VALUE"""),"")</f>
        <v/>
      </c>
      <c r="G13535" s="18"/>
      <c r="H13535" s="16" t="s">
        <v>87</v>
      </c>
      <c r="I13535" s="16" t="s">
        <v>87</v>
      </c>
      <c r="J13535" s="19"/>
      <c r="L13535" s="16" t="str">
        <f>IFERROR(__xludf.DUMMYFUNCTION("""COMPUTED_VALUE"""),"")</f>
        <v/>
      </c>
      <c r="M13535" s="16" t="str">
        <f>IFERROR(__xludf.DUMMYFUNCTION("""COMPUTED_VALUE"""),"")</f>
        <v/>
      </c>
      <c r="U13535" s="16" t="s">
        <v>87</v>
      </c>
      <c r="V13535" s="16" t="str">
        <f>IFERROR(__xludf.DUMMYFUNCTION("""COMPUTED_VALUE"""),"")</f>
        <v/>
      </c>
      <c r="W13535" s="16" t="str">
        <f>IFERROR(__xludf.DUMMYFUNCTION("""COMPUTED_VALUE"""),"")</f>
        <v/>
      </c>
      <c r="X13535" s="16" t="str">
        <f>IFERROR(__xludf.DUMMYFUNCTION("""COMPUTED_VALUE"""),"")</f>
        <v/>
      </c>
      <c r="AC13535" s="16" t="str">
        <f>IFERROR(__xludf.DUMMYFUNCTION("""COMPUTED_VALUE"""),"")</f>
        <v/>
      </c>
    </row>
    <row r="13536">
      <c r="A13536" s="16" t="s">
        <v>87</v>
      </c>
      <c r="E13536" s="16" t="str">
        <f>IFERROR(__xludf.DUMMYFUNCTION("""COMPUTED_VALUE"""),"")</f>
        <v/>
      </c>
      <c r="G13536" s="18"/>
      <c r="H13536" s="16" t="s">
        <v>87</v>
      </c>
      <c r="I13536" s="16" t="s">
        <v>87</v>
      </c>
      <c r="J13536" s="19"/>
      <c r="L13536" s="16" t="str">
        <f>IFERROR(__xludf.DUMMYFUNCTION("""COMPUTED_VALUE"""),"")</f>
        <v/>
      </c>
      <c r="M13536" s="16" t="str">
        <f>IFERROR(__xludf.DUMMYFUNCTION("""COMPUTED_VALUE"""),"")</f>
        <v/>
      </c>
      <c r="U13536" s="16" t="s">
        <v>87</v>
      </c>
      <c r="V13536" s="16" t="str">
        <f>IFERROR(__xludf.DUMMYFUNCTION("""COMPUTED_VALUE"""),"")</f>
        <v/>
      </c>
      <c r="W13536" s="16" t="str">
        <f>IFERROR(__xludf.DUMMYFUNCTION("""COMPUTED_VALUE"""),"")</f>
        <v/>
      </c>
      <c r="X13536" s="16" t="str">
        <f>IFERROR(__xludf.DUMMYFUNCTION("""COMPUTED_VALUE"""),"")</f>
        <v/>
      </c>
      <c r="AC13536" s="16" t="str">
        <f>IFERROR(__xludf.DUMMYFUNCTION("""COMPUTED_VALUE"""),"")</f>
        <v/>
      </c>
    </row>
    <row r="13537">
      <c r="A13537" s="16" t="s">
        <v>87</v>
      </c>
      <c r="E13537" s="16" t="str">
        <f>IFERROR(__xludf.DUMMYFUNCTION("""COMPUTED_VALUE"""),"")</f>
        <v/>
      </c>
      <c r="G13537" s="18"/>
      <c r="H13537" s="16" t="s">
        <v>87</v>
      </c>
      <c r="I13537" s="16" t="s">
        <v>87</v>
      </c>
      <c r="J13537" s="19"/>
      <c r="L13537" s="16" t="str">
        <f>IFERROR(__xludf.DUMMYFUNCTION("""COMPUTED_VALUE"""),"")</f>
        <v/>
      </c>
      <c r="M13537" s="16" t="str">
        <f>IFERROR(__xludf.DUMMYFUNCTION("""COMPUTED_VALUE"""),"")</f>
        <v/>
      </c>
      <c r="U13537" s="16" t="s">
        <v>87</v>
      </c>
      <c r="V13537" s="16" t="str">
        <f>IFERROR(__xludf.DUMMYFUNCTION("""COMPUTED_VALUE"""),"")</f>
        <v/>
      </c>
      <c r="W13537" s="16" t="str">
        <f>IFERROR(__xludf.DUMMYFUNCTION("""COMPUTED_VALUE"""),"")</f>
        <v/>
      </c>
      <c r="X13537" s="16" t="str">
        <f>IFERROR(__xludf.DUMMYFUNCTION("""COMPUTED_VALUE"""),"")</f>
        <v/>
      </c>
      <c r="AC13537" s="16" t="str">
        <f>IFERROR(__xludf.DUMMYFUNCTION("""COMPUTED_VALUE"""),"")</f>
        <v/>
      </c>
    </row>
    <row r="13538">
      <c r="A13538" s="16" t="s">
        <v>87</v>
      </c>
      <c r="E13538" s="16" t="str">
        <f>IFERROR(__xludf.DUMMYFUNCTION("""COMPUTED_VALUE"""),"")</f>
        <v/>
      </c>
      <c r="G13538" s="18"/>
      <c r="H13538" s="16" t="s">
        <v>87</v>
      </c>
      <c r="I13538" s="16" t="s">
        <v>87</v>
      </c>
      <c r="J13538" s="19"/>
      <c r="L13538" s="16" t="str">
        <f>IFERROR(__xludf.DUMMYFUNCTION("""COMPUTED_VALUE"""),"")</f>
        <v/>
      </c>
      <c r="M13538" s="16" t="str">
        <f>IFERROR(__xludf.DUMMYFUNCTION("""COMPUTED_VALUE"""),"")</f>
        <v/>
      </c>
      <c r="U13538" s="16" t="s">
        <v>87</v>
      </c>
      <c r="V13538" s="16" t="str">
        <f>IFERROR(__xludf.DUMMYFUNCTION("""COMPUTED_VALUE"""),"")</f>
        <v/>
      </c>
      <c r="W13538" s="16" t="str">
        <f>IFERROR(__xludf.DUMMYFUNCTION("""COMPUTED_VALUE"""),"")</f>
        <v/>
      </c>
      <c r="X13538" s="16" t="str">
        <f>IFERROR(__xludf.DUMMYFUNCTION("""COMPUTED_VALUE"""),"")</f>
        <v/>
      </c>
      <c r="AC13538" s="16" t="str">
        <f>IFERROR(__xludf.DUMMYFUNCTION("""COMPUTED_VALUE"""),"")</f>
        <v/>
      </c>
    </row>
    <row r="13539">
      <c r="A13539" s="16" t="s">
        <v>87</v>
      </c>
      <c r="E13539" s="16" t="str">
        <f>IFERROR(__xludf.DUMMYFUNCTION("""COMPUTED_VALUE"""),"")</f>
        <v/>
      </c>
      <c r="G13539" s="18"/>
      <c r="H13539" s="16" t="s">
        <v>87</v>
      </c>
      <c r="I13539" s="16" t="s">
        <v>87</v>
      </c>
      <c r="J13539" s="19"/>
      <c r="L13539" s="16" t="str">
        <f>IFERROR(__xludf.DUMMYFUNCTION("""COMPUTED_VALUE"""),"")</f>
        <v/>
      </c>
      <c r="M13539" s="16" t="str">
        <f>IFERROR(__xludf.DUMMYFUNCTION("""COMPUTED_VALUE"""),"")</f>
        <v/>
      </c>
      <c r="U13539" s="16" t="s">
        <v>87</v>
      </c>
      <c r="V13539" s="16" t="str">
        <f>IFERROR(__xludf.DUMMYFUNCTION("""COMPUTED_VALUE"""),"")</f>
        <v/>
      </c>
      <c r="W13539" s="16" t="str">
        <f>IFERROR(__xludf.DUMMYFUNCTION("""COMPUTED_VALUE"""),"")</f>
        <v/>
      </c>
      <c r="X13539" s="16" t="str">
        <f>IFERROR(__xludf.DUMMYFUNCTION("""COMPUTED_VALUE"""),"")</f>
        <v/>
      </c>
      <c r="AC13539" s="16" t="str">
        <f>IFERROR(__xludf.DUMMYFUNCTION("""COMPUTED_VALUE"""),"")</f>
        <v/>
      </c>
    </row>
    <row r="13540">
      <c r="A13540" s="16" t="s">
        <v>87</v>
      </c>
      <c r="E13540" s="16" t="str">
        <f>IFERROR(__xludf.DUMMYFUNCTION("""COMPUTED_VALUE"""),"")</f>
        <v/>
      </c>
      <c r="G13540" s="18"/>
      <c r="H13540" s="16" t="s">
        <v>87</v>
      </c>
      <c r="I13540" s="16" t="s">
        <v>87</v>
      </c>
      <c r="J13540" s="19"/>
      <c r="L13540" s="16" t="str">
        <f>IFERROR(__xludf.DUMMYFUNCTION("""COMPUTED_VALUE"""),"")</f>
        <v/>
      </c>
      <c r="M13540" s="16" t="str">
        <f>IFERROR(__xludf.DUMMYFUNCTION("""COMPUTED_VALUE"""),"")</f>
        <v/>
      </c>
      <c r="U13540" s="16" t="s">
        <v>87</v>
      </c>
      <c r="V13540" s="16" t="str">
        <f>IFERROR(__xludf.DUMMYFUNCTION("""COMPUTED_VALUE"""),"")</f>
        <v/>
      </c>
      <c r="W13540" s="16" t="str">
        <f>IFERROR(__xludf.DUMMYFUNCTION("""COMPUTED_VALUE"""),"")</f>
        <v/>
      </c>
      <c r="X13540" s="16" t="str">
        <f>IFERROR(__xludf.DUMMYFUNCTION("""COMPUTED_VALUE"""),"")</f>
        <v/>
      </c>
      <c r="AC13540" s="16" t="str">
        <f>IFERROR(__xludf.DUMMYFUNCTION("""COMPUTED_VALUE"""),"")</f>
        <v/>
      </c>
    </row>
    <row r="13541">
      <c r="A13541" s="16" t="s">
        <v>87</v>
      </c>
      <c r="E13541" s="16" t="str">
        <f>IFERROR(__xludf.DUMMYFUNCTION("""COMPUTED_VALUE"""),"")</f>
        <v/>
      </c>
      <c r="G13541" s="18"/>
      <c r="H13541" s="16" t="s">
        <v>87</v>
      </c>
      <c r="I13541" s="16" t="s">
        <v>87</v>
      </c>
      <c r="J13541" s="19"/>
      <c r="L13541" s="16" t="str">
        <f>IFERROR(__xludf.DUMMYFUNCTION("""COMPUTED_VALUE"""),"")</f>
        <v/>
      </c>
      <c r="M13541" s="16" t="str">
        <f>IFERROR(__xludf.DUMMYFUNCTION("""COMPUTED_VALUE"""),"")</f>
        <v/>
      </c>
      <c r="U13541" s="16" t="s">
        <v>87</v>
      </c>
      <c r="V13541" s="16" t="str">
        <f>IFERROR(__xludf.DUMMYFUNCTION("""COMPUTED_VALUE"""),"")</f>
        <v/>
      </c>
      <c r="W13541" s="16" t="str">
        <f>IFERROR(__xludf.DUMMYFUNCTION("""COMPUTED_VALUE"""),"")</f>
        <v/>
      </c>
      <c r="X13541" s="16" t="str">
        <f>IFERROR(__xludf.DUMMYFUNCTION("""COMPUTED_VALUE"""),"")</f>
        <v/>
      </c>
      <c r="AC13541" s="16" t="str">
        <f>IFERROR(__xludf.DUMMYFUNCTION("""COMPUTED_VALUE"""),"")</f>
        <v/>
      </c>
    </row>
    <row r="13542">
      <c r="A13542" s="16" t="s">
        <v>87</v>
      </c>
      <c r="E13542" s="16" t="str">
        <f>IFERROR(__xludf.DUMMYFUNCTION("""COMPUTED_VALUE"""),"")</f>
        <v/>
      </c>
      <c r="G13542" s="18"/>
      <c r="H13542" s="16" t="s">
        <v>87</v>
      </c>
      <c r="I13542" s="16" t="s">
        <v>87</v>
      </c>
      <c r="J13542" s="19"/>
      <c r="L13542" s="16" t="str">
        <f>IFERROR(__xludf.DUMMYFUNCTION("""COMPUTED_VALUE"""),"")</f>
        <v/>
      </c>
      <c r="M13542" s="16" t="str">
        <f>IFERROR(__xludf.DUMMYFUNCTION("""COMPUTED_VALUE"""),"")</f>
        <v/>
      </c>
      <c r="U13542" s="16" t="s">
        <v>87</v>
      </c>
      <c r="V13542" s="16" t="str">
        <f>IFERROR(__xludf.DUMMYFUNCTION("""COMPUTED_VALUE"""),"")</f>
        <v/>
      </c>
      <c r="W13542" s="16" t="str">
        <f>IFERROR(__xludf.DUMMYFUNCTION("""COMPUTED_VALUE"""),"")</f>
        <v/>
      </c>
      <c r="X13542" s="16" t="str">
        <f>IFERROR(__xludf.DUMMYFUNCTION("""COMPUTED_VALUE"""),"")</f>
        <v/>
      </c>
      <c r="AC13542" s="16" t="str">
        <f>IFERROR(__xludf.DUMMYFUNCTION("""COMPUTED_VALUE"""),"")</f>
        <v/>
      </c>
    </row>
    <row r="13543">
      <c r="A13543" s="16" t="s">
        <v>87</v>
      </c>
      <c r="E13543" s="16" t="str">
        <f>IFERROR(__xludf.DUMMYFUNCTION("""COMPUTED_VALUE"""),"")</f>
        <v/>
      </c>
      <c r="G13543" s="18"/>
      <c r="H13543" s="16" t="s">
        <v>87</v>
      </c>
      <c r="I13543" s="16" t="s">
        <v>87</v>
      </c>
      <c r="J13543" s="19"/>
      <c r="L13543" s="16" t="str">
        <f>IFERROR(__xludf.DUMMYFUNCTION("""COMPUTED_VALUE"""),"")</f>
        <v/>
      </c>
      <c r="M13543" s="16" t="str">
        <f>IFERROR(__xludf.DUMMYFUNCTION("""COMPUTED_VALUE"""),"")</f>
        <v/>
      </c>
      <c r="U13543" s="16" t="s">
        <v>87</v>
      </c>
      <c r="V13543" s="16" t="str">
        <f>IFERROR(__xludf.DUMMYFUNCTION("""COMPUTED_VALUE"""),"")</f>
        <v/>
      </c>
      <c r="W13543" s="16" t="str">
        <f>IFERROR(__xludf.DUMMYFUNCTION("""COMPUTED_VALUE"""),"")</f>
        <v/>
      </c>
      <c r="X13543" s="16" t="str">
        <f>IFERROR(__xludf.DUMMYFUNCTION("""COMPUTED_VALUE"""),"")</f>
        <v/>
      </c>
      <c r="AC13543" s="16" t="str">
        <f>IFERROR(__xludf.DUMMYFUNCTION("""COMPUTED_VALUE"""),"")</f>
        <v/>
      </c>
    </row>
    <row r="13544">
      <c r="A13544" s="16" t="s">
        <v>87</v>
      </c>
      <c r="E13544" s="16" t="str">
        <f>IFERROR(__xludf.DUMMYFUNCTION("""COMPUTED_VALUE"""),"")</f>
        <v/>
      </c>
      <c r="G13544" s="18"/>
      <c r="H13544" s="16" t="s">
        <v>87</v>
      </c>
      <c r="I13544" s="16" t="s">
        <v>87</v>
      </c>
      <c r="J13544" s="19"/>
      <c r="L13544" s="16" t="str">
        <f>IFERROR(__xludf.DUMMYFUNCTION("""COMPUTED_VALUE"""),"")</f>
        <v/>
      </c>
      <c r="M13544" s="16" t="str">
        <f>IFERROR(__xludf.DUMMYFUNCTION("""COMPUTED_VALUE"""),"")</f>
        <v/>
      </c>
      <c r="U13544" s="16" t="s">
        <v>87</v>
      </c>
      <c r="V13544" s="16" t="str">
        <f>IFERROR(__xludf.DUMMYFUNCTION("""COMPUTED_VALUE"""),"")</f>
        <v/>
      </c>
      <c r="W13544" s="16" t="str">
        <f>IFERROR(__xludf.DUMMYFUNCTION("""COMPUTED_VALUE"""),"")</f>
        <v/>
      </c>
      <c r="X13544" s="16" t="str">
        <f>IFERROR(__xludf.DUMMYFUNCTION("""COMPUTED_VALUE"""),"")</f>
        <v/>
      </c>
      <c r="AC13544" s="16" t="str">
        <f>IFERROR(__xludf.DUMMYFUNCTION("""COMPUTED_VALUE"""),"")</f>
        <v/>
      </c>
    </row>
    <row r="13545">
      <c r="A13545" s="16" t="s">
        <v>87</v>
      </c>
      <c r="E13545" s="16" t="str">
        <f>IFERROR(__xludf.DUMMYFUNCTION("""COMPUTED_VALUE"""),"")</f>
        <v/>
      </c>
      <c r="G13545" s="18"/>
      <c r="H13545" s="16" t="s">
        <v>87</v>
      </c>
      <c r="I13545" s="16" t="s">
        <v>87</v>
      </c>
      <c r="J13545" s="19"/>
      <c r="L13545" s="16" t="str">
        <f>IFERROR(__xludf.DUMMYFUNCTION("""COMPUTED_VALUE"""),"")</f>
        <v/>
      </c>
      <c r="M13545" s="16" t="str">
        <f>IFERROR(__xludf.DUMMYFUNCTION("""COMPUTED_VALUE"""),"")</f>
        <v/>
      </c>
      <c r="U13545" s="16" t="s">
        <v>87</v>
      </c>
      <c r="V13545" s="16" t="str">
        <f>IFERROR(__xludf.DUMMYFUNCTION("""COMPUTED_VALUE"""),"")</f>
        <v/>
      </c>
      <c r="W13545" s="16" t="str">
        <f>IFERROR(__xludf.DUMMYFUNCTION("""COMPUTED_VALUE"""),"")</f>
        <v/>
      </c>
      <c r="X13545" s="16" t="str">
        <f>IFERROR(__xludf.DUMMYFUNCTION("""COMPUTED_VALUE"""),"")</f>
        <v/>
      </c>
      <c r="AC13545" s="16" t="str">
        <f>IFERROR(__xludf.DUMMYFUNCTION("""COMPUTED_VALUE"""),"")</f>
        <v/>
      </c>
    </row>
    <row r="13546">
      <c r="A13546" s="16" t="s">
        <v>87</v>
      </c>
      <c r="E13546" s="16" t="str">
        <f>IFERROR(__xludf.DUMMYFUNCTION("""COMPUTED_VALUE"""),"")</f>
        <v/>
      </c>
      <c r="G13546" s="18"/>
      <c r="H13546" s="16" t="s">
        <v>87</v>
      </c>
      <c r="I13546" s="16" t="s">
        <v>87</v>
      </c>
      <c r="J13546" s="19"/>
      <c r="L13546" s="16" t="str">
        <f>IFERROR(__xludf.DUMMYFUNCTION("""COMPUTED_VALUE"""),"")</f>
        <v/>
      </c>
      <c r="M13546" s="16" t="str">
        <f>IFERROR(__xludf.DUMMYFUNCTION("""COMPUTED_VALUE"""),"")</f>
        <v/>
      </c>
      <c r="U13546" s="16" t="s">
        <v>87</v>
      </c>
      <c r="V13546" s="16" t="str">
        <f>IFERROR(__xludf.DUMMYFUNCTION("""COMPUTED_VALUE"""),"")</f>
        <v/>
      </c>
      <c r="W13546" s="16" t="str">
        <f>IFERROR(__xludf.DUMMYFUNCTION("""COMPUTED_VALUE"""),"")</f>
        <v/>
      </c>
      <c r="X13546" s="16" t="str">
        <f>IFERROR(__xludf.DUMMYFUNCTION("""COMPUTED_VALUE"""),"")</f>
        <v/>
      </c>
      <c r="AC13546" s="16" t="str">
        <f>IFERROR(__xludf.DUMMYFUNCTION("""COMPUTED_VALUE"""),"")</f>
        <v/>
      </c>
    </row>
    <row r="13547">
      <c r="A13547" s="16" t="s">
        <v>87</v>
      </c>
      <c r="E13547" s="16" t="str">
        <f>IFERROR(__xludf.DUMMYFUNCTION("""COMPUTED_VALUE"""),"")</f>
        <v/>
      </c>
      <c r="G13547" s="18"/>
      <c r="H13547" s="16" t="s">
        <v>87</v>
      </c>
      <c r="I13547" s="16" t="s">
        <v>87</v>
      </c>
      <c r="J13547" s="19"/>
      <c r="L13547" s="16" t="str">
        <f>IFERROR(__xludf.DUMMYFUNCTION("""COMPUTED_VALUE"""),"")</f>
        <v/>
      </c>
      <c r="M13547" s="16" t="str">
        <f>IFERROR(__xludf.DUMMYFUNCTION("""COMPUTED_VALUE"""),"")</f>
        <v/>
      </c>
      <c r="U13547" s="16" t="s">
        <v>87</v>
      </c>
      <c r="V13547" s="16" t="str">
        <f>IFERROR(__xludf.DUMMYFUNCTION("""COMPUTED_VALUE"""),"")</f>
        <v/>
      </c>
      <c r="W13547" s="16" t="str">
        <f>IFERROR(__xludf.DUMMYFUNCTION("""COMPUTED_VALUE"""),"")</f>
        <v/>
      </c>
      <c r="X13547" s="16" t="str">
        <f>IFERROR(__xludf.DUMMYFUNCTION("""COMPUTED_VALUE"""),"")</f>
        <v/>
      </c>
      <c r="AC13547" s="16" t="str">
        <f>IFERROR(__xludf.DUMMYFUNCTION("""COMPUTED_VALUE"""),"")</f>
        <v/>
      </c>
    </row>
    <row r="13548">
      <c r="A13548" s="16" t="s">
        <v>87</v>
      </c>
      <c r="E13548" s="16" t="str">
        <f>IFERROR(__xludf.DUMMYFUNCTION("""COMPUTED_VALUE"""),"")</f>
        <v/>
      </c>
      <c r="G13548" s="18"/>
      <c r="H13548" s="16" t="s">
        <v>87</v>
      </c>
      <c r="I13548" s="16" t="s">
        <v>87</v>
      </c>
      <c r="J13548" s="19"/>
      <c r="L13548" s="16" t="str">
        <f>IFERROR(__xludf.DUMMYFUNCTION("""COMPUTED_VALUE"""),"")</f>
        <v/>
      </c>
      <c r="M13548" s="16" t="str">
        <f>IFERROR(__xludf.DUMMYFUNCTION("""COMPUTED_VALUE"""),"")</f>
        <v/>
      </c>
      <c r="U13548" s="16" t="s">
        <v>87</v>
      </c>
      <c r="V13548" s="16" t="str">
        <f>IFERROR(__xludf.DUMMYFUNCTION("""COMPUTED_VALUE"""),"")</f>
        <v/>
      </c>
      <c r="W13548" s="16" t="str">
        <f>IFERROR(__xludf.DUMMYFUNCTION("""COMPUTED_VALUE"""),"")</f>
        <v/>
      </c>
      <c r="X13548" s="16" t="str">
        <f>IFERROR(__xludf.DUMMYFUNCTION("""COMPUTED_VALUE"""),"")</f>
        <v/>
      </c>
      <c r="AC13548" s="16" t="str">
        <f>IFERROR(__xludf.DUMMYFUNCTION("""COMPUTED_VALUE"""),"")</f>
        <v/>
      </c>
    </row>
    <row r="13549">
      <c r="A13549" s="16" t="s">
        <v>87</v>
      </c>
      <c r="E13549" s="16" t="str">
        <f>IFERROR(__xludf.DUMMYFUNCTION("""COMPUTED_VALUE"""),"")</f>
        <v/>
      </c>
      <c r="G13549" s="18"/>
      <c r="H13549" s="16" t="s">
        <v>87</v>
      </c>
      <c r="I13549" s="16" t="s">
        <v>87</v>
      </c>
      <c r="J13549" s="19"/>
      <c r="L13549" s="16" t="str">
        <f>IFERROR(__xludf.DUMMYFUNCTION("""COMPUTED_VALUE"""),"")</f>
        <v/>
      </c>
      <c r="M13549" s="16" t="str">
        <f>IFERROR(__xludf.DUMMYFUNCTION("""COMPUTED_VALUE"""),"")</f>
        <v/>
      </c>
      <c r="U13549" s="16" t="s">
        <v>87</v>
      </c>
      <c r="V13549" s="16" t="str">
        <f>IFERROR(__xludf.DUMMYFUNCTION("""COMPUTED_VALUE"""),"")</f>
        <v/>
      </c>
      <c r="W13549" s="16" t="str">
        <f>IFERROR(__xludf.DUMMYFUNCTION("""COMPUTED_VALUE"""),"")</f>
        <v/>
      </c>
      <c r="X13549" s="16" t="str">
        <f>IFERROR(__xludf.DUMMYFUNCTION("""COMPUTED_VALUE"""),"")</f>
        <v/>
      </c>
      <c r="AC13549" s="16" t="str">
        <f>IFERROR(__xludf.DUMMYFUNCTION("""COMPUTED_VALUE"""),"")</f>
        <v/>
      </c>
    </row>
    <row r="13550">
      <c r="A13550" s="16" t="s">
        <v>87</v>
      </c>
      <c r="E13550" s="16" t="str">
        <f>IFERROR(__xludf.DUMMYFUNCTION("""COMPUTED_VALUE"""),"")</f>
        <v/>
      </c>
      <c r="G13550" s="18"/>
      <c r="H13550" s="16" t="s">
        <v>87</v>
      </c>
      <c r="I13550" s="16" t="s">
        <v>87</v>
      </c>
      <c r="J13550" s="19"/>
      <c r="L13550" s="16" t="str">
        <f>IFERROR(__xludf.DUMMYFUNCTION("""COMPUTED_VALUE"""),"")</f>
        <v/>
      </c>
      <c r="M13550" s="16" t="str">
        <f>IFERROR(__xludf.DUMMYFUNCTION("""COMPUTED_VALUE"""),"")</f>
        <v/>
      </c>
      <c r="U13550" s="16" t="s">
        <v>87</v>
      </c>
      <c r="V13550" s="16" t="str">
        <f>IFERROR(__xludf.DUMMYFUNCTION("""COMPUTED_VALUE"""),"")</f>
        <v/>
      </c>
      <c r="W13550" s="16" t="str">
        <f>IFERROR(__xludf.DUMMYFUNCTION("""COMPUTED_VALUE"""),"")</f>
        <v/>
      </c>
      <c r="X13550" s="16" t="str">
        <f>IFERROR(__xludf.DUMMYFUNCTION("""COMPUTED_VALUE"""),"")</f>
        <v/>
      </c>
      <c r="AC13550" s="16" t="str">
        <f>IFERROR(__xludf.DUMMYFUNCTION("""COMPUTED_VALUE"""),"")</f>
        <v/>
      </c>
    </row>
    <row r="13551">
      <c r="A13551" s="16" t="s">
        <v>87</v>
      </c>
      <c r="E13551" s="16" t="str">
        <f>IFERROR(__xludf.DUMMYFUNCTION("""COMPUTED_VALUE"""),"")</f>
        <v/>
      </c>
      <c r="G13551" s="18"/>
      <c r="H13551" s="16" t="s">
        <v>87</v>
      </c>
      <c r="I13551" s="16" t="s">
        <v>87</v>
      </c>
      <c r="J13551" s="19"/>
      <c r="L13551" s="16" t="str">
        <f>IFERROR(__xludf.DUMMYFUNCTION("""COMPUTED_VALUE"""),"")</f>
        <v/>
      </c>
      <c r="M13551" s="16" t="str">
        <f>IFERROR(__xludf.DUMMYFUNCTION("""COMPUTED_VALUE"""),"")</f>
        <v/>
      </c>
      <c r="U13551" s="16" t="s">
        <v>87</v>
      </c>
      <c r="V13551" s="16" t="str">
        <f>IFERROR(__xludf.DUMMYFUNCTION("""COMPUTED_VALUE"""),"")</f>
        <v/>
      </c>
      <c r="W13551" s="16" t="str">
        <f>IFERROR(__xludf.DUMMYFUNCTION("""COMPUTED_VALUE"""),"")</f>
        <v/>
      </c>
      <c r="X13551" s="16" t="str">
        <f>IFERROR(__xludf.DUMMYFUNCTION("""COMPUTED_VALUE"""),"")</f>
        <v/>
      </c>
      <c r="AC13551" s="16" t="str">
        <f>IFERROR(__xludf.DUMMYFUNCTION("""COMPUTED_VALUE"""),"")</f>
        <v/>
      </c>
    </row>
    <row r="13552">
      <c r="A13552" s="16" t="s">
        <v>87</v>
      </c>
      <c r="E13552" s="16" t="str">
        <f>IFERROR(__xludf.DUMMYFUNCTION("""COMPUTED_VALUE"""),"")</f>
        <v/>
      </c>
      <c r="G13552" s="18"/>
      <c r="H13552" s="16" t="s">
        <v>87</v>
      </c>
      <c r="I13552" s="16" t="s">
        <v>87</v>
      </c>
      <c r="J13552" s="19"/>
      <c r="L13552" s="16" t="str">
        <f>IFERROR(__xludf.DUMMYFUNCTION("""COMPUTED_VALUE"""),"")</f>
        <v/>
      </c>
      <c r="M13552" s="16" t="str">
        <f>IFERROR(__xludf.DUMMYFUNCTION("""COMPUTED_VALUE"""),"")</f>
        <v/>
      </c>
      <c r="U13552" s="16" t="s">
        <v>87</v>
      </c>
      <c r="V13552" s="16" t="str">
        <f>IFERROR(__xludf.DUMMYFUNCTION("""COMPUTED_VALUE"""),"")</f>
        <v/>
      </c>
      <c r="W13552" s="16" t="str">
        <f>IFERROR(__xludf.DUMMYFUNCTION("""COMPUTED_VALUE"""),"")</f>
        <v/>
      </c>
      <c r="X13552" s="16" t="str">
        <f>IFERROR(__xludf.DUMMYFUNCTION("""COMPUTED_VALUE"""),"")</f>
        <v/>
      </c>
      <c r="AC13552" s="16" t="str">
        <f>IFERROR(__xludf.DUMMYFUNCTION("""COMPUTED_VALUE"""),"")</f>
        <v/>
      </c>
    </row>
    <row r="13553">
      <c r="A13553" s="16" t="s">
        <v>87</v>
      </c>
      <c r="E13553" s="16" t="str">
        <f>IFERROR(__xludf.DUMMYFUNCTION("""COMPUTED_VALUE"""),"")</f>
        <v/>
      </c>
      <c r="G13553" s="18"/>
      <c r="H13553" s="16" t="s">
        <v>87</v>
      </c>
      <c r="I13553" s="16" t="s">
        <v>87</v>
      </c>
      <c r="J13553" s="19"/>
      <c r="L13553" s="16" t="str">
        <f>IFERROR(__xludf.DUMMYFUNCTION("""COMPUTED_VALUE"""),"")</f>
        <v/>
      </c>
      <c r="M13553" s="16" t="str">
        <f>IFERROR(__xludf.DUMMYFUNCTION("""COMPUTED_VALUE"""),"")</f>
        <v/>
      </c>
      <c r="U13553" s="16" t="s">
        <v>87</v>
      </c>
      <c r="V13553" s="16" t="str">
        <f>IFERROR(__xludf.DUMMYFUNCTION("""COMPUTED_VALUE"""),"")</f>
        <v/>
      </c>
      <c r="W13553" s="16" t="str">
        <f>IFERROR(__xludf.DUMMYFUNCTION("""COMPUTED_VALUE"""),"")</f>
        <v/>
      </c>
      <c r="X13553" s="16" t="str">
        <f>IFERROR(__xludf.DUMMYFUNCTION("""COMPUTED_VALUE"""),"")</f>
        <v/>
      </c>
      <c r="AC13553" s="16" t="str">
        <f>IFERROR(__xludf.DUMMYFUNCTION("""COMPUTED_VALUE"""),"")</f>
        <v/>
      </c>
    </row>
    <row r="13554">
      <c r="A13554" s="16" t="s">
        <v>87</v>
      </c>
      <c r="E13554" s="16" t="str">
        <f>IFERROR(__xludf.DUMMYFUNCTION("""COMPUTED_VALUE"""),"")</f>
        <v/>
      </c>
      <c r="G13554" s="18"/>
      <c r="H13554" s="16" t="s">
        <v>87</v>
      </c>
      <c r="I13554" s="16" t="s">
        <v>87</v>
      </c>
      <c r="J13554" s="19"/>
      <c r="L13554" s="16" t="str">
        <f>IFERROR(__xludf.DUMMYFUNCTION("""COMPUTED_VALUE"""),"")</f>
        <v/>
      </c>
      <c r="M13554" s="16" t="str">
        <f>IFERROR(__xludf.DUMMYFUNCTION("""COMPUTED_VALUE"""),"")</f>
        <v/>
      </c>
      <c r="U13554" s="16" t="s">
        <v>87</v>
      </c>
      <c r="V13554" s="16" t="str">
        <f>IFERROR(__xludf.DUMMYFUNCTION("""COMPUTED_VALUE"""),"")</f>
        <v/>
      </c>
      <c r="W13554" s="16" t="str">
        <f>IFERROR(__xludf.DUMMYFUNCTION("""COMPUTED_VALUE"""),"")</f>
        <v/>
      </c>
      <c r="X13554" s="16" t="str">
        <f>IFERROR(__xludf.DUMMYFUNCTION("""COMPUTED_VALUE"""),"")</f>
        <v/>
      </c>
      <c r="AC13554" s="16" t="str">
        <f>IFERROR(__xludf.DUMMYFUNCTION("""COMPUTED_VALUE"""),"")</f>
        <v/>
      </c>
    </row>
    <row r="13555">
      <c r="A13555" s="16" t="s">
        <v>87</v>
      </c>
      <c r="E13555" s="16" t="str">
        <f>IFERROR(__xludf.DUMMYFUNCTION("""COMPUTED_VALUE"""),"")</f>
        <v/>
      </c>
      <c r="G13555" s="18"/>
      <c r="H13555" s="16" t="s">
        <v>87</v>
      </c>
      <c r="I13555" s="16" t="s">
        <v>87</v>
      </c>
      <c r="J13555" s="19"/>
      <c r="L13555" s="16" t="str">
        <f>IFERROR(__xludf.DUMMYFUNCTION("""COMPUTED_VALUE"""),"")</f>
        <v/>
      </c>
      <c r="M13555" s="16" t="str">
        <f>IFERROR(__xludf.DUMMYFUNCTION("""COMPUTED_VALUE"""),"")</f>
        <v/>
      </c>
      <c r="U13555" s="16" t="s">
        <v>87</v>
      </c>
      <c r="V13555" s="16" t="str">
        <f>IFERROR(__xludf.DUMMYFUNCTION("""COMPUTED_VALUE"""),"")</f>
        <v/>
      </c>
      <c r="W13555" s="16" t="str">
        <f>IFERROR(__xludf.DUMMYFUNCTION("""COMPUTED_VALUE"""),"")</f>
        <v/>
      </c>
      <c r="X13555" s="16" t="str">
        <f>IFERROR(__xludf.DUMMYFUNCTION("""COMPUTED_VALUE"""),"")</f>
        <v/>
      </c>
      <c r="AC13555" s="16" t="str">
        <f>IFERROR(__xludf.DUMMYFUNCTION("""COMPUTED_VALUE"""),"")</f>
        <v/>
      </c>
    </row>
    <row r="13556">
      <c r="A13556" s="16" t="s">
        <v>87</v>
      </c>
      <c r="E13556" s="16" t="str">
        <f>IFERROR(__xludf.DUMMYFUNCTION("""COMPUTED_VALUE"""),"")</f>
        <v/>
      </c>
      <c r="G13556" s="18"/>
      <c r="H13556" s="16" t="s">
        <v>87</v>
      </c>
      <c r="I13556" s="16" t="s">
        <v>87</v>
      </c>
      <c r="J13556" s="19"/>
      <c r="L13556" s="16" t="str">
        <f>IFERROR(__xludf.DUMMYFUNCTION("""COMPUTED_VALUE"""),"")</f>
        <v/>
      </c>
      <c r="M13556" s="16" t="str">
        <f>IFERROR(__xludf.DUMMYFUNCTION("""COMPUTED_VALUE"""),"")</f>
        <v/>
      </c>
      <c r="U13556" s="16" t="s">
        <v>87</v>
      </c>
      <c r="V13556" s="16" t="str">
        <f>IFERROR(__xludf.DUMMYFUNCTION("""COMPUTED_VALUE"""),"")</f>
        <v/>
      </c>
      <c r="W13556" s="16" t="str">
        <f>IFERROR(__xludf.DUMMYFUNCTION("""COMPUTED_VALUE"""),"")</f>
        <v/>
      </c>
      <c r="X13556" s="16" t="str">
        <f>IFERROR(__xludf.DUMMYFUNCTION("""COMPUTED_VALUE"""),"")</f>
        <v/>
      </c>
      <c r="AC13556" s="16" t="str">
        <f>IFERROR(__xludf.DUMMYFUNCTION("""COMPUTED_VALUE"""),"")</f>
        <v/>
      </c>
    </row>
    <row r="13557">
      <c r="A13557" s="16" t="s">
        <v>87</v>
      </c>
      <c r="E13557" s="16" t="str">
        <f>IFERROR(__xludf.DUMMYFUNCTION("""COMPUTED_VALUE"""),"")</f>
        <v/>
      </c>
      <c r="G13557" s="18"/>
      <c r="H13557" s="16" t="s">
        <v>87</v>
      </c>
      <c r="I13557" s="16" t="s">
        <v>87</v>
      </c>
      <c r="J13557" s="19"/>
      <c r="L13557" s="16" t="str">
        <f>IFERROR(__xludf.DUMMYFUNCTION("""COMPUTED_VALUE"""),"")</f>
        <v/>
      </c>
      <c r="M13557" s="16" t="str">
        <f>IFERROR(__xludf.DUMMYFUNCTION("""COMPUTED_VALUE"""),"")</f>
        <v/>
      </c>
      <c r="U13557" s="16" t="s">
        <v>87</v>
      </c>
      <c r="V13557" s="16" t="str">
        <f>IFERROR(__xludf.DUMMYFUNCTION("""COMPUTED_VALUE"""),"")</f>
        <v/>
      </c>
      <c r="W13557" s="16" t="str">
        <f>IFERROR(__xludf.DUMMYFUNCTION("""COMPUTED_VALUE"""),"")</f>
        <v/>
      </c>
      <c r="X13557" s="16" t="str">
        <f>IFERROR(__xludf.DUMMYFUNCTION("""COMPUTED_VALUE"""),"")</f>
        <v/>
      </c>
      <c r="AC13557" s="16" t="str">
        <f>IFERROR(__xludf.DUMMYFUNCTION("""COMPUTED_VALUE"""),"")</f>
        <v/>
      </c>
    </row>
    <row r="13558">
      <c r="A13558" s="16" t="s">
        <v>87</v>
      </c>
      <c r="E13558" s="16" t="str">
        <f>IFERROR(__xludf.DUMMYFUNCTION("""COMPUTED_VALUE"""),"")</f>
        <v/>
      </c>
      <c r="G13558" s="18"/>
      <c r="H13558" s="16" t="s">
        <v>87</v>
      </c>
      <c r="I13558" s="16" t="s">
        <v>87</v>
      </c>
      <c r="J13558" s="19"/>
      <c r="L13558" s="16" t="str">
        <f>IFERROR(__xludf.DUMMYFUNCTION("""COMPUTED_VALUE"""),"")</f>
        <v/>
      </c>
      <c r="M13558" s="16" t="str">
        <f>IFERROR(__xludf.DUMMYFUNCTION("""COMPUTED_VALUE"""),"")</f>
        <v/>
      </c>
      <c r="U13558" s="16" t="s">
        <v>87</v>
      </c>
      <c r="V13558" s="16" t="str">
        <f>IFERROR(__xludf.DUMMYFUNCTION("""COMPUTED_VALUE"""),"")</f>
        <v/>
      </c>
      <c r="W13558" s="16" t="str">
        <f>IFERROR(__xludf.DUMMYFUNCTION("""COMPUTED_VALUE"""),"")</f>
        <v/>
      </c>
      <c r="X13558" s="16" t="str">
        <f>IFERROR(__xludf.DUMMYFUNCTION("""COMPUTED_VALUE"""),"")</f>
        <v/>
      </c>
      <c r="AC13558" s="16" t="str">
        <f>IFERROR(__xludf.DUMMYFUNCTION("""COMPUTED_VALUE"""),"")</f>
        <v/>
      </c>
    </row>
    <row r="13559">
      <c r="A13559" s="16" t="s">
        <v>87</v>
      </c>
      <c r="E13559" s="16" t="str">
        <f>IFERROR(__xludf.DUMMYFUNCTION("""COMPUTED_VALUE"""),"")</f>
        <v/>
      </c>
      <c r="G13559" s="18"/>
      <c r="H13559" s="16" t="s">
        <v>87</v>
      </c>
      <c r="I13559" s="16" t="s">
        <v>87</v>
      </c>
      <c r="J13559" s="19"/>
      <c r="L13559" s="16" t="str">
        <f>IFERROR(__xludf.DUMMYFUNCTION("""COMPUTED_VALUE"""),"")</f>
        <v/>
      </c>
      <c r="M13559" s="16" t="str">
        <f>IFERROR(__xludf.DUMMYFUNCTION("""COMPUTED_VALUE"""),"")</f>
        <v/>
      </c>
      <c r="U13559" s="16" t="s">
        <v>87</v>
      </c>
      <c r="V13559" s="16" t="str">
        <f>IFERROR(__xludf.DUMMYFUNCTION("""COMPUTED_VALUE"""),"")</f>
        <v/>
      </c>
      <c r="W13559" s="16" t="str">
        <f>IFERROR(__xludf.DUMMYFUNCTION("""COMPUTED_VALUE"""),"")</f>
        <v/>
      </c>
      <c r="X13559" s="16" t="str">
        <f>IFERROR(__xludf.DUMMYFUNCTION("""COMPUTED_VALUE"""),"")</f>
        <v/>
      </c>
      <c r="AC13559" s="16" t="str">
        <f>IFERROR(__xludf.DUMMYFUNCTION("""COMPUTED_VALUE"""),"")</f>
        <v/>
      </c>
    </row>
    <row r="13560">
      <c r="A13560" s="16" t="s">
        <v>87</v>
      </c>
      <c r="E13560" s="16" t="str">
        <f>IFERROR(__xludf.DUMMYFUNCTION("""COMPUTED_VALUE"""),"")</f>
        <v/>
      </c>
      <c r="G13560" s="18"/>
      <c r="H13560" s="16" t="s">
        <v>87</v>
      </c>
      <c r="I13560" s="16" t="s">
        <v>87</v>
      </c>
      <c r="J13560" s="19"/>
      <c r="L13560" s="16" t="str">
        <f>IFERROR(__xludf.DUMMYFUNCTION("""COMPUTED_VALUE"""),"")</f>
        <v/>
      </c>
      <c r="M13560" s="16" t="str">
        <f>IFERROR(__xludf.DUMMYFUNCTION("""COMPUTED_VALUE"""),"")</f>
        <v/>
      </c>
      <c r="U13560" s="16" t="s">
        <v>87</v>
      </c>
      <c r="V13560" s="16" t="str">
        <f>IFERROR(__xludf.DUMMYFUNCTION("""COMPUTED_VALUE"""),"")</f>
        <v/>
      </c>
      <c r="W13560" s="16" t="str">
        <f>IFERROR(__xludf.DUMMYFUNCTION("""COMPUTED_VALUE"""),"")</f>
        <v/>
      </c>
      <c r="X13560" s="16" t="str">
        <f>IFERROR(__xludf.DUMMYFUNCTION("""COMPUTED_VALUE"""),"")</f>
        <v/>
      </c>
      <c r="AC13560" s="16" t="str">
        <f>IFERROR(__xludf.DUMMYFUNCTION("""COMPUTED_VALUE"""),"")</f>
        <v/>
      </c>
    </row>
    <row r="13561">
      <c r="A13561" s="16" t="s">
        <v>87</v>
      </c>
      <c r="E13561" s="16" t="str">
        <f>IFERROR(__xludf.DUMMYFUNCTION("""COMPUTED_VALUE"""),"")</f>
        <v/>
      </c>
      <c r="G13561" s="18"/>
      <c r="H13561" s="16" t="s">
        <v>87</v>
      </c>
      <c r="I13561" s="16" t="s">
        <v>87</v>
      </c>
      <c r="J13561" s="19"/>
      <c r="L13561" s="16" t="str">
        <f>IFERROR(__xludf.DUMMYFUNCTION("""COMPUTED_VALUE"""),"")</f>
        <v/>
      </c>
      <c r="M13561" s="16" t="str">
        <f>IFERROR(__xludf.DUMMYFUNCTION("""COMPUTED_VALUE"""),"")</f>
        <v/>
      </c>
      <c r="U13561" s="16" t="s">
        <v>87</v>
      </c>
      <c r="V13561" s="16" t="str">
        <f>IFERROR(__xludf.DUMMYFUNCTION("""COMPUTED_VALUE"""),"")</f>
        <v/>
      </c>
      <c r="W13561" s="16" t="str">
        <f>IFERROR(__xludf.DUMMYFUNCTION("""COMPUTED_VALUE"""),"")</f>
        <v/>
      </c>
      <c r="X13561" s="16" t="str">
        <f>IFERROR(__xludf.DUMMYFUNCTION("""COMPUTED_VALUE"""),"")</f>
        <v/>
      </c>
      <c r="AC13561" s="16" t="str">
        <f>IFERROR(__xludf.DUMMYFUNCTION("""COMPUTED_VALUE"""),"")</f>
        <v/>
      </c>
    </row>
    <row r="13562">
      <c r="A13562" s="16" t="s">
        <v>87</v>
      </c>
      <c r="E13562" s="16" t="str">
        <f>IFERROR(__xludf.DUMMYFUNCTION("""COMPUTED_VALUE"""),"")</f>
        <v/>
      </c>
      <c r="G13562" s="18"/>
      <c r="H13562" s="16" t="s">
        <v>87</v>
      </c>
      <c r="I13562" s="16" t="s">
        <v>87</v>
      </c>
      <c r="J13562" s="19"/>
      <c r="L13562" s="16" t="str">
        <f>IFERROR(__xludf.DUMMYFUNCTION("""COMPUTED_VALUE"""),"")</f>
        <v/>
      </c>
      <c r="M13562" s="16" t="str">
        <f>IFERROR(__xludf.DUMMYFUNCTION("""COMPUTED_VALUE"""),"")</f>
        <v/>
      </c>
      <c r="U13562" s="16" t="s">
        <v>87</v>
      </c>
      <c r="V13562" s="16" t="str">
        <f>IFERROR(__xludf.DUMMYFUNCTION("""COMPUTED_VALUE"""),"")</f>
        <v/>
      </c>
      <c r="W13562" s="16" t="str">
        <f>IFERROR(__xludf.DUMMYFUNCTION("""COMPUTED_VALUE"""),"")</f>
        <v/>
      </c>
      <c r="X13562" s="16" t="str">
        <f>IFERROR(__xludf.DUMMYFUNCTION("""COMPUTED_VALUE"""),"")</f>
        <v/>
      </c>
      <c r="AC13562" s="16" t="str">
        <f>IFERROR(__xludf.DUMMYFUNCTION("""COMPUTED_VALUE"""),"")</f>
        <v/>
      </c>
    </row>
    <row r="13563">
      <c r="A13563" s="16" t="s">
        <v>87</v>
      </c>
      <c r="E13563" s="16" t="str">
        <f>IFERROR(__xludf.DUMMYFUNCTION("""COMPUTED_VALUE"""),"")</f>
        <v/>
      </c>
      <c r="G13563" s="18"/>
      <c r="H13563" s="16" t="s">
        <v>87</v>
      </c>
      <c r="I13563" s="16" t="s">
        <v>87</v>
      </c>
      <c r="J13563" s="19"/>
      <c r="L13563" s="16" t="str">
        <f>IFERROR(__xludf.DUMMYFUNCTION("""COMPUTED_VALUE"""),"")</f>
        <v/>
      </c>
      <c r="M13563" s="16" t="str">
        <f>IFERROR(__xludf.DUMMYFUNCTION("""COMPUTED_VALUE"""),"")</f>
        <v/>
      </c>
      <c r="U13563" s="16" t="s">
        <v>87</v>
      </c>
      <c r="V13563" s="16" t="str">
        <f>IFERROR(__xludf.DUMMYFUNCTION("""COMPUTED_VALUE"""),"")</f>
        <v/>
      </c>
      <c r="W13563" s="16" t="str">
        <f>IFERROR(__xludf.DUMMYFUNCTION("""COMPUTED_VALUE"""),"")</f>
        <v/>
      </c>
      <c r="X13563" s="16" t="str">
        <f>IFERROR(__xludf.DUMMYFUNCTION("""COMPUTED_VALUE"""),"")</f>
        <v/>
      </c>
      <c r="AC13563" s="16" t="str">
        <f>IFERROR(__xludf.DUMMYFUNCTION("""COMPUTED_VALUE"""),"")</f>
        <v/>
      </c>
    </row>
    <row r="13564">
      <c r="A13564" s="16" t="s">
        <v>87</v>
      </c>
      <c r="E13564" s="16" t="str">
        <f>IFERROR(__xludf.DUMMYFUNCTION("""COMPUTED_VALUE"""),"")</f>
        <v/>
      </c>
      <c r="G13564" s="18"/>
      <c r="H13564" s="16" t="s">
        <v>87</v>
      </c>
      <c r="I13564" s="16" t="s">
        <v>87</v>
      </c>
      <c r="J13564" s="19"/>
      <c r="L13564" s="16" t="str">
        <f>IFERROR(__xludf.DUMMYFUNCTION("""COMPUTED_VALUE"""),"")</f>
        <v/>
      </c>
      <c r="M13564" s="16" t="str">
        <f>IFERROR(__xludf.DUMMYFUNCTION("""COMPUTED_VALUE"""),"")</f>
        <v/>
      </c>
      <c r="U13564" s="16" t="s">
        <v>87</v>
      </c>
      <c r="V13564" s="16" t="str">
        <f>IFERROR(__xludf.DUMMYFUNCTION("""COMPUTED_VALUE"""),"")</f>
        <v/>
      </c>
      <c r="W13564" s="16" t="str">
        <f>IFERROR(__xludf.DUMMYFUNCTION("""COMPUTED_VALUE"""),"")</f>
        <v/>
      </c>
      <c r="X13564" s="16" t="str">
        <f>IFERROR(__xludf.DUMMYFUNCTION("""COMPUTED_VALUE"""),"")</f>
        <v/>
      </c>
      <c r="AC13564" s="16" t="str">
        <f>IFERROR(__xludf.DUMMYFUNCTION("""COMPUTED_VALUE"""),"")</f>
        <v/>
      </c>
    </row>
    <row r="13565">
      <c r="A13565" s="16" t="s">
        <v>87</v>
      </c>
      <c r="E13565" s="16" t="str">
        <f>IFERROR(__xludf.DUMMYFUNCTION("""COMPUTED_VALUE"""),"")</f>
        <v/>
      </c>
      <c r="G13565" s="18"/>
      <c r="H13565" s="16" t="s">
        <v>87</v>
      </c>
      <c r="I13565" s="16" t="s">
        <v>87</v>
      </c>
      <c r="J13565" s="19"/>
      <c r="L13565" s="16" t="str">
        <f>IFERROR(__xludf.DUMMYFUNCTION("""COMPUTED_VALUE"""),"")</f>
        <v/>
      </c>
      <c r="M13565" s="16" t="str">
        <f>IFERROR(__xludf.DUMMYFUNCTION("""COMPUTED_VALUE"""),"")</f>
        <v/>
      </c>
      <c r="U13565" s="16" t="s">
        <v>87</v>
      </c>
      <c r="V13565" s="16" t="str">
        <f>IFERROR(__xludf.DUMMYFUNCTION("""COMPUTED_VALUE"""),"")</f>
        <v/>
      </c>
      <c r="W13565" s="16" t="str">
        <f>IFERROR(__xludf.DUMMYFUNCTION("""COMPUTED_VALUE"""),"")</f>
        <v/>
      </c>
      <c r="X13565" s="16" t="str">
        <f>IFERROR(__xludf.DUMMYFUNCTION("""COMPUTED_VALUE"""),"")</f>
        <v/>
      </c>
      <c r="AC13565" s="16" t="str">
        <f>IFERROR(__xludf.DUMMYFUNCTION("""COMPUTED_VALUE"""),"")</f>
        <v/>
      </c>
    </row>
    <row r="13566">
      <c r="A13566" s="16" t="s">
        <v>87</v>
      </c>
      <c r="E13566" s="16" t="str">
        <f>IFERROR(__xludf.DUMMYFUNCTION("""COMPUTED_VALUE"""),"")</f>
        <v/>
      </c>
      <c r="G13566" s="18"/>
      <c r="H13566" s="16" t="s">
        <v>87</v>
      </c>
      <c r="I13566" s="16" t="s">
        <v>87</v>
      </c>
      <c r="J13566" s="19"/>
      <c r="L13566" s="16" t="str">
        <f>IFERROR(__xludf.DUMMYFUNCTION("""COMPUTED_VALUE"""),"")</f>
        <v/>
      </c>
      <c r="M13566" s="16" t="str">
        <f>IFERROR(__xludf.DUMMYFUNCTION("""COMPUTED_VALUE"""),"")</f>
        <v/>
      </c>
      <c r="U13566" s="16" t="s">
        <v>87</v>
      </c>
      <c r="V13566" s="16" t="str">
        <f>IFERROR(__xludf.DUMMYFUNCTION("""COMPUTED_VALUE"""),"")</f>
        <v/>
      </c>
      <c r="W13566" s="16" t="str">
        <f>IFERROR(__xludf.DUMMYFUNCTION("""COMPUTED_VALUE"""),"")</f>
        <v/>
      </c>
      <c r="X13566" s="16" t="str">
        <f>IFERROR(__xludf.DUMMYFUNCTION("""COMPUTED_VALUE"""),"")</f>
        <v/>
      </c>
      <c r="AC13566" s="16" t="str">
        <f>IFERROR(__xludf.DUMMYFUNCTION("""COMPUTED_VALUE"""),"")</f>
        <v/>
      </c>
    </row>
    <row r="13567">
      <c r="A13567" s="16" t="s">
        <v>87</v>
      </c>
      <c r="E13567" s="16" t="str">
        <f>IFERROR(__xludf.DUMMYFUNCTION("""COMPUTED_VALUE"""),"")</f>
        <v/>
      </c>
      <c r="G13567" s="18"/>
      <c r="H13567" s="16" t="s">
        <v>87</v>
      </c>
      <c r="I13567" s="16" t="s">
        <v>87</v>
      </c>
      <c r="J13567" s="19"/>
      <c r="L13567" s="16" t="str">
        <f>IFERROR(__xludf.DUMMYFUNCTION("""COMPUTED_VALUE"""),"")</f>
        <v/>
      </c>
      <c r="M13567" s="16" t="str">
        <f>IFERROR(__xludf.DUMMYFUNCTION("""COMPUTED_VALUE"""),"")</f>
        <v/>
      </c>
      <c r="U13567" s="16" t="s">
        <v>87</v>
      </c>
      <c r="V13567" s="16" t="str">
        <f>IFERROR(__xludf.DUMMYFUNCTION("""COMPUTED_VALUE"""),"")</f>
        <v/>
      </c>
      <c r="W13567" s="16" t="str">
        <f>IFERROR(__xludf.DUMMYFUNCTION("""COMPUTED_VALUE"""),"")</f>
        <v/>
      </c>
      <c r="X13567" s="16" t="str">
        <f>IFERROR(__xludf.DUMMYFUNCTION("""COMPUTED_VALUE"""),"")</f>
        <v/>
      </c>
      <c r="AC13567" s="16" t="str">
        <f>IFERROR(__xludf.DUMMYFUNCTION("""COMPUTED_VALUE"""),"")</f>
        <v/>
      </c>
    </row>
    <row r="13568">
      <c r="A13568" s="16" t="s">
        <v>87</v>
      </c>
      <c r="E13568" s="16" t="str">
        <f>IFERROR(__xludf.DUMMYFUNCTION("""COMPUTED_VALUE"""),"")</f>
        <v/>
      </c>
      <c r="G13568" s="18"/>
      <c r="H13568" s="16" t="s">
        <v>87</v>
      </c>
      <c r="I13568" s="16" t="s">
        <v>87</v>
      </c>
      <c r="J13568" s="19"/>
      <c r="L13568" s="16" t="str">
        <f>IFERROR(__xludf.DUMMYFUNCTION("""COMPUTED_VALUE"""),"")</f>
        <v/>
      </c>
      <c r="M13568" s="16" t="str">
        <f>IFERROR(__xludf.DUMMYFUNCTION("""COMPUTED_VALUE"""),"")</f>
        <v/>
      </c>
      <c r="U13568" s="16" t="s">
        <v>87</v>
      </c>
      <c r="V13568" s="16" t="str">
        <f>IFERROR(__xludf.DUMMYFUNCTION("""COMPUTED_VALUE"""),"")</f>
        <v/>
      </c>
      <c r="W13568" s="16" t="str">
        <f>IFERROR(__xludf.DUMMYFUNCTION("""COMPUTED_VALUE"""),"")</f>
        <v/>
      </c>
      <c r="X13568" s="16" t="str">
        <f>IFERROR(__xludf.DUMMYFUNCTION("""COMPUTED_VALUE"""),"")</f>
        <v/>
      </c>
      <c r="AC13568" s="16" t="str">
        <f>IFERROR(__xludf.DUMMYFUNCTION("""COMPUTED_VALUE"""),"")</f>
        <v/>
      </c>
    </row>
    <row r="13569">
      <c r="A13569" s="16" t="s">
        <v>87</v>
      </c>
      <c r="E13569" s="16" t="str">
        <f>IFERROR(__xludf.DUMMYFUNCTION("""COMPUTED_VALUE"""),"")</f>
        <v/>
      </c>
      <c r="G13569" s="18"/>
      <c r="H13569" s="16" t="s">
        <v>87</v>
      </c>
      <c r="I13569" s="16" t="s">
        <v>87</v>
      </c>
      <c r="J13569" s="19"/>
      <c r="L13569" s="16" t="str">
        <f>IFERROR(__xludf.DUMMYFUNCTION("""COMPUTED_VALUE"""),"")</f>
        <v/>
      </c>
      <c r="M13569" s="16" t="str">
        <f>IFERROR(__xludf.DUMMYFUNCTION("""COMPUTED_VALUE"""),"")</f>
        <v/>
      </c>
      <c r="U13569" s="16" t="s">
        <v>87</v>
      </c>
      <c r="V13569" s="16" t="str">
        <f>IFERROR(__xludf.DUMMYFUNCTION("""COMPUTED_VALUE"""),"")</f>
        <v/>
      </c>
      <c r="W13569" s="16" t="str">
        <f>IFERROR(__xludf.DUMMYFUNCTION("""COMPUTED_VALUE"""),"")</f>
        <v/>
      </c>
      <c r="X13569" s="16" t="str">
        <f>IFERROR(__xludf.DUMMYFUNCTION("""COMPUTED_VALUE"""),"")</f>
        <v/>
      </c>
      <c r="AC13569" s="16" t="str">
        <f>IFERROR(__xludf.DUMMYFUNCTION("""COMPUTED_VALUE"""),"")</f>
        <v/>
      </c>
    </row>
    <row r="13570">
      <c r="A13570" s="16" t="s">
        <v>87</v>
      </c>
      <c r="E13570" s="16" t="str">
        <f>IFERROR(__xludf.DUMMYFUNCTION("""COMPUTED_VALUE"""),"")</f>
        <v/>
      </c>
      <c r="G13570" s="18"/>
      <c r="H13570" s="16" t="s">
        <v>87</v>
      </c>
      <c r="I13570" s="16" t="s">
        <v>87</v>
      </c>
      <c r="J13570" s="19"/>
      <c r="L13570" s="16" t="str">
        <f>IFERROR(__xludf.DUMMYFUNCTION("""COMPUTED_VALUE"""),"")</f>
        <v/>
      </c>
      <c r="M13570" s="16" t="str">
        <f>IFERROR(__xludf.DUMMYFUNCTION("""COMPUTED_VALUE"""),"")</f>
        <v/>
      </c>
      <c r="U13570" s="16" t="s">
        <v>87</v>
      </c>
      <c r="V13570" s="16" t="str">
        <f>IFERROR(__xludf.DUMMYFUNCTION("""COMPUTED_VALUE"""),"")</f>
        <v/>
      </c>
      <c r="W13570" s="16" t="str">
        <f>IFERROR(__xludf.DUMMYFUNCTION("""COMPUTED_VALUE"""),"")</f>
        <v/>
      </c>
      <c r="X13570" s="16" t="str">
        <f>IFERROR(__xludf.DUMMYFUNCTION("""COMPUTED_VALUE"""),"")</f>
        <v/>
      </c>
      <c r="AC13570" s="16" t="str">
        <f>IFERROR(__xludf.DUMMYFUNCTION("""COMPUTED_VALUE"""),"")</f>
        <v/>
      </c>
    </row>
    <row r="13571">
      <c r="A13571" s="16" t="s">
        <v>87</v>
      </c>
      <c r="E13571" s="16" t="str">
        <f>IFERROR(__xludf.DUMMYFUNCTION("""COMPUTED_VALUE"""),"")</f>
        <v/>
      </c>
      <c r="G13571" s="18"/>
      <c r="H13571" s="16" t="s">
        <v>87</v>
      </c>
      <c r="I13571" s="16" t="s">
        <v>87</v>
      </c>
      <c r="J13571" s="19"/>
      <c r="L13571" s="16" t="str">
        <f>IFERROR(__xludf.DUMMYFUNCTION("""COMPUTED_VALUE"""),"")</f>
        <v/>
      </c>
      <c r="M13571" s="16" t="str">
        <f>IFERROR(__xludf.DUMMYFUNCTION("""COMPUTED_VALUE"""),"")</f>
        <v/>
      </c>
      <c r="U13571" s="16" t="s">
        <v>87</v>
      </c>
      <c r="V13571" s="16" t="str">
        <f>IFERROR(__xludf.DUMMYFUNCTION("""COMPUTED_VALUE"""),"")</f>
        <v/>
      </c>
      <c r="W13571" s="16" t="str">
        <f>IFERROR(__xludf.DUMMYFUNCTION("""COMPUTED_VALUE"""),"")</f>
        <v/>
      </c>
      <c r="X13571" s="16" t="str">
        <f>IFERROR(__xludf.DUMMYFUNCTION("""COMPUTED_VALUE"""),"")</f>
        <v/>
      </c>
      <c r="AC13571" s="16" t="str">
        <f>IFERROR(__xludf.DUMMYFUNCTION("""COMPUTED_VALUE"""),"")</f>
        <v/>
      </c>
    </row>
    <row r="13572">
      <c r="A13572" s="16" t="s">
        <v>87</v>
      </c>
      <c r="E13572" s="16" t="str">
        <f>IFERROR(__xludf.DUMMYFUNCTION("""COMPUTED_VALUE"""),"")</f>
        <v/>
      </c>
      <c r="G13572" s="18"/>
      <c r="H13572" s="16" t="s">
        <v>87</v>
      </c>
      <c r="I13572" s="16" t="s">
        <v>87</v>
      </c>
      <c r="J13572" s="19"/>
      <c r="L13572" s="16" t="str">
        <f>IFERROR(__xludf.DUMMYFUNCTION("""COMPUTED_VALUE"""),"")</f>
        <v/>
      </c>
      <c r="M13572" s="16" t="str">
        <f>IFERROR(__xludf.DUMMYFUNCTION("""COMPUTED_VALUE"""),"")</f>
        <v/>
      </c>
      <c r="U13572" s="16" t="s">
        <v>87</v>
      </c>
      <c r="V13572" s="16" t="str">
        <f>IFERROR(__xludf.DUMMYFUNCTION("""COMPUTED_VALUE"""),"")</f>
        <v/>
      </c>
      <c r="W13572" s="16" t="str">
        <f>IFERROR(__xludf.DUMMYFUNCTION("""COMPUTED_VALUE"""),"")</f>
        <v/>
      </c>
      <c r="X13572" s="16" t="str">
        <f>IFERROR(__xludf.DUMMYFUNCTION("""COMPUTED_VALUE"""),"")</f>
        <v/>
      </c>
      <c r="AC13572" s="16" t="str">
        <f>IFERROR(__xludf.DUMMYFUNCTION("""COMPUTED_VALUE"""),"")</f>
        <v/>
      </c>
    </row>
    <row r="13573">
      <c r="A13573" s="16" t="s">
        <v>87</v>
      </c>
      <c r="E13573" s="16" t="str">
        <f>IFERROR(__xludf.DUMMYFUNCTION("""COMPUTED_VALUE"""),"")</f>
        <v/>
      </c>
      <c r="G13573" s="18"/>
      <c r="H13573" s="16" t="s">
        <v>87</v>
      </c>
      <c r="I13573" s="16" t="s">
        <v>87</v>
      </c>
      <c r="J13573" s="19"/>
      <c r="L13573" s="16" t="str">
        <f>IFERROR(__xludf.DUMMYFUNCTION("""COMPUTED_VALUE"""),"")</f>
        <v/>
      </c>
      <c r="M13573" s="16" t="str">
        <f>IFERROR(__xludf.DUMMYFUNCTION("""COMPUTED_VALUE"""),"")</f>
        <v/>
      </c>
      <c r="U13573" s="16" t="s">
        <v>87</v>
      </c>
      <c r="V13573" s="16" t="str">
        <f>IFERROR(__xludf.DUMMYFUNCTION("""COMPUTED_VALUE"""),"")</f>
        <v/>
      </c>
      <c r="W13573" s="16" t="str">
        <f>IFERROR(__xludf.DUMMYFUNCTION("""COMPUTED_VALUE"""),"")</f>
        <v/>
      </c>
      <c r="X13573" s="16" t="str">
        <f>IFERROR(__xludf.DUMMYFUNCTION("""COMPUTED_VALUE"""),"")</f>
        <v/>
      </c>
      <c r="AC13573" s="16" t="str">
        <f>IFERROR(__xludf.DUMMYFUNCTION("""COMPUTED_VALUE"""),"")</f>
        <v/>
      </c>
    </row>
    <row r="13574">
      <c r="A13574" s="16" t="s">
        <v>87</v>
      </c>
      <c r="E13574" s="16" t="str">
        <f>IFERROR(__xludf.DUMMYFUNCTION("""COMPUTED_VALUE"""),"")</f>
        <v/>
      </c>
      <c r="G13574" s="18"/>
      <c r="H13574" s="16" t="s">
        <v>87</v>
      </c>
      <c r="I13574" s="16" t="s">
        <v>87</v>
      </c>
      <c r="J13574" s="19"/>
      <c r="L13574" s="16" t="str">
        <f>IFERROR(__xludf.DUMMYFUNCTION("""COMPUTED_VALUE"""),"")</f>
        <v/>
      </c>
      <c r="M13574" s="16" t="str">
        <f>IFERROR(__xludf.DUMMYFUNCTION("""COMPUTED_VALUE"""),"")</f>
        <v/>
      </c>
      <c r="U13574" s="16" t="s">
        <v>87</v>
      </c>
      <c r="V13574" s="16" t="str">
        <f>IFERROR(__xludf.DUMMYFUNCTION("""COMPUTED_VALUE"""),"")</f>
        <v/>
      </c>
      <c r="W13574" s="16" t="str">
        <f>IFERROR(__xludf.DUMMYFUNCTION("""COMPUTED_VALUE"""),"")</f>
        <v/>
      </c>
      <c r="X13574" s="16" t="str">
        <f>IFERROR(__xludf.DUMMYFUNCTION("""COMPUTED_VALUE"""),"")</f>
        <v/>
      </c>
      <c r="AC13574" s="16" t="str">
        <f>IFERROR(__xludf.DUMMYFUNCTION("""COMPUTED_VALUE"""),"")</f>
        <v/>
      </c>
    </row>
    <row r="13575">
      <c r="A13575" s="16" t="s">
        <v>87</v>
      </c>
      <c r="E13575" s="16" t="str">
        <f>IFERROR(__xludf.DUMMYFUNCTION("""COMPUTED_VALUE"""),"")</f>
        <v/>
      </c>
      <c r="G13575" s="18"/>
      <c r="H13575" s="16" t="s">
        <v>87</v>
      </c>
      <c r="I13575" s="16" t="s">
        <v>87</v>
      </c>
      <c r="J13575" s="19"/>
      <c r="L13575" s="16" t="str">
        <f>IFERROR(__xludf.DUMMYFUNCTION("""COMPUTED_VALUE"""),"")</f>
        <v/>
      </c>
      <c r="M13575" s="16" t="str">
        <f>IFERROR(__xludf.DUMMYFUNCTION("""COMPUTED_VALUE"""),"")</f>
        <v/>
      </c>
      <c r="U13575" s="16" t="s">
        <v>87</v>
      </c>
      <c r="V13575" s="16" t="str">
        <f>IFERROR(__xludf.DUMMYFUNCTION("""COMPUTED_VALUE"""),"")</f>
        <v/>
      </c>
      <c r="W13575" s="16" t="str">
        <f>IFERROR(__xludf.DUMMYFUNCTION("""COMPUTED_VALUE"""),"")</f>
        <v/>
      </c>
      <c r="X13575" s="16" t="str">
        <f>IFERROR(__xludf.DUMMYFUNCTION("""COMPUTED_VALUE"""),"")</f>
        <v/>
      </c>
      <c r="AC13575" s="16" t="str">
        <f>IFERROR(__xludf.DUMMYFUNCTION("""COMPUTED_VALUE"""),"")</f>
        <v/>
      </c>
    </row>
    <row r="13576">
      <c r="A13576" s="16" t="s">
        <v>87</v>
      </c>
      <c r="E13576" s="16" t="str">
        <f>IFERROR(__xludf.DUMMYFUNCTION("""COMPUTED_VALUE"""),"")</f>
        <v/>
      </c>
      <c r="G13576" s="18"/>
      <c r="H13576" s="16" t="s">
        <v>87</v>
      </c>
      <c r="I13576" s="16" t="s">
        <v>87</v>
      </c>
      <c r="J13576" s="19"/>
      <c r="L13576" s="16" t="str">
        <f>IFERROR(__xludf.DUMMYFUNCTION("""COMPUTED_VALUE"""),"")</f>
        <v/>
      </c>
      <c r="M13576" s="16" t="str">
        <f>IFERROR(__xludf.DUMMYFUNCTION("""COMPUTED_VALUE"""),"")</f>
        <v/>
      </c>
      <c r="U13576" s="16" t="s">
        <v>87</v>
      </c>
      <c r="V13576" s="16" t="str">
        <f>IFERROR(__xludf.DUMMYFUNCTION("""COMPUTED_VALUE"""),"")</f>
        <v/>
      </c>
      <c r="W13576" s="16" t="str">
        <f>IFERROR(__xludf.DUMMYFUNCTION("""COMPUTED_VALUE"""),"")</f>
        <v/>
      </c>
      <c r="X13576" s="16" t="str">
        <f>IFERROR(__xludf.DUMMYFUNCTION("""COMPUTED_VALUE"""),"")</f>
        <v/>
      </c>
      <c r="AC13576" s="16" t="str">
        <f>IFERROR(__xludf.DUMMYFUNCTION("""COMPUTED_VALUE"""),"")</f>
        <v/>
      </c>
    </row>
    <row r="13577">
      <c r="A13577" s="16" t="s">
        <v>87</v>
      </c>
      <c r="E13577" s="16" t="str">
        <f>IFERROR(__xludf.DUMMYFUNCTION("""COMPUTED_VALUE"""),"")</f>
        <v/>
      </c>
      <c r="G13577" s="18"/>
      <c r="H13577" s="16" t="s">
        <v>87</v>
      </c>
      <c r="I13577" s="16" t="s">
        <v>87</v>
      </c>
      <c r="J13577" s="19"/>
      <c r="L13577" s="16" t="str">
        <f>IFERROR(__xludf.DUMMYFUNCTION("""COMPUTED_VALUE"""),"")</f>
        <v/>
      </c>
      <c r="M13577" s="16" t="str">
        <f>IFERROR(__xludf.DUMMYFUNCTION("""COMPUTED_VALUE"""),"")</f>
        <v/>
      </c>
      <c r="U13577" s="16" t="s">
        <v>87</v>
      </c>
      <c r="V13577" s="16" t="str">
        <f>IFERROR(__xludf.DUMMYFUNCTION("""COMPUTED_VALUE"""),"")</f>
        <v/>
      </c>
      <c r="W13577" s="16" t="str">
        <f>IFERROR(__xludf.DUMMYFUNCTION("""COMPUTED_VALUE"""),"")</f>
        <v/>
      </c>
      <c r="X13577" s="16" t="str">
        <f>IFERROR(__xludf.DUMMYFUNCTION("""COMPUTED_VALUE"""),"")</f>
        <v/>
      </c>
      <c r="AC13577" s="16" t="str">
        <f>IFERROR(__xludf.DUMMYFUNCTION("""COMPUTED_VALUE"""),"")</f>
        <v/>
      </c>
    </row>
    <row r="13578">
      <c r="A13578" s="16" t="s">
        <v>87</v>
      </c>
      <c r="E13578" s="16" t="str">
        <f>IFERROR(__xludf.DUMMYFUNCTION("""COMPUTED_VALUE"""),"")</f>
        <v/>
      </c>
      <c r="G13578" s="18"/>
      <c r="H13578" s="16" t="s">
        <v>87</v>
      </c>
      <c r="I13578" s="16" t="s">
        <v>87</v>
      </c>
      <c r="J13578" s="19"/>
      <c r="L13578" s="16" t="str">
        <f>IFERROR(__xludf.DUMMYFUNCTION("""COMPUTED_VALUE"""),"")</f>
        <v/>
      </c>
      <c r="M13578" s="16" t="str">
        <f>IFERROR(__xludf.DUMMYFUNCTION("""COMPUTED_VALUE"""),"")</f>
        <v/>
      </c>
      <c r="U13578" s="16" t="s">
        <v>87</v>
      </c>
      <c r="V13578" s="16" t="str">
        <f>IFERROR(__xludf.DUMMYFUNCTION("""COMPUTED_VALUE"""),"")</f>
        <v/>
      </c>
      <c r="W13578" s="16" t="str">
        <f>IFERROR(__xludf.DUMMYFUNCTION("""COMPUTED_VALUE"""),"")</f>
        <v/>
      </c>
      <c r="X13578" s="16" t="str">
        <f>IFERROR(__xludf.DUMMYFUNCTION("""COMPUTED_VALUE"""),"")</f>
        <v/>
      </c>
      <c r="AC13578" s="16" t="str">
        <f>IFERROR(__xludf.DUMMYFUNCTION("""COMPUTED_VALUE"""),"")</f>
        <v/>
      </c>
    </row>
    <row r="13579">
      <c r="A13579" s="16" t="s">
        <v>87</v>
      </c>
      <c r="E13579" s="16" t="str">
        <f>IFERROR(__xludf.DUMMYFUNCTION("""COMPUTED_VALUE"""),"")</f>
        <v/>
      </c>
      <c r="G13579" s="18"/>
      <c r="H13579" s="16" t="s">
        <v>87</v>
      </c>
      <c r="I13579" s="16" t="s">
        <v>87</v>
      </c>
      <c r="J13579" s="19"/>
      <c r="L13579" s="16" t="str">
        <f>IFERROR(__xludf.DUMMYFUNCTION("""COMPUTED_VALUE"""),"")</f>
        <v/>
      </c>
      <c r="M13579" s="16" t="str">
        <f>IFERROR(__xludf.DUMMYFUNCTION("""COMPUTED_VALUE"""),"")</f>
        <v/>
      </c>
      <c r="U13579" s="16" t="s">
        <v>87</v>
      </c>
      <c r="V13579" s="16" t="str">
        <f>IFERROR(__xludf.DUMMYFUNCTION("""COMPUTED_VALUE"""),"")</f>
        <v/>
      </c>
      <c r="W13579" s="16" t="str">
        <f>IFERROR(__xludf.DUMMYFUNCTION("""COMPUTED_VALUE"""),"")</f>
        <v/>
      </c>
      <c r="X13579" s="16" t="str">
        <f>IFERROR(__xludf.DUMMYFUNCTION("""COMPUTED_VALUE"""),"")</f>
        <v/>
      </c>
      <c r="AC13579" s="16" t="str">
        <f>IFERROR(__xludf.DUMMYFUNCTION("""COMPUTED_VALUE"""),"")</f>
        <v/>
      </c>
    </row>
    <row r="13580">
      <c r="A13580" s="16" t="s">
        <v>87</v>
      </c>
      <c r="E13580" s="16" t="str">
        <f>IFERROR(__xludf.DUMMYFUNCTION("""COMPUTED_VALUE"""),"")</f>
        <v/>
      </c>
      <c r="G13580" s="18"/>
      <c r="H13580" s="16" t="s">
        <v>87</v>
      </c>
      <c r="I13580" s="16" t="s">
        <v>87</v>
      </c>
      <c r="J13580" s="19"/>
      <c r="L13580" s="16" t="str">
        <f>IFERROR(__xludf.DUMMYFUNCTION("""COMPUTED_VALUE"""),"")</f>
        <v/>
      </c>
      <c r="M13580" s="16" t="str">
        <f>IFERROR(__xludf.DUMMYFUNCTION("""COMPUTED_VALUE"""),"")</f>
        <v/>
      </c>
      <c r="U13580" s="16" t="s">
        <v>87</v>
      </c>
      <c r="V13580" s="16" t="str">
        <f>IFERROR(__xludf.DUMMYFUNCTION("""COMPUTED_VALUE"""),"")</f>
        <v/>
      </c>
      <c r="W13580" s="16" t="str">
        <f>IFERROR(__xludf.DUMMYFUNCTION("""COMPUTED_VALUE"""),"")</f>
        <v/>
      </c>
      <c r="X13580" s="16" t="str">
        <f>IFERROR(__xludf.DUMMYFUNCTION("""COMPUTED_VALUE"""),"")</f>
        <v/>
      </c>
      <c r="AC13580" s="16" t="str">
        <f>IFERROR(__xludf.DUMMYFUNCTION("""COMPUTED_VALUE"""),"")</f>
        <v/>
      </c>
    </row>
    <row r="13581">
      <c r="A13581" s="16" t="s">
        <v>87</v>
      </c>
      <c r="E13581" s="16" t="str">
        <f>IFERROR(__xludf.DUMMYFUNCTION("""COMPUTED_VALUE"""),"")</f>
        <v/>
      </c>
      <c r="G13581" s="18"/>
      <c r="H13581" s="16" t="s">
        <v>87</v>
      </c>
      <c r="I13581" s="16" t="s">
        <v>87</v>
      </c>
      <c r="J13581" s="19"/>
      <c r="L13581" s="16" t="str">
        <f>IFERROR(__xludf.DUMMYFUNCTION("""COMPUTED_VALUE"""),"")</f>
        <v/>
      </c>
      <c r="M13581" s="16" t="str">
        <f>IFERROR(__xludf.DUMMYFUNCTION("""COMPUTED_VALUE"""),"")</f>
        <v/>
      </c>
      <c r="U13581" s="16" t="s">
        <v>87</v>
      </c>
      <c r="V13581" s="16" t="str">
        <f>IFERROR(__xludf.DUMMYFUNCTION("""COMPUTED_VALUE"""),"")</f>
        <v/>
      </c>
      <c r="W13581" s="16" t="str">
        <f>IFERROR(__xludf.DUMMYFUNCTION("""COMPUTED_VALUE"""),"")</f>
        <v/>
      </c>
      <c r="X13581" s="16" t="str">
        <f>IFERROR(__xludf.DUMMYFUNCTION("""COMPUTED_VALUE"""),"")</f>
        <v/>
      </c>
      <c r="AC13581" s="16" t="str">
        <f>IFERROR(__xludf.DUMMYFUNCTION("""COMPUTED_VALUE"""),"")</f>
        <v/>
      </c>
    </row>
    <row r="13582">
      <c r="A13582" s="16" t="s">
        <v>87</v>
      </c>
      <c r="E13582" s="16" t="str">
        <f>IFERROR(__xludf.DUMMYFUNCTION("""COMPUTED_VALUE"""),"")</f>
        <v/>
      </c>
      <c r="G13582" s="18"/>
      <c r="H13582" s="16" t="s">
        <v>87</v>
      </c>
      <c r="I13582" s="16" t="s">
        <v>87</v>
      </c>
      <c r="J13582" s="19"/>
      <c r="L13582" s="16" t="str">
        <f>IFERROR(__xludf.DUMMYFUNCTION("""COMPUTED_VALUE"""),"")</f>
        <v/>
      </c>
      <c r="M13582" s="16" t="str">
        <f>IFERROR(__xludf.DUMMYFUNCTION("""COMPUTED_VALUE"""),"")</f>
        <v/>
      </c>
      <c r="U13582" s="16" t="s">
        <v>87</v>
      </c>
      <c r="V13582" s="16" t="str">
        <f>IFERROR(__xludf.DUMMYFUNCTION("""COMPUTED_VALUE"""),"")</f>
        <v/>
      </c>
      <c r="W13582" s="16" t="str">
        <f>IFERROR(__xludf.DUMMYFUNCTION("""COMPUTED_VALUE"""),"")</f>
        <v/>
      </c>
      <c r="X13582" s="16" t="str">
        <f>IFERROR(__xludf.DUMMYFUNCTION("""COMPUTED_VALUE"""),"")</f>
        <v/>
      </c>
      <c r="AC13582" s="16" t="str">
        <f>IFERROR(__xludf.DUMMYFUNCTION("""COMPUTED_VALUE"""),"")</f>
        <v/>
      </c>
    </row>
    <row r="13583">
      <c r="A13583" s="16" t="s">
        <v>87</v>
      </c>
      <c r="E13583" s="16" t="str">
        <f>IFERROR(__xludf.DUMMYFUNCTION("""COMPUTED_VALUE"""),"")</f>
        <v/>
      </c>
      <c r="G13583" s="18"/>
      <c r="H13583" s="16" t="s">
        <v>87</v>
      </c>
      <c r="I13583" s="16" t="s">
        <v>87</v>
      </c>
      <c r="J13583" s="19"/>
      <c r="L13583" s="16" t="str">
        <f>IFERROR(__xludf.DUMMYFUNCTION("""COMPUTED_VALUE"""),"")</f>
        <v/>
      </c>
      <c r="M13583" s="16" t="str">
        <f>IFERROR(__xludf.DUMMYFUNCTION("""COMPUTED_VALUE"""),"")</f>
        <v/>
      </c>
      <c r="U13583" s="16" t="s">
        <v>87</v>
      </c>
      <c r="V13583" s="16" t="str">
        <f>IFERROR(__xludf.DUMMYFUNCTION("""COMPUTED_VALUE"""),"")</f>
        <v/>
      </c>
      <c r="W13583" s="16" t="str">
        <f>IFERROR(__xludf.DUMMYFUNCTION("""COMPUTED_VALUE"""),"")</f>
        <v/>
      </c>
      <c r="X13583" s="16" t="str">
        <f>IFERROR(__xludf.DUMMYFUNCTION("""COMPUTED_VALUE"""),"")</f>
        <v/>
      </c>
      <c r="AC13583" s="16" t="str">
        <f>IFERROR(__xludf.DUMMYFUNCTION("""COMPUTED_VALUE"""),"")</f>
        <v/>
      </c>
    </row>
    <row r="13584">
      <c r="A13584" s="16" t="s">
        <v>87</v>
      </c>
      <c r="E13584" s="16" t="str">
        <f>IFERROR(__xludf.DUMMYFUNCTION("""COMPUTED_VALUE"""),"")</f>
        <v/>
      </c>
      <c r="G13584" s="18"/>
      <c r="H13584" s="16" t="s">
        <v>87</v>
      </c>
      <c r="I13584" s="16" t="s">
        <v>87</v>
      </c>
      <c r="J13584" s="19"/>
      <c r="L13584" s="16" t="str">
        <f>IFERROR(__xludf.DUMMYFUNCTION("""COMPUTED_VALUE"""),"")</f>
        <v/>
      </c>
      <c r="M13584" s="16" t="str">
        <f>IFERROR(__xludf.DUMMYFUNCTION("""COMPUTED_VALUE"""),"")</f>
        <v/>
      </c>
      <c r="U13584" s="16" t="s">
        <v>87</v>
      </c>
      <c r="V13584" s="16" t="str">
        <f>IFERROR(__xludf.DUMMYFUNCTION("""COMPUTED_VALUE"""),"")</f>
        <v/>
      </c>
      <c r="W13584" s="16" t="str">
        <f>IFERROR(__xludf.DUMMYFUNCTION("""COMPUTED_VALUE"""),"")</f>
        <v/>
      </c>
      <c r="X13584" s="16" t="str">
        <f>IFERROR(__xludf.DUMMYFUNCTION("""COMPUTED_VALUE"""),"")</f>
        <v/>
      </c>
      <c r="AC13584" s="16" t="str">
        <f>IFERROR(__xludf.DUMMYFUNCTION("""COMPUTED_VALUE"""),"")</f>
        <v/>
      </c>
    </row>
    <row r="13585">
      <c r="A13585" s="16" t="s">
        <v>87</v>
      </c>
      <c r="E13585" s="16" t="str">
        <f>IFERROR(__xludf.DUMMYFUNCTION("""COMPUTED_VALUE"""),"")</f>
        <v/>
      </c>
      <c r="G13585" s="18"/>
      <c r="H13585" s="16" t="s">
        <v>87</v>
      </c>
      <c r="I13585" s="16" t="s">
        <v>87</v>
      </c>
      <c r="J13585" s="19"/>
      <c r="L13585" s="16" t="str">
        <f>IFERROR(__xludf.DUMMYFUNCTION("""COMPUTED_VALUE"""),"")</f>
        <v/>
      </c>
      <c r="M13585" s="16" t="str">
        <f>IFERROR(__xludf.DUMMYFUNCTION("""COMPUTED_VALUE"""),"")</f>
        <v/>
      </c>
      <c r="U13585" s="16" t="s">
        <v>87</v>
      </c>
      <c r="V13585" s="16" t="str">
        <f>IFERROR(__xludf.DUMMYFUNCTION("""COMPUTED_VALUE"""),"")</f>
        <v/>
      </c>
      <c r="W13585" s="16" t="str">
        <f>IFERROR(__xludf.DUMMYFUNCTION("""COMPUTED_VALUE"""),"")</f>
        <v/>
      </c>
      <c r="X13585" s="16" t="str">
        <f>IFERROR(__xludf.DUMMYFUNCTION("""COMPUTED_VALUE"""),"")</f>
        <v/>
      </c>
      <c r="AC13585" s="16" t="str">
        <f>IFERROR(__xludf.DUMMYFUNCTION("""COMPUTED_VALUE"""),"")</f>
        <v/>
      </c>
    </row>
    <row r="13586">
      <c r="A13586" s="16" t="s">
        <v>87</v>
      </c>
      <c r="E13586" s="16" t="str">
        <f>IFERROR(__xludf.DUMMYFUNCTION("""COMPUTED_VALUE"""),"")</f>
        <v/>
      </c>
      <c r="G13586" s="18"/>
      <c r="H13586" s="16" t="s">
        <v>87</v>
      </c>
      <c r="I13586" s="16" t="s">
        <v>87</v>
      </c>
      <c r="J13586" s="19"/>
      <c r="L13586" s="16" t="str">
        <f>IFERROR(__xludf.DUMMYFUNCTION("""COMPUTED_VALUE"""),"")</f>
        <v/>
      </c>
      <c r="M13586" s="16" t="str">
        <f>IFERROR(__xludf.DUMMYFUNCTION("""COMPUTED_VALUE"""),"")</f>
        <v/>
      </c>
      <c r="U13586" s="16" t="s">
        <v>87</v>
      </c>
      <c r="V13586" s="16" t="str">
        <f>IFERROR(__xludf.DUMMYFUNCTION("""COMPUTED_VALUE"""),"")</f>
        <v/>
      </c>
      <c r="W13586" s="16" t="str">
        <f>IFERROR(__xludf.DUMMYFUNCTION("""COMPUTED_VALUE"""),"")</f>
        <v/>
      </c>
      <c r="X13586" s="16" t="str">
        <f>IFERROR(__xludf.DUMMYFUNCTION("""COMPUTED_VALUE"""),"")</f>
        <v/>
      </c>
      <c r="AC13586" s="16" t="str">
        <f>IFERROR(__xludf.DUMMYFUNCTION("""COMPUTED_VALUE"""),"")</f>
        <v/>
      </c>
    </row>
    <row r="13587">
      <c r="A13587" s="16" t="s">
        <v>87</v>
      </c>
      <c r="E13587" s="16" t="str">
        <f>IFERROR(__xludf.DUMMYFUNCTION("""COMPUTED_VALUE"""),"")</f>
        <v/>
      </c>
      <c r="G13587" s="18"/>
      <c r="H13587" s="16" t="s">
        <v>87</v>
      </c>
      <c r="I13587" s="16" t="s">
        <v>87</v>
      </c>
      <c r="J13587" s="19"/>
      <c r="L13587" s="16" t="str">
        <f>IFERROR(__xludf.DUMMYFUNCTION("""COMPUTED_VALUE"""),"")</f>
        <v/>
      </c>
      <c r="M13587" s="16" t="str">
        <f>IFERROR(__xludf.DUMMYFUNCTION("""COMPUTED_VALUE"""),"")</f>
        <v/>
      </c>
      <c r="U13587" s="16" t="s">
        <v>87</v>
      </c>
      <c r="V13587" s="16" t="str">
        <f>IFERROR(__xludf.DUMMYFUNCTION("""COMPUTED_VALUE"""),"")</f>
        <v/>
      </c>
      <c r="W13587" s="16" t="str">
        <f>IFERROR(__xludf.DUMMYFUNCTION("""COMPUTED_VALUE"""),"")</f>
        <v/>
      </c>
      <c r="X13587" s="16" t="str">
        <f>IFERROR(__xludf.DUMMYFUNCTION("""COMPUTED_VALUE"""),"")</f>
        <v/>
      </c>
      <c r="AC13587" s="16" t="str">
        <f>IFERROR(__xludf.DUMMYFUNCTION("""COMPUTED_VALUE"""),"")</f>
        <v/>
      </c>
    </row>
    <row r="13588">
      <c r="A13588" s="16" t="s">
        <v>87</v>
      </c>
      <c r="E13588" s="16" t="str">
        <f>IFERROR(__xludf.DUMMYFUNCTION("""COMPUTED_VALUE"""),"")</f>
        <v/>
      </c>
      <c r="G13588" s="18"/>
      <c r="H13588" s="16" t="s">
        <v>87</v>
      </c>
      <c r="I13588" s="16" t="s">
        <v>87</v>
      </c>
      <c r="J13588" s="19"/>
      <c r="L13588" s="16" t="str">
        <f>IFERROR(__xludf.DUMMYFUNCTION("""COMPUTED_VALUE"""),"")</f>
        <v/>
      </c>
      <c r="M13588" s="16" t="str">
        <f>IFERROR(__xludf.DUMMYFUNCTION("""COMPUTED_VALUE"""),"")</f>
        <v/>
      </c>
      <c r="U13588" s="16" t="s">
        <v>87</v>
      </c>
      <c r="V13588" s="16" t="str">
        <f>IFERROR(__xludf.DUMMYFUNCTION("""COMPUTED_VALUE"""),"")</f>
        <v/>
      </c>
      <c r="W13588" s="16" t="str">
        <f>IFERROR(__xludf.DUMMYFUNCTION("""COMPUTED_VALUE"""),"")</f>
        <v/>
      </c>
      <c r="X13588" s="16" t="str">
        <f>IFERROR(__xludf.DUMMYFUNCTION("""COMPUTED_VALUE"""),"")</f>
        <v/>
      </c>
      <c r="AC13588" s="16" t="str">
        <f>IFERROR(__xludf.DUMMYFUNCTION("""COMPUTED_VALUE"""),"")</f>
        <v/>
      </c>
    </row>
    <row r="13589">
      <c r="A13589" s="16" t="s">
        <v>87</v>
      </c>
      <c r="E13589" s="16" t="str">
        <f>IFERROR(__xludf.DUMMYFUNCTION("""COMPUTED_VALUE"""),"")</f>
        <v/>
      </c>
      <c r="G13589" s="18"/>
      <c r="H13589" s="16" t="s">
        <v>87</v>
      </c>
      <c r="I13589" s="16" t="s">
        <v>87</v>
      </c>
      <c r="J13589" s="19"/>
      <c r="L13589" s="16" t="str">
        <f>IFERROR(__xludf.DUMMYFUNCTION("""COMPUTED_VALUE"""),"")</f>
        <v/>
      </c>
      <c r="M13589" s="16" t="str">
        <f>IFERROR(__xludf.DUMMYFUNCTION("""COMPUTED_VALUE"""),"")</f>
        <v/>
      </c>
      <c r="U13589" s="16" t="s">
        <v>87</v>
      </c>
      <c r="V13589" s="16" t="str">
        <f>IFERROR(__xludf.DUMMYFUNCTION("""COMPUTED_VALUE"""),"")</f>
        <v/>
      </c>
      <c r="W13589" s="16" t="str">
        <f>IFERROR(__xludf.DUMMYFUNCTION("""COMPUTED_VALUE"""),"")</f>
        <v/>
      </c>
      <c r="X13589" s="16" t="str">
        <f>IFERROR(__xludf.DUMMYFUNCTION("""COMPUTED_VALUE"""),"")</f>
        <v/>
      </c>
      <c r="AC13589" s="16" t="str">
        <f>IFERROR(__xludf.DUMMYFUNCTION("""COMPUTED_VALUE"""),"")</f>
        <v/>
      </c>
    </row>
    <row r="13590">
      <c r="A13590" s="16" t="s">
        <v>87</v>
      </c>
      <c r="E13590" s="16" t="str">
        <f>IFERROR(__xludf.DUMMYFUNCTION("""COMPUTED_VALUE"""),"")</f>
        <v/>
      </c>
      <c r="G13590" s="18"/>
      <c r="H13590" s="16" t="s">
        <v>87</v>
      </c>
      <c r="I13590" s="16" t="s">
        <v>87</v>
      </c>
      <c r="J13590" s="19"/>
      <c r="L13590" s="16" t="str">
        <f>IFERROR(__xludf.DUMMYFUNCTION("""COMPUTED_VALUE"""),"")</f>
        <v/>
      </c>
      <c r="M13590" s="16" t="str">
        <f>IFERROR(__xludf.DUMMYFUNCTION("""COMPUTED_VALUE"""),"")</f>
        <v/>
      </c>
      <c r="U13590" s="16" t="s">
        <v>87</v>
      </c>
      <c r="V13590" s="16" t="str">
        <f>IFERROR(__xludf.DUMMYFUNCTION("""COMPUTED_VALUE"""),"")</f>
        <v/>
      </c>
      <c r="W13590" s="16" t="str">
        <f>IFERROR(__xludf.DUMMYFUNCTION("""COMPUTED_VALUE"""),"")</f>
        <v/>
      </c>
      <c r="X13590" s="16" t="str">
        <f>IFERROR(__xludf.DUMMYFUNCTION("""COMPUTED_VALUE"""),"")</f>
        <v/>
      </c>
      <c r="AC13590" s="16" t="str">
        <f>IFERROR(__xludf.DUMMYFUNCTION("""COMPUTED_VALUE"""),"")</f>
        <v/>
      </c>
    </row>
    <row r="13591">
      <c r="A13591" s="16" t="s">
        <v>87</v>
      </c>
      <c r="E13591" s="16" t="str">
        <f>IFERROR(__xludf.DUMMYFUNCTION("""COMPUTED_VALUE"""),"")</f>
        <v/>
      </c>
      <c r="G13591" s="18"/>
      <c r="H13591" s="16" t="s">
        <v>87</v>
      </c>
      <c r="I13591" s="16" t="s">
        <v>87</v>
      </c>
      <c r="J13591" s="19"/>
      <c r="L13591" s="16" t="str">
        <f>IFERROR(__xludf.DUMMYFUNCTION("""COMPUTED_VALUE"""),"")</f>
        <v/>
      </c>
      <c r="M13591" s="16" t="str">
        <f>IFERROR(__xludf.DUMMYFUNCTION("""COMPUTED_VALUE"""),"")</f>
        <v/>
      </c>
      <c r="U13591" s="16" t="s">
        <v>87</v>
      </c>
      <c r="V13591" s="16" t="str">
        <f>IFERROR(__xludf.DUMMYFUNCTION("""COMPUTED_VALUE"""),"")</f>
        <v/>
      </c>
      <c r="W13591" s="16" t="str">
        <f>IFERROR(__xludf.DUMMYFUNCTION("""COMPUTED_VALUE"""),"")</f>
        <v/>
      </c>
      <c r="X13591" s="16" t="str">
        <f>IFERROR(__xludf.DUMMYFUNCTION("""COMPUTED_VALUE"""),"")</f>
        <v/>
      </c>
      <c r="AC13591" s="16" t="str">
        <f>IFERROR(__xludf.DUMMYFUNCTION("""COMPUTED_VALUE"""),"")</f>
        <v/>
      </c>
    </row>
    <row r="13592">
      <c r="A13592" s="16" t="s">
        <v>87</v>
      </c>
      <c r="E13592" s="16" t="str">
        <f>IFERROR(__xludf.DUMMYFUNCTION("""COMPUTED_VALUE"""),"")</f>
        <v/>
      </c>
      <c r="G13592" s="18"/>
      <c r="H13592" s="16" t="s">
        <v>87</v>
      </c>
      <c r="I13592" s="16" t="s">
        <v>87</v>
      </c>
      <c r="J13592" s="19"/>
      <c r="L13592" s="16" t="str">
        <f>IFERROR(__xludf.DUMMYFUNCTION("""COMPUTED_VALUE"""),"")</f>
        <v/>
      </c>
      <c r="M13592" s="16" t="str">
        <f>IFERROR(__xludf.DUMMYFUNCTION("""COMPUTED_VALUE"""),"")</f>
        <v/>
      </c>
      <c r="U13592" s="16" t="s">
        <v>87</v>
      </c>
      <c r="V13592" s="16" t="str">
        <f>IFERROR(__xludf.DUMMYFUNCTION("""COMPUTED_VALUE"""),"")</f>
        <v/>
      </c>
      <c r="W13592" s="16" t="str">
        <f>IFERROR(__xludf.DUMMYFUNCTION("""COMPUTED_VALUE"""),"")</f>
        <v/>
      </c>
      <c r="X13592" s="16" t="str">
        <f>IFERROR(__xludf.DUMMYFUNCTION("""COMPUTED_VALUE"""),"")</f>
        <v/>
      </c>
      <c r="AC13592" s="16" t="str">
        <f>IFERROR(__xludf.DUMMYFUNCTION("""COMPUTED_VALUE"""),"")</f>
        <v/>
      </c>
    </row>
    <row r="13593">
      <c r="A13593" s="16" t="s">
        <v>87</v>
      </c>
      <c r="E13593" s="16" t="str">
        <f>IFERROR(__xludf.DUMMYFUNCTION("""COMPUTED_VALUE"""),"")</f>
        <v/>
      </c>
      <c r="G13593" s="18"/>
      <c r="H13593" s="16" t="s">
        <v>87</v>
      </c>
      <c r="I13593" s="16" t="s">
        <v>87</v>
      </c>
      <c r="J13593" s="19"/>
      <c r="L13593" s="16" t="str">
        <f>IFERROR(__xludf.DUMMYFUNCTION("""COMPUTED_VALUE"""),"")</f>
        <v/>
      </c>
      <c r="M13593" s="16" t="str">
        <f>IFERROR(__xludf.DUMMYFUNCTION("""COMPUTED_VALUE"""),"")</f>
        <v/>
      </c>
      <c r="U13593" s="16" t="s">
        <v>87</v>
      </c>
      <c r="V13593" s="16" t="str">
        <f>IFERROR(__xludf.DUMMYFUNCTION("""COMPUTED_VALUE"""),"")</f>
        <v/>
      </c>
      <c r="W13593" s="16" t="str">
        <f>IFERROR(__xludf.DUMMYFUNCTION("""COMPUTED_VALUE"""),"")</f>
        <v/>
      </c>
      <c r="X13593" s="16" t="str">
        <f>IFERROR(__xludf.DUMMYFUNCTION("""COMPUTED_VALUE"""),"")</f>
        <v/>
      </c>
      <c r="AC13593" s="16" t="str">
        <f>IFERROR(__xludf.DUMMYFUNCTION("""COMPUTED_VALUE"""),"")</f>
        <v/>
      </c>
    </row>
    <row r="13594">
      <c r="A13594" s="16" t="s">
        <v>87</v>
      </c>
      <c r="E13594" s="16" t="str">
        <f>IFERROR(__xludf.DUMMYFUNCTION("""COMPUTED_VALUE"""),"")</f>
        <v/>
      </c>
      <c r="G13594" s="18"/>
      <c r="H13594" s="16" t="s">
        <v>87</v>
      </c>
      <c r="I13594" s="16" t="s">
        <v>87</v>
      </c>
      <c r="J13594" s="19"/>
      <c r="L13594" s="16" t="str">
        <f>IFERROR(__xludf.DUMMYFUNCTION("""COMPUTED_VALUE"""),"")</f>
        <v/>
      </c>
      <c r="M13594" s="16" t="str">
        <f>IFERROR(__xludf.DUMMYFUNCTION("""COMPUTED_VALUE"""),"")</f>
        <v/>
      </c>
      <c r="U13594" s="16" t="s">
        <v>87</v>
      </c>
      <c r="V13594" s="16" t="str">
        <f>IFERROR(__xludf.DUMMYFUNCTION("""COMPUTED_VALUE"""),"")</f>
        <v/>
      </c>
      <c r="W13594" s="16" t="str">
        <f>IFERROR(__xludf.DUMMYFUNCTION("""COMPUTED_VALUE"""),"")</f>
        <v/>
      </c>
      <c r="X13594" s="16" t="str">
        <f>IFERROR(__xludf.DUMMYFUNCTION("""COMPUTED_VALUE"""),"")</f>
        <v/>
      </c>
      <c r="AC13594" s="16" t="str">
        <f>IFERROR(__xludf.DUMMYFUNCTION("""COMPUTED_VALUE"""),"")</f>
        <v/>
      </c>
    </row>
    <row r="13595">
      <c r="A13595" s="16" t="s">
        <v>87</v>
      </c>
      <c r="E13595" s="16" t="str">
        <f>IFERROR(__xludf.DUMMYFUNCTION("""COMPUTED_VALUE"""),"")</f>
        <v/>
      </c>
      <c r="G13595" s="18"/>
      <c r="H13595" s="16" t="s">
        <v>87</v>
      </c>
      <c r="I13595" s="16" t="s">
        <v>87</v>
      </c>
      <c r="J13595" s="19"/>
      <c r="L13595" s="16" t="str">
        <f>IFERROR(__xludf.DUMMYFUNCTION("""COMPUTED_VALUE"""),"")</f>
        <v/>
      </c>
      <c r="M13595" s="16" t="str">
        <f>IFERROR(__xludf.DUMMYFUNCTION("""COMPUTED_VALUE"""),"")</f>
        <v/>
      </c>
      <c r="U13595" s="16" t="s">
        <v>87</v>
      </c>
      <c r="V13595" s="16" t="str">
        <f>IFERROR(__xludf.DUMMYFUNCTION("""COMPUTED_VALUE"""),"")</f>
        <v/>
      </c>
      <c r="W13595" s="16" t="str">
        <f>IFERROR(__xludf.DUMMYFUNCTION("""COMPUTED_VALUE"""),"")</f>
        <v/>
      </c>
      <c r="X13595" s="16" t="str">
        <f>IFERROR(__xludf.DUMMYFUNCTION("""COMPUTED_VALUE"""),"")</f>
        <v/>
      </c>
      <c r="AC13595" s="16" t="str">
        <f>IFERROR(__xludf.DUMMYFUNCTION("""COMPUTED_VALUE"""),"")</f>
        <v/>
      </c>
    </row>
    <row r="13596">
      <c r="A13596" s="16" t="s">
        <v>87</v>
      </c>
      <c r="E13596" s="16" t="str">
        <f>IFERROR(__xludf.DUMMYFUNCTION("""COMPUTED_VALUE"""),"")</f>
        <v/>
      </c>
      <c r="G13596" s="18"/>
      <c r="H13596" s="16" t="s">
        <v>87</v>
      </c>
      <c r="I13596" s="16" t="s">
        <v>87</v>
      </c>
      <c r="J13596" s="19"/>
      <c r="L13596" s="16" t="str">
        <f>IFERROR(__xludf.DUMMYFUNCTION("""COMPUTED_VALUE"""),"")</f>
        <v/>
      </c>
      <c r="M13596" s="16" t="str">
        <f>IFERROR(__xludf.DUMMYFUNCTION("""COMPUTED_VALUE"""),"")</f>
        <v/>
      </c>
      <c r="U13596" s="16" t="s">
        <v>87</v>
      </c>
      <c r="V13596" s="16" t="str">
        <f>IFERROR(__xludf.DUMMYFUNCTION("""COMPUTED_VALUE"""),"")</f>
        <v/>
      </c>
      <c r="W13596" s="16" t="str">
        <f>IFERROR(__xludf.DUMMYFUNCTION("""COMPUTED_VALUE"""),"")</f>
        <v/>
      </c>
      <c r="X13596" s="16" t="str">
        <f>IFERROR(__xludf.DUMMYFUNCTION("""COMPUTED_VALUE"""),"")</f>
        <v/>
      </c>
      <c r="AC13596" s="16" t="str">
        <f>IFERROR(__xludf.DUMMYFUNCTION("""COMPUTED_VALUE"""),"")</f>
        <v/>
      </c>
    </row>
    <row r="13597">
      <c r="A13597" s="16" t="s">
        <v>87</v>
      </c>
      <c r="E13597" s="16" t="str">
        <f>IFERROR(__xludf.DUMMYFUNCTION("""COMPUTED_VALUE"""),"")</f>
        <v/>
      </c>
      <c r="G13597" s="18"/>
      <c r="H13597" s="16" t="s">
        <v>87</v>
      </c>
      <c r="I13597" s="16" t="s">
        <v>87</v>
      </c>
      <c r="J13597" s="19"/>
      <c r="L13597" s="16" t="str">
        <f>IFERROR(__xludf.DUMMYFUNCTION("""COMPUTED_VALUE"""),"")</f>
        <v/>
      </c>
      <c r="M13597" s="16" t="str">
        <f>IFERROR(__xludf.DUMMYFUNCTION("""COMPUTED_VALUE"""),"")</f>
        <v/>
      </c>
      <c r="U13597" s="16" t="s">
        <v>87</v>
      </c>
      <c r="V13597" s="16" t="str">
        <f>IFERROR(__xludf.DUMMYFUNCTION("""COMPUTED_VALUE"""),"")</f>
        <v/>
      </c>
      <c r="W13597" s="16" t="str">
        <f>IFERROR(__xludf.DUMMYFUNCTION("""COMPUTED_VALUE"""),"")</f>
        <v/>
      </c>
      <c r="X13597" s="16" t="str">
        <f>IFERROR(__xludf.DUMMYFUNCTION("""COMPUTED_VALUE"""),"")</f>
        <v/>
      </c>
      <c r="AC13597" s="16" t="str">
        <f>IFERROR(__xludf.DUMMYFUNCTION("""COMPUTED_VALUE"""),"")</f>
        <v/>
      </c>
    </row>
    <row r="13598">
      <c r="A13598" s="16" t="s">
        <v>87</v>
      </c>
      <c r="E13598" s="16" t="str">
        <f>IFERROR(__xludf.DUMMYFUNCTION("""COMPUTED_VALUE"""),"")</f>
        <v/>
      </c>
      <c r="G13598" s="18"/>
      <c r="H13598" s="16" t="s">
        <v>87</v>
      </c>
      <c r="I13598" s="16" t="s">
        <v>87</v>
      </c>
      <c r="J13598" s="19"/>
      <c r="L13598" s="16" t="str">
        <f>IFERROR(__xludf.DUMMYFUNCTION("""COMPUTED_VALUE"""),"")</f>
        <v/>
      </c>
      <c r="M13598" s="16" t="str">
        <f>IFERROR(__xludf.DUMMYFUNCTION("""COMPUTED_VALUE"""),"")</f>
        <v/>
      </c>
      <c r="U13598" s="16" t="s">
        <v>87</v>
      </c>
      <c r="V13598" s="16" t="str">
        <f>IFERROR(__xludf.DUMMYFUNCTION("""COMPUTED_VALUE"""),"")</f>
        <v/>
      </c>
      <c r="W13598" s="16" t="str">
        <f>IFERROR(__xludf.DUMMYFUNCTION("""COMPUTED_VALUE"""),"")</f>
        <v/>
      </c>
      <c r="X13598" s="16" t="str">
        <f>IFERROR(__xludf.DUMMYFUNCTION("""COMPUTED_VALUE"""),"")</f>
        <v/>
      </c>
      <c r="AC13598" s="16" t="str">
        <f>IFERROR(__xludf.DUMMYFUNCTION("""COMPUTED_VALUE"""),"")</f>
        <v/>
      </c>
    </row>
    <row r="13599">
      <c r="A13599" s="16" t="s">
        <v>87</v>
      </c>
      <c r="E13599" s="16" t="str">
        <f>IFERROR(__xludf.DUMMYFUNCTION("""COMPUTED_VALUE"""),"")</f>
        <v/>
      </c>
      <c r="G13599" s="18"/>
      <c r="H13599" s="16" t="s">
        <v>87</v>
      </c>
      <c r="I13599" s="16" t="s">
        <v>87</v>
      </c>
      <c r="J13599" s="19"/>
      <c r="L13599" s="16" t="str">
        <f>IFERROR(__xludf.DUMMYFUNCTION("""COMPUTED_VALUE"""),"")</f>
        <v/>
      </c>
      <c r="M13599" s="16" t="str">
        <f>IFERROR(__xludf.DUMMYFUNCTION("""COMPUTED_VALUE"""),"")</f>
        <v/>
      </c>
      <c r="U13599" s="16" t="s">
        <v>87</v>
      </c>
      <c r="V13599" s="16" t="str">
        <f>IFERROR(__xludf.DUMMYFUNCTION("""COMPUTED_VALUE"""),"")</f>
        <v/>
      </c>
      <c r="W13599" s="16" t="str">
        <f>IFERROR(__xludf.DUMMYFUNCTION("""COMPUTED_VALUE"""),"")</f>
        <v/>
      </c>
      <c r="X13599" s="16" t="str">
        <f>IFERROR(__xludf.DUMMYFUNCTION("""COMPUTED_VALUE"""),"")</f>
        <v/>
      </c>
      <c r="AC13599" s="16" t="str">
        <f>IFERROR(__xludf.DUMMYFUNCTION("""COMPUTED_VALUE"""),"")</f>
        <v/>
      </c>
    </row>
    <row r="13600">
      <c r="A13600" s="16" t="s">
        <v>87</v>
      </c>
      <c r="E13600" s="16" t="str">
        <f>IFERROR(__xludf.DUMMYFUNCTION("""COMPUTED_VALUE"""),"")</f>
        <v/>
      </c>
      <c r="G13600" s="18"/>
      <c r="H13600" s="16" t="s">
        <v>87</v>
      </c>
      <c r="I13600" s="16" t="s">
        <v>87</v>
      </c>
      <c r="J13600" s="19"/>
      <c r="L13600" s="16" t="str">
        <f>IFERROR(__xludf.DUMMYFUNCTION("""COMPUTED_VALUE"""),"")</f>
        <v/>
      </c>
      <c r="M13600" s="16" t="str">
        <f>IFERROR(__xludf.DUMMYFUNCTION("""COMPUTED_VALUE"""),"")</f>
        <v/>
      </c>
      <c r="U13600" s="16" t="s">
        <v>87</v>
      </c>
      <c r="V13600" s="16" t="str">
        <f>IFERROR(__xludf.DUMMYFUNCTION("""COMPUTED_VALUE"""),"")</f>
        <v/>
      </c>
      <c r="W13600" s="16" t="str">
        <f>IFERROR(__xludf.DUMMYFUNCTION("""COMPUTED_VALUE"""),"")</f>
        <v/>
      </c>
      <c r="X13600" s="16" t="str">
        <f>IFERROR(__xludf.DUMMYFUNCTION("""COMPUTED_VALUE"""),"")</f>
        <v/>
      </c>
      <c r="AC13600" s="16" t="str">
        <f>IFERROR(__xludf.DUMMYFUNCTION("""COMPUTED_VALUE"""),"")</f>
        <v/>
      </c>
    </row>
    <row r="13601">
      <c r="A13601" s="16" t="s">
        <v>87</v>
      </c>
      <c r="E13601" s="16" t="str">
        <f>IFERROR(__xludf.DUMMYFUNCTION("""COMPUTED_VALUE"""),"")</f>
        <v/>
      </c>
      <c r="G13601" s="18"/>
      <c r="H13601" s="16" t="s">
        <v>87</v>
      </c>
      <c r="I13601" s="16" t="s">
        <v>87</v>
      </c>
      <c r="J13601" s="19"/>
      <c r="L13601" s="16" t="str">
        <f>IFERROR(__xludf.DUMMYFUNCTION("""COMPUTED_VALUE"""),"")</f>
        <v/>
      </c>
      <c r="M13601" s="16" t="str">
        <f>IFERROR(__xludf.DUMMYFUNCTION("""COMPUTED_VALUE"""),"")</f>
        <v/>
      </c>
      <c r="U13601" s="16" t="s">
        <v>87</v>
      </c>
      <c r="V13601" s="16" t="str">
        <f>IFERROR(__xludf.DUMMYFUNCTION("""COMPUTED_VALUE"""),"")</f>
        <v/>
      </c>
      <c r="W13601" s="16" t="str">
        <f>IFERROR(__xludf.DUMMYFUNCTION("""COMPUTED_VALUE"""),"")</f>
        <v/>
      </c>
      <c r="X13601" s="16" t="str">
        <f>IFERROR(__xludf.DUMMYFUNCTION("""COMPUTED_VALUE"""),"")</f>
        <v/>
      </c>
      <c r="AC13601" s="16" t="str">
        <f>IFERROR(__xludf.DUMMYFUNCTION("""COMPUTED_VALUE"""),"")</f>
        <v/>
      </c>
    </row>
    <row r="13602">
      <c r="A13602" s="16" t="s">
        <v>87</v>
      </c>
      <c r="E13602" s="16" t="str">
        <f>IFERROR(__xludf.DUMMYFUNCTION("""COMPUTED_VALUE"""),"")</f>
        <v/>
      </c>
      <c r="G13602" s="18"/>
      <c r="H13602" s="16" t="s">
        <v>87</v>
      </c>
      <c r="I13602" s="16" t="s">
        <v>87</v>
      </c>
      <c r="J13602" s="19"/>
      <c r="L13602" s="16" t="str">
        <f>IFERROR(__xludf.DUMMYFUNCTION("""COMPUTED_VALUE"""),"")</f>
        <v/>
      </c>
      <c r="M13602" s="16" t="str">
        <f>IFERROR(__xludf.DUMMYFUNCTION("""COMPUTED_VALUE"""),"")</f>
        <v/>
      </c>
      <c r="U13602" s="16" t="s">
        <v>87</v>
      </c>
      <c r="V13602" s="16" t="str">
        <f>IFERROR(__xludf.DUMMYFUNCTION("""COMPUTED_VALUE"""),"")</f>
        <v/>
      </c>
      <c r="W13602" s="16" t="str">
        <f>IFERROR(__xludf.DUMMYFUNCTION("""COMPUTED_VALUE"""),"")</f>
        <v/>
      </c>
      <c r="X13602" s="16" t="str">
        <f>IFERROR(__xludf.DUMMYFUNCTION("""COMPUTED_VALUE"""),"")</f>
        <v/>
      </c>
      <c r="AC13602" s="16" t="str">
        <f>IFERROR(__xludf.DUMMYFUNCTION("""COMPUTED_VALUE"""),"")</f>
        <v/>
      </c>
    </row>
    <row r="13603">
      <c r="A13603" s="16" t="s">
        <v>87</v>
      </c>
      <c r="E13603" s="16" t="str">
        <f>IFERROR(__xludf.DUMMYFUNCTION("""COMPUTED_VALUE"""),"")</f>
        <v/>
      </c>
      <c r="G13603" s="18"/>
      <c r="H13603" s="16" t="s">
        <v>87</v>
      </c>
      <c r="I13603" s="16" t="s">
        <v>87</v>
      </c>
      <c r="J13603" s="19"/>
      <c r="L13603" s="16" t="str">
        <f>IFERROR(__xludf.DUMMYFUNCTION("""COMPUTED_VALUE"""),"")</f>
        <v/>
      </c>
      <c r="M13603" s="16" t="str">
        <f>IFERROR(__xludf.DUMMYFUNCTION("""COMPUTED_VALUE"""),"")</f>
        <v/>
      </c>
      <c r="U13603" s="16" t="s">
        <v>87</v>
      </c>
      <c r="V13603" s="16" t="str">
        <f>IFERROR(__xludf.DUMMYFUNCTION("""COMPUTED_VALUE"""),"")</f>
        <v/>
      </c>
      <c r="W13603" s="16" t="str">
        <f>IFERROR(__xludf.DUMMYFUNCTION("""COMPUTED_VALUE"""),"")</f>
        <v/>
      </c>
      <c r="X13603" s="16" t="str">
        <f>IFERROR(__xludf.DUMMYFUNCTION("""COMPUTED_VALUE"""),"")</f>
        <v/>
      </c>
      <c r="AC13603" s="16" t="str">
        <f>IFERROR(__xludf.DUMMYFUNCTION("""COMPUTED_VALUE"""),"")</f>
        <v/>
      </c>
    </row>
    <row r="13604">
      <c r="A13604" s="16" t="s">
        <v>87</v>
      </c>
      <c r="E13604" s="16" t="str">
        <f>IFERROR(__xludf.DUMMYFUNCTION("""COMPUTED_VALUE"""),"")</f>
        <v/>
      </c>
      <c r="G13604" s="18"/>
      <c r="H13604" s="16" t="s">
        <v>87</v>
      </c>
      <c r="I13604" s="16" t="s">
        <v>87</v>
      </c>
      <c r="J13604" s="19"/>
      <c r="L13604" s="16" t="str">
        <f>IFERROR(__xludf.DUMMYFUNCTION("""COMPUTED_VALUE"""),"")</f>
        <v/>
      </c>
      <c r="M13604" s="16" t="str">
        <f>IFERROR(__xludf.DUMMYFUNCTION("""COMPUTED_VALUE"""),"")</f>
        <v/>
      </c>
      <c r="U13604" s="16" t="s">
        <v>87</v>
      </c>
      <c r="V13604" s="16" t="str">
        <f>IFERROR(__xludf.DUMMYFUNCTION("""COMPUTED_VALUE"""),"")</f>
        <v/>
      </c>
      <c r="W13604" s="16" t="str">
        <f>IFERROR(__xludf.DUMMYFUNCTION("""COMPUTED_VALUE"""),"")</f>
        <v/>
      </c>
      <c r="X13604" s="16" t="str">
        <f>IFERROR(__xludf.DUMMYFUNCTION("""COMPUTED_VALUE"""),"")</f>
        <v/>
      </c>
      <c r="AC13604" s="16" t="str">
        <f>IFERROR(__xludf.DUMMYFUNCTION("""COMPUTED_VALUE"""),"")</f>
        <v/>
      </c>
    </row>
    <row r="13605">
      <c r="A13605" s="16" t="s">
        <v>87</v>
      </c>
      <c r="E13605" s="16" t="str">
        <f>IFERROR(__xludf.DUMMYFUNCTION("""COMPUTED_VALUE"""),"")</f>
        <v/>
      </c>
      <c r="G13605" s="18"/>
      <c r="H13605" s="16" t="s">
        <v>87</v>
      </c>
      <c r="I13605" s="16" t="s">
        <v>87</v>
      </c>
      <c r="J13605" s="19"/>
      <c r="L13605" s="16" t="str">
        <f>IFERROR(__xludf.DUMMYFUNCTION("""COMPUTED_VALUE"""),"")</f>
        <v/>
      </c>
      <c r="M13605" s="16" t="str">
        <f>IFERROR(__xludf.DUMMYFUNCTION("""COMPUTED_VALUE"""),"")</f>
        <v/>
      </c>
      <c r="U13605" s="16" t="s">
        <v>87</v>
      </c>
      <c r="V13605" s="16" t="str">
        <f>IFERROR(__xludf.DUMMYFUNCTION("""COMPUTED_VALUE"""),"")</f>
        <v/>
      </c>
      <c r="W13605" s="16" t="str">
        <f>IFERROR(__xludf.DUMMYFUNCTION("""COMPUTED_VALUE"""),"")</f>
        <v/>
      </c>
      <c r="X13605" s="16" t="str">
        <f>IFERROR(__xludf.DUMMYFUNCTION("""COMPUTED_VALUE"""),"")</f>
        <v/>
      </c>
      <c r="AC13605" s="16" t="str">
        <f>IFERROR(__xludf.DUMMYFUNCTION("""COMPUTED_VALUE"""),"")</f>
        <v/>
      </c>
    </row>
    <row r="13606">
      <c r="A13606" s="16" t="s">
        <v>87</v>
      </c>
      <c r="E13606" s="16" t="str">
        <f>IFERROR(__xludf.DUMMYFUNCTION("""COMPUTED_VALUE"""),"")</f>
        <v/>
      </c>
      <c r="G13606" s="18"/>
      <c r="H13606" s="16" t="s">
        <v>87</v>
      </c>
      <c r="I13606" s="16" t="s">
        <v>87</v>
      </c>
      <c r="J13606" s="19"/>
      <c r="L13606" s="16" t="str">
        <f>IFERROR(__xludf.DUMMYFUNCTION("""COMPUTED_VALUE"""),"")</f>
        <v/>
      </c>
      <c r="M13606" s="16" t="str">
        <f>IFERROR(__xludf.DUMMYFUNCTION("""COMPUTED_VALUE"""),"")</f>
        <v/>
      </c>
      <c r="U13606" s="16" t="s">
        <v>87</v>
      </c>
      <c r="V13606" s="16" t="str">
        <f>IFERROR(__xludf.DUMMYFUNCTION("""COMPUTED_VALUE"""),"")</f>
        <v/>
      </c>
      <c r="W13606" s="16" t="str">
        <f>IFERROR(__xludf.DUMMYFUNCTION("""COMPUTED_VALUE"""),"")</f>
        <v/>
      </c>
      <c r="X13606" s="16" t="str">
        <f>IFERROR(__xludf.DUMMYFUNCTION("""COMPUTED_VALUE"""),"")</f>
        <v/>
      </c>
      <c r="AC13606" s="16" t="str">
        <f>IFERROR(__xludf.DUMMYFUNCTION("""COMPUTED_VALUE"""),"")</f>
        <v/>
      </c>
    </row>
    <row r="13607">
      <c r="A13607" s="16" t="s">
        <v>87</v>
      </c>
      <c r="E13607" s="16" t="str">
        <f>IFERROR(__xludf.DUMMYFUNCTION("""COMPUTED_VALUE"""),"")</f>
        <v/>
      </c>
      <c r="G13607" s="18"/>
      <c r="H13607" s="16" t="s">
        <v>87</v>
      </c>
      <c r="I13607" s="16" t="s">
        <v>87</v>
      </c>
      <c r="J13607" s="19"/>
      <c r="L13607" s="16" t="str">
        <f>IFERROR(__xludf.DUMMYFUNCTION("""COMPUTED_VALUE"""),"")</f>
        <v/>
      </c>
      <c r="M13607" s="16" t="str">
        <f>IFERROR(__xludf.DUMMYFUNCTION("""COMPUTED_VALUE"""),"")</f>
        <v/>
      </c>
      <c r="U13607" s="16" t="s">
        <v>87</v>
      </c>
      <c r="V13607" s="16" t="str">
        <f>IFERROR(__xludf.DUMMYFUNCTION("""COMPUTED_VALUE"""),"")</f>
        <v/>
      </c>
      <c r="W13607" s="16" t="str">
        <f>IFERROR(__xludf.DUMMYFUNCTION("""COMPUTED_VALUE"""),"")</f>
        <v/>
      </c>
      <c r="X13607" s="16" t="str">
        <f>IFERROR(__xludf.DUMMYFUNCTION("""COMPUTED_VALUE"""),"")</f>
        <v/>
      </c>
      <c r="AC13607" s="16" t="str">
        <f>IFERROR(__xludf.DUMMYFUNCTION("""COMPUTED_VALUE"""),"")</f>
        <v/>
      </c>
    </row>
    <row r="13608">
      <c r="A13608" s="16" t="s">
        <v>87</v>
      </c>
      <c r="E13608" s="16" t="str">
        <f>IFERROR(__xludf.DUMMYFUNCTION("""COMPUTED_VALUE"""),"")</f>
        <v/>
      </c>
      <c r="G13608" s="18"/>
      <c r="H13608" s="16" t="s">
        <v>87</v>
      </c>
      <c r="I13608" s="16" t="s">
        <v>87</v>
      </c>
      <c r="J13608" s="19"/>
      <c r="L13608" s="16" t="str">
        <f>IFERROR(__xludf.DUMMYFUNCTION("""COMPUTED_VALUE"""),"")</f>
        <v/>
      </c>
      <c r="M13608" s="16" t="str">
        <f>IFERROR(__xludf.DUMMYFUNCTION("""COMPUTED_VALUE"""),"")</f>
        <v/>
      </c>
      <c r="U13608" s="16" t="s">
        <v>87</v>
      </c>
      <c r="V13608" s="16" t="str">
        <f>IFERROR(__xludf.DUMMYFUNCTION("""COMPUTED_VALUE"""),"")</f>
        <v/>
      </c>
      <c r="W13608" s="16" t="str">
        <f>IFERROR(__xludf.DUMMYFUNCTION("""COMPUTED_VALUE"""),"")</f>
        <v/>
      </c>
      <c r="X13608" s="16" t="str">
        <f>IFERROR(__xludf.DUMMYFUNCTION("""COMPUTED_VALUE"""),"")</f>
        <v/>
      </c>
      <c r="AC13608" s="16" t="str">
        <f>IFERROR(__xludf.DUMMYFUNCTION("""COMPUTED_VALUE"""),"")</f>
        <v/>
      </c>
    </row>
    <row r="13609">
      <c r="A13609" s="16" t="s">
        <v>87</v>
      </c>
      <c r="E13609" s="16" t="str">
        <f>IFERROR(__xludf.DUMMYFUNCTION("""COMPUTED_VALUE"""),"")</f>
        <v/>
      </c>
      <c r="G13609" s="18"/>
      <c r="H13609" s="16" t="s">
        <v>87</v>
      </c>
      <c r="I13609" s="16" t="s">
        <v>87</v>
      </c>
      <c r="J13609" s="19"/>
      <c r="L13609" s="16" t="str">
        <f>IFERROR(__xludf.DUMMYFUNCTION("""COMPUTED_VALUE"""),"")</f>
        <v/>
      </c>
      <c r="M13609" s="16" t="str">
        <f>IFERROR(__xludf.DUMMYFUNCTION("""COMPUTED_VALUE"""),"")</f>
        <v/>
      </c>
      <c r="U13609" s="16" t="s">
        <v>87</v>
      </c>
      <c r="V13609" s="16" t="str">
        <f>IFERROR(__xludf.DUMMYFUNCTION("""COMPUTED_VALUE"""),"")</f>
        <v/>
      </c>
      <c r="W13609" s="16" t="str">
        <f>IFERROR(__xludf.DUMMYFUNCTION("""COMPUTED_VALUE"""),"")</f>
        <v/>
      </c>
      <c r="X13609" s="16" t="str">
        <f>IFERROR(__xludf.DUMMYFUNCTION("""COMPUTED_VALUE"""),"")</f>
        <v/>
      </c>
      <c r="AC13609" s="16" t="str">
        <f>IFERROR(__xludf.DUMMYFUNCTION("""COMPUTED_VALUE"""),"")</f>
        <v/>
      </c>
    </row>
    <row r="13610">
      <c r="A13610" s="16" t="s">
        <v>87</v>
      </c>
      <c r="E13610" s="16" t="str">
        <f>IFERROR(__xludf.DUMMYFUNCTION("""COMPUTED_VALUE"""),"")</f>
        <v/>
      </c>
      <c r="G13610" s="18"/>
      <c r="H13610" s="16" t="s">
        <v>87</v>
      </c>
      <c r="I13610" s="16" t="s">
        <v>87</v>
      </c>
      <c r="J13610" s="19"/>
      <c r="L13610" s="16" t="str">
        <f>IFERROR(__xludf.DUMMYFUNCTION("""COMPUTED_VALUE"""),"")</f>
        <v/>
      </c>
      <c r="M13610" s="16" t="str">
        <f>IFERROR(__xludf.DUMMYFUNCTION("""COMPUTED_VALUE"""),"")</f>
        <v/>
      </c>
      <c r="U13610" s="16" t="s">
        <v>87</v>
      </c>
      <c r="V13610" s="16" t="str">
        <f>IFERROR(__xludf.DUMMYFUNCTION("""COMPUTED_VALUE"""),"")</f>
        <v/>
      </c>
      <c r="W13610" s="16" t="str">
        <f>IFERROR(__xludf.DUMMYFUNCTION("""COMPUTED_VALUE"""),"")</f>
        <v/>
      </c>
      <c r="X13610" s="16" t="str">
        <f>IFERROR(__xludf.DUMMYFUNCTION("""COMPUTED_VALUE"""),"")</f>
        <v/>
      </c>
      <c r="AC13610" s="16" t="str">
        <f>IFERROR(__xludf.DUMMYFUNCTION("""COMPUTED_VALUE"""),"")</f>
        <v/>
      </c>
    </row>
    <row r="13611">
      <c r="A13611" s="16" t="s">
        <v>87</v>
      </c>
      <c r="E13611" s="16" t="str">
        <f>IFERROR(__xludf.DUMMYFUNCTION("""COMPUTED_VALUE"""),"")</f>
        <v/>
      </c>
      <c r="G13611" s="18"/>
      <c r="H13611" s="16" t="s">
        <v>87</v>
      </c>
      <c r="I13611" s="16" t="s">
        <v>87</v>
      </c>
      <c r="J13611" s="19"/>
      <c r="L13611" s="16" t="str">
        <f>IFERROR(__xludf.DUMMYFUNCTION("""COMPUTED_VALUE"""),"")</f>
        <v/>
      </c>
      <c r="M13611" s="16" t="str">
        <f>IFERROR(__xludf.DUMMYFUNCTION("""COMPUTED_VALUE"""),"")</f>
        <v/>
      </c>
      <c r="U13611" s="16" t="s">
        <v>87</v>
      </c>
      <c r="V13611" s="16" t="str">
        <f>IFERROR(__xludf.DUMMYFUNCTION("""COMPUTED_VALUE"""),"")</f>
        <v/>
      </c>
      <c r="W13611" s="16" t="str">
        <f>IFERROR(__xludf.DUMMYFUNCTION("""COMPUTED_VALUE"""),"")</f>
        <v/>
      </c>
      <c r="X13611" s="16" t="str">
        <f>IFERROR(__xludf.DUMMYFUNCTION("""COMPUTED_VALUE"""),"")</f>
        <v/>
      </c>
      <c r="AC13611" s="16" t="str">
        <f>IFERROR(__xludf.DUMMYFUNCTION("""COMPUTED_VALUE"""),"")</f>
        <v/>
      </c>
    </row>
    <row r="13612">
      <c r="A13612" s="16" t="s">
        <v>87</v>
      </c>
      <c r="E13612" s="16" t="str">
        <f>IFERROR(__xludf.DUMMYFUNCTION("""COMPUTED_VALUE"""),"")</f>
        <v/>
      </c>
      <c r="G13612" s="18"/>
      <c r="H13612" s="16" t="s">
        <v>87</v>
      </c>
      <c r="I13612" s="16" t="s">
        <v>87</v>
      </c>
      <c r="J13612" s="19"/>
      <c r="L13612" s="16" t="str">
        <f>IFERROR(__xludf.DUMMYFUNCTION("""COMPUTED_VALUE"""),"")</f>
        <v/>
      </c>
      <c r="M13612" s="16" t="str">
        <f>IFERROR(__xludf.DUMMYFUNCTION("""COMPUTED_VALUE"""),"")</f>
        <v/>
      </c>
      <c r="U13612" s="16" t="s">
        <v>87</v>
      </c>
      <c r="V13612" s="16" t="str">
        <f>IFERROR(__xludf.DUMMYFUNCTION("""COMPUTED_VALUE"""),"")</f>
        <v/>
      </c>
      <c r="W13612" s="16" t="str">
        <f>IFERROR(__xludf.DUMMYFUNCTION("""COMPUTED_VALUE"""),"")</f>
        <v/>
      </c>
      <c r="X13612" s="16" t="str">
        <f>IFERROR(__xludf.DUMMYFUNCTION("""COMPUTED_VALUE"""),"")</f>
        <v/>
      </c>
      <c r="AC13612" s="16" t="str">
        <f>IFERROR(__xludf.DUMMYFUNCTION("""COMPUTED_VALUE"""),"")</f>
        <v/>
      </c>
    </row>
    <row r="13613">
      <c r="A13613" s="16" t="s">
        <v>87</v>
      </c>
      <c r="E13613" s="16" t="str">
        <f>IFERROR(__xludf.DUMMYFUNCTION("""COMPUTED_VALUE"""),"")</f>
        <v/>
      </c>
      <c r="G13613" s="18"/>
      <c r="H13613" s="16" t="s">
        <v>87</v>
      </c>
      <c r="I13613" s="16" t="s">
        <v>87</v>
      </c>
      <c r="J13613" s="19"/>
      <c r="L13613" s="16" t="str">
        <f>IFERROR(__xludf.DUMMYFUNCTION("""COMPUTED_VALUE"""),"")</f>
        <v/>
      </c>
      <c r="M13613" s="16" t="str">
        <f>IFERROR(__xludf.DUMMYFUNCTION("""COMPUTED_VALUE"""),"")</f>
        <v/>
      </c>
      <c r="U13613" s="16" t="s">
        <v>87</v>
      </c>
      <c r="V13613" s="16" t="str">
        <f>IFERROR(__xludf.DUMMYFUNCTION("""COMPUTED_VALUE"""),"")</f>
        <v/>
      </c>
      <c r="W13613" s="16" t="str">
        <f>IFERROR(__xludf.DUMMYFUNCTION("""COMPUTED_VALUE"""),"")</f>
        <v/>
      </c>
      <c r="X13613" s="16" t="str">
        <f>IFERROR(__xludf.DUMMYFUNCTION("""COMPUTED_VALUE"""),"")</f>
        <v/>
      </c>
      <c r="AC13613" s="16" t="str">
        <f>IFERROR(__xludf.DUMMYFUNCTION("""COMPUTED_VALUE"""),"")</f>
        <v/>
      </c>
    </row>
    <row r="13614">
      <c r="A13614" s="16" t="s">
        <v>87</v>
      </c>
      <c r="E13614" s="16" t="str">
        <f>IFERROR(__xludf.DUMMYFUNCTION("""COMPUTED_VALUE"""),"")</f>
        <v/>
      </c>
      <c r="G13614" s="18"/>
      <c r="H13614" s="16" t="s">
        <v>87</v>
      </c>
      <c r="I13614" s="16" t="s">
        <v>87</v>
      </c>
      <c r="J13614" s="19"/>
      <c r="L13614" s="16" t="str">
        <f>IFERROR(__xludf.DUMMYFUNCTION("""COMPUTED_VALUE"""),"")</f>
        <v/>
      </c>
      <c r="M13614" s="16" t="str">
        <f>IFERROR(__xludf.DUMMYFUNCTION("""COMPUTED_VALUE"""),"")</f>
        <v/>
      </c>
      <c r="U13614" s="16" t="s">
        <v>87</v>
      </c>
      <c r="V13614" s="16" t="str">
        <f>IFERROR(__xludf.DUMMYFUNCTION("""COMPUTED_VALUE"""),"")</f>
        <v/>
      </c>
      <c r="W13614" s="16" t="str">
        <f>IFERROR(__xludf.DUMMYFUNCTION("""COMPUTED_VALUE"""),"")</f>
        <v/>
      </c>
      <c r="X13614" s="16" t="str">
        <f>IFERROR(__xludf.DUMMYFUNCTION("""COMPUTED_VALUE"""),"")</f>
        <v/>
      </c>
      <c r="AC13614" s="16" t="str">
        <f>IFERROR(__xludf.DUMMYFUNCTION("""COMPUTED_VALUE"""),"")</f>
        <v/>
      </c>
    </row>
    <row r="13615">
      <c r="A13615" s="16" t="s">
        <v>87</v>
      </c>
      <c r="E13615" s="16" t="str">
        <f>IFERROR(__xludf.DUMMYFUNCTION("""COMPUTED_VALUE"""),"")</f>
        <v/>
      </c>
      <c r="G13615" s="18"/>
      <c r="H13615" s="16" t="s">
        <v>87</v>
      </c>
      <c r="I13615" s="16" t="s">
        <v>87</v>
      </c>
      <c r="J13615" s="19"/>
      <c r="L13615" s="16" t="str">
        <f>IFERROR(__xludf.DUMMYFUNCTION("""COMPUTED_VALUE"""),"")</f>
        <v/>
      </c>
      <c r="M13615" s="16" t="str">
        <f>IFERROR(__xludf.DUMMYFUNCTION("""COMPUTED_VALUE"""),"")</f>
        <v/>
      </c>
      <c r="U13615" s="16" t="s">
        <v>87</v>
      </c>
      <c r="V13615" s="16" t="str">
        <f>IFERROR(__xludf.DUMMYFUNCTION("""COMPUTED_VALUE"""),"")</f>
        <v/>
      </c>
      <c r="W13615" s="16" t="str">
        <f>IFERROR(__xludf.DUMMYFUNCTION("""COMPUTED_VALUE"""),"")</f>
        <v/>
      </c>
      <c r="X13615" s="16" t="str">
        <f>IFERROR(__xludf.DUMMYFUNCTION("""COMPUTED_VALUE"""),"")</f>
        <v/>
      </c>
      <c r="AC13615" s="16" t="str">
        <f>IFERROR(__xludf.DUMMYFUNCTION("""COMPUTED_VALUE"""),"")</f>
        <v/>
      </c>
    </row>
    <row r="13616">
      <c r="A13616" s="16" t="s">
        <v>87</v>
      </c>
      <c r="E13616" s="16" t="str">
        <f>IFERROR(__xludf.DUMMYFUNCTION("""COMPUTED_VALUE"""),"")</f>
        <v/>
      </c>
      <c r="G13616" s="18"/>
      <c r="H13616" s="16" t="s">
        <v>87</v>
      </c>
      <c r="I13616" s="16" t="s">
        <v>87</v>
      </c>
      <c r="J13616" s="19"/>
      <c r="L13616" s="16" t="str">
        <f>IFERROR(__xludf.DUMMYFUNCTION("""COMPUTED_VALUE"""),"")</f>
        <v/>
      </c>
      <c r="M13616" s="16" t="str">
        <f>IFERROR(__xludf.DUMMYFUNCTION("""COMPUTED_VALUE"""),"")</f>
        <v/>
      </c>
      <c r="U13616" s="16" t="s">
        <v>87</v>
      </c>
      <c r="V13616" s="16" t="str">
        <f>IFERROR(__xludf.DUMMYFUNCTION("""COMPUTED_VALUE"""),"")</f>
        <v/>
      </c>
      <c r="W13616" s="16" t="str">
        <f>IFERROR(__xludf.DUMMYFUNCTION("""COMPUTED_VALUE"""),"")</f>
        <v/>
      </c>
      <c r="X13616" s="16" t="str">
        <f>IFERROR(__xludf.DUMMYFUNCTION("""COMPUTED_VALUE"""),"")</f>
        <v/>
      </c>
      <c r="AC13616" s="16" t="str">
        <f>IFERROR(__xludf.DUMMYFUNCTION("""COMPUTED_VALUE"""),"")</f>
        <v/>
      </c>
    </row>
    <row r="13617">
      <c r="A13617" s="16" t="s">
        <v>87</v>
      </c>
      <c r="E13617" s="16" t="str">
        <f>IFERROR(__xludf.DUMMYFUNCTION("""COMPUTED_VALUE"""),"")</f>
        <v/>
      </c>
      <c r="G13617" s="18"/>
      <c r="H13617" s="16" t="s">
        <v>87</v>
      </c>
      <c r="I13617" s="16" t="s">
        <v>87</v>
      </c>
      <c r="J13617" s="19"/>
      <c r="L13617" s="16" t="str">
        <f>IFERROR(__xludf.DUMMYFUNCTION("""COMPUTED_VALUE"""),"")</f>
        <v/>
      </c>
      <c r="M13617" s="16" t="str">
        <f>IFERROR(__xludf.DUMMYFUNCTION("""COMPUTED_VALUE"""),"")</f>
        <v/>
      </c>
      <c r="U13617" s="16" t="s">
        <v>87</v>
      </c>
      <c r="V13617" s="16" t="str">
        <f>IFERROR(__xludf.DUMMYFUNCTION("""COMPUTED_VALUE"""),"")</f>
        <v/>
      </c>
      <c r="W13617" s="16" t="str">
        <f>IFERROR(__xludf.DUMMYFUNCTION("""COMPUTED_VALUE"""),"")</f>
        <v/>
      </c>
      <c r="X13617" s="16" t="str">
        <f>IFERROR(__xludf.DUMMYFUNCTION("""COMPUTED_VALUE"""),"")</f>
        <v/>
      </c>
      <c r="AC13617" s="16" t="str">
        <f>IFERROR(__xludf.DUMMYFUNCTION("""COMPUTED_VALUE"""),"")</f>
        <v/>
      </c>
    </row>
    <row r="13618">
      <c r="A13618" s="16" t="s">
        <v>87</v>
      </c>
      <c r="E13618" s="16" t="str">
        <f>IFERROR(__xludf.DUMMYFUNCTION("""COMPUTED_VALUE"""),"")</f>
        <v/>
      </c>
      <c r="G13618" s="18"/>
      <c r="H13618" s="16" t="s">
        <v>87</v>
      </c>
      <c r="I13618" s="16" t="s">
        <v>87</v>
      </c>
      <c r="J13618" s="19"/>
      <c r="L13618" s="16" t="str">
        <f>IFERROR(__xludf.DUMMYFUNCTION("""COMPUTED_VALUE"""),"")</f>
        <v/>
      </c>
      <c r="M13618" s="16" t="str">
        <f>IFERROR(__xludf.DUMMYFUNCTION("""COMPUTED_VALUE"""),"")</f>
        <v/>
      </c>
      <c r="U13618" s="16" t="s">
        <v>87</v>
      </c>
      <c r="V13618" s="16" t="str">
        <f>IFERROR(__xludf.DUMMYFUNCTION("""COMPUTED_VALUE"""),"")</f>
        <v/>
      </c>
      <c r="W13618" s="16" t="str">
        <f>IFERROR(__xludf.DUMMYFUNCTION("""COMPUTED_VALUE"""),"")</f>
        <v/>
      </c>
      <c r="X13618" s="16" t="str">
        <f>IFERROR(__xludf.DUMMYFUNCTION("""COMPUTED_VALUE"""),"")</f>
        <v/>
      </c>
      <c r="AC13618" s="16" t="str">
        <f>IFERROR(__xludf.DUMMYFUNCTION("""COMPUTED_VALUE"""),"")</f>
        <v/>
      </c>
    </row>
    <row r="13619">
      <c r="A13619" s="16" t="s">
        <v>87</v>
      </c>
      <c r="E13619" s="16" t="str">
        <f>IFERROR(__xludf.DUMMYFUNCTION("""COMPUTED_VALUE"""),"")</f>
        <v/>
      </c>
      <c r="G13619" s="18"/>
      <c r="H13619" s="16" t="s">
        <v>87</v>
      </c>
      <c r="I13619" s="16" t="s">
        <v>87</v>
      </c>
      <c r="J13619" s="19"/>
      <c r="L13619" s="16" t="str">
        <f>IFERROR(__xludf.DUMMYFUNCTION("""COMPUTED_VALUE"""),"")</f>
        <v/>
      </c>
      <c r="M13619" s="16" t="str">
        <f>IFERROR(__xludf.DUMMYFUNCTION("""COMPUTED_VALUE"""),"")</f>
        <v/>
      </c>
      <c r="U13619" s="16" t="s">
        <v>87</v>
      </c>
      <c r="V13619" s="16" t="str">
        <f>IFERROR(__xludf.DUMMYFUNCTION("""COMPUTED_VALUE"""),"")</f>
        <v/>
      </c>
      <c r="W13619" s="16" t="str">
        <f>IFERROR(__xludf.DUMMYFUNCTION("""COMPUTED_VALUE"""),"")</f>
        <v/>
      </c>
      <c r="X13619" s="16" t="str">
        <f>IFERROR(__xludf.DUMMYFUNCTION("""COMPUTED_VALUE"""),"")</f>
        <v/>
      </c>
      <c r="AC13619" s="16" t="str">
        <f>IFERROR(__xludf.DUMMYFUNCTION("""COMPUTED_VALUE"""),"")</f>
        <v/>
      </c>
    </row>
    <row r="13620">
      <c r="A13620" s="16" t="s">
        <v>87</v>
      </c>
      <c r="E13620" s="16" t="str">
        <f>IFERROR(__xludf.DUMMYFUNCTION("""COMPUTED_VALUE"""),"")</f>
        <v/>
      </c>
      <c r="G13620" s="18"/>
      <c r="H13620" s="16" t="s">
        <v>87</v>
      </c>
      <c r="I13620" s="16" t="s">
        <v>87</v>
      </c>
      <c r="J13620" s="19"/>
      <c r="L13620" s="16" t="str">
        <f>IFERROR(__xludf.DUMMYFUNCTION("""COMPUTED_VALUE"""),"")</f>
        <v/>
      </c>
      <c r="M13620" s="16" t="str">
        <f>IFERROR(__xludf.DUMMYFUNCTION("""COMPUTED_VALUE"""),"")</f>
        <v/>
      </c>
      <c r="U13620" s="16" t="s">
        <v>87</v>
      </c>
      <c r="V13620" s="16" t="str">
        <f>IFERROR(__xludf.DUMMYFUNCTION("""COMPUTED_VALUE"""),"")</f>
        <v/>
      </c>
      <c r="W13620" s="16" t="str">
        <f>IFERROR(__xludf.DUMMYFUNCTION("""COMPUTED_VALUE"""),"")</f>
        <v/>
      </c>
      <c r="X13620" s="16" t="str">
        <f>IFERROR(__xludf.DUMMYFUNCTION("""COMPUTED_VALUE"""),"")</f>
        <v/>
      </c>
      <c r="AC13620" s="16" t="str">
        <f>IFERROR(__xludf.DUMMYFUNCTION("""COMPUTED_VALUE"""),"")</f>
        <v/>
      </c>
    </row>
    <row r="13621">
      <c r="A13621" s="16" t="s">
        <v>87</v>
      </c>
      <c r="E13621" s="16" t="str">
        <f>IFERROR(__xludf.DUMMYFUNCTION("""COMPUTED_VALUE"""),"")</f>
        <v/>
      </c>
      <c r="G13621" s="18"/>
      <c r="H13621" s="16" t="s">
        <v>87</v>
      </c>
      <c r="I13621" s="16" t="s">
        <v>87</v>
      </c>
      <c r="J13621" s="19"/>
      <c r="L13621" s="16" t="str">
        <f>IFERROR(__xludf.DUMMYFUNCTION("""COMPUTED_VALUE"""),"")</f>
        <v/>
      </c>
      <c r="M13621" s="16" t="str">
        <f>IFERROR(__xludf.DUMMYFUNCTION("""COMPUTED_VALUE"""),"")</f>
        <v/>
      </c>
      <c r="U13621" s="16" t="s">
        <v>87</v>
      </c>
      <c r="V13621" s="16" t="str">
        <f>IFERROR(__xludf.DUMMYFUNCTION("""COMPUTED_VALUE"""),"")</f>
        <v/>
      </c>
      <c r="W13621" s="16" t="str">
        <f>IFERROR(__xludf.DUMMYFUNCTION("""COMPUTED_VALUE"""),"")</f>
        <v/>
      </c>
      <c r="X13621" s="16" t="str">
        <f>IFERROR(__xludf.DUMMYFUNCTION("""COMPUTED_VALUE"""),"")</f>
        <v/>
      </c>
      <c r="AC13621" s="16" t="str">
        <f>IFERROR(__xludf.DUMMYFUNCTION("""COMPUTED_VALUE"""),"")</f>
        <v/>
      </c>
    </row>
    <row r="13622">
      <c r="A13622" s="16" t="s">
        <v>87</v>
      </c>
      <c r="E13622" s="16" t="str">
        <f>IFERROR(__xludf.DUMMYFUNCTION("""COMPUTED_VALUE"""),"")</f>
        <v/>
      </c>
      <c r="G13622" s="18"/>
      <c r="H13622" s="16" t="s">
        <v>87</v>
      </c>
      <c r="I13622" s="16" t="s">
        <v>87</v>
      </c>
      <c r="J13622" s="19"/>
      <c r="L13622" s="16" t="str">
        <f>IFERROR(__xludf.DUMMYFUNCTION("""COMPUTED_VALUE"""),"")</f>
        <v/>
      </c>
      <c r="M13622" s="16" t="str">
        <f>IFERROR(__xludf.DUMMYFUNCTION("""COMPUTED_VALUE"""),"")</f>
        <v/>
      </c>
      <c r="U13622" s="16" t="s">
        <v>87</v>
      </c>
      <c r="V13622" s="16" t="str">
        <f>IFERROR(__xludf.DUMMYFUNCTION("""COMPUTED_VALUE"""),"")</f>
        <v/>
      </c>
      <c r="W13622" s="16" t="str">
        <f>IFERROR(__xludf.DUMMYFUNCTION("""COMPUTED_VALUE"""),"")</f>
        <v/>
      </c>
      <c r="X13622" s="16" t="str">
        <f>IFERROR(__xludf.DUMMYFUNCTION("""COMPUTED_VALUE"""),"")</f>
        <v/>
      </c>
      <c r="AC13622" s="16" t="str">
        <f>IFERROR(__xludf.DUMMYFUNCTION("""COMPUTED_VALUE"""),"")</f>
        <v/>
      </c>
    </row>
    <row r="13623">
      <c r="A13623" s="16" t="s">
        <v>87</v>
      </c>
      <c r="E13623" s="16" t="str">
        <f>IFERROR(__xludf.DUMMYFUNCTION("""COMPUTED_VALUE"""),"")</f>
        <v/>
      </c>
      <c r="G13623" s="18"/>
      <c r="H13623" s="16" t="s">
        <v>87</v>
      </c>
      <c r="I13623" s="16" t="s">
        <v>87</v>
      </c>
      <c r="J13623" s="19"/>
      <c r="L13623" s="16" t="str">
        <f>IFERROR(__xludf.DUMMYFUNCTION("""COMPUTED_VALUE"""),"")</f>
        <v/>
      </c>
      <c r="M13623" s="16" t="str">
        <f>IFERROR(__xludf.DUMMYFUNCTION("""COMPUTED_VALUE"""),"")</f>
        <v/>
      </c>
      <c r="U13623" s="16" t="s">
        <v>87</v>
      </c>
      <c r="V13623" s="16" t="str">
        <f>IFERROR(__xludf.DUMMYFUNCTION("""COMPUTED_VALUE"""),"")</f>
        <v/>
      </c>
      <c r="W13623" s="16" t="str">
        <f>IFERROR(__xludf.DUMMYFUNCTION("""COMPUTED_VALUE"""),"")</f>
        <v/>
      </c>
      <c r="X13623" s="16" t="str">
        <f>IFERROR(__xludf.DUMMYFUNCTION("""COMPUTED_VALUE"""),"")</f>
        <v/>
      </c>
      <c r="AC13623" s="16" t="str">
        <f>IFERROR(__xludf.DUMMYFUNCTION("""COMPUTED_VALUE"""),"")</f>
        <v/>
      </c>
    </row>
    <row r="13624">
      <c r="A13624" s="16" t="s">
        <v>87</v>
      </c>
      <c r="E13624" s="16" t="str">
        <f>IFERROR(__xludf.DUMMYFUNCTION("""COMPUTED_VALUE"""),"")</f>
        <v/>
      </c>
      <c r="G13624" s="18"/>
      <c r="H13624" s="16" t="s">
        <v>87</v>
      </c>
      <c r="I13624" s="16" t="s">
        <v>87</v>
      </c>
      <c r="J13624" s="19"/>
      <c r="L13624" s="16" t="str">
        <f>IFERROR(__xludf.DUMMYFUNCTION("""COMPUTED_VALUE"""),"")</f>
        <v/>
      </c>
      <c r="M13624" s="16" t="str">
        <f>IFERROR(__xludf.DUMMYFUNCTION("""COMPUTED_VALUE"""),"")</f>
        <v/>
      </c>
      <c r="U13624" s="16" t="s">
        <v>87</v>
      </c>
      <c r="V13624" s="16" t="str">
        <f>IFERROR(__xludf.DUMMYFUNCTION("""COMPUTED_VALUE"""),"")</f>
        <v/>
      </c>
      <c r="W13624" s="16" t="str">
        <f>IFERROR(__xludf.DUMMYFUNCTION("""COMPUTED_VALUE"""),"")</f>
        <v/>
      </c>
      <c r="X13624" s="16" t="str">
        <f>IFERROR(__xludf.DUMMYFUNCTION("""COMPUTED_VALUE"""),"")</f>
        <v/>
      </c>
      <c r="AC13624" s="16" t="str">
        <f>IFERROR(__xludf.DUMMYFUNCTION("""COMPUTED_VALUE"""),"")</f>
        <v/>
      </c>
    </row>
    <row r="13625">
      <c r="A13625" s="16" t="s">
        <v>87</v>
      </c>
      <c r="E13625" s="16" t="str">
        <f>IFERROR(__xludf.DUMMYFUNCTION("""COMPUTED_VALUE"""),"")</f>
        <v/>
      </c>
      <c r="G13625" s="18"/>
      <c r="H13625" s="16" t="s">
        <v>87</v>
      </c>
      <c r="I13625" s="16" t="s">
        <v>87</v>
      </c>
      <c r="J13625" s="19"/>
      <c r="L13625" s="16" t="str">
        <f>IFERROR(__xludf.DUMMYFUNCTION("""COMPUTED_VALUE"""),"")</f>
        <v/>
      </c>
      <c r="M13625" s="16" t="str">
        <f>IFERROR(__xludf.DUMMYFUNCTION("""COMPUTED_VALUE"""),"")</f>
        <v/>
      </c>
      <c r="U13625" s="16" t="s">
        <v>87</v>
      </c>
      <c r="V13625" s="16" t="str">
        <f>IFERROR(__xludf.DUMMYFUNCTION("""COMPUTED_VALUE"""),"")</f>
        <v/>
      </c>
      <c r="W13625" s="16" t="str">
        <f>IFERROR(__xludf.DUMMYFUNCTION("""COMPUTED_VALUE"""),"")</f>
        <v/>
      </c>
      <c r="X13625" s="16" t="str">
        <f>IFERROR(__xludf.DUMMYFUNCTION("""COMPUTED_VALUE"""),"")</f>
        <v/>
      </c>
      <c r="AC13625" s="16" t="str">
        <f>IFERROR(__xludf.DUMMYFUNCTION("""COMPUTED_VALUE"""),"")</f>
        <v/>
      </c>
    </row>
    <row r="13626">
      <c r="A13626" s="16" t="s">
        <v>87</v>
      </c>
      <c r="E13626" s="16" t="str">
        <f>IFERROR(__xludf.DUMMYFUNCTION("""COMPUTED_VALUE"""),"")</f>
        <v/>
      </c>
      <c r="G13626" s="18"/>
      <c r="H13626" s="16" t="s">
        <v>87</v>
      </c>
      <c r="I13626" s="16" t="s">
        <v>87</v>
      </c>
      <c r="J13626" s="19"/>
      <c r="L13626" s="16" t="str">
        <f>IFERROR(__xludf.DUMMYFUNCTION("""COMPUTED_VALUE"""),"")</f>
        <v/>
      </c>
      <c r="M13626" s="16" t="str">
        <f>IFERROR(__xludf.DUMMYFUNCTION("""COMPUTED_VALUE"""),"")</f>
        <v/>
      </c>
      <c r="U13626" s="16" t="s">
        <v>87</v>
      </c>
      <c r="V13626" s="16" t="str">
        <f>IFERROR(__xludf.DUMMYFUNCTION("""COMPUTED_VALUE"""),"")</f>
        <v/>
      </c>
      <c r="W13626" s="16" t="str">
        <f>IFERROR(__xludf.DUMMYFUNCTION("""COMPUTED_VALUE"""),"")</f>
        <v/>
      </c>
      <c r="X13626" s="16" t="str">
        <f>IFERROR(__xludf.DUMMYFUNCTION("""COMPUTED_VALUE"""),"")</f>
        <v/>
      </c>
      <c r="AC13626" s="16" t="str">
        <f>IFERROR(__xludf.DUMMYFUNCTION("""COMPUTED_VALUE"""),"")</f>
        <v/>
      </c>
    </row>
    <row r="13627">
      <c r="A13627" s="16" t="s">
        <v>87</v>
      </c>
      <c r="E13627" s="16" t="str">
        <f>IFERROR(__xludf.DUMMYFUNCTION("""COMPUTED_VALUE"""),"")</f>
        <v/>
      </c>
      <c r="G13627" s="18"/>
      <c r="H13627" s="16" t="s">
        <v>87</v>
      </c>
      <c r="I13627" s="16" t="s">
        <v>87</v>
      </c>
      <c r="J13627" s="19"/>
      <c r="L13627" s="16" t="str">
        <f>IFERROR(__xludf.DUMMYFUNCTION("""COMPUTED_VALUE"""),"")</f>
        <v/>
      </c>
      <c r="M13627" s="16" t="str">
        <f>IFERROR(__xludf.DUMMYFUNCTION("""COMPUTED_VALUE"""),"")</f>
        <v/>
      </c>
      <c r="U13627" s="16" t="s">
        <v>87</v>
      </c>
      <c r="V13627" s="16" t="str">
        <f>IFERROR(__xludf.DUMMYFUNCTION("""COMPUTED_VALUE"""),"")</f>
        <v/>
      </c>
      <c r="W13627" s="16" t="str">
        <f>IFERROR(__xludf.DUMMYFUNCTION("""COMPUTED_VALUE"""),"")</f>
        <v/>
      </c>
      <c r="X13627" s="16" t="str">
        <f>IFERROR(__xludf.DUMMYFUNCTION("""COMPUTED_VALUE"""),"")</f>
        <v/>
      </c>
      <c r="AC13627" s="16" t="str">
        <f>IFERROR(__xludf.DUMMYFUNCTION("""COMPUTED_VALUE"""),"")</f>
        <v/>
      </c>
    </row>
    <row r="13628">
      <c r="A13628" s="16" t="s">
        <v>87</v>
      </c>
      <c r="E13628" s="16" t="str">
        <f>IFERROR(__xludf.DUMMYFUNCTION("""COMPUTED_VALUE"""),"")</f>
        <v/>
      </c>
      <c r="G13628" s="18"/>
      <c r="H13628" s="16" t="s">
        <v>87</v>
      </c>
      <c r="I13628" s="16" t="s">
        <v>87</v>
      </c>
      <c r="J13628" s="19"/>
      <c r="L13628" s="16" t="str">
        <f>IFERROR(__xludf.DUMMYFUNCTION("""COMPUTED_VALUE"""),"")</f>
        <v/>
      </c>
      <c r="M13628" s="16" t="str">
        <f>IFERROR(__xludf.DUMMYFUNCTION("""COMPUTED_VALUE"""),"")</f>
        <v/>
      </c>
      <c r="U13628" s="16" t="s">
        <v>87</v>
      </c>
      <c r="V13628" s="16" t="str">
        <f>IFERROR(__xludf.DUMMYFUNCTION("""COMPUTED_VALUE"""),"")</f>
        <v/>
      </c>
      <c r="W13628" s="16" t="str">
        <f>IFERROR(__xludf.DUMMYFUNCTION("""COMPUTED_VALUE"""),"")</f>
        <v/>
      </c>
      <c r="X13628" s="16" t="str">
        <f>IFERROR(__xludf.DUMMYFUNCTION("""COMPUTED_VALUE"""),"")</f>
        <v/>
      </c>
      <c r="AC13628" s="16" t="str">
        <f>IFERROR(__xludf.DUMMYFUNCTION("""COMPUTED_VALUE"""),"")</f>
        <v/>
      </c>
    </row>
    <row r="13629">
      <c r="A13629" s="16" t="s">
        <v>87</v>
      </c>
      <c r="E13629" s="16" t="str">
        <f>IFERROR(__xludf.DUMMYFUNCTION("""COMPUTED_VALUE"""),"")</f>
        <v/>
      </c>
      <c r="G13629" s="18"/>
      <c r="H13629" s="16" t="s">
        <v>87</v>
      </c>
      <c r="I13629" s="16" t="s">
        <v>87</v>
      </c>
      <c r="J13629" s="19"/>
      <c r="L13629" s="16" t="str">
        <f>IFERROR(__xludf.DUMMYFUNCTION("""COMPUTED_VALUE"""),"")</f>
        <v/>
      </c>
      <c r="M13629" s="16" t="str">
        <f>IFERROR(__xludf.DUMMYFUNCTION("""COMPUTED_VALUE"""),"")</f>
        <v/>
      </c>
      <c r="U13629" s="16" t="s">
        <v>87</v>
      </c>
      <c r="V13629" s="16" t="str">
        <f>IFERROR(__xludf.DUMMYFUNCTION("""COMPUTED_VALUE"""),"")</f>
        <v/>
      </c>
      <c r="W13629" s="16" t="str">
        <f>IFERROR(__xludf.DUMMYFUNCTION("""COMPUTED_VALUE"""),"")</f>
        <v/>
      </c>
      <c r="X13629" s="16" t="str">
        <f>IFERROR(__xludf.DUMMYFUNCTION("""COMPUTED_VALUE"""),"")</f>
        <v/>
      </c>
      <c r="AC13629" s="16" t="str">
        <f>IFERROR(__xludf.DUMMYFUNCTION("""COMPUTED_VALUE"""),"")</f>
        <v/>
      </c>
    </row>
    <row r="13630">
      <c r="A13630" s="16" t="s">
        <v>87</v>
      </c>
      <c r="E13630" s="16" t="str">
        <f>IFERROR(__xludf.DUMMYFUNCTION("""COMPUTED_VALUE"""),"")</f>
        <v/>
      </c>
      <c r="G13630" s="18"/>
      <c r="H13630" s="16" t="s">
        <v>87</v>
      </c>
      <c r="I13630" s="16" t="s">
        <v>87</v>
      </c>
      <c r="J13630" s="19"/>
      <c r="L13630" s="16" t="str">
        <f>IFERROR(__xludf.DUMMYFUNCTION("""COMPUTED_VALUE"""),"")</f>
        <v/>
      </c>
      <c r="M13630" s="16" t="str">
        <f>IFERROR(__xludf.DUMMYFUNCTION("""COMPUTED_VALUE"""),"")</f>
        <v/>
      </c>
      <c r="U13630" s="16" t="s">
        <v>87</v>
      </c>
      <c r="V13630" s="16" t="str">
        <f>IFERROR(__xludf.DUMMYFUNCTION("""COMPUTED_VALUE"""),"")</f>
        <v/>
      </c>
      <c r="W13630" s="16" t="str">
        <f>IFERROR(__xludf.DUMMYFUNCTION("""COMPUTED_VALUE"""),"")</f>
        <v/>
      </c>
      <c r="X13630" s="16" t="str">
        <f>IFERROR(__xludf.DUMMYFUNCTION("""COMPUTED_VALUE"""),"")</f>
        <v/>
      </c>
      <c r="AC13630" s="16" t="str">
        <f>IFERROR(__xludf.DUMMYFUNCTION("""COMPUTED_VALUE"""),"")</f>
        <v/>
      </c>
    </row>
    <row r="13631">
      <c r="A13631" s="16" t="s">
        <v>87</v>
      </c>
      <c r="E13631" s="16" t="str">
        <f>IFERROR(__xludf.DUMMYFUNCTION("""COMPUTED_VALUE"""),"")</f>
        <v/>
      </c>
      <c r="G13631" s="18"/>
      <c r="H13631" s="16" t="s">
        <v>87</v>
      </c>
      <c r="I13631" s="16" t="s">
        <v>87</v>
      </c>
      <c r="J13631" s="19"/>
      <c r="L13631" s="16" t="str">
        <f>IFERROR(__xludf.DUMMYFUNCTION("""COMPUTED_VALUE"""),"")</f>
        <v/>
      </c>
      <c r="M13631" s="16" t="str">
        <f>IFERROR(__xludf.DUMMYFUNCTION("""COMPUTED_VALUE"""),"")</f>
        <v/>
      </c>
      <c r="U13631" s="16" t="s">
        <v>87</v>
      </c>
      <c r="V13631" s="16" t="str">
        <f>IFERROR(__xludf.DUMMYFUNCTION("""COMPUTED_VALUE"""),"")</f>
        <v/>
      </c>
      <c r="W13631" s="16" t="str">
        <f>IFERROR(__xludf.DUMMYFUNCTION("""COMPUTED_VALUE"""),"")</f>
        <v/>
      </c>
      <c r="X13631" s="16" t="str">
        <f>IFERROR(__xludf.DUMMYFUNCTION("""COMPUTED_VALUE"""),"")</f>
        <v/>
      </c>
      <c r="AC13631" s="16" t="str">
        <f>IFERROR(__xludf.DUMMYFUNCTION("""COMPUTED_VALUE"""),"")</f>
        <v/>
      </c>
    </row>
    <row r="13632">
      <c r="A13632" s="16" t="s">
        <v>87</v>
      </c>
      <c r="E13632" s="16" t="str">
        <f>IFERROR(__xludf.DUMMYFUNCTION("""COMPUTED_VALUE"""),"")</f>
        <v/>
      </c>
      <c r="G13632" s="18"/>
      <c r="H13632" s="16" t="s">
        <v>87</v>
      </c>
      <c r="I13632" s="16" t="s">
        <v>87</v>
      </c>
      <c r="J13632" s="19"/>
      <c r="L13632" s="16" t="str">
        <f>IFERROR(__xludf.DUMMYFUNCTION("""COMPUTED_VALUE"""),"")</f>
        <v/>
      </c>
      <c r="M13632" s="16" t="str">
        <f>IFERROR(__xludf.DUMMYFUNCTION("""COMPUTED_VALUE"""),"")</f>
        <v/>
      </c>
      <c r="U13632" s="16" t="s">
        <v>87</v>
      </c>
      <c r="V13632" s="16" t="str">
        <f>IFERROR(__xludf.DUMMYFUNCTION("""COMPUTED_VALUE"""),"")</f>
        <v/>
      </c>
      <c r="W13632" s="16" t="str">
        <f>IFERROR(__xludf.DUMMYFUNCTION("""COMPUTED_VALUE"""),"")</f>
        <v/>
      </c>
      <c r="X13632" s="16" t="str">
        <f>IFERROR(__xludf.DUMMYFUNCTION("""COMPUTED_VALUE"""),"")</f>
        <v/>
      </c>
      <c r="AC13632" s="16" t="str">
        <f>IFERROR(__xludf.DUMMYFUNCTION("""COMPUTED_VALUE"""),"")</f>
        <v/>
      </c>
    </row>
    <row r="13633">
      <c r="A13633" s="16" t="s">
        <v>87</v>
      </c>
      <c r="E13633" s="16" t="str">
        <f>IFERROR(__xludf.DUMMYFUNCTION("""COMPUTED_VALUE"""),"")</f>
        <v/>
      </c>
      <c r="G13633" s="18"/>
      <c r="H13633" s="16" t="s">
        <v>87</v>
      </c>
      <c r="I13633" s="16" t="s">
        <v>87</v>
      </c>
      <c r="J13633" s="19"/>
      <c r="L13633" s="16" t="str">
        <f>IFERROR(__xludf.DUMMYFUNCTION("""COMPUTED_VALUE"""),"")</f>
        <v/>
      </c>
      <c r="M13633" s="16" t="str">
        <f>IFERROR(__xludf.DUMMYFUNCTION("""COMPUTED_VALUE"""),"")</f>
        <v/>
      </c>
      <c r="U13633" s="16" t="s">
        <v>87</v>
      </c>
      <c r="V13633" s="16" t="str">
        <f>IFERROR(__xludf.DUMMYFUNCTION("""COMPUTED_VALUE"""),"")</f>
        <v/>
      </c>
      <c r="W13633" s="16" t="str">
        <f>IFERROR(__xludf.DUMMYFUNCTION("""COMPUTED_VALUE"""),"")</f>
        <v/>
      </c>
      <c r="X13633" s="16" t="str">
        <f>IFERROR(__xludf.DUMMYFUNCTION("""COMPUTED_VALUE"""),"")</f>
        <v/>
      </c>
      <c r="AC13633" s="16" t="str">
        <f>IFERROR(__xludf.DUMMYFUNCTION("""COMPUTED_VALUE"""),"")</f>
        <v/>
      </c>
    </row>
    <row r="13634">
      <c r="A13634" s="16" t="s">
        <v>87</v>
      </c>
      <c r="E13634" s="16" t="str">
        <f>IFERROR(__xludf.DUMMYFUNCTION("""COMPUTED_VALUE"""),"")</f>
        <v/>
      </c>
      <c r="G13634" s="18"/>
      <c r="H13634" s="16" t="s">
        <v>87</v>
      </c>
      <c r="I13634" s="16" t="s">
        <v>87</v>
      </c>
      <c r="J13634" s="19"/>
      <c r="L13634" s="16" t="str">
        <f>IFERROR(__xludf.DUMMYFUNCTION("""COMPUTED_VALUE"""),"")</f>
        <v/>
      </c>
      <c r="M13634" s="16" t="str">
        <f>IFERROR(__xludf.DUMMYFUNCTION("""COMPUTED_VALUE"""),"")</f>
        <v/>
      </c>
      <c r="U13634" s="16" t="s">
        <v>87</v>
      </c>
      <c r="V13634" s="16" t="str">
        <f>IFERROR(__xludf.DUMMYFUNCTION("""COMPUTED_VALUE"""),"")</f>
        <v/>
      </c>
      <c r="W13634" s="16" t="str">
        <f>IFERROR(__xludf.DUMMYFUNCTION("""COMPUTED_VALUE"""),"")</f>
        <v/>
      </c>
      <c r="X13634" s="16" t="str">
        <f>IFERROR(__xludf.DUMMYFUNCTION("""COMPUTED_VALUE"""),"")</f>
        <v/>
      </c>
      <c r="AC13634" s="16" t="str">
        <f>IFERROR(__xludf.DUMMYFUNCTION("""COMPUTED_VALUE"""),"")</f>
        <v/>
      </c>
    </row>
    <row r="13635">
      <c r="A13635" s="16" t="s">
        <v>87</v>
      </c>
      <c r="E13635" s="16" t="str">
        <f>IFERROR(__xludf.DUMMYFUNCTION("""COMPUTED_VALUE"""),"")</f>
        <v/>
      </c>
      <c r="G13635" s="18"/>
      <c r="H13635" s="16" t="s">
        <v>87</v>
      </c>
      <c r="I13635" s="16" t="s">
        <v>87</v>
      </c>
      <c r="J13635" s="19"/>
      <c r="L13635" s="16" t="str">
        <f>IFERROR(__xludf.DUMMYFUNCTION("""COMPUTED_VALUE"""),"")</f>
        <v/>
      </c>
      <c r="M13635" s="16" t="str">
        <f>IFERROR(__xludf.DUMMYFUNCTION("""COMPUTED_VALUE"""),"")</f>
        <v/>
      </c>
      <c r="U13635" s="16" t="s">
        <v>87</v>
      </c>
      <c r="V13635" s="16" t="str">
        <f>IFERROR(__xludf.DUMMYFUNCTION("""COMPUTED_VALUE"""),"")</f>
        <v/>
      </c>
      <c r="W13635" s="16" t="str">
        <f>IFERROR(__xludf.DUMMYFUNCTION("""COMPUTED_VALUE"""),"")</f>
        <v/>
      </c>
      <c r="X13635" s="16" t="str">
        <f>IFERROR(__xludf.DUMMYFUNCTION("""COMPUTED_VALUE"""),"")</f>
        <v/>
      </c>
      <c r="AC13635" s="16" t="str">
        <f>IFERROR(__xludf.DUMMYFUNCTION("""COMPUTED_VALUE"""),"")</f>
        <v/>
      </c>
    </row>
    <row r="13636">
      <c r="A13636" s="16" t="s">
        <v>87</v>
      </c>
      <c r="E13636" s="16" t="str">
        <f>IFERROR(__xludf.DUMMYFUNCTION("""COMPUTED_VALUE"""),"")</f>
        <v/>
      </c>
      <c r="G13636" s="18"/>
      <c r="H13636" s="16" t="s">
        <v>87</v>
      </c>
      <c r="I13636" s="16" t="s">
        <v>87</v>
      </c>
      <c r="J13636" s="19"/>
      <c r="L13636" s="16" t="str">
        <f>IFERROR(__xludf.DUMMYFUNCTION("""COMPUTED_VALUE"""),"")</f>
        <v/>
      </c>
      <c r="M13636" s="16" t="str">
        <f>IFERROR(__xludf.DUMMYFUNCTION("""COMPUTED_VALUE"""),"")</f>
        <v/>
      </c>
      <c r="U13636" s="16" t="s">
        <v>87</v>
      </c>
      <c r="V13636" s="16" t="str">
        <f>IFERROR(__xludf.DUMMYFUNCTION("""COMPUTED_VALUE"""),"")</f>
        <v/>
      </c>
      <c r="W13636" s="16" t="str">
        <f>IFERROR(__xludf.DUMMYFUNCTION("""COMPUTED_VALUE"""),"")</f>
        <v/>
      </c>
      <c r="X13636" s="16" t="str">
        <f>IFERROR(__xludf.DUMMYFUNCTION("""COMPUTED_VALUE"""),"")</f>
        <v/>
      </c>
      <c r="AC13636" s="16" t="str">
        <f>IFERROR(__xludf.DUMMYFUNCTION("""COMPUTED_VALUE"""),"")</f>
        <v/>
      </c>
    </row>
    <row r="13637">
      <c r="A13637" s="16" t="s">
        <v>87</v>
      </c>
      <c r="E13637" s="16" t="str">
        <f>IFERROR(__xludf.DUMMYFUNCTION("""COMPUTED_VALUE"""),"")</f>
        <v/>
      </c>
      <c r="G13637" s="18"/>
      <c r="H13637" s="16" t="s">
        <v>87</v>
      </c>
      <c r="I13637" s="16" t="s">
        <v>87</v>
      </c>
      <c r="J13637" s="19"/>
      <c r="L13637" s="16" t="str">
        <f>IFERROR(__xludf.DUMMYFUNCTION("""COMPUTED_VALUE"""),"")</f>
        <v/>
      </c>
      <c r="M13637" s="16" t="str">
        <f>IFERROR(__xludf.DUMMYFUNCTION("""COMPUTED_VALUE"""),"")</f>
        <v/>
      </c>
      <c r="U13637" s="16" t="s">
        <v>87</v>
      </c>
      <c r="V13637" s="16" t="str">
        <f>IFERROR(__xludf.DUMMYFUNCTION("""COMPUTED_VALUE"""),"")</f>
        <v/>
      </c>
      <c r="W13637" s="16" t="str">
        <f>IFERROR(__xludf.DUMMYFUNCTION("""COMPUTED_VALUE"""),"")</f>
        <v/>
      </c>
      <c r="X13637" s="16" t="str">
        <f>IFERROR(__xludf.DUMMYFUNCTION("""COMPUTED_VALUE"""),"")</f>
        <v/>
      </c>
      <c r="AC13637" s="16" t="str">
        <f>IFERROR(__xludf.DUMMYFUNCTION("""COMPUTED_VALUE"""),"")</f>
        <v/>
      </c>
    </row>
    <row r="13638">
      <c r="A13638" s="16" t="s">
        <v>87</v>
      </c>
      <c r="E13638" s="16" t="str">
        <f>IFERROR(__xludf.DUMMYFUNCTION("""COMPUTED_VALUE"""),"")</f>
        <v/>
      </c>
      <c r="G13638" s="18"/>
      <c r="H13638" s="16" t="s">
        <v>87</v>
      </c>
      <c r="I13638" s="16" t="s">
        <v>87</v>
      </c>
      <c r="J13638" s="19"/>
      <c r="L13638" s="16" t="str">
        <f>IFERROR(__xludf.DUMMYFUNCTION("""COMPUTED_VALUE"""),"")</f>
        <v/>
      </c>
      <c r="M13638" s="16" t="str">
        <f>IFERROR(__xludf.DUMMYFUNCTION("""COMPUTED_VALUE"""),"")</f>
        <v/>
      </c>
      <c r="U13638" s="16" t="s">
        <v>87</v>
      </c>
      <c r="V13638" s="16" t="str">
        <f>IFERROR(__xludf.DUMMYFUNCTION("""COMPUTED_VALUE"""),"")</f>
        <v/>
      </c>
      <c r="W13638" s="16" t="str">
        <f>IFERROR(__xludf.DUMMYFUNCTION("""COMPUTED_VALUE"""),"")</f>
        <v/>
      </c>
      <c r="X13638" s="16" t="str">
        <f>IFERROR(__xludf.DUMMYFUNCTION("""COMPUTED_VALUE"""),"")</f>
        <v/>
      </c>
      <c r="AC13638" s="16" t="str">
        <f>IFERROR(__xludf.DUMMYFUNCTION("""COMPUTED_VALUE"""),"")</f>
        <v/>
      </c>
    </row>
    <row r="13639">
      <c r="A13639" s="16" t="s">
        <v>87</v>
      </c>
      <c r="E13639" s="16" t="str">
        <f>IFERROR(__xludf.DUMMYFUNCTION("""COMPUTED_VALUE"""),"")</f>
        <v/>
      </c>
      <c r="G13639" s="18"/>
      <c r="H13639" s="16" t="s">
        <v>87</v>
      </c>
      <c r="I13639" s="16" t="s">
        <v>87</v>
      </c>
      <c r="J13639" s="19"/>
      <c r="L13639" s="16" t="str">
        <f>IFERROR(__xludf.DUMMYFUNCTION("""COMPUTED_VALUE"""),"")</f>
        <v/>
      </c>
      <c r="M13639" s="16" t="str">
        <f>IFERROR(__xludf.DUMMYFUNCTION("""COMPUTED_VALUE"""),"")</f>
        <v/>
      </c>
      <c r="U13639" s="16" t="s">
        <v>87</v>
      </c>
      <c r="V13639" s="16" t="str">
        <f>IFERROR(__xludf.DUMMYFUNCTION("""COMPUTED_VALUE"""),"")</f>
        <v/>
      </c>
      <c r="W13639" s="16" t="str">
        <f>IFERROR(__xludf.DUMMYFUNCTION("""COMPUTED_VALUE"""),"")</f>
        <v/>
      </c>
      <c r="X13639" s="16" t="str">
        <f>IFERROR(__xludf.DUMMYFUNCTION("""COMPUTED_VALUE"""),"")</f>
        <v/>
      </c>
      <c r="AC13639" s="16" t="str">
        <f>IFERROR(__xludf.DUMMYFUNCTION("""COMPUTED_VALUE"""),"")</f>
        <v/>
      </c>
    </row>
    <row r="13640">
      <c r="A13640" s="16" t="s">
        <v>87</v>
      </c>
      <c r="E13640" s="16" t="str">
        <f>IFERROR(__xludf.DUMMYFUNCTION("""COMPUTED_VALUE"""),"")</f>
        <v/>
      </c>
      <c r="G13640" s="18"/>
      <c r="H13640" s="16" t="s">
        <v>87</v>
      </c>
      <c r="I13640" s="16" t="s">
        <v>87</v>
      </c>
      <c r="J13640" s="19"/>
      <c r="L13640" s="16" t="str">
        <f>IFERROR(__xludf.DUMMYFUNCTION("""COMPUTED_VALUE"""),"")</f>
        <v/>
      </c>
      <c r="M13640" s="16" t="str">
        <f>IFERROR(__xludf.DUMMYFUNCTION("""COMPUTED_VALUE"""),"")</f>
        <v/>
      </c>
      <c r="U13640" s="16" t="s">
        <v>87</v>
      </c>
      <c r="V13640" s="16" t="str">
        <f>IFERROR(__xludf.DUMMYFUNCTION("""COMPUTED_VALUE"""),"")</f>
        <v/>
      </c>
      <c r="W13640" s="16" t="str">
        <f>IFERROR(__xludf.DUMMYFUNCTION("""COMPUTED_VALUE"""),"")</f>
        <v/>
      </c>
      <c r="X13640" s="16" t="str">
        <f>IFERROR(__xludf.DUMMYFUNCTION("""COMPUTED_VALUE"""),"")</f>
        <v/>
      </c>
      <c r="AC13640" s="16" t="str">
        <f>IFERROR(__xludf.DUMMYFUNCTION("""COMPUTED_VALUE"""),"")</f>
        <v/>
      </c>
    </row>
    <row r="13641">
      <c r="A13641" s="16" t="s">
        <v>87</v>
      </c>
      <c r="E13641" s="16" t="str">
        <f>IFERROR(__xludf.DUMMYFUNCTION("""COMPUTED_VALUE"""),"")</f>
        <v/>
      </c>
      <c r="G13641" s="18"/>
      <c r="H13641" s="16" t="s">
        <v>87</v>
      </c>
      <c r="I13641" s="16" t="s">
        <v>87</v>
      </c>
      <c r="J13641" s="19"/>
      <c r="L13641" s="16" t="str">
        <f>IFERROR(__xludf.DUMMYFUNCTION("""COMPUTED_VALUE"""),"")</f>
        <v/>
      </c>
      <c r="M13641" s="16" t="str">
        <f>IFERROR(__xludf.DUMMYFUNCTION("""COMPUTED_VALUE"""),"")</f>
        <v/>
      </c>
      <c r="U13641" s="16" t="s">
        <v>87</v>
      </c>
      <c r="V13641" s="16" t="str">
        <f>IFERROR(__xludf.DUMMYFUNCTION("""COMPUTED_VALUE"""),"")</f>
        <v/>
      </c>
      <c r="W13641" s="16" t="str">
        <f>IFERROR(__xludf.DUMMYFUNCTION("""COMPUTED_VALUE"""),"")</f>
        <v/>
      </c>
      <c r="X13641" s="16" t="str">
        <f>IFERROR(__xludf.DUMMYFUNCTION("""COMPUTED_VALUE"""),"")</f>
        <v/>
      </c>
      <c r="AC13641" s="16" t="str">
        <f>IFERROR(__xludf.DUMMYFUNCTION("""COMPUTED_VALUE"""),"")</f>
        <v/>
      </c>
    </row>
    <row r="13642">
      <c r="A13642" s="16" t="s">
        <v>87</v>
      </c>
      <c r="E13642" s="16" t="str">
        <f>IFERROR(__xludf.DUMMYFUNCTION("""COMPUTED_VALUE"""),"")</f>
        <v/>
      </c>
      <c r="G13642" s="18"/>
      <c r="H13642" s="16" t="s">
        <v>87</v>
      </c>
      <c r="I13642" s="16" t="s">
        <v>87</v>
      </c>
      <c r="J13642" s="19"/>
      <c r="L13642" s="16" t="str">
        <f>IFERROR(__xludf.DUMMYFUNCTION("""COMPUTED_VALUE"""),"")</f>
        <v/>
      </c>
      <c r="M13642" s="16" t="str">
        <f>IFERROR(__xludf.DUMMYFUNCTION("""COMPUTED_VALUE"""),"")</f>
        <v/>
      </c>
      <c r="U13642" s="16" t="s">
        <v>87</v>
      </c>
      <c r="V13642" s="16" t="str">
        <f>IFERROR(__xludf.DUMMYFUNCTION("""COMPUTED_VALUE"""),"")</f>
        <v/>
      </c>
      <c r="W13642" s="16" t="str">
        <f>IFERROR(__xludf.DUMMYFUNCTION("""COMPUTED_VALUE"""),"")</f>
        <v/>
      </c>
      <c r="X13642" s="16" t="str">
        <f>IFERROR(__xludf.DUMMYFUNCTION("""COMPUTED_VALUE"""),"")</f>
        <v/>
      </c>
      <c r="AC13642" s="16" t="str">
        <f>IFERROR(__xludf.DUMMYFUNCTION("""COMPUTED_VALUE"""),"")</f>
        <v/>
      </c>
    </row>
    <row r="13643">
      <c r="A13643" s="16" t="s">
        <v>87</v>
      </c>
      <c r="E13643" s="16" t="str">
        <f>IFERROR(__xludf.DUMMYFUNCTION("""COMPUTED_VALUE"""),"")</f>
        <v/>
      </c>
      <c r="G13643" s="18"/>
      <c r="H13643" s="16" t="s">
        <v>87</v>
      </c>
      <c r="I13643" s="16" t="s">
        <v>87</v>
      </c>
      <c r="J13643" s="19"/>
      <c r="L13643" s="16" t="str">
        <f>IFERROR(__xludf.DUMMYFUNCTION("""COMPUTED_VALUE"""),"")</f>
        <v/>
      </c>
      <c r="M13643" s="16" t="str">
        <f>IFERROR(__xludf.DUMMYFUNCTION("""COMPUTED_VALUE"""),"")</f>
        <v/>
      </c>
      <c r="U13643" s="16" t="s">
        <v>87</v>
      </c>
      <c r="V13643" s="16" t="str">
        <f>IFERROR(__xludf.DUMMYFUNCTION("""COMPUTED_VALUE"""),"")</f>
        <v/>
      </c>
      <c r="W13643" s="16" t="str">
        <f>IFERROR(__xludf.DUMMYFUNCTION("""COMPUTED_VALUE"""),"")</f>
        <v/>
      </c>
      <c r="X13643" s="16" t="str">
        <f>IFERROR(__xludf.DUMMYFUNCTION("""COMPUTED_VALUE"""),"")</f>
        <v/>
      </c>
      <c r="AC13643" s="16" t="str">
        <f>IFERROR(__xludf.DUMMYFUNCTION("""COMPUTED_VALUE"""),"")</f>
        <v/>
      </c>
    </row>
    <row r="13644">
      <c r="A13644" s="16" t="s">
        <v>87</v>
      </c>
      <c r="E13644" s="16" t="str">
        <f>IFERROR(__xludf.DUMMYFUNCTION("""COMPUTED_VALUE"""),"")</f>
        <v/>
      </c>
      <c r="G13644" s="18"/>
      <c r="H13644" s="16" t="s">
        <v>87</v>
      </c>
      <c r="I13644" s="16" t="s">
        <v>87</v>
      </c>
      <c r="J13644" s="19"/>
      <c r="L13644" s="16" t="str">
        <f>IFERROR(__xludf.DUMMYFUNCTION("""COMPUTED_VALUE"""),"")</f>
        <v/>
      </c>
      <c r="M13644" s="16" t="str">
        <f>IFERROR(__xludf.DUMMYFUNCTION("""COMPUTED_VALUE"""),"")</f>
        <v/>
      </c>
      <c r="U13644" s="16" t="s">
        <v>87</v>
      </c>
      <c r="V13644" s="16" t="str">
        <f>IFERROR(__xludf.DUMMYFUNCTION("""COMPUTED_VALUE"""),"")</f>
        <v/>
      </c>
      <c r="W13644" s="16" t="str">
        <f>IFERROR(__xludf.DUMMYFUNCTION("""COMPUTED_VALUE"""),"")</f>
        <v/>
      </c>
      <c r="X13644" s="16" t="str">
        <f>IFERROR(__xludf.DUMMYFUNCTION("""COMPUTED_VALUE"""),"")</f>
        <v/>
      </c>
      <c r="AC13644" s="16" t="str">
        <f>IFERROR(__xludf.DUMMYFUNCTION("""COMPUTED_VALUE"""),"")</f>
        <v/>
      </c>
    </row>
    <row r="13645">
      <c r="A13645" s="16" t="s">
        <v>87</v>
      </c>
      <c r="E13645" s="16" t="str">
        <f>IFERROR(__xludf.DUMMYFUNCTION("""COMPUTED_VALUE"""),"")</f>
        <v/>
      </c>
      <c r="G13645" s="18"/>
      <c r="H13645" s="16" t="s">
        <v>87</v>
      </c>
      <c r="I13645" s="16" t="s">
        <v>87</v>
      </c>
      <c r="J13645" s="19"/>
      <c r="L13645" s="16" t="str">
        <f>IFERROR(__xludf.DUMMYFUNCTION("""COMPUTED_VALUE"""),"")</f>
        <v/>
      </c>
      <c r="M13645" s="16" t="str">
        <f>IFERROR(__xludf.DUMMYFUNCTION("""COMPUTED_VALUE"""),"")</f>
        <v/>
      </c>
      <c r="U13645" s="16" t="s">
        <v>87</v>
      </c>
      <c r="V13645" s="16" t="str">
        <f>IFERROR(__xludf.DUMMYFUNCTION("""COMPUTED_VALUE"""),"")</f>
        <v/>
      </c>
      <c r="W13645" s="16" t="str">
        <f>IFERROR(__xludf.DUMMYFUNCTION("""COMPUTED_VALUE"""),"")</f>
        <v/>
      </c>
      <c r="X13645" s="16" t="str">
        <f>IFERROR(__xludf.DUMMYFUNCTION("""COMPUTED_VALUE"""),"")</f>
        <v/>
      </c>
      <c r="AC13645" s="16" t="str">
        <f>IFERROR(__xludf.DUMMYFUNCTION("""COMPUTED_VALUE"""),"")</f>
        <v/>
      </c>
    </row>
    <row r="13646">
      <c r="A13646" s="16" t="s">
        <v>87</v>
      </c>
      <c r="E13646" s="16" t="str">
        <f>IFERROR(__xludf.DUMMYFUNCTION("""COMPUTED_VALUE"""),"")</f>
        <v/>
      </c>
      <c r="G13646" s="18"/>
      <c r="H13646" s="16" t="s">
        <v>87</v>
      </c>
      <c r="I13646" s="16" t="s">
        <v>87</v>
      </c>
      <c r="J13646" s="19"/>
      <c r="L13646" s="16" t="str">
        <f>IFERROR(__xludf.DUMMYFUNCTION("""COMPUTED_VALUE"""),"")</f>
        <v/>
      </c>
      <c r="M13646" s="16" t="str">
        <f>IFERROR(__xludf.DUMMYFUNCTION("""COMPUTED_VALUE"""),"")</f>
        <v/>
      </c>
      <c r="U13646" s="16" t="s">
        <v>87</v>
      </c>
      <c r="V13646" s="16" t="str">
        <f>IFERROR(__xludf.DUMMYFUNCTION("""COMPUTED_VALUE"""),"")</f>
        <v/>
      </c>
      <c r="W13646" s="16" t="str">
        <f>IFERROR(__xludf.DUMMYFUNCTION("""COMPUTED_VALUE"""),"")</f>
        <v/>
      </c>
      <c r="X13646" s="16" t="str">
        <f>IFERROR(__xludf.DUMMYFUNCTION("""COMPUTED_VALUE"""),"")</f>
        <v/>
      </c>
      <c r="AC13646" s="16" t="str">
        <f>IFERROR(__xludf.DUMMYFUNCTION("""COMPUTED_VALUE"""),"")</f>
        <v/>
      </c>
    </row>
    <row r="13647">
      <c r="A13647" s="16" t="s">
        <v>87</v>
      </c>
      <c r="E13647" s="16" t="str">
        <f>IFERROR(__xludf.DUMMYFUNCTION("""COMPUTED_VALUE"""),"")</f>
        <v/>
      </c>
      <c r="G13647" s="18"/>
      <c r="H13647" s="16" t="s">
        <v>87</v>
      </c>
      <c r="I13647" s="16" t="s">
        <v>87</v>
      </c>
      <c r="J13647" s="19"/>
      <c r="L13647" s="16" t="str">
        <f>IFERROR(__xludf.DUMMYFUNCTION("""COMPUTED_VALUE"""),"")</f>
        <v/>
      </c>
      <c r="M13647" s="16" t="str">
        <f>IFERROR(__xludf.DUMMYFUNCTION("""COMPUTED_VALUE"""),"")</f>
        <v/>
      </c>
      <c r="U13647" s="16" t="s">
        <v>87</v>
      </c>
      <c r="V13647" s="16" t="str">
        <f>IFERROR(__xludf.DUMMYFUNCTION("""COMPUTED_VALUE"""),"")</f>
        <v/>
      </c>
      <c r="W13647" s="16" t="str">
        <f>IFERROR(__xludf.DUMMYFUNCTION("""COMPUTED_VALUE"""),"")</f>
        <v/>
      </c>
      <c r="X13647" s="16" t="str">
        <f>IFERROR(__xludf.DUMMYFUNCTION("""COMPUTED_VALUE"""),"")</f>
        <v/>
      </c>
      <c r="AC13647" s="16" t="str">
        <f>IFERROR(__xludf.DUMMYFUNCTION("""COMPUTED_VALUE"""),"")</f>
        <v/>
      </c>
    </row>
    <row r="13648">
      <c r="A13648" s="16" t="s">
        <v>87</v>
      </c>
      <c r="E13648" s="16" t="str">
        <f>IFERROR(__xludf.DUMMYFUNCTION("""COMPUTED_VALUE"""),"")</f>
        <v/>
      </c>
      <c r="G13648" s="18"/>
      <c r="H13648" s="16" t="s">
        <v>87</v>
      </c>
      <c r="I13648" s="16" t="s">
        <v>87</v>
      </c>
      <c r="J13648" s="19"/>
      <c r="L13648" s="16" t="str">
        <f>IFERROR(__xludf.DUMMYFUNCTION("""COMPUTED_VALUE"""),"")</f>
        <v/>
      </c>
      <c r="M13648" s="16" t="str">
        <f>IFERROR(__xludf.DUMMYFUNCTION("""COMPUTED_VALUE"""),"")</f>
        <v/>
      </c>
      <c r="U13648" s="16" t="s">
        <v>87</v>
      </c>
      <c r="V13648" s="16" t="str">
        <f>IFERROR(__xludf.DUMMYFUNCTION("""COMPUTED_VALUE"""),"")</f>
        <v/>
      </c>
      <c r="W13648" s="16" t="str">
        <f>IFERROR(__xludf.DUMMYFUNCTION("""COMPUTED_VALUE"""),"")</f>
        <v/>
      </c>
      <c r="X13648" s="16" t="str">
        <f>IFERROR(__xludf.DUMMYFUNCTION("""COMPUTED_VALUE"""),"")</f>
        <v/>
      </c>
      <c r="AC13648" s="16" t="str">
        <f>IFERROR(__xludf.DUMMYFUNCTION("""COMPUTED_VALUE"""),"")</f>
        <v/>
      </c>
    </row>
    <row r="13649">
      <c r="A13649" s="16" t="s">
        <v>87</v>
      </c>
      <c r="E13649" s="16" t="str">
        <f>IFERROR(__xludf.DUMMYFUNCTION("""COMPUTED_VALUE"""),"")</f>
        <v/>
      </c>
      <c r="G13649" s="18"/>
      <c r="H13649" s="16" t="s">
        <v>87</v>
      </c>
      <c r="I13649" s="16" t="s">
        <v>87</v>
      </c>
      <c r="J13649" s="19"/>
      <c r="L13649" s="16" t="str">
        <f>IFERROR(__xludf.DUMMYFUNCTION("""COMPUTED_VALUE"""),"")</f>
        <v/>
      </c>
      <c r="M13649" s="16" t="str">
        <f>IFERROR(__xludf.DUMMYFUNCTION("""COMPUTED_VALUE"""),"")</f>
        <v/>
      </c>
      <c r="U13649" s="16" t="s">
        <v>87</v>
      </c>
      <c r="V13649" s="16" t="str">
        <f>IFERROR(__xludf.DUMMYFUNCTION("""COMPUTED_VALUE"""),"")</f>
        <v/>
      </c>
      <c r="W13649" s="16" t="str">
        <f>IFERROR(__xludf.DUMMYFUNCTION("""COMPUTED_VALUE"""),"")</f>
        <v/>
      </c>
      <c r="X13649" s="16" t="str">
        <f>IFERROR(__xludf.DUMMYFUNCTION("""COMPUTED_VALUE"""),"")</f>
        <v/>
      </c>
      <c r="AC13649" s="16" t="str">
        <f>IFERROR(__xludf.DUMMYFUNCTION("""COMPUTED_VALUE"""),"")</f>
        <v/>
      </c>
    </row>
    <row r="13650">
      <c r="A13650" s="16" t="s">
        <v>87</v>
      </c>
      <c r="E13650" s="16" t="str">
        <f>IFERROR(__xludf.DUMMYFUNCTION("""COMPUTED_VALUE"""),"")</f>
        <v/>
      </c>
      <c r="G13650" s="18"/>
      <c r="H13650" s="16" t="s">
        <v>87</v>
      </c>
      <c r="I13650" s="16" t="s">
        <v>87</v>
      </c>
      <c r="J13650" s="19"/>
      <c r="L13650" s="16" t="str">
        <f>IFERROR(__xludf.DUMMYFUNCTION("""COMPUTED_VALUE"""),"")</f>
        <v/>
      </c>
      <c r="M13650" s="16" t="str">
        <f>IFERROR(__xludf.DUMMYFUNCTION("""COMPUTED_VALUE"""),"")</f>
        <v/>
      </c>
      <c r="U13650" s="16" t="s">
        <v>87</v>
      </c>
      <c r="V13650" s="16" t="str">
        <f>IFERROR(__xludf.DUMMYFUNCTION("""COMPUTED_VALUE"""),"")</f>
        <v/>
      </c>
      <c r="W13650" s="16" t="str">
        <f>IFERROR(__xludf.DUMMYFUNCTION("""COMPUTED_VALUE"""),"")</f>
        <v/>
      </c>
      <c r="X13650" s="16" t="str">
        <f>IFERROR(__xludf.DUMMYFUNCTION("""COMPUTED_VALUE"""),"")</f>
        <v/>
      </c>
      <c r="AC13650" s="16" t="str">
        <f>IFERROR(__xludf.DUMMYFUNCTION("""COMPUTED_VALUE"""),"")</f>
        <v/>
      </c>
    </row>
    <row r="13651">
      <c r="A13651" s="16" t="s">
        <v>87</v>
      </c>
      <c r="E13651" s="16" t="str">
        <f>IFERROR(__xludf.DUMMYFUNCTION("""COMPUTED_VALUE"""),"")</f>
        <v/>
      </c>
      <c r="G13651" s="18"/>
      <c r="H13651" s="16" t="s">
        <v>87</v>
      </c>
      <c r="I13651" s="16" t="s">
        <v>87</v>
      </c>
      <c r="J13651" s="19"/>
      <c r="L13651" s="16" t="str">
        <f>IFERROR(__xludf.DUMMYFUNCTION("""COMPUTED_VALUE"""),"")</f>
        <v/>
      </c>
      <c r="M13651" s="16" t="str">
        <f>IFERROR(__xludf.DUMMYFUNCTION("""COMPUTED_VALUE"""),"")</f>
        <v/>
      </c>
      <c r="U13651" s="16" t="s">
        <v>87</v>
      </c>
      <c r="V13651" s="16" t="str">
        <f>IFERROR(__xludf.DUMMYFUNCTION("""COMPUTED_VALUE"""),"")</f>
        <v/>
      </c>
      <c r="W13651" s="16" t="str">
        <f>IFERROR(__xludf.DUMMYFUNCTION("""COMPUTED_VALUE"""),"")</f>
        <v/>
      </c>
      <c r="X13651" s="16" t="str">
        <f>IFERROR(__xludf.DUMMYFUNCTION("""COMPUTED_VALUE"""),"")</f>
        <v/>
      </c>
      <c r="AC13651" s="16" t="str">
        <f>IFERROR(__xludf.DUMMYFUNCTION("""COMPUTED_VALUE"""),"")</f>
        <v/>
      </c>
    </row>
    <row r="13652">
      <c r="A13652" s="16" t="s">
        <v>87</v>
      </c>
      <c r="E13652" s="16" t="str">
        <f>IFERROR(__xludf.DUMMYFUNCTION("""COMPUTED_VALUE"""),"")</f>
        <v/>
      </c>
      <c r="G13652" s="18"/>
      <c r="H13652" s="16" t="s">
        <v>87</v>
      </c>
      <c r="I13652" s="16" t="s">
        <v>87</v>
      </c>
      <c r="J13652" s="19"/>
      <c r="L13652" s="16" t="str">
        <f>IFERROR(__xludf.DUMMYFUNCTION("""COMPUTED_VALUE"""),"")</f>
        <v/>
      </c>
      <c r="M13652" s="16" t="str">
        <f>IFERROR(__xludf.DUMMYFUNCTION("""COMPUTED_VALUE"""),"")</f>
        <v/>
      </c>
      <c r="U13652" s="16" t="s">
        <v>87</v>
      </c>
      <c r="V13652" s="16" t="str">
        <f>IFERROR(__xludf.DUMMYFUNCTION("""COMPUTED_VALUE"""),"")</f>
        <v/>
      </c>
      <c r="W13652" s="16" t="str">
        <f>IFERROR(__xludf.DUMMYFUNCTION("""COMPUTED_VALUE"""),"")</f>
        <v/>
      </c>
      <c r="X13652" s="16" t="str">
        <f>IFERROR(__xludf.DUMMYFUNCTION("""COMPUTED_VALUE"""),"")</f>
        <v/>
      </c>
      <c r="AC13652" s="16" t="str">
        <f>IFERROR(__xludf.DUMMYFUNCTION("""COMPUTED_VALUE"""),"")</f>
        <v/>
      </c>
    </row>
    <row r="13653">
      <c r="A13653" s="16" t="s">
        <v>87</v>
      </c>
      <c r="E13653" s="16" t="str">
        <f>IFERROR(__xludf.DUMMYFUNCTION("""COMPUTED_VALUE"""),"")</f>
        <v/>
      </c>
      <c r="G13653" s="18"/>
      <c r="H13653" s="16" t="s">
        <v>87</v>
      </c>
      <c r="I13653" s="16" t="s">
        <v>87</v>
      </c>
      <c r="J13653" s="19"/>
      <c r="L13653" s="16" t="str">
        <f>IFERROR(__xludf.DUMMYFUNCTION("""COMPUTED_VALUE"""),"")</f>
        <v/>
      </c>
      <c r="M13653" s="16" t="str">
        <f>IFERROR(__xludf.DUMMYFUNCTION("""COMPUTED_VALUE"""),"")</f>
        <v/>
      </c>
      <c r="U13653" s="16" t="s">
        <v>87</v>
      </c>
      <c r="V13653" s="16" t="str">
        <f>IFERROR(__xludf.DUMMYFUNCTION("""COMPUTED_VALUE"""),"")</f>
        <v/>
      </c>
      <c r="W13653" s="16" t="str">
        <f>IFERROR(__xludf.DUMMYFUNCTION("""COMPUTED_VALUE"""),"")</f>
        <v/>
      </c>
      <c r="X13653" s="16" t="str">
        <f>IFERROR(__xludf.DUMMYFUNCTION("""COMPUTED_VALUE"""),"")</f>
        <v/>
      </c>
      <c r="AC13653" s="16" t="str">
        <f>IFERROR(__xludf.DUMMYFUNCTION("""COMPUTED_VALUE"""),"")</f>
        <v/>
      </c>
    </row>
    <row r="13654">
      <c r="A13654" s="16" t="s">
        <v>87</v>
      </c>
      <c r="E13654" s="16" t="str">
        <f>IFERROR(__xludf.DUMMYFUNCTION("""COMPUTED_VALUE"""),"")</f>
        <v/>
      </c>
      <c r="G13654" s="18"/>
      <c r="H13654" s="16" t="s">
        <v>87</v>
      </c>
      <c r="I13654" s="16" t="s">
        <v>87</v>
      </c>
      <c r="J13654" s="19"/>
      <c r="L13654" s="16" t="str">
        <f>IFERROR(__xludf.DUMMYFUNCTION("""COMPUTED_VALUE"""),"")</f>
        <v/>
      </c>
      <c r="M13654" s="16" t="str">
        <f>IFERROR(__xludf.DUMMYFUNCTION("""COMPUTED_VALUE"""),"")</f>
        <v/>
      </c>
      <c r="U13654" s="16" t="s">
        <v>87</v>
      </c>
      <c r="V13654" s="16" t="str">
        <f>IFERROR(__xludf.DUMMYFUNCTION("""COMPUTED_VALUE"""),"")</f>
        <v/>
      </c>
      <c r="W13654" s="16" t="str">
        <f>IFERROR(__xludf.DUMMYFUNCTION("""COMPUTED_VALUE"""),"")</f>
        <v/>
      </c>
      <c r="X13654" s="16" t="str">
        <f>IFERROR(__xludf.DUMMYFUNCTION("""COMPUTED_VALUE"""),"")</f>
        <v/>
      </c>
      <c r="AC13654" s="16" t="str">
        <f>IFERROR(__xludf.DUMMYFUNCTION("""COMPUTED_VALUE"""),"")</f>
        <v/>
      </c>
    </row>
    <row r="13655">
      <c r="A13655" s="16" t="s">
        <v>87</v>
      </c>
      <c r="E13655" s="16" t="str">
        <f>IFERROR(__xludf.DUMMYFUNCTION("""COMPUTED_VALUE"""),"")</f>
        <v/>
      </c>
      <c r="G13655" s="18"/>
      <c r="H13655" s="16" t="s">
        <v>87</v>
      </c>
      <c r="I13655" s="16" t="s">
        <v>87</v>
      </c>
      <c r="J13655" s="19"/>
      <c r="L13655" s="16" t="str">
        <f>IFERROR(__xludf.DUMMYFUNCTION("""COMPUTED_VALUE"""),"")</f>
        <v/>
      </c>
      <c r="M13655" s="16" t="str">
        <f>IFERROR(__xludf.DUMMYFUNCTION("""COMPUTED_VALUE"""),"")</f>
        <v/>
      </c>
      <c r="U13655" s="16" t="s">
        <v>87</v>
      </c>
      <c r="V13655" s="16" t="str">
        <f>IFERROR(__xludf.DUMMYFUNCTION("""COMPUTED_VALUE"""),"")</f>
        <v/>
      </c>
      <c r="W13655" s="16" t="str">
        <f>IFERROR(__xludf.DUMMYFUNCTION("""COMPUTED_VALUE"""),"")</f>
        <v/>
      </c>
      <c r="X13655" s="16" t="str">
        <f>IFERROR(__xludf.DUMMYFUNCTION("""COMPUTED_VALUE"""),"")</f>
        <v/>
      </c>
      <c r="AC13655" s="16" t="str">
        <f>IFERROR(__xludf.DUMMYFUNCTION("""COMPUTED_VALUE"""),"")</f>
        <v/>
      </c>
    </row>
    <row r="13656">
      <c r="A13656" s="16" t="s">
        <v>87</v>
      </c>
      <c r="E13656" s="16" t="str">
        <f>IFERROR(__xludf.DUMMYFUNCTION("""COMPUTED_VALUE"""),"")</f>
        <v/>
      </c>
      <c r="G13656" s="18"/>
      <c r="H13656" s="16" t="s">
        <v>87</v>
      </c>
      <c r="I13656" s="16" t="s">
        <v>87</v>
      </c>
      <c r="J13656" s="19"/>
      <c r="L13656" s="16" t="str">
        <f>IFERROR(__xludf.DUMMYFUNCTION("""COMPUTED_VALUE"""),"")</f>
        <v/>
      </c>
      <c r="M13656" s="16" t="str">
        <f>IFERROR(__xludf.DUMMYFUNCTION("""COMPUTED_VALUE"""),"")</f>
        <v/>
      </c>
      <c r="U13656" s="16" t="s">
        <v>87</v>
      </c>
      <c r="V13656" s="16" t="str">
        <f>IFERROR(__xludf.DUMMYFUNCTION("""COMPUTED_VALUE"""),"")</f>
        <v/>
      </c>
      <c r="W13656" s="16" t="str">
        <f>IFERROR(__xludf.DUMMYFUNCTION("""COMPUTED_VALUE"""),"")</f>
        <v/>
      </c>
      <c r="X13656" s="16" t="str">
        <f>IFERROR(__xludf.DUMMYFUNCTION("""COMPUTED_VALUE"""),"")</f>
        <v/>
      </c>
      <c r="AC13656" s="16" t="str">
        <f>IFERROR(__xludf.DUMMYFUNCTION("""COMPUTED_VALUE"""),"")</f>
        <v/>
      </c>
    </row>
    <row r="13657">
      <c r="A13657" s="16" t="s">
        <v>87</v>
      </c>
      <c r="E13657" s="16" t="str">
        <f>IFERROR(__xludf.DUMMYFUNCTION("""COMPUTED_VALUE"""),"")</f>
        <v/>
      </c>
      <c r="G13657" s="18"/>
      <c r="H13657" s="16" t="s">
        <v>87</v>
      </c>
      <c r="I13657" s="16" t="s">
        <v>87</v>
      </c>
      <c r="J13657" s="19"/>
      <c r="L13657" s="16" t="str">
        <f>IFERROR(__xludf.DUMMYFUNCTION("""COMPUTED_VALUE"""),"")</f>
        <v/>
      </c>
      <c r="M13657" s="16" t="str">
        <f>IFERROR(__xludf.DUMMYFUNCTION("""COMPUTED_VALUE"""),"")</f>
        <v/>
      </c>
      <c r="U13657" s="16" t="s">
        <v>87</v>
      </c>
      <c r="V13657" s="16" t="str">
        <f>IFERROR(__xludf.DUMMYFUNCTION("""COMPUTED_VALUE"""),"")</f>
        <v/>
      </c>
      <c r="W13657" s="16" t="str">
        <f>IFERROR(__xludf.DUMMYFUNCTION("""COMPUTED_VALUE"""),"")</f>
        <v/>
      </c>
      <c r="X13657" s="16" t="str">
        <f>IFERROR(__xludf.DUMMYFUNCTION("""COMPUTED_VALUE"""),"")</f>
        <v/>
      </c>
      <c r="AC13657" s="16" t="str">
        <f>IFERROR(__xludf.DUMMYFUNCTION("""COMPUTED_VALUE"""),"")</f>
        <v/>
      </c>
    </row>
    <row r="13658">
      <c r="A13658" s="16" t="s">
        <v>87</v>
      </c>
      <c r="E13658" s="16" t="str">
        <f>IFERROR(__xludf.DUMMYFUNCTION("""COMPUTED_VALUE"""),"")</f>
        <v/>
      </c>
      <c r="G13658" s="18"/>
      <c r="H13658" s="16" t="s">
        <v>87</v>
      </c>
      <c r="I13658" s="16" t="s">
        <v>87</v>
      </c>
      <c r="J13658" s="19"/>
      <c r="L13658" s="16" t="str">
        <f>IFERROR(__xludf.DUMMYFUNCTION("""COMPUTED_VALUE"""),"")</f>
        <v/>
      </c>
      <c r="M13658" s="16" t="str">
        <f>IFERROR(__xludf.DUMMYFUNCTION("""COMPUTED_VALUE"""),"")</f>
        <v/>
      </c>
      <c r="U13658" s="16" t="s">
        <v>87</v>
      </c>
      <c r="V13658" s="16" t="str">
        <f>IFERROR(__xludf.DUMMYFUNCTION("""COMPUTED_VALUE"""),"")</f>
        <v/>
      </c>
      <c r="W13658" s="16" t="str">
        <f>IFERROR(__xludf.DUMMYFUNCTION("""COMPUTED_VALUE"""),"")</f>
        <v/>
      </c>
      <c r="X13658" s="16" t="str">
        <f>IFERROR(__xludf.DUMMYFUNCTION("""COMPUTED_VALUE"""),"")</f>
        <v/>
      </c>
      <c r="AC13658" s="16" t="str">
        <f>IFERROR(__xludf.DUMMYFUNCTION("""COMPUTED_VALUE"""),"")</f>
        <v/>
      </c>
    </row>
    <row r="13659">
      <c r="A13659" s="16" t="s">
        <v>87</v>
      </c>
      <c r="E13659" s="16" t="str">
        <f>IFERROR(__xludf.DUMMYFUNCTION("""COMPUTED_VALUE"""),"")</f>
        <v/>
      </c>
      <c r="G13659" s="18"/>
      <c r="H13659" s="16" t="s">
        <v>87</v>
      </c>
      <c r="I13659" s="16" t="s">
        <v>87</v>
      </c>
      <c r="J13659" s="19"/>
      <c r="L13659" s="16" t="str">
        <f>IFERROR(__xludf.DUMMYFUNCTION("""COMPUTED_VALUE"""),"")</f>
        <v/>
      </c>
      <c r="M13659" s="16" t="str">
        <f>IFERROR(__xludf.DUMMYFUNCTION("""COMPUTED_VALUE"""),"")</f>
        <v/>
      </c>
      <c r="U13659" s="16" t="s">
        <v>87</v>
      </c>
      <c r="V13659" s="16" t="str">
        <f>IFERROR(__xludf.DUMMYFUNCTION("""COMPUTED_VALUE"""),"")</f>
        <v/>
      </c>
      <c r="W13659" s="16" t="str">
        <f>IFERROR(__xludf.DUMMYFUNCTION("""COMPUTED_VALUE"""),"")</f>
        <v/>
      </c>
      <c r="X13659" s="16" t="str">
        <f>IFERROR(__xludf.DUMMYFUNCTION("""COMPUTED_VALUE"""),"")</f>
        <v/>
      </c>
      <c r="AC13659" s="16" t="str">
        <f>IFERROR(__xludf.DUMMYFUNCTION("""COMPUTED_VALUE"""),"")</f>
        <v/>
      </c>
    </row>
    <row r="13660">
      <c r="A13660" s="16" t="s">
        <v>87</v>
      </c>
      <c r="E13660" s="16" t="str">
        <f>IFERROR(__xludf.DUMMYFUNCTION("""COMPUTED_VALUE"""),"")</f>
        <v/>
      </c>
      <c r="G13660" s="18"/>
      <c r="H13660" s="16" t="s">
        <v>87</v>
      </c>
      <c r="I13660" s="16" t="s">
        <v>87</v>
      </c>
      <c r="J13660" s="19"/>
      <c r="L13660" s="16" t="str">
        <f>IFERROR(__xludf.DUMMYFUNCTION("""COMPUTED_VALUE"""),"")</f>
        <v/>
      </c>
      <c r="M13660" s="16" t="str">
        <f>IFERROR(__xludf.DUMMYFUNCTION("""COMPUTED_VALUE"""),"")</f>
        <v/>
      </c>
      <c r="U13660" s="16" t="s">
        <v>87</v>
      </c>
      <c r="V13660" s="16" t="str">
        <f>IFERROR(__xludf.DUMMYFUNCTION("""COMPUTED_VALUE"""),"")</f>
        <v/>
      </c>
      <c r="W13660" s="16" t="str">
        <f>IFERROR(__xludf.DUMMYFUNCTION("""COMPUTED_VALUE"""),"")</f>
        <v/>
      </c>
      <c r="X13660" s="16" t="str">
        <f>IFERROR(__xludf.DUMMYFUNCTION("""COMPUTED_VALUE"""),"")</f>
        <v/>
      </c>
      <c r="AC13660" s="16" t="str">
        <f>IFERROR(__xludf.DUMMYFUNCTION("""COMPUTED_VALUE"""),"")</f>
        <v/>
      </c>
    </row>
    <row r="13661">
      <c r="A13661" s="16" t="s">
        <v>87</v>
      </c>
      <c r="E13661" s="16" t="str">
        <f>IFERROR(__xludf.DUMMYFUNCTION("""COMPUTED_VALUE"""),"")</f>
        <v/>
      </c>
      <c r="G13661" s="18"/>
      <c r="H13661" s="16" t="s">
        <v>87</v>
      </c>
      <c r="I13661" s="16" t="s">
        <v>87</v>
      </c>
      <c r="J13661" s="19"/>
      <c r="L13661" s="16" t="str">
        <f>IFERROR(__xludf.DUMMYFUNCTION("""COMPUTED_VALUE"""),"")</f>
        <v/>
      </c>
      <c r="M13661" s="16" t="str">
        <f>IFERROR(__xludf.DUMMYFUNCTION("""COMPUTED_VALUE"""),"")</f>
        <v/>
      </c>
      <c r="U13661" s="16" t="s">
        <v>87</v>
      </c>
      <c r="V13661" s="16" t="str">
        <f>IFERROR(__xludf.DUMMYFUNCTION("""COMPUTED_VALUE"""),"")</f>
        <v/>
      </c>
      <c r="W13661" s="16" t="str">
        <f>IFERROR(__xludf.DUMMYFUNCTION("""COMPUTED_VALUE"""),"")</f>
        <v/>
      </c>
      <c r="X13661" s="16" t="str">
        <f>IFERROR(__xludf.DUMMYFUNCTION("""COMPUTED_VALUE"""),"")</f>
        <v/>
      </c>
      <c r="AC13661" s="16" t="str">
        <f>IFERROR(__xludf.DUMMYFUNCTION("""COMPUTED_VALUE"""),"")</f>
        <v/>
      </c>
    </row>
    <row r="13662">
      <c r="A13662" s="16" t="s">
        <v>87</v>
      </c>
      <c r="E13662" s="16" t="str">
        <f>IFERROR(__xludf.DUMMYFUNCTION("""COMPUTED_VALUE"""),"")</f>
        <v/>
      </c>
      <c r="G13662" s="18"/>
      <c r="H13662" s="16" t="s">
        <v>87</v>
      </c>
      <c r="I13662" s="16" t="s">
        <v>87</v>
      </c>
      <c r="J13662" s="19"/>
      <c r="L13662" s="16" t="str">
        <f>IFERROR(__xludf.DUMMYFUNCTION("""COMPUTED_VALUE"""),"")</f>
        <v/>
      </c>
      <c r="M13662" s="16" t="str">
        <f>IFERROR(__xludf.DUMMYFUNCTION("""COMPUTED_VALUE"""),"")</f>
        <v/>
      </c>
      <c r="U13662" s="16" t="s">
        <v>87</v>
      </c>
      <c r="V13662" s="16" t="str">
        <f>IFERROR(__xludf.DUMMYFUNCTION("""COMPUTED_VALUE"""),"")</f>
        <v/>
      </c>
      <c r="W13662" s="16" t="str">
        <f>IFERROR(__xludf.DUMMYFUNCTION("""COMPUTED_VALUE"""),"")</f>
        <v/>
      </c>
      <c r="X13662" s="16" t="str">
        <f>IFERROR(__xludf.DUMMYFUNCTION("""COMPUTED_VALUE"""),"")</f>
        <v/>
      </c>
      <c r="AC13662" s="16" t="str">
        <f>IFERROR(__xludf.DUMMYFUNCTION("""COMPUTED_VALUE"""),"")</f>
        <v/>
      </c>
    </row>
    <row r="13663">
      <c r="A13663" s="16" t="s">
        <v>87</v>
      </c>
      <c r="E13663" s="16" t="str">
        <f>IFERROR(__xludf.DUMMYFUNCTION("""COMPUTED_VALUE"""),"")</f>
        <v/>
      </c>
      <c r="G13663" s="18"/>
      <c r="H13663" s="16" t="s">
        <v>87</v>
      </c>
      <c r="I13663" s="16" t="s">
        <v>87</v>
      </c>
      <c r="J13663" s="19"/>
      <c r="L13663" s="16" t="str">
        <f>IFERROR(__xludf.DUMMYFUNCTION("""COMPUTED_VALUE"""),"")</f>
        <v/>
      </c>
      <c r="M13663" s="16" t="str">
        <f>IFERROR(__xludf.DUMMYFUNCTION("""COMPUTED_VALUE"""),"")</f>
        <v/>
      </c>
      <c r="U13663" s="16" t="s">
        <v>87</v>
      </c>
      <c r="V13663" s="16" t="str">
        <f>IFERROR(__xludf.DUMMYFUNCTION("""COMPUTED_VALUE"""),"")</f>
        <v/>
      </c>
      <c r="W13663" s="16" t="str">
        <f>IFERROR(__xludf.DUMMYFUNCTION("""COMPUTED_VALUE"""),"")</f>
        <v/>
      </c>
      <c r="X13663" s="16" t="str">
        <f>IFERROR(__xludf.DUMMYFUNCTION("""COMPUTED_VALUE"""),"")</f>
        <v/>
      </c>
      <c r="AC13663" s="16" t="str">
        <f>IFERROR(__xludf.DUMMYFUNCTION("""COMPUTED_VALUE"""),"")</f>
        <v/>
      </c>
    </row>
    <row r="13664">
      <c r="A13664" s="16" t="s">
        <v>87</v>
      </c>
      <c r="E13664" s="16" t="str">
        <f>IFERROR(__xludf.DUMMYFUNCTION("""COMPUTED_VALUE"""),"")</f>
        <v/>
      </c>
      <c r="G13664" s="18"/>
      <c r="H13664" s="16" t="s">
        <v>87</v>
      </c>
      <c r="I13664" s="16" t="s">
        <v>87</v>
      </c>
      <c r="J13664" s="19"/>
      <c r="L13664" s="16" t="str">
        <f>IFERROR(__xludf.DUMMYFUNCTION("""COMPUTED_VALUE"""),"")</f>
        <v/>
      </c>
      <c r="M13664" s="16" t="str">
        <f>IFERROR(__xludf.DUMMYFUNCTION("""COMPUTED_VALUE"""),"")</f>
        <v/>
      </c>
      <c r="U13664" s="16" t="s">
        <v>87</v>
      </c>
      <c r="V13664" s="16" t="str">
        <f>IFERROR(__xludf.DUMMYFUNCTION("""COMPUTED_VALUE"""),"")</f>
        <v/>
      </c>
      <c r="W13664" s="16" t="str">
        <f>IFERROR(__xludf.DUMMYFUNCTION("""COMPUTED_VALUE"""),"")</f>
        <v/>
      </c>
      <c r="X13664" s="16" t="str">
        <f>IFERROR(__xludf.DUMMYFUNCTION("""COMPUTED_VALUE"""),"")</f>
        <v/>
      </c>
      <c r="AC13664" s="16" t="str">
        <f>IFERROR(__xludf.DUMMYFUNCTION("""COMPUTED_VALUE"""),"")</f>
        <v/>
      </c>
    </row>
    <row r="13665">
      <c r="A13665" s="16" t="s">
        <v>87</v>
      </c>
      <c r="E13665" s="16" t="str">
        <f>IFERROR(__xludf.DUMMYFUNCTION("""COMPUTED_VALUE"""),"")</f>
        <v/>
      </c>
      <c r="G13665" s="18"/>
      <c r="H13665" s="16" t="s">
        <v>87</v>
      </c>
      <c r="I13665" s="16" t="s">
        <v>87</v>
      </c>
      <c r="J13665" s="19"/>
      <c r="L13665" s="16" t="str">
        <f>IFERROR(__xludf.DUMMYFUNCTION("""COMPUTED_VALUE"""),"")</f>
        <v/>
      </c>
      <c r="M13665" s="16" t="str">
        <f>IFERROR(__xludf.DUMMYFUNCTION("""COMPUTED_VALUE"""),"")</f>
        <v/>
      </c>
      <c r="U13665" s="16" t="s">
        <v>87</v>
      </c>
      <c r="V13665" s="16" t="str">
        <f>IFERROR(__xludf.DUMMYFUNCTION("""COMPUTED_VALUE"""),"")</f>
        <v/>
      </c>
      <c r="W13665" s="16" t="str">
        <f>IFERROR(__xludf.DUMMYFUNCTION("""COMPUTED_VALUE"""),"")</f>
        <v/>
      </c>
      <c r="X13665" s="16" t="str">
        <f>IFERROR(__xludf.DUMMYFUNCTION("""COMPUTED_VALUE"""),"")</f>
        <v/>
      </c>
      <c r="AC13665" s="16" t="str">
        <f>IFERROR(__xludf.DUMMYFUNCTION("""COMPUTED_VALUE"""),"")</f>
        <v/>
      </c>
    </row>
    <row r="13666">
      <c r="A13666" s="16" t="s">
        <v>87</v>
      </c>
      <c r="E13666" s="16" t="str">
        <f>IFERROR(__xludf.DUMMYFUNCTION("""COMPUTED_VALUE"""),"")</f>
        <v/>
      </c>
      <c r="G13666" s="18"/>
      <c r="H13666" s="16" t="s">
        <v>87</v>
      </c>
      <c r="I13666" s="16" t="s">
        <v>87</v>
      </c>
      <c r="J13666" s="19"/>
      <c r="L13666" s="16" t="str">
        <f>IFERROR(__xludf.DUMMYFUNCTION("""COMPUTED_VALUE"""),"")</f>
        <v/>
      </c>
      <c r="M13666" s="16" t="str">
        <f>IFERROR(__xludf.DUMMYFUNCTION("""COMPUTED_VALUE"""),"")</f>
        <v/>
      </c>
      <c r="U13666" s="16" t="s">
        <v>87</v>
      </c>
      <c r="V13666" s="16" t="str">
        <f>IFERROR(__xludf.DUMMYFUNCTION("""COMPUTED_VALUE"""),"")</f>
        <v/>
      </c>
      <c r="W13666" s="16" t="str">
        <f>IFERROR(__xludf.DUMMYFUNCTION("""COMPUTED_VALUE"""),"")</f>
        <v/>
      </c>
      <c r="X13666" s="16" t="str">
        <f>IFERROR(__xludf.DUMMYFUNCTION("""COMPUTED_VALUE"""),"")</f>
        <v/>
      </c>
      <c r="AC13666" s="16" t="str">
        <f>IFERROR(__xludf.DUMMYFUNCTION("""COMPUTED_VALUE"""),"")</f>
        <v/>
      </c>
    </row>
    <row r="13667">
      <c r="A13667" s="16" t="s">
        <v>87</v>
      </c>
      <c r="E13667" s="16" t="str">
        <f>IFERROR(__xludf.DUMMYFUNCTION("""COMPUTED_VALUE"""),"")</f>
        <v/>
      </c>
      <c r="G13667" s="18"/>
      <c r="H13667" s="16" t="s">
        <v>87</v>
      </c>
      <c r="I13667" s="16" t="s">
        <v>87</v>
      </c>
      <c r="J13667" s="19"/>
      <c r="L13667" s="16" t="str">
        <f>IFERROR(__xludf.DUMMYFUNCTION("""COMPUTED_VALUE"""),"")</f>
        <v/>
      </c>
      <c r="M13667" s="16" t="str">
        <f>IFERROR(__xludf.DUMMYFUNCTION("""COMPUTED_VALUE"""),"")</f>
        <v/>
      </c>
      <c r="U13667" s="16" t="s">
        <v>87</v>
      </c>
      <c r="V13667" s="16" t="str">
        <f>IFERROR(__xludf.DUMMYFUNCTION("""COMPUTED_VALUE"""),"")</f>
        <v/>
      </c>
      <c r="W13667" s="16" t="str">
        <f>IFERROR(__xludf.DUMMYFUNCTION("""COMPUTED_VALUE"""),"")</f>
        <v/>
      </c>
      <c r="X13667" s="16" t="str">
        <f>IFERROR(__xludf.DUMMYFUNCTION("""COMPUTED_VALUE"""),"")</f>
        <v/>
      </c>
      <c r="AC13667" s="16" t="str">
        <f>IFERROR(__xludf.DUMMYFUNCTION("""COMPUTED_VALUE"""),"")</f>
        <v/>
      </c>
    </row>
    <row r="13668">
      <c r="A13668" s="16" t="s">
        <v>87</v>
      </c>
      <c r="E13668" s="16" t="str">
        <f>IFERROR(__xludf.DUMMYFUNCTION("""COMPUTED_VALUE"""),"")</f>
        <v/>
      </c>
      <c r="G13668" s="18"/>
      <c r="H13668" s="16" t="s">
        <v>87</v>
      </c>
      <c r="I13668" s="16" t="s">
        <v>87</v>
      </c>
      <c r="J13668" s="19"/>
      <c r="L13668" s="16" t="str">
        <f>IFERROR(__xludf.DUMMYFUNCTION("""COMPUTED_VALUE"""),"")</f>
        <v/>
      </c>
      <c r="M13668" s="16" t="str">
        <f>IFERROR(__xludf.DUMMYFUNCTION("""COMPUTED_VALUE"""),"")</f>
        <v/>
      </c>
      <c r="U13668" s="16" t="s">
        <v>87</v>
      </c>
      <c r="V13668" s="16" t="str">
        <f>IFERROR(__xludf.DUMMYFUNCTION("""COMPUTED_VALUE"""),"")</f>
        <v/>
      </c>
      <c r="W13668" s="16" t="str">
        <f>IFERROR(__xludf.DUMMYFUNCTION("""COMPUTED_VALUE"""),"")</f>
        <v/>
      </c>
      <c r="X13668" s="16" t="str">
        <f>IFERROR(__xludf.DUMMYFUNCTION("""COMPUTED_VALUE"""),"")</f>
        <v/>
      </c>
      <c r="AC13668" s="16" t="str">
        <f>IFERROR(__xludf.DUMMYFUNCTION("""COMPUTED_VALUE"""),"")</f>
        <v/>
      </c>
    </row>
    <row r="13669">
      <c r="A13669" s="16" t="s">
        <v>87</v>
      </c>
      <c r="E13669" s="16" t="str">
        <f>IFERROR(__xludf.DUMMYFUNCTION("""COMPUTED_VALUE"""),"")</f>
        <v/>
      </c>
      <c r="G13669" s="18"/>
      <c r="H13669" s="16" t="s">
        <v>87</v>
      </c>
      <c r="I13669" s="16" t="s">
        <v>87</v>
      </c>
      <c r="J13669" s="19"/>
      <c r="L13669" s="16" t="str">
        <f>IFERROR(__xludf.DUMMYFUNCTION("""COMPUTED_VALUE"""),"")</f>
        <v/>
      </c>
      <c r="M13669" s="16" t="str">
        <f>IFERROR(__xludf.DUMMYFUNCTION("""COMPUTED_VALUE"""),"")</f>
        <v/>
      </c>
      <c r="U13669" s="16" t="s">
        <v>87</v>
      </c>
      <c r="V13669" s="16" t="str">
        <f>IFERROR(__xludf.DUMMYFUNCTION("""COMPUTED_VALUE"""),"")</f>
        <v/>
      </c>
      <c r="W13669" s="16" t="str">
        <f>IFERROR(__xludf.DUMMYFUNCTION("""COMPUTED_VALUE"""),"")</f>
        <v/>
      </c>
      <c r="X13669" s="16" t="str">
        <f>IFERROR(__xludf.DUMMYFUNCTION("""COMPUTED_VALUE"""),"")</f>
        <v/>
      </c>
      <c r="AC13669" s="16" t="str">
        <f>IFERROR(__xludf.DUMMYFUNCTION("""COMPUTED_VALUE"""),"")</f>
        <v/>
      </c>
    </row>
    <row r="13670">
      <c r="A13670" s="16" t="s">
        <v>87</v>
      </c>
      <c r="E13670" s="16" t="str">
        <f>IFERROR(__xludf.DUMMYFUNCTION("""COMPUTED_VALUE"""),"")</f>
        <v/>
      </c>
      <c r="G13670" s="18"/>
      <c r="H13670" s="16" t="s">
        <v>87</v>
      </c>
      <c r="I13670" s="16" t="s">
        <v>87</v>
      </c>
      <c r="J13670" s="19"/>
      <c r="L13670" s="16" t="str">
        <f>IFERROR(__xludf.DUMMYFUNCTION("""COMPUTED_VALUE"""),"")</f>
        <v/>
      </c>
      <c r="M13670" s="16" t="str">
        <f>IFERROR(__xludf.DUMMYFUNCTION("""COMPUTED_VALUE"""),"")</f>
        <v/>
      </c>
      <c r="U13670" s="16" t="s">
        <v>87</v>
      </c>
      <c r="V13670" s="16" t="str">
        <f>IFERROR(__xludf.DUMMYFUNCTION("""COMPUTED_VALUE"""),"")</f>
        <v/>
      </c>
      <c r="W13670" s="16" t="str">
        <f>IFERROR(__xludf.DUMMYFUNCTION("""COMPUTED_VALUE"""),"")</f>
        <v/>
      </c>
      <c r="X13670" s="16" t="str">
        <f>IFERROR(__xludf.DUMMYFUNCTION("""COMPUTED_VALUE"""),"")</f>
        <v/>
      </c>
      <c r="AC13670" s="16" t="str">
        <f>IFERROR(__xludf.DUMMYFUNCTION("""COMPUTED_VALUE"""),"")</f>
        <v/>
      </c>
    </row>
    <row r="13671">
      <c r="A13671" s="16" t="s">
        <v>87</v>
      </c>
      <c r="E13671" s="16" t="str">
        <f>IFERROR(__xludf.DUMMYFUNCTION("""COMPUTED_VALUE"""),"")</f>
        <v/>
      </c>
      <c r="G13671" s="18"/>
      <c r="H13671" s="16" t="s">
        <v>87</v>
      </c>
      <c r="I13671" s="16" t="s">
        <v>87</v>
      </c>
      <c r="J13671" s="19"/>
      <c r="L13671" s="16" t="str">
        <f>IFERROR(__xludf.DUMMYFUNCTION("""COMPUTED_VALUE"""),"")</f>
        <v/>
      </c>
      <c r="M13671" s="16" t="str">
        <f>IFERROR(__xludf.DUMMYFUNCTION("""COMPUTED_VALUE"""),"")</f>
        <v/>
      </c>
      <c r="U13671" s="16" t="s">
        <v>87</v>
      </c>
      <c r="V13671" s="16" t="str">
        <f>IFERROR(__xludf.DUMMYFUNCTION("""COMPUTED_VALUE"""),"")</f>
        <v/>
      </c>
      <c r="W13671" s="16" t="str">
        <f>IFERROR(__xludf.DUMMYFUNCTION("""COMPUTED_VALUE"""),"")</f>
        <v/>
      </c>
      <c r="X13671" s="16" t="str">
        <f>IFERROR(__xludf.DUMMYFUNCTION("""COMPUTED_VALUE"""),"")</f>
        <v/>
      </c>
      <c r="AC13671" s="16" t="str">
        <f>IFERROR(__xludf.DUMMYFUNCTION("""COMPUTED_VALUE"""),"")</f>
        <v/>
      </c>
    </row>
    <row r="13672">
      <c r="A13672" s="16" t="s">
        <v>87</v>
      </c>
      <c r="E13672" s="16" t="str">
        <f>IFERROR(__xludf.DUMMYFUNCTION("""COMPUTED_VALUE"""),"")</f>
        <v/>
      </c>
      <c r="G13672" s="18"/>
      <c r="H13672" s="16" t="s">
        <v>87</v>
      </c>
      <c r="I13672" s="16" t="s">
        <v>87</v>
      </c>
      <c r="J13672" s="19"/>
      <c r="L13672" s="16" t="str">
        <f>IFERROR(__xludf.DUMMYFUNCTION("""COMPUTED_VALUE"""),"")</f>
        <v/>
      </c>
      <c r="M13672" s="16" t="str">
        <f>IFERROR(__xludf.DUMMYFUNCTION("""COMPUTED_VALUE"""),"")</f>
        <v/>
      </c>
      <c r="U13672" s="16" t="s">
        <v>87</v>
      </c>
      <c r="V13672" s="16" t="str">
        <f>IFERROR(__xludf.DUMMYFUNCTION("""COMPUTED_VALUE"""),"")</f>
        <v/>
      </c>
      <c r="W13672" s="16" t="str">
        <f>IFERROR(__xludf.DUMMYFUNCTION("""COMPUTED_VALUE"""),"")</f>
        <v/>
      </c>
      <c r="X13672" s="16" t="str">
        <f>IFERROR(__xludf.DUMMYFUNCTION("""COMPUTED_VALUE"""),"")</f>
        <v/>
      </c>
      <c r="AC13672" s="16" t="str">
        <f>IFERROR(__xludf.DUMMYFUNCTION("""COMPUTED_VALUE"""),"")</f>
        <v/>
      </c>
    </row>
    <row r="13673">
      <c r="A13673" s="16" t="s">
        <v>87</v>
      </c>
      <c r="E13673" s="16" t="str">
        <f>IFERROR(__xludf.DUMMYFUNCTION("""COMPUTED_VALUE"""),"")</f>
        <v/>
      </c>
      <c r="G13673" s="18"/>
      <c r="H13673" s="16" t="s">
        <v>87</v>
      </c>
      <c r="I13673" s="16" t="s">
        <v>87</v>
      </c>
      <c r="J13673" s="19"/>
      <c r="L13673" s="16" t="str">
        <f>IFERROR(__xludf.DUMMYFUNCTION("""COMPUTED_VALUE"""),"")</f>
        <v/>
      </c>
      <c r="M13673" s="16" t="str">
        <f>IFERROR(__xludf.DUMMYFUNCTION("""COMPUTED_VALUE"""),"")</f>
        <v/>
      </c>
      <c r="U13673" s="16" t="s">
        <v>87</v>
      </c>
      <c r="V13673" s="16" t="str">
        <f>IFERROR(__xludf.DUMMYFUNCTION("""COMPUTED_VALUE"""),"")</f>
        <v/>
      </c>
      <c r="W13673" s="16" t="str">
        <f>IFERROR(__xludf.DUMMYFUNCTION("""COMPUTED_VALUE"""),"")</f>
        <v/>
      </c>
      <c r="X13673" s="16" t="str">
        <f>IFERROR(__xludf.DUMMYFUNCTION("""COMPUTED_VALUE"""),"")</f>
        <v/>
      </c>
      <c r="AC13673" s="16" t="str">
        <f>IFERROR(__xludf.DUMMYFUNCTION("""COMPUTED_VALUE"""),"")</f>
        <v/>
      </c>
    </row>
    <row r="13674">
      <c r="A13674" s="16" t="s">
        <v>87</v>
      </c>
      <c r="E13674" s="16" t="str">
        <f>IFERROR(__xludf.DUMMYFUNCTION("""COMPUTED_VALUE"""),"")</f>
        <v/>
      </c>
      <c r="G13674" s="18"/>
      <c r="H13674" s="16" t="s">
        <v>87</v>
      </c>
      <c r="I13674" s="16" t="s">
        <v>87</v>
      </c>
      <c r="J13674" s="19"/>
      <c r="L13674" s="16" t="str">
        <f>IFERROR(__xludf.DUMMYFUNCTION("""COMPUTED_VALUE"""),"")</f>
        <v/>
      </c>
      <c r="M13674" s="16" t="str">
        <f>IFERROR(__xludf.DUMMYFUNCTION("""COMPUTED_VALUE"""),"")</f>
        <v/>
      </c>
      <c r="U13674" s="16" t="s">
        <v>87</v>
      </c>
      <c r="V13674" s="16" t="str">
        <f>IFERROR(__xludf.DUMMYFUNCTION("""COMPUTED_VALUE"""),"")</f>
        <v/>
      </c>
      <c r="W13674" s="16" t="str">
        <f>IFERROR(__xludf.DUMMYFUNCTION("""COMPUTED_VALUE"""),"")</f>
        <v/>
      </c>
      <c r="X13674" s="16" t="str">
        <f>IFERROR(__xludf.DUMMYFUNCTION("""COMPUTED_VALUE"""),"")</f>
        <v/>
      </c>
      <c r="AC13674" s="16" t="str">
        <f>IFERROR(__xludf.DUMMYFUNCTION("""COMPUTED_VALUE"""),"")</f>
        <v/>
      </c>
    </row>
    <row r="13675">
      <c r="A13675" s="16" t="s">
        <v>87</v>
      </c>
      <c r="E13675" s="16" t="str">
        <f>IFERROR(__xludf.DUMMYFUNCTION("""COMPUTED_VALUE"""),"")</f>
        <v/>
      </c>
      <c r="G13675" s="18"/>
      <c r="H13675" s="16" t="s">
        <v>87</v>
      </c>
      <c r="I13675" s="16" t="s">
        <v>87</v>
      </c>
      <c r="J13675" s="19"/>
      <c r="L13675" s="16" t="str">
        <f>IFERROR(__xludf.DUMMYFUNCTION("""COMPUTED_VALUE"""),"")</f>
        <v/>
      </c>
      <c r="M13675" s="16" t="str">
        <f>IFERROR(__xludf.DUMMYFUNCTION("""COMPUTED_VALUE"""),"")</f>
        <v/>
      </c>
      <c r="U13675" s="16" t="s">
        <v>87</v>
      </c>
      <c r="V13675" s="16" t="str">
        <f>IFERROR(__xludf.DUMMYFUNCTION("""COMPUTED_VALUE"""),"")</f>
        <v/>
      </c>
      <c r="W13675" s="16" t="str">
        <f>IFERROR(__xludf.DUMMYFUNCTION("""COMPUTED_VALUE"""),"")</f>
        <v/>
      </c>
      <c r="X13675" s="16" t="str">
        <f>IFERROR(__xludf.DUMMYFUNCTION("""COMPUTED_VALUE"""),"")</f>
        <v/>
      </c>
      <c r="AC13675" s="16" t="str">
        <f>IFERROR(__xludf.DUMMYFUNCTION("""COMPUTED_VALUE"""),"")</f>
        <v/>
      </c>
    </row>
    <row r="13676">
      <c r="A13676" s="16" t="s">
        <v>87</v>
      </c>
      <c r="E13676" s="16" t="str">
        <f>IFERROR(__xludf.DUMMYFUNCTION("""COMPUTED_VALUE"""),"")</f>
        <v/>
      </c>
      <c r="G13676" s="18"/>
      <c r="H13676" s="16" t="s">
        <v>87</v>
      </c>
      <c r="I13676" s="16" t="s">
        <v>87</v>
      </c>
      <c r="J13676" s="19"/>
      <c r="L13676" s="16" t="str">
        <f>IFERROR(__xludf.DUMMYFUNCTION("""COMPUTED_VALUE"""),"")</f>
        <v/>
      </c>
      <c r="M13676" s="16" t="str">
        <f>IFERROR(__xludf.DUMMYFUNCTION("""COMPUTED_VALUE"""),"")</f>
        <v/>
      </c>
      <c r="U13676" s="16" t="s">
        <v>87</v>
      </c>
      <c r="V13676" s="16" t="str">
        <f>IFERROR(__xludf.DUMMYFUNCTION("""COMPUTED_VALUE"""),"")</f>
        <v/>
      </c>
      <c r="W13676" s="16" t="str">
        <f>IFERROR(__xludf.DUMMYFUNCTION("""COMPUTED_VALUE"""),"")</f>
        <v/>
      </c>
      <c r="X13676" s="16" t="str">
        <f>IFERROR(__xludf.DUMMYFUNCTION("""COMPUTED_VALUE"""),"")</f>
        <v/>
      </c>
      <c r="AC13676" s="16" t="str">
        <f>IFERROR(__xludf.DUMMYFUNCTION("""COMPUTED_VALUE"""),"")</f>
        <v/>
      </c>
    </row>
    <row r="13677">
      <c r="A13677" s="16" t="s">
        <v>87</v>
      </c>
      <c r="E13677" s="16" t="str">
        <f>IFERROR(__xludf.DUMMYFUNCTION("""COMPUTED_VALUE"""),"")</f>
        <v/>
      </c>
      <c r="G13677" s="18"/>
      <c r="H13677" s="16" t="s">
        <v>87</v>
      </c>
      <c r="I13677" s="16" t="s">
        <v>87</v>
      </c>
      <c r="J13677" s="19"/>
      <c r="L13677" s="16" t="str">
        <f>IFERROR(__xludf.DUMMYFUNCTION("""COMPUTED_VALUE"""),"")</f>
        <v/>
      </c>
      <c r="M13677" s="16" t="str">
        <f>IFERROR(__xludf.DUMMYFUNCTION("""COMPUTED_VALUE"""),"")</f>
        <v/>
      </c>
      <c r="U13677" s="16" t="s">
        <v>87</v>
      </c>
      <c r="V13677" s="16" t="str">
        <f>IFERROR(__xludf.DUMMYFUNCTION("""COMPUTED_VALUE"""),"")</f>
        <v/>
      </c>
      <c r="W13677" s="16" t="str">
        <f>IFERROR(__xludf.DUMMYFUNCTION("""COMPUTED_VALUE"""),"")</f>
        <v/>
      </c>
      <c r="X13677" s="16" t="str">
        <f>IFERROR(__xludf.DUMMYFUNCTION("""COMPUTED_VALUE"""),"")</f>
        <v/>
      </c>
      <c r="AC13677" s="16" t="str">
        <f>IFERROR(__xludf.DUMMYFUNCTION("""COMPUTED_VALUE"""),"")</f>
        <v/>
      </c>
    </row>
    <row r="13678">
      <c r="A13678" s="16" t="s">
        <v>87</v>
      </c>
      <c r="E13678" s="16" t="str">
        <f>IFERROR(__xludf.DUMMYFUNCTION("""COMPUTED_VALUE"""),"")</f>
        <v/>
      </c>
      <c r="G13678" s="18"/>
      <c r="H13678" s="16" t="s">
        <v>87</v>
      </c>
      <c r="I13678" s="16" t="s">
        <v>87</v>
      </c>
      <c r="J13678" s="19"/>
      <c r="L13678" s="16" t="str">
        <f>IFERROR(__xludf.DUMMYFUNCTION("""COMPUTED_VALUE"""),"")</f>
        <v/>
      </c>
      <c r="M13678" s="16" t="str">
        <f>IFERROR(__xludf.DUMMYFUNCTION("""COMPUTED_VALUE"""),"")</f>
        <v/>
      </c>
      <c r="U13678" s="16" t="s">
        <v>87</v>
      </c>
      <c r="V13678" s="16" t="str">
        <f>IFERROR(__xludf.DUMMYFUNCTION("""COMPUTED_VALUE"""),"")</f>
        <v/>
      </c>
      <c r="W13678" s="16" t="str">
        <f>IFERROR(__xludf.DUMMYFUNCTION("""COMPUTED_VALUE"""),"")</f>
        <v/>
      </c>
      <c r="X13678" s="16" t="str">
        <f>IFERROR(__xludf.DUMMYFUNCTION("""COMPUTED_VALUE"""),"")</f>
        <v/>
      </c>
      <c r="AC13678" s="16" t="str">
        <f>IFERROR(__xludf.DUMMYFUNCTION("""COMPUTED_VALUE"""),"")</f>
        <v/>
      </c>
    </row>
    <row r="13679">
      <c r="A13679" s="16" t="s">
        <v>87</v>
      </c>
      <c r="E13679" s="16" t="str">
        <f>IFERROR(__xludf.DUMMYFUNCTION("""COMPUTED_VALUE"""),"")</f>
        <v/>
      </c>
      <c r="G13679" s="18"/>
      <c r="H13679" s="16" t="s">
        <v>87</v>
      </c>
      <c r="I13679" s="16" t="s">
        <v>87</v>
      </c>
      <c r="J13679" s="19"/>
      <c r="L13679" s="16" t="str">
        <f>IFERROR(__xludf.DUMMYFUNCTION("""COMPUTED_VALUE"""),"")</f>
        <v/>
      </c>
      <c r="M13679" s="16" t="str">
        <f>IFERROR(__xludf.DUMMYFUNCTION("""COMPUTED_VALUE"""),"")</f>
        <v/>
      </c>
      <c r="U13679" s="16" t="s">
        <v>87</v>
      </c>
      <c r="V13679" s="16" t="str">
        <f>IFERROR(__xludf.DUMMYFUNCTION("""COMPUTED_VALUE"""),"")</f>
        <v/>
      </c>
      <c r="W13679" s="16" t="str">
        <f>IFERROR(__xludf.DUMMYFUNCTION("""COMPUTED_VALUE"""),"")</f>
        <v/>
      </c>
      <c r="X13679" s="16" t="str">
        <f>IFERROR(__xludf.DUMMYFUNCTION("""COMPUTED_VALUE"""),"")</f>
        <v/>
      </c>
      <c r="AC13679" s="16" t="str">
        <f>IFERROR(__xludf.DUMMYFUNCTION("""COMPUTED_VALUE"""),"")</f>
        <v/>
      </c>
    </row>
    <row r="13680">
      <c r="A13680" s="16" t="s">
        <v>87</v>
      </c>
      <c r="E13680" s="16" t="str">
        <f>IFERROR(__xludf.DUMMYFUNCTION("""COMPUTED_VALUE"""),"")</f>
        <v/>
      </c>
      <c r="G13680" s="18"/>
      <c r="H13680" s="16" t="s">
        <v>87</v>
      </c>
      <c r="I13680" s="16" t="s">
        <v>87</v>
      </c>
      <c r="J13680" s="19"/>
      <c r="L13680" s="16" t="str">
        <f>IFERROR(__xludf.DUMMYFUNCTION("""COMPUTED_VALUE"""),"")</f>
        <v/>
      </c>
      <c r="M13680" s="16" t="str">
        <f>IFERROR(__xludf.DUMMYFUNCTION("""COMPUTED_VALUE"""),"")</f>
        <v/>
      </c>
      <c r="U13680" s="16" t="s">
        <v>87</v>
      </c>
      <c r="V13680" s="16" t="str">
        <f>IFERROR(__xludf.DUMMYFUNCTION("""COMPUTED_VALUE"""),"")</f>
        <v/>
      </c>
      <c r="W13680" s="16" t="str">
        <f>IFERROR(__xludf.DUMMYFUNCTION("""COMPUTED_VALUE"""),"")</f>
        <v/>
      </c>
      <c r="X13680" s="16" t="str">
        <f>IFERROR(__xludf.DUMMYFUNCTION("""COMPUTED_VALUE"""),"")</f>
        <v/>
      </c>
      <c r="AC13680" s="16" t="str">
        <f>IFERROR(__xludf.DUMMYFUNCTION("""COMPUTED_VALUE"""),"")</f>
        <v/>
      </c>
    </row>
    <row r="13681">
      <c r="A13681" s="16" t="s">
        <v>87</v>
      </c>
      <c r="E13681" s="16" t="str">
        <f>IFERROR(__xludf.DUMMYFUNCTION("""COMPUTED_VALUE"""),"")</f>
        <v/>
      </c>
      <c r="G13681" s="18"/>
      <c r="H13681" s="16" t="s">
        <v>87</v>
      </c>
      <c r="I13681" s="16" t="s">
        <v>87</v>
      </c>
      <c r="J13681" s="19"/>
      <c r="L13681" s="16" t="str">
        <f>IFERROR(__xludf.DUMMYFUNCTION("""COMPUTED_VALUE"""),"")</f>
        <v/>
      </c>
      <c r="M13681" s="16" t="str">
        <f>IFERROR(__xludf.DUMMYFUNCTION("""COMPUTED_VALUE"""),"")</f>
        <v/>
      </c>
      <c r="U13681" s="16" t="s">
        <v>87</v>
      </c>
      <c r="V13681" s="16" t="str">
        <f>IFERROR(__xludf.DUMMYFUNCTION("""COMPUTED_VALUE"""),"")</f>
        <v/>
      </c>
      <c r="W13681" s="16" t="str">
        <f>IFERROR(__xludf.DUMMYFUNCTION("""COMPUTED_VALUE"""),"")</f>
        <v/>
      </c>
      <c r="X13681" s="16" t="str">
        <f>IFERROR(__xludf.DUMMYFUNCTION("""COMPUTED_VALUE"""),"")</f>
        <v/>
      </c>
      <c r="AC13681" s="16" t="str">
        <f>IFERROR(__xludf.DUMMYFUNCTION("""COMPUTED_VALUE"""),"")</f>
        <v/>
      </c>
    </row>
    <row r="13682">
      <c r="A13682" s="16" t="s">
        <v>87</v>
      </c>
      <c r="E13682" s="16" t="str">
        <f>IFERROR(__xludf.DUMMYFUNCTION("""COMPUTED_VALUE"""),"")</f>
        <v/>
      </c>
      <c r="G13682" s="18"/>
      <c r="H13682" s="16" t="s">
        <v>87</v>
      </c>
      <c r="I13682" s="16" t="s">
        <v>87</v>
      </c>
      <c r="J13682" s="19"/>
      <c r="L13682" s="16" t="str">
        <f>IFERROR(__xludf.DUMMYFUNCTION("""COMPUTED_VALUE"""),"")</f>
        <v/>
      </c>
      <c r="M13682" s="16" t="str">
        <f>IFERROR(__xludf.DUMMYFUNCTION("""COMPUTED_VALUE"""),"")</f>
        <v/>
      </c>
      <c r="U13682" s="16" t="s">
        <v>87</v>
      </c>
      <c r="V13682" s="16" t="str">
        <f>IFERROR(__xludf.DUMMYFUNCTION("""COMPUTED_VALUE"""),"")</f>
        <v/>
      </c>
      <c r="W13682" s="16" t="str">
        <f>IFERROR(__xludf.DUMMYFUNCTION("""COMPUTED_VALUE"""),"")</f>
        <v/>
      </c>
      <c r="X13682" s="16" t="str">
        <f>IFERROR(__xludf.DUMMYFUNCTION("""COMPUTED_VALUE"""),"")</f>
        <v/>
      </c>
      <c r="AC13682" s="16" t="str">
        <f>IFERROR(__xludf.DUMMYFUNCTION("""COMPUTED_VALUE"""),"")</f>
        <v/>
      </c>
    </row>
    <row r="13683">
      <c r="A13683" s="16" t="s">
        <v>87</v>
      </c>
      <c r="E13683" s="16" t="str">
        <f>IFERROR(__xludf.DUMMYFUNCTION("""COMPUTED_VALUE"""),"")</f>
        <v/>
      </c>
      <c r="G13683" s="18"/>
      <c r="H13683" s="16" t="s">
        <v>87</v>
      </c>
      <c r="I13683" s="16" t="s">
        <v>87</v>
      </c>
      <c r="J13683" s="19"/>
      <c r="L13683" s="16" t="str">
        <f>IFERROR(__xludf.DUMMYFUNCTION("""COMPUTED_VALUE"""),"")</f>
        <v/>
      </c>
      <c r="M13683" s="16" t="str">
        <f>IFERROR(__xludf.DUMMYFUNCTION("""COMPUTED_VALUE"""),"")</f>
        <v/>
      </c>
      <c r="U13683" s="16" t="s">
        <v>87</v>
      </c>
      <c r="V13683" s="16" t="str">
        <f>IFERROR(__xludf.DUMMYFUNCTION("""COMPUTED_VALUE"""),"")</f>
        <v/>
      </c>
      <c r="W13683" s="16" t="str">
        <f>IFERROR(__xludf.DUMMYFUNCTION("""COMPUTED_VALUE"""),"")</f>
        <v/>
      </c>
      <c r="X13683" s="16" t="str">
        <f>IFERROR(__xludf.DUMMYFUNCTION("""COMPUTED_VALUE"""),"")</f>
        <v/>
      </c>
      <c r="AC13683" s="16" t="str">
        <f>IFERROR(__xludf.DUMMYFUNCTION("""COMPUTED_VALUE"""),"")</f>
        <v/>
      </c>
    </row>
    <row r="13684">
      <c r="A13684" s="16" t="s">
        <v>87</v>
      </c>
      <c r="E13684" s="16" t="str">
        <f>IFERROR(__xludf.DUMMYFUNCTION("""COMPUTED_VALUE"""),"")</f>
        <v/>
      </c>
      <c r="G13684" s="18"/>
      <c r="H13684" s="16" t="s">
        <v>87</v>
      </c>
      <c r="I13684" s="16" t="s">
        <v>87</v>
      </c>
      <c r="J13684" s="19"/>
      <c r="L13684" s="16" t="str">
        <f>IFERROR(__xludf.DUMMYFUNCTION("""COMPUTED_VALUE"""),"")</f>
        <v/>
      </c>
      <c r="M13684" s="16" t="str">
        <f>IFERROR(__xludf.DUMMYFUNCTION("""COMPUTED_VALUE"""),"")</f>
        <v/>
      </c>
      <c r="U13684" s="16" t="s">
        <v>87</v>
      </c>
      <c r="V13684" s="16" t="str">
        <f>IFERROR(__xludf.DUMMYFUNCTION("""COMPUTED_VALUE"""),"")</f>
        <v/>
      </c>
      <c r="W13684" s="16" t="str">
        <f>IFERROR(__xludf.DUMMYFUNCTION("""COMPUTED_VALUE"""),"")</f>
        <v/>
      </c>
      <c r="X13684" s="16" t="str">
        <f>IFERROR(__xludf.DUMMYFUNCTION("""COMPUTED_VALUE"""),"")</f>
        <v/>
      </c>
      <c r="AC13684" s="16" t="str">
        <f>IFERROR(__xludf.DUMMYFUNCTION("""COMPUTED_VALUE"""),"")</f>
        <v/>
      </c>
    </row>
    <row r="13685">
      <c r="A13685" s="16" t="s">
        <v>87</v>
      </c>
      <c r="E13685" s="16" t="str">
        <f>IFERROR(__xludf.DUMMYFUNCTION("""COMPUTED_VALUE"""),"")</f>
        <v/>
      </c>
      <c r="G13685" s="18"/>
      <c r="H13685" s="16" t="s">
        <v>87</v>
      </c>
      <c r="I13685" s="16" t="s">
        <v>87</v>
      </c>
      <c r="J13685" s="19"/>
      <c r="L13685" s="16" t="str">
        <f>IFERROR(__xludf.DUMMYFUNCTION("""COMPUTED_VALUE"""),"")</f>
        <v/>
      </c>
      <c r="M13685" s="16" t="str">
        <f>IFERROR(__xludf.DUMMYFUNCTION("""COMPUTED_VALUE"""),"")</f>
        <v/>
      </c>
      <c r="U13685" s="16" t="s">
        <v>87</v>
      </c>
      <c r="V13685" s="16" t="str">
        <f>IFERROR(__xludf.DUMMYFUNCTION("""COMPUTED_VALUE"""),"")</f>
        <v/>
      </c>
      <c r="W13685" s="16" t="str">
        <f>IFERROR(__xludf.DUMMYFUNCTION("""COMPUTED_VALUE"""),"")</f>
        <v/>
      </c>
      <c r="X13685" s="16" t="str">
        <f>IFERROR(__xludf.DUMMYFUNCTION("""COMPUTED_VALUE"""),"")</f>
        <v/>
      </c>
      <c r="AC13685" s="16" t="str">
        <f>IFERROR(__xludf.DUMMYFUNCTION("""COMPUTED_VALUE"""),"")</f>
        <v/>
      </c>
    </row>
    <row r="13686">
      <c r="A13686" s="16" t="s">
        <v>87</v>
      </c>
      <c r="E13686" s="16" t="str">
        <f>IFERROR(__xludf.DUMMYFUNCTION("""COMPUTED_VALUE"""),"")</f>
        <v/>
      </c>
      <c r="G13686" s="18"/>
      <c r="H13686" s="16" t="s">
        <v>87</v>
      </c>
      <c r="I13686" s="16" t="s">
        <v>87</v>
      </c>
      <c r="J13686" s="19"/>
      <c r="L13686" s="16" t="str">
        <f>IFERROR(__xludf.DUMMYFUNCTION("""COMPUTED_VALUE"""),"")</f>
        <v/>
      </c>
      <c r="M13686" s="16" t="str">
        <f>IFERROR(__xludf.DUMMYFUNCTION("""COMPUTED_VALUE"""),"")</f>
        <v/>
      </c>
      <c r="U13686" s="16" t="s">
        <v>87</v>
      </c>
      <c r="V13686" s="16" t="str">
        <f>IFERROR(__xludf.DUMMYFUNCTION("""COMPUTED_VALUE"""),"")</f>
        <v/>
      </c>
      <c r="W13686" s="16" t="str">
        <f>IFERROR(__xludf.DUMMYFUNCTION("""COMPUTED_VALUE"""),"")</f>
        <v/>
      </c>
      <c r="X13686" s="16" t="str">
        <f>IFERROR(__xludf.DUMMYFUNCTION("""COMPUTED_VALUE"""),"")</f>
        <v/>
      </c>
      <c r="AC13686" s="16" t="str">
        <f>IFERROR(__xludf.DUMMYFUNCTION("""COMPUTED_VALUE"""),"")</f>
        <v/>
      </c>
    </row>
    <row r="13687">
      <c r="A13687" s="16" t="s">
        <v>87</v>
      </c>
      <c r="E13687" s="16" t="str">
        <f>IFERROR(__xludf.DUMMYFUNCTION("""COMPUTED_VALUE"""),"")</f>
        <v/>
      </c>
      <c r="G13687" s="18"/>
      <c r="H13687" s="16" t="s">
        <v>87</v>
      </c>
      <c r="I13687" s="16" t="s">
        <v>87</v>
      </c>
      <c r="J13687" s="19"/>
      <c r="L13687" s="16" t="str">
        <f>IFERROR(__xludf.DUMMYFUNCTION("""COMPUTED_VALUE"""),"")</f>
        <v/>
      </c>
      <c r="M13687" s="16" t="str">
        <f>IFERROR(__xludf.DUMMYFUNCTION("""COMPUTED_VALUE"""),"")</f>
        <v/>
      </c>
      <c r="U13687" s="16" t="s">
        <v>87</v>
      </c>
      <c r="V13687" s="16" t="str">
        <f>IFERROR(__xludf.DUMMYFUNCTION("""COMPUTED_VALUE"""),"")</f>
        <v/>
      </c>
      <c r="W13687" s="16" t="str">
        <f>IFERROR(__xludf.DUMMYFUNCTION("""COMPUTED_VALUE"""),"")</f>
        <v/>
      </c>
      <c r="X13687" s="16" t="str">
        <f>IFERROR(__xludf.DUMMYFUNCTION("""COMPUTED_VALUE"""),"")</f>
        <v/>
      </c>
      <c r="AC13687" s="16" t="str">
        <f>IFERROR(__xludf.DUMMYFUNCTION("""COMPUTED_VALUE"""),"")</f>
        <v/>
      </c>
    </row>
    <row r="13688">
      <c r="A13688" s="16" t="s">
        <v>87</v>
      </c>
      <c r="E13688" s="16" t="str">
        <f>IFERROR(__xludf.DUMMYFUNCTION("""COMPUTED_VALUE"""),"")</f>
        <v/>
      </c>
      <c r="G13688" s="18"/>
      <c r="H13688" s="16" t="s">
        <v>87</v>
      </c>
      <c r="I13688" s="16" t="s">
        <v>87</v>
      </c>
      <c r="J13688" s="19"/>
      <c r="L13688" s="16" t="str">
        <f>IFERROR(__xludf.DUMMYFUNCTION("""COMPUTED_VALUE"""),"")</f>
        <v/>
      </c>
      <c r="M13688" s="16" t="str">
        <f>IFERROR(__xludf.DUMMYFUNCTION("""COMPUTED_VALUE"""),"")</f>
        <v/>
      </c>
      <c r="U13688" s="16" t="s">
        <v>87</v>
      </c>
      <c r="V13688" s="16" t="str">
        <f>IFERROR(__xludf.DUMMYFUNCTION("""COMPUTED_VALUE"""),"")</f>
        <v/>
      </c>
      <c r="W13688" s="16" t="str">
        <f>IFERROR(__xludf.DUMMYFUNCTION("""COMPUTED_VALUE"""),"")</f>
        <v/>
      </c>
      <c r="X13688" s="16" t="str">
        <f>IFERROR(__xludf.DUMMYFUNCTION("""COMPUTED_VALUE"""),"")</f>
        <v/>
      </c>
      <c r="AC13688" s="16" t="str">
        <f>IFERROR(__xludf.DUMMYFUNCTION("""COMPUTED_VALUE"""),"")</f>
        <v/>
      </c>
    </row>
    <row r="13689">
      <c r="A13689" s="16" t="s">
        <v>87</v>
      </c>
      <c r="E13689" s="16" t="str">
        <f>IFERROR(__xludf.DUMMYFUNCTION("""COMPUTED_VALUE"""),"")</f>
        <v/>
      </c>
      <c r="G13689" s="18"/>
      <c r="H13689" s="16" t="s">
        <v>87</v>
      </c>
      <c r="I13689" s="16" t="s">
        <v>87</v>
      </c>
      <c r="J13689" s="19"/>
      <c r="L13689" s="16" t="str">
        <f>IFERROR(__xludf.DUMMYFUNCTION("""COMPUTED_VALUE"""),"")</f>
        <v/>
      </c>
      <c r="M13689" s="16" t="str">
        <f>IFERROR(__xludf.DUMMYFUNCTION("""COMPUTED_VALUE"""),"")</f>
        <v/>
      </c>
      <c r="U13689" s="16" t="s">
        <v>87</v>
      </c>
      <c r="V13689" s="16" t="str">
        <f>IFERROR(__xludf.DUMMYFUNCTION("""COMPUTED_VALUE"""),"")</f>
        <v/>
      </c>
      <c r="W13689" s="16" t="str">
        <f>IFERROR(__xludf.DUMMYFUNCTION("""COMPUTED_VALUE"""),"")</f>
        <v/>
      </c>
      <c r="X13689" s="16" t="str">
        <f>IFERROR(__xludf.DUMMYFUNCTION("""COMPUTED_VALUE"""),"")</f>
        <v/>
      </c>
      <c r="AC13689" s="16" t="str">
        <f>IFERROR(__xludf.DUMMYFUNCTION("""COMPUTED_VALUE"""),"")</f>
        <v/>
      </c>
    </row>
    <row r="13690">
      <c r="A13690" s="16" t="s">
        <v>87</v>
      </c>
      <c r="E13690" s="16" t="str">
        <f>IFERROR(__xludf.DUMMYFUNCTION("""COMPUTED_VALUE"""),"")</f>
        <v/>
      </c>
      <c r="G13690" s="18"/>
      <c r="H13690" s="16" t="s">
        <v>87</v>
      </c>
      <c r="I13690" s="16" t="s">
        <v>87</v>
      </c>
      <c r="J13690" s="19"/>
      <c r="L13690" s="16" t="str">
        <f>IFERROR(__xludf.DUMMYFUNCTION("""COMPUTED_VALUE"""),"")</f>
        <v/>
      </c>
      <c r="M13690" s="16" t="str">
        <f>IFERROR(__xludf.DUMMYFUNCTION("""COMPUTED_VALUE"""),"")</f>
        <v/>
      </c>
      <c r="U13690" s="16" t="s">
        <v>87</v>
      </c>
      <c r="V13690" s="16" t="str">
        <f>IFERROR(__xludf.DUMMYFUNCTION("""COMPUTED_VALUE"""),"")</f>
        <v/>
      </c>
      <c r="W13690" s="16" t="str">
        <f>IFERROR(__xludf.DUMMYFUNCTION("""COMPUTED_VALUE"""),"")</f>
        <v/>
      </c>
      <c r="X13690" s="16" t="str">
        <f>IFERROR(__xludf.DUMMYFUNCTION("""COMPUTED_VALUE"""),"")</f>
        <v/>
      </c>
      <c r="AC13690" s="16" t="str">
        <f>IFERROR(__xludf.DUMMYFUNCTION("""COMPUTED_VALUE"""),"")</f>
        <v/>
      </c>
    </row>
    <row r="13691">
      <c r="A13691" s="16" t="s">
        <v>87</v>
      </c>
      <c r="E13691" s="16" t="str">
        <f>IFERROR(__xludf.DUMMYFUNCTION("""COMPUTED_VALUE"""),"")</f>
        <v/>
      </c>
      <c r="G13691" s="18"/>
      <c r="H13691" s="16" t="s">
        <v>87</v>
      </c>
      <c r="I13691" s="16" t="s">
        <v>87</v>
      </c>
      <c r="J13691" s="19"/>
      <c r="L13691" s="16" t="str">
        <f>IFERROR(__xludf.DUMMYFUNCTION("""COMPUTED_VALUE"""),"")</f>
        <v/>
      </c>
      <c r="M13691" s="16" t="str">
        <f>IFERROR(__xludf.DUMMYFUNCTION("""COMPUTED_VALUE"""),"")</f>
        <v/>
      </c>
      <c r="U13691" s="16" t="s">
        <v>87</v>
      </c>
      <c r="V13691" s="16" t="str">
        <f>IFERROR(__xludf.DUMMYFUNCTION("""COMPUTED_VALUE"""),"")</f>
        <v/>
      </c>
      <c r="W13691" s="16" t="str">
        <f>IFERROR(__xludf.DUMMYFUNCTION("""COMPUTED_VALUE"""),"")</f>
        <v/>
      </c>
      <c r="X13691" s="16" t="str">
        <f>IFERROR(__xludf.DUMMYFUNCTION("""COMPUTED_VALUE"""),"")</f>
        <v/>
      </c>
      <c r="AC13691" s="16" t="str">
        <f>IFERROR(__xludf.DUMMYFUNCTION("""COMPUTED_VALUE"""),"")</f>
        <v/>
      </c>
    </row>
    <row r="13692">
      <c r="A13692" s="16" t="s">
        <v>87</v>
      </c>
      <c r="E13692" s="16" t="str">
        <f>IFERROR(__xludf.DUMMYFUNCTION("""COMPUTED_VALUE"""),"")</f>
        <v/>
      </c>
      <c r="G13692" s="18"/>
      <c r="H13692" s="16" t="s">
        <v>87</v>
      </c>
      <c r="I13692" s="16" t="s">
        <v>87</v>
      </c>
      <c r="J13692" s="19"/>
      <c r="L13692" s="16" t="str">
        <f>IFERROR(__xludf.DUMMYFUNCTION("""COMPUTED_VALUE"""),"")</f>
        <v/>
      </c>
      <c r="M13692" s="16" t="str">
        <f>IFERROR(__xludf.DUMMYFUNCTION("""COMPUTED_VALUE"""),"")</f>
        <v/>
      </c>
      <c r="U13692" s="16" t="s">
        <v>87</v>
      </c>
      <c r="V13692" s="16" t="str">
        <f>IFERROR(__xludf.DUMMYFUNCTION("""COMPUTED_VALUE"""),"")</f>
        <v/>
      </c>
      <c r="W13692" s="16" t="str">
        <f>IFERROR(__xludf.DUMMYFUNCTION("""COMPUTED_VALUE"""),"")</f>
        <v/>
      </c>
      <c r="X13692" s="16" t="str">
        <f>IFERROR(__xludf.DUMMYFUNCTION("""COMPUTED_VALUE"""),"")</f>
        <v/>
      </c>
      <c r="AC13692" s="16" t="str">
        <f>IFERROR(__xludf.DUMMYFUNCTION("""COMPUTED_VALUE"""),"")</f>
        <v/>
      </c>
    </row>
    <row r="13693">
      <c r="A13693" s="16" t="s">
        <v>87</v>
      </c>
      <c r="E13693" s="16" t="str">
        <f>IFERROR(__xludf.DUMMYFUNCTION("""COMPUTED_VALUE"""),"")</f>
        <v/>
      </c>
      <c r="G13693" s="18"/>
      <c r="H13693" s="16" t="s">
        <v>87</v>
      </c>
      <c r="I13693" s="16" t="s">
        <v>87</v>
      </c>
      <c r="J13693" s="19"/>
      <c r="L13693" s="16" t="str">
        <f>IFERROR(__xludf.DUMMYFUNCTION("""COMPUTED_VALUE"""),"")</f>
        <v/>
      </c>
      <c r="M13693" s="16" t="str">
        <f>IFERROR(__xludf.DUMMYFUNCTION("""COMPUTED_VALUE"""),"")</f>
        <v/>
      </c>
      <c r="U13693" s="16" t="s">
        <v>87</v>
      </c>
      <c r="V13693" s="16" t="str">
        <f>IFERROR(__xludf.DUMMYFUNCTION("""COMPUTED_VALUE"""),"")</f>
        <v/>
      </c>
      <c r="W13693" s="16" t="str">
        <f>IFERROR(__xludf.DUMMYFUNCTION("""COMPUTED_VALUE"""),"")</f>
        <v/>
      </c>
      <c r="X13693" s="16" t="str">
        <f>IFERROR(__xludf.DUMMYFUNCTION("""COMPUTED_VALUE"""),"")</f>
        <v/>
      </c>
      <c r="AC13693" s="16" t="str">
        <f>IFERROR(__xludf.DUMMYFUNCTION("""COMPUTED_VALUE"""),"")</f>
        <v/>
      </c>
    </row>
    <row r="13694">
      <c r="A13694" s="16" t="s">
        <v>87</v>
      </c>
      <c r="E13694" s="16" t="str">
        <f>IFERROR(__xludf.DUMMYFUNCTION("""COMPUTED_VALUE"""),"")</f>
        <v/>
      </c>
      <c r="G13694" s="18"/>
      <c r="H13694" s="16" t="s">
        <v>87</v>
      </c>
      <c r="I13694" s="16" t="s">
        <v>87</v>
      </c>
      <c r="J13694" s="19"/>
      <c r="L13694" s="16" t="str">
        <f>IFERROR(__xludf.DUMMYFUNCTION("""COMPUTED_VALUE"""),"")</f>
        <v/>
      </c>
      <c r="M13694" s="16" t="str">
        <f>IFERROR(__xludf.DUMMYFUNCTION("""COMPUTED_VALUE"""),"")</f>
        <v/>
      </c>
      <c r="U13694" s="16" t="s">
        <v>87</v>
      </c>
      <c r="V13694" s="16" t="str">
        <f>IFERROR(__xludf.DUMMYFUNCTION("""COMPUTED_VALUE"""),"")</f>
        <v/>
      </c>
      <c r="W13694" s="16" t="str">
        <f>IFERROR(__xludf.DUMMYFUNCTION("""COMPUTED_VALUE"""),"")</f>
        <v/>
      </c>
      <c r="X13694" s="16" t="str">
        <f>IFERROR(__xludf.DUMMYFUNCTION("""COMPUTED_VALUE"""),"")</f>
        <v/>
      </c>
      <c r="AC13694" s="16" t="str">
        <f>IFERROR(__xludf.DUMMYFUNCTION("""COMPUTED_VALUE"""),"")</f>
        <v/>
      </c>
    </row>
    <row r="13695">
      <c r="A13695" s="16" t="s">
        <v>87</v>
      </c>
      <c r="E13695" s="16" t="str">
        <f>IFERROR(__xludf.DUMMYFUNCTION("""COMPUTED_VALUE"""),"")</f>
        <v/>
      </c>
      <c r="G13695" s="18"/>
      <c r="H13695" s="16" t="s">
        <v>87</v>
      </c>
      <c r="I13695" s="16" t="s">
        <v>87</v>
      </c>
      <c r="J13695" s="19"/>
      <c r="L13695" s="16" t="str">
        <f>IFERROR(__xludf.DUMMYFUNCTION("""COMPUTED_VALUE"""),"")</f>
        <v/>
      </c>
      <c r="M13695" s="16" t="str">
        <f>IFERROR(__xludf.DUMMYFUNCTION("""COMPUTED_VALUE"""),"")</f>
        <v/>
      </c>
      <c r="U13695" s="16" t="s">
        <v>87</v>
      </c>
      <c r="V13695" s="16" t="str">
        <f>IFERROR(__xludf.DUMMYFUNCTION("""COMPUTED_VALUE"""),"")</f>
        <v/>
      </c>
      <c r="W13695" s="16" t="str">
        <f>IFERROR(__xludf.DUMMYFUNCTION("""COMPUTED_VALUE"""),"")</f>
        <v/>
      </c>
      <c r="X13695" s="16" t="str">
        <f>IFERROR(__xludf.DUMMYFUNCTION("""COMPUTED_VALUE"""),"")</f>
        <v/>
      </c>
      <c r="AC13695" s="16" t="str">
        <f>IFERROR(__xludf.DUMMYFUNCTION("""COMPUTED_VALUE"""),"")</f>
        <v/>
      </c>
    </row>
    <row r="13696">
      <c r="A13696" s="16" t="s">
        <v>87</v>
      </c>
      <c r="E13696" s="16" t="str">
        <f>IFERROR(__xludf.DUMMYFUNCTION("""COMPUTED_VALUE"""),"")</f>
        <v/>
      </c>
      <c r="G13696" s="18"/>
      <c r="H13696" s="16" t="s">
        <v>87</v>
      </c>
      <c r="I13696" s="16" t="s">
        <v>87</v>
      </c>
      <c r="J13696" s="19"/>
      <c r="L13696" s="16" t="str">
        <f>IFERROR(__xludf.DUMMYFUNCTION("""COMPUTED_VALUE"""),"")</f>
        <v/>
      </c>
      <c r="M13696" s="16" t="str">
        <f>IFERROR(__xludf.DUMMYFUNCTION("""COMPUTED_VALUE"""),"")</f>
        <v/>
      </c>
      <c r="U13696" s="16" t="s">
        <v>87</v>
      </c>
      <c r="V13696" s="16" t="str">
        <f>IFERROR(__xludf.DUMMYFUNCTION("""COMPUTED_VALUE"""),"")</f>
        <v/>
      </c>
      <c r="W13696" s="16" t="str">
        <f>IFERROR(__xludf.DUMMYFUNCTION("""COMPUTED_VALUE"""),"")</f>
        <v/>
      </c>
      <c r="X13696" s="16" t="str">
        <f>IFERROR(__xludf.DUMMYFUNCTION("""COMPUTED_VALUE"""),"")</f>
        <v/>
      </c>
      <c r="AC13696" s="16" t="str">
        <f>IFERROR(__xludf.DUMMYFUNCTION("""COMPUTED_VALUE"""),"")</f>
        <v/>
      </c>
    </row>
    <row r="13697">
      <c r="A13697" s="16" t="s">
        <v>87</v>
      </c>
      <c r="E13697" s="16" t="str">
        <f>IFERROR(__xludf.DUMMYFUNCTION("""COMPUTED_VALUE"""),"")</f>
        <v/>
      </c>
      <c r="G13697" s="18"/>
      <c r="H13697" s="16" t="s">
        <v>87</v>
      </c>
      <c r="I13697" s="16" t="s">
        <v>87</v>
      </c>
      <c r="J13697" s="19"/>
      <c r="L13697" s="16" t="str">
        <f>IFERROR(__xludf.DUMMYFUNCTION("""COMPUTED_VALUE"""),"")</f>
        <v/>
      </c>
      <c r="M13697" s="16" t="str">
        <f>IFERROR(__xludf.DUMMYFUNCTION("""COMPUTED_VALUE"""),"")</f>
        <v/>
      </c>
      <c r="U13697" s="16" t="s">
        <v>87</v>
      </c>
      <c r="V13697" s="16" t="str">
        <f>IFERROR(__xludf.DUMMYFUNCTION("""COMPUTED_VALUE"""),"")</f>
        <v/>
      </c>
      <c r="W13697" s="16" t="str">
        <f>IFERROR(__xludf.DUMMYFUNCTION("""COMPUTED_VALUE"""),"")</f>
        <v/>
      </c>
      <c r="X13697" s="16" t="str">
        <f>IFERROR(__xludf.DUMMYFUNCTION("""COMPUTED_VALUE"""),"")</f>
        <v/>
      </c>
      <c r="AC13697" s="16" t="str">
        <f>IFERROR(__xludf.DUMMYFUNCTION("""COMPUTED_VALUE"""),"")</f>
        <v/>
      </c>
    </row>
    <row r="13698">
      <c r="A13698" s="16" t="s">
        <v>87</v>
      </c>
      <c r="E13698" s="16" t="str">
        <f>IFERROR(__xludf.DUMMYFUNCTION("""COMPUTED_VALUE"""),"")</f>
        <v/>
      </c>
      <c r="G13698" s="18"/>
      <c r="H13698" s="16" t="s">
        <v>87</v>
      </c>
      <c r="I13698" s="16" t="s">
        <v>87</v>
      </c>
      <c r="J13698" s="19"/>
      <c r="L13698" s="16" t="str">
        <f>IFERROR(__xludf.DUMMYFUNCTION("""COMPUTED_VALUE"""),"")</f>
        <v/>
      </c>
      <c r="M13698" s="16" t="str">
        <f>IFERROR(__xludf.DUMMYFUNCTION("""COMPUTED_VALUE"""),"")</f>
        <v/>
      </c>
      <c r="U13698" s="16" t="s">
        <v>87</v>
      </c>
      <c r="V13698" s="16" t="str">
        <f>IFERROR(__xludf.DUMMYFUNCTION("""COMPUTED_VALUE"""),"")</f>
        <v/>
      </c>
      <c r="W13698" s="16" t="str">
        <f>IFERROR(__xludf.DUMMYFUNCTION("""COMPUTED_VALUE"""),"")</f>
        <v/>
      </c>
      <c r="X13698" s="16" t="str">
        <f>IFERROR(__xludf.DUMMYFUNCTION("""COMPUTED_VALUE"""),"")</f>
        <v/>
      </c>
      <c r="AC13698" s="16" t="str">
        <f>IFERROR(__xludf.DUMMYFUNCTION("""COMPUTED_VALUE"""),"")</f>
        <v/>
      </c>
    </row>
    <row r="13699">
      <c r="A13699" s="16" t="s">
        <v>87</v>
      </c>
      <c r="E13699" s="16" t="str">
        <f>IFERROR(__xludf.DUMMYFUNCTION("""COMPUTED_VALUE"""),"")</f>
        <v/>
      </c>
      <c r="G13699" s="18"/>
      <c r="H13699" s="16" t="s">
        <v>87</v>
      </c>
      <c r="I13699" s="16" t="s">
        <v>87</v>
      </c>
      <c r="J13699" s="19"/>
      <c r="L13699" s="16" t="str">
        <f>IFERROR(__xludf.DUMMYFUNCTION("""COMPUTED_VALUE"""),"")</f>
        <v/>
      </c>
      <c r="M13699" s="16" t="str">
        <f>IFERROR(__xludf.DUMMYFUNCTION("""COMPUTED_VALUE"""),"")</f>
        <v/>
      </c>
      <c r="U13699" s="16" t="s">
        <v>87</v>
      </c>
      <c r="V13699" s="16" t="str">
        <f>IFERROR(__xludf.DUMMYFUNCTION("""COMPUTED_VALUE"""),"")</f>
        <v/>
      </c>
      <c r="W13699" s="16" t="str">
        <f>IFERROR(__xludf.DUMMYFUNCTION("""COMPUTED_VALUE"""),"")</f>
        <v/>
      </c>
      <c r="X13699" s="16" t="str">
        <f>IFERROR(__xludf.DUMMYFUNCTION("""COMPUTED_VALUE"""),"")</f>
        <v/>
      </c>
      <c r="AC13699" s="16" t="str">
        <f>IFERROR(__xludf.DUMMYFUNCTION("""COMPUTED_VALUE"""),"")</f>
        <v/>
      </c>
    </row>
    <row r="13700">
      <c r="A13700" s="16" t="s">
        <v>87</v>
      </c>
      <c r="E13700" s="16" t="str">
        <f>IFERROR(__xludf.DUMMYFUNCTION("""COMPUTED_VALUE"""),"")</f>
        <v/>
      </c>
      <c r="G13700" s="18"/>
      <c r="H13700" s="16" t="s">
        <v>87</v>
      </c>
      <c r="I13700" s="16" t="s">
        <v>87</v>
      </c>
      <c r="J13700" s="19"/>
      <c r="L13700" s="16" t="str">
        <f>IFERROR(__xludf.DUMMYFUNCTION("""COMPUTED_VALUE"""),"")</f>
        <v/>
      </c>
      <c r="M13700" s="16" t="str">
        <f>IFERROR(__xludf.DUMMYFUNCTION("""COMPUTED_VALUE"""),"")</f>
        <v/>
      </c>
      <c r="U13700" s="16" t="s">
        <v>87</v>
      </c>
      <c r="V13700" s="16" t="str">
        <f>IFERROR(__xludf.DUMMYFUNCTION("""COMPUTED_VALUE"""),"")</f>
        <v/>
      </c>
      <c r="W13700" s="16" t="str">
        <f>IFERROR(__xludf.DUMMYFUNCTION("""COMPUTED_VALUE"""),"")</f>
        <v/>
      </c>
      <c r="X13700" s="16" t="str">
        <f>IFERROR(__xludf.DUMMYFUNCTION("""COMPUTED_VALUE"""),"")</f>
        <v/>
      </c>
      <c r="AC13700" s="16" t="str">
        <f>IFERROR(__xludf.DUMMYFUNCTION("""COMPUTED_VALUE"""),"")</f>
        <v/>
      </c>
    </row>
    <row r="13701">
      <c r="A13701" s="16" t="s">
        <v>87</v>
      </c>
      <c r="E13701" s="16" t="str">
        <f>IFERROR(__xludf.DUMMYFUNCTION("""COMPUTED_VALUE"""),"")</f>
        <v/>
      </c>
      <c r="G13701" s="18"/>
      <c r="H13701" s="16" t="s">
        <v>87</v>
      </c>
      <c r="I13701" s="16" t="s">
        <v>87</v>
      </c>
      <c r="J13701" s="19"/>
      <c r="L13701" s="16" t="str">
        <f>IFERROR(__xludf.DUMMYFUNCTION("""COMPUTED_VALUE"""),"")</f>
        <v/>
      </c>
      <c r="M13701" s="16" t="str">
        <f>IFERROR(__xludf.DUMMYFUNCTION("""COMPUTED_VALUE"""),"")</f>
        <v/>
      </c>
      <c r="U13701" s="16" t="s">
        <v>87</v>
      </c>
      <c r="V13701" s="16" t="str">
        <f>IFERROR(__xludf.DUMMYFUNCTION("""COMPUTED_VALUE"""),"")</f>
        <v/>
      </c>
      <c r="W13701" s="16" t="str">
        <f>IFERROR(__xludf.DUMMYFUNCTION("""COMPUTED_VALUE"""),"")</f>
        <v/>
      </c>
      <c r="X13701" s="16" t="str">
        <f>IFERROR(__xludf.DUMMYFUNCTION("""COMPUTED_VALUE"""),"")</f>
        <v/>
      </c>
      <c r="AC13701" s="16" t="str">
        <f>IFERROR(__xludf.DUMMYFUNCTION("""COMPUTED_VALUE"""),"")</f>
        <v/>
      </c>
    </row>
    <row r="13702">
      <c r="A13702" s="16" t="s">
        <v>87</v>
      </c>
      <c r="E13702" s="16" t="str">
        <f>IFERROR(__xludf.DUMMYFUNCTION("""COMPUTED_VALUE"""),"")</f>
        <v/>
      </c>
      <c r="G13702" s="18"/>
      <c r="H13702" s="16" t="s">
        <v>87</v>
      </c>
      <c r="I13702" s="16" t="s">
        <v>87</v>
      </c>
      <c r="J13702" s="19"/>
      <c r="L13702" s="16" t="str">
        <f>IFERROR(__xludf.DUMMYFUNCTION("""COMPUTED_VALUE"""),"")</f>
        <v/>
      </c>
      <c r="M13702" s="16" t="str">
        <f>IFERROR(__xludf.DUMMYFUNCTION("""COMPUTED_VALUE"""),"")</f>
        <v/>
      </c>
      <c r="U13702" s="16" t="s">
        <v>87</v>
      </c>
      <c r="V13702" s="16" t="str">
        <f>IFERROR(__xludf.DUMMYFUNCTION("""COMPUTED_VALUE"""),"")</f>
        <v/>
      </c>
      <c r="W13702" s="16" t="str">
        <f>IFERROR(__xludf.DUMMYFUNCTION("""COMPUTED_VALUE"""),"")</f>
        <v/>
      </c>
      <c r="X13702" s="16" t="str">
        <f>IFERROR(__xludf.DUMMYFUNCTION("""COMPUTED_VALUE"""),"")</f>
        <v/>
      </c>
      <c r="AC13702" s="16" t="str">
        <f>IFERROR(__xludf.DUMMYFUNCTION("""COMPUTED_VALUE"""),"")</f>
        <v/>
      </c>
    </row>
    <row r="13703">
      <c r="A13703" s="16" t="s">
        <v>87</v>
      </c>
      <c r="E13703" s="16" t="str">
        <f>IFERROR(__xludf.DUMMYFUNCTION("""COMPUTED_VALUE"""),"")</f>
        <v/>
      </c>
      <c r="G13703" s="18"/>
      <c r="H13703" s="16" t="s">
        <v>87</v>
      </c>
      <c r="I13703" s="16" t="s">
        <v>87</v>
      </c>
      <c r="J13703" s="19"/>
      <c r="L13703" s="16" t="str">
        <f>IFERROR(__xludf.DUMMYFUNCTION("""COMPUTED_VALUE"""),"")</f>
        <v/>
      </c>
      <c r="M13703" s="16" t="str">
        <f>IFERROR(__xludf.DUMMYFUNCTION("""COMPUTED_VALUE"""),"")</f>
        <v/>
      </c>
      <c r="U13703" s="16" t="s">
        <v>87</v>
      </c>
      <c r="V13703" s="16" t="str">
        <f>IFERROR(__xludf.DUMMYFUNCTION("""COMPUTED_VALUE"""),"")</f>
        <v/>
      </c>
      <c r="W13703" s="16" t="str">
        <f>IFERROR(__xludf.DUMMYFUNCTION("""COMPUTED_VALUE"""),"")</f>
        <v/>
      </c>
      <c r="X13703" s="16" t="str">
        <f>IFERROR(__xludf.DUMMYFUNCTION("""COMPUTED_VALUE"""),"")</f>
        <v/>
      </c>
      <c r="AC13703" s="16" t="str">
        <f>IFERROR(__xludf.DUMMYFUNCTION("""COMPUTED_VALUE"""),"")</f>
        <v/>
      </c>
    </row>
    <row r="13704">
      <c r="A13704" s="16" t="s">
        <v>87</v>
      </c>
      <c r="E13704" s="16" t="str">
        <f>IFERROR(__xludf.DUMMYFUNCTION("""COMPUTED_VALUE"""),"")</f>
        <v/>
      </c>
      <c r="G13704" s="18"/>
      <c r="H13704" s="16" t="s">
        <v>87</v>
      </c>
      <c r="I13704" s="16" t="s">
        <v>87</v>
      </c>
      <c r="J13704" s="19"/>
      <c r="L13704" s="16" t="str">
        <f>IFERROR(__xludf.DUMMYFUNCTION("""COMPUTED_VALUE"""),"")</f>
        <v/>
      </c>
      <c r="M13704" s="16" t="str">
        <f>IFERROR(__xludf.DUMMYFUNCTION("""COMPUTED_VALUE"""),"")</f>
        <v/>
      </c>
      <c r="U13704" s="16" t="s">
        <v>87</v>
      </c>
      <c r="V13704" s="16" t="str">
        <f>IFERROR(__xludf.DUMMYFUNCTION("""COMPUTED_VALUE"""),"")</f>
        <v/>
      </c>
      <c r="W13704" s="16" t="str">
        <f>IFERROR(__xludf.DUMMYFUNCTION("""COMPUTED_VALUE"""),"")</f>
        <v/>
      </c>
      <c r="X13704" s="16" t="str">
        <f>IFERROR(__xludf.DUMMYFUNCTION("""COMPUTED_VALUE"""),"")</f>
        <v/>
      </c>
      <c r="AC13704" s="16" t="str">
        <f>IFERROR(__xludf.DUMMYFUNCTION("""COMPUTED_VALUE"""),"")</f>
        <v/>
      </c>
    </row>
    <row r="13705">
      <c r="A13705" s="16" t="s">
        <v>87</v>
      </c>
      <c r="E13705" s="16" t="str">
        <f>IFERROR(__xludf.DUMMYFUNCTION("""COMPUTED_VALUE"""),"")</f>
        <v/>
      </c>
      <c r="G13705" s="18"/>
      <c r="H13705" s="16" t="s">
        <v>87</v>
      </c>
      <c r="I13705" s="16" t="s">
        <v>87</v>
      </c>
      <c r="J13705" s="19"/>
      <c r="L13705" s="16" t="str">
        <f>IFERROR(__xludf.DUMMYFUNCTION("""COMPUTED_VALUE"""),"")</f>
        <v/>
      </c>
      <c r="M13705" s="16" t="str">
        <f>IFERROR(__xludf.DUMMYFUNCTION("""COMPUTED_VALUE"""),"")</f>
        <v/>
      </c>
      <c r="U13705" s="16" t="s">
        <v>87</v>
      </c>
      <c r="V13705" s="16" t="str">
        <f>IFERROR(__xludf.DUMMYFUNCTION("""COMPUTED_VALUE"""),"")</f>
        <v/>
      </c>
      <c r="W13705" s="16" t="str">
        <f>IFERROR(__xludf.DUMMYFUNCTION("""COMPUTED_VALUE"""),"")</f>
        <v/>
      </c>
      <c r="X13705" s="16" t="str">
        <f>IFERROR(__xludf.DUMMYFUNCTION("""COMPUTED_VALUE"""),"")</f>
        <v/>
      </c>
      <c r="AC13705" s="16" t="str">
        <f>IFERROR(__xludf.DUMMYFUNCTION("""COMPUTED_VALUE"""),"")</f>
        <v/>
      </c>
    </row>
    <row r="13706">
      <c r="A13706" s="16" t="s">
        <v>87</v>
      </c>
      <c r="E13706" s="16" t="str">
        <f>IFERROR(__xludf.DUMMYFUNCTION("""COMPUTED_VALUE"""),"")</f>
        <v/>
      </c>
      <c r="G13706" s="18"/>
      <c r="H13706" s="16" t="s">
        <v>87</v>
      </c>
      <c r="I13706" s="16" t="s">
        <v>87</v>
      </c>
      <c r="J13706" s="19"/>
      <c r="L13706" s="16" t="str">
        <f>IFERROR(__xludf.DUMMYFUNCTION("""COMPUTED_VALUE"""),"")</f>
        <v/>
      </c>
      <c r="M13706" s="16" t="str">
        <f>IFERROR(__xludf.DUMMYFUNCTION("""COMPUTED_VALUE"""),"")</f>
        <v/>
      </c>
      <c r="U13706" s="16" t="s">
        <v>87</v>
      </c>
      <c r="V13706" s="16" t="str">
        <f>IFERROR(__xludf.DUMMYFUNCTION("""COMPUTED_VALUE"""),"")</f>
        <v/>
      </c>
      <c r="W13706" s="16" t="str">
        <f>IFERROR(__xludf.DUMMYFUNCTION("""COMPUTED_VALUE"""),"")</f>
        <v/>
      </c>
      <c r="X13706" s="16" t="str">
        <f>IFERROR(__xludf.DUMMYFUNCTION("""COMPUTED_VALUE"""),"")</f>
        <v/>
      </c>
      <c r="AC13706" s="16" t="str">
        <f>IFERROR(__xludf.DUMMYFUNCTION("""COMPUTED_VALUE"""),"")</f>
        <v/>
      </c>
    </row>
    <row r="13707">
      <c r="A13707" s="16" t="s">
        <v>87</v>
      </c>
      <c r="E13707" s="16" t="str">
        <f>IFERROR(__xludf.DUMMYFUNCTION("""COMPUTED_VALUE"""),"")</f>
        <v/>
      </c>
      <c r="G13707" s="18"/>
      <c r="H13707" s="16" t="s">
        <v>87</v>
      </c>
      <c r="I13707" s="16" t="s">
        <v>87</v>
      </c>
      <c r="J13707" s="19"/>
      <c r="L13707" s="16" t="str">
        <f>IFERROR(__xludf.DUMMYFUNCTION("""COMPUTED_VALUE"""),"")</f>
        <v/>
      </c>
      <c r="M13707" s="16" t="str">
        <f>IFERROR(__xludf.DUMMYFUNCTION("""COMPUTED_VALUE"""),"")</f>
        <v/>
      </c>
      <c r="U13707" s="16" t="s">
        <v>87</v>
      </c>
      <c r="V13707" s="16" t="str">
        <f>IFERROR(__xludf.DUMMYFUNCTION("""COMPUTED_VALUE"""),"")</f>
        <v/>
      </c>
      <c r="W13707" s="16" t="str">
        <f>IFERROR(__xludf.DUMMYFUNCTION("""COMPUTED_VALUE"""),"")</f>
        <v/>
      </c>
      <c r="X13707" s="16" t="str">
        <f>IFERROR(__xludf.DUMMYFUNCTION("""COMPUTED_VALUE"""),"")</f>
        <v/>
      </c>
      <c r="AC13707" s="16" t="str">
        <f>IFERROR(__xludf.DUMMYFUNCTION("""COMPUTED_VALUE"""),"")</f>
        <v/>
      </c>
    </row>
    <row r="13708">
      <c r="A13708" s="16" t="s">
        <v>87</v>
      </c>
      <c r="E13708" s="16" t="str">
        <f>IFERROR(__xludf.DUMMYFUNCTION("""COMPUTED_VALUE"""),"")</f>
        <v/>
      </c>
      <c r="G13708" s="18"/>
      <c r="H13708" s="16" t="s">
        <v>87</v>
      </c>
      <c r="I13708" s="16" t="s">
        <v>87</v>
      </c>
      <c r="J13708" s="19"/>
      <c r="L13708" s="16" t="str">
        <f>IFERROR(__xludf.DUMMYFUNCTION("""COMPUTED_VALUE"""),"")</f>
        <v/>
      </c>
      <c r="M13708" s="16" t="str">
        <f>IFERROR(__xludf.DUMMYFUNCTION("""COMPUTED_VALUE"""),"")</f>
        <v/>
      </c>
      <c r="U13708" s="16" t="s">
        <v>87</v>
      </c>
      <c r="V13708" s="16" t="str">
        <f>IFERROR(__xludf.DUMMYFUNCTION("""COMPUTED_VALUE"""),"")</f>
        <v/>
      </c>
      <c r="W13708" s="16" t="str">
        <f>IFERROR(__xludf.DUMMYFUNCTION("""COMPUTED_VALUE"""),"")</f>
        <v/>
      </c>
      <c r="X13708" s="16" t="str">
        <f>IFERROR(__xludf.DUMMYFUNCTION("""COMPUTED_VALUE"""),"")</f>
        <v/>
      </c>
      <c r="AC13708" s="16" t="str">
        <f>IFERROR(__xludf.DUMMYFUNCTION("""COMPUTED_VALUE"""),"")</f>
        <v/>
      </c>
    </row>
    <row r="13709">
      <c r="A13709" s="16" t="s">
        <v>87</v>
      </c>
      <c r="E13709" s="16" t="str">
        <f>IFERROR(__xludf.DUMMYFUNCTION("""COMPUTED_VALUE"""),"")</f>
        <v/>
      </c>
      <c r="G13709" s="18"/>
      <c r="H13709" s="16" t="s">
        <v>87</v>
      </c>
      <c r="I13709" s="16" t="s">
        <v>87</v>
      </c>
      <c r="J13709" s="19"/>
      <c r="L13709" s="16" t="str">
        <f>IFERROR(__xludf.DUMMYFUNCTION("""COMPUTED_VALUE"""),"")</f>
        <v/>
      </c>
      <c r="M13709" s="16" t="str">
        <f>IFERROR(__xludf.DUMMYFUNCTION("""COMPUTED_VALUE"""),"")</f>
        <v/>
      </c>
      <c r="U13709" s="16" t="s">
        <v>87</v>
      </c>
      <c r="V13709" s="16" t="str">
        <f>IFERROR(__xludf.DUMMYFUNCTION("""COMPUTED_VALUE"""),"")</f>
        <v/>
      </c>
      <c r="W13709" s="16" t="str">
        <f>IFERROR(__xludf.DUMMYFUNCTION("""COMPUTED_VALUE"""),"")</f>
        <v/>
      </c>
      <c r="X13709" s="16" t="str">
        <f>IFERROR(__xludf.DUMMYFUNCTION("""COMPUTED_VALUE"""),"")</f>
        <v/>
      </c>
      <c r="AC13709" s="16" t="str">
        <f>IFERROR(__xludf.DUMMYFUNCTION("""COMPUTED_VALUE"""),"")</f>
        <v/>
      </c>
    </row>
    <row r="13710">
      <c r="A13710" s="16" t="s">
        <v>87</v>
      </c>
      <c r="E13710" s="16" t="str">
        <f>IFERROR(__xludf.DUMMYFUNCTION("""COMPUTED_VALUE"""),"")</f>
        <v/>
      </c>
      <c r="G13710" s="18"/>
      <c r="H13710" s="16" t="s">
        <v>87</v>
      </c>
      <c r="I13710" s="16" t="s">
        <v>87</v>
      </c>
      <c r="J13710" s="19"/>
      <c r="L13710" s="16" t="str">
        <f>IFERROR(__xludf.DUMMYFUNCTION("""COMPUTED_VALUE"""),"")</f>
        <v/>
      </c>
      <c r="M13710" s="16" t="str">
        <f>IFERROR(__xludf.DUMMYFUNCTION("""COMPUTED_VALUE"""),"")</f>
        <v/>
      </c>
      <c r="U13710" s="16" t="s">
        <v>87</v>
      </c>
      <c r="V13710" s="16" t="str">
        <f>IFERROR(__xludf.DUMMYFUNCTION("""COMPUTED_VALUE"""),"")</f>
        <v/>
      </c>
      <c r="W13710" s="16" t="str">
        <f>IFERROR(__xludf.DUMMYFUNCTION("""COMPUTED_VALUE"""),"")</f>
        <v/>
      </c>
      <c r="X13710" s="16" t="str">
        <f>IFERROR(__xludf.DUMMYFUNCTION("""COMPUTED_VALUE"""),"")</f>
        <v/>
      </c>
      <c r="AC13710" s="16" t="str">
        <f>IFERROR(__xludf.DUMMYFUNCTION("""COMPUTED_VALUE"""),"")</f>
        <v/>
      </c>
    </row>
    <row r="13711">
      <c r="A13711" s="16" t="s">
        <v>87</v>
      </c>
      <c r="E13711" s="16" t="str">
        <f>IFERROR(__xludf.DUMMYFUNCTION("""COMPUTED_VALUE"""),"")</f>
        <v/>
      </c>
      <c r="G13711" s="18"/>
      <c r="H13711" s="16" t="s">
        <v>87</v>
      </c>
      <c r="I13711" s="16" t="s">
        <v>87</v>
      </c>
      <c r="J13711" s="19"/>
      <c r="L13711" s="16" t="str">
        <f>IFERROR(__xludf.DUMMYFUNCTION("""COMPUTED_VALUE"""),"")</f>
        <v/>
      </c>
      <c r="M13711" s="16" t="str">
        <f>IFERROR(__xludf.DUMMYFUNCTION("""COMPUTED_VALUE"""),"")</f>
        <v/>
      </c>
      <c r="U13711" s="16" t="s">
        <v>87</v>
      </c>
      <c r="V13711" s="16" t="str">
        <f>IFERROR(__xludf.DUMMYFUNCTION("""COMPUTED_VALUE"""),"")</f>
        <v/>
      </c>
      <c r="W13711" s="16" t="str">
        <f>IFERROR(__xludf.DUMMYFUNCTION("""COMPUTED_VALUE"""),"")</f>
        <v/>
      </c>
      <c r="X13711" s="16" t="str">
        <f>IFERROR(__xludf.DUMMYFUNCTION("""COMPUTED_VALUE"""),"")</f>
        <v/>
      </c>
      <c r="AC13711" s="16" t="str">
        <f>IFERROR(__xludf.DUMMYFUNCTION("""COMPUTED_VALUE"""),"")</f>
        <v/>
      </c>
    </row>
    <row r="13712">
      <c r="A13712" s="16" t="s">
        <v>87</v>
      </c>
      <c r="E13712" s="16" t="str">
        <f>IFERROR(__xludf.DUMMYFUNCTION("""COMPUTED_VALUE"""),"")</f>
        <v/>
      </c>
      <c r="G13712" s="18"/>
      <c r="H13712" s="16" t="s">
        <v>87</v>
      </c>
      <c r="I13712" s="16" t="s">
        <v>87</v>
      </c>
      <c r="J13712" s="19"/>
      <c r="L13712" s="16" t="str">
        <f>IFERROR(__xludf.DUMMYFUNCTION("""COMPUTED_VALUE"""),"")</f>
        <v/>
      </c>
      <c r="M13712" s="16" t="str">
        <f>IFERROR(__xludf.DUMMYFUNCTION("""COMPUTED_VALUE"""),"")</f>
        <v/>
      </c>
      <c r="U13712" s="16" t="s">
        <v>87</v>
      </c>
      <c r="V13712" s="16" t="str">
        <f>IFERROR(__xludf.DUMMYFUNCTION("""COMPUTED_VALUE"""),"")</f>
        <v/>
      </c>
      <c r="W13712" s="16" t="str">
        <f>IFERROR(__xludf.DUMMYFUNCTION("""COMPUTED_VALUE"""),"")</f>
        <v/>
      </c>
      <c r="X13712" s="16" t="str">
        <f>IFERROR(__xludf.DUMMYFUNCTION("""COMPUTED_VALUE"""),"")</f>
        <v/>
      </c>
      <c r="AC13712" s="16" t="str">
        <f>IFERROR(__xludf.DUMMYFUNCTION("""COMPUTED_VALUE"""),"")</f>
        <v/>
      </c>
    </row>
    <row r="13713">
      <c r="A13713" s="16" t="s">
        <v>87</v>
      </c>
      <c r="E13713" s="16" t="str">
        <f>IFERROR(__xludf.DUMMYFUNCTION("""COMPUTED_VALUE"""),"")</f>
        <v/>
      </c>
      <c r="G13713" s="18"/>
      <c r="H13713" s="16" t="s">
        <v>87</v>
      </c>
      <c r="I13713" s="16" t="s">
        <v>87</v>
      </c>
      <c r="J13713" s="19"/>
      <c r="L13713" s="16" t="str">
        <f>IFERROR(__xludf.DUMMYFUNCTION("""COMPUTED_VALUE"""),"")</f>
        <v/>
      </c>
      <c r="M13713" s="16" t="str">
        <f>IFERROR(__xludf.DUMMYFUNCTION("""COMPUTED_VALUE"""),"")</f>
        <v/>
      </c>
      <c r="U13713" s="16" t="s">
        <v>87</v>
      </c>
      <c r="V13713" s="16" t="str">
        <f>IFERROR(__xludf.DUMMYFUNCTION("""COMPUTED_VALUE"""),"")</f>
        <v/>
      </c>
      <c r="W13713" s="16" t="str">
        <f>IFERROR(__xludf.DUMMYFUNCTION("""COMPUTED_VALUE"""),"")</f>
        <v/>
      </c>
      <c r="X13713" s="16" t="str">
        <f>IFERROR(__xludf.DUMMYFUNCTION("""COMPUTED_VALUE"""),"")</f>
        <v/>
      </c>
      <c r="AC13713" s="16" t="str">
        <f>IFERROR(__xludf.DUMMYFUNCTION("""COMPUTED_VALUE"""),"")</f>
        <v/>
      </c>
    </row>
    <row r="13714">
      <c r="A13714" s="16" t="s">
        <v>87</v>
      </c>
      <c r="E13714" s="16" t="str">
        <f>IFERROR(__xludf.DUMMYFUNCTION("""COMPUTED_VALUE"""),"")</f>
        <v/>
      </c>
      <c r="G13714" s="18"/>
      <c r="H13714" s="16" t="s">
        <v>87</v>
      </c>
      <c r="I13714" s="16" t="s">
        <v>87</v>
      </c>
      <c r="J13714" s="19"/>
      <c r="L13714" s="16" t="str">
        <f>IFERROR(__xludf.DUMMYFUNCTION("""COMPUTED_VALUE"""),"")</f>
        <v/>
      </c>
      <c r="M13714" s="16" t="str">
        <f>IFERROR(__xludf.DUMMYFUNCTION("""COMPUTED_VALUE"""),"")</f>
        <v/>
      </c>
      <c r="U13714" s="16" t="s">
        <v>87</v>
      </c>
      <c r="V13714" s="16" t="str">
        <f>IFERROR(__xludf.DUMMYFUNCTION("""COMPUTED_VALUE"""),"")</f>
        <v/>
      </c>
      <c r="W13714" s="16" t="str">
        <f>IFERROR(__xludf.DUMMYFUNCTION("""COMPUTED_VALUE"""),"")</f>
        <v/>
      </c>
      <c r="X13714" s="16" t="str">
        <f>IFERROR(__xludf.DUMMYFUNCTION("""COMPUTED_VALUE"""),"")</f>
        <v/>
      </c>
      <c r="AC13714" s="16" t="str">
        <f>IFERROR(__xludf.DUMMYFUNCTION("""COMPUTED_VALUE"""),"")</f>
        <v/>
      </c>
    </row>
    <row r="13715">
      <c r="A13715" s="16" t="s">
        <v>87</v>
      </c>
      <c r="E13715" s="16" t="str">
        <f>IFERROR(__xludf.DUMMYFUNCTION("""COMPUTED_VALUE"""),"")</f>
        <v/>
      </c>
      <c r="G13715" s="18"/>
      <c r="H13715" s="16" t="s">
        <v>87</v>
      </c>
      <c r="I13715" s="16" t="s">
        <v>87</v>
      </c>
      <c r="J13715" s="19"/>
      <c r="L13715" s="16" t="str">
        <f>IFERROR(__xludf.DUMMYFUNCTION("""COMPUTED_VALUE"""),"")</f>
        <v/>
      </c>
      <c r="M13715" s="16" t="str">
        <f>IFERROR(__xludf.DUMMYFUNCTION("""COMPUTED_VALUE"""),"")</f>
        <v/>
      </c>
      <c r="U13715" s="16" t="s">
        <v>87</v>
      </c>
      <c r="V13715" s="16" t="str">
        <f>IFERROR(__xludf.DUMMYFUNCTION("""COMPUTED_VALUE"""),"")</f>
        <v/>
      </c>
      <c r="W13715" s="16" t="str">
        <f>IFERROR(__xludf.DUMMYFUNCTION("""COMPUTED_VALUE"""),"")</f>
        <v/>
      </c>
      <c r="X13715" s="16" t="str">
        <f>IFERROR(__xludf.DUMMYFUNCTION("""COMPUTED_VALUE"""),"")</f>
        <v/>
      </c>
      <c r="AC13715" s="16" t="str">
        <f>IFERROR(__xludf.DUMMYFUNCTION("""COMPUTED_VALUE"""),"")</f>
        <v/>
      </c>
    </row>
    <row r="13716">
      <c r="A13716" s="16" t="s">
        <v>87</v>
      </c>
      <c r="E13716" s="16" t="str">
        <f>IFERROR(__xludf.DUMMYFUNCTION("""COMPUTED_VALUE"""),"")</f>
        <v/>
      </c>
      <c r="G13716" s="18"/>
      <c r="H13716" s="16" t="s">
        <v>87</v>
      </c>
      <c r="I13716" s="16" t="s">
        <v>87</v>
      </c>
      <c r="J13716" s="19"/>
      <c r="L13716" s="16" t="str">
        <f>IFERROR(__xludf.DUMMYFUNCTION("""COMPUTED_VALUE"""),"")</f>
        <v/>
      </c>
      <c r="M13716" s="16" t="str">
        <f>IFERROR(__xludf.DUMMYFUNCTION("""COMPUTED_VALUE"""),"")</f>
        <v/>
      </c>
      <c r="U13716" s="16" t="s">
        <v>87</v>
      </c>
      <c r="V13716" s="16" t="str">
        <f>IFERROR(__xludf.DUMMYFUNCTION("""COMPUTED_VALUE"""),"")</f>
        <v/>
      </c>
      <c r="W13716" s="16" t="str">
        <f>IFERROR(__xludf.DUMMYFUNCTION("""COMPUTED_VALUE"""),"")</f>
        <v/>
      </c>
      <c r="X13716" s="16" t="str">
        <f>IFERROR(__xludf.DUMMYFUNCTION("""COMPUTED_VALUE"""),"")</f>
        <v/>
      </c>
      <c r="AC13716" s="16" t="str">
        <f>IFERROR(__xludf.DUMMYFUNCTION("""COMPUTED_VALUE"""),"")</f>
        <v/>
      </c>
    </row>
    <row r="13717">
      <c r="A13717" s="16" t="s">
        <v>87</v>
      </c>
      <c r="E13717" s="16" t="str">
        <f>IFERROR(__xludf.DUMMYFUNCTION("""COMPUTED_VALUE"""),"")</f>
        <v/>
      </c>
      <c r="G13717" s="18"/>
      <c r="H13717" s="16" t="s">
        <v>87</v>
      </c>
      <c r="I13717" s="16" t="s">
        <v>87</v>
      </c>
      <c r="J13717" s="19"/>
      <c r="L13717" s="16" t="str">
        <f>IFERROR(__xludf.DUMMYFUNCTION("""COMPUTED_VALUE"""),"")</f>
        <v/>
      </c>
      <c r="M13717" s="16" t="str">
        <f>IFERROR(__xludf.DUMMYFUNCTION("""COMPUTED_VALUE"""),"")</f>
        <v/>
      </c>
      <c r="U13717" s="16" t="s">
        <v>87</v>
      </c>
      <c r="V13717" s="16" t="str">
        <f>IFERROR(__xludf.DUMMYFUNCTION("""COMPUTED_VALUE"""),"")</f>
        <v/>
      </c>
      <c r="W13717" s="16" t="str">
        <f>IFERROR(__xludf.DUMMYFUNCTION("""COMPUTED_VALUE"""),"")</f>
        <v/>
      </c>
      <c r="X13717" s="16" t="str">
        <f>IFERROR(__xludf.DUMMYFUNCTION("""COMPUTED_VALUE"""),"")</f>
        <v/>
      </c>
      <c r="AC13717" s="16" t="str">
        <f>IFERROR(__xludf.DUMMYFUNCTION("""COMPUTED_VALUE"""),"")</f>
        <v/>
      </c>
    </row>
    <row r="13718">
      <c r="A13718" s="16" t="s">
        <v>87</v>
      </c>
      <c r="E13718" s="16" t="str">
        <f>IFERROR(__xludf.DUMMYFUNCTION("""COMPUTED_VALUE"""),"")</f>
        <v/>
      </c>
      <c r="G13718" s="18"/>
      <c r="H13718" s="16" t="s">
        <v>87</v>
      </c>
      <c r="I13718" s="16" t="s">
        <v>87</v>
      </c>
      <c r="J13718" s="19"/>
      <c r="L13718" s="16" t="str">
        <f>IFERROR(__xludf.DUMMYFUNCTION("""COMPUTED_VALUE"""),"")</f>
        <v/>
      </c>
      <c r="M13718" s="16" t="str">
        <f>IFERROR(__xludf.DUMMYFUNCTION("""COMPUTED_VALUE"""),"")</f>
        <v/>
      </c>
      <c r="U13718" s="16" t="s">
        <v>87</v>
      </c>
      <c r="V13718" s="16" t="str">
        <f>IFERROR(__xludf.DUMMYFUNCTION("""COMPUTED_VALUE"""),"")</f>
        <v/>
      </c>
      <c r="W13718" s="16" t="str">
        <f>IFERROR(__xludf.DUMMYFUNCTION("""COMPUTED_VALUE"""),"")</f>
        <v/>
      </c>
      <c r="X13718" s="16" t="str">
        <f>IFERROR(__xludf.DUMMYFUNCTION("""COMPUTED_VALUE"""),"")</f>
        <v/>
      </c>
      <c r="AC13718" s="16" t="str">
        <f>IFERROR(__xludf.DUMMYFUNCTION("""COMPUTED_VALUE"""),"")</f>
        <v/>
      </c>
    </row>
    <row r="13719">
      <c r="A13719" s="16" t="s">
        <v>87</v>
      </c>
      <c r="E13719" s="16" t="str">
        <f>IFERROR(__xludf.DUMMYFUNCTION("""COMPUTED_VALUE"""),"")</f>
        <v/>
      </c>
      <c r="G13719" s="18"/>
      <c r="H13719" s="16" t="s">
        <v>87</v>
      </c>
      <c r="I13719" s="16" t="s">
        <v>87</v>
      </c>
      <c r="J13719" s="19"/>
      <c r="L13719" s="16" t="str">
        <f>IFERROR(__xludf.DUMMYFUNCTION("""COMPUTED_VALUE"""),"")</f>
        <v/>
      </c>
      <c r="M13719" s="16" t="str">
        <f>IFERROR(__xludf.DUMMYFUNCTION("""COMPUTED_VALUE"""),"")</f>
        <v/>
      </c>
      <c r="U13719" s="16" t="s">
        <v>87</v>
      </c>
      <c r="V13719" s="16" t="str">
        <f>IFERROR(__xludf.DUMMYFUNCTION("""COMPUTED_VALUE"""),"")</f>
        <v/>
      </c>
      <c r="W13719" s="16" t="str">
        <f>IFERROR(__xludf.DUMMYFUNCTION("""COMPUTED_VALUE"""),"")</f>
        <v/>
      </c>
      <c r="X13719" s="16" t="str">
        <f>IFERROR(__xludf.DUMMYFUNCTION("""COMPUTED_VALUE"""),"")</f>
        <v/>
      </c>
      <c r="AC13719" s="16" t="str">
        <f>IFERROR(__xludf.DUMMYFUNCTION("""COMPUTED_VALUE"""),"")</f>
        <v/>
      </c>
    </row>
    <row r="13720">
      <c r="A13720" s="16" t="s">
        <v>87</v>
      </c>
      <c r="E13720" s="16" t="str">
        <f>IFERROR(__xludf.DUMMYFUNCTION("""COMPUTED_VALUE"""),"")</f>
        <v/>
      </c>
      <c r="G13720" s="18"/>
      <c r="H13720" s="16" t="s">
        <v>87</v>
      </c>
      <c r="I13720" s="16" t="s">
        <v>87</v>
      </c>
      <c r="J13720" s="19"/>
      <c r="L13720" s="16" t="str">
        <f>IFERROR(__xludf.DUMMYFUNCTION("""COMPUTED_VALUE"""),"")</f>
        <v/>
      </c>
      <c r="M13720" s="16" t="str">
        <f>IFERROR(__xludf.DUMMYFUNCTION("""COMPUTED_VALUE"""),"")</f>
        <v/>
      </c>
      <c r="U13720" s="16" t="s">
        <v>87</v>
      </c>
      <c r="V13720" s="16" t="str">
        <f>IFERROR(__xludf.DUMMYFUNCTION("""COMPUTED_VALUE"""),"")</f>
        <v/>
      </c>
      <c r="W13720" s="16" t="str">
        <f>IFERROR(__xludf.DUMMYFUNCTION("""COMPUTED_VALUE"""),"")</f>
        <v/>
      </c>
      <c r="X13720" s="16" t="str">
        <f>IFERROR(__xludf.DUMMYFUNCTION("""COMPUTED_VALUE"""),"")</f>
        <v/>
      </c>
      <c r="AC13720" s="16" t="str">
        <f>IFERROR(__xludf.DUMMYFUNCTION("""COMPUTED_VALUE"""),"")</f>
        <v/>
      </c>
    </row>
    <row r="13721">
      <c r="A13721" s="16" t="s">
        <v>87</v>
      </c>
      <c r="E13721" s="16" t="str">
        <f>IFERROR(__xludf.DUMMYFUNCTION("""COMPUTED_VALUE"""),"")</f>
        <v/>
      </c>
      <c r="G13721" s="18"/>
      <c r="H13721" s="16" t="s">
        <v>87</v>
      </c>
      <c r="I13721" s="16" t="s">
        <v>87</v>
      </c>
      <c r="J13721" s="19"/>
      <c r="L13721" s="16" t="str">
        <f>IFERROR(__xludf.DUMMYFUNCTION("""COMPUTED_VALUE"""),"")</f>
        <v/>
      </c>
      <c r="M13721" s="16" t="str">
        <f>IFERROR(__xludf.DUMMYFUNCTION("""COMPUTED_VALUE"""),"")</f>
        <v/>
      </c>
      <c r="U13721" s="16" t="s">
        <v>87</v>
      </c>
      <c r="V13721" s="16" t="str">
        <f>IFERROR(__xludf.DUMMYFUNCTION("""COMPUTED_VALUE"""),"")</f>
        <v/>
      </c>
      <c r="W13721" s="16" t="str">
        <f>IFERROR(__xludf.DUMMYFUNCTION("""COMPUTED_VALUE"""),"")</f>
        <v/>
      </c>
      <c r="X13721" s="16" t="str">
        <f>IFERROR(__xludf.DUMMYFUNCTION("""COMPUTED_VALUE"""),"")</f>
        <v/>
      </c>
      <c r="AC13721" s="16" t="str">
        <f>IFERROR(__xludf.DUMMYFUNCTION("""COMPUTED_VALUE"""),"")</f>
        <v/>
      </c>
    </row>
    <row r="13722">
      <c r="A13722" s="16" t="s">
        <v>87</v>
      </c>
      <c r="E13722" s="16" t="str">
        <f>IFERROR(__xludf.DUMMYFUNCTION("""COMPUTED_VALUE"""),"")</f>
        <v/>
      </c>
      <c r="G13722" s="18"/>
      <c r="H13722" s="16" t="s">
        <v>87</v>
      </c>
      <c r="I13722" s="16" t="s">
        <v>87</v>
      </c>
      <c r="J13722" s="19"/>
      <c r="L13722" s="16" t="str">
        <f>IFERROR(__xludf.DUMMYFUNCTION("""COMPUTED_VALUE"""),"")</f>
        <v/>
      </c>
      <c r="M13722" s="16" t="str">
        <f>IFERROR(__xludf.DUMMYFUNCTION("""COMPUTED_VALUE"""),"")</f>
        <v/>
      </c>
      <c r="U13722" s="16" t="s">
        <v>87</v>
      </c>
      <c r="V13722" s="16" t="str">
        <f>IFERROR(__xludf.DUMMYFUNCTION("""COMPUTED_VALUE"""),"")</f>
        <v/>
      </c>
      <c r="W13722" s="16" t="str">
        <f>IFERROR(__xludf.DUMMYFUNCTION("""COMPUTED_VALUE"""),"")</f>
        <v/>
      </c>
      <c r="X13722" s="16" t="str">
        <f>IFERROR(__xludf.DUMMYFUNCTION("""COMPUTED_VALUE"""),"")</f>
        <v/>
      </c>
      <c r="AC13722" s="16" t="str">
        <f>IFERROR(__xludf.DUMMYFUNCTION("""COMPUTED_VALUE"""),"")</f>
        <v/>
      </c>
    </row>
    <row r="13723">
      <c r="A13723" s="16" t="s">
        <v>87</v>
      </c>
      <c r="E13723" s="16" t="str">
        <f>IFERROR(__xludf.DUMMYFUNCTION("""COMPUTED_VALUE"""),"")</f>
        <v/>
      </c>
      <c r="G13723" s="18"/>
      <c r="H13723" s="16" t="s">
        <v>87</v>
      </c>
      <c r="I13723" s="16" t="s">
        <v>87</v>
      </c>
      <c r="J13723" s="19"/>
      <c r="L13723" s="16" t="str">
        <f>IFERROR(__xludf.DUMMYFUNCTION("""COMPUTED_VALUE"""),"")</f>
        <v/>
      </c>
      <c r="M13723" s="16" t="str">
        <f>IFERROR(__xludf.DUMMYFUNCTION("""COMPUTED_VALUE"""),"")</f>
        <v/>
      </c>
      <c r="U13723" s="16" t="s">
        <v>87</v>
      </c>
      <c r="V13723" s="16" t="str">
        <f>IFERROR(__xludf.DUMMYFUNCTION("""COMPUTED_VALUE"""),"")</f>
        <v/>
      </c>
      <c r="W13723" s="16" t="str">
        <f>IFERROR(__xludf.DUMMYFUNCTION("""COMPUTED_VALUE"""),"")</f>
        <v/>
      </c>
      <c r="X13723" s="16" t="str">
        <f>IFERROR(__xludf.DUMMYFUNCTION("""COMPUTED_VALUE"""),"")</f>
        <v/>
      </c>
      <c r="AC13723" s="16" t="str">
        <f>IFERROR(__xludf.DUMMYFUNCTION("""COMPUTED_VALUE"""),"")</f>
        <v/>
      </c>
    </row>
    <row r="13724">
      <c r="A13724" s="16" t="s">
        <v>87</v>
      </c>
      <c r="E13724" s="16" t="str">
        <f>IFERROR(__xludf.DUMMYFUNCTION("""COMPUTED_VALUE"""),"")</f>
        <v/>
      </c>
      <c r="G13724" s="18"/>
      <c r="H13724" s="16" t="s">
        <v>87</v>
      </c>
      <c r="I13724" s="16" t="s">
        <v>87</v>
      </c>
      <c r="J13724" s="19"/>
      <c r="L13724" s="16" t="str">
        <f>IFERROR(__xludf.DUMMYFUNCTION("""COMPUTED_VALUE"""),"")</f>
        <v/>
      </c>
      <c r="M13724" s="16" t="str">
        <f>IFERROR(__xludf.DUMMYFUNCTION("""COMPUTED_VALUE"""),"")</f>
        <v/>
      </c>
      <c r="U13724" s="16" t="s">
        <v>87</v>
      </c>
      <c r="V13724" s="16" t="str">
        <f>IFERROR(__xludf.DUMMYFUNCTION("""COMPUTED_VALUE"""),"")</f>
        <v/>
      </c>
      <c r="W13724" s="16" t="str">
        <f>IFERROR(__xludf.DUMMYFUNCTION("""COMPUTED_VALUE"""),"")</f>
        <v/>
      </c>
      <c r="X13724" s="16" t="str">
        <f>IFERROR(__xludf.DUMMYFUNCTION("""COMPUTED_VALUE"""),"")</f>
        <v/>
      </c>
      <c r="AC13724" s="16" t="str">
        <f>IFERROR(__xludf.DUMMYFUNCTION("""COMPUTED_VALUE"""),"")</f>
        <v/>
      </c>
    </row>
    <row r="13725">
      <c r="A13725" s="16" t="s">
        <v>87</v>
      </c>
      <c r="E13725" s="16" t="str">
        <f>IFERROR(__xludf.DUMMYFUNCTION("""COMPUTED_VALUE"""),"")</f>
        <v/>
      </c>
      <c r="G13725" s="18"/>
      <c r="H13725" s="16" t="s">
        <v>87</v>
      </c>
      <c r="I13725" s="16" t="s">
        <v>87</v>
      </c>
      <c r="J13725" s="19"/>
      <c r="L13725" s="16" t="str">
        <f>IFERROR(__xludf.DUMMYFUNCTION("""COMPUTED_VALUE"""),"")</f>
        <v/>
      </c>
      <c r="M13725" s="16" t="str">
        <f>IFERROR(__xludf.DUMMYFUNCTION("""COMPUTED_VALUE"""),"")</f>
        <v/>
      </c>
      <c r="U13725" s="16" t="s">
        <v>87</v>
      </c>
      <c r="V13725" s="16" t="str">
        <f>IFERROR(__xludf.DUMMYFUNCTION("""COMPUTED_VALUE"""),"")</f>
        <v/>
      </c>
      <c r="W13725" s="16" t="str">
        <f>IFERROR(__xludf.DUMMYFUNCTION("""COMPUTED_VALUE"""),"")</f>
        <v/>
      </c>
      <c r="X13725" s="16" t="str">
        <f>IFERROR(__xludf.DUMMYFUNCTION("""COMPUTED_VALUE"""),"")</f>
        <v/>
      </c>
      <c r="AC13725" s="16" t="str">
        <f>IFERROR(__xludf.DUMMYFUNCTION("""COMPUTED_VALUE"""),"")</f>
        <v/>
      </c>
    </row>
    <row r="13726">
      <c r="A13726" s="16" t="s">
        <v>87</v>
      </c>
      <c r="E13726" s="16" t="str">
        <f>IFERROR(__xludf.DUMMYFUNCTION("""COMPUTED_VALUE"""),"")</f>
        <v/>
      </c>
      <c r="G13726" s="18"/>
      <c r="H13726" s="16" t="s">
        <v>87</v>
      </c>
      <c r="I13726" s="16" t="s">
        <v>87</v>
      </c>
      <c r="J13726" s="19"/>
      <c r="L13726" s="16" t="str">
        <f>IFERROR(__xludf.DUMMYFUNCTION("""COMPUTED_VALUE"""),"")</f>
        <v/>
      </c>
      <c r="M13726" s="16" t="str">
        <f>IFERROR(__xludf.DUMMYFUNCTION("""COMPUTED_VALUE"""),"")</f>
        <v/>
      </c>
      <c r="U13726" s="16" t="s">
        <v>87</v>
      </c>
      <c r="V13726" s="16" t="str">
        <f>IFERROR(__xludf.DUMMYFUNCTION("""COMPUTED_VALUE"""),"")</f>
        <v/>
      </c>
      <c r="W13726" s="16" t="str">
        <f>IFERROR(__xludf.DUMMYFUNCTION("""COMPUTED_VALUE"""),"")</f>
        <v/>
      </c>
      <c r="X13726" s="16" t="str">
        <f>IFERROR(__xludf.DUMMYFUNCTION("""COMPUTED_VALUE"""),"")</f>
        <v/>
      </c>
      <c r="AC13726" s="16" t="str">
        <f>IFERROR(__xludf.DUMMYFUNCTION("""COMPUTED_VALUE"""),"")</f>
        <v/>
      </c>
    </row>
    <row r="13727">
      <c r="A13727" s="16" t="s">
        <v>87</v>
      </c>
      <c r="E13727" s="16" t="str">
        <f>IFERROR(__xludf.DUMMYFUNCTION("""COMPUTED_VALUE"""),"")</f>
        <v/>
      </c>
      <c r="G13727" s="18"/>
      <c r="H13727" s="16" t="s">
        <v>87</v>
      </c>
      <c r="I13727" s="16" t="s">
        <v>87</v>
      </c>
      <c r="J13727" s="19"/>
      <c r="L13727" s="16" t="str">
        <f>IFERROR(__xludf.DUMMYFUNCTION("""COMPUTED_VALUE"""),"")</f>
        <v/>
      </c>
      <c r="M13727" s="16" t="str">
        <f>IFERROR(__xludf.DUMMYFUNCTION("""COMPUTED_VALUE"""),"")</f>
        <v/>
      </c>
      <c r="U13727" s="16" t="s">
        <v>87</v>
      </c>
      <c r="V13727" s="16" t="str">
        <f>IFERROR(__xludf.DUMMYFUNCTION("""COMPUTED_VALUE"""),"")</f>
        <v/>
      </c>
      <c r="W13727" s="16" t="str">
        <f>IFERROR(__xludf.DUMMYFUNCTION("""COMPUTED_VALUE"""),"")</f>
        <v/>
      </c>
      <c r="X13727" s="16" t="str">
        <f>IFERROR(__xludf.DUMMYFUNCTION("""COMPUTED_VALUE"""),"")</f>
        <v/>
      </c>
      <c r="AC13727" s="16" t="str">
        <f>IFERROR(__xludf.DUMMYFUNCTION("""COMPUTED_VALUE"""),"")</f>
        <v/>
      </c>
    </row>
    <row r="13728">
      <c r="A13728" s="16" t="s">
        <v>87</v>
      </c>
      <c r="E13728" s="16" t="str">
        <f>IFERROR(__xludf.DUMMYFUNCTION("""COMPUTED_VALUE"""),"")</f>
        <v/>
      </c>
      <c r="G13728" s="18"/>
      <c r="H13728" s="16" t="s">
        <v>87</v>
      </c>
      <c r="I13728" s="16" t="s">
        <v>87</v>
      </c>
      <c r="J13728" s="19"/>
      <c r="L13728" s="16" t="str">
        <f>IFERROR(__xludf.DUMMYFUNCTION("""COMPUTED_VALUE"""),"")</f>
        <v/>
      </c>
      <c r="M13728" s="16" t="str">
        <f>IFERROR(__xludf.DUMMYFUNCTION("""COMPUTED_VALUE"""),"")</f>
        <v/>
      </c>
      <c r="U13728" s="16" t="s">
        <v>87</v>
      </c>
      <c r="V13728" s="16" t="str">
        <f>IFERROR(__xludf.DUMMYFUNCTION("""COMPUTED_VALUE"""),"")</f>
        <v/>
      </c>
      <c r="W13728" s="16" t="str">
        <f>IFERROR(__xludf.DUMMYFUNCTION("""COMPUTED_VALUE"""),"")</f>
        <v/>
      </c>
      <c r="X13728" s="16" t="str">
        <f>IFERROR(__xludf.DUMMYFUNCTION("""COMPUTED_VALUE"""),"")</f>
        <v/>
      </c>
      <c r="AC13728" s="16" t="str">
        <f>IFERROR(__xludf.DUMMYFUNCTION("""COMPUTED_VALUE"""),"")</f>
        <v/>
      </c>
    </row>
    <row r="13729">
      <c r="A13729" s="16" t="s">
        <v>87</v>
      </c>
      <c r="E13729" s="16" t="str">
        <f>IFERROR(__xludf.DUMMYFUNCTION("""COMPUTED_VALUE"""),"")</f>
        <v/>
      </c>
      <c r="G13729" s="18"/>
      <c r="H13729" s="16" t="s">
        <v>87</v>
      </c>
      <c r="I13729" s="16" t="s">
        <v>87</v>
      </c>
      <c r="J13729" s="19"/>
      <c r="L13729" s="16" t="str">
        <f>IFERROR(__xludf.DUMMYFUNCTION("""COMPUTED_VALUE"""),"")</f>
        <v/>
      </c>
      <c r="M13729" s="16" t="str">
        <f>IFERROR(__xludf.DUMMYFUNCTION("""COMPUTED_VALUE"""),"")</f>
        <v/>
      </c>
      <c r="U13729" s="16" t="s">
        <v>87</v>
      </c>
      <c r="V13729" s="16" t="str">
        <f>IFERROR(__xludf.DUMMYFUNCTION("""COMPUTED_VALUE"""),"")</f>
        <v/>
      </c>
      <c r="W13729" s="16" t="str">
        <f>IFERROR(__xludf.DUMMYFUNCTION("""COMPUTED_VALUE"""),"")</f>
        <v/>
      </c>
      <c r="X13729" s="16" t="str">
        <f>IFERROR(__xludf.DUMMYFUNCTION("""COMPUTED_VALUE"""),"")</f>
        <v/>
      </c>
      <c r="AC13729" s="16" t="str">
        <f>IFERROR(__xludf.DUMMYFUNCTION("""COMPUTED_VALUE"""),"")</f>
        <v/>
      </c>
    </row>
    <row r="13730">
      <c r="A13730" s="16" t="s">
        <v>87</v>
      </c>
      <c r="E13730" s="16" t="str">
        <f>IFERROR(__xludf.DUMMYFUNCTION("""COMPUTED_VALUE"""),"")</f>
        <v/>
      </c>
      <c r="G13730" s="18"/>
      <c r="H13730" s="16" t="s">
        <v>87</v>
      </c>
      <c r="I13730" s="16" t="s">
        <v>87</v>
      </c>
      <c r="J13730" s="19"/>
      <c r="L13730" s="16" t="str">
        <f>IFERROR(__xludf.DUMMYFUNCTION("""COMPUTED_VALUE"""),"")</f>
        <v/>
      </c>
      <c r="M13730" s="16" t="str">
        <f>IFERROR(__xludf.DUMMYFUNCTION("""COMPUTED_VALUE"""),"")</f>
        <v/>
      </c>
      <c r="U13730" s="16" t="s">
        <v>87</v>
      </c>
      <c r="V13730" s="16" t="str">
        <f>IFERROR(__xludf.DUMMYFUNCTION("""COMPUTED_VALUE"""),"")</f>
        <v/>
      </c>
      <c r="W13730" s="16" t="str">
        <f>IFERROR(__xludf.DUMMYFUNCTION("""COMPUTED_VALUE"""),"")</f>
        <v/>
      </c>
      <c r="X13730" s="16" t="str">
        <f>IFERROR(__xludf.DUMMYFUNCTION("""COMPUTED_VALUE"""),"")</f>
        <v/>
      </c>
      <c r="AC13730" s="16" t="str">
        <f>IFERROR(__xludf.DUMMYFUNCTION("""COMPUTED_VALUE"""),"")</f>
        <v/>
      </c>
    </row>
    <row r="13731">
      <c r="A13731" s="16" t="s">
        <v>87</v>
      </c>
      <c r="E13731" s="16" t="str">
        <f>IFERROR(__xludf.DUMMYFUNCTION("""COMPUTED_VALUE"""),"")</f>
        <v/>
      </c>
      <c r="G13731" s="18"/>
      <c r="H13731" s="16" t="s">
        <v>87</v>
      </c>
      <c r="I13731" s="16" t="s">
        <v>87</v>
      </c>
      <c r="J13731" s="19"/>
      <c r="L13731" s="16" t="str">
        <f>IFERROR(__xludf.DUMMYFUNCTION("""COMPUTED_VALUE"""),"")</f>
        <v/>
      </c>
      <c r="M13731" s="16" t="str">
        <f>IFERROR(__xludf.DUMMYFUNCTION("""COMPUTED_VALUE"""),"")</f>
        <v/>
      </c>
      <c r="U13731" s="16" t="s">
        <v>87</v>
      </c>
      <c r="V13731" s="16" t="str">
        <f>IFERROR(__xludf.DUMMYFUNCTION("""COMPUTED_VALUE"""),"")</f>
        <v/>
      </c>
      <c r="W13731" s="16" t="str">
        <f>IFERROR(__xludf.DUMMYFUNCTION("""COMPUTED_VALUE"""),"")</f>
        <v/>
      </c>
      <c r="X13731" s="16" t="str">
        <f>IFERROR(__xludf.DUMMYFUNCTION("""COMPUTED_VALUE"""),"")</f>
        <v/>
      </c>
      <c r="AC13731" s="16" t="str">
        <f>IFERROR(__xludf.DUMMYFUNCTION("""COMPUTED_VALUE"""),"")</f>
        <v/>
      </c>
    </row>
    <row r="13732">
      <c r="A13732" s="16" t="s">
        <v>87</v>
      </c>
      <c r="E13732" s="16" t="str">
        <f>IFERROR(__xludf.DUMMYFUNCTION("""COMPUTED_VALUE"""),"")</f>
        <v/>
      </c>
      <c r="G13732" s="18"/>
      <c r="H13732" s="16" t="s">
        <v>87</v>
      </c>
      <c r="I13732" s="16" t="s">
        <v>87</v>
      </c>
      <c r="J13732" s="19"/>
      <c r="L13732" s="16" t="str">
        <f>IFERROR(__xludf.DUMMYFUNCTION("""COMPUTED_VALUE"""),"")</f>
        <v/>
      </c>
      <c r="M13732" s="16" t="str">
        <f>IFERROR(__xludf.DUMMYFUNCTION("""COMPUTED_VALUE"""),"")</f>
        <v/>
      </c>
      <c r="U13732" s="16" t="s">
        <v>87</v>
      </c>
      <c r="V13732" s="16" t="str">
        <f>IFERROR(__xludf.DUMMYFUNCTION("""COMPUTED_VALUE"""),"")</f>
        <v/>
      </c>
      <c r="W13732" s="16" t="str">
        <f>IFERROR(__xludf.DUMMYFUNCTION("""COMPUTED_VALUE"""),"")</f>
        <v/>
      </c>
      <c r="X13732" s="16" t="str">
        <f>IFERROR(__xludf.DUMMYFUNCTION("""COMPUTED_VALUE"""),"")</f>
        <v/>
      </c>
      <c r="AC13732" s="16" t="str">
        <f>IFERROR(__xludf.DUMMYFUNCTION("""COMPUTED_VALUE"""),"")</f>
        <v/>
      </c>
    </row>
    <row r="13733">
      <c r="A13733" s="16" t="s">
        <v>87</v>
      </c>
      <c r="E13733" s="16" t="str">
        <f>IFERROR(__xludf.DUMMYFUNCTION("""COMPUTED_VALUE"""),"")</f>
        <v/>
      </c>
      <c r="G13733" s="18"/>
      <c r="H13733" s="16" t="s">
        <v>87</v>
      </c>
      <c r="I13733" s="16" t="s">
        <v>87</v>
      </c>
      <c r="J13733" s="19"/>
      <c r="L13733" s="16" t="str">
        <f>IFERROR(__xludf.DUMMYFUNCTION("""COMPUTED_VALUE"""),"")</f>
        <v/>
      </c>
      <c r="M13733" s="16" t="str">
        <f>IFERROR(__xludf.DUMMYFUNCTION("""COMPUTED_VALUE"""),"")</f>
        <v/>
      </c>
      <c r="U13733" s="16" t="s">
        <v>87</v>
      </c>
      <c r="V13733" s="16" t="str">
        <f>IFERROR(__xludf.DUMMYFUNCTION("""COMPUTED_VALUE"""),"")</f>
        <v/>
      </c>
      <c r="W13733" s="16" t="str">
        <f>IFERROR(__xludf.DUMMYFUNCTION("""COMPUTED_VALUE"""),"")</f>
        <v/>
      </c>
      <c r="X13733" s="16" t="str">
        <f>IFERROR(__xludf.DUMMYFUNCTION("""COMPUTED_VALUE"""),"")</f>
        <v/>
      </c>
      <c r="AC13733" s="16" t="str">
        <f>IFERROR(__xludf.DUMMYFUNCTION("""COMPUTED_VALUE"""),"")</f>
        <v/>
      </c>
    </row>
    <row r="13734">
      <c r="A13734" s="16" t="s">
        <v>87</v>
      </c>
      <c r="E13734" s="16" t="str">
        <f>IFERROR(__xludf.DUMMYFUNCTION("""COMPUTED_VALUE"""),"")</f>
        <v/>
      </c>
      <c r="G13734" s="18"/>
      <c r="H13734" s="16" t="s">
        <v>87</v>
      </c>
      <c r="I13734" s="16" t="s">
        <v>87</v>
      </c>
      <c r="J13734" s="19"/>
      <c r="L13734" s="16" t="str">
        <f>IFERROR(__xludf.DUMMYFUNCTION("""COMPUTED_VALUE"""),"")</f>
        <v/>
      </c>
      <c r="M13734" s="16" t="str">
        <f>IFERROR(__xludf.DUMMYFUNCTION("""COMPUTED_VALUE"""),"")</f>
        <v/>
      </c>
      <c r="U13734" s="16" t="s">
        <v>87</v>
      </c>
      <c r="V13734" s="16" t="str">
        <f>IFERROR(__xludf.DUMMYFUNCTION("""COMPUTED_VALUE"""),"")</f>
        <v/>
      </c>
      <c r="W13734" s="16" t="str">
        <f>IFERROR(__xludf.DUMMYFUNCTION("""COMPUTED_VALUE"""),"")</f>
        <v/>
      </c>
      <c r="X13734" s="16" t="str">
        <f>IFERROR(__xludf.DUMMYFUNCTION("""COMPUTED_VALUE"""),"")</f>
        <v/>
      </c>
      <c r="AC13734" s="16" t="str">
        <f>IFERROR(__xludf.DUMMYFUNCTION("""COMPUTED_VALUE"""),"")</f>
        <v/>
      </c>
    </row>
    <row r="13735">
      <c r="A13735" s="16" t="s">
        <v>87</v>
      </c>
      <c r="E13735" s="16" t="str">
        <f>IFERROR(__xludf.DUMMYFUNCTION("""COMPUTED_VALUE"""),"")</f>
        <v/>
      </c>
      <c r="G13735" s="18"/>
      <c r="H13735" s="16" t="s">
        <v>87</v>
      </c>
      <c r="I13735" s="16" t="s">
        <v>87</v>
      </c>
      <c r="J13735" s="19"/>
      <c r="L13735" s="16" t="str">
        <f>IFERROR(__xludf.DUMMYFUNCTION("""COMPUTED_VALUE"""),"")</f>
        <v/>
      </c>
      <c r="M13735" s="16" t="str">
        <f>IFERROR(__xludf.DUMMYFUNCTION("""COMPUTED_VALUE"""),"")</f>
        <v/>
      </c>
      <c r="U13735" s="16" t="s">
        <v>87</v>
      </c>
      <c r="V13735" s="16" t="str">
        <f>IFERROR(__xludf.DUMMYFUNCTION("""COMPUTED_VALUE"""),"")</f>
        <v/>
      </c>
      <c r="W13735" s="16" t="str">
        <f>IFERROR(__xludf.DUMMYFUNCTION("""COMPUTED_VALUE"""),"")</f>
        <v/>
      </c>
      <c r="X13735" s="16" t="str">
        <f>IFERROR(__xludf.DUMMYFUNCTION("""COMPUTED_VALUE"""),"")</f>
        <v/>
      </c>
      <c r="AC13735" s="16" t="str">
        <f>IFERROR(__xludf.DUMMYFUNCTION("""COMPUTED_VALUE"""),"")</f>
        <v/>
      </c>
    </row>
    <row r="13736">
      <c r="A13736" s="16" t="s">
        <v>87</v>
      </c>
      <c r="E13736" s="16" t="str">
        <f>IFERROR(__xludf.DUMMYFUNCTION("""COMPUTED_VALUE"""),"")</f>
        <v/>
      </c>
      <c r="G13736" s="18"/>
      <c r="H13736" s="16" t="s">
        <v>87</v>
      </c>
      <c r="I13736" s="16" t="s">
        <v>87</v>
      </c>
      <c r="J13736" s="19"/>
      <c r="L13736" s="16" t="str">
        <f>IFERROR(__xludf.DUMMYFUNCTION("""COMPUTED_VALUE"""),"")</f>
        <v/>
      </c>
      <c r="M13736" s="16" t="str">
        <f>IFERROR(__xludf.DUMMYFUNCTION("""COMPUTED_VALUE"""),"")</f>
        <v/>
      </c>
      <c r="U13736" s="16" t="s">
        <v>87</v>
      </c>
      <c r="V13736" s="16" t="str">
        <f>IFERROR(__xludf.DUMMYFUNCTION("""COMPUTED_VALUE"""),"")</f>
        <v/>
      </c>
      <c r="W13736" s="16" t="str">
        <f>IFERROR(__xludf.DUMMYFUNCTION("""COMPUTED_VALUE"""),"")</f>
        <v/>
      </c>
      <c r="X13736" s="16" t="str">
        <f>IFERROR(__xludf.DUMMYFUNCTION("""COMPUTED_VALUE"""),"")</f>
        <v/>
      </c>
      <c r="AC13736" s="16" t="str">
        <f>IFERROR(__xludf.DUMMYFUNCTION("""COMPUTED_VALUE"""),"")</f>
        <v/>
      </c>
    </row>
    <row r="13737">
      <c r="A13737" s="16" t="s">
        <v>87</v>
      </c>
      <c r="E13737" s="16" t="str">
        <f>IFERROR(__xludf.DUMMYFUNCTION("""COMPUTED_VALUE"""),"")</f>
        <v/>
      </c>
      <c r="G13737" s="18"/>
      <c r="H13737" s="16" t="s">
        <v>87</v>
      </c>
      <c r="I13737" s="16" t="s">
        <v>87</v>
      </c>
      <c r="J13737" s="19"/>
      <c r="L13737" s="16" t="str">
        <f>IFERROR(__xludf.DUMMYFUNCTION("""COMPUTED_VALUE"""),"")</f>
        <v/>
      </c>
      <c r="M13737" s="16" t="str">
        <f>IFERROR(__xludf.DUMMYFUNCTION("""COMPUTED_VALUE"""),"")</f>
        <v/>
      </c>
      <c r="U13737" s="16" t="s">
        <v>87</v>
      </c>
      <c r="V13737" s="16" t="str">
        <f>IFERROR(__xludf.DUMMYFUNCTION("""COMPUTED_VALUE"""),"")</f>
        <v/>
      </c>
      <c r="W13737" s="16" t="str">
        <f>IFERROR(__xludf.DUMMYFUNCTION("""COMPUTED_VALUE"""),"")</f>
        <v/>
      </c>
      <c r="X13737" s="16" t="str">
        <f>IFERROR(__xludf.DUMMYFUNCTION("""COMPUTED_VALUE"""),"")</f>
        <v/>
      </c>
      <c r="AC13737" s="16" t="str">
        <f>IFERROR(__xludf.DUMMYFUNCTION("""COMPUTED_VALUE"""),"")</f>
        <v/>
      </c>
    </row>
    <row r="13738">
      <c r="A13738" s="16" t="s">
        <v>87</v>
      </c>
      <c r="E13738" s="16" t="str">
        <f>IFERROR(__xludf.DUMMYFUNCTION("""COMPUTED_VALUE"""),"")</f>
        <v/>
      </c>
      <c r="G13738" s="18"/>
      <c r="H13738" s="16" t="s">
        <v>87</v>
      </c>
      <c r="I13738" s="16" t="s">
        <v>87</v>
      </c>
      <c r="J13738" s="19"/>
      <c r="L13738" s="16" t="str">
        <f>IFERROR(__xludf.DUMMYFUNCTION("""COMPUTED_VALUE"""),"")</f>
        <v/>
      </c>
      <c r="M13738" s="16" t="str">
        <f>IFERROR(__xludf.DUMMYFUNCTION("""COMPUTED_VALUE"""),"")</f>
        <v/>
      </c>
      <c r="U13738" s="16" t="s">
        <v>87</v>
      </c>
      <c r="V13738" s="16" t="str">
        <f>IFERROR(__xludf.DUMMYFUNCTION("""COMPUTED_VALUE"""),"")</f>
        <v/>
      </c>
      <c r="W13738" s="16" t="str">
        <f>IFERROR(__xludf.DUMMYFUNCTION("""COMPUTED_VALUE"""),"")</f>
        <v/>
      </c>
      <c r="X13738" s="16" t="str">
        <f>IFERROR(__xludf.DUMMYFUNCTION("""COMPUTED_VALUE"""),"")</f>
        <v/>
      </c>
      <c r="AC13738" s="16" t="str">
        <f>IFERROR(__xludf.DUMMYFUNCTION("""COMPUTED_VALUE"""),"")</f>
        <v/>
      </c>
    </row>
    <row r="13739">
      <c r="A13739" s="16" t="s">
        <v>87</v>
      </c>
      <c r="E13739" s="16" t="str">
        <f>IFERROR(__xludf.DUMMYFUNCTION("""COMPUTED_VALUE"""),"")</f>
        <v/>
      </c>
      <c r="G13739" s="18"/>
      <c r="H13739" s="16" t="s">
        <v>87</v>
      </c>
      <c r="I13739" s="16" t="s">
        <v>87</v>
      </c>
      <c r="J13739" s="19"/>
      <c r="L13739" s="16" t="str">
        <f>IFERROR(__xludf.DUMMYFUNCTION("""COMPUTED_VALUE"""),"")</f>
        <v/>
      </c>
      <c r="M13739" s="16" t="str">
        <f>IFERROR(__xludf.DUMMYFUNCTION("""COMPUTED_VALUE"""),"")</f>
        <v/>
      </c>
      <c r="U13739" s="16" t="s">
        <v>87</v>
      </c>
      <c r="V13739" s="16" t="str">
        <f>IFERROR(__xludf.DUMMYFUNCTION("""COMPUTED_VALUE"""),"")</f>
        <v/>
      </c>
      <c r="W13739" s="16" t="str">
        <f>IFERROR(__xludf.DUMMYFUNCTION("""COMPUTED_VALUE"""),"")</f>
        <v/>
      </c>
      <c r="X13739" s="16" t="str">
        <f>IFERROR(__xludf.DUMMYFUNCTION("""COMPUTED_VALUE"""),"")</f>
        <v/>
      </c>
      <c r="AC13739" s="16" t="str">
        <f>IFERROR(__xludf.DUMMYFUNCTION("""COMPUTED_VALUE"""),"")</f>
        <v/>
      </c>
    </row>
    <row r="13740">
      <c r="A13740" s="16" t="s">
        <v>87</v>
      </c>
      <c r="E13740" s="16" t="str">
        <f>IFERROR(__xludf.DUMMYFUNCTION("""COMPUTED_VALUE"""),"")</f>
        <v/>
      </c>
      <c r="G13740" s="18"/>
      <c r="H13740" s="16" t="s">
        <v>87</v>
      </c>
      <c r="I13740" s="16" t="s">
        <v>87</v>
      </c>
      <c r="J13740" s="19"/>
      <c r="L13740" s="16" t="str">
        <f>IFERROR(__xludf.DUMMYFUNCTION("""COMPUTED_VALUE"""),"")</f>
        <v/>
      </c>
      <c r="M13740" s="16" t="str">
        <f>IFERROR(__xludf.DUMMYFUNCTION("""COMPUTED_VALUE"""),"")</f>
        <v/>
      </c>
      <c r="U13740" s="16" t="s">
        <v>87</v>
      </c>
      <c r="V13740" s="16" t="str">
        <f>IFERROR(__xludf.DUMMYFUNCTION("""COMPUTED_VALUE"""),"")</f>
        <v/>
      </c>
      <c r="W13740" s="16" t="str">
        <f>IFERROR(__xludf.DUMMYFUNCTION("""COMPUTED_VALUE"""),"")</f>
        <v/>
      </c>
      <c r="X13740" s="16" t="str">
        <f>IFERROR(__xludf.DUMMYFUNCTION("""COMPUTED_VALUE"""),"")</f>
        <v/>
      </c>
      <c r="AC13740" s="16" t="str">
        <f>IFERROR(__xludf.DUMMYFUNCTION("""COMPUTED_VALUE"""),"")</f>
        <v/>
      </c>
    </row>
    <row r="13741">
      <c r="A13741" s="16" t="s">
        <v>87</v>
      </c>
      <c r="E13741" s="16" t="str">
        <f>IFERROR(__xludf.DUMMYFUNCTION("""COMPUTED_VALUE"""),"")</f>
        <v/>
      </c>
      <c r="G13741" s="18"/>
      <c r="H13741" s="16" t="s">
        <v>87</v>
      </c>
      <c r="I13741" s="16" t="s">
        <v>87</v>
      </c>
      <c r="J13741" s="19"/>
      <c r="L13741" s="16" t="str">
        <f>IFERROR(__xludf.DUMMYFUNCTION("""COMPUTED_VALUE"""),"")</f>
        <v/>
      </c>
      <c r="M13741" s="16" t="str">
        <f>IFERROR(__xludf.DUMMYFUNCTION("""COMPUTED_VALUE"""),"")</f>
        <v/>
      </c>
      <c r="U13741" s="16" t="s">
        <v>87</v>
      </c>
      <c r="V13741" s="16" t="str">
        <f>IFERROR(__xludf.DUMMYFUNCTION("""COMPUTED_VALUE"""),"")</f>
        <v/>
      </c>
      <c r="W13741" s="16" t="str">
        <f>IFERROR(__xludf.DUMMYFUNCTION("""COMPUTED_VALUE"""),"")</f>
        <v/>
      </c>
      <c r="X13741" s="16" t="str">
        <f>IFERROR(__xludf.DUMMYFUNCTION("""COMPUTED_VALUE"""),"")</f>
        <v/>
      </c>
      <c r="AC13741" s="16" t="str">
        <f>IFERROR(__xludf.DUMMYFUNCTION("""COMPUTED_VALUE"""),"")</f>
        <v/>
      </c>
    </row>
    <row r="13742">
      <c r="A13742" s="16" t="s">
        <v>87</v>
      </c>
      <c r="E13742" s="16" t="str">
        <f>IFERROR(__xludf.DUMMYFUNCTION("""COMPUTED_VALUE"""),"")</f>
        <v/>
      </c>
      <c r="G13742" s="18"/>
      <c r="H13742" s="16" t="s">
        <v>87</v>
      </c>
      <c r="I13742" s="16" t="s">
        <v>87</v>
      </c>
      <c r="J13742" s="19"/>
      <c r="L13742" s="16" t="str">
        <f>IFERROR(__xludf.DUMMYFUNCTION("""COMPUTED_VALUE"""),"")</f>
        <v/>
      </c>
      <c r="M13742" s="16" t="str">
        <f>IFERROR(__xludf.DUMMYFUNCTION("""COMPUTED_VALUE"""),"")</f>
        <v/>
      </c>
      <c r="U13742" s="16" t="s">
        <v>87</v>
      </c>
      <c r="V13742" s="16" t="str">
        <f>IFERROR(__xludf.DUMMYFUNCTION("""COMPUTED_VALUE"""),"")</f>
        <v/>
      </c>
      <c r="W13742" s="16" t="str">
        <f>IFERROR(__xludf.DUMMYFUNCTION("""COMPUTED_VALUE"""),"")</f>
        <v/>
      </c>
      <c r="X13742" s="16" t="str">
        <f>IFERROR(__xludf.DUMMYFUNCTION("""COMPUTED_VALUE"""),"")</f>
        <v/>
      </c>
      <c r="AC13742" s="16" t="str">
        <f>IFERROR(__xludf.DUMMYFUNCTION("""COMPUTED_VALUE"""),"")</f>
        <v/>
      </c>
    </row>
    <row r="13743">
      <c r="A13743" s="16" t="s">
        <v>87</v>
      </c>
      <c r="E13743" s="16" t="str">
        <f>IFERROR(__xludf.DUMMYFUNCTION("""COMPUTED_VALUE"""),"")</f>
        <v/>
      </c>
      <c r="G13743" s="18"/>
      <c r="H13743" s="16" t="s">
        <v>87</v>
      </c>
      <c r="I13743" s="16" t="s">
        <v>87</v>
      </c>
      <c r="J13743" s="19"/>
      <c r="L13743" s="16" t="str">
        <f>IFERROR(__xludf.DUMMYFUNCTION("""COMPUTED_VALUE"""),"")</f>
        <v/>
      </c>
      <c r="M13743" s="16" t="str">
        <f>IFERROR(__xludf.DUMMYFUNCTION("""COMPUTED_VALUE"""),"")</f>
        <v/>
      </c>
      <c r="U13743" s="16" t="s">
        <v>87</v>
      </c>
      <c r="V13743" s="16" t="str">
        <f>IFERROR(__xludf.DUMMYFUNCTION("""COMPUTED_VALUE"""),"")</f>
        <v/>
      </c>
      <c r="W13743" s="16" t="str">
        <f>IFERROR(__xludf.DUMMYFUNCTION("""COMPUTED_VALUE"""),"")</f>
        <v/>
      </c>
      <c r="X13743" s="16" t="str">
        <f>IFERROR(__xludf.DUMMYFUNCTION("""COMPUTED_VALUE"""),"")</f>
        <v/>
      </c>
      <c r="AC13743" s="16" t="str">
        <f>IFERROR(__xludf.DUMMYFUNCTION("""COMPUTED_VALUE"""),"")</f>
        <v/>
      </c>
    </row>
    <row r="13744">
      <c r="A13744" s="16" t="s">
        <v>87</v>
      </c>
      <c r="E13744" s="16" t="str">
        <f>IFERROR(__xludf.DUMMYFUNCTION("""COMPUTED_VALUE"""),"")</f>
        <v/>
      </c>
      <c r="G13744" s="18"/>
      <c r="H13744" s="16" t="s">
        <v>87</v>
      </c>
      <c r="I13744" s="16" t="s">
        <v>87</v>
      </c>
      <c r="J13744" s="19"/>
      <c r="L13744" s="16" t="str">
        <f>IFERROR(__xludf.DUMMYFUNCTION("""COMPUTED_VALUE"""),"")</f>
        <v/>
      </c>
      <c r="M13744" s="16" t="str">
        <f>IFERROR(__xludf.DUMMYFUNCTION("""COMPUTED_VALUE"""),"")</f>
        <v/>
      </c>
      <c r="U13744" s="16" t="s">
        <v>87</v>
      </c>
      <c r="V13744" s="16" t="str">
        <f>IFERROR(__xludf.DUMMYFUNCTION("""COMPUTED_VALUE"""),"")</f>
        <v/>
      </c>
      <c r="W13744" s="16" t="str">
        <f>IFERROR(__xludf.DUMMYFUNCTION("""COMPUTED_VALUE"""),"")</f>
        <v/>
      </c>
      <c r="X13744" s="16" t="str">
        <f>IFERROR(__xludf.DUMMYFUNCTION("""COMPUTED_VALUE"""),"")</f>
        <v/>
      </c>
      <c r="AC13744" s="16" t="str">
        <f>IFERROR(__xludf.DUMMYFUNCTION("""COMPUTED_VALUE"""),"")</f>
        <v/>
      </c>
    </row>
    <row r="13745">
      <c r="A13745" s="16" t="s">
        <v>87</v>
      </c>
      <c r="E13745" s="16" t="str">
        <f>IFERROR(__xludf.DUMMYFUNCTION("""COMPUTED_VALUE"""),"")</f>
        <v/>
      </c>
      <c r="G13745" s="18"/>
      <c r="H13745" s="16" t="s">
        <v>87</v>
      </c>
      <c r="I13745" s="16" t="s">
        <v>87</v>
      </c>
      <c r="J13745" s="19"/>
      <c r="L13745" s="16" t="str">
        <f>IFERROR(__xludf.DUMMYFUNCTION("""COMPUTED_VALUE"""),"")</f>
        <v/>
      </c>
      <c r="M13745" s="16" t="str">
        <f>IFERROR(__xludf.DUMMYFUNCTION("""COMPUTED_VALUE"""),"")</f>
        <v/>
      </c>
      <c r="U13745" s="16" t="s">
        <v>87</v>
      </c>
      <c r="V13745" s="16" t="str">
        <f>IFERROR(__xludf.DUMMYFUNCTION("""COMPUTED_VALUE"""),"")</f>
        <v/>
      </c>
      <c r="W13745" s="16" t="str">
        <f>IFERROR(__xludf.DUMMYFUNCTION("""COMPUTED_VALUE"""),"")</f>
        <v/>
      </c>
      <c r="X13745" s="16" t="str">
        <f>IFERROR(__xludf.DUMMYFUNCTION("""COMPUTED_VALUE"""),"")</f>
        <v/>
      </c>
      <c r="AC13745" s="16" t="str">
        <f>IFERROR(__xludf.DUMMYFUNCTION("""COMPUTED_VALUE"""),"")</f>
        <v/>
      </c>
    </row>
    <row r="13746">
      <c r="A13746" s="16" t="s">
        <v>87</v>
      </c>
      <c r="E13746" s="16" t="str">
        <f>IFERROR(__xludf.DUMMYFUNCTION("""COMPUTED_VALUE"""),"")</f>
        <v/>
      </c>
      <c r="G13746" s="18"/>
      <c r="H13746" s="16" t="s">
        <v>87</v>
      </c>
      <c r="I13746" s="16" t="s">
        <v>87</v>
      </c>
      <c r="J13746" s="19"/>
      <c r="L13746" s="16" t="str">
        <f>IFERROR(__xludf.DUMMYFUNCTION("""COMPUTED_VALUE"""),"")</f>
        <v/>
      </c>
      <c r="M13746" s="16" t="str">
        <f>IFERROR(__xludf.DUMMYFUNCTION("""COMPUTED_VALUE"""),"")</f>
        <v/>
      </c>
      <c r="U13746" s="16" t="s">
        <v>87</v>
      </c>
      <c r="V13746" s="16" t="str">
        <f>IFERROR(__xludf.DUMMYFUNCTION("""COMPUTED_VALUE"""),"")</f>
        <v/>
      </c>
      <c r="W13746" s="16" t="str">
        <f>IFERROR(__xludf.DUMMYFUNCTION("""COMPUTED_VALUE"""),"")</f>
        <v/>
      </c>
      <c r="X13746" s="16" t="str">
        <f>IFERROR(__xludf.DUMMYFUNCTION("""COMPUTED_VALUE"""),"")</f>
        <v/>
      </c>
      <c r="AC13746" s="16" t="str">
        <f>IFERROR(__xludf.DUMMYFUNCTION("""COMPUTED_VALUE"""),"")</f>
        <v/>
      </c>
    </row>
    <row r="13747">
      <c r="A13747" s="16" t="s">
        <v>87</v>
      </c>
      <c r="E13747" s="16" t="str">
        <f>IFERROR(__xludf.DUMMYFUNCTION("""COMPUTED_VALUE"""),"")</f>
        <v/>
      </c>
      <c r="G13747" s="18"/>
      <c r="H13747" s="16" t="s">
        <v>87</v>
      </c>
      <c r="I13747" s="16" t="s">
        <v>87</v>
      </c>
      <c r="J13747" s="19"/>
      <c r="L13747" s="16" t="str">
        <f>IFERROR(__xludf.DUMMYFUNCTION("""COMPUTED_VALUE"""),"")</f>
        <v/>
      </c>
      <c r="M13747" s="16" t="str">
        <f>IFERROR(__xludf.DUMMYFUNCTION("""COMPUTED_VALUE"""),"")</f>
        <v/>
      </c>
      <c r="U13747" s="16" t="s">
        <v>87</v>
      </c>
      <c r="V13747" s="16" t="str">
        <f>IFERROR(__xludf.DUMMYFUNCTION("""COMPUTED_VALUE"""),"")</f>
        <v/>
      </c>
      <c r="W13747" s="16" t="str">
        <f>IFERROR(__xludf.DUMMYFUNCTION("""COMPUTED_VALUE"""),"")</f>
        <v/>
      </c>
      <c r="X13747" s="16" t="str">
        <f>IFERROR(__xludf.DUMMYFUNCTION("""COMPUTED_VALUE"""),"")</f>
        <v/>
      </c>
      <c r="AC13747" s="16" t="str">
        <f>IFERROR(__xludf.DUMMYFUNCTION("""COMPUTED_VALUE"""),"")</f>
        <v/>
      </c>
    </row>
    <row r="13748">
      <c r="A13748" s="16" t="s">
        <v>87</v>
      </c>
      <c r="E13748" s="16" t="str">
        <f>IFERROR(__xludf.DUMMYFUNCTION("""COMPUTED_VALUE"""),"")</f>
        <v/>
      </c>
      <c r="G13748" s="18"/>
      <c r="H13748" s="16" t="s">
        <v>87</v>
      </c>
      <c r="I13748" s="16" t="s">
        <v>87</v>
      </c>
      <c r="J13748" s="19"/>
      <c r="L13748" s="16" t="str">
        <f>IFERROR(__xludf.DUMMYFUNCTION("""COMPUTED_VALUE"""),"")</f>
        <v/>
      </c>
      <c r="M13748" s="16" t="str">
        <f>IFERROR(__xludf.DUMMYFUNCTION("""COMPUTED_VALUE"""),"")</f>
        <v/>
      </c>
      <c r="U13748" s="16" t="s">
        <v>87</v>
      </c>
      <c r="V13748" s="16" t="str">
        <f>IFERROR(__xludf.DUMMYFUNCTION("""COMPUTED_VALUE"""),"")</f>
        <v/>
      </c>
      <c r="W13748" s="16" t="str">
        <f>IFERROR(__xludf.DUMMYFUNCTION("""COMPUTED_VALUE"""),"")</f>
        <v/>
      </c>
      <c r="X13748" s="16" t="str">
        <f>IFERROR(__xludf.DUMMYFUNCTION("""COMPUTED_VALUE"""),"")</f>
        <v/>
      </c>
      <c r="AC13748" s="16" t="str">
        <f>IFERROR(__xludf.DUMMYFUNCTION("""COMPUTED_VALUE"""),"")</f>
        <v/>
      </c>
    </row>
    <row r="13749">
      <c r="A13749" s="16" t="s">
        <v>87</v>
      </c>
      <c r="E13749" s="16" t="str">
        <f>IFERROR(__xludf.DUMMYFUNCTION("""COMPUTED_VALUE"""),"")</f>
        <v/>
      </c>
      <c r="G13749" s="18"/>
      <c r="H13749" s="16" t="s">
        <v>87</v>
      </c>
      <c r="I13749" s="16" t="s">
        <v>87</v>
      </c>
      <c r="J13749" s="19"/>
      <c r="L13749" s="16" t="str">
        <f>IFERROR(__xludf.DUMMYFUNCTION("""COMPUTED_VALUE"""),"")</f>
        <v/>
      </c>
      <c r="M13749" s="16" t="str">
        <f>IFERROR(__xludf.DUMMYFUNCTION("""COMPUTED_VALUE"""),"")</f>
        <v/>
      </c>
      <c r="U13749" s="16" t="s">
        <v>87</v>
      </c>
      <c r="V13749" s="16" t="str">
        <f>IFERROR(__xludf.DUMMYFUNCTION("""COMPUTED_VALUE"""),"")</f>
        <v/>
      </c>
      <c r="W13749" s="16" t="str">
        <f>IFERROR(__xludf.DUMMYFUNCTION("""COMPUTED_VALUE"""),"")</f>
        <v/>
      </c>
      <c r="X13749" s="16" t="str">
        <f>IFERROR(__xludf.DUMMYFUNCTION("""COMPUTED_VALUE"""),"")</f>
        <v/>
      </c>
      <c r="AC13749" s="16" t="str">
        <f>IFERROR(__xludf.DUMMYFUNCTION("""COMPUTED_VALUE"""),"")</f>
        <v/>
      </c>
    </row>
    <row r="13750">
      <c r="A13750" s="16" t="s">
        <v>87</v>
      </c>
      <c r="E13750" s="16" t="str">
        <f>IFERROR(__xludf.DUMMYFUNCTION("""COMPUTED_VALUE"""),"")</f>
        <v/>
      </c>
      <c r="G13750" s="18"/>
      <c r="H13750" s="16" t="s">
        <v>87</v>
      </c>
      <c r="I13750" s="16" t="s">
        <v>87</v>
      </c>
      <c r="J13750" s="19"/>
      <c r="L13750" s="16" t="str">
        <f>IFERROR(__xludf.DUMMYFUNCTION("""COMPUTED_VALUE"""),"")</f>
        <v/>
      </c>
      <c r="M13750" s="16" t="str">
        <f>IFERROR(__xludf.DUMMYFUNCTION("""COMPUTED_VALUE"""),"")</f>
        <v/>
      </c>
      <c r="U13750" s="16" t="s">
        <v>87</v>
      </c>
      <c r="V13750" s="16" t="str">
        <f>IFERROR(__xludf.DUMMYFUNCTION("""COMPUTED_VALUE"""),"")</f>
        <v/>
      </c>
      <c r="W13750" s="16" t="str">
        <f>IFERROR(__xludf.DUMMYFUNCTION("""COMPUTED_VALUE"""),"")</f>
        <v/>
      </c>
      <c r="X13750" s="16" t="str">
        <f>IFERROR(__xludf.DUMMYFUNCTION("""COMPUTED_VALUE"""),"")</f>
        <v/>
      </c>
      <c r="AC13750" s="16" t="str">
        <f>IFERROR(__xludf.DUMMYFUNCTION("""COMPUTED_VALUE"""),"")</f>
        <v/>
      </c>
    </row>
    <row r="13751">
      <c r="A13751" s="16" t="s">
        <v>87</v>
      </c>
      <c r="E13751" s="16" t="str">
        <f>IFERROR(__xludf.DUMMYFUNCTION("""COMPUTED_VALUE"""),"")</f>
        <v/>
      </c>
      <c r="G13751" s="18"/>
      <c r="H13751" s="16" t="s">
        <v>87</v>
      </c>
      <c r="I13751" s="16" t="s">
        <v>87</v>
      </c>
      <c r="J13751" s="19"/>
      <c r="L13751" s="16" t="str">
        <f>IFERROR(__xludf.DUMMYFUNCTION("""COMPUTED_VALUE"""),"")</f>
        <v/>
      </c>
      <c r="M13751" s="16" t="str">
        <f>IFERROR(__xludf.DUMMYFUNCTION("""COMPUTED_VALUE"""),"")</f>
        <v/>
      </c>
      <c r="U13751" s="16" t="s">
        <v>87</v>
      </c>
      <c r="V13751" s="16" t="str">
        <f>IFERROR(__xludf.DUMMYFUNCTION("""COMPUTED_VALUE"""),"")</f>
        <v/>
      </c>
      <c r="W13751" s="16" t="str">
        <f>IFERROR(__xludf.DUMMYFUNCTION("""COMPUTED_VALUE"""),"")</f>
        <v/>
      </c>
      <c r="X13751" s="16" t="str">
        <f>IFERROR(__xludf.DUMMYFUNCTION("""COMPUTED_VALUE"""),"")</f>
        <v/>
      </c>
      <c r="AC13751" s="16" t="str">
        <f>IFERROR(__xludf.DUMMYFUNCTION("""COMPUTED_VALUE"""),"")</f>
        <v/>
      </c>
    </row>
    <row r="13752">
      <c r="A13752" s="16" t="s">
        <v>87</v>
      </c>
      <c r="E13752" s="16" t="str">
        <f>IFERROR(__xludf.DUMMYFUNCTION("""COMPUTED_VALUE"""),"")</f>
        <v/>
      </c>
      <c r="G13752" s="18"/>
      <c r="H13752" s="16" t="s">
        <v>87</v>
      </c>
      <c r="I13752" s="16" t="s">
        <v>87</v>
      </c>
      <c r="J13752" s="19"/>
      <c r="L13752" s="16" t="str">
        <f>IFERROR(__xludf.DUMMYFUNCTION("""COMPUTED_VALUE"""),"")</f>
        <v/>
      </c>
      <c r="M13752" s="16" t="str">
        <f>IFERROR(__xludf.DUMMYFUNCTION("""COMPUTED_VALUE"""),"")</f>
        <v/>
      </c>
      <c r="U13752" s="16" t="s">
        <v>87</v>
      </c>
      <c r="V13752" s="16" t="str">
        <f>IFERROR(__xludf.DUMMYFUNCTION("""COMPUTED_VALUE"""),"")</f>
        <v/>
      </c>
      <c r="W13752" s="16" t="str">
        <f>IFERROR(__xludf.DUMMYFUNCTION("""COMPUTED_VALUE"""),"")</f>
        <v/>
      </c>
      <c r="X13752" s="16" t="str">
        <f>IFERROR(__xludf.DUMMYFUNCTION("""COMPUTED_VALUE"""),"")</f>
        <v/>
      </c>
      <c r="AC13752" s="16" t="str">
        <f>IFERROR(__xludf.DUMMYFUNCTION("""COMPUTED_VALUE"""),"")</f>
        <v/>
      </c>
    </row>
    <row r="13753">
      <c r="A13753" s="16" t="s">
        <v>87</v>
      </c>
      <c r="E13753" s="16" t="str">
        <f>IFERROR(__xludf.DUMMYFUNCTION("""COMPUTED_VALUE"""),"")</f>
        <v/>
      </c>
      <c r="G13753" s="18"/>
      <c r="H13753" s="16" t="s">
        <v>87</v>
      </c>
      <c r="I13753" s="16" t="s">
        <v>87</v>
      </c>
      <c r="J13753" s="19"/>
      <c r="L13753" s="16" t="str">
        <f>IFERROR(__xludf.DUMMYFUNCTION("""COMPUTED_VALUE"""),"")</f>
        <v/>
      </c>
      <c r="M13753" s="16" t="str">
        <f>IFERROR(__xludf.DUMMYFUNCTION("""COMPUTED_VALUE"""),"")</f>
        <v/>
      </c>
      <c r="U13753" s="16" t="s">
        <v>87</v>
      </c>
      <c r="V13753" s="16" t="str">
        <f>IFERROR(__xludf.DUMMYFUNCTION("""COMPUTED_VALUE"""),"")</f>
        <v/>
      </c>
      <c r="W13753" s="16" t="str">
        <f>IFERROR(__xludf.DUMMYFUNCTION("""COMPUTED_VALUE"""),"")</f>
        <v/>
      </c>
      <c r="X13753" s="16" t="str">
        <f>IFERROR(__xludf.DUMMYFUNCTION("""COMPUTED_VALUE"""),"")</f>
        <v/>
      </c>
      <c r="AC13753" s="16" t="str">
        <f>IFERROR(__xludf.DUMMYFUNCTION("""COMPUTED_VALUE"""),"")</f>
        <v/>
      </c>
    </row>
    <row r="13754">
      <c r="A13754" s="16" t="s">
        <v>87</v>
      </c>
      <c r="E13754" s="16" t="str">
        <f>IFERROR(__xludf.DUMMYFUNCTION("""COMPUTED_VALUE"""),"")</f>
        <v/>
      </c>
      <c r="G13754" s="18"/>
      <c r="H13754" s="16" t="s">
        <v>87</v>
      </c>
      <c r="I13754" s="16" t="s">
        <v>87</v>
      </c>
      <c r="J13754" s="19"/>
      <c r="L13754" s="16" t="str">
        <f>IFERROR(__xludf.DUMMYFUNCTION("""COMPUTED_VALUE"""),"")</f>
        <v/>
      </c>
      <c r="M13754" s="16" t="str">
        <f>IFERROR(__xludf.DUMMYFUNCTION("""COMPUTED_VALUE"""),"")</f>
        <v/>
      </c>
      <c r="U13754" s="16" t="s">
        <v>87</v>
      </c>
      <c r="V13754" s="16" t="str">
        <f>IFERROR(__xludf.DUMMYFUNCTION("""COMPUTED_VALUE"""),"")</f>
        <v/>
      </c>
      <c r="W13754" s="16" t="str">
        <f>IFERROR(__xludf.DUMMYFUNCTION("""COMPUTED_VALUE"""),"")</f>
        <v/>
      </c>
      <c r="X13754" s="16" t="str">
        <f>IFERROR(__xludf.DUMMYFUNCTION("""COMPUTED_VALUE"""),"")</f>
        <v/>
      </c>
      <c r="AC13754" s="16" t="str">
        <f>IFERROR(__xludf.DUMMYFUNCTION("""COMPUTED_VALUE"""),"")</f>
        <v/>
      </c>
    </row>
    <row r="13755">
      <c r="A13755" s="16" t="s">
        <v>87</v>
      </c>
      <c r="E13755" s="16" t="str">
        <f>IFERROR(__xludf.DUMMYFUNCTION("""COMPUTED_VALUE"""),"")</f>
        <v/>
      </c>
      <c r="G13755" s="18"/>
      <c r="H13755" s="16" t="s">
        <v>87</v>
      </c>
      <c r="I13755" s="16" t="s">
        <v>87</v>
      </c>
      <c r="J13755" s="19"/>
      <c r="L13755" s="16" t="str">
        <f>IFERROR(__xludf.DUMMYFUNCTION("""COMPUTED_VALUE"""),"")</f>
        <v/>
      </c>
      <c r="M13755" s="16" t="str">
        <f>IFERROR(__xludf.DUMMYFUNCTION("""COMPUTED_VALUE"""),"")</f>
        <v/>
      </c>
      <c r="U13755" s="16" t="s">
        <v>87</v>
      </c>
      <c r="V13755" s="16" t="str">
        <f>IFERROR(__xludf.DUMMYFUNCTION("""COMPUTED_VALUE"""),"")</f>
        <v/>
      </c>
      <c r="W13755" s="16" t="str">
        <f>IFERROR(__xludf.DUMMYFUNCTION("""COMPUTED_VALUE"""),"")</f>
        <v/>
      </c>
      <c r="X13755" s="16" t="str">
        <f>IFERROR(__xludf.DUMMYFUNCTION("""COMPUTED_VALUE"""),"")</f>
        <v/>
      </c>
      <c r="AC13755" s="16" t="str">
        <f>IFERROR(__xludf.DUMMYFUNCTION("""COMPUTED_VALUE"""),"")</f>
        <v/>
      </c>
    </row>
    <row r="13756">
      <c r="A13756" s="16" t="s">
        <v>87</v>
      </c>
      <c r="E13756" s="16" t="str">
        <f>IFERROR(__xludf.DUMMYFUNCTION("""COMPUTED_VALUE"""),"")</f>
        <v/>
      </c>
      <c r="G13756" s="18"/>
      <c r="H13756" s="16" t="s">
        <v>87</v>
      </c>
      <c r="I13756" s="16" t="s">
        <v>87</v>
      </c>
      <c r="J13756" s="19"/>
      <c r="L13756" s="16" t="str">
        <f>IFERROR(__xludf.DUMMYFUNCTION("""COMPUTED_VALUE"""),"")</f>
        <v/>
      </c>
      <c r="M13756" s="16" t="str">
        <f>IFERROR(__xludf.DUMMYFUNCTION("""COMPUTED_VALUE"""),"")</f>
        <v/>
      </c>
      <c r="U13756" s="16" t="s">
        <v>87</v>
      </c>
      <c r="V13756" s="16" t="str">
        <f>IFERROR(__xludf.DUMMYFUNCTION("""COMPUTED_VALUE"""),"")</f>
        <v/>
      </c>
      <c r="W13756" s="16" t="str">
        <f>IFERROR(__xludf.DUMMYFUNCTION("""COMPUTED_VALUE"""),"")</f>
        <v/>
      </c>
      <c r="X13756" s="16" t="str">
        <f>IFERROR(__xludf.DUMMYFUNCTION("""COMPUTED_VALUE"""),"")</f>
        <v/>
      </c>
      <c r="AC13756" s="16" t="str">
        <f>IFERROR(__xludf.DUMMYFUNCTION("""COMPUTED_VALUE"""),"")</f>
        <v/>
      </c>
    </row>
    <row r="13757">
      <c r="A13757" s="16" t="s">
        <v>87</v>
      </c>
      <c r="E13757" s="16" t="str">
        <f>IFERROR(__xludf.DUMMYFUNCTION("""COMPUTED_VALUE"""),"")</f>
        <v/>
      </c>
      <c r="G13757" s="18"/>
      <c r="H13757" s="16" t="s">
        <v>87</v>
      </c>
      <c r="I13757" s="16" t="s">
        <v>87</v>
      </c>
      <c r="J13757" s="19"/>
      <c r="L13757" s="16" t="str">
        <f>IFERROR(__xludf.DUMMYFUNCTION("""COMPUTED_VALUE"""),"")</f>
        <v/>
      </c>
      <c r="M13757" s="16" t="str">
        <f>IFERROR(__xludf.DUMMYFUNCTION("""COMPUTED_VALUE"""),"")</f>
        <v/>
      </c>
      <c r="U13757" s="16" t="s">
        <v>87</v>
      </c>
      <c r="V13757" s="16" t="str">
        <f>IFERROR(__xludf.DUMMYFUNCTION("""COMPUTED_VALUE"""),"")</f>
        <v/>
      </c>
      <c r="W13757" s="16" t="str">
        <f>IFERROR(__xludf.DUMMYFUNCTION("""COMPUTED_VALUE"""),"")</f>
        <v/>
      </c>
      <c r="X13757" s="16" t="str">
        <f>IFERROR(__xludf.DUMMYFUNCTION("""COMPUTED_VALUE"""),"")</f>
        <v/>
      </c>
      <c r="AC13757" s="16" t="str">
        <f>IFERROR(__xludf.DUMMYFUNCTION("""COMPUTED_VALUE"""),"")</f>
        <v/>
      </c>
    </row>
    <row r="13758">
      <c r="A13758" s="16" t="s">
        <v>87</v>
      </c>
      <c r="E13758" s="16" t="str">
        <f>IFERROR(__xludf.DUMMYFUNCTION("""COMPUTED_VALUE"""),"")</f>
        <v/>
      </c>
      <c r="G13758" s="18"/>
      <c r="H13758" s="16" t="s">
        <v>87</v>
      </c>
      <c r="I13758" s="16" t="s">
        <v>87</v>
      </c>
      <c r="J13758" s="19"/>
      <c r="L13758" s="16" t="str">
        <f>IFERROR(__xludf.DUMMYFUNCTION("""COMPUTED_VALUE"""),"")</f>
        <v/>
      </c>
      <c r="M13758" s="16" t="str">
        <f>IFERROR(__xludf.DUMMYFUNCTION("""COMPUTED_VALUE"""),"")</f>
        <v/>
      </c>
      <c r="U13758" s="16" t="s">
        <v>87</v>
      </c>
      <c r="V13758" s="16" t="str">
        <f>IFERROR(__xludf.DUMMYFUNCTION("""COMPUTED_VALUE"""),"")</f>
        <v/>
      </c>
      <c r="W13758" s="16" t="str">
        <f>IFERROR(__xludf.DUMMYFUNCTION("""COMPUTED_VALUE"""),"")</f>
        <v/>
      </c>
      <c r="X13758" s="16" t="str">
        <f>IFERROR(__xludf.DUMMYFUNCTION("""COMPUTED_VALUE"""),"")</f>
        <v/>
      </c>
      <c r="AC13758" s="16" t="str">
        <f>IFERROR(__xludf.DUMMYFUNCTION("""COMPUTED_VALUE"""),"")</f>
        <v/>
      </c>
    </row>
    <row r="13759">
      <c r="A13759" s="16" t="s">
        <v>87</v>
      </c>
      <c r="E13759" s="16" t="str">
        <f>IFERROR(__xludf.DUMMYFUNCTION("""COMPUTED_VALUE"""),"")</f>
        <v/>
      </c>
      <c r="G13759" s="18"/>
      <c r="H13759" s="16" t="s">
        <v>87</v>
      </c>
      <c r="I13759" s="16" t="s">
        <v>87</v>
      </c>
      <c r="J13759" s="19"/>
      <c r="L13759" s="16" t="str">
        <f>IFERROR(__xludf.DUMMYFUNCTION("""COMPUTED_VALUE"""),"")</f>
        <v/>
      </c>
      <c r="M13759" s="16" t="str">
        <f>IFERROR(__xludf.DUMMYFUNCTION("""COMPUTED_VALUE"""),"")</f>
        <v/>
      </c>
      <c r="U13759" s="16" t="s">
        <v>87</v>
      </c>
      <c r="V13759" s="16" t="str">
        <f>IFERROR(__xludf.DUMMYFUNCTION("""COMPUTED_VALUE"""),"")</f>
        <v/>
      </c>
      <c r="W13759" s="16" t="str">
        <f>IFERROR(__xludf.DUMMYFUNCTION("""COMPUTED_VALUE"""),"")</f>
        <v/>
      </c>
      <c r="X13759" s="16" t="str">
        <f>IFERROR(__xludf.DUMMYFUNCTION("""COMPUTED_VALUE"""),"")</f>
        <v/>
      </c>
      <c r="AC13759" s="16" t="str">
        <f>IFERROR(__xludf.DUMMYFUNCTION("""COMPUTED_VALUE"""),"")</f>
        <v/>
      </c>
    </row>
    <row r="13760">
      <c r="A13760" s="16" t="s">
        <v>87</v>
      </c>
      <c r="E13760" s="16" t="str">
        <f>IFERROR(__xludf.DUMMYFUNCTION("""COMPUTED_VALUE"""),"")</f>
        <v/>
      </c>
      <c r="G13760" s="18"/>
      <c r="H13760" s="16" t="s">
        <v>87</v>
      </c>
      <c r="I13760" s="16" t="s">
        <v>87</v>
      </c>
      <c r="J13760" s="19"/>
      <c r="L13760" s="16" t="str">
        <f>IFERROR(__xludf.DUMMYFUNCTION("""COMPUTED_VALUE"""),"")</f>
        <v/>
      </c>
      <c r="M13760" s="16" t="str">
        <f>IFERROR(__xludf.DUMMYFUNCTION("""COMPUTED_VALUE"""),"")</f>
        <v/>
      </c>
      <c r="U13760" s="16" t="s">
        <v>87</v>
      </c>
      <c r="V13760" s="16" t="str">
        <f>IFERROR(__xludf.DUMMYFUNCTION("""COMPUTED_VALUE"""),"")</f>
        <v/>
      </c>
      <c r="W13760" s="16" t="str">
        <f>IFERROR(__xludf.DUMMYFUNCTION("""COMPUTED_VALUE"""),"")</f>
        <v/>
      </c>
      <c r="X13760" s="16" t="str">
        <f>IFERROR(__xludf.DUMMYFUNCTION("""COMPUTED_VALUE"""),"")</f>
        <v/>
      </c>
      <c r="AC13760" s="16" t="str">
        <f>IFERROR(__xludf.DUMMYFUNCTION("""COMPUTED_VALUE"""),"")</f>
        <v/>
      </c>
    </row>
    <row r="13761">
      <c r="A13761" s="16" t="s">
        <v>87</v>
      </c>
      <c r="E13761" s="16" t="str">
        <f>IFERROR(__xludf.DUMMYFUNCTION("""COMPUTED_VALUE"""),"")</f>
        <v/>
      </c>
      <c r="G13761" s="18"/>
      <c r="H13761" s="16" t="s">
        <v>87</v>
      </c>
      <c r="I13761" s="16" t="s">
        <v>87</v>
      </c>
      <c r="J13761" s="19"/>
      <c r="L13761" s="16" t="str">
        <f>IFERROR(__xludf.DUMMYFUNCTION("""COMPUTED_VALUE"""),"")</f>
        <v/>
      </c>
      <c r="M13761" s="16" t="str">
        <f>IFERROR(__xludf.DUMMYFUNCTION("""COMPUTED_VALUE"""),"")</f>
        <v/>
      </c>
      <c r="U13761" s="16" t="s">
        <v>87</v>
      </c>
      <c r="V13761" s="16" t="str">
        <f>IFERROR(__xludf.DUMMYFUNCTION("""COMPUTED_VALUE"""),"")</f>
        <v/>
      </c>
      <c r="W13761" s="16" t="str">
        <f>IFERROR(__xludf.DUMMYFUNCTION("""COMPUTED_VALUE"""),"")</f>
        <v/>
      </c>
      <c r="X13761" s="16" t="str">
        <f>IFERROR(__xludf.DUMMYFUNCTION("""COMPUTED_VALUE"""),"")</f>
        <v/>
      </c>
      <c r="AC13761" s="16" t="str">
        <f>IFERROR(__xludf.DUMMYFUNCTION("""COMPUTED_VALUE"""),"")</f>
        <v/>
      </c>
    </row>
    <row r="13762">
      <c r="A13762" s="16" t="s">
        <v>87</v>
      </c>
      <c r="E13762" s="16" t="str">
        <f>IFERROR(__xludf.DUMMYFUNCTION("""COMPUTED_VALUE"""),"")</f>
        <v/>
      </c>
      <c r="G13762" s="18"/>
      <c r="H13762" s="16" t="s">
        <v>87</v>
      </c>
      <c r="I13762" s="16" t="s">
        <v>87</v>
      </c>
      <c r="J13762" s="19"/>
      <c r="L13762" s="16" t="str">
        <f>IFERROR(__xludf.DUMMYFUNCTION("""COMPUTED_VALUE"""),"")</f>
        <v/>
      </c>
      <c r="M13762" s="16" t="str">
        <f>IFERROR(__xludf.DUMMYFUNCTION("""COMPUTED_VALUE"""),"")</f>
        <v/>
      </c>
      <c r="U13762" s="16" t="s">
        <v>87</v>
      </c>
      <c r="V13762" s="16" t="str">
        <f>IFERROR(__xludf.DUMMYFUNCTION("""COMPUTED_VALUE"""),"")</f>
        <v/>
      </c>
      <c r="W13762" s="16" t="str">
        <f>IFERROR(__xludf.DUMMYFUNCTION("""COMPUTED_VALUE"""),"")</f>
        <v/>
      </c>
      <c r="X13762" s="16" t="str">
        <f>IFERROR(__xludf.DUMMYFUNCTION("""COMPUTED_VALUE"""),"")</f>
        <v/>
      </c>
      <c r="AC13762" s="16" t="str">
        <f>IFERROR(__xludf.DUMMYFUNCTION("""COMPUTED_VALUE"""),"")</f>
        <v/>
      </c>
    </row>
    <row r="13763">
      <c r="A13763" s="16" t="s">
        <v>87</v>
      </c>
      <c r="E13763" s="16" t="str">
        <f>IFERROR(__xludf.DUMMYFUNCTION("""COMPUTED_VALUE"""),"")</f>
        <v/>
      </c>
      <c r="G13763" s="18"/>
      <c r="H13763" s="16" t="s">
        <v>87</v>
      </c>
      <c r="I13763" s="16" t="s">
        <v>87</v>
      </c>
      <c r="J13763" s="19"/>
      <c r="L13763" s="16" t="str">
        <f>IFERROR(__xludf.DUMMYFUNCTION("""COMPUTED_VALUE"""),"")</f>
        <v/>
      </c>
      <c r="M13763" s="16" t="str">
        <f>IFERROR(__xludf.DUMMYFUNCTION("""COMPUTED_VALUE"""),"")</f>
        <v/>
      </c>
      <c r="U13763" s="16" t="s">
        <v>87</v>
      </c>
      <c r="V13763" s="16" t="str">
        <f>IFERROR(__xludf.DUMMYFUNCTION("""COMPUTED_VALUE"""),"")</f>
        <v/>
      </c>
      <c r="W13763" s="16" t="str">
        <f>IFERROR(__xludf.DUMMYFUNCTION("""COMPUTED_VALUE"""),"")</f>
        <v/>
      </c>
      <c r="X13763" s="16" t="str">
        <f>IFERROR(__xludf.DUMMYFUNCTION("""COMPUTED_VALUE"""),"")</f>
        <v/>
      </c>
      <c r="AC13763" s="16" t="str">
        <f>IFERROR(__xludf.DUMMYFUNCTION("""COMPUTED_VALUE"""),"")</f>
        <v/>
      </c>
    </row>
    <row r="13764">
      <c r="A13764" s="16" t="s">
        <v>87</v>
      </c>
      <c r="E13764" s="16" t="str">
        <f>IFERROR(__xludf.DUMMYFUNCTION("""COMPUTED_VALUE"""),"")</f>
        <v/>
      </c>
      <c r="G13764" s="18"/>
      <c r="H13764" s="16" t="s">
        <v>87</v>
      </c>
      <c r="I13764" s="16" t="s">
        <v>87</v>
      </c>
      <c r="J13764" s="19"/>
      <c r="L13764" s="16" t="str">
        <f>IFERROR(__xludf.DUMMYFUNCTION("""COMPUTED_VALUE"""),"")</f>
        <v/>
      </c>
      <c r="M13764" s="16" t="str">
        <f>IFERROR(__xludf.DUMMYFUNCTION("""COMPUTED_VALUE"""),"")</f>
        <v/>
      </c>
      <c r="U13764" s="16" t="s">
        <v>87</v>
      </c>
      <c r="V13764" s="16" t="str">
        <f>IFERROR(__xludf.DUMMYFUNCTION("""COMPUTED_VALUE"""),"")</f>
        <v/>
      </c>
      <c r="W13764" s="16" t="str">
        <f>IFERROR(__xludf.DUMMYFUNCTION("""COMPUTED_VALUE"""),"")</f>
        <v/>
      </c>
      <c r="X13764" s="16" t="str">
        <f>IFERROR(__xludf.DUMMYFUNCTION("""COMPUTED_VALUE"""),"")</f>
        <v/>
      </c>
      <c r="AC13764" s="16" t="str">
        <f>IFERROR(__xludf.DUMMYFUNCTION("""COMPUTED_VALUE"""),"")</f>
        <v/>
      </c>
    </row>
    <row r="13765">
      <c r="A13765" s="16" t="s">
        <v>87</v>
      </c>
      <c r="E13765" s="16" t="str">
        <f>IFERROR(__xludf.DUMMYFUNCTION("""COMPUTED_VALUE"""),"")</f>
        <v/>
      </c>
      <c r="G13765" s="18"/>
      <c r="H13765" s="16" t="s">
        <v>87</v>
      </c>
      <c r="I13765" s="16" t="s">
        <v>87</v>
      </c>
      <c r="J13765" s="19"/>
      <c r="L13765" s="16" t="str">
        <f>IFERROR(__xludf.DUMMYFUNCTION("""COMPUTED_VALUE"""),"")</f>
        <v/>
      </c>
      <c r="M13765" s="16" t="str">
        <f>IFERROR(__xludf.DUMMYFUNCTION("""COMPUTED_VALUE"""),"")</f>
        <v/>
      </c>
      <c r="U13765" s="16" t="s">
        <v>87</v>
      </c>
      <c r="V13765" s="16" t="str">
        <f>IFERROR(__xludf.DUMMYFUNCTION("""COMPUTED_VALUE"""),"")</f>
        <v/>
      </c>
      <c r="W13765" s="16" t="str">
        <f>IFERROR(__xludf.DUMMYFUNCTION("""COMPUTED_VALUE"""),"")</f>
        <v/>
      </c>
      <c r="X13765" s="16" t="str">
        <f>IFERROR(__xludf.DUMMYFUNCTION("""COMPUTED_VALUE"""),"")</f>
        <v/>
      </c>
      <c r="AC13765" s="16" t="str">
        <f>IFERROR(__xludf.DUMMYFUNCTION("""COMPUTED_VALUE"""),"")</f>
        <v/>
      </c>
    </row>
    <row r="13766">
      <c r="A13766" s="16" t="s">
        <v>87</v>
      </c>
      <c r="E13766" s="16" t="str">
        <f>IFERROR(__xludf.DUMMYFUNCTION("""COMPUTED_VALUE"""),"")</f>
        <v/>
      </c>
      <c r="G13766" s="18"/>
      <c r="H13766" s="16" t="s">
        <v>87</v>
      </c>
      <c r="I13766" s="16" t="s">
        <v>87</v>
      </c>
      <c r="J13766" s="19"/>
      <c r="L13766" s="16" t="str">
        <f>IFERROR(__xludf.DUMMYFUNCTION("""COMPUTED_VALUE"""),"")</f>
        <v/>
      </c>
      <c r="M13766" s="16" t="str">
        <f>IFERROR(__xludf.DUMMYFUNCTION("""COMPUTED_VALUE"""),"")</f>
        <v/>
      </c>
      <c r="U13766" s="16" t="s">
        <v>87</v>
      </c>
      <c r="V13766" s="16" t="str">
        <f>IFERROR(__xludf.DUMMYFUNCTION("""COMPUTED_VALUE"""),"")</f>
        <v/>
      </c>
      <c r="W13766" s="16" t="str">
        <f>IFERROR(__xludf.DUMMYFUNCTION("""COMPUTED_VALUE"""),"")</f>
        <v/>
      </c>
      <c r="X13766" s="16" t="str">
        <f>IFERROR(__xludf.DUMMYFUNCTION("""COMPUTED_VALUE"""),"")</f>
        <v/>
      </c>
      <c r="AC13766" s="16" t="str">
        <f>IFERROR(__xludf.DUMMYFUNCTION("""COMPUTED_VALUE"""),"")</f>
        <v/>
      </c>
    </row>
    <row r="13767">
      <c r="A13767" s="16" t="s">
        <v>87</v>
      </c>
      <c r="E13767" s="16" t="str">
        <f>IFERROR(__xludf.DUMMYFUNCTION("""COMPUTED_VALUE"""),"")</f>
        <v/>
      </c>
      <c r="G13767" s="18"/>
      <c r="H13767" s="16" t="s">
        <v>87</v>
      </c>
      <c r="I13767" s="16" t="s">
        <v>87</v>
      </c>
      <c r="J13767" s="19"/>
      <c r="L13767" s="16" t="str">
        <f>IFERROR(__xludf.DUMMYFUNCTION("""COMPUTED_VALUE"""),"")</f>
        <v/>
      </c>
      <c r="M13767" s="16" t="str">
        <f>IFERROR(__xludf.DUMMYFUNCTION("""COMPUTED_VALUE"""),"")</f>
        <v/>
      </c>
      <c r="U13767" s="16" t="s">
        <v>87</v>
      </c>
      <c r="V13767" s="16" t="str">
        <f>IFERROR(__xludf.DUMMYFUNCTION("""COMPUTED_VALUE"""),"")</f>
        <v/>
      </c>
      <c r="W13767" s="16" t="str">
        <f>IFERROR(__xludf.DUMMYFUNCTION("""COMPUTED_VALUE"""),"")</f>
        <v/>
      </c>
      <c r="X13767" s="16" t="str">
        <f>IFERROR(__xludf.DUMMYFUNCTION("""COMPUTED_VALUE"""),"")</f>
        <v/>
      </c>
      <c r="AC13767" s="16" t="str">
        <f>IFERROR(__xludf.DUMMYFUNCTION("""COMPUTED_VALUE"""),"")</f>
        <v/>
      </c>
    </row>
    <row r="13768">
      <c r="A13768" s="16" t="s">
        <v>87</v>
      </c>
      <c r="E13768" s="16" t="str">
        <f>IFERROR(__xludf.DUMMYFUNCTION("""COMPUTED_VALUE"""),"")</f>
        <v/>
      </c>
      <c r="G13768" s="18"/>
      <c r="H13768" s="16" t="s">
        <v>87</v>
      </c>
      <c r="I13768" s="16" t="s">
        <v>87</v>
      </c>
      <c r="J13768" s="19"/>
      <c r="L13768" s="16" t="str">
        <f>IFERROR(__xludf.DUMMYFUNCTION("""COMPUTED_VALUE"""),"")</f>
        <v/>
      </c>
      <c r="M13768" s="16" t="str">
        <f>IFERROR(__xludf.DUMMYFUNCTION("""COMPUTED_VALUE"""),"")</f>
        <v/>
      </c>
      <c r="U13768" s="16" t="s">
        <v>87</v>
      </c>
      <c r="V13768" s="16" t="str">
        <f>IFERROR(__xludf.DUMMYFUNCTION("""COMPUTED_VALUE"""),"")</f>
        <v/>
      </c>
      <c r="W13768" s="16" t="str">
        <f>IFERROR(__xludf.DUMMYFUNCTION("""COMPUTED_VALUE"""),"")</f>
        <v/>
      </c>
      <c r="X13768" s="16" t="str">
        <f>IFERROR(__xludf.DUMMYFUNCTION("""COMPUTED_VALUE"""),"")</f>
        <v/>
      </c>
      <c r="AC13768" s="16" t="str">
        <f>IFERROR(__xludf.DUMMYFUNCTION("""COMPUTED_VALUE"""),"")</f>
        <v/>
      </c>
    </row>
    <row r="13769">
      <c r="A13769" s="16" t="s">
        <v>87</v>
      </c>
      <c r="E13769" s="16" t="str">
        <f>IFERROR(__xludf.DUMMYFUNCTION("""COMPUTED_VALUE"""),"")</f>
        <v/>
      </c>
      <c r="G13769" s="18"/>
      <c r="H13769" s="16" t="s">
        <v>87</v>
      </c>
      <c r="I13769" s="16" t="s">
        <v>87</v>
      </c>
      <c r="J13769" s="19"/>
      <c r="L13769" s="16" t="str">
        <f>IFERROR(__xludf.DUMMYFUNCTION("""COMPUTED_VALUE"""),"")</f>
        <v/>
      </c>
      <c r="M13769" s="16" t="str">
        <f>IFERROR(__xludf.DUMMYFUNCTION("""COMPUTED_VALUE"""),"")</f>
        <v/>
      </c>
      <c r="U13769" s="16" t="s">
        <v>87</v>
      </c>
      <c r="V13769" s="16" t="str">
        <f>IFERROR(__xludf.DUMMYFUNCTION("""COMPUTED_VALUE"""),"")</f>
        <v/>
      </c>
      <c r="W13769" s="16" t="str">
        <f>IFERROR(__xludf.DUMMYFUNCTION("""COMPUTED_VALUE"""),"")</f>
        <v/>
      </c>
      <c r="X13769" s="16" t="str">
        <f>IFERROR(__xludf.DUMMYFUNCTION("""COMPUTED_VALUE"""),"")</f>
        <v/>
      </c>
      <c r="AC13769" s="16" t="str">
        <f>IFERROR(__xludf.DUMMYFUNCTION("""COMPUTED_VALUE"""),"")</f>
        <v/>
      </c>
    </row>
    <row r="13770">
      <c r="A13770" s="16" t="s">
        <v>87</v>
      </c>
      <c r="E13770" s="16" t="str">
        <f>IFERROR(__xludf.DUMMYFUNCTION("""COMPUTED_VALUE"""),"")</f>
        <v/>
      </c>
      <c r="G13770" s="18"/>
      <c r="H13770" s="16" t="s">
        <v>87</v>
      </c>
      <c r="I13770" s="16" t="s">
        <v>87</v>
      </c>
      <c r="J13770" s="19"/>
      <c r="L13770" s="16" t="str">
        <f>IFERROR(__xludf.DUMMYFUNCTION("""COMPUTED_VALUE"""),"")</f>
        <v/>
      </c>
      <c r="M13770" s="16" t="str">
        <f>IFERROR(__xludf.DUMMYFUNCTION("""COMPUTED_VALUE"""),"")</f>
        <v/>
      </c>
      <c r="U13770" s="16" t="s">
        <v>87</v>
      </c>
      <c r="V13770" s="16" t="str">
        <f>IFERROR(__xludf.DUMMYFUNCTION("""COMPUTED_VALUE"""),"")</f>
        <v/>
      </c>
      <c r="W13770" s="16" t="str">
        <f>IFERROR(__xludf.DUMMYFUNCTION("""COMPUTED_VALUE"""),"")</f>
        <v/>
      </c>
      <c r="X13770" s="16" t="str">
        <f>IFERROR(__xludf.DUMMYFUNCTION("""COMPUTED_VALUE"""),"")</f>
        <v/>
      </c>
      <c r="AC13770" s="16" t="str">
        <f>IFERROR(__xludf.DUMMYFUNCTION("""COMPUTED_VALUE"""),"")</f>
        <v/>
      </c>
    </row>
    <row r="13771">
      <c r="A13771" s="16" t="s">
        <v>87</v>
      </c>
      <c r="E13771" s="16" t="str">
        <f>IFERROR(__xludf.DUMMYFUNCTION("""COMPUTED_VALUE"""),"")</f>
        <v/>
      </c>
      <c r="G13771" s="18"/>
      <c r="H13771" s="16" t="s">
        <v>87</v>
      </c>
      <c r="I13771" s="16" t="s">
        <v>87</v>
      </c>
      <c r="J13771" s="19"/>
      <c r="L13771" s="16" t="str">
        <f>IFERROR(__xludf.DUMMYFUNCTION("""COMPUTED_VALUE"""),"")</f>
        <v/>
      </c>
      <c r="M13771" s="16" t="str">
        <f>IFERROR(__xludf.DUMMYFUNCTION("""COMPUTED_VALUE"""),"")</f>
        <v/>
      </c>
      <c r="U13771" s="16" t="s">
        <v>87</v>
      </c>
      <c r="V13771" s="16" t="str">
        <f>IFERROR(__xludf.DUMMYFUNCTION("""COMPUTED_VALUE"""),"")</f>
        <v/>
      </c>
      <c r="W13771" s="16" t="str">
        <f>IFERROR(__xludf.DUMMYFUNCTION("""COMPUTED_VALUE"""),"")</f>
        <v/>
      </c>
      <c r="X13771" s="16" t="str">
        <f>IFERROR(__xludf.DUMMYFUNCTION("""COMPUTED_VALUE"""),"")</f>
        <v/>
      </c>
      <c r="AC13771" s="16" t="str">
        <f>IFERROR(__xludf.DUMMYFUNCTION("""COMPUTED_VALUE"""),"")</f>
        <v/>
      </c>
    </row>
    <row r="13772">
      <c r="A13772" s="16" t="s">
        <v>87</v>
      </c>
      <c r="E13772" s="16" t="str">
        <f>IFERROR(__xludf.DUMMYFUNCTION("""COMPUTED_VALUE"""),"")</f>
        <v/>
      </c>
      <c r="G13772" s="18"/>
      <c r="H13772" s="16" t="s">
        <v>87</v>
      </c>
      <c r="I13772" s="16" t="s">
        <v>87</v>
      </c>
      <c r="J13772" s="19"/>
      <c r="L13772" s="16" t="str">
        <f>IFERROR(__xludf.DUMMYFUNCTION("""COMPUTED_VALUE"""),"")</f>
        <v/>
      </c>
      <c r="M13772" s="16" t="str">
        <f>IFERROR(__xludf.DUMMYFUNCTION("""COMPUTED_VALUE"""),"")</f>
        <v/>
      </c>
      <c r="U13772" s="16" t="s">
        <v>87</v>
      </c>
      <c r="V13772" s="16" t="str">
        <f>IFERROR(__xludf.DUMMYFUNCTION("""COMPUTED_VALUE"""),"")</f>
        <v/>
      </c>
      <c r="W13772" s="16" t="str">
        <f>IFERROR(__xludf.DUMMYFUNCTION("""COMPUTED_VALUE"""),"")</f>
        <v/>
      </c>
      <c r="X13772" s="16" t="str">
        <f>IFERROR(__xludf.DUMMYFUNCTION("""COMPUTED_VALUE"""),"")</f>
        <v/>
      </c>
      <c r="AC13772" s="16" t="str">
        <f>IFERROR(__xludf.DUMMYFUNCTION("""COMPUTED_VALUE"""),"")</f>
        <v/>
      </c>
    </row>
    <row r="13773">
      <c r="A13773" s="16" t="s">
        <v>87</v>
      </c>
      <c r="E13773" s="16" t="str">
        <f>IFERROR(__xludf.DUMMYFUNCTION("""COMPUTED_VALUE"""),"")</f>
        <v/>
      </c>
      <c r="G13773" s="18"/>
      <c r="H13773" s="16" t="s">
        <v>87</v>
      </c>
      <c r="I13773" s="16" t="s">
        <v>87</v>
      </c>
      <c r="J13773" s="19"/>
      <c r="L13773" s="16" t="str">
        <f>IFERROR(__xludf.DUMMYFUNCTION("""COMPUTED_VALUE"""),"")</f>
        <v/>
      </c>
      <c r="M13773" s="16" t="str">
        <f>IFERROR(__xludf.DUMMYFUNCTION("""COMPUTED_VALUE"""),"")</f>
        <v/>
      </c>
      <c r="U13773" s="16" t="s">
        <v>87</v>
      </c>
      <c r="V13773" s="16" t="str">
        <f>IFERROR(__xludf.DUMMYFUNCTION("""COMPUTED_VALUE"""),"")</f>
        <v/>
      </c>
      <c r="W13773" s="16" t="str">
        <f>IFERROR(__xludf.DUMMYFUNCTION("""COMPUTED_VALUE"""),"")</f>
        <v/>
      </c>
      <c r="X13773" s="16" t="str">
        <f>IFERROR(__xludf.DUMMYFUNCTION("""COMPUTED_VALUE"""),"")</f>
        <v/>
      </c>
      <c r="AC13773" s="16" t="str">
        <f>IFERROR(__xludf.DUMMYFUNCTION("""COMPUTED_VALUE"""),"")</f>
        <v/>
      </c>
    </row>
    <row r="13774">
      <c r="A13774" s="16" t="s">
        <v>87</v>
      </c>
      <c r="E13774" s="16" t="str">
        <f>IFERROR(__xludf.DUMMYFUNCTION("""COMPUTED_VALUE"""),"")</f>
        <v/>
      </c>
      <c r="G13774" s="18"/>
      <c r="H13774" s="16" t="s">
        <v>87</v>
      </c>
      <c r="I13774" s="16" t="s">
        <v>87</v>
      </c>
      <c r="J13774" s="19"/>
      <c r="L13774" s="16" t="str">
        <f>IFERROR(__xludf.DUMMYFUNCTION("""COMPUTED_VALUE"""),"")</f>
        <v/>
      </c>
      <c r="M13774" s="16" t="str">
        <f>IFERROR(__xludf.DUMMYFUNCTION("""COMPUTED_VALUE"""),"")</f>
        <v/>
      </c>
      <c r="U13774" s="16" t="s">
        <v>87</v>
      </c>
      <c r="V13774" s="16" t="str">
        <f>IFERROR(__xludf.DUMMYFUNCTION("""COMPUTED_VALUE"""),"")</f>
        <v/>
      </c>
      <c r="W13774" s="16" t="str">
        <f>IFERROR(__xludf.DUMMYFUNCTION("""COMPUTED_VALUE"""),"")</f>
        <v/>
      </c>
      <c r="X13774" s="16" t="str">
        <f>IFERROR(__xludf.DUMMYFUNCTION("""COMPUTED_VALUE"""),"")</f>
        <v/>
      </c>
      <c r="AC13774" s="16" t="str">
        <f>IFERROR(__xludf.DUMMYFUNCTION("""COMPUTED_VALUE"""),"")</f>
        <v/>
      </c>
    </row>
    <row r="13775">
      <c r="A13775" s="16" t="s">
        <v>87</v>
      </c>
      <c r="E13775" s="16" t="str">
        <f>IFERROR(__xludf.DUMMYFUNCTION("""COMPUTED_VALUE"""),"")</f>
        <v/>
      </c>
      <c r="G13775" s="18"/>
      <c r="H13775" s="16" t="s">
        <v>87</v>
      </c>
      <c r="I13775" s="16" t="s">
        <v>87</v>
      </c>
      <c r="J13775" s="19"/>
      <c r="L13775" s="16" t="str">
        <f>IFERROR(__xludf.DUMMYFUNCTION("""COMPUTED_VALUE"""),"")</f>
        <v/>
      </c>
      <c r="M13775" s="16" t="str">
        <f>IFERROR(__xludf.DUMMYFUNCTION("""COMPUTED_VALUE"""),"")</f>
        <v/>
      </c>
      <c r="U13775" s="16" t="s">
        <v>87</v>
      </c>
      <c r="V13775" s="16" t="str">
        <f>IFERROR(__xludf.DUMMYFUNCTION("""COMPUTED_VALUE"""),"")</f>
        <v/>
      </c>
      <c r="W13775" s="16" t="str">
        <f>IFERROR(__xludf.DUMMYFUNCTION("""COMPUTED_VALUE"""),"")</f>
        <v/>
      </c>
      <c r="X13775" s="16" t="str">
        <f>IFERROR(__xludf.DUMMYFUNCTION("""COMPUTED_VALUE"""),"")</f>
        <v/>
      </c>
      <c r="AC13775" s="16" t="str">
        <f>IFERROR(__xludf.DUMMYFUNCTION("""COMPUTED_VALUE"""),"")</f>
        <v/>
      </c>
    </row>
    <row r="13776">
      <c r="A13776" s="16" t="s">
        <v>87</v>
      </c>
      <c r="E13776" s="16" t="str">
        <f>IFERROR(__xludf.DUMMYFUNCTION("""COMPUTED_VALUE"""),"")</f>
        <v/>
      </c>
      <c r="G13776" s="18"/>
      <c r="H13776" s="16" t="s">
        <v>87</v>
      </c>
      <c r="I13776" s="16" t="s">
        <v>87</v>
      </c>
      <c r="J13776" s="19"/>
      <c r="L13776" s="16" t="str">
        <f>IFERROR(__xludf.DUMMYFUNCTION("""COMPUTED_VALUE"""),"")</f>
        <v/>
      </c>
      <c r="M13776" s="16" t="str">
        <f>IFERROR(__xludf.DUMMYFUNCTION("""COMPUTED_VALUE"""),"")</f>
        <v/>
      </c>
      <c r="U13776" s="16" t="s">
        <v>87</v>
      </c>
      <c r="V13776" s="16" t="str">
        <f>IFERROR(__xludf.DUMMYFUNCTION("""COMPUTED_VALUE"""),"")</f>
        <v/>
      </c>
      <c r="W13776" s="16" t="str">
        <f>IFERROR(__xludf.DUMMYFUNCTION("""COMPUTED_VALUE"""),"")</f>
        <v/>
      </c>
      <c r="X13776" s="16" t="str">
        <f>IFERROR(__xludf.DUMMYFUNCTION("""COMPUTED_VALUE"""),"")</f>
        <v/>
      </c>
      <c r="AC13776" s="16" t="str">
        <f>IFERROR(__xludf.DUMMYFUNCTION("""COMPUTED_VALUE"""),"")</f>
        <v/>
      </c>
    </row>
    <row r="13777">
      <c r="A13777" s="16" t="s">
        <v>87</v>
      </c>
      <c r="E13777" s="16" t="str">
        <f>IFERROR(__xludf.DUMMYFUNCTION("""COMPUTED_VALUE"""),"")</f>
        <v/>
      </c>
      <c r="G13777" s="18"/>
      <c r="H13777" s="16" t="s">
        <v>87</v>
      </c>
      <c r="I13777" s="16" t="s">
        <v>87</v>
      </c>
      <c r="J13777" s="19"/>
      <c r="L13777" s="16" t="str">
        <f>IFERROR(__xludf.DUMMYFUNCTION("""COMPUTED_VALUE"""),"")</f>
        <v/>
      </c>
      <c r="M13777" s="16" t="str">
        <f>IFERROR(__xludf.DUMMYFUNCTION("""COMPUTED_VALUE"""),"")</f>
        <v/>
      </c>
      <c r="U13777" s="16" t="s">
        <v>87</v>
      </c>
      <c r="V13777" s="16" t="str">
        <f>IFERROR(__xludf.DUMMYFUNCTION("""COMPUTED_VALUE"""),"")</f>
        <v/>
      </c>
      <c r="W13777" s="16" t="str">
        <f>IFERROR(__xludf.DUMMYFUNCTION("""COMPUTED_VALUE"""),"")</f>
        <v/>
      </c>
      <c r="X13777" s="16" t="str">
        <f>IFERROR(__xludf.DUMMYFUNCTION("""COMPUTED_VALUE"""),"")</f>
        <v/>
      </c>
      <c r="AC13777" s="16" t="str">
        <f>IFERROR(__xludf.DUMMYFUNCTION("""COMPUTED_VALUE"""),"")</f>
        <v/>
      </c>
    </row>
    <row r="13778">
      <c r="A13778" s="16" t="s">
        <v>87</v>
      </c>
      <c r="E13778" s="16" t="str">
        <f>IFERROR(__xludf.DUMMYFUNCTION("""COMPUTED_VALUE"""),"")</f>
        <v/>
      </c>
      <c r="G13778" s="18"/>
      <c r="H13778" s="16" t="s">
        <v>87</v>
      </c>
      <c r="I13778" s="16" t="s">
        <v>87</v>
      </c>
      <c r="J13778" s="19"/>
      <c r="L13778" s="16" t="str">
        <f>IFERROR(__xludf.DUMMYFUNCTION("""COMPUTED_VALUE"""),"")</f>
        <v/>
      </c>
      <c r="M13778" s="16" t="str">
        <f>IFERROR(__xludf.DUMMYFUNCTION("""COMPUTED_VALUE"""),"")</f>
        <v/>
      </c>
      <c r="U13778" s="16" t="s">
        <v>87</v>
      </c>
      <c r="V13778" s="16" t="str">
        <f>IFERROR(__xludf.DUMMYFUNCTION("""COMPUTED_VALUE"""),"")</f>
        <v/>
      </c>
      <c r="W13778" s="16" t="str">
        <f>IFERROR(__xludf.DUMMYFUNCTION("""COMPUTED_VALUE"""),"")</f>
        <v/>
      </c>
      <c r="X13778" s="16" t="str">
        <f>IFERROR(__xludf.DUMMYFUNCTION("""COMPUTED_VALUE"""),"")</f>
        <v/>
      </c>
      <c r="AC13778" s="16" t="str">
        <f>IFERROR(__xludf.DUMMYFUNCTION("""COMPUTED_VALUE"""),"")</f>
        <v/>
      </c>
    </row>
    <row r="13779">
      <c r="A13779" s="16" t="s">
        <v>87</v>
      </c>
      <c r="E13779" s="16" t="str">
        <f>IFERROR(__xludf.DUMMYFUNCTION("""COMPUTED_VALUE"""),"")</f>
        <v/>
      </c>
      <c r="G13779" s="18"/>
      <c r="H13779" s="16" t="s">
        <v>87</v>
      </c>
      <c r="I13779" s="16" t="s">
        <v>87</v>
      </c>
      <c r="J13779" s="19"/>
      <c r="L13779" s="16" t="str">
        <f>IFERROR(__xludf.DUMMYFUNCTION("""COMPUTED_VALUE"""),"")</f>
        <v/>
      </c>
      <c r="M13779" s="16" t="str">
        <f>IFERROR(__xludf.DUMMYFUNCTION("""COMPUTED_VALUE"""),"")</f>
        <v/>
      </c>
      <c r="U13779" s="16" t="s">
        <v>87</v>
      </c>
      <c r="V13779" s="16" t="str">
        <f>IFERROR(__xludf.DUMMYFUNCTION("""COMPUTED_VALUE"""),"")</f>
        <v/>
      </c>
      <c r="W13779" s="16" t="str">
        <f>IFERROR(__xludf.DUMMYFUNCTION("""COMPUTED_VALUE"""),"")</f>
        <v/>
      </c>
      <c r="X13779" s="16" t="str">
        <f>IFERROR(__xludf.DUMMYFUNCTION("""COMPUTED_VALUE"""),"")</f>
        <v/>
      </c>
      <c r="AC13779" s="16" t="str">
        <f>IFERROR(__xludf.DUMMYFUNCTION("""COMPUTED_VALUE"""),"")</f>
        <v/>
      </c>
    </row>
    <row r="13780">
      <c r="A13780" s="16" t="s">
        <v>87</v>
      </c>
      <c r="E13780" s="16" t="str">
        <f>IFERROR(__xludf.DUMMYFUNCTION("""COMPUTED_VALUE"""),"")</f>
        <v/>
      </c>
      <c r="G13780" s="18"/>
      <c r="H13780" s="16" t="s">
        <v>87</v>
      </c>
      <c r="I13780" s="16" t="s">
        <v>87</v>
      </c>
      <c r="J13780" s="19"/>
      <c r="L13780" s="16" t="str">
        <f>IFERROR(__xludf.DUMMYFUNCTION("""COMPUTED_VALUE"""),"")</f>
        <v/>
      </c>
      <c r="M13780" s="16" t="str">
        <f>IFERROR(__xludf.DUMMYFUNCTION("""COMPUTED_VALUE"""),"")</f>
        <v/>
      </c>
      <c r="U13780" s="16" t="s">
        <v>87</v>
      </c>
      <c r="V13780" s="16" t="str">
        <f>IFERROR(__xludf.DUMMYFUNCTION("""COMPUTED_VALUE"""),"")</f>
        <v/>
      </c>
      <c r="W13780" s="16" t="str">
        <f>IFERROR(__xludf.DUMMYFUNCTION("""COMPUTED_VALUE"""),"")</f>
        <v/>
      </c>
      <c r="X13780" s="16" t="str">
        <f>IFERROR(__xludf.DUMMYFUNCTION("""COMPUTED_VALUE"""),"")</f>
        <v/>
      </c>
      <c r="AC13780" s="16" t="str">
        <f>IFERROR(__xludf.DUMMYFUNCTION("""COMPUTED_VALUE"""),"")</f>
        <v/>
      </c>
    </row>
    <row r="13781">
      <c r="A13781" s="16" t="s">
        <v>87</v>
      </c>
      <c r="E13781" s="16" t="str">
        <f>IFERROR(__xludf.DUMMYFUNCTION("""COMPUTED_VALUE"""),"")</f>
        <v/>
      </c>
      <c r="G13781" s="18"/>
      <c r="H13781" s="16" t="s">
        <v>87</v>
      </c>
      <c r="I13781" s="16" t="s">
        <v>87</v>
      </c>
      <c r="J13781" s="19"/>
      <c r="L13781" s="16" t="str">
        <f>IFERROR(__xludf.DUMMYFUNCTION("""COMPUTED_VALUE"""),"")</f>
        <v/>
      </c>
      <c r="M13781" s="16" t="str">
        <f>IFERROR(__xludf.DUMMYFUNCTION("""COMPUTED_VALUE"""),"")</f>
        <v/>
      </c>
      <c r="U13781" s="16" t="s">
        <v>87</v>
      </c>
      <c r="V13781" s="16" t="str">
        <f>IFERROR(__xludf.DUMMYFUNCTION("""COMPUTED_VALUE"""),"")</f>
        <v/>
      </c>
      <c r="W13781" s="16" t="str">
        <f>IFERROR(__xludf.DUMMYFUNCTION("""COMPUTED_VALUE"""),"")</f>
        <v/>
      </c>
      <c r="X13781" s="16" t="str">
        <f>IFERROR(__xludf.DUMMYFUNCTION("""COMPUTED_VALUE"""),"")</f>
        <v/>
      </c>
      <c r="AC13781" s="16" t="str">
        <f>IFERROR(__xludf.DUMMYFUNCTION("""COMPUTED_VALUE"""),"")</f>
        <v/>
      </c>
    </row>
    <row r="13782">
      <c r="A13782" s="16" t="s">
        <v>87</v>
      </c>
      <c r="E13782" s="16" t="str">
        <f>IFERROR(__xludf.DUMMYFUNCTION("""COMPUTED_VALUE"""),"")</f>
        <v/>
      </c>
      <c r="G13782" s="18"/>
      <c r="H13782" s="16" t="s">
        <v>87</v>
      </c>
      <c r="I13782" s="16" t="s">
        <v>87</v>
      </c>
      <c r="J13782" s="19"/>
      <c r="L13782" s="16" t="str">
        <f>IFERROR(__xludf.DUMMYFUNCTION("""COMPUTED_VALUE"""),"")</f>
        <v/>
      </c>
      <c r="M13782" s="16" t="str">
        <f>IFERROR(__xludf.DUMMYFUNCTION("""COMPUTED_VALUE"""),"")</f>
        <v/>
      </c>
      <c r="U13782" s="16" t="s">
        <v>87</v>
      </c>
      <c r="V13782" s="16" t="str">
        <f>IFERROR(__xludf.DUMMYFUNCTION("""COMPUTED_VALUE"""),"")</f>
        <v/>
      </c>
      <c r="W13782" s="16" t="str">
        <f>IFERROR(__xludf.DUMMYFUNCTION("""COMPUTED_VALUE"""),"")</f>
        <v/>
      </c>
      <c r="X13782" s="16" t="str">
        <f>IFERROR(__xludf.DUMMYFUNCTION("""COMPUTED_VALUE"""),"")</f>
        <v/>
      </c>
      <c r="AC13782" s="16" t="str">
        <f>IFERROR(__xludf.DUMMYFUNCTION("""COMPUTED_VALUE"""),"")</f>
        <v/>
      </c>
    </row>
    <row r="13783">
      <c r="A13783" s="16" t="s">
        <v>87</v>
      </c>
      <c r="E13783" s="16" t="str">
        <f>IFERROR(__xludf.DUMMYFUNCTION("""COMPUTED_VALUE"""),"")</f>
        <v/>
      </c>
      <c r="G13783" s="18"/>
      <c r="H13783" s="16" t="s">
        <v>87</v>
      </c>
      <c r="I13783" s="16" t="s">
        <v>87</v>
      </c>
      <c r="J13783" s="19"/>
      <c r="L13783" s="16" t="str">
        <f>IFERROR(__xludf.DUMMYFUNCTION("""COMPUTED_VALUE"""),"")</f>
        <v/>
      </c>
      <c r="M13783" s="16" t="str">
        <f>IFERROR(__xludf.DUMMYFUNCTION("""COMPUTED_VALUE"""),"")</f>
        <v/>
      </c>
      <c r="U13783" s="16" t="s">
        <v>87</v>
      </c>
      <c r="V13783" s="16" t="str">
        <f>IFERROR(__xludf.DUMMYFUNCTION("""COMPUTED_VALUE"""),"")</f>
        <v/>
      </c>
      <c r="W13783" s="16" t="str">
        <f>IFERROR(__xludf.DUMMYFUNCTION("""COMPUTED_VALUE"""),"")</f>
        <v/>
      </c>
      <c r="X13783" s="16" t="str">
        <f>IFERROR(__xludf.DUMMYFUNCTION("""COMPUTED_VALUE"""),"")</f>
        <v/>
      </c>
      <c r="AC13783" s="16" t="str">
        <f>IFERROR(__xludf.DUMMYFUNCTION("""COMPUTED_VALUE"""),"")</f>
        <v/>
      </c>
    </row>
    <row r="13784">
      <c r="A13784" s="16" t="s">
        <v>87</v>
      </c>
      <c r="E13784" s="16" t="str">
        <f>IFERROR(__xludf.DUMMYFUNCTION("""COMPUTED_VALUE"""),"")</f>
        <v/>
      </c>
      <c r="G13784" s="18"/>
      <c r="H13784" s="16" t="s">
        <v>87</v>
      </c>
      <c r="I13784" s="16" t="s">
        <v>87</v>
      </c>
      <c r="J13784" s="19"/>
      <c r="L13784" s="16" t="str">
        <f>IFERROR(__xludf.DUMMYFUNCTION("""COMPUTED_VALUE"""),"")</f>
        <v/>
      </c>
      <c r="M13784" s="16" t="str">
        <f>IFERROR(__xludf.DUMMYFUNCTION("""COMPUTED_VALUE"""),"")</f>
        <v/>
      </c>
      <c r="U13784" s="16" t="s">
        <v>87</v>
      </c>
      <c r="V13784" s="16" t="str">
        <f>IFERROR(__xludf.DUMMYFUNCTION("""COMPUTED_VALUE"""),"")</f>
        <v/>
      </c>
      <c r="W13784" s="16" t="str">
        <f>IFERROR(__xludf.DUMMYFUNCTION("""COMPUTED_VALUE"""),"")</f>
        <v/>
      </c>
      <c r="X13784" s="16" t="str">
        <f>IFERROR(__xludf.DUMMYFUNCTION("""COMPUTED_VALUE"""),"")</f>
        <v/>
      </c>
      <c r="AC13784" s="16" t="str">
        <f>IFERROR(__xludf.DUMMYFUNCTION("""COMPUTED_VALUE"""),"")</f>
        <v/>
      </c>
    </row>
    <row r="13785">
      <c r="A13785" s="16" t="s">
        <v>87</v>
      </c>
      <c r="E13785" s="16" t="str">
        <f>IFERROR(__xludf.DUMMYFUNCTION("""COMPUTED_VALUE"""),"")</f>
        <v/>
      </c>
      <c r="G13785" s="18"/>
      <c r="H13785" s="16" t="s">
        <v>87</v>
      </c>
      <c r="I13785" s="16" t="s">
        <v>87</v>
      </c>
      <c r="J13785" s="19"/>
      <c r="L13785" s="16" t="str">
        <f>IFERROR(__xludf.DUMMYFUNCTION("""COMPUTED_VALUE"""),"")</f>
        <v/>
      </c>
      <c r="M13785" s="16" t="str">
        <f>IFERROR(__xludf.DUMMYFUNCTION("""COMPUTED_VALUE"""),"")</f>
        <v/>
      </c>
      <c r="U13785" s="16" t="s">
        <v>87</v>
      </c>
      <c r="V13785" s="16" t="str">
        <f>IFERROR(__xludf.DUMMYFUNCTION("""COMPUTED_VALUE"""),"")</f>
        <v/>
      </c>
      <c r="W13785" s="16" t="str">
        <f>IFERROR(__xludf.DUMMYFUNCTION("""COMPUTED_VALUE"""),"")</f>
        <v/>
      </c>
      <c r="X13785" s="16" t="str">
        <f>IFERROR(__xludf.DUMMYFUNCTION("""COMPUTED_VALUE"""),"")</f>
        <v/>
      </c>
      <c r="AC13785" s="16" t="str">
        <f>IFERROR(__xludf.DUMMYFUNCTION("""COMPUTED_VALUE"""),"")</f>
        <v/>
      </c>
    </row>
    <row r="13786">
      <c r="A13786" s="16" t="s">
        <v>87</v>
      </c>
      <c r="E13786" s="16" t="str">
        <f>IFERROR(__xludf.DUMMYFUNCTION("""COMPUTED_VALUE"""),"")</f>
        <v/>
      </c>
      <c r="G13786" s="18"/>
      <c r="H13786" s="16" t="s">
        <v>87</v>
      </c>
      <c r="I13786" s="16" t="s">
        <v>87</v>
      </c>
      <c r="J13786" s="19"/>
      <c r="L13786" s="16" t="str">
        <f>IFERROR(__xludf.DUMMYFUNCTION("""COMPUTED_VALUE"""),"")</f>
        <v/>
      </c>
      <c r="M13786" s="16" t="str">
        <f>IFERROR(__xludf.DUMMYFUNCTION("""COMPUTED_VALUE"""),"")</f>
        <v/>
      </c>
      <c r="U13786" s="16" t="s">
        <v>87</v>
      </c>
      <c r="V13786" s="16" t="str">
        <f>IFERROR(__xludf.DUMMYFUNCTION("""COMPUTED_VALUE"""),"")</f>
        <v/>
      </c>
      <c r="W13786" s="16" t="str">
        <f>IFERROR(__xludf.DUMMYFUNCTION("""COMPUTED_VALUE"""),"")</f>
        <v/>
      </c>
      <c r="X13786" s="16" t="str">
        <f>IFERROR(__xludf.DUMMYFUNCTION("""COMPUTED_VALUE"""),"")</f>
        <v/>
      </c>
      <c r="AC13786" s="16" t="str">
        <f>IFERROR(__xludf.DUMMYFUNCTION("""COMPUTED_VALUE"""),"")</f>
        <v/>
      </c>
    </row>
    <row r="13787">
      <c r="A13787" s="16" t="s">
        <v>87</v>
      </c>
      <c r="E13787" s="16" t="str">
        <f>IFERROR(__xludf.DUMMYFUNCTION("""COMPUTED_VALUE"""),"")</f>
        <v/>
      </c>
      <c r="G13787" s="18"/>
      <c r="H13787" s="16" t="s">
        <v>87</v>
      </c>
      <c r="I13787" s="16" t="s">
        <v>87</v>
      </c>
      <c r="J13787" s="19"/>
      <c r="L13787" s="16" t="str">
        <f>IFERROR(__xludf.DUMMYFUNCTION("""COMPUTED_VALUE"""),"")</f>
        <v/>
      </c>
      <c r="M13787" s="16" t="str">
        <f>IFERROR(__xludf.DUMMYFUNCTION("""COMPUTED_VALUE"""),"")</f>
        <v/>
      </c>
      <c r="U13787" s="16" t="s">
        <v>87</v>
      </c>
      <c r="V13787" s="16" t="str">
        <f>IFERROR(__xludf.DUMMYFUNCTION("""COMPUTED_VALUE"""),"")</f>
        <v/>
      </c>
      <c r="W13787" s="16" t="str">
        <f>IFERROR(__xludf.DUMMYFUNCTION("""COMPUTED_VALUE"""),"")</f>
        <v/>
      </c>
      <c r="X13787" s="16" t="str">
        <f>IFERROR(__xludf.DUMMYFUNCTION("""COMPUTED_VALUE"""),"")</f>
        <v/>
      </c>
      <c r="AC13787" s="16" t="str">
        <f>IFERROR(__xludf.DUMMYFUNCTION("""COMPUTED_VALUE"""),"")</f>
        <v/>
      </c>
    </row>
    <row r="13788">
      <c r="A13788" s="16" t="s">
        <v>87</v>
      </c>
      <c r="E13788" s="16" t="str">
        <f>IFERROR(__xludf.DUMMYFUNCTION("""COMPUTED_VALUE"""),"")</f>
        <v/>
      </c>
      <c r="G13788" s="18"/>
      <c r="H13788" s="16" t="s">
        <v>87</v>
      </c>
      <c r="I13788" s="16" t="s">
        <v>87</v>
      </c>
      <c r="J13788" s="19"/>
      <c r="L13788" s="16" t="str">
        <f>IFERROR(__xludf.DUMMYFUNCTION("""COMPUTED_VALUE"""),"")</f>
        <v/>
      </c>
      <c r="M13788" s="16" t="str">
        <f>IFERROR(__xludf.DUMMYFUNCTION("""COMPUTED_VALUE"""),"")</f>
        <v/>
      </c>
      <c r="U13788" s="16" t="s">
        <v>87</v>
      </c>
      <c r="V13788" s="16" t="str">
        <f>IFERROR(__xludf.DUMMYFUNCTION("""COMPUTED_VALUE"""),"")</f>
        <v/>
      </c>
      <c r="W13788" s="16" t="str">
        <f>IFERROR(__xludf.DUMMYFUNCTION("""COMPUTED_VALUE"""),"")</f>
        <v/>
      </c>
      <c r="X13788" s="16" t="str">
        <f>IFERROR(__xludf.DUMMYFUNCTION("""COMPUTED_VALUE"""),"")</f>
        <v/>
      </c>
      <c r="AC13788" s="16" t="str">
        <f>IFERROR(__xludf.DUMMYFUNCTION("""COMPUTED_VALUE"""),"")</f>
        <v/>
      </c>
    </row>
    <row r="13789">
      <c r="A13789" s="16" t="s">
        <v>87</v>
      </c>
      <c r="E13789" s="16" t="str">
        <f>IFERROR(__xludf.DUMMYFUNCTION("""COMPUTED_VALUE"""),"")</f>
        <v/>
      </c>
      <c r="G13789" s="18"/>
      <c r="H13789" s="16" t="s">
        <v>87</v>
      </c>
      <c r="I13789" s="16" t="s">
        <v>87</v>
      </c>
      <c r="J13789" s="19"/>
      <c r="L13789" s="16" t="str">
        <f>IFERROR(__xludf.DUMMYFUNCTION("""COMPUTED_VALUE"""),"")</f>
        <v/>
      </c>
      <c r="M13789" s="16" t="str">
        <f>IFERROR(__xludf.DUMMYFUNCTION("""COMPUTED_VALUE"""),"")</f>
        <v/>
      </c>
      <c r="U13789" s="16" t="s">
        <v>87</v>
      </c>
      <c r="V13789" s="16" t="str">
        <f>IFERROR(__xludf.DUMMYFUNCTION("""COMPUTED_VALUE"""),"")</f>
        <v/>
      </c>
      <c r="W13789" s="16" t="str">
        <f>IFERROR(__xludf.DUMMYFUNCTION("""COMPUTED_VALUE"""),"")</f>
        <v/>
      </c>
      <c r="X13789" s="16" t="str">
        <f>IFERROR(__xludf.DUMMYFUNCTION("""COMPUTED_VALUE"""),"")</f>
        <v/>
      </c>
      <c r="AC13789" s="16" t="str">
        <f>IFERROR(__xludf.DUMMYFUNCTION("""COMPUTED_VALUE"""),"")</f>
        <v/>
      </c>
    </row>
    <row r="13790">
      <c r="A13790" s="16" t="s">
        <v>87</v>
      </c>
      <c r="E13790" s="16" t="str">
        <f>IFERROR(__xludf.DUMMYFUNCTION("""COMPUTED_VALUE"""),"")</f>
        <v/>
      </c>
      <c r="G13790" s="18"/>
      <c r="H13790" s="16" t="s">
        <v>87</v>
      </c>
      <c r="I13790" s="16" t="s">
        <v>87</v>
      </c>
      <c r="J13790" s="19"/>
      <c r="L13790" s="16" t="str">
        <f>IFERROR(__xludf.DUMMYFUNCTION("""COMPUTED_VALUE"""),"")</f>
        <v/>
      </c>
      <c r="M13790" s="16" t="str">
        <f>IFERROR(__xludf.DUMMYFUNCTION("""COMPUTED_VALUE"""),"")</f>
        <v/>
      </c>
      <c r="U13790" s="16" t="s">
        <v>87</v>
      </c>
      <c r="V13790" s="16" t="str">
        <f>IFERROR(__xludf.DUMMYFUNCTION("""COMPUTED_VALUE"""),"")</f>
        <v/>
      </c>
      <c r="W13790" s="16" t="str">
        <f>IFERROR(__xludf.DUMMYFUNCTION("""COMPUTED_VALUE"""),"")</f>
        <v/>
      </c>
      <c r="X13790" s="16" t="str">
        <f>IFERROR(__xludf.DUMMYFUNCTION("""COMPUTED_VALUE"""),"")</f>
        <v/>
      </c>
      <c r="AC13790" s="16" t="str">
        <f>IFERROR(__xludf.DUMMYFUNCTION("""COMPUTED_VALUE"""),"")</f>
        <v/>
      </c>
    </row>
    <row r="13791">
      <c r="A13791" s="16" t="s">
        <v>87</v>
      </c>
      <c r="E13791" s="16" t="str">
        <f>IFERROR(__xludf.DUMMYFUNCTION("""COMPUTED_VALUE"""),"")</f>
        <v/>
      </c>
      <c r="G13791" s="18"/>
      <c r="H13791" s="16" t="s">
        <v>87</v>
      </c>
      <c r="I13791" s="16" t="s">
        <v>87</v>
      </c>
      <c r="J13791" s="19"/>
      <c r="L13791" s="16" t="str">
        <f>IFERROR(__xludf.DUMMYFUNCTION("""COMPUTED_VALUE"""),"")</f>
        <v/>
      </c>
      <c r="M13791" s="16" t="str">
        <f>IFERROR(__xludf.DUMMYFUNCTION("""COMPUTED_VALUE"""),"")</f>
        <v/>
      </c>
      <c r="U13791" s="16" t="s">
        <v>87</v>
      </c>
      <c r="V13791" s="16" t="str">
        <f>IFERROR(__xludf.DUMMYFUNCTION("""COMPUTED_VALUE"""),"")</f>
        <v/>
      </c>
      <c r="W13791" s="16" t="str">
        <f>IFERROR(__xludf.DUMMYFUNCTION("""COMPUTED_VALUE"""),"")</f>
        <v/>
      </c>
      <c r="X13791" s="16" t="str">
        <f>IFERROR(__xludf.DUMMYFUNCTION("""COMPUTED_VALUE"""),"")</f>
        <v/>
      </c>
      <c r="AC13791" s="16" t="str">
        <f>IFERROR(__xludf.DUMMYFUNCTION("""COMPUTED_VALUE"""),"")</f>
        <v/>
      </c>
    </row>
    <row r="13792">
      <c r="A13792" s="16" t="s">
        <v>87</v>
      </c>
      <c r="E13792" s="16" t="str">
        <f>IFERROR(__xludf.DUMMYFUNCTION("""COMPUTED_VALUE"""),"")</f>
        <v/>
      </c>
      <c r="G13792" s="18"/>
      <c r="H13792" s="16" t="s">
        <v>87</v>
      </c>
      <c r="I13792" s="16" t="s">
        <v>87</v>
      </c>
      <c r="J13792" s="19"/>
      <c r="L13792" s="16" t="str">
        <f>IFERROR(__xludf.DUMMYFUNCTION("""COMPUTED_VALUE"""),"")</f>
        <v/>
      </c>
      <c r="M13792" s="16" t="str">
        <f>IFERROR(__xludf.DUMMYFUNCTION("""COMPUTED_VALUE"""),"")</f>
        <v/>
      </c>
      <c r="U13792" s="16" t="s">
        <v>87</v>
      </c>
      <c r="V13792" s="16" t="str">
        <f>IFERROR(__xludf.DUMMYFUNCTION("""COMPUTED_VALUE"""),"")</f>
        <v/>
      </c>
      <c r="W13792" s="16" t="str">
        <f>IFERROR(__xludf.DUMMYFUNCTION("""COMPUTED_VALUE"""),"")</f>
        <v/>
      </c>
      <c r="X13792" s="16" t="str">
        <f>IFERROR(__xludf.DUMMYFUNCTION("""COMPUTED_VALUE"""),"")</f>
        <v/>
      </c>
      <c r="AC13792" s="16" t="str">
        <f>IFERROR(__xludf.DUMMYFUNCTION("""COMPUTED_VALUE"""),"")</f>
        <v/>
      </c>
    </row>
    <row r="13793">
      <c r="A13793" s="16" t="s">
        <v>87</v>
      </c>
      <c r="E13793" s="16" t="str">
        <f>IFERROR(__xludf.DUMMYFUNCTION("""COMPUTED_VALUE"""),"")</f>
        <v/>
      </c>
      <c r="G13793" s="18"/>
      <c r="H13793" s="16" t="s">
        <v>87</v>
      </c>
      <c r="I13793" s="16" t="s">
        <v>87</v>
      </c>
      <c r="J13793" s="19"/>
      <c r="L13793" s="16" t="str">
        <f>IFERROR(__xludf.DUMMYFUNCTION("""COMPUTED_VALUE"""),"")</f>
        <v/>
      </c>
      <c r="M13793" s="16" t="str">
        <f>IFERROR(__xludf.DUMMYFUNCTION("""COMPUTED_VALUE"""),"")</f>
        <v/>
      </c>
      <c r="U13793" s="16" t="s">
        <v>87</v>
      </c>
      <c r="V13793" s="16" t="str">
        <f>IFERROR(__xludf.DUMMYFUNCTION("""COMPUTED_VALUE"""),"")</f>
        <v/>
      </c>
      <c r="W13793" s="16" t="str">
        <f>IFERROR(__xludf.DUMMYFUNCTION("""COMPUTED_VALUE"""),"")</f>
        <v/>
      </c>
      <c r="X13793" s="16" t="str">
        <f>IFERROR(__xludf.DUMMYFUNCTION("""COMPUTED_VALUE"""),"")</f>
        <v/>
      </c>
      <c r="AC13793" s="16" t="str">
        <f>IFERROR(__xludf.DUMMYFUNCTION("""COMPUTED_VALUE"""),"")</f>
        <v/>
      </c>
    </row>
    <row r="13794">
      <c r="A13794" s="16" t="s">
        <v>87</v>
      </c>
      <c r="E13794" s="16" t="str">
        <f>IFERROR(__xludf.DUMMYFUNCTION("""COMPUTED_VALUE"""),"")</f>
        <v/>
      </c>
      <c r="G13794" s="18"/>
      <c r="H13794" s="16" t="s">
        <v>87</v>
      </c>
      <c r="I13794" s="16" t="s">
        <v>87</v>
      </c>
      <c r="J13794" s="19"/>
      <c r="L13794" s="16" t="str">
        <f>IFERROR(__xludf.DUMMYFUNCTION("""COMPUTED_VALUE"""),"")</f>
        <v/>
      </c>
      <c r="M13794" s="16" t="str">
        <f>IFERROR(__xludf.DUMMYFUNCTION("""COMPUTED_VALUE"""),"")</f>
        <v/>
      </c>
      <c r="U13794" s="16" t="s">
        <v>87</v>
      </c>
      <c r="V13794" s="16" t="str">
        <f>IFERROR(__xludf.DUMMYFUNCTION("""COMPUTED_VALUE"""),"")</f>
        <v/>
      </c>
      <c r="W13794" s="16" t="str">
        <f>IFERROR(__xludf.DUMMYFUNCTION("""COMPUTED_VALUE"""),"")</f>
        <v/>
      </c>
      <c r="X13794" s="16" t="str">
        <f>IFERROR(__xludf.DUMMYFUNCTION("""COMPUTED_VALUE"""),"")</f>
        <v/>
      </c>
      <c r="AC13794" s="16" t="str">
        <f>IFERROR(__xludf.DUMMYFUNCTION("""COMPUTED_VALUE"""),"")</f>
        <v/>
      </c>
    </row>
    <row r="13795">
      <c r="A13795" s="16" t="s">
        <v>87</v>
      </c>
      <c r="E13795" s="16" t="str">
        <f>IFERROR(__xludf.DUMMYFUNCTION("""COMPUTED_VALUE"""),"")</f>
        <v/>
      </c>
      <c r="G13795" s="18"/>
      <c r="H13795" s="16" t="s">
        <v>87</v>
      </c>
      <c r="I13795" s="16" t="s">
        <v>87</v>
      </c>
      <c r="J13795" s="19"/>
      <c r="L13795" s="16" t="str">
        <f>IFERROR(__xludf.DUMMYFUNCTION("""COMPUTED_VALUE"""),"")</f>
        <v/>
      </c>
      <c r="M13795" s="16" t="str">
        <f>IFERROR(__xludf.DUMMYFUNCTION("""COMPUTED_VALUE"""),"")</f>
        <v/>
      </c>
      <c r="U13795" s="16" t="s">
        <v>87</v>
      </c>
      <c r="V13795" s="16" t="str">
        <f>IFERROR(__xludf.DUMMYFUNCTION("""COMPUTED_VALUE"""),"")</f>
        <v/>
      </c>
      <c r="W13795" s="16" t="str">
        <f>IFERROR(__xludf.DUMMYFUNCTION("""COMPUTED_VALUE"""),"")</f>
        <v/>
      </c>
      <c r="X13795" s="16" t="str">
        <f>IFERROR(__xludf.DUMMYFUNCTION("""COMPUTED_VALUE"""),"")</f>
        <v/>
      </c>
      <c r="AC13795" s="16" t="str">
        <f>IFERROR(__xludf.DUMMYFUNCTION("""COMPUTED_VALUE"""),"")</f>
        <v/>
      </c>
    </row>
    <row r="13796">
      <c r="A13796" s="16" t="s">
        <v>87</v>
      </c>
      <c r="E13796" s="16" t="str">
        <f>IFERROR(__xludf.DUMMYFUNCTION("""COMPUTED_VALUE"""),"")</f>
        <v/>
      </c>
      <c r="G13796" s="18"/>
      <c r="H13796" s="16" t="s">
        <v>87</v>
      </c>
      <c r="I13796" s="16" t="s">
        <v>87</v>
      </c>
      <c r="J13796" s="19"/>
      <c r="L13796" s="16" t="str">
        <f>IFERROR(__xludf.DUMMYFUNCTION("""COMPUTED_VALUE"""),"")</f>
        <v/>
      </c>
      <c r="M13796" s="16" t="str">
        <f>IFERROR(__xludf.DUMMYFUNCTION("""COMPUTED_VALUE"""),"")</f>
        <v/>
      </c>
      <c r="U13796" s="16" t="s">
        <v>87</v>
      </c>
      <c r="V13796" s="16" t="str">
        <f>IFERROR(__xludf.DUMMYFUNCTION("""COMPUTED_VALUE"""),"")</f>
        <v/>
      </c>
      <c r="W13796" s="16" t="str">
        <f>IFERROR(__xludf.DUMMYFUNCTION("""COMPUTED_VALUE"""),"")</f>
        <v/>
      </c>
      <c r="X13796" s="16" t="str">
        <f>IFERROR(__xludf.DUMMYFUNCTION("""COMPUTED_VALUE"""),"")</f>
        <v/>
      </c>
      <c r="AC13796" s="16" t="str">
        <f>IFERROR(__xludf.DUMMYFUNCTION("""COMPUTED_VALUE"""),"")</f>
        <v/>
      </c>
    </row>
    <row r="13797">
      <c r="A13797" s="16" t="s">
        <v>87</v>
      </c>
      <c r="E13797" s="16" t="str">
        <f>IFERROR(__xludf.DUMMYFUNCTION("""COMPUTED_VALUE"""),"")</f>
        <v/>
      </c>
      <c r="G13797" s="18"/>
      <c r="H13797" s="16" t="s">
        <v>87</v>
      </c>
      <c r="I13797" s="16" t="s">
        <v>87</v>
      </c>
      <c r="J13797" s="19"/>
      <c r="L13797" s="16" t="str">
        <f>IFERROR(__xludf.DUMMYFUNCTION("""COMPUTED_VALUE"""),"")</f>
        <v/>
      </c>
      <c r="M13797" s="16" t="str">
        <f>IFERROR(__xludf.DUMMYFUNCTION("""COMPUTED_VALUE"""),"")</f>
        <v/>
      </c>
      <c r="U13797" s="16" t="s">
        <v>87</v>
      </c>
      <c r="V13797" s="16" t="str">
        <f>IFERROR(__xludf.DUMMYFUNCTION("""COMPUTED_VALUE"""),"")</f>
        <v/>
      </c>
      <c r="W13797" s="16" t="str">
        <f>IFERROR(__xludf.DUMMYFUNCTION("""COMPUTED_VALUE"""),"")</f>
        <v/>
      </c>
      <c r="X13797" s="16" t="str">
        <f>IFERROR(__xludf.DUMMYFUNCTION("""COMPUTED_VALUE"""),"")</f>
        <v/>
      </c>
      <c r="AC13797" s="16" t="str">
        <f>IFERROR(__xludf.DUMMYFUNCTION("""COMPUTED_VALUE"""),"")</f>
        <v/>
      </c>
    </row>
    <row r="13798">
      <c r="A13798" s="16" t="s">
        <v>87</v>
      </c>
      <c r="E13798" s="16" t="str">
        <f>IFERROR(__xludf.DUMMYFUNCTION("""COMPUTED_VALUE"""),"")</f>
        <v/>
      </c>
      <c r="G13798" s="18"/>
      <c r="H13798" s="16" t="s">
        <v>87</v>
      </c>
      <c r="I13798" s="16" t="s">
        <v>87</v>
      </c>
      <c r="J13798" s="19"/>
      <c r="L13798" s="16" t="str">
        <f>IFERROR(__xludf.DUMMYFUNCTION("""COMPUTED_VALUE"""),"")</f>
        <v/>
      </c>
      <c r="M13798" s="16" t="str">
        <f>IFERROR(__xludf.DUMMYFUNCTION("""COMPUTED_VALUE"""),"")</f>
        <v/>
      </c>
      <c r="U13798" s="16" t="s">
        <v>87</v>
      </c>
      <c r="V13798" s="16" t="str">
        <f>IFERROR(__xludf.DUMMYFUNCTION("""COMPUTED_VALUE"""),"")</f>
        <v/>
      </c>
      <c r="W13798" s="16" t="str">
        <f>IFERROR(__xludf.DUMMYFUNCTION("""COMPUTED_VALUE"""),"")</f>
        <v/>
      </c>
      <c r="X13798" s="16" t="str">
        <f>IFERROR(__xludf.DUMMYFUNCTION("""COMPUTED_VALUE"""),"")</f>
        <v/>
      </c>
      <c r="AC13798" s="16" t="str">
        <f>IFERROR(__xludf.DUMMYFUNCTION("""COMPUTED_VALUE"""),"")</f>
        <v/>
      </c>
    </row>
    <row r="13799">
      <c r="A13799" s="16" t="s">
        <v>87</v>
      </c>
      <c r="E13799" s="16" t="str">
        <f>IFERROR(__xludf.DUMMYFUNCTION("""COMPUTED_VALUE"""),"")</f>
        <v/>
      </c>
      <c r="G13799" s="18"/>
      <c r="H13799" s="16" t="s">
        <v>87</v>
      </c>
      <c r="I13799" s="16" t="s">
        <v>87</v>
      </c>
      <c r="J13799" s="19"/>
      <c r="L13799" s="16" t="str">
        <f>IFERROR(__xludf.DUMMYFUNCTION("""COMPUTED_VALUE"""),"")</f>
        <v/>
      </c>
      <c r="M13799" s="16" t="str">
        <f>IFERROR(__xludf.DUMMYFUNCTION("""COMPUTED_VALUE"""),"")</f>
        <v/>
      </c>
      <c r="U13799" s="16" t="s">
        <v>87</v>
      </c>
      <c r="V13799" s="16" t="str">
        <f>IFERROR(__xludf.DUMMYFUNCTION("""COMPUTED_VALUE"""),"")</f>
        <v/>
      </c>
      <c r="W13799" s="16" t="str">
        <f>IFERROR(__xludf.DUMMYFUNCTION("""COMPUTED_VALUE"""),"")</f>
        <v/>
      </c>
      <c r="X13799" s="16" t="str">
        <f>IFERROR(__xludf.DUMMYFUNCTION("""COMPUTED_VALUE"""),"")</f>
        <v/>
      </c>
      <c r="AC13799" s="16" t="str">
        <f>IFERROR(__xludf.DUMMYFUNCTION("""COMPUTED_VALUE"""),"")</f>
        <v/>
      </c>
    </row>
    <row r="13800">
      <c r="A13800" s="16" t="s">
        <v>87</v>
      </c>
      <c r="E13800" s="16" t="str">
        <f>IFERROR(__xludf.DUMMYFUNCTION("""COMPUTED_VALUE"""),"")</f>
        <v/>
      </c>
      <c r="G13800" s="18"/>
      <c r="H13800" s="16" t="s">
        <v>87</v>
      </c>
      <c r="I13800" s="16" t="s">
        <v>87</v>
      </c>
      <c r="J13800" s="19"/>
      <c r="L13800" s="16" t="str">
        <f>IFERROR(__xludf.DUMMYFUNCTION("""COMPUTED_VALUE"""),"")</f>
        <v/>
      </c>
      <c r="M13800" s="16" t="str">
        <f>IFERROR(__xludf.DUMMYFUNCTION("""COMPUTED_VALUE"""),"")</f>
        <v/>
      </c>
      <c r="U13800" s="16" t="s">
        <v>87</v>
      </c>
      <c r="V13800" s="16" t="str">
        <f>IFERROR(__xludf.DUMMYFUNCTION("""COMPUTED_VALUE"""),"")</f>
        <v/>
      </c>
      <c r="W13800" s="16" t="str">
        <f>IFERROR(__xludf.DUMMYFUNCTION("""COMPUTED_VALUE"""),"")</f>
        <v/>
      </c>
      <c r="X13800" s="16" t="str">
        <f>IFERROR(__xludf.DUMMYFUNCTION("""COMPUTED_VALUE"""),"")</f>
        <v/>
      </c>
      <c r="AC13800" s="16" t="str">
        <f>IFERROR(__xludf.DUMMYFUNCTION("""COMPUTED_VALUE"""),"")</f>
        <v/>
      </c>
    </row>
    <row r="13801">
      <c r="A13801" s="16" t="s">
        <v>87</v>
      </c>
      <c r="E13801" s="16" t="str">
        <f>IFERROR(__xludf.DUMMYFUNCTION("""COMPUTED_VALUE"""),"")</f>
        <v/>
      </c>
      <c r="G13801" s="18"/>
      <c r="H13801" s="16" t="s">
        <v>87</v>
      </c>
      <c r="I13801" s="16" t="s">
        <v>87</v>
      </c>
      <c r="J13801" s="19"/>
      <c r="L13801" s="16" t="str">
        <f>IFERROR(__xludf.DUMMYFUNCTION("""COMPUTED_VALUE"""),"")</f>
        <v/>
      </c>
      <c r="M13801" s="16" t="str">
        <f>IFERROR(__xludf.DUMMYFUNCTION("""COMPUTED_VALUE"""),"")</f>
        <v/>
      </c>
      <c r="U13801" s="16" t="s">
        <v>87</v>
      </c>
      <c r="V13801" s="16" t="str">
        <f>IFERROR(__xludf.DUMMYFUNCTION("""COMPUTED_VALUE"""),"")</f>
        <v/>
      </c>
      <c r="W13801" s="16" t="str">
        <f>IFERROR(__xludf.DUMMYFUNCTION("""COMPUTED_VALUE"""),"")</f>
        <v/>
      </c>
      <c r="X13801" s="16" t="str">
        <f>IFERROR(__xludf.DUMMYFUNCTION("""COMPUTED_VALUE"""),"")</f>
        <v/>
      </c>
      <c r="AC13801" s="16" t="str">
        <f>IFERROR(__xludf.DUMMYFUNCTION("""COMPUTED_VALUE"""),"")</f>
        <v/>
      </c>
    </row>
    <row r="13802">
      <c r="A13802" s="16" t="s">
        <v>87</v>
      </c>
      <c r="E13802" s="16" t="str">
        <f>IFERROR(__xludf.DUMMYFUNCTION("""COMPUTED_VALUE"""),"")</f>
        <v/>
      </c>
      <c r="G13802" s="18"/>
      <c r="H13802" s="16" t="s">
        <v>87</v>
      </c>
      <c r="I13802" s="16" t="s">
        <v>87</v>
      </c>
      <c r="J13802" s="19"/>
      <c r="L13802" s="16" t="str">
        <f>IFERROR(__xludf.DUMMYFUNCTION("""COMPUTED_VALUE"""),"")</f>
        <v/>
      </c>
      <c r="M13802" s="16" t="str">
        <f>IFERROR(__xludf.DUMMYFUNCTION("""COMPUTED_VALUE"""),"")</f>
        <v/>
      </c>
      <c r="U13802" s="16" t="s">
        <v>87</v>
      </c>
      <c r="V13802" s="16" t="str">
        <f>IFERROR(__xludf.DUMMYFUNCTION("""COMPUTED_VALUE"""),"")</f>
        <v/>
      </c>
      <c r="W13802" s="16" t="str">
        <f>IFERROR(__xludf.DUMMYFUNCTION("""COMPUTED_VALUE"""),"")</f>
        <v/>
      </c>
      <c r="X13802" s="16" t="str">
        <f>IFERROR(__xludf.DUMMYFUNCTION("""COMPUTED_VALUE"""),"")</f>
        <v/>
      </c>
      <c r="AC13802" s="16" t="str">
        <f>IFERROR(__xludf.DUMMYFUNCTION("""COMPUTED_VALUE"""),"")</f>
        <v/>
      </c>
    </row>
    <row r="13803">
      <c r="A13803" s="16" t="s">
        <v>87</v>
      </c>
      <c r="E13803" s="16" t="str">
        <f>IFERROR(__xludf.DUMMYFUNCTION("""COMPUTED_VALUE"""),"")</f>
        <v/>
      </c>
      <c r="G13803" s="18"/>
      <c r="H13803" s="16" t="s">
        <v>87</v>
      </c>
      <c r="I13803" s="16" t="s">
        <v>87</v>
      </c>
      <c r="J13803" s="19"/>
      <c r="L13803" s="16" t="str">
        <f>IFERROR(__xludf.DUMMYFUNCTION("""COMPUTED_VALUE"""),"")</f>
        <v/>
      </c>
      <c r="M13803" s="16" t="str">
        <f>IFERROR(__xludf.DUMMYFUNCTION("""COMPUTED_VALUE"""),"")</f>
        <v/>
      </c>
      <c r="U13803" s="16" t="s">
        <v>87</v>
      </c>
      <c r="V13803" s="16" t="str">
        <f>IFERROR(__xludf.DUMMYFUNCTION("""COMPUTED_VALUE"""),"")</f>
        <v/>
      </c>
      <c r="W13803" s="16" t="str">
        <f>IFERROR(__xludf.DUMMYFUNCTION("""COMPUTED_VALUE"""),"")</f>
        <v/>
      </c>
      <c r="X13803" s="16" t="str">
        <f>IFERROR(__xludf.DUMMYFUNCTION("""COMPUTED_VALUE"""),"")</f>
        <v/>
      </c>
      <c r="AC13803" s="16" t="str">
        <f>IFERROR(__xludf.DUMMYFUNCTION("""COMPUTED_VALUE"""),"")</f>
        <v/>
      </c>
    </row>
    <row r="13804">
      <c r="A13804" s="16" t="s">
        <v>87</v>
      </c>
      <c r="E13804" s="16" t="str">
        <f>IFERROR(__xludf.DUMMYFUNCTION("""COMPUTED_VALUE"""),"")</f>
        <v/>
      </c>
      <c r="G13804" s="18"/>
      <c r="H13804" s="16" t="s">
        <v>87</v>
      </c>
      <c r="I13804" s="16" t="s">
        <v>87</v>
      </c>
      <c r="J13804" s="19"/>
      <c r="L13804" s="16" t="str">
        <f>IFERROR(__xludf.DUMMYFUNCTION("""COMPUTED_VALUE"""),"")</f>
        <v/>
      </c>
      <c r="M13804" s="16" t="str">
        <f>IFERROR(__xludf.DUMMYFUNCTION("""COMPUTED_VALUE"""),"")</f>
        <v/>
      </c>
      <c r="U13804" s="16" t="s">
        <v>87</v>
      </c>
      <c r="V13804" s="16" t="str">
        <f>IFERROR(__xludf.DUMMYFUNCTION("""COMPUTED_VALUE"""),"")</f>
        <v/>
      </c>
      <c r="W13804" s="16" t="str">
        <f>IFERROR(__xludf.DUMMYFUNCTION("""COMPUTED_VALUE"""),"")</f>
        <v/>
      </c>
      <c r="X13804" s="16" t="str">
        <f>IFERROR(__xludf.DUMMYFUNCTION("""COMPUTED_VALUE"""),"")</f>
        <v/>
      </c>
      <c r="AC13804" s="16" t="str">
        <f>IFERROR(__xludf.DUMMYFUNCTION("""COMPUTED_VALUE"""),"")</f>
        <v/>
      </c>
    </row>
    <row r="13805">
      <c r="A13805" s="16" t="s">
        <v>87</v>
      </c>
      <c r="E13805" s="16" t="str">
        <f>IFERROR(__xludf.DUMMYFUNCTION("""COMPUTED_VALUE"""),"")</f>
        <v/>
      </c>
      <c r="G13805" s="18"/>
      <c r="H13805" s="16" t="s">
        <v>87</v>
      </c>
      <c r="I13805" s="16" t="s">
        <v>87</v>
      </c>
      <c r="J13805" s="19"/>
      <c r="L13805" s="16" t="str">
        <f>IFERROR(__xludf.DUMMYFUNCTION("""COMPUTED_VALUE"""),"")</f>
        <v/>
      </c>
      <c r="M13805" s="16" t="str">
        <f>IFERROR(__xludf.DUMMYFUNCTION("""COMPUTED_VALUE"""),"")</f>
        <v/>
      </c>
      <c r="U13805" s="16" t="s">
        <v>87</v>
      </c>
      <c r="V13805" s="16" t="str">
        <f>IFERROR(__xludf.DUMMYFUNCTION("""COMPUTED_VALUE"""),"")</f>
        <v/>
      </c>
      <c r="W13805" s="16" t="str">
        <f>IFERROR(__xludf.DUMMYFUNCTION("""COMPUTED_VALUE"""),"")</f>
        <v/>
      </c>
      <c r="X13805" s="16" t="str">
        <f>IFERROR(__xludf.DUMMYFUNCTION("""COMPUTED_VALUE"""),"")</f>
        <v/>
      </c>
      <c r="AC13805" s="16" t="str">
        <f>IFERROR(__xludf.DUMMYFUNCTION("""COMPUTED_VALUE"""),"")</f>
        <v/>
      </c>
    </row>
    <row r="13806">
      <c r="A13806" s="16" t="s">
        <v>87</v>
      </c>
      <c r="E13806" s="16" t="str">
        <f>IFERROR(__xludf.DUMMYFUNCTION("""COMPUTED_VALUE"""),"")</f>
        <v/>
      </c>
      <c r="G13806" s="18"/>
      <c r="H13806" s="16" t="s">
        <v>87</v>
      </c>
      <c r="I13806" s="16" t="s">
        <v>87</v>
      </c>
      <c r="J13806" s="19"/>
      <c r="L13806" s="16" t="str">
        <f>IFERROR(__xludf.DUMMYFUNCTION("""COMPUTED_VALUE"""),"")</f>
        <v/>
      </c>
      <c r="M13806" s="16" t="str">
        <f>IFERROR(__xludf.DUMMYFUNCTION("""COMPUTED_VALUE"""),"")</f>
        <v/>
      </c>
      <c r="U13806" s="16" t="s">
        <v>87</v>
      </c>
      <c r="V13806" s="16" t="str">
        <f>IFERROR(__xludf.DUMMYFUNCTION("""COMPUTED_VALUE"""),"")</f>
        <v/>
      </c>
      <c r="W13806" s="16" t="str">
        <f>IFERROR(__xludf.DUMMYFUNCTION("""COMPUTED_VALUE"""),"")</f>
        <v/>
      </c>
      <c r="X13806" s="16" t="str">
        <f>IFERROR(__xludf.DUMMYFUNCTION("""COMPUTED_VALUE"""),"")</f>
        <v/>
      </c>
      <c r="AC13806" s="16" t="str">
        <f>IFERROR(__xludf.DUMMYFUNCTION("""COMPUTED_VALUE"""),"")</f>
        <v/>
      </c>
    </row>
    <row r="13807">
      <c r="A13807" s="16" t="s">
        <v>87</v>
      </c>
      <c r="E13807" s="16" t="str">
        <f>IFERROR(__xludf.DUMMYFUNCTION("""COMPUTED_VALUE"""),"")</f>
        <v/>
      </c>
      <c r="G13807" s="18"/>
      <c r="H13807" s="16" t="s">
        <v>87</v>
      </c>
      <c r="I13807" s="16" t="s">
        <v>87</v>
      </c>
      <c r="J13807" s="19"/>
      <c r="L13807" s="16" t="str">
        <f>IFERROR(__xludf.DUMMYFUNCTION("""COMPUTED_VALUE"""),"")</f>
        <v/>
      </c>
      <c r="M13807" s="16" t="str">
        <f>IFERROR(__xludf.DUMMYFUNCTION("""COMPUTED_VALUE"""),"")</f>
        <v/>
      </c>
      <c r="U13807" s="16" t="s">
        <v>87</v>
      </c>
      <c r="V13807" s="16" t="str">
        <f>IFERROR(__xludf.DUMMYFUNCTION("""COMPUTED_VALUE"""),"")</f>
        <v/>
      </c>
      <c r="W13807" s="16" t="str">
        <f>IFERROR(__xludf.DUMMYFUNCTION("""COMPUTED_VALUE"""),"")</f>
        <v/>
      </c>
      <c r="X13807" s="16" t="str">
        <f>IFERROR(__xludf.DUMMYFUNCTION("""COMPUTED_VALUE"""),"")</f>
        <v/>
      </c>
      <c r="AC13807" s="16" t="str">
        <f>IFERROR(__xludf.DUMMYFUNCTION("""COMPUTED_VALUE"""),"")</f>
        <v/>
      </c>
    </row>
    <row r="13808">
      <c r="A13808" s="16" t="s">
        <v>87</v>
      </c>
      <c r="E13808" s="16" t="str">
        <f>IFERROR(__xludf.DUMMYFUNCTION("""COMPUTED_VALUE"""),"")</f>
        <v/>
      </c>
      <c r="G13808" s="18"/>
      <c r="H13808" s="16" t="s">
        <v>87</v>
      </c>
      <c r="I13808" s="16" t="s">
        <v>87</v>
      </c>
      <c r="J13808" s="19"/>
      <c r="L13808" s="16" t="str">
        <f>IFERROR(__xludf.DUMMYFUNCTION("""COMPUTED_VALUE"""),"")</f>
        <v/>
      </c>
      <c r="M13808" s="16" t="str">
        <f>IFERROR(__xludf.DUMMYFUNCTION("""COMPUTED_VALUE"""),"")</f>
        <v/>
      </c>
      <c r="U13808" s="16" t="s">
        <v>87</v>
      </c>
      <c r="V13808" s="16" t="str">
        <f>IFERROR(__xludf.DUMMYFUNCTION("""COMPUTED_VALUE"""),"")</f>
        <v/>
      </c>
      <c r="W13808" s="16" t="str">
        <f>IFERROR(__xludf.DUMMYFUNCTION("""COMPUTED_VALUE"""),"")</f>
        <v/>
      </c>
      <c r="X13808" s="16" t="str">
        <f>IFERROR(__xludf.DUMMYFUNCTION("""COMPUTED_VALUE"""),"")</f>
        <v/>
      </c>
      <c r="AC13808" s="16" t="str">
        <f>IFERROR(__xludf.DUMMYFUNCTION("""COMPUTED_VALUE"""),"")</f>
        <v/>
      </c>
    </row>
    <row r="13809">
      <c r="A13809" s="16" t="s">
        <v>87</v>
      </c>
      <c r="E13809" s="16" t="str">
        <f>IFERROR(__xludf.DUMMYFUNCTION("""COMPUTED_VALUE"""),"")</f>
        <v/>
      </c>
      <c r="G13809" s="18"/>
      <c r="H13809" s="16" t="s">
        <v>87</v>
      </c>
      <c r="I13809" s="16" t="s">
        <v>87</v>
      </c>
      <c r="J13809" s="19"/>
      <c r="L13809" s="16" t="str">
        <f>IFERROR(__xludf.DUMMYFUNCTION("""COMPUTED_VALUE"""),"")</f>
        <v/>
      </c>
      <c r="M13809" s="16" t="str">
        <f>IFERROR(__xludf.DUMMYFUNCTION("""COMPUTED_VALUE"""),"")</f>
        <v/>
      </c>
      <c r="U13809" s="16" t="s">
        <v>87</v>
      </c>
      <c r="V13809" s="16" t="str">
        <f>IFERROR(__xludf.DUMMYFUNCTION("""COMPUTED_VALUE"""),"")</f>
        <v/>
      </c>
      <c r="W13809" s="16" t="str">
        <f>IFERROR(__xludf.DUMMYFUNCTION("""COMPUTED_VALUE"""),"")</f>
        <v/>
      </c>
      <c r="X13809" s="16" t="str">
        <f>IFERROR(__xludf.DUMMYFUNCTION("""COMPUTED_VALUE"""),"")</f>
        <v/>
      </c>
      <c r="AC13809" s="16" t="str">
        <f>IFERROR(__xludf.DUMMYFUNCTION("""COMPUTED_VALUE"""),"")</f>
        <v/>
      </c>
    </row>
    <row r="13810">
      <c r="A13810" s="16" t="s">
        <v>87</v>
      </c>
      <c r="E13810" s="16" t="str">
        <f>IFERROR(__xludf.DUMMYFUNCTION("""COMPUTED_VALUE"""),"")</f>
        <v/>
      </c>
      <c r="G13810" s="18"/>
      <c r="H13810" s="16" t="s">
        <v>87</v>
      </c>
      <c r="I13810" s="16" t="s">
        <v>87</v>
      </c>
      <c r="J13810" s="19"/>
      <c r="L13810" s="16" t="str">
        <f>IFERROR(__xludf.DUMMYFUNCTION("""COMPUTED_VALUE"""),"")</f>
        <v/>
      </c>
      <c r="M13810" s="16" t="str">
        <f>IFERROR(__xludf.DUMMYFUNCTION("""COMPUTED_VALUE"""),"")</f>
        <v/>
      </c>
      <c r="U13810" s="16" t="s">
        <v>87</v>
      </c>
      <c r="V13810" s="16" t="str">
        <f>IFERROR(__xludf.DUMMYFUNCTION("""COMPUTED_VALUE"""),"")</f>
        <v/>
      </c>
      <c r="W13810" s="16" t="str">
        <f>IFERROR(__xludf.DUMMYFUNCTION("""COMPUTED_VALUE"""),"")</f>
        <v/>
      </c>
      <c r="X13810" s="16" t="str">
        <f>IFERROR(__xludf.DUMMYFUNCTION("""COMPUTED_VALUE"""),"")</f>
        <v/>
      </c>
      <c r="AC13810" s="16" t="str">
        <f>IFERROR(__xludf.DUMMYFUNCTION("""COMPUTED_VALUE"""),"")</f>
        <v/>
      </c>
    </row>
    <row r="13811">
      <c r="A13811" s="16" t="s">
        <v>87</v>
      </c>
      <c r="E13811" s="16" t="str">
        <f>IFERROR(__xludf.DUMMYFUNCTION("""COMPUTED_VALUE"""),"")</f>
        <v/>
      </c>
      <c r="G13811" s="18"/>
      <c r="H13811" s="16" t="s">
        <v>87</v>
      </c>
      <c r="I13811" s="16" t="s">
        <v>87</v>
      </c>
      <c r="J13811" s="19"/>
      <c r="L13811" s="16" t="str">
        <f>IFERROR(__xludf.DUMMYFUNCTION("""COMPUTED_VALUE"""),"")</f>
        <v/>
      </c>
      <c r="M13811" s="16" t="str">
        <f>IFERROR(__xludf.DUMMYFUNCTION("""COMPUTED_VALUE"""),"")</f>
        <v/>
      </c>
      <c r="U13811" s="16" t="s">
        <v>87</v>
      </c>
      <c r="V13811" s="16" t="str">
        <f>IFERROR(__xludf.DUMMYFUNCTION("""COMPUTED_VALUE"""),"")</f>
        <v/>
      </c>
      <c r="W13811" s="16" t="str">
        <f>IFERROR(__xludf.DUMMYFUNCTION("""COMPUTED_VALUE"""),"")</f>
        <v/>
      </c>
      <c r="X13811" s="16" t="str">
        <f>IFERROR(__xludf.DUMMYFUNCTION("""COMPUTED_VALUE"""),"")</f>
        <v/>
      </c>
      <c r="AC13811" s="16" t="str">
        <f>IFERROR(__xludf.DUMMYFUNCTION("""COMPUTED_VALUE"""),"")</f>
        <v/>
      </c>
    </row>
    <row r="13812">
      <c r="A13812" s="16" t="s">
        <v>87</v>
      </c>
      <c r="E13812" s="16" t="str">
        <f>IFERROR(__xludf.DUMMYFUNCTION("""COMPUTED_VALUE"""),"")</f>
        <v/>
      </c>
      <c r="G13812" s="18"/>
      <c r="H13812" s="16" t="s">
        <v>87</v>
      </c>
      <c r="I13812" s="16" t="s">
        <v>87</v>
      </c>
      <c r="J13812" s="19"/>
      <c r="L13812" s="16" t="str">
        <f>IFERROR(__xludf.DUMMYFUNCTION("""COMPUTED_VALUE"""),"")</f>
        <v/>
      </c>
      <c r="M13812" s="16" t="str">
        <f>IFERROR(__xludf.DUMMYFUNCTION("""COMPUTED_VALUE"""),"")</f>
        <v/>
      </c>
      <c r="U13812" s="16" t="s">
        <v>87</v>
      </c>
      <c r="V13812" s="16" t="str">
        <f>IFERROR(__xludf.DUMMYFUNCTION("""COMPUTED_VALUE"""),"")</f>
        <v/>
      </c>
      <c r="W13812" s="16" t="str">
        <f>IFERROR(__xludf.DUMMYFUNCTION("""COMPUTED_VALUE"""),"")</f>
        <v/>
      </c>
      <c r="X13812" s="16" t="str">
        <f>IFERROR(__xludf.DUMMYFUNCTION("""COMPUTED_VALUE"""),"")</f>
        <v/>
      </c>
      <c r="AC13812" s="16" t="str">
        <f>IFERROR(__xludf.DUMMYFUNCTION("""COMPUTED_VALUE"""),"")</f>
        <v/>
      </c>
    </row>
    <row r="13813">
      <c r="A13813" s="16" t="s">
        <v>87</v>
      </c>
      <c r="E13813" s="16" t="str">
        <f>IFERROR(__xludf.DUMMYFUNCTION("""COMPUTED_VALUE"""),"")</f>
        <v/>
      </c>
      <c r="G13813" s="18"/>
      <c r="H13813" s="16" t="s">
        <v>87</v>
      </c>
      <c r="I13813" s="16" t="s">
        <v>87</v>
      </c>
      <c r="J13813" s="19"/>
      <c r="L13813" s="16" t="str">
        <f>IFERROR(__xludf.DUMMYFUNCTION("""COMPUTED_VALUE"""),"")</f>
        <v/>
      </c>
      <c r="M13813" s="16" t="str">
        <f>IFERROR(__xludf.DUMMYFUNCTION("""COMPUTED_VALUE"""),"")</f>
        <v/>
      </c>
      <c r="U13813" s="16" t="s">
        <v>87</v>
      </c>
      <c r="V13813" s="16" t="str">
        <f>IFERROR(__xludf.DUMMYFUNCTION("""COMPUTED_VALUE"""),"")</f>
        <v/>
      </c>
      <c r="W13813" s="16" t="str">
        <f>IFERROR(__xludf.DUMMYFUNCTION("""COMPUTED_VALUE"""),"")</f>
        <v/>
      </c>
      <c r="X13813" s="16" t="str">
        <f>IFERROR(__xludf.DUMMYFUNCTION("""COMPUTED_VALUE"""),"")</f>
        <v/>
      </c>
      <c r="AC13813" s="16" t="str">
        <f>IFERROR(__xludf.DUMMYFUNCTION("""COMPUTED_VALUE"""),"")</f>
        <v/>
      </c>
    </row>
    <row r="13814">
      <c r="A13814" s="16" t="s">
        <v>87</v>
      </c>
      <c r="E13814" s="16" t="str">
        <f>IFERROR(__xludf.DUMMYFUNCTION("""COMPUTED_VALUE"""),"")</f>
        <v/>
      </c>
      <c r="G13814" s="18"/>
      <c r="H13814" s="16" t="s">
        <v>87</v>
      </c>
      <c r="I13814" s="16" t="s">
        <v>87</v>
      </c>
      <c r="J13814" s="19"/>
      <c r="L13814" s="16" t="str">
        <f>IFERROR(__xludf.DUMMYFUNCTION("""COMPUTED_VALUE"""),"")</f>
        <v/>
      </c>
      <c r="M13814" s="16" t="str">
        <f>IFERROR(__xludf.DUMMYFUNCTION("""COMPUTED_VALUE"""),"")</f>
        <v/>
      </c>
      <c r="U13814" s="16" t="s">
        <v>87</v>
      </c>
      <c r="V13814" s="16" t="str">
        <f>IFERROR(__xludf.DUMMYFUNCTION("""COMPUTED_VALUE"""),"")</f>
        <v/>
      </c>
      <c r="W13814" s="16" t="str">
        <f>IFERROR(__xludf.DUMMYFUNCTION("""COMPUTED_VALUE"""),"")</f>
        <v/>
      </c>
      <c r="X13814" s="16" t="str">
        <f>IFERROR(__xludf.DUMMYFUNCTION("""COMPUTED_VALUE"""),"")</f>
        <v/>
      </c>
      <c r="AC13814" s="16" t="str">
        <f>IFERROR(__xludf.DUMMYFUNCTION("""COMPUTED_VALUE"""),"")</f>
        <v/>
      </c>
    </row>
    <row r="13815">
      <c r="A13815" s="16" t="s">
        <v>87</v>
      </c>
      <c r="E13815" s="16" t="str">
        <f>IFERROR(__xludf.DUMMYFUNCTION("""COMPUTED_VALUE"""),"")</f>
        <v/>
      </c>
      <c r="G13815" s="18"/>
      <c r="H13815" s="16" t="s">
        <v>87</v>
      </c>
      <c r="I13815" s="16" t="s">
        <v>87</v>
      </c>
      <c r="J13815" s="19"/>
      <c r="L13815" s="16" t="str">
        <f>IFERROR(__xludf.DUMMYFUNCTION("""COMPUTED_VALUE"""),"")</f>
        <v/>
      </c>
      <c r="M13815" s="16" t="str">
        <f>IFERROR(__xludf.DUMMYFUNCTION("""COMPUTED_VALUE"""),"")</f>
        <v/>
      </c>
      <c r="U13815" s="16" t="s">
        <v>87</v>
      </c>
      <c r="V13815" s="16" t="str">
        <f>IFERROR(__xludf.DUMMYFUNCTION("""COMPUTED_VALUE"""),"")</f>
        <v/>
      </c>
      <c r="W13815" s="16" t="str">
        <f>IFERROR(__xludf.DUMMYFUNCTION("""COMPUTED_VALUE"""),"")</f>
        <v/>
      </c>
      <c r="X13815" s="16" t="str">
        <f>IFERROR(__xludf.DUMMYFUNCTION("""COMPUTED_VALUE"""),"")</f>
        <v/>
      </c>
      <c r="AC13815" s="16" t="str">
        <f>IFERROR(__xludf.DUMMYFUNCTION("""COMPUTED_VALUE"""),"")</f>
        <v/>
      </c>
    </row>
    <row r="13816">
      <c r="A13816" s="16" t="s">
        <v>87</v>
      </c>
      <c r="E13816" s="16" t="str">
        <f>IFERROR(__xludf.DUMMYFUNCTION("""COMPUTED_VALUE"""),"")</f>
        <v/>
      </c>
      <c r="G13816" s="18"/>
      <c r="H13816" s="16" t="s">
        <v>87</v>
      </c>
      <c r="I13816" s="16" t="s">
        <v>87</v>
      </c>
      <c r="J13816" s="19"/>
      <c r="L13816" s="16" t="str">
        <f>IFERROR(__xludf.DUMMYFUNCTION("""COMPUTED_VALUE"""),"")</f>
        <v/>
      </c>
      <c r="M13816" s="16" t="str">
        <f>IFERROR(__xludf.DUMMYFUNCTION("""COMPUTED_VALUE"""),"")</f>
        <v/>
      </c>
      <c r="U13816" s="16" t="s">
        <v>87</v>
      </c>
      <c r="V13816" s="16" t="str">
        <f>IFERROR(__xludf.DUMMYFUNCTION("""COMPUTED_VALUE"""),"")</f>
        <v/>
      </c>
      <c r="W13816" s="16" t="str">
        <f>IFERROR(__xludf.DUMMYFUNCTION("""COMPUTED_VALUE"""),"")</f>
        <v/>
      </c>
      <c r="X13816" s="16" t="str">
        <f>IFERROR(__xludf.DUMMYFUNCTION("""COMPUTED_VALUE"""),"")</f>
        <v/>
      </c>
      <c r="AC13816" s="16" t="str">
        <f>IFERROR(__xludf.DUMMYFUNCTION("""COMPUTED_VALUE"""),"")</f>
        <v/>
      </c>
    </row>
    <row r="13817">
      <c r="A13817" s="16" t="s">
        <v>87</v>
      </c>
      <c r="E13817" s="16" t="str">
        <f>IFERROR(__xludf.DUMMYFUNCTION("""COMPUTED_VALUE"""),"")</f>
        <v/>
      </c>
      <c r="G13817" s="18"/>
      <c r="H13817" s="16" t="s">
        <v>87</v>
      </c>
      <c r="I13817" s="16" t="s">
        <v>87</v>
      </c>
      <c r="J13817" s="19"/>
      <c r="L13817" s="16" t="str">
        <f>IFERROR(__xludf.DUMMYFUNCTION("""COMPUTED_VALUE"""),"")</f>
        <v/>
      </c>
      <c r="M13817" s="16" t="str">
        <f>IFERROR(__xludf.DUMMYFUNCTION("""COMPUTED_VALUE"""),"")</f>
        <v/>
      </c>
      <c r="U13817" s="16" t="s">
        <v>87</v>
      </c>
      <c r="V13817" s="16" t="str">
        <f>IFERROR(__xludf.DUMMYFUNCTION("""COMPUTED_VALUE"""),"")</f>
        <v/>
      </c>
      <c r="W13817" s="16" t="str">
        <f>IFERROR(__xludf.DUMMYFUNCTION("""COMPUTED_VALUE"""),"")</f>
        <v/>
      </c>
      <c r="X13817" s="16" t="str">
        <f>IFERROR(__xludf.DUMMYFUNCTION("""COMPUTED_VALUE"""),"")</f>
        <v/>
      </c>
      <c r="AC13817" s="16" t="str">
        <f>IFERROR(__xludf.DUMMYFUNCTION("""COMPUTED_VALUE"""),"")</f>
        <v/>
      </c>
    </row>
    <row r="13818">
      <c r="A13818" s="16" t="s">
        <v>87</v>
      </c>
      <c r="E13818" s="16" t="str">
        <f>IFERROR(__xludf.DUMMYFUNCTION("""COMPUTED_VALUE"""),"")</f>
        <v/>
      </c>
      <c r="G13818" s="18"/>
      <c r="H13818" s="16" t="s">
        <v>87</v>
      </c>
      <c r="I13818" s="16" t="s">
        <v>87</v>
      </c>
      <c r="J13818" s="19"/>
      <c r="L13818" s="16" t="str">
        <f>IFERROR(__xludf.DUMMYFUNCTION("""COMPUTED_VALUE"""),"")</f>
        <v/>
      </c>
      <c r="M13818" s="16" t="str">
        <f>IFERROR(__xludf.DUMMYFUNCTION("""COMPUTED_VALUE"""),"")</f>
        <v/>
      </c>
      <c r="U13818" s="16" t="s">
        <v>87</v>
      </c>
      <c r="V13818" s="16" t="str">
        <f>IFERROR(__xludf.DUMMYFUNCTION("""COMPUTED_VALUE"""),"")</f>
        <v/>
      </c>
      <c r="W13818" s="16" t="str">
        <f>IFERROR(__xludf.DUMMYFUNCTION("""COMPUTED_VALUE"""),"")</f>
        <v/>
      </c>
      <c r="X13818" s="16" t="str">
        <f>IFERROR(__xludf.DUMMYFUNCTION("""COMPUTED_VALUE"""),"")</f>
        <v/>
      </c>
      <c r="AC13818" s="16" t="str">
        <f>IFERROR(__xludf.DUMMYFUNCTION("""COMPUTED_VALUE"""),"")</f>
        <v/>
      </c>
    </row>
    <row r="13819">
      <c r="A13819" s="16" t="s">
        <v>87</v>
      </c>
      <c r="E13819" s="16" t="str">
        <f>IFERROR(__xludf.DUMMYFUNCTION("""COMPUTED_VALUE"""),"")</f>
        <v/>
      </c>
      <c r="G13819" s="18"/>
      <c r="H13819" s="16" t="s">
        <v>87</v>
      </c>
      <c r="I13819" s="16" t="s">
        <v>87</v>
      </c>
      <c r="J13819" s="19"/>
      <c r="L13819" s="16" t="str">
        <f>IFERROR(__xludf.DUMMYFUNCTION("""COMPUTED_VALUE"""),"")</f>
        <v/>
      </c>
      <c r="M13819" s="16" t="str">
        <f>IFERROR(__xludf.DUMMYFUNCTION("""COMPUTED_VALUE"""),"")</f>
        <v/>
      </c>
      <c r="U13819" s="16" t="s">
        <v>87</v>
      </c>
      <c r="V13819" s="16" t="str">
        <f>IFERROR(__xludf.DUMMYFUNCTION("""COMPUTED_VALUE"""),"")</f>
        <v/>
      </c>
      <c r="W13819" s="16" t="str">
        <f>IFERROR(__xludf.DUMMYFUNCTION("""COMPUTED_VALUE"""),"")</f>
        <v/>
      </c>
      <c r="X13819" s="16" t="str">
        <f>IFERROR(__xludf.DUMMYFUNCTION("""COMPUTED_VALUE"""),"")</f>
        <v/>
      </c>
      <c r="AC13819" s="16" t="str">
        <f>IFERROR(__xludf.DUMMYFUNCTION("""COMPUTED_VALUE"""),"")</f>
        <v/>
      </c>
    </row>
    <row r="13820">
      <c r="A13820" s="16" t="s">
        <v>87</v>
      </c>
      <c r="E13820" s="16" t="str">
        <f>IFERROR(__xludf.DUMMYFUNCTION("""COMPUTED_VALUE"""),"")</f>
        <v/>
      </c>
      <c r="G13820" s="18"/>
      <c r="H13820" s="16" t="s">
        <v>87</v>
      </c>
      <c r="I13820" s="16" t="s">
        <v>87</v>
      </c>
      <c r="J13820" s="19"/>
      <c r="L13820" s="16" t="str">
        <f>IFERROR(__xludf.DUMMYFUNCTION("""COMPUTED_VALUE"""),"")</f>
        <v/>
      </c>
      <c r="M13820" s="16" t="str">
        <f>IFERROR(__xludf.DUMMYFUNCTION("""COMPUTED_VALUE"""),"")</f>
        <v/>
      </c>
      <c r="U13820" s="16" t="s">
        <v>87</v>
      </c>
      <c r="V13820" s="16" t="str">
        <f>IFERROR(__xludf.DUMMYFUNCTION("""COMPUTED_VALUE"""),"")</f>
        <v/>
      </c>
      <c r="W13820" s="16" t="str">
        <f>IFERROR(__xludf.DUMMYFUNCTION("""COMPUTED_VALUE"""),"")</f>
        <v/>
      </c>
      <c r="X13820" s="16" t="str">
        <f>IFERROR(__xludf.DUMMYFUNCTION("""COMPUTED_VALUE"""),"")</f>
        <v/>
      </c>
      <c r="AC13820" s="16" t="str">
        <f>IFERROR(__xludf.DUMMYFUNCTION("""COMPUTED_VALUE"""),"")</f>
        <v/>
      </c>
    </row>
    <row r="13821">
      <c r="A13821" s="16" t="s">
        <v>87</v>
      </c>
      <c r="E13821" s="16" t="str">
        <f>IFERROR(__xludf.DUMMYFUNCTION("""COMPUTED_VALUE"""),"")</f>
        <v/>
      </c>
      <c r="G13821" s="18"/>
      <c r="H13821" s="16" t="s">
        <v>87</v>
      </c>
      <c r="I13821" s="16" t="s">
        <v>87</v>
      </c>
      <c r="J13821" s="19"/>
      <c r="L13821" s="16" t="str">
        <f>IFERROR(__xludf.DUMMYFUNCTION("""COMPUTED_VALUE"""),"")</f>
        <v/>
      </c>
      <c r="M13821" s="16" t="str">
        <f>IFERROR(__xludf.DUMMYFUNCTION("""COMPUTED_VALUE"""),"")</f>
        <v/>
      </c>
      <c r="U13821" s="16" t="s">
        <v>87</v>
      </c>
      <c r="V13821" s="16" t="str">
        <f>IFERROR(__xludf.DUMMYFUNCTION("""COMPUTED_VALUE"""),"")</f>
        <v/>
      </c>
      <c r="W13821" s="16" t="str">
        <f>IFERROR(__xludf.DUMMYFUNCTION("""COMPUTED_VALUE"""),"")</f>
        <v/>
      </c>
      <c r="X13821" s="16" t="str">
        <f>IFERROR(__xludf.DUMMYFUNCTION("""COMPUTED_VALUE"""),"")</f>
        <v/>
      </c>
      <c r="AC13821" s="16" t="str">
        <f>IFERROR(__xludf.DUMMYFUNCTION("""COMPUTED_VALUE"""),"")</f>
        <v/>
      </c>
    </row>
    <row r="13822">
      <c r="A13822" s="16" t="s">
        <v>87</v>
      </c>
      <c r="E13822" s="16" t="str">
        <f>IFERROR(__xludf.DUMMYFUNCTION("""COMPUTED_VALUE"""),"")</f>
        <v/>
      </c>
      <c r="G13822" s="18"/>
      <c r="H13822" s="16" t="s">
        <v>87</v>
      </c>
      <c r="I13822" s="16" t="s">
        <v>87</v>
      </c>
      <c r="J13822" s="19"/>
      <c r="L13822" s="16" t="str">
        <f>IFERROR(__xludf.DUMMYFUNCTION("""COMPUTED_VALUE"""),"")</f>
        <v/>
      </c>
      <c r="M13822" s="16" t="str">
        <f>IFERROR(__xludf.DUMMYFUNCTION("""COMPUTED_VALUE"""),"")</f>
        <v/>
      </c>
      <c r="U13822" s="16" t="s">
        <v>87</v>
      </c>
      <c r="V13822" s="16" t="str">
        <f>IFERROR(__xludf.DUMMYFUNCTION("""COMPUTED_VALUE"""),"")</f>
        <v/>
      </c>
      <c r="W13822" s="16" t="str">
        <f>IFERROR(__xludf.DUMMYFUNCTION("""COMPUTED_VALUE"""),"")</f>
        <v/>
      </c>
      <c r="X13822" s="16" t="str">
        <f>IFERROR(__xludf.DUMMYFUNCTION("""COMPUTED_VALUE"""),"")</f>
        <v/>
      </c>
      <c r="AC13822" s="16" t="str">
        <f>IFERROR(__xludf.DUMMYFUNCTION("""COMPUTED_VALUE"""),"")</f>
        <v/>
      </c>
    </row>
    <row r="13823">
      <c r="A13823" s="16" t="s">
        <v>87</v>
      </c>
      <c r="E13823" s="16" t="str">
        <f>IFERROR(__xludf.DUMMYFUNCTION("""COMPUTED_VALUE"""),"")</f>
        <v/>
      </c>
      <c r="G13823" s="18"/>
      <c r="H13823" s="16" t="s">
        <v>87</v>
      </c>
      <c r="I13823" s="16" t="s">
        <v>87</v>
      </c>
      <c r="J13823" s="19"/>
      <c r="L13823" s="16" t="str">
        <f>IFERROR(__xludf.DUMMYFUNCTION("""COMPUTED_VALUE"""),"")</f>
        <v/>
      </c>
      <c r="M13823" s="16" t="str">
        <f>IFERROR(__xludf.DUMMYFUNCTION("""COMPUTED_VALUE"""),"")</f>
        <v/>
      </c>
      <c r="U13823" s="16" t="s">
        <v>87</v>
      </c>
      <c r="V13823" s="16" t="str">
        <f>IFERROR(__xludf.DUMMYFUNCTION("""COMPUTED_VALUE"""),"")</f>
        <v/>
      </c>
      <c r="W13823" s="16" t="str">
        <f>IFERROR(__xludf.DUMMYFUNCTION("""COMPUTED_VALUE"""),"")</f>
        <v/>
      </c>
      <c r="X13823" s="16" t="str">
        <f>IFERROR(__xludf.DUMMYFUNCTION("""COMPUTED_VALUE"""),"")</f>
        <v/>
      </c>
      <c r="AC13823" s="16" t="str">
        <f>IFERROR(__xludf.DUMMYFUNCTION("""COMPUTED_VALUE"""),"")</f>
        <v/>
      </c>
    </row>
    <row r="13824">
      <c r="A13824" s="16" t="s">
        <v>87</v>
      </c>
      <c r="E13824" s="16" t="str">
        <f>IFERROR(__xludf.DUMMYFUNCTION("""COMPUTED_VALUE"""),"")</f>
        <v/>
      </c>
      <c r="G13824" s="18"/>
      <c r="H13824" s="16" t="s">
        <v>87</v>
      </c>
      <c r="I13824" s="16" t="s">
        <v>87</v>
      </c>
      <c r="J13824" s="19"/>
      <c r="L13824" s="16" t="str">
        <f>IFERROR(__xludf.DUMMYFUNCTION("""COMPUTED_VALUE"""),"")</f>
        <v/>
      </c>
      <c r="M13824" s="16" t="str">
        <f>IFERROR(__xludf.DUMMYFUNCTION("""COMPUTED_VALUE"""),"")</f>
        <v/>
      </c>
      <c r="U13824" s="16" t="s">
        <v>87</v>
      </c>
      <c r="V13824" s="16" t="str">
        <f>IFERROR(__xludf.DUMMYFUNCTION("""COMPUTED_VALUE"""),"")</f>
        <v/>
      </c>
      <c r="W13824" s="16" t="str">
        <f>IFERROR(__xludf.DUMMYFUNCTION("""COMPUTED_VALUE"""),"")</f>
        <v/>
      </c>
      <c r="X13824" s="16" t="str">
        <f>IFERROR(__xludf.DUMMYFUNCTION("""COMPUTED_VALUE"""),"")</f>
        <v/>
      </c>
      <c r="AC13824" s="16" t="str">
        <f>IFERROR(__xludf.DUMMYFUNCTION("""COMPUTED_VALUE"""),"")</f>
        <v/>
      </c>
    </row>
    <row r="13825">
      <c r="A13825" s="16" t="s">
        <v>87</v>
      </c>
      <c r="E13825" s="16" t="str">
        <f>IFERROR(__xludf.DUMMYFUNCTION("""COMPUTED_VALUE"""),"")</f>
        <v/>
      </c>
      <c r="G13825" s="18"/>
      <c r="H13825" s="16" t="s">
        <v>87</v>
      </c>
      <c r="I13825" s="16" t="s">
        <v>87</v>
      </c>
      <c r="J13825" s="19"/>
      <c r="L13825" s="16" t="str">
        <f>IFERROR(__xludf.DUMMYFUNCTION("""COMPUTED_VALUE"""),"")</f>
        <v/>
      </c>
      <c r="M13825" s="16" t="str">
        <f>IFERROR(__xludf.DUMMYFUNCTION("""COMPUTED_VALUE"""),"")</f>
        <v/>
      </c>
      <c r="U13825" s="16" t="s">
        <v>87</v>
      </c>
      <c r="V13825" s="16" t="str">
        <f>IFERROR(__xludf.DUMMYFUNCTION("""COMPUTED_VALUE"""),"")</f>
        <v/>
      </c>
      <c r="W13825" s="16" t="str">
        <f>IFERROR(__xludf.DUMMYFUNCTION("""COMPUTED_VALUE"""),"")</f>
        <v/>
      </c>
      <c r="X13825" s="16" t="str">
        <f>IFERROR(__xludf.DUMMYFUNCTION("""COMPUTED_VALUE"""),"")</f>
        <v/>
      </c>
      <c r="AC13825" s="16" t="str">
        <f>IFERROR(__xludf.DUMMYFUNCTION("""COMPUTED_VALUE"""),"")</f>
        <v/>
      </c>
    </row>
    <row r="13826">
      <c r="A13826" s="16" t="s">
        <v>87</v>
      </c>
      <c r="E13826" s="16" t="str">
        <f>IFERROR(__xludf.DUMMYFUNCTION("""COMPUTED_VALUE"""),"")</f>
        <v/>
      </c>
      <c r="G13826" s="18"/>
      <c r="H13826" s="16" t="s">
        <v>87</v>
      </c>
      <c r="I13826" s="16" t="s">
        <v>87</v>
      </c>
      <c r="J13826" s="19"/>
      <c r="L13826" s="16" t="str">
        <f>IFERROR(__xludf.DUMMYFUNCTION("""COMPUTED_VALUE"""),"")</f>
        <v/>
      </c>
      <c r="M13826" s="16" t="str">
        <f>IFERROR(__xludf.DUMMYFUNCTION("""COMPUTED_VALUE"""),"")</f>
        <v/>
      </c>
      <c r="U13826" s="16" t="s">
        <v>87</v>
      </c>
      <c r="V13826" s="16" t="str">
        <f>IFERROR(__xludf.DUMMYFUNCTION("""COMPUTED_VALUE"""),"")</f>
        <v/>
      </c>
      <c r="W13826" s="16" t="str">
        <f>IFERROR(__xludf.DUMMYFUNCTION("""COMPUTED_VALUE"""),"")</f>
        <v/>
      </c>
      <c r="X13826" s="16" t="str">
        <f>IFERROR(__xludf.DUMMYFUNCTION("""COMPUTED_VALUE"""),"")</f>
        <v/>
      </c>
      <c r="AC13826" s="16" t="str">
        <f>IFERROR(__xludf.DUMMYFUNCTION("""COMPUTED_VALUE"""),"")</f>
        <v/>
      </c>
    </row>
    <row r="13827">
      <c r="A13827" s="16" t="s">
        <v>87</v>
      </c>
      <c r="E13827" s="16" t="str">
        <f>IFERROR(__xludf.DUMMYFUNCTION("""COMPUTED_VALUE"""),"")</f>
        <v/>
      </c>
      <c r="G13827" s="18"/>
      <c r="H13827" s="16" t="s">
        <v>87</v>
      </c>
      <c r="I13827" s="16" t="s">
        <v>87</v>
      </c>
      <c r="J13827" s="19"/>
      <c r="L13827" s="16" t="str">
        <f>IFERROR(__xludf.DUMMYFUNCTION("""COMPUTED_VALUE"""),"")</f>
        <v/>
      </c>
      <c r="M13827" s="16" t="str">
        <f>IFERROR(__xludf.DUMMYFUNCTION("""COMPUTED_VALUE"""),"")</f>
        <v/>
      </c>
      <c r="U13827" s="16" t="s">
        <v>87</v>
      </c>
      <c r="V13827" s="16" t="str">
        <f>IFERROR(__xludf.DUMMYFUNCTION("""COMPUTED_VALUE"""),"")</f>
        <v/>
      </c>
      <c r="W13827" s="16" t="str">
        <f>IFERROR(__xludf.DUMMYFUNCTION("""COMPUTED_VALUE"""),"")</f>
        <v/>
      </c>
      <c r="X13827" s="16" t="str">
        <f>IFERROR(__xludf.DUMMYFUNCTION("""COMPUTED_VALUE"""),"")</f>
        <v/>
      </c>
      <c r="AC13827" s="16" t="str">
        <f>IFERROR(__xludf.DUMMYFUNCTION("""COMPUTED_VALUE"""),"")</f>
        <v/>
      </c>
    </row>
    <row r="13828">
      <c r="A13828" s="16" t="s">
        <v>87</v>
      </c>
      <c r="E13828" s="16" t="str">
        <f>IFERROR(__xludf.DUMMYFUNCTION("""COMPUTED_VALUE"""),"")</f>
        <v/>
      </c>
      <c r="G13828" s="18"/>
      <c r="H13828" s="16" t="s">
        <v>87</v>
      </c>
      <c r="I13828" s="16" t="s">
        <v>87</v>
      </c>
      <c r="J13828" s="19"/>
      <c r="L13828" s="16" t="str">
        <f>IFERROR(__xludf.DUMMYFUNCTION("""COMPUTED_VALUE"""),"")</f>
        <v/>
      </c>
      <c r="M13828" s="16" t="str">
        <f>IFERROR(__xludf.DUMMYFUNCTION("""COMPUTED_VALUE"""),"")</f>
        <v/>
      </c>
      <c r="U13828" s="16" t="s">
        <v>87</v>
      </c>
      <c r="V13828" s="16" t="str">
        <f>IFERROR(__xludf.DUMMYFUNCTION("""COMPUTED_VALUE"""),"")</f>
        <v/>
      </c>
      <c r="W13828" s="16" t="str">
        <f>IFERROR(__xludf.DUMMYFUNCTION("""COMPUTED_VALUE"""),"")</f>
        <v/>
      </c>
      <c r="X13828" s="16" t="str">
        <f>IFERROR(__xludf.DUMMYFUNCTION("""COMPUTED_VALUE"""),"")</f>
        <v/>
      </c>
      <c r="AC13828" s="16" t="str">
        <f>IFERROR(__xludf.DUMMYFUNCTION("""COMPUTED_VALUE"""),"")</f>
        <v/>
      </c>
    </row>
    <row r="13829">
      <c r="A13829" s="16" t="s">
        <v>87</v>
      </c>
      <c r="E13829" s="16" t="str">
        <f>IFERROR(__xludf.DUMMYFUNCTION("""COMPUTED_VALUE"""),"")</f>
        <v/>
      </c>
      <c r="G13829" s="18"/>
      <c r="H13829" s="16" t="s">
        <v>87</v>
      </c>
      <c r="I13829" s="16" t="s">
        <v>87</v>
      </c>
      <c r="J13829" s="19"/>
      <c r="L13829" s="16" t="str">
        <f>IFERROR(__xludf.DUMMYFUNCTION("""COMPUTED_VALUE"""),"")</f>
        <v/>
      </c>
      <c r="M13829" s="16" t="str">
        <f>IFERROR(__xludf.DUMMYFUNCTION("""COMPUTED_VALUE"""),"")</f>
        <v/>
      </c>
      <c r="U13829" s="16" t="s">
        <v>87</v>
      </c>
      <c r="V13829" s="16" t="str">
        <f>IFERROR(__xludf.DUMMYFUNCTION("""COMPUTED_VALUE"""),"")</f>
        <v/>
      </c>
      <c r="W13829" s="16" t="str">
        <f>IFERROR(__xludf.DUMMYFUNCTION("""COMPUTED_VALUE"""),"")</f>
        <v/>
      </c>
      <c r="X13829" s="16" t="str">
        <f>IFERROR(__xludf.DUMMYFUNCTION("""COMPUTED_VALUE"""),"")</f>
        <v/>
      </c>
      <c r="AC13829" s="16" t="str">
        <f>IFERROR(__xludf.DUMMYFUNCTION("""COMPUTED_VALUE"""),"")</f>
        <v/>
      </c>
    </row>
    <row r="13830">
      <c r="A13830" s="16" t="s">
        <v>87</v>
      </c>
      <c r="E13830" s="16" t="str">
        <f>IFERROR(__xludf.DUMMYFUNCTION("""COMPUTED_VALUE"""),"")</f>
        <v/>
      </c>
      <c r="G13830" s="18"/>
      <c r="H13830" s="16" t="s">
        <v>87</v>
      </c>
      <c r="I13830" s="16" t="s">
        <v>87</v>
      </c>
      <c r="J13830" s="19"/>
      <c r="L13830" s="16" t="str">
        <f>IFERROR(__xludf.DUMMYFUNCTION("""COMPUTED_VALUE"""),"")</f>
        <v/>
      </c>
      <c r="M13830" s="16" t="str">
        <f>IFERROR(__xludf.DUMMYFUNCTION("""COMPUTED_VALUE"""),"")</f>
        <v/>
      </c>
      <c r="U13830" s="16" t="s">
        <v>87</v>
      </c>
      <c r="V13830" s="16" t="str">
        <f>IFERROR(__xludf.DUMMYFUNCTION("""COMPUTED_VALUE"""),"")</f>
        <v/>
      </c>
      <c r="W13830" s="16" t="str">
        <f>IFERROR(__xludf.DUMMYFUNCTION("""COMPUTED_VALUE"""),"")</f>
        <v/>
      </c>
      <c r="X13830" s="16" t="str">
        <f>IFERROR(__xludf.DUMMYFUNCTION("""COMPUTED_VALUE"""),"")</f>
        <v/>
      </c>
      <c r="AC13830" s="16" t="str">
        <f>IFERROR(__xludf.DUMMYFUNCTION("""COMPUTED_VALUE"""),"")</f>
        <v/>
      </c>
    </row>
    <row r="13831">
      <c r="A13831" s="16" t="s">
        <v>87</v>
      </c>
      <c r="E13831" s="16" t="str">
        <f>IFERROR(__xludf.DUMMYFUNCTION("""COMPUTED_VALUE"""),"")</f>
        <v/>
      </c>
      <c r="G13831" s="18"/>
      <c r="H13831" s="16" t="s">
        <v>87</v>
      </c>
      <c r="I13831" s="16" t="s">
        <v>87</v>
      </c>
      <c r="J13831" s="19"/>
      <c r="L13831" s="16" t="str">
        <f>IFERROR(__xludf.DUMMYFUNCTION("""COMPUTED_VALUE"""),"")</f>
        <v/>
      </c>
      <c r="M13831" s="16" t="str">
        <f>IFERROR(__xludf.DUMMYFUNCTION("""COMPUTED_VALUE"""),"")</f>
        <v/>
      </c>
      <c r="U13831" s="16" t="s">
        <v>87</v>
      </c>
      <c r="V13831" s="16" t="str">
        <f>IFERROR(__xludf.DUMMYFUNCTION("""COMPUTED_VALUE"""),"")</f>
        <v/>
      </c>
      <c r="W13831" s="16" t="str">
        <f>IFERROR(__xludf.DUMMYFUNCTION("""COMPUTED_VALUE"""),"")</f>
        <v/>
      </c>
      <c r="X13831" s="16" t="str">
        <f>IFERROR(__xludf.DUMMYFUNCTION("""COMPUTED_VALUE"""),"")</f>
        <v/>
      </c>
      <c r="AC13831" s="16" t="str">
        <f>IFERROR(__xludf.DUMMYFUNCTION("""COMPUTED_VALUE"""),"")</f>
        <v/>
      </c>
    </row>
    <row r="13832">
      <c r="A13832" s="16" t="s">
        <v>87</v>
      </c>
      <c r="E13832" s="16" t="str">
        <f>IFERROR(__xludf.DUMMYFUNCTION("""COMPUTED_VALUE"""),"")</f>
        <v/>
      </c>
      <c r="G13832" s="18"/>
      <c r="H13832" s="16" t="s">
        <v>87</v>
      </c>
      <c r="I13832" s="16" t="s">
        <v>87</v>
      </c>
      <c r="J13832" s="19"/>
      <c r="L13832" s="16" t="str">
        <f>IFERROR(__xludf.DUMMYFUNCTION("""COMPUTED_VALUE"""),"")</f>
        <v/>
      </c>
      <c r="M13832" s="16" t="str">
        <f>IFERROR(__xludf.DUMMYFUNCTION("""COMPUTED_VALUE"""),"")</f>
        <v/>
      </c>
      <c r="U13832" s="16" t="s">
        <v>87</v>
      </c>
      <c r="V13832" s="16" t="str">
        <f>IFERROR(__xludf.DUMMYFUNCTION("""COMPUTED_VALUE"""),"")</f>
        <v/>
      </c>
      <c r="W13832" s="16" t="str">
        <f>IFERROR(__xludf.DUMMYFUNCTION("""COMPUTED_VALUE"""),"")</f>
        <v/>
      </c>
      <c r="X13832" s="16" t="str">
        <f>IFERROR(__xludf.DUMMYFUNCTION("""COMPUTED_VALUE"""),"")</f>
        <v/>
      </c>
      <c r="AC13832" s="16" t="str">
        <f>IFERROR(__xludf.DUMMYFUNCTION("""COMPUTED_VALUE"""),"")</f>
        <v/>
      </c>
    </row>
    <row r="13833">
      <c r="A13833" s="16" t="s">
        <v>87</v>
      </c>
      <c r="E13833" s="16" t="str">
        <f>IFERROR(__xludf.DUMMYFUNCTION("""COMPUTED_VALUE"""),"")</f>
        <v/>
      </c>
      <c r="G13833" s="18"/>
      <c r="H13833" s="16" t="s">
        <v>87</v>
      </c>
      <c r="I13833" s="16" t="s">
        <v>87</v>
      </c>
      <c r="J13833" s="19"/>
      <c r="L13833" s="16" t="str">
        <f>IFERROR(__xludf.DUMMYFUNCTION("""COMPUTED_VALUE"""),"")</f>
        <v/>
      </c>
      <c r="M13833" s="16" t="str">
        <f>IFERROR(__xludf.DUMMYFUNCTION("""COMPUTED_VALUE"""),"")</f>
        <v/>
      </c>
      <c r="U13833" s="16" t="s">
        <v>87</v>
      </c>
      <c r="V13833" s="16" t="str">
        <f>IFERROR(__xludf.DUMMYFUNCTION("""COMPUTED_VALUE"""),"")</f>
        <v/>
      </c>
      <c r="W13833" s="16" t="str">
        <f>IFERROR(__xludf.DUMMYFUNCTION("""COMPUTED_VALUE"""),"")</f>
        <v/>
      </c>
      <c r="X13833" s="16" t="str">
        <f>IFERROR(__xludf.DUMMYFUNCTION("""COMPUTED_VALUE"""),"")</f>
        <v/>
      </c>
      <c r="AC13833" s="16" t="str">
        <f>IFERROR(__xludf.DUMMYFUNCTION("""COMPUTED_VALUE"""),"")</f>
        <v/>
      </c>
    </row>
    <row r="13834">
      <c r="A13834" s="16" t="s">
        <v>87</v>
      </c>
      <c r="E13834" s="16" t="str">
        <f>IFERROR(__xludf.DUMMYFUNCTION("""COMPUTED_VALUE"""),"")</f>
        <v/>
      </c>
      <c r="G13834" s="18"/>
      <c r="H13834" s="16" t="s">
        <v>87</v>
      </c>
      <c r="I13834" s="16" t="s">
        <v>87</v>
      </c>
      <c r="J13834" s="19"/>
      <c r="L13834" s="16" t="str">
        <f>IFERROR(__xludf.DUMMYFUNCTION("""COMPUTED_VALUE"""),"")</f>
        <v/>
      </c>
      <c r="M13834" s="16" t="str">
        <f>IFERROR(__xludf.DUMMYFUNCTION("""COMPUTED_VALUE"""),"")</f>
        <v/>
      </c>
      <c r="U13834" s="16" t="s">
        <v>87</v>
      </c>
      <c r="V13834" s="16" t="str">
        <f>IFERROR(__xludf.DUMMYFUNCTION("""COMPUTED_VALUE"""),"")</f>
        <v/>
      </c>
      <c r="W13834" s="16" t="str">
        <f>IFERROR(__xludf.DUMMYFUNCTION("""COMPUTED_VALUE"""),"")</f>
        <v/>
      </c>
      <c r="X13834" s="16" t="str">
        <f>IFERROR(__xludf.DUMMYFUNCTION("""COMPUTED_VALUE"""),"")</f>
        <v/>
      </c>
      <c r="AC13834" s="16" t="str">
        <f>IFERROR(__xludf.DUMMYFUNCTION("""COMPUTED_VALUE"""),"")</f>
        <v/>
      </c>
    </row>
    <row r="13835">
      <c r="A13835" s="16" t="s">
        <v>87</v>
      </c>
      <c r="E13835" s="16" t="str">
        <f>IFERROR(__xludf.DUMMYFUNCTION("""COMPUTED_VALUE"""),"")</f>
        <v/>
      </c>
      <c r="G13835" s="18"/>
      <c r="H13835" s="16" t="s">
        <v>87</v>
      </c>
      <c r="I13835" s="16" t="s">
        <v>87</v>
      </c>
      <c r="J13835" s="19"/>
      <c r="L13835" s="16" t="str">
        <f>IFERROR(__xludf.DUMMYFUNCTION("""COMPUTED_VALUE"""),"")</f>
        <v/>
      </c>
      <c r="M13835" s="16" t="str">
        <f>IFERROR(__xludf.DUMMYFUNCTION("""COMPUTED_VALUE"""),"")</f>
        <v/>
      </c>
      <c r="U13835" s="16" t="s">
        <v>87</v>
      </c>
      <c r="V13835" s="16" t="str">
        <f>IFERROR(__xludf.DUMMYFUNCTION("""COMPUTED_VALUE"""),"")</f>
        <v/>
      </c>
      <c r="W13835" s="16" t="str">
        <f>IFERROR(__xludf.DUMMYFUNCTION("""COMPUTED_VALUE"""),"")</f>
        <v/>
      </c>
      <c r="X13835" s="16" t="str">
        <f>IFERROR(__xludf.DUMMYFUNCTION("""COMPUTED_VALUE"""),"")</f>
        <v/>
      </c>
      <c r="AC13835" s="16" t="str">
        <f>IFERROR(__xludf.DUMMYFUNCTION("""COMPUTED_VALUE"""),"")</f>
        <v/>
      </c>
    </row>
    <row r="13836">
      <c r="A13836" s="16" t="s">
        <v>87</v>
      </c>
      <c r="E13836" s="16" t="str">
        <f>IFERROR(__xludf.DUMMYFUNCTION("""COMPUTED_VALUE"""),"")</f>
        <v/>
      </c>
      <c r="G13836" s="18"/>
      <c r="H13836" s="16" t="s">
        <v>87</v>
      </c>
      <c r="I13836" s="16" t="s">
        <v>87</v>
      </c>
      <c r="J13836" s="19"/>
      <c r="L13836" s="16" t="str">
        <f>IFERROR(__xludf.DUMMYFUNCTION("""COMPUTED_VALUE"""),"")</f>
        <v/>
      </c>
      <c r="M13836" s="16" t="str">
        <f>IFERROR(__xludf.DUMMYFUNCTION("""COMPUTED_VALUE"""),"")</f>
        <v/>
      </c>
      <c r="U13836" s="16" t="s">
        <v>87</v>
      </c>
      <c r="V13836" s="16" t="str">
        <f>IFERROR(__xludf.DUMMYFUNCTION("""COMPUTED_VALUE"""),"")</f>
        <v/>
      </c>
      <c r="W13836" s="16" t="str">
        <f>IFERROR(__xludf.DUMMYFUNCTION("""COMPUTED_VALUE"""),"")</f>
        <v/>
      </c>
      <c r="X13836" s="16" t="str">
        <f>IFERROR(__xludf.DUMMYFUNCTION("""COMPUTED_VALUE"""),"")</f>
        <v/>
      </c>
      <c r="AC13836" s="16" t="str">
        <f>IFERROR(__xludf.DUMMYFUNCTION("""COMPUTED_VALUE"""),"")</f>
        <v/>
      </c>
    </row>
    <row r="13837">
      <c r="A13837" s="16" t="s">
        <v>87</v>
      </c>
      <c r="E13837" s="16" t="str">
        <f>IFERROR(__xludf.DUMMYFUNCTION("""COMPUTED_VALUE"""),"")</f>
        <v/>
      </c>
      <c r="G13837" s="18"/>
      <c r="H13837" s="16" t="s">
        <v>87</v>
      </c>
      <c r="I13837" s="16" t="s">
        <v>87</v>
      </c>
      <c r="J13837" s="19"/>
      <c r="L13837" s="16" t="str">
        <f>IFERROR(__xludf.DUMMYFUNCTION("""COMPUTED_VALUE"""),"")</f>
        <v/>
      </c>
      <c r="M13837" s="16" t="str">
        <f>IFERROR(__xludf.DUMMYFUNCTION("""COMPUTED_VALUE"""),"")</f>
        <v/>
      </c>
      <c r="U13837" s="16" t="s">
        <v>87</v>
      </c>
      <c r="V13837" s="16" t="str">
        <f>IFERROR(__xludf.DUMMYFUNCTION("""COMPUTED_VALUE"""),"")</f>
        <v/>
      </c>
      <c r="W13837" s="16" t="str">
        <f>IFERROR(__xludf.DUMMYFUNCTION("""COMPUTED_VALUE"""),"")</f>
        <v/>
      </c>
      <c r="X13837" s="16" t="str">
        <f>IFERROR(__xludf.DUMMYFUNCTION("""COMPUTED_VALUE"""),"")</f>
        <v/>
      </c>
      <c r="AC13837" s="16" t="str">
        <f>IFERROR(__xludf.DUMMYFUNCTION("""COMPUTED_VALUE"""),"")</f>
        <v/>
      </c>
    </row>
    <row r="13838">
      <c r="A13838" s="16" t="s">
        <v>87</v>
      </c>
      <c r="E13838" s="16" t="str">
        <f>IFERROR(__xludf.DUMMYFUNCTION("""COMPUTED_VALUE"""),"")</f>
        <v/>
      </c>
      <c r="G13838" s="18"/>
      <c r="H13838" s="16" t="s">
        <v>87</v>
      </c>
      <c r="I13838" s="16" t="s">
        <v>87</v>
      </c>
      <c r="J13838" s="19"/>
      <c r="L13838" s="16" t="str">
        <f>IFERROR(__xludf.DUMMYFUNCTION("""COMPUTED_VALUE"""),"")</f>
        <v/>
      </c>
      <c r="M13838" s="16" t="str">
        <f>IFERROR(__xludf.DUMMYFUNCTION("""COMPUTED_VALUE"""),"")</f>
        <v/>
      </c>
      <c r="U13838" s="16" t="s">
        <v>87</v>
      </c>
      <c r="V13838" s="16" t="str">
        <f>IFERROR(__xludf.DUMMYFUNCTION("""COMPUTED_VALUE"""),"")</f>
        <v/>
      </c>
      <c r="W13838" s="16" t="str">
        <f>IFERROR(__xludf.DUMMYFUNCTION("""COMPUTED_VALUE"""),"")</f>
        <v/>
      </c>
      <c r="X13838" s="16" t="str">
        <f>IFERROR(__xludf.DUMMYFUNCTION("""COMPUTED_VALUE"""),"")</f>
        <v/>
      </c>
      <c r="AC13838" s="16" t="str">
        <f>IFERROR(__xludf.DUMMYFUNCTION("""COMPUTED_VALUE"""),"")</f>
        <v/>
      </c>
    </row>
    <row r="13839">
      <c r="A13839" s="16" t="s">
        <v>87</v>
      </c>
      <c r="E13839" s="16" t="str">
        <f>IFERROR(__xludf.DUMMYFUNCTION("""COMPUTED_VALUE"""),"")</f>
        <v/>
      </c>
      <c r="G13839" s="18"/>
      <c r="H13839" s="16" t="s">
        <v>87</v>
      </c>
      <c r="I13839" s="16" t="s">
        <v>87</v>
      </c>
      <c r="J13839" s="19"/>
      <c r="L13839" s="16" t="str">
        <f>IFERROR(__xludf.DUMMYFUNCTION("""COMPUTED_VALUE"""),"")</f>
        <v/>
      </c>
      <c r="M13839" s="16" t="str">
        <f>IFERROR(__xludf.DUMMYFUNCTION("""COMPUTED_VALUE"""),"")</f>
        <v/>
      </c>
      <c r="U13839" s="16" t="s">
        <v>87</v>
      </c>
      <c r="V13839" s="16" t="str">
        <f>IFERROR(__xludf.DUMMYFUNCTION("""COMPUTED_VALUE"""),"")</f>
        <v/>
      </c>
      <c r="W13839" s="16" t="str">
        <f>IFERROR(__xludf.DUMMYFUNCTION("""COMPUTED_VALUE"""),"")</f>
        <v/>
      </c>
      <c r="X13839" s="16" t="str">
        <f>IFERROR(__xludf.DUMMYFUNCTION("""COMPUTED_VALUE"""),"")</f>
        <v/>
      </c>
      <c r="AC13839" s="16" t="str">
        <f>IFERROR(__xludf.DUMMYFUNCTION("""COMPUTED_VALUE"""),"")</f>
        <v/>
      </c>
    </row>
    <row r="13840">
      <c r="A13840" s="16" t="s">
        <v>87</v>
      </c>
      <c r="E13840" s="16" t="str">
        <f>IFERROR(__xludf.DUMMYFUNCTION("""COMPUTED_VALUE"""),"")</f>
        <v/>
      </c>
      <c r="G13840" s="18"/>
      <c r="H13840" s="16" t="s">
        <v>87</v>
      </c>
      <c r="I13840" s="16" t="s">
        <v>87</v>
      </c>
      <c r="J13840" s="19"/>
      <c r="L13840" s="16" t="str">
        <f>IFERROR(__xludf.DUMMYFUNCTION("""COMPUTED_VALUE"""),"")</f>
        <v/>
      </c>
      <c r="M13840" s="16" t="str">
        <f>IFERROR(__xludf.DUMMYFUNCTION("""COMPUTED_VALUE"""),"")</f>
        <v/>
      </c>
      <c r="U13840" s="16" t="s">
        <v>87</v>
      </c>
      <c r="V13840" s="16" t="str">
        <f>IFERROR(__xludf.DUMMYFUNCTION("""COMPUTED_VALUE"""),"")</f>
        <v/>
      </c>
      <c r="W13840" s="16" t="str">
        <f>IFERROR(__xludf.DUMMYFUNCTION("""COMPUTED_VALUE"""),"")</f>
        <v/>
      </c>
      <c r="X13840" s="16" t="str">
        <f>IFERROR(__xludf.DUMMYFUNCTION("""COMPUTED_VALUE"""),"")</f>
        <v/>
      </c>
      <c r="AC13840" s="16" t="str">
        <f>IFERROR(__xludf.DUMMYFUNCTION("""COMPUTED_VALUE"""),"")</f>
        <v/>
      </c>
    </row>
    <row r="13841">
      <c r="A13841" s="16" t="s">
        <v>87</v>
      </c>
      <c r="E13841" s="16" t="str">
        <f>IFERROR(__xludf.DUMMYFUNCTION("""COMPUTED_VALUE"""),"")</f>
        <v/>
      </c>
      <c r="G13841" s="18"/>
      <c r="H13841" s="16" t="s">
        <v>87</v>
      </c>
      <c r="I13841" s="16" t="s">
        <v>87</v>
      </c>
      <c r="J13841" s="19"/>
      <c r="L13841" s="16" t="str">
        <f>IFERROR(__xludf.DUMMYFUNCTION("""COMPUTED_VALUE"""),"")</f>
        <v/>
      </c>
      <c r="M13841" s="16" t="str">
        <f>IFERROR(__xludf.DUMMYFUNCTION("""COMPUTED_VALUE"""),"")</f>
        <v/>
      </c>
      <c r="U13841" s="16" t="s">
        <v>87</v>
      </c>
      <c r="V13841" s="16" t="str">
        <f>IFERROR(__xludf.DUMMYFUNCTION("""COMPUTED_VALUE"""),"")</f>
        <v/>
      </c>
      <c r="W13841" s="16" t="str">
        <f>IFERROR(__xludf.DUMMYFUNCTION("""COMPUTED_VALUE"""),"")</f>
        <v/>
      </c>
      <c r="X13841" s="16" t="str">
        <f>IFERROR(__xludf.DUMMYFUNCTION("""COMPUTED_VALUE"""),"")</f>
        <v/>
      </c>
      <c r="AC13841" s="16" t="str">
        <f>IFERROR(__xludf.DUMMYFUNCTION("""COMPUTED_VALUE"""),"")</f>
        <v/>
      </c>
    </row>
    <row r="13842">
      <c r="A13842" s="16" t="s">
        <v>87</v>
      </c>
      <c r="E13842" s="16" t="str">
        <f>IFERROR(__xludf.DUMMYFUNCTION("""COMPUTED_VALUE"""),"")</f>
        <v/>
      </c>
      <c r="G13842" s="18"/>
      <c r="H13842" s="16" t="s">
        <v>87</v>
      </c>
      <c r="I13842" s="16" t="s">
        <v>87</v>
      </c>
      <c r="J13842" s="19"/>
      <c r="L13842" s="16" t="str">
        <f>IFERROR(__xludf.DUMMYFUNCTION("""COMPUTED_VALUE"""),"")</f>
        <v/>
      </c>
      <c r="M13842" s="16" t="str">
        <f>IFERROR(__xludf.DUMMYFUNCTION("""COMPUTED_VALUE"""),"")</f>
        <v/>
      </c>
      <c r="U13842" s="16" t="s">
        <v>87</v>
      </c>
      <c r="V13842" s="16" t="str">
        <f>IFERROR(__xludf.DUMMYFUNCTION("""COMPUTED_VALUE"""),"")</f>
        <v/>
      </c>
      <c r="W13842" s="16" t="str">
        <f>IFERROR(__xludf.DUMMYFUNCTION("""COMPUTED_VALUE"""),"")</f>
        <v/>
      </c>
      <c r="X13842" s="16" t="str">
        <f>IFERROR(__xludf.DUMMYFUNCTION("""COMPUTED_VALUE"""),"")</f>
        <v/>
      </c>
      <c r="AC13842" s="16" t="str">
        <f>IFERROR(__xludf.DUMMYFUNCTION("""COMPUTED_VALUE"""),"")</f>
        <v/>
      </c>
    </row>
    <row r="13843">
      <c r="A13843" s="16" t="s">
        <v>87</v>
      </c>
      <c r="E13843" s="16" t="str">
        <f>IFERROR(__xludf.DUMMYFUNCTION("""COMPUTED_VALUE"""),"")</f>
        <v/>
      </c>
      <c r="G13843" s="18"/>
      <c r="H13843" s="16" t="s">
        <v>87</v>
      </c>
      <c r="I13843" s="16" t="s">
        <v>87</v>
      </c>
      <c r="J13843" s="19"/>
      <c r="L13843" s="16" t="str">
        <f>IFERROR(__xludf.DUMMYFUNCTION("""COMPUTED_VALUE"""),"")</f>
        <v/>
      </c>
      <c r="M13843" s="16" t="str">
        <f>IFERROR(__xludf.DUMMYFUNCTION("""COMPUTED_VALUE"""),"")</f>
        <v/>
      </c>
      <c r="U13843" s="16" t="s">
        <v>87</v>
      </c>
      <c r="V13843" s="16" t="str">
        <f>IFERROR(__xludf.DUMMYFUNCTION("""COMPUTED_VALUE"""),"")</f>
        <v/>
      </c>
      <c r="W13843" s="16" t="str">
        <f>IFERROR(__xludf.DUMMYFUNCTION("""COMPUTED_VALUE"""),"")</f>
        <v/>
      </c>
      <c r="X13843" s="16" t="str">
        <f>IFERROR(__xludf.DUMMYFUNCTION("""COMPUTED_VALUE"""),"")</f>
        <v/>
      </c>
      <c r="AC13843" s="16" t="str">
        <f>IFERROR(__xludf.DUMMYFUNCTION("""COMPUTED_VALUE"""),"")</f>
        <v/>
      </c>
    </row>
    <row r="13844">
      <c r="A13844" s="16" t="s">
        <v>87</v>
      </c>
      <c r="E13844" s="16" t="str">
        <f>IFERROR(__xludf.DUMMYFUNCTION("""COMPUTED_VALUE"""),"")</f>
        <v/>
      </c>
      <c r="G13844" s="18"/>
      <c r="H13844" s="16" t="s">
        <v>87</v>
      </c>
      <c r="I13844" s="16" t="s">
        <v>87</v>
      </c>
      <c r="J13844" s="19"/>
      <c r="L13844" s="16" t="str">
        <f>IFERROR(__xludf.DUMMYFUNCTION("""COMPUTED_VALUE"""),"")</f>
        <v/>
      </c>
      <c r="M13844" s="16" t="str">
        <f>IFERROR(__xludf.DUMMYFUNCTION("""COMPUTED_VALUE"""),"")</f>
        <v/>
      </c>
      <c r="U13844" s="16" t="s">
        <v>87</v>
      </c>
      <c r="V13844" s="16" t="str">
        <f>IFERROR(__xludf.DUMMYFUNCTION("""COMPUTED_VALUE"""),"")</f>
        <v/>
      </c>
      <c r="W13844" s="16" t="str">
        <f>IFERROR(__xludf.DUMMYFUNCTION("""COMPUTED_VALUE"""),"")</f>
        <v/>
      </c>
      <c r="X13844" s="16" t="str">
        <f>IFERROR(__xludf.DUMMYFUNCTION("""COMPUTED_VALUE"""),"")</f>
        <v/>
      </c>
      <c r="AC13844" s="16" t="str">
        <f>IFERROR(__xludf.DUMMYFUNCTION("""COMPUTED_VALUE"""),"")</f>
        <v/>
      </c>
    </row>
    <row r="13845">
      <c r="A13845" s="16" t="s">
        <v>87</v>
      </c>
      <c r="E13845" s="16" t="str">
        <f>IFERROR(__xludf.DUMMYFUNCTION("""COMPUTED_VALUE"""),"")</f>
        <v/>
      </c>
      <c r="G13845" s="18"/>
      <c r="H13845" s="16" t="s">
        <v>87</v>
      </c>
      <c r="I13845" s="16" t="s">
        <v>87</v>
      </c>
      <c r="J13845" s="19"/>
      <c r="L13845" s="16" t="str">
        <f>IFERROR(__xludf.DUMMYFUNCTION("""COMPUTED_VALUE"""),"")</f>
        <v/>
      </c>
      <c r="M13845" s="16" t="str">
        <f>IFERROR(__xludf.DUMMYFUNCTION("""COMPUTED_VALUE"""),"")</f>
        <v/>
      </c>
      <c r="U13845" s="16" t="s">
        <v>87</v>
      </c>
      <c r="V13845" s="16" t="str">
        <f>IFERROR(__xludf.DUMMYFUNCTION("""COMPUTED_VALUE"""),"")</f>
        <v/>
      </c>
      <c r="W13845" s="16" t="str">
        <f>IFERROR(__xludf.DUMMYFUNCTION("""COMPUTED_VALUE"""),"")</f>
        <v/>
      </c>
      <c r="X13845" s="16" t="str">
        <f>IFERROR(__xludf.DUMMYFUNCTION("""COMPUTED_VALUE"""),"")</f>
        <v/>
      </c>
      <c r="AC13845" s="16" t="str">
        <f>IFERROR(__xludf.DUMMYFUNCTION("""COMPUTED_VALUE"""),"")</f>
        <v/>
      </c>
    </row>
    <row r="13846">
      <c r="A13846" s="16" t="s">
        <v>87</v>
      </c>
      <c r="E13846" s="16" t="str">
        <f>IFERROR(__xludf.DUMMYFUNCTION("""COMPUTED_VALUE"""),"")</f>
        <v/>
      </c>
      <c r="G13846" s="18"/>
      <c r="H13846" s="16" t="s">
        <v>87</v>
      </c>
      <c r="I13846" s="16" t="s">
        <v>87</v>
      </c>
      <c r="J13846" s="19"/>
      <c r="L13846" s="16" t="str">
        <f>IFERROR(__xludf.DUMMYFUNCTION("""COMPUTED_VALUE"""),"")</f>
        <v/>
      </c>
      <c r="M13846" s="16" t="str">
        <f>IFERROR(__xludf.DUMMYFUNCTION("""COMPUTED_VALUE"""),"")</f>
        <v/>
      </c>
      <c r="U13846" s="16" t="s">
        <v>87</v>
      </c>
      <c r="V13846" s="16" t="str">
        <f>IFERROR(__xludf.DUMMYFUNCTION("""COMPUTED_VALUE"""),"")</f>
        <v/>
      </c>
      <c r="W13846" s="16" t="str">
        <f>IFERROR(__xludf.DUMMYFUNCTION("""COMPUTED_VALUE"""),"")</f>
        <v/>
      </c>
      <c r="X13846" s="16" t="str">
        <f>IFERROR(__xludf.DUMMYFUNCTION("""COMPUTED_VALUE"""),"")</f>
        <v/>
      </c>
      <c r="AC13846" s="16" t="str">
        <f>IFERROR(__xludf.DUMMYFUNCTION("""COMPUTED_VALUE"""),"")</f>
        <v/>
      </c>
    </row>
    <row r="13847">
      <c r="A13847" s="16" t="s">
        <v>87</v>
      </c>
      <c r="E13847" s="16" t="str">
        <f>IFERROR(__xludf.DUMMYFUNCTION("""COMPUTED_VALUE"""),"")</f>
        <v/>
      </c>
      <c r="G13847" s="18"/>
      <c r="H13847" s="16" t="s">
        <v>87</v>
      </c>
      <c r="I13847" s="16" t="s">
        <v>87</v>
      </c>
      <c r="J13847" s="19"/>
      <c r="L13847" s="16" t="str">
        <f>IFERROR(__xludf.DUMMYFUNCTION("""COMPUTED_VALUE"""),"")</f>
        <v/>
      </c>
      <c r="M13847" s="16" t="str">
        <f>IFERROR(__xludf.DUMMYFUNCTION("""COMPUTED_VALUE"""),"")</f>
        <v/>
      </c>
      <c r="U13847" s="16" t="s">
        <v>87</v>
      </c>
      <c r="V13847" s="16" t="str">
        <f>IFERROR(__xludf.DUMMYFUNCTION("""COMPUTED_VALUE"""),"")</f>
        <v/>
      </c>
      <c r="W13847" s="16" t="str">
        <f>IFERROR(__xludf.DUMMYFUNCTION("""COMPUTED_VALUE"""),"")</f>
        <v/>
      </c>
      <c r="X13847" s="16" t="str">
        <f>IFERROR(__xludf.DUMMYFUNCTION("""COMPUTED_VALUE"""),"")</f>
        <v/>
      </c>
      <c r="AC13847" s="16" t="str">
        <f>IFERROR(__xludf.DUMMYFUNCTION("""COMPUTED_VALUE"""),"")</f>
        <v/>
      </c>
    </row>
    <row r="13848">
      <c r="A13848" s="16" t="s">
        <v>87</v>
      </c>
      <c r="E13848" s="16" t="str">
        <f>IFERROR(__xludf.DUMMYFUNCTION("""COMPUTED_VALUE"""),"")</f>
        <v/>
      </c>
      <c r="G13848" s="18"/>
      <c r="H13848" s="16" t="s">
        <v>87</v>
      </c>
      <c r="I13848" s="16" t="s">
        <v>87</v>
      </c>
      <c r="J13848" s="19"/>
      <c r="L13848" s="16" t="str">
        <f>IFERROR(__xludf.DUMMYFUNCTION("""COMPUTED_VALUE"""),"")</f>
        <v/>
      </c>
      <c r="M13848" s="16" t="str">
        <f>IFERROR(__xludf.DUMMYFUNCTION("""COMPUTED_VALUE"""),"")</f>
        <v/>
      </c>
      <c r="U13848" s="16" t="s">
        <v>87</v>
      </c>
      <c r="V13848" s="16" t="str">
        <f>IFERROR(__xludf.DUMMYFUNCTION("""COMPUTED_VALUE"""),"")</f>
        <v/>
      </c>
      <c r="W13848" s="16" t="str">
        <f>IFERROR(__xludf.DUMMYFUNCTION("""COMPUTED_VALUE"""),"")</f>
        <v/>
      </c>
      <c r="X13848" s="16" t="str">
        <f>IFERROR(__xludf.DUMMYFUNCTION("""COMPUTED_VALUE"""),"")</f>
        <v/>
      </c>
      <c r="AC13848" s="16" t="str">
        <f>IFERROR(__xludf.DUMMYFUNCTION("""COMPUTED_VALUE"""),"")</f>
        <v/>
      </c>
    </row>
    <row r="13849">
      <c r="A13849" s="16" t="s">
        <v>87</v>
      </c>
      <c r="E13849" s="16" t="str">
        <f>IFERROR(__xludf.DUMMYFUNCTION("""COMPUTED_VALUE"""),"")</f>
        <v/>
      </c>
      <c r="G13849" s="18"/>
      <c r="H13849" s="16" t="s">
        <v>87</v>
      </c>
      <c r="I13849" s="16" t="s">
        <v>87</v>
      </c>
      <c r="J13849" s="19"/>
      <c r="L13849" s="16" t="str">
        <f>IFERROR(__xludf.DUMMYFUNCTION("""COMPUTED_VALUE"""),"")</f>
        <v/>
      </c>
      <c r="M13849" s="16" t="str">
        <f>IFERROR(__xludf.DUMMYFUNCTION("""COMPUTED_VALUE"""),"")</f>
        <v/>
      </c>
      <c r="U13849" s="16" t="s">
        <v>87</v>
      </c>
      <c r="V13849" s="16" t="str">
        <f>IFERROR(__xludf.DUMMYFUNCTION("""COMPUTED_VALUE"""),"")</f>
        <v/>
      </c>
      <c r="W13849" s="16" t="str">
        <f>IFERROR(__xludf.DUMMYFUNCTION("""COMPUTED_VALUE"""),"")</f>
        <v/>
      </c>
      <c r="X13849" s="16" t="str">
        <f>IFERROR(__xludf.DUMMYFUNCTION("""COMPUTED_VALUE"""),"")</f>
        <v/>
      </c>
      <c r="AC13849" s="16" t="str">
        <f>IFERROR(__xludf.DUMMYFUNCTION("""COMPUTED_VALUE"""),"")</f>
        <v/>
      </c>
    </row>
    <row r="13850">
      <c r="A13850" s="16" t="s">
        <v>87</v>
      </c>
      <c r="E13850" s="16" t="str">
        <f>IFERROR(__xludf.DUMMYFUNCTION("""COMPUTED_VALUE"""),"")</f>
        <v/>
      </c>
      <c r="G13850" s="18"/>
      <c r="H13850" s="16" t="s">
        <v>87</v>
      </c>
      <c r="I13850" s="16" t="s">
        <v>87</v>
      </c>
      <c r="J13850" s="19"/>
      <c r="L13850" s="16" t="str">
        <f>IFERROR(__xludf.DUMMYFUNCTION("""COMPUTED_VALUE"""),"")</f>
        <v/>
      </c>
      <c r="M13850" s="16" t="str">
        <f>IFERROR(__xludf.DUMMYFUNCTION("""COMPUTED_VALUE"""),"")</f>
        <v/>
      </c>
      <c r="U13850" s="16" t="s">
        <v>87</v>
      </c>
      <c r="V13850" s="16" t="str">
        <f>IFERROR(__xludf.DUMMYFUNCTION("""COMPUTED_VALUE"""),"")</f>
        <v/>
      </c>
      <c r="W13850" s="16" t="str">
        <f>IFERROR(__xludf.DUMMYFUNCTION("""COMPUTED_VALUE"""),"")</f>
        <v/>
      </c>
      <c r="X13850" s="16" t="str">
        <f>IFERROR(__xludf.DUMMYFUNCTION("""COMPUTED_VALUE"""),"")</f>
        <v/>
      </c>
      <c r="AC13850" s="16" t="str">
        <f>IFERROR(__xludf.DUMMYFUNCTION("""COMPUTED_VALUE"""),"")</f>
        <v/>
      </c>
    </row>
    <row r="13851">
      <c r="A13851" s="16" t="s">
        <v>87</v>
      </c>
      <c r="E13851" s="16" t="str">
        <f>IFERROR(__xludf.DUMMYFUNCTION("""COMPUTED_VALUE"""),"")</f>
        <v/>
      </c>
      <c r="G13851" s="18"/>
      <c r="H13851" s="16" t="s">
        <v>87</v>
      </c>
      <c r="I13851" s="16" t="s">
        <v>87</v>
      </c>
      <c r="J13851" s="19"/>
      <c r="L13851" s="16" t="str">
        <f>IFERROR(__xludf.DUMMYFUNCTION("""COMPUTED_VALUE"""),"")</f>
        <v/>
      </c>
      <c r="M13851" s="16" t="str">
        <f>IFERROR(__xludf.DUMMYFUNCTION("""COMPUTED_VALUE"""),"")</f>
        <v/>
      </c>
      <c r="U13851" s="16" t="s">
        <v>87</v>
      </c>
      <c r="V13851" s="16" t="str">
        <f>IFERROR(__xludf.DUMMYFUNCTION("""COMPUTED_VALUE"""),"")</f>
        <v/>
      </c>
      <c r="W13851" s="16" t="str">
        <f>IFERROR(__xludf.DUMMYFUNCTION("""COMPUTED_VALUE"""),"")</f>
        <v/>
      </c>
      <c r="X13851" s="16" t="str">
        <f>IFERROR(__xludf.DUMMYFUNCTION("""COMPUTED_VALUE"""),"")</f>
        <v/>
      </c>
      <c r="AC13851" s="16" t="str">
        <f>IFERROR(__xludf.DUMMYFUNCTION("""COMPUTED_VALUE"""),"")</f>
        <v/>
      </c>
    </row>
    <row r="13852">
      <c r="A13852" s="16" t="s">
        <v>87</v>
      </c>
      <c r="E13852" s="16" t="str">
        <f>IFERROR(__xludf.DUMMYFUNCTION("""COMPUTED_VALUE"""),"")</f>
        <v/>
      </c>
      <c r="G13852" s="18"/>
      <c r="H13852" s="16" t="s">
        <v>87</v>
      </c>
      <c r="I13852" s="16" t="s">
        <v>87</v>
      </c>
      <c r="J13852" s="19"/>
      <c r="L13852" s="16" t="str">
        <f>IFERROR(__xludf.DUMMYFUNCTION("""COMPUTED_VALUE"""),"")</f>
        <v/>
      </c>
      <c r="M13852" s="16" t="str">
        <f>IFERROR(__xludf.DUMMYFUNCTION("""COMPUTED_VALUE"""),"")</f>
        <v/>
      </c>
      <c r="U13852" s="16" t="s">
        <v>87</v>
      </c>
      <c r="V13852" s="16" t="str">
        <f>IFERROR(__xludf.DUMMYFUNCTION("""COMPUTED_VALUE"""),"")</f>
        <v/>
      </c>
      <c r="W13852" s="16" t="str">
        <f>IFERROR(__xludf.DUMMYFUNCTION("""COMPUTED_VALUE"""),"")</f>
        <v/>
      </c>
      <c r="X13852" s="16" t="str">
        <f>IFERROR(__xludf.DUMMYFUNCTION("""COMPUTED_VALUE"""),"")</f>
        <v/>
      </c>
      <c r="AC13852" s="16" t="str">
        <f>IFERROR(__xludf.DUMMYFUNCTION("""COMPUTED_VALUE"""),"")</f>
        <v/>
      </c>
    </row>
    <row r="13853">
      <c r="A13853" s="16" t="s">
        <v>87</v>
      </c>
      <c r="E13853" s="16" t="str">
        <f>IFERROR(__xludf.DUMMYFUNCTION("""COMPUTED_VALUE"""),"")</f>
        <v/>
      </c>
      <c r="G13853" s="18"/>
      <c r="H13853" s="16" t="s">
        <v>87</v>
      </c>
      <c r="I13853" s="16" t="s">
        <v>87</v>
      </c>
      <c r="J13853" s="19"/>
      <c r="L13853" s="16" t="str">
        <f>IFERROR(__xludf.DUMMYFUNCTION("""COMPUTED_VALUE"""),"")</f>
        <v/>
      </c>
      <c r="M13853" s="16" t="str">
        <f>IFERROR(__xludf.DUMMYFUNCTION("""COMPUTED_VALUE"""),"")</f>
        <v/>
      </c>
      <c r="U13853" s="16" t="s">
        <v>87</v>
      </c>
      <c r="V13853" s="16" t="str">
        <f>IFERROR(__xludf.DUMMYFUNCTION("""COMPUTED_VALUE"""),"")</f>
        <v/>
      </c>
      <c r="W13853" s="16" t="str">
        <f>IFERROR(__xludf.DUMMYFUNCTION("""COMPUTED_VALUE"""),"")</f>
        <v/>
      </c>
      <c r="X13853" s="16" t="str">
        <f>IFERROR(__xludf.DUMMYFUNCTION("""COMPUTED_VALUE"""),"")</f>
        <v/>
      </c>
      <c r="AC13853" s="16" t="str">
        <f>IFERROR(__xludf.DUMMYFUNCTION("""COMPUTED_VALUE"""),"")</f>
        <v/>
      </c>
    </row>
    <row r="13854">
      <c r="A13854" s="16" t="s">
        <v>87</v>
      </c>
      <c r="E13854" s="16" t="str">
        <f>IFERROR(__xludf.DUMMYFUNCTION("""COMPUTED_VALUE"""),"")</f>
        <v/>
      </c>
      <c r="G13854" s="18"/>
      <c r="H13854" s="16" t="s">
        <v>87</v>
      </c>
      <c r="I13854" s="16" t="s">
        <v>87</v>
      </c>
      <c r="J13854" s="19"/>
      <c r="L13854" s="16" t="str">
        <f>IFERROR(__xludf.DUMMYFUNCTION("""COMPUTED_VALUE"""),"")</f>
        <v/>
      </c>
      <c r="M13854" s="16" t="str">
        <f>IFERROR(__xludf.DUMMYFUNCTION("""COMPUTED_VALUE"""),"")</f>
        <v/>
      </c>
      <c r="U13854" s="16" t="s">
        <v>87</v>
      </c>
      <c r="V13854" s="16" t="str">
        <f>IFERROR(__xludf.DUMMYFUNCTION("""COMPUTED_VALUE"""),"")</f>
        <v/>
      </c>
      <c r="W13854" s="16" t="str">
        <f>IFERROR(__xludf.DUMMYFUNCTION("""COMPUTED_VALUE"""),"")</f>
        <v/>
      </c>
      <c r="X13854" s="16" t="str">
        <f>IFERROR(__xludf.DUMMYFUNCTION("""COMPUTED_VALUE"""),"")</f>
        <v/>
      </c>
      <c r="AC13854" s="16" t="str">
        <f>IFERROR(__xludf.DUMMYFUNCTION("""COMPUTED_VALUE"""),"")</f>
        <v/>
      </c>
    </row>
    <row r="13855">
      <c r="A13855" s="16" t="s">
        <v>87</v>
      </c>
      <c r="E13855" s="16" t="str">
        <f>IFERROR(__xludf.DUMMYFUNCTION("""COMPUTED_VALUE"""),"")</f>
        <v/>
      </c>
      <c r="G13855" s="18"/>
      <c r="H13855" s="16" t="s">
        <v>87</v>
      </c>
      <c r="I13855" s="16" t="s">
        <v>87</v>
      </c>
      <c r="J13855" s="19"/>
      <c r="L13855" s="16" t="str">
        <f>IFERROR(__xludf.DUMMYFUNCTION("""COMPUTED_VALUE"""),"")</f>
        <v/>
      </c>
      <c r="M13855" s="16" t="str">
        <f>IFERROR(__xludf.DUMMYFUNCTION("""COMPUTED_VALUE"""),"")</f>
        <v/>
      </c>
      <c r="U13855" s="16" t="s">
        <v>87</v>
      </c>
      <c r="V13855" s="16" t="str">
        <f>IFERROR(__xludf.DUMMYFUNCTION("""COMPUTED_VALUE"""),"")</f>
        <v/>
      </c>
      <c r="W13855" s="16" t="str">
        <f>IFERROR(__xludf.DUMMYFUNCTION("""COMPUTED_VALUE"""),"")</f>
        <v/>
      </c>
      <c r="X13855" s="16" t="str">
        <f>IFERROR(__xludf.DUMMYFUNCTION("""COMPUTED_VALUE"""),"")</f>
        <v/>
      </c>
      <c r="AC13855" s="16" t="str">
        <f>IFERROR(__xludf.DUMMYFUNCTION("""COMPUTED_VALUE"""),"")</f>
        <v/>
      </c>
    </row>
    <row r="13856">
      <c r="A13856" s="16" t="s">
        <v>87</v>
      </c>
      <c r="E13856" s="16" t="str">
        <f>IFERROR(__xludf.DUMMYFUNCTION("""COMPUTED_VALUE"""),"")</f>
        <v/>
      </c>
      <c r="G13856" s="18"/>
      <c r="H13856" s="16" t="s">
        <v>87</v>
      </c>
      <c r="I13856" s="16" t="s">
        <v>87</v>
      </c>
      <c r="J13856" s="19"/>
      <c r="L13856" s="16" t="str">
        <f>IFERROR(__xludf.DUMMYFUNCTION("""COMPUTED_VALUE"""),"")</f>
        <v/>
      </c>
      <c r="M13856" s="16" t="str">
        <f>IFERROR(__xludf.DUMMYFUNCTION("""COMPUTED_VALUE"""),"")</f>
        <v/>
      </c>
      <c r="U13856" s="16" t="s">
        <v>87</v>
      </c>
      <c r="V13856" s="16" t="str">
        <f>IFERROR(__xludf.DUMMYFUNCTION("""COMPUTED_VALUE"""),"")</f>
        <v/>
      </c>
      <c r="W13856" s="16" t="str">
        <f>IFERROR(__xludf.DUMMYFUNCTION("""COMPUTED_VALUE"""),"")</f>
        <v/>
      </c>
      <c r="X13856" s="16" t="str">
        <f>IFERROR(__xludf.DUMMYFUNCTION("""COMPUTED_VALUE"""),"")</f>
        <v/>
      </c>
      <c r="AC13856" s="16" t="str">
        <f>IFERROR(__xludf.DUMMYFUNCTION("""COMPUTED_VALUE"""),"")</f>
        <v/>
      </c>
    </row>
    <row r="13857">
      <c r="A13857" s="16" t="s">
        <v>87</v>
      </c>
      <c r="E13857" s="16" t="str">
        <f>IFERROR(__xludf.DUMMYFUNCTION("""COMPUTED_VALUE"""),"")</f>
        <v/>
      </c>
      <c r="G13857" s="18"/>
      <c r="H13857" s="16" t="s">
        <v>87</v>
      </c>
      <c r="I13857" s="16" t="s">
        <v>87</v>
      </c>
      <c r="J13857" s="19"/>
      <c r="L13857" s="16" t="str">
        <f>IFERROR(__xludf.DUMMYFUNCTION("""COMPUTED_VALUE"""),"")</f>
        <v/>
      </c>
      <c r="M13857" s="16" t="str">
        <f>IFERROR(__xludf.DUMMYFUNCTION("""COMPUTED_VALUE"""),"")</f>
        <v/>
      </c>
      <c r="U13857" s="16" t="s">
        <v>87</v>
      </c>
      <c r="V13857" s="16" t="str">
        <f>IFERROR(__xludf.DUMMYFUNCTION("""COMPUTED_VALUE"""),"")</f>
        <v/>
      </c>
      <c r="W13857" s="16" t="str">
        <f>IFERROR(__xludf.DUMMYFUNCTION("""COMPUTED_VALUE"""),"")</f>
        <v/>
      </c>
      <c r="X13857" s="16" t="str">
        <f>IFERROR(__xludf.DUMMYFUNCTION("""COMPUTED_VALUE"""),"")</f>
        <v/>
      </c>
      <c r="AC13857" s="16" t="str">
        <f>IFERROR(__xludf.DUMMYFUNCTION("""COMPUTED_VALUE"""),"")</f>
        <v/>
      </c>
    </row>
    <row r="13858">
      <c r="A13858" s="16" t="s">
        <v>87</v>
      </c>
      <c r="E13858" s="16" t="str">
        <f>IFERROR(__xludf.DUMMYFUNCTION("""COMPUTED_VALUE"""),"")</f>
        <v/>
      </c>
      <c r="G13858" s="18"/>
      <c r="H13858" s="16" t="s">
        <v>87</v>
      </c>
      <c r="I13858" s="16" t="s">
        <v>87</v>
      </c>
      <c r="J13858" s="19"/>
      <c r="L13858" s="16" t="str">
        <f>IFERROR(__xludf.DUMMYFUNCTION("""COMPUTED_VALUE"""),"")</f>
        <v/>
      </c>
      <c r="M13858" s="16" t="str">
        <f>IFERROR(__xludf.DUMMYFUNCTION("""COMPUTED_VALUE"""),"")</f>
        <v/>
      </c>
      <c r="U13858" s="16" t="s">
        <v>87</v>
      </c>
      <c r="V13858" s="16" t="str">
        <f>IFERROR(__xludf.DUMMYFUNCTION("""COMPUTED_VALUE"""),"")</f>
        <v/>
      </c>
      <c r="W13858" s="16" t="str">
        <f>IFERROR(__xludf.DUMMYFUNCTION("""COMPUTED_VALUE"""),"")</f>
        <v/>
      </c>
      <c r="X13858" s="16" t="str">
        <f>IFERROR(__xludf.DUMMYFUNCTION("""COMPUTED_VALUE"""),"")</f>
        <v/>
      </c>
      <c r="AC13858" s="16" t="str">
        <f>IFERROR(__xludf.DUMMYFUNCTION("""COMPUTED_VALUE"""),"")</f>
        <v/>
      </c>
    </row>
    <row r="13859">
      <c r="A13859" s="16" t="s">
        <v>87</v>
      </c>
      <c r="E13859" s="16" t="str">
        <f>IFERROR(__xludf.DUMMYFUNCTION("""COMPUTED_VALUE"""),"")</f>
        <v/>
      </c>
      <c r="G13859" s="18"/>
      <c r="H13859" s="16" t="s">
        <v>87</v>
      </c>
      <c r="I13859" s="16" t="s">
        <v>87</v>
      </c>
      <c r="J13859" s="19"/>
      <c r="L13859" s="16" t="str">
        <f>IFERROR(__xludf.DUMMYFUNCTION("""COMPUTED_VALUE"""),"")</f>
        <v/>
      </c>
      <c r="M13859" s="16" t="str">
        <f>IFERROR(__xludf.DUMMYFUNCTION("""COMPUTED_VALUE"""),"")</f>
        <v/>
      </c>
      <c r="U13859" s="16" t="s">
        <v>87</v>
      </c>
      <c r="V13859" s="16" t="str">
        <f>IFERROR(__xludf.DUMMYFUNCTION("""COMPUTED_VALUE"""),"")</f>
        <v/>
      </c>
      <c r="W13859" s="16" t="str">
        <f>IFERROR(__xludf.DUMMYFUNCTION("""COMPUTED_VALUE"""),"")</f>
        <v/>
      </c>
      <c r="X13859" s="16" t="str">
        <f>IFERROR(__xludf.DUMMYFUNCTION("""COMPUTED_VALUE"""),"")</f>
        <v/>
      </c>
      <c r="AC13859" s="16" t="str">
        <f>IFERROR(__xludf.DUMMYFUNCTION("""COMPUTED_VALUE"""),"")</f>
        <v/>
      </c>
    </row>
    <row r="13860">
      <c r="A13860" s="16" t="s">
        <v>87</v>
      </c>
      <c r="E13860" s="16" t="str">
        <f>IFERROR(__xludf.DUMMYFUNCTION("""COMPUTED_VALUE"""),"")</f>
        <v/>
      </c>
      <c r="G13860" s="18"/>
      <c r="H13860" s="16" t="s">
        <v>87</v>
      </c>
      <c r="I13860" s="16" t="s">
        <v>87</v>
      </c>
      <c r="J13860" s="19"/>
      <c r="L13860" s="16" t="str">
        <f>IFERROR(__xludf.DUMMYFUNCTION("""COMPUTED_VALUE"""),"")</f>
        <v/>
      </c>
      <c r="M13860" s="16" t="str">
        <f>IFERROR(__xludf.DUMMYFUNCTION("""COMPUTED_VALUE"""),"")</f>
        <v/>
      </c>
      <c r="U13860" s="16" t="s">
        <v>87</v>
      </c>
      <c r="V13860" s="16" t="str">
        <f>IFERROR(__xludf.DUMMYFUNCTION("""COMPUTED_VALUE"""),"")</f>
        <v/>
      </c>
      <c r="W13860" s="16" t="str">
        <f>IFERROR(__xludf.DUMMYFUNCTION("""COMPUTED_VALUE"""),"")</f>
        <v/>
      </c>
      <c r="X13860" s="16" t="str">
        <f>IFERROR(__xludf.DUMMYFUNCTION("""COMPUTED_VALUE"""),"")</f>
        <v/>
      </c>
      <c r="AC13860" s="16" t="str">
        <f>IFERROR(__xludf.DUMMYFUNCTION("""COMPUTED_VALUE"""),"")</f>
        <v/>
      </c>
    </row>
    <row r="13861">
      <c r="A13861" s="16" t="s">
        <v>87</v>
      </c>
      <c r="E13861" s="16" t="str">
        <f>IFERROR(__xludf.DUMMYFUNCTION("""COMPUTED_VALUE"""),"")</f>
        <v/>
      </c>
      <c r="G13861" s="18"/>
      <c r="H13861" s="16" t="s">
        <v>87</v>
      </c>
      <c r="I13861" s="16" t="s">
        <v>87</v>
      </c>
      <c r="J13861" s="19"/>
      <c r="L13861" s="16" t="str">
        <f>IFERROR(__xludf.DUMMYFUNCTION("""COMPUTED_VALUE"""),"")</f>
        <v/>
      </c>
      <c r="M13861" s="16" t="str">
        <f>IFERROR(__xludf.DUMMYFUNCTION("""COMPUTED_VALUE"""),"")</f>
        <v/>
      </c>
      <c r="U13861" s="16" t="s">
        <v>87</v>
      </c>
      <c r="V13861" s="16" t="str">
        <f>IFERROR(__xludf.DUMMYFUNCTION("""COMPUTED_VALUE"""),"")</f>
        <v/>
      </c>
      <c r="W13861" s="16" t="str">
        <f>IFERROR(__xludf.DUMMYFUNCTION("""COMPUTED_VALUE"""),"")</f>
        <v/>
      </c>
      <c r="X13861" s="16" t="str">
        <f>IFERROR(__xludf.DUMMYFUNCTION("""COMPUTED_VALUE"""),"")</f>
        <v/>
      </c>
      <c r="AC13861" s="16" t="str">
        <f>IFERROR(__xludf.DUMMYFUNCTION("""COMPUTED_VALUE"""),"")</f>
        <v/>
      </c>
    </row>
    <row r="13862">
      <c r="A13862" s="16" t="s">
        <v>87</v>
      </c>
      <c r="E13862" s="16" t="str">
        <f>IFERROR(__xludf.DUMMYFUNCTION("""COMPUTED_VALUE"""),"")</f>
        <v/>
      </c>
      <c r="G13862" s="18"/>
      <c r="H13862" s="16" t="s">
        <v>87</v>
      </c>
      <c r="I13862" s="16" t="s">
        <v>87</v>
      </c>
      <c r="J13862" s="19"/>
      <c r="L13862" s="16" t="str">
        <f>IFERROR(__xludf.DUMMYFUNCTION("""COMPUTED_VALUE"""),"")</f>
        <v/>
      </c>
      <c r="M13862" s="16" t="str">
        <f>IFERROR(__xludf.DUMMYFUNCTION("""COMPUTED_VALUE"""),"")</f>
        <v/>
      </c>
      <c r="U13862" s="16" t="s">
        <v>87</v>
      </c>
      <c r="V13862" s="16" t="str">
        <f>IFERROR(__xludf.DUMMYFUNCTION("""COMPUTED_VALUE"""),"")</f>
        <v/>
      </c>
      <c r="W13862" s="16" t="str">
        <f>IFERROR(__xludf.DUMMYFUNCTION("""COMPUTED_VALUE"""),"")</f>
        <v/>
      </c>
      <c r="X13862" s="16" t="str">
        <f>IFERROR(__xludf.DUMMYFUNCTION("""COMPUTED_VALUE"""),"")</f>
        <v/>
      </c>
      <c r="AC13862" s="16" t="str">
        <f>IFERROR(__xludf.DUMMYFUNCTION("""COMPUTED_VALUE"""),"")</f>
        <v/>
      </c>
    </row>
    <row r="13863">
      <c r="A13863" s="16" t="s">
        <v>87</v>
      </c>
      <c r="E13863" s="16" t="str">
        <f>IFERROR(__xludf.DUMMYFUNCTION("""COMPUTED_VALUE"""),"")</f>
        <v/>
      </c>
      <c r="G13863" s="18"/>
      <c r="H13863" s="16" t="s">
        <v>87</v>
      </c>
      <c r="I13863" s="16" t="s">
        <v>87</v>
      </c>
      <c r="J13863" s="19"/>
      <c r="L13863" s="16" t="str">
        <f>IFERROR(__xludf.DUMMYFUNCTION("""COMPUTED_VALUE"""),"")</f>
        <v/>
      </c>
      <c r="M13863" s="16" t="str">
        <f>IFERROR(__xludf.DUMMYFUNCTION("""COMPUTED_VALUE"""),"")</f>
        <v/>
      </c>
      <c r="U13863" s="16" t="s">
        <v>87</v>
      </c>
      <c r="V13863" s="16" t="str">
        <f>IFERROR(__xludf.DUMMYFUNCTION("""COMPUTED_VALUE"""),"")</f>
        <v/>
      </c>
      <c r="W13863" s="16" t="str">
        <f>IFERROR(__xludf.DUMMYFUNCTION("""COMPUTED_VALUE"""),"")</f>
        <v/>
      </c>
      <c r="X13863" s="16" t="str">
        <f>IFERROR(__xludf.DUMMYFUNCTION("""COMPUTED_VALUE"""),"")</f>
        <v/>
      </c>
      <c r="AC13863" s="16" t="str">
        <f>IFERROR(__xludf.DUMMYFUNCTION("""COMPUTED_VALUE"""),"")</f>
        <v/>
      </c>
    </row>
    <row r="13864">
      <c r="A13864" s="16" t="s">
        <v>87</v>
      </c>
      <c r="E13864" s="16" t="str">
        <f>IFERROR(__xludf.DUMMYFUNCTION("""COMPUTED_VALUE"""),"")</f>
        <v/>
      </c>
      <c r="G13864" s="18"/>
      <c r="H13864" s="16" t="s">
        <v>87</v>
      </c>
      <c r="I13864" s="16" t="s">
        <v>87</v>
      </c>
      <c r="J13864" s="19"/>
      <c r="L13864" s="16" t="str">
        <f>IFERROR(__xludf.DUMMYFUNCTION("""COMPUTED_VALUE"""),"")</f>
        <v/>
      </c>
      <c r="M13864" s="16" t="str">
        <f>IFERROR(__xludf.DUMMYFUNCTION("""COMPUTED_VALUE"""),"")</f>
        <v/>
      </c>
      <c r="U13864" s="16" t="s">
        <v>87</v>
      </c>
      <c r="V13864" s="16" t="str">
        <f>IFERROR(__xludf.DUMMYFUNCTION("""COMPUTED_VALUE"""),"")</f>
        <v/>
      </c>
      <c r="W13864" s="16" t="str">
        <f>IFERROR(__xludf.DUMMYFUNCTION("""COMPUTED_VALUE"""),"")</f>
        <v/>
      </c>
      <c r="X13864" s="16" t="str">
        <f>IFERROR(__xludf.DUMMYFUNCTION("""COMPUTED_VALUE"""),"")</f>
        <v/>
      </c>
      <c r="AC13864" s="16" t="str">
        <f>IFERROR(__xludf.DUMMYFUNCTION("""COMPUTED_VALUE"""),"")</f>
        <v/>
      </c>
    </row>
    <row r="13865">
      <c r="A13865" s="16" t="s">
        <v>87</v>
      </c>
      <c r="E13865" s="16" t="str">
        <f>IFERROR(__xludf.DUMMYFUNCTION("""COMPUTED_VALUE"""),"")</f>
        <v/>
      </c>
      <c r="G13865" s="18"/>
      <c r="H13865" s="16" t="s">
        <v>87</v>
      </c>
      <c r="I13865" s="16" t="s">
        <v>87</v>
      </c>
      <c r="J13865" s="19"/>
      <c r="L13865" s="16" t="str">
        <f>IFERROR(__xludf.DUMMYFUNCTION("""COMPUTED_VALUE"""),"")</f>
        <v/>
      </c>
      <c r="M13865" s="16" t="str">
        <f>IFERROR(__xludf.DUMMYFUNCTION("""COMPUTED_VALUE"""),"")</f>
        <v/>
      </c>
      <c r="U13865" s="16" t="s">
        <v>87</v>
      </c>
      <c r="V13865" s="16" t="str">
        <f>IFERROR(__xludf.DUMMYFUNCTION("""COMPUTED_VALUE"""),"")</f>
        <v/>
      </c>
      <c r="W13865" s="16" t="str">
        <f>IFERROR(__xludf.DUMMYFUNCTION("""COMPUTED_VALUE"""),"")</f>
        <v/>
      </c>
      <c r="X13865" s="16" t="str">
        <f>IFERROR(__xludf.DUMMYFUNCTION("""COMPUTED_VALUE"""),"")</f>
        <v/>
      </c>
      <c r="AC13865" s="16" t="str">
        <f>IFERROR(__xludf.DUMMYFUNCTION("""COMPUTED_VALUE"""),"")</f>
        <v/>
      </c>
    </row>
    <row r="13866">
      <c r="A13866" s="16" t="s">
        <v>87</v>
      </c>
      <c r="E13866" s="16" t="str">
        <f>IFERROR(__xludf.DUMMYFUNCTION("""COMPUTED_VALUE"""),"")</f>
        <v/>
      </c>
      <c r="G13866" s="18"/>
      <c r="H13866" s="16" t="s">
        <v>87</v>
      </c>
      <c r="I13866" s="16" t="s">
        <v>87</v>
      </c>
      <c r="J13866" s="19"/>
      <c r="L13866" s="16" t="str">
        <f>IFERROR(__xludf.DUMMYFUNCTION("""COMPUTED_VALUE"""),"")</f>
        <v/>
      </c>
      <c r="M13866" s="16" t="str">
        <f>IFERROR(__xludf.DUMMYFUNCTION("""COMPUTED_VALUE"""),"")</f>
        <v/>
      </c>
      <c r="U13866" s="16" t="s">
        <v>87</v>
      </c>
      <c r="V13866" s="16" t="str">
        <f>IFERROR(__xludf.DUMMYFUNCTION("""COMPUTED_VALUE"""),"")</f>
        <v/>
      </c>
      <c r="W13866" s="16" t="str">
        <f>IFERROR(__xludf.DUMMYFUNCTION("""COMPUTED_VALUE"""),"")</f>
        <v/>
      </c>
      <c r="X13866" s="16" t="str">
        <f>IFERROR(__xludf.DUMMYFUNCTION("""COMPUTED_VALUE"""),"")</f>
        <v/>
      </c>
      <c r="AC13866" s="16" t="str">
        <f>IFERROR(__xludf.DUMMYFUNCTION("""COMPUTED_VALUE"""),"")</f>
        <v/>
      </c>
    </row>
    <row r="13867">
      <c r="A13867" s="16" t="s">
        <v>87</v>
      </c>
      <c r="E13867" s="16" t="str">
        <f>IFERROR(__xludf.DUMMYFUNCTION("""COMPUTED_VALUE"""),"")</f>
        <v/>
      </c>
      <c r="G13867" s="18"/>
      <c r="H13867" s="16" t="s">
        <v>87</v>
      </c>
      <c r="I13867" s="16" t="s">
        <v>87</v>
      </c>
      <c r="J13867" s="19"/>
      <c r="L13867" s="16" t="str">
        <f>IFERROR(__xludf.DUMMYFUNCTION("""COMPUTED_VALUE"""),"")</f>
        <v/>
      </c>
      <c r="M13867" s="16" t="str">
        <f>IFERROR(__xludf.DUMMYFUNCTION("""COMPUTED_VALUE"""),"")</f>
        <v/>
      </c>
      <c r="U13867" s="16" t="s">
        <v>87</v>
      </c>
      <c r="V13867" s="16" t="str">
        <f>IFERROR(__xludf.DUMMYFUNCTION("""COMPUTED_VALUE"""),"")</f>
        <v/>
      </c>
      <c r="W13867" s="16" t="str">
        <f>IFERROR(__xludf.DUMMYFUNCTION("""COMPUTED_VALUE"""),"")</f>
        <v/>
      </c>
      <c r="X13867" s="16" t="str">
        <f>IFERROR(__xludf.DUMMYFUNCTION("""COMPUTED_VALUE"""),"")</f>
        <v/>
      </c>
      <c r="AC13867" s="16" t="str">
        <f>IFERROR(__xludf.DUMMYFUNCTION("""COMPUTED_VALUE"""),"")</f>
        <v/>
      </c>
    </row>
    <row r="13868">
      <c r="A13868" s="16" t="s">
        <v>87</v>
      </c>
      <c r="E13868" s="16" t="str">
        <f>IFERROR(__xludf.DUMMYFUNCTION("""COMPUTED_VALUE"""),"")</f>
        <v/>
      </c>
      <c r="G13868" s="18"/>
      <c r="H13868" s="16" t="s">
        <v>87</v>
      </c>
      <c r="I13868" s="16" t="s">
        <v>87</v>
      </c>
      <c r="J13868" s="19"/>
      <c r="L13868" s="16" t="str">
        <f>IFERROR(__xludf.DUMMYFUNCTION("""COMPUTED_VALUE"""),"")</f>
        <v/>
      </c>
      <c r="M13868" s="16" t="str">
        <f>IFERROR(__xludf.DUMMYFUNCTION("""COMPUTED_VALUE"""),"")</f>
        <v/>
      </c>
      <c r="U13868" s="16" t="s">
        <v>87</v>
      </c>
      <c r="V13868" s="16" t="str">
        <f>IFERROR(__xludf.DUMMYFUNCTION("""COMPUTED_VALUE"""),"")</f>
        <v/>
      </c>
      <c r="W13868" s="16" t="str">
        <f>IFERROR(__xludf.DUMMYFUNCTION("""COMPUTED_VALUE"""),"")</f>
        <v/>
      </c>
      <c r="X13868" s="16" t="str">
        <f>IFERROR(__xludf.DUMMYFUNCTION("""COMPUTED_VALUE"""),"")</f>
        <v/>
      </c>
      <c r="AC13868" s="16" t="str">
        <f>IFERROR(__xludf.DUMMYFUNCTION("""COMPUTED_VALUE"""),"")</f>
        <v/>
      </c>
    </row>
    <row r="13869">
      <c r="A13869" s="16" t="s">
        <v>87</v>
      </c>
      <c r="E13869" s="16" t="str">
        <f>IFERROR(__xludf.DUMMYFUNCTION("""COMPUTED_VALUE"""),"")</f>
        <v/>
      </c>
      <c r="G13869" s="18"/>
      <c r="H13869" s="16" t="s">
        <v>87</v>
      </c>
      <c r="I13869" s="16" t="s">
        <v>87</v>
      </c>
      <c r="J13869" s="19"/>
      <c r="L13869" s="16" t="str">
        <f>IFERROR(__xludf.DUMMYFUNCTION("""COMPUTED_VALUE"""),"")</f>
        <v/>
      </c>
      <c r="M13869" s="16" t="str">
        <f>IFERROR(__xludf.DUMMYFUNCTION("""COMPUTED_VALUE"""),"")</f>
        <v/>
      </c>
      <c r="U13869" s="16" t="s">
        <v>87</v>
      </c>
      <c r="V13869" s="16" t="str">
        <f>IFERROR(__xludf.DUMMYFUNCTION("""COMPUTED_VALUE"""),"")</f>
        <v/>
      </c>
      <c r="W13869" s="16" t="str">
        <f>IFERROR(__xludf.DUMMYFUNCTION("""COMPUTED_VALUE"""),"")</f>
        <v/>
      </c>
      <c r="X13869" s="16" t="str">
        <f>IFERROR(__xludf.DUMMYFUNCTION("""COMPUTED_VALUE"""),"")</f>
        <v/>
      </c>
      <c r="AC13869" s="16" t="str">
        <f>IFERROR(__xludf.DUMMYFUNCTION("""COMPUTED_VALUE"""),"")</f>
        <v/>
      </c>
    </row>
    <row r="13870">
      <c r="A13870" s="16" t="s">
        <v>87</v>
      </c>
      <c r="E13870" s="16" t="str">
        <f>IFERROR(__xludf.DUMMYFUNCTION("""COMPUTED_VALUE"""),"")</f>
        <v/>
      </c>
      <c r="G13870" s="18"/>
      <c r="H13870" s="16" t="s">
        <v>87</v>
      </c>
      <c r="I13870" s="16" t="s">
        <v>87</v>
      </c>
      <c r="J13870" s="19"/>
      <c r="L13870" s="16" t="str">
        <f>IFERROR(__xludf.DUMMYFUNCTION("""COMPUTED_VALUE"""),"")</f>
        <v/>
      </c>
      <c r="M13870" s="16" t="str">
        <f>IFERROR(__xludf.DUMMYFUNCTION("""COMPUTED_VALUE"""),"")</f>
        <v/>
      </c>
      <c r="U13870" s="16" t="s">
        <v>87</v>
      </c>
      <c r="V13870" s="16" t="str">
        <f>IFERROR(__xludf.DUMMYFUNCTION("""COMPUTED_VALUE"""),"")</f>
        <v/>
      </c>
      <c r="W13870" s="16" t="str">
        <f>IFERROR(__xludf.DUMMYFUNCTION("""COMPUTED_VALUE"""),"")</f>
        <v/>
      </c>
      <c r="X13870" s="16" t="str">
        <f>IFERROR(__xludf.DUMMYFUNCTION("""COMPUTED_VALUE"""),"")</f>
        <v/>
      </c>
      <c r="AC13870" s="16" t="str">
        <f>IFERROR(__xludf.DUMMYFUNCTION("""COMPUTED_VALUE"""),"")</f>
        <v/>
      </c>
    </row>
    <row r="13871">
      <c r="A13871" s="16" t="s">
        <v>87</v>
      </c>
      <c r="E13871" s="16" t="str">
        <f>IFERROR(__xludf.DUMMYFUNCTION("""COMPUTED_VALUE"""),"")</f>
        <v/>
      </c>
      <c r="G13871" s="18"/>
      <c r="H13871" s="16" t="s">
        <v>87</v>
      </c>
      <c r="I13871" s="16" t="s">
        <v>87</v>
      </c>
      <c r="J13871" s="19"/>
      <c r="L13871" s="16" t="str">
        <f>IFERROR(__xludf.DUMMYFUNCTION("""COMPUTED_VALUE"""),"")</f>
        <v/>
      </c>
      <c r="M13871" s="16" t="str">
        <f>IFERROR(__xludf.DUMMYFUNCTION("""COMPUTED_VALUE"""),"")</f>
        <v/>
      </c>
      <c r="U13871" s="16" t="s">
        <v>87</v>
      </c>
      <c r="V13871" s="16" t="str">
        <f>IFERROR(__xludf.DUMMYFUNCTION("""COMPUTED_VALUE"""),"")</f>
        <v/>
      </c>
      <c r="W13871" s="16" t="str">
        <f>IFERROR(__xludf.DUMMYFUNCTION("""COMPUTED_VALUE"""),"")</f>
        <v/>
      </c>
      <c r="X13871" s="16" t="str">
        <f>IFERROR(__xludf.DUMMYFUNCTION("""COMPUTED_VALUE"""),"")</f>
        <v/>
      </c>
      <c r="AC13871" s="16" t="str">
        <f>IFERROR(__xludf.DUMMYFUNCTION("""COMPUTED_VALUE"""),"")</f>
        <v/>
      </c>
    </row>
    <row r="13872">
      <c r="A13872" s="16" t="s">
        <v>87</v>
      </c>
      <c r="E13872" s="16" t="str">
        <f>IFERROR(__xludf.DUMMYFUNCTION("""COMPUTED_VALUE"""),"")</f>
        <v/>
      </c>
      <c r="G13872" s="18"/>
      <c r="H13872" s="16" t="s">
        <v>87</v>
      </c>
      <c r="I13872" s="16" t="s">
        <v>87</v>
      </c>
      <c r="J13872" s="19"/>
      <c r="L13872" s="16" t="str">
        <f>IFERROR(__xludf.DUMMYFUNCTION("""COMPUTED_VALUE"""),"")</f>
        <v/>
      </c>
      <c r="M13872" s="16" t="str">
        <f>IFERROR(__xludf.DUMMYFUNCTION("""COMPUTED_VALUE"""),"")</f>
        <v/>
      </c>
      <c r="U13872" s="16" t="s">
        <v>87</v>
      </c>
      <c r="V13872" s="16" t="str">
        <f>IFERROR(__xludf.DUMMYFUNCTION("""COMPUTED_VALUE"""),"")</f>
        <v/>
      </c>
      <c r="W13872" s="16" t="str">
        <f>IFERROR(__xludf.DUMMYFUNCTION("""COMPUTED_VALUE"""),"")</f>
        <v/>
      </c>
      <c r="X13872" s="16" t="str">
        <f>IFERROR(__xludf.DUMMYFUNCTION("""COMPUTED_VALUE"""),"")</f>
        <v/>
      </c>
      <c r="AC13872" s="16" t="str">
        <f>IFERROR(__xludf.DUMMYFUNCTION("""COMPUTED_VALUE"""),"")</f>
        <v/>
      </c>
    </row>
    <row r="13873">
      <c r="A13873" s="16" t="s">
        <v>87</v>
      </c>
      <c r="E13873" s="16" t="str">
        <f>IFERROR(__xludf.DUMMYFUNCTION("""COMPUTED_VALUE"""),"")</f>
        <v/>
      </c>
      <c r="G13873" s="18"/>
      <c r="H13873" s="16" t="s">
        <v>87</v>
      </c>
      <c r="I13873" s="16" t="s">
        <v>87</v>
      </c>
      <c r="J13873" s="19"/>
      <c r="L13873" s="16" t="str">
        <f>IFERROR(__xludf.DUMMYFUNCTION("""COMPUTED_VALUE"""),"")</f>
        <v/>
      </c>
      <c r="M13873" s="16" t="str">
        <f>IFERROR(__xludf.DUMMYFUNCTION("""COMPUTED_VALUE"""),"")</f>
        <v/>
      </c>
      <c r="U13873" s="16" t="s">
        <v>87</v>
      </c>
      <c r="V13873" s="16" t="str">
        <f>IFERROR(__xludf.DUMMYFUNCTION("""COMPUTED_VALUE"""),"")</f>
        <v/>
      </c>
      <c r="W13873" s="16" t="str">
        <f>IFERROR(__xludf.DUMMYFUNCTION("""COMPUTED_VALUE"""),"")</f>
        <v/>
      </c>
      <c r="X13873" s="16" t="str">
        <f>IFERROR(__xludf.DUMMYFUNCTION("""COMPUTED_VALUE"""),"")</f>
        <v/>
      </c>
      <c r="AC13873" s="16" t="str">
        <f>IFERROR(__xludf.DUMMYFUNCTION("""COMPUTED_VALUE"""),"")</f>
        <v/>
      </c>
    </row>
    <row r="13874">
      <c r="A13874" s="16" t="s">
        <v>87</v>
      </c>
      <c r="E13874" s="16" t="str">
        <f>IFERROR(__xludf.DUMMYFUNCTION("""COMPUTED_VALUE"""),"")</f>
        <v/>
      </c>
      <c r="G13874" s="18"/>
      <c r="H13874" s="16" t="s">
        <v>87</v>
      </c>
      <c r="I13874" s="16" t="s">
        <v>87</v>
      </c>
      <c r="J13874" s="19"/>
      <c r="L13874" s="16" t="str">
        <f>IFERROR(__xludf.DUMMYFUNCTION("""COMPUTED_VALUE"""),"")</f>
        <v/>
      </c>
      <c r="M13874" s="16" t="str">
        <f>IFERROR(__xludf.DUMMYFUNCTION("""COMPUTED_VALUE"""),"")</f>
        <v/>
      </c>
      <c r="U13874" s="16" t="s">
        <v>87</v>
      </c>
      <c r="V13874" s="16" t="str">
        <f>IFERROR(__xludf.DUMMYFUNCTION("""COMPUTED_VALUE"""),"")</f>
        <v/>
      </c>
      <c r="W13874" s="16" t="str">
        <f>IFERROR(__xludf.DUMMYFUNCTION("""COMPUTED_VALUE"""),"")</f>
        <v/>
      </c>
      <c r="X13874" s="16" t="str">
        <f>IFERROR(__xludf.DUMMYFUNCTION("""COMPUTED_VALUE"""),"")</f>
        <v/>
      </c>
      <c r="AC13874" s="16" t="str">
        <f>IFERROR(__xludf.DUMMYFUNCTION("""COMPUTED_VALUE"""),"")</f>
        <v/>
      </c>
    </row>
    <row r="13875">
      <c r="A13875" s="16" t="s">
        <v>87</v>
      </c>
      <c r="E13875" s="16" t="str">
        <f>IFERROR(__xludf.DUMMYFUNCTION("""COMPUTED_VALUE"""),"")</f>
        <v/>
      </c>
      <c r="G13875" s="18"/>
      <c r="H13875" s="16" t="s">
        <v>87</v>
      </c>
      <c r="I13875" s="16" t="s">
        <v>87</v>
      </c>
      <c r="J13875" s="19"/>
      <c r="L13875" s="16" t="str">
        <f>IFERROR(__xludf.DUMMYFUNCTION("""COMPUTED_VALUE"""),"")</f>
        <v/>
      </c>
      <c r="M13875" s="16" t="str">
        <f>IFERROR(__xludf.DUMMYFUNCTION("""COMPUTED_VALUE"""),"")</f>
        <v/>
      </c>
      <c r="U13875" s="16" t="s">
        <v>87</v>
      </c>
      <c r="V13875" s="16" t="str">
        <f>IFERROR(__xludf.DUMMYFUNCTION("""COMPUTED_VALUE"""),"")</f>
        <v/>
      </c>
      <c r="W13875" s="16" t="str">
        <f>IFERROR(__xludf.DUMMYFUNCTION("""COMPUTED_VALUE"""),"")</f>
        <v/>
      </c>
      <c r="X13875" s="16" t="str">
        <f>IFERROR(__xludf.DUMMYFUNCTION("""COMPUTED_VALUE"""),"")</f>
        <v/>
      </c>
      <c r="AC13875" s="16" t="str">
        <f>IFERROR(__xludf.DUMMYFUNCTION("""COMPUTED_VALUE"""),"")</f>
        <v/>
      </c>
    </row>
    <row r="13876">
      <c r="A13876" s="16" t="s">
        <v>87</v>
      </c>
      <c r="E13876" s="16" t="str">
        <f>IFERROR(__xludf.DUMMYFUNCTION("""COMPUTED_VALUE"""),"")</f>
        <v/>
      </c>
      <c r="G13876" s="18"/>
      <c r="H13876" s="16" t="s">
        <v>87</v>
      </c>
      <c r="I13876" s="16" t="s">
        <v>87</v>
      </c>
      <c r="J13876" s="19"/>
      <c r="L13876" s="16" t="str">
        <f>IFERROR(__xludf.DUMMYFUNCTION("""COMPUTED_VALUE"""),"")</f>
        <v/>
      </c>
      <c r="M13876" s="16" t="str">
        <f>IFERROR(__xludf.DUMMYFUNCTION("""COMPUTED_VALUE"""),"")</f>
        <v/>
      </c>
      <c r="U13876" s="16" t="s">
        <v>87</v>
      </c>
      <c r="V13876" s="16" t="str">
        <f>IFERROR(__xludf.DUMMYFUNCTION("""COMPUTED_VALUE"""),"")</f>
        <v/>
      </c>
      <c r="W13876" s="16" t="str">
        <f>IFERROR(__xludf.DUMMYFUNCTION("""COMPUTED_VALUE"""),"")</f>
        <v/>
      </c>
      <c r="X13876" s="16" t="str">
        <f>IFERROR(__xludf.DUMMYFUNCTION("""COMPUTED_VALUE"""),"")</f>
        <v/>
      </c>
      <c r="AC13876" s="16" t="str">
        <f>IFERROR(__xludf.DUMMYFUNCTION("""COMPUTED_VALUE"""),"")</f>
        <v/>
      </c>
    </row>
    <row r="13877">
      <c r="A13877" s="16" t="s">
        <v>87</v>
      </c>
      <c r="E13877" s="16" t="str">
        <f>IFERROR(__xludf.DUMMYFUNCTION("""COMPUTED_VALUE"""),"")</f>
        <v/>
      </c>
      <c r="G13877" s="18"/>
      <c r="H13877" s="16" t="s">
        <v>87</v>
      </c>
      <c r="I13877" s="16" t="s">
        <v>87</v>
      </c>
      <c r="J13877" s="19"/>
      <c r="L13877" s="16" t="str">
        <f>IFERROR(__xludf.DUMMYFUNCTION("""COMPUTED_VALUE"""),"")</f>
        <v/>
      </c>
      <c r="M13877" s="16" t="str">
        <f>IFERROR(__xludf.DUMMYFUNCTION("""COMPUTED_VALUE"""),"")</f>
        <v/>
      </c>
      <c r="U13877" s="16" t="s">
        <v>87</v>
      </c>
      <c r="V13877" s="16" t="str">
        <f>IFERROR(__xludf.DUMMYFUNCTION("""COMPUTED_VALUE"""),"")</f>
        <v/>
      </c>
      <c r="W13877" s="16" t="str">
        <f>IFERROR(__xludf.DUMMYFUNCTION("""COMPUTED_VALUE"""),"")</f>
        <v/>
      </c>
      <c r="X13877" s="16" t="str">
        <f>IFERROR(__xludf.DUMMYFUNCTION("""COMPUTED_VALUE"""),"")</f>
        <v/>
      </c>
      <c r="AC13877" s="16" t="str">
        <f>IFERROR(__xludf.DUMMYFUNCTION("""COMPUTED_VALUE"""),"")</f>
        <v/>
      </c>
    </row>
    <row r="13878">
      <c r="A13878" s="16" t="s">
        <v>87</v>
      </c>
      <c r="E13878" s="16" t="str">
        <f>IFERROR(__xludf.DUMMYFUNCTION("""COMPUTED_VALUE"""),"")</f>
        <v/>
      </c>
      <c r="G13878" s="18"/>
      <c r="H13878" s="16" t="s">
        <v>87</v>
      </c>
      <c r="I13878" s="16" t="s">
        <v>87</v>
      </c>
      <c r="J13878" s="19"/>
      <c r="L13878" s="16" t="str">
        <f>IFERROR(__xludf.DUMMYFUNCTION("""COMPUTED_VALUE"""),"")</f>
        <v/>
      </c>
      <c r="M13878" s="16" t="str">
        <f>IFERROR(__xludf.DUMMYFUNCTION("""COMPUTED_VALUE"""),"")</f>
        <v/>
      </c>
      <c r="U13878" s="16" t="s">
        <v>87</v>
      </c>
      <c r="V13878" s="16" t="str">
        <f>IFERROR(__xludf.DUMMYFUNCTION("""COMPUTED_VALUE"""),"")</f>
        <v/>
      </c>
      <c r="W13878" s="16" t="str">
        <f>IFERROR(__xludf.DUMMYFUNCTION("""COMPUTED_VALUE"""),"")</f>
        <v/>
      </c>
      <c r="X13878" s="16" t="str">
        <f>IFERROR(__xludf.DUMMYFUNCTION("""COMPUTED_VALUE"""),"")</f>
        <v/>
      </c>
      <c r="AC13878" s="16" t="str">
        <f>IFERROR(__xludf.DUMMYFUNCTION("""COMPUTED_VALUE"""),"")</f>
        <v/>
      </c>
    </row>
    <row r="13879">
      <c r="A13879" s="16" t="s">
        <v>87</v>
      </c>
      <c r="E13879" s="16" t="str">
        <f>IFERROR(__xludf.DUMMYFUNCTION("""COMPUTED_VALUE"""),"")</f>
        <v/>
      </c>
      <c r="G13879" s="18"/>
      <c r="H13879" s="16" t="s">
        <v>87</v>
      </c>
      <c r="I13879" s="16" t="s">
        <v>87</v>
      </c>
      <c r="J13879" s="19"/>
      <c r="L13879" s="16" t="str">
        <f>IFERROR(__xludf.DUMMYFUNCTION("""COMPUTED_VALUE"""),"")</f>
        <v/>
      </c>
      <c r="M13879" s="16" t="str">
        <f>IFERROR(__xludf.DUMMYFUNCTION("""COMPUTED_VALUE"""),"")</f>
        <v/>
      </c>
      <c r="U13879" s="16" t="s">
        <v>87</v>
      </c>
      <c r="V13879" s="16" t="str">
        <f>IFERROR(__xludf.DUMMYFUNCTION("""COMPUTED_VALUE"""),"")</f>
        <v/>
      </c>
      <c r="W13879" s="16" t="str">
        <f>IFERROR(__xludf.DUMMYFUNCTION("""COMPUTED_VALUE"""),"")</f>
        <v/>
      </c>
      <c r="X13879" s="16" t="str">
        <f>IFERROR(__xludf.DUMMYFUNCTION("""COMPUTED_VALUE"""),"")</f>
        <v/>
      </c>
      <c r="AC13879" s="16" t="str">
        <f>IFERROR(__xludf.DUMMYFUNCTION("""COMPUTED_VALUE"""),"")</f>
        <v/>
      </c>
    </row>
    <row r="13880">
      <c r="A13880" s="16" t="s">
        <v>87</v>
      </c>
      <c r="E13880" s="16" t="str">
        <f>IFERROR(__xludf.DUMMYFUNCTION("""COMPUTED_VALUE"""),"")</f>
        <v/>
      </c>
      <c r="G13880" s="18"/>
      <c r="H13880" s="16" t="s">
        <v>87</v>
      </c>
      <c r="I13880" s="16" t="s">
        <v>87</v>
      </c>
      <c r="J13880" s="19"/>
      <c r="L13880" s="16" t="str">
        <f>IFERROR(__xludf.DUMMYFUNCTION("""COMPUTED_VALUE"""),"")</f>
        <v/>
      </c>
      <c r="M13880" s="16" t="str">
        <f>IFERROR(__xludf.DUMMYFUNCTION("""COMPUTED_VALUE"""),"")</f>
        <v/>
      </c>
      <c r="U13880" s="16" t="s">
        <v>87</v>
      </c>
      <c r="V13880" s="16" t="str">
        <f>IFERROR(__xludf.DUMMYFUNCTION("""COMPUTED_VALUE"""),"")</f>
        <v/>
      </c>
      <c r="W13880" s="16" t="str">
        <f>IFERROR(__xludf.DUMMYFUNCTION("""COMPUTED_VALUE"""),"")</f>
        <v/>
      </c>
      <c r="X13880" s="16" t="str">
        <f>IFERROR(__xludf.DUMMYFUNCTION("""COMPUTED_VALUE"""),"")</f>
        <v/>
      </c>
      <c r="AC13880" s="16" t="str">
        <f>IFERROR(__xludf.DUMMYFUNCTION("""COMPUTED_VALUE"""),"")</f>
        <v/>
      </c>
    </row>
    <row r="13881">
      <c r="A13881" s="16" t="s">
        <v>87</v>
      </c>
      <c r="E13881" s="16" t="str">
        <f>IFERROR(__xludf.DUMMYFUNCTION("""COMPUTED_VALUE"""),"")</f>
        <v/>
      </c>
      <c r="G13881" s="18"/>
      <c r="H13881" s="16" t="s">
        <v>87</v>
      </c>
      <c r="I13881" s="16" t="s">
        <v>87</v>
      </c>
      <c r="J13881" s="19"/>
      <c r="L13881" s="16" t="str">
        <f>IFERROR(__xludf.DUMMYFUNCTION("""COMPUTED_VALUE"""),"")</f>
        <v/>
      </c>
      <c r="M13881" s="16" t="str">
        <f>IFERROR(__xludf.DUMMYFUNCTION("""COMPUTED_VALUE"""),"")</f>
        <v/>
      </c>
      <c r="U13881" s="16" t="s">
        <v>87</v>
      </c>
      <c r="V13881" s="16" t="str">
        <f>IFERROR(__xludf.DUMMYFUNCTION("""COMPUTED_VALUE"""),"")</f>
        <v/>
      </c>
      <c r="W13881" s="16" t="str">
        <f>IFERROR(__xludf.DUMMYFUNCTION("""COMPUTED_VALUE"""),"")</f>
        <v/>
      </c>
      <c r="X13881" s="16" t="str">
        <f>IFERROR(__xludf.DUMMYFUNCTION("""COMPUTED_VALUE"""),"")</f>
        <v/>
      </c>
      <c r="AC13881" s="16" t="str">
        <f>IFERROR(__xludf.DUMMYFUNCTION("""COMPUTED_VALUE"""),"")</f>
        <v/>
      </c>
    </row>
    <row r="13882">
      <c r="A13882" s="16" t="s">
        <v>87</v>
      </c>
      <c r="E13882" s="16" t="str">
        <f>IFERROR(__xludf.DUMMYFUNCTION("""COMPUTED_VALUE"""),"")</f>
        <v/>
      </c>
      <c r="G13882" s="18"/>
      <c r="H13882" s="16" t="s">
        <v>87</v>
      </c>
      <c r="I13882" s="16" t="s">
        <v>87</v>
      </c>
      <c r="J13882" s="19"/>
      <c r="L13882" s="16" t="str">
        <f>IFERROR(__xludf.DUMMYFUNCTION("""COMPUTED_VALUE"""),"")</f>
        <v/>
      </c>
      <c r="M13882" s="16" t="str">
        <f>IFERROR(__xludf.DUMMYFUNCTION("""COMPUTED_VALUE"""),"")</f>
        <v/>
      </c>
      <c r="U13882" s="16" t="s">
        <v>87</v>
      </c>
      <c r="V13882" s="16" t="str">
        <f>IFERROR(__xludf.DUMMYFUNCTION("""COMPUTED_VALUE"""),"")</f>
        <v/>
      </c>
      <c r="W13882" s="16" t="str">
        <f>IFERROR(__xludf.DUMMYFUNCTION("""COMPUTED_VALUE"""),"")</f>
        <v/>
      </c>
      <c r="X13882" s="16" t="str">
        <f>IFERROR(__xludf.DUMMYFUNCTION("""COMPUTED_VALUE"""),"")</f>
        <v/>
      </c>
      <c r="AC13882" s="16" t="str">
        <f>IFERROR(__xludf.DUMMYFUNCTION("""COMPUTED_VALUE"""),"")</f>
        <v/>
      </c>
    </row>
    <row r="13883">
      <c r="A13883" s="16" t="s">
        <v>87</v>
      </c>
      <c r="E13883" s="16" t="str">
        <f>IFERROR(__xludf.DUMMYFUNCTION("""COMPUTED_VALUE"""),"")</f>
        <v/>
      </c>
      <c r="G13883" s="18"/>
      <c r="H13883" s="16" t="s">
        <v>87</v>
      </c>
      <c r="I13883" s="16" t="s">
        <v>87</v>
      </c>
      <c r="J13883" s="19"/>
      <c r="L13883" s="16" t="str">
        <f>IFERROR(__xludf.DUMMYFUNCTION("""COMPUTED_VALUE"""),"")</f>
        <v/>
      </c>
      <c r="M13883" s="16" t="str">
        <f>IFERROR(__xludf.DUMMYFUNCTION("""COMPUTED_VALUE"""),"")</f>
        <v/>
      </c>
      <c r="U13883" s="16" t="s">
        <v>87</v>
      </c>
      <c r="V13883" s="16" t="str">
        <f>IFERROR(__xludf.DUMMYFUNCTION("""COMPUTED_VALUE"""),"")</f>
        <v/>
      </c>
      <c r="W13883" s="16" t="str">
        <f>IFERROR(__xludf.DUMMYFUNCTION("""COMPUTED_VALUE"""),"")</f>
        <v/>
      </c>
      <c r="X13883" s="16" t="str">
        <f>IFERROR(__xludf.DUMMYFUNCTION("""COMPUTED_VALUE"""),"")</f>
        <v/>
      </c>
      <c r="AC13883" s="16" t="str">
        <f>IFERROR(__xludf.DUMMYFUNCTION("""COMPUTED_VALUE"""),"")</f>
        <v/>
      </c>
    </row>
    <row r="13884">
      <c r="A13884" s="16" t="s">
        <v>87</v>
      </c>
      <c r="E13884" s="16" t="str">
        <f>IFERROR(__xludf.DUMMYFUNCTION("""COMPUTED_VALUE"""),"")</f>
        <v/>
      </c>
      <c r="G13884" s="18"/>
      <c r="H13884" s="16" t="s">
        <v>87</v>
      </c>
      <c r="I13884" s="16" t="s">
        <v>87</v>
      </c>
      <c r="J13884" s="19"/>
      <c r="L13884" s="16" t="str">
        <f>IFERROR(__xludf.DUMMYFUNCTION("""COMPUTED_VALUE"""),"")</f>
        <v/>
      </c>
      <c r="M13884" s="16" t="str">
        <f>IFERROR(__xludf.DUMMYFUNCTION("""COMPUTED_VALUE"""),"")</f>
        <v/>
      </c>
      <c r="U13884" s="16" t="s">
        <v>87</v>
      </c>
      <c r="V13884" s="16" t="str">
        <f>IFERROR(__xludf.DUMMYFUNCTION("""COMPUTED_VALUE"""),"")</f>
        <v/>
      </c>
      <c r="W13884" s="16" t="str">
        <f>IFERROR(__xludf.DUMMYFUNCTION("""COMPUTED_VALUE"""),"")</f>
        <v/>
      </c>
      <c r="X13884" s="16" t="str">
        <f>IFERROR(__xludf.DUMMYFUNCTION("""COMPUTED_VALUE"""),"")</f>
        <v/>
      </c>
      <c r="AC13884" s="16" t="str">
        <f>IFERROR(__xludf.DUMMYFUNCTION("""COMPUTED_VALUE"""),"")</f>
        <v/>
      </c>
    </row>
    <row r="13885">
      <c r="A13885" s="16" t="s">
        <v>87</v>
      </c>
      <c r="E13885" s="16" t="str">
        <f>IFERROR(__xludf.DUMMYFUNCTION("""COMPUTED_VALUE"""),"")</f>
        <v/>
      </c>
      <c r="G13885" s="18"/>
      <c r="H13885" s="16" t="s">
        <v>87</v>
      </c>
      <c r="I13885" s="16" t="s">
        <v>87</v>
      </c>
      <c r="J13885" s="19"/>
      <c r="L13885" s="16" t="str">
        <f>IFERROR(__xludf.DUMMYFUNCTION("""COMPUTED_VALUE"""),"")</f>
        <v/>
      </c>
      <c r="M13885" s="16" t="str">
        <f>IFERROR(__xludf.DUMMYFUNCTION("""COMPUTED_VALUE"""),"")</f>
        <v/>
      </c>
      <c r="U13885" s="16" t="s">
        <v>87</v>
      </c>
      <c r="V13885" s="16" t="str">
        <f>IFERROR(__xludf.DUMMYFUNCTION("""COMPUTED_VALUE"""),"")</f>
        <v/>
      </c>
      <c r="W13885" s="16" t="str">
        <f>IFERROR(__xludf.DUMMYFUNCTION("""COMPUTED_VALUE"""),"")</f>
        <v/>
      </c>
      <c r="X13885" s="16" t="str">
        <f>IFERROR(__xludf.DUMMYFUNCTION("""COMPUTED_VALUE"""),"")</f>
        <v/>
      </c>
      <c r="AC13885" s="16" t="str">
        <f>IFERROR(__xludf.DUMMYFUNCTION("""COMPUTED_VALUE"""),"")</f>
        <v/>
      </c>
    </row>
    <row r="13886">
      <c r="A13886" s="16" t="s">
        <v>87</v>
      </c>
      <c r="E13886" s="16" t="str">
        <f>IFERROR(__xludf.DUMMYFUNCTION("""COMPUTED_VALUE"""),"")</f>
        <v/>
      </c>
      <c r="G13886" s="18"/>
      <c r="H13886" s="16" t="s">
        <v>87</v>
      </c>
      <c r="I13886" s="16" t="s">
        <v>87</v>
      </c>
      <c r="J13886" s="19"/>
      <c r="L13886" s="16" t="str">
        <f>IFERROR(__xludf.DUMMYFUNCTION("""COMPUTED_VALUE"""),"")</f>
        <v/>
      </c>
      <c r="M13886" s="16" t="str">
        <f>IFERROR(__xludf.DUMMYFUNCTION("""COMPUTED_VALUE"""),"")</f>
        <v/>
      </c>
      <c r="U13886" s="16" t="s">
        <v>87</v>
      </c>
      <c r="V13886" s="16" t="str">
        <f>IFERROR(__xludf.DUMMYFUNCTION("""COMPUTED_VALUE"""),"")</f>
        <v/>
      </c>
      <c r="W13886" s="16" t="str">
        <f>IFERROR(__xludf.DUMMYFUNCTION("""COMPUTED_VALUE"""),"")</f>
        <v/>
      </c>
      <c r="X13886" s="16" t="str">
        <f>IFERROR(__xludf.DUMMYFUNCTION("""COMPUTED_VALUE"""),"")</f>
        <v/>
      </c>
      <c r="AC13886" s="16" t="str">
        <f>IFERROR(__xludf.DUMMYFUNCTION("""COMPUTED_VALUE"""),"")</f>
        <v/>
      </c>
    </row>
    <row r="13887">
      <c r="A13887" s="16" t="s">
        <v>87</v>
      </c>
      <c r="E13887" s="16" t="str">
        <f>IFERROR(__xludf.DUMMYFUNCTION("""COMPUTED_VALUE"""),"")</f>
        <v/>
      </c>
      <c r="G13887" s="18"/>
      <c r="H13887" s="16" t="s">
        <v>87</v>
      </c>
      <c r="I13887" s="16" t="s">
        <v>87</v>
      </c>
      <c r="J13887" s="19"/>
      <c r="L13887" s="16" t="str">
        <f>IFERROR(__xludf.DUMMYFUNCTION("""COMPUTED_VALUE"""),"")</f>
        <v/>
      </c>
      <c r="M13887" s="16" t="str">
        <f>IFERROR(__xludf.DUMMYFUNCTION("""COMPUTED_VALUE"""),"")</f>
        <v/>
      </c>
      <c r="U13887" s="16" t="s">
        <v>87</v>
      </c>
      <c r="V13887" s="16" t="str">
        <f>IFERROR(__xludf.DUMMYFUNCTION("""COMPUTED_VALUE"""),"")</f>
        <v/>
      </c>
      <c r="W13887" s="16" t="str">
        <f>IFERROR(__xludf.DUMMYFUNCTION("""COMPUTED_VALUE"""),"")</f>
        <v/>
      </c>
      <c r="X13887" s="16" t="str">
        <f>IFERROR(__xludf.DUMMYFUNCTION("""COMPUTED_VALUE"""),"")</f>
        <v/>
      </c>
      <c r="AC13887" s="16" t="str">
        <f>IFERROR(__xludf.DUMMYFUNCTION("""COMPUTED_VALUE"""),"")</f>
        <v/>
      </c>
    </row>
    <row r="13888">
      <c r="A13888" s="16" t="s">
        <v>87</v>
      </c>
      <c r="E13888" s="16" t="str">
        <f>IFERROR(__xludf.DUMMYFUNCTION("""COMPUTED_VALUE"""),"")</f>
        <v/>
      </c>
      <c r="G13888" s="18"/>
      <c r="H13888" s="16" t="s">
        <v>87</v>
      </c>
      <c r="I13888" s="16" t="s">
        <v>87</v>
      </c>
      <c r="J13888" s="19"/>
      <c r="L13888" s="16" t="str">
        <f>IFERROR(__xludf.DUMMYFUNCTION("""COMPUTED_VALUE"""),"")</f>
        <v/>
      </c>
      <c r="M13888" s="16" t="str">
        <f>IFERROR(__xludf.DUMMYFUNCTION("""COMPUTED_VALUE"""),"")</f>
        <v/>
      </c>
      <c r="U13888" s="16" t="s">
        <v>87</v>
      </c>
      <c r="V13888" s="16" t="str">
        <f>IFERROR(__xludf.DUMMYFUNCTION("""COMPUTED_VALUE"""),"")</f>
        <v/>
      </c>
      <c r="W13888" s="16" t="str">
        <f>IFERROR(__xludf.DUMMYFUNCTION("""COMPUTED_VALUE"""),"")</f>
        <v/>
      </c>
      <c r="X13888" s="16" t="str">
        <f>IFERROR(__xludf.DUMMYFUNCTION("""COMPUTED_VALUE"""),"")</f>
        <v/>
      </c>
      <c r="AC13888" s="16" t="str">
        <f>IFERROR(__xludf.DUMMYFUNCTION("""COMPUTED_VALUE"""),"")</f>
        <v/>
      </c>
    </row>
    <row r="13889">
      <c r="A13889" s="16" t="s">
        <v>87</v>
      </c>
      <c r="E13889" s="16" t="str">
        <f>IFERROR(__xludf.DUMMYFUNCTION("""COMPUTED_VALUE"""),"")</f>
        <v/>
      </c>
      <c r="G13889" s="18"/>
      <c r="H13889" s="16" t="s">
        <v>87</v>
      </c>
      <c r="I13889" s="16" t="s">
        <v>87</v>
      </c>
      <c r="J13889" s="19"/>
      <c r="L13889" s="16" t="str">
        <f>IFERROR(__xludf.DUMMYFUNCTION("""COMPUTED_VALUE"""),"")</f>
        <v/>
      </c>
      <c r="M13889" s="16" t="str">
        <f>IFERROR(__xludf.DUMMYFUNCTION("""COMPUTED_VALUE"""),"")</f>
        <v/>
      </c>
      <c r="U13889" s="16" t="s">
        <v>87</v>
      </c>
      <c r="V13889" s="16" t="str">
        <f>IFERROR(__xludf.DUMMYFUNCTION("""COMPUTED_VALUE"""),"")</f>
        <v/>
      </c>
      <c r="W13889" s="16" t="str">
        <f>IFERROR(__xludf.DUMMYFUNCTION("""COMPUTED_VALUE"""),"")</f>
        <v/>
      </c>
      <c r="X13889" s="16" t="str">
        <f>IFERROR(__xludf.DUMMYFUNCTION("""COMPUTED_VALUE"""),"")</f>
        <v/>
      </c>
      <c r="AC13889" s="16" t="str">
        <f>IFERROR(__xludf.DUMMYFUNCTION("""COMPUTED_VALUE"""),"")</f>
        <v/>
      </c>
    </row>
    <row r="13890">
      <c r="A13890" s="16" t="s">
        <v>87</v>
      </c>
      <c r="E13890" s="16" t="str">
        <f>IFERROR(__xludf.DUMMYFUNCTION("""COMPUTED_VALUE"""),"")</f>
        <v/>
      </c>
      <c r="G13890" s="18"/>
      <c r="H13890" s="16" t="s">
        <v>87</v>
      </c>
      <c r="I13890" s="16" t="s">
        <v>87</v>
      </c>
      <c r="J13890" s="19"/>
      <c r="L13890" s="16" t="str">
        <f>IFERROR(__xludf.DUMMYFUNCTION("""COMPUTED_VALUE"""),"")</f>
        <v/>
      </c>
      <c r="M13890" s="16" t="str">
        <f>IFERROR(__xludf.DUMMYFUNCTION("""COMPUTED_VALUE"""),"")</f>
        <v/>
      </c>
      <c r="U13890" s="16" t="s">
        <v>87</v>
      </c>
      <c r="V13890" s="16" t="str">
        <f>IFERROR(__xludf.DUMMYFUNCTION("""COMPUTED_VALUE"""),"")</f>
        <v/>
      </c>
      <c r="W13890" s="16" t="str">
        <f>IFERROR(__xludf.DUMMYFUNCTION("""COMPUTED_VALUE"""),"")</f>
        <v/>
      </c>
      <c r="X13890" s="16" t="str">
        <f>IFERROR(__xludf.DUMMYFUNCTION("""COMPUTED_VALUE"""),"")</f>
        <v/>
      </c>
      <c r="AC13890" s="16" t="str">
        <f>IFERROR(__xludf.DUMMYFUNCTION("""COMPUTED_VALUE"""),"")</f>
        <v/>
      </c>
    </row>
    <row r="13891">
      <c r="A13891" s="16" t="s">
        <v>87</v>
      </c>
      <c r="E13891" s="16" t="str">
        <f>IFERROR(__xludf.DUMMYFUNCTION("""COMPUTED_VALUE"""),"")</f>
        <v/>
      </c>
      <c r="G13891" s="18"/>
      <c r="H13891" s="16" t="s">
        <v>87</v>
      </c>
      <c r="I13891" s="16" t="s">
        <v>87</v>
      </c>
      <c r="J13891" s="19"/>
      <c r="L13891" s="16" t="str">
        <f>IFERROR(__xludf.DUMMYFUNCTION("""COMPUTED_VALUE"""),"")</f>
        <v/>
      </c>
      <c r="M13891" s="16" t="str">
        <f>IFERROR(__xludf.DUMMYFUNCTION("""COMPUTED_VALUE"""),"")</f>
        <v/>
      </c>
      <c r="U13891" s="16" t="s">
        <v>87</v>
      </c>
      <c r="V13891" s="16" t="str">
        <f>IFERROR(__xludf.DUMMYFUNCTION("""COMPUTED_VALUE"""),"")</f>
        <v/>
      </c>
      <c r="W13891" s="16" t="str">
        <f>IFERROR(__xludf.DUMMYFUNCTION("""COMPUTED_VALUE"""),"")</f>
        <v/>
      </c>
      <c r="X13891" s="16" t="str">
        <f>IFERROR(__xludf.DUMMYFUNCTION("""COMPUTED_VALUE"""),"")</f>
        <v/>
      </c>
      <c r="AC13891" s="16" t="str">
        <f>IFERROR(__xludf.DUMMYFUNCTION("""COMPUTED_VALUE"""),"")</f>
        <v/>
      </c>
    </row>
    <row r="13892">
      <c r="A13892" s="16" t="s">
        <v>87</v>
      </c>
      <c r="E13892" s="16" t="str">
        <f>IFERROR(__xludf.DUMMYFUNCTION("""COMPUTED_VALUE"""),"")</f>
        <v/>
      </c>
      <c r="G13892" s="18"/>
      <c r="H13892" s="16" t="s">
        <v>87</v>
      </c>
      <c r="I13892" s="16" t="s">
        <v>87</v>
      </c>
      <c r="J13892" s="19"/>
      <c r="L13892" s="16" t="str">
        <f>IFERROR(__xludf.DUMMYFUNCTION("""COMPUTED_VALUE"""),"")</f>
        <v/>
      </c>
      <c r="M13892" s="16" t="str">
        <f>IFERROR(__xludf.DUMMYFUNCTION("""COMPUTED_VALUE"""),"")</f>
        <v/>
      </c>
      <c r="U13892" s="16" t="s">
        <v>87</v>
      </c>
      <c r="V13892" s="16" t="str">
        <f>IFERROR(__xludf.DUMMYFUNCTION("""COMPUTED_VALUE"""),"")</f>
        <v/>
      </c>
      <c r="W13892" s="16" t="str">
        <f>IFERROR(__xludf.DUMMYFUNCTION("""COMPUTED_VALUE"""),"")</f>
        <v/>
      </c>
      <c r="X13892" s="16" t="str">
        <f>IFERROR(__xludf.DUMMYFUNCTION("""COMPUTED_VALUE"""),"")</f>
        <v/>
      </c>
      <c r="AC13892" s="16" t="str">
        <f>IFERROR(__xludf.DUMMYFUNCTION("""COMPUTED_VALUE"""),"")</f>
        <v/>
      </c>
    </row>
    <row r="13893">
      <c r="A13893" s="16" t="s">
        <v>87</v>
      </c>
      <c r="E13893" s="16" t="str">
        <f>IFERROR(__xludf.DUMMYFUNCTION("""COMPUTED_VALUE"""),"")</f>
        <v/>
      </c>
      <c r="G13893" s="18"/>
      <c r="H13893" s="16" t="s">
        <v>87</v>
      </c>
      <c r="I13893" s="16" t="s">
        <v>87</v>
      </c>
      <c r="J13893" s="19"/>
      <c r="L13893" s="16" t="str">
        <f>IFERROR(__xludf.DUMMYFUNCTION("""COMPUTED_VALUE"""),"")</f>
        <v/>
      </c>
      <c r="M13893" s="16" t="str">
        <f>IFERROR(__xludf.DUMMYFUNCTION("""COMPUTED_VALUE"""),"")</f>
        <v/>
      </c>
      <c r="U13893" s="16" t="s">
        <v>87</v>
      </c>
      <c r="V13893" s="16" t="str">
        <f>IFERROR(__xludf.DUMMYFUNCTION("""COMPUTED_VALUE"""),"")</f>
        <v/>
      </c>
      <c r="W13893" s="16" t="str">
        <f>IFERROR(__xludf.DUMMYFUNCTION("""COMPUTED_VALUE"""),"")</f>
        <v/>
      </c>
      <c r="X13893" s="16" t="str">
        <f>IFERROR(__xludf.DUMMYFUNCTION("""COMPUTED_VALUE"""),"")</f>
        <v/>
      </c>
      <c r="AC13893" s="16" t="str">
        <f>IFERROR(__xludf.DUMMYFUNCTION("""COMPUTED_VALUE"""),"")</f>
        <v/>
      </c>
    </row>
    <row r="13894">
      <c r="A13894" s="16" t="s">
        <v>87</v>
      </c>
      <c r="E13894" s="16" t="str">
        <f>IFERROR(__xludf.DUMMYFUNCTION("""COMPUTED_VALUE"""),"")</f>
        <v/>
      </c>
      <c r="G13894" s="18"/>
      <c r="H13894" s="16" t="s">
        <v>87</v>
      </c>
      <c r="I13894" s="16" t="s">
        <v>87</v>
      </c>
      <c r="J13894" s="19"/>
      <c r="L13894" s="16" t="str">
        <f>IFERROR(__xludf.DUMMYFUNCTION("""COMPUTED_VALUE"""),"")</f>
        <v/>
      </c>
      <c r="M13894" s="16" t="str">
        <f>IFERROR(__xludf.DUMMYFUNCTION("""COMPUTED_VALUE"""),"")</f>
        <v/>
      </c>
      <c r="U13894" s="16" t="s">
        <v>87</v>
      </c>
      <c r="V13894" s="16" t="str">
        <f>IFERROR(__xludf.DUMMYFUNCTION("""COMPUTED_VALUE"""),"")</f>
        <v/>
      </c>
      <c r="W13894" s="16" t="str">
        <f>IFERROR(__xludf.DUMMYFUNCTION("""COMPUTED_VALUE"""),"")</f>
        <v/>
      </c>
      <c r="X13894" s="16" t="str">
        <f>IFERROR(__xludf.DUMMYFUNCTION("""COMPUTED_VALUE"""),"")</f>
        <v/>
      </c>
      <c r="AC13894" s="16" t="str">
        <f>IFERROR(__xludf.DUMMYFUNCTION("""COMPUTED_VALUE"""),"")</f>
        <v/>
      </c>
    </row>
    <row r="13895">
      <c r="A13895" s="16" t="s">
        <v>87</v>
      </c>
      <c r="E13895" s="16" t="str">
        <f>IFERROR(__xludf.DUMMYFUNCTION("""COMPUTED_VALUE"""),"")</f>
        <v/>
      </c>
      <c r="G13895" s="18"/>
      <c r="H13895" s="16" t="s">
        <v>87</v>
      </c>
      <c r="I13895" s="16" t="s">
        <v>87</v>
      </c>
      <c r="J13895" s="19"/>
      <c r="L13895" s="16" t="str">
        <f>IFERROR(__xludf.DUMMYFUNCTION("""COMPUTED_VALUE"""),"")</f>
        <v/>
      </c>
      <c r="M13895" s="16" t="str">
        <f>IFERROR(__xludf.DUMMYFUNCTION("""COMPUTED_VALUE"""),"")</f>
        <v/>
      </c>
      <c r="U13895" s="16" t="s">
        <v>87</v>
      </c>
      <c r="V13895" s="16" t="str">
        <f>IFERROR(__xludf.DUMMYFUNCTION("""COMPUTED_VALUE"""),"")</f>
        <v/>
      </c>
      <c r="W13895" s="16" t="str">
        <f>IFERROR(__xludf.DUMMYFUNCTION("""COMPUTED_VALUE"""),"")</f>
        <v/>
      </c>
      <c r="X13895" s="16" t="str">
        <f>IFERROR(__xludf.DUMMYFUNCTION("""COMPUTED_VALUE"""),"")</f>
        <v/>
      </c>
      <c r="AC13895" s="16" t="str">
        <f>IFERROR(__xludf.DUMMYFUNCTION("""COMPUTED_VALUE"""),"")</f>
        <v/>
      </c>
    </row>
    <row r="13896">
      <c r="A13896" s="16" t="s">
        <v>87</v>
      </c>
      <c r="E13896" s="16" t="str">
        <f>IFERROR(__xludf.DUMMYFUNCTION("""COMPUTED_VALUE"""),"")</f>
        <v/>
      </c>
      <c r="G13896" s="18"/>
      <c r="H13896" s="16" t="s">
        <v>87</v>
      </c>
      <c r="I13896" s="16" t="s">
        <v>87</v>
      </c>
      <c r="J13896" s="19"/>
      <c r="L13896" s="16" t="str">
        <f>IFERROR(__xludf.DUMMYFUNCTION("""COMPUTED_VALUE"""),"")</f>
        <v/>
      </c>
      <c r="M13896" s="16" t="str">
        <f>IFERROR(__xludf.DUMMYFUNCTION("""COMPUTED_VALUE"""),"")</f>
        <v/>
      </c>
      <c r="U13896" s="16" t="s">
        <v>87</v>
      </c>
      <c r="V13896" s="16" t="str">
        <f>IFERROR(__xludf.DUMMYFUNCTION("""COMPUTED_VALUE"""),"")</f>
        <v/>
      </c>
      <c r="W13896" s="16" t="str">
        <f>IFERROR(__xludf.DUMMYFUNCTION("""COMPUTED_VALUE"""),"")</f>
        <v/>
      </c>
      <c r="X13896" s="16" t="str">
        <f>IFERROR(__xludf.DUMMYFUNCTION("""COMPUTED_VALUE"""),"")</f>
        <v/>
      </c>
      <c r="AC13896" s="16" t="str">
        <f>IFERROR(__xludf.DUMMYFUNCTION("""COMPUTED_VALUE"""),"")</f>
        <v/>
      </c>
    </row>
    <row r="13897">
      <c r="A13897" s="16" t="s">
        <v>87</v>
      </c>
      <c r="E13897" s="16" t="str">
        <f>IFERROR(__xludf.DUMMYFUNCTION("""COMPUTED_VALUE"""),"")</f>
        <v/>
      </c>
      <c r="G13897" s="18"/>
      <c r="H13897" s="16" t="s">
        <v>87</v>
      </c>
      <c r="I13897" s="16" t="s">
        <v>87</v>
      </c>
      <c r="J13897" s="19"/>
      <c r="L13897" s="16" t="str">
        <f>IFERROR(__xludf.DUMMYFUNCTION("""COMPUTED_VALUE"""),"")</f>
        <v/>
      </c>
      <c r="M13897" s="16" t="str">
        <f>IFERROR(__xludf.DUMMYFUNCTION("""COMPUTED_VALUE"""),"")</f>
        <v/>
      </c>
      <c r="U13897" s="16" t="s">
        <v>87</v>
      </c>
      <c r="V13897" s="16" t="str">
        <f>IFERROR(__xludf.DUMMYFUNCTION("""COMPUTED_VALUE"""),"")</f>
        <v/>
      </c>
      <c r="W13897" s="16" t="str">
        <f>IFERROR(__xludf.DUMMYFUNCTION("""COMPUTED_VALUE"""),"")</f>
        <v/>
      </c>
      <c r="X13897" s="16" t="str">
        <f>IFERROR(__xludf.DUMMYFUNCTION("""COMPUTED_VALUE"""),"")</f>
        <v/>
      </c>
      <c r="AC13897" s="16" t="str">
        <f>IFERROR(__xludf.DUMMYFUNCTION("""COMPUTED_VALUE"""),"")</f>
        <v/>
      </c>
    </row>
    <row r="13898">
      <c r="A13898" s="16" t="s">
        <v>87</v>
      </c>
      <c r="E13898" s="16" t="str">
        <f>IFERROR(__xludf.DUMMYFUNCTION("""COMPUTED_VALUE"""),"")</f>
        <v/>
      </c>
      <c r="G13898" s="18"/>
      <c r="H13898" s="16" t="s">
        <v>87</v>
      </c>
      <c r="I13898" s="16" t="s">
        <v>87</v>
      </c>
      <c r="J13898" s="19"/>
      <c r="L13898" s="16" t="str">
        <f>IFERROR(__xludf.DUMMYFUNCTION("""COMPUTED_VALUE"""),"")</f>
        <v/>
      </c>
      <c r="M13898" s="16" t="str">
        <f>IFERROR(__xludf.DUMMYFUNCTION("""COMPUTED_VALUE"""),"")</f>
        <v/>
      </c>
      <c r="U13898" s="16" t="s">
        <v>87</v>
      </c>
      <c r="V13898" s="16" t="str">
        <f>IFERROR(__xludf.DUMMYFUNCTION("""COMPUTED_VALUE"""),"")</f>
        <v/>
      </c>
      <c r="W13898" s="16" t="str">
        <f>IFERROR(__xludf.DUMMYFUNCTION("""COMPUTED_VALUE"""),"")</f>
        <v/>
      </c>
      <c r="X13898" s="16" t="str">
        <f>IFERROR(__xludf.DUMMYFUNCTION("""COMPUTED_VALUE"""),"")</f>
        <v/>
      </c>
      <c r="AC13898" s="16" t="str">
        <f>IFERROR(__xludf.DUMMYFUNCTION("""COMPUTED_VALUE"""),"")</f>
        <v/>
      </c>
    </row>
    <row r="13899">
      <c r="A13899" s="16" t="s">
        <v>87</v>
      </c>
      <c r="E13899" s="16" t="str">
        <f>IFERROR(__xludf.DUMMYFUNCTION("""COMPUTED_VALUE"""),"")</f>
        <v/>
      </c>
      <c r="G13899" s="18"/>
      <c r="H13899" s="16" t="s">
        <v>87</v>
      </c>
      <c r="I13899" s="16" t="s">
        <v>87</v>
      </c>
      <c r="J13899" s="19"/>
      <c r="L13899" s="16" t="str">
        <f>IFERROR(__xludf.DUMMYFUNCTION("""COMPUTED_VALUE"""),"")</f>
        <v/>
      </c>
      <c r="M13899" s="16" t="str">
        <f>IFERROR(__xludf.DUMMYFUNCTION("""COMPUTED_VALUE"""),"")</f>
        <v/>
      </c>
      <c r="U13899" s="16" t="s">
        <v>87</v>
      </c>
      <c r="V13899" s="16" t="str">
        <f>IFERROR(__xludf.DUMMYFUNCTION("""COMPUTED_VALUE"""),"")</f>
        <v/>
      </c>
      <c r="W13899" s="16" t="str">
        <f>IFERROR(__xludf.DUMMYFUNCTION("""COMPUTED_VALUE"""),"")</f>
        <v/>
      </c>
      <c r="X13899" s="16" t="str">
        <f>IFERROR(__xludf.DUMMYFUNCTION("""COMPUTED_VALUE"""),"")</f>
        <v/>
      </c>
      <c r="AC13899" s="16" t="str">
        <f>IFERROR(__xludf.DUMMYFUNCTION("""COMPUTED_VALUE"""),"")</f>
        <v/>
      </c>
    </row>
    <row r="13900">
      <c r="A13900" s="16" t="s">
        <v>87</v>
      </c>
      <c r="E13900" s="16" t="str">
        <f>IFERROR(__xludf.DUMMYFUNCTION("""COMPUTED_VALUE"""),"")</f>
        <v/>
      </c>
      <c r="G13900" s="18"/>
      <c r="H13900" s="16" t="s">
        <v>87</v>
      </c>
      <c r="I13900" s="16" t="s">
        <v>87</v>
      </c>
      <c r="J13900" s="19"/>
      <c r="L13900" s="16" t="str">
        <f>IFERROR(__xludf.DUMMYFUNCTION("""COMPUTED_VALUE"""),"")</f>
        <v/>
      </c>
      <c r="M13900" s="16" t="str">
        <f>IFERROR(__xludf.DUMMYFUNCTION("""COMPUTED_VALUE"""),"")</f>
        <v/>
      </c>
      <c r="U13900" s="16" t="s">
        <v>87</v>
      </c>
      <c r="V13900" s="16" t="str">
        <f>IFERROR(__xludf.DUMMYFUNCTION("""COMPUTED_VALUE"""),"")</f>
        <v/>
      </c>
      <c r="W13900" s="16" t="str">
        <f>IFERROR(__xludf.DUMMYFUNCTION("""COMPUTED_VALUE"""),"")</f>
        <v/>
      </c>
      <c r="X13900" s="16" t="str">
        <f>IFERROR(__xludf.DUMMYFUNCTION("""COMPUTED_VALUE"""),"")</f>
        <v/>
      </c>
      <c r="AC13900" s="16" t="str">
        <f>IFERROR(__xludf.DUMMYFUNCTION("""COMPUTED_VALUE"""),"")</f>
        <v/>
      </c>
    </row>
    <row r="13901">
      <c r="A13901" s="16" t="s">
        <v>87</v>
      </c>
      <c r="E13901" s="16" t="str">
        <f>IFERROR(__xludf.DUMMYFUNCTION("""COMPUTED_VALUE"""),"")</f>
        <v/>
      </c>
      <c r="G13901" s="18"/>
      <c r="H13901" s="16" t="s">
        <v>87</v>
      </c>
      <c r="I13901" s="16" t="s">
        <v>87</v>
      </c>
      <c r="J13901" s="19"/>
      <c r="L13901" s="16" t="str">
        <f>IFERROR(__xludf.DUMMYFUNCTION("""COMPUTED_VALUE"""),"")</f>
        <v/>
      </c>
      <c r="M13901" s="16" t="str">
        <f>IFERROR(__xludf.DUMMYFUNCTION("""COMPUTED_VALUE"""),"")</f>
        <v/>
      </c>
      <c r="U13901" s="16" t="s">
        <v>87</v>
      </c>
      <c r="V13901" s="16" t="str">
        <f>IFERROR(__xludf.DUMMYFUNCTION("""COMPUTED_VALUE"""),"")</f>
        <v/>
      </c>
      <c r="W13901" s="16" t="str">
        <f>IFERROR(__xludf.DUMMYFUNCTION("""COMPUTED_VALUE"""),"")</f>
        <v/>
      </c>
      <c r="X13901" s="16" t="str">
        <f>IFERROR(__xludf.DUMMYFUNCTION("""COMPUTED_VALUE"""),"")</f>
        <v/>
      </c>
      <c r="AC13901" s="16" t="str">
        <f>IFERROR(__xludf.DUMMYFUNCTION("""COMPUTED_VALUE"""),"")</f>
        <v/>
      </c>
    </row>
    <row r="13902">
      <c r="A13902" s="16" t="s">
        <v>87</v>
      </c>
      <c r="E13902" s="16" t="str">
        <f>IFERROR(__xludf.DUMMYFUNCTION("""COMPUTED_VALUE"""),"")</f>
        <v/>
      </c>
      <c r="G13902" s="18"/>
      <c r="H13902" s="16" t="s">
        <v>87</v>
      </c>
      <c r="I13902" s="16" t="s">
        <v>87</v>
      </c>
      <c r="J13902" s="19"/>
      <c r="L13902" s="16" t="str">
        <f>IFERROR(__xludf.DUMMYFUNCTION("""COMPUTED_VALUE"""),"")</f>
        <v/>
      </c>
      <c r="M13902" s="16" t="str">
        <f>IFERROR(__xludf.DUMMYFUNCTION("""COMPUTED_VALUE"""),"")</f>
        <v/>
      </c>
      <c r="U13902" s="16" t="s">
        <v>87</v>
      </c>
      <c r="V13902" s="16" t="str">
        <f>IFERROR(__xludf.DUMMYFUNCTION("""COMPUTED_VALUE"""),"")</f>
        <v/>
      </c>
      <c r="W13902" s="16" t="str">
        <f>IFERROR(__xludf.DUMMYFUNCTION("""COMPUTED_VALUE"""),"")</f>
        <v/>
      </c>
      <c r="X13902" s="16" t="str">
        <f>IFERROR(__xludf.DUMMYFUNCTION("""COMPUTED_VALUE"""),"")</f>
        <v/>
      </c>
      <c r="AC13902" s="16" t="str">
        <f>IFERROR(__xludf.DUMMYFUNCTION("""COMPUTED_VALUE"""),"")</f>
        <v/>
      </c>
    </row>
    <row r="13903">
      <c r="A13903" s="16" t="s">
        <v>87</v>
      </c>
      <c r="E13903" s="16" t="str">
        <f>IFERROR(__xludf.DUMMYFUNCTION("""COMPUTED_VALUE"""),"")</f>
        <v/>
      </c>
      <c r="G13903" s="18"/>
      <c r="H13903" s="16" t="s">
        <v>87</v>
      </c>
      <c r="I13903" s="16" t="s">
        <v>87</v>
      </c>
      <c r="J13903" s="19"/>
      <c r="L13903" s="16" t="str">
        <f>IFERROR(__xludf.DUMMYFUNCTION("""COMPUTED_VALUE"""),"")</f>
        <v/>
      </c>
      <c r="M13903" s="16" t="str">
        <f>IFERROR(__xludf.DUMMYFUNCTION("""COMPUTED_VALUE"""),"")</f>
        <v/>
      </c>
      <c r="U13903" s="16" t="s">
        <v>87</v>
      </c>
      <c r="V13903" s="16" t="str">
        <f>IFERROR(__xludf.DUMMYFUNCTION("""COMPUTED_VALUE"""),"")</f>
        <v/>
      </c>
      <c r="W13903" s="16" t="str">
        <f>IFERROR(__xludf.DUMMYFUNCTION("""COMPUTED_VALUE"""),"")</f>
        <v/>
      </c>
      <c r="X13903" s="16" t="str">
        <f>IFERROR(__xludf.DUMMYFUNCTION("""COMPUTED_VALUE"""),"")</f>
        <v/>
      </c>
      <c r="AC13903" s="16" t="str">
        <f>IFERROR(__xludf.DUMMYFUNCTION("""COMPUTED_VALUE"""),"")</f>
        <v/>
      </c>
    </row>
    <row r="13904">
      <c r="A13904" s="16" t="s">
        <v>87</v>
      </c>
      <c r="E13904" s="16" t="str">
        <f>IFERROR(__xludf.DUMMYFUNCTION("""COMPUTED_VALUE"""),"")</f>
        <v/>
      </c>
      <c r="G13904" s="18"/>
      <c r="H13904" s="16" t="s">
        <v>87</v>
      </c>
      <c r="I13904" s="16" t="s">
        <v>87</v>
      </c>
      <c r="J13904" s="19"/>
      <c r="L13904" s="16" t="str">
        <f>IFERROR(__xludf.DUMMYFUNCTION("""COMPUTED_VALUE"""),"")</f>
        <v/>
      </c>
      <c r="M13904" s="16" t="str">
        <f>IFERROR(__xludf.DUMMYFUNCTION("""COMPUTED_VALUE"""),"")</f>
        <v/>
      </c>
      <c r="U13904" s="16" t="s">
        <v>87</v>
      </c>
      <c r="V13904" s="16" t="str">
        <f>IFERROR(__xludf.DUMMYFUNCTION("""COMPUTED_VALUE"""),"")</f>
        <v/>
      </c>
      <c r="W13904" s="16" t="str">
        <f>IFERROR(__xludf.DUMMYFUNCTION("""COMPUTED_VALUE"""),"")</f>
        <v/>
      </c>
      <c r="X13904" s="16" t="str">
        <f>IFERROR(__xludf.DUMMYFUNCTION("""COMPUTED_VALUE"""),"")</f>
        <v/>
      </c>
      <c r="AC13904" s="16" t="str">
        <f>IFERROR(__xludf.DUMMYFUNCTION("""COMPUTED_VALUE"""),"")</f>
        <v/>
      </c>
    </row>
    <row r="13905">
      <c r="A13905" s="16" t="s">
        <v>87</v>
      </c>
      <c r="E13905" s="16" t="str">
        <f>IFERROR(__xludf.DUMMYFUNCTION("""COMPUTED_VALUE"""),"")</f>
        <v/>
      </c>
      <c r="G13905" s="18"/>
      <c r="H13905" s="16" t="s">
        <v>87</v>
      </c>
      <c r="I13905" s="16" t="s">
        <v>87</v>
      </c>
      <c r="J13905" s="19"/>
      <c r="L13905" s="16" t="str">
        <f>IFERROR(__xludf.DUMMYFUNCTION("""COMPUTED_VALUE"""),"")</f>
        <v/>
      </c>
      <c r="M13905" s="16" t="str">
        <f>IFERROR(__xludf.DUMMYFUNCTION("""COMPUTED_VALUE"""),"")</f>
        <v/>
      </c>
      <c r="U13905" s="16" t="s">
        <v>87</v>
      </c>
      <c r="V13905" s="16" t="str">
        <f>IFERROR(__xludf.DUMMYFUNCTION("""COMPUTED_VALUE"""),"")</f>
        <v/>
      </c>
      <c r="W13905" s="16" t="str">
        <f>IFERROR(__xludf.DUMMYFUNCTION("""COMPUTED_VALUE"""),"")</f>
        <v/>
      </c>
      <c r="X13905" s="16" t="str">
        <f>IFERROR(__xludf.DUMMYFUNCTION("""COMPUTED_VALUE"""),"")</f>
        <v/>
      </c>
      <c r="AC13905" s="16" t="str">
        <f>IFERROR(__xludf.DUMMYFUNCTION("""COMPUTED_VALUE"""),"")</f>
        <v/>
      </c>
    </row>
    <row r="13906">
      <c r="A13906" s="16" t="s">
        <v>87</v>
      </c>
      <c r="E13906" s="16" t="str">
        <f>IFERROR(__xludf.DUMMYFUNCTION("""COMPUTED_VALUE"""),"")</f>
        <v/>
      </c>
      <c r="G13906" s="18"/>
      <c r="H13906" s="16" t="s">
        <v>87</v>
      </c>
      <c r="I13906" s="16" t="s">
        <v>87</v>
      </c>
      <c r="J13906" s="19"/>
      <c r="L13906" s="16" t="str">
        <f>IFERROR(__xludf.DUMMYFUNCTION("""COMPUTED_VALUE"""),"")</f>
        <v/>
      </c>
      <c r="M13906" s="16" t="str">
        <f>IFERROR(__xludf.DUMMYFUNCTION("""COMPUTED_VALUE"""),"")</f>
        <v/>
      </c>
      <c r="U13906" s="16" t="s">
        <v>87</v>
      </c>
      <c r="V13906" s="16" t="str">
        <f>IFERROR(__xludf.DUMMYFUNCTION("""COMPUTED_VALUE"""),"")</f>
        <v/>
      </c>
      <c r="W13906" s="16" t="str">
        <f>IFERROR(__xludf.DUMMYFUNCTION("""COMPUTED_VALUE"""),"")</f>
        <v/>
      </c>
      <c r="X13906" s="16" t="str">
        <f>IFERROR(__xludf.DUMMYFUNCTION("""COMPUTED_VALUE"""),"")</f>
        <v/>
      </c>
      <c r="AC13906" s="16" t="str">
        <f>IFERROR(__xludf.DUMMYFUNCTION("""COMPUTED_VALUE"""),"")</f>
        <v/>
      </c>
    </row>
    <row r="13907">
      <c r="A13907" s="16" t="s">
        <v>87</v>
      </c>
      <c r="E13907" s="16" t="str">
        <f>IFERROR(__xludf.DUMMYFUNCTION("""COMPUTED_VALUE"""),"")</f>
        <v/>
      </c>
      <c r="G13907" s="18"/>
      <c r="H13907" s="16" t="s">
        <v>87</v>
      </c>
      <c r="I13907" s="16" t="s">
        <v>87</v>
      </c>
      <c r="J13907" s="19"/>
      <c r="L13907" s="16" t="str">
        <f>IFERROR(__xludf.DUMMYFUNCTION("""COMPUTED_VALUE"""),"")</f>
        <v/>
      </c>
      <c r="M13907" s="16" t="str">
        <f>IFERROR(__xludf.DUMMYFUNCTION("""COMPUTED_VALUE"""),"")</f>
        <v/>
      </c>
      <c r="U13907" s="16" t="s">
        <v>87</v>
      </c>
      <c r="V13907" s="16" t="str">
        <f>IFERROR(__xludf.DUMMYFUNCTION("""COMPUTED_VALUE"""),"")</f>
        <v/>
      </c>
      <c r="W13907" s="16" t="str">
        <f>IFERROR(__xludf.DUMMYFUNCTION("""COMPUTED_VALUE"""),"")</f>
        <v/>
      </c>
      <c r="X13907" s="16" t="str">
        <f>IFERROR(__xludf.DUMMYFUNCTION("""COMPUTED_VALUE"""),"")</f>
        <v/>
      </c>
      <c r="AC13907" s="16" t="str">
        <f>IFERROR(__xludf.DUMMYFUNCTION("""COMPUTED_VALUE"""),"")</f>
        <v/>
      </c>
    </row>
    <row r="13908">
      <c r="A13908" s="16" t="s">
        <v>87</v>
      </c>
      <c r="E13908" s="16" t="str">
        <f>IFERROR(__xludf.DUMMYFUNCTION("""COMPUTED_VALUE"""),"")</f>
        <v/>
      </c>
      <c r="G13908" s="18"/>
      <c r="H13908" s="16" t="s">
        <v>87</v>
      </c>
      <c r="I13908" s="16" t="s">
        <v>87</v>
      </c>
      <c r="J13908" s="19"/>
      <c r="L13908" s="16" t="str">
        <f>IFERROR(__xludf.DUMMYFUNCTION("""COMPUTED_VALUE"""),"")</f>
        <v/>
      </c>
      <c r="M13908" s="16" t="str">
        <f>IFERROR(__xludf.DUMMYFUNCTION("""COMPUTED_VALUE"""),"")</f>
        <v/>
      </c>
      <c r="U13908" s="16" t="s">
        <v>87</v>
      </c>
      <c r="V13908" s="16" t="str">
        <f>IFERROR(__xludf.DUMMYFUNCTION("""COMPUTED_VALUE"""),"")</f>
        <v/>
      </c>
      <c r="W13908" s="16" t="str">
        <f>IFERROR(__xludf.DUMMYFUNCTION("""COMPUTED_VALUE"""),"")</f>
        <v/>
      </c>
      <c r="X13908" s="16" t="str">
        <f>IFERROR(__xludf.DUMMYFUNCTION("""COMPUTED_VALUE"""),"")</f>
        <v/>
      </c>
      <c r="AC13908" s="16" t="str">
        <f>IFERROR(__xludf.DUMMYFUNCTION("""COMPUTED_VALUE"""),"")</f>
        <v/>
      </c>
    </row>
    <row r="13909">
      <c r="A13909" s="16" t="s">
        <v>87</v>
      </c>
      <c r="E13909" s="16" t="str">
        <f>IFERROR(__xludf.DUMMYFUNCTION("""COMPUTED_VALUE"""),"")</f>
        <v/>
      </c>
      <c r="G13909" s="18"/>
      <c r="H13909" s="16" t="s">
        <v>87</v>
      </c>
      <c r="I13909" s="16" t="s">
        <v>87</v>
      </c>
      <c r="J13909" s="19"/>
      <c r="L13909" s="16" t="str">
        <f>IFERROR(__xludf.DUMMYFUNCTION("""COMPUTED_VALUE"""),"")</f>
        <v/>
      </c>
      <c r="M13909" s="16" t="str">
        <f>IFERROR(__xludf.DUMMYFUNCTION("""COMPUTED_VALUE"""),"")</f>
        <v/>
      </c>
      <c r="U13909" s="16" t="s">
        <v>87</v>
      </c>
      <c r="V13909" s="16" t="str">
        <f>IFERROR(__xludf.DUMMYFUNCTION("""COMPUTED_VALUE"""),"")</f>
        <v/>
      </c>
      <c r="W13909" s="16" t="str">
        <f>IFERROR(__xludf.DUMMYFUNCTION("""COMPUTED_VALUE"""),"")</f>
        <v/>
      </c>
      <c r="X13909" s="16" t="str">
        <f>IFERROR(__xludf.DUMMYFUNCTION("""COMPUTED_VALUE"""),"")</f>
        <v/>
      </c>
      <c r="AC13909" s="16" t="str">
        <f>IFERROR(__xludf.DUMMYFUNCTION("""COMPUTED_VALUE"""),"")</f>
        <v/>
      </c>
    </row>
    <row r="13910">
      <c r="A13910" s="16" t="s">
        <v>87</v>
      </c>
      <c r="E13910" s="16" t="str">
        <f>IFERROR(__xludf.DUMMYFUNCTION("""COMPUTED_VALUE"""),"")</f>
        <v/>
      </c>
      <c r="G13910" s="18"/>
      <c r="H13910" s="16" t="s">
        <v>87</v>
      </c>
      <c r="I13910" s="16" t="s">
        <v>87</v>
      </c>
      <c r="J13910" s="19"/>
      <c r="L13910" s="16" t="str">
        <f>IFERROR(__xludf.DUMMYFUNCTION("""COMPUTED_VALUE"""),"")</f>
        <v/>
      </c>
      <c r="M13910" s="16" t="str">
        <f>IFERROR(__xludf.DUMMYFUNCTION("""COMPUTED_VALUE"""),"")</f>
        <v/>
      </c>
      <c r="U13910" s="16" t="s">
        <v>87</v>
      </c>
      <c r="V13910" s="16" t="str">
        <f>IFERROR(__xludf.DUMMYFUNCTION("""COMPUTED_VALUE"""),"")</f>
        <v/>
      </c>
      <c r="W13910" s="16" t="str">
        <f>IFERROR(__xludf.DUMMYFUNCTION("""COMPUTED_VALUE"""),"")</f>
        <v/>
      </c>
      <c r="X13910" s="16" t="str">
        <f>IFERROR(__xludf.DUMMYFUNCTION("""COMPUTED_VALUE"""),"")</f>
        <v/>
      </c>
      <c r="AC13910" s="16" t="str">
        <f>IFERROR(__xludf.DUMMYFUNCTION("""COMPUTED_VALUE"""),"")</f>
        <v/>
      </c>
    </row>
    <row r="13911">
      <c r="A13911" s="16" t="s">
        <v>87</v>
      </c>
      <c r="E13911" s="16" t="str">
        <f>IFERROR(__xludf.DUMMYFUNCTION("""COMPUTED_VALUE"""),"")</f>
        <v/>
      </c>
      <c r="G13911" s="18"/>
      <c r="H13911" s="16" t="s">
        <v>87</v>
      </c>
      <c r="I13911" s="16" t="s">
        <v>87</v>
      </c>
      <c r="J13911" s="19"/>
      <c r="L13911" s="16" t="str">
        <f>IFERROR(__xludf.DUMMYFUNCTION("""COMPUTED_VALUE"""),"")</f>
        <v/>
      </c>
      <c r="M13911" s="16" t="str">
        <f>IFERROR(__xludf.DUMMYFUNCTION("""COMPUTED_VALUE"""),"")</f>
        <v/>
      </c>
      <c r="U13911" s="16" t="s">
        <v>87</v>
      </c>
      <c r="V13911" s="16" t="str">
        <f>IFERROR(__xludf.DUMMYFUNCTION("""COMPUTED_VALUE"""),"")</f>
        <v/>
      </c>
      <c r="W13911" s="16" t="str">
        <f>IFERROR(__xludf.DUMMYFUNCTION("""COMPUTED_VALUE"""),"")</f>
        <v/>
      </c>
      <c r="X13911" s="16" t="str">
        <f>IFERROR(__xludf.DUMMYFUNCTION("""COMPUTED_VALUE"""),"")</f>
        <v/>
      </c>
      <c r="AC13911" s="16" t="str">
        <f>IFERROR(__xludf.DUMMYFUNCTION("""COMPUTED_VALUE"""),"")</f>
        <v/>
      </c>
    </row>
    <row r="13912">
      <c r="A13912" s="16" t="s">
        <v>87</v>
      </c>
      <c r="E13912" s="16" t="str">
        <f>IFERROR(__xludf.DUMMYFUNCTION("""COMPUTED_VALUE"""),"")</f>
        <v/>
      </c>
      <c r="G13912" s="18"/>
      <c r="H13912" s="16" t="s">
        <v>87</v>
      </c>
      <c r="I13912" s="16" t="s">
        <v>87</v>
      </c>
      <c r="J13912" s="19"/>
      <c r="L13912" s="16" t="str">
        <f>IFERROR(__xludf.DUMMYFUNCTION("""COMPUTED_VALUE"""),"")</f>
        <v/>
      </c>
      <c r="M13912" s="16" t="str">
        <f>IFERROR(__xludf.DUMMYFUNCTION("""COMPUTED_VALUE"""),"")</f>
        <v/>
      </c>
      <c r="U13912" s="16" t="s">
        <v>87</v>
      </c>
      <c r="V13912" s="16" t="str">
        <f>IFERROR(__xludf.DUMMYFUNCTION("""COMPUTED_VALUE"""),"")</f>
        <v/>
      </c>
      <c r="W13912" s="16" t="str">
        <f>IFERROR(__xludf.DUMMYFUNCTION("""COMPUTED_VALUE"""),"")</f>
        <v/>
      </c>
      <c r="X13912" s="16" t="str">
        <f>IFERROR(__xludf.DUMMYFUNCTION("""COMPUTED_VALUE"""),"")</f>
        <v/>
      </c>
      <c r="AC13912" s="16" t="str">
        <f>IFERROR(__xludf.DUMMYFUNCTION("""COMPUTED_VALUE"""),"")</f>
        <v/>
      </c>
    </row>
    <row r="13913">
      <c r="A13913" s="16" t="s">
        <v>87</v>
      </c>
      <c r="E13913" s="16" t="str">
        <f>IFERROR(__xludf.DUMMYFUNCTION("""COMPUTED_VALUE"""),"")</f>
        <v/>
      </c>
      <c r="G13913" s="18"/>
      <c r="H13913" s="16" t="s">
        <v>87</v>
      </c>
      <c r="I13913" s="16" t="s">
        <v>87</v>
      </c>
      <c r="J13913" s="19"/>
      <c r="L13913" s="16" t="str">
        <f>IFERROR(__xludf.DUMMYFUNCTION("""COMPUTED_VALUE"""),"")</f>
        <v/>
      </c>
      <c r="M13913" s="16" t="str">
        <f>IFERROR(__xludf.DUMMYFUNCTION("""COMPUTED_VALUE"""),"")</f>
        <v/>
      </c>
      <c r="U13913" s="16" t="s">
        <v>87</v>
      </c>
      <c r="V13913" s="16" t="str">
        <f>IFERROR(__xludf.DUMMYFUNCTION("""COMPUTED_VALUE"""),"")</f>
        <v/>
      </c>
      <c r="W13913" s="16" t="str">
        <f>IFERROR(__xludf.DUMMYFUNCTION("""COMPUTED_VALUE"""),"")</f>
        <v/>
      </c>
      <c r="X13913" s="16" t="str">
        <f>IFERROR(__xludf.DUMMYFUNCTION("""COMPUTED_VALUE"""),"")</f>
        <v/>
      </c>
      <c r="AC13913" s="16" t="str">
        <f>IFERROR(__xludf.DUMMYFUNCTION("""COMPUTED_VALUE"""),"")</f>
        <v/>
      </c>
    </row>
    <row r="13914">
      <c r="A13914" s="16" t="s">
        <v>87</v>
      </c>
      <c r="E13914" s="16" t="str">
        <f>IFERROR(__xludf.DUMMYFUNCTION("""COMPUTED_VALUE"""),"")</f>
        <v/>
      </c>
      <c r="G13914" s="18"/>
      <c r="H13914" s="16" t="s">
        <v>87</v>
      </c>
      <c r="I13914" s="16" t="s">
        <v>87</v>
      </c>
      <c r="J13914" s="19"/>
      <c r="L13914" s="16" t="str">
        <f>IFERROR(__xludf.DUMMYFUNCTION("""COMPUTED_VALUE"""),"")</f>
        <v/>
      </c>
      <c r="M13914" s="16" t="str">
        <f>IFERROR(__xludf.DUMMYFUNCTION("""COMPUTED_VALUE"""),"")</f>
        <v/>
      </c>
      <c r="U13914" s="16" t="s">
        <v>87</v>
      </c>
      <c r="V13914" s="16" t="str">
        <f>IFERROR(__xludf.DUMMYFUNCTION("""COMPUTED_VALUE"""),"")</f>
        <v/>
      </c>
      <c r="W13914" s="16" t="str">
        <f>IFERROR(__xludf.DUMMYFUNCTION("""COMPUTED_VALUE"""),"")</f>
        <v/>
      </c>
      <c r="X13914" s="16" t="str">
        <f>IFERROR(__xludf.DUMMYFUNCTION("""COMPUTED_VALUE"""),"")</f>
        <v/>
      </c>
      <c r="AC13914" s="16" t="str">
        <f>IFERROR(__xludf.DUMMYFUNCTION("""COMPUTED_VALUE"""),"")</f>
        <v/>
      </c>
    </row>
    <row r="13915">
      <c r="A13915" s="16" t="s">
        <v>87</v>
      </c>
      <c r="E13915" s="16" t="str">
        <f>IFERROR(__xludf.DUMMYFUNCTION("""COMPUTED_VALUE"""),"")</f>
        <v/>
      </c>
      <c r="G13915" s="18"/>
      <c r="H13915" s="16" t="s">
        <v>87</v>
      </c>
      <c r="I13915" s="16" t="s">
        <v>87</v>
      </c>
      <c r="J13915" s="19"/>
      <c r="L13915" s="16" t="str">
        <f>IFERROR(__xludf.DUMMYFUNCTION("""COMPUTED_VALUE"""),"")</f>
        <v/>
      </c>
      <c r="M13915" s="16" t="str">
        <f>IFERROR(__xludf.DUMMYFUNCTION("""COMPUTED_VALUE"""),"")</f>
        <v/>
      </c>
      <c r="U13915" s="16" t="s">
        <v>87</v>
      </c>
      <c r="V13915" s="16" t="str">
        <f>IFERROR(__xludf.DUMMYFUNCTION("""COMPUTED_VALUE"""),"")</f>
        <v/>
      </c>
      <c r="W13915" s="16" t="str">
        <f>IFERROR(__xludf.DUMMYFUNCTION("""COMPUTED_VALUE"""),"")</f>
        <v/>
      </c>
      <c r="X13915" s="16" t="str">
        <f>IFERROR(__xludf.DUMMYFUNCTION("""COMPUTED_VALUE"""),"")</f>
        <v/>
      </c>
      <c r="AC13915" s="16" t="str">
        <f>IFERROR(__xludf.DUMMYFUNCTION("""COMPUTED_VALUE"""),"")</f>
        <v/>
      </c>
    </row>
    <row r="13916">
      <c r="A13916" s="16" t="s">
        <v>87</v>
      </c>
      <c r="E13916" s="16" t="str">
        <f>IFERROR(__xludf.DUMMYFUNCTION("""COMPUTED_VALUE"""),"")</f>
        <v/>
      </c>
      <c r="G13916" s="18"/>
      <c r="H13916" s="16" t="s">
        <v>87</v>
      </c>
      <c r="I13916" s="16" t="s">
        <v>87</v>
      </c>
      <c r="J13916" s="19"/>
      <c r="L13916" s="16" t="str">
        <f>IFERROR(__xludf.DUMMYFUNCTION("""COMPUTED_VALUE"""),"")</f>
        <v/>
      </c>
      <c r="M13916" s="16" t="str">
        <f>IFERROR(__xludf.DUMMYFUNCTION("""COMPUTED_VALUE"""),"")</f>
        <v/>
      </c>
      <c r="U13916" s="16" t="s">
        <v>87</v>
      </c>
      <c r="V13916" s="16" t="str">
        <f>IFERROR(__xludf.DUMMYFUNCTION("""COMPUTED_VALUE"""),"")</f>
        <v/>
      </c>
      <c r="W13916" s="16" t="str">
        <f>IFERROR(__xludf.DUMMYFUNCTION("""COMPUTED_VALUE"""),"")</f>
        <v/>
      </c>
      <c r="X13916" s="16" t="str">
        <f>IFERROR(__xludf.DUMMYFUNCTION("""COMPUTED_VALUE"""),"")</f>
        <v/>
      </c>
      <c r="AC13916" s="16" t="str">
        <f>IFERROR(__xludf.DUMMYFUNCTION("""COMPUTED_VALUE"""),"")</f>
        <v/>
      </c>
    </row>
    <row r="13917">
      <c r="A13917" s="16" t="s">
        <v>87</v>
      </c>
      <c r="E13917" s="16" t="str">
        <f>IFERROR(__xludf.DUMMYFUNCTION("""COMPUTED_VALUE"""),"")</f>
        <v/>
      </c>
      <c r="G13917" s="18"/>
      <c r="H13917" s="16" t="s">
        <v>87</v>
      </c>
      <c r="I13917" s="16" t="s">
        <v>87</v>
      </c>
      <c r="J13917" s="19"/>
      <c r="L13917" s="16" t="str">
        <f>IFERROR(__xludf.DUMMYFUNCTION("""COMPUTED_VALUE"""),"")</f>
        <v/>
      </c>
      <c r="M13917" s="16" t="str">
        <f>IFERROR(__xludf.DUMMYFUNCTION("""COMPUTED_VALUE"""),"")</f>
        <v/>
      </c>
      <c r="U13917" s="16" t="s">
        <v>87</v>
      </c>
      <c r="V13917" s="16" t="str">
        <f>IFERROR(__xludf.DUMMYFUNCTION("""COMPUTED_VALUE"""),"")</f>
        <v/>
      </c>
      <c r="W13917" s="16" t="str">
        <f>IFERROR(__xludf.DUMMYFUNCTION("""COMPUTED_VALUE"""),"")</f>
        <v/>
      </c>
      <c r="X13917" s="16" t="str">
        <f>IFERROR(__xludf.DUMMYFUNCTION("""COMPUTED_VALUE"""),"")</f>
        <v/>
      </c>
      <c r="AC13917" s="16" t="str">
        <f>IFERROR(__xludf.DUMMYFUNCTION("""COMPUTED_VALUE"""),"")</f>
        <v/>
      </c>
    </row>
    <row r="13918">
      <c r="A13918" s="16" t="s">
        <v>87</v>
      </c>
      <c r="E13918" s="16" t="str">
        <f>IFERROR(__xludf.DUMMYFUNCTION("""COMPUTED_VALUE"""),"")</f>
        <v/>
      </c>
      <c r="G13918" s="18"/>
      <c r="H13918" s="16" t="s">
        <v>87</v>
      </c>
      <c r="I13918" s="16" t="s">
        <v>87</v>
      </c>
      <c r="J13918" s="19"/>
      <c r="L13918" s="16" t="str">
        <f>IFERROR(__xludf.DUMMYFUNCTION("""COMPUTED_VALUE"""),"")</f>
        <v/>
      </c>
      <c r="M13918" s="16" t="str">
        <f>IFERROR(__xludf.DUMMYFUNCTION("""COMPUTED_VALUE"""),"")</f>
        <v/>
      </c>
      <c r="U13918" s="16" t="s">
        <v>87</v>
      </c>
      <c r="V13918" s="16" t="str">
        <f>IFERROR(__xludf.DUMMYFUNCTION("""COMPUTED_VALUE"""),"")</f>
        <v/>
      </c>
      <c r="W13918" s="16" t="str">
        <f>IFERROR(__xludf.DUMMYFUNCTION("""COMPUTED_VALUE"""),"")</f>
        <v/>
      </c>
      <c r="X13918" s="16" t="str">
        <f>IFERROR(__xludf.DUMMYFUNCTION("""COMPUTED_VALUE"""),"")</f>
        <v/>
      </c>
      <c r="AC13918" s="16" t="str">
        <f>IFERROR(__xludf.DUMMYFUNCTION("""COMPUTED_VALUE"""),"")</f>
        <v/>
      </c>
    </row>
    <row r="13919">
      <c r="A13919" s="16" t="s">
        <v>87</v>
      </c>
      <c r="E13919" s="16" t="str">
        <f>IFERROR(__xludf.DUMMYFUNCTION("""COMPUTED_VALUE"""),"")</f>
        <v/>
      </c>
      <c r="G13919" s="18"/>
      <c r="H13919" s="16" t="s">
        <v>87</v>
      </c>
      <c r="I13919" s="16" t="s">
        <v>87</v>
      </c>
      <c r="J13919" s="19"/>
      <c r="L13919" s="16" t="str">
        <f>IFERROR(__xludf.DUMMYFUNCTION("""COMPUTED_VALUE"""),"")</f>
        <v/>
      </c>
      <c r="M13919" s="16" t="str">
        <f>IFERROR(__xludf.DUMMYFUNCTION("""COMPUTED_VALUE"""),"")</f>
        <v/>
      </c>
      <c r="U13919" s="16" t="s">
        <v>87</v>
      </c>
      <c r="V13919" s="16" t="str">
        <f>IFERROR(__xludf.DUMMYFUNCTION("""COMPUTED_VALUE"""),"")</f>
        <v/>
      </c>
      <c r="W13919" s="16" t="str">
        <f>IFERROR(__xludf.DUMMYFUNCTION("""COMPUTED_VALUE"""),"")</f>
        <v/>
      </c>
      <c r="X13919" s="16" t="str">
        <f>IFERROR(__xludf.DUMMYFUNCTION("""COMPUTED_VALUE"""),"")</f>
        <v/>
      </c>
      <c r="AC13919" s="16" t="str">
        <f>IFERROR(__xludf.DUMMYFUNCTION("""COMPUTED_VALUE"""),"")</f>
        <v/>
      </c>
    </row>
    <row r="13920">
      <c r="A13920" s="16" t="s">
        <v>87</v>
      </c>
      <c r="E13920" s="16" t="str">
        <f>IFERROR(__xludf.DUMMYFUNCTION("""COMPUTED_VALUE"""),"")</f>
        <v/>
      </c>
      <c r="G13920" s="18"/>
      <c r="H13920" s="16" t="s">
        <v>87</v>
      </c>
      <c r="I13920" s="16" t="s">
        <v>87</v>
      </c>
      <c r="J13920" s="19"/>
      <c r="L13920" s="16" t="str">
        <f>IFERROR(__xludf.DUMMYFUNCTION("""COMPUTED_VALUE"""),"")</f>
        <v/>
      </c>
      <c r="M13920" s="16" t="str">
        <f>IFERROR(__xludf.DUMMYFUNCTION("""COMPUTED_VALUE"""),"")</f>
        <v/>
      </c>
      <c r="U13920" s="16" t="s">
        <v>87</v>
      </c>
      <c r="V13920" s="16" t="str">
        <f>IFERROR(__xludf.DUMMYFUNCTION("""COMPUTED_VALUE"""),"")</f>
        <v/>
      </c>
      <c r="W13920" s="16" t="str">
        <f>IFERROR(__xludf.DUMMYFUNCTION("""COMPUTED_VALUE"""),"")</f>
        <v/>
      </c>
      <c r="X13920" s="16" t="str">
        <f>IFERROR(__xludf.DUMMYFUNCTION("""COMPUTED_VALUE"""),"")</f>
        <v/>
      </c>
      <c r="AC13920" s="16" t="str">
        <f>IFERROR(__xludf.DUMMYFUNCTION("""COMPUTED_VALUE"""),"")</f>
        <v/>
      </c>
    </row>
    <row r="13921">
      <c r="A13921" s="16" t="s">
        <v>87</v>
      </c>
      <c r="E13921" s="16" t="str">
        <f>IFERROR(__xludf.DUMMYFUNCTION("""COMPUTED_VALUE"""),"")</f>
        <v/>
      </c>
      <c r="G13921" s="18"/>
      <c r="H13921" s="16" t="s">
        <v>87</v>
      </c>
      <c r="I13921" s="16" t="s">
        <v>87</v>
      </c>
      <c r="J13921" s="19"/>
      <c r="L13921" s="16" t="str">
        <f>IFERROR(__xludf.DUMMYFUNCTION("""COMPUTED_VALUE"""),"")</f>
        <v/>
      </c>
      <c r="M13921" s="16" t="str">
        <f>IFERROR(__xludf.DUMMYFUNCTION("""COMPUTED_VALUE"""),"")</f>
        <v/>
      </c>
      <c r="U13921" s="16" t="s">
        <v>87</v>
      </c>
      <c r="V13921" s="16" t="str">
        <f>IFERROR(__xludf.DUMMYFUNCTION("""COMPUTED_VALUE"""),"")</f>
        <v/>
      </c>
      <c r="W13921" s="16" t="str">
        <f>IFERROR(__xludf.DUMMYFUNCTION("""COMPUTED_VALUE"""),"")</f>
        <v/>
      </c>
      <c r="X13921" s="16" t="str">
        <f>IFERROR(__xludf.DUMMYFUNCTION("""COMPUTED_VALUE"""),"")</f>
        <v/>
      </c>
      <c r="AC13921" s="16" t="str">
        <f>IFERROR(__xludf.DUMMYFUNCTION("""COMPUTED_VALUE"""),"")</f>
        <v/>
      </c>
    </row>
    <row r="13922">
      <c r="A13922" s="16" t="s">
        <v>87</v>
      </c>
      <c r="E13922" s="16" t="str">
        <f>IFERROR(__xludf.DUMMYFUNCTION("""COMPUTED_VALUE"""),"")</f>
        <v/>
      </c>
      <c r="G13922" s="18"/>
      <c r="H13922" s="16" t="s">
        <v>87</v>
      </c>
      <c r="I13922" s="16" t="s">
        <v>87</v>
      </c>
      <c r="J13922" s="19"/>
      <c r="L13922" s="16" t="str">
        <f>IFERROR(__xludf.DUMMYFUNCTION("""COMPUTED_VALUE"""),"")</f>
        <v/>
      </c>
      <c r="M13922" s="16" t="str">
        <f>IFERROR(__xludf.DUMMYFUNCTION("""COMPUTED_VALUE"""),"")</f>
        <v/>
      </c>
      <c r="U13922" s="16" t="s">
        <v>87</v>
      </c>
      <c r="V13922" s="16" t="str">
        <f>IFERROR(__xludf.DUMMYFUNCTION("""COMPUTED_VALUE"""),"")</f>
        <v/>
      </c>
      <c r="W13922" s="16" t="str">
        <f>IFERROR(__xludf.DUMMYFUNCTION("""COMPUTED_VALUE"""),"")</f>
        <v/>
      </c>
      <c r="X13922" s="16" t="str">
        <f>IFERROR(__xludf.DUMMYFUNCTION("""COMPUTED_VALUE"""),"")</f>
        <v/>
      </c>
      <c r="AC13922" s="16" t="str">
        <f>IFERROR(__xludf.DUMMYFUNCTION("""COMPUTED_VALUE"""),"")</f>
        <v/>
      </c>
    </row>
    <row r="13923">
      <c r="A13923" s="16" t="s">
        <v>87</v>
      </c>
      <c r="E13923" s="16" t="str">
        <f>IFERROR(__xludf.DUMMYFUNCTION("""COMPUTED_VALUE"""),"")</f>
        <v/>
      </c>
      <c r="G13923" s="18"/>
      <c r="H13923" s="16" t="s">
        <v>87</v>
      </c>
      <c r="I13923" s="16" t="s">
        <v>87</v>
      </c>
      <c r="J13923" s="19"/>
      <c r="L13923" s="16" t="str">
        <f>IFERROR(__xludf.DUMMYFUNCTION("""COMPUTED_VALUE"""),"")</f>
        <v/>
      </c>
      <c r="M13923" s="16" t="str">
        <f>IFERROR(__xludf.DUMMYFUNCTION("""COMPUTED_VALUE"""),"")</f>
        <v/>
      </c>
      <c r="U13923" s="16" t="s">
        <v>87</v>
      </c>
      <c r="V13923" s="16" t="str">
        <f>IFERROR(__xludf.DUMMYFUNCTION("""COMPUTED_VALUE"""),"")</f>
        <v/>
      </c>
      <c r="W13923" s="16" t="str">
        <f>IFERROR(__xludf.DUMMYFUNCTION("""COMPUTED_VALUE"""),"")</f>
        <v/>
      </c>
      <c r="X13923" s="16" t="str">
        <f>IFERROR(__xludf.DUMMYFUNCTION("""COMPUTED_VALUE"""),"")</f>
        <v/>
      </c>
      <c r="AC13923" s="16" t="str">
        <f>IFERROR(__xludf.DUMMYFUNCTION("""COMPUTED_VALUE"""),"")</f>
        <v/>
      </c>
    </row>
    <row r="13924">
      <c r="A13924" s="16" t="s">
        <v>87</v>
      </c>
      <c r="E13924" s="16" t="str">
        <f>IFERROR(__xludf.DUMMYFUNCTION("""COMPUTED_VALUE"""),"")</f>
        <v/>
      </c>
      <c r="G13924" s="18"/>
      <c r="H13924" s="16" t="s">
        <v>87</v>
      </c>
      <c r="I13924" s="16" t="s">
        <v>87</v>
      </c>
      <c r="J13924" s="19"/>
      <c r="L13924" s="16" t="str">
        <f>IFERROR(__xludf.DUMMYFUNCTION("""COMPUTED_VALUE"""),"")</f>
        <v/>
      </c>
      <c r="M13924" s="16" t="str">
        <f>IFERROR(__xludf.DUMMYFUNCTION("""COMPUTED_VALUE"""),"")</f>
        <v/>
      </c>
      <c r="U13924" s="16" t="s">
        <v>87</v>
      </c>
      <c r="V13924" s="16" t="str">
        <f>IFERROR(__xludf.DUMMYFUNCTION("""COMPUTED_VALUE"""),"")</f>
        <v/>
      </c>
      <c r="W13924" s="16" t="str">
        <f>IFERROR(__xludf.DUMMYFUNCTION("""COMPUTED_VALUE"""),"")</f>
        <v/>
      </c>
      <c r="X13924" s="16" t="str">
        <f>IFERROR(__xludf.DUMMYFUNCTION("""COMPUTED_VALUE"""),"")</f>
        <v/>
      </c>
      <c r="AC13924" s="16" t="str">
        <f>IFERROR(__xludf.DUMMYFUNCTION("""COMPUTED_VALUE"""),"")</f>
        <v/>
      </c>
    </row>
    <row r="13925">
      <c r="A13925" s="16" t="s">
        <v>87</v>
      </c>
      <c r="E13925" s="16" t="str">
        <f>IFERROR(__xludf.DUMMYFUNCTION("""COMPUTED_VALUE"""),"")</f>
        <v/>
      </c>
      <c r="G13925" s="18"/>
      <c r="H13925" s="16" t="s">
        <v>87</v>
      </c>
      <c r="I13925" s="16" t="s">
        <v>87</v>
      </c>
      <c r="J13925" s="19"/>
      <c r="L13925" s="16" t="str">
        <f>IFERROR(__xludf.DUMMYFUNCTION("""COMPUTED_VALUE"""),"")</f>
        <v/>
      </c>
      <c r="M13925" s="16" t="str">
        <f>IFERROR(__xludf.DUMMYFUNCTION("""COMPUTED_VALUE"""),"")</f>
        <v/>
      </c>
      <c r="U13925" s="16" t="s">
        <v>87</v>
      </c>
      <c r="V13925" s="16" t="str">
        <f>IFERROR(__xludf.DUMMYFUNCTION("""COMPUTED_VALUE"""),"")</f>
        <v/>
      </c>
      <c r="W13925" s="16" t="str">
        <f>IFERROR(__xludf.DUMMYFUNCTION("""COMPUTED_VALUE"""),"")</f>
        <v/>
      </c>
      <c r="X13925" s="16" t="str">
        <f>IFERROR(__xludf.DUMMYFUNCTION("""COMPUTED_VALUE"""),"")</f>
        <v/>
      </c>
      <c r="AC13925" s="16" t="str">
        <f>IFERROR(__xludf.DUMMYFUNCTION("""COMPUTED_VALUE"""),"")</f>
        <v/>
      </c>
    </row>
    <row r="13926">
      <c r="A13926" s="16" t="s">
        <v>87</v>
      </c>
      <c r="E13926" s="16" t="str">
        <f>IFERROR(__xludf.DUMMYFUNCTION("""COMPUTED_VALUE"""),"")</f>
        <v/>
      </c>
      <c r="G13926" s="18"/>
      <c r="H13926" s="16" t="s">
        <v>87</v>
      </c>
      <c r="I13926" s="16" t="s">
        <v>87</v>
      </c>
      <c r="J13926" s="19"/>
      <c r="L13926" s="16" t="str">
        <f>IFERROR(__xludf.DUMMYFUNCTION("""COMPUTED_VALUE"""),"")</f>
        <v/>
      </c>
      <c r="M13926" s="16" t="str">
        <f>IFERROR(__xludf.DUMMYFUNCTION("""COMPUTED_VALUE"""),"")</f>
        <v/>
      </c>
      <c r="U13926" s="16" t="s">
        <v>87</v>
      </c>
      <c r="V13926" s="16" t="str">
        <f>IFERROR(__xludf.DUMMYFUNCTION("""COMPUTED_VALUE"""),"")</f>
        <v/>
      </c>
      <c r="W13926" s="16" t="str">
        <f>IFERROR(__xludf.DUMMYFUNCTION("""COMPUTED_VALUE"""),"")</f>
        <v/>
      </c>
      <c r="X13926" s="16" t="str">
        <f>IFERROR(__xludf.DUMMYFUNCTION("""COMPUTED_VALUE"""),"")</f>
        <v/>
      </c>
      <c r="AC13926" s="16" t="str">
        <f>IFERROR(__xludf.DUMMYFUNCTION("""COMPUTED_VALUE"""),"")</f>
        <v/>
      </c>
    </row>
    <row r="13927">
      <c r="A13927" s="16" t="s">
        <v>87</v>
      </c>
      <c r="E13927" s="16" t="str">
        <f>IFERROR(__xludf.DUMMYFUNCTION("""COMPUTED_VALUE"""),"")</f>
        <v/>
      </c>
      <c r="G13927" s="18"/>
      <c r="H13927" s="16" t="s">
        <v>87</v>
      </c>
      <c r="I13927" s="16" t="s">
        <v>87</v>
      </c>
      <c r="J13927" s="19"/>
      <c r="L13927" s="16" t="str">
        <f>IFERROR(__xludf.DUMMYFUNCTION("""COMPUTED_VALUE"""),"")</f>
        <v/>
      </c>
      <c r="M13927" s="16" t="str">
        <f>IFERROR(__xludf.DUMMYFUNCTION("""COMPUTED_VALUE"""),"")</f>
        <v/>
      </c>
      <c r="U13927" s="16" t="s">
        <v>87</v>
      </c>
      <c r="V13927" s="16" t="str">
        <f>IFERROR(__xludf.DUMMYFUNCTION("""COMPUTED_VALUE"""),"")</f>
        <v/>
      </c>
      <c r="W13927" s="16" t="str">
        <f>IFERROR(__xludf.DUMMYFUNCTION("""COMPUTED_VALUE"""),"")</f>
        <v/>
      </c>
      <c r="X13927" s="16" t="str">
        <f>IFERROR(__xludf.DUMMYFUNCTION("""COMPUTED_VALUE"""),"")</f>
        <v/>
      </c>
      <c r="AC13927" s="16" t="str">
        <f>IFERROR(__xludf.DUMMYFUNCTION("""COMPUTED_VALUE"""),"")</f>
        <v/>
      </c>
    </row>
    <row r="13928">
      <c r="A13928" s="16" t="s">
        <v>87</v>
      </c>
      <c r="E13928" s="16" t="str">
        <f>IFERROR(__xludf.DUMMYFUNCTION("""COMPUTED_VALUE"""),"")</f>
        <v/>
      </c>
      <c r="G13928" s="18"/>
      <c r="H13928" s="16" t="s">
        <v>87</v>
      </c>
      <c r="I13928" s="16" t="s">
        <v>87</v>
      </c>
      <c r="J13928" s="19"/>
      <c r="L13928" s="16" t="str">
        <f>IFERROR(__xludf.DUMMYFUNCTION("""COMPUTED_VALUE"""),"")</f>
        <v/>
      </c>
      <c r="M13928" s="16" t="str">
        <f>IFERROR(__xludf.DUMMYFUNCTION("""COMPUTED_VALUE"""),"")</f>
        <v/>
      </c>
      <c r="U13928" s="16" t="s">
        <v>87</v>
      </c>
      <c r="V13928" s="16" t="str">
        <f>IFERROR(__xludf.DUMMYFUNCTION("""COMPUTED_VALUE"""),"")</f>
        <v/>
      </c>
      <c r="W13928" s="16" t="str">
        <f>IFERROR(__xludf.DUMMYFUNCTION("""COMPUTED_VALUE"""),"")</f>
        <v/>
      </c>
      <c r="X13928" s="16" t="str">
        <f>IFERROR(__xludf.DUMMYFUNCTION("""COMPUTED_VALUE"""),"")</f>
        <v/>
      </c>
      <c r="AC13928" s="16" t="str">
        <f>IFERROR(__xludf.DUMMYFUNCTION("""COMPUTED_VALUE"""),"")</f>
        <v/>
      </c>
    </row>
    <row r="13929">
      <c r="A13929" s="16" t="s">
        <v>87</v>
      </c>
      <c r="E13929" s="16" t="str">
        <f>IFERROR(__xludf.DUMMYFUNCTION("""COMPUTED_VALUE"""),"")</f>
        <v/>
      </c>
      <c r="G13929" s="18"/>
      <c r="H13929" s="16" t="s">
        <v>87</v>
      </c>
      <c r="I13929" s="16" t="s">
        <v>87</v>
      </c>
      <c r="J13929" s="19"/>
      <c r="L13929" s="16" t="str">
        <f>IFERROR(__xludf.DUMMYFUNCTION("""COMPUTED_VALUE"""),"")</f>
        <v/>
      </c>
      <c r="M13929" s="16" t="str">
        <f>IFERROR(__xludf.DUMMYFUNCTION("""COMPUTED_VALUE"""),"")</f>
        <v/>
      </c>
      <c r="U13929" s="16" t="s">
        <v>87</v>
      </c>
      <c r="V13929" s="16" t="str">
        <f>IFERROR(__xludf.DUMMYFUNCTION("""COMPUTED_VALUE"""),"")</f>
        <v/>
      </c>
      <c r="W13929" s="16" t="str">
        <f>IFERROR(__xludf.DUMMYFUNCTION("""COMPUTED_VALUE"""),"")</f>
        <v/>
      </c>
      <c r="X13929" s="16" t="str">
        <f>IFERROR(__xludf.DUMMYFUNCTION("""COMPUTED_VALUE"""),"")</f>
        <v/>
      </c>
      <c r="AC13929" s="16" t="str">
        <f>IFERROR(__xludf.DUMMYFUNCTION("""COMPUTED_VALUE"""),"")</f>
        <v/>
      </c>
    </row>
    <row r="13930">
      <c r="A13930" s="16" t="s">
        <v>87</v>
      </c>
      <c r="E13930" s="16" t="str">
        <f>IFERROR(__xludf.DUMMYFUNCTION("""COMPUTED_VALUE"""),"")</f>
        <v/>
      </c>
      <c r="G13930" s="18"/>
      <c r="H13930" s="16" t="s">
        <v>87</v>
      </c>
      <c r="I13930" s="16" t="s">
        <v>87</v>
      </c>
      <c r="J13930" s="19"/>
      <c r="L13930" s="16" t="str">
        <f>IFERROR(__xludf.DUMMYFUNCTION("""COMPUTED_VALUE"""),"")</f>
        <v/>
      </c>
      <c r="M13930" s="16" t="str">
        <f>IFERROR(__xludf.DUMMYFUNCTION("""COMPUTED_VALUE"""),"")</f>
        <v/>
      </c>
      <c r="U13930" s="16" t="s">
        <v>87</v>
      </c>
      <c r="V13930" s="16" t="str">
        <f>IFERROR(__xludf.DUMMYFUNCTION("""COMPUTED_VALUE"""),"")</f>
        <v/>
      </c>
      <c r="W13930" s="16" t="str">
        <f>IFERROR(__xludf.DUMMYFUNCTION("""COMPUTED_VALUE"""),"")</f>
        <v/>
      </c>
      <c r="X13930" s="16" t="str">
        <f>IFERROR(__xludf.DUMMYFUNCTION("""COMPUTED_VALUE"""),"")</f>
        <v/>
      </c>
      <c r="AC13930" s="16" t="str">
        <f>IFERROR(__xludf.DUMMYFUNCTION("""COMPUTED_VALUE"""),"")</f>
        <v/>
      </c>
    </row>
    <row r="13931">
      <c r="A13931" s="16" t="s">
        <v>87</v>
      </c>
      <c r="E13931" s="16" t="str">
        <f>IFERROR(__xludf.DUMMYFUNCTION("""COMPUTED_VALUE"""),"")</f>
        <v/>
      </c>
      <c r="G13931" s="18"/>
      <c r="H13931" s="16" t="s">
        <v>87</v>
      </c>
      <c r="I13931" s="16" t="s">
        <v>87</v>
      </c>
      <c r="J13931" s="19"/>
      <c r="L13931" s="16" t="str">
        <f>IFERROR(__xludf.DUMMYFUNCTION("""COMPUTED_VALUE"""),"")</f>
        <v/>
      </c>
      <c r="M13931" s="16" t="str">
        <f>IFERROR(__xludf.DUMMYFUNCTION("""COMPUTED_VALUE"""),"")</f>
        <v/>
      </c>
      <c r="U13931" s="16" t="s">
        <v>87</v>
      </c>
      <c r="V13931" s="16" t="str">
        <f>IFERROR(__xludf.DUMMYFUNCTION("""COMPUTED_VALUE"""),"")</f>
        <v/>
      </c>
      <c r="W13931" s="16" t="str">
        <f>IFERROR(__xludf.DUMMYFUNCTION("""COMPUTED_VALUE"""),"")</f>
        <v/>
      </c>
      <c r="X13931" s="16" t="str">
        <f>IFERROR(__xludf.DUMMYFUNCTION("""COMPUTED_VALUE"""),"")</f>
        <v/>
      </c>
      <c r="AC13931" s="16" t="str">
        <f>IFERROR(__xludf.DUMMYFUNCTION("""COMPUTED_VALUE"""),"")</f>
        <v/>
      </c>
    </row>
    <row r="13932">
      <c r="A13932" s="16" t="s">
        <v>87</v>
      </c>
      <c r="E13932" s="16" t="str">
        <f>IFERROR(__xludf.DUMMYFUNCTION("""COMPUTED_VALUE"""),"")</f>
        <v/>
      </c>
      <c r="G13932" s="18"/>
      <c r="H13932" s="16" t="s">
        <v>87</v>
      </c>
      <c r="I13932" s="16" t="s">
        <v>87</v>
      </c>
      <c r="J13932" s="19"/>
      <c r="L13932" s="16" t="str">
        <f>IFERROR(__xludf.DUMMYFUNCTION("""COMPUTED_VALUE"""),"")</f>
        <v/>
      </c>
      <c r="M13932" s="16" t="str">
        <f>IFERROR(__xludf.DUMMYFUNCTION("""COMPUTED_VALUE"""),"")</f>
        <v/>
      </c>
      <c r="U13932" s="16" t="s">
        <v>87</v>
      </c>
      <c r="V13932" s="16" t="str">
        <f>IFERROR(__xludf.DUMMYFUNCTION("""COMPUTED_VALUE"""),"")</f>
        <v/>
      </c>
      <c r="W13932" s="16" t="str">
        <f>IFERROR(__xludf.DUMMYFUNCTION("""COMPUTED_VALUE"""),"")</f>
        <v/>
      </c>
      <c r="X13932" s="16" t="str">
        <f>IFERROR(__xludf.DUMMYFUNCTION("""COMPUTED_VALUE"""),"")</f>
        <v/>
      </c>
      <c r="AC13932" s="16" t="str">
        <f>IFERROR(__xludf.DUMMYFUNCTION("""COMPUTED_VALUE"""),"")</f>
        <v/>
      </c>
    </row>
    <row r="13933">
      <c r="A13933" s="16" t="s">
        <v>87</v>
      </c>
      <c r="E13933" s="16" t="str">
        <f>IFERROR(__xludf.DUMMYFUNCTION("""COMPUTED_VALUE"""),"")</f>
        <v/>
      </c>
      <c r="G13933" s="18"/>
      <c r="H13933" s="16" t="s">
        <v>87</v>
      </c>
      <c r="I13933" s="16" t="s">
        <v>87</v>
      </c>
      <c r="J13933" s="19"/>
      <c r="L13933" s="16" t="str">
        <f>IFERROR(__xludf.DUMMYFUNCTION("""COMPUTED_VALUE"""),"")</f>
        <v/>
      </c>
      <c r="M13933" s="16" t="str">
        <f>IFERROR(__xludf.DUMMYFUNCTION("""COMPUTED_VALUE"""),"")</f>
        <v/>
      </c>
      <c r="U13933" s="16" t="s">
        <v>87</v>
      </c>
      <c r="V13933" s="16" t="str">
        <f>IFERROR(__xludf.DUMMYFUNCTION("""COMPUTED_VALUE"""),"")</f>
        <v/>
      </c>
      <c r="W13933" s="16" t="str">
        <f>IFERROR(__xludf.DUMMYFUNCTION("""COMPUTED_VALUE"""),"")</f>
        <v/>
      </c>
      <c r="X13933" s="16" t="str">
        <f>IFERROR(__xludf.DUMMYFUNCTION("""COMPUTED_VALUE"""),"")</f>
        <v/>
      </c>
      <c r="AC13933" s="16" t="str">
        <f>IFERROR(__xludf.DUMMYFUNCTION("""COMPUTED_VALUE"""),"")</f>
        <v/>
      </c>
    </row>
    <row r="13934">
      <c r="A13934" s="16" t="s">
        <v>87</v>
      </c>
      <c r="E13934" s="16" t="str">
        <f>IFERROR(__xludf.DUMMYFUNCTION("""COMPUTED_VALUE"""),"")</f>
        <v/>
      </c>
      <c r="G13934" s="18"/>
      <c r="H13934" s="16" t="s">
        <v>87</v>
      </c>
      <c r="I13934" s="16" t="s">
        <v>87</v>
      </c>
      <c r="J13934" s="19"/>
      <c r="L13934" s="16" t="str">
        <f>IFERROR(__xludf.DUMMYFUNCTION("""COMPUTED_VALUE"""),"")</f>
        <v/>
      </c>
      <c r="M13934" s="16" t="str">
        <f>IFERROR(__xludf.DUMMYFUNCTION("""COMPUTED_VALUE"""),"")</f>
        <v/>
      </c>
      <c r="U13934" s="16" t="s">
        <v>87</v>
      </c>
      <c r="V13934" s="16" t="str">
        <f>IFERROR(__xludf.DUMMYFUNCTION("""COMPUTED_VALUE"""),"")</f>
        <v/>
      </c>
      <c r="W13934" s="16" t="str">
        <f>IFERROR(__xludf.DUMMYFUNCTION("""COMPUTED_VALUE"""),"")</f>
        <v/>
      </c>
      <c r="X13934" s="16" t="str">
        <f>IFERROR(__xludf.DUMMYFUNCTION("""COMPUTED_VALUE"""),"")</f>
        <v/>
      </c>
      <c r="AC13934" s="16" t="str">
        <f>IFERROR(__xludf.DUMMYFUNCTION("""COMPUTED_VALUE"""),"")</f>
        <v/>
      </c>
    </row>
    <row r="13935">
      <c r="A13935" s="16" t="s">
        <v>87</v>
      </c>
      <c r="E13935" s="16" t="str">
        <f>IFERROR(__xludf.DUMMYFUNCTION("""COMPUTED_VALUE"""),"")</f>
        <v/>
      </c>
      <c r="G13935" s="18"/>
      <c r="H13935" s="16" t="s">
        <v>87</v>
      </c>
      <c r="I13935" s="16" t="s">
        <v>87</v>
      </c>
      <c r="J13935" s="19"/>
      <c r="L13935" s="16" t="str">
        <f>IFERROR(__xludf.DUMMYFUNCTION("""COMPUTED_VALUE"""),"")</f>
        <v/>
      </c>
      <c r="M13935" s="16" t="str">
        <f>IFERROR(__xludf.DUMMYFUNCTION("""COMPUTED_VALUE"""),"")</f>
        <v/>
      </c>
      <c r="U13935" s="16" t="s">
        <v>87</v>
      </c>
      <c r="V13935" s="16" t="str">
        <f>IFERROR(__xludf.DUMMYFUNCTION("""COMPUTED_VALUE"""),"")</f>
        <v/>
      </c>
      <c r="W13935" s="16" t="str">
        <f>IFERROR(__xludf.DUMMYFUNCTION("""COMPUTED_VALUE"""),"")</f>
        <v/>
      </c>
      <c r="X13935" s="16" t="str">
        <f>IFERROR(__xludf.DUMMYFUNCTION("""COMPUTED_VALUE"""),"")</f>
        <v/>
      </c>
      <c r="AC13935" s="16" t="str">
        <f>IFERROR(__xludf.DUMMYFUNCTION("""COMPUTED_VALUE"""),"")</f>
        <v/>
      </c>
    </row>
    <row r="13936">
      <c r="A13936" s="16" t="s">
        <v>87</v>
      </c>
      <c r="E13936" s="16" t="str">
        <f>IFERROR(__xludf.DUMMYFUNCTION("""COMPUTED_VALUE"""),"")</f>
        <v/>
      </c>
      <c r="G13936" s="18"/>
      <c r="H13936" s="16" t="s">
        <v>87</v>
      </c>
      <c r="I13936" s="16" t="s">
        <v>87</v>
      </c>
      <c r="J13936" s="19"/>
      <c r="L13936" s="16" t="str">
        <f>IFERROR(__xludf.DUMMYFUNCTION("""COMPUTED_VALUE"""),"")</f>
        <v/>
      </c>
      <c r="M13936" s="16" t="str">
        <f>IFERROR(__xludf.DUMMYFUNCTION("""COMPUTED_VALUE"""),"")</f>
        <v/>
      </c>
      <c r="U13936" s="16" t="s">
        <v>87</v>
      </c>
      <c r="V13936" s="16" t="str">
        <f>IFERROR(__xludf.DUMMYFUNCTION("""COMPUTED_VALUE"""),"")</f>
        <v/>
      </c>
      <c r="W13936" s="16" t="str">
        <f>IFERROR(__xludf.DUMMYFUNCTION("""COMPUTED_VALUE"""),"")</f>
        <v/>
      </c>
      <c r="X13936" s="16" t="str">
        <f>IFERROR(__xludf.DUMMYFUNCTION("""COMPUTED_VALUE"""),"")</f>
        <v/>
      </c>
      <c r="AC13936" s="16" t="str">
        <f>IFERROR(__xludf.DUMMYFUNCTION("""COMPUTED_VALUE"""),"")</f>
        <v/>
      </c>
    </row>
    <row r="13937">
      <c r="A13937" s="16" t="s">
        <v>87</v>
      </c>
      <c r="E13937" s="16" t="str">
        <f>IFERROR(__xludf.DUMMYFUNCTION("""COMPUTED_VALUE"""),"")</f>
        <v/>
      </c>
      <c r="G13937" s="18"/>
      <c r="H13937" s="16" t="s">
        <v>87</v>
      </c>
      <c r="I13937" s="16" t="s">
        <v>87</v>
      </c>
      <c r="J13937" s="19"/>
      <c r="L13937" s="16" t="str">
        <f>IFERROR(__xludf.DUMMYFUNCTION("""COMPUTED_VALUE"""),"")</f>
        <v/>
      </c>
      <c r="M13937" s="16" t="str">
        <f>IFERROR(__xludf.DUMMYFUNCTION("""COMPUTED_VALUE"""),"")</f>
        <v/>
      </c>
      <c r="U13937" s="16" t="s">
        <v>87</v>
      </c>
      <c r="V13937" s="16" t="str">
        <f>IFERROR(__xludf.DUMMYFUNCTION("""COMPUTED_VALUE"""),"")</f>
        <v/>
      </c>
      <c r="W13937" s="16" t="str">
        <f>IFERROR(__xludf.DUMMYFUNCTION("""COMPUTED_VALUE"""),"")</f>
        <v/>
      </c>
      <c r="X13937" s="16" t="str">
        <f>IFERROR(__xludf.DUMMYFUNCTION("""COMPUTED_VALUE"""),"")</f>
        <v/>
      </c>
      <c r="AC13937" s="16" t="str">
        <f>IFERROR(__xludf.DUMMYFUNCTION("""COMPUTED_VALUE"""),"")</f>
        <v/>
      </c>
    </row>
    <row r="13938">
      <c r="A13938" s="16" t="s">
        <v>87</v>
      </c>
      <c r="E13938" s="16" t="str">
        <f>IFERROR(__xludf.DUMMYFUNCTION("""COMPUTED_VALUE"""),"")</f>
        <v/>
      </c>
      <c r="G13938" s="18"/>
      <c r="H13938" s="16" t="s">
        <v>87</v>
      </c>
      <c r="I13938" s="16" t="s">
        <v>87</v>
      </c>
      <c r="J13938" s="19"/>
      <c r="L13938" s="16" t="str">
        <f>IFERROR(__xludf.DUMMYFUNCTION("""COMPUTED_VALUE"""),"")</f>
        <v/>
      </c>
      <c r="M13938" s="16" t="str">
        <f>IFERROR(__xludf.DUMMYFUNCTION("""COMPUTED_VALUE"""),"")</f>
        <v/>
      </c>
      <c r="U13938" s="16" t="s">
        <v>87</v>
      </c>
      <c r="V13938" s="16" t="str">
        <f>IFERROR(__xludf.DUMMYFUNCTION("""COMPUTED_VALUE"""),"")</f>
        <v/>
      </c>
      <c r="W13938" s="16" t="str">
        <f>IFERROR(__xludf.DUMMYFUNCTION("""COMPUTED_VALUE"""),"")</f>
        <v/>
      </c>
      <c r="X13938" s="16" t="str">
        <f>IFERROR(__xludf.DUMMYFUNCTION("""COMPUTED_VALUE"""),"")</f>
        <v/>
      </c>
      <c r="AC13938" s="16" t="str">
        <f>IFERROR(__xludf.DUMMYFUNCTION("""COMPUTED_VALUE"""),"")</f>
        <v/>
      </c>
    </row>
    <row r="13939">
      <c r="A13939" s="16" t="s">
        <v>87</v>
      </c>
      <c r="E13939" s="16" t="str">
        <f>IFERROR(__xludf.DUMMYFUNCTION("""COMPUTED_VALUE"""),"")</f>
        <v/>
      </c>
      <c r="G13939" s="18"/>
      <c r="H13939" s="16" t="s">
        <v>87</v>
      </c>
      <c r="I13939" s="16" t="s">
        <v>87</v>
      </c>
      <c r="J13939" s="19"/>
      <c r="L13939" s="16" t="str">
        <f>IFERROR(__xludf.DUMMYFUNCTION("""COMPUTED_VALUE"""),"")</f>
        <v/>
      </c>
      <c r="M13939" s="16" t="str">
        <f>IFERROR(__xludf.DUMMYFUNCTION("""COMPUTED_VALUE"""),"")</f>
        <v/>
      </c>
      <c r="U13939" s="16" t="s">
        <v>87</v>
      </c>
      <c r="V13939" s="16" t="str">
        <f>IFERROR(__xludf.DUMMYFUNCTION("""COMPUTED_VALUE"""),"")</f>
        <v/>
      </c>
      <c r="W13939" s="16" t="str">
        <f>IFERROR(__xludf.DUMMYFUNCTION("""COMPUTED_VALUE"""),"")</f>
        <v/>
      </c>
      <c r="X13939" s="16" t="str">
        <f>IFERROR(__xludf.DUMMYFUNCTION("""COMPUTED_VALUE"""),"")</f>
        <v/>
      </c>
      <c r="AC13939" s="16" t="str">
        <f>IFERROR(__xludf.DUMMYFUNCTION("""COMPUTED_VALUE"""),"")</f>
        <v/>
      </c>
    </row>
    <row r="13940">
      <c r="A13940" s="16" t="s">
        <v>87</v>
      </c>
      <c r="E13940" s="16" t="str">
        <f>IFERROR(__xludf.DUMMYFUNCTION("""COMPUTED_VALUE"""),"")</f>
        <v/>
      </c>
      <c r="G13940" s="18"/>
      <c r="H13940" s="16" t="s">
        <v>87</v>
      </c>
      <c r="I13940" s="16" t="s">
        <v>87</v>
      </c>
      <c r="J13940" s="19"/>
      <c r="L13940" s="16" t="str">
        <f>IFERROR(__xludf.DUMMYFUNCTION("""COMPUTED_VALUE"""),"")</f>
        <v/>
      </c>
      <c r="M13940" s="16" t="str">
        <f>IFERROR(__xludf.DUMMYFUNCTION("""COMPUTED_VALUE"""),"")</f>
        <v/>
      </c>
      <c r="U13940" s="16" t="s">
        <v>87</v>
      </c>
      <c r="V13940" s="16" t="str">
        <f>IFERROR(__xludf.DUMMYFUNCTION("""COMPUTED_VALUE"""),"")</f>
        <v/>
      </c>
      <c r="W13940" s="16" t="str">
        <f>IFERROR(__xludf.DUMMYFUNCTION("""COMPUTED_VALUE"""),"")</f>
        <v/>
      </c>
      <c r="X13940" s="16" t="str">
        <f>IFERROR(__xludf.DUMMYFUNCTION("""COMPUTED_VALUE"""),"")</f>
        <v/>
      </c>
      <c r="AC13940" s="16" t="str">
        <f>IFERROR(__xludf.DUMMYFUNCTION("""COMPUTED_VALUE"""),"")</f>
        <v/>
      </c>
    </row>
    <row r="13941">
      <c r="A13941" s="16" t="s">
        <v>87</v>
      </c>
      <c r="E13941" s="16" t="str">
        <f>IFERROR(__xludf.DUMMYFUNCTION("""COMPUTED_VALUE"""),"")</f>
        <v/>
      </c>
      <c r="G13941" s="18"/>
      <c r="H13941" s="16" t="s">
        <v>87</v>
      </c>
      <c r="I13941" s="16" t="s">
        <v>87</v>
      </c>
      <c r="J13941" s="19"/>
      <c r="L13941" s="16" t="str">
        <f>IFERROR(__xludf.DUMMYFUNCTION("""COMPUTED_VALUE"""),"")</f>
        <v/>
      </c>
      <c r="M13941" s="16" t="str">
        <f>IFERROR(__xludf.DUMMYFUNCTION("""COMPUTED_VALUE"""),"")</f>
        <v/>
      </c>
      <c r="U13941" s="16" t="s">
        <v>87</v>
      </c>
      <c r="V13941" s="16" t="str">
        <f>IFERROR(__xludf.DUMMYFUNCTION("""COMPUTED_VALUE"""),"")</f>
        <v/>
      </c>
      <c r="W13941" s="16" t="str">
        <f>IFERROR(__xludf.DUMMYFUNCTION("""COMPUTED_VALUE"""),"")</f>
        <v/>
      </c>
      <c r="X13941" s="16" t="str">
        <f>IFERROR(__xludf.DUMMYFUNCTION("""COMPUTED_VALUE"""),"")</f>
        <v/>
      </c>
      <c r="AC13941" s="16" t="str">
        <f>IFERROR(__xludf.DUMMYFUNCTION("""COMPUTED_VALUE"""),"")</f>
        <v/>
      </c>
    </row>
    <row r="13942">
      <c r="A13942" s="16" t="s">
        <v>87</v>
      </c>
      <c r="E13942" s="16" t="str">
        <f>IFERROR(__xludf.DUMMYFUNCTION("""COMPUTED_VALUE"""),"")</f>
        <v/>
      </c>
      <c r="G13942" s="18"/>
      <c r="H13942" s="16" t="s">
        <v>87</v>
      </c>
      <c r="I13942" s="16" t="s">
        <v>87</v>
      </c>
      <c r="J13942" s="19"/>
      <c r="L13942" s="16" t="str">
        <f>IFERROR(__xludf.DUMMYFUNCTION("""COMPUTED_VALUE"""),"")</f>
        <v/>
      </c>
      <c r="M13942" s="16" t="str">
        <f>IFERROR(__xludf.DUMMYFUNCTION("""COMPUTED_VALUE"""),"")</f>
        <v/>
      </c>
      <c r="U13942" s="16" t="s">
        <v>87</v>
      </c>
      <c r="V13942" s="16" t="str">
        <f>IFERROR(__xludf.DUMMYFUNCTION("""COMPUTED_VALUE"""),"")</f>
        <v/>
      </c>
      <c r="W13942" s="16" t="str">
        <f>IFERROR(__xludf.DUMMYFUNCTION("""COMPUTED_VALUE"""),"")</f>
        <v/>
      </c>
      <c r="X13942" s="16" t="str">
        <f>IFERROR(__xludf.DUMMYFUNCTION("""COMPUTED_VALUE"""),"")</f>
        <v/>
      </c>
      <c r="AC13942" s="16" t="str">
        <f>IFERROR(__xludf.DUMMYFUNCTION("""COMPUTED_VALUE"""),"")</f>
        <v/>
      </c>
    </row>
    <row r="13943">
      <c r="A13943" s="16" t="s">
        <v>87</v>
      </c>
      <c r="E13943" s="16" t="str">
        <f>IFERROR(__xludf.DUMMYFUNCTION("""COMPUTED_VALUE"""),"")</f>
        <v/>
      </c>
      <c r="G13943" s="18"/>
      <c r="H13943" s="16" t="s">
        <v>87</v>
      </c>
      <c r="I13943" s="16" t="s">
        <v>87</v>
      </c>
      <c r="J13943" s="19"/>
      <c r="L13943" s="16" t="str">
        <f>IFERROR(__xludf.DUMMYFUNCTION("""COMPUTED_VALUE"""),"")</f>
        <v/>
      </c>
      <c r="M13943" s="16" t="str">
        <f>IFERROR(__xludf.DUMMYFUNCTION("""COMPUTED_VALUE"""),"")</f>
        <v/>
      </c>
      <c r="U13943" s="16" t="s">
        <v>87</v>
      </c>
      <c r="V13943" s="16" t="str">
        <f>IFERROR(__xludf.DUMMYFUNCTION("""COMPUTED_VALUE"""),"")</f>
        <v/>
      </c>
      <c r="W13943" s="16" t="str">
        <f>IFERROR(__xludf.DUMMYFUNCTION("""COMPUTED_VALUE"""),"")</f>
        <v/>
      </c>
      <c r="X13943" s="16" t="str">
        <f>IFERROR(__xludf.DUMMYFUNCTION("""COMPUTED_VALUE"""),"")</f>
        <v/>
      </c>
      <c r="AC13943" s="16" t="str">
        <f>IFERROR(__xludf.DUMMYFUNCTION("""COMPUTED_VALUE"""),"")</f>
        <v/>
      </c>
    </row>
    <row r="13944">
      <c r="A13944" s="16" t="s">
        <v>87</v>
      </c>
      <c r="E13944" s="16" t="str">
        <f>IFERROR(__xludf.DUMMYFUNCTION("""COMPUTED_VALUE"""),"")</f>
        <v/>
      </c>
      <c r="G13944" s="18"/>
      <c r="H13944" s="16" t="s">
        <v>87</v>
      </c>
      <c r="I13944" s="16" t="s">
        <v>87</v>
      </c>
      <c r="J13944" s="19"/>
      <c r="L13944" s="16" t="str">
        <f>IFERROR(__xludf.DUMMYFUNCTION("""COMPUTED_VALUE"""),"")</f>
        <v/>
      </c>
      <c r="M13944" s="16" t="str">
        <f>IFERROR(__xludf.DUMMYFUNCTION("""COMPUTED_VALUE"""),"")</f>
        <v/>
      </c>
      <c r="U13944" s="16" t="s">
        <v>87</v>
      </c>
      <c r="V13944" s="16" t="str">
        <f>IFERROR(__xludf.DUMMYFUNCTION("""COMPUTED_VALUE"""),"")</f>
        <v/>
      </c>
      <c r="W13944" s="16" t="str">
        <f>IFERROR(__xludf.DUMMYFUNCTION("""COMPUTED_VALUE"""),"")</f>
        <v/>
      </c>
      <c r="X13944" s="16" t="str">
        <f>IFERROR(__xludf.DUMMYFUNCTION("""COMPUTED_VALUE"""),"")</f>
        <v/>
      </c>
      <c r="AC13944" s="16" t="str">
        <f>IFERROR(__xludf.DUMMYFUNCTION("""COMPUTED_VALUE"""),"")</f>
        <v/>
      </c>
    </row>
    <row r="13945">
      <c r="A13945" s="16" t="s">
        <v>87</v>
      </c>
      <c r="E13945" s="16" t="str">
        <f>IFERROR(__xludf.DUMMYFUNCTION("""COMPUTED_VALUE"""),"")</f>
        <v/>
      </c>
      <c r="G13945" s="18"/>
      <c r="H13945" s="16" t="s">
        <v>87</v>
      </c>
      <c r="I13945" s="16" t="s">
        <v>87</v>
      </c>
      <c r="J13945" s="19"/>
      <c r="L13945" s="16" t="str">
        <f>IFERROR(__xludf.DUMMYFUNCTION("""COMPUTED_VALUE"""),"")</f>
        <v/>
      </c>
      <c r="M13945" s="16" t="str">
        <f>IFERROR(__xludf.DUMMYFUNCTION("""COMPUTED_VALUE"""),"")</f>
        <v/>
      </c>
      <c r="U13945" s="16" t="s">
        <v>87</v>
      </c>
      <c r="V13945" s="16" t="str">
        <f>IFERROR(__xludf.DUMMYFUNCTION("""COMPUTED_VALUE"""),"")</f>
        <v/>
      </c>
      <c r="W13945" s="16" t="str">
        <f>IFERROR(__xludf.DUMMYFUNCTION("""COMPUTED_VALUE"""),"")</f>
        <v/>
      </c>
      <c r="X13945" s="16" t="str">
        <f>IFERROR(__xludf.DUMMYFUNCTION("""COMPUTED_VALUE"""),"")</f>
        <v/>
      </c>
      <c r="AC13945" s="16" t="str">
        <f>IFERROR(__xludf.DUMMYFUNCTION("""COMPUTED_VALUE"""),"")</f>
        <v/>
      </c>
    </row>
    <row r="13946">
      <c r="A13946" s="16" t="s">
        <v>87</v>
      </c>
      <c r="E13946" s="16" t="str">
        <f>IFERROR(__xludf.DUMMYFUNCTION("""COMPUTED_VALUE"""),"")</f>
        <v/>
      </c>
      <c r="G13946" s="18"/>
      <c r="H13946" s="16" t="s">
        <v>87</v>
      </c>
      <c r="I13946" s="16" t="s">
        <v>87</v>
      </c>
      <c r="J13946" s="19"/>
      <c r="L13946" s="16" t="str">
        <f>IFERROR(__xludf.DUMMYFUNCTION("""COMPUTED_VALUE"""),"")</f>
        <v/>
      </c>
      <c r="M13946" s="16" t="str">
        <f>IFERROR(__xludf.DUMMYFUNCTION("""COMPUTED_VALUE"""),"")</f>
        <v/>
      </c>
      <c r="U13946" s="16" t="s">
        <v>87</v>
      </c>
      <c r="V13946" s="16" t="str">
        <f>IFERROR(__xludf.DUMMYFUNCTION("""COMPUTED_VALUE"""),"")</f>
        <v/>
      </c>
      <c r="W13946" s="16" t="str">
        <f>IFERROR(__xludf.DUMMYFUNCTION("""COMPUTED_VALUE"""),"")</f>
        <v/>
      </c>
      <c r="X13946" s="16" t="str">
        <f>IFERROR(__xludf.DUMMYFUNCTION("""COMPUTED_VALUE"""),"")</f>
        <v/>
      </c>
      <c r="AC13946" s="16" t="str">
        <f>IFERROR(__xludf.DUMMYFUNCTION("""COMPUTED_VALUE"""),"")</f>
        <v/>
      </c>
    </row>
    <row r="13947">
      <c r="A13947" s="16" t="s">
        <v>87</v>
      </c>
      <c r="E13947" s="16" t="str">
        <f>IFERROR(__xludf.DUMMYFUNCTION("""COMPUTED_VALUE"""),"")</f>
        <v/>
      </c>
      <c r="G13947" s="18"/>
      <c r="H13947" s="16" t="s">
        <v>87</v>
      </c>
      <c r="I13947" s="16" t="s">
        <v>87</v>
      </c>
      <c r="J13947" s="19"/>
      <c r="L13947" s="16" t="str">
        <f>IFERROR(__xludf.DUMMYFUNCTION("""COMPUTED_VALUE"""),"")</f>
        <v/>
      </c>
      <c r="M13947" s="16" t="str">
        <f>IFERROR(__xludf.DUMMYFUNCTION("""COMPUTED_VALUE"""),"")</f>
        <v/>
      </c>
      <c r="U13947" s="16" t="s">
        <v>87</v>
      </c>
      <c r="V13947" s="16" t="str">
        <f>IFERROR(__xludf.DUMMYFUNCTION("""COMPUTED_VALUE"""),"")</f>
        <v/>
      </c>
      <c r="W13947" s="16" t="str">
        <f>IFERROR(__xludf.DUMMYFUNCTION("""COMPUTED_VALUE"""),"")</f>
        <v/>
      </c>
      <c r="X13947" s="16" t="str">
        <f>IFERROR(__xludf.DUMMYFUNCTION("""COMPUTED_VALUE"""),"")</f>
        <v/>
      </c>
      <c r="AC13947" s="16" t="str">
        <f>IFERROR(__xludf.DUMMYFUNCTION("""COMPUTED_VALUE"""),"")</f>
        <v/>
      </c>
    </row>
    <row r="13948">
      <c r="A13948" s="16" t="s">
        <v>87</v>
      </c>
      <c r="E13948" s="16" t="str">
        <f>IFERROR(__xludf.DUMMYFUNCTION("""COMPUTED_VALUE"""),"")</f>
        <v/>
      </c>
      <c r="G13948" s="18"/>
      <c r="H13948" s="16" t="s">
        <v>87</v>
      </c>
      <c r="I13948" s="16" t="s">
        <v>87</v>
      </c>
      <c r="J13948" s="19"/>
      <c r="L13948" s="16" t="str">
        <f>IFERROR(__xludf.DUMMYFUNCTION("""COMPUTED_VALUE"""),"")</f>
        <v/>
      </c>
      <c r="M13948" s="16" t="str">
        <f>IFERROR(__xludf.DUMMYFUNCTION("""COMPUTED_VALUE"""),"")</f>
        <v/>
      </c>
      <c r="U13948" s="16" t="s">
        <v>87</v>
      </c>
      <c r="V13948" s="16" t="str">
        <f>IFERROR(__xludf.DUMMYFUNCTION("""COMPUTED_VALUE"""),"")</f>
        <v/>
      </c>
      <c r="W13948" s="16" t="str">
        <f>IFERROR(__xludf.DUMMYFUNCTION("""COMPUTED_VALUE"""),"")</f>
        <v/>
      </c>
      <c r="X13948" s="16" t="str">
        <f>IFERROR(__xludf.DUMMYFUNCTION("""COMPUTED_VALUE"""),"")</f>
        <v/>
      </c>
      <c r="AC13948" s="16" t="str">
        <f>IFERROR(__xludf.DUMMYFUNCTION("""COMPUTED_VALUE"""),"")</f>
        <v/>
      </c>
    </row>
    <row r="13949">
      <c r="A13949" s="16" t="s">
        <v>87</v>
      </c>
      <c r="E13949" s="16" t="str">
        <f>IFERROR(__xludf.DUMMYFUNCTION("""COMPUTED_VALUE"""),"")</f>
        <v/>
      </c>
      <c r="G13949" s="18"/>
      <c r="H13949" s="16" t="s">
        <v>87</v>
      </c>
      <c r="I13949" s="16" t="s">
        <v>87</v>
      </c>
      <c r="J13949" s="19"/>
      <c r="L13949" s="16" t="str">
        <f>IFERROR(__xludf.DUMMYFUNCTION("""COMPUTED_VALUE"""),"")</f>
        <v/>
      </c>
      <c r="M13949" s="16" t="str">
        <f>IFERROR(__xludf.DUMMYFUNCTION("""COMPUTED_VALUE"""),"")</f>
        <v/>
      </c>
      <c r="U13949" s="16" t="s">
        <v>87</v>
      </c>
      <c r="V13949" s="16" t="str">
        <f>IFERROR(__xludf.DUMMYFUNCTION("""COMPUTED_VALUE"""),"")</f>
        <v/>
      </c>
      <c r="W13949" s="16" t="str">
        <f>IFERROR(__xludf.DUMMYFUNCTION("""COMPUTED_VALUE"""),"")</f>
        <v/>
      </c>
      <c r="X13949" s="16" t="str">
        <f>IFERROR(__xludf.DUMMYFUNCTION("""COMPUTED_VALUE"""),"")</f>
        <v/>
      </c>
      <c r="AC13949" s="16" t="str">
        <f>IFERROR(__xludf.DUMMYFUNCTION("""COMPUTED_VALUE"""),"")</f>
        <v/>
      </c>
    </row>
    <row r="13950">
      <c r="A13950" s="16" t="s">
        <v>87</v>
      </c>
      <c r="E13950" s="16" t="str">
        <f>IFERROR(__xludf.DUMMYFUNCTION("""COMPUTED_VALUE"""),"")</f>
        <v/>
      </c>
      <c r="G13950" s="18"/>
      <c r="H13950" s="16" t="s">
        <v>87</v>
      </c>
      <c r="I13950" s="16" t="s">
        <v>87</v>
      </c>
      <c r="J13950" s="19"/>
      <c r="L13950" s="16" t="str">
        <f>IFERROR(__xludf.DUMMYFUNCTION("""COMPUTED_VALUE"""),"")</f>
        <v/>
      </c>
      <c r="M13950" s="16" t="str">
        <f>IFERROR(__xludf.DUMMYFUNCTION("""COMPUTED_VALUE"""),"")</f>
        <v/>
      </c>
      <c r="U13950" s="16" t="s">
        <v>87</v>
      </c>
      <c r="V13950" s="16" t="str">
        <f>IFERROR(__xludf.DUMMYFUNCTION("""COMPUTED_VALUE"""),"")</f>
        <v/>
      </c>
      <c r="W13950" s="16" t="str">
        <f>IFERROR(__xludf.DUMMYFUNCTION("""COMPUTED_VALUE"""),"")</f>
        <v/>
      </c>
      <c r="X13950" s="16" t="str">
        <f>IFERROR(__xludf.DUMMYFUNCTION("""COMPUTED_VALUE"""),"")</f>
        <v/>
      </c>
      <c r="AC13950" s="16" t="str">
        <f>IFERROR(__xludf.DUMMYFUNCTION("""COMPUTED_VALUE"""),"")</f>
        <v/>
      </c>
    </row>
    <row r="13951">
      <c r="A13951" s="16" t="s">
        <v>87</v>
      </c>
      <c r="E13951" s="16" t="str">
        <f>IFERROR(__xludf.DUMMYFUNCTION("""COMPUTED_VALUE"""),"")</f>
        <v/>
      </c>
      <c r="G13951" s="18"/>
      <c r="H13951" s="16" t="s">
        <v>87</v>
      </c>
      <c r="I13951" s="16" t="s">
        <v>87</v>
      </c>
      <c r="J13951" s="19"/>
      <c r="L13951" s="16" t="str">
        <f>IFERROR(__xludf.DUMMYFUNCTION("""COMPUTED_VALUE"""),"")</f>
        <v/>
      </c>
      <c r="M13951" s="16" t="str">
        <f>IFERROR(__xludf.DUMMYFUNCTION("""COMPUTED_VALUE"""),"")</f>
        <v/>
      </c>
      <c r="U13951" s="16" t="s">
        <v>87</v>
      </c>
      <c r="V13951" s="16" t="str">
        <f>IFERROR(__xludf.DUMMYFUNCTION("""COMPUTED_VALUE"""),"")</f>
        <v/>
      </c>
      <c r="W13951" s="16" t="str">
        <f>IFERROR(__xludf.DUMMYFUNCTION("""COMPUTED_VALUE"""),"")</f>
        <v/>
      </c>
      <c r="X13951" s="16" t="str">
        <f>IFERROR(__xludf.DUMMYFUNCTION("""COMPUTED_VALUE"""),"")</f>
        <v/>
      </c>
      <c r="AC13951" s="16" t="str">
        <f>IFERROR(__xludf.DUMMYFUNCTION("""COMPUTED_VALUE"""),"")</f>
        <v/>
      </c>
    </row>
    <row r="13952">
      <c r="A13952" s="16" t="s">
        <v>87</v>
      </c>
      <c r="E13952" s="16" t="str">
        <f>IFERROR(__xludf.DUMMYFUNCTION("""COMPUTED_VALUE"""),"")</f>
        <v/>
      </c>
      <c r="G13952" s="18"/>
      <c r="H13952" s="16" t="s">
        <v>87</v>
      </c>
      <c r="I13952" s="16" t="s">
        <v>87</v>
      </c>
      <c r="J13952" s="19"/>
      <c r="L13952" s="16" t="str">
        <f>IFERROR(__xludf.DUMMYFUNCTION("""COMPUTED_VALUE"""),"")</f>
        <v/>
      </c>
      <c r="M13952" s="16" t="str">
        <f>IFERROR(__xludf.DUMMYFUNCTION("""COMPUTED_VALUE"""),"")</f>
        <v/>
      </c>
      <c r="U13952" s="16" t="s">
        <v>87</v>
      </c>
      <c r="V13952" s="16" t="str">
        <f>IFERROR(__xludf.DUMMYFUNCTION("""COMPUTED_VALUE"""),"")</f>
        <v/>
      </c>
      <c r="W13952" s="16" t="str">
        <f>IFERROR(__xludf.DUMMYFUNCTION("""COMPUTED_VALUE"""),"")</f>
        <v/>
      </c>
      <c r="X13952" s="16" t="str">
        <f>IFERROR(__xludf.DUMMYFUNCTION("""COMPUTED_VALUE"""),"")</f>
        <v/>
      </c>
      <c r="AC13952" s="16" t="str">
        <f>IFERROR(__xludf.DUMMYFUNCTION("""COMPUTED_VALUE"""),"")</f>
        <v/>
      </c>
    </row>
    <row r="13953">
      <c r="A13953" s="16" t="s">
        <v>87</v>
      </c>
      <c r="E13953" s="16" t="str">
        <f>IFERROR(__xludf.DUMMYFUNCTION("""COMPUTED_VALUE"""),"")</f>
        <v/>
      </c>
      <c r="G13953" s="18"/>
      <c r="H13953" s="16" t="s">
        <v>87</v>
      </c>
      <c r="I13953" s="16" t="s">
        <v>87</v>
      </c>
      <c r="J13953" s="19"/>
      <c r="L13953" s="16" t="str">
        <f>IFERROR(__xludf.DUMMYFUNCTION("""COMPUTED_VALUE"""),"")</f>
        <v/>
      </c>
      <c r="M13953" s="16" t="str">
        <f>IFERROR(__xludf.DUMMYFUNCTION("""COMPUTED_VALUE"""),"")</f>
        <v/>
      </c>
      <c r="U13953" s="16" t="s">
        <v>87</v>
      </c>
      <c r="V13953" s="16" t="str">
        <f>IFERROR(__xludf.DUMMYFUNCTION("""COMPUTED_VALUE"""),"")</f>
        <v/>
      </c>
      <c r="W13953" s="16" t="str">
        <f>IFERROR(__xludf.DUMMYFUNCTION("""COMPUTED_VALUE"""),"")</f>
        <v/>
      </c>
      <c r="X13953" s="16" t="str">
        <f>IFERROR(__xludf.DUMMYFUNCTION("""COMPUTED_VALUE"""),"")</f>
        <v/>
      </c>
      <c r="AC13953" s="16" t="str">
        <f>IFERROR(__xludf.DUMMYFUNCTION("""COMPUTED_VALUE"""),"")</f>
        <v/>
      </c>
    </row>
    <row r="13954">
      <c r="A13954" s="16" t="s">
        <v>87</v>
      </c>
      <c r="E13954" s="16" t="str">
        <f>IFERROR(__xludf.DUMMYFUNCTION("""COMPUTED_VALUE"""),"")</f>
        <v/>
      </c>
      <c r="G13954" s="18"/>
      <c r="H13954" s="16" t="s">
        <v>87</v>
      </c>
      <c r="I13954" s="16" t="s">
        <v>87</v>
      </c>
      <c r="J13954" s="19"/>
      <c r="L13954" s="16" t="str">
        <f>IFERROR(__xludf.DUMMYFUNCTION("""COMPUTED_VALUE"""),"")</f>
        <v/>
      </c>
      <c r="M13954" s="16" t="str">
        <f>IFERROR(__xludf.DUMMYFUNCTION("""COMPUTED_VALUE"""),"")</f>
        <v/>
      </c>
      <c r="U13954" s="16" t="s">
        <v>87</v>
      </c>
      <c r="V13954" s="16" t="str">
        <f>IFERROR(__xludf.DUMMYFUNCTION("""COMPUTED_VALUE"""),"")</f>
        <v/>
      </c>
      <c r="W13954" s="16" t="str">
        <f>IFERROR(__xludf.DUMMYFUNCTION("""COMPUTED_VALUE"""),"")</f>
        <v/>
      </c>
      <c r="X13954" s="16" t="str">
        <f>IFERROR(__xludf.DUMMYFUNCTION("""COMPUTED_VALUE"""),"")</f>
        <v/>
      </c>
      <c r="AC13954" s="16" t="str">
        <f>IFERROR(__xludf.DUMMYFUNCTION("""COMPUTED_VALUE"""),"")</f>
        <v/>
      </c>
    </row>
    <row r="13955">
      <c r="A13955" s="16" t="s">
        <v>87</v>
      </c>
      <c r="E13955" s="16" t="str">
        <f>IFERROR(__xludf.DUMMYFUNCTION("""COMPUTED_VALUE"""),"")</f>
        <v/>
      </c>
      <c r="G13955" s="18"/>
      <c r="H13955" s="16" t="s">
        <v>87</v>
      </c>
      <c r="I13955" s="16" t="s">
        <v>87</v>
      </c>
      <c r="J13955" s="19"/>
      <c r="L13955" s="16" t="str">
        <f>IFERROR(__xludf.DUMMYFUNCTION("""COMPUTED_VALUE"""),"")</f>
        <v/>
      </c>
      <c r="M13955" s="16" t="str">
        <f>IFERROR(__xludf.DUMMYFUNCTION("""COMPUTED_VALUE"""),"")</f>
        <v/>
      </c>
      <c r="U13955" s="16" t="s">
        <v>87</v>
      </c>
      <c r="V13955" s="16" t="str">
        <f>IFERROR(__xludf.DUMMYFUNCTION("""COMPUTED_VALUE"""),"")</f>
        <v/>
      </c>
      <c r="W13955" s="16" t="str">
        <f>IFERROR(__xludf.DUMMYFUNCTION("""COMPUTED_VALUE"""),"")</f>
        <v/>
      </c>
      <c r="X13955" s="16" t="str">
        <f>IFERROR(__xludf.DUMMYFUNCTION("""COMPUTED_VALUE"""),"")</f>
        <v/>
      </c>
      <c r="AC13955" s="16" t="str">
        <f>IFERROR(__xludf.DUMMYFUNCTION("""COMPUTED_VALUE"""),"")</f>
        <v/>
      </c>
    </row>
    <row r="13956">
      <c r="A13956" s="16" t="s">
        <v>87</v>
      </c>
      <c r="E13956" s="16" t="str">
        <f>IFERROR(__xludf.DUMMYFUNCTION("""COMPUTED_VALUE"""),"")</f>
        <v/>
      </c>
      <c r="G13956" s="18"/>
      <c r="H13956" s="16" t="s">
        <v>87</v>
      </c>
      <c r="I13956" s="16" t="s">
        <v>87</v>
      </c>
      <c r="J13956" s="19"/>
      <c r="L13956" s="16" t="str">
        <f>IFERROR(__xludf.DUMMYFUNCTION("""COMPUTED_VALUE"""),"")</f>
        <v/>
      </c>
      <c r="M13956" s="16" t="str">
        <f>IFERROR(__xludf.DUMMYFUNCTION("""COMPUTED_VALUE"""),"")</f>
        <v/>
      </c>
      <c r="U13956" s="16" t="s">
        <v>87</v>
      </c>
      <c r="V13956" s="16" t="str">
        <f>IFERROR(__xludf.DUMMYFUNCTION("""COMPUTED_VALUE"""),"")</f>
        <v/>
      </c>
      <c r="W13956" s="16" t="str">
        <f>IFERROR(__xludf.DUMMYFUNCTION("""COMPUTED_VALUE"""),"")</f>
        <v/>
      </c>
      <c r="X13956" s="16" t="str">
        <f>IFERROR(__xludf.DUMMYFUNCTION("""COMPUTED_VALUE"""),"")</f>
        <v/>
      </c>
      <c r="AC13956" s="16" t="str">
        <f>IFERROR(__xludf.DUMMYFUNCTION("""COMPUTED_VALUE"""),"")</f>
        <v/>
      </c>
    </row>
    <row r="13957">
      <c r="A13957" s="16" t="s">
        <v>87</v>
      </c>
      <c r="E13957" s="16" t="str">
        <f>IFERROR(__xludf.DUMMYFUNCTION("""COMPUTED_VALUE"""),"")</f>
        <v/>
      </c>
      <c r="G13957" s="18"/>
      <c r="H13957" s="16" t="s">
        <v>87</v>
      </c>
      <c r="I13957" s="16" t="s">
        <v>87</v>
      </c>
      <c r="J13957" s="19"/>
      <c r="L13957" s="16" t="str">
        <f>IFERROR(__xludf.DUMMYFUNCTION("""COMPUTED_VALUE"""),"")</f>
        <v/>
      </c>
      <c r="M13957" s="16" t="str">
        <f>IFERROR(__xludf.DUMMYFUNCTION("""COMPUTED_VALUE"""),"")</f>
        <v/>
      </c>
      <c r="U13957" s="16" t="s">
        <v>87</v>
      </c>
      <c r="V13957" s="16" t="str">
        <f>IFERROR(__xludf.DUMMYFUNCTION("""COMPUTED_VALUE"""),"")</f>
        <v/>
      </c>
      <c r="W13957" s="16" t="str">
        <f>IFERROR(__xludf.DUMMYFUNCTION("""COMPUTED_VALUE"""),"")</f>
        <v/>
      </c>
      <c r="X13957" s="16" t="str">
        <f>IFERROR(__xludf.DUMMYFUNCTION("""COMPUTED_VALUE"""),"")</f>
        <v/>
      </c>
      <c r="AC13957" s="16" t="str">
        <f>IFERROR(__xludf.DUMMYFUNCTION("""COMPUTED_VALUE"""),"")</f>
        <v/>
      </c>
    </row>
    <row r="13958">
      <c r="A13958" s="16" t="s">
        <v>87</v>
      </c>
      <c r="E13958" s="16" t="str">
        <f>IFERROR(__xludf.DUMMYFUNCTION("""COMPUTED_VALUE"""),"")</f>
        <v/>
      </c>
      <c r="G13958" s="18"/>
      <c r="H13958" s="16" t="s">
        <v>87</v>
      </c>
      <c r="I13958" s="16" t="s">
        <v>87</v>
      </c>
      <c r="J13958" s="19"/>
      <c r="L13958" s="16" t="str">
        <f>IFERROR(__xludf.DUMMYFUNCTION("""COMPUTED_VALUE"""),"")</f>
        <v/>
      </c>
      <c r="M13958" s="16" t="str">
        <f>IFERROR(__xludf.DUMMYFUNCTION("""COMPUTED_VALUE"""),"")</f>
        <v/>
      </c>
      <c r="U13958" s="16" t="s">
        <v>87</v>
      </c>
      <c r="V13958" s="16" t="str">
        <f>IFERROR(__xludf.DUMMYFUNCTION("""COMPUTED_VALUE"""),"")</f>
        <v/>
      </c>
      <c r="W13958" s="16" t="str">
        <f>IFERROR(__xludf.DUMMYFUNCTION("""COMPUTED_VALUE"""),"")</f>
        <v/>
      </c>
      <c r="X13958" s="16" t="str">
        <f>IFERROR(__xludf.DUMMYFUNCTION("""COMPUTED_VALUE"""),"")</f>
        <v/>
      </c>
      <c r="AC13958" s="16" t="str">
        <f>IFERROR(__xludf.DUMMYFUNCTION("""COMPUTED_VALUE"""),"")</f>
        <v/>
      </c>
    </row>
    <row r="13959">
      <c r="A13959" s="16" t="s">
        <v>87</v>
      </c>
      <c r="E13959" s="16" t="str">
        <f>IFERROR(__xludf.DUMMYFUNCTION("""COMPUTED_VALUE"""),"")</f>
        <v/>
      </c>
      <c r="G13959" s="18"/>
      <c r="H13959" s="16" t="s">
        <v>87</v>
      </c>
      <c r="I13959" s="16" t="s">
        <v>87</v>
      </c>
      <c r="J13959" s="19"/>
      <c r="L13959" s="16" t="str">
        <f>IFERROR(__xludf.DUMMYFUNCTION("""COMPUTED_VALUE"""),"")</f>
        <v/>
      </c>
      <c r="M13959" s="16" t="str">
        <f>IFERROR(__xludf.DUMMYFUNCTION("""COMPUTED_VALUE"""),"")</f>
        <v/>
      </c>
      <c r="U13959" s="16" t="s">
        <v>87</v>
      </c>
      <c r="V13959" s="16" t="str">
        <f>IFERROR(__xludf.DUMMYFUNCTION("""COMPUTED_VALUE"""),"")</f>
        <v/>
      </c>
      <c r="W13959" s="16" t="str">
        <f>IFERROR(__xludf.DUMMYFUNCTION("""COMPUTED_VALUE"""),"")</f>
        <v/>
      </c>
      <c r="X13959" s="16" t="str">
        <f>IFERROR(__xludf.DUMMYFUNCTION("""COMPUTED_VALUE"""),"")</f>
        <v/>
      </c>
      <c r="AC13959" s="16" t="str">
        <f>IFERROR(__xludf.DUMMYFUNCTION("""COMPUTED_VALUE"""),"")</f>
        <v/>
      </c>
    </row>
    <row r="13960">
      <c r="A13960" s="16" t="s">
        <v>87</v>
      </c>
      <c r="E13960" s="16" t="str">
        <f>IFERROR(__xludf.DUMMYFUNCTION("""COMPUTED_VALUE"""),"")</f>
        <v/>
      </c>
      <c r="G13960" s="18"/>
      <c r="H13960" s="16" t="s">
        <v>87</v>
      </c>
      <c r="I13960" s="16" t="s">
        <v>87</v>
      </c>
      <c r="J13960" s="19"/>
      <c r="L13960" s="16" t="str">
        <f>IFERROR(__xludf.DUMMYFUNCTION("""COMPUTED_VALUE"""),"")</f>
        <v/>
      </c>
      <c r="M13960" s="16" t="str">
        <f>IFERROR(__xludf.DUMMYFUNCTION("""COMPUTED_VALUE"""),"")</f>
        <v/>
      </c>
      <c r="U13960" s="16" t="s">
        <v>87</v>
      </c>
      <c r="V13960" s="16" t="str">
        <f>IFERROR(__xludf.DUMMYFUNCTION("""COMPUTED_VALUE"""),"")</f>
        <v/>
      </c>
      <c r="W13960" s="16" t="str">
        <f>IFERROR(__xludf.DUMMYFUNCTION("""COMPUTED_VALUE"""),"")</f>
        <v/>
      </c>
      <c r="X13960" s="16" t="str">
        <f>IFERROR(__xludf.DUMMYFUNCTION("""COMPUTED_VALUE"""),"")</f>
        <v/>
      </c>
      <c r="AC13960" s="16" t="str">
        <f>IFERROR(__xludf.DUMMYFUNCTION("""COMPUTED_VALUE"""),"")</f>
        <v/>
      </c>
    </row>
    <row r="13961">
      <c r="A13961" s="16" t="s">
        <v>87</v>
      </c>
      <c r="E13961" s="16" t="str">
        <f>IFERROR(__xludf.DUMMYFUNCTION("""COMPUTED_VALUE"""),"")</f>
        <v/>
      </c>
      <c r="G13961" s="18"/>
      <c r="H13961" s="16" t="s">
        <v>87</v>
      </c>
      <c r="I13961" s="16" t="s">
        <v>87</v>
      </c>
      <c r="J13961" s="19"/>
      <c r="L13961" s="16" t="str">
        <f>IFERROR(__xludf.DUMMYFUNCTION("""COMPUTED_VALUE"""),"")</f>
        <v/>
      </c>
      <c r="M13961" s="16" t="str">
        <f>IFERROR(__xludf.DUMMYFUNCTION("""COMPUTED_VALUE"""),"")</f>
        <v/>
      </c>
      <c r="U13961" s="16" t="s">
        <v>87</v>
      </c>
      <c r="V13961" s="16" t="str">
        <f>IFERROR(__xludf.DUMMYFUNCTION("""COMPUTED_VALUE"""),"")</f>
        <v/>
      </c>
      <c r="W13961" s="16" t="str">
        <f>IFERROR(__xludf.DUMMYFUNCTION("""COMPUTED_VALUE"""),"")</f>
        <v/>
      </c>
      <c r="X13961" s="16" t="str">
        <f>IFERROR(__xludf.DUMMYFUNCTION("""COMPUTED_VALUE"""),"")</f>
        <v/>
      </c>
      <c r="AC13961" s="16" t="str">
        <f>IFERROR(__xludf.DUMMYFUNCTION("""COMPUTED_VALUE"""),"")</f>
        <v/>
      </c>
    </row>
    <row r="13962">
      <c r="A13962" s="16" t="s">
        <v>87</v>
      </c>
      <c r="E13962" s="16" t="str">
        <f>IFERROR(__xludf.DUMMYFUNCTION("""COMPUTED_VALUE"""),"")</f>
        <v/>
      </c>
      <c r="G13962" s="18"/>
      <c r="H13962" s="16" t="s">
        <v>87</v>
      </c>
      <c r="I13962" s="16" t="s">
        <v>87</v>
      </c>
      <c r="J13962" s="19"/>
      <c r="L13962" s="16" t="str">
        <f>IFERROR(__xludf.DUMMYFUNCTION("""COMPUTED_VALUE"""),"")</f>
        <v/>
      </c>
      <c r="M13962" s="16" t="str">
        <f>IFERROR(__xludf.DUMMYFUNCTION("""COMPUTED_VALUE"""),"")</f>
        <v/>
      </c>
      <c r="U13962" s="16" t="s">
        <v>87</v>
      </c>
      <c r="V13962" s="16" t="str">
        <f>IFERROR(__xludf.DUMMYFUNCTION("""COMPUTED_VALUE"""),"")</f>
        <v/>
      </c>
      <c r="W13962" s="16" t="str">
        <f>IFERROR(__xludf.DUMMYFUNCTION("""COMPUTED_VALUE"""),"")</f>
        <v/>
      </c>
      <c r="X13962" s="16" t="str">
        <f>IFERROR(__xludf.DUMMYFUNCTION("""COMPUTED_VALUE"""),"")</f>
        <v/>
      </c>
      <c r="AC13962" s="16" t="str">
        <f>IFERROR(__xludf.DUMMYFUNCTION("""COMPUTED_VALUE"""),"")</f>
        <v/>
      </c>
    </row>
    <row r="13963">
      <c r="A13963" s="16" t="s">
        <v>87</v>
      </c>
      <c r="E13963" s="16" t="str">
        <f>IFERROR(__xludf.DUMMYFUNCTION("""COMPUTED_VALUE"""),"")</f>
        <v/>
      </c>
      <c r="G13963" s="18"/>
      <c r="H13963" s="16" t="s">
        <v>87</v>
      </c>
      <c r="I13963" s="16" t="s">
        <v>87</v>
      </c>
      <c r="J13963" s="19"/>
      <c r="L13963" s="16" t="str">
        <f>IFERROR(__xludf.DUMMYFUNCTION("""COMPUTED_VALUE"""),"")</f>
        <v/>
      </c>
      <c r="M13963" s="16" t="str">
        <f>IFERROR(__xludf.DUMMYFUNCTION("""COMPUTED_VALUE"""),"")</f>
        <v/>
      </c>
      <c r="U13963" s="16" t="s">
        <v>87</v>
      </c>
      <c r="V13963" s="16" t="str">
        <f>IFERROR(__xludf.DUMMYFUNCTION("""COMPUTED_VALUE"""),"")</f>
        <v/>
      </c>
      <c r="W13963" s="16" t="str">
        <f>IFERROR(__xludf.DUMMYFUNCTION("""COMPUTED_VALUE"""),"")</f>
        <v/>
      </c>
      <c r="X13963" s="16" t="str">
        <f>IFERROR(__xludf.DUMMYFUNCTION("""COMPUTED_VALUE"""),"")</f>
        <v/>
      </c>
      <c r="AC13963" s="16" t="str">
        <f>IFERROR(__xludf.DUMMYFUNCTION("""COMPUTED_VALUE"""),"")</f>
        <v/>
      </c>
    </row>
    <row r="13964">
      <c r="A13964" s="16" t="s">
        <v>87</v>
      </c>
      <c r="E13964" s="16" t="str">
        <f>IFERROR(__xludf.DUMMYFUNCTION("""COMPUTED_VALUE"""),"")</f>
        <v/>
      </c>
      <c r="G13964" s="18"/>
      <c r="H13964" s="16" t="s">
        <v>87</v>
      </c>
      <c r="I13964" s="16" t="s">
        <v>87</v>
      </c>
      <c r="J13964" s="19"/>
      <c r="L13964" s="16" t="str">
        <f>IFERROR(__xludf.DUMMYFUNCTION("""COMPUTED_VALUE"""),"")</f>
        <v/>
      </c>
      <c r="M13964" s="16" t="str">
        <f>IFERROR(__xludf.DUMMYFUNCTION("""COMPUTED_VALUE"""),"")</f>
        <v/>
      </c>
      <c r="U13964" s="16" t="s">
        <v>87</v>
      </c>
      <c r="V13964" s="16" t="str">
        <f>IFERROR(__xludf.DUMMYFUNCTION("""COMPUTED_VALUE"""),"")</f>
        <v/>
      </c>
      <c r="W13964" s="16" t="str">
        <f>IFERROR(__xludf.DUMMYFUNCTION("""COMPUTED_VALUE"""),"")</f>
        <v/>
      </c>
      <c r="X13964" s="16" t="str">
        <f>IFERROR(__xludf.DUMMYFUNCTION("""COMPUTED_VALUE"""),"")</f>
        <v/>
      </c>
      <c r="AC13964" s="16" t="str">
        <f>IFERROR(__xludf.DUMMYFUNCTION("""COMPUTED_VALUE"""),"")</f>
        <v/>
      </c>
    </row>
    <row r="13965">
      <c r="A13965" s="16" t="s">
        <v>87</v>
      </c>
      <c r="E13965" s="16" t="str">
        <f>IFERROR(__xludf.DUMMYFUNCTION("""COMPUTED_VALUE"""),"")</f>
        <v/>
      </c>
      <c r="G13965" s="18"/>
      <c r="H13965" s="16" t="s">
        <v>87</v>
      </c>
      <c r="I13965" s="16" t="s">
        <v>87</v>
      </c>
      <c r="J13965" s="19"/>
      <c r="L13965" s="16" t="str">
        <f>IFERROR(__xludf.DUMMYFUNCTION("""COMPUTED_VALUE"""),"")</f>
        <v/>
      </c>
      <c r="M13965" s="16" t="str">
        <f>IFERROR(__xludf.DUMMYFUNCTION("""COMPUTED_VALUE"""),"")</f>
        <v/>
      </c>
      <c r="U13965" s="16" t="s">
        <v>87</v>
      </c>
      <c r="V13965" s="16" t="str">
        <f>IFERROR(__xludf.DUMMYFUNCTION("""COMPUTED_VALUE"""),"")</f>
        <v/>
      </c>
      <c r="W13965" s="16" t="str">
        <f>IFERROR(__xludf.DUMMYFUNCTION("""COMPUTED_VALUE"""),"")</f>
        <v/>
      </c>
      <c r="X13965" s="16" t="str">
        <f>IFERROR(__xludf.DUMMYFUNCTION("""COMPUTED_VALUE"""),"")</f>
        <v/>
      </c>
      <c r="AC13965" s="16" t="str">
        <f>IFERROR(__xludf.DUMMYFUNCTION("""COMPUTED_VALUE"""),"")</f>
        <v/>
      </c>
    </row>
    <row r="13966">
      <c r="A13966" s="16" t="s">
        <v>87</v>
      </c>
      <c r="E13966" s="16" t="str">
        <f>IFERROR(__xludf.DUMMYFUNCTION("""COMPUTED_VALUE"""),"")</f>
        <v/>
      </c>
      <c r="G13966" s="18"/>
      <c r="H13966" s="16" t="s">
        <v>87</v>
      </c>
      <c r="I13966" s="16" t="s">
        <v>87</v>
      </c>
      <c r="J13966" s="19"/>
      <c r="L13966" s="16" t="str">
        <f>IFERROR(__xludf.DUMMYFUNCTION("""COMPUTED_VALUE"""),"")</f>
        <v/>
      </c>
      <c r="M13966" s="16" t="str">
        <f>IFERROR(__xludf.DUMMYFUNCTION("""COMPUTED_VALUE"""),"")</f>
        <v/>
      </c>
      <c r="U13966" s="16" t="s">
        <v>87</v>
      </c>
      <c r="V13966" s="16" t="str">
        <f>IFERROR(__xludf.DUMMYFUNCTION("""COMPUTED_VALUE"""),"")</f>
        <v/>
      </c>
      <c r="W13966" s="16" t="str">
        <f>IFERROR(__xludf.DUMMYFUNCTION("""COMPUTED_VALUE"""),"")</f>
        <v/>
      </c>
      <c r="X13966" s="16" t="str">
        <f>IFERROR(__xludf.DUMMYFUNCTION("""COMPUTED_VALUE"""),"")</f>
        <v/>
      </c>
      <c r="AC13966" s="16" t="str">
        <f>IFERROR(__xludf.DUMMYFUNCTION("""COMPUTED_VALUE"""),"")</f>
        <v/>
      </c>
    </row>
    <row r="13967">
      <c r="A13967" s="16" t="s">
        <v>87</v>
      </c>
      <c r="E13967" s="16" t="str">
        <f>IFERROR(__xludf.DUMMYFUNCTION("""COMPUTED_VALUE"""),"")</f>
        <v/>
      </c>
      <c r="G13967" s="18"/>
      <c r="H13967" s="16" t="s">
        <v>87</v>
      </c>
      <c r="I13967" s="16" t="s">
        <v>87</v>
      </c>
      <c r="J13967" s="19"/>
      <c r="L13967" s="16" t="str">
        <f>IFERROR(__xludf.DUMMYFUNCTION("""COMPUTED_VALUE"""),"")</f>
        <v/>
      </c>
      <c r="M13967" s="16" t="str">
        <f>IFERROR(__xludf.DUMMYFUNCTION("""COMPUTED_VALUE"""),"")</f>
        <v/>
      </c>
      <c r="U13967" s="16" t="s">
        <v>87</v>
      </c>
      <c r="V13967" s="16" t="str">
        <f>IFERROR(__xludf.DUMMYFUNCTION("""COMPUTED_VALUE"""),"")</f>
        <v/>
      </c>
      <c r="W13967" s="16" t="str">
        <f>IFERROR(__xludf.DUMMYFUNCTION("""COMPUTED_VALUE"""),"")</f>
        <v/>
      </c>
      <c r="X13967" s="16" t="str">
        <f>IFERROR(__xludf.DUMMYFUNCTION("""COMPUTED_VALUE"""),"")</f>
        <v/>
      </c>
      <c r="AC13967" s="16" t="str">
        <f>IFERROR(__xludf.DUMMYFUNCTION("""COMPUTED_VALUE"""),"")</f>
        <v/>
      </c>
    </row>
    <row r="13968">
      <c r="A13968" s="16" t="s">
        <v>87</v>
      </c>
      <c r="E13968" s="16" t="str">
        <f>IFERROR(__xludf.DUMMYFUNCTION("""COMPUTED_VALUE"""),"")</f>
        <v/>
      </c>
      <c r="G13968" s="18"/>
      <c r="H13968" s="16" t="s">
        <v>87</v>
      </c>
      <c r="I13968" s="16" t="s">
        <v>87</v>
      </c>
      <c r="J13968" s="19"/>
      <c r="L13968" s="16" t="str">
        <f>IFERROR(__xludf.DUMMYFUNCTION("""COMPUTED_VALUE"""),"")</f>
        <v/>
      </c>
      <c r="M13968" s="16" t="str">
        <f>IFERROR(__xludf.DUMMYFUNCTION("""COMPUTED_VALUE"""),"")</f>
        <v/>
      </c>
      <c r="U13968" s="16" t="s">
        <v>87</v>
      </c>
      <c r="V13968" s="16" t="str">
        <f>IFERROR(__xludf.DUMMYFUNCTION("""COMPUTED_VALUE"""),"")</f>
        <v/>
      </c>
      <c r="W13968" s="16" t="str">
        <f>IFERROR(__xludf.DUMMYFUNCTION("""COMPUTED_VALUE"""),"")</f>
        <v/>
      </c>
      <c r="X13968" s="16" t="str">
        <f>IFERROR(__xludf.DUMMYFUNCTION("""COMPUTED_VALUE"""),"")</f>
        <v/>
      </c>
      <c r="AC13968" s="16" t="str">
        <f>IFERROR(__xludf.DUMMYFUNCTION("""COMPUTED_VALUE"""),"")</f>
        <v/>
      </c>
    </row>
    <row r="13969">
      <c r="A13969" s="16" t="s">
        <v>87</v>
      </c>
      <c r="E13969" s="16" t="str">
        <f>IFERROR(__xludf.DUMMYFUNCTION("""COMPUTED_VALUE"""),"")</f>
        <v/>
      </c>
      <c r="G13969" s="18"/>
      <c r="H13969" s="16" t="s">
        <v>87</v>
      </c>
      <c r="I13969" s="16" t="s">
        <v>87</v>
      </c>
      <c r="J13969" s="19"/>
      <c r="L13969" s="16" t="str">
        <f>IFERROR(__xludf.DUMMYFUNCTION("""COMPUTED_VALUE"""),"")</f>
        <v/>
      </c>
      <c r="M13969" s="16" t="str">
        <f>IFERROR(__xludf.DUMMYFUNCTION("""COMPUTED_VALUE"""),"")</f>
        <v/>
      </c>
      <c r="U13969" s="16" t="s">
        <v>87</v>
      </c>
      <c r="V13969" s="16" t="str">
        <f>IFERROR(__xludf.DUMMYFUNCTION("""COMPUTED_VALUE"""),"")</f>
        <v/>
      </c>
      <c r="W13969" s="16" t="str">
        <f>IFERROR(__xludf.DUMMYFUNCTION("""COMPUTED_VALUE"""),"")</f>
        <v/>
      </c>
      <c r="X13969" s="16" t="str">
        <f>IFERROR(__xludf.DUMMYFUNCTION("""COMPUTED_VALUE"""),"")</f>
        <v/>
      </c>
      <c r="AC13969" s="16" t="str">
        <f>IFERROR(__xludf.DUMMYFUNCTION("""COMPUTED_VALUE"""),"")</f>
        <v/>
      </c>
    </row>
    <row r="13970">
      <c r="A13970" s="16" t="s">
        <v>87</v>
      </c>
      <c r="E13970" s="16" t="str">
        <f>IFERROR(__xludf.DUMMYFUNCTION("""COMPUTED_VALUE"""),"")</f>
        <v/>
      </c>
      <c r="G13970" s="18"/>
      <c r="H13970" s="16" t="s">
        <v>87</v>
      </c>
      <c r="I13970" s="16" t="s">
        <v>87</v>
      </c>
      <c r="J13970" s="19"/>
      <c r="L13970" s="16" t="str">
        <f>IFERROR(__xludf.DUMMYFUNCTION("""COMPUTED_VALUE"""),"")</f>
        <v/>
      </c>
      <c r="M13970" s="16" t="str">
        <f>IFERROR(__xludf.DUMMYFUNCTION("""COMPUTED_VALUE"""),"")</f>
        <v/>
      </c>
      <c r="U13970" s="16" t="s">
        <v>87</v>
      </c>
      <c r="V13970" s="16" t="str">
        <f>IFERROR(__xludf.DUMMYFUNCTION("""COMPUTED_VALUE"""),"")</f>
        <v/>
      </c>
      <c r="W13970" s="16" t="str">
        <f>IFERROR(__xludf.DUMMYFUNCTION("""COMPUTED_VALUE"""),"")</f>
        <v/>
      </c>
      <c r="X13970" s="16" t="str">
        <f>IFERROR(__xludf.DUMMYFUNCTION("""COMPUTED_VALUE"""),"")</f>
        <v/>
      </c>
      <c r="AC13970" s="16" t="str">
        <f>IFERROR(__xludf.DUMMYFUNCTION("""COMPUTED_VALUE"""),"")</f>
        <v/>
      </c>
    </row>
    <row r="13971">
      <c r="A13971" s="16" t="s">
        <v>87</v>
      </c>
      <c r="E13971" s="16" t="str">
        <f>IFERROR(__xludf.DUMMYFUNCTION("""COMPUTED_VALUE"""),"")</f>
        <v/>
      </c>
      <c r="G13971" s="18"/>
      <c r="H13971" s="16" t="s">
        <v>87</v>
      </c>
      <c r="I13971" s="16" t="s">
        <v>87</v>
      </c>
      <c r="J13971" s="19"/>
      <c r="L13971" s="16" t="str">
        <f>IFERROR(__xludf.DUMMYFUNCTION("""COMPUTED_VALUE"""),"")</f>
        <v/>
      </c>
      <c r="M13971" s="16" t="str">
        <f>IFERROR(__xludf.DUMMYFUNCTION("""COMPUTED_VALUE"""),"")</f>
        <v/>
      </c>
      <c r="U13971" s="16" t="s">
        <v>87</v>
      </c>
      <c r="V13971" s="16" t="str">
        <f>IFERROR(__xludf.DUMMYFUNCTION("""COMPUTED_VALUE"""),"")</f>
        <v/>
      </c>
      <c r="W13971" s="16" t="str">
        <f>IFERROR(__xludf.DUMMYFUNCTION("""COMPUTED_VALUE"""),"")</f>
        <v/>
      </c>
      <c r="X13971" s="16" t="str">
        <f>IFERROR(__xludf.DUMMYFUNCTION("""COMPUTED_VALUE"""),"")</f>
        <v/>
      </c>
      <c r="AC13971" s="16" t="str">
        <f>IFERROR(__xludf.DUMMYFUNCTION("""COMPUTED_VALUE"""),"")</f>
        <v/>
      </c>
    </row>
    <row r="13972">
      <c r="A13972" s="16" t="s">
        <v>87</v>
      </c>
      <c r="E13972" s="16" t="str">
        <f>IFERROR(__xludf.DUMMYFUNCTION("""COMPUTED_VALUE"""),"")</f>
        <v/>
      </c>
      <c r="G13972" s="18"/>
      <c r="H13972" s="16" t="s">
        <v>87</v>
      </c>
      <c r="I13972" s="16" t="s">
        <v>87</v>
      </c>
      <c r="J13972" s="19"/>
      <c r="L13972" s="16" t="str">
        <f>IFERROR(__xludf.DUMMYFUNCTION("""COMPUTED_VALUE"""),"")</f>
        <v/>
      </c>
      <c r="M13972" s="16" t="str">
        <f>IFERROR(__xludf.DUMMYFUNCTION("""COMPUTED_VALUE"""),"")</f>
        <v/>
      </c>
      <c r="U13972" s="16" t="s">
        <v>87</v>
      </c>
      <c r="V13972" s="16" t="str">
        <f>IFERROR(__xludf.DUMMYFUNCTION("""COMPUTED_VALUE"""),"")</f>
        <v/>
      </c>
      <c r="W13972" s="16" t="str">
        <f>IFERROR(__xludf.DUMMYFUNCTION("""COMPUTED_VALUE"""),"")</f>
        <v/>
      </c>
      <c r="X13972" s="16" t="str">
        <f>IFERROR(__xludf.DUMMYFUNCTION("""COMPUTED_VALUE"""),"")</f>
        <v/>
      </c>
      <c r="AC13972" s="16" t="str">
        <f>IFERROR(__xludf.DUMMYFUNCTION("""COMPUTED_VALUE"""),"")</f>
        <v/>
      </c>
    </row>
    <row r="13973">
      <c r="A13973" s="16" t="s">
        <v>87</v>
      </c>
      <c r="E13973" s="16" t="str">
        <f>IFERROR(__xludf.DUMMYFUNCTION("""COMPUTED_VALUE"""),"")</f>
        <v/>
      </c>
      <c r="G13973" s="18"/>
      <c r="H13973" s="16" t="s">
        <v>87</v>
      </c>
      <c r="I13973" s="16" t="s">
        <v>87</v>
      </c>
      <c r="J13973" s="19"/>
      <c r="L13973" s="16" t="str">
        <f>IFERROR(__xludf.DUMMYFUNCTION("""COMPUTED_VALUE"""),"")</f>
        <v/>
      </c>
      <c r="M13973" s="16" t="str">
        <f>IFERROR(__xludf.DUMMYFUNCTION("""COMPUTED_VALUE"""),"")</f>
        <v/>
      </c>
      <c r="U13973" s="16" t="s">
        <v>87</v>
      </c>
      <c r="V13973" s="16" t="str">
        <f>IFERROR(__xludf.DUMMYFUNCTION("""COMPUTED_VALUE"""),"")</f>
        <v/>
      </c>
      <c r="W13973" s="16" t="str">
        <f>IFERROR(__xludf.DUMMYFUNCTION("""COMPUTED_VALUE"""),"")</f>
        <v/>
      </c>
      <c r="X13973" s="16" t="str">
        <f>IFERROR(__xludf.DUMMYFUNCTION("""COMPUTED_VALUE"""),"")</f>
        <v/>
      </c>
      <c r="AC13973" s="16" t="str">
        <f>IFERROR(__xludf.DUMMYFUNCTION("""COMPUTED_VALUE"""),"")</f>
        <v/>
      </c>
    </row>
    <row r="13974">
      <c r="A13974" s="16" t="s">
        <v>87</v>
      </c>
      <c r="E13974" s="16" t="str">
        <f>IFERROR(__xludf.DUMMYFUNCTION("""COMPUTED_VALUE"""),"")</f>
        <v/>
      </c>
      <c r="G13974" s="18"/>
      <c r="H13974" s="16" t="s">
        <v>87</v>
      </c>
      <c r="I13974" s="16" t="s">
        <v>87</v>
      </c>
      <c r="J13974" s="19"/>
      <c r="L13974" s="16" t="str">
        <f>IFERROR(__xludf.DUMMYFUNCTION("""COMPUTED_VALUE"""),"")</f>
        <v/>
      </c>
      <c r="M13974" s="16" t="str">
        <f>IFERROR(__xludf.DUMMYFUNCTION("""COMPUTED_VALUE"""),"")</f>
        <v/>
      </c>
      <c r="U13974" s="16" t="s">
        <v>87</v>
      </c>
      <c r="V13974" s="16" t="str">
        <f>IFERROR(__xludf.DUMMYFUNCTION("""COMPUTED_VALUE"""),"")</f>
        <v/>
      </c>
      <c r="W13974" s="16" t="str">
        <f>IFERROR(__xludf.DUMMYFUNCTION("""COMPUTED_VALUE"""),"")</f>
        <v/>
      </c>
      <c r="X13974" s="16" t="str">
        <f>IFERROR(__xludf.DUMMYFUNCTION("""COMPUTED_VALUE"""),"")</f>
        <v/>
      </c>
      <c r="AC13974" s="16" t="str">
        <f>IFERROR(__xludf.DUMMYFUNCTION("""COMPUTED_VALUE"""),"")</f>
        <v/>
      </c>
    </row>
    <row r="13975">
      <c r="A13975" s="16" t="s">
        <v>87</v>
      </c>
      <c r="E13975" s="16" t="str">
        <f>IFERROR(__xludf.DUMMYFUNCTION("""COMPUTED_VALUE"""),"")</f>
        <v/>
      </c>
      <c r="G13975" s="18"/>
      <c r="H13975" s="16" t="s">
        <v>87</v>
      </c>
      <c r="I13975" s="16" t="s">
        <v>87</v>
      </c>
      <c r="J13975" s="19"/>
      <c r="L13975" s="16" t="str">
        <f>IFERROR(__xludf.DUMMYFUNCTION("""COMPUTED_VALUE"""),"")</f>
        <v/>
      </c>
      <c r="M13975" s="16" t="str">
        <f>IFERROR(__xludf.DUMMYFUNCTION("""COMPUTED_VALUE"""),"")</f>
        <v/>
      </c>
      <c r="U13975" s="16" t="s">
        <v>87</v>
      </c>
      <c r="V13975" s="16" t="str">
        <f>IFERROR(__xludf.DUMMYFUNCTION("""COMPUTED_VALUE"""),"")</f>
        <v/>
      </c>
      <c r="W13975" s="16" t="str">
        <f>IFERROR(__xludf.DUMMYFUNCTION("""COMPUTED_VALUE"""),"")</f>
        <v/>
      </c>
      <c r="X13975" s="16" t="str">
        <f>IFERROR(__xludf.DUMMYFUNCTION("""COMPUTED_VALUE"""),"")</f>
        <v/>
      </c>
      <c r="AC13975" s="16" t="str">
        <f>IFERROR(__xludf.DUMMYFUNCTION("""COMPUTED_VALUE"""),"")</f>
        <v/>
      </c>
    </row>
    <row r="13976">
      <c r="A13976" s="16" t="s">
        <v>87</v>
      </c>
      <c r="E13976" s="16" t="str">
        <f>IFERROR(__xludf.DUMMYFUNCTION("""COMPUTED_VALUE"""),"")</f>
        <v/>
      </c>
      <c r="G13976" s="18"/>
      <c r="H13976" s="16" t="s">
        <v>87</v>
      </c>
      <c r="I13976" s="16" t="s">
        <v>87</v>
      </c>
      <c r="J13976" s="19"/>
      <c r="L13976" s="16" t="str">
        <f>IFERROR(__xludf.DUMMYFUNCTION("""COMPUTED_VALUE"""),"")</f>
        <v/>
      </c>
      <c r="M13976" s="16" t="str">
        <f>IFERROR(__xludf.DUMMYFUNCTION("""COMPUTED_VALUE"""),"")</f>
        <v/>
      </c>
      <c r="U13976" s="16" t="s">
        <v>87</v>
      </c>
      <c r="V13976" s="16" t="str">
        <f>IFERROR(__xludf.DUMMYFUNCTION("""COMPUTED_VALUE"""),"")</f>
        <v/>
      </c>
      <c r="W13976" s="16" t="str">
        <f>IFERROR(__xludf.DUMMYFUNCTION("""COMPUTED_VALUE"""),"")</f>
        <v/>
      </c>
      <c r="X13976" s="16" t="str">
        <f>IFERROR(__xludf.DUMMYFUNCTION("""COMPUTED_VALUE"""),"")</f>
        <v/>
      </c>
      <c r="AC13976" s="16" t="str">
        <f>IFERROR(__xludf.DUMMYFUNCTION("""COMPUTED_VALUE"""),"")</f>
        <v/>
      </c>
    </row>
    <row r="13977">
      <c r="A13977" s="16" t="s">
        <v>87</v>
      </c>
      <c r="E13977" s="16" t="str">
        <f>IFERROR(__xludf.DUMMYFUNCTION("""COMPUTED_VALUE"""),"")</f>
        <v/>
      </c>
      <c r="G13977" s="18"/>
      <c r="H13977" s="16" t="s">
        <v>87</v>
      </c>
      <c r="I13977" s="16" t="s">
        <v>87</v>
      </c>
      <c r="J13977" s="19"/>
      <c r="L13977" s="16" t="str">
        <f>IFERROR(__xludf.DUMMYFUNCTION("""COMPUTED_VALUE"""),"")</f>
        <v/>
      </c>
      <c r="M13977" s="16" t="str">
        <f>IFERROR(__xludf.DUMMYFUNCTION("""COMPUTED_VALUE"""),"")</f>
        <v/>
      </c>
      <c r="U13977" s="16" t="s">
        <v>87</v>
      </c>
      <c r="V13977" s="16" t="str">
        <f>IFERROR(__xludf.DUMMYFUNCTION("""COMPUTED_VALUE"""),"")</f>
        <v/>
      </c>
      <c r="W13977" s="16" t="str">
        <f>IFERROR(__xludf.DUMMYFUNCTION("""COMPUTED_VALUE"""),"")</f>
        <v/>
      </c>
      <c r="X13977" s="16" t="str">
        <f>IFERROR(__xludf.DUMMYFUNCTION("""COMPUTED_VALUE"""),"")</f>
        <v/>
      </c>
      <c r="AC13977" s="16" t="str">
        <f>IFERROR(__xludf.DUMMYFUNCTION("""COMPUTED_VALUE"""),"")</f>
        <v/>
      </c>
    </row>
    <row r="13978">
      <c r="A13978" s="16" t="s">
        <v>87</v>
      </c>
      <c r="E13978" s="16" t="str">
        <f>IFERROR(__xludf.DUMMYFUNCTION("""COMPUTED_VALUE"""),"")</f>
        <v/>
      </c>
      <c r="G13978" s="18"/>
      <c r="H13978" s="16" t="s">
        <v>87</v>
      </c>
      <c r="I13978" s="16" t="s">
        <v>87</v>
      </c>
      <c r="J13978" s="19"/>
      <c r="L13978" s="16" t="str">
        <f>IFERROR(__xludf.DUMMYFUNCTION("""COMPUTED_VALUE"""),"")</f>
        <v/>
      </c>
      <c r="M13978" s="16" t="str">
        <f>IFERROR(__xludf.DUMMYFUNCTION("""COMPUTED_VALUE"""),"")</f>
        <v/>
      </c>
      <c r="U13978" s="16" t="s">
        <v>87</v>
      </c>
      <c r="V13978" s="16" t="str">
        <f>IFERROR(__xludf.DUMMYFUNCTION("""COMPUTED_VALUE"""),"")</f>
        <v/>
      </c>
      <c r="W13978" s="16" t="str">
        <f>IFERROR(__xludf.DUMMYFUNCTION("""COMPUTED_VALUE"""),"")</f>
        <v/>
      </c>
      <c r="X13978" s="16" t="str">
        <f>IFERROR(__xludf.DUMMYFUNCTION("""COMPUTED_VALUE"""),"")</f>
        <v/>
      </c>
      <c r="AC13978" s="16" t="str">
        <f>IFERROR(__xludf.DUMMYFUNCTION("""COMPUTED_VALUE"""),"")</f>
        <v/>
      </c>
    </row>
    <row r="13979">
      <c r="A13979" s="16" t="s">
        <v>87</v>
      </c>
      <c r="E13979" s="16" t="str">
        <f>IFERROR(__xludf.DUMMYFUNCTION("""COMPUTED_VALUE"""),"")</f>
        <v/>
      </c>
      <c r="G13979" s="18"/>
      <c r="H13979" s="16" t="s">
        <v>87</v>
      </c>
      <c r="I13979" s="16" t="s">
        <v>87</v>
      </c>
      <c r="J13979" s="19"/>
      <c r="L13979" s="16" t="str">
        <f>IFERROR(__xludf.DUMMYFUNCTION("""COMPUTED_VALUE"""),"")</f>
        <v/>
      </c>
      <c r="M13979" s="16" t="str">
        <f>IFERROR(__xludf.DUMMYFUNCTION("""COMPUTED_VALUE"""),"")</f>
        <v/>
      </c>
      <c r="U13979" s="16" t="s">
        <v>87</v>
      </c>
      <c r="V13979" s="16" t="str">
        <f>IFERROR(__xludf.DUMMYFUNCTION("""COMPUTED_VALUE"""),"")</f>
        <v/>
      </c>
      <c r="W13979" s="16" t="str">
        <f>IFERROR(__xludf.DUMMYFUNCTION("""COMPUTED_VALUE"""),"")</f>
        <v/>
      </c>
      <c r="X13979" s="16" t="str">
        <f>IFERROR(__xludf.DUMMYFUNCTION("""COMPUTED_VALUE"""),"")</f>
        <v/>
      </c>
      <c r="AC13979" s="16" t="str">
        <f>IFERROR(__xludf.DUMMYFUNCTION("""COMPUTED_VALUE"""),"")</f>
        <v/>
      </c>
    </row>
    <row r="13980">
      <c r="A13980" s="16" t="s">
        <v>87</v>
      </c>
      <c r="E13980" s="16" t="str">
        <f>IFERROR(__xludf.DUMMYFUNCTION("""COMPUTED_VALUE"""),"")</f>
        <v/>
      </c>
      <c r="G13980" s="18"/>
      <c r="H13980" s="16" t="s">
        <v>87</v>
      </c>
      <c r="I13980" s="16" t="s">
        <v>87</v>
      </c>
      <c r="J13980" s="19"/>
      <c r="L13980" s="16" t="str">
        <f>IFERROR(__xludf.DUMMYFUNCTION("""COMPUTED_VALUE"""),"")</f>
        <v/>
      </c>
      <c r="M13980" s="16" t="str">
        <f>IFERROR(__xludf.DUMMYFUNCTION("""COMPUTED_VALUE"""),"")</f>
        <v/>
      </c>
      <c r="U13980" s="16" t="s">
        <v>87</v>
      </c>
      <c r="V13980" s="16" t="str">
        <f>IFERROR(__xludf.DUMMYFUNCTION("""COMPUTED_VALUE"""),"")</f>
        <v/>
      </c>
      <c r="W13980" s="16" t="str">
        <f>IFERROR(__xludf.DUMMYFUNCTION("""COMPUTED_VALUE"""),"")</f>
        <v/>
      </c>
      <c r="X13980" s="16" t="str">
        <f>IFERROR(__xludf.DUMMYFUNCTION("""COMPUTED_VALUE"""),"")</f>
        <v/>
      </c>
      <c r="AC13980" s="16" t="str">
        <f>IFERROR(__xludf.DUMMYFUNCTION("""COMPUTED_VALUE"""),"")</f>
        <v/>
      </c>
    </row>
    <row r="13981">
      <c r="A13981" s="16" t="s">
        <v>87</v>
      </c>
      <c r="E13981" s="16" t="str">
        <f>IFERROR(__xludf.DUMMYFUNCTION("""COMPUTED_VALUE"""),"")</f>
        <v/>
      </c>
      <c r="G13981" s="18"/>
      <c r="H13981" s="16" t="s">
        <v>87</v>
      </c>
      <c r="I13981" s="16" t="s">
        <v>87</v>
      </c>
      <c r="J13981" s="19"/>
      <c r="L13981" s="16" t="str">
        <f>IFERROR(__xludf.DUMMYFUNCTION("""COMPUTED_VALUE"""),"")</f>
        <v/>
      </c>
      <c r="M13981" s="16" t="str">
        <f>IFERROR(__xludf.DUMMYFUNCTION("""COMPUTED_VALUE"""),"")</f>
        <v/>
      </c>
      <c r="U13981" s="16" t="s">
        <v>87</v>
      </c>
      <c r="V13981" s="16" t="str">
        <f>IFERROR(__xludf.DUMMYFUNCTION("""COMPUTED_VALUE"""),"")</f>
        <v/>
      </c>
      <c r="W13981" s="16" t="str">
        <f>IFERROR(__xludf.DUMMYFUNCTION("""COMPUTED_VALUE"""),"")</f>
        <v/>
      </c>
      <c r="X13981" s="16" t="str">
        <f>IFERROR(__xludf.DUMMYFUNCTION("""COMPUTED_VALUE"""),"")</f>
        <v/>
      </c>
      <c r="AC13981" s="16" t="str">
        <f>IFERROR(__xludf.DUMMYFUNCTION("""COMPUTED_VALUE"""),"")</f>
        <v/>
      </c>
    </row>
    <row r="13982">
      <c r="A13982" s="16" t="s">
        <v>87</v>
      </c>
      <c r="E13982" s="16" t="str">
        <f>IFERROR(__xludf.DUMMYFUNCTION("""COMPUTED_VALUE"""),"")</f>
        <v/>
      </c>
      <c r="G13982" s="18"/>
      <c r="H13982" s="16" t="s">
        <v>87</v>
      </c>
      <c r="I13982" s="16" t="s">
        <v>87</v>
      </c>
      <c r="J13982" s="19"/>
      <c r="L13982" s="16" t="str">
        <f>IFERROR(__xludf.DUMMYFUNCTION("""COMPUTED_VALUE"""),"")</f>
        <v/>
      </c>
      <c r="M13982" s="16" t="str">
        <f>IFERROR(__xludf.DUMMYFUNCTION("""COMPUTED_VALUE"""),"")</f>
        <v/>
      </c>
      <c r="U13982" s="16" t="s">
        <v>87</v>
      </c>
      <c r="V13982" s="16" t="str">
        <f>IFERROR(__xludf.DUMMYFUNCTION("""COMPUTED_VALUE"""),"")</f>
        <v/>
      </c>
      <c r="W13982" s="16" t="str">
        <f>IFERROR(__xludf.DUMMYFUNCTION("""COMPUTED_VALUE"""),"")</f>
        <v/>
      </c>
      <c r="X13982" s="16" t="str">
        <f>IFERROR(__xludf.DUMMYFUNCTION("""COMPUTED_VALUE"""),"")</f>
        <v/>
      </c>
      <c r="AC13982" s="16" t="str">
        <f>IFERROR(__xludf.DUMMYFUNCTION("""COMPUTED_VALUE"""),"")</f>
        <v/>
      </c>
    </row>
    <row r="13983">
      <c r="A13983" s="16" t="s">
        <v>87</v>
      </c>
      <c r="E13983" s="16" t="str">
        <f>IFERROR(__xludf.DUMMYFUNCTION("""COMPUTED_VALUE"""),"")</f>
        <v/>
      </c>
      <c r="G13983" s="18"/>
      <c r="H13983" s="16" t="s">
        <v>87</v>
      </c>
      <c r="I13983" s="16" t="s">
        <v>87</v>
      </c>
      <c r="J13983" s="19"/>
      <c r="L13983" s="16" t="str">
        <f>IFERROR(__xludf.DUMMYFUNCTION("""COMPUTED_VALUE"""),"")</f>
        <v/>
      </c>
      <c r="M13983" s="16" t="str">
        <f>IFERROR(__xludf.DUMMYFUNCTION("""COMPUTED_VALUE"""),"")</f>
        <v/>
      </c>
      <c r="U13983" s="16" t="s">
        <v>87</v>
      </c>
      <c r="V13983" s="16" t="str">
        <f>IFERROR(__xludf.DUMMYFUNCTION("""COMPUTED_VALUE"""),"")</f>
        <v/>
      </c>
      <c r="W13983" s="16" t="str">
        <f>IFERROR(__xludf.DUMMYFUNCTION("""COMPUTED_VALUE"""),"")</f>
        <v/>
      </c>
      <c r="X13983" s="16" t="str">
        <f>IFERROR(__xludf.DUMMYFUNCTION("""COMPUTED_VALUE"""),"")</f>
        <v/>
      </c>
      <c r="AC13983" s="16" t="str">
        <f>IFERROR(__xludf.DUMMYFUNCTION("""COMPUTED_VALUE"""),"")</f>
        <v/>
      </c>
    </row>
    <row r="13984">
      <c r="A13984" s="16" t="s">
        <v>87</v>
      </c>
      <c r="E13984" s="16" t="str">
        <f>IFERROR(__xludf.DUMMYFUNCTION("""COMPUTED_VALUE"""),"")</f>
        <v/>
      </c>
      <c r="G13984" s="18"/>
      <c r="H13984" s="16" t="s">
        <v>87</v>
      </c>
      <c r="I13984" s="16" t="s">
        <v>87</v>
      </c>
      <c r="J13984" s="19"/>
      <c r="L13984" s="16" t="str">
        <f>IFERROR(__xludf.DUMMYFUNCTION("""COMPUTED_VALUE"""),"")</f>
        <v/>
      </c>
      <c r="M13984" s="16" t="str">
        <f>IFERROR(__xludf.DUMMYFUNCTION("""COMPUTED_VALUE"""),"")</f>
        <v/>
      </c>
      <c r="U13984" s="16" t="s">
        <v>87</v>
      </c>
      <c r="V13984" s="16" t="str">
        <f>IFERROR(__xludf.DUMMYFUNCTION("""COMPUTED_VALUE"""),"")</f>
        <v/>
      </c>
      <c r="W13984" s="16" t="str">
        <f>IFERROR(__xludf.DUMMYFUNCTION("""COMPUTED_VALUE"""),"")</f>
        <v/>
      </c>
      <c r="X13984" s="16" t="str">
        <f>IFERROR(__xludf.DUMMYFUNCTION("""COMPUTED_VALUE"""),"")</f>
        <v/>
      </c>
      <c r="AC13984" s="16" t="str">
        <f>IFERROR(__xludf.DUMMYFUNCTION("""COMPUTED_VALUE"""),"")</f>
        <v/>
      </c>
    </row>
    <row r="13985">
      <c r="A13985" s="16" t="s">
        <v>87</v>
      </c>
      <c r="E13985" s="16" t="str">
        <f>IFERROR(__xludf.DUMMYFUNCTION("""COMPUTED_VALUE"""),"")</f>
        <v/>
      </c>
      <c r="G13985" s="18"/>
      <c r="H13985" s="16" t="s">
        <v>87</v>
      </c>
      <c r="I13985" s="16" t="s">
        <v>87</v>
      </c>
      <c r="J13985" s="19"/>
      <c r="L13985" s="16" t="str">
        <f>IFERROR(__xludf.DUMMYFUNCTION("""COMPUTED_VALUE"""),"")</f>
        <v/>
      </c>
      <c r="M13985" s="16" t="str">
        <f>IFERROR(__xludf.DUMMYFUNCTION("""COMPUTED_VALUE"""),"")</f>
        <v/>
      </c>
      <c r="U13985" s="16" t="s">
        <v>87</v>
      </c>
      <c r="V13985" s="16" t="str">
        <f>IFERROR(__xludf.DUMMYFUNCTION("""COMPUTED_VALUE"""),"")</f>
        <v/>
      </c>
      <c r="W13985" s="16" t="str">
        <f>IFERROR(__xludf.DUMMYFUNCTION("""COMPUTED_VALUE"""),"")</f>
        <v/>
      </c>
      <c r="X13985" s="16" t="str">
        <f>IFERROR(__xludf.DUMMYFUNCTION("""COMPUTED_VALUE"""),"")</f>
        <v/>
      </c>
      <c r="AC13985" s="16" t="str">
        <f>IFERROR(__xludf.DUMMYFUNCTION("""COMPUTED_VALUE"""),"")</f>
        <v/>
      </c>
    </row>
    <row r="13986">
      <c r="A13986" s="16" t="s">
        <v>87</v>
      </c>
      <c r="E13986" s="16" t="str">
        <f>IFERROR(__xludf.DUMMYFUNCTION("""COMPUTED_VALUE"""),"")</f>
        <v/>
      </c>
      <c r="G13986" s="18"/>
      <c r="H13986" s="16" t="s">
        <v>87</v>
      </c>
      <c r="I13986" s="16" t="s">
        <v>87</v>
      </c>
      <c r="J13986" s="19"/>
      <c r="L13986" s="16" t="str">
        <f>IFERROR(__xludf.DUMMYFUNCTION("""COMPUTED_VALUE"""),"")</f>
        <v/>
      </c>
      <c r="M13986" s="16" t="str">
        <f>IFERROR(__xludf.DUMMYFUNCTION("""COMPUTED_VALUE"""),"")</f>
        <v/>
      </c>
      <c r="U13986" s="16" t="s">
        <v>87</v>
      </c>
      <c r="V13986" s="16" t="str">
        <f>IFERROR(__xludf.DUMMYFUNCTION("""COMPUTED_VALUE"""),"")</f>
        <v/>
      </c>
      <c r="W13986" s="16" t="str">
        <f>IFERROR(__xludf.DUMMYFUNCTION("""COMPUTED_VALUE"""),"")</f>
        <v/>
      </c>
      <c r="X13986" s="16" t="str">
        <f>IFERROR(__xludf.DUMMYFUNCTION("""COMPUTED_VALUE"""),"")</f>
        <v/>
      </c>
      <c r="AC13986" s="16" t="str">
        <f>IFERROR(__xludf.DUMMYFUNCTION("""COMPUTED_VALUE"""),"")</f>
        <v/>
      </c>
    </row>
    <row r="13987">
      <c r="A13987" s="16" t="s">
        <v>87</v>
      </c>
      <c r="E13987" s="16" t="str">
        <f>IFERROR(__xludf.DUMMYFUNCTION("""COMPUTED_VALUE"""),"")</f>
        <v/>
      </c>
      <c r="G13987" s="18"/>
      <c r="H13987" s="16" t="s">
        <v>87</v>
      </c>
      <c r="I13987" s="16" t="s">
        <v>87</v>
      </c>
      <c r="J13987" s="19"/>
      <c r="L13987" s="16" t="str">
        <f>IFERROR(__xludf.DUMMYFUNCTION("""COMPUTED_VALUE"""),"")</f>
        <v/>
      </c>
      <c r="M13987" s="16" t="str">
        <f>IFERROR(__xludf.DUMMYFUNCTION("""COMPUTED_VALUE"""),"")</f>
        <v/>
      </c>
      <c r="U13987" s="16" t="s">
        <v>87</v>
      </c>
      <c r="V13987" s="16" t="str">
        <f>IFERROR(__xludf.DUMMYFUNCTION("""COMPUTED_VALUE"""),"")</f>
        <v/>
      </c>
      <c r="W13987" s="16" t="str">
        <f>IFERROR(__xludf.DUMMYFUNCTION("""COMPUTED_VALUE"""),"")</f>
        <v/>
      </c>
      <c r="X13987" s="16" t="str">
        <f>IFERROR(__xludf.DUMMYFUNCTION("""COMPUTED_VALUE"""),"")</f>
        <v/>
      </c>
      <c r="AC13987" s="16" t="str">
        <f>IFERROR(__xludf.DUMMYFUNCTION("""COMPUTED_VALUE"""),"")</f>
        <v/>
      </c>
    </row>
    <row r="13988">
      <c r="A13988" s="16" t="s">
        <v>87</v>
      </c>
      <c r="E13988" s="16" t="str">
        <f>IFERROR(__xludf.DUMMYFUNCTION("""COMPUTED_VALUE"""),"")</f>
        <v/>
      </c>
      <c r="G13988" s="18"/>
      <c r="H13988" s="16" t="s">
        <v>87</v>
      </c>
      <c r="I13988" s="16" t="s">
        <v>87</v>
      </c>
      <c r="J13988" s="19"/>
      <c r="L13988" s="16" t="str">
        <f>IFERROR(__xludf.DUMMYFUNCTION("""COMPUTED_VALUE"""),"")</f>
        <v/>
      </c>
      <c r="M13988" s="16" t="str">
        <f>IFERROR(__xludf.DUMMYFUNCTION("""COMPUTED_VALUE"""),"")</f>
        <v/>
      </c>
      <c r="U13988" s="16" t="s">
        <v>87</v>
      </c>
      <c r="V13988" s="16" t="str">
        <f>IFERROR(__xludf.DUMMYFUNCTION("""COMPUTED_VALUE"""),"")</f>
        <v/>
      </c>
      <c r="W13988" s="16" t="str">
        <f>IFERROR(__xludf.DUMMYFUNCTION("""COMPUTED_VALUE"""),"")</f>
        <v/>
      </c>
      <c r="X13988" s="16" t="str">
        <f>IFERROR(__xludf.DUMMYFUNCTION("""COMPUTED_VALUE"""),"")</f>
        <v/>
      </c>
      <c r="AC13988" s="16" t="str">
        <f>IFERROR(__xludf.DUMMYFUNCTION("""COMPUTED_VALUE"""),"")</f>
        <v/>
      </c>
    </row>
    <row r="13989">
      <c r="A13989" s="16" t="s">
        <v>87</v>
      </c>
      <c r="E13989" s="16" t="str">
        <f>IFERROR(__xludf.DUMMYFUNCTION("""COMPUTED_VALUE"""),"")</f>
        <v/>
      </c>
      <c r="G13989" s="18"/>
      <c r="H13989" s="16" t="s">
        <v>87</v>
      </c>
      <c r="I13989" s="16" t="s">
        <v>87</v>
      </c>
      <c r="J13989" s="19"/>
      <c r="L13989" s="16" t="str">
        <f>IFERROR(__xludf.DUMMYFUNCTION("""COMPUTED_VALUE"""),"")</f>
        <v/>
      </c>
      <c r="M13989" s="16" t="str">
        <f>IFERROR(__xludf.DUMMYFUNCTION("""COMPUTED_VALUE"""),"")</f>
        <v/>
      </c>
      <c r="U13989" s="16" t="s">
        <v>87</v>
      </c>
      <c r="V13989" s="16" t="str">
        <f>IFERROR(__xludf.DUMMYFUNCTION("""COMPUTED_VALUE"""),"")</f>
        <v/>
      </c>
      <c r="W13989" s="16" t="str">
        <f>IFERROR(__xludf.DUMMYFUNCTION("""COMPUTED_VALUE"""),"")</f>
        <v/>
      </c>
      <c r="X13989" s="16" t="str">
        <f>IFERROR(__xludf.DUMMYFUNCTION("""COMPUTED_VALUE"""),"")</f>
        <v/>
      </c>
      <c r="AC13989" s="16" t="str">
        <f>IFERROR(__xludf.DUMMYFUNCTION("""COMPUTED_VALUE"""),"")</f>
        <v/>
      </c>
    </row>
    <row r="13990">
      <c r="A13990" s="16" t="s">
        <v>87</v>
      </c>
      <c r="E13990" s="16" t="str">
        <f>IFERROR(__xludf.DUMMYFUNCTION("""COMPUTED_VALUE"""),"")</f>
        <v/>
      </c>
      <c r="G13990" s="18"/>
      <c r="H13990" s="16" t="s">
        <v>87</v>
      </c>
      <c r="I13990" s="16" t="s">
        <v>87</v>
      </c>
      <c r="J13990" s="19"/>
      <c r="L13990" s="16" t="str">
        <f>IFERROR(__xludf.DUMMYFUNCTION("""COMPUTED_VALUE"""),"")</f>
        <v/>
      </c>
      <c r="M13990" s="16" t="str">
        <f>IFERROR(__xludf.DUMMYFUNCTION("""COMPUTED_VALUE"""),"")</f>
        <v/>
      </c>
      <c r="U13990" s="16" t="s">
        <v>87</v>
      </c>
      <c r="V13990" s="16" t="str">
        <f>IFERROR(__xludf.DUMMYFUNCTION("""COMPUTED_VALUE"""),"")</f>
        <v/>
      </c>
      <c r="W13990" s="16" t="str">
        <f>IFERROR(__xludf.DUMMYFUNCTION("""COMPUTED_VALUE"""),"")</f>
        <v/>
      </c>
      <c r="X13990" s="16" t="str">
        <f>IFERROR(__xludf.DUMMYFUNCTION("""COMPUTED_VALUE"""),"")</f>
        <v/>
      </c>
      <c r="AC13990" s="16" t="str">
        <f>IFERROR(__xludf.DUMMYFUNCTION("""COMPUTED_VALUE"""),"")</f>
        <v/>
      </c>
    </row>
    <row r="13991">
      <c r="A13991" s="16" t="s">
        <v>87</v>
      </c>
      <c r="E13991" s="16" t="str">
        <f>IFERROR(__xludf.DUMMYFUNCTION("""COMPUTED_VALUE"""),"")</f>
        <v/>
      </c>
      <c r="G13991" s="18"/>
      <c r="H13991" s="16" t="s">
        <v>87</v>
      </c>
      <c r="I13991" s="16" t="s">
        <v>87</v>
      </c>
      <c r="J13991" s="19"/>
      <c r="L13991" s="16" t="str">
        <f>IFERROR(__xludf.DUMMYFUNCTION("""COMPUTED_VALUE"""),"")</f>
        <v/>
      </c>
      <c r="M13991" s="16" t="str">
        <f>IFERROR(__xludf.DUMMYFUNCTION("""COMPUTED_VALUE"""),"")</f>
        <v/>
      </c>
      <c r="U13991" s="16" t="s">
        <v>87</v>
      </c>
      <c r="V13991" s="16" t="str">
        <f>IFERROR(__xludf.DUMMYFUNCTION("""COMPUTED_VALUE"""),"")</f>
        <v/>
      </c>
      <c r="W13991" s="16" t="str">
        <f>IFERROR(__xludf.DUMMYFUNCTION("""COMPUTED_VALUE"""),"")</f>
        <v/>
      </c>
      <c r="X13991" s="16" t="str">
        <f>IFERROR(__xludf.DUMMYFUNCTION("""COMPUTED_VALUE"""),"")</f>
        <v/>
      </c>
      <c r="AC13991" s="16" t="str">
        <f>IFERROR(__xludf.DUMMYFUNCTION("""COMPUTED_VALUE"""),"")</f>
        <v/>
      </c>
    </row>
    <row r="13992">
      <c r="A13992" s="16" t="s">
        <v>87</v>
      </c>
      <c r="E13992" s="16" t="str">
        <f>IFERROR(__xludf.DUMMYFUNCTION("""COMPUTED_VALUE"""),"")</f>
        <v/>
      </c>
      <c r="G13992" s="18"/>
      <c r="H13992" s="16" t="s">
        <v>87</v>
      </c>
      <c r="I13992" s="16" t="s">
        <v>87</v>
      </c>
      <c r="J13992" s="19"/>
      <c r="L13992" s="16" t="str">
        <f>IFERROR(__xludf.DUMMYFUNCTION("""COMPUTED_VALUE"""),"")</f>
        <v/>
      </c>
      <c r="M13992" s="16" t="str">
        <f>IFERROR(__xludf.DUMMYFUNCTION("""COMPUTED_VALUE"""),"")</f>
        <v/>
      </c>
      <c r="U13992" s="16" t="s">
        <v>87</v>
      </c>
      <c r="V13992" s="16" t="str">
        <f>IFERROR(__xludf.DUMMYFUNCTION("""COMPUTED_VALUE"""),"")</f>
        <v/>
      </c>
      <c r="W13992" s="16" t="str">
        <f>IFERROR(__xludf.DUMMYFUNCTION("""COMPUTED_VALUE"""),"")</f>
        <v/>
      </c>
      <c r="X13992" s="16" t="str">
        <f>IFERROR(__xludf.DUMMYFUNCTION("""COMPUTED_VALUE"""),"")</f>
        <v/>
      </c>
      <c r="AC13992" s="16" t="str">
        <f>IFERROR(__xludf.DUMMYFUNCTION("""COMPUTED_VALUE"""),"")</f>
        <v/>
      </c>
    </row>
    <row r="13993">
      <c r="A13993" s="16" t="s">
        <v>87</v>
      </c>
      <c r="E13993" s="16" t="str">
        <f>IFERROR(__xludf.DUMMYFUNCTION("""COMPUTED_VALUE"""),"")</f>
        <v/>
      </c>
      <c r="G13993" s="18"/>
      <c r="H13993" s="16" t="s">
        <v>87</v>
      </c>
      <c r="I13993" s="16" t="s">
        <v>87</v>
      </c>
      <c r="J13993" s="19"/>
      <c r="L13993" s="16" t="str">
        <f>IFERROR(__xludf.DUMMYFUNCTION("""COMPUTED_VALUE"""),"")</f>
        <v/>
      </c>
      <c r="M13993" s="16" t="str">
        <f>IFERROR(__xludf.DUMMYFUNCTION("""COMPUTED_VALUE"""),"")</f>
        <v/>
      </c>
      <c r="U13993" s="16" t="s">
        <v>87</v>
      </c>
      <c r="V13993" s="16" t="str">
        <f>IFERROR(__xludf.DUMMYFUNCTION("""COMPUTED_VALUE"""),"")</f>
        <v/>
      </c>
      <c r="W13993" s="16" t="str">
        <f>IFERROR(__xludf.DUMMYFUNCTION("""COMPUTED_VALUE"""),"")</f>
        <v/>
      </c>
      <c r="X13993" s="16" t="str">
        <f>IFERROR(__xludf.DUMMYFUNCTION("""COMPUTED_VALUE"""),"")</f>
        <v/>
      </c>
      <c r="AC13993" s="16" t="str">
        <f>IFERROR(__xludf.DUMMYFUNCTION("""COMPUTED_VALUE"""),"")</f>
        <v/>
      </c>
    </row>
    <row r="13994">
      <c r="A13994" s="16" t="s">
        <v>87</v>
      </c>
      <c r="E13994" s="16" t="str">
        <f>IFERROR(__xludf.DUMMYFUNCTION("""COMPUTED_VALUE"""),"")</f>
        <v/>
      </c>
      <c r="G13994" s="18"/>
      <c r="H13994" s="16" t="s">
        <v>87</v>
      </c>
      <c r="I13994" s="16" t="s">
        <v>87</v>
      </c>
      <c r="J13994" s="19"/>
      <c r="L13994" s="16" t="str">
        <f>IFERROR(__xludf.DUMMYFUNCTION("""COMPUTED_VALUE"""),"")</f>
        <v/>
      </c>
      <c r="M13994" s="16" t="str">
        <f>IFERROR(__xludf.DUMMYFUNCTION("""COMPUTED_VALUE"""),"")</f>
        <v/>
      </c>
      <c r="U13994" s="16" t="s">
        <v>87</v>
      </c>
      <c r="V13994" s="16" t="str">
        <f>IFERROR(__xludf.DUMMYFUNCTION("""COMPUTED_VALUE"""),"")</f>
        <v/>
      </c>
      <c r="W13994" s="16" t="str">
        <f>IFERROR(__xludf.DUMMYFUNCTION("""COMPUTED_VALUE"""),"")</f>
        <v/>
      </c>
      <c r="X13994" s="16" t="str">
        <f>IFERROR(__xludf.DUMMYFUNCTION("""COMPUTED_VALUE"""),"")</f>
        <v/>
      </c>
      <c r="AC13994" s="16" t="str">
        <f>IFERROR(__xludf.DUMMYFUNCTION("""COMPUTED_VALUE"""),"")</f>
        <v/>
      </c>
    </row>
    <row r="13995">
      <c r="A13995" s="16" t="s">
        <v>87</v>
      </c>
      <c r="E13995" s="16" t="str">
        <f>IFERROR(__xludf.DUMMYFUNCTION("""COMPUTED_VALUE"""),"")</f>
        <v/>
      </c>
      <c r="G13995" s="18"/>
      <c r="H13995" s="16" t="s">
        <v>87</v>
      </c>
      <c r="I13995" s="16" t="s">
        <v>87</v>
      </c>
      <c r="J13995" s="19"/>
      <c r="L13995" s="16" t="str">
        <f>IFERROR(__xludf.DUMMYFUNCTION("""COMPUTED_VALUE"""),"")</f>
        <v/>
      </c>
      <c r="M13995" s="16" t="str">
        <f>IFERROR(__xludf.DUMMYFUNCTION("""COMPUTED_VALUE"""),"")</f>
        <v/>
      </c>
      <c r="U13995" s="16" t="s">
        <v>87</v>
      </c>
      <c r="V13995" s="16" t="str">
        <f>IFERROR(__xludf.DUMMYFUNCTION("""COMPUTED_VALUE"""),"")</f>
        <v/>
      </c>
      <c r="W13995" s="16" t="str">
        <f>IFERROR(__xludf.DUMMYFUNCTION("""COMPUTED_VALUE"""),"")</f>
        <v/>
      </c>
      <c r="X13995" s="16" t="str">
        <f>IFERROR(__xludf.DUMMYFUNCTION("""COMPUTED_VALUE"""),"")</f>
        <v/>
      </c>
      <c r="AC13995" s="16" t="str">
        <f>IFERROR(__xludf.DUMMYFUNCTION("""COMPUTED_VALUE"""),"")</f>
        <v/>
      </c>
    </row>
    <row r="13996">
      <c r="A13996" s="16" t="s">
        <v>87</v>
      </c>
      <c r="E13996" s="16" t="str">
        <f>IFERROR(__xludf.DUMMYFUNCTION("""COMPUTED_VALUE"""),"")</f>
        <v/>
      </c>
      <c r="G13996" s="18"/>
      <c r="H13996" s="16" t="s">
        <v>87</v>
      </c>
      <c r="I13996" s="16" t="s">
        <v>87</v>
      </c>
      <c r="J13996" s="19"/>
      <c r="L13996" s="16" t="str">
        <f>IFERROR(__xludf.DUMMYFUNCTION("""COMPUTED_VALUE"""),"")</f>
        <v/>
      </c>
      <c r="M13996" s="16" t="str">
        <f>IFERROR(__xludf.DUMMYFUNCTION("""COMPUTED_VALUE"""),"")</f>
        <v/>
      </c>
      <c r="U13996" s="16" t="s">
        <v>87</v>
      </c>
      <c r="V13996" s="16" t="str">
        <f>IFERROR(__xludf.DUMMYFUNCTION("""COMPUTED_VALUE"""),"")</f>
        <v/>
      </c>
      <c r="W13996" s="16" t="str">
        <f>IFERROR(__xludf.DUMMYFUNCTION("""COMPUTED_VALUE"""),"")</f>
        <v/>
      </c>
      <c r="X13996" s="16" t="str">
        <f>IFERROR(__xludf.DUMMYFUNCTION("""COMPUTED_VALUE"""),"")</f>
        <v/>
      </c>
      <c r="AC13996" s="16" t="str">
        <f>IFERROR(__xludf.DUMMYFUNCTION("""COMPUTED_VALUE"""),"")</f>
        <v/>
      </c>
    </row>
    <row r="13997">
      <c r="A13997" s="16" t="s">
        <v>87</v>
      </c>
      <c r="E13997" s="16" t="str">
        <f>IFERROR(__xludf.DUMMYFUNCTION("""COMPUTED_VALUE"""),"")</f>
        <v/>
      </c>
      <c r="G13997" s="18"/>
      <c r="H13997" s="16" t="s">
        <v>87</v>
      </c>
      <c r="I13997" s="16" t="s">
        <v>87</v>
      </c>
      <c r="J13997" s="19"/>
      <c r="L13997" s="16" t="str">
        <f>IFERROR(__xludf.DUMMYFUNCTION("""COMPUTED_VALUE"""),"")</f>
        <v/>
      </c>
      <c r="M13997" s="16" t="str">
        <f>IFERROR(__xludf.DUMMYFUNCTION("""COMPUTED_VALUE"""),"")</f>
        <v/>
      </c>
      <c r="U13997" s="16" t="s">
        <v>87</v>
      </c>
      <c r="V13997" s="16" t="str">
        <f>IFERROR(__xludf.DUMMYFUNCTION("""COMPUTED_VALUE"""),"")</f>
        <v/>
      </c>
      <c r="W13997" s="16" t="str">
        <f>IFERROR(__xludf.DUMMYFUNCTION("""COMPUTED_VALUE"""),"")</f>
        <v/>
      </c>
      <c r="X13997" s="16" t="str">
        <f>IFERROR(__xludf.DUMMYFUNCTION("""COMPUTED_VALUE"""),"")</f>
        <v/>
      </c>
      <c r="AC13997" s="16" t="str">
        <f>IFERROR(__xludf.DUMMYFUNCTION("""COMPUTED_VALUE"""),"")</f>
        <v/>
      </c>
    </row>
    <row r="13998">
      <c r="A13998" s="16" t="s">
        <v>87</v>
      </c>
      <c r="E13998" s="16" t="str">
        <f>IFERROR(__xludf.DUMMYFUNCTION("""COMPUTED_VALUE"""),"")</f>
        <v/>
      </c>
      <c r="G13998" s="18"/>
      <c r="H13998" s="16" t="s">
        <v>87</v>
      </c>
      <c r="I13998" s="16" t="s">
        <v>87</v>
      </c>
      <c r="J13998" s="19"/>
      <c r="L13998" s="16" t="str">
        <f>IFERROR(__xludf.DUMMYFUNCTION("""COMPUTED_VALUE"""),"")</f>
        <v/>
      </c>
      <c r="M13998" s="16" t="str">
        <f>IFERROR(__xludf.DUMMYFUNCTION("""COMPUTED_VALUE"""),"")</f>
        <v/>
      </c>
      <c r="U13998" s="16" t="s">
        <v>87</v>
      </c>
      <c r="V13998" s="16" t="str">
        <f>IFERROR(__xludf.DUMMYFUNCTION("""COMPUTED_VALUE"""),"")</f>
        <v/>
      </c>
      <c r="W13998" s="16" t="str">
        <f>IFERROR(__xludf.DUMMYFUNCTION("""COMPUTED_VALUE"""),"")</f>
        <v/>
      </c>
      <c r="X13998" s="16" t="str">
        <f>IFERROR(__xludf.DUMMYFUNCTION("""COMPUTED_VALUE"""),"")</f>
        <v/>
      </c>
      <c r="AC13998" s="16" t="str">
        <f>IFERROR(__xludf.DUMMYFUNCTION("""COMPUTED_VALUE"""),"")</f>
        <v/>
      </c>
    </row>
    <row r="13999">
      <c r="A13999" s="16" t="s">
        <v>87</v>
      </c>
      <c r="E13999" s="16" t="str">
        <f>IFERROR(__xludf.DUMMYFUNCTION("""COMPUTED_VALUE"""),"")</f>
        <v/>
      </c>
      <c r="G13999" s="18"/>
      <c r="H13999" s="16" t="s">
        <v>87</v>
      </c>
      <c r="I13999" s="16" t="s">
        <v>87</v>
      </c>
      <c r="J13999" s="19"/>
      <c r="L13999" s="16" t="str">
        <f>IFERROR(__xludf.DUMMYFUNCTION("""COMPUTED_VALUE"""),"")</f>
        <v/>
      </c>
      <c r="M13999" s="16" t="str">
        <f>IFERROR(__xludf.DUMMYFUNCTION("""COMPUTED_VALUE"""),"")</f>
        <v/>
      </c>
      <c r="U13999" s="16" t="s">
        <v>87</v>
      </c>
      <c r="V13999" s="16" t="str">
        <f>IFERROR(__xludf.DUMMYFUNCTION("""COMPUTED_VALUE"""),"")</f>
        <v/>
      </c>
      <c r="W13999" s="16" t="str">
        <f>IFERROR(__xludf.DUMMYFUNCTION("""COMPUTED_VALUE"""),"")</f>
        <v/>
      </c>
      <c r="X13999" s="16" t="str">
        <f>IFERROR(__xludf.DUMMYFUNCTION("""COMPUTED_VALUE"""),"")</f>
        <v/>
      </c>
      <c r="AC13999" s="16" t="str">
        <f>IFERROR(__xludf.DUMMYFUNCTION("""COMPUTED_VALUE"""),"")</f>
        <v/>
      </c>
    </row>
    <row r="14000">
      <c r="A14000" s="16" t="s">
        <v>87</v>
      </c>
      <c r="E14000" s="16" t="str">
        <f>IFERROR(__xludf.DUMMYFUNCTION("""COMPUTED_VALUE"""),"")</f>
        <v/>
      </c>
      <c r="G14000" s="18"/>
      <c r="H14000" s="16" t="s">
        <v>87</v>
      </c>
      <c r="I14000" s="16" t="s">
        <v>87</v>
      </c>
      <c r="J14000" s="19"/>
      <c r="L14000" s="16" t="str">
        <f>IFERROR(__xludf.DUMMYFUNCTION("""COMPUTED_VALUE"""),"")</f>
        <v/>
      </c>
      <c r="M14000" s="16" t="str">
        <f>IFERROR(__xludf.DUMMYFUNCTION("""COMPUTED_VALUE"""),"")</f>
        <v/>
      </c>
      <c r="U14000" s="16" t="s">
        <v>87</v>
      </c>
      <c r="V14000" s="16" t="str">
        <f>IFERROR(__xludf.DUMMYFUNCTION("""COMPUTED_VALUE"""),"")</f>
        <v/>
      </c>
      <c r="W14000" s="16" t="str">
        <f>IFERROR(__xludf.DUMMYFUNCTION("""COMPUTED_VALUE"""),"")</f>
        <v/>
      </c>
      <c r="X14000" s="16" t="str">
        <f>IFERROR(__xludf.DUMMYFUNCTION("""COMPUTED_VALUE"""),"")</f>
        <v/>
      </c>
      <c r="AC14000" s="16" t="str">
        <f>IFERROR(__xludf.DUMMYFUNCTION("""COMPUTED_VALUE"""),"")</f>
        <v/>
      </c>
    </row>
    <row r="14001">
      <c r="A14001" s="16" t="s">
        <v>87</v>
      </c>
      <c r="E14001" s="16" t="str">
        <f>IFERROR(__xludf.DUMMYFUNCTION("""COMPUTED_VALUE"""),"")</f>
        <v/>
      </c>
      <c r="G14001" s="18"/>
      <c r="H14001" s="16" t="s">
        <v>87</v>
      </c>
      <c r="I14001" s="16" t="s">
        <v>87</v>
      </c>
      <c r="J14001" s="19"/>
      <c r="L14001" s="16" t="str">
        <f>IFERROR(__xludf.DUMMYFUNCTION("""COMPUTED_VALUE"""),"")</f>
        <v/>
      </c>
      <c r="M14001" s="16" t="str">
        <f>IFERROR(__xludf.DUMMYFUNCTION("""COMPUTED_VALUE"""),"")</f>
        <v/>
      </c>
      <c r="U14001" s="16" t="s">
        <v>87</v>
      </c>
      <c r="V14001" s="16" t="str">
        <f>IFERROR(__xludf.DUMMYFUNCTION("""COMPUTED_VALUE"""),"")</f>
        <v/>
      </c>
      <c r="W14001" s="16" t="str">
        <f>IFERROR(__xludf.DUMMYFUNCTION("""COMPUTED_VALUE"""),"")</f>
        <v/>
      </c>
      <c r="X14001" s="16" t="str">
        <f>IFERROR(__xludf.DUMMYFUNCTION("""COMPUTED_VALUE"""),"")</f>
        <v/>
      </c>
      <c r="AC14001" s="16" t="str">
        <f>IFERROR(__xludf.DUMMYFUNCTION("""COMPUTED_VALUE"""),"")</f>
        <v/>
      </c>
    </row>
    <row r="14002">
      <c r="A14002" s="16" t="s">
        <v>87</v>
      </c>
      <c r="E14002" s="16" t="str">
        <f>IFERROR(__xludf.DUMMYFUNCTION("""COMPUTED_VALUE"""),"")</f>
        <v/>
      </c>
      <c r="G14002" s="18"/>
      <c r="H14002" s="16" t="s">
        <v>87</v>
      </c>
      <c r="I14002" s="16" t="s">
        <v>87</v>
      </c>
      <c r="J14002" s="19"/>
      <c r="L14002" s="16" t="str">
        <f>IFERROR(__xludf.DUMMYFUNCTION("""COMPUTED_VALUE"""),"")</f>
        <v/>
      </c>
      <c r="M14002" s="16" t="str">
        <f>IFERROR(__xludf.DUMMYFUNCTION("""COMPUTED_VALUE"""),"")</f>
        <v/>
      </c>
      <c r="U14002" s="16" t="s">
        <v>87</v>
      </c>
      <c r="V14002" s="16" t="str">
        <f>IFERROR(__xludf.DUMMYFUNCTION("""COMPUTED_VALUE"""),"")</f>
        <v/>
      </c>
      <c r="W14002" s="16" t="str">
        <f>IFERROR(__xludf.DUMMYFUNCTION("""COMPUTED_VALUE"""),"")</f>
        <v/>
      </c>
      <c r="X14002" s="16" t="str">
        <f>IFERROR(__xludf.DUMMYFUNCTION("""COMPUTED_VALUE"""),"")</f>
        <v/>
      </c>
      <c r="AC14002" s="16" t="str">
        <f>IFERROR(__xludf.DUMMYFUNCTION("""COMPUTED_VALUE"""),"")</f>
        <v/>
      </c>
    </row>
    <row r="14003">
      <c r="A14003" s="16" t="s">
        <v>87</v>
      </c>
      <c r="E14003" s="16" t="str">
        <f>IFERROR(__xludf.DUMMYFUNCTION("""COMPUTED_VALUE"""),"")</f>
        <v/>
      </c>
      <c r="G14003" s="18"/>
      <c r="H14003" s="16" t="s">
        <v>87</v>
      </c>
      <c r="I14003" s="16" t="s">
        <v>87</v>
      </c>
      <c r="J14003" s="19"/>
      <c r="L14003" s="16" t="str">
        <f>IFERROR(__xludf.DUMMYFUNCTION("""COMPUTED_VALUE"""),"")</f>
        <v/>
      </c>
      <c r="M14003" s="16" t="str">
        <f>IFERROR(__xludf.DUMMYFUNCTION("""COMPUTED_VALUE"""),"")</f>
        <v/>
      </c>
      <c r="U14003" s="16" t="s">
        <v>87</v>
      </c>
      <c r="V14003" s="16" t="str">
        <f>IFERROR(__xludf.DUMMYFUNCTION("""COMPUTED_VALUE"""),"")</f>
        <v/>
      </c>
      <c r="W14003" s="16" t="str">
        <f>IFERROR(__xludf.DUMMYFUNCTION("""COMPUTED_VALUE"""),"")</f>
        <v/>
      </c>
      <c r="X14003" s="16" t="str">
        <f>IFERROR(__xludf.DUMMYFUNCTION("""COMPUTED_VALUE"""),"")</f>
        <v/>
      </c>
      <c r="AC14003" s="16" t="str">
        <f>IFERROR(__xludf.DUMMYFUNCTION("""COMPUTED_VALUE"""),"")</f>
        <v/>
      </c>
    </row>
    <row r="14004">
      <c r="A14004" s="16" t="s">
        <v>87</v>
      </c>
      <c r="E14004" s="16" t="str">
        <f>IFERROR(__xludf.DUMMYFUNCTION("""COMPUTED_VALUE"""),"")</f>
        <v/>
      </c>
      <c r="G14004" s="18"/>
      <c r="H14004" s="16" t="s">
        <v>87</v>
      </c>
      <c r="I14004" s="16" t="s">
        <v>87</v>
      </c>
      <c r="J14004" s="19"/>
      <c r="L14004" s="16" t="str">
        <f>IFERROR(__xludf.DUMMYFUNCTION("""COMPUTED_VALUE"""),"")</f>
        <v/>
      </c>
      <c r="M14004" s="16" t="str">
        <f>IFERROR(__xludf.DUMMYFUNCTION("""COMPUTED_VALUE"""),"")</f>
        <v/>
      </c>
      <c r="U14004" s="16" t="s">
        <v>87</v>
      </c>
      <c r="V14004" s="16" t="str">
        <f>IFERROR(__xludf.DUMMYFUNCTION("""COMPUTED_VALUE"""),"")</f>
        <v/>
      </c>
      <c r="W14004" s="16" t="str">
        <f>IFERROR(__xludf.DUMMYFUNCTION("""COMPUTED_VALUE"""),"")</f>
        <v/>
      </c>
      <c r="X14004" s="16" t="str">
        <f>IFERROR(__xludf.DUMMYFUNCTION("""COMPUTED_VALUE"""),"")</f>
        <v/>
      </c>
      <c r="AC14004" s="16" t="str">
        <f>IFERROR(__xludf.DUMMYFUNCTION("""COMPUTED_VALUE"""),"")</f>
        <v/>
      </c>
    </row>
    <row r="14005">
      <c r="A14005" s="16" t="s">
        <v>87</v>
      </c>
      <c r="E14005" s="16" t="str">
        <f>IFERROR(__xludf.DUMMYFUNCTION("""COMPUTED_VALUE"""),"")</f>
        <v/>
      </c>
      <c r="G14005" s="18"/>
      <c r="H14005" s="16" t="s">
        <v>87</v>
      </c>
      <c r="I14005" s="16" t="s">
        <v>87</v>
      </c>
      <c r="J14005" s="19"/>
      <c r="L14005" s="16" t="str">
        <f>IFERROR(__xludf.DUMMYFUNCTION("""COMPUTED_VALUE"""),"")</f>
        <v/>
      </c>
      <c r="M14005" s="16" t="str">
        <f>IFERROR(__xludf.DUMMYFUNCTION("""COMPUTED_VALUE"""),"")</f>
        <v/>
      </c>
      <c r="U14005" s="16" t="s">
        <v>87</v>
      </c>
      <c r="V14005" s="16" t="str">
        <f>IFERROR(__xludf.DUMMYFUNCTION("""COMPUTED_VALUE"""),"")</f>
        <v/>
      </c>
      <c r="W14005" s="16" t="str">
        <f>IFERROR(__xludf.DUMMYFUNCTION("""COMPUTED_VALUE"""),"")</f>
        <v/>
      </c>
      <c r="X14005" s="16" t="str">
        <f>IFERROR(__xludf.DUMMYFUNCTION("""COMPUTED_VALUE"""),"")</f>
        <v/>
      </c>
      <c r="AC14005" s="16" t="str">
        <f>IFERROR(__xludf.DUMMYFUNCTION("""COMPUTED_VALUE"""),"")</f>
        <v/>
      </c>
    </row>
    <row r="14006">
      <c r="A14006" s="16" t="s">
        <v>87</v>
      </c>
      <c r="E14006" s="16" t="str">
        <f>IFERROR(__xludf.DUMMYFUNCTION("""COMPUTED_VALUE"""),"")</f>
        <v/>
      </c>
      <c r="G14006" s="18"/>
      <c r="H14006" s="16" t="s">
        <v>87</v>
      </c>
      <c r="I14006" s="16" t="s">
        <v>87</v>
      </c>
      <c r="J14006" s="19"/>
      <c r="L14006" s="16" t="str">
        <f>IFERROR(__xludf.DUMMYFUNCTION("""COMPUTED_VALUE"""),"")</f>
        <v/>
      </c>
      <c r="M14006" s="16" t="str">
        <f>IFERROR(__xludf.DUMMYFUNCTION("""COMPUTED_VALUE"""),"")</f>
        <v/>
      </c>
      <c r="U14006" s="16" t="s">
        <v>87</v>
      </c>
      <c r="V14006" s="16" t="str">
        <f>IFERROR(__xludf.DUMMYFUNCTION("""COMPUTED_VALUE"""),"")</f>
        <v/>
      </c>
      <c r="W14006" s="16" t="str">
        <f>IFERROR(__xludf.DUMMYFUNCTION("""COMPUTED_VALUE"""),"")</f>
        <v/>
      </c>
      <c r="X14006" s="16" t="str">
        <f>IFERROR(__xludf.DUMMYFUNCTION("""COMPUTED_VALUE"""),"")</f>
        <v/>
      </c>
      <c r="AC14006" s="16" t="str">
        <f>IFERROR(__xludf.DUMMYFUNCTION("""COMPUTED_VALUE"""),"")</f>
        <v/>
      </c>
    </row>
    <row r="14007">
      <c r="A14007" s="16" t="s">
        <v>87</v>
      </c>
      <c r="E14007" s="16" t="str">
        <f>IFERROR(__xludf.DUMMYFUNCTION("""COMPUTED_VALUE"""),"")</f>
        <v/>
      </c>
      <c r="G14007" s="18"/>
      <c r="H14007" s="16" t="s">
        <v>87</v>
      </c>
      <c r="I14007" s="16" t="s">
        <v>87</v>
      </c>
      <c r="J14007" s="19"/>
      <c r="L14007" s="16" t="str">
        <f>IFERROR(__xludf.DUMMYFUNCTION("""COMPUTED_VALUE"""),"")</f>
        <v/>
      </c>
      <c r="M14007" s="16" t="str">
        <f>IFERROR(__xludf.DUMMYFUNCTION("""COMPUTED_VALUE"""),"")</f>
        <v/>
      </c>
      <c r="U14007" s="16" t="s">
        <v>87</v>
      </c>
      <c r="V14007" s="16" t="str">
        <f>IFERROR(__xludf.DUMMYFUNCTION("""COMPUTED_VALUE"""),"")</f>
        <v/>
      </c>
      <c r="W14007" s="16" t="str">
        <f>IFERROR(__xludf.DUMMYFUNCTION("""COMPUTED_VALUE"""),"")</f>
        <v/>
      </c>
      <c r="X14007" s="16" t="str">
        <f>IFERROR(__xludf.DUMMYFUNCTION("""COMPUTED_VALUE"""),"")</f>
        <v/>
      </c>
      <c r="AC14007" s="16" t="str">
        <f>IFERROR(__xludf.DUMMYFUNCTION("""COMPUTED_VALUE"""),"")</f>
        <v/>
      </c>
    </row>
    <row r="14008">
      <c r="A14008" s="16" t="s">
        <v>87</v>
      </c>
      <c r="E14008" s="16" t="str">
        <f>IFERROR(__xludf.DUMMYFUNCTION("""COMPUTED_VALUE"""),"")</f>
        <v/>
      </c>
      <c r="G14008" s="18"/>
      <c r="H14008" s="16" t="s">
        <v>87</v>
      </c>
      <c r="I14008" s="16" t="s">
        <v>87</v>
      </c>
      <c r="J14008" s="19"/>
      <c r="L14008" s="16" t="str">
        <f>IFERROR(__xludf.DUMMYFUNCTION("""COMPUTED_VALUE"""),"")</f>
        <v/>
      </c>
      <c r="M14008" s="16" t="str">
        <f>IFERROR(__xludf.DUMMYFUNCTION("""COMPUTED_VALUE"""),"")</f>
        <v/>
      </c>
      <c r="U14008" s="16" t="s">
        <v>87</v>
      </c>
      <c r="V14008" s="16" t="str">
        <f>IFERROR(__xludf.DUMMYFUNCTION("""COMPUTED_VALUE"""),"")</f>
        <v/>
      </c>
      <c r="W14008" s="16" t="str">
        <f>IFERROR(__xludf.DUMMYFUNCTION("""COMPUTED_VALUE"""),"")</f>
        <v/>
      </c>
      <c r="X14008" s="16" t="str">
        <f>IFERROR(__xludf.DUMMYFUNCTION("""COMPUTED_VALUE"""),"")</f>
        <v/>
      </c>
      <c r="AC14008" s="16" t="str">
        <f>IFERROR(__xludf.DUMMYFUNCTION("""COMPUTED_VALUE"""),"")</f>
        <v/>
      </c>
    </row>
    <row r="14009">
      <c r="A14009" s="16" t="s">
        <v>87</v>
      </c>
      <c r="E14009" s="16" t="str">
        <f>IFERROR(__xludf.DUMMYFUNCTION("""COMPUTED_VALUE"""),"")</f>
        <v/>
      </c>
      <c r="G14009" s="18"/>
      <c r="H14009" s="16" t="s">
        <v>87</v>
      </c>
      <c r="I14009" s="16" t="s">
        <v>87</v>
      </c>
      <c r="J14009" s="19"/>
      <c r="L14009" s="16" t="str">
        <f>IFERROR(__xludf.DUMMYFUNCTION("""COMPUTED_VALUE"""),"")</f>
        <v/>
      </c>
      <c r="M14009" s="16" t="str">
        <f>IFERROR(__xludf.DUMMYFUNCTION("""COMPUTED_VALUE"""),"")</f>
        <v/>
      </c>
      <c r="U14009" s="16" t="s">
        <v>87</v>
      </c>
      <c r="V14009" s="16" t="str">
        <f>IFERROR(__xludf.DUMMYFUNCTION("""COMPUTED_VALUE"""),"")</f>
        <v/>
      </c>
      <c r="W14009" s="16" t="str">
        <f>IFERROR(__xludf.DUMMYFUNCTION("""COMPUTED_VALUE"""),"")</f>
        <v/>
      </c>
      <c r="X14009" s="16" t="str">
        <f>IFERROR(__xludf.DUMMYFUNCTION("""COMPUTED_VALUE"""),"")</f>
        <v/>
      </c>
      <c r="AC14009" s="16" t="str">
        <f>IFERROR(__xludf.DUMMYFUNCTION("""COMPUTED_VALUE"""),"")</f>
        <v/>
      </c>
    </row>
    <row r="14010">
      <c r="A14010" s="16" t="s">
        <v>87</v>
      </c>
      <c r="E14010" s="16" t="str">
        <f>IFERROR(__xludf.DUMMYFUNCTION("""COMPUTED_VALUE"""),"")</f>
        <v/>
      </c>
      <c r="G14010" s="18"/>
      <c r="H14010" s="16" t="s">
        <v>87</v>
      </c>
      <c r="I14010" s="16" t="s">
        <v>87</v>
      </c>
      <c r="J14010" s="19"/>
      <c r="L14010" s="16" t="str">
        <f>IFERROR(__xludf.DUMMYFUNCTION("""COMPUTED_VALUE"""),"")</f>
        <v/>
      </c>
      <c r="M14010" s="16" t="str">
        <f>IFERROR(__xludf.DUMMYFUNCTION("""COMPUTED_VALUE"""),"")</f>
        <v/>
      </c>
      <c r="U14010" s="16" t="s">
        <v>87</v>
      </c>
      <c r="V14010" s="16" t="str">
        <f>IFERROR(__xludf.DUMMYFUNCTION("""COMPUTED_VALUE"""),"")</f>
        <v/>
      </c>
      <c r="W14010" s="16" t="str">
        <f>IFERROR(__xludf.DUMMYFUNCTION("""COMPUTED_VALUE"""),"")</f>
        <v/>
      </c>
      <c r="X14010" s="16" t="str">
        <f>IFERROR(__xludf.DUMMYFUNCTION("""COMPUTED_VALUE"""),"")</f>
        <v/>
      </c>
      <c r="AC14010" s="16" t="str">
        <f>IFERROR(__xludf.DUMMYFUNCTION("""COMPUTED_VALUE"""),"")</f>
        <v/>
      </c>
    </row>
    <row r="14011">
      <c r="A14011" s="16" t="s">
        <v>87</v>
      </c>
      <c r="E14011" s="16" t="str">
        <f>IFERROR(__xludf.DUMMYFUNCTION("""COMPUTED_VALUE"""),"")</f>
        <v/>
      </c>
      <c r="G14011" s="18"/>
      <c r="H14011" s="16" t="s">
        <v>87</v>
      </c>
      <c r="I14011" s="16" t="s">
        <v>87</v>
      </c>
      <c r="J14011" s="19"/>
      <c r="L14011" s="16" t="str">
        <f>IFERROR(__xludf.DUMMYFUNCTION("""COMPUTED_VALUE"""),"")</f>
        <v/>
      </c>
      <c r="M14011" s="16" t="str">
        <f>IFERROR(__xludf.DUMMYFUNCTION("""COMPUTED_VALUE"""),"")</f>
        <v/>
      </c>
      <c r="U14011" s="16" t="s">
        <v>87</v>
      </c>
      <c r="V14011" s="16" t="str">
        <f>IFERROR(__xludf.DUMMYFUNCTION("""COMPUTED_VALUE"""),"")</f>
        <v/>
      </c>
      <c r="W14011" s="16" t="str">
        <f>IFERROR(__xludf.DUMMYFUNCTION("""COMPUTED_VALUE"""),"")</f>
        <v/>
      </c>
      <c r="X14011" s="16" t="str">
        <f>IFERROR(__xludf.DUMMYFUNCTION("""COMPUTED_VALUE"""),"")</f>
        <v/>
      </c>
      <c r="AC14011" s="16" t="str">
        <f>IFERROR(__xludf.DUMMYFUNCTION("""COMPUTED_VALUE"""),"")</f>
        <v/>
      </c>
    </row>
    <row r="14012">
      <c r="A14012" s="16" t="s">
        <v>87</v>
      </c>
      <c r="E14012" s="16" t="str">
        <f>IFERROR(__xludf.DUMMYFUNCTION("""COMPUTED_VALUE"""),"")</f>
        <v/>
      </c>
      <c r="G14012" s="18"/>
      <c r="H14012" s="16" t="s">
        <v>87</v>
      </c>
      <c r="I14012" s="16" t="s">
        <v>87</v>
      </c>
      <c r="J14012" s="19"/>
      <c r="L14012" s="16" t="str">
        <f>IFERROR(__xludf.DUMMYFUNCTION("""COMPUTED_VALUE"""),"")</f>
        <v/>
      </c>
      <c r="M14012" s="16" t="str">
        <f>IFERROR(__xludf.DUMMYFUNCTION("""COMPUTED_VALUE"""),"")</f>
        <v/>
      </c>
      <c r="U14012" s="16" t="s">
        <v>87</v>
      </c>
      <c r="V14012" s="16" t="str">
        <f>IFERROR(__xludf.DUMMYFUNCTION("""COMPUTED_VALUE"""),"")</f>
        <v/>
      </c>
      <c r="W14012" s="16" t="str">
        <f>IFERROR(__xludf.DUMMYFUNCTION("""COMPUTED_VALUE"""),"")</f>
        <v/>
      </c>
      <c r="X14012" s="16" t="str">
        <f>IFERROR(__xludf.DUMMYFUNCTION("""COMPUTED_VALUE"""),"")</f>
        <v/>
      </c>
      <c r="AC14012" s="16" t="str">
        <f>IFERROR(__xludf.DUMMYFUNCTION("""COMPUTED_VALUE"""),"")</f>
        <v/>
      </c>
    </row>
    <row r="14013">
      <c r="A14013" s="16" t="s">
        <v>87</v>
      </c>
      <c r="E14013" s="16" t="str">
        <f>IFERROR(__xludf.DUMMYFUNCTION("""COMPUTED_VALUE"""),"")</f>
        <v/>
      </c>
      <c r="G14013" s="18"/>
      <c r="H14013" s="16" t="s">
        <v>87</v>
      </c>
      <c r="I14013" s="16" t="s">
        <v>87</v>
      </c>
      <c r="J14013" s="19"/>
      <c r="L14013" s="16" t="str">
        <f>IFERROR(__xludf.DUMMYFUNCTION("""COMPUTED_VALUE"""),"")</f>
        <v/>
      </c>
      <c r="M14013" s="16" t="str">
        <f>IFERROR(__xludf.DUMMYFUNCTION("""COMPUTED_VALUE"""),"")</f>
        <v/>
      </c>
      <c r="U14013" s="16" t="s">
        <v>87</v>
      </c>
      <c r="V14013" s="16" t="str">
        <f>IFERROR(__xludf.DUMMYFUNCTION("""COMPUTED_VALUE"""),"")</f>
        <v/>
      </c>
      <c r="W14013" s="16" t="str">
        <f>IFERROR(__xludf.DUMMYFUNCTION("""COMPUTED_VALUE"""),"")</f>
        <v/>
      </c>
      <c r="X14013" s="16" t="str">
        <f>IFERROR(__xludf.DUMMYFUNCTION("""COMPUTED_VALUE"""),"")</f>
        <v/>
      </c>
      <c r="AC14013" s="16" t="str">
        <f>IFERROR(__xludf.DUMMYFUNCTION("""COMPUTED_VALUE"""),"")</f>
        <v/>
      </c>
    </row>
    <row r="14014">
      <c r="A14014" s="16" t="s">
        <v>87</v>
      </c>
      <c r="E14014" s="16" t="str">
        <f>IFERROR(__xludf.DUMMYFUNCTION("""COMPUTED_VALUE"""),"")</f>
        <v/>
      </c>
      <c r="G14014" s="18"/>
      <c r="H14014" s="16" t="s">
        <v>87</v>
      </c>
      <c r="I14014" s="16" t="s">
        <v>87</v>
      </c>
      <c r="J14014" s="19"/>
      <c r="L14014" s="16" t="str">
        <f>IFERROR(__xludf.DUMMYFUNCTION("""COMPUTED_VALUE"""),"")</f>
        <v/>
      </c>
      <c r="M14014" s="16" t="str">
        <f>IFERROR(__xludf.DUMMYFUNCTION("""COMPUTED_VALUE"""),"")</f>
        <v/>
      </c>
      <c r="U14014" s="16" t="s">
        <v>87</v>
      </c>
      <c r="V14014" s="16" t="str">
        <f>IFERROR(__xludf.DUMMYFUNCTION("""COMPUTED_VALUE"""),"")</f>
        <v/>
      </c>
      <c r="W14014" s="16" t="str">
        <f>IFERROR(__xludf.DUMMYFUNCTION("""COMPUTED_VALUE"""),"")</f>
        <v/>
      </c>
      <c r="X14014" s="16" t="str">
        <f>IFERROR(__xludf.DUMMYFUNCTION("""COMPUTED_VALUE"""),"")</f>
        <v/>
      </c>
      <c r="AC14014" s="16" t="str">
        <f>IFERROR(__xludf.DUMMYFUNCTION("""COMPUTED_VALUE"""),"")</f>
        <v/>
      </c>
    </row>
    <row r="14015">
      <c r="A14015" s="16" t="s">
        <v>87</v>
      </c>
      <c r="E14015" s="16" t="str">
        <f>IFERROR(__xludf.DUMMYFUNCTION("""COMPUTED_VALUE"""),"")</f>
        <v/>
      </c>
      <c r="G14015" s="18"/>
      <c r="H14015" s="16" t="s">
        <v>87</v>
      </c>
      <c r="I14015" s="16" t="s">
        <v>87</v>
      </c>
      <c r="J14015" s="19"/>
      <c r="L14015" s="16" t="str">
        <f>IFERROR(__xludf.DUMMYFUNCTION("""COMPUTED_VALUE"""),"")</f>
        <v/>
      </c>
      <c r="M14015" s="16" t="str">
        <f>IFERROR(__xludf.DUMMYFUNCTION("""COMPUTED_VALUE"""),"")</f>
        <v/>
      </c>
      <c r="U14015" s="16" t="s">
        <v>87</v>
      </c>
      <c r="V14015" s="16" t="str">
        <f>IFERROR(__xludf.DUMMYFUNCTION("""COMPUTED_VALUE"""),"")</f>
        <v/>
      </c>
      <c r="W14015" s="16" t="str">
        <f>IFERROR(__xludf.DUMMYFUNCTION("""COMPUTED_VALUE"""),"")</f>
        <v/>
      </c>
      <c r="X14015" s="16" t="str">
        <f>IFERROR(__xludf.DUMMYFUNCTION("""COMPUTED_VALUE"""),"")</f>
        <v/>
      </c>
      <c r="AC14015" s="16" t="str">
        <f>IFERROR(__xludf.DUMMYFUNCTION("""COMPUTED_VALUE"""),"")</f>
        <v/>
      </c>
    </row>
    <row r="14016">
      <c r="A14016" s="16" t="s">
        <v>87</v>
      </c>
      <c r="E14016" s="16" t="str">
        <f>IFERROR(__xludf.DUMMYFUNCTION("""COMPUTED_VALUE"""),"")</f>
        <v/>
      </c>
      <c r="G14016" s="18"/>
      <c r="H14016" s="16" t="s">
        <v>87</v>
      </c>
      <c r="I14016" s="16" t="s">
        <v>87</v>
      </c>
      <c r="J14016" s="19"/>
      <c r="L14016" s="16" t="str">
        <f>IFERROR(__xludf.DUMMYFUNCTION("""COMPUTED_VALUE"""),"")</f>
        <v/>
      </c>
      <c r="M14016" s="16" t="str">
        <f>IFERROR(__xludf.DUMMYFUNCTION("""COMPUTED_VALUE"""),"")</f>
        <v/>
      </c>
      <c r="U14016" s="16" t="s">
        <v>87</v>
      </c>
      <c r="V14016" s="16" t="str">
        <f>IFERROR(__xludf.DUMMYFUNCTION("""COMPUTED_VALUE"""),"")</f>
        <v/>
      </c>
      <c r="W14016" s="16" t="str">
        <f>IFERROR(__xludf.DUMMYFUNCTION("""COMPUTED_VALUE"""),"")</f>
        <v/>
      </c>
      <c r="X14016" s="16" t="str">
        <f>IFERROR(__xludf.DUMMYFUNCTION("""COMPUTED_VALUE"""),"")</f>
        <v/>
      </c>
      <c r="AC14016" s="16" t="str">
        <f>IFERROR(__xludf.DUMMYFUNCTION("""COMPUTED_VALUE"""),"")</f>
        <v/>
      </c>
    </row>
    <row r="14017">
      <c r="A14017" s="16" t="s">
        <v>87</v>
      </c>
      <c r="E14017" s="16" t="str">
        <f>IFERROR(__xludf.DUMMYFUNCTION("""COMPUTED_VALUE"""),"")</f>
        <v/>
      </c>
      <c r="G14017" s="18"/>
      <c r="H14017" s="16" t="s">
        <v>87</v>
      </c>
      <c r="I14017" s="16" t="s">
        <v>87</v>
      </c>
      <c r="J14017" s="19"/>
      <c r="L14017" s="16" t="str">
        <f>IFERROR(__xludf.DUMMYFUNCTION("""COMPUTED_VALUE"""),"")</f>
        <v/>
      </c>
      <c r="M14017" s="16" t="str">
        <f>IFERROR(__xludf.DUMMYFUNCTION("""COMPUTED_VALUE"""),"")</f>
        <v/>
      </c>
      <c r="U14017" s="16" t="s">
        <v>87</v>
      </c>
      <c r="V14017" s="16" t="str">
        <f>IFERROR(__xludf.DUMMYFUNCTION("""COMPUTED_VALUE"""),"")</f>
        <v/>
      </c>
      <c r="W14017" s="16" t="str">
        <f>IFERROR(__xludf.DUMMYFUNCTION("""COMPUTED_VALUE"""),"")</f>
        <v/>
      </c>
      <c r="X14017" s="16" t="str">
        <f>IFERROR(__xludf.DUMMYFUNCTION("""COMPUTED_VALUE"""),"")</f>
        <v/>
      </c>
      <c r="AC14017" s="16" t="str">
        <f>IFERROR(__xludf.DUMMYFUNCTION("""COMPUTED_VALUE"""),"")</f>
        <v/>
      </c>
    </row>
    <row r="14018">
      <c r="A14018" s="16" t="s">
        <v>87</v>
      </c>
      <c r="E14018" s="16" t="str">
        <f>IFERROR(__xludf.DUMMYFUNCTION("""COMPUTED_VALUE"""),"")</f>
        <v/>
      </c>
      <c r="G14018" s="18"/>
      <c r="H14018" s="16" t="s">
        <v>87</v>
      </c>
      <c r="I14018" s="16" t="s">
        <v>87</v>
      </c>
      <c r="J14018" s="19"/>
      <c r="L14018" s="16" t="str">
        <f>IFERROR(__xludf.DUMMYFUNCTION("""COMPUTED_VALUE"""),"")</f>
        <v/>
      </c>
      <c r="M14018" s="16" t="str">
        <f>IFERROR(__xludf.DUMMYFUNCTION("""COMPUTED_VALUE"""),"")</f>
        <v/>
      </c>
      <c r="U14018" s="16" t="s">
        <v>87</v>
      </c>
      <c r="V14018" s="16" t="str">
        <f>IFERROR(__xludf.DUMMYFUNCTION("""COMPUTED_VALUE"""),"")</f>
        <v/>
      </c>
      <c r="W14018" s="16" t="str">
        <f>IFERROR(__xludf.DUMMYFUNCTION("""COMPUTED_VALUE"""),"")</f>
        <v/>
      </c>
      <c r="X14018" s="16" t="str">
        <f>IFERROR(__xludf.DUMMYFUNCTION("""COMPUTED_VALUE"""),"")</f>
        <v/>
      </c>
      <c r="AC14018" s="16" t="str">
        <f>IFERROR(__xludf.DUMMYFUNCTION("""COMPUTED_VALUE"""),"")</f>
        <v/>
      </c>
    </row>
    <row r="14019">
      <c r="A14019" s="16" t="s">
        <v>87</v>
      </c>
      <c r="E14019" s="16" t="str">
        <f>IFERROR(__xludf.DUMMYFUNCTION("""COMPUTED_VALUE"""),"")</f>
        <v/>
      </c>
      <c r="G14019" s="18"/>
      <c r="H14019" s="16" t="s">
        <v>87</v>
      </c>
      <c r="I14019" s="16" t="s">
        <v>87</v>
      </c>
      <c r="J14019" s="19"/>
      <c r="L14019" s="16" t="str">
        <f>IFERROR(__xludf.DUMMYFUNCTION("""COMPUTED_VALUE"""),"")</f>
        <v/>
      </c>
      <c r="M14019" s="16" t="str">
        <f>IFERROR(__xludf.DUMMYFUNCTION("""COMPUTED_VALUE"""),"")</f>
        <v/>
      </c>
      <c r="U14019" s="16" t="s">
        <v>87</v>
      </c>
      <c r="V14019" s="16" t="str">
        <f>IFERROR(__xludf.DUMMYFUNCTION("""COMPUTED_VALUE"""),"")</f>
        <v/>
      </c>
      <c r="W14019" s="16" t="str">
        <f>IFERROR(__xludf.DUMMYFUNCTION("""COMPUTED_VALUE"""),"")</f>
        <v/>
      </c>
      <c r="X14019" s="16" t="str">
        <f>IFERROR(__xludf.DUMMYFUNCTION("""COMPUTED_VALUE"""),"")</f>
        <v/>
      </c>
      <c r="AC14019" s="16" t="str">
        <f>IFERROR(__xludf.DUMMYFUNCTION("""COMPUTED_VALUE"""),"")</f>
        <v/>
      </c>
    </row>
    <row r="14020">
      <c r="A14020" s="16" t="s">
        <v>87</v>
      </c>
      <c r="E14020" s="16" t="str">
        <f>IFERROR(__xludf.DUMMYFUNCTION("""COMPUTED_VALUE"""),"")</f>
        <v/>
      </c>
      <c r="G14020" s="18"/>
      <c r="H14020" s="16" t="s">
        <v>87</v>
      </c>
      <c r="I14020" s="16" t="s">
        <v>87</v>
      </c>
      <c r="J14020" s="19"/>
      <c r="L14020" s="16" t="str">
        <f>IFERROR(__xludf.DUMMYFUNCTION("""COMPUTED_VALUE"""),"")</f>
        <v/>
      </c>
      <c r="M14020" s="16" t="str">
        <f>IFERROR(__xludf.DUMMYFUNCTION("""COMPUTED_VALUE"""),"")</f>
        <v/>
      </c>
      <c r="U14020" s="16" t="s">
        <v>87</v>
      </c>
      <c r="V14020" s="16" t="str">
        <f>IFERROR(__xludf.DUMMYFUNCTION("""COMPUTED_VALUE"""),"")</f>
        <v/>
      </c>
      <c r="W14020" s="16" t="str">
        <f>IFERROR(__xludf.DUMMYFUNCTION("""COMPUTED_VALUE"""),"")</f>
        <v/>
      </c>
      <c r="X14020" s="16" t="str">
        <f>IFERROR(__xludf.DUMMYFUNCTION("""COMPUTED_VALUE"""),"")</f>
        <v/>
      </c>
      <c r="AC14020" s="16" t="str">
        <f>IFERROR(__xludf.DUMMYFUNCTION("""COMPUTED_VALUE"""),"")</f>
        <v/>
      </c>
    </row>
    <row r="14021">
      <c r="A14021" s="16" t="s">
        <v>87</v>
      </c>
      <c r="E14021" s="16" t="str">
        <f>IFERROR(__xludf.DUMMYFUNCTION("""COMPUTED_VALUE"""),"")</f>
        <v/>
      </c>
      <c r="G14021" s="18"/>
      <c r="H14021" s="16" t="s">
        <v>87</v>
      </c>
      <c r="I14021" s="16" t="s">
        <v>87</v>
      </c>
      <c r="J14021" s="19"/>
      <c r="L14021" s="16" t="str">
        <f>IFERROR(__xludf.DUMMYFUNCTION("""COMPUTED_VALUE"""),"")</f>
        <v/>
      </c>
      <c r="M14021" s="16" t="str">
        <f>IFERROR(__xludf.DUMMYFUNCTION("""COMPUTED_VALUE"""),"")</f>
        <v/>
      </c>
      <c r="U14021" s="16" t="s">
        <v>87</v>
      </c>
      <c r="V14021" s="16" t="str">
        <f>IFERROR(__xludf.DUMMYFUNCTION("""COMPUTED_VALUE"""),"")</f>
        <v/>
      </c>
      <c r="W14021" s="16" t="str">
        <f>IFERROR(__xludf.DUMMYFUNCTION("""COMPUTED_VALUE"""),"")</f>
        <v/>
      </c>
      <c r="X14021" s="16" t="str">
        <f>IFERROR(__xludf.DUMMYFUNCTION("""COMPUTED_VALUE"""),"")</f>
        <v/>
      </c>
      <c r="AC14021" s="16" t="str">
        <f>IFERROR(__xludf.DUMMYFUNCTION("""COMPUTED_VALUE"""),"")</f>
        <v/>
      </c>
    </row>
    <row r="14022">
      <c r="A14022" s="16" t="s">
        <v>87</v>
      </c>
      <c r="E14022" s="16" t="str">
        <f>IFERROR(__xludf.DUMMYFUNCTION("""COMPUTED_VALUE"""),"")</f>
        <v/>
      </c>
      <c r="G14022" s="18"/>
      <c r="H14022" s="16" t="s">
        <v>87</v>
      </c>
      <c r="I14022" s="16" t="s">
        <v>87</v>
      </c>
      <c r="J14022" s="19"/>
      <c r="L14022" s="16" t="str">
        <f>IFERROR(__xludf.DUMMYFUNCTION("""COMPUTED_VALUE"""),"")</f>
        <v/>
      </c>
      <c r="M14022" s="16" t="str">
        <f>IFERROR(__xludf.DUMMYFUNCTION("""COMPUTED_VALUE"""),"")</f>
        <v/>
      </c>
      <c r="U14022" s="16" t="s">
        <v>87</v>
      </c>
      <c r="V14022" s="16" t="str">
        <f>IFERROR(__xludf.DUMMYFUNCTION("""COMPUTED_VALUE"""),"")</f>
        <v/>
      </c>
      <c r="W14022" s="16" t="str">
        <f>IFERROR(__xludf.DUMMYFUNCTION("""COMPUTED_VALUE"""),"")</f>
        <v/>
      </c>
      <c r="X14022" s="16" t="str">
        <f>IFERROR(__xludf.DUMMYFUNCTION("""COMPUTED_VALUE"""),"")</f>
        <v/>
      </c>
      <c r="AC14022" s="16" t="str">
        <f>IFERROR(__xludf.DUMMYFUNCTION("""COMPUTED_VALUE"""),"")</f>
        <v/>
      </c>
    </row>
    <row r="14023">
      <c r="A14023" s="16" t="s">
        <v>87</v>
      </c>
      <c r="E14023" s="16" t="str">
        <f>IFERROR(__xludf.DUMMYFUNCTION("""COMPUTED_VALUE"""),"")</f>
        <v/>
      </c>
      <c r="G14023" s="18"/>
      <c r="H14023" s="16" t="s">
        <v>87</v>
      </c>
      <c r="I14023" s="16" t="s">
        <v>87</v>
      </c>
      <c r="J14023" s="19"/>
      <c r="L14023" s="16" t="str">
        <f>IFERROR(__xludf.DUMMYFUNCTION("""COMPUTED_VALUE"""),"")</f>
        <v/>
      </c>
      <c r="M14023" s="16" t="str">
        <f>IFERROR(__xludf.DUMMYFUNCTION("""COMPUTED_VALUE"""),"")</f>
        <v/>
      </c>
      <c r="U14023" s="16" t="s">
        <v>87</v>
      </c>
      <c r="V14023" s="16" t="str">
        <f>IFERROR(__xludf.DUMMYFUNCTION("""COMPUTED_VALUE"""),"")</f>
        <v/>
      </c>
      <c r="W14023" s="16" t="str">
        <f>IFERROR(__xludf.DUMMYFUNCTION("""COMPUTED_VALUE"""),"")</f>
        <v/>
      </c>
      <c r="X14023" s="16" t="str">
        <f>IFERROR(__xludf.DUMMYFUNCTION("""COMPUTED_VALUE"""),"")</f>
        <v/>
      </c>
      <c r="AC14023" s="16" t="str">
        <f>IFERROR(__xludf.DUMMYFUNCTION("""COMPUTED_VALUE"""),"")</f>
        <v/>
      </c>
    </row>
    <row r="14024">
      <c r="A14024" s="16" t="s">
        <v>87</v>
      </c>
      <c r="E14024" s="16" t="str">
        <f>IFERROR(__xludf.DUMMYFUNCTION("""COMPUTED_VALUE"""),"")</f>
        <v/>
      </c>
      <c r="G14024" s="18"/>
      <c r="H14024" s="16" t="s">
        <v>87</v>
      </c>
      <c r="I14024" s="16" t="s">
        <v>87</v>
      </c>
      <c r="J14024" s="19"/>
      <c r="L14024" s="16" t="str">
        <f>IFERROR(__xludf.DUMMYFUNCTION("""COMPUTED_VALUE"""),"")</f>
        <v/>
      </c>
      <c r="M14024" s="16" t="str">
        <f>IFERROR(__xludf.DUMMYFUNCTION("""COMPUTED_VALUE"""),"")</f>
        <v/>
      </c>
      <c r="U14024" s="16" t="s">
        <v>87</v>
      </c>
      <c r="V14024" s="16" t="str">
        <f>IFERROR(__xludf.DUMMYFUNCTION("""COMPUTED_VALUE"""),"")</f>
        <v/>
      </c>
      <c r="W14024" s="16" t="str">
        <f>IFERROR(__xludf.DUMMYFUNCTION("""COMPUTED_VALUE"""),"")</f>
        <v/>
      </c>
      <c r="X14024" s="16" t="str">
        <f>IFERROR(__xludf.DUMMYFUNCTION("""COMPUTED_VALUE"""),"")</f>
        <v/>
      </c>
      <c r="AC14024" s="16" t="str">
        <f>IFERROR(__xludf.DUMMYFUNCTION("""COMPUTED_VALUE"""),"")</f>
        <v/>
      </c>
    </row>
    <row r="14025">
      <c r="A14025" s="16" t="s">
        <v>87</v>
      </c>
      <c r="E14025" s="16" t="str">
        <f>IFERROR(__xludf.DUMMYFUNCTION("""COMPUTED_VALUE"""),"")</f>
        <v/>
      </c>
      <c r="G14025" s="18"/>
      <c r="H14025" s="16" t="s">
        <v>87</v>
      </c>
      <c r="I14025" s="16" t="s">
        <v>87</v>
      </c>
      <c r="J14025" s="19"/>
      <c r="L14025" s="16" t="str">
        <f>IFERROR(__xludf.DUMMYFUNCTION("""COMPUTED_VALUE"""),"")</f>
        <v/>
      </c>
      <c r="M14025" s="16" t="str">
        <f>IFERROR(__xludf.DUMMYFUNCTION("""COMPUTED_VALUE"""),"")</f>
        <v/>
      </c>
      <c r="U14025" s="16" t="s">
        <v>87</v>
      </c>
      <c r="V14025" s="16" t="str">
        <f>IFERROR(__xludf.DUMMYFUNCTION("""COMPUTED_VALUE"""),"")</f>
        <v/>
      </c>
      <c r="W14025" s="16" t="str">
        <f>IFERROR(__xludf.DUMMYFUNCTION("""COMPUTED_VALUE"""),"")</f>
        <v/>
      </c>
      <c r="X14025" s="16" t="str">
        <f>IFERROR(__xludf.DUMMYFUNCTION("""COMPUTED_VALUE"""),"")</f>
        <v/>
      </c>
      <c r="AC14025" s="16" t="str">
        <f>IFERROR(__xludf.DUMMYFUNCTION("""COMPUTED_VALUE"""),"")</f>
        <v/>
      </c>
    </row>
    <row r="14026">
      <c r="A14026" s="16" t="s">
        <v>87</v>
      </c>
      <c r="E14026" s="16" t="str">
        <f>IFERROR(__xludf.DUMMYFUNCTION("""COMPUTED_VALUE"""),"")</f>
        <v/>
      </c>
      <c r="G14026" s="18"/>
      <c r="H14026" s="16" t="s">
        <v>87</v>
      </c>
      <c r="I14026" s="16" t="s">
        <v>87</v>
      </c>
      <c r="J14026" s="19"/>
      <c r="L14026" s="16" t="str">
        <f>IFERROR(__xludf.DUMMYFUNCTION("""COMPUTED_VALUE"""),"")</f>
        <v/>
      </c>
      <c r="M14026" s="16" t="str">
        <f>IFERROR(__xludf.DUMMYFUNCTION("""COMPUTED_VALUE"""),"")</f>
        <v/>
      </c>
      <c r="U14026" s="16" t="s">
        <v>87</v>
      </c>
      <c r="V14026" s="16" t="str">
        <f>IFERROR(__xludf.DUMMYFUNCTION("""COMPUTED_VALUE"""),"")</f>
        <v/>
      </c>
      <c r="W14026" s="16" t="str">
        <f>IFERROR(__xludf.DUMMYFUNCTION("""COMPUTED_VALUE"""),"")</f>
        <v/>
      </c>
      <c r="X14026" s="16" t="str">
        <f>IFERROR(__xludf.DUMMYFUNCTION("""COMPUTED_VALUE"""),"")</f>
        <v/>
      </c>
      <c r="AC14026" s="16" t="str">
        <f>IFERROR(__xludf.DUMMYFUNCTION("""COMPUTED_VALUE"""),"")</f>
        <v/>
      </c>
    </row>
    <row r="14027">
      <c r="A14027" s="16" t="s">
        <v>87</v>
      </c>
      <c r="E14027" s="16" t="str">
        <f>IFERROR(__xludf.DUMMYFUNCTION("""COMPUTED_VALUE"""),"")</f>
        <v/>
      </c>
      <c r="G14027" s="18"/>
      <c r="H14027" s="16" t="s">
        <v>87</v>
      </c>
      <c r="I14027" s="16" t="s">
        <v>87</v>
      </c>
      <c r="J14027" s="19"/>
      <c r="L14027" s="16" t="str">
        <f>IFERROR(__xludf.DUMMYFUNCTION("""COMPUTED_VALUE"""),"")</f>
        <v/>
      </c>
      <c r="M14027" s="16" t="str">
        <f>IFERROR(__xludf.DUMMYFUNCTION("""COMPUTED_VALUE"""),"")</f>
        <v/>
      </c>
      <c r="U14027" s="16" t="s">
        <v>87</v>
      </c>
      <c r="V14027" s="16" t="str">
        <f>IFERROR(__xludf.DUMMYFUNCTION("""COMPUTED_VALUE"""),"")</f>
        <v/>
      </c>
      <c r="W14027" s="16" t="str">
        <f>IFERROR(__xludf.DUMMYFUNCTION("""COMPUTED_VALUE"""),"")</f>
        <v/>
      </c>
      <c r="X14027" s="16" t="str">
        <f>IFERROR(__xludf.DUMMYFUNCTION("""COMPUTED_VALUE"""),"")</f>
        <v/>
      </c>
      <c r="AC14027" s="16" t="str">
        <f>IFERROR(__xludf.DUMMYFUNCTION("""COMPUTED_VALUE"""),"")</f>
        <v/>
      </c>
    </row>
    <row r="14028">
      <c r="A14028" s="16" t="s">
        <v>87</v>
      </c>
      <c r="E14028" s="16" t="str">
        <f>IFERROR(__xludf.DUMMYFUNCTION("""COMPUTED_VALUE"""),"")</f>
        <v/>
      </c>
      <c r="G14028" s="18"/>
      <c r="H14028" s="16" t="s">
        <v>87</v>
      </c>
      <c r="I14028" s="16" t="s">
        <v>87</v>
      </c>
      <c r="J14028" s="19"/>
      <c r="L14028" s="16" t="str">
        <f>IFERROR(__xludf.DUMMYFUNCTION("""COMPUTED_VALUE"""),"")</f>
        <v/>
      </c>
      <c r="M14028" s="16" t="str">
        <f>IFERROR(__xludf.DUMMYFUNCTION("""COMPUTED_VALUE"""),"")</f>
        <v/>
      </c>
      <c r="U14028" s="16" t="s">
        <v>87</v>
      </c>
      <c r="V14028" s="16" t="str">
        <f>IFERROR(__xludf.DUMMYFUNCTION("""COMPUTED_VALUE"""),"")</f>
        <v/>
      </c>
      <c r="W14028" s="16" t="str">
        <f>IFERROR(__xludf.DUMMYFUNCTION("""COMPUTED_VALUE"""),"")</f>
        <v/>
      </c>
      <c r="X14028" s="16" t="str">
        <f>IFERROR(__xludf.DUMMYFUNCTION("""COMPUTED_VALUE"""),"")</f>
        <v/>
      </c>
      <c r="AC14028" s="16" t="str">
        <f>IFERROR(__xludf.DUMMYFUNCTION("""COMPUTED_VALUE"""),"")</f>
        <v/>
      </c>
    </row>
    <row r="14029">
      <c r="A14029" s="16" t="s">
        <v>87</v>
      </c>
      <c r="E14029" s="16" t="str">
        <f>IFERROR(__xludf.DUMMYFUNCTION("""COMPUTED_VALUE"""),"")</f>
        <v/>
      </c>
      <c r="G14029" s="18"/>
      <c r="H14029" s="16" t="s">
        <v>87</v>
      </c>
      <c r="I14029" s="16" t="s">
        <v>87</v>
      </c>
      <c r="J14029" s="19"/>
      <c r="L14029" s="16" t="str">
        <f>IFERROR(__xludf.DUMMYFUNCTION("""COMPUTED_VALUE"""),"")</f>
        <v/>
      </c>
      <c r="M14029" s="16" t="str">
        <f>IFERROR(__xludf.DUMMYFUNCTION("""COMPUTED_VALUE"""),"")</f>
        <v/>
      </c>
      <c r="U14029" s="16" t="s">
        <v>87</v>
      </c>
      <c r="V14029" s="16" t="str">
        <f>IFERROR(__xludf.DUMMYFUNCTION("""COMPUTED_VALUE"""),"")</f>
        <v/>
      </c>
      <c r="W14029" s="16" t="str">
        <f>IFERROR(__xludf.DUMMYFUNCTION("""COMPUTED_VALUE"""),"")</f>
        <v/>
      </c>
      <c r="X14029" s="16" t="str">
        <f>IFERROR(__xludf.DUMMYFUNCTION("""COMPUTED_VALUE"""),"")</f>
        <v/>
      </c>
      <c r="AC14029" s="16" t="str">
        <f>IFERROR(__xludf.DUMMYFUNCTION("""COMPUTED_VALUE"""),"")</f>
        <v/>
      </c>
    </row>
    <row r="14030">
      <c r="A14030" s="16" t="s">
        <v>87</v>
      </c>
      <c r="E14030" s="16" t="str">
        <f>IFERROR(__xludf.DUMMYFUNCTION("""COMPUTED_VALUE"""),"")</f>
        <v/>
      </c>
      <c r="G14030" s="18"/>
      <c r="H14030" s="16" t="s">
        <v>87</v>
      </c>
      <c r="I14030" s="16" t="s">
        <v>87</v>
      </c>
      <c r="J14030" s="19"/>
      <c r="L14030" s="16" t="str">
        <f>IFERROR(__xludf.DUMMYFUNCTION("""COMPUTED_VALUE"""),"")</f>
        <v/>
      </c>
      <c r="M14030" s="16" t="str">
        <f>IFERROR(__xludf.DUMMYFUNCTION("""COMPUTED_VALUE"""),"")</f>
        <v/>
      </c>
      <c r="U14030" s="16" t="s">
        <v>87</v>
      </c>
      <c r="V14030" s="16" t="str">
        <f>IFERROR(__xludf.DUMMYFUNCTION("""COMPUTED_VALUE"""),"")</f>
        <v/>
      </c>
      <c r="W14030" s="16" t="str">
        <f>IFERROR(__xludf.DUMMYFUNCTION("""COMPUTED_VALUE"""),"")</f>
        <v/>
      </c>
      <c r="X14030" s="16" t="str">
        <f>IFERROR(__xludf.DUMMYFUNCTION("""COMPUTED_VALUE"""),"")</f>
        <v/>
      </c>
      <c r="AC14030" s="16" t="str">
        <f>IFERROR(__xludf.DUMMYFUNCTION("""COMPUTED_VALUE"""),"")</f>
        <v/>
      </c>
    </row>
    <row r="14031">
      <c r="A14031" s="16" t="s">
        <v>87</v>
      </c>
      <c r="E14031" s="16" t="str">
        <f>IFERROR(__xludf.DUMMYFUNCTION("""COMPUTED_VALUE"""),"")</f>
        <v/>
      </c>
      <c r="G14031" s="18"/>
      <c r="H14031" s="16" t="s">
        <v>87</v>
      </c>
      <c r="I14031" s="16" t="s">
        <v>87</v>
      </c>
      <c r="J14031" s="19"/>
      <c r="L14031" s="16" t="str">
        <f>IFERROR(__xludf.DUMMYFUNCTION("""COMPUTED_VALUE"""),"")</f>
        <v/>
      </c>
      <c r="M14031" s="16" t="str">
        <f>IFERROR(__xludf.DUMMYFUNCTION("""COMPUTED_VALUE"""),"")</f>
        <v/>
      </c>
      <c r="U14031" s="16" t="s">
        <v>87</v>
      </c>
      <c r="V14031" s="16" t="str">
        <f>IFERROR(__xludf.DUMMYFUNCTION("""COMPUTED_VALUE"""),"")</f>
        <v/>
      </c>
      <c r="W14031" s="16" t="str">
        <f>IFERROR(__xludf.DUMMYFUNCTION("""COMPUTED_VALUE"""),"")</f>
        <v/>
      </c>
      <c r="X14031" s="16" t="str">
        <f>IFERROR(__xludf.DUMMYFUNCTION("""COMPUTED_VALUE"""),"")</f>
        <v/>
      </c>
      <c r="AC14031" s="16" t="str">
        <f>IFERROR(__xludf.DUMMYFUNCTION("""COMPUTED_VALUE"""),"")</f>
        <v/>
      </c>
    </row>
    <row r="14032">
      <c r="A14032" s="16" t="s">
        <v>87</v>
      </c>
      <c r="E14032" s="16" t="str">
        <f>IFERROR(__xludf.DUMMYFUNCTION("""COMPUTED_VALUE"""),"")</f>
        <v/>
      </c>
      <c r="G14032" s="18"/>
      <c r="H14032" s="16" t="s">
        <v>87</v>
      </c>
      <c r="I14032" s="16" t="s">
        <v>87</v>
      </c>
      <c r="J14032" s="19"/>
      <c r="L14032" s="16" t="str">
        <f>IFERROR(__xludf.DUMMYFUNCTION("""COMPUTED_VALUE"""),"")</f>
        <v/>
      </c>
      <c r="M14032" s="16" t="str">
        <f>IFERROR(__xludf.DUMMYFUNCTION("""COMPUTED_VALUE"""),"")</f>
        <v/>
      </c>
      <c r="U14032" s="16" t="s">
        <v>87</v>
      </c>
      <c r="V14032" s="16" t="str">
        <f>IFERROR(__xludf.DUMMYFUNCTION("""COMPUTED_VALUE"""),"")</f>
        <v/>
      </c>
      <c r="W14032" s="16" t="str">
        <f>IFERROR(__xludf.DUMMYFUNCTION("""COMPUTED_VALUE"""),"")</f>
        <v/>
      </c>
      <c r="X14032" s="16" t="str">
        <f>IFERROR(__xludf.DUMMYFUNCTION("""COMPUTED_VALUE"""),"")</f>
        <v/>
      </c>
      <c r="AC14032" s="16" t="str">
        <f>IFERROR(__xludf.DUMMYFUNCTION("""COMPUTED_VALUE"""),"")</f>
        <v/>
      </c>
    </row>
    <row r="14033">
      <c r="A14033" s="16" t="s">
        <v>87</v>
      </c>
      <c r="E14033" s="16" t="str">
        <f>IFERROR(__xludf.DUMMYFUNCTION("""COMPUTED_VALUE"""),"")</f>
        <v/>
      </c>
      <c r="G14033" s="18"/>
      <c r="H14033" s="16" t="s">
        <v>87</v>
      </c>
      <c r="I14033" s="16" t="s">
        <v>87</v>
      </c>
      <c r="J14033" s="19"/>
      <c r="L14033" s="16" t="str">
        <f>IFERROR(__xludf.DUMMYFUNCTION("""COMPUTED_VALUE"""),"")</f>
        <v/>
      </c>
      <c r="M14033" s="16" t="str">
        <f>IFERROR(__xludf.DUMMYFUNCTION("""COMPUTED_VALUE"""),"")</f>
        <v/>
      </c>
      <c r="U14033" s="16" t="s">
        <v>87</v>
      </c>
      <c r="V14033" s="16" t="str">
        <f>IFERROR(__xludf.DUMMYFUNCTION("""COMPUTED_VALUE"""),"")</f>
        <v/>
      </c>
      <c r="W14033" s="16" t="str">
        <f>IFERROR(__xludf.DUMMYFUNCTION("""COMPUTED_VALUE"""),"")</f>
        <v/>
      </c>
      <c r="X14033" s="16" t="str">
        <f>IFERROR(__xludf.DUMMYFUNCTION("""COMPUTED_VALUE"""),"")</f>
        <v/>
      </c>
      <c r="AC14033" s="16" t="str">
        <f>IFERROR(__xludf.DUMMYFUNCTION("""COMPUTED_VALUE"""),"")</f>
        <v/>
      </c>
    </row>
    <row r="14034">
      <c r="A14034" s="16" t="s">
        <v>87</v>
      </c>
      <c r="E14034" s="16" t="str">
        <f>IFERROR(__xludf.DUMMYFUNCTION("""COMPUTED_VALUE"""),"")</f>
        <v/>
      </c>
      <c r="G14034" s="18"/>
      <c r="H14034" s="16" t="s">
        <v>87</v>
      </c>
      <c r="I14034" s="16" t="s">
        <v>87</v>
      </c>
      <c r="J14034" s="19"/>
      <c r="L14034" s="16" t="str">
        <f>IFERROR(__xludf.DUMMYFUNCTION("""COMPUTED_VALUE"""),"")</f>
        <v/>
      </c>
      <c r="M14034" s="16" t="str">
        <f>IFERROR(__xludf.DUMMYFUNCTION("""COMPUTED_VALUE"""),"")</f>
        <v/>
      </c>
      <c r="U14034" s="16" t="s">
        <v>87</v>
      </c>
      <c r="V14034" s="16" t="str">
        <f>IFERROR(__xludf.DUMMYFUNCTION("""COMPUTED_VALUE"""),"")</f>
        <v/>
      </c>
      <c r="W14034" s="16" t="str">
        <f>IFERROR(__xludf.DUMMYFUNCTION("""COMPUTED_VALUE"""),"")</f>
        <v/>
      </c>
      <c r="X14034" s="16" t="str">
        <f>IFERROR(__xludf.DUMMYFUNCTION("""COMPUTED_VALUE"""),"")</f>
        <v/>
      </c>
      <c r="AC14034" s="16" t="str">
        <f>IFERROR(__xludf.DUMMYFUNCTION("""COMPUTED_VALUE"""),"")</f>
        <v/>
      </c>
    </row>
    <row r="14035">
      <c r="A14035" s="16" t="s">
        <v>87</v>
      </c>
      <c r="E14035" s="16" t="str">
        <f>IFERROR(__xludf.DUMMYFUNCTION("""COMPUTED_VALUE"""),"")</f>
        <v/>
      </c>
      <c r="G14035" s="18"/>
      <c r="H14035" s="16" t="s">
        <v>87</v>
      </c>
      <c r="I14035" s="16" t="s">
        <v>87</v>
      </c>
      <c r="J14035" s="19"/>
      <c r="L14035" s="16" t="str">
        <f>IFERROR(__xludf.DUMMYFUNCTION("""COMPUTED_VALUE"""),"")</f>
        <v/>
      </c>
      <c r="M14035" s="16" t="str">
        <f>IFERROR(__xludf.DUMMYFUNCTION("""COMPUTED_VALUE"""),"")</f>
        <v/>
      </c>
      <c r="U14035" s="16" t="s">
        <v>87</v>
      </c>
      <c r="V14035" s="16" t="str">
        <f>IFERROR(__xludf.DUMMYFUNCTION("""COMPUTED_VALUE"""),"")</f>
        <v/>
      </c>
      <c r="W14035" s="16" t="str">
        <f>IFERROR(__xludf.DUMMYFUNCTION("""COMPUTED_VALUE"""),"")</f>
        <v/>
      </c>
      <c r="X14035" s="16" t="str">
        <f>IFERROR(__xludf.DUMMYFUNCTION("""COMPUTED_VALUE"""),"")</f>
        <v/>
      </c>
      <c r="AC14035" s="16" t="str">
        <f>IFERROR(__xludf.DUMMYFUNCTION("""COMPUTED_VALUE"""),"")</f>
        <v/>
      </c>
    </row>
    <row r="14036">
      <c r="A14036" s="16" t="s">
        <v>87</v>
      </c>
      <c r="E14036" s="16" t="str">
        <f>IFERROR(__xludf.DUMMYFUNCTION("""COMPUTED_VALUE"""),"")</f>
        <v/>
      </c>
      <c r="G14036" s="18"/>
      <c r="H14036" s="16" t="s">
        <v>87</v>
      </c>
      <c r="I14036" s="16" t="s">
        <v>87</v>
      </c>
      <c r="J14036" s="19"/>
      <c r="L14036" s="16" t="str">
        <f>IFERROR(__xludf.DUMMYFUNCTION("""COMPUTED_VALUE"""),"")</f>
        <v/>
      </c>
      <c r="M14036" s="16" t="str">
        <f>IFERROR(__xludf.DUMMYFUNCTION("""COMPUTED_VALUE"""),"")</f>
        <v/>
      </c>
      <c r="U14036" s="16" t="s">
        <v>87</v>
      </c>
      <c r="V14036" s="16" t="str">
        <f>IFERROR(__xludf.DUMMYFUNCTION("""COMPUTED_VALUE"""),"")</f>
        <v/>
      </c>
      <c r="W14036" s="16" t="str">
        <f>IFERROR(__xludf.DUMMYFUNCTION("""COMPUTED_VALUE"""),"")</f>
        <v/>
      </c>
      <c r="X14036" s="16" t="str">
        <f>IFERROR(__xludf.DUMMYFUNCTION("""COMPUTED_VALUE"""),"")</f>
        <v/>
      </c>
      <c r="AC14036" s="16" t="str">
        <f>IFERROR(__xludf.DUMMYFUNCTION("""COMPUTED_VALUE"""),"")</f>
        <v/>
      </c>
    </row>
    <row r="14037">
      <c r="A14037" s="16" t="s">
        <v>87</v>
      </c>
      <c r="E14037" s="16" t="str">
        <f>IFERROR(__xludf.DUMMYFUNCTION("""COMPUTED_VALUE"""),"")</f>
        <v/>
      </c>
      <c r="G14037" s="18"/>
      <c r="H14037" s="16" t="s">
        <v>87</v>
      </c>
      <c r="I14037" s="16" t="s">
        <v>87</v>
      </c>
      <c r="J14037" s="19"/>
      <c r="L14037" s="16" t="str">
        <f>IFERROR(__xludf.DUMMYFUNCTION("""COMPUTED_VALUE"""),"")</f>
        <v/>
      </c>
      <c r="M14037" s="16" t="str">
        <f>IFERROR(__xludf.DUMMYFUNCTION("""COMPUTED_VALUE"""),"")</f>
        <v/>
      </c>
      <c r="U14037" s="16" t="s">
        <v>87</v>
      </c>
      <c r="V14037" s="16" t="str">
        <f>IFERROR(__xludf.DUMMYFUNCTION("""COMPUTED_VALUE"""),"")</f>
        <v/>
      </c>
      <c r="W14037" s="16" t="str">
        <f>IFERROR(__xludf.DUMMYFUNCTION("""COMPUTED_VALUE"""),"")</f>
        <v/>
      </c>
      <c r="X14037" s="16" t="str">
        <f>IFERROR(__xludf.DUMMYFUNCTION("""COMPUTED_VALUE"""),"")</f>
        <v/>
      </c>
      <c r="AC14037" s="16" t="str">
        <f>IFERROR(__xludf.DUMMYFUNCTION("""COMPUTED_VALUE"""),"")</f>
        <v/>
      </c>
    </row>
    <row r="14038">
      <c r="A14038" s="16" t="s">
        <v>87</v>
      </c>
      <c r="E14038" s="16" t="str">
        <f>IFERROR(__xludf.DUMMYFUNCTION("""COMPUTED_VALUE"""),"")</f>
        <v/>
      </c>
      <c r="G14038" s="18"/>
      <c r="H14038" s="16" t="s">
        <v>87</v>
      </c>
      <c r="I14038" s="16" t="s">
        <v>87</v>
      </c>
      <c r="J14038" s="19"/>
      <c r="L14038" s="16" t="str">
        <f>IFERROR(__xludf.DUMMYFUNCTION("""COMPUTED_VALUE"""),"")</f>
        <v/>
      </c>
      <c r="M14038" s="16" t="str">
        <f>IFERROR(__xludf.DUMMYFUNCTION("""COMPUTED_VALUE"""),"")</f>
        <v/>
      </c>
      <c r="U14038" s="16" t="s">
        <v>87</v>
      </c>
      <c r="V14038" s="16" t="str">
        <f>IFERROR(__xludf.DUMMYFUNCTION("""COMPUTED_VALUE"""),"")</f>
        <v/>
      </c>
      <c r="W14038" s="16" t="str">
        <f>IFERROR(__xludf.DUMMYFUNCTION("""COMPUTED_VALUE"""),"")</f>
        <v/>
      </c>
      <c r="X14038" s="16" t="str">
        <f>IFERROR(__xludf.DUMMYFUNCTION("""COMPUTED_VALUE"""),"")</f>
        <v/>
      </c>
      <c r="AC14038" s="16" t="str">
        <f>IFERROR(__xludf.DUMMYFUNCTION("""COMPUTED_VALUE"""),"")</f>
        <v/>
      </c>
    </row>
    <row r="14039">
      <c r="A14039" s="16" t="s">
        <v>87</v>
      </c>
      <c r="E14039" s="16" t="str">
        <f>IFERROR(__xludf.DUMMYFUNCTION("""COMPUTED_VALUE"""),"")</f>
        <v/>
      </c>
      <c r="G14039" s="18"/>
      <c r="H14039" s="16" t="s">
        <v>87</v>
      </c>
      <c r="I14039" s="16" t="s">
        <v>87</v>
      </c>
      <c r="J14039" s="19"/>
      <c r="L14039" s="16" t="str">
        <f>IFERROR(__xludf.DUMMYFUNCTION("""COMPUTED_VALUE"""),"")</f>
        <v/>
      </c>
      <c r="M14039" s="16" t="str">
        <f>IFERROR(__xludf.DUMMYFUNCTION("""COMPUTED_VALUE"""),"")</f>
        <v/>
      </c>
      <c r="U14039" s="16" t="s">
        <v>87</v>
      </c>
      <c r="V14039" s="16" t="str">
        <f>IFERROR(__xludf.DUMMYFUNCTION("""COMPUTED_VALUE"""),"")</f>
        <v/>
      </c>
      <c r="W14039" s="16" t="str">
        <f>IFERROR(__xludf.DUMMYFUNCTION("""COMPUTED_VALUE"""),"")</f>
        <v/>
      </c>
      <c r="X14039" s="16" t="str">
        <f>IFERROR(__xludf.DUMMYFUNCTION("""COMPUTED_VALUE"""),"")</f>
        <v/>
      </c>
      <c r="AC14039" s="16" t="str">
        <f>IFERROR(__xludf.DUMMYFUNCTION("""COMPUTED_VALUE"""),"")</f>
        <v/>
      </c>
    </row>
    <row r="14040">
      <c r="A14040" s="16" t="s">
        <v>87</v>
      </c>
      <c r="E14040" s="16" t="str">
        <f>IFERROR(__xludf.DUMMYFUNCTION("""COMPUTED_VALUE"""),"")</f>
        <v/>
      </c>
      <c r="G14040" s="18"/>
      <c r="H14040" s="16" t="s">
        <v>87</v>
      </c>
      <c r="I14040" s="16" t="s">
        <v>87</v>
      </c>
      <c r="J14040" s="19"/>
      <c r="L14040" s="16" t="str">
        <f>IFERROR(__xludf.DUMMYFUNCTION("""COMPUTED_VALUE"""),"")</f>
        <v/>
      </c>
      <c r="M14040" s="16" t="str">
        <f>IFERROR(__xludf.DUMMYFUNCTION("""COMPUTED_VALUE"""),"")</f>
        <v/>
      </c>
      <c r="U14040" s="16" t="s">
        <v>87</v>
      </c>
      <c r="V14040" s="16" t="str">
        <f>IFERROR(__xludf.DUMMYFUNCTION("""COMPUTED_VALUE"""),"")</f>
        <v/>
      </c>
      <c r="W14040" s="16" t="str">
        <f>IFERROR(__xludf.DUMMYFUNCTION("""COMPUTED_VALUE"""),"")</f>
        <v/>
      </c>
      <c r="X14040" s="16" t="str">
        <f>IFERROR(__xludf.DUMMYFUNCTION("""COMPUTED_VALUE"""),"")</f>
        <v/>
      </c>
      <c r="AC14040" s="16" t="str">
        <f>IFERROR(__xludf.DUMMYFUNCTION("""COMPUTED_VALUE"""),"")</f>
        <v/>
      </c>
    </row>
    <row r="14041">
      <c r="A14041" s="16" t="s">
        <v>87</v>
      </c>
      <c r="E14041" s="16" t="str">
        <f>IFERROR(__xludf.DUMMYFUNCTION("""COMPUTED_VALUE"""),"")</f>
        <v/>
      </c>
      <c r="G14041" s="18"/>
      <c r="H14041" s="16" t="s">
        <v>87</v>
      </c>
      <c r="I14041" s="16" t="s">
        <v>87</v>
      </c>
      <c r="J14041" s="19"/>
      <c r="L14041" s="16" t="str">
        <f>IFERROR(__xludf.DUMMYFUNCTION("""COMPUTED_VALUE"""),"")</f>
        <v/>
      </c>
      <c r="M14041" s="16" t="str">
        <f>IFERROR(__xludf.DUMMYFUNCTION("""COMPUTED_VALUE"""),"")</f>
        <v/>
      </c>
      <c r="U14041" s="16" t="s">
        <v>87</v>
      </c>
      <c r="V14041" s="16" t="str">
        <f>IFERROR(__xludf.DUMMYFUNCTION("""COMPUTED_VALUE"""),"")</f>
        <v/>
      </c>
      <c r="W14041" s="16" t="str">
        <f>IFERROR(__xludf.DUMMYFUNCTION("""COMPUTED_VALUE"""),"")</f>
        <v/>
      </c>
      <c r="X14041" s="16" t="str">
        <f>IFERROR(__xludf.DUMMYFUNCTION("""COMPUTED_VALUE"""),"")</f>
        <v/>
      </c>
      <c r="AC14041" s="16" t="str">
        <f>IFERROR(__xludf.DUMMYFUNCTION("""COMPUTED_VALUE"""),"")</f>
        <v/>
      </c>
    </row>
    <row r="14042">
      <c r="A14042" s="16" t="s">
        <v>87</v>
      </c>
      <c r="E14042" s="16" t="str">
        <f>IFERROR(__xludf.DUMMYFUNCTION("""COMPUTED_VALUE"""),"")</f>
        <v/>
      </c>
      <c r="G14042" s="18"/>
      <c r="H14042" s="16" t="s">
        <v>87</v>
      </c>
      <c r="I14042" s="16" t="s">
        <v>87</v>
      </c>
      <c r="J14042" s="19"/>
      <c r="L14042" s="16" t="str">
        <f>IFERROR(__xludf.DUMMYFUNCTION("""COMPUTED_VALUE"""),"")</f>
        <v/>
      </c>
      <c r="M14042" s="16" t="str">
        <f>IFERROR(__xludf.DUMMYFUNCTION("""COMPUTED_VALUE"""),"")</f>
        <v/>
      </c>
      <c r="U14042" s="16" t="s">
        <v>87</v>
      </c>
      <c r="V14042" s="16" t="str">
        <f>IFERROR(__xludf.DUMMYFUNCTION("""COMPUTED_VALUE"""),"")</f>
        <v/>
      </c>
      <c r="W14042" s="16" t="str">
        <f>IFERROR(__xludf.DUMMYFUNCTION("""COMPUTED_VALUE"""),"")</f>
        <v/>
      </c>
      <c r="X14042" s="16" t="str">
        <f>IFERROR(__xludf.DUMMYFUNCTION("""COMPUTED_VALUE"""),"")</f>
        <v/>
      </c>
      <c r="AC14042" s="16" t="str">
        <f>IFERROR(__xludf.DUMMYFUNCTION("""COMPUTED_VALUE"""),"")</f>
        <v/>
      </c>
    </row>
    <row r="14043">
      <c r="A14043" s="16" t="s">
        <v>87</v>
      </c>
      <c r="E14043" s="16" t="str">
        <f>IFERROR(__xludf.DUMMYFUNCTION("""COMPUTED_VALUE"""),"")</f>
        <v/>
      </c>
      <c r="G14043" s="18"/>
      <c r="H14043" s="16" t="s">
        <v>87</v>
      </c>
      <c r="I14043" s="16" t="s">
        <v>87</v>
      </c>
      <c r="J14043" s="19"/>
      <c r="L14043" s="16" t="str">
        <f>IFERROR(__xludf.DUMMYFUNCTION("""COMPUTED_VALUE"""),"")</f>
        <v/>
      </c>
      <c r="M14043" s="16" t="str">
        <f>IFERROR(__xludf.DUMMYFUNCTION("""COMPUTED_VALUE"""),"")</f>
        <v/>
      </c>
      <c r="U14043" s="16" t="s">
        <v>87</v>
      </c>
      <c r="V14043" s="16" t="str">
        <f>IFERROR(__xludf.DUMMYFUNCTION("""COMPUTED_VALUE"""),"")</f>
        <v/>
      </c>
      <c r="W14043" s="16" t="str">
        <f>IFERROR(__xludf.DUMMYFUNCTION("""COMPUTED_VALUE"""),"")</f>
        <v/>
      </c>
      <c r="X14043" s="16" t="str">
        <f>IFERROR(__xludf.DUMMYFUNCTION("""COMPUTED_VALUE"""),"")</f>
        <v/>
      </c>
      <c r="AC14043" s="16" t="str">
        <f>IFERROR(__xludf.DUMMYFUNCTION("""COMPUTED_VALUE"""),"")</f>
        <v/>
      </c>
    </row>
    <row r="14044">
      <c r="A14044" s="16" t="s">
        <v>87</v>
      </c>
      <c r="E14044" s="16" t="str">
        <f>IFERROR(__xludf.DUMMYFUNCTION("""COMPUTED_VALUE"""),"")</f>
        <v/>
      </c>
      <c r="G14044" s="18"/>
      <c r="H14044" s="16" t="s">
        <v>87</v>
      </c>
      <c r="I14044" s="16" t="s">
        <v>87</v>
      </c>
      <c r="J14044" s="19"/>
      <c r="L14044" s="16" t="str">
        <f>IFERROR(__xludf.DUMMYFUNCTION("""COMPUTED_VALUE"""),"")</f>
        <v/>
      </c>
      <c r="M14044" s="16" t="str">
        <f>IFERROR(__xludf.DUMMYFUNCTION("""COMPUTED_VALUE"""),"")</f>
        <v/>
      </c>
      <c r="U14044" s="16" t="s">
        <v>87</v>
      </c>
      <c r="V14044" s="16" t="str">
        <f>IFERROR(__xludf.DUMMYFUNCTION("""COMPUTED_VALUE"""),"")</f>
        <v/>
      </c>
      <c r="W14044" s="16" t="str">
        <f>IFERROR(__xludf.DUMMYFUNCTION("""COMPUTED_VALUE"""),"")</f>
        <v/>
      </c>
      <c r="X14044" s="16" t="str">
        <f>IFERROR(__xludf.DUMMYFUNCTION("""COMPUTED_VALUE"""),"")</f>
        <v/>
      </c>
      <c r="AC14044" s="16" t="str">
        <f>IFERROR(__xludf.DUMMYFUNCTION("""COMPUTED_VALUE"""),"")</f>
        <v/>
      </c>
    </row>
    <row r="14045">
      <c r="A14045" s="16" t="s">
        <v>87</v>
      </c>
      <c r="E14045" s="16" t="str">
        <f>IFERROR(__xludf.DUMMYFUNCTION("""COMPUTED_VALUE"""),"")</f>
        <v/>
      </c>
      <c r="G14045" s="18"/>
      <c r="H14045" s="16" t="s">
        <v>87</v>
      </c>
      <c r="I14045" s="16" t="s">
        <v>87</v>
      </c>
      <c r="J14045" s="19"/>
      <c r="L14045" s="16" t="str">
        <f>IFERROR(__xludf.DUMMYFUNCTION("""COMPUTED_VALUE"""),"")</f>
        <v/>
      </c>
      <c r="M14045" s="16" t="str">
        <f>IFERROR(__xludf.DUMMYFUNCTION("""COMPUTED_VALUE"""),"")</f>
        <v/>
      </c>
      <c r="U14045" s="16" t="s">
        <v>87</v>
      </c>
      <c r="V14045" s="16" t="str">
        <f>IFERROR(__xludf.DUMMYFUNCTION("""COMPUTED_VALUE"""),"")</f>
        <v/>
      </c>
      <c r="W14045" s="16" t="str">
        <f>IFERROR(__xludf.DUMMYFUNCTION("""COMPUTED_VALUE"""),"")</f>
        <v/>
      </c>
      <c r="X14045" s="16" t="str">
        <f>IFERROR(__xludf.DUMMYFUNCTION("""COMPUTED_VALUE"""),"")</f>
        <v/>
      </c>
      <c r="AC14045" s="16" t="str">
        <f>IFERROR(__xludf.DUMMYFUNCTION("""COMPUTED_VALUE"""),"")</f>
        <v/>
      </c>
    </row>
    <row r="14046">
      <c r="A14046" s="16" t="s">
        <v>87</v>
      </c>
      <c r="E14046" s="16" t="str">
        <f>IFERROR(__xludf.DUMMYFUNCTION("""COMPUTED_VALUE"""),"")</f>
        <v/>
      </c>
      <c r="G14046" s="18"/>
      <c r="H14046" s="16" t="s">
        <v>87</v>
      </c>
      <c r="I14046" s="16" t="s">
        <v>87</v>
      </c>
      <c r="J14046" s="19"/>
      <c r="L14046" s="16" t="str">
        <f>IFERROR(__xludf.DUMMYFUNCTION("""COMPUTED_VALUE"""),"")</f>
        <v/>
      </c>
      <c r="M14046" s="16" t="str">
        <f>IFERROR(__xludf.DUMMYFUNCTION("""COMPUTED_VALUE"""),"")</f>
        <v/>
      </c>
      <c r="U14046" s="16" t="s">
        <v>87</v>
      </c>
      <c r="V14046" s="16" t="str">
        <f>IFERROR(__xludf.DUMMYFUNCTION("""COMPUTED_VALUE"""),"")</f>
        <v/>
      </c>
      <c r="W14046" s="16" t="str">
        <f>IFERROR(__xludf.DUMMYFUNCTION("""COMPUTED_VALUE"""),"")</f>
        <v/>
      </c>
      <c r="X14046" s="16" t="str">
        <f>IFERROR(__xludf.DUMMYFUNCTION("""COMPUTED_VALUE"""),"")</f>
        <v/>
      </c>
      <c r="AC14046" s="16" t="str">
        <f>IFERROR(__xludf.DUMMYFUNCTION("""COMPUTED_VALUE"""),"")</f>
        <v/>
      </c>
    </row>
    <row r="14047">
      <c r="A14047" s="16" t="s">
        <v>87</v>
      </c>
      <c r="E14047" s="16" t="str">
        <f>IFERROR(__xludf.DUMMYFUNCTION("""COMPUTED_VALUE"""),"")</f>
        <v/>
      </c>
      <c r="G14047" s="18"/>
      <c r="H14047" s="16" t="s">
        <v>87</v>
      </c>
      <c r="I14047" s="16" t="s">
        <v>87</v>
      </c>
      <c r="J14047" s="19"/>
      <c r="L14047" s="16" t="str">
        <f>IFERROR(__xludf.DUMMYFUNCTION("""COMPUTED_VALUE"""),"")</f>
        <v/>
      </c>
      <c r="M14047" s="16" t="str">
        <f>IFERROR(__xludf.DUMMYFUNCTION("""COMPUTED_VALUE"""),"")</f>
        <v/>
      </c>
      <c r="U14047" s="16" t="s">
        <v>87</v>
      </c>
      <c r="V14047" s="16" t="str">
        <f>IFERROR(__xludf.DUMMYFUNCTION("""COMPUTED_VALUE"""),"")</f>
        <v/>
      </c>
      <c r="W14047" s="16" t="str">
        <f>IFERROR(__xludf.DUMMYFUNCTION("""COMPUTED_VALUE"""),"")</f>
        <v/>
      </c>
      <c r="X14047" s="16" t="str">
        <f>IFERROR(__xludf.DUMMYFUNCTION("""COMPUTED_VALUE"""),"")</f>
        <v/>
      </c>
      <c r="AC14047" s="16" t="str">
        <f>IFERROR(__xludf.DUMMYFUNCTION("""COMPUTED_VALUE"""),"")</f>
        <v/>
      </c>
    </row>
    <row r="14048">
      <c r="A14048" s="16" t="s">
        <v>87</v>
      </c>
      <c r="E14048" s="16" t="str">
        <f>IFERROR(__xludf.DUMMYFUNCTION("""COMPUTED_VALUE"""),"")</f>
        <v/>
      </c>
      <c r="G14048" s="18"/>
      <c r="H14048" s="16" t="s">
        <v>87</v>
      </c>
      <c r="I14048" s="16" t="s">
        <v>87</v>
      </c>
      <c r="J14048" s="19"/>
      <c r="L14048" s="16" t="str">
        <f>IFERROR(__xludf.DUMMYFUNCTION("""COMPUTED_VALUE"""),"")</f>
        <v/>
      </c>
      <c r="M14048" s="16" t="str">
        <f>IFERROR(__xludf.DUMMYFUNCTION("""COMPUTED_VALUE"""),"")</f>
        <v/>
      </c>
      <c r="U14048" s="16" t="s">
        <v>87</v>
      </c>
      <c r="V14048" s="16" t="str">
        <f>IFERROR(__xludf.DUMMYFUNCTION("""COMPUTED_VALUE"""),"")</f>
        <v/>
      </c>
      <c r="W14048" s="16" t="str">
        <f>IFERROR(__xludf.DUMMYFUNCTION("""COMPUTED_VALUE"""),"")</f>
        <v/>
      </c>
      <c r="X14048" s="16" t="str">
        <f>IFERROR(__xludf.DUMMYFUNCTION("""COMPUTED_VALUE"""),"")</f>
        <v/>
      </c>
      <c r="AC14048" s="16" t="str">
        <f>IFERROR(__xludf.DUMMYFUNCTION("""COMPUTED_VALUE"""),"")</f>
        <v/>
      </c>
    </row>
    <row r="14049">
      <c r="A14049" s="16" t="s">
        <v>87</v>
      </c>
      <c r="E14049" s="16" t="str">
        <f>IFERROR(__xludf.DUMMYFUNCTION("""COMPUTED_VALUE"""),"")</f>
        <v/>
      </c>
      <c r="G14049" s="18"/>
      <c r="H14049" s="16" t="s">
        <v>87</v>
      </c>
      <c r="I14049" s="16" t="s">
        <v>87</v>
      </c>
      <c r="J14049" s="19"/>
      <c r="L14049" s="16" t="str">
        <f>IFERROR(__xludf.DUMMYFUNCTION("""COMPUTED_VALUE"""),"")</f>
        <v/>
      </c>
      <c r="M14049" s="16" t="str">
        <f>IFERROR(__xludf.DUMMYFUNCTION("""COMPUTED_VALUE"""),"")</f>
        <v/>
      </c>
      <c r="U14049" s="16" t="s">
        <v>87</v>
      </c>
      <c r="V14049" s="16" t="str">
        <f>IFERROR(__xludf.DUMMYFUNCTION("""COMPUTED_VALUE"""),"")</f>
        <v/>
      </c>
      <c r="W14049" s="16" t="str">
        <f>IFERROR(__xludf.DUMMYFUNCTION("""COMPUTED_VALUE"""),"")</f>
        <v/>
      </c>
      <c r="X14049" s="16" t="str">
        <f>IFERROR(__xludf.DUMMYFUNCTION("""COMPUTED_VALUE"""),"")</f>
        <v/>
      </c>
      <c r="AC14049" s="16" t="str">
        <f>IFERROR(__xludf.DUMMYFUNCTION("""COMPUTED_VALUE"""),"")</f>
        <v/>
      </c>
    </row>
    <row r="14050">
      <c r="A14050" s="16" t="s">
        <v>87</v>
      </c>
      <c r="E14050" s="16" t="str">
        <f>IFERROR(__xludf.DUMMYFUNCTION("""COMPUTED_VALUE"""),"")</f>
        <v/>
      </c>
      <c r="G14050" s="18"/>
      <c r="H14050" s="16" t="s">
        <v>87</v>
      </c>
      <c r="I14050" s="16" t="s">
        <v>87</v>
      </c>
      <c r="J14050" s="19"/>
      <c r="L14050" s="16" t="str">
        <f>IFERROR(__xludf.DUMMYFUNCTION("""COMPUTED_VALUE"""),"")</f>
        <v/>
      </c>
      <c r="M14050" s="16" t="str">
        <f>IFERROR(__xludf.DUMMYFUNCTION("""COMPUTED_VALUE"""),"")</f>
        <v/>
      </c>
      <c r="U14050" s="16" t="s">
        <v>87</v>
      </c>
      <c r="V14050" s="16" t="str">
        <f>IFERROR(__xludf.DUMMYFUNCTION("""COMPUTED_VALUE"""),"")</f>
        <v/>
      </c>
      <c r="W14050" s="16" t="str">
        <f>IFERROR(__xludf.DUMMYFUNCTION("""COMPUTED_VALUE"""),"")</f>
        <v/>
      </c>
      <c r="X14050" s="16" t="str">
        <f>IFERROR(__xludf.DUMMYFUNCTION("""COMPUTED_VALUE"""),"")</f>
        <v/>
      </c>
      <c r="AC14050" s="16" t="str">
        <f>IFERROR(__xludf.DUMMYFUNCTION("""COMPUTED_VALUE"""),"")</f>
        <v/>
      </c>
    </row>
    <row r="14051">
      <c r="A14051" s="16" t="s">
        <v>87</v>
      </c>
      <c r="E14051" s="16" t="str">
        <f>IFERROR(__xludf.DUMMYFUNCTION("""COMPUTED_VALUE"""),"")</f>
        <v/>
      </c>
      <c r="G14051" s="18"/>
      <c r="H14051" s="16" t="s">
        <v>87</v>
      </c>
      <c r="I14051" s="16" t="s">
        <v>87</v>
      </c>
      <c r="J14051" s="19"/>
      <c r="L14051" s="16" t="str">
        <f>IFERROR(__xludf.DUMMYFUNCTION("""COMPUTED_VALUE"""),"")</f>
        <v/>
      </c>
      <c r="M14051" s="16" t="str">
        <f>IFERROR(__xludf.DUMMYFUNCTION("""COMPUTED_VALUE"""),"")</f>
        <v/>
      </c>
      <c r="U14051" s="16" t="s">
        <v>87</v>
      </c>
      <c r="V14051" s="16" t="str">
        <f>IFERROR(__xludf.DUMMYFUNCTION("""COMPUTED_VALUE"""),"")</f>
        <v/>
      </c>
      <c r="W14051" s="16" t="str">
        <f>IFERROR(__xludf.DUMMYFUNCTION("""COMPUTED_VALUE"""),"")</f>
        <v/>
      </c>
      <c r="X14051" s="16" t="str">
        <f>IFERROR(__xludf.DUMMYFUNCTION("""COMPUTED_VALUE"""),"")</f>
        <v/>
      </c>
      <c r="AC14051" s="16" t="str">
        <f>IFERROR(__xludf.DUMMYFUNCTION("""COMPUTED_VALUE"""),"")</f>
        <v/>
      </c>
    </row>
    <row r="14052">
      <c r="A14052" s="16" t="s">
        <v>87</v>
      </c>
      <c r="E14052" s="16" t="str">
        <f>IFERROR(__xludf.DUMMYFUNCTION("""COMPUTED_VALUE"""),"")</f>
        <v/>
      </c>
      <c r="G14052" s="18"/>
      <c r="H14052" s="16" t="s">
        <v>87</v>
      </c>
      <c r="I14052" s="16" t="s">
        <v>87</v>
      </c>
      <c r="J14052" s="19"/>
      <c r="L14052" s="16" t="str">
        <f>IFERROR(__xludf.DUMMYFUNCTION("""COMPUTED_VALUE"""),"")</f>
        <v/>
      </c>
      <c r="M14052" s="16" t="str">
        <f>IFERROR(__xludf.DUMMYFUNCTION("""COMPUTED_VALUE"""),"")</f>
        <v/>
      </c>
      <c r="U14052" s="16" t="s">
        <v>87</v>
      </c>
      <c r="V14052" s="16" t="str">
        <f>IFERROR(__xludf.DUMMYFUNCTION("""COMPUTED_VALUE"""),"")</f>
        <v/>
      </c>
      <c r="W14052" s="16" t="str">
        <f>IFERROR(__xludf.DUMMYFUNCTION("""COMPUTED_VALUE"""),"")</f>
        <v/>
      </c>
      <c r="X14052" s="16" t="str">
        <f>IFERROR(__xludf.DUMMYFUNCTION("""COMPUTED_VALUE"""),"")</f>
        <v/>
      </c>
      <c r="AC14052" s="16" t="str">
        <f>IFERROR(__xludf.DUMMYFUNCTION("""COMPUTED_VALUE"""),"")</f>
        <v/>
      </c>
    </row>
    <row r="14053">
      <c r="A14053" s="16" t="s">
        <v>87</v>
      </c>
      <c r="E14053" s="16" t="str">
        <f>IFERROR(__xludf.DUMMYFUNCTION("""COMPUTED_VALUE"""),"")</f>
        <v/>
      </c>
      <c r="G14053" s="18"/>
      <c r="H14053" s="16" t="s">
        <v>87</v>
      </c>
      <c r="I14053" s="16" t="s">
        <v>87</v>
      </c>
      <c r="J14053" s="19"/>
      <c r="L14053" s="16" t="str">
        <f>IFERROR(__xludf.DUMMYFUNCTION("""COMPUTED_VALUE"""),"")</f>
        <v/>
      </c>
      <c r="M14053" s="16" t="str">
        <f>IFERROR(__xludf.DUMMYFUNCTION("""COMPUTED_VALUE"""),"")</f>
        <v/>
      </c>
      <c r="U14053" s="16" t="s">
        <v>87</v>
      </c>
      <c r="V14053" s="16" t="str">
        <f>IFERROR(__xludf.DUMMYFUNCTION("""COMPUTED_VALUE"""),"")</f>
        <v/>
      </c>
      <c r="W14053" s="16" t="str">
        <f>IFERROR(__xludf.DUMMYFUNCTION("""COMPUTED_VALUE"""),"")</f>
        <v/>
      </c>
      <c r="X14053" s="16" t="str">
        <f>IFERROR(__xludf.DUMMYFUNCTION("""COMPUTED_VALUE"""),"")</f>
        <v/>
      </c>
      <c r="AC14053" s="16" t="str">
        <f>IFERROR(__xludf.DUMMYFUNCTION("""COMPUTED_VALUE"""),"")</f>
        <v/>
      </c>
    </row>
    <row r="14054">
      <c r="A14054" s="16" t="s">
        <v>87</v>
      </c>
      <c r="E14054" s="16" t="str">
        <f>IFERROR(__xludf.DUMMYFUNCTION("""COMPUTED_VALUE"""),"")</f>
        <v/>
      </c>
      <c r="G14054" s="18"/>
      <c r="H14054" s="16" t="s">
        <v>87</v>
      </c>
      <c r="I14054" s="16" t="s">
        <v>87</v>
      </c>
      <c r="J14054" s="19"/>
      <c r="L14054" s="16" t="str">
        <f>IFERROR(__xludf.DUMMYFUNCTION("""COMPUTED_VALUE"""),"")</f>
        <v/>
      </c>
      <c r="M14054" s="16" t="str">
        <f>IFERROR(__xludf.DUMMYFUNCTION("""COMPUTED_VALUE"""),"")</f>
        <v/>
      </c>
      <c r="U14054" s="16" t="s">
        <v>87</v>
      </c>
      <c r="V14054" s="16" t="str">
        <f>IFERROR(__xludf.DUMMYFUNCTION("""COMPUTED_VALUE"""),"")</f>
        <v/>
      </c>
      <c r="W14054" s="16" t="str">
        <f>IFERROR(__xludf.DUMMYFUNCTION("""COMPUTED_VALUE"""),"")</f>
        <v/>
      </c>
      <c r="X14054" s="16" t="str">
        <f>IFERROR(__xludf.DUMMYFUNCTION("""COMPUTED_VALUE"""),"")</f>
        <v/>
      </c>
      <c r="AC14054" s="16" t="str">
        <f>IFERROR(__xludf.DUMMYFUNCTION("""COMPUTED_VALUE"""),"")</f>
        <v/>
      </c>
    </row>
    <row r="14055">
      <c r="A14055" s="16" t="s">
        <v>87</v>
      </c>
      <c r="E14055" s="16" t="str">
        <f>IFERROR(__xludf.DUMMYFUNCTION("""COMPUTED_VALUE"""),"")</f>
        <v/>
      </c>
      <c r="G14055" s="18"/>
      <c r="H14055" s="16" t="s">
        <v>87</v>
      </c>
      <c r="I14055" s="16" t="s">
        <v>87</v>
      </c>
      <c r="J14055" s="19"/>
      <c r="L14055" s="16" t="str">
        <f>IFERROR(__xludf.DUMMYFUNCTION("""COMPUTED_VALUE"""),"")</f>
        <v/>
      </c>
      <c r="M14055" s="16" t="str">
        <f>IFERROR(__xludf.DUMMYFUNCTION("""COMPUTED_VALUE"""),"")</f>
        <v/>
      </c>
      <c r="U14055" s="16" t="s">
        <v>87</v>
      </c>
      <c r="V14055" s="16" t="str">
        <f>IFERROR(__xludf.DUMMYFUNCTION("""COMPUTED_VALUE"""),"")</f>
        <v/>
      </c>
      <c r="W14055" s="16" t="str">
        <f>IFERROR(__xludf.DUMMYFUNCTION("""COMPUTED_VALUE"""),"")</f>
        <v/>
      </c>
      <c r="X14055" s="16" t="str">
        <f>IFERROR(__xludf.DUMMYFUNCTION("""COMPUTED_VALUE"""),"")</f>
        <v/>
      </c>
      <c r="AC14055" s="16" t="str">
        <f>IFERROR(__xludf.DUMMYFUNCTION("""COMPUTED_VALUE"""),"")</f>
        <v/>
      </c>
    </row>
    <row r="14056">
      <c r="A14056" s="16" t="s">
        <v>87</v>
      </c>
      <c r="E14056" s="16" t="str">
        <f>IFERROR(__xludf.DUMMYFUNCTION("""COMPUTED_VALUE"""),"")</f>
        <v/>
      </c>
      <c r="G14056" s="18"/>
      <c r="H14056" s="16" t="s">
        <v>87</v>
      </c>
      <c r="I14056" s="16" t="s">
        <v>87</v>
      </c>
      <c r="J14056" s="19"/>
      <c r="L14056" s="16" t="str">
        <f>IFERROR(__xludf.DUMMYFUNCTION("""COMPUTED_VALUE"""),"")</f>
        <v/>
      </c>
      <c r="M14056" s="16" t="str">
        <f>IFERROR(__xludf.DUMMYFUNCTION("""COMPUTED_VALUE"""),"")</f>
        <v/>
      </c>
      <c r="U14056" s="16" t="s">
        <v>87</v>
      </c>
      <c r="V14056" s="16" t="str">
        <f>IFERROR(__xludf.DUMMYFUNCTION("""COMPUTED_VALUE"""),"")</f>
        <v/>
      </c>
      <c r="W14056" s="16" t="str">
        <f>IFERROR(__xludf.DUMMYFUNCTION("""COMPUTED_VALUE"""),"")</f>
        <v/>
      </c>
      <c r="X14056" s="16" t="str">
        <f>IFERROR(__xludf.DUMMYFUNCTION("""COMPUTED_VALUE"""),"")</f>
        <v/>
      </c>
      <c r="AC14056" s="16" t="str">
        <f>IFERROR(__xludf.DUMMYFUNCTION("""COMPUTED_VALUE"""),"")</f>
        <v/>
      </c>
    </row>
    <row r="14057">
      <c r="A14057" s="16" t="s">
        <v>87</v>
      </c>
      <c r="E14057" s="16" t="str">
        <f>IFERROR(__xludf.DUMMYFUNCTION("""COMPUTED_VALUE"""),"")</f>
        <v/>
      </c>
      <c r="G14057" s="18"/>
      <c r="H14057" s="16" t="s">
        <v>87</v>
      </c>
      <c r="I14057" s="16" t="s">
        <v>87</v>
      </c>
      <c r="J14057" s="19"/>
      <c r="L14057" s="16" t="str">
        <f>IFERROR(__xludf.DUMMYFUNCTION("""COMPUTED_VALUE"""),"")</f>
        <v/>
      </c>
      <c r="M14057" s="16" t="str">
        <f>IFERROR(__xludf.DUMMYFUNCTION("""COMPUTED_VALUE"""),"")</f>
        <v/>
      </c>
      <c r="U14057" s="16" t="s">
        <v>87</v>
      </c>
      <c r="V14057" s="16" t="str">
        <f>IFERROR(__xludf.DUMMYFUNCTION("""COMPUTED_VALUE"""),"")</f>
        <v/>
      </c>
      <c r="W14057" s="16" t="str">
        <f>IFERROR(__xludf.DUMMYFUNCTION("""COMPUTED_VALUE"""),"")</f>
        <v/>
      </c>
      <c r="X14057" s="16" t="str">
        <f>IFERROR(__xludf.DUMMYFUNCTION("""COMPUTED_VALUE"""),"")</f>
        <v/>
      </c>
      <c r="AC14057" s="16" t="str">
        <f>IFERROR(__xludf.DUMMYFUNCTION("""COMPUTED_VALUE"""),"")</f>
        <v/>
      </c>
    </row>
    <row r="14058">
      <c r="A14058" s="16" t="s">
        <v>87</v>
      </c>
      <c r="E14058" s="16" t="str">
        <f>IFERROR(__xludf.DUMMYFUNCTION("""COMPUTED_VALUE"""),"")</f>
        <v/>
      </c>
      <c r="G14058" s="18"/>
      <c r="H14058" s="16" t="s">
        <v>87</v>
      </c>
      <c r="I14058" s="16" t="s">
        <v>87</v>
      </c>
      <c r="J14058" s="19"/>
      <c r="L14058" s="16" t="str">
        <f>IFERROR(__xludf.DUMMYFUNCTION("""COMPUTED_VALUE"""),"")</f>
        <v/>
      </c>
      <c r="M14058" s="16" t="str">
        <f>IFERROR(__xludf.DUMMYFUNCTION("""COMPUTED_VALUE"""),"")</f>
        <v/>
      </c>
      <c r="U14058" s="16" t="s">
        <v>87</v>
      </c>
      <c r="V14058" s="16" t="str">
        <f>IFERROR(__xludf.DUMMYFUNCTION("""COMPUTED_VALUE"""),"")</f>
        <v/>
      </c>
      <c r="W14058" s="16" t="str">
        <f>IFERROR(__xludf.DUMMYFUNCTION("""COMPUTED_VALUE"""),"")</f>
        <v/>
      </c>
      <c r="X14058" s="16" t="str">
        <f>IFERROR(__xludf.DUMMYFUNCTION("""COMPUTED_VALUE"""),"")</f>
        <v/>
      </c>
      <c r="AC14058" s="16" t="str">
        <f>IFERROR(__xludf.DUMMYFUNCTION("""COMPUTED_VALUE"""),"")</f>
        <v/>
      </c>
    </row>
    <row r="14059">
      <c r="A14059" s="16" t="s">
        <v>87</v>
      </c>
      <c r="E14059" s="16" t="str">
        <f>IFERROR(__xludf.DUMMYFUNCTION("""COMPUTED_VALUE"""),"")</f>
        <v/>
      </c>
      <c r="G14059" s="18"/>
      <c r="H14059" s="16" t="s">
        <v>87</v>
      </c>
      <c r="I14059" s="16" t="s">
        <v>87</v>
      </c>
      <c r="J14059" s="19"/>
      <c r="L14059" s="16" t="str">
        <f>IFERROR(__xludf.DUMMYFUNCTION("""COMPUTED_VALUE"""),"")</f>
        <v/>
      </c>
      <c r="M14059" s="16" t="str">
        <f>IFERROR(__xludf.DUMMYFUNCTION("""COMPUTED_VALUE"""),"")</f>
        <v/>
      </c>
      <c r="U14059" s="16" t="s">
        <v>87</v>
      </c>
      <c r="V14059" s="16" t="str">
        <f>IFERROR(__xludf.DUMMYFUNCTION("""COMPUTED_VALUE"""),"")</f>
        <v/>
      </c>
      <c r="W14059" s="16" t="str">
        <f>IFERROR(__xludf.DUMMYFUNCTION("""COMPUTED_VALUE"""),"")</f>
        <v/>
      </c>
      <c r="X14059" s="16" t="str">
        <f>IFERROR(__xludf.DUMMYFUNCTION("""COMPUTED_VALUE"""),"")</f>
        <v/>
      </c>
      <c r="AC14059" s="16" t="str">
        <f>IFERROR(__xludf.DUMMYFUNCTION("""COMPUTED_VALUE"""),"")</f>
        <v/>
      </c>
    </row>
    <row r="14060">
      <c r="A14060" s="16" t="s">
        <v>87</v>
      </c>
      <c r="E14060" s="16" t="str">
        <f>IFERROR(__xludf.DUMMYFUNCTION("""COMPUTED_VALUE"""),"")</f>
        <v/>
      </c>
      <c r="G14060" s="18"/>
      <c r="H14060" s="16" t="s">
        <v>87</v>
      </c>
      <c r="I14060" s="16" t="s">
        <v>87</v>
      </c>
      <c r="J14060" s="19"/>
      <c r="L14060" s="16" t="str">
        <f>IFERROR(__xludf.DUMMYFUNCTION("""COMPUTED_VALUE"""),"")</f>
        <v/>
      </c>
      <c r="M14060" s="16" t="str">
        <f>IFERROR(__xludf.DUMMYFUNCTION("""COMPUTED_VALUE"""),"")</f>
        <v/>
      </c>
      <c r="U14060" s="16" t="s">
        <v>87</v>
      </c>
      <c r="V14060" s="16" t="str">
        <f>IFERROR(__xludf.DUMMYFUNCTION("""COMPUTED_VALUE"""),"")</f>
        <v/>
      </c>
      <c r="W14060" s="16" t="str">
        <f>IFERROR(__xludf.DUMMYFUNCTION("""COMPUTED_VALUE"""),"")</f>
        <v/>
      </c>
      <c r="X14060" s="16" t="str">
        <f>IFERROR(__xludf.DUMMYFUNCTION("""COMPUTED_VALUE"""),"")</f>
        <v/>
      </c>
      <c r="AC14060" s="16" t="str">
        <f>IFERROR(__xludf.DUMMYFUNCTION("""COMPUTED_VALUE"""),"")</f>
        <v/>
      </c>
    </row>
    <row r="14061">
      <c r="A14061" s="16" t="s">
        <v>87</v>
      </c>
      <c r="E14061" s="16" t="str">
        <f>IFERROR(__xludf.DUMMYFUNCTION("""COMPUTED_VALUE"""),"")</f>
        <v/>
      </c>
      <c r="G14061" s="18"/>
      <c r="H14061" s="16" t="s">
        <v>87</v>
      </c>
      <c r="I14061" s="16" t="s">
        <v>87</v>
      </c>
      <c r="J14061" s="19"/>
      <c r="L14061" s="16" t="str">
        <f>IFERROR(__xludf.DUMMYFUNCTION("""COMPUTED_VALUE"""),"")</f>
        <v/>
      </c>
      <c r="M14061" s="16" t="str">
        <f>IFERROR(__xludf.DUMMYFUNCTION("""COMPUTED_VALUE"""),"")</f>
        <v/>
      </c>
      <c r="U14061" s="16" t="s">
        <v>87</v>
      </c>
      <c r="V14061" s="16" t="str">
        <f>IFERROR(__xludf.DUMMYFUNCTION("""COMPUTED_VALUE"""),"")</f>
        <v/>
      </c>
      <c r="W14061" s="16" t="str">
        <f>IFERROR(__xludf.DUMMYFUNCTION("""COMPUTED_VALUE"""),"")</f>
        <v/>
      </c>
      <c r="X14061" s="16" t="str">
        <f>IFERROR(__xludf.DUMMYFUNCTION("""COMPUTED_VALUE"""),"")</f>
        <v/>
      </c>
      <c r="AC14061" s="16" t="str">
        <f>IFERROR(__xludf.DUMMYFUNCTION("""COMPUTED_VALUE"""),"")</f>
        <v/>
      </c>
    </row>
    <row r="14062">
      <c r="A14062" s="16" t="s">
        <v>87</v>
      </c>
      <c r="E14062" s="16" t="str">
        <f>IFERROR(__xludf.DUMMYFUNCTION("""COMPUTED_VALUE"""),"")</f>
        <v/>
      </c>
      <c r="G14062" s="18"/>
      <c r="H14062" s="16" t="s">
        <v>87</v>
      </c>
      <c r="I14062" s="16" t="s">
        <v>87</v>
      </c>
      <c r="J14062" s="19"/>
      <c r="L14062" s="16" t="str">
        <f>IFERROR(__xludf.DUMMYFUNCTION("""COMPUTED_VALUE"""),"")</f>
        <v/>
      </c>
      <c r="M14062" s="16" t="str">
        <f>IFERROR(__xludf.DUMMYFUNCTION("""COMPUTED_VALUE"""),"")</f>
        <v/>
      </c>
      <c r="U14062" s="16" t="s">
        <v>87</v>
      </c>
      <c r="V14062" s="16" t="str">
        <f>IFERROR(__xludf.DUMMYFUNCTION("""COMPUTED_VALUE"""),"")</f>
        <v/>
      </c>
      <c r="W14062" s="16" t="str">
        <f>IFERROR(__xludf.DUMMYFUNCTION("""COMPUTED_VALUE"""),"")</f>
        <v/>
      </c>
      <c r="X14062" s="16" t="str">
        <f>IFERROR(__xludf.DUMMYFUNCTION("""COMPUTED_VALUE"""),"")</f>
        <v/>
      </c>
      <c r="AC14062" s="16" t="str">
        <f>IFERROR(__xludf.DUMMYFUNCTION("""COMPUTED_VALUE"""),"")</f>
        <v/>
      </c>
    </row>
    <row r="14063">
      <c r="A14063" s="16" t="s">
        <v>87</v>
      </c>
      <c r="E14063" s="16" t="str">
        <f>IFERROR(__xludf.DUMMYFUNCTION("""COMPUTED_VALUE"""),"")</f>
        <v/>
      </c>
      <c r="G14063" s="18"/>
      <c r="H14063" s="16" t="s">
        <v>87</v>
      </c>
      <c r="I14063" s="16" t="s">
        <v>87</v>
      </c>
      <c r="J14063" s="19"/>
      <c r="L14063" s="16" t="str">
        <f>IFERROR(__xludf.DUMMYFUNCTION("""COMPUTED_VALUE"""),"")</f>
        <v/>
      </c>
      <c r="M14063" s="16" t="str">
        <f>IFERROR(__xludf.DUMMYFUNCTION("""COMPUTED_VALUE"""),"")</f>
        <v/>
      </c>
      <c r="U14063" s="16" t="s">
        <v>87</v>
      </c>
      <c r="V14063" s="16" t="str">
        <f>IFERROR(__xludf.DUMMYFUNCTION("""COMPUTED_VALUE"""),"")</f>
        <v/>
      </c>
      <c r="W14063" s="16" t="str">
        <f>IFERROR(__xludf.DUMMYFUNCTION("""COMPUTED_VALUE"""),"")</f>
        <v/>
      </c>
      <c r="X14063" s="16" t="str">
        <f>IFERROR(__xludf.DUMMYFUNCTION("""COMPUTED_VALUE"""),"")</f>
        <v/>
      </c>
      <c r="AC14063" s="16" t="str">
        <f>IFERROR(__xludf.DUMMYFUNCTION("""COMPUTED_VALUE"""),"")</f>
        <v/>
      </c>
    </row>
    <row r="14064">
      <c r="A14064" s="16" t="s">
        <v>87</v>
      </c>
      <c r="E14064" s="16" t="str">
        <f>IFERROR(__xludf.DUMMYFUNCTION("""COMPUTED_VALUE"""),"")</f>
        <v/>
      </c>
      <c r="G14064" s="18"/>
      <c r="H14064" s="16" t="s">
        <v>87</v>
      </c>
      <c r="I14064" s="16" t="s">
        <v>87</v>
      </c>
      <c r="J14064" s="19"/>
      <c r="L14064" s="16" t="str">
        <f>IFERROR(__xludf.DUMMYFUNCTION("""COMPUTED_VALUE"""),"")</f>
        <v/>
      </c>
      <c r="M14064" s="16" t="str">
        <f>IFERROR(__xludf.DUMMYFUNCTION("""COMPUTED_VALUE"""),"")</f>
        <v/>
      </c>
      <c r="U14064" s="16" t="s">
        <v>87</v>
      </c>
      <c r="V14064" s="16" t="str">
        <f>IFERROR(__xludf.DUMMYFUNCTION("""COMPUTED_VALUE"""),"")</f>
        <v/>
      </c>
      <c r="W14064" s="16" t="str">
        <f>IFERROR(__xludf.DUMMYFUNCTION("""COMPUTED_VALUE"""),"")</f>
        <v/>
      </c>
      <c r="X14064" s="16" t="str">
        <f>IFERROR(__xludf.DUMMYFUNCTION("""COMPUTED_VALUE"""),"")</f>
        <v/>
      </c>
      <c r="AC14064" s="16" t="str">
        <f>IFERROR(__xludf.DUMMYFUNCTION("""COMPUTED_VALUE"""),"")</f>
        <v/>
      </c>
    </row>
    <row r="14065">
      <c r="A14065" s="16" t="s">
        <v>87</v>
      </c>
      <c r="E14065" s="16" t="str">
        <f>IFERROR(__xludf.DUMMYFUNCTION("""COMPUTED_VALUE"""),"")</f>
        <v/>
      </c>
      <c r="G14065" s="18"/>
      <c r="H14065" s="16" t="s">
        <v>87</v>
      </c>
      <c r="I14065" s="16" t="s">
        <v>87</v>
      </c>
      <c r="J14065" s="19"/>
      <c r="L14065" s="16" t="str">
        <f>IFERROR(__xludf.DUMMYFUNCTION("""COMPUTED_VALUE"""),"")</f>
        <v/>
      </c>
      <c r="M14065" s="16" t="str">
        <f>IFERROR(__xludf.DUMMYFUNCTION("""COMPUTED_VALUE"""),"")</f>
        <v/>
      </c>
      <c r="U14065" s="16" t="s">
        <v>87</v>
      </c>
      <c r="V14065" s="16" t="str">
        <f>IFERROR(__xludf.DUMMYFUNCTION("""COMPUTED_VALUE"""),"")</f>
        <v/>
      </c>
      <c r="W14065" s="16" t="str">
        <f>IFERROR(__xludf.DUMMYFUNCTION("""COMPUTED_VALUE"""),"")</f>
        <v/>
      </c>
      <c r="X14065" s="16" t="str">
        <f>IFERROR(__xludf.DUMMYFUNCTION("""COMPUTED_VALUE"""),"")</f>
        <v/>
      </c>
      <c r="AC14065" s="16" t="str">
        <f>IFERROR(__xludf.DUMMYFUNCTION("""COMPUTED_VALUE"""),"")</f>
        <v/>
      </c>
    </row>
    <row r="14066">
      <c r="A14066" s="16" t="s">
        <v>87</v>
      </c>
      <c r="E14066" s="16" t="str">
        <f>IFERROR(__xludf.DUMMYFUNCTION("""COMPUTED_VALUE"""),"")</f>
        <v/>
      </c>
      <c r="G14066" s="18"/>
      <c r="H14066" s="16" t="s">
        <v>87</v>
      </c>
      <c r="I14066" s="16" t="s">
        <v>87</v>
      </c>
      <c r="J14066" s="19"/>
      <c r="L14066" s="16" t="str">
        <f>IFERROR(__xludf.DUMMYFUNCTION("""COMPUTED_VALUE"""),"")</f>
        <v/>
      </c>
      <c r="M14066" s="16" t="str">
        <f>IFERROR(__xludf.DUMMYFUNCTION("""COMPUTED_VALUE"""),"")</f>
        <v/>
      </c>
      <c r="U14066" s="16" t="s">
        <v>87</v>
      </c>
      <c r="V14066" s="16" t="str">
        <f>IFERROR(__xludf.DUMMYFUNCTION("""COMPUTED_VALUE"""),"")</f>
        <v/>
      </c>
      <c r="W14066" s="16" t="str">
        <f>IFERROR(__xludf.DUMMYFUNCTION("""COMPUTED_VALUE"""),"")</f>
        <v/>
      </c>
      <c r="X14066" s="16" t="str">
        <f>IFERROR(__xludf.DUMMYFUNCTION("""COMPUTED_VALUE"""),"")</f>
        <v/>
      </c>
      <c r="AC14066" s="16" t="str">
        <f>IFERROR(__xludf.DUMMYFUNCTION("""COMPUTED_VALUE"""),"")</f>
        <v/>
      </c>
    </row>
    <row r="14067">
      <c r="A14067" s="16" t="s">
        <v>87</v>
      </c>
      <c r="E14067" s="16" t="str">
        <f>IFERROR(__xludf.DUMMYFUNCTION("""COMPUTED_VALUE"""),"")</f>
        <v/>
      </c>
      <c r="G14067" s="18"/>
      <c r="H14067" s="16" t="s">
        <v>87</v>
      </c>
      <c r="I14067" s="16" t="s">
        <v>87</v>
      </c>
      <c r="J14067" s="19"/>
      <c r="L14067" s="16" t="str">
        <f>IFERROR(__xludf.DUMMYFUNCTION("""COMPUTED_VALUE"""),"")</f>
        <v/>
      </c>
      <c r="M14067" s="16" t="str">
        <f>IFERROR(__xludf.DUMMYFUNCTION("""COMPUTED_VALUE"""),"")</f>
        <v/>
      </c>
      <c r="U14067" s="16" t="s">
        <v>87</v>
      </c>
      <c r="V14067" s="16" t="str">
        <f>IFERROR(__xludf.DUMMYFUNCTION("""COMPUTED_VALUE"""),"")</f>
        <v/>
      </c>
      <c r="W14067" s="16" t="str">
        <f>IFERROR(__xludf.DUMMYFUNCTION("""COMPUTED_VALUE"""),"")</f>
        <v/>
      </c>
      <c r="X14067" s="16" t="str">
        <f>IFERROR(__xludf.DUMMYFUNCTION("""COMPUTED_VALUE"""),"")</f>
        <v/>
      </c>
      <c r="AC14067" s="16" t="str">
        <f>IFERROR(__xludf.DUMMYFUNCTION("""COMPUTED_VALUE"""),"")</f>
        <v/>
      </c>
    </row>
    <row r="14068">
      <c r="A14068" s="16" t="s">
        <v>87</v>
      </c>
      <c r="E14068" s="16" t="str">
        <f>IFERROR(__xludf.DUMMYFUNCTION("""COMPUTED_VALUE"""),"")</f>
        <v/>
      </c>
      <c r="G14068" s="18"/>
      <c r="H14068" s="16" t="s">
        <v>87</v>
      </c>
      <c r="I14068" s="16" t="s">
        <v>87</v>
      </c>
      <c r="J14068" s="19"/>
      <c r="L14068" s="16" t="str">
        <f>IFERROR(__xludf.DUMMYFUNCTION("""COMPUTED_VALUE"""),"")</f>
        <v/>
      </c>
      <c r="M14068" s="16" t="str">
        <f>IFERROR(__xludf.DUMMYFUNCTION("""COMPUTED_VALUE"""),"")</f>
        <v/>
      </c>
      <c r="U14068" s="16" t="s">
        <v>87</v>
      </c>
      <c r="V14068" s="16" t="str">
        <f>IFERROR(__xludf.DUMMYFUNCTION("""COMPUTED_VALUE"""),"")</f>
        <v/>
      </c>
      <c r="W14068" s="16" t="str">
        <f>IFERROR(__xludf.DUMMYFUNCTION("""COMPUTED_VALUE"""),"")</f>
        <v/>
      </c>
      <c r="X14068" s="16" t="str">
        <f>IFERROR(__xludf.DUMMYFUNCTION("""COMPUTED_VALUE"""),"")</f>
        <v/>
      </c>
      <c r="AC14068" s="16" t="str">
        <f>IFERROR(__xludf.DUMMYFUNCTION("""COMPUTED_VALUE"""),"")</f>
        <v/>
      </c>
    </row>
    <row r="14069">
      <c r="A14069" s="16" t="s">
        <v>87</v>
      </c>
      <c r="E14069" s="16" t="str">
        <f>IFERROR(__xludf.DUMMYFUNCTION("""COMPUTED_VALUE"""),"")</f>
        <v/>
      </c>
      <c r="G14069" s="18"/>
      <c r="H14069" s="16" t="s">
        <v>87</v>
      </c>
      <c r="I14069" s="16" t="s">
        <v>87</v>
      </c>
      <c r="J14069" s="19"/>
      <c r="L14069" s="16" t="str">
        <f>IFERROR(__xludf.DUMMYFUNCTION("""COMPUTED_VALUE"""),"")</f>
        <v/>
      </c>
      <c r="M14069" s="16" t="str">
        <f>IFERROR(__xludf.DUMMYFUNCTION("""COMPUTED_VALUE"""),"")</f>
        <v/>
      </c>
      <c r="U14069" s="16" t="s">
        <v>87</v>
      </c>
      <c r="V14069" s="16" t="str">
        <f>IFERROR(__xludf.DUMMYFUNCTION("""COMPUTED_VALUE"""),"")</f>
        <v/>
      </c>
      <c r="W14069" s="16" t="str">
        <f>IFERROR(__xludf.DUMMYFUNCTION("""COMPUTED_VALUE"""),"")</f>
        <v/>
      </c>
      <c r="X14069" s="16" t="str">
        <f>IFERROR(__xludf.DUMMYFUNCTION("""COMPUTED_VALUE"""),"")</f>
        <v/>
      </c>
      <c r="AC14069" s="16" t="str">
        <f>IFERROR(__xludf.DUMMYFUNCTION("""COMPUTED_VALUE"""),"")</f>
        <v/>
      </c>
    </row>
    <row r="14070">
      <c r="A14070" s="16" t="s">
        <v>87</v>
      </c>
      <c r="E14070" s="16" t="str">
        <f>IFERROR(__xludf.DUMMYFUNCTION("""COMPUTED_VALUE"""),"")</f>
        <v/>
      </c>
      <c r="G14070" s="18"/>
      <c r="H14070" s="16" t="s">
        <v>87</v>
      </c>
      <c r="I14070" s="16" t="s">
        <v>87</v>
      </c>
      <c r="J14070" s="19"/>
      <c r="L14070" s="16" t="str">
        <f>IFERROR(__xludf.DUMMYFUNCTION("""COMPUTED_VALUE"""),"")</f>
        <v/>
      </c>
      <c r="M14070" s="16" t="str">
        <f>IFERROR(__xludf.DUMMYFUNCTION("""COMPUTED_VALUE"""),"")</f>
        <v/>
      </c>
      <c r="U14070" s="16" t="s">
        <v>87</v>
      </c>
      <c r="V14070" s="16" t="str">
        <f>IFERROR(__xludf.DUMMYFUNCTION("""COMPUTED_VALUE"""),"")</f>
        <v/>
      </c>
      <c r="W14070" s="16" t="str">
        <f>IFERROR(__xludf.DUMMYFUNCTION("""COMPUTED_VALUE"""),"")</f>
        <v/>
      </c>
      <c r="X14070" s="16" t="str">
        <f>IFERROR(__xludf.DUMMYFUNCTION("""COMPUTED_VALUE"""),"")</f>
        <v/>
      </c>
      <c r="AC14070" s="16" t="str">
        <f>IFERROR(__xludf.DUMMYFUNCTION("""COMPUTED_VALUE"""),"")</f>
        <v/>
      </c>
    </row>
    <row r="14071">
      <c r="A14071" s="16" t="s">
        <v>87</v>
      </c>
      <c r="E14071" s="16" t="str">
        <f>IFERROR(__xludf.DUMMYFUNCTION("""COMPUTED_VALUE"""),"")</f>
        <v/>
      </c>
      <c r="G14071" s="18"/>
      <c r="H14071" s="16" t="s">
        <v>87</v>
      </c>
      <c r="I14071" s="16" t="s">
        <v>87</v>
      </c>
      <c r="J14071" s="19"/>
      <c r="L14071" s="16" t="str">
        <f>IFERROR(__xludf.DUMMYFUNCTION("""COMPUTED_VALUE"""),"")</f>
        <v/>
      </c>
      <c r="M14071" s="16" t="str">
        <f>IFERROR(__xludf.DUMMYFUNCTION("""COMPUTED_VALUE"""),"")</f>
        <v/>
      </c>
      <c r="U14071" s="16" t="s">
        <v>87</v>
      </c>
      <c r="V14071" s="16" t="str">
        <f>IFERROR(__xludf.DUMMYFUNCTION("""COMPUTED_VALUE"""),"")</f>
        <v/>
      </c>
      <c r="W14071" s="16" t="str">
        <f>IFERROR(__xludf.DUMMYFUNCTION("""COMPUTED_VALUE"""),"")</f>
        <v/>
      </c>
      <c r="X14071" s="16" t="str">
        <f>IFERROR(__xludf.DUMMYFUNCTION("""COMPUTED_VALUE"""),"")</f>
        <v/>
      </c>
      <c r="AC14071" s="16" t="str">
        <f>IFERROR(__xludf.DUMMYFUNCTION("""COMPUTED_VALUE"""),"")</f>
        <v/>
      </c>
    </row>
    <row r="14072">
      <c r="A14072" s="16" t="s">
        <v>87</v>
      </c>
      <c r="E14072" s="16" t="str">
        <f>IFERROR(__xludf.DUMMYFUNCTION("""COMPUTED_VALUE"""),"")</f>
        <v/>
      </c>
      <c r="G14072" s="18"/>
      <c r="H14072" s="16" t="s">
        <v>87</v>
      </c>
      <c r="I14072" s="16" t="s">
        <v>87</v>
      </c>
      <c r="J14072" s="19"/>
      <c r="L14072" s="16" t="str">
        <f>IFERROR(__xludf.DUMMYFUNCTION("""COMPUTED_VALUE"""),"")</f>
        <v/>
      </c>
      <c r="M14072" s="16" t="str">
        <f>IFERROR(__xludf.DUMMYFUNCTION("""COMPUTED_VALUE"""),"")</f>
        <v/>
      </c>
      <c r="U14072" s="16" t="s">
        <v>87</v>
      </c>
      <c r="V14072" s="16" t="str">
        <f>IFERROR(__xludf.DUMMYFUNCTION("""COMPUTED_VALUE"""),"")</f>
        <v/>
      </c>
      <c r="W14072" s="16" t="str">
        <f>IFERROR(__xludf.DUMMYFUNCTION("""COMPUTED_VALUE"""),"")</f>
        <v/>
      </c>
      <c r="X14072" s="16" t="str">
        <f>IFERROR(__xludf.DUMMYFUNCTION("""COMPUTED_VALUE"""),"")</f>
        <v/>
      </c>
      <c r="AC14072" s="16" t="str">
        <f>IFERROR(__xludf.DUMMYFUNCTION("""COMPUTED_VALUE"""),"")</f>
        <v/>
      </c>
    </row>
    <row r="14073">
      <c r="A14073" s="16" t="s">
        <v>87</v>
      </c>
      <c r="E14073" s="16" t="str">
        <f>IFERROR(__xludf.DUMMYFUNCTION("""COMPUTED_VALUE"""),"")</f>
        <v/>
      </c>
      <c r="G14073" s="18"/>
      <c r="H14073" s="16" t="s">
        <v>87</v>
      </c>
      <c r="I14073" s="16" t="s">
        <v>87</v>
      </c>
      <c r="J14073" s="19"/>
      <c r="L14073" s="16" t="str">
        <f>IFERROR(__xludf.DUMMYFUNCTION("""COMPUTED_VALUE"""),"")</f>
        <v/>
      </c>
      <c r="M14073" s="16" t="str">
        <f>IFERROR(__xludf.DUMMYFUNCTION("""COMPUTED_VALUE"""),"")</f>
        <v/>
      </c>
      <c r="U14073" s="16" t="s">
        <v>87</v>
      </c>
      <c r="V14073" s="16" t="str">
        <f>IFERROR(__xludf.DUMMYFUNCTION("""COMPUTED_VALUE"""),"")</f>
        <v/>
      </c>
      <c r="W14073" s="16" t="str">
        <f>IFERROR(__xludf.DUMMYFUNCTION("""COMPUTED_VALUE"""),"")</f>
        <v/>
      </c>
      <c r="X14073" s="16" t="str">
        <f>IFERROR(__xludf.DUMMYFUNCTION("""COMPUTED_VALUE"""),"")</f>
        <v/>
      </c>
      <c r="AC14073" s="16" t="str">
        <f>IFERROR(__xludf.DUMMYFUNCTION("""COMPUTED_VALUE"""),"")</f>
        <v/>
      </c>
    </row>
    <row r="14074">
      <c r="A14074" s="16" t="s">
        <v>87</v>
      </c>
      <c r="E14074" s="16" t="str">
        <f>IFERROR(__xludf.DUMMYFUNCTION("""COMPUTED_VALUE"""),"")</f>
        <v/>
      </c>
      <c r="G14074" s="18"/>
      <c r="H14074" s="16" t="s">
        <v>87</v>
      </c>
      <c r="I14074" s="16" t="s">
        <v>87</v>
      </c>
      <c r="J14074" s="19"/>
      <c r="L14074" s="16" t="str">
        <f>IFERROR(__xludf.DUMMYFUNCTION("""COMPUTED_VALUE"""),"")</f>
        <v/>
      </c>
      <c r="M14074" s="16" t="str">
        <f>IFERROR(__xludf.DUMMYFUNCTION("""COMPUTED_VALUE"""),"")</f>
        <v/>
      </c>
      <c r="U14074" s="16" t="s">
        <v>87</v>
      </c>
      <c r="V14074" s="16" t="str">
        <f>IFERROR(__xludf.DUMMYFUNCTION("""COMPUTED_VALUE"""),"")</f>
        <v/>
      </c>
      <c r="W14074" s="16" t="str">
        <f>IFERROR(__xludf.DUMMYFUNCTION("""COMPUTED_VALUE"""),"")</f>
        <v/>
      </c>
      <c r="X14074" s="16" t="str">
        <f>IFERROR(__xludf.DUMMYFUNCTION("""COMPUTED_VALUE"""),"")</f>
        <v/>
      </c>
      <c r="AC14074" s="16" t="str">
        <f>IFERROR(__xludf.DUMMYFUNCTION("""COMPUTED_VALUE"""),"")</f>
        <v/>
      </c>
    </row>
    <row r="14075">
      <c r="A14075" s="16" t="s">
        <v>87</v>
      </c>
      <c r="E14075" s="16" t="str">
        <f>IFERROR(__xludf.DUMMYFUNCTION("""COMPUTED_VALUE"""),"")</f>
        <v/>
      </c>
      <c r="G14075" s="18"/>
      <c r="H14075" s="16" t="s">
        <v>87</v>
      </c>
      <c r="I14075" s="16" t="s">
        <v>87</v>
      </c>
      <c r="J14075" s="19"/>
      <c r="L14075" s="16" t="str">
        <f>IFERROR(__xludf.DUMMYFUNCTION("""COMPUTED_VALUE"""),"")</f>
        <v/>
      </c>
      <c r="M14075" s="16" t="str">
        <f>IFERROR(__xludf.DUMMYFUNCTION("""COMPUTED_VALUE"""),"")</f>
        <v/>
      </c>
      <c r="U14075" s="16" t="s">
        <v>87</v>
      </c>
      <c r="V14075" s="16" t="str">
        <f>IFERROR(__xludf.DUMMYFUNCTION("""COMPUTED_VALUE"""),"")</f>
        <v/>
      </c>
      <c r="W14075" s="16" t="str">
        <f>IFERROR(__xludf.DUMMYFUNCTION("""COMPUTED_VALUE"""),"")</f>
        <v/>
      </c>
      <c r="X14075" s="16" t="str">
        <f>IFERROR(__xludf.DUMMYFUNCTION("""COMPUTED_VALUE"""),"")</f>
        <v/>
      </c>
      <c r="AC14075" s="16" t="str">
        <f>IFERROR(__xludf.DUMMYFUNCTION("""COMPUTED_VALUE"""),"")</f>
        <v/>
      </c>
    </row>
    <row r="14076">
      <c r="A14076" s="16" t="s">
        <v>87</v>
      </c>
      <c r="E14076" s="16" t="str">
        <f>IFERROR(__xludf.DUMMYFUNCTION("""COMPUTED_VALUE"""),"")</f>
        <v/>
      </c>
      <c r="G14076" s="18"/>
      <c r="H14076" s="16" t="s">
        <v>87</v>
      </c>
      <c r="I14076" s="16" t="s">
        <v>87</v>
      </c>
      <c r="J14076" s="19"/>
      <c r="L14076" s="16" t="str">
        <f>IFERROR(__xludf.DUMMYFUNCTION("""COMPUTED_VALUE"""),"")</f>
        <v/>
      </c>
      <c r="M14076" s="16" t="str">
        <f>IFERROR(__xludf.DUMMYFUNCTION("""COMPUTED_VALUE"""),"")</f>
        <v/>
      </c>
      <c r="U14076" s="16" t="s">
        <v>87</v>
      </c>
      <c r="V14076" s="16" t="str">
        <f>IFERROR(__xludf.DUMMYFUNCTION("""COMPUTED_VALUE"""),"")</f>
        <v/>
      </c>
      <c r="W14076" s="16" t="str">
        <f>IFERROR(__xludf.DUMMYFUNCTION("""COMPUTED_VALUE"""),"")</f>
        <v/>
      </c>
      <c r="X14076" s="16" t="str">
        <f>IFERROR(__xludf.DUMMYFUNCTION("""COMPUTED_VALUE"""),"")</f>
        <v/>
      </c>
      <c r="AC14076" s="16" t="str">
        <f>IFERROR(__xludf.DUMMYFUNCTION("""COMPUTED_VALUE"""),"")</f>
        <v/>
      </c>
    </row>
    <row r="14077">
      <c r="A14077" s="16" t="s">
        <v>87</v>
      </c>
      <c r="E14077" s="16" t="str">
        <f>IFERROR(__xludf.DUMMYFUNCTION("""COMPUTED_VALUE"""),"")</f>
        <v/>
      </c>
      <c r="G14077" s="18"/>
      <c r="H14077" s="16" t="s">
        <v>87</v>
      </c>
      <c r="I14077" s="16" t="s">
        <v>87</v>
      </c>
      <c r="J14077" s="19"/>
      <c r="L14077" s="16" t="str">
        <f>IFERROR(__xludf.DUMMYFUNCTION("""COMPUTED_VALUE"""),"")</f>
        <v/>
      </c>
      <c r="M14077" s="16" t="str">
        <f>IFERROR(__xludf.DUMMYFUNCTION("""COMPUTED_VALUE"""),"")</f>
        <v/>
      </c>
      <c r="U14077" s="16" t="s">
        <v>87</v>
      </c>
      <c r="V14077" s="16" t="str">
        <f>IFERROR(__xludf.DUMMYFUNCTION("""COMPUTED_VALUE"""),"")</f>
        <v/>
      </c>
      <c r="W14077" s="16" t="str">
        <f>IFERROR(__xludf.DUMMYFUNCTION("""COMPUTED_VALUE"""),"")</f>
        <v/>
      </c>
      <c r="X14077" s="16" t="str">
        <f>IFERROR(__xludf.DUMMYFUNCTION("""COMPUTED_VALUE"""),"")</f>
        <v/>
      </c>
      <c r="AC14077" s="16" t="str">
        <f>IFERROR(__xludf.DUMMYFUNCTION("""COMPUTED_VALUE"""),"")</f>
        <v/>
      </c>
    </row>
    <row r="14078">
      <c r="A14078" s="16" t="s">
        <v>87</v>
      </c>
      <c r="E14078" s="16" t="str">
        <f>IFERROR(__xludf.DUMMYFUNCTION("""COMPUTED_VALUE"""),"")</f>
        <v/>
      </c>
      <c r="G14078" s="18"/>
      <c r="H14078" s="16" t="s">
        <v>87</v>
      </c>
      <c r="I14078" s="16" t="s">
        <v>87</v>
      </c>
      <c r="J14078" s="19"/>
      <c r="L14078" s="16" t="str">
        <f>IFERROR(__xludf.DUMMYFUNCTION("""COMPUTED_VALUE"""),"")</f>
        <v/>
      </c>
      <c r="M14078" s="16" t="str">
        <f>IFERROR(__xludf.DUMMYFUNCTION("""COMPUTED_VALUE"""),"")</f>
        <v/>
      </c>
      <c r="U14078" s="16" t="s">
        <v>87</v>
      </c>
      <c r="V14078" s="16" t="str">
        <f>IFERROR(__xludf.DUMMYFUNCTION("""COMPUTED_VALUE"""),"")</f>
        <v/>
      </c>
      <c r="W14078" s="16" t="str">
        <f>IFERROR(__xludf.DUMMYFUNCTION("""COMPUTED_VALUE"""),"")</f>
        <v/>
      </c>
      <c r="X14078" s="16" t="str">
        <f>IFERROR(__xludf.DUMMYFUNCTION("""COMPUTED_VALUE"""),"")</f>
        <v/>
      </c>
      <c r="AC14078" s="16" t="str">
        <f>IFERROR(__xludf.DUMMYFUNCTION("""COMPUTED_VALUE"""),"")</f>
        <v/>
      </c>
    </row>
    <row r="14079">
      <c r="A14079" s="16" t="s">
        <v>87</v>
      </c>
      <c r="E14079" s="16" t="str">
        <f>IFERROR(__xludf.DUMMYFUNCTION("""COMPUTED_VALUE"""),"")</f>
        <v/>
      </c>
      <c r="G14079" s="18"/>
      <c r="H14079" s="16" t="s">
        <v>87</v>
      </c>
      <c r="I14079" s="16" t="s">
        <v>87</v>
      </c>
      <c r="J14079" s="19"/>
      <c r="L14079" s="16" t="str">
        <f>IFERROR(__xludf.DUMMYFUNCTION("""COMPUTED_VALUE"""),"")</f>
        <v/>
      </c>
      <c r="M14079" s="16" t="str">
        <f>IFERROR(__xludf.DUMMYFUNCTION("""COMPUTED_VALUE"""),"")</f>
        <v/>
      </c>
      <c r="U14079" s="16" t="s">
        <v>87</v>
      </c>
      <c r="V14079" s="16" t="str">
        <f>IFERROR(__xludf.DUMMYFUNCTION("""COMPUTED_VALUE"""),"")</f>
        <v/>
      </c>
      <c r="W14079" s="16" t="str">
        <f>IFERROR(__xludf.DUMMYFUNCTION("""COMPUTED_VALUE"""),"")</f>
        <v/>
      </c>
      <c r="X14079" s="16" t="str">
        <f>IFERROR(__xludf.DUMMYFUNCTION("""COMPUTED_VALUE"""),"")</f>
        <v/>
      </c>
      <c r="AC14079" s="16" t="str">
        <f>IFERROR(__xludf.DUMMYFUNCTION("""COMPUTED_VALUE"""),"")</f>
        <v/>
      </c>
    </row>
    <row r="14080">
      <c r="A14080" s="16" t="s">
        <v>87</v>
      </c>
      <c r="E14080" s="16" t="str">
        <f>IFERROR(__xludf.DUMMYFUNCTION("""COMPUTED_VALUE"""),"")</f>
        <v/>
      </c>
      <c r="G14080" s="18"/>
      <c r="H14080" s="16" t="s">
        <v>87</v>
      </c>
      <c r="I14080" s="16" t="s">
        <v>87</v>
      </c>
      <c r="J14080" s="19"/>
      <c r="L14080" s="16" t="str">
        <f>IFERROR(__xludf.DUMMYFUNCTION("""COMPUTED_VALUE"""),"")</f>
        <v/>
      </c>
      <c r="M14080" s="16" t="str">
        <f>IFERROR(__xludf.DUMMYFUNCTION("""COMPUTED_VALUE"""),"")</f>
        <v/>
      </c>
      <c r="U14080" s="16" t="s">
        <v>87</v>
      </c>
      <c r="V14080" s="16" t="str">
        <f>IFERROR(__xludf.DUMMYFUNCTION("""COMPUTED_VALUE"""),"")</f>
        <v/>
      </c>
      <c r="W14080" s="16" t="str">
        <f>IFERROR(__xludf.DUMMYFUNCTION("""COMPUTED_VALUE"""),"")</f>
        <v/>
      </c>
      <c r="X14080" s="16" t="str">
        <f>IFERROR(__xludf.DUMMYFUNCTION("""COMPUTED_VALUE"""),"")</f>
        <v/>
      </c>
      <c r="AC14080" s="16" t="str">
        <f>IFERROR(__xludf.DUMMYFUNCTION("""COMPUTED_VALUE"""),"")</f>
        <v/>
      </c>
    </row>
    <row r="14081">
      <c r="A14081" s="16" t="s">
        <v>87</v>
      </c>
      <c r="E14081" s="16" t="str">
        <f>IFERROR(__xludf.DUMMYFUNCTION("""COMPUTED_VALUE"""),"")</f>
        <v/>
      </c>
      <c r="G14081" s="18"/>
      <c r="H14081" s="16" t="s">
        <v>87</v>
      </c>
      <c r="I14081" s="16" t="s">
        <v>87</v>
      </c>
      <c r="J14081" s="19"/>
      <c r="L14081" s="16" t="str">
        <f>IFERROR(__xludf.DUMMYFUNCTION("""COMPUTED_VALUE"""),"")</f>
        <v/>
      </c>
      <c r="M14081" s="16" t="str">
        <f>IFERROR(__xludf.DUMMYFUNCTION("""COMPUTED_VALUE"""),"")</f>
        <v/>
      </c>
      <c r="U14081" s="16" t="s">
        <v>87</v>
      </c>
      <c r="V14081" s="16" t="str">
        <f>IFERROR(__xludf.DUMMYFUNCTION("""COMPUTED_VALUE"""),"")</f>
        <v/>
      </c>
      <c r="W14081" s="16" t="str">
        <f>IFERROR(__xludf.DUMMYFUNCTION("""COMPUTED_VALUE"""),"")</f>
        <v/>
      </c>
      <c r="X14081" s="16" t="str">
        <f>IFERROR(__xludf.DUMMYFUNCTION("""COMPUTED_VALUE"""),"")</f>
        <v/>
      </c>
      <c r="AC14081" s="16" t="str">
        <f>IFERROR(__xludf.DUMMYFUNCTION("""COMPUTED_VALUE"""),"")</f>
        <v/>
      </c>
    </row>
    <row r="14082">
      <c r="A14082" s="16" t="s">
        <v>87</v>
      </c>
      <c r="E14082" s="16" t="str">
        <f>IFERROR(__xludf.DUMMYFUNCTION("""COMPUTED_VALUE"""),"")</f>
        <v/>
      </c>
      <c r="G14082" s="18"/>
      <c r="H14082" s="16" t="s">
        <v>87</v>
      </c>
      <c r="I14082" s="16" t="s">
        <v>87</v>
      </c>
      <c r="J14082" s="19"/>
      <c r="L14082" s="16" t="str">
        <f>IFERROR(__xludf.DUMMYFUNCTION("""COMPUTED_VALUE"""),"")</f>
        <v/>
      </c>
      <c r="M14082" s="16" t="str">
        <f>IFERROR(__xludf.DUMMYFUNCTION("""COMPUTED_VALUE"""),"")</f>
        <v/>
      </c>
      <c r="U14082" s="16" t="s">
        <v>87</v>
      </c>
      <c r="V14082" s="16" t="str">
        <f>IFERROR(__xludf.DUMMYFUNCTION("""COMPUTED_VALUE"""),"")</f>
        <v/>
      </c>
      <c r="W14082" s="16" t="str">
        <f>IFERROR(__xludf.DUMMYFUNCTION("""COMPUTED_VALUE"""),"")</f>
        <v/>
      </c>
      <c r="X14082" s="16" t="str">
        <f>IFERROR(__xludf.DUMMYFUNCTION("""COMPUTED_VALUE"""),"")</f>
        <v/>
      </c>
      <c r="AC14082" s="16" t="str">
        <f>IFERROR(__xludf.DUMMYFUNCTION("""COMPUTED_VALUE"""),"")</f>
        <v/>
      </c>
    </row>
    <row r="14083">
      <c r="A14083" s="16" t="s">
        <v>87</v>
      </c>
      <c r="E14083" s="16" t="str">
        <f>IFERROR(__xludf.DUMMYFUNCTION("""COMPUTED_VALUE"""),"")</f>
        <v/>
      </c>
      <c r="G14083" s="18"/>
      <c r="H14083" s="16" t="s">
        <v>87</v>
      </c>
      <c r="I14083" s="16" t="s">
        <v>87</v>
      </c>
      <c r="J14083" s="19"/>
      <c r="L14083" s="16" t="str">
        <f>IFERROR(__xludf.DUMMYFUNCTION("""COMPUTED_VALUE"""),"")</f>
        <v/>
      </c>
      <c r="M14083" s="16" t="str">
        <f>IFERROR(__xludf.DUMMYFUNCTION("""COMPUTED_VALUE"""),"")</f>
        <v/>
      </c>
      <c r="U14083" s="16" t="s">
        <v>87</v>
      </c>
      <c r="V14083" s="16" t="str">
        <f>IFERROR(__xludf.DUMMYFUNCTION("""COMPUTED_VALUE"""),"")</f>
        <v/>
      </c>
      <c r="W14083" s="16" t="str">
        <f>IFERROR(__xludf.DUMMYFUNCTION("""COMPUTED_VALUE"""),"")</f>
        <v/>
      </c>
      <c r="X14083" s="16" t="str">
        <f>IFERROR(__xludf.DUMMYFUNCTION("""COMPUTED_VALUE"""),"")</f>
        <v/>
      </c>
      <c r="AC14083" s="16" t="str">
        <f>IFERROR(__xludf.DUMMYFUNCTION("""COMPUTED_VALUE"""),"")</f>
        <v/>
      </c>
    </row>
    <row r="14084">
      <c r="A14084" s="16" t="s">
        <v>87</v>
      </c>
      <c r="E14084" s="16" t="str">
        <f>IFERROR(__xludf.DUMMYFUNCTION("""COMPUTED_VALUE"""),"")</f>
        <v/>
      </c>
      <c r="G14084" s="18"/>
      <c r="H14084" s="16" t="s">
        <v>87</v>
      </c>
      <c r="I14084" s="16" t="s">
        <v>87</v>
      </c>
      <c r="J14084" s="19"/>
      <c r="L14084" s="16" t="str">
        <f>IFERROR(__xludf.DUMMYFUNCTION("""COMPUTED_VALUE"""),"")</f>
        <v/>
      </c>
      <c r="M14084" s="16" t="str">
        <f>IFERROR(__xludf.DUMMYFUNCTION("""COMPUTED_VALUE"""),"")</f>
        <v/>
      </c>
      <c r="U14084" s="16" t="s">
        <v>87</v>
      </c>
      <c r="V14084" s="16" t="str">
        <f>IFERROR(__xludf.DUMMYFUNCTION("""COMPUTED_VALUE"""),"")</f>
        <v/>
      </c>
      <c r="W14084" s="16" t="str">
        <f>IFERROR(__xludf.DUMMYFUNCTION("""COMPUTED_VALUE"""),"")</f>
        <v/>
      </c>
      <c r="X14084" s="16" t="str">
        <f>IFERROR(__xludf.DUMMYFUNCTION("""COMPUTED_VALUE"""),"")</f>
        <v/>
      </c>
      <c r="AC14084" s="16" t="str">
        <f>IFERROR(__xludf.DUMMYFUNCTION("""COMPUTED_VALUE"""),"")</f>
        <v/>
      </c>
    </row>
    <row r="14085">
      <c r="A14085" s="16" t="s">
        <v>87</v>
      </c>
      <c r="E14085" s="16" t="str">
        <f>IFERROR(__xludf.DUMMYFUNCTION("""COMPUTED_VALUE"""),"")</f>
        <v/>
      </c>
      <c r="G14085" s="18"/>
      <c r="H14085" s="16" t="s">
        <v>87</v>
      </c>
      <c r="I14085" s="16" t="s">
        <v>87</v>
      </c>
      <c r="J14085" s="19"/>
      <c r="L14085" s="16" t="str">
        <f>IFERROR(__xludf.DUMMYFUNCTION("""COMPUTED_VALUE"""),"")</f>
        <v/>
      </c>
      <c r="M14085" s="16" t="str">
        <f>IFERROR(__xludf.DUMMYFUNCTION("""COMPUTED_VALUE"""),"")</f>
        <v/>
      </c>
      <c r="U14085" s="16" t="s">
        <v>87</v>
      </c>
      <c r="V14085" s="16" t="str">
        <f>IFERROR(__xludf.DUMMYFUNCTION("""COMPUTED_VALUE"""),"")</f>
        <v/>
      </c>
      <c r="W14085" s="16" t="str">
        <f>IFERROR(__xludf.DUMMYFUNCTION("""COMPUTED_VALUE"""),"")</f>
        <v/>
      </c>
      <c r="X14085" s="16" t="str">
        <f>IFERROR(__xludf.DUMMYFUNCTION("""COMPUTED_VALUE"""),"")</f>
        <v/>
      </c>
      <c r="AC14085" s="16" t="str">
        <f>IFERROR(__xludf.DUMMYFUNCTION("""COMPUTED_VALUE"""),"")</f>
        <v/>
      </c>
    </row>
    <row r="14086">
      <c r="A14086" s="16" t="s">
        <v>87</v>
      </c>
      <c r="E14086" s="16" t="str">
        <f>IFERROR(__xludf.DUMMYFUNCTION("""COMPUTED_VALUE"""),"")</f>
        <v/>
      </c>
      <c r="G14086" s="18"/>
      <c r="H14086" s="16" t="s">
        <v>87</v>
      </c>
      <c r="I14086" s="16" t="s">
        <v>87</v>
      </c>
      <c r="J14086" s="19"/>
      <c r="L14086" s="16" t="str">
        <f>IFERROR(__xludf.DUMMYFUNCTION("""COMPUTED_VALUE"""),"")</f>
        <v/>
      </c>
      <c r="M14086" s="16" t="str">
        <f>IFERROR(__xludf.DUMMYFUNCTION("""COMPUTED_VALUE"""),"")</f>
        <v/>
      </c>
      <c r="U14086" s="16" t="s">
        <v>87</v>
      </c>
      <c r="V14086" s="16" t="str">
        <f>IFERROR(__xludf.DUMMYFUNCTION("""COMPUTED_VALUE"""),"")</f>
        <v/>
      </c>
      <c r="W14086" s="16" t="str">
        <f>IFERROR(__xludf.DUMMYFUNCTION("""COMPUTED_VALUE"""),"")</f>
        <v/>
      </c>
      <c r="X14086" s="16" t="str">
        <f>IFERROR(__xludf.DUMMYFUNCTION("""COMPUTED_VALUE"""),"")</f>
        <v/>
      </c>
      <c r="AC14086" s="16" t="str">
        <f>IFERROR(__xludf.DUMMYFUNCTION("""COMPUTED_VALUE"""),"")</f>
        <v/>
      </c>
    </row>
    <row r="14087">
      <c r="A14087" s="16" t="s">
        <v>87</v>
      </c>
      <c r="E14087" s="16" t="str">
        <f>IFERROR(__xludf.DUMMYFUNCTION("""COMPUTED_VALUE"""),"")</f>
        <v/>
      </c>
      <c r="G14087" s="18"/>
      <c r="H14087" s="16" t="s">
        <v>87</v>
      </c>
      <c r="I14087" s="16" t="s">
        <v>87</v>
      </c>
      <c r="J14087" s="19"/>
      <c r="L14087" s="16" t="str">
        <f>IFERROR(__xludf.DUMMYFUNCTION("""COMPUTED_VALUE"""),"")</f>
        <v/>
      </c>
      <c r="M14087" s="16" t="str">
        <f>IFERROR(__xludf.DUMMYFUNCTION("""COMPUTED_VALUE"""),"")</f>
        <v/>
      </c>
      <c r="U14087" s="16" t="s">
        <v>87</v>
      </c>
      <c r="V14087" s="16" t="str">
        <f>IFERROR(__xludf.DUMMYFUNCTION("""COMPUTED_VALUE"""),"")</f>
        <v/>
      </c>
      <c r="W14087" s="16" t="str">
        <f>IFERROR(__xludf.DUMMYFUNCTION("""COMPUTED_VALUE"""),"")</f>
        <v/>
      </c>
      <c r="X14087" s="16" t="str">
        <f>IFERROR(__xludf.DUMMYFUNCTION("""COMPUTED_VALUE"""),"")</f>
        <v/>
      </c>
      <c r="AC14087" s="16" t="str">
        <f>IFERROR(__xludf.DUMMYFUNCTION("""COMPUTED_VALUE"""),"")</f>
        <v/>
      </c>
    </row>
    <row r="14088">
      <c r="A14088" s="16" t="s">
        <v>87</v>
      </c>
      <c r="E14088" s="16" t="str">
        <f>IFERROR(__xludf.DUMMYFUNCTION("""COMPUTED_VALUE"""),"")</f>
        <v/>
      </c>
      <c r="G14088" s="18"/>
      <c r="H14088" s="16" t="s">
        <v>87</v>
      </c>
      <c r="I14088" s="16" t="s">
        <v>87</v>
      </c>
      <c r="J14088" s="19"/>
      <c r="L14088" s="16" t="str">
        <f>IFERROR(__xludf.DUMMYFUNCTION("""COMPUTED_VALUE"""),"")</f>
        <v/>
      </c>
      <c r="M14088" s="16" t="str">
        <f>IFERROR(__xludf.DUMMYFUNCTION("""COMPUTED_VALUE"""),"")</f>
        <v/>
      </c>
      <c r="U14088" s="16" t="s">
        <v>87</v>
      </c>
      <c r="V14088" s="16" t="str">
        <f>IFERROR(__xludf.DUMMYFUNCTION("""COMPUTED_VALUE"""),"")</f>
        <v/>
      </c>
      <c r="W14088" s="16" t="str">
        <f>IFERROR(__xludf.DUMMYFUNCTION("""COMPUTED_VALUE"""),"")</f>
        <v/>
      </c>
      <c r="X14088" s="16" t="str">
        <f>IFERROR(__xludf.DUMMYFUNCTION("""COMPUTED_VALUE"""),"")</f>
        <v/>
      </c>
      <c r="AC14088" s="16" t="str">
        <f>IFERROR(__xludf.DUMMYFUNCTION("""COMPUTED_VALUE"""),"")</f>
        <v/>
      </c>
    </row>
    <row r="14089">
      <c r="A14089" s="16" t="s">
        <v>87</v>
      </c>
      <c r="E14089" s="16" t="str">
        <f>IFERROR(__xludf.DUMMYFUNCTION("""COMPUTED_VALUE"""),"")</f>
        <v/>
      </c>
      <c r="G14089" s="18"/>
      <c r="H14089" s="16" t="s">
        <v>87</v>
      </c>
      <c r="I14089" s="16" t="s">
        <v>87</v>
      </c>
      <c r="J14089" s="19"/>
      <c r="L14089" s="16" t="str">
        <f>IFERROR(__xludf.DUMMYFUNCTION("""COMPUTED_VALUE"""),"")</f>
        <v/>
      </c>
      <c r="M14089" s="16" t="str">
        <f>IFERROR(__xludf.DUMMYFUNCTION("""COMPUTED_VALUE"""),"")</f>
        <v/>
      </c>
      <c r="U14089" s="16" t="s">
        <v>87</v>
      </c>
      <c r="V14089" s="16" t="str">
        <f>IFERROR(__xludf.DUMMYFUNCTION("""COMPUTED_VALUE"""),"")</f>
        <v/>
      </c>
      <c r="W14089" s="16" t="str">
        <f>IFERROR(__xludf.DUMMYFUNCTION("""COMPUTED_VALUE"""),"")</f>
        <v/>
      </c>
      <c r="X14089" s="16" t="str">
        <f>IFERROR(__xludf.DUMMYFUNCTION("""COMPUTED_VALUE"""),"")</f>
        <v/>
      </c>
      <c r="AC14089" s="16" t="str">
        <f>IFERROR(__xludf.DUMMYFUNCTION("""COMPUTED_VALUE"""),"")</f>
        <v/>
      </c>
    </row>
    <row r="14090">
      <c r="A14090" s="16" t="s">
        <v>87</v>
      </c>
      <c r="E14090" s="16" t="str">
        <f>IFERROR(__xludf.DUMMYFUNCTION("""COMPUTED_VALUE"""),"")</f>
        <v/>
      </c>
      <c r="G14090" s="18"/>
      <c r="H14090" s="16" t="s">
        <v>87</v>
      </c>
      <c r="I14090" s="16" t="s">
        <v>87</v>
      </c>
      <c r="J14090" s="19"/>
      <c r="L14090" s="16" t="str">
        <f>IFERROR(__xludf.DUMMYFUNCTION("""COMPUTED_VALUE"""),"")</f>
        <v/>
      </c>
      <c r="M14090" s="16" t="str">
        <f>IFERROR(__xludf.DUMMYFUNCTION("""COMPUTED_VALUE"""),"")</f>
        <v/>
      </c>
      <c r="U14090" s="16" t="s">
        <v>87</v>
      </c>
      <c r="V14090" s="16" t="str">
        <f>IFERROR(__xludf.DUMMYFUNCTION("""COMPUTED_VALUE"""),"")</f>
        <v/>
      </c>
      <c r="W14090" s="16" t="str">
        <f>IFERROR(__xludf.DUMMYFUNCTION("""COMPUTED_VALUE"""),"")</f>
        <v/>
      </c>
      <c r="X14090" s="16" t="str">
        <f>IFERROR(__xludf.DUMMYFUNCTION("""COMPUTED_VALUE"""),"")</f>
        <v/>
      </c>
      <c r="AC14090" s="16" t="str">
        <f>IFERROR(__xludf.DUMMYFUNCTION("""COMPUTED_VALUE"""),"")</f>
        <v/>
      </c>
    </row>
    <row r="14091">
      <c r="A14091" s="16" t="s">
        <v>87</v>
      </c>
      <c r="E14091" s="16" t="str">
        <f>IFERROR(__xludf.DUMMYFUNCTION("""COMPUTED_VALUE"""),"")</f>
        <v/>
      </c>
      <c r="G14091" s="18"/>
      <c r="H14091" s="16" t="s">
        <v>87</v>
      </c>
      <c r="I14091" s="16" t="s">
        <v>87</v>
      </c>
      <c r="J14091" s="19"/>
      <c r="L14091" s="16" t="str">
        <f>IFERROR(__xludf.DUMMYFUNCTION("""COMPUTED_VALUE"""),"")</f>
        <v/>
      </c>
      <c r="M14091" s="16" t="str">
        <f>IFERROR(__xludf.DUMMYFUNCTION("""COMPUTED_VALUE"""),"")</f>
        <v/>
      </c>
      <c r="U14091" s="16" t="s">
        <v>87</v>
      </c>
      <c r="V14091" s="16" t="str">
        <f>IFERROR(__xludf.DUMMYFUNCTION("""COMPUTED_VALUE"""),"")</f>
        <v/>
      </c>
      <c r="W14091" s="16" t="str">
        <f>IFERROR(__xludf.DUMMYFUNCTION("""COMPUTED_VALUE"""),"")</f>
        <v/>
      </c>
      <c r="X14091" s="16" t="str">
        <f>IFERROR(__xludf.DUMMYFUNCTION("""COMPUTED_VALUE"""),"")</f>
        <v/>
      </c>
      <c r="AC14091" s="16" t="str">
        <f>IFERROR(__xludf.DUMMYFUNCTION("""COMPUTED_VALUE"""),"")</f>
        <v/>
      </c>
    </row>
    <row r="14092">
      <c r="A14092" s="16" t="s">
        <v>87</v>
      </c>
      <c r="E14092" s="16" t="str">
        <f>IFERROR(__xludf.DUMMYFUNCTION("""COMPUTED_VALUE"""),"")</f>
        <v/>
      </c>
      <c r="G14092" s="18"/>
      <c r="H14092" s="16" t="s">
        <v>87</v>
      </c>
      <c r="I14092" s="16" t="s">
        <v>87</v>
      </c>
      <c r="J14092" s="19"/>
      <c r="L14092" s="16" t="str">
        <f>IFERROR(__xludf.DUMMYFUNCTION("""COMPUTED_VALUE"""),"")</f>
        <v/>
      </c>
      <c r="M14092" s="16" t="str">
        <f>IFERROR(__xludf.DUMMYFUNCTION("""COMPUTED_VALUE"""),"")</f>
        <v/>
      </c>
      <c r="U14092" s="16" t="s">
        <v>87</v>
      </c>
      <c r="V14092" s="16" t="str">
        <f>IFERROR(__xludf.DUMMYFUNCTION("""COMPUTED_VALUE"""),"")</f>
        <v/>
      </c>
      <c r="W14092" s="16" t="str">
        <f>IFERROR(__xludf.DUMMYFUNCTION("""COMPUTED_VALUE"""),"")</f>
        <v/>
      </c>
      <c r="X14092" s="16" t="str">
        <f>IFERROR(__xludf.DUMMYFUNCTION("""COMPUTED_VALUE"""),"")</f>
        <v/>
      </c>
      <c r="AC14092" s="16" t="str">
        <f>IFERROR(__xludf.DUMMYFUNCTION("""COMPUTED_VALUE"""),"")</f>
        <v/>
      </c>
    </row>
    <row r="14093">
      <c r="A14093" s="16" t="s">
        <v>87</v>
      </c>
      <c r="E14093" s="16" t="str">
        <f>IFERROR(__xludf.DUMMYFUNCTION("""COMPUTED_VALUE"""),"")</f>
        <v/>
      </c>
      <c r="G14093" s="18"/>
      <c r="H14093" s="16" t="s">
        <v>87</v>
      </c>
      <c r="I14093" s="16" t="s">
        <v>87</v>
      </c>
      <c r="J14093" s="19"/>
      <c r="L14093" s="16" t="str">
        <f>IFERROR(__xludf.DUMMYFUNCTION("""COMPUTED_VALUE"""),"")</f>
        <v/>
      </c>
      <c r="M14093" s="16" t="str">
        <f>IFERROR(__xludf.DUMMYFUNCTION("""COMPUTED_VALUE"""),"")</f>
        <v/>
      </c>
      <c r="U14093" s="16" t="s">
        <v>87</v>
      </c>
      <c r="V14093" s="16" t="str">
        <f>IFERROR(__xludf.DUMMYFUNCTION("""COMPUTED_VALUE"""),"")</f>
        <v/>
      </c>
      <c r="W14093" s="16" t="str">
        <f>IFERROR(__xludf.DUMMYFUNCTION("""COMPUTED_VALUE"""),"")</f>
        <v/>
      </c>
      <c r="X14093" s="16" t="str">
        <f>IFERROR(__xludf.DUMMYFUNCTION("""COMPUTED_VALUE"""),"")</f>
        <v/>
      </c>
      <c r="AC14093" s="16" t="str">
        <f>IFERROR(__xludf.DUMMYFUNCTION("""COMPUTED_VALUE"""),"")</f>
        <v/>
      </c>
    </row>
    <row r="14094">
      <c r="A14094" s="16" t="s">
        <v>87</v>
      </c>
      <c r="E14094" s="16" t="str">
        <f>IFERROR(__xludf.DUMMYFUNCTION("""COMPUTED_VALUE"""),"")</f>
        <v/>
      </c>
      <c r="G14094" s="18"/>
      <c r="H14094" s="16" t="s">
        <v>87</v>
      </c>
      <c r="I14094" s="16" t="s">
        <v>87</v>
      </c>
      <c r="J14094" s="19"/>
      <c r="L14094" s="16" t="str">
        <f>IFERROR(__xludf.DUMMYFUNCTION("""COMPUTED_VALUE"""),"")</f>
        <v/>
      </c>
      <c r="M14094" s="16" t="str">
        <f>IFERROR(__xludf.DUMMYFUNCTION("""COMPUTED_VALUE"""),"")</f>
        <v/>
      </c>
      <c r="U14094" s="16" t="s">
        <v>87</v>
      </c>
      <c r="V14094" s="16" t="str">
        <f>IFERROR(__xludf.DUMMYFUNCTION("""COMPUTED_VALUE"""),"")</f>
        <v/>
      </c>
      <c r="W14094" s="16" t="str">
        <f>IFERROR(__xludf.DUMMYFUNCTION("""COMPUTED_VALUE"""),"")</f>
        <v/>
      </c>
      <c r="X14094" s="16" t="str">
        <f>IFERROR(__xludf.DUMMYFUNCTION("""COMPUTED_VALUE"""),"")</f>
        <v/>
      </c>
      <c r="AC14094" s="16" t="str">
        <f>IFERROR(__xludf.DUMMYFUNCTION("""COMPUTED_VALUE"""),"")</f>
        <v/>
      </c>
    </row>
    <row r="14095">
      <c r="A14095" s="16" t="s">
        <v>87</v>
      </c>
      <c r="E14095" s="16" t="str">
        <f>IFERROR(__xludf.DUMMYFUNCTION("""COMPUTED_VALUE"""),"")</f>
        <v/>
      </c>
      <c r="G14095" s="18"/>
      <c r="H14095" s="16" t="s">
        <v>87</v>
      </c>
      <c r="I14095" s="16" t="s">
        <v>87</v>
      </c>
      <c r="J14095" s="19"/>
      <c r="L14095" s="16" t="str">
        <f>IFERROR(__xludf.DUMMYFUNCTION("""COMPUTED_VALUE"""),"")</f>
        <v/>
      </c>
      <c r="M14095" s="16" t="str">
        <f>IFERROR(__xludf.DUMMYFUNCTION("""COMPUTED_VALUE"""),"")</f>
        <v/>
      </c>
      <c r="U14095" s="16" t="s">
        <v>87</v>
      </c>
      <c r="V14095" s="16" t="str">
        <f>IFERROR(__xludf.DUMMYFUNCTION("""COMPUTED_VALUE"""),"")</f>
        <v/>
      </c>
      <c r="W14095" s="16" t="str">
        <f>IFERROR(__xludf.DUMMYFUNCTION("""COMPUTED_VALUE"""),"")</f>
        <v/>
      </c>
      <c r="X14095" s="16" t="str">
        <f>IFERROR(__xludf.DUMMYFUNCTION("""COMPUTED_VALUE"""),"")</f>
        <v/>
      </c>
      <c r="AC14095" s="16" t="str">
        <f>IFERROR(__xludf.DUMMYFUNCTION("""COMPUTED_VALUE"""),"")</f>
        <v/>
      </c>
    </row>
    <row r="14096">
      <c r="A14096" s="16" t="s">
        <v>87</v>
      </c>
      <c r="E14096" s="16" t="str">
        <f>IFERROR(__xludf.DUMMYFUNCTION("""COMPUTED_VALUE"""),"")</f>
        <v/>
      </c>
      <c r="G14096" s="18"/>
      <c r="H14096" s="16" t="s">
        <v>87</v>
      </c>
      <c r="I14096" s="16" t="s">
        <v>87</v>
      </c>
      <c r="J14096" s="19"/>
      <c r="L14096" s="16" t="str">
        <f>IFERROR(__xludf.DUMMYFUNCTION("""COMPUTED_VALUE"""),"")</f>
        <v/>
      </c>
      <c r="M14096" s="16" t="str">
        <f>IFERROR(__xludf.DUMMYFUNCTION("""COMPUTED_VALUE"""),"")</f>
        <v/>
      </c>
      <c r="U14096" s="16" t="s">
        <v>87</v>
      </c>
      <c r="V14096" s="16" t="str">
        <f>IFERROR(__xludf.DUMMYFUNCTION("""COMPUTED_VALUE"""),"")</f>
        <v/>
      </c>
      <c r="W14096" s="16" t="str">
        <f>IFERROR(__xludf.DUMMYFUNCTION("""COMPUTED_VALUE"""),"")</f>
        <v/>
      </c>
      <c r="X14096" s="16" t="str">
        <f>IFERROR(__xludf.DUMMYFUNCTION("""COMPUTED_VALUE"""),"")</f>
        <v/>
      </c>
      <c r="AC14096" s="16" t="str">
        <f>IFERROR(__xludf.DUMMYFUNCTION("""COMPUTED_VALUE"""),"")</f>
        <v/>
      </c>
    </row>
    <row r="14097">
      <c r="A14097" s="16" t="s">
        <v>87</v>
      </c>
      <c r="E14097" s="16" t="str">
        <f>IFERROR(__xludf.DUMMYFUNCTION("""COMPUTED_VALUE"""),"")</f>
        <v/>
      </c>
      <c r="G14097" s="18"/>
      <c r="H14097" s="16" t="s">
        <v>87</v>
      </c>
      <c r="I14097" s="16" t="s">
        <v>87</v>
      </c>
      <c r="J14097" s="19"/>
      <c r="L14097" s="16" t="str">
        <f>IFERROR(__xludf.DUMMYFUNCTION("""COMPUTED_VALUE"""),"")</f>
        <v/>
      </c>
      <c r="M14097" s="16" t="str">
        <f>IFERROR(__xludf.DUMMYFUNCTION("""COMPUTED_VALUE"""),"")</f>
        <v/>
      </c>
      <c r="U14097" s="16" t="s">
        <v>87</v>
      </c>
      <c r="V14097" s="16" t="str">
        <f>IFERROR(__xludf.DUMMYFUNCTION("""COMPUTED_VALUE"""),"")</f>
        <v/>
      </c>
      <c r="W14097" s="16" t="str">
        <f>IFERROR(__xludf.DUMMYFUNCTION("""COMPUTED_VALUE"""),"")</f>
        <v/>
      </c>
      <c r="X14097" s="16" t="str">
        <f>IFERROR(__xludf.DUMMYFUNCTION("""COMPUTED_VALUE"""),"")</f>
        <v/>
      </c>
      <c r="AC14097" s="16" t="str">
        <f>IFERROR(__xludf.DUMMYFUNCTION("""COMPUTED_VALUE"""),"")</f>
        <v/>
      </c>
    </row>
    <row r="14098">
      <c r="A14098" s="16" t="s">
        <v>87</v>
      </c>
      <c r="E14098" s="16" t="str">
        <f>IFERROR(__xludf.DUMMYFUNCTION("""COMPUTED_VALUE"""),"")</f>
        <v/>
      </c>
      <c r="G14098" s="18"/>
      <c r="H14098" s="16" t="s">
        <v>87</v>
      </c>
      <c r="I14098" s="16" t="s">
        <v>87</v>
      </c>
      <c r="J14098" s="19"/>
      <c r="L14098" s="16" t="str">
        <f>IFERROR(__xludf.DUMMYFUNCTION("""COMPUTED_VALUE"""),"")</f>
        <v/>
      </c>
      <c r="M14098" s="16" t="str">
        <f>IFERROR(__xludf.DUMMYFUNCTION("""COMPUTED_VALUE"""),"")</f>
        <v/>
      </c>
      <c r="U14098" s="16" t="s">
        <v>87</v>
      </c>
      <c r="V14098" s="16" t="str">
        <f>IFERROR(__xludf.DUMMYFUNCTION("""COMPUTED_VALUE"""),"")</f>
        <v/>
      </c>
      <c r="W14098" s="16" t="str">
        <f>IFERROR(__xludf.DUMMYFUNCTION("""COMPUTED_VALUE"""),"")</f>
        <v/>
      </c>
      <c r="X14098" s="16" t="str">
        <f>IFERROR(__xludf.DUMMYFUNCTION("""COMPUTED_VALUE"""),"")</f>
        <v/>
      </c>
      <c r="AC14098" s="16" t="str">
        <f>IFERROR(__xludf.DUMMYFUNCTION("""COMPUTED_VALUE"""),"")</f>
        <v/>
      </c>
    </row>
    <row r="14099">
      <c r="A14099" s="16" t="s">
        <v>87</v>
      </c>
      <c r="E14099" s="16" t="str">
        <f>IFERROR(__xludf.DUMMYFUNCTION("""COMPUTED_VALUE"""),"")</f>
        <v/>
      </c>
      <c r="G14099" s="18"/>
      <c r="H14099" s="16" t="s">
        <v>87</v>
      </c>
      <c r="I14099" s="16" t="s">
        <v>87</v>
      </c>
      <c r="J14099" s="19"/>
      <c r="L14099" s="16" t="str">
        <f>IFERROR(__xludf.DUMMYFUNCTION("""COMPUTED_VALUE"""),"")</f>
        <v/>
      </c>
      <c r="M14099" s="16" t="str">
        <f>IFERROR(__xludf.DUMMYFUNCTION("""COMPUTED_VALUE"""),"")</f>
        <v/>
      </c>
      <c r="U14099" s="16" t="s">
        <v>87</v>
      </c>
      <c r="V14099" s="16" t="str">
        <f>IFERROR(__xludf.DUMMYFUNCTION("""COMPUTED_VALUE"""),"")</f>
        <v/>
      </c>
      <c r="W14099" s="16" t="str">
        <f>IFERROR(__xludf.DUMMYFUNCTION("""COMPUTED_VALUE"""),"")</f>
        <v/>
      </c>
      <c r="X14099" s="16" t="str">
        <f>IFERROR(__xludf.DUMMYFUNCTION("""COMPUTED_VALUE"""),"")</f>
        <v/>
      </c>
      <c r="AC14099" s="16" t="str">
        <f>IFERROR(__xludf.DUMMYFUNCTION("""COMPUTED_VALUE"""),"")</f>
        <v/>
      </c>
    </row>
    <row r="14100">
      <c r="A14100" s="16" t="s">
        <v>87</v>
      </c>
      <c r="E14100" s="16" t="str">
        <f>IFERROR(__xludf.DUMMYFUNCTION("""COMPUTED_VALUE"""),"")</f>
        <v/>
      </c>
      <c r="G14100" s="18"/>
      <c r="H14100" s="16" t="s">
        <v>87</v>
      </c>
      <c r="I14100" s="16" t="s">
        <v>87</v>
      </c>
      <c r="J14100" s="19"/>
      <c r="L14100" s="16" t="str">
        <f>IFERROR(__xludf.DUMMYFUNCTION("""COMPUTED_VALUE"""),"")</f>
        <v/>
      </c>
      <c r="M14100" s="16" t="str">
        <f>IFERROR(__xludf.DUMMYFUNCTION("""COMPUTED_VALUE"""),"")</f>
        <v/>
      </c>
      <c r="U14100" s="16" t="s">
        <v>87</v>
      </c>
      <c r="V14100" s="16" t="str">
        <f>IFERROR(__xludf.DUMMYFUNCTION("""COMPUTED_VALUE"""),"")</f>
        <v/>
      </c>
      <c r="W14100" s="16" t="str">
        <f>IFERROR(__xludf.DUMMYFUNCTION("""COMPUTED_VALUE"""),"")</f>
        <v/>
      </c>
      <c r="X14100" s="16" t="str">
        <f>IFERROR(__xludf.DUMMYFUNCTION("""COMPUTED_VALUE"""),"")</f>
        <v/>
      </c>
      <c r="AC14100" s="16" t="str">
        <f>IFERROR(__xludf.DUMMYFUNCTION("""COMPUTED_VALUE"""),"")</f>
        <v/>
      </c>
    </row>
    <row r="14101">
      <c r="A14101" s="16" t="s">
        <v>87</v>
      </c>
      <c r="E14101" s="16" t="str">
        <f>IFERROR(__xludf.DUMMYFUNCTION("""COMPUTED_VALUE"""),"")</f>
        <v/>
      </c>
      <c r="G14101" s="18"/>
      <c r="H14101" s="16" t="s">
        <v>87</v>
      </c>
      <c r="I14101" s="16" t="s">
        <v>87</v>
      </c>
      <c r="J14101" s="19"/>
      <c r="L14101" s="16" t="str">
        <f>IFERROR(__xludf.DUMMYFUNCTION("""COMPUTED_VALUE"""),"")</f>
        <v/>
      </c>
      <c r="M14101" s="16" t="str">
        <f>IFERROR(__xludf.DUMMYFUNCTION("""COMPUTED_VALUE"""),"")</f>
        <v/>
      </c>
      <c r="U14101" s="16" t="s">
        <v>87</v>
      </c>
      <c r="V14101" s="16" t="str">
        <f>IFERROR(__xludf.DUMMYFUNCTION("""COMPUTED_VALUE"""),"")</f>
        <v/>
      </c>
      <c r="W14101" s="16" t="str">
        <f>IFERROR(__xludf.DUMMYFUNCTION("""COMPUTED_VALUE"""),"")</f>
        <v/>
      </c>
      <c r="X14101" s="16" t="str">
        <f>IFERROR(__xludf.DUMMYFUNCTION("""COMPUTED_VALUE"""),"")</f>
        <v/>
      </c>
      <c r="AC14101" s="16" t="str">
        <f>IFERROR(__xludf.DUMMYFUNCTION("""COMPUTED_VALUE"""),"")</f>
        <v/>
      </c>
    </row>
    <row r="14102">
      <c r="A14102" s="16" t="s">
        <v>87</v>
      </c>
      <c r="E14102" s="16" t="str">
        <f>IFERROR(__xludf.DUMMYFUNCTION("""COMPUTED_VALUE"""),"")</f>
        <v/>
      </c>
      <c r="G14102" s="18"/>
      <c r="H14102" s="16" t="s">
        <v>87</v>
      </c>
      <c r="I14102" s="16" t="s">
        <v>87</v>
      </c>
      <c r="J14102" s="19"/>
      <c r="L14102" s="16" t="str">
        <f>IFERROR(__xludf.DUMMYFUNCTION("""COMPUTED_VALUE"""),"")</f>
        <v/>
      </c>
      <c r="M14102" s="16" t="str">
        <f>IFERROR(__xludf.DUMMYFUNCTION("""COMPUTED_VALUE"""),"")</f>
        <v/>
      </c>
      <c r="U14102" s="16" t="s">
        <v>87</v>
      </c>
      <c r="V14102" s="16" t="str">
        <f>IFERROR(__xludf.DUMMYFUNCTION("""COMPUTED_VALUE"""),"")</f>
        <v/>
      </c>
      <c r="W14102" s="16" t="str">
        <f>IFERROR(__xludf.DUMMYFUNCTION("""COMPUTED_VALUE"""),"")</f>
        <v/>
      </c>
      <c r="X14102" s="16" t="str">
        <f>IFERROR(__xludf.DUMMYFUNCTION("""COMPUTED_VALUE"""),"")</f>
        <v/>
      </c>
      <c r="AC14102" s="16" t="str">
        <f>IFERROR(__xludf.DUMMYFUNCTION("""COMPUTED_VALUE"""),"")</f>
        <v/>
      </c>
    </row>
    <row r="14103">
      <c r="A14103" s="16" t="s">
        <v>87</v>
      </c>
      <c r="E14103" s="16" t="str">
        <f>IFERROR(__xludf.DUMMYFUNCTION("""COMPUTED_VALUE"""),"")</f>
        <v/>
      </c>
      <c r="G14103" s="18"/>
      <c r="H14103" s="16" t="s">
        <v>87</v>
      </c>
      <c r="I14103" s="16" t="s">
        <v>87</v>
      </c>
      <c r="J14103" s="19"/>
      <c r="L14103" s="16" t="str">
        <f>IFERROR(__xludf.DUMMYFUNCTION("""COMPUTED_VALUE"""),"")</f>
        <v/>
      </c>
      <c r="M14103" s="16" t="str">
        <f>IFERROR(__xludf.DUMMYFUNCTION("""COMPUTED_VALUE"""),"")</f>
        <v/>
      </c>
      <c r="U14103" s="16" t="s">
        <v>87</v>
      </c>
      <c r="V14103" s="16" t="str">
        <f>IFERROR(__xludf.DUMMYFUNCTION("""COMPUTED_VALUE"""),"")</f>
        <v/>
      </c>
      <c r="W14103" s="16" t="str">
        <f>IFERROR(__xludf.DUMMYFUNCTION("""COMPUTED_VALUE"""),"")</f>
        <v/>
      </c>
      <c r="X14103" s="16" t="str">
        <f>IFERROR(__xludf.DUMMYFUNCTION("""COMPUTED_VALUE"""),"")</f>
        <v/>
      </c>
      <c r="AC14103" s="16" t="str">
        <f>IFERROR(__xludf.DUMMYFUNCTION("""COMPUTED_VALUE"""),"")</f>
        <v/>
      </c>
    </row>
    <row r="14104">
      <c r="A14104" s="16" t="s">
        <v>87</v>
      </c>
      <c r="E14104" s="16" t="str">
        <f>IFERROR(__xludf.DUMMYFUNCTION("""COMPUTED_VALUE"""),"")</f>
        <v/>
      </c>
      <c r="G14104" s="18"/>
      <c r="H14104" s="16" t="s">
        <v>87</v>
      </c>
      <c r="I14104" s="16" t="s">
        <v>87</v>
      </c>
      <c r="J14104" s="19"/>
      <c r="L14104" s="16" t="str">
        <f>IFERROR(__xludf.DUMMYFUNCTION("""COMPUTED_VALUE"""),"")</f>
        <v/>
      </c>
      <c r="M14104" s="16" t="str">
        <f>IFERROR(__xludf.DUMMYFUNCTION("""COMPUTED_VALUE"""),"")</f>
        <v/>
      </c>
      <c r="U14104" s="16" t="s">
        <v>87</v>
      </c>
      <c r="V14104" s="16" t="str">
        <f>IFERROR(__xludf.DUMMYFUNCTION("""COMPUTED_VALUE"""),"")</f>
        <v/>
      </c>
      <c r="W14104" s="16" t="str">
        <f>IFERROR(__xludf.DUMMYFUNCTION("""COMPUTED_VALUE"""),"")</f>
        <v/>
      </c>
      <c r="X14104" s="16" t="str">
        <f>IFERROR(__xludf.DUMMYFUNCTION("""COMPUTED_VALUE"""),"")</f>
        <v/>
      </c>
      <c r="AC14104" s="16" t="str">
        <f>IFERROR(__xludf.DUMMYFUNCTION("""COMPUTED_VALUE"""),"")</f>
        <v/>
      </c>
    </row>
    <row r="14105">
      <c r="A14105" s="16" t="s">
        <v>87</v>
      </c>
      <c r="E14105" s="16" t="str">
        <f>IFERROR(__xludf.DUMMYFUNCTION("""COMPUTED_VALUE"""),"")</f>
        <v/>
      </c>
      <c r="G14105" s="18"/>
      <c r="H14105" s="16" t="s">
        <v>87</v>
      </c>
      <c r="I14105" s="16" t="s">
        <v>87</v>
      </c>
      <c r="J14105" s="19"/>
      <c r="L14105" s="16" t="str">
        <f>IFERROR(__xludf.DUMMYFUNCTION("""COMPUTED_VALUE"""),"")</f>
        <v/>
      </c>
      <c r="M14105" s="16" t="str">
        <f>IFERROR(__xludf.DUMMYFUNCTION("""COMPUTED_VALUE"""),"")</f>
        <v/>
      </c>
      <c r="U14105" s="16" t="s">
        <v>87</v>
      </c>
      <c r="V14105" s="16" t="str">
        <f>IFERROR(__xludf.DUMMYFUNCTION("""COMPUTED_VALUE"""),"")</f>
        <v/>
      </c>
      <c r="W14105" s="16" t="str">
        <f>IFERROR(__xludf.DUMMYFUNCTION("""COMPUTED_VALUE"""),"")</f>
        <v/>
      </c>
      <c r="X14105" s="16" t="str">
        <f>IFERROR(__xludf.DUMMYFUNCTION("""COMPUTED_VALUE"""),"")</f>
        <v/>
      </c>
      <c r="AC14105" s="16" t="str">
        <f>IFERROR(__xludf.DUMMYFUNCTION("""COMPUTED_VALUE"""),"")</f>
        <v/>
      </c>
    </row>
    <row r="14106">
      <c r="A14106" s="16" t="s">
        <v>87</v>
      </c>
      <c r="E14106" s="16" t="str">
        <f>IFERROR(__xludf.DUMMYFUNCTION("""COMPUTED_VALUE"""),"")</f>
        <v/>
      </c>
      <c r="G14106" s="18"/>
      <c r="H14106" s="16" t="s">
        <v>87</v>
      </c>
      <c r="I14106" s="16" t="s">
        <v>87</v>
      </c>
      <c r="J14106" s="19"/>
      <c r="L14106" s="16" t="str">
        <f>IFERROR(__xludf.DUMMYFUNCTION("""COMPUTED_VALUE"""),"")</f>
        <v/>
      </c>
      <c r="M14106" s="16" t="str">
        <f>IFERROR(__xludf.DUMMYFUNCTION("""COMPUTED_VALUE"""),"")</f>
        <v/>
      </c>
      <c r="U14106" s="16" t="s">
        <v>87</v>
      </c>
      <c r="V14106" s="16" t="str">
        <f>IFERROR(__xludf.DUMMYFUNCTION("""COMPUTED_VALUE"""),"")</f>
        <v/>
      </c>
      <c r="W14106" s="16" t="str">
        <f>IFERROR(__xludf.DUMMYFUNCTION("""COMPUTED_VALUE"""),"")</f>
        <v/>
      </c>
      <c r="X14106" s="16" t="str">
        <f>IFERROR(__xludf.DUMMYFUNCTION("""COMPUTED_VALUE"""),"")</f>
        <v/>
      </c>
      <c r="AC14106" s="16" t="str">
        <f>IFERROR(__xludf.DUMMYFUNCTION("""COMPUTED_VALUE"""),"")</f>
        <v/>
      </c>
    </row>
    <row r="14107">
      <c r="A14107" s="16" t="s">
        <v>87</v>
      </c>
      <c r="E14107" s="16" t="str">
        <f>IFERROR(__xludf.DUMMYFUNCTION("""COMPUTED_VALUE"""),"")</f>
        <v/>
      </c>
      <c r="G14107" s="18"/>
      <c r="H14107" s="16" t="s">
        <v>87</v>
      </c>
      <c r="I14107" s="16" t="s">
        <v>87</v>
      </c>
      <c r="J14107" s="19"/>
      <c r="L14107" s="16" t="str">
        <f>IFERROR(__xludf.DUMMYFUNCTION("""COMPUTED_VALUE"""),"")</f>
        <v/>
      </c>
      <c r="M14107" s="16" t="str">
        <f>IFERROR(__xludf.DUMMYFUNCTION("""COMPUTED_VALUE"""),"")</f>
        <v/>
      </c>
      <c r="U14107" s="16" t="s">
        <v>87</v>
      </c>
      <c r="V14107" s="16" t="str">
        <f>IFERROR(__xludf.DUMMYFUNCTION("""COMPUTED_VALUE"""),"")</f>
        <v/>
      </c>
      <c r="W14107" s="16" t="str">
        <f>IFERROR(__xludf.DUMMYFUNCTION("""COMPUTED_VALUE"""),"")</f>
        <v/>
      </c>
      <c r="X14107" s="16" t="str">
        <f>IFERROR(__xludf.DUMMYFUNCTION("""COMPUTED_VALUE"""),"")</f>
        <v/>
      </c>
      <c r="AC14107" s="16" t="str">
        <f>IFERROR(__xludf.DUMMYFUNCTION("""COMPUTED_VALUE"""),"")</f>
        <v/>
      </c>
    </row>
    <row r="14108">
      <c r="A14108" s="16" t="s">
        <v>87</v>
      </c>
      <c r="E14108" s="16" t="str">
        <f>IFERROR(__xludf.DUMMYFUNCTION("""COMPUTED_VALUE"""),"")</f>
        <v/>
      </c>
      <c r="G14108" s="18"/>
      <c r="H14108" s="16" t="s">
        <v>87</v>
      </c>
      <c r="I14108" s="16" t="s">
        <v>87</v>
      </c>
      <c r="J14108" s="19"/>
      <c r="L14108" s="16" t="str">
        <f>IFERROR(__xludf.DUMMYFUNCTION("""COMPUTED_VALUE"""),"")</f>
        <v/>
      </c>
      <c r="M14108" s="16" t="str">
        <f>IFERROR(__xludf.DUMMYFUNCTION("""COMPUTED_VALUE"""),"")</f>
        <v/>
      </c>
      <c r="U14108" s="16" t="s">
        <v>87</v>
      </c>
      <c r="V14108" s="16" t="str">
        <f>IFERROR(__xludf.DUMMYFUNCTION("""COMPUTED_VALUE"""),"")</f>
        <v/>
      </c>
      <c r="W14108" s="16" t="str">
        <f>IFERROR(__xludf.DUMMYFUNCTION("""COMPUTED_VALUE"""),"")</f>
        <v/>
      </c>
      <c r="X14108" s="16" t="str">
        <f>IFERROR(__xludf.DUMMYFUNCTION("""COMPUTED_VALUE"""),"")</f>
        <v/>
      </c>
      <c r="AC14108" s="16" t="str">
        <f>IFERROR(__xludf.DUMMYFUNCTION("""COMPUTED_VALUE"""),"")</f>
        <v/>
      </c>
    </row>
    <row r="14109">
      <c r="A14109" s="16" t="s">
        <v>87</v>
      </c>
      <c r="E14109" s="16" t="str">
        <f>IFERROR(__xludf.DUMMYFUNCTION("""COMPUTED_VALUE"""),"")</f>
        <v/>
      </c>
      <c r="G14109" s="18"/>
      <c r="H14109" s="16" t="s">
        <v>87</v>
      </c>
      <c r="I14109" s="16" t="s">
        <v>87</v>
      </c>
      <c r="J14109" s="19"/>
      <c r="L14109" s="16" t="str">
        <f>IFERROR(__xludf.DUMMYFUNCTION("""COMPUTED_VALUE"""),"")</f>
        <v/>
      </c>
      <c r="M14109" s="16" t="str">
        <f>IFERROR(__xludf.DUMMYFUNCTION("""COMPUTED_VALUE"""),"")</f>
        <v/>
      </c>
      <c r="U14109" s="16" t="s">
        <v>87</v>
      </c>
      <c r="V14109" s="16" t="str">
        <f>IFERROR(__xludf.DUMMYFUNCTION("""COMPUTED_VALUE"""),"")</f>
        <v/>
      </c>
      <c r="W14109" s="16" t="str">
        <f>IFERROR(__xludf.DUMMYFUNCTION("""COMPUTED_VALUE"""),"")</f>
        <v/>
      </c>
      <c r="X14109" s="16" t="str">
        <f>IFERROR(__xludf.DUMMYFUNCTION("""COMPUTED_VALUE"""),"")</f>
        <v/>
      </c>
      <c r="AC14109" s="16" t="str">
        <f>IFERROR(__xludf.DUMMYFUNCTION("""COMPUTED_VALUE"""),"")</f>
        <v/>
      </c>
    </row>
    <row r="14110">
      <c r="A14110" s="16" t="s">
        <v>87</v>
      </c>
      <c r="E14110" s="16" t="str">
        <f>IFERROR(__xludf.DUMMYFUNCTION("""COMPUTED_VALUE"""),"")</f>
        <v/>
      </c>
      <c r="G14110" s="18"/>
      <c r="H14110" s="16" t="s">
        <v>87</v>
      </c>
      <c r="I14110" s="16" t="s">
        <v>87</v>
      </c>
      <c r="J14110" s="19"/>
      <c r="L14110" s="16" t="str">
        <f>IFERROR(__xludf.DUMMYFUNCTION("""COMPUTED_VALUE"""),"")</f>
        <v/>
      </c>
      <c r="M14110" s="16" t="str">
        <f>IFERROR(__xludf.DUMMYFUNCTION("""COMPUTED_VALUE"""),"")</f>
        <v/>
      </c>
      <c r="U14110" s="16" t="s">
        <v>87</v>
      </c>
      <c r="V14110" s="16" t="str">
        <f>IFERROR(__xludf.DUMMYFUNCTION("""COMPUTED_VALUE"""),"")</f>
        <v/>
      </c>
      <c r="W14110" s="16" t="str">
        <f>IFERROR(__xludf.DUMMYFUNCTION("""COMPUTED_VALUE"""),"")</f>
        <v/>
      </c>
      <c r="X14110" s="16" t="str">
        <f>IFERROR(__xludf.DUMMYFUNCTION("""COMPUTED_VALUE"""),"")</f>
        <v/>
      </c>
      <c r="AC14110" s="16" t="str">
        <f>IFERROR(__xludf.DUMMYFUNCTION("""COMPUTED_VALUE"""),"")</f>
        <v/>
      </c>
    </row>
    <row r="14111">
      <c r="A14111" s="16" t="s">
        <v>87</v>
      </c>
      <c r="E14111" s="16" t="str">
        <f>IFERROR(__xludf.DUMMYFUNCTION("""COMPUTED_VALUE"""),"")</f>
        <v/>
      </c>
      <c r="G14111" s="18"/>
      <c r="H14111" s="16" t="s">
        <v>87</v>
      </c>
      <c r="I14111" s="16" t="s">
        <v>87</v>
      </c>
      <c r="J14111" s="19"/>
      <c r="L14111" s="16" t="str">
        <f>IFERROR(__xludf.DUMMYFUNCTION("""COMPUTED_VALUE"""),"")</f>
        <v/>
      </c>
      <c r="M14111" s="16" t="str">
        <f>IFERROR(__xludf.DUMMYFUNCTION("""COMPUTED_VALUE"""),"")</f>
        <v/>
      </c>
      <c r="U14111" s="16" t="s">
        <v>87</v>
      </c>
      <c r="V14111" s="16" t="str">
        <f>IFERROR(__xludf.DUMMYFUNCTION("""COMPUTED_VALUE"""),"")</f>
        <v/>
      </c>
      <c r="W14111" s="16" t="str">
        <f>IFERROR(__xludf.DUMMYFUNCTION("""COMPUTED_VALUE"""),"")</f>
        <v/>
      </c>
      <c r="X14111" s="16" t="str">
        <f>IFERROR(__xludf.DUMMYFUNCTION("""COMPUTED_VALUE"""),"")</f>
        <v/>
      </c>
      <c r="AC14111" s="16" t="str">
        <f>IFERROR(__xludf.DUMMYFUNCTION("""COMPUTED_VALUE"""),"")</f>
        <v/>
      </c>
    </row>
    <row r="14112">
      <c r="A14112" s="16" t="s">
        <v>87</v>
      </c>
      <c r="E14112" s="16" t="str">
        <f>IFERROR(__xludf.DUMMYFUNCTION("""COMPUTED_VALUE"""),"")</f>
        <v/>
      </c>
      <c r="G14112" s="18"/>
      <c r="H14112" s="16" t="s">
        <v>87</v>
      </c>
      <c r="I14112" s="16" t="s">
        <v>87</v>
      </c>
      <c r="J14112" s="19"/>
      <c r="L14112" s="16" t="str">
        <f>IFERROR(__xludf.DUMMYFUNCTION("""COMPUTED_VALUE"""),"")</f>
        <v/>
      </c>
      <c r="M14112" s="16" t="str">
        <f>IFERROR(__xludf.DUMMYFUNCTION("""COMPUTED_VALUE"""),"")</f>
        <v/>
      </c>
      <c r="U14112" s="16" t="s">
        <v>87</v>
      </c>
      <c r="V14112" s="16" t="str">
        <f>IFERROR(__xludf.DUMMYFUNCTION("""COMPUTED_VALUE"""),"")</f>
        <v/>
      </c>
      <c r="W14112" s="16" t="str">
        <f>IFERROR(__xludf.DUMMYFUNCTION("""COMPUTED_VALUE"""),"")</f>
        <v/>
      </c>
      <c r="X14112" s="16" t="str">
        <f>IFERROR(__xludf.DUMMYFUNCTION("""COMPUTED_VALUE"""),"")</f>
        <v/>
      </c>
      <c r="AC14112" s="16" t="str">
        <f>IFERROR(__xludf.DUMMYFUNCTION("""COMPUTED_VALUE"""),"")</f>
        <v/>
      </c>
    </row>
    <row r="14113">
      <c r="A14113" s="16" t="s">
        <v>87</v>
      </c>
      <c r="E14113" s="16" t="str">
        <f>IFERROR(__xludf.DUMMYFUNCTION("""COMPUTED_VALUE"""),"")</f>
        <v/>
      </c>
      <c r="G14113" s="18"/>
      <c r="H14113" s="16" t="s">
        <v>87</v>
      </c>
      <c r="I14113" s="16" t="s">
        <v>87</v>
      </c>
      <c r="J14113" s="19"/>
      <c r="L14113" s="16" t="str">
        <f>IFERROR(__xludf.DUMMYFUNCTION("""COMPUTED_VALUE"""),"")</f>
        <v/>
      </c>
      <c r="M14113" s="16" t="str">
        <f>IFERROR(__xludf.DUMMYFUNCTION("""COMPUTED_VALUE"""),"")</f>
        <v/>
      </c>
      <c r="U14113" s="16" t="s">
        <v>87</v>
      </c>
      <c r="V14113" s="16" t="str">
        <f>IFERROR(__xludf.DUMMYFUNCTION("""COMPUTED_VALUE"""),"")</f>
        <v/>
      </c>
      <c r="W14113" s="16" t="str">
        <f>IFERROR(__xludf.DUMMYFUNCTION("""COMPUTED_VALUE"""),"")</f>
        <v/>
      </c>
      <c r="X14113" s="16" t="str">
        <f>IFERROR(__xludf.DUMMYFUNCTION("""COMPUTED_VALUE"""),"")</f>
        <v/>
      </c>
      <c r="AC14113" s="16" t="str">
        <f>IFERROR(__xludf.DUMMYFUNCTION("""COMPUTED_VALUE"""),"")</f>
        <v/>
      </c>
    </row>
    <row r="14114">
      <c r="A14114" s="16" t="s">
        <v>87</v>
      </c>
      <c r="E14114" s="16" t="str">
        <f>IFERROR(__xludf.DUMMYFUNCTION("""COMPUTED_VALUE"""),"")</f>
        <v/>
      </c>
      <c r="G14114" s="18"/>
      <c r="H14114" s="16" t="s">
        <v>87</v>
      </c>
      <c r="I14114" s="16" t="s">
        <v>87</v>
      </c>
      <c r="J14114" s="19"/>
      <c r="L14114" s="16" t="str">
        <f>IFERROR(__xludf.DUMMYFUNCTION("""COMPUTED_VALUE"""),"")</f>
        <v/>
      </c>
      <c r="M14114" s="16" t="str">
        <f>IFERROR(__xludf.DUMMYFUNCTION("""COMPUTED_VALUE"""),"")</f>
        <v/>
      </c>
      <c r="U14114" s="16" t="s">
        <v>87</v>
      </c>
      <c r="V14114" s="16" t="str">
        <f>IFERROR(__xludf.DUMMYFUNCTION("""COMPUTED_VALUE"""),"")</f>
        <v/>
      </c>
      <c r="W14114" s="16" t="str">
        <f>IFERROR(__xludf.DUMMYFUNCTION("""COMPUTED_VALUE"""),"")</f>
        <v/>
      </c>
      <c r="X14114" s="16" t="str">
        <f>IFERROR(__xludf.DUMMYFUNCTION("""COMPUTED_VALUE"""),"")</f>
        <v/>
      </c>
      <c r="AC14114" s="16" t="str">
        <f>IFERROR(__xludf.DUMMYFUNCTION("""COMPUTED_VALUE"""),"")</f>
        <v/>
      </c>
    </row>
    <row r="14115">
      <c r="A14115" s="16" t="s">
        <v>87</v>
      </c>
      <c r="E14115" s="16" t="str">
        <f>IFERROR(__xludf.DUMMYFUNCTION("""COMPUTED_VALUE"""),"")</f>
        <v/>
      </c>
      <c r="G14115" s="18"/>
      <c r="H14115" s="16" t="s">
        <v>87</v>
      </c>
      <c r="I14115" s="16" t="s">
        <v>87</v>
      </c>
      <c r="J14115" s="19"/>
      <c r="L14115" s="16" t="str">
        <f>IFERROR(__xludf.DUMMYFUNCTION("""COMPUTED_VALUE"""),"")</f>
        <v/>
      </c>
      <c r="M14115" s="16" t="str">
        <f>IFERROR(__xludf.DUMMYFUNCTION("""COMPUTED_VALUE"""),"")</f>
        <v/>
      </c>
      <c r="U14115" s="16" t="s">
        <v>87</v>
      </c>
      <c r="V14115" s="16" t="str">
        <f>IFERROR(__xludf.DUMMYFUNCTION("""COMPUTED_VALUE"""),"")</f>
        <v/>
      </c>
      <c r="W14115" s="16" t="str">
        <f>IFERROR(__xludf.DUMMYFUNCTION("""COMPUTED_VALUE"""),"")</f>
        <v/>
      </c>
      <c r="X14115" s="16" t="str">
        <f>IFERROR(__xludf.DUMMYFUNCTION("""COMPUTED_VALUE"""),"")</f>
        <v/>
      </c>
      <c r="AC14115" s="16" t="str">
        <f>IFERROR(__xludf.DUMMYFUNCTION("""COMPUTED_VALUE"""),"")</f>
        <v/>
      </c>
    </row>
    <row r="14116">
      <c r="A14116" s="16" t="s">
        <v>87</v>
      </c>
      <c r="E14116" s="16" t="str">
        <f>IFERROR(__xludf.DUMMYFUNCTION("""COMPUTED_VALUE"""),"")</f>
        <v/>
      </c>
      <c r="G14116" s="18"/>
      <c r="H14116" s="16" t="s">
        <v>87</v>
      </c>
      <c r="I14116" s="16" t="s">
        <v>87</v>
      </c>
      <c r="J14116" s="19"/>
      <c r="L14116" s="16" t="str">
        <f>IFERROR(__xludf.DUMMYFUNCTION("""COMPUTED_VALUE"""),"")</f>
        <v/>
      </c>
      <c r="M14116" s="16" t="str">
        <f>IFERROR(__xludf.DUMMYFUNCTION("""COMPUTED_VALUE"""),"")</f>
        <v/>
      </c>
      <c r="U14116" s="16" t="s">
        <v>87</v>
      </c>
      <c r="V14116" s="16" t="str">
        <f>IFERROR(__xludf.DUMMYFUNCTION("""COMPUTED_VALUE"""),"")</f>
        <v/>
      </c>
      <c r="W14116" s="16" t="str">
        <f>IFERROR(__xludf.DUMMYFUNCTION("""COMPUTED_VALUE"""),"")</f>
        <v/>
      </c>
      <c r="X14116" s="16" t="str">
        <f>IFERROR(__xludf.DUMMYFUNCTION("""COMPUTED_VALUE"""),"")</f>
        <v/>
      </c>
      <c r="AC14116" s="16" t="str">
        <f>IFERROR(__xludf.DUMMYFUNCTION("""COMPUTED_VALUE"""),"")</f>
        <v/>
      </c>
    </row>
    <row r="14117">
      <c r="A14117" s="16" t="s">
        <v>87</v>
      </c>
      <c r="E14117" s="16" t="str">
        <f>IFERROR(__xludf.DUMMYFUNCTION("""COMPUTED_VALUE"""),"")</f>
        <v/>
      </c>
      <c r="G14117" s="18"/>
      <c r="H14117" s="16" t="s">
        <v>87</v>
      </c>
      <c r="I14117" s="16" t="s">
        <v>87</v>
      </c>
      <c r="J14117" s="19"/>
      <c r="L14117" s="16" t="str">
        <f>IFERROR(__xludf.DUMMYFUNCTION("""COMPUTED_VALUE"""),"")</f>
        <v/>
      </c>
      <c r="M14117" s="16" t="str">
        <f>IFERROR(__xludf.DUMMYFUNCTION("""COMPUTED_VALUE"""),"")</f>
        <v/>
      </c>
      <c r="U14117" s="16" t="s">
        <v>87</v>
      </c>
      <c r="V14117" s="16" t="str">
        <f>IFERROR(__xludf.DUMMYFUNCTION("""COMPUTED_VALUE"""),"")</f>
        <v/>
      </c>
      <c r="W14117" s="16" t="str">
        <f>IFERROR(__xludf.DUMMYFUNCTION("""COMPUTED_VALUE"""),"")</f>
        <v/>
      </c>
      <c r="X14117" s="16" t="str">
        <f>IFERROR(__xludf.DUMMYFUNCTION("""COMPUTED_VALUE"""),"")</f>
        <v/>
      </c>
      <c r="AC14117" s="16" t="str">
        <f>IFERROR(__xludf.DUMMYFUNCTION("""COMPUTED_VALUE"""),"")</f>
        <v/>
      </c>
    </row>
    <row r="14118">
      <c r="A14118" s="16" t="s">
        <v>87</v>
      </c>
      <c r="E14118" s="16" t="str">
        <f>IFERROR(__xludf.DUMMYFUNCTION("""COMPUTED_VALUE"""),"")</f>
        <v/>
      </c>
      <c r="G14118" s="18"/>
      <c r="H14118" s="16" t="s">
        <v>87</v>
      </c>
      <c r="I14118" s="16" t="s">
        <v>87</v>
      </c>
      <c r="J14118" s="19"/>
      <c r="L14118" s="16" t="str">
        <f>IFERROR(__xludf.DUMMYFUNCTION("""COMPUTED_VALUE"""),"")</f>
        <v/>
      </c>
      <c r="M14118" s="16" t="str">
        <f>IFERROR(__xludf.DUMMYFUNCTION("""COMPUTED_VALUE"""),"")</f>
        <v/>
      </c>
      <c r="U14118" s="16" t="s">
        <v>87</v>
      </c>
      <c r="V14118" s="16" t="str">
        <f>IFERROR(__xludf.DUMMYFUNCTION("""COMPUTED_VALUE"""),"")</f>
        <v/>
      </c>
      <c r="W14118" s="16" t="str">
        <f>IFERROR(__xludf.DUMMYFUNCTION("""COMPUTED_VALUE"""),"")</f>
        <v/>
      </c>
      <c r="X14118" s="16" t="str">
        <f>IFERROR(__xludf.DUMMYFUNCTION("""COMPUTED_VALUE"""),"")</f>
        <v/>
      </c>
      <c r="AC14118" s="16" t="str">
        <f>IFERROR(__xludf.DUMMYFUNCTION("""COMPUTED_VALUE"""),"")</f>
        <v/>
      </c>
    </row>
    <row r="14119">
      <c r="A14119" s="16" t="s">
        <v>87</v>
      </c>
      <c r="E14119" s="16" t="str">
        <f>IFERROR(__xludf.DUMMYFUNCTION("""COMPUTED_VALUE"""),"")</f>
        <v/>
      </c>
      <c r="G14119" s="18"/>
      <c r="H14119" s="16" t="s">
        <v>87</v>
      </c>
      <c r="I14119" s="16" t="s">
        <v>87</v>
      </c>
      <c r="J14119" s="19"/>
      <c r="L14119" s="16" t="str">
        <f>IFERROR(__xludf.DUMMYFUNCTION("""COMPUTED_VALUE"""),"")</f>
        <v/>
      </c>
      <c r="M14119" s="16" t="str">
        <f>IFERROR(__xludf.DUMMYFUNCTION("""COMPUTED_VALUE"""),"")</f>
        <v/>
      </c>
      <c r="U14119" s="16" t="s">
        <v>87</v>
      </c>
      <c r="V14119" s="16" t="str">
        <f>IFERROR(__xludf.DUMMYFUNCTION("""COMPUTED_VALUE"""),"")</f>
        <v/>
      </c>
      <c r="W14119" s="16" t="str">
        <f>IFERROR(__xludf.DUMMYFUNCTION("""COMPUTED_VALUE"""),"")</f>
        <v/>
      </c>
      <c r="X14119" s="16" t="str">
        <f>IFERROR(__xludf.DUMMYFUNCTION("""COMPUTED_VALUE"""),"")</f>
        <v/>
      </c>
      <c r="AC14119" s="16" t="str">
        <f>IFERROR(__xludf.DUMMYFUNCTION("""COMPUTED_VALUE"""),"")</f>
        <v/>
      </c>
    </row>
    <row r="14120">
      <c r="A14120" s="16" t="s">
        <v>87</v>
      </c>
      <c r="E14120" s="16" t="str">
        <f>IFERROR(__xludf.DUMMYFUNCTION("""COMPUTED_VALUE"""),"")</f>
        <v/>
      </c>
      <c r="G14120" s="18"/>
      <c r="H14120" s="16" t="s">
        <v>87</v>
      </c>
      <c r="I14120" s="16" t="s">
        <v>87</v>
      </c>
      <c r="J14120" s="19"/>
      <c r="L14120" s="16" t="str">
        <f>IFERROR(__xludf.DUMMYFUNCTION("""COMPUTED_VALUE"""),"")</f>
        <v/>
      </c>
      <c r="M14120" s="16" t="str">
        <f>IFERROR(__xludf.DUMMYFUNCTION("""COMPUTED_VALUE"""),"")</f>
        <v/>
      </c>
      <c r="U14120" s="16" t="s">
        <v>87</v>
      </c>
      <c r="V14120" s="16" t="str">
        <f>IFERROR(__xludf.DUMMYFUNCTION("""COMPUTED_VALUE"""),"")</f>
        <v/>
      </c>
      <c r="W14120" s="16" t="str">
        <f>IFERROR(__xludf.DUMMYFUNCTION("""COMPUTED_VALUE"""),"")</f>
        <v/>
      </c>
      <c r="X14120" s="16" t="str">
        <f>IFERROR(__xludf.DUMMYFUNCTION("""COMPUTED_VALUE"""),"")</f>
        <v/>
      </c>
      <c r="AC14120" s="16" t="str">
        <f>IFERROR(__xludf.DUMMYFUNCTION("""COMPUTED_VALUE"""),"")</f>
        <v/>
      </c>
    </row>
    <row r="14121">
      <c r="A14121" s="16" t="s">
        <v>87</v>
      </c>
      <c r="E14121" s="16" t="str">
        <f>IFERROR(__xludf.DUMMYFUNCTION("""COMPUTED_VALUE"""),"")</f>
        <v/>
      </c>
      <c r="G14121" s="18"/>
      <c r="H14121" s="16" t="s">
        <v>87</v>
      </c>
      <c r="I14121" s="16" t="s">
        <v>87</v>
      </c>
      <c r="J14121" s="19"/>
      <c r="L14121" s="16" t="str">
        <f>IFERROR(__xludf.DUMMYFUNCTION("""COMPUTED_VALUE"""),"")</f>
        <v/>
      </c>
      <c r="M14121" s="16" t="str">
        <f>IFERROR(__xludf.DUMMYFUNCTION("""COMPUTED_VALUE"""),"")</f>
        <v/>
      </c>
      <c r="U14121" s="16" t="s">
        <v>87</v>
      </c>
      <c r="V14121" s="16" t="str">
        <f>IFERROR(__xludf.DUMMYFUNCTION("""COMPUTED_VALUE"""),"")</f>
        <v/>
      </c>
      <c r="W14121" s="16" t="str">
        <f>IFERROR(__xludf.DUMMYFUNCTION("""COMPUTED_VALUE"""),"")</f>
        <v/>
      </c>
      <c r="X14121" s="16" t="str">
        <f>IFERROR(__xludf.DUMMYFUNCTION("""COMPUTED_VALUE"""),"")</f>
        <v/>
      </c>
      <c r="AC14121" s="16" t="str">
        <f>IFERROR(__xludf.DUMMYFUNCTION("""COMPUTED_VALUE"""),"")</f>
        <v/>
      </c>
    </row>
    <row r="14122">
      <c r="A14122" s="16" t="s">
        <v>87</v>
      </c>
      <c r="E14122" s="16" t="str">
        <f>IFERROR(__xludf.DUMMYFUNCTION("""COMPUTED_VALUE"""),"")</f>
        <v/>
      </c>
      <c r="G14122" s="18"/>
      <c r="H14122" s="16" t="s">
        <v>87</v>
      </c>
      <c r="I14122" s="16" t="s">
        <v>87</v>
      </c>
      <c r="J14122" s="19"/>
      <c r="L14122" s="16" t="str">
        <f>IFERROR(__xludf.DUMMYFUNCTION("""COMPUTED_VALUE"""),"")</f>
        <v/>
      </c>
      <c r="M14122" s="16" t="str">
        <f>IFERROR(__xludf.DUMMYFUNCTION("""COMPUTED_VALUE"""),"")</f>
        <v/>
      </c>
      <c r="U14122" s="16" t="s">
        <v>87</v>
      </c>
      <c r="V14122" s="16" t="str">
        <f>IFERROR(__xludf.DUMMYFUNCTION("""COMPUTED_VALUE"""),"")</f>
        <v/>
      </c>
      <c r="W14122" s="16" t="str">
        <f>IFERROR(__xludf.DUMMYFUNCTION("""COMPUTED_VALUE"""),"")</f>
        <v/>
      </c>
      <c r="X14122" s="16" t="str">
        <f>IFERROR(__xludf.DUMMYFUNCTION("""COMPUTED_VALUE"""),"")</f>
        <v/>
      </c>
      <c r="AC14122" s="16" t="str">
        <f>IFERROR(__xludf.DUMMYFUNCTION("""COMPUTED_VALUE"""),"")</f>
        <v/>
      </c>
    </row>
    <row r="14123">
      <c r="A14123" s="16" t="s">
        <v>87</v>
      </c>
      <c r="E14123" s="16" t="str">
        <f>IFERROR(__xludf.DUMMYFUNCTION("""COMPUTED_VALUE"""),"")</f>
        <v/>
      </c>
      <c r="G14123" s="18"/>
      <c r="H14123" s="16" t="s">
        <v>87</v>
      </c>
      <c r="I14123" s="16" t="s">
        <v>87</v>
      </c>
      <c r="J14123" s="19"/>
      <c r="L14123" s="16" t="str">
        <f>IFERROR(__xludf.DUMMYFUNCTION("""COMPUTED_VALUE"""),"")</f>
        <v/>
      </c>
      <c r="M14123" s="16" t="str">
        <f>IFERROR(__xludf.DUMMYFUNCTION("""COMPUTED_VALUE"""),"")</f>
        <v/>
      </c>
      <c r="U14123" s="16" t="s">
        <v>87</v>
      </c>
      <c r="V14123" s="16" t="str">
        <f>IFERROR(__xludf.DUMMYFUNCTION("""COMPUTED_VALUE"""),"")</f>
        <v/>
      </c>
      <c r="W14123" s="16" t="str">
        <f>IFERROR(__xludf.DUMMYFUNCTION("""COMPUTED_VALUE"""),"")</f>
        <v/>
      </c>
      <c r="X14123" s="16" t="str">
        <f>IFERROR(__xludf.DUMMYFUNCTION("""COMPUTED_VALUE"""),"")</f>
        <v/>
      </c>
      <c r="AC14123" s="16" t="str">
        <f>IFERROR(__xludf.DUMMYFUNCTION("""COMPUTED_VALUE"""),"")</f>
        <v/>
      </c>
    </row>
    <row r="14124">
      <c r="A14124" s="16" t="s">
        <v>87</v>
      </c>
      <c r="E14124" s="16" t="str">
        <f>IFERROR(__xludf.DUMMYFUNCTION("""COMPUTED_VALUE"""),"")</f>
        <v/>
      </c>
      <c r="G14124" s="18"/>
      <c r="H14124" s="16" t="s">
        <v>87</v>
      </c>
      <c r="I14124" s="16" t="s">
        <v>87</v>
      </c>
      <c r="J14124" s="19"/>
      <c r="L14124" s="16" t="str">
        <f>IFERROR(__xludf.DUMMYFUNCTION("""COMPUTED_VALUE"""),"")</f>
        <v/>
      </c>
      <c r="M14124" s="16" t="str">
        <f>IFERROR(__xludf.DUMMYFUNCTION("""COMPUTED_VALUE"""),"")</f>
        <v/>
      </c>
      <c r="U14124" s="16" t="s">
        <v>87</v>
      </c>
      <c r="V14124" s="16" t="str">
        <f>IFERROR(__xludf.DUMMYFUNCTION("""COMPUTED_VALUE"""),"")</f>
        <v/>
      </c>
      <c r="W14124" s="16" t="str">
        <f>IFERROR(__xludf.DUMMYFUNCTION("""COMPUTED_VALUE"""),"")</f>
        <v/>
      </c>
      <c r="X14124" s="16" t="str">
        <f>IFERROR(__xludf.DUMMYFUNCTION("""COMPUTED_VALUE"""),"")</f>
        <v/>
      </c>
      <c r="AC14124" s="16" t="str">
        <f>IFERROR(__xludf.DUMMYFUNCTION("""COMPUTED_VALUE"""),"")</f>
        <v/>
      </c>
    </row>
    <row r="14125">
      <c r="A14125" s="16" t="s">
        <v>87</v>
      </c>
      <c r="E14125" s="16" t="str">
        <f>IFERROR(__xludf.DUMMYFUNCTION("""COMPUTED_VALUE"""),"")</f>
        <v/>
      </c>
      <c r="G14125" s="18"/>
      <c r="H14125" s="16" t="s">
        <v>87</v>
      </c>
      <c r="I14125" s="16" t="s">
        <v>87</v>
      </c>
      <c r="J14125" s="19"/>
      <c r="L14125" s="16" t="str">
        <f>IFERROR(__xludf.DUMMYFUNCTION("""COMPUTED_VALUE"""),"")</f>
        <v/>
      </c>
      <c r="M14125" s="16" t="str">
        <f>IFERROR(__xludf.DUMMYFUNCTION("""COMPUTED_VALUE"""),"")</f>
        <v/>
      </c>
      <c r="U14125" s="16" t="s">
        <v>87</v>
      </c>
      <c r="V14125" s="16" t="str">
        <f>IFERROR(__xludf.DUMMYFUNCTION("""COMPUTED_VALUE"""),"")</f>
        <v/>
      </c>
      <c r="W14125" s="16" t="str">
        <f>IFERROR(__xludf.DUMMYFUNCTION("""COMPUTED_VALUE"""),"")</f>
        <v/>
      </c>
      <c r="X14125" s="16" t="str">
        <f>IFERROR(__xludf.DUMMYFUNCTION("""COMPUTED_VALUE"""),"")</f>
        <v/>
      </c>
      <c r="AC14125" s="16" t="str">
        <f>IFERROR(__xludf.DUMMYFUNCTION("""COMPUTED_VALUE"""),"")</f>
        <v/>
      </c>
    </row>
    <row r="14126">
      <c r="A14126" s="16" t="s">
        <v>87</v>
      </c>
      <c r="E14126" s="16" t="str">
        <f>IFERROR(__xludf.DUMMYFUNCTION("""COMPUTED_VALUE"""),"")</f>
        <v/>
      </c>
      <c r="G14126" s="18"/>
      <c r="H14126" s="16" t="s">
        <v>87</v>
      </c>
      <c r="I14126" s="16" t="s">
        <v>87</v>
      </c>
      <c r="J14126" s="19"/>
      <c r="L14126" s="16" t="str">
        <f>IFERROR(__xludf.DUMMYFUNCTION("""COMPUTED_VALUE"""),"")</f>
        <v/>
      </c>
      <c r="M14126" s="16" t="str">
        <f>IFERROR(__xludf.DUMMYFUNCTION("""COMPUTED_VALUE"""),"")</f>
        <v/>
      </c>
      <c r="U14126" s="16" t="s">
        <v>87</v>
      </c>
      <c r="V14126" s="16" t="str">
        <f>IFERROR(__xludf.DUMMYFUNCTION("""COMPUTED_VALUE"""),"")</f>
        <v/>
      </c>
      <c r="W14126" s="16" t="str">
        <f>IFERROR(__xludf.DUMMYFUNCTION("""COMPUTED_VALUE"""),"")</f>
        <v/>
      </c>
      <c r="X14126" s="16" t="str">
        <f>IFERROR(__xludf.DUMMYFUNCTION("""COMPUTED_VALUE"""),"")</f>
        <v/>
      </c>
      <c r="AC14126" s="16" t="str">
        <f>IFERROR(__xludf.DUMMYFUNCTION("""COMPUTED_VALUE"""),"")</f>
        <v/>
      </c>
    </row>
    <row r="14127">
      <c r="A14127" s="16" t="s">
        <v>87</v>
      </c>
      <c r="E14127" s="16" t="str">
        <f>IFERROR(__xludf.DUMMYFUNCTION("""COMPUTED_VALUE"""),"")</f>
        <v/>
      </c>
      <c r="G14127" s="18"/>
      <c r="H14127" s="16" t="s">
        <v>87</v>
      </c>
      <c r="I14127" s="16" t="s">
        <v>87</v>
      </c>
      <c r="J14127" s="19"/>
      <c r="L14127" s="16" t="str">
        <f>IFERROR(__xludf.DUMMYFUNCTION("""COMPUTED_VALUE"""),"")</f>
        <v/>
      </c>
      <c r="M14127" s="16" t="str">
        <f>IFERROR(__xludf.DUMMYFUNCTION("""COMPUTED_VALUE"""),"")</f>
        <v/>
      </c>
      <c r="U14127" s="16" t="s">
        <v>87</v>
      </c>
      <c r="V14127" s="16" t="str">
        <f>IFERROR(__xludf.DUMMYFUNCTION("""COMPUTED_VALUE"""),"")</f>
        <v/>
      </c>
      <c r="W14127" s="16" t="str">
        <f>IFERROR(__xludf.DUMMYFUNCTION("""COMPUTED_VALUE"""),"")</f>
        <v/>
      </c>
      <c r="X14127" s="16" t="str">
        <f>IFERROR(__xludf.DUMMYFUNCTION("""COMPUTED_VALUE"""),"")</f>
        <v/>
      </c>
      <c r="AC14127" s="16" t="str">
        <f>IFERROR(__xludf.DUMMYFUNCTION("""COMPUTED_VALUE"""),"")</f>
        <v/>
      </c>
    </row>
    <row r="14128">
      <c r="A14128" s="16" t="s">
        <v>87</v>
      </c>
      <c r="E14128" s="16" t="str">
        <f>IFERROR(__xludf.DUMMYFUNCTION("""COMPUTED_VALUE"""),"")</f>
        <v/>
      </c>
      <c r="G14128" s="18"/>
      <c r="H14128" s="16" t="s">
        <v>87</v>
      </c>
      <c r="I14128" s="16" t="s">
        <v>87</v>
      </c>
      <c r="J14128" s="19"/>
      <c r="L14128" s="16" t="str">
        <f>IFERROR(__xludf.DUMMYFUNCTION("""COMPUTED_VALUE"""),"")</f>
        <v/>
      </c>
      <c r="M14128" s="16" t="str">
        <f>IFERROR(__xludf.DUMMYFUNCTION("""COMPUTED_VALUE"""),"")</f>
        <v/>
      </c>
      <c r="U14128" s="16" t="s">
        <v>87</v>
      </c>
      <c r="V14128" s="16" t="str">
        <f>IFERROR(__xludf.DUMMYFUNCTION("""COMPUTED_VALUE"""),"")</f>
        <v/>
      </c>
      <c r="W14128" s="16" t="str">
        <f>IFERROR(__xludf.DUMMYFUNCTION("""COMPUTED_VALUE"""),"")</f>
        <v/>
      </c>
      <c r="X14128" s="16" t="str">
        <f>IFERROR(__xludf.DUMMYFUNCTION("""COMPUTED_VALUE"""),"")</f>
        <v/>
      </c>
      <c r="AC14128" s="16" t="str">
        <f>IFERROR(__xludf.DUMMYFUNCTION("""COMPUTED_VALUE"""),"")</f>
        <v/>
      </c>
    </row>
    <row r="14129">
      <c r="A14129" s="16" t="s">
        <v>87</v>
      </c>
      <c r="E14129" s="16" t="str">
        <f>IFERROR(__xludf.DUMMYFUNCTION("""COMPUTED_VALUE"""),"")</f>
        <v/>
      </c>
      <c r="G14129" s="18"/>
      <c r="H14129" s="16" t="s">
        <v>87</v>
      </c>
      <c r="I14129" s="16" t="s">
        <v>87</v>
      </c>
      <c r="J14129" s="19"/>
      <c r="L14129" s="16" t="str">
        <f>IFERROR(__xludf.DUMMYFUNCTION("""COMPUTED_VALUE"""),"")</f>
        <v/>
      </c>
      <c r="M14129" s="16" t="str">
        <f>IFERROR(__xludf.DUMMYFUNCTION("""COMPUTED_VALUE"""),"")</f>
        <v/>
      </c>
      <c r="U14129" s="16" t="s">
        <v>87</v>
      </c>
      <c r="V14129" s="16" t="str">
        <f>IFERROR(__xludf.DUMMYFUNCTION("""COMPUTED_VALUE"""),"")</f>
        <v/>
      </c>
      <c r="W14129" s="16" t="str">
        <f>IFERROR(__xludf.DUMMYFUNCTION("""COMPUTED_VALUE"""),"")</f>
        <v/>
      </c>
      <c r="X14129" s="16" t="str">
        <f>IFERROR(__xludf.DUMMYFUNCTION("""COMPUTED_VALUE"""),"")</f>
        <v/>
      </c>
      <c r="AC14129" s="16" t="str">
        <f>IFERROR(__xludf.DUMMYFUNCTION("""COMPUTED_VALUE"""),"")</f>
        <v/>
      </c>
    </row>
    <row r="14130">
      <c r="A14130" s="16" t="s">
        <v>87</v>
      </c>
      <c r="E14130" s="16" t="str">
        <f>IFERROR(__xludf.DUMMYFUNCTION("""COMPUTED_VALUE"""),"")</f>
        <v/>
      </c>
      <c r="G14130" s="18"/>
      <c r="H14130" s="16" t="s">
        <v>87</v>
      </c>
      <c r="I14130" s="16" t="s">
        <v>87</v>
      </c>
      <c r="J14130" s="19"/>
      <c r="L14130" s="16" t="str">
        <f>IFERROR(__xludf.DUMMYFUNCTION("""COMPUTED_VALUE"""),"")</f>
        <v/>
      </c>
      <c r="M14130" s="16" t="str">
        <f>IFERROR(__xludf.DUMMYFUNCTION("""COMPUTED_VALUE"""),"")</f>
        <v/>
      </c>
      <c r="U14130" s="16" t="s">
        <v>87</v>
      </c>
      <c r="V14130" s="16" t="str">
        <f>IFERROR(__xludf.DUMMYFUNCTION("""COMPUTED_VALUE"""),"")</f>
        <v/>
      </c>
      <c r="W14130" s="16" t="str">
        <f>IFERROR(__xludf.DUMMYFUNCTION("""COMPUTED_VALUE"""),"")</f>
        <v/>
      </c>
      <c r="X14130" s="16" t="str">
        <f>IFERROR(__xludf.DUMMYFUNCTION("""COMPUTED_VALUE"""),"")</f>
        <v/>
      </c>
      <c r="AC14130" s="16" t="str">
        <f>IFERROR(__xludf.DUMMYFUNCTION("""COMPUTED_VALUE"""),"")</f>
        <v/>
      </c>
    </row>
    <row r="14131">
      <c r="A14131" s="16" t="s">
        <v>87</v>
      </c>
      <c r="E14131" s="16" t="str">
        <f>IFERROR(__xludf.DUMMYFUNCTION("""COMPUTED_VALUE"""),"")</f>
        <v/>
      </c>
      <c r="G14131" s="18"/>
      <c r="H14131" s="16" t="s">
        <v>87</v>
      </c>
      <c r="I14131" s="16" t="s">
        <v>87</v>
      </c>
      <c r="J14131" s="19"/>
      <c r="L14131" s="16" t="str">
        <f>IFERROR(__xludf.DUMMYFUNCTION("""COMPUTED_VALUE"""),"")</f>
        <v/>
      </c>
      <c r="M14131" s="16" t="str">
        <f>IFERROR(__xludf.DUMMYFUNCTION("""COMPUTED_VALUE"""),"")</f>
        <v/>
      </c>
      <c r="U14131" s="16" t="s">
        <v>87</v>
      </c>
      <c r="V14131" s="16" t="str">
        <f>IFERROR(__xludf.DUMMYFUNCTION("""COMPUTED_VALUE"""),"")</f>
        <v/>
      </c>
      <c r="W14131" s="16" t="str">
        <f>IFERROR(__xludf.DUMMYFUNCTION("""COMPUTED_VALUE"""),"")</f>
        <v/>
      </c>
      <c r="X14131" s="16" t="str">
        <f>IFERROR(__xludf.DUMMYFUNCTION("""COMPUTED_VALUE"""),"")</f>
        <v/>
      </c>
      <c r="AC14131" s="16" t="str">
        <f>IFERROR(__xludf.DUMMYFUNCTION("""COMPUTED_VALUE"""),"")</f>
        <v/>
      </c>
    </row>
    <row r="14132">
      <c r="A14132" s="16" t="s">
        <v>87</v>
      </c>
      <c r="E14132" s="16" t="str">
        <f>IFERROR(__xludf.DUMMYFUNCTION("""COMPUTED_VALUE"""),"")</f>
        <v/>
      </c>
      <c r="G14132" s="18"/>
      <c r="H14132" s="16" t="s">
        <v>87</v>
      </c>
      <c r="I14132" s="16" t="s">
        <v>87</v>
      </c>
      <c r="J14132" s="19"/>
      <c r="L14132" s="16" t="str">
        <f>IFERROR(__xludf.DUMMYFUNCTION("""COMPUTED_VALUE"""),"")</f>
        <v/>
      </c>
      <c r="M14132" s="16" t="str">
        <f>IFERROR(__xludf.DUMMYFUNCTION("""COMPUTED_VALUE"""),"")</f>
        <v/>
      </c>
      <c r="U14132" s="16" t="s">
        <v>87</v>
      </c>
      <c r="V14132" s="16" t="str">
        <f>IFERROR(__xludf.DUMMYFUNCTION("""COMPUTED_VALUE"""),"")</f>
        <v/>
      </c>
      <c r="W14132" s="16" t="str">
        <f>IFERROR(__xludf.DUMMYFUNCTION("""COMPUTED_VALUE"""),"")</f>
        <v/>
      </c>
      <c r="X14132" s="16" t="str">
        <f>IFERROR(__xludf.DUMMYFUNCTION("""COMPUTED_VALUE"""),"")</f>
        <v/>
      </c>
      <c r="AC14132" s="16" t="str">
        <f>IFERROR(__xludf.DUMMYFUNCTION("""COMPUTED_VALUE"""),"")</f>
        <v/>
      </c>
    </row>
    <row r="14133">
      <c r="A14133" s="16" t="s">
        <v>87</v>
      </c>
      <c r="E14133" s="16" t="str">
        <f>IFERROR(__xludf.DUMMYFUNCTION("""COMPUTED_VALUE"""),"")</f>
        <v/>
      </c>
      <c r="G14133" s="18"/>
      <c r="H14133" s="16" t="s">
        <v>87</v>
      </c>
      <c r="I14133" s="16" t="s">
        <v>87</v>
      </c>
      <c r="J14133" s="19"/>
      <c r="L14133" s="16" t="str">
        <f>IFERROR(__xludf.DUMMYFUNCTION("""COMPUTED_VALUE"""),"")</f>
        <v/>
      </c>
      <c r="M14133" s="16" t="str">
        <f>IFERROR(__xludf.DUMMYFUNCTION("""COMPUTED_VALUE"""),"")</f>
        <v/>
      </c>
      <c r="U14133" s="16" t="s">
        <v>87</v>
      </c>
      <c r="V14133" s="16" t="str">
        <f>IFERROR(__xludf.DUMMYFUNCTION("""COMPUTED_VALUE"""),"")</f>
        <v/>
      </c>
      <c r="W14133" s="16" t="str">
        <f>IFERROR(__xludf.DUMMYFUNCTION("""COMPUTED_VALUE"""),"")</f>
        <v/>
      </c>
      <c r="X14133" s="16" t="str">
        <f>IFERROR(__xludf.DUMMYFUNCTION("""COMPUTED_VALUE"""),"")</f>
        <v/>
      </c>
      <c r="AC14133" s="16" t="str">
        <f>IFERROR(__xludf.DUMMYFUNCTION("""COMPUTED_VALUE"""),"")</f>
        <v/>
      </c>
    </row>
    <row r="14134">
      <c r="A14134" s="16" t="s">
        <v>87</v>
      </c>
      <c r="E14134" s="16" t="str">
        <f>IFERROR(__xludf.DUMMYFUNCTION("""COMPUTED_VALUE"""),"")</f>
        <v/>
      </c>
      <c r="G14134" s="18"/>
      <c r="H14134" s="16" t="s">
        <v>87</v>
      </c>
      <c r="I14134" s="16" t="s">
        <v>87</v>
      </c>
      <c r="J14134" s="19"/>
      <c r="L14134" s="16" t="str">
        <f>IFERROR(__xludf.DUMMYFUNCTION("""COMPUTED_VALUE"""),"")</f>
        <v/>
      </c>
      <c r="M14134" s="16" t="str">
        <f>IFERROR(__xludf.DUMMYFUNCTION("""COMPUTED_VALUE"""),"")</f>
        <v/>
      </c>
      <c r="U14134" s="16" t="s">
        <v>87</v>
      </c>
      <c r="V14134" s="16" t="str">
        <f>IFERROR(__xludf.DUMMYFUNCTION("""COMPUTED_VALUE"""),"")</f>
        <v/>
      </c>
      <c r="W14134" s="16" t="str">
        <f>IFERROR(__xludf.DUMMYFUNCTION("""COMPUTED_VALUE"""),"")</f>
        <v/>
      </c>
      <c r="X14134" s="16" t="str">
        <f>IFERROR(__xludf.DUMMYFUNCTION("""COMPUTED_VALUE"""),"")</f>
        <v/>
      </c>
      <c r="AC14134" s="16" t="str">
        <f>IFERROR(__xludf.DUMMYFUNCTION("""COMPUTED_VALUE"""),"")</f>
        <v/>
      </c>
    </row>
    <row r="14135">
      <c r="A14135" s="16" t="s">
        <v>87</v>
      </c>
      <c r="E14135" s="16" t="str">
        <f>IFERROR(__xludf.DUMMYFUNCTION("""COMPUTED_VALUE"""),"")</f>
        <v/>
      </c>
      <c r="G14135" s="18"/>
      <c r="H14135" s="16" t="s">
        <v>87</v>
      </c>
      <c r="I14135" s="16" t="s">
        <v>87</v>
      </c>
      <c r="J14135" s="19"/>
      <c r="L14135" s="16" t="str">
        <f>IFERROR(__xludf.DUMMYFUNCTION("""COMPUTED_VALUE"""),"")</f>
        <v/>
      </c>
      <c r="M14135" s="16" t="str">
        <f>IFERROR(__xludf.DUMMYFUNCTION("""COMPUTED_VALUE"""),"")</f>
        <v/>
      </c>
      <c r="U14135" s="16" t="s">
        <v>87</v>
      </c>
      <c r="V14135" s="16" t="str">
        <f>IFERROR(__xludf.DUMMYFUNCTION("""COMPUTED_VALUE"""),"")</f>
        <v/>
      </c>
      <c r="W14135" s="16" t="str">
        <f>IFERROR(__xludf.DUMMYFUNCTION("""COMPUTED_VALUE"""),"")</f>
        <v/>
      </c>
      <c r="X14135" s="16" t="str">
        <f>IFERROR(__xludf.DUMMYFUNCTION("""COMPUTED_VALUE"""),"")</f>
        <v/>
      </c>
      <c r="AC14135" s="16" t="str">
        <f>IFERROR(__xludf.DUMMYFUNCTION("""COMPUTED_VALUE"""),"")</f>
        <v/>
      </c>
    </row>
    <row r="14136">
      <c r="A14136" s="16" t="s">
        <v>87</v>
      </c>
      <c r="E14136" s="16" t="str">
        <f>IFERROR(__xludf.DUMMYFUNCTION("""COMPUTED_VALUE"""),"")</f>
        <v/>
      </c>
      <c r="G14136" s="18"/>
      <c r="H14136" s="16" t="s">
        <v>87</v>
      </c>
      <c r="I14136" s="16" t="s">
        <v>87</v>
      </c>
      <c r="J14136" s="19"/>
      <c r="L14136" s="16" t="str">
        <f>IFERROR(__xludf.DUMMYFUNCTION("""COMPUTED_VALUE"""),"")</f>
        <v/>
      </c>
      <c r="M14136" s="16" t="str">
        <f>IFERROR(__xludf.DUMMYFUNCTION("""COMPUTED_VALUE"""),"")</f>
        <v/>
      </c>
      <c r="U14136" s="16" t="s">
        <v>87</v>
      </c>
      <c r="V14136" s="16" t="str">
        <f>IFERROR(__xludf.DUMMYFUNCTION("""COMPUTED_VALUE"""),"")</f>
        <v/>
      </c>
      <c r="W14136" s="16" t="str">
        <f>IFERROR(__xludf.DUMMYFUNCTION("""COMPUTED_VALUE"""),"")</f>
        <v/>
      </c>
      <c r="X14136" s="16" t="str">
        <f>IFERROR(__xludf.DUMMYFUNCTION("""COMPUTED_VALUE"""),"")</f>
        <v/>
      </c>
      <c r="AC14136" s="16" t="str">
        <f>IFERROR(__xludf.DUMMYFUNCTION("""COMPUTED_VALUE"""),"")</f>
        <v/>
      </c>
    </row>
    <row r="14137">
      <c r="A14137" s="16" t="s">
        <v>87</v>
      </c>
      <c r="E14137" s="16" t="str">
        <f>IFERROR(__xludf.DUMMYFUNCTION("""COMPUTED_VALUE"""),"")</f>
        <v/>
      </c>
      <c r="G14137" s="18"/>
      <c r="H14137" s="16" t="s">
        <v>87</v>
      </c>
      <c r="I14137" s="16" t="s">
        <v>87</v>
      </c>
      <c r="J14137" s="19"/>
      <c r="L14137" s="16" t="str">
        <f>IFERROR(__xludf.DUMMYFUNCTION("""COMPUTED_VALUE"""),"")</f>
        <v/>
      </c>
      <c r="M14137" s="16" t="str">
        <f>IFERROR(__xludf.DUMMYFUNCTION("""COMPUTED_VALUE"""),"")</f>
        <v/>
      </c>
      <c r="U14137" s="16" t="s">
        <v>87</v>
      </c>
      <c r="V14137" s="16" t="str">
        <f>IFERROR(__xludf.DUMMYFUNCTION("""COMPUTED_VALUE"""),"")</f>
        <v/>
      </c>
      <c r="W14137" s="16" t="str">
        <f>IFERROR(__xludf.DUMMYFUNCTION("""COMPUTED_VALUE"""),"")</f>
        <v/>
      </c>
      <c r="X14137" s="16" t="str">
        <f>IFERROR(__xludf.DUMMYFUNCTION("""COMPUTED_VALUE"""),"")</f>
        <v/>
      </c>
      <c r="AC14137" s="16" t="str">
        <f>IFERROR(__xludf.DUMMYFUNCTION("""COMPUTED_VALUE"""),"")</f>
        <v/>
      </c>
    </row>
    <row r="14138">
      <c r="A14138" s="16" t="s">
        <v>87</v>
      </c>
      <c r="E14138" s="16" t="str">
        <f>IFERROR(__xludf.DUMMYFUNCTION("""COMPUTED_VALUE"""),"")</f>
        <v/>
      </c>
      <c r="G14138" s="18"/>
      <c r="H14138" s="16" t="s">
        <v>87</v>
      </c>
      <c r="I14138" s="16" t="s">
        <v>87</v>
      </c>
      <c r="J14138" s="19"/>
      <c r="L14138" s="16" t="str">
        <f>IFERROR(__xludf.DUMMYFUNCTION("""COMPUTED_VALUE"""),"")</f>
        <v/>
      </c>
      <c r="M14138" s="16" t="str">
        <f>IFERROR(__xludf.DUMMYFUNCTION("""COMPUTED_VALUE"""),"")</f>
        <v/>
      </c>
      <c r="U14138" s="16" t="s">
        <v>87</v>
      </c>
      <c r="V14138" s="16" t="str">
        <f>IFERROR(__xludf.DUMMYFUNCTION("""COMPUTED_VALUE"""),"")</f>
        <v/>
      </c>
      <c r="W14138" s="16" t="str">
        <f>IFERROR(__xludf.DUMMYFUNCTION("""COMPUTED_VALUE"""),"")</f>
        <v/>
      </c>
      <c r="X14138" s="16" t="str">
        <f>IFERROR(__xludf.DUMMYFUNCTION("""COMPUTED_VALUE"""),"")</f>
        <v/>
      </c>
      <c r="AC14138" s="16" t="str">
        <f>IFERROR(__xludf.DUMMYFUNCTION("""COMPUTED_VALUE"""),"")</f>
        <v/>
      </c>
    </row>
    <row r="14139">
      <c r="A14139" s="16" t="s">
        <v>87</v>
      </c>
      <c r="E14139" s="16" t="str">
        <f>IFERROR(__xludf.DUMMYFUNCTION("""COMPUTED_VALUE"""),"")</f>
        <v/>
      </c>
      <c r="G14139" s="18"/>
      <c r="H14139" s="16" t="s">
        <v>87</v>
      </c>
      <c r="I14139" s="16" t="s">
        <v>87</v>
      </c>
      <c r="J14139" s="19"/>
      <c r="L14139" s="16" t="str">
        <f>IFERROR(__xludf.DUMMYFUNCTION("""COMPUTED_VALUE"""),"")</f>
        <v/>
      </c>
      <c r="M14139" s="16" t="str">
        <f>IFERROR(__xludf.DUMMYFUNCTION("""COMPUTED_VALUE"""),"")</f>
        <v/>
      </c>
      <c r="U14139" s="16" t="s">
        <v>87</v>
      </c>
      <c r="V14139" s="16" t="str">
        <f>IFERROR(__xludf.DUMMYFUNCTION("""COMPUTED_VALUE"""),"")</f>
        <v/>
      </c>
      <c r="W14139" s="16" t="str">
        <f>IFERROR(__xludf.DUMMYFUNCTION("""COMPUTED_VALUE"""),"")</f>
        <v/>
      </c>
      <c r="X14139" s="16" t="str">
        <f>IFERROR(__xludf.DUMMYFUNCTION("""COMPUTED_VALUE"""),"")</f>
        <v/>
      </c>
      <c r="AC14139" s="16" t="str">
        <f>IFERROR(__xludf.DUMMYFUNCTION("""COMPUTED_VALUE"""),"")</f>
        <v/>
      </c>
    </row>
    <row r="14140">
      <c r="A14140" s="16" t="s">
        <v>87</v>
      </c>
      <c r="E14140" s="16" t="str">
        <f>IFERROR(__xludf.DUMMYFUNCTION("""COMPUTED_VALUE"""),"")</f>
        <v/>
      </c>
      <c r="G14140" s="18"/>
      <c r="H14140" s="16" t="s">
        <v>87</v>
      </c>
      <c r="I14140" s="16" t="s">
        <v>87</v>
      </c>
      <c r="J14140" s="19"/>
      <c r="L14140" s="16" t="str">
        <f>IFERROR(__xludf.DUMMYFUNCTION("""COMPUTED_VALUE"""),"")</f>
        <v/>
      </c>
      <c r="M14140" s="16" t="str">
        <f>IFERROR(__xludf.DUMMYFUNCTION("""COMPUTED_VALUE"""),"")</f>
        <v/>
      </c>
      <c r="U14140" s="16" t="s">
        <v>87</v>
      </c>
      <c r="V14140" s="16" t="str">
        <f>IFERROR(__xludf.DUMMYFUNCTION("""COMPUTED_VALUE"""),"")</f>
        <v/>
      </c>
      <c r="W14140" s="16" t="str">
        <f>IFERROR(__xludf.DUMMYFUNCTION("""COMPUTED_VALUE"""),"")</f>
        <v/>
      </c>
      <c r="X14140" s="16" t="str">
        <f>IFERROR(__xludf.DUMMYFUNCTION("""COMPUTED_VALUE"""),"")</f>
        <v/>
      </c>
      <c r="AC14140" s="16" t="str">
        <f>IFERROR(__xludf.DUMMYFUNCTION("""COMPUTED_VALUE"""),"")</f>
        <v/>
      </c>
    </row>
    <row r="14141">
      <c r="A14141" s="16" t="s">
        <v>87</v>
      </c>
      <c r="E14141" s="16" t="str">
        <f>IFERROR(__xludf.DUMMYFUNCTION("""COMPUTED_VALUE"""),"")</f>
        <v/>
      </c>
      <c r="G14141" s="18"/>
      <c r="H14141" s="16" t="s">
        <v>87</v>
      </c>
      <c r="I14141" s="16" t="s">
        <v>87</v>
      </c>
      <c r="J14141" s="19"/>
      <c r="L14141" s="16" t="str">
        <f>IFERROR(__xludf.DUMMYFUNCTION("""COMPUTED_VALUE"""),"")</f>
        <v/>
      </c>
      <c r="M14141" s="16" t="str">
        <f>IFERROR(__xludf.DUMMYFUNCTION("""COMPUTED_VALUE"""),"")</f>
        <v/>
      </c>
      <c r="U14141" s="16" t="s">
        <v>87</v>
      </c>
      <c r="V14141" s="16" t="str">
        <f>IFERROR(__xludf.DUMMYFUNCTION("""COMPUTED_VALUE"""),"")</f>
        <v/>
      </c>
      <c r="W14141" s="16" t="str">
        <f>IFERROR(__xludf.DUMMYFUNCTION("""COMPUTED_VALUE"""),"")</f>
        <v/>
      </c>
      <c r="X14141" s="16" t="str">
        <f>IFERROR(__xludf.DUMMYFUNCTION("""COMPUTED_VALUE"""),"")</f>
        <v/>
      </c>
      <c r="AC14141" s="16" t="str">
        <f>IFERROR(__xludf.DUMMYFUNCTION("""COMPUTED_VALUE"""),"")</f>
        <v/>
      </c>
    </row>
    <row r="14142">
      <c r="A14142" s="16" t="s">
        <v>87</v>
      </c>
      <c r="E14142" s="16" t="str">
        <f>IFERROR(__xludf.DUMMYFUNCTION("""COMPUTED_VALUE"""),"")</f>
        <v/>
      </c>
      <c r="G14142" s="18"/>
      <c r="H14142" s="16" t="s">
        <v>87</v>
      </c>
      <c r="I14142" s="16" t="s">
        <v>87</v>
      </c>
      <c r="J14142" s="19"/>
      <c r="L14142" s="16" t="str">
        <f>IFERROR(__xludf.DUMMYFUNCTION("""COMPUTED_VALUE"""),"")</f>
        <v/>
      </c>
      <c r="M14142" s="16" t="str">
        <f>IFERROR(__xludf.DUMMYFUNCTION("""COMPUTED_VALUE"""),"")</f>
        <v/>
      </c>
      <c r="U14142" s="16" t="s">
        <v>87</v>
      </c>
      <c r="V14142" s="16" t="str">
        <f>IFERROR(__xludf.DUMMYFUNCTION("""COMPUTED_VALUE"""),"")</f>
        <v/>
      </c>
      <c r="W14142" s="16" t="str">
        <f>IFERROR(__xludf.DUMMYFUNCTION("""COMPUTED_VALUE"""),"")</f>
        <v/>
      </c>
      <c r="X14142" s="16" t="str">
        <f>IFERROR(__xludf.DUMMYFUNCTION("""COMPUTED_VALUE"""),"")</f>
        <v/>
      </c>
      <c r="AC14142" s="16" t="str">
        <f>IFERROR(__xludf.DUMMYFUNCTION("""COMPUTED_VALUE"""),"")</f>
        <v/>
      </c>
    </row>
    <row r="14143">
      <c r="A14143" s="16" t="s">
        <v>87</v>
      </c>
      <c r="E14143" s="16" t="str">
        <f>IFERROR(__xludf.DUMMYFUNCTION("""COMPUTED_VALUE"""),"")</f>
        <v/>
      </c>
      <c r="G14143" s="18"/>
      <c r="H14143" s="16" t="s">
        <v>87</v>
      </c>
      <c r="I14143" s="16" t="s">
        <v>87</v>
      </c>
      <c r="J14143" s="19"/>
      <c r="L14143" s="16" t="str">
        <f>IFERROR(__xludf.DUMMYFUNCTION("""COMPUTED_VALUE"""),"")</f>
        <v/>
      </c>
      <c r="M14143" s="16" t="str">
        <f>IFERROR(__xludf.DUMMYFUNCTION("""COMPUTED_VALUE"""),"")</f>
        <v/>
      </c>
      <c r="U14143" s="16" t="s">
        <v>87</v>
      </c>
      <c r="V14143" s="16" t="str">
        <f>IFERROR(__xludf.DUMMYFUNCTION("""COMPUTED_VALUE"""),"")</f>
        <v/>
      </c>
      <c r="W14143" s="16" t="str">
        <f>IFERROR(__xludf.DUMMYFUNCTION("""COMPUTED_VALUE"""),"")</f>
        <v/>
      </c>
      <c r="X14143" s="16" t="str">
        <f>IFERROR(__xludf.DUMMYFUNCTION("""COMPUTED_VALUE"""),"")</f>
        <v/>
      </c>
      <c r="AC14143" s="16" t="str">
        <f>IFERROR(__xludf.DUMMYFUNCTION("""COMPUTED_VALUE"""),"")</f>
        <v/>
      </c>
    </row>
    <row r="14144">
      <c r="A14144" s="16" t="s">
        <v>87</v>
      </c>
      <c r="E14144" s="16" t="str">
        <f>IFERROR(__xludf.DUMMYFUNCTION("""COMPUTED_VALUE"""),"")</f>
        <v/>
      </c>
      <c r="G14144" s="18"/>
      <c r="H14144" s="16" t="s">
        <v>87</v>
      </c>
      <c r="I14144" s="16" t="s">
        <v>87</v>
      </c>
      <c r="J14144" s="19"/>
      <c r="L14144" s="16" t="str">
        <f>IFERROR(__xludf.DUMMYFUNCTION("""COMPUTED_VALUE"""),"")</f>
        <v/>
      </c>
      <c r="M14144" s="16" t="str">
        <f>IFERROR(__xludf.DUMMYFUNCTION("""COMPUTED_VALUE"""),"")</f>
        <v/>
      </c>
      <c r="U14144" s="16" t="s">
        <v>87</v>
      </c>
      <c r="V14144" s="16" t="str">
        <f>IFERROR(__xludf.DUMMYFUNCTION("""COMPUTED_VALUE"""),"")</f>
        <v/>
      </c>
      <c r="W14144" s="16" t="str">
        <f>IFERROR(__xludf.DUMMYFUNCTION("""COMPUTED_VALUE"""),"")</f>
        <v/>
      </c>
      <c r="X14144" s="16" t="str">
        <f>IFERROR(__xludf.DUMMYFUNCTION("""COMPUTED_VALUE"""),"")</f>
        <v/>
      </c>
      <c r="AC14144" s="16" t="str">
        <f>IFERROR(__xludf.DUMMYFUNCTION("""COMPUTED_VALUE"""),"")</f>
        <v/>
      </c>
    </row>
    <row r="14145">
      <c r="A14145" s="16" t="s">
        <v>87</v>
      </c>
      <c r="E14145" s="16" t="str">
        <f>IFERROR(__xludf.DUMMYFUNCTION("""COMPUTED_VALUE"""),"")</f>
        <v/>
      </c>
      <c r="G14145" s="18"/>
      <c r="H14145" s="16" t="s">
        <v>87</v>
      </c>
      <c r="I14145" s="16" t="s">
        <v>87</v>
      </c>
      <c r="J14145" s="19"/>
      <c r="L14145" s="16" t="str">
        <f>IFERROR(__xludf.DUMMYFUNCTION("""COMPUTED_VALUE"""),"")</f>
        <v/>
      </c>
      <c r="M14145" s="16" t="str">
        <f>IFERROR(__xludf.DUMMYFUNCTION("""COMPUTED_VALUE"""),"")</f>
        <v/>
      </c>
      <c r="U14145" s="16" t="s">
        <v>87</v>
      </c>
      <c r="V14145" s="16" t="str">
        <f>IFERROR(__xludf.DUMMYFUNCTION("""COMPUTED_VALUE"""),"")</f>
        <v/>
      </c>
      <c r="W14145" s="16" t="str">
        <f>IFERROR(__xludf.DUMMYFUNCTION("""COMPUTED_VALUE"""),"")</f>
        <v/>
      </c>
      <c r="X14145" s="16" t="str">
        <f>IFERROR(__xludf.DUMMYFUNCTION("""COMPUTED_VALUE"""),"")</f>
        <v/>
      </c>
      <c r="AC14145" s="16" t="str">
        <f>IFERROR(__xludf.DUMMYFUNCTION("""COMPUTED_VALUE"""),"")</f>
        <v/>
      </c>
    </row>
    <row r="14146">
      <c r="A14146" s="16" t="s">
        <v>87</v>
      </c>
      <c r="E14146" s="16" t="str">
        <f>IFERROR(__xludf.DUMMYFUNCTION("""COMPUTED_VALUE"""),"")</f>
        <v/>
      </c>
      <c r="G14146" s="18"/>
      <c r="H14146" s="16" t="s">
        <v>87</v>
      </c>
      <c r="I14146" s="16" t="s">
        <v>87</v>
      </c>
      <c r="J14146" s="19"/>
      <c r="L14146" s="16" t="str">
        <f>IFERROR(__xludf.DUMMYFUNCTION("""COMPUTED_VALUE"""),"")</f>
        <v/>
      </c>
      <c r="M14146" s="16" t="str">
        <f>IFERROR(__xludf.DUMMYFUNCTION("""COMPUTED_VALUE"""),"")</f>
        <v/>
      </c>
      <c r="U14146" s="16" t="s">
        <v>87</v>
      </c>
      <c r="V14146" s="16" t="str">
        <f>IFERROR(__xludf.DUMMYFUNCTION("""COMPUTED_VALUE"""),"")</f>
        <v/>
      </c>
      <c r="W14146" s="16" t="str">
        <f>IFERROR(__xludf.DUMMYFUNCTION("""COMPUTED_VALUE"""),"")</f>
        <v/>
      </c>
      <c r="X14146" s="16" t="str">
        <f>IFERROR(__xludf.DUMMYFUNCTION("""COMPUTED_VALUE"""),"")</f>
        <v/>
      </c>
      <c r="AC14146" s="16" t="str">
        <f>IFERROR(__xludf.DUMMYFUNCTION("""COMPUTED_VALUE"""),"")</f>
        <v/>
      </c>
    </row>
    <row r="14147">
      <c r="A14147" s="16" t="s">
        <v>87</v>
      </c>
      <c r="E14147" s="16" t="str">
        <f>IFERROR(__xludf.DUMMYFUNCTION("""COMPUTED_VALUE"""),"")</f>
        <v/>
      </c>
      <c r="G14147" s="18"/>
      <c r="H14147" s="16" t="s">
        <v>87</v>
      </c>
      <c r="I14147" s="16" t="s">
        <v>87</v>
      </c>
      <c r="J14147" s="19"/>
      <c r="L14147" s="16" t="str">
        <f>IFERROR(__xludf.DUMMYFUNCTION("""COMPUTED_VALUE"""),"")</f>
        <v/>
      </c>
      <c r="M14147" s="16" t="str">
        <f>IFERROR(__xludf.DUMMYFUNCTION("""COMPUTED_VALUE"""),"")</f>
        <v/>
      </c>
      <c r="U14147" s="16" t="s">
        <v>87</v>
      </c>
      <c r="V14147" s="16" t="str">
        <f>IFERROR(__xludf.DUMMYFUNCTION("""COMPUTED_VALUE"""),"")</f>
        <v/>
      </c>
      <c r="W14147" s="16" t="str">
        <f>IFERROR(__xludf.DUMMYFUNCTION("""COMPUTED_VALUE"""),"")</f>
        <v/>
      </c>
      <c r="X14147" s="16" t="str">
        <f>IFERROR(__xludf.DUMMYFUNCTION("""COMPUTED_VALUE"""),"")</f>
        <v/>
      </c>
      <c r="AC14147" s="16" t="str">
        <f>IFERROR(__xludf.DUMMYFUNCTION("""COMPUTED_VALUE"""),"")</f>
        <v/>
      </c>
    </row>
    <row r="14148">
      <c r="A14148" s="16" t="s">
        <v>87</v>
      </c>
      <c r="E14148" s="16" t="str">
        <f>IFERROR(__xludf.DUMMYFUNCTION("""COMPUTED_VALUE"""),"")</f>
        <v/>
      </c>
      <c r="G14148" s="18"/>
      <c r="H14148" s="16" t="s">
        <v>87</v>
      </c>
      <c r="I14148" s="16" t="s">
        <v>87</v>
      </c>
      <c r="J14148" s="19"/>
      <c r="L14148" s="16" t="str">
        <f>IFERROR(__xludf.DUMMYFUNCTION("""COMPUTED_VALUE"""),"")</f>
        <v/>
      </c>
      <c r="M14148" s="16" t="str">
        <f>IFERROR(__xludf.DUMMYFUNCTION("""COMPUTED_VALUE"""),"")</f>
        <v/>
      </c>
      <c r="U14148" s="16" t="s">
        <v>87</v>
      </c>
      <c r="V14148" s="16" t="str">
        <f>IFERROR(__xludf.DUMMYFUNCTION("""COMPUTED_VALUE"""),"")</f>
        <v/>
      </c>
      <c r="W14148" s="16" t="str">
        <f>IFERROR(__xludf.DUMMYFUNCTION("""COMPUTED_VALUE"""),"")</f>
        <v/>
      </c>
      <c r="X14148" s="16" t="str">
        <f>IFERROR(__xludf.DUMMYFUNCTION("""COMPUTED_VALUE"""),"")</f>
        <v/>
      </c>
      <c r="AC14148" s="16" t="str">
        <f>IFERROR(__xludf.DUMMYFUNCTION("""COMPUTED_VALUE"""),"")</f>
        <v/>
      </c>
    </row>
    <row r="14149">
      <c r="A14149" s="16" t="s">
        <v>87</v>
      </c>
      <c r="E14149" s="16" t="str">
        <f>IFERROR(__xludf.DUMMYFUNCTION("""COMPUTED_VALUE"""),"")</f>
        <v/>
      </c>
      <c r="G14149" s="18"/>
      <c r="H14149" s="16" t="s">
        <v>87</v>
      </c>
      <c r="I14149" s="16" t="s">
        <v>87</v>
      </c>
      <c r="J14149" s="19"/>
      <c r="L14149" s="16" t="str">
        <f>IFERROR(__xludf.DUMMYFUNCTION("""COMPUTED_VALUE"""),"")</f>
        <v/>
      </c>
      <c r="M14149" s="16" t="str">
        <f>IFERROR(__xludf.DUMMYFUNCTION("""COMPUTED_VALUE"""),"")</f>
        <v/>
      </c>
      <c r="U14149" s="16" t="s">
        <v>87</v>
      </c>
      <c r="V14149" s="16" t="str">
        <f>IFERROR(__xludf.DUMMYFUNCTION("""COMPUTED_VALUE"""),"")</f>
        <v/>
      </c>
      <c r="W14149" s="16" t="str">
        <f>IFERROR(__xludf.DUMMYFUNCTION("""COMPUTED_VALUE"""),"")</f>
        <v/>
      </c>
      <c r="X14149" s="16" t="str">
        <f>IFERROR(__xludf.DUMMYFUNCTION("""COMPUTED_VALUE"""),"")</f>
        <v/>
      </c>
      <c r="AC14149" s="16" t="str">
        <f>IFERROR(__xludf.DUMMYFUNCTION("""COMPUTED_VALUE"""),"")</f>
        <v/>
      </c>
    </row>
    <row r="14150">
      <c r="A14150" s="16" t="s">
        <v>87</v>
      </c>
      <c r="E14150" s="16" t="str">
        <f>IFERROR(__xludf.DUMMYFUNCTION("""COMPUTED_VALUE"""),"")</f>
        <v/>
      </c>
      <c r="G14150" s="18"/>
      <c r="H14150" s="16" t="s">
        <v>87</v>
      </c>
      <c r="I14150" s="16" t="s">
        <v>87</v>
      </c>
      <c r="J14150" s="19"/>
      <c r="L14150" s="16" t="str">
        <f>IFERROR(__xludf.DUMMYFUNCTION("""COMPUTED_VALUE"""),"")</f>
        <v/>
      </c>
      <c r="M14150" s="16" t="str">
        <f>IFERROR(__xludf.DUMMYFUNCTION("""COMPUTED_VALUE"""),"")</f>
        <v/>
      </c>
      <c r="U14150" s="16" t="s">
        <v>87</v>
      </c>
      <c r="V14150" s="16" t="str">
        <f>IFERROR(__xludf.DUMMYFUNCTION("""COMPUTED_VALUE"""),"")</f>
        <v/>
      </c>
      <c r="W14150" s="16" t="str">
        <f>IFERROR(__xludf.DUMMYFUNCTION("""COMPUTED_VALUE"""),"")</f>
        <v/>
      </c>
      <c r="X14150" s="16" t="str">
        <f>IFERROR(__xludf.DUMMYFUNCTION("""COMPUTED_VALUE"""),"")</f>
        <v/>
      </c>
      <c r="AC14150" s="16" t="str">
        <f>IFERROR(__xludf.DUMMYFUNCTION("""COMPUTED_VALUE"""),"")</f>
        <v/>
      </c>
    </row>
    <row r="14151">
      <c r="A14151" s="16" t="s">
        <v>87</v>
      </c>
      <c r="E14151" s="16" t="str">
        <f>IFERROR(__xludf.DUMMYFUNCTION("""COMPUTED_VALUE"""),"")</f>
        <v/>
      </c>
      <c r="G14151" s="18"/>
      <c r="H14151" s="16" t="s">
        <v>87</v>
      </c>
      <c r="I14151" s="16" t="s">
        <v>87</v>
      </c>
      <c r="J14151" s="19"/>
      <c r="L14151" s="16" t="str">
        <f>IFERROR(__xludf.DUMMYFUNCTION("""COMPUTED_VALUE"""),"")</f>
        <v/>
      </c>
      <c r="M14151" s="16" t="str">
        <f>IFERROR(__xludf.DUMMYFUNCTION("""COMPUTED_VALUE"""),"")</f>
        <v/>
      </c>
      <c r="U14151" s="16" t="s">
        <v>87</v>
      </c>
      <c r="V14151" s="16" t="str">
        <f>IFERROR(__xludf.DUMMYFUNCTION("""COMPUTED_VALUE"""),"")</f>
        <v/>
      </c>
      <c r="W14151" s="16" t="str">
        <f>IFERROR(__xludf.DUMMYFUNCTION("""COMPUTED_VALUE"""),"")</f>
        <v/>
      </c>
      <c r="X14151" s="16" t="str">
        <f>IFERROR(__xludf.DUMMYFUNCTION("""COMPUTED_VALUE"""),"")</f>
        <v/>
      </c>
      <c r="AC14151" s="16" t="str">
        <f>IFERROR(__xludf.DUMMYFUNCTION("""COMPUTED_VALUE"""),"")</f>
        <v/>
      </c>
    </row>
    <row r="14152">
      <c r="A14152" s="16" t="s">
        <v>87</v>
      </c>
      <c r="E14152" s="16" t="str">
        <f>IFERROR(__xludf.DUMMYFUNCTION("""COMPUTED_VALUE"""),"")</f>
        <v/>
      </c>
      <c r="G14152" s="18"/>
      <c r="H14152" s="16" t="s">
        <v>87</v>
      </c>
      <c r="I14152" s="16" t="s">
        <v>87</v>
      </c>
      <c r="J14152" s="19"/>
      <c r="L14152" s="16" t="str">
        <f>IFERROR(__xludf.DUMMYFUNCTION("""COMPUTED_VALUE"""),"")</f>
        <v/>
      </c>
      <c r="M14152" s="16" t="str">
        <f>IFERROR(__xludf.DUMMYFUNCTION("""COMPUTED_VALUE"""),"")</f>
        <v/>
      </c>
      <c r="U14152" s="16" t="s">
        <v>87</v>
      </c>
      <c r="V14152" s="16" t="str">
        <f>IFERROR(__xludf.DUMMYFUNCTION("""COMPUTED_VALUE"""),"")</f>
        <v/>
      </c>
      <c r="W14152" s="16" t="str">
        <f>IFERROR(__xludf.DUMMYFUNCTION("""COMPUTED_VALUE"""),"")</f>
        <v/>
      </c>
      <c r="X14152" s="16" t="str">
        <f>IFERROR(__xludf.DUMMYFUNCTION("""COMPUTED_VALUE"""),"")</f>
        <v/>
      </c>
      <c r="AC14152" s="16" t="str">
        <f>IFERROR(__xludf.DUMMYFUNCTION("""COMPUTED_VALUE"""),"")</f>
        <v/>
      </c>
    </row>
    <row r="14153">
      <c r="A14153" s="16" t="s">
        <v>87</v>
      </c>
      <c r="E14153" s="16" t="str">
        <f>IFERROR(__xludf.DUMMYFUNCTION("""COMPUTED_VALUE"""),"")</f>
        <v/>
      </c>
      <c r="G14153" s="18"/>
      <c r="H14153" s="16" t="s">
        <v>87</v>
      </c>
      <c r="I14153" s="16" t="s">
        <v>87</v>
      </c>
      <c r="J14153" s="19"/>
      <c r="L14153" s="16" t="str">
        <f>IFERROR(__xludf.DUMMYFUNCTION("""COMPUTED_VALUE"""),"")</f>
        <v/>
      </c>
      <c r="M14153" s="16" t="str">
        <f>IFERROR(__xludf.DUMMYFUNCTION("""COMPUTED_VALUE"""),"")</f>
        <v/>
      </c>
      <c r="U14153" s="16" t="s">
        <v>87</v>
      </c>
      <c r="V14153" s="16" t="str">
        <f>IFERROR(__xludf.DUMMYFUNCTION("""COMPUTED_VALUE"""),"")</f>
        <v/>
      </c>
      <c r="W14153" s="16" t="str">
        <f>IFERROR(__xludf.DUMMYFUNCTION("""COMPUTED_VALUE"""),"")</f>
        <v/>
      </c>
      <c r="X14153" s="16" t="str">
        <f>IFERROR(__xludf.DUMMYFUNCTION("""COMPUTED_VALUE"""),"")</f>
        <v/>
      </c>
      <c r="AC14153" s="16" t="str">
        <f>IFERROR(__xludf.DUMMYFUNCTION("""COMPUTED_VALUE"""),"")</f>
        <v/>
      </c>
    </row>
    <row r="14154">
      <c r="A14154" s="16" t="s">
        <v>87</v>
      </c>
      <c r="E14154" s="16" t="str">
        <f>IFERROR(__xludf.DUMMYFUNCTION("""COMPUTED_VALUE"""),"")</f>
        <v/>
      </c>
      <c r="G14154" s="18"/>
      <c r="H14154" s="16" t="s">
        <v>87</v>
      </c>
      <c r="I14154" s="16" t="s">
        <v>87</v>
      </c>
      <c r="J14154" s="19"/>
      <c r="L14154" s="16" t="str">
        <f>IFERROR(__xludf.DUMMYFUNCTION("""COMPUTED_VALUE"""),"")</f>
        <v/>
      </c>
      <c r="M14154" s="16" t="str">
        <f>IFERROR(__xludf.DUMMYFUNCTION("""COMPUTED_VALUE"""),"")</f>
        <v/>
      </c>
      <c r="U14154" s="16" t="s">
        <v>87</v>
      </c>
      <c r="V14154" s="16" t="str">
        <f>IFERROR(__xludf.DUMMYFUNCTION("""COMPUTED_VALUE"""),"")</f>
        <v/>
      </c>
      <c r="W14154" s="16" t="str">
        <f>IFERROR(__xludf.DUMMYFUNCTION("""COMPUTED_VALUE"""),"")</f>
        <v/>
      </c>
      <c r="X14154" s="16" t="str">
        <f>IFERROR(__xludf.DUMMYFUNCTION("""COMPUTED_VALUE"""),"")</f>
        <v/>
      </c>
      <c r="AC14154" s="16" t="str">
        <f>IFERROR(__xludf.DUMMYFUNCTION("""COMPUTED_VALUE"""),"")</f>
        <v/>
      </c>
    </row>
    <row r="14155">
      <c r="A14155" s="16" t="s">
        <v>87</v>
      </c>
      <c r="E14155" s="16" t="str">
        <f>IFERROR(__xludf.DUMMYFUNCTION("""COMPUTED_VALUE"""),"")</f>
        <v/>
      </c>
      <c r="G14155" s="18"/>
      <c r="H14155" s="16" t="s">
        <v>87</v>
      </c>
      <c r="I14155" s="16" t="s">
        <v>87</v>
      </c>
      <c r="J14155" s="19"/>
      <c r="L14155" s="16" t="str">
        <f>IFERROR(__xludf.DUMMYFUNCTION("""COMPUTED_VALUE"""),"")</f>
        <v/>
      </c>
      <c r="M14155" s="16" t="str">
        <f>IFERROR(__xludf.DUMMYFUNCTION("""COMPUTED_VALUE"""),"")</f>
        <v/>
      </c>
      <c r="U14155" s="16" t="s">
        <v>87</v>
      </c>
      <c r="V14155" s="16" t="str">
        <f>IFERROR(__xludf.DUMMYFUNCTION("""COMPUTED_VALUE"""),"")</f>
        <v/>
      </c>
      <c r="W14155" s="16" t="str">
        <f>IFERROR(__xludf.DUMMYFUNCTION("""COMPUTED_VALUE"""),"")</f>
        <v/>
      </c>
      <c r="X14155" s="16" t="str">
        <f>IFERROR(__xludf.DUMMYFUNCTION("""COMPUTED_VALUE"""),"")</f>
        <v/>
      </c>
      <c r="AC14155" s="16" t="str">
        <f>IFERROR(__xludf.DUMMYFUNCTION("""COMPUTED_VALUE"""),"")</f>
        <v/>
      </c>
    </row>
    <row r="14156">
      <c r="A14156" s="16" t="s">
        <v>87</v>
      </c>
      <c r="E14156" s="16" t="str">
        <f>IFERROR(__xludf.DUMMYFUNCTION("""COMPUTED_VALUE"""),"")</f>
        <v/>
      </c>
      <c r="G14156" s="18"/>
      <c r="H14156" s="16" t="s">
        <v>87</v>
      </c>
      <c r="I14156" s="16" t="s">
        <v>87</v>
      </c>
      <c r="J14156" s="19"/>
      <c r="L14156" s="16" t="str">
        <f>IFERROR(__xludf.DUMMYFUNCTION("""COMPUTED_VALUE"""),"")</f>
        <v/>
      </c>
      <c r="M14156" s="16" t="str">
        <f>IFERROR(__xludf.DUMMYFUNCTION("""COMPUTED_VALUE"""),"")</f>
        <v/>
      </c>
      <c r="U14156" s="16" t="s">
        <v>87</v>
      </c>
      <c r="V14156" s="16" t="str">
        <f>IFERROR(__xludf.DUMMYFUNCTION("""COMPUTED_VALUE"""),"")</f>
        <v/>
      </c>
      <c r="W14156" s="16" t="str">
        <f>IFERROR(__xludf.DUMMYFUNCTION("""COMPUTED_VALUE"""),"")</f>
        <v/>
      </c>
      <c r="X14156" s="16" t="str">
        <f>IFERROR(__xludf.DUMMYFUNCTION("""COMPUTED_VALUE"""),"")</f>
        <v/>
      </c>
      <c r="AC14156" s="16" t="str">
        <f>IFERROR(__xludf.DUMMYFUNCTION("""COMPUTED_VALUE"""),"")</f>
        <v/>
      </c>
    </row>
    <row r="14157">
      <c r="A14157" s="16" t="s">
        <v>87</v>
      </c>
      <c r="E14157" s="16" t="str">
        <f>IFERROR(__xludf.DUMMYFUNCTION("""COMPUTED_VALUE"""),"")</f>
        <v/>
      </c>
      <c r="G14157" s="18"/>
      <c r="H14157" s="16" t="s">
        <v>87</v>
      </c>
      <c r="I14157" s="16" t="s">
        <v>87</v>
      </c>
      <c r="J14157" s="19"/>
      <c r="L14157" s="16" t="str">
        <f>IFERROR(__xludf.DUMMYFUNCTION("""COMPUTED_VALUE"""),"")</f>
        <v/>
      </c>
      <c r="M14157" s="16" t="str">
        <f>IFERROR(__xludf.DUMMYFUNCTION("""COMPUTED_VALUE"""),"")</f>
        <v/>
      </c>
      <c r="U14157" s="16" t="s">
        <v>87</v>
      </c>
      <c r="V14157" s="16" t="str">
        <f>IFERROR(__xludf.DUMMYFUNCTION("""COMPUTED_VALUE"""),"")</f>
        <v/>
      </c>
      <c r="W14157" s="16" t="str">
        <f>IFERROR(__xludf.DUMMYFUNCTION("""COMPUTED_VALUE"""),"")</f>
        <v/>
      </c>
      <c r="X14157" s="16" t="str">
        <f>IFERROR(__xludf.DUMMYFUNCTION("""COMPUTED_VALUE"""),"")</f>
        <v/>
      </c>
      <c r="AC14157" s="16" t="str">
        <f>IFERROR(__xludf.DUMMYFUNCTION("""COMPUTED_VALUE"""),"")</f>
        <v/>
      </c>
    </row>
    <row r="14158">
      <c r="A14158" s="16" t="s">
        <v>87</v>
      </c>
      <c r="E14158" s="16" t="str">
        <f>IFERROR(__xludf.DUMMYFUNCTION("""COMPUTED_VALUE"""),"")</f>
        <v/>
      </c>
      <c r="G14158" s="18"/>
      <c r="H14158" s="16" t="s">
        <v>87</v>
      </c>
      <c r="I14158" s="16" t="s">
        <v>87</v>
      </c>
      <c r="J14158" s="19"/>
      <c r="L14158" s="16" t="str">
        <f>IFERROR(__xludf.DUMMYFUNCTION("""COMPUTED_VALUE"""),"")</f>
        <v/>
      </c>
      <c r="M14158" s="16" t="str">
        <f>IFERROR(__xludf.DUMMYFUNCTION("""COMPUTED_VALUE"""),"")</f>
        <v/>
      </c>
      <c r="U14158" s="16" t="s">
        <v>87</v>
      </c>
      <c r="V14158" s="16" t="str">
        <f>IFERROR(__xludf.DUMMYFUNCTION("""COMPUTED_VALUE"""),"")</f>
        <v/>
      </c>
      <c r="W14158" s="16" t="str">
        <f>IFERROR(__xludf.DUMMYFUNCTION("""COMPUTED_VALUE"""),"")</f>
        <v/>
      </c>
      <c r="X14158" s="16" t="str">
        <f>IFERROR(__xludf.DUMMYFUNCTION("""COMPUTED_VALUE"""),"")</f>
        <v/>
      </c>
      <c r="AC14158" s="16" t="str">
        <f>IFERROR(__xludf.DUMMYFUNCTION("""COMPUTED_VALUE"""),"")</f>
        <v/>
      </c>
    </row>
    <row r="14159">
      <c r="A14159" s="16" t="s">
        <v>87</v>
      </c>
      <c r="E14159" s="16" t="str">
        <f>IFERROR(__xludf.DUMMYFUNCTION("""COMPUTED_VALUE"""),"")</f>
        <v/>
      </c>
      <c r="G14159" s="18"/>
      <c r="H14159" s="16" t="s">
        <v>87</v>
      </c>
      <c r="I14159" s="16" t="s">
        <v>87</v>
      </c>
      <c r="J14159" s="19"/>
      <c r="L14159" s="16" t="str">
        <f>IFERROR(__xludf.DUMMYFUNCTION("""COMPUTED_VALUE"""),"")</f>
        <v/>
      </c>
      <c r="M14159" s="16" t="str">
        <f>IFERROR(__xludf.DUMMYFUNCTION("""COMPUTED_VALUE"""),"")</f>
        <v/>
      </c>
      <c r="U14159" s="16" t="s">
        <v>87</v>
      </c>
      <c r="V14159" s="16" t="str">
        <f>IFERROR(__xludf.DUMMYFUNCTION("""COMPUTED_VALUE"""),"")</f>
        <v/>
      </c>
      <c r="W14159" s="16" t="str">
        <f>IFERROR(__xludf.DUMMYFUNCTION("""COMPUTED_VALUE"""),"")</f>
        <v/>
      </c>
      <c r="X14159" s="16" t="str">
        <f>IFERROR(__xludf.DUMMYFUNCTION("""COMPUTED_VALUE"""),"")</f>
        <v/>
      </c>
      <c r="AC14159" s="16" t="str">
        <f>IFERROR(__xludf.DUMMYFUNCTION("""COMPUTED_VALUE"""),"")</f>
        <v/>
      </c>
    </row>
    <row r="14160">
      <c r="A14160" s="16" t="s">
        <v>87</v>
      </c>
      <c r="E14160" s="16" t="str">
        <f>IFERROR(__xludf.DUMMYFUNCTION("""COMPUTED_VALUE"""),"")</f>
        <v/>
      </c>
      <c r="G14160" s="18"/>
      <c r="H14160" s="16" t="s">
        <v>87</v>
      </c>
      <c r="I14160" s="16" t="s">
        <v>87</v>
      </c>
      <c r="J14160" s="19"/>
      <c r="L14160" s="16" t="str">
        <f>IFERROR(__xludf.DUMMYFUNCTION("""COMPUTED_VALUE"""),"")</f>
        <v/>
      </c>
      <c r="M14160" s="16" t="str">
        <f>IFERROR(__xludf.DUMMYFUNCTION("""COMPUTED_VALUE"""),"")</f>
        <v/>
      </c>
      <c r="U14160" s="16" t="s">
        <v>87</v>
      </c>
      <c r="V14160" s="16" t="str">
        <f>IFERROR(__xludf.DUMMYFUNCTION("""COMPUTED_VALUE"""),"")</f>
        <v/>
      </c>
      <c r="W14160" s="16" t="str">
        <f>IFERROR(__xludf.DUMMYFUNCTION("""COMPUTED_VALUE"""),"")</f>
        <v/>
      </c>
      <c r="X14160" s="16" t="str">
        <f>IFERROR(__xludf.DUMMYFUNCTION("""COMPUTED_VALUE"""),"")</f>
        <v/>
      </c>
      <c r="AC14160" s="16" t="str">
        <f>IFERROR(__xludf.DUMMYFUNCTION("""COMPUTED_VALUE"""),"")</f>
        <v/>
      </c>
    </row>
    <row r="14161">
      <c r="A14161" s="16" t="s">
        <v>87</v>
      </c>
      <c r="E14161" s="16" t="str">
        <f>IFERROR(__xludf.DUMMYFUNCTION("""COMPUTED_VALUE"""),"")</f>
        <v/>
      </c>
      <c r="G14161" s="18"/>
      <c r="H14161" s="16" t="s">
        <v>87</v>
      </c>
      <c r="I14161" s="16" t="s">
        <v>87</v>
      </c>
      <c r="J14161" s="19"/>
      <c r="L14161" s="16" t="str">
        <f>IFERROR(__xludf.DUMMYFUNCTION("""COMPUTED_VALUE"""),"")</f>
        <v/>
      </c>
      <c r="M14161" s="16" t="str">
        <f>IFERROR(__xludf.DUMMYFUNCTION("""COMPUTED_VALUE"""),"")</f>
        <v/>
      </c>
      <c r="U14161" s="16" t="s">
        <v>87</v>
      </c>
      <c r="V14161" s="16" t="str">
        <f>IFERROR(__xludf.DUMMYFUNCTION("""COMPUTED_VALUE"""),"")</f>
        <v/>
      </c>
      <c r="W14161" s="16" t="str">
        <f>IFERROR(__xludf.DUMMYFUNCTION("""COMPUTED_VALUE"""),"")</f>
        <v/>
      </c>
      <c r="X14161" s="16" t="str">
        <f>IFERROR(__xludf.DUMMYFUNCTION("""COMPUTED_VALUE"""),"")</f>
        <v/>
      </c>
      <c r="AC14161" s="16" t="str">
        <f>IFERROR(__xludf.DUMMYFUNCTION("""COMPUTED_VALUE"""),"")</f>
        <v/>
      </c>
    </row>
    <row r="14162">
      <c r="A14162" s="16" t="s">
        <v>87</v>
      </c>
      <c r="E14162" s="16" t="str">
        <f>IFERROR(__xludf.DUMMYFUNCTION("""COMPUTED_VALUE"""),"")</f>
        <v/>
      </c>
      <c r="G14162" s="18"/>
      <c r="H14162" s="16" t="s">
        <v>87</v>
      </c>
      <c r="I14162" s="16" t="s">
        <v>87</v>
      </c>
      <c r="J14162" s="19"/>
      <c r="L14162" s="16" t="str">
        <f>IFERROR(__xludf.DUMMYFUNCTION("""COMPUTED_VALUE"""),"")</f>
        <v/>
      </c>
      <c r="M14162" s="16" t="str">
        <f>IFERROR(__xludf.DUMMYFUNCTION("""COMPUTED_VALUE"""),"")</f>
        <v/>
      </c>
      <c r="U14162" s="16" t="s">
        <v>87</v>
      </c>
      <c r="V14162" s="16" t="str">
        <f>IFERROR(__xludf.DUMMYFUNCTION("""COMPUTED_VALUE"""),"")</f>
        <v/>
      </c>
      <c r="W14162" s="16" t="str">
        <f>IFERROR(__xludf.DUMMYFUNCTION("""COMPUTED_VALUE"""),"")</f>
        <v/>
      </c>
      <c r="X14162" s="16" t="str">
        <f>IFERROR(__xludf.DUMMYFUNCTION("""COMPUTED_VALUE"""),"")</f>
        <v/>
      </c>
      <c r="AC14162" s="16" t="str">
        <f>IFERROR(__xludf.DUMMYFUNCTION("""COMPUTED_VALUE"""),"")</f>
        <v/>
      </c>
    </row>
    <row r="14163">
      <c r="A14163" s="16" t="s">
        <v>87</v>
      </c>
      <c r="E14163" s="16" t="str">
        <f>IFERROR(__xludf.DUMMYFUNCTION("""COMPUTED_VALUE"""),"")</f>
        <v/>
      </c>
      <c r="G14163" s="18"/>
      <c r="H14163" s="16" t="s">
        <v>87</v>
      </c>
      <c r="I14163" s="16" t="s">
        <v>87</v>
      </c>
      <c r="J14163" s="19"/>
      <c r="L14163" s="16" t="str">
        <f>IFERROR(__xludf.DUMMYFUNCTION("""COMPUTED_VALUE"""),"")</f>
        <v/>
      </c>
      <c r="M14163" s="16" t="str">
        <f>IFERROR(__xludf.DUMMYFUNCTION("""COMPUTED_VALUE"""),"")</f>
        <v/>
      </c>
      <c r="U14163" s="16" t="s">
        <v>87</v>
      </c>
      <c r="V14163" s="16" t="str">
        <f>IFERROR(__xludf.DUMMYFUNCTION("""COMPUTED_VALUE"""),"")</f>
        <v/>
      </c>
      <c r="W14163" s="16" t="str">
        <f>IFERROR(__xludf.DUMMYFUNCTION("""COMPUTED_VALUE"""),"")</f>
        <v/>
      </c>
      <c r="X14163" s="16" t="str">
        <f>IFERROR(__xludf.DUMMYFUNCTION("""COMPUTED_VALUE"""),"")</f>
        <v/>
      </c>
      <c r="AC14163" s="16" t="str">
        <f>IFERROR(__xludf.DUMMYFUNCTION("""COMPUTED_VALUE"""),"")</f>
        <v/>
      </c>
    </row>
    <row r="14164">
      <c r="A14164" s="16" t="s">
        <v>87</v>
      </c>
      <c r="E14164" s="16" t="str">
        <f>IFERROR(__xludf.DUMMYFUNCTION("""COMPUTED_VALUE"""),"")</f>
        <v/>
      </c>
      <c r="G14164" s="18"/>
      <c r="H14164" s="16" t="s">
        <v>87</v>
      </c>
      <c r="I14164" s="16" t="s">
        <v>87</v>
      </c>
      <c r="J14164" s="19"/>
      <c r="L14164" s="16" t="str">
        <f>IFERROR(__xludf.DUMMYFUNCTION("""COMPUTED_VALUE"""),"")</f>
        <v/>
      </c>
      <c r="M14164" s="16" t="str">
        <f>IFERROR(__xludf.DUMMYFUNCTION("""COMPUTED_VALUE"""),"")</f>
        <v/>
      </c>
      <c r="U14164" s="16" t="s">
        <v>87</v>
      </c>
      <c r="V14164" s="16" t="str">
        <f>IFERROR(__xludf.DUMMYFUNCTION("""COMPUTED_VALUE"""),"")</f>
        <v/>
      </c>
      <c r="W14164" s="16" t="str">
        <f>IFERROR(__xludf.DUMMYFUNCTION("""COMPUTED_VALUE"""),"")</f>
        <v/>
      </c>
      <c r="X14164" s="16" t="str">
        <f>IFERROR(__xludf.DUMMYFUNCTION("""COMPUTED_VALUE"""),"")</f>
        <v/>
      </c>
      <c r="AC14164" s="16" t="str">
        <f>IFERROR(__xludf.DUMMYFUNCTION("""COMPUTED_VALUE"""),"")</f>
        <v/>
      </c>
    </row>
    <row r="14165">
      <c r="A14165" s="16" t="s">
        <v>87</v>
      </c>
      <c r="E14165" s="16" t="str">
        <f>IFERROR(__xludf.DUMMYFUNCTION("""COMPUTED_VALUE"""),"")</f>
        <v/>
      </c>
      <c r="G14165" s="18"/>
      <c r="H14165" s="16" t="s">
        <v>87</v>
      </c>
      <c r="I14165" s="16" t="s">
        <v>87</v>
      </c>
      <c r="J14165" s="19"/>
      <c r="L14165" s="16" t="str">
        <f>IFERROR(__xludf.DUMMYFUNCTION("""COMPUTED_VALUE"""),"")</f>
        <v/>
      </c>
      <c r="M14165" s="16" t="str">
        <f>IFERROR(__xludf.DUMMYFUNCTION("""COMPUTED_VALUE"""),"")</f>
        <v/>
      </c>
      <c r="U14165" s="16" t="s">
        <v>87</v>
      </c>
      <c r="V14165" s="16" t="str">
        <f>IFERROR(__xludf.DUMMYFUNCTION("""COMPUTED_VALUE"""),"")</f>
        <v/>
      </c>
      <c r="W14165" s="16" t="str">
        <f>IFERROR(__xludf.DUMMYFUNCTION("""COMPUTED_VALUE"""),"")</f>
        <v/>
      </c>
      <c r="X14165" s="16" t="str">
        <f>IFERROR(__xludf.DUMMYFUNCTION("""COMPUTED_VALUE"""),"")</f>
        <v/>
      </c>
      <c r="AC14165" s="16" t="str">
        <f>IFERROR(__xludf.DUMMYFUNCTION("""COMPUTED_VALUE"""),"")</f>
        <v/>
      </c>
    </row>
    <row r="14166">
      <c r="A14166" s="16" t="s">
        <v>87</v>
      </c>
      <c r="E14166" s="16" t="str">
        <f>IFERROR(__xludf.DUMMYFUNCTION("""COMPUTED_VALUE"""),"")</f>
        <v/>
      </c>
      <c r="G14166" s="18"/>
      <c r="H14166" s="16" t="s">
        <v>87</v>
      </c>
      <c r="I14166" s="16" t="s">
        <v>87</v>
      </c>
      <c r="J14166" s="19"/>
      <c r="L14166" s="16" t="str">
        <f>IFERROR(__xludf.DUMMYFUNCTION("""COMPUTED_VALUE"""),"")</f>
        <v/>
      </c>
      <c r="M14166" s="16" t="str">
        <f>IFERROR(__xludf.DUMMYFUNCTION("""COMPUTED_VALUE"""),"")</f>
        <v/>
      </c>
      <c r="U14166" s="16" t="s">
        <v>87</v>
      </c>
      <c r="V14166" s="16" t="str">
        <f>IFERROR(__xludf.DUMMYFUNCTION("""COMPUTED_VALUE"""),"")</f>
        <v/>
      </c>
      <c r="W14166" s="16" t="str">
        <f>IFERROR(__xludf.DUMMYFUNCTION("""COMPUTED_VALUE"""),"")</f>
        <v/>
      </c>
      <c r="X14166" s="16" t="str">
        <f>IFERROR(__xludf.DUMMYFUNCTION("""COMPUTED_VALUE"""),"")</f>
        <v/>
      </c>
      <c r="AC14166" s="16" t="str">
        <f>IFERROR(__xludf.DUMMYFUNCTION("""COMPUTED_VALUE"""),"")</f>
        <v/>
      </c>
    </row>
    <row r="14167">
      <c r="A14167" s="16" t="s">
        <v>87</v>
      </c>
      <c r="E14167" s="16" t="str">
        <f>IFERROR(__xludf.DUMMYFUNCTION("""COMPUTED_VALUE"""),"")</f>
        <v/>
      </c>
      <c r="G14167" s="18"/>
      <c r="H14167" s="16" t="s">
        <v>87</v>
      </c>
      <c r="I14167" s="16" t="s">
        <v>87</v>
      </c>
      <c r="J14167" s="19"/>
      <c r="L14167" s="16" t="str">
        <f>IFERROR(__xludf.DUMMYFUNCTION("""COMPUTED_VALUE"""),"")</f>
        <v/>
      </c>
      <c r="M14167" s="16" t="str">
        <f>IFERROR(__xludf.DUMMYFUNCTION("""COMPUTED_VALUE"""),"")</f>
        <v/>
      </c>
      <c r="U14167" s="16" t="s">
        <v>87</v>
      </c>
      <c r="V14167" s="16" t="str">
        <f>IFERROR(__xludf.DUMMYFUNCTION("""COMPUTED_VALUE"""),"")</f>
        <v/>
      </c>
      <c r="W14167" s="16" t="str">
        <f>IFERROR(__xludf.DUMMYFUNCTION("""COMPUTED_VALUE"""),"")</f>
        <v/>
      </c>
      <c r="X14167" s="16" t="str">
        <f>IFERROR(__xludf.DUMMYFUNCTION("""COMPUTED_VALUE"""),"")</f>
        <v/>
      </c>
      <c r="AC14167" s="16" t="str">
        <f>IFERROR(__xludf.DUMMYFUNCTION("""COMPUTED_VALUE"""),"")</f>
        <v/>
      </c>
    </row>
    <row r="14168">
      <c r="A14168" s="16" t="s">
        <v>87</v>
      </c>
      <c r="E14168" s="16" t="str">
        <f>IFERROR(__xludf.DUMMYFUNCTION("""COMPUTED_VALUE"""),"")</f>
        <v/>
      </c>
      <c r="G14168" s="18"/>
      <c r="H14168" s="16" t="s">
        <v>87</v>
      </c>
      <c r="I14168" s="16" t="s">
        <v>87</v>
      </c>
      <c r="J14168" s="19"/>
      <c r="L14168" s="16" t="str">
        <f>IFERROR(__xludf.DUMMYFUNCTION("""COMPUTED_VALUE"""),"")</f>
        <v/>
      </c>
      <c r="M14168" s="16" t="str">
        <f>IFERROR(__xludf.DUMMYFUNCTION("""COMPUTED_VALUE"""),"")</f>
        <v/>
      </c>
      <c r="U14168" s="16" t="s">
        <v>87</v>
      </c>
      <c r="V14168" s="16" t="str">
        <f>IFERROR(__xludf.DUMMYFUNCTION("""COMPUTED_VALUE"""),"")</f>
        <v/>
      </c>
      <c r="W14168" s="16" t="str">
        <f>IFERROR(__xludf.DUMMYFUNCTION("""COMPUTED_VALUE"""),"")</f>
        <v/>
      </c>
      <c r="X14168" s="16" t="str">
        <f>IFERROR(__xludf.DUMMYFUNCTION("""COMPUTED_VALUE"""),"")</f>
        <v/>
      </c>
      <c r="AC14168" s="16" t="str">
        <f>IFERROR(__xludf.DUMMYFUNCTION("""COMPUTED_VALUE"""),"")</f>
        <v/>
      </c>
    </row>
    <row r="14169">
      <c r="A14169" s="16" t="s">
        <v>87</v>
      </c>
      <c r="E14169" s="16" t="str">
        <f>IFERROR(__xludf.DUMMYFUNCTION("""COMPUTED_VALUE"""),"")</f>
        <v/>
      </c>
      <c r="G14169" s="18"/>
      <c r="H14169" s="16" t="s">
        <v>87</v>
      </c>
      <c r="I14169" s="16" t="s">
        <v>87</v>
      </c>
      <c r="J14169" s="19"/>
      <c r="L14169" s="16" t="str">
        <f>IFERROR(__xludf.DUMMYFUNCTION("""COMPUTED_VALUE"""),"")</f>
        <v/>
      </c>
      <c r="M14169" s="16" t="str">
        <f>IFERROR(__xludf.DUMMYFUNCTION("""COMPUTED_VALUE"""),"")</f>
        <v/>
      </c>
      <c r="U14169" s="16" t="s">
        <v>87</v>
      </c>
      <c r="V14169" s="16" t="str">
        <f>IFERROR(__xludf.DUMMYFUNCTION("""COMPUTED_VALUE"""),"")</f>
        <v/>
      </c>
      <c r="W14169" s="16" t="str">
        <f>IFERROR(__xludf.DUMMYFUNCTION("""COMPUTED_VALUE"""),"")</f>
        <v/>
      </c>
      <c r="X14169" s="16" t="str">
        <f>IFERROR(__xludf.DUMMYFUNCTION("""COMPUTED_VALUE"""),"")</f>
        <v/>
      </c>
      <c r="AC14169" s="16" t="str">
        <f>IFERROR(__xludf.DUMMYFUNCTION("""COMPUTED_VALUE"""),"")</f>
        <v/>
      </c>
    </row>
    <row r="14170">
      <c r="A14170" s="16" t="s">
        <v>87</v>
      </c>
      <c r="E14170" s="16" t="str">
        <f>IFERROR(__xludf.DUMMYFUNCTION("""COMPUTED_VALUE"""),"")</f>
        <v/>
      </c>
      <c r="G14170" s="18"/>
      <c r="H14170" s="16" t="s">
        <v>87</v>
      </c>
      <c r="I14170" s="16" t="s">
        <v>87</v>
      </c>
      <c r="J14170" s="19"/>
      <c r="L14170" s="16" t="str">
        <f>IFERROR(__xludf.DUMMYFUNCTION("""COMPUTED_VALUE"""),"")</f>
        <v/>
      </c>
      <c r="M14170" s="16" t="str">
        <f>IFERROR(__xludf.DUMMYFUNCTION("""COMPUTED_VALUE"""),"")</f>
        <v/>
      </c>
      <c r="U14170" s="16" t="s">
        <v>87</v>
      </c>
      <c r="V14170" s="16" t="str">
        <f>IFERROR(__xludf.DUMMYFUNCTION("""COMPUTED_VALUE"""),"")</f>
        <v/>
      </c>
      <c r="W14170" s="16" t="str">
        <f>IFERROR(__xludf.DUMMYFUNCTION("""COMPUTED_VALUE"""),"")</f>
        <v/>
      </c>
      <c r="X14170" s="16" t="str">
        <f>IFERROR(__xludf.DUMMYFUNCTION("""COMPUTED_VALUE"""),"")</f>
        <v/>
      </c>
      <c r="AC14170" s="16" t="str">
        <f>IFERROR(__xludf.DUMMYFUNCTION("""COMPUTED_VALUE"""),"")</f>
        <v/>
      </c>
    </row>
    <row r="14171">
      <c r="A14171" s="16" t="s">
        <v>87</v>
      </c>
      <c r="E14171" s="16" t="str">
        <f>IFERROR(__xludf.DUMMYFUNCTION("""COMPUTED_VALUE"""),"")</f>
        <v/>
      </c>
      <c r="G14171" s="18"/>
      <c r="H14171" s="16" t="s">
        <v>87</v>
      </c>
      <c r="I14171" s="16" t="s">
        <v>87</v>
      </c>
      <c r="J14171" s="19"/>
      <c r="L14171" s="16" t="str">
        <f>IFERROR(__xludf.DUMMYFUNCTION("""COMPUTED_VALUE"""),"")</f>
        <v/>
      </c>
      <c r="M14171" s="16" t="str">
        <f>IFERROR(__xludf.DUMMYFUNCTION("""COMPUTED_VALUE"""),"")</f>
        <v/>
      </c>
      <c r="U14171" s="16" t="s">
        <v>87</v>
      </c>
      <c r="V14171" s="16" t="str">
        <f>IFERROR(__xludf.DUMMYFUNCTION("""COMPUTED_VALUE"""),"")</f>
        <v/>
      </c>
      <c r="W14171" s="16" t="str">
        <f>IFERROR(__xludf.DUMMYFUNCTION("""COMPUTED_VALUE"""),"")</f>
        <v/>
      </c>
      <c r="X14171" s="16" t="str">
        <f>IFERROR(__xludf.DUMMYFUNCTION("""COMPUTED_VALUE"""),"")</f>
        <v/>
      </c>
      <c r="AC14171" s="16" t="str">
        <f>IFERROR(__xludf.DUMMYFUNCTION("""COMPUTED_VALUE"""),"")</f>
        <v/>
      </c>
    </row>
    <row r="14172">
      <c r="A14172" s="16" t="s">
        <v>87</v>
      </c>
      <c r="E14172" s="16" t="str">
        <f>IFERROR(__xludf.DUMMYFUNCTION("""COMPUTED_VALUE"""),"")</f>
        <v/>
      </c>
      <c r="G14172" s="18"/>
      <c r="H14172" s="16" t="s">
        <v>87</v>
      </c>
      <c r="I14172" s="16" t="s">
        <v>87</v>
      </c>
      <c r="J14172" s="19"/>
      <c r="L14172" s="16" t="str">
        <f>IFERROR(__xludf.DUMMYFUNCTION("""COMPUTED_VALUE"""),"")</f>
        <v/>
      </c>
      <c r="M14172" s="16" t="str">
        <f>IFERROR(__xludf.DUMMYFUNCTION("""COMPUTED_VALUE"""),"")</f>
        <v/>
      </c>
      <c r="U14172" s="16" t="s">
        <v>87</v>
      </c>
      <c r="V14172" s="16" t="str">
        <f>IFERROR(__xludf.DUMMYFUNCTION("""COMPUTED_VALUE"""),"")</f>
        <v/>
      </c>
      <c r="W14172" s="16" t="str">
        <f>IFERROR(__xludf.DUMMYFUNCTION("""COMPUTED_VALUE"""),"")</f>
        <v/>
      </c>
      <c r="X14172" s="16" t="str">
        <f>IFERROR(__xludf.DUMMYFUNCTION("""COMPUTED_VALUE"""),"")</f>
        <v/>
      </c>
      <c r="AC14172" s="16" t="str">
        <f>IFERROR(__xludf.DUMMYFUNCTION("""COMPUTED_VALUE"""),"")</f>
        <v/>
      </c>
    </row>
    <row r="14173">
      <c r="A14173" s="16" t="s">
        <v>87</v>
      </c>
      <c r="E14173" s="16" t="str">
        <f>IFERROR(__xludf.DUMMYFUNCTION("""COMPUTED_VALUE"""),"")</f>
        <v/>
      </c>
      <c r="G14173" s="18"/>
      <c r="H14173" s="16" t="s">
        <v>87</v>
      </c>
      <c r="I14173" s="16" t="s">
        <v>87</v>
      </c>
      <c r="J14173" s="19"/>
      <c r="L14173" s="16" t="str">
        <f>IFERROR(__xludf.DUMMYFUNCTION("""COMPUTED_VALUE"""),"")</f>
        <v/>
      </c>
      <c r="M14173" s="16" t="str">
        <f>IFERROR(__xludf.DUMMYFUNCTION("""COMPUTED_VALUE"""),"")</f>
        <v/>
      </c>
      <c r="U14173" s="16" t="s">
        <v>87</v>
      </c>
      <c r="V14173" s="16" t="str">
        <f>IFERROR(__xludf.DUMMYFUNCTION("""COMPUTED_VALUE"""),"")</f>
        <v/>
      </c>
      <c r="W14173" s="16" t="str">
        <f>IFERROR(__xludf.DUMMYFUNCTION("""COMPUTED_VALUE"""),"")</f>
        <v/>
      </c>
      <c r="X14173" s="16" t="str">
        <f>IFERROR(__xludf.DUMMYFUNCTION("""COMPUTED_VALUE"""),"")</f>
        <v/>
      </c>
      <c r="AC14173" s="16" t="str">
        <f>IFERROR(__xludf.DUMMYFUNCTION("""COMPUTED_VALUE"""),"")</f>
        <v/>
      </c>
    </row>
    <row r="14174">
      <c r="A14174" s="16" t="s">
        <v>87</v>
      </c>
      <c r="E14174" s="16" t="str">
        <f>IFERROR(__xludf.DUMMYFUNCTION("""COMPUTED_VALUE"""),"")</f>
        <v/>
      </c>
      <c r="G14174" s="18"/>
      <c r="H14174" s="16" t="s">
        <v>87</v>
      </c>
      <c r="I14174" s="16" t="s">
        <v>87</v>
      </c>
      <c r="J14174" s="19"/>
      <c r="L14174" s="16" t="str">
        <f>IFERROR(__xludf.DUMMYFUNCTION("""COMPUTED_VALUE"""),"")</f>
        <v/>
      </c>
      <c r="M14174" s="16" t="str">
        <f>IFERROR(__xludf.DUMMYFUNCTION("""COMPUTED_VALUE"""),"")</f>
        <v/>
      </c>
      <c r="U14174" s="16" t="s">
        <v>87</v>
      </c>
      <c r="V14174" s="16" t="str">
        <f>IFERROR(__xludf.DUMMYFUNCTION("""COMPUTED_VALUE"""),"")</f>
        <v/>
      </c>
      <c r="W14174" s="16" t="str">
        <f>IFERROR(__xludf.DUMMYFUNCTION("""COMPUTED_VALUE"""),"")</f>
        <v/>
      </c>
      <c r="X14174" s="16" t="str">
        <f>IFERROR(__xludf.DUMMYFUNCTION("""COMPUTED_VALUE"""),"")</f>
        <v/>
      </c>
      <c r="AC14174" s="16" t="str">
        <f>IFERROR(__xludf.DUMMYFUNCTION("""COMPUTED_VALUE"""),"")</f>
        <v/>
      </c>
    </row>
    <row r="14175">
      <c r="A14175" s="16" t="s">
        <v>87</v>
      </c>
      <c r="E14175" s="16" t="str">
        <f>IFERROR(__xludf.DUMMYFUNCTION("""COMPUTED_VALUE"""),"")</f>
        <v/>
      </c>
      <c r="G14175" s="18"/>
      <c r="H14175" s="16" t="s">
        <v>87</v>
      </c>
      <c r="I14175" s="16" t="s">
        <v>87</v>
      </c>
      <c r="J14175" s="19"/>
      <c r="L14175" s="16" t="str">
        <f>IFERROR(__xludf.DUMMYFUNCTION("""COMPUTED_VALUE"""),"")</f>
        <v/>
      </c>
      <c r="M14175" s="16" t="str">
        <f>IFERROR(__xludf.DUMMYFUNCTION("""COMPUTED_VALUE"""),"")</f>
        <v/>
      </c>
      <c r="U14175" s="16" t="s">
        <v>87</v>
      </c>
      <c r="V14175" s="16" t="str">
        <f>IFERROR(__xludf.DUMMYFUNCTION("""COMPUTED_VALUE"""),"")</f>
        <v/>
      </c>
      <c r="W14175" s="16" t="str">
        <f>IFERROR(__xludf.DUMMYFUNCTION("""COMPUTED_VALUE"""),"")</f>
        <v/>
      </c>
      <c r="X14175" s="16" t="str">
        <f>IFERROR(__xludf.DUMMYFUNCTION("""COMPUTED_VALUE"""),"")</f>
        <v/>
      </c>
      <c r="AC14175" s="16" t="str">
        <f>IFERROR(__xludf.DUMMYFUNCTION("""COMPUTED_VALUE"""),"")</f>
        <v/>
      </c>
    </row>
    <row r="14176">
      <c r="A14176" s="16" t="s">
        <v>87</v>
      </c>
      <c r="E14176" s="16" t="str">
        <f>IFERROR(__xludf.DUMMYFUNCTION("""COMPUTED_VALUE"""),"")</f>
        <v/>
      </c>
      <c r="G14176" s="18"/>
      <c r="H14176" s="16" t="s">
        <v>87</v>
      </c>
      <c r="I14176" s="16" t="s">
        <v>87</v>
      </c>
      <c r="J14176" s="19"/>
      <c r="L14176" s="16" t="str">
        <f>IFERROR(__xludf.DUMMYFUNCTION("""COMPUTED_VALUE"""),"")</f>
        <v/>
      </c>
      <c r="M14176" s="16" t="str">
        <f>IFERROR(__xludf.DUMMYFUNCTION("""COMPUTED_VALUE"""),"")</f>
        <v/>
      </c>
      <c r="U14176" s="16" t="s">
        <v>87</v>
      </c>
      <c r="V14176" s="16" t="str">
        <f>IFERROR(__xludf.DUMMYFUNCTION("""COMPUTED_VALUE"""),"")</f>
        <v/>
      </c>
      <c r="W14176" s="16" t="str">
        <f>IFERROR(__xludf.DUMMYFUNCTION("""COMPUTED_VALUE"""),"")</f>
        <v/>
      </c>
      <c r="X14176" s="16" t="str">
        <f>IFERROR(__xludf.DUMMYFUNCTION("""COMPUTED_VALUE"""),"")</f>
        <v/>
      </c>
      <c r="AC14176" s="16" t="str">
        <f>IFERROR(__xludf.DUMMYFUNCTION("""COMPUTED_VALUE"""),"")</f>
        <v/>
      </c>
    </row>
    <row r="14177">
      <c r="A14177" s="16" t="s">
        <v>87</v>
      </c>
      <c r="E14177" s="16" t="str">
        <f>IFERROR(__xludf.DUMMYFUNCTION("""COMPUTED_VALUE"""),"")</f>
        <v/>
      </c>
      <c r="G14177" s="18"/>
      <c r="H14177" s="16" t="s">
        <v>87</v>
      </c>
      <c r="I14177" s="16" t="s">
        <v>87</v>
      </c>
      <c r="J14177" s="19"/>
      <c r="L14177" s="16" t="str">
        <f>IFERROR(__xludf.DUMMYFUNCTION("""COMPUTED_VALUE"""),"")</f>
        <v/>
      </c>
      <c r="M14177" s="16" t="str">
        <f>IFERROR(__xludf.DUMMYFUNCTION("""COMPUTED_VALUE"""),"")</f>
        <v/>
      </c>
      <c r="U14177" s="16" t="s">
        <v>87</v>
      </c>
      <c r="V14177" s="16" t="str">
        <f>IFERROR(__xludf.DUMMYFUNCTION("""COMPUTED_VALUE"""),"")</f>
        <v/>
      </c>
      <c r="W14177" s="16" t="str">
        <f>IFERROR(__xludf.DUMMYFUNCTION("""COMPUTED_VALUE"""),"")</f>
        <v/>
      </c>
      <c r="X14177" s="16" t="str">
        <f>IFERROR(__xludf.DUMMYFUNCTION("""COMPUTED_VALUE"""),"")</f>
        <v/>
      </c>
      <c r="AC14177" s="16" t="str">
        <f>IFERROR(__xludf.DUMMYFUNCTION("""COMPUTED_VALUE"""),"")</f>
        <v/>
      </c>
    </row>
    <row r="14178">
      <c r="A14178" s="16" t="s">
        <v>87</v>
      </c>
      <c r="E14178" s="16" t="str">
        <f>IFERROR(__xludf.DUMMYFUNCTION("""COMPUTED_VALUE"""),"")</f>
        <v/>
      </c>
      <c r="G14178" s="18"/>
      <c r="H14178" s="16" t="s">
        <v>87</v>
      </c>
      <c r="I14178" s="16" t="s">
        <v>87</v>
      </c>
      <c r="J14178" s="19"/>
      <c r="L14178" s="16" t="str">
        <f>IFERROR(__xludf.DUMMYFUNCTION("""COMPUTED_VALUE"""),"")</f>
        <v/>
      </c>
      <c r="M14178" s="16" t="str">
        <f>IFERROR(__xludf.DUMMYFUNCTION("""COMPUTED_VALUE"""),"")</f>
        <v/>
      </c>
      <c r="U14178" s="16" t="s">
        <v>87</v>
      </c>
      <c r="V14178" s="16" t="str">
        <f>IFERROR(__xludf.DUMMYFUNCTION("""COMPUTED_VALUE"""),"")</f>
        <v/>
      </c>
      <c r="W14178" s="16" t="str">
        <f>IFERROR(__xludf.DUMMYFUNCTION("""COMPUTED_VALUE"""),"")</f>
        <v/>
      </c>
      <c r="X14178" s="16" t="str">
        <f>IFERROR(__xludf.DUMMYFUNCTION("""COMPUTED_VALUE"""),"")</f>
        <v/>
      </c>
      <c r="AC14178" s="16" t="str">
        <f>IFERROR(__xludf.DUMMYFUNCTION("""COMPUTED_VALUE"""),"")</f>
        <v/>
      </c>
    </row>
    <row r="14179">
      <c r="A14179" s="16" t="s">
        <v>87</v>
      </c>
      <c r="E14179" s="16" t="str">
        <f>IFERROR(__xludf.DUMMYFUNCTION("""COMPUTED_VALUE"""),"")</f>
        <v/>
      </c>
      <c r="G14179" s="18"/>
      <c r="H14179" s="16" t="s">
        <v>87</v>
      </c>
      <c r="I14179" s="16" t="s">
        <v>87</v>
      </c>
      <c r="J14179" s="19"/>
      <c r="L14179" s="16" t="str">
        <f>IFERROR(__xludf.DUMMYFUNCTION("""COMPUTED_VALUE"""),"")</f>
        <v/>
      </c>
      <c r="M14179" s="16" t="str">
        <f>IFERROR(__xludf.DUMMYFUNCTION("""COMPUTED_VALUE"""),"")</f>
        <v/>
      </c>
      <c r="U14179" s="16" t="s">
        <v>87</v>
      </c>
      <c r="V14179" s="16" t="str">
        <f>IFERROR(__xludf.DUMMYFUNCTION("""COMPUTED_VALUE"""),"")</f>
        <v/>
      </c>
      <c r="W14179" s="16" t="str">
        <f>IFERROR(__xludf.DUMMYFUNCTION("""COMPUTED_VALUE"""),"")</f>
        <v/>
      </c>
      <c r="X14179" s="16" t="str">
        <f>IFERROR(__xludf.DUMMYFUNCTION("""COMPUTED_VALUE"""),"")</f>
        <v/>
      </c>
      <c r="AC14179" s="16" t="str">
        <f>IFERROR(__xludf.DUMMYFUNCTION("""COMPUTED_VALUE"""),"")</f>
        <v/>
      </c>
    </row>
    <row r="14180">
      <c r="A14180" s="16" t="s">
        <v>87</v>
      </c>
      <c r="E14180" s="16" t="str">
        <f>IFERROR(__xludf.DUMMYFUNCTION("""COMPUTED_VALUE"""),"")</f>
        <v/>
      </c>
      <c r="G14180" s="18"/>
      <c r="H14180" s="16" t="s">
        <v>87</v>
      </c>
      <c r="I14180" s="16" t="s">
        <v>87</v>
      </c>
      <c r="J14180" s="19"/>
      <c r="L14180" s="16" t="str">
        <f>IFERROR(__xludf.DUMMYFUNCTION("""COMPUTED_VALUE"""),"")</f>
        <v/>
      </c>
      <c r="M14180" s="16" t="str">
        <f>IFERROR(__xludf.DUMMYFUNCTION("""COMPUTED_VALUE"""),"")</f>
        <v/>
      </c>
      <c r="U14180" s="16" t="s">
        <v>87</v>
      </c>
      <c r="V14180" s="16" t="str">
        <f>IFERROR(__xludf.DUMMYFUNCTION("""COMPUTED_VALUE"""),"")</f>
        <v/>
      </c>
      <c r="W14180" s="16" t="str">
        <f>IFERROR(__xludf.DUMMYFUNCTION("""COMPUTED_VALUE"""),"")</f>
        <v/>
      </c>
      <c r="X14180" s="16" t="str">
        <f>IFERROR(__xludf.DUMMYFUNCTION("""COMPUTED_VALUE"""),"")</f>
        <v/>
      </c>
      <c r="AC14180" s="16" t="str">
        <f>IFERROR(__xludf.DUMMYFUNCTION("""COMPUTED_VALUE"""),"")</f>
        <v/>
      </c>
    </row>
    <row r="14181">
      <c r="A14181" s="16" t="s">
        <v>87</v>
      </c>
      <c r="E14181" s="16" t="str">
        <f>IFERROR(__xludf.DUMMYFUNCTION("""COMPUTED_VALUE"""),"")</f>
        <v/>
      </c>
      <c r="G14181" s="18"/>
      <c r="H14181" s="16" t="s">
        <v>87</v>
      </c>
      <c r="I14181" s="16" t="s">
        <v>87</v>
      </c>
      <c r="J14181" s="19"/>
      <c r="L14181" s="16" t="str">
        <f>IFERROR(__xludf.DUMMYFUNCTION("""COMPUTED_VALUE"""),"")</f>
        <v/>
      </c>
      <c r="M14181" s="16" t="str">
        <f>IFERROR(__xludf.DUMMYFUNCTION("""COMPUTED_VALUE"""),"")</f>
        <v/>
      </c>
      <c r="U14181" s="16" t="s">
        <v>87</v>
      </c>
      <c r="V14181" s="16" t="str">
        <f>IFERROR(__xludf.DUMMYFUNCTION("""COMPUTED_VALUE"""),"")</f>
        <v/>
      </c>
      <c r="W14181" s="16" t="str">
        <f>IFERROR(__xludf.DUMMYFUNCTION("""COMPUTED_VALUE"""),"")</f>
        <v/>
      </c>
      <c r="X14181" s="16" t="str">
        <f>IFERROR(__xludf.DUMMYFUNCTION("""COMPUTED_VALUE"""),"")</f>
        <v/>
      </c>
      <c r="AC14181" s="16" t="str">
        <f>IFERROR(__xludf.DUMMYFUNCTION("""COMPUTED_VALUE"""),"")</f>
        <v/>
      </c>
    </row>
    <row r="14182">
      <c r="A14182" s="16" t="s">
        <v>87</v>
      </c>
      <c r="E14182" s="16" t="str">
        <f>IFERROR(__xludf.DUMMYFUNCTION("""COMPUTED_VALUE"""),"")</f>
        <v/>
      </c>
      <c r="G14182" s="18"/>
      <c r="H14182" s="16" t="s">
        <v>87</v>
      </c>
      <c r="I14182" s="16" t="s">
        <v>87</v>
      </c>
      <c r="J14182" s="19"/>
      <c r="L14182" s="16" t="str">
        <f>IFERROR(__xludf.DUMMYFUNCTION("""COMPUTED_VALUE"""),"")</f>
        <v/>
      </c>
      <c r="M14182" s="16" t="str">
        <f>IFERROR(__xludf.DUMMYFUNCTION("""COMPUTED_VALUE"""),"")</f>
        <v/>
      </c>
      <c r="U14182" s="16" t="s">
        <v>87</v>
      </c>
      <c r="V14182" s="16" t="str">
        <f>IFERROR(__xludf.DUMMYFUNCTION("""COMPUTED_VALUE"""),"")</f>
        <v/>
      </c>
      <c r="W14182" s="16" t="str">
        <f>IFERROR(__xludf.DUMMYFUNCTION("""COMPUTED_VALUE"""),"")</f>
        <v/>
      </c>
      <c r="X14182" s="16" t="str">
        <f>IFERROR(__xludf.DUMMYFUNCTION("""COMPUTED_VALUE"""),"")</f>
        <v/>
      </c>
      <c r="AC14182" s="16" t="str">
        <f>IFERROR(__xludf.DUMMYFUNCTION("""COMPUTED_VALUE"""),"")</f>
        <v/>
      </c>
    </row>
    <row r="14183">
      <c r="A14183" s="16" t="s">
        <v>87</v>
      </c>
      <c r="E14183" s="16" t="str">
        <f>IFERROR(__xludf.DUMMYFUNCTION("""COMPUTED_VALUE"""),"")</f>
        <v/>
      </c>
      <c r="G14183" s="18"/>
      <c r="H14183" s="16" t="s">
        <v>87</v>
      </c>
      <c r="I14183" s="16" t="s">
        <v>87</v>
      </c>
      <c r="J14183" s="19"/>
      <c r="L14183" s="16" t="str">
        <f>IFERROR(__xludf.DUMMYFUNCTION("""COMPUTED_VALUE"""),"")</f>
        <v/>
      </c>
      <c r="M14183" s="16" t="str">
        <f>IFERROR(__xludf.DUMMYFUNCTION("""COMPUTED_VALUE"""),"")</f>
        <v/>
      </c>
      <c r="U14183" s="16" t="s">
        <v>87</v>
      </c>
      <c r="V14183" s="16" t="str">
        <f>IFERROR(__xludf.DUMMYFUNCTION("""COMPUTED_VALUE"""),"")</f>
        <v/>
      </c>
      <c r="W14183" s="16" t="str">
        <f>IFERROR(__xludf.DUMMYFUNCTION("""COMPUTED_VALUE"""),"")</f>
        <v/>
      </c>
      <c r="X14183" s="16" t="str">
        <f>IFERROR(__xludf.DUMMYFUNCTION("""COMPUTED_VALUE"""),"")</f>
        <v/>
      </c>
      <c r="AC14183" s="16" t="str">
        <f>IFERROR(__xludf.DUMMYFUNCTION("""COMPUTED_VALUE"""),"")</f>
        <v/>
      </c>
    </row>
    <row r="14184">
      <c r="A14184" s="16" t="s">
        <v>87</v>
      </c>
      <c r="E14184" s="16" t="str">
        <f>IFERROR(__xludf.DUMMYFUNCTION("""COMPUTED_VALUE"""),"")</f>
        <v/>
      </c>
      <c r="G14184" s="18"/>
      <c r="H14184" s="16" t="s">
        <v>87</v>
      </c>
      <c r="I14184" s="16" t="s">
        <v>87</v>
      </c>
      <c r="J14184" s="19"/>
      <c r="L14184" s="16" t="str">
        <f>IFERROR(__xludf.DUMMYFUNCTION("""COMPUTED_VALUE"""),"")</f>
        <v/>
      </c>
      <c r="M14184" s="16" t="str">
        <f>IFERROR(__xludf.DUMMYFUNCTION("""COMPUTED_VALUE"""),"")</f>
        <v/>
      </c>
      <c r="U14184" s="16" t="s">
        <v>87</v>
      </c>
      <c r="V14184" s="16" t="str">
        <f>IFERROR(__xludf.DUMMYFUNCTION("""COMPUTED_VALUE"""),"")</f>
        <v/>
      </c>
      <c r="W14184" s="16" t="str">
        <f>IFERROR(__xludf.DUMMYFUNCTION("""COMPUTED_VALUE"""),"")</f>
        <v/>
      </c>
      <c r="X14184" s="16" t="str">
        <f>IFERROR(__xludf.DUMMYFUNCTION("""COMPUTED_VALUE"""),"")</f>
        <v/>
      </c>
      <c r="AC14184" s="16" t="str">
        <f>IFERROR(__xludf.DUMMYFUNCTION("""COMPUTED_VALUE"""),"")</f>
        <v/>
      </c>
    </row>
    <row r="14185">
      <c r="A14185" s="16" t="s">
        <v>87</v>
      </c>
      <c r="E14185" s="16" t="str">
        <f>IFERROR(__xludf.DUMMYFUNCTION("""COMPUTED_VALUE"""),"")</f>
        <v/>
      </c>
      <c r="G14185" s="18"/>
      <c r="H14185" s="16" t="s">
        <v>87</v>
      </c>
      <c r="I14185" s="16" t="s">
        <v>87</v>
      </c>
      <c r="J14185" s="19"/>
      <c r="L14185" s="16" t="str">
        <f>IFERROR(__xludf.DUMMYFUNCTION("""COMPUTED_VALUE"""),"")</f>
        <v/>
      </c>
      <c r="M14185" s="16" t="str">
        <f>IFERROR(__xludf.DUMMYFUNCTION("""COMPUTED_VALUE"""),"")</f>
        <v/>
      </c>
      <c r="U14185" s="16" t="s">
        <v>87</v>
      </c>
      <c r="V14185" s="16" t="str">
        <f>IFERROR(__xludf.DUMMYFUNCTION("""COMPUTED_VALUE"""),"")</f>
        <v/>
      </c>
      <c r="W14185" s="16" t="str">
        <f>IFERROR(__xludf.DUMMYFUNCTION("""COMPUTED_VALUE"""),"")</f>
        <v/>
      </c>
      <c r="X14185" s="16" t="str">
        <f>IFERROR(__xludf.DUMMYFUNCTION("""COMPUTED_VALUE"""),"")</f>
        <v/>
      </c>
      <c r="AC14185" s="16" t="str">
        <f>IFERROR(__xludf.DUMMYFUNCTION("""COMPUTED_VALUE"""),"")</f>
        <v/>
      </c>
    </row>
    <row r="14186">
      <c r="A14186" s="16" t="s">
        <v>87</v>
      </c>
      <c r="E14186" s="16" t="str">
        <f>IFERROR(__xludf.DUMMYFUNCTION("""COMPUTED_VALUE"""),"")</f>
        <v/>
      </c>
      <c r="G14186" s="18"/>
      <c r="H14186" s="16" t="s">
        <v>87</v>
      </c>
      <c r="I14186" s="16" t="s">
        <v>87</v>
      </c>
      <c r="J14186" s="19"/>
      <c r="L14186" s="16" t="str">
        <f>IFERROR(__xludf.DUMMYFUNCTION("""COMPUTED_VALUE"""),"")</f>
        <v/>
      </c>
      <c r="M14186" s="16" t="str">
        <f>IFERROR(__xludf.DUMMYFUNCTION("""COMPUTED_VALUE"""),"")</f>
        <v/>
      </c>
      <c r="U14186" s="16" t="s">
        <v>87</v>
      </c>
      <c r="V14186" s="16" t="str">
        <f>IFERROR(__xludf.DUMMYFUNCTION("""COMPUTED_VALUE"""),"")</f>
        <v/>
      </c>
      <c r="W14186" s="16" t="str">
        <f>IFERROR(__xludf.DUMMYFUNCTION("""COMPUTED_VALUE"""),"")</f>
        <v/>
      </c>
      <c r="X14186" s="16" t="str">
        <f>IFERROR(__xludf.DUMMYFUNCTION("""COMPUTED_VALUE"""),"")</f>
        <v/>
      </c>
      <c r="AC14186" s="16" t="str">
        <f>IFERROR(__xludf.DUMMYFUNCTION("""COMPUTED_VALUE"""),"")</f>
        <v/>
      </c>
    </row>
    <row r="14187">
      <c r="A14187" s="16" t="s">
        <v>87</v>
      </c>
      <c r="E14187" s="16" t="str">
        <f>IFERROR(__xludf.DUMMYFUNCTION("""COMPUTED_VALUE"""),"")</f>
        <v/>
      </c>
      <c r="G14187" s="18"/>
      <c r="H14187" s="16" t="s">
        <v>87</v>
      </c>
      <c r="I14187" s="16" t="s">
        <v>87</v>
      </c>
      <c r="J14187" s="19"/>
      <c r="L14187" s="16" t="str">
        <f>IFERROR(__xludf.DUMMYFUNCTION("""COMPUTED_VALUE"""),"")</f>
        <v/>
      </c>
      <c r="M14187" s="16" t="str">
        <f>IFERROR(__xludf.DUMMYFUNCTION("""COMPUTED_VALUE"""),"")</f>
        <v/>
      </c>
      <c r="U14187" s="16" t="s">
        <v>87</v>
      </c>
      <c r="V14187" s="16" t="str">
        <f>IFERROR(__xludf.DUMMYFUNCTION("""COMPUTED_VALUE"""),"")</f>
        <v/>
      </c>
      <c r="W14187" s="16" t="str">
        <f>IFERROR(__xludf.DUMMYFUNCTION("""COMPUTED_VALUE"""),"")</f>
        <v/>
      </c>
      <c r="X14187" s="16" t="str">
        <f>IFERROR(__xludf.DUMMYFUNCTION("""COMPUTED_VALUE"""),"")</f>
        <v/>
      </c>
      <c r="AC14187" s="16" t="str">
        <f>IFERROR(__xludf.DUMMYFUNCTION("""COMPUTED_VALUE"""),"")</f>
        <v/>
      </c>
    </row>
    <row r="14188">
      <c r="A14188" s="16" t="s">
        <v>87</v>
      </c>
      <c r="E14188" s="16" t="str">
        <f>IFERROR(__xludf.DUMMYFUNCTION("""COMPUTED_VALUE"""),"")</f>
        <v/>
      </c>
      <c r="G14188" s="18"/>
      <c r="H14188" s="16" t="s">
        <v>87</v>
      </c>
      <c r="I14188" s="16" t="s">
        <v>87</v>
      </c>
      <c r="J14188" s="19"/>
      <c r="L14188" s="16" t="str">
        <f>IFERROR(__xludf.DUMMYFUNCTION("""COMPUTED_VALUE"""),"")</f>
        <v/>
      </c>
      <c r="M14188" s="16" t="str">
        <f>IFERROR(__xludf.DUMMYFUNCTION("""COMPUTED_VALUE"""),"")</f>
        <v/>
      </c>
      <c r="U14188" s="16" t="s">
        <v>87</v>
      </c>
      <c r="V14188" s="16" t="str">
        <f>IFERROR(__xludf.DUMMYFUNCTION("""COMPUTED_VALUE"""),"")</f>
        <v/>
      </c>
      <c r="W14188" s="16" t="str">
        <f>IFERROR(__xludf.DUMMYFUNCTION("""COMPUTED_VALUE"""),"")</f>
        <v/>
      </c>
      <c r="X14188" s="16" t="str">
        <f>IFERROR(__xludf.DUMMYFUNCTION("""COMPUTED_VALUE"""),"")</f>
        <v/>
      </c>
      <c r="AC14188" s="16" t="str">
        <f>IFERROR(__xludf.DUMMYFUNCTION("""COMPUTED_VALUE"""),"")</f>
        <v/>
      </c>
    </row>
    <row r="14189">
      <c r="A14189" s="16" t="s">
        <v>87</v>
      </c>
      <c r="E14189" s="16" t="str">
        <f>IFERROR(__xludf.DUMMYFUNCTION("""COMPUTED_VALUE"""),"")</f>
        <v/>
      </c>
      <c r="G14189" s="18"/>
      <c r="H14189" s="16" t="s">
        <v>87</v>
      </c>
      <c r="I14189" s="16" t="s">
        <v>87</v>
      </c>
      <c r="J14189" s="19"/>
      <c r="L14189" s="16" t="str">
        <f>IFERROR(__xludf.DUMMYFUNCTION("""COMPUTED_VALUE"""),"")</f>
        <v/>
      </c>
      <c r="M14189" s="16" t="str">
        <f>IFERROR(__xludf.DUMMYFUNCTION("""COMPUTED_VALUE"""),"")</f>
        <v/>
      </c>
      <c r="U14189" s="16" t="s">
        <v>87</v>
      </c>
      <c r="V14189" s="16" t="str">
        <f>IFERROR(__xludf.DUMMYFUNCTION("""COMPUTED_VALUE"""),"")</f>
        <v/>
      </c>
      <c r="W14189" s="16" t="str">
        <f>IFERROR(__xludf.DUMMYFUNCTION("""COMPUTED_VALUE"""),"")</f>
        <v/>
      </c>
      <c r="X14189" s="16" t="str">
        <f>IFERROR(__xludf.DUMMYFUNCTION("""COMPUTED_VALUE"""),"")</f>
        <v/>
      </c>
      <c r="AC14189" s="16" t="str">
        <f>IFERROR(__xludf.DUMMYFUNCTION("""COMPUTED_VALUE"""),"")</f>
        <v/>
      </c>
    </row>
    <row r="14190">
      <c r="A14190" s="16" t="s">
        <v>87</v>
      </c>
      <c r="E14190" s="16" t="str">
        <f>IFERROR(__xludf.DUMMYFUNCTION("""COMPUTED_VALUE"""),"")</f>
        <v/>
      </c>
      <c r="G14190" s="18"/>
      <c r="H14190" s="16" t="s">
        <v>87</v>
      </c>
      <c r="I14190" s="16" t="s">
        <v>87</v>
      </c>
      <c r="J14190" s="19"/>
      <c r="L14190" s="16" t="str">
        <f>IFERROR(__xludf.DUMMYFUNCTION("""COMPUTED_VALUE"""),"")</f>
        <v/>
      </c>
      <c r="M14190" s="16" t="str">
        <f>IFERROR(__xludf.DUMMYFUNCTION("""COMPUTED_VALUE"""),"")</f>
        <v/>
      </c>
      <c r="U14190" s="16" t="s">
        <v>87</v>
      </c>
      <c r="V14190" s="16" t="str">
        <f>IFERROR(__xludf.DUMMYFUNCTION("""COMPUTED_VALUE"""),"")</f>
        <v/>
      </c>
      <c r="W14190" s="16" t="str">
        <f>IFERROR(__xludf.DUMMYFUNCTION("""COMPUTED_VALUE"""),"")</f>
        <v/>
      </c>
      <c r="X14190" s="16" t="str">
        <f>IFERROR(__xludf.DUMMYFUNCTION("""COMPUTED_VALUE"""),"")</f>
        <v/>
      </c>
      <c r="AC14190" s="16" t="str">
        <f>IFERROR(__xludf.DUMMYFUNCTION("""COMPUTED_VALUE"""),"")</f>
        <v/>
      </c>
    </row>
    <row r="14191">
      <c r="A14191" s="16" t="s">
        <v>87</v>
      </c>
      <c r="E14191" s="16" t="str">
        <f>IFERROR(__xludf.DUMMYFUNCTION("""COMPUTED_VALUE"""),"")</f>
        <v/>
      </c>
      <c r="G14191" s="18"/>
      <c r="H14191" s="16" t="s">
        <v>87</v>
      </c>
      <c r="I14191" s="16" t="s">
        <v>87</v>
      </c>
      <c r="J14191" s="19"/>
      <c r="L14191" s="16" t="str">
        <f>IFERROR(__xludf.DUMMYFUNCTION("""COMPUTED_VALUE"""),"")</f>
        <v/>
      </c>
      <c r="M14191" s="16" t="str">
        <f>IFERROR(__xludf.DUMMYFUNCTION("""COMPUTED_VALUE"""),"")</f>
        <v/>
      </c>
      <c r="U14191" s="16" t="s">
        <v>87</v>
      </c>
      <c r="V14191" s="16" t="str">
        <f>IFERROR(__xludf.DUMMYFUNCTION("""COMPUTED_VALUE"""),"")</f>
        <v/>
      </c>
      <c r="W14191" s="16" t="str">
        <f>IFERROR(__xludf.DUMMYFUNCTION("""COMPUTED_VALUE"""),"")</f>
        <v/>
      </c>
      <c r="X14191" s="16" t="str">
        <f>IFERROR(__xludf.DUMMYFUNCTION("""COMPUTED_VALUE"""),"")</f>
        <v/>
      </c>
      <c r="AC14191" s="16" t="str">
        <f>IFERROR(__xludf.DUMMYFUNCTION("""COMPUTED_VALUE"""),"")</f>
        <v/>
      </c>
    </row>
    <row r="14192">
      <c r="A14192" s="16" t="s">
        <v>87</v>
      </c>
      <c r="E14192" s="16" t="str">
        <f>IFERROR(__xludf.DUMMYFUNCTION("""COMPUTED_VALUE"""),"")</f>
        <v/>
      </c>
      <c r="G14192" s="18"/>
      <c r="H14192" s="16" t="s">
        <v>87</v>
      </c>
      <c r="I14192" s="16" t="s">
        <v>87</v>
      </c>
      <c r="J14192" s="19"/>
      <c r="L14192" s="16" t="str">
        <f>IFERROR(__xludf.DUMMYFUNCTION("""COMPUTED_VALUE"""),"")</f>
        <v/>
      </c>
      <c r="M14192" s="16" t="str">
        <f>IFERROR(__xludf.DUMMYFUNCTION("""COMPUTED_VALUE"""),"")</f>
        <v/>
      </c>
      <c r="U14192" s="16" t="s">
        <v>87</v>
      </c>
      <c r="V14192" s="16" t="str">
        <f>IFERROR(__xludf.DUMMYFUNCTION("""COMPUTED_VALUE"""),"")</f>
        <v/>
      </c>
      <c r="W14192" s="16" t="str">
        <f>IFERROR(__xludf.DUMMYFUNCTION("""COMPUTED_VALUE"""),"")</f>
        <v/>
      </c>
      <c r="X14192" s="16" t="str">
        <f>IFERROR(__xludf.DUMMYFUNCTION("""COMPUTED_VALUE"""),"")</f>
        <v/>
      </c>
      <c r="AC14192" s="16" t="str">
        <f>IFERROR(__xludf.DUMMYFUNCTION("""COMPUTED_VALUE"""),"")</f>
        <v/>
      </c>
    </row>
    <row r="14193">
      <c r="A14193" s="16" t="s">
        <v>87</v>
      </c>
      <c r="E14193" s="16" t="str">
        <f>IFERROR(__xludf.DUMMYFUNCTION("""COMPUTED_VALUE"""),"")</f>
        <v/>
      </c>
      <c r="G14193" s="18"/>
      <c r="H14193" s="16" t="s">
        <v>87</v>
      </c>
      <c r="I14193" s="16" t="s">
        <v>87</v>
      </c>
      <c r="J14193" s="19"/>
      <c r="L14193" s="16" t="str">
        <f>IFERROR(__xludf.DUMMYFUNCTION("""COMPUTED_VALUE"""),"")</f>
        <v/>
      </c>
      <c r="M14193" s="16" t="str">
        <f>IFERROR(__xludf.DUMMYFUNCTION("""COMPUTED_VALUE"""),"")</f>
        <v/>
      </c>
      <c r="U14193" s="16" t="s">
        <v>87</v>
      </c>
      <c r="V14193" s="16" t="str">
        <f>IFERROR(__xludf.DUMMYFUNCTION("""COMPUTED_VALUE"""),"")</f>
        <v/>
      </c>
      <c r="W14193" s="16" t="str">
        <f>IFERROR(__xludf.DUMMYFUNCTION("""COMPUTED_VALUE"""),"")</f>
        <v/>
      </c>
      <c r="X14193" s="16" t="str">
        <f>IFERROR(__xludf.DUMMYFUNCTION("""COMPUTED_VALUE"""),"")</f>
        <v/>
      </c>
      <c r="AC14193" s="16" t="str">
        <f>IFERROR(__xludf.DUMMYFUNCTION("""COMPUTED_VALUE"""),"")</f>
        <v/>
      </c>
    </row>
    <row r="14194">
      <c r="A14194" s="16" t="s">
        <v>87</v>
      </c>
      <c r="E14194" s="16" t="str">
        <f>IFERROR(__xludf.DUMMYFUNCTION("""COMPUTED_VALUE"""),"")</f>
        <v/>
      </c>
      <c r="G14194" s="18"/>
      <c r="H14194" s="16" t="s">
        <v>87</v>
      </c>
      <c r="I14194" s="16" t="s">
        <v>87</v>
      </c>
      <c r="J14194" s="19"/>
      <c r="L14194" s="16" t="str">
        <f>IFERROR(__xludf.DUMMYFUNCTION("""COMPUTED_VALUE"""),"")</f>
        <v/>
      </c>
      <c r="M14194" s="16" t="str">
        <f>IFERROR(__xludf.DUMMYFUNCTION("""COMPUTED_VALUE"""),"")</f>
        <v/>
      </c>
      <c r="U14194" s="16" t="s">
        <v>87</v>
      </c>
      <c r="V14194" s="16" t="str">
        <f>IFERROR(__xludf.DUMMYFUNCTION("""COMPUTED_VALUE"""),"")</f>
        <v/>
      </c>
      <c r="W14194" s="16" t="str">
        <f>IFERROR(__xludf.DUMMYFUNCTION("""COMPUTED_VALUE"""),"")</f>
        <v/>
      </c>
      <c r="X14194" s="16" t="str">
        <f>IFERROR(__xludf.DUMMYFUNCTION("""COMPUTED_VALUE"""),"")</f>
        <v/>
      </c>
      <c r="AC14194" s="16" t="str">
        <f>IFERROR(__xludf.DUMMYFUNCTION("""COMPUTED_VALUE"""),"")</f>
        <v/>
      </c>
    </row>
    <row r="14195">
      <c r="A14195" s="16" t="s">
        <v>87</v>
      </c>
      <c r="E14195" s="16" t="str">
        <f>IFERROR(__xludf.DUMMYFUNCTION("""COMPUTED_VALUE"""),"")</f>
        <v/>
      </c>
      <c r="G14195" s="18"/>
      <c r="H14195" s="16" t="s">
        <v>87</v>
      </c>
      <c r="I14195" s="16" t="s">
        <v>87</v>
      </c>
      <c r="J14195" s="19"/>
      <c r="L14195" s="16" t="str">
        <f>IFERROR(__xludf.DUMMYFUNCTION("""COMPUTED_VALUE"""),"")</f>
        <v/>
      </c>
      <c r="M14195" s="16" t="str">
        <f>IFERROR(__xludf.DUMMYFUNCTION("""COMPUTED_VALUE"""),"")</f>
        <v/>
      </c>
      <c r="U14195" s="16" t="s">
        <v>87</v>
      </c>
      <c r="V14195" s="16" t="str">
        <f>IFERROR(__xludf.DUMMYFUNCTION("""COMPUTED_VALUE"""),"")</f>
        <v/>
      </c>
      <c r="W14195" s="16" t="str">
        <f>IFERROR(__xludf.DUMMYFUNCTION("""COMPUTED_VALUE"""),"")</f>
        <v/>
      </c>
      <c r="X14195" s="16" t="str">
        <f>IFERROR(__xludf.DUMMYFUNCTION("""COMPUTED_VALUE"""),"")</f>
        <v/>
      </c>
      <c r="AC14195" s="16" t="str">
        <f>IFERROR(__xludf.DUMMYFUNCTION("""COMPUTED_VALUE"""),"")</f>
        <v/>
      </c>
    </row>
    <row r="14196">
      <c r="A14196" s="16" t="s">
        <v>87</v>
      </c>
      <c r="E14196" s="16" t="str">
        <f>IFERROR(__xludf.DUMMYFUNCTION("""COMPUTED_VALUE"""),"")</f>
        <v/>
      </c>
      <c r="G14196" s="18"/>
      <c r="H14196" s="16" t="s">
        <v>87</v>
      </c>
      <c r="I14196" s="16" t="s">
        <v>87</v>
      </c>
      <c r="J14196" s="19"/>
      <c r="L14196" s="16" t="str">
        <f>IFERROR(__xludf.DUMMYFUNCTION("""COMPUTED_VALUE"""),"")</f>
        <v/>
      </c>
      <c r="M14196" s="16" t="str">
        <f>IFERROR(__xludf.DUMMYFUNCTION("""COMPUTED_VALUE"""),"")</f>
        <v/>
      </c>
      <c r="U14196" s="16" t="s">
        <v>87</v>
      </c>
      <c r="V14196" s="16" t="str">
        <f>IFERROR(__xludf.DUMMYFUNCTION("""COMPUTED_VALUE"""),"")</f>
        <v/>
      </c>
      <c r="W14196" s="16" t="str">
        <f>IFERROR(__xludf.DUMMYFUNCTION("""COMPUTED_VALUE"""),"")</f>
        <v/>
      </c>
      <c r="X14196" s="16" t="str">
        <f>IFERROR(__xludf.DUMMYFUNCTION("""COMPUTED_VALUE"""),"")</f>
        <v/>
      </c>
      <c r="AC14196" s="16" t="str">
        <f>IFERROR(__xludf.DUMMYFUNCTION("""COMPUTED_VALUE"""),"")</f>
        <v/>
      </c>
    </row>
    <row r="14197">
      <c r="A14197" s="16" t="s">
        <v>87</v>
      </c>
      <c r="E14197" s="16" t="str">
        <f>IFERROR(__xludf.DUMMYFUNCTION("""COMPUTED_VALUE"""),"")</f>
        <v/>
      </c>
      <c r="G14197" s="18"/>
      <c r="H14197" s="16" t="s">
        <v>87</v>
      </c>
      <c r="I14197" s="16" t="s">
        <v>87</v>
      </c>
      <c r="J14197" s="19"/>
      <c r="L14197" s="16" t="str">
        <f>IFERROR(__xludf.DUMMYFUNCTION("""COMPUTED_VALUE"""),"")</f>
        <v/>
      </c>
      <c r="M14197" s="16" t="str">
        <f>IFERROR(__xludf.DUMMYFUNCTION("""COMPUTED_VALUE"""),"")</f>
        <v/>
      </c>
      <c r="U14197" s="16" t="s">
        <v>87</v>
      </c>
      <c r="V14197" s="16" t="str">
        <f>IFERROR(__xludf.DUMMYFUNCTION("""COMPUTED_VALUE"""),"")</f>
        <v/>
      </c>
      <c r="W14197" s="16" t="str">
        <f>IFERROR(__xludf.DUMMYFUNCTION("""COMPUTED_VALUE"""),"")</f>
        <v/>
      </c>
      <c r="X14197" s="16" t="str">
        <f>IFERROR(__xludf.DUMMYFUNCTION("""COMPUTED_VALUE"""),"")</f>
        <v/>
      </c>
      <c r="AC14197" s="16" t="str">
        <f>IFERROR(__xludf.DUMMYFUNCTION("""COMPUTED_VALUE"""),"")</f>
        <v/>
      </c>
    </row>
    <row r="14198">
      <c r="A14198" s="16" t="s">
        <v>87</v>
      </c>
      <c r="E14198" s="16" t="str">
        <f>IFERROR(__xludf.DUMMYFUNCTION("""COMPUTED_VALUE"""),"")</f>
        <v/>
      </c>
      <c r="G14198" s="18"/>
      <c r="H14198" s="16" t="s">
        <v>87</v>
      </c>
      <c r="I14198" s="16" t="s">
        <v>87</v>
      </c>
      <c r="J14198" s="19"/>
      <c r="L14198" s="16" t="str">
        <f>IFERROR(__xludf.DUMMYFUNCTION("""COMPUTED_VALUE"""),"")</f>
        <v/>
      </c>
      <c r="M14198" s="16" t="str">
        <f>IFERROR(__xludf.DUMMYFUNCTION("""COMPUTED_VALUE"""),"")</f>
        <v/>
      </c>
      <c r="U14198" s="16" t="s">
        <v>87</v>
      </c>
      <c r="V14198" s="16" t="str">
        <f>IFERROR(__xludf.DUMMYFUNCTION("""COMPUTED_VALUE"""),"")</f>
        <v/>
      </c>
      <c r="W14198" s="16" t="str">
        <f>IFERROR(__xludf.DUMMYFUNCTION("""COMPUTED_VALUE"""),"")</f>
        <v/>
      </c>
      <c r="X14198" s="16" t="str">
        <f>IFERROR(__xludf.DUMMYFUNCTION("""COMPUTED_VALUE"""),"")</f>
        <v/>
      </c>
      <c r="AC14198" s="16" t="str">
        <f>IFERROR(__xludf.DUMMYFUNCTION("""COMPUTED_VALUE"""),"")</f>
        <v/>
      </c>
    </row>
    <row r="14199">
      <c r="A14199" s="16" t="s">
        <v>87</v>
      </c>
      <c r="E14199" s="16" t="str">
        <f>IFERROR(__xludf.DUMMYFUNCTION("""COMPUTED_VALUE"""),"")</f>
        <v/>
      </c>
      <c r="G14199" s="18"/>
      <c r="H14199" s="16" t="s">
        <v>87</v>
      </c>
      <c r="I14199" s="16" t="s">
        <v>87</v>
      </c>
      <c r="J14199" s="19"/>
      <c r="L14199" s="16" t="str">
        <f>IFERROR(__xludf.DUMMYFUNCTION("""COMPUTED_VALUE"""),"")</f>
        <v/>
      </c>
      <c r="M14199" s="16" t="str">
        <f>IFERROR(__xludf.DUMMYFUNCTION("""COMPUTED_VALUE"""),"")</f>
        <v/>
      </c>
      <c r="U14199" s="16" t="s">
        <v>87</v>
      </c>
      <c r="V14199" s="16" t="str">
        <f>IFERROR(__xludf.DUMMYFUNCTION("""COMPUTED_VALUE"""),"")</f>
        <v/>
      </c>
      <c r="W14199" s="16" t="str">
        <f>IFERROR(__xludf.DUMMYFUNCTION("""COMPUTED_VALUE"""),"")</f>
        <v/>
      </c>
      <c r="X14199" s="16" t="str">
        <f>IFERROR(__xludf.DUMMYFUNCTION("""COMPUTED_VALUE"""),"")</f>
        <v/>
      </c>
      <c r="AC14199" s="16" t="str">
        <f>IFERROR(__xludf.DUMMYFUNCTION("""COMPUTED_VALUE"""),"")</f>
        <v/>
      </c>
    </row>
    <row r="14200">
      <c r="A14200" s="16" t="s">
        <v>87</v>
      </c>
      <c r="E14200" s="16" t="str">
        <f>IFERROR(__xludf.DUMMYFUNCTION("""COMPUTED_VALUE"""),"")</f>
        <v/>
      </c>
      <c r="G14200" s="18"/>
      <c r="H14200" s="16" t="s">
        <v>87</v>
      </c>
      <c r="I14200" s="16" t="s">
        <v>87</v>
      </c>
      <c r="J14200" s="19"/>
      <c r="L14200" s="16" t="str">
        <f>IFERROR(__xludf.DUMMYFUNCTION("""COMPUTED_VALUE"""),"")</f>
        <v/>
      </c>
      <c r="M14200" s="16" t="str">
        <f>IFERROR(__xludf.DUMMYFUNCTION("""COMPUTED_VALUE"""),"")</f>
        <v/>
      </c>
      <c r="U14200" s="16" t="s">
        <v>87</v>
      </c>
      <c r="V14200" s="16" t="str">
        <f>IFERROR(__xludf.DUMMYFUNCTION("""COMPUTED_VALUE"""),"")</f>
        <v/>
      </c>
      <c r="W14200" s="16" t="str">
        <f>IFERROR(__xludf.DUMMYFUNCTION("""COMPUTED_VALUE"""),"")</f>
        <v/>
      </c>
      <c r="X14200" s="16" t="str">
        <f>IFERROR(__xludf.DUMMYFUNCTION("""COMPUTED_VALUE"""),"")</f>
        <v/>
      </c>
      <c r="AC14200" s="16" t="str">
        <f>IFERROR(__xludf.DUMMYFUNCTION("""COMPUTED_VALUE"""),"")</f>
        <v/>
      </c>
    </row>
    <row r="14201">
      <c r="A14201" s="16" t="s">
        <v>87</v>
      </c>
      <c r="E14201" s="16" t="str">
        <f>IFERROR(__xludf.DUMMYFUNCTION("""COMPUTED_VALUE"""),"")</f>
        <v/>
      </c>
      <c r="G14201" s="18"/>
      <c r="H14201" s="16" t="s">
        <v>87</v>
      </c>
      <c r="I14201" s="16" t="s">
        <v>87</v>
      </c>
      <c r="J14201" s="19"/>
      <c r="L14201" s="16" t="str">
        <f>IFERROR(__xludf.DUMMYFUNCTION("""COMPUTED_VALUE"""),"")</f>
        <v/>
      </c>
      <c r="M14201" s="16" t="str">
        <f>IFERROR(__xludf.DUMMYFUNCTION("""COMPUTED_VALUE"""),"")</f>
        <v/>
      </c>
      <c r="U14201" s="16" t="s">
        <v>87</v>
      </c>
      <c r="V14201" s="16" t="str">
        <f>IFERROR(__xludf.DUMMYFUNCTION("""COMPUTED_VALUE"""),"")</f>
        <v/>
      </c>
      <c r="W14201" s="16" t="str">
        <f>IFERROR(__xludf.DUMMYFUNCTION("""COMPUTED_VALUE"""),"")</f>
        <v/>
      </c>
      <c r="X14201" s="16" t="str">
        <f>IFERROR(__xludf.DUMMYFUNCTION("""COMPUTED_VALUE"""),"")</f>
        <v/>
      </c>
      <c r="AC14201" s="16" t="str">
        <f>IFERROR(__xludf.DUMMYFUNCTION("""COMPUTED_VALUE"""),"")</f>
        <v/>
      </c>
    </row>
    <row r="14202">
      <c r="A14202" s="16" t="s">
        <v>87</v>
      </c>
      <c r="E14202" s="16" t="str">
        <f>IFERROR(__xludf.DUMMYFUNCTION("""COMPUTED_VALUE"""),"")</f>
        <v/>
      </c>
      <c r="G14202" s="18"/>
      <c r="H14202" s="16" t="s">
        <v>87</v>
      </c>
      <c r="I14202" s="16" t="s">
        <v>87</v>
      </c>
      <c r="J14202" s="19"/>
      <c r="L14202" s="16" t="str">
        <f>IFERROR(__xludf.DUMMYFUNCTION("""COMPUTED_VALUE"""),"")</f>
        <v/>
      </c>
      <c r="M14202" s="16" t="str">
        <f>IFERROR(__xludf.DUMMYFUNCTION("""COMPUTED_VALUE"""),"")</f>
        <v/>
      </c>
      <c r="U14202" s="16" t="s">
        <v>87</v>
      </c>
      <c r="V14202" s="16" t="str">
        <f>IFERROR(__xludf.DUMMYFUNCTION("""COMPUTED_VALUE"""),"")</f>
        <v/>
      </c>
      <c r="W14202" s="16" t="str">
        <f>IFERROR(__xludf.DUMMYFUNCTION("""COMPUTED_VALUE"""),"")</f>
        <v/>
      </c>
      <c r="X14202" s="16" t="str">
        <f>IFERROR(__xludf.DUMMYFUNCTION("""COMPUTED_VALUE"""),"")</f>
        <v/>
      </c>
      <c r="AC14202" s="16" t="str">
        <f>IFERROR(__xludf.DUMMYFUNCTION("""COMPUTED_VALUE"""),"")</f>
        <v/>
      </c>
    </row>
    <row r="14203">
      <c r="A14203" s="16" t="s">
        <v>87</v>
      </c>
      <c r="E14203" s="16" t="str">
        <f>IFERROR(__xludf.DUMMYFUNCTION("""COMPUTED_VALUE"""),"")</f>
        <v/>
      </c>
      <c r="G14203" s="18"/>
      <c r="H14203" s="16" t="s">
        <v>87</v>
      </c>
      <c r="I14203" s="16" t="s">
        <v>87</v>
      </c>
      <c r="J14203" s="19"/>
      <c r="L14203" s="16" t="str">
        <f>IFERROR(__xludf.DUMMYFUNCTION("""COMPUTED_VALUE"""),"")</f>
        <v/>
      </c>
      <c r="M14203" s="16" t="str">
        <f>IFERROR(__xludf.DUMMYFUNCTION("""COMPUTED_VALUE"""),"")</f>
        <v/>
      </c>
      <c r="U14203" s="16" t="s">
        <v>87</v>
      </c>
      <c r="V14203" s="16" t="str">
        <f>IFERROR(__xludf.DUMMYFUNCTION("""COMPUTED_VALUE"""),"")</f>
        <v/>
      </c>
      <c r="W14203" s="16" t="str">
        <f>IFERROR(__xludf.DUMMYFUNCTION("""COMPUTED_VALUE"""),"")</f>
        <v/>
      </c>
      <c r="X14203" s="16" t="str">
        <f>IFERROR(__xludf.DUMMYFUNCTION("""COMPUTED_VALUE"""),"")</f>
        <v/>
      </c>
      <c r="AC14203" s="16" t="str">
        <f>IFERROR(__xludf.DUMMYFUNCTION("""COMPUTED_VALUE"""),"")</f>
        <v/>
      </c>
    </row>
    <row r="14204">
      <c r="A14204" s="16" t="s">
        <v>87</v>
      </c>
      <c r="E14204" s="16" t="str">
        <f>IFERROR(__xludf.DUMMYFUNCTION("""COMPUTED_VALUE"""),"")</f>
        <v/>
      </c>
      <c r="G14204" s="18"/>
      <c r="H14204" s="16" t="s">
        <v>87</v>
      </c>
      <c r="I14204" s="16" t="s">
        <v>87</v>
      </c>
      <c r="J14204" s="19"/>
      <c r="L14204" s="16" t="str">
        <f>IFERROR(__xludf.DUMMYFUNCTION("""COMPUTED_VALUE"""),"")</f>
        <v/>
      </c>
      <c r="M14204" s="16" t="str">
        <f>IFERROR(__xludf.DUMMYFUNCTION("""COMPUTED_VALUE"""),"")</f>
        <v/>
      </c>
      <c r="U14204" s="16" t="s">
        <v>87</v>
      </c>
      <c r="V14204" s="16" t="str">
        <f>IFERROR(__xludf.DUMMYFUNCTION("""COMPUTED_VALUE"""),"")</f>
        <v/>
      </c>
      <c r="W14204" s="16" t="str">
        <f>IFERROR(__xludf.DUMMYFUNCTION("""COMPUTED_VALUE"""),"")</f>
        <v/>
      </c>
      <c r="X14204" s="16" t="str">
        <f>IFERROR(__xludf.DUMMYFUNCTION("""COMPUTED_VALUE"""),"")</f>
        <v/>
      </c>
      <c r="AC14204" s="16" t="str">
        <f>IFERROR(__xludf.DUMMYFUNCTION("""COMPUTED_VALUE"""),"")</f>
        <v/>
      </c>
    </row>
    <row r="14205">
      <c r="A14205" s="16" t="s">
        <v>87</v>
      </c>
      <c r="E14205" s="16" t="str">
        <f>IFERROR(__xludf.DUMMYFUNCTION("""COMPUTED_VALUE"""),"")</f>
        <v/>
      </c>
      <c r="G14205" s="18"/>
      <c r="H14205" s="16" t="s">
        <v>87</v>
      </c>
      <c r="I14205" s="16" t="s">
        <v>87</v>
      </c>
      <c r="J14205" s="19"/>
      <c r="L14205" s="16" t="str">
        <f>IFERROR(__xludf.DUMMYFUNCTION("""COMPUTED_VALUE"""),"")</f>
        <v/>
      </c>
      <c r="M14205" s="16" t="str">
        <f>IFERROR(__xludf.DUMMYFUNCTION("""COMPUTED_VALUE"""),"")</f>
        <v/>
      </c>
      <c r="U14205" s="16" t="s">
        <v>87</v>
      </c>
      <c r="V14205" s="16" t="str">
        <f>IFERROR(__xludf.DUMMYFUNCTION("""COMPUTED_VALUE"""),"")</f>
        <v/>
      </c>
      <c r="W14205" s="16" t="str">
        <f>IFERROR(__xludf.DUMMYFUNCTION("""COMPUTED_VALUE"""),"")</f>
        <v/>
      </c>
      <c r="X14205" s="16" t="str">
        <f>IFERROR(__xludf.DUMMYFUNCTION("""COMPUTED_VALUE"""),"")</f>
        <v/>
      </c>
      <c r="AC14205" s="16" t="str">
        <f>IFERROR(__xludf.DUMMYFUNCTION("""COMPUTED_VALUE"""),"")</f>
        <v/>
      </c>
    </row>
    <row r="14206">
      <c r="A14206" s="16" t="s">
        <v>87</v>
      </c>
      <c r="E14206" s="16" t="str">
        <f>IFERROR(__xludf.DUMMYFUNCTION("""COMPUTED_VALUE"""),"")</f>
        <v/>
      </c>
      <c r="G14206" s="18"/>
      <c r="H14206" s="16" t="s">
        <v>87</v>
      </c>
      <c r="I14206" s="16" t="s">
        <v>87</v>
      </c>
      <c r="J14206" s="19"/>
      <c r="L14206" s="16" t="str">
        <f>IFERROR(__xludf.DUMMYFUNCTION("""COMPUTED_VALUE"""),"")</f>
        <v/>
      </c>
      <c r="M14206" s="16" t="str">
        <f>IFERROR(__xludf.DUMMYFUNCTION("""COMPUTED_VALUE"""),"")</f>
        <v/>
      </c>
      <c r="U14206" s="16" t="s">
        <v>87</v>
      </c>
      <c r="V14206" s="16" t="str">
        <f>IFERROR(__xludf.DUMMYFUNCTION("""COMPUTED_VALUE"""),"")</f>
        <v/>
      </c>
      <c r="W14206" s="16" t="str">
        <f>IFERROR(__xludf.DUMMYFUNCTION("""COMPUTED_VALUE"""),"")</f>
        <v/>
      </c>
      <c r="X14206" s="16" t="str">
        <f>IFERROR(__xludf.DUMMYFUNCTION("""COMPUTED_VALUE"""),"")</f>
        <v/>
      </c>
      <c r="AC14206" s="16" t="str">
        <f>IFERROR(__xludf.DUMMYFUNCTION("""COMPUTED_VALUE"""),"")</f>
        <v/>
      </c>
    </row>
    <row r="14207">
      <c r="A14207" s="16" t="s">
        <v>87</v>
      </c>
      <c r="E14207" s="16" t="str">
        <f>IFERROR(__xludf.DUMMYFUNCTION("""COMPUTED_VALUE"""),"")</f>
        <v/>
      </c>
      <c r="G14207" s="18"/>
      <c r="H14207" s="16" t="s">
        <v>87</v>
      </c>
      <c r="I14207" s="16" t="s">
        <v>87</v>
      </c>
      <c r="J14207" s="19"/>
      <c r="L14207" s="16" t="str">
        <f>IFERROR(__xludf.DUMMYFUNCTION("""COMPUTED_VALUE"""),"")</f>
        <v/>
      </c>
      <c r="M14207" s="16" t="str">
        <f>IFERROR(__xludf.DUMMYFUNCTION("""COMPUTED_VALUE"""),"")</f>
        <v/>
      </c>
      <c r="U14207" s="16" t="s">
        <v>87</v>
      </c>
      <c r="V14207" s="16" t="str">
        <f>IFERROR(__xludf.DUMMYFUNCTION("""COMPUTED_VALUE"""),"")</f>
        <v/>
      </c>
      <c r="W14207" s="16" t="str">
        <f>IFERROR(__xludf.DUMMYFUNCTION("""COMPUTED_VALUE"""),"")</f>
        <v/>
      </c>
      <c r="X14207" s="16" t="str">
        <f>IFERROR(__xludf.DUMMYFUNCTION("""COMPUTED_VALUE"""),"")</f>
        <v/>
      </c>
      <c r="AC14207" s="16" t="str">
        <f>IFERROR(__xludf.DUMMYFUNCTION("""COMPUTED_VALUE"""),"")</f>
        <v/>
      </c>
    </row>
    <row r="14208">
      <c r="A14208" s="16" t="s">
        <v>87</v>
      </c>
      <c r="E14208" s="16" t="str">
        <f>IFERROR(__xludf.DUMMYFUNCTION("""COMPUTED_VALUE"""),"")</f>
        <v/>
      </c>
      <c r="G14208" s="18"/>
      <c r="H14208" s="16" t="s">
        <v>87</v>
      </c>
      <c r="I14208" s="16" t="s">
        <v>87</v>
      </c>
      <c r="J14208" s="19"/>
      <c r="L14208" s="16" t="str">
        <f>IFERROR(__xludf.DUMMYFUNCTION("""COMPUTED_VALUE"""),"")</f>
        <v/>
      </c>
      <c r="M14208" s="16" t="str">
        <f>IFERROR(__xludf.DUMMYFUNCTION("""COMPUTED_VALUE"""),"")</f>
        <v/>
      </c>
      <c r="U14208" s="16" t="s">
        <v>87</v>
      </c>
      <c r="V14208" s="16" t="str">
        <f>IFERROR(__xludf.DUMMYFUNCTION("""COMPUTED_VALUE"""),"")</f>
        <v/>
      </c>
      <c r="W14208" s="16" t="str">
        <f>IFERROR(__xludf.DUMMYFUNCTION("""COMPUTED_VALUE"""),"")</f>
        <v/>
      </c>
      <c r="X14208" s="16" t="str">
        <f>IFERROR(__xludf.DUMMYFUNCTION("""COMPUTED_VALUE"""),"")</f>
        <v/>
      </c>
      <c r="AC14208" s="16" t="str">
        <f>IFERROR(__xludf.DUMMYFUNCTION("""COMPUTED_VALUE"""),"")</f>
        <v/>
      </c>
    </row>
    <row r="14209">
      <c r="A14209" s="16" t="s">
        <v>87</v>
      </c>
      <c r="E14209" s="16" t="str">
        <f>IFERROR(__xludf.DUMMYFUNCTION("""COMPUTED_VALUE"""),"")</f>
        <v/>
      </c>
      <c r="G14209" s="18"/>
      <c r="H14209" s="16" t="s">
        <v>87</v>
      </c>
      <c r="I14209" s="16" t="s">
        <v>87</v>
      </c>
      <c r="J14209" s="19"/>
      <c r="L14209" s="16" t="str">
        <f>IFERROR(__xludf.DUMMYFUNCTION("""COMPUTED_VALUE"""),"")</f>
        <v/>
      </c>
      <c r="M14209" s="16" t="str">
        <f>IFERROR(__xludf.DUMMYFUNCTION("""COMPUTED_VALUE"""),"")</f>
        <v/>
      </c>
      <c r="U14209" s="16" t="s">
        <v>87</v>
      </c>
      <c r="V14209" s="16" t="str">
        <f>IFERROR(__xludf.DUMMYFUNCTION("""COMPUTED_VALUE"""),"")</f>
        <v/>
      </c>
      <c r="W14209" s="16" t="str">
        <f>IFERROR(__xludf.DUMMYFUNCTION("""COMPUTED_VALUE"""),"")</f>
        <v/>
      </c>
      <c r="X14209" s="16" t="str">
        <f>IFERROR(__xludf.DUMMYFUNCTION("""COMPUTED_VALUE"""),"")</f>
        <v/>
      </c>
      <c r="AC14209" s="16" t="str">
        <f>IFERROR(__xludf.DUMMYFUNCTION("""COMPUTED_VALUE"""),"")</f>
        <v/>
      </c>
    </row>
    <row r="14210">
      <c r="A14210" s="16" t="s">
        <v>87</v>
      </c>
      <c r="E14210" s="16" t="str">
        <f>IFERROR(__xludf.DUMMYFUNCTION("""COMPUTED_VALUE"""),"")</f>
        <v/>
      </c>
      <c r="G14210" s="18"/>
      <c r="H14210" s="16" t="s">
        <v>87</v>
      </c>
      <c r="I14210" s="16" t="s">
        <v>87</v>
      </c>
      <c r="J14210" s="19"/>
      <c r="L14210" s="16" t="str">
        <f>IFERROR(__xludf.DUMMYFUNCTION("""COMPUTED_VALUE"""),"")</f>
        <v/>
      </c>
      <c r="M14210" s="16" t="str">
        <f>IFERROR(__xludf.DUMMYFUNCTION("""COMPUTED_VALUE"""),"")</f>
        <v/>
      </c>
      <c r="U14210" s="16" t="s">
        <v>87</v>
      </c>
      <c r="V14210" s="16" t="str">
        <f>IFERROR(__xludf.DUMMYFUNCTION("""COMPUTED_VALUE"""),"")</f>
        <v/>
      </c>
      <c r="W14210" s="16" t="str">
        <f>IFERROR(__xludf.DUMMYFUNCTION("""COMPUTED_VALUE"""),"")</f>
        <v/>
      </c>
      <c r="X14210" s="16" t="str">
        <f>IFERROR(__xludf.DUMMYFUNCTION("""COMPUTED_VALUE"""),"")</f>
        <v/>
      </c>
      <c r="AC14210" s="16" t="str">
        <f>IFERROR(__xludf.DUMMYFUNCTION("""COMPUTED_VALUE"""),"")</f>
        <v/>
      </c>
    </row>
    <row r="14211">
      <c r="A14211" s="16" t="s">
        <v>87</v>
      </c>
      <c r="E14211" s="16" t="str">
        <f>IFERROR(__xludf.DUMMYFUNCTION("""COMPUTED_VALUE"""),"")</f>
        <v/>
      </c>
      <c r="G14211" s="18"/>
      <c r="H14211" s="16" t="s">
        <v>87</v>
      </c>
      <c r="I14211" s="16" t="s">
        <v>87</v>
      </c>
      <c r="J14211" s="19"/>
      <c r="L14211" s="16" t="str">
        <f>IFERROR(__xludf.DUMMYFUNCTION("""COMPUTED_VALUE"""),"")</f>
        <v/>
      </c>
      <c r="M14211" s="16" t="str">
        <f>IFERROR(__xludf.DUMMYFUNCTION("""COMPUTED_VALUE"""),"")</f>
        <v/>
      </c>
      <c r="U14211" s="16" t="s">
        <v>87</v>
      </c>
      <c r="V14211" s="16" t="str">
        <f>IFERROR(__xludf.DUMMYFUNCTION("""COMPUTED_VALUE"""),"")</f>
        <v/>
      </c>
      <c r="W14211" s="16" t="str">
        <f>IFERROR(__xludf.DUMMYFUNCTION("""COMPUTED_VALUE"""),"")</f>
        <v/>
      </c>
      <c r="X14211" s="16" t="str">
        <f>IFERROR(__xludf.DUMMYFUNCTION("""COMPUTED_VALUE"""),"")</f>
        <v/>
      </c>
      <c r="AC14211" s="16" t="str">
        <f>IFERROR(__xludf.DUMMYFUNCTION("""COMPUTED_VALUE"""),"")</f>
        <v/>
      </c>
    </row>
    <row r="14212">
      <c r="A14212" s="16" t="s">
        <v>87</v>
      </c>
      <c r="E14212" s="16" t="str">
        <f>IFERROR(__xludf.DUMMYFUNCTION("""COMPUTED_VALUE"""),"")</f>
        <v/>
      </c>
      <c r="G14212" s="18"/>
      <c r="H14212" s="16" t="s">
        <v>87</v>
      </c>
      <c r="I14212" s="16" t="s">
        <v>87</v>
      </c>
      <c r="J14212" s="19"/>
      <c r="L14212" s="16" t="str">
        <f>IFERROR(__xludf.DUMMYFUNCTION("""COMPUTED_VALUE"""),"")</f>
        <v/>
      </c>
      <c r="M14212" s="16" t="str">
        <f>IFERROR(__xludf.DUMMYFUNCTION("""COMPUTED_VALUE"""),"")</f>
        <v/>
      </c>
      <c r="U14212" s="16" t="s">
        <v>87</v>
      </c>
      <c r="V14212" s="16" t="str">
        <f>IFERROR(__xludf.DUMMYFUNCTION("""COMPUTED_VALUE"""),"")</f>
        <v/>
      </c>
      <c r="W14212" s="16" t="str">
        <f>IFERROR(__xludf.DUMMYFUNCTION("""COMPUTED_VALUE"""),"")</f>
        <v/>
      </c>
      <c r="X14212" s="16" t="str">
        <f>IFERROR(__xludf.DUMMYFUNCTION("""COMPUTED_VALUE"""),"")</f>
        <v/>
      </c>
      <c r="AC14212" s="16" t="str">
        <f>IFERROR(__xludf.DUMMYFUNCTION("""COMPUTED_VALUE"""),"")</f>
        <v/>
      </c>
    </row>
    <row r="14213">
      <c r="A14213" s="16" t="s">
        <v>87</v>
      </c>
      <c r="E14213" s="16" t="str">
        <f>IFERROR(__xludf.DUMMYFUNCTION("""COMPUTED_VALUE"""),"")</f>
        <v/>
      </c>
      <c r="G14213" s="18"/>
      <c r="H14213" s="16" t="s">
        <v>87</v>
      </c>
      <c r="I14213" s="16" t="s">
        <v>87</v>
      </c>
      <c r="J14213" s="19"/>
      <c r="L14213" s="16" t="str">
        <f>IFERROR(__xludf.DUMMYFUNCTION("""COMPUTED_VALUE"""),"")</f>
        <v/>
      </c>
      <c r="M14213" s="16" t="str">
        <f>IFERROR(__xludf.DUMMYFUNCTION("""COMPUTED_VALUE"""),"")</f>
        <v/>
      </c>
      <c r="U14213" s="16" t="s">
        <v>87</v>
      </c>
      <c r="V14213" s="16" t="str">
        <f>IFERROR(__xludf.DUMMYFUNCTION("""COMPUTED_VALUE"""),"")</f>
        <v/>
      </c>
      <c r="W14213" s="16" t="str">
        <f>IFERROR(__xludf.DUMMYFUNCTION("""COMPUTED_VALUE"""),"")</f>
        <v/>
      </c>
      <c r="X14213" s="16" t="str">
        <f>IFERROR(__xludf.DUMMYFUNCTION("""COMPUTED_VALUE"""),"")</f>
        <v/>
      </c>
      <c r="AC14213" s="16" t="str">
        <f>IFERROR(__xludf.DUMMYFUNCTION("""COMPUTED_VALUE"""),"")</f>
        <v/>
      </c>
    </row>
    <row r="14214">
      <c r="A14214" s="16" t="s">
        <v>87</v>
      </c>
      <c r="E14214" s="16" t="str">
        <f>IFERROR(__xludf.DUMMYFUNCTION("""COMPUTED_VALUE"""),"")</f>
        <v/>
      </c>
      <c r="G14214" s="18"/>
      <c r="H14214" s="16" t="s">
        <v>87</v>
      </c>
      <c r="I14214" s="16" t="s">
        <v>87</v>
      </c>
      <c r="J14214" s="19"/>
      <c r="L14214" s="16" t="str">
        <f>IFERROR(__xludf.DUMMYFUNCTION("""COMPUTED_VALUE"""),"")</f>
        <v/>
      </c>
      <c r="M14214" s="16" t="str">
        <f>IFERROR(__xludf.DUMMYFUNCTION("""COMPUTED_VALUE"""),"")</f>
        <v/>
      </c>
      <c r="U14214" s="16" t="s">
        <v>87</v>
      </c>
      <c r="V14214" s="16" t="str">
        <f>IFERROR(__xludf.DUMMYFUNCTION("""COMPUTED_VALUE"""),"")</f>
        <v/>
      </c>
      <c r="W14214" s="16" t="str">
        <f>IFERROR(__xludf.DUMMYFUNCTION("""COMPUTED_VALUE"""),"")</f>
        <v/>
      </c>
      <c r="X14214" s="16" t="str">
        <f>IFERROR(__xludf.DUMMYFUNCTION("""COMPUTED_VALUE"""),"")</f>
        <v/>
      </c>
      <c r="AC14214" s="16" t="str">
        <f>IFERROR(__xludf.DUMMYFUNCTION("""COMPUTED_VALUE"""),"")</f>
        <v/>
      </c>
    </row>
    <row r="14215">
      <c r="A14215" s="16" t="s">
        <v>87</v>
      </c>
      <c r="E14215" s="16" t="str">
        <f>IFERROR(__xludf.DUMMYFUNCTION("""COMPUTED_VALUE"""),"")</f>
        <v/>
      </c>
      <c r="G14215" s="18"/>
      <c r="H14215" s="16" t="s">
        <v>87</v>
      </c>
      <c r="I14215" s="16" t="s">
        <v>87</v>
      </c>
      <c r="J14215" s="19"/>
      <c r="L14215" s="16" t="str">
        <f>IFERROR(__xludf.DUMMYFUNCTION("""COMPUTED_VALUE"""),"")</f>
        <v/>
      </c>
      <c r="M14215" s="16" t="str">
        <f>IFERROR(__xludf.DUMMYFUNCTION("""COMPUTED_VALUE"""),"")</f>
        <v/>
      </c>
      <c r="U14215" s="16" t="s">
        <v>87</v>
      </c>
      <c r="V14215" s="16" t="str">
        <f>IFERROR(__xludf.DUMMYFUNCTION("""COMPUTED_VALUE"""),"")</f>
        <v/>
      </c>
      <c r="W14215" s="16" t="str">
        <f>IFERROR(__xludf.DUMMYFUNCTION("""COMPUTED_VALUE"""),"")</f>
        <v/>
      </c>
      <c r="X14215" s="16" t="str">
        <f>IFERROR(__xludf.DUMMYFUNCTION("""COMPUTED_VALUE"""),"")</f>
        <v/>
      </c>
      <c r="AC14215" s="16" t="str">
        <f>IFERROR(__xludf.DUMMYFUNCTION("""COMPUTED_VALUE"""),"")</f>
        <v/>
      </c>
    </row>
    <row r="14216">
      <c r="A14216" s="16" t="s">
        <v>87</v>
      </c>
      <c r="E14216" s="16" t="str">
        <f>IFERROR(__xludf.DUMMYFUNCTION("""COMPUTED_VALUE"""),"")</f>
        <v/>
      </c>
      <c r="G14216" s="18"/>
      <c r="H14216" s="16" t="s">
        <v>87</v>
      </c>
      <c r="I14216" s="16" t="s">
        <v>87</v>
      </c>
      <c r="J14216" s="19"/>
      <c r="L14216" s="16" t="str">
        <f>IFERROR(__xludf.DUMMYFUNCTION("""COMPUTED_VALUE"""),"")</f>
        <v/>
      </c>
      <c r="M14216" s="16" t="str">
        <f>IFERROR(__xludf.DUMMYFUNCTION("""COMPUTED_VALUE"""),"")</f>
        <v/>
      </c>
      <c r="U14216" s="16" t="s">
        <v>87</v>
      </c>
      <c r="V14216" s="16" t="str">
        <f>IFERROR(__xludf.DUMMYFUNCTION("""COMPUTED_VALUE"""),"")</f>
        <v/>
      </c>
      <c r="W14216" s="16" t="str">
        <f>IFERROR(__xludf.DUMMYFUNCTION("""COMPUTED_VALUE"""),"")</f>
        <v/>
      </c>
      <c r="X14216" s="16" t="str">
        <f>IFERROR(__xludf.DUMMYFUNCTION("""COMPUTED_VALUE"""),"")</f>
        <v/>
      </c>
      <c r="AC14216" s="16" t="str">
        <f>IFERROR(__xludf.DUMMYFUNCTION("""COMPUTED_VALUE"""),"")</f>
        <v/>
      </c>
    </row>
    <row r="14217">
      <c r="A14217" s="16" t="s">
        <v>87</v>
      </c>
      <c r="E14217" s="16" t="str">
        <f>IFERROR(__xludf.DUMMYFUNCTION("""COMPUTED_VALUE"""),"")</f>
        <v/>
      </c>
      <c r="G14217" s="18"/>
      <c r="H14217" s="16" t="s">
        <v>87</v>
      </c>
      <c r="I14217" s="16" t="s">
        <v>87</v>
      </c>
      <c r="J14217" s="19"/>
      <c r="L14217" s="16" t="str">
        <f>IFERROR(__xludf.DUMMYFUNCTION("""COMPUTED_VALUE"""),"")</f>
        <v/>
      </c>
      <c r="M14217" s="16" t="str">
        <f>IFERROR(__xludf.DUMMYFUNCTION("""COMPUTED_VALUE"""),"")</f>
        <v/>
      </c>
      <c r="U14217" s="16" t="s">
        <v>87</v>
      </c>
      <c r="V14217" s="16" t="str">
        <f>IFERROR(__xludf.DUMMYFUNCTION("""COMPUTED_VALUE"""),"")</f>
        <v/>
      </c>
      <c r="W14217" s="16" t="str">
        <f>IFERROR(__xludf.DUMMYFUNCTION("""COMPUTED_VALUE"""),"")</f>
        <v/>
      </c>
      <c r="X14217" s="16" t="str">
        <f>IFERROR(__xludf.DUMMYFUNCTION("""COMPUTED_VALUE"""),"")</f>
        <v/>
      </c>
      <c r="AC14217" s="16" t="str">
        <f>IFERROR(__xludf.DUMMYFUNCTION("""COMPUTED_VALUE"""),"")</f>
        <v/>
      </c>
    </row>
    <row r="14218">
      <c r="A14218" s="16" t="s">
        <v>87</v>
      </c>
      <c r="E14218" s="16" t="str">
        <f>IFERROR(__xludf.DUMMYFUNCTION("""COMPUTED_VALUE"""),"")</f>
        <v/>
      </c>
      <c r="G14218" s="18"/>
      <c r="H14218" s="16" t="s">
        <v>87</v>
      </c>
      <c r="I14218" s="16" t="s">
        <v>87</v>
      </c>
      <c r="J14218" s="19"/>
      <c r="L14218" s="16" t="str">
        <f>IFERROR(__xludf.DUMMYFUNCTION("""COMPUTED_VALUE"""),"")</f>
        <v/>
      </c>
      <c r="M14218" s="16" t="str">
        <f>IFERROR(__xludf.DUMMYFUNCTION("""COMPUTED_VALUE"""),"")</f>
        <v/>
      </c>
      <c r="U14218" s="16" t="s">
        <v>87</v>
      </c>
      <c r="V14218" s="16" t="str">
        <f>IFERROR(__xludf.DUMMYFUNCTION("""COMPUTED_VALUE"""),"")</f>
        <v/>
      </c>
      <c r="W14218" s="16" t="str">
        <f>IFERROR(__xludf.DUMMYFUNCTION("""COMPUTED_VALUE"""),"")</f>
        <v/>
      </c>
      <c r="X14218" s="16" t="str">
        <f>IFERROR(__xludf.DUMMYFUNCTION("""COMPUTED_VALUE"""),"")</f>
        <v/>
      </c>
      <c r="AC14218" s="16" t="str">
        <f>IFERROR(__xludf.DUMMYFUNCTION("""COMPUTED_VALUE"""),"")</f>
        <v/>
      </c>
    </row>
    <row r="14219">
      <c r="A14219" s="16" t="s">
        <v>87</v>
      </c>
      <c r="E14219" s="16" t="str">
        <f>IFERROR(__xludf.DUMMYFUNCTION("""COMPUTED_VALUE"""),"")</f>
        <v/>
      </c>
      <c r="G14219" s="18"/>
      <c r="H14219" s="16" t="s">
        <v>87</v>
      </c>
      <c r="I14219" s="16" t="s">
        <v>87</v>
      </c>
      <c r="J14219" s="19"/>
      <c r="L14219" s="16" t="str">
        <f>IFERROR(__xludf.DUMMYFUNCTION("""COMPUTED_VALUE"""),"")</f>
        <v/>
      </c>
      <c r="M14219" s="16" t="str">
        <f>IFERROR(__xludf.DUMMYFUNCTION("""COMPUTED_VALUE"""),"")</f>
        <v/>
      </c>
      <c r="U14219" s="16" t="s">
        <v>87</v>
      </c>
      <c r="V14219" s="16" t="str">
        <f>IFERROR(__xludf.DUMMYFUNCTION("""COMPUTED_VALUE"""),"")</f>
        <v/>
      </c>
      <c r="W14219" s="16" t="str">
        <f>IFERROR(__xludf.DUMMYFUNCTION("""COMPUTED_VALUE"""),"")</f>
        <v/>
      </c>
      <c r="X14219" s="16" t="str">
        <f>IFERROR(__xludf.DUMMYFUNCTION("""COMPUTED_VALUE"""),"")</f>
        <v/>
      </c>
      <c r="AC14219" s="16" t="str">
        <f>IFERROR(__xludf.DUMMYFUNCTION("""COMPUTED_VALUE"""),"")</f>
        <v/>
      </c>
    </row>
    <row r="14220">
      <c r="A14220" s="16" t="s">
        <v>87</v>
      </c>
      <c r="E14220" s="16" t="str">
        <f>IFERROR(__xludf.DUMMYFUNCTION("""COMPUTED_VALUE"""),"")</f>
        <v/>
      </c>
      <c r="G14220" s="18"/>
      <c r="H14220" s="16" t="s">
        <v>87</v>
      </c>
      <c r="I14220" s="16" t="s">
        <v>87</v>
      </c>
      <c r="J14220" s="19"/>
      <c r="L14220" s="16" t="str">
        <f>IFERROR(__xludf.DUMMYFUNCTION("""COMPUTED_VALUE"""),"")</f>
        <v/>
      </c>
      <c r="M14220" s="16" t="str">
        <f>IFERROR(__xludf.DUMMYFUNCTION("""COMPUTED_VALUE"""),"")</f>
        <v/>
      </c>
      <c r="U14220" s="16" t="s">
        <v>87</v>
      </c>
      <c r="V14220" s="16" t="str">
        <f>IFERROR(__xludf.DUMMYFUNCTION("""COMPUTED_VALUE"""),"")</f>
        <v/>
      </c>
      <c r="W14220" s="16" t="str">
        <f>IFERROR(__xludf.DUMMYFUNCTION("""COMPUTED_VALUE"""),"")</f>
        <v/>
      </c>
      <c r="X14220" s="16" t="str">
        <f>IFERROR(__xludf.DUMMYFUNCTION("""COMPUTED_VALUE"""),"")</f>
        <v/>
      </c>
      <c r="AC14220" s="16" t="str">
        <f>IFERROR(__xludf.DUMMYFUNCTION("""COMPUTED_VALUE"""),"")</f>
        <v/>
      </c>
    </row>
    <row r="14221">
      <c r="A14221" s="16" t="s">
        <v>87</v>
      </c>
      <c r="E14221" s="16" t="str">
        <f>IFERROR(__xludf.DUMMYFUNCTION("""COMPUTED_VALUE"""),"")</f>
        <v/>
      </c>
      <c r="G14221" s="18"/>
      <c r="H14221" s="16" t="s">
        <v>87</v>
      </c>
      <c r="I14221" s="16" t="s">
        <v>87</v>
      </c>
      <c r="J14221" s="19"/>
      <c r="L14221" s="16" t="str">
        <f>IFERROR(__xludf.DUMMYFUNCTION("""COMPUTED_VALUE"""),"")</f>
        <v/>
      </c>
      <c r="M14221" s="16" t="str">
        <f>IFERROR(__xludf.DUMMYFUNCTION("""COMPUTED_VALUE"""),"")</f>
        <v/>
      </c>
      <c r="U14221" s="16" t="s">
        <v>87</v>
      </c>
      <c r="V14221" s="16" t="str">
        <f>IFERROR(__xludf.DUMMYFUNCTION("""COMPUTED_VALUE"""),"")</f>
        <v/>
      </c>
      <c r="W14221" s="16" t="str">
        <f>IFERROR(__xludf.DUMMYFUNCTION("""COMPUTED_VALUE"""),"")</f>
        <v/>
      </c>
      <c r="X14221" s="16" t="str">
        <f>IFERROR(__xludf.DUMMYFUNCTION("""COMPUTED_VALUE"""),"")</f>
        <v/>
      </c>
      <c r="AC14221" s="16" t="str">
        <f>IFERROR(__xludf.DUMMYFUNCTION("""COMPUTED_VALUE"""),"")</f>
        <v/>
      </c>
    </row>
    <row r="14222">
      <c r="A14222" s="16" t="s">
        <v>87</v>
      </c>
      <c r="E14222" s="16" t="str">
        <f>IFERROR(__xludf.DUMMYFUNCTION("""COMPUTED_VALUE"""),"")</f>
        <v/>
      </c>
      <c r="G14222" s="18"/>
      <c r="H14222" s="16" t="s">
        <v>87</v>
      </c>
      <c r="I14222" s="16" t="s">
        <v>87</v>
      </c>
      <c r="J14222" s="19"/>
      <c r="L14222" s="16" t="str">
        <f>IFERROR(__xludf.DUMMYFUNCTION("""COMPUTED_VALUE"""),"")</f>
        <v/>
      </c>
      <c r="M14222" s="16" t="str">
        <f>IFERROR(__xludf.DUMMYFUNCTION("""COMPUTED_VALUE"""),"")</f>
        <v/>
      </c>
      <c r="U14222" s="16" t="s">
        <v>87</v>
      </c>
      <c r="V14222" s="16" t="str">
        <f>IFERROR(__xludf.DUMMYFUNCTION("""COMPUTED_VALUE"""),"")</f>
        <v/>
      </c>
      <c r="W14222" s="16" t="str">
        <f>IFERROR(__xludf.DUMMYFUNCTION("""COMPUTED_VALUE"""),"")</f>
        <v/>
      </c>
      <c r="X14222" s="16" t="str">
        <f>IFERROR(__xludf.DUMMYFUNCTION("""COMPUTED_VALUE"""),"")</f>
        <v/>
      </c>
      <c r="AC14222" s="16" t="str">
        <f>IFERROR(__xludf.DUMMYFUNCTION("""COMPUTED_VALUE"""),"")</f>
        <v/>
      </c>
    </row>
    <row r="14223">
      <c r="A14223" s="16" t="s">
        <v>87</v>
      </c>
      <c r="E14223" s="16" t="str">
        <f>IFERROR(__xludf.DUMMYFUNCTION("""COMPUTED_VALUE"""),"")</f>
        <v/>
      </c>
      <c r="G14223" s="18"/>
      <c r="H14223" s="16" t="s">
        <v>87</v>
      </c>
      <c r="I14223" s="16" t="s">
        <v>87</v>
      </c>
      <c r="J14223" s="19"/>
      <c r="L14223" s="16" t="str">
        <f>IFERROR(__xludf.DUMMYFUNCTION("""COMPUTED_VALUE"""),"")</f>
        <v/>
      </c>
      <c r="M14223" s="16" t="str">
        <f>IFERROR(__xludf.DUMMYFUNCTION("""COMPUTED_VALUE"""),"")</f>
        <v/>
      </c>
      <c r="U14223" s="16" t="s">
        <v>87</v>
      </c>
      <c r="V14223" s="16" t="str">
        <f>IFERROR(__xludf.DUMMYFUNCTION("""COMPUTED_VALUE"""),"")</f>
        <v/>
      </c>
      <c r="W14223" s="16" t="str">
        <f>IFERROR(__xludf.DUMMYFUNCTION("""COMPUTED_VALUE"""),"")</f>
        <v/>
      </c>
      <c r="X14223" s="16" t="str">
        <f>IFERROR(__xludf.DUMMYFUNCTION("""COMPUTED_VALUE"""),"")</f>
        <v/>
      </c>
      <c r="AC14223" s="16" t="str">
        <f>IFERROR(__xludf.DUMMYFUNCTION("""COMPUTED_VALUE"""),"")</f>
        <v/>
      </c>
    </row>
    <row r="14224">
      <c r="A14224" s="16" t="s">
        <v>87</v>
      </c>
      <c r="E14224" s="16" t="str">
        <f>IFERROR(__xludf.DUMMYFUNCTION("""COMPUTED_VALUE"""),"")</f>
        <v/>
      </c>
      <c r="G14224" s="18"/>
      <c r="H14224" s="16" t="s">
        <v>87</v>
      </c>
      <c r="I14224" s="16" t="s">
        <v>87</v>
      </c>
      <c r="J14224" s="19"/>
      <c r="L14224" s="16" t="str">
        <f>IFERROR(__xludf.DUMMYFUNCTION("""COMPUTED_VALUE"""),"")</f>
        <v/>
      </c>
      <c r="M14224" s="16" t="str">
        <f>IFERROR(__xludf.DUMMYFUNCTION("""COMPUTED_VALUE"""),"")</f>
        <v/>
      </c>
      <c r="U14224" s="16" t="s">
        <v>87</v>
      </c>
      <c r="V14224" s="16" t="str">
        <f>IFERROR(__xludf.DUMMYFUNCTION("""COMPUTED_VALUE"""),"")</f>
        <v/>
      </c>
      <c r="W14224" s="16" t="str">
        <f>IFERROR(__xludf.DUMMYFUNCTION("""COMPUTED_VALUE"""),"")</f>
        <v/>
      </c>
      <c r="X14224" s="16" t="str">
        <f>IFERROR(__xludf.DUMMYFUNCTION("""COMPUTED_VALUE"""),"")</f>
        <v/>
      </c>
      <c r="AC14224" s="16" t="str">
        <f>IFERROR(__xludf.DUMMYFUNCTION("""COMPUTED_VALUE"""),"")</f>
        <v/>
      </c>
    </row>
    <row r="14225">
      <c r="A14225" s="16" t="s">
        <v>87</v>
      </c>
      <c r="E14225" s="16" t="str">
        <f>IFERROR(__xludf.DUMMYFUNCTION("""COMPUTED_VALUE"""),"")</f>
        <v/>
      </c>
      <c r="G14225" s="18"/>
      <c r="H14225" s="16" t="s">
        <v>87</v>
      </c>
      <c r="I14225" s="16" t="s">
        <v>87</v>
      </c>
      <c r="J14225" s="19"/>
      <c r="L14225" s="16" t="str">
        <f>IFERROR(__xludf.DUMMYFUNCTION("""COMPUTED_VALUE"""),"")</f>
        <v/>
      </c>
      <c r="M14225" s="16" t="str">
        <f>IFERROR(__xludf.DUMMYFUNCTION("""COMPUTED_VALUE"""),"")</f>
        <v/>
      </c>
      <c r="U14225" s="16" t="s">
        <v>87</v>
      </c>
      <c r="V14225" s="16" t="str">
        <f>IFERROR(__xludf.DUMMYFUNCTION("""COMPUTED_VALUE"""),"")</f>
        <v/>
      </c>
      <c r="W14225" s="16" t="str">
        <f>IFERROR(__xludf.DUMMYFUNCTION("""COMPUTED_VALUE"""),"")</f>
        <v/>
      </c>
      <c r="X14225" s="16" t="str">
        <f>IFERROR(__xludf.DUMMYFUNCTION("""COMPUTED_VALUE"""),"")</f>
        <v/>
      </c>
      <c r="AC14225" s="16" t="str">
        <f>IFERROR(__xludf.DUMMYFUNCTION("""COMPUTED_VALUE"""),"")</f>
        <v/>
      </c>
    </row>
    <row r="14226">
      <c r="A14226" s="16" t="s">
        <v>87</v>
      </c>
      <c r="E14226" s="16" t="str">
        <f>IFERROR(__xludf.DUMMYFUNCTION("""COMPUTED_VALUE"""),"")</f>
        <v/>
      </c>
      <c r="G14226" s="18"/>
      <c r="H14226" s="16" t="s">
        <v>87</v>
      </c>
      <c r="I14226" s="16" t="s">
        <v>87</v>
      </c>
      <c r="J14226" s="19"/>
      <c r="L14226" s="16" t="str">
        <f>IFERROR(__xludf.DUMMYFUNCTION("""COMPUTED_VALUE"""),"")</f>
        <v/>
      </c>
      <c r="M14226" s="16" t="str">
        <f>IFERROR(__xludf.DUMMYFUNCTION("""COMPUTED_VALUE"""),"")</f>
        <v/>
      </c>
      <c r="U14226" s="16" t="s">
        <v>87</v>
      </c>
      <c r="V14226" s="16" t="str">
        <f>IFERROR(__xludf.DUMMYFUNCTION("""COMPUTED_VALUE"""),"")</f>
        <v/>
      </c>
      <c r="W14226" s="16" t="str">
        <f>IFERROR(__xludf.DUMMYFUNCTION("""COMPUTED_VALUE"""),"")</f>
        <v/>
      </c>
      <c r="X14226" s="16" t="str">
        <f>IFERROR(__xludf.DUMMYFUNCTION("""COMPUTED_VALUE"""),"")</f>
        <v/>
      </c>
      <c r="AC14226" s="16" t="str">
        <f>IFERROR(__xludf.DUMMYFUNCTION("""COMPUTED_VALUE"""),"")</f>
        <v/>
      </c>
    </row>
    <row r="14227">
      <c r="A14227" s="16" t="s">
        <v>87</v>
      </c>
      <c r="E14227" s="16" t="str">
        <f>IFERROR(__xludf.DUMMYFUNCTION("""COMPUTED_VALUE"""),"")</f>
        <v/>
      </c>
      <c r="G14227" s="18"/>
      <c r="H14227" s="16" t="s">
        <v>87</v>
      </c>
      <c r="I14227" s="16" t="s">
        <v>87</v>
      </c>
      <c r="J14227" s="19"/>
      <c r="L14227" s="16" t="str">
        <f>IFERROR(__xludf.DUMMYFUNCTION("""COMPUTED_VALUE"""),"")</f>
        <v/>
      </c>
      <c r="M14227" s="16" t="str">
        <f>IFERROR(__xludf.DUMMYFUNCTION("""COMPUTED_VALUE"""),"")</f>
        <v/>
      </c>
      <c r="U14227" s="16" t="s">
        <v>87</v>
      </c>
      <c r="V14227" s="16" t="str">
        <f>IFERROR(__xludf.DUMMYFUNCTION("""COMPUTED_VALUE"""),"")</f>
        <v/>
      </c>
      <c r="W14227" s="16" t="str">
        <f>IFERROR(__xludf.DUMMYFUNCTION("""COMPUTED_VALUE"""),"")</f>
        <v/>
      </c>
      <c r="X14227" s="16" t="str">
        <f>IFERROR(__xludf.DUMMYFUNCTION("""COMPUTED_VALUE"""),"")</f>
        <v/>
      </c>
      <c r="AC14227" s="16" t="str">
        <f>IFERROR(__xludf.DUMMYFUNCTION("""COMPUTED_VALUE"""),"")</f>
        <v/>
      </c>
    </row>
    <row r="14228">
      <c r="A14228" s="16" t="s">
        <v>87</v>
      </c>
      <c r="E14228" s="16" t="str">
        <f>IFERROR(__xludf.DUMMYFUNCTION("""COMPUTED_VALUE"""),"")</f>
        <v/>
      </c>
      <c r="G14228" s="18"/>
      <c r="H14228" s="16" t="s">
        <v>87</v>
      </c>
      <c r="I14228" s="16" t="s">
        <v>87</v>
      </c>
      <c r="J14228" s="19"/>
      <c r="L14228" s="16" t="str">
        <f>IFERROR(__xludf.DUMMYFUNCTION("""COMPUTED_VALUE"""),"")</f>
        <v/>
      </c>
      <c r="M14228" s="16" t="str">
        <f>IFERROR(__xludf.DUMMYFUNCTION("""COMPUTED_VALUE"""),"")</f>
        <v/>
      </c>
      <c r="U14228" s="16" t="s">
        <v>87</v>
      </c>
      <c r="V14228" s="16" t="str">
        <f>IFERROR(__xludf.DUMMYFUNCTION("""COMPUTED_VALUE"""),"")</f>
        <v/>
      </c>
      <c r="W14228" s="16" t="str">
        <f>IFERROR(__xludf.DUMMYFUNCTION("""COMPUTED_VALUE"""),"")</f>
        <v/>
      </c>
      <c r="X14228" s="16" t="str">
        <f>IFERROR(__xludf.DUMMYFUNCTION("""COMPUTED_VALUE"""),"")</f>
        <v/>
      </c>
      <c r="AC14228" s="16" t="str">
        <f>IFERROR(__xludf.DUMMYFUNCTION("""COMPUTED_VALUE"""),"")</f>
        <v/>
      </c>
    </row>
    <row r="14229">
      <c r="A14229" s="16" t="s">
        <v>87</v>
      </c>
      <c r="E14229" s="16" t="str">
        <f>IFERROR(__xludf.DUMMYFUNCTION("""COMPUTED_VALUE"""),"")</f>
        <v/>
      </c>
      <c r="G14229" s="18"/>
      <c r="H14229" s="16" t="s">
        <v>87</v>
      </c>
      <c r="I14229" s="16" t="s">
        <v>87</v>
      </c>
      <c r="J14229" s="19"/>
      <c r="L14229" s="16" t="str">
        <f>IFERROR(__xludf.DUMMYFUNCTION("""COMPUTED_VALUE"""),"")</f>
        <v/>
      </c>
      <c r="M14229" s="16" t="str">
        <f>IFERROR(__xludf.DUMMYFUNCTION("""COMPUTED_VALUE"""),"")</f>
        <v/>
      </c>
      <c r="U14229" s="16" t="s">
        <v>87</v>
      </c>
      <c r="V14229" s="16" t="str">
        <f>IFERROR(__xludf.DUMMYFUNCTION("""COMPUTED_VALUE"""),"")</f>
        <v/>
      </c>
      <c r="W14229" s="16" t="str">
        <f>IFERROR(__xludf.DUMMYFUNCTION("""COMPUTED_VALUE"""),"")</f>
        <v/>
      </c>
      <c r="X14229" s="16" t="str">
        <f>IFERROR(__xludf.DUMMYFUNCTION("""COMPUTED_VALUE"""),"")</f>
        <v/>
      </c>
      <c r="AC14229" s="16" t="str">
        <f>IFERROR(__xludf.DUMMYFUNCTION("""COMPUTED_VALUE"""),"")</f>
        <v/>
      </c>
    </row>
    <row r="14230">
      <c r="A14230" s="16" t="s">
        <v>87</v>
      </c>
      <c r="E14230" s="16" t="str">
        <f>IFERROR(__xludf.DUMMYFUNCTION("""COMPUTED_VALUE"""),"")</f>
        <v/>
      </c>
      <c r="G14230" s="18"/>
      <c r="H14230" s="16" t="s">
        <v>87</v>
      </c>
      <c r="I14230" s="16" t="s">
        <v>87</v>
      </c>
      <c r="J14230" s="19"/>
      <c r="L14230" s="16" t="str">
        <f>IFERROR(__xludf.DUMMYFUNCTION("""COMPUTED_VALUE"""),"")</f>
        <v/>
      </c>
      <c r="M14230" s="16" t="str">
        <f>IFERROR(__xludf.DUMMYFUNCTION("""COMPUTED_VALUE"""),"")</f>
        <v/>
      </c>
      <c r="U14230" s="16" t="s">
        <v>87</v>
      </c>
      <c r="V14230" s="16" t="str">
        <f>IFERROR(__xludf.DUMMYFUNCTION("""COMPUTED_VALUE"""),"")</f>
        <v/>
      </c>
      <c r="W14230" s="16" t="str">
        <f>IFERROR(__xludf.DUMMYFUNCTION("""COMPUTED_VALUE"""),"")</f>
        <v/>
      </c>
      <c r="X14230" s="16" t="str">
        <f>IFERROR(__xludf.DUMMYFUNCTION("""COMPUTED_VALUE"""),"")</f>
        <v/>
      </c>
      <c r="AC14230" s="16" t="str">
        <f>IFERROR(__xludf.DUMMYFUNCTION("""COMPUTED_VALUE"""),"")</f>
        <v/>
      </c>
    </row>
    <row r="14231">
      <c r="A14231" s="16" t="s">
        <v>87</v>
      </c>
      <c r="E14231" s="16" t="str">
        <f>IFERROR(__xludf.DUMMYFUNCTION("""COMPUTED_VALUE"""),"")</f>
        <v/>
      </c>
      <c r="G14231" s="18"/>
      <c r="H14231" s="16" t="s">
        <v>87</v>
      </c>
      <c r="I14231" s="16" t="s">
        <v>87</v>
      </c>
      <c r="J14231" s="19"/>
      <c r="L14231" s="16" t="str">
        <f>IFERROR(__xludf.DUMMYFUNCTION("""COMPUTED_VALUE"""),"")</f>
        <v/>
      </c>
      <c r="M14231" s="16" t="str">
        <f>IFERROR(__xludf.DUMMYFUNCTION("""COMPUTED_VALUE"""),"")</f>
        <v/>
      </c>
      <c r="U14231" s="16" t="s">
        <v>87</v>
      </c>
      <c r="V14231" s="16" t="str">
        <f>IFERROR(__xludf.DUMMYFUNCTION("""COMPUTED_VALUE"""),"")</f>
        <v/>
      </c>
      <c r="W14231" s="16" t="str">
        <f>IFERROR(__xludf.DUMMYFUNCTION("""COMPUTED_VALUE"""),"")</f>
        <v/>
      </c>
      <c r="X14231" s="16" t="str">
        <f>IFERROR(__xludf.DUMMYFUNCTION("""COMPUTED_VALUE"""),"")</f>
        <v/>
      </c>
      <c r="AC14231" s="16" t="str">
        <f>IFERROR(__xludf.DUMMYFUNCTION("""COMPUTED_VALUE"""),"")</f>
        <v/>
      </c>
    </row>
    <row r="14232">
      <c r="A14232" s="16" t="s">
        <v>87</v>
      </c>
      <c r="E14232" s="16" t="str">
        <f>IFERROR(__xludf.DUMMYFUNCTION("""COMPUTED_VALUE"""),"")</f>
        <v/>
      </c>
      <c r="G14232" s="18"/>
      <c r="H14232" s="16" t="s">
        <v>87</v>
      </c>
      <c r="I14232" s="16" t="s">
        <v>87</v>
      </c>
      <c r="J14232" s="19"/>
      <c r="L14232" s="16" t="str">
        <f>IFERROR(__xludf.DUMMYFUNCTION("""COMPUTED_VALUE"""),"")</f>
        <v/>
      </c>
      <c r="M14232" s="16" t="str">
        <f>IFERROR(__xludf.DUMMYFUNCTION("""COMPUTED_VALUE"""),"")</f>
        <v/>
      </c>
      <c r="U14232" s="16" t="s">
        <v>87</v>
      </c>
      <c r="V14232" s="16" t="str">
        <f>IFERROR(__xludf.DUMMYFUNCTION("""COMPUTED_VALUE"""),"")</f>
        <v/>
      </c>
      <c r="W14232" s="16" t="str">
        <f>IFERROR(__xludf.DUMMYFUNCTION("""COMPUTED_VALUE"""),"")</f>
        <v/>
      </c>
      <c r="X14232" s="16" t="str">
        <f>IFERROR(__xludf.DUMMYFUNCTION("""COMPUTED_VALUE"""),"")</f>
        <v/>
      </c>
      <c r="AC14232" s="16" t="str">
        <f>IFERROR(__xludf.DUMMYFUNCTION("""COMPUTED_VALUE"""),"")</f>
        <v/>
      </c>
    </row>
    <row r="14233">
      <c r="A14233" s="16" t="s">
        <v>87</v>
      </c>
      <c r="E14233" s="16" t="str">
        <f>IFERROR(__xludf.DUMMYFUNCTION("""COMPUTED_VALUE"""),"")</f>
        <v/>
      </c>
      <c r="G14233" s="18"/>
      <c r="H14233" s="16" t="s">
        <v>87</v>
      </c>
      <c r="I14233" s="16" t="s">
        <v>87</v>
      </c>
      <c r="J14233" s="19"/>
      <c r="L14233" s="16" t="str">
        <f>IFERROR(__xludf.DUMMYFUNCTION("""COMPUTED_VALUE"""),"")</f>
        <v/>
      </c>
      <c r="M14233" s="16" t="str">
        <f>IFERROR(__xludf.DUMMYFUNCTION("""COMPUTED_VALUE"""),"")</f>
        <v/>
      </c>
      <c r="U14233" s="16" t="s">
        <v>87</v>
      </c>
      <c r="V14233" s="16" t="str">
        <f>IFERROR(__xludf.DUMMYFUNCTION("""COMPUTED_VALUE"""),"")</f>
        <v/>
      </c>
      <c r="W14233" s="16" t="str">
        <f>IFERROR(__xludf.DUMMYFUNCTION("""COMPUTED_VALUE"""),"")</f>
        <v/>
      </c>
      <c r="X14233" s="16" t="str">
        <f>IFERROR(__xludf.DUMMYFUNCTION("""COMPUTED_VALUE"""),"")</f>
        <v/>
      </c>
      <c r="AC14233" s="16" t="str">
        <f>IFERROR(__xludf.DUMMYFUNCTION("""COMPUTED_VALUE"""),"")</f>
        <v/>
      </c>
    </row>
    <row r="14234">
      <c r="A14234" s="16" t="s">
        <v>87</v>
      </c>
      <c r="E14234" s="16" t="str">
        <f>IFERROR(__xludf.DUMMYFUNCTION("""COMPUTED_VALUE"""),"")</f>
        <v/>
      </c>
      <c r="G14234" s="18"/>
      <c r="H14234" s="16" t="s">
        <v>87</v>
      </c>
      <c r="I14234" s="16" t="s">
        <v>87</v>
      </c>
      <c r="J14234" s="19"/>
      <c r="L14234" s="16" t="str">
        <f>IFERROR(__xludf.DUMMYFUNCTION("""COMPUTED_VALUE"""),"")</f>
        <v/>
      </c>
      <c r="M14234" s="16" t="str">
        <f>IFERROR(__xludf.DUMMYFUNCTION("""COMPUTED_VALUE"""),"")</f>
        <v/>
      </c>
      <c r="U14234" s="16" t="s">
        <v>87</v>
      </c>
      <c r="V14234" s="16" t="str">
        <f>IFERROR(__xludf.DUMMYFUNCTION("""COMPUTED_VALUE"""),"")</f>
        <v/>
      </c>
      <c r="W14234" s="16" t="str">
        <f>IFERROR(__xludf.DUMMYFUNCTION("""COMPUTED_VALUE"""),"")</f>
        <v/>
      </c>
      <c r="X14234" s="16" t="str">
        <f>IFERROR(__xludf.DUMMYFUNCTION("""COMPUTED_VALUE"""),"")</f>
        <v/>
      </c>
      <c r="AC14234" s="16" t="str">
        <f>IFERROR(__xludf.DUMMYFUNCTION("""COMPUTED_VALUE"""),"")</f>
        <v/>
      </c>
    </row>
    <row r="14235">
      <c r="A14235" s="16" t="s">
        <v>87</v>
      </c>
      <c r="E14235" s="16" t="str">
        <f>IFERROR(__xludf.DUMMYFUNCTION("""COMPUTED_VALUE"""),"")</f>
        <v/>
      </c>
      <c r="G14235" s="18"/>
      <c r="H14235" s="16" t="s">
        <v>87</v>
      </c>
      <c r="I14235" s="16" t="s">
        <v>87</v>
      </c>
      <c r="J14235" s="19"/>
      <c r="L14235" s="16" t="str">
        <f>IFERROR(__xludf.DUMMYFUNCTION("""COMPUTED_VALUE"""),"")</f>
        <v/>
      </c>
      <c r="M14235" s="16" t="str">
        <f>IFERROR(__xludf.DUMMYFUNCTION("""COMPUTED_VALUE"""),"")</f>
        <v/>
      </c>
      <c r="U14235" s="16" t="s">
        <v>87</v>
      </c>
      <c r="V14235" s="16" t="str">
        <f>IFERROR(__xludf.DUMMYFUNCTION("""COMPUTED_VALUE"""),"")</f>
        <v/>
      </c>
      <c r="W14235" s="16" t="str">
        <f>IFERROR(__xludf.DUMMYFUNCTION("""COMPUTED_VALUE"""),"")</f>
        <v/>
      </c>
      <c r="X14235" s="16" t="str">
        <f>IFERROR(__xludf.DUMMYFUNCTION("""COMPUTED_VALUE"""),"")</f>
        <v/>
      </c>
      <c r="AC14235" s="16" t="str">
        <f>IFERROR(__xludf.DUMMYFUNCTION("""COMPUTED_VALUE"""),"")</f>
        <v/>
      </c>
    </row>
    <row r="14236">
      <c r="A14236" s="16" t="s">
        <v>87</v>
      </c>
      <c r="E14236" s="16" t="str">
        <f>IFERROR(__xludf.DUMMYFUNCTION("""COMPUTED_VALUE"""),"")</f>
        <v/>
      </c>
      <c r="G14236" s="18"/>
      <c r="H14236" s="16" t="s">
        <v>87</v>
      </c>
      <c r="I14236" s="16" t="s">
        <v>87</v>
      </c>
      <c r="J14236" s="19"/>
      <c r="L14236" s="16" t="str">
        <f>IFERROR(__xludf.DUMMYFUNCTION("""COMPUTED_VALUE"""),"")</f>
        <v/>
      </c>
      <c r="M14236" s="16" t="str">
        <f>IFERROR(__xludf.DUMMYFUNCTION("""COMPUTED_VALUE"""),"")</f>
        <v/>
      </c>
      <c r="U14236" s="16" t="s">
        <v>87</v>
      </c>
      <c r="V14236" s="16" t="str">
        <f>IFERROR(__xludf.DUMMYFUNCTION("""COMPUTED_VALUE"""),"")</f>
        <v/>
      </c>
      <c r="W14236" s="16" t="str">
        <f>IFERROR(__xludf.DUMMYFUNCTION("""COMPUTED_VALUE"""),"")</f>
        <v/>
      </c>
      <c r="X14236" s="16" t="str">
        <f>IFERROR(__xludf.DUMMYFUNCTION("""COMPUTED_VALUE"""),"")</f>
        <v/>
      </c>
      <c r="AC14236" s="16" t="str">
        <f>IFERROR(__xludf.DUMMYFUNCTION("""COMPUTED_VALUE"""),"")</f>
        <v/>
      </c>
    </row>
    <row r="14237">
      <c r="A14237" s="16" t="s">
        <v>87</v>
      </c>
      <c r="E14237" s="16" t="str">
        <f>IFERROR(__xludf.DUMMYFUNCTION("""COMPUTED_VALUE"""),"")</f>
        <v/>
      </c>
      <c r="G14237" s="18"/>
      <c r="H14237" s="16" t="s">
        <v>87</v>
      </c>
      <c r="I14237" s="16" t="s">
        <v>87</v>
      </c>
      <c r="J14237" s="19"/>
      <c r="L14237" s="16" t="str">
        <f>IFERROR(__xludf.DUMMYFUNCTION("""COMPUTED_VALUE"""),"")</f>
        <v/>
      </c>
      <c r="M14237" s="16" t="str">
        <f>IFERROR(__xludf.DUMMYFUNCTION("""COMPUTED_VALUE"""),"")</f>
        <v/>
      </c>
      <c r="U14237" s="16" t="s">
        <v>87</v>
      </c>
      <c r="V14237" s="16" t="str">
        <f>IFERROR(__xludf.DUMMYFUNCTION("""COMPUTED_VALUE"""),"")</f>
        <v/>
      </c>
      <c r="W14237" s="16" t="str">
        <f>IFERROR(__xludf.DUMMYFUNCTION("""COMPUTED_VALUE"""),"")</f>
        <v/>
      </c>
      <c r="X14237" s="16" t="str">
        <f>IFERROR(__xludf.DUMMYFUNCTION("""COMPUTED_VALUE"""),"")</f>
        <v/>
      </c>
      <c r="AC14237" s="16" t="str">
        <f>IFERROR(__xludf.DUMMYFUNCTION("""COMPUTED_VALUE"""),"")</f>
        <v/>
      </c>
    </row>
    <row r="14238">
      <c r="A14238" s="16" t="s">
        <v>87</v>
      </c>
      <c r="E14238" s="16" t="str">
        <f>IFERROR(__xludf.DUMMYFUNCTION("""COMPUTED_VALUE"""),"")</f>
        <v/>
      </c>
      <c r="G14238" s="18"/>
      <c r="H14238" s="16" t="s">
        <v>87</v>
      </c>
      <c r="I14238" s="16" t="s">
        <v>87</v>
      </c>
      <c r="J14238" s="19"/>
      <c r="L14238" s="16" t="str">
        <f>IFERROR(__xludf.DUMMYFUNCTION("""COMPUTED_VALUE"""),"")</f>
        <v/>
      </c>
      <c r="M14238" s="16" t="str">
        <f>IFERROR(__xludf.DUMMYFUNCTION("""COMPUTED_VALUE"""),"")</f>
        <v/>
      </c>
      <c r="U14238" s="16" t="s">
        <v>87</v>
      </c>
      <c r="V14238" s="16" t="str">
        <f>IFERROR(__xludf.DUMMYFUNCTION("""COMPUTED_VALUE"""),"")</f>
        <v/>
      </c>
      <c r="W14238" s="16" t="str">
        <f>IFERROR(__xludf.DUMMYFUNCTION("""COMPUTED_VALUE"""),"")</f>
        <v/>
      </c>
      <c r="X14238" s="16" t="str">
        <f>IFERROR(__xludf.DUMMYFUNCTION("""COMPUTED_VALUE"""),"")</f>
        <v/>
      </c>
      <c r="AC14238" s="16" t="str">
        <f>IFERROR(__xludf.DUMMYFUNCTION("""COMPUTED_VALUE"""),"")</f>
        <v/>
      </c>
    </row>
    <row r="14239">
      <c r="A14239" s="16" t="s">
        <v>87</v>
      </c>
      <c r="E14239" s="16" t="str">
        <f>IFERROR(__xludf.DUMMYFUNCTION("""COMPUTED_VALUE"""),"")</f>
        <v/>
      </c>
      <c r="G14239" s="18"/>
      <c r="H14239" s="16" t="s">
        <v>87</v>
      </c>
      <c r="I14239" s="16" t="s">
        <v>87</v>
      </c>
      <c r="J14239" s="19"/>
      <c r="L14239" s="16" t="str">
        <f>IFERROR(__xludf.DUMMYFUNCTION("""COMPUTED_VALUE"""),"")</f>
        <v/>
      </c>
      <c r="M14239" s="16" t="str">
        <f>IFERROR(__xludf.DUMMYFUNCTION("""COMPUTED_VALUE"""),"")</f>
        <v/>
      </c>
      <c r="U14239" s="16" t="s">
        <v>87</v>
      </c>
      <c r="V14239" s="16" t="str">
        <f>IFERROR(__xludf.DUMMYFUNCTION("""COMPUTED_VALUE"""),"")</f>
        <v/>
      </c>
      <c r="W14239" s="16" t="str">
        <f>IFERROR(__xludf.DUMMYFUNCTION("""COMPUTED_VALUE"""),"")</f>
        <v/>
      </c>
      <c r="X14239" s="16" t="str">
        <f>IFERROR(__xludf.DUMMYFUNCTION("""COMPUTED_VALUE"""),"")</f>
        <v/>
      </c>
      <c r="AC14239" s="16" t="str">
        <f>IFERROR(__xludf.DUMMYFUNCTION("""COMPUTED_VALUE"""),"")</f>
        <v/>
      </c>
    </row>
    <row r="14240">
      <c r="A14240" s="16" t="s">
        <v>87</v>
      </c>
      <c r="E14240" s="16" t="str">
        <f>IFERROR(__xludf.DUMMYFUNCTION("""COMPUTED_VALUE"""),"")</f>
        <v/>
      </c>
      <c r="G14240" s="18"/>
      <c r="H14240" s="16" t="s">
        <v>87</v>
      </c>
      <c r="I14240" s="16" t="s">
        <v>87</v>
      </c>
      <c r="J14240" s="19"/>
      <c r="L14240" s="16" t="str">
        <f>IFERROR(__xludf.DUMMYFUNCTION("""COMPUTED_VALUE"""),"")</f>
        <v/>
      </c>
      <c r="M14240" s="16" t="str">
        <f>IFERROR(__xludf.DUMMYFUNCTION("""COMPUTED_VALUE"""),"")</f>
        <v/>
      </c>
      <c r="U14240" s="16" t="s">
        <v>87</v>
      </c>
      <c r="V14240" s="16" t="str">
        <f>IFERROR(__xludf.DUMMYFUNCTION("""COMPUTED_VALUE"""),"")</f>
        <v/>
      </c>
      <c r="W14240" s="16" t="str">
        <f>IFERROR(__xludf.DUMMYFUNCTION("""COMPUTED_VALUE"""),"")</f>
        <v/>
      </c>
      <c r="X14240" s="16" t="str">
        <f>IFERROR(__xludf.DUMMYFUNCTION("""COMPUTED_VALUE"""),"")</f>
        <v/>
      </c>
      <c r="AC14240" s="16" t="str">
        <f>IFERROR(__xludf.DUMMYFUNCTION("""COMPUTED_VALUE"""),"")</f>
        <v/>
      </c>
    </row>
    <row r="14241">
      <c r="A14241" s="16" t="s">
        <v>87</v>
      </c>
      <c r="E14241" s="16" t="str">
        <f>IFERROR(__xludf.DUMMYFUNCTION("""COMPUTED_VALUE"""),"")</f>
        <v/>
      </c>
      <c r="G14241" s="18"/>
      <c r="H14241" s="16" t="s">
        <v>87</v>
      </c>
      <c r="I14241" s="16" t="s">
        <v>87</v>
      </c>
      <c r="J14241" s="19"/>
      <c r="L14241" s="16" t="str">
        <f>IFERROR(__xludf.DUMMYFUNCTION("""COMPUTED_VALUE"""),"")</f>
        <v/>
      </c>
      <c r="M14241" s="16" t="str">
        <f>IFERROR(__xludf.DUMMYFUNCTION("""COMPUTED_VALUE"""),"")</f>
        <v/>
      </c>
      <c r="U14241" s="16" t="s">
        <v>87</v>
      </c>
      <c r="V14241" s="16" t="str">
        <f>IFERROR(__xludf.DUMMYFUNCTION("""COMPUTED_VALUE"""),"")</f>
        <v/>
      </c>
      <c r="W14241" s="16" t="str">
        <f>IFERROR(__xludf.DUMMYFUNCTION("""COMPUTED_VALUE"""),"")</f>
        <v/>
      </c>
      <c r="X14241" s="16" t="str">
        <f>IFERROR(__xludf.DUMMYFUNCTION("""COMPUTED_VALUE"""),"")</f>
        <v/>
      </c>
      <c r="AC14241" s="16" t="str">
        <f>IFERROR(__xludf.DUMMYFUNCTION("""COMPUTED_VALUE"""),"")</f>
        <v/>
      </c>
    </row>
    <row r="14242">
      <c r="A14242" s="16" t="s">
        <v>87</v>
      </c>
      <c r="E14242" s="16" t="str">
        <f>IFERROR(__xludf.DUMMYFUNCTION("""COMPUTED_VALUE"""),"")</f>
        <v/>
      </c>
      <c r="G14242" s="18"/>
      <c r="H14242" s="16" t="s">
        <v>87</v>
      </c>
      <c r="I14242" s="16" t="s">
        <v>87</v>
      </c>
      <c r="J14242" s="19"/>
      <c r="L14242" s="16" t="str">
        <f>IFERROR(__xludf.DUMMYFUNCTION("""COMPUTED_VALUE"""),"")</f>
        <v/>
      </c>
      <c r="M14242" s="16" t="str">
        <f>IFERROR(__xludf.DUMMYFUNCTION("""COMPUTED_VALUE"""),"")</f>
        <v/>
      </c>
      <c r="U14242" s="16" t="s">
        <v>87</v>
      </c>
      <c r="V14242" s="16" t="str">
        <f>IFERROR(__xludf.DUMMYFUNCTION("""COMPUTED_VALUE"""),"")</f>
        <v/>
      </c>
      <c r="W14242" s="16" t="str">
        <f>IFERROR(__xludf.DUMMYFUNCTION("""COMPUTED_VALUE"""),"")</f>
        <v/>
      </c>
      <c r="X14242" s="16" t="str">
        <f>IFERROR(__xludf.DUMMYFUNCTION("""COMPUTED_VALUE"""),"")</f>
        <v/>
      </c>
      <c r="AC14242" s="16" t="str">
        <f>IFERROR(__xludf.DUMMYFUNCTION("""COMPUTED_VALUE"""),"")</f>
        <v/>
      </c>
    </row>
    <row r="14243">
      <c r="A14243" s="16" t="s">
        <v>87</v>
      </c>
      <c r="E14243" s="16" t="str">
        <f>IFERROR(__xludf.DUMMYFUNCTION("""COMPUTED_VALUE"""),"")</f>
        <v/>
      </c>
      <c r="G14243" s="18"/>
      <c r="H14243" s="16" t="s">
        <v>87</v>
      </c>
      <c r="I14243" s="16" t="s">
        <v>87</v>
      </c>
      <c r="J14243" s="19"/>
      <c r="L14243" s="16" t="str">
        <f>IFERROR(__xludf.DUMMYFUNCTION("""COMPUTED_VALUE"""),"")</f>
        <v/>
      </c>
      <c r="M14243" s="16" t="str">
        <f>IFERROR(__xludf.DUMMYFUNCTION("""COMPUTED_VALUE"""),"")</f>
        <v/>
      </c>
      <c r="U14243" s="16" t="s">
        <v>87</v>
      </c>
      <c r="V14243" s="16" t="str">
        <f>IFERROR(__xludf.DUMMYFUNCTION("""COMPUTED_VALUE"""),"")</f>
        <v/>
      </c>
      <c r="W14243" s="16" t="str">
        <f>IFERROR(__xludf.DUMMYFUNCTION("""COMPUTED_VALUE"""),"")</f>
        <v/>
      </c>
      <c r="X14243" s="16" t="str">
        <f>IFERROR(__xludf.DUMMYFUNCTION("""COMPUTED_VALUE"""),"")</f>
        <v/>
      </c>
      <c r="AC14243" s="16" t="str">
        <f>IFERROR(__xludf.DUMMYFUNCTION("""COMPUTED_VALUE"""),"")</f>
        <v/>
      </c>
    </row>
    <row r="14244">
      <c r="A14244" s="16" t="s">
        <v>87</v>
      </c>
      <c r="E14244" s="16" t="str">
        <f>IFERROR(__xludf.DUMMYFUNCTION("""COMPUTED_VALUE"""),"")</f>
        <v/>
      </c>
      <c r="G14244" s="18"/>
      <c r="H14244" s="16" t="s">
        <v>87</v>
      </c>
      <c r="I14244" s="16" t="s">
        <v>87</v>
      </c>
      <c r="J14244" s="19"/>
      <c r="L14244" s="16" t="str">
        <f>IFERROR(__xludf.DUMMYFUNCTION("""COMPUTED_VALUE"""),"")</f>
        <v/>
      </c>
      <c r="M14244" s="16" t="str">
        <f>IFERROR(__xludf.DUMMYFUNCTION("""COMPUTED_VALUE"""),"")</f>
        <v/>
      </c>
      <c r="U14244" s="16" t="s">
        <v>87</v>
      </c>
      <c r="V14244" s="16" t="str">
        <f>IFERROR(__xludf.DUMMYFUNCTION("""COMPUTED_VALUE"""),"")</f>
        <v/>
      </c>
      <c r="W14244" s="16" t="str">
        <f>IFERROR(__xludf.DUMMYFUNCTION("""COMPUTED_VALUE"""),"")</f>
        <v/>
      </c>
      <c r="X14244" s="16" t="str">
        <f>IFERROR(__xludf.DUMMYFUNCTION("""COMPUTED_VALUE"""),"")</f>
        <v/>
      </c>
      <c r="AC14244" s="16" t="str">
        <f>IFERROR(__xludf.DUMMYFUNCTION("""COMPUTED_VALUE"""),"")</f>
        <v/>
      </c>
    </row>
    <row r="14245">
      <c r="A14245" s="16" t="s">
        <v>87</v>
      </c>
      <c r="E14245" s="16" t="str">
        <f>IFERROR(__xludf.DUMMYFUNCTION("""COMPUTED_VALUE"""),"")</f>
        <v/>
      </c>
      <c r="G14245" s="18"/>
      <c r="H14245" s="16" t="s">
        <v>87</v>
      </c>
      <c r="I14245" s="16" t="s">
        <v>87</v>
      </c>
      <c r="J14245" s="19"/>
      <c r="L14245" s="16" t="str">
        <f>IFERROR(__xludf.DUMMYFUNCTION("""COMPUTED_VALUE"""),"")</f>
        <v/>
      </c>
      <c r="M14245" s="16" t="str">
        <f>IFERROR(__xludf.DUMMYFUNCTION("""COMPUTED_VALUE"""),"")</f>
        <v/>
      </c>
      <c r="U14245" s="16" t="s">
        <v>87</v>
      </c>
      <c r="V14245" s="16" t="str">
        <f>IFERROR(__xludf.DUMMYFUNCTION("""COMPUTED_VALUE"""),"")</f>
        <v/>
      </c>
      <c r="W14245" s="16" t="str">
        <f>IFERROR(__xludf.DUMMYFUNCTION("""COMPUTED_VALUE"""),"")</f>
        <v/>
      </c>
      <c r="X14245" s="16" t="str">
        <f>IFERROR(__xludf.DUMMYFUNCTION("""COMPUTED_VALUE"""),"")</f>
        <v/>
      </c>
      <c r="AC14245" s="16" t="str">
        <f>IFERROR(__xludf.DUMMYFUNCTION("""COMPUTED_VALUE"""),"")</f>
        <v/>
      </c>
    </row>
    <row r="14246">
      <c r="A14246" s="16" t="s">
        <v>87</v>
      </c>
      <c r="E14246" s="16" t="str">
        <f>IFERROR(__xludf.DUMMYFUNCTION("""COMPUTED_VALUE"""),"")</f>
        <v/>
      </c>
      <c r="G14246" s="18"/>
      <c r="H14246" s="16" t="s">
        <v>87</v>
      </c>
      <c r="I14246" s="16" t="s">
        <v>87</v>
      </c>
      <c r="J14246" s="19"/>
      <c r="L14246" s="16" t="str">
        <f>IFERROR(__xludf.DUMMYFUNCTION("""COMPUTED_VALUE"""),"")</f>
        <v/>
      </c>
      <c r="M14246" s="16" t="str">
        <f>IFERROR(__xludf.DUMMYFUNCTION("""COMPUTED_VALUE"""),"")</f>
        <v/>
      </c>
      <c r="U14246" s="16" t="s">
        <v>87</v>
      </c>
      <c r="V14246" s="16" t="str">
        <f>IFERROR(__xludf.DUMMYFUNCTION("""COMPUTED_VALUE"""),"")</f>
        <v/>
      </c>
      <c r="W14246" s="16" t="str">
        <f>IFERROR(__xludf.DUMMYFUNCTION("""COMPUTED_VALUE"""),"")</f>
        <v/>
      </c>
      <c r="X14246" s="16" t="str">
        <f>IFERROR(__xludf.DUMMYFUNCTION("""COMPUTED_VALUE"""),"")</f>
        <v/>
      </c>
      <c r="AC14246" s="16" t="str">
        <f>IFERROR(__xludf.DUMMYFUNCTION("""COMPUTED_VALUE"""),"")</f>
        <v/>
      </c>
    </row>
    <row r="14247">
      <c r="A14247" s="16" t="s">
        <v>87</v>
      </c>
      <c r="E14247" s="16" t="str">
        <f>IFERROR(__xludf.DUMMYFUNCTION("""COMPUTED_VALUE"""),"")</f>
        <v/>
      </c>
      <c r="G14247" s="18"/>
      <c r="H14247" s="16" t="s">
        <v>87</v>
      </c>
      <c r="I14247" s="16" t="s">
        <v>87</v>
      </c>
      <c r="J14247" s="19"/>
      <c r="L14247" s="16" t="str">
        <f>IFERROR(__xludf.DUMMYFUNCTION("""COMPUTED_VALUE"""),"")</f>
        <v/>
      </c>
      <c r="M14247" s="16" t="str">
        <f>IFERROR(__xludf.DUMMYFUNCTION("""COMPUTED_VALUE"""),"")</f>
        <v/>
      </c>
      <c r="U14247" s="16" t="s">
        <v>87</v>
      </c>
      <c r="V14247" s="16" t="str">
        <f>IFERROR(__xludf.DUMMYFUNCTION("""COMPUTED_VALUE"""),"")</f>
        <v/>
      </c>
      <c r="W14247" s="16" t="str">
        <f>IFERROR(__xludf.DUMMYFUNCTION("""COMPUTED_VALUE"""),"")</f>
        <v/>
      </c>
      <c r="X14247" s="16" t="str">
        <f>IFERROR(__xludf.DUMMYFUNCTION("""COMPUTED_VALUE"""),"")</f>
        <v/>
      </c>
      <c r="AC14247" s="16" t="str">
        <f>IFERROR(__xludf.DUMMYFUNCTION("""COMPUTED_VALUE"""),"")</f>
        <v/>
      </c>
    </row>
    <row r="14248">
      <c r="A14248" s="16" t="s">
        <v>87</v>
      </c>
      <c r="E14248" s="16" t="str">
        <f>IFERROR(__xludf.DUMMYFUNCTION("""COMPUTED_VALUE"""),"")</f>
        <v/>
      </c>
      <c r="G14248" s="18"/>
      <c r="H14248" s="16" t="s">
        <v>87</v>
      </c>
      <c r="I14248" s="16" t="s">
        <v>87</v>
      </c>
      <c r="J14248" s="19"/>
      <c r="L14248" s="16" t="str">
        <f>IFERROR(__xludf.DUMMYFUNCTION("""COMPUTED_VALUE"""),"")</f>
        <v/>
      </c>
      <c r="M14248" s="16" t="str">
        <f>IFERROR(__xludf.DUMMYFUNCTION("""COMPUTED_VALUE"""),"")</f>
        <v/>
      </c>
      <c r="U14248" s="16" t="s">
        <v>87</v>
      </c>
      <c r="V14248" s="16" t="str">
        <f>IFERROR(__xludf.DUMMYFUNCTION("""COMPUTED_VALUE"""),"")</f>
        <v/>
      </c>
      <c r="W14248" s="16" t="str">
        <f>IFERROR(__xludf.DUMMYFUNCTION("""COMPUTED_VALUE"""),"")</f>
        <v/>
      </c>
      <c r="X14248" s="16" t="str">
        <f>IFERROR(__xludf.DUMMYFUNCTION("""COMPUTED_VALUE"""),"")</f>
        <v/>
      </c>
      <c r="AC14248" s="16" t="str">
        <f>IFERROR(__xludf.DUMMYFUNCTION("""COMPUTED_VALUE"""),"")</f>
        <v/>
      </c>
    </row>
    <row r="14249">
      <c r="A14249" s="16" t="s">
        <v>87</v>
      </c>
      <c r="E14249" s="16" t="str">
        <f>IFERROR(__xludf.DUMMYFUNCTION("""COMPUTED_VALUE"""),"")</f>
        <v/>
      </c>
      <c r="G14249" s="18"/>
      <c r="H14249" s="16" t="s">
        <v>87</v>
      </c>
      <c r="I14249" s="16" t="s">
        <v>87</v>
      </c>
      <c r="J14249" s="19"/>
      <c r="L14249" s="16" t="str">
        <f>IFERROR(__xludf.DUMMYFUNCTION("""COMPUTED_VALUE"""),"")</f>
        <v/>
      </c>
      <c r="M14249" s="16" t="str">
        <f>IFERROR(__xludf.DUMMYFUNCTION("""COMPUTED_VALUE"""),"")</f>
        <v/>
      </c>
      <c r="U14249" s="16" t="s">
        <v>87</v>
      </c>
      <c r="V14249" s="16" t="str">
        <f>IFERROR(__xludf.DUMMYFUNCTION("""COMPUTED_VALUE"""),"")</f>
        <v/>
      </c>
      <c r="W14249" s="16" t="str">
        <f>IFERROR(__xludf.DUMMYFUNCTION("""COMPUTED_VALUE"""),"")</f>
        <v/>
      </c>
      <c r="X14249" s="16" t="str">
        <f>IFERROR(__xludf.DUMMYFUNCTION("""COMPUTED_VALUE"""),"")</f>
        <v/>
      </c>
      <c r="AC14249" s="16" t="str">
        <f>IFERROR(__xludf.DUMMYFUNCTION("""COMPUTED_VALUE"""),"")</f>
        <v/>
      </c>
    </row>
    <row r="14250">
      <c r="A14250" s="16" t="s">
        <v>87</v>
      </c>
      <c r="E14250" s="16" t="str">
        <f>IFERROR(__xludf.DUMMYFUNCTION("""COMPUTED_VALUE"""),"")</f>
        <v/>
      </c>
      <c r="G14250" s="18"/>
      <c r="H14250" s="16" t="s">
        <v>87</v>
      </c>
      <c r="I14250" s="16" t="s">
        <v>87</v>
      </c>
      <c r="J14250" s="19"/>
      <c r="L14250" s="16" t="str">
        <f>IFERROR(__xludf.DUMMYFUNCTION("""COMPUTED_VALUE"""),"")</f>
        <v/>
      </c>
      <c r="M14250" s="16" t="str">
        <f>IFERROR(__xludf.DUMMYFUNCTION("""COMPUTED_VALUE"""),"")</f>
        <v/>
      </c>
      <c r="U14250" s="16" t="s">
        <v>87</v>
      </c>
      <c r="V14250" s="16" t="str">
        <f>IFERROR(__xludf.DUMMYFUNCTION("""COMPUTED_VALUE"""),"")</f>
        <v/>
      </c>
      <c r="W14250" s="16" t="str">
        <f>IFERROR(__xludf.DUMMYFUNCTION("""COMPUTED_VALUE"""),"")</f>
        <v/>
      </c>
      <c r="X14250" s="16" t="str">
        <f>IFERROR(__xludf.DUMMYFUNCTION("""COMPUTED_VALUE"""),"")</f>
        <v/>
      </c>
      <c r="AC14250" s="16" t="str">
        <f>IFERROR(__xludf.DUMMYFUNCTION("""COMPUTED_VALUE"""),"")</f>
        <v/>
      </c>
    </row>
    <row r="14251">
      <c r="A14251" s="16" t="s">
        <v>87</v>
      </c>
      <c r="E14251" s="16" t="str">
        <f>IFERROR(__xludf.DUMMYFUNCTION("""COMPUTED_VALUE"""),"")</f>
        <v/>
      </c>
      <c r="G14251" s="18"/>
      <c r="H14251" s="16" t="s">
        <v>87</v>
      </c>
      <c r="I14251" s="16" t="s">
        <v>87</v>
      </c>
      <c r="J14251" s="19"/>
      <c r="L14251" s="16" t="str">
        <f>IFERROR(__xludf.DUMMYFUNCTION("""COMPUTED_VALUE"""),"")</f>
        <v/>
      </c>
      <c r="M14251" s="16" t="str">
        <f>IFERROR(__xludf.DUMMYFUNCTION("""COMPUTED_VALUE"""),"")</f>
        <v/>
      </c>
      <c r="U14251" s="16" t="s">
        <v>87</v>
      </c>
      <c r="V14251" s="16" t="str">
        <f>IFERROR(__xludf.DUMMYFUNCTION("""COMPUTED_VALUE"""),"")</f>
        <v/>
      </c>
      <c r="W14251" s="16" t="str">
        <f>IFERROR(__xludf.DUMMYFUNCTION("""COMPUTED_VALUE"""),"")</f>
        <v/>
      </c>
      <c r="X14251" s="16" t="str">
        <f>IFERROR(__xludf.DUMMYFUNCTION("""COMPUTED_VALUE"""),"")</f>
        <v/>
      </c>
      <c r="AC14251" s="16" t="str">
        <f>IFERROR(__xludf.DUMMYFUNCTION("""COMPUTED_VALUE"""),"")</f>
        <v/>
      </c>
    </row>
    <row r="14252">
      <c r="A14252" s="16" t="s">
        <v>87</v>
      </c>
      <c r="E14252" s="16" t="str">
        <f>IFERROR(__xludf.DUMMYFUNCTION("""COMPUTED_VALUE"""),"")</f>
        <v/>
      </c>
      <c r="G14252" s="18"/>
      <c r="H14252" s="16" t="s">
        <v>87</v>
      </c>
      <c r="I14252" s="16" t="s">
        <v>87</v>
      </c>
      <c r="J14252" s="19"/>
      <c r="L14252" s="16" t="str">
        <f>IFERROR(__xludf.DUMMYFUNCTION("""COMPUTED_VALUE"""),"")</f>
        <v/>
      </c>
      <c r="M14252" s="16" t="str">
        <f>IFERROR(__xludf.DUMMYFUNCTION("""COMPUTED_VALUE"""),"")</f>
        <v/>
      </c>
      <c r="U14252" s="16" t="s">
        <v>87</v>
      </c>
      <c r="V14252" s="16" t="str">
        <f>IFERROR(__xludf.DUMMYFUNCTION("""COMPUTED_VALUE"""),"")</f>
        <v/>
      </c>
      <c r="W14252" s="16" t="str">
        <f>IFERROR(__xludf.DUMMYFUNCTION("""COMPUTED_VALUE"""),"")</f>
        <v/>
      </c>
      <c r="X14252" s="16" t="str">
        <f>IFERROR(__xludf.DUMMYFUNCTION("""COMPUTED_VALUE"""),"")</f>
        <v/>
      </c>
      <c r="AC14252" s="16" t="str">
        <f>IFERROR(__xludf.DUMMYFUNCTION("""COMPUTED_VALUE"""),"")</f>
        <v/>
      </c>
    </row>
    <row r="14253">
      <c r="A14253" s="16" t="s">
        <v>87</v>
      </c>
      <c r="E14253" s="16" t="str">
        <f>IFERROR(__xludf.DUMMYFUNCTION("""COMPUTED_VALUE"""),"")</f>
        <v/>
      </c>
      <c r="G14253" s="18"/>
      <c r="H14253" s="16" t="s">
        <v>87</v>
      </c>
      <c r="I14253" s="16" t="s">
        <v>87</v>
      </c>
      <c r="J14253" s="19"/>
      <c r="L14253" s="16" t="str">
        <f>IFERROR(__xludf.DUMMYFUNCTION("""COMPUTED_VALUE"""),"")</f>
        <v/>
      </c>
      <c r="M14253" s="16" t="str">
        <f>IFERROR(__xludf.DUMMYFUNCTION("""COMPUTED_VALUE"""),"")</f>
        <v/>
      </c>
      <c r="U14253" s="16" t="s">
        <v>87</v>
      </c>
      <c r="V14253" s="16" t="str">
        <f>IFERROR(__xludf.DUMMYFUNCTION("""COMPUTED_VALUE"""),"")</f>
        <v/>
      </c>
      <c r="W14253" s="16" t="str">
        <f>IFERROR(__xludf.DUMMYFUNCTION("""COMPUTED_VALUE"""),"")</f>
        <v/>
      </c>
      <c r="X14253" s="16" t="str">
        <f>IFERROR(__xludf.DUMMYFUNCTION("""COMPUTED_VALUE"""),"")</f>
        <v/>
      </c>
      <c r="AC14253" s="16" t="str">
        <f>IFERROR(__xludf.DUMMYFUNCTION("""COMPUTED_VALUE"""),"")</f>
        <v/>
      </c>
    </row>
    <row r="14254">
      <c r="A14254" s="16" t="s">
        <v>87</v>
      </c>
      <c r="E14254" s="16" t="str">
        <f>IFERROR(__xludf.DUMMYFUNCTION("""COMPUTED_VALUE"""),"")</f>
        <v/>
      </c>
      <c r="G14254" s="18"/>
      <c r="H14254" s="16" t="s">
        <v>87</v>
      </c>
      <c r="I14254" s="16" t="s">
        <v>87</v>
      </c>
      <c r="J14254" s="19"/>
      <c r="L14254" s="16" t="str">
        <f>IFERROR(__xludf.DUMMYFUNCTION("""COMPUTED_VALUE"""),"")</f>
        <v/>
      </c>
      <c r="M14254" s="16" t="str">
        <f>IFERROR(__xludf.DUMMYFUNCTION("""COMPUTED_VALUE"""),"")</f>
        <v/>
      </c>
      <c r="U14254" s="16" t="s">
        <v>87</v>
      </c>
      <c r="V14254" s="16" t="str">
        <f>IFERROR(__xludf.DUMMYFUNCTION("""COMPUTED_VALUE"""),"")</f>
        <v/>
      </c>
      <c r="W14254" s="16" t="str">
        <f>IFERROR(__xludf.DUMMYFUNCTION("""COMPUTED_VALUE"""),"")</f>
        <v/>
      </c>
      <c r="X14254" s="16" t="str">
        <f>IFERROR(__xludf.DUMMYFUNCTION("""COMPUTED_VALUE"""),"")</f>
        <v/>
      </c>
      <c r="AC14254" s="16" t="str">
        <f>IFERROR(__xludf.DUMMYFUNCTION("""COMPUTED_VALUE"""),"")</f>
        <v/>
      </c>
    </row>
    <row r="14255">
      <c r="A14255" s="16" t="s">
        <v>87</v>
      </c>
      <c r="E14255" s="16" t="str">
        <f>IFERROR(__xludf.DUMMYFUNCTION("""COMPUTED_VALUE"""),"")</f>
        <v/>
      </c>
      <c r="G14255" s="18"/>
      <c r="H14255" s="16" t="s">
        <v>87</v>
      </c>
      <c r="I14255" s="16" t="s">
        <v>87</v>
      </c>
      <c r="J14255" s="19"/>
      <c r="L14255" s="16" t="str">
        <f>IFERROR(__xludf.DUMMYFUNCTION("""COMPUTED_VALUE"""),"")</f>
        <v/>
      </c>
      <c r="M14255" s="16" t="str">
        <f>IFERROR(__xludf.DUMMYFUNCTION("""COMPUTED_VALUE"""),"")</f>
        <v/>
      </c>
      <c r="U14255" s="16" t="s">
        <v>87</v>
      </c>
      <c r="V14255" s="16" t="str">
        <f>IFERROR(__xludf.DUMMYFUNCTION("""COMPUTED_VALUE"""),"")</f>
        <v/>
      </c>
      <c r="W14255" s="16" t="str">
        <f>IFERROR(__xludf.DUMMYFUNCTION("""COMPUTED_VALUE"""),"")</f>
        <v/>
      </c>
      <c r="X14255" s="16" t="str">
        <f>IFERROR(__xludf.DUMMYFUNCTION("""COMPUTED_VALUE"""),"")</f>
        <v/>
      </c>
      <c r="AC14255" s="16" t="str">
        <f>IFERROR(__xludf.DUMMYFUNCTION("""COMPUTED_VALUE"""),"")</f>
        <v/>
      </c>
    </row>
    <row r="14256">
      <c r="A14256" s="16" t="s">
        <v>87</v>
      </c>
      <c r="E14256" s="16" t="str">
        <f>IFERROR(__xludf.DUMMYFUNCTION("""COMPUTED_VALUE"""),"")</f>
        <v/>
      </c>
      <c r="G14256" s="18"/>
      <c r="H14256" s="16" t="s">
        <v>87</v>
      </c>
      <c r="I14256" s="16" t="s">
        <v>87</v>
      </c>
      <c r="J14256" s="19"/>
      <c r="L14256" s="16" t="str">
        <f>IFERROR(__xludf.DUMMYFUNCTION("""COMPUTED_VALUE"""),"")</f>
        <v/>
      </c>
      <c r="M14256" s="16" t="str">
        <f>IFERROR(__xludf.DUMMYFUNCTION("""COMPUTED_VALUE"""),"")</f>
        <v/>
      </c>
      <c r="U14256" s="16" t="s">
        <v>87</v>
      </c>
      <c r="V14256" s="16" t="str">
        <f>IFERROR(__xludf.DUMMYFUNCTION("""COMPUTED_VALUE"""),"")</f>
        <v/>
      </c>
      <c r="W14256" s="16" t="str">
        <f>IFERROR(__xludf.DUMMYFUNCTION("""COMPUTED_VALUE"""),"")</f>
        <v/>
      </c>
      <c r="X14256" s="16" t="str">
        <f>IFERROR(__xludf.DUMMYFUNCTION("""COMPUTED_VALUE"""),"")</f>
        <v/>
      </c>
      <c r="AC14256" s="16" t="str">
        <f>IFERROR(__xludf.DUMMYFUNCTION("""COMPUTED_VALUE"""),"")</f>
        <v/>
      </c>
    </row>
    <row r="14257">
      <c r="A14257" s="16" t="s">
        <v>87</v>
      </c>
      <c r="E14257" s="16" t="str">
        <f>IFERROR(__xludf.DUMMYFUNCTION("""COMPUTED_VALUE"""),"")</f>
        <v/>
      </c>
      <c r="G14257" s="18"/>
      <c r="H14257" s="16" t="s">
        <v>87</v>
      </c>
      <c r="I14257" s="16" t="s">
        <v>87</v>
      </c>
      <c r="J14257" s="19"/>
      <c r="L14257" s="16" t="str">
        <f>IFERROR(__xludf.DUMMYFUNCTION("""COMPUTED_VALUE"""),"")</f>
        <v/>
      </c>
      <c r="M14257" s="16" t="str">
        <f>IFERROR(__xludf.DUMMYFUNCTION("""COMPUTED_VALUE"""),"")</f>
        <v/>
      </c>
      <c r="U14257" s="16" t="s">
        <v>87</v>
      </c>
      <c r="V14257" s="16" t="str">
        <f>IFERROR(__xludf.DUMMYFUNCTION("""COMPUTED_VALUE"""),"")</f>
        <v/>
      </c>
      <c r="W14257" s="16" t="str">
        <f>IFERROR(__xludf.DUMMYFUNCTION("""COMPUTED_VALUE"""),"")</f>
        <v/>
      </c>
      <c r="X14257" s="16" t="str">
        <f>IFERROR(__xludf.DUMMYFUNCTION("""COMPUTED_VALUE"""),"")</f>
        <v/>
      </c>
      <c r="AC14257" s="16" t="str">
        <f>IFERROR(__xludf.DUMMYFUNCTION("""COMPUTED_VALUE"""),"")</f>
        <v/>
      </c>
    </row>
    <row r="14258">
      <c r="A14258" s="16" t="s">
        <v>87</v>
      </c>
      <c r="E14258" s="16" t="str">
        <f>IFERROR(__xludf.DUMMYFUNCTION("""COMPUTED_VALUE"""),"")</f>
        <v/>
      </c>
      <c r="G14258" s="18"/>
      <c r="H14258" s="16" t="s">
        <v>87</v>
      </c>
      <c r="I14258" s="16" t="s">
        <v>87</v>
      </c>
      <c r="J14258" s="19"/>
      <c r="L14258" s="16" t="str">
        <f>IFERROR(__xludf.DUMMYFUNCTION("""COMPUTED_VALUE"""),"")</f>
        <v/>
      </c>
      <c r="M14258" s="16" t="str">
        <f>IFERROR(__xludf.DUMMYFUNCTION("""COMPUTED_VALUE"""),"")</f>
        <v/>
      </c>
      <c r="U14258" s="16" t="s">
        <v>87</v>
      </c>
      <c r="V14258" s="16" t="str">
        <f>IFERROR(__xludf.DUMMYFUNCTION("""COMPUTED_VALUE"""),"")</f>
        <v/>
      </c>
      <c r="W14258" s="16" t="str">
        <f>IFERROR(__xludf.DUMMYFUNCTION("""COMPUTED_VALUE"""),"")</f>
        <v/>
      </c>
      <c r="X14258" s="16" t="str">
        <f>IFERROR(__xludf.DUMMYFUNCTION("""COMPUTED_VALUE"""),"")</f>
        <v/>
      </c>
      <c r="AC14258" s="16" t="str">
        <f>IFERROR(__xludf.DUMMYFUNCTION("""COMPUTED_VALUE"""),"")</f>
        <v/>
      </c>
    </row>
    <row r="14259">
      <c r="A14259" s="16" t="s">
        <v>87</v>
      </c>
      <c r="E14259" s="16" t="str">
        <f>IFERROR(__xludf.DUMMYFUNCTION("""COMPUTED_VALUE"""),"")</f>
        <v/>
      </c>
      <c r="G14259" s="18"/>
      <c r="H14259" s="16" t="s">
        <v>87</v>
      </c>
      <c r="I14259" s="16" t="s">
        <v>87</v>
      </c>
      <c r="J14259" s="19"/>
      <c r="L14259" s="16" t="str">
        <f>IFERROR(__xludf.DUMMYFUNCTION("""COMPUTED_VALUE"""),"")</f>
        <v/>
      </c>
      <c r="M14259" s="16" t="str">
        <f>IFERROR(__xludf.DUMMYFUNCTION("""COMPUTED_VALUE"""),"")</f>
        <v/>
      </c>
      <c r="U14259" s="16" t="s">
        <v>87</v>
      </c>
      <c r="V14259" s="16" t="str">
        <f>IFERROR(__xludf.DUMMYFUNCTION("""COMPUTED_VALUE"""),"")</f>
        <v/>
      </c>
      <c r="W14259" s="16" t="str">
        <f>IFERROR(__xludf.DUMMYFUNCTION("""COMPUTED_VALUE"""),"")</f>
        <v/>
      </c>
      <c r="X14259" s="16" t="str">
        <f>IFERROR(__xludf.DUMMYFUNCTION("""COMPUTED_VALUE"""),"")</f>
        <v/>
      </c>
      <c r="AC14259" s="16" t="str">
        <f>IFERROR(__xludf.DUMMYFUNCTION("""COMPUTED_VALUE"""),"")</f>
        <v/>
      </c>
    </row>
    <row r="14260">
      <c r="A14260" s="16" t="s">
        <v>87</v>
      </c>
      <c r="E14260" s="16" t="str">
        <f>IFERROR(__xludf.DUMMYFUNCTION("""COMPUTED_VALUE"""),"")</f>
        <v/>
      </c>
      <c r="G14260" s="18"/>
      <c r="H14260" s="16" t="s">
        <v>87</v>
      </c>
      <c r="I14260" s="16" t="s">
        <v>87</v>
      </c>
      <c r="J14260" s="19"/>
      <c r="L14260" s="16" t="str">
        <f>IFERROR(__xludf.DUMMYFUNCTION("""COMPUTED_VALUE"""),"")</f>
        <v/>
      </c>
      <c r="M14260" s="16" t="str">
        <f>IFERROR(__xludf.DUMMYFUNCTION("""COMPUTED_VALUE"""),"")</f>
        <v/>
      </c>
      <c r="U14260" s="16" t="s">
        <v>87</v>
      </c>
      <c r="V14260" s="16" t="str">
        <f>IFERROR(__xludf.DUMMYFUNCTION("""COMPUTED_VALUE"""),"")</f>
        <v/>
      </c>
      <c r="W14260" s="16" t="str">
        <f>IFERROR(__xludf.DUMMYFUNCTION("""COMPUTED_VALUE"""),"")</f>
        <v/>
      </c>
      <c r="X14260" s="16" t="str">
        <f>IFERROR(__xludf.DUMMYFUNCTION("""COMPUTED_VALUE"""),"")</f>
        <v/>
      </c>
      <c r="AC14260" s="16" t="str">
        <f>IFERROR(__xludf.DUMMYFUNCTION("""COMPUTED_VALUE"""),"")</f>
        <v/>
      </c>
    </row>
    <row r="14261">
      <c r="A14261" s="16" t="s">
        <v>87</v>
      </c>
      <c r="E14261" s="16" t="str">
        <f>IFERROR(__xludf.DUMMYFUNCTION("""COMPUTED_VALUE"""),"")</f>
        <v/>
      </c>
      <c r="G14261" s="18"/>
      <c r="H14261" s="16" t="s">
        <v>87</v>
      </c>
      <c r="I14261" s="16" t="s">
        <v>87</v>
      </c>
      <c r="J14261" s="19"/>
      <c r="L14261" s="16" t="str">
        <f>IFERROR(__xludf.DUMMYFUNCTION("""COMPUTED_VALUE"""),"")</f>
        <v/>
      </c>
      <c r="M14261" s="16" t="str">
        <f>IFERROR(__xludf.DUMMYFUNCTION("""COMPUTED_VALUE"""),"")</f>
        <v/>
      </c>
      <c r="U14261" s="16" t="s">
        <v>87</v>
      </c>
      <c r="V14261" s="16" t="str">
        <f>IFERROR(__xludf.DUMMYFUNCTION("""COMPUTED_VALUE"""),"")</f>
        <v/>
      </c>
      <c r="W14261" s="16" t="str">
        <f>IFERROR(__xludf.DUMMYFUNCTION("""COMPUTED_VALUE"""),"")</f>
        <v/>
      </c>
      <c r="X14261" s="16" t="str">
        <f>IFERROR(__xludf.DUMMYFUNCTION("""COMPUTED_VALUE"""),"")</f>
        <v/>
      </c>
      <c r="AC14261" s="16" t="str">
        <f>IFERROR(__xludf.DUMMYFUNCTION("""COMPUTED_VALUE"""),"")</f>
        <v/>
      </c>
    </row>
    <row r="14262">
      <c r="A14262" s="16" t="s">
        <v>87</v>
      </c>
      <c r="E14262" s="16" t="str">
        <f>IFERROR(__xludf.DUMMYFUNCTION("""COMPUTED_VALUE"""),"")</f>
        <v/>
      </c>
      <c r="G14262" s="18"/>
      <c r="H14262" s="16" t="s">
        <v>87</v>
      </c>
      <c r="I14262" s="16" t="s">
        <v>87</v>
      </c>
      <c r="J14262" s="19"/>
      <c r="L14262" s="16" t="str">
        <f>IFERROR(__xludf.DUMMYFUNCTION("""COMPUTED_VALUE"""),"")</f>
        <v/>
      </c>
      <c r="M14262" s="16" t="str">
        <f>IFERROR(__xludf.DUMMYFUNCTION("""COMPUTED_VALUE"""),"")</f>
        <v/>
      </c>
      <c r="U14262" s="16" t="s">
        <v>87</v>
      </c>
      <c r="V14262" s="16" t="str">
        <f>IFERROR(__xludf.DUMMYFUNCTION("""COMPUTED_VALUE"""),"")</f>
        <v/>
      </c>
      <c r="W14262" s="16" t="str">
        <f>IFERROR(__xludf.DUMMYFUNCTION("""COMPUTED_VALUE"""),"")</f>
        <v/>
      </c>
      <c r="X14262" s="16" t="str">
        <f>IFERROR(__xludf.DUMMYFUNCTION("""COMPUTED_VALUE"""),"")</f>
        <v/>
      </c>
      <c r="AC14262" s="16" t="str">
        <f>IFERROR(__xludf.DUMMYFUNCTION("""COMPUTED_VALUE"""),"")</f>
        <v/>
      </c>
    </row>
    <row r="14263">
      <c r="A14263" s="16" t="s">
        <v>87</v>
      </c>
      <c r="E14263" s="16" t="str">
        <f>IFERROR(__xludf.DUMMYFUNCTION("""COMPUTED_VALUE"""),"")</f>
        <v/>
      </c>
      <c r="G14263" s="18"/>
      <c r="H14263" s="16" t="s">
        <v>87</v>
      </c>
      <c r="I14263" s="16" t="s">
        <v>87</v>
      </c>
      <c r="J14263" s="19"/>
      <c r="L14263" s="16" t="str">
        <f>IFERROR(__xludf.DUMMYFUNCTION("""COMPUTED_VALUE"""),"")</f>
        <v/>
      </c>
      <c r="M14263" s="16" t="str">
        <f>IFERROR(__xludf.DUMMYFUNCTION("""COMPUTED_VALUE"""),"")</f>
        <v/>
      </c>
      <c r="U14263" s="16" t="s">
        <v>87</v>
      </c>
      <c r="V14263" s="16" t="str">
        <f>IFERROR(__xludf.DUMMYFUNCTION("""COMPUTED_VALUE"""),"")</f>
        <v/>
      </c>
      <c r="W14263" s="16" t="str">
        <f>IFERROR(__xludf.DUMMYFUNCTION("""COMPUTED_VALUE"""),"")</f>
        <v/>
      </c>
      <c r="X14263" s="16" t="str">
        <f>IFERROR(__xludf.DUMMYFUNCTION("""COMPUTED_VALUE"""),"")</f>
        <v/>
      </c>
      <c r="AC14263" s="16" t="str">
        <f>IFERROR(__xludf.DUMMYFUNCTION("""COMPUTED_VALUE"""),"")</f>
        <v/>
      </c>
    </row>
    <row r="14264">
      <c r="A14264" s="16" t="s">
        <v>87</v>
      </c>
      <c r="E14264" s="16" t="str">
        <f>IFERROR(__xludf.DUMMYFUNCTION("""COMPUTED_VALUE"""),"")</f>
        <v/>
      </c>
      <c r="G14264" s="18"/>
      <c r="H14264" s="16" t="s">
        <v>87</v>
      </c>
      <c r="I14264" s="16" t="s">
        <v>87</v>
      </c>
      <c r="J14264" s="19"/>
      <c r="L14264" s="16" t="str">
        <f>IFERROR(__xludf.DUMMYFUNCTION("""COMPUTED_VALUE"""),"")</f>
        <v/>
      </c>
      <c r="M14264" s="16" t="str">
        <f>IFERROR(__xludf.DUMMYFUNCTION("""COMPUTED_VALUE"""),"")</f>
        <v/>
      </c>
      <c r="U14264" s="16" t="s">
        <v>87</v>
      </c>
      <c r="V14264" s="16" t="str">
        <f>IFERROR(__xludf.DUMMYFUNCTION("""COMPUTED_VALUE"""),"")</f>
        <v/>
      </c>
      <c r="W14264" s="16" t="str">
        <f>IFERROR(__xludf.DUMMYFUNCTION("""COMPUTED_VALUE"""),"")</f>
        <v/>
      </c>
      <c r="X14264" s="16" t="str">
        <f>IFERROR(__xludf.DUMMYFUNCTION("""COMPUTED_VALUE"""),"")</f>
        <v/>
      </c>
      <c r="AC14264" s="16" t="str">
        <f>IFERROR(__xludf.DUMMYFUNCTION("""COMPUTED_VALUE"""),"")</f>
        <v/>
      </c>
    </row>
    <row r="14265">
      <c r="A14265" s="16" t="s">
        <v>87</v>
      </c>
      <c r="E14265" s="16" t="str">
        <f>IFERROR(__xludf.DUMMYFUNCTION("""COMPUTED_VALUE"""),"")</f>
        <v/>
      </c>
      <c r="G14265" s="18"/>
      <c r="H14265" s="16" t="s">
        <v>87</v>
      </c>
      <c r="I14265" s="16" t="s">
        <v>87</v>
      </c>
      <c r="J14265" s="19"/>
      <c r="L14265" s="16" t="str">
        <f>IFERROR(__xludf.DUMMYFUNCTION("""COMPUTED_VALUE"""),"")</f>
        <v/>
      </c>
      <c r="M14265" s="16" t="str">
        <f>IFERROR(__xludf.DUMMYFUNCTION("""COMPUTED_VALUE"""),"")</f>
        <v/>
      </c>
      <c r="U14265" s="16" t="s">
        <v>87</v>
      </c>
      <c r="V14265" s="16" t="str">
        <f>IFERROR(__xludf.DUMMYFUNCTION("""COMPUTED_VALUE"""),"")</f>
        <v/>
      </c>
      <c r="W14265" s="16" t="str">
        <f>IFERROR(__xludf.DUMMYFUNCTION("""COMPUTED_VALUE"""),"")</f>
        <v/>
      </c>
      <c r="X14265" s="16" t="str">
        <f>IFERROR(__xludf.DUMMYFUNCTION("""COMPUTED_VALUE"""),"")</f>
        <v/>
      </c>
      <c r="AC14265" s="16" t="str">
        <f>IFERROR(__xludf.DUMMYFUNCTION("""COMPUTED_VALUE"""),"")</f>
        <v/>
      </c>
    </row>
    <row r="14266">
      <c r="A14266" s="16" t="s">
        <v>87</v>
      </c>
      <c r="E14266" s="16" t="str">
        <f>IFERROR(__xludf.DUMMYFUNCTION("""COMPUTED_VALUE"""),"")</f>
        <v/>
      </c>
      <c r="G14266" s="18"/>
      <c r="H14266" s="16" t="s">
        <v>87</v>
      </c>
      <c r="I14266" s="16" t="s">
        <v>87</v>
      </c>
      <c r="J14266" s="19"/>
      <c r="L14266" s="16" t="str">
        <f>IFERROR(__xludf.DUMMYFUNCTION("""COMPUTED_VALUE"""),"")</f>
        <v/>
      </c>
      <c r="M14266" s="16" t="str">
        <f>IFERROR(__xludf.DUMMYFUNCTION("""COMPUTED_VALUE"""),"")</f>
        <v/>
      </c>
      <c r="U14266" s="16" t="s">
        <v>87</v>
      </c>
      <c r="V14266" s="16" t="str">
        <f>IFERROR(__xludf.DUMMYFUNCTION("""COMPUTED_VALUE"""),"")</f>
        <v/>
      </c>
      <c r="W14266" s="16" t="str">
        <f>IFERROR(__xludf.DUMMYFUNCTION("""COMPUTED_VALUE"""),"")</f>
        <v/>
      </c>
      <c r="X14266" s="16" t="str">
        <f>IFERROR(__xludf.DUMMYFUNCTION("""COMPUTED_VALUE"""),"")</f>
        <v/>
      </c>
      <c r="AC14266" s="16" t="str">
        <f>IFERROR(__xludf.DUMMYFUNCTION("""COMPUTED_VALUE"""),"")</f>
        <v/>
      </c>
    </row>
    <row r="14267">
      <c r="A14267" s="16" t="s">
        <v>87</v>
      </c>
      <c r="E14267" s="16" t="str">
        <f>IFERROR(__xludf.DUMMYFUNCTION("""COMPUTED_VALUE"""),"")</f>
        <v/>
      </c>
      <c r="G14267" s="18"/>
      <c r="H14267" s="16" t="s">
        <v>87</v>
      </c>
      <c r="I14267" s="16" t="s">
        <v>87</v>
      </c>
      <c r="J14267" s="19"/>
      <c r="L14267" s="16" t="str">
        <f>IFERROR(__xludf.DUMMYFUNCTION("""COMPUTED_VALUE"""),"")</f>
        <v/>
      </c>
      <c r="M14267" s="16" t="str">
        <f>IFERROR(__xludf.DUMMYFUNCTION("""COMPUTED_VALUE"""),"")</f>
        <v/>
      </c>
      <c r="U14267" s="16" t="s">
        <v>87</v>
      </c>
      <c r="V14267" s="16" t="str">
        <f>IFERROR(__xludf.DUMMYFUNCTION("""COMPUTED_VALUE"""),"")</f>
        <v/>
      </c>
      <c r="W14267" s="16" t="str">
        <f>IFERROR(__xludf.DUMMYFUNCTION("""COMPUTED_VALUE"""),"")</f>
        <v/>
      </c>
      <c r="X14267" s="16" t="str">
        <f>IFERROR(__xludf.DUMMYFUNCTION("""COMPUTED_VALUE"""),"")</f>
        <v/>
      </c>
      <c r="AC14267" s="16" t="str">
        <f>IFERROR(__xludf.DUMMYFUNCTION("""COMPUTED_VALUE"""),"")</f>
        <v/>
      </c>
    </row>
    <row r="14268">
      <c r="A14268" s="16" t="s">
        <v>87</v>
      </c>
      <c r="E14268" s="16" t="str">
        <f>IFERROR(__xludf.DUMMYFUNCTION("""COMPUTED_VALUE"""),"")</f>
        <v/>
      </c>
      <c r="G14268" s="18"/>
      <c r="H14268" s="16" t="s">
        <v>87</v>
      </c>
      <c r="I14268" s="16" t="s">
        <v>87</v>
      </c>
      <c r="J14268" s="19"/>
      <c r="L14268" s="16" t="str">
        <f>IFERROR(__xludf.DUMMYFUNCTION("""COMPUTED_VALUE"""),"")</f>
        <v/>
      </c>
      <c r="M14268" s="16" t="str">
        <f>IFERROR(__xludf.DUMMYFUNCTION("""COMPUTED_VALUE"""),"")</f>
        <v/>
      </c>
      <c r="U14268" s="16" t="s">
        <v>87</v>
      </c>
      <c r="V14268" s="16" t="str">
        <f>IFERROR(__xludf.DUMMYFUNCTION("""COMPUTED_VALUE"""),"")</f>
        <v/>
      </c>
      <c r="W14268" s="16" t="str">
        <f>IFERROR(__xludf.DUMMYFUNCTION("""COMPUTED_VALUE"""),"")</f>
        <v/>
      </c>
      <c r="X14268" s="16" t="str">
        <f>IFERROR(__xludf.DUMMYFUNCTION("""COMPUTED_VALUE"""),"")</f>
        <v/>
      </c>
      <c r="AC14268" s="16" t="str">
        <f>IFERROR(__xludf.DUMMYFUNCTION("""COMPUTED_VALUE"""),"")</f>
        <v/>
      </c>
    </row>
    <row r="14269">
      <c r="A14269" s="16" t="s">
        <v>87</v>
      </c>
      <c r="E14269" s="16" t="str">
        <f>IFERROR(__xludf.DUMMYFUNCTION("""COMPUTED_VALUE"""),"")</f>
        <v/>
      </c>
      <c r="G14269" s="18"/>
      <c r="H14269" s="16" t="s">
        <v>87</v>
      </c>
      <c r="I14269" s="16" t="s">
        <v>87</v>
      </c>
      <c r="J14269" s="19"/>
      <c r="L14269" s="16" t="str">
        <f>IFERROR(__xludf.DUMMYFUNCTION("""COMPUTED_VALUE"""),"")</f>
        <v/>
      </c>
      <c r="M14269" s="16" t="str">
        <f>IFERROR(__xludf.DUMMYFUNCTION("""COMPUTED_VALUE"""),"")</f>
        <v/>
      </c>
      <c r="U14269" s="16" t="s">
        <v>87</v>
      </c>
      <c r="V14269" s="16" t="str">
        <f>IFERROR(__xludf.DUMMYFUNCTION("""COMPUTED_VALUE"""),"")</f>
        <v/>
      </c>
      <c r="W14269" s="16" t="str">
        <f>IFERROR(__xludf.DUMMYFUNCTION("""COMPUTED_VALUE"""),"")</f>
        <v/>
      </c>
      <c r="X14269" s="16" t="str">
        <f>IFERROR(__xludf.DUMMYFUNCTION("""COMPUTED_VALUE"""),"")</f>
        <v/>
      </c>
      <c r="AC14269" s="16" t="str">
        <f>IFERROR(__xludf.DUMMYFUNCTION("""COMPUTED_VALUE"""),"")</f>
        <v/>
      </c>
    </row>
    <row r="14270">
      <c r="A14270" s="16" t="s">
        <v>87</v>
      </c>
      <c r="E14270" s="16" t="str">
        <f>IFERROR(__xludf.DUMMYFUNCTION("""COMPUTED_VALUE"""),"")</f>
        <v/>
      </c>
      <c r="G14270" s="18"/>
      <c r="H14270" s="16" t="s">
        <v>87</v>
      </c>
      <c r="I14270" s="16" t="s">
        <v>87</v>
      </c>
      <c r="J14270" s="19"/>
      <c r="L14270" s="16" t="str">
        <f>IFERROR(__xludf.DUMMYFUNCTION("""COMPUTED_VALUE"""),"")</f>
        <v/>
      </c>
      <c r="M14270" s="16" t="str">
        <f>IFERROR(__xludf.DUMMYFUNCTION("""COMPUTED_VALUE"""),"")</f>
        <v/>
      </c>
      <c r="U14270" s="16" t="s">
        <v>87</v>
      </c>
      <c r="V14270" s="16" t="str">
        <f>IFERROR(__xludf.DUMMYFUNCTION("""COMPUTED_VALUE"""),"")</f>
        <v/>
      </c>
      <c r="W14270" s="16" t="str">
        <f>IFERROR(__xludf.DUMMYFUNCTION("""COMPUTED_VALUE"""),"")</f>
        <v/>
      </c>
      <c r="X14270" s="16" t="str">
        <f>IFERROR(__xludf.DUMMYFUNCTION("""COMPUTED_VALUE"""),"")</f>
        <v/>
      </c>
      <c r="AC14270" s="16" t="str">
        <f>IFERROR(__xludf.DUMMYFUNCTION("""COMPUTED_VALUE"""),"")</f>
        <v/>
      </c>
    </row>
    <row r="14271">
      <c r="A14271" s="16" t="s">
        <v>87</v>
      </c>
      <c r="E14271" s="16" t="str">
        <f>IFERROR(__xludf.DUMMYFUNCTION("""COMPUTED_VALUE"""),"")</f>
        <v/>
      </c>
      <c r="G14271" s="18"/>
      <c r="H14271" s="16" t="s">
        <v>87</v>
      </c>
      <c r="I14271" s="16" t="s">
        <v>87</v>
      </c>
      <c r="J14271" s="19"/>
      <c r="L14271" s="16" t="str">
        <f>IFERROR(__xludf.DUMMYFUNCTION("""COMPUTED_VALUE"""),"")</f>
        <v/>
      </c>
      <c r="M14271" s="16" t="str">
        <f>IFERROR(__xludf.DUMMYFUNCTION("""COMPUTED_VALUE"""),"")</f>
        <v/>
      </c>
      <c r="U14271" s="16" t="s">
        <v>87</v>
      </c>
      <c r="V14271" s="16" t="str">
        <f>IFERROR(__xludf.DUMMYFUNCTION("""COMPUTED_VALUE"""),"")</f>
        <v/>
      </c>
      <c r="W14271" s="16" t="str">
        <f>IFERROR(__xludf.DUMMYFUNCTION("""COMPUTED_VALUE"""),"")</f>
        <v/>
      </c>
      <c r="X14271" s="16" t="str">
        <f>IFERROR(__xludf.DUMMYFUNCTION("""COMPUTED_VALUE"""),"")</f>
        <v/>
      </c>
      <c r="AC14271" s="16" t="str">
        <f>IFERROR(__xludf.DUMMYFUNCTION("""COMPUTED_VALUE"""),"")</f>
        <v/>
      </c>
    </row>
    <row r="14272">
      <c r="A14272" s="16" t="s">
        <v>87</v>
      </c>
      <c r="E14272" s="16" t="str">
        <f>IFERROR(__xludf.DUMMYFUNCTION("""COMPUTED_VALUE"""),"")</f>
        <v/>
      </c>
      <c r="G14272" s="18"/>
      <c r="H14272" s="16" t="s">
        <v>87</v>
      </c>
      <c r="I14272" s="16" t="s">
        <v>87</v>
      </c>
      <c r="J14272" s="19"/>
      <c r="L14272" s="16" t="str">
        <f>IFERROR(__xludf.DUMMYFUNCTION("""COMPUTED_VALUE"""),"")</f>
        <v/>
      </c>
      <c r="M14272" s="16" t="str">
        <f>IFERROR(__xludf.DUMMYFUNCTION("""COMPUTED_VALUE"""),"")</f>
        <v/>
      </c>
      <c r="U14272" s="16" t="s">
        <v>87</v>
      </c>
      <c r="V14272" s="16" t="str">
        <f>IFERROR(__xludf.DUMMYFUNCTION("""COMPUTED_VALUE"""),"")</f>
        <v/>
      </c>
      <c r="W14272" s="16" t="str">
        <f>IFERROR(__xludf.DUMMYFUNCTION("""COMPUTED_VALUE"""),"")</f>
        <v/>
      </c>
      <c r="X14272" s="16" t="str">
        <f>IFERROR(__xludf.DUMMYFUNCTION("""COMPUTED_VALUE"""),"")</f>
        <v/>
      </c>
      <c r="AC14272" s="16" t="str">
        <f>IFERROR(__xludf.DUMMYFUNCTION("""COMPUTED_VALUE"""),"")</f>
        <v/>
      </c>
    </row>
    <row r="14273">
      <c r="A14273" s="16" t="s">
        <v>87</v>
      </c>
      <c r="E14273" s="16" t="str">
        <f>IFERROR(__xludf.DUMMYFUNCTION("""COMPUTED_VALUE"""),"")</f>
        <v/>
      </c>
      <c r="G14273" s="18"/>
      <c r="H14273" s="16" t="s">
        <v>87</v>
      </c>
      <c r="I14273" s="16" t="s">
        <v>87</v>
      </c>
      <c r="J14273" s="19"/>
      <c r="L14273" s="16" t="str">
        <f>IFERROR(__xludf.DUMMYFUNCTION("""COMPUTED_VALUE"""),"")</f>
        <v/>
      </c>
      <c r="M14273" s="16" t="str">
        <f>IFERROR(__xludf.DUMMYFUNCTION("""COMPUTED_VALUE"""),"")</f>
        <v/>
      </c>
      <c r="U14273" s="16" t="s">
        <v>87</v>
      </c>
      <c r="V14273" s="16" t="str">
        <f>IFERROR(__xludf.DUMMYFUNCTION("""COMPUTED_VALUE"""),"")</f>
        <v/>
      </c>
      <c r="W14273" s="16" t="str">
        <f>IFERROR(__xludf.DUMMYFUNCTION("""COMPUTED_VALUE"""),"")</f>
        <v/>
      </c>
      <c r="X14273" s="16" t="str">
        <f>IFERROR(__xludf.DUMMYFUNCTION("""COMPUTED_VALUE"""),"")</f>
        <v/>
      </c>
      <c r="AC14273" s="16" t="str">
        <f>IFERROR(__xludf.DUMMYFUNCTION("""COMPUTED_VALUE"""),"")</f>
        <v/>
      </c>
    </row>
    <row r="14274">
      <c r="A14274" s="16" t="s">
        <v>87</v>
      </c>
      <c r="E14274" s="16" t="str">
        <f>IFERROR(__xludf.DUMMYFUNCTION("""COMPUTED_VALUE"""),"")</f>
        <v/>
      </c>
      <c r="G14274" s="18"/>
      <c r="H14274" s="16" t="s">
        <v>87</v>
      </c>
      <c r="I14274" s="16" t="s">
        <v>87</v>
      </c>
      <c r="J14274" s="19"/>
      <c r="L14274" s="16" t="str">
        <f>IFERROR(__xludf.DUMMYFUNCTION("""COMPUTED_VALUE"""),"")</f>
        <v/>
      </c>
      <c r="M14274" s="16" t="str">
        <f>IFERROR(__xludf.DUMMYFUNCTION("""COMPUTED_VALUE"""),"")</f>
        <v/>
      </c>
      <c r="U14274" s="16" t="s">
        <v>87</v>
      </c>
      <c r="V14274" s="16" t="str">
        <f>IFERROR(__xludf.DUMMYFUNCTION("""COMPUTED_VALUE"""),"")</f>
        <v/>
      </c>
      <c r="W14274" s="16" t="str">
        <f>IFERROR(__xludf.DUMMYFUNCTION("""COMPUTED_VALUE"""),"")</f>
        <v/>
      </c>
      <c r="X14274" s="16" t="str">
        <f>IFERROR(__xludf.DUMMYFUNCTION("""COMPUTED_VALUE"""),"")</f>
        <v/>
      </c>
      <c r="AC14274" s="16" t="str">
        <f>IFERROR(__xludf.DUMMYFUNCTION("""COMPUTED_VALUE"""),"")</f>
        <v/>
      </c>
    </row>
    <row r="14275">
      <c r="A14275" s="16" t="s">
        <v>87</v>
      </c>
      <c r="E14275" s="16" t="str">
        <f>IFERROR(__xludf.DUMMYFUNCTION("""COMPUTED_VALUE"""),"")</f>
        <v/>
      </c>
      <c r="G14275" s="18"/>
      <c r="H14275" s="16" t="s">
        <v>87</v>
      </c>
      <c r="I14275" s="16" t="s">
        <v>87</v>
      </c>
      <c r="J14275" s="19"/>
      <c r="L14275" s="16" t="str">
        <f>IFERROR(__xludf.DUMMYFUNCTION("""COMPUTED_VALUE"""),"")</f>
        <v/>
      </c>
      <c r="M14275" s="16" t="str">
        <f>IFERROR(__xludf.DUMMYFUNCTION("""COMPUTED_VALUE"""),"")</f>
        <v/>
      </c>
      <c r="U14275" s="16" t="s">
        <v>87</v>
      </c>
      <c r="V14275" s="16" t="str">
        <f>IFERROR(__xludf.DUMMYFUNCTION("""COMPUTED_VALUE"""),"")</f>
        <v/>
      </c>
      <c r="W14275" s="16" t="str">
        <f>IFERROR(__xludf.DUMMYFUNCTION("""COMPUTED_VALUE"""),"")</f>
        <v/>
      </c>
      <c r="X14275" s="16" t="str">
        <f>IFERROR(__xludf.DUMMYFUNCTION("""COMPUTED_VALUE"""),"")</f>
        <v/>
      </c>
      <c r="AC14275" s="16" t="str">
        <f>IFERROR(__xludf.DUMMYFUNCTION("""COMPUTED_VALUE"""),"")</f>
        <v/>
      </c>
    </row>
    <row r="14276">
      <c r="A14276" s="16" t="s">
        <v>87</v>
      </c>
      <c r="E14276" s="16" t="str">
        <f>IFERROR(__xludf.DUMMYFUNCTION("""COMPUTED_VALUE"""),"")</f>
        <v/>
      </c>
      <c r="G14276" s="18"/>
      <c r="H14276" s="16" t="s">
        <v>87</v>
      </c>
      <c r="I14276" s="16" t="s">
        <v>87</v>
      </c>
      <c r="J14276" s="19"/>
      <c r="L14276" s="16" t="str">
        <f>IFERROR(__xludf.DUMMYFUNCTION("""COMPUTED_VALUE"""),"")</f>
        <v/>
      </c>
      <c r="M14276" s="16" t="str">
        <f>IFERROR(__xludf.DUMMYFUNCTION("""COMPUTED_VALUE"""),"")</f>
        <v/>
      </c>
      <c r="U14276" s="16" t="s">
        <v>87</v>
      </c>
      <c r="V14276" s="16" t="str">
        <f>IFERROR(__xludf.DUMMYFUNCTION("""COMPUTED_VALUE"""),"")</f>
        <v/>
      </c>
      <c r="W14276" s="16" t="str">
        <f>IFERROR(__xludf.DUMMYFUNCTION("""COMPUTED_VALUE"""),"")</f>
        <v/>
      </c>
      <c r="X14276" s="16" t="str">
        <f>IFERROR(__xludf.DUMMYFUNCTION("""COMPUTED_VALUE"""),"")</f>
        <v/>
      </c>
      <c r="AC14276" s="16" t="str">
        <f>IFERROR(__xludf.DUMMYFUNCTION("""COMPUTED_VALUE"""),"")</f>
        <v/>
      </c>
    </row>
    <row r="14277">
      <c r="A14277" s="16" t="s">
        <v>87</v>
      </c>
      <c r="E14277" s="16" t="str">
        <f>IFERROR(__xludf.DUMMYFUNCTION("""COMPUTED_VALUE"""),"")</f>
        <v/>
      </c>
      <c r="G14277" s="18"/>
      <c r="H14277" s="16" t="s">
        <v>87</v>
      </c>
      <c r="I14277" s="16" t="s">
        <v>87</v>
      </c>
      <c r="J14277" s="19"/>
      <c r="L14277" s="16" t="str">
        <f>IFERROR(__xludf.DUMMYFUNCTION("""COMPUTED_VALUE"""),"")</f>
        <v/>
      </c>
      <c r="M14277" s="16" t="str">
        <f>IFERROR(__xludf.DUMMYFUNCTION("""COMPUTED_VALUE"""),"")</f>
        <v/>
      </c>
      <c r="U14277" s="16" t="s">
        <v>87</v>
      </c>
      <c r="V14277" s="16" t="str">
        <f>IFERROR(__xludf.DUMMYFUNCTION("""COMPUTED_VALUE"""),"")</f>
        <v/>
      </c>
      <c r="W14277" s="16" t="str">
        <f>IFERROR(__xludf.DUMMYFUNCTION("""COMPUTED_VALUE"""),"")</f>
        <v/>
      </c>
      <c r="X14277" s="16" t="str">
        <f>IFERROR(__xludf.DUMMYFUNCTION("""COMPUTED_VALUE"""),"")</f>
        <v/>
      </c>
      <c r="AC14277" s="16" t="str">
        <f>IFERROR(__xludf.DUMMYFUNCTION("""COMPUTED_VALUE"""),"")</f>
        <v/>
      </c>
    </row>
    <row r="14278">
      <c r="A14278" s="16" t="s">
        <v>87</v>
      </c>
      <c r="E14278" s="16" t="str">
        <f>IFERROR(__xludf.DUMMYFUNCTION("""COMPUTED_VALUE"""),"")</f>
        <v/>
      </c>
      <c r="G14278" s="18"/>
      <c r="H14278" s="16" t="s">
        <v>87</v>
      </c>
      <c r="I14278" s="16" t="s">
        <v>87</v>
      </c>
      <c r="J14278" s="19"/>
      <c r="L14278" s="16" t="str">
        <f>IFERROR(__xludf.DUMMYFUNCTION("""COMPUTED_VALUE"""),"")</f>
        <v/>
      </c>
      <c r="M14278" s="16" t="str">
        <f>IFERROR(__xludf.DUMMYFUNCTION("""COMPUTED_VALUE"""),"")</f>
        <v/>
      </c>
      <c r="U14278" s="16" t="s">
        <v>87</v>
      </c>
      <c r="V14278" s="16" t="str">
        <f>IFERROR(__xludf.DUMMYFUNCTION("""COMPUTED_VALUE"""),"")</f>
        <v/>
      </c>
      <c r="W14278" s="16" t="str">
        <f>IFERROR(__xludf.DUMMYFUNCTION("""COMPUTED_VALUE"""),"")</f>
        <v/>
      </c>
      <c r="X14278" s="16" t="str">
        <f>IFERROR(__xludf.DUMMYFUNCTION("""COMPUTED_VALUE"""),"")</f>
        <v/>
      </c>
      <c r="AC14278" s="16" t="str">
        <f>IFERROR(__xludf.DUMMYFUNCTION("""COMPUTED_VALUE"""),"")</f>
        <v/>
      </c>
    </row>
    <row r="14279">
      <c r="A14279" s="16" t="s">
        <v>87</v>
      </c>
      <c r="E14279" s="16" t="str">
        <f>IFERROR(__xludf.DUMMYFUNCTION("""COMPUTED_VALUE"""),"")</f>
        <v/>
      </c>
      <c r="G14279" s="18"/>
      <c r="H14279" s="16" t="s">
        <v>87</v>
      </c>
      <c r="I14279" s="16" t="s">
        <v>87</v>
      </c>
      <c r="J14279" s="19"/>
      <c r="L14279" s="16" t="str">
        <f>IFERROR(__xludf.DUMMYFUNCTION("""COMPUTED_VALUE"""),"")</f>
        <v/>
      </c>
      <c r="M14279" s="16" t="str">
        <f>IFERROR(__xludf.DUMMYFUNCTION("""COMPUTED_VALUE"""),"")</f>
        <v/>
      </c>
      <c r="U14279" s="16" t="s">
        <v>87</v>
      </c>
      <c r="V14279" s="16" t="str">
        <f>IFERROR(__xludf.DUMMYFUNCTION("""COMPUTED_VALUE"""),"")</f>
        <v/>
      </c>
      <c r="W14279" s="16" t="str">
        <f>IFERROR(__xludf.DUMMYFUNCTION("""COMPUTED_VALUE"""),"")</f>
        <v/>
      </c>
      <c r="X14279" s="16" t="str">
        <f>IFERROR(__xludf.DUMMYFUNCTION("""COMPUTED_VALUE"""),"")</f>
        <v/>
      </c>
      <c r="AC14279" s="16" t="str">
        <f>IFERROR(__xludf.DUMMYFUNCTION("""COMPUTED_VALUE"""),"")</f>
        <v/>
      </c>
    </row>
    <row r="14280">
      <c r="A14280" s="16" t="s">
        <v>87</v>
      </c>
      <c r="E14280" s="16" t="str">
        <f>IFERROR(__xludf.DUMMYFUNCTION("""COMPUTED_VALUE"""),"")</f>
        <v/>
      </c>
      <c r="G14280" s="18"/>
      <c r="H14280" s="16" t="s">
        <v>87</v>
      </c>
      <c r="I14280" s="16" t="s">
        <v>87</v>
      </c>
      <c r="J14280" s="19"/>
      <c r="L14280" s="16" t="str">
        <f>IFERROR(__xludf.DUMMYFUNCTION("""COMPUTED_VALUE"""),"")</f>
        <v/>
      </c>
      <c r="M14280" s="16" t="str">
        <f>IFERROR(__xludf.DUMMYFUNCTION("""COMPUTED_VALUE"""),"")</f>
        <v/>
      </c>
      <c r="U14280" s="16" t="s">
        <v>87</v>
      </c>
      <c r="V14280" s="16" t="str">
        <f>IFERROR(__xludf.DUMMYFUNCTION("""COMPUTED_VALUE"""),"")</f>
        <v/>
      </c>
      <c r="W14280" s="16" t="str">
        <f>IFERROR(__xludf.DUMMYFUNCTION("""COMPUTED_VALUE"""),"")</f>
        <v/>
      </c>
      <c r="X14280" s="16" t="str">
        <f>IFERROR(__xludf.DUMMYFUNCTION("""COMPUTED_VALUE"""),"")</f>
        <v/>
      </c>
      <c r="AC14280" s="16" t="str">
        <f>IFERROR(__xludf.DUMMYFUNCTION("""COMPUTED_VALUE"""),"")</f>
        <v/>
      </c>
    </row>
    <row r="14281">
      <c r="A14281" s="16" t="s">
        <v>87</v>
      </c>
      <c r="E14281" s="16" t="str">
        <f>IFERROR(__xludf.DUMMYFUNCTION("""COMPUTED_VALUE"""),"")</f>
        <v/>
      </c>
      <c r="G14281" s="18"/>
      <c r="H14281" s="16" t="s">
        <v>87</v>
      </c>
      <c r="I14281" s="16" t="s">
        <v>87</v>
      </c>
      <c r="J14281" s="19"/>
      <c r="L14281" s="16" t="str">
        <f>IFERROR(__xludf.DUMMYFUNCTION("""COMPUTED_VALUE"""),"")</f>
        <v/>
      </c>
      <c r="M14281" s="16" t="str">
        <f>IFERROR(__xludf.DUMMYFUNCTION("""COMPUTED_VALUE"""),"")</f>
        <v/>
      </c>
      <c r="U14281" s="16" t="s">
        <v>87</v>
      </c>
      <c r="V14281" s="16" t="str">
        <f>IFERROR(__xludf.DUMMYFUNCTION("""COMPUTED_VALUE"""),"")</f>
        <v/>
      </c>
      <c r="W14281" s="16" t="str">
        <f>IFERROR(__xludf.DUMMYFUNCTION("""COMPUTED_VALUE"""),"")</f>
        <v/>
      </c>
      <c r="X14281" s="16" t="str">
        <f>IFERROR(__xludf.DUMMYFUNCTION("""COMPUTED_VALUE"""),"")</f>
        <v/>
      </c>
      <c r="AC14281" s="16" t="str">
        <f>IFERROR(__xludf.DUMMYFUNCTION("""COMPUTED_VALUE"""),"")</f>
        <v/>
      </c>
    </row>
    <row r="14282">
      <c r="A14282" s="16" t="s">
        <v>87</v>
      </c>
      <c r="E14282" s="16" t="str">
        <f>IFERROR(__xludf.DUMMYFUNCTION("""COMPUTED_VALUE"""),"")</f>
        <v/>
      </c>
      <c r="G14282" s="18"/>
      <c r="H14282" s="16" t="s">
        <v>87</v>
      </c>
      <c r="I14282" s="16" t="s">
        <v>87</v>
      </c>
      <c r="J14282" s="19"/>
      <c r="L14282" s="16" t="str">
        <f>IFERROR(__xludf.DUMMYFUNCTION("""COMPUTED_VALUE"""),"")</f>
        <v/>
      </c>
      <c r="M14282" s="16" t="str">
        <f>IFERROR(__xludf.DUMMYFUNCTION("""COMPUTED_VALUE"""),"")</f>
        <v/>
      </c>
      <c r="U14282" s="16" t="s">
        <v>87</v>
      </c>
      <c r="V14282" s="16" t="str">
        <f>IFERROR(__xludf.DUMMYFUNCTION("""COMPUTED_VALUE"""),"")</f>
        <v/>
      </c>
      <c r="W14282" s="16" t="str">
        <f>IFERROR(__xludf.DUMMYFUNCTION("""COMPUTED_VALUE"""),"")</f>
        <v/>
      </c>
      <c r="X14282" s="16" t="str">
        <f>IFERROR(__xludf.DUMMYFUNCTION("""COMPUTED_VALUE"""),"")</f>
        <v/>
      </c>
      <c r="AC14282" s="16" t="str">
        <f>IFERROR(__xludf.DUMMYFUNCTION("""COMPUTED_VALUE"""),"")</f>
        <v/>
      </c>
    </row>
    <row r="14283">
      <c r="A14283" s="16" t="s">
        <v>87</v>
      </c>
      <c r="E14283" s="16" t="str">
        <f>IFERROR(__xludf.DUMMYFUNCTION("""COMPUTED_VALUE"""),"")</f>
        <v/>
      </c>
      <c r="G14283" s="18"/>
      <c r="H14283" s="16" t="s">
        <v>87</v>
      </c>
      <c r="I14283" s="16" t="s">
        <v>87</v>
      </c>
      <c r="J14283" s="19"/>
      <c r="L14283" s="16" t="str">
        <f>IFERROR(__xludf.DUMMYFUNCTION("""COMPUTED_VALUE"""),"")</f>
        <v/>
      </c>
      <c r="M14283" s="16" t="str">
        <f>IFERROR(__xludf.DUMMYFUNCTION("""COMPUTED_VALUE"""),"")</f>
        <v/>
      </c>
      <c r="U14283" s="16" t="s">
        <v>87</v>
      </c>
      <c r="V14283" s="16" t="str">
        <f>IFERROR(__xludf.DUMMYFUNCTION("""COMPUTED_VALUE"""),"")</f>
        <v/>
      </c>
      <c r="W14283" s="16" t="str">
        <f>IFERROR(__xludf.DUMMYFUNCTION("""COMPUTED_VALUE"""),"")</f>
        <v/>
      </c>
      <c r="X14283" s="16" t="str">
        <f>IFERROR(__xludf.DUMMYFUNCTION("""COMPUTED_VALUE"""),"")</f>
        <v/>
      </c>
      <c r="AC14283" s="16" t="str">
        <f>IFERROR(__xludf.DUMMYFUNCTION("""COMPUTED_VALUE"""),"")</f>
        <v/>
      </c>
    </row>
    <row r="14284">
      <c r="A14284" s="16" t="s">
        <v>87</v>
      </c>
      <c r="E14284" s="16" t="str">
        <f>IFERROR(__xludf.DUMMYFUNCTION("""COMPUTED_VALUE"""),"")</f>
        <v/>
      </c>
      <c r="G14284" s="18"/>
      <c r="H14284" s="16" t="s">
        <v>87</v>
      </c>
      <c r="I14284" s="16" t="s">
        <v>87</v>
      </c>
      <c r="J14284" s="19"/>
      <c r="L14284" s="16" t="str">
        <f>IFERROR(__xludf.DUMMYFUNCTION("""COMPUTED_VALUE"""),"")</f>
        <v/>
      </c>
      <c r="M14284" s="16" t="str">
        <f>IFERROR(__xludf.DUMMYFUNCTION("""COMPUTED_VALUE"""),"")</f>
        <v/>
      </c>
      <c r="U14284" s="16" t="s">
        <v>87</v>
      </c>
      <c r="V14284" s="16" t="str">
        <f>IFERROR(__xludf.DUMMYFUNCTION("""COMPUTED_VALUE"""),"")</f>
        <v/>
      </c>
      <c r="W14284" s="16" t="str">
        <f>IFERROR(__xludf.DUMMYFUNCTION("""COMPUTED_VALUE"""),"")</f>
        <v/>
      </c>
      <c r="X14284" s="16" t="str">
        <f>IFERROR(__xludf.DUMMYFUNCTION("""COMPUTED_VALUE"""),"")</f>
        <v/>
      </c>
      <c r="AC14284" s="16" t="str">
        <f>IFERROR(__xludf.DUMMYFUNCTION("""COMPUTED_VALUE"""),"")</f>
        <v/>
      </c>
    </row>
    <row r="14285">
      <c r="A14285" s="16" t="s">
        <v>87</v>
      </c>
      <c r="E14285" s="16" t="str">
        <f>IFERROR(__xludf.DUMMYFUNCTION("""COMPUTED_VALUE"""),"")</f>
        <v/>
      </c>
      <c r="G14285" s="18"/>
      <c r="H14285" s="16" t="s">
        <v>87</v>
      </c>
      <c r="I14285" s="16" t="s">
        <v>87</v>
      </c>
      <c r="J14285" s="19"/>
      <c r="L14285" s="16" t="str">
        <f>IFERROR(__xludf.DUMMYFUNCTION("""COMPUTED_VALUE"""),"")</f>
        <v/>
      </c>
      <c r="M14285" s="16" t="str">
        <f>IFERROR(__xludf.DUMMYFUNCTION("""COMPUTED_VALUE"""),"")</f>
        <v/>
      </c>
      <c r="U14285" s="16" t="s">
        <v>87</v>
      </c>
      <c r="V14285" s="16" t="str">
        <f>IFERROR(__xludf.DUMMYFUNCTION("""COMPUTED_VALUE"""),"")</f>
        <v/>
      </c>
      <c r="W14285" s="16" t="str">
        <f>IFERROR(__xludf.DUMMYFUNCTION("""COMPUTED_VALUE"""),"")</f>
        <v/>
      </c>
      <c r="X14285" s="16" t="str">
        <f>IFERROR(__xludf.DUMMYFUNCTION("""COMPUTED_VALUE"""),"")</f>
        <v/>
      </c>
      <c r="AC14285" s="16" t="str">
        <f>IFERROR(__xludf.DUMMYFUNCTION("""COMPUTED_VALUE"""),"")</f>
        <v/>
      </c>
    </row>
    <row r="14286">
      <c r="A14286" s="16" t="s">
        <v>87</v>
      </c>
      <c r="E14286" s="16" t="str">
        <f>IFERROR(__xludf.DUMMYFUNCTION("""COMPUTED_VALUE"""),"")</f>
        <v/>
      </c>
      <c r="G14286" s="18"/>
      <c r="H14286" s="16" t="s">
        <v>87</v>
      </c>
      <c r="I14286" s="16" t="s">
        <v>87</v>
      </c>
      <c r="J14286" s="19"/>
      <c r="L14286" s="16" t="str">
        <f>IFERROR(__xludf.DUMMYFUNCTION("""COMPUTED_VALUE"""),"")</f>
        <v/>
      </c>
      <c r="M14286" s="16" t="str">
        <f>IFERROR(__xludf.DUMMYFUNCTION("""COMPUTED_VALUE"""),"")</f>
        <v/>
      </c>
      <c r="U14286" s="16" t="s">
        <v>87</v>
      </c>
      <c r="V14286" s="16" t="str">
        <f>IFERROR(__xludf.DUMMYFUNCTION("""COMPUTED_VALUE"""),"")</f>
        <v/>
      </c>
      <c r="W14286" s="16" t="str">
        <f>IFERROR(__xludf.DUMMYFUNCTION("""COMPUTED_VALUE"""),"")</f>
        <v/>
      </c>
      <c r="X14286" s="16" t="str">
        <f>IFERROR(__xludf.DUMMYFUNCTION("""COMPUTED_VALUE"""),"")</f>
        <v/>
      </c>
      <c r="AC14286" s="16" t="str">
        <f>IFERROR(__xludf.DUMMYFUNCTION("""COMPUTED_VALUE"""),"")</f>
        <v/>
      </c>
    </row>
    <row r="14287">
      <c r="A14287" s="16" t="s">
        <v>87</v>
      </c>
      <c r="E14287" s="16" t="str">
        <f>IFERROR(__xludf.DUMMYFUNCTION("""COMPUTED_VALUE"""),"")</f>
        <v/>
      </c>
      <c r="G14287" s="18"/>
      <c r="H14287" s="16" t="s">
        <v>87</v>
      </c>
      <c r="I14287" s="16" t="s">
        <v>87</v>
      </c>
      <c r="J14287" s="19"/>
      <c r="L14287" s="16" t="str">
        <f>IFERROR(__xludf.DUMMYFUNCTION("""COMPUTED_VALUE"""),"")</f>
        <v/>
      </c>
      <c r="M14287" s="16" t="str">
        <f>IFERROR(__xludf.DUMMYFUNCTION("""COMPUTED_VALUE"""),"")</f>
        <v/>
      </c>
      <c r="U14287" s="16" t="s">
        <v>87</v>
      </c>
      <c r="V14287" s="16" t="str">
        <f>IFERROR(__xludf.DUMMYFUNCTION("""COMPUTED_VALUE"""),"")</f>
        <v/>
      </c>
      <c r="W14287" s="16" t="str">
        <f>IFERROR(__xludf.DUMMYFUNCTION("""COMPUTED_VALUE"""),"")</f>
        <v/>
      </c>
      <c r="X14287" s="16" t="str">
        <f>IFERROR(__xludf.DUMMYFUNCTION("""COMPUTED_VALUE"""),"")</f>
        <v/>
      </c>
      <c r="AC14287" s="16" t="str">
        <f>IFERROR(__xludf.DUMMYFUNCTION("""COMPUTED_VALUE"""),"")</f>
        <v/>
      </c>
    </row>
    <row r="14288">
      <c r="A14288" s="16" t="s">
        <v>87</v>
      </c>
      <c r="E14288" s="16" t="str">
        <f>IFERROR(__xludf.DUMMYFUNCTION("""COMPUTED_VALUE"""),"")</f>
        <v/>
      </c>
      <c r="G14288" s="18"/>
      <c r="H14288" s="16" t="s">
        <v>87</v>
      </c>
      <c r="I14288" s="16" t="s">
        <v>87</v>
      </c>
      <c r="J14288" s="19"/>
      <c r="L14288" s="16" t="str">
        <f>IFERROR(__xludf.DUMMYFUNCTION("""COMPUTED_VALUE"""),"")</f>
        <v/>
      </c>
      <c r="M14288" s="16" t="str">
        <f>IFERROR(__xludf.DUMMYFUNCTION("""COMPUTED_VALUE"""),"")</f>
        <v/>
      </c>
      <c r="U14288" s="16" t="s">
        <v>87</v>
      </c>
      <c r="V14288" s="16" t="str">
        <f>IFERROR(__xludf.DUMMYFUNCTION("""COMPUTED_VALUE"""),"")</f>
        <v/>
      </c>
      <c r="W14288" s="16" t="str">
        <f>IFERROR(__xludf.DUMMYFUNCTION("""COMPUTED_VALUE"""),"")</f>
        <v/>
      </c>
      <c r="X14288" s="16" t="str">
        <f>IFERROR(__xludf.DUMMYFUNCTION("""COMPUTED_VALUE"""),"")</f>
        <v/>
      </c>
      <c r="AC14288" s="16" t="str">
        <f>IFERROR(__xludf.DUMMYFUNCTION("""COMPUTED_VALUE"""),"")</f>
        <v/>
      </c>
    </row>
    <row r="14289">
      <c r="A14289" s="16" t="s">
        <v>87</v>
      </c>
      <c r="E14289" s="16" t="str">
        <f>IFERROR(__xludf.DUMMYFUNCTION("""COMPUTED_VALUE"""),"")</f>
        <v/>
      </c>
      <c r="G14289" s="18"/>
      <c r="H14289" s="16" t="s">
        <v>87</v>
      </c>
      <c r="I14289" s="16" t="s">
        <v>87</v>
      </c>
      <c r="J14289" s="19"/>
      <c r="L14289" s="16" t="str">
        <f>IFERROR(__xludf.DUMMYFUNCTION("""COMPUTED_VALUE"""),"")</f>
        <v/>
      </c>
      <c r="M14289" s="16" t="str">
        <f>IFERROR(__xludf.DUMMYFUNCTION("""COMPUTED_VALUE"""),"")</f>
        <v/>
      </c>
      <c r="U14289" s="16" t="s">
        <v>87</v>
      </c>
      <c r="V14289" s="16" t="str">
        <f>IFERROR(__xludf.DUMMYFUNCTION("""COMPUTED_VALUE"""),"")</f>
        <v/>
      </c>
      <c r="W14289" s="16" t="str">
        <f>IFERROR(__xludf.DUMMYFUNCTION("""COMPUTED_VALUE"""),"")</f>
        <v/>
      </c>
      <c r="X14289" s="16" t="str">
        <f>IFERROR(__xludf.DUMMYFUNCTION("""COMPUTED_VALUE"""),"")</f>
        <v/>
      </c>
      <c r="AC14289" s="16" t="str">
        <f>IFERROR(__xludf.DUMMYFUNCTION("""COMPUTED_VALUE"""),"")</f>
        <v/>
      </c>
    </row>
    <row r="14290">
      <c r="A14290" s="16" t="s">
        <v>87</v>
      </c>
      <c r="E14290" s="16" t="str">
        <f>IFERROR(__xludf.DUMMYFUNCTION("""COMPUTED_VALUE"""),"")</f>
        <v/>
      </c>
      <c r="G14290" s="18"/>
      <c r="H14290" s="16" t="s">
        <v>87</v>
      </c>
      <c r="I14290" s="16" t="s">
        <v>87</v>
      </c>
      <c r="J14290" s="19"/>
      <c r="L14290" s="16" t="str">
        <f>IFERROR(__xludf.DUMMYFUNCTION("""COMPUTED_VALUE"""),"")</f>
        <v/>
      </c>
      <c r="M14290" s="16" t="str">
        <f>IFERROR(__xludf.DUMMYFUNCTION("""COMPUTED_VALUE"""),"")</f>
        <v/>
      </c>
      <c r="U14290" s="16" t="s">
        <v>87</v>
      </c>
      <c r="V14290" s="16" t="str">
        <f>IFERROR(__xludf.DUMMYFUNCTION("""COMPUTED_VALUE"""),"")</f>
        <v/>
      </c>
      <c r="W14290" s="16" t="str">
        <f>IFERROR(__xludf.DUMMYFUNCTION("""COMPUTED_VALUE"""),"")</f>
        <v/>
      </c>
      <c r="X14290" s="16" t="str">
        <f>IFERROR(__xludf.DUMMYFUNCTION("""COMPUTED_VALUE"""),"")</f>
        <v/>
      </c>
      <c r="AC14290" s="16" t="str">
        <f>IFERROR(__xludf.DUMMYFUNCTION("""COMPUTED_VALUE"""),"")</f>
        <v/>
      </c>
    </row>
    <row r="14291">
      <c r="A14291" s="16" t="s">
        <v>87</v>
      </c>
      <c r="E14291" s="16" t="str">
        <f>IFERROR(__xludf.DUMMYFUNCTION("""COMPUTED_VALUE"""),"")</f>
        <v/>
      </c>
      <c r="G14291" s="18"/>
      <c r="H14291" s="16" t="s">
        <v>87</v>
      </c>
      <c r="I14291" s="16" t="s">
        <v>87</v>
      </c>
      <c r="J14291" s="19"/>
      <c r="L14291" s="16" t="str">
        <f>IFERROR(__xludf.DUMMYFUNCTION("""COMPUTED_VALUE"""),"")</f>
        <v/>
      </c>
      <c r="M14291" s="16" t="str">
        <f>IFERROR(__xludf.DUMMYFUNCTION("""COMPUTED_VALUE"""),"")</f>
        <v/>
      </c>
      <c r="U14291" s="16" t="s">
        <v>87</v>
      </c>
      <c r="V14291" s="16" t="str">
        <f>IFERROR(__xludf.DUMMYFUNCTION("""COMPUTED_VALUE"""),"")</f>
        <v/>
      </c>
      <c r="W14291" s="16" t="str">
        <f>IFERROR(__xludf.DUMMYFUNCTION("""COMPUTED_VALUE"""),"")</f>
        <v/>
      </c>
      <c r="X14291" s="16" t="str">
        <f>IFERROR(__xludf.DUMMYFUNCTION("""COMPUTED_VALUE"""),"")</f>
        <v/>
      </c>
      <c r="AC14291" s="16" t="str">
        <f>IFERROR(__xludf.DUMMYFUNCTION("""COMPUTED_VALUE"""),"")</f>
        <v/>
      </c>
    </row>
    <row r="14292">
      <c r="A14292" s="16" t="s">
        <v>87</v>
      </c>
      <c r="E14292" s="16" t="str">
        <f>IFERROR(__xludf.DUMMYFUNCTION("""COMPUTED_VALUE"""),"")</f>
        <v/>
      </c>
      <c r="G14292" s="18"/>
      <c r="H14292" s="16" t="s">
        <v>87</v>
      </c>
      <c r="I14292" s="16" t="s">
        <v>87</v>
      </c>
      <c r="J14292" s="19"/>
      <c r="L14292" s="16" t="str">
        <f>IFERROR(__xludf.DUMMYFUNCTION("""COMPUTED_VALUE"""),"")</f>
        <v/>
      </c>
      <c r="M14292" s="16" t="str">
        <f>IFERROR(__xludf.DUMMYFUNCTION("""COMPUTED_VALUE"""),"")</f>
        <v/>
      </c>
      <c r="U14292" s="16" t="s">
        <v>87</v>
      </c>
      <c r="V14292" s="16" t="str">
        <f>IFERROR(__xludf.DUMMYFUNCTION("""COMPUTED_VALUE"""),"")</f>
        <v/>
      </c>
      <c r="W14292" s="16" t="str">
        <f>IFERROR(__xludf.DUMMYFUNCTION("""COMPUTED_VALUE"""),"")</f>
        <v/>
      </c>
      <c r="X14292" s="16" t="str">
        <f>IFERROR(__xludf.DUMMYFUNCTION("""COMPUTED_VALUE"""),"")</f>
        <v/>
      </c>
      <c r="AC14292" s="16" t="str">
        <f>IFERROR(__xludf.DUMMYFUNCTION("""COMPUTED_VALUE"""),"")</f>
        <v/>
      </c>
    </row>
    <row r="14293">
      <c r="A14293" s="16" t="s">
        <v>87</v>
      </c>
      <c r="E14293" s="16" t="str">
        <f>IFERROR(__xludf.DUMMYFUNCTION("""COMPUTED_VALUE"""),"")</f>
        <v/>
      </c>
      <c r="G14293" s="18"/>
      <c r="H14293" s="16" t="s">
        <v>87</v>
      </c>
      <c r="I14293" s="16" t="s">
        <v>87</v>
      </c>
      <c r="J14293" s="19"/>
      <c r="L14293" s="16" t="str">
        <f>IFERROR(__xludf.DUMMYFUNCTION("""COMPUTED_VALUE"""),"")</f>
        <v/>
      </c>
      <c r="M14293" s="16" t="str">
        <f>IFERROR(__xludf.DUMMYFUNCTION("""COMPUTED_VALUE"""),"")</f>
        <v/>
      </c>
      <c r="U14293" s="16" t="s">
        <v>87</v>
      </c>
      <c r="V14293" s="16" t="str">
        <f>IFERROR(__xludf.DUMMYFUNCTION("""COMPUTED_VALUE"""),"")</f>
        <v/>
      </c>
      <c r="W14293" s="16" t="str">
        <f>IFERROR(__xludf.DUMMYFUNCTION("""COMPUTED_VALUE"""),"")</f>
        <v/>
      </c>
      <c r="X14293" s="16" t="str">
        <f>IFERROR(__xludf.DUMMYFUNCTION("""COMPUTED_VALUE"""),"")</f>
        <v/>
      </c>
      <c r="AC14293" s="16" t="str">
        <f>IFERROR(__xludf.DUMMYFUNCTION("""COMPUTED_VALUE"""),"")</f>
        <v/>
      </c>
    </row>
    <row r="14294">
      <c r="A14294" s="16" t="s">
        <v>87</v>
      </c>
      <c r="E14294" s="16" t="str">
        <f>IFERROR(__xludf.DUMMYFUNCTION("""COMPUTED_VALUE"""),"")</f>
        <v/>
      </c>
      <c r="G14294" s="18"/>
      <c r="H14294" s="16" t="s">
        <v>87</v>
      </c>
      <c r="I14294" s="16" t="s">
        <v>87</v>
      </c>
      <c r="J14294" s="19"/>
      <c r="L14294" s="16" t="str">
        <f>IFERROR(__xludf.DUMMYFUNCTION("""COMPUTED_VALUE"""),"")</f>
        <v/>
      </c>
      <c r="M14294" s="16" t="str">
        <f>IFERROR(__xludf.DUMMYFUNCTION("""COMPUTED_VALUE"""),"")</f>
        <v/>
      </c>
      <c r="U14294" s="16" t="s">
        <v>87</v>
      </c>
      <c r="V14294" s="16" t="str">
        <f>IFERROR(__xludf.DUMMYFUNCTION("""COMPUTED_VALUE"""),"")</f>
        <v/>
      </c>
      <c r="W14294" s="16" t="str">
        <f>IFERROR(__xludf.DUMMYFUNCTION("""COMPUTED_VALUE"""),"")</f>
        <v/>
      </c>
      <c r="X14294" s="16" t="str">
        <f>IFERROR(__xludf.DUMMYFUNCTION("""COMPUTED_VALUE"""),"")</f>
        <v/>
      </c>
      <c r="AC14294" s="16" t="str">
        <f>IFERROR(__xludf.DUMMYFUNCTION("""COMPUTED_VALUE"""),"")</f>
        <v/>
      </c>
    </row>
    <row r="14295">
      <c r="A14295" s="16" t="s">
        <v>87</v>
      </c>
      <c r="E14295" s="16" t="str">
        <f>IFERROR(__xludf.DUMMYFUNCTION("""COMPUTED_VALUE"""),"")</f>
        <v/>
      </c>
      <c r="G14295" s="18"/>
      <c r="H14295" s="16" t="s">
        <v>87</v>
      </c>
      <c r="I14295" s="16" t="s">
        <v>87</v>
      </c>
      <c r="J14295" s="19"/>
      <c r="L14295" s="16" t="str">
        <f>IFERROR(__xludf.DUMMYFUNCTION("""COMPUTED_VALUE"""),"")</f>
        <v/>
      </c>
      <c r="M14295" s="16" t="str">
        <f>IFERROR(__xludf.DUMMYFUNCTION("""COMPUTED_VALUE"""),"")</f>
        <v/>
      </c>
      <c r="U14295" s="16" t="s">
        <v>87</v>
      </c>
      <c r="V14295" s="16" t="str">
        <f>IFERROR(__xludf.DUMMYFUNCTION("""COMPUTED_VALUE"""),"")</f>
        <v/>
      </c>
      <c r="W14295" s="16" t="str">
        <f>IFERROR(__xludf.DUMMYFUNCTION("""COMPUTED_VALUE"""),"")</f>
        <v/>
      </c>
      <c r="X14295" s="16" t="str">
        <f>IFERROR(__xludf.DUMMYFUNCTION("""COMPUTED_VALUE"""),"")</f>
        <v/>
      </c>
      <c r="AC14295" s="16" t="str">
        <f>IFERROR(__xludf.DUMMYFUNCTION("""COMPUTED_VALUE"""),"")</f>
        <v/>
      </c>
    </row>
    <row r="14296">
      <c r="A14296" s="16" t="s">
        <v>87</v>
      </c>
      <c r="E14296" s="16" t="str">
        <f>IFERROR(__xludf.DUMMYFUNCTION("""COMPUTED_VALUE"""),"")</f>
        <v/>
      </c>
      <c r="G14296" s="18"/>
      <c r="H14296" s="16" t="s">
        <v>87</v>
      </c>
      <c r="I14296" s="16" t="s">
        <v>87</v>
      </c>
      <c r="J14296" s="19"/>
      <c r="L14296" s="16" t="str">
        <f>IFERROR(__xludf.DUMMYFUNCTION("""COMPUTED_VALUE"""),"")</f>
        <v/>
      </c>
      <c r="M14296" s="16" t="str">
        <f>IFERROR(__xludf.DUMMYFUNCTION("""COMPUTED_VALUE"""),"")</f>
        <v/>
      </c>
      <c r="U14296" s="16" t="s">
        <v>87</v>
      </c>
      <c r="V14296" s="16" t="str">
        <f>IFERROR(__xludf.DUMMYFUNCTION("""COMPUTED_VALUE"""),"")</f>
        <v/>
      </c>
      <c r="W14296" s="16" t="str">
        <f>IFERROR(__xludf.DUMMYFUNCTION("""COMPUTED_VALUE"""),"")</f>
        <v/>
      </c>
      <c r="X14296" s="16" t="str">
        <f>IFERROR(__xludf.DUMMYFUNCTION("""COMPUTED_VALUE"""),"")</f>
        <v/>
      </c>
      <c r="AC14296" s="16" t="str">
        <f>IFERROR(__xludf.DUMMYFUNCTION("""COMPUTED_VALUE"""),"")</f>
        <v/>
      </c>
    </row>
    <row r="14297">
      <c r="A14297" s="16" t="s">
        <v>87</v>
      </c>
      <c r="E14297" s="16" t="str">
        <f>IFERROR(__xludf.DUMMYFUNCTION("""COMPUTED_VALUE"""),"")</f>
        <v/>
      </c>
      <c r="G14297" s="18"/>
      <c r="H14297" s="16" t="s">
        <v>87</v>
      </c>
      <c r="I14297" s="16" t="s">
        <v>87</v>
      </c>
      <c r="J14297" s="19"/>
      <c r="L14297" s="16" t="str">
        <f>IFERROR(__xludf.DUMMYFUNCTION("""COMPUTED_VALUE"""),"")</f>
        <v/>
      </c>
      <c r="M14297" s="16" t="str">
        <f>IFERROR(__xludf.DUMMYFUNCTION("""COMPUTED_VALUE"""),"")</f>
        <v/>
      </c>
      <c r="U14297" s="16" t="s">
        <v>87</v>
      </c>
      <c r="V14297" s="16" t="str">
        <f>IFERROR(__xludf.DUMMYFUNCTION("""COMPUTED_VALUE"""),"")</f>
        <v/>
      </c>
      <c r="W14297" s="16" t="str">
        <f>IFERROR(__xludf.DUMMYFUNCTION("""COMPUTED_VALUE"""),"")</f>
        <v/>
      </c>
      <c r="X14297" s="16" t="str">
        <f>IFERROR(__xludf.DUMMYFUNCTION("""COMPUTED_VALUE"""),"")</f>
        <v/>
      </c>
      <c r="AC14297" s="16" t="str">
        <f>IFERROR(__xludf.DUMMYFUNCTION("""COMPUTED_VALUE"""),"")</f>
        <v/>
      </c>
    </row>
    <row r="14298">
      <c r="A14298" s="16" t="s">
        <v>87</v>
      </c>
      <c r="E14298" s="16" t="str">
        <f>IFERROR(__xludf.DUMMYFUNCTION("""COMPUTED_VALUE"""),"")</f>
        <v/>
      </c>
      <c r="G14298" s="18"/>
      <c r="H14298" s="16" t="s">
        <v>87</v>
      </c>
      <c r="I14298" s="16" t="s">
        <v>87</v>
      </c>
      <c r="J14298" s="19"/>
      <c r="L14298" s="16" t="str">
        <f>IFERROR(__xludf.DUMMYFUNCTION("""COMPUTED_VALUE"""),"")</f>
        <v/>
      </c>
      <c r="M14298" s="16" t="str">
        <f>IFERROR(__xludf.DUMMYFUNCTION("""COMPUTED_VALUE"""),"")</f>
        <v/>
      </c>
      <c r="U14298" s="16" t="s">
        <v>87</v>
      </c>
      <c r="V14298" s="16" t="str">
        <f>IFERROR(__xludf.DUMMYFUNCTION("""COMPUTED_VALUE"""),"")</f>
        <v/>
      </c>
      <c r="W14298" s="16" t="str">
        <f>IFERROR(__xludf.DUMMYFUNCTION("""COMPUTED_VALUE"""),"")</f>
        <v/>
      </c>
      <c r="X14298" s="16" t="str">
        <f>IFERROR(__xludf.DUMMYFUNCTION("""COMPUTED_VALUE"""),"")</f>
        <v/>
      </c>
      <c r="AC14298" s="16" t="str">
        <f>IFERROR(__xludf.DUMMYFUNCTION("""COMPUTED_VALUE"""),"")</f>
        <v/>
      </c>
    </row>
    <row r="14299">
      <c r="A14299" s="16" t="s">
        <v>87</v>
      </c>
      <c r="E14299" s="16" t="str">
        <f>IFERROR(__xludf.DUMMYFUNCTION("""COMPUTED_VALUE"""),"")</f>
        <v/>
      </c>
      <c r="G14299" s="18"/>
      <c r="H14299" s="16" t="s">
        <v>87</v>
      </c>
      <c r="I14299" s="16" t="s">
        <v>87</v>
      </c>
      <c r="J14299" s="19"/>
      <c r="L14299" s="16" t="str">
        <f>IFERROR(__xludf.DUMMYFUNCTION("""COMPUTED_VALUE"""),"")</f>
        <v/>
      </c>
      <c r="M14299" s="16" t="str">
        <f>IFERROR(__xludf.DUMMYFUNCTION("""COMPUTED_VALUE"""),"")</f>
        <v/>
      </c>
      <c r="U14299" s="16" t="s">
        <v>87</v>
      </c>
      <c r="V14299" s="16" t="str">
        <f>IFERROR(__xludf.DUMMYFUNCTION("""COMPUTED_VALUE"""),"")</f>
        <v/>
      </c>
      <c r="W14299" s="16" t="str">
        <f>IFERROR(__xludf.DUMMYFUNCTION("""COMPUTED_VALUE"""),"")</f>
        <v/>
      </c>
      <c r="X14299" s="16" t="str">
        <f>IFERROR(__xludf.DUMMYFUNCTION("""COMPUTED_VALUE"""),"")</f>
        <v/>
      </c>
      <c r="AC14299" s="16" t="str">
        <f>IFERROR(__xludf.DUMMYFUNCTION("""COMPUTED_VALUE"""),"")</f>
        <v/>
      </c>
    </row>
    <row r="14300">
      <c r="A14300" s="16" t="s">
        <v>87</v>
      </c>
      <c r="E14300" s="16" t="str">
        <f>IFERROR(__xludf.DUMMYFUNCTION("""COMPUTED_VALUE"""),"")</f>
        <v/>
      </c>
      <c r="G14300" s="18"/>
      <c r="H14300" s="16" t="s">
        <v>87</v>
      </c>
      <c r="I14300" s="16" t="s">
        <v>87</v>
      </c>
      <c r="J14300" s="19"/>
      <c r="L14300" s="16" t="str">
        <f>IFERROR(__xludf.DUMMYFUNCTION("""COMPUTED_VALUE"""),"")</f>
        <v/>
      </c>
      <c r="M14300" s="16" t="str">
        <f>IFERROR(__xludf.DUMMYFUNCTION("""COMPUTED_VALUE"""),"")</f>
        <v/>
      </c>
      <c r="U14300" s="16" t="s">
        <v>87</v>
      </c>
      <c r="V14300" s="16" t="str">
        <f>IFERROR(__xludf.DUMMYFUNCTION("""COMPUTED_VALUE"""),"")</f>
        <v/>
      </c>
      <c r="W14300" s="16" t="str">
        <f>IFERROR(__xludf.DUMMYFUNCTION("""COMPUTED_VALUE"""),"")</f>
        <v/>
      </c>
      <c r="X14300" s="16" t="str">
        <f>IFERROR(__xludf.DUMMYFUNCTION("""COMPUTED_VALUE"""),"")</f>
        <v/>
      </c>
      <c r="AC14300" s="16" t="str">
        <f>IFERROR(__xludf.DUMMYFUNCTION("""COMPUTED_VALUE"""),"")</f>
        <v/>
      </c>
    </row>
    <row r="14301">
      <c r="A14301" s="16" t="s">
        <v>87</v>
      </c>
      <c r="E14301" s="16" t="str">
        <f>IFERROR(__xludf.DUMMYFUNCTION("""COMPUTED_VALUE"""),"")</f>
        <v/>
      </c>
      <c r="G14301" s="18"/>
      <c r="H14301" s="16" t="s">
        <v>87</v>
      </c>
      <c r="I14301" s="16" t="s">
        <v>87</v>
      </c>
      <c r="J14301" s="19"/>
      <c r="L14301" s="16" t="str">
        <f>IFERROR(__xludf.DUMMYFUNCTION("""COMPUTED_VALUE"""),"")</f>
        <v/>
      </c>
      <c r="M14301" s="16" t="str">
        <f>IFERROR(__xludf.DUMMYFUNCTION("""COMPUTED_VALUE"""),"")</f>
        <v/>
      </c>
      <c r="U14301" s="16" t="s">
        <v>87</v>
      </c>
      <c r="V14301" s="16" t="str">
        <f>IFERROR(__xludf.DUMMYFUNCTION("""COMPUTED_VALUE"""),"")</f>
        <v/>
      </c>
      <c r="W14301" s="16" t="str">
        <f>IFERROR(__xludf.DUMMYFUNCTION("""COMPUTED_VALUE"""),"")</f>
        <v/>
      </c>
      <c r="X14301" s="16" t="str">
        <f>IFERROR(__xludf.DUMMYFUNCTION("""COMPUTED_VALUE"""),"")</f>
        <v/>
      </c>
      <c r="AC14301" s="16" t="str">
        <f>IFERROR(__xludf.DUMMYFUNCTION("""COMPUTED_VALUE"""),"")</f>
        <v/>
      </c>
    </row>
    <row r="14302">
      <c r="A14302" s="16" t="s">
        <v>87</v>
      </c>
      <c r="E14302" s="16" t="str">
        <f>IFERROR(__xludf.DUMMYFUNCTION("""COMPUTED_VALUE"""),"")</f>
        <v/>
      </c>
      <c r="G14302" s="18"/>
      <c r="H14302" s="16" t="s">
        <v>87</v>
      </c>
      <c r="I14302" s="16" t="s">
        <v>87</v>
      </c>
      <c r="J14302" s="19"/>
      <c r="L14302" s="16" t="str">
        <f>IFERROR(__xludf.DUMMYFUNCTION("""COMPUTED_VALUE"""),"")</f>
        <v/>
      </c>
      <c r="M14302" s="16" t="str">
        <f>IFERROR(__xludf.DUMMYFUNCTION("""COMPUTED_VALUE"""),"")</f>
        <v/>
      </c>
      <c r="U14302" s="16" t="s">
        <v>87</v>
      </c>
      <c r="V14302" s="16" t="str">
        <f>IFERROR(__xludf.DUMMYFUNCTION("""COMPUTED_VALUE"""),"")</f>
        <v/>
      </c>
      <c r="W14302" s="16" t="str">
        <f>IFERROR(__xludf.DUMMYFUNCTION("""COMPUTED_VALUE"""),"")</f>
        <v/>
      </c>
      <c r="X14302" s="16" t="str">
        <f>IFERROR(__xludf.DUMMYFUNCTION("""COMPUTED_VALUE"""),"")</f>
        <v/>
      </c>
      <c r="AC14302" s="16" t="str">
        <f>IFERROR(__xludf.DUMMYFUNCTION("""COMPUTED_VALUE"""),"")</f>
        <v/>
      </c>
    </row>
    <row r="14303">
      <c r="A14303" s="16" t="s">
        <v>87</v>
      </c>
      <c r="E14303" s="16" t="str">
        <f>IFERROR(__xludf.DUMMYFUNCTION("""COMPUTED_VALUE"""),"")</f>
        <v/>
      </c>
      <c r="G14303" s="18"/>
      <c r="H14303" s="16" t="s">
        <v>87</v>
      </c>
      <c r="I14303" s="16" t="s">
        <v>87</v>
      </c>
      <c r="J14303" s="19"/>
      <c r="L14303" s="16" t="str">
        <f>IFERROR(__xludf.DUMMYFUNCTION("""COMPUTED_VALUE"""),"")</f>
        <v/>
      </c>
      <c r="M14303" s="16" t="str">
        <f>IFERROR(__xludf.DUMMYFUNCTION("""COMPUTED_VALUE"""),"")</f>
        <v/>
      </c>
      <c r="U14303" s="16" t="s">
        <v>87</v>
      </c>
      <c r="V14303" s="16" t="str">
        <f>IFERROR(__xludf.DUMMYFUNCTION("""COMPUTED_VALUE"""),"")</f>
        <v/>
      </c>
      <c r="W14303" s="16" t="str">
        <f>IFERROR(__xludf.DUMMYFUNCTION("""COMPUTED_VALUE"""),"")</f>
        <v/>
      </c>
      <c r="X14303" s="16" t="str">
        <f>IFERROR(__xludf.DUMMYFUNCTION("""COMPUTED_VALUE"""),"")</f>
        <v/>
      </c>
      <c r="AC14303" s="16" t="str">
        <f>IFERROR(__xludf.DUMMYFUNCTION("""COMPUTED_VALUE"""),"")</f>
        <v/>
      </c>
    </row>
    <row r="14304">
      <c r="A14304" s="16" t="s">
        <v>87</v>
      </c>
      <c r="E14304" s="16" t="str">
        <f>IFERROR(__xludf.DUMMYFUNCTION("""COMPUTED_VALUE"""),"")</f>
        <v/>
      </c>
      <c r="G14304" s="18"/>
      <c r="H14304" s="16" t="s">
        <v>87</v>
      </c>
      <c r="I14304" s="16" t="s">
        <v>87</v>
      </c>
      <c r="J14304" s="19"/>
      <c r="L14304" s="16" t="str">
        <f>IFERROR(__xludf.DUMMYFUNCTION("""COMPUTED_VALUE"""),"")</f>
        <v/>
      </c>
      <c r="M14304" s="16" t="str">
        <f>IFERROR(__xludf.DUMMYFUNCTION("""COMPUTED_VALUE"""),"")</f>
        <v/>
      </c>
      <c r="U14304" s="16" t="s">
        <v>87</v>
      </c>
      <c r="V14304" s="16" t="str">
        <f>IFERROR(__xludf.DUMMYFUNCTION("""COMPUTED_VALUE"""),"")</f>
        <v/>
      </c>
      <c r="W14304" s="16" t="str">
        <f>IFERROR(__xludf.DUMMYFUNCTION("""COMPUTED_VALUE"""),"")</f>
        <v/>
      </c>
      <c r="X14304" s="16" t="str">
        <f>IFERROR(__xludf.DUMMYFUNCTION("""COMPUTED_VALUE"""),"")</f>
        <v/>
      </c>
      <c r="AC14304" s="16" t="str">
        <f>IFERROR(__xludf.DUMMYFUNCTION("""COMPUTED_VALUE"""),"")</f>
        <v/>
      </c>
    </row>
    <row r="14305">
      <c r="A14305" s="16" t="s">
        <v>87</v>
      </c>
      <c r="E14305" s="16" t="str">
        <f>IFERROR(__xludf.DUMMYFUNCTION("""COMPUTED_VALUE"""),"")</f>
        <v/>
      </c>
      <c r="G14305" s="18"/>
      <c r="H14305" s="16" t="s">
        <v>87</v>
      </c>
      <c r="I14305" s="16" t="s">
        <v>87</v>
      </c>
      <c r="J14305" s="19"/>
      <c r="L14305" s="16" t="str">
        <f>IFERROR(__xludf.DUMMYFUNCTION("""COMPUTED_VALUE"""),"")</f>
        <v/>
      </c>
      <c r="M14305" s="16" t="str">
        <f>IFERROR(__xludf.DUMMYFUNCTION("""COMPUTED_VALUE"""),"")</f>
        <v/>
      </c>
      <c r="U14305" s="16" t="s">
        <v>87</v>
      </c>
      <c r="V14305" s="16" t="str">
        <f>IFERROR(__xludf.DUMMYFUNCTION("""COMPUTED_VALUE"""),"")</f>
        <v/>
      </c>
      <c r="W14305" s="16" t="str">
        <f>IFERROR(__xludf.DUMMYFUNCTION("""COMPUTED_VALUE"""),"")</f>
        <v/>
      </c>
      <c r="X14305" s="16" t="str">
        <f>IFERROR(__xludf.DUMMYFUNCTION("""COMPUTED_VALUE"""),"")</f>
        <v/>
      </c>
      <c r="AC14305" s="16" t="str">
        <f>IFERROR(__xludf.DUMMYFUNCTION("""COMPUTED_VALUE"""),"")</f>
        <v/>
      </c>
    </row>
    <row r="14306">
      <c r="A14306" s="16" t="s">
        <v>87</v>
      </c>
      <c r="E14306" s="16" t="str">
        <f>IFERROR(__xludf.DUMMYFUNCTION("""COMPUTED_VALUE"""),"")</f>
        <v/>
      </c>
      <c r="G14306" s="18"/>
      <c r="H14306" s="16" t="s">
        <v>87</v>
      </c>
      <c r="I14306" s="16" t="s">
        <v>87</v>
      </c>
      <c r="J14306" s="19"/>
      <c r="L14306" s="16" t="str">
        <f>IFERROR(__xludf.DUMMYFUNCTION("""COMPUTED_VALUE"""),"")</f>
        <v/>
      </c>
      <c r="M14306" s="16" t="str">
        <f>IFERROR(__xludf.DUMMYFUNCTION("""COMPUTED_VALUE"""),"")</f>
        <v/>
      </c>
      <c r="U14306" s="16" t="s">
        <v>87</v>
      </c>
      <c r="V14306" s="16" t="str">
        <f>IFERROR(__xludf.DUMMYFUNCTION("""COMPUTED_VALUE"""),"")</f>
        <v/>
      </c>
      <c r="W14306" s="16" t="str">
        <f>IFERROR(__xludf.DUMMYFUNCTION("""COMPUTED_VALUE"""),"")</f>
        <v/>
      </c>
      <c r="X14306" s="16" t="str">
        <f>IFERROR(__xludf.DUMMYFUNCTION("""COMPUTED_VALUE"""),"")</f>
        <v/>
      </c>
      <c r="AC14306" s="16" t="str">
        <f>IFERROR(__xludf.DUMMYFUNCTION("""COMPUTED_VALUE"""),"")</f>
        <v/>
      </c>
    </row>
    <row r="14307">
      <c r="A14307" s="16" t="s">
        <v>87</v>
      </c>
      <c r="E14307" s="16" t="str">
        <f>IFERROR(__xludf.DUMMYFUNCTION("""COMPUTED_VALUE"""),"")</f>
        <v/>
      </c>
      <c r="G14307" s="18"/>
      <c r="H14307" s="16" t="s">
        <v>87</v>
      </c>
      <c r="I14307" s="16" t="s">
        <v>87</v>
      </c>
      <c r="J14307" s="19"/>
      <c r="L14307" s="16" t="str">
        <f>IFERROR(__xludf.DUMMYFUNCTION("""COMPUTED_VALUE"""),"")</f>
        <v/>
      </c>
      <c r="M14307" s="16" t="str">
        <f>IFERROR(__xludf.DUMMYFUNCTION("""COMPUTED_VALUE"""),"")</f>
        <v/>
      </c>
      <c r="U14307" s="16" t="s">
        <v>87</v>
      </c>
      <c r="V14307" s="16" t="str">
        <f>IFERROR(__xludf.DUMMYFUNCTION("""COMPUTED_VALUE"""),"")</f>
        <v/>
      </c>
      <c r="W14307" s="16" t="str">
        <f>IFERROR(__xludf.DUMMYFUNCTION("""COMPUTED_VALUE"""),"")</f>
        <v/>
      </c>
      <c r="X14307" s="16" t="str">
        <f>IFERROR(__xludf.DUMMYFUNCTION("""COMPUTED_VALUE"""),"")</f>
        <v/>
      </c>
      <c r="AC14307" s="16" t="str">
        <f>IFERROR(__xludf.DUMMYFUNCTION("""COMPUTED_VALUE"""),"")</f>
        <v/>
      </c>
    </row>
    <row r="14308">
      <c r="A14308" s="16" t="s">
        <v>87</v>
      </c>
      <c r="E14308" s="16" t="str">
        <f>IFERROR(__xludf.DUMMYFUNCTION("""COMPUTED_VALUE"""),"")</f>
        <v/>
      </c>
      <c r="G14308" s="18"/>
      <c r="H14308" s="16" t="s">
        <v>87</v>
      </c>
      <c r="I14308" s="16" t="s">
        <v>87</v>
      </c>
      <c r="J14308" s="19"/>
      <c r="L14308" s="16" t="str">
        <f>IFERROR(__xludf.DUMMYFUNCTION("""COMPUTED_VALUE"""),"")</f>
        <v/>
      </c>
      <c r="M14308" s="16" t="str">
        <f>IFERROR(__xludf.DUMMYFUNCTION("""COMPUTED_VALUE"""),"")</f>
        <v/>
      </c>
      <c r="U14308" s="16" t="s">
        <v>87</v>
      </c>
      <c r="V14308" s="16" t="str">
        <f>IFERROR(__xludf.DUMMYFUNCTION("""COMPUTED_VALUE"""),"")</f>
        <v/>
      </c>
      <c r="W14308" s="16" t="str">
        <f>IFERROR(__xludf.DUMMYFUNCTION("""COMPUTED_VALUE"""),"")</f>
        <v/>
      </c>
      <c r="X14308" s="16" t="str">
        <f>IFERROR(__xludf.DUMMYFUNCTION("""COMPUTED_VALUE"""),"")</f>
        <v/>
      </c>
      <c r="AC14308" s="16" t="str">
        <f>IFERROR(__xludf.DUMMYFUNCTION("""COMPUTED_VALUE"""),"")</f>
        <v/>
      </c>
    </row>
    <row r="14309">
      <c r="A14309" s="16" t="s">
        <v>87</v>
      </c>
      <c r="E14309" s="16" t="str">
        <f>IFERROR(__xludf.DUMMYFUNCTION("""COMPUTED_VALUE"""),"")</f>
        <v/>
      </c>
      <c r="G14309" s="18"/>
      <c r="H14309" s="16" t="s">
        <v>87</v>
      </c>
      <c r="I14309" s="16" t="s">
        <v>87</v>
      </c>
      <c r="J14309" s="19"/>
      <c r="L14309" s="16" t="str">
        <f>IFERROR(__xludf.DUMMYFUNCTION("""COMPUTED_VALUE"""),"")</f>
        <v/>
      </c>
      <c r="M14309" s="16" t="str">
        <f>IFERROR(__xludf.DUMMYFUNCTION("""COMPUTED_VALUE"""),"")</f>
        <v/>
      </c>
      <c r="U14309" s="16" t="s">
        <v>87</v>
      </c>
      <c r="V14309" s="16" t="str">
        <f>IFERROR(__xludf.DUMMYFUNCTION("""COMPUTED_VALUE"""),"")</f>
        <v/>
      </c>
      <c r="W14309" s="16" t="str">
        <f>IFERROR(__xludf.DUMMYFUNCTION("""COMPUTED_VALUE"""),"")</f>
        <v/>
      </c>
      <c r="X14309" s="16" t="str">
        <f>IFERROR(__xludf.DUMMYFUNCTION("""COMPUTED_VALUE"""),"")</f>
        <v/>
      </c>
      <c r="AC14309" s="16" t="str">
        <f>IFERROR(__xludf.DUMMYFUNCTION("""COMPUTED_VALUE"""),"")</f>
        <v/>
      </c>
    </row>
    <row r="14310">
      <c r="A14310" s="16" t="s">
        <v>87</v>
      </c>
      <c r="E14310" s="16" t="str">
        <f>IFERROR(__xludf.DUMMYFUNCTION("""COMPUTED_VALUE"""),"")</f>
        <v/>
      </c>
      <c r="G14310" s="18"/>
      <c r="H14310" s="16" t="s">
        <v>87</v>
      </c>
      <c r="I14310" s="16" t="s">
        <v>87</v>
      </c>
      <c r="J14310" s="19"/>
      <c r="L14310" s="16" t="str">
        <f>IFERROR(__xludf.DUMMYFUNCTION("""COMPUTED_VALUE"""),"")</f>
        <v/>
      </c>
      <c r="M14310" s="16" t="str">
        <f>IFERROR(__xludf.DUMMYFUNCTION("""COMPUTED_VALUE"""),"")</f>
        <v/>
      </c>
      <c r="U14310" s="16" t="s">
        <v>87</v>
      </c>
      <c r="V14310" s="16" t="str">
        <f>IFERROR(__xludf.DUMMYFUNCTION("""COMPUTED_VALUE"""),"")</f>
        <v/>
      </c>
      <c r="W14310" s="16" t="str">
        <f>IFERROR(__xludf.DUMMYFUNCTION("""COMPUTED_VALUE"""),"")</f>
        <v/>
      </c>
      <c r="X14310" s="16" t="str">
        <f>IFERROR(__xludf.DUMMYFUNCTION("""COMPUTED_VALUE"""),"")</f>
        <v/>
      </c>
      <c r="AC14310" s="16" t="str">
        <f>IFERROR(__xludf.DUMMYFUNCTION("""COMPUTED_VALUE"""),"")</f>
        <v/>
      </c>
    </row>
    <row r="14311">
      <c r="A14311" s="16" t="s">
        <v>87</v>
      </c>
      <c r="E14311" s="16" t="str">
        <f>IFERROR(__xludf.DUMMYFUNCTION("""COMPUTED_VALUE"""),"")</f>
        <v/>
      </c>
      <c r="G14311" s="18"/>
      <c r="H14311" s="16" t="s">
        <v>87</v>
      </c>
      <c r="I14311" s="16" t="s">
        <v>87</v>
      </c>
      <c r="J14311" s="19"/>
      <c r="L14311" s="16" t="str">
        <f>IFERROR(__xludf.DUMMYFUNCTION("""COMPUTED_VALUE"""),"")</f>
        <v/>
      </c>
      <c r="M14311" s="16" t="str">
        <f>IFERROR(__xludf.DUMMYFUNCTION("""COMPUTED_VALUE"""),"")</f>
        <v/>
      </c>
      <c r="U14311" s="16" t="s">
        <v>87</v>
      </c>
      <c r="V14311" s="16" t="str">
        <f>IFERROR(__xludf.DUMMYFUNCTION("""COMPUTED_VALUE"""),"")</f>
        <v/>
      </c>
      <c r="W14311" s="16" t="str">
        <f>IFERROR(__xludf.DUMMYFUNCTION("""COMPUTED_VALUE"""),"")</f>
        <v/>
      </c>
      <c r="X14311" s="16" t="str">
        <f>IFERROR(__xludf.DUMMYFUNCTION("""COMPUTED_VALUE"""),"")</f>
        <v/>
      </c>
      <c r="AC14311" s="16" t="str">
        <f>IFERROR(__xludf.DUMMYFUNCTION("""COMPUTED_VALUE"""),"")</f>
        <v/>
      </c>
    </row>
    <row r="14312">
      <c r="A14312" s="16" t="s">
        <v>87</v>
      </c>
      <c r="E14312" s="16" t="str">
        <f>IFERROR(__xludf.DUMMYFUNCTION("""COMPUTED_VALUE"""),"")</f>
        <v/>
      </c>
      <c r="G14312" s="18"/>
      <c r="H14312" s="16" t="s">
        <v>87</v>
      </c>
      <c r="I14312" s="16" t="s">
        <v>87</v>
      </c>
      <c r="J14312" s="19"/>
      <c r="L14312" s="16" t="str">
        <f>IFERROR(__xludf.DUMMYFUNCTION("""COMPUTED_VALUE"""),"")</f>
        <v/>
      </c>
      <c r="M14312" s="16" t="str">
        <f>IFERROR(__xludf.DUMMYFUNCTION("""COMPUTED_VALUE"""),"")</f>
        <v/>
      </c>
      <c r="U14312" s="16" t="s">
        <v>87</v>
      </c>
      <c r="V14312" s="16" t="str">
        <f>IFERROR(__xludf.DUMMYFUNCTION("""COMPUTED_VALUE"""),"")</f>
        <v/>
      </c>
      <c r="W14312" s="16" t="str">
        <f>IFERROR(__xludf.DUMMYFUNCTION("""COMPUTED_VALUE"""),"")</f>
        <v/>
      </c>
      <c r="X14312" s="16" t="str">
        <f>IFERROR(__xludf.DUMMYFUNCTION("""COMPUTED_VALUE"""),"")</f>
        <v/>
      </c>
      <c r="AC14312" s="16" t="str">
        <f>IFERROR(__xludf.DUMMYFUNCTION("""COMPUTED_VALUE"""),"")</f>
        <v/>
      </c>
    </row>
    <row r="14313">
      <c r="A14313" s="16" t="s">
        <v>87</v>
      </c>
      <c r="E14313" s="16" t="str">
        <f>IFERROR(__xludf.DUMMYFUNCTION("""COMPUTED_VALUE"""),"")</f>
        <v/>
      </c>
      <c r="G14313" s="18"/>
      <c r="H14313" s="16" t="s">
        <v>87</v>
      </c>
      <c r="I14313" s="16" t="s">
        <v>87</v>
      </c>
      <c r="J14313" s="19"/>
      <c r="L14313" s="16" t="str">
        <f>IFERROR(__xludf.DUMMYFUNCTION("""COMPUTED_VALUE"""),"")</f>
        <v/>
      </c>
      <c r="M14313" s="16" t="str">
        <f>IFERROR(__xludf.DUMMYFUNCTION("""COMPUTED_VALUE"""),"")</f>
        <v/>
      </c>
      <c r="U14313" s="16" t="s">
        <v>87</v>
      </c>
      <c r="V14313" s="16" t="str">
        <f>IFERROR(__xludf.DUMMYFUNCTION("""COMPUTED_VALUE"""),"")</f>
        <v/>
      </c>
      <c r="W14313" s="16" t="str">
        <f>IFERROR(__xludf.DUMMYFUNCTION("""COMPUTED_VALUE"""),"")</f>
        <v/>
      </c>
      <c r="X14313" s="16" t="str">
        <f>IFERROR(__xludf.DUMMYFUNCTION("""COMPUTED_VALUE"""),"")</f>
        <v/>
      </c>
      <c r="AC14313" s="16" t="str">
        <f>IFERROR(__xludf.DUMMYFUNCTION("""COMPUTED_VALUE"""),"")</f>
        <v/>
      </c>
    </row>
    <row r="14314">
      <c r="A14314" s="16" t="s">
        <v>87</v>
      </c>
      <c r="E14314" s="16" t="str">
        <f>IFERROR(__xludf.DUMMYFUNCTION("""COMPUTED_VALUE"""),"")</f>
        <v/>
      </c>
      <c r="G14314" s="18"/>
      <c r="H14314" s="16" t="s">
        <v>87</v>
      </c>
      <c r="I14314" s="16" t="s">
        <v>87</v>
      </c>
      <c r="J14314" s="19"/>
      <c r="L14314" s="16" t="str">
        <f>IFERROR(__xludf.DUMMYFUNCTION("""COMPUTED_VALUE"""),"")</f>
        <v/>
      </c>
      <c r="M14314" s="16" t="str">
        <f>IFERROR(__xludf.DUMMYFUNCTION("""COMPUTED_VALUE"""),"")</f>
        <v/>
      </c>
      <c r="U14314" s="16" t="s">
        <v>87</v>
      </c>
      <c r="V14314" s="16" t="str">
        <f>IFERROR(__xludf.DUMMYFUNCTION("""COMPUTED_VALUE"""),"")</f>
        <v/>
      </c>
      <c r="W14314" s="16" t="str">
        <f>IFERROR(__xludf.DUMMYFUNCTION("""COMPUTED_VALUE"""),"")</f>
        <v/>
      </c>
      <c r="X14314" s="16" t="str">
        <f>IFERROR(__xludf.DUMMYFUNCTION("""COMPUTED_VALUE"""),"")</f>
        <v/>
      </c>
      <c r="AC14314" s="16" t="str">
        <f>IFERROR(__xludf.DUMMYFUNCTION("""COMPUTED_VALUE"""),"")</f>
        <v/>
      </c>
    </row>
    <row r="14315">
      <c r="A14315" s="16" t="s">
        <v>87</v>
      </c>
      <c r="E14315" s="16" t="str">
        <f>IFERROR(__xludf.DUMMYFUNCTION("""COMPUTED_VALUE"""),"")</f>
        <v/>
      </c>
      <c r="G14315" s="18"/>
      <c r="H14315" s="16" t="s">
        <v>87</v>
      </c>
      <c r="I14315" s="16" t="s">
        <v>87</v>
      </c>
      <c r="J14315" s="19"/>
      <c r="L14315" s="16" t="str">
        <f>IFERROR(__xludf.DUMMYFUNCTION("""COMPUTED_VALUE"""),"")</f>
        <v/>
      </c>
      <c r="M14315" s="16" t="str">
        <f>IFERROR(__xludf.DUMMYFUNCTION("""COMPUTED_VALUE"""),"")</f>
        <v/>
      </c>
      <c r="U14315" s="16" t="s">
        <v>87</v>
      </c>
      <c r="V14315" s="16" t="str">
        <f>IFERROR(__xludf.DUMMYFUNCTION("""COMPUTED_VALUE"""),"")</f>
        <v/>
      </c>
      <c r="W14315" s="16" t="str">
        <f>IFERROR(__xludf.DUMMYFUNCTION("""COMPUTED_VALUE"""),"")</f>
        <v/>
      </c>
      <c r="X14315" s="16" t="str">
        <f>IFERROR(__xludf.DUMMYFUNCTION("""COMPUTED_VALUE"""),"")</f>
        <v/>
      </c>
      <c r="AC14315" s="16" t="str">
        <f>IFERROR(__xludf.DUMMYFUNCTION("""COMPUTED_VALUE"""),"")</f>
        <v/>
      </c>
    </row>
    <row r="14316">
      <c r="A14316" s="16" t="s">
        <v>87</v>
      </c>
      <c r="E14316" s="16" t="str">
        <f>IFERROR(__xludf.DUMMYFUNCTION("""COMPUTED_VALUE"""),"")</f>
        <v/>
      </c>
      <c r="G14316" s="18"/>
      <c r="H14316" s="16" t="s">
        <v>87</v>
      </c>
      <c r="I14316" s="16" t="s">
        <v>87</v>
      </c>
      <c r="J14316" s="19"/>
      <c r="L14316" s="16" t="str">
        <f>IFERROR(__xludf.DUMMYFUNCTION("""COMPUTED_VALUE"""),"")</f>
        <v/>
      </c>
      <c r="M14316" s="16" t="str">
        <f>IFERROR(__xludf.DUMMYFUNCTION("""COMPUTED_VALUE"""),"")</f>
        <v/>
      </c>
      <c r="U14316" s="16" t="s">
        <v>87</v>
      </c>
      <c r="V14316" s="16" t="str">
        <f>IFERROR(__xludf.DUMMYFUNCTION("""COMPUTED_VALUE"""),"")</f>
        <v/>
      </c>
      <c r="W14316" s="16" t="str">
        <f>IFERROR(__xludf.DUMMYFUNCTION("""COMPUTED_VALUE"""),"")</f>
        <v/>
      </c>
      <c r="X14316" s="16" t="str">
        <f>IFERROR(__xludf.DUMMYFUNCTION("""COMPUTED_VALUE"""),"")</f>
        <v/>
      </c>
      <c r="AC14316" s="16" t="str">
        <f>IFERROR(__xludf.DUMMYFUNCTION("""COMPUTED_VALUE"""),"")</f>
        <v/>
      </c>
    </row>
    <row r="14317">
      <c r="A14317" s="16" t="s">
        <v>87</v>
      </c>
      <c r="E14317" s="16" t="str">
        <f>IFERROR(__xludf.DUMMYFUNCTION("""COMPUTED_VALUE"""),"")</f>
        <v/>
      </c>
      <c r="G14317" s="18"/>
      <c r="H14317" s="16" t="s">
        <v>87</v>
      </c>
      <c r="I14317" s="16" t="s">
        <v>87</v>
      </c>
      <c r="J14317" s="19"/>
      <c r="L14317" s="16" t="str">
        <f>IFERROR(__xludf.DUMMYFUNCTION("""COMPUTED_VALUE"""),"")</f>
        <v/>
      </c>
      <c r="M14317" s="16" t="str">
        <f>IFERROR(__xludf.DUMMYFUNCTION("""COMPUTED_VALUE"""),"")</f>
        <v/>
      </c>
      <c r="U14317" s="16" t="s">
        <v>87</v>
      </c>
      <c r="V14317" s="16" t="str">
        <f>IFERROR(__xludf.DUMMYFUNCTION("""COMPUTED_VALUE"""),"")</f>
        <v/>
      </c>
      <c r="W14317" s="16" t="str">
        <f>IFERROR(__xludf.DUMMYFUNCTION("""COMPUTED_VALUE"""),"")</f>
        <v/>
      </c>
      <c r="X14317" s="16" t="str">
        <f>IFERROR(__xludf.DUMMYFUNCTION("""COMPUTED_VALUE"""),"")</f>
        <v/>
      </c>
      <c r="AC14317" s="16" t="str">
        <f>IFERROR(__xludf.DUMMYFUNCTION("""COMPUTED_VALUE"""),"")</f>
        <v/>
      </c>
    </row>
    <row r="14318">
      <c r="A14318" s="16" t="s">
        <v>87</v>
      </c>
      <c r="E14318" s="16" t="str">
        <f>IFERROR(__xludf.DUMMYFUNCTION("""COMPUTED_VALUE"""),"")</f>
        <v/>
      </c>
      <c r="G14318" s="18"/>
      <c r="H14318" s="16" t="s">
        <v>87</v>
      </c>
      <c r="I14318" s="16" t="s">
        <v>87</v>
      </c>
      <c r="J14318" s="19"/>
      <c r="L14318" s="16" t="str">
        <f>IFERROR(__xludf.DUMMYFUNCTION("""COMPUTED_VALUE"""),"")</f>
        <v/>
      </c>
      <c r="M14318" s="16" t="str">
        <f>IFERROR(__xludf.DUMMYFUNCTION("""COMPUTED_VALUE"""),"")</f>
        <v/>
      </c>
      <c r="U14318" s="16" t="s">
        <v>87</v>
      </c>
      <c r="V14318" s="16" t="str">
        <f>IFERROR(__xludf.DUMMYFUNCTION("""COMPUTED_VALUE"""),"")</f>
        <v/>
      </c>
      <c r="W14318" s="16" t="str">
        <f>IFERROR(__xludf.DUMMYFUNCTION("""COMPUTED_VALUE"""),"")</f>
        <v/>
      </c>
      <c r="X14318" s="16" t="str">
        <f>IFERROR(__xludf.DUMMYFUNCTION("""COMPUTED_VALUE"""),"")</f>
        <v/>
      </c>
      <c r="AC14318" s="16" t="str">
        <f>IFERROR(__xludf.DUMMYFUNCTION("""COMPUTED_VALUE"""),"")</f>
        <v/>
      </c>
    </row>
    <row r="14319">
      <c r="A14319" s="16" t="s">
        <v>87</v>
      </c>
      <c r="E14319" s="16" t="str">
        <f>IFERROR(__xludf.DUMMYFUNCTION("""COMPUTED_VALUE"""),"")</f>
        <v/>
      </c>
      <c r="G14319" s="18"/>
      <c r="H14319" s="16" t="s">
        <v>87</v>
      </c>
      <c r="I14319" s="16" t="s">
        <v>87</v>
      </c>
      <c r="J14319" s="19"/>
      <c r="L14319" s="16" t="str">
        <f>IFERROR(__xludf.DUMMYFUNCTION("""COMPUTED_VALUE"""),"")</f>
        <v/>
      </c>
      <c r="M14319" s="16" t="str">
        <f>IFERROR(__xludf.DUMMYFUNCTION("""COMPUTED_VALUE"""),"")</f>
        <v/>
      </c>
      <c r="U14319" s="16" t="s">
        <v>87</v>
      </c>
      <c r="V14319" s="16" t="str">
        <f>IFERROR(__xludf.DUMMYFUNCTION("""COMPUTED_VALUE"""),"")</f>
        <v/>
      </c>
      <c r="W14319" s="16" t="str">
        <f>IFERROR(__xludf.DUMMYFUNCTION("""COMPUTED_VALUE"""),"")</f>
        <v/>
      </c>
      <c r="X14319" s="16" t="str">
        <f>IFERROR(__xludf.DUMMYFUNCTION("""COMPUTED_VALUE"""),"")</f>
        <v/>
      </c>
      <c r="AC14319" s="16" t="str">
        <f>IFERROR(__xludf.DUMMYFUNCTION("""COMPUTED_VALUE"""),"")</f>
        <v/>
      </c>
    </row>
    <row r="14320">
      <c r="A14320" s="16" t="s">
        <v>87</v>
      </c>
      <c r="E14320" s="16" t="str">
        <f>IFERROR(__xludf.DUMMYFUNCTION("""COMPUTED_VALUE"""),"")</f>
        <v/>
      </c>
      <c r="G14320" s="18"/>
      <c r="H14320" s="16" t="s">
        <v>87</v>
      </c>
      <c r="I14320" s="16" t="s">
        <v>87</v>
      </c>
      <c r="J14320" s="19"/>
      <c r="L14320" s="16" t="str">
        <f>IFERROR(__xludf.DUMMYFUNCTION("""COMPUTED_VALUE"""),"")</f>
        <v/>
      </c>
      <c r="M14320" s="16" t="str">
        <f>IFERROR(__xludf.DUMMYFUNCTION("""COMPUTED_VALUE"""),"")</f>
        <v/>
      </c>
      <c r="U14320" s="16" t="s">
        <v>87</v>
      </c>
      <c r="V14320" s="16" t="str">
        <f>IFERROR(__xludf.DUMMYFUNCTION("""COMPUTED_VALUE"""),"")</f>
        <v/>
      </c>
      <c r="W14320" s="16" t="str">
        <f>IFERROR(__xludf.DUMMYFUNCTION("""COMPUTED_VALUE"""),"")</f>
        <v/>
      </c>
      <c r="X14320" s="16" t="str">
        <f>IFERROR(__xludf.DUMMYFUNCTION("""COMPUTED_VALUE"""),"")</f>
        <v/>
      </c>
      <c r="AC14320" s="16" t="str">
        <f>IFERROR(__xludf.DUMMYFUNCTION("""COMPUTED_VALUE"""),"")</f>
        <v/>
      </c>
    </row>
    <row r="14321">
      <c r="A14321" s="16" t="s">
        <v>87</v>
      </c>
      <c r="E14321" s="16" t="str">
        <f>IFERROR(__xludf.DUMMYFUNCTION("""COMPUTED_VALUE"""),"")</f>
        <v/>
      </c>
      <c r="G14321" s="18"/>
      <c r="H14321" s="16" t="s">
        <v>87</v>
      </c>
      <c r="I14321" s="16" t="s">
        <v>87</v>
      </c>
      <c r="J14321" s="19"/>
      <c r="L14321" s="16" t="str">
        <f>IFERROR(__xludf.DUMMYFUNCTION("""COMPUTED_VALUE"""),"")</f>
        <v/>
      </c>
      <c r="M14321" s="16" t="str">
        <f>IFERROR(__xludf.DUMMYFUNCTION("""COMPUTED_VALUE"""),"")</f>
        <v/>
      </c>
      <c r="U14321" s="16" t="s">
        <v>87</v>
      </c>
      <c r="V14321" s="16" t="str">
        <f>IFERROR(__xludf.DUMMYFUNCTION("""COMPUTED_VALUE"""),"")</f>
        <v/>
      </c>
      <c r="W14321" s="16" t="str">
        <f>IFERROR(__xludf.DUMMYFUNCTION("""COMPUTED_VALUE"""),"")</f>
        <v/>
      </c>
      <c r="X14321" s="16" t="str">
        <f>IFERROR(__xludf.DUMMYFUNCTION("""COMPUTED_VALUE"""),"")</f>
        <v/>
      </c>
      <c r="AC14321" s="16" t="str">
        <f>IFERROR(__xludf.DUMMYFUNCTION("""COMPUTED_VALUE"""),"")</f>
        <v/>
      </c>
    </row>
    <row r="14322">
      <c r="A14322" s="16" t="s">
        <v>87</v>
      </c>
      <c r="E14322" s="16" t="str">
        <f>IFERROR(__xludf.DUMMYFUNCTION("""COMPUTED_VALUE"""),"")</f>
        <v/>
      </c>
      <c r="G14322" s="18"/>
      <c r="H14322" s="16" t="s">
        <v>87</v>
      </c>
      <c r="I14322" s="16" t="s">
        <v>87</v>
      </c>
      <c r="J14322" s="19"/>
      <c r="L14322" s="16" t="str">
        <f>IFERROR(__xludf.DUMMYFUNCTION("""COMPUTED_VALUE"""),"")</f>
        <v/>
      </c>
      <c r="M14322" s="16" t="str">
        <f>IFERROR(__xludf.DUMMYFUNCTION("""COMPUTED_VALUE"""),"")</f>
        <v/>
      </c>
      <c r="U14322" s="16" t="s">
        <v>87</v>
      </c>
      <c r="V14322" s="16" t="str">
        <f>IFERROR(__xludf.DUMMYFUNCTION("""COMPUTED_VALUE"""),"")</f>
        <v/>
      </c>
      <c r="W14322" s="16" t="str">
        <f>IFERROR(__xludf.DUMMYFUNCTION("""COMPUTED_VALUE"""),"")</f>
        <v/>
      </c>
      <c r="X14322" s="16" t="str">
        <f>IFERROR(__xludf.DUMMYFUNCTION("""COMPUTED_VALUE"""),"")</f>
        <v/>
      </c>
      <c r="AC14322" s="16" t="str">
        <f>IFERROR(__xludf.DUMMYFUNCTION("""COMPUTED_VALUE"""),"")</f>
        <v/>
      </c>
    </row>
    <row r="14323">
      <c r="A14323" s="16" t="s">
        <v>87</v>
      </c>
      <c r="E14323" s="16" t="str">
        <f>IFERROR(__xludf.DUMMYFUNCTION("""COMPUTED_VALUE"""),"")</f>
        <v/>
      </c>
      <c r="G14323" s="18"/>
      <c r="H14323" s="16" t="s">
        <v>87</v>
      </c>
      <c r="I14323" s="16" t="s">
        <v>87</v>
      </c>
      <c r="J14323" s="19"/>
      <c r="L14323" s="16" t="str">
        <f>IFERROR(__xludf.DUMMYFUNCTION("""COMPUTED_VALUE"""),"")</f>
        <v/>
      </c>
      <c r="M14323" s="16" t="str">
        <f>IFERROR(__xludf.DUMMYFUNCTION("""COMPUTED_VALUE"""),"")</f>
        <v/>
      </c>
      <c r="U14323" s="16" t="s">
        <v>87</v>
      </c>
      <c r="V14323" s="16" t="str">
        <f>IFERROR(__xludf.DUMMYFUNCTION("""COMPUTED_VALUE"""),"")</f>
        <v/>
      </c>
      <c r="W14323" s="16" t="str">
        <f>IFERROR(__xludf.DUMMYFUNCTION("""COMPUTED_VALUE"""),"")</f>
        <v/>
      </c>
      <c r="X14323" s="16" t="str">
        <f>IFERROR(__xludf.DUMMYFUNCTION("""COMPUTED_VALUE"""),"")</f>
        <v/>
      </c>
      <c r="AC14323" s="16" t="str">
        <f>IFERROR(__xludf.DUMMYFUNCTION("""COMPUTED_VALUE"""),"")</f>
        <v/>
      </c>
    </row>
    <row r="14324">
      <c r="A14324" s="16" t="s">
        <v>87</v>
      </c>
      <c r="E14324" s="16" t="str">
        <f>IFERROR(__xludf.DUMMYFUNCTION("""COMPUTED_VALUE"""),"")</f>
        <v/>
      </c>
      <c r="G14324" s="18"/>
      <c r="H14324" s="16" t="s">
        <v>87</v>
      </c>
      <c r="I14324" s="16" t="s">
        <v>87</v>
      </c>
      <c r="J14324" s="19"/>
      <c r="L14324" s="16" t="str">
        <f>IFERROR(__xludf.DUMMYFUNCTION("""COMPUTED_VALUE"""),"")</f>
        <v/>
      </c>
      <c r="M14324" s="16" t="str">
        <f>IFERROR(__xludf.DUMMYFUNCTION("""COMPUTED_VALUE"""),"")</f>
        <v/>
      </c>
      <c r="U14324" s="16" t="s">
        <v>87</v>
      </c>
      <c r="V14324" s="16" t="str">
        <f>IFERROR(__xludf.DUMMYFUNCTION("""COMPUTED_VALUE"""),"")</f>
        <v/>
      </c>
      <c r="W14324" s="16" t="str">
        <f>IFERROR(__xludf.DUMMYFUNCTION("""COMPUTED_VALUE"""),"")</f>
        <v/>
      </c>
      <c r="X14324" s="16" t="str">
        <f>IFERROR(__xludf.DUMMYFUNCTION("""COMPUTED_VALUE"""),"")</f>
        <v/>
      </c>
      <c r="AC14324" s="16" t="str">
        <f>IFERROR(__xludf.DUMMYFUNCTION("""COMPUTED_VALUE"""),"")</f>
        <v/>
      </c>
    </row>
    <row r="14325">
      <c r="A14325" s="16" t="s">
        <v>87</v>
      </c>
      <c r="E14325" s="16" t="str">
        <f>IFERROR(__xludf.DUMMYFUNCTION("""COMPUTED_VALUE"""),"")</f>
        <v/>
      </c>
      <c r="G14325" s="18"/>
      <c r="H14325" s="16" t="s">
        <v>87</v>
      </c>
      <c r="I14325" s="16" t="s">
        <v>87</v>
      </c>
      <c r="J14325" s="19"/>
      <c r="L14325" s="16" t="str">
        <f>IFERROR(__xludf.DUMMYFUNCTION("""COMPUTED_VALUE"""),"")</f>
        <v/>
      </c>
      <c r="M14325" s="16" t="str">
        <f>IFERROR(__xludf.DUMMYFUNCTION("""COMPUTED_VALUE"""),"")</f>
        <v/>
      </c>
      <c r="U14325" s="16" t="s">
        <v>87</v>
      </c>
      <c r="V14325" s="16" t="str">
        <f>IFERROR(__xludf.DUMMYFUNCTION("""COMPUTED_VALUE"""),"")</f>
        <v/>
      </c>
      <c r="W14325" s="16" t="str">
        <f>IFERROR(__xludf.DUMMYFUNCTION("""COMPUTED_VALUE"""),"")</f>
        <v/>
      </c>
      <c r="X14325" s="16" t="str">
        <f>IFERROR(__xludf.DUMMYFUNCTION("""COMPUTED_VALUE"""),"")</f>
        <v/>
      </c>
      <c r="AC14325" s="16" t="str">
        <f>IFERROR(__xludf.DUMMYFUNCTION("""COMPUTED_VALUE"""),"")</f>
        <v/>
      </c>
    </row>
    <row r="14326">
      <c r="A14326" s="16" t="s">
        <v>87</v>
      </c>
      <c r="E14326" s="16" t="str">
        <f>IFERROR(__xludf.DUMMYFUNCTION("""COMPUTED_VALUE"""),"")</f>
        <v/>
      </c>
      <c r="G14326" s="18"/>
      <c r="H14326" s="16" t="s">
        <v>87</v>
      </c>
      <c r="I14326" s="16" t="s">
        <v>87</v>
      </c>
      <c r="J14326" s="19"/>
      <c r="L14326" s="16" t="str">
        <f>IFERROR(__xludf.DUMMYFUNCTION("""COMPUTED_VALUE"""),"")</f>
        <v/>
      </c>
      <c r="M14326" s="16" t="str">
        <f>IFERROR(__xludf.DUMMYFUNCTION("""COMPUTED_VALUE"""),"")</f>
        <v/>
      </c>
      <c r="U14326" s="16" t="s">
        <v>87</v>
      </c>
      <c r="V14326" s="16" t="str">
        <f>IFERROR(__xludf.DUMMYFUNCTION("""COMPUTED_VALUE"""),"")</f>
        <v/>
      </c>
      <c r="W14326" s="16" t="str">
        <f>IFERROR(__xludf.DUMMYFUNCTION("""COMPUTED_VALUE"""),"")</f>
        <v/>
      </c>
      <c r="X14326" s="16" t="str">
        <f>IFERROR(__xludf.DUMMYFUNCTION("""COMPUTED_VALUE"""),"")</f>
        <v/>
      </c>
      <c r="AC14326" s="16" t="str">
        <f>IFERROR(__xludf.DUMMYFUNCTION("""COMPUTED_VALUE"""),"")</f>
        <v/>
      </c>
    </row>
    <row r="14327">
      <c r="A14327" s="16" t="s">
        <v>87</v>
      </c>
      <c r="E14327" s="16" t="str">
        <f>IFERROR(__xludf.DUMMYFUNCTION("""COMPUTED_VALUE"""),"")</f>
        <v/>
      </c>
      <c r="G14327" s="18"/>
      <c r="H14327" s="16" t="s">
        <v>87</v>
      </c>
      <c r="I14327" s="16" t="s">
        <v>87</v>
      </c>
      <c r="J14327" s="19"/>
      <c r="L14327" s="16" t="str">
        <f>IFERROR(__xludf.DUMMYFUNCTION("""COMPUTED_VALUE"""),"")</f>
        <v/>
      </c>
      <c r="M14327" s="16" t="str">
        <f>IFERROR(__xludf.DUMMYFUNCTION("""COMPUTED_VALUE"""),"")</f>
        <v/>
      </c>
      <c r="U14327" s="16" t="s">
        <v>87</v>
      </c>
      <c r="V14327" s="16" t="str">
        <f>IFERROR(__xludf.DUMMYFUNCTION("""COMPUTED_VALUE"""),"")</f>
        <v/>
      </c>
      <c r="W14327" s="16" t="str">
        <f>IFERROR(__xludf.DUMMYFUNCTION("""COMPUTED_VALUE"""),"")</f>
        <v/>
      </c>
      <c r="X14327" s="16" t="str">
        <f>IFERROR(__xludf.DUMMYFUNCTION("""COMPUTED_VALUE"""),"")</f>
        <v/>
      </c>
      <c r="AC14327" s="16" t="str">
        <f>IFERROR(__xludf.DUMMYFUNCTION("""COMPUTED_VALUE"""),"")</f>
        <v/>
      </c>
    </row>
    <row r="14328">
      <c r="A14328" s="16" t="s">
        <v>87</v>
      </c>
      <c r="E14328" s="16" t="str">
        <f>IFERROR(__xludf.DUMMYFUNCTION("""COMPUTED_VALUE"""),"")</f>
        <v/>
      </c>
      <c r="G14328" s="18"/>
      <c r="H14328" s="16" t="s">
        <v>87</v>
      </c>
      <c r="I14328" s="16" t="s">
        <v>87</v>
      </c>
      <c r="J14328" s="19"/>
      <c r="L14328" s="16" t="str">
        <f>IFERROR(__xludf.DUMMYFUNCTION("""COMPUTED_VALUE"""),"")</f>
        <v/>
      </c>
      <c r="M14328" s="16" t="str">
        <f>IFERROR(__xludf.DUMMYFUNCTION("""COMPUTED_VALUE"""),"")</f>
        <v/>
      </c>
      <c r="U14328" s="16" t="s">
        <v>87</v>
      </c>
      <c r="V14328" s="16" t="str">
        <f>IFERROR(__xludf.DUMMYFUNCTION("""COMPUTED_VALUE"""),"")</f>
        <v/>
      </c>
      <c r="W14328" s="16" t="str">
        <f>IFERROR(__xludf.DUMMYFUNCTION("""COMPUTED_VALUE"""),"")</f>
        <v/>
      </c>
      <c r="X14328" s="16" t="str">
        <f>IFERROR(__xludf.DUMMYFUNCTION("""COMPUTED_VALUE"""),"")</f>
        <v/>
      </c>
      <c r="AC14328" s="16" t="str">
        <f>IFERROR(__xludf.DUMMYFUNCTION("""COMPUTED_VALUE"""),"")</f>
        <v/>
      </c>
    </row>
    <row r="14329">
      <c r="A14329" s="16" t="s">
        <v>87</v>
      </c>
      <c r="E14329" s="16" t="str">
        <f>IFERROR(__xludf.DUMMYFUNCTION("""COMPUTED_VALUE"""),"")</f>
        <v/>
      </c>
      <c r="G14329" s="18"/>
      <c r="H14329" s="16" t="s">
        <v>87</v>
      </c>
      <c r="I14329" s="16" t="s">
        <v>87</v>
      </c>
      <c r="J14329" s="19"/>
      <c r="L14329" s="16" t="str">
        <f>IFERROR(__xludf.DUMMYFUNCTION("""COMPUTED_VALUE"""),"")</f>
        <v/>
      </c>
      <c r="M14329" s="16" t="str">
        <f>IFERROR(__xludf.DUMMYFUNCTION("""COMPUTED_VALUE"""),"")</f>
        <v/>
      </c>
      <c r="U14329" s="16" t="s">
        <v>87</v>
      </c>
      <c r="V14329" s="16" t="str">
        <f>IFERROR(__xludf.DUMMYFUNCTION("""COMPUTED_VALUE"""),"")</f>
        <v/>
      </c>
      <c r="W14329" s="16" t="str">
        <f>IFERROR(__xludf.DUMMYFUNCTION("""COMPUTED_VALUE"""),"")</f>
        <v/>
      </c>
      <c r="X14329" s="16" t="str">
        <f>IFERROR(__xludf.DUMMYFUNCTION("""COMPUTED_VALUE"""),"")</f>
        <v/>
      </c>
      <c r="AC14329" s="16" t="str">
        <f>IFERROR(__xludf.DUMMYFUNCTION("""COMPUTED_VALUE"""),"")</f>
        <v/>
      </c>
    </row>
    <row r="14330">
      <c r="A14330" s="16" t="s">
        <v>87</v>
      </c>
      <c r="E14330" s="16" t="str">
        <f>IFERROR(__xludf.DUMMYFUNCTION("""COMPUTED_VALUE"""),"")</f>
        <v/>
      </c>
      <c r="G14330" s="18"/>
      <c r="H14330" s="16" t="s">
        <v>87</v>
      </c>
      <c r="I14330" s="16" t="s">
        <v>87</v>
      </c>
      <c r="J14330" s="19"/>
      <c r="L14330" s="16" t="str">
        <f>IFERROR(__xludf.DUMMYFUNCTION("""COMPUTED_VALUE"""),"")</f>
        <v/>
      </c>
      <c r="M14330" s="16" t="str">
        <f>IFERROR(__xludf.DUMMYFUNCTION("""COMPUTED_VALUE"""),"")</f>
        <v/>
      </c>
      <c r="U14330" s="16" t="s">
        <v>87</v>
      </c>
      <c r="V14330" s="16" t="str">
        <f>IFERROR(__xludf.DUMMYFUNCTION("""COMPUTED_VALUE"""),"")</f>
        <v/>
      </c>
      <c r="W14330" s="16" t="str">
        <f>IFERROR(__xludf.DUMMYFUNCTION("""COMPUTED_VALUE"""),"")</f>
        <v/>
      </c>
      <c r="X14330" s="16" t="str">
        <f>IFERROR(__xludf.DUMMYFUNCTION("""COMPUTED_VALUE"""),"")</f>
        <v/>
      </c>
      <c r="AC14330" s="16" t="str">
        <f>IFERROR(__xludf.DUMMYFUNCTION("""COMPUTED_VALUE"""),"")</f>
        <v/>
      </c>
    </row>
    <row r="14331">
      <c r="A14331" s="16" t="s">
        <v>87</v>
      </c>
      <c r="E14331" s="16" t="str">
        <f>IFERROR(__xludf.DUMMYFUNCTION("""COMPUTED_VALUE"""),"")</f>
        <v/>
      </c>
      <c r="G14331" s="18"/>
      <c r="H14331" s="16" t="s">
        <v>87</v>
      </c>
      <c r="I14331" s="16" t="s">
        <v>87</v>
      </c>
      <c r="J14331" s="19"/>
      <c r="L14331" s="16" t="str">
        <f>IFERROR(__xludf.DUMMYFUNCTION("""COMPUTED_VALUE"""),"")</f>
        <v/>
      </c>
      <c r="M14331" s="16" t="str">
        <f>IFERROR(__xludf.DUMMYFUNCTION("""COMPUTED_VALUE"""),"")</f>
        <v/>
      </c>
      <c r="U14331" s="16" t="s">
        <v>87</v>
      </c>
      <c r="V14331" s="16" t="str">
        <f>IFERROR(__xludf.DUMMYFUNCTION("""COMPUTED_VALUE"""),"")</f>
        <v/>
      </c>
      <c r="W14331" s="16" t="str">
        <f>IFERROR(__xludf.DUMMYFUNCTION("""COMPUTED_VALUE"""),"")</f>
        <v/>
      </c>
      <c r="X14331" s="16" t="str">
        <f>IFERROR(__xludf.DUMMYFUNCTION("""COMPUTED_VALUE"""),"")</f>
        <v/>
      </c>
      <c r="AC14331" s="16" t="str">
        <f>IFERROR(__xludf.DUMMYFUNCTION("""COMPUTED_VALUE"""),"")</f>
        <v/>
      </c>
    </row>
    <row r="14332">
      <c r="A14332" s="16" t="s">
        <v>87</v>
      </c>
      <c r="E14332" s="16" t="str">
        <f>IFERROR(__xludf.DUMMYFUNCTION("""COMPUTED_VALUE"""),"")</f>
        <v/>
      </c>
      <c r="G14332" s="18"/>
      <c r="H14332" s="16" t="s">
        <v>87</v>
      </c>
      <c r="I14332" s="16" t="s">
        <v>87</v>
      </c>
      <c r="J14332" s="19"/>
      <c r="L14332" s="16" t="str">
        <f>IFERROR(__xludf.DUMMYFUNCTION("""COMPUTED_VALUE"""),"")</f>
        <v/>
      </c>
      <c r="M14332" s="16" t="str">
        <f>IFERROR(__xludf.DUMMYFUNCTION("""COMPUTED_VALUE"""),"")</f>
        <v/>
      </c>
      <c r="U14332" s="16" t="s">
        <v>87</v>
      </c>
      <c r="V14332" s="16" t="str">
        <f>IFERROR(__xludf.DUMMYFUNCTION("""COMPUTED_VALUE"""),"")</f>
        <v/>
      </c>
      <c r="W14332" s="16" t="str">
        <f>IFERROR(__xludf.DUMMYFUNCTION("""COMPUTED_VALUE"""),"")</f>
        <v/>
      </c>
      <c r="X14332" s="16" t="str">
        <f>IFERROR(__xludf.DUMMYFUNCTION("""COMPUTED_VALUE"""),"")</f>
        <v/>
      </c>
      <c r="AC14332" s="16" t="str">
        <f>IFERROR(__xludf.DUMMYFUNCTION("""COMPUTED_VALUE"""),"")</f>
        <v/>
      </c>
    </row>
    <row r="14333">
      <c r="A14333" s="16" t="s">
        <v>87</v>
      </c>
      <c r="E14333" s="16" t="str">
        <f>IFERROR(__xludf.DUMMYFUNCTION("""COMPUTED_VALUE"""),"")</f>
        <v/>
      </c>
      <c r="G14333" s="18"/>
      <c r="H14333" s="16" t="s">
        <v>87</v>
      </c>
      <c r="I14333" s="16" t="s">
        <v>87</v>
      </c>
      <c r="J14333" s="19"/>
      <c r="L14333" s="16" t="str">
        <f>IFERROR(__xludf.DUMMYFUNCTION("""COMPUTED_VALUE"""),"")</f>
        <v/>
      </c>
      <c r="M14333" s="16" t="str">
        <f>IFERROR(__xludf.DUMMYFUNCTION("""COMPUTED_VALUE"""),"")</f>
        <v/>
      </c>
      <c r="U14333" s="16" t="s">
        <v>87</v>
      </c>
      <c r="V14333" s="16" t="str">
        <f>IFERROR(__xludf.DUMMYFUNCTION("""COMPUTED_VALUE"""),"")</f>
        <v/>
      </c>
      <c r="W14333" s="16" t="str">
        <f>IFERROR(__xludf.DUMMYFUNCTION("""COMPUTED_VALUE"""),"")</f>
        <v/>
      </c>
      <c r="X14333" s="16" t="str">
        <f>IFERROR(__xludf.DUMMYFUNCTION("""COMPUTED_VALUE"""),"")</f>
        <v/>
      </c>
      <c r="AC14333" s="16" t="str">
        <f>IFERROR(__xludf.DUMMYFUNCTION("""COMPUTED_VALUE"""),"")</f>
        <v/>
      </c>
    </row>
    <row r="14334">
      <c r="A14334" s="16" t="s">
        <v>87</v>
      </c>
      <c r="E14334" s="16" t="str">
        <f>IFERROR(__xludf.DUMMYFUNCTION("""COMPUTED_VALUE"""),"")</f>
        <v/>
      </c>
      <c r="G14334" s="18"/>
      <c r="H14334" s="16" t="s">
        <v>87</v>
      </c>
      <c r="I14334" s="16" t="s">
        <v>87</v>
      </c>
      <c r="J14334" s="19"/>
      <c r="L14334" s="16" t="str">
        <f>IFERROR(__xludf.DUMMYFUNCTION("""COMPUTED_VALUE"""),"")</f>
        <v/>
      </c>
      <c r="M14334" s="16" t="str">
        <f>IFERROR(__xludf.DUMMYFUNCTION("""COMPUTED_VALUE"""),"")</f>
        <v/>
      </c>
      <c r="U14334" s="16" t="s">
        <v>87</v>
      </c>
      <c r="V14334" s="16" t="str">
        <f>IFERROR(__xludf.DUMMYFUNCTION("""COMPUTED_VALUE"""),"")</f>
        <v/>
      </c>
      <c r="W14334" s="16" t="str">
        <f>IFERROR(__xludf.DUMMYFUNCTION("""COMPUTED_VALUE"""),"")</f>
        <v/>
      </c>
      <c r="X14334" s="16" t="str">
        <f>IFERROR(__xludf.DUMMYFUNCTION("""COMPUTED_VALUE"""),"")</f>
        <v/>
      </c>
      <c r="AC14334" s="16" t="str">
        <f>IFERROR(__xludf.DUMMYFUNCTION("""COMPUTED_VALUE"""),"")</f>
        <v/>
      </c>
    </row>
    <row r="14335">
      <c r="A14335" s="16" t="s">
        <v>87</v>
      </c>
      <c r="E14335" s="16" t="str">
        <f>IFERROR(__xludf.DUMMYFUNCTION("""COMPUTED_VALUE"""),"")</f>
        <v/>
      </c>
      <c r="G14335" s="18"/>
      <c r="H14335" s="16" t="s">
        <v>87</v>
      </c>
      <c r="I14335" s="16" t="s">
        <v>87</v>
      </c>
      <c r="J14335" s="19"/>
      <c r="L14335" s="16" t="str">
        <f>IFERROR(__xludf.DUMMYFUNCTION("""COMPUTED_VALUE"""),"")</f>
        <v/>
      </c>
      <c r="M14335" s="16" t="str">
        <f>IFERROR(__xludf.DUMMYFUNCTION("""COMPUTED_VALUE"""),"")</f>
        <v/>
      </c>
      <c r="U14335" s="16" t="s">
        <v>87</v>
      </c>
      <c r="V14335" s="16" t="str">
        <f>IFERROR(__xludf.DUMMYFUNCTION("""COMPUTED_VALUE"""),"")</f>
        <v/>
      </c>
      <c r="W14335" s="16" t="str">
        <f>IFERROR(__xludf.DUMMYFUNCTION("""COMPUTED_VALUE"""),"")</f>
        <v/>
      </c>
      <c r="X14335" s="16" t="str">
        <f>IFERROR(__xludf.DUMMYFUNCTION("""COMPUTED_VALUE"""),"")</f>
        <v/>
      </c>
      <c r="AC14335" s="16" t="str">
        <f>IFERROR(__xludf.DUMMYFUNCTION("""COMPUTED_VALUE"""),"")</f>
        <v/>
      </c>
    </row>
    <row r="14336">
      <c r="A14336" s="16" t="s">
        <v>87</v>
      </c>
      <c r="E14336" s="16" t="str">
        <f>IFERROR(__xludf.DUMMYFUNCTION("""COMPUTED_VALUE"""),"")</f>
        <v/>
      </c>
      <c r="G14336" s="18"/>
      <c r="H14336" s="16" t="s">
        <v>87</v>
      </c>
      <c r="I14336" s="16" t="s">
        <v>87</v>
      </c>
      <c r="J14336" s="19"/>
      <c r="L14336" s="16" t="str">
        <f>IFERROR(__xludf.DUMMYFUNCTION("""COMPUTED_VALUE"""),"")</f>
        <v/>
      </c>
      <c r="M14336" s="16" t="str">
        <f>IFERROR(__xludf.DUMMYFUNCTION("""COMPUTED_VALUE"""),"")</f>
        <v/>
      </c>
      <c r="U14336" s="16" t="s">
        <v>87</v>
      </c>
      <c r="V14336" s="16" t="str">
        <f>IFERROR(__xludf.DUMMYFUNCTION("""COMPUTED_VALUE"""),"")</f>
        <v/>
      </c>
      <c r="W14336" s="16" t="str">
        <f>IFERROR(__xludf.DUMMYFUNCTION("""COMPUTED_VALUE"""),"")</f>
        <v/>
      </c>
      <c r="X14336" s="16" t="str">
        <f>IFERROR(__xludf.DUMMYFUNCTION("""COMPUTED_VALUE"""),"")</f>
        <v/>
      </c>
      <c r="AC14336" s="16" t="str">
        <f>IFERROR(__xludf.DUMMYFUNCTION("""COMPUTED_VALUE"""),"")</f>
        <v/>
      </c>
    </row>
    <row r="14337">
      <c r="A14337" s="16" t="s">
        <v>87</v>
      </c>
      <c r="E14337" s="16" t="str">
        <f>IFERROR(__xludf.DUMMYFUNCTION("""COMPUTED_VALUE"""),"")</f>
        <v/>
      </c>
      <c r="G14337" s="18"/>
      <c r="H14337" s="16" t="s">
        <v>87</v>
      </c>
      <c r="I14337" s="16" t="s">
        <v>87</v>
      </c>
      <c r="J14337" s="19"/>
      <c r="L14337" s="16" t="str">
        <f>IFERROR(__xludf.DUMMYFUNCTION("""COMPUTED_VALUE"""),"")</f>
        <v/>
      </c>
      <c r="M14337" s="16" t="str">
        <f>IFERROR(__xludf.DUMMYFUNCTION("""COMPUTED_VALUE"""),"")</f>
        <v/>
      </c>
      <c r="U14337" s="16" t="s">
        <v>87</v>
      </c>
      <c r="V14337" s="16" t="str">
        <f>IFERROR(__xludf.DUMMYFUNCTION("""COMPUTED_VALUE"""),"")</f>
        <v/>
      </c>
      <c r="W14337" s="16" t="str">
        <f>IFERROR(__xludf.DUMMYFUNCTION("""COMPUTED_VALUE"""),"")</f>
        <v/>
      </c>
      <c r="X14337" s="16" t="str">
        <f>IFERROR(__xludf.DUMMYFUNCTION("""COMPUTED_VALUE"""),"")</f>
        <v/>
      </c>
      <c r="AC14337" s="16" t="str">
        <f>IFERROR(__xludf.DUMMYFUNCTION("""COMPUTED_VALUE"""),"")</f>
        <v/>
      </c>
    </row>
    <row r="14338">
      <c r="A14338" s="16" t="s">
        <v>87</v>
      </c>
      <c r="E14338" s="16" t="str">
        <f>IFERROR(__xludf.DUMMYFUNCTION("""COMPUTED_VALUE"""),"")</f>
        <v/>
      </c>
      <c r="G14338" s="18"/>
      <c r="H14338" s="16" t="s">
        <v>87</v>
      </c>
      <c r="I14338" s="16" t="s">
        <v>87</v>
      </c>
      <c r="J14338" s="19"/>
      <c r="L14338" s="16" t="str">
        <f>IFERROR(__xludf.DUMMYFUNCTION("""COMPUTED_VALUE"""),"")</f>
        <v/>
      </c>
      <c r="M14338" s="16" t="str">
        <f>IFERROR(__xludf.DUMMYFUNCTION("""COMPUTED_VALUE"""),"")</f>
        <v/>
      </c>
      <c r="U14338" s="16" t="s">
        <v>87</v>
      </c>
      <c r="V14338" s="16" t="str">
        <f>IFERROR(__xludf.DUMMYFUNCTION("""COMPUTED_VALUE"""),"")</f>
        <v/>
      </c>
      <c r="W14338" s="16" t="str">
        <f>IFERROR(__xludf.DUMMYFUNCTION("""COMPUTED_VALUE"""),"")</f>
        <v/>
      </c>
      <c r="X14338" s="16" t="str">
        <f>IFERROR(__xludf.DUMMYFUNCTION("""COMPUTED_VALUE"""),"")</f>
        <v/>
      </c>
      <c r="AC14338" s="16" t="str">
        <f>IFERROR(__xludf.DUMMYFUNCTION("""COMPUTED_VALUE"""),"")</f>
        <v/>
      </c>
    </row>
    <row r="14339">
      <c r="A14339" s="16" t="s">
        <v>87</v>
      </c>
      <c r="E14339" s="16" t="str">
        <f>IFERROR(__xludf.DUMMYFUNCTION("""COMPUTED_VALUE"""),"")</f>
        <v/>
      </c>
      <c r="G14339" s="18"/>
      <c r="H14339" s="16" t="s">
        <v>87</v>
      </c>
      <c r="I14339" s="16" t="s">
        <v>87</v>
      </c>
      <c r="J14339" s="19"/>
      <c r="L14339" s="16" t="str">
        <f>IFERROR(__xludf.DUMMYFUNCTION("""COMPUTED_VALUE"""),"")</f>
        <v/>
      </c>
      <c r="M14339" s="16" t="str">
        <f>IFERROR(__xludf.DUMMYFUNCTION("""COMPUTED_VALUE"""),"")</f>
        <v/>
      </c>
      <c r="U14339" s="16" t="s">
        <v>87</v>
      </c>
      <c r="V14339" s="16" t="str">
        <f>IFERROR(__xludf.DUMMYFUNCTION("""COMPUTED_VALUE"""),"")</f>
        <v/>
      </c>
      <c r="W14339" s="16" t="str">
        <f>IFERROR(__xludf.DUMMYFUNCTION("""COMPUTED_VALUE"""),"")</f>
        <v/>
      </c>
      <c r="X14339" s="16" t="str">
        <f>IFERROR(__xludf.DUMMYFUNCTION("""COMPUTED_VALUE"""),"")</f>
        <v/>
      </c>
      <c r="AC14339" s="16" t="str">
        <f>IFERROR(__xludf.DUMMYFUNCTION("""COMPUTED_VALUE"""),"")</f>
        <v/>
      </c>
    </row>
    <row r="14340">
      <c r="A14340" s="16" t="s">
        <v>87</v>
      </c>
      <c r="E14340" s="16" t="str">
        <f>IFERROR(__xludf.DUMMYFUNCTION("""COMPUTED_VALUE"""),"")</f>
        <v/>
      </c>
      <c r="G14340" s="18"/>
      <c r="H14340" s="16" t="s">
        <v>87</v>
      </c>
      <c r="I14340" s="16" t="s">
        <v>87</v>
      </c>
      <c r="J14340" s="19"/>
      <c r="L14340" s="16" t="str">
        <f>IFERROR(__xludf.DUMMYFUNCTION("""COMPUTED_VALUE"""),"")</f>
        <v/>
      </c>
      <c r="M14340" s="16" t="str">
        <f>IFERROR(__xludf.DUMMYFUNCTION("""COMPUTED_VALUE"""),"")</f>
        <v/>
      </c>
      <c r="U14340" s="16" t="s">
        <v>87</v>
      </c>
      <c r="V14340" s="16" t="str">
        <f>IFERROR(__xludf.DUMMYFUNCTION("""COMPUTED_VALUE"""),"")</f>
        <v/>
      </c>
      <c r="W14340" s="16" t="str">
        <f>IFERROR(__xludf.DUMMYFUNCTION("""COMPUTED_VALUE"""),"")</f>
        <v/>
      </c>
      <c r="X14340" s="16" t="str">
        <f>IFERROR(__xludf.DUMMYFUNCTION("""COMPUTED_VALUE"""),"")</f>
        <v/>
      </c>
      <c r="AC14340" s="16" t="str">
        <f>IFERROR(__xludf.DUMMYFUNCTION("""COMPUTED_VALUE"""),"")</f>
        <v/>
      </c>
    </row>
    <row r="14341">
      <c r="A14341" s="16" t="s">
        <v>87</v>
      </c>
      <c r="E14341" s="16" t="str">
        <f>IFERROR(__xludf.DUMMYFUNCTION("""COMPUTED_VALUE"""),"")</f>
        <v/>
      </c>
      <c r="G14341" s="18"/>
      <c r="H14341" s="16" t="s">
        <v>87</v>
      </c>
      <c r="I14341" s="16" t="s">
        <v>87</v>
      </c>
      <c r="J14341" s="19"/>
      <c r="L14341" s="16" t="str">
        <f>IFERROR(__xludf.DUMMYFUNCTION("""COMPUTED_VALUE"""),"")</f>
        <v/>
      </c>
      <c r="M14341" s="16" t="str">
        <f>IFERROR(__xludf.DUMMYFUNCTION("""COMPUTED_VALUE"""),"")</f>
        <v/>
      </c>
      <c r="U14341" s="16" t="s">
        <v>87</v>
      </c>
      <c r="V14341" s="16" t="str">
        <f>IFERROR(__xludf.DUMMYFUNCTION("""COMPUTED_VALUE"""),"")</f>
        <v/>
      </c>
      <c r="W14341" s="16" t="str">
        <f>IFERROR(__xludf.DUMMYFUNCTION("""COMPUTED_VALUE"""),"")</f>
        <v/>
      </c>
      <c r="X14341" s="16" t="str">
        <f>IFERROR(__xludf.DUMMYFUNCTION("""COMPUTED_VALUE"""),"")</f>
        <v/>
      </c>
      <c r="AC14341" s="16" t="str">
        <f>IFERROR(__xludf.DUMMYFUNCTION("""COMPUTED_VALUE"""),"")</f>
        <v/>
      </c>
    </row>
    <row r="14342">
      <c r="A14342" s="16" t="s">
        <v>87</v>
      </c>
      <c r="E14342" s="16" t="str">
        <f>IFERROR(__xludf.DUMMYFUNCTION("""COMPUTED_VALUE"""),"")</f>
        <v/>
      </c>
      <c r="G14342" s="18"/>
      <c r="H14342" s="16" t="s">
        <v>87</v>
      </c>
      <c r="I14342" s="16" t="s">
        <v>87</v>
      </c>
      <c r="J14342" s="19"/>
      <c r="L14342" s="16" t="str">
        <f>IFERROR(__xludf.DUMMYFUNCTION("""COMPUTED_VALUE"""),"")</f>
        <v/>
      </c>
      <c r="M14342" s="16" t="str">
        <f>IFERROR(__xludf.DUMMYFUNCTION("""COMPUTED_VALUE"""),"")</f>
        <v/>
      </c>
      <c r="U14342" s="16" t="s">
        <v>87</v>
      </c>
      <c r="V14342" s="16" t="str">
        <f>IFERROR(__xludf.DUMMYFUNCTION("""COMPUTED_VALUE"""),"")</f>
        <v/>
      </c>
      <c r="W14342" s="16" t="str">
        <f>IFERROR(__xludf.DUMMYFUNCTION("""COMPUTED_VALUE"""),"")</f>
        <v/>
      </c>
      <c r="X14342" s="16" t="str">
        <f>IFERROR(__xludf.DUMMYFUNCTION("""COMPUTED_VALUE"""),"")</f>
        <v/>
      </c>
      <c r="AC14342" s="16" t="str">
        <f>IFERROR(__xludf.DUMMYFUNCTION("""COMPUTED_VALUE"""),"")</f>
        <v/>
      </c>
    </row>
    <row r="14343">
      <c r="A14343" s="16" t="s">
        <v>87</v>
      </c>
      <c r="E14343" s="16" t="str">
        <f>IFERROR(__xludf.DUMMYFUNCTION("""COMPUTED_VALUE"""),"")</f>
        <v/>
      </c>
      <c r="G14343" s="18"/>
      <c r="H14343" s="16" t="s">
        <v>87</v>
      </c>
      <c r="I14343" s="16" t="s">
        <v>87</v>
      </c>
      <c r="J14343" s="19"/>
      <c r="L14343" s="16" t="str">
        <f>IFERROR(__xludf.DUMMYFUNCTION("""COMPUTED_VALUE"""),"")</f>
        <v/>
      </c>
      <c r="M14343" s="16" t="str">
        <f>IFERROR(__xludf.DUMMYFUNCTION("""COMPUTED_VALUE"""),"")</f>
        <v/>
      </c>
      <c r="U14343" s="16" t="s">
        <v>87</v>
      </c>
      <c r="V14343" s="16" t="str">
        <f>IFERROR(__xludf.DUMMYFUNCTION("""COMPUTED_VALUE"""),"")</f>
        <v/>
      </c>
      <c r="W14343" s="16" t="str">
        <f>IFERROR(__xludf.DUMMYFUNCTION("""COMPUTED_VALUE"""),"")</f>
        <v/>
      </c>
      <c r="X14343" s="16" t="str">
        <f>IFERROR(__xludf.DUMMYFUNCTION("""COMPUTED_VALUE"""),"")</f>
        <v/>
      </c>
      <c r="AC14343" s="16" t="str">
        <f>IFERROR(__xludf.DUMMYFUNCTION("""COMPUTED_VALUE"""),"")</f>
        <v/>
      </c>
    </row>
    <row r="14344">
      <c r="A14344" s="16" t="s">
        <v>87</v>
      </c>
      <c r="E14344" s="16" t="str">
        <f>IFERROR(__xludf.DUMMYFUNCTION("""COMPUTED_VALUE"""),"")</f>
        <v/>
      </c>
      <c r="G14344" s="18"/>
      <c r="H14344" s="16" t="s">
        <v>87</v>
      </c>
      <c r="I14344" s="16" t="s">
        <v>87</v>
      </c>
      <c r="J14344" s="19"/>
      <c r="L14344" s="16" t="str">
        <f>IFERROR(__xludf.DUMMYFUNCTION("""COMPUTED_VALUE"""),"")</f>
        <v/>
      </c>
      <c r="M14344" s="16" t="str">
        <f>IFERROR(__xludf.DUMMYFUNCTION("""COMPUTED_VALUE"""),"")</f>
        <v/>
      </c>
      <c r="U14344" s="16" t="s">
        <v>87</v>
      </c>
      <c r="V14344" s="16" t="str">
        <f>IFERROR(__xludf.DUMMYFUNCTION("""COMPUTED_VALUE"""),"")</f>
        <v/>
      </c>
      <c r="W14344" s="16" t="str">
        <f>IFERROR(__xludf.DUMMYFUNCTION("""COMPUTED_VALUE"""),"")</f>
        <v/>
      </c>
      <c r="X14344" s="16" t="str">
        <f>IFERROR(__xludf.DUMMYFUNCTION("""COMPUTED_VALUE"""),"")</f>
        <v/>
      </c>
      <c r="AC14344" s="16" t="str">
        <f>IFERROR(__xludf.DUMMYFUNCTION("""COMPUTED_VALUE"""),"")</f>
        <v/>
      </c>
    </row>
    <row r="14345">
      <c r="A14345" s="16" t="s">
        <v>87</v>
      </c>
      <c r="E14345" s="16" t="str">
        <f>IFERROR(__xludf.DUMMYFUNCTION("""COMPUTED_VALUE"""),"")</f>
        <v/>
      </c>
      <c r="G14345" s="18"/>
      <c r="H14345" s="16" t="s">
        <v>87</v>
      </c>
      <c r="I14345" s="16" t="s">
        <v>87</v>
      </c>
      <c r="J14345" s="19"/>
      <c r="L14345" s="16" t="str">
        <f>IFERROR(__xludf.DUMMYFUNCTION("""COMPUTED_VALUE"""),"")</f>
        <v/>
      </c>
      <c r="M14345" s="16" t="str">
        <f>IFERROR(__xludf.DUMMYFUNCTION("""COMPUTED_VALUE"""),"")</f>
        <v/>
      </c>
      <c r="U14345" s="16" t="s">
        <v>87</v>
      </c>
      <c r="V14345" s="16" t="str">
        <f>IFERROR(__xludf.DUMMYFUNCTION("""COMPUTED_VALUE"""),"")</f>
        <v/>
      </c>
      <c r="W14345" s="16" t="str">
        <f>IFERROR(__xludf.DUMMYFUNCTION("""COMPUTED_VALUE"""),"")</f>
        <v/>
      </c>
      <c r="X14345" s="16" t="str">
        <f>IFERROR(__xludf.DUMMYFUNCTION("""COMPUTED_VALUE"""),"")</f>
        <v/>
      </c>
      <c r="AC14345" s="16" t="str">
        <f>IFERROR(__xludf.DUMMYFUNCTION("""COMPUTED_VALUE"""),"")</f>
        <v/>
      </c>
    </row>
    <row r="14346">
      <c r="A14346" s="16" t="s">
        <v>87</v>
      </c>
      <c r="E14346" s="16" t="str">
        <f>IFERROR(__xludf.DUMMYFUNCTION("""COMPUTED_VALUE"""),"")</f>
        <v/>
      </c>
      <c r="G14346" s="18"/>
      <c r="H14346" s="16" t="s">
        <v>87</v>
      </c>
      <c r="I14346" s="16" t="s">
        <v>87</v>
      </c>
      <c r="J14346" s="19"/>
      <c r="L14346" s="16" t="str">
        <f>IFERROR(__xludf.DUMMYFUNCTION("""COMPUTED_VALUE"""),"")</f>
        <v/>
      </c>
      <c r="M14346" s="16" t="str">
        <f>IFERROR(__xludf.DUMMYFUNCTION("""COMPUTED_VALUE"""),"")</f>
        <v/>
      </c>
      <c r="U14346" s="16" t="s">
        <v>87</v>
      </c>
      <c r="V14346" s="16" t="str">
        <f>IFERROR(__xludf.DUMMYFUNCTION("""COMPUTED_VALUE"""),"")</f>
        <v/>
      </c>
      <c r="W14346" s="16" t="str">
        <f>IFERROR(__xludf.DUMMYFUNCTION("""COMPUTED_VALUE"""),"")</f>
        <v/>
      </c>
      <c r="X14346" s="16" t="str">
        <f>IFERROR(__xludf.DUMMYFUNCTION("""COMPUTED_VALUE"""),"")</f>
        <v/>
      </c>
      <c r="AC14346" s="16" t="str">
        <f>IFERROR(__xludf.DUMMYFUNCTION("""COMPUTED_VALUE"""),"")</f>
        <v/>
      </c>
    </row>
    <row r="14347">
      <c r="A14347" s="16" t="s">
        <v>87</v>
      </c>
      <c r="E14347" s="16" t="str">
        <f>IFERROR(__xludf.DUMMYFUNCTION("""COMPUTED_VALUE"""),"")</f>
        <v/>
      </c>
      <c r="G14347" s="18"/>
      <c r="H14347" s="16" t="s">
        <v>87</v>
      </c>
      <c r="I14347" s="16" t="s">
        <v>87</v>
      </c>
      <c r="J14347" s="19"/>
      <c r="L14347" s="16" t="str">
        <f>IFERROR(__xludf.DUMMYFUNCTION("""COMPUTED_VALUE"""),"")</f>
        <v/>
      </c>
      <c r="M14347" s="16" t="str">
        <f>IFERROR(__xludf.DUMMYFUNCTION("""COMPUTED_VALUE"""),"")</f>
        <v/>
      </c>
      <c r="U14347" s="16" t="s">
        <v>87</v>
      </c>
      <c r="V14347" s="16" t="str">
        <f>IFERROR(__xludf.DUMMYFUNCTION("""COMPUTED_VALUE"""),"")</f>
        <v/>
      </c>
      <c r="W14347" s="16" t="str">
        <f>IFERROR(__xludf.DUMMYFUNCTION("""COMPUTED_VALUE"""),"")</f>
        <v/>
      </c>
      <c r="X14347" s="16" t="str">
        <f>IFERROR(__xludf.DUMMYFUNCTION("""COMPUTED_VALUE"""),"")</f>
        <v/>
      </c>
      <c r="AC14347" s="16" t="str">
        <f>IFERROR(__xludf.DUMMYFUNCTION("""COMPUTED_VALUE"""),"")</f>
        <v/>
      </c>
    </row>
    <row r="14348">
      <c r="A14348" s="16" t="s">
        <v>87</v>
      </c>
      <c r="E14348" s="16" t="str">
        <f>IFERROR(__xludf.DUMMYFUNCTION("""COMPUTED_VALUE"""),"")</f>
        <v/>
      </c>
      <c r="G14348" s="18"/>
      <c r="H14348" s="16" t="s">
        <v>87</v>
      </c>
      <c r="I14348" s="16" t="s">
        <v>87</v>
      </c>
      <c r="J14348" s="19"/>
      <c r="L14348" s="16" t="str">
        <f>IFERROR(__xludf.DUMMYFUNCTION("""COMPUTED_VALUE"""),"")</f>
        <v/>
      </c>
      <c r="M14348" s="16" t="str">
        <f>IFERROR(__xludf.DUMMYFUNCTION("""COMPUTED_VALUE"""),"")</f>
        <v/>
      </c>
      <c r="U14348" s="16" t="s">
        <v>87</v>
      </c>
      <c r="V14348" s="16" t="str">
        <f>IFERROR(__xludf.DUMMYFUNCTION("""COMPUTED_VALUE"""),"")</f>
        <v/>
      </c>
      <c r="W14348" s="16" t="str">
        <f>IFERROR(__xludf.DUMMYFUNCTION("""COMPUTED_VALUE"""),"")</f>
        <v/>
      </c>
      <c r="X14348" s="16" t="str">
        <f>IFERROR(__xludf.DUMMYFUNCTION("""COMPUTED_VALUE"""),"")</f>
        <v/>
      </c>
      <c r="AC14348" s="16" t="str">
        <f>IFERROR(__xludf.DUMMYFUNCTION("""COMPUTED_VALUE"""),"")</f>
        <v/>
      </c>
    </row>
    <row r="14349">
      <c r="A14349" s="16" t="s">
        <v>87</v>
      </c>
      <c r="E14349" s="16" t="str">
        <f>IFERROR(__xludf.DUMMYFUNCTION("""COMPUTED_VALUE"""),"")</f>
        <v/>
      </c>
      <c r="G14349" s="18"/>
      <c r="H14349" s="16" t="s">
        <v>87</v>
      </c>
      <c r="I14349" s="16" t="s">
        <v>87</v>
      </c>
      <c r="J14349" s="19"/>
      <c r="L14349" s="16" t="str">
        <f>IFERROR(__xludf.DUMMYFUNCTION("""COMPUTED_VALUE"""),"")</f>
        <v/>
      </c>
      <c r="M14349" s="16" t="str">
        <f>IFERROR(__xludf.DUMMYFUNCTION("""COMPUTED_VALUE"""),"")</f>
        <v/>
      </c>
      <c r="U14349" s="16" t="s">
        <v>87</v>
      </c>
      <c r="V14349" s="16" t="str">
        <f>IFERROR(__xludf.DUMMYFUNCTION("""COMPUTED_VALUE"""),"")</f>
        <v/>
      </c>
      <c r="W14349" s="16" t="str">
        <f>IFERROR(__xludf.DUMMYFUNCTION("""COMPUTED_VALUE"""),"")</f>
        <v/>
      </c>
      <c r="X14349" s="16" t="str">
        <f>IFERROR(__xludf.DUMMYFUNCTION("""COMPUTED_VALUE"""),"")</f>
        <v/>
      </c>
      <c r="AC14349" s="16" t="str">
        <f>IFERROR(__xludf.DUMMYFUNCTION("""COMPUTED_VALUE"""),"")</f>
        <v/>
      </c>
    </row>
    <row r="14350">
      <c r="A14350" s="16" t="s">
        <v>87</v>
      </c>
      <c r="E14350" s="16" t="str">
        <f>IFERROR(__xludf.DUMMYFUNCTION("""COMPUTED_VALUE"""),"")</f>
        <v/>
      </c>
      <c r="G14350" s="18"/>
      <c r="H14350" s="16" t="s">
        <v>87</v>
      </c>
      <c r="I14350" s="16" t="s">
        <v>87</v>
      </c>
      <c r="J14350" s="19"/>
      <c r="L14350" s="16" t="str">
        <f>IFERROR(__xludf.DUMMYFUNCTION("""COMPUTED_VALUE"""),"")</f>
        <v/>
      </c>
      <c r="M14350" s="16" t="str">
        <f>IFERROR(__xludf.DUMMYFUNCTION("""COMPUTED_VALUE"""),"")</f>
        <v/>
      </c>
      <c r="U14350" s="16" t="s">
        <v>87</v>
      </c>
      <c r="V14350" s="16" t="str">
        <f>IFERROR(__xludf.DUMMYFUNCTION("""COMPUTED_VALUE"""),"")</f>
        <v/>
      </c>
      <c r="W14350" s="16" t="str">
        <f>IFERROR(__xludf.DUMMYFUNCTION("""COMPUTED_VALUE"""),"")</f>
        <v/>
      </c>
      <c r="X14350" s="16" t="str">
        <f>IFERROR(__xludf.DUMMYFUNCTION("""COMPUTED_VALUE"""),"")</f>
        <v/>
      </c>
      <c r="AC14350" s="16" t="str">
        <f>IFERROR(__xludf.DUMMYFUNCTION("""COMPUTED_VALUE"""),"")</f>
        <v/>
      </c>
    </row>
    <row r="14351">
      <c r="A14351" s="16" t="s">
        <v>87</v>
      </c>
      <c r="E14351" s="16" t="str">
        <f>IFERROR(__xludf.DUMMYFUNCTION("""COMPUTED_VALUE"""),"")</f>
        <v/>
      </c>
      <c r="G14351" s="18"/>
      <c r="H14351" s="16" t="s">
        <v>87</v>
      </c>
      <c r="I14351" s="16" t="s">
        <v>87</v>
      </c>
      <c r="J14351" s="19"/>
      <c r="L14351" s="16" t="str">
        <f>IFERROR(__xludf.DUMMYFUNCTION("""COMPUTED_VALUE"""),"")</f>
        <v/>
      </c>
      <c r="M14351" s="16" t="str">
        <f>IFERROR(__xludf.DUMMYFUNCTION("""COMPUTED_VALUE"""),"")</f>
        <v/>
      </c>
      <c r="U14351" s="16" t="s">
        <v>87</v>
      </c>
      <c r="V14351" s="16" t="str">
        <f>IFERROR(__xludf.DUMMYFUNCTION("""COMPUTED_VALUE"""),"")</f>
        <v/>
      </c>
      <c r="W14351" s="16" t="str">
        <f>IFERROR(__xludf.DUMMYFUNCTION("""COMPUTED_VALUE"""),"")</f>
        <v/>
      </c>
      <c r="X14351" s="16" t="str">
        <f>IFERROR(__xludf.DUMMYFUNCTION("""COMPUTED_VALUE"""),"")</f>
        <v/>
      </c>
      <c r="AC14351" s="16" t="str">
        <f>IFERROR(__xludf.DUMMYFUNCTION("""COMPUTED_VALUE"""),"")</f>
        <v/>
      </c>
    </row>
    <row r="14352">
      <c r="A14352" s="16" t="s">
        <v>87</v>
      </c>
      <c r="E14352" s="16" t="str">
        <f>IFERROR(__xludf.DUMMYFUNCTION("""COMPUTED_VALUE"""),"")</f>
        <v/>
      </c>
      <c r="G14352" s="18"/>
      <c r="H14352" s="16" t="s">
        <v>87</v>
      </c>
      <c r="I14352" s="16" t="s">
        <v>87</v>
      </c>
      <c r="J14352" s="19"/>
      <c r="L14352" s="16" t="str">
        <f>IFERROR(__xludf.DUMMYFUNCTION("""COMPUTED_VALUE"""),"")</f>
        <v/>
      </c>
      <c r="M14352" s="16" t="str">
        <f>IFERROR(__xludf.DUMMYFUNCTION("""COMPUTED_VALUE"""),"")</f>
        <v/>
      </c>
      <c r="U14352" s="16" t="s">
        <v>87</v>
      </c>
      <c r="V14352" s="16" t="str">
        <f>IFERROR(__xludf.DUMMYFUNCTION("""COMPUTED_VALUE"""),"")</f>
        <v/>
      </c>
      <c r="W14352" s="16" t="str">
        <f>IFERROR(__xludf.DUMMYFUNCTION("""COMPUTED_VALUE"""),"")</f>
        <v/>
      </c>
      <c r="X14352" s="16" t="str">
        <f>IFERROR(__xludf.DUMMYFUNCTION("""COMPUTED_VALUE"""),"")</f>
        <v/>
      </c>
      <c r="AC14352" s="16" t="str">
        <f>IFERROR(__xludf.DUMMYFUNCTION("""COMPUTED_VALUE"""),"")</f>
        <v/>
      </c>
    </row>
    <row r="14353">
      <c r="A14353" s="16" t="s">
        <v>87</v>
      </c>
      <c r="E14353" s="16" t="str">
        <f>IFERROR(__xludf.DUMMYFUNCTION("""COMPUTED_VALUE"""),"")</f>
        <v/>
      </c>
      <c r="G14353" s="18"/>
      <c r="H14353" s="16" t="s">
        <v>87</v>
      </c>
      <c r="I14353" s="16" t="s">
        <v>87</v>
      </c>
      <c r="J14353" s="19"/>
      <c r="L14353" s="16" t="str">
        <f>IFERROR(__xludf.DUMMYFUNCTION("""COMPUTED_VALUE"""),"")</f>
        <v/>
      </c>
      <c r="M14353" s="16" t="str">
        <f>IFERROR(__xludf.DUMMYFUNCTION("""COMPUTED_VALUE"""),"")</f>
        <v/>
      </c>
      <c r="U14353" s="16" t="s">
        <v>87</v>
      </c>
      <c r="V14353" s="16" t="str">
        <f>IFERROR(__xludf.DUMMYFUNCTION("""COMPUTED_VALUE"""),"")</f>
        <v/>
      </c>
      <c r="W14353" s="16" t="str">
        <f>IFERROR(__xludf.DUMMYFUNCTION("""COMPUTED_VALUE"""),"")</f>
        <v/>
      </c>
      <c r="X14353" s="16" t="str">
        <f>IFERROR(__xludf.DUMMYFUNCTION("""COMPUTED_VALUE"""),"")</f>
        <v/>
      </c>
      <c r="AC14353" s="16" t="str">
        <f>IFERROR(__xludf.DUMMYFUNCTION("""COMPUTED_VALUE"""),"")</f>
        <v/>
      </c>
    </row>
    <row r="14354">
      <c r="A14354" s="16" t="s">
        <v>87</v>
      </c>
      <c r="E14354" s="16" t="str">
        <f>IFERROR(__xludf.DUMMYFUNCTION("""COMPUTED_VALUE"""),"")</f>
        <v/>
      </c>
      <c r="G14354" s="18"/>
      <c r="H14354" s="16" t="s">
        <v>87</v>
      </c>
      <c r="I14354" s="16" t="s">
        <v>87</v>
      </c>
      <c r="J14354" s="19"/>
      <c r="L14354" s="16" t="str">
        <f>IFERROR(__xludf.DUMMYFUNCTION("""COMPUTED_VALUE"""),"")</f>
        <v/>
      </c>
      <c r="M14354" s="16" t="str">
        <f>IFERROR(__xludf.DUMMYFUNCTION("""COMPUTED_VALUE"""),"")</f>
        <v/>
      </c>
      <c r="U14354" s="16" t="s">
        <v>87</v>
      </c>
      <c r="V14354" s="16" t="str">
        <f>IFERROR(__xludf.DUMMYFUNCTION("""COMPUTED_VALUE"""),"")</f>
        <v/>
      </c>
      <c r="W14354" s="16" t="str">
        <f>IFERROR(__xludf.DUMMYFUNCTION("""COMPUTED_VALUE"""),"")</f>
        <v/>
      </c>
      <c r="X14354" s="16" t="str">
        <f>IFERROR(__xludf.DUMMYFUNCTION("""COMPUTED_VALUE"""),"")</f>
        <v/>
      </c>
      <c r="AC14354" s="16" t="str">
        <f>IFERROR(__xludf.DUMMYFUNCTION("""COMPUTED_VALUE"""),"")</f>
        <v/>
      </c>
    </row>
    <row r="14355">
      <c r="A14355" s="16" t="s">
        <v>87</v>
      </c>
      <c r="E14355" s="16" t="str">
        <f>IFERROR(__xludf.DUMMYFUNCTION("""COMPUTED_VALUE"""),"")</f>
        <v/>
      </c>
      <c r="G14355" s="18"/>
      <c r="H14355" s="16" t="s">
        <v>87</v>
      </c>
      <c r="I14355" s="16" t="s">
        <v>87</v>
      </c>
      <c r="J14355" s="19"/>
      <c r="L14355" s="16" t="str">
        <f>IFERROR(__xludf.DUMMYFUNCTION("""COMPUTED_VALUE"""),"")</f>
        <v/>
      </c>
      <c r="M14355" s="16" t="str">
        <f>IFERROR(__xludf.DUMMYFUNCTION("""COMPUTED_VALUE"""),"")</f>
        <v/>
      </c>
      <c r="U14355" s="16" t="s">
        <v>87</v>
      </c>
      <c r="V14355" s="16" t="str">
        <f>IFERROR(__xludf.DUMMYFUNCTION("""COMPUTED_VALUE"""),"")</f>
        <v/>
      </c>
      <c r="W14355" s="16" t="str">
        <f>IFERROR(__xludf.DUMMYFUNCTION("""COMPUTED_VALUE"""),"")</f>
        <v/>
      </c>
      <c r="X14355" s="16" t="str">
        <f>IFERROR(__xludf.DUMMYFUNCTION("""COMPUTED_VALUE"""),"")</f>
        <v/>
      </c>
      <c r="AC14355" s="16" t="str">
        <f>IFERROR(__xludf.DUMMYFUNCTION("""COMPUTED_VALUE"""),"")</f>
        <v/>
      </c>
    </row>
    <row r="14356">
      <c r="A14356" s="16" t="s">
        <v>87</v>
      </c>
      <c r="E14356" s="16" t="str">
        <f>IFERROR(__xludf.DUMMYFUNCTION("""COMPUTED_VALUE"""),"")</f>
        <v/>
      </c>
      <c r="G14356" s="18"/>
      <c r="H14356" s="16" t="s">
        <v>87</v>
      </c>
      <c r="I14356" s="16" t="s">
        <v>87</v>
      </c>
      <c r="J14356" s="19"/>
      <c r="L14356" s="16" t="str">
        <f>IFERROR(__xludf.DUMMYFUNCTION("""COMPUTED_VALUE"""),"")</f>
        <v/>
      </c>
      <c r="M14356" s="16" t="str">
        <f>IFERROR(__xludf.DUMMYFUNCTION("""COMPUTED_VALUE"""),"")</f>
        <v/>
      </c>
      <c r="U14356" s="16" t="s">
        <v>87</v>
      </c>
      <c r="V14356" s="16" t="str">
        <f>IFERROR(__xludf.DUMMYFUNCTION("""COMPUTED_VALUE"""),"")</f>
        <v/>
      </c>
      <c r="W14356" s="16" t="str">
        <f>IFERROR(__xludf.DUMMYFUNCTION("""COMPUTED_VALUE"""),"")</f>
        <v/>
      </c>
      <c r="X14356" s="16" t="str">
        <f>IFERROR(__xludf.DUMMYFUNCTION("""COMPUTED_VALUE"""),"")</f>
        <v/>
      </c>
      <c r="AC14356" s="16" t="str">
        <f>IFERROR(__xludf.DUMMYFUNCTION("""COMPUTED_VALUE"""),"")</f>
        <v/>
      </c>
    </row>
    <row r="14357">
      <c r="A14357" s="16" t="s">
        <v>87</v>
      </c>
      <c r="E14357" s="16" t="str">
        <f>IFERROR(__xludf.DUMMYFUNCTION("""COMPUTED_VALUE"""),"")</f>
        <v/>
      </c>
      <c r="G14357" s="18"/>
      <c r="H14357" s="16" t="s">
        <v>87</v>
      </c>
      <c r="I14357" s="16" t="s">
        <v>87</v>
      </c>
      <c r="J14357" s="19"/>
      <c r="L14357" s="16" t="str">
        <f>IFERROR(__xludf.DUMMYFUNCTION("""COMPUTED_VALUE"""),"")</f>
        <v/>
      </c>
      <c r="M14357" s="16" t="str">
        <f>IFERROR(__xludf.DUMMYFUNCTION("""COMPUTED_VALUE"""),"")</f>
        <v/>
      </c>
      <c r="U14357" s="16" t="s">
        <v>87</v>
      </c>
      <c r="V14357" s="16" t="str">
        <f>IFERROR(__xludf.DUMMYFUNCTION("""COMPUTED_VALUE"""),"")</f>
        <v/>
      </c>
      <c r="W14357" s="16" t="str">
        <f>IFERROR(__xludf.DUMMYFUNCTION("""COMPUTED_VALUE"""),"")</f>
        <v/>
      </c>
      <c r="X14357" s="16" t="str">
        <f>IFERROR(__xludf.DUMMYFUNCTION("""COMPUTED_VALUE"""),"")</f>
        <v/>
      </c>
      <c r="AC14357" s="16" t="str">
        <f>IFERROR(__xludf.DUMMYFUNCTION("""COMPUTED_VALUE"""),"")</f>
        <v/>
      </c>
    </row>
    <row r="14358">
      <c r="A14358" s="16" t="s">
        <v>87</v>
      </c>
      <c r="E14358" s="16" t="str">
        <f>IFERROR(__xludf.DUMMYFUNCTION("""COMPUTED_VALUE"""),"")</f>
        <v/>
      </c>
      <c r="G14358" s="18"/>
      <c r="H14358" s="16" t="s">
        <v>87</v>
      </c>
      <c r="I14358" s="16" t="s">
        <v>87</v>
      </c>
      <c r="J14358" s="19"/>
      <c r="L14358" s="16" t="str">
        <f>IFERROR(__xludf.DUMMYFUNCTION("""COMPUTED_VALUE"""),"")</f>
        <v/>
      </c>
      <c r="M14358" s="16" t="str">
        <f>IFERROR(__xludf.DUMMYFUNCTION("""COMPUTED_VALUE"""),"")</f>
        <v/>
      </c>
      <c r="U14358" s="16" t="s">
        <v>87</v>
      </c>
      <c r="V14358" s="16" t="str">
        <f>IFERROR(__xludf.DUMMYFUNCTION("""COMPUTED_VALUE"""),"")</f>
        <v/>
      </c>
      <c r="W14358" s="16" t="str">
        <f>IFERROR(__xludf.DUMMYFUNCTION("""COMPUTED_VALUE"""),"")</f>
        <v/>
      </c>
      <c r="X14358" s="16" t="str">
        <f>IFERROR(__xludf.DUMMYFUNCTION("""COMPUTED_VALUE"""),"")</f>
        <v/>
      </c>
      <c r="AC14358" s="16" t="str">
        <f>IFERROR(__xludf.DUMMYFUNCTION("""COMPUTED_VALUE"""),"")</f>
        <v/>
      </c>
    </row>
    <row r="14359">
      <c r="A14359" s="16" t="s">
        <v>87</v>
      </c>
      <c r="E14359" s="16" t="str">
        <f>IFERROR(__xludf.DUMMYFUNCTION("""COMPUTED_VALUE"""),"")</f>
        <v/>
      </c>
      <c r="G14359" s="18"/>
      <c r="H14359" s="16" t="s">
        <v>87</v>
      </c>
      <c r="I14359" s="16" t="s">
        <v>87</v>
      </c>
      <c r="J14359" s="19"/>
      <c r="L14359" s="16" t="str">
        <f>IFERROR(__xludf.DUMMYFUNCTION("""COMPUTED_VALUE"""),"")</f>
        <v/>
      </c>
      <c r="M14359" s="16" t="str">
        <f>IFERROR(__xludf.DUMMYFUNCTION("""COMPUTED_VALUE"""),"")</f>
        <v/>
      </c>
      <c r="U14359" s="16" t="s">
        <v>87</v>
      </c>
      <c r="V14359" s="16" t="str">
        <f>IFERROR(__xludf.DUMMYFUNCTION("""COMPUTED_VALUE"""),"")</f>
        <v/>
      </c>
      <c r="W14359" s="16" t="str">
        <f>IFERROR(__xludf.DUMMYFUNCTION("""COMPUTED_VALUE"""),"")</f>
        <v/>
      </c>
      <c r="X14359" s="16" t="str">
        <f>IFERROR(__xludf.DUMMYFUNCTION("""COMPUTED_VALUE"""),"")</f>
        <v/>
      </c>
      <c r="AC14359" s="16" t="str">
        <f>IFERROR(__xludf.DUMMYFUNCTION("""COMPUTED_VALUE"""),"")</f>
        <v/>
      </c>
    </row>
    <row r="14360">
      <c r="A14360" s="16" t="s">
        <v>87</v>
      </c>
      <c r="E14360" s="16" t="str">
        <f>IFERROR(__xludf.DUMMYFUNCTION("""COMPUTED_VALUE"""),"")</f>
        <v/>
      </c>
      <c r="G14360" s="18"/>
      <c r="H14360" s="16" t="s">
        <v>87</v>
      </c>
      <c r="I14360" s="16" t="s">
        <v>87</v>
      </c>
      <c r="J14360" s="19"/>
      <c r="L14360" s="16" t="str">
        <f>IFERROR(__xludf.DUMMYFUNCTION("""COMPUTED_VALUE"""),"")</f>
        <v/>
      </c>
      <c r="M14360" s="16" t="str">
        <f>IFERROR(__xludf.DUMMYFUNCTION("""COMPUTED_VALUE"""),"")</f>
        <v/>
      </c>
      <c r="U14360" s="16" t="s">
        <v>87</v>
      </c>
      <c r="V14360" s="16" t="str">
        <f>IFERROR(__xludf.DUMMYFUNCTION("""COMPUTED_VALUE"""),"")</f>
        <v/>
      </c>
      <c r="W14360" s="16" t="str">
        <f>IFERROR(__xludf.DUMMYFUNCTION("""COMPUTED_VALUE"""),"")</f>
        <v/>
      </c>
      <c r="X14360" s="16" t="str">
        <f>IFERROR(__xludf.DUMMYFUNCTION("""COMPUTED_VALUE"""),"")</f>
        <v/>
      </c>
      <c r="AC14360" s="16" t="str">
        <f>IFERROR(__xludf.DUMMYFUNCTION("""COMPUTED_VALUE"""),"")</f>
        <v/>
      </c>
    </row>
    <row r="14361">
      <c r="A14361" s="16" t="s">
        <v>87</v>
      </c>
      <c r="E14361" s="16" t="str">
        <f>IFERROR(__xludf.DUMMYFUNCTION("""COMPUTED_VALUE"""),"")</f>
        <v/>
      </c>
      <c r="G14361" s="18"/>
      <c r="H14361" s="16" t="s">
        <v>87</v>
      </c>
      <c r="I14361" s="16" t="s">
        <v>87</v>
      </c>
      <c r="J14361" s="19"/>
      <c r="L14361" s="16" t="str">
        <f>IFERROR(__xludf.DUMMYFUNCTION("""COMPUTED_VALUE"""),"")</f>
        <v/>
      </c>
      <c r="M14361" s="16" t="str">
        <f>IFERROR(__xludf.DUMMYFUNCTION("""COMPUTED_VALUE"""),"")</f>
        <v/>
      </c>
      <c r="U14361" s="16" t="s">
        <v>87</v>
      </c>
      <c r="V14361" s="16" t="str">
        <f>IFERROR(__xludf.DUMMYFUNCTION("""COMPUTED_VALUE"""),"")</f>
        <v/>
      </c>
      <c r="W14361" s="16" t="str">
        <f>IFERROR(__xludf.DUMMYFUNCTION("""COMPUTED_VALUE"""),"")</f>
        <v/>
      </c>
      <c r="X14361" s="16" t="str">
        <f>IFERROR(__xludf.DUMMYFUNCTION("""COMPUTED_VALUE"""),"")</f>
        <v/>
      </c>
      <c r="AC14361" s="16" t="str">
        <f>IFERROR(__xludf.DUMMYFUNCTION("""COMPUTED_VALUE"""),"")</f>
        <v/>
      </c>
    </row>
    <row r="14362">
      <c r="A14362" s="16" t="s">
        <v>87</v>
      </c>
      <c r="E14362" s="16" t="str">
        <f>IFERROR(__xludf.DUMMYFUNCTION("""COMPUTED_VALUE"""),"")</f>
        <v/>
      </c>
      <c r="G14362" s="18"/>
      <c r="H14362" s="16" t="s">
        <v>87</v>
      </c>
      <c r="I14362" s="16" t="s">
        <v>87</v>
      </c>
      <c r="J14362" s="19"/>
      <c r="L14362" s="16" t="str">
        <f>IFERROR(__xludf.DUMMYFUNCTION("""COMPUTED_VALUE"""),"")</f>
        <v/>
      </c>
      <c r="M14362" s="16" t="str">
        <f>IFERROR(__xludf.DUMMYFUNCTION("""COMPUTED_VALUE"""),"")</f>
        <v/>
      </c>
      <c r="U14362" s="16" t="s">
        <v>87</v>
      </c>
      <c r="V14362" s="16" t="str">
        <f>IFERROR(__xludf.DUMMYFUNCTION("""COMPUTED_VALUE"""),"")</f>
        <v/>
      </c>
      <c r="W14362" s="16" t="str">
        <f>IFERROR(__xludf.DUMMYFUNCTION("""COMPUTED_VALUE"""),"")</f>
        <v/>
      </c>
      <c r="X14362" s="16" t="str">
        <f>IFERROR(__xludf.DUMMYFUNCTION("""COMPUTED_VALUE"""),"")</f>
        <v/>
      </c>
      <c r="AC14362" s="16" t="str">
        <f>IFERROR(__xludf.DUMMYFUNCTION("""COMPUTED_VALUE"""),"")</f>
        <v/>
      </c>
    </row>
    <row r="14363">
      <c r="A14363" s="16" t="s">
        <v>87</v>
      </c>
      <c r="E14363" s="16" t="str">
        <f>IFERROR(__xludf.DUMMYFUNCTION("""COMPUTED_VALUE"""),"")</f>
        <v/>
      </c>
      <c r="G14363" s="18"/>
      <c r="H14363" s="16" t="s">
        <v>87</v>
      </c>
      <c r="I14363" s="16" t="s">
        <v>87</v>
      </c>
      <c r="J14363" s="19"/>
      <c r="L14363" s="16" t="str">
        <f>IFERROR(__xludf.DUMMYFUNCTION("""COMPUTED_VALUE"""),"")</f>
        <v/>
      </c>
      <c r="M14363" s="16" t="str">
        <f>IFERROR(__xludf.DUMMYFUNCTION("""COMPUTED_VALUE"""),"")</f>
        <v/>
      </c>
      <c r="U14363" s="16" t="s">
        <v>87</v>
      </c>
      <c r="V14363" s="16" t="str">
        <f>IFERROR(__xludf.DUMMYFUNCTION("""COMPUTED_VALUE"""),"")</f>
        <v/>
      </c>
      <c r="W14363" s="16" t="str">
        <f>IFERROR(__xludf.DUMMYFUNCTION("""COMPUTED_VALUE"""),"")</f>
        <v/>
      </c>
      <c r="X14363" s="16" t="str">
        <f>IFERROR(__xludf.DUMMYFUNCTION("""COMPUTED_VALUE"""),"")</f>
        <v/>
      </c>
      <c r="AC14363" s="16" t="str">
        <f>IFERROR(__xludf.DUMMYFUNCTION("""COMPUTED_VALUE"""),"")</f>
        <v/>
      </c>
    </row>
    <row r="14364">
      <c r="A14364" s="16" t="s">
        <v>87</v>
      </c>
      <c r="E14364" s="16" t="str">
        <f>IFERROR(__xludf.DUMMYFUNCTION("""COMPUTED_VALUE"""),"")</f>
        <v/>
      </c>
      <c r="G14364" s="18"/>
      <c r="H14364" s="16" t="s">
        <v>87</v>
      </c>
      <c r="I14364" s="16" t="s">
        <v>87</v>
      </c>
      <c r="J14364" s="19"/>
      <c r="L14364" s="16" t="str">
        <f>IFERROR(__xludf.DUMMYFUNCTION("""COMPUTED_VALUE"""),"")</f>
        <v/>
      </c>
      <c r="M14364" s="16" t="str">
        <f>IFERROR(__xludf.DUMMYFUNCTION("""COMPUTED_VALUE"""),"")</f>
        <v/>
      </c>
      <c r="U14364" s="16" t="s">
        <v>87</v>
      </c>
      <c r="V14364" s="16" t="str">
        <f>IFERROR(__xludf.DUMMYFUNCTION("""COMPUTED_VALUE"""),"")</f>
        <v/>
      </c>
      <c r="W14364" s="16" t="str">
        <f>IFERROR(__xludf.DUMMYFUNCTION("""COMPUTED_VALUE"""),"")</f>
        <v/>
      </c>
      <c r="X14364" s="16" t="str">
        <f>IFERROR(__xludf.DUMMYFUNCTION("""COMPUTED_VALUE"""),"")</f>
        <v/>
      </c>
      <c r="AC14364" s="16" t="str">
        <f>IFERROR(__xludf.DUMMYFUNCTION("""COMPUTED_VALUE"""),"")</f>
        <v/>
      </c>
    </row>
    <row r="14365">
      <c r="A14365" s="16" t="s">
        <v>87</v>
      </c>
      <c r="E14365" s="16" t="str">
        <f>IFERROR(__xludf.DUMMYFUNCTION("""COMPUTED_VALUE"""),"")</f>
        <v/>
      </c>
      <c r="G14365" s="18"/>
      <c r="H14365" s="16" t="s">
        <v>87</v>
      </c>
      <c r="I14365" s="16" t="s">
        <v>87</v>
      </c>
      <c r="J14365" s="19"/>
      <c r="L14365" s="16" t="str">
        <f>IFERROR(__xludf.DUMMYFUNCTION("""COMPUTED_VALUE"""),"")</f>
        <v/>
      </c>
      <c r="M14365" s="16" t="str">
        <f>IFERROR(__xludf.DUMMYFUNCTION("""COMPUTED_VALUE"""),"")</f>
        <v/>
      </c>
      <c r="U14365" s="16" t="s">
        <v>87</v>
      </c>
      <c r="V14365" s="16" t="str">
        <f>IFERROR(__xludf.DUMMYFUNCTION("""COMPUTED_VALUE"""),"")</f>
        <v/>
      </c>
      <c r="W14365" s="16" t="str">
        <f>IFERROR(__xludf.DUMMYFUNCTION("""COMPUTED_VALUE"""),"")</f>
        <v/>
      </c>
      <c r="X14365" s="16" t="str">
        <f>IFERROR(__xludf.DUMMYFUNCTION("""COMPUTED_VALUE"""),"")</f>
        <v/>
      </c>
      <c r="AC14365" s="16" t="str">
        <f>IFERROR(__xludf.DUMMYFUNCTION("""COMPUTED_VALUE"""),"")</f>
        <v/>
      </c>
    </row>
    <row r="14366">
      <c r="A14366" s="16" t="s">
        <v>87</v>
      </c>
      <c r="E14366" s="16" t="str">
        <f>IFERROR(__xludf.DUMMYFUNCTION("""COMPUTED_VALUE"""),"")</f>
        <v/>
      </c>
      <c r="G14366" s="18"/>
      <c r="H14366" s="16" t="s">
        <v>87</v>
      </c>
      <c r="I14366" s="16" t="s">
        <v>87</v>
      </c>
      <c r="J14366" s="19"/>
      <c r="L14366" s="16" t="str">
        <f>IFERROR(__xludf.DUMMYFUNCTION("""COMPUTED_VALUE"""),"")</f>
        <v/>
      </c>
      <c r="M14366" s="16" t="str">
        <f>IFERROR(__xludf.DUMMYFUNCTION("""COMPUTED_VALUE"""),"")</f>
        <v/>
      </c>
      <c r="U14366" s="16" t="s">
        <v>87</v>
      </c>
      <c r="V14366" s="16" t="str">
        <f>IFERROR(__xludf.DUMMYFUNCTION("""COMPUTED_VALUE"""),"")</f>
        <v/>
      </c>
      <c r="W14366" s="16" t="str">
        <f>IFERROR(__xludf.DUMMYFUNCTION("""COMPUTED_VALUE"""),"")</f>
        <v/>
      </c>
      <c r="X14366" s="16" t="str">
        <f>IFERROR(__xludf.DUMMYFUNCTION("""COMPUTED_VALUE"""),"")</f>
        <v/>
      </c>
      <c r="AC14366" s="16" t="str">
        <f>IFERROR(__xludf.DUMMYFUNCTION("""COMPUTED_VALUE"""),"")</f>
        <v/>
      </c>
    </row>
    <row r="14367">
      <c r="A14367" s="16" t="s">
        <v>87</v>
      </c>
      <c r="E14367" s="16" t="str">
        <f>IFERROR(__xludf.DUMMYFUNCTION("""COMPUTED_VALUE"""),"")</f>
        <v/>
      </c>
      <c r="G14367" s="18"/>
      <c r="H14367" s="16" t="s">
        <v>87</v>
      </c>
      <c r="I14367" s="16" t="s">
        <v>87</v>
      </c>
      <c r="J14367" s="19"/>
      <c r="L14367" s="16" t="str">
        <f>IFERROR(__xludf.DUMMYFUNCTION("""COMPUTED_VALUE"""),"")</f>
        <v/>
      </c>
      <c r="M14367" s="16" t="str">
        <f>IFERROR(__xludf.DUMMYFUNCTION("""COMPUTED_VALUE"""),"")</f>
        <v/>
      </c>
      <c r="U14367" s="16" t="s">
        <v>87</v>
      </c>
      <c r="V14367" s="16" t="str">
        <f>IFERROR(__xludf.DUMMYFUNCTION("""COMPUTED_VALUE"""),"")</f>
        <v/>
      </c>
      <c r="W14367" s="16" t="str">
        <f>IFERROR(__xludf.DUMMYFUNCTION("""COMPUTED_VALUE"""),"")</f>
        <v/>
      </c>
      <c r="X14367" s="16" t="str">
        <f>IFERROR(__xludf.DUMMYFUNCTION("""COMPUTED_VALUE"""),"")</f>
        <v/>
      </c>
      <c r="AC14367" s="16" t="str">
        <f>IFERROR(__xludf.DUMMYFUNCTION("""COMPUTED_VALUE"""),"")</f>
        <v/>
      </c>
    </row>
    <row r="14368">
      <c r="A14368" s="16" t="s">
        <v>87</v>
      </c>
      <c r="E14368" s="16" t="str">
        <f>IFERROR(__xludf.DUMMYFUNCTION("""COMPUTED_VALUE"""),"")</f>
        <v/>
      </c>
      <c r="G14368" s="18"/>
      <c r="H14368" s="16" t="s">
        <v>87</v>
      </c>
      <c r="I14368" s="16" t="s">
        <v>87</v>
      </c>
      <c r="J14368" s="19"/>
      <c r="L14368" s="16" t="str">
        <f>IFERROR(__xludf.DUMMYFUNCTION("""COMPUTED_VALUE"""),"")</f>
        <v/>
      </c>
      <c r="M14368" s="16" t="str">
        <f>IFERROR(__xludf.DUMMYFUNCTION("""COMPUTED_VALUE"""),"")</f>
        <v/>
      </c>
      <c r="U14368" s="16" t="s">
        <v>87</v>
      </c>
      <c r="V14368" s="16" t="str">
        <f>IFERROR(__xludf.DUMMYFUNCTION("""COMPUTED_VALUE"""),"")</f>
        <v/>
      </c>
      <c r="W14368" s="16" t="str">
        <f>IFERROR(__xludf.DUMMYFUNCTION("""COMPUTED_VALUE"""),"")</f>
        <v/>
      </c>
      <c r="X14368" s="16" t="str">
        <f>IFERROR(__xludf.DUMMYFUNCTION("""COMPUTED_VALUE"""),"")</f>
        <v/>
      </c>
      <c r="AC14368" s="16" t="str">
        <f>IFERROR(__xludf.DUMMYFUNCTION("""COMPUTED_VALUE"""),"")</f>
        <v/>
      </c>
    </row>
    <row r="14369">
      <c r="A14369" s="16" t="s">
        <v>87</v>
      </c>
      <c r="E14369" s="16" t="str">
        <f>IFERROR(__xludf.DUMMYFUNCTION("""COMPUTED_VALUE"""),"")</f>
        <v/>
      </c>
      <c r="G14369" s="18"/>
      <c r="H14369" s="16" t="s">
        <v>87</v>
      </c>
      <c r="I14369" s="16" t="s">
        <v>87</v>
      </c>
      <c r="J14369" s="19"/>
      <c r="L14369" s="16" t="str">
        <f>IFERROR(__xludf.DUMMYFUNCTION("""COMPUTED_VALUE"""),"")</f>
        <v/>
      </c>
      <c r="M14369" s="16" t="str">
        <f>IFERROR(__xludf.DUMMYFUNCTION("""COMPUTED_VALUE"""),"")</f>
        <v/>
      </c>
      <c r="U14369" s="16" t="s">
        <v>87</v>
      </c>
      <c r="V14369" s="16" t="str">
        <f>IFERROR(__xludf.DUMMYFUNCTION("""COMPUTED_VALUE"""),"")</f>
        <v/>
      </c>
      <c r="W14369" s="16" t="str">
        <f>IFERROR(__xludf.DUMMYFUNCTION("""COMPUTED_VALUE"""),"")</f>
        <v/>
      </c>
      <c r="X14369" s="16" t="str">
        <f>IFERROR(__xludf.DUMMYFUNCTION("""COMPUTED_VALUE"""),"")</f>
        <v/>
      </c>
      <c r="AC14369" s="16" t="str">
        <f>IFERROR(__xludf.DUMMYFUNCTION("""COMPUTED_VALUE"""),"")</f>
        <v/>
      </c>
    </row>
    <row r="14370">
      <c r="A14370" s="16" t="s">
        <v>87</v>
      </c>
      <c r="E14370" s="16" t="str">
        <f>IFERROR(__xludf.DUMMYFUNCTION("""COMPUTED_VALUE"""),"")</f>
        <v/>
      </c>
      <c r="G14370" s="18"/>
      <c r="H14370" s="16" t="s">
        <v>87</v>
      </c>
      <c r="I14370" s="16" t="s">
        <v>87</v>
      </c>
      <c r="J14370" s="19"/>
      <c r="L14370" s="16" t="str">
        <f>IFERROR(__xludf.DUMMYFUNCTION("""COMPUTED_VALUE"""),"")</f>
        <v/>
      </c>
      <c r="M14370" s="16" t="str">
        <f>IFERROR(__xludf.DUMMYFUNCTION("""COMPUTED_VALUE"""),"")</f>
        <v/>
      </c>
      <c r="U14370" s="16" t="s">
        <v>87</v>
      </c>
      <c r="V14370" s="16" t="str">
        <f>IFERROR(__xludf.DUMMYFUNCTION("""COMPUTED_VALUE"""),"")</f>
        <v/>
      </c>
      <c r="W14370" s="16" t="str">
        <f>IFERROR(__xludf.DUMMYFUNCTION("""COMPUTED_VALUE"""),"")</f>
        <v/>
      </c>
      <c r="X14370" s="16" t="str">
        <f>IFERROR(__xludf.DUMMYFUNCTION("""COMPUTED_VALUE"""),"")</f>
        <v/>
      </c>
      <c r="AC14370" s="16" t="str">
        <f>IFERROR(__xludf.DUMMYFUNCTION("""COMPUTED_VALUE"""),"")</f>
        <v/>
      </c>
    </row>
    <row r="14371">
      <c r="A14371" s="16" t="s">
        <v>87</v>
      </c>
      <c r="E14371" s="16" t="str">
        <f>IFERROR(__xludf.DUMMYFUNCTION("""COMPUTED_VALUE"""),"")</f>
        <v/>
      </c>
      <c r="G14371" s="18"/>
      <c r="H14371" s="16" t="s">
        <v>87</v>
      </c>
      <c r="I14371" s="16" t="s">
        <v>87</v>
      </c>
      <c r="J14371" s="19"/>
      <c r="L14371" s="16" t="str">
        <f>IFERROR(__xludf.DUMMYFUNCTION("""COMPUTED_VALUE"""),"")</f>
        <v/>
      </c>
      <c r="M14371" s="16" t="str">
        <f>IFERROR(__xludf.DUMMYFUNCTION("""COMPUTED_VALUE"""),"")</f>
        <v/>
      </c>
      <c r="U14371" s="16" t="s">
        <v>87</v>
      </c>
      <c r="V14371" s="16" t="str">
        <f>IFERROR(__xludf.DUMMYFUNCTION("""COMPUTED_VALUE"""),"")</f>
        <v/>
      </c>
      <c r="W14371" s="16" t="str">
        <f>IFERROR(__xludf.DUMMYFUNCTION("""COMPUTED_VALUE"""),"")</f>
        <v/>
      </c>
      <c r="X14371" s="16" t="str">
        <f>IFERROR(__xludf.DUMMYFUNCTION("""COMPUTED_VALUE"""),"")</f>
        <v/>
      </c>
      <c r="AC14371" s="16" t="str">
        <f>IFERROR(__xludf.DUMMYFUNCTION("""COMPUTED_VALUE"""),"")</f>
        <v/>
      </c>
    </row>
    <row r="14372">
      <c r="A14372" s="16" t="s">
        <v>87</v>
      </c>
      <c r="E14372" s="16" t="str">
        <f>IFERROR(__xludf.DUMMYFUNCTION("""COMPUTED_VALUE"""),"")</f>
        <v/>
      </c>
      <c r="G14372" s="18"/>
      <c r="H14372" s="16" t="s">
        <v>87</v>
      </c>
      <c r="I14372" s="16" t="s">
        <v>87</v>
      </c>
      <c r="J14372" s="19"/>
      <c r="L14372" s="16" t="str">
        <f>IFERROR(__xludf.DUMMYFUNCTION("""COMPUTED_VALUE"""),"")</f>
        <v/>
      </c>
      <c r="M14372" s="16" t="str">
        <f>IFERROR(__xludf.DUMMYFUNCTION("""COMPUTED_VALUE"""),"")</f>
        <v/>
      </c>
      <c r="U14372" s="16" t="s">
        <v>87</v>
      </c>
      <c r="V14372" s="16" t="str">
        <f>IFERROR(__xludf.DUMMYFUNCTION("""COMPUTED_VALUE"""),"")</f>
        <v/>
      </c>
      <c r="W14372" s="16" t="str">
        <f>IFERROR(__xludf.DUMMYFUNCTION("""COMPUTED_VALUE"""),"")</f>
        <v/>
      </c>
      <c r="X14372" s="16" t="str">
        <f>IFERROR(__xludf.DUMMYFUNCTION("""COMPUTED_VALUE"""),"")</f>
        <v/>
      </c>
      <c r="AC14372" s="16" t="str">
        <f>IFERROR(__xludf.DUMMYFUNCTION("""COMPUTED_VALUE"""),"")</f>
        <v/>
      </c>
    </row>
    <row r="14373">
      <c r="A14373" s="16" t="s">
        <v>87</v>
      </c>
      <c r="E14373" s="16" t="str">
        <f>IFERROR(__xludf.DUMMYFUNCTION("""COMPUTED_VALUE"""),"")</f>
        <v/>
      </c>
      <c r="G14373" s="18"/>
      <c r="H14373" s="16" t="s">
        <v>87</v>
      </c>
      <c r="I14373" s="16" t="s">
        <v>87</v>
      </c>
      <c r="J14373" s="19"/>
      <c r="L14373" s="16" t="str">
        <f>IFERROR(__xludf.DUMMYFUNCTION("""COMPUTED_VALUE"""),"")</f>
        <v/>
      </c>
      <c r="M14373" s="16" t="str">
        <f>IFERROR(__xludf.DUMMYFUNCTION("""COMPUTED_VALUE"""),"")</f>
        <v/>
      </c>
      <c r="U14373" s="16" t="s">
        <v>87</v>
      </c>
      <c r="V14373" s="16" t="str">
        <f>IFERROR(__xludf.DUMMYFUNCTION("""COMPUTED_VALUE"""),"")</f>
        <v/>
      </c>
      <c r="W14373" s="16" t="str">
        <f>IFERROR(__xludf.DUMMYFUNCTION("""COMPUTED_VALUE"""),"")</f>
        <v/>
      </c>
      <c r="X14373" s="16" t="str">
        <f>IFERROR(__xludf.DUMMYFUNCTION("""COMPUTED_VALUE"""),"")</f>
        <v/>
      </c>
      <c r="AC14373" s="16" t="str">
        <f>IFERROR(__xludf.DUMMYFUNCTION("""COMPUTED_VALUE"""),"")</f>
        <v/>
      </c>
    </row>
    <row r="14374">
      <c r="A14374" s="16" t="s">
        <v>87</v>
      </c>
      <c r="E14374" s="16" t="str">
        <f>IFERROR(__xludf.DUMMYFUNCTION("""COMPUTED_VALUE"""),"")</f>
        <v/>
      </c>
      <c r="G14374" s="18"/>
      <c r="H14374" s="16" t="s">
        <v>87</v>
      </c>
      <c r="I14374" s="16" t="s">
        <v>87</v>
      </c>
      <c r="J14374" s="19"/>
      <c r="L14374" s="16" t="str">
        <f>IFERROR(__xludf.DUMMYFUNCTION("""COMPUTED_VALUE"""),"")</f>
        <v/>
      </c>
      <c r="M14374" s="16" t="str">
        <f>IFERROR(__xludf.DUMMYFUNCTION("""COMPUTED_VALUE"""),"")</f>
        <v/>
      </c>
      <c r="U14374" s="16" t="s">
        <v>87</v>
      </c>
      <c r="V14374" s="16" t="str">
        <f>IFERROR(__xludf.DUMMYFUNCTION("""COMPUTED_VALUE"""),"")</f>
        <v/>
      </c>
      <c r="W14374" s="16" t="str">
        <f>IFERROR(__xludf.DUMMYFUNCTION("""COMPUTED_VALUE"""),"")</f>
        <v/>
      </c>
      <c r="X14374" s="16" t="str">
        <f>IFERROR(__xludf.DUMMYFUNCTION("""COMPUTED_VALUE"""),"")</f>
        <v/>
      </c>
      <c r="AC14374" s="16" t="str">
        <f>IFERROR(__xludf.DUMMYFUNCTION("""COMPUTED_VALUE"""),"")</f>
        <v/>
      </c>
    </row>
    <row r="14375">
      <c r="A14375" s="16" t="s">
        <v>87</v>
      </c>
      <c r="E14375" s="16" t="str">
        <f>IFERROR(__xludf.DUMMYFUNCTION("""COMPUTED_VALUE"""),"")</f>
        <v/>
      </c>
      <c r="G14375" s="18"/>
      <c r="H14375" s="16" t="s">
        <v>87</v>
      </c>
      <c r="I14375" s="16" t="s">
        <v>87</v>
      </c>
      <c r="J14375" s="19"/>
      <c r="L14375" s="16" t="str">
        <f>IFERROR(__xludf.DUMMYFUNCTION("""COMPUTED_VALUE"""),"")</f>
        <v/>
      </c>
      <c r="M14375" s="16" t="str">
        <f>IFERROR(__xludf.DUMMYFUNCTION("""COMPUTED_VALUE"""),"")</f>
        <v/>
      </c>
      <c r="U14375" s="16" t="s">
        <v>87</v>
      </c>
      <c r="V14375" s="16" t="str">
        <f>IFERROR(__xludf.DUMMYFUNCTION("""COMPUTED_VALUE"""),"")</f>
        <v/>
      </c>
      <c r="W14375" s="16" t="str">
        <f>IFERROR(__xludf.DUMMYFUNCTION("""COMPUTED_VALUE"""),"")</f>
        <v/>
      </c>
      <c r="X14375" s="16" t="str">
        <f>IFERROR(__xludf.DUMMYFUNCTION("""COMPUTED_VALUE"""),"")</f>
        <v/>
      </c>
      <c r="AC14375" s="16" t="str">
        <f>IFERROR(__xludf.DUMMYFUNCTION("""COMPUTED_VALUE"""),"")</f>
        <v/>
      </c>
    </row>
    <row r="14376">
      <c r="A14376" s="16" t="s">
        <v>87</v>
      </c>
      <c r="E14376" s="16" t="str">
        <f>IFERROR(__xludf.DUMMYFUNCTION("""COMPUTED_VALUE"""),"")</f>
        <v/>
      </c>
      <c r="G14376" s="18"/>
      <c r="H14376" s="16" t="s">
        <v>87</v>
      </c>
      <c r="I14376" s="16" t="s">
        <v>87</v>
      </c>
      <c r="J14376" s="19"/>
      <c r="L14376" s="16" t="str">
        <f>IFERROR(__xludf.DUMMYFUNCTION("""COMPUTED_VALUE"""),"")</f>
        <v/>
      </c>
      <c r="M14376" s="16" t="str">
        <f>IFERROR(__xludf.DUMMYFUNCTION("""COMPUTED_VALUE"""),"")</f>
        <v/>
      </c>
      <c r="U14376" s="16" t="s">
        <v>87</v>
      </c>
      <c r="V14376" s="16" t="str">
        <f>IFERROR(__xludf.DUMMYFUNCTION("""COMPUTED_VALUE"""),"")</f>
        <v/>
      </c>
      <c r="W14376" s="16" t="str">
        <f>IFERROR(__xludf.DUMMYFUNCTION("""COMPUTED_VALUE"""),"")</f>
        <v/>
      </c>
      <c r="X14376" s="16" t="str">
        <f>IFERROR(__xludf.DUMMYFUNCTION("""COMPUTED_VALUE"""),"")</f>
        <v/>
      </c>
      <c r="AC14376" s="16" t="str">
        <f>IFERROR(__xludf.DUMMYFUNCTION("""COMPUTED_VALUE"""),"")</f>
        <v/>
      </c>
    </row>
    <row r="14377">
      <c r="A14377" s="16" t="s">
        <v>87</v>
      </c>
      <c r="E14377" s="16" t="str">
        <f>IFERROR(__xludf.DUMMYFUNCTION("""COMPUTED_VALUE"""),"")</f>
        <v/>
      </c>
      <c r="G14377" s="18"/>
      <c r="H14377" s="16" t="s">
        <v>87</v>
      </c>
      <c r="I14377" s="16" t="s">
        <v>87</v>
      </c>
      <c r="J14377" s="19"/>
      <c r="L14377" s="16" t="str">
        <f>IFERROR(__xludf.DUMMYFUNCTION("""COMPUTED_VALUE"""),"")</f>
        <v/>
      </c>
      <c r="M14377" s="16" t="str">
        <f>IFERROR(__xludf.DUMMYFUNCTION("""COMPUTED_VALUE"""),"")</f>
        <v/>
      </c>
      <c r="U14377" s="16" t="s">
        <v>87</v>
      </c>
      <c r="V14377" s="16" t="str">
        <f>IFERROR(__xludf.DUMMYFUNCTION("""COMPUTED_VALUE"""),"")</f>
        <v/>
      </c>
      <c r="W14377" s="16" t="str">
        <f>IFERROR(__xludf.DUMMYFUNCTION("""COMPUTED_VALUE"""),"")</f>
        <v/>
      </c>
      <c r="X14377" s="16" t="str">
        <f>IFERROR(__xludf.DUMMYFUNCTION("""COMPUTED_VALUE"""),"")</f>
        <v/>
      </c>
      <c r="AC14377" s="16" t="str">
        <f>IFERROR(__xludf.DUMMYFUNCTION("""COMPUTED_VALUE"""),"")</f>
        <v/>
      </c>
    </row>
    <row r="14378">
      <c r="A14378" s="16" t="s">
        <v>87</v>
      </c>
      <c r="E14378" s="16" t="str">
        <f>IFERROR(__xludf.DUMMYFUNCTION("""COMPUTED_VALUE"""),"")</f>
        <v/>
      </c>
      <c r="G14378" s="18"/>
      <c r="H14378" s="16" t="s">
        <v>87</v>
      </c>
      <c r="I14378" s="16" t="s">
        <v>87</v>
      </c>
      <c r="J14378" s="19"/>
      <c r="L14378" s="16" t="str">
        <f>IFERROR(__xludf.DUMMYFUNCTION("""COMPUTED_VALUE"""),"")</f>
        <v/>
      </c>
      <c r="M14378" s="16" t="str">
        <f>IFERROR(__xludf.DUMMYFUNCTION("""COMPUTED_VALUE"""),"")</f>
        <v/>
      </c>
      <c r="U14378" s="16" t="s">
        <v>87</v>
      </c>
      <c r="V14378" s="16" t="str">
        <f>IFERROR(__xludf.DUMMYFUNCTION("""COMPUTED_VALUE"""),"")</f>
        <v/>
      </c>
      <c r="W14378" s="16" t="str">
        <f>IFERROR(__xludf.DUMMYFUNCTION("""COMPUTED_VALUE"""),"")</f>
        <v/>
      </c>
      <c r="X14378" s="16" t="str">
        <f>IFERROR(__xludf.DUMMYFUNCTION("""COMPUTED_VALUE"""),"")</f>
        <v/>
      </c>
      <c r="AC14378" s="16" t="str">
        <f>IFERROR(__xludf.DUMMYFUNCTION("""COMPUTED_VALUE"""),"")</f>
        <v/>
      </c>
    </row>
    <row r="14379">
      <c r="A14379" s="16" t="s">
        <v>87</v>
      </c>
      <c r="E14379" s="16" t="str">
        <f>IFERROR(__xludf.DUMMYFUNCTION("""COMPUTED_VALUE"""),"")</f>
        <v/>
      </c>
      <c r="G14379" s="18"/>
      <c r="H14379" s="16" t="s">
        <v>87</v>
      </c>
      <c r="I14379" s="16" t="s">
        <v>87</v>
      </c>
      <c r="J14379" s="19"/>
      <c r="L14379" s="16" t="str">
        <f>IFERROR(__xludf.DUMMYFUNCTION("""COMPUTED_VALUE"""),"")</f>
        <v/>
      </c>
      <c r="M14379" s="16" t="str">
        <f>IFERROR(__xludf.DUMMYFUNCTION("""COMPUTED_VALUE"""),"")</f>
        <v/>
      </c>
      <c r="U14379" s="16" t="s">
        <v>87</v>
      </c>
      <c r="V14379" s="16" t="str">
        <f>IFERROR(__xludf.DUMMYFUNCTION("""COMPUTED_VALUE"""),"")</f>
        <v/>
      </c>
      <c r="W14379" s="16" t="str">
        <f>IFERROR(__xludf.DUMMYFUNCTION("""COMPUTED_VALUE"""),"")</f>
        <v/>
      </c>
      <c r="X14379" s="16" t="str">
        <f>IFERROR(__xludf.DUMMYFUNCTION("""COMPUTED_VALUE"""),"")</f>
        <v/>
      </c>
      <c r="AC14379" s="16" t="str">
        <f>IFERROR(__xludf.DUMMYFUNCTION("""COMPUTED_VALUE"""),"")</f>
        <v/>
      </c>
    </row>
    <row r="14380">
      <c r="A14380" s="16" t="s">
        <v>87</v>
      </c>
      <c r="E14380" s="16" t="str">
        <f>IFERROR(__xludf.DUMMYFUNCTION("""COMPUTED_VALUE"""),"")</f>
        <v/>
      </c>
      <c r="G14380" s="18"/>
      <c r="H14380" s="16" t="s">
        <v>87</v>
      </c>
      <c r="I14380" s="16" t="s">
        <v>87</v>
      </c>
      <c r="J14380" s="19"/>
      <c r="L14380" s="16" t="str">
        <f>IFERROR(__xludf.DUMMYFUNCTION("""COMPUTED_VALUE"""),"")</f>
        <v/>
      </c>
      <c r="M14380" s="16" t="str">
        <f>IFERROR(__xludf.DUMMYFUNCTION("""COMPUTED_VALUE"""),"")</f>
        <v/>
      </c>
      <c r="U14380" s="16" t="s">
        <v>87</v>
      </c>
      <c r="V14380" s="16" t="str">
        <f>IFERROR(__xludf.DUMMYFUNCTION("""COMPUTED_VALUE"""),"")</f>
        <v/>
      </c>
      <c r="W14380" s="16" t="str">
        <f>IFERROR(__xludf.DUMMYFUNCTION("""COMPUTED_VALUE"""),"")</f>
        <v/>
      </c>
      <c r="X14380" s="16" t="str">
        <f>IFERROR(__xludf.DUMMYFUNCTION("""COMPUTED_VALUE"""),"")</f>
        <v/>
      </c>
      <c r="AC14380" s="16" t="str">
        <f>IFERROR(__xludf.DUMMYFUNCTION("""COMPUTED_VALUE"""),"")</f>
        <v/>
      </c>
    </row>
    <row r="14381">
      <c r="A14381" s="16" t="s">
        <v>87</v>
      </c>
      <c r="E14381" s="16" t="str">
        <f>IFERROR(__xludf.DUMMYFUNCTION("""COMPUTED_VALUE"""),"")</f>
        <v/>
      </c>
      <c r="G14381" s="18"/>
      <c r="H14381" s="16" t="s">
        <v>87</v>
      </c>
      <c r="I14381" s="16" t="s">
        <v>87</v>
      </c>
      <c r="J14381" s="19"/>
      <c r="L14381" s="16" t="str">
        <f>IFERROR(__xludf.DUMMYFUNCTION("""COMPUTED_VALUE"""),"")</f>
        <v/>
      </c>
      <c r="M14381" s="16" t="str">
        <f>IFERROR(__xludf.DUMMYFUNCTION("""COMPUTED_VALUE"""),"")</f>
        <v/>
      </c>
      <c r="U14381" s="16" t="s">
        <v>87</v>
      </c>
      <c r="V14381" s="16" t="str">
        <f>IFERROR(__xludf.DUMMYFUNCTION("""COMPUTED_VALUE"""),"")</f>
        <v/>
      </c>
      <c r="W14381" s="16" t="str">
        <f>IFERROR(__xludf.DUMMYFUNCTION("""COMPUTED_VALUE"""),"")</f>
        <v/>
      </c>
      <c r="X14381" s="16" t="str">
        <f>IFERROR(__xludf.DUMMYFUNCTION("""COMPUTED_VALUE"""),"")</f>
        <v/>
      </c>
      <c r="AC14381" s="16" t="str">
        <f>IFERROR(__xludf.DUMMYFUNCTION("""COMPUTED_VALUE"""),"")</f>
        <v/>
      </c>
    </row>
    <row r="14382">
      <c r="A14382" s="16" t="s">
        <v>87</v>
      </c>
      <c r="E14382" s="16" t="str">
        <f>IFERROR(__xludf.DUMMYFUNCTION("""COMPUTED_VALUE"""),"")</f>
        <v/>
      </c>
      <c r="G14382" s="18"/>
      <c r="H14382" s="16" t="s">
        <v>87</v>
      </c>
      <c r="I14382" s="16" t="s">
        <v>87</v>
      </c>
      <c r="J14382" s="19"/>
      <c r="L14382" s="16" t="str">
        <f>IFERROR(__xludf.DUMMYFUNCTION("""COMPUTED_VALUE"""),"")</f>
        <v/>
      </c>
      <c r="M14382" s="16" t="str">
        <f>IFERROR(__xludf.DUMMYFUNCTION("""COMPUTED_VALUE"""),"")</f>
        <v/>
      </c>
      <c r="U14382" s="16" t="s">
        <v>87</v>
      </c>
      <c r="V14382" s="16" t="str">
        <f>IFERROR(__xludf.DUMMYFUNCTION("""COMPUTED_VALUE"""),"")</f>
        <v/>
      </c>
      <c r="W14382" s="16" t="str">
        <f>IFERROR(__xludf.DUMMYFUNCTION("""COMPUTED_VALUE"""),"")</f>
        <v/>
      </c>
      <c r="X14382" s="16" t="str">
        <f>IFERROR(__xludf.DUMMYFUNCTION("""COMPUTED_VALUE"""),"")</f>
        <v/>
      </c>
      <c r="AC14382" s="16" t="str">
        <f>IFERROR(__xludf.DUMMYFUNCTION("""COMPUTED_VALUE"""),"")</f>
        <v/>
      </c>
    </row>
    <row r="14383">
      <c r="A14383" s="16" t="s">
        <v>87</v>
      </c>
      <c r="E14383" s="16" t="str">
        <f>IFERROR(__xludf.DUMMYFUNCTION("""COMPUTED_VALUE"""),"")</f>
        <v/>
      </c>
      <c r="G14383" s="18"/>
      <c r="H14383" s="16" t="s">
        <v>87</v>
      </c>
      <c r="I14383" s="16" t="s">
        <v>87</v>
      </c>
      <c r="J14383" s="19"/>
      <c r="L14383" s="16" t="str">
        <f>IFERROR(__xludf.DUMMYFUNCTION("""COMPUTED_VALUE"""),"")</f>
        <v/>
      </c>
      <c r="M14383" s="16" t="str">
        <f>IFERROR(__xludf.DUMMYFUNCTION("""COMPUTED_VALUE"""),"")</f>
        <v/>
      </c>
      <c r="U14383" s="16" t="s">
        <v>87</v>
      </c>
      <c r="V14383" s="16" t="str">
        <f>IFERROR(__xludf.DUMMYFUNCTION("""COMPUTED_VALUE"""),"")</f>
        <v/>
      </c>
      <c r="W14383" s="16" t="str">
        <f>IFERROR(__xludf.DUMMYFUNCTION("""COMPUTED_VALUE"""),"")</f>
        <v/>
      </c>
      <c r="X14383" s="16" t="str">
        <f>IFERROR(__xludf.DUMMYFUNCTION("""COMPUTED_VALUE"""),"")</f>
        <v/>
      </c>
      <c r="AC14383" s="16" t="str">
        <f>IFERROR(__xludf.DUMMYFUNCTION("""COMPUTED_VALUE"""),"")</f>
        <v/>
      </c>
    </row>
    <row r="14384">
      <c r="A14384" s="16" t="s">
        <v>87</v>
      </c>
      <c r="E14384" s="16" t="str">
        <f>IFERROR(__xludf.DUMMYFUNCTION("""COMPUTED_VALUE"""),"")</f>
        <v/>
      </c>
      <c r="G14384" s="18"/>
      <c r="H14384" s="16" t="s">
        <v>87</v>
      </c>
      <c r="I14384" s="16" t="s">
        <v>87</v>
      </c>
      <c r="J14384" s="19"/>
      <c r="L14384" s="16" t="str">
        <f>IFERROR(__xludf.DUMMYFUNCTION("""COMPUTED_VALUE"""),"")</f>
        <v/>
      </c>
      <c r="M14384" s="16" t="str">
        <f>IFERROR(__xludf.DUMMYFUNCTION("""COMPUTED_VALUE"""),"")</f>
        <v/>
      </c>
      <c r="U14384" s="16" t="s">
        <v>87</v>
      </c>
      <c r="V14384" s="16" t="str">
        <f>IFERROR(__xludf.DUMMYFUNCTION("""COMPUTED_VALUE"""),"")</f>
        <v/>
      </c>
      <c r="W14384" s="16" t="str">
        <f>IFERROR(__xludf.DUMMYFUNCTION("""COMPUTED_VALUE"""),"")</f>
        <v/>
      </c>
      <c r="X14384" s="16" t="str">
        <f>IFERROR(__xludf.DUMMYFUNCTION("""COMPUTED_VALUE"""),"")</f>
        <v/>
      </c>
      <c r="AC14384" s="16" t="str">
        <f>IFERROR(__xludf.DUMMYFUNCTION("""COMPUTED_VALUE"""),"")</f>
        <v/>
      </c>
    </row>
    <row r="14385">
      <c r="A14385" s="16" t="s">
        <v>87</v>
      </c>
      <c r="E14385" s="16" t="str">
        <f>IFERROR(__xludf.DUMMYFUNCTION("""COMPUTED_VALUE"""),"")</f>
        <v/>
      </c>
      <c r="G14385" s="18"/>
      <c r="H14385" s="16" t="s">
        <v>87</v>
      </c>
      <c r="I14385" s="16" t="s">
        <v>87</v>
      </c>
      <c r="J14385" s="19"/>
      <c r="L14385" s="16" t="str">
        <f>IFERROR(__xludf.DUMMYFUNCTION("""COMPUTED_VALUE"""),"")</f>
        <v/>
      </c>
      <c r="M14385" s="16" t="str">
        <f>IFERROR(__xludf.DUMMYFUNCTION("""COMPUTED_VALUE"""),"")</f>
        <v/>
      </c>
      <c r="U14385" s="16" t="s">
        <v>87</v>
      </c>
      <c r="V14385" s="16" t="str">
        <f>IFERROR(__xludf.DUMMYFUNCTION("""COMPUTED_VALUE"""),"")</f>
        <v/>
      </c>
      <c r="W14385" s="16" t="str">
        <f>IFERROR(__xludf.DUMMYFUNCTION("""COMPUTED_VALUE"""),"")</f>
        <v/>
      </c>
      <c r="X14385" s="16" t="str">
        <f>IFERROR(__xludf.DUMMYFUNCTION("""COMPUTED_VALUE"""),"")</f>
        <v/>
      </c>
      <c r="AC14385" s="16" t="str">
        <f>IFERROR(__xludf.DUMMYFUNCTION("""COMPUTED_VALUE"""),"")</f>
        <v/>
      </c>
    </row>
    <row r="14386">
      <c r="A14386" s="16" t="s">
        <v>87</v>
      </c>
      <c r="E14386" s="16" t="str">
        <f>IFERROR(__xludf.DUMMYFUNCTION("""COMPUTED_VALUE"""),"")</f>
        <v/>
      </c>
      <c r="G14386" s="18"/>
      <c r="H14386" s="16" t="s">
        <v>87</v>
      </c>
      <c r="I14386" s="16" t="s">
        <v>87</v>
      </c>
      <c r="J14386" s="19"/>
      <c r="L14386" s="16" t="str">
        <f>IFERROR(__xludf.DUMMYFUNCTION("""COMPUTED_VALUE"""),"")</f>
        <v/>
      </c>
      <c r="M14386" s="16" t="str">
        <f>IFERROR(__xludf.DUMMYFUNCTION("""COMPUTED_VALUE"""),"")</f>
        <v/>
      </c>
      <c r="U14386" s="16" t="s">
        <v>87</v>
      </c>
      <c r="V14386" s="16" t="str">
        <f>IFERROR(__xludf.DUMMYFUNCTION("""COMPUTED_VALUE"""),"")</f>
        <v/>
      </c>
      <c r="W14386" s="16" t="str">
        <f>IFERROR(__xludf.DUMMYFUNCTION("""COMPUTED_VALUE"""),"")</f>
        <v/>
      </c>
      <c r="X14386" s="16" t="str">
        <f>IFERROR(__xludf.DUMMYFUNCTION("""COMPUTED_VALUE"""),"")</f>
        <v/>
      </c>
      <c r="AC14386" s="16" t="str">
        <f>IFERROR(__xludf.DUMMYFUNCTION("""COMPUTED_VALUE"""),"")</f>
        <v/>
      </c>
    </row>
    <row r="14387">
      <c r="A14387" s="16" t="s">
        <v>87</v>
      </c>
      <c r="E14387" s="16" t="str">
        <f>IFERROR(__xludf.DUMMYFUNCTION("""COMPUTED_VALUE"""),"")</f>
        <v/>
      </c>
      <c r="G14387" s="18"/>
      <c r="H14387" s="16" t="s">
        <v>87</v>
      </c>
      <c r="I14387" s="16" t="s">
        <v>87</v>
      </c>
      <c r="J14387" s="19"/>
      <c r="L14387" s="16" t="str">
        <f>IFERROR(__xludf.DUMMYFUNCTION("""COMPUTED_VALUE"""),"")</f>
        <v/>
      </c>
      <c r="M14387" s="16" t="str">
        <f>IFERROR(__xludf.DUMMYFUNCTION("""COMPUTED_VALUE"""),"")</f>
        <v/>
      </c>
      <c r="U14387" s="16" t="s">
        <v>87</v>
      </c>
      <c r="V14387" s="16" t="str">
        <f>IFERROR(__xludf.DUMMYFUNCTION("""COMPUTED_VALUE"""),"")</f>
        <v/>
      </c>
      <c r="W14387" s="16" t="str">
        <f>IFERROR(__xludf.DUMMYFUNCTION("""COMPUTED_VALUE"""),"")</f>
        <v/>
      </c>
      <c r="X14387" s="16" t="str">
        <f>IFERROR(__xludf.DUMMYFUNCTION("""COMPUTED_VALUE"""),"")</f>
        <v/>
      </c>
      <c r="AC14387" s="16" t="str">
        <f>IFERROR(__xludf.DUMMYFUNCTION("""COMPUTED_VALUE"""),"")</f>
        <v/>
      </c>
    </row>
    <row r="14388">
      <c r="A14388" s="16" t="s">
        <v>87</v>
      </c>
      <c r="E14388" s="16" t="str">
        <f>IFERROR(__xludf.DUMMYFUNCTION("""COMPUTED_VALUE"""),"")</f>
        <v/>
      </c>
      <c r="G14388" s="18"/>
      <c r="H14388" s="16" t="s">
        <v>87</v>
      </c>
      <c r="I14388" s="16" t="s">
        <v>87</v>
      </c>
      <c r="J14388" s="19"/>
      <c r="L14388" s="16" t="str">
        <f>IFERROR(__xludf.DUMMYFUNCTION("""COMPUTED_VALUE"""),"")</f>
        <v/>
      </c>
      <c r="M14388" s="16" t="str">
        <f>IFERROR(__xludf.DUMMYFUNCTION("""COMPUTED_VALUE"""),"")</f>
        <v/>
      </c>
      <c r="U14388" s="16" t="s">
        <v>87</v>
      </c>
      <c r="V14388" s="16" t="str">
        <f>IFERROR(__xludf.DUMMYFUNCTION("""COMPUTED_VALUE"""),"")</f>
        <v/>
      </c>
      <c r="W14388" s="16" t="str">
        <f>IFERROR(__xludf.DUMMYFUNCTION("""COMPUTED_VALUE"""),"")</f>
        <v/>
      </c>
      <c r="X14388" s="16" t="str">
        <f>IFERROR(__xludf.DUMMYFUNCTION("""COMPUTED_VALUE"""),"")</f>
        <v/>
      </c>
      <c r="AC14388" s="16" t="str">
        <f>IFERROR(__xludf.DUMMYFUNCTION("""COMPUTED_VALUE"""),"")</f>
        <v/>
      </c>
    </row>
    <row r="14389">
      <c r="A14389" s="16" t="s">
        <v>87</v>
      </c>
      <c r="E14389" s="16" t="str">
        <f>IFERROR(__xludf.DUMMYFUNCTION("""COMPUTED_VALUE"""),"")</f>
        <v/>
      </c>
      <c r="G14389" s="18"/>
      <c r="H14389" s="16" t="s">
        <v>87</v>
      </c>
      <c r="I14389" s="16" t="s">
        <v>87</v>
      </c>
      <c r="J14389" s="19"/>
      <c r="L14389" s="16" t="str">
        <f>IFERROR(__xludf.DUMMYFUNCTION("""COMPUTED_VALUE"""),"")</f>
        <v/>
      </c>
      <c r="M14389" s="16" t="str">
        <f>IFERROR(__xludf.DUMMYFUNCTION("""COMPUTED_VALUE"""),"")</f>
        <v/>
      </c>
      <c r="U14389" s="16" t="s">
        <v>87</v>
      </c>
      <c r="V14389" s="16" t="str">
        <f>IFERROR(__xludf.DUMMYFUNCTION("""COMPUTED_VALUE"""),"")</f>
        <v/>
      </c>
      <c r="W14389" s="16" t="str">
        <f>IFERROR(__xludf.DUMMYFUNCTION("""COMPUTED_VALUE"""),"")</f>
        <v/>
      </c>
      <c r="X14389" s="16" t="str">
        <f>IFERROR(__xludf.DUMMYFUNCTION("""COMPUTED_VALUE"""),"")</f>
        <v/>
      </c>
      <c r="AC14389" s="16" t="str">
        <f>IFERROR(__xludf.DUMMYFUNCTION("""COMPUTED_VALUE"""),"")</f>
        <v/>
      </c>
    </row>
    <row r="14390">
      <c r="A14390" s="16" t="s">
        <v>87</v>
      </c>
      <c r="E14390" s="16" t="str">
        <f>IFERROR(__xludf.DUMMYFUNCTION("""COMPUTED_VALUE"""),"")</f>
        <v/>
      </c>
      <c r="G14390" s="18"/>
      <c r="H14390" s="16" t="s">
        <v>87</v>
      </c>
      <c r="I14390" s="16" t="s">
        <v>87</v>
      </c>
      <c r="J14390" s="19"/>
      <c r="L14390" s="16" t="str">
        <f>IFERROR(__xludf.DUMMYFUNCTION("""COMPUTED_VALUE"""),"")</f>
        <v/>
      </c>
      <c r="M14390" s="16" t="str">
        <f>IFERROR(__xludf.DUMMYFUNCTION("""COMPUTED_VALUE"""),"")</f>
        <v/>
      </c>
      <c r="U14390" s="16" t="s">
        <v>87</v>
      </c>
      <c r="V14390" s="16" t="str">
        <f>IFERROR(__xludf.DUMMYFUNCTION("""COMPUTED_VALUE"""),"")</f>
        <v/>
      </c>
      <c r="W14390" s="16" t="str">
        <f>IFERROR(__xludf.DUMMYFUNCTION("""COMPUTED_VALUE"""),"")</f>
        <v/>
      </c>
      <c r="X14390" s="16" t="str">
        <f>IFERROR(__xludf.DUMMYFUNCTION("""COMPUTED_VALUE"""),"")</f>
        <v/>
      </c>
      <c r="AC14390" s="16" t="str">
        <f>IFERROR(__xludf.DUMMYFUNCTION("""COMPUTED_VALUE"""),"")</f>
        <v/>
      </c>
    </row>
    <row r="14391">
      <c r="A14391" s="16" t="s">
        <v>87</v>
      </c>
      <c r="E14391" s="16" t="str">
        <f>IFERROR(__xludf.DUMMYFUNCTION("""COMPUTED_VALUE"""),"")</f>
        <v/>
      </c>
      <c r="G14391" s="18"/>
      <c r="H14391" s="16" t="s">
        <v>87</v>
      </c>
      <c r="I14391" s="16" t="s">
        <v>87</v>
      </c>
      <c r="J14391" s="19"/>
      <c r="L14391" s="16" t="str">
        <f>IFERROR(__xludf.DUMMYFUNCTION("""COMPUTED_VALUE"""),"")</f>
        <v/>
      </c>
      <c r="M14391" s="16" t="str">
        <f>IFERROR(__xludf.DUMMYFUNCTION("""COMPUTED_VALUE"""),"")</f>
        <v/>
      </c>
      <c r="U14391" s="16" t="s">
        <v>87</v>
      </c>
      <c r="V14391" s="16" t="str">
        <f>IFERROR(__xludf.DUMMYFUNCTION("""COMPUTED_VALUE"""),"")</f>
        <v/>
      </c>
      <c r="W14391" s="16" t="str">
        <f>IFERROR(__xludf.DUMMYFUNCTION("""COMPUTED_VALUE"""),"")</f>
        <v/>
      </c>
      <c r="X14391" s="16" t="str">
        <f>IFERROR(__xludf.DUMMYFUNCTION("""COMPUTED_VALUE"""),"")</f>
        <v/>
      </c>
      <c r="AC14391" s="16" t="str">
        <f>IFERROR(__xludf.DUMMYFUNCTION("""COMPUTED_VALUE"""),"")</f>
        <v/>
      </c>
    </row>
    <row r="14392">
      <c r="A14392" s="16" t="s">
        <v>87</v>
      </c>
      <c r="E14392" s="16" t="str">
        <f>IFERROR(__xludf.DUMMYFUNCTION("""COMPUTED_VALUE"""),"")</f>
        <v/>
      </c>
      <c r="G14392" s="18"/>
      <c r="H14392" s="16" t="s">
        <v>87</v>
      </c>
      <c r="I14392" s="16" t="s">
        <v>87</v>
      </c>
      <c r="J14392" s="19"/>
      <c r="L14392" s="16" t="str">
        <f>IFERROR(__xludf.DUMMYFUNCTION("""COMPUTED_VALUE"""),"")</f>
        <v/>
      </c>
      <c r="M14392" s="16" t="str">
        <f>IFERROR(__xludf.DUMMYFUNCTION("""COMPUTED_VALUE"""),"")</f>
        <v/>
      </c>
      <c r="U14392" s="16" t="s">
        <v>87</v>
      </c>
      <c r="V14392" s="16" t="str">
        <f>IFERROR(__xludf.DUMMYFUNCTION("""COMPUTED_VALUE"""),"")</f>
        <v/>
      </c>
      <c r="W14392" s="16" t="str">
        <f>IFERROR(__xludf.DUMMYFUNCTION("""COMPUTED_VALUE"""),"")</f>
        <v/>
      </c>
      <c r="X14392" s="16" t="str">
        <f>IFERROR(__xludf.DUMMYFUNCTION("""COMPUTED_VALUE"""),"")</f>
        <v/>
      </c>
      <c r="AC14392" s="16" t="str">
        <f>IFERROR(__xludf.DUMMYFUNCTION("""COMPUTED_VALUE"""),"")</f>
        <v/>
      </c>
    </row>
    <row r="14393">
      <c r="A14393" s="16" t="s">
        <v>87</v>
      </c>
      <c r="E14393" s="16" t="str">
        <f>IFERROR(__xludf.DUMMYFUNCTION("""COMPUTED_VALUE"""),"")</f>
        <v/>
      </c>
      <c r="G14393" s="18"/>
      <c r="H14393" s="16" t="s">
        <v>87</v>
      </c>
      <c r="I14393" s="16" t="s">
        <v>87</v>
      </c>
      <c r="J14393" s="19"/>
      <c r="L14393" s="16" t="str">
        <f>IFERROR(__xludf.DUMMYFUNCTION("""COMPUTED_VALUE"""),"")</f>
        <v/>
      </c>
      <c r="M14393" s="16" t="str">
        <f>IFERROR(__xludf.DUMMYFUNCTION("""COMPUTED_VALUE"""),"")</f>
        <v/>
      </c>
      <c r="U14393" s="16" t="s">
        <v>87</v>
      </c>
      <c r="V14393" s="16" t="str">
        <f>IFERROR(__xludf.DUMMYFUNCTION("""COMPUTED_VALUE"""),"")</f>
        <v/>
      </c>
      <c r="W14393" s="16" t="str">
        <f>IFERROR(__xludf.DUMMYFUNCTION("""COMPUTED_VALUE"""),"")</f>
        <v/>
      </c>
      <c r="X14393" s="16" t="str">
        <f>IFERROR(__xludf.DUMMYFUNCTION("""COMPUTED_VALUE"""),"")</f>
        <v/>
      </c>
      <c r="AC14393" s="16" t="str">
        <f>IFERROR(__xludf.DUMMYFUNCTION("""COMPUTED_VALUE"""),"")</f>
        <v/>
      </c>
    </row>
    <row r="14394">
      <c r="A14394" s="16" t="s">
        <v>87</v>
      </c>
      <c r="E14394" s="16" t="str">
        <f>IFERROR(__xludf.DUMMYFUNCTION("""COMPUTED_VALUE"""),"")</f>
        <v/>
      </c>
      <c r="G14394" s="18"/>
      <c r="H14394" s="16" t="s">
        <v>87</v>
      </c>
      <c r="I14394" s="16" t="s">
        <v>87</v>
      </c>
      <c r="J14394" s="19"/>
      <c r="L14394" s="16" t="str">
        <f>IFERROR(__xludf.DUMMYFUNCTION("""COMPUTED_VALUE"""),"")</f>
        <v/>
      </c>
      <c r="M14394" s="16" t="str">
        <f>IFERROR(__xludf.DUMMYFUNCTION("""COMPUTED_VALUE"""),"")</f>
        <v/>
      </c>
      <c r="U14394" s="16" t="s">
        <v>87</v>
      </c>
      <c r="V14394" s="16" t="str">
        <f>IFERROR(__xludf.DUMMYFUNCTION("""COMPUTED_VALUE"""),"")</f>
        <v/>
      </c>
      <c r="W14394" s="16" t="str">
        <f>IFERROR(__xludf.DUMMYFUNCTION("""COMPUTED_VALUE"""),"")</f>
        <v/>
      </c>
      <c r="X14394" s="16" t="str">
        <f>IFERROR(__xludf.DUMMYFUNCTION("""COMPUTED_VALUE"""),"")</f>
        <v/>
      </c>
      <c r="AC14394" s="16" t="str">
        <f>IFERROR(__xludf.DUMMYFUNCTION("""COMPUTED_VALUE"""),"")</f>
        <v/>
      </c>
    </row>
    <row r="14395">
      <c r="A14395" s="16" t="s">
        <v>87</v>
      </c>
      <c r="E14395" s="16" t="str">
        <f>IFERROR(__xludf.DUMMYFUNCTION("""COMPUTED_VALUE"""),"")</f>
        <v/>
      </c>
      <c r="G14395" s="18"/>
      <c r="H14395" s="16" t="s">
        <v>87</v>
      </c>
      <c r="I14395" s="16" t="s">
        <v>87</v>
      </c>
      <c r="J14395" s="19"/>
      <c r="L14395" s="16" t="str">
        <f>IFERROR(__xludf.DUMMYFUNCTION("""COMPUTED_VALUE"""),"")</f>
        <v/>
      </c>
      <c r="M14395" s="16" t="str">
        <f>IFERROR(__xludf.DUMMYFUNCTION("""COMPUTED_VALUE"""),"")</f>
        <v/>
      </c>
      <c r="U14395" s="16" t="s">
        <v>87</v>
      </c>
      <c r="V14395" s="16" t="str">
        <f>IFERROR(__xludf.DUMMYFUNCTION("""COMPUTED_VALUE"""),"")</f>
        <v/>
      </c>
      <c r="W14395" s="16" t="str">
        <f>IFERROR(__xludf.DUMMYFUNCTION("""COMPUTED_VALUE"""),"")</f>
        <v/>
      </c>
      <c r="X14395" s="16" t="str">
        <f>IFERROR(__xludf.DUMMYFUNCTION("""COMPUTED_VALUE"""),"")</f>
        <v/>
      </c>
      <c r="AC14395" s="16" t="str">
        <f>IFERROR(__xludf.DUMMYFUNCTION("""COMPUTED_VALUE"""),"")</f>
        <v/>
      </c>
    </row>
    <row r="14396">
      <c r="A14396" s="16" t="s">
        <v>87</v>
      </c>
      <c r="E14396" s="16" t="str">
        <f>IFERROR(__xludf.DUMMYFUNCTION("""COMPUTED_VALUE"""),"")</f>
        <v/>
      </c>
      <c r="G14396" s="18"/>
      <c r="H14396" s="16" t="s">
        <v>87</v>
      </c>
      <c r="I14396" s="16" t="s">
        <v>87</v>
      </c>
      <c r="J14396" s="19"/>
      <c r="L14396" s="16" t="str">
        <f>IFERROR(__xludf.DUMMYFUNCTION("""COMPUTED_VALUE"""),"")</f>
        <v/>
      </c>
      <c r="M14396" s="16" t="str">
        <f>IFERROR(__xludf.DUMMYFUNCTION("""COMPUTED_VALUE"""),"")</f>
        <v/>
      </c>
      <c r="U14396" s="16" t="s">
        <v>87</v>
      </c>
      <c r="V14396" s="16" t="str">
        <f>IFERROR(__xludf.DUMMYFUNCTION("""COMPUTED_VALUE"""),"")</f>
        <v/>
      </c>
      <c r="W14396" s="16" t="str">
        <f>IFERROR(__xludf.DUMMYFUNCTION("""COMPUTED_VALUE"""),"")</f>
        <v/>
      </c>
      <c r="X14396" s="16" t="str">
        <f>IFERROR(__xludf.DUMMYFUNCTION("""COMPUTED_VALUE"""),"")</f>
        <v/>
      </c>
      <c r="AC14396" s="16" t="str">
        <f>IFERROR(__xludf.DUMMYFUNCTION("""COMPUTED_VALUE"""),"")</f>
        <v/>
      </c>
    </row>
    <row r="14397">
      <c r="A14397" s="16" t="s">
        <v>87</v>
      </c>
      <c r="E14397" s="16" t="str">
        <f>IFERROR(__xludf.DUMMYFUNCTION("""COMPUTED_VALUE"""),"")</f>
        <v/>
      </c>
      <c r="G14397" s="18"/>
      <c r="H14397" s="16" t="s">
        <v>87</v>
      </c>
      <c r="I14397" s="16" t="s">
        <v>87</v>
      </c>
      <c r="J14397" s="19"/>
      <c r="L14397" s="16" t="str">
        <f>IFERROR(__xludf.DUMMYFUNCTION("""COMPUTED_VALUE"""),"")</f>
        <v/>
      </c>
      <c r="M14397" s="16" t="str">
        <f>IFERROR(__xludf.DUMMYFUNCTION("""COMPUTED_VALUE"""),"")</f>
        <v/>
      </c>
      <c r="U14397" s="16" t="s">
        <v>87</v>
      </c>
      <c r="V14397" s="16" t="str">
        <f>IFERROR(__xludf.DUMMYFUNCTION("""COMPUTED_VALUE"""),"")</f>
        <v/>
      </c>
      <c r="W14397" s="16" t="str">
        <f>IFERROR(__xludf.DUMMYFUNCTION("""COMPUTED_VALUE"""),"")</f>
        <v/>
      </c>
      <c r="X14397" s="16" t="str">
        <f>IFERROR(__xludf.DUMMYFUNCTION("""COMPUTED_VALUE"""),"")</f>
        <v/>
      </c>
      <c r="AC14397" s="16" t="str">
        <f>IFERROR(__xludf.DUMMYFUNCTION("""COMPUTED_VALUE"""),"")</f>
        <v/>
      </c>
    </row>
    <row r="14398">
      <c r="A14398" s="16" t="s">
        <v>87</v>
      </c>
      <c r="E14398" s="16" t="str">
        <f>IFERROR(__xludf.DUMMYFUNCTION("""COMPUTED_VALUE"""),"")</f>
        <v/>
      </c>
      <c r="G14398" s="18"/>
      <c r="H14398" s="16" t="s">
        <v>87</v>
      </c>
      <c r="I14398" s="16" t="s">
        <v>87</v>
      </c>
      <c r="J14398" s="19"/>
      <c r="L14398" s="16" t="str">
        <f>IFERROR(__xludf.DUMMYFUNCTION("""COMPUTED_VALUE"""),"")</f>
        <v/>
      </c>
      <c r="M14398" s="16" t="str">
        <f>IFERROR(__xludf.DUMMYFUNCTION("""COMPUTED_VALUE"""),"")</f>
        <v/>
      </c>
      <c r="U14398" s="16" t="s">
        <v>87</v>
      </c>
      <c r="V14398" s="16" t="str">
        <f>IFERROR(__xludf.DUMMYFUNCTION("""COMPUTED_VALUE"""),"")</f>
        <v/>
      </c>
      <c r="W14398" s="16" t="str">
        <f>IFERROR(__xludf.DUMMYFUNCTION("""COMPUTED_VALUE"""),"")</f>
        <v/>
      </c>
      <c r="X14398" s="16" t="str">
        <f>IFERROR(__xludf.DUMMYFUNCTION("""COMPUTED_VALUE"""),"")</f>
        <v/>
      </c>
      <c r="AC14398" s="16" t="str">
        <f>IFERROR(__xludf.DUMMYFUNCTION("""COMPUTED_VALUE"""),"")</f>
        <v/>
      </c>
    </row>
    <row r="14399">
      <c r="A14399" s="16" t="s">
        <v>87</v>
      </c>
      <c r="E14399" s="16" t="str">
        <f>IFERROR(__xludf.DUMMYFUNCTION("""COMPUTED_VALUE"""),"")</f>
        <v/>
      </c>
      <c r="G14399" s="18"/>
      <c r="H14399" s="16" t="s">
        <v>87</v>
      </c>
      <c r="I14399" s="16" t="s">
        <v>87</v>
      </c>
      <c r="J14399" s="19"/>
      <c r="L14399" s="16" t="str">
        <f>IFERROR(__xludf.DUMMYFUNCTION("""COMPUTED_VALUE"""),"")</f>
        <v/>
      </c>
      <c r="M14399" s="16" t="str">
        <f>IFERROR(__xludf.DUMMYFUNCTION("""COMPUTED_VALUE"""),"")</f>
        <v/>
      </c>
      <c r="U14399" s="16" t="s">
        <v>87</v>
      </c>
      <c r="V14399" s="16" t="str">
        <f>IFERROR(__xludf.DUMMYFUNCTION("""COMPUTED_VALUE"""),"")</f>
        <v/>
      </c>
      <c r="W14399" s="16" t="str">
        <f>IFERROR(__xludf.DUMMYFUNCTION("""COMPUTED_VALUE"""),"")</f>
        <v/>
      </c>
      <c r="X14399" s="16" t="str">
        <f>IFERROR(__xludf.DUMMYFUNCTION("""COMPUTED_VALUE"""),"")</f>
        <v/>
      </c>
      <c r="AC14399" s="16" t="str">
        <f>IFERROR(__xludf.DUMMYFUNCTION("""COMPUTED_VALUE"""),"")</f>
        <v/>
      </c>
    </row>
    <row r="14400">
      <c r="A14400" s="16" t="s">
        <v>87</v>
      </c>
      <c r="E14400" s="16" t="str">
        <f>IFERROR(__xludf.DUMMYFUNCTION("""COMPUTED_VALUE"""),"")</f>
        <v/>
      </c>
      <c r="G14400" s="18"/>
      <c r="H14400" s="16" t="s">
        <v>87</v>
      </c>
      <c r="I14400" s="16" t="s">
        <v>87</v>
      </c>
      <c r="J14400" s="19"/>
      <c r="L14400" s="16" t="str">
        <f>IFERROR(__xludf.DUMMYFUNCTION("""COMPUTED_VALUE"""),"")</f>
        <v/>
      </c>
      <c r="M14400" s="16" t="str">
        <f>IFERROR(__xludf.DUMMYFUNCTION("""COMPUTED_VALUE"""),"")</f>
        <v/>
      </c>
      <c r="U14400" s="16" t="s">
        <v>87</v>
      </c>
      <c r="V14400" s="16" t="str">
        <f>IFERROR(__xludf.DUMMYFUNCTION("""COMPUTED_VALUE"""),"")</f>
        <v/>
      </c>
      <c r="W14400" s="16" t="str">
        <f>IFERROR(__xludf.DUMMYFUNCTION("""COMPUTED_VALUE"""),"")</f>
        <v/>
      </c>
      <c r="X14400" s="16" t="str">
        <f>IFERROR(__xludf.DUMMYFUNCTION("""COMPUTED_VALUE"""),"")</f>
        <v/>
      </c>
      <c r="AC14400" s="16" t="str">
        <f>IFERROR(__xludf.DUMMYFUNCTION("""COMPUTED_VALUE"""),"")</f>
        <v/>
      </c>
    </row>
    <row r="14401">
      <c r="A14401" s="16" t="s">
        <v>87</v>
      </c>
      <c r="E14401" s="16" t="str">
        <f>IFERROR(__xludf.DUMMYFUNCTION("""COMPUTED_VALUE"""),"")</f>
        <v/>
      </c>
      <c r="G14401" s="18"/>
      <c r="H14401" s="16" t="s">
        <v>87</v>
      </c>
      <c r="I14401" s="16" t="s">
        <v>87</v>
      </c>
      <c r="J14401" s="19"/>
      <c r="L14401" s="16" t="str">
        <f>IFERROR(__xludf.DUMMYFUNCTION("""COMPUTED_VALUE"""),"")</f>
        <v/>
      </c>
      <c r="M14401" s="16" t="str">
        <f>IFERROR(__xludf.DUMMYFUNCTION("""COMPUTED_VALUE"""),"")</f>
        <v/>
      </c>
      <c r="U14401" s="16" t="s">
        <v>87</v>
      </c>
      <c r="V14401" s="16" t="str">
        <f>IFERROR(__xludf.DUMMYFUNCTION("""COMPUTED_VALUE"""),"")</f>
        <v/>
      </c>
      <c r="W14401" s="16" t="str">
        <f>IFERROR(__xludf.DUMMYFUNCTION("""COMPUTED_VALUE"""),"")</f>
        <v/>
      </c>
      <c r="X14401" s="16" t="str">
        <f>IFERROR(__xludf.DUMMYFUNCTION("""COMPUTED_VALUE"""),"")</f>
        <v/>
      </c>
      <c r="AC14401" s="16" t="str">
        <f>IFERROR(__xludf.DUMMYFUNCTION("""COMPUTED_VALUE"""),"")</f>
        <v/>
      </c>
    </row>
    <row r="14402">
      <c r="A14402" s="16" t="s">
        <v>87</v>
      </c>
      <c r="E14402" s="16" t="str">
        <f>IFERROR(__xludf.DUMMYFUNCTION("""COMPUTED_VALUE"""),"")</f>
        <v/>
      </c>
      <c r="G14402" s="18"/>
      <c r="H14402" s="16" t="s">
        <v>87</v>
      </c>
      <c r="I14402" s="16" t="s">
        <v>87</v>
      </c>
      <c r="J14402" s="19"/>
      <c r="L14402" s="16" t="str">
        <f>IFERROR(__xludf.DUMMYFUNCTION("""COMPUTED_VALUE"""),"")</f>
        <v/>
      </c>
      <c r="M14402" s="16" t="str">
        <f>IFERROR(__xludf.DUMMYFUNCTION("""COMPUTED_VALUE"""),"")</f>
        <v/>
      </c>
      <c r="U14402" s="16" t="s">
        <v>87</v>
      </c>
      <c r="V14402" s="16" t="str">
        <f>IFERROR(__xludf.DUMMYFUNCTION("""COMPUTED_VALUE"""),"")</f>
        <v/>
      </c>
      <c r="W14402" s="16" t="str">
        <f>IFERROR(__xludf.DUMMYFUNCTION("""COMPUTED_VALUE"""),"")</f>
        <v/>
      </c>
      <c r="X14402" s="16" t="str">
        <f>IFERROR(__xludf.DUMMYFUNCTION("""COMPUTED_VALUE"""),"")</f>
        <v/>
      </c>
      <c r="AC14402" s="16" t="str">
        <f>IFERROR(__xludf.DUMMYFUNCTION("""COMPUTED_VALUE"""),"")</f>
        <v/>
      </c>
    </row>
    <row r="14403">
      <c r="A14403" s="16" t="s">
        <v>87</v>
      </c>
      <c r="E14403" s="16" t="str">
        <f>IFERROR(__xludf.DUMMYFUNCTION("""COMPUTED_VALUE"""),"")</f>
        <v/>
      </c>
      <c r="G14403" s="18"/>
      <c r="H14403" s="16" t="s">
        <v>87</v>
      </c>
      <c r="I14403" s="16" t="s">
        <v>87</v>
      </c>
      <c r="J14403" s="19"/>
      <c r="L14403" s="16" t="str">
        <f>IFERROR(__xludf.DUMMYFUNCTION("""COMPUTED_VALUE"""),"")</f>
        <v/>
      </c>
      <c r="M14403" s="16" t="str">
        <f>IFERROR(__xludf.DUMMYFUNCTION("""COMPUTED_VALUE"""),"")</f>
        <v/>
      </c>
      <c r="U14403" s="16" t="s">
        <v>87</v>
      </c>
      <c r="V14403" s="16" t="str">
        <f>IFERROR(__xludf.DUMMYFUNCTION("""COMPUTED_VALUE"""),"")</f>
        <v/>
      </c>
      <c r="W14403" s="16" t="str">
        <f>IFERROR(__xludf.DUMMYFUNCTION("""COMPUTED_VALUE"""),"")</f>
        <v/>
      </c>
      <c r="X14403" s="16" t="str">
        <f>IFERROR(__xludf.DUMMYFUNCTION("""COMPUTED_VALUE"""),"")</f>
        <v/>
      </c>
      <c r="AC14403" s="16" t="str">
        <f>IFERROR(__xludf.DUMMYFUNCTION("""COMPUTED_VALUE"""),"")</f>
        <v/>
      </c>
    </row>
    <row r="14404">
      <c r="A14404" s="16" t="s">
        <v>87</v>
      </c>
      <c r="E14404" s="16" t="str">
        <f>IFERROR(__xludf.DUMMYFUNCTION("""COMPUTED_VALUE"""),"")</f>
        <v/>
      </c>
      <c r="G14404" s="18"/>
      <c r="H14404" s="16" t="s">
        <v>87</v>
      </c>
      <c r="I14404" s="16" t="s">
        <v>87</v>
      </c>
      <c r="J14404" s="19"/>
      <c r="L14404" s="16" t="str">
        <f>IFERROR(__xludf.DUMMYFUNCTION("""COMPUTED_VALUE"""),"")</f>
        <v/>
      </c>
      <c r="M14404" s="16" t="str">
        <f>IFERROR(__xludf.DUMMYFUNCTION("""COMPUTED_VALUE"""),"")</f>
        <v/>
      </c>
      <c r="U14404" s="16" t="s">
        <v>87</v>
      </c>
      <c r="V14404" s="16" t="str">
        <f>IFERROR(__xludf.DUMMYFUNCTION("""COMPUTED_VALUE"""),"")</f>
        <v/>
      </c>
      <c r="W14404" s="16" t="str">
        <f>IFERROR(__xludf.DUMMYFUNCTION("""COMPUTED_VALUE"""),"")</f>
        <v/>
      </c>
      <c r="X14404" s="16" t="str">
        <f>IFERROR(__xludf.DUMMYFUNCTION("""COMPUTED_VALUE"""),"")</f>
        <v/>
      </c>
      <c r="AC14404" s="16" t="str">
        <f>IFERROR(__xludf.DUMMYFUNCTION("""COMPUTED_VALUE"""),"")</f>
        <v/>
      </c>
    </row>
    <row r="14405">
      <c r="A14405" s="16" t="s">
        <v>87</v>
      </c>
      <c r="E14405" s="16" t="str">
        <f>IFERROR(__xludf.DUMMYFUNCTION("""COMPUTED_VALUE"""),"")</f>
        <v/>
      </c>
      <c r="G14405" s="18"/>
      <c r="H14405" s="16" t="s">
        <v>87</v>
      </c>
      <c r="I14405" s="16" t="s">
        <v>87</v>
      </c>
      <c r="J14405" s="19"/>
      <c r="L14405" s="16" t="str">
        <f>IFERROR(__xludf.DUMMYFUNCTION("""COMPUTED_VALUE"""),"")</f>
        <v/>
      </c>
      <c r="M14405" s="16" t="str">
        <f>IFERROR(__xludf.DUMMYFUNCTION("""COMPUTED_VALUE"""),"")</f>
        <v/>
      </c>
      <c r="U14405" s="16" t="s">
        <v>87</v>
      </c>
      <c r="V14405" s="16" t="str">
        <f>IFERROR(__xludf.DUMMYFUNCTION("""COMPUTED_VALUE"""),"")</f>
        <v/>
      </c>
      <c r="W14405" s="16" t="str">
        <f>IFERROR(__xludf.DUMMYFUNCTION("""COMPUTED_VALUE"""),"")</f>
        <v/>
      </c>
      <c r="X14405" s="16" t="str">
        <f>IFERROR(__xludf.DUMMYFUNCTION("""COMPUTED_VALUE"""),"")</f>
        <v/>
      </c>
      <c r="AC14405" s="16" t="str">
        <f>IFERROR(__xludf.DUMMYFUNCTION("""COMPUTED_VALUE"""),"")</f>
        <v/>
      </c>
    </row>
    <row r="14406">
      <c r="A14406" s="16" t="s">
        <v>87</v>
      </c>
      <c r="E14406" s="16" t="str">
        <f>IFERROR(__xludf.DUMMYFUNCTION("""COMPUTED_VALUE"""),"")</f>
        <v/>
      </c>
      <c r="G14406" s="18"/>
      <c r="H14406" s="16" t="s">
        <v>87</v>
      </c>
      <c r="I14406" s="16" t="s">
        <v>87</v>
      </c>
      <c r="J14406" s="19"/>
      <c r="L14406" s="16" t="str">
        <f>IFERROR(__xludf.DUMMYFUNCTION("""COMPUTED_VALUE"""),"")</f>
        <v/>
      </c>
      <c r="M14406" s="16" t="str">
        <f>IFERROR(__xludf.DUMMYFUNCTION("""COMPUTED_VALUE"""),"")</f>
        <v/>
      </c>
      <c r="U14406" s="16" t="s">
        <v>87</v>
      </c>
      <c r="V14406" s="16" t="str">
        <f>IFERROR(__xludf.DUMMYFUNCTION("""COMPUTED_VALUE"""),"")</f>
        <v/>
      </c>
      <c r="W14406" s="16" t="str">
        <f>IFERROR(__xludf.DUMMYFUNCTION("""COMPUTED_VALUE"""),"")</f>
        <v/>
      </c>
      <c r="X14406" s="16" t="str">
        <f>IFERROR(__xludf.DUMMYFUNCTION("""COMPUTED_VALUE"""),"")</f>
        <v/>
      </c>
      <c r="AC14406" s="16" t="str">
        <f>IFERROR(__xludf.DUMMYFUNCTION("""COMPUTED_VALUE"""),"")</f>
        <v/>
      </c>
    </row>
    <row r="14407">
      <c r="A14407" s="16" t="s">
        <v>87</v>
      </c>
      <c r="E14407" s="16" t="str">
        <f>IFERROR(__xludf.DUMMYFUNCTION("""COMPUTED_VALUE"""),"")</f>
        <v/>
      </c>
      <c r="G14407" s="18"/>
      <c r="H14407" s="16" t="s">
        <v>87</v>
      </c>
      <c r="I14407" s="16" t="s">
        <v>87</v>
      </c>
      <c r="J14407" s="19"/>
      <c r="L14407" s="16" t="str">
        <f>IFERROR(__xludf.DUMMYFUNCTION("""COMPUTED_VALUE"""),"")</f>
        <v/>
      </c>
      <c r="M14407" s="16" t="str">
        <f>IFERROR(__xludf.DUMMYFUNCTION("""COMPUTED_VALUE"""),"")</f>
        <v/>
      </c>
      <c r="U14407" s="16" t="s">
        <v>87</v>
      </c>
      <c r="V14407" s="16" t="str">
        <f>IFERROR(__xludf.DUMMYFUNCTION("""COMPUTED_VALUE"""),"")</f>
        <v/>
      </c>
      <c r="W14407" s="16" t="str">
        <f>IFERROR(__xludf.DUMMYFUNCTION("""COMPUTED_VALUE"""),"")</f>
        <v/>
      </c>
      <c r="X14407" s="16" t="str">
        <f>IFERROR(__xludf.DUMMYFUNCTION("""COMPUTED_VALUE"""),"")</f>
        <v/>
      </c>
      <c r="AC14407" s="16" t="str">
        <f>IFERROR(__xludf.DUMMYFUNCTION("""COMPUTED_VALUE"""),"")</f>
        <v/>
      </c>
    </row>
    <row r="14408">
      <c r="A14408" s="16" t="s">
        <v>87</v>
      </c>
      <c r="E14408" s="16" t="str">
        <f>IFERROR(__xludf.DUMMYFUNCTION("""COMPUTED_VALUE"""),"")</f>
        <v/>
      </c>
      <c r="G14408" s="18"/>
      <c r="H14408" s="16" t="s">
        <v>87</v>
      </c>
      <c r="I14408" s="16" t="s">
        <v>87</v>
      </c>
      <c r="J14408" s="19"/>
      <c r="L14408" s="16" t="str">
        <f>IFERROR(__xludf.DUMMYFUNCTION("""COMPUTED_VALUE"""),"")</f>
        <v/>
      </c>
      <c r="M14408" s="16" t="str">
        <f>IFERROR(__xludf.DUMMYFUNCTION("""COMPUTED_VALUE"""),"")</f>
        <v/>
      </c>
      <c r="U14408" s="16" t="s">
        <v>87</v>
      </c>
      <c r="V14408" s="16" t="str">
        <f>IFERROR(__xludf.DUMMYFUNCTION("""COMPUTED_VALUE"""),"")</f>
        <v/>
      </c>
      <c r="W14408" s="16" t="str">
        <f>IFERROR(__xludf.DUMMYFUNCTION("""COMPUTED_VALUE"""),"")</f>
        <v/>
      </c>
      <c r="X14408" s="16" t="str">
        <f>IFERROR(__xludf.DUMMYFUNCTION("""COMPUTED_VALUE"""),"")</f>
        <v/>
      </c>
      <c r="AC14408" s="16" t="str">
        <f>IFERROR(__xludf.DUMMYFUNCTION("""COMPUTED_VALUE"""),"")</f>
        <v/>
      </c>
    </row>
    <row r="14409">
      <c r="A14409" s="16" t="s">
        <v>87</v>
      </c>
      <c r="E14409" s="16" t="str">
        <f>IFERROR(__xludf.DUMMYFUNCTION("""COMPUTED_VALUE"""),"")</f>
        <v/>
      </c>
      <c r="G14409" s="18"/>
      <c r="H14409" s="16" t="s">
        <v>87</v>
      </c>
      <c r="I14409" s="16" t="s">
        <v>87</v>
      </c>
      <c r="J14409" s="19"/>
      <c r="L14409" s="16" t="str">
        <f>IFERROR(__xludf.DUMMYFUNCTION("""COMPUTED_VALUE"""),"")</f>
        <v/>
      </c>
      <c r="M14409" s="16" t="str">
        <f>IFERROR(__xludf.DUMMYFUNCTION("""COMPUTED_VALUE"""),"")</f>
        <v/>
      </c>
      <c r="U14409" s="16" t="s">
        <v>87</v>
      </c>
      <c r="V14409" s="16" t="str">
        <f>IFERROR(__xludf.DUMMYFUNCTION("""COMPUTED_VALUE"""),"")</f>
        <v/>
      </c>
      <c r="W14409" s="16" t="str">
        <f>IFERROR(__xludf.DUMMYFUNCTION("""COMPUTED_VALUE"""),"")</f>
        <v/>
      </c>
      <c r="X14409" s="16" t="str">
        <f>IFERROR(__xludf.DUMMYFUNCTION("""COMPUTED_VALUE"""),"")</f>
        <v/>
      </c>
      <c r="AC14409" s="16" t="str">
        <f>IFERROR(__xludf.DUMMYFUNCTION("""COMPUTED_VALUE"""),"")</f>
        <v/>
      </c>
    </row>
    <row r="14410">
      <c r="A14410" s="16" t="s">
        <v>87</v>
      </c>
      <c r="E14410" s="16" t="str">
        <f>IFERROR(__xludf.DUMMYFUNCTION("""COMPUTED_VALUE"""),"")</f>
        <v/>
      </c>
      <c r="G14410" s="18"/>
      <c r="H14410" s="16" t="s">
        <v>87</v>
      </c>
      <c r="I14410" s="16" t="s">
        <v>87</v>
      </c>
      <c r="J14410" s="19"/>
      <c r="L14410" s="16" t="str">
        <f>IFERROR(__xludf.DUMMYFUNCTION("""COMPUTED_VALUE"""),"")</f>
        <v/>
      </c>
      <c r="M14410" s="16" t="str">
        <f>IFERROR(__xludf.DUMMYFUNCTION("""COMPUTED_VALUE"""),"")</f>
        <v/>
      </c>
      <c r="U14410" s="16" t="s">
        <v>87</v>
      </c>
      <c r="V14410" s="16" t="str">
        <f>IFERROR(__xludf.DUMMYFUNCTION("""COMPUTED_VALUE"""),"")</f>
        <v/>
      </c>
      <c r="W14410" s="16" t="str">
        <f>IFERROR(__xludf.DUMMYFUNCTION("""COMPUTED_VALUE"""),"")</f>
        <v/>
      </c>
      <c r="X14410" s="16" t="str">
        <f>IFERROR(__xludf.DUMMYFUNCTION("""COMPUTED_VALUE"""),"")</f>
        <v/>
      </c>
      <c r="AC14410" s="16" t="str">
        <f>IFERROR(__xludf.DUMMYFUNCTION("""COMPUTED_VALUE"""),"")</f>
        <v/>
      </c>
    </row>
    <row r="14411">
      <c r="A14411" s="16" t="s">
        <v>87</v>
      </c>
      <c r="E14411" s="16" t="str">
        <f>IFERROR(__xludf.DUMMYFUNCTION("""COMPUTED_VALUE"""),"")</f>
        <v/>
      </c>
      <c r="G14411" s="18"/>
      <c r="H14411" s="16" t="s">
        <v>87</v>
      </c>
      <c r="I14411" s="16" t="s">
        <v>87</v>
      </c>
      <c r="J14411" s="19"/>
      <c r="L14411" s="16" t="str">
        <f>IFERROR(__xludf.DUMMYFUNCTION("""COMPUTED_VALUE"""),"")</f>
        <v/>
      </c>
      <c r="M14411" s="16" t="str">
        <f>IFERROR(__xludf.DUMMYFUNCTION("""COMPUTED_VALUE"""),"")</f>
        <v/>
      </c>
      <c r="U14411" s="16" t="s">
        <v>87</v>
      </c>
      <c r="V14411" s="16" t="str">
        <f>IFERROR(__xludf.DUMMYFUNCTION("""COMPUTED_VALUE"""),"")</f>
        <v/>
      </c>
      <c r="W14411" s="16" t="str">
        <f>IFERROR(__xludf.DUMMYFUNCTION("""COMPUTED_VALUE"""),"")</f>
        <v/>
      </c>
      <c r="X14411" s="16" t="str">
        <f>IFERROR(__xludf.DUMMYFUNCTION("""COMPUTED_VALUE"""),"")</f>
        <v/>
      </c>
      <c r="AC14411" s="16" t="str">
        <f>IFERROR(__xludf.DUMMYFUNCTION("""COMPUTED_VALUE"""),"")</f>
        <v/>
      </c>
    </row>
    <row r="14412">
      <c r="A14412" s="16" t="s">
        <v>87</v>
      </c>
      <c r="E14412" s="16" t="str">
        <f>IFERROR(__xludf.DUMMYFUNCTION("""COMPUTED_VALUE"""),"")</f>
        <v/>
      </c>
      <c r="G14412" s="18"/>
      <c r="H14412" s="16" t="s">
        <v>87</v>
      </c>
      <c r="I14412" s="16" t="s">
        <v>87</v>
      </c>
      <c r="J14412" s="19"/>
      <c r="L14412" s="16" t="str">
        <f>IFERROR(__xludf.DUMMYFUNCTION("""COMPUTED_VALUE"""),"")</f>
        <v/>
      </c>
      <c r="M14412" s="16" t="str">
        <f>IFERROR(__xludf.DUMMYFUNCTION("""COMPUTED_VALUE"""),"")</f>
        <v/>
      </c>
      <c r="U14412" s="16" t="s">
        <v>87</v>
      </c>
      <c r="V14412" s="16" t="str">
        <f>IFERROR(__xludf.DUMMYFUNCTION("""COMPUTED_VALUE"""),"")</f>
        <v/>
      </c>
      <c r="W14412" s="16" t="str">
        <f>IFERROR(__xludf.DUMMYFUNCTION("""COMPUTED_VALUE"""),"")</f>
        <v/>
      </c>
      <c r="X14412" s="16" t="str">
        <f>IFERROR(__xludf.DUMMYFUNCTION("""COMPUTED_VALUE"""),"")</f>
        <v/>
      </c>
      <c r="AC14412" s="16" t="str">
        <f>IFERROR(__xludf.DUMMYFUNCTION("""COMPUTED_VALUE"""),"")</f>
        <v/>
      </c>
    </row>
    <row r="14413">
      <c r="A14413" s="16" t="s">
        <v>87</v>
      </c>
      <c r="E14413" s="16" t="str">
        <f>IFERROR(__xludf.DUMMYFUNCTION("""COMPUTED_VALUE"""),"")</f>
        <v/>
      </c>
      <c r="G14413" s="18"/>
      <c r="H14413" s="16" t="s">
        <v>87</v>
      </c>
      <c r="I14413" s="16" t="s">
        <v>87</v>
      </c>
      <c r="J14413" s="19"/>
      <c r="L14413" s="16" t="str">
        <f>IFERROR(__xludf.DUMMYFUNCTION("""COMPUTED_VALUE"""),"")</f>
        <v/>
      </c>
      <c r="M14413" s="16" t="str">
        <f>IFERROR(__xludf.DUMMYFUNCTION("""COMPUTED_VALUE"""),"")</f>
        <v/>
      </c>
      <c r="U14413" s="16" t="s">
        <v>87</v>
      </c>
      <c r="V14413" s="16" t="str">
        <f>IFERROR(__xludf.DUMMYFUNCTION("""COMPUTED_VALUE"""),"")</f>
        <v/>
      </c>
      <c r="W14413" s="16" t="str">
        <f>IFERROR(__xludf.DUMMYFUNCTION("""COMPUTED_VALUE"""),"")</f>
        <v/>
      </c>
      <c r="X14413" s="16" t="str">
        <f>IFERROR(__xludf.DUMMYFUNCTION("""COMPUTED_VALUE"""),"")</f>
        <v/>
      </c>
      <c r="AC14413" s="16" t="str">
        <f>IFERROR(__xludf.DUMMYFUNCTION("""COMPUTED_VALUE"""),"")</f>
        <v/>
      </c>
    </row>
    <row r="14414">
      <c r="A14414" s="16" t="s">
        <v>87</v>
      </c>
      <c r="E14414" s="16" t="str">
        <f>IFERROR(__xludf.DUMMYFUNCTION("""COMPUTED_VALUE"""),"")</f>
        <v/>
      </c>
      <c r="G14414" s="18"/>
      <c r="H14414" s="16" t="s">
        <v>87</v>
      </c>
      <c r="I14414" s="16" t="s">
        <v>87</v>
      </c>
      <c r="J14414" s="19"/>
      <c r="L14414" s="16" t="str">
        <f>IFERROR(__xludf.DUMMYFUNCTION("""COMPUTED_VALUE"""),"")</f>
        <v/>
      </c>
      <c r="M14414" s="16" t="str">
        <f>IFERROR(__xludf.DUMMYFUNCTION("""COMPUTED_VALUE"""),"")</f>
        <v/>
      </c>
      <c r="U14414" s="16" t="s">
        <v>87</v>
      </c>
      <c r="V14414" s="16" t="str">
        <f>IFERROR(__xludf.DUMMYFUNCTION("""COMPUTED_VALUE"""),"")</f>
        <v/>
      </c>
      <c r="W14414" s="16" t="str">
        <f>IFERROR(__xludf.DUMMYFUNCTION("""COMPUTED_VALUE"""),"")</f>
        <v/>
      </c>
      <c r="X14414" s="16" t="str">
        <f>IFERROR(__xludf.DUMMYFUNCTION("""COMPUTED_VALUE"""),"")</f>
        <v/>
      </c>
      <c r="AC14414" s="16" t="str">
        <f>IFERROR(__xludf.DUMMYFUNCTION("""COMPUTED_VALUE"""),"")</f>
        <v/>
      </c>
    </row>
    <row r="14415">
      <c r="A14415" s="16" t="s">
        <v>87</v>
      </c>
      <c r="E14415" s="16" t="str">
        <f>IFERROR(__xludf.DUMMYFUNCTION("""COMPUTED_VALUE"""),"")</f>
        <v/>
      </c>
      <c r="G14415" s="18"/>
      <c r="H14415" s="16" t="s">
        <v>87</v>
      </c>
      <c r="I14415" s="16" t="s">
        <v>87</v>
      </c>
      <c r="J14415" s="19"/>
      <c r="L14415" s="16" t="str">
        <f>IFERROR(__xludf.DUMMYFUNCTION("""COMPUTED_VALUE"""),"")</f>
        <v/>
      </c>
      <c r="M14415" s="16" t="str">
        <f>IFERROR(__xludf.DUMMYFUNCTION("""COMPUTED_VALUE"""),"")</f>
        <v/>
      </c>
      <c r="U14415" s="16" t="s">
        <v>87</v>
      </c>
      <c r="V14415" s="16" t="str">
        <f>IFERROR(__xludf.DUMMYFUNCTION("""COMPUTED_VALUE"""),"")</f>
        <v/>
      </c>
      <c r="W14415" s="16" t="str">
        <f>IFERROR(__xludf.DUMMYFUNCTION("""COMPUTED_VALUE"""),"")</f>
        <v/>
      </c>
      <c r="X14415" s="16" t="str">
        <f>IFERROR(__xludf.DUMMYFUNCTION("""COMPUTED_VALUE"""),"")</f>
        <v/>
      </c>
      <c r="AC14415" s="16" t="str">
        <f>IFERROR(__xludf.DUMMYFUNCTION("""COMPUTED_VALUE"""),"")</f>
        <v/>
      </c>
    </row>
    <row r="14416">
      <c r="A14416" s="16" t="s">
        <v>87</v>
      </c>
      <c r="E14416" s="16" t="str">
        <f>IFERROR(__xludf.DUMMYFUNCTION("""COMPUTED_VALUE"""),"")</f>
        <v/>
      </c>
      <c r="G14416" s="18"/>
      <c r="H14416" s="16" t="s">
        <v>87</v>
      </c>
      <c r="I14416" s="16" t="s">
        <v>87</v>
      </c>
      <c r="J14416" s="19"/>
      <c r="L14416" s="16" t="str">
        <f>IFERROR(__xludf.DUMMYFUNCTION("""COMPUTED_VALUE"""),"")</f>
        <v/>
      </c>
      <c r="M14416" s="16" t="str">
        <f>IFERROR(__xludf.DUMMYFUNCTION("""COMPUTED_VALUE"""),"")</f>
        <v/>
      </c>
      <c r="U14416" s="16" t="s">
        <v>87</v>
      </c>
      <c r="V14416" s="16" t="str">
        <f>IFERROR(__xludf.DUMMYFUNCTION("""COMPUTED_VALUE"""),"")</f>
        <v/>
      </c>
      <c r="W14416" s="16" t="str">
        <f>IFERROR(__xludf.DUMMYFUNCTION("""COMPUTED_VALUE"""),"")</f>
        <v/>
      </c>
      <c r="X14416" s="16" t="str">
        <f>IFERROR(__xludf.DUMMYFUNCTION("""COMPUTED_VALUE"""),"")</f>
        <v/>
      </c>
      <c r="AC14416" s="16" t="str">
        <f>IFERROR(__xludf.DUMMYFUNCTION("""COMPUTED_VALUE"""),"")</f>
        <v/>
      </c>
    </row>
    <row r="14417">
      <c r="A14417" s="16" t="s">
        <v>87</v>
      </c>
      <c r="E14417" s="16" t="str">
        <f>IFERROR(__xludf.DUMMYFUNCTION("""COMPUTED_VALUE"""),"")</f>
        <v/>
      </c>
      <c r="G14417" s="18"/>
      <c r="H14417" s="16" t="s">
        <v>87</v>
      </c>
      <c r="I14417" s="16" t="s">
        <v>87</v>
      </c>
      <c r="J14417" s="19"/>
      <c r="L14417" s="16" t="str">
        <f>IFERROR(__xludf.DUMMYFUNCTION("""COMPUTED_VALUE"""),"")</f>
        <v/>
      </c>
      <c r="M14417" s="16" t="str">
        <f>IFERROR(__xludf.DUMMYFUNCTION("""COMPUTED_VALUE"""),"")</f>
        <v/>
      </c>
      <c r="U14417" s="16" t="s">
        <v>87</v>
      </c>
      <c r="V14417" s="16" t="str">
        <f>IFERROR(__xludf.DUMMYFUNCTION("""COMPUTED_VALUE"""),"")</f>
        <v/>
      </c>
      <c r="W14417" s="16" t="str">
        <f>IFERROR(__xludf.DUMMYFUNCTION("""COMPUTED_VALUE"""),"")</f>
        <v/>
      </c>
      <c r="X14417" s="16" t="str">
        <f>IFERROR(__xludf.DUMMYFUNCTION("""COMPUTED_VALUE"""),"")</f>
        <v/>
      </c>
      <c r="AC14417" s="16" t="str">
        <f>IFERROR(__xludf.DUMMYFUNCTION("""COMPUTED_VALUE"""),"")</f>
        <v/>
      </c>
    </row>
    <row r="14418">
      <c r="A14418" s="16" t="s">
        <v>87</v>
      </c>
      <c r="E14418" s="16" t="str">
        <f>IFERROR(__xludf.DUMMYFUNCTION("""COMPUTED_VALUE"""),"")</f>
        <v/>
      </c>
      <c r="G14418" s="18"/>
      <c r="H14418" s="16" t="s">
        <v>87</v>
      </c>
      <c r="I14418" s="16" t="s">
        <v>87</v>
      </c>
      <c r="J14418" s="19"/>
      <c r="L14418" s="16" t="str">
        <f>IFERROR(__xludf.DUMMYFUNCTION("""COMPUTED_VALUE"""),"")</f>
        <v/>
      </c>
      <c r="M14418" s="16" t="str">
        <f>IFERROR(__xludf.DUMMYFUNCTION("""COMPUTED_VALUE"""),"")</f>
        <v/>
      </c>
      <c r="U14418" s="16" t="s">
        <v>87</v>
      </c>
      <c r="V14418" s="16" t="str">
        <f>IFERROR(__xludf.DUMMYFUNCTION("""COMPUTED_VALUE"""),"")</f>
        <v/>
      </c>
      <c r="W14418" s="16" t="str">
        <f>IFERROR(__xludf.DUMMYFUNCTION("""COMPUTED_VALUE"""),"")</f>
        <v/>
      </c>
      <c r="X14418" s="16" t="str">
        <f>IFERROR(__xludf.DUMMYFUNCTION("""COMPUTED_VALUE"""),"")</f>
        <v/>
      </c>
      <c r="AC14418" s="16" t="str">
        <f>IFERROR(__xludf.DUMMYFUNCTION("""COMPUTED_VALUE"""),"")</f>
        <v/>
      </c>
    </row>
    <row r="14419">
      <c r="A14419" s="16" t="s">
        <v>87</v>
      </c>
      <c r="E14419" s="16" t="str">
        <f>IFERROR(__xludf.DUMMYFUNCTION("""COMPUTED_VALUE"""),"")</f>
        <v/>
      </c>
      <c r="G14419" s="18"/>
      <c r="H14419" s="16" t="s">
        <v>87</v>
      </c>
      <c r="I14419" s="16" t="s">
        <v>87</v>
      </c>
      <c r="J14419" s="19"/>
      <c r="L14419" s="16" t="str">
        <f>IFERROR(__xludf.DUMMYFUNCTION("""COMPUTED_VALUE"""),"")</f>
        <v/>
      </c>
      <c r="M14419" s="16" t="str">
        <f>IFERROR(__xludf.DUMMYFUNCTION("""COMPUTED_VALUE"""),"")</f>
        <v/>
      </c>
      <c r="U14419" s="16" t="s">
        <v>87</v>
      </c>
      <c r="V14419" s="16" t="str">
        <f>IFERROR(__xludf.DUMMYFUNCTION("""COMPUTED_VALUE"""),"")</f>
        <v/>
      </c>
      <c r="W14419" s="16" t="str">
        <f>IFERROR(__xludf.DUMMYFUNCTION("""COMPUTED_VALUE"""),"")</f>
        <v/>
      </c>
      <c r="X14419" s="16" t="str">
        <f>IFERROR(__xludf.DUMMYFUNCTION("""COMPUTED_VALUE"""),"")</f>
        <v/>
      </c>
      <c r="AC14419" s="16" t="str">
        <f>IFERROR(__xludf.DUMMYFUNCTION("""COMPUTED_VALUE"""),"")</f>
        <v/>
      </c>
    </row>
    <row r="14420">
      <c r="A14420" s="16" t="s">
        <v>87</v>
      </c>
      <c r="E14420" s="16" t="str">
        <f>IFERROR(__xludf.DUMMYFUNCTION("""COMPUTED_VALUE"""),"")</f>
        <v/>
      </c>
      <c r="G14420" s="18"/>
      <c r="H14420" s="16" t="s">
        <v>87</v>
      </c>
      <c r="I14420" s="16" t="s">
        <v>87</v>
      </c>
      <c r="J14420" s="19"/>
      <c r="L14420" s="16" t="str">
        <f>IFERROR(__xludf.DUMMYFUNCTION("""COMPUTED_VALUE"""),"")</f>
        <v/>
      </c>
      <c r="M14420" s="16" t="str">
        <f>IFERROR(__xludf.DUMMYFUNCTION("""COMPUTED_VALUE"""),"")</f>
        <v/>
      </c>
      <c r="U14420" s="16" t="s">
        <v>87</v>
      </c>
      <c r="V14420" s="16" t="str">
        <f>IFERROR(__xludf.DUMMYFUNCTION("""COMPUTED_VALUE"""),"")</f>
        <v/>
      </c>
      <c r="W14420" s="16" t="str">
        <f>IFERROR(__xludf.DUMMYFUNCTION("""COMPUTED_VALUE"""),"")</f>
        <v/>
      </c>
      <c r="X14420" s="16" t="str">
        <f>IFERROR(__xludf.DUMMYFUNCTION("""COMPUTED_VALUE"""),"")</f>
        <v/>
      </c>
      <c r="AC14420" s="16" t="str">
        <f>IFERROR(__xludf.DUMMYFUNCTION("""COMPUTED_VALUE"""),"")</f>
        <v/>
      </c>
    </row>
    <row r="14421">
      <c r="A14421" s="16" t="s">
        <v>87</v>
      </c>
      <c r="E14421" s="16" t="str">
        <f>IFERROR(__xludf.DUMMYFUNCTION("""COMPUTED_VALUE"""),"")</f>
        <v/>
      </c>
      <c r="G14421" s="18"/>
      <c r="H14421" s="16" t="s">
        <v>87</v>
      </c>
      <c r="I14421" s="16" t="s">
        <v>87</v>
      </c>
      <c r="J14421" s="19"/>
      <c r="L14421" s="16" t="str">
        <f>IFERROR(__xludf.DUMMYFUNCTION("""COMPUTED_VALUE"""),"")</f>
        <v/>
      </c>
      <c r="M14421" s="16" t="str">
        <f>IFERROR(__xludf.DUMMYFUNCTION("""COMPUTED_VALUE"""),"")</f>
        <v/>
      </c>
      <c r="U14421" s="16" t="s">
        <v>87</v>
      </c>
      <c r="V14421" s="16" t="str">
        <f>IFERROR(__xludf.DUMMYFUNCTION("""COMPUTED_VALUE"""),"")</f>
        <v/>
      </c>
      <c r="W14421" s="16" t="str">
        <f>IFERROR(__xludf.DUMMYFUNCTION("""COMPUTED_VALUE"""),"")</f>
        <v/>
      </c>
      <c r="X14421" s="16" t="str">
        <f>IFERROR(__xludf.DUMMYFUNCTION("""COMPUTED_VALUE"""),"")</f>
        <v/>
      </c>
      <c r="AC14421" s="16" t="str">
        <f>IFERROR(__xludf.DUMMYFUNCTION("""COMPUTED_VALUE"""),"")</f>
        <v/>
      </c>
    </row>
    <row r="14422">
      <c r="A14422" s="16" t="s">
        <v>87</v>
      </c>
      <c r="E14422" s="16" t="str">
        <f>IFERROR(__xludf.DUMMYFUNCTION("""COMPUTED_VALUE"""),"")</f>
        <v/>
      </c>
      <c r="G14422" s="18"/>
      <c r="H14422" s="16" t="s">
        <v>87</v>
      </c>
      <c r="I14422" s="16" t="s">
        <v>87</v>
      </c>
      <c r="J14422" s="19"/>
      <c r="L14422" s="16" t="str">
        <f>IFERROR(__xludf.DUMMYFUNCTION("""COMPUTED_VALUE"""),"")</f>
        <v/>
      </c>
      <c r="M14422" s="16" t="str">
        <f>IFERROR(__xludf.DUMMYFUNCTION("""COMPUTED_VALUE"""),"")</f>
        <v/>
      </c>
      <c r="U14422" s="16" t="s">
        <v>87</v>
      </c>
      <c r="V14422" s="16" t="str">
        <f>IFERROR(__xludf.DUMMYFUNCTION("""COMPUTED_VALUE"""),"")</f>
        <v/>
      </c>
      <c r="W14422" s="16" t="str">
        <f>IFERROR(__xludf.DUMMYFUNCTION("""COMPUTED_VALUE"""),"")</f>
        <v/>
      </c>
      <c r="X14422" s="16" t="str">
        <f>IFERROR(__xludf.DUMMYFUNCTION("""COMPUTED_VALUE"""),"")</f>
        <v/>
      </c>
      <c r="AC14422" s="16" t="str">
        <f>IFERROR(__xludf.DUMMYFUNCTION("""COMPUTED_VALUE"""),"")</f>
        <v/>
      </c>
    </row>
    <row r="14423">
      <c r="A14423" s="16" t="s">
        <v>87</v>
      </c>
      <c r="E14423" s="16" t="str">
        <f>IFERROR(__xludf.DUMMYFUNCTION("""COMPUTED_VALUE"""),"")</f>
        <v/>
      </c>
      <c r="G14423" s="18"/>
      <c r="H14423" s="16" t="s">
        <v>87</v>
      </c>
      <c r="I14423" s="16" t="s">
        <v>87</v>
      </c>
      <c r="J14423" s="19"/>
      <c r="L14423" s="16" t="str">
        <f>IFERROR(__xludf.DUMMYFUNCTION("""COMPUTED_VALUE"""),"")</f>
        <v/>
      </c>
      <c r="M14423" s="16" t="str">
        <f>IFERROR(__xludf.DUMMYFUNCTION("""COMPUTED_VALUE"""),"")</f>
        <v/>
      </c>
      <c r="U14423" s="16" t="s">
        <v>87</v>
      </c>
      <c r="V14423" s="16" t="str">
        <f>IFERROR(__xludf.DUMMYFUNCTION("""COMPUTED_VALUE"""),"")</f>
        <v/>
      </c>
      <c r="W14423" s="16" t="str">
        <f>IFERROR(__xludf.DUMMYFUNCTION("""COMPUTED_VALUE"""),"")</f>
        <v/>
      </c>
      <c r="X14423" s="16" t="str">
        <f>IFERROR(__xludf.DUMMYFUNCTION("""COMPUTED_VALUE"""),"")</f>
        <v/>
      </c>
      <c r="AC14423" s="16" t="str">
        <f>IFERROR(__xludf.DUMMYFUNCTION("""COMPUTED_VALUE"""),"")</f>
        <v/>
      </c>
    </row>
    <row r="14424">
      <c r="A14424" s="16" t="s">
        <v>87</v>
      </c>
      <c r="E14424" s="16" t="str">
        <f>IFERROR(__xludf.DUMMYFUNCTION("""COMPUTED_VALUE"""),"")</f>
        <v/>
      </c>
      <c r="G14424" s="18"/>
      <c r="H14424" s="16" t="s">
        <v>87</v>
      </c>
      <c r="I14424" s="16" t="s">
        <v>87</v>
      </c>
      <c r="J14424" s="19"/>
      <c r="L14424" s="16" t="str">
        <f>IFERROR(__xludf.DUMMYFUNCTION("""COMPUTED_VALUE"""),"")</f>
        <v/>
      </c>
      <c r="M14424" s="16" t="str">
        <f>IFERROR(__xludf.DUMMYFUNCTION("""COMPUTED_VALUE"""),"")</f>
        <v/>
      </c>
      <c r="U14424" s="16" t="s">
        <v>87</v>
      </c>
      <c r="V14424" s="16" t="str">
        <f>IFERROR(__xludf.DUMMYFUNCTION("""COMPUTED_VALUE"""),"")</f>
        <v/>
      </c>
      <c r="W14424" s="16" t="str">
        <f>IFERROR(__xludf.DUMMYFUNCTION("""COMPUTED_VALUE"""),"")</f>
        <v/>
      </c>
      <c r="X14424" s="16" t="str">
        <f>IFERROR(__xludf.DUMMYFUNCTION("""COMPUTED_VALUE"""),"")</f>
        <v/>
      </c>
      <c r="AC14424" s="16" t="str">
        <f>IFERROR(__xludf.DUMMYFUNCTION("""COMPUTED_VALUE"""),"")</f>
        <v/>
      </c>
    </row>
    <row r="14425">
      <c r="A14425" s="16" t="s">
        <v>87</v>
      </c>
      <c r="E14425" s="16" t="str">
        <f>IFERROR(__xludf.DUMMYFUNCTION("""COMPUTED_VALUE"""),"")</f>
        <v/>
      </c>
      <c r="G14425" s="18"/>
      <c r="H14425" s="16" t="s">
        <v>87</v>
      </c>
      <c r="I14425" s="16" t="s">
        <v>87</v>
      </c>
      <c r="J14425" s="19"/>
      <c r="L14425" s="16" t="str">
        <f>IFERROR(__xludf.DUMMYFUNCTION("""COMPUTED_VALUE"""),"")</f>
        <v/>
      </c>
      <c r="M14425" s="16" t="str">
        <f>IFERROR(__xludf.DUMMYFUNCTION("""COMPUTED_VALUE"""),"")</f>
        <v/>
      </c>
      <c r="U14425" s="16" t="s">
        <v>87</v>
      </c>
      <c r="V14425" s="16" t="str">
        <f>IFERROR(__xludf.DUMMYFUNCTION("""COMPUTED_VALUE"""),"")</f>
        <v/>
      </c>
      <c r="W14425" s="16" t="str">
        <f>IFERROR(__xludf.DUMMYFUNCTION("""COMPUTED_VALUE"""),"")</f>
        <v/>
      </c>
      <c r="X14425" s="16" t="str">
        <f>IFERROR(__xludf.DUMMYFUNCTION("""COMPUTED_VALUE"""),"")</f>
        <v/>
      </c>
      <c r="AC14425" s="16" t="str">
        <f>IFERROR(__xludf.DUMMYFUNCTION("""COMPUTED_VALUE"""),"")</f>
        <v/>
      </c>
    </row>
    <row r="14426">
      <c r="A14426" s="16" t="s">
        <v>87</v>
      </c>
      <c r="E14426" s="16" t="str">
        <f>IFERROR(__xludf.DUMMYFUNCTION("""COMPUTED_VALUE"""),"")</f>
        <v/>
      </c>
      <c r="G14426" s="18"/>
      <c r="H14426" s="16" t="s">
        <v>87</v>
      </c>
      <c r="I14426" s="16" t="s">
        <v>87</v>
      </c>
      <c r="J14426" s="19"/>
      <c r="L14426" s="16" t="str">
        <f>IFERROR(__xludf.DUMMYFUNCTION("""COMPUTED_VALUE"""),"")</f>
        <v/>
      </c>
      <c r="M14426" s="16" t="str">
        <f>IFERROR(__xludf.DUMMYFUNCTION("""COMPUTED_VALUE"""),"")</f>
        <v/>
      </c>
      <c r="U14426" s="16" t="s">
        <v>87</v>
      </c>
      <c r="V14426" s="16" t="str">
        <f>IFERROR(__xludf.DUMMYFUNCTION("""COMPUTED_VALUE"""),"")</f>
        <v/>
      </c>
      <c r="W14426" s="16" t="str">
        <f>IFERROR(__xludf.DUMMYFUNCTION("""COMPUTED_VALUE"""),"")</f>
        <v/>
      </c>
      <c r="X14426" s="16" t="str">
        <f>IFERROR(__xludf.DUMMYFUNCTION("""COMPUTED_VALUE"""),"")</f>
        <v/>
      </c>
      <c r="AC14426" s="16" t="str">
        <f>IFERROR(__xludf.DUMMYFUNCTION("""COMPUTED_VALUE"""),"")</f>
        <v/>
      </c>
    </row>
    <row r="14427">
      <c r="A14427" s="16" t="s">
        <v>87</v>
      </c>
      <c r="E14427" s="16" t="str">
        <f>IFERROR(__xludf.DUMMYFUNCTION("""COMPUTED_VALUE"""),"")</f>
        <v/>
      </c>
      <c r="G14427" s="18"/>
      <c r="H14427" s="16" t="s">
        <v>87</v>
      </c>
      <c r="I14427" s="16" t="s">
        <v>87</v>
      </c>
      <c r="J14427" s="19"/>
      <c r="L14427" s="16" t="str">
        <f>IFERROR(__xludf.DUMMYFUNCTION("""COMPUTED_VALUE"""),"")</f>
        <v/>
      </c>
      <c r="M14427" s="16" t="str">
        <f>IFERROR(__xludf.DUMMYFUNCTION("""COMPUTED_VALUE"""),"")</f>
        <v/>
      </c>
      <c r="U14427" s="16" t="s">
        <v>87</v>
      </c>
      <c r="V14427" s="16" t="str">
        <f>IFERROR(__xludf.DUMMYFUNCTION("""COMPUTED_VALUE"""),"")</f>
        <v/>
      </c>
      <c r="W14427" s="16" t="str">
        <f>IFERROR(__xludf.DUMMYFUNCTION("""COMPUTED_VALUE"""),"")</f>
        <v/>
      </c>
      <c r="X14427" s="16" t="str">
        <f>IFERROR(__xludf.DUMMYFUNCTION("""COMPUTED_VALUE"""),"")</f>
        <v/>
      </c>
      <c r="AC14427" s="16" t="str">
        <f>IFERROR(__xludf.DUMMYFUNCTION("""COMPUTED_VALUE"""),"")</f>
        <v/>
      </c>
    </row>
    <row r="14428">
      <c r="A14428" s="16" t="s">
        <v>87</v>
      </c>
      <c r="E14428" s="16" t="str">
        <f>IFERROR(__xludf.DUMMYFUNCTION("""COMPUTED_VALUE"""),"")</f>
        <v/>
      </c>
      <c r="G14428" s="18"/>
      <c r="H14428" s="16" t="s">
        <v>87</v>
      </c>
      <c r="I14428" s="16" t="s">
        <v>87</v>
      </c>
      <c r="J14428" s="19"/>
      <c r="L14428" s="16" t="str">
        <f>IFERROR(__xludf.DUMMYFUNCTION("""COMPUTED_VALUE"""),"")</f>
        <v/>
      </c>
      <c r="M14428" s="16" t="str">
        <f>IFERROR(__xludf.DUMMYFUNCTION("""COMPUTED_VALUE"""),"")</f>
        <v/>
      </c>
      <c r="U14428" s="16" t="s">
        <v>87</v>
      </c>
      <c r="V14428" s="16" t="str">
        <f>IFERROR(__xludf.DUMMYFUNCTION("""COMPUTED_VALUE"""),"")</f>
        <v/>
      </c>
      <c r="W14428" s="16" t="str">
        <f>IFERROR(__xludf.DUMMYFUNCTION("""COMPUTED_VALUE"""),"")</f>
        <v/>
      </c>
      <c r="X14428" s="16" t="str">
        <f>IFERROR(__xludf.DUMMYFUNCTION("""COMPUTED_VALUE"""),"")</f>
        <v/>
      </c>
      <c r="AC14428" s="16" t="str">
        <f>IFERROR(__xludf.DUMMYFUNCTION("""COMPUTED_VALUE"""),"")</f>
        <v/>
      </c>
    </row>
    <row r="14429">
      <c r="A14429" s="16" t="s">
        <v>87</v>
      </c>
      <c r="E14429" s="16" t="str">
        <f>IFERROR(__xludf.DUMMYFUNCTION("""COMPUTED_VALUE"""),"")</f>
        <v/>
      </c>
      <c r="G14429" s="18"/>
      <c r="H14429" s="16" t="s">
        <v>87</v>
      </c>
      <c r="I14429" s="16" t="s">
        <v>87</v>
      </c>
      <c r="J14429" s="19"/>
      <c r="L14429" s="16" t="str">
        <f>IFERROR(__xludf.DUMMYFUNCTION("""COMPUTED_VALUE"""),"")</f>
        <v/>
      </c>
      <c r="M14429" s="16" t="str">
        <f>IFERROR(__xludf.DUMMYFUNCTION("""COMPUTED_VALUE"""),"")</f>
        <v/>
      </c>
      <c r="U14429" s="16" t="s">
        <v>87</v>
      </c>
      <c r="V14429" s="16" t="str">
        <f>IFERROR(__xludf.DUMMYFUNCTION("""COMPUTED_VALUE"""),"")</f>
        <v/>
      </c>
      <c r="W14429" s="16" t="str">
        <f>IFERROR(__xludf.DUMMYFUNCTION("""COMPUTED_VALUE"""),"")</f>
        <v/>
      </c>
      <c r="X14429" s="16" t="str">
        <f>IFERROR(__xludf.DUMMYFUNCTION("""COMPUTED_VALUE"""),"")</f>
        <v/>
      </c>
      <c r="AC14429" s="16" t="str">
        <f>IFERROR(__xludf.DUMMYFUNCTION("""COMPUTED_VALUE"""),"")</f>
        <v/>
      </c>
    </row>
    <row r="14430">
      <c r="A14430" s="16" t="s">
        <v>87</v>
      </c>
      <c r="E14430" s="16" t="str">
        <f>IFERROR(__xludf.DUMMYFUNCTION("""COMPUTED_VALUE"""),"")</f>
        <v/>
      </c>
      <c r="G14430" s="18"/>
      <c r="H14430" s="16" t="s">
        <v>87</v>
      </c>
      <c r="I14430" s="16" t="s">
        <v>87</v>
      </c>
      <c r="J14430" s="19"/>
      <c r="L14430" s="16" t="str">
        <f>IFERROR(__xludf.DUMMYFUNCTION("""COMPUTED_VALUE"""),"")</f>
        <v/>
      </c>
      <c r="M14430" s="16" t="str">
        <f>IFERROR(__xludf.DUMMYFUNCTION("""COMPUTED_VALUE"""),"")</f>
        <v/>
      </c>
      <c r="U14430" s="16" t="s">
        <v>87</v>
      </c>
      <c r="V14430" s="16" t="str">
        <f>IFERROR(__xludf.DUMMYFUNCTION("""COMPUTED_VALUE"""),"")</f>
        <v/>
      </c>
      <c r="W14430" s="16" t="str">
        <f>IFERROR(__xludf.DUMMYFUNCTION("""COMPUTED_VALUE"""),"")</f>
        <v/>
      </c>
      <c r="X14430" s="16" t="str">
        <f>IFERROR(__xludf.DUMMYFUNCTION("""COMPUTED_VALUE"""),"")</f>
        <v/>
      </c>
      <c r="AC14430" s="16" t="str">
        <f>IFERROR(__xludf.DUMMYFUNCTION("""COMPUTED_VALUE"""),"")</f>
        <v/>
      </c>
    </row>
    <row r="14431">
      <c r="A14431" s="16" t="s">
        <v>87</v>
      </c>
      <c r="E14431" s="16" t="str">
        <f>IFERROR(__xludf.DUMMYFUNCTION("""COMPUTED_VALUE"""),"")</f>
        <v/>
      </c>
      <c r="G14431" s="18"/>
      <c r="H14431" s="16" t="s">
        <v>87</v>
      </c>
      <c r="I14431" s="16" t="s">
        <v>87</v>
      </c>
      <c r="J14431" s="19"/>
      <c r="L14431" s="16" t="str">
        <f>IFERROR(__xludf.DUMMYFUNCTION("""COMPUTED_VALUE"""),"")</f>
        <v/>
      </c>
      <c r="M14431" s="16" t="str">
        <f>IFERROR(__xludf.DUMMYFUNCTION("""COMPUTED_VALUE"""),"")</f>
        <v/>
      </c>
      <c r="U14431" s="16" t="s">
        <v>87</v>
      </c>
      <c r="V14431" s="16" t="str">
        <f>IFERROR(__xludf.DUMMYFUNCTION("""COMPUTED_VALUE"""),"")</f>
        <v/>
      </c>
      <c r="W14431" s="16" t="str">
        <f>IFERROR(__xludf.DUMMYFUNCTION("""COMPUTED_VALUE"""),"")</f>
        <v/>
      </c>
      <c r="X14431" s="16" t="str">
        <f>IFERROR(__xludf.DUMMYFUNCTION("""COMPUTED_VALUE"""),"")</f>
        <v/>
      </c>
      <c r="AC14431" s="16" t="str">
        <f>IFERROR(__xludf.DUMMYFUNCTION("""COMPUTED_VALUE"""),"")</f>
        <v/>
      </c>
    </row>
    <row r="14432">
      <c r="A14432" s="16" t="s">
        <v>87</v>
      </c>
      <c r="E14432" s="16" t="str">
        <f>IFERROR(__xludf.DUMMYFUNCTION("""COMPUTED_VALUE"""),"")</f>
        <v/>
      </c>
      <c r="G14432" s="18"/>
      <c r="H14432" s="16" t="s">
        <v>87</v>
      </c>
      <c r="I14432" s="16" t="s">
        <v>87</v>
      </c>
      <c r="J14432" s="19"/>
      <c r="L14432" s="16" t="str">
        <f>IFERROR(__xludf.DUMMYFUNCTION("""COMPUTED_VALUE"""),"")</f>
        <v/>
      </c>
      <c r="M14432" s="16" t="str">
        <f>IFERROR(__xludf.DUMMYFUNCTION("""COMPUTED_VALUE"""),"")</f>
        <v/>
      </c>
      <c r="U14432" s="16" t="s">
        <v>87</v>
      </c>
      <c r="V14432" s="16" t="str">
        <f>IFERROR(__xludf.DUMMYFUNCTION("""COMPUTED_VALUE"""),"")</f>
        <v/>
      </c>
      <c r="W14432" s="16" t="str">
        <f>IFERROR(__xludf.DUMMYFUNCTION("""COMPUTED_VALUE"""),"")</f>
        <v/>
      </c>
      <c r="X14432" s="16" t="str">
        <f>IFERROR(__xludf.DUMMYFUNCTION("""COMPUTED_VALUE"""),"")</f>
        <v/>
      </c>
      <c r="AC14432" s="16" t="str">
        <f>IFERROR(__xludf.DUMMYFUNCTION("""COMPUTED_VALUE"""),"")</f>
        <v/>
      </c>
    </row>
    <row r="14433">
      <c r="A14433" s="16" t="s">
        <v>87</v>
      </c>
      <c r="E14433" s="16" t="str">
        <f>IFERROR(__xludf.DUMMYFUNCTION("""COMPUTED_VALUE"""),"")</f>
        <v/>
      </c>
      <c r="G14433" s="18"/>
      <c r="H14433" s="16" t="s">
        <v>87</v>
      </c>
      <c r="I14433" s="16" t="s">
        <v>87</v>
      </c>
      <c r="J14433" s="19"/>
      <c r="L14433" s="16" t="str">
        <f>IFERROR(__xludf.DUMMYFUNCTION("""COMPUTED_VALUE"""),"")</f>
        <v/>
      </c>
      <c r="M14433" s="16" t="str">
        <f>IFERROR(__xludf.DUMMYFUNCTION("""COMPUTED_VALUE"""),"")</f>
        <v/>
      </c>
      <c r="U14433" s="16" t="s">
        <v>87</v>
      </c>
      <c r="V14433" s="16" t="str">
        <f>IFERROR(__xludf.DUMMYFUNCTION("""COMPUTED_VALUE"""),"")</f>
        <v/>
      </c>
      <c r="W14433" s="16" t="str">
        <f>IFERROR(__xludf.DUMMYFUNCTION("""COMPUTED_VALUE"""),"")</f>
        <v/>
      </c>
      <c r="X14433" s="16" t="str">
        <f>IFERROR(__xludf.DUMMYFUNCTION("""COMPUTED_VALUE"""),"")</f>
        <v/>
      </c>
      <c r="AC14433" s="16" t="str">
        <f>IFERROR(__xludf.DUMMYFUNCTION("""COMPUTED_VALUE"""),"")</f>
        <v/>
      </c>
    </row>
    <row r="14434">
      <c r="A14434" s="16" t="s">
        <v>87</v>
      </c>
      <c r="E14434" s="16" t="str">
        <f>IFERROR(__xludf.DUMMYFUNCTION("""COMPUTED_VALUE"""),"")</f>
        <v/>
      </c>
      <c r="G14434" s="18"/>
      <c r="H14434" s="16" t="s">
        <v>87</v>
      </c>
      <c r="I14434" s="16" t="s">
        <v>87</v>
      </c>
      <c r="J14434" s="19"/>
      <c r="L14434" s="16" t="str">
        <f>IFERROR(__xludf.DUMMYFUNCTION("""COMPUTED_VALUE"""),"")</f>
        <v/>
      </c>
      <c r="M14434" s="16" t="str">
        <f>IFERROR(__xludf.DUMMYFUNCTION("""COMPUTED_VALUE"""),"")</f>
        <v/>
      </c>
      <c r="U14434" s="16" t="s">
        <v>87</v>
      </c>
      <c r="V14434" s="16" t="str">
        <f>IFERROR(__xludf.DUMMYFUNCTION("""COMPUTED_VALUE"""),"")</f>
        <v/>
      </c>
      <c r="W14434" s="16" t="str">
        <f>IFERROR(__xludf.DUMMYFUNCTION("""COMPUTED_VALUE"""),"")</f>
        <v/>
      </c>
      <c r="X14434" s="16" t="str">
        <f>IFERROR(__xludf.DUMMYFUNCTION("""COMPUTED_VALUE"""),"")</f>
        <v/>
      </c>
      <c r="AC14434" s="16" t="str">
        <f>IFERROR(__xludf.DUMMYFUNCTION("""COMPUTED_VALUE"""),"")</f>
        <v/>
      </c>
    </row>
    <row r="14435">
      <c r="A14435" s="16" t="s">
        <v>87</v>
      </c>
      <c r="E14435" s="16" t="str">
        <f>IFERROR(__xludf.DUMMYFUNCTION("""COMPUTED_VALUE"""),"")</f>
        <v/>
      </c>
      <c r="G14435" s="18"/>
      <c r="H14435" s="16" t="s">
        <v>87</v>
      </c>
      <c r="I14435" s="16" t="s">
        <v>87</v>
      </c>
      <c r="J14435" s="19"/>
      <c r="L14435" s="16" t="str">
        <f>IFERROR(__xludf.DUMMYFUNCTION("""COMPUTED_VALUE"""),"")</f>
        <v/>
      </c>
      <c r="M14435" s="16" t="str">
        <f>IFERROR(__xludf.DUMMYFUNCTION("""COMPUTED_VALUE"""),"")</f>
        <v/>
      </c>
      <c r="U14435" s="16" t="s">
        <v>87</v>
      </c>
      <c r="V14435" s="16" t="str">
        <f>IFERROR(__xludf.DUMMYFUNCTION("""COMPUTED_VALUE"""),"")</f>
        <v/>
      </c>
      <c r="W14435" s="16" t="str">
        <f>IFERROR(__xludf.DUMMYFUNCTION("""COMPUTED_VALUE"""),"")</f>
        <v/>
      </c>
      <c r="X14435" s="16" t="str">
        <f>IFERROR(__xludf.DUMMYFUNCTION("""COMPUTED_VALUE"""),"")</f>
        <v/>
      </c>
      <c r="AC14435" s="16" t="str">
        <f>IFERROR(__xludf.DUMMYFUNCTION("""COMPUTED_VALUE"""),"")</f>
        <v/>
      </c>
    </row>
    <row r="14436">
      <c r="A14436" s="16" t="s">
        <v>87</v>
      </c>
      <c r="E14436" s="16" t="str">
        <f>IFERROR(__xludf.DUMMYFUNCTION("""COMPUTED_VALUE"""),"")</f>
        <v/>
      </c>
      <c r="G14436" s="18"/>
      <c r="H14436" s="16" t="s">
        <v>87</v>
      </c>
      <c r="I14436" s="16" t="s">
        <v>87</v>
      </c>
      <c r="J14436" s="19"/>
      <c r="L14436" s="16" t="str">
        <f>IFERROR(__xludf.DUMMYFUNCTION("""COMPUTED_VALUE"""),"")</f>
        <v/>
      </c>
      <c r="M14436" s="16" t="str">
        <f>IFERROR(__xludf.DUMMYFUNCTION("""COMPUTED_VALUE"""),"")</f>
        <v/>
      </c>
      <c r="U14436" s="16" t="s">
        <v>87</v>
      </c>
      <c r="V14436" s="16" t="str">
        <f>IFERROR(__xludf.DUMMYFUNCTION("""COMPUTED_VALUE"""),"")</f>
        <v/>
      </c>
      <c r="W14436" s="16" t="str">
        <f>IFERROR(__xludf.DUMMYFUNCTION("""COMPUTED_VALUE"""),"")</f>
        <v/>
      </c>
      <c r="X14436" s="16" t="str">
        <f>IFERROR(__xludf.DUMMYFUNCTION("""COMPUTED_VALUE"""),"")</f>
        <v/>
      </c>
      <c r="AC14436" s="16" t="str">
        <f>IFERROR(__xludf.DUMMYFUNCTION("""COMPUTED_VALUE"""),"")</f>
        <v/>
      </c>
    </row>
    <row r="14437">
      <c r="A14437" s="16" t="s">
        <v>87</v>
      </c>
      <c r="E14437" s="16" t="str">
        <f>IFERROR(__xludf.DUMMYFUNCTION("""COMPUTED_VALUE"""),"")</f>
        <v/>
      </c>
      <c r="G14437" s="18"/>
      <c r="H14437" s="16" t="s">
        <v>87</v>
      </c>
      <c r="I14437" s="16" t="s">
        <v>87</v>
      </c>
      <c r="J14437" s="19"/>
      <c r="L14437" s="16" t="str">
        <f>IFERROR(__xludf.DUMMYFUNCTION("""COMPUTED_VALUE"""),"")</f>
        <v/>
      </c>
      <c r="M14437" s="16" t="str">
        <f>IFERROR(__xludf.DUMMYFUNCTION("""COMPUTED_VALUE"""),"")</f>
        <v/>
      </c>
      <c r="U14437" s="16" t="s">
        <v>87</v>
      </c>
      <c r="V14437" s="16" t="str">
        <f>IFERROR(__xludf.DUMMYFUNCTION("""COMPUTED_VALUE"""),"")</f>
        <v/>
      </c>
      <c r="W14437" s="16" t="str">
        <f>IFERROR(__xludf.DUMMYFUNCTION("""COMPUTED_VALUE"""),"")</f>
        <v/>
      </c>
      <c r="X14437" s="16" t="str">
        <f>IFERROR(__xludf.DUMMYFUNCTION("""COMPUTED_VALUE"""),"")</f>
        <v/>
      </c>
      <c r="AC14437" s="16" t="str">
        <f>IFERROR(__xludf.DUMMYFUNCTION("""COMPUTED_VALUE"""),"")</f>
        <v/>
      </c>
    </row>
    <row r="14438">
      <c r="A14438" s="16" t="s">
        <v>87</v>
      </c>
      <c r="E14438" s="16" t="str">
        <f>IFERROR(__xludf.DUMMYFUNCTION("""COMPUTED_VALUE"""),"")</f>
        <v/>
      </c>
      <c r="G14438" s="18"/>
      <c r="H14438" s="16" t="s">
        <v>87</v>
      </c>
      <c r="I14438" s="16" t="s">
        <v>87</v>
      </c>
      <c r="J14438" s="19"/>
      <c r="L14438" s="16" t="str">
        <f>IFERROR(__xludf.DUMMYFUNCTION("""COMPUTED_VALUE"""),"")</f>
        <v/>
      </c>
      <c r="M14438" s="16" t="str">
        <f>IFERROR(__xludf.DUMMYFUNCTION("""COMPUTED_VALUE"""),"")</f>
        <v/>
      </c>
      <c r="U14438" s="16" t="s">
        <v>87</v>
      </c>
      <c r="V14438" s="16" t="str">
        <f>IFERROR(__xludf.DUMMYFUNCTION("""COMPUTED_VALUE"""),"")</f>
        <v/>
      </c>
      <c r="W14438" s="16" t="str">
        <f>IFERROR(__xludf.DUMMYFUNCTION("""COMPUTED_VALUE"""),"")</f>
        <v/>
      </c>
      <c r="X14438" s="16" t="str">
        <f>IFERROR(__xludf.DUMMYFUNCTION("""COMPUTED_VALUE"""),"")</f>
        <v/>
      </c>
      <c r="AC14438" s="16" t="str">
        <f>IFERROR(__xludf.DUMMYFUNCTION("""COMPUTED_VALUE"""),"")</f>
        <v/>
      </c>
    </row>
    <row r="14439">
      <c r="A14439" s="16" t="s">
        <v>87</v>
      </c>
      <c r="E14439" s="16" t="str">
        <f>IFERROR(__xludf.DUMMYFUNCTION("""COMPUTED_VALUE"""),"")</f>
        <v/>
      </c>
      <c r="G14439" s="18"/>
      <c r="H14439" s="16" t="s">
        <v>87</v>
      </c>
      <c r="I14439" s="16" t="s">
        <v>87</v>
      </c>
      <c r="J14439" s="19"/>
      <c r="L14439" s="16" t="str">
        <f>IFERROR(__xludf.DUMMYFUNCTION("""COMPUTED_VALUE"""),"")</f>
        <v/>
      </c>
      <c r="M14439" s="16" t="str">
        <f>IFERROR(__xludf.DUMMYFUNCTION("""COMPUTED_VALUE"""),"")</f>
        <v/>
      </c>
      <c r="U14439" s="16" t="s">
        <v>87</v>
      </c>
      <c r="V14439" s="16" t="str">
        <f>IFERROR(__xludf.DUMMYFUNCTION("""COMPUTED_VALUE"""),"")</f>
        <v/>
      </c>
      <c r="W14439" s="16" t="str">
        <f>IFERROR(__xludf.DUMMYFUNCTION("""COMPUTED_VALUE"""),"")</f>
        <v/>
      </c>
      <c r="X14439" s="16" t="str">
        <f>IFERROR(__xludf.DUMMYFUNCTION("""COMPUTED_VALUE"""),"")</f>
        <v/>
      </c>
      <c r="AC14439" s="16" t="str">
        <f>IFERROR(__xludf.DUMMYFUNCTION("""COMPUTED_VALUE"""),"")</f>
        <v/>
      </c>
    </row>
    <row r="14440">
      <c r="A14440" s="16" t="s">
        <v>87</v>
      </c>
      <c r="E14440" s="16" t="str">
        <f>IFERROR(__xludf.DUMMYFUNCTION("""COMPUTED_VALUE"""),"")</f>
        <v/>
      </c>
      <c r="G14440" s="18"/>
      <c r="H14440" s="16" t="s">
        <v>87</v>
      </c>
      <c r="I14440" s="16" t="s">
        <v>87</v>
      </c>
      <c r="J14440" s="19"/>
      <c r="L14440" s="16" t="str">
        <f>IFERROR(__xludf.DUMMYFUNCTION("""COMPUTED_VALUE"""),"")</f>
        <v/>
      </c>
      <c r="M14440" s="16" t="str">
        <f>IFERROR(__xludf.DUMMYFUNCTION("""COMPUTED_VALUE"""),"")</f>
        <v/>
      </c>
      <c r="U14440" s="16" t="s">
        <v>87</v>
      </c>
      <c r="V14440" s="16" t="str">
        <f>IFERROR(__xludf.DUMMYFUNCTION("""COMPUTED_VALUE"""),"")</f>
        <v/>
      </c>
      <c r="W14440" s="16" t="str">
        <f>IFERROR(__xludf.DUMMYFUNCTION("""COMPUTED_VALUE"""),"")</f>
        <v/>
      </c>
      <c r="X14440" s="16" t="str">
        <f>IFERROR(__xludf.DUMMYFUNCTION("""COMPUTED_VALUE"""),"")</f>
        <v/>
      </c>
      <c r="AC14440" s="16" t="str">
        <f>IFERROR(__xludf.DUMMYFUNCTION("""COMPUTED_VALUE"""),"")</f>
        <v/>
      </c>
    </row>
    <row r="14441">
      <c r="A14441" s="16" t="s">
        <v>87</v>
      </c>
      <c r="E14441" s="16" t="str">
        <f>IFERROR(__xludf.DUMMYFUNCTION("""COMPUTED_VALUE"""),"")</f>
        <v/>
      </c>
      <c r="G14441" s="18"/>
      <c r="H14441" s="16" t="s">
        <v>87</v>
      </c>
      <c r="I14441" s="16" t="s">
        <v>87</v>
      </c>
      <c r="J14441" s="19"/>
      <c r="L14441" s="16" t="str">
        <f>IFERROR(__xludf.DUMMYFUNCTION("""COMPUTED_VALUE"""),"")</f>
        <v/>
      </c>
      <c r="M14441" s="16" t="str">
        <f>IFERROR(__xludf.DUMMYFUNCTION("""COMPUTED_VALUE"""),"")</f>
        <v/>
      </c>
      <c r="U14441" s="16" t="s">
        <v>87</v>
      </c>
      <c r="V14441" s="16" t="str">
        <f>IFERROR(__xludf.DUMMYFUNCTION("""COMPUTED_VALUE"""),"")</f>
        <v/>
      </c>
      <c r="W14441" s="16" t="str">
        <f>IFERROR(__xludf.DUMMYFUNCTION("""COMPUTED_VALUE"""),"")</f>
        <v/>
      </c>
      <c r="X14441" s="16" t="str">
        <f>IFERROR(__xludf.DUMMYFUNCTION("""COMPUTED_VALUE"""),"")</f>
        <v/>
      </c>
      <c r="AC14441" s="16" t="str">
        <f>IFERROR(__xludf.DUMMYFUNCTION("""COMPUTED_VALUE"""),"")</f>
        <v/>
      </c>
    </row>
    <row r="14442">
      <c r="A14442" s="16" t="s">
        <v>87</v>
      </c>
      <c r="E14442" s="16" t="str">
        <f>IFERROR(__xludf.DUMMYFUNCTION("""COMPUTED_VALUE"""),"")</f>
        <v/>
      </c>
      <c r="G14442" s="18"/>
      <c r="H14442" s="16" t="s">
        <v>87</v>
      </c>
      <c r="I14442" s="16" t="s">
        <v>87</v>
      </c>
      <c r="J14442" s="19"/>
      <c r="L14442" s="16" t="str">
        <f>IFERROR(__xludf.DUMMYFUNCTION("""COMPUTED_VALUE"""),"")</f>
        <v/>
      </c>
      <c r="M14442" s="16" t="str">
        <f>IFERROR(__xludf.DUMMYFUNCTION("""COMPUTED_VALUE"""),"")</f>
        <v/>
      </c>
      <c r="U14442" s="16" t="s">
        <v>87</v>
      </c>
      <c r="V14442" s="16" t="str">
        <f>IFERROR(__xludf.DUMMYFUNCTION("""COMPUTED_VALUE"""),"")</f>
        <v/>
      </c>
      <c r="W14442" s="16" t="str">
        <f>IFERROR(__xludf.DUMMYFUNCTION("""COMPUTED_VALUE"""),"")</f>
        <v/>
      </c>
      <c r="X14442" s="16" t="str">
        <f>IFERROR(__xludf.DUMMYFUNCTION("""COMPUTED_VALUE"""),"")</f>
        <v/>
      </c>
      <c r="AC14442" s="16" t="str">
        <f>IFERROR(__xludf.DUMMYFUNCTION("""COMPUTED_VALUE"""),"")</f>
        <v/>
      </c>
    </row>
    <row r="14443">
      <c r="A14443" s="16" t="s">
        <v>87</v>
      </c>
      <c r="E14443" s="16" t="str">
        <f>IFERROR(__xludf.DUMMYFUNCTION("""COMPUTED_VALUE"""),"")</f>
        <v/>
      </c>
      <c r="G14443" s="18"/>
      <c r="H14443" s="16" t="s">
        <v>87</v>
      </c>
      <c r="I14443" s="16" t="s">
        <v>87</v>
      </c>
      <c r="J14443" s="19"/>
      <c r="L14443" s="16" t="str">
        <f>IFERROR(__xludf.DUMMYFUNCTION("""COMPUTED_VALUE"""),"")</f>
        <v/>
      </c>
      <c r="M14443" s="16" t="str">
        <f>IFERROR(__xludf.DUMMYFUNCTION("""COMPUTED_VALUE"""),"")</f>
        <v/>
      </c>
      <c r="U14443" s="16" t="s">
        <v>87</v>
      </c>
      <c r="V14443" s="16" t="str">
        <f>IFERROR(__xludf.DUMMYFUNCTION("""COMPUTED_VALUE"""),"")</f>
        <v/>
      </c>
      <c r="W14443" s="16" t="str">
        <f>IFERROR(__xludf.DUMMYFUNCTION("""COMPUTED_VALUE"""),"")</f>
        <v/>
      </c>
      <c r="X14443" s="16" t="str">
        <f>IFERROR(__xludf.DUMMYFUNCTION("""COMPUTED_VALUE"""),"")</f>
        <v/>
      </c>
      <c r="AC14443" s="16" t="str">
        <f>IFERROR(__xludf.DUMMYFUNCTION("""COMPUTED_VALUE"""),"")</f>
        <v/>
      </c>
    </row>
    <row r="14444">
      <c r="A14444" s="16" t="s">
        <v>87</v>
      </c>
      <c r="E14444" s="16" t="str">
        <f>IFERROR(__xludf.DUMMYFUNCTION("""COMPUTED_VALUE"""),"")</f>
        <v/>
      </c>
      <c r="G14444" s="18"/>
      <c r="H14444" s="16" t="s">
        <v>87</v>
      </c>
      <c r="I14444" s="16" t="s">
        <v>87</v>
      </c>
      <c r="J14444" s="19"/>
      <c r="L14444" s="16" t="str">
        <f>IFERROR(__xludf.DUMMYFUNCTION("""COMPUTED_VALUE"""),"")</f>
        <v/>
      </c>
      <c r="M14444" s="16" t="str">
        <f>IFERROR(__xludf.DUMMYFUNCTION("""COMPUTED_VALUE"""),"")</f>
        <v/>
      </c>
      <c r="U14444" s="16" t="s">
        <v>87</v>
      </c>
      <c r="V14444" s="16" t="str">
        <f>IFERROR(__xludf.DUMMYFUNCTION("""COMPUTED_VALUE"""),"")</f>
        <v/>
      </c>
      <c r="W14444" s="16" t="str">
        <f>IFERROR(__xludf.DUMMYFUNCTION("""COMPUTED_VALUE"""),"")</f>
        <v/>
      </c>
      <c r="X14444" s="16" t="str">
        <f>IFERROR(__xludf.DUMMYFUNCTION("""COMPUTED_VALUE"""),"")</f>
        <v/>
      </c>
      <c r="AC14444" s="16" t="str">
        <f>IFERROR(__xludf.DUMMYFUNCTION("""COMPUTED_VALUE"""),"")</f>
        <v/>
      </c>
    </row>
    <row r="14445">
      <c r="A14445" s="16" t="s">
        <v>87</v>
      </c>
      <c r="E14445" s="16" t="str">
        <f>IFERROR(__xludf.DUMMYFUNCTION("""COMPUTED_VALUE"""),"")</f>
        <v/>
      </c>
      <c r="G14445" s="18"/>
      <c r="H14445" s="16" t="s">
        <v>87</v>
      </c>
      <c r="I14445" s="16" t="s">
        <v>87</v>
      </c>
      <c r="J14445" s="19"/>
      <c r="L14445" s="16" t="str">
        <f>IFERROR(__xludf.DUMMYFUNCTION("""COMPUTED_VALUE"""),"")</f>
        <v/>
      </c>
      <c r="M14445" s="16" t="str">
        <f>IFERROR(__xludf.DUMMYFUNCTION("""COMPUTED_VALUE"""),"")</f>
        <v/>
      </c>
      <c r="U14445" s="16" t="s">
        <v>87</v>
      </c>
      <c r="V14445" s="16" t="str">
        <f>IFERROR(__xludf.DUMMYFUNCTION("""COMPUTED_VALUE"""),"")</f>
        <v/>
      </c>
      <c r="W14445" s="16" t="str">
        <f>IFERROR(__xludf.DUMMYFUNCTION("""COMPUTED_VALUE"""),"")</f>
        <v/>
      </c>
      <c r="X14445" s="16" t="str">
        <f>IFERROR(__xludf.DUMMYFUNCTION("""COMPUTED_VALUE"""),"")</f>
        <v/>
      </c>
      <c r="AC14445" s="16" t="str">
        <f>IFERROR(__xludf.DUMMYFUNCTION("""COMPUTED_VALUE"""),"")</f>
        <v/>
      </c>
    </row>
    <row r="14446">
      <c r="A14446" s="16" t="s">
        <v>87</v>
      </c>
      <c r="E14446" s="16" t="str">
        <f>IFERROR(__xludf.DUMMYFUNCTION("""COMPUTED_VALUE"""),"")</f>
        <v/>
      </c>
      <c r="G14446" s="18"/>
      <c r="H14446" s="16" t="s">
        <v>87</v>
      </c>
      <c r="I14446" s="16" t="s">
        <v>87</v>
      </c>
      <c r="J14446" s="19"/>
      <c r="L14446" s="16" t="str">
        <f>IFERROR(__xludf.DUMMYFUNCTION("""COMPUTED_VALUE"""),"")</f>
        <v/>
      </c>
      <c r="M14446" s="16" t="str">
        <f>IFERROR(__xludf.DUMMYFUNCTION("""COMPUTED_VALUE"""),"")</f>
        <v/>
      </c>
      <c r="U14446" s="16" t="s">
        <v>87</v>
      </c>
      <c r="V14446" s="16" t="str">
        <f>IFERROR(__xludf.DUMMYFUNCTION("""COMPUTED_VALUE"""),"")</f>
        <v/>
      </c>
      <c r="W14446" s="16" t="str">
        <f>IFERROR(__xludf.DUMMYFUNCTION("""COMPUTED_VALUE"""),"")</f>
        <v/>
      </c>
      <c r="X14446" s="16" t="str">
        <f>IFERROR(__xludf.DUMMYFUNCTION("""COMPUTED_VALUE"""),"")</f>
        <v/>
      </c>
      <c r="AC14446" s="16" t="str">
        <f>IFERROR(__xludf.DUMMYFUNCTION("""COMPUTED_VALUE"""),"")</f>
        <v/>
      </c>
    </row>
    <row r="14447">
      <c r="A14447" s="16" t="s">
        <v>87</v>
      </c>
      <c r="E14447" s="16" t="str">
        <f>IFERROR(__xludf.DUMMYFUNCTION("""COMPUTED_VALUE"""),"")</f>
        <v/>
      </c>
      <c r="G14447" s="18"/>
      <c r="H14447" s="16" t="s">
        <v>87</v>
      </c>
      <c r="I14447" s="16" t="s">
        <v>87</v>
      </c>
      <c r="J14447" s="19"/>
      <c r="L14447" s="16" t="str">
        <f>IFERROR(__xludf.DUMMYFUNCTION("""COMPUTED_VALUE"""),"")</f>
        <v/>
      </c>
      <c r="M14447" s="16" t="str">
        <f>IFERROR(__xludf.DUMMYFUNCTION("""COMPUTED_VALUE"""),"")</f>
        <v/>
      </c>
      <c r="U14447" s="16" t="s">
        <v>87</v>
      </c>
      <c r="V14447" s="16" t="str">
        <f>IFERROR(__xludf.DUMMYFUNCTION("""COMPUTED_VALUE"""),"")</f>
        <v/>
      </c>
      <c r="W14447" s="16" t="str">
        <f>IFERROR(__xludf.DUMMYFUNCTION("""COMPUTED_VALUE"""),"")</f>
        <v/>
      </c>
      <c r="X14447" s="16" t="str">
        <f>IFERROR(__xludf.DUMMYFUNCTION("""COMPUTED_VALUE"""),"")</f>
        <v/>
      </c>
      <c r="AC14447" s="16" t="str">
        <f>IFERROR(__xludf.DUMMYFUNCTION("""COMPUTED_VALUE"""),"")</f>
        <v/>
      </c>
    </row>
    <row r="14448">
      <c r="A14448" s="16" t="s">
        <v>87</v>
      </c>
      <c r="E14448" s="16" t="str">
        <f>IFERROR(__xludf.DUMMYFUNCTION("""COMPUTED_VALUE"""),"")</f>
        <v/>
      </c>
      <c r="G14448" s="18"/>
      <c r="H14448" s="16" t="s">
        <v>87</v>
      </c>
      <c r="I14448" s="16" t="s">
        <v>87</v>
      </c>
      <c r="J14448" s="19"/>
      <c r="L14448" s="16" t="str">
        <f>IFERROR(__xludf.DUMMYFUNCTION("""COMPUTED_VALUE"""),"")</f>
        <v/>
      </c>
      <c r="M14448" s="16" t="str">
        <f>IFERROR(__xludf.DUMMYFUNCTION("""COMPUTED_VALUE"""),"")</f>
        <v/>
      </c>
      <c r="U14448" s="16" t="s">
        <v>87</v>
      </c>
      <c r="V14448" s="16" t="str">
        <f>IFERROR(__xludf.DUMMYFUNCTION("""COMPUTED_VALUE"""),"")</f>
        <v/>
      </c>
      <c r="W14448" s="16" t="str">
        <f>IFERROR(__xludf.DUMMYFUNCTION("""COMPUTED_VALUE"""),"")</f>
        <v/>
      </c>
      <c r="X14448" s="16" t="str">
        <f>IFERROR(__xludf.DUMMYFUNCTION("""COMPUTED_VALUE"""),"")</f>
        <v/>
      </c>
      <c r="AC14448" s="16" t="str">
        <f>IFERROR(__xludf.DUMMYFUNCTION("""COMPUTED_VALUE"""),"")</f>
        <v/>
      </c>
    </row>
    <row r="14449">
      <c r="A14449" s="16" t="s">
        <v>87</v>
      </c>
      <c r="E14449" s="16" t="str">
        <f>IFERROR(__xludf.DUMMYFUNCTION("""COMPUTED_VALUE"""),"")</f>
        <v/>
      </c>
      <c r="G14449" s="18"/>
      <c r="H14449" s="16" t="s">
        <v>87</v>
      </c>
      <c r="I14449" s="16" t="s">
        <v>87</v>
      </c>
      <c r="J14449" s="19"/>
      <c r="L14449" s="16" t="str">
        <f>IFERROR(__xludf.DUMMYFUNCTION("""COMPUTED_VALUE"""),"")</f>
        <v/>
      </c>
      <c r="M14449" s="16" t="str">
        <f>IFERROR(__xludf.DUMMYFUNCTION("""COMPUTED_VALUE"""),"")</f>
        <v/>
      </c>
      <c r="U14449" s="16" t="s">
        <v>87</v>
      </c>
      <c r="V14449" s="16" t="str">
        <f>IFERROR(__xludf.DUMMYFUNCTION("""COMPUTED_VALUE"""),"")</f>
        <v/>
      </c>
      <c r="W14449" s="16" t="str">
        <f>IFERROR(__xludf.DUMMYFUNCTION("""COMPUTED_VALUE"""),"")</f>
        <v/>
      </c>
      <c r="X14449" s="16" t="str">
        <f>IFERROR(__xludf.DUMMYFUNCTION("""COMPUTED_VALUE"""),"")</f>
        <v/>
      </c>
      <c r="AC14449" s="16" t="str">
        <f>IFERROR(__xludf.DUMMYFUNCTION("""COMPUTED_VALUE"""),"")</f>
        <v/>
      </c>
    </row>
    <row r="14450">
      <c r="A14450" s="16" t="s">
        <v>87</v>
      </c>
      <c r="E14450" s="16" t="str">
        <f>IFERROR(__xludf.DUMMYFUNCTION("""COMPUTED_VALUE"""),"")</f>
        <v/>
      </c>
      <c r="G14450" s="18"/>
      <c r="H14450" s="16" t="s">
        <v>87</v>
      </c>
      <c r="I14450" s="16" t="s">
        <v>87</v>
      </c>
      <c r="J14450" s="19"/>
      <c r="L14450" s="16" t="str">
        <f>IFERROR(__xludf.DUMMYFUNCTION("""COMPUTED_VALUE"""),"")</f>
        <v/>
      </c>
      <c r="M14450" s="16" t="str">
        <f>IFERROR(__xludf.DUMMYFUNCTION("""COMPUTED_VALUE"""),"")</f>
        <v/>
      </c>
      <c r="U14450" s="16" t="s">
        <v>87</v>
      </c>
      <c r="V14450" s="16" t="str">
        <f>IFERROR(__xludf.DUMMYFUNCTION("""COMPUTED_VALUE"""),"")</f>
        <v/>
      </c>
      <c r="W14450" s="16" t="str">
        <f>IFERROR(__xludf.DUMMYFUNCTION("""COMPUTED_VALUE"""),"")</f>
        <v/>
      </c>
      <c r="X14450" s="16" t="str">
        <f>IFERROR(__xludf.DUMMYFUNCTION("""COMPUTED_VALUE"""),"")</f>
        <v/>
      </c>
      <c r="AC14450" s="16" t="str">
        <f>IFERROR(__xludf.DUMMYFUNCTION("""COMPUTED_VALUE"""),"")</f>
        <v/>
      </c>
    </row>
    <row r="14451">
      <c r="A14451" s="16" t="s">
        <v>87</v>
      </c>
      <c r="E14451" s="16" t="str">
        <f>IFERROR(__xludf.DUMMYFUNCTION("""COMPUTED_VALUE"""),"")</f>
        <v/>
      </c>
      <c r="G14451" s="18"/>
      <c r="H14451" s="16" t="s">
        <v>87</v>
      </c>
      <c r="I14451" s="16" t="s">
        <v>87</v>
      </c>
      <c r="J14451" s="19"/>
      <c r="L14451" s="16" t="str">
        <f>IFERROR(__xludf.DUMMYFUNCTION("""COMPUTED_VALUE"""),"")</f>
        <v/>
      </c>
      <c r="M14451" s="16" t="str">
        <f>IFERROR(__xludf.DUMMYFUNCTION("""COMPUTED_VALUE"""),"")</f>
        <v/>
      </c>
      <c r="U14451" s="16" t="s">
        <v>87</v>
      </c>
      <c r="V14451" s="16" t="str">
        <f>IFERROR(__xludf.DUMMYFUNCTION("""COMPUTED_VALUE"""),"")</f>
        <v/>
      </c>
      <c r="W14451" s="16" t="str">
        <f>IFERROR(__xludf.DUMMYFUNCTION("""COMPUTED_VALUE"""),"")</f>
        <v/>
      </c>
      <c r="X14451" s="16" t="str">
        <f>IFERROR(__xludf.DUMMYFUNCTION("""COMPUTED_VALUE"""),"")</f>
        <v/>
      </c>
      <c r="AC14451" s="16" t="str">
        <f>IFERROR(__xludf.DUMMYFUNCTION("""COMPUTED_VALUE"""),"")</f>
        <v/>
      </c>
    </row>
    <row r="14452">
      <c r="A14452" s="16" t="s">
        <v>87</v>
      </c>
      <c r="E14452" s="16" t="str">
        <f>IFERROR(__xludf.DUMMYFUNCTION("""COMPUTED_VALUE"""),"")</f>
        <v/>
      </c>
      <c r="G14452" s="18"/>
      <c r="H14452" s="16" t="s">
        <v>87</v>
      </c>
      <c r="I14452" s="16" t="s">
        <v>87</v>
      </c>
      <c r="J14452" s="19"/>
      <c r="L14452" s="16" t="str">
        <f>IFERROR(__xludf.DUMMYFUNCTION("""COMPUTED_VALUE"""),"")</f>
        <v/>
      </c>
      <c r="M14452" s="16" t="str">
        <f>IFERROR(__xludf.DUMMYFUNCTION("""COMPUTED_VALUE"""),"")</f>
        <v/>
      </c>
      <c r="U14452" s="16" t="s">
        <v>87</v>
      </c>
      <c r="V14452" s="16" t="str">
        <f>IFERROR(__xludf.DUMMYFUNCTION("""COMPUTED_VALUE"""),"")</f>
        <v/>
      </c>
      <c r="W14452" s="16" t="str">
        <f>IFERROR(__xludf.DUMMYFUNCTION("""COMPUTED_VALUE"""),"")</f>
        <v/>
      </c>
      <c r="X14452" s="16" t="str">
        <f>IFERROR(__xludf.DUMMYFUNCTION("""COMPUTED_VALUE"""),"")</f>
        <v/>
      </c>
      <c r="AC14452" s="16" t="str">
        <f>IFERROR(__xludf.DUMMYFUNCTION("""COMPUTED_VALUE"""),"")</f>
        <v/>
      </c>
    </row>
    <row r="14453">
      <c r="A14453" s="16" t="s">
        <v>87</v>
      </c>
      <c r="E14453" s="16" t="str">
        <f>IFERROR(__xludf.DUMMYFUNCTION("""COMPUTED_VALUE"""),"")</f>
        <v/>
      </c>
      <c r="G14453" s="18"/>
      <c r="H14453" s="16" t="s">
        <v>87</v>
      </c>
      <c r="I14453" s="16" t="s">
        <v>87</v>
      </c>
      <c r="J14453" s="19"/>
      <c r="L14453" s="16" t="str">
        <f>IFERROR(__xludf.DUMMYFUNCTION("""COMPUTED_VALUE"""),"")</f>
        <v/>
      </c>
      <c r="M14453" s="16" t="str">
        <f>IFERROR(__xludf.DUMMYFUNCTION("""COMPUTED_VALUE"""),"")</f>
        <v/>
      </c>
      <c r="U14453" s="16" t="s">
        <v>87</v>
      </c>
      <c r="V14453" s="16" t="str">
        <f>IFERROR(__xludf.DUMMYFUNCTION("""COMPUTED_VALUE"""),"")</f>
        <v/>
      </c>
      <c r="W14453" s="16" t="str">
        <f>IFERROR(__xludf.DUMMYFUNCTION("""COMPUTED_VALUE"""),"")</f>
        <v/>
      </c>
      <c r="X14453" s="16" t="str">
        <f>IFERROR(__xludf.DUMMYFUNCTION("""COMPUTED_VALUE"""),"")</f>
        <v/>
      </c>
      <c r="AC14453" s="16" t="str">
        <f>IFERROR(__xludf.DUMMYFUNCTION("""COMPUTED_VALUE"""),"")</f>
        <v/>
      </c>
    </row>
    <row r="14454">
      <c r="A14454" s="16" t="s">
        <v>87</v>
      </c>
      <c r="E14454" s="16" t="str">
        <f>IFERROR(__xludf.DUMMYFUNCTION("""COMPUTED_VALUE"""),"")</f>
        <v/>
      </c>
      <c r="G14454" s="18"/>
      <c r="H14454" s="16" t="s">
        <v>87</v>
      </c>
      <c r="I14454" s="16" t="s">
        <v>87</v>
      </c>
      <c r="J14454" s="19"/>
      <c r="L14454" s="16" t="str">
        <f>IFERROR(__xludf.DUMMYFUNCTION("""COMPUTED_VALUE"""),"")</f>
        <v/>
      </c>
      <c r="M14454" s="16" t="str">
        <f>IFERROR(__xludf.DUMMYFUNCTION("""COMPUTED_VALUE"""),"")</f>
        <v/>
      </c>
      <c r="U14454" s="16" t="s">
        <v>87</v>
      </c>
      <c r="V14454" s="16" t="str">
        <f>IFERROR(__xludf.DUMMYFUNCTION("""COMPUTED_VALUE"""),"")</f>
        <v/>
      </c>
      <c r="W14454" s="16" t="str">
        <f>IFERROR(__xludf.DUMMYFUNCTION("""COMPUTED_VALUE"""),"")</f>
        <v/>
      </c>
      <c r="X14454" s="16" t="str">
        <f>IFERROR(__xludf.DUMMYFUNCTION("""COMPUTED_VALUE"""),"")</f>
        <v/>
      </c>
      <c r="AC14454" s="16" t="str">
        <f>IFERROR(__xludf.DUMMYFUNCTION("""COMPUTED_VALUE"""),"")</f>
        <v/>
      </c>
    </row>
    <row r="14455">
      <c r="A14455" s="16" t="s">
        <v>87</v>
      </c>
      <c r="E14455" s="16" t="str">
        <f>IFERROR(__xludf.DUMMYFUNCTION("""COMPUTED_VALUE"""),"")</f>
        <v/>
      </c>
      <c r="G14455" s="18"/>
      <c r="H14455" s="16" t="s">
        <v>87</v>
      </c>
      <c r="I14455" s="16" t="s">
        <v>87</v>
      </c>
      <c r="J14455" s="19"/>
      <c r="L14455" s="16" t="str">
        <f>IFERROR(__xludf.DUMMYFUNCTION("""COMPUTED_VALUE"""),"")</f>
        <v/>
      </c>
      <c r="M14455" s="16" t="str">
        <f>IFERROR(__xludf.DUMMYFUNCTION("""COMPUTED_VALUE"""),"")</f>
        <v/>
      </c>
      <c r="U14455" s="16" t="s">
        <v>87</v>
      </c>
      <c r="V14455" s="16" t="str">
        <f>IFERROR(__xludf.DUMMYFUNCTION("""COMPUTED_VALUE"""),"")</f>
        <v/>
      </c>
      <c r="W14455" s="16" t="str">
        <f>IFERROR(__xludf.DUMMYFUNCTION("""COMPUTED_VALUE"""),"")</f>
        <v/>
      </c>
      <c r="X14455" s="16" t="str">
        <f>IFERROR(__xludf.DUMMYFUNCTION("""COMPUTED_VALUE"""),"")</f>
        <v/>
      </c>
      <c r="AC14455" s="16" t="str">
        <f>IFERROR(__xludf.DUMMYFUNCTION("""COMPUTED_VALUE"""),"")</f>
        <v/>
      </c>
    </row>
    <row r="14456">
      <c r="A14456" s="16" t="s">
        <v>87</v>
      </c>
      <c r="E14456" s="16" t="str">
        <f>IFERROR(__xludf.DUMMYFUNCTION("""COMPUTED_VALUE"""),"")</f>
        <v/>
      </c>
      <c r="G14456" s="18"/>
      <c r="H14456" s="16" t="s">
        <v>87</v>
      </c>
      <c r="I14456" s="16" t="s">
        <v>87</v>
      </c>
      <c r="J14456" s="19"/>
      <c r="L14456" s="16" t="str">
        <f>IFERROR(__xludf.DUMMYFUNCTION("""COMPUTED_VALUE"""),"")</f>
        <v/>
      </c>
      <c r="M14456" s="16" t="str">
        <f>IFERROR(__xludf.DUMMYFUNCTION("""COMPUTED_VALUE"""),"")</f>
        <v/>
      </c>
      <c r="U14456" s="16" t="s">
        <v>87</v>
      </c>
      <c r="V14456" s="16" t="str">
        <f>IFERROR(__xludf.DUMMYFUNCTION("""COMPUTED_VALUE"""),"")</f>
        <v/>
      </c>
      <c r="W14456" s="16" t="str">
        <f>IFERROR(__xludf.DUMMYFUNCTION("""COMPUTED_VALUE"""),"")</f>
        <v/>
      </c>
      <c r="X14456" s="16" t="str">
        <f>IFERROR(__xludf.DUMMYFUNCTION("""COMPUTED_VALUE"""),"")</f>
        <v/>
      </c>
      <c r="AC14456" s="16" t="str">
        <f>IFERROR(__xludf.DUMMYFUNCTION("""COMPUTED_VALUE"""),"")</f>
        <v/>
      </c>
    </row>
    <row r="14457">
      <c r="A14457" s="16" t="s">
        <v>87</v>
      </c>
      <c r="E14457" s="16" t="str">
        <f>IFERROR(__xludf.DUMMYFUNCTION("""COMPUTED_VALUE"""),"")</f>
        <v/>
      </c>
      <c r="G14457" s="18"/>
      <c r="H14457" s="16" t="s">
        <v>87</v>
      </c>
      <c r="I14457" s="16" t="s">
        <v>87</v>
      </c>
      <c r="J14457" s="19"/>
      <c r="L14457" s="16" t="str">
        <f>IFERROR(__xludf.DUMMYFUNCTION("""COMPUTED_VALUE"""),"")</f>
        <v/>
      </c>
      <c r="M14457" s="16" t="str">
        <f>IFERROR(__xludf.DUMMYFUNCTION("""COMPUTED_VALUE"""),"")</f>
        <v/>
      </c>
      <c r="U14457" s="16" t="s">
        <v>87</v>
      </c>
      <c r="V14457" s="16" t="str">
        <f>IFERROR(__xludf.DUMMYFUNCTION("""COMPUTED_VALUE"""),"")</f>
        <v/>
      </c>
      <c r="W14457" s="16" t="str">
        <f>IFERROR(__xludf.DUMMYFUNCTION("""COMPUTED_VALUE"""),"")</f>
        <v/>
      </c>
      <c r="X14457" s="16" t="str">
        <f>IFERROR(__xludf.DUMMYFUNCTION("""COMPUTED_VALUE"""),"")</f>
        <v/>
      </c>
      <c r="AC14457" s="16" t="str">
        <f>IFERROR(__xludf.DUMMYFUNCTION("""COMPUTED_VALUE"""),"")</f>
        <v/>
      </c>
    </row>
    <row r="14458">
      <c r="A14458" s="16" t="s">
        <v>87</v>
      </c>
      <c r="E14458" s="16" t="str">
        <f>IFERROR(__xludf.DUMMYFUNCTION("""COMPUTED_VALUE"""),"")</f>
        <v/>
      </c>
      <c r="G14458" s="18"/>
      <c r="H14458" s="16" t="s">
        <v>87</v>
      </c>
      <c r="I14458" s="16" t="s">
        <v>87</v>
      </c>
      <c r="J14458" s="19"/>
      <c r="L14458" s="16" t="str">
        <f>IFERROR(__xludf.DUMMYFUNCTION("""COMPUTED_VALUE"""),"")</f>
        <v/>
      </c>
      <c r="M14458" s="16" t="str">
        <f>IFERROR(__xludf.DUMMYFUNCTION("""COMPUTED_VALUE"""),"")</f>
        <v/>
      </c>
      <c r="U14458" s="16" t="s">
        <v>87</v>
      </c>
      <c r="V14458" s="16" t="str">
        <f>IFERROR(__xludf.DUMMYFUNCTION("""COMPUTED_VALUE"""),"")</f>
        <v/>
      </c>
      <c r="W14458" s="16" t="str">
        <f>IFERROR(__xludf.DUMMYFUNCTION("""COMPUTED_VALUE"""),"")</f>
        <v/>
      </c>
      <c r="X14458" s="16" t="str">
        <f>IFERROR(__xludf.DUMMYFUNCTION("""COMPUTED_VALUE"""),"")</f>
        <v/>
      </c>
      <c r="AC14458" s="16" t="str">
        <f>IFERROR(__xludf.DUMMYFUNCTION("""COMPUTED_VALUE"""),"")</f>
        <v/>
      </c>
    </row>
    <row r="14459">
      <c r="A14459" s="16" t="s">
        <v>87</v>
      </c>
      <c r="E14459" s="16" t="str">
        <f>IFERROR(__xludf.DUMMYFUNCTION("""COMPUTED_VALUE"""),"")</f>
        <v/>
      </c>
      <c r="G14459" s="18"/>
      <c r="H14459" s="16" t="s">
        <v>87</v>
      </c>
      <c r="I14459" s="16" t="s">
        <v>87</v>
      </c>
      <c r="J14459" s="19"/>
      <c r="L14459" s="16" t="str">
        <f>IFERROR(__xludf.DUMMYFUNCTION("""COMPUTED_VALUE"""),"")</f>
        <v/>
      </c>
      <c r="M14459" s="16" t="str">
        <f>IFERROR(__xludf.DUMMYFUNCTION("""COMPUTED_VALUE"""),"")</f>
        <v/>
      </c>
      <c r="U14459" s="16" t="s">
        <v>87</v>
      </c>
      <c r="V14459" s="16" t="str">
        <f>IFERROR(__xludf.DUMMYFUNCTION("""COMPUTED_VALUE"""),"")</f>
        <v/>
      </c>
      <c r="W14459" s="16" t="str">
        <f>IFERROR(__xludf.DUMMYFUNCTION("""COMPUTED_VALUE"""),"")</f>
        <v/>
      </c>
      <c r="X14459" s="16" t="str">
        <f>IFERROR(__xludf.DUMMYFUNCTION("""COMPUTED_VALUE"""),"")</f>
        <v/>
      </c>
      <c r="AC14459" s="16" t="str">
        <f>IFERROR(__xludf.DUMMYFUNCTION("""COMPUTED_VALUE"""),"")</f>
        <v/>
      </c>
    </row>
    <row r="14460">
      <c r="A14460" s="16" t="s">
        <v>87</v>
      </c>
      <c r="E14460" s="16" t="str">
        <f>IFERROR(__xludf.DUMMYFUNCTION("""COMPUTED_VALUE"""),"")</f>
        <v/>
      </c>
      <c r="G14460" s="18"/>
      <c r="H14460" s="16" t="s">
        <v>87</v>
      </c>
      <c r="I14460" s="16" t="s">
        <v>87</v>
      </c>
      <c r="J14460" s="19"/>
      <c r="L14460" s="16" t="str">
        <f>IFERROR(__xludf.DUMMYFUNCTION("""COMPUTED_VALUE"""),"")</f>
        <v/>
      </c>
      <c r="M14460" s="16" t="str">
        <f>IFERROR(__xludf.DUMMYFUNCTION("""COMPUTED_VALUE"""),"")</f>
        <v/>
      </c>
      <c r="U14460" s="16" t="s">
        <v>87</v>
      </c>
      <c r="V14460" s="16" t="str">
        <f>IFERROR(__xludf.DUMMYFUNCTION("""COMPUTED_VALUE"""),"")</f>
        <v/>
      </c>
      <c r="W14460" s="16" t="str">
        <f>IFERROR(__xludf.DUMMYFUNCTION("""COMPUTED_VALUE"""),"")</f>
        <v/>
      </c>
      <c r="X14460" s="16" t="str">
        <f>IFERROR(__xludf.DUMMYFUNCTION("""COMPUTED_VALUE"""),"")</f>
        <v/>
      </c>
      <c r="AC14460" s="16" t="str">
        <f>IFERROR(__xludf.DUMMYFUNCTION("""COMPUTED_VALUE"""),"")</f>
        <v/>
      </c>
    </row>
    <row r="14461">
      <c r="A14461" s="16" t="s">
        <v>87</v>
      </c>
      <c r="E14461" s="16" t="str">
        <f>IFERROR(__xludf.DUMMYFUNCTION("""COMPUTED_VALUE"""),"")</f>
        <v/>
      </c>
      <c r="G14461" s="18"/>
      <c r="H14461" s="16" t="s">
        <v>87</v>
      </c>
      <c r="I14461" s="16" t="s">
        <v>87</v>
      </c>
      <c r="J14461" s="19"/>
      <c r="L14461" s="16" t="str">
        <f>IFERROR(__xludf.DUMMYFUNCTION("""COMPUTED_VALUE"""),"")</f>
        <v/>
      </c>
      <c r="M14461" s="16" t="str">
        <f>IFERROR(__xludf.DUMMYFUNCTION("""COMPUTED_VALUE"""),"")</f>
        <v/>
      </c>
      <c r="U14461" s="16" t="s">
        <v>87</v>
      </c>
      <c r="V14461" s="16" t="str">
        <f>IFERROR(__xludf.DUMMYFUNCTION("""COMPUTED_VALUE"""),"")</f>
        <v/>
      </c>
      <c r="W14461" s="16" t="str">
        <f>IFERROR(__xludf.DUMMYFUNCTION("""COMPUTED_VALUE"""),"")</f>
        <v/>
      </c>
      <c r="X14461" s="16" t="str">
        <f>IFERROR(__xludf.DUMMYFUNCTION("""COMPUTED_VALUE"""),"")</f>
        <v/>
      </c>
      <c r="AC14461" s="16" t="str">
        <f>IFERROR(__xludf.DUMMYFUNCTION("""COMPUTED_VALUE"""),"")</f>
        <v/>
      </c>
    </row>
    <row r="14462">
      <c r="A14462" s="16" t="s">
        <v>87</v>
      </c>
      <c r="E14462" s="16" t="str">
        <f>IFERROR(__xludf.DUMMYFUNCTION("""COMPUTED_VALUE"""),"")</f>
        <v/>
      </c>
      <c r="G14462" s="18"/>
      <c r="H14462" s="16" t="s">
        <v>87</v>
      </c>
      <c r="I14462" s="16" t="s">
        <v>87</v>
      </c>
      <c r="J14462" s="19"/>
      <c r="L14462" s="16" t="str">
        <f>IFERROR(__xludf.DUMMYFUNCTION("""COMPUTED_VALUE"""),"")</f>
        <v/>
      </c>
      <c r="M14462" s="16" t="str">
        <f>IFERROR(__xludf.DUMMYFUNCTION("""COMPUTED_VALUE"""),"")</f>
        <v/>
      </c>
      <c r="U14462" s="16" t="s">
        <v>87</v>
      </c>
      <c r="V14462" s="16" t="str">
        <f>IFERROR(__xludf.DUMMYFUNCTION("""COMPUTED_VALUE"""),"")</f>
        <v/>
      </c>
      <c r="W14462" s="16" t="str">
        <f>IFERROR(__xludf.DUMMYFUNCTION("""COMPUTED_VALUE"""),"")</f>
        <v/>
      </c>
      <c r="X14462" s="16" t="str">
        <f>IFERROR(__xludf.DUMMYFUNCTION("""COMPUTED_VALUE"""),"")</f>
        <v/>
      </c>
      <c r="AC14462" s="16" t="str">
        <f>IFERROR(__xludf.DUMMYFUNCTION("""COMPUTED_VALUE"""),"")</f>
        <v/>
      </c>
    </row>
    <row r="14463">
      <c r="A14463" s="16" t="s">
        <v>87</v>
      </c>
      <c r="E14463" s="16" t="str">
        <f>IFERROR(__xludf.DUMMYFUNCTION("""COMPUTED_VALUE"""),"")</f>
        <v/>
      </c>
      <c r="G14463" s="18"/>
      <c r="H14463" s="16" t="s">
        <v>87</v>
      </c>
      <c r="I14463" s="16" t="s">
        <v>87</v>
      </c>
      <c r="J14463" s="19"/>
      <c r="L14463" s="16" t="str">
        <f>IFERROR(__xludf.DUMMYFUNCTION("""COMPUTED_VALUE"""),"")</f>
        <v/>
      </c>
      <c r="M14463" s="16" t="str">
        <f>IFERROR(__xludf.DUMMYFUNCTION("""COMPUTED_VALUE"""),"")</f>
        <v/>
      </c>
      <c r="U14463" s="16" t="s">
        <v>87</v>
      </c>
      <c r="V14463" s="16" t="str">
        <f>IFERROR(__xludf.DUMMYFUNCTION("""COMPUTED_VALUE"""),"")</f>
        <v/>
      </c>
      <c r="W14463" s="16" t="str">
        <f>IFERROR(__xludf.DUMMYFUNCTION("""COMPUTED_VALUE"""),"")</f>
        <v/>
      </c>
      <c r="X14463" s="16" t="str">
        <f>IFERROR(__xludf.DUMMYFUNCTION("""COMPUTED_VALUE"""),"")</f>
        <v/>
      </c>
      <c r="AC14463" s="16" t="str">
        <f>IFERROR(__xludf.DUMMYFUNCTION("""COMPUTED_VALUE"""),"")</f>
        <v/>
      </c>
    </row>
    <row r="14464">
      <c r="A14464" s="16" t="s">
        <v>87</v>
      </c>
      <c r="E14464" s="16" t="str">
        <f>IFERROR(__xludf.DUMMYFUNCTION("""COMPUTED_VALUE"""),"")</f>
        <v/>
      </c>
      <c r="G14464" s="18"/>
      <c r="H14464" s="16" t="s">
        <v>87</v>
      </c>
      <c r="I14464" s="16" t="s">
        <v>87</v>
      </c>
      <c r="J14464" s="19"/>
      <c r="L14464" s="16" t="str">
        <f>IFERROR(__xludf.DUMMYFUNCTION("""COMPUTED_VALUE"""),"")</f>
        <v/>
      </c>
      <c r="M14464" s="16" t="str">
        <f>IFERROR(__xludf.DUMMYFUNCTION("""COMPUTED_VALUE"""),"")</f>
        <v/>
      </c>
      <c r="U14464" s="16" t="s">
        <v>87</v>
      </c>
      <c r="V14464" s="16" t="str">
        <f>IFERROR(__xludf.DUMMYFUNCTION("""COMPUTED_VALUE"""),"")</f>
        <v/>
      </c>
      <c r="W14464" s="16" t="str">
        <f>IFERROR(__xludf.DUMMYFUNCTION("""COMPUTED_VALUE"""),"")</f>
        <v/>
      </c>
      <c r="X14464" s="16" t="str">
        <f>IFERROR(__xludf.DUMMYFUNCTION("""COMPUTED_VALUE"""),"")</f>
        <v/>
      </c>
      <c r="AC14464" s="16" t="str">
        <f>IFERROR(__xludf.DUMMYFUNCTION("""COMPUTED_VALUE"""),"")</f>
        <v/>
      </c>
    </row>
    <row r="14465">
      <c r="A14465" s="16" t="s">
        <v>87</v>
      </c>
      <c r="E14465" s="16" t="str">
        <f>IFERROR(__xludf.DUMMYFUNCTION("""COMPUTED_VALUE"""),"")</f>
        <v/>
      </c>
      <c r="G14465" s="18"/>
      <c r="H14465" s="16" t="s">
        <v>87</v>
      </c>
      <c r="I14465" s="16" t="s">
        <v>87</v>
      </c>
      <c r="J14465" s="19"/>
      <c r="L14465" s="16" t="str">
        <f>IFERROR(__xludf.DUMMYFUNCTION("""COMPUTED_VALUE"""),"")</f>
        <v/>
      </c>
      <c r="M14465" s="16" t="str">
        <f>IFERROR(__xludf.DUMMYFUNCTION("""COMPUTED_VALUE"""),"")</f>
        <v/>
      </c>
      <c r="U14465" s="16" t="s">
        <v>87</v>
      </c>
      <c r="V14465" s="16" t="str">
        <f>IFERROR(__xludf.DUMMYFUNCTION("""COMPUTED_VALUE"""),"")</f>
        <v/>
      </c>
      <c r="W14465" s="16" t="str">
        <f>IFERROR(__xludf.DUMMYFUNCTION("""COMPUTED_VALUE"""),"")</f>
        <v/>
      </c>
      <c r="X14465" s="16" t="str">
        <f>IFERROR(__xludf.DUMMYFUNCTION("""COMPUTED_VALUE"""),"")</f>
        <v/>
      </c>
      <c r="AC14465" s="16" t="str">
        <f>IFERROR(__xludf.DUMMYFUNCTION("""COMPUTED_VALUE"""),"")</f>
        <v/>
      </c>
    </row>
    <row r="14466">
      <c r="A14466" s="16" t="s">
        <v>87</v>
      </c>
      <c r="E14466" s="16" t="str">
        <f>IFERROR(__xludf.DUMMYFUNCTION("""COMPUTED_VALUE"""),"")</f>
        <v/>
      </c>
      <c r="G14466" s="18"/>
      <c r="H14466" s="16" t="s">
        <v>87</v>
      </c>
      <c r="I14466" s="16" t="s">
        <v>87</v>
      </c>
      <c r="J14466" s="19"/>
      <c r="L14466" s="16" t="str">
        <f>IFERROR(__xludf.DUMMYFUNCTION("""COMPUTED_VALUE"""),"")</f>
        <v/>
      </c>
      <c r="M14466" s="16" t="str">
        <f>IFERROR(__xludf.DUMMYFUNCTION("""COMPUTED_VALUE"""),"")</f>
        <v/>
      </c>
      <c r="U14466" s="16" t="s">
        <v>87</v>
      </c>
      <c r="V14466" s="16" t="str">
        <f>IFERROR(__xludf.DUMMYFUNCTION("""COMPUTED_VALUE"""),"")</f>
        <v/>
      </c>
      <c r="W14466" s="16" t="str">
        <f>IFERROR(__xludf.DUMMYFUNCTION("""COMPUTED_VALUE"""),"")</f>
        <v/>
      </c>
      <c r="X14466" s="16" t="str">
        <f>IFERROR(__xludf.DUMMYFUNCTION("""COMPUTED_VALUE"""),"")</f>
        <v/>
      </c>
      <c r="AC14466" s="16" t="str">
        <f>IFERROR(__xludf.DUMMYFUNCTION("""COMPUTED_VALUE"""),"")</f>
        <v/>
      </c>
    </row>
    <row r="14467">
      <c r="A14467" s="16" t="s">
        <v>87</v>
      </c>
      <c r="E14467" s="16" t="str">
        <f>IFERROR(__xludf.DUMMYFUNCTION("""COMPUTED_VALUE"""),"")</f>
        <v/>
      </c>
      <c r="G14467" s="18"/>
      <c r="H14467" s="16" t="s">
        <v>87</v>
      </c>
      <c r="I14467" s="16" t="s">
        <v>87</v>
      </c>
      <c r="J14467" s="19"/>
      <c r="L14467" s="16" t="str">
        <f>IFERROR(__xludf.DUMMYFUNCTION("""COMPUTED_VALUE"""),"")</f>
        <v/>
      </c>
      <c r="M14467" s="16" t="str">
        <f>IFERROR(__xludf.DUMMYFUNCTION("""COMPUTED_VALUE"""),"")</f>
        <v/>
      </c>
      <c r="U14467" s="16" t="s">
        <v>87</v>
      </c>
      <c r="V14467" s="16" t="str">
        <f>IFERROR(__xludf.DUMMYFUNCTION("""COMPUTED_VALUE"""),"")</f>
        <v/>
      </c>
      <c r="W14467" s="16" t="str">
        <f>IFERROR(__xludf.DUMMYFUNCTION("""COMPUTED_VALUE"""),"")</f>
        <v/>
      </c>
      <c r="X14467" s="16" t="str">
        <f>IFERROR(__xludf.DUMMYFUNCTION("""COMPUTED_VALUE"""),"")</f>
        <v/>
      </c>
      <c r="AC14467" s="16" t="str">
        <f>IFERROR(__xludf.DUMMYFUNCTION("""COMPUTED_VALUE"""),"")</f>
        <v/>
      </c>
    </row>
    <row r="14468">
      <c r="A14468" s="16" t="s">
        <v>87</v>
      </c>
      <c r="E14468" s="16" t="str">
        <f>IFERROR(__xludf.DUMMYFUNCTION("""COMPUTED_VALUE"""),"")</f>
        <v/>
      </c>
      <c r="G14468" s="18"/>
      <c r="H14468" s="16" t="s">
        <v>87</v>
      </c>
      <c r="I14468" s="16" t="s">
        <v>87</v>
      </c>
      <c r="J14468" s="19"/>
      <c r="L14468" s="16" t="str">
        <f>IFERROR(__xludf.DUMMYFUNCTION("""COMPUTED_VALUE"""),"")</f>
        <v/>
      </c>
      <c r="M14468" s="16" t="str">
        <f>IFERROR(__xludf.DUMMYFUNCTION("""COMPUTED_VALUE"""),"")</f>
        <v/>
      </c>
      <c r="U14468" s="16" t="s">
        <v>87</v>
      </c>
      <c r="V14468" s="16" t="str">
        <f>IFERROR(__xludf.DUMMYFUNCTION("""COMPUTED_VALUE"""),"")</f>
        <v/>
      </c>
      <c r="W14468" s="16" t="str">
        <f>IFERROR(__xludf.DUMMYFUNCTION("""COMPUTED_VALUE"""),"")</f>
        <v/>
      </c>
      <c r="X14468" s="16" t="str">
        <f>IFERROR(__xludf.DUMMYFUNCTION("""COMPUTED_VALUE"""),"")</f>
        <v/>
      </c>
      <c r="AC14468" s="16" t="str">
        <f>IFERROR(__xludf.DUMMYFUNCTION("""COMPUTED_VALUE"""),"")</f>
        <v/>
      </c>
    </row>
    <row r="14469">
      <c r="A14469" s="16" t="s">
        <v>87</v>
      </c>
      <c r="E14469" s="16" t="str">
        <f>IFERROR(__xludf.DUMMYFUNCTION("""COMPUTED_VALUE"""),"")</f>
        <v/>
      </c>
      <c r="G14469" s="18"/>
      <c r="H14469" s="16" t="s">
        <v>87</v>
      </c>
      <c r="I14469" s="16" t="s">
        <v>87</v>
      </c>
      <c r="J14469" s="19"/>
      <c r="L14469" s="16" t="str">
        <f>IFERROR(__xludf.DUMMYFUNCTION("""COMPUTED_VALUE"""),"")</f>
        <v/>
      </c>
      <c r="M14469" s="16" t="str">
        <f>IFERROR(__xludf.DUMMYFUNCTION("""COMPUTED_VALUE"""),"")</f>
        <v/>
      </c>
      <c r="U14469" s="16" t="s">
        <v>87</v>
      </c>
      <c r="V14469" s="16" t="str">
        <f>IFERROR(__xludf.DUMMYFUNCTION("""COMPUTED_VALUE"""),"")</f>
        <v/>
      </c>
      <c r="W14469" s="16" t="str">
        <f>IFERROR(__xludf.DUMMYFUNCTION("""COMPUTED_VALUE"""),"")</f>
        <v/>
      </c>
      <c r="X14469" s="16" t="str">
        <f>IFERROR(__xludf.DUMMYFUNCTION("""COMPUTED_VALUE"""),"")</f>
        <v/>
      </c>
      <c r="AC14469" s="16" t="str">
        <f>IFERROR(__xludf.DUMMYFUNCTION("""COMPUTED_VALUE"""),"")</f>
        <v/>
      </c>
    </row>
    <row r="14470">
      <c r="A14470" s="16" t="s">
        <v>87</v>
      </c>
      <c r="E14470" s="16" t="str">
        <f>IFERROR(__xludf.DUMMYFUNCTION("""COMPUTED_VALUE"""),"")</f>
        <v/>
      </c>
      <c r="G14470" s="18"/>
      <c r="H14470" s="16" t="s">
        <v>87</v>
      </c>
      <c r="I14470" s="16" t="s">
        <v>87</v>
      </c>
      <c r="J14470" s="19"/>
      <c r="L14470" s="16" t="str">
        <f>IFERROR(__xludf.DUMMYFUNCTION("""COMPUTED_VALUE"""),"")</f>
        <v/>
      </c>
      <c r="M14470" s="16" t="str">
        <f>IFERROR(__xludf.DUMMYFUNCTION("""COMPUTED_VALUE"""),"")</f>
        <v/>
      </c>
      <c r="U14470" s="16" t="s">
        <v>87</v>
      </c>
      <c r="V14470" s="16" t="str">
        <f>IFERROR(__xludf.DUMMYFUNCTION("""COMPUTED_VALUE"""),"")</f>
        <v/>
      </c>
      <c r="W14470" s="16" t="str">
        <f>IFERROR(__xludf.DUMMYFUNCTION("""COMPUTED_VALUE"""),"")</f>
        <v/>
      </c>
      <c r="X14470" s="16" t="str">
        <f>IFERROR(__xludf.DUMMYFUNCTION("""COMPUTED_VALUE"""),"")</f>
        <v/>
      </c>
      <c r="AC14470" s="16" t="str">
        <f>IFERROR(__xludf.DUMMYFUNCTION("""COMPUTED_VALUE"""),"")</f>
        <v/>
      </c>
    </row>
    <row r="14471">
      <c r="A14471" s="16" t="s">
        <v>87</v>
      </c>
      <c r="E14471" s="16" t="str">
        <f>IFERROR(__xludf.DUMMYFUNCTION("""COMPUTED_VALUE"""),"")</f>
        <v/>
      </c>
      <c r="G14471" s="18"/>
      <c r="H14471" s="16" t="s">
        <v>87</v>
      </c>
      <c r="I14471" s="16" t="s">
        <v>87</v>
      </c>
      <c r="J14471" s="19"/>
      <c r="L14471" s="16" t="str">
        <f>IFERROR(__xludf.DUMMYFUNCTION("""COMPUTED_VALUE"""),"")</f>
        <v/>
      </c>
      <c r="M14471" s="16" t="str">
        <f>IFERROR(__xludf.DUMMYFUNCTION("""COMPUTED_VALUE"""),"")</f>
        <v/>
      </c>
      <c r="U14471" s="16" t="s">
        <v>87</v>
      </c>
      <c r="V14471" s="16" t="str">
        <f>IFERROR(__xludf.DUMMYFUNCTION("""COMPUTED_VALUE"""),"")</f>
        <v/>
      </c>
      <c r="W14471" s="16" t="str">
        <f>IFERROR(__xludf.DUMMYFUNCTION("""COMPUTED_VALUE"""),"")</f>
        <v/>
      </c>
      <c r="X14471" s="16" t="str">
        <f>IFERROR(__xludf.DUMMYFUNCTION("""COMPUTED_VALUE"""),"")</f>
        <v/>
      </c>
      <c r="AC14471" s="16" t="str">
        <f>IFERROR(__xludf.DUMMYFUNCTION("""COMPUTED_VALUE"""),"")</f>
        <v/>
      </c>
    </row>
    <row r="14472">
      <c r="A14472" s="16" t="s">
        <v>87</v>
      </c>
      <c r="E14472" s="16" t="str">
        <f>IFERROR(__xludf.DUMMYFUNCTION("""COMPUTED_VALUE"""),"")</f>
        <v/>
      </c>
      <c r="G14472" s="18"/>
      <c r="H14472" s="16" t="s">
        <v>87</v>
      </c>
      <c r="I14472" s="16" t="s">
        <v>87</v>
      </c>
      <c r="J14472" s="19"/>
      <c r="L14472" s="16" t="str">
        <f>IFERROR(__xludf.DUMMYFUNCTION("""COMPUTED_VALUE"""),"")</f>
        <v/>
      </c>
      <c r="M14472" s="16" t="str">
        <f>IFERROR(__xludf.DUMMYFUNCTION("""COMPUTED_VALUE"""),"")</f>
        <v/>
      </c>
      <c r="U14472" s="16" t="s">
        <v>87</v>
      </c>
      <c r="V14472" s="16" t="str">
        <f>IFERROR(__xludf.DUMMYFUNCTION("""COMPUTED_VALUE"""),"")</f>
        <v/>
      </c>
      <c r="W14472" s="16" t="str">
        <f>IFERROR(__xludf.DUMMYFUNCTION("""COMPUTED_VALUE"""),"")</f>
        <v/>
      </c>
      <c r="X14472" s="16" t="str">
        <f>IFERROR(__xludf.DUMMYFUNCTION("""COMPUTED_VALUE"""),"")</f>
        <v/>
      </c>
      <c r="AC14472" s="16" t="str">
        <f>IFERROR(__xludf.DUMMYFUNCTION("""COMPUTED_VALUE"""),"")</f>
        <v/>
      </c>
    </row>
    <row r="14473">
      <c r="A14473" s="16" t="s">
        <v>87</v>
      </c>
      <c r="E14473" s="16" t="str">
        <f>IFERROR(__xludf.DUMMYFUNCTION("""COMPUTED_VALUE"""),"")</f>
        <v/>
      </c>
      <c r="G14473" s="18"/>
      <c r="H14473" s="16" t="s">
        <v>87</v>
      </c>
      <c r="I14473" s="16" t="s">
        <v>87</v>
      </c>
      <c r="J14473" s="19"/>
      <c r="L14473" s="16" t="str">
        <f>IFERROR(__xludf.DUMMYFUNCTION("""COMPUTED_VALUE"""),"")</f>
        <v/>
      </c>
      <c r="M14473" s="16" t="str">
        <f>IFERROR(__xludf.DUMMYFUNCTION("""COMPUTED_VALUE"""),"")</f>
        <v/>
      </c>
      <c r="U14473" s="16" t="s">
        <v>87</v>
      </c>
      <c r="V14473" s="16" t="str">
        <f>IFERROR(__xludf.DUMMYFUNCTION("""COMPUTED_VALUE"""),"")</f>
        <v/>
      </c>
      <c r="W14473" s="16" t="str">
        <f>IFERROR(__xludf.DUMMYFUNCTION("""COMPUTED_VALUE"""),"")</f>
        <v/>
      </c>
      <c r="X14473" s="16" t="str">
        <f>IFERROR(__xludf.DUMMYFUNCTION("""COMPUTED_VALUE"""),"")</f>
        <v/>
      </c>
      <c r="AC14473" s="16" t="str">
        <f>IFERROR(__xludf.DUMMYFUNCTION("""COMPUTED_VALUE"""),"")</f>
        <v/>
      </c>
    </row>
    <row r="14474">
      <c r="A14474" s="16" t="s">
        <v>87</v>
      </c>
      <c r="E14474" s="16" t="str">
        <f>IFERROR(__xludf.DUMMYFUNCTION("""COMPUTED_VALUE"""),"")</f>
        <v/>
      </c>
      <c r="G14474" s="18"/>
      <c r="H14474" s="16" t="s">
        <v>87</v>
      </c>
      <c r="I14474" s="16" t="s">
        <v>87</v>
      </c>
      <c r="J14474" s="19"/>
      <c r="L14474" s="16" t="str">
        <f>IFERROR(__xludf.DUMMYFUNCTION("""COMPUTED_VALUE"""),"")</f>
        <v/>
      </c>
      <c r="M14474" s="16" t="str">
        <f>IFERROR(__xludf.DUMMYFUNCTION("""COMPUTED_VALUE"""),"")</f>
        <v/>
      </c>
      <c r="U14474" s="16" t="s">
        <v>87</v>
      </c>
      <c r="V14474" s="16" t="str">
        <f>IFERROR(__xludf.DUMMYFUNCTION("""COMPUTED_VALUE"""),"")</f>
        <v/>
      </c>
      <c r="W14474" s="16" t="str">
        <f>IFERROR(__xludf.DUMMYFUNCTION("""COMPUTED_VALUE"""),"")</f>
        <v/>
      </c>
      <c r="X14474" s="16" t="str">
        <f>IFERROR(__xludf.DUMMYFUNCTION("""COMPUTED_VALUE"""),"")</f>
        <v/>
      </c>
      <c r="AC14474" s="16" t="str">
        <f>IFERROR(__xludf.DUMMYFUNCTION("""COMPUTED_VALUE"""),"")</f>
        <v/>
      </c>
    </row>
    <row r="14475">
      <c r="A14475" s="16" t="s">
        <v>87</v>
      </c>
      <c r="E14475" s="16" t="str">
        <f>IFERROR(__xludf.DUMMYFUNCTION("""COMPUTED_VALUE"""),"")</f>
        <v/>
      </c>
      <c r="G14475" s="18"/>
      <c r="H14475" s="16" t="s">
        <v>87</v>
      </c>
      <c r="I14475" s="16" t="s">
        <v>87</v>
      </c>
      <c r="J14475" s="19"/>
      <c r="L14475" s="16" t="str">
        <f>IFERROR(__xludf.DUMMYFUNCTION("""COMPUTED_VALUE"""),"")</f>
        <v/>
      </c>
      <c r="M14475" s="16" t="str">
        <f>IFERROR(__xludf.DUMMYFUNCTION("""COMPUTED_VALUE"""),"")</f>
        <v/>
      </c>
      <c r="U14475" s="16" t="s">
        <v>87</v>
      </c>
      <c r="V14475" s="16" t="str">
        <f>IFERROR(__xludf.DUMMYFUNCTION("""COMPUTED_VALUE"""),"")</f>
        <v/>
      </c>
      <c r="W14475" s="16" t="str">
        <f>IFERROR(__xludf.DUMMYFUNCTION("""COMPUTED_VALUE"""),"")</f>
        <v/>
      </c>
      <c r="X14475" s="16" t="str">
        <f>IFERROR(__xludf.DUMMYFUNCTION("""COMPUTED_VALUE"""),"")</f>
        <v/>
      </c>
      <c r="AC14475" s="16" t="str">
        <f>IFERROR(__xludf.DUMMYFUNCTION("""COMPUTED_VALUE"""),"")</f>
        <v/>
      </c>
    </row>
    <row r="14476">
      <c r="A14476" s="16" t="s">
        <v>87</v>
      </c>
      <c r="E14476" s="16" t="str">
        <f>IFERROR(__xludf.DUMMYFUNCTION("""COMPUTED_VALUE"""),"")</f>
        <v/>
      </c>
      <c r="G14476" s="18"/>
      <c r="H14476" s="16" t="s">
        <v>87</v>
      </c>
      <c r="I14476" s="16" t="s">
        <v>87</v>
      </c>
      <c r="J14476" s="19"/>
      <c r="L14476" s="16" t="str">
        <f>IFERROR(__xludf.DUMMYFUNCTION("""COMPUTED_VALUE"""),"")</f>
        <v/>
      </c>
      <c r="M14476" s="16" t="str">
        <f>IFERROR(__xludf.DUMMYFUNCTION("""COMPUTED_VALUE"""),"")</f>
        <v/>
      </c>
      <c r="U14476" s="16" t="s">
        <v>87</v>
      </c>
      <c r="V14476" s="16" t="str">
        <f>IFERROR(__xludf.DUMMYFUNCTION("""COMPUTED_VALUE"""),"")</f>
        <v/>
      </c>
      <c r="W14476" s="16" t="str">
        <f>IFERROR(__xludf.DUMMYFUNCTION("""COMPUTED_VALUE"""),"")</f>
        <v/>
      </c>
      <c r="X14476" s="16" t="str">
        <f>IFERROR(__xludf.DUMMYFUNCTION("""COMPUTED_VALUE"""),"")</f>
        <v/>
      </c>
      <c r="AC14476" s="16" t="str">
        <f>IFERROR(__xludf.DUMMYFUNCTION("""COMPUTED_VALUE"""),"")</f>
        <v/>
      </c>
    </row>
    <row r="14477">
      <c r="A14477" s="16" t="s">
        <v>87</v>
      </c>
      <c r="E14477" s="16" t="str">
        <f>IFERROR(__xludf.DUMMYFUNCTION("""COMPUTED_VALUE"""),"")</f>
        <v/>
      </c>
      <c r="G14477" s="18"/>
      <c r="H14477" s="16" t="s">
        <v>87</v>
      </c>
      <c r="I14477" s="16" t="s">
        <v>87</v>
      </c>
      <c r="J14477" s="19"/>
      <c r="L14477" s="16" t="str">
        <f>IFERROR(__xludf.DUMMYFUNCTION("""COMPUTED_VALUE"""),"")</f>
        <v/>
      </c>
      <c r="M14477" s="16" t="str">
        <f>IFERROR(__xludf.DUMMYFUNCTION("""COMPUTED_VALUE"""),"")</f>
        <v/>
      </c>
      <c r="U14477" s="16" t="s">
        <v>87</v>
      </c>
      <c r="V14477" s="16" t="str">
        <f>IFERROR(__xludf.DUMMYFUNCTION("""COMPUTED_VALUE"""),"")</f>
        <v/>
      </c>
      <c r="W14477" s="16" t="str">
        <f>IFERROR(__xludf.DUMMYFUNCTION("""COMPUTED_VALUE"""),"")</f>
        <v/>
      </c>
      <c r="X14477" s="16" t="str">
        <f>IFERROR(__xludf.DUMMYFUNCTION("""COMPUTED_VALUE"""),"")</f>
        <v/>
      </c>
      <c r="AC14477" s="16" t="str">
        <f>IFERROR(__xludf.DUMMYFUNCTION("""COMPUTED_VALUE"""),"")</f>
        <v/>
      </c>
    </row>
    <row r="14478">
      <c r="A14478" s="16" t="s">
        <v>87</v>
      </c>
      <c r="E14478" s="16" t="str">
        <f>IFERROR(__xludf.DUMMYFUNCTION("""COMPUTED_VALUE"""),"")</f>
        <v/>
      </c>
      <c r="G14478" s="18"/>
      <c r="H14478" s="16" t="s">
        <v>87</v>
      </c>
      <c r="I14478" s="16" t="s">
        <v>87</v>
      </c>
      <c r="J14478" s="19"/>
      <c r="L14478" s="16" t="str">
        <f>IFERROR(__xludf.DUMMYFUNCTION("""COMPUTED_VALUE"""),"")</f>
        <v/>
      </c>
      <c r="M14478" s="16" t="str">
        <f>IFERROR(__xludf.DUMMYFUNCTION("""COMPUTED_VALUE"""),"")</f>
        <v/>
      </c>
      <c r="U14478" s="16" t="s">
        <v>87</v>
      </c>
      <c r="V14478" s="16" t="str">
        <f>IFERROR(__xludf.DUMMYFUNCTION("""COMPUTED_VALUE"""),"")</f>
        <v/>
      </c>
      <c r="W14478" s="16" t="str">
        <f>IFERROR(__xludf.DUMMYFUNCTION("""COMPUTED_VALUE"""),"")</f>
        <v/>
      </c>
      <c r="X14478" s="16" t="str">
        <f>IFERROR(__xludf.DUMMYFUNCTION("""COMPUTED_VALUE"""),"")</f>
        <v/>
      </c>
      <c r="AC14478" s="16" t="str">
        <f>IFERROR(__xludf.DUMMYFUNCTION("""COMPUTED_VALUE"""),"")</f>
        <v/>
      </c>
    </row>
    <row r="14479">
      <c r="A14479" s="16" t="s">
        <v>87</v>
      </c>
      <c r="E14479" s="16" t="str">
        <f>IFERROR(__xludf.DUMMYFUNCTION("""COMPUTED_VALUE"""),"")</f>
        <v/>
      </c>
      <c r="G14479" s="18"/>
      <c r="H14479" s="16" t="s">
        <v>87</v>
      </c>
      <c r="I14479" s="16" t="s">
        <v>87</v>
      </c>
      <c r="J14479" s="19"/>
      <c r="L14479" s="16" t="str">
        <f>IFERROR(__xludf.DUMMYFUNCTION("""COMPUTED_VALUE"""),"")</f>
        <v/>
      </c>
      <c r="M14479" s="16" t="str">
        <f>IFERROR(__xludf.DUMMYFUNCTION("""COMPUTED_VALUE"""),"")</f>
        <v/>
      </c>
      <c r="U14479" s="16" t="s">
        <v>87</v>
      </c>
      <c r="V14479" s="16" t="str">
        <f>IFERROR(__xludf.DUMMYFUNCTION("""COMPUTED_VALUE"""),"")</f>
        <v/>
      </c>
      <c r="W14479" s="16" t="str">
        <f>IFERROR(__xludf.DUMMYFUNCTION("""COMPUTED_VALUE"""),"")</f>
        <v/>
      </c>
      <c r="X14479" s="16" t="str">
        <f>IFERROR(__xludf.DUMMYFUNCTION("""COMPUTED_VALUE"""),"")</f>
        <v/>
      </c>
      <c r="AC14479" s="16" t="str">
        <f>IFERROR(__xludf.DUMMYFUNCTION("""COMPUTED_VALUE"""),"")</f>
        <v/>
      </c>
    </row>
    <row r="14480">
      <c r="A14480" s="16" t="s">
        <v>87</v>
      </c>
      <c r="E14480" s="16" t="str">
        <f>IFERROR(__xludf.DUMMYFUNCTION("""COMPUTED_VALUE"""),"")</f>
        <v/>
      </c>
      <c r="G14480" s="18"/>
      <c r="H14480" s="16" t="s">
        <v>87</v>
      </c>
      <c r="I14480" s="16" t="s">
        <v>87</v>
      </c>
      <c r="J14480" s="19"/>
      <c r="L14480" s="16" t="str">
        <f>IFERROR(__xludf.DUMMYFUNCTION("""COMPUTED_VALUE"""),"")</f>
        <v/>
      </c>
      <c r="M14480" s="16" t="str">
        <f>IFERROR(__xludf.DUMMYFUNCTION("""COMPUTED_VALUE"""),"")</f>
        <v/>
      </c>
      <c r="U14480" s="16" t="s">
        <v>87</v>
      </c>
      <c r="V14480" s="16" t="str">
        <f>IFERROR(__xludf.DUMMYFUNCTION("""COMPUTED_VALUE"""),"")</f>
        <v/>
      </c>
      <c r="W14480" s="16" t="str">
        <f>IFERROR(__xludf.DUMMYFUNCTION("""COMPUTED_VALUE"""),"")</f>
        <v/>
      </c>
      <c r="X14480" s="16" t="str">
        <f>IFERROR(__xludf.DUMMYFUNCTION("""COMPUTED_VALUE"""),"")</f>
        <v/>
      </c>
      <c r="AC14480" s="16" t="str">
        <f>IFERROR(__xludf.DUMMYFUNCTION("""COMPUTED_VALUE"""),"")</f>
        <v/>
      </c>
    </row>
    <row r="14481">
      <c r="A14481" s="16" t="s">
        <v>87</v>
      </c>
      <c r="E14481" s="16" t="str">
        <f>IFERROR(__xludf.DUMMYFUNCTION("""COMPUTED_VALUE"""),"")</f>
        <v/>
      </c>
      <c r="G14481" s="18"/>
      <c r="H14481" s="16" t="s">
        <v>87</v>
      </c>
      <c r="I14481" s="16" t="s">
        <v>87</v>
      </c>
      <c r="J14481" s="19"/>
      <c r="L14481" s="16" t="str">
        <f>IFERROR(__xludf.DUMMYFUNCTION("""COMPUTED_VALUE"""),"")</f>
        <v/>
      </c>
      <c r="M14481" s="16" t="str">
        <f>IFERROR(__xludf.DUMMYFUNCTION("""COMPUTED_VALUE"""),"")</f>
        <v/>
      </c>
      <c r="U14481" s="16" t="s">
        <v>87</v>
      </c>
      <c r="V14481" s="16" t="str">
        <f>IFERROR(__xludf.DUMMYFUNCTION("""COMPUTED_VALUE"""),"")</f>
        <v/>
      </c>
      <c r="W14481" s="16" t="str">
        <f>IFERROR(__xludf.DUMMYFUNCTION("""COMPUTED_VALUE"""),"")</f>
        <v/>
      </c>
      <c r="X14481" s="16" t="str">
        <f>IFERROR(__xludf.DUMMYFUNCTION("""COMPUTED_VALUE"""),"")</f>
        <v/>
      </c>
      <c r="AC14481" s="16" t="str">
        <f>IFERROR(__xludf.DUMMYFUNCTION("""COMPUTED_VALUE"""),"")</f>
        <v/>
      </c>
    </row>
    <row r="14482">
      <c r="A14482" s="16" t="s">
        <v>87</v>
      </c>
      <c r="E14482" s="16" t="str">
        <f>IFERROR(__xludf.DUMMYFUNCTION("""COMPUTED_VALUE"""),"")</f>
        <v/>
      </c>
      <c r="G14482" s="18"/>
      <c r="H14482" s="16" t="s">
        <v>87</v>
      </c>
      <c r="I14482" s="16" t="s">
        <v>87</v>
      </c>
      <c r="J14482" s="19"/>
      <c r="L14482" s="16" t="str">
        <f>IFERROR(__xludf.DUMMYFUNCTION("""COMPUTED_VALUE"""),"")</f>
        <v/>
      </c>
      <c r="M14482" s="16" t="str">
        <f>IFERROR(__xludf.DUMMYFUNCTION("""COMPUTED_VALUE"""),"")</f>
        <v/>
      </c>
      <c r="U14482" s="16" t="s">
        <v>87</v>
      </c>
      <c r="V14482" s="16" t="str">
        <f>IFERROR(__xludf.DUMMYFUNCTION("""COMPUTED_VALUE"""),"")</f>
        <v/>
      </c>
      <c r="W14482" s="16" t="str">
        <f>IFERROR(__xludf.DUMMYFUNCTION("""COMPUTED_VALUE"""),"")</f>
        <v/>
      </c>
      <c r="X14482" s="16" t="str">
        <f>IFERROR(__xludf.DUMMYFUNCTION("""COMPUTED_VALUE"""),"")</f>
        <v/>
      </c>
      <c r="AC14482" s="16" t="str">
        <f>IFERROR(__xludf.DUMMYFUNCTION("""COMPUTED_VALUE"""),"")</f>
        <v/>
      </c>
    </row>
    <row r="14483">
      <c r="A14483" s="16" t="s">
        <v>87</v>
      </c>
      <c r="E14483" s="16" t="str">
        <f>IFERROR(__xludf.DUMMYFUNCTION("""COMPUTED_VALUE"""),"")</f>
        <v/>
      </c>
      <c r="G14483" s="18"/>
      <c r="H14483" s="16" t="s">
        <v>87</v>
      </c>
      <c r="I14483" s="16" t="s">
        <v>87</v>
      </c>
      <c r="J14483" s="19"/>
      <c r="L14483" s="16" t="str">
        <f>IFERROR(__xludf.DUMMYFUNCTION("""COMPUTED_VALUE"""),"")</f>
        <v/>
      </c>
      <c r="M14483" s="16" t="str">
        <f>IFERROR(__xludf.DUMMYFUNCTION("""COMPUTED_VALUE"""),"")</f>
        <v/>
      </c>
      <c r="U14483" s="16" t="s">
        <v>87</v>
      </c>
      <c r="V14483" s="16" t="str">
        <f>IFERROR(__xludf.DUMMYFUNCTION("""COMPUTED_VALUE"""),"")</f>
        <v/>
      </c>
      <c r="W14483" s="16" t="str">
        <f>IFERROR(__xludf.DUMMYFUNCTION("""COMPUTED_VALUE"""),"")</f>
        <v/>
      </c>
      <c r="X14483" s="16" t="str">
        <f>IFERROR(__xludf.DUMMYFUNCTION("""COMPUTED_VALUE"""),"")</f>
        <v/>
      </c>
      <c r="AC14483" s="16" t="str">
        <f>IFERROR(__xludf.DUMMYFUNCTION("""COMPUTED_VALUE"""),"")</f>
        <v/>
      </c>
    </row>
    <row r="14484">
      <c r="A14484" s="16" t="s">
        <v>87</v>
      </c>
      <c r="E14484" s="16" t="str">
        <f>IFERROR(__xludf.DUMMYFUNCTION("""COMPUTED_VALUE"""),"")</f>
        <v/>
      </c>
      <c r="G14484" s="18"/>
      <c r="H14484" s="16" t="s">
        <v>87</v>
      </c>
      <c r="I14484" s="16" t="s">
        <v>87</v>
      </c>
      <c r="J14484" s="19"/>
      <c r="L14484" s="16" t="str">
        <f>IFERROR(__xludf.DUMMYFUNCTION("""COMPUTED_VALUE"""),"")</f>
        <v/>
      </c>
      <c r="M14484" s="16" t="str">
        <f>IFERROR(__xludf.DUMMYFUNCTION("""COMPUTED_VALUE"""),"")</f>
        <v/>
      </c>
      <c r="U14484" s="16" t="s">
        <v>87</v>
      </c>
      <c r="V14484" s="16" t="str">
        <f>IFERROR(__xludf.DUMMYFUNCTION("""COMPUTED_VALUE"""),"")</f>
        <v/>
      </c>
      <c r="W14484" s="16" t="str">
        <f>IFERROR(__xludf.DUMMYFUNCTION("""COMPUTED_VALUE"""),"")</f>
        <v/>
      </c>
      <c r="X14484" s="16" t="str">
        <f>IFERROR(__xludf.DUMMYFUNCTION("""COMPUTED_VALUE"""),"")</f>
        <v/>
      </c>
      <c r="AC14484" s="16" t="str">
        <f>IFERROR(__xludf.DUMMYFUNCTION("""COMPUTED_VALUE"""),"")</f>
        <v/>
      </c>
    </row>
    <row r="14485">
      <c r="A14485" s="16" t="s">
        <v>87</v>
      </c>
      <c r="E14485" s="16" t="str">
        <f>IFERROR(__xludf.DUMMYFUNCTION("""COMPUTED_VALUE"""),"")</f>
        <v/>
      </c>
      <c r="G14485" s="18"/>
      <c r="H14485" s="16" t="s">
        <v>87</v>
      </c>
      <c r="I14485" s="16" t="s">
        <v>87</v>
      </c>
      <c r="J14485" s="19"/>
      <c r="L14485" s="16" t="str">
        <f>IFERROR(__xludf.DUMMYFUNCTION("""COMPUTED_VALUE"""),"")</f>
        <v/>
      </c>
      <c r="M14485" s="16" t="str">
        <f>IFERROR(__xludf.DUMMYFUNCTION("""COMPUTED_VALUE"""),"")</f>
        <v/>
      </c>
      <c r="U14485" s="16" t="s">
        <v>87</v>
      </c>
      <c r="V14485" s="16" t="str">
        <f>IFERROR(__xludf.DUMMYFUNCTION("""COMPUTED_VALUE"""),"")</f>
        <v/>
      </c>
      <c r="W14485" s="16" t="str">
        <f>IFERROR(__xludf.DUMMYFUNCTION("""COMPUTED_VALUE"""),"")</f>
        <v/>
      </c>
      <c r="X14485" s="16" t="str">
        <f>IFERROR(__xludf.DUMMYFUNCTION("""COMPUTED_VALUE"""),"")</f>
        <v/>
      </c>
      <c r="AC14485" s="16" t="str">
        <f>IFERROR(__xludf.DUMMYFUNCTION("""COMPUTED_VALUE"""),"")</f>
        <v/>
      </c>
    </row>
    <row r="14486">
      <c r="A14486" s="16" t="s">
        <v>87</v>
      </c>
      <c r="E14486" s="16" t="str">
        <f>IFERROR(__xludf.DUMMYFUNCTION("""COMPUTED_VALUE"""),"")</f>
        <v/>
      </c>
      <c r="G14486" s="18"/>
      <c r="H14486" s="16" t="s">
        <v>87</v>
      </c>
      <c r="I14486" s="16" t="s">
        <v>87</v>
      </c>
      <c r="J14486" s="19"/>
      <c r="L14486" s="16" t="str">
        <f>IFERROR(__xludf.DUMMYFUNCTION("""COMPUTED_VALUE"""),"")</f>
        <v/>
      </c>
      <c r="M14486" s="16" t="str">
        <f>IFERROR(__xludf.DUMMYFUNCTION("""COMPUTED_VALUE"""),"")</f>
        <v/>
      </c>
      <c r="U14486" s="16" t="s">
        <v>87</v>
      </c>
      <c r="V14486" s="16" t="str">
        <f>IFERROR(__xludf.DUMMYFUNCTION("""COMPUTED_VALUE"""),"")</f>
        <v/>
      </c>
      <c r="W14486" s="16" t="str">
        <f>IFERROR(__xludf.DUMMYFUNCTION("""COMPUTED_VALUE"""),"")</f>
        <v/>
      </c>
      <c r="X14486" s="16" t="str">
        <f>IFERROR(__xludf.DUMMYFUNCTION("""COMPUTED_VALUE"""),"")</f>
        <v/>
      </c>
      <c r="AC14486" s="16" t="str">
        <f>IFERROR(__xludf.DUMMYFUNCTION("""COMPUTED_VALUE"""),"")</f>
        <v/>
      </c>
    </row>
    <row r="14487">
      <c r="A14487" s="16" t="s">
        <v>87</v>
      </c>
      <c r="E14487" s="16" t="str">
        <f>IFERROR(__xludf.DUMMYFUNCTION("""COMPUTED_VALUE"""),"")</f>
        <v/>
      </c>
      <c r="G14487" s="18"/>
      <c r="H14487" s="16" t="s">
        <v>87</v>
      </c>
      <c r="I14487" s="16" t="s">
        <v>87</v>
      </c>
      <c r="J14487" s="19"/>
      <c r="L14487" s="16" t="str">
        <f>IFERROR(__xludf.DUMMYFUNCTION("""COMPUTED_VALUE"""),"")</f>
        <v/>
      </c>
      <c r="M14487" s="16" t="str">
        <f>IFERROR(__xludf.DUMMYFUNCTION("""COMPUTED_VALUE"""),"")</f>
        <v/>
      </c>
      <c r="U14487" s="16" t="s">
        <v>87</v>
      </c>
      <c r="V14487" s="16" t="str">
        <f>IFERROR(__xludf.DUMMYFUNCTION("""COMPUTED_VALUE"""),"")</f>
        <v/>
      </c>
      <c r="W14487" s="16" t="str">
        <f>IFERROR(__xludf.DUMMYFUNCTION("""COMPUTED_VALUE"""),"")</f>
        <v/>
      </c>
      <c r="X14487" s="16" t="str">
        <f>IFERROR(__xludf.DUMMYFUNCTION("""COMPUTED_VALUE"""),"")</f>
        <v/>
      </c>
      <c r="AC14487" s="16" t="str">
        <f>IFERROR(__xludf.DUMMYFUNCTION("""COMPUTED_VALUE"""),"")</f>
        <v/>
      </c>
    </row>
    <row r="14488">
      <c r="A14488" s="16" t="s">
        <v>87</v>
      </c>
      <c r="E14488" s="16" t="str">
        <f>IFERROR(__xludf.DUMMYFUNCTION("""COMPUTED_VALUE"""),"")</f>
        <v/>
      </c>
      <c r="G14488" s="18"/>
      <c r="H14488" s="16" t="s">
        <v>87</v>
      </c>
      <c r="I14488" s="16" t="s">
        <v>87</v>
      </c>
      <c r="J14488" s="19"/>
      <c r="L14488" s="16" t="str">
        <f>IFERROR(__xludf.DUMMYFUNCTION("""COMPUTED_VALUE"""),"")</f>
        <v/>
      </c>
      <c r="M14488" s="16" t="str">
        <f>IFERROR(__xludf.DUMMYFUNCTION("""COMPUTED_VALUE"""),"")</f>
        <v/>
      </c>
      <c r="U14488" s="16" t="s">
        <v>87</v>
      </c>
      <c r="V14488" s="16" t="str">
        <f>IFERROR(__xludf.DUMMYFUNCTION("""COMPUTED_VALUE"""),"")</f>
        <v/>
      </c>
      <c r="W14488" s="16" t="str">
        <f>IFERROR(__xludf.DUMMYFUNCTION("""COMPUTED_VALUE"""),"")</f>
        <v/>
      </c>
      <c r="X14488" s="16" t="str">
        <f>IFERROR(__xludf.DUMMYFUNCTION("""COMPUTED_VALUE"""),"")</f>
        <v/>
      </c>
      <c r="AC14488" s="16" t="str">
        <f>IFERROR(__xludf.DUMMYFUNCTION("""COMPUTED_VALUE"""),"")</f>
        <v/>
      </c>
    </row>
    <row r="14489">
      <c r="A14489" s="16" t="s">
        <v>87</v>
      </c>
      <c r="E14489" s="16" t="str">
        <f>IFERROR(__xludf.DUMMYFUNCTION("""COMPUTED_VALUE"""),"")</f>
        <v/>
      </c>
      <c r="G14489" s="18"/>
      <c r="H14489" s="16" t="s">
        <v>87</v>
      </c>
      <c r="I14489" s="16" t="s">
        <v>87</v>
      </c>
      <c r="J14489" s="19"/>
      <c r="L14489" s="16" t="str">
        <f>IFERROR(__xludf.DUMMYFUNCTION("""COMPUTED_VALUE"""),"")</f>
        <v/>
      </c>
      <c r="M14489" s="16" t="str">
        <f>IFERROR(__xludf.DUMMYFUNCTION("""COMPUTED_VALUE"""),"")</f>
        <v/>
      </c>
      <c r="U14489" s="16" t="s">
        <v>87</v>
      </c>
      <c r="V14489" s="16" t="str">
        <f>IFERROR(__xludf.DUMMYFUNCTION("""COMPUTED_VALUE"""),"")</f>
        <v/>
      </c>
      <c r="W14489" s="16" t="str">
        <f>IFERROR(__xludf.DUMMYFUNCTION("""COMPUTED_VALUE"""),"")</f>
        <v/>
      </c>
      <c r="X14489" s="16" t="str">
        <f>IFERROR(__xludf.DUMMYFUNCTION("""COMPUTED_VALUE"""),"")</f>
        <v/>
      </c>
      <c r="AC14489" s="16" t="str">
        <f>IFERROR(__xludf.DUMMYFUNCTION("""COMPUTED_VALUE"""),"")</f>
        <v/>
      </c>
    </row>
    <row r="14490">
      <c r="A14490" s="16" t="s">
        <v>87</v>
      </c>
      <c r="E14490" s="16" t="str">
        <f>IFERROR(__xludf.DUMMYFUNCTION("""COMPUTED_VALUE"""),"")</f>
        <v/>
      </c>
      <c r="G14490" s="18"/>
      <c r="H14490" s="16" t="s">
        <v>87</v>
      </c>
      <c r="I14490" s="16" t="s">
        <v>87</v>
      </c>
      <c r="J14490" s="19"/>
      <c r="L14490" s="16" t="str">
        <f>IFERROR(__xludf.DUMMYFUNCTION("""COMPUTED_VALUE"""),"")</f>
        <v/>
      </c>
      <c r="M14490" s="16" t="str">
        <f>IFERROR(__xludf.DUMMYFUNCTION("""COMPUTED_VALUE"""),"")</f>
        <v/>
      </c>
      <c r="U14490" s="16" t="s">
        <v>87</v>
      </c>
      <c r="V14490" s="16" t="str">
        <f>IFERROR(__xludf.DUMMYFUNCTION("""COMPUTED_VALUE"""),"")</f>
        <v/>
      </c>
      <c r="W14490" s="16" t="str">
        <f>IFERROR(__xludf.DUMMYFUNCTION("""COMPUTED_VALUE"""),"")</f>
        <v/>
      </c>
      <c r="X14490" s="16" t="str">
        <f>IFERROR(__xludf.DUMMYFUNCTION("""COMPUTED_VALUE"""),"")</f>
        <v/>
      </c>
      <c r="AC14490" s="16" t="str">
        <f>IFERROR(__xludf.DUMMYFUNCTION("""COMPUTED_VALUE"""),"")</f>
        <v/>
      </c>
    </row>
    <row r="14491">
      <c r="A14491" s="16" t="s">
        <v>87</v>
      </c>
      <c r="E14491" s="16" t="str">
        <f>IFERROR(__xludf.DUMMYFUNCTION("""COMPUTED_VALUE"""),"")</f>
        <v/>
      </c>
      <c r="G14491" s="18"/>
      <c r="H14491" s="16" t="s">
        <v>87</v>
      </c>
      <c r="I14491" s="16" t="s">
        <v>87</v>
      </c>
      <c r="J14491" s="19"/>
      <c r="L14491" s="16" t="str">
        <f>IFERROR(__xludf.DUMMYFUNCTION("""COMPUTED_VALUE"""),"")</f>
        <v/>
      </c>
      <c r="M14491" s="16" t="str">
        <f>IFERROR(__xludf.DUMMYFUNCTION("""COMPUTED_VALUE"""),"")</f>
        <v/>
      </c>
      <c r="U14491" s="16" t="s">
        <v>87</v>
      </c>
      <c r="V14491" s="16" t="str">
        <f>IFERROR(__xludf.DUMMYFUNCTION("""COMPUTED_VALUE"""),"")</f>
        <v/>
      </c>
      <c r="W14491" s="16" t="str">
        <f>IFERROR(__xludf.DUMMYFUNCTION("""COMPUTED_VALUE"""),"")</f>
        <v/>
      </c>
      <c r="X14491" s="16" t="str">
        <f>IFERROR(__xludf.DUMMYFUNCTION("""COMPUTED_VALUE"""),"")</f>
        <v/>
      </c>
      <c r="AC14491" s="16" t="str">
        <f>IFERROR(__xludf.DUMMYFUNCTION("""COMPUTED_VALUE"""),"")</f>
        <v/>
      </c>
    </row>
    <row r="14492">
      <c r="A14492" s="16" t="s">
        <v>87</v>
      </c>
      <c r="E14492" s="16" t="str">
        <f>IFERROR(__xludf.DUMMYFUNCTION("""COMPUTED_VALUE"""),"")</f>
        <v/>
      </c>
      <c r="G14492" s="18"/>
      <c r="H14492" s="16" t="s">
        <v>87</v>
      </c>
      <c r="I14492" s="16" t="s">
        <v>87</v>
      </c>
      <c r="J14492" s="19"/>
      <c r="L14492" s="16" t="str">
        <f>IFERROR(__xludf.DUMMYFUNCTION("""COMPUTED_VALUE"""),"")</f>
        <v/>
      </c>
      <c r="M14492" s="16" t="str">
        <f>IFERROR(__xludf.DUMMYFUNCTION("""COMPUTED_VALUE"""),"")</f>
        <v/>
      </c>
      <c r="U14492" s="16" t="s">
        <v>87</v>
      </c>
      <c r="V14492" s="16" t="str">
        <f>IFERROR(__xludf.DUMMYFUNCTION("""COMPUTED_VALUE"""),"")</f>
        <v/>
      </c>
      <c r="W14492" s="16" t="str">
        <f>IFERROR(__xludf.DUMMYFUNCTION("""COMPUTED_VALUE"""),"")</f>
        <v/>
      </c>
      <c r="X14492" s="16" t="str">
        <f>IFERROR(__xludf.DUMMYFUNCTION("""COMPUTED_VALUE"""),"")</f>
        <v/>
      </c>
      <c r="AC14492" s="16" t="str">
        <f>IFERROR(__xludf.DUMMYFUNCTION("""COMPUTED_VALUE"""),"")</f>
        <v/>
      </c>
    </row>
    <row r="14493">
      <c r="A14493" s="16" t="s">
        <v>87</v>
      </c>
      <c r="E14493" s="16" t="str">
        <f>IFERROR(__xludf.DUMMYFUNCTION("""COMPUTED_VALUE"""),"")</f>
        <v/>
      </c>
      <c r="G14493" s="18"/>
      <c r="H14493" s="16" t="s">
        <v>87</v>
      </c>
      <c r="I14493" s="16" t="s">
        <v>87</v>
      </c>
      <c r="J14493" s="19"/>
      <c r="L14493" s="16" t="str">
        <f>IFERROR(__xludf.DUMMYFUNCTION("""COMPUTED_VALUE"""),"")</f>
        <v/>
      </c>
      <c r="M14493" s="16" t="str">
        <f>IFERROR(__xludf.DUMMYFUNCTION("""COMPUTED_VALUE"""),"")</f>
        <v/>
      </c>
      <c r="U14493" s="16" t="s">
        <v>87</v>
      </c>
      <c r="V14493" s="16" t="str">
        <f>IFERROR(__xludf.DUMMYFUNCTION("""COMPUTED_VALUE"""),"")</f>
        <v/>
      </c>
      <c r="W14493" s="16" t="str">
        <f>IFERROR(__xludf.DUMMYFUNCTION("""COMPUTED_VALUE"""),"")</f>
        <v/>
      </c>
      <c r="X14493" s="16" t="str">
        <f>IFERROR(__xludf.DUMMYFUNCTION("""COMPUTED_VALUE"""),"")</f>
        <v/>
      </c>
      <c r="AC14493" s="16" t="str">
        <f>IFERROR(__xludf.DUMMYFUNCTION("""COMPUTED_VALUE"""),"")</f>
        <v/>
      </c>
    </row>
    <row r="14494">
      <c r="A14494" s="16" t="s">
        <v>87</v>
      </c>
      <c r="E14494" s="16" t="str">
        <f>IFERROR(__xludf.DUMMYFUNCTION("""COMPUTED_VALUE"""),"")</f>
        <v/>
      </c>
      <c r="G14494" s="18"/>
      <c r="H14494" s="16" t="s">
        <v>87</v>
      </c>
      <c r="I14494" s="16" t="s">
        <v>87</v>
      </c>
      <c r="J14494" s="19"/>
      <c r="L14494" s="16" t="str">
        <f>IFERROR(__xludf.DUMMYFUNCTION("""COMPUTED_VALUE"""),"")</f>
        <v/>
      </c>
      <c r="M14494" s="16" t="str">
        <f>IFERROR(__xludf.DUMMYFUNCTION("""COMPUTED_VALUE"""),"")</f>
        <v/>
      </c>
      <c r="U14494" s="16" t="s">
        <v>87</v>
      </c>
      <c r="V14494" s="16" t="str">
        <f>IFERROR(__xludf.DUMMYFUNCTION("""COMPUTED_VALUE"""),"")</f>
        <v/>
      </c>
      <c r="W14494" s="16" t="str">
        <f>IFERROR(__xludf.DUMMYFUNCTION("""COMPUTED_VALUE"""),"")</f>
        <v/>
      </c>
      <c r="X14494" s="16" t="str">
        <f>IFERROR(__xludf.DUMMYFUNCTION("""COMPUTED_VALUE"""),"")</f>
        <v/>
      </c>
      <c r="AC14494" s="16" t="str">
        <f>IFERROR(__xludf.DUMMYFUNCTION("""COMPUTED_VALUE"""),"")</f>
        <v/>
      </c>
    </row>
    <row r="14495">
      <c r="A14495" s="16" t="s">
        <v>87</v>
      </c>
      <c r="E14495" s="16" t="str">
        <f>IFERROR(__xludf.DUMMYFUNCTION("""COMPUTED_VALUE"""),"")</f>
        <v/>
      </c>
      <c r="G14495" s="18"/>
      <c r="H14495" s="16" t="s">
        <v>87</v>
      </c>
      <c r="I14495" s="16" t="s">
        <v>87</v>
      </c>
      <c r="J14495" s="19"/>
      <c r="L14495" s="16" t="str">
        <f>IFERROR(__xludf.DUMMYFUNCTION("""COMPUTED_VALUE"""),"")</f>
        <v/>
      </c>
      <c r="M14495" s="16" t="str">
        <f>IFERROR(__xludf.DUMMYFUNCTION("""COMPUTED_VALUE"""),"")</f>
        <v/>
      </c>
      <c r="U14495" s="16" t="s">
        <v>87</v>
      </c>
      <c r="V14495" s="16" t="str">
        <f>IFERROR(__xludf.DUMMYFUNCTION("""COMPUTED_VALUE"""),"")</f>
        <v/>
      </c>
      <c r="W14495" s="16" t="str">
        <f>IFERROR(__xludf.DUMMYFUNCTION("""COMPUTED_VALUE"""),"")</f>
        <v/>
      </c>
      <c r="X14495" s="16" t="str">
        <f>IFERROR(__xludf.DUMMYFUNCTION("""COMPUTED_VALUE"""),"")</f>
        <v/>
      </c>
      <c r="AC14495" s="16" t="str">
        <f>IFERROR(__xludf.DUMMYFUNCTION("""COMPUTED_VALUE"""),"")</f>
        <v/>
      </c>
    </row>
    <row r="14496">
      <c r="A14496" s="16" t="s">
        <v>87</v>
      </c>
      <c r="E14496" s="16" t="str">
        <f>IFERROR(__xludf.DUMMYFUNCTION("""COMPUTED_VALUE"""),"")</f>
        <v/>
      </c>
      <c r="G14496" s="18"/>
      <c r="H14496" s="16" t="s">
        <v>87</v>
      </c>
      <c r="I14496" s="16" t="s">
        <v>87</v>
      </c>
      <c r="J14496" s="19"/>
      <c r="L14496" s="16" t="str">
        <f>IFERROR(__xludf.DUMMYFUNCTION("""COMPUTED_VALUE"""),"")</f>
        <v/>
      </c>
      <c r="M14496" s="16" t="str">
        <f>IFERROR(__xludf.DUMMYFUNCTION("""COMPUTED_VALUE"""),"")</f>
        <v/>
      </c>
      <c r="U14496" s="16" t="s">
        <v>87</v>
      </c>
      <c r="V14496" s="16" t="str">
        <f>IFERROR(__xludf.DUMMYFUNCTION("""COMPUTED_VALUE"""),"")</f>
        <v/>
      </c>
      <c r="W14496" s="16" t="str">
        <f>IFERROR(__xludf.DUMMYFUNCTION("""COMPUTED_VALUE"""),"")</f>
        <v/>
      </c>
      <c r="X14496" s="16" t="str">
        <f>IFERROR(__xludf.DUMMYFUNCTION("""COMPUTED_VALUE"""),"")</f>
        <v/>
      </c>
      <c r="AC14496" s="16" t="str">
        <f>IFERROR(__xludf.DUMMYFUNCTION("""COMPUTED_VALUE"""),"")</f>
        <v/>
      </c>
    </row>
    <row r="14497">
      <c r="A14497" s="16" t="s">
        <v>87</v>
      </c>
      <c r="E14497" s="16" t="str">
        <f>IFERROR(__xludf.DUMMYFUNCTION("""COMPUTED_VALUE"""),"")</f>
        <v/>
      </c>
      <c r="G14497" s="18"/>
      <c r="H14497" s="16" t="s">
        <v>87</v>
      </c>
      <c r="I14497" s="16" t="s">
        <v>87</v>
      </c>
      <c r="J14497" s="19"/>
      <c r="L14497" s="16" t="str">
        <f>IFERROR(__xludf.DUMMYFUNCTION("""COMPUTED_VALUE"""),"")</f>
        <v/>
      </c>
      <c r="M14497" s="16" t="str">
        <f>IFERROR(__xludf.DUMMYFUNCTION("""COMPUTED_VALUE"""),"")</f>
        <v/>
      </c>
      <c r="U14497" s="16" t="s">
        <v>87</v>
      </c>
      <c r="V14497" s="16" t="str">
        <f>IFERROR(__xludf.DUMMYFUNCTION("""COMPUTED_VALUE"""),"")</f>
        <v/>
      </c>
      <c r="W14497" s="16" t="str">
        <f>IFERROR(__xludf.DUMMYFUNCTION("""COMPUTED_VALUE"""),"")</f>
        <v/>
      </c>
      <c r="X14497" s="16" t="str">
        <f>IFERROR(__xludf.DUMMYFUNCTION("""COMPUTED_VALUE"""),"")</f>
        <v/>
      </c>
      <c r="AC14497" s="16" t="str">
        <f>IFERROR(__xludf.DUMMYFUNCTION("""COMPUTED_VALUE"""),"")</f>
        <v/>
      </c>
    </row>
    <row r="14498">
      <c r="A14498" s="16" t="s">
        <v>87</v>
      </c>
      <c r="E14498" s="16" t="str">
        <f>IFERROR(__xludf.DUMMYFUNCTION("""COMPUTED_VALUE"""),"")</f>
        <v/>
      </c>
      <c r="G14498" s="18"/>
      <c r="H14498" s="16" t="s">
        <v>87</v>
      </c>
      <c r="I14498" s="16" t="s">
        <v>87</v>
      </c>
      <c r="J14498" s="19"/>
      <c r="L14498" s="16" t="str">
        <f>IFERROR(__xludf.DUMMYFUNCTION("""COMPUTED_VALUE"""),"")</f>
        <v/>
      </c>
      <c r="M14498" s="16" t="str">
        <f>IFERROR(__xludf.DUMMYFUNCTION("""COMPUTED_VALUE"""),"")</f>
        <v/>
      </c>
      <c r="U14498" s="16" t="s">
        <v>87</v>
      </c>
      <c r="V14498" s="16" t="str">
        <f>IFERROR(__xludf.DUMMYFUNCTION("""COMPUTED_VALUE"""),"")</f>
        <v/>
      </c>
      <c r="W14498" s="16" t="str">
        <f>IFERROR(__xludf.DUMMYFUNCTION("""COMPUTED_VALUE"""),"")</f>
        <v/>
      </c>
      <c r="X14498" s="16" t="str">
        <f>IFERROR(__xludf.DUMMYFUNCTION("""COMPUTED_VALUE"""),"")</f>
        <v/>
      </c>
      <c r="AC14498" s="16" t="str">
        <f>IFERROR(__xludf.DUMMYFUNCTION("""COMPUTED_VALUE"""),"")</f>
        <v/>
      </c>
    </row>
    <row r="14499">
      <c r="A14499" s="16" t="s">
        <v>87</v>
      </c>
      <c r="E14499" s="16" t="str">
        <f>IFERROR(__xludf.DUMMYFUNCTION("""COMPUTED_VALUE"""),"")</f>
        <v/>
      </c>
      <c r="G14499" s="18"/>
      <c r="H14499" s="16" t="s">
        <v>87</v>
      </c>
      <c r="I14499" s="16" t="s">
        <v>87</v>
      </c>
      <c r="J14499" s="19"/>
      <c r="L14499" s="16" t="str">
        <f>IFERROR(__xludf.DUMMYFUNCTION("""COMPUTED_VALUE"""),"")</f>
        <v/>
      </c>
      <c r="M14499" s="16" t="str">
        <f>IFERROR(__xludf.DUMMYFUNCTION("""COMPUTED_VALUE"""),"")</f>
        <v/>
      </c>
      <c r="U14499" s="16" t="s">
        <v>87</v>
      </c>
      <c r="V14499" s="16" t="str">
        <f>IFERROR(__xludf.DUMMYFUNCTION("""COMPUTED_VALUE"""),"")</f>
        <v/>
      </c>
      <c r="W14499" s="16" t="str">
        <f>IFERROR(__xludf.DUMMYFUNCTION("""COMPUTED_VALUE"""),"")</f>
        <v/>
      </c>
      <c r="X14499" s="16" t="str">
        <f>IFERROR(__xludf.DUMMYFUNCTION("""COMPUTED_VALUE"""),"")</f>
        <v/>
      </c>
      <c r="AC14499" s="16" t="str">
        <f>IFERROR(__xludf.DUMMYFUNCTION("""COMPUTED_VALUE"""),"")</f>
        <v/>
      </c>
    </row>
    <row r="14500">
      <c r="A14500" s="16" t="s">
        <v>87</v>
      </c>
      <c r="E14500" s="16" t="str">
        <f>IFERROR(__xludf.DUMMYFUNCTION("""COMPUTED_VALUE"""),"")</f>
        <v/>
      </c>
      <c r="G14500" s="18"/>
      <c r="H14500" s="16" t="s">
        <v>87</v>
      </c>
      <c r="I14500" s="16" t="s">
        <v>87</v>
      </c>
      <c r="J14500" s="19"/>
      <c r="L14500" s="16" t="str">
        <f>IFERROR(__xludf.DUMMYFUNCTION("""COMPUTED_VALUE"""),"")</f>
        <v/>
      </c>
      <c r="M14500" s="16" t="str">
        <f>IFERROR(__xludf.DUMMYFUNCTION("""COMPUTED_VALUE"""),"")</f>
        <v/>
      </c>
      <c r="U14500" s="16" t="s">
        <v>87</v>
      </c>
      <c r="V14500" s="16" t="str">
        <f>IFERROR(__xludf.DUMMYFUNCTION("""COMPUTED_VALUE"""),"")</f>
        <v/>
      </c>
      <c r="W14500" s="16" t="str">
        <f>IFERROR(__xludf.DUMMYFUNCTION("""COMPUTED_VALUE"""),"")</f>
        <v/>
      </c>
      <c r="X14500" s="16" t="str">
        <f>IFERROR(__xludf.DUMMYFUNCTION("""COMPUTED_VALUE"""),"")</f>
        <v/>
      </c>
      <c r="AC14500" s="16" t="str">
        <f>IFERROR(__xludf.DUMMYFUNCTION("""COMPUTED_VALUE"""),"")</f>
        <v/>
      </c>
    </row>
    <row r="14501">
      <c r="A14501" s="16" t="s">
        <v>87</v>
      </c>
      <c r="E14501" s="16" t="str">
        <f>IFERROR(__xludf.DUMMYFUNCTION("""COMPUTED_VALUE"""),"")</f>
        <v/>
      </c>
      <c r="G14501" s="18"/>
      <c r="H14501" s="16" t="s">
        <v>87</v>
      </c>
      <c r="I14501" s="16" t="s">
        <v>87</v>
      </c>
      <c r="J14501" s="19"/>
      <c r="L14501" s="16" t="str">
        <f>IFERROR(__xludf.DUMMYFUNCTION("""COMPUTED_VALUE"""),"")</f>
        <v/>
      </c>
      <c r="M14501" s="16" t="str">
        <f>IFERROR(__xludf.DUMMYFUNCTION("""COMPUTED_VALUE"""),"")</f>
        <v/>
      </c>
      <c r="U14501" s="16" t="s">
        <v>87</v>
      </c>
      <c r="V14501" s="16" t="str">
        <f>IFERROR(__xludf.DUMMYFUNCTION("""COMPUTED_VALUE"""),"")</f>
        <v/>
      </c>
      <c r="W14501" s="16" t="str">
        <f>IFERROR(__xludf.DUMMYFUNCTION("""COMPUTED_VALUE"""),"")</f>
        <v/>
      </c>
      <c r="X14501" s="16" t="str">
        <f>IFERROR(__xludf.DUMMYFUNCTION("""COMPUTED_VALUE"""),"")</f>
        <v/>
      </c>
      <c r="AC14501" s="16" t="str">
        <f>IFERROR(__xludf.DUMMYFUNCTION("""COMPUTED_VALUE"""),"")</f>
        <v/>
      </c>
    </row>
    <row r="14502">
      <c r="A14502" s="16" t="s">
        <v>87</v>
      </c>
      <c r="E14502" s="16" t="str">
        <f>IFERROR(__xludf.DUMMYFUNCTION("""COMPUTED_VALUE"""),"")</f>
        <v/>
      </c>
      <c r="G14502" s="18"/>
      <c r="H14502" s="16" t="s">
        <v>87</v>
      </c>
      <c r="I14502" s="16" t="s">
        <v>87</v>
      </c>
      <c r="J14502" s="19"/>
      <c r="L14502" s="16" t="str">
        <f>IFERROR(__xludf.DUMMYFUNCTION("""COMPUTED_VALUE"""),"")</f>
        <v/>
      </c>
      <c r="M14502" s="16" t="str">
        <f>IFERROR(__xludf.DUMMYFUNCTION("""COMPUTED_VALUE"""),"")</f>
        <v/>
      </c>
      <c r="U14502" s="16" t="s">
        <v>87</v>
      </c>
      <c r="V14502" s="16" t="str">
        <f>IFERROR(__xludf.DUMMYFUNCTION("""COMPUTED_VALUE"""),"")</f>
        <v/>
      </c>
      <c r="W14502" s="16" t="str">
        <f>IFERROR(__xludf.DUMMYFUNCTION("""COMPUTED_VALUE"""),"")</f>
        <v/>
      </c>
      <c r="X14502" s="16" t="str">
        <f>IFERROR(__xludf.DUMMYFUNCTION("""COMPUTED_VALUE"""),"")</f>
        <v/>
      </c>
      <c r="AC14502" s="16" t="str">
        <f>IFERROR(__xludf.DUMMYFUNCTION("""COMPUTED_VALUE"""),"")</f>
        <v/>
      </c>
    </row>
    <row r="14503">
      <c r="A14503" s="16" t="s">
        <v>87</v>
      </c>
      <c r="E14503" s="16" t="str">
        <f>IFERROR(__xludf.DUMMYFUNCTION("""COMPUTED_VALUE"""),"")</f>
        <v/>
      </c>
      <c r="G14503" s="18"/>
      <c r="H14503" s="16" t="s">
        <v>87</v>
      </c>
      <c r="I14503" s="16" t="s">
        <v>87</v>
      </c>
      <c r="J14503" s="19"/>
      <c r="L14503" s="16" t="str">
        <f>IFERROR(__xludf.DUMMYFUNCTION("""COMPUTED_VALUE"""),"")</f>
        <v/>
      </c>
      <c r="M14503" s="16" t="str">
        <f>IFERROR(__xludf.DUMMYFUNCTION("""COMPUTED_VALUE"""),"")</f>
        <v/>
      </c>
      <c r="U14503" s="16" t="s">
        <v>87</v>
      </c>
      <c r="V14503" s="16" t="str">
        <f>IFERROR(__xludf.DUMMYFUNCTION("""COMPUTED_VALUE"""),"")</f>
        <v/>
      </c>
      <c r="W14503" s="16" t="str">
        <f>IFERROR(__xludf.DUMMYFUNCTION("""COMPUTED_VALUE"""),"")</f>
        <v/>
      </c>
      <c r="X14503" s="16" t="str">
        <f>IFERROR(__xludf.DUMMYFUNCTION("""COMPUTED_VALUE"""),"")</f>
        <v/>
      </c>
      <c r="AC14503" s="16" t="str">
        <f>IFERROR(__xludf.DUMMYFUNCTION("""COMPUTED_VALUE"""),"")</f>
        <v/>
      </c>
    </row>
    <row r="14504">
      <c r="A14504" s="16" t="s">
        <v>87</v>
      </c>
      <c r="E14504" s="16" t="str">
        <f>IFERROR(__xludf.DUMMYFUNCTION("""COMPUTED_VALUE"""),"")</f>
        <v/>
      </c>
      <c r="G14504" s="18"/>
      <c r="H14504" s="16" t="s">
        <v>87</v>
      </c>
      <c r="I14504" s="16" t="s">
        <v>87</v>
      </c>
      <c r="J14504" s="19"/>
      <c r="L14504" s="16" t="str">
        <f>IFERROR(__xludf.DUMMYFUNCTION("""COMPUTED_VALUE"""),"")</f>
        <v/>
      </c>
      <c r="M14504" s="16" t="str">
        <f>IFERROR(__xludf.DUMMYFUNCTION("""COMPUTED_VALUE"""),"")</f>
        <v/>
      </c>
      <c r="U14504" s="16" t="s">
        <v>87</v>
      </c>
      <c r="V14504" s="16" t="str">
        <f>IFERROR(__xludf.DUMMYFUNCTION("""COMPUTED_VALUE"""),"")</f>
        <v/>
      </c>
      <c r="W14504" s="16" t="str">
        <f>IFERROR(__xludf.DUMMYFUNCTION("""COMPUTED_VALUE"""),"")</f>
        <v/>
      </c>
      <c r="X14504" s="16" t="str">
        <f>IFERROR(__xludf.DUMMYFUNCTION("""COMPUTED_VALUE"""),"")</f>
        <v/>
      </c>
      <c r="AC14504" s="16" t="str">
        <f>IFERROR(__xludf.DUMMYFUNCTION("""COMPUTED_VALUE"""),"")</f>
        <v/>
      </c>
    </row>
    <row r="14505">
      <c r="A14505" s="16" t="s">
        <v>87</v>
      </c>
      <c r="E14505" s="16" t="str">
        <f>IFERROR(__xludf.DUMMYFUNCTION("""COMPUTED_VALUE"""),"")</f>
        <v/>
      </c>
      <c r="G14505" s="18"/>
      <c r="H14505" s="16" t="s">
        <v>87</v>
      </c>
      <c r="I14505" s="16" t="s">
        <v>87</v>
      </c>
      <c r="J14505" s="19"/>
      <c r="L14505" s="16" t="str">
        <f>IFERROR(__xludf.DUMMYFUNCTION("""COMPUTED_VALUE"""),"")</f>
        <v/>
      </c>
      <c r="M14505" s="16" t="str">
        <f>IFERROR(__xludf.DUMMYFUNCTION("""COMPUTED_VALUE"""),"")</f>
        <v/>
      </c>
      <c r="U14505" s="16" t="s">
        <v>87</v>
      </c>
      <c r="V14505" s="16" t="str">
        <f>IFERROR(__xludf.DUMMYFUNCTION("""COMPUTED_VALUE"""),"")</f>
        <v/>
      </c>
      <c r="W14505" s="16" t="str">
        <f>IFERROR(__xludf.DUMMYFUNCTION("""COMPUTED_VALUE"""),"")</f>
        <v/>
      </c>
      <c r="X14505" s="16" t="str">
        <f>IFERROR(__xludf.DUMMYFUNCTION("""COMPUTED_VALUE"""),"")</f>
        <v/>
      </c>
      <c r="AC14505" s="16" t="str">
        <f>IFERROR(__xludf.DUMMYFUNCTION("""COMPUTED_VALUE"""),"")</f>
        <v/>
      </c>
    </row>
    <row r="14506">
      <c r="A14506" s="16" t="s">
        <v>87</v>
      </c>
      <c r="E14506" s="16" t="str">
        <f>IFERROR(__xludf.DUMMYFUNCTION("""COMPUTED_VALUE"""),"")</f>
        <v/>
      </c>
      <c r="G14506" s="18"/>
      <c r="H14506" s="16" t="s">
        <v>87</v>
      </c>
      <c r="I14506" s="16" t="s">
        <v>87</v>
      </c>
      <c r="J14506" s="19"/>
      <c r="L14506" s="16" t="str">
        <f>IFERROR(__xludf.DUMMYFUNCTION("""COMPUTED_VALUE"""),"")</f>
        <v/>
      </c>
      <c r="M14506" s="16" t="str">
        <f>IFERROR(__xludf.DUMMYFUNCTION("""COMPUTED_VALUE"""),"")</f>
        <v/>
      </c>
      <c r="U14506" s="16" t="s">
        <v>87</v>
      </c>
      <c r="V14506" s="16" t="str">
        <f>IFERROR(__xludf.DUMMYFUNCTION("""COMPUTED_VALUE"""),"")</f>
        <v/>
      </c>
      <c r="W14506" s="16" t="str">
        <f>IFERROR(__xludf.DUMMYFUNCTION("""COMPUTED_VALUE"""),"")</f>
        <v/>
      </c>
      <c r="X14506" s="16" t="str">
        <f>IFERROR(__xludf.DUMMYFUNCTION("""COMPUTED_VALUE"""),"")</f>
        <v/>
      </c>
      <c r="AC14506" s="16" t="str">
        <f>IFERROR(__xludf.DUMMYFUNCTION("""COMPUTED_VALUE"""),"")</f>
        <v/>
      </c>
    </row>
    <row r="14507">
      <c r="A14507" s="16" t="s">
        <v>87</v>
      </c>
      <c r="E14507" s="16" t="str">
        <f>IFERROR(__xludf.DUMMYFUNCTION("""COMPUTED_VALUE"""),"")</f>
        <v/>
      </c>
      <c r="G14507" s="18"/>
      <c r="H14507" s="16" t="s">
        <v>87</v>
      </c>
      <c r="I14507" s="16" t="s">
        <v>87</v>
      </c>
      <c r="J14507" s="19"/>
      <c r="L14507" s="16" t="str">
        <f>IFERROR(__xludf.DUMMYFUNCTION("""COMPUTED_VALUE"""),"")</f>
        <v/>
      </c>
      <c r="M14507" s="16" t="str">
        <f>IFERROR(__xludf.DUMMYFUNCTION("""COMPUTED_VALUE"""),"")</f>
        <v/>
      </c>
      <c r="U14507" s="16" t="s">
        <v>87</v>
      </c>
      <c r="V14507" s="16" t="str">
        <f>IFERROR(__xludf.DUMMYFUNCTION("""COMPUTED_VALUE"""),"")</f>
        <v/>
      </c>
      <c r="W14507" s="16" t="str">
        <f>IFERROR(__xludf.DUMMYFUNCTION("""COMPUTED_VALUE"""),"")</f>
        <v/>
      </c>
      <c r="X14507" s="16" t="str">
        <f>IFERROR(__xludf.DUMMYFUNCTION("""COMPUTED_VALUE"""),"")</f>
        <v/>
      </c>
      <c r="AC14507" s="16" t="str">
        <f>IFERROR(__xludf.DUMMYFUNCTION("""COMPUTED_VALUE"""),"")</f>
        <v/>
      </c>
    </row>
    <row r="14508">
      <c r="A14508" s="16" t="s">
        <v>87</v>
      </c>
      <c r="E14508" s="16" t="str">
        <f>IFERROR(__xludf.DUMMYFUNCTION("""COMPUTED_VALUE"""),"")</f>
        <v/>
      </c>
      <c r="G14508" s="18"/>
      <c r="H14508" s="16" t="s">
        <v>87</v>
      </c>
      <c r="I14508" s="16" t="s">
        <v>87</v>
      </c>
      <c r="J14508" s="19"/>
      <c r="L14508" s="16" t="str">
        <f>IFERROR(__xludf.DUMMYFUNCTION("""COMPUTED_VALUE"""),"")</f>
        <v/>
      </c>
      <c r="M14508" s="16" t="str">
        <f>IFERROR(__xludf.DUMMYFUNCTION("""COMPUTED_VALUE"""),"")</f>
        <v/>
      </c>
      <c r="U14508" s="16" t="s">
        <v>87</v>
      </c>
      <c r="V14508" s="16" t="str">
        <f>IFERROR(__xludf.DUMMYFUNCTION("""COMPUTED_VALUE"""),"")</f>
        <v/>
      </c>
      <c r="W14508" s="16" t="str">
        <f>IFERROR(__xludf.DUMMYFUNCTION("""COMPUTED_VALUE"""),"")</f>
        <v/>
      </c>
      <c r="X14508" s="16" t="str">
        <f>IFERROR(__xludf.DUMMYFUNCTION("""COMPUTED_VALUE"""),"")</f>
        <v/>
      </c>
      <c r="AC14508" s="16" t="str">
        <f>IFERROR(__xludf.DUMMYFUNCTION("""COMPUTED_VALUE"""),"")</f>
        <v/>
      </c>
    </row>
    <row r="14509">
      <c r="A14509" s="16" t="s">
        <v>87</v>
      </c>
      <c r="E14509" s="16" t="str">
        <f>IFERROR(__xludf.DUMMYFUNCTION("""COMPUTED_VALUE"""),"")</f>
        <v/>
      </c>
      <c r="G14509" s="18"/>
      <c r="H14509" s="16" t="s">
        <v>87</v>
      </c>
      <c r="I14509" s="16" t="s">
        <v>87</v>
      </c>
      <c r="J14509" s="19"/>
      <c r="L14509" s="16" t="str">
        <f>IFERROR(__xludf.DUMMYFUNCTION("""COMPUTED_VALUE"""),"")</f>
        <v/>
      </c>
      <c r="M14509" s="16" t="str">
        <f>IFERROR(__xludf.DUMMYFUNCTION("""COMPUTED_VALUE"""),"")</f>
        <v/>
      </c>
      <c r="U14509" s="16" t="s">
        <v>87</v>
      </c>
      <c r="V14509" s="16" t="str">
        <f>IFERROR(__xludf.DUMMYFUNCTION("""COMPUTED_VALUE"""),"")</f>
        <v/>
      </c>
      <c r="W14509" s="16" t="str">
        <f>IFERROR(__xludf.DUMMYFUNCTION("""COMPUTED_VALUE"""),"")</f>
        <v/>
      </c>
      <c r="X14509" s="16" t="str">
        <f>IFERROR(__xludf.DUMMYFUNCTION("""COMPUTED_VALUE"""),"")</f>
        <v/>
      </c>
      <c r="AC14509" s="16" t="str">
        <f>IFERROR(__xludf.DUMMYFUNCTION("""COMPUTED_VALUE"""),"")</f>
        <v/>
      </c>
    </row>
    <row r="14510">
      <c r="A14510" s="16" t="s">
        <v>87</v>
      </c>
      <c r="E14510" s="16" t="str">
        <f>IFERROR(__xludf.DUMMYFUNCTION("""COMPUTED_VALUE"""),"")</f>
        <v/>
      </c>
      <c r="G14510" s="18"/>
      <c r="H14510" s="16" t="s">
        <v>87</v>
      </c>
      <c r="I14510" s="16" t="s">
        <v>87</v>
      </c>
      <c r="J14510" s="19"/>
      <c r="L14510" s="16" t="str">
        <f>IFERROR(__xludf.DUMMYFUNCTION("""COMPUTED_VALUE"""),"")</f>
        <v/>
      </c>
      <c r="M14510" s="16" t="str">
        <f>IFERROR(__xludf.DUMMYFUNCTION("""COMPUTED_VALUE"""),"")</f>
        <v/>
      </c>
      <c r="U14510" s="16" t="s">
        <v>87</v>
      </c>
      <c r="V14510" s="16" t="str">
        <f>IFERROR(__xludf.DUMMYFUNCTION("""COMPUTED_VALUE"""),"")</f>
        <v/>
      </c>
      <c r="W14510" s="16" t="str">
        <f>IFERROR(__xludf.DUMMYFUNCTION("""COMPUTED_VALUE"""),"")</f>
        <v/>
      </c>
      <c r="X14510" s="16" t="str">
        <f>IFERROR(__xludf.DUMMYFUNCTION("""COMPUTED_VALUE"""),"")</f>
        <v/>
      </c>
      <c r="AC14510" s="16" t="str">
        <f>IFERROR(__xludf.DUMMYFUNCTION("""COMPUTED_VALUE"""),"")</f>
        <v/>
      </c>
    </row>
    <row r="14511">
      <c r="A14511" s="16" t="s">
        <v>87</v>
      </c>
      <c r="E14511" s="16" t="str">
        <f>IFERROR(__xludf.DUMMYFUNCTION("""COMPUTED_VALUE"""),"")</f>
        <v/>
      </c>
      <c r="G14511" s="18"/>
      <c r="H14511" s="16" t="s">
        <v>87</v>
      </c>
      <c r="I14511" s="16" t="s">
        <v>87</v>
      </c>
      <c r="J14511" s="19"/>
      <c r="L14511" s="16" t="str">
        <f>IFERROR(__xludf.DUMMYFUNCTION("""COMPUTED_VALUE"""),"")</f>
        <v/>
      </c>
      <c r="M14511" s="16" t="str">
        <f>IFERROR(__xludf.DUMMYFUNCTION("""COMPUTED_VALUE"""),"")</f>
        <v/>
      </c>
      <c r="U14511" s="16" t="s">
        <v>87</v>
      </c>
      <c r="V14511" s="16" t="str">
        <f>IFERROR(__xludf.DUMMYFUNCTION("""COMPUTED_VALUE"""),"")</f>
        <v/>
      </c>
      <c r="W14511" s="16" t="str">
        <f>IFERROR(__xludf.DUMMYFUNCTION("""COMPUTED_VALUE"""),"")</f>
        <v/>
      </c>
      <c r="X14511" s="16" t="str">
        <f>IFERROR(__xludf.DUMMYFUNCTION("""COMPUTED_VALUE"""),"")</f>
        <v/>
      </c>
      <c r="AC14511" s="16" t="str">
        <f>IFERROR(__xludf.DUMMYFUNCTION("""COMPUTED_VALUE"""),"")</f>
        <v/>
      </c>
    </row>
    <row r="14512">
      <c r="A14512" s="16" t="s">
        <v>87</v>
      </c>
      <c r="E14512" s="16" t="str">
        <f>IFERROR(__xludf.DUMMYFUNCTION("""COMPUTED_VALUE"""),"")</f>
        <v/>
      </c>
      <c r="G14512" s="18"/>
      <c r="H14512" s="16" t="s">
        <v>87</v>
      </c>
      <c r="I14512" s="16" t="s">
        <v>87</v>
      </c>
      <c r="J14512" s="19"/>
      <c r="L14512" s="16" t="str">
        <f>IFERROR(__xludf.DUMMYFUNCTION("""COMPUTED_VALUE"""),"")</f>
        <v/>
      </c>
      <c r="M14512" s="16" t="str">
        <f>IFERROR(__xludf.DUMMYFUNCTION("""COMPUTED_VALUE"""),"")</f>
        <v/>
      </c>
      <c r="U14512" s="16" t="s">
        <v>87</v>
      </c>
      <c r="V14512" s="16" t="str">
        <f>IFERROR(__xludf.DUMMYFUNCTION("""COMPUTED_VALUE"""),"")</f>
        <v/>
      </c>
      <c r="W14512" s="16" t="str">
        <f>IFERROR(__xludf.DUMMYFUNCTION("""COMPUTED_VALUE"""),"")</f>
        <v/>
      </c>
      <c r="X14512" s="16" t="str">
        <f>IFERROR(__xludf.DUMMYFUNCTION("""COMPUTED_VALUE"""),"")</f>
        <v/>
      </c>
      <c r="AC14512" s="16" t="str">
        <f>IFERROR(__xludf.DUMMYFUNCTION("""COMPUTED_VALUE"""),"")</f>
        <v/>
      </c>
    </row>
    <row r="14513">
      <c r="A14513" s="16" t="s">
        <v>87</v>
      </c>
      <c r="E14513" s="16" t="str">
        <f>IFERROR(__xludf.DUMMYFUNCTION("""COMPUTED_VALUE"""),"")</f>
        <v/>
      </c>
      <c r="G14513" s="18"/>
      <c r="H14513" s="16" t="s">
        <v>87</v>
      </c>
      <c r="I14513" s="16" t="s">
        <v>87</v>
      </c>
      <c r="J14513" s="19"/>
      <c r="L14513" s="16" t="str">
        <f>IFERROR(__xludf.DUMMYFUNCTION("""COMPUTED_VALUE"""),"")</f>
        <v/>
      </c>
      <c r="M14513" s="16" t="str">
        <f>IFERROR(__xludf.DUMMYFUNCTION("""COMPUTED_VALUE"""),"")</f>
        <v/>
      </c>
      <c r="U14513" s="16" t="s">
        <v>87</v>
      </c>
      <c r="V14513" s="16" t="str">
        <f>IFERROR(__xludf.DUMMYFUNCTION("""COMPUTED_VALUE"""),"")</f>
        <v/>
      </c>
      <c r="W14513" s="16" t="str">
        <f>IFERROR(__xludf.DUMMYFUNCTION("""COMPUTED_VALUE"""),"")</f>
        <v/>
      </c>
      <c r="X14513" s="16" t="str">
        <f>IFERROR(__xludf.DUMMYFUNCTION("""COMPUTED_VALUE"""),"")</f>
        <v/>
      </c>
      <c r="AC14513" s="16" t="str">
        <f>IFERROR(__xludf.DUMMYFUNCTION("""COMPUTED_VALUE"""),"")</f>
        <v/>
      </c>
    </row>
    <row r="14514">
      <c r="A14514" s="16" t="s">
        <v>87</v>
      </c>
      <c r="E14514" s="16" t="str">
        <f>IFERROR(__xludf.DUMMYFUNCTION("""COMPUTED_VALUE"""),"")</f>
        <v/>
      </c>
      <c r="G14514" s="18"/>
      <c r="H14514" s="16" t="s">
        <v>87</v>
      </c>
      <c r="I14514" s="16" t="s">
        <v>87</v>
      </c>
      <c r="J14514" s="19"/>
      <c r="L14514" s="16" t="str">
        <f>IFERROR(__xludf.DUMMYFUNCTION("""COMPUTED_VALUE"""),"")</f>
        <v/>
      </c>
      <c r="M14514" s="16" t="str">
        <f>IFERROR(__xludf.DUMMYFUNCTION("""COMPUTED_VALUE"""),"")</f>
        <v/>
      </c>
      <c r="U14514" s="16" t="s">
        <v>87</v>
      </c>
      <c r="V14514" s="16" t="str">
        <f>IFERROR(__xludf.DUMMYFUNCTION("""COMPUTED_VALUE"""),"")</f>
        <v/>
      </c>
      <c r="W14514" s="16" t="str">
        <f>IFERROR(__xludf.DUMMYFUNCTION("""COMPUTED_VALUE"""),"")</f>
        <v/>
      </c>
      <c r="X14514" s="16" t="str">
        <f>IFERROR(__xludf.DUMMYFUNCTION("""COMPUTED_VALUE"""),"")</f>
        <v/>
      </c>
      <c r="AC14514" s="16" t="str">
        <f>IFERROR(__xludf.DUMMYFUNCTION("""COMPUTED_VALUE"""),"")</f>
        <v/>
      </c>
    </row>
    <row r="14515">
      <c r="A14515" s="16" t="s">
        <v>87</v>
      </c>
      <c r="E14515" s="16" t="str">
        <f>IFERROR(__xludf.DUMMYFUNCTION("""COMPUTED_VALUE"""),"")</f>
        <v/>
      </c>
      <c r="G14515" s="18"/>
      <c r="H14515" s="16" t="s">
        <v>87</v>
      </c>
      <c r="I14515" s="16" t="s">
        <v>87</v>
      </c>
      <c r="J14515" s="19"/>
      <c r="L14515" s="16" t="str">
        <f>IFERROR(__xludf.DUMMYFUNCTION("""COMPUTED_VALUE"""),"")</f>
        <v/>
      </c>
      <c r="M14515" s="16" t="str">
        <f>IFERROR(__xludf.DUMMYFUNCTION("""COMPUTED_VALUE"""),"")</f>
        <v/>
      </c>
      <c r="U14515" s="16" t="s">
        <v>87</v>
      </c>
      <c r="V14515" s="16" t="str">
        <f>IFERROR(__xludf.DUMMYFUNCTION("""COMPUTED_VALUE"""),"")</f>
        <v/>
      </c>
      <c r="W14515" s="16" t="str">
        <f>IFERROR(__xludf.DUMMYFUNCTION("""COMPUTED_VALUE"""),"")</f>
        <v/>
      </c>
      <c r="X14515" s="16" t="str">
        <f>IFERROR(__xludf.DUMMYFUNCTION("""COMPUTED_VALUE"""),"")</f>
        <v/>
      </c>
      <c r="AC14515" s="16" t="str">
        <f>IFERROR(__xludf.DUMMYFUNCTION("""COMPUTED_VALUE"""),"")</f>
        <v/>
      </c>
    </row>
    <row r="14516">
      <c r="A14516" s="16" t="s">
        <v>87</v>
      </c>
      <c r="E14516" s="16" t="str">
        <f>IFERROR(__xludf.DUMMYFUNCTION("""COMPUTED_VALUE"""),"")</f>
        <v/>
      </c>
      <c r="G14516" s="18"/>
      <c r="H14516" s="16" t="s">
        <v>87</v>
      </c>
      <c r="I14516" s="16" t="s">
        <v>87</v>
      </c>
      <c r="J14516" s="19"/>
      <c r="L14516" s="16" t="str">
        <f>IFERROR(__xludf.DUMMYFUNCTION("""COMPUTED_VALUE"""),"")</f>
        <v/>
      </c>
      <c r="M14516" s="16" t="str">
        <f>IFERROR(__xludf.DUMMYFUNCTION("""COMPUTED_VALUE"""),"")</f>
        <v/>
      </c>
      <c r="U14516" s="16" t="s">
        <v>87</v>
      </c>
      <c r="V14516" s="16" t="str">
        <f>IFERROR(__xludf.DUMMYFUNCTION("""COMPUTED_VALUE"""),"")</f>
        <v/>
      </c>
      <c r="W14516" s="16" t="str">
        <f>IFERROR(__xludf.DUMMYFUNCTION("""COMPUTED_VALUE"""),"")</f>
        <v/>
      </c>
      <c r="X14516" s="16" t="str">
        <f>IFERROR(__xludf.DUMMYFUNCTION("""COMPUTED_VALUE"""),"")</f>
        <v/>
      </c>
      <c r="AC14516" s="16" t="str">
        <f>IFERROR(__xludf.DUMMYFUNCTION("""COMPUTED_VALUE"""),"")</f>
        <v/>
      </c>
    </row>
    <row r="14517">
      <c r="A14517" s="16" t="s">
        <v>87</v>
      </c>
      <c r="E14517" s="16" t="str">
        <f>IFERROR(__xludf.DUMMYFUNCTION("""COMPUTED_VALUE"""),"")</f>
        <v/>
      </c>
      <c r="G14517" s="18"/>
      <c r="H14517" s="16" t="s">
        <v>87</v>
      </c>
      <c r="I14517" s="16" t="s">
        <v>87</v>
      </c>
      <c r="J14517" s="19"/>
      <c r="L14517" s="16" t="str">
        <f>IFERROR(__xludf.DUMMYFUNCTION("""COMPUTED_VALUE"""),"")</f>
        <v/>
      </c>
      <c r="M14517" s="16" t="str">
        <f>IFERROR(__xludf.DUMMYFUNCTION("""COMPUTED_VALUE"""),"")</f>
        <v/>
      </c>
      <c r="U14517" s="16" t="s">
        <v>87</v>
      </c>
      <c r="V14517" s="16" t="str">
        <f>IFERROR(__xludf.DUMMYFUNCTION("""COMPUTED_VALUE"""),"")</f>
        <v/>
      </c>
      <c r="W14517" s="16" t="str">
        <f>IFERROR(__xludf.DUMMYFUNCTION("""COMPUTED_VALUE"""),"")</f>
        <v/>
      </c>
      <c r="X14517" s="16" t="str">
        <f>IFERROR(__xludf.DUMMYFUNCTION("""COMPUTED_VALUE"""),"")</f>
        <v/>
      </c>
      <c r="AC14517" s="16" t="str">
        <f>IFERROR(__xludf.DUMMYFUNCTION("""COMPUTED_VALUE"""),"")</f>
        <v/>
      </c>
    </row>
    <row r="14518">
      <c r="A14518" s="16" t="s">
        <v>87</v>
      </c>
      <c r="E14518" s="16" t="str">
        <f>IFERROR(__xludf.DUMMYFUNCTION("""COMPUTED_VALUE"""),"")</f>
        <v/>
      </c>
      <c r="G14518" s="18"/>
      <c r="H14518" s="16" t="s">
        <v>87</v>
      </c>
      <c r="I14518" s="16" t="s">
        <v>87</v>
      </c>
      <c r="J14518" s="19"/>
      <c r="L14518" s="16" t="str">
        <f>IFERROR(__xludf.DUMMYFUNCTION("""COMPUTED_VALUE"""),"")</f>
        <v/>
      </c>
      <c r="M14518" s="16" t="str">
        <f>IFERROR(__xludf.DUMMYFUNCTION("""COMPUTED_VALUE"""),"")</f>
        <v/>
      </c>
      <c r="U14518" s="16" t="s">
        <v>87</v>
      </c>
      <c r="V14518" s="16" t="str">
        <f>IFERROR(__xludf.DUMMYFUNCTION("""COMPUTED_VALUE"""),"")</f>
        <v/>
      </c>
      <c r="W14518" s="16" t="str">
        <f>IFERROR(__xludf.DUMMYFUNCTION("""COMPUTED_VALUE"""),"")</f>
        <v/>
      </c>
      <c r="X14518" s="16" t="str">
        <f>IFERROR(__xludf.DUMMYFUNCTION("""COMPUTED_VALUE"""),"")</f>
        <v/>
      </c>
      <c r="AC14518" s="16" t="str">
        <f>IFERROR(__xludf.DUMMYFUNCTION("""COMPUTED_VALUE"""),"")</f>
        <v/>
      </c>
    </row>
    <row r="14519">
      <c r="A14519" s="16" t="s">
        <v>87</v>
      </c>
      <c r="E14519" s="16" t="str">
        <f>IFERROR(__xludf.DUMMYFUNCTION("""COMPUTED_VALUE"""),"")</f>
        <v/>
      </c>
      <c r="G14519" s="18"/>
      <c r="H14519" s="16" t="s">
        <v>87</v>
      </c>
      <c r="I14519" s="16" t="s">
        <v>87</v>
      </c>
      <c r="J14519" s="19"/>
      <c r="L14519" s="16" t="str">
        <f>IFERROR(__xludf.DUMMYFUNCTION("""COMPUTED_VALUE"""),"")</f>
        <v/>
      </c>
      <c r="M14519" s="16" t="str">
        <f>IFERROR(__xludf.DUMMYFUNCTION("""COMPUTED_VALUE"""),"")</f>
        <v/>
      </c>
      <c r="U14519" s="16" t="s">
        <v>87</v>
      </c>
      <c r="V14519" s="16" t="str">
        <f>IFERROR(__xludf.DUMMYFUNCTION("""COMPUTED_VALUE"""),"")</f>
        <v/>
      </c>
      <c r="W14519" s="16" t="str">
        <f>IFERROR(__xludf.DUMMYFUNCTION("""COMPUTED_VALUE"""),"")</f>
        <v/>
      </c>
      <c r="X14519" s="16" t="str">
        <f>IFERROR(__xludf.DUMMYFUNCTION("""COMPUTED_VALUE"""),"")</f>
        <v/>
      </c>
      <c r="AC14519" s="16" t="str">
        <f>IFERROR(__xludf.DUMMYFUNCTION("""COMPUTED_VALUE"""),"")</f>
        <v/>
      </c>
    </row>
    <row r="14520">
      <c r="A14520" s="16" t="s">
        <v>87</v>
      </c>
      <c r="E14520" s="16" t="str">
        <f>IFERROR(__xludf.DUMMYFUNCTION("""COMPUTED_VALUE"""),"")</f>
        <v/>
      </c>
      <c r="G14520" s="18"/>
      <c r="H14520" s="16" t="s">
        <v>87</v>
      </c>
      <c r="I14520" s="16" t="s">
        <v>87</v>
      </c>
      <c r="J14520" s="19"/>
      <c r="L14520" s="16" t="str">
        <f>IFERROR(__xludf.DUMMYFUNCTION("""COMPUTED_VALUE"""),"")</f>
        <v/>
      </c>
      <c r="M14520" s="16" t="str">
        <f>IFERROR(__xludf.DUMMYFUNCTION("""COMPUTED_VALUE"""),"")</f>
        <v/>
      </c>
      <c r="U14520" s="16" t="s">
        <v>87</v>
      </c>
      <c r="V14520" s="16" t="str">
        <f>IFERROR(__xludf.DUMMYFUNCTION("""COMPUTED_VALUE"""),"")</f>
        <v/>
      </c>
      <c r="W14520" s="16" t="str">
        <f>IFERROR(__xludf.DUMMYFUNCTION("""COMPUTED_VALUE"""),"")</f>
        <v/>
      </c>
      <c r="X14520" s="16" t="str">
        <f>IFERROR(__xludf.DUMMYFUNCTION("""COMPUTED_VALUE"""),"")</f>
        <v/>
      </c>
      <c r="AC14520" s="16" t="str">
        <f>IFERROR(__xludf.DUMMYFUNCTION("""COMPUTED_VALUE"""),"")</f>
        <v/>
      </c>
    </row>
    <row r="14521">
      <c r="A14521" s="16" t="s">
        <v>87</v>
      </c>
      <c r="E14521" s="16" t="str">
        <f>IFERROR(__xludf.DUMMYFUNCTION("""COMPUTED_VALUE"""),"")</f>
        <v/>
      </c>
      <c r="G14521" s="18"/>
      <c r="H14521" s="16" t="s">
        <v>87</v>
      </c>
      <c r="I14521" s="16" t="s">
        <v>87</v>
      </c>
      <c r="J14521" s="19"/>
      <c r="L14521" s="16" t="str">
        <f>IFERROR(__xludf.DUMMYFUNCTION("""COMPUTED_VALUE"""),"")</f>
        <v/>
      </c>
      <c r="M14521" s="16" t="str">
        <f>IFERROR(__xludf.DUMMYFUNCTION("""COMPUTED_VALUE"""),"")</f>
        <v/>
      </c>
      <c r="U14521" s="16" t="s">
        <v>87</v>
      </c>
      <c r="V14521" s="16" t="str">
        <f>IFERROR(__xludf.DUMMYFUNCTION("""COMPUTED_VALUE"""),"")</f>
        <v/>
      </c>
      <c r="W14521" s="16" t="str">
        <f>IFERROR(__xludf.DUMMYFUNCTION("""COMPUTED_VALUE"""),"")</f>
        <v/>
      </c>
      <c r="X14521" s="16" t="str">
        <f>IFERROR(__xludf.DUMMYFUNCTION("""COMPUTED_VALUE"""),"")</f>
        <v/>
      </c>
      <c r="AC14521" s="16" t="str">
        <f>IFERROR(__xludf.DUMMYFUNCTION("""COMPUTED_VALUE"""),"")</f>
        <v/>
      </c>
    </row>
    <row r="14522">
      <c r="A14522" s="16" t="s">
        <v>87</v>
      </c>
      <c r="E14522" s="16" t="str">
        <f>IFERROR(__xludf.DUMMYFUNCTION("""COMPUTED_VALUE"""),"")</f>
        <v/>
      </c>
      <c r="G14522" s="18"/>
      <c r="H14522" s="16" t="s">
        <v>87</v>
      </c>
      <c r="I14522" s="16" t="s">
        <v>87</v>
      </c>
      <c r="J14522" s="19"/>
      <c r="L14522" s="16" t="str">
        <f>IFERROR(__xludf.DUMMYFUNCTION("""COMPUTED_VALUE"""),"")</f>
        <v/>
      </c>
      <c r="M14522" s="16" t="str">
        <f>IFERROR(__xludf.DUMMYFUNCTION("""COMPUTED_VALUE"""),"")</f>
        <v/>
      </c>
      <c r="U14522" s="16" t="s">
        <v>87</v>
      </c>
      <c r="V14522" s="16" t="str">
        <f>IFERROR(__xludf.DUMMYFUNCTION("""COMPUTED_VALUE"""),"")</f>
        <v/>
      </c>
      <c r="W14522" s="16" t="str">
        <f>IFERROR(__xludf.DUMMYFUNCTION("""COMPUTED_VALUE"""),"")</f>
        <v/>
      </c>
      <c r="X14522" s="16" t="str">
        <f>IFERROR(__xludf.DUMMYFUNCTION("""COMPUTED_VALUE"""),"")</f>
        <v/>
      </c>
      <c r="AC14522" s="16" t="str">
        <f>IFERROR(__xludf.DUMMYFUNCTION("""COMPUTED_VALUE"""),"")</f>
        <v/>
      </c>
    </row>
    <row r="14523">
      <c r="A14523" s="16" t="s">
        <v>87</v>
      </c>
      <c r="E14523" s="16" t="str">
        <f>IFERROR(__xludf.DUMMYFUNCTION("""COMPUTED_VALUE"""),"")</f>
        <v/>
      </c>
      <c r="G14523" s="18"/>
      <c r="H14523" s="16" t="s">
        <v>87</v>
      </c>
      <c r="I14523" s="16" t="s">
        <v>87</v>
      </c>
      <c r="J14523" s="19"/>
      <c r="L14523" s="16" t="str">
        <f>IFERROR(__xludf.DUMMYFUNCTION("""COMPUTED_VALUE"""),"")</f>
        <v/>
      </c>
      <c r="M14523" s="16" t="str">
        <f>IFERROR(__xludf.DUMMYFUNCTION("""COMPUTED_VALUE"""),"")</f>
        <v/>
      </c>
      <c r="U14523" s="16" t="s">
        <v>87</v>
      </c>
      <c r="V14523" s="16" t="str">
        <f>IFERROR(__xludf.DUMMYFUNCTION("""COMPUTED_VALUE"""),"")</f>
        <v/>
      </c>
      <c r="W14523" s="16" t="str">
        <f>IFERROR(__xludf.DUMMYFUNCTION("""COMPUTED_VALUE"""),"")</f>
        <v/>
      </c>
      <c r="X14523" s="16" t="str">
        <f>IFERROR(__xludf.DUMMYFUNCTION("""COMPUTED_VALUE"""),"")</f>
        <v/>
      </c>
      <c r="AC14523" s="16" t="str">
        <f>IFERROR(__xludf.DUMMYFUNCTION("""COMPUTED_VALUE"""),"")</f>
        <v/>
      </c>
    </row>
    <row r="14524">
      <c r="A14524" s="16" t="s">
        <v>87</v>
      </c>
      <c r="E14524" s="16" t="str">
        <f>IFERROR(__xludf.DUMMYFUNCTION("""COMPUTED_VALUE"""),"")</f>
        <v/>
      </c>
      <c r="G14524" s="18"/>
      <c r="H14524" s="16" t="s">
        <v>87</v>
      </c>
      <c r="I14524" s="16" t="s">
        <v>87</v>
      </c>
      <c r="J14524" s="19"/>
      <c r="L14524" s="16" t="str">
        <f>IFERROR(__xludf.DUMMYFUNCTION("""COMPUTED_VALUE"""),"")</f>
        <v/>
      </c>
      <c r="M14524" s="16" t="str">
        <f>IFERROR(__xludf.DUMMYFUNCTION("""COMPUTED_VALUE"""),"")</f>
        <v/>
      </c>
      <c r="U14524" s="16" t="s">
        <v>87</v>
      </c>
      <c r="V14524" s="16" t="str">
        <f>IFERROR(__xludf.DUMMYFUNCTION("""COMPUTED_VALUE"""),"")</f>
        <v/>
      </c>
      <c r="W14524" s="16" t="str">
        <f>IFERROR(__xludf.DUMMYFUNCTION("""COMPUTED_VALUE"""),"")</f>
        <v/>
      </c>
      <c r="X14524" s="16" t="str">
        <f>IFERROR(__xludf.DUMMYFUNCTION("""COMPUTED_VALUE"""),"")</f>
        <v/>
      </c>
      <c r="AC14524" s="16" t="str">
        <f>IFERROR(__xludf.DUMMYFUNCTION("""COMPUTED_VALUE"""),"")</f>
        <v/>
      </c>
    </row>
    <row r="14525">
      <c r="A14525" s="16" t="s">
        <v>87</v>
      </c>
      <c r="E14525" s="16" t="str">
        <f>IFERROR(__xludf.DUMMYFUNCTION("""COMPUTED_VALUE"""),"")</f>
        <v/>
      </c>
      <c r="G14525" s="18"/>
      <c r="H14525" s="16" t="s">
        <v>87</v>
      </c>
      <c r="I14525" s="16" t="s">
        <v>87</v>
      </c>
      <c r="J14525" s="19"/>
      <c r="L14525" s="16" t="str">
        <f>IFERROR(__xludf.DUMMYFUNCTION("""COMPUTED_VALUE"""),"")</f>
        <v/>
      </c>
      <c r="M14525" s="16" t="str">
        <f>IFERROR(__xludf.DUMMYFUNCTION("""COMPUTED_VALUE"""),"")</f>
        <v/>
      </c>
      <c r="U14525" s="16" t="s">
        <v>87</v>
      </c>
      <c r="V14525" s="16" t="str">
        <f>IFERROR(__xludf.DUMMYFUNCTION("""COMPUTED_VALUE"""),"")</f>
        <v/>
      </c>
      <c r="W14525" s="16" t="str">
        <f>IFERROR(__xludf.DUMMYFUNCTION("""COMPUTED_VALUE"""),"")</f>
        <v/>
      </c>
      <c r="X14525" s="16" t="str">
        <f>IFERROR(__xludf.DUMMYFUNCTION("""COMPUTED_VALUE"""),"")</f>
        <v/>
      </c>
      <c r="AC14525" s="16" t="str">
        <f>IFERROR(__xludf.DUMMYFUNCTION("""COMPUTED_VALUE"""),"")</f>
        <v/>
      </c>
    </row>
    <row r="14526">
      <c r="A14526" s="16" t="s">
        <v>87</v>
      </c>
      <c r="E14526" s="16" t="str">
        <f>IFERROR(__xludf.DUMMYFUNCTION("""COMPUTED_VALUE"""),"")</f>
        <v/>
      </c>
      <c r="G14526" s="18"/>
      <c r="H14526" s="16" t="s">
        <v>87</v>
      </c>
      <c r="I14526" s="16" t="s">
        <v>87</v>
      </c>
      <c r="J14526" s="19"/>
      <c r="L14526" s="16" t="str">
        <f>IFERROR(__xludf.DUMMYFUNCTION("""COMPUTED_VALUE"""),"")</f>
        <v/>
      </c>
      <c r="M14526" s="16" t="str">
        <f>IFERROR(__xludf.DUMMYFUNCTION("""COMPUTED_VALUE"""),"")</f>
        <v/>
      </c>
      <c r="U14526" s="16" t="s">
        <v>87</v>
      </c>
      <c r="V14526" s="16" t="str">
        <f>IFERROR(__xludf.DUMMYFUNCTION("""COMPUTED_VALUE"""),"")</f>
        <v/>
      </c>
      <c r="W14526" s="16" t="str">
        <f>IFERROR(__xludf.DUMMYFUNCTION("""COMPUTED_VALUE"""),"")</f>
        <v/>
      </c>
      <c r="X14526" s="16" t="str">
        <f>IFERROR(__xludf.DUMMYFUNCTION("""COMPUTED_VALUE"""),"")</f>
        <v/>
      </c>
      <c r="AC14526" s="16" t="str">
        <f>IFERROR(__xludf.DUMMYFUNCTION("""COMPUTED_VALUE"""),"")</f>
        <v/>
      </c>
    </row>
    <row r="14527">
      <c r="A14527" s="16" t="s">
        <v>87</v>
      </c>
      <c r="E14527" s="16" t="str">
        <f>IFERROR(__xludf.DUMMYFUNCTION("""COMPUTED_VALUE"""),"")</f>
        <v/>
      </c>
      <c r="G14527" s="18"/>
      <c r="H14527" s="16" t="s">
        <v>87</v>
      </c>
      <c r="I14527" s="16" t="s">
        <v>87</v>
      </c>
      <c r="J14527" s="19"/>
      <c r="L14527" s="16" t="str">
        <f>IFERROR(__xludf.DUMMYFUNCTION("""COMPUTED_VALUE"""),"")</f>
        <v/>
      </c>
      <c r="M14527" s="16" t="str">
        <f>IFERROR(__xludf.DUMMYFUNCTION("""COMPUTED_VALUE"""),"")</f>
        <v/>
      </c>
      <c r="U14527" s="16" t="s">
        <v>87</v>
      </c>
      <c r="V14527" s="16" t="str">
        <f>IFERROR(__xludf.DUMMYFUNCTION("""COMPUTED_VALUE"""),"")</f>
        <v/>
      </c>
      <c r="W14527" s="16" t="str">
        <f>IFERROR(__xludf.DUMMYFUNCTION("""COMPUTED_VALUE"""),"")</f>
        <v/>
      </c>
      <c r="X14527" s="16" t="str">
        <f>IFERROR(__xludf.DUMMYFUNCTION("""COMPUTED_VALUE"""),"")</f>
        <v/>
      </c>
      <c r="AC14527" s="16" t="str">
        <f>IFERROR(__xludf.DUMMYFUNCTION("""COMPUTED_VALUE"""),"")</f>
        <v/>
      </c>
    </row>
    <row r="14528">
      <c r="A14528" s="16" t="s">
        <v>87</v>
      </c>
      <c r="E14528" s="16" t="str">
        <f>IFERROR(__xludf.DUMMYFUNCTION("""COMPUTED_VALUE"""),"")</f>
        <v/>
      </c>
      <c r="G14528" s="18"/>
      <c r="H14528" s="16" t="s">
        <v>87</v>
      </c>
      <c r="I14528" s="16" t="s">
        <v>87</v>
      </c>
      <c r="J14528" s="19"/>
      <c r="L14528" s="16" t="str">
        <f>IFERROR(__xludf.DUMMYFUNCTION("""COMPUTED_VALUE"""),"")</f>
        <v/>
      </c>
      <c r="M14528" s="16" t="str">
        <f>IFERROR(__xludf.DUMMYFUNCTION("""COMPUTED_VALUE"""),"")</f>
        <v/>
      </c>
      <c r="U14528" s="16" t="s">
        <v>87</v>
      </c>
      <c r="V14528" s="16" t="str">
        <f>IFERROR(__xludf.DUMMYFUNCTION("""COMPUTED_VALUE"""),"")</f>
        <v/>
      </c>
      <c r="W14528" s="16" t="str">
        <f>IFERROR(__xludf.DUMMYFUNCTION("""COMPUTED_VALUE"""),"")</f>
        <v/>
      </c>
      <c r="X14528" s="16" t="str">
        <f>IFERROR(__xludf.DUMMYFUNCTION("""COMPUTED_VALUE"""),"")</f>
        <v/>
      </c>
      <c r="AC14528" s="16" t="str">
        <f>IFERROR(__xludf.DUMMYFUNCTION("""COMPUTED_VALUE"""),"")</f>
        <v/>
      </c>
    </row>
    <row r="14529">
      <c r="A14529" s="16" t="s">
        <v>87</v>
      </c>
      <c r="E14529" s="16" t="str">
        <f>IFERROR(__xludf.DUMMYFUNCTION("""COMPUTED_VALUE"""),"")</f>
        <v/>
      </c>
      <c r="G14529" s="18"/>
      <c r="H14529" s="16" t="s">
        <v>87</v>
      </c>
      <c r="I14529" s="16" t="s">
        <v>87</v>
      </c>
      <c r="J14529" s="19"/>
      <c r="L14529" s="16" t="str">
        <f>IFERROR(__xludf.DUMMYFUNCTION("""COMPUTED_VALUE"""),"")</f>
        <v/>
      </c>
      <c r="M14529" s="16" t="str">
        <f>IFERROR(__xludf.DUMMYFUNCTION("""COMPUTED_VALUE"""),"")</f>
        <v/>
      </c>
      <c r="U14529" s="16" t="s">
        <v>87</v>
      </c>
      <c r="V14529" s="16" t="str">
        <f>IFERROR(__xludf.DUMMYFUNCTION("""COMPUTED_VALUE"""),"")</f>
        <v/>
      </c>
      <c r="W14529" s="16" t="str">
        <f>IFERROR(__xludf.DUMMYFUNCTION("""COMPUTED_VALUE"""),"")</f>
        <v/>
      </c>
      <c r="X14529" s="16" t="str">
        <f>IFERROR(__xludf.DUMMYFUNCTION("""COMPUTED_VALUE"""),"")</f>
        <v/>
      </c>
      <c r="AC14529" s="16" t="str">
        <f>IFERROR(__xludf.DUMMYFUNCTION("""COMPUTED_VALUE"""),"")</f>
        <v/>
      </c>
    </row>
    <row r="14530">
      <c r="A14530" s="16" t="s">
        <v>87</v>
      </c>
      <c r="E14530" s="16" t="str">
        <f>IFERROR(__xludf.DUMMYFUNCTION("""COMPUTED_VALUE"""),"")</f>
        <v/>
      </c>
      <c r="G14530" s="18"/>
      <c r="H14530" s="16" t="s">
        <v>87</v>
      </c>
      <c r="I14530" s="16" t="s">
        <v>87</v>
      </c>
      <c r="J14530" s="19"/>
      <c r="L14530" s="16" t="str">
        <f>IFERROR(__xludf.DUMMYFUNCTION("""COMPUTED_VALUE"""),"")</f>
        <v/>
      </c>
      <c r="M14530" s="16" t="str">
        <f>IFERROR(__xludf.DUMMYFUNCTION("""COMPUTED_VALUE"""),"")</f>
        <v/>
      </c>
      <c r="U14530" s="16" t="s">
        <v>87</v>
      </c>
      <c r="V14530" s="16" t="str">
        <f>IFERROR(__xludf.DUMMYFUNCTION("""COMPUTED_VALUE"""),"")</f>
        <v/>
      </c>
      <c r="W14530" s="16" t="str">
        <f>IFERROR(__xludf.DUMMYFUNCTION("""COMPUTED_VALUE"""),"")</f>
        <v/>
      </c>
      <c r="X14530" s="16" t="str">
        <f>IFERROR(__xludf.DUMMYFUNCTION("""COMPUTED_VALUE"""),"")</f>
        <v/>
      </c>
      <c r="AC14530" s="16" t="str">
        <f>IFERROR(__xludf.DUMMYFUNCTION("""COMPUTED_VALUE"""),"")</f>
        <v/>
      </c>
    </row>
    <row r="14531">
      <c r="A14531" s="16" t="s">
        <v>87</v>
      </c>
      <c r="E14531" s="16" t="str">
        <f>IFERROR(__xludf.DUMMYFUNCTION("""COMPUTED_VALUE"""),"")</f>
        <v/>
      </c>
      <c r="G14531" s="18"/>
      <c r="H14531" s="16" t="s">
        <v>87</v>
      </c>
      <c r="I14531" s="16" t="s">
        <v>87</v>
      </c>
      <c r="J14531" s="19"/>
      <c r="L14531" s="16" t="str">
        <f>IFERROR(__xludf.DUMMYFUNCTION("""COMPUTED_VALUE"""),"")</f>
        <v/>
      </c>
      <c r="M14531" s="16" t="str">
        <f>IFERROR(__xludf.DUMMYFUNCTION("""COMPUTED_VALUE"""),"")</f>
        <v/>
      </c>
      <c r="U14531" s="16" t="s">
        <v>87</v>
      </c>
      <c r="V14531" s="16" t="str">
        <f>IFERROR(__xludf.DUMMYFUNCTION("""COMPUTED_VALUE"""),"")</f>
        <v/>
      </c>
      <c r="W14531" s="16" t="str">
        <f>IFERROR(__xludf.DUMMYFUNCTION("""COMPUTED_VALUE"""),"")</f>
        <v/>
      </c>
      <c r="X14531" s="16" t="str">
        <f>IFERROR(__xludf.DUMMYFUNCTION("""COMPUTED_VALUE"""),"")</f>
        <v/>
      </c>
      <c r="AC14531" s="16" t="str">
        <f>IFERROR(__xludf.DUMMYFUNCTION("""COMPUTED_VALUE"""),"")</f>
        <v/>
      </c>
    </row>
    <row r="14532">
      <c r="A14532" s="16" t="s">
        <v>87</v>
      </c>
      <c r="E14532" s="16" t="str">
        <f>IFERROR(__xludf.DUMMYFUNCTION("""COMPUTED_VALUE"""),"")</f>
        <v/>
      </c>
      <c r="G14532" s="18"/>
      <c r="H14532" s="16" t="s">
        <v>87</v>
      </c>
      <c r="I14532" s="16" t="s">
        <v>87</v>
      </c>
      <c r="J14532" s="19"/>
      <c r="L14532" s="16" t="str">
        <f>IFERROR(__xludf.DUMMYFUNCTION("""COMPUTED_VALUE"""),"")</f>
        <v/>
      </c>
      <c r="M14532" s="16" t="str">
        <f>IFERROR(__xludf.DUMMYFUNCTION("""COMPUTED_VALUE"""),"")</f>
        <v/>
      </c>
      <c r="U14532" s="16" t="s">
        <v>87</v>
      </c>
      <c r="V14532" s="16" t="str">
        <f>IFERROR(__xludf.DUMMYFUNCTION("""COMPUTED_VALUE"""),"")</f>
        <v/>
      </c>
      <c r="W14532" s="16" t="str">
        <f>IFERROR(__xludf.DUMMYFUNCTION("""COMPUTED_VALUE"""),"")</f>
        <v/>
      </c>
      <c r="X14532" s="16" t="str">
        <f>IFERROR(__xludf.DUMMYFUNCTION("""COMPUTED_VALUE"""),"")</f>
        <v/>
      </c>
      <c r="AC14532" s="16" t="str">
        <f>IFERROR(__xludf.DUMMYFUNCTION("""COMPUTED_VALUE"""),"")</f>
        <v/>
      </c>
    </row>
    <row r="14533">
      <c r="A14533" s="16" t="s">
        <v>87</v>
      </c>
      <c r="E14533" s="16" t="str">
        <f>IFERROR(__xludf.DUMMYFUNCTION("""COMPUTED_VALUE"""),"")</f>
        <v/>
      </c>
      <c r="G14533" s="18"/>
      <c r="H14533" s="16" t="s">
        <v>87</v>
      </c>
      <c r="I14533" s="16" t="s">
        <v>87</v>
      </c>
      <c r="J14533" s="19"/>
      <c r="L14533" s="16" t="str">
        <f>IFERROR(__xludf.DUMMYFUNCTION("""COMPUTED_VALUE"""),"")</f>
        <v/>
      </c>
      <c r="M14533" s="16" t="str">
        <f>IFERROR(__xludf.DUMMYFUNCTION("""COMPUTED_VALUE"""),"")</f>
        <v/>
      </c>
      <c r="U14533" s="16" t="s">
        <v>87</v>
      </c>
      <c r="V14533" s="16" t="str">
        <f>IFERROR(__xludf.DUMMYFUNCTION("""COMPUTED_VALUE"""),"")</f>
        <v/>
      </c>
      <c r="W14533" s="16" t="str">
        <f>IFERROR(__xludf.DUMMYFUNCTION("""COMPUTED_VALUE"""),"")</f>
        <v/>
      </c>
      <c r="X14533" s="16" t="str">
        <f>IFERROR(__xludf.DUMMYFUNCTION("""COMPUTED_VALUE"""),"")</f>
        <v/>
      </c>
      <c r="AC14533" s="16" t="str">
        <f>IFERROR(__xludf.DUMMYFUNCTION("""COMPUTED_VALUE"""),"")</f>
        <v/>
      </c>
    </row>
    <row r="14534">
      <c r="A14534" s="16" t="s">
        <v>87</v>
      </c>
      <c r="E14534" s="16" t="str">
        <f>IFERROR(__xludf.DUMMYFUNCTION("""COMPUTED_VALUE"""),"")</f>
        <v/>
      </c>
      <c r="G14534" s="18"/>
      <c r="H14534" s="16" t="s">
        <v>87</v>
      </c>
      <c r="I14534" s="16" t="s">
        <v>87</v>
      </c>
      <c r="J14534" s="19"/>
      <c r="L14534" s="16" t="str">
        <f>IFERROR(__xludf.DUMMYFUNCTION("""COMPUTED_VALUE"""),"")</f>
        <v/>
      </c>
      <c r="M14534" s="16" t="str">
        <f>IFERROR(__xludf.DUMMYFUNCTION("""COMPUTED_VALUE"""),"")</f>
        <v/>
      </c>
      <c r="U14534" s="16" t="s">
        <v>87</v>
      </c>
      <c r="V14534" s="16" t="str">
        <f>IFERROR(__xludf.DUMMYFUNCTION("""COMPUTED_VALUE"""),"")</f>
        <v/>
      </c>
      <c r="W14534" s="16" t="str">
        <f>IFERROR(__xludf.DUMMYFUNCTION("""COMPUTED_VALUE"""),"")</f>
        <v/>
      </c>
      <c r="X14534" s="16" t="str">
        <f>IFERROR(__xludf.DUMMYFUNCTION("""COMPUTED_VALUE"""),"")</f>
        <v/>
      </c>
      <c r="AC14534" s="16" t="str">
        <f>IFERROR(__xludf.DUMMYFUNCTION("""COMPUTED_VALUE"""),"")</f>
        <v/>
      </c>
    </row>
    <row r="14535">
      <c r="A14535" s="16" t="s">
        <v>87</v>
      </c>
      <c r="E14535" s="16" t="str">
        <f>IFERROR(__xludf.DUMMYFUNCTION("""COMPUTED_VALUE"""),"")</f>
        <v/>
      </c>
      <c r="G14535" s="18"/>
      <c r="H14535" s="16" t="s">
        <v>87</v>
      </c>
      <c r="I14535" s="16" t="s">
        <v>87</v>
      </c>
      <c r="J14535" s="19"/>
      <c r="L14535" s="16" t="str">
        <f>IFERROR(__xludf.DUMMYFUNCTION("""COMPUTED_VALUE"""),"")</f>
        <v/>
      </c>
      <c r="M14535" s="16" t="str">
        <f>IFERROR(__xludf.DUMMYFUNCTION("""COMPUTED_VALUE"""),"")</f>
        <v/>
      </c>
      <c r="U14535" s="16" t="s">
        <v>87</v>
      </c>
      <c r="V14535" s="16" t="str">
        <f>IFERROR(__xludf.DUMMYFUNCTION("""COMPUTED_VALUE"""),"")</f>
        <v/>
      </c>
      <c r="W14535" s="16" t="str">
        <f>IFERROR(__xludf.DUMMYFUNCTION("""COMPUTED_VALUE"""),"")</f>
        <v/>
      </c>
      <c r="X14535" s="16" t="str">
        <f>IFERROR(__xludf.DUMMYFUNCTION("""COMPUTED_VALUE"""),"")</f>
        <v/>
      </c>
      <c r="AC14535" s="16" t="str">
        <f>IFERROR(__xludf.DUMMYFUNCTION("""COMPUTED_VALUE"""),"")</f>
        <v/>
      </c>
    </row>
    <row r="14536">
      <c r="A14536" s="16" t="s">
        <v>87</v>
      </c>
      <c r="E14536" s="16" t="str">
        <f>IFERROR(__xludf.DUMMYFUNCTION("""COMPUTED_VALUE"""),"")</f>
        <v/>
      </c>
      <c r="G14536" s="18"/>
      <c r="H14536" s="16" t="s">
        <v>87</v>
      </c>
      <c r="I14536" s="16" t="s">
        <v>87</v>
      </c>
      <c r="J14536" s="19"/>
      <c r="L14536" s="16" t="str">
        <f>IFERROR(__xludf.DUMMYFUNCTION("""COMPUTED_VALUE"""),"")</f>
        <v/>
      </c>
      <c r="M14536" s="16" t="str">
        <f>IFERROR(__xludf.DUMMYFUNCTION("""COMPUTED_VALUE"""),"")</f>
        <v/>
      </c>
      <c r="U14536" s="16" t="s">
        <v>87</v>
      </c>
      <c r="V14536" s="16" t="str">
        <f>IFERROR(__xludf.DUMMYFUNCTION("""COMPUTED_VALUE"""),"")</f>
        <v/>
      </c>
      <c r="W14536" s="16" t="str">
        <f>IFERROR(__xludf.DUMMYFUNCTION("""COMPUTED_VALUE"""),"")</f>
        <v/>
      </c>
      <c r="X14536" s="16" t="str">
        <f>IFERROR(__xludf.DUMMYFUNCTION("""COMPUTED_VALUE"""),"")</f>
        <v/>
      </c>
      <c r="AC14536" s="16" t="str">
        <f>IFERROR(__xludf.DUMMYFUNCTION("""COMPUTED_VALUE"""),"")</f>
        <v/>
      </c>
    </row>
    <row r="14537">
      <c r="A14537" s="16" t="s">
        <v>87</v>
      </c>
      <c r="E14537" s="16" t="str">
        <f>IFERROR(__xludf.DUMMYFUNCTION("""COMPUTED_VALUE"""),"")</f>
        <v/>
      </c>
      <c r="G14537" s="18"/>
      <c r="H14537" s="16" t="s">
        <v>87</v>
      </c>
      <c r="I14537" s="16" t="s">
        <v>87</v>
      </c>
      <c r="J14537" s="19"/>
      <c r="L14537" s="16" t="str">
        <f>IFERROR(__xludf.DUMMYFUNCTION("""COMPUTED_VALUE"""),"")</f>
        <v/>
      </c>
      <c r="M14537" s="16" t="str">
        <f>IFERROR(__xludf.DUMMYFUNCTION("""COMPUTED_VALUE"""),"")</f>
        <v/>
      </c>
      <c r="U14537" s="16" t="s">
        <v>87</v>
      </c>
      <c r="V14537" s="16" t="str">
        <f>IFERROR(__xludf.DUMMYFUNCTION("""COMPUTED_VALUE"""),"")</f>
        <v/>
      </c>
      <c r="W14537" s="16" t="str">
        <f>IFERROR(__xludf.DUMMYFUNCTION("""COMPUTED_VALUE"""),"")</f>
        <v/>
      </c>
      <c r="X14537" s="16" t="str">
        <f>IFERROR(__xludf.DUMMYFUNCTION("""COMPUTED_VALUE"""),"")</f>
        <v/>
      </c>
      <c r="AC14537" s="16" t="str">
        <f>IFERROR(__xludf.DUMMYFUNCTION("""COMPUTED_VALUE"""),"")</f>
        <v/>
      </c>
    </row>
    <row r="14538">
      <c r="A14538" s="16" t="s">
        <v>87</v>
      </c>
      <c r="E14538" s="16" t="str">
        <f>IFERROR(__xludf.DUMMYFUNCTION("""COMPUTED_VALUE"""),"")</f>
        <v/>
      </c>
      <c r="G14538" s="18"/>
      <c r="H14538" s="16" t="s">
        <v>87</v>
      </c>
      <c r="I14538" s="16" t="s">
        <v>87</v>
      </c>
      <c r="J14538" s="19"/>
      <c r="L14538" s="16" t="str">
        <f>IFERROR(__xludf.DUMMYFUNCTION("""COMPUTED_VALUE"""),"")</f>
        <v/>
      </c>
      <c r="M14538" s="16" t="str">
        <f>IFERROR(__xludf.DUMMYFUNCTION("""COMPUTED_VALUE"""),"")</f>
        <v/>
      </c>
      <c r="U14538" s="16" t="s">
        <v>87</v>
      </c>
      <c r="V14538" s="16" t="str">
        <f>IFERROR(__xludf.DUMMYFUNCTION("""COMPUTED_VALUE"""),"")</f>
        <v/>
      </c>
      <c r="W14538" s="16" t="str">
        <f>IFERROR(__xludf.DUMMYFUNCTION("""COMPUTED_VALUE"""),"")</f>
        <v/>
      </c>
      <c r="X14538" s="16" t="str">
        <f>IFERROR(__xludf.DUMMYFUNCTION("""COMPUTED_VALUE"""),"")</f>
        <v/>
      </c>
      <c r="AC14538" s="16" t="str">
        <f>IFERROR(__xludf.DUMMYFUNCTION("""COMPUTED_VALUE"""),"")</f>
        <v/>
      </c>
    </row>
    <row r="14539">
      <c r="A14539" s="16" t="s">
        <v>87</v>
      </c>
      <c r="E14539" s="16" t="str">
        <f>IFERROR(__xludf.DUMMYFUNCTION("""COMPUTED_VALUE"""),"")</f>
        <v/>
      </c>
      <c r="G14539" s="18"/>
      <c r="H14539" s="16" t="s">
        <v>87</v>
      </c>
      <c r="I14539" s="16" t="s">
        <v>87</v>
      </c>
      <c r="J14539" s="19"/>
      <c r="L14539" s="16" t="str">
        <f>IFERROR(__xludf.DUMMYFUNCTION("""COMPUTED_VALUE"""),"")</f>
        <v/>
      </c>
      <c r="M14539" s="16" t="str">
        <f>IFERROR(__xludf.DUMMYFUNCTION("""COMPUTED_VALUE"""),"")</f>
        <v/>
      </c>
      <c r="U14539" s="16" t="s">
        <v>87</v>
      </c>
      <c r="V14539" s="16" t="str">
        <f>IFERROR(__xludf.DUMMYFUNCTION("""COMPUTED_VALUE"""),"")</f>
        <v/>
      </c>
      <c r="W14539" s="16" t="str">
        <f>IFERROR(__xludf.DUMMYFUNCTION("""COMPUTED_VALUE"""),"")</f>
        <v/>
      </c>
      <c r="X14539" s="16" t="str">
        <f>IFERROR(__xludf.DUMMYFUNCTION("""COMPUTED_VALUE"""),"")</f>
        <v/>
      </c>
      <c r="AC14539" s="16" t="str">
        <f>IFERROR(__xludf.DUMMYFUNCTION("""COMPUTED_VALUE"""),"")</f>
        <v/>
      </c>
    </row>
    <row r="14540">
      <c r="A14540" s="16" t="s">
        <v>87</v>
      </c>
      <c r="E14540" s="16" t="str">
        <f>IFERROR(__xludf.DUMMYFUNCTION("""COMPUTED_VALUE"""),"")</f>
        <v/>
      </c>
      <c r="G14540" s="18"/>
      <c r="H14540" s="16" t="s">
        <v>87</v>
      </c>
      <c r="I14540" s="16" t="s">
        <v>87</v>
      </c>
      <c r="J14540" s="19"/>
      <c r="L14540" s="16" t="str">
        <f>IFERROR(__xludf.DUMMYFUNCTION("""COMPUTED_VALUE"""),"")</f>
        <v/>
      </c>
      <c r="M14540" s="16" t="str">
        <f>IFERROR(__xludf.DUMMYFUNCTION("""COMPUTED_VALUE"""),"")</f>
        <v/>
      </c>
      <c r="U14540" s="16" t="s">
        <v>87</v>
      </c>
      <c r="V14540" s="16" t="str">
        <f>IFERROR(__xludf.DUMMYFUNCTION("""COMPUTED_VALUE"""),"")</f>
        <v/>
      </c>
      <c r="W14540" s="16" t="str">
        <f>IFERROR(__xludf.DUMMYFUNCTION("""COMPUTED_VALUE"""),"")</f>
        <v/>
      </c>
      <c r="X14540" s="16" t="str">
        <f>IFERROR(__xludf.DUMMYFUNCTION("""COMPUTED_VALUE"""),"")</f>
        <v/>
      </c>
      <c r="AC14540" s="16" t="str">
        <f>IFERROR(__xludf.DUMMYFUNCTION("""COMPUTED_VALUE"""),"")</f>
        <v/>
      </c>
    </row>
    <row r="14541">
      <c r="A14541" s="16" t="s">
        <v>87</v>
      </c>
      <c r="E14541" s="16" t="str">
        <f>IFERROR(__xludf.DUMMYFUNCTION("""COMPUTED_VALUE"""),"")</f>
        <v/>
      </c>
      <c r="G14541" s="18"/>
      <c r="H14541" s="16" t="s">
        <v>87</v>
      </c>
      <c r="I14541" s="16" t="s">
        <v>87</v>
      </c>
      <c r="J14541" s="19"/>
      <c r="L14541" s="16" t="str">
        <f>IFERROR(__xludf.DUMMYFUNCTION("""COMPUTED_VALUE"""),"")</f>
        <v/>
      </c>
      <c r="M14541" s="16" t="str">
        <f>IFERROR(__xludf.DUMMYFUNCTION("""COMPUTED_VALUE"""),"")</f>
        <v/>
      </c>
      <c r="U14541" s="16" t="s">
        <v>87</v>
      </c>
      <c r="V14541" s="16" t="str">
        <f>IFERROR(__xludf.DUMMYFUNCTION("""COMPUTED_VALUE"""),"")</f>
        <v/>
      </c>
      <c r="W14541" s="16" t="str">
        <f>IFERROR(__xludf.DUMMYFUNCTION("""COMPUTED_VALUE"""),"")</f>
        <v/>
      </c>
      <c r="X14541" s="16" t="str">
        <f>IFERROR(__xludf.DUMMYFUNCTION("""COMPUTED_VALUE"""),"")</f>
        <v/>
      </c>
      <c r="AC14541" s="16" t="str">
        <f>IFERROR(__xludf.DUMMYFUNCTION("""COMPUTED_VALUE"""),"")</f>
        <v/>
      </c>
    </row>
    <row r="14542">
      <c r="A14542" s="16" t="s">
        <v>87</v>
      </c>
      <c r="E14542" s="16" t="str">
        <f>IFERROR(__xludf.DUMMYFUNCTION("""COMPUTED_VALUE"""),"")</f>
        <v/>
      </c>
      <c r="G14542" s="18"/>
      <c r="H14542" s="16" t="s">
        <v>87</v>
      </c>
      <c r="I14542" s="16" t="s">
        <v>87</v>
      </c>
      <c r="J14542" s="19"/>
      <c r="L14542" s="16" t="str">
        <f>IFERROR(__xludf.DUMMYFUNCTION("""COMPUTED_VALUE"""),"")</f>
        <v/>
      </c>
      <c r="M14542" s="16" t="str">
        <f>IFERROR(__xludf.DUMMYFUNCTION("""COMPUTED_VALUE"""),"")</f>
        <v/>
      </c>
      <c r="U14542" s="16" t="s">
        <v>87</v>
      </c>
      <c r="V14542" s="16" t="str">
        <f>IFERROR(__xludf.DUMMYFUNCTION("""COMPUTED_VALUE"""),"")</f>
        <v/>
      </c>
      <c r="W14542" s="16" t="str">
        <f>IFERROR(__xludf.DUMMYFUNCTION("""COMPUTED_VALUE"""),"")</f>
        <v/>
      </c>
      <c r="X14542" s="16" t="str">
        <f>IFERROR(__xludf.DUMMYFUNCTION("""COMPUTED_VALUE"""),"")</f>
        <v/>
      </c>
      <c r="AC14542" s="16" t="str">
        <f>IFERROR(__xludf.DUMMYFUNCTION("""COMPUTED_VALUE"""),"")</f>
        <v/>
      </c>
    </row>
    <row r="14543">
      <c r="A14543" s="16" t="s">
        <v>87</v>
      </c>
      <c r="E14543" s="16" t="str">
        <f>IFERROR(__xludf.DUMMYFUNCTION("""COMPUTED_VALUE"""),"")</f>
        <v/>
      </c>
      <c r="G14543" s="18"/>
      <c r="H14543" s="16" t="s">
        <v>87</v>
      </c>
      <c r="I14543" s="16" t="s">
        <v>87</v>
      </c>
      <c r="J14543" s="19"/>
      <c r="L14543" s="16" t="str">
        <f>IFERROR(__xludf.DUMMYFUNCTION("""COMPUTED_VALUE"""),"")</f>
        <v/>
      </c>
      <c r="M14543" s="16" t="str">
        <f>IFERROR(__xludf.DUMMYFUNCTION("""COMPUTED_VALUE"""),"")</f>
        <v/>
      </c>
      <c r="U14543" s="16" t="s">
        <v>87</v>
      </c>
      <c r="V14543" s="16" t="str">
        <f>IFERROR(__xludf.DUMMYFUNCTION("""COMPUTED_VALUE"""),"")</f>
        <v/>
      </c>
      <c r="W14543" s="16" t="str">
        <f>IFERROR(__xludf.DUMMYFUNCTION("""COMPUTED_VALUE"""),"")</f>
        <v/>
      </c>
      <c r="X14543" s="16" t="str">
        <f>IFERROR(__xludf.DUMMYFUNCTION("""COMPUTED_VALUE"""),"")</f>
        <v/>
      </c>
      <c r="AC14543" s="16" t="str">
        <f>IFERROR(__xludf.DUMMYFUNCTION("""COMPUTED_VALUE"""),"")</f>
        <v/>
      </c>
    </row>
    <row r="14544">
      <c r="A14544" s="16" t="s">
        <v>87</v>
      </c>
      <c r="E14544" s="16" t="str">
        <f>IFERROR(__xludf.DUMMYFUNCTION("""COMPUTED_VALUE"""),"")</f>
        <v/>
      </c>
      <c r="G14544" s="18"/>
      <c r="H14544" s="16" t="s">
        <v>87</v>
      </c>
      <c r="I14544" s="16" t="s">
        <v>87</v>
      </c>
      <c r="J14544" s="19"/>
      <c r="L14544" s="16" t="str">
        <f>IFERROR(__xludf.DUMMYFUNCTION("""COMPUTED_VALUE"""),"")</f>
        <v/>
      </c>
      <c r="M14544" s="16" t="str">
        <f>IFERROR(__xludf.DUMMYFUNCTION("""COMPUTED_VALUE"""),"")</f>
        <v/>
      </c>
      <c r="U14544" s="16" t="s">
        <v>87</v>
      </c>
      <c r="V14544" s="16" t="str">
        <f>IFERROR(__xludf.DUMMYFUNCTION("""COMPUTED_VALUE"""),"")</f>
        <v/>
      </c>
      <c r="W14544" s="16" t="str">
        <f>IFERROR(__xludf.DUMMYFUNCTION("""COMPUTED_VALUE"""),"")</f>
        <v/>
      </c>
      <c r="X14544" s="16" t="str">
        <f>IFERROR(__xludf.DUMMYFUNCTION("""COMPUTED_VALUE"""),"")</f>
        <v/>
      </c>
      <c r="AC14544" s="16" t="str">
        <f>IFERROR(__xludf.DUMMYFUNCTION("""COMPUTED_VALUE"""),"")</f>
        <v/>
      </c>
    </row>
    <row r="14545">
      <c r="A14545" s="16" t="s">
        <v>87</v>
      </c>
      <c r="E14545" s="16" t="str">
        <f>IFERROR(__xludf.DUMMYFUNCTION("""COMPUTED_VALUE"""),"")</f>
        <v/>
      </c>
      <c r="G14545" s="18"/>
      <c r="H14545" s="16" t="s">
        <v>87</v>
      </c>
      <c r="I14545" s="16" t="s">
        <v>87</v>
      </c>
      <c r="J14545" s="19"/>
      <c r="L14545" s="16" t="str">
        <f>IFERROR(__xludf.DUMMYFUNCTION("""COMPUTED_VALUE"""),"")</f>
        <v/>
      </c>
      <c r="M14545" s="16" t="str">
        <f>IFERROR(__xludf.DUMMYFUNCTION("""COMPUTED_VALUE"""),"")</f>
        <v/>
      </c>
      <c r="U14545" s="16" t="s">
        <v>87</v>
      </c>
      <c r="V14545" s="16" t="str">
        <f>IFERROR(__xludf.DUMMYFUNCTION("""COMPUTED_VALUE"""),"")</f>
        <v/>
      </c>
      <c r="W14545" s="16" t="str">
        <f>IFERROR(__xludf.DUMMYFUNCTION("""COMPUTED_VALUE"""),"")</f>
        <v/>
      </c>
      <c r="X14545" s="16" t="str">
        <f>IFERROR(__xludf.DUMMYFUNCTION("""COMPUTED_VALUE"""),"")</f>
        <v/>
      </c>
      <c r="AC14545" s="16" t="str">
        <f>IFERROR(__xludf.DUMMYFUNCTION("""COMPUTED_VALUE"""),"")</f>
        <v/>
      </c>
    </row>
    <row r="14546">
      <c r="A14546" s="16" t="s">
        <v>87</v>
      </c>
      <c r="E14546" s="16" t="str">
        <f>IFERROR(__xludf.DUMMYFUNCTION("""COMPUTED_VALUE"""),"")</f>
        <v/>
      </c>
      <c r="G14546" s="18"/>
      <c r="H14546" s="16" t="s">
        <v>87</v>
      </c>
      <c r="I14546" s="16" t="s">
        <v>87</v>
      </c>
      <c r="J14546" s="19"/>
      <c r="L14546" s="16" t="str">
        <f>IFERROR(__xludf.DUMMYFUNCTION("""COMPUTED_VALUE"""),"")</f>
        <v/>
      </c>
      <c r="M14546" s="16" t="str">
        <f>IFERROR(__xludf.DUMMYFUNCTION("""COMPUTED_VALUE"""),"")</f>
        <v/>
      </c>
      <c r="U14546" s="16" t="s">
        <v>87</v>
      </c>
      <c r="V14546" s="16" t="str">
        <f>IFERROR(__xludf.DUMMYFUNCTION("""COMPUTED_VALUE"""),"")</f>
        <v/>
      </c>
      <c r="W14546" s="16" t="str">
        <f>IFERROR(__xludf.DUMMYFUNCTION("""COMPUTED_VALUE"""),"")</f>
        <v/>
      </c>
      <c r="X14546" s="16" t="str">
        <f>IFERROR(__xludf.DUMMYFUNCTION("""COMPUTED_VALUE"""),"")</f>
        <v/>
      </c>
      <c r="AC14546" s="16" t="str">
        <f>IFERROR(__xludf.DUMMYFUNCTION("""COMPUTED_VALUE"""),"")</f>
        <v/>
      </c>
    </row>
    <row r="14547">
      <c r="A14547" s="16" t="s">
        <v>87</v>
      </c>
      <c r="E14547" s="16" t="str">
        <f>IFERROR(__xludf.DUMMYFUNCTION("""COMPUTED_VALUE"""),"")</f>
        <v/>
      </c>
      <c r="G14547" s="18"/>
      <c r="H14547" s="16" t="s">
        <v>87</v>
      </c>
      <c r="I14547" s="16" t="s">
        <v>87</v>
      </c>
      <c r="J14547" s="19"/>
      <c r="L14547" s="16" t="str">
        <f>IFERROR(__xludf.DUMMYFUNCTION("""COMPUTED_VALUE"""),"")</f>
        <v/>
      </c>
      <c r="M14547" s="16" t="str">
        <f>IFERROR(__xludf.DUMMYFUNCTION("""COMPUTED_VALUE"""),"")</f>
        <v/>
      </c>
      <c r="U14547" s="16" t="s">
        <v>87</v>
      </c>
      <c r="V14547" s="16" t="str">
        <f>IFERROR(__xludf.DUMMYFUNCTION("""COMPUTED_VALUE"""),"")</f>
        <v/>
      </c>
      <c r="W14547" s="16" t="str">
        <f>IFERROR(__xludf.DUMMYFUNCTION("""COMPUTED_VALUE"""),"")</f>
        <v/>
      </c>
      <c r="X14547" s="16" t="str">
        <f>IFERROR(__xludf.DUMMYFUNCTION("""COMPUTED_VALUE"""),"")</f>
        <v/>
      </c>
      <c r="AC14547" s="16" t="str">
        <f>IFERROR(__xludf.DUMMYFUNCTION("""COMPUTED_VALUE"""),"")</f>
        <v/>
      </c>
    </row>
    <row r="14548">
      <c r="A14548" s="16" t="s">
        <v>87</v>
      </c>
      <c r="E14548" s="16" t="str">
        <f>IFERROR(__xludf.DUMMYFUNCTION("""COMPUTED_VALUE"""),"")</f>
        <v/>
      </c>
      <c r="G14548" s="18"/>
      <c r="H14548" s="16" t="s">
        <v>87</v>
      </c>
      <c r="I14548" s="16" t="s">
        <v>87</v>
      </c>
      <c r="J14548" s="19"/>
      <c r="L14548" s="16" t="str">
        <f>IFERROR(__xludf.DUMMYFUNCTION("""COMPUTED_VALUE"""),"")</f>
        <v/>
      </c>
      <c r="M14548" s="16" t="str">
        <f>IFERROR(__xludf.DUMMYFUNCTION("""COMPUTED_VALUE"""),"")</f>
        <v/>
      </c>
      <c r="U14548" s="16" t="s">
        <v>87</v>
      </c>
      <c r="V14548" s="16" t="str">
        <f>IFERROR(__xludf.DUMMYFUNCTION("""COMPUTED_VALUE"""),"")</f>
        <v/>
      </c>
      <c r="W14548" s="16" t="str">
        <f>IFERROR(__xludf.DUMMYFUNCTION("""COMPUTED_VALUE"""),"")</f>
        <v/>
      </c>
      <c r="X14548" s="16" t="str">
        <f>IFERROR(__xludf.DUMMYFUNCTION("""COMPUTED_VALUE"""),"")</f>
        <v/>
      </c>
      <c r="AC14548" s="16" t="str">
        <f>IFERROR(__xludf.DUMMYFUNCTION("""COMPUTED_VALUE"""),"")</f>
        <v/>
      </c>
    </row>
    <row r="14549">
      <c r="A14549" s="16" t="s">
        <v>87</v>
      </c>
      <c r="E14549" s="16" t="str">
        <f>IFERROR(__xludf.DUMMYFUNCTION("""COMPUTED_VALUE"""),"")</f>
        <v/>
      </c>
      <c r="G14549" s="18"/>
      <c r="H14549" s="16" t="s">
        <v>87</v>
      </c>
      <c r="I14549" s="16" t="s">
        <v>87</v>
      </c>
      <c r="J14549" s="19"/>
      <c r="L14549" s="16" t="str">
        <f>IFERROR(__xludf.DUMMYFUNCTION("""COMPUTED_VALUE"""),"")</f>
        <v/>
      </c>
      <c r="M14549" s="16" t="str">
        <f>IFERROR(__xludf.DUMMYFUNCTION("""COMPUTED_VALUE"""),"")</f>
        <v/>
      </c>
      <c r="U14549" s="16" t="s">
        <v>87</v>
      </c>
      <c r="V14549" s="16" t="str">
        <f>IFERROR(__xludf.DUMMYFUNCTION("""COMPUTED_VALUE"""),"")</f>
        <v/>
      </c>
      <c r="W14549" s="16" t="str">
        <f>IFERROR(__xludf.DUMMYFUNCTION("""COMPUTED_VALUE"""),"")</f>
        <v/>
      </c>
      <c r="X14549" s="16" t="str">
        <f>IFERROR(__xludf.DUMMYFUNCTION("""COMPUTED_VALUE"""),"")</f>
        <v/>
      </c>
      <c r="AC14549" s="16" t="str">
        <f>IFERROR(__xludf.DUMMYFUNCTION("""COMPUTED_VALUE"""),"")</f>
        <v/>
      </c>
    </row>
    <row r="14550">
      <c r="A14550" s="16" t="s">
        <v>87</v>
      </c>
      <c r="E14550" s="16" t="str">
        <f>IFERROR(__xludf.DUMMYFUNCTION("""COMPUTED_VALUE"""),"")</f>
        <v/>
      </c>
      <c r="G14550" s="18"/>
      <c r="H14550" s="16" t="s">
        <v>87</v>
      </c>
      <c r="I14550" s="16" t="s">
        <v>87</v>
      </c>
      <c r="J14550" s="19"/>
      <c r="L14550" s="16" t="str">
        <f>IFERROR(__xludf.DUMMYFUNCTION("""COMPUTED_VALUE"""),"")</f>
        <v/>
      </c>
      <c r="M14550" s="16" t="str">
        <f>IFERROR(__xludf.DUMMYFUNCTION("""COMPUTED_VALUE"""),"")</f>
        <v/>
      </c>
      <c r="U14550" s="16" t="s">
        <v>87</v>
      </c>
      <c r="V14550" s="16" t="str">
        <f>IFERROR(__xludf.DUMMYFUNCTION("""COMPUTED_VALUE"""),"")</f>
        <v/>
      </c>
      <c r="W14550" s="16" t="str">
        <f>IFERROR(__xludf.DUMMYFUNCTION("""COMPUTED_VALUE"""),"")</f>
        <v/>
      </c>
      <c r="X14550" s="16" t="str">
        <f>IFERROR(__xludf.DUMMYFUNCTION("""COMPUTED_VALUE"""),"")</f>
        <v/>
      </c>
      <c r="AC14550" s="16" t="str">
        <f>IFERROR(__xludf.DUMMYFUNCTION("""COMPUTED_VALUE"""),"")</f>
        <v/>
      </c>
    </row>
    <row r="14551">
      <c r="A14551" s="16" t="s">
        <v>87</v>
      </c>
      <c r="E14551" s="16" t="str">
        <f>IFERROR(__xludf.DUMMYFUNCTION("""COMPUTED_VALUE"""),"")</f>
        <v/>
      </c>
      <c r="G14551" s="18"/>
      <c r="H14551" s="16" t="s">
        <v>87</v>
      </c>
      <c r="I14551" s="16" t="s">
        <v>87</v>
      </c>
      <c r="J14551" s="19"/>
      <c r="L14551" s="16" t="str">
        <f>IFERROR(__xludf.DUMMYFUNCTION("""COMPUTED_VALUE"""),"")</f>
        <v/>
      </c>
      <c r="M14551" s="16" t="str">
        <f>IFERROR(__xludf.DUMMYFUNCTION("""COMPUTED_VALUE"""),"")</f>
        <v/>
      </c>
      <c r="U14551" s="16" t="s">
        <v>87</v>
      </c>
      <c r="V14551" s="16" t="str">
        <f>IFERROR(__xludf.DUMMYFUNCTION("""COMPUTED_VALUE"""),"")</f>
        <v/>
      </c>
      <c r="W14551" s="16" t="str">
        <f>IFERROR(__xludf.DUMMYFUNCTION("""COMPUTED_VALUE"""),"")</f>
        <v/>
      </c>
      <c r="X14551" s="16" t="str">
        <f>IFERROR(__xludf.DUMMYFUNCTION("""COMPUTED_VALUE"""),"")</f>
        <v/>
      </c>
      <c r="AC14551" s="16" t="str">
        <f>IFERROR(__xludf.DUMMYFUNCTION("""COMPUTED_VALUE"""),"")</f>
        <v/>
      </c>
    </row>
    <row r="14552">
      <c r="A14552" s="16" t="s">
        <v>87</v>
      </c>
      <c r="E14552" s="16" t="str">
        <f>IFERROR(__xludf.DUMMYFUNCTION("""COMPUTED_VALUE"""),"")</f>
        <v/>
      </c>
      <c r="G14552" s="18"/>
      <c r="H14552" s="16" t="s">
        <v>87</v>
      </c>
      <c r="I14552" s="16" t="s">
        <v>87</v>
      </c>
      <c r="J14552" s="19"/>
      <c r="L14552" s="16" t="str">
        <f>IFERROR(__xludf.DUMMYFUNCTION("""COMPUTED_VALUE"""),"")</f>
        <v/>
      </c>
      <c r="M14552" s="16" t="str">
        <f>IFERROR(__xludf.DUMMYFUNCTION("""COMPUTED_VALUE"""),"")</f>
        <v/>
      </c>
      <c r="U14552" s="16" t="s">
        <v>87</v>
      </c>
      <c r="V14552" s="16" t="str">
        <f>IFERROR(__xludf.DUMMYFUNCTION("""COMPUTED_VALUE"""),"")</f>
        <v/>
      </c>
      <c r="W14552" s="16" t="str">
        <f>IFERROR(__xludf.DUMMYFUNCTION("""COMPUTED_VALUE"""),"")</f>
        <v/>
      </c>
      <c r="X14552" s="16" t="str">
        <f>IFERROR(__xludf.DUMMYFUNCTION("""COMPUTED_VALUE"""),"")</f>
        <v/>
      </c>
      <c r="AC14552" s="16" t="str">
        <f>IFERROR(__xludf.DUMMYFUNCTION("""COMPUTED_VALUE"""),"")</f>
        <v/>
      </c>
    </row>
    <row r="14553">
      <c r="A14553" s="16" t="s">
        <v>87</v>
      </c>
      <c r="E14553" s="16" t="str">
        <f>IFERROR(__xludf.DUMMYFUNCTION("""COMPUTED_VALUE"""),"")</f>
        <v/>
      </c>
      <c r="G14553" s="18"/>
      <c r="H14553" s="16" t="s">
        <v>87</v>
      </c>
      <c r="I14553" s="16" t="s">
        <v>87</v>
      </c>
      <c r="J14553" s="19"/>
      <c r="L14553" s="16" t="str">
        <f>IFERROR(__xludf.DUMMYFUNCTION("""COMPUTED_VALUE"""),"")</f>
        <v/>
      </c>
      <c r="M14553" s="16" t="str">
        <f>IFERROR(__xludf.DUMMYFUNCTION("""COMPUTED_VALUE"""),"")</f>
        <v/>
      </c>
      <c r="U14553" s="16" t="s">
        <v>87</v>
      </c>
      <c r="V14553" s="16" t="str">
        <f>IFERROR(__xludf.DUMMYFUNCTION("""COMPUTED_VALUE"""),"")</f>
        <v/>
      </c>
      <c r="W14553" s="16" t="str">
        <f>IFERROR(__xludf.DUMMYFUNCTION("""COMPUTED_VALUE"""),"")</f>
        <v/>
      </c>
      <c r="X14553" s="16" t="str">
        <f>IFERROR(__xludf.DUMMYFUNCTION("""COMPUTED_VALUE"""),"")</f>
        <v/>
      </c>
      <c r="AC14553" s="16" t="str">
        <f>IFERROR(__xludf.DUMMYFUNCTION("""COMPUTED_VALUE"""),"")</f>
        <v/>
      </c>
    </row>
    <row r="14554">
      <c r="A14554" s="16" t="s">
        <v>87</v>
      </c>
      <c r="E14554" s="16" t="str">
        <f>IFERROR(__xludf.DUMMYFUNCTION("""COMPUTED_VALUE"""),"")</f>
        <v/>
      </c>
      <c r="G14554" s="18"/>
      <c r="H14554" s="16" t="s">
        <v>87</v>
      </c>
      <c r="I14554" s="16" t="s">
        <v>87</v>
      </c>
      <c r="J14554" s="19"/>
      <c r="L14554" s="16" t="str">
        <f>IFERROR(__xludf.DUMMYFUNCTION("""COMPUTED_VALUE"""),"")</f>
        <v/>
      </c>
      <c r="M14554" s="16" t="str">
        <f>IFERROR(__xludf.DUMMYFUNCTION("""COMPUTED_VALUE"""),"")</f>
        <v/>
      </c>
      <c r="U14554" s="16" t="s">
        <v>87</v>
      </c>
      <c r="V14554" s="16" t="str">
        <f>IFERROR(__xludf.DUMMYFUNCTION("""COMPUTED_VALUE"""),"")</f>
        <v/>
      </c>
      <c r="W14554" s="16" t="str">
        <f>IFERROR(__xludf.DUMMYFUNCTION("""COMPUTED_VALUE"""),"")</f>
        <v/>
      </c>
      <c r="X14554" s="16" t="str">
        <f>IFERROR(__xludf.DUMMYFUNCTION("""COMPUTED_VALUE"""),"")</f>
        <v/>
      </c>
      <c r="AC14554" s="16" t="str">
        <f>IFERROR(__xludf.DUMMYFUNCTION("""COMPUTED_VALUE"""),"")</f>
        <v/>
      </c>
    </row>
    <row r="14555">
      <c r="A14555" s="16" t="s">
        <v>87</v>
      </c>
      <c r="E14555" s="16" t="str">
        <f>IFERROR(__xludf.DUMMYFUNCTION("""COMPUTED_VALUE"""),"")</f>
        <v/>
      </c>
      <c r="G14555" s="18"/>
      <c r="H14555" s="16" t="s">
        <v>87</v>
      </c>
      <c r="I14555" s="16" t="s">
        <v>87</v>
      </c>
      <c r="J14555" s="19"/>
      <c r="L14555" s="16" t="str">
        <f>IFERROR(__xludf.DUMMYFUNCTION("""COMPUTED_VALUE"""),"")</f>
        <v/>
      </c>
      <c r="M14555" s="16" t="str">
        <f>IFERROR(__xludf.DUMMYFUNCTION("""COMPUTED_VALUE"""),"")</f>
        <v/>
      </c>
      <c r="U14555" s="16" t="s">
        <v>87</v>
      </c>
      <c r="V14555" s="16" t="str">
        <f>IFERROR(__xludf.DUMMYFUNCTION("""COMPUTED_VALUE"""),"")</f>
        <v/>
      </c>
      <c r="W14555" s="16" t="str">
        <f>IFERROR(__xludf.DUMMYFUNCTION("""COMPUTED_VALUE"""),"")</f>
        <v/>
      </c>
      <c r="X14555" s="16" t="str">
        <f>IFERROR(__xludf.DUMMYFUNCTION("""COMPUTED_VALUE"""),"")</f>
        <v/>
      </c>
      <c r="AC14555" s="16" t="str">
        <f>IFERROR(__xludf.DUMMYFUNCTION("""COMPUTED_VALUE"""),"")</f>
        <v/>
      </c>
    </row>
    <row r="14556">
      <c r="A14556" s="16" t="s">
        <v>87</v>
      </c>
      <c r="E14556" s="16" t="str">
        <f>IFERROR(__xludf.DUMMYFUNCTION("""COMPUTED_VALUE"""),"")</f>
        <v/>
      </c>
      <c r="G14556" s="18"/>
      <c r="H14556" s="16" t="s">
        <v>87</v>
      </c>
      <c r="I14556" s="16" t="s">
        <v>87</v>
      </c>
      <c r="J14556" s="19"/>
      <c r="L14556" s="16" t="str">
        <f>IFERROR(__xludf.DUMMYFUNCTION("""COMPUTED_VALUE"""),"")</f>
        <v/>
      </c>
      <c r="M14556" s="16" t="str">
        <f>IFERROR(__xludf.DUMMYFUNCTION("""COMPUTED_VALUE"""),"")</f>
        <v/>
      </c>
      <c r="U14556" s="16" t="s">
        <v>87</v>
      </c>
      <c r="V14556" s="16" t="str">
        <f>IFERROR(__xludf.DUMMYFUNCTION("""COMPUTED_VALUE"""),"")</f>
        <v/>
      </c>
      <c r="W14556" s="16" t="str">
        <f>IFERROR(__xludf.DUMMYFUNCTION("""COMPUTED_VALUE"""),"")</f>
        <v/>
      </c>
      <c r="X14556" s="16" t="str">
        <f>IFERROR(__xludf.DUMMYFUNCTION("""COMPUTED_VALUE"""),"")</f>
        <v/>
      </c>
      <c r="AC14556" s="16" t="str">
        <f>IFERROR(__xludf.DUMMYFUNCTION("""COMPUTED_VALUE"""),"")</f>
        <v/>
      </c>
    </row>
    <row r="14557">
      <c r="A14557" s="16" t="s">
        <v>87</v>
      </c>
      <c r="E14557" s="16" t="str">
        <f>IFERROR(__xludf.DUMMYFUNCTION("""COMPUTED_VALUE"""),"")</f>
        <v/>
      </c>
      <c r="G14557" s="18"/>
      <c r="H14557" s="16" t="s">
        <v>87</v>
      </c>
      <c r="I14557" s="16" t="s">
        <v>87</v>
      </c>
      <c r="J14557" s="19"/>
      <c r="L14557" s="16" t="str">
        <f>IFERROR(__xludf.DUMMYFUNCTION("""COMPUTED_VALUE"""),"")</f>
        <v/>
      </c>
      <c r="M14557" s="16" t="str">
        <f>IFERROR(__xludf.DUMMYFUNCTION("""COMPUTED_VALUE"""),"")</f>
        <v/>
      </c>
      <c r="U14557" s="16" t="s">
        <v>87</v>
      </c>
      <c r="V14557" s="16" t="str">
        <f>IFERROR(__xludf.DUMMYFUNCTION("""COMPUTED_VALUE"""),"")</f>
        <v/>
      </c>
      <c r="W14557" s="16" t="str">
        <f>IFERROR(__xludf.DUMMYFUNCTION("""COMPUTED_VALUE"""),"")</f>
        <v/>
      </c>
      <c r="X14557" s="16" t="str">
        <f>IFERROR(__xludf.DUMMYFUNCTION("""COMPUTED_VALUE"""),"")</f>
        <v/>
      </c>
      <c r="AC14557" s="16" t="str">
        <f>IFERROR(__xludf.DUMMYFUNCTION("""COMPUTED_VALUE"""),"")</f>
        <v/>
      </c>
    </row>
    <row r="14558">
      <c r="A14558" s="16" t="s">
        <v>87</v>
      </c>
      <c r="E14558" s="16" t="str">
        <f>IFERROR(__xludf.DUMMYFUNCTION("""COMPUTED_VALUE"""),"")</f>
        <v/>
      </c>
      <c r="G14558" s="18"/>
      <c r="H14558" s="16" t="s">
        <v>87</v>
      </c>
      <c r="I14558" s="16" t="s">
        <v>87</v>
      </c>
      <c r="J14558" s="19"/>
      <c r="L14558" s="16" t="str">
        <f>IFERROR(__xludf.DUMMYFUNCTION("""COMPUTED_VALUE"""),"")</f>
        <v/>
      </c>
      <c r="M14558" s="16" t="str">
        <f>IFERROR(__xludf.DUMMYFUNCTION("""COMPUTED_VALUE"""),"")</f>
        <v/>
      </c>
      <c r="U14558" s="16" t="s">
        <v>87</v>
      </c>
      <c r="V14558" s="16" t="str">
        <f>IFERROR(__xludf.DUMMYFUNCTION("""COMPUTED_VALUE"""),"")</f>
        <v/>
      </c>
      <c r="W14558" s="16" t="str">
        <f>IFERROR(__xludf.DUMMYFUNCTION("""COMPUTED_VALUE"""),"")</f>
        <v/>
      </c>
      <c r="X14558" s="16" t="str">
        <f>IFERROR(__xludf.DUMMYFUNCTION("""COMPUTED_VALUE"""),"")</f>
        <v/>
      </c>
      <c r="AC14558" s="16" t="str">
        <f>IFERROR(__xludf.DUMMYFUNCTION("""COMPUTED_VALUE"""),"")</f>
        <v/>
      </c>
    </row>
    <row r="14559">
      <c r="A14559" s="16" t="s">
        <v>87</v>
      </c>
      <c r="E14559" s="16" t="str">
        <f>IFERROR(__xludf.DUMMYFUNCTION("""COMPUTED_VALUE"""),"")</f>
        <v/>
      </c>
      <c r="G14559" s="18"/>
      <c r="H14559" s="16" t="s">
        <v>87</v>
      </c>
      <c r="I14559" s="16" t="s">
        <v>87</v>
      </c>
      <c r="J14559" s="19"/>
      <c r="L14559" s="16" t="str">
        <f>IFERROR(__xludf.DUMMYFUNCTION("""COMPUTED_VALUE"""),"")</f>
        <v/>
      </c>
      <c r="M14559" s="16" t="str">
        <f>IFERROR(__xludf.DUMMYFUNCTION("""COMPUTED_VALUE"""),"")</f>
        <v/>
      </c>
      <c r="U14559" s="16" t="s">
        <v>87</v>
      </c>
      <c r="V14559" s="16" t="str">
        <f>IFERROR(__xludf.DUMMYFUNCTION("""COMPUTED_VALUE"""),"")</f>
        <v/>
      </c>
      <c r="W14559" s="16" t="str">
        <f>IFERROR(__xludf.DUMMYFUNCTION("""COMPUTED_VALUE"""),"")</f>
        <v/>
      </c>
      <c r="X14559" s="16" t="str">
        <f>IFERROR(__xludf.DUMMYFUNCTION("""COMPUTED_VALUE"""),"")</f>
        <v/>
      </c>
      <c r="AC14559" s="16" t="str">
        <f>IFERROR(__xludf.DUMMYFUNCTION("""COMPUTED_VALUE"""),"")</f>
        <v/>
      </c>
    </row>
    <row r="14560">
      <c r="A14560" s="16" t="s">
        <v>87</v>
      </c>
      <c r="E14560" s="16" t="str">
        <f>IFERROR(__xludf.DUMMYFUNCTION("""COMPUTED_VALUE"""),"")</f>
        <v/>
      </c>
      <c r="G14560" s="18"/>
      <c r="H14560" s="16" t="s">
        <v>87</v>
      </c>
      <c r="I14560" s="16" t="s">
        <v>87</v>
      </c>
      <c r="J14560" s="19"/>
      <c r="L14560" s="16" t="str">
        <f>IFERROR(__xludf.DUMMYFUNCTION("""COMPUTED_VALUE"""),"")</f>
        <v/>
      </c>
      <c r="M14560" s="16" t="str">
        <f>IFERROR(__xludf.DUMMYFUNCTION("""COMPUTED_VALUE"""),"")</f>
        <v/>
      </c>
      <c r="U14560" s="16" t="s">
        <v>87</v>
      </c>
      <c r="V14560" s="16" t="str">
        <f>IFERROR(__xludf.DUMMYFUNCTION("""COMPUTED_VALUE"""),"")</f>
        <v/>
      </c>
      <c r="W14560" s="16" t="str">
        <f>IFERROR(__xludf.DUMMYFUNCTION("""COMPUTED_VALUE"""),"")</f>
        <v/>
      </c>
      <c r="X14560" s="16" t="str">
        <f>IFERROR(__xludf.DUMMYFUNCTION("""COMPUTED_VALUE"""),"")</f>
        <v/>
      </c>
      <c r="AC14560" s="16" t="str">
        <f>IFERROR(__xludf.DUMMYFUNCTION("""COMPUTED_VALUE"""),"")</f>
        <v/>
      </c>
    </row>
    <row r="14561">
      <c r="A14561" s="16" t="s">
        <v>87</v>
      </c>
      <c r="E14561" s="16" t="str">
        <f>IFERROR(__xludf.DUMMYFUNCTION("""COMPUTED_VALUE"""),"")</f>
        <v/>
      </c>
      <c r="G14561" s="18"/>
      <c r="H14561" s="16" t="s">
        <v>87</v>
      </c>
      <c r="I14561" s="16" t="s">
        <v>87</v>
      </c>
      <c r="J14561" s="19"/>
      <c r="L14561" s="16" t="str">
        <f>IFERROR(__xludf.DUMMYFUNCTION("""COMPUTED_VALUE"""),"")</f>
        <v/>
      </c>
      <c r="M14561" s="16" t="str">
        <f>IFERROR(__xludf.DUMMYFUNCTION("""COMPUTED_VALUE"""),"")</f>
        <v/>
      </c>
      <c r="U14561" s="16" t="s">
        <v>87</v>
      </c>
      <c r="V14561" s="16" t="str">
        <f>IFERROR(__xludf.DUMMYFUNCTION("""COMPUTED_VALUE"""),"")</f>
        <v/>
      </c>
      <c r="W14561" s="16" t="str">
        <f>IFERROR(__xludf.DUMMYFUNCTION("""COMPUTED_VALUE"""),"")</f>
        <v/>
      </c>
      <c r="X14561" s="16" t="str">
        <f>IFERROR(__xludf.DUMMYFUNCTION("""COMPUTED_VALUE"""),"")</f>
        <v/>
      </c>
      <c r="AC14561" s="16" t="str">
        <f>IFERROR(__xludf.DUMMYFUNCTION("""COMPUTED_VALUE"""),"")</f>
        <v/>
      </c>
    </row>
    <row r="14562">
      <c r="A14562" s="16" t="s">
        <v>87</v>
      </c>
      <c r="E14562" s="16" t="str">
        <f>IFERROR(__xludf.DUMMYFUNCTION("""COMPUTED_VALUE"""),"")</f>
        <v/>
      </c>
      <c r="G14562" s="18"/>
      <c r="H14562" s="16" t="s">
        <v>87</v>
      </c>
      <c r="I14562" s="16" t="s">
        <v>87</v>
      </c>
      <c r="J14562" s="19"/>
      <c r="L14562" s="16" t="str">
        <f>IFERROR(__xludf.DUMMYFUNCTION("""COMPUTED_VALUE"""),"")</f>
        <v/>
      </c>
      <c r="M14562" s="16" t="str">
        <f>IFERROR(__xludf.DUMMYFUNCTION("""COMPUTED_VALUE"""),"")</f>
        <v/>
      </c>
      <c r="U14562" s="16" t="s">
        <v>87</v>
      </c>
      <c r="V14562" s="16" t="str">
        <f>IFERROR(__xludf.DUMMYFUNCTION("""COMPUTED_VALUE"""),"")</f>
        <v/>
      </c>
      <c r="W14562" s="16" t="str">
        <f>IFERROR(__xludf.DUMMYFUNCTION("""COMPUTED_VALUE"""),"")</f>
        <v/>
      </c>
      <c r="X14562" s="16" t="str">
        <f>IFERROR(__xludf.DUMMYFUNCTION("""COMPUTED_VALUE"""),"")</f>
        <v/>
      </c>
      <c r="AC14562" s="16" t="str">
        <f>IFERROR(__xludf.DUMMYFUNCTION("""COMPUTED_VALUE"""),"")</f>
        <v/>
      </c>
    </row>
    <row r="14563">
      <c r="A14563" s="16" t="s">
        <v>87</v>
      </c>
      <c r="E14563" s="16" t="str">
        <f>IFERROR(__xludf.DUMMYFUNCTION("""COMPUTED_VALUE"""),"")</f>
        <v/>
      </c>
      <c r="G14563" s="18"/>
      <c r="H14563" s="16" t="s">
        <v>87</v>
      </c>
      <c r="I14563" s="16" t="s">
        <v>87</v>
      </c>
      <c r="J14563" s="19"/>
      <c r="L14563" s="16" t="str">
        <f>IFERROR(__xludf.DUMMYFUNCTION("""COMPUTED_VALUE"""),"")</f>
        <v/>
      </c>
      <c r="M14563" s="16" t="str">
        <f>IFERROR(__xludf.DUMMYFUNCTION("""COMPUTED_VALUE"""),"")</f>
        <v/>
      </c>
      <c r="U14563" s="16" t="s">
        <v>87</v>
      </c>
      <c r="V14563" s="16" t="str">
        <f>IFERROR(__xludf.DUMMYFUNCTION("""COMPUTED_VALUE"""),"")</f>
        <v/>
      </c>
      <c r="W14563" s="16" t="str">
        <f>IFERROR(__xludf.DUMMYFUNCTION("""COMPUTED_VALUE"""),"")</f>
        <v/>
      </c>
      <c r="X14563" s="16" t="str">
        <f>IFERROR(__xludf.DUMMYFUNCTION("""COMPUTED_VALUE"""),"")</f>
        <v/>
      </c>
      <c r="AC14563" s="16" t="str">
        <f>IFERROR(__xludf.DUMMYFUNCTION("""COMPUTED_VALUE"""),"")</f>
        <v/>
      </c>
    </row>
    <row r="14564">
      <c r="A14564" s="16" t="s">
        <v>87</v>
      </c>
      <c r="E14564" s="16" t="str">
        <f>IFERROR(__xludf.DUMMYFUNCTION("""COMPUTED_VALUE"""),"")</f>
        <v/>
      </c>
      <c r="G14564" s="18"/>
      <c r="H14564" s="16" t="s">
        <v>87</v>
      </c>
      <c r="I14564" s="16" t="s">
        <v>87</v>
      </c>
      <c r="J14564" s="19"/>
      <c r="L14564" s="16" t="str">
        <f>IFERROR(__xludf.DUMMYFUNCTION("""COMPUTED_VALUE"""),"")</f>
        <v/>
      </c>
      <c r="M14564" s="16" t="str">
        <f>IFERROR(__xludf.DUMMYFUNCTION("""COMPUTED_VALUE"""),"")</f>
        <v/>
      </c>
      <c r="U14564" s="16" t="s">
        <v>87</v>
      </c>
      <c r="V14564" s="16" t="str">
        <f>IFERROR(__xludf.DUMMYFUNCTION("""COMPUTED_VALUE"""),"")</f>
        <v/>
      </c>
      <c r="W14564" s="16" t="str">
        <f>IFERROR(__xludf.DUMMYFUNCTION("""COMPUTED_VALUE"""),"")</f>
        <v/>
      </c>
      <c r="X14564" s="16" t="str">
        <f>IFERROR(__xludf.DUMMYFUNCTION("""COMPUTED_VALUE"""),"")</f>
        <v/>
      </c>
      <c r="AC14564" s="16" t="str">
        <f>IFERROR(__xludf.DUMMYFUNCTION("""COMPUTED_VALUE"""),"")</f>
        <v/>
      </c>
    </row>
    <row r="14565">
      <c r="A14565" s="16" t="s">
        <v>87</v>
      </c>
      <c r="E14565" s="16" t="str">
        <f>IFERROR(__xludf.DUMMYFUNCTION("""COMPUTED_VALUE"""),"")</f>
        <v/>
      </c>
      <c r="G14565" s="18"/>
      <c r="H14565" s="16" t="s">
        <v>87</v>
      </c>
      <c r="I14565" s="16" t="s">
        <v>87</v>
      </c>
      <c r="J14565" s="19"/>
      <c r="L14565" s="16" t="str">
        <f>IFERROR(__xludf.DUMMYFUNCTION("""COMPUTED_VALUE"""),"")</f>
        <v/>
      </c>
      <c r="M14565" s="16" t="str">
        <f>IFERROR(__xludf.DUMMYFUNCTION("""COMPUTED_VALUE"""),"")</f>
        <v/>
      </c>
      <c r="U14565" s="16" t="s">
        <v>87</v>
      </c>
      <c r="V14565" s="16" t="str">
        <f>IFERROR(__xludf.DUMMYFUNCTION("""COMPUTED_VALUE"""),"")</f>
        <v/>
      </c>
      <c r="W14565" s="16" t="str">
        <f>IFERROR(__xludf.DUMMYFUNCTION("""COMPUTED_VALUE"""),"")</f>
        <v/>
      </c>
      <c r="X14565" s="16" t="str">
        <f>IFERROR(__xludf.DUMMYFUNCTION("""COMPUTED_VALUE"""),"")</f>
        <v/>
      </c>
      <c r="AC14565" s="16" t="str">
        <f>IFERROR(__xludf.DUMMYFUNCTION("""COMPUTED_VALUE"""),"")</f>
        <v/>
      </c>
    </row>
    <row r="14566">
      <c r="A14566" s="16" t="s">
        <v>87</v>
      </c>
      <c r="E14566" s="16" t="str">
        <f>IFERROR(__xludf.DUMMYFUNCTION("""COMPUTED_VALUE"""),"")</f>
        <v/>
      </c>
      <c r="G14566" s="18"/>
      <c r="H14566" s="16" t="s">
        <v>87</v>
      </c>
      <c r="I14566" s="16" t="s">
        <v>87</v>
      </c>
      <c r="J14566" s="19"/>
      <c r="L14566" s="16" t="str">
        <f>IFERROR(__xludf.DUMMYFUNCTION("""COMPUTED_VALUE"""),"")</f>
        <v/>
      </c>
      <c r="M14566" s="16" t="str">
        <f>IFERROR(__xludf.DUMMYFUNCTION("""COMPUTED_VALUE"""),"")</f>
        <v/>
      </c>
      <c r="U14566" s="16" t="s">
        <v>87</v>
      </c>
      <c r="V14566" s="16" t="str">
        <f>IFERROR(__xludf.DUMMYFUNCTION("""COMPUTED_VALUE"""),"")</f>
        <v/>
      </c>
      <c r="W14566" s="16" t="str">
        <f>IFERROR(__xludf.DUMMYFUNCTION("""COMPUTED_VALUE"""),"")</f>
        <v/>
      </c>
      <c r="X14566" s="16" t="str">
        <f>IFERROR(__xludf.DUMMYFUNCTION("""COMPUTED_VALUE"""),"")</f>
        <v/>
      </c>
      <c r="AC14566" s="16" t="str">
        <f>IFERROR(__xludf.DUMMYFUNCTION("""COMPUTED_VALUE"""),"")</f>
        <v/>
      </c>
    </row>
    <row r="14567">
      <c r="A14567" s="16" t="s">
        <v>87</v>
      </c>
      <c r="E14567" s="16" t="str">
        <f>IFERROR(__xludf.DUMMYFUNCTION("""COMPUTED_VALUE"""),"")</f>
        <v/>
      </c>
      <c r="G14567" s="18"/>
      <c r="H14567" s="16" t="s">
        <v>87</v>
      </c>
      <c r="I14567" s="16" t="s">
        <v>87</v>
      </c>
      <c r="J14567" s="19"/>
      <c r="L14567" s="16" t="str">
        <f>IFERROR(__xludf.DUMMYFUNCTION("""COMPUTED_VALUE"""),"")</f>
        <v/>
      </c>
      <c r="M14567" s="16" t="str">
        <f>IFERROR(__xludf.DUMMYFUNCTION("""COMPUTED_VALUE"""),"")</f>
        <v/>
      </c>
      <c r="U14567" s="16" t="s">
        <v>87</v>
      </c>
      <c r="V14567" s="16" t="str">
        <f>IFERROR(__xludf.DUMMYFUNCTION("""COMPUTED_VALUE"""),"")</f>
        <v/>
      </c>
      <c r="W14567" s="16" t="str">
        <f>IFERROR(__xludf.DUMMYFUNCTION("""COMPUTED_VALUE"""),"")</f>
        <v/>
      </c>
      <c r="X14567" s="16" t="str">
        <f>IFERROR(__xludf.DUMMYFUNCTION("""COMPUTED_VALUE"""),"")</f>
        <v/>
      </c>
      <c r="AC14567" s="16" t="str">
        <f>IFERROR(__xludf.DUMMYFUNCTION("""COMPUTED_VALUE"""),"")</f>
        <v/>
      </c>
    </row>
    <row r="14568">
      <c r="A14568" s="16" t="s">
        <v>87</v>
      </c>
      <c r="E14568" s="16" t="str">
        <f>IFERROR(__xludf.DUMMYFUNCTION("""COMPUTED_VALUE"""),"")</f>
        <v/>
      </c>
      <c r="G14568" s="18"/>
      <c r="H14568" s="16" t="s">
        <v>87</v>
      </c>
      <c r="I14568" s="16" t="s">
        <v>87</v>
      </c>
      <c r="J14568" s="19"/>
      <c r="L14568" s="16" t="str">
        <f>IFERROR(__xludf.DUMMYFUNCTION("""COMPUTED_VALUE"""),"")</f>
        <v/>
      </c>
      <c r="M14568" s="16" t="str">
        <f>IFERROR(__xludf.DUMMYFUNCTION("""COMPUTED_VALUE"""),"")</f>
        <v/>
      </c>
      <c r="U14568" s="16" t="s">
        <v>87</v>
      </c>
      <c r="V14568" s="16" t="str">
        <f>IFERROR(__xludf.DUMMYFUNCTION("""COMPUTED_VALUE"""),"")</f>
        <v/>
      </c>
      <c r="W14568" s="16" t="str">
        <f>IFERROR(__xludf.DUMMYFUNCTION("""COMPUTED_VALUE"""),"")</f>
        <v/>
      </c>
      <c r="X14568" s="16" t="str">
        <f>IFERROR(__xludf.DUMMYFUNCTION("""COMPUTED_VALUE"""),"")</f>
        <v/>
      </c>
      <c r="AC14568" s="16" t="str">
        <f>IFERROR(__xludf.DUMMYFUNCTION("""COMPUTED_VALUE"""),"")</f>
        <v/>
      </c>
    </row>
    <row r="14569">
      <c r="A14569" s="16" t="s">
        <v>87</v>
      </c>
      <c r="E14569" s="16" t="str">
        <f>IFERROR(__xludf.DUMMYFUNCTION("""COMPUTED_VALUE"""),"")</f>
        <v/>
      </c>
      <c r="G14569" s="18"/>
      <c r="H14569" s="16" t="s">
        <v>87</v>
      </c>
      <c r="I14569" s="16" t="s">
        <v>87</v>
      </c>
      <c r="J14569" s="19"/>
      <c r="L14569" s="16" t="str">
        <f>IFERROR(__xludf.DUMMYFUNCTION("""COMPUTED_VALUE"""),"")</f>
        <v/>
      </c>
      <c r="M14569" s="16" t="str">
        <f>IFERROR(__xludf.DUMMYFUNCTION("""COMPUTED_VALUE"""),"")</f>
        <v/>
      </c>
      <c r="U14569" s="16" t="s">
        <v>87</v>
      </c>
      <c r="V14569" s="16" t="str">
        <f>IFERROR(__xludf.DUMMYFUNCTION("""COMPUTED_VALUE"""),"")</f>
        <v/>
      </c>
      <c r="W14569" s="16" t="str">
        <f>IFERROR(__xludf.DUMMYFUNCTION("""COMPUTED_VALUE"""),"")</f>
        <v/>
      </c>
      <c r="X14569" s="16" t="str">
        <f>IFERROR(__xludf.DUMMYFUNCTION("""COMPUTED_VALUE"""),"")</f>
        <v/>
      </c>
      <c r="AC14569" s="16" t="str">
        <f>IFERROR(__xludf.DUMMYFUNCTION("""COMPUTED_VALUE"""),"")</f>
        <v/>
      </c>
    </row>
    <row r="14570">
      <c r="A14570" s="16" t="s">
        <v>87</v>
      </c>
      <c r="E14570" s="16" t="str">
        <f>IFERROR(__xludf.DUMMYFUNCTION("""COMPUTED_VALUE"""),"")</f>
        <v/>
      </c>
      <c r="G14570" s="18"/>
      <c r="H14570" s="16" t="s">
        <v>87</v>
      </c>
      <c r="I14570" s="16" t="s">
        <v>87</v>
      </c>
      <c r="J14570" s="19"/>
      <c r="L14570" s="16" t="str">
        <f>IFERROR(__xludf.DUMMYFUNCTION("""COMPUTED_VALUE"""),"")</f>
        <v/>
      </c>
      <c r="M14570" s="16" t="str">
        <f>IFERROR(__xludf.DUMMYFUNCTION("""COMPUTED_VALUE"""),"")</f>
        <v/>
      </c>
      <c r="U14570" s="16" t="s">
        <v>87</v>
      </c>
      <c r="V14570" s="16" t="str">
        <f>IFERROR(__xludf.DUMMYFUNCTION("""COMPUTED_VALUE"""),"")</f>
        <v/>
      </c>
      <c r="W14570" s="16" t="str">
        <f>IFERROR(__xludf.DUMMYFUNCTION("""COMPUTED_VALUE"""),"")</f>
        <v/>
      </c>
      <c r="X14570" s="16" t="str">
        <f>IFERROR(__xludf.DUMMYFUNCTION("""COMPUTED_VALUE"""),"")</f>
        <v/>
      </c>
      <c r="AC14570" s="16" t="str">
        <f>IFERROR(__xludf.DUMMYFUNCTION("""COMPUTED_VALUE"""),"")</f>
        <v/>
      </c>
    </row>
    <row r="14571">
      <c r="A14571" s="16" t="s">
        <v>87</v>
      </c>
      <c r="E14571" s="16" t="str">
        <f>IFERROR(__xludf.DUMMYFUNCTION("""COMPUTED_VALUE"""),"")</f>
        <v/>
      </c>
      <c r="G14571" s="18"/>
      <c r="H14571" s="16" t="s">
        <v>87</v>
      </c>
      <c r="I14571" s="16" t="s">
        <v>87</v>
      </c>
      <c r="J14571" s="19"/>
      <c r="L14571" s="16" t="str">
        <f>IFERROR(__xludf.DUMMYFUNCTION("""COMPUTED_VALUE"""),"")</f>
        <v/>
      </c>
      <c r="M14571" s="16" t="str">
        <f>IFERROR(__xludf.DUMMYFUNCTION("""COMPUTED_VALUE"""),"")</f>
        <v/>
      </c>
      <c r="U14571" s="16" t="s">
        <v>87</v>
      </c>
      <c r="V14571" s="16" t="str">
        <f>IFERROR(__xludf.DUMMYFUNCTION("""COMPUTED_VALUE"""),"")</f>
        <v/>
      </c>
      <c r="W14571" s="16" t="str">
        <f>IFERROR(__xludf.DUMMYFUNCTION("""COMPUTED_VALUE"""),"")</f>
        <v/>
      </c>
      <c r="X14571" s="16" t="str">
        <f>IFERROR(__xludf.DUMMYFUNCTION("""COMPUTED_VALUE"""),"")</f>
        <v/>
      </c>
      <c r="AC14571" s="16" t="str">
        <f>IFERROR(__xludf.DUMMYFUNCTION("""COMPUTED_VALUE"""),"")</f>
        <v/>
      </c>
    </row>
    <row r="14572">
      <c r="A14572" s="16" t="s">
        <v>87</v>
      </c>
      <c r="E14572" s="16" t="str">
        <f>IFERROR(__xludf.DUMMYFUNCTION("""COMPUTED_VALUE"""),"")</f>
        <v/>
      </c>
      <c r="G14572" s="18"/>
      <c r="H14572" s="16" t="s">
        <v>87</v>
      </c>
      <c r="I14572" s="16" t="s">
        <v>87</v>
      </c>
      <c r="J14572" s="19"/>
      <c r="L14572" s="16" t="str">
        <f>IFERROR(__xludf.DUMMYFUNCTION("""COMPUTED_VALUE"""),"")</f>
        <v/>
      </c>
      <c r="M14572" s="16" t="str">
        <f>IFERROR(__xludf.DUMMYFUNCTION("""COMPUTED_VALUE"""),"")</f>
        <v/>
      </c>
      <c r="U14572" s="16" t="s">
        <v>87</v>
      </c>
      <c r="V14572" s="16" t="str">
        <f>IFERROR(__xludf.DUMMYFUNCTION("""COMPUTED_VALUE"""),"")</f>
        <v/>
      </c>
      <c r="W14572" s="16" t="str">
        <f>IFERROR(__xludf.DUMMYFUNCTION("""COMPUTED_VALUE"""),"")</f>
        <v/>
      </c>
      <c r="X14572" s="16" t="str">
        <f>IFERROR(__xludf.DUMMYFUNCTION("""COMPUTED_VALUE"""),"")</f>
        <v/>
      </c>
      <c r="AC14572" s="16" t="str">
        <f>IFERROR(__xludf.DUMMYFUNCTION("""COMPUTED_VALUE"""),"")</f>
        <v/>
      </c>
    </row>
    <row r="14573">
      <c r="A14573" s="16" t="s">
        <v>87</v>
      </c>
      <c r="E14573" s="16" t="str">
        <f>IFERROR(__xludf.DUMMYFUNCTION("""COMPUTED_VALUE"""),"")</f>
        <v/>
      </c>
      <c r="G14573" s="18"/>
      <c r="H14573" s="16" t="s">
        <v>87</v>
      </c>
      <c r="I14573" s="16" t="s">
        <v>87</v>
      </c>
      <c r="J14573" s="19"/>
      <c r="L14573" s="16" t="str">
        <f>IFERROR(__xludf.DUMMYFUNCTION("""COMPUTED_VALUE"""),"")</f>
        <v/>
      </c>
      <c r="M14573" s="16" t="str">
        <f>IFERROR(__xludf.DUMMYFUNCTION("""COMPUTED_VALUE"""),"")</f>
        <v/>
      </c>
      <c r="U14573" s="16" t="s">
        <v>87</v>
      </c>
      <c r="V14573" s="16" t="str">
        <f>IFERROR(__xludf.DUMMYFUNCTION("""COMPUTED_VALUE"""),"")</f>
        <v/>
      </c>
      <c r="W14573" s="16" t="str">
        <f>IFERROR(__xludf.DUMMYFUNCTION("""COMPUTED_VALUE"""),"")</f>
        <v/>
      </c>
      <c r="X14573" s="16" t="str">
        <f>IFERROR(__xludf.DUMMYFUNCTION("""COMPUTED_VALUE"""),"")</f>
        <v/>
      </c>
      <c r="AC14573" s="16" t="str">
        <f>IFERROR(__xludf.DUMMYFUNCTION("""COMPUTED_VALUE"""),"")</f>
        <v/>
      </c>
    </row>
    <row r="14574">
      <c r="A14574" s="16" t="s">
        <v>87</v>
      </c>
      <c r="E14574" s="16" t="str">
        <f>IFERROR(__xludf.DUMMYFUNCTION("""COMPUTED_VALUE"""),"")</f>
        <v/>
      </c>
      <c r="G14574" s="18"/>
      <c r="H14574" s="16" t="s">
        <v>87</v>
      </c>
      <c r="I14574" s="16" t="s">
        <v>87</v>
      </c>
      <c r="J14574" s="19"/>
      <c r="L14574" s="16" t="str">
        <f>IFERROR(__xludf.DUMMYFUNCTION("""COMPUTED_VALUE"""),"")</f>
        <v/>
      </c>
      <c r="M14574" s="16" t="str">
        <f>IFERROR(__xludf.DUMMYFUNCTION("""COMPUTED_VALUE"""),"")</f>
        <v/>
      </c>
      <c r="U14574" s="16" t="s">
        <v>87</v>
      </c>
      <c r="V14574" s="16" t="str">
        <f>IFERROR(__xludf.DUMMYFUNCTION("""COMPUTED_VALUE"""),"")</f>
        <v/>
      </c>
      <c r="W14574" s="16" t="str">
        <f>IFERROR(__xludf.DUMMYFUNCTION("""COMPUTED_VALUE"""),"")</f>
        <v/>
      </c>
      <c r="X14574" s="16" t="str">
        <f>IFERROR(__xludf.DUMMYFUNCTION("""COMPUTED_VALUE"""),"")</f>
        <v/>
      </c>
      <c r="AC14574" s="16" t="str">
        <f>IFERROR(__xludf.DUMMYFUNCTION("""COMPUTED_VALUE"""),"")</f>
        <v/>
      </c>
    </row>
    <row r="14575">
      <c r="A14575" s="16" t="s">
        <v>87</v>
      </c>
      <c r="E14575" s="16" t="str">
        <f>IFERROR(__xludf.DUMMYFUNCTION("""COMPUTED_VALUE"""),"")</f>
        <v/>
      </c>
      <c r="G14575" s="18"/>
      <c r="H14575" s="16" t="s">
        <v>87</v>
      </c>
      <c r="I14575" s="16" t="s">
        <v>87</v>
      </c>
      <c r="J14575" s="19"/>
      <c r="L14575" s="16" t="str">
        <f>IFERROR(__xludf.DUMMYFUNCTION("""COMPUTED_VALUE"""),"")</f>
        <v/>
      </c>
      <c r="M14575" s="16" t="str">
        <f>IFERROR(__xludf.DUMMYFUNCTION("""COMPUTED_VALUE"""),"")</f>
        <v/>
      </c>
      <c r="U14575" s="16" t="s">
        <v>87</v>
      </c>
      <c r="V14575" s="16" t="str">
        <f>IFERROR(__xludf.DUMMYFUNCTION("""COMPUTED_VALUE"""),"")</f>
        <v/>
      </c>
      <c r="W14575" s="16" t="str">
        <f>IFERROR(__xludf.DUMMYFUNCTION("""COMPUTED_VALUE"""),"")</f>
        <v/>
      </c>
      <c r="X14575" s="16" t="str">
        <f>IFERROR(__xludf.DUMMYFUNCTION("""COMPUTED_VALUE"""),"")</f>
        <v/>
      </c>
      <c r="AC14575" s="16" t="str">
        <f>IFERROR(__xludf.DUMMYFUNCTION("""COMPUTED_VALUE"""),"")</f>
        <v/>
      </c>
    </row>
    <row r="14576">
      <c r="A14576" s="16" t="s">
        <v>87</v>
      </c>
      <c r="E14576" s="16" t="str">
        <f>IFERROR(__xludf.DUMMYFUNCTION("""COMPUTED_VALUE"""),"")</f>
        <v/>
      </c>
      <c r="G14576" s="18"/>
      <c r="H14576" s="16" t="s">
        <v>87</v>
      </c>
      <c r="I14576" s="16" t="s">
        <v>87</v>
      </c>
      <c r="J14576" s="19"/>
      <c r="L14576" s="16" t="str">
        <f>IFERROR(__xludf.DUMMYFUNCTION("""COMPUTED_VALUE"""),"")</f>
        <v/>
      </c>
      <c r="M14576" s="16" t="str">
        <f>IFERROR(__xludf.DUMMYFUNCTION("""COMPUTED_VALUE"""),"")</f>
        <v/>
      </c>
      <c r="U14576" s="16" t="s">
        <v>87</v>
      </c>
      <c r="V14576" s="16" t="str">
        <f>IFERROR(__xludf.DUMMYFUNCTION("""COMPUTED_VALUE"""),"")</f>
        <v/>
      </c>
      <c r="W14576" s="16" t="str">
        <f>IFERROR(__xludf.DUMMYFUNCTION("""COMPUTED_VALUE"""),"")</f>
        <v/>
      </c>
      <c r="X14576" s="16" t="str">
        <f>IFERROR(__xludf.DUMMYFUNCTION("""COMPUTED_VALUE"""),"")</f>
        <v/>
      </c>
      <c r="AC14576" s="16" t="str">
        <f>IFERROR(__xludf.DUMMYFUNCTION("""COMPUTED_VALUE"""),"")</f>
        <v/>
      </c>
    </row>
    <row r="14577">
      <c r="A14577" s="16" t="s">
        <v>87</v>
      </c>
      <c r="E14577" s="16" t="str">
        <f>IFERROR(__xludf.DUMMYFUNCTION("""COMPUTED_VALUE"""),"")</f>
        <v/>
      </c>
      <c r="G14577" s="18"/>
      <c r="H14577" s="16" t="s">
        <v>87</v>
      </c>
      <c r="I14577" s="16" t="s">
        <v>87</v>
      </c>
      <c r="J14577" s="19"/>
      <c r="L14577" s="16" t="str">
        <f>IFERROR(__xludf.DUMMYFUNCTION("""COMPUTED_VALUE"""),"")</f>
        <v/>
      </c>
      <c r="M14577" s="16" t="str">
        <f>IFERROR(__xludf.DUMMYFUNCTION("""COMPUTED_VALUE"""),"")</f>
        <v/>
      </c>
      <c r="U14577" s="16" t="s">
        <v>87</v>
      </c>
      <c r="V14577" s="16" t="str">
        <f>IFERROR(__xludf.DUMMYFUNCTION("""COMPUTED_VALUE"""),"")</f>
        <v/>
      </c>
      <c r="W14577" s="16" t="str">
        <f>IFERROR(__xludf.DUMMYFUNCTION("""COMPUTED_VALUE"""),"")</f>
        <v/>
      </c>
      <c r="X14577" s="16" t="str">
        <f>IFERROR(__xludf.DUMMYFUNCTION("""COMPUTED_VALUE"""),"")</f>
        <v/>
      </c>
      <c r="AC14577" s="16" t="str">
        <f>IFERROR(__xludf.DUMMYFUNCTION("""COMPUTED_VALUE"""),"")</f>
        <v/>
      </c>
    </row>
    <row r="14578">
      <c r="A14578" s="16" t="s">
        <v>87</v>
      </c>
      <c r="E14578" s="16" t="str">
        <f>IFERROR(__xludf.DUMMYFUNCTION("""COMPUTED_VALUE"""),"")</f>
        <v/>
      </c>
      <c r="G14578" s="18"/>
      <c r="H14578" s="16" t="s">
        <v>87</v>
      </c>
      <c r="I14578" s="16" t="s">
        <v>87</v>
      </c>
      <c r="J14578" s="19"/>
      <c r="L14578" s="16" t="str">
        <f>IFERROR(__xludf.DUMMYFUNCTION("""COMPUTED_VALUE"""),"")</f>
        <v/>
      </c>
      <c r="M14578" s="16" t="str">
        <f>IFERROR(__xludf.DUMMYFUNCTION("""COMPUTED_VALUE"""),"")</f>
        <v/>
      </c>
      <c r="U14578" s="16" t="s">
        <v>87</v>
      </c>
      <c r="V14578" s="16" t="str">
        <f>IFERROR(__xludf.DUMMYFUNCTION("""COMPUTED_VALUE"""),"")</f>
        <v/>
      </c>
      <c r="W14578" s="16" t="str">
        <f>IFERROR(__xludf.DUMMYFUNCTION("""COMPUTED_VALUE"""),"")</f>
        <v/>
      </c>
      <c r="X14578" s="16" t="str">
        <f>IFERROR(__xludf.DUMMYFUNCTION("""COMPUTED_VALUE"""),"")</f>
        <v/>
      </c>
      <c r="AC14578" s="16" t="str">
        <f>IFERROR(__xludf.DUMMYFUNCTION("""COMPUTED_VALUE"""),"")</f>
        <v/>
      </c>
    </row>
    <row r="14579">
      <c r="A14579" s="16" t="s">
        <v>87</v>
      </c>
      <c r="E14579" s="16" t="str">
        <f>IFERROR(__xludf.DUMMYFUNCTION("""COMPUTED_VALUE"""),"")</f>
        <v/>
      </c>
      <c r="G14579" s="18"/>
      <c r="H14579" s="16" t="s">
        <v>87</v>
      </c>
      <c r="I14579" s="16" t="s">
        <v>87</v>
      </c>
      <c r="J14579" s="19"/>
      <c r="L14579" s="16" t="str">
        <f>IFERROR(__xludf.DUMMYFUNCTION("""COMPUTED_VALUE"""),"")</f>
        <v/>
      </c>
      <c r="M14579" s="16" t="str">
        <f>IFERROR(__xludf.DUMMYFUNCTION("""COMPUTED_VALUE"""),"")</f>
        <v/>
      </c>
      <c r="U14579" s="16" t="s">
        <v>87</v>
      </c>
      <c r="V14579" s="16" t="str">
        <f>IFERROR(__xludf.DUMMYFUNCTION("""COMPUTED_VALUE"""),"")</f>
        <v/>
      </c>
      <c r="W14579" s="16" t="str">
        <f>IFERROR(__xludf.DUMMYFUNCTION("""COMPUTED_VALUE"""),"")</f>
        <v/>
      </c>
      <c r="X14579" s="16" t="str">
        <f>IFERROR(__xludf.DUMMYFUNCTION("""COMPUTED_VALUE"""),"")</f>
        <v/>
      </c>
      <c r="AC14579" s="16" t="str">
        <f>IFERROR(__xludf.DUMMYFUNCTION("""COMPUTED_VALUE"""),"")</f>
        <v/>
      </c>
    </row>
    <row r="14580">
      <c r="A14580" s="16" t="s">
        <v>87</v>
      </c>
      <c r="E14580" s="16" t="str">
        <f>IFERROR(__xludf.DUMMYFUNCTION("""COMPUTED_VALUE"""),"")</f>
        <v/>
      </c>
      <c r="G14580" s="18"/>
      <c r="H14580" s="16" t="s">
        <v>87</v>
      </c>
      <c r="I14580" s="16" t="s">
        <v>87</v>
      </c>
      <c r="J14580" s="19"/>
      <c r="L14580" s="16" t="str">
        <f>IFERROR(__xludf.DUMMYFUNCTION("""COMPUTED_VALUE"""),"")</f>
        <v/>
      </c>
      <c r="M14580" s="16" t="str">
        <f>IFERROR(__xludf.DUMMYFUNCTION("""COMPUTED_VALUE"""),"")</f>
        <v/>
      </c>
      <c r="U14580" s="16" t="s">
        <v>87</v>
      </c>
      <c r="V14580" s="16" t="str">
        <f>IFERROR(__xludf.DUMMYFUNCTION("""COMPUTED_VALUE"""),"")</f>
        <v/>
      </c>
      <c r="W14580" s="16" t="str">
        <f>IFERROR(__xludf.DUMMYFUNCTION("""COMPUTED_VALUE"""),"")</f>
        <v/>
      </c>
      <c r="X14580" s="16" t="str">
        <f>IFERROR(__xludf.DUMMYFUNCTION("""COMPUTED_VALUE"""),"")</f>
        <v/>
      </c>
      <c r="AC14580" s="16" t="str">
        <f>IFERROR(__xludf.DUMMYFUNCTION("""COMPUTED_VALUE"""),"")</f>
        <v/>
      </c>
    </row>
    <row r="14581">
      <c r="A14581" s="16" t="s">
        <v>87</v>
      </c>
      <c r="E14581" s="16" t="str">
        <f>IFERROR(__xludf.DUMMYFUNCTION("""COMPUTED_VALUE"""),"")</f>
        <v/>
      </c>
      <c r="G14581" s="18"/>
      <c r="H14581" s="16" t="s">
        <v>87</v>
      </c>
      <c r="I14581" s="16" t="s">
        <v>87</v>
      </c>
      <c r="J14581" s="19"/>
      <c r="L14581" s="16" t="str">
        <f>IFERROR(__xludf.DUMMYFUNCTION("""COMPUTED_VALUE"""),"")</f>
        <v/>
      </c>
      <c r="M14581" s="16" t="str">
        <f>IFERROR(__xludf.DUMMYFUNCTION("""COMPUTED_VALUE"""),"")</f>
        <v/>
      </c>
      <c r="U14581" s="16" t="s">
        <v>87</v>
      </c>
      <c r="V14581" s="16" t="str">
        <f>IFERROR(__xludf.DUMMYFUNCTION("""COMPUTED_VALUE"""),"")</f>
        <v/>
      </c>
      <c r="W14581" s="16" t="str">
        <f>IFERROR(__xludf.DUMMYFUNCTION("""COMPUTED_VALUE"""),"")</f>
        <v/>
      </c>
      <c r="X14581" s="16" t="str">
        <f>IFERROR(__xludf.DUMMYFUNCTION("""COMPUTED_VALUE"""),"")</f>
        <v/>
      </c>
      <c r="AC14581" s="16" t="str">
        <f>IFERROR(__xludf.DUMMYFUNCTION("""COMPUTED_VALUE"""),"")</f>
        <v/>
      </c>
    </row>
    <row r="14582">
      <c r="A14582" s="16" t="s">
        <v>87</v>
      </c>
      <c r="E14582" s="16" t="str">
        <f>IFERROR(__xludf.DUMMYFUNCTION("""COMPUTED_VALUE"""),"")</f>
        <v/>
      </c>
      <c r="G14582" s="18"/>
      <c r="H14582" s="16" t="s">
        <v>87</v>
      </c>
      <c r="I14582" s="16" t="s">
        <v>87</v>
      </c>
      <c r="J14582" s="19"/>
      <c r="L14582" s="16" t="str">
        <f>IFERROR(__xludf.DUMMYFUNCTION("""COMPUTED_VALUE"""),"")</f>
        <v/>
      </c>
      <c r="M14582" s="16" t="str">
        <f>IFERROR(__xludf.DUMMYFUNCTION("""COMPUTED_VALUE"""),"")</f>
        <v/>
      </c>
      <c r="U14582" s="16" t="s">
        <v>87</v>
      </c>
      <c r="V14582" s="16" t="str">
        <f>IFERROR(__xludf.DUMMYFUNCTION("""COMPUTED_VALUE"""),"")</f>
        <v/>
      </c>
      <c r="W14582" s="16" t="str">
        <f>IFERROR(__xludf.DUMMYFUNCTION("""COMPUTED_VALUE"""),"")</f>
        <v/>
      </c>
      <c r="X14582" s="16" t="str">
        <f>IFERROR(__xludf.DUMMYFUNCTION("""COMPUTED_VALUE"""),"")</f>
        <v/>
      </c>
      <c r="AC14582" s="16" t="str">
        <f>IFERROR(__xludf.DUMMYFUNCTION("""COMPUTED_VALUE"""),"")</f>
        <v/>
      </c>
    </row>
    <row r="14583">
      <c r="A14583" s="16" t="s">
        <v>87</v>
      </c>
      <c r="E14583" s="16" t="str">
        <f>IFERROR(__xludf.DUMMYFUNCTION("""COMPUTED_VALUE"""),"")</f>
        <v/>
      </c>
      <c r="G14583" s="18"/>
      <c r="H14583" s="16" t="s">
        <v>87</v>
      </c>
      <c r="I14583" s="16" t="s">
        <v>87</v>
      </c>
      <c r="J14583" s="19"/>
      <c r="L14583" s="16" t="str">
        <f>IFERROR(__xludf.DUMMYFUNCTION("""COMPUTED_VALUE"""),"")</f>
        <v/>
      </c>
      <c r="M14583" s="16" t="str">
        <f>IFERROR(__xludf.DUMMYFUNCTION("""COMPUTED_VALUE"""),"")</f>
        <v/>
      </c>
      <c r="U14583" s="16" t="s">
        <v>87</v>
      </c>
      <c r="V14583" s="16" t="str">
        <f>IFERROR(__xludf.DUMMYFUNCTION("""COMPUTED_VALUE"""),"")</f>
        <v/>
      </c>
      <c r="W14583" s="16" t="str">
        <f>IFERROR(__xludf.DUMMYFUNCTION("""COMPUTED_VALUE"""),"")</f>
        <v/>
      </c>
      <c r="X14583" s="16" t="str">
        <f>IFERROR(__xludf.DUMMYFUNCTION("""COMPUTED_VALUE"""),"")</f>
        <v/>
      </c>
      <c r="AC14583" s="16" t="str">
        <f>IFERROR(__xludf.DUMMYFUNCTION("""COMPUTED_VALUE"""),"")</f>
        <v/>
      </c>
    </row>
    <row r="14584">
      <c r="A14584" s="16" t="s">
        <v>87</v>
      </c>
      <c r="E14584" s="16" t="str">
        <f>IFERROR(__xludf.DUMMYFUNCTION("""COMPUTED_VALUE"""),"")</f>
        <v/>
      </c>
      <c r="G14584" s="18"/>
      <c r="H14584" s="16" t="s">
        <v>87</v>
      </c>
      <c r="I14584" s="16" t="s">
        <v>87</v>
      </c>
      <c r="J14584" s="19"/>
      <c r="L14584" s="16" t="str">
        <f>IFERROR(__xludf.DUMMYFUNCTION("""COMPUTED_VALUE"""),"")</f>
        <v/>
      </c>
      <c r="M14584" s="16" t="str">
        <f>IFERROR(__xludf.DUMMYFUNCTION("""COMPUTED_VALUE"""),"")</f>
        <v/>
      </c>
      <c r="U14584" s="16" t="s">
        <v>87</v>
      </c>
      <c r="V14584" s="16" t="str">
        <f>IFERROR(__xludf.DUMMYFUNCTION("""COMPUTED_VALUE"""),"")</f>
        <v/>
      </c>
      <c r="W14584" s="16" t="str">
        <f>IFERROR(__xludf.DUMMYFUNCTION("""COMPUTED_VALUE"""),"")</f>
        <v/>
      </c>
      <c r="X14584" s="16" t="str">
        <f>IFERROR(__xludf.DUMMYFUNCTION("""COMPUTED_VALUE"""),"")</f>
        <v/>
      </c>
      <c r="AC14584" s="16" t="str">
        <f>IFERROR(__xludf.DUMMYFUNCTION("""COMPUTED_VALUE"""),"")</f>
        <v/>
      </c>
    </row>
    <row r="14585">
      <c r="A14585" s="16" t="s">
        <v>87</v>
      </c>
      <c r="E14585" s="16" t="str">
        <f>IFERROR(__xludf.DUMMYFUNCTION("""COMPUTED_VALUE"""),"")</f>
        <v/>
      </c>
      <c r="G14585" s="18"/>
      <c r="H14585" s="16" t="s">
        <v>87</v>
      </c>
      <c r="I14585" s="16" t="s">
        <v>87</v>
      </c>
      <c r="J14585" s="19"/>
      <c r="L14585" s="16" t="str">
        <f>IFERROR(__xludf.DUMMYFUNCTION("""COMPUTED_VALUE"""),"")</f>
        <v/>
      </c>
      <c r="M14585" s="16" t="str">
        <f>IFERROR(__xludf.DUMMYFUNCTION("""COMPUTED_VALUE"""),"")</f>
        <v/>
      </c>
      <c r="U14585" s="16" t="s">
        <v>87</v>
      </c>
      <c r="V14585" s="16" t="str">
        <f>IFERROR(__xludf.DUMMYFUNCTION("""COMPUTED_VALUE"""),"")</f>
        <v/>
      </c>
      <c r="W14585" s="16" t="str">
        <f>IFERROR(__xludf.DUMMYFUNCTION("""COMPUTED_VALUE"""),"")</f>
        <v/>
      </c>
      <c r="X14585" s="16" t="str">
        <f>IFERROR(__xludf.DUMMYFUNCTION("""COMPUTED_VALUE"""),"")</f>
        <v/>
      </c>
      <c r="AC14585" s="16" t="str">
        <f>IFERROR(__xludf.DUMMYFUNCTION("""COMPUTED_VALUE"""),"")</f>
        <v/>
      </c>
    </row>
    <row r="14586">
      <c r="A14586" s="16" t="s">
        <v>87</v>
      </c>
      <c r="E14586" s="16" t="str">
        <f>IFERROR(__xludf.DUMMYFUNCTION("""COMPUTED_VALUE"""),"")</f>
        <v/>
      </c>
      <c r="G14586" s="18"/>
      <c r="H14586" s="16" t="s">
        <v>87</v>
      </c>
      <c r="I14586" s="16" t="s">
        <v>87</v>
      </c>
      <c r="J14586" s="19"/>
      <c r="L14586" s="16" t="str">
        <f>IFERROR(__xludf.DUMMYFUNCTION("""COMPUTED_VALUE"""),"")</f>
        <v/>
      </c>
      <c r="M14586" s="16" t="str">
        <f>IFERROR(__xludf.DUMMYFUNCTION("""COMPUTED_VALUE"""),"")</f>
        <v/>
      </c>
      <c r="U14586" s="16" t="s">
        <v>87</v>
      </c>
      <c r="V14586" s="16" t="str">
        <f>IFERROR(__xludf.DUMMYFUNCTION("""COMPUTED_VALUE"""),"")</f>
        <v/>
      </c>
      <c r="W14586" s="16" t="str">
        <f>IFERROR(__xludf.DUMMYFUNCTION("""COMPUTED_VALUE"""),"")</f>
        <v/>
      </c>
      <c r="X14586" s="16" t="str">
        <f>IFERROR(__xludf.DUMMYFUNCTION("""COMPUTED_VALUE"""),"")</f>
        <v/>
      </c>
      <c r="AC14586" s="16" t="str">
        <f>IFERROR(__xludf.DUMMYFUNCTION("""COMPUTED_VALUE"""),"")</f>
        <v/>
      </c>
    </row>
    <row r="14587">
      <c r="A14587" s="16" t="s">
        <v>87</v>
      </c>
      <c r="E14587" s="16" t="str">
        <f>IFERROR(__xludf.DUMMYFUNCTION("""COMPUTED_VALUE"""),"")</f>
        <v/>
      </c>
      <c r="G14587" s="18"/>
      <c r="H14587" s="16" t="s">
        <v>87</v>
      </c>
      <c r="I14587" s="16" t="s">
        <v>87</v>
      </c>
      <c r="J14587" s="19"/>
      <c r="L14587" s="16" t="str">
        <f>IFERROR(__xludf.DUMMYFUNCTION("""COMPUTED_VALUE"""),"")</f>
        <v/>
      </c>
      <c r="M14587" s="16" t="str">
        <f>IFERROR(__xludf.DUMMYFUNCTION("""COMPUTED_VALUE"""),"")</f>
        <v/>
      </c>
      <c r="U14587" s="16" t="s">
        <v>87</v>
      </c>
      <c r="V14587" s="16" t="str">
        <f>IFERROR(__xludf.DUMMYFUNCTION("""COMPUTED_VALUE"""),"")</f>
        <v/>
      </c>
      <c r="W14587" s="16" t="str">
        <f>IFERROR(__xludf.DUMMYFUNCTION("""COMPUTED_VALUE"""),"")</f>
        <v/>
      </c>
      <c r="X14587" s="16" t="str">
        <f>IFERROR(__xludf.DUMMYFUNCTION("""COMPUTED_VALUE"""),"")</f>
        <v/>
      </c>
      <c r="AC14587" s="16" t="str">
        <f>IFERROR(__xludf.DUMMYFUNCTION("""COMPUTED_VALUE"""),"")</f>
        <v/>
      </c>
    </row>
    <row r="14588">
      <c r="A14588" s="16" t="s">
        <v>87</v>
      </c>
      <c r="E14588" s="16" t="str">
        <f>IFERROR(__xludf.DUMMYFUNCTION("""COMPUTED_VALUE"""),"")</f>
        <v/>
      </c>
      <c r="G14588" s="18"/>
      <c r="H14588" s="16" t="s">
        <v>87</v>
      </c>
      <c r="I14588" s="16" t="s">
        <v>87</v>
      </c>
      <c r="J14588" s="19"/>
      <c r="L14588" s="16" t="str">
        <f>IFERROR(__xludf.DUMMYFUNCTION("""COMPUTED_VALUE"""),"")</f>
        <v/>
      </c>
      <c r="M14588" s="16" t="str">
        <f>IFERROR(__xludf.DUMMYFUNCTION("""COMPUTED_VALUE"""),"")</f>
        <v/>
      </c>
      <c r="U14588" s="16" t="s">
        <v>87</v>
      </c>
      <c r="V14588" s="16" t="str">
        <f>IFERROR(__xludf.DUMMYFUNCTION("""COMPUTED_VALUE"""),"")</f>
        <v/>
      </c>
      <c r="W14588" s="16" t="str">
        <f>IFERROR(__xludf.DUMMYFUNCTION("""COMPUTED_VALUE"""),"")</f>
        <v/>
      </c>
      <c r="X14588" s="16" t="str">
        <f>IFERROR(__xludf.DUMMYFUNCTION("""COMPUTED_VALUE"""),"")</f>
        <v/>
      </c>
      <c r="AC14588" s="16" t="str">
        <f>IFERROR(__xludf.DUMMYFUNCTION("""COMPUTED_VALUE"""),"")</f>
        <v/>
      </c>
    </row>
    <row r="14589">
      <c r="A14589" s="16" t="s">
        <v>87</v>
      </c>
      <c r="E14589" s="16" t="str">
        <f>IFERROR(__xludf.DUMMYFUNCTION("""COMPUTED_VALUE"""),"")</f>
        <v/>
      </c>
      <c r="G14589" s="18"/>
      <c r="H14589" s="16" t="s">
        <v>87</v>
      </c>
      <c r="I14589" s="16" t="s">
        <v>87</v>
      </c>
      <c r="J14589" s="19"/>
      <c r="L14589" s="16" t="str">
        <f>IFERROR(__xludf.DUMMYFUNCTION("""COMPUTED_VALUE"""),"")</f>
        <v/>
      </c>
      <c r="M14589" s="16" t="str">
        <f>IFERROR(__xludf.DUMMYFUNCTION("""COMPUTED_VALUE"""),"")</f>
        <v/>
      </c>
      <c r="U14589" s="16" t="s">
        <v>87</v>
      </c>
      <c r="V14589" s="16" t="str">
        <f>IFERROR(__xludf.DUMMYFUNCTION("""COMPUTED_VALUE"""),"")</f>
        <v/>
      </c>
      <c r="W14589" s="16" t="str">
        <f>IFERROR(__xludf.DUMMYFUNCTION("""COMPUTED_VALUE"""),"")</f>
        <v/>
      </c>
      <c r="X14589" s="16" t="str">
        <f>IFERROR(__xludf.DUMMYFUNCTION("""COMPUTED_VALUE"""),"")</f>
        <v/>
      </c>
      <c r="AC14589" s="16" t="str">
        <f>IFERROR(__xludf.DUMMYFUNCTION("""COMPUTED_VALUE"""),"")</f>
        <v/>
      </c>
    </row>
    <row r="14590">
      <c r="A14590" s="16" t="s">
        <v>87</v>
      </c>
      <c r="E14590" s="16" t="str">
        <f>IFERROR(__xludf.DUMMYFUNCTION("""COMPUTED_VALUE"""),"")</f>
        <v/>
      </c>
      <c r="G14590" s="18"/>
      <c r="H14590" s="16" t="s">
        <v>87</v>
      </c>
      <c r="I14590" s="16" t="s">
        <v>87</v>
      </c>
      <c r="J14590" s="19"/>
      <c r="L14590" s="16" t="str">
        <f>IFERROR(__xludf.DUMMYFUNCTION("""COMPUTED_VALUE"""),"")</f>
        <v/>
      </c>
      <c r="M14590" s="16" t="str">
        <f>IFERROR(__xludf.DUMMYFUNCTION("""COMPUTED_VALUE"""),"")</f>
        <v/>
      </c>
      <c r="U14590" s="16" t="s">
        <v>87</v>
      </c>
      <c r="V14590" s="16" t="str">
        <f>IFERROR(__xludf.DUMMYFUNCTION("""COMPUTED_VALUE"""),"")</f>
        <v/>
      </c>
      <c r="W14590" s="16" t="str">
        <f>IFERROR(__xludf.DUMMYFUNCTION("""COMPUTED_VALUE"""),"")</f>
        <v/>
      </c>
      <c r="X14590" s="16" t="str">
        <f>IFERROR(__xludf.DUMMYFUNCTION("""COMPUTED_VALUE"""),"")</f>
        <v/>
      </c>
      <c r="AC14590" s="16" t="str">
        <f>IFERROR(__xludf.DUMMYFUNCTION("""COMPUTED_VALUE"""),"")</f>
        <v/>
      </c>
    </row>
    <row r="14591">
      <c r="A14591" s="16" t="s">
        <v>87</v>
      </c>
      <c r="E14591" s="16" t="str">
        <f>IFERROR(__xludf.DUMMYFUNCTION("""COMPUTED_VALUE"""),"")</f>
        <v/>
      </c>
      <c r="G14591" s="18"/>
      <c r="H14591" s="16" t="s">
        <v>87</v>
      </c>
      <c r="I14591" s="16" t="s">
        <v>87</v>
      </c>
      <c r="J14591" s="19"/>
      <c r="L14591" s="16" t="str">
        <f>IFERROR(__xludf.DUMMYFUNCTION("""COMPUTED_VALUE"""),"")</f>
        <v/>
      </c>
      <c r="M14591" s="16" t="str">
        <f>IFERROR(__xludf.DUMMYFUNCTION("""COMPUTED_VALUE"""),"")</f>
        <v/>
      </c>
      <c r="U14591" s="16" t="s">
        <v>87</v>
      </c>
      <c r="V14591" s="16" t="str">
        <f>IFERROR(__xludf.DUMMYFUNCTION("""COMPUTED_VALUE"""),"")</f>
        <v/>
      </c>
      <c r="W14591" s="16" t="str">
        <f>IFERROR(__xludf.DUMMYFUNCTION("""COMPUTED_VALUE"""),"")</f>
        <v/>
      </c>
      <c r="X14591" s="16" t="str">
        <f>IFERROR(__xludf.DUMMYFUNCTION("""COMPUTED_VALUE"""),"")</f>
        <v/>
      </c>
      <c r="AC14591" s="16" t="str">
        <f>IFERROR(__xludf.DUMMYFUNCTION("""COMPUTED_VALUE"""),"")</f>
        <v/>
      </c>
    </row>
    <row r="14592">
      <c r="A14592" s="16" t="s">
        <v>87</v>
      </c>
      <c r="E14592" s="16" t="str">
        <f>IFERROR(__xludf.DUMMYFUNCTION("""COMPUTED_VALUE"""),"")</f>
        <v/>
      </c>
      <c r="G14592" s="18"/>
      <c r="H14592" s="16" t="s">
        <v>87</v>
      </c>
      <c r="I14592" s="16" t="s">
        <v>87</v>
      </c>
      <c r="J14592" s="19"/>
      <c r="L14592" s="16" t="str">
        <f>IFERROR(__xludf.DUMMYFUNCTION("""COMPUTED_VALUE"""),"")</f>
        <v/>
      </c>
      <c r="M14592" s="16" t="str">
        <f>IFERROR(__xludf.DUMMYFUNCTION("""COMPUTED_VALUE"""),"")</f>
        <v/>
      </c>
      <c r="U14592" s="16" t="s">
        <v>87</v>
      </c>
      <c r="V14592" s="16" t="str">
        <f>IFERROR(__xludf.DUMMYFUNCTION("""COMPUTED_VALUE"""),"")</f>
        <v/>
      </c>
      <c r="W14592" s="16" t="str">
        <f>IFERROR(__xludf.DUMMYFUNCTION("""COMPUTED_VALUE"""),"")</f>
        <v/>
      </c>
      <c r="X14592" s="16" t="str">
        <f>IFERROR(__xludf.DUMMYFUNCTION("""COMPUTED_VALUE"""),"")</f>
        <v/>
      </c>
      <c r="AC14592" s="16" t="str">
        <f>IFERROR(__xludf.DUMMYFUNCTION("""COMPUTED_VALUE"""),"")</f>
        <v/>
      </c>
    </row>
    <row r="14593">
      <c r="A14593" s="16" t="s">
        <v>87</v>
      </c>
      <c r="E14593" s="16" t="str">
        <f>IFERROR(__xludf.DUMMYFUNCTION("""COMPUTED_VALUE"""),"")</f>
        <v/>
      </c>
      <c r="G14593" s="18"/>
      <c r="H14593" s="16" t="s">
        <v>87</v>
      </c>
      <c r="I14593" s="16" t="s">
        <v>87</v>
      </c>
      <c r="J14593" s="19"/>
      <c r="L14593" s="16" t="str">
        <f>IFERROR(__xludf.DUMMYFUNCTION("""COMPUTED_VALUE"""),"")</f>
        <v/>
      </c>
      <c r="M14593" s="16" t="str">
        <f>IFERROR(__xludf.DUMMYFUNCTION("""COMPUTED_VALUE"""),"")</f>
        <v/>
      </c>
      <c r="U14593" s="16" t="s">
        <v>87</v>
      </c>
      <c r="V14593" s="16" t="str">
        <f>IFERROR(__xludf.DUMMYFUNCTION("""COMPUTED_VALUE"""),"")</f>
        <v/>
      </c>
      <c r="W14593" s="16" t="str">
        <f>IFERROR(__xludf.DUMMYFUNCTION("""COMPUTED_VALUE"""),"")</f>
        <v/>
      </c>
      <c r="X14593" s="16" t="str">
        <f>IFERROR(__xludf.DUMMYFUNCTION("""COMPUTED_VALUE"""),"")</f>
        <v/>
      </c>
      <c r="AC14593" s="16" t="str">
        <f>IFERROR(__xludf.DUMMYFUNCTION("""COMPUTED_VALUE"""),"")</f>
        <v/>
      </c>
    </row>
    <row r="14594">
      <c r="A14594" s="16" t="s">
        <v>87</v>
      </c>
      <c r="E14594" s="16" t="str">
        <f>IFERROR(__xludf.DUMMYFUNCTION("""COMPUTED_VALUE"""),"")</f>
        <v/>
      </c>
      <c r="G14594" s="18"/>
      <c r="H14594" s="16" t="s">
        <v>87</v>
      </c>
      <c r="I14594" s="16" t="s">
        <v>87</v>
      </c>
      <c r="J14594" s="19"/>
      <c r="L14594" s="16" t="str">
        <f>IFERROR(__xludf.DUMMYFUNCTION("""COMPUTED_VALUE"""),"")</f>
        <v/>
      </c>
      <c r="M14594" s="16" t="str">
        <f>IFERROR(__xludf.DUMMYFUNCTION("""COMPUTED_VALUE"""),"")</f>
        <v/>
      </c>
      <c r="U14594" s="16" t="s">
        <v>87</v>
      </c>
      <c r="V14594" s="16" t="str">
        <f>IFERROR(__xludf.DUMMYFUNCTION("""COMPUTED_VALUE"""),"")</f>
        <v/>
      </c>
      <c r="W14594" s="16" t="str">
        <f>IFERROR(__xludf.DUMMYFUNCTION("""COMPUTED_VALUE"""),"")</f>
        <v/>
      </c>
      <c r="X14594" s="16" t="str">
        <f>IFERROR(__xludf.DUMMYFUNCTION("""COMPUTED_VALUE"""),"")</f>
        <v/>
      </c>
      <c r="AC14594" s="16" t="str">
        <f>IFERROR(__xludf.DUMMYFUNCTION("""COMPUTED_VALUE"""),"")</f>
        <v/>
      </c>
    </row>
    <row r="14595">
      <c r="A14595" s="16" t="s">
        <v>87</v>
      </c>
      <c r="E14595" s="16" t="str">
        <f>IFERROR(__xludf.DUMMYFUNCTION("""COMPUTED_VALUE"""),"")</f>
        <v/>
      </c>
      <c r="G14595" s="18"/>
      <c r="H14595" s="16" t="s">
        <v>87</v>
      </c>
      <c r="I14595" s="16" t="s">
        <v>87</v>
      </c>
      <c r="J14595" s="19"/>
      <c r="L14595" s="16" t="str">
        <f>IFERROR(__xludf.DUMMYFUNCTION("""COMPUTED_VALUE"""),"")</f>
        <v/>
      </c>
      <c r="M14595" s="16" t="str">
        <f>IFERROR(__xludf.DUMMYFUNCTION("""COMPUTED_VALUE"""),"")</f>
        <v/>
      </c>
      <c r="U14595" s="16" t="s">
        <v>87</v>
      </c>
      <c r="V14595" s="16" t="str">
        <f>IFERROR(__xludf.DUMMYFUNCTION("""COMPUTED_VALUE"""),"")</f>
        <v/>
      </c>
      <c r="W14595" s="16" t="str">
        <f>IFERROR(__xludf.DUMMYFUNCTION("""COMPUTED_VALUE"""),"")</f>
        <v/>
      </c>
      <c r="X14595" s="16" t="str">
        <f>IFERROR(__xludf.DUMMYFUNCTION("""COMPUTED_VALUE"""),"")</f>
        <v/>
      </c>
      <c r="AC14595" s="16" t="str">
        <f>IFERROR(__xludf.DUMMYFUNCTION("""COMPUTED_VALUE"""),"")</f>
        <v/>
      </c>
    </row>
    <row r="14596">
      <c r="A14596" s="16" t="s">
        <v>87</v>
      </c>
      <c r="E14596" s="16" t="str">
        <f>IFERROR(__xludf.DUMMYFUNCTION("""COMPUTED_VALUE"""),"")</f>
        <v/>
      </c>
      <c r="G14596" s="18"/>
      <c r="H14596" s="16" t="s">
        <v>87</v>
      </c>
      <c r="I14596" s="16" t="s">
        <v>87</v>
      </c>
      <c r="J14596" s="19"/>
      <c r="L14596" s="16" t="str">
        <f>IFERROR(__xludf.DUMMYFUNCTION("""COMPUTED_VALUE"""),"")</f>
        <v/>
      </c>
      <c r="M14596" s="16" t="str">
        <f>IFERROR(__xludf.DUMMYFUNCTION("""COMPUTED_VALUE"""),"")</f>
        <v/>
      </c>
      <c r="U14596" s="16" t="s">
        <v>87</v>
      </c>
      <c r="V14596" s="16" t="str">
        <f>IFERROR(__xludf.DUMMYFUNCTION("""COMPUTED_VALUE"""),"")</f>
        <v/>
      </c>
      <c r="W14596" s="16" t="str">
        <f>IFERROR(__xludf.DUMMYFUNCTION("""COMPUTED_VALUE"""),"")</f>
        <v/>
      </c>
      <c r="X14596" s="16" t="str">
        <f>IFERROR(__xludf.DUMMYFUNCTION("""COMPUTED_VALUE"""),"")</f>
        <v/>
      </c>
      <c r="AC14596" s="16" t="str">
        <f>IFERROR(__xludf.DUMMYFUNCTION("""COMPUTED_VALUE"""),"")</f>
        <v/>
      </c>
    </row>
    <row r="14597">
      <c r="A14597" s="16" t="s">
        <v>87</v>
      </c>
      <c r="E14597" s="16" t="str">
        <f>IFERROR(__xludf.DUMMYFUNCTION("""COMPUTED_VALUE"""),"")</f>
        <v/>
      </c>
      <c r="G14597" s="18"/>
      <c r="H14597" s="16" t="s">
        <v>87</v>
      </c>
      <c r="I14597" s="16" t="s">
        <v>87</v>
      </c>
      <c r="J14597" s="19"/>
      <c r="L14597" s="16" t="str">
        <f>IFERROR(__xludf.DUMMYFUNCTION("""COMPUTED_VALUE"""),"")</f>
        <v/>
      </c>
      <c r="M14597" s="16" t="str">
        <f>IFERROR(__xludf.DUMMYFUNCTION("""COMPUTED_VALUE"""),"")</f>
        <v/>
      </c>
      <c r="U14597" s="16" t="s">
        <v>87</v>
      </c>
      <c r="V14597" s="16" t="str">
        <f>IFERROR(__xludf.DUMMYFUNCTION("""COMPUTED_VALUE"""),"")</f>
        <v/>
      </c>
      <c r="W14597" s="16" t="str">
        <f>IFERROR(__xludf.DUMMYFUNCTION("""COMPUTED_VALUE"""),"")</f>
        <v/>
      </c>
      <c r="X14597" s="16" t="str">
        <f>IFERROR(__xludf.DUMMYFUNCTION("""COMPUTED_VALUE"""),"")</f>
        <v/>
      </c>
      <c r="AC14597" s="16" t="str">
        <f>IFERROR(__xludf.DUMMYFUNCTION("""COMPUTED_VALUE"""),"")</f>
        <v/>
      </c>
    </row>
    <row r="14598">
      <c r="A14598" s="16" t="s">
        <v>87</v>
      </c>
      <c r="E14598" s="16" t="str">
        <f>IFERROR(__xludf.DUMMYFUNCTION("""COMPUTED_VALUE"""),"")</f>
        <v/>
      </c>
      <c r="G14598" s="18"/>
      <c r="H14598" s="16" t="s">
        <v>87</v>
      </c>
      <c r="I14598" s="16" t="s">
        <v>87</v>
      </c>
      <c r="J14598" s="19"/>
      <c r="L14598" s="16" t="str">
        <f>IFERROR(__xludf.DUMMYFUNCTION("""COMPUTED_VALUE"""),"")</f>
        <v/>
      </c>
      <c r="M14598" s="16" t="str">
        <f>IFERROR(__xludf.DUMMYFUNCTION("""COMPUTED_VALUE"""),"")</f>
        <v/>
      </c>
      <c r="U14598" s="16" t="s">
        <v>87</v>
      </c>
      <c r="V14598" s="16" t="str">
        <f>IFERROR(__xludf.DUMMYFUNCTION("""COMPUTED_VALUE"""),"")</f>
        <v/>
      </c>
      <c r="W14598" s="16" t="str">
        <f>IFERROR(__xludf.DUMMYFUNCTION("""COMPUTED_VALUE"""),"")</f>
        <v/>
      </c>
      <c r="X14598" s="16" t="str">
        <f>IFERROR(__xludf.DUMMYFUNCTION("""COMPUTED_VALUE"""),"")</f>
        <v/>
      </c>
      <c r="AC14598" s="16" t="str">
        <f>IFERROR(__xludf.DUMMYFUNCTION("""COMPUTED_VALUE"""),"")</f>
        <v/>
      </c>
    </row>
    <row r="14599">
      <c r="A14599" s="16" t="s">
        <v>87</v>
      </c>
      <c r="E14599" s="16" t="str">
        <f>IFERROR(__xludf.DUMMYFUNCTION("""COMPUTED_VALUE"""),"")</f>
        <v/>
      </c>
      <c r="G14599" s="18"/>
      <c r="H14599" s="16" t="s">
        <v>87</v>
      </c>
      <c r="I14599" s="16" t="s">
        <v>87</v>
      </c>
      <c r="J14599" s="19"/>
      <c r="L14599" s="16" t="str">
        <f>IFERROR(__xludf.DUMMYFUNCTION("""COMPUTED_VALUE"""),"")</f>
        <v/>
      </c>
      <c r="M14599" s="16" t="str">
        <f>IFERROR(__xludf.DUMMYFUNCTION("""COMPUTED_VALUE"""),"")</f>
        <v/>
      </c>
      <c r="U14599" s="16" t="s">
        <v>87</v>
      </c>
      <c r="V14599" s="16" t="str">
        <f>IFERROR(__xludf.DUMMYFUNCTION("""COMPUTED_VALUE"""),"")</f>
        <v/>
      </c>
      <c r="W14599" s="16" t="str">
        <f>IFERROR(__xludf.DUMMYFUNCTION("""COMPUTED_VALUE"""),"")</f>
        <v/>
      </c>
      <c r="X14599" s="16" t="str">
        <f>IFERROR(__xludf.DUMMYFUNCTION("""COMPUTED_VALUE"""),"")</f>
        <v/>
      </c>
      <c r="AC14599" s="16" t="str">
        <f>IFERROR(__xludf.DUMMYFUNCTION("""COMPUTED_VALUE"""),"")</f>
        <v/>
      </c>
    </row>
    <row r="14600">
      <c r="A14600" s="16" t="s">
        <v>87</v>
      </c>
      <c r="E14600" s="16" t="str">
        <f>IFERROR(__xludf.DUMMYFUNCTION("""COMPUTED_VALUE"""),"")</f>
        <v/>
      </c>
      <c r="G14600" s="18"/>
      <c r="H14600" s="16" t="s">
        <v>87</v>
      </c>
      <c r="I14600" s="16" t="s">
        <v>87</v>
      </c>
      <c r="J14600" s="19"/>
      <c r="L14600" s="16" t="str">
        <f>IFERROR(__xludf.DUMMYFUNCTION("""COMPUTED_VALUE"""),"")</f>
        <v/>
      </c>
      <c r="M14600" s="16" t="str">
        <f>IFERROR(__xludf.DUMMYFUNCTION("""COMPUTED_VALUE"""),"")</f>
        <v/>
      </c>
      <c r="U14600" s="16" t="s">
        <v>87</v>
      </c>
      <c r="V14600" s="16" t="str">
        <f>IFERROR(__xludf.DUMMYFUNCTION("""COMPUTED_VALUE"""),"")</f>
        <v/>
      </c>
      <c r="W14600" s="16" t="str">
        <f>IFERROR(__xludf.DUMMYFUNCTION("""COMPUTED_VALUE"""),"")</f>
        <v/>
      </c>
      <c r="X14600" s="16" t="str">
        <f>IFERROR(__xludf.DUMMYFUNCTION("""COMPUTED_VALUE"""),"")</f>
        <v/>
      </c>
      <c r="AC14600" s="16" t="str">
        <f>IFERROR(__xludf.DUMMYFUNCTION("""COMPUTED_VALUE"""),"")</f>
        <v/>
      </c>
    </row>
    <row r="14601">
      <c r="A14601" s="16" t="s">
        <v>87</v>
      </c>
      <c r="E14601" s="16" t="str">
        <f>IFERROR(__xludf.DUMMYFUNCTION("""COMPUTED_VALUE"""),"")</f>
        <v/>
      </c>
      <c r="G14601" s="18"/>
      <c r="H14601" s="16" t="s">
        <v>87</v>
      </c>
      <c r="I14601" s="16" t="s">
        <v>87</v>
      </c>
      <c r="J14601" s="19"/>
      <c r="L14601" s="16" t="str">
        <f>IFERROR(__xludf.DUMMYFUNCTION("""COMPUTED_VALUE"""),"")</f>
        <v/>
      </c>
      <c r="M14601" s="16" t="str">
        <f>IFERROR(__xludf.DUMMYFUNCTION("""COMPUTED_VALUE"""),"")</f>
        <v/>
      </c>
      <c r="U14601" s="16" t="s">
        <v>87</v>
      </c>
      <c r="V14601" s="16" t="str">
        <f>IFERROR(__xludf.DUMMYFUNCTION("""COMPUTED_VALUE"""),"")</f>
        <v/>
      </c>
      <c r="W14601" s="16" t="str">
        <f>IFERROR(__xludf.DUMMYFUNCTION("""COMPUTED_VALUE"""),"")</f>
        <v/>
      </c>
      <c r="X14601" s="16" t="str">
        <f>IFERROR(__xludf.DUMMYFUNCTION("""COMPUTED_VALUE"""),"")</f>
        <v/>
      </c>
      <c r="AC14601" s="16" t="str">
        <f>IFERROR(__xludf.DUMMYFUNCTION("""COMPUTED_VALUE"""),"")</f>
        <v/>
      </c>
    </row>
    <row r="14602">
      <c r="A14602" s="16" t="s">
        <v>87</v>
      </c>
      <c r="E14602" s="16" t="str">
        <f>IFERROR(__xludf.DUMMYFUNCTION("""COMPUTED_VALUE"""),"")</f>
        <v/>
      </c>
      <c r="G14602" s="18"/>
      <c r="H14602" s="16" t="s">
        <v>87</v>
      </c>
      <c r="I14602" s="16" t="s">
        <v>87</v>
      </c>
      <c r="J14602" s="19"/>
      <c r="L14602" s="16" t="str">
        <f>IFERROR(__xludf.DUMMYFUNCTION("""COMPUTED_VALUE"""),"")</f>
        <v/>
      </c>
      <c r="M14602" s="16" t="str">
        <f>IFERROR(__xludf.DUMMYFUNCTION("""COMPUTED_VALUE"""),"")</f>
        <v/>
      </c>
      <c r="U14602" s="16" t="s">
        <v>87</v>
      </c>
      <c r="V14602" s="16" t="str">
        <f>IFERROR(__xludf.DUMMYFUNCTION("""COMPUTED_VALUE"""),"")</f>
        <v/>
      </c>
      <c r="W14602" s="16" t="str">
        <f>IFERROR(__xludf.DUMMYFUNCTION("""COMPUTED_VALUE"""),"")</f>
        <v/>
      </c>
      <c r="X14602" s="16" t="str">
        <f>IFERROR(__xludf.DUMMYFUNCTION("""COMPUTED_VALUE"""),"")</f>
        <v/>
      </c>
      <c r="AC14602" s="16" t="str">
        <f>IFERROR(__xludf.DUMMYFUNCTION("""COMPUTED_VALUE"""),"")</f>
        <v/>
      </c>
    </row>
    <row r="14603">
      <c r="A14603" s="16" t="s">
        <v>87</v>
      </c>
      <c r="E14603" s="16" t="str">
        <f>IFERROR(__xludf.DUMMYFUNCTION("""COMPUTED_VALUE"""),"")</f>
        <v/>
      </c>
      <c r="G14603" s="18"/>
      <c r="H14603" s="16" t="s">
        <v>87</v>
      </c>
      <c r="I14603" s="16" t="s">
        <v>87</v>
      </c>
      <c r="J14603" s="19"/>
      <c r="L14603" s="16" t="str">
        <f>IFERROR(__xludf.DUMMYFUNCTION("""COMPUTED_VALUE"""),"")</f>
        <v/>
      </c>
      <c r="M14603" s="16" t="str">
        <f>IFERROR(__xludf.DUMMYFUNCTION("""COMPUTED_VALUE"""),"")</f>
        <v/>
      </c>
      <c r="U14603" s="16" t="s">
        <v>87</v>
      </c>
      <c r="V14603" s="16" t="str">
        <f>IFERROR(__xludf.DUMMYFUNCTION("""COMPUTED_VALUE"""),"")</f>
        <v/>
      </c>
      <c r="W14603" s="16" t="str">
        <f>IFERROR(__xludf.DUMMYFUNCTION("""COMPUTED_VALUE"""),"")</f>
        <v/>
      </c>
      <c r="X14603" s="16" t="str">
        <f>IFERROR(__xludf.DUMMYFUNCTION("""COMPUTED_VALUE"""),"")</f>
        <v/>
      </c>
      <c r="AC14603" s="16" t="str">
        <f>IFERROR(__xludf.DUMMYFUNCTION("""COMPUTED_VALUE"""),"")</f>
        <v/>
      </c>
    </row>
    <row r="14604">
      <c r="A14604" s="16" t="s">
        <v>87</v>
      </c>
      <c r="E14604" s="16" t="str">
        <f>IFERROR(__xludf.DUMMYFUNCTION("""COMPUTED_VALUE"""),"")</f>
        <v/>
      </c>
      <c r="G14604" s="18"/>
      <c r="H14604" s="16" t="s">
        <v>87</v>
      </c>
      <c r="I14604" s="16" t="s">
        <v>87</v>
      </c>
      <c r="J14604" s="19"/>
      <c r="L14604" s="16" t="str">
        <f>IFERROR(__xludf.DUMMYFUNCTION("""COMPUTED_VALUE"""),"")</f>
        <v/>
      </c>
      <c r="M14604" s="16" t="str">
        <f>IFERROR(__xludf.DUMMYFUNCTION("""COMPUTED_VALUE"""),"")</f>
        <v/>
      </c>
      <c r="U14604" s="16" t="s">
        <v>87</v>
      </c>
      <c r="V14604" s="16" t="str">
        <f>IFERROR(__xludf.DUMMYFUNCTION("""COMPUTED_VALUE"""),"")</f>
        <v/>
      </c>
      <c r="W14604" s="16" t="str">
        <f>IFERROR(__xludf.DUMMYFUNCTION("""COMPUTED_VALUE"""),"")</f>
        <v/>
      </c>
      <c r="X14604" s="16" t="str">
        <f>IFERROR(__xludf.DUMMYFUNCTION("""COMPUTED_VALUE"""),"")</f>
        <v/>
      </c>
      <c r="AC14604" s="16" t="str">
        <f>IFERROR(__xludf.DUMMYFUNCTION("""COMPUTED_VALUE"""),"")</f>
        <v/>
      </c>
    </row>
    <row r="14605">
      <c r="A14605" s="16" t="s">
        <v>87</v>
      </c>
      <c r="E14605" s="16" t="str">
        <f>IFERROR(__xludf.DUMMYFUNCTION("""COMPUTED_VALUE"""),"")</f>
        <v/>
      </c>
      <c r="G14605" s="18"/>
      <c r="H14605" s="16" t="s">
        <v>87</v>
      </c>
      <c r="I14605" s="16" t="s">
        <v>87</v>
      </c>
      <c r="J14605" s="19"/>
      <c r="L14605" s="16" t="str">
        <f>IFERROR(__xludf.DUMMYFUNCTION("""COMPUTED_VALUE"""),"")</f>
        <v/>
      </c>
      <c r="M14605" s="16" t="str">
        <f>IFERROR(__xludf.DUMMYFUNCTION("""COMPUTED_VALUE"""),"")</f>
        <v/>
      </c>
      <c r="U14605" s="16" t="s">
        <v>87</v>
      </c>
      <c r="V14605" s="16" t="str">
        <f>IFERROR(__xludf.DUMMYFUNCTION("""COMPUTED_VALUE"""),"")</f>
        <v/>
      </c>
      <c r="W14605" s="16" t="str">
        <f>IFERROR(__xludf.DUMMYFUNCTION("""COMPUTED_VALUE"""),"")</f>
        <v/>
      </c>
      <c r="X14605" s="16" t="str">
        <f>IFERROR(__xludf.DUMMYFUNCTION("""COMPUTED_VALUE"""),"")</f>
        <v/>
      </c>
      <c r="AC14605" s="16" t="str">
        <f>IFERROR(__xludf.DUMMYFUNCTION("""COMPUTED_VALUE"""),"")</f>
        <v/>
      </c>
    </row>
    <row r="14606">
      <c r="A14606" s="16" t="s">
        <v>87</v>
      </c>
      <c r="E14606" s="16" t="str">
        <f>IFERROR(__xludf.DUMMYFUNCTION("""COMPUTED_VALUE"""),"")</f>
        <v/>
      </c>
      <c r="G14606" s="18"/>
      <c r="H14606" s="16" t="s">
        <v>87</v>
      </c>
      <c r="I14606" s="16" t="s">
        <v>87</v>
      </c>
      <c r="J14606" s="19"/>
      <c r="L14606" s="16" t="str">
        <f>IFERROR(__xludf.DUMMYFUNCTION("""COMPUTED_VALUE"""),"")</f>
        <v/>
      </c>
      <c r="M14606" s="16" t="str">
        <f>IFERROR(__xludf.DUMMYFUNCTION("""COMPUTED_VALUE"""),"")</f>
        <v/>
      </c>
      <c r="U14606" s="16" t="s">
        <v>87</v>
      </c>
      <c r="V14606" s="16" t="str">
        <f>IFERROR(__xludf.DUMMYFUNCTION("""COMPUTED_VALUE"""),"")</f>
        <v/>
      </c>
      <c r="W14606" s="16" t="str">
        <f>IFERROR(__xludf.DUMMYFUNCTION("""COMPUTED_VALUE"""),"")</f>
        <v/>
      </c>
      <c r="X14606" s="16" t="str">
        <f>IFERROR(__xludf.DUMMYFUNCTION("""COMPUTED_VALUE"""),"")</f>
        <v/>
      </c>
      <c r="AC14606" s="16" t="str">
        <f>IFERROR(__xludf.DUMMYFUNCTION("""COMPUTED_VALUE"""),"")</f>
        <v/>
      </c>
    </row>
    <row r="14607">
      <c r="A14607" s="16" t="s">
        <v>87</v>
      </c>
      <c r="E14607" s="16" t="str">
        <f>IFERROR(__xludf.DUMMYFUNCTION("""COMPUTED_VALUE"""),"")</f>
        <v/>
      </c>
      <c r="G14607" s="18"/>
      <c r="H14607" s="16" t="s">
        <v>87</v>
      </c>
      <c r="I14607" s="16" t="s">
        <v>87</v>
      </c>
      <c r="J14607" s="19"/>
      <c r="L14607" s="16" t="str">
        <f>IFERROR(__xludf.DUMMYFUNCTION("""COMPUTED_VALUE"""),"")</f>
        <v/>
      </c>
      <c r="M14607" s="16" t="str">
        <f>IFERROR(__xludf.DUMMYFUNCTION("""COMPUTED_VALUE"""),"")</f>
        <v/>
      </c>
      <c r="U14607" s="16" t="s">
        <v>87</v>
      </c>
      <c r="V14607" s="16" t="str">
        <f>IFERROR(__xludf.DUMMYFUNCTION("""COMPUTED_VALUE"""),"")</f>
        <v/>
      </c>
      <c r="W14607" s="16" t="str">
        <f>IFERROR(__xludf.DUMMYFUNCTION("""COMPUTED_VALUE"""),"")</f>
        <v/>
      </c>
      <c r="X14607" s="16" t="str">
        <f>IFERROR(__xludf.DUMMYFUNCTION("""COMPUTED_VALUE"""),"")</f>
        <v/>
      </c>
      <c r="AC14607" s="16" t="str">
        <f>IFERROR(__xludf.DUMMYFUNCTION("""COMPUTED_VALUE"""),"")</f>
        <v/>
      </c>
    </row>
    <row r="14608">
      <c r="A14608" s="16" t="s">
        <v>87</v>
      </c>
      <c r="E14608" s="16" t="str">
        <f>IFERROR(__xludf.DUMMYFUNCTION("""COMPUTED_VALUE"""),"")</f>
        <v/>
      </c>
      <c r="G14608" s="18"/>
      <c r="H14608" s="16" t="s">
        <v>87</v>
      </c>
      <c r="I14608" s="16" t="s">
        <v>87</v>
      </c>
      <c r="J14608" s="19"/>
      <c r="L14608" s="16" t="str">
        <f>IFERROR(__xludf.DUMMYFUNCTION("""COMPUTED_VALUE"""),"")</f>
        <v/>
      </c>
      <c r="M14608" s="16" t="str">
        <f>IFERROR(__xludf.DUMMYFUNCTION("""COMPUTED_VALUE"""),"")</f>
        <v/>
      </c>
      <c r="U14608" s="16" t="s">
        <v>87</v>
      </c>
      <c r="V14608" s="16" t="str">
        <f>IFERROR(__xludf.DUMMYFUNCTION("""COMPUTED_VALUE"""),"")</f>
        <v/>
      </c>
      <c r="W14608" s="16" t="str">
        <f>IFERROR(__xludf.DUMMYFUNCTION("""COMPUTED_VALUE"""),"")</f>
        <v/>
      </c>
      <c r="X14608" s="16" t="str">
        <f>IFERROR(__xludf.DUMMYFUNCTION("""COMPUTED_VALUE"""),"")</f>
        <v/>
      </c>
      <c r="AC14608" s="16" t="str">
        <f>IFERROR(__xludf.DUMMYFUNCTION("""COMPUTED_VALUE"""),"")</f>
        <v/>
      </c>
    </row>
    <row r="14609">
      <c r="A14609" s="16" t="s">
        <v>87</v>
      </c>
      <c r="E14609" s="16" t="str">
        <f>IFERROR(__xludf.DUMMYFUNCTION("""COMPUTED_VALUE"""),"")</f>
        <v/>
      </c>
      <c r="G14609" s="18"/>
      <c r="H14609" s="16" t="s">
        <v>87</v>
      </c>
      <c r="I14609" s="16" t="s">
        <v>87</v>
      </c>
      <c r="J14609" s="19"/>
      <c r="L14609" s="16" t="str">
        <f>IFERROR(__xludf.DUMMYFUNCTION("""COMPUTED_VALUE"""),"")</f>
        <v/>
      </c>
      <c r="M14609" s="16" t="str">
        <f>IFERROR(__xludf.DUMMYFUNCTION("""COMPUTED_VALUE"""),"")</f>
        <v/>
      </c>
      <c r="U14609" s="16" t="s">
        <v>87</v>
      </c>
      <c r="V14609" s="16" t="str">
        <f>IFERROR(__xludf.DUMMYFUNCTION("""COMPUTED_VALUE"""),"")</f>
        <v/>
      </c>
      <c r="W14609" s="16" t="str">
        <f>IFERROR(__xludf.DUMMYFUNCTION("""COMPUTED_VALUE"""),"")</f>
        <v/>
      </c>
      <c r="X14609" s="16" t="str">
        <f>IFERROR(__xludf.DUMMYFUNCTION("""COMPUTED_VALUE"""),"")</f>
        <v/>
      </c>
      <c r="AC14609" s="16" t="str">
        <f>IFERROR(__xludf.DUMMYFUNCTION("""COMPUTED_VALUE"""),"")</f>
        <v/>
      </c>
    </row>
    <row r="14610">
      <c r="A14610" s="16" t="s">
        <v>87</v>
      </c>
      <c r="E14610" s="16" t="str">
        <f>IFERROR(__xludf.DUMMYFUNCTION("""COMPUTED_VALUE"""),"")</f>
        <v/>
      </c>
      <c r="G14610" s="18"/>
      <c r="H14610" s="16" t="s">
        <v>87</v>
      </c>
      <c r="I14610" s="16" t="s">
        <v>87</v>
      </c>
      <c r="J14610" s="19"/>
      <c r="L14610" s="16" t="str">
        <f>IFERROR(__xludf.DUMMYFUNCTION("""COMPUTED_VALUE"""),"")</f>
        <v/>
      </c>
      <c r="M14610" s="16" t="str">
        <f>IFERROR(__xludf.DUMMYFUNCTION("""COMPUTED_VALUE"""),"")</f>
        <v/>
      </c>
      <c r="U14610" s="16" t="s">
        <v>87</v>
      </c>
      <c r="V14610" s="16" t="str">
        <f>IFERROR(__xludf.DUMMYFUNCTION("""COMPUTED_VALUE"""),"")</f>
        <v/>
      </c>
      <c r="W14610" s="16" t="str">
        <f>IFERROR(__xludf.DUMMYFUNCTION("""COMPUTED_VALUE"""),"")</f>
        <v/>
      </c>
      <c r="X14610" s="16" t="str">
        <f>IFERROR(__xludf.DUMMYFUNCTION("""COMPUTED_VALUE"""),"")</f>
        <v/>
      </c>
      <c r="AC14610" s="16" t="str">
        <f>IFERROR(__xludf.DUMMYFUNCTION("""COMPUTED_VALUE"""),"")</f>
        <v/>
      </c>
    </row>
    <row r="14611">
      <c r="A14611" s="16" t="s">
        <v>87</v>
      </c>
      <c r="E14611" s="16" t="str">
        <f>IFERROR(__xludf.DUMMYFUNCTION("""COMPUTED_VALUE"""),"")</f>
        <v/>
      </c>
      <c r="G14611" s="18"/>
      <c r="H14611" s="16" t="s">
        <v>87</v>
      </c>
      <c r="I14611" s="16" t="s">
        <v>87</v>
      </c>
      <c r="J14611" s="19"/>
      <c r="L14611" s="16" t="str">
        <f>IFERROR(__xludf.DUMMYFUNCTION("""COMPUTED_VALUE"""),"")</f>
        <v/>
      </c>
      <c r="M14611" s="16" t="str">
        <f>IFERROR(__xludf.DUMMYFUNCTION("""COMPUTED_VALUE"""),"")</f>
        <v/>
      </c>
      <c r="U14611" s="16" t="s">
        <v>87</v>
      </c>
      <c r="V14611" s="16" t="str">
        <f>IFERROR(__xludf.DUMMYFUNCTION("""COMPUTED_VALUE"""),"")</f>
        <v/>
      </c>
      <c r="W14611" s="16" t="str">
        <f>IFERROR(__xludf.DUMMYFUNCTION("""COMPUTED_VALUE"""),"")</f>
        <v/>
      </c>
      <c r="X14611" s="16" t="str">
        <f>IFERROR(__xludf.DUMMYFUNCTION("""COMPUTED_VALUE"""),"")</f>
        <v/>
      </c>
      <c r="AC14611" s="16" t="str">
        <f>IFERROR(__xludf.DUMMYFUNCTION("""COMPUTED_VALUE"""),"")</f>
        <v/>
      </c>
    </row>
    <row r="14612">
      <c r="A14612" s="16" t="s">
        <v>87</v>
      </c>
      <c r="E14612" s="16" t="str">
        <f>IFERROR(__xludf.DUMMYFUNCTION("""COMPUTED_VALUE"""),"")</f>
        <v/>
      </c>
      <c r="G14612" s="18"/>
      <c r="H14612" s="16" t="s">
        <v>87</v>
      </c>
      <c r="I14612" s="16" t="s">
        <v>87</v>
      </c>
      <c r="J14612" s="19"/>
      <c r="L14612" s="16" t="str">
        <f>IFERROR(__xludf.DUMMYFUNCTION("""COMPUTED_VALUE"""),"")</f>
        <v/>
      </c>
      <c r="M14612" s="16" t="str">
        <f>IFERROR(__xludf.DUMMYFUNCTION("""COMPUTED_VALUE"""),"")</f>
        <v/>
      </c>
      <c r="U14612" s="16" t="s">
        <v>87</v>
      </c>
      <c r="V14612" s="16" t="str">
        <f>IFERROR(__xludf.DUMMYFUNCTION("""COMPUTED_VALUE"""),"")</f>
        <v/>
      </c>
      <c r="W14612" s="16" t="str">
        <f>IFERROR(__xludf.DUMMYFUNCTION("""COMPUTED_VALUE"""),"")</f>
        <v/>
      </c>
      <c r="X14612" s="16" t="str">
        <f>IFERROR(__xludf.DUMMYFUNCTION("""COMPUTED_VALUE"""),"")</f>
        <v/>
      </c>
      <c r="AC14612" s="16" t="str">
        <f>IFERROR(__xludf.DUMMYFUNCTION("""COMPUTED_VALUE"""),"")</f>
        <v/>
      </c>
    </row>
    <row r="14613">
      <c r="A14613" s="16" t="s">
        <v>87</v>
      </c>
      <c r="E14613" s="16" t="str">
        <f>IFERROR(__xludf.DUMMYFUNCTION("""COMPUTED_VALUE"""),"")</f>
        <v/>
      </c>
      <c r="G14613" s="18"/>
      <c r="H14613" s="16" t="s">
        <v>87</v>
      </c>
      <c r="I14613" s="16" t="s">
        <v>87</v>
      </c>
      <c r="J14613" s="19"/>
      <c r="L14613" s="16" t="str">
        <f>IFERROR(__xludf.DUMMYFUNCTION("""COMPUTED_VALUE"""),"")</f>
        <v/>
      </c>
      <c r="M14613" s="16" t="str">
        <f>IFERROR(__xludf.DUMMYFUNCTION("""COMPUTED_VALUE"""),"")</f>
        <v/>
      </c>
      <c r="U14613" s="16" t="s">
        <v>87</v>
      </c>
      <c r="V14613" s="16" t="str">
        <f>IFERROR(__xludf.DUMMYFUNCTION("""COMPUTED_VALUE"""),"")</f>
        <v/>
      </c>
      <c r="W14613" s="16" t="str">
        <f>IFERROR(__xludf.DUMMYFUNCTION("""COMPUTED_VALUE"""),"")</f>
        <v/>
      </c>
      <c r="X14613" s="16" t="str">
        <f>IFERROR(__xludf.DUMMYFUNCTION("""COMPUTED_VALUE"""),"")</f>
        <v/>
      </c>
      <c r="AC14613" s="16" t="str">
        <f>IFERROR(__xludf.DUMMYFUNCTION("""COMPUTED_VALUE"""),"")</f>
        <v/>
      </c>
    </row>
    <row r="14614">
      <c r="A14614" s="16" t="s">
        <v>87</v>
      </c>
      <c r="E14614" s="16" t="str">
        <f>IFERROR(__xludf.DUMMYFUNCTION("""COMPUTED_VALUE"""),"")</f>
        <v/>
      </c>
      <c r="G14614" s="18"/>
      <c r="H14614" s="16" t="s">
        <v>87</v>
      </c>
      <c r="I14614" s="16" t="s">
        <v>87</v>
      </c>
      <c r="J14614" s="19"/>
      <c r="L14614" s="16" t="str">
        <f>IFERROR(__xludf.DUMMYFUNCTION("""COMPUTED_VALUE"""),"")</f>
        <v/>
      </c>
      <c r="M14614" s="16" t="str">
        <f>IFERROR(__xludf.DUMMYFUNCTION("""COMPUTED_VALUE"""),"")</f>
        <v/>
      </c>
      <c r="U14614" s="16" t="s">
        <v>87</v>
      </c>
      <c r="V14614" s="16" t="str">
        <f>IFERROR(__xludf.DUMMYFUNCTION("""COMPUTED_VALUE"""),"")</f>
        <v/>
      </c>
      <c r="W14614" s="16" t="str">
        <f>IFERROR(__xludf.DUMMYFUNCTION("""COMPUTED_VALUE"""),"")</f>
        <v/>
      </c>
      <c r="X14614" s="16" t="str">
        <f>IFERROR(__xludf.DUMMYFUNCTION("""COMPUTED_VALUE"""),"")</f>
        <v/>
      </c>
      <c r="AC14614" s="16" t="str">
        <f>IFERROR(__xludf.DUMMYFUNCTION("""COMPUTED_VALUE"""),"")</f>
        <v/>
      </c>
    </row>
    <row r="14615">
      <c r="A14615" s="16" t="s">
        <v>87</v>
      </c>
      <c r="E14615" s="16" t="str">
        <f>IFERROR(__xludf.DUMMYFUNCTION("""COMPUTED_VALUE"""),"")</f>
        <v/>
      </c>
      <c r="G14615" s="18"/>
      <c r="H14615" s="16" t="s">
        <v>87</v>
      </c>
      <c r="I14615" s="16" t="s">
        <v>87</v>
      </c>
      <c r="J14615" s="19"/>
      <c r="L14615" s="16" t="str">
        <f>IFERROR(__xludf.DUMMYFUNCTION("""COMPUTED_VALUE"""),"")</f>
        <v/>
      </c>
      <c r="M14615" s="16" t="str">
        <f>IFERROR(__xludf.DUMMYFUNCTION("""COMPUTED_VALUE"""),"")</f>
        <v/>
      </c>
      <c r="U14615" s="16" t="s">
        <v>87</v>
      </c>
      <c r="V14615" s="16" t="str">
        <f>IFERROR(__xludf.DUMMYFUNCTION("""COMPUTED_VALUE"""),"")</f>
        <v/>
      </c>
      <c r="W14615" s="16" t="str">
        <f>IFERROR(__xludf.DUMMYFUNCTION("""COMPUTED_VALUE"""),"")</f>
        <v/>
      </c>
      <c r="X14615" s="16" t="str">
        <f>IFERROR(__xludf.DUMMYFUNCTION("""COMPUTED_VALUE"""),"")</f>
        <v/>
      </c>
      <c r="AC14615" s="16" t="str">
        <f>IFERROR(__xludf.DUMMYFUNCTION("""COMPUTED_VALUE"""),"")</f>
        <v/>
      </c>
    </row>
    <row r="14616">
      <c r="A14616" s="16" t="s">
        <v>87</v>
      </c>
      <c r="E14616" s="16" t="str">
        <f>IFERROR(__xludf.DUMMYFUNCTION("""COMPUTED_VALUE"""),"")</f>
        <v/>
      </c>
      <c r="G14616" s="18"/>
      <c r="H14616" s="16" t="s">
        <v>87</v>
      </c>
      <c r="I14616" s="16" t="s">
        <v>87</v>
      </c>
      <c r="J14616" s="19"/>
      <c r="L14616" s="16" t="str">
        <f>IFERROR(__xludf.DUMMYFUNCTION("""COMPUTED_VALUE"""),"")</f>
        <v/>
      </c>
      <c r="M14616" s="16" t="str">
        <f>IFERROR(__xludf.DUMMYFUNCTION("""COMPUTED_VALUE"""),"")</f>
        <v/>
      </c>
      <c r="U14616" s="16" t="s">
        <v>87</v>
      </c>
      <c r="V14616" s="16" t="str">
        <f>IFERROR(__xludf.DUMMYFUNCTION("""COMPUTED_VALUE"""),"")</f>
        <v/>
      </c>
      <c r="W14616" s="16" t="str">
        <f>IFERROR(__xludf.DUMMYFUNCTION("""COMPUTED_VALUE"""),"")</f>
        <v/>
      </c>
      <c r="X14616" s="16" t="str">
        <f>IFERROR(__xludf.DUMMYFUNCTION("""COMPUTED_VALUE"""),"")</f>
        <v/>
      </c>
      <c r="AC14616" s="16" t="str">
        <f>IFERROR(__xludf.DUMMYFUNCTION("""COMPUTED_VALUE"""),"")</f>
        <v/>
      </c>
    </row>
    <row r="14617">
      <c r="A14617" s="16" t="s">
        <v>87</v>
      </c>
      <c r="E14617" s="16" t="str">
        <f>IFERROR(__xludf.DUMMYFUNCTION("""COMPUTED_VALUE"""),"")</f>
        <v/>
      </c>
      <c r="G14617" s="18"/>
      <c r="H14617" s="16" t="s">
        <v>87</v>
      </c>
      <c r="I14617" s="16" t="s">
        <v>87</v>
      </c>
      <c r="J14617" s="19"/>
      <c r="L14617" s="16" t="str">
        <f>IFERROR(__xludf.DUMMYFUNCTION("""COMPUTED_VALUE"""),"")</f>
        <v/>
      </c>
      <c r="M14617" s="16" t="str">
        <f>IFERROR(__xludf.DUMMYFUNCTION("""COMPUTED_VALUE"""),"")</f>
        <v/>
      </c>
      <c r="U14617" s="16" t="s">
        <v>87</v>
      </c>
      <c r="V14617" s="16" t="str">
        <f>IFERROR(__xludf.DUMMYFUNCTION("""COMPUTED_VALUE"""),"")</f>
        <v/>
      </c>
      <c r="W14617" s="16" t="str">
        <f>IFERROR(__xludf.DUMMYFUNCTION("""COMPUTED_VALUE"""),"")</f>
        <v/>
      </c>
      <c r="X14617" s="16" t="str">
        <f>IFERROR(__xludf.DUMMYFUNCTION("""COMPUTED_VALUE"""),"")</f>
        <v/>
      </c>
      <c r="AC14617" s="16" t="str">
        <f>IFERROR(__xludf.DUMMYFUNCTION("""COMPUTED_VALUE"""),"")</f>
        <v/>
      </c>
    </row>
    <row r="14618">
      <c r="A14618" s="16" t="s">
        <v>87</v>
      </c>
      <c r="E14618" s="16" t="str">
        <f>IFERROR(__xludf.DUMMYFUNCTION("""COMPUTED_VALUE"""),"")</f>
        <v/>
      </c>
      <c r="G14618" s="18"/>
      <c r="H14618" s="16" t="s">
        <v>87</v>
      </c>
      <c r="I14618" s="16" t="s">
        <v>87</v>
      </c>
      <c r="J14618" s="19"/>
      <c r="L14618" s="16" t="str">
        <f>IFERROR(__xludf.DUMMYFUNCTION("""COMPUTED_VALUE"""),"")</f>
        <v/>
      </c>
      <c r="M14618" s="16" t="str">
        <f>IFERROR(__xludf.DUMMYFUNCTION("""COMPUTED_VALUE"""),"")</f>
        <v/>
      </c>
      <c r="U14618" s="16" t="s">
        <v>87</v>
      </c>
      <c r="V14618" s="16" t="str">
        <f>IFERROR(__xludf.DUMMYFUNCTION("""COMPUTED_VALUE"""),"")</f>
        <v/>
      </c>
      <c r="W14618" s="16" t="str">
        <f>IFERROR(__xludf.DUMMYFUNCTION("""COMPUTED_VALUE"""),"")</f>
        <v/>
      </c>
      <c r="X14618" s="16" t="str">
        <f>IFERROR(__xludf.DUMMYFUNCTION("""COMPUTED_VALUE"""),"")</f>
        <v/>
      </c>
      <c r="AC14618" s="16" t="str">
        <f>IFERROR(__xludf.DUMMYFUNCTION("""COMPUTED_VALUE"""),"")</f>
        <v/>
      </c>
    </row>
    <row r="14619">
      <c r="A14619" s="16" t="s">
        <v>87</v>
      </c>
      <c r="E14619" s="16" t="str">
        <f>IFERROR(__xludf.DUMMYFUNCTION("""COMPUTED_VALUE"""),"")</f>
        <v/>
      </c>
      <c r="G14619" s="18"/>
      <c r="H14619" s="16" t="s">
        <v>87</v>
      </c>
      <c r="I14619" s="16" t="s">
        <v>87</v>
      </c>
      <c r="J14619" s="19"/>
      <c r="L14619" s="16" t="str">
        <f>IFERROR(__xludf.DUMMYFUNCTION("""COMPUTED_VALUE"""),"")</f>
        <v/>
      </c>
      <c r="M14619" s="16" t="str">
        <f>IFERROR(__xludf.DUMMYFUNCTION("""COMPUTED_VALUE"""),"")</f>
        <v/>
      </c>
      <c r="U14619" s="16" t="s">
        <v>87</v>
      </c>
      <c r="V14619" s="16" t="str">
        <f>IFERROR(__xludf.DUMMYFUNCTION("""COMPUTED_VALUE"""),"")</f>
        <v/>
      </c>
      <c r="W14619" s="16" t="str">
        <f>IFERROR(__xludf.DUMMYFUNCTION("""COMPUTED_VALUE"""),"")</f>
        <v/>
      </c>
      <c r="X14619" s="16" t="str">
        <f>IFERROR(__xludf.DUMMYFUNCTION("""COMPUTED_VALUE"""),"")</f>
        <v/>
      </c>
      <c r="AC14619" s="16" t="str">
        <f>IFERROR(__xludf.DUMMYFUNCTION("""COMPUTED_VALUE"""),"")</f>
        <v/>
      </c>
    </row>
    <row r="14620">
      <c r="A14620" s="16" t="s">
        <v>87</v>
      </c>
      <c r="E14620" s="16" t="str">
        <f>IFERROR(__xludf.DUMMYFUNCTION("""COMPUTED_VALUE"""),"")</f>
        <v/>
      </c>
      <c r="G14620" s="18"/>
      <c r="H14620" s="16" t="s">
        <v>87</v>
      </c>
      <c r="I14620" s="16" t="s">
        <v>87</v>
      </c>
      <c r="J14620" s="19"/>
      <c r="L14620" s="16" t="str">
        <f>IFERROR(__xludf.DUMMYFUNCTION("""COMPUTED_VALUE"""),"")</f>
        <v/>
      </c>
      <c r="M14620" s="16" t="str">
        <f>IFERROR(__xludf.DUMMYFUNCTION("""COMPUTED_VALUE"""),"")</f>
        <v/>
      </c>
      <c r="U14620" s="16" t="s">
        <v>87</v>
      </c>
      <c r="V14620" s="16" t="str">
        <f>IFERROR(__xludf.DUMMYFUNCTION("""COMPUTED_VALUE"""),"")</f>
        <v/>
      </c>
      <c r="W14620" s="16" t="str">
        <f>IFERROR(__xludf.DUMMYFUNCTION("""COMPUTED_VALUE"""),"")</f>
        <v/>
      </c>
      <c r="X14620" s="16" t="str">
        <f>IFERROR(__xludf.DUMMYFUNCTION("""COMPUTED_VALUE"""),"")</f>
        <v/>
      </c>
      <c r="AC14620" s="16" t="str">
        <f>IFERROR(__xludf.DUMMYFUNCTION("""COMPUTED_VALUE"""),"")</f>
        <v/>
      </c>
    </row>
    <row r="14621">
      <c r="A14621" s="16" t="s">
        <v>87</v>
      </c>
      <c r="E14621" s="16" t="str">
        <f>IFERROR(__xludf.DUMMYFUNCTION("""COMPUTED_VALUE"""),"")</f>
        <v/>
      </c>
      <c r="G14621" s="18"/>
      <c r="H14621" s="16" t="s">
        <v>87</v>
      </c>
      <c r="I14621" s="16" t="s">
        <v>87</v>
      </c>
      <c r="J14621" s="19"/>
      <c r="L14621" s="16" t="str">
        <f>IFERROR(__xludf.DUMMYFUNCTION("""COMPUTED_VALUE"""),"")</f>
        <v/>
      </c>
      <c r="M14621" s="16" t="str">
        <f>IFERROR(__xludf.DUMMYFUNCTION("""COMPUTED_VALUE"""),"")</f>
        <v/>
      </c>
      <c r="U14621" s="16" t="s">
        <v>87</v>
      </c>
      <c r="V14621" s="16" t="str">
        <f>IFERROR(__xludf.DUMMYFUNCTION("""COMPUTED_VALUE"""),"")</f>
        <v/>
      </c>
      <c r="W14621" s="16" t="str">
        <f>IFERROR(__xludf.DUMMYFUNCTION("""COMPUTED_VALUE"""),"")</f>
        <v/>
      </c>
      <c r="X14621" s="16" t="str">
        <f>IFERROR(__xludf.DUMMYFUNCTION("""COMPUTED_VALUE"""),"")</f>
        <v/>
      </c>
      <c r="AC14621" s="16" t="str">
        <f>IFERROR(__xludf.DUMMYFUNCTION("""COMPUTED_VALUE"""),"")</f>
        <v/>
      </c>
    </row>
    <row r="14622">
      <c r="A14622" s="16" t="s">
        <v>87</v>
      </c>
      <c r="E14622" s="16" t="str">
        <f>IFERROR(__xludf.DUMMYFUNCTION("""COMPUTED_VALUE"""),"")</f>
        <v/>
      </c>
      <c r="G14622" s="18"/>
      <c r="H14622" s="16" t="s">
        <v>87</v>
      </c>
      <c r="I14622" s="16" t="s">
        <v>87</v>
      </c>
      <c r="J14622" s="19"/>
      <c r="L14622" s="16" t="str">
        <f>IFERROR(__xludf.DUMMYFUNCTION("""COMPUTED_VALUE"""),"")</f>
        <v/>
      </c>
      <c r="M14622" s="16" t="str">
        <f>IFERROR(__xludf.DUMMYFUNCTION("""COMPUTED_VALUE"""),"")</f>
        <v/>
      </c>
      <c r="U14622" s="16" t="s">
        <v>87</v>
      </c>
      <c r="V14622" s="16" t="str">
        <f>IFERROR(__xludf.DUMMYFUNCTION("""COMPUTED_VALUE"""),"")</f>
        <v/>
      </c>
      <c r="W14622" s="16" t="str">
        <f>IFERROR(__xludf.DUMMYFUNCTION("""COMPUTED_VALUE"""),"")</f>
        <v/>
      </c>
      <c r="X14622" s="16" t="str">
        <f>IFERROR(__xludf.DUMMYFUNCTION("""COMPUTED_VALUE"""),"")</f>
        <v/>
      </c>
      <c r="AC14622" s="16" t="str">
        <f>IFERROR(__xludf.DUMMYFUNCTION("""COMPUTED_VALUE"""),"")</f>
        <v/>
      </c>
    </row>
    <row r="14623">
      <c r="A14623" s="16" t="s">
        <v>87</v>
      </c>
      <c r="E14623" s="16" t="str">
        <f>IFERROR(__xludf.DUMMYFUNCTION("""COMPUTED_VALUE"""),"")</f>
        <v/>
      </c>
      <c r="G14623" s="18"/>
      <c r="H14623" s="16" t="s">
        <v>87</v>
      </c>
      <c r="I14623" s="16" t="s">
        <v>87</v>
      </c>
      <c r="J14623" s="19"/>
      <c r="L14623" s="16" t="str">
        <f>IFERROR(__xludf.DUMMYFUNCTION("""COMPUTED_VALUE"""),"")</f>
        <v/>
      </c>
      <c r="M14623" s="16" t="str">
        <f>IFERROR(__xludf.DUMMYFUNCTION("""COMPUTED_VALUE"""),"")</f>
        <v/>
      </c>
      <c r="U14623" s="16" t="s">
        <v>87</v>
      </c>
      <c r="V14623" s="16" t="str">
        <f>IFERROR(__xludf.DUMMYFUNCTION("""COMPUTED_VALUE"""),"")</f>
        <v/>
      </c>
      <c r="W14623" s="16" t="str">
        <f>IFERROR(__xludf.DUMMYFUNCTION("""COMPUTED_VALUE"""),"")</f>
        <v/>
      </c>
      <c r="X14623" s="16" t="str">
        <f>IFERROR(__xludf.DUMMYFUNCTION("""COMPUTED_VALUE"""),"")</f>
        <v/>
      </c>
      <c r="AC14623" s="16" t="str">
        <f>IFERROR(__xludf.DUMMYFUNCTION("""COMPUTED_VALUE"""),"")</f>
        <v/>
      </c>
    </row>
    <row r="14624">
      <c r="A14624" s="16" t="s">
        <v>87</v>
      </c>
      <c r="E14624" s="16" t="str">
        <f>IFERROR(__xludf.DUMMYFUNCTION("""COMPUTED_VALUE"""),"")</f>
        <v/>
      </c>
      <c r="G14624" s="18"/>
      <c r="H14624" s="16" t="s">
        <v>87</v>
      </c>
      <c r="I14624" s="16" t="s">
        <v>87</v>
      </c>
      <c r="J14624" s="19"/>
      <c r="L14624" s="16" t="str">
        <f>IFERROR(__xludf.DUMMYFUNCTION("""COMPUTED_VALUE"""),"")</f>
        <v/>
      </c>
      <c r="M14624" s="16" t="str">
        <f>IFERROR(__xludf.DUMMYFUNCTION("""COMPUTED_VALUE"""),"")</f>
        <v/>
      </c>
      <c r="U14624" s="16" t="s">
        <v>87</v>
      </c>
      <c r="V14624" s="16" t="str">
        <f>IFERROR(__xludf.DUMMYFUNCTION("""COMPUTED_VALUE"""),"")</f>
        <v/>
      </c>
      <c r="W14624" s="16" t="str">
        <f>IFERROR(__xludf.DUMMYFUNCTION("""COMPUTED_VALUE"""),"")</f>
        <v/>
      </c>
      <c r="X14624" s="16" t="str">
        <f>IFERROR(__xludf.DUMMYFUNCTION("""COMPUTED_VALUE"""),"")</f>
        <v/>
      </c>
      <c r="AC14624" s="16" t="str">
        <f>IFERROR(__xludf.DUMMYFUNCTION("""COMPUTED_VALUE"""),"")</f>
        <v/>
      </c>
    </row>
    <row r="14625">
      <c r="A14625" s="16" t="s">
        <v>87</v>
      </c>
      <c r="E14625" s="16" t="str">
        <f>IFERROR(__xludf.DUMMYFUNCTION("""COMPUTED_VALUE"""),"")</f>
        <v/>
      </c>
      <c r="G14625" s="18"/>
      <c r="H14625" s="16" t="s">
        <v>87</v>
      </c>
      <c r="I14625" s="16" t="s">
        <v>87</v>
      </c>
      <c r="J14625" s="19"/>
      <c r="L14625" s="16" t="str">
        <f>IFERROR(__xludf.DUMMYFUNCTION("""COMPUTED_VALUE"""),"")</f>
        <v/>
      </c>
      <c r="M14625" s="16" t="str">
        <f>IFERROR(__xludf.DUMMYFUNCTION("""COMPUTED_VALUE"""),"")</f>
        <v/>
      </c>
      <c r="U14625" s="16" t="s">
        <v>87</v>
      </c>
      <c r="V14625" s="16" t="str">
        <f>IFERROR(__xludf.DUMMYFUNCTION("""COMPUTED_VALUE"""),"")</f>
        <v/>
      </c>
      <c r="W14625" s="16" t="str">
        <f>IFERROR(__xludf.DUMMYFUNCTION("""COMPUTED_VALUE"""),"")</f>
        <v/>
      </c>
      <c r="X14625" s="16" t="str">
        <f>IFERROR(__xludf.DUMMYFUNCTION("""COMPUTED_VALUE"""),"")</f>
        <v/>
      </c>
      <c r="AC14625" s="16" t="str">
        <f>IFERROR(__xludf.DUMMYFUNCTION("""COMPUTED_VALUE"""),"")</f>
        <v/>
      </c>
    </row>
    <row r="14626">
      <c r="A14626" s="16" t="s">
        <v>87</v>
      </c>
      <c r="E14626" s="16" t="str">
        <f>IFERROR(__xludf.DUMMYFUNCTION("""COMPUTED_VALUE"""),"")</f>
        <v/>
      </c>
      <c r="G14626" s="18"/>
      <c r="H14626" s="16" t="s">
        <v>87</v>
      </c>
      <c r="I14626" s="16" t="s">
        <v>87</v>
      </c>
      <c r="J14626" s="19"/>
      <c r="L14626" s="16" t="str">
        <f>IFERROR(__xludf.DUMMYFUNCTION("""COMPUTED_VALUE"""),"")</f>
        <v/>
      </c>
      <c r="M14626" s="16" t="str">
        <f>IFERROR(__xludf.DUMMYFUNCTION("""COMPUTED_VALUE"""),"")</f>
        <v/>
      </c>
      <c r="U14626" s="16" t="s">
        <v>87</v>
      </c>
      <c r="V14626" s="16" t="str">
        <f>IFERROR(__xludf.DUMMYFUNCTION("""COMPUTED_VALUE"""),"")</f>
        <v/>
      </c>
      <c r="W14626" s="16" t="str">
        <f>IFERROR(__xludf.DUMMYFUNCTION("""COMPUTED_VALUE"""),"")</f>
        <v/>
      </c>
      <c r="X14626" s="16" t="str">
        <f>IFERROR(__xludf.DUMMYFUNCTION("""COMPUTED_VALUE"""),"")</f>
        <v/>
      </c>
      <c r="AC14626" s="16" t="str">
        <f>IFERROR(__xludf.DUMMYFUNCTION("""COMPUTED_VALUE"""),"")</f>
        <v/>
      </c>
    </row>
    <row r="14627">
      <c r="A14627" s="16" t="s">
        <v>87</v>
      </c>
      <c r="E14627" s="16" t="str">
        <f>IFERROR(__xludf.DUMMYFUNCTION("""COMPUTED_VALUE"""),"")</f>
        <v/>
      </c>
      <c r="G14627" s="18"/>
      <c r="H14627" s="16" t="s">
        <v>87</v>
      </c>
      <c r="I14627" s="16" t="s">
        <v>87</v>
      </c>
      <c r="J14627" s="19"/>
      <c r="L14627" s="16" t="str">
        <f>IFERROR(__xludf.DUMMYFUNCTION("""COMPUTED_VALUE"""),"")</f>
        <v/>
      </c>
      <c r="M14627" s="16" t="str">
        <f>IFERROR(__xludf.DUMMYFUNCTION("""COMPUTED_VALUE"""),"")</f>
        <v/>
      </c>
      <c r="U14627" s="16" t="s">
        <v>87</v>
      </c>
      <c r="V14627" s="16" t="str">
        <f>IFERROR(__xludf.DUMMYFUNCTION("""COMPUTED_VALUE"""),"")</f>
        <v/>
      </c>
      <c r="W14627" s="16" t="str">
        <f>IFERROR(__xludf.DUMMYFUNCTION("""COMPUTED_VALUE"""),"")</f>
        <v/>
      </c>
      <c r="X14627" s="16" t="str">
        <f>IFERROR(__xludf.DUMMYFUNCTION("""COMPUTED_VALUE"""),"")</f>
        <v/>
      </c>
      <c r="AC14627" s="16" t="str">
        <f>IFERROR(__xludf.DUMMYFUNCTION("""COMPUTED_VALUE"""),"")</f>
        <v/>
      </c>
    </row>
    <row r="14628">
      <c r="A14628" s="16" t="s">
        <v>87</v>
      </c>
      <c r="E14628" s="16" t="str">
        <f>IFERROR(__xludf.DUMMYFUNCTION("""COMPUTED_VALUE"""),"")</f>
        <v/>
      </c>
      <c r="G14628" s="18"/>
      <c r="H14628" s="16" t="s">
        <v>87</v>
      </c>
      <c r="I14628" s="16" t="s">
        <v>87</v>
      </c>
      <c r="J14628" s="19"/>
      <c r="L14628" s="16" t="str">
        <f>IFERROR(__xludf.DUMMYFUNCTION("""COMPUTED_VALUE"""),"")</f>
        <v/>
      </c>
      <c r="M14628" s="16" t="str">
        <f>IFERROR(__xludf.DUMMYFUNCTION("""COMPUTED_VALUE"""),"")</f>
        <v/>
      </c>
      <c r="U14628" s="16" t="s">
        <v>87</v>
      </c>
      <c r="V14628" s="16" t="str">
        <f>IFERROR(__xludf.DUMMYFUNCTION("""COMPUTED_VALUE"""),"")</f>
        <v/>
      </c>
      <c r="W14628" s="16" t="str">
        <f>IFERROR(__xludf.DUMMYFUNCTION("""COMPUTED_VALUE"""),"")</f>
        <v/>
      </c>
      <c r="X14628" s="16" t="str">
        <f>IFERROR(__xludf.DUMMYFUNCTION("""COMPUTED_VALUE"""),"")</f>
        <v/>
      </c>
      <c r="AC14628" s="16" t="str">
        <f>IFERROR(__xludf.DUMMYFUNCTION("""COMPUTED_VALUE"""),"")</f>
        <v/>
      </c>
    </row>
    <row r="14629">
      <c r="A14629" s="16" t="s">
        <v>87</v>
      </c>
      <c r="E14629" s="16" t="str">
        <f>IFERROR(__xludf.DUMMYFUNCTION("""COMPUTED_VALUE"""),"")</f>
        <v/>
      </c>
      <c r="G14629" s="18"/>
      <c r="H14629" s="16" t="s">
        <v>87</v>
      </c>
      <c r="I14629" s="16" t="s">
        <v>87</v>
      </c>
      <c r="J14629" s="19"/>
      <c r="L14629" s="16" t="str">
        <f>IFERROR(__xludf.DUMMYFUNCTION("""COMPUTED_VALUE"""),"")</f>
        <v/>
      </c>
      <c r="M14629" s="16" t="str">
        <f>IFERROR(__xludf.DUMMYFUNCTION("""COMPUTED_VALUE"""),"")</f>
        <v/>
      </c>
      <c r="U14629" s="16" t="s">
        <v>87</v>
      </c>
      <c r="V14629" s="16" t="str">
        <f>IFERROR(__xludf.DUMMYFUNCTION("""COMPUTED_VALUE"""),"")</f>
        <v/>
      </c>
      <c r="W14629" s="16" t="str">
        <f>IFERROR(__xludf.DUMMYFUNCTION("""COMPUTED_VALUE"""),"")</f>
        <v/>
      </c>
      <c r="X14629" s="16" t="str">
        <f>IFERROR(__xludf.DUMMYFUNCTION("""COMPUTED_VALUE"""),"")</f>
        <v/>
      </c>
      <c r="AC14629" s="16" t="str">
        <f>IFERROR(__xludf.DUMMYFUNCTION("""COMPUTED_VALUE"""),"")</f>
        <v/>
      </c>
    </row>
    <row r="14630">
      <c r="A14630" s="16" t="s">
        <v>87</v>
      </c>
      <c r="E14630" s="16" t="str">
        <f>IFERROR(__xludf.DUMMYFUNCTION("""COMPUTED_VALUE"""),"")</f>
        <v/>
      </c>
      <c r="G14630" s="18"/>
      <c r="H14630" s="16" t="s">
        <v>87</v>
      </c>
      <c r="I14630" s="16" t="s">
        <v>87</v>
      </c>
      <c r="J14630" s="19"/>
      <c r="L14630" s="16" t="str">
        <f>IFERROR(__xludf.DUMMYFUNCTION("""COMPUTED_VALUE"""),"")</f>
        <v/>
      </c>
      <c r="M14630" s="16" t="str">
        <f>IFERROR(__xludf.DUMMYFUNCTION("""COMPUTED_VALUE"""),"")</f>
        <v/>
      </c>
      <c r="U14630" s="16" t="s">
        <v>87</v>
      </c>
      <c r="V14630" s="16" t="str">
        <f>IFERROR(__xludf.DUMMYFUNCTION("""COMPUTED_VALUE"""),"")</f>
        <v/>
      </c>
      <c r="W14630" s="16" t="str">
        <f>IFERROR(__xludf.DUMMYFUNCTION("""COMPUTED_VALUE"""),"")</f>
        <v/>
      </c>
      <c r="X14630" s="16" t="str">
        <f>IFERROR(__xludf.DUMMYFUNCTION("""COMPUTED_VALUE"""),"")</f>
        <v/>
      </c>
      <c r="AC14630" s="16" t="str">
        <f>IFERROR(__xludf.DUMMYFUNCTION("""COMPUTED_VALUE"""),"")</f>
        <v/>
      </c>
    </row>
    <row r="14631">
      <c r="A14631" s="16" t="s">
        <v>87</v>
      </c>
      <c r="E14631" s="16" t="str">
        <f>IFERROR(__xludf.DUMMYFUNCTION("""COMPUTED_VALUE"""),"")</f>
        <v/>
      </c>
      <c r="G14631" s="18"/>
      <c r="H14631" s="16" t="s">
        <v>87</v>
      </c>
      <c r="I14631" s="16" t="s">
        <v>87</v>
      </c>
      <c r="J14631" s="19"/>
      <c r="L14631" s="16" t="str">
        <f>IFERROR(__xludf.DUMMYFUNCTION("""COMPUTED_VALUE"""),"")</f>
        <v/>
      </c>
      <c r="M14631" s="16" t="str">
        <f>IFERROR(__xludf.DUMMYFUNCTION("""COMPUTED_VALUE"""),"")</f>
        <v/>
      </c>
      <c r="U14631" s="16" t="s">
        <v>87</v>
      </c>
      <c r="V14631" s="16" t="str">
        <f>IFERROR(__xludf.DUMMYFUNCTION("""COMPUTED_VALUE"""),"")</f>
        <v/>
      </c>
      <c r="W14631" s="16" t="str">
        <f>IFERROR(__xludf.DUMMYFUNCTION("""COMPUTED_VALUE"""),"")</f>
        <v/>
      </c>
      <c r="X14631" s="16" t="str">
        <f>IFERROR(__xludf.DUMMYFUNCTION("""COMPUTED_VALUE"""),"")</f>
        <v/>
      </c>
      <c r="AC14631" s="16" t="str">
        <f>IFERROR(__xludf.DUMMYFUNCTION("""COMPUTED_VALUE"""),"")</f>
        <v/>
      </c>
    </row>
    <row r="14632">
      <c r="A14632" s="16" t="s">
        <v>87</v>
      </c>
      <c r="E14632" s="16" t="str">
        <f>IFERROR(__xludf.DUMMYFUNCTION("""COMPUTED_VALUE"""),"")</f>
        <v/>
      </c>
      <c r="G14632" s="18"/>
      <c r="H14632" s="16" t="s">
        <v>87</v>
      </c>
      <c r="I14632" s="16" t="s">
        <v>87</v>
      </c>
      <c r="J14632" s="19"/>
      <c r="L14632" s="16" t="str">
        <f>IFERROR(__xludf.DUMMYFUNCTION("""COMPUTED_VALUE"""),"")</f>
        <v/>
      </c>
      <c r="M14632" s="16" t="str">
        <f>IFERROR(__xludf.DUMMYFUNCTION("""COMPUTED_VALUE"""),"")</f>
        <v/>
      </c>
      <c r="U14632" s="16" t="s">
        <v>87</v>
      </c>
      <c r="V14632" s="16" t="str">
        <f>IFERROR(__xludf.DUMMYFUNCTION("""COMPUTED_VALUE"""),"")</f>
        <v/>
      </c>
      <c r="W14632" s="16" t="str">
        <f>IFERROR(__xludf.DUMMYFUNCTION("""COMPUTED_VALUE"""),"")</f>
        <v/>
      </c>
      <c r="X14632" s="16" t="str">
        <f>IFERROR(__xludf.DUMMYFUNCTION("""COMPUTED_VALUE"""),"")</f>
        <v/>
      </c>
      <c r="AC14632" s="16" t="str">
        <f>IFERROR(__xludf.DUMMYFUNCTION("""COMPUTED_VALUE"""),"")</f>
        <v/>
      </c>
    </row>
    <row r="14633">
      <c r="A14633" s="16" t="s">
        <v>87</v>
      </c>
      <c r="E14633" s="16" t="str">
        <f>IFERROR(__xludf.DUMMYFUNCTION("""COMPUTED_VALUE"""),"")</f>
        <v/>
      </c>
      <c r="G14633" s="18"/>
      <c r="H14633" s="16" t="s">
        <v>87</v>
      </c>
      <c r="I14633" s="16" t="s">
        <v>87</v>
      </c>
      <c r="J14633" s="19"/>
      <c r="L14633" s="16" t="str">
        <f>IFERROR(__xludf.DUMMYFUNCTION("""COMPUTED_VALUE"""),"")</f>
        <v/>
      </c>
      <c r="M14633" s="16" t="str">
        <f>IFERROR(__xludf.DUMMYFUNCTION("""COMPUTED_VALUE"""),"")</f>
        <v/>
      </c>
      <c r="U14633" s="16" t="s">
        <v>87</v>
      </c>
      <c r="V14633" s="16" t="str">
        <f>IFERROR(__xludf.DUMMYFUNCTION("""COMPUTED_VALUE"""),"")</f>
        <v/>
      </c>
      <c r="W14633" s="16" t="str">
        <f>IFERROR(__xludf.DUMMYFUNCTION("""COMPUTED_VALUE"""),"")</f>
        <v/>
      </c>
      <c r="X14633" s="16" t="str">
        <f>IFERROR(__xludf.DUMMYFUNCTION("""COMPUTED_VALUE"""),"")</f>
        <v/>
      </c>
      <c r="AC14633" s="16" t="str">
        <f>IFERROR(__xludf.DUMMYFUNCTION("""COMPUTED_VALUE"""),"")</f>
        <v/>
      </c>
    </row>
    <row r="14634">
      <c r="A14634" s="16" t="s">
        <v>87</v>
      </c>
      <c r="E14634" s="16" t="str">
        <f>IFERROR(__xludf.DUMMYFUNCTION("""COMPUTED_VALUE"""),"")</f>
        <v/>
      </c>
      <c r="G14634" s="18"/>
      <c r="H14634" s="16" t="s">
        <v>87</v>
      </c>
      <c r="I14634" s="16" t="s">
        <v>87</v>
      </c>
      <c r="J14634" s="19"/>
      <c r="L14634" s="16" t="str">
        <f>IFERROR(__xludf.DUMMYFUNCTION("""COMPUTED_VALUE"""),"")</f>
        <v/>
      </c>
      <c r="M14634" s="16" t="str">
        <f>IFERROR(__xludf.DUMMYFUNCTION("""COMPUTED_VALUE"""),"")</f>
        <v/>
      </c>
      <c r="U14634" s="16" t="s">
        <v>87</v>
      </c>
      <c r="V14634" s="16" t="str">
        <f>IFERROR(__xludf.DUMMYFUNCTION("""COMPUTED_VALUE"""),"")</f>
        <v/>
      </c>
      <c r="W14634" s="16" t="str">
        <f>IFERROR(__xludf.DUMMYFUNCTION("""COMPUTED_VALUE"""),"")</f>
        <v/>
      </c>
      <c r="X14634" s="16" t="str">
        <f>IFERROR(__xludf.DUMMYFUNCTION("""COMPUTED_VALUE"""),"")</f>
        <v/>
      </c>
      <c r="AC14634" s="16" t="str">
        <f>IFERROR(__xludf.DUMMYFUNCTION("""COMPUTED_VALUE"""),"")</f>
        <v/>
      </c>
    </row>
    <row r="14635">
      <c r="A14635" s="16" t="s">
        <v>87</v>
      </c>
      <c r="E14635" s="16" t="str">
        <f>IFERROR(__xludf.DUMMYFUNCTION("""COMPUTED_VALUE"""),"")</f>
        <v/>
      </c>
      <c r="G14635" s="18"/>
      <c r="H14635" s="16" t="s">
        <v>87</v>
      </c>
      <c r="I14635" s="16" t="s">
        <v>87</v>
      </c>
      <c r="J14635" s="19"/>
      <c r="L14635" s="16" t="str">
        <f>IFERROR(__xludf.DUMMYFUNCTION("""COMPUTED_VALUE"""),"")</f>
        <v/>
      </c>
      <c r="M14635" s="16" t="str">
        <f>IFERROR(__xludf.DUMMYFUNCTION("""COMPUTED_VALUE"""),"")</f>
        <v/>
      </c>
      <c r="U14635" s="16" t="s">
        <v>87</v>
      </c>
      <c r="V14635" s="16" t="str">
        <f>IFERROR(__xludf.DUMMYFUNCTION("""COMPUTED_VALUE"""),"")</f>
        <v/>
      </c>
      <c r="W14635" s="16" t="str">
        <f>IFERROR(__xludf.DUMMYFUNCTION("""COMPUTED_VALUE"""),"")</f>
        <v/>
      </c>
      <c r="X14635" s="16" t="str">
        <f>IFERROR(__xludf.DUMMYFUNCTION("""COMPUTED_VALUE"""),"")</f>
        <v/>
      </c>
      <c r="AC14635" s="16" t="str">
        <f>IFERROR(__xludf.DUMMYFUNCTION("""COMPUTED_VALUE"""),"")</f>
        <v/>
      </c>
    </row>
    <row r="14636">
      <c r="A14636" s="16" t="s">
        <v>87</v>
      </c>
      <c r="E14636" s="16" t="str">
        <f>IFERROR(__xludf.DUMMYFUNCTION("""COMPUTED_VALUE"""),"")</f>
        <v/>
      </c>
      <c r="G14636" s="18"/>
      <c r="H14636" s="16" t="s">
        <v>87</v>
      </c>
      <c r="I14636" s="16" t="s">
        <v>87</v>
      </c>
      <c r="J14636" s="19"/>
      <c r="L14636" s="16" t="str">
        <f>IFERROR(__xludf.DUMMYFUNCTION("""COMPUTED_VALUE"""),"")</f>
        <v/>
      </c>
      <c r="M14636" s="16" t="str">
        <f>IFERROR(__xludf.DUMMYFUNCTION("""COMPUTED_VALUE"""),"")</f>
        <v/>
      </c>
      <c r="U14636" s="16" t="s">
        <v>87</v>
      </c>
      <c r="V14636" s="16" t="str">
        <f>IFERROR(__xludf.DUMMYFUNCTION("""COMPUTED_VALUE"""),"")</f>
        <v/>
      </c>
      <c r="W14636" s="16" t="str">
        <f>IFERROR(__xludf.DUMMYFUNCTION("""COMPUTED_VALUE"""),"")</f>
        <v/>
      </c>
      <c r="X14636" s="16" t="str">
        <f>IFERROR(__xludf.DUMMYFUNCTION("""COMPUTED_VALUE"""),"")</f>
        <v/>
      </c>
      <c r="AC14636" s="16" t="str">
        <f>IFERROR(__xludf.DUMMYFUNCTION("""COMPUTED_VALUE"""),"")</f>
        <v/>
      </c>
    </row>
    <row r="14637">
      <c r="A14637" s="16" t="s">
        <v>87</v>
      </c>
      <c r="E14637" s="16" t="str">
        <f>IFERROR(__xludf.DUMMYFUNCTION("""COMPUTED_VALUE"""),"")</f>
        <v/>
      </c>
      <c r="G14637" s="18"/>
      <c r="H14637" s="16" t="s">
        <v>87</v>
      </c>
      <c r="I14637" s="16" t="s">
        <v>87</v>
      </c>
      <c r="J14637" s="19"/>
      <c r="L14637" s="16" t="str">
        <f>IFERROR(__xludf.DUMMYFUNCTION("""COMPUTED_VALUE"""),"")</f>
        <v/>
      </c>
      <c r="M14637" s="16" t="str">
        <f>IFERROR(__xludf.DUMMYFUNCTION("""COMPUTED_VALUE"""),"")</f>
        <v/>
      </c>
      <c r="U14637" s="16" t="s">
        <v>87</v>
      </c>
      <c r="V14637" s="16" t="str">
        <f>IFERROR(__xludf.DUMMYFUNCTION("""COMPUTED_VALUE"""),"")</f>
        <v/>
      </c>
      <c r="W14637" s="16" t="str">
        <f>IFERROR(__xludf.DUMMYFUNCTION("""COMPUTED_VALUE"""),"")</f>
        <v/>
      </c>
      <c r="X14637" s="16" t="str">
        <f>IFERROR(__xludf.DUMMYFUNCTION("""COMPUTED_VALUE"""),"")</f>
        <v/>
      </c>
      <c r="AC14637" s="16" t="str">
        <f>IFERROR(__xludf.DUMMYFUNCTION("""COMPUTED_VALUE"""),"")</f>
        <v/>
      </c>
    </row>
    <row r="14638">
      <c r="A14638" s="16" t="s">
        <v>87</v>
      </c>
      <c r="E14638" s="16" t="str">
        <f>IFERROR(__xludf.DUMMYFUNCTION("""COMPUTED_VALUE"""),"")</f>
        <v/>
      </c>
      <c r="G14638" s="18"/>
      <c r="H14638" s="16" t="s">
        <v>87</v>
      </c>
      <c r="I14638" s="16" t="s">
        <v>87</v>
      </c>
      <c r="J14638" s="19"/>
      <c r="L14638" s="16" t="str">
        <f>IFERROR(__xludf.DUMMYFUNCTION("""COMPUTED_VALUE"""),"")</f>
        <v/>
      </c>
      <c r="M14638" s="16" t="str">
        <f>IFERROR(__xludf.DUMMYFUNCTION("""COMPUTED_VALUE"""),"")</f>
        <v/>
      </c>
      <c r="U14638" s="16" t="s">
        <v>87</v>
      </c>
      <c r="V14638" s="16" t="str">
        <f>IFERROR(__xludf.DUMMYFUNCTION("""COMPUTED_VALUE"""),"")</f>
        <v/>
      </c>
      <c r="W14638" s="16" t="str">
        <f>IFERROR(__xludf.DUMMYFUNCTION("""COMPUTED_VALUE"""),"")</f>
        <v/>
      </c>
      <c r="X14638" s="16" t="str">
        <f>IFERROR(__xludf.DUMMYFUNCTION("""COMPUTED_VALUE"""),"")</f>
        <v/>
      </c>
      <c r="AC14638" s="16" t="str">
        <f>IFERROR(__xludf.DUMMYFUNCTION("""COMPUTED_VALUE"""),"")</f>
        <v/>
      </c>
    </row>
    <row r="14639">
      <c r="A14639" s="16" t="s">
        <v>87</v>
      </c>
      <c r="E14639" s="16" t="str">
        <f>IFERROR(__xludf.DUMMYFUNCTION("""COMPUTED_VALUE"""),"")</f>
        <v/>
      </c>
      <c r="G14639" s="18"/>
      <c r="H14639" s="16" t="s">
        <v>87</v>
      </c>
      <c r="I14639" s="16" t="s">
        <v>87</v>
      </c>
      <c r="J14639" s="19"/>
      <c r="L14639" s="16" t="str">
        <f>IFERROR(__xludf.DUMMYFUNCTION("""COMPUTED_VALUE"""),"")</f>
        <v/>
      </c>
      <c r="M14639" s="16" t="str">
        <f>IFERROR(__xludf.DUMMYFUNCTION("""COMPUTED_VALUE"""),"")</f>
        <v/>
      </c>
      <c r="U14639" s="16" t="s">
        <v>87</v>
      </c>
      <c r="V14639" s="16" t="str">
        <f>IFERROR(__xludf.DUMMYFUNCTION("""COMPUTED_VALUE"""),"")</f>
        <v/>
      </c>
      <c r="W14639" s="16" t="str">
        <f>IFERROR(__xludf.DUMMYFUNCTION("""COMPUTED_VALUE"""),"")</f>
        <v/>
      </c>
      <c r="X14639" s="16" t="str">
        <f>IFERROR(__xludf.DUMMYFUNCTION("""COMPUTED_VALUE"""),"")</f>
        <v/>
      </c>
      <c r="AC14639" s="16" t="str">
        <f>IFERROR(__xludf.DUMMYFUNCTION("""COMPUTED_VALUE"""),"")</f>
        <v/>
      </c>
    </row>
    <row r="14640">
      <c r="A14640" s="16" t="s">
        <v>87</v>
      </c>
      <c r="E14640" s="16" t="str">
        <f>IFERROR(__xludf.DUMMYFUNCTION("""COMPUTED_VALUE"""),"")</f>
        <v/>
      </c>
      <c r="G14640" s="18"/>
      <c r="H14640" s="16" t="s">
        <v>87</v>
      </c>
      <c r="I14640" s="16" t="s">
        <v>87</v>
      </c>
      <c r="J14640" s="19"/>
      <c r="L14640" s="16" t="str">
        <f>IFERROR(__xludf.DUMMYFUNCTION("""COMPUTED_VALUE"""),"")</f>
        <v/>
      </c>
      <c r="M14640" s="16" t="str">
        <f>IFERROR(__xludf.DUMMYFUNCTION("""COMPUTED_VALUE"""),"")</f>
        <v/>
      </c>
      <c r="U14640" s="16" t="s">
        <v>87</v>
      </c>
      <c r="V14640" s="16" t="str">
        <f>IFERROR(__xludf.DUMMYFUNCTION("""COMPUTED_VALUE"""),"")</f>
        <v/>
      </c>
      <c r="W14640" s="16" t="str">
        <f>IFERROR(__xludf.DUMMYFUNCTION("""COMPUTED_VALUE"""),"")</f>
        <v/>
      </c>
      <c r="X14640" s="16" t="str">
        <f>IFERROR(__xludf.DUMMYFUNCTION("""COMPUTED_VALUE"""),"")</f>
        <v/>
      </c>
      <c r="AC14640" s="16" t="str">
        <f>IFERROR(__xludf.DUMMYFUNCTION("""COMPUTED_VALUE"""),"")</f>
        <v/>
      </c>
    </row>
    <row r="14641">
      <c r="A14641" s="16" t="s">
        <v>87</v>
      </c>
      <c r="E14641" s="16" t="str">
        <f>IFERROR(__xludf.DUMMYFUNCTION("""COMPUTED_VALUE"""),"")</f>
        <v/>
      </c>
      <c r="G14641" s="18"/>
      <c r="H14641" s="16" t="s">
        <v>87</v>
      </c>
      <c r="I14641" s="16" t="s">
        <v>87</v>
      </c>
      <c r="J14641" s="19"/>
      <c r="L14641" s="16" t="str">
        <f>IFERROR(__xludf.DUMMYFUNCTION("""COMPUTED_VALUE"""),"")</f>
        <v/>
      </c>
      <c r="M14641" s="16" t="str">
        <f>IFERROR(__xludf.DUMMYFUNCTION("""COMPUTED_VALUE"""),"")</f>
        <v/>
      </c>
      <c r="U14641" s="16" t="s">
        <v>87</v>
      </c>
      <c r="V14641" s="16" t="str">
        <f>IFERROR(__xludf.DUMMYFUNCTION("""COMPUTED_VALUE"""),"")</f>
        <v/>
      </c>
      <c r="W14641" s="16" t="str">
        <f>IFERROR(__xludf.DUMMYFUNCTION("""COMPUTED_VALUE"""),"")</f>
        <v/>
      </c>
      <c r="X14641" s="16" t="str">
        <f>IFERROR(__xludf.DUMMYFUNCTION("""COMPUTED_VALUE"""),"")</f>
        <v/>
      </c>
      <c r="AC14641" s="16" t="str">
        <f>IFERROR(__xludf.DUMMYFUNCTION("""COMPUTED_VALUE"""),"")</f>
        <v/>
      </c>
    </row>
    <row r="14642">
      <c r="A14642" s="16" t="s">
        <v>87</v>
      </c>
      <c r="E14642" s="16" t="str">
        <f>IFERROR(__xludf.DUMMYFUNCTION("""COMPUTED_VALUE"""),"")</f>
        <v/>
      </c>
      <c r="G14642" s="18"/>
      <c r="H14642" s="16" t="s">
        <v>87</v>
      </c>
      <c r="I14642" s="16" t="s">
        <v>87</v>
      </c>
      <c r="J14642" s="19"/>
      <c r="L14642" s="16" t="str">
        <f>IFERROR(__xludf.DUMMYFUNCTION("""COMPUTED_VALUE"""),"")</f>
        <v/>
      </c>
      <c r="M14642" s="16" t="str">
        <f>IFERROR(__xludf.DUMMYFUNCTION("""COMPUTED_VALUE"""),"")</f>
        <v/>
      </c>
      <c r="U14642" s="16" t="s">
        <v>87</v>
      </c>
      <c r="V14642" s="16" t="str">
        <f>IFERROR(__xludf.DUMMYFUNCTION("""COMPUTED_VALUE"""),"")</f>
        <v/>
      </c>
      <c r="W14642" s="16" t="str">
        <f>IFERROR(__xludf.DUMMYFUNCTION("""COMPUTED_VALUE"""),"")</f>
        <v/>
      </c>
      <c r="X14642" s="16" t="str">
        <f>IFERROR(__xludf.DUMMYFUNCTION("""COMPUTED_VALUE"""),"")</f>
        <v/>
      </c>
      <c r="AC14642" s="16" t="str">
        <f>IFERROR(__xludf.DUMMYFUNCTION("""COMPUTED_VALUE"""),"")</f>
        <v/>
      </c>
    </row>
    <row r="14643">
      <c r="A14643" s="16" t="s">
        <v>87</v>
      </c>
      <c r="E14643" s="16" t="str">
        <f>IFERROR(__xludf.DUMMYFUNCTION("""COMPUTED_VALUE"""),"")</f>
        <v/>
      </c>
      <c r="G14643" s="18"/>
      <c r="H14643" s="16" t="s">
        <v>87</v>
      </c>
      <c r="I14643" s="16" t="s">
        <v>87</v>
      </c>
      <c r="J14643" s="19"/>
      <c r="L14643" s="16" t="str">
        <f>IFERROR(__xludf.DUMMYFUNCTION("""COMPUTED_VALUE"""),"")</f>
        <v/>
      </c>
      <c r="M14643" s="16" t="str">
        <f>IFERROR(__xludf.DUMMYFUNCTION("""COMPUTED_VALUE"""),"")</f>
        <v/>
      </c>
      <c r="U14643" s="16" t="s">
        <v>87</v>
      </c>
      <c r="V14643" s="16" t="str">
        <f>IFERROR(__xludf.DUMMYFUNCTION("""COMPUTED_VALUE"""),"")</f>
        <v/>
      </c>
      <c r="W14643" s="16" t="str">
        <f>IFERROR(__xludf.DUMMYFUNCTION("""COMPUTED_VALUE"""),"")</f>
        <v/>
      </c>
      <c r="X14643" s="16" t="str">
        <f>IFERROR(__xludf.DUMMYFUNCTION("""COMPUTED_VALUE"""),"")</f>
        <v/>
      </c>
      <c r="AC14643" s="16" t="str">
        <f>IFERROR(__xludf.DUMMYFUNCTION("""COMPUTED_VALUE"""),"")</f>
        <v/>
      </c>
    </row>
    <row r="14644">
      <c r="A14644" s="16" t="s">
        <v>87</v>
      </c>
      <c r="E14644" s="16" t="str">
        <f>IFERROR(__xludf.DUMMYFUNCTION("""COMPUTED_VALUE"""),"")</f>
        <v/>
      </c>
      <c r="G14644" s="18"/>
      <c r="H14644" s="16" t="s">
        <v>87</v>
      </c>
      <c r="I14644" s="16" t="s">
        <v>87</v>
      </c>
      <c r="J14644" s="19"/>
      <c r="L14644" s="16" t="str">
        <f>IFERROR(__xludf.DUMMYFUNCTION("""COMPUTED_VALUE"""),"")</f>
        <v/>
      </c>
      <c r="M14644" s="16" t="str">
        <f>IFERROR(__xludf.DUMMYFUNCTION("""COMPUTED_VALUE"""),"")</f>
        <v/>
      </c>
      <c r="U14644" s="16" t="s">
        <v>87</v>
      </c>
      <c r="V14644" s="16" t="str">
        <f>IFERROR(__xludf.DUMMYFUNCTION("""COMPUTED_VALUE"""),"")</f>
        <v/>
      </c>
      <c r="W14644" s="16" t="str">
        <f>IFERROR(__xludf.DUMMYFUNCTION("""COMPUTED_VALUE"""),"")</f>
        <v/>
      </c>
      <c r="X14644" s="16" t="str">
        <f>IFERROR(__xludf.DUMMYFUNCTION("""COMPUTED_VALUE"""),"")</f>
        <v/>
      </c>
      <c r="AC14644" s="16" t="str">
        <f>IFERROR(__xludf.DUMMYFUNCTION("""COMPUTED_VALUE"""),"")</f>
        <v/>
      </c>
    </row>
    <row r="14645">
      <c r="A14645" s="16" t="s">
        <v>87</v>
      </c>
      <c r="E14645" s="16" t="str">
        <f>IFERROR(__xludf.DUMMYFUNCTION("""COMPUTED_VALUE"""),"")</f>
        <v/>
      </c>
      <c r="G14645" s="18"/>
      <c r="H14645" s="16" t="s">
        <v>87</v>
      </c>
      <c r="I14645" s="16" t="s">
        <v>87</v>
      </c>
      <c r="J14645" s="19"/>
      <c r="L14645" s="16" t="str">
        <f>IFERROR(__xludf.DUMMYFUNCTION("""COMPUTED_VALUE"""),"")</f>
        <v/>
      </c>
      <c r="M14645" s="16" t="str">
        <f>IFERROR(__xludf.DUMMYFUNCTION("""COMPUTED_VALUE"""),"")</f>
        <v/>
      </c>
      <c r="U14645" s="16" t="s">
        <v>87</v>
      </c>
      <c r="V14645" s="16" t="str">
        <f>IFERROR(__xludf.DUMMYFUNCTION("""COMPUTED_VALUE"""),"")</f>
        <v/>
      </c>
      <c r="W14645" s="16" t="str">
        <f>IFERROR(__xludf.DUMMYFUNCTION("""COMPUTED_VALUE"""),"")</f>
        <v/>
      </c>
      <c r="X14645" s="16" t="str">
        <f>IFERROR(__xludf.DUMMYFUNCTION("""COMPUTED_VALUE"""),"")</f>
        <v/>
      </c>
      <c r="AC14645" s="16" t="str">
        <f>IFERROR(__xludf.DUMMYFUNCTION("""COMPUTED_VALUE"""),"")</f>
        <v/>
      </c>
    </row>
    <row r="14646">
      <c r="A14646" s="16" t="s">
        <v>87</v>
      </c>
      <c r="E14646" s="16" t="str">
        <f>IFERROR(__xludf.DUMMYFUNCTION("""COMPUTED_VALUE"""),"")</f>
        <v/>
      </c>
      <c r="G14646" s="18"/>
      <c r="H14646" s="16" t="s">
        <v>87</v>
      </c>
      <c r="I14646" s="16" t="s">
        <v>87</v>
      </c>
      <c r="J14646" s="19"/>
      <c r="L14646" s="16" t="str">
        <f>IFERROR(__xludf.DUMMYFUNCTION("""COMPUTED_VALUE"""),"")</f>
        <v/>
      </c>
      <c r="M14646" s="16" t="str">
        <f>IFERROR(__xludf.DUMMYFUNCTION("""COMPUTED_VALUE"""),"")</f>
        <v/>
      </c>
      <c r="U14646" s="16" t="s">
        <v>87</v>
      </c>
      <c r="V14646" s="16" t="str">
        <f>IFERROR(__xludf.DUMMYFUNCTION("""COMPUTED_VALUE"""),"")</f>
        <v/>
      </c>
      <c r="W14646" s="16" t="str">
        <f>IFERROR(__xludf.DUMMYFUNCTION("""COMPUTED_VALUE"""),"")</f>
        <v/>
      </c>
      <c r="X14646" s="16" t="str">
        <f>IFERROR(__xludf.DUMMYFUNCTION("""COMPUTED_VALUE"""),"")</f>
        <v/>
      </c>
      <c r="AC14646" s="16" t="str">
        <f>IFERROR(__xludf.DUMMYFUNCTION("""COMPUTED_VALUE"""),"")</f>
        <v/>
      </c>
    </row>
    <row r="14647">
      <c r="A14647" s="16" t="s">
        <v>87</v>
      </c>
      <c r="E14647" s="16" t="str">
        <f>IFERROR(__xludf.DUMMYFUNCTION("""COMPUTED_VALUE"""),"")</f>
        <v/>
      </c>
      <c r="G14647" s="18"/>
      <c r="H14647" s="16" t="s">
        <v>87</v>
      </c>
      <c r="I14647" s="16" t="s">
        <v>87</v>
      </c>
      <c r="J14647" s="19"/>
      <c r="L14647" s="16" t="str">
        <f>IFERROR(__xludf.DUMMYFUNCTION("""COMPUTED_VALUE"""),"")</f>
        <v/>
      </c>
      <c r="M14647" s="16" t="str">
        <f>IFERROR(__xludf.DUMMYFUNCTION("""COMPUTED_VALUE"""),"")</f>
        <v/>
      </c>
      <c r="U14647" s="16" t="s">
        <v>87</v>
      </c>
      <c r="V14647" s="16" t="str">
        <f>IFERROR(__xludf.DUMMYFUNCTION("""COMPUTED_VALUE"""),"")</f>
        <v/>
      </c>
      <c r="W14647" s="16" t="str">
        <f>IFERROR(__xludf.DUMMYFUNCTION("""COMPUTED_VALUE"""),"")</f>
        <v/>
      </c>
      <c r="X14647" s="16" t="str">
        <f>IFERROR(__xludf.DUMMYFUNCTION("""COMPUTED_VALUE"""),"")</f>
        <v/>
      </c>
      <c r="AC14647" s="16" t="str">
        <f>IFERROR(__xludf.DUMMYFUNCTION("""COMPUTED_VALUE"""),"")</f>
        <v/>
      </c>
    </row>
    <row r="14648">
      <c r="A14648" s="16" t="s">
        <v>87</v>
      </c>
      <c r="E14648" s="16" t="str">
        <f>IFERROR(__xludf.DUMMYFUNCTION("""COMPUTED_VALUE"""),"")</f>
        <v/>
      </c>
      <c r="G14648" s="18"/>
      <c r="H14648" s="16" t="s">
        <v>87</v>
      </c>
      <c r="I14648" s="16" t="s">
        <v>87</v>
      </c>
      <c r="J14648" s="19"/>
      <c r="L14648" s="16" t="str">
        <f>IFERROR(__xludf.DUMMYFUNCTION("""COMPUTED_VALUE"""),"")</f>
        <v/>
      </c>
      <c r="M14648" s="16" t="str">
        <f>IFERROR(__xludf.DUMMYFUNCTION("""COMPUTED_VALUE"""),"")</f>
        <v/>
      </c>
      <c r="U14648" s="16" t="s">
        <v>87</v>
      </c>
      <c r="V14648" s="16" t="str">
        <f>IFERROR(__xludf.DUMMYFUNCTION("""COMPUTED_VALUE"""),"")</f>
        <v/>
      </c>
      <c r="W14648" s="16" t="str">
        <f>IFERROR(__xludf.DUMMYFUNCTION("""COMPUTED_VALUE"""),"")</f>
        <v/>
      </c>
      <c r="X14648" s="16" t="str">
        <f>IFERROR(__xludf.DUMMYFUNCTION("""COMPUTED_VALUE"""),"")</f>
        <v/>
      </c>
      <c r="AC14648" s="16" t="str">
        <f>IFERROR(__xludf.DUMMYFUNCTION("""COMPUTED_VALUE"""),"")</f>
        <v/>
      </c>
    </row>
    <row r="14649">
      <c r="A14649" s="16" t="s">
        <v>87</v>
      </c>
      <c r="E14649" s="16" t="str">
        <f>IFERROR(__xludf.DUMMYFUNCTION("""COMPUTED_VALUE"""),"")</f>
        <v/>
      </c>
      <c r="G14649" s="18"/>
      <c r="H14649" s="16" t="s">
        <v>87</v>
      </c>
      <c r="I14649" s="16" t="s">
        <v>87</v>
      </c>
      <c r="J14649" s="19"/>
      <c r="L14649" s="16" t="str">
        <f>IFERROR(__xludf.DUMMYFUNCTION("""COMPUTED_VALUE"""),"")</f>
        <v/>
      </c>
      <c r="M14649" s="16" t="str">
        <f>IFERROR(__xludf.DUMMYFUNCTION("""COMPUTED_VALUE"""),"")</f>
        <v/>
      </c>
      <c r="U14649" s="16" t="s">
        <v>87</v>
      </c>
      <c r="V14649" s="16" t="str">
        <f>IFERROR(__xludf.DUMMYFUNCTION("""COMPUTED_VALUE"""),"")</f>
        <v/>
      </c>
      <c r="W14649" s="16" t="str">
        <f>IFERROR(__xludf.DUMMYFUNCTION("""COMPUTED_VALUE"""),"")</f>
        <v/>
      </c>
      <c r="X14649" s="16" t="str">
        <f>IFERROR(__xludf.DUMMYFUNCTION("""COMPUTED_VALUE"""),"")</f>
        <v/>
      </c>
      <c r="AC14649" s="16" t="str">
        <f>IFERROR(__xludf.DUMMYFUNCTION("""COMPUTED_VALUE"""),"")</f>
        <v/>
      </c>
    </row>
    <row r="14650">
      <c r="A14650" s="16" t="s">
        <v>87</v>
      </c>
      <c r="E14650" s="16" t="str">
        <f>IFERROR(__xludf.DUMMYFUNCTION("""COMPUTED_VALUE"""),"")</f>
        <v/>
      </c>
      <c r="G14650" s="18"/>
      <c r="H14650" s="16" t="s">
        <v>87</v>
      </c>
      <c r="I14650" s="16" t="s">
        <v>87</v>
      </c>
      <c r="J14650" s="19"/>
      <c r="L14650" s="16" t="str">
        <f>IFERROR(__xludf.DUMMYFUNCTION("""COMPUTED_VALUE"""),"")</f>
        <v/>
      </c>
      <c r="M14650" s="16" t="str">
        <f>IFERROR(__xludf.DUMMYFUNCTION("""COMPUTED_VALUE"""),"")</f>
        <v/>
      </c>
      <c r="U14650" s="16" t="s">
        <v>87</v>
      </c>
      <c r="V14650" s="16" t="str">
        <f>IFERROR(__xludf.DUMMYFUNCTION("""COMPUTED_VALUE"""),"")</f>
        <v/>
      </c>
      <c r="W14650" s="16" t="str">
        <f>IFERROR(__xludf.DUMMYFUNCTION("""COMPUTED_VALUE"""),"")</f>
        <v/>
      </c>
      <c r="X14650" s="16" t="str">
        <f>IFERROR(__xludf.DUMMYFUNCTION("""COMPUTED_VALUE"""),"")</f>
        <v/>
      </c>
      <c r="AC14650" s="16" t="str">
        <f>IFERROR(__xludf.DUMMYFUNCTION("""COMPUTED_VALUE"""),"")</f>
        <v/>
      </c>
    </row>
    <row r="14651">
      <c r="A14651" s="16" t="s">
        <v>87</v>
      </c>
      <c r="E14651" s="16" t="str">
        <f>IFERROR(__xludf.DUMMYFUNCTION("""COMPUTED_VALUE"""),"")</f>
        <v/>
      </c>
      <c r="G14651" s="18"/>
      <c r="H14651" s="16" t="s">
        <v>87</v>
      </c>
      <c r="I14651" s="16" t="s">
        <v>87</v>
      </c>
      <c r="J14651" s="19"/>
      <c r="L14651" s="16" t="str">
        <f>IFERROR(__xludf.DUMMYFUNCTION("""COMPUTED_VALUE"""),"")</f>
        <v/>
      </c>
      <c r="M14651" s="16" t="str">
        <f>IFERROR(__xludf.DUMMYFUNCTION("""COMPUTED_VALUE"""),"")</f>
        <v/>
      </c>
      <c r="U14651" s="16" t="s">
        <v>87</v>
      </c>
      <c r="V14651" s="16" t="str">
        <f>IFERROR(__xludf.DUMMYFUNCTION("""COMPUTED_VALUE"""),"")</f>
        <v/>
      </c>
      <c r="W14651" s="16" t="str">
        <f>IFERROR(__xludf.DUMMYFUNCTION("""COMPUTED_VALUE"""),"")</f>
        <v/>
      </c>
      <c r="X14651" s="16" t="str">
        <f>IFERROR(__xludf.DUMMYFUNCTION("""COMPUTED_VALUE"""),"")</f>
        <v/>
      </c>
      <c r="AC14651" s="16" t="str">
        <f>IFERROR(__xludf.DUMMYFUNCTION("""COMPUTED_VALUE"""),"")</f>
        <v/>
      </c>
    </row>
    <row r="14652">
      <c r="A14652" s="16" t="s">
        <v>87</v>
      </c>
      <c r="E14652" s="16" t="str">
        <f>IFERROR(__xludf.DUMMYFUNCTION("""COMPUTED_VALUE"""),"")</f>
        <v/>
      </c>
      <c r="G14652" s="18"/>
      <c r="H14652" s="16" t="s">
        <v>87</v>
      </c>
      <c r="I14652" s="16" t="s">
        <v>87</v>
      </c>
      <c r="J14652" s="19"/>
      <c r="L14652" s="16" t="str">
        <f>IFERROR(__xludf.DUMMYFUNCTION("""COMPUTED_VALUE"""),"")</f>
        <v/>
      </c>
      <c r="M14652" s="16" t="str">
        <f>IFERROR(__xludf.DUMMYFUNCTION("""COMPUTED_VALUE"""),"")</f>
        <v/>
      </c>
      <c r="U14652" s="16" t="s">
        <v>87</v>
      </c>
      <c r="V14652" s="16" t="str">
        <f>IFERROR(__xludf.DUMMYFUNCTION("""COMPUTED_VALUE"""),"")</f>
        <v/>
      </c>
      <c r="W14652" s="16" t="str">
        <f>IFERROR(__xludf.DUMMYFUNCTION("""COMPUTED_VALUE"""),"")</f>
        <v/>
      </c>
      <c r="X14652" s="16" t="str">
        <f>IFERROR(__xludf.DUMMYFUNCTION("""COMPUTED_VALUE"""),"")</f>
        <v/>
      </c>
      <c r="AC14652" s="16" t="str">
        <f>IFERROR(__xludf.DUMMYFUNCTION("""COMPUTED_VALUE"""),"")</f>
        <v/>
      </c>
    </row>
    <row r="14653">
      <c r="A14653" s="16" t="s">
        <v>87</v>
      </c>
      <c r="E14653" s="16" t="str">
        <f>IFERROR(__xludf.DUMMYFUNCTION("""COMPUTED_VALUE"""),"")</f>
        <v/>
      </c>
      <c r="G14653" s="18"/>
      <c r="H14653" s="16" t="s">
        <v>87</v>
      </c>
      <c r="I14653" s="16" t="s">
        <v>87</v>
      </c>
      <c r="J14653" s="19"/>
      <c r="L14653" s="16" t="str">
        <f>IFERROR(__xludf.DUMMYFUNCTION("""COMPUTED_VALUE"""),"")</f>
        <v/>
      </c>
      <c r="M14653" s="16" t="str">
        <f>IFERROR(__xludf.DUMMYFUNCTION("""COMPUTED_VALUE"""),"")</f>
        <v/>
      </c>
      <c r="U14653" s="16" t="s">
        <v>87</v>
      </c>
      <c r="V14653" s="16" t="str">
        <f>IFERROR(__xludf.DUMMYFUNCTION("""COMPUTED_VALUE"""),"")</f>
        <v/>
      </c>
      <c r="W14653" s="16" t="str">
        <f>IFERROR(__xludf.DUMMYFUNCTION("""COMPUTED_VALUE"""),"")</f>
        <v/>
      </c>
      <c r="X14653" s="16" t="str">
        <f>IFERROR(__xludf.DUMMYFUNCTION("""COMPUTED_VALUE"""),"")</f>
        <v/>
      </c>
      <c r="AC14653" s="16" t="str">
        <f>IFERROR(__xludf.DUMMYFUNCTION("""COMPUTED_VALUE"""),"")</f>
        <v/>
      </c>
    </row>
    <row r="14654">
      <c r="A14654" s="16" t="s">
        <v>87</v>
      </c>
      <c r="E14654" s="16" t="str">
        <f>IFERROR(__xludf.DUMMYFUNCTION("""COMPUTED_VALUE"""),"")</f>
        <v/>
      </c>
      <c r="G14654" s="18"/>
      <c r="H14654" s="16" t="s">
        <v>87</v>
      </c>
      <c r="I14654" s="16" t="s">
        <v>87</v>
      </c>
      <c r="J14654" s="19"/>
      <c r="L14654" s="16" t="str">
        <f>IFERROR(__xludf.DUMMYFUNCTION("""COMPUTED_VALUE"""),"")</f>
        <v/>
      </c>
      <c r="M14654" s="16" t="str">
        <f>IFERROR(__xludf.DUMMYFUNCTION("""COMPUTED_VALUE"""),"")</f>
        <v/>
      </c>
      <c r="U14654" s="16" t="s">
        <v>87</v>
      </c>
      <c r="V14654" s="16" t="str">
        <f>IFERROR(__xludf.DUMMYFUNCTION("""COMPUTED_VALUE"""),"")</f>
        <v/>
      </c>
      <c r="W14654" s="16" t="str">
        <f>IFERROR(__xludf.DUMMYFUNCTION("""COMPUTED_VALUE"""),"")</f>
        <v/>
      </c>
      <c r="X14654" s="16" t="str">
        <f>IFERROR(__xludf.DUMMYFUNCTION("""COMPUTED_VALUE"""),"")</f>
        <v/>
      </c>
      <c r="AC14654" s="16" t="str">
        <f>IFERROR(__xludf.DUMMYFUNCTION("""COMPUTED_VALUE"""),"")</f>
        <v/>
      </c>
    </row>
    <row r="14655">
      <c r="A14655" s="16" t="s">
        <v>87</v>
      </c>
      <c r="E14655" s="16" t="str">
        <f>IFERROR(__xludf.DUMMYFUNCTION("""COMPUTED_VALUE"""),"")</f>
        <v/>
      </c>
      <c r="G14655" s="18"/>
      <c r="H14655" s="16" t="s">
        <v>87</v>
      </c>
      <c r="I14655" s="16" t="s">
        <v>87</v>
      </c>
      <c r="J14655" s="19"/>
      <c r="L14655" s="16" t="str">
        <f>IFERROR(__xludf.DUMMYFUNCTION("""COMPUTED_VALUE"""),"")</f>
        <v/>
      </c>
      <c r="M14655" s="16" t="str">
        <f>IFERROR(__xludf.DUMMYFUNCTION("""COMPUTED_VALUE"""),"")</f>
        <v/>
      </c>
      <c r="U14655" s="16" t="s">
        <v>87</v>
      </c>
      <c r="V14655" s="16" t="str">
        <f>IFERROR(__xludf.DUMMYFUNCTION("""COMPUTED_VALUE"""),"")</f>
        <v/>
      </c>
      <c r="W14655" s="16" t="str">
        <f>IFERROR(__xludf.DUMMYFUNCTION("""COMPUTED_VALUE"""),"")</f>
        <v/>
      </c>
      <c r="X14655" s="16" t="str">
        <f>IFERROR(__xludf.DUMMYFUNCTION("""COMPUTED_VALUE"""),"")</f>
        <v/>
      </c>
      <c r="AC14655" s="16" t="str">
        <f>IFERROR(__xludf.DUMMYFUNCTION("""COMPUTED_VALUE"""),"")</f>
        <v/>
      </c>
    </row>
    <row r="14656">
      <c r="A14656" s="16" t="s">
        <v>87</v>
      </c>
      <c r="E14656" s="16" t="str">
        <f>IFERROR(__xludf.DUMMYFUNCTION("""COMPUTED_VALUE"""),"")</f>
        <v/>
      </c>
      <c r="G14656" s="18"/>
      <c r="H14656" s="16" t="s">
        <v>87</v>
      </c>
      <c r="I14656" s="16" t="s">
        <v>87</v>
      </c>
      <c r="J14656" s="19"/>
      <c r="L14656" s="16" t="str">
        <f>IFERROR(__xludf.DUMMYFUNCTION("""COMPUTED_VALUE"""),"")</f>
        <v/>
      </c>
      <c r="M14656" s="16" t="str">
        <f>IFERROR(__xludf.DUMMYFUNCTION("""COMPUTED_VALUE"""),"")</f>
        <v/>
      </c>
      <c r="U14656" s="16" t="s">
        <v>87</v>
      </c>
      <c r="V14656" s="16" t="str">
        <f>IFERROR(__xludf.DUMMYFUNCTION("""COMPUTED_VALUE"""),"")</f>
        <v/>
      </c>
      <c r="W14656" s="16" t="str">
        <f>IFERROR(__xludf.DUMMYFUNCTION("""COMPUTED_VALUE"""),"")</f>
        <v/>
      </c>
      <c r="X14656" s="16" t="str">
        <f>IFERROR(__xludf.DUMMYFUNCTION("""COMPUTED_VALUE"""),"")</f>
        <v/>
      </c>
      <c r="AC14656" s="16" t="str">
        <f>IFERROR(__xludf.DUMMYFUNCTION("""COMPUTED_VALUE"""),"")</f>
        <v/>
      </c>
    </row>
    <row r="14657">
      <c r="A14657" s="16" t="s">
        <v>87</v>
      </c>
      <c r="E14657" s="16" t="str">
        <f>IFERROR(__xludf.DUMMYFUNCTION("""COMPUTED_VALUE"""),"")</f>
        <v/>
      </c>
      <c r="G14657" s="18"/>
      <c r="H14657" s="16" t="s">
        <v>87</v>
      </c>
      <c r="I14657" s="16" t="s">
        <v>87</v>
      </c>
      <c r="J14657" s="19"/>
      <c r="L14657" s="16" t="str">
        <f>IFERROR(__xludf.DUMMYFUNCTION("""COMPUTED_VALUE"""),"")</f>
        <v/>
      </c>
      <c r="M14657" s="16" t="str">
        <f>IFERROR(__xludf.DUMMYFUNCTION("""COMPUTED_VALUE"""),"")</f>
        <v/>
      </c>
      <c r="U14657" s="16" t="s">
        <v>87</v>
      </c>
      <c r="V14657" s="16" t="str">
        <f>IFERROR(__xludf.DUMMYFUNCTION("""COMPUTED_VALUE"""),"")</f>
        <v/>
      </c>
      <c r="W14657" s="16" t="str">
        <f>IFERROR(__xludf.DUMMYFUNCTION("""COMPUTED_VALUE"""),"")</f>
        <v/>
      </c>
      <c r="X14657" s="16" t="str">
        <f>IFERROR(__xludf.DUMMYFUNCTION("""COMPUTED_VALUE"""),"")</f>
        <v/>
      </c>
      <c r="AC14657" s="16" t="str">
        <f>IFERROR(__xludf.DUMMYFUNCTION("""COMPUTED_VALUE"""),"")</f>
        <v/>
      </c>
    </row>
    <row r="14658">
      <c r="A14658" s="16" t="s">
        <v>87</v>
      </c>
      <c r="E14658" s="16" t="str">
        <f>IFERROR(__xludf.DUMMYFUNCTION("""COMPUTED_VALUE"""),"")</f>
        <v/>
      </c>
      <c r="G14658" s="18"/>
      <c r="H14658" s="16" t="s">
        <v>87</v>
      </c>
      <c r="I14658" s="16" t="s">
        <v>87</v>
      </c>
      <c r="J14658" s="19"/>
      <c r="L14658" s="16" t="str">
        <f>IFERROR(__xludf.DUMMYFUNCTION("""COMPUTED_VALUE"""),"")</f>
        <v/>
      </c>
      <c r="M14658" s="16" t="str">
        <f>IFERROR(__xludf.DUMMYFUNCTION("""COMPUTED_VALUE"""),"")</f>
        <v/>
      </c>
      <c r="U14658" s="16" t="s">
        <v>87</v>
      </c>
      <c r="V14658" s="16" t="str">
        <f>IFERROR(__xludf.DUMMYFUNCTION("""COMPUTED_VALUE"""),"")</f>
        <v/>
      </c>
      <c r="W14658" s="16" t="str">
        <f>IFERROR(__xludf.DUMMYFUNCTION("""COMPUTED_VALUE"""),"")</f>
        <v/>
      </c>
      <c r="X14658" s="16" t="str">
        <f>IFERROR(__xludf.DUMMYFUNCTION("""COMPUTED_VALUE"""),"")</f>
        <v/>
      </c>
      <c r="AC14658" s="16" t="str">
        <f>IFERROR(__xludf.DUMMYFUNCTION("""COMPUTED_VALUE"""),"")</f>
        <v/>
      </c>
    </row>
    <row r="14659">
      <c r="A14659" s="16" t="s">
        <v>87</v>
      </c>
      <c r="E14659" s="16" t="str">
        <f>IFERROR(__xludf.DUMMYFUNCTION("""COMPUTED_VALUE"""),"")</f>
        <v/>
      </c>
      <c r="G14659" s="18"/>
      <c r="H14659" s="16" t="s">
        <v>87</v>
      </c>
      <c r="I14659" s="16" t="s">
        <v>87</v>
      </c>
      <c r="J14659" s="19"/>
      <c r="L14659" s="16" t="str">
        <f>IFERROR(__xludf.DUMMYFUNCTION("""COMPUTED_VALUE"""),"")</f>
        <v/>
      </c>
      <c r="M14659" s="16" t="str">
        <f>IFERROR(__xludf.DUMMYFUNCTION("""COMPUTED_VALUE"""),"")</f>
        <v/>
      </c>
      <c r="U14659" s="16" t="s">
        <v>87</v>
      </c>
      <c r="V14659" s="16" t="str">
        <f>IFERROR(__xludf.DUMMYFUNCTION("""COMPUTED_VALUE"""),"")</f>
        <v/>
      </c>
      <c r="W14659" s="16" t="str">
        <f>IFERROR(__xludf.DUMMYFUNCTION("""COMPUTED_VALUE"""),"")</f>
        <v/>
      </c>
      <c r="X14659" s="16" t="str">
        <f>IFERROR(__xludf.DUMMYFUNCTION("""COMPUTED_VALUE"""),"")</f>
        <v/>
      </c>
      <c r="AC14659" s="16" t="str">
        <f>IFERROR(__xludf.DUMMYFUNCTION("""COMPUTED_VALUE"""),"")</f>
        <v/>
      </c>
    </row>
    <row r="14660">
      <c r="A14660" s="16" t="s">
        <v>87</v>
      </c>
      <c r="E14660" s="16" t="str">
        <f>IFERROR(__xludf.DUMMYFUNCTION("""COMPUTED_VALUE"""),"")</f>
        <v/>
      </c>
      <c r="G14660" s="18"/>
      <c r="H14660" s="16" t="s">
        <v>87</v>
      </c>
      <c r="I14660" s="16" t="s">
        <v>87</v>
      </c>
      <c r="J14660" s="19"/>
      <c r="L14660" s="16" t="str">
        <f>IFERROR(__xludf.DUMMYFUNCTION("""COMPUTED_VALUE"""),"")</f>
        <v/>
      </c>
      <c r="M14660" s="16" t="str">
        <f>IFERROR(__xludf.DUMMYFUNCTION("""COMPUTED_VALUE"""),"")</f>
        <v/>
      </c>
      <c r="U14660" s="16" t="s">
        <v>87</v>
      </c>
      <c r="V14660" s="16" t="str">
        <f>IFERROR(__xludf.DUMMYFUNCTION("""COMPUTED_VALUE"""),"")</f>
        <v/>
      </c>
      <c r="W14660" s="16" t="str">
        <f>IFERROR(__xludf.DUMMYFUNCTION("""COMPUTED_VALUE"""),"")</f>
        <v/>
      </c>
      <c r="X14660" s="16" t="str">
        <f>IFERROR(__xludf.DUMMYFUNCTION("""COMPUTED_VALUE"""),"")</f>
        <v/>
      </c>
      <c r="AC14660" s="16" t="str">
        <f>IFERROR(__xludf.DUMMYFUNCTION("""COMPUTED_VALUE"""),"")</f>
        <v/>
      </c>
    </row>
    <row r="14661">
      <c r="A14661" s="16" t="s">
        <v>87</v>
      </c>
      <c r="E14661" s="16" t="str">
        <f>IFERROR(__xludf.DUMMYFUNCTION("""COMPUTED_VALUE"""),"")</f>
        <v/>
      </c>
      <c r="G14661" s="18"/>
      <c r="H14661" s="16" t="s">
        <v>87</v>
      </c>
      <c r="I14661" s="16" t="s">
        <v>87</v>
      </c>
      <c r="J14661" s="19"/>
      <c r="L14661" s="16" t="str">
        <f>IFERROR(__xludf.DUMMYFUNCTION("""COMPUTED_VALUE"""),"")</f>
        <v/>
      </c>
      <c r="M14661" s="16" t="str">
        <f>IFERROR(__xludf.DUMMYFUNCTION("""COMPUTED_VALUE"""),"")</f>
        <v/>
      </c>
      <c r="U14661" s="16" t="s">
        <v>87</v>
      </c>
      <c r="V14661" s="16" t="str">
        <f>IFERROR(__xludf.DUMMYFUNCTION("""COMPUTED_VALUE"""),"")</f>
        <v/>
      </c>
      <c r="W14661" s="16" t="str">
        <f>IFERROR(__xludf.DUMMYFUNCTION("""COMPUTED_VALUE"""),"")</f>
        <v/>
      </c>
      <c r="X14661" s="16" t="str">
        <f>IFERROR(__xludf.DUMMYFUNCTION("""COMPUTED_VALUE"""),"")</f>
        <v/>
      </c>
      <c r="AC14661" s="16" t="str">
        <f>IFERROR(__xludf.DUMMYFUNCTION("""COMPUTED_VALUE"""),"")</f>
        <v/>
      </c>
    </row>
    <row r="14662">
      <c r="A14662" s="16" t="s">
        <v>87</v>
      </c>
      <c r="E14662" s="16" t="str">
        <f>IFERROR(__xludf.DUMMYFUNCTION("""COMPUTED_VALUE"""),"")</f>
        <v/>
      </c>
      <c r="G14662" s="18"/>
      <c r="H14662" s="16" t="s">
        <v>87</v>
      </c>
      <c r="I14662" s="16" t="s">
        <v>87</v>
      </c>
      <c r="J14662" s="19"/>
      <c r="L14662" s="16" t="str">
        <f>IFERROR(__xludf.DUMMYFUNCTION("""COMPUTED_VALUE"""),"")</f>
        <v/>
      </c>
      <c r="M14662" s="16" t="str">
        <f>IFERROR(__xludf.DUMMYFUNCTION("""COMPUTED_VALUE"""),"")</f>
        <v/>
      </c>
      <c r="U14662" s="16" t="s">
        <v>87</v>
      </c>
      <c r="V14662" s="16" t="str">
        <f>IFERROR(__xludf.DUMMYFUNCTION("""COMPUTED_VALUE"""),"")</f>
        <v/>
      </c>
      <c r="W14662" s="16" t="str">
        <f>IFERROR(__xludf.DUMMYFUNCTION("""COMPUTED_VALUE"""),"")</f>
        <v/>
      </c>
      <c r="X14662" s="16" t="str">
        <f>IFERROR(__xludf.DUMMYFUNCTION("""COMPUTED_VALUE"""),"")</f>
        <v/>
      </c>
      <c r="AC14662" s="16" t="str">
        <f>IFERROR(__xludf.DUMMYFUNCTION("""COMPUTED_VALUE"""),"")</f>
        <v/>
      </c>
    </row>
    <row r="14663">
      <c r="A14663" s="16" t="s">
        <v>87</v>
      </c>
      <c r="E14663" s="16" t="str">
        <f>IFERROR(__xludf.DUMMYFUNCTION("""COMPUTED_VALUE"""),"")</f>
        <v/>
      </c>
      <c r="G14663" s="18"/>
      <c r="H14663" s="16" t="s">
        <v>87</v>
      </c>
      <c r="I14663" s="16" t="s">
        <v>87</v>
      </c>
      <c r="J14663" s="19"/>
      <c r="L14663" s="16" t="str">
        <f>IFERROR(__xludf.DUMMYFUNCTION("""COMPUTED_VALUE"""),"")</f>
        <v/>
      </c>
      <c r="M14663" s="16" t="str">
        <f>IFERROR(__xludf.DUMMYFUNCTION("""COMPUTED_VALUE"""),"")</f>
        <v/>
      </c>
      <c r="U14663" s="16" t="s">
        <v>87</v>
      </c>
      <c r="V14663" s="16" t="str">
        <f>IFERROR(__xludf.DUMMYFUNCTION("""COMPUTED_VALUE"""),"")</f>
        <v/>
      </c>
      <c r="W14663" s="16" t="str">
        <f>IFERROR(__xludf.DUMMYFUNCTION("""COMPUTED_VALUE"""),"")</f>
        <v/>
      </c>
      <c r="X14663" s="16" t="str">
        <f>IFERROR(__xludf.DUMMYFUNCTION("""COMPUTED_VALUE"""),"")</f>
        <v/>
      </c>
      <c r="AC14663" s="16" t="str">
        <f>IFERROR(__xludf.DUMMYFUNCTION("""COMPUTED_VALUE"""),"")</f>
        <v/>
      </c>
    </row>
    <row r="14664">
      <c r="A14664" s="16" t="s">
        <v>87</v>
      </c>
      <c r="E14664" s="16" t="str">
        <f>IFERROR(__xludf.DUMMYFUNCTION("""COMPUTED_VALUE"""),"")</f>
        <v/>
      </c>
      <c r="G14664" s="18"/>
      <c r="H14664" s="16" t="s">
        <v>87</v>
      </c>
      <c r="I14664" s="16" t="s">
        <v>87</v>
      </c>
      <c r="J14664" s="19"/>
      <c r="L14664" s="16" t="str">
        <f>IFERROR(__xludf.DUMMYFUNCTION("""COMPUTED_VALUE"""),"")</f>
        <v/>
      </c>
      <c r="M14664" s="16" t="str">
        <f>IFERROR(__xludf.DUMMYFUNCTION("""COMPUTED_VALUE"""),"")</f>
        <v/>
      </c>
      <c r="U14664" s="16" t="s">
        <v>87</v>
      </c>
      <c r="V14664" s="16" t="str">
        <f>IFERROR(__xludf.DUMMYFUNCTION("""COMPUTED_VALUE"""),"")</f>
        <v/>
      </c>
      <c r="W14664" s="16" t="str">
        <f>IFERROR(__xludf.DUMMYFUNCTION("""COMPUTED_VALUE"""),"")</f>
        <v/>
      </c>
      <c r="X14664" s="16" t="str">
        <f>IFERROR(__xludf.DUMMYFUNCTION("""COMPUTED_VALUE"""),"")</f>
        <v/>
      </c>
      <c r="AC14664" s="16" t="str">
        <f>IFERROR(__xludf.DUMMYFUNCTION("""COMPUTED_VALUE"""),"")</f>
        <v/>
      </c>
    </row>
    <row r="14665">
      <c r="A14665" s="16" t="s">
        <v>87</v>
      </c>
      <c r="E14665" s="16" t="str">
        <f>IFERROR(__xludf.DUMMYFUNCTION("""COMPUTED_VALUE"""),"")</f>
        <v/>
      </c>
      <c r="G14665" s="18"/>
      <c r="H14665" s="16" t="s">
        <v>87</v>
      </c>
      <c r="I14665" s="16" t="s">
        <v>87</v>
      </c>
      <c r="J14665" s="19"/>
      <c r="L14665" s="16" t="str">
        <f>IFERROR(__xludf.DUMMYFUNCTION("""COMPUTED_VALUE"""),"")</f>
        <v/>
      </c>
      <c r="M14665" s="16" t="str">
        <f>IFERROR(__xludf.DUMMYFUNCTION("""COMPUTED_VALUE"""),"")</f>
        <v/>
      </c>
      <c r="U14665" s="16" t="s">
        <v>87</v>
      </c>
      <c r="V14665" s="16" t="str">
        <f>IFERROR(__xludf.DUMMYFUNCTION("""COMPUTED_VALUE"""),"")</f>
        <v/>
      </c>
      <c r="W14665" s="16" t="str">
        <f>IFERROR(__xludf.DUMMYFUNCTION("""COMPUTED_VALUE"""),"")</f>
        <v/>
      </c>
      <c r="X14665" s="16" t="str">
        <f>IFERROR(__xludf.DUMMYFUNCTION("""COMPUTED_VALUE"""),"")</f>
        <v/>
      </c>
      <c r="AC14665" s="16" t="str">
        <f>IFERROR(__xludf.DUMMYFUNCTION("""COMPUTED_VALUE"""),"")</f>
        <v/>
      </c>
    </row>
    <row r="14666">
      <c r="A14666" s="16" t="s">
        <v>87</v>
      </c>
      <c r="E14666" s="16" t="str">
        <f>IFERROR(__xludf.DUMMYFUNCTION("""COMPUTED_VALUE"""),"")</f>
        <v/>
      </c>
      <c r="G14666" s="18"/>
      <c r="H14666" s="16" t="s">
        <v>87</v>
      </c>
      <c r="I14666" s="16" t="s">
        <v>87</v>
      </c>
      <c r="J14666" s="19"/>
      <c r="L14666" s="16" t="str">
        <f>IFERROR(__xludf.DUMMYFUNCTION("""COMPUTED_VALUE"""),"")</f>
        <v/>
      </c>
      <c r="M14666" s="16" t="str">
        <f>IFERROR(__xludf.DUMMYFUNCTION("""COMPUTED_VALUE"""),"")</f>
        <v/>
      </c>
      <c r="U14666" s="16" t="s">
        <v>87</v>
      </c>
      <c r="V14666" s="16" t="str">
        <f>IFERROR(__xludf.DUMMYFUNCTION("""COMPUTED_VALUE"""),"")</f>
        <v/>
      </c>
      <c r="W14666" s="16" t="str">
        <f>IFERROR(__xludf.DUMMYFUNCTION("""COMPUTED_VALUE"""),"")</f>
        <v/>
      </c>
      <c r="X14666" s="16" t="str">
        <f>IFERROR(__xludf.DUMMYFUNCTION("""COMPUTED_VALUE"""),"")</f>
        <v/>
      </c>
      <c r="AC14666" s="16" t="str">
        <f>IFERROR(__xludf.DUMMYFUNCTION("""COMPUTED_VALUE"""),"")</f>
        <v/>
      </c>
    </row>
    <row r="14667">
      <c r="A14667" s="16" t="s">
        <v>87</v>
      </c>
      <c r="E14667" s="16" t="str">
        <f>IFERROR(__xludf.DUMMYFUNCTION("""COMPUTED_VALUE"""),"")</f>
        <v/>
      </c>
      <c r="G14667" s="18"/>
      <c r="H14667" s="16" t="s">
        <v>87</v>
      </c>
      <c r="I14667" s="16" t="s">
        <v>87</v>
      </c>
      <c r="J14667" s="19"/>
      <c r="L14667" s="16" t="str">
        <f>IFERROR(__xludf.DUMMYFUNCTION("""COMPUTED_VALUE"""),"")</f>
        <v/>
      </c>
      <c r="M14667" s="16" t="str">
        <f>IFERROR(__xludf.DUMMYFUNCTION("""COMPUTED_VALUE"""),"")</f>
        <v/>
      </c>
      <c r="U14667" s="16" t="s">
        <v>87</v>
      </c>
      <c r="V14667" s="16" t="str">
        <f>IFERROR(__xludf.DUMMYFUNCTION("""COMPUTED_VALUE"""),"")</f>
        <v/>
      </c>
      <c r="W14667" s="16" t="str">
        <f>IFERROR(__xludf.DUMMYFUNCTION("""COMPUTED_VALUE"""),"")</f>
        <v/>
      </c>
      <c r="X14667" s="16" t="str">
        <f>IFERROR(__xludf.DUMMYFUNCTION("""COMPUTED_VALUE"""),"")</f>
        <v/>
      </c>
      <c r="AC14667" s="16" t="str">
        <f>IFERROR(__xludf.DUMMYFUNCTION("""COMPUTED_VALUE"""),"")</f>
        <v/>
      </c>
    </row>
    <row r="14668">
      <c r="A14668" s="16" t="s">
        <v>87</v>
      </c>
      <c r="E14668" s="16" t="str">
        <f>IFERROR(__xludf.DUMMYFUNCTION("""COMPUTED_VALUE"""),"")</f>
        <v/>
      </c>
      <c r="G14668" s="18"/>
      <c r="H14668" s="16" t="s">
        <v>87</v>
      </c>
      <c r="I14668" s="16" t="s">
        <v>87</v>
      </c>
      <c r="J14668" s="19"/>
      <c r="L14668" s="16" t="str">
        <f>IFERROR(__xludf.DUMMYFUNCTION("""COMPUTED_VALUE"""),"")</f>
        <v/>
      </c>
      <c r="M14668" s="16" t="str">
        <f>IFERROR(__xludf.DUMMYFUNCTION("""COMPUTED_VALUE"""),"")</f>
        <v/>
      </c>
      <c r="U14668" s="16" t="s">
        <v>87</v>
      </c>
      <c r="V14668" s="16" t="str">
        <f>IFERROR(__xludf.DUMMYFUNCTION("""COMPUTED_VALUE"""),"")</f>
        <v/>
      </c>
      <c r="W14668" s="16" t="str">
        <f>IFERROR(__xludf.DUMMYFUNCTION("""COMPUTED_VALUE"""),"")</f>
        <v/>
      </c>
      <c r="X14668" s="16" t="str">
        <f>IFERROR(__xludf.DUMMYFUNCTION("""COMPUTED_VALUE"""),"")</f>
        <v/>
      </c>
      <c r="AC14668" s="16" t="str">
        <f>IFERROR(__xludf.DUMMYFUNCTION("""COMPUTED_VALUE"""),"")</f>
        <v/>
      </c>
    </row>
    <row r="14669">
      <c r="A14669" s="16" t="s">
        <v>87</v>
      </c>
      <c r="E14669" s="16" t="str">
        <f>IFERROR(__xludf.DUMMYFUNCTION("""COMPUTED_VALUE"""),"")</f>
        <v/>
      </c>
      <c r="G14669" s="18"/>
      <c r="H14669" s="16" t="s">
        <v>87</v>
      </c>
      <c r="I14669" s="16" t="s">
        <v>87</v>
      </c>
      <c r="J14669" s="19"/>
      <c r="L14669" s="16" t="str">
        <f>IFERROR(__xludf.DUMMYFUNCTION("""COMPUTED_VALUE"""),"")</f>
        <v/>
      </c>
      <c r="M14669" s="16" t="str">
        <f>IFERROR(__xludf.DUMMYFUNCTION("""COMPUTED_VALUE"""),"")</f>
        <v/>
      </c>
      <c r="U14669" s="16" t="s">
        <v>87</v>
      </c>
      <c r="V14669" s="16" t="str">
        <f>IFERROR(__xludf.DUMMYFUNCTION("""COMPUTED_VALUE"""),"")</f>
        <v/>
      </c>
      <c r="W14669" s="16" t="str">
        <f>IFERROR(__xludf.DUMMYFUNCTION("""COMPUTED_VALUE"""),"")</f>
        <v/>
      </c>
      <c r="X14669" s="16" t="str">
        <f>IFERROR(__xludf.DUMMYFUNCTION("""COMPUTED_VALUE"""),"")</f>
        <v/>
      </c>
      <c r="AC14669" s="16" t="str">
        <f>IFERROR(__xludf.DUMMYFUNCTION("""COMPUTED_VALUE"""),"")</f>
        <v/>
      </c>
    </row>
    <row r="14670">
      <c r="A14670" s="16" t="s">
        <v>87</v>
      </c>
      <c r="E14670" s="16" t="str">
        <f>IFERROR(__xludf.DUMMYFUNCTION("""COMPUTED_VALUE"""),"")</f>
        <v/>
      </c>
      <c r="G14670" s="18"/>
      <c r="H14670" s="16" t="s">
        <v>87</v>
      </c>
      <c r="I14670" s="16" t="s">
        <v>87</v>
      </c>
      <c r="J14670" s="19"/>
      <c r="L14670" s="16" t="str">
        <f>IFERROR(__xludf.DUMMYFUNCTION("""COMPUTED_VALUE"""),"")</f>
        <v/>
      </c>
      <c r="M14670" s="16" t="str">
        <f>IFERROR(__xludf.DUMMYFUNCTION("""COMPUTED_VALUE"""),"")</f>
        <v/>
      </c>
      <c r="U14670" s="16" t="s">
        <v>87</v>
      </c>
      <c r="V14670" s="16" t="str">
        <f>IFERROR(__xludf.DUMMYFUNCTION("""COMPUTED_VALUE"""),"")</f>
        <v/>
      </c>
      <c r="W14670" s="16" t="str">
        <f>IFERROR(__xludf.DUMMYFUNCTION("""COMPUTED_VALUE"""),"")</f>
        <v/>
      </c>
      <c r="X14670" s="16" t="str">
        <f>IFERROR(__xludf.DUMMYFUNCTION("""COMPUTED_VALUE"""),"")</f>
        <v/>
      </c>
      <c r="AC14670" s="16" t="str">
        <f>IFERROR(__xludf.DUMMYFUNCTION("""COMPUTED_VALUE"""),"")</f>
        <v/>
      </c>
    </row>
    <row r="14671">
      <c r="A14671" s="16" t="s">
        <v>87</v>
      </c>
      <c r="E14671" s="16" t="str">
        <f>IFERROR(__xludf.DUMMYFUNCTION("""COMPUTED_VALUE"""),"")</f>
        <v/>
      </c>
      <c r="G14671" s="18"/>
      <c r="H14671" s="16" t="s">
        <v>87</v>
      </c>
      <c r="I14671" s="16" t="s">
        <v>87</v>
      </c>
      <c r="J14671" s="19"/>
      <c r="L14671" s="16" t="str">
        <f>IFERROR(__xludf.DUMMYFUNCTION("""COMPUTED_VALUE"""),"")</f>
        <v/>
      </c>
      <c r="M14671" s="16" t="str">
        <f>IFERROR(__xludf.DUMMYFUNCTION("""COMPUTED_VALUE"""),"")</f>
        <v/>
      </c>
      <c r="U14671" s="16" t="s">
        <v>87</v>
      </c>
      <c r="V14671" s="16" t="str">
        <f>IFERROR(__xludf.DUMMYFUNCTION("""COMPUTED_VALUE"""),"")</f>
        <v/>
      </c>
      <c r="W14671" s="16" t="str">
        <f>IFERROR(__xludf.DUMMYFUNCTION("""COMPUTED_VALUE"""),"")</f>
        <v/>
      </c>
      <c r="X14671" s="16" t="str">
        <f>IFERROR(__xludf.DUMMYFUNCTION("""COMPUTED_VALUE"""),"")</f>
        <v/>
      </c>
      <c r="AC14671" s="16" t="str">
        <f>IFERROR(__xludf.DUMMYFUNCTION("""COMPUTED_VALUE"""),"")</f>
        <v/>
      </c>
    </row>
    <row r="14672">
      <c r="A14672" s="16" t="s">
        <v>87</v>
      </c>
      <c r="E14672" s="16" t="str">
        <f>IFERROR(__xludf.DUMMYFUNCTION("""COMPUTED_VALUE"""),"")</f>
        <v/>
      </c>
      <c r="G14672" s="18"/>
      <c r="H14672" s="16" t="s">
        <v>87</v>
      </c>
      <c r="I14672" s="16" t="s">
        <v>87</v>
      </c>
      <c r="J14672" s="19"/>
      <c r="L14672" s="16" t="str">
        <f>IFERROR(__xludf.DUMMYFUNCTION("""COMPUTED_VALUE"""),"")</f>
        <v/>
      </c>
      <c r="M14672" s="16" t="str">
        <f>IFERROR(__xludf.DUMMYFUNCTION("""COMPUTED_VALUE"""),"")</f>
        <v/>
      </c>
      <c r="U14672" s="16" t="s">
        <v>87</v>
      </c>
      <c r="V14672" s="16" t="str">
        <f>IFERROR(__xludf.DUMMYFUNCTION("""COMPUTED_VALUE"""),"")</f>
        <v/>
      </c>
      <c r="W14672" s="16" t="str">
        <f>IFERROR(__xludf.DUMMYFUNCTION("""COMPUTED_VALUE"""),"")</f>
        <v/>
      </c>
      <c r="X14672" s="16" t="str">
        <f>IFERROR(__xludf.DUMMYFUNCTION("""COMPUTED_VALUE"""),"")</f>
        <v/>
      </c>
      <c r="AC14672" s="16" t="str">
        <f>IFERROR(__xludf.DUMMYFUNCTION("""COMPUTED_VALUE"""),"")</f>
        <v/>
      </c>
    </row>
    <row r="14673">
      <c r="A14673" s="16" t="s">
        <v>87</v>
      </c>
      <c r="E14673" s="16" t="str">
        <f>IFERROR(__xludf.DUMMYFUNCTION("""COMPUTED_VALUE"""),"")</f>
        <v/>
      </c>
      <c r="G14673" s="18"/>
      <c r="H14673" s="16" t="s">
        <v>87</v>
      </c>
      <c r="I14673" s="16" t="s">
        <v>87</v>
      </c>
      <c r="J14673" s="19"/>
      <c r="L14673" s="16" t="str">
        <f>IFERROR(__xludf.DUMMYFUNCTION("""COMPUTED_VALUE"""),"")</f>
        <v/>
      </c>
      <c r="M14673" s="16" t="str">
        <f>IFERROR(__xludf.DUMMYFUNCTION("""COMPUTED_VALUE"""),"")</f>
        <v/>
      </c>
      <c r="U14673" s="16" t="s">
        <v>87</v>
      </c>
      <c r="V14673" s="16" t="str">
        <f>IFERROR(__xludf.DUMMYFUNCTION("""COMPUTED_VALUE"""),"")</f>
        <v/>
      </c>
      <c r="W14673" s="16" t="str">
        <f>IFERROR(__xludf.DUMMYFUNCTION("""COMPUTED_VALUE"""),"")</f>
        <v/>
      </c>
      <c r="X14673" s="16" t="str">
        <f>IFERROR(__xludf.DUMMYFUNCTION("""COMPUTED_VALUE"""),"")</f>
        <v/>
      </c>
      <c r="AC14673" s="16" t="str">
        <f>IFERROR(__xludf.DUMMYFUNCTION("""COMPUTED_VALUE"""),"")</f>
        <v/>
      </c>
    </row>
    <row r="14674">
      <c r="A14674" s="16" t="s">
        <v>87</v>
      </c>
      <c r="E14674" s="16" t="str">
        <f>IFERROR(__xludf.DUMMYFUNCTION("""COMPUTED_VALUE"""),"")</f>
        <v/>
      </c>
      <c r="G14674" s="18"/>
      <c r="H14674" s="16" t="s">
        <v>87</v>
      </c>
      <c r="I14674" s="16" t="s">
        <v>87</v>
      </c>
      <c r="J14674" s="19"/>
      <c r="L14674" s="16" t="str">
        <f>IFERROR(__xludf.DUMMYFUNCTION("""COMPUTED_VALUE"""),"")</f>
        <v/>
      </c>
      <c r="M14674" s="16" t="str">
        <f>IFERROR(__xludf.DUMMYFUNCTION("""COMPUTED_VALUE"""),"")</f>
        <v/>
      </c>
      <c r="U14674" s="16" t="s">
        <v>87</v>
      </c>
      <c r="V14674" s="16" t="str">
        <f>IFERROR(__xludf.DUMMYFUNCTION("""COMPUTED_VALUE"""),"")</f>
        <v/>
      </c>
      <c r="W14674" s="16" t="str">
        <f>IFERROR(__xludf.DUMMYFUNCTION("""COMPUTED_VALUE"""),"")</f>
        <v/>
      </c>
      <c r="X14674" s="16" t="str">
        <f>IFERROR(__xludf.DUMMYFUNCTION("""COMPUTED_VALUE"""),"")</f>
        <v/>
      </c>
      <c r="AC14674" s="16" t="str">
        <f>IFERROR(__xludf.DUMMYFUNCTION("""COMPUTED_VALUE"""),"")</f>
        <v/>
      </c>
    </row>
    <row r="14675">
      <c r="A14675" s="16" t="s">
        <v>87</v>
      </c>
      <c r="E14675" s="16" t="str">
        <f>IFERROR(__xludf.DUMMYFUNCTION("""COMPUTED_VALUE"""),"")</f>
        <v/>
      </c>
      <c r="G14675" s="18"/>
      <c r="H14675" s="16" t="s">
        <v>87</v>
      </c>
      <c r="I14675" s="16" t="s">
        <v>87</v>
      </c>
      <c r="J14675" s="19"/>
      <c r="L14675" s="16" t="str">
        <f>IFERROR(__xludf.DUMMYFUNCTION("""COMPUTED_VALUE"""),"")</f>
        <v/>
      </c>
      <c r="M14675" s="16" t="str">
        <f>IFERROR(__xludf.DUMMYFUNCTION("""COMPUTED_VALUE"""),"")</f>
        <v/>
      </c>
      <c r="U14675" s="16" t="s">
        <v>87</v>
      </c>
      <c r="V14675" s="16" t="str">
        <f>IFERROR(__xludf.DUMMYFUNCTION("""COMPUTED_VALUE"""),"")</f>
        <v/>
      </c>
      <c r="W14675" s="16" t="str">
        <f>IFERROR(__xludf.DUMMYFUNCTION("""COMPUTED_VALUE"""),"")</f>
        <v/>
      </c>
      <c r="X14675" s="16" t="str">
        <f>IFERROR(__xludf.DUMMYFUNCTION("""COMPUTED_VALUE"""),"")</f>
        <v/>
      </c>
      <c r="AC14675" s="16" t="str">
        <f>IFERROR(__xludf.DUMMYFUNCTION("""COMPUTED_VALUE"""),"")</f>
        <v/>
      </c>
    </row>
    <row r="14676">
      <c r="A14676" s="16" t="s">
        <v>87</v>
      </c>
      <c r="E14676" s="16" t="str">
        <f>IFERROR(__xludf.DUMMYFUNCTION("""COMPUTED_VALUE"""),"")</f>
        <v/>
      </c>
      <c r="G14676" s="18"/>
      <c r="H14676" s="16" t="s">
        <v>87</v>
      </c>
      <c r="I14676" s="16" t="s">
        <v>87</v>
      </c>
      <c r="J14676" s="19"/>
      <c r="L14676" s="16" t="str">
        <f>IFERROR(__xludf.DUMMYFUNCTION("""COMPUTED_VALUE"""),"")</f>
        <v/>
      </c>
      <c r="M14676" s="16" t="str">
        <f>IFERROR(__xludf.DUMMYFUNCTION("""COMPUTED_VALUE"""),"")</f>
        <v/>
      </c>
      <c r="U14676" s="16" t="s">
        <v>87</v>
      </c>
      <c r="V14676" s="16" t="str">
        <f>IFERROR(__xludf.DUMMYFUNCTION("""COMPUTED_VALUE"""),"")</f>
        <v/>
      </c>
      <c r="W14676" s="16" t="str">
        <f>IFERROR(__xludf.DUMMYFUNCTION("""COMPUTED_VALUE"""),"")</f>
        <v/>
      </c>
      <c r="X14676" s="16" t="str">
        <f>IFERROR(__xludf.DUMMYFUNCTION("""COMPUTED_VALUE"""),"")</f>
        <v/>
      </c>
      <c r="AC14676" s="16" t="str">
        <f>IFERROR(__xludf.DUMMYFUNCTION("""COMPUTED_VALUE"""),"")</f>
        <v/>
      </c>
    </row>
    <row r="14677">
      <c r="A14677" s="16" t="s">
        <v>87</v>
      </c>
      <c r="E14677" s="16" t="str">
        <f>IFERROR(__xludf.DUMMYFUNCTION("""COMPUTED_VALUE"""),"")</f>
        <v/>
      </c>
      <c r="G14677" s="18"/>
      <c r="H14677" s="16" t="s">
        <v>87</v>
      </c>
      <c r="I14677" s="16" t="s">
        <v>87</v>
      </c>
      <c r="J14677" s="19"/>
      <c r="L14677" s="16" t="str">
        <f>IFERROR(__xludf.DUMMYFUNCTION("""COMPUTED_VALUE"""),"")</f>
        <v/>
      </c>
      <c r="M14677" s="16" t="str">
        <f>IFERROR(__xludf.DUMMYFUNCTION("""COMPUTED_VALUE"""),"")</f>
        <v/>
      </c>
      <c r="U14677" s="16" t="s">
        <v>87</v>
      </c>
      <c r="V14677" s="16" t="str">
        <f>IFERROR(__xludf.DUMMYFUNCTION("""COMPUTED_VALUE"""),"")</f>
        <v/>
      </c>
      <c r="W14677" s="16" t="str">
        <f>IFERROR(__xludf.DUMMYFUNCTION("""COMPUTED_VALUE"""),"")</f>
        <v/>
      </c>
      <c r="X14677" s="16" t="str">
        <f>IFERROR(__xludf.DUMMYFUNCTION("""COMPUTED_VALUE"""),"")</f>
        <v/>
      </c>
      <c r="AC14677" s="16" t="str">
        <f>IFERROR(__xludf.DUMMYFUNCTION("""COMPUTED_VALUE"""),"")</f>
        <v/>
      </c>
    </row>
    <row r="14678">
      <c r="A14678" s="16" t="s">
        <v>87</v>
      </c>
      <c r="E14678" s="16" t="str">
        <f>IFERROR(__xludf.DUMMYFUNCTION("""COMPUTED_VALUE"""),"")</f>
        <v/>
      </c>
      <c r="G14678" s="18"/>
      <c r="H14678" s="16" t="s">
        <v>87</v>
      </c>
      <c r="I14678" s="16" t="s">
        <v>87</v>
      </c>
      <c r="J14678" s="19"/>
      <c r="L14678" s="16" t="str">
        <f>IFERROR(__xludf.DUMMYFUNCTION("""COMPUTED_VALUE"""),"")</f>
        <v/>
      </c>
      <c r="M14678" s="16" t="str">
        <f>IFERROR(__xludf.DUMMYFUNCTION("""COMPUTED_VALUE"""),"")</f>
        <v/>
      </c>
      <c r="U14678" s="16" t="s">
        <v>87</v>
      </c>
      <c r="V14678" s="16" t="str">
        <f>IFERROR(__xludf.DUMMYFUNCTION("""COMPUTED_VALUE"""),"")</f>
        <v/>
      </c>
      <c r="W14678" s="16" t="str">
        <f>IFERROR(__xludf.DUMMYFUNCTION("""COMPUTED_VALUE"""),"")</f>
        <v/>
      </c>
      <c r="X14678" s="16" t="str">
        <f>IFERROR(__xludf.DUMMYFUNCTION("""COMPUTED_VALUE"""),"")</f>
        <v/>
      </c>
      <c r="AC14678" s="16" t="str">
        <f>IFERROR(__xludf.DUMMYFUNCTION("""COMPUTED_VALUE"""),"")</f>
        <v/>
      </c>
    </row>
    <row r="14679">
      <c r="A14679" s="16" t="s">
        <v>87</v>
      </c>
      <c r="E14679" s="16" t="str">
        <f>IFERROR(__xludf.DUMMYFUNCTION("""COMPUTED_VALUE"""),"")</f>
        <v/>
      </c>
      <c r="G14679" s="18"/>
      <c r="H14679" s="16" t="s">
        <v>87</v>
      </c>
      <c r="I14679" s="16" t="s">
        <v>87</v>
      </c>
      <c r="J14679" s="19"/>
      <c r="L14679" s="16" t="str">
        <f>IFERROR(__xludf.DUMMYFUNCTION("""COMPUTED_VALUE"""),"")</f>
        <v/>
      </c>
      <c r="M14679" s="16" t="str">
        <f>IFERROR(__xludf.DUMMYFUNCTION("""COMPUTED_VALUE"""),"")</f>
        <v/>
      </c>
      <c r="U14679" s="16" t="s">
        <v>87</v>
      </c>
      <c r="V14679" s="16" t="str">
        <f>IFERROR(__xludf.DUMMYFUNCTION("""COMPUTED_VALUE"""),"")</f>
        <v/>
      </c>
      <c r="W14679" s="16" t="str">
        <f>IFERROR(__xludf.DUMMYFUNCTION("""COMPUTED_VALUE"""),"")</f>
        <v/>
      </c>
      <c r="X14679" s="16" t="str">
        <f>IFERROR(__xludf.DUMMYFUNCTION("""COMPUTED_VALUE"""),"")</f>
        <v/>
      </c>
      <c r="AC14679" s="16" t="str">
        <f>IFERROR(__xludf.DUMMYFUNCTION("""COMPUTED_VALUE"""),"")</f>
        <v/>
      </c>
    </row>
    <row r="14680">
      <c r="A14680" s="16" t="s">
        <v>87</v>
      </c>
      <c r="E14680" s="16" t="str">
        <f>IFERROR(__xludf.DUMMYFUNCTION("""COMPUTED_VALUE"""),"")</f>
        <v/>
      </c>
      <c r="G14680" s="18"/>
      <c r="H14680" s="16" t="s">
        <v>87</v>
      </c>
      <c r="I14680" s="16" t="s">
        <v>87</v>
      </c>
      <c r="J14680" s="19"/>
      <c r="L14680" s="16" t="str">
        <f>IFERROR(__xludf.DUMMYFUNCTION("""COMPUTED_VALUE"""),"")</f>
        <v/>
      </c>
      <c r="M14680" s="16" t="str">
        <f>IFERROR(__xludf.DUMMYFUNCTION("""COMPUTED_VALUE"""),"")</f>
        <v/>
      </c>
      <c r="U14680" s="16" t="s">
        <v>87</v>
      </c>
      <c r="V14680" s="16" t="str">
        <f>IFERROR(__xludf.DUMMYFUNCTION("""COMPUTED_VALUE"""),"")</f>
        <v/>
      </c>
      <c r="W14680" s="16" t="str">
        <f>IFERROR(__xludf.DUMMYFUNCTION("""COMPUTED_VALUE"""),"")</f>
        <v/>
      </c>
      <c r="X14680" s="16" t="str">
        <f>IFERROR(__xludf.DUMMYFUNCTION("""COMPUTED_VALUE"""),"")</f>
        <v/>
      </c>
      <c r="AC14680" s="16" t="str">
        <f>IFERROR(__xludf.DUMMYFUNCTION("""COMPUTED_VALUE"""),"")</f>
        <v/>
      </c>
    </row>
    <row r="14681">
      <c r="A14681" s="16" t="s">
        <v>87</v>
      </c>
      <c r="E14681" s="16" t="str">
        <f>IFERROR(__xludf.DUMMYFUNCTION("""COMPUTED_VALUE"""),"")</f>
        <v/>
      </c>
      <c r="G14681" s="18"/>
      <c r="H14681" s="16" t="s">
        <v>87</v>
      </c>
      <c r="I14681" s="16" t="s">
        <v>87</v>
      </c>
      <c r="J14681" s="19"/>
      <c r="L14681" s="16" t="str">
        <f>IFERROR(__xludf.DUMMYFUNCTION("""COMPUTED_VALUE"""),"")</f>
        <v/>
      </c>
      <c r="M14681" s="16" t="str">
        <f>IFERROR(__xludf.DUMMYFUNCTION("""COMPUTED_VALUE"""),"")</f>
        <v/>
      </c>
      <c r="U14681" s="16" t="s">
        <v>87</v>
      </c>
      <c r="V14681" s="16" t="str">
        <f>IFERROR(__xludf.DUMMYFUNCTION("""COMPUTED_VALUE"""),"")</f>
        <v/>
      </c>
      <c r="W14681" s="16" t="str">
        <f>IFERROR(__xludf.DUMMYFUNCTION("""COMPUTED_VALUE"""),"")</f>
        <v/>
      </c>
      <c r="X14681" s="16" t="str">
        <f>IFERROR(__xludf.DUMMYFUNCTION("""COMPUTED_VALUE"""),"")</f>
        <v/>
      </c>
      <c r="AC14681" s="16" t="str">
        <f>IFERROR(__xludf.DUMMYFUNCTION("""COMPUTED_VALUE"""),"")</f>
        <v/>
      </c>
    </row>
    <row r="14682">
      <c r="A14682" s="16" t="s">
        <v>87</v>
      </c>
      <c r="E14682" s="16" t="str">
        <f>IFERROR(__xludf.DUMMYFUNCTION("""COMPUTED_VALUE"""),"")</f>
        <v/>
      </c>
      <c r="G14682" s="18"/>
      <c r="H14682" s="16" t="s">
        <v>87</v>
      </c>
      <c r="I14682" s="16" t="s">
        <v>87</v>
      </c>
      <c r="J14682" s="19"/>
      <c r="L14682" s="16" t="str">
        <f>IFERROR(__xludf.DUMMYFUNCTION("""COMPUTED_VALUE"""),"")</f>
        <v/>
      </c>
      <c r="M14682" s="16" t="str">
        <f>IFERROR(__xludf.DUMMYFUNCTION("""COMPUTED_VALUE"""),"")</f>
        <v/>
      </c>
      <c r="U14682" s="16" t="s">
        <v>87</v>
      </c>
      <c r="V14682" s="16" t="str">
        <f>IFERROR(__xludf.DUMMYFUNCTION("""COMPUTED_VALUE"""),"")</f>
        <v/>
      </c>
      <c r="W14682" s="16" t="str">
        <f>IFERROR(__xludf.DUMMYFUNCTION("""COMPUTED_VALUE"""),"")</f>
        <v/>
      </c>
      <c r="X14682" s="16" t="str">
        <f>IFERROR(__xludf.DUMMYFUNCTION("""COMPUTED_VALUE"""),"")</f>
        <v/>
      </c>
      <c r="AC14682" s="16" t="str">
        <f>IFERROR(__xludf.DUMMYFUNCTION("""COMPUTED_VALUE"""),"")</f>
        <v/>
      </c>
    </row>
    <row r="14683">
      <c r="A14683" s="16" t="s">
        <v>87</v>
      </c>
      <c r="E14683" s="16" t="str">
        <f>IFERROR(__xludf.DUMMYFUNCTION("""COMPUTED_VALUE"""),"")</f>
        <v/>
      </c>
      <c r="G14683" s="18"/>
      <c r="H14683" s="16" t="s">
        <v>87</v>
      </c>
      <c r="I14683" s="16" t="s">
        <v>87</v>
      </c>
      <c r="J14683" s="19"/>
      <c r="L14683" s="16" t="str">
        <f>IFERROR(__xludf.DUMMYFUNCTION("""COMPUTED_VALUE"""),"")</f>
        <v/>
      </c>
      <c r="M14683" s="16" t="str">
        <f>IFERROR(__xludf.DUMMYFUNCTION("""COMPUTED_VALUE"""),"")</f>
        <v/>
      </c>
      <c r="U14683" s="16" t="s">
        <v>87</v>
      </c>
      <c r="V14683" s="16" t="str">
        <f>IFERROR(__xludf.DUMMYFUNCTION("""COMPUTED_VALUE"""),"")</f>
        <v/>
      </c>
      <c r="W14683" s="16" t="str">
        <f>IFERROR(__xludf.DUMMYFUNCTION("""COMPUTED_VALUE"""),"")</f>
        <v/>
      </c>
      <c r="X14683" s="16" t="str">
        <f>IFERROR(__xludf.DUMMYFUNCTION("""COMPUTED_VALUE"""),"")</f>
        <v/>
      </c>
      <c r="AC14683" s="16" t="str">
        <f>IFERROR(__xludf.DUMMYFUNCTION("""COMPUTED_VALUE"""),"")</f>
        <v/>
      </c>
    </row>
    <row r="14684">
      <c r="A14684" s="16" t="s">
        <v>87</v>
      </c>
      <c r="E14684" s="16" t="str">
        <f>IFERROR(__xludf.DUMMYFUNCTION("""COMPUTED_VALUE"""),"")</f>
        <v/>
      </c>
      <c r="G14684" s="18"/>
      <c r="H14684" s="16" t="s">
        <v>87</v>
      </c>
      <c r="I14684" s="16" t="s">
        <v>87</v>
      </c>
      <c r="J14684" s="19"/>
      <c r="L14684" s="16" t="str">
        <f>IFERROR(__xludf.DUMMYFUNCTION("""COMPUTED_VALUE"""),"")</f>
        <v/>
      </c>
      <c r="M14684" s="16" t="str">
        <f>IFERROR(__xludf.DUMMYFUNCTION("""COMPUTED_VALUE"""),"")</f>
        <v/>
      </c>
      <c r="U14684" s="16" t="s">
        <v>87</v>
      </c>
      <c r="V14684" s="16" t="str">
        <f>IFERROR(__xludf.DUMMYFUNCTION("""COMPUTED_VALUE"""),"")</f>
        <v/>
      </c>
      <c r="W14684" s="16" t="str">
        <f>IFERROR(__xludf.DUMMYFUNCTION("""COMPUTED_VALUE"""),"")</f>
        <v/>
      </c>
      <c r="X14684" s="16" t="str">
        <f>IFERROR(__xludf.DUMMYFUNCTION("""COMPUTED_VALUE"""),"")</f>
        <v/>
      </c>
      <c r="AC14684" s="16" t="str">
        <f>IFERROR(__xludf.DUMMYFUNCTION("""COMPUTED_VALUE"""),"")</f>
        <v/>
      </c>
    </row>
    <row r="14685">
      <c r="A14685" s="16" t="s">
        <v>87</v>
      </c>
      <c r="E14685" s="16" t="str">
        <f>IFERROR(__xludf.DUMMYFUNCTION("""COMPUTED_VALUE"""),"")</f>
        <v/>
      </c>
      <c r="G14685" s="18"/>
      <c r="H14685" s="16" t="s">
        <v>87</v>
      </c>
      <c r="I14685" s="16" t="s">
        <v>87</v>
      </c>
      <c r="J14685" s="19"/>
      <c r="L14685" s="16" t="str">
        <f>IFERROR(__xludf.DUMMYFUNCTION("""COMPUTED_VALUE"""),"")</f>
        <v/>
      </c>
      <c r="M14685" s="16" t="str">
        <f>IFERROR(__xludf.DUMMYFUNCTION("""COMPUTED_VALUE"""),"")</f>
        <v/>
      </c>
      <c r="U14685" s="16" t="s">
        <v>87</v>
      </c>
      <c r="V14685" s="16" t="str">
        <f>IFERROR(__xludf.DUMMYFUNCTION("""COMPUTED_VALUE"""),"")</f>
        <v/>
      </c>
      <c r="W14685" s="16" t="str">
        <f>IFERROR(__xludf.DUMMYFUNCTION("""COMPUTED_VALUE"""),"")</f>
        <v/>
      </c>
      <c r="X14685" s="16" t="str">
        <f>IFERROR(__xludf.DUMMYFUNCTION("""COMPUTED_VALUE"""),"")</f>
        <v/>
      </c>
      <c r="AC14685" s="16" t="str">
        <f>IFERROR(__xludf.DUMMYFUNCTION("""COMPUTED_VALUE"""),"")</f>
        <v/>
      </c>
    </row>
    <row r="14686">
      <c r="A14686" s="16" t="s">
        <v>87</v>
      </c>
      <c r="E14686" s="16" t="str">
        <f>IFERROR(__xludf.DUMMYFUNCTION("""COMPUTED_VALUE"""),"")</f>
        <v/>
      </c>
      <c r="G14686" s="18"/>
      <c r="H14686" s="16" t="s">
        <v>87</v>
      </c>
      <c r="I14686" s="16" t="s">
        <v>87</v>
      </c>
      <c r="J14686" s="19"/>
      <c r="L14686" s="16" t="str">
        <f>IFERROR(__xludf.DUMMYFUNCTION("""COMPUTED_VALUE"""),"")</f>
        <v/>
      </c>
      <c r="M14686" s="16" t="str">
        <f>IFERROR(__xludf.DUMMYFUNCTION("""COMPUTED_VALUE"""),"")</f>
        <v/>
      </c>
      <c r="U14686" s="16" t="s">
        <v>87</v>
      </c>
      <c r="V14686" s="16" t="str">
        <f>IFERROR(__xludf.DUMMYFUNCTION("""COMPUTED_VALUE"""),"")</f>
        <v/>
      </c>
      <c r="W14686" s="16" t="str">
        <f>IFERROR(__xludf.DUMMYFUNCTION("""COMPUTED_VALUE"""),"")</f>
        <v/>
      </c>
      <c r="X14686" s="16" t="str">
        <f>IFERROR(__xludf.DUMMYFUNCTION("""COMPUTED_VALUE"""),"")</f>
        <v/>
      </c>
      <c r="AC14686" s="16" t="str">
        <f>IFERROR(__xludf.DUMMYFUNCTION("""COMPUTED_VALUE"""),"")</f>
        <v/>
      </c>
    </row>
    <row r="14687">
      <c r="A14687" s="16" t="s">
        <v>87</v>
      </c>
      <c r="E14687" s="16" t="str">
        <f>IFERROR(__xludf.DUMMYFUNCTION("""COMPUTED_VALUE"""),"")</f>
        <v/>
      </c>
      <c r="G14687" s="18"/>
      <c r="H14687" s="16" t="s">
        <v>87</v>
      </c>
      <c r="I14687" s="16" t="s">
        <v>87</v>
      </c>
      <c r="J14687" s="19"/>
      <c r="L14687" s="16" t="str">
        <f>IFERROR(__xludf.DUMMYFUNCTION("""COMPUTED_VALUE"""),"")</f>
        <v/>
      </c>
      <c r="M14687" s="16" t="str">
        <f>IFERROR(__xludf.DUMMYFUNCTION("""COMPUTED_VALUE"""),"")</f>
        <v/>
      </c>
      <c r="U14687" s="16" t="s">
        <v>87</v>
      </c>
      <c r="V14687" s="16" t="str">
        <f>IFERROR(__xludf.DUMMYFUNCTION("""COMPUTED_VALUE"""),"")</f>
        <v/>
      </c>
      <c r="W14687" s="16" t="str">
        <f>IFERROR(__xludf.DUMMYFUNCTION("""COMPUTED_VALUE"""),"")</f>
        <v/>
      </c>
      <c r="X14687" s="16" t="str">
        <f>IFERROR(__xludf.DUMMYFUNCTION("""COMPUTED_VALUE"""),"")</f>
        <v/>
      </c>
      <c r="AC14687" s="16" t="str">
        <f>IFERROR(__xludf.DUMMYFUNCTION("""COMPUTED_VALUE"""),"")</f>
        <v/>
      </c>
    </row>
    <row r="14688">
      <c r="A14688" s="16" t="s">
        <v>87</v>
      </c>
      <c r="E14688" s="16" t="str">
        <f>IFERROR(__xludf.DUMMYFUNCTION("""COMPUTED_VALUE"""),"")</f>
        <v/>
      </c>
      <c r="G14688" s="18"/>
      <c r="H14688" s="16" t="s">
        <v>87</v>
      </c>
      <c r="I14688" s="16" t="s">
        <v>87</v>
      </c>
      <c r="J14688" s="19"/>
      <c r="L14688" s="16" t="str">
        <f>IFERROR(__xludf.DUMMYFUNCTION("""COMPUTED_VALUE"""),"")</f>
        <v/>
      </c>
      <c r="M14688" s="16" t="str">
        <f>IFERROR(__xludf.DUMMYFUNCTION("""COMPUTED_VALUE"""),"")</f>
        <v/>
      </c>
      <c r="U14688" s="16" t="s">
        <v>87</v>
      </c>
      <c r="V14688" s="16" t="str">
        <f>IFERROR(__xludf.DUMMYFUNCTION("""COMPUTED_VALUE"""),"")</f>
        <v/>
      </c>
      <c r="W14688" s="16" t="str">
        <f>IFERROR(__xludf.DUMMYFUNCTION("""COMPUTED_VALUE"""),"")</f>
        <v/>
      </c>
      <c r="X14688" s="16" t="str">
        <f>IFERROR(__xludf.DUMMYFUNCTION("""COMPUTED_VALUE"""),"")</f>
        <v/>
      </c>
      <c r="AC14688" s="16" t="str">
        <f>IFERROR(__xludf.DUMMYFUNCTION("""COMPUTED_VALUE"""),"")</f>
        <v/>
      </c>
    </row>
    <row r="14689">
      <c r="A14689" s="16" t="s">
        <v>87</v>
      </c>
      <c r="E14689" s="16" t="str">
        <f>IFERROR(__xludf.DUMMYFUNCTION("""COMPUTED_VALUE"""),"")</f>
        <v/>
      </c>
      <c r="G14689" s="18"/>
      <c r="H14689" s="16" t="s">
        <v>87</v>
      </c>
      <c r="I14689" s="16" t="s">
        <v>87</v>
      </c>
      <c r="J14689" s="19"/>
      <c r="L14689" s="16" t="str">
        <f>IFERROR(__xludf.DUMMYFUNCTION("""COMPUTED_VALUE"""),"")</f>
        <v/>
      </c>
      <c r="M14689" s="16" t="str">
        <f>IFERROR(__xludf.DUMMYFUNCTION("""COMPUTED_VALUE"""),"")</f>
        <v/>
      </c>
      <c r="U14689" s="16" t="s">
        <v>87</v>
      </c>
      <c r="V14689" s="16" t="str">
        <f>IFERROR(__xludf.DUMMYFUNCTION("""COMPUTED_VALUE"""),"")</f>
        <v/>
      </c>
      <c r="W14689" s="16" t="str">
        <f>IFERROR(__xludf.DUMMYFUNCTION("""COMPUTED_VALUE"""),"")</f>
        <v/>
      </c>
      <c r="X14689" s="16" t="str">
        <f>IFERROR(__xludf.DUMMYFUNCTION("""COMPUTED_VALUE"""),"")</f>
        <v/>
      </c>
      <c r="AC14689" s="16" t="str">
        <f>IFERROR(__xludf.DUMMYFUNCTION("""COMPUTED_VALUE"""),"")</f>
        <v/>
      </c>
    </row>
    <row r="14690">
      <c r="A14690" s="16" t="s">
        <v>87</v>
      </c>
      <c r="E14690" s="16" t="str">
        <f>IFERROR(__xludf.DUMMYFUNCTION("""COMPUTED_VALUE"""),"")</f>
        <v/>
      </c>
      <c r="G14690" s="18"/>
      <c r="H14690" s="16" t="s">
        <v>87</v>
      </c>
      <c r="I14690" s="16" t="s">
        <v>87</v>
      </c>
      <c r="J14690" s="19"/>
      <c r="L14690" s="16" t="str">
        <f>IFERROR(__xludf.DUMMYFUNCTION("""COMPUTED_VALUE"""),"")</f>
        <v/>
      </c>
      <c r="M14690" s="16" t="str">
        <f>IFERROR(__xludf.DUMMYFUNCTION("""COMPUTED_VALUE"""),"")</f>
        <v/>
      </c>
      <c r="U14690" s="16" t="s">
        <v>87</v>
      </c>
      <c r="V14690" s="16" t="str">
        <f>IFERROR(__xludf.DUMMYFUNCTION("""COMPUTED_VALUE"""),"")</f>
        <v/>
      </c>
      <c r="W14690" s="16" t="str">
        <f>IFERROR(__xludf.DUMMYFUNCTION("""COMPUTED_VALUE"""),"")</f>
        <v/>
      </c>
      <c r="X14690" s="16" t="str">
        <f>IFERROR(__xludf.DUMMYFUNCTION("""COMPUTED_VALUE"""),"")</f>
        <v/>
      </c>
      <c r="AC14690" s="16" t="str">
        <f>IFERROR(__xludf.DUMMYFUNCTION("""COMPUTED_VALUE"""),"")</f>
        <v/>
      </c>
    </row>
    <row r="14691">
      <c r="A14691" s="16" t="s">
        <v>87</v>
      </c>
      <c r="E14691" s="16" t="str">
        <f>IFERROR(__xludf.DUMMYFUNCTION("""COMPUTED_VALUE"""),"")</f>
        <v/>
      </c>
      <c r="G14691" s="18"/>
      <c r="H14691" s="16" t="s">
        <v>87</v>
      </c>
      <c r="I14691" s="16" t="s">
        <v>87</v>
      </c>
      <c r="J14691" s="19"/>
      <c r="L14691" s="16" t="str">
        <f>IFERROR(__xludf.DUMMYFUNCTION("""COMPUTED_VALUE"""),"")</f>
        <v/>
      </c>
      <c r="M14691" s="16" t="str">
        <f>IFERROR(__xludf.DUMMYFUNCTION("""COMPUTED_VALUE"""),"")</f>
        <v/>
      </c>
      <c r="U14691" s="16" t="s">
        <v>87</v>
      </c>
      <c r="V14691" s="16" t="str">
        <f>IFERROR(__xludf.DUMMYFUNCTION("""COMPUTED_VALUE"""),"")</f>
        <v/>
      </c>
      <c r="W14691" s="16" t="str">
        <f>IFERROR(__xludf.DUMMYFUNCTION("""COMPUTED_VALUE"""),"")</f>
        <v/>
      </c>
      <c r="X14691" s="16" t="str">
        <f>IFERROR(__xludf.DUMMYFUNCTION("""COMPUTED_VALUE"""),"")</f>
        <v/>
      </c>
      <c r="AC14691" s="16" t="str">
        <f>IFERROR(__xludf.DUMMYFUNCTION("""COMPUTED_VALUE"""),"")</f>
        <v/>
      </c>
    </row>
    <row r="14692">
      <c r="A14692" s="16" t="s">
        <v>87</v>
      </c>
      <c r="E14692" s="16" t="str">
        <f>IFERROR(__xludf.DUMMYFUNCTION("""COMPUTED_VALUE"""),"")</f>
        <v/>
      </c>
      <c r="G14692" s="18"/>
      <c r="H14692" s="16" t="s">
        <v>87</v>
      </c>
      <c r="I14692" s="16" t="s">
        <v>87</v>
      </c>
      <c r="J14692" s="19"/>
      <c r="L14692" s="16" t="str">
        <f>IFERROR(__xludf.DUMMYFUNCTION("""COMPUTED_VALUE"""),"")</f>
        <v/>
      </c>
      <c r="M14692" s="16" t="str">
        <f>IFERROR(__xludf.DUMMYFUNCTION("""COMPUTED_VALUE"""),"")</f>
        <v/>
      </c>
      <c r="U14692" s="16" t="s">
        <v>87</v>
      </c>
      <c r="V14692" s="16" t="str">
        <f>IFERROR(__xludf.DUMMYFUNCTION("""COMPUTED_VALUE"""),"")</f>
        <v/>
      </c>
      <c r="W14692" s="16" t="str">
        <f>IFERROR(__xludf.DUMMYFUNCTION("""COMPUTED_VALUE"""),"")</f>
        <v/>
      </c>
      <c r="X14692" s="16" t="str">
        <f>IFERROR(__xludf.DUMMYFUNCTION("""COMPUTED_VALUE"""),"")</f>
        <v/>
      </c>
      <c r="AC14692" s="16" t="str">
        <f>IFERROR(__xludf.DUMMYFUNCTION("""COMPUTED_VALUE"""),"")</f>
        <v/>
      </c>
    </row>
    <row r="14693">
      <c r="A14693" s="16" t="s">
        <v>87</v>
      </c>
      <c r="E14693" s="16" t="str">
        <f>IFERROR(__xludf.DUMMYFUNCTION("""COMPUTED_VALUE"""),"")</f>
        <v/>
      </c>
      <c r="G14693" s="18"/>
      <c r="H14693" s="16" t="s">
        <v>87</v>
      </c>
      <c r="I14693" s="16" t="s">
        <v>87</v>
      </c>
      <c r="J14693" s="19"/>
      <c r="L14693" s="16" t="str">
        <f>IFERROR(__xludf.DUMMYFUNCTION("""COMPUTED_VALUE"""),"")</f>
        <v/>
      </c>
      <c r="M14693" s="16" t="str">
        <f>IFERROR(__xludf.DUMMYFUNCTION("""COMPUTED_VALUE"""),"")</f>
        <v/>
      </c>
      <c r="U14693" s="16" t="s">
        <v>87</v>
      </c>
      <c r="V14693" s="16" t="str">
        <f>IFERROR(__xludf.DUMMYFUNCTION("""COMPUTED_VALUE"""),"")</f>
        <v/>
      </c>
      <c r="W14693" s="16" t="str">
        <f>IFERROR(__xludf.DUMMYFUNCTION("""COMPUTED_VALUE"""),"")</f>
        <v/>
      </c>
      <c r="X14693" s="16" t="str">
        <f>IFERROR(__xludf.DUMMYFUNCTION("""COMPUTED_VALUE"""),"")</f>
        <v/>
      </c>
      <c r="AC14693" s="16" t="str">
        <f>IFERROR(__xludf.DUMMYFUNCTION("""COMPUTED_VALUE"""),"")</f>
        <v/>
      </c>
    </row>
    <row r="14694">
      <c r="A14694" s="16" t="s">
        <v>87</v>
      </c>
      <c r="E14694" s="16" t="str">
        <f>IFERROR(__xludf.DUMMYFUNCTION("""COMPUTED_VALUE"""),"")</f>
        <v/>
      </c>
      <c r="G14694" s="18"/>
      <c r="H14694" s="16" t="s">
        <v>87</v>
      </c>
      <c r="I14694" s="16" t="s">
        <v>87</v>
      </c>
      <c r="J14694" s="19"/>
      <c r="L14694" s="16" t="str">
        <f>IFERROR(__xludf.DUMMYFUNCTION("""COMPUTED_VALUE"""),"")</f>
        <v/>
      </c>
      <c r="M14694" s="16" t="str">
        <f>IFERROR(__xludf.DUMMYFUNCTION("""COMPUTED_VALUE"""),"")</f>
        <v/>
      </c>
      <c r="U14694" s="16" t="s">
        <v>87</v>
      </c>
      <c r="V14694" s="16" t="str">
        <f>IFERROR(__xludf.DUMMYFUNCTION("""COMPUTED_VALUE"""),"")</f>
        <v/>
      </c>
      <c r="W14694" s="16" t="str">
        <f>IFERROR(__xludf.DUMMYFUNCTION("""COMPUTED_VALUE"""),"")</f>
        <v/>
      </c>
      <c r="X14694" s="16" t="str">
        <f>IFERROR(__xludf.DUMMYFUNCTION("""COMPUTED_VALUE"""),"")</f>
        <v/>
      </c>
      <c r="AC14694" s="16" t="str">
        <f>IFERROR(__xludf.DUMMYFUNCTION("""COMPUTED_VALUE"""),"")</f>
        <v/>
      </c>
    </row>
    <row r="14695">
      <c r="A14695" s="16" t="s">
        <v>87</v>
      </c>
      <c r="E14695" s="16" t="str">
        <f>IFERROR(__xludf.DUMMYFUNCTION("""COMPUTED_VALUE"""),"")</f>
        <v/>
      </c>
      <c r="G14695" s="18"/>
      <c r="H14695" s="16" t="s">
        <v>87</v>
      </c>
      <c r="I14695" s="16" t="s">
        <v>87</v>
      </c>
      <c r="J14695" s="19"/>
      <c r="L14695" s="16" t="str">
        <f>IFERROR(__xludf.DUMMYFUNCTION("""COMPUTED_VALUE"""),"")</f>
        <v/>
      </c>
      <c r="M14695" s="16" t="str">
        <f>IFERROR(__xludf.DUMMYFUNCTION("""COMPUTED_VALUE"""),"")</f>
        <v/>
      </c>
      <c r="U14695" s="16" t="s">
        <v>87</v>
      </c>
      <c r="V14695" s="16" t="str">
        <f>IFERROR(__xludf.DUMMYFUNCTION("""COMPUTED_VALUE"""),"")</f>
        <v/>
      </c>
      <c r="W14695" s="16" t="str">
        <f>IFERROR(__xludf.DUMMYFUNCTION("""COMPUTED_VALUE"""),"")</f>
        <v/>
      </c>
      <c r="X14695" s="16" t="str">
        <f>IFERROR(__xludf.DUMMYFUNCTION("""COMPUTED_VALUE"""),"")</f>
        <v/>
      </c>
      <c r="AC14695" s="16" t="str">
        <f>IFERROR(__xludf.DUMMYFUNCTION("""COMPUTED_VALUE"""),"")</f>
        <v/>
      </c>
    </row>
    <row r="14696">
      <c r="A14696" s="16" t="s">
        <v>87</v>
      </c>
      <c r="E14696" s="16" t="str">
        <f>IFERROR(__xludf.DUMMYFUNCTION("""COMPUTED_VALUE"""),"")</f>
        <v/>
      </c>
      <c r="G14696" s="18"/>
      <c r="H14696" s="16" t="s">
        <v>87</v>
      </c>
      <c r="I14696" s="16" t="s">
        <v>87</v>
      </c>
      <c r="J14696" s="19"/>
      <c r="L14696" s="16" t="str">
        <f>IFERROR(__xludf.DUMMYFUNCTION("""COMPUTED_VALUE"""),"")</f>
        <v/>
      </c>
      <c r="M14696" s="16" t="str">
        <f>IFERROR(__xludf.DUMMYFUNCTION("""COMPUTED_VALUE"""),"")</f>
        <v/>
      </c>
      <c r="U14696" s="16" t="s">
        <v>87</v>
      </c>
      <c r="V14696" s="16" t="str">
        <f>IFERROR(__xludf.DUMMYFUNCTION("""COMPUTED_VALUE"""),"")</f>
        <v/>
      </c>
      <c r="W14696" s="16" t="str">
        <f>IFERROR(__xludf.DUMMYFUNCTION("""COMPUTED_VALUE"""),"")</f>
        <v/>
      </c>
      <c r="X14696" s="16" t="str">
        <f>IFERROR(__xludf.DUMMYFUNCTION("""COMPUTED_VALUE"""),"")</f>
        <v/>
      </c>
      <c r="AC14696" s="16" t="str">
        <f>IFERROR(__xludf.DUMMYFUNCTION("""COMPUTED_VALUE"""),"")</f>
        <v/>
      </c>
    </row>
    <row r="14697">
      <c r="A14697" s="16" t="s">
        <v>87</v>
      </c>
      <c r="E14697" s="16" t="str">
        <f>IFERROR(__xludf.DUMMYFUNCTION("""COMPUTED_VALUE"""),"")</f>
        <v/>
      </c>
      <c r="G14697" s="18"/>
      <c r="H14697" s="16" t="s">
        <v>87</v>
      </c>
      <c r="I14697" s="16" t="s">
        <v>87</v>
      </c>
      <c r="J14697" s="19"/>
      <c r="L14697" s="16" t="str">
        <f>IFERROR(__xludf.DUMMYFUNCTION("""COMPUTED_VALUE"""),"")</f>
        <v/>
      </c>
      <c r="M14697" s="16" t="str">
        <f>IFERROR(__xludf.DUMMYFUNCTION("""COMPUTED_VALUE"""),"")</f>
        <v/>
      </c>
      <c r="U14697" s="16" t="s">
        <v>87</v>
      </c>
      <c r="V14697" s="16" t="str">
        <f>IFERROR(__xludf.DUMMYFUNCTION("""COMPUTED_VALUE"""),"")</f>
        <v/>
      </c>
      <c r="W14697" s="16" t="str">
        <f>IFERROR(__xludf.DUMMYFUNCTION("""COMPUTED_VALUE"""),"")</f>
        <v/>
      </c>
      <c r="X14697" s="16" t="str">
        <f>IFERROR(__xludf.DUMMYFUNCTION("""COMPUTED_VALUE"""),"")</f>
        <v/>
      </c>
      <c r="AC14697" s="16" t="str">
        <f>IFERROR(__xludf.DUMMYFUNCTION("""COMPUTED_VALUE"""),"")</f>
        <v/>
      </c>
    </row>
    <row r="14698">
      <c r="A14698" s="16" t="s">
        <v>87</v>
      </c>
      <c r="E14698" s="16" t="str">
        <f>IFERROR(__xludf.DUMMYFUNCTION("""COMPUTED_VALUE"""),"")</f>
        <v/>
      </c>
      <c r="G14698" s="18"/>
      <c r="H14698" s="16" t="s">
        <v>87</v>
      </c>
      <c r="I14698" s="16" t="s">
        <v>87</v>
      </c>
      <c r="J14698" s="19"/>
      <c r="L14698" s="16" t="str">
        <f>IFERROR(__xludf.DUMMYFUNCTION("""COMPUTED_VALUE"""),"")</f>
        <v/>
      </c>
      <c r="M14698" s="16" t="str">
        <f>IFERROR(__xludf.DUMMYFUNCTION("""COMPUTED_VALUE"""),"")</f>
        <v/>
      </c>
      <c r="U14698" s="16" t="s">
        <v>87</v>
      </c>
      <c r="V14698" s="16" t="str">
        <f>IFERROR(__xludf.DUMMYFUNCTION("""COMPUTED_VALUE"""),"")</f>
        <v/>
      </c>
      <c r="W14698" s="16" t="str">
        <f>IFERROR(__xludf.DUMMYFUNCTION("""COMPUTED_VALUE"""),"")</f>
        <v/>
      </c>
      <c r="X14698" s="16" t="str">
        <f>IFERROR(__xludf.DUMMYFUNCTION("""COMPUTED_VALUE"""),"")</f>
        <v/>
      </c>
      <c r="AC14698" s="16" t="str">
        <f>IFERROR(__xludf.DUMMYFUNCTION("""COMPUTED_VALUE"""),"")</f>
        <v/>
      </c>
    </row>
    <row r="14699">
      <c r="A14699" s="16" t="s">
        <v>87</v>
      </c>
      <c r="E14699" s="16" t="str">
        <f>IFERROR(__xludf.DUMMYFUNCTION("""COMPUTED_VALUE"""),"")</f>
        <v/>
      </c>
      <c r="G14699" s="18"/>
      <c r="H14699" s="16" t="s">
        <v>87</v>
      </c>
      <c r="I14699" s="16" t="s">
        <v>87</v>
      </c>
      <c r="J14699" s="19"/>
      <c r="L14699" s="16" t="str">
        <f>IFERROR(__xludf.DUMMYFUNCTION("""COMPUTED_VALUE"""),"")</f>
        <v/>
      </c>
      <c r="M14699" s="16" t="str">
        <f>IFERROR(__xludf.DUMMYFUNCTION("""COMPUTED_VALUE"""),"")</f>
        <v/>
      </c>
      <c r="U14699" s="16" t="s">
        <v>87</v>
      </c>
      <c r="V14699" s="16" t="str">
        <f>IFERROR(__xludf.DUMMYFUNCTION("""COMPUTED_VALUE"""),"")</f>
        <v/>
      </c>
      <c r="W14699" s="16" t="str">
        <f>IFERROR(__xludf.DUMMYFUNCTION("""COMPUTED_VALUE"""),"")</f>
        <v/>
      </c>
      <c r="X14699" s="16" t="str">
        <f>IFERROR(__xludf.DUMMYFUNCTION("""COMPUTED_VALUE"""),"")</f>
        <v/>
      </c>
      <c r="AC14699" s="16" t="str">
        <f>IFERROR(__xludf.DUMMYFUNCTION("""COMPUTED_VALUE"""),"")</f>
        <v/>
      </c>
    </row>
    <row r="14700">
      <c r="A14700" s="16" t="s">
        <v>87</v>
      </c>
      <c r="E14700" s="16" t="str">
        <f>IFERROR(__xludf.DUMMYFUNCTION("""COMPUTED_VALUE"""),"")</f>
        <v/>
      </c>
      <c r="G14700" s="18"/>
      <c r="H14700" s="16" t="s">
        <v>87</v>
      </c>
      <c r="I14700" s="16" t="s">
        <v>87</v>
      </c>
      <c r="J14700" s="19"/>
      <c r="L14700" s="16" t="str">
        <f>IFERROR(__xludf.DUMMYFUNCTION("""COMPUTED_VALUE"""),"")</f>
        <v/>
      </c>
      <c r="M14700" s="16" t="str">
        <f>IFERROR(__xludf.DUMMYFUNCTION("""COMPUTED_VALUE"""),"")</f>
        <v/>
      </c>
      <c r="U14700" s="16" t="s">
        <v>87</v>
      </c>
      <c r="V14700" s="16" t="str">
        <f>IFERROR(__xludf.DUMMYFUNCTION("""COMPUTED_VALUE"""),"")</f>
        <v/>
      </c>
      <c r="W14700" s="16" t="str">
        <f>IFERROR(__xludf.DUMMYFUNCTION("""COMPUTED_VALUE"""),"")</f>
        <v/>
      </c>
      <c r="X14700" s="16" t="str">
        <f>IFERROR(__xludf.DUMMYFUNCTION("""COMPUTED_VALUE"""),"")</f>
        <v/>
      </c>
      <c r="AC14700" s="16" t="str">
        <f>IFERROR(__xludf.DUMMYFUNCTION("""COMPUTED_VALUE"""),"")</f>
        <v/>
      </c>
    </row>
    <row r="14701">
      <c r="A14701" s="16" t="s">
        <v>87</v>
      </c>
      <c r="E14701" s="16" t="str">
        <f>IFERROR(__xludf.DUMMYFUNCTION("""COMPUTED_VALUE"""),"")</f>
        <v/>
      </c>
      <c r="G14701" s="18"/>
      <c r="H14701" s="16" t="s">
        <v>87</v>
      </c>
      <c r="I14701" s="16" t="s">
        <v>87</v>
      </c>
      <c r="J14701" s="19"/>
      <c r="L14701" s="16" t="str">
        <f>IFERROR(__xludf.DUMMYFUNCTION("""COMPUTED_VALUE"""),"")</f>
        <v/>
      </c>
      <c r="M14701" s="16" t="str">
        <f>IFERROR(__xludf.DUMMYFUNCTION("""COMPUTED_VALUE"""),"")</f>
        <v/>
      </c>
      <c r="U14701" s="16" t="s">
        <v>87</v>
      </c>
      <c r="V14701" s="16" t="str">
        <f>IFERROR(__xludf.DUMMYFUNCTION("""COMPUTED_VALUE"""),"")</f>
        <v/>
      </c>
      <c r="W14701" s="16" t="str">
        <f>IFERROR(__xludf.DUMMYFUNCTION("""COMPUTED_VALUE"""),"")</f>
        <v/>
      </c>
      <c r="X14701" s="16" t="str">
        <f>IFERROR(__xludf.DUMMYFUNCTION("""COMPUTED_VALUE"""),"")</f>
        <v/>
      </c>
      <c r="AC14701" s="16" t="str">
        <f>IFERROR(__xludf.DUMMYFUNCTION("""COMPUTED_VALUE"""),"")</f>
        <v/>
      </c>
    </row>
    <row r="14702">
      <c r="A14702" s="16" t="s">
        <v>87</v>
      </c>
      <c r="E14702" s="16" t="str">
        <f>IFERROR(__xludf.DUMMYFUNCTION("""COMPUTED_VALUE"""),"")</f>
        <v/>
      </c>
      <c r="G14702" s="18"/>
      <c r="H14702" s="16" t="s">
        <v>87</v>
      </c>
      <c r="I14702" s="16" t="s">
        <v>87</v>
      </c>
      <c r="J14702" s="19"/>
      <c r="L14702" s="16" t="str">
        <f>IFERROR(__xludf.DUMMYFUNCTION("""COMPUTED_VALUE"""),"")</f>
        <v/>
      </c>
      <c r="M14702" s="16" t="str">
        <f>IFERROR(__xludf.DUMMYFUNCTION("""COMPUTED_VALUE"""),"")</f>
        <v/>
      </c>
      <c r="U14702" s="16" t="s">
        <v>87</v>
      </c>
      <c r="V14702" s="16" t="str">
        <f>IFERROR(__xludf.DUMMYFUNCTION("""COMPUTED_VALUE"""),"")</f>
        <v/>
      </c>
      <c r="W14702" s="16" t="str">
        <f>IFERROR(__xludf.DUMMYFUNCTION("""COMPUTED_VALUE"""),"")</f>
        <v/>
      </c>
      <c r="X14702" s="16" t="str">
        <f>IFERROR(__xludf.DUMMYFUNCTION("""COMPUTED_VALUE"""),"")</f>
        <v/>
      </c>
      <c r="AC14702" s="16" t="str">
        <f>IFERROR(__xludf.DUMMYFUNCTION("""COMPUTED_VALUE"""),"")</f>
        <v/>
      </c>
    </row>
    <row r="14703">
      <c r="A14703" s="16" t="s">
        <v>87</v>
      </c>
      <c r="E14703" s="16" t="str">
        <f>IFERROR(__xludf.DUMMYFUNCTION("""COMPUTED_VALUE"""),"")</f>
        <v/>
      </c>
      <c r="G14703" s="18"/>
      <c r="H14703" s="16" t="s">
        <v>87</v>
      </c>
      <c r="I14703" s="16" t="s">
        <v>87</v>
      </c>
      <c r="J14703" s="19"/>
      <c r="L14703" s="16" t="str">
        <f>IFERROR(__xludf.DUMMYFUNCTION("""COMPUTED_VALUE"""),"")</f>
        <v/>
      </c>
      <c r="M14703" s="16" t="str">
        <f>IFERROR(__xludf.DUMMYFUNCTION("""COMPUTED_VALUE"""),"")</f>
        <v/>
      </c>
      <c r="U14703" s="16" t="s">
        <v>87</v>
      </c>
      <c r="V14703" s="16" t="str">
        <f>IFERROR(__xludf.DUMMYFUNCTION("""COMPUTED_VALUE"""),"")</f>
        <v/>
      </c>
      <c r="W14703" s="16" t="str">
        <f>IFERROR(__xludf.DUMMYFUNCTION("""COMPUTED_VALUE"""),"")</f>
        <v/>
      </c>
      <c r="X14703" s="16" t="str">
        <f>IFERROR(__xludf.DUMMYFUNCTION("""COMPUTED_VALUE"""),"")</f>
        <v/>
      </c>
      <c r="AC14703" s="16" t="str">
        <f>IFERROR(__xludf.DUMMYFUNCTION("""COMPUTED_VALUE"""),"")</f>
        <v/>
      </c>
    </row>
    <row r="14704">
      <c r="A14704" s="16" t="s">
        <v>87</v>
      </c>
      <c r="E14704" s="16" t="str">
        <f>IFERROR(__xludf.DUMMYFUNCTION("""COMPUTED_VALUE"""),"")</f>
        <v/>
      </c>
      <c r="G14704" s="18"/>
      <c r="H14704" s="16" t="s">
        <v>87</v>
      </c>
      <c r="I14704" s="16" t="s">
        <v>87</v>
      </c>
      <c r="J14704" s="19"/>
      <c r="L14704" s="16" t="str">
        <f>IFERROR(__xludf.DUMMYFUNCTION("""COMPUTED_VALUE"""),"")</f>
        <v/>
      </c>
      <c r="M14704" s="16" t="str">
        <f>IFERROR(__xludf.DUMMYFUNCTION("""COMPUTED_VALUE"""),"")</f>
        <v/>
      </c>
      <c r="U14704" s="16" t="s">
        <v>87</v>
      </c>
      <c r="V14704" s="16" t="str">
        <f>IFERROR(__xludf.DUMMYFUNCTION("""COMPUTED_VALUE"""),"")</f>
        <v/>
      </c>
      <c r="W14704" s="16" t="str">
        <f>IFERROR(__xludf.DUMMYFUNCTION("""COMPUTED_VALUE"""),"")</f>
        <v/>
      </c>
      <c r="X14704" s="16" t="str">
        <f>IFERROR(__xludf.DUMMYFUNCTION("""COMPUTED_VALUE"""),"")</f>
        <v/>
      </c>
      <c r="AC14704" s="16" t="str">
        <f>IFERROR(__xludf.DUMMYFUNCTION("""COMPUTED_VALUE"""),"")</f>
        <v/>
      </c>
    </row>
    <row r="14705">
      <c r="A14705" s="16" t="s">
        <v>87</v>
      </c>
      <c r="E14705" s="16" t="str">
        <f>IFERROR(__xludf.DUMMYFUNCTION("""COMPUTED_VALUE"""),"")</f>
        <v/>
      </c>
      <c r="G14705" s="18"/>
      <c r="H14705" s="16" t="s">
        <v>87</v>
      </c>
      <c r="I14705" s="16" t="s">
        <v>87</v>
      </c>
      <c r="J14705" s="19"/>
      <c r="L14705" s="16" t="str">
        <f>IFERROR(__xludf.DUMMYFUNCTION("""COMPUTED_VALUE"""),"")</f>
        <v/>
      </c>
      <c r="M14705" s="16" t="str">
        <f>IFERROR(__xludf.DUMMYFUNCTION("""COMPUTED_VALUE"""),"")</f>
        <v/>
      </c>
      <c r="U14705" s="16" t="s">
        <v>87</v>
      </c>
      <c r="V14705" s="16" t="str">
        <f>IFERROR(__xludf.DUMMYFUNCTION("""COMPUTED_VALUE"""),"")</f>
        <v/>
      </c>
      <c r="W14705" s="16" t="str">
        <f>IFERROR(__xludf.DUMMYFUNCTION("""COMPUTED_VALUE"""),"")</f>
        <v/>
      </c>
      <c r="X14705" s="16" t="str">
        <f>IFERROR(__xludf.DUMMYFUNCTION("""COMPUTED_VALUE"""),"")</f>
        <v/>
      </c>
      <c r="AC14705" s="16" t="str">
        <f>IFERROR(__xludf.DUMMYFUNCTION("""COMPUTED_VALUE"""),"")</f>
        <v/>
      </c>
    </row>
    <row r="14706">
      <c r="A14706" s="16" t="s">
        <v>87</v>
      </c>
      <c r="E14706" s="16" t="str">
        <f>IFERROR(__xludf.DUMMYFUNCTION("""COMPUTED_VALUE"""),"")</f>
        <v/>
      </c>
      <c r="G14706" s="18"/>
      <c r="H14706" s="16" t="s">
        <v>87</v>
      </c>
      <c r="I14706" s="16" t="s">
        <v>87</v>
      </c>
      <c r="J14706" s="19"/>
      <c r="L14706" s="16" t="str">
        <f>IFERROR(__xludf.DUMMYFUNCTION("""COMPUTED_VALUE"""),"")</f>
        <v/>
      </c>
      <c r="M14706" s="16" t="str">
        <f>IFERROR(__xludf.DUMMYFUNCTION("""COMPUTED_VALUE"""),"")</f>
        <v/>
      </c>
      <c r="U14706" s="16" t="s">
        <v>87</v>
      </c>
      <c r="V14706" s="16" t="str">
        <f>IFERROR(__xludf.DUMMYFUNCTION("""COMPUTED_VALUE"""),"")</f>
        <v/>
      </c>
      <c r="W14706" s="16" t="str">
        <f>IFERROR(__xludf.DUMMYFUNCTION("""COMPUTED_VALUE"""),"")</f>
        <v/>
      </c>
      <c r="X14706" s="16" t="str">
        <f>IFERROR(__xludf.DUMMYFUNCTION("""COMPUTED_VALUE"""),"")</f>
        <v/>
      </c>
      <c r="AC14706" s="16" t="str">
        <f>IFERROR(__xludf.DUMMYFUNCTION("""COMPUTED_VALUE"""),"")</f>
        <v/>
      </c>
    </row>
    <row r="14707">
      <c r="A14707" s="16" t="s">
        <v>87</v>
      </c>
      <c r="E14707" s="16" t="str">
        <f>IFERROR(__xludf.DUMMYFUNCTION("""COMPUTED_VALUE"""),"")</f>
        <v/>
      </c>
      <c r="G14707" s="18"/>
      <c r="H14707" s="16" t="s">
        <v>87</v>
      </c>
      <c r="I14707" s="16" t="s">
        <v>87</v>
      </c>
      <c r="J14707" s="19"/>
      <c r="L14707" s="16" t="str">
        <f>IFERROR(__xludf.DUMMYFUNCTION("""COMPUTED_VALUE"""),"")</f>
        <v/>
      </c>
      <c r="M14707" s="16" t="str">
        <f>IFERROR(__xludf.DUMMYFUNCTION("""COMPUTED_VALUE"""),"")</f>
        <v/>
      </c>
      <c r="U14707" s="16" t="s">
        <v>87</v>
      </c>
      <c r="V14707" s="16" t="str">
        <f>IFERROR(__xludf.DUMMYFUNCTION("""COMPUTED_VALUE"""),"")</f>
        <v/>
      </c>
      <c r="W14707" s="16" t="str">
        <f>IFERROR(__xludf.DUMMYFUNCTION("""COMPUTED_VALUE"""),"")</f>
        <v/>
      </c>
      <c r="X14707" s="16" t="str">
        <f>IFERROR(__xludf.DUMMYFUNCTION("""COMPUTED_VALUE"""),"")</f>
        <v/>
      </c>
      <c r="AC14707" s="16" t="str">
        <f>IFERROR(__xludf.DUMMYFUNCTION("""COMPUTED_VALUE"""),"")</f>
        <v/>
      </c>
    </row>
    <row r="14708">
      <c r="A14708" s="16" t="s">
        <v>87</v>
      </c>
      <c r="E14708" s="16" t="str">
        <f>IFERROR(__xludf.DUMMYFUNCTION("""COMPUTED_VALUE"""),"")</f>
        <v/>
      </c>
      <c r="G14708" s="18"/>
      <c r="H14708" s="16" t="s">
        <v>87</v>
      </c>
      <c r="I14708" s="16" t="s">
        <v>87</v>
      </c>
      <c r="J14708" s="19"/>
      <c r="L14708" s="16" t="str">
        <f>IFERROR(__xludf.DUMMYFUNCTION("""COMPUTED_VALUE"""),"")</f>
        <v/>
      </c>
      <c r="M14708" s="16" t="str">
        <f>IFERROR(__xludf.DUMMYFUNCTION("""COMPUTED_VALUE"""),"")</f>
        <v/>
      </c>
      <c r="U14708" s="16" t="s">
        <v>87</v>
      </c>
      <c r="V14708" s="16" t="str">
        <f>IFERROR(__xludf.DUMMYFUNCTION("""COMPUTED_VALUE"""),"")</f>
        <v/>
      </c>
      <c r="W14708" s="16" t="str">
        <f>IFERROR(__xludf.DUMMYFUNCTION("""COMPUTED_VALUE"""),"")</f>
        <v/>
      </c>
      <c r="X14708" s="16" t="str">
        <f>IFERROR(__xludf.DUMMYFUNCTION("""COMPUTED_VALUE"""),"")</f>
        <v/>
      </c>
      <c r="AC14708" s="16" t="str">
        <f>IFERROR(__xludf.DUMMYFUNCTION("""COMPUTED_VALUE"""),"")</f>
        <v/>
      </c>
    </row>
    <row r="14709">
      <c r="A14709" s="16" t="s">
        <v>87</v>
      </c>
      <c r="E14709" s="16" t="str">
        <f>IFERROR(__xludf.DUMMYFUNCTION("""COMPUTED_VALUE"""),"")</f>
        <v/>
      </c>
      <c r="G14709" s="18"/>
      <c r="H14709" s="16" t="s">
        <v>87</v>
      </c>
      <c r="I14709" s="16" t="s">
        <v>87</v>
      </c>
      <c r="J14709" s="19"/>
      <c r="L14709" s="16" t="str">
        <f>IFERROR(__xludf.DUMMYFUNCTION("""COMPUTED_VALUE"""),"")</f>
        <v/>
      </c>
      <c r="M14709" s="16" t="str">
        <f>IFERROR(__xludf.DUMMYFUNCTION("""COMPUTED_VALUE"""),"")</f>
        <v/>
      </c>
      <c r="U14709" s="16" t="s">
        <v>87</v>
      </c>
      <c r="V14709" s="16" t="str">
        <f>IFERROR(__xludf.DUMMYFUNCTION("""COMPUTED_VALUE"""),"")</f>
        <v/>
      </c>
      <c r="W14709" s="16" t="str">
        <f>IFERROR(__xludf.DUMMYFUNCTION("""COMPUTED_VALUE"""),"")</f>
        <v/>
      </c>
      <c r="X14709" s="16" t="str">
        <f>IFERROR(__xludf.DUMMYFUNCTION("""COMPUTED_VALUE"""),"")</f>
        <v/>
      </c>
      <c r="AC14709" s="16" t="str">
        <f>IFERROR(__xludf.DUMMYFUNCTION("""COMPUTED_VALUE"""),"")</f>
        <v/>
      </c>
    </row>
    <row r="14710">
      <c r="A14710" s="16" t="s">
        <v>87</v>
      </c>
      <c r="E14710" s="16" t="str">
        <f>IFERROR(__xludf.DUMMYFUNCTION("""COMPUTED_VALUE"""),"")</f>
        <v/>
      </c>
      <c r="G14710" s="18"/>
      <c r="H14710" s="16" t="s">
        <v>87</v>
      </c>
      <c r="I14710" s="16" t="s">
        <v>87</v>
      </c>
      <c r="J14710" s="19"/>
      <c r="L14710" s="16" t="str">
        <f>IFERROR(__xludf.DUMMYFUNCTION("""COMPUTED_VALUE"""),"")</f>
        <v/>
      </c>
      <c r="M14710" s="16" t="str">
        <f>IFERROR(__xludf.DUMMYFUNCTION("""COMPUTED_VALUE"""),"")</f>
        <v/>
      </c>
      <c r="U14710" s="16" t="s">
        <v>87</v>
      </c>
      <c r="V14710" s="16" t="str">
        <f>IFERROR(__xludf.DUMMYFUNCTION("""COMPUTED_VALUE"""),"")</f>
        <v/>
      </c>
      <c r="W14710" s="16" t="str">
        <f>IFERROR(__xludf.DUMMYFUNCTION("""COMPUTED_VALUE"""),"")</f>
        <v/>
      </c>
      <c r="X14710" s="16" t="str">
        <f>IFERROR(__xludf.DUMMYFUNCTION("""COMPUTED_VALUE"""),"")</f>
        <v/>
      </c>
      <c r="AC14710" s="16" t="str">
        <f>IFERROR(__xludf.DUMMYFUNCTION("""COMPUTED_VALUE"""),"")</f>
        <v/>
      </c>
    </row>
    <row r="14711">
      <c r="A14711" s="16" t="s">
        <v>87</v>
      </c>
      <c r="E14711" s="16" t="str">
        <f>IFERROR(__xludf.DUMMYFUNCTION("""COMPUTED_VALUE"""),"")</f>
        <v/>
      </c>
      <c r="G14711" s="18"/>
      <c r="H14711" s="16" t="s">
        <v>87</v>
      </c>
      <c r="I14711" s="16" t="s">
        <v>87</v>
      </c>
      <c r="J14711" s="19"/>
      <c r="L14711" s="16" t="str">
        <f>IFERROR(__xludf.DUMMYFUNCTION("""COMPUTED_VALUE"""),"")</f>
        <v/>
      </c>
      <c r="M14711" s="16" t="str">
        <f>IFERROR(__xludf.DUMMYFUNCTION("""COMPUTED_VALUE"""),"")</f>
        <v/>
      </c>
      <c r="U14711" s="16" t="s">
        <v>87</v>
      </c>
      <c r="V14711" s="16" t="str">
        <f>IFERROR(__xludf.DUMMYFUNCTION("""COMPUTED_VALUE"""),"")</f>
        <v/>
      </c>
      <c r="W14711" s="16" t="str">
        <f>IFERROR(__xludf.DUMMYFUNCTION("""COMPUTED_VALUE"""),"")</f>
        <v/>
      </c>
      <c r="X14711" s="16" t="str">
        <f>IFERROR(__xludf.DUMMYFUNCTION("""COMPUTED_VALUE"""),"")</f>
        <v/>
      </c>
      <c r="AC14711" s="16" t="str">
        <f>IFERROR(__xludf.DUMMYFUNCTION("""COMPUTED_VALUE"""),"")</f>
        <v/>
      </c>
    </row>
    <row r="14712">
      <c r="A14712" s="16" t="s">
        <v>87</v>
      </c>
      <c r="E14712" s="16" t="str">
        <f>IFERROR(__xludf.DUMMYFUNCTION("""COMPUTED_VALUE"""),"")</f>
        <v/>
      </c>
      <c r="G14712" s="18"/>
      <c r="H14712" s="16" t="s">
        <v>87</v>
      </c>
      <c r="I14712" s="16" t="s">
        <v>87</v>
      </c>
      <c r="J14712" s="19"/>
      <c r="L14712" s="16" t="str">
        <f>IFERROR(__xludf.DUMMYFUNCTION("""COMPUTED_VALUE"""),"")</f>
        <v/>
      </c>
      <c r="M14712" s="16" t="str">
        <f>IFERROR(__xludf.DUMMYFUNCTION("""COMPUTED_VALUE"""),"")</f>
        <v/>
      </c>
      <c r="U14712" s="16" t="s">
        <v>87</v>
      </c>
      <c r="V14712" s="16" t="str">
        <f>IFERROR(__xludf.DUMMYFUNCTION("""COMPUTED_VALUE"""),"")</f>
        <v/>
      </c>
      <c r="W14712" s="16" t="str">
        <f>IFERROR(__xludf.DUMMYFUNCTION("""COMPUTED_VALUE"""),"")</f>
        <v/>
      </c>
      <c r="X14712" s="16" t="str">
        <f>IFERROR(__xludf.DUMMYFUNCTION("""COMPUTED_VALUE"""),"")</f>
        <v/>
      </c>
      <c r="AC14712" s="16" t="str">
        <f>IFERROR(__xludf.DUMMYFUNCTION("""COMPUTED_VALUE"""),"")</f>
        <v/>
      </c>
    </row>
    <row r="14713">
      <c r="A14713" s="16" t="s">
        <v>87</v>
      </c>
      <c r="E14713" s="16" t="str">
        <f>IFERROR(__xludf.DUMMYFUNCTION("""COMPUTED_VALUE"""),"")</f>
        <v/>
      </c>
      <c r="G14713" s="18"/>
      <c r="H14713" s="16" t="s">
        <v>87</v>
      </c>
      <c r="I14713" s="16" t="s">
        <v>87</v>
      </c>
      <c r="J14713" s="19"/>
      <c r="L14713" s="16" t="str">
        <f>IFERROR(__xludf.DUMMYFUNCTION("""COMPUTED_VALUE"""),"")</f>
        <v/>
      </c>
      <c r="M14713" s="16" t="str">
        <f>IFERROR(__xludf.DUMMYFUNCTION("""COMPUTED_VALUE"""),"")</f>
        <v/>
      </c>
      <c r="U14713" s="16" t="s">
        <v>87</v>
      </c>
      <c r="V14713" s="16" t="str">
        <f>IFERROR(__xludf.DUMMYFUNCTION("""COMPUTED_VALUE"""),"")</f>
        <v/>
      </c>
      <c r="W14713" s="16" t="str">
        <f>IFERROR(__xludf.DUMMYFUNCTION("""COMPUTED_VALUE"""),"")</f>
        <v/>
      </c>
      <c r="X14713" s="16" t="str">
        <f>IFERROR(__xludf.DUMMYFUNCTION("""COMPUTED_VALUE"""),"")</f>
        <v/>
      </c>
      <c r="AC14713" s="16" t="str">
        <f>IFERROR(__xludf.DUMMYFUNCTION("""COMPUTED_VALUE"""),"")</f>
        <v/>
      </c>
    </row>
    <row r="14714">
      <c r="A14714" s="16" t="s">
        <v>87</v>
      </c>
      <c r="E14714" s="16" t="str">
        <f>IFERROR(__xludf.DUMMYFUNCTION("""COMPUTED_VALUE"""),"")</f>
        <v/>
      </c>
      <c r="G14714" s="18"/>
      <c r="H14714" s="16" t="s">
        <v>87</v>
      </c>
      <c r="I14714" s="16" t="s">
        <v>87</v>
      </c>
      <c r="J14714" s="19"/>
      <c r="L14714" s="16" t="str">
        <f>IFERROR(__xludf.DUMMYFUNCTION("""COMPUTED_VALUE"""),"")</f>
        <v/>
      </c>
      <c r="M14714" s="16" t="str">
        <f>IFERROR(__xludf.DUMMYFUNCTION("""COMPUTED_VALUE"""),"")</f>
        <v/>
      </c>
      <c r="U14714" s="16" t="s">
        <v>87</v>
      </c>
      <c r="V14714" s="16" t="str">
        <f>IFERROR(__xludf.DUMMYFUNCTION("""COMPUTED_VALUE"""),"")</f>
        <v/>
      </c>
      <c r="W14714" s="16" t="str">
        <f>IFERROR(__xludf.DUMMYFUNCTION("""COMPUTED_VALUE"""),"")</f>
        <v/>
      </c>
      <c r="X14714" s="16" t="str">
        <f>IFERROR(__xludf.DUMMYFUNCTION("""COMPUTED_VALUE"""),"")</f>
        <v/>
      </c>
      <c r="AC14714" s="16" t="str">
        <f>IFERROR(__xludf.DUMMYFUNCTION("""COMPUTED_VALUE"""),"")</f>
        <v/>
      </c>
    </row>
    <row r="14715">
      <c r="A14715" s="16" t="s">
        <v>87</v>
      </c>
      <c r="E14715" s="16" t="str">
        <f>IFERROR(__xludf.DUMMYFUNCTION("""COMPUTED_VALUE"""),"")</f>
        <v/>
      </c>
      <c r="G14715" s="18"/>
      <c r="H14715" s="16" t="s">
        <v>87</v>
      </c>
      <c r="I14715" s="16" t="s">
        <v>87</v>
      </c>
      <c r="J14715" s="19"/>
      <c r="L14715" s="16" t="str">
        <f>IFERROR(__xludf.DUMMYFUNCTION("""COMPUTED_VALUE"""),"")</f>
        <v/>
      </c>
      <c r="M14715" s="16" t="str">
        <f>IFERROR(__xludf.DUMMYFUNCTION("""COMPUTED_VALUE"""),"")</f>
        <v/>
      </c>
      <c r="U14715" s="16" t="s">
        <v>87</v>
      </c>
      <c r="V14715" s="16" t="str">
        <f>IFERROR(__xludf.DUMMYFUNCTION("""COMPUTED_VALUE"""),"")</f>
        <v/>
      </c>
      <c r="W14715" s="16" t="str">
        <f>IFERROR(__xludf.DUMMYFUNCTION("""COMPUTED_VALUE"""),"")</f>
        <v/>
      </c>
      <c r="X14715" s="16" t="str">
        <f>IFERROR(__xludf.DUMMYFUNCTION("""COMPUTED_VALUE"""),"")</f>
        <v/>
      </c>
      <c r="AC14715" s="16" t="str">
        <f>IFERROR(__xludf.DUMMYFUNCTION("""COMPUTED_VALUE"""),"")</f>
        <v/>
      </c>
    </row>
    <row r="14716">
      <c r="A14716" s="16" t="s">
        <v>87</v>
      </c>
      <c r="E14716" s="16" t="str">
        <f>IFERROR(__xludf.DUMMYFUNCTION("""COMPUTED_VALUE"""),"")</f>
        <v/>
      </c>
      <c r="G14716" s="18"/>
      <c r="H14716" s="16" t="s">
        <v>87</v>
      </c>
      <c r="I14716" s="16" t="s">
        <v>87</v>
      </c>
      <c r="J14716" s="19"/>
      <c r="L14716" s="16" t="str">
        <f>IFERROR(__xludf.DUMMYFUNCTION("""COMPUTED_VALUE"""),"")</f>
        <v/>
      </c>
      <c r="M14716" s="16" t="str">
        <f>IFERROR(__xludf.DUMMYFUNCTION("""COMPUTED_VALUE"""),"")</f>
        <v/>
      </c>
      <c r="U14716" s="16" t="s">
        <v>87</v>
      </c>
      <c r="V14716" s="16" t="str">
        <f>IFERROR(__xludf.DUMMYFUNCTION("""COMPUTED_VALUE"""),"")</f>
        <v/>
      </c>
      <c r="W14716" s="16" t="str">
        <f>IFERROR(__xludf.DUMMYFUNCTION("""COMPUTED_VALUE"""),"")</f>
        <v/>
      </c>
      <c r="X14716" s="16" t="str">
        <f>IFERROR(__xludf.DUMMYFUNCTION("""COMPUTED_VALUE"""),"")</f>
        <v/>
      </c>
      <c r="AC14716" s="16" t="str">
        <f>IFERROR(__xludf.DUMMYFUNCTION("""COMPUTED_VALUE"""),"")</f>
        <v/>
      </c>
    </row>
    <row r="14717">
      <c r="A14717" s="16" t="s">
        <v>87</v>
      </c>
      <c r="E14717" s="16" t="str">
        <f>IFERROR(__xludf.DUMMYFUNCTION("""COMPUTED_VALUE"""),"")</f>
        <v/>
      </c>
      <c r="G14717" s="18"/>
      <c r="H14717" s="16" t="s">
        <v>87</v>
      </c>
      <c r="I14717" s="16" t="s">
        <v>87</v>
      </c>
      <c r="J14717" s="19"/>
      <c r="L14717" s="16" t="str">
        <f>IFERROR(__xludf.DUMMYFUNCTION("""COMPUTED_VALUE"""),"")</f>
        <v/>
      </c>
      <c r="M14717" s="16" t="str">
        <f>IFERROR(__xludf.DUMMYFUNCTION("""COMPUTED_VALUE"""),"")</f>
        <v/>
      </c>
      <c r="U14717" s="16" t="s">
        <v>87</v>
      </c>
      <c r="V14717" s="16" t="str">
        <f>IFERROR(__xludf.DUMMYFUNCTION("""COMPUTED_VALUE"""),"")</f>
        <v/>
      </c>
      <c r="W14717" s="16" t="str">
        <f>IFERROR(__xludf.DUMMYFUNCTION("""COMPUTED_VALUE"""),"")</f>
        <v/>
      </c>
      <c r="X14717" s="16" t="str">
        <f>IFERROR(__xludf.DUMMYFUNCTION("""COMPUTED_VALUE"""),"")</f>
        <v/>
      </c>
      <c r="AC14717" s="16" t="str">
        <f>IFERROR(__xludf.DUMMYFUNCTION("""COMPUTED_VALUE"""),"")</f>
        <v/>
      </c>
    </row>
    <row r="14718">
      <c r="A14718" s="16" t="s">
        <v>87</v>
      </c>
      <c r="E14718" s="16" t="str">
        <f>IFERROR(__xludf.DUMMYFUNCTION("""COMPUTED_VALUE"""),"")</f>
        <v/>
      </c>
      <c r="G14718" s="18"/>
      <c r="H14718" s="16" t="s">
        <v>87</v>
      </c>
      <c r="I14718" s="16" t="s">
        <v>87</v>
      </c>
      <c r="J14718" s="19"/>
      <c r="L14718" s="16" t="str">
        <f>IFERROR(__xludf.DUMMYFUNCTION("""COMPUTED_VALUE"""),"")</f>
        <v/>
      </c>
      <c r="M14718" s="16" t="str">
        <f>IFERROR(__xludf.DUMMYFUNCTION("""COMPUTED_VALUE"""),"")</f>
        <v/>
      </c>
      <c r="U14718" s="16" t="s">
        <v>87</v>
      </c>
      <c r="V14718" s="16" t="str">
        <f>IFERROR(__xludf.DUMMYFUNCTION("""COMPUTED_VALUE"""),"")</f>
        <v/>
      </c>
      <c r="W14718" s="16" t="str">
        <f>IFERROR(__xludf.DUMMYFUNCTION("""COMPUTED_VALUE"""),"")</f>
        <v/>
      </c>
      <c r="X14718" s="16" t="str">
        <f>IFERROR(__xludf.DUMMYFUNCTION("""COMPUTED_VALUE"""),"")</f>
        <v/>
      </c>
      <c r="AC14718" s="16" t="str">
        <f>IFERROR(__xludf.DUMMYFUNCTION("""COMPUTED_VALUE"""),"")</f>
        <v/>
      </c>
    </row>
    <row r="14719">
      <c r="A14719" s="16" t="s">
        <v>87</v>
      </c>
      <c r="E14719" s="16" t="str">
        <f>IFERROR(__xludf.DUMMYFUNCTION("""COMPUTED_VALUE"""),"")</f>
        <v/>
      </c>
      <c r="G14719" s="18"/>
      <c r="H14719" s="16" t="s">
        <v>87</v>
      </c>
      <c r="I14719" s="16" t="s">
        <v>87</v>
      </c>
      <c r="J14719" s="19"/>
      <c r="L14719" s="16" t="str">
        <f>IFERROR(__xludf.DUMMYFUNCTION("""COMPUTED_VALUE"""),"")</f>
        <v/>
      </c>
      <c r="M14719" s="16" t="str">
        <f>IFERROR(__xludf.DUMMYFUNCTION("""COMPUTED_VALUE"""),"")</f>
        <v/>
      </c>
      <c r="U14719" s="16" t="s">
        <v>87</v>
      </c>
      <c r="V14719" s="16" t="str">
        <f>IFERROR(__xludf.DUMMYFUNCTION("""COMPUTED_VALUE"""),"")</f>
        <v/>
      </c>
      <c r="W14719" s="16" t="str">
        <f>IFERROR(__xludf.DUMMYFUNCTION("""COMPUTED_VALUE"""),"")</f>
        <v/>
      </c>
      <c r="X14719" s="16" t="str">
        <f>IFERROR(__xludf.DUMMYFUNCTION("""COMPUTED_VALUE"""),"")</f>
        <v/>
      </c>
      <c r="AC14719" s="16" t="str">
        <f>IFERROR(__xludf.DUMMYFUNCTION("""COMPUTED_VALUE"""),"")</f>
        <v/>
      </c>
    </row>
    <row r="14720">
      <c r="A14720" s="16" t="s">
        <v>87</v>
      </c>
      <c r="E14720" s="16" t="str">
        <f>IFERROR(__xludf.DUMMYFUNCTION("""COMPUTED_VALUE"""),"")</f>
        <v/>
      </c>
      <c r="G14720" s="18"/>
      <c r="H14720" s="16" t="s">
        <v>87</v>
      </c>
      <c r="I14720" s="16" t="s">
        <v>87</v>
      </c>
      <c r="J14720" s="19"/>
      <c r="L14720" s="16" t="str">
        <f>IFERROR(__xludf.DUMMYFUNCTION("""COMPUTED_VALUE"""),"")</f>
        <v/>
      </c>
      <c r="M14720" s="16" t="str">
        <f>IFERROR(__xludf.DUMMYFUNCTION("""COMPUTED_VALUE"""),"")</f>
        <v/>
      </c>
      <c r="U14720" s="16" t="s">
        <v>87</v>
      </c>
      <c r="V14720" s="16" t="str">
        <f>IFERROR(__xludf.DUMMYFUNCTION("""COMPUTED_VALUE"""),"")</f>
        <v/>
      </c>
      <c r="W14720" s="16" t="str">
        <f>IFERROR(__xludf.DUMMYFUNCTION("""COMPUTED_VALUE"""),"")</f>
        <v/>
      </c>
      <c r="X14720" s="16" t="str">
        <f>IFERROR(__xludf.DUMMYFUNCTION("""COMPUTED_VALUE"""),"")</f>
        <v/>
      </c>
      <c r="AC14720" s="16" t="str">
        <f>IFERROR(__xludf.DUMMYFUNCTION("""COMPUTED_VALUE"""),"")</f>
        <v/>
      </c>
    </row>
    <row r="14721">
      <c r="A14721" s="16" t="s">
        <v>87</v>
      </c>
      <c r="E14721" s="16" t="str">
        <f>IFERROR(__xludf.DUMMYFUNCTION("""COMPUTED_VALUE"""),"")</f>
        <v/>
      </c>
      <c r="G14721" s="18"/>
      <c r="H14721" s="16" t="s">
        <v>87</v>
      </c>
      <c r="I14721" s="16" t="s">
        <v>87</v>
      </c>
      <c r="J14721" s="19"/>
      <c r="L14721" s="16" t="str">
        <f>IFERROR(__xludf.DUMMYFUNCTION("""COMPUTED_VALUE"""),"")</f>
        <v/>
      </c>
      <c r="M14721" s="16" t="str">
        <f>IFERROR(__xludf.DUMMYFUNCTION("""COMPUTED_VALUE"""),"")</f>
        <v/>
      </c>
      <c r="U14721" s="16" t="s">
        <v>87</v>
      </c>
      <c r="V14721" s="16" t="str">
        <f>IFERROR(__xludf.DUMMYFUNCTION("""COMPUTED_VALUE"""),"")</f>
        <v/>
      </c>
      <c r="W14721" s="16" t="str">
        <f>IFERROR(__xludf.DUMMYFUNCTION("""COMPUTED_VALUE"""),"")</f>
        <v/>
      </c>
      <c r="X14721" s="16" t="str">
        <f>IFERROR(__xludf.DUMMYFUNCTION("""COMPUTED_VALUE"""),"")</f>
        <v/>
      </c>
      <c r="AC14721" s="16" t="str">
        <f>IFERROR(__xludf.DUMMYFUNCTION("""COMPUTED_VALUE"""),"")</f>
        <v/>
      </c>
    </row>
    <row r="14722">
      <c r="A14722" s="16" t="s">
        <v>87</v>
      </c>
      <c r="E14722" s="16" t="str">
        <f>IFERROR(__xludf.DUMMYFUNCTION("""COMPUTED_VALUE"""),"")</f>
        <v/>
      </c>
      <c r="G14722" s="18"/>
      <c r="H14722" s="16" t="s">
        <v>87</v>
      </c>
      <c r="I14722" s="16" t="s">
        <v>87</v>
      </c>
      <c r="J14722" s="19"/>
      <c r="L14722" s="16" t="str">
        <f>IFERROR(__xludf.DUMMYFUNCTION("""COMPUTED_VALUE"""),"")</f>
        <v/>
      </c>
      <c r="M14722" s="16" t="str">
        <f>IFERROR(__xludf.DUMMYFUNCTION("""COMPUTED_VALUE"""),"")</f>
        <v/>
      </c>
      <c r="U14722" s="16" t="s">
        <v>87</v>
      </c>
      <c r="V14722" s="16" t="str">
        <f>IFERROR(__xludf.DUMMYFUNCTION("""COMPUTED_VALUE"""),"")</f>
        <v/>
      </c>
      <c r="W14722" s="16" t="str">
        <f>IFERROR(__xludf.DUMMYFUNCTION("""COMPUTED_VALUE"""),"")</f>
        <v/>
      </c>
      <c r="X14722" s="16" t="str">
        <f>IFERROR(__xludf.DUMMYFUNCTION("""COMPUTED_VALUE"""),"")</f>
        <v/>
      </c>
      <c r="AC14722" s="16" t="str">
        <f>IFERROR(__xludf.DUMMYFUNCTION("""COMPUTED_VALUE"""),"")</f>
        <v/>
      </c>
    </row>
    <row r="14723">
      <c r="A14723" s="16" t="s">
        <v>87</v>
      </c>
      <c r="E14723" s="16" t="str">
        <f>IFERROR(__xludf.DUMMYFUNCTION("""COMPUTED_VALUE"""),"")</f>
        <v/>
      </c>
      <c r="G14723" s="18"/>
      <c r="H14723" s="16" t="s">
        <v>87</v>
      </c>
      <c r="I14723" s="16" t="s">
        <v>87</v>
      </c>
      <c r="J14723" s="19"/>
      <c r="L14723" s="16" t="str">
        <f>IFERROR(__xludf.DUMMYFUNCTION("""COMPUTED_VALUE"""),"")</f>
        <v/>
      </c>
      <c r="M14723" s="16" t="str">
        <f>IFERROR(__xludf.DUMMYFUNCTION("""COMPUTED_VALUE"""),"")</f>
        <v/>
      </c>
      <c r="U14723" s="16" t="s">
        <v>87</v>
      </c>
      <c r="V14723" s="16" t="str">
        <f>IFERROR(__xludf.DUMMYFUNCTION("""COMPUTED_VALUE"""),"")</f>
        <v/>
      </c>
      <c r="W14723" s="16" t="str">
        <f>IFERROR(__xludf.DUMMYFUNCTION("""COMPUTED_VALUE"""),"")</f>
        <v/>
      </c>
      <c r="X14723" s="16" t="str">
        <f>IFERROR(__xludf.DUMMYFUNCTION("""COMPUTED_VALUE"""),"")</f>
        <v/>
      </c>
      <c r="AC14723" s="16" t="str">
        <f>IFERROR(__xludf.DUMMYFUNCTION("""COMPUTED_VALUE"""),"")</f>
        <v/>
      </c>
    </row>
    <row r="14724">
      <c r="A14724" s="16" t="s">
        <v>87</v>
      </c>
      <c r="E14724" s="16" t="str">
        <f>IFERROR(__xludf.DUMMYFUNCTION("""COMPUTED_VALUE"""),"")</f>
        <v/>
      </c>
      <c r="G14724" s="18"/>
      <c r="H14724" s="16" t="s">
        <v>87</v>
      </c>
      <c r="I14724" s="16" t="s">
        <v>87</v>
      </c>
      <c r="J14724" s="19"/>
      <c r="L14724" s="16" t="str">
        <f>IFERROR(__xludf.DUMMYFUNCTION("""COMPUTED_VALUE"""),"")</f>
        <v/>
      </c>
      <c r="M14724" s="16" t="str">
        <f>IFERROR(__xludf.DUMMYFUNCTION("""COMPUTED_VALUE"""),"")</f>
        <v/>
      </c>
      <c r="U14724" s="16" t="s">
        <v>87</v>
      </c>
      <c r="V14724" s="16" t="str">
        <f>IFERROR(__xludf.DUMMYFUNCTION("""COMPUTED_VALUE"""),"")</f>
        <v/>
      </c>
      <c r="W14724" s="16" t="str">
        <f>IFERROR(__xludf.DUMMYFUNCTION("""COMPUTED_VALUE"""),"")</f>
        <v/>
      </c>
      <c r="X14724" s="16" t="str">
        <f>IFERROR(__xludf.DUMMYFUNCTION("""COMPUTED_VALUE"""),"")</f>
        <v/>
      </c>
      <c r="AC14724" s="16" t="str">
        <f>IFERROR(__xludf.DUMMYFUNCTION("""COMPUTED_VALUE"""),"")</f>
        <v/>
      </c>
    </row>
    <row r="14725">
      <c r="A14725" s="16" t="s">
        <v>87</v>
      </c>
      <c r="E14725" s="16" t="str">
        <f>IFERROR(__xludf.DUMMYFUNCTION("""COMPUTED_VALUE"""),"")</f>
        <v/>
      </c>
      <c r="G14725" s="18"/>
      <c r="H14725" s="16" t="s">
        <v>87</v>
      </c>
      <c r="I14725" s="16" t="s">
        <v>87</v>
      </c>
      <c r="J14725" s="19"/>
      <c r="L14725" s="16" t="str">
        <f>IFERROR(__xludf.DUMMYFUNCTION("""COMPUTED_VALUE"""),"")</f>
        <v/>
      </c>
      <c r="M14725" s="16" t="str">
        <f>IFERROR(__xludf.DUMMYFUNCTION("""COMPUTED_VALUE"""),"")</f>
        <v/>
      </c>
      <c r="U14725" s="16" t="s">
        <v>87</v>
      </c>
      <c r="V14725" s="16" t="str">
        <f>IFERROR(__xludf.DUMMYFUNCTION("""COMPUTED_VALUE"""),"")</f>
        <v/>
      </c>
      <c r="W14725" s="16" t="str">
        <f>IFERROR(__xludf.DUMMYFUNCTION("""COMPUTED_VALUE"""),"")</f>
        <v/>
      </c>
      <c r="X14725" s="16" t="str">
        <f>IFERROR(__xludf.DUMMYFUNCTION("""COMPUTED_VALUE"""),"")</f>
        <v/>
      </c>
      <c r="AC14725" s="16" t="str">
        <f>IFERROR(__xludf.DUMMYFUNCTION("""COMPUTED_VALUE"""),"")</f>
        <v/>
      </c>
    </row>
    <row r="14726">
      <c r="A14726" s="16" t="s">
        <v>87</v>
      </c>
      <c r="E14726" s="16" t="str">
        <f>IFERROR(__xludf.DUMMYFUNCTION("""COMPUTED_VALUE"""),"")</f>
        <v/>
      </c>
      <c r="G14726" s="18"/>
      <c r="H14726" s="16" t="s">
        <v>87</v>
      </c>
      <c r="I14726" s="16" t="s">
        <v>87</v>
      </c>
      <c r="J14726" s="19"/>
      <c r="L14726" s="16" t="str">
        <f>IFERROR(__xludf.DUMMYFUNCTION("""COMPUTED_VALUE"""),"")</f>
        <v/>
      </c>
      <c r="M14726" s="16" t="str">
        <f>IFERROR(__xludf.DUMMYFUNCTION("""COMPUTED_VALUE"""),"")</f>
        <v/>
      </c>
      <c r="U14726" s="16" t="s">
        <v>87</v>
      </c>
      <c r="V14726" s="16" t="str">
        <f>IFERROR(__xludf.DUMMYFUNCTION("""COMPUTED_VALUE"""),"")</f>
        <v/>
      </c>
      <c r="W14726" s="16" t="str">
        <f>IFERROR(__xludf.DUMMYFUNCTION("""COMPUTED_VALUE"""),"")</f>
        <v/>
      </c>
      <c r="X14726" s="16" t="str">
        <f>IFERROR(__xludf.DUMMYFUNCTION("""COMPUTED_VALUE"""),"")</f>
        <v/>
      </c>
      <c r="AC14726" s="16" t="str">
        <f>IFERROR(__xludf.DUMMYFUNCTION("""COMPUTED_VALUE"""),"")</f>
        <v/>
      </c>
    </row>
    <row r="14727">
      <c r="A14727" s="16" t="s">
        <v>87</v>
      </c>
      <c r="E14727" s="16" t="str">
        <f>IFERROR(__xludf.DUMMYFUNCTION("""COMPUTED_VALUE"""),"")</f>
        <v/>
      </c>
      <c r="G14727" s="18"/>
      <c r="H14727" s="16" t="s">
        <v>87</v>
      </c>
      <c r="I14727" s="16" t="s">
        <v>87</v>
      </c>
      <c r="J14727" s="19"/>
      <c r="L14727" s="16" t="str">
        <f>IFERROR(__xludf.DUMMYFUNCTION("""COMPUTED_VALUE"""),"")</f>
        <v/>
      </c>
      <c r="M14727" s="16" t="str">
        <f>IFERROR(__xludf.DUMMYFUNCTION("""COMPUTED_VALUE"""),"")</f>
        <v/>
      </c>
      <c r="U14727" s="16" t="s">
        <v>87</v>
      </c>
      <c r="V14727" s="16" t="str">
        <f>IFERROR(__xludf.DUMMYFUNCTION("""COMPUTED_VALUE"""),"")</f>
        <v/>
      </c>
      <c r="W14727" s="16" t="str">
        <f>IFERROR(__xludf.DUMMYFUNCTION("""COMPUTED_VALUE"""),"")</f>
        <v/>
      </c>
      <c r="X14727" s="16" t="str">
        <f>IFERROR(__xludf.DUMMYFUNCTION("""COMPUTED_VALUE"""),"")</f>
        <v/>
      </c>
      <c r="AC14727" s="16" t="str">
        <f>IFERROR(__xludf.DUMMYFUNCTION("""COMPUTED_VALUE"""),"")</f>
        <v/>
      </c>
    </row>
    <row r="14728">
      <c r="A14728" s="16" t="s">
        <v>87</v>
      </c>
      <c r="E14728" s="16" t="str">
        <f>IFERROR(__xludf.DUMMYFUNCTION("""COMPUTED_VALUE"""),"")</f>
        <v/>
      </c>
      <c r="G14728" s="18"/>
      <c r="H14728" s="16" t="s">
        <v>87</v>
      </c>
      <c r="I14728" s="16" t="s">
        <v>87</v>
      </c>
      <c r="J14728" s="19"/>
      <c r="L14728" s="16" t="str">
        <f>IFERROR(__xludf.DUMMYFUNCTION("""COMPUTED_VALUE"""),"")</f>
        <v/>
      </c>
      <c r="M14728" s="16" t="str">
        <f>IFERROR(__xludf.DUMMYFUNCTION("""COMPUTED_VALUE"""),"")</f>
        <v/>
      </c>
      <c r="U14728" s="16" t="s">
        <v>87</v>
      </c>
      <c r="V14728" s="16" t="str">
        <f>IFERROR(__xludf.DUMMYFUNCTION("""COMPUTED_VALUE"""),"")</f>
        <v/>
      </c>
      <c r="W14728" s="16" t="str">
        <f>IFERROR(__xludf.DUMMYFUNCTION("""COMPUTED_VALUE"""),"")</f>
        <v/>
      </c>
      <c r="X14728" s="16" t="str">
        <f>IFERROR(__xludf.DUMMYFUNCTION("""COMPUTED_VALUE"""),"")</f>
        <v/>
      </c>
      <c r="AC14728" s="16" t="str">
        <f>IFERROR(__xludf.DUMMYFUNCTION("""COMPUTED_VALUE"""),"")</f>
        <v/>
      </c>
    </row>
    <row r="14729">
      <c r="A14729" s="16" t="s">
        <v>87</v>
      </c>
      <c r="E14729" s="16" t="str">
        <f>IFERROR(__xludf.DUMMYFUNCTION("""COMPUTED_VALUE"""),"")</f>
        <v/>
      </c>
      <c r="G14729" s="18"/>
      <c r="H14729" s="16" t="s">
        <v>87</v>
      </c>
      <c r="I14729" s="16" t="s">
        <v>87</v>
      </c>
      <c r="J14729" s="19"/>
      <c r="L14729" s="16" t="str">
        <f>IFERROR(__xludf.DUMMYFUNCTION("""COMPUTED_VALUE"""),"")</f>
        <v/>
      </c>
      <c r="M14729" s="16" t="str">
        <f>IFERROR(__xludf.DUMMYFUNCTION("""COMPUTED_VALUE"""),"")</f>
        <v/>
      </c>
      <c r="U14729" s="16" t="s">
        <v>87</v>
      </c>
      <c r="V14729" s="16" t="str">
        <f>IFERROR(__xludf.DUMMYFUNCTION("""COMPUTED_VALUE"""),"")</f>
        <v/>
      </c>
      <c r="W14729" s="16" t="str">
        <f>IFERROR(__xludf.DUMMYFUNCTION("""COMPUTED_VALUE"""),"")</f>
        <v/>
      </c>
      <c r="X14729" s="16" t="str">
        <f>IFERROR(__xludf.DUMMYFUNCTION("""COMPUTED_VALUE"""),"")</f>
        <v/>
      </c>
      <c r="AC14729" s="16" t="str">
        <f>IFERROR(__xludf.DUMMYFUNCTION("""COMPUTED_VALUE"""),"")</f>
        <v/>
      </c>
    </row>
    <row r="14730">
      <c r="A14730" s="16" t="s">
        <v>87</v>
      </c>
      <c r="E14730" s="16" t="str">
        <f>IFERROR(__xludf.DUMMYFUNCTION("""COMPUTED_VALUE"""),"")</f>
        <v/>
      </c>
      <c r="G14730" s="18"/>
      <c r="H14730" s="16" t="s">
        <v>87</v>
      </c>
      <c r="I14730" s="16" t="s">
        <v>87</v>
      </c>
      <c r="J14730" s="19"/>
      <c r="L14730" s="16" t="str">
        <f>IFERROR(__xludf.DUMMYFUNCTION("""COMPUTED_VALUE"""),"")</f>
        <v/>
      </c>
      <c r="M14730" s="16" t="str">
        <f>IFERROR(__xludf.DUMMYFUNCTION("""COMPUTED_VALUE"""),"")</f>
        <v/>
      </c>
      <c r="U14730" s="16" t="s">
        <v>87</v>
      </c>
      <c r="V14730" s="16" t="str">
        <f>IFERROR(__xludf.DUMMYFUNCTION("""COMPUTED_VALUE"""),"")</f>
        <v/>
      </c>
      <c r="W14730" s="16" t="str">
        <f>IFERROR(__xludf.DUMMYFUNCTION("""COMPUTED_VALUE"""),"")</f>
        <v/>
      </c>
      <c r="X14730" s="16" t="str">
        <f>IFERROR(__xludf.DUMMYFUNCTION("""COMPUTED_VALUE"""),"")</f>
        <v/>
      </c>
      <c r="AC14730" s="16" t="str">
        <f>IFERROR(__xludf.DUMMYFUNCTION("""COMPUTED_VALUE"""),"")</f>
        <v/>
      </c>
    </row>
    <row r="14731">
      <c r="A14731" s="16" t="s">
        <v>87</v>
      </c>
      <c r="E14731" s="16" t="str">
        <f>IFERROR(__xludf.DUMMYFUNCTION("""COMPUTED_VALUE"""),"")</f>
        <v/>
      </c>
      <c r="G14731" s="18"/>
      <c r="H14731" s="16" t="s">
        <v>87</v>
      </c>
      <c r="I14731" s="16" t="s">
        <v>87</v>
      </c>
      <c r="J14731" s="19"/>
      <c r="L14731" s="16" t="str">
        <f>IFERROR(__xludf.DUMMYFUNCTION("""COMPUTED_VALUE"""),"")</f>
        <v/>
      </c>
      <c r="M14731" s="16" t="str">
        <f>IFERROR(__xludf.DUMMYFUNCTION("""COMPUTED_VALUE"""),"")</f>
        <v/>
      </c>
      <c r="U14731" s="16" t="s">
        <v>87</v>
      </c>
      <c r="V14731" s="16" t="str">
        <f>IFERROR(__xludf.DUMMYFUNCTION("""COMPUTED_VALUE"""),"")</f>
        <v/>
      </c>
      <c r="W14731" s="16" t="str">
        <f>IFERROR(__xludf.DUMMYFUNCTION("""COMPUTED_VALUE"""),"")</f>
        <v/>
      </c>
      <c r="X14731" s="16" t="str">
        <f>IFERROR(__xludf.DUMMYFUNCTION("""COMPUTED_VALUE"""),"")</f>
        <v/>
      </c>
      <c r="AC14731" s="16" t="str">
        <f>IFERROR(__xludf.DUMMYFUNCTION("""COMPUTED_VALUE"""),"")</f>
        <v/>
      </c>
    </row>
    <row r="14732">
      <c r="A14732" s="16" t="s">
        <v>87</v>
      </c>
      <c r="E14732" s="16" t="str">
        <f>IFERROR(__xludf.DUMMYFUNCTION("""COMPUTED_VALUE"""),"")</f>
        <v/>
      </c>
      <c r="G14732" s="18"/>
      <c r="H14732" s="16" t="s">
        <v>87</v>
      </c>
      <c r="I14732" s="16" t="s">
        <v>87</v>
      </c>
      <c r="J14732" s="19"/>
      <c r="L14732" s="16" t="str">
        <f>IFERROR(__xludf.DUMMYFUNCTION("""COMPUTED_VALUE"""),"")</f>
        <v/>
      </c>
      <c r="M14732" s="16" t="str">
        <f>IFERROR(__xludf.DUMMYFUNCTION("""COMPUTED_VALUE"""),"")</f>
        <v/>
      </c>
      <c r="U14732" s="16" t="s">
        <v>87</v>
      </c>
      <c r="V14732" s="16" t="str">
        <f>IFERROR(__xludf.DUMMYFUNCTION("""COMPUTED_VALUE"""),"")</f>
        <v/>
      </c>
      <c r="W14732" s="16" t="str">
        <f>IFERROR(__xludf.DUMMYFUNCTION("""COMPUTED_VALUE"""),"")</f>
        <v/>
      </c>
      <c r="X14732" s="16" t="str">
        <f>IFERROR(__xludf.DUMMYFUNCTION("""COMPUTED_VALUE"""),"")</f>
        <v/>
      </c>
      <c r="AC14732" s="16" t="str">
        <f>IFERROR(__xludf.DUMMYFUNCTION("""COMPUTED_VALUE"""),"")</f>
        <v/>
      </c>
    </row>
    <row r="14733">
      <c r="A14733" s="16" t="s">
        <v>87</v>
      </c>
      <c r="E14733" s="16" t="str">
        <f>IFERROR(__xludf.DUMMYFUNCTION("""COMPUTED_VALUE"""),"")</f>
        <v/>
      </c>
      <c r="G14733" s="18"/>
      <c r="H14733" s="16" t="s">
        <v>87</v>
      </c>
      <c r="I14733" s="16" t="s">
        <v>87</v>
      </c>
      <c r="J14733" s="19"/>
      <c r="L14733" s="16" t="str">
        <f>IFERROR(__xludf.DUMMYFUNCTION("""COMPUTED_VALUE"""),"")</f>
        <v/>
      </c>
      <c r="M14733" s="16" t="str">
        <f>IFERROR(__xludf.DUMMYFUNCTION("""COMPUTED_VALUE"""),"")</f>
        <v/>
      </c>
      <c r="U14733" s="16" t="s">
        <v>87</v>
      </c>
      <c r="V14733" s="16" t="str">
        <f>IFERROR(__xludf.DUMMYFUNCTION("""COMPUTED_VALUE"""),"")</f>
        <v/>
      </c>
      <c r="W14733" s="16" t="str">
        <f>IFERROR(__xludf.DUMMYFUNCTION("""COMPUTED_VALUE"""),"")</f>
        <v/>
      </c>
      <c r="X14733" s="16" t="str">
        <f>IFERROR(__xludf.DUMMYFUNCTION("""COMPUTED_VALUE"""),"")</f>
        <v/>
      </c>
      <c r="AC14733" s="16" t="str">
        <f>IFERROR(__xludf.DUMMYFUNCTION("""COMPUTED_VALUE"""),"")</f>
        <v/>
      </c>
    </row>
    <row r="14734">
      <c r="A14734" s="16" t="s">
        <v>87</v>
      </c>
      <c r="E14734" s="16" t="str">
        <f>IFERROR(__xludf.DUMMYFUNCTION("""COMPUTED_VALUE"""),"")</f>
        <v/>
      </c>
      <c r="G14734" s="18"/>
      <c r="H14734" s="16" t="s">
        <v>87</v>
      </c>
      <c r="I14734" s="16" t="s">
        <v>87</v>
      </c>
      <c r="J14734" s="19"/>
      <c r="L14734" s="16" t="str">
        <f>IFERROR(__xludf.DUMMYFUNCTION("""COMPUTED_VALUE"""),"")</f>
        <v/>
      </c>
      <c r="M14734" s="16" t="str">
        <f>IFERROR(__xludf.DUMMYFUNCTION("""COMPUTED_VALUE"""),"")</f>
        <v/>
      </c>
      <c r="U14734" s="16" t="s">
        <v>87</v>
      </c>
      <c r="V14734" s="16" t="str">
        <f>IFERROR(__xludf.DUMMYFUNCTION("""COMPUTED_VALUE"""),"")</f>
        <v/>
      </c>
      <c r="W14734" s="16" t="str">
        <f>IFERROR(__xludf.DUMMYFUNCTION("""COMPUTED_VALUE"""),"")</f>
        <v/>
      </c>
      <c r="X14734" s="16" t="str">
        <f>IFERROR(__xludf.DUMMYFUNCTION("""COMPUTED_VALUE"""),"")</f>
        <v/>
      </c>
      <c r="AC14734" s="16" t="str">
        <f>IFERROR(__xludf.DUMMYFUNCTION("""COMPUTED_VALUE"""),"")</f>
        <v/>
      </c>
    </row>
    <row r="14735">
      <c r="A14735" s="16" t="s">
        <v>87</v>
      </c>
      <c r="E14735" s="16" t="str">
        <f>IFERROR(__xludf.DUMMYFUNCTION("""COMPUTED_VALUE"""),"")</f>
        <v/>
      </c>
      <c r="G14735" s="18"/>
      <c r="H14735" s="16" t="s">
        <v>87</v>
      </c>
      <c r="I14735" s="16" t="s">
        <v>87</v>
      </c>
      <c r="J14735" s="19"/>
      <c r="L14735" s="16" t="str">
        <f>IFERROR(__xludf.DUMMYFUNCTION("""COMPUTED_VALUE"""),"")</f>
        <v/>
      </c>
      <c r="M14735" s="16" t="str">
        <f>IFERROR(__xludf.DUMMYFUNCTION("""COMPUTED_VALUE"""),"")</f>
        <v/>
      </c>
      <c r="U14735" s="16" t="s">
        <v>87</v>
      </c>
      <c r="V14735" s="16" t="str">
        <f>IFERROR(__xludf.DUMMYFUNCTION("""COMPUTED_VALUE"""),"")</f>
        <v/>
      </c>
      <c r="W14735" s="16" t="str">
        <f>IFERROR(__xludf.DUMMYFUNCTION("""COMPUTED_VALUE"""),"")</f>
        <v/>
      </c>
      <c r="X14735" s="16" t="str">
        <f>IFERROR(__xludf.DUMMYFUNCTION("""COMPUTED_VALUE"""),"")</f>
        <v/>
      </c>
      <c r="AC14735" s="16" t="str">
        <f>IFERROR(__xludf.DUMMYFUNCTION("""COMPUTED_VALUE"""),"")</f>
        <v/>
      </c>
    </row>
    <row r="14736">
      <c r="A14736" s="16" t="s">
        <v>87</v>
      </c>
      <c r="E14736" s="16" t="str">
        <f>IFERROR(__xludf.DUMMYFUNCTION("""COMPUTED_VALUE"""),"")</f>
        <v/>
      </c>
      <c r="G14736" s="18"/>
      <c r="H14736" s="16" t="s">
        <v>87</v>
      </c>
      <c r="I14736" s="16" t="s">
        <v>87</v>
      </c>
      <c r="J14736" s="19"/>
      <c r="L14736" s="16" t="str">
        <f>IFERROR(__xludf.DUMMYFUNCTION("""COMPUTED_VALUE"""),"")</f>
        <v/>
      </c>
      <c r="M14736" s="16" t="str">
        <f>IFERROR(__xludf.DUMMYFUNCTION("""COMPUTED_VALUE"""),"")</f>
        <v/>
      </c>
      <c r="U14736" s="16" t="s">
        <v>87</v>
      </c>
      <c r="V14736" s="16" t="str">
        <f>IFERROR(__xludf.DUMMYFUNCTION("""COMPUTED_VALUE"""),"")</f>
        <v/>
      </c>
      <c r="W14736" s="16" t="str">
        <f>IFERROR(__xludf.DUMMYFUNCTION("""COMPUTED_VALUE"""),"")</f>
        <v/>
      </c>
      <c r="X14736" s="16" t="str">
        <f>IFERROR(__xludf.DUMMYFUNCTION("""COMPUTED_VALUE"""),"")</f>
        <v/>
      </c>
      <c r="AC14736" s="16" t="str">
        <f>IFERROR(__xludf.DUMMYFUNCTION("""COMPUTED_VALUE"""),"")</f>
        <v/>
      </c>
    </row>
    <row r="14737">
      <c r="A14737" s="16" t="s">
        <v>87</v>
      </c>
      <c r="E14737" s="16" t="str">
        <f>IFERROR(__xludf.DUMMYFUNCTION("""COMPUTED_VALUE"""),"")</f>
        <v/>
      </c>
      <c r="G14737" s="18"/>
      <c r="H14737" s="16" t="s">
        <v>87</v>
      </c>
      <c r="I14737" s="16" t="s">
        <v>87</v>
      </c>
      <c r="J14737" s="19"/>
      <c r="L14737" s="16" t="str">
        <f>IFERROR(__xludf.DUMMYFUNCTION("""COMPUTED_VALUE"""),"")</f>
        <v/>
      </c>
      <c r="M14737" s="16" t="str">
        <f>IFERROR(__xludf.DUMMYFUNCTION("""COMPUTED_VALUE"""),"")</f>
        <v/>
      </c>
      <c r="U14737" s="16" t="s">
        <v>87</v>
      </c>
      <c r="V14737" s="16" t="str">
        <f>IFERROR(__xludf.DUMMYFUNCTION("""COMPUTED_VALUE"""),"")</f>
        <v/>
      </c>
      <c r="W14737" s="16" t="str">
        <f>IFERROR(__xludf.DUMMYFUNCTION("""COMPUTED_VALUE"""),"")</f>
        <v/>
      </c>
      <c r="X14737" s="16" t="str">
        <f>IFERROR(__xludf.DUMMYFUNCTION("""COMPUTED_VALUE"""),"")</f>
        <v/>
      </c>
      <c r="AC14737" s="16" t="str">
        <f>IFERROR(__xludf.DUMMYFUNCTION("""COMPUTED_VALUE"""),"")</f>
        <v/>
      </c>
    </row>
    <row r="14738">
      <c r="A14738" s="16" t="s">
        <v>87</v>
      </c>
      <c r="E14738" s="16" t="str">
        <f>IFERROR(__xludf.DUMMYFUNCTION("""COMPUTED_VALUE"""),"")</f>
        <v/>
      </c>
      <c r="G14738" s="18"/>
      <c r="H14738" s="16" t="s">
        <v>87</v>
      </c>
      <c r="I14738" s="16" t="s">
        <v>87</v>
      </c>
      <c r="J14738" s="19"/>
      <c r="L14738" s="16" t="str">
        <f>IFERROR(__xludf.DUMMYFUNCTION("""COMPUTED_VALUE"""),"")</f>
        <v/>
      </c>
      <c r="M14738" s="16" t="str">
        <f>IFERROR(__xludf.DUMMYFUNCTION("""COMPUTED_VALUE"""),"")</f>
        <v/>
      </c>
      <c r="U14738" s="16" t="s">
        <v>87</v>
      </c>
      <c r="V14738" s="16" t="str">
        <f>IFERROR(__xludf.DUMMYFUNCTION("""COMPUTED_VALUE"""),"")</f>
        <v/>
      </c>
      <c r="W14738" s="16" t="str">
        <f>IFERROR(__xludf.DUMMYFUNCTION("""COMPUTED_VALUE"""),"")</f>
        <v/>
      </c>
      <c r="X14738" s="16" t="str">
        <f>IFERROR(__xludf.DUMMYFUNCTION("""COMPUTED_VALUE"""),"")</f>
        <v/>
      </c>
      <c r="AC14738" s="16" t="str">
        <f>IFERROR(__xludf.DUMMYFUNCTION("""COMPUTED_VALUE"""),"")</f>
        <v/>
      </c>
    </row>
    <row r="14739">
      <c r="A14739" s="16" t="s">
        <v>87</v>
      </c>
      <c r="E14739" s="16" t="str">
        <f>IFERROR(__xludf.DUMMYFUNCTION("""COMPUTED_VALUE"""),"")</f>
        <v/>
      </c>
      <c r="G14739" s="18"/>
      <c r="H14739" s="16" t="s">
        <v>87</v>
      </c>
      <c r="I14739" s="16" t="s">
        <v>87</v>
      </c>
      <c r="J14739" s="19"/>
      <c r="L14739" s="16" t="str">
        <f>IFERROR(__xludf.DUMMYFUNCTION("""COMPUTED_VALUE"""),"")</f>
        <v/>
      </c>
      <c r="M14739" s="16" t="str">
        <f>IFERROR(__xludf.DUMMYFUNCTION("""COMPUTED_VALUE"""),"")</f>
        <v/>
      </c>
      <c r="U14739" s="16" t="s">
        <v>87</v>
      </c>
      <c r="V14739" s="16" t="str">
        <f>IFERROR(__xludf.DUMMYFUNCTION("""COMPUTED_VALUE"""),"")</f>
        <v/>
      </c>
      <c r="W14739" s="16" t="str">
        <f>IFERROR(__xludf.DUMMYFUNCTION("""COMPUTED_VALUE"""),"")</f>
        <v/>
      </c>
      <c r="X14739" s="16" t="str">
        <f>IFERROR(__xludf.DUMMYFUNCTION("""COMPUTED_VALUE"""),"")</f>
        <v/>
      </c>
      <c r="AC14739" s="16" t="str">
        <f>IFERROR(__xludf.DUMMYFUNCTION("""COMPUTED_VALUE"""),"")</f>
        <v/>
      </c>
    </row>
    <row r="14740">
      <c r="A14740" s="16" t="s">
        <v>87</v>
      </c>
      <c r="E14740" s="16" t="str">
        <f>IFERROR(__xludf.DUMMYFUNCTION("""COMPUTED_VALUE"""),"")</f>
        <v/>
      </c>
      <c r="G14740" s="18"/>
      <c r="H14740" s="16" t="s">
        <v>87</v>
      </c>
      <c r="I14740" s="16" t="s">
        <v>87</v>
      </c>
      <c r="J14740" s="19"/>
      <c r="L14740" s="16" t="str">
        <f>IFERROR(__xludf.DUMMYFUNCTION("""COMPUTED_VALUE"""),"")</f>
        <v/>
      </c>
      <c r="M14740" s="16" t="str">
        <f>IFERROR(__xludf.DUMMYFUNCTION("""COMPUTED_VALUE"""),"")</f>
        <v/>
      </c>
      <c r="U14740" s="16" t="s">
        <v>87</v>
      </c>
      <c r="V14740" s="16" t="str">
        <f>IFERROR(__xludf.DUMMYFUNCTION("""COMPUTED_VALUE"""),"")</f>
        <v/>
      </c>
      <c r="W14740" s="16" t="str">
        <f>IFERROR(__xludf.DUMMYFUNCTION("""COMPUTED_VALUE"""),"")</f>
        <v/>
      </c>
      <c r="X14740" s="16" t="str">
        <f>IFERROR(__xludf.DUMMYFUNCTION("""COMPUTED_VALUE"""),"")</f>
        <v/>
      </c>
      <c r="AC14740" s="16" t="str">
        <f>IFERROR(__xludf.DUMMYFUNCTION("""COMPUTED_VALUE"""),"")</f>
        <v/>
      </c>
    </row>
    <row r="14741">
      <c r="A14741" s="16" t="s">
        <v>87</v>
      </c>
      <c r="E14741" s="16" t="str">
        <f>IFERROR(__xludf.DUMMYFUNCTION("""COMPUTED_VALUE"""),"")</f>
        <v/>
      </c>
      <c r="G14741" s="18"/>
      <c r="H14741" s="16" t="s">
        <v>87</v>
      </c>
      <c r="I14741" s="16" t="s">
        <v>87</v>
      </c>
      <c r="J14741" s="19"/>
      <c r="L14741" s="16" t="str">
        <f>IFERROR(__xludf.DUMMYFUNCTION("""COMPUTED_VALUE"""),"")</f>
        <v/>
      </c>
      <c r="M14741" s="16" t="str">
        <f>IFERROR(__xludf.DUMMYFUNCTION("""COMPUTED_VALUE"""),"")</f>
        <v/>
      </c>
      <c r="U14741" s="16" t="s">
        <v>87</v>
      </c>
      <c r="V14741" s="16" t="str">
        <f>IFERROR(__xludf.DUMMYFUNCTION("""COMPUTED_VALUE"""),"")</f>
        <v/>
      </c>
      <c r="W14741" s="16" t="str">
        <f>IFERROR(__xludf.DUMMYFUNCTION("""COMPUTED_VALUE"""),"")</f>
        <v/>
      </c>
      <c r="X14741" s="16" t="str">
        <f>IFERROR(__xludf.DUMMYFUNCTION("""COMPUTED_VALUE"""),"")</f>
        <v/>
      </c>
      <c r="AC14741" s="16" t="str">
        <f>IFERROR(__xludf.DUMMYFUNCTION("""COMPUTED_VALUE"""),"")</f>
        <v/>
      </c>
    </row>
    <row r="14742">
      <c r="A14742" s="16" t="s">
        <v>87</v>
      </c>
      <c r="E14742" s="16" t="str">
        <f>IFERROR(__xludf.DUMMYFUNCTION("""COMPUTED_VALUE"""),"")</f>
        <v/>
      </c>
      <c r="G14742" s="18"/>
      <c r="H14742" s="16" t="s">
        <v>87</v>
      </c>
      <c r="I14742" s="16" t="s">
        <v>87</v>
      </c>
      <c r="J14742" s="19"/>
      <c r="L14742" s="16" t="str">
        <f>IFERROR(__xludf.DUMMYFUNCTION("""COMPUTED_VALUE"""),"")</f>
        <v/>
      </c>
      <c r="M14742" s="16" t="str">
        <f>IFERROR(__xludf.DUMMYFUNCTION("""COMPUTED_VALUE"""),"")</f>
        <v/>
      </c>
      <c r="U14742" s="16" t="s">
        <v>87</v>
      </c>
      <c r="V14742" s="16" t="str">
        <f>IFERROR(__xludf.DUMMYFUNCTION("""COMPUTED_VALUE"""),"")</f>
        <v/>
      </c>
      <c r="W14742" s="16" t="str">
        <f>IFERROR(__xludf.DUMMYFUNCTION("""COMPUTED_VALUE"""),"")</f>
        <v/>
      </c>
      <c r="X14742" s="16" t="str">
        <f>IFERROR(__xludf.DUMMYFUNCTION("""COMPUTED_VALUE"""),"")</f>
        <v/>
      </c>
      <c r="AC14742" s="16" t="str">
        <f>IFERROR(__xludf.DUMMYFUNCTION("""COMPUTED_VALUE"""),"")</f>
        <v/>
      </c>
    </row>
    <row r="14743">
      <c r="A14743" s="16" t="s">
        <v>87</v>
      </c>
      <c r="E14743" s="16" t="str">
        <f>IFERROR(__xludf.DUMMYFUNCTION("""COMPUTED_VALUE"""),"")</f>
        <v/>
      </c>
      <c r="G14743" s="18"/>
      <c r="H14743" s="16" t="s">
        <v>87</v>
      </c>
      <c r="I14743" s="16" t="s">
        <v>87</v>
      </c>
      <c r="J14743" s="19"/>
      <c r="L14743" s="16" t="str">
        <f>IFERROR(__xludf.DUMMYFUNCTION("""COMPUTED_VALUE"""),"")</f>
        <v/>
      </c>
      <c r="M14743" s="16" t="str">
        <f>IFERROR(__xludf.DUMMYFUNCTION("""COMPUTED_VALUE"""),"")</f>
        <v/>
      </c>
      <c r="U14743" s="16" t="s">
        <v>87</v>
      </c>
      <c r="V14743" s="16" t="str">
        <f>IFERROR(__xludf.DUMMYFUNCTION("""COMPUTED_VALUE"""),"")</f>
        <v/>
      </c>
      <c r="W14743" s="16" t="str">
        <f>IFERROR(__xludf.DUMMYFUNCTION("""COMPUTED_VALUE"""),"")</f>
        <v/>
      </c>
      <c r="X14743" s="16" t="str">
        <f>IFERROR(__xludf.DUMMYFUNCTION("""COMPUTED_VALUE"""),"")</f>
        <v/>
      </c>
      <c r="AC14743" s="16" t="str">
        <f>IFERROR(__xludf.DUMMYFUNCTION("""COMPUTED_VALUE"""),"")</f>
        <v/>
      </c>
    </row>
    <row r="14744">
      <c r="A14744" s="16" t="s">
        <v>87</v>
      </c>
      <c r="E14744" s="16" t="str">
        <f>IFERROR(__xludf.DUMMYFUNCTION("""COMPUTED_VALUE"""),"")</f>
        <v/>
      </c>
      <c r="G14744" s="18"/>
      <c r="H14744" s="16" t="s">
        <v>87</v>
      </c>
      <c r="I14744" s="16" t="s">
        <v>87</v>
      </c>
      <c r="J14744" s="19"/>
      <c r="L14744" s="16" t="str">
        <f>IFERROR(__xludf.DUMMYFUNCTION("""COMPUTED_VALUE"""),"")</f>
        <v/>
      </c>
      <c r="M14744" s="16" t="str">
        <f>IFERROR(__xludf.DUMMYFUNCTION("""COMPUTED_VALUE"""),"")</f>
        <v/>
      </c>
      <c r="U14744" s="16" t="s">
        <v>87</v>
      </c>
      <c r="V14744" s="16" t="str">
        <f>IFERROR(__xludf.DUMMYFUNCTION("""COMPUTED_VALUE"""),"")</f>
        <v/>
      </c>
      <c r="W14744" s="16" t="str">
        <f>IFERROR(__xludf.DUMMYFUNCTION("""COMPUTED_VALUE"""),"")</f>
        <v/>
      </c>
      <c r="X14744" s="16" t="str">
        <f>IFERROR(__xludf.DUMMYFUNCTION("""COMPUTED_VALUE"""),"")</f>
        <v/>
      </c>
      <c r="AC14744" s="16" t="str">
        <f>IFERROR(__xludf.DUMMYFUNCTION("""COMPUTED_VALUE"""),"")</f>
        <v/>
      </c>
    </row>
    <row r="14745">
      <c r="A14745" s="16" t="s">
        <v>87</v>
      </c>
      <c r="E14745" s="16" t="str">
        <f>IFERROR(__xludf.DUMMYFUNCTION("""COMPUTED_VALUE"""),"")</f>
        <v/>
      </c>
      <c r="G14745" s="18"/>
      <c r="H14745" s="16" t="s">
        <v>87</v>
      </c>
      <c r="I14745" s="16" t="s">
        <v>87</v>
      </c>
      <c r="J14745" s="19"/>
      <c r="L14745" s="16" t="str">
        <f>IFERROR(__xludf.DUMMYFUNCTION("""COMPUTED_VALUE"""),"")</f>
        <v/>
      </c>
      <c r="M14745" s="16" t="str">
        <f>IFERROR(__xludf.DUMMYFUNCTION("""COMPUTED_VALUE"""),"")</f>
        <v/>
      </c>
      <c r="U14745" s="16" t="s">
        <v>87</v>
      </c>
      <c r="V14745" s="16" t="str">
        <f>IFERROR(__xludf.DUMMYFUNCTION("""COMPUTED_VALUE"""),"")</f>
        <v/>
      </c>
      <c r="W14745" s="16" t="str">
        <f>IFERROR(__xludf.DUMMYFUNCTION("""COMPUTED_VALUE"""),"")</f>
        <v/>
      </c>
      <c r="X14745" s="16" t="str">
        <f>IFERROR(__xludf.DUMMYFUNCTION("""COMPUTED_VALUE"""),"")</f>
        <v/>
      </c>
      <c r="AC14745" s="16" t="str">
        <f>IFERROR(__xludf.DUMMYFUNCTION("""COMPUTED_VALUE"""),"")</f>
        <v/>
      </c>
    </row>
    <row r="14746">
      <c r="A14746" s="16" t="s">
        <v>87</v>
      </c>
      <c r="E14746" s="16" t="str">
        <f>IFERROR(__xludf.DUMMYFUNCTION("""COMPUTED_VALUE"""),"")</f>
        <v/>
      </c>
      <c r="G14746" s="18"/>
      <c r="H14746" s="16" t="s">
        <v>87</v>
      </c>
      <c r="I14746" s="16" t="s">
        <v>87</v>
      </c>
      <c r="J14746" s="19"/>
      <c r="L14746" s="16" t="str">
        <f>IFERROR(__xludf.DUMMYFUNCTION("""COMPUTED_VALUE"""),"")</f>
        <v/>
      </c>
      <c r="M14746" s="16" t="str">
        <f>IFERROR(__xludf.DUMMYFUNCTION("""COMPUTED_VALUE"""),"")</f>
        <v/>
      </c>
      <c r="U14746" s="16" t="s">
        <v>87</v>
      </c>
      <c r="V14746" s="16" t="str">
        <f>IFERROR(__xludf.DUMMYFUNCTION("""COMPUTED_VALUE"""),"")</f>
        <v/>
      </c>
      <c r="W14746" s="16" t="str">
        <f>IFERROR(__xludf.DUMMYFUNCTION("""COMPUTED_VALUE"""),"")</f>
        <v/>
      </c>
      <c r="X14746" s="16" t="str">
        <f>IFERROR(__xludf.DUMMYFUNCTION("""COMPUTED_VALUE"""),"")</f>
        <v/>
      </c>
      <c r="AC14746" s="16" t="str">
        <f>IFERROR(__xludf.DUMMYFUNCTION("""COMPUTED_VALUE"""),"")</f>
        <v/>
      </c>
    </row>
    <row r="14747">
      <c r="A14747" s="16" t="s">
        <v>87</v>
      </c>
      <c r="E14747" s="16" t="str">
        <f>IFERROR(__xludf.DUMMYFUNCTION("""COMPUTED_VALUE"""),"")</f>
        <v/>
      </c>
      <c r="G14747" s="18"/>
      <c r="H14747" s="16" t="s">
        <v>87</v>
      </c>
      <c r="I14747" s="16" t="s">
        <v>87</v>
      </c>
      <c r="J14747" s="19"/>
      <c r="L14747" s="16" t="str">
        <f>IFERROR(__xludf.DUMMYFUNCTION("""COMPUTED_VALUE"""),"")</f>
        <v/>
      </c>
      <c r="M14747" s="16" t="str">
        <f>IFERROR(__xludf.DUMMYFUNCTION("""COMPUTED_VALUE"""),"")</f>
        <v/>
      </c>
      <c r="U14747" s="16" t="s">
        <v>87</v>
      </c>
      <c r="V14747" s="16" t="str">
        <f>IFERROR(__xludf.DUMMYFUNCTION("""COMPUTED_VALUE"""),"")</f>
        <v/>
      </c>
      <c r="W14747" s="16" t="str">
        <f>IFERROR(__xludf.DUMMYFUNCTION("""COMPUTED_VALUE"""),"")</f>
        <v/>
      </c>
      <c r="X14747" s="16" t="str">
        <f>IFERROR(__xludf.DUMMYFUNCTION("""COMPUTED_VALUE"""),"")</f>
        <v/>
      </c>
      <c r="AC14747" s="16" t="str">
        <f>IFERROR(__xludf.DUMMYFUNCTION("""COMPUTED_VALUE"""),"")</f>
        <v/>
      </c>
    </row>
    <row r="14748">
      <c r="A14748" s="16" t="s">
        <v>87</v>
      </c>
      <c r="E14748" s="16" t="str">
        <f>IFERROR(__xludf.DUMMYFUNCTION("""COMPUTED_VALUE"""),"")</f>
        <v/>
      </c>
      <c r="G14748" s="18"/>
      <c r="H14748" s="16" t="s">
        <v>87</v>
      </c>
      <c r="I14748" s="16" t="s">
        <v>87</v>
      </c>
      <c r="J14748" s="19"/>
      <c r="L14748" s="16" t="str">
        <f>IFERROR(__xludf.DUMMYFUNCTION("""COMPUTED_VALUE"""),"")</f>
        <v/>
      </c>
      <c r="M14748" s="16" t="str">
        <f>IFERROR(__xludf.DUMMYFUNCTION("""COMPUTED_VALUE"""),"")</f>
        <v/>
      </c>
      <c r="U14748" s="16" t="s">
        <v>87</v>
      </c>
      <c r="V14748" s="16" t="str">
        <f>IFERROR(__xludf.DUMMYFUNCTION("""COMPUTED_VALUE"""),"")</f>
        <v/>
      </c>
      <c r="W14748" s="16" t="str">
        <f>IFERROR(__xludf.DUMMYFUNCTION("""COMPUTED_VALUE"""),"")</f>
        <v/>
      </c>
      <c r="X14748" s="16" t="str">
        <f>IFERROR(__xludf.DUMMYFUNCTION("""COMPUTED_VALUE"""),"")</f>
        <v/>
      </c>
      <c r="AC14748" s="16" t="str">
        <f>IFERROR(__xludf.DUMMYFUNCTION("""COMPUTED_VALUE"""),"")</f>
        <v/>
      </c>
    </row>
    <row r="14749">
      <c r="A14749" s="16" t="s">
        <v>87</v>
      </c>
      <c r="E14749" s="16" t="str">
        <f>IFERROR(__xludf.DUMMYFUNCTION("""COMPUTED_VALUE"""),"")</f>
        <v/>
      </c>
      <c r="G14749" s="18"/>
      <c r="H14749" s="16" t="s">
        <v>87</v>
      </c>
      <c r="I14749" s="16" t="s">
        <v>87</v>
      </c>
      <c r="J14749" s="19"/>
      <c r="L14749" s="16" t="str">
        <f>IFERROR(__xludf.DUMMYFUNCTION("""COMPUTED_VALUE"""),"")</f>
        <v/>
      </c>
      <c r="M14749" s="16" t="str">
        <f>IFERROR(__xludf.DUMMYFUNCTION("""COMPUTED_VALUE"""),"")</f>
        <v/>
      </c>
      <c r="U14749" s="16" t="s">
        <v>87</v>
      </c>
      <c r="V14749" s="16" t="str">
        <f>IFERROR(__xludf.DUMMYFUNCTION("""COMPUTED_VALUE"""),"")</f>
        <v/>
      </c>
      <c r="W14749" s="16" t="str">
        <f>IFERROR(__xludf.DUMMYFUNCTION("""COMPUTED_VALUE"""),"")</f>
        <v/>
      </c>
      <c r="X14749" s="16" t="str">
        <f>IFERROR(__xludf.DUMMYFUNCTION("""COMPUTED_VALUE"""),"")</f>
        <v/>
      </c>
      <c r="AC14749" s="16" t="str">
        <f>IFERROR(__xludf.DUMMYFUNCTION("""COMPUTED_VALUE"""),"")</f>
        <v/>
      </c>
    </row>
    <row r="14750">
      <c r="A14750" s="16" t="s">
        <v>87</v>
      </c>
      <c r="E14750" s="16" t="str">
        <f>IFERROR(__xludf.DUMMYFUNCTION("""COMPUTED_VALUE"""),"")</f>
        <v/>
      </c>
      <c r="G14750" s="18"/>
      <c r="H14750" s="16" t="s">
        <v>87</v>
      </c>
      <c r="I14750" s="16" t="s">
        <v>87</v>
      </c>
      <c r="J14750" s="19"/>
      <c r="L14750" s="16" t="str">
        <f>IFERROR(__xludf.DUMMYFUNCTION("""COMPUTED_VALUE"""),"")</f>
        <v/>
      </c>
      <c r="M14750" s="16" t="str">
        <f>IFERROR(__xludf.DUMMYFUNCTION("""COMPUTED_VALUE"""),"")</f>
        <v/>
      </c>
      <c r="U14750" s="16" t="s">
        <v>87</v>
      </c>
      <c r="V14750" s="16" t="str">
        <f>IFERROR(__xludf.DUMMYFUNCTION("""COMPUTED_VALUE"""),"")</f>
        <v/>
      </c>
      <c r="W14750" s="16" t="str">
        <f>IFERROR(__xludf.DUMMYFUNCTION("""COMPUTED_VALUE"""),"")</f>
        <v/>
      </c>
      <c r="X14750" s="16" t="str">
        <f>IFERROR(__xludf.DUMMYFUNCTION("""COMPUTED_VALUE"""),"")</f>
        <v/>
      </c>
      <c r="AC14750" s="16" t="str">
        <f>IFERROR(__xludf.DUMMYFUNCTION("""COMPUTED_VALUE"""),"")</f>
        <v/>
      </c>
    </row>
    <row r="14751">
      <c r="A14751" s="16" t="s">
        <v>87</v>
      </c>
      <c r="E14751" s="16" t="str">
        <f>IFERROR(__xludf.DUMMYFUNCTION("""COMPUTED_VALUE"""),"")</f>
        <v/>
      </c>
      <c r="G14751" s="18"/>
      <c r="H14751" s="16" t="s">
        <v>87</v>
      </c>
      <c r="I14751" s="16" t="s">
        <v>87</v>
      </c>
      <c r="J14751" s="19"/>
      <c r="L14751" s="16" t="str">
        <f>IFERROR(__xludf.DUMMYFUNCTION("""COMPUTED_VALUE"""),"")</f>
        <v/>
      </c>
      <c r="M14751" s="16" t="str">
        <f>IFERROR(__xludf.DUMMYFUNCTION("""COMPUTED_VALUE"""),"")</f>
        <v/>
      </c>
      <c r="U14751" s="16" t="s">
        <v>87</v>
      </c>
      <c r="V14751" s="16" t="str">
        <f>IFERROR(__xludf.DUMMYFUNCTION("""COMPUTED_VALUE"""),"")</f>
        <v/>
      </c>
      <c r="W14751" s="16" t="str">
        <f>IFERROR(__xludf.DUMMYFUNCTION("""COMPUTED_VALUE"""),"")</f>
        <v/>
      </c>
      <c r="X14751" s="16" t="str">
        <f>IFERROR(__xludf.DUMMYFUNCTION("""COMPUTED_VALUE"""),"")</f>
        <v/>
      </c>
      <c r="AC14751" s="16" t="str">
        <f>IFERROR(__xludf.DUMMYFUNCTION("""COMPUTED_VALUE"""),"")</f>
        <v/>
      </c>
    </row>
    <row r="14752">
      <c r="A14752" s="16" t="s">
        <v>87</v>
      </c>
      <c r="E14752" s="16" t="str">
        <f>IFERROR(__xludf.DUMMYFUNCTION("""COMPUTED_VALUE"""),"")</f>
        <v/>
      </c>
      <c r="G14752" s="18"/>
      <c r="H14752" s="16" t="s">
        <v>87</v>
      </c>
      <c r="I14752" s="16" t="s">
        <v>87</v>
      </c>
      <c r="J14752" s="19"/>
      <c r="L14752" s="16" t="str">
        <f>IFERROR(__xludf.DUMMYFUNCTION("""COMPUTED_VALUE"""),"")</f>
        <v/>
      </c>
      <c r="M14752" s="16" t="str">
        <f>IFERROR(__xludf.DUMMYFUNCTION("""COMPUTED_VALUE"""),"")</f>
        <v/>
      </c>
      <c r="U14752" s="16" t="s">
        <v>87</v>
      </c>
      <c r="V14752" s="16" t="str">
        <f>IFERROR(__xludf.DUMMYFUNCTION("""COMPUTED_VALUE"""),"")</f>
        <v/>
      </c>
      <c r="W14752" s="16" t="str">
        <f>IFERROR(__xludf.DUMMYFUNCTION("""COMPUTED_VALUE"""),"")</f>
        <v/>
      </c>
      <c r="X14752" s="16" t="str">
        <f>IFERROR(__xludf.DUMMYFUNCTION("""COMPUTED_VALUE"""),"")</f>
        <v/>
      </c>
      <c r="AC14752" s="16" t="str">
        <f>IFERROR(__xludf.DUMMYFUNCTION("""COMPUTED_VALUE"""),"")</f>
        <v/>
      </c>
    </row>
    <row r="14753">
      <c r="A14753" s="16" t="s">
        <v>87</v>
      </c>
      <c r="E14753" s="16" t="str">
        <f>IFERROR(__xludf.DUMMYFUNCTION("""COMPUTED_VALUE"""),"")</f>
        <v/>
      </c>
      <c r="G14753" s="18"/>
      <c r="H14753" s="16" t="s">
        <v>87</v>
      </c>
      <c r="I14753" s="16" t="s">
        <v>87</v>
      </c>
      <c r="J14753" s="19"/>
      <c r="L14753" s="16" t="str">
        <f>IFERROR(__xludf.DUMMYFUNCTION("""COMPUTED_VALUE"""),"")</f>
        <v/>
      </c>
      <c r="M14753" s="16" t="str">
        <f>IFERROR(__xludf.DUMMYFUNCTION("""COMPUTED_VALUE"""),"")</f>
        <v/>
      </c>
      <c r="U14753" s="16" t="s">
        <v>87</v>
      </c>
      <c r="V14753" s="16" t="str">
        <f>IFERROR(__xludf.DUMMYFUNCTION("""COMPUTED_VALUE"""),"")</f>
        <v/>
      </c>
      <c r="W14753" s="16" t="str">
        <f>IFERROR(__xludf.DUMMYFUNCTION("""COMPUTED_VALUE"""),"")</f>
        <v/>
      </c>
      <c r="X14753" s="16" t="str">
        <f>IFERROR(__xludf.DUMMYFUNCTION("""COMPUTED_VALUE"""),"")</f>
        <v/>
      </c>
      <c r="AC14753" s="16" t="str">
        <f>IFERROR(__xludf.DUMMYFUNCTION("""COMPUTED_VALUE"""),"")</f>
        <v/>
      </c>
    </row>
    <row r="14754">
      <c r="A14754" s="16" t="s">
        <v>87</v>
      </c>
      <c r="E14754" s="16" t="str">
        <f>IFERROR(__xludf.DUMMYFUNCTION("""COMPUTED_VALUE"""),"")</f>
        <v/>
      </c>
      <c r="G14754" s="18"/>
      <c r="H14754" s="16" t="s">
        <v>87</v>
      </c>
      <c r="I14754" s="16" t="s">
        <v>87</v>
      </c>
      <c r="J14754" s="19"/>
      <c r="L14754" s="16" t="str">
        <f>IFERROR(__xludf.DUMMYFUNCTION("""COMPUTED_VALUE"""),"")</f>
        <v/>
      </c>
      <c r="M14754" s="16" t="str">
        <f>IFERROR(__xludf.DUMMYFUNCTION("""COMPUTED_VALUE"""),"")</f>
        <v/>
      </c>
      <c r="U14754" s="16" t="s">
        <v>87</v>
      </c>
      <c r="V14754" s="16" t="str">
        <f>IFERROR(__xludf.DUMMYFUNCTION("""COMPUTED_VALUE"""),"")</f>
        <v/>
      </c>
      <c r="W14754" s="16" t="str">
        <f>IFERROR(__xludf.DUMMYFUNCTION("""COMPUTED_VALUE"""),"")</f>
        <v/>
      </c>
      <c r="X14754" s="16" t="str">
        <f>IFERROR(__xludf.DUMMYFUNCTION("""COMPUTED_VALUE"""),"")</f>
        <v/>
      </c>
      <c r="AC14754" s="16" t="str">
        <f>IFERROR(__xludf.DUMMYFUNCTION("""COMPUTED_VALUE"""),"")</f>
        <v/>
      </c>
    </row>
    <row r="14755">
      <c r="A14755" s="16" t="s">
        <v>87</v>
      </c>
      <c r="E14755" s="16" t="str">
        <f>IFERROR(__xludf.DUMMYFUNCTION("""COMPUTED_VALUE"""),"")</f>
        <v/>
      </c>
      <c r="G14755" s="18"/>
      <c r="H14755" s="16" t="s">
        <v>87</v>
      </c>
      <c r="I14755" s="16" t="s">
        <v>87</v>
      </c>
      <c r="J14755" s="19"/>
      <c r="L14755" s="16" t="str">
        <f>IFERROR(__xludf.DUMMYFUNCTION("""COMPUTED_VALUE"""),"")</f>
        <v/>
      </c>
      <c r="M14755" s="16" t="str">
        <f>IFERROR(__xludf.DUMMYFUNCTION("""COMPUTED_VALUE"""),"")</f>
        <v/>
      </c>
      <c r="U14755" s="16" t="s">
        <v>87</v>
      </c>
      <c r="V14755" s="16" t="str">
        <f>IFERROR(__xludf.DUMMYFUNCTION("""COMPUTED_VALUE"""),"")</f>
        <v/>
      </c>
      <c r="W14755" s="16" t="str">
        <f>IFERROR(__xludf.DUMMYFUNCTION("""COMPUTED_VALUE"""),"")</f>
        <v/>
      </c>
      <c r="X14755" s="16" t="str">
        <f>IFERROR(__xludf.DUMMYFUNCTION("""COMPUTED_VALUE"""),"")</f>
        <v/>
      </c>
      <c r="AC14755" s="16" t="str">
        <f>IFERROR(__xludf.DUMMYFUNCTION("""COMPUTED_VALUE"""),"")</f>
        <v/>
      </c>
    </row>
    <row r="14756">
      <c r="A14756" s="16" t="s">
        <v>87</v>
      </c>
      <c r="E14756" s="16" t="str">
        <f>IFERROR(__xludf.DUMMYFUNCTION("""COMPUTED_VALUE"""),"")</f>
        <v/>
      </c>
      <c r="G14756" s="18"/>
      <c r="H14756" s="16" t="s">
        <v>87</v>
      </c>
      <c r="I14756" s="16" t="s">
        <v>87</v>
      </c>
      <c r="J14756" s="19"/>
      <c r="L14756" s="16" t="str">
        <f>IFERROR(__xludf.DUMMYFUNCTION("""COMPUTED_VALUE"""),"")</f>
        <v/>
      </c>
      <c r="M14756" s="16" t="str">
        <f>IFERROR(__xludf.DUMMYFUNCTION("""COMPUTED_VALUE"""),"")</f>
        <v/>
      </c>
      <c r="U14756" s="16" t="s">
        <v>87</v>
      </c>
      <c r="V14756" s="16" t="str">
        <f>IFERROR(__xludf.DUMMYFUNCTION("""COMPUTED_VALUE"""),"")</f>
        <v/>
      </c>
      <c r="W14756" s="16" t="str">
        <f>IFERROR(__xludf.DUMMYFUNCTION("""COMPUTED_VALUE"""),"")</f>
        <v/>
      </c>
      <c r="X14756" s="16" t="str">
        <f>IFERROR(__xludf.DUMMYFUNCTION("""COMPUTED_VALUE"""),"")</f>
        <v/>
      </c>
      <c r="AC14756" s="16" t="str">
        <f>IFERROR(__xludf.DUMMYFUNCTION("""COMPUTED_VALUE"""),"")</f>
        <v/>
      </c>
    </row>
    <row r="14757">
      <c r="A14757" s="16" t="s">
        <v>87</v>
      </c>
      <c r="E14757" s="16" t="str">
        <f>IFERROR(__xludf.DUMMYFUNCTION("""COMPUTED_VALUE"""),"")</f>
        <v/>
      </c>
      <c r="G14757" s="18"/>
      <c r="H14757" s="16" t="s">
        <v>87</v>
      </c>
      <c r="I14757" s="16" t="s">
        <v>87</v>
      </c>
      <c r="J14757" s="19"/>
      <c r="L14757" s="16" t="str">
        <f>IFERROR(__xludf.DUMMYFUNCTION("""COMPUTED_VALUE"""),"")</f>
        <v/>
      </c>
      <c r="M14757" s="16" t="str">
        <f>IFERROR(__xludf.DUMMYFUNCTION("""COMPUTED_VALUE"""),"")</f>
        <v/>
      </c>
      <c r="U14757" s="16" t="s">
        <v>87</v>
      </c>
      <c r="V14757" s="16" t="str">
        <f>IFERROR(__xludf.DUMMYFUNCTION("""COMPUTED_VALUE"""),"")</f>
        <v/>
      </c>
      <c r="W14757" s="16" t="str">
        <f>IFERROR(__xludf.DUMMYFUNCTION("""COMPUTED_VALUE"""),"")</f>
        <v/>
      </c>
      <c r="X14757" s="16" t="str">
        <f>IFERROR(__xludf.DUMMYFUNCTION("""COMPUTED_VALUE"""),"")</f>
        <v/>
      </c>
      <c r="AC14757" s="16" t="str">
        <f>IFERROR(__xludf.DUMMYFUNCTION("""COMPUTED_VALUE"""),"")</f>
        <v/>
      </c>
    </row>
    <row r="14758">
      <c r="A14758" s="16" t="s">
        <v>87</v>
      </c>
      <c r="E14758" s="16" t="str">
        <f>IFERROR(__xludf.DUMMYFUNCTION("""COMPUTED_VALUE"""),"")</f>
        <v/>
      </c>
      <c r="G14758" s="18"/>
      <c r="H14758" s="16" t="s">
        <v>87</v>
      </c>
      <c r="I14758" s="16" t="s">
        <v>87</v>
      </c>
      <c r="J14758" s="19"/>
      <c r="L14758" s="16" t="str">
        <f>IFERROR(__xludf.DUMMYFUNCTION("""COMPUTED_VALUE"""),"")</f>
        <v/>
      </c>
      <c r="M14758" s="16" t="str">
        <f>IFERROR(__xludf.DUMMYFUNCTION("""COMPUTED_VALUE"""),"")</f>
        <v/>
      </c>
      <c r="U14758" s="16" t="s">
        <v>87</v>
      </c>
      <c r="V14758" s="16" t="str">
        <f>IFERROR(__xludf.DUMMYFUNCTION("""COMPUTED_VALUE"""),"")</f>
        <v/>
      </c>
      <c r="W14758" s="16" t="str">
        <f>IFERROR(__xludf.DUMMYFUNCTION("""COMPUTED_VALUE"""),"")</f>
        <v/>
      </c>
      <c r="X14758" s="16" t="str">
        <f>IFERROR(__xludf.DUMMYFUNCTION("""COMPUTED_VALUE"""),"")</f>
        <v/>
      </c>
      <c r="AC14758" s="16" t="str">
        <f>IFERROR(__xludf.DUMMYFUNCTION("""COMPUTED_VALUE"""),"")</f>
        <v/>
      </c>
    </row>
    <row r="14759">
      <c r="A14759" s="16" t="s">
        <v>87</v>
      </c>
      <c r="E14759" s="16" t="str">
        <f>IFERROR(__xludf.DUMMYFUNCTION("""COMPUTED_VALUE"""),"")</f>
        <v/>
      </c>
      <c r="G14759" s="18"/>
      <c r="H14759" s="16" t="s">
        <v>87</v>
      </c>
      <c r="I14759" s="16" t="s">
        <v>87</v>
      </c>
      <c r="J14759" s="19"/>
      <c r="L14759" s="16" t="str">
        <f>IFERROR(__xludf.DUMMYFUNCTION("""COMPUTED_VALUE"""),"")</f>
        <v/>
      </c>
      <c r="M14759" s="16" t="str">
        <f>IFERROR(__xludf.DUMMYFUNCTION("""COMPUTED_VALUE"""),"")</f>
        <v/>
      </c>
      <c r="U14759" s="16" t="s">
        <v>87</v>
      </c>
      <c r="V14759" s="16" t="str">
        <f>IFERROR(__xludf.DUMMYFUNCTION("""COMPUTED_VALUE"""),"")</f>
        <v/>
      </c>
      <c r="W14759" s="16" t="str">
        <f>IFERROR(__xludf.DUMMYFUNCTION("""COMPUTED_VALUE"""),"")</f>
        <v/>
      </c>
      <c r="X14759" s="16" t="str">
        <f>IFERROR(__xludf.DUMMYFUNCTION("""COMPUTED_VALUE"""),"")</f>
        <v/>
      </c>
      <c r="AC14759" s="16" t="str">
        <f>IFERROR(__xludf.DUMMYFUNCTION("""COMPUTED_VALUE"""),"")</f>
        <v/>
      </c>
    </row>
    <row r="14760">
      <c r="A14760" s="16" t="s">
        <v>87</v>
      </c>
      <c r="E14760" s="16" t="str">
        <f>IFERROR(__xludf.DUMMYFUNCTION("""COMPUTED_VALUE"""),"")</f>
        <v/>
      </c>
      <c r="G14760" s="18"/>
      <c r="H14760" s="16" t="s">
        <v>87</v>
      </c>
      <c r="I14760" s="16" t="s">
        <v>87</v>
      </c>
      <c r="J14760" s="19"/>
      <c r="L14760" s="16" t="str">
        <f>IFERROR(__xludf.DUMMYFUNCTION("""COMPUTED_VALUE"""),"")</f>
        <v/>
      </c>
      <c r="M14760" s="16" t="str">
        <f>IFERROR(__xludf.DUMMYFUNCTION("""COMPUTED_VALUE"""),"")</f>
        <v/>
      </c>
      <c r="U14760" s="16" t="s">
        <v>87</v>
      </c>
      <c r="V14760" s="16" t="str">
        <f>IFERROR(__xludf.DUMMYFUNCTION("""COMPUTED_VALUE"""),"")</f>
        <v/>
      </c>
      <c r="W14760" s="16" t="str">
        <f>IFERROR(__xludf.DUMMYFUNCTION("""COMPUTED_VALUE"""),"")</f>
        <v/>
      </c>
      <c r="X14760" s="16" t="str">
        <f>IFERROR(__xludf.DUMMYFUNCTION("""COMPUTED_VALUE"""),"")</f>
        <v/>
      </c>
      <c r="AC14760" s="16" t="str">
        <f>IFERROR(__xludf.DUMMYFUNCTION("""COMPUTED_VALUE"""),"")</f>
        <v/>
      </c>
    </row>
    <row r="14761">
      <c r="A14761" s="16" t="s">
        <v>87</v>
      </c>
      <c r="E14761" s="16" t="str">
        <f>IFERROR(__xludf.DUMMYFUNCTION("""COMPUTED_VALUE"""),"")</f>
        <v/>
      </c>
      <c r="G14761" s="18"/>
      <c r="H14761" s="16" t="s">
        <v>87</v>
      </c>
      <c r="I14761" s="16" t="s">
        <v>87</v>
      </c>
      <c r="J14761" s="19"/>
      <c r="L14761" s="16" t="str">
        <f>IFERROR(__xludf.DUMMYFUNCTION("""COMPUTED_VALUE"""),"")</f>
        <v/>
      </c>
      <c r="M14761" s="16" t="str">
        <f>IFERROR(__xludf.DUMMYFUNCTION("""COMPUTED_VALUE"""),"")</f>
        <v/>
      </c>
      <c r="U14761" s="16" t="s">
        <v>87</v>
      </c>
      <c r="V14761" s="16" t="str">
        <f>IFERROR(__xludf.DUMMYFUNCTION("""COMPUTED_VALUE"""),"")</f>
        <v/>
      </c>
      <c r="W14761" s="16" t="str">
        <f>IFERROR(__xludf.DUMMYFUNCTION("""COMPUTED_VALUE"""),"")</f>
        <v/>
      </c>
      <c r="X14761" s="16" t="str">
        <f>IFERROR(__xludf.DUMMYFUNCTION("""COMPUTED_VALUE"""),"")</f>
        <v/>
      </c>
      <c r="AC14761" s="16" t="str">
        <f>IFERROR(__xludf.DUMMYFUNCTION("""COMPUTED_VALUE"""),"")</f>
        <v/>
      </c>
    </row>
    <row r="14762">
      <c r="A14762" s="16" t="s">
        <v>87</v>
      </c>
      <c r="E14762" s="16" t="str">
        <f>IFERROR(__xludf.DUMMYFUNCTION("""COMPUTED_VALUE"""),"")</f>
        <v/>
      </c>
      <c r="G14762" s="18"/>
      <c r="H14762" s="16" t="s">
        <v>87</v>
      </c>
      <c r="I14762" s="16" t="s">
        <v>87</v>
      </c>
      <c r="J14762" s="19"/>
      <c r="L14762" s="16" t="str">
        <f>IFERROR(__xludf.DUMMYFUNCTION("""COMPUTED_VALUE"""),"")</f>
        <v/>
      </c>
      <c r="M14762" s="16" t="str">
        <f>IFERROR(__xludf.DUMMYFUNCTION("""COMPUTED_VALUE"""),"")</f>
        <v/>
      </c>
      <c r="U14762" s="16" t="s">
        <v>87</v>
      </c>
      <c r="V14762" s="16" t="str">
        <f>IFERROR(__xludf.DUMMYFUNCTION("""COMPUTED_VALUE"""),"")</f>
        <v/>
      </c>
      <c r="W14762" s="16" t="str">
        <f>IFERROR(__xludf.DUMMYFUNCTION("""COMPUTED_VALUE"""),"")</f>
        <v/>
      </c>
      <c r="X14762" s="16" t="str">
        <f>IFERROR(__xludf.DUMMYFUNCTION("""COMPUTED_VALUE"""),"")</f>
        <v/>
      </c>
      <c r="AC14762" s="16" t="str">
        <f>IFERROR(__xludf.DUMMYFUNCTION("""COMPUTED_VALUE"""),"")</f>
        <v/>
      </c>
    </row>
    <row r="14763">
      <c r="A14763" s="16" t="s">
        <v>87</v>
      </c>
      <c r="E14763" s="16" t="str">
        <f>IFERROR(__xludf.DUMMYFUNCTION("""COMPUTED_VALUE"""),"")</f>
        <v/>
      </c>
      <c r="G14763" s="18"/>
      <c r="H14763" s="16" t="s">
        <v>87</v>
      </c>
      <c r="I14763" s="16" t="s">
        <v>87</v>
      </c>
      <c r="J14763" s="19"/>
      <c r="L14763" s="16" t="str">
        <f>IFERROR(__xludf.DUMMYFUNCTION("""COMPUTED_VALUE"""),"")</f>
        <v/>
      </c>
      <c r="M14763" s="16" t="str">
        <f>IFERROR(__xludf.DUMMYFUNCTION("""COMPUTED_VALUE"""),"")</f>
        <v/>
      </c>
      <c r="U14763" s="16" t="s">
        <v>87</v>
      </c>
      <c r="V14763" s="16" t="str">
        <f>IFERROR(__xludf.DUMMYFUNCTION("""COMPUTED_VALUE"""),"")</f>
        <v/>
      </c>
      <c r="W14763" s="16" t="str">
        <f>IFERROR(__xludf.DUMMYFUNCTION("""COMPUTED_VALUE"""),"")</f>
        <v/>
      </c>
      <c r="X14763" s="16" t="str">
        <f>IFERROR(__xludf.DUMMYFUNCTION("""COMPUTED_VALUE"""),"")</f>
        <v/>
      </c>
      <c r="AC14763" s="16" t="str">
        <f>IFERROR(__xludf.DUMMYFUNCTION("""COMPUTED_VALUE"""),"")</f>
        <v/>
      </c>
    </row>
    <row r="14764">
      <c r="A14764" s="16" t="s">
        <v>87</v>
      </c>
      <c r="E14764" s="16" t="str">
        <f>IFERROR(__xludf.DUMMYFUNCTION("""COMPUTED_VALUE"""),"")</f>
        <v/>
      </c>
      <c r="G14764" s="18"/>
      <c r="H14764" s="16" t="s">
        <v>87</v>
      </c>
      <c r="I14764" s="16" t="s">
        <v>87</v>
      </c>
      <c r="J14764" s="19"/>
      <c r="L14764" s="16" t="str">
        <f>IFERROR(__xludf.DUMMYFUNCTION("""COMPUTED_VALUE"""),"")</f>
        <v/>
      </c>
      <c r="M14764" s="16" t="str">
        <f>IFERROR(__xludf.DUMMYFUNCTION("""COMPUTED_VALUE"""),"")</f>
        <v/>
      </c>
      <c r="U14764" s="16" t="s">
        <v>87</v>
      </c>
      <c r="V14764" s="16" t="str">
        <f>IFERROR(__xludf.DUMMYFUNCTION("""COMPUTED_VALUE"""),"")</f>
        <v/>
      </c>
      <c r="W14764" s="16" t="str">
        <f>IFERROR(__xludf.DUMMYFUNCTION("""COMPUTED_VALUE"""),"")</f>
        <v/>
      </c>
      <c r="X14764" s="16" t="str">
        <f>IFERROR(__xludf.DUMMYFUNCTION("""COMPUTED_VALUE"""),"")</f>
        <v/>
      </c>
      <c r="AC14764" s="16" t="str">
        <f>IFERROR(__xludf.DUMMYFUNCTION("""COMPUTED_VALUE"""),"")</f>
        <v/>
      </c>
    </row>
    <row r="14765">
      <c r="A14765" s="16" t="s">
        <v>87</v>
      </c>
      <c r="E14765" s="16" t="str">
        <f>IFERROR(__xludf.DUMMYFUNCTION("""COMPUTED_VALUE"""),"")</f>
        <v/>
      </c>
      <c r="G14765" s="18"/>
      <c r="H14765" s="16" t="s">
        <v>87</v>
      </c>
      <c r="I14765" s="16" t="s">
        <v>87</v>
      </c>
      <c r="J14765" s="19"/>
      <c r="L14765" s="16" t="str">
        <f>IFERROR(__xludf.DUMMYFUNCTION("""COMPUTED_VALUE"""),"")</f>
        <v/>
      </c>
      <c r="M14765" s="16" t="str">
        <f>IFERROR(__xludf.DUMMYFUNCTION("""COMPUTED_VALUE"""),"")</f>
        <v/>
      </c>
      <c r="U14765" s="16" t="s">
        <v>87</v>
      </c>
      <c r="V14765" s="16" t="str">
        <f>IFERROR(__xludf.DUMMYFUNCTION("""COMPUTED_VALUE"""),"")</f>
        <v/>
      </c>
      <c r="W14765" s="16" t="str">
        <f>IFERROR(__xludf.DUMMYFUNCTION("""COMPUTED_VALUE"""),"")</f>
        <v/>
      </c>
      <c r="X14765" s="16" t="str">
        <f>IFERROR(__xludf.DUMMYFUNCTION("""COMPUTED_VALUE"""),"")</f>
        <v/>
      </c>
      <c r="AC14765" s="16" t="str">
        <f>IFERROR(__xludf.DUMMYFUNCTION("""COMPUTED_VALUE"""),"")</f>
        <v/>
      </c>
    </row>
    <row r="14766">
      <c r="A14766" s="16" t="s">
        <v>87</v>
      </c>
      <c r="E14766" s="16" t="str">
        <f>IFERROR(__xludf.DUMMYFUNCTION("""COMPUTED_VALUE"""),"")</f>
        <v/>
      </c>
      <c r="G14766" s="18"/>
      <c r="H14766" s="16" t="s">
        <v>87</v>
      </c>
      <c r="I14766" s="16" t="s">
        <v>87</v>
      </c>
      <c r="J14766" s="19"/>
      <c r="L14766" s="16" t="str">
        <f>IFERROR(__xludf.DUMMYFUNCTION("""COMPUTED_VALUE"""),"")</f>
        <v/>
      </c>
      <c r="M14766" s="16" t="str">
        <f>IFERROR(__xludf.DUMMYFUNCTION("""COMPUTED_VALUE"""),"")</f>
        <v/>
      </c>
      <c r="U14766" s="16" t="s">
        <v>87</v>
      </c>
      <c r="V14766" s="16" t="str">
        <f>IFERROR(__xludf.DUMMYFUNCTION("""COMPUTED_VALUE"""),"")</f>
        <v/>
      </c>
      <c r="W14766" s="16" t="str">
        <f>IFERROR(__xludf.DUMMYFUNCTION("""COMPUTED_VALUE"""),"")</f>
        <v/>
      </c>
      <c r="X14766" s="16" t="str">
        <f>IFERROR(__xludf.DUMMYFUNCTION("""COMPUTED_VALUE"""),"")</f>
        <v/>
      </c>
      <c r="AC14766" s="16" t="str">
        <f>IFERROR(__xludf.DUMMYFUNCTION("""COMPUTED_VALUE"""),"")</f>
        <v/>
      </c>
    </row>
    <row r="14767">
      <c r="A14767" s="16" t="s">
        <v>87</v>
      </c>
      <c r="E14767" s="16" t="str">
        <f>IFERROR(__xludf.DUMMYFUNCTION("""COMPUTED_VALUE"""),"")</f>
        <v/>
      </c>
      <c r="G14767" s="18"/>
      <c r="H14767" s="16" t="s">
        <v>87</v>
      </c>
      <c r="I14767" s="16" t="s">
        <v>87</v>
      </c>
      <c r="J14767" s="19"/>
      <c r="L14767" s="16" t="str">
        <f>IFERROR(__xludf.DUMMYFUNCTION("""COMPUTED_VALUE"""),"")</f>
        <v/>
      </c>
      <c r="M14767" s="16" t="str">
        <f>IFERROR(__xludf.DUMMYFUNCTION("""COMPUTED_VALUE"""),"")</f>
        <v/>
      </c>
      <c r="U14767" s="16" t="s">
        <v>87</v>
      </c>
      <c r="V14767" s="16" t="str">
        <f>IFERROR(__xludf.DUMMYFUNCTION("""COMPUTED_VALUE"""),"")</f>
        <v/>
      </c>
      <c r="W14767" s="16" t="str">
        <f>IFERROR(__xludf.DUMMYFUNCTION("""COMPUTED_VALUE"""),"")</f>
        <v/>
      </c>
      <c r="X14767" s="16" t="str">
        <f>IFERROR(__xludf.DUMMYFUNCTION("""COMPUTED_VALUE"""),"")</f>
        <v/>
      </c>
      <c r="AC14767" s="16" t="str">
        <f>IFERROR(__xludf.DUMMYFUNCTION("""COMPUTED_VALUE"""),"")</f>
        <v/>
      </c>
    </row>
    <row r="14768">
      <c r="A14768" s="16" t="s">
        <v>87</v>
      </c>
      <c r="E14768" s="16" t="str">
        <f>IFERROR(__xludf.DUMMYFUNCTION("""COMPUTED_VALUE"""),"")</f>
        <v/>
      </c>
      <c r="G14768" s="18"/>
      <c r="H14768" s="16" t="s">
        <v>87</v>
      </c>
      <c r="I14768" s="16" t="s">
        <v>87</v>
      </c>
      <c r="J14768" s="19"/>
      <c r="L14768" s="16" t="str">
        <f>IFERROR(__xludf.DUMMYFUNCTION("""COMPUTED_VALUE"""),"")</f>
        <v/>
      </c>
      <c r="M14768" s="16" t="str">
        <f>IFERROR(__xludf.DUMMYFUNCTION("""COMPUTED_VALUE"""),"")</f>
        <v/>
      </c>
      <c r="U14768" s="16" t="s">
        <v>87</v>
      </c>
      <c r="V14768" s="16" t="str">
        <f>IFERROR(__xludf.DUMMYFUNCTION("""COMPUTED_VALUE"""),"")</f>
        <v/>
      </c>
      <c r="W14768" s="16" t="str">
        <f>IFERROR(__xludf.DUMMYFUNCTION("""COMPUTED_VALUE"""),"")</f>
        <v/>
      </c>
      <c r="X14768" s="16" t="str">
        <f>IFERROR(__xludf.DUMMYFUNCTION("""COMPUTED_VALUE"""),"")</f>
        <v/>
      </c>
      <c r="AC14768" s="16" t="str">
        <f>IFERROR(__xludf.DUMMYFUNCTION("""COMPUTED_VALUE"""),"")</f>
        <v/>
      </c>
    </row>
    <row r="14769">
      <c r="A14769" s="16" t="s">
        <v>87</v>
      </c>
      <c r="E14769" s="16" t="str">
        <f>IFERROR(__xludf.DUMMYFUNCTION("""COMPUTED_VALUE"""),"")</f>
        <v/>
      </c>
      <c r="G14769" s="18"/>
      <c r="H14769" s="16" t="s">
        <v>87</v>
      </c>
      <c r="I14769" s="16" t="s">
        <v>87</v>
      </c>
      <c r="J14769" s="19"/>
      <c r="L14769" s="16" t="str">
        <f>IFERROR(__xludf.DUMMYFUNCTION("""COMPUTED_VALUE"""),"")</f>
        <v/>
      </c>
      <c r="M14769" s="16" t="str">
        <f>IFERROR(__xludf.DUMMYFUNCTION("""COMPUTED_VALUE"""),"")</f>
        <v/>
      </c>
      <c r="U14769" s="16" t="s">
        <v>87</v>
      </c>
      <c r="V14769" s="16" t="str">
        <f>IFERROR(__xludf.DUMMYFUNCTION("""COMPUTED_VALUE"""),"")</f>
        <v/>
      </c>
      <c r="W14769" s="16" t="str">
        <f>IFERROR(__xludf.DUMMYFUNCTION("""COMPUTED_VALUE"""),"")</f>
        <v/>
      </c>
      <c r="X14769" s="16" t="str">
        <f>IFERROR(__xludf.DUMMYFUNCTION("""COMPUTED_VALUE"""),"")</f>
        <v/>
      </c>
      <c r="AC14769" s="16" t="str">
        <f>IFERROR(__xludf.DUMMYFUNCTION("""COMPUTED_VALUE"""),"")</f>
        <v/>
      </c>
    </row>
    <row r="14770">
      <c r="A14770" s="16" t="s">
        <v>87</v>
      </c>
      <c r="E14770" s="16" t="str">
        <f>IFERROR(__xludf.DUMMYFUNCTION("""COMPUTED_VALUE"""),"")</f>
        <v/>
      </c>
      <c r="G14770" s="18"/>
      <c r="H14770" s="16" t="s">
        <v>87</v>
      </c>
      <c r="I14770" s="16" t="s">
        <v>87</v>
      </c>
      <c r="J14770" s="19"/>
      <c r="L14770" s="16" t="str">
        <f>IFERROR(__xludf.DUMMYFUNCTION("""COMPUTED_VALUE"""),"")</f>
        <v/>
      </c>
      <c r="M14770" s="16" t="str">
        <f>IFERROR(__xludf.DUMMYFUNCTION("""COMPUTED_VALUE"""),"")</f>
        <v/>
      </c>
      <c r="U14770" s="16" t="s">
        <v>87</v>
      </c>
      <c r="V14770" s="16" t="str">
        <f>IFERROR(__xludf.DUMMYFUNCTION("""COMPUTED_VALUE"""),"")</f>
        <v/>
      </c>
      <c r="W14770" s="16" t="str">
        <f>IFERROR(__xludf.DUMMYFUNCTION("""COMPUTED_VALUE"""),"")</f>
        <v/>
      </c>
      <c r="X14770" s="16" t="str">
        <f>IFERROR(__xludf.DUMMYFUNCTION("""COMPUTED_VALUE"""),"")</f>
        <v/>
      </c>
      <c r="AC14770" s="16" t="str">
        <f>IFERROR(__xludf.DUMMYFUNCTION("""COMPUTED_VALUE"""),"")</f>
        <v/>
      </c>
    </row>
    <row r="14771">
      <c r="A14771" s="16" t="s">
        <v>87</v>
      </c>
      <c r="E14771" s="16" t="str">
        <f>IFERROR(__xludf.DUMMYFUNCTION("""COMPUTED_VALUE"""),"")</f>
        <v/>
      </c>
      <c r="G14771" s="18"/>
      <c r="H14771" s="16" t="s">
        <v>87</v>
      </c>
      <c r="I14771" s="16" t="s">
        <v>87</v>
      </c>
      <c r="J14771" s="19"/>
      <c r="L14771" s="16" t="str">
        <f>IFERROR(__xludf.DUMMYFUNCTION("""COMPUTED_VALUE"""),"")</f>
        <v/>
      </c>
      <c r="M14771" s="16" t="str">
        <f>IFERROR(__xludf.DUMMYFUNCTION("""COMPUTED_VALUE"""),"")</f>
        <v/>
      </c>
      <c r="U14771" s="16" t="s">
        <v>87</v>
      </c>
      <c r="V14771" s="16" t="str">
        <f>IFERROR(__xludf.DUMMYFUNCTION("""COMPUTED_VALUE"""),"")</f>
        <v/>
      </c>
      <c r="W14771" s="16" t="str">
        <f>IFERROR(__xludf.DUMMYFUNCTION("""COMPUTED_VALUE"""),"")</f>
        <v/>
      </c>
      <c r="X14771" s="16" t="str">
        <f>IFERROR(__xludf.DUMMYFUNCTION("""COMPUTED_VALUE"""),"")</f>
        <v/>
      </c>
      <c r="AC14771" s="16" t="str">
        <f>IFERROR(__xludf.DUMMYFUNCTION("""COMPUTED_VALUE"""),"")</f>
        <v/>
      </c>
    </row>
    <row r="14772">
      <c r="A14772" s="16" t="s">
        <v>87</v>
      </c>
      <c r="E14772" s="16" t="str">
        <f>IFERROR(__xludf.DUMMYFUNCTION("""COMPUTED_VALUE"""),"")</f>
        <v/>
      </c>
      <c r="G14772" s="18"/>
      <c r="H14772" s="16" t="s">
        <v>87</v>
      </c>
      <c r="I14772" s="16" t="s">
        <v>87</v>
      </c>
      <c r="J14772" s="19"/>
      <c r="L14772" s="16" t="str">
        <f>IFERROR(__xludf.DUMMYFUNCTION("""COMPUTED_VALUE"""),"")</f>
        <v/>
      </c>
      <c r="M14772" s="16" t="str">
        <f>IFERROR(__xludf.DUMMYFUNCTION("""COMPUTED_VALUE"""),"")</f>
        <v/>
      </c>
      <c r="U14772" s="16" t="s">
        <v>87</v>
      </c>
      <c r="V14772" s="16" t="str">
        <f>IFERROR(__xludf.DUMMYFUNCTION("""COMPUTED_VALUE"""),"")</f>
        <v/>
      </c>
      <c r="W14772" s="16" t="str">
        <f>IFERROR(__xludf.DUMMYFUNCTION("""COMPUTED_VALUE"""),"")</f>
        <v/>
      </c>
      <c r="X14772" s="16" t="str">
        <f>IFERROR(__xludf.DUMMYFUNCTION("""COMPUTED_VALUE"""),"")</f>
        <v/>
      </c>
      <c r="AC14772" s="16" t="str">
        <f>IFERROR(__xludf.DUMMYFUNCTION("""COMPUTED_VALUE"""),"")</f>
        <v/>
      </c>
    </row>
    <row r="14773">
      <c r="A14773" s="16" t="s">
        <v>87</v>
      </c>
      <c r="E14773" s="16" t="str">
        <f>IFERROR(__xludf.DUMMYFUNCTION("""COMPUTED_VALUE"""),"")</f>
        <v/>
      </c>
      <c r="G14773" s="18"/>
      <c r="H14773" s="16" t="s">
        <v>87</v>
      </c>
      <c r="I14773" s="16" t="s">
        <v>87</v>
      </c>
      <c r="J14773" s="19"/>
      <c r="L14773" s="16" t="str">
        <f>IFERROR(__xludf.DUMMYFUNCTION("""COMPUTED_VALUE"""),"")</f>
        <v/>
      </c>
      <c r="M14773" s="16" t="str">
        <f>IFERROR(__xludf.DUMMYFUNCTION("""COMPUTED_VALUE"""),"")</f>
        <v/>
      </c>
      <c r="U14773" s="16" t="s">
        <v>87</v>
      </c>
      <c r="V14773" s="16" t="str">
        <f>IFERROR(__xludf.DUMMYFUNCTION("""COMPUTED_VALUE"""),"")</f>
        <v/>
      </c>
      <c r="W14773" s="16" t="str">
        <f>IFERROR(__xludf.DUMMYFUNCTION("""COMPUTED_VALUE"""),"")</f>
        <v/>
      </c>
      <c r="X14773" s="16" t="str">
        <f>IFERROR(__xludf.DUMMYFUNCTION("""COMPUTED_VALUE"""),"")</f>
        <v/>
      </c>
      <c r="AC14773" s="16" t="str">
        <f>IFERROR(__xludf.DUMMYFUNCTION("""COMPUTED_VALUE"""),"")</f>
        <v/>
      </c>
    </row>
    <row r="14774">
      <c r="A14774" s="16" t="s">
        <v>87</v>
      </c>
      <c r="E14774" s="16" t="str">
        <f>IFERROR(__xludf.DUMMYFUNCTION("""COMPUTED_VALUE"""),"")</f>
        <v/>
      </c>
      <c r="G14774" s="18"/>
      <c r="H14774" s="16" t="s">
        <v>87</v>
      </c>
      <c r="I14774" s="16" t="s">
        <v>87</v>
      </c>
      <c r="J14774" s="19"/>
      <c r="L14774" s="16" t="str">
        <f>IFERROR(__xludf.DUMMYFUNCTION("""COMPUTED_VALUE"""),"")</f>
        <v/>
      </c>
      <c r="M14774" s="16" t="str">
        <f>IFERROR(__xludf.DUMMYFUNCTION("""COMPUTED_VALUE"""),"")</f>
        <v/>
      </c>
      <c r="U14774" s="16" t="s">
        <v>87</v>
      </c>
      <c r="V14774" s="16" t="str">
        <f>IFERROR(__xludf.DUMMYFUNCTION("""COMPUTED_VALUE"""),"")</f>
        <v/>
      </c>
      <c r="W14774" s="16" t="str">
        <f>IFERROR(__xludf.DUMMYFUNCTION("""COMPUTED_VALUE"""),"")</f>
        <v/>
      </c>
      <c r="X14774" s="16" t="str">
        <f>IFERROR(__xludf.DUMMYFUNCTION("""COMPUTED_VALUE"""),"")</f>
        <v/>
      </c>
      <c r="AC14774" s="16" t="str">
        <f>IFERROR(__xludf.DUMMYFUNCTION("""COMPUTED_VALUE"""),"")</f>
        <v/>
      </c>
    </row>
    <row r="14775">
      <c r="A14775" s="16" t="s">
        <v>87</v>
      </c>
      <c r="E14775" s="16" t="str">
        <f>IFERROR(__xludf.DUMMYFUNCTION("""COMPUTED_VALUE"""),"")</f>
        <v/>
      </c>
      <c r="G14775" s="18"/>
      <c r="H14775" s="16" t="s">
        <v>87</v>
      </c>
      <c r="I14775" s="16" t="s">
        <v>87</v>
      </c>
      <c r="J14775" s="19"/>
      <c r="L14775" s="16" t="str">
        <f>IFERROR(__xludf.DUMMYFUNCTION("""COMPUTED_VALUE"""),"")</f>
        <v/>
      </c>
      <c r="M14775" s="16" t="str">
        <f>IFERROR(__xludf.DUMMYFUNCTION("""COMPUTED_VALUE"""),"")</f>
        <v/>
      </c>
      <c r="U14775" s="16" t="s">
        <v>87</v>
      </c>
      <c r="V14775" s="16" t="str">
        <f>IFERROR(__xludf.DUMMYFUNCTION("""COMPUTED_VALUE"""),"")</f>
        <v/>
      </c>
      <c r="W14775" s="16" t="str">
        <f>IFERROR(__xludf.DUMMYFUNCTION("""COMPUTED_VALUE"""),"")</f>
        <v/>
      </c>
      <c r="X14775" s="16" t="str">
        <f>IFERROR(__xludf.DUMMYFUNCTION("""COMPUTED_VALUE"""),"")</f>
        <v/>
      </c>
      <c r="AC14775" s="16" t="str">
        <f>IFERROR(__xludf.DUMMYFUNCTION("""COMPUTED_VALUE"""),"")</f>
        <v/>
      </c>
    </row>
    <row r="14776">
      <c r="A14776" s="16" t="s">
        <v>87</v>
      </c>
      <c r="E14776" s="16" t="str">
        <f>IFERROR(__xludf.DUMMYFUNCTION("""COMPUTED_VALUE"""),"")</f>
        <v/>
      </c>
      <c r="G14776" s="18"/>
      <c r="H14776" s="16" t="s">
        <v>87</v>
      </c>
      <c r="I14776" s="16" t="s">
        <v>87</v>
      </c>
      <c r="J14776" s="19"/>
      <c r="L14776" s="16" t="str">
        <f>IFERROR(__xludf.DUMMYFUNCTION("""COMPUTED_VALUE"""),"")</f>
        <v/>
      </c>
      <c r="M14776" s="16" t="str">
        <f>IFERROR(__xludf.DUMMYFUNCTION("""COMPUTED_VALUE"""),"")</f>
        <v/>
      </c>
      <c r="U14776" s="16" t="s">
        <v>87</v>
      </c>
      <c r="V14776" s="16" t="str">
        <f>IFERROR(__xludf.DUMMYFUNCTION("""COMPUTED_VALUE"""),"")</f>
        <v/>
      </c>
      <c r="W14776" s="16" t="str">
        <f>IFERROR(__xludf.DUMMYFUNCTION("""COMPUTED_VALUE"""),"")</f>
        <v/>
      </c>
      <c r="X14776" s="16" t="str">
        <f>IFERROR(__xludf.DUMMYFUNCTION("""COMPUTED_VALUE"""),"")</f>
        <v/>
      </c>
      <c r="AC14776" s="16" t="str">
        <f>IFERROR(__xludf.DUMMYFUNCTION("""COMPUTED_VALUE"""),"")</f>
        <v/>
      </c>
    </row>
    <row r="14777">
      <c r="A14777" s="16" t="s">
        <v>87</v>
      </c>
      <c r="E14777" s="16" t="str">
        <f>IFERROR(__xludf.DUMMYFUNCTION("""COMPUTED_VALUE"""),"")</f>
        <v/>
      </c>
      <c r="G14777" s="18"/>
      <c r="H14777" s="16" t="s">
        <v>87</v>
      </c>
      <c r="I14777" s="16" t="s">
        <v>87</v>
      </c>
      <c r="J14777" s="19"/>
      <c r="L14777" s="16" t="str">
        <f>IFERROR(__xludf.DUMMYFUNCTION("""COMPUTED_VALUE"""),"")</f>
        <v/>
      </c>
      <c r="M14777" s="16" t="str">
        <f>IFERROR(__xludf.DUMMYFUNCTION("""COMPUTED_VALUE"""),"")</f>
        <v/>
      </c>
      <c r="U14777" s="16" t="s">
        <v>87</v>
      </c>
      <c r="V14777" s="16" t="str">
        <f>IFERROR(__xludf.DUMMYFUNCTION("""COMPUTED_VALUE"""),"")</f>
        <v/>
      </c>
      <c r="W14777" s="16" t="str">
        <f>IFERROR(__xludf.DUMMYFUNCTION("""COMPUTED_VALUE"""),"")</f>
        <v/>
      </c>
      <c r="X14777" s="16" t="str">
        <f>IFERROR(__xludf.DUMMYFUNCTION("""COMPUTED_VALUE"""),"")</f>
        <v/>
      </c>
      <c r="AC14777" s="16" t="str">
        <f>IFERROR(__xludf.DUMMYFUNCTION("""COMPUTED_VALUE"""),"")</f>
        <v/>
      </c>
    </row>
    <row r="14778">
      <c r="A14778" s="16" t="s">
        <v>87</v>
      </c>
      <c r="E14778" s="16" t="str">
        <f>IFERROR(__xludf.DUMMYFUNCTION("""COMPUTED_VALUE"""),"")</f>
        <v/>
      </c>
      <c r="G14778" s="18"/>
      <c r="H14778" s="16" t="s">
        <v>87</v>
      </c>
      <c r="I14778" s="16" t="s">
        <v>87</v>
      </c>
      <c r="J14778" s="19"/>
      <c r="L14778" s="16" t="str">
        <f>IFERROR(__xludf.DUMMYFUNCTION("""COMPUTED_VALUE"""),"")</f>
        <v/>
      </c>
      <c r="M14778" s="16" t="str">
        <f>IFERROR(__xludf.DUMMYFUNCTION("""COMPUTED_VALUE"""),"")</f>
        <v/>
      </c>
      <c r="U14778" s="16" t="s">
        <v>87</v>
      </c>
      <c r="V14778" s="16" t="str">
        <f>IFERROR(__xludf.DUMMYFUNCTION("""COMPUTED_VALUE"""),"")</f>
        <v/>
      </c>
      <c r="W14778" s="16" t="str">
        <f>IFERROR(__xludf.DUMMYFUNCTION("""COMPUTED_VALUE"""),"")</f>
        <v/>
      </c>
      <c r="X14778" s="16" t="str">
        <f>IFERROR(__xludf.DUMMYFUNCTION("""COMPUTED_VALUE"""),"")</f>
        <v/>
      </c>
      <c r="AC14778" s="16" t="str">
        <f>IFERROR(__xludf.DUMMYFUNCTION("""COMPUTED_VALUE"""),"")</f>
        <v/>
      </c>
    </row>
    <row r="14779">
      <c r="A14779" s="16" t="s">
        <v>87</v>
      </c>
      <c r="E14779" s="16" t="str">
        <f>IFERROR(__xludf.DUMMYFUNCTION("""COMPUTED_VALUE"""),"")</f>
        <v/>
      </c>
      <c r="G14779" s="18"/>
      <c r="H14779" s="16" t="s">
        <v>87</v>
      </c>
      <c r="I14779" s="16" t="s">
        <v>87</v>
      </c>
      <c r="J14779" s="19"/>
      <c r="L14779" s="16" t="str">
        <f>IFERROR(__xludf.DUMMYFUNCTION("""COMPUTED_VALUE"""),"")</f>
        <v/>
      </c>
      <c r="M14779" s="16" t="str">
        <f>IFERROR(__xludf.DUMMYFUNCTION("""COMPUTED_VALUE"""),"")</f>
        <v/>
      </c>
      <c r="U14779" s="16" t="s">
        <v>87</v>
      </c>
      <c r="V14779" s="16" t="str">
        <f>IFERROR(__xludf.DUMMYFUNCTION("""COMPUTED_VALUE"""),"")</f>
        <v/>
      </c>
      <c r="W14779" s="16" t="str">
        <f>IFERROR(__xludf.DUMMYFUNCTION("""COMPUTED_VALUE"""),"")</f>
        <v/>
      </c>
      <c r="X14779" s="16" t="str">
        <f>IFERROR(__xludf.DUMMYFUNCTION("""COMPUTED_VALUE"""),"")</f>
        <v/>
      </c>
      <c r="AC14779" s="16" t="str">
        <f>IFERROR(__xludf.DUMMYFUNCTION("""COMPUTED_VALUE"""),"")</f>
        <v/>
      </c>
    </row>
    <row r="14780">
      <c r="A14780" s="16" t="s">
        <v>87</v>
      </c>
      <c r="E14780" s="16" t="str">
        <f>IFERROR(__xludf.DUMMYFUNCTION("""COMPUTED_VALUE"""),"")</f>
        <v/>
      </c>
      <c r="G14780" s="18"/>
      <c r="H14780" s="16" t="s">
        <v>87</v>
      </c>
      <c r="I14780" s="16" t="s">
        <v>87</v>
      </c>
      <c r="J14780" s="19"/>
      <c r="L14780" s="16" t="str">
        <f>IFERROR(__xludf.DUMMYFUNCTION("""COMPUTED_VALUE"""),"")</f>
        <v/>
      </c>
      <c r="M14780" s="16" t="str">
        <f>IFERROR(__xludf.DUMMYFUNCTION("""COMPUTED_VALUE"""),"")</f>
        <v/>
      </c>
      <c r="U14780" s="16" t="s">
        <v>87</v>
      </c>
      <c r="V14780" s="16" t="str">
        <f>IFERROR(__xludf.DUMMYFUNCTION("""COMPUTED_VALUE"""),"")</f>
        <v/>
      </c>
      <c r="W14780" s="16" t="str">
        <f>IFERROR(__xludf.DUMMYFUNCTION("""COMPUTED_VALUE"""),"")</f>
        <v/>
      </c>
      <c r="X14780" s="16" t="str">
        <f>IFERROR(__xludf.DUMMYFUNCTION("""COMPUTED_VALUE"""),"")</f>
        <v/>
      </c>
      <c r="AC14780" s="16" t="str">
        <f>IFERROR(__xludf.DUMMYFUNCTION("""COMPUTED_VALUE"""),"")</f>
        <v/>
      </c>
    </row>
    <row r="14781">
      <c r="A14781" s="16" t="s">
        <v>87</v>
      </c>
      <c r="E14781" s="16" t="str">
        <f>IFERROR(__xludf.DUMMYFUNCTION("""COMPUTED_VALUE"""),"")</f>
        <v/>
      </c>
      <c r="G14781" s="18"/>
      <c r="H14781" s="16" t="s">
        <v>87</v>
      </c>
      <c r="I14781" s="16" t="s">
        <v>87</v>
      </c>
      <c r="J14781" s="19"/>
      <c r="L14781" s="16" t="str">
        <f>IFERROR(__xludf.DUMMYFUNCTION("""COMPUTED_VALUE"""),"")</f>
        <v/>
      </c>
      <c r="M14781" s="16" t="str">
        <f>IFERROR(__xludf.DUMMYFUNCTION("""COMPUTED_VALUE"""),"")</f>
        <v/>
      </c>
      <c r="U14781" s="16" t="s">
        <v>87</v>
      </c>
      <c r="V14781" s="16" t="str">
        <f>IFERROR(__xludf.DUMMYFUNCTION("""COMPUTED_VALUE"""),"")</f>
        <v/>
      </c>
      <c r="W14781" s="16" t="str">
        <f>IFERROR(__xludf.DUMMYFUNCTION("""COMPUTED_VALUE"""),"")</f>
        <v/>
      </c>
      <c r="X14781" s="16" t="str">
        <f>IFERROR(__xludf.DUMMYFUNCTION("""COMPUTED_VALUE"""),"")</f>
        <v/>
      </c>
      <c r="AC14781" s="16" t="str">
        <f>IFERROR(__xludf.DUMMYFUNCTION("""COMPUTED_VALUE"""),"")</f>
        <v/>
      </c>
    </row>
    <row r="14782">
      <c r="A14782" s="16" t="s">
        <v>87</v>
      </c>
      <c r="E14782" s="16" t="str">
        <f>IFERROR(__xludf.DUMMYFUNCTION("""COMPUTED_VALUE"""),"")</f>
        <v/>
      </c>
      <c r="G14782" s="18"/>
      <c r="H14782" s="16" t="s">
        <v>87</v>
      </c>
      <c r="I14782" s="16" t="s">
        <v>87</v>
      </c>
      <c r="J14782" s="19"/>
      <c r="L14782" s="16" t="str">
        <f>IFERROR(__xludf.DUMMYFUNCTION("""COMPUTED_VALUE"""),"")</f>
        <v/>
      </c>
      <c r="M14782" s="16" t="str">
        <f>IFERROR(__xludf.DUMMYFUNCTION("""COMPUTED_VALUE"""),"")</f>
        <v/>
      </c>
      <c r="U14782" s="16" t="s">
        <v>87</v>
      </c>
      <c r="V14782" s="16" t="str">
        <f>IFERROR(__xludf.DUMMYFUNCTION("""COMPUTED_VALUE"""),"")</f>
        <v/>
      </c>
      <c r="W14782" s="16" t="str">
        <f>IFERROR(__xludf.DUMMYFUNCTION("""COMPUTED_VALUE"""),"")</f>
        <v/>
      </c>
      <c r="X14782" s="16" t="str">
        <f>IFERROR(__xludf.DUMMYFUNCTION("""COMPUTED_VALUE"""),"")</f>
        <v/>
      </c>
      <c r="AC14782" s="16" t="str">
        <f>IFERROR(__xludf.DUMMYFUNCTION("""COMPUTED_VALUE"""),"")</f>
        <v/>
      </c>
    </row>
    <row r="14783">
      <c r="A14783" s="16" t="s">
        <v>87</v>
      </c>
      <c r="E14783" s="16" t="str">
        <f>IFERROR(__xludf.DUMMYFUNCTION("""COMPUTED_VALUE"""),"")</f>
        <v/>
      </c>
      <c r="G14783" s="18"/>
      <c r="H14783" s="16" t="s">
        <v>87</v>
      </c>
      <c r="I14783" s="16" t="s">
        <v>87</v>
      </c>
      <c r="J14783" s="19"/>
      <c r="L14783" s="16" t="str">
        <f>IFERROR(__xludf.DUMMYFUNCTION("""COMPUTED_VALUE"""),"")</f>
        <v/>
      </c>
      <c r="M14783" s="16" t="str">
        <f>IFERROR(__xludf.DUMMYFUNCTION("""COMPUTED_VALUE"""),"")</f>
        <v/>
      </c>
      <c r="U14783" s="16" t="s">
        <v>87</v>
      </c>
      <c r="V14783" s="16" t="str">
        <f>IFERROR(__xludf.DUMMYFUNCTION("""COMPUTED_VALUE"""),"")</f>
        <v/>
      </c>
      <c r="W14783" s="16" t="str">
        <f>IFERROR(__xludf.DUMMYFUNCTION("""COMPUTED_VALUE"""),"")</f>
        <v/>
      </c>
      <c r="X14783" s="16" t="str">
        <f>IFERROR(__xludf.DUMMYFUNCTION("""COMPUTED_VALUE"""),"")</f>
        <v/>
      </c>
      <c r="AC14783" s="16" t="str">
        <f>IFERROR(__xludf.DUMMYFUNCTION("""COMPUTED_VALUE"""),"")</f>
        <v/>
      </c>
    </row>
    <row r="14784">
      <c r="A14784" s="16" t="s">
        <v>87</v>
      </c>
      <c r="E14784" s="16" t="str">
        <f>IFERROR(__xludf.DUMMYFUNCTION("""COMPUTED_VALUE"""),"")</f>
        <v/>
      </c>
      <c r="G14784" s="18"/>
      <c r="H14784" s="16" t="s">
        <v>87</v>
      </c>
      <c r="I14784" s="16" t="s">
        <v>87</v>
      </c>
      <c r="J14784" s="19"/>
      <c r="L14784" s="16" t="str">
        <f>IFERROR(__xludf.DUMMYFUNCTION("""COMPUTED_VALUE"""),"")</f>
        <v/>
      </c>
      <c r="M14784" s="16" t="str">
        <f>IFERROR(__xludf.DUMMYFUNCTION("""COMPUTED_VALUE"""),"")</f>
        <v/>
      </c>
      <c r="U14784" s="16" t="s">
        <v>87</v>
      </c>
      <c r="V14784" s="16" t="str">
        <f>IFERROR(__xludf.DUMMYFUNCTION("""COMPUTED_VALUE"""),"")</f>
        <v/>
      </c>
      <c r="W14784" s="16" t="str">
        <f>IFERROR(__xludf.DUMMYFUNCTION("""COMPUTED_VALUE"""),"")</f>
        <v/>
      </c>
      <c r="X14784" s="16" t="str">
        <f>IFERROR(__xludf.DUMMYFUNCTION("""COMPUTED_VALUE"""),"")</f>
        <v/>
      </c>
      <c r="AC14784" s="16" t="str">
        <f>IFERROR(__xludf.DUMMYFUNCTION("""COMPUTED_VALUE"""),"")</f>
        <v/>
      </c>
    </row>
    <row r="14785">
      <c r="A14785" s="16" t="s">
        <v>87</v>
      </c>
      <c r="E14785" s="16" t="str">
        <f>IFERROR(__xludf.DUMMYFUNCTION("""COMPUTED_VALUE"""),"")</f>
        <v/>
      </c>
      <c r="G14785" s="18"/>
      <c r="H14785" s="16" t="s">
        <v>87</v>
      </c>
      <c r="I14785" s="16" t="s">
        <v>87</v>
      </c>
      <c r="J14785" s="19"/>
      <c r="L14785" s="16" t="str">
        <f>IFERROR(__xludf.DUMMYFUNCTION("""COMPUTED_VALUE"""),"")</f>
        <v/>
      </c>
      <c r="M14785" s="16" t="str">
        <f>IFERROR(__xludf.DUMMYFUNCTION("""COMPUTED_VALUE"""),"")</f>
        <v/>
      </c>
      <c r="U14785" s="16" t="s">
        <v>87</v>
      </c>
      <c r="V14785" s="16" t="str">
        <f>IFERROR(__xludf.DUMMYFUNCTION("""COMPUTED_VALUE"""),"")</f>
        <v/>
      </c>
      <c r="W14785" s="16" t="str">
        <f>IFERROR(__xludf.DUMMYFUNCTION("""COMPUTED_VALUE"""),"")</f>
        <v/>
      </c>
      <c r="X14785" s="16" t="str">
        <f>IFERROR(__xludf.DUMMYFUNCTION("""COMPUTED_VALUE"""),"")</f>
        <v/>
      </c>
      <c r="AC14785" s="16" t="str">
        <f>IFERROR(__xludf.DUMMYFUNCTION("""COMPUTED_VALUE"""),"")</f>
        <v/>
      </c>
    </row>
    <row r="14786">
      <c r="A14786" s="16" t="s">
        <v>87</v>
      </c>
      <c r="E14786" s="16" t="str">
        <f>IFERROR(__xludf.DUMMYFUNCTION("""COMPUTED_VALUE"""),"")</f>
        <v/>
      </c>
      <c r="G14786" s="18"/>
      <c r="H14786" s="16" t="s">
        <v>87</v>
      </c>
      <c r="I14786" s="16" t="s">
        <v>87</v>
      </c>
      <c r="J14786" s="19"/>
      <c r="L14786" s="16" t="str">
        <f>IFERROR(__xludf.DUMMYFUNCTION("""COMPUTED_VALUE"""),"")</f>
        <v/>
      </c>
      <c r="M14786" s="16" t="str">
        <f>IFERROR(__xludf.DUMMYFUNCTION("""COMPUTED_VALUE"""),"")</f>
        <v/>
      </c>
      <c r="U14786" s="16" t="s">
        <v>87</v>
      </c>
      <c r="V14786" s="16" t="str">
        <f>IFERROR(__xludf.DUMMYFUNCTION("""COMPUTED_VALUE"""),"")</f>
        <v/>
      </c>
      <c r="W14786" s="16" t="str">
        <f>IFERROR(__xludf.DUMMYFUNCTION("""COMPUTED_VALUE"""),"")</f>
        <v/>
      </c>
      <c r="X14786" s="16" t="str">
        <f>IFERROR(__xludf.DUMMYFUNCTION("""COMPUTED_VALUE"""),"")</f>
        <v/>
      </c>
      <c r="AC14786" s="16" t="str">
        <f>IFERROR(__xludf.DUMMYFUNCTION("""COMPUTED_VALUE"""),"")</f>
        <v/>
      </c>
    </row>
    <row r="14787">
      <c r="A14787" s="16" t="s">
        <v>87</v>
      </c>
      <c r="E14787" s="16" t="str">
        <f>IFERROR(__xludf.DUMMYFUNCTION("""COMPUTED_VALUE"""),"")</f>
        <v/>
      </c>
      <c r="G14787" s="18"/>
      <c r="H14787" s="16" t="s">
        <v>87</v>
      </c>
      <c r="I14787" s="16" t="s">
        <v>87</v>
      </c>
      <c r="J14787" s="19"/>
      <c r="L14787" s="16" t="str">
        <f>IFERROR(__xludf.DUMMYFUNCTION("""COMPUTED_VALUE"""),"")</f>
        <v/>
      </c>
      <c r="M14787" s="16" t="str">
        <f>IFERROR(__xludf.DUMMYFUNCTION("""COMPUTED_VALUE"""),"")</f>
        <v/>
      </c>
      <c r="U14787" s="16" t="s">
        <v>87</v>
      </c>
      <c r="V14787" s="16" t="str">
        <f>IFERROR(__xludf.DUMMYFUNCTION("""COMPUTED_VALUE"""),"")</f>
        <v/>
      </c>
      <c r="W14787" s="16" t="str">
        <f>IFERROR(__xludf.DUMMYFUNCTION("""COMPUTED_VALUE"""),"")</f>
        <v/>
      </c>
      <c r="X14787" s="16" t="str">
        <f>IFERROR(__xludf.DUMMYFUNCTION("""COMPUTED_VALUE"""),"")</f>
        <v/>
      </c>
      <c r="AC14787" s="16" t="str">
        <f>IFERROR(__xludf.DUMMYFUNCTION("""COMPUTED_VALUE"""),"")</f>
        <v/>
      </c>
    </row>
    <row r="14788">
      <c r="A14788" s="16" t="s">
        <v>87</v>
      </c>
      <c r="E14788" s="16" t="str">
        <f>IFERROR(__xludf.DUMMYFUNCTION("""COMPUTED_VALUE"""),"")</f>
        <v/>
      </c>
      <c r="G14788" s="18"/>
      <c r="H14788" s="16" t="s">
        <v>87</v>
      </c>
      <c r="I14788" s="16" t="s">
        <v>87</v>
      </c>
      <c r="J14788" s="19"/>
      <c r="L14788" s="16" t="str">
        <f>IFERROR(__xludf.DUMMYFUNCTION("""COMPUTED_VALUE"""),"")</f>
        <v/>
      </c>
      <c r="M14788" s="16" t="str">
        <f>IFERROR(__xludf.DUMMYFUNCTION("""COMPUTED_VALUE"""),"")</f>
        <v/>
      </c>
      <c r="U14788" s="16" t="s">
        <v>87</v>
      </c>
      <c r="V14788" s="16" t="str">
        <f>IFERROR(__xludf.DUMMYFUNCTION("""COMPUTED_VALUE"""),"")</f>
        <v/>
      </c>
      <c r="W14788" s="16" t="str">
        <f>IFERROR(__xludf.DUMMYFUNCTION("""COMPUTED_VALUE"""),"")</f>
        <v/>
      </c>
      <c r="X14788" s="16" t="str">
        <f>IFERROR(__xludf.DUMMYFUNCTION("""COMPUTED_VALUE"""),"")</f>
        <v/>
      </c>
      <c r="AC14788" s="16" t="str">
        <f>IFERROR(__xludf.DUMMYFUNCTION("""COMPUTED_VALUE"""),"")</f>
        <v/>
      </c>
    </row>
    <row r="14789">
      <c r="A14789" s="16" t="s">
        <v>87</v>
      </c>
      <c r="E14789" s="16" t="str">
        <f>IFERROR(__xludf.DUMMYFUNCTION("""COMPUTED_VALUE"""),"")</f>
        <v/>
      </c>
      <c r="G14789" s="18"/>
      <c r="H14789" s="16" t="s">
        <v>87</v>
      </c>
      <c r="I14789" s="16" t="s">
        <v>87</v>
      </c>
      <c r="J14789" s="19"/>
      <c r="L14789" s="16" t="str">
        <f>IFERROR(__xludf.DUMMYFUNCTION("""COMPUTED_VALUE"""),"")</f>
        <v/>
      </c>
      <c r="M14789" s="16" t="str">
        <f>IFERROR(__xludf.DUMMYFUNCTION("""COMPUTED_VALUE"""),"")</f>
        <v/>
      </c>
      <c r="U14789" s="16" t="s">
        <v>87</v>
      </c>
      <c r="V14789" s="16" t="str">
        <f>IFERROR(__xludf.DUMMYFUNCTION("""COMPUTED_VALUE"""),"")</f>
        <v/>
      </c>
      <c r="W14789" s="16" t="str">
        <f>IFERROR(__xludf.DUMMYFUNCTION("""COMPUTED_VALUE"""),"")</f>
        <v/>
      </c>
      <c r="X14789" s="16" t="str">
        <f>IFERROR(__xludf.DUMMYFUNCTION("""COMPUTED_VALUE"""),"")</f>
        <v/>
      </c>
      <c r="AC14789" s="16" t="str">
        <f>IFERROR(__xludf.DUMMYFUNCTION("""COMPUTED_VALUE"""),"")</f>
        <v/>
      </c>
    </row>
    <row r="14790">
      <c r="A14790" s="16" t="s">
        <v>87</v>
      </c>
      <c r="E14790" s="16" t="str">
        <f>IFERROR(__xludf.DUMMYFUNCTION("""COMPUTED_VALUE"""),"")</f>
        <v/>
      </c>
      <c r="G14790" s="18"/>
      <c r="H14790" s="16" t="s">
        <v>87</v>
      </c>
      <c r="I14790" s="16" t="s">
        <v>87</v>
      </c>
      <c r="J14790" s="19"/>
      <c r="L14790" s="16" t="str">
        <f>IFERROR(__xludf.DUMMYFUNCTION("""COMPUTED_VALUE"""),"")</f>
        <v/>
      </c>
      <c r="M14790" s="16" t="str">
        <f>IFERROR(__xludf.DUMMYFUNCTION("""COMPUTED_VALUE"""),"")</f>
        <v/>
      </c>
      <c r="U14790" s="16" t="s">
        <v>87</v>
      </c>
      <c r="V14790" s="16" t="str">
        <f>IFERROR(__xludf.DUMMYFUNCTION("""COMPUTED_VALUE"""),"")</f>
        <v/>
      </c>
      <c r="W14790" s="16" t="str">
        <f>IFERROR(__xludf.DUMMYFUNCTION("""COMPUTED_VALUE"""),"")</f>
        <v/>
      </c>
      <c r="X14790" s="16" t="str">
        <f>IFERROR(__xludf.DUMMYFUNCTION("""COMPUTED_VALUE"""),"")</f>
        <v/>
      </c>
      <c r="AC14790" s="16" t="str">
        <f>IFERROR(__xludf.DUMMYFUNCTION("""COMPUTED_VALUE"""),"")</f>
        <v/>
      </c>
    </row>
    <row r="14791">
      <c r="A14791" s="16" t="s">
        <v>87</v>
      </c>
      <c r="E14791" s="16" t="str">
        <f>IFERROR(__xludf.DUMMYFUNCTION("""COMPUTED_VALUE"""),"")</f>
        <v/>
      </c>
      <c r="G14791" s="18"/>
      <c r="H14791" s="16" t="s">
        <v>87</v>
      </c>
      <c r="I14791" s="16" t="s">
        <v>87</v>
      </c>
      <c r="J14791" s="19"/>
      <c r="L14791" s="16" t="str">
        <f>IFERROR(__xludf.DUMMYFUNCTION("""COMPUTED_VALUE"""),"")</f>
        <v/>
      </c>
      <c r="M14791" s="16" t="str">
        <f>IFERROR(__xludf.DUMMYFUNCTION("""COMPUTED_VALUE"""),"")</f>
        <v/>
      </c>
      <c r="U14791" s="16" t="s">
        <v>87</v>
      </c>
      <c r="V14791" s="16" t="str">
        <f>IFERROR(__xludf.DUMMYFUNCTION("""COMPUTED_VALUE"""),"")</f>
        <v/>
      </c>
      <c r="W14791" s="16" t="str">
        <f>IFERROR(__xludf.DUMMYFUNCTION("""COMPUTED_VALUE"""),"")</f>
        <v/>
      </c>
      <c r="X14791" s="16" t="str">
        <f>IFERROR(__xludf.DUMMYFUNCTION("""COMPUTED_VALUE"""),"")</f>
        <v/>
      </c>
      <c r="AC14791" s="16" t="str">
        <f>IFERROR(__xludf.DUMMYFUNCTION("""COMPUTED_VALUE"""),"")</f>
        <v/>
      </c>
    </row>
    <row r="14792">
      <c r="A14792" s="16" t="s">
        <v>87</v>
      </c>
      <c r="E14792" s="16" t="str">
        <f>IFERROR(__xludf.DUMMYFUNCTION("""COMPUTED_VALUE"""),"")</f>
        <v/>
      </c>
      <c r="G14792" s="18"/>
      <c r="H14792" s="16" t="s">
        <v>87</v>
      </c>
      <c r="I14792" s="16" t="s">
        <v>87</v>
      </c>
      <c r="J14792" s="19"/>
      <c r="L14792" s="16" t="str">
        <f>IFERROR(__xludf.DUMMYFUNCTION("""COMPUTED_VALUE"""),"")</f>
        <v/>
      </c>
      <c r="M14792" s="16" t="str">
        <f>IFERROR(__xludf.DUMMYFUNCTION("""COMPUTED_VALUE"""),"")</f>
        <v/>
      </c>
      <c r="U14792" s="16" t="s">
        <v>87</v>
      </c>
      <c r="V14792" s="16" t="str">
        <f>IFERROR(__xludf.DUMMYFUNCTION("""COMPUTED_VALUE"""),"")</f>
        <v/>
      </c>
      <c r="W14792" s="16" t="str">
        <f>IFERROR(__xludf.DUMMYFUNCTION("""COMPUTED_VALUE"""),"")</f>
        <v/>
      </c>
      <c r="X14792" s="16" t="str">
        <f>IFERROR(__xludf.DUMMYFUNCTION("""COMPUTED_VALUE"""),"")</f>
        <v/>
      </c>
      <c r="AC14792" s="16" t="str">
        <f>IFERROR(__xludf.DUMMYFUNCTION("""COMPUTED_VALUE"""),"")</f>
        <v/>
      </c>
    </row>
    <row r="14793">
      <c r="A14793" s="16" t="s">
        <v>87</v>
      </c>
      <c r="E14793" s="16" t="str">
        <f>IFERROR(__xludf.DUMMYFUNCTION("""COMPUTED_VALUE"""),"")</f>
        <v/>
      </c>
      <c r="G14793" s="18"/>
      <c r="H14793" s="16" t="s">
        <v>87</v>
      </c>
      <c r="I14793" s="16" t="s">
        <v>87</v>
      </c>
      <c r="J14793" s="19"/>
      <c r="L14793" s="16" t="str">
        <f>IFERROR(__xludf.DUMMYFUNCTION("""COMPUTED_VALUE"""),"")</f>
        <v/>
      </c>
      <c r="M14793" s="16" t="str">
        <f>IFERROR(__xludf.DUMMYFUNCTION("""COMPUTED_VALUE"""),"")</f>
        <v/>
      </c>
      <c r="U14793" s="16" t="s">
        <v>87</v>
      </c>
      <c r="V14793" s="16" t="str">
        <f>IFERROR(__xludf.DUMMYFUNCTION("""COMPUTED_VALUE"""),"")</f>
        <v/>
      </c>
      <c r="W14793" s="16" t="str">
        <f>IFERROR(__xludf.DUMMYFUNCTION("""COMPUTED_VALUE"""),"")</f>
        <v/>
      </c>
      <c r="X14793" s="16" t="str">
        <f>IFERROR(__xludf.DUMMYFUNCTION("""COMPUTED_VALUE"""),"")</f>
        <v/>
      </c>
      <c r="AC14793" s="16" t="str">
        <f>IFERROR(__xludf.DUMMYFUNCTION("""COMPUTED_VALUE"""),"")</f>
        <v/>
      </c>
    </row>
    <row r="14794">
      <c r="A14794" s="16" t="s">
        <v>87</v>
      </c>
      <c r="E14794" s="16" t="str">
        <f>IFERROR(__xludf.DUMMYFUNCTION("""COMPUTED_VALUE"""),"")</f>
        <v/>
      </c>
      <c r="G14794" s="18"/>
      <c r="H14794" s="16" t="s">
        <v>87</v>
      </c>
      <c r="I14794" s="16" t="s">
        <v>87</v>
      </c>
      <c r="J14794" s="19"/>
      <c r="L14794" s="16" t="str">
        <f>IFERROR(__xludf.DUMMYFUNCTION("""COMPUTED_VALUE"""),"")</f>
        <v/>
      </c>
      <c r="M14794" s="16" t="str">
        <f>IFERROR(__xludf.DUMMYFUNCTION("""COMPUTED_VALUE"""),"")</f>
        <v/>
      </c>
      <c r="U14794" s="16" t="s">
        <v>87</v>
      </c>
      <c r="V14794" s="16" t="str">
        <f>IFERROR(__xludf.DUMMYFUNCTION("""COMPUTED_VALUE"""),"")</f>
        <v/>
      </c>
      <c r="W14794" s="16" t="str">
        <f>IFERROR(__xludf.DUMMYFUNCTION("""COMPUTED_VALUE"""),"")</f>
        <v/>
      </c>
      <c r="X14794" s="16" t="str">
        <f>IFERROR(__xludf.DUMMYFUNCTION("""COMPUTED_VALUE"""),"")</f>
        <v/>
      </c>
      <c r="AC14794" s="16" t="str">
        <f>IFERROR(__xludf.DUMMYFUNCTION("""COMPUTED_VALUE"""),"")</f>
        <v/>
      </c>
    </row>
    <row r="14795">
      <c r="A14795" s="16" t="s">
        <v>87</v>
      </c>
      <c r="E14795" s="16" t="str">
        <f>IFERROR(__xludf.DUMMYFUNCTION("""COMPUTED_VALUE"""),"")</f>
        <v/>
      </c>
      <c r="G14795" s="18"/>
      <c r="H14795" s="16" t="s">
        <v>87</v>
      </c>
      <c r="I14795" s="16" t="s">
        <v>87</v>
      </c>
      <c r="J14795" s="19"/>
      <c r="L14795" s="16" t="str">
        <f>IFERROR(__xludf.DUMMYFUNCTION("""COMPUTED_VALUE"""),"")</f>
        <v/>
      </c>
      <c r="M14795" s="16" t="str">
        <f>IFERROR(__xludf.DUMMYFUNCTION("""COMPUTED_VALUE"""),"")</f>
        <v/>
      </c>
      <c r="U14795" s="16" t="s">
        <v>87</v>
      </c>
      <c r="V14795" s="16" t="str">
        <f>IFERROR(__xludf.DUMMYFUNCTION("""COMPUTED_VALUE"""),"")</f>
        <v/>
      </c>
      <c r="W14795" s="16" t="str">
        <f>IFERROR(__xludf.DUMMYFUNCTION("""COMPUTED_VALUE"""),"")</f>
        <v/>
      </c>
      <c r="X14795" s="16" t="str">
        <f>IFERROR(__xludf.DUMMYFUNCTION("""COMPUTED_VALUE"""),"")</f>
        <v/>
      </c>
      <c r="AC14795" s="16" t="str">
        <f>IFERROR(__xludf.DUMMYFUNCTION("""COMPUTED_VALUE"""),"")</f>
        <v/>
      </c>
    </row>
    <row r="14796">
      <c r="A14796" s="16" t="s">
        <v>87</v>
      </c>
      <c r="E14796" s="16" t="str">
        <f>IFERROR(__xludf.DUMMYFUNCTION("""COMPUTED_VALUE"""),"")</f>
        <v/>
      </c>
      <c r="G14796" s="18"/>
      <c r="H14796" s="16" t="s">
        <v>87</v>
      </c>
      <c r="I14796" s="16" t="s">
        <v>87</v>
      </c>
      <c r="J14796" s="19"/>
      <c r="L14796" s="16" t="str">
        <f>IFERROR(__xludf.DUMMYFUNCTION("""COMPUTED_VALUE"""),"")</f>
        <v/>
      </c>
      <c r="M14796" s="16" t="str">
        <f>IFERROR(__xludf.DUMMYFUNCTION("""COMPUTED_VALUE"""),"")</f>
        <v/>
      </c>
      <c r="U14796" s="16" t="s">
        <v>87</v>
      </c>
      <c r="V14796" s="16" t="str">
        <f>IFERROR(__xludf.DUMMYFUNCTION("""COMPUTED_VALUE"""),"")</f>
        <v/>
      </c>
      <c r="W14796" s="16" t="str">
        <f>IFERROR(__xludf.DUMMYFUNCTION("""COMPUTED_VALUE"""),"")</f>
        <v/>
      </c>
      <c r="X14796" s="16" t="str">
        <f>IFERROR(__xludf.DUMMYFUNCTION("""COMPUTED_VALUE"""),"")</f>
        <v/>
      </c>
      <c r="AC14796" s="16" t="str">
        <f>IFERROR(__xludf.DUMMYFUNCTION("""COMPUTED_VALUE"""),"")</f>
        <v/>
      </c>
    </row>
    <row r="14797">
      <c r="A14797" s="16" t="s">
        <v>87</v>
      </c>
      <c r="E14797" s="16" t="str">
        <f>IFERROR(__xludf.DUMMYFUNCTION("""COMPUTED_VALUE"""),"")</f>
        <v/>
      </c>
      <c r="G14797" s="18"/>
      <c r="H14797" s="16" t="s">
        <v>87</v>
      </c>
      <c r="I14797" s="16" t="s">
        <v>87</v>
      </c>
      <c r="J14797" s="19"/>
      <c r="L14797" s="16" t="str">
        <f>IFERROR(__xludf.DUMMYFUNCTION("""COMPUTED_VALUE"""),"")</f>
        <v/>
      </c>
      <c r="M14797" s="16" t="str">
        <f>IFERROR(__xludf.DUMMYFUNCTION("""COMPUTED_VALUE"""),"")</f>
        <v/>
      </c>
      <c r="U14797" s="16" t="s">
        <v>87</v>
      </c>
      <c r="V14797" s="16" t="str">
        <f>IFERROR(__xludf.DUMMYFUNCTION("""COMPUTED_VALUE"""),"")</f>
        <v/>
      </c>
      <c r="W14797" s="16" t="str">
        <f>IFERROR(__xludf.DUMMYFUNCTION("""COMPUTED_VALUE"""),"")</f>
        <v/>
      </c>
      <c r="X14797" s="16" t="str">
        <f>IFERROR(__xludf.DUMMYFUNCTION("""COMPUTED_VALUE"""),"")</f>
        <v/>
      </c>
      <c r="AC14797" s="16" t="str">
        <f>IFERROR(__xludf.DUMMYFUNCTION("""COMPUTED_VALUE"""),"")</f>
        <v/>
      </c>
    </row>
    <row r="14798">
      <c r="A14798" s="16" t="s">
        <v>87</v>
      </c>
      <c r="E14798" s="16" t="str">
        <f>IFERROR(__xludf.DUMMYFUNCTION("""COMPUTED_VALUE"""),"")</f>
        <v/>
      </c>
      <c r="G14798" s="18"/>
      <c r="H14798" s="16" t="s">
        <v>87</v>
      </c>
      <c r="I14798" s="16" t="s">
        <v>87</v>
      </c>
      <c r="J14798" s="19"/>
      <c r="L14798" s="16" t="str">
        <f>IFERROR(__xludf.DUMMYFUNCTION("""COMPUTED_VALUE"""),"")</f>
        <v/>
      </c>
      <c r="M14798" s="16" t="str">
        <f>IFERROR(__xludf.DUMMYFUNCTION("""COMPUTED_VALUE"""),"")</f>
        <v/>
      </c>
      <c r="U14798" s="16" t="s">
        <v>87</v>
      </c>
      <c r="V14798" s="16" t="str">
        <f>IFERROR(__xludf.DUMMYFUNCTION("""COMPUTED_VALUE"""),"")</f>
        <v/>
      </c>
      <c r="W14798" s="16" t="str">
        <f>IFERROR(__xludf.DUMMYFUNCTION("""COMPUTED_VALUE"""),"")</f>
        <v/>
      </c>
      <c r="X14798" s="16" t="str">
        <f>IFERROR(__xludf.DUMMYFUNCTION("""COMPUTED_VALUE"""),"")</f>
        <v/>
      </c>
      <c r="AC14798" s="16" t="str">
        <f>IFERROR(__xludf.DUMMYFUNCTION("""COMPUTED_VALUE"""),"")</f>
        <v/>
      </c>
    </row>
    <row r="14799">
      <c r="A14799" s="16" t="s">
        <v>87</v>
      </c>
      <c r="E14799" s="16" t="str">
        <f>IFERROR(__xludf.DUMMYFUNCTION("""COMPUTED_VALUE"""),"")</f>
        <v/>
      </c>
      <c r="G14799" s="18"/>
      <c r="H14799" s="16" t="s">
        <v>87</v>
      </c>
      <c r="I14799" s="16" t="s">
        <v>87</v>
      </c>
      <c r="J14799" s="19"/>
      <c r="L14799" s="16" t="str">
        <f>IFERROR(__xludf.DUMMYFUNCTION("""COMPUTED_VALUE"""),"")</f>
        <v/>
      </c>
      <c r="M14799" s="16" t="str">
        <f>IFERROR(__xludf.DUMMYFUNCTION("""COMPUTED_VALUE"""),"")</f>
        <v/>
      </c>
      <c r="U14799" s="16" t="s">
        <v>87</v>
      </c>
      <c r="V14799" s="16" t="str">
        <f>IFERROR(__xludf.DUMMYFUNCTION("""COMPUTED_VALUE"""),"")</f>
        <v/>
      </c>
      <c r="W14799" s="16" t="str">
        <f>IFERROR(__xludf.DUMMYFUNCTION("""COMPUTED_VALUE"""),"")</f>
        <v/>
      </c>
      <c r="X14799" s="16" t="str">
        <f>IFERROR(__xludf.DUMMYFUNCTION("""COMPUTED_VALUE"""),"")</f>
        <v/>
      </c>
      <c r="AC14799" s="16" t="str">
        <f>IFERROR(__xludf.DUMMYFUNCTION("""COMPUTED_VALUE"""),"")</f>
        <v/>
      </c>
    </row>
    <row r="14800">
      <c r="A14800" s="16" t="s">
        <v>87</v>
      </c>
      <c r="E14800" s="16" t="str">
        <f>IFERROR(__xludf.DUMMYFUNCTION("""COMPUTED_VALUE"""),"")</f>
        <v/>
      </c>
      <c r="G14800" s="18"/>
      <c r="H14800" s="16" t="s">
        <v>87</v>
      </c>
      <c r="I14800" s="16" t="s">
        <v>87</v>
      </c>
      <c r="J14800" s="19"/>
      <c r="L14800" s="16" t="str">
        <f>IFERROR(__xludf.DUMMYFUNCTION("""COMPUTED_VALUE"""),"")</f>
        <v/>
      </c>
      <c r="M14800" s="16" t="str">
        <f>IFERROR(__xludf.DUMMYFUNCTION("""COMPUTED_VALUE"""),"")</f>
        <v/>
      </c>
      <c r="U14800" s="16" t="s">
        <v>87</v>
      </c>
      <c r="V14800" s="16" t="str">
        <f>IFERROR(__xludf.DUMMYFUNCTION("""COMPUTED_VALUE"""),"")</f>
        <v/>
      </c>
      <c r="W14800" s="16" t="str">
        <f>IFERROR(__xludf.DUMMYFUNCTION("""COMPUTED_VALUE"""),"")</f>
        <v/>
      </c>
      <c r="X14800" s="16" t="str">
        <f>IFERROR(__xludf.DUMMYFUNCTION("""COMPUTED_VALUE"""),"")</f>
        <v/>
      </c>
      <c r="AC14800" s="16" t="str">
        <f>IFERROR(__xludf.DUMMYFUNCTION("""COMPUTED_VALUE"""),"")</f>
        <v/>
      </c>
    </row>
    <row r="14801">
      <c r="A14801" s="16" t="s">
        <v>87</v>
      </c>
      <c r="E14801" s="16" t="str">
        <f>IFERROR(__xludf.DUMMYFUNCTION("""COMPUTED_VALUE"""),"")</f>
        <v/>
      </c>
      <c r="G14801" s="18"/>
      <c r="H14801" s="16" t="s">
        <v>87</v>
      </c>
      <c r="I14801" s="16" t="s">
        <v>87</v>
      </c>
      <c r="J14801" s="19"/>
      <c r="L14801" s="16" t="str">
        <f>IFERROR(__xludf.DUMMYFUNCTION("""COMPUTED_VALUE"""),"")</f>
        <v/>
      </c>
      <c r="M14801" s="16" t="str">
        <f>IFERROR(__xludf.DUMMYFUNCTION("""COMPUTED_VALUE"""),"")</f>
        <v/>
      </c>
      <c r="U14801" s="16" t="s">
        <v>87</v>
      </c>
      <c r="V14801" s="16" t="str">
        <f>IFERROR(__xludf.DUMMYFUNCTION("""COMPUTED_VALUE"""),"")</f>
        <v/>
      </c>
      <c r="W14801" s="16" t="str">
        <f>IFERROR(__xludf.DUMMYFUNCTION("""COMPUTED_VALUE"""),"")</f>
        <v/>
      </c>
      <c r="X14801" s="16" t="str">
        <f>IFERROR(__xludf.DUMMYFUNCTION("""COMPUTED_VALUE"""),"")</f>
        <v/>
      </c>
      <c r="AC14801" s="16" t="str">
        <f>IFERROR(__xludf.DUMMYFUNCTION("""COMPUTED_VALUE"""),"")</f>
        <v/>
      </c>
    </row>
    <row r="14802">
      <c r="A14802" s="16" t="s">
        <v>87</v>
      </c>
      <c r="E14802" s="16" t="str">
        <f>IFERROR(__xludf.DUMMYFUNCTION("""COMPUTED_VALUE"""),"")</f>
        <v/>
      </c>
      <c r="G14802" s="18"/>
      <c r="H14802" s="16" t="s">
        <v>87</v>
      </c>
      <c r="I14802" s="16" t="s">
        <v>87</v>
      </c>
      <c r="J14802" s="19"/>
      <c r="L14802" s="16" t="str">
        <f>IFERROR(__xludf.DUMMYFUNCTION("""COMPUTED_VALUE"""),"")</f>
        <v/>
      </c>
      <c r="M14802" s="16" t="str">
        <f>IFERROR(__xludf.DUMMYFUNCTION("""COMPUTED_VALUE"""),"")</f>
        <v/>
      </c>
      <c r="U14802" s="16" t="s">
        <v>87</v>
      </c>
      <c r="V14802" s="16" t="str">
        <f>IFERROR(__xludf.DUMMYFUNCTION("""COMPUTED_VALUE"""),"")</f>
        <v/>
      </c>
      <c r="W14802" s="16" t="str">
        <f>IFERROR(__xludf.DUMMYFUNCTION("""COMPUTED_VALUE"""),"")</f>
        <v/>
      </c>
      <c r="X14802" s="16" t="str">
        <f>IFERROR(__xludf.DUMMYFUNCTION("""COMPUTED_VALUE"""),"")</f>
        <v/>
      </c>
      <c r="AC14802" s="16" t="str">
        <f>IFERROR(__xludf.DUMMYFUNCTION("""COMPUTED_VALUE"""),"")</f>
        <v/>
      </c>
    </row>
    <row r="14803">
      <c r="A14803" s="16" t="s">
        <v>87</v>
      </c>
      <c r="E14803" s="16" t="str">
        <f>IFERROR(__xludf.DUMMYFUNCTION("""COMPUTED_VALUE"""),"")</f>
        <v/>
      </c>
      <c r="G14803" s="18"/>
      <c r="H14803" s="16" t="s">
        <v>87</v>
      </c>
      <c r="I14803" s="16" t="s">
        <v>87</v>
      </c>
      <c r="J14803" s="19"/>
      <c r="L14803" s="16" t="str">
        <f>IFERROR(__xludf.DUMMYFUNCTION("""COMPUTED_VALUE"""),"")</f>
        <v/>
      </c>
      <c r="M14803" s="16" t="str">
        <f>IFERROR(__xludf.DUMMYFUNCTION("""COMPUTED_VALUE"""),"")</f>
        <v/>
      </c>
      <c r="U14803" s="16" t="s">
        <v>87</v>
      </c>
      <c r="V14803" s="16" t="str">
        <f>IFERROR(__xludf.DUMMYFUNCTION("""COMPUTED_VALUE"""),"")</f>
        <v/>
      </c>
      <c r="W14803" s="16" t="str">
        <f>IFERROR(__xludf.DUMMYFUNCTION("""COMPUTED_VALUE"""),"")</f>
        <v/>
      </c>
      <c r="X14803" s="16" t="str">
        <f>IFERROR(__xludf.DUMMYFUNCTION("""COMPUTED_VALUE"""),"")</f>
        <v/>
      </c>
      <c r="AC14803" s="16" t="str">
        <f>IFERROR(__xludf.DUMMYFUNCTION("""COMPUTED_VALUE"""),"")</f>
        <v/>
      </c>
    </row>
    <row r="14804">
      <c r="A14804" s="16" t="s">
        <v>87</v>
      </c>
      <c r="E14804" s="16" t="str">
        <f>IFERROR(__xludf.DUMMYFUNCTION("""COMPUTED_VALUE"""),"")</f>
        <v/>
      </c>
      <c r="G14804" s="18"/>
      <c r="H14804" s="16" t="s">
        <v>87</v>
      </c>
      <c r="I14804" s="16" t="s">
        <v>87</v>
      </c>
      <c r="J14804" s="19"/>
      <c r="L14804" s="16" t="str">
        <f>IFERROR(__xludf.DUMMYFUNCTION("""COMPUTED_VALUE"""),"")</f>
        <v/>
      </c>
      <c r="M14804" s="16" t="str">
        <f>IFERROR(__xludf.DUMMYFUNCTION("""COMPUTED_VALUE"""),"")</f>
        <v/>
      </c>
      <c r="U14804" s="16" t="s">
        <v>87</v>
      </c>
      <c r="V14804" s="16" t="str">
        <f>IFERROR(__xludf.DUMMYFUNCTION("""COMPUTED_VALUE"""),"")</f>
        <v/>
      </c>
      <c r="W14804" s="16" t="str">
        <f>IFERROR(__xludf.DUMMYFUNCTION("""COMPUTED_VALUE"""),"")</f>
        <v/>
      </c>
      <c r="X14804" s="16" t="str">
        <f>IFERROR(__xludf.DUMMYFUNCTION("""COMPUTED_VALUE"""),"")</f>
        <v/>
      </c>
      <c r="AC14804" s="16" t="str">
        <f>IFERROR(__xludf.DUMMYFUNCTION("""COMPUTED_VALUE"""),"")</f>
        <v/>
      </c>
    </row>
    <row r="14805">
      <c r="A14805" s="16" t="s">
        <v>87</v>
      </c>
      <c r="E14805" s="16" t="str">
        <f>IFERROR(__xludf.DUMMYFUNCTION("""COMPUTED_VALUE"""),"")</f>
        <v/>
      </c>
      <c r="G14805" s="18"/>
      <c r="H14805" s="16" t="s">
        <v>87</v>
      </c>
      <c r="I14805" s="16" t="s">
        <v>87</v>
      </c>
      <c r="J14805" s="19"/>
      <c r="L14805" s="16" t="str">
        <f>IFERROR(__xludf.DUMMYFUNCTION("""COMPUTED_VALUE"""),"")</f>
        <v/>
      </c>
      <c r="M14805" s="16" t="str">
        <f>IFERROR(__xludf.DUMMYFUNCTION("""COMPUTED_VALUE"""),"")</f>
        <v/>
      </c>
      <c r="U14805" s="16" t="s">
        <v>87</v>
      </c>
      <c r="V14805" s="16" t="str">
        <f>IFERROR(__xludf.DUMMYFUNCTION("""COMPUTED_VALUE"""),"")</f>
        <v/>
      </c>
      <c r="W14805" s="16" t="str">
        <f>IFERROR(__xludf.DUMMYFUNCTION("""COMPUTED_VALUE"""),"")</f>
        <v/>
      </c>
      <c r="X14805" s="16" t="str">
        <f>IFERROR(__xludf.DUMMYFUNCTION("""COMPUTED_VALUE"""),"")</f>
        <v/>
      </c>
      <c r="AC14805" s="16" t="str">
        <f>IFERROR(__xludf.DUMMYFUNCTION("""COMPUTED_VALUE"""),"")</f>
        <v/>
      </c>
    </row>
    <row r="14806">
      <c r="A14806" s="16" t="s">
        <v>87</v>
      </c>
      <c r="E14806" s="16" t="str">
        <f>IFERROR(__xludf.DUMMYFUNCTION("""COMPUTED_VALUE"""),"")</f>
        <v/>
      </c>
      <c r="G14806" s="18"/>
      <c r="H14806" s="16" t="s">
        <v>87</v>
      </c>
      <c r="I14806" s="16" t="s">
        <v>87</v>
      </c>
      <c r="J14806" s="19"/>
      <c r="L14806" s="16" t="str">
        <f>IFERROR(__xludf.DUMMYFUNCTION("""COMPUTED_VALUE"""),"")</f>
        <v/>
      </c>
      <c r="M14806" s="16" t="str">
        <f>IFERROR(__xludf.DUMMYFUNCTION("""COMPUTED_VALUE"""),"")</f>
        <v/>
      </c>
      <c r="U14806" s="16" t="s">
        <v>87</v>
      </c>
      <c r="V14806" s="16" t="str">
        <f>IFERROR(__xludf.DUMMYFUNCTION("""COMPUTED_VALUE"""),"")</f>
        <v/>
      </c>
      <c r="W14806" s="16" t="str">
        <f>IFERROR(__xludf.DUMMYFUNCTION("""COMPUTED_VALUE"""),"")</f>
        <v/>
      </c>
      <c r="X14806" s="16" t="str">
        <f>IFERROR(__xludf.DUMMYFUNCTION("""COMPUTED_VALUE"""),"")</f>
        <v/>
      </c>
      <c r="AC14806" s="16" t="str">
        <f>IFERROR(__xludf.DUMMYFUNCTION("""COMPUTED_VALUE"""),"")</f>
        <v/>
      </c>
    </row>
    <row r="14807">
      <c r="A14807" s="16" t="s">
        <v>87</v>
      </c>
      <c r="E14807" s="16" t="str">
        <f>IFERROR(__xludf.DUMMYFUNCTION("""COMPUTED_VALUE"""),"")</f>
        <v/>
      </c>
      <c r="G14807" s="18"/>
      <c r="H14807" s="16" t="s">
        <v>87</v>
      </c>
      <c r="I14807" s="16" t="s">
        <v>87</v>
      </c>
      <c r="J14807" s="19"/>
      <c r="L14807" s="16" t="str">
        <f>IFERROR(__xludf.DUMMYFUNCTION("""COMPUTED_VALUE"""),"")</f>
        <v/>
      </c>
      <c r="M14807" s="16" t="str">
        <f>IFERROR(__xludf.DUMMYFUNCTION("""COMPUTED_VALUE"""),"")</f>
        <v/>
      </c>
      <c r="U14807" s="16" t="s">
        <v>87</v>
      </c>
      <c r="V14807" s="16" t="str">
        <f>IFERROR(__xludf.DUMMYFUNCTION("""COMPUTED_VALUE"""),"")</f>
        <v/>
      </c>
      <c r="W14807" s="16" t="str">
        <f>IFERROR(__xludf.DUMMYFUNCTION("""COMPUTED_VALUE"""),"")</f>
        <v/>
      </c>
      <c r="X14807" s="16" t="str">
        <f>IFERROR(__xludf.DUMMYFUNCTION("""COMPUTED_VALUE"""),"")</f>
        <v/>
      </c>
      <c r="AC14807" s="16" t="str">
        <f>IFERROR(__xludf.DUMMYFUNCTION("""COMPUTED_VALUE"""),"")</f>
        <v/>
      </c>
    </row>
    <row r="14808">
      <c r="A14808" s="16" t="s">
        <v>87</v>
      </c>
      <c r="E14808" s="16" t="str">
        <f>IFERROR(__xludf.DUMMYFUNCTION("""COMPUTED_VALUE"""),"")</f>
        <v/>
      </c>
      <c r="G14808" s="18"/>
      <c r="H14808" s="16" t="s">
        <v>87</v>
      </c>
      <c r="I14808" s="16" t="s">
        <v>87</v>
      </c>
      <c r="J14808" s="19"/>
      <c r="L14808" s="16" t="str">
        <f>IFERROR(__xludf.DUMMYFUNCTION("""COMPUTED_VALUE"""),"")</f>
        <v/>
      </c>
      <c r="M14808" s="16" t="str">
        <f>IFERROR(__xludf.DUMMYFUNCTION("""COMPUTED_VALUE"""),"")</f>
        <v/>
      </c>
      <c r="U14808" s="16" t="s">
        <v>87</v>
      </c>
      <c r="V14808" s="16" t="str">
        <f>IFERROR(__xludf.DUMMYFUNCTION("""COMPUTED_VALUE"""),"")</f>
        <v/>
      </c>
      <c r="W14808" s="16" t="str">
        <f>IFERROR(__xludf.DUMMYFUNCTION("""COMPUTED_VALUE"""),"")</f>
        <v/>
      </c>
      <c r="X14808" s="16" t="str">
        <f>IFERROR(__xludf.DUMMYFUNCTION("""COMPUTED_VALUE"""),"")</f>
        <v/>
      </c>
      <c r="AC14808" s="16" t="str">
        <f>IFERROR(__xludf.DUMMYFUNCTION("""COMPUTED_VALUE"""),"")</f>
        <v/>
      </c>
    </row>
    <row r="14809">
      <c r="A14809" s="16" t="s">
        <v>87</v>
      </c>
      <c r="E14809" s="16" t="str">
        <f>IFERROR(__xludf.DUMMYFUNCTION("""COMPUTED_VALUE"""),"")</f>
        <v/>
      </c>
      <c r="G14809" s="18"/>
      <c r="H14809" s="16" t="s">
        <v>87</v>
      </c>
      <c r="I14809" s="16" t="s">
        <v>87</v>
      </c>
      <c r="J14809" s="19"/>
      <c r="L14809" s="16" t="str">
        <f>IFERROR(__xludf.DUMMYFUNCTION("""COMPUTED_VALUE"""),"")</f>
        <v/>
      </c>
      <c r="M14809" s="16" t="str">
        <f>IFERROR(__xludf.DUMMYFUNCTION("""COMPUTED_VALUE"""),"")</f>
        <v/>
      </c>
      <c r="U14809" s="16" t="s">
        <v>87</v>
      </c>
      <c r="V14809" s="16" t="str">
        <f>IFERROR(__xludf.DUMMYFUNCTION("""COMPUTED_VALUE"""),"")</f>
        <v/>
      </c>
      <c r="W14809" s="16" t="str">
        <f>IFERROR(__xludf.DUMMYFUNCTION("""COMPUTED_VALUE"""),"")</f>
        <v/>
      </c>
      <c r="X14809" s="16" t="str">
        <f>IFERROR(__xludf.DUMMYFUNCTION("""COMPUTED_VALUE"""),"")</f>
        <v/>
      </c>
      <c r="AC14809" s="16" t="str">
        <f>IFERROR(__xludf.DUMMYFUNCTION("""COMPUTED_VALUE"""),"")</f>
        <v/>
      </c>
    </row>
    <row r="14810">
      <c r="A14810" s="16" t="s">
        <v>87</v>
      </c>
      <c r="E14810" s="16" t="str">
        <f>IFERROR(__xludf.DUMMYFUNCTION("""COMPUTED_VALUE"""),"")</f>
        <v/>
      </c>
      <c r="G14810" s="18"/>
      <c r="H14810" s="16" t="s">
        <v>87</v>
      </c>
      <c r="I14810" s="16" t="s">
        <v>87</v>
      </c>
      <c r="J14810" s="19"/>
      <c r="L14810" s="16" t="str">
        <f>IFERROR(__xludf.DUMMYFUNCTION("""COMPUTED_VALUE"""),"")</f>
        <v/>
      </c>
      <c r="M14810" s="16" t="str">
        <f>IFERROR(__xludf.DUMMYFUNCTION("""COMPUTED_VALUE"""),"")</f>
        <v/>
      </c>
      <c r="U14810" s="16" t="s">
        <v>87</v>
      </c>
      <c r="V14810" s="16" t="str">
        <f>IFERROR(__xludf.DUMMYFUNCTION("""COMPUTED_VALUE"""),"")</f>
        <v/>
      </c>
      <c r="W14810" s="16" t="str">
        <f>IFERROR(__xludf.DUMMYFUNCTION("""COMPUTED_VALUE"""),"")</f>
        <v/>
      </c>
      <c r="X14810" s="16" t="str">
        <f>IFERROR(__xludf.DUMMYFUNCTION("""COMPUTED_VALUE"""),"")</f>
        <v/>
      </c>
      <c r="AC14810" s="16" t="str">
        <f>IFERROR(__xludf.DUMMYFUNCTION("""COMPUTED_VALUE"""),"")</f>
        <v/>
      </c>
    </row>
    <row r="14811">
      <c r="A14811" s="16" t="s">
        <v>87</v>
      </c>
      <c r="E14811" s="16" t="str">
        <f>IFERROR(__xludf.DUMMYFUNCTION("""COMPUTED_VALUE"""),"")</f>
        <v/>
      </c>
      <c r="G14811" s="18"/>
      <c r="H14811" s="16" t="s">
        <v>87</v>
      </c>
      <c r="I14811" s="16" t="s">
        <v>87</v>
      </c>
      <c r="J14811" s="19"/>
      <c r="L14811" s="16" t="str">
        <f>IFERROR(__xludf.DUMMYFUNCTION("""COMPUTED_VALUE"""),"")</f>
        <v/>
      </c>
      <c r="M14811" s="16" t="str">
        <f>IFERROR(__xludf.DUMMYFUNCTION("""COMPUTED_VALUE"""),"")</f>
        <v/>
      </c>
      <c r="U14811" s="16" t="s">
        <v>87</v>
      </c>
      <c r="V14811" s="16" t="str">
        <f>IFERROR(__xludf.DUMMYFUNCTION("""COMPUTED_VALUE"""),"")</f>
        <v/>
      </c>
      <c r="W14811" s="16" t="str">
        <f>IFERROR(__xludf.DUMMYFUNCTION("""COMPUTED_VALUE"""),"")</f>
        <v/>
      </c>
      <c r="X14811" s="16" t="str">
        <f>IFERROR(__xludf.DUMMYFUNCTION("""COMPUTED_VALUE"""),"")</f>
        <v/>
      </c>
      <c r="AC14811" s="16" t="str">
        <f>IFERROR(__xludf.DUMMYFUNCTION("""COMPUTED_VALUE"""),"")</f>
        <v/>
      </c>
    </row>
    <row r="14812">
      <c r="A14812" s="16" t="s">
        <v>87</v>
      </c>
      <c r="E14812" s="16" t="str">
        <f>IFERROR(__xludf.DUMMYFUNCTION("""COMPUTED_VALUE"""),"")</f>
        <v/>
      </c>
      <c r="G14812" s="18"/>
      <c r="H14812" s="16" t="s">
        <v>87</v>
      </c>
      <c r="I14812" s="16" t="s">
        <v>87</v>
      </c>
      <c r="J14812" s="19"/>
      <c r="L14812" s="16" t="str">
        <f>IFERROR(__xludf.DUMMYFUNCTION("""COMPUTED_VALUE"""),"")</f>
        <v/>
      </c>
      <c r="M14812" s="16" t="str">
        <f>IFERROR(__xludf.DUMMYFUNCTION("""COMPUTED_VALUE"""),"")</f>
        <v/>
      </c>
      <c r="U14812" s="16" t="s">
        <v>87</v>
      </c>
      <c r="V14812" s="16" t="str">
        <f>IFERROR(__xludf.DUMMYFUNCTION("""COMPUTED_VALUE"""),"")</f>
        <v/>
      </c>
      <c r="W14812" s="16" t="str">
        <f>IFERROR(__xludf.DUMMYFUNCTION("""COMPUTED_VALUE"""),"")</f>
        <v/>
      </c>
      <c r="X14812" s="16" t="str">
        <f>IFERROR(__xludf.DUMMYFUNCTION("""COMPUTED_VALUE"""),"")</f>
        <v/>
      </c>
      <c r="AC14812" s="16" t="str">
        <f>IFERROR(__xludf.DUMMYFUNCTION("""COMPUTED_VALUE"""),"")</f>
        <v/>
      </c>
    </row>
    <row r="14813">
      <c r="A14813" s="16" t="s">
        <v>87</v>
      </c>
      <c r="E14813" s="16" t="str">
        <f>IFERROR(__xludf.DUMMYFUNCTION("""COMPUTED_VALUE"""),"")</f>
        <v/>
      </c>
      <c r="G14813" s="18"/>
      <c r="H14813" s="16" t="s">
        <v>87</v>
      </c>
      <c r="I14813" s="16" t="s">
        <v>87</v>
      </c>
      <c r="J14813" s="19"/>
      <c r="L14813" s="16" t="str">
        <f>IFERROR(__xludf.DUMMYFUNCTION("""COMPUTED_VALUE"""),"")</f>
        <v/>
      </c>
      <c r="M14813" s="16" t="str">
        <f>IFERROR(__xludf.DUMMYFUNCTION("""COMPUTED_VALUE"""),"")</f>
        <v/>
      </c>
      <c r="U14813" s="16" t="s">
        <v>87</v>
      </c>
      <c r="V14813" s="16" t="str">
        <f>IFERROR(__xludf.DUMMYFUNCTION("""COMPUTED_VALUE"""),"")</f>
        <v/>
      </c>
      <c r="W14813" s="16" t="str">
        <f>IFERROR(__xludf.DUMMYFUNCTION("""COMPUTED_VALUE"""),"")</f>
        <v/>
      </c>
      <c r="X14813" s="16" t="str">
        <f>IFERROR(__xludf.DUMMYFUNCTION("""COMPUTED_VALUE"""),"")</f>
        <v/>
      </c>
      <c r="AC14813" s="16" t="str">
        <f>IFERROR(__xludf.DUMMYFUNCTION("""COMPUTED_VALUE"""),"")</f>
        <v/>
      </c>
    </row>
    <row r="14814">
      <c r="A14814" s="16" t="s">
        <v>87</v>
      </c>
      <c r="E14814" s="16" t="str">
        <f>IFERROR(__xludf.DUMMYFUNCTION("""COMPUTED_VALUE"""),"")</f>
        <v/>
      </c>
      <c r="G14814" s="18"/>
      <c r="H14814" s="16" t="s">
        <v>87</v>
      </c>
      <c r="I14814" s="16" t="s">
        <v>87</v>
      </c>
      <c r="J14814" s="19"/>
      <c r="L14814" s="16" t="str">
        <f>IFERROR(__xludf.DUMMYFUNCTION("""COMPUTED_VALUE"""),"")</f>
        <v/>
      </c>
      <c r="M14814" s="16" t="str">
        <f>IFERROR(__xludf.DUMMYFUNCTION("""COMPUTED_VALUE"""),"")</f>
        <v/>
      </c>
      <c r="U14814" s="16" t="s">
        <v>87</v>
      </c>
      <c r="V14814" s="16" t="str">
        <f>IFERROR(__xludf.DUMMYFUNCTION("""COMPUTED_VALUE"""),"")</f>
        <v/>
      </c>
      <c r="W14814" s="16" t="str">
        <f>IFERROR(__xludf.DUMMYFUNCTION("""COMPUTED_VALUE"""),"")</f>
        <v/>
      </c>
      <c r="X14814" s="16" t="str">
        <f>IFERROR(__xludf.DUMMYFUNCTION("""COMPUTED_VALUE"""),"")</f>
        <v/>
      </c>
      <c r="AC14814" s="16" t="str">
        <f>IFERROR(__xludf.DUMMYFUNCTION("""COMPUTED_VALUE"""),"")</f>
        <v/>
      </c>
    </row>
    <row r="14815">
      <c r="A14815" s="16" t="s">
        <v>87</v>
      </c>
      <c r="E14815" s="16" t="str">
        <f>IFERROR(__xludf.DUMMYFUNCTION("""COMPUTED_VALUE"""),"")</f>
        <v/>
      </c>
      <c r="G14815" s="18"/>
      <c r="H14815" s="16" t="s">
        <v>87</v>
      </c>
      <c r="I14815" s="16" t="s">
        <v>87</v>
      </c>
      <c r="J14815" s="19"/>
      <c r="L14815" s="16" t="str">
        <f>IFERROR(__xludf.DUMMYFUNCTION("""COMPUTED_VALUE"""),"")</f>
        <v/>
      </c>
      <c r="M14815" s="16" t="str">
        <f>IFERROR(__xludf.DUMMYFUNCTION("""COMPUTED_VALUE"""),"")</f>
        <v/>
      </c>
      <c r="U14815" s="16" t="s">
        <v>87</v>
      </c>
      <c r="V14815" s="16" t="str">
        <f>IFERROR(__xludf.DUMMYFUNCTION("""COMPUTED_VALUE"""),"")</f>
        <v/>
      </c>
      <c r="W14815" s="16" t="str">
        <f>IFERROR(__xludf.DUMMYFUNCTION("""COMPUTED_VALUE"""),"")</f>
        <v/>
      </c>
      <c r="X14815" s="16" t="str">
        <f>IFERROR(__xludf.DUMMYFUNCTION("""COMPUTED_VALUE"""),"")</f>
        <v/>
      </c>
      <c r="AC14815" s="16" t="str">
        <f>IFERROR(__xludf.DUMMYFUNCTION("""COMPUTED_VALUE"""),"")</f>
        <v/>
      </c>
    </row>
    <row r="14816">
      <c r="A14816" s="16" t="s">
        <v>87</v>
      </c>
      <c r="E14816" s="16" t="str">
        <f>IFERROR(__xludf.DUMMYFUNCTION("""COMPUTED_VALUE"""),"")</f>
        <v/>
      </c>
      <c r="G14816" s="18"/>
      <c r="H14816" s="16" t="s">
        <v>87</v>
      </c>
      <c r="I14816" s="16" t="s">
        <v>87</v>
      </c>
      <c r="J14816" s="19"/>
      <c r="L14816" s="16" t="str">
        <f>IFERROR(__xludf.DUMMYFUNCTION("""COMPUTED_VALUE"""),"")</f>
        <v/>
      </c>
      <c r="M14816" s="16" t="str">
        <f>IFERROR(__xludf.DUMMYFUNCTION("""COMPUTED_VALUE"""),"")</f>
        <v/>
      </c>
      <c r="U14816" s="16" t="s">
        <v>87</v>
      </c>
      <c r="V14816" s="16" t="str">
        <f>IFERROR(__xludf.DUMMYFUNCTION("""COMPUTED_VALUE"""),"")</f>
        <v/>
      </c>
      <c r="W14816" s="16" t="str">
        <f>IFERROR(__xludf.DUMMYFUNCTION("""COMPUTED_VALUE"""),"")</f>
        <v/>
      </c>
      <c r="X14816" s="16" t="str">
        <f>IFERROR(__xludf.DUMMYFUNCTION("""COMPUTED_VALUE"""),"")</f>
        <v/>
      </c>
      <c r="AC14816" s="16" t="str">
        <f>IFERROR(__xludf.DUMMYFUNCTION("""COMPUTED_VALUE"""),"")</f>
        <v/>
      </c>
    </row>
    <row r="14817">
      <c r="A14817" s="16" t="s">
        <v>87</v>
      </c>
      <c r="E14817" s="16" t="str">
        <f>IFERROR(__xludf.DUMMYFUNCTION("""COMPUTED_VALUE"""),"")</f>
        <v/>
      </c>
      <c r="G14817" s="18"/>
      <c r="H14817" s="16" t="s">
        <v>87</v>
      </c>
      <c r="I14817" s="16" t="s">
        <v>87</v>
      </c>
      <c r="J14817" s="19"/>
      <c r="L14817" s="16" t="str">
        <f>IFERROR(__xludf.DUMMYFUNCTION("""COMPUTED_VALUE"""),"")</f>
        <v/>
      </c>
      <c r="M14817" s="16" t="str">
        <f>IFERROR(__xludf.DUMMYFUNCTION("""COMPUTED_VALUE"""),"")</f>
        <v/>
      </c>
      <c r="U14817" s="16" t="s">
        <v>87</v>
      </c>
      <c r="V14817" s="16" t="str">
        <f>IFERROR(__xludf.DUMMYFUNCTION("""COMPUTED_VALUE"""),"")</f>
        <v/>
      </c>
      <c r="W14817" s="16" t="str">
        <f>IFERROR(__xludf.DUMMYFUNCTION("""COMPUTED_VALUE"""),"")</f>
        <v/>
      </c>
      <c r="X14817" s="16" t="str">
        <f>IFERROR(__xludf.DUMMYFUNCTION("""COMPUTED_VALUE"""),"")</f>
        <v/>
      </c>
      <c r="AC14817" s="16" t="str">
        <f>IFERROR(__xludf.DUMMYFUNCTION("""COMPUTED_VALUE"""),"")</f>
        <v/>
      </c>
    </row>
    <row r="14818">
      <c r="A14818" s="16" t="s">
        <v>87</v>
      </c>
      <c r="E14818" s="16" t="str">
        <f>IFERROR(__xludf.DUMMYFUNCTION("""COMPUTED_VALUE"""),"")</f>
        <v/>
      </c>
      <c r="G14818" s="18"/>
      <c r="H14818" s="16" t="s">
        <v>87</v>
      </c>
      <c r="I14818" s="16" t="s">
        <v>87</v>
      </c>
      <c r="J14818" s="19"/>
      <c r="L14818" s="16" t="str">
        <f>IFERROR(__xludf.DUMMYFUNCTION("""COMPUTED_VALUE"""),"")</f>
        <v/>
      </c>
      <c r="M14818" s="16" t="str">
        <f>IFERROR(__xludf.DUMMYFUNCTION("""COMPUTED_VALUE"""),"")</f>
        <v/>
      </c>
      <c r="U14818" s="16" t="s">
        <v>87</v>
      </c>
      <c r="V14818" s="16" t="str">
        <f>IFERROR(__xludf.DUMMYFUNCTION("""COMPUTED_VALUE"""),"")</f>
        <v/>
      </c>
      <c r="W14818" s="16" t="str">
        <f>IFERROR(__xludf.DUMMYFUNCTION("""COMPUTED_VALUE"""),"")</f>
        <v/>
      </c>
      <c r="X14818" s="16" t="str">
        <f>IFERROR(__xludf.DUMMYFUNCTION("""COMPUTED_VALUE"""),"")</f>
        <v/>
      </c>
      <c r="AC14818" s="16" t="str">
        <f>IFERROR(__xludf.DUMMYFUNCTION("""COMPUTED_VALUE"""),"")</f>
        <v/>
      </c>
    </row>
    <row r="14819">
      <c r="A14819" s="16" t="s">
        <v>87</v>
      </c>
      <c r="E14819" s="16" t="str">
        <f>IFERROR(__xludf.DUMMYFUNCTION("""COMPUTED_VALUE"""),"")</f>
        <v/>
      </c>
      <c r="G14819" s="18"/>
      <c r="H14819" s="16" t="s">
        <v>87</v>
      </c>
      <c r="I14819" s="16" t="s">
        <v>87</v>
      </c>
      <c r="J14819" s="19"/>
      <c r="L14819" s="16" t="str">
        <f>IFERROR(__xludf.DUMMYFUNCTION("""COMPUTED_VALUE"""),"")</f>
        <v/>
      </c>
      <c r="M14819" s="16" t="str">
        <f>IFERROR(__xludf.DUMMYFUNCTION("""COMPUTED_VALUE"""),"")</f>
        <v/>
      </c>
      <c r="U14819" s="16" t="s">
        <v>87</v>
      </c>
      <c r="V14819" s="16" t="str">
        <f>IFERROR(__xludf.DUMMYFUNCTION("""COMPUTED_VALUE"""),"")</f>
        <v/>
      </c>
      <c r="W14819" s="16" t="str">
        <f>IFERROR(__xludf.DUMMYFUNCTION("""COMPUTED_VALUE"""),"")</f>
        <v/>
      </c>
      <c r="X14819" s="16" t="str">
        <f>IFERROR(__xludf.DUMMYFUNCTION("""COMPUTED_VALUE"""),"")</f>
        <v/>
      </c>
      <c r="AC14819" s="16" t="str">
        <f>IFERROR(__xludf.DUMMYFUNCTION("""COMPUTED_VALUE"""),"")</f>
        <v/>
      </c>
    </row>
    <row r="14820">
      <c r="A14820" s="16" t="s">
        <v>87</v>
      </c>
      <c r="E14820" s="16" t="str">
        <f>IFERROR(__xludf.DUMMYFUNCTION("""COMPUTED_VALUE"""),"")</f>
        <v/>
      </c>
      <c r="G14820" s="18"/>
      <c r="H14820" s="16" t="s">
        <v>87</v>
      </c>
      <c r="I14820" s="16" t="s">
        <v>87</v>
      </c>
      <c r="J14820" s="19"/>
      <c r="L14820" s="16" t="str">
        <f>IFERROR(__xludf.DUMMYFUNCTION("""COMPUTED_VALUE"""),"")</f>
        <v/>
      </c>
      <c r="M14820" s="16" t="str">
        <f>IFERROR(__xludf.DUMMYFUNCTION("""COMPUTED_VALUE"""),"")</f>
        <v/>
      </c>
      <c r="U14820" s="16" t="s">
        <v>87</v>
      </c>
      <c r="V14820" s="16" t="str">
        <f>IFERROR(__xludf.DUMMYFUNCTION("""COMPUTED_VALUE"""),"")</f>
        <v/>
      </c>
      <c r="W14820" s="16" t="str">
        <f>IFERROR(__xludf.DUMMYFUNCTION("""COMPUTED_VALUE"""),"")</f>
        <v/>
      </c>
      <c r="X14820" s="16" t="str">
        <f>IFERROR(__xludf.DUMMYFUNCTION("""COMPUTED_VALUE"""),"")</f>
        <v/>
      </c>
      <c r="AC14820" s="16" t="str">
        <f>IFERROR(__xludf.DUMMYFUNCTION("""COMPUTED_VALUE"""),"")</f>
        <v/>
      </c>
    </row>
    <row r="14821">
      <c r="A14821" s="16" t="s">
        <v>87</v>
      </c>
      <c r="E14821" s="16" t="str">
        <f>IFERROR(__xludf.DUMMYFUNCTION("""COMPUTED_VALUE"""),"")</f>
        <v/>
      </c>
      <c r="G14821" s="18"/>
      <c r="H14821" s="16" t="s">
        <v>87</v>
      </c>
      <c r="I14821" s="16" t="s">
        <v>87</v>
      </c>
      <c r="J14821" s="19"/>
      <c r="L14821" s="16" t="str">
        <f>IFERROR(__xludf.DUMMYFUNCTION("""COMPUTED_VALUE"""),"")</f>
        <v/>
      </c>
      <c r="M14821" s="16" t="str">
        <f>IFERROR(__xludf.DUMMYFUNCTION("""COMPUTED_VALUE"""),"")</f>
        <v/>
      </c>
      <c r="U14821" s="16" t="s">
        <v>87</v>
      </c>
      <c r="V14821" s="16" t="str">
        <f>IFERROR(__xludf.DUMMYFUNCTION("""COMPUTED_VALUE"""),"")</f>
        <v/>
      </c>
      <c r="W14821" s="16" t="str">
        <f>IFERROR(__xludf.DUMMYFUNCTION("""COMPUTED_VALUE"""),"")</f>
        <v/>
      </c>
      <c r="X14821" s="16" t="str">
        <f>IFERROR(__xludf.DUMMYFUNCTION("""COMPUTED_VALUE"""),"")</f>
        <v/>
      </c>
      <c r="AC14821" s="16" t="str">
        <f>IFERROR(__xludf.DUMMYFUNCTION("""COMPUTED_VALUE"""),"")</f>
        <v/>
      </c>
    </row>
    <row r="14822">
      <c r="A14822" s="16" t="s">
        <v>87</v>
      </c>
      <c r="E14822" s="16" t="str">
        <f>IFERROR(__xludf.DUMMYFUNCTION("""COMPUTED_VALUE"""),"")</f>
        <v/>
      </c>
      <c r="G14822" s="18"/>
      <c r="H14822" s="16" t="s">
        <v>87</v>
      </c>
      <c r="I14822" s="16" t="s">
        <v>87</v>
      </c>
      <c r="J14822" s="19"/>
      <c r="L14822" s="16" t="str">
        <f>IFERROR(__xludf.DUMMYFUNCTION("""COMPUTED_VALUE"""),"")</f>
        <v/>
      </c>
      <c r="M14822" s="16" t="str">
        <f>IFERROR(__xludf.DUMMYFUNCTION("""COMPUTED_VALUE"""),"")</f>
        <v/>
      </c>
      <c r="U14822" s="16" t="s">
        <v>87</v>
      </c>
      <c r="V14822" s="16" t="str">
        <f>IFERROR(__xludf.DUMMYFUNCTION("""COMPUTED_VALUE"""),"")</f>
        <v/>
      </c>
      <c r="W14822" s="16" t="str">
        <f>IFERROR(__xludf.DUMMYFUNCTION("""COMPUTED_VALUE"""),"")</f>
        <v/>
      </c>
      <c r="X14822" s="16" t="str">
        <f>IFERROR(__xludf.DUMMYFUNCTION("""COMPUTED_VALUE"""),"")</f>
        <v/>
      </c>
      <c r="AC14822" s="16" t="str">
        <f>IFERROR(__xludf.DUMMYFUNCTION("""COMPUTED_VALUE"""),"")</f>
        <v/>
      </c>
    </row>
    <row r="14823">
      <c r="A14823" s="16" t="s">
        <v>87</v>
      </c>
      <c r="E14823" s="16" t="str">
        <f>IFERROR(__xludf.DUMMYFUNCTION("""COMPUTED_VALUE"""),"")</f>
        <v/>
      </c>
      <c r="G14823" s="18"/>
      <c r="H14823" s="16" t="s">
        <v>87</v>
      </c>
      <c r="I14823" s="16" t="s">
        <v>87</v>
      </c>
      <c r="J14823" s="19"/>
      <c r="L14823" s="16" t="str">
        <f>IFERROR(__xludf.DUMMYFUNCTION("""COMPUTED_VALUE"""),"")</f>
        <v/>
      </c>
      <c r="M14823" s="16" t="str">
        <f>IFERROR(__xludf.DUMMYFUNCTION("""COMPUTED_VALUE"""),"")</f>
        <v/>
      </c>
      <c r="U14823" s="16" t="s">
        <v>87</v>
      </c>
      <c r="V14823" s="16" t="str">
        <f>IFERROR(__xludf.DUMMYFUNCTION("""COMPUTED_VALUE"""),"")</f>
        <v/>
      </c>
      <c r="W14823" s="16" t="str">
        <f>IFERROR(__xludf.DUMMYFUNCTION("""COMPUTED_VALUE"""),"")</f>
        <v/>
      </c>
      <c r="X14823" s="16" t="str">
        <f>IFERROR(__xludf.DUMMYFUNCTION("""COMPUTED_VALUE"""),"")</f>
        <v/>
      </c>
      <c r="AC14823" s="16" t="str">
        <f>IFERROR(__xludf.DUMMYFUNCTION("""COMPUTED_VALUE"""),"")</f>
        <v/>
      </c>
    </row>
    <row r="14824">
      <c r="A14824" s="16" t="s">
        <v>87</v>
      </c>
      <c r="E14824" s="16" t="str">
        <f>IFERROR(__xludf.DUMMYFUNCTION("""COMPUTED_VALUE"""),"")</f>
        <v/>
      </c>
      <c r="G14824" s="18"/>
      <c r="H14824" s="16" t="s">
        <v>87</v>
      </c>
      <c r="I14824" s="16" t="s">
        <v>87</v>
      </c>
      <c r="J14824" s="19"/>
      <c r="L14824" s="16" t="str">
        <f>IFERROR(__xludf.DUMMYFUNCTION("""COMPUTED_VALUE"""),"")</f>
        <v/>
      </c>
      <c r="M14824" s="16" t="str">
        <f>IFERROR(__xludf.DUMMYFUNCTION("""COMPUTED_VALUE"""),"")</f>
        <v/>
      </c>
      <c r="U14824" s="16" t="s">
        <v>87</v>
      </c>
      <c r="V14824" s="16" t="str">
        <f>IFERROR(__xludf.DUMMYFUNCTION("""COMPUTED_VALUE"""),"")</f>
        <v/>
      </c>
      <c r="W14824" s="16" t="str">
        <f>IFERROR(__xludf.DUMMYFUNCTION("""COMPUTED_VALUE"""),"")</f>
        <v/>
      </c>
      <c r="X14824" s="16" t="str">
        <f>IFERROR(__xludf.DUMMYFUNCTION("""COMPUTED_VALUE"""),"")</f>
        <v/>
      </c>
      <c r="AC14824" s="16" t="str">
        <f>IFERROR(__xludf.DUMMYFUNCTION("""COMPUTED_VALUE"""),"")</f>
        <v/>
      </c>
    </row>
    <row r="14825">
      <c r="A14825" s="16" t="s">
        <v>87</v>
      </c>
      <c r="E14825" s="16" t="str">
        <f>IFERROR(__xludf.DUMMYFUNCTION("""COMPUTED_VALUE"""),"")</f>
        <v/>
      </c>
      <c r="G14825" s="18"/>
      <c r="H14825" s="16" t="s">
        <v>87</v>
      </c>
      <c r="I14825" s="16" t="s">
        <v>87</v>
      </c>
      <c r="J14825" s="19"/>
      <c r="L14825" s="16" t="str">
        <f>IFERROR(__xludf.DUMMYFUNCTION("""COMPUTED_VALUE"""),"")</f>
        <v/>
      </c>
      <c r="M14825" s="16" t="str">
        <f>IFERROR(__xludf.DUMMYFUNCTION("""COMPUTED_VALUE"""),"")</f>
        <v/>
      </c>
      <c r="U14825" s="16" t="s">
        <v>87</v>
      </c>
      <c r="V14825" s="16" t="str">
        <f>IFERROR(__xludf.DUMMYFUNCTION("""COMPUTED_VALUE"""),"")</f>
        <v/>
      </c>
      <c r="W14825" s="16" t="str">
        <f>IFERROR(__xludf.DUMMYFUNCTION("""COMPUTED_VALUE"""),"")</f>
        <v/>
      </c>
      <c r="X14825" s="16" t="str">
        <f>IFERROR(__xludf.DUMMYFUNCTION("""COMPUTED_VALUE"""),"")</f>
        <v/>
      </c>
      <c r="AC14825" s="16" t="str">
        <f>IFERROR(__xludf.DUMMYFUNCTION("""COMPUTED_VALUE"""),"")</f>
        <v/>
      </c>
    </row>
    <row r="14826">
      <c r="A14826" s="16" t="s">
        <v>87</v>
      </c>
      <c r="E14826" s="16" t="str">
        <f>IFERROR(__xludf.DUMMYFUNCTION("""COMPUTED_VALUE"""),"")</f>
        <v/>
      </c>
      <c r="G14826" s="18"/>
      <c r="H14826" s="16" t="s">
        <v>87</v>
      </c>
      <c r="I14826" s="16" t="s">
        <v>87</v>
      </c>
      <c r="J14826" s="19"/>
      <c r="L14826" s="16" t="str">
        <f>IFERROR(__xludf.DUMMYFUNCTION("""COMPUTED_VALUE"""),"")</f>
        <v/>
      </c>
      <c r="M14826" s="16" t="str">
        <f>IFERROR(__xludf.DUMMYFUNCTION("""COMPUTED_VALUE"""),"")</f>
        <v/>
      </c>
      <c r="U14826" s="16" t="s">
        <v>87</v>
      </c>
      <c r="V14826" s="16" t="str">
        <f>IFERROR(__xludf.DUMMYFUNCTION("""COMPUTED_VALUE"""),"")</f>
        <v/>
      </c>
      <c r="W14826" s="16" t="str">
        <f>IFERROR(__xludf.DUMMYFUNCTION("""COMPUTED_VALUE"""),"")</f>
        <v/>
      </c>
      <c r="X14826" s="16" t="str">
        <f>IFERROR(__xludf.DUMMYFUNCTION("""COMPUTED_VALUE"""),"")</f>
        <v/>
      </c>
      <c r="AC14826" s="16" t="str">
        <f>IFERROR(__xludf.DUMMYFUNCTION("""COMPUTED_VALUE"""),"")</f>
        <v/>
      </c>
    </row>
    <row r="14827">
      <c r="A14827" s="16" t="s">
        <v>87</v>
      </c>
      <c r="E14827" s="16" t="str">
        <f>IFERROR(__xludf.DUMMYFUNCTION("""COMPUTED_VALUE"""),"")</f>
        <v/>
      </c>
      <c r="G14827" s="18"/>
      <c r="H14827" s="16" t="s">
        <v>87</v>
      </c>
      <c r="I14827" s="16" t="s">
        <v>87</v>
      </c>
      <c r="J14827" s="19"/>
      <c r="L14827" s="16" t="str">
        <f>IFERROR(__xludf.DUMMYFUNCTION("""COMPUTED_VALUE"""),"")</f>
        <v/>
      </c>
      <c r="M14827" s="16" t="str">
        <f>IFERROR(__xludf.DUMMYFUNCTION("""COMPUTED_VALUE"""),"")</f>
        <v/>
      </c>
      <c r="U14827" s="16" t="s">
        <v>87</v>
      </c>
      <c r="V14827" s="16" t="str">
        <f>IFERROR(__xludf.DUMMYFUNCTION("""COMPUTED_VALUE"""),"")</f>
        <v/>
      </c>
      <c r="W14827" s="16" t="str">
        <f>IFERROR(__xludf.DUMMYFUNCTION("""COMPUTED_VALUE"""),"")</f>
        <v/>
      </c>
      <c r="X14827" s="16" t="str">
        <f>IFERROR(__xludf.DUMMYFUNCTION("""COMPUTED_VALUE"""),"")</f>
        <v/>
      </c>
      <c r="AC14827" s="16" t="str">
        <f>IFERROR(__xludf.DUMMYFUNCTION("""COMPUTED_VALUE"""),"")</f>
        <v/>
      </c>
    </row>
    <row r="14828">
      <c r="A14828" s="16" t="s">
        <v>87</v>
      </c>
      <c r="E14828" s="16" t="str">
        <f>IFERROR(__xludf.DUMMYFUNCTION("""COMPUTED_VALUE"""),"")</f>
        <v/>
      </c>
      <c r="G14828" s="18"/>
      <c r="H14828" s="16" t="s">
        <v>87</v>
      </c>
      <c r="I14828" s="16" t="s">
        <v>87</v>
      </c>
      <c r="J14828" s="19"/>
      <c r="L14828" s="16" t="str">
        <f>IFERROR(__xludf.DUMMYFUNCTION("""COMPUTED_VALUE"""),"")</f>
        <v/>
      </c>
      <c r="M14828" s="16" t="str">
        <f>IFERROR(__xludf.DUMMYFUNCTION("""COMPUTED_VALUE"""),"")</f>
        <v/>
      </c>
      <c r="U14828" s="16" t="s">
        <v>87</v>
      </c>
      <c r="V14828" s="16" t="str">
        <f>IFERROR(__xludf.DUMMYFUNCTION("""COMPUTED_VALUE"""),"")</f>
        <v/>
      </c>
      <c r="W14828" s="16" t="str">
        <f>IFERROR(__xludf.DUMMYFUNCTION("""COMPUTED_VALUE"""),"")</f>
        <v/>
      </c>
      <c r="X14828" s="16" t="str">
        <f>IFERROR(__xludf.DUMMYFUNCTION("""COMPUTED_VALUE"""),"")</f>
        <v/>
      </c>
      <c r="AC14828" s="16" t="str">
        <f>IFERROR(__xludf.DUMMYFUNCTION("""COMPUTED_VALUE"""),"")</f>
        <v/>
      </c>
    </row>
    <row r="14829">
      <c r="A14829" s="16" t="s">
        <v>87</v>
      </c>
      <c r="E14829" s="16" t="str">
        <f>IFERROR(__xludf.DUMMYFUNCTION("""COMPUTED_VALUE"""),"")</f>
        <v/>
      </c>
      <c r="G14829" s="18"/>
      <c r="H14829" s="16" t="s">
        <v>87</v>
      </c>
      <c r="I14829" s="16" t="s">
        <v>87</v>
      </c>
      <c r="J14829" s="19"/>
      <c r="L14829" s="16" t="str">
        <f>IFERROR(__xludf.DUMMYFUNCTION("""COMPUTED_VALUE"""),"")</f>
        <v/>
      </c>
      <c r="M14829" s="16" t="str">
        <f>IFERROR(__xludf.DUMMYFUNCTION("""COMPUTED_VALUE"""),"")</f>
        <v/>
      </c>
      <c r="U14829" s="16" t="s">
        <v>87</v>
      </c>
      <c r="V14829" s="16" t="str">
        <f>IFERROR(__xludf.DUMMYFUNCTION("""COMPUTED_VALUE"""),"")</f>
        <v/>
      </c>
      <c r="W14829" s="16" t="str">
        <f>IFERROR(__xludf.DUMMYFUNCTION("""COMPUTED_VALUE"""),"")</f>
        <v/>
      </c>
      <c r="X14829" s="16" t="str">
        <f>IFERROR(__xludf.DUMMYFUNCTION("""COMPUTED_VALUE"""),"")</f>
        <v/>
      </c>
      <c r="AC14829" s="16" t="str">
        <f>IFERROR(__xludf.DUMMYFUNCTION("""COMPUTED_VALUE"""),"")</f>
        <v/>
      </c>
    </row>
    <row r="14830">
      <c r="A14830" s="16" t="s">
        <v>87</v>
      </c>
      <c r="E14830" s="16" t="str">
        <f>IFERROR(__xludf.DUMMYFUNCTION("""COMPUTED_VALUE"""),"")</f>
        <v/>
      </c>
      <c r="G14830" s="18"/>
      <c r="H14830" s="16" t="s">
        <v>87</v>
      </c>
      <c r="I14830" s="16" t="s">
        <v>87</v>
      </c>
      <c r="J14830" s="19"/>
      <c r="L14830" s="16" t="str">
        <f>IFERROR(__xludf.DUMMYFUNCTION("""COMPUTED_VALUE"""),"")</f>
        <v/>
      </c>
      <c r="M14830" s="16" t="str">
        <f>IFERROR(__xludf.DUMMYFUNCTION("""COMPUTED_VALUE"""),"")</f>
        <v/>
      </c>
      <c r="U14830" s="16" t="s">
        <v>87</v>
      </c>
      <c r="V14830" s="16" t="str">
        <f>IFERROR(__xludf.DUMMYFUNCTION("""COMPUTED_VALUE"""),"")</f>
        <v/>
      </c>
      <c r="W14830" s="16" t="str">
        <f>IFERROR(__xludf.DUMMYFUNCTION("""COMPUTED_VALUE"""),"")</f>
        <v/>
      </c>
      <c r="X14830" s="16" t="str">
        <f>IFERROR(__xludf.DUMMYFUNCTION("""COMPUTED_VALUE"""),"")</f>
        <v/>
      </c>
      <c r="AC14830" s="16" t="str">
        <f>IFERROR(__xludf.DUMMYFUNCTION("""COMPUTED_VALUE"""),"")</f>
        <v/>
      </c>
    </row>
    <row r="14831">
      <c r="A14831" s="16" t="s">
        <v>87</v>
      </c>
      <c r="E14831" s="16" t="str">
        <f>IFERROR(__xludf.DUMMYFUNCTION("""COMPUTED_VALUE"""),"")</f>
        <v/>
      </c>
      <c r="G14831" s="18"/>
      <c r="H14831" s="16" t="s">
        <v>87</v>
      </c>
      <c r="I14831" s="16" t="s">
        <v>87</v>
      </c>
      <c r="J14831" s="19"/>
      <c r="L14831" s="16" t="str">
        <f>IFERROR(__xludf.DUMMYFUNCTION("""COMPUTED_VALUE"""),"")</f>
        <v/>
      </c>
      <c r="M14831" s="16" t="str">
        <f>IFERROR(__xludf.DUMMYFUNCTION("""COMPUTED_VALUE"""),"")</f>
        <v/>
      </c>
      <c r="U14831" s="16" t="s">
        <v>87</v>
      </c>
      <c r="V14831" s="16" t="str">
        <f>IFERROR(__xludf.DUMMYFUNCTION("""COMPUTED_VALUE"""),"")</f>
        <v/>
      </c>
      <c r="W14831" s="16" t="str">
        <f>IFERROR(__xludf.DUMMYFUNCTION("""COMPUTED_VALUE"""),"")</f>
        <v/>
      </c>
      <c r="X14831" s="16" t="str">
        <f>IFERROR(__xludf.DUMMYFUNCTION("""COMPUTED_VALUE"""),"")</f>
        <v/>
      </c>
      <c r="AC14831" s="16" t="str">
        <f>IFERROR(__xludf.DUMMYFUNCTION("""COMPUTED_VALUE"""),"")</f>
        <v/>
      </c>
    </row>
    <row r="14832">
      <c r="A14832" s="16" t="s">
        <v>87</v>
      </c>
      <c r="E14832" s="16" t="str">
        <f>IFERROR(__xludf.DUMMYFUNCTION("""COMPUTED_VALUE"""),"")</f>
        <v/>
      </c>
      <c r="G14832" s="18"/>
      <c r="H14832" s="16" t="s">
        <v>87</v>
      </c>
      <c r="I14832" s="16" t="s">
        <v>87</v>
      </c>
      <c r="J14832" s="19"/>
      <c r="L14832" s="16" t="str">
        <f>IFERROR(__xludf.DUMMYFUNCTION("""COMPUTED_VALUE"""),"")</f>
        <v/>
      </c>
      <c r="M14832" s="16" t="str">
        <f>IFERROR(__xludf.DUMMYFUNCTION("""COMPUTED_VALUE"""),"")</f>
        <v/>
      </c>
      <c r="U14832" s="16" t="s">
        <v>87</v>
      </c>
      <c r="V14832" s="16" t="str">
        <f>IFERROR(__xludf.DUMMYFUNCTION("""COMPUTED_VALUE"""),"")</f>
        <v/>
      </c>
      <c r="W14832" s="16" t="str">
        <f>IFERROR(__xludf.DUMMYFUNCTION("""COMPUTED_VALUE"""),"")</f>
        <v/>
      </c>
      <c r="X14832" s="16" t="str">
        <f>IFERROR(__xludf.DUMMYFUNCTION("""COMPUTED_VALUE"""),"")</f>
        <v/>
      </c>
      <c r="AC14832" s="16" t="str">
        <f>IFERROR(__xludf.DUMMYFUNCTION("""COMPUTED_VALUE"""),"")</f>
        <v/>
      </c>
    </row>
    <row r="14833">
      <c r="A14833" s="16" t="s">
        <v>87</v>
      </c>
      <c r="E14833" s="16" t="str">
        <f>IFERROR(__xludf.DUMMYFUNCTION("""COMPUTED_VALUE"""),"")</f>
        <v/>
      </c>
      <c r="G14833" s="18"/>
      <c r="H14833" s="16" t="s">
        <v>87</v>
      </c>
      <c r="I14833" s="16" t="s">
        <v>87</v>
      </c>
      <c r="J14833" s="19"/>
      <c r="L14833" s="16" t="str">
        <f>IFERROR(__xludf.DUMMYFUNCTION("""COMPUTED_VALUE"""),"")</f>
        <v/>
      </c>
      <c r="M14833" s="16" t="str">
        <f>IFERROR(__xludf.DUMMYFUNCTION("""COMPUTED_VALUE"""),"")</f>
        <v/>
      </c>
      <c r="U14833" s="16" t="s">
        <v>87</v>
      </c>
      <c r="V14833" s="16" t="str">
        <f>IFERROR(__xludf.DUMMYFUNCTION("""COMPUTED_VALUE"""),"")</f>
        <v/>
      </c>
      <c r="W14833" s="16" t="str">
        <f>IFERROR(__xludf.DUMMYFUNCTION("""COMPUTED_VALUE"""),"")</f>
        <v/>
      </c>
      <c r="X14833" s="16" t="str">
        <f>IFERROR(__xludf.DUMMYFUNCTION("""COMPUTED_VALUE"""),"")</f>
        <v/>
      </c>
      <c r="AC14833" s="16" t="str">
        <f>IFERROR(__xludf.DUMMYFUNCTION("""COMPUTED_VALUE"""),"")</f>
        <v/>
      </c>
    </row>
    <row r="14834">
      <c r="A14834" s="16" t="s">
        <v>87</v>
      </c>
      <c r="E14834" s="16" t="str">
        <f>IFERROR(__xludf.DUMMYFUNCTION("""COMPUTED_VALUE"""),"")</f>
        <v/>
      </c>
      <c r="G14834" s="18"/>
      <c r="H14834" s="16" t="s">
        <v>87</v>
      </c>
      <c r="I14834" s="16" t="s">
        <v>87</v>
      </c>
      <c r="J14834" s="19"/>
      <c r="L14834" s="16" t="str">
        <f>IFERROR(__xludf.DUMMYFUNCTION("""COMPUTED_VALUE"""),"")</f>
        <v/>
      </c>
      <c r="M14834" s="16" t="str">
        <f>IFERROR(__xludf.DUMMYFUNCTION("""COMPUTED_VALUE"""),"")</f>
        <v/>
      </c>
      <c r="U14834" s="16" t="s">
        <v>87</v>
      </c>
      <c r="V14834" s="16" t="str">
        <f>IFERROR(__xludf.DUMMYFUNCTION("""COMPUTED_VALUE"""),"")</f>
        <v/>
      </c>
      <c r="W14834" s="16" t="str">
        <f>IFERROR(__xludf.DUMMYFUNCTION("""COMPUTED_VALUE"""),"")</f>
        <v/>
      </c>
      <c r="X14834" s="16" t="str">
        <f>IFERROR(__xludf.DUMMYFUNCTION("""COMPUTED_VALUE"""),"")</f>
        <v/>
      </c>
      <c r="AC14834" s="16" t="str">
        <f>IFERROR(__xludf.DUMMYFUNCTION("""COMPUTED_VALUE"""),"")</f>
        <v/>
      </c>
    </row>
    <row r="14835">
      <c r="A14835" s="16" t="s">
        <v>87</v>
      </c>
      <c r="E14835" s="16" t="str">
        <f>IFERROR(__xludf.DUMMYFUNCTION("""COMPUTED_VALUE"""),"")</f>
        <v/>
      </c>
      <c r="G14835" s="18"/>
      <c r="H14835" s="16" t="s">
        <v>87</v>
      </c>
      <c r="I14835" s="16" t="s">
        <v>87</v>
      </c>
      <c r="J14835" s="19"/>
      <c r="L14835" s="16" t="str">
        <f>IFERROR(__xludf.DUMMYFUNCTION("""COMPUTED_VALUE"""),"")</f>
        <v/>
      </c>
      <c r="M14835" s="16" t="str">
        <f>IFERROR(__xludf.DUMMYFUNCTION("""COMPUTED_VALUE"""),"")</f>
        <v/>
      </c>
      <c r="U14835" s="16" t="s">
        <v>87</v>
      </c>
      <c r="V14835" s="16" t="str">
        <f>IFERROR(__xludf.DUMMYFUNCTION("""COMPUTED_VALUE"""),"")</f>
        <v/>
      </c>
      <c r="W14835" s="16" t="str">
        <f>IFERROR(__xludf.DUMMYFUNCTION("""COMPUTED_VALUE"""),"")</f>
        <v/>
      </c>
      <c r="X14835" s="16" t="str">
        <f>IFERROR(__xludf.DUMMYFUNCTION("""COMPUTED_VALUE"""),"")</f>
        <v/>
      </c>
      <c r="AC14835" s="16" t="str">
        <f>IFERROR(__xludf.DUMMYFUNCTION("""COMPUTED_VALUE"""),"")</f>
        <v/>
      </c>
    </row>
    <row r="14836">
      <c r="A14836" s="16" t="s">
        <v>87</v>
      </c>
      <c r="E14836" s="16" t="str">
        <f>IFERROR(__xludf.DUMMYFUNCTION("""COMPUTED_VALUE"""),"")</f>
        <v/>
      </c>
      <c r="G14836" s="18"/>
      <c r="H14836" s="16" t="s">
        <v>87</v>
      </c>
      <c r="I14836" s="16" t="s">
        <v>87</v>
      </c>
      <c r="J14836" s="19"/>
      <c r="L14836" s="16" t="str">
        <f>IFERROR(__xludf.DUMMYFUNCTION("""COMPUTED_VALUE"""),"")</f>
        <v/>
      </c>
      <c r="M14836" s="16" t="str">
        <f>IFERROR(__xludf.DUMMYFUNCTION("""COMPUTED_VALUE"""),"")</f>
        <v/>
      </c>
      <c r="U14836" s="16" t="s">
        <v>87</v>
      </c>
      <c r="V14836" s="16" t="str">
        <f>IFERROR(__xludf.DUMMYFUNCTION("""COMPUTED_VALUE"""),"")</f>
        <v/>
      </c>
      <c r="W14836" s="16" t="str">
        <f>IFERROR(__xludf.DUMMYFUNCTION("""COMPUTED_VALUE"""),"")</f>
        <v/>
      </c>
      <c r="X14836" s="16" t="str">
        <f>IFERROR(__xludf.DUMMYFUNCTION("""COMPUTED_VALUE"""),"")</f>
        <v/>
      </c>
      <c r="AC14836" s="16" t="str">
        <f>IFERROR(__xludf.DUMMYFUNCTION("""COMPUTED_VALUE"""),"")</f>
        <v/>
      </c>
    </row>
    <row r="14837">
      <c r="A14837" s="16" t="s">
        <v>87</v>
      </c>
      <c r="E14837" s="16" t="str">
        <f>IFERROR(__xludf.DUMMYFUNCTION("""COMPUTED_VALUE"""),"")</f>
        <v/>
      </c>
      <c r="G14837" s="18"/>
      <c r="H14837" s="16" t="s">
        <v>87</v>
      </c>
      <c r="I14837" s="16" t="s">
        <v>87</v>
      </c>
      <c r="J14837" s="19"/>
      <c r="L14837" s="16" t="str">
        <f>IFERROR(__xludf.DUMMYFUNCTION("""COMPUTED_VALUE"""),"")</f>
        <v/>
      </c>
      <c r="M14837" s="16" t="str">
        <f>IFERROR(__xludf.DUMMYFUNCTION("""COMPUTED_VALUE"""),"")</f>
        <v/>
      </c>
      <c r="U14837" s="16" t="s">
        <v>87</v>
      </c>
      <c r="V14837" s="16" t="str">
        <f>IFERROR(__xludf.DUMMYFUNCTION("""COMPUTED_VALUE"""),"")</f>
        <v/>
      </c>
      <c r="W14837" s="16" t="str">
        <f>IFERROR(__xludf.DUMMYFUNCTION("""COMPUTED_VALUE"""),"")</f>
        <v/>
      </c>
      <c r="X14837" s="16" t="str">
        <f>IFERROR(__xludf.DUMMYFUNCTION("""COMPUTED_VALUE"""),"")</f>
        <v/>
      </c>
      <c r="AC14837" s="16" t="str">
        <f>IFERROR(__xludf.DUMMYFUNCTION("""COMPUTED_VALUE"""),"")</f>
        <v/>
      </c>
    </row>
    <row r="14838">
      <c r="A14838" s="16" t="s">
        <v>87</v>
      </c>
      <c r="E14838" s="16" t="str">
        <f>IFERROR(__xludf.DUMMYFUNCTION("""COMPUTED_VALUE"""),"")</f>
        <v/>
      </c>
      <c r="G14838" s="18"/>
      <c r="H14838" s="16" t="s">
        <v>87</v>
      </c>
      <c r="I14838" s="16" t="s">
        <v>87</v>
      </c>
      <c r="J14838" s="19"/>
      <c r="L14838" s="16" t="str">
        <f>IFERROR(__xludf.DUMMYFUNCTION("""COMPUTED_VALUE"""),"")</f>
        <v/>
      </c>
      <c r="M14838" s="16" t="str">
        <f>IFERROR(__xludf.DUMMYFUNCTION("""COMPUTED_VALUE"""),"")</f>
        <v/>
      </c>
      <c r="U14838" s="16" t="s">
        <v>87</v>
      </c>
      <c r="V14838" s="16" t="str">
        <f>IFERROR(__xludf.DUMMYFUNCTION("""COMPUTED_VALUE"""),"")</f>
        <v/>
      </c>
      <c r="W14838" s="16" t="str">
        <f>IFERROR(__xludf.DUMMYFUNCTION("""COMPUTED_VALUE"""),"")</f>
        <v/>
      </c>
      <c r="X14838" s="16" t="str">
        <f>IFERROR(__xludf.DUMMYFUNCTION("""COMPUTED_VALUE"""),"")</f>
        <v/>
      </c>
      <c r="AC14838" s="16" t="str">
        <f>IFERROR(__xludf.DUMMYFUNCTION("""COMPUTED_VALUE"""),"")</f>
        <v/>
      </c>
    </row>
    <row r="14839">
      <c r="A14839" s="16" t="s">
        <v>87</v>
      </c>
      <c r="E14839" s="16" t="str">
        <f>IFERROR(__xludf.DUMMYFUNCTION("""COMPUTED_VALUE"""),"")</f>
        <v/>
      </c>
      <c r="G14839" s="18"/>
      <c r="H14839" s="16" t="s">
        <v>87</v>
      </c>
      <c r="I14839" s="16" t="s">
        <v>87</v>
      </c>
      <c r="J14839" s="19"/>
      <c r="L14839" s="16" t="str">
        <f>IFERROR(__xludf.DUMMYFUNCTION("""COMPUTED_VALUE"""),"")</f>
        <v/>
      </c>
      <c r="M14839" s="16" t="str">
        <f>IFERROR(__xludf.DUMMYFUNCTION("""COMPUTED_VALUE"""),"")</f>
        <v/>
      </c>
      <c r="U14839" s="16" t="s">
        <v>87</v>
      </c>
      <c r="V14839" s="16" t="str">
        <f>IFERROR(__xludf.DUMMYFUNCTION("""COMPUTED_VALUE"""),"")</f>
        <v/>
      </c>
      <c r="W14839" s="16" t="str">
        <f>IFERROR(__xludf.DUMMYFUNCTION("""COMPUTED_VALUE"""),"")</f>
        <v/>
      </c>
      <c r="X14839" s="16" t="str">
        <f>IFERROR(__xludf.DUMMYFUNCTION("""COMPUTED_VALUE"""),"")</f>
        <v/>
      </c>
      <c r="AC14839" s="16" t="str">
        <f>IFERROR(__xludf.DUMMYFUNCTION("""COMPUTED_VALUE"""),"")</f>
        <v/>
      </c>
    </row>
    <row r="14840">
      <c r="A14840" s="16" t="s">
        <v>87</v>
      </c>
      <c r="E14840" s="16" t="str">
        <f>IFERROR(__xludf.DUMMYFUNCTION("""COMPUTED_VALUE"""),"")</f>
        <v/>
      </c>
      <c r="G14840" s="18"/>
      <c r="H14840" s="16" t="s">
        <v>87</v>
      </c>
      <c r="I14840" s="16" t="s">
        <v>87</v>
      </c>
      <c r="J14840" s="19"/>
      <c r="L14840" s="16" t="str">
        <f>IFERROR(__xludf.DUMMYFUNCTION("""COMPUTED_VALUE"""),"")</f>
        <v/>
      </c>
      <c r="M14840" s="16" t="str">
        <f>IFERROR(__xludf.DUMMYFUNCTION("""COMPUTED_VALUE"""),"")</f>
        <v/>
      </c>
      <c r="U14840" s="16" t="s">
        <v>87</v>
      </c>
      <c r="V14840" s="16" t="str">
        <f>IFERROR(__xludf.DUMMYFUNCTION("""COMPUTED_VALUE"""),"")</f>
        <v/>
      </c>
      <c r="W14840" s="16" t="str">
        <f>IFERROR(__xludf.DUMMYFUNCTION("""COMPUTED_VALUE"""),"")</f>
        <v/>
      </c>
      <c r="X14840" s="16" t="str">
        <f>IFERROR(__xludf.DUMMYFUNCTION("""COMPUTED_VALUE"""),"")</f>
        <v/>
      </c>
      <c r="AC14840" s="16" t="str">
        <f>IFERROR(__xludf.DUMMYFUNCTION("""COMPUTED_VALUE"""),"")</f>
        <v/>
      </c>
    </row>
    <row r="14841">
      <c r="A14841" s="16" t="s">
        <v>87</v>
      </c>
      <c r="E14841" s="16" t="str">
        <f>IFERROR(__xludf.DUMMYFUNCTION("""COMPUTED_VALUE"""),"")</f>
        <v/>
      </c>
      <c r="G14841" s="18"/>
      <c r="H14841" s="16" t="s">
        <v>87</v>
      </c>
      <c r="I14841" s="16" t="s">
        <v>87</v>
      </c>
      <c r="J14841" s="19"/>
      <c r="L14841" s="16" t="str">
        <f>IFERROR(__xludf.DUMMYFUNCTION("""COMPUTED_VALUE"""),"")</f>
        <v/>
      </c>
      <c r="M14841" s="16" t="str">
        <f>IFERROR(__xludf.DUMMYFUNCTION("""COMPUTED_VALUE"""),"")</f>
        <v/>
      </c>
      <c r="U14841" s="16" t="s">
        <v>87</v>
      </c>
      <c r="V14841" s="16" t="str">
        <f>IFERROR(__xludf.DUMMYFUNCTION("""COMPUTED_VALUE"""),"")</f>
        <v/>
      </c>
      <c r="W14841" s="16" t="str">
        <f>IFERROR(__xludf.DUMMYFUNCTION("""COMPUTED_VALUE"""),"")</f>
        <v/>
      </c>
      <c r="X14841" s="16" t="str">
        <f>IFERROR(__xludf.DUMMYFUNCTION("""COMPUTED_VALUE"""),"")</f>
        <v/>
      </c>
      <c r="AC14841" s="16" t="str">
        <f>IFERROR(__xludf.DUMMYFUNCTION("""COMPUTED_VALUE"""),"")</f>
        <v/>
      </c>
    </row>
    <row r="14842">
      <c r="A14842" s="16" t="s">
        <v>87</v>
      </c>
      <c r="E14842" s="16" t="str">
        <f>IFERROR(__xludf.DUMMYFUNCTION("""COMPUTED_VALUE"""),"")</f>
        <v/>
      </c>
      <c r="G14842" s="18"/>
      <c r="H14842" s="16" t="s">
        <v>87</v>
      </c>
      <c r="I14842" s="16" t="s">
        <v>87</v>
      </c>
      <c r="J14842" s="19"/>
      <c r="L14842" s="16" t="str">
        <f>IFERROR(__xludf.DUMMYFUNCTION("""COMPUTED_VALUE"""),"")</f>
        <v/>
      </c>
      <c r="M14842" s="16" t="str">
        <f>IFERROR(__xludf.DUMMYFUNCTION("""COMPUTED_VALUE"""),"")</f>
        <v/>
      </c>
      <c r="U14842" s="16" t="s">
        <v>87</v>
      </c>
      <c r="V14842" s="16" t="str">
        <f>IFERROR(__xludf.DUMMYFUNCTION("""COMPUTED_VALUE"""),"")</f>
        <v/>
      </c>
      <c r="W14842" s="16" t="str">
        <f>IFERROR(__xludf.DUMMYFUNCTION("""COMPUTED_VALUE"""),"")</f>
        <v/>
      </c>
      <c r="X14842" s="16" t="str">
        <f>IFERROR(__xludf.DUMMYFUNCTION("""COMPUTED_VALUE"""),"")</f>
        <v/>
      </c>
      <c r="AC14842" s="16" t="str">
        <f>IFERROR(__xludf.DUMMYFUNCTION("""COMPUTED_VALUE"""),"")</f>
        <v/>
      </c>
    </row>
    <row r="14843">
      <c r="A14843" s="16" t="s">
        <v>87</v>
      </c>
      <c r="E14843" s="16" t="str">
        <f>IFERROR(__xludf.DUMMYFUNCTION("""COMPUTED_VALUE"""),"")</f>
        <v/>
      </c>
      <c r="G14843" s="18"/>
      <c r="H14843" s="16" t="s">
        <v>87</v>
      </c>
      <c r="I14843" s="16" t="s">
        <v>87</v>
      </c>
      <c r="J14843" s="19"/>
      <c r="L14843" s="16" t="str">
        <f>IFERROR(__xludf.DUMMYFUNCTION("""COMPUTED_VALUE"""),"")</f>
        <v/>
      </c>
      <c r="M14843" s="16" t="str">
        <f>IFERROR(__xludf.DUMMYFUNCTION("""COMPUTED_VALUE"""),"")</f>
        <v/>
      </c>
      <c r="U14843" s="16" t="s">
        <v>87</v>
      </c>
      <c r="V14843" s="16" t="str">
        <f>IFERROR(__xludf.DUMMYFUNCTION("""COMPUTED_VALUE"""),"")</f>
        <v/>
      </c>
      <c r="W14843" s="16" t="str">
        <f>IFERROR(__xludf.DUMMYFUNCTION("""COMPUTED_VALUE"""),"")</f>
        <v/>
      </c>
      <c r="X14843" s="16" t="str">
        <f>IFERROR(__xludf.DUMMYFUNCTION("""COMPUTED_VALUE"""),"")</f>
        <v/>
      </c>
      <c r="AC14843" s="16" t="str">
        <f>IFERROR(__xludf.DUMMYFUNCTION("""COMPUTED_VALUE"""),"")</f>
        <v/>
      </c>
    </row>
    <row r="14844">
      <c r="A14844" s="16" t="s">
        <v>87</v>
      </c>
      <c r="E14844" s="16" t="str">
        <f>IFERROR(__xludf.DUMMYFUNCTION("""COMPUTED_VALUE"""),"")</f>
        <v/>
      </c>
      <c r="G14844" s="18"/>
      <c r="H14844" s="16" t="s">
        <v>87</v>
      </c>
      <c r="I14844" s="16" t="s">
        <v>87</v>
      </c>
      <c r="J14844" s="19"/>
      <c r="L14844" s="16" t="str">
        <f>IFERROR(__xludf.DUMMYFUNCTION("""COMPUTED_VALUE"""),"")</f>
        <v/>
      </c>
      <c r="M14844" s="16" t="str">
        <f>IFERROR(__xludf.DUMMYFUNCTION("""COMPUTED_VALUE"""),"")</f>
        <v/>
      </c>
      <c r="U14844" s="16" t="s">
        <v>87</v>
      </c>
      <c r="V14844" s="16" t="str">
        <f>IFERROR(__xludf.DUMMYFUNCTION("""COMPUTED_VALUE"""),"")</f>
        <v/>
      </c>
      <c r="W14844" s="16" t="str">
        <f>IFERROR(__xludf.DUMMYFUNCTION("""COMPUTED_VALUE"""),"")</f>
        <v/>
      </c>
      <c r="X14844" s="16" t="str">
        <f>IFERROR(__xludf.DUMMYFUNCTION("""COMPUTED_VALUE"""),"")</f>
        <v/>
      </c>
      <c r="AC14844" s="16" t="str">
        <f>IFERROR(__xludf.DUMMYFUNCTION("""COMPUTED_VALUE"""),"")</f>
        <v/>
      </c>
    </row>
    <row r="14845">
      <c r="A14845" s="16" t="s">
        <v>87</v>
      </c>
      <c r="E14845" s="16" t="str">
        <f>IFERROR(__xludf.DUMMYFUNCTION("""COMPUTED_VALUE"""),"")</f>
        <v/>
      </c>
      <c r="G14845" s="18"/>
      <c r="H14845" s="16" t="s">
        <v>87</v>
      </c>
      <c r="I14845" s="16" t="s">
        <v>87</v>
      </c>
      <c r="J14845" s="19"/>
      <c r="L14845" s="16" t="str">
        <f>IFERROR(__xludf.DUMMYFUNCTION("""COMPUTED_VALUE"""),"")</f>
        <v/>
      </c>
      <c r="M14845" s="16" t="str">
        <f>IFERROR(__xludf.DUMMYFUNCTION("""COMPUTED_VALUE"""),"")</f>
        <v/>
      </c>
      <c r="U14845" s="16" t="s">
        <v>87</v>
      </c>
      <c r="V14845" s="16" t="str">
        <f>IFERROR(__xludf.DUMMYFUNCTION("""COMPUTED_VALUE"""),"")</f>
        <v/>
      </c>
      <c r="W14845" s="16" t="str">
        <f>IFERROR(__xludf.DUMMYFUNCTION("""COMPUTED_VALUE"""),"")</f>
        <v/>
      </c>
      <c r="X14845" s="16" t="str">
        <f>IFERROR(__xludf.DUMMYFUNCTION("""COMPUTED_VALUE"""),"")</f>
        <v/>
      </c>
      <c r="AC14845" s="16" t="str">
        <f>IFERROR(__xludf.DUMMYFUNCTION("""COMPUTED_VALUE"""),"")</f>
        <v/>
      </c>
    </row>
    <row r="14846">
      <c r="A14846" s="16" t="s">
        <v>87</v>
      </c>
      <c r="E14846" s="16" t="str">
        <f>IFERROR(__xludf.DUMMYFUNCTION("""COMPUTED_VALUE"""),"")</f>
        <v/>
      </c>
      <c r="G14846" s="18"/>
      <c r="H14846" s="16" t="s">
        <v>87</v>
      </c>
      <c r="I14846" s="16" t="s">
        <v>87</v>
      </c>
      <c r="J14846" s="19"/>
      <c r="L14846" s="16" t="str">
        <f>IFERROR(__xludf.DUMMYFUNCTION("""COMPUTED_VALUE"""),"")</f>
        <v/>
      </c>
      <c r="M14846" s="16" t="str">
        <f>IFERROR(__xludf.DUMMYFUNCTION("""COMPUTED_VALUE"""),"")</f>
        <v/>
      </c>
      <c r="U14846" s="16" t="s">
        <v>87</v>
      </c>
      <c r="V14846" s="16" t="str">
        <f>IFERROR(__xludf.DUMMYFUNCTION("""COMPUTED_VALUE"""),"")</f>
        <v/>
      </c>
      <c r="W14846" s="16" t="str">
        <f>IFERROR(__xludf.DUMMYFUNCTION("""COMPUTED_VALUE"""),"")</f>
        <v/>
      </c>
      <c r="X14846" s="16" t="str">
        <f>IFERROR(__xludf.DUMMYFUNCTION("""COMPUTED_VALUE"""),"")</f>
        <v/>
      </c>
      <c r="AC14846" s="16" t="str">
        <f>IFERROR(__xludf.DUMMYFUNCTION("""COMPUTED_VALUE"""),"")</f>
        <v/>
      </c>
    </row>
    <row r="14847">
      <c r="A14847" s="16" t="s">
        <v>87</v>
      </c>
      <c r="E14847" s="16" t="str">
        <f>IFERROR(__xludf.DUMMYFUNCTION("""COMPUTED_VALUE"""),"")</f>
        <v/>
      </c>
      <c r="G14847" s="18"/>
      <c r="H14847" s="16" t="s">
        <v>87</v>
      </c>
      <c r="I14847" s="16" t="s">
        <v>87</v>
      </c>
      <c r="J14847" s="19"/>
      <c r="L14847" s="16" t="str">
        <f>IFERROR(__xludf.DUMMYFUNCTION("""COMPUTED_VALUE"""),"")</f>
        <v/>
      </c>
      <c r="M14847" s="16" t="str">
        <f>IFERROR(__xludf.DUMMYFUNCTION("""COMPUTED_VALUE"""),"")</f>
        <v/>
      </c>
      <c r="U14847" s="16" t="s">
        <v>87</v>
      </c>
      <c r="V14847" s="16" t="str">
        <f>IFERROR(__xludf.DUMMYFUNCTION("""COMPUTED_VALUE"""),"")</f>
        <v/>
      </c>
      <c r="W14847" s="16" t="str">
        <f>IFERROR(__xludf.DUMMYFUNCTION("""COMPUTED_VALUE"""),"")</f>
        <v/>
      </c>
      <c r="X14847" s="16" t="str">
        <f>IFERROR(__xludf.DUMMYFUNCTION("""COMPUTED_VALUE"""),"")</f>
        <v/>
      </c>
      <c r="AC14847" s="16" t="str">
        <f>IFERROR(__xludf.DUMMYFUNCTION("""COMPUTED_VALUE"""),"")</f>
        <v/>
      </c>
    </row>
    <row r="14848">
      <c r="A14848" s="16" t="s">
        <v>87</v>
      </c>
      <c r="E14848" s="16" t="str">
        <f>IFERROR(__xludf.DUMMYFUNCTION("""COMPUTED_VALUE"""),"")</f>
        <v/>
      </c>
      <c r="G14848" s="18"/>
      <c r="H14848" s="16" t="s">
        <v>87</v>
      </c>
      <c r="I14848" s="16" t="s">
        <v>87</v>
      </c>
      <c r="J14848" s="19"/>
      <c r="L14848" s="16" t="str">
        <f>IFERROR(__xludf.DUMMYFUNCTION("""COMPUTED_VALUE"""),"")</f>
        <v/>
      </c>
      <c r="M14848" s="16" t="str">
        <f>IFERROR(__xludf.DUMMYFUNCTION("""COMPUTED_VALUE"""),"")</f>
        <v/>
      </c>
      <c r="U14848" s="16" t="s">
        <v>87</v>
      </c>
      <c r="V14848" s="16" t="str">
        <f>IFERROR(__xludf.DUMMYFUNCTION("""COMPUTED_VALUE"""),"")</f>
        <v/>
      </c>
      <c r="W14848" s="16" t="str">
        <f>IFERROR(__xludf.DUMMYFUNCTION("""COMPUTED_VALUE"""),"")</f>
        <v/>
      </c>
      <c r="X14848" s="16" t="str">
        <f>IFERROR(__xludf.DUMMYFUNCTION("""COMPUTED_VALUE"""),"")</f>
        <v/>
      </c>
      <c r="AC14848" s="16" t="str">
        <f>IFERROR(__xludf.DUMMYFUNCTION("""COMPUTED_VALUE"""),"")</f>
        <v/>
      </c>
    </row>
    <row r="14849">
      <c r="A14849" s="16" t="s">
        <v>87</v>
      </c>
      <c r="E14849" s="16" t="str">
        <f>IFERROR(__xludf.DUMMYFUNCTION("""COMPUTED_VALUE"""),"")</f>
        <v/>
      </c>
      <c r="G14849" s="18"/>
      <c r="H14849" s="16" t="s">
        <v>87</v>
      </c>
      <c r="I14849" s="16" t="s">
        <v>87</v>
      </c>
      <c r="J14849" s="19"/>
      <c r="L14849" s="16" t="str">
        <f>IFERROR(__xludf.DUMMYFUNCTION("""COMPUTED_VALUE"""),"")</f>
        <v/>
      </c>
      <c r="M14849" s="16" t="str">
        <f>IFERROR(__xludf.DUMMYFUNCTION("""COMPUTED_VALUE"""),"")</f>
        <v/>
      </c>
      <c r="U14849" s="16" t="s">
        <v>87</v>
      </c>
      <c r="V14849" s="16" t="str">
        <f>IFERROR(__xludf.DUMMYFUNCTION("""COMPUTED_VALUE"""),"")</f>
        <v/>
      </c>
      <c r="W14849" s="16" t="str">
        <f>IFERROR(__xludf.DUMMYFUNCTION("""COMPUTED_VALUE"""),"")</f>
        <v/>
      </c>
      <c r="X14849" s="16" t="str">
        <f>IFERROR(__xludf.DUMMYFUNCTION("""COMPUTED_VALUE"""),"")</f>
        <v/>
      </c>
      <c r="AC14849" s="16" t="str">
        <f>IFERROR(__xludf.DUMMYFUNCTION("""COMPUTED_VALUE"""),"")</f>
        <v/>
      </c>
    </row>
    <row r="14850">
      <c r="A14850" s="16" t="s">
        <v>87</v>
      </c>
      <c r="E14850" s="16" t="str">
        <f>IFERROR(__xludf.DUMMYFUNCTION("""COMPUTED_VALUE"""),"")</f>
        <v/>
      </c>
      <c r="G14850" s="18"/>
      <c r="H14850" s="16" t="s">
        <v>87</v>
      </c>
      <c r="I14850" s="16" t="s">
        <v>87</v>
      </c>
      <c r="J14850" s="19"/>
      <c r="L14850" s="16" t="str">
        <f>IFERROR(__xludf.DUMMYFUNCTION("""COMPUTED_VALUE"""),"")</f>
        <v/>
      </c>
      <c r="M14850" s="16" t="str">
        <f>IFERROR(__xludf.DUMMYFUNCTION("""COMPUTED_VALUE"""),"")</f>
        <v/>
      </c>
      <c r="U14850" s="16" t="s">
        <v>87</v>
      </c>
      <c r="V14850" s="16" t="str">
        <f>IFERROR(__xludf.DUMMYFUNCTION("""COMPUTED_VALUE"""),"")</f>
        <v/>
      </c>
      <c r="W14850" s="16" t="str">
        <f>IFERROR(__xludf.DUMMYFUNCTION("""COMPUTED_VALUE"""),"")</f>
        <v/>
      </c>
      <c r="X14850" s="16" t="str">
        <f>IFERROR(__xludf.DUMMYFUNCTION("""COMPUTED_VALUE"""),"")</f>
        <v/>
      </c>
      <c r="AC14850" s="16" t="str">
        <f>IFERROR(__xludf.DUMMYFUNCTION("""COMPUTED_VALUE"""),"")</f>
        <v/>
      </c>
    </row>
    <row r="14851">
      <c r="A14851" s="16" t="s">
        <v>87</v>
      </c>
      <c r="E14851" s="16" t="str">
        <f>IFERROR(__xludf.DUMMYFUNCTION("""COMPUTED_VALUE"""),"")</f>
        <v/>
      </c>
      <c r="G14851" s="18"/>
      <c r="H14851" s="16" t="s">
        <v>87</v>
      </c>
      <c r="I14851" s="16" t="s">
        <v>87</v>
      </c>
      <c r="J14851" s="19"/>
      <c r="L14851" s="16" t="str">
        <f>IFERROR(__xludf.DUMMYFUNCTION("""COMPUTED_VALUE"""),"")</f>
        <v/>
      </c>
      <c r="M14851" s="16" t="str">
        <f>IFERROR(__xludf.DUMMYFUNCTION("""COMPUTED_VALUE"""),"")</f>
        <v/>
      </c>
      <c r="U14851" s="16" t="s">
        <v>87</v>
      </c>
      <c r="V14851" s="16" t="str">
        <f>IFERROR(__xludf.DUMMYFUNCTION("""COMPUTED_VALUE"""),"")</f>
        <v/>
      </c>
      <c r="W14851" s="16" t="str">
        <f>IFERROR(__xludf.DUMMYFUNCTION("""COMPUTED_VALUE"""),"")</f>
        <v/>
      </c>
      <c r="X14851" s="16" t="str">
        <f>IFERROR(__xludf.DUMMYFUNCTION("""COMPUTED_VALUE"""),"")</f>
        <v/>
      </c>
      <c r="AC14851" s="16" t="str">
        <f>IFERROR(__xludf.DUMMYFUNCTION("""COMPUTED_VALUE"""),"")</f>
        <v/>
      </c>
    </row>
    <row r="14852">
      <c r="A14852" s="16" t="s">
        <v>87</v>
      </c>
      <c r="E14852" s="16" t="str">
        <f>IFERROR(__xludf.DUMMYFUNCTION("""COMPUTED_VALUE"""),"")</f>
        <v/>
      </c>
      <c r="G14852" s="18"/>
      <c r="H14852" s="16" t="s">
        <v>87</v>
      </c>
      <c r="I14852" s="16" t="s">
        <v>87</v>
      </c>
      <c r="J14852" s="19"/>
      <c r="L14852" s="16" t="str">
        <f>IFERROR(__xludf.DUMMYFUNCTION("""COMPUTED_VALUE"""),"")</f>
        <v/>
      </c>
      <c r="M14852" s="16" t="str">
        <f>IFERROR(__xludf.DUMMYFUNCTION("""COMPUTED_VALUE"""),"")</f>
        <v/>
      </c>
      <c r="U14852" s="16" t="s">
        <v>87</v>
      </c>
      <c r="V14852" s="16" t="str">
        <f>IFERROR(__xludf.DUMMYFUNCTION("""COMPUTED_VALUE"""),"")</f>
        <v/>
      </c>
      <c r="W14852" s="16" t="str">
        <f>IFERROR(__xludf.DUMMYFUNCTION("""COMPUTED_VALUE"""),"")</f>
        <v/>
      </c>
      <c r="X14852" s="16" t="str">
        <f>IFERROR(__xludf.DUMMYFUNCTION("""COMPUTED_VALUE"""),"")</f>
        <v/>
      </c>
      <c r="AC14852" s="16" t="str">
        <f>IFERROR(__xludf.DUMMYFUNCTION("""COMPUTED_VALUE"""),"")</f>
        <v/>
      </c>
    </row>
    <row r="14853">
      <c r="A14853" s="16" t="s">
        <v>87</v>
      </c>
      <c r="E14853" s="16" t="str">
        <f>IFERROR(__xludf.DUMMYFUNCTION("""COMPUTED_VALUE"""),"")</f>
        <v/>
      </c>
      <c r="G14853" s="18"/>
      <c r="H14853" s="16" t="s">
        <v>87</v>
      </c>
      <c r="I14853" s="16" t="s">
        <v>87</v>
      </c>
      <c r="J14853" s="19"/>
      <c r="L14853" s="16" t="str">
        <f>IFERROR(__xludf.DUMMYFUNCTION("""COMPUTED_VALUE"""),"")</f>
        <v/>
      </c>
      <c r="M14853" s="16" t="str">
        <f>IFERROR(__xludf.DUMMYFUNCTION("""COMPUTED_VALUE"""),"")</f>
        <v/>
      </c>
      <c r="U14853" s="16" t="s">
        <v>87</v>
      </c>
      <c r="V14853" s="16" t="str">
        <f>IFERROR(__xludf.DUMMYFUNCTION("""COMPUTED_VALUE"""),"")</f>
        <v/>
      </c>
      <c r="W14853" s="16" t="str">
        <f>IFERROR(__xludf.DUMMYFUNCTION("""COMPUTED_VALUE"""),"")</f>
        <v/>
      </c>
      <c r="X14853" s="16" t="str">
        <f>IFERROR(__xludf.DUMMYFUNCTION("""COMPUTED_VALUE"""),"")</f>
        <v/>
      </c>
      <c r="AC14853" s="16" t="str">
        <f>IFERROR(__xludf.DUMMYFUNCTION("""COMPUTED_VALUE"""),"")</f>
        <v/>
      </c>
    </row>
    <row r="14854">
      <c r="A14854" s="16" t="s">
        <v>87</v>
      </c>
      <c r="E14854" s="16" t="str">
        <f>IFERROR(__xludf.DUMMYFUNCTION("""COMPUTED_VALUE"""),"")</f>
        <v/>
      </c>
      <c r="G14854" s="18"/>
      <c r="H14854" s="16" t="s">
        <v>87</v>
      </c>
      <c r="I14854" s="16" t="s">
        <v>87</v>
      </c>
      <c r="J14854" s="19"/>
      <c r="L14854" s="16" t="str">
        <f>IFERROR(__xludf.DUMMYFUNCTION("""COMPUTED_VALUE"""),"")</f>
        <v/>
      </c>
      <c r="M14854" s="16" t="str">
        <f>IFERROR(__xludf.DUMMYFUNCTION("""COMPUTED_VALUE"""),"")</f>
        <v/>
      </c>
      <c r="U14854" s="16" t="s">
        <v>87</v>
      </c>
      <c r="V14854" s="16" t="str">
        <f>IFERROR(__xludf.DUMMYFUNCTION("""COMPUTED_VALUE"""),"")</f>
        <v/>
      </c>
      <c r="W14854" s="16" t="str">
        <f>IFERROR(__xludf.DUMMYFUNCTION("""COMPUTED_VALUE"""),"")</f>
        <v/>
      </c>
      <c r="X14854" s="16" t="str">
        <f>IFERROR(__xludf.DUMMYFUNCTION("""COMPUTED_VALUE"""),"")</f>
        <v/>
      </c>
      <c r="AC14854" s="16" t="str">
        <f>IFERROR(__xludf.DUMMYFUNCTION("""COMPUTED_VALUE"""),"")</f>
        <v/>
      </c>
    </row>
    <row r="14855">
      <c r="A14855" s="16" t="s">
        <v>87</v>
      </c>
      <c r="E14855" s="16" t="str">
        <f>IFERROR(__xludf.DUMMYFUNCTION("""COMPUTED_VALUE"""),"")</f>
        <v/>
      </c>
      <c r="G14855" s="18"/>
      <c r="H14855" s="16" t="s">
        <v>87</v>
      </c>
      <c r="I14855" s="16" t="s">
        <v>87</v>
      </c>
      <c r="J14855" s="19"/>
      <c r="L14855" s="16" t="str">
        <f>IFERROR(__xludf.DUMMYFUNCTION("""COMPUTED_VALUE"""),"")</f>
        <v/>
      </c>
      <c r="M14855" s="16" t="str">
        <f>IFERROR(__xludf.DUMMYFUNCTION("""COMPUTED_VALUE"""),"")</f>
        <v/>
      </c>
      <c r="U14855" s="16" t="s">
        <v>87</v>
      </c>
      <c r="V14855" s="16" t="str">
        <f>IFERROR(__xludf.DUMMYFUNCTION("""COMPUTED_VALUE"""),"")</f>
        <v/>
      </c>
      <c r="W14855" s="16" t="str">
        <f>IFERROR(__xludf.DUMMYFUNCTION("""COMPUTED_VALUE"""),"")</f>
        <v/>
      </c>
      <c r="X14855" s="16" t="str">
        <f>IFERROR(__xludf.DUMMYFUNCTION("""COMPUTED_VALUE"""),"")</f>
        <v/>
      </c>
      <c r="AC14855" s="16" t="str">
        <f>IFERROR(__xludf.DUMMYFUNCTION("""COMPUTED_VALUE"""),"")</f>
        <v/>
      </c>
    </row>
    <row r="14856">
      <c r="A14856" s="16" t="s">
        <v>87</v>
      </c>
      <c r="E14856" s="16" t="str">
        <f>IFERROR(__xludf.DUMMYFUNCTION("""COMPUTED_VALUE"""),"")</f>
        <v/>
      </c>
      <c r="G14856" s="18"/>
      <c r="H14856" s="16" t="s">
        <v>87</v>
      </c>
      <c r="I14856" s="16" t="s">
        <v>87</v>
      </c>
      <c r="J14856" s="19"/>
      <c r="L14856" s="16" t="str">
        <f>IFERROR(__xludf.DUMMYFUNCTION("""COMPUTED_VALUE"""),"")</f>
        <v/>
      </c>
      <c r="M14856" s="16" t="str">
        <f>IFERROR(__xludf.DUMMYFUNCTION("""COMPUTED_VALUE"""),"")</f>
        <v/>
      </c>
      <c r="U14856" s="16" t="s">
        <v>87</v>
      </c>
      <c r="V14856" s="16" t="str">
        <f>IFERROR(__xludf.DUMMYFUNCTION("""COMPUTED_VALUE"""),"")</f>
        <v/>
      </c>
      <c r="W14856" s="16" t="str">
        <f>IFERROR(__xludf.DUMMYFUNCTION("""COMPUTED_VALUE"""),"")</f>
        <v/>
      </c>
      <c r="X14856" s="16" t="str">
        <f>IFERROR(__xludf.DUMMYFUNCTION("""COMPUTED_VALUE"""),"")</f>
        <v/>
      </c>
      <c r="AC14856" s="16" t="str">
        <f>IFERROR(__xludf.DUMMYFUNCTION("""COMPUTED_VALUE"""),"")</f>
        <v/>
      </c>
    </row>
    <row r="14857">
      <c r="A14857" s="16" t="s">
        <v>87</v>
      </c>
      <c r="E14857" s="16" t="str">
        <f>IFERROR(__xludf.DUMMYFUNCTION("""COMPUTED_VALUE"""),"")</f>
        <v/>
      </c>
      <c r="G14857" s="18"/>
      <c r="H14857" s="16" t="s">
        <v>87</v>
      </c>
      <c r="I14857" s="16" t="s">
        <v>87</v>
      </c>
      <c r="J14857" s="19"/>
      <c r="L14857" s="16" t="str">
        <f>IFERROR(__xludf.DUMMYFUNCTION("""COMPUTED_VALUE"""),"")</f>
        <v/>
      </c>
      <c r="M14857" s="16" t="str">
        <f>IFERROR(__xludf.DUMMYFUNCTION("""COMPUTED_VALUE"""),"")</f>
        <v/>
      </c>
      <c r="U14857" s="16" t="s">
        <v>87</v>
      </c>
      <c r="V14857" s="16" t="str">
        <f>IFERROR(__xludf.DUMMYFUNCTION("""COMPUTED_VALUE"""),"")</f>
        <v/>
      </c>
      <c r="W14857" s="16" t="str">
        <f>IFERROR(__xludf.DUMMYFUNCTION("""COMPUTED_VALUE"""),"")</f>
        <v/>
      </c>
      <c r="X14857" s="16" t="str">
        <f>IFERROR(__xludf.DUMMYFUNCTION("""COMPUTED_VALUE"""),"")</f>
        <v/>
      </c>
      <c r="AC14857" s="16" t="str">
        <f>IFERROR(__xludf.DUMMYFUNCTION("""COMPUTED_VALUE"""),"")</f>
        <v/>
      </c>
    </row>
    <row r="14858">
      <c r="A14858" s="16" t="s">
        <v>87</v>
      </c>
      <c r="E14858" s="16" t="str">
        <f>IFERROR(__xludf.DUMMYFUNCTION("""COMPUTED_VALUE"""),"")</f>
        <v/>
      </c>
      <c r="G14858" s="18"/>
      <c r="H14858" s="16" t="s">
        <v>87</v>
      </c>
      <c r="I14858" s="16" t="s">
        <v>87</v>
      </c>
      <c r="J14858" s="19"/>
      <c r="L14858" s="16" t="str">
        <f>IFERROR(__xludf.DUMMYFUNCTION("""COMPUTED_VALUE"""),"")</f>
        <v/>
      </c>
      <c r="M14858" s="16" t="str">
        <f>IFERROR(__xludf.DUMMYFUNCTION("""COMPUTED_VALUE"""),"")</f>
        <v/>
      </c>
      <c r="U14858" s="16" t="s">
        <v>87</v>
      </c>
      <c r="V14858" s="16" t="str">
        <f>IFERROR(__xludf.DUMMYFUNCTION("""COMPUTED_VALUE"""),"")</f>
        <v/>
      </c>
      <c r="W14858" s="16" t="str">
        <f>IFERROR(__xludf.DUMMYFUNCTION("""COMPUTED_VALUE"""),"")</f>
        <v/>
      </c>
      <c r="X14858" s="16" t="str">
        <f>IFERROR(__xludf.DUMMYFUNCTION("""COMPUTED_VALUE"""),"")</f>
        <v/>
      </c>
      <c r="AC14858" s="16" t="str">
        <f>IFERROR(__xludf.DUMMYFUNCTION("""COMPUTED_VALUE"""),"")</f>
        <v/>
      </c>
    </row>
    <row r="14859">
      <c r="A14859" s="16" t="s">
        <v>87</v>
      </c>
      <c r="E14859" s="16" t="str">
        <f>IFERROR(__xludf.DUMMYFUNCTION("""COMPUTED_VALUE"""),"")</f>
        <v/>
      </c>
      <c r="G14859" s="18"/>
      <c r="H14859" s="16" t="s">
        <v>87</v>
      </c>
      <c r="I14859" s="16" t="s">
        <v>87</v>
      </c>
      <c r="J14859" s="19"/>
      <c r="L14859" s="16" t="str">
        <f>IFERROR(__xludf.DUMMYFUNCTION("""COMPUTED_VALUE"""),"")</f>
        <v/>
      </c>
      <c r="M14859" s="16" t="str">
        <f>IFERROR(__xludf.DUMMYFUNCTION("""COMPUTED_VALUE"""),"")</f>
        <v/>
      </c>
      <c r="U14859" s="16" t="s">
        <v>87</v>
      </c>
      <c r="V14859" s="16" t="str">
        <f>IFERROR(__xludf.DUMMYFUNCTION("""COMPUTED_VALUE"""),"")</f>
        <v/>
      </c>
      <c r="W14859" s="16" t="str">
        <f>IFERROR(__xludf.DUMMYFUNCTION("""COMPUTED_VALUE"""),"")</f>
        <v/>
      </c>
      <c r="X14859" s="16" t="str">
        <f>IFERROR(__xludf.DUMMYFUNCTION("""COMPUTED_VALUE"""),"")</f>
        <v/>
      </c>
      <c r="AC14859" s="16" t="str">
        <f>IFERROR(__xludf.DUMMYFUNCTION("""COMPUTED_VALUE"""),"")</f>
        <v/>
      </c>
    </row>
    <row r="14860">
      <c r="A14860" s="16" t="s">
        <v>87</v>
      </c>
      <c r="E14860" s="16" t="str">
        <f>IFERROR(__xludf.DUMMYFUNCTION("""COMPUTED_VALUE"""),"")</f>
        <v/>
      </c>
      <c r="G14860" s="18"/>
      <c r="H14860" s="16" t="s">
        <v>87</v>
      </c>
      <c r="I14860" s="16" t="s">
        <v>87</v>
      </c>
      <c r="J14860" s="19"/>
      <c r="L14860" s="16" t="str">
        <f>IFERROR(__xludf.DUMMYFUNCTION("""COMPUTED_VALUE"""),"")</f>
        <v/>
      </c>
      <c r="M14860" s="16" t="str">
        <f>IFERROR(__xludf.DUMMYFUNCTION("""COMPUTED_VALUE"""),"")</f>
        <v/>
      </c>
      <c r="U14860" s="16" t="s">
        <v>87</v>
      </c>
      <c r="V14860" s="16" t="str">
        <f>IFERROR(__xludf.DUMMYFUNCTION("""COMPUTED_VALUE"""),"")</f>
        <v/>
      </c>
      <c r="W14860" s="16" t="str">
        <f>IFERROR(__xludf.DUMMYFUNCTION("""COMPUTED_VALUE"""),"")</f>
        <v/>
      </c>
      <c r="X14860" s="16" t="str">
        <f>IFERROR(__xludf.DUMMYFUNCTION("""COMPUTED_VALUE"""),"")</f>
        <v/>
      </c>
      <c r="AC14860" s="16" t="str">
        <f>IFERROR(__xludf.DUMMYFUNCTION("""COMPUTED_VALUE"""),"")</f>
        <v/>
      </c>
    </row>
    <row r="14861">
      <c r="A14861" s="16" t="s">
        <v>87</v>
      </c>
      <c r="E14861" s="16" t="str">
        <f>IFERROR(__xludf.DUMMYFUNCTION("""COMPUTED_VALUE"""),"")</f>
        <v/>
      </c>
      <c r="G14861" s="18"/>
      <c r="H14861" s="16" t="s">
        <v>87</v>
      </c>
      <c r="I14861" s="16" t="s">
        <v>87</v>
      </c>
      <c r="J14861" s="19"/>
      <c r="L14861" s="16" t="str">
        <f>IFERROR(__xludf.DUMMYFUNCTION("""COMPUTED_VALUE"""),"")</f>
        <v/>
      </c>
      <c r="M14861" s="16" t="str">
        <f>IFERROR(__xludf.DUMMYFUNCTION("""COMPUTED_VALUE"""),"")</f>
        <v/>
      </c>
      <c r="U14861" s="16" t="s">
        <v>87</v>
      </c>
      <c r="V14861" s="16" t="str">
        <f>IFERROR(__xludf.DUMMYFUNCTION("""COMPUTED_VALUE"""),"")</f>
        <v/>
      </c>
      <c r="W14861" s="16" t="str">
        <f>IFERROR(__xludf.DUMMYFUNCTION("""COMPUTED_VALUE"""),"")</f>
        <v/>
      </c>
      <c r="X14861" s="16" t="str">
        <f>IFERROR(__xludf.DUMMYFUNCTION("""COMPUTED_VALUE"""),"")</f>
        <v/>
      </c>
      <c r="AC14861" s="16" t="str">
        <f>IFERROR(__xludf.DUMMYFUNCTION("""COMPUTED_VALUE"""),"")</f>
        <v/>
      </c>
    </row>
    <row r="14862">
      <c r="A14862" s="16" t="s">
        <v>87</v>
      </c>
      <c r="E14862" s="16" t="str">
        <f>IFERROR(__xludf.DUMMYFUNCTION("""COMPUTED_VALUE"""),"")</f>
        <v/>
      </c>
      <c r="G14862" s="18"/>
      <c r="H14862" s="16" t="s">
        <v>87</v>
      </c>
      <c r="I14862" s="16" t="s">
        <v>87</v>
      </c>
      <c r="J14862" s="19"/>
      <c r="L14862" s="16" t="str">
        <f>IFERROR(__xludf.DUMMYFUNCTION("""COMPUTED_VALUE"""),"")</f>
        <v/>
      </c>
      <c r="M14862" s="16" t="str">
        <f>IFERROR(__xludf.DUMMYFUNCTION("""COMPUTED_VALUE"""),"")</f>
        <v/>
      </c>
      <c r="U14862" s="16" t="s">
        <v>87</v>
      </c>
      <c r="V14862" s="16" t="str">
        <f>IFERROR(__xludf.DUMMYFUNCTION("""COMPUTED_VALUE"""),"")</f>
        <v/>
      </c>
      <c r="W14862" s="16" t="str">
        <f>IFERROR(__xludf.DUMMYFUNCTION("""COMPUTED_VALUE"""),"")</f>
        <v/>
      </c>
      <c r="X14862" s="16" t="str">
        <f>IFERROR(__xludf.DUMMYFUNCTION("""COMPUTED_VALUE"""),"")</f>
        <v/>
      </c>
      <c r="AC14862" s="16" t="str">
        <f>IFERROR(__xludf.DUMMYFUNCTION("""COMPUTED_VALUE"""),"")</f>
        <v/>
      </c>
    </row>
    <row r="14863">
      <c r="A14863" s="16" t="s">
        <v>87</v>
      </c>
      <c r="E14863" s="16" t="str">
        <f>IFERROR(__xludf.DUMMYFUNCTION("""COMPUTED_VALUE"""),"")</f>
        <v/>
      </c>
      <c r="G14863" s="18"/>
      <c r="H14863" s="16" t="s">
        <v>87</v>
      </c>
      <c r="I14863" s="16" t="s">
        <v>87</v>
      </c>
      <c r="J14863" s="19"/>
      <c r="L14863" s="16" t="str">
        <f>IFERROR(__xludf.DUMMYFUNCTION("""COMPUTED_VALUE"""),"")</f>
        <v/>
      </c>
      <c r="M14863" s="16" t="str">
        <f>IFERROR(__xludf.DUMMYFUNCTION("""COMPUTED_VALUE"""),"")</f>
        <v/>
      </c>
      <c r="U14863" s="16" t="s">
        <v>87</v>
      </c>
      <c r="V14863" s="16" t="str">
        <f>IFERROR(__xludf.DUMMYFUNCTION("""COMPUTED_VALUE"""),"")</f>
        <v/>
      </c>
      <c r="W14863" s="16" t="str">
        <f>IFERROR(__xludf.DUMMYFUNCTION("""COMPUTED_VALUE"""),"")</f>
        <v/>
      </c>
      <c r="X14863" s="16" t="str">
        <f>IFERROR(__xludf.DUMMYFUNCTION("""COMPUTED_VALUE"""),"")</f>
        <v/>
      </c>
      <c r="AC14863" s="16" t="str">
        <f>IFERROR(__xludf.DUMMYFUNCTION("""COMPUTED_VALUE"""),"")</f>
        <v/>
      </c>
    </row>
    <row r="14864">
      <c r="A14864" s="16" t="s">
        <v>87</v>
      </c>
      <c r="E14864" s="16" t="str">
        <f>IFERROR(__xludf.DUMMYFUNCTION("""COMPUTED_VALUE"""),"")</f>
        <v/>
      </c>
      <c r="G14864" s="18"/>
      <c r="H14864" s="16" t="s">
        <v>87</v>
      </c>
      <c r="I14864" s="16" t="s">
        <v>87</v>
      </c>
      <c r="J14864" s="19"/>
      <c r="L14864" s="16" t="str">
        <f>IFERROR(__xludf.DUMMYFUNCTION("""COMPUTED_VALUE"""),"")</f>
        <v/>
      </c>
      <c r="M14864" s="16" t="str">
        <f>IFERROR(__xludf.DUMMYFUNCTION("""COMPUTED_VALUE"""),"")</f>
        <v/>
      </c>
      <c r="U14864" s="16" t="s">
        <v>87</v>
      </c>
      <c r="V14864" s="16" t="str">
        <f>IFERROR(__xludf.DUMMYFUNCTION("""COMPUTED_VALUE"""),"")</f>
        <v/>
      </c>
      <c r="W14864" s="16" t="str">
        <f>IFERROR(__xludf.DUMMYFUNCTION("""COMPUTED_VALUE"""),"")</f>
        <v/>
      </c>
      <c r="X14864" s="16" t="str">
        <f>IFERROR(__xludf.DUMMYFUNCTION("""COMPUTED_VALUE"""),"")</f>
        <v/>
      </c>
      <c r="AC14864" s="16" t="str">
        <f>IFERROR(__xludf.DUMMYFUNCTION("""COMPUTED_VALUE"""),"")</f>
        <v/>
      </c>
    </row>
    <row r="14865">
      <c r="A14865" s="16" t="s">
        <v>87</v>
      </c>
      <c r="E14865" s="16" t="str">
        <f>IFERROR(__xludf.DUMMYFUNCTION("""COMPUTED_VALUE"""),"")</f>
        <v/>
      </c>
      <c r="G14865" s="18"/>
      <c r="H14865" s="16" t="s">
        <v>87</v>
      </c>
      <c r="I14865" s="16" t="s">
        <v>87</v>
      </c>
      <c r="J14865" s="19"/>
      <c r="L14865" s="16" t="str">
        <f>IFERROR(__xludf.DUMMYFUNCTION("""COMPUTED_VALUE"""),"")</f>
        <v/>
      </c>
      <c r="M14865" s="16" t="str">
        <f>IFERROR(__xludf.DUMMYFUNCTION("""COMPUTED_VALUE"""),"")</f>
        <v/>
      </c>
      <c r="U14865" s="16" t="s">
        <v>87</v>
      </c>
      <c r="V14865" s="16" t="str">
        <f>IFERROR(__xludf.DUMMYFUNCTION("""COMPUTED_VALUE"""),"")</f>
        <v/>
      </c>
      <c r="W14865" s="16" t="str">
        <f>IFERROR(__xludf.DUMMYFUNCTION("""COMPUTED_VALUE"""),"")</f>
        <v/>
      </c>
      <c r="X14865" s="16" t="str">
        <f>IFERROR(__xludf.DUMMYFUNCTION("""COMPUTED_VALUE"""),"")</f>
        <v/>
      </c>
      <c r="AC14865" s="16" t="str">
        <f>IFERROR(__xludf.DUMMYFUNCTION("""COMPUTED_VALUE"""),"")</f>
        <v/>
      </c>
    </row>
    <row r="14866">
      <c r="A14866" s="16" t="s">
        <v>87</v>
      </c>
      <c r="E14866" s="16" t="str">
        <f>IFERROR(__xludf.DUMMYFUNCTION("""COMPUTED_VALUE"""),"")</f>
        <v/>
      </c>
      <c r="G14866" s="18"/>
      <c r="H14866" s="16" t="s">
        <v>87</v>
      </c>
      <c r="I14866" s="16" t="s">
        <v>87</v>
      </c>
      <c r="J14866" s="19"/>
      <c r="L14866" s="16" t="str">
        <f>IFERROR(__xludf.DUMMYFUNCTION("""COMPUTED_VALUE"""),"")</f>
        <v/>
      </c>
      <c r="M14866" s="16" t="str">
        <f>IFERROR(__xludf.DUMMYFUNCTION("""COMPUTED_VALUE"""),"")</f>
        <v/>
      </c>
      <c r="U14866" s="16" t="s">
        <v>87</v>
      </c>
      <c r="V14866" s="16" t="str">
        <f>IFERROR(__xludf.DUMMYFUNCTION("""COMPUTED_VALUE"""),"")</f>
        <v/>
      </c>
      <c r="W14866" s="16" t="str">
        <f>IFERROR(__xludf.DUMMYFUNCTION("""COMPUTED_VALUE"""),"")</f>
        <v/>
      </c>
      <c r="X14866" s="16" t="str">
        <f>IFERROR(__xludf.DUMMYFUNCTION("""COMPUTED_VALUE"""),"")</f>
        <v/>
      </c>
      <c r="AC14866" s="16" t="str">
        <f>IFERROR(__xludf.DUMMYFUNCTION("""COMPUTED_VALUE"""),"")</f>
        <v/>
      </c>
    </row>
    <row r="14867">
      <c r="A14867" s="16" t="s">
        <v>87</v>
      </c>
      <c r="E14867" s="16" t="str">
        <f>IFERROR(__xludf.DUMMYFUNCTION("""COMPUTED_VALUE"""),"")</f>
        <v/>
      </c>
      <c r="G14867" s="18"/>
      <c r="H14867" s="16" t="s">
        <v>87</v>
      </c>
      <c r="I14867" s="16" t="s">
        <v>87</v>
      </c>
      <c r="J14867" s="19"/>
      <c r="L14867" s="16" t="str">
        <f>IFERROR(__xludf.DUMMYFUNCTION("""COMPUTED_VALUE"""),"")</f>
        <v/>
      </c>
      <c r="M14867" s="16" t="str">
        <f>IFERROR(__xludf.DUMMYFUNCTION("""COMPUTED_VALUE"""),"")</f>
        <v/>
      </c>
      <c r="U14867" s="16" t="s">
        <v>87</v>
      </c>
      <c r="V14867" s="16" t="str">
        <f>IFERROR(__xludf.DUMMYFUNCTION("""COMPUTED_VALUE"""),"")</f>
        <v/>
      </c>
      <c r="W14867" s="16" t="str">
        <f>IFERROR(__xludf.DUMMYFUNCTION("""COMPUTED_VALUE"""),"")</f>
        <v/>
      </c>
      <c r="X14867" s="16" t="str">
        <f>IFERROR(__xludf.DUMMYFUNCTION("""COMPUTED_VALUE"""),"")</f>
        <v/>
      </c>
      <c r="AC14867" s="16" t="str">
        <f>IFERROR(__xludf.DUMMYFUNCTION("""COMPUTED_VALUE"""),"")</f>
        <v/>
      </c>
    </row>
    <row r="14868">
      <c r="A14868" s="16" t="s">
        <v>87</v>
      </c>
      <c r="E14868" s="16" t="str">
        <f>IFERROR(__xludf.DUMMYFUNCTION("""COMPUTED_VALUE"""),"")</f>
        <v/>
      </c>
      <c r="G14868" s="18"/>
      <c r="H14868" s="16" t="s">
        <v>87</v>
      </c>
      <c r="I14868" s="16" t="s">
        <v>87</v>
      </c>
      <c r="J14868" s="19"/>
      <c r="L14868" s="16" t="str">
        <f>IFERROR(__xludf.DUMMYFUNCTION("""COMPUTED_VALUE"""),"")</f>
        <v/>
      </c>
      <c r="M14868" s="16" t="str">
        <f>IFERROR(__xludf.DUMMYFUNCTION("""COMPUTED_VALUE"""),"")</f>
        <v/>
      </c>
      <c r="U14868" s="16" t="s">
        <v>87</v>
      </c>
      <c r="V14868" s="16" t="str">
        <f>IFERROR(__xludf.DUMMYFUNCTION("""COMPUTED_VALUE"""),"")</f>
        <v/>
      </c>
      <c r="W14868" s="16" t="str">
        <f>IFERROR(__xludf.DUMMYFUNCTION("""COMPUTED_VALUE"""),"")</f>
        <v/>
      </c>
      <c r="X14868" s="16" t="str">
        <f>IFERROR(__xludf.DUMMYFUNCTION("""COMPUTED_VALUE"""),"")</f>
        <v/>
      </c>
      <c r="AC14868" s="16" t="str">
        <f>IFERROR(__xludf.DUMMYFUNCTION("""COMPUTED_VALUE"""),"")</f>
        <v/>
      </c>
    </row>
    <row r="14869">
      <c r="A14869" s="16" t="s">
        <v>87</v>
      </c>
      <c r="E14869" s="16" t="str">
        <f>IFERROR(__xludf.DUMMYFUNCTION("""COMPUTED_VALUE"""),"")</f>
        <v/>
      </c>
      <c r="G14869" s="18"/>
      <c r="H14869" s="16" t="s">
        <v>87</v>
      </c>
      <c r="I14869" s="16" t="s">
        <v>87</v>
      </c>
      <c r="J14869" s="19"/>
      <c r="L14869" s="16" t="str">
        <f>IFERROR(__xludf.DUMMYFUNCTION("""COMPUTED_VALUE"""),"")</f>
        <v/>
      </c>
      <c r="M14869" s="16" t="str">
        <f>IFERROR(__xludf.DUMMYFUNCTION("""COMPUTED_VALUE"""),"")</f>
        <v/>
      </c>
      <c r="U14869" s="16" t="s">
        <v>87</v>
      </c>
      <c r="V14869" s="16" t="str">
        <f>IFERROR(__xludf.DUMMYFUNCTION("""COMPUTED_VALUE"""),"")</f>
        <v/>
      </c>
      <c r="W14869" s="16" t="str">
        <f>IFERROR(__xludf.DUMMYFUNCTION("""COMPUTED_VALUE"""),"")</f>
        <v/>
      </c>
      <c r="X14869" s="16" t="str">
        <f>IFERROR(__xludf.DUMMYFUNCTION("""COMPUTED_VALUE"""),"")</f>
        <v/>
      </c>
      <c r="AC14869" s="16" t="str">
        <f>IFERROR(__xludf.DUMMYFUNCTION("""COMPUTED_VALUE"""),"")</f>
        <v/>
      </c>
    </row>
    <row r="14870">
      <c r="A14870" s="16" t="s">
        <v>87</v>
      </c>
      <c r="E14870" s="16" t="str">
        <f>IFERROR(__xludf.DUMMYFUNCTION("""COMPUTED_VALUE"""),"")</f>
        <v/>
      </c>
      <c r="G14870" s="18"/>
      <c r="H14870" s="16" t="s">
        <v>87</v>
      </c>
      <c r="I14870" s="16" t="s">
        <v>87</v>
      </c>
      <c r="J14870" s="19"/>
      <c r="L14870" s="16" t="str">
        <f>IFERROR(__xludf.DUMMYFUNCTION("""COMPUTED_VALUE"""),"")</f>
        <v/>
      </c>
      <c r="M14870" s="16" t="str">
        <f>IFERROR(__xludf.DUMMYFUNCTION("""COMPUTED_VALUE"""),"")</f>
        <v/>
      </c>
      <c r="U14870" s="16" t="s">
        <v>87</v>
      </c>
      <c r="V14870" s="16" t="str">
        <f>IFERROR(__xludf.DUMMYFUNCTION("""COMPUTED_VALUE"""),"")</f>
        <v/>
      </c>
      <c r="W14870" s="16" t="str">
        <f>IFERROR(__xludf.DUMMYFUNCTION("""COMPUTED_VALUE"""),"")</f>
        <v/>
      </c>
      <c r="X14870" s="16" t="str">
        <f>IFERROR(__xludf.DUMMYFUNCTION("""COMPUTED_VALUE"""),"")</f>
        <v/>
      </c>
      <c r="AC14870" s="16" t="str">
        <f>IFERROR(__xludf.DUMMYFUNCTION("""COMPUTED_VALUE"""),"")</f>
        <v/>
      </c>
    </row>
    <row r="14871">
      <c r="A14871" s="16" t="s">
        <v>87</v>
      </c>
      <c r="E14871" s="16" t="str">
        <f>IFERROR(__xludf.DUMMYFUNCTION("""COMPUTED_VALUE"""),"")</f>
        <v/>
      </c>
      <c r="G14871" s="18"/>
      <c r="H14871" s="16" t="s">
        <v>87</v>
      </c>
      <c r="I14871" s="16" t="s">
        <v>87</v>
      </c>
      <c r="J14871" s="19"/>
      <c r="L14871" s="16" t="str">
        <f>IFERROR(__xludf.DUMMYFUNCTION("""COMPUTED_VALUE"""),"")</f>
        <v/>
      </c>
      <c r="M14871" s="16" t="str">
        <f>IFERROR(__xludf.DUMMYFUNCTION("""COMPUTED_VALUE"""),"")</f>
        <v/>
      </c>
      <c r="U14871" s="16" t="s">
        <v>87</v>
      </c>
      <c r="V14871" s="16" t="str">
        <f>IFERROR(__xludf.DUMMYFUNCTION("""COMPUTED_VALUE"""),"")</f>
        <v/>
      </c>
      <c r="W14871" s="16" t="str">
        <f>IFERROR(__xludf.DUMMYFUNCTION("""COMPUTED_VALUE"""),"")</f>
        <v/>
      </c>
      <c r="X14871" s="16" t="str">
        <f>IFERROR(__xludf.DUMMYFUNCTION("""COMPUTED_VALUE"""),"")</f>
        <v/>
      </c>
      <c r="AC14871" s="16" t="str">
        <f>IFERROR(__xludf.DUMMYFUNCTION("""COMPUTED_VALUE"""),"")</f>
        <v/>
      </c>
    </row>
    <row r="14872">
      <c r="A14872" s="16" t="s">
        <v>87</v>
      </c>
      <c r="E14872" s="16" t="str">
        <f>IFERROR(__xludf.DUMMYFUNCTION("""COMPUTED_VALUE"""),"")</f>
        <v/>
      </c>
      <c r="G14872" s="18"/>
      <c r="H14872" s="16" t="s">
        <v>87</v>
      </c>
      <c r="I14872" s="16" t="s">
        <v>87</v>
      </c>
      <c r="J14872" s="19"/>
      <c r="L14872" s="16" t="str">
        <f>IFERROR(__xludf.DUMMYFUNCTION("""COMPUTED_VALUE"""),"")</f>
        <v/>
      </c>
      <c r="M14872" s="16" t="str">
        <f>IFERROR(__xludf.DUMMYFUNCTION("""COMPUTED_VALUE"""),"")</f>
        <v/>
      </c>
      <c r="U14872" s="16" t="s">
        <v>87</v>
      </c>
      <c r="V14872" s="16" t="str">
        <f>IFERROR(__xludf.DUMMYFUNCTION("""COMPUTED_VALUE"""),"")</f>
        <v/>
      </c>
      <c r="W14872" s="16" t="str">
        <f>IFERROR(__xludf.DUMMYFUNCTION("""COMPUTED_VALUE"""),"")</f>
        <v/>
      </c>
      <c r="X14872" s="16" t="str">
        <f>IFERROR(__xludf.DUMMYFUNCTION("""COMPUTED_VALUE"""),"")</f>
        <v/>
      </c>
      <c r="AC14872" s="16" t="str">
        <f>IFERROR(__xludf.DUMMYFUNCTION("""COMPUTED_VALUE"""),"")</f>
        <v/>
      </c>
    </row>
    <row r="14873">
      <c r="A14873" s="16" t="s">
        <v>87</v>
      </c>
      <c r="E14873" s="16" t="str">
        <f>IFERROR(__xludf.DUMMYFUNCTION("""COMPUTED_VALUE"""),"")</f>
        <v/>
      </c>
      <c r="G14873" s="18"/>
      <c r="H14873" s="16" t="s">
        <v>87</v>
      </c>
      <c r="I14873" s="16" t="s">
        <v>87</v>
      </c>
      <c r="J14873" s="19"/>
      <c r="L14873" s="16" t="str">
        <f>IFERROR(__xludf.DUMMYFUNCTION("""COMPUTED_VALUE"""),"")</f>
        <v/>
      </c>
      <c r="M14873" s="16" t="str">
        <f>IFERROR(__xludf.DUMMYFUNCTION("""COMPUTED_VALUE"""),"")</f>
        <v/>
      </c>
      <c r="U14873" s="16" t="s">
        <v>87</v>
      </c>
      <c r="V14873" s="16" t="str">
        <f>IFERROR(__xludf.DUMMYFUNCTION("""COMPUTED_VALUE"""),"")</f>
        <v/>
      </c>
      <c r="W14873" s="16" t="str">
        <f>IFERROR(__xludf.DUMMYFUNCTION("""COMPUTED_VALUE"""),"")</f>
        <v/>
      </c>
      <c r="X14873" s="16" t="str">
        <f>IFERROR(__xludf.DUMMYFUNCTION("""COMPUTED_VALUE"""),"")</f>
        <v/>
      </c>
      <c r="AC14873" s="16" t="str">
        <f>IFERROR(__xludf.DUMMYFUNCTION("""COMPUTED_VALUE"""),"")</f>
        <v/>
      </c>
    </row>
    <row r="14874">
      <c r="A14874" s="16" t="s">
        <v>87</v>
      </c>
      <c r="E14874" s="16" t="str">
        <f>IFERROR(__xludf.DUMMYFUNCTION("""COMPUTED_VALUE"""),"")</f>
        <v/>
      </c>
      <c r="G14874" s="18"/>
      <c r="H14874" s="16" t="s">
        <v>87</v>
      </c>
      <c r="I14874" s="16" t="s">
        <v>87</v>
      </c>
      <c r="J14874" s="19"/>
      <c r="L14874" s="16" t="str">
        <f>IFERROR(__xludf.DUMMYFUNCTION("""COMPUTED_VALUE"""),"")</f>
        <v/>
      </c>
      <c r="M14874" s="16" t="str">
        <f>IFERROR(__xludf.DUMMYFUNCTION("""COMPUTED_VALUE"""),"")</f>
        <v/>
      </c>
      <c r="U14874" s="16" t="s">
        <v>87</v>
      </c>
      <c r="V14874" s="16" t="str">
        <f>IFERROR(__xludf.DUMMYFUNCTION("""COMPUTED_VALUE"""),"")</f>
        <v/>
      </c>
      <c r="W14874" s="16" t="str">
        <f>IFERROR(__xludf.DUMMYFUNCTION("""COMPUTED_VALUE"""),"")</f>
        <v/>
      </c>
      <c r="X14874" s="16" t="str">
        <f>IFERROR(__xludf.DUMMYFUNCTION("""COMPUTED_VALUE"""),"")</f>
        <v/>
      </c>
      <c r="AC14874" s="16" t="str">
        <f>IFERROR(__xludf.DUMMYFUNCTION("""COMPUTED_VALUE"""),"")</f>
        <v/>
      </c>
    </row>
    <row r="14875">
      <c r="A14875" s="16" t="s">
        <v>87</v>
      </c>
      <c r="E14875" s="16" t="str">
        <f>IFERROR(__xludf.DUMMYFUNCTION("""COMPUTED_VALUE"""),"")</f>
        <v/>
      </c>
      <c r="G14875" s="18"/>
      <c r="H14875" s="16" t="s">
        <v>87</v>
      </c>
      <c r="I14875" s="16" t="s">
        <v>87</v>
      </c>
      <c r="J14875" s="19"/>
      <c r="L14875" s="16" t="str">
        <f>IFERROR(__xludf.DUMMYFUNCTION("""COMPUTED_VALUE"""),"")</f>
        <v/>
      </c>
      <c r="M14875" s="16" t="str">
        <f>IFERROR(__xludf.DUMMYFUNCTION("""COMPUTED_VALUE"""),"")</f>
        <v/>
      </c>
      <c r="U14875" s="16" t="s">
        <v>87</v>
      </c>
      <c r="V14875" s="16" t="str">
        <f>IFERROR(__xludf.DUMMYFUNCTION("""COMPUTED_VALUE"""),"")</f>
        <v/>
      </c>
      <c r="W14875" s="16" t="str">
        <f>IFERROR(__xludf.DUMMYFUNCTION("""COMPUTED_VALUE"""),"")</f>
        <v/>
      </c>
      <c r="X14875" s="16" t="str">
        <f>IFERROR(__xludf.DUMMYFUNCTION("""COMPUTED_VALUE"""),"")</f>
        <v/>
      </c>
      <c r="AC14875" s="16" t="str">
        <f>IFERROR(__xludf.DUMMYFUNCTION("""COMPUTED_VALUE"""),"")</f>
        <v/>
      </c>
    </row>
    <row r="14876">
      <c r="A14876" s="16" t="s">
        <v>87</v>
      </c>
      <c r="E14876" s="16" t="str">
        <f>IFERROR(__xludf.DUMMYFUNCTION("""COMPUTED_VALUE"""),"")</f>
        <v/>
      </c>
      <c r="G14876" s="18"/>
      <c r="H14876" s="16" t="s">
        <v>87</v>
      </c>
      <c r="I14876" s="16" t="s">
        <v>87</v>
      </c>
      <c r="J14876" s="19"/>
      <c r="L14876" s="16" t="str">
        <f>IFERROR(__xludf.DUMMYFUNCTION("""COMPUTED_VALUE"""),"")</f>
        <v/>
      </c>
      <c r="M14876" s="16" t="str">
        <f>IFERROR(__xludf.DUMMYFUNCTION("""COMPUTED_VALUE"""),"")</f>
        <v/>
      </c>
      <c r="U14876" s="16" t="s">
        <v>87</v>
      </c>
      <c r="V14876" s="16" t="str">
        <f>IFERROR(__xludf.DUMMYFUNCTION("""COMPUTED_VALUE"""),"")</f>
        <v/>
      </c>
      <c r="W14876" s="16" t="str">
        <f>IFERROR(__xludf.DUMMYFUNCTION("""COMPUTED_VALUE"""),"")</f>
        <v/>
      </c>
      <c r="X14876" s="16" t="str">
        <f>IFERROR(__xludf.DUMMYFUNCTION("""COMPUTED_VALUE"""),"")</f>
        <v/>
      </c>
      <c r="AC14876" s="16" t="str">
        <f>IFERROR(__xludf.DUMMYFUNCTION("""COMPUTED_VALUE"""),"")</f>
        <v/>
      </c>
    </row>
    <row r="14877">
      <c r="A14877" s="16" t="s">
        <v>87</v>
      </c>
      <c r="E14877" s="16" t="str">
        <f>IFERROR(__xludf.DUMMYFUNCTION("""COMPUTED_VALUE"""),"")</f>
        <v/>
      </c>
      <c r="G14877" s="18"/>
      <c r="H14877" s="16" t="s">
        <v>87</v>
      </c>
      <c r="I14877" s="16" t="s">
        <v>87</v>
      </c>
      <c r="J14877" s="19"/>
      <c r="L14877" s="16" t="str">
        <f>IFERROR(__xludf.DUMMYFUNCTION("""COMPUTED_VALUE"""),"")</f>
        <v/>
      </c>
      <c r="M14877" s="16" t="str">
        <f>IFERROR(__xludf.DUMMYFUNCTION("""COMPUTED_VALUE"""),"")</f>
        <v/>
      </c>
      <c r="U14877" s="16" t="s">
        <v>87</v>
      </c>
      <c r="V14877" s="16" t="str">
        <f>IFERROR(__xludf.DUMMYFUNCTION("""COMPUTED_VALUE"""),"")</f>
        <v/>
      </c>
      <c r="W14877" s="16" t="str">
        <f>IFERROR(__xludf.DUMMYFUNCTION("""COMPUTED_VALUE"""),"")</f>
        <v/>
      </c>
      <c r="X14877" s="16" t="str">
        <f>IFERROR(__xludf.DUMMYFUNCTION("""COMPUTED_VALUE"""),"")</f>
        <v/>
      </c>
      <c r="AC14877" s="16" t="str">
        <f>IFERROR(__xludf.DUMMYFUNCTION("""COMPUTED_VALUE"""),"")</f>
        <v/>
      </c>
    </row>
    <row r="14878">
      <c r="A14878" s="16" t="s">
        <v>87</v>
      </c>
      <c r="E14878" s="16" t="str">
        <f>IFERROR(__xludf.DUMMYFUNCTION("""COMPUTED_VALUE"""),"")</f>
        <v/>
      </c>
      <c r="G14878" s="18"/>
      <c r="H14878" s="16" t="s">
        <v>87</v>
      </c>
      <c r="I14878" s="16" t="s">
        <v>87</v>
      </c>
      <c r="J14878" s="19"/>
      <c r="L14878" s="16" t="str">
        <f>IFERROR(__xludf.DUMMYFUNCTION("""COMPUTED_VALUE"""),"")</f>
        <v/>
      </c>
      <c r="M14878" s="16" t="str">
        <f>IFERROR(__xludf.DUMMYFUNCTION("""COMPUTED_VALUE"""),"")</f>
        <v/>
      </c>
      <c r="U14878" s="16" t="s">
        <v>87</v>
      </c>
      <c r="V14878" s="16" t="str">
        <f>IFERROR(__xludf.DUMMYFUNCTION("""COMPUTED_VALUE"""),"")</f>
        <v/>
      </c>
      <c r="W14878" s="16" t="str">
        <f>IFERROR(__xludf.DUMMYFUNCTION("""COMPUTED_VALUE"""),"")</f>
        <v/>
      </c>
      <c r="X14878" s="16" t="str">
        <f>IFERROR(__xludf.DUMMYFUNCTION("""COMPUTED_VALUE"""),"")</f>
        <v/>
      </c>
      <c r="AC14878" s="16" t="str">
        <f>IFERROR(__xludf.DUMMYFUNCTION("""COMPUTED_VALUE"""),"")</f>
        <v/>
      </c>
    </row>
    <row r="14879">
      <c r="A14879" s="16" t="s">
        <v>87</v>
      </c>
      <c r="E14879" s="16" t="str">
        <f>IFERROR(__xludf.DUMMYFUNCTION("""COMPUTED_VALUE"""),"")</f>
        <v/>
      </c>
      <c r="G14879" s="18"/>
      <c r="H14879" s="16" t="s">
        <v>87</v>
      </c>
      <c r="I14879" s="16" t="s">
        <v>87</v>
      </c>
      <c r="J14879" s="19"/>
      <c r="L14879" s="16" t="str">
        <f>IFERROR(__xludf.DUMMYFUNCTION("""COMPUTED_VALUE"""),"")</f>
        <v/>
      </c>
      <c r="M14879" s="16" t="str">
        <f>IFERROR(__xludf.DUMMYFUNCTION("""COMPUTED_VALUE"""),"")</f>
        <v/>
      </c>
      <c r="U14879" s="16" t="s">
        <v>87</v>
      </c>
      <c r="V14879" s="16" t="str">
        <f>IFERROR(__xludf.DUMMYFUNCTION("""COMPUTED_VALUE"""),"")</f>
        <v/>
      </c>
      <c r="W14879" s="16" t="str">
        <f>IFERROR(__xludf.DUMMYFUNCTION("""COMPUTED_VALUE"""),"")</f>
        <v/>
      </c>
      <c r="X14879" s="16" t="str">
        <f>IFERROR(__xludf.DUMMYFUNCTION("""COMPUTED_VALUE"""),"")</f>
        <v/>
      </c>
      <c r="AC14879" s="16" t="str">
        <f>IFERROR(__xludf.DUMMYFUNCTION("""COMPUTED_VALUE"""),"")</f>
        <v/>
      </c>
    </row>
    <row r="14880">
      <c r="A14880" s="16" t="s">
        <v>87</v>
      </c>
      <c r="E14880" s="16" t="str">
        <f>IFERROR(__xludf.DUMMYFUNCTION("""COMPUTED_VALUE"""),"")</f>
        <v/>
      </c>
      <c r="G14880" s="18"/>
      <c r="H14880" s="16" t="s">
        <v>87</v>
      </c>
      <c r="I14880" s="16" t="s">
        <v>87</v>
      </c>
      <c r="J14880" s="19"/>
      <c r="L14880" s="16" t="str">
        <f>IFERROR(__xludf.DUMMYFUNCTION("""COMPUTED_VALUE"""),"")</f>
        <v/>
      </c>
      <c r="M14880" s="16" t="str">
        <f>IFERROR(__xludf.DUMMYFUNCTION("""COMPUTED_VALUE"""),"")</f>
        <v/>
      </c>
      <c r="U14880" s="16" t="s">
        <v>87</v>
      </c>
      <c r="V14880" s="16" t="str">
        <f>IFERROR(__xludf.DUMMYFUNCTION("""COMPUTED_VALUE"""),"")</f>
        <v/>
      </c>
      <c r="W14880" s="16" t="str">
        <f>IFERROR(__xludf.DUMMYFUNCTION("""COMPUTED_VALUE"""),"")</f>
        <v/>
      </c>
      <c r="X14880" s="16" t="str">
        <f>IFERROR(__xludf.DUMMYFUNCTION("""COMPUTED_VALUE"""),"")</f>
        <v/>
      </c>
      <c r="AC14880" s="16" t="str">
        <f>IFERROR(__xludf.DUMMYFUNCTION("""COMPUTED_VALUE"""),"")</f>
        <v/>
      </c>
    </row>
    <row r="14881">
      <c r="A14881" s="16" t="s">
        <v>87</v>
      </c>
      <c r="E14881" s="16" t="str">
        <f>IFERROR(__xludf.DUMMYFUNCTION("""COMPUTED_VALUE"""),"")</f>
        <v/>
      </c>
      <c r="G14881" s="18"/>
      <c r="H14881" s="16" t="s">
        <v>87</v>
      </c>
      <c r="I14881" s="16" t="s">
        <v>87</v>
      </c>
      <c r="J14881" s="19"/>
      <c r="L14881" s="16" t="str">
        <f>IFERROR(__xludf.DUMMYFUNCTION("""COMPUTED_VALUE"""),"")</f>
        <v/>
      </c>
      <c r="M14881" s="16" t="str">
        <f>IFERROR(__xludf.DUMMYFUNCTION("""COMPUTED_VALUE"""),"")</f>
        <v/>
      </c>
      <c r="U14881" s="16" t="s">
        <v>87</v>
      </c>
      <c r="V14881" s="16" t="str">
        <f>IFERROR(__xludf.DUMMYFUNCTION("""COMPUTED_VALUE"""),"")</f>
        <v/>
      </c>
      <c r="W14881" s="16" t="str">
        <f>IFERROR(__xludf.DUMMYFUNCTION("""COMPUTED_VALUE"""),"")</f>
        <v/>
      </c>
      <c r="X14881" s="16" t="str">
        <f>IFERROR(__xludf.DUMMYFUNCTION("""COMPUTED_VALUE"""),"")</f>
        <v/>
      </c>
      <c r="AC14881" s="16" t="str">
        <f>IFERROR(__xludf.DUMMYFUNCTION("""COMPUTED_VALUE"""),"")</f>
        <v/>
      </c>
    </row>
    <row r="14882">
      <c r="A14882" s="16" t="s">
        <v>87</v>
      </c>
      <c r="E14882" s="16" t="str">
        <f>IFERROR(__xludf.DUMMYFUNCTION("""COMPUTED_VALUE"""),"")</f>
        <v/>
      </c>
      <c r="G14882" s="18"/>
      <c r="H14882" s="16" t="s">
        <v>87</v>
      </c>
      <c r="I14882" s="16" t="s">
        <v>87</v>
      </c>
      <c r="J14882" s="19"/>
      <c r="L14882" s="16" t="str">
        <f>IFERROR(__xludf.DUMMYFUNCTION("""COMPUTED_VALUE"""),"")</f>
        <v/>
      </c>
      <c r="M14882" s="16" t="str">
        <f>IFERROR(__xludf.DUMMYFUNCTION("""COMPUTED_VALUE"""),"")</f>
        <v/>
      </c>
      <c r="U14882" s="16" t="s">
        <v>87</v>
      </c>
      <c r="V14882" s="16" t="str">
        <f>IFERROR(__xludf.DUMMYFUNCTION("""COMPUTED_VALUE"""),"")</f>
        <v/>
      </c>
      <c r="W14882" s="16" t="str">
        <f>IFERROR(__xludf.DUMMYFUNCTION("""COMPUTED_VALUE"""),"")</f>
        <v/>
      </c>
      <c r="X14882" s="16" t="str">
        <f>IFERROR(__xludf.DUMMYFUNCTION("""COMPUTED_VALUE"""),"")</f>
        <v/>
      </c>
      <c r="AC14882" s="16" t="str">
        <f>IFERROR(__xludf.DUMMYFUNCTION("""COMPUTED_VALUE"""),"")</f>
        <v/>
      </c>
    </row>
    <row r="14883">
      <c r="A14883" s="16" t="s">
        <v>87</v>
      </c>
      <c r="E14883" s="16" t="str">
        <f>IFERROR(__xludf.DUMMYFUNCTION("""COMPUTED_VALUE"""),"")</f>
        <v/>
      </c>
      <c r="G14883" s="18"/>
      <c r="H14883" s="16" t="s">
        <v>87</v>
      </c>
      <c r="I14883" s="16" t="s">
        <v>87</v>
      </c>
      <c r="J14883" s="19"/>
      <c r="L14883" s="16" t="str">
        <f>IFERROR(__xludf.DUMMYFUNCTION("""COMPUTED_VALUE"""),"")</f>
        <v/>
      </c>
      <c r="M14883" s="16" t="str">
        <f>IFERROR(__xludf.DUMMYFUNCTION("""COMPUTED_VALUE"""),"")</f>
        <v/>
      </c>
      <c r="U14883" s="16" t="s">
        <v>87</v>
      </c>
      <c r="V14883" s="16" t="str">
        <f>IFERROR(__xludf.DUMMYFUNCTION("""COMPUTED_VALUE"""),"")</f>
        <v/>
      </c>
      <c r="W14883" s="16" t="str">
        <f>IFERROR(__xludf.DUMMYFUNCTION("""COMPUTED_VALUE"""),"")</f>
        <v/>
      </c>
      <c r="X14883" s="16" t="str">
        <f>IFERROR(__xludf.DUMMYFUNCTION("""COMPUTED_VALUE"""),"")</f>
        <v/>
      </c>
      <c r="AC14883" s="16" t="str">
        <f>IFERROR(__xludf.DUMMYFUNCTION("""COMPUTED_VALUE"""),"")</f>
        <v/>
      </c>
    </row>
    <row r="14884">
      <c r="A14884" s="16" t="s">
        <v>87</v>
      </c>
      <c r="E14884" s="16" t="str">
        <f>IFERROR(__xludf.DUMMYFUNCTION("""COMPUTED_VALUE"""),"")</f>
        <v/>
      </c>
      <c r="G14884" s="18"/>
      <c r="H14884" s="16" t="s">
        <v>87</v>
      </c>
      <c r="I14884" s="16" t="s">
        <v>87</v>
      </c>
      <c r="J14884" s="19"/>
      <c r="L14884" s="16" t="str">
        <f>IFERROR(__xludf.DUMMYFUNCTION("""COMPUTED_VALUE"""),"")</f>
        <v/>
      </c>
      <c r="M14884" s="16" t="str">
        <f>IFERROR(__xludf.DUMMYFUNCTION("""COMPUTED_VALUE"""),"")</f>
        <v/>
      </c>
      <c r="U14884" s="16" t="s">
        <v>87</v>
      </c>
      <c r="V14884" s="16" t="str">
        <f>IFERROR(__xludf.DUMMYFUNCTION("""COMPUTED_VALUE"""),"")</f>
        <v/>
      </c>
      <c r="W14884" s="16" t="str">
        <f>IFERROR(__xludf.DUMMYFUNCTION("""COMPUTED_VALUE"""),"")</f>
        <v/>
      </c>
      <c r="X14884" s="16" t="str">
        <f>IFERROR(__xludf.DUMMYFUNCTION("""COMPUTED_VALUE"""),"")</f>
        <v/>
      </c>
      <c r="AC14884" s="16" t="str">
        <f>IFERROR(__xludf.DUMMYFUNCTION("""COMPUTED_VALUE"""),"")</f>
        <v/>
      </c>
    </row>
    <row r="14885">
      <c r="A14885" s="16" t="s">
        <v>87</v>
      </c>
      <c r="E14885" s="16" t="str">
        <f>IFERROR(__xludf.DUMMYFUNCTION("""COMPUTED_VALUE"""),"")</f>
        <v/>
      </c>
      <c r="G14885" s="18"/>
      <c r="H14885" s="16" t="s">
        <v>87</v>
      </c>
      <c r="I14885" s="16" t="s">
        <v>87</v>
      </c>
      <c r="J14885" s="19"/>
      <c r="L14885" s="16" t="str">
        <f>IFERROR(__xludf.DUMMYFUNCTION("""COMPUTED_VALUE"""),"")</f>
        <v/>
      </c>
      <c r="M14885" s="16" t="str">
        <f>IFERROR(__xludf.DUMMYFUNCTION("""COMPUTED_VALUE"""),"")</f>
        <v/>
      </c>
      <c r="U14885" s="16" t="s">
        <v>87</v>
      </c>
      <c r="V14885" s="16" t="str">
        <f>IFERROR(__xludf.DUMMYFUNCTION("""COMPUTED_VALUE"""),"")</f>
        <v/>
      </c>
      <c r="W14885" s="16" t="str">
        <f>IFERROR(__xludf.DUMMYFUNCTION("""COMPUTED_VALUE"""),"")</f>
        <v/>
      </c>
      <c r="X14885" s="16" t="str">
        <f>IFERROR(__xludf.DUMMYFUNCTION("""COMPUTED_VALUE"""),"")</f>
        <v/>
      </c>
      <c r="AC14885" s="16" t="str">
        <f>IFERROR(__xludf.DUMMYFUNCTION("""COMPUTED_VALUE"""),"")</f>
        <v/>
      </c>
    </row>
    <row r="14886">
      <c r="A14886" s="16" t="s">
        <v>87</v>
      </c>
      <c r="E14886" s="16" t="str">
        <f>IFERROR(__xludf.DUMMYFUNCTION("""COMPUTED_VALUE"""),"")</f>
        <v/>
      </c>
      <c r="G14886" s="18"/>
      <c r="H14886" s="16" t="s">
        <v>87</v>
      </c>
      <c r="I14886" s="16" t="s">
        <v>87</v>
      </c>
      <c r="J14886" s="19"/>
      <c r="L14886" s="16" t="str">
        <f>IFERROR(__xludf.DUMMYFUNCTION("""COMPUTED_VALUE"""),"")</f>
        <v/>
      </c>
      <c r="M14886" s="16" t="str">
        <f>IFERROR(__xludf.DUMMYFUNCTION("""COMPUTED_VALUE"""),"")</f>
        <v/>
      </c>
      <c r="U14886" s="16" t="s">
        <v>87</v>
      </c>
      <c r="V14886" s="16" t="str">
        <f>IFERROR(__xludf.DUMMYFUNCTION("""COMPUTED_VALUE"""),"")</f>
        <v/>
      </c>
      <c r="W14886" s="16" t="str">
        <f>IFERROR(__xludf.DUMMYFUNCTION("""COMPUTED_VALUE"""),"")</f>
        <v/>
      </c>
      <c r="X14886" s="16" t="str">
        <f>IFERROR(__xludf.DUMMYFUNCTION("""COMPUTED_VALUE"""),"")</f>
        <v/>
      </c>
      <c r="AC14886" s="16" t="str">
        <f>IFERROR(__xludf.DUMMYFUNCTION("""COMPUTED_VALUE"""),"")</f>
        <v/>
      </c>
    </row>
    <row r="14887">
      <c r="A14887" s="16" t="s">
        <v>87</v>
      </c>
      <c r="E14887" s="16" t="str">
        <f>IFERROR(__xludf.DUMMYFUNCTION("""COMPUTED_VALUE"""),"")</f>
        <v/>
      </c>
      <c r="G14887" s="18"/>
      <c r="H14887" s="16" t="s">
        <v>87</v>
      </c>
      <c r="I14887" s="16" t="s">
        <v>87</v>
      </c>
      <c r="J14887" s="19"/>
      <c r="L14887" s="16" t="str">
        <f>IFERROR(__xludf.DUMMYFUNCTION("""COMPUTED_VALUE"""),"")</f>
        <v/>
      </c>
      <c r="M14887" s="16" t="str">
        <f>IFERROR(__xludf.DUMMYFUNCTION("""COMPUTED_VALUE"""),"")</f>
        <v/>
      </c>
      <c r="U14887" s="16" t="s">
        <v>87</v>
      </c>
      <c r="V14887" s="16" t="str">
        <f>IFERROR(__xludf.DUMMYFUNCTION("""COMPUTED_VALUE"""),"")</f>
        <v/>
      </c>
      <c r="W14887" s="16" t="str">
        <f>IFERROR(__xludf.DUMMYFUNCTION("""COMPUTED_VALUE"""),"")</f>
        <v/>
      </c>
      <c r="X14887" s="16" t="str">
        <f>IFERROR(__xludf.DUMMYFUNCTION("""COMPUTED_VALUE"""),"")</f>
        <v/>
      </c>
      <c r="AC14887" s="16" t="str">
        <f>IFERROR(__xludf.DUMMYFUNCTION("""COMPUTED_VALUE"""),"")</f>
        <v/>
      </c>
    </row>
    <row r="14888">
      <c r="A14888" s="16" t="s">
        <v>87</v>
      </c>
      <c r="E14888" s="16" t="str">
        <f>IFERROR(__xludf.DUMMYFUNCTION("""COMPUTED_VALUE"""),"")</f>
        <v/>
      </c>
      <c r="G14888" s="18"/>
      <c r="H14888" s="16" t="s">
        <v>87</v>
      </c>
      <c r="I14888" s="16" t="s">
        <v>87</v>
      </c>
      <c r="J14888" s="19"/>
      <c r="L14888" s="16" t="str">
        <f>IFERROR(__xludf.DUMMYFUNCTION("""COMPUTED_VALUE"""),"")</f>
        <v/>
      </c>
      <c r="M14888" s="16" t="str">
        <f>IFERROR(__xludf.DUMMYFUNCTION("""COMPUTED_VALUE"""),"")</f>
        <v/>
      </c>
      <c r="U14888" s="16" t="s">
        <v>87</v>
      </c>
      <c r="V14888" s="16" t="str">
        <f>IFERROR(__xludf.DUMMYFUNCTION("""COMPUTED_VALUE"""),"")</f>
        <v/>
      </c>
      <c r="W14888" s="16" t="str">
        <f>IFERROR(__xludf.DUMMYFUNCTION("""COMPUTED_VALUE"""),"")</f>
        <v/>
      </c>
      <c r="X14888" s="16" t="str">
        <f>IFERROR(__xludf.DUMMYFUNCTION("""COMPUTED_VALUE"""),"")</f>
        <v/>
      </c>
      <c r="AC14888" s="16" t="str">
        <f>IFERROR(__xludf.DUMMYFUNCTION("""COMPUTED_VALUE"""),"")</f>
        <v/>
      </c>
    </row>
    <row r="14889">
      <c r="A14889" s="16" t="s">
        <v>87</v>
      </c>
      <c r="E14889" s="16" t="str">
        <f>IFERROR(__xludf.DUMMYFUNCTION("""COMPUTED_VALUE"""),"")</f>
        <v/>
      </c>
      <c r="G14889" s="18"/>
      <c r="H14889" s="16" t="s">
        <v>87</v>
      </c>
      <c r="I14889" s="16" t="s">
        <v>87</v>
      </c>
      <c r="J14889" s="19"/>
      <c r="L14889" s="16" t="str">
        <f>IFERROR(__xludf.DUMMYFUNCTION("""COMPUTED_VALUE"""),"")</f>
        <v/>
      </c>
      <c r="M14889" s="16" t="str">
        <f>IFERROR(__xludf.DUMMYFUNCTION("""COMPUTED_VALUE"""),"")</f>
        <v/>
      </c>
      <c r="U14889" s="16" t="s">
        <v>87</v>
      </c>
      <c r="V14889" s="16" t="str">
        <f>IFERROR(__xludf.DUMMYFUNCTION("""COMPUTED_VALUE"""),"")</f>
        <v/>
      </c>
      <c r="W14889" s="16" t="str">
        <f>IFERROR(__xludf.DUMMYFUNCTION("""COMPUTED_VALUE"""),"")</f>
        <v/>
      </c>
      <c r="X14889" s="16" t="str">
        <f>IFERROR(__xludf.DUMMYFUNCTION("""COMPUTED_VALUE"""),"")</f>
        <v/>
      </c>
      <c r="AC14889" s="16" t="str">
        <f>IFERROR(__xludf.DUMMYFUNCTION("""COMPUTED_VALUE"""),"")</f>
        <v/>
      </c>
    </row>
    <row r="14890">
      <c r="A14890" s="16" t="s">
        <v>87</v>
      </c>
      <c r="E14890" s="16" t="str">
        <f>IFERROR(__xludf.DUMMYFUNCTION("""COMPUTED_VALUE"""),"")</f>
        <v/>
      </c>
      <c r="G14890" s="18"/>
      <c r="H14890" s="16" t="s">
        <v>87</v>
      </c>
      <c r="I14890" s="16" t="s">
        <v>87</v>
      </c>
      <c r="J14890" s="19"/>
      <c r="L14890" s="16" t="str">
        <f>IFERROR(__xludf.DUMMYFUNCTION("""COMPUTED_VALUE"""),"")</f>
        <v/>
      </c>
      <c r="M14890" s="16" t="str">
        <f>IFERROR(__xludf.DUMMYFUNCTION("""COMPUTED_VALUE"""),"")</f>
        <v/>
      </c>
      <c r="U14890" s="16" t="s">
        <v>87</v>
      </c>
      <c r="V14890" s="16" t="str">
        <f>IFERROR(__xludf.DUMMYFUNCTION("""COMPUTED_VALUE"""),"")</f>
        <v/>
      </c>
      <c r="W14890" s="16" t="str">
        <f>IFERROR(__xludf.DUMMYFUNCTION("""COMPUTED_VALUE"""),"")</f>
        <v/>
      </c>
      <c r="X14890" s="16" t="str">
        <f>IFERROR(__xludf.DUMMYFUNCTION("""COMPUTED_VALUE"""),"")</f>
        <v/>
      </c>
      <c r="AC14890" s="16" t="str">
        <f>IFERROR(__xludf.DUMMYFUNCTION("""COMPUTED_VALUE"""),"")</f>
        <v/>
      </c>
    </row>
    <row r="14891">
      <c r="A14891" s="16" t="s">
        <v>87</v>
      </c>
      <c r="E14891" s="16" t="str">
        <f>IFERROR(__xludf.DUMMYFUNCTION("""COMPUTED_VALUE"""),"")</f>
        <v/>
      </c>
      <c r="G14891" s="18"/>
      <c r="H14891" s="16" t="s">
        <v>87</v>
      </c>
      <c r="I14891" s="16" t="s">
        <v>87</v>
      </c>
      <c r="J14891" s="19"/>
      <c r="L14891" s="16" t="str">
        <f>IFERROR(__xludf.DUMMYFUNCTION("""COMPUTED_VALUE"""),"")</f>
        <v/>
      </c>
      <c r="M14891" s="16" t="str">
        <f>IFERROR(__xludf.DUMMYFUNCTION("""COMPUTED_VALUE"""),"")</f>
        <v/>
      </c>
      <c r="U14891" s="16" t="s">
        <v>87</v>
      </c>
      <c r="V14891" s="16" t="str">
        <f>IFERROR(__xludf.DUMMYFUNCTION("""COMPUTED_VALUE"""),"")</f>
        <v/>
      </c>
      <c r="W14891" s="16" t="str">
        <f>IFERROR(__xludf.DUMMYFUNCTION("""COMPUTED_VALUE"""),"")</f>
        <v/>
      </c>
      <c r="X14891" s="16" t="str">
        <f>IFERROR(__xludf.DUMMYFUNCTION("""COMPUTED_VALUE"""),"")</f>
        <v/>
      </c>
      <c r="AC14891" s="16" t="str">
        <f>IFERROR(__xludf.DUMMYFUNCTION("""COMPUTED_VALUE"""),"")</f>
        <v/>
      </c>
    </row>
    <row r="14892">
      <c r="A14892" s="16" t="s">
        <v>87</v>
      </c>
      <c r="E14892" s="16" t="str">
        <f>IFERROR(__xludf.DUMMYFUNCTION("""COMPUTED_VALUE"""),"")</f>
        <v/>
      </c>
      <c r="G14892" s="18"/>
      <c r="H14892" s="16" t="s">
        <v>87</v>
      </c>
      <c r="I14892" s="16" t="s">
        <v>87</v>
      </c>
      <c r="J14892" s="19"/>
      <c r="L14892" s="16" t="str">
        <f>IFERROR(__xludf.DUMMYFUNCTION("""COMPUTED_VALUE"""),"")</f>
        <v/>
      </c>
      <c r="M14892" s="16" t="str">
        <f>IFERROR(__xludf.DUMMYFUNCTION("""COMPUTED_VALUE"""),"")</f>
        <v/>
      </c>
      <c r="U14892" s="16" t="s">
        <v>87</v>
      </c>
      <c r="V14892" s="16" t="str">
        <f>IFERROR(__xludf.DUMMYFUNCTION("""COMPUTED_VALUE"""),"")</f>
        <v/>
      </c>
      <c r="W14892" s="16" t="str">
        <f>IFERROR(__xludf.DUMMYFUNCTION("""COMPUTED_VALUE"""),"")</f>
        <v/>
      </c>
      <c r="X14892" s="16" t="str">
        <f>IFERROR(__xludf.DUMMYFUNCTION("""COMPUTED_VALUE"""),"")</f>
        <v/>
      </c>
      <c r="AC14892" s="16" t="str">
        <f>IFERROR(__xludf.DUMMYFUNCTION("""COMPUTED_VALUE"""),"")</f>
        <v/>
      </c>
    </row>
    <row r="14893">
      <c r="A14893" s="16" t="s">
        <v>87</v>
      </c>
      <c r="E14893" s="16" t="str">
        <f>IFERROR(__xludf.DUMMYFUNCTION("""COMPUTED_VALUE"""),"")</f>
        <v/>
      </c>
      <c r="G14893" s="18"/>
      <c r="H14893" s="16" t="s">
        <v>87</v>
      </c>
      <c r="I14893" s="16" t="s">
        <v>87</v>
      </c>
      <c r="J14893" s="19"/>
      <c r="L14893" s="16" t="str">
        <f>IFERROR(__xludf.DUMMYFUNCTION("""COMPUTED_VALUE"""),"")</f>
        <v/>
      </c>
      <c r="M14893" s="16" t="str">
        <f>IFERROR(__xludf.DUMMYFUNCTION("""COMPUTED_VALUE"""),"")</f>
        <v/>
      </c>
      <c r="U14893" s="16" t="s">
        <v>87</v>
      </c>
      <c r="V14893" s="16" t="str">
        <f>IFERROR(__xludf.DUMMYFUNCTION("""COMPUTED_VALUE"""),"")</f>
        <v/>
      </c>
      <c r="W14893" s="16" t="str">
        <f>IFERROR(__xludf.DUMMYFUNCTION("""COMPUTED_VALUE"""),"")</f>
        <v/>
      </c>
      <c r="X14893" s="16" t="str">
        <f>IFERROR(__xludf.DUMMYFUNCTION("""COMPUTED_VALUE"""),"")</f>
        <v/>
      </c>
      <c r="AC14893" s="16" t="str">
        <f>IFERROR(__xludf.DUMMYFUNCTION("""COMPUTED_VALUE"""),"")</f>
        <v/>
      </c>
    </row>
    <row r="14894">
      <c r="A14894" s="16" t="s">
        <v>87</v>
      </c>
      <c r="E14894" s="16" t="str">
        <f>IFERROR(__xludf.DUMMYFUNCTION("""COMPUTED_VALUE"""),"")</f>
        <v/>
      </c>
      <c r="G14894" s="18"/>
      <c r="H14894" s="16" t="s">
        <v>87</v>
      </c>
      <c r="I14894" s="16" t="s">
        <v>87</v>
      </c>
      <c r="J14894" s="19"/>
      <c r="L14894" s="16" t="str">
        <f>IFERROR(__xludf.DUMMYFUNCTION("""COMPUTED_VALUE"""),"")</f>
        <v/>
      </c>
      <c r="M14894" s="16" t="str">
        <f>IFERROR(__xludf.DUMMYFUNCTION("""COMPUTED_VALUE"""),"")</f>
        <v/>
      </c>
      <c r="U14894" s="16" t="s">
        <v>87</v>
      </c>
      <c r="V14894" s="16" t="str">
        <f>IFERROR(__xludf.DUMMYFUNCTION("""COMPUTED_VALUE"""),"")</f>
        <v/>
      </c>
      <c r="W14894" s="16" t="str">
        <f>IFERROR(__xludf.DUMMYFUNCTION("""COMPUTED_VALUE"""),"")</f>
        <v/>
      </c>
      <c r="X14894" s="16" t="str">
        <f>IFERROR(__xludf.DUMMYFUNCTION("""COMPUTED_VALUE"""),"")</f>
        <v/>
      </c>
      <c r="AC14894" s="16" t="str">
        <f>IFERROR(__xludf.DUMMYFUNCTION("""COMPUTED_VALUE"""),"")</f>
        <v/>
      </c>
    </row>
    <row r="14895">
      <c r="A14895" s="16" t="s">
        <v>87</v>
      </c>
      <c r="E14895" s="16" t="str">
        <f>IFERROR(__xludf.DUMMYFUNCTION("""COMPUTED_VALUE"""),"")</f>
        <v/>
      </c>
      <c r="G14895" s="18"/>
      <c r="H14895" s="16" t="s">
        <v>87</v>
      </c>
      <c r="I14895" s="16" t="s">
        <v>87</v>
      </c>
      <c r="J14895" s="19"/>
      <c r="L14895" s="16" t="str">
        <f>IFERROR(__xludf.DUMMYFUNCTION("""COMPUTED_VALUE"""),"")</f>
        <v/>
      </c>
      <c r="M14895" s="16" t="str">
        <f>IFERROR(__xludf.DUMMYFUNCTION("""COMPUTED_VALUE"""),"")</f>
        <v/>
      </c>
      <c r="U14895" s="16" t="s">
        <v>87</v>
      </c>
      <c r="V14895" s="16" t="str">
        <f>IFERROR(__xludf.DUMMYFUNCTION("""COMPUTED_VALUE"""),"")</f>
        <v/>
      </c>
      <c r="W14895" s="16" t="str">
        <f>IFERROR(__xludf.DUMMYFUNCTION("""COMPUTED_VALUE"""),"")</f>
        <v/>
      </c>
      <c r="X14895" s="16" t="str">
        <f>IFERROR(__xludf.DUMMYFUNCTION("""COMPUTED_VALUE"""),"")</f>
        <v/>
      </c>
      <c r="AC14895" s="16" t="str">
        <f>IFERROR(__xludf.DUMMYFUNCTION("""COMPUTED_VALUE"""),"")</f>
        <v/>
      </c>
    </row>
    <row r="14896">
      <c r="A14896" s="16" t="s">
        <v>87</v>
      </c>
      <c r="E14896" s="16" t="str">
        <f>IFERROR(__xludf.DUMMYFUNCTION("""COMPUTED_VALUE"""),"")</f>
        <v/>
      </c>
      <c r="G14896" s="18"/>
      <c r="H14896" s="16" t="s">
        <v>87</v>
      </c>
      <c r="I14896" s="16" t="s">
        <v>87</v>
      </c>
      <c r="J14896" s="19"/>
      <c r="L14896" s="16" t="str">
        <f>IFERROR(__xludf.DUMMYFUNCTION("""COMPUTED_VALUE"""),"")</f>
        <v/>
      </c>
      <c r="M14896" s="16" t="str">
        <f>IFERROR(__xludf.DUMMYFUNCTION("""COMPUTED_VALUE"""),"")</f>
        <v/>
      </c>
      <c r="U14896" s="16" t="s">
        <v>87</v>
      </c>
      <c r="V14896" s="16" t="str">
        <f>IFERROR(__xludf.DUMMYFUNCTION("""COMPUTED_VALUE"""),"")</f>
        <v/>
      </c>
      <c r="W14896" s="16" t="str">
        <f>IFERROR(__xludf.DUMMYFUNCTION("""COMPUTED_VALUE"""),"")</f>
        <v/>
      </c>
      <c r="X14896" s="16" t="str">
        <f>IFERROR(__xludf.DUMMYFUNCTION("""COMPUTED_VALUE"""),"")</f>
        <v/>
      </c>
      <c r="AC14896" s="16" t="str">
        <f>IFERROR(__xludf.DUMMYFUNCTION("""COMPUTED_VALUE"""),"")</f>
        <v/>
      </c>
    </row>
    <row r="14897">
      <c r="A14897" s="16" t="s">
        <v>87</v>
      </c>
      <c r="E14897" s="16" t="str">
        <f>IFERROR(__xludf.DUMMYFUNCTION("""COMPUTED_VALUE"""),"")</f>
        <v/>
      </c>
      <c r="G14897" s="18"/>
      <c r="H14897" s="16" t="s">
        <v>87</v>
      </c>
      <c r="I14897" s="16" t="s">
        <v>87</v>
      </c>
      <c r="J14897" s="19"/>
      <c r="L14897" s="16" t="str">
        <f>IFERROR(__xludf.DUMMYFUNCTION("""COMPUTED_VALUE"""),"")</f>
        <v/>
      </c>
      <c r="M14897" s="16" t="str">
        <f>IFERROR(__xludf.DUMMYFUNCTION("""COMPUTED_VALUE"""),"")</f>
        <v/>
      </c>
      <c r="U14897" s="16" t="s">
        <v>87</v>
      </c>
      <c r="V14897" s="16" t="str">
        <f>IFERROR(__xludf.DUMMYFUNCTION("""COMPUTED_VALUE"""),"")</f>
        <v/>
      </c>
      <c r="W14897" s="16" t="str">
        <f>IFERROR(__xludf.DUMMYFUNCTION("""COMPUTED_VALUE"""),"")</f>
        <v/>
      </c>
      <c r="X14897" s="16" t="str">
        <f>IFERROR(__xludf.DUMMYFUNCTION("""COMPUTED_VALUE"""),"")</f>
        <v/>
      </c>
      <c r="AC14897" s="16" t="str">
        <f>IFERROR(__xludf.DUMMYFUNCTION("""COMPUTED_VALUE"""),"")</f>
        <v/>
      </c>
    </row>
    <row r="14898">
      <c r="A14898" s="16" t="s">
        <v>87</v>
      </c>
      <c r="E14898" s="16" t="str">
        <f>IFERROR(__xludf.DUMMYFUNCTION("""COMPUTED_VALUE"""),"")</f>
        <v/>
      </c>
      <c r="G14898" s="18"/>
      <c r="H14898" s="16" t="s">
        <v>87</v>
      </c>
      <c r="I14898" s="16" t="s">
        <v>87</v>
      </c>
      <c r="J14898" s="19"/>
      <c r="L14898" s="16" t="str">
        <f>IFERROR(__xludf.DUMMYFUNCTION("""COMPUTED_VALUE"""),"")</f>
        <v/>
      </c>
      <c r="M14898" s="16" t="str">
        <f>IFERROR(__xludf.DUMMYFUNCTION("""COMPUTED_VALUE"""),"")</f>
        <v/>
      </c>
      <c r="U14898" s="16" t="s">
        <v>87</v>
      </c>
      <c r="V14898" s="16" t="str">
        <f>IFERROR(__xludf.DUMMYFUNCTION("""COMPUTED_VALUE"""),"")</f>
        <v/>
      </c>
      <c r="W14898" s="16" t="str">
        <f>IFERROR(__xludf.DUMMYFUNCTION("""COMPUTED_VALUE"""),"")</f>
        <v/>
      </c>
      <c r="X14898" s="16" t="str">
        <f>IFERROR(__xludf.DUMMYFUNCTION("""COMPUTED_VALUE"""),"")</f>
        <v/>
      </c>
      <c r="AC14898" s="16" t="str">
        <f>IFERROR(__xludf.DUMMYFUNCTION("""COMPUTED_VALUE"""),"")</f>
        <v/>
      </c>
    </row>
    <row r="14899">
      <c r="A14899" s="16" t="s">
        <v>87</v>
      </c>
      <c r="E14899" s="16" t="str">
        <f>IFERROR(__xludf.DUMMYFUNCTION("""COMPUTED_VALUE"""),"")</f>
        <v/>
      </c>
      <c r="G14899" s="18"/>
      <c r="H14899" s="16" t="s">
        <v>87</v>
      </c>
      <c r="I14899" s="16" t="s">
        <v>87</v>
      </c>
      <c r="J14899" s="19"/>
      <c r="L14899" s="16" t="str">
        <f>IFERROR(__xludf.DUMMYFUNCTION("""COMPUTED_VALUE"""),"")</f>
        <v/>
      </c>
      <c r="M14899" s="16" t="str">
        <f>IFERROR(__xludf.DUMMYFUNCTION("""COMPUTED_VALUE"""),"")</f>
        <v/>
      </c>
      <c r="U14899" s="16" t="s">
        <v>87</v>
      </c>
      <c r="V14899" s="16" t="str">
        <f>IFERROR(__xludf.DUMMYFUNCTION("""COMPUTED_VALUE"""),"")</f>
        <v/>
      </c>
      <c r="W14899" s="16" t="str">
        <f>IFERROR(__xludf.DUMMYFUNCTION("""COMPUTED_VALUE"""),"")</f>
        <v/>
      </c>
      <c r="X14899" s="16" t="str">
        <f>IFERROR(__xludf.DUMMYFUNCTION("""COMPUTED_VALUE"""),"")</f>
        <v/>
      </c>
      <c r="AC14899" s="16" t="str">
        <f>IFERROR(__xludf.DUMMYFUNCTION("""COMPUTED_VALUE"""),"")</f>
        <v/>
      </c>
    </row>
    <row r="14900">
      <c r="A14900" s="16" t="s">
        <v>87</v>
      </c>
      <c r="E14900" s="16" t="str">
        <f>IFERROR(__xludf.DUMMYFUNCTION("""COMPUTED_VALUE"""),"")</f>
        <v/>
      </c>
      <c r="G14900" s="18"/>
      <c r="H14900" s="16" t="s">
        <v>87</v>
      </c>
      <c r="I14900" s="16" t="s">
        <v>87</v>
      </c>
      <c r="J14900" s="19"/>
      <c r="L14900" s="16" t="str">
        <f>IFERROR(__xludf.DUMMYFUNCTION("""COMPUTED_VALUE"""),"")</f>
        <v/>
      </c>
      <c r="M14900" s="16" t="str">
        <f>IFERROR(__xludf.DUMMYFUNCTION("""COMPUTED_VALUE"""),"")</f>
        <v/>
      </c>
      <c r="U14900" s="16" t="s">
        <v>87</v>
      </c>
      <c r="V14900" s="16" t="str">
        <f>IFERROR(__xludf.DUMMYFUNCTION("""COMPUTED_VALUE"""),"")</f>
        <v/>
      </c>
      <c r="W14900" s="16" t="str">
        <f>IFERROR(__xludf.DUMMYFUNCTION("""COMPUTED_VALUE"""),"")</f>
        <v/>
      </c>
      <c r="X14900" s="16" t="str">
        <f>IFERROR(__xludf.DUMMYFUNCTION("""COMPUTED_VALUE"""),"")</f>
        <v/>
      </c>
      <c r="AC14900" s="16" t="str">
        <f>IFERROR(__xludf.DUMMYFUNCTION("""COMPUTED_VALUE"""),"")</f>
        <v/>
      </c>
    </row>
    <row r="14901">
      <c r="A14901" s="16" t="s">
        <v>87</v>
      </c>
      <c r="E14901" s="16" t="str">
        <f>IFERROR(__xludf.DUMMYFUNCTION("""COMPUTED_VALUE"""),"")</f>
        <v/>
      </c>
      <c r="G14901" s="18"/>
      <c r="H14901" s="16" t="s">
        <v>87</v>
      </c>
      <c r="I14901" s="16" t="s">
        <v>87</v>
      </c>
      <c r="J14901" s="19"/>
      <c r="L14901" s="16" t="str">
        <f>IFERROR(__xludf.DUMMYFUNCTION("""COMPUTED_VALUE"""),"")</f>
        <v/>
      </c>
      <c r="M14901" s="16" t="str">
        <f>IFERROR(__xludf.DUMMYFUNCTION("""COMPUTED_VALUE"""),"")</f>
        <v/>
      </c>
      <c r="U14901" s="16" t="s">
        <v>87</v>
      </c>
      <c r="V14901" s="16" t="str">
        <f>IFERROR(__xludf.DUMMYFUNCTION("""COMPUTED_VALUE"""),"")</f>
        <v/>
      </c>
      <c r="W14901" s="16" t="str">
        <f>IFERROR(__xludf.DUMMYFUNCTION("""COMPUTED_VALUE"""),"")</f>
        <v/>
      </c>
      <c r="X14901" s="16" t="str">
        <f>IFERROR(__xludf.DUMMYFUNCTION("""COMPUTED_VALUE"""),"")</f>
        <v/>
      </c>
      <c r="AC14901" s="16" t="str">
        <f>IFERROR(__xludf.DUMMYFUNCTION("""COMPUTED_VALUE"""),"")</f>
        <v/>
      </c>
    </row>
    <row r="14902">
      <c r="A14902" s="16" t="s">
        <v>87</v>
      </c>
      <c r="E14902" s="16" t="str">
        <f>IFERROR(__xludf.DUMMYFUNCTION("""COMPUTED_VALUE"""),"")</f>
        <v/>
      </c>
      <c r="G14902" s="18"/>
      <c r="H14902" s="16" t="s">
        <v>87</v>
      </c>
      <c r="I14902" s="16" t="s">
        <v>87</v>
      </c>
      <c r="J14902" s="19"/>
      <c r="L14902" s="16" t="str">
        <f>IFERROR(__xludf.DUMMYFUNCTION("""COMPUTED_VALUE"""),"")</f>
        <v/>
      </c>
      <c r="M14902" s="16" t="str">
        <f>IFERROR(__xludf.DUMMYFUNCTION("""COMPUTED_VALUE"""),"")</f>
        <v/>
      </c>
      <c r="U14902" s="16" t="s">
        <v>87</v>
      </c>
      <c r="V14902" s="16" t="str">
        <f>IFERROR(__xludf.DUMMYFUNCTION("""COMPUTED_VALUE"""),"")</f>
        <v/>
      </c>
      <c r="W14902" s="16" t="str">
        <f>IFERROR(__xludf.DUMMYFUNCTION("""COMPUTED_VALUE"""),"")</f>
        <v/>
      </c>
      <c r="X14902" s="16" t="str">
        <f>IFERROR(__xludf.DUMMYFUNCTION("""COMPUTED_VALUE"""),"")</f>
        <v/>
      </c>
      <c r="AC14902" s="16" t="str">
        <f>IFERROR(__xludf.DUMMYFUNCTION("""COMPUTED_VALUE"""),"")</f>
        <v/>
      </c>
    </row>
    <row r="14903">
      <c r="A14903" s="16" t="s">
        <v>87</v>
      </c>
      <c r="E14903" s="16" t="str">
        <f>IFERROR(__xludf.DUMMYFUNCTION("""COMPUTED_VALUE"""),"")</f>
        <v/>
      </c>
      <c r="G14903" s="18"/>
      <c r="H14903" s="16" t="s">
        <v>87</v>
      </c>
      <c r="I14903" s="16" t="s">
        <v>87</v>
      </c>
      <c r="J14903" s="19"/>
      <c r="L14903" s="16" t="str">
        <f>IFERROR(__xludf.DUMMYFUNCTION("""COMPUTED_VALUE"""),"")</f>
        <v/>
      </c>
      <c r="M14903" s="16" t="str">
        <f>IFERROR(__xludf.DUMMYFUNCTION("""COMPUTED_VALUE"""),"")</f>
        <v/>
      </c>
      <c r="U14903" s="16" t="s">
        <v>87</v>
      </c>
      <c r="V14903" s="16" t="str">
        <f>IFERROR(__xludf.DUMMYFUNCTION("""COMPUTED_VALUE"""),"")</f>
        <v/>
      </c>
      <c r="W14903" s="16" t="str">
        <f>IFERROR(__xludf.DUMMYFUNCTION("""COMPUTED_VALUE"""),"")</f>
        <v/>
      </c>
      <c r="X14903" s="16" t="str">
        <f>IFERROR(__xludf.DUMMYFUNCTION("""COMPUTED_VALUE"""),"")</f>
        <v/>
      </c>
      <c r="AC14903" s="16" t="str">
        <f>IFERROR(__xludf.DUMMYFUNCTION("""COMPUTED_VALUE"""),"")</f>
        <v/>
      </c>
    </row>
    <row r="14904">
      <c r="A14904" s="16" t="s">
        <v>87</v>
      </c>
      <c r="E14904" s="16" t="str">
        <f>IFERROR(__xludf.DUMMYFUNCTION("""COMPUTED_VALUE"""),"")</f>
        <v/>
      </c>
      <c r="G14904" s="18"/>
      <c r="H14904" s="16" t="s">
        <v>87</v>
      </c>
      <c r="I14904" s="16" t="s">
        <v>87</v>
      </c>
      <c r="J14904" s="19"/>
      <c r="L14904" s="16" t="str">
        <f>IFERROR(__xludf.DUMMYFUNCTION("""COMPUTED_VALUE"""),"")</f>
        <v/>
      </c>
      <c r="M14904" s="16" t="str">
        <f>IFERROR(__xludf.DUMMYFUNCTION("""COMPUTED_VALUE"""),"")</f>
        <v/>
      </c>
      <c r="U14904" s="16" t="s">
        <v>87</v>
      </c>
      <c r="V14904" s="16" t="str">
        <f>IFERROR(__xludf.DUMMYFUNCTION("""COMPUTED_VALUE"""),"")</f>
        <v/>
      </c>
      <c r="W14904" s="16" t="str">
        <f>IFERROR(__xludf.DUMMYFUNCTION("""COMPUTED_VALUE"""),"")</f>
        <v/>
      </c>
      <c r="X14904" s="16" t="str">
        <f>IFERROR(__xludf.DUMMYFUNCTION("""COMPUTED_VALUE"""),"")</f>
        <v/>
      </c>
      <c r="AC14904" s="16" t="str">
        <f>IFERROR(__xludf.DUMMYFUNCTION("""COMPUTED_VALUE"""),"")</f>
        <v/>
      </c>
    </row>
    <row r="14905">
      <c r="A14905" s="16" t="s">
        <v>87</v>
      </c>
      <c r="E14905" s="16" t="str">
        <f>IFERROR(__xludf.DUMMYFUNCTION("""COMPUTED_VALUE"""),"")</f>
        <v/>
      </c>
      <c r="G14905" s="18"/>
      <c r="H14905" s="16" t="s">
        <v>87</v>
      </c>
      <c r="I14905" s="16" t="s">
        <v>87</v>
      </c>
      <c r="J14905" s="19"/>
      <c r="L14905" s="16" t="str">
        <f>IFERROR(__xludf.DUMMYFUNCTION("""COMPUTED_VALUE"""),"")</f>
        <v/>
      </c>
      <c r="M14905" s="16" t="str">
        <f>IFERROR(__xludf.DUMMYFUNCTION("""COMPUTED_VALUE"""),"")</f>
        <v/>
      </c>
      <c r="U14905" s="16" t="s">
        <v>87</v>
      </c>
      <c r="V14905" s="16" t="str">
        <f>IFERROR(__xludf.DUMMYFUNCTION("""COMPUTED_VALUE"""),"")</f>
        <v/>
      </c>
      <c r="W14905" s="16" t="str">
        <f>IFERROR(__xludf.DUMMYFUNCTION("""COMPUTED_VALUE"""),"")</f>
        <v/>
      </c>
      <c r="X14905" s="16" t="str">
        <f>IFERROR(__xludf.DUMMYFUNCTION("""COMPUTED_VALUE"""),"")</f>
        <v/>
      </c>
      <c r="AC14905" s="16" t="str">
        <f>IFERROR(__xludf.DUMMYFUNCTION("""COMPUTED_VALUE"""),"")</f>
        <v/>
      </c>
    </row>
    <row r="14906">
      <c r="A14906" s="16" t="s">
        <v>87</v>
      </c>
      <c r="E14906" s="16" t="str">
        <f>IFERROR(__xludf.DUMMYFUNCTION("""COMPUTED_VALUE"""),"")</f>
        <v/>
      </c>
      <c r="G14906" s="18"/>
      <c r="H14906" s="16" t="s">
        <v>87</v>
      </c>
      <c r="I14906" s="16" t="s">
        <v>87</v>
      </c>
      <c r="J14906" s="19"/>
      <c r="L14906" s="16" t="str">
        <f>IFERROR(__xludf.DUMMYFUNCTION("""COMPUTED_VALUE"""),"")</f>
        <v/>
      </c>
      <c r="M14906" s="16" t="str">
        <f>IFERROR(__xludf.DUMMYFUNCTION("""COMPUTED_VALUE"""),"")</f>
        <v/>
      </c>
      <c r="U14906" s="16" t="s">
        <v>87</v>
      </c>
      <c r="V14906" s="16" t="str">
        <f>IFERROR(__xludf.DUMMYFUNCTION("""COMPUTED_VALUE"""),"")</f>
        <v/>
      </c>
      <c r="W14906" s="16" t="str">
        <f>IFERROR(__xludf.DUMMYFUNCTION("""COMPUTED_VALUE"""),"")</f>
        <v/>
      </c>
      <c r="X14906" s="16" t="str">
        <f>IFERROR(__xludf.DUMMYFUNCTION("""COMPUTED_VALUE"""),"")</f>
        <v/>
      </c>
      <c r="AC14906" s="16" t="str">
        <f>IFERROR(__xludf.DUMMYFUNCTION("""COMPUTED_VALUE"""),"")</f>
        <v/>
      </c>
    </row>
    <row r="14907">
      <c r="A14907" s="16" t="s">
        <v>87</v>
      </c>
      <c r="E14907" s="16" t="str">
        <f>IFERROR(__xludf.DUMMYFUNCTION("""COMPUTED_VALUE"""),"")</f>
        <v/>
      </c>
      <c r="G14907" s="18"/>
      <c r="H14907" s="16" t="s">
        <v>87</v>
      </c>
      <c r="I14907" s="16" t="s">
        <v>87</v>
      </c>
      <c r="J14907" s="19"/>
      <c r="L14907" s="16" t="str">
        <f>IFERROR(__xludf.DUMMYFUNCTION("""COMPUTED_VALUE"""),"")</f>
        <v/>
      </c>
      <c r="M14907" s="16" t="str">
        <f>IFERROR(__xludf.DUMMYFUNCTION("""COMPUTED_VALUE"""),"")</f>
        <v/>
      </c>
      <c r="U14907" s="16" t="s">
        <v>87</v>
      </c>
      <c r="V14907" s="16" t="str">
        <f>IFERROR(__xludf.DUMMYFUNCTION("""COMPUTED_VALUE"""),"")</f>
        <v/>
      </c>
      <c r="W14907" s="16" t="str">
        <f>IFERROR(__xludf.DUMMYFUNCTION("""COMPUTED_VALUE"""),"")</f>
        <v/>
      </c>
      <c r="X14907" s="16" t="str">
        <f>IFERROR(__xludf.DUMMYFUNCTION("""COMPUTED_VALUE"""),"")</f>
        <v/>
      </c>
      <c r="AC14907" s="16" t="str">
        <f>IFERROR(__xludf.DUMMYFUNCTION("""COMPUTED_VALUE"""),"")</f>
        <v/>
      </c>
    </row>
    <row r="14908">
      <c r="A14908" s="16" t="s">
        <v>87</v>
      </c>
      <c r="E14908" s="16" t="str">
        <f>IFERROR(__xludf.DUMMYFUNCTION("""COMPUTED_VALUE"""),"")</f>
        <v/>
      </c>
      <c r="G14908" s="18"/>
      <c r="H14908" s="16" t="s">
        <v>87</v>
      </c>
      <c r="I14908" s="16" t="s">
        <v>87</v>
      </c>
      <c r="J14908" s="19"/>
      <c r="L14908" s="16" t="str">
        <f>IFERROR(__xludf.DUMMYFUNCTION("""COMPUTED_VALUE"""),"")</f>
        <v/>
      </c>
      <c r="M14908" s="16" t="str">
        <f>IFERROR(__xludf.DUMMYFUNCTION("""COMPUTED_VALUE"""),"")</f>
        <v/>
      </c>
      <c r="U14908" s="16" t="s">
        <v>87</v>
      </c>
      <c r="V14908" s="16" t="str">
        <f>IFERROR(__xludf.DUMMYFUNCTION("""COMPUTED_VALUE"""),"")</f>
        <v/>
      </c>
      <c r="W14908" s="16" t="str">
        <f>IFERROR(__xludf.DUMMYFUNCTION("""COMPUTED_VALUE"""),"")</f>
        <v/>
      </c>
      <c r="X14908" s="16" t="str">
        <f>IFERROR(__xludf.DUMMYFUNCTION("""COMPUTED_VALUE"""),"")</f>
        <v/>
      </c>
      <c r="AC14908" s="16" t="str">
        <f>IFERROR(__xludf.DUMMYFUNCTION("""COMPUTED_VALUE"""),"")</f>
        <v/>
      </c>
    </row>
    <row r="14909">
      <c r="A14909" s="16" t="s">
        <v>87</v>
      </c>
      <c r="E14909" s="16" t="str">
        <f>IFERROR(__xludf.DUMMYFUNCTION("""COMPUTED_VALUE"""),"")</f>
        <v/>
      </c>
      <c r="G14909" s="18"/>
      <c r="H14909" s="16" t="s">
        <v>87</v>
      </c>
      <c r="I14909" s="16" t="s">
        <v>87</v>
      </c>
      <c r="J14909" s="19"/>
      <c r="L14909" s="16" t="str">
        <f>IFERROR(__xludf.DUMMYFUNCTION("""COMPUTED_VALUE"""),"")</f>
        <v/>
      </c>
      <c r="M14909" s="16" t="str">
        <f>IFERROR(__xludf.DUMMYFUNCTION("""COMPUTED_VALUE"""),"")</f>
        <v/>
      </c>
      <c r="U14909" s="16" t="s">
        <v>87</v>
      </c>
      <c r="V14909" s="16" t="str">
        <f>IFERROR(__xludf.DUMMYFUNCTION("""COMPUTED_VALUE"""),"")</f>
        <v/>
      </c>
      <c r="W14909" s="16" t="str">
        <f>IFERROR(__xludf.DUMMYFUNCTION("""COMPUTED_VALUE"""),"")</f>
        <v/>
      </c>
      <c r="X14909" s="16" t="str">
        <f>IFERROR(__xludf.DUMMYFUNCTION("""COMPUTED_VALUE"""),"")</f>
        <v/>
      </c>
      <c r="AC14909" s="16" t="str">
        <f>IFERROR(__xludf.DUMMYFUNCTION("""COMPUTED_VALUE"""),"")</f>
        <v/>
      </c>
    </row>
    <row r="14910">
      <c r="A14910" s="16" t="s">
        <v>87</v>
      </c>
      <c r="E14910" s="16" t="str">
        <f>IFERROR(__xludf.DUMMYFUNCTION("""COMPUTED_VALUE"""),"")</f>
        <v/>
      </c>
      <c r="G14910" s="18"/>
      <c r="H14910" s="16" t="s">
        <v>87</v>
      </c>
      <c r="I14910" s="16" t="s">
        <v>87</v>
      </c>
      <c r="J14910" s="19"/>
      <c r="L14910" s="16" t="str">
        <f>IFERROR(__xludf.DUMMYFUNCTION("""COMPUTED_VALUE"""),"")</f>
        <v/>
      </c>
      <c r="M14910" s="16" t="str">
        <f>IFERROR(__xludf.DUMMYFUNCTION("""COMPUTED_VALUE"""),"")</f>
        <v/>
      </c>
      <c r="U14910" s="16" t="s">
        <v>87</v>
      </c>
      <c r="V14910" s="16" t="str">
        <f>IFERROR(__xludf.DUMMYFUNCTION("""COMPUTED_VALUE"""),"")</f>
        <v/>
      </c>
      <c r="W14910" s="16" t="str">
        <f>IFERROR(__xludf.DUMMYFUNCTION("""COMPUTED_VALUE"""),"")</f>
        <v/>
      </c>
      <c r="X14910" s="16" t="str">
        <f>IFERROR(__xludf.DUMMYFUNCTION("""COMPUTED_VALUE"""),"")</f>
        <v/>
      </c>
      <c r="AC14910" s="16" t="str">
        <f>IFERROR(__xludf.DUMMYFUNCTION("""COMPUTED_VALUE"""),"")</f>
        <v/>
      </c>
    </row>
    <row r="14911">
      <c r="A14911" s="16" t="s">
        <v>87</v>
      </c>
      <c r="E14911" s="16" t="str">
        <f>IFERROR(__xludf.DUMMYFUNCTION("""COMPUTED_VALUE"""),"")</f>
        <v/>
      </c>
      <c r="G14911" s="18"/>
      <c r="H14911" s="16" t="s">
        <v>87</v>
      </c>
      <c r="I14911" s="16" t="s">
        <v>87</v>
      </c>
      <c r="J14911" s="19"/>
      <c r="L14911" s="16" t="str">
        <f>IFERROR(__xludf.DUMMYFUNCTION("""COMPUTED_VALUE"""),"")</f>
        <v/>
      </c>
      <c r="M14911" s="16" t="str">
        <f>IFERROR(__xludf.DUMMYFUNCTION("""COMPUTED_VALUE"""),"")</f>
        <v/>
      </c>
      <c r="U14911" s="16" t="s">
        <v>87</v>
      </c>
      <c r="V14911" s="16" t="str">
        <f>IFERROR(__xludf.DUMMYFUNCTION("""COMPUTED_VALUE"""),"")</f>
        <v/>
      </c>
      <c r="W14911" s="16" t="str">
        <f>IFERROR(__xludf.DUMMYFUNCTION("""COMPUTED_VALUE"""),"")</f>
        <v/>
      </c>
      <c r="X14911" s="16" t="str">
        <f>IFERROR(__xludf.DUMMYFUNCTION("""COMPUTED_VALUE"""),"")</f>
        <v/>
      </c>
      <c r="AC14911" s="16" t="str">
        <f>IFERROR(__xludf.DUMMYFUNCTION("""COMPUTED_VALUE"""),"")</f>
        <v/>
      </c>
    </row>
    <row r="14912">
      <c r="A14912" s="16" t="s">
        <v>87</v>
      </c>
      <c r="E14912" s="16" t="str">
        <f>IFERROR(__xludf.DUMMYFUNCTION("""COMPUTED_VALUE"""),"")</f>
        <v/>
      </c>
      <c r="G14912" s="18"/>
      <c r="H14912" s="16" t="s">
        <v>87</v>
      </c>
      <c r="I14912" s="16" t="s">
        <v>87</v>
      </c>
      <c r="J14912" s="19"/>
      <c r="L14912" s="16" t="str">
        <f>IFERROR(__xludf.DUMMYFUNCTION("""COMPUTED_VALUE"""),"")</f>
        <v/>
      </c>
      <c r="M14912" s="16" t="str">
        <f>IFERROR(__xludf.DUMMYFUNCTION("""COMPUTED_VALUE"""),"")</f>
        <v/>
      </c>
      <c r="U14912" s="16" t="s">
        <v>87</v>
      </c>
      <c r="V14912" s="16" t="str">
        <f>IFERROR(__xludf.DUMMYFUNCTION("""COMPUTED_VALUE"""),"")</f>
        <v/>
      </c>
      <c r="W14912" s="16" t="str">
        <f>IFERROR(__xludf.DUMMYFUNCTION("""COMPUTED_VALUE"""),"")</f>
        <v/>
      </c>
      <c r="X14912" s="16" t="str">
        <f>IFERROR(__xludf.DUMMYFUNCTION("""COMPUTED_VALUE"""),"")</f>
        <v/>
      </c>
      <c r="AC14912" s="16" t="str">
        <f>IFERROR(__xludf.DUMMYFUNCTION("""COMPUTED_VALUE"""),"")</f>
        <v/>
      </c>
    </row>
    <row r="14913">
      <c r="A14913" s="16" t="s">
        <v>87</v>
      </c>
      <c r="E14913" s="16" t="str">
        <f>IFERROR(__xludf.DUMMYFUNCTION("""COMPUTED_VALUE"""),"")</f>
        <v/>
      </c>
      <c r="G14913" s="18"/>
      <c r="H14913" s="16" t="s">
        <v>87</v>
      </c>
      <c r="I14913" s="16" t="s">
        <v>87</v>
      </c>
      <c r="J14913" s="19"/>
      <c r="L14913" s="16" t="str">
        <f>IFERROR(__xludf.DUMMYFUNCTION("""COMPUTED_VALUE"""),"")</f>
        <v/>
      </c>
      <c r="M14913" s="16" t="str">
        <f>IFERROR(__xludf.DUMMYFUNCTION("""COMPUTED_VALUE"""),"")</f>
        <v/>
      </c>
      <c r="U14913" s="16" t="s">
        <v>87</v>
      </c>
      <c r="V14913" s="16" t="str">
        <f>IFERROR(__xludf.DUMMYFUNCTION("""COMPUTED_VALUE"""),"")</f>
        <v/>
      </c>
      <c r="W14913" s="16" t="str">
        <f>IFERROR(__xludf.DUMMYFUNCTION("""COMPUTED_VALUE"""),"")</f>
        <v/>
      </c>
      <c r="X14913" s="16" t="str">
        <f>IFERROR(__xludf.DUMMYFUNCTION("""COMPUTED_VALUE"""),"")</f>
        <v/>
      </c>
      <c r="AC14913" s="16" t="str">
        <f>IFERROR(__xludf.DUMMYFUNCTION("""COMPUTED_VALUE"""),"")</f>
        <v/>
      </c>
    </row>
    <row r="14914">
      <c r="A14914" s="16" t="s">
        <v>87</v>
      </c>
      <c r="E14914" s="16" t="str">
        <f>IFERROR(__xludf.DUMMYFUNCTION("""COMPUTED_VALUE"""),"")</f>
        <v/>
      </c>
      <c r="G14914" s="18"/>
      <c r="H14914" s="16" t="s">
        <v>87</v>
      </c>
      <c r="I14914" s="16" t="s">
        <v>87</v>
      </c>
      <c r="J14914" s="19"/>
      <c r="L14914" s="16" t="str">
        <f>IFERROR(__xludf.DUMMYFUNCTION("""COMPUTED_VALUE"""),"")</f>
        <v/>
      </c>
      <c r="M14914" s="16" t="str">
        <f>IFERROR(__xludf.DUMMYFUNCTION("""COMPUTED_VALUE"""),"")</f>
        <v/>
      </c>
      <c r="U14914" s="16" t="s">
        <v>87</v>
      </c>
      <c r="V14914" s="16" t="str">
        <f>IFERROR(__xludf.DUMMYFUNCTION("""COMPUTED_VALUE"""),"")</f>
        <v/>
      </c>
      <c r="W14914" s="16" t="str">
        <f>IFERROR(__xludf.DUMMYFUNCTION("""COMPUTED_VALUE"""),"")</f>
        <v/>
      </c>
      <c r="X14914" s="16" t="str">
        <f>IFERROR(__xludf.DUMMYFUNCTION("""COMPUTED_VALUE"""),"")</f>
        <v/>
      </c>
      <c r="AC14914" s="16" t="str">
        <f>IFERROR(__xludf.DUMMYFUNCTION("""COMPUTED_VALUE"""),"")</f>
        <v/>
      </c>
    </row>
    <row r="14915">
      <c r="A14915" s="16" t="s">
        <v>87</v>
      </c>
      <c r="E14915" s="16" t="str">
        <f>IFERROR(__xludf.DUMMYFUNCTION("""COMPUTED_VALUE"""),"")</f>
        <v/>
      </c>
      <c r="G14915" s="18"/>
      <c r="H14915" s="16" t="s">
        <v>87</v>
      </c>
      <c r="I14915" s="16" t="s">
        <v>87</v>
      </c>
      <c r="J14915" s="19"/>
      <c r="L14915" s="16" t="str">
        <f>IFERROR(__xludf.DUMMYFUNCTION("""COMPUTED_VALUE"""),"")</f>
        <v/>
      </c>
      <c r="M14915" s="16" t="str">
        <f>IFERROR(__xludf.DUMMYFUNCTION("""COMPUTED_VALUE"""),"")</f>
        <v/>
      </c>
      <c r="U14915" s="16" t="s">
        <v>87</v>
      </c>
      <c r="V14915" s="16" t="str">
        <f>IFERROR(__xludf.DUMMYFUNCTION("""COMPUTED_VALUE"""),"")</f>
        <v/>
      </c>
      <c r="W14915" s="16" t="str">
        <f>IFERROR(__xludf.DUMMYFUNCTION("""COMPUTED_VALUE"""),"")</f>
        <v/>
      </c>
      <c r="X14915" s="16" t="str">
        <f>IFERROR(__xludf.DUMMYFUNCTION("""COMPUTED_VALUE"""),"")</f>
        <v/>
      </c>
      <c r="AC14915" s="16" t="str">
        <f>IFERROR(__xludf.DUMMYFUNCTION("""COMPUTED_VALUE"""),"")</f>
        <v/>
      </c>
    </row>
    <row r="14916">
      <c r="A14916" s="16" t="s">
        <v>87</v>
      </c>
      <c r="E14916" s="16" t="str">
        <f>IFERROR(__xludf.DUMMYFUNCTION("""COMPUTED_VALUE"""),"")</f>
        <v/>
      </c>
      <c r="G14916" s="18"/>
      <c r="H14916" s="16" t="s">
        <v>87</v>
      </c>
      <c r="I14916" s="16" t="s">
        <v>87</v>
      </c>
      <c r="J14916" s="19"/>
      <c r="L14916" s="16" t="str">
        <f>IFERROR(__xludf.DUMMYFUNCTION("""COMPUTED_VALUE"""),"")</f>
        <v/>
      </c>
      <c r="M14916" s="16" t="str">
        <f>IFERROR(__xludf.DUMMYFUNCTION("""COMPUTED_VALUE"""),"")</f>
        <v/>
      </c>
      <c r="U14916" s="16" t="s">
        <v>87</v>
      </c>
      <c r="V14916" s="16" t="str">
        <f>IFERROR(__xludf.DUMMYFUNCTION("""COMPUTED_VALUE"""),"")</f>
        <v/>
      </c>
      <c r="W14916" s="16" t="str">
        <f>IFERROR(__xludf.DUMMYFUNCTION("""COMPUTED_VALUE"""),"")</f>
        <v/>
      </c>
      <c r="X14916" s="16" t="str">
        <f>IFERROR(__xludf.DUMMYFUNCTION("""COMPUTED_VALUE"""),"")</f>
        <v/>
      </c>
      <c r="AC14916" s="16" t="str">
        <f>IFERROR(__xludf.DUMMYFUNCTION("""COMPUTED_VALUE"""),"")</f>
        <v/>
      </c>
    </row>
    <row r="14917">
      <c r="A14917" s="16" t="s">
        <v>87</v>
      </c>
      <c r="E14917" s="16" t="str">
        <f>IFERROR(__xludf.DUMMYFUNCTION("""COMPUTED_VALUE"""),"")</f>
        <v/>
      </c>
      <c r="G14917" s="18"/>
      <c r="H14917" s="16" t="s">
        <v>87</v>
      </c>
      <c r="I14917" s="16" t="s">
        <v>87</v>
      </c>
      <c r="J14917" s="19"/>
      <c r="L14917" s="16" t="str">
        <f>IFERROR(__xludf.DUMMYFUNCTION("""COMPUTED_VALUE"""),"")</f>
        <v/>
      </c>
      <c r="M14917" s="16" t="str">
        <f>IFERROR(__xludf.DUMMYFUNCTION("""COMPUTED_VALUE"""),"")</f>
        <v/>
      </c>
      <c r="U14917" s="16" t="s">
        <v>87</v>
      </c>
      <c r="V14917" s="16" t="str">
        <f>IFERROR(__xludf.DUMMYFUNCTION("""COMPUTED_VALUE"""),"")</f>
        <v/>
      </c>
      <c r="W14917" s="16" t="str">
        <f>IFERROR(__xludf.DUMMYFUNCTION("""COMPUTED_VALUE"""),"")</f>
        <v/>
      </c>
      <c r="X14917" s="16" t="str">
        <f>IFERROR(__xludf.DUMMYFUNCTION("""COMPUTED_VALUE"""),"")</f>
        <v/>
      </c>
      <c r="AC14917" s="16" t="str">
        <f>IFERROR(__xludf.DUMMYFUNCTION("""COMPUTED_VALUE"""),"")</f>
        <v/>
      </c>
    </row>
    <row r="14918">
      <c r="A14918" s="16" t="s">
        <v>87</v>
      </c>
      <c r="E14918" s="16" t="str">
        <f>IFERROR(__xludf.DUMMYFUNCTION("""COMPUTED_VALUE"""),"")</f>
        <v/>
      </c>
      <c r="G14918" s="18"/>
      <c r="H14918" s="16" t="s">
        <v>87</v>
      </c>
      <c r="I14918" s="16" t="s">
        <v>87</v>
      </c>
      <c r="J14918" s="19"/>
      <c r="L14918" s="16" t="str">
        <f>IFERROR(__xludf.DUMMYFUNCTION("""COMPUTED_VALUE"""),"")</f>
        <v/>
      </c>
      <c r="M14918" s="16" t="str">
        <f>IFERROR(__xludf.DUMMYFUNCTION("""COMPUTED_VALUE"""),"")</f>
        <v/>
      </c>
      <c r="U14918" s="16" t="s">
        <v>87</v>
      </c>
      <c r="V14918" s="16" t="str">
        <f>IFERROR(__xludf.DUMMYFUNCTION("""COMPUTED_VALUE"""),"")</f>
        <v/>
      </c>
      <c r="W14918" s="16" t="str">
        <f>IFERROR(__xludf.DUMMYFUNCTION("""COMPUTED_VALUE"""),"")</f>
        <v/>
      </c>
      <c r="X14918" s="16" t="str">
        <f>IFERROR(__xludf.DUMMYFUNCTION("""COMPUTED_VALUE"""),"")</f>
        <v/>
      </c>
      <c r="AC14918" s="16" t="str">
        <f>IFERROR(__xludf.DUMMYFUNCTION("""COMPUTED_VALUE"""),"")</f>
        <v/>
      </c>
    </row>
    <row r="14919">
      <c r="A14919" s="16" t="s">
        <v>87</v>
      </c>
      <c r="E14919" s="16" t="str">
        <f>IFERROR(__xludf.DUMMYFUNCTION("""COMPUTED_VALUE"""),"")</f>
        <v/>
      </c>
      <c r="G14919" s="18"/>
      <c r="H14919" s="16" t="s">
        <v>87</v>
      </c>
      <c r="I14919" s="16" t="s">
        <v>87</v>
      </c>
      <c r="J14919" s="19"/>
      <c r="L14919" s="16" t="str">
        <f>IFERROR(__xludf.DUMMYFUNCTION("""COMPUTED_VALUE"""),"")</f>
        <v/>
      </c>
      <c r="M14919" s="16" t="str">
        <f>IFERROR(__xludf.DUMMYFUNCTION("""COMPUTED_VALUE"""),"")</f>
        <v/>
      </c>
      <c r="U14919" s="16" t="s">
        <v>87</v>
      </c>
      <c r="V14919" s="16" t="str">
        <f>IFERROR(__xludf.DUMMYFUNCTION("""COMPUTED_VALUE"""),"")</f>
        <v/>
      </c>
      <c r="W14919" s="16" t="str">
        <f>IFERROR(__xludf.DUMMYFUNCTION("""COMPUTED_VALUE"""),"")</f>
        <v/>
      </c>
      <c r="X14919" s="16" t="str">
        <f>IFERROR(__xludf.DUMMYFUNCTION("""COMPUTED_VALUE"""),"")</f>
        <v/>
      </c>
      <c r="AC14919" s="16" t="str">
        <f>IFERROR(__xludf.DUMMYFUNCTION("""COMPUTED_VALUE"""),"")</f>
        <v/>
      </c>
    </row>
    <row r="14920">
      <c r="A14920" s="16" t="s">
        <v>87</v>
      </c>
      <c r="E14920" s="16" t="str">
        <f>IFERROR(__xludf.DUMMYFUNCTION("""COMPUTED_VALUE"""),"")</f>
        <v/>
      </c>
      <c r="G14920" s="18"/>
      <c r="H14920" s="16" t="s">
        <v>87</v>
      </c>
      <c r="I14920" s="16" t="s">
        <v>87</v>
      </c>
      <c r="J14920" s="19"/>
      <c r="L14920" s="16" t="str">
        <f>IFERROR(__xludf.DUMMYFUNCTION("""COMPUTED_VALUE"""),"")</f>
        <v/>
      </c>
      <c r="M14920" s="16" t="str">
        <f>IFERROR(__xludf.DUMMYFUNCTION("""COMPUTED_VALUE"""),"")</f>
        <v/>
      </c>
      <c r="U14920" s="16" t="s">
        <v>87</v>
      </c>
      <c r="V14920" s="16" t="str">
        <f>IFERROR(__xludf.DUMMYFUNCTION("""COMPUTED_VALUE"""),"")</f>
        <v/>
      </c>
      <c r="W14920" s="16" t="str">
        <f>IFERROR(__xludf.DUMMYFUNCTION("""COMPUTED_VALUE"""),"")</f>
        <v/>
      </c>
      <c r="X14920" s="16" t="str">
        <f>IFERROR(__xludf.DUMMYFUNCTION("""COMPUTED_VALUE"""),"")</f>
        <v/>
      </c>
      <c r="AC14920" s="16" t="str">
        <f>IFERROR(__xludf.DUMMYFUNCTION("""COMPUTED_VALUE"""),"")</f>
        <v/>
      </c>
    </row>
    <row r="14921">
      <c r="A14921" s="16" t="s">
        <v>87</v>
      </c>
      <c r="E14921" s="16" t="str">
        <f>IFERROR(__xludf.DUMMYFUNCTION("""COMPUTED_VALUE"""),"")</f>
        <v/>
      </c>
      <c r="G14921" s="18"/>
      <c r="H14921" s="16" t="s">
        <v>87</v>
      </c>
      <c r="I14921" s="16" t="s">
        <v>87</v>
      </c>
      <c r="J14921" s="19"/>
      <c r="L14921" s="16" t="str">
        <f>IFERROR(__xludf.DUMMYFUNCTION("""COMPUTED_VALUE"""),"")</f>
        <v/>
      </c>
      <c r="M14921" s="16" t="str">
        <f>IFERROR(__xludf.DUMMYFUNCTION("""COMPUTED_VALUE"""),"")</f>
        <v/>
      </c>
      <c r="U14921" s="16" t="s">
        <v>87</v>
      </c>
      <c r="V14921" s="16" t="str">
        <f>IFERROR(__xludf.DUMMYFUNCTION("""COMPUTED_VALUE"""),"")</f>
        <v/>
      </c>
      <c r="W14921" s="16" t="str">
        <f>IFERROR(__xludf.DUMMYFUNCTION("""COMPUTED_VALUE"""),"")</f>
        <v/>
      </c>
      <c r="X14921" s="16" t="str">
        <f>IFERROR(__xludf.DUMMYFUNCTION("""COMPUTED_VALUE"""),"")</f>
        <v/>
      </c>
      <c r="AC14921" s="16" t="str">
        <f>IFERROR(__xludf.DUMMYFUNCTION("""COMPUTED_VALUE"""),"")</f>
        <v/>
      </c>
    </row>
    <row r="14922">
      <c r="A14922" s="16" t="s">
        <v>87</v>
      </c>
      <c r="E14922" s="16" t="str">
        <f>IFERROR(__xludf.DUMMYFUNCTION("""COMPUTED_VALUE"""),"")</f>
        <v/>
      </c>
      <c r="G14922" s="18"/>
      <c r="H14922" s="16" t="s">
        <v>87</v>
      </c>
      <c r="I14922" s="16" t="s">
        <v>87</v>
      </c>
      <c r="J14922" s="19"/>
      <c r="L14922" s="16" t="str">
        <f>IFERROR(__xludf.DUMMYFUNCTION("""COMPUTED_VALUE"""),"")</f>
        <v/>
      </c>
      <c r="M14922" s="16" t="str">
        <f>IFERROR(__xludf.DUMMYFUNCTION("""COMPUTED_VALUE"""),"")</f>
        <v/>
      </c>
      <c r="U14922" s="16" t="s">
        <v>87</v>
      </c>
      <c r="V14922" s="16" t="str">
        <f>IFERROR(__xludf.DUMMYFUNCTION("""COMPUTED_VALUE"""),"")</f>
        <v/>
      </c>
      <c r="W14922" s="16" t="str">
        <f>IFERROR(__xludf.DUMMYFUNCTION("""COMPUTED_VALUE"""),"")</f>
        <v/>
      </c>
      <c r="X14922" s="16" t="str">
        <f>IFERROR(__xludf.DUMMYFUNCTION("""COMPUTED_VALUE"""),"")</f>
        <v/>
      </c>
      <c r="AC14922" s="16" t="str">
        <f>IFERROR(__xludf.DUMMYFUNCTION("""COMPUTED_VALUE"""),"")</f>
        <v/>
      </c>
    </row>
    <row r="14923">
      <c r="A14923" s="16" t="s">
        <v>87</v>
      </c>
      <c r="E14923" s="16" t="str">
        <f>IFERROR(__xludf.DUMMYFUNCTION("""COMPUTED_VALUE"""),"")</f>
        <v/>
      </c>
      <c r="G14923" s="18"/>
      <c r="H14923" s="16" t="s">
        <v>87</v>
      </c>
      <c r="I14923" s="16" t="s">
        <v>87</v>
      </c>
      <c r="J14923" s="19"/>
      <c r="L14923" s="16" t="str">
        <f>IFERROR(__xludf.DUMMYFUNCTION("""COMPUTED_VALUE"""),"")</f>
        <v/>
      </c>
      <c r="M14923" s="16" t="str">
        <f>IFERROR(__xludf.DUMMYFUNCTION("""COMPUTED_VALUE"""),"")</f>
        <v/>
      </c>
      <c r="U14923" s="16" t="s">
        <v>87</v>
      </c>
      <c r="V14923" s="16" t="str">
        <f>IFERROR(__xludf.DUMMYFUNCTION("""COMPUTED_VALUE"""),"")</f>
        <v/>
      </c>
      <c r="W14923" s="16" t="str">
        <f>IFERROR(__xludf.DUMMYFUNCTION("""COMPUTED_VALUE"""),"")</f>
        <v/>
      </c>
      <c r="X14923" s="16" t="str">
        <f>IFERROR(__xludf.DUMMYFUNCTION("""COMPUTED_VALUE"""),"")</f>
        <v/>
      </c>
      <c r="AC14923" s="16" t="str">
        <f>IFERROR(__xludf.DUMMYFUNCTION("""COMPUTED_VALUE"""),"")</f>
        <v/>
      </c>
    </row>
    <row r="14924">
      <c r="A14924" s="16" t="s">
        <v>87</v>
      </c>
      <c r="E14924" s="16" t="str">
        <f>IFERROR(__xludf.DUMMYFUNCTION("""COMPUTED_VALUE"""),"")</f>
        <v/>
      </c>
      <c r="G14924" s="18"/>
      <c r="H14924" s="16" t="s">
        <v>87</v>
      </c>
      <c r="I14924" s="16" t="s">
        <v>87</v>
      </c>
      <c r="J14924" s="19"/>
      <c r="L14924" s="16" t="str">
        <f>IFERROR(__xludf.DUMMYFUNCTION("""COMPUTED_VALUE"""),"")</f>
        <v/>
      </c>
      <c r="M14924" s="16" t="str">
        <f>IFERROR(__xludf.DUMMYFUNCTION("""COMPUTED_VALUE"""),"")</f>
        <v/>
      </c>
      <c r="U14924" s="16" t="s">
        <v>87</v>
      </c>
      <c r="V14924" s="16" t="str">
        <f>IFERROR(__xludf.DUMMYFUNCTION("""COMPUTED_VALUE"""),"")</f>
        <v/>
      </c>
      <c r="W14924" s="16" t="str">
        <f>IFERROR(__xludf.DUMMYFUNCTION("""COMPUTED_VALUE"""),"")</f>
        <v/>
      </c>
      <c r="X14924" s="16" t="str">
        <f>IFERROR(__xludf.DUMMYFUNCTION("""COMPUTED_VALUE"""),"")</f>
        <v/>
      </c>
      <c r="AC14924" s="16" t="str">
        <f>IFERROR(__xludf.DUMMYFUNCTION("""COMPUTED_VALUE"""),"")</f>
        <v/>
      </c>
    </row>
    <row r="14925">
      <c r="A14925" s="16" t="s">
        <v>87</v>
      </c>
      <c r="E14925" s="16" t="str">
        <f>IFERROR(__xludf.DUMMYFUNCTION("""COMPUTED_VALUE"""),"")</f>
        <v/>
      </c>
      <c r="G14925" s="18"/>
      <c r="H14925" s="16" t="s">
        <v>87</v>
      </c>
      <c r="I14925" s="16" t="s">
        <v>87</v>
      </c>
      <c r="J14925" s="19"/>
      <c r="L14925" s="16" t="str">
        <f>IFERROR(__xludf.DUMMYFUNCTION("""COMPUTED_VALUE"""),"")</f>
        <v/>
      </c>
      <c r="M14925" s="16" t="str">
        <f>IFERROR(__xludf.DUMMYFUNCTION("""COMPUTED_VALUE"""),"")</f>
        <v/>
      </c>
      <c r="U14925" s="16" t="s">
        <v>87</v>
      </c>
      <c r="V14925" s="16" t="str">
        <f>IFERROR(__xludf.DUMMYFUNCTION("""COMPUTED_VALUE"""),"")</f>
        <v/>
      </c>
      <c r="W14925" s="16" t="str">
        <f>IFERROR(__xludf.DUMMYFUNCTION("""COMPUTED_VALUE"""),"")</f>
        <v/>
      </c>
      <c r="X14925" s="16" t="str">
        <f>IFERROR(__xludf.DUMMYFUNCTION("""COMPUTED_VALUE"""),"")</f>
        <v/>
      </c>
      <c r="AC14925" s="16" t="str">
        <f>IFERROR(__xludf.DUMMYFUNCTION("""COMPUTED_VALUE"""),"")</f>
        <v/>
      </c>
    </row>
    <row r="14926">
      <c r="A14926" s="16" t="s">
        <v>87</v>
      </c>
      <c r="E14926" s="16" t="str">
        <f>IFERROR(__xludf.DUMMYFUNCTION("""COMPUTED_VALUE"""),"")</f>
        <v/>
      </c>
      <c r="G14926" s="18"/>
      <c r="H14926" s="16" t="s">
        <v>87</v>
      </c>
      <c r="I14926" s="16" t="s">
        <v>87</v>
      </c>
      <c r="J14926" s="19"/>
      <c r="L14926" s="16" t="str">
        <f>IFERROR(__xludf.DUMMYFUNCTION("""COMPUTED_VALUE"""),"")</f>
        <v/>
      </c>
      <c r="M14926" s="16" t="str">
        <f>IFERROR(__xludf.DUMMYFUNCTION("""COMPUTED_VALUE"""),"")</f>
        <v/>
      </c>
      <c r="U14926" s="16" t="s">
        <v>87</v>
      </c>
      <c r="V14926" s="16" t="str">
        <f>IFERROR(__xludf.DUMMYFUNCTION("""COMPUTED_VALUE"""),"")</f>
        <v/>
      </c>
      <c r="W14926" s="16" t="str">
        <f>IFERROR(__xludf.DUMMYFUNCTION("""COMPUTED_VALUE"""),"")</f>
        <v/>
      </c>
      <c r="X14926" s="16" t="str">
        <f>IFERROR(__xludf.DUMMYFUNCTION("""COMPUTED_VALUE"""),"")</f>
        <v/>
      </c>
      <c r="AC14926" s="16" t="str">
        <f>IFERROR(__xludf.DUMMYFUNCTION("""COMPUTED_VALUE"""),"")</f>
        <v/>
      </c>
    </row>
    <row r="14927">
      <c r="A14927" s="16" t="s">
        <v>87</v>
      </c>
      <c r="E14927" s="16" t="str">
        <f>IFERROR(__xludf.DUMMYFUNCTION("""COMPUTED_VALUE"""),"")</f>
        <v/>
      </c>
      <c r="G14927" s="18"/>
      <c r="H14927" s="16" t="s">
        <v>87</v>
      </c>
      <c r="I14927" s="16" t="s">
        <v>87</v>
      </c>
      <c r="J14927" s="19"/>
      <c r="L14927" s="16" t="str">
        <f>IFERROR(__xludf.DUMMYFUNCTION("""COMPUTED_VALUE"""),"")</f>
        <v/>
      </c>
      <c r="M14927" s="16" t="str">
        <f>IFERROR(__xludf.DUMMYFUNCTION("""COMPUTED_VALUE"""),"")</f>
        <v/>
      </c>
      <c r="U14927" s="16" t="s">
        <v>87</v>
      </c>
      <c r="V14927" s="16" t="str">
        <f>IFERROR(__xludf.DUMMYFUNCTION("""COMPUTED_VALUE"""),"")</f>
        <v/>
      </c>
      <c r="W14927" s="16" t="str">
        <f>IFERROR(__xludf.DUMMYFUNCTION("""COMPUTED_VALUE"""),"")</f>
        <v/>
      </c>
      <c r="X14927" s="16" t="str">
        <f>IFERROR(__xludf.DUMMYFUNCTION("""COMPUTED_VALUE"""),"")</f>
        <v/>
      </c>
      <c r="AC14927" s="16" t="str">
        <f>IFERROR(__xludf.DUMMYFUNCTION("""COMPUTED_VALUE"""),"")</f>
        <v/>
      </c>
    </row>
    <row r="14928">
      <c r="A14928" s="16" t="s">
        <v>87</v>
      </c>
      <c r="E14928" s="16" t="str">
        <f>IFERROR(__xludf.DUMMYFUNCTION("""COMPUTED_VALUE"""),"")</f>
        <v/>
      </c>
      <c r="G14928" s="18"/>
      <c r="H14928" s="16" t="s">
        <v>87</v>
      </c>
      <c r="I14928" s="16" t="s">
        <v>87</v>
      </c>
      <c r="J14928" s="19"/>
      <c r="L14928" s="16" t="str">
        <f>IFERROR(__xludf.DUMMYFUNCTION("""COMPUTED_VALUE"""),"")</f>
        <v/>
      </c>
      <c r="M14928" s="16" t="str">
        <f>IFERROR(__xludf.DUMMYFUNCTION("""COMPUTED_VALUE"""),"")</f>
        <v/>
      </c>
      <c r="U14928" s="16" t="s">
        <v>87</v>
      </c>
      <c r="V14928" s="16" t="str">
        <f>IFERROR(__xludf.DUMMYFUNCTION("""COMPUTED_VALUE"""),"")</f>
        <v/>
      </c>
      <c r="W14928" s="16" t="str">
        <f>IFERROR(__xludf.DUMMYFUNCTION("""COMPUTED_VALUE"""),"")</f>
        <v/>
      </c>
      <c r="X14928" s="16" t="str">
        <f>IFERROR(__xludf.DUMMYFUNCTION("""COMPUTED_VALUE"""),"")</f>
        <v/>
      </c>
      <c r="AC14928" s="16" t="str">
        <f>IFERROR(__xludf.DUMMYFUNCTION("""COMPUTED_VALUE"""),"")</f>
        <v/>
      </c>
    </row>
    <row r="14929">
      <c r="A14929" s="16" t="s">
        <v>87</v>
      </c>
      <c r="E14929" s="16" t="str">
        <f>IFERROR(__xludf.DUMMYFUNCTION("""COMPUTED_VALUE"""),"")</f>
        <v/>
      </c>
      <c r="G14929" s="18"/>
      <c r="H14929" s="16" t="s">
        <v>87</v>
      </c>
      <c r="I14929" s="16" t="s">
        <v>87</v>
      </c>
      <c r="J14929" s="19"/>
      <c r="L14929" s="16" t="str">
        <f>IFERROR(__xludf.DUMMYFUNCTION("""COMPUTED_VALUE"""),"")</f>
        <v/>
      </c>
      <c r="M14929" s="16" t="str">
        <f>IFERROR(__xludf.DUMMYFUNCTION("""COMPUTED_VALUE"""),"")</f>
        <v/>
      </c>
      <c r="U14929" s="16" t="s">
        <v>87</v>
      </c>
      <c r="V14929" s="16" t="str">
        <f>IFERROR(__xludf.DUMMYFUNCTION("""COMPUTED_VALUE"""),"")</f>
        <v/>
      </c>
      <c r="W14929" s="16" t="str">
        <f>IFERROR(__xludf.DUMMYFUNCTION("""COMPUTED_VALUE"""),"")</f>
        <v/>
      </c>
      <c r="X14929" s="16" t="str">
        <f>IFERROR(__xludf.DUMMYFUNCTION("""COMPUTED_VALUE"""),"")</f>
        <v/>
      </c>
      <c r="AC14929" s="16" t="str">
        <f>IFERROR(__xludf.DUMMYFUNCTION("""COMPUTED_VALUE"""),"")</f>
        <v/>
      </c>
    </row>
    <row r="14930">
      <c r="A14930" s="16" t="s">
        <v>87</v>
      </c>
      <c r="E14930" s="16" t="str">
        <f>IFERROR(__xludf.DUMMYFUNCTION("""COMPUTED_VALUE"""),"")</f>
        <v/>
      </c>
      <c r="G14930" s="18"/>
      <c r="H14930" s="16" t="s">
        <v>87</v>
      </c>
      <c r="I14930" s="16" t="s">
        <v>87</v>
      </c>
      <c r="J14930" s="19"/>
      <c r="L14930" s="16" t="str">
        <f>IFERROR(__xludf.DUMMYFUNCTION("""COMPUTED_VALUE"""),"")</f>
        <v/>
      </c>
      <c r="M14930" s="16" t="str">
        <f>IFERROR(__xludf.DUMMYFUNCTION("""COMPUTED_VALUE"""),"")</f>
        <v/>
      </c>
      <c r="U14930" s="16" t="s">
        <v>87</v>
      </c>
      <c r="V14930" s="16" t="str">
        <f>IFERROR(__xludf.DUMMYFUNCTION("""COMPUTED_VALUE"""),"")</f>
        <v/>
      </c>
      <c r="W14930" s="16" t="str">
        <f>IFERROR(__xludf.DUMMYFUNCTION("""COMPUTED_VALUE"""),"")</f>
        <v/>
      </c>
      <c r="X14930" s="16" t="str">
        <f>IFERROR(__xludf.DUMMYFUNCTION("""COMPUTED_VALUE"""),"")</f>
        <v/>
      </c>
      <c r="AC14930" s="16" t="str">
        <f>IFERROR(__xludf.DUMMYFUNCTION("""COMPUTED_VALUE"""),"")</f>
        <v/>
      </c>
    </row>
    <row r="14931">
      <c r="A14931" s="16" t="s">
        <v>87</v>
      </c>
      <c r="E14931" s="16" t="str">
        <f>IFERROR(__xludf.DUMMYFUNCTION("""COMPUTED_VALUE"""),"")</f>
        <v/>
      </c>
      <c r="G14931" s="18"/>
      <c r="H14931" s="16" t="s">
        <v>87</v>
      </c>
      <c r="I14931" s="16" t="s">
        <v>87</v>
      </c>
      <c r="J14931" s="19"/>
      <c r="L14931" s="16" t="str">
        <f>IFERROR(__xludf.DUMMYFUNCTION("""COMPUTED_VALUE"""),"")</f>
        <v/>
      </c>
      <c r="M14931" s="16" t="str">
        <f>IFERROR(__xludf.DUMMYFUNCTION("""COMPUTED_VALUE"""),"")</f>
        <v/>
      </c>
      <c r="U14931" s="16" t="s">
        <v>87</v>
      </c>
      <c r="V14931" s="16" t="str">
        <f>IFERROR(__xludf.DUMMYFUNCTION("""COMPUTED_VALUE"""),"")</f>
        <v/>
      </c>
      <c r="W14931" s="16" t="str">
        <f>IFERROR(__xludf.DUMMYFUNCTION("""COMPUTED_VALUE"""),"")</f>
        <v/>
      </c>
      <c r="X14931" s="16" t="str">
        <f>IFERROR(__xludf.DUMMYFUNCTION("""COMPUTED_VALUE"""),"")</f>
        <v/>
      </c>
      <c r="AC14931" s="16" t="str">
        <f>IFERROR(__xludf.DUMMYFUNCTION("""COMPUTED_VALUE"""),"")</f>
        <v/>
      </c>
    </row>
    <row r="14932">
      <c r="A14932" s="16" t="s">
        <v>87</v>
      </c>
      <c r="E14932" s="16" t="str">
        <f>IFERROR(__xludf.DUMMYFUNCTION("""COMPUTED_VALUE"""),"")</f>
        <v/>
      </c>
      <c r="G14932" s="18"/>
      <c r="H14932" s="16" t="s">
        <v>87</v>
      </c>
      <c r="I14932" s="16" t="s">
        <v>87</v>
      </c>
      <c r="J14932" s="19"/>
      <c r="L14932" s="16" t="str">
        <f>IFERROR(__xludf.DUMMYFUNCTION("""COMPUTED_VALUE"""),"")</f>
        <v/>
      </c>
      <c r="M14932" s="16" t="str">
        <f>IFERROR(__xludf.DUMMYFUNCTION("""COMPUTED_VALUE"""),"")</f>
        <v/>
      </c>
      <c r="U14932" s="16" t="s">
        <v>87</v>
      </c>
      <c r="V14932" s="16" t="str">
        <f>IFERROR(__xludf.DUMMYFUNCTION("""COMPUTED_VALUE"""),"")</f>
        <v/>
      </c>
      <c r="W14932" s="16" t="str">
        <f>IFERROR(__xludf.DUMMYFUNCTION("""COMPUTED_VALUE"""),"")</f>
        <v/>
      </c>
      <c r="X14932" s="16" t="str">
        <f>IFERROR(__xludf.DUMMYFUNCTION("""COMPUTED_VALUE"""),"")</f>
        <v/>
      </c>
      <c r="AC14932" s="16" t="str">
        <f>IFERROR(__xludf.DUMMYFUNCTION("""COMPUTED_VALUE"""),"")</f>
        <v/>
      </c>
    </row>
    <row r="14933">
      <c r="A14933" s="16" t="s">
        <v>87</v>
      </c>
      <c r="E14933" s="16" t="str">
        <f>IFERROR(__xludf.DUMMYFUNCTION("""COMPUTED_VALUE"""),"")</f>
        <v/>
      </c>
      <c r="G14933" s="18"/>
      <c r="H14933" s="16" t="s">
        <v>87</v>
      </c>
      <c r="I14933" s="16" t="s">
        <v>87</v>
      </c>
      <c r="J14933" s="19"/>
      <c r="L14933" s="16" t="str">
        <f>IFERROR(__xludf.DUMMYFUNCTION("""COMPUTED_VALUE"""),"")</f>
        <v/>
      </c>
      <c r="M14933" s="16" t="str">
        <f>IFERROR(__xludf.DUMMYFUNCTION("""COMPUTED_VALUE"""),"")</f>
        <v/>
      </c>
      <c r="U14933" s="16" t="s">
        <v>87</v>
      </c>
      <c r="V14933" s="16" t="str">
        <f>IFERROR(__xludf.DUMMYFUNCTION("""COMPUTED_VALUE"""),"")</f>
        <v/>
      </c>
      <c r="W14933" s="16" t="str">
        <f>IFERROR(__xludf.DUMMYFUNCTION("""COMPUTED_VALUE"""),"")</f>
        <v/>
      </c>
      <c r="X14933" s="16" t="str">
        <f>IFERROR(__xludf.DUMMYFUNCTION("""COMPUTED_VALUE"""),"")</f>
        <v/>
      </c>
      <c r="AC14933" s="16" t="str">
        <f>IFERROR(__xludf.DUMMYFUNCTION("""COMPUTED_VALUE"""),"")</f>
        <v/>
      </c>
    </row>
    <row r="14934">
      <c r="A14934" s="16" t="s">
        <v>87</v>
      </c>
      <c r="E14934" s="16" t="str">
        <f>IFERROR(__xludf.DUMMYFUNCTION("""COMPUTED_VALUE"""),"")</f>
        <v/>
      </c>
      <c r="G14934" s="18"/>
      <c r="H14934" s="16" t="s">
        <v>87</v>
      </c>
      <c r="I14934" s="16" t="s">
        <v>87</v>
      </c>
      <c r="J14934" s="19"/>
      <c r="L14934" s="16" t="str">
        <f>IFERROR(__xludf.DUMMYFUNCTION("""COMPUTED_VALUE"""),"")</f>
        <v/>
      </c>
      <c r="M14934" s="16" t="str">
        <f>IFERROR(__xludf.DUMMYFUNCTION("""COMPUTED_VALUE"""),"")</f>
        <v/>
      </c>
      <c r="U14934" s="16" t="s">
        <v>87</v>
      </c>
      <c r="V14934" s="16" t="str">
        <f>IFERROR(__xludf.DUMMYFUNCTION("""COMPUTED_VALUE"""),"")</f>
        <v/>
      </c>
      <c r="W14934" s="16" t="str">
        <f>IFERROR(__xludf.DUMMYFUNCTION("""COMPUTED_VALUE"""),"")</f>
        <v/>
      </c>
      <c r="X14934" s="16" t="str">
        <f>IFERROR(__xludf.DUMMYFUNCTION("""COMPUTED_VALUE"""),"")</f>
        <v/>
      </c>
      <c r="AC14934" s="16" t="str">
        <f>IFERROR(__xludf.DUMMYFUNCTION("""COMPUTED_VALUE"""),"")</f>
        <v/>
      </c>
    </row>
    <row r="14935">
      <c r="A14935" s="16" t="s">
        <v>87</v>
      </c>
      <c r="E14935" s="16" t="str">
        <f>IFERROR(__xludf.DUMMYFUNCTION("""COMPUTED_VALUE"""),"")</f>
        <v/>
      </c>
      <c r="G14935" s="18"/>
      <c r="H14935" s="16" t="s">
        <v>87</v>
      </c>
      <c r="I14935" s="16" t="s">
        <v>87</v>
      </c>
      <c r="J14935" s="19"/>
      <c r="L14935" s="16" t="str">
        <f>IFERROR(__xludf.DUMMYFUNCTION("""COMPUTED_VALUE"""),"")</f>
        <v/>
      </c>
      <c r="M14935" s="16" t="str">
        <f>IFERROR(__xludf.DUMMYFUNCTION("""COMPUTED_VALUE"""),"")</f>
        <v/>
      </c>
      <c r="U14935" s="16" t="s">
        <v>87</v>
      </c>
      <c r="V14935" s="16" t="str">
        <f>IFERROR(__xludf.DUMMYFUNCTION("""COMPUTED_VALUE"""),"")</f>
        <v/>
      </c>
      <c r="W14935" s="16" t="str">
        <f>IFERROR(__xludf.DUMMYFUNCTION("""COMPUTED_VALUE"""),"")</f>
        <v/>
      </c>
      <c r="X14935" s="16" t="str">
        <f>IFERROR(__xludf.DUMMYFUNCTION("""COMPUTED_VALUE"""),"")</f>
        <v/>
      </c>
      <c r="AC14935" s="16" t="str">
        <f>IFERROR(__xludf.DUMMYFUNCTION("""COMPUTED_VALUE"""),"")</f>
        <v/>
      </c>
    </row>
    <row r="14936">
      <c r="A14936" s="16" t="s">
        <v>87</v>
      </c>
      <c r="E14936" s="16" t="str">
        <f>IFERROR(__xludf.DUMMYFUNCTION("""COMPUTED_VALUE"""),"")</f>
        <v/>
      </c>
      <c r="G14936" s="18"/>
      <c r="H14936" s="16" t="s">
        <v>87</v>
      </c>
      <c r="I14936" s="16" t="s">
        <v>87</v>
      </c>
      <c r="J14936" s="19"/>
      <c r="L14936" s="16" t="str">
        <f>IFERROR(__xludf.DUMMYFUNCTION("""COMPUTED_VALUE"""),"")</f>
        <v/>
      </c>
      <c r="M14936" s="16" t="str">
        <f>IFERROR(__xludf.DUMMYFUNCTION("""COMPUTED_VALUE"""),"")</f>
        <v/>
      </c>
      <c r="U14936" s="16" t="s">
        <v>87</v>
      </c>
      <c r="V14936" s="16" t="str">
        <f>IFERROR(__xludf.DUMMYFUNCTION("""COMPUTED_VALUE"""),"")</f>
        <v/>
      </c>
      <c r="W14936" s="16" t="str">
        <f>IFERROR(__xludf.DUMMYFUNCTION("""COMPUTED_VALUE"""),"")</f>
        <v/>
      </c>
      <c r="X14936" s="16" t="str">
        <f>IFERROR(__xludf.DUMMYFUNCTION("""COMPUTED_VALUE"""),"")</f>
        <v/>
      </c>
      <c r="AC14936" s="16" t="str">
        <f>IFERROR(__xludf.DUMMYFUNCTION("""COMPUTED_VALUE"""),"")</f>
        <v/>
      </c>
    </row>
    <row r="14937">
      <c r="A14937" s="16" t="s">
        <v>87</v>
      </c>
      <c r="E14937" s="16" t="str">
        <f>IFERROR(__xludf.DUMMYFUNCTION("""COMPUTED_VALUE"""),"")</f>
        <v/>
      </c>
      <c r="G14937" s="18"/>
      <c r="H14937" s="16" t="s">
        <v>87</v>
      </c>
      <c r="I14937" s="16" t="s">
        <v>87</v>
      </c>
      <c r="J14937" s="19"/>
      <c r="L14937" s="16" t="str">
        <f>IFERROR(__xludf.DUMMYFUNCTION("""COMPUTED_VALUE"""),"")</f>
        <v/>
      </c>
      <c r="M14937" s="16" t="str">
        <f>IFERROR(__xludf.DUMMYFUNCTION("""COMPUTED_VALUE"""),"")</f>
        <v/>
      </c>
      <c r="U14937" s="16" t="s">
        <v>87</v>
      </c>
      <c r="V14937" s="16" t="str">
        <f>IFERROR(__xludf.DUMMYFUNCTION("""COMPUTED_VALUE"""),"")</f>
        <v/>
      </c>
      <c r="W14937" s="16" t="str">
        <f>IFERROR(__xludf.DUMMYFUNCTION("""COMPUTED_VALUE"""),"")</f>
        <v/>
      </c>
      <c r="X14937" s="16" t="str">
        <f>IFERROR(__xludf.DUMMYFUNCTION("""COMPUTED_VALUE"""),"")</f>
        <v/>
      </c>
      <c r="AC14937" s="16" t="str">
        <f>IFERROR(__xludf.DUMMYFUNCTION("""COMPUTED_VALUE"""),"")</f>
        <v/>
      </c>
    </row>
    <row r="14938">
      <c r="A14938" s="16" t="s">
        <v>87</v>
      </c>
      <c r="E14938" s="16" t="str">
        <f>IFERROR(__xludf.DUMMYFUNCTION("""COMPUTED_VALUE"""),"")</f>
        <v/>
      </c>
      <c r="G14938" s="18"/>
      <c r="H14938" s="16" t="s">
        <v>87</v>
      </c>
      <c r="I14938" s="16" t="s">
        <v>87</v>
      </c>
      <c r="J14938" s="19"/>
      <c r="L14938" s="16" t="str">
        <f>IFERROR(__xludf.DUMMYFUNCTION("""COMPUTED_VALUE"""),"")</f>
        <v/>
      </c>
      <c r="M14938" s="16" t="str">
        <f>IFERROR(__xludf.DUMMYFUNCTION("""COMPUTED_VALUE"""),"")</f>
        <v/>
      </c>
      <c r="U14938" s="16" t="s">
        <v>87</v>
      </c>
      <c r="V14938" s="16" t="str">
        <f>IFERROR(__xludf.DUMMYFUNCTION("""COMPUTED_VALUE"""),"")</f>
        <v/>
      </c>
      <c r="W14938" s="16" t="str">
        <f>IFERROR(__xludf.DUMMYFUNCTION("""COMPUTED_VALUE"""),"")</f>
        <v/>
      </c>
      <c r="X14938" s="16" t="str">
        <f>IFERROR(__xludf.DUMMYFUNCTION("""COMPUTED_VALUE"""),"")</f>
        <v/>
      </c>
      <c r="AC14938" s="16" t="str">
        <f>IFERROR(__xludf.DUMMYFUNCTION("""COMPUTED_VALUE"""),"")</f>
        <v/>
      </c>
    </row>
    <row r="14939">
      <c r="A14939" s="16" t="s">
        <v>87</v>
      </c>
      <c r="E14939" s="16" t="str">
        <f>IFERROR(__xludf.DUMMYFUNCTION("""COMPUTED_VALUE"""),"")</f>
        <v/>
      </c>
      <c r="G14939" s="18"/>
      <c r="H14939" s="16" t="s">
        <v>87</v>
      </c>
      <c r="I14939" s="16" t="s">
        <v>87</v>
      </c>
      <c r="J14939" s="19"/>
      <c r="L14939" s="16" t="str">
        <f>IFERROR(__xludf.DUMMYFUNCTION("""COMPUTED_VALUE"""),"")</f>
        <v/>
      </c>
      <c r="M14939" s="16" t="str">
        <f>IFERROR(__xludf.DUMMYFUNCTION("""COMPUTED_VALUE"""),"")</f>
        <v/>
      </c>
      <c r="U14939" s="16" t="s">
        <v>87</v>
      </c>
      <c r="V14939" s="16" t="str">
        <f>IFERROR(__xludf.DUMMYFUNCTION("""COMPUTED_VALUE"""),"")</f>
        <v/>
      </c>
      <c r="W14939" s="16" t="str">
        <f>IFERROR(__xludf.DUMMYFUNCTION("""COMPUTED_VALUE"""),"")</f>
        <v/>
      </c>
      <c r="X14939" s="16" t="str">
        <f>IFERROR(__xludf.DUMMYFUNCTION("""COMPUTED_VALUE"""),"")</f>
        <v/>
      </c>
      <c r="AC14939" s="16" t="str">
        <f>IFERROR(__xludf.DUMMYFUNCTION("""COMPUTED_VALUE"""),"")</f>
        <v/>
      </c>
    </row>
    <row r="14940">
      <c r="A14940" s="16" t="s">
        <v>87</v>
      </c>
      <c r="E14940" s="16" t="str">
        <f>IFERROR(__xludf.DUMMYFUNCTION("""COMPUTED_VALUE"""),"")</f>
        <v/>
      </c>
      <c r="G14940" s="18"/>
      <c r="H14940" s="16" t="s">
        <v>87</v>
      </c>
      <c r="I14940" s="16" t="s">
        <v>87</v>
      </c>
      <c r="J14940" s="19"/>
      <c r="L14940" s="16" t="str">
        <f>IFERROR(__xludf.DUMMYFUNCTION("""COMPUTED_VALUE"""),"")</f>
        <v/>
      </c>
      <c r="M14940" s="16" t="str">
        <f>IFERROR(__xludf.DUMMYFUNCTION("""COMPUTED_VALUE"""),"")</f>
        <v/>
      </c>
      <c r="U14940" s="16" t="s">
        <v>87</v>
      </c>
      <c r="V14940" s="16" t="str">
        <f>IFERROR(__xludf.DUMMYFUNCTION("""COMPUTED_VALUE"""),"")</f>
        <v/>
      </c>
      <c r="W14940" s="16" t="str">
        <f>IFERROR(__xludf.DUMMYFUNCTION("""COMPUTED_VALUE"""),"")</f>
        <v/>
      </c>
      <c r="X14940" s="16" t="str">
        <f>IFERROR(__xludf.DUMMYFUNCTION("""COMPUTED_VALUE"""),"")</f>
        <v/>
      </c>
      <c r="AC14940" s="16" t="str">
        <f>IFERROR(__xludf.DUMMYFUNCTION("""COMPUTED_VALUE"""),"")</f>
        <v/>
      </c>
    </row>
    <row r="14941">
      <c r="A14941" s="16" t="s">
        <v>87</v>
      </c>
      <c r="E14941" s="16" t="str">
        <f>IFERROR(__xludf.DUMMYFUNCTION("""COMPUTED_VALUE"""),"")</f>
        <v/>
      </c>
      <c r="G14941" s="18"/>
      <c r="H14941" s="16" t="s">
        <v>87</v>
      </c>
      <c r="I14941" s="16" t="s">
        <v>87</v>
      </c>
      <c r="J14941" s="19"/>
      <c r="L14941" s="16" t="str">
        <f>IFERROR(__xludf.DUMMYFUNCTION("""COMPUTED_VALUE"""),"")</f>
        <v/>
      </c>
      <c r="M14941" s="16" t="str">
        <f>IFERROR(__xludf.DUMMYFUNCTION("""COMPUTED_VALUE"""),"")</f>
        <v/>
      </c>
      <c r="U14941" s="16" t="s">
        <v>87</v>
      </c>
      <c r="V14941" s="16" t="str">
        <f>IFERROR(__xludf.DUMMYFUNCTION("""COMPUTED_VALUE"""),"")</f>
        <v/>
      </c>
      <c r="W14941" s="16" t="str">
        <f>IFERROR(__xludf.DUMMYFUNCTION("""COMPUTED_VALUE"""),"")</f>
        <v/>
      </c>
      <c r="X14941" s="16" t="str">
        <f>IFERROR(__xludf.DUMMYFUNCTION("""COMPUTED_VALUE"""),"")</f>
        <v/>
      </c>
      <c r="AC14941" s="16" t="str">
        <f>IFERROR(__xludf.DUMMYFUNCTION("""COMPUTED_VALUE"""),"")</f>
        <v/>
      </c>
    </row>
    <row r="14942">
      <c r="A14942" s="16" t="s">
        <v>87</v>
      </c>
      <c r="E14942" s="16" t="str">
        <f>IFERROR(__xludf.DUMMYFUNCTION("""COMPUTED_VALUE"""),"")</f>
        <v/>
      </c>
      <c r="G14942" s="18"/>
      <c r="H14942" s="16" t="s">
        <v>87</v>
      </c>
      <c r="I14942" s="16" t="s">
        <v>87</v>
      </c>
      <c r="J14942" s="19"/>
      <c r="L14942" s="16" t="str">
        <f>IFERROR(__xludf.DUMMYFUNCTION("""COMPUTED_VALUE"""),"")</f>
        <v/>
      </c>
      <c r="M14942" s="16" t="str">
        <f>IFERROR(__xludf.DUMMYFUNCTION("""COMPUTED_VALUE"""),"")</f>
        <v/>
      </c>
      <c r="U14942" s="16" t="s">
        <v>87</v>
      </c>
      <c r="V14942" s="16" t="str">
        <f>IFERROR(__xludf.DUMMYFUNCTION("""COMPUTED_VALUE"""),"")</f>
        <v/>
      </c>
      <c r="W14942" s="16" t="str">
        <f>IFERROR(__xludf.DUMMYFUNCTION("""COMPUTED_VALUE"""),"")</f>
        <v/>
      </c>
      <c r="X14942" s="16" t="str">
        <f>IFERROR(__xludf.DUMMYFUNCTION("""COMPUTED_VALUE"""),"")</f>
        <v/>
      </c>
      <c r="AC14942" s="16" t="str">
        <f>IFERROR(__xludf.DUMMYFUNCTION("""COMPUTED_VALUE"""),"")</f>
        <v/>
      </c>
    </row>
    <row r="14943">
      <c r="A14943" s="16" t="s">
        <v>87</v>
      </c>
      <c r="E14943" s="16" t="str">
        <f>IFERROR(__xludf.DUMMYFUNCTION("""COMPUTED_VALUE"""),"")</f>
        <v/>
      </c>
      <c r="G14943" s="18"/>
      <c r="H14943" s="16" t="s">
        <v>87</v>
      </c>
      <c r="I14943" s="16" t="s">
        <v>87</v>
      </c>
      <c r="J14943" s="19"/>
      <c r="L14943" s="16" t="str">
        <f>IFERROR(__xludf.DUMMYFUNCTION("""COMPUTED_VALUE"""),"")</f>
        <v/>
      </c>
      <c r="M14943" s="16" t="str">
        <f>IFERROR(__xludf.DUMMYFUNCTION("""COMPUTED_VALUE"""),"")</f>
        <v/>
      </c>
      <c r="U14943" s="16" t="s">
        <v>87</v>
      </c>
      <c r="V14943" s="16" t="str">
        <f>IFERROR(__xludf.DUMMYFUNCTION("""COMPUTED_VALUE"""),"")</f>
        <v/>
      </c>
      <c r="W14943" s="16" t="str">
        <f>IFERROR(__xludf.DUMMYFUNCTION("""COMPUTED_VALUE"""),"")</f>
        <v/>
      </c>
      <c r="X14943" s="16" t="str">
        <f>IFERROR(__xludf.DUMMYFUNCTION("""COMPUTED_VALUE"""),"")</f>
        <v/>
      </c>
      <c r="AC14943" s="16" t="str">
        <f>IFERROR(__xludf.DUMMYFUNCTION("""COMPUTED_VALUE"""),"")</f>
        <v/>
      </c>
    </row>
    <row r="14944">
      <c r="A14944" s="16" t="s">
        <v>87</v>
      </c>
      <c r="E14944" s="16" t="str">
        <f>IFERROR(__xludf.DUMMYFUNCTION("""COMPUTED_VALUE"""),"")</f>
        <v/>
      </c>
      <c r="G14944" s="18"/>
      <c r="H14944" s="16" t="s">
        <v>87</v>
      </c>
      <c r="I14944" s="16" t="s">
        <v>87</v>
      </c>
      <c r="J14944" s="19"/>
      <c r="L14944" s="16" t="str">
        <f>IFERROR(__xludf.DUMMYFUNCTION("""COMPUTED_VALUE"""),"")</f>
        <v/>
      </c>
      <c r="M14944" s="16" t="str">
        <f>IFERROR(__xludf.DUMMYFUNCTION("""COMPUTED_VALUE"""),"")</f>
        <v/>
      </c>
      <c r="U14944" s="16" t="s">
        <v>87</v>
      </c>
      <c r="V14944" s="16" t="str">
        <f>IFERROR(__xludf.DUMMYFUNCTION("""COMPUTED_VALUE"""),"")</f>
        <v/>
      </c>
      <c r="W14944" s="16" t="str">
        <f>IFERROR(__xludf.DUMMYFUNCTION("""COMPUTED_VALUE"""),"")</f>
        <v/>
      </c>
      <c r="X14944" s="16" t="str">
        <f>IFERROR(__xludf.DUMMYFUNCTION("""COMPUTED_VALUE"""),"")</f>
        <v/>
      </c>
      <c r="AC14944" s="16" t="str">
        <f>IFERROR(__xludf.DUMMYFUNCTION("""COMPUTED_VALUE"""),"")</f>
        <v/>
      </c>
    </row>
    <row r="14945">
      <c r="A14945" s="16" t="s">
        <v>87</v>
      </c>
      <c r="E14945" s="16" t="str">
        <f>IFERROR(__xludf.DUMMYFUNCTION("""COMPUTED_VALUE"""),"")</f>
        <v/>
      </c>
      <c r="G14945" s="18"/>
      <c r="H14945" s="16" t="s">
        <v>87</v>
      </c>
      <c r="I14945" s="16" t="s">
        <v>87</v>
      </c>
      <c r="J14945" s="19"/>
      <c r="L14945" s="16" t="str">
        <f>IFERROR(__xludf.DUMMYFUNCTION("""COMPUTED_VALUE"""),"")</f>
        <v/>
      </c>
      <c r="M14945" s="16" t="str">
        <f>IFERROR(__xludf.DUMMYFUNCTION("""COMPUTED_VALUE"""),"")</f>
        <v/>
      </c>
      <c r="U14945" s="16" t="s">
        <v>87</v>
      </c>
      <c r="V14945" s="16" t="str">
        <f>IFERROR(__xludf.DUMMYFUNCTION("""COMPUTED_VALUE"""),"")</f>
        <v/>
      </c>
      <c r="W14945" s="16" t="str">
        <f>IFERROR(__xludf.DUMMYFUNCTION("""COMPUTED_VALUE"""),"")</f>
        <v/>
      </c>
      <c r="X14945" s="16" t="str">
        <f>IFERROR(__xludf.DUMMYFUNCTION("""COMPUTED_VALUE"""),"")</f>
        <v/>
      </c>
      <c r="AC14945" s="16" t="str">
        <f>IFERROR(__xludf.DUMMYFUNCTION("""COMPUTED_VALUE"""),"")</f>
        <v/>
      </c>
    </row>
    <row r="14946">
      <c r="A14946" s="16" t="s">
        <v>87</v>
      </c>
      <c r="E14946" s="16" t="str">
        <f>IFERROR(__xludf.DUMMYFUNCTION("""COMPUTED_VALUE"""),"")</f>
        <v/>
      </c>
      <c r="G14946" s="18"/>
      <c r="H14946" s="16" t="s">
        <v>87</v>
      </c>
      <c r="I14946" s="16" t="s">
        <v>87</v>
      </c>
      <c r="J14946" s="19"/>
      <c r="L14946" s="16" t="str">
        <f>IFERROR(__xludf.DUMMYFUNCTION("""COMPUTED_VALUE"""),"")</f>
        <v/>
      </c>
      <c r="M14946" s="16" t="str">
        <f>IFERROR(__xludf.DUMMYFUNCTION("""COMPUTED_VALUE"""),"")</f>
        <v/>
      </c>
      <c r="U14946" s="16" t="s">
        <v>87</v>
      </c>
      <c r="V14946" s="16" t="str">
        <f>IFERROR(__xludf.DUMMYFUNCTION("""COMPUTED_VALUE"""),"")</f>
        <v/>
      </c>
      <c r="W14946" s="16" t="str">
        <f>IFERROR(__xludf.DUMMYFUNCTION("""COMPUTED_VALUE"""),"")</f>
        <v/>
      </c>
      <c r="X14946" s="16" t="str">
        <f>IFERROR(__xludf.DUMMYFUNCTION("""COMPUTED_VALUE"""),"")</f>
        <v/>
      </c>
      <c r="AC14946" s="16" t="str">
        <f>IFERROR(__xludf.DUMMYFUNCTION("""COMPUTED_VALUE"""),"")</f>
        <v/>
      </c>
    </row>
    <row r="14947">
      <c r="A14947" s="16" t="s">
        <v>87</v>
      </c>
      <c r="E14947" s="16" t="str">
        <f>IFERROR(__xludf.DUMMYFUNCTION("""COMPUTED_VALUE"""),"")</f>
        <v/>
      </c>
      <c r="G14947" s="18"/>
      <c r="H14947" s="16" t="s">
        <v>87</v>
      </c>
      <c r="I14947" s="16" t="s">
        <v>87</v>
      </c>
      <c r="J14947" s="19"/>
      <c r="L14947" s="16" t="str">
        <f>IFERROR(__xludf.DUMMYFUNCTION("""COMPUTED_VALUE"""),"")</f>
        <v/>
      </c>
      <c r="M14947" s="16" t="str">
        <f>IFERROR(__xludf.DUMMYFUNCTION("""COMPUTED_VALUE"""),"")</f>
        <v/>
      </c>
      <c r="U14947" s="16" t="s">
        <v>87</v>
      </c>
      <c r="V14947" s="16" t="str">
        <f>IFERROR(__xludf.DUMMYFUNCTION("""COMPUTED_VALUE"""),"")</f>
        <v/>
      </c>
      <c r="W14947" s="16" t="str">
        <f>IFERROR(__xludf.DUMMYFUNCTION("""COMPUTED_VALUE"""),"")</f>
        <v/>
      </c>
      <c r="X14947" s="16" t="str">
        <f>IFERROR(__xludf.DUMMYFUNCTION("""COMPUTED_VALUE"""),"")</f>
        <v/>
      </c>
      <c r="AC14947" s="16" t="str">
        <f>IFERROR(__xludf.DUMMYFUNCTION("""COMPUTED_VALUE"""),"")</f>
        <v/>
      </c>
    </row>
    <row r="14948">
      <c r="A14948" s="16" t="s">
        <v>87</v>
      </c>
      <c r="E14948" s="16" t="str">
        <f>IFERROR(__xludf.DUMMYFUNCTION("""COMPUTED_VALUE"""),"")</f>
        <v/>
      </c>
      <c r="G14948" s="18"/>
      <c r="H14948" s="16" t="s">
        <v>87</v>
      </c>
      <c r="I14948" s="16" t="s">
        <v>87</v>
      </c>
      <c r="J14948" s="19"/>
      <c r="L14948" s="16" t="str">
        <f>IFERROR(__xludf.DUMMYFUNCTION("""COMPUTED_VALUE"""),"")</f>
        <v/>
      </c>
      <c r="M14948" s="16" t="str">
        <f>IFERROR(__xludf.DUMMYFUNCTION("""COMPUTED_VALUE"""),"")</f>
        <v/>
      </c>
      <c r="U14948" s="16" t="s">
        <v>87</v>
      </c>
      <c r="V14948" s="16" t="str">
        <f>IFERROR(__xludf.DUMMYFUNCTION("""COMPUTED_VALUE"""),"")</f>
        <v/>
      </c>
      <c r="W14948" s="16" t="str">
        <f>IFERROR(__xludf.DUMMYFUNCTION("""COMPUTED_VALUE"""),"")</f>
        <v/>
      </c>
      <c r="X14948" s="16" t="str">
        <f>IFERROR(__xludf.DUMMYFUNCTION("""COMPUTED_VALUE"""),"")</f>
        <v/>
      </c>
      <c r="AC14948" s="16" t="str">
        <f>IFERROR(__xludf.DUMMYFUNCTION("""COMPUTED_VALUE"""),"")</f>
        <v/>
      </c>
    </row>
    <row r="14949">
      <c r="A14949" s="16" t="s">
        <v>87</v>
      </c>
      <c r="E14949" s="16" t="str">
        <f>IFERROR(__xludf.DUMMYFUNCTION("""COMPUTED_VALUE"""),"")</f>
        <v/>
      </c>
      <c r="G14949" s="18"/>
      <c r="H14949" s="16" t="s">
        <v>87</v>
      </c>
      <c r="I14949" s="16" t="s">
        <v>87</v>
      </c>
      <c r="J14949" s="19"/>
      <c r="L14949" s="16" t="str">
        <f>IFERROR(__xludf.DUMMYFUNCTION("""COMPUTED_VALUE"""),"")</f>
        <v/>
      </c>
      <c r="M14949" s="16" t="str">
        <f>IFERROR(__xludf.DUMMYFUNCTION("""COMPUTED_VALUE"""),"")</f>
        <v/>
      </c>
      <c r="U14949" s="16" t="s">
        <v>87</v>
      </c>
      <c r="V14949" s="16" t="str">
        <f>IFERROR(__xludf.DUMMYFUNCTION("""COMPUTED_VALUE"""),"")</f>
        <v/>
      </c>
      <c r="W14949" s="16" t="str">
        <f>IFERROR(__xludf.DUMMYFUNCTION("""COMPUTED_VALUE"""),"")</f>
        <v/>
      </c>
      <c r="X14949" s="16" t="str">
        <f>IFERROR(__xludf.DUMMYFUNCTION("""COMPUTED_VALUE"""),"")</f>
        <v/>
      </c>
      <c r="AC14949" s="16" t="str">
        <f>IFERROR(__xludf.DUMMYFUNCTION("""COMPUTED_VALUE"""),"")</f>
        <v/>
      </c>
    </row>
    <row r="14950">
      <c r="A14950" s="16" t="s">
        <v>87</v>
      </c>
      <c r="E14950" s="16" t="str">
        <f>IFERROR(__xludf.DUMMYFUNCTION("""COMPUTED_VALUE"""),"")</f>
        <v/>
      </c>
      <c r="G14950" s="18"/>
      <c r="H14950" s="16" t="s">
        <v>87</v>
      </c>
      <c r="I14950" s="16" t="s">
        <v>87</v>
      </c>
      <c r="J14950" s="19"/>
      <c r="L14950" s="16" t="str">
        <f>IFERROR(__xludf.DUMMYFUNCTION("""COMPUTED_VALUE"""),"")</f>
        <v/>
      </c>
      <c r="M14950" s="16" t="str">
        <f>IFERROR(__xludf.DUMMYFUNCTION("""COMPUTED_VALUE"""),"")</f>
        <v/>
      </c>
      <c r="U14950" s="16" t="s">
        <v>87</v>
      </c>
      <c r="V14950" s="16" t="str">
        <f>IFERROR(__xludf.DUMMYFUNCTION("""COMPUTED_VALUE"""),"")</f>
        <v/>
      </c>
      <c r="W14950" s="16" t="str">
        <f>IFERROR(__xludf.DUMMYFUNCTION("""COMPUTED_VALUE"""),"")</f>
        <v/>
      </c>
      <c r="X14950" s="16" t="str">
        <f>IFERROR(__xludf.DUMMYFUNCTION("""COMPUTED_VALUE"""),"")</f>
        <v/>
      </c>
      <c r="AC14950" s="16" t="str">
        <f>IFERROR(__xludf.DUMMYFUNCTION("""COMPUTED_VALUE"""),"")</f>
        <v/>
      </c>
    </row>
    <row r="14951">
      <c r="A14951" s="16" t="s">
        <v>87</v>
      </c>
      <c r="E14951" s="16" t="str">
        <f>IFERROR(__xludf.DUMMYFUNCTION("""COMPUTED_VALUE"""),"")</f>
        <v/>
      </c>
      <c r="G14951" s="18"/>
      <c r="H14951" s="16" t="s">
        <v>87</v>
      </c>
      <c r="I14951" s="16" t="s">
        <v>87</v>
      </c>
      <c r="J14951" s="19"/>
      <c r="L14951" s="16" t="str">
        <f>IFERROR(__xludf.DUMMYFUNCTION("""COMPUTED_VALUE"""),"")</f>
        <v/>
      </c>
      <c r="M14951" s="16" t="str">
        <f>IFERROR(__xludf.DUMMYFUNCTION("""COMPUTED_VALUE"""),"")</f>
        <v/>
      </c>
      <c r="U14951" s="16" t="s">
        <v>87</v>
      </c>
      <c r="V14951" s="16" t="str">
        <f>IFERROR(__xludf.DUMMYFUNCTION("""COMPUTED_VALUE"""),"")</f>
        <v/>
      </c>
      <c r="W14951" s="16" t="str">
        <f>IFERROR(__xludf.DUMMYFUNCTION("""COMPUTED_VALUE"""),"")</f>
        <v/>
      </c>
      <c r="X14951" s="16" t="str">
        <f>IFERROR(__xludf.DUMMYFUNCTION("""COMPUTED_VALUE"""),"")</f>
        <v/>
      </c>
      <c r="AC14951" s="16" t="str">
        <f>IFERROR(__xludf.DUMMYFUNCTION("""COMPUTED_VALUE"""),"")</f>
        <v/>
      </c>
    </row>
    <row r="14952">
      <c r="A14952" s="16" t="s">
        <v>87</v>
      </c>
      <c r="E14952" s="16" t="str">
        <f>IFERROR(__xludf.DUMMYFUNCTION("""COMPUTED_VALUE"""),"")</f>
        <v/>
      </c>
      <c r="G14952" s="18"/>
      <c r="H14952" s="16" t="s">
        <v>87</v>
      </c>
      <c r="I14952" s="16" t="s">
        <v>87</v>
      </c>
      <c r="J14952" s="19"/>
      <c r="L14952" s="16" t="str">
        <f>IFERROR(__xludf.DUMMYFUNCTION("""COMPUTED_VALUE"""),"")</f>
        <v/>
      </c>
      <c r="M14952" s="16" t="str">
        <f>IFERROR(__xludf.DUMMYFUNCTION("""COMPUTED_VALUE"""),"")</f>
        <v/>
      </c>
      <c r="U14952" s="16" t="s">
        <v>87</v>
      </c>
      <c r="V14952" s="16" t="str">
        <f>IFERROR(__xludf.DUMMYFUNCTION("""COMPUTED_VALUE"""),"")</f>
        <v/>
      </c>
      <c r="W14952" s="16" t="str">
        <f>IFERROR(__xludf.DUMMYFUNCTION("""COMPUTED_VALUE"""),"")</f>
        <v/>
      </c>
      <c r="X14952" s="16" t="str">
        <f>IFERROR(__xludf.DUMMYFUNCTION("""COMPUTED_VALUE"""),"")</f>
        <v/>
      </c>
      <c r="AC14952" s="16" t="str">
        <f>IFERROR(__xludf.DUMMYFUNCTION("""COMPUTED_VALUE"""),"")</f>
        <v/>
      </c>
    </row>
    <row r="14953">
      <c r="A14953" s="16" t="s">
        <v>87</v>
      </c>
      <c r="E14953" s="16" t="str">
        <f>IFERROR(__xludf.DUMMYFUNCTION("""COMPUTED_VALUE"""),"")</f>
        <v/>
      </c>
      <c r="G14953" s="18"/>
      <c r="H14953" s="16" t="s">
        <v>87</v>
      </c>
      <c r="I14953" s="16" t="s">
        <v>87</v>
      </c>
      <c r="J14953" s="19"/>
      <c r="L14953" s="16" t="str">
        <f>IFERROR(__xludf.DUMMYFUNCTION("""COMPUTED_VALUE"""),"")</f>
        <v/>
      </c>
      <c r="M14953" s="16" t="str">
        <f>IFERROR(__xludf.DUMMYFUNCTION("""COMPUTED_VALUE"""),"")</f>
        <v/>
      </c>
      <c r="U14953" s="16" t="s">
        <v>87</v>
      </c>
      <c r="V14953" s="16" t="str">
        <f>IFERROR(__xludf.DUMMYFUNCTION("""COMPUTED_VALUE"""),"")</f>
        <v/>
      </c>
      <c r="W14953" s="16" t="str">
        <f>IFERROR(__xludf.DUMMYFUNCTION("""COMPUTED_VALUE"""),"")</f>
        <v/>
      </c>
      <c r="X14953" s="16" t="str">
        <f>IFERROR(__xludf.DUMMYFUNCTION("""COMPUTED_VALUE"""),"")</f>
        <v/>
      </c>
      <c r="AC14953" s="16" t="str">
        <f>IFERROR(__xludf.DUMMYFUNCTION("""COMPUTED_VALUE"""),"")</f>
        <v/>
      </c>
    </row>
    <row r="14954">
      <c r="A14954" s="16" t="s">
        <v>87</v>
      </c>
      <c r="E14954" s="16" t="str">
        <f>IFERROR(__xludf.DUMMYFUNCTION("""COMPUTED_VALUE"""),"")</f>
        <v/>
      </c>
      <c r="G14954" s="18"/>
      <c r="H14954" s="16" t="s">
        <v>87</v>
      </c>
      <c r="I14954" s="16" t="s">
        <v>87</v>
      </c>
      <c r="J14954" s="19"/>
      <c r="L14954" s="16" t="str">
        <f>IFERROR(__xludf.DUMMYFUNCTION("""COMPUTED_VALUE"""),"")</f>
        <v/>
      </c>
      <c r="M14954" s="16" t="str">
        <f>IFERROR(__xludf.DUMMYFUNCTION("""COMPUTED_VALUE"""),"")</f>
        <v/>
      </c>
      <c r="U14954" s="16" t="s">
        <v>87</v>
      </c>
      <c r="V14954" s="16" t="str">
        <f>IFERROR(__xludf.DUMMYFUNCTION("""COMPUTED_VALUE"""),"")</f>
        <v/>
      </c>
      <c r="W14954" s="16" t="str">
        <f>IFERROR(__xludf.DUMMYFUNCTION("""COMPUTED_VALUE"""),"")</f>
        <v/>
      </c>
      <c r="X14954" s="16" t="str">
        <f>IFERROR(__xludf.DUMMYFUNCTION("""COMPUTED_VALUE"""),"")</f>
        <v/>
      </c>
      <c r="AC14954" s="16" t="str">
        <f>IFERROR(__xludf.DUMMYFUNCTION("""COMPUTED_VALUE"""),"")</f>
        <v/>
      </c>
    </row>
    <row r="14955">
      <c r="A14955" s="16" t="s">
        <v>87</v>
      </c>
      <c r="E14955" s="16" t="str">
        <f>IFERROR(__xludf.DUMMYFUNCTION("""COMPUTED_VALUE"""),"")</f>
        <v/>
      </c>
      <c r="G14955" s="18"/>
      <c r="H14955" s="16" t="s">
        <v>87</v>
      </c>
      <c r="I14955" s="16" t="s">
        <v>87</v>
      </c>
      <c r="J14955" s="19"/>
      <c r="L14955" s="16" t="str">
        <f>IFERROR(__xludf.DUMMYFUNCTION("""COMPUTED_VALUE"""),"")</f>
        <v/>
      </c>
      <c r="M14955" s="16" t="str">
        <f>IFERROR(__xludf.DUMMYFUNCTION("""COMPUTED_VALUE"""),"")</f>
        <v/>
      </c>
      <c r="U14955" s="16" t="s">
        <v>87</v>
      </c>
      <c r="V14955" s="16" t="str">
        <f>IFERROR(__xludf.DUMMYFUNCTION("""COMPUTED_VALUE"""),"")</f>
        <v/>
      </c>
      <c r="W14955" s="16" t="str">
        <f>IFERROR(__xludf.DUMMYFUNCTION("""COMPUTED_VALUE"""),"")</f>
        <v/>
      </c>
      <c r="X14955" s="16" t="str">
        <f>IFERROR(__xludf.DUMMYFUNCTION("""COMPUTED_VALUE"""),"")</f>
        <v/>
      </c>
      <c r="AC14955" s="16" t="str">
        <f>IFERROR(__xludf.DUMMYFUNCTION("""COMPUTED_VALUE"""),"")</f>
        <v/>
      </c>
    </row>
    <row r="14956">
      <c r="A14956" s="16" t="s">
        <v>87</v>
      </c>
      <c r="E14956" s="16" t="str">
        <f>IFERROR(__xludf.DUMMYFUNCTION("""COMPUTED_VALUE"""),"")</f>
        <v/>
      </c>
      <c r="G14956" s="18"/>
      <c r="H14956" s="16" t="s">
        <v>87</v>
      </c>
      <c r="I14956" s="16" t="s">
        <v>87</v>
      </c>
      <c r="J14956" s="19"/>
      <c r="L14956" s="16" t="str">
        <f>IFERROR(__xludf.DUMMYFUNCTION("""COMPUTED_VALUE"""),"")</f>
        <v/>
      </c>
      <c r="M14956" s="16" t="str">
        <f>IFERROR(__xludf.DUMMYFUNCTION("""COMPUTED_VALUE"""),"")</f>
        <v/>
      </c>
      <c r="U14956" s="16" t="s">
        <v>87</v>
      </c>
      <c r="V14956" s="16" t="str">
        <f>IFERROR(__xludf.DUMMYFUNCTION("""COMPUTED_VALUE"""),"")</f>
        <v/>
      </c>
      <c r="W14956" s="16" t="str">
        <f>IFERROR(__xludf.DUMMYFUNCTION("""COMPUTED_VALUE"""),"")</f>
        <v/>
      </c>
      <c r="X14956" s="16" t="str">
        <f>IFERROR(__xludf.DUMMYFUNCTION("""COMPUTED_VALUE"""),"")</f>
        <v/>
      </c>
      <c r="AC14956" s="16" t="str">
        <f>IFERROR(__xludf.DUMMYFUNCTION("""COMPUTED_VALUE"""),"")</f>
        <v/>
      </c>
    </row>
    <row r="14957">
      <c r="A14957" s="16" t="s">
        <v>87</v>
      </c>
      <c r="E14957" s="16" t="str">
        <f>IFERROR(__xludf.DUMMYFUNCTION("""COMPUTED_VALUE"""),"")</f>
        <v/>
      </c>
      <c r="G14957" s="18"/>
      <c r="H14957" s="16" t="s">
        <v>87</v>
      </c>
      <c r="I14957" s="16" t="s">
        <v>87</v>
      </c>
      <c r="J14957" s="19"/>
      <c r="L14957" s="16" t="str">
        <f>IFERROR(__xludf.DUMMYFUNCTION("""COMPUTED_VALUE"""),"")</f>
        <v/>
      </c>
      <c r="M14957" s="16" t="str">
        <f>IFERROR(__xludf.DUMMYFUNCTION("""COMPUTED_VALUE"""),"")</f>
        <v/>
      </c>
      <c r="U14957" s="16" t="s">
        <v>87</v>
      </c>
      <c r="V14957" s="16" t="str">
        <f>IFERROR(__xludf.DUMMYFUNCTION("""COMPUTED_VALUE"""),"")</f>
        <v/>
      </c>
      <c r="W14957" s="16" t="str">
        <f>IFERROR(__xludf.DUMMYFUNCTION("""COMPUTED_VALUE"""),"")</f>
        <v/>
      </c>
      <c r="X14957" s="16" t="str">
        <f>IFERROR(__xludf.DUMMYFUNCTION("""COMPUTED_VALUE"""),"")</f>
        <v/>
      </c>
      <c r="AC14957" s="16" t="str">
        <f>IFERROR(__xludf.DUMMYFUNCTION("""COMPUTED_VALUE"""),"")</f>
        <v/>
      </c>
    </row>
    <row r="14958">
      <c r="A14958" s="16" t="s">
        <v>87</v>
      </c>
      <c r="E14958" s="16" t="str">
        <f>IFERROR(__xludf.DUMMYFUNCTION("""COMPUTED_VALUE"""),"")</f>
        <v/>
      </c>
      <c r="G14958" s="18"/>
      <c r="H14958" s="16" t="s">
        <v>87</v>
      </c>
      <c r="I14958" s="16" t="s">
        <v>87</v>
      </c>
      <c r="J14958" s="19"/>
      <c r="L14958" s="16" t="str">
        <f>IFERROR(__xludf.DUMMYFUNCTION("""COMPUTED_VALUE"""),"")</f>
        <v/>
      </c>
      <c r="M14958" s="16" t="str">
        <f>IFERROR(__xludf.DUMMYFUNCTION("""COMPUTED_VALUE"""),"")</f>
        <v/>
      </c>
      <c r="U14958" s="16" t="s">
        <v>87</v>
      </c>
      <c r="V14958" s="16" t="str">
        <f>IFERROR(__xludf.DUMMYFUNCTION("""COMPUTED_VALUE"""),"")</f>
        <v/>
      </c>
      <c r="W14958" s="16" t="str">
        <f>IFERROR(__xludf.DUMMYFUNCTION("""COMPUTED_VALUE"""),"")</f>
        <v/>
      </c>
      <c r="X14958" s="16" t="str">
        <f>IFERROR(__xludf.DUMMYFUNCTION("""COMPUTED_VALUE"""),"")</f>
        <v/>
      </c>
      <c r="AC14958" s="16" t="str">
        <f>IFERROR(__xludf.DUMMYFUNCTION("""COMPUTED_VALUE"""),"")</f>
        <v/>
      </c>
    </row>
    <row r="14959">
      <c r="A14959" s="16" t="s">
        <v>87</v>
      </c>
      <c r="E14959" s="16" t="str">
        <f>IFERROR(__xludf.DUMMYFUNCTION("""COMPUTED_VALUE"""),"")</f>
        <v/>
      </c>
      <c r="G14959" s="18"/>
      <c r="H14959" s="16" t="s">
        <v>87</v>
      </c>
      <c r="I14959" s="16" t="s">
        <v>87</v>
      </c>
      <c r="J14959" s="19"/>
      <c r="L14959" s="16" t="str">
        <f>IFERROR(__xludf.DUMMYFUNCTION("""COMPUTED_VALUE"""),"")</f>
        <v/>
      </c>
      <c r="M14959" s="16" t="str">
        <f>IFERROR(__xludf.DUMMYFUNCTION("""COMPUTED_VALUE"""),"")</f>
        <v/>
      </c>
      <c r="U14959" s="16" t="s">
        <v>87</v>
      </c>
      <c r="V14959" s="16" t="str">
        <f>IFERROR(__xludf.DUMMYFUNCTION("""COMPUTED_VALUE"""),"")</f>
        <v/>
      </c>
      <c r="W14959" s="16" t="str">
        <f>IFERROR(__xludf.DUMMYFUNCTION("""COMPUTED_VALUE"""),"")</f>
        <v/>
      </c>
      <c r="X14959" s="16" t="str">
        <f>IFERROR(__xludf.DUMMYFUNCTION("""COMPUTED_VALUE"""),"")</f>
        <v/>
      </c>
      <c r="AC14959" s="16" t="str">
        <f>IFERROR(__xludf.DUMMYFUNCTION("""COMPUTED_VALUE"""),"")</f>
        <v/>
      </c>
    </row>
    <row r="14960">
      <c r="A14960" s="16" t="s">
        <v>87</v>
      </c>
      <c r="E14960" s="16" t="str">
        <f>IFERROR(__xludf.DUMMYFUNCTION("""COMPUTED_VALUE"""),"")</f>
        <v/>
      </c>
      <c r="G14960" s="18"/>
      <c r="H14960" s="16" t="s">
        <v>87</v>
      </c>
      <c r="I14960" s="16" t="s">
        <v>87</v>
      </c>
      <c r="J14960" s="19"/>
      <c r="L14960" s="16" t="str">
        <f>IFERROR(__xludf.DUMMYFUNCTION("""COMPUTED_VALUE"""),"")</f>
        <v/>
      </c>
      <c r="M14960" s="16" t="str">
        <f>IFERROR(__xludf.DUMMYFUNCTION("""COMPUTED_VALUE"""),"")</f>
        <v/>
      </c>
      <c r="U14960" s="16" t="s">
        <v>87</v>
      </c>
      <c r="V14960" s="16" t="str">
        <f>IFERROR(__xludf.DUMMYFUNCTION("""COMPUTED_VALUE"""),"")</f>
        <v/>
      </c>
      <c r="W14960" s="16" t="str">
        <f>IFERROR(__xludf.DUMMYFUNCTION("""COMPUTED_VALUE"""),"")</f>
        <v/>
      </c>
      <c r="X14960" s="16" t="str">
        <f>IFERROR(__xludf.DUMMYFUNCTION("""COMPUTED_VALUE"""),"")</f>
        <v/>
      </c>
      <c r="AC14960" s="16" t="str">
        <f>IFERROR(__xludf.DUMMYFUNCTION("""COMPUTED_VALUE"""),"")</f>
        <v/>
      </c>
    </row>
    <row r="14961">
      <c r="A14961" s="16" t="s">
        <v>87</v>
      </c>
      <c r="E14961" s="16" t="str">
        <f>IFERROR(__xludf.DUMMYFUNCTION("""COMPUTED_VALUE"""),"")</f>
        <v/>
      </c>
      <c r="G14961" s="18"/>
      <c r="H14961" s="16" t="s">
        <v>87</v>
      </c>
      <c r="I14961" s="16" t="s">
        <v>87</v>
      </c>
      <c r="J14961" s="19"/>
      <c r="L14961" s="16" t="str">
        <f>IFERROR(__xludf.DUMMYFUNCTION("""COMPUTED_VALUE"""),"")</f>
        <v/>
      </c>
      <c r="M14961" s="16" t="str">
        <f>IFERROR(__xludf.DUMMYFUNCTION("""COMPUTED_VALUE"""),"")</f>
        <v/>
      </c>
      <c r="U14961" s="16" t="s">
        <v>87</v>
      </c>
      <c r="V14961" s="16" t="str">
        <f>IFERROR(__xludf.DUMMYFUNCTION("""COMPUTED_VALUE"""),"")</f>
        <v/>
      </c>
      <c r="W14961" s="16" t="str">
        <f>IFERROR(__xludf.DUMMYFUNCTION("""COMPUTED_VALUE"""),"")</f>
        <v/>
      </c>
      <c r="X14961" s="16" t="str">
        <f>IFERROR(__xludf.DUMMYFUNCTION("""COMPUTED_VALUE"""),"")</f>
        <v/>
      </c>
      <c r="AC14961" s="16" t="str">
        <f>IFERROR(__xludf.DUMMYFUNCTION("""COMPUTED_VALUE"""),"")</f>
        <v/>
      </c>
    </row>
    <row r="14962">
      <c r="A14962" s="16" t="s">
        <v>87</v>
      </c>
      <c r="E14962" s="16" t="str">
        <f>IFERROR(__xludf.DUMMYFUNCTION("""COMPUTED_VALUE"""),"")</f>
        <v/>
      </c>
      <c r="G14962" s="18"/>
      <c r="H14962" s="16" t="s">
        <v>87</v>
      </c>
      <c r="I14962" s="16" t="s">
        <v>87</v>
      </c>
      <c r="J14962" s="19"/>
      <c r="L14962" s="16" t="str">
        <f>IFERROR(__xludf.DUMMYFUNCTION("""COMPUTED_VALUE"""),"")</f>
        <v/>
      </c>
      <c r="M14962" s="16" t="str">
        <f>IFERROR(__xludf.DUMMYFUNCTION("""COMPUTED_VALUE"""),"")</f>
        <v/>
      </c>
      <c r="U14962" s="16" t="s">
        <v>87</v>
      </c>
      <c r="V14962" s="16" t="str">
        <f>IFERROR(__xludf.DUMMYFUNCTION("""COMPUTED_VALUE"""),"")</f>
        <v/>
      </c>
      <c r="W14962" s="16" t="str">
        <f>IFERROR(__xludf.DUMMYFUNCTION("""COMPUTED_VALUE"""),"")</f>
        <v/>
      </c>
      <c r="X14962" s="16" t="str">
        <f>IFERROR(__xludf.DUMMYFUNCTION("""COMPUTED_VALUE"""),"")</f>
        <v/>
      </c>
      <c r="AC14962" s="16" t="str">
        <f>IFERROR(__xludf.DUMMYFUNCTION("""COMPUTED_VALUE"""),"")</f>
        <v/>
      </c>
    </row>
    <row r="14963">
      <c r="A14963" s="16" t="s">
        <v>87</v>
      </c>
      <c r="E14963" s="16" t="str">
        <f>IFERROR(__xludf.DUMMYFUNCTION("""COMPUTED_VALUE"""),"")</f>
        <v/>
      </c>
      <c r="G14963" s="18"/>
      <c r="H14963" s="16" t="s">
        <v>87</v>
      </c>
      <c r="I14963" s="16" t="s">
        <v>87</v>
      </c>
      <c r="J14963" s="19"/>
      <c r="L14963" s="16" t="str">
        <f>IFERROR(__xludf.DUMMYFUNCTION("""COMPUTED_VALUE"""),"")</f>
        <v/>
      </c>
      <c r="M14963" s="16" t="str">
        <f>IFERROR(__xludf.DUMMYFUNCTION("""COMPUTED_VALUE"""),"")</f>
        <v/>
      </c>
      <c r="U14963" s="16" t="s">
        <v>87</v>
      </c>
      <c r="V14963" s="16" t="str">
        <f>IFERROR(__xludf.DUMMYFUNCTION("""COMPUTED_VALUE"""),"")</f>
        <v/>
      </c>
      <c r="W14963" s="16" t="str">
        <f>IFERROR(__xludf.DUMMYFUNCTION("""COMPUTED_VALUE"""),"")</f>
        <v/>
      </c>
      <c r="X14963" s="16" t="str">
        <f>IFERROR(__xludf.DUMMYFUNCTION("""COMPUTED_VALUE"""),"")</f>
        <v/>
      </c>
      <c r="AC14963" s="16" t="str">
        <f>IFERROR(__xludf.DUMMYFUNCTION("""COMPUTED_VALUE"""),"")</f>
        <v/>
      </c>
    </row>
    <row r="14964">
      <c r="A14964" s="16" t="s">
        <v>87</v>
      </c>
      <c r="E14964" s="16" t="str">
        <f>IFERROR(__xludf.DUMMYFUNCTION("""COMPUTED_VALUE"""),"")</f>
        <v/>
      </c>
      <c r="G14964" s="18"/>
      <c r="H14964" s="16" t="s">
        <v>87</v>
      </c>
      <c r="I14964" s="16" t="s">
        <v>87</v>
      </c>
      <c r="J14964" s="19"/>
      <c r="L14964" s="16" t="str">
        <f>IFERROR(__xludf.DUMMYFUNCTION("""COMPUTED_VALUE"""),"")</f>
        <v/>
      </c>
      <c r="M14964" s="16" t="str">
        <f>IFERROR(__xludf.DUMMYFUNCTION("""COMPUTED_VALUE"""),"")</f>
        <v/>
      </c>
      <c r="U14964" s="16" t="s">
        <v>87</v>
      </c>
      <c r="V14964" s="16" t="str">
        <f>IFERROR(__xludf.DUMMYFUNCTION("""COMPUTED_VALUE"""),"")</f>
        <v/>
      </c>
      <c r="W14964" s="16" t="str">
        <f>IFERROR(__xludf.DUMMYFUNCTION("""COMPUTED_VALUE"""),"")</f>
        <v/>
      </c>
      <c r="X14964" s="16" t="str">
        <f>IFERROR(__xludf.DUMMYFUNCTION("""COMPUTED_VALUE"""),"")</f>
        <v/>
      </c>
      <c r="AC14964" s="16" t="str">
        <f>IFERROR(__xludf.DUMMYFUNCTION("""COMPUTED_VALUE"""),"")</f>
        <v/>
      </c>
    </row>
    <row r="14965">
      <c r="A14965" s="16" t="s">
        <v>87</v>
      </c>
      <c r="E14965" s="16" t="str">
        <f>IFERROR(__xludf.DUMMYFUNCTION("""COMPUTED_VALUE"""),"")</f>
        <v/>
      </c>
      <c r="G14965" s="18"/>
      <c r="H14965" s="16" t="s">
        <v>87</v>
      </c>
      <c r="I14965" s="16" t="s">
        <v>87</v>
      </c>
      <c r="J14965" s="19"/>
      <c r="L14965" s="16" t="str">
        <f>IFERROR(__xludf.DUMMYFUNCTION("""COMPUTED_VALUE"""),"")</f>
        <v/>
      </c>
      <c r="M14965" s="16" t="str">
        <f>IFERROR(__xludf.DUMMYFUNCTION("""COMPUTED_VALUE"""),"")</f>
        <v/>
      </c>
      <c r="U14965" s="16" t="s">
        <v>87</v>
      </c>
      <c r="V14965" s="16" t="str">
        <f>IFERROR(__xludf.DUMMYFUNCTION("""COMPUTED_VALUE"""),"")</f>
        <v/>
      </c>
      <c r="W14965" s="16" t="str">
        <f>IFERROR(__xludf.DUMMYFUNCTION("""COMPUTED_VALUE"""),"")</f>
        <v/>
      </c>
      <c r="X14965" s="16" t="str">
        <f>IFERROR(__xludf.DUMMYFUNCTION("""COMPUTED_VALUE"""),"")</f>
        <v/>
      </c>
      <c r="AC14965" s="16" t="str">
        <f>IFERROR(__xludf.DUMMYFUNCTION("""COMPUTED_VALUE"""),"")</f>
        <v/>
      </c>
    </row>
    <row r="14966">
      <c r="A14966" s="16" t="s">
        <v>87</v>
      </c>
      <c r="E14966" s="16" t="str">
        <f>IFERROR(__xludf.DUMMYFUNCTION("""COMPUTED_VALUE"""),"")</f>
        <v/>
      </c>
      <c r="G14966" s="18"/>
      <c r="H14966" s="16" t="s">
        <v>87</v>
      </c>
      <c r="I14966" s="16" t="s">
        <v>87</v>
      </c>
      <c r="J14966" s="19"/>
      <c r="L14966" s="16" t="str">
        <f>IFERROR(__xludf.DUMMYFUNCTION("""COMPUTED_VALUE"""),"")</f>
        <v/>
      </c>
      <c r="M14966" s="16" t="str">
        <f>IFERROR(__xludf.DUMMYFUNCTION("""COMPUTED_VALUE"""),"")</f>
        <v/>
      </c>
      <c r="U14966" s="16" t="s">
        <v>87</v>
      </c>
      <c r="V14966" s="16" t="str">
        <f>IFERROR(__xludf.DUMMYFUNCTION("""COMPUTED_VALUE"""),"")</f>
        <v/>
      </c>
      <c r="W14966" s="16" t="str">
        <f>IFERROR(__xludf.DUMMYFUNCTION("""COMPUTED_VALUE"""),"")</f>
        <v/>
      </c>
      <c r="X14966" s="16" t="str">
        <f>IFERROR(__xludf.DUMMYFUNCTION("""COMPUTED_VALUE"""),"")</f>
        <v/>
      </c>
      <c r="AC14966" s="16" t="str">
        <f>IFERROR(__xludf.DUMMYFUNCTION("""COMPUTED_VALUE"""),"")</f>
        <v/>
      </c>
    </row>
    <row r="14967">
      <c r="A14967" s="16" t="s">
        <v>87</v>
      </c>
      <c r="E14967" s="16" t="str">
        <f>IFERROR(__xludf.DUMMYFUNCTION("""COMPUTED_VALUE"""),"")</f>
        <v/>
      </c>
      <c r="G14967" s="18"/>
      <c r="H14967" s="16" t="s">
        <v>87</v>
      </c>
      <c r="I14967" s="16" t="s">
        <v>87</v>
      </c>
      <c r="J14967" s="19"/>
      <c r="L14967" s="16" t="str">
        <f>IFERROR(__xludf.DUMMYFUNCTION("""COMPUTED_VALUE"""),"")</f>
        <v/>
      </c>
      <c r="M14967" s="16" t="str">
        <f>IFERROR(__xludf.DUMMYFUNCTION("""COMPUTED_VALUE"""),"")</f>
        <v/>
      </c>
      <c r="U14967" s="16" t="s">
        <v>87</v>
      </c>
      <c r="V14967" s="16" t="str">
        <f>IFERROR(__xludf.DUMMYFUNCTION("""COMPUTED_VALUE"""),"")</f>
        <v/>
      </c>
      <c r="W14967" s="16" t="str">
        <f>IFERROR(__xludf.DUMMYFUNCTION("""COMPUTED_VALUE"""),"")</f>
        <v/>
      </c>
      <c r="X14967" s="16" t="str">
        <f>IFERROR(__xludf.DUMMYFUNCTION("""COMPUTED_VALUE"""),"")</f>
        <v/>
      </c>
      <c r="AC14967" s="16" t="str">
        <f>IFERROR(__xludf.DUMMYFUNCTION("""COMPUTED_VALUE"""),"")</f>
        <v/>
      </c>
    </row>
    <row r="14968">
      <c r="A14968" s="16" t="s">
        <v>87</v>
      </c>
      <c r="E14968" s="16" t="str">
        <f>IFERROR(__xludf.DUMMYFUNCTION("""COMPUTED_VALUE"""),"")</f>
        <v/>
      </c>
      <c r="G14968" s="18"/>
      <c r="H14968" s="16" t="s">
        <v>87</v>
      </c>
      <c r="I14968" s="16" t="s">
        <v>87</v>
      </c>
      <c r="J14968" s="19"/>
      <c r="L14968" s="16" t="str">
        <f>IFERROR(__xludf.DUMMYFUNCTION("""COMPUTED_VALUE"""),"")</f>
        <v/>
      </c>
      <c r="M14968" s="16" t="str">
        <f>IFERROR(__xludf.DUMMYFUNCTION("""COMPUTED_VALUE"""),"")</f>
        <v/>
      </c>
      <c r="U14968" s="16" t="s">
        <v>87</v>
      </c>
      <c r="V14968" s="16" t="str">
        <f>IFERROR(__xludf.DUMMYFUNCTION("""COMPUTED_VALUE"""),"")</f>
        <v/>
      </c>
      <c r="W14968" s="16" t="str">
        <f>IFERROR(__xludf.DUMMYFUNCTION("""COMPUTED_VALUE"""),"")</f>
        <v/>
      </c>
      <c r="X14968" s="16" t="str">
        <f>IFERROR(__xludf.DUMMYFUNCTION("""COMPUTED_VALUE"""),"")</f>
        <v/>
      </c>
      <c r="AC14968" s="16" t="str">
        <f>IFERROR(__xludf.DUMMYFUNCTION("""COMPUTED_VALUE"""),"")</f>
        <v/>
      </c>
    </row>
    <row r="14969">
      <c r="A14969" s="16" t="s">
        <v>87</v>
      </c>
      <c r="E14969" s="16" t="str">
        <f>IFERROR(__xludf.DUMMYFUNCTION("""COMPUTED_VALUE"""),"")</f>
        <v/>
      </c>
      <c r="G14969" s="18"/>
      <c r="H14969" s="16" t="s">
        <v>87</v>
      </c>
      <c r="I14969" s="16" t="s">
        <v>87</v>
      </c>
      <c r="J14969" s="19"/>
      <c r="L14969" s="16" t="str">
        <f>IFERROR(__xludf.DUMMYFUNCTION("""COMPUTED_VALUE"""),"")</f>
        <v/>
      </c>
      <c r="M14969" s="16" t="str">
        <f>IFERROR(__xludf.DUMMYFUNCTION("""COMPUTED_VALUE"""),"")</f>
        <v/>
      </c>
      <c r="U14969" s="16" t="s">
        <v>87</v>
      </c>
      <c r="V14969" s="16" t="str">
        <f>IFERROR(__xludf.DUMMYFUNCTION("""COMPUTED_VALUE"""),"")</f>
        <v/>
      </c>
      <c r="W14969" s="16" t="str">
        <f>IFERROR(__xludf.DUMMYFUNCTION("""COMPUTED_VALUE"""),"")</f>
        <v/>
      </c>
      <c r="X14969" s="16" t="str">
        <f>IFERROR(__xludf.DUMMYFUNCTION("""COMPUTED_VALUE"""),"")</f>
        <v/>
      </c>
      <c r="AC14969" s="16" t="str">
        <f>IFERROR(__xludf.DUMMYFUNCTION("""COMPUTED_VALUE"""),"")</f>
        <v/>
      </c>
    </row>
    <row r="14970">
      <c r="A14970" s="16" t="s">
        <v>87</v>
      </c>
      <c r="E14970" s="16" t="str">
        <f>IFERROR(__xludf.DUMMYFUNCTION("""COMPUTED_VALUE"""),"")</f>
        <v/>
      </c>
      <c r="G14970" s="18"/>
      <c r="H14970" s="16" t="s">
        <v>87</v>
      </c>
      <c r="I14970" s="16" t="s">
        <v>87</v>
      </c>
      <c r="J14970" s="19"/>
      <c r="L14970" s="16" t="str">
        <f>IFERROR(__xludf.DUMMYFUNCTION("""COMPUTED_VALUE"""),"")</f>
        <v/>
      </c>
      <c r="M14970" s="16" t="str">
        <f>IFERROR(__xludf.DUMMYFUNCTION("""COMPUTED_VALUE"""),"")</f>
        <v/>
      </c>
      <c r="U14970" s="16" t="s">
        <v>87</v>
      </c>
      <c r="V14970" s="16" t="str">
        <f>IFERROR(__xludf.DUMMYFUNCTION("""COMPUTED_VALUE"""),"")</f>
        <v/>
      </c>
      <c r="W14970" s="16" t="str">
        <f>IFERROR(__xludf.DUMMYFUNCTION("""COMPUTED_VALUE"""),"")</f>
        <v/>
      </c>
      <c r="X14970" s="16" t="str">
        <f>IFERROR(__xludf.DUMMYFUNCTION("""COMPUTED_VALUE"""),"")</f>
        <v/>
      </c>
      <c r="AC14970" s="16" t="str">
        <f>IFERROR(__xludf.DUMMYFUNCTION("""COMPUTED_VALUE"""),"")</f>
        <v/>
      </c>
    </row>
    <row r="14971">
      <c r="A14971" s="16" t="s">
        <v>87</v>
      </c>
      <c r="E14971" s="16" t="str">
        <f>IFERROR(__xludf.DUMMYFUNCTION("""COMPUTED_VALUE"""),"")</f>
        <v/>
      </c>
      <c r="G14971" s="18"/>
      <c r="H14971" s="16" t="s">
        <v>87</v>
      </c>
      <c r="I14971" s="16" t="s">
        <v>87</v>
      </c>
      <c r="J14971" s="19"/>
      <c r="L14971" s="16" t="str">
        <f>IFERROR(__xludf.DUMMYFUNCTION("""COMPUTED_VALUE"""),"")</f>
        <v/>
      </c>
      <c r="M14971" s="16" t="str">
        <f>IFERROR(__xludf.DUMMYFUNCTION("""COMPUTED_VALUE"""),"")</f>
        <v/>
      </c>
      <c r="U14971" s="16" t="s">
        <v>87</v>
      </c>
      <c r="V14971" s="16" t="str">
        <f>IFERROR(__xludf.DUMMYFUNCTION("""COMPUTED_VALUE"""),"")</f>
        <v/>
      </c>
      <c r="W14971" s="16" t="str">
        <f>IFERROR(__xludf.DUMMYFUNCTION("""COMPUTED_VALUE"""),"")</f>
        <v/>
      </c>
      <c r="X14971" s="16" t="str">
        <f>IFERROR(__xludf.DUMMYFUNCTION("""COMPUTED_VALUE"""),"")</f>
        <v/>
      </c>
      <c r="AC14971" s="16" t="str">
        <f>IFERROR(__xludf.DUMMYFUNCTION("""COMPUTED_VALUE"""),"")</f>
        <v/>
      </c>
    </row>
    <row r="14972">
      <c r="A14972" s="16" t="s">
        <v>87</v>
      </c>
      <c r="E14972" s="16" t="str">
        <f>IFERROR(__xludf.DUMMYFUNCTION("""COMPUTED_VALUE"""),"")</f>
        <v/>
      </c>
      <c r="G14972" s="18"/>
      <c r="H14972" s="16" t="s">
        <v>87</v>
      </c>
      <c r="I14972" s="16" t="s">
        <v>87</v>
      </c>
      <c r="J14972" s="19"/>
      <c r="L14972" s="16" t="str">
        <f>IFERROR(__xludf.DUMMYFUNCTION("""COMPUTED_VALUE"""),"")</f>
        <v/>
      </c>
      <c r="M14972" s="16" t="str">
        <f>IFERROR(__xludf.DUMMYFUNCTION("""COMPUTED_VALUE"""),"")</f>
        <v/>
      </c>
      <c r="U14972" s="16" t="s">
        <v>87</v>
      </c>
      <c r="V14972" s="16" t="str">
        <f>IFERROR(__xludf.DUMMYFUNCTION("""COMPUTED_VALUE"""),"")</f>
        <v/>
      </c>
      <c r="W14972" s="16" t="str">
        <f>IFERROR(__xludf.DUMMYFUNCTION("""COMPUTED_VALUE"""),"")</f>
        <v/>
      </c>
      <c r="X14972" s="16" t="str">
        <f>IFERROR(__xludf.DUMMYFUNCTION("""COMPUTED_VALUE"""),"")</f>
        <v/>
      </c>
      <c r="AC14972" s="16" t="str">
        <f>IFERROR(__xludf.DUMMYFUNCTION("""COMPUTED_VALUE"""),"")</f>
        <v/>
      </c>
    </row>
    <row r="14973">
      <c r="A14973" s="16" t="s">
        <v>87</v>
      </c>
      <c r="E14973" s="16" t="str">
        <f>IFERROR(__xludf.DUMMYFUNCTION("""COMPUTED_VALUE"""),"")</f>
        <v/>
      </c>
      <c r="G14973" s="18"/>
      <c r="H14973" s="16" t="s">
        <v>87</v>
      </c>
      <c r="I14973" s="16" t="s">
        <v>87</v>
      </c>
      <c r="J14973" s="19"/>
      <c r="L14973" s="16" t="str">
        <f>IFERROR(__xludf.DUMMYFUNCTION("""COMPUTED_VALUE"""),"")</f>
        <v/>
      </c>
      <c r="M14973" s="16" t="str">
        <f>IFERROR(__xludf.DUMMYFUNCTION("""COMPUTED_VALUE"""),"")</f>
        <v/>
      </c>
      <c r="U14973" s="16" t="s">
        <v>87</v>
      </c>
      <c r="V14973" s="16" t="str">
        <f>IFERROR(__xludf.DUMMYFUNCTION("""COMPUTED_VALUE"""),"")</f>
        <v/>
      </c>
      <c r="W14973" s="16" t="str">
        <f>IFERROR(__xludf.DUMMYFUNCTION("""COMPUTED_VALUE"""),"")</f>
        <v/>
      </c>
      <c r="X14973" s="16" t="str">
        <f>IFERROR(__xludf.DUMMYFUNCTION("""COMPUTED_VALUE"""),"")</f>
        <v/>
      </c>
      <c r="AC14973" s="16" t="str">
        <f>IFERROR(__xludf.DUMMYFUNCTION("""COMPUTED_VALUE"""),"")</f>
        <v/>
      </c>
    </row>
    <row r="14974">
      <c r="A14974" s="16" t="s">
        <v>87</v>
      </c>
      <c r="E14974" s="16" t="str">
        <f>IFERROR(__xludf.DUMMYFUNCTION("""COMPUTED_VALUE"""),"")</f>
        <v/>
      </c>
      <c r="G14974" s="18"/>
      <c r="H14974" s="16" t="s">
        <v>87</v>
      </c>
      <c r="I14974" s="16" t="s">
        <v>87</v>
      </c>
      <c r="J14974" s="19"/>
      <c r="L14974" s="16" t="str">
        <f>IFERROR(__xludf.DUMMYFUNCTION("""COMPUTED_VALUE"""),"")</f>
        <v/>
      </c>
      <c r="M14974" s="16" t="str">
        <f>IFERROR(__xludf.DUMMYFUNCTION("""COMPUTED_VALUE"""),"")</f>
        <v/>
      </c>
      <c r="U14974" s="16" t="s">
        <v>87</v>
      </c>
      <c r="V14974" s="16" t="str">
        <f>IFERROR(__xludf.DUMMYFUNCTION("""COMPUTED_VALUE"""),"")</f>
        <v/>
      </c>
      <c r="W14974" s="16" t="str">
        <f>IFERROR(__xludf.DUMMYFUNCTION("""COMPUTED_VALUE"""),"")</f>
        <v/>
      </c>
      <c r="X14974" s="16" t="str">
        <f>IFERROR(__xludf.DUMMYFUNCTION("""COMPUTED_VALUE"""),"")</f>
        <v/>
      </c>
      <c r="AC14974" s="16" t="str">
        <f>IFERROR(__xludf.DUMMYFUNCTION("""COMPUTED_VALUE"""),"")</f>
        <v/>
      </c>
    </row>
    <row r="14975">
      <c r="A14975" s="16" t="s">
        <v>87</v>
      </c>
      <c r="E14975" s="16" t="str">
        <f>IFERROR(__xludf.DUMMYFUNCTION("""COMPUTED_VALUE"""),"")</f>
        <v/>
      </c>
      <c r="G14975" s="18"/>
      <c r="H14975" s="16" t="s">
        <v>87</v>
      </c>
      <c r="I14975" s="16" t="s">
        <v>87</v>
      </c>
      <c r="J14975" s="19"/>
      <c r="L14975" s="16" t="str">
        <f>IFERROR(__xludf.DUMMYFUNCTION("""COMPUTED_VALUE"""),"")</f>
        <v/>
      </c>
      <c r="M14975" s="16" t="str">
        <f>IFERROR(__xludf.DUMMYFUNCTION("""COMPUTED_VALUE"""),"")</f>
        <v/>
      </c>
      <c r="U14975" s="16" t="s">
        <v>87</v>
      </c>
      <c r="V14975" s="16" t="str">
        <f>IFERROR(__xludf.DUMMYFUNCTION("""COMPUTED_VALUE"""),"")</f>
        <v/>
      </c>
      <c r="W14975" s="16" t="str">
        <f>IFERROR(__xludf.DUMMYFUNCTION("""COMPUTED_VALUE"""),"")</f>
        <v/>
      </c>
      <c r="X14975" s="16" t="str">
        <f>IFERROR(__xludf.DUMMYFUNCTION("""COMPUTED_VALUE"""),"")</f>
        <v/>
      </c>
      <c r="AC14975" s="16" t="str">
        <f>IFERROR(__xludf.DUMMYFUNCTION("""COMPUTED_VALUE"""),"")</f>
        <v/>
      </c>
    </row>
    <row r="14976">
      <c r="A14976" s="16" t="s">
        <v>87</v>
      </c>
      <c r="E14976" s="16" t="str">
        <f>IFERROR(__xludf.DUMMYFUNCTION("""COMPUTED_VALUE"""),"")</f>
        <v/>
      </c>
      <c r="G14976" s="18"/>
      <c r="H14976" s="16" t="s">
        <v>87</v>
      </c>
      <c r="I14976" s="16" t="s">
        <v>87</v>
      </c>
      <c r="J14976" s="19"/>
      <c r="L14976" s="16" t="str">
        <f>IFERROR(__xludf.DUMMYFUNCTION("""COMPUTED_VALUE"""),"")</f>
        <v/>
      </c>
      <c r="M14976" s="16" t="str">
        <f>IFERROR(__xludf.DUMMYFUNCTION("""COMPUTED_VALUE"""),"")</f>
        <v/>
      </c>
      <c r="U14976" s="16" t="s">
        <v>87</v>
      </c>
      <c r="V14976" s="16" t="str">
        <f>IFERROR(__xludf.DUMMYFUNCTION("""COMPUTED_VALUE"""),"")</f>
        <v/>
      </c>
      <c r="W14976" s="16" t="str">
        <f>IFERROR(__xludf.DUMMYFUNCTION("""COMPUTED_VALUE"""),"")</f>
        <v/>
      </c>
      <c r="X14976" s="16" t="str">
        <f>IFERROR(__xludf.DUMMYFUNCTION("""COMPUTED_VALUE"""),"")</f>
        <v/>
      </c>
      <c r="AC14976" s="16" t="str">
        <f>IFERROR(__xludf.DUMMYFUNCTION("""COMPUTED_VALUE"""),"")</f>
        <v/>
      </c>
    </row>
    <row r="14977">
      <c r="A14977" s="16" t="s">
        <v>87</v>
      </c>
      <c r="E14977" s="16" t="str">
        <f>IFERROR(__xludf.DUMMYFUNCTION("""COMPUTED_VALUE"""),"")</f>
        <v/>
      </c>
      <c r="G14977" s="18"/>
      <c r="H14977" s="16" t="s">
        <v>87</v>
      </c>
      <c r="I14977" s="16" t="s">
        <v>87</v>
      </c>
      <c r="J14977" s="19"/>
      <c r="L14977" s="16" t="str">
        <f>IFERROR(__xludf.DUMMYFUNCTION("""COMPUTED_VALUE"""),"")</f>
        <v/>
      </c>
      <c r="M14977" s="16" t="str">
        <f>IFERROR(__xludf.DUMMYFUNCTION("""COMPUTED_VALUE"""),"")</f>
        <v/>
      </c>
      <c r="U14977" s="16" t="s">
        <v>87</v>
      </c>
      <c r="V14977" s="16" t="str">
        <f>IFERROR(__xludf.DUMMYFUNCTION("""COMPUTED_VALUE"""),"")</f>
        <v/>
      </c>
      <c r="W14977" s="16" t="str">
        <f>IFERROR(__xludf.DUMMYFUNCTION("""COMPUTED_VALUE"""),"")</f>
        <v/>
      </c>
      <c r="X14977" s="16" t="str">
        <f>IFERROR(__xludf.DUMMYFUNCTION("""COMPUTED_VALUE"""),"")</f>
        <v/>
      </c>
      <c r="AC14977" s="16" t="str">
        <f>IFERROR(__xludf.DUMMYFUNCTION("""COMPUTED_VALUE"""),"")</f>
        <v/>
      </c>
    </row>
    <row r="14978">
      <c r="A14978" s="16" t="s">
        <v>87</v>
      </c>
      <c r="E14978" s="16" t="str">
        <f>IFERROR(__xludf.DUMMYFUNCTION("""COMPUTED_VALUE"""),"")</f>
        <v/>
      </c>
      <c r="G14978" s="18"/>
      <c r="H14978" s="16" t="s">
        <v>87</v>
      </c>
      <c r="I14978" s="16" t="s">
        <v>87</v>
      </c>
      <c r="J14978" s="19"/>
      <c r="L14978" s="16" t="str">
        <f>IFERROR(__xludf.DUMMYFUNCTION("""COMPUTED_VALUE"""),"")</f>
        <v/>
      </c>
      <c r="M14978" s="16" t="str">
        <f>IFERROR(__xludf.DUMMYFUNCTION("""COMPUTED_VALUE"""),"")</f>
        <v/>
      </c>
      <c r="U14978" s="16" t="s">
        <v>87</v>
      </c>
      <c r="V14978" s="16" t="str">
        <f>IFERROR(__xludf.DUMMYFUNCTION("""COMPUTED_VALUE"""),"")</f>
        <v/>
      </c>
      <c r="W14978" s="16" t="str">
        <f>IFERROR(__xludf.DUMMYFUNCTION("""COMPUTED_VALUE"""),"")</f>
        <v/>
      </c>
      <c r="X14978" s="16" t="str">
        <f>IFERROR(__xludf.DUMMYFUNCTION("""COMPUTED_VALUE"""),"")</f>
        <v/>
      </c>
      <c r="AC14978" s="16" t="str">
        <f>IFERROR(__xludf.DUMMYFUNCTION("""COMPUTED_VALUE"""),"")</f>
        <v/>
      </c>
    </row>
    <row r="14979">
      <c r="A14979" s="16" t="s">
        <v>87</v>
      </c>
      <c r="E14979" s="16" t="str">
        <f>IFERROR(__xludf.DUMMYFUNCTION("""COMPUTED_VALUE"""),"")</f>
        <v/>
      </c>
      <c r="G14979" s="18"/>
      <c r="H14979" s="16" t="s">
        <v>87</v>
      </c>
      <c r="I14979" s="16" t="s">
        <v>87</v>
      </c>
      <c r="J14979" s="19"/>
      <c r="L14979" s="16" t="str">
        <f>IFERROR(__xludf.DUMMYFUNCTION("""COMPUTED_VALUE"""),"")</f>
        <v/>
      </c>
      <c r="M14979" s="16" t="str">
        <f>IFERROR(__xludf.DUMMYFUNCTION("""COMPUTED_VALUE"""),"")</f>
        <v/>
      </c>
      <c r="U14979" s="16" t="s">
        <v>87</v>
      </c>
      <c r="V14979" s="16" t="str">
        <f>IFERROR(__xludf.DUMMYFUNCTION("""COMPUTED_VALUE"""),"")</f>
        <v/>
      </c>
      <c r="W14979" s="16" t="str">
        <f>IFERROR(__xludf.DUMMYFUNCTION("""COMPUTED_VALUE"""),"")</f>
        <v/>
      </c>
      <c r="X14979" s="16" t="str">
        <f>IFERROR(__xludf.DUMMYFUNCTION("""COMPUTED_VALUE"""),"")</f>
        <v/>
      </c>
      <c r="AC14979" s="16" t="str">
        <f>IFERROR(__xludf.DUMMYFUNCTION("""COMPUTED_VALUE"""),"")</f>
        <v/>
      </c>
    </row>
    <row r="14980">
      <c r="A14980" s="16" t="s">
        <v>87</v>
      </c>
      <c r="E14980" s="16" t="str">
        <f>IFERROR(__xludf.DUMMYFUNCTION("""COMPUTED_VALUE"""),"")</f>
        <v/>
      </c>
      <c r="G14980" s="18"/>
      <c r="H14980" s="16" t="s">
        <v>87</v>
      </c>
      <c r="I14980" s="16" t="s">
        <v>87</v>
      </c>
      <c r="J14980" s="19"/>
      <c r="L14980" s="16" t="str">
        <f>IFERROR(__xludf.DUMMYFUNCTION("""COMPUTED_VALUE"""),"")</f>
        <v/>
      </c>
      <c r="M14980" s="16" t="str">
        <f>IFERROR(__xludf.DUMMYFUNCTION("""COMPUTED_VALUE"""),"")</f>
        <v/>
      </c>
      <c r="U14980" s="16" t="s">
        <v>87</v>
      </c>
      <c r="V14980" s="16" t="str">
        <f>IFERROR(__xludf.DUMMYFUNCTION("""COMPUTED_VALUE"""),"")</f>
        <v/>
      </c>
      <c r="W14980" s="16" t="str">
        <f>IFERROR(__xludf.DUMMYFUNCTION("""COMPUTED_VALUE"""),"")</f>
        <v/>
      </c>
      <c r="X14980" s="16" t="str">
        <f>IFERROR(__xludf.DUMMYFUNCTION("""COMPUTED_VALUE"""),"")</f>
        <v/>
      </c>
      <c r="AC14980" s="16" t="str">
        <f>IFERROR(__xludf.DUMMYFUNCTION("""COMPUTED_VALUE"""),"")</f>
        <v/>
      </c>
    </row>
    <row r="14981">
      <c r="A14981" s="16" t="s">
        <v>87</v>
      </c>
      <c r="E14981" s="16" t="str">
        <f>IFERROR(__xludf.DUMMYFUNCTION("""COMPUTED_VALUE"""),"")</f>
        <v/>
      </c>
      <c r="G14981" s="18"/>
      <c r="H14981" s="16" t="s">
        <v>87</v>
      </c>
      <c r="I14981" s="16" t="s">
        <v>87</v>
      </c>
      <c r="J14981" s="19"/>
      <c r="L14981" s="16" t="str">
        <f>IFERROR(__xludf.DUMMYFUNCTION("""COMPUTED_VALUE"""),"")</f>
        <v/>
      </c>
      <c r="M14981" s="16" t="str">
        <f>IFERROR(__xludf.DUMMYFUNCTION("""COMPUTED_VALUE"""),"")</f>
        <v/>
      </c>
      <c r="U14981" s="16" t="s">
        <v>87</v>
      </c>
      <c r="V14981" s="16" t="str">
        <f>IFERROR(__xludf.DUMMYFUNCTION("""COMPUTED_VALUE"""),"")</f>
        <v/>
      </c>
      <c r="W14981" s="16" t="str">
        <f>IFERROR(__xludf.DUMMYFUNCTION("""COMPUTED_VALUE"""),"")</f>
        <v/>
      </c>
      <c r="X14981" s="16" t="str">
        <f>IFERROR(__xludf.DUMMYFUNCTION("""COMPUTED_VALUE"""),"")</f>
        <v/>
      </c>
      <c r="AC14981" s="16" t="str">
        <f>IFERROR(__xludf.DUMMYFUNCTION("""COMPUTED_VALUE"""),"")</f>
        <v/>
      </c>
    </row>
    <row r="14982">
      <c r="A14982" s="16" t="s">
        <v>87</v>
      </c>
      <c r="E14982" s="16" t="str">
        <f>IFERROR(__xludf.DUMMYFUNCTION("""COMPUTED_VALUE"""),"")</f>
        <v/>
      </c>
      <c r="G14982" s="18"/>
      <c r="H14982" s="16" t="s">
        <v>87</v>
      </c>
      <c r="I14982" s="16" t="s">
        <v>87</v>
      </c>
      <c r="J14982" s="19"/>
      <c r="L14982" s="16" t="str">
        <f>IFERROR(__xludf.DUMMYFUNCTION("""COMPUTED_VALUE"""),"")</f>
        <v/>
      </c>
      <c r="M14982" s="16" t="str">
        <f>IFERROR(__xludf.DUMMYFUNCTION("""COMPUTED_VALUE"""),"")</f>
        <v/>
      </c>
      <c r="U14982" s="16" t="s">
        <v>87</v>
      </c>
      <c r="V14982" s="16" t="str">
        <f>IFERROR(__xludf.DUMMYFUNCTION("""COMPUTED_VALUE"""),"")</f>
        <v/>
      </c>
      <c r="W14982" s="16" t="str">
        <f>IFERROR(__xludf.DUMMYFUNCTION("""COMPUTED_VALUE"""),"")</f>
        <v/>
      </c>
      <c r="X14982" s="16" t="str">
        <f>IFERROR(__xludf.DUMMYFUNCTION("""COMPUTED_VALUE"""),"")</f>
        <v/>
      </c>
      <c r="AC14982" s="16" t="str">
        <f>IFERROR(__xludf.DUMMYFUNCTION("""COMPUTED_VALUE"""),"")</f>
        <v/>
      </c>
    </row>
    <row r="14983">
      <c r="A14983" s="16" t="s">
        <v>87</v>
      </c>
      <c r="E14983" s="16" t="str">
        <f>IFERROR(__xludf.DUMMYFUNCTION("""COMPUTED_VALUE"""),"")</f>
        <v/>
      </c>
      <c r="G14983" s="18"/>
      <c r="H14983" s="16" t="s">
        <v>87</v>
      </c>
      <c r="I14983" s="16" t="s">
        <v>87</v>
      </c>
      <c r="J14983" s="19"/>
      <c r="L14983" s="16" t="str">
        <f>IFERROR(__xludf.DUMMYFUNCTION("""COMPUTED_VALUE"""),"")</f>
        <v/>
      </c>
      <c r="M14983" s="16" t="str">
        <f>IFERROR(__xludf.DUMMYFUNCTION("""COMPUTED_VALUE"""),"")</f>
        <v/>
      </c>
      <c r="U14983" s="16" t="s">
        <v>87</v>
      </c>
      <c r="V14983" s="16" t="str">
        <f>IFERROR(__xludf.DUMMYFUNCTION("""COMPUTED_VALUE"""),"")</f>
        <v/>
      </c>
      <c r="W14983" s="16" t="str">
        <f>IFERROR(__xludf.DUMMYFUNCTION("""COMPUTED_VALUE"""),"")</f>
        <v/>
      </c>
      <c r="X14983" s="16" t="str">
        <f>IFERROR(__xludf.DUMMYFUNCTION("""COMPUTED_VALUE"""),"")</f>
        <v/>
      </c>
      <c r="AC14983" s="16" t="str">
        <f>IFERROR(__xludf.DUMMYFUNCTION("""COMPUTED_VALUE"""),"")</f>
        <v/>
      </c>
    </row>
    <row r="14984">
      <c r="A14984" s="16" t="s">
        <v>87</v>
      </c>
      <c r="E14984" s="16" t="str">
        <f>IFERROR(__xludf.DUMMYFUNCTION("""COMPUTED_VALUE"""),"")</f>
        <v/>
      </c>
      <c r="G14984" s="18"/>
      <c r="H14984" s="16" t="s">
        <v>87</v>
      </c>
      <c r="I14984" s="16" t="s">
        <v>87</v>
      </c>
      <c r="J14984" s="19"/>
      <c r="L14984" s="16" t="str">
        <f>IFERROR(__xludf.DUMMYFUNCTION("""COMPUTED_VALUE"""),"")</f>
        <v/>
      </c>
      <c r="M14984" s="16" t="str">
        <f>IFERROR(__xludf.DUMMYFUNCTION("""COMPUTED_VALUE"""),"")</f>
        <v/>
      </c>
      <c r="U14984" s="16" t="s">
        <v>87</v>
      </c>
      <c r="V14984" s="16" t="str">
        <f>IFERROR(__xludf.DUMMYFUNCTION("""COMPUTED_VALUE"""),"")</f>
        <v/>
      </c>
      <c r="W14984" s="16" t="str">
        <f>IFERROR(__xludf.DUMMYFUNCTION("""COMPUTED_VALUE"""),"")</f>
        <v/>
      </c>
      <c r="X14984" s="16" t="str">
        <f>IFERROR(__xludf.DUMMYFUNCTION("""COMPUTED_VALUE"""),"")</f>
        <v/>
      </c>
      <c r="AC14984" s="16" t="str">
        <f>IFERROR(__xludf.DUMMYFUNCTION("""COMPUTED_VALUE"""),"")</f>
        <v/>
      </c>
    </row>
    <row r="14985">
      <c r="A14985" s="16" t="s">
        <v>87</v>
      </c>
      <c r="E14985" s="16" t="str">
        <f>IFERROR(__xludf.DUMMYFUNCTION("""COMPUTED_VALUE"""),"")</f>
        <v/>
      </c>
      <c r="G14985" s="18"/>
      <c r="H14985" s="16" t="s">
        <v>87</v>
      </c>
      <c r="I14985" s="16" t="s">
        <v>87</v>
      </c>
      <c r="J14985" s="19"/>
      <c r="L14985" s="16" t="str">
        <f>IFERROR(__xludf.DUMMYFUNCTION("""COMPUTED_VALUE"""),"")</f>
        <v/>
      </c>
      <c r="M14985" s="16" t="str">
        <f>IFERROR(__xludf.DUMMYFUNCTION("""COMPUTED_VALUE"""),"")</f>
        <v/>
      </c>
      <c r="U14985" s="16" t="s">
        <v>87</v>
      </c>
      <c r="V14985" s="16" t="str">
        <f>IFERROR(__xludf.DUMMYFUNCTION("""COMPUTED_VALUE"""),"")</f>
        <v/>
      </c>
      <c r="W14985" s="16" t="str">
        <f>IFERROR(__xludf.DUMMYFUNCTION("""COMPUTED_VALUE"""),"")</f>
        <v/>
      </c>
      <c r="X14985" s="16" t="str">
        <f>IFERROR(__xludf.DUMMYFUNCTION("""COMPUTED_VALUE"""),"")</f>
        <v/>
      </c>
      <c r="AC14985" s="16" t="str">
        <f>IFERROR(__xludf.DUMMYFUNCTION("""COMPUTED_VALUE"""),"")</f>
        <v/>
      </c>
    </row>
    <row r="14986">
      <c r="A14986" s="16" t="s">
        <v>87</v>
      </c>
      <c r="E14986" s="16" t="str">
        <f>IFERROR(__xludf.DUMMYFUNCTION("""COMPUTED_VALUE"""),"")</f>
        <v/>
      </c>
      <c r="G14986" s="18"/>
      <c r="H14986" s="16" t="s">
        <v>87</v>
      </c>
      <c r="I14986" s="16" t="s">
        <v>87</v>
      </c>
      <c r="J14986" s="19"/>
      <c r="L14986" s="16" t="str">
        <f>IFERROR(__xludf.DUMMYFUNCTION("""COMPUTED_VALUE"""),"")</f>
        <v/>
      </c>
      <c r="M14986" s="16" t="str">
        <f>IFERROR(__xludf.DUMMYFUNCTION("""COMPUTED_VALUE"""),"")</f>
        <v/>
      </c>
      <c r="U14986" s="16" t="s">
        <v>87</v>
      </c>
      <c r="V14986" s="16" t="str">
        <f>IFERROR(__xludf.DUMMYFUNCTION("""COMPUTED_VALUE"""),"")</f>
        <v/>
      </c>
      <c r="W14986" s="16" t="str">
        <f>IFERROR(__xludf.DUMMYFUNCTION("""COMPUTED_VALUE"""),"")</f>
        <v/>
      </c>
      <c r="X14986" s="16" t="str">
        <f>IFERROR(__xludf.DUMMYFUNCTION("""COMPUTED_VALUE"""),"")</f>
        <v/>
      </c>
      <c r="AC14986" s="16" t="str">
        <f>IFERROR(__xludf.DUMMYFUNCTION("""COMPUTED_VALUE"""),"")</f>
        <v/>
      </c>
    </row>
    <row r="14987">
      <c r="A14987" s="16" t="s">
        <v>87</v>
      </c>
      <c r="E14987" s="16" t="str">
        <f>IFERROR(__xludf.DUMMYFUNCTION("""COMPUTED_VALUE"""),"")</f>
        <v/>
      </c>
      <c r="G14987" s="18"/>
      <c r="H14987" s="16" t="s">
        <v>87</v>
      </c>
      <c r="I14987" s="16" t="s">
        <v>87</v>
      </c>
      <c r="J14987" s="19"/>
      <c r="L14987" s="16" t="str">
        <f>IFERROR(__xludf.DUMMYFUNCTION("""COMPUTED_VALUE"""),"")</f>
        <v/>
      </c>
      <c r="M14987" s="16" t="str">
        <f>IFERROR(__xludf.DUMMYFUNCTION("""COMPUTED_VALUE"""),"")</f>
        <v/>
      </c>
      <c r="U14987" s="16" t="s">
        <v>87</v>
      </c>
      <c r="V14987" s="16" t="str">
        <f>IFERROR(__xludf.DUMMYFUNCTION("""COMPUTED_VALUE"""),"")</f>
        <v/>
      </c>
      <c r="W14987" s="16" t="str">
        <f>IFERROR(__xludf.DUMMYFUNCTION("""COMPUTED_VALUE"""),"")</f>
        <v/>
      </c>
      <c r="X14987" s="16" t="str">
        <f>IFERROR(__xludf.DUMMYFUNCTION("""COMPUTED_VALUE"""),"")</f>
        <v/>
      </c>
      <c r="AC14987" s="16" t="str">
        <f>IFERROR(__xludf.DUMMYFUNCTION("""COMPUTED_VALUE"""),"")</f>
        <v/>
      </c>
    </row>
    <row r="14988">
      <c r="A14988" s="16" t="s">
        <v>87</v>
      </c>
      <c r="E14988" s="16" t="str">
        <f>IFERROR(__xludf.DUMMYFUNCTION("""COMPUTED_VALUE"""),"")</f>
        <v/>
      </c>
      <c r="G14988" s="18"/>
      <c r="H14988" s="16" t="s">
        <v>87</v>
      </c>
      <c r="I14988" s="16" t="s">
        <v>87</v>
      </c>
      <c r="J14988" s="19"/>
      <c r="L14988" s="16" t="str">
        <f>IFERROR(__xludf.DUMMYFUNCTION("""COMPUTED_VALUE"""),"")</f>
        <v/>
      </c>
      <c r="M14988" s="16" t="str">
        <f>IFERROR(__xludf.DUMMYFUNCTION("""COMPUTED_VALUE"""),"")</f>
        <v/>
      </c>
      <c r="U14988" s="16" t="s">
        <v>87</v>
      </c>
      <c r="V14988" s="16" t="str">
        <f>IFERROR(__xludf.DUMMYFUNCTION("""COMPUTED_VALUE"""),"")</f>
        <v/>
      </c>
      <c r="W14988" s="16" t="str">
        <f>IFERROR(__xludf.DUMMYFUNCTION("""COMPUTED_VALUE"""),"")</f>
        <v/>
      </c>
      <c r="X14988" s="16" t="str">
        <f>IFERROR(__xludf.DUMMYFUNCTION("""COMPUTED_VALUE"""),"")</f>
        <v/>
      </c>
      <c r="AC14988" s="16" t="str">
        <f>IFERROR(__xludf.DUMMYFUNCTION("""COMPUTED_VALUE"""),"")</f>
        <v/>
      </c>
    </row>
    <row r="14989">
      <c r="A14989" s="16" t="s">
        <v>87</v>
      </c>
      <c r="E14989" s="16" t="str">
        <f>IFERROR(__xludf.DUMMYFUNCTION("""COMPUTED_VALUE"""),"")</f>
        <v/>
      </c>
      <c r="G14989" s="18"/>
      <c r="H14989" s="16" t="s">
        <v>87</v>
      </c>
      <c r="I14989" s="16" t="s">
        <v>87</v>
      </c>
      <c r="J14989" s="19"/>
      <c r="L14989" s="16" t="str">
        <f>IFERROR(__xludf.DUMMYFUNCTION("""COMPUTED_VALUE"""),"")</f>
        <v/>
      </c>
      <c r="M14989" s="16" t="str">
        <f>IFERROR(__xludf.DUMMYFUNCTION("""COMPUTED_VALUE"""),"")</f>
        <v/>
      </c>
      <c r="U14989" s="16" t="s">
        <v>87</v>
      </c>
      <c r="V14989" s="16" t="str">
        <f>IFERROR(__xludf.DUMMYFUNCTION("""COMPUTED_VALUE"""),"")</f>
        <v/>
      </c>
      <c r="W14989" s="16" t="str">
        <f>IFERROR(__xludf.DUMMYFUNCTION("""COMPUTED_VALUE"""),"")</f>
        <v/>
      </c>
      <c r="X14989" s="16" t="str">
        <f>IFERROR(__xludf.DUMMYFUNCTION("""COMPUTED_VALUE"""),"")</f>
        <v/>
      </c>
      <c r="AC14989" s="16" t="str">
        <f>IFERROR(__xludf.DUMMYFUNCTION("""COMPUTED_VALUE"""),"")</f>
        <v/>
      </c>
    </row>
    <row r="14990">
      <c r="A14990" s="16" t="s">
        <v>87</v>
      </c>
      <c r="E14990" s="16" t="str">
        <f>IFERROR(__xludf.DUMMYFUNCTION("""COMPUTED_VALUE"""),"")</f>
        <v/>
      </c>
      <c r="G14990" s="18"/>
      <c r="H14990" s="16" t="s">
        <v>87</v>
      </c>
      <c r="I14990" s="16" t="s">
        <v>87</v>
      </c>
      <c r="J14990" s="19"/>
      <c r="L14990" s="16" t="str">
        <f>IFERROR(__xludf.DUMMYFUNCTION("""COMPUTED_VALUE"""),"")</f>
        <v/>
      </c>
      <c r="M14990" s="16" t="str">
        <f>IFERROR(__xludf.DUMMYFUNCTION("""COMPUTED_VALUE"""),"")</f>
        <v/>
      </c>
      <c r="U14990" s="16" t="s">
        <v>87</v>
      </c>
      <c r="V14990" s="16" t="str">
        <f>IFERROR(__xludf.DUMMYFUNCTION("""COMPUTED_VALUE"""),"")</f>
        <v/>
      </c>
      <c r="W14990" s="16" t="str">
        <f>IFERROR(__xludf.DUMMYFUNCTION("""COMPUTED_VALUE"""),"")</f>
        <v/>
      </c>
      <c r="X14990" s="16" t="str">
        <f>IFERROR(__xludf.DUMMYFUNCTION("""COMPUTED_VALUE"""),"")</f>
        <v/>
      </c>
      <c r="AC14990" s="16" t="str">
        <f>IFERROR(__xludf.DUMMYFUNCTION("""COMPUTED_VALUE"""),"")</f>
        <v/>
      </c>
    </row>
    <row r="14991">
      <c r="A14991" s="16" t="s">
        <v>87</v>
      </c>
      <c r="E14991" s="16" t="str">
        <f>IFERROR(__xludf.DUMMYFUNCTION("""COMPUTED_VALUE"""),"")</f>
        <v/>
      </c>
      <c r="G14991" s="18"/>
      <c r="H14991" s="16" t="s">
        <v>87</v>
      </c>
      <c r="I14991" s="16" t="s">
        <v>87</v>
      </c>
      <c r="J14991" s="19"/>
      <c r="L14991" s="16" t="str">
        <f>IFERROR(__xludf.DUMMYFUNCTION("""COMPUTED_VALUE"""),"")</f>
        <v/>
      </c>
      <c r="M14991" s="16" t="str">
        <f>IFERROR(__xludf.DUMMYFUNCTION("""COMPUTED_VALUE"""),"")</f>
        <v/>
      </c>
      <c r="U14991" s="16" t="s">
        <v>87</v>
      </c>
      <c r="V14991" s="16" t="str">
        <f>IFERROR(__xludf.DUMMYFUNCTION("""COMPUTED_VALUE"""),"")</f>
        <v/>
      </c>
      <c r="W14991" s="16" t="str">
        <f>IFERROR(__xludf.DUMMYFUNCTION("""COMPUTED_VALUE"""),"")</f>
        <v/>
      </c>
      <c r="X14991" s="16" t="str">
        <f>IFERROR(__xludf.DUMMYFUNCTION("""COMPUTED_VALUE"""),"")</f>
        <v/>
      </c>
      <c r="AC14991" s="16" t="str">
        <f>IFERROR(__xludf.DUMMYFUNCTION("""COMPUTED_VALUE"""),"")</f>
        <v/>
      </c>
    </row>
    <row r="14992">
      <c r="A14992" s="16" t="s">
        <v>87</v>
      </c>
      <c r="E14992" s="16" t="str">
        <f>IFERROR(__xludf.DUMMYFUNCTION("""COMPUTED_VALUE"""),"")</f>
        <v/>
      </c>
      <c r="G14992" s="18"/>
      <c r="H14992" s="16" t="s">
        <v>87</v>
      </c>
      <c r="I14992" s="16" t="s">
        <v>87</v>
      </c>
      <c r="J14992" s="19"/>
      <c r="L14992" s="16" t="str">
        <f>IFERROR(__xludf.DUMMYFUNCTION("""COMPUTED_VALUE"""),"")</f>
        <v/>
      </c>
      <c r="M14992" s="16" t="str">
        <f>IFERROR(__xludf.DUMMYFUNCTION("""COMPUTED_VALUE"""),"")</f>
        <v/>
      </c>
      <c r="U14992" s="16" t="s">
        <v>87</v>
      </c>
      <c r="V14992" s="16" t="str">
        <f>IFERROR(__xludf.DUMMYFUNCTION("""COMPUTED_VALUE"""),"")</f>
        <v/>
      </c>
      <c r="W14992" s="16" t="str">
        <f>IFERROR(__xludf.DUMMYFUNCTION("""COMPUTED_VALUE"""),"")</f>
        <v/>
      </c>
      <c r="X14992" s="16" t="str">
        <f>IFERROR(__xludf.DUMMYFUNCTION("""COMPUTED_VALUE"""),"")</f>
        <v/>
      </c>
      <c r="AC14992" s="16" t="str">
        <f>IFERROR(__xludf.DUMMYFUNCTION("""COMPUTED_VALUE"""),"")</f>
        <v/>
      </c>
    </row>
    <row r="14993">
      <c r="A14993" s="16" t="s">
        <v>87</v>
      </c>
      <c r="E14993" s="16" t="str">
        <f>IFERROR(__xludf.DUMMYFUNCTION("""COMPUTED_VALUE"""),"")</f>
        <v/>
      </c>
      <c r="G14993" s="18"/>
      <c r="H14993" s="16" t="s">
        <v>87</v>
      </c>
      <c r="I14993" s="16" t="s">
        <v>87</v>
      </c>
      <c r="J14993" s="19"/>
      <c r="L14993" s="16" t="str">
        <f>IFERROR(__xludf.DUMMYFUNCTION("""COMPUTED_VALUE"""),"")</f>
        <v/>
      </c>
      <c r="M14993" s="16" t="str">
        <f>IFERROR(__xludf.DUMMYFUNCTION("""COMPUTED_VALUE"""),"")</f>
        <v/>
      </c>
      <c r="U14993" s="16" t="s">
        <v>87</v>
      </c>
      <c r="V14993" s="16" t="str">
        <f>IFERROR(__xludf.DUMMYFUNCTION("""COMPUTED_VALUE"""),"")</f>
        <v/>
      </c>
      <c r="W14993" s="16" t="str">
        <f>IFERROR(__xludf.DUMMYFUNCTION("""COMPUTED_VALUE"""),"")</f>
        <v/>
      </c>
      <c r="X14993" s="16" t="str">
        <f>IFERROR(__xludf.DUMMYFUNCTION("""COMPUTED_VALUE"""),"")</f>
        <v/>
      </c>
      <c r="AC14993" s="16" t="str">
        <f>IFERROR(__xludf.DUMMYFUNCTION("""COMPUTED_VALUE"""),"")</f>
        <v/>
      </c>
    </row>
    <row r="14994">
      <c r="A14994" s="16" t="s">
        <v>87</v>
      </c>
      <c r="E14994" s="16" t="str">
        <f>IFERROR(__xludf.DUMMYFUNCTION("""COMPUTED_VALUE"""),"")</f>
        <v/>
      </c>
      <c r="G14994" s="18"/>
      <c r="H14994" s="16" t="s">
        <v>87</v>
      </c>
      <c r="I14994" s="16" t="s">
        <v>87</v>
      </c>
      <c r="J14994" s="19"/>
      <c r="L14994" s="16" t="str">
        <f>IFERROR(__xludf.DUMMYFUNCTION("""COMPUTED_VALUE"""),"")</f>
        <v/>
      </c>
      <c r="M14994" s="16" t="str">
        <f>IFERROR(__xludf.DUMMYFUNCTION("""COMPUTED_VALUE"""),"")</f>
        <v/>
      </c>
      <c r="U14994" s="16" t="s">
        <v>87</v>
      </c>
      <c r="V14994" s="16" t="str">
        <f>IFERROR(__xludf.DUMMYFUNCTION("""COMPUTED_VALUE"""),"")</f>
        <v/>
      </c>
      <c r="W14994" s="16" t="str">
        <f>IFERROR(__xludf.DUMMYFUNCTION("""COMPUTED_VALUE"""),"")</f>
        <v/>
      </c>
      <c r="X14994" s="16" t="str">
        <f>IFERROR(__xludf.DUMMYFUNCTION("""COMPUTED_VALUE"""),"")</f>
        <v/>
      </c>
      <c r="AC14994" s="16" t="str">
        <f>IFERROR(__xludf.DUMMYFUNCTION("""COMPUTED_VALUE"""),"")</f>
        <v/>
      </c>
    </row>
    <row r="14995">
      <c r="A14995" s="16" t="s">
        <v>87</v>
      </c>
      <c r="E14995" s="16" t="str">
        <f>IFERROR(__xludf.DUMMYFUNCTION("""COMPUTED_VALUE"""),"")</f>
        <v/>
      </c>
      <c r="G14995" s="18"/>
      <c r="H14995" s="16" t="s">
        <v>87</v>
      </c>
      <c r="I14995" s="16" t="s">
        <v>87</v>
      </c>
      <c r="J14995" s="19"/>
      <c r="L14995" s="16" t="str">
        <f>IFERROR(__xludf.DUMMYFUNCTION("""COMPUTED_VALUE"""),"")</f>
        <v/>
      </c>
      <c r="M14995" s="16" t="str">
        <f>IFERROR(__xludf.DUMMYFUNCTION("""COMPUTED_VALUE"""),"")</f>
        <v/>
      </c>
      <c r="U14995" s="16" t="s">
        <v>87</v>
      </c>
      <c r="V14995" s="16" t="str">
        <f>IFERROR(__xludf.DUMMYFUNCTION("""COMPUTED_VALUE"""),"")</f>
        <v/>
      </c>
      <c r="W14995" s="16" t="str">
        <f>IFERROR(__xludf.DUMMYFUNCTION("""COMPUTED_VALUE"""),"")</f>
        <v/>
      </c>
      <c r="X14995" s="16" t="str">
        <f>IFERROR(__xludf.DUMMYFUNCTION("""COMPUTED_VALUE"""),"")</f>
        <v/>
      </c>
      <c r="AC14995" s="16" t="str">
        <f>IFERROR(__xludf.DUMMYFUNCTION("""COMPUTED_VALUE"""),"")</f>
        <v/>
      </c>
    </row>
    <row r="14996">
      <c r="A14996" s="16" t="s">
        <v>87</v>
      </c>
      <c r="E14996" s="16" t="str">
        <f>IFERROR(__xludf.DUMMYFUNCTION("""COMPUTED_VALUE"""),"")</f>
        <v/>
      </c>
      <c r="G14996" s="18"/>
      <c r="H14996" s="16" t="s">
        <v>87</v>
      </c>
      <c r="I14996" s="16" t="s">
        <v>87</v>
      </c>
      <c r="J14996" s="19"/>
      <c r="L14996" s="16" t="str">
        <f>IFERROR(__xludf.DUMMYFUNCTION("""COMPUTED_VALUE"""),"")</f>
        <v/>
      </c>
      <c r="M14996" s="16" t="str">
        <f>IFERROR(__xludf.DUMMYFUNCTION("""COMPUTED_VALUE"""),"")</f>
        <v/>
      </c>
      <c r="U14996" s="16" t="s">
        <v>87</v>
      </c>
      <c r="V14996" s="16" t="str">
        <f>IFERROR(__xludf.DUMMYFUNCTION("""COMPUTED_VALUE"""),"")</f>
        <v/>
      </c>
      <c r="W14996" s="16" t="str">
        <f>IFERROR(__xludf.DUMMYFUNCTION("""COMPUTED_VALUE"""),"")</f>
        <v/>
      </c>
      <c r="X14996" s="16" t="str">
        <f>IFERROR(__xludf.DUMMYFUNCTION("""COMPUTED_VALUE"""),"")</f>
        <v/>
      </c>
      <c r="AC14996" s="16" t="str">
        <f>IFERROR(__xludf.DUMMYFUNCTION("""COMPUTED_VALUE"""),"")</f>
        <v/>
      </c>
    </row>
    <row r="14997">
      <c r="A14997" s="16" t="s">
        <v>87</v>
      </c>
      <c r="E14997" s="16" t="str">
        <f>IFERROR(__xludf.DUMMYFUNCTION("""COMPUTED_VALUE"""),"")</f>
        <v/>
      </c>
      <c r="G14997" s="18"/>
      <c r="H14997" s="16" t="s">
        <v>87</v>
      </c>
      <c r="I14997" s="16" t="s">
        <v>87</v>
      </c>
      <c r="J14997" s="19"/>
      <c r="L14997" s="16" t="str">
        <f>IFERROR(__xludf.DUMMYFUNCTION("""COMPUTED_VALUE"""),"")</f>
        <v/>
      </c>
      <c r="M14997" s="16" t="str">
        <f>IFERROR(__xludf.DUMMYFUNCTION("""COMPUTED_VALUE"""),"")</f>
        <v/>
      </c>
      <c r="U14997" s="16" t="s">
        <v>87</v>
      </c>
      <c r="V14997" s="16" t="str">
        <f>IFERROR(__xludf.DUMMYFUNCTION("""COMPUTED_VALUE"""),"")</f>
        <v/>
      </c>
      <c r="W14997" s="16" t="str">
        <f>IFERROR(__xludf.DUMMYFUNCTION("""COMPUTED_VALUE"""),"")</f>
        <v/>
      </c>
      <c r="X14997" s="16" t="str">
        <f>IFERROR(__xludf.DUMMYFUNCTION("""COMPUTED_VALUE"""),"")</f>
        <v/>
      </c>
      <c r="AC14997" s="16" t="str">
        <f>IFERROR(__xludf.DUMMYFUNCTION("""COMPUTED_VALUE"""),"")</f>
        <v/>
      </c>
    </row>
    <row r="14998">
      <c r="A14998" s="16" t="s">
        <v>87</v>
      </c>
      <c r="E14998" s="16" t="str">
        <f>IFERROR(__xludf.DUMMYFUNCTION("""COMPUTED_VALUE"""),"")</f>
        <v/>
      </c>
      <c r="G14998" s="18"/>
      <c r="H14998" s="16" t="s">
        <v>87</v>
      </c>
      <c r="I14998" s="16" t="s">
        <v>87</v>
      </c>
      <c r="J14998" s="19"/>
      <c r="L14998" s="16" t="str">
        <f>IFERROR(__xludf.DUMMYFUNCTION("""COMPUTED_VALUE"""),"")</f>
        <v/>
      </c>
      <c r="M14998" s="16" t="str">
        <f>IFERROR(__xludf.DUMMYFUNCTION("""COMPUTED_VALUE"""),"")</f>
        <v/>
      </c>
      <c r="U14998" s="16" t="s">
        <v>87</v>
      </c>
      <c r="V14998" s="16" t="str">
        <f>IFERROR(__xludf.DUMMYFUNCTION("""COMPUTED_VALUE"""),"")</f>
        <v/>
      </c>
      <c r="W14998" s="16" t="str">
        <f>IFERROR(__xludf.DUMMYFUNCTION("""COMPUTED_VALUE"""),"")</f>
        <v/>
      </c>
      <c r="X14998" s="16" t="str">
        <f>IFERROR(__xludf.DUMMYFUNCTION("""COMPUTED_VALUE"""),"")</f>
        <v/>
      </c>
      <c r="AC14998" s="16" t="str">
        <f>IFERROR(__xludf.DUMMYFUNCTION("""COMPUTED_VALUE"""),"")</f>
        <v/>
      </c>
    </row>
    <row r="14999">
      <c r="A14999" s="16" t="s">
        <v>87</v>
      </c>
      <c r="E14999" s="16" t="str">
        <f>IFERROR(__xludf.DUMMYFUNCTION("""COMPUTED_VALUE"""),"")</f>
        <v/>
      </c>
      <c r="G14999" s="18"/>
      <c r="H14999" s="16" t="s">
        <v>87</v>
      </c>
      <c r="I14999" s="16" t="s">
        <v>87</v>
      </c>
      <c r="J14999" s="19"/>
      <c r="L14999" s="16" t="str">
        <f>IFERROR(__xludf.DUMMYFUNCTION("""COMPUTED_VALUE"""),"")</f>
        <v/>
      </c>
      <c r="M14999" s="16" t="str">
        <f>IFERROR(__xludf.DUMMYFUNCTION("""COMPUTED_VALUE"""),"")</f>
        <v/>
      </c>
      <c r="U14999" s="16" t="s">
        <v>87</v>
      </c>
      <c r="V14999" s="16" t="str">
        <f>IFERROR(__xludf.DUMMYFUNCTION("""COMPUTED_VALUE"""),"")</f>
        <v/>
      </c>
      <c r="W14999" s="16" t="str">
        <f>IFERROR(__xludf.DUMMYFUNCTION("""COMPUTED_VALUE"""),"")</f>
        <v/>
      </c>
      <c r="X14999" s="16" t="str">
        <f>IFERROR(__xludf.DUMMYFUNCTION("""COMPUTED_VALUE"""),"")</f>
        <v/>
      </c>
      <c r="AC14999" s="16" t="str">
        <f>IFERROR(__xludf.DUMMYFUNCTION("""COMPUTED_VALUE"""),"")</f>
        <v/>
      </c>
    </row>
    <row r="15000">
      <c r="A15000" s="16" t="s">
        <v>87</v>
      </c>
      <c r="E15000" s="16" t="str">
        <f>IFERROR(__xludf.DUMMYFUNCTION("""COMPUTED_VALUE"""),"")</f>
        <v/>
      </c>
      <c r="G15000" s="18"/>
      <c r="H15000" s="16" t="s">
        <v>87</v>
      </c>
      <c r="I15000" s="16" t="s">
        <v>87</v>
      </c>
      <c r="J15000" s="19"/>
      <c r="L15000" s="16" t="str">
        <f>IFERROR(__xludf.DUMMYFUNCTION("""COMPUTED_VALUE"""),"")</f>
        <v/>
      </c>
      <c r="M15000" s="16" t="str">
        <f>IFERROR(__xludf.DUMMYFUNCTION("""COMPUTED_VALUE"""),"")</f>
        <v/>
      </c>
      <c r="U15000" s="16" t="s">
        <v>87</v>
      </c>
      <c r="V15000" s="16" t="str">
        <f>IFERROR(__xludf.DUMMYFUNCTION("""COMPUTED_VALUE"""),"")</f>
        <v/>
      </c>
      <c r="W15000" s="16" t="str">
        <f>IFERROR(__xludf.DUMMYFUNCTION("""COMPUTED_VALUE"""),"")</f>
        <v/>
      </c>
      <c r="X15000" s="16" t="str">
        <f>IFERROR(__xludf.DUMMYFUNCTION("""COMPUTED_VALUE"""),"")</f>
        <v/>
      </c>
      <c r="AC15000" s="16" t="str">
        <f>IFERROR(__xludf.DUMMYFUNCTION("""COMPUTED_VALUE"""),"")</f>
        <v/>
      </c>
    </row>
    <row r="15001">
      <c r="A15001" s="16" t="s">
        <v>87</v>
      </c>
      <c r="E15001" s="16" t="str">
        <f>IFERROR(__xludf.DUMMYFUNCTION("""COMPUTED_VALUE"""),"")</f>
        <v/>
      </c>
      <c r="G15001" s="18"/>
      <c r="H15001" s="16" t="s">
        <v>87</v>
      </c>
      <c r="I15001" s="16" t="s">
        <v>87</v>
      </c>
      <c r="J15001" s="19"/>
      <c r="L15001" s="16" t="str">
        <f>IFERROR(__xludf.DUMMYFUNCTION("""COMPUTED_VALUE"""),"")</f>
        <v/>
      </c>
      <c r="M15001" s="16" t="str">
        <f>IFERROR(__xludf.DUMMYFUNCTION("""COMPUTED_VALUE"""),"")</f>
        <v/>
      </c>
      <c r="U15001" s="16" t="s">
        <v>87</v>
      </c>
      <c r="V15001" s="16" t="str">
        <f>IFERROR(__xludf.DUMMYFUNCTION("""COMPUTED_VALUE"""),"")</f>
        <v/>
      </c>
      <c r="W15001" s="16" t="str">
        <f>IFERROR(__xludf.DUMMYFUNCTION("""COMPUTED_VALUE"""),"")</f>
        <v/>
      </c>
      <c r="X15001" s="16" t="str">
        <f>IFERROR(__xludf.DUMMYFUNCTION("""COMPUTED_VALUE"""),"")</f>
        <v/>
      </c>
      <c r="AC15001" s="16" t="str">
        <f>IFERROR(__xludf.DUMMYFUNCTION("""COMPUTED_VALUE"""),"")</f>
        <v/>
      </c>
    </row>
    <row r="15002">
      <c r="A15002" s="16" t="s">
        <v>87</v>
      </c>
      <c r="E15002" s="16" t="str">
        <f>IFERROR(__xludf.DUMMYFUNCTION("""COMPUTED_VALUE"""),"")</f>
        <v/>
      </c>
      <c r="G15002" s="18"/>
      <c r="H15002" s="16" t="s">
        <v>87</v>
      </c>
      <c r="I15002" s="16" t="s">
        <v>87</v>
      </c>
      <c r="J15002" s="19"/>
      <c r="L15002" s="16" t="str">
        <f>IFERROR(__xludf.DUMMYFUNCTION("""COMPUTED_VALUE"""),"")</f>
        <v/>
      </c>
      <c r="M15002" s="16" t="str">
        <f>IFERROR(__xludf.DUMMYFUNCTION("""COMPUTED_VALUE"""),"")</f>
        <v/>
      </c>
      <c r="U15002" s="16" t="s">
        <v>87</v>
      </c>
      <c r="V15002" s="16" t="str">
        <f>IFERROR(__xludf.DUMMYFUNCTION("""COMPUTED_VALUE"""),"")</f>
        <v/>
      </c>
      <c r="W15002" s="16" t="str">
        <f>IFERROR(__xludf.DUMMYFUNCTION("""COMPUTED_VALUE"""),"")</f>
        <v/>
      </c>
      <c r="X15002" s="16" t="str">
        <f>IFERROR(__xludf.DUMMYFUNCTION("""COMPUTED_VALUE"""),"")</f>
        <v/>
      </c>
      <c r="AC15002" s="16" t="str">
        <f>IFERROR(__xludf.DUMMYFUNCTION("""COMPUTED_VALUE"""),"")</f>
        <v/>
      </c>
    </row>
    <row r="15003">
      <c r="A15003" s="16" t="s">
        <v>87</v>
      </c>
      <c r="E15003" s="16" t="str">
        <f>IFERROR(__xludf.DUMMYFUNCTION("""COMPUTED_VALUE"""),"")</f>
        <v/>
      </c>
      <c r="G15003" s="18"/>
      <c r="H15003" s="16" t="s">
        <v>87</v>
      </c>
      <c r="I15003" s="16" t="s">
        <v>87</v>
      </c>
      <c r="J15003" s="19"/>
      <c r="L15003" s="16" t="str">
        <f>IFERROR(__xludf.DUMMYFUNCTION("""COMPUTED_VALUE"""),"")</f>
        <v/>
      </c>
      <c r="M15003" s="16" t="str">
        <f>IFERROR(__xludf.DUMMYFUNCTION("""COMPUTED_VALUE"""),"")</f>
        <v/>
      </c>
      <c r="U15003" s="16" t="s">
        <v>87</v>
      </c>
      <c r="V15003" s="16" t="str">
        <f>IFERROR(__xludf.DUMMYFUNCTION("""COMPUTED_VALUE"""),"")</f>
        <v/>
      </c>
      <c r="W15003" s="16" t="str">
        <f>IFERROR(__xludf.DUMMYFUNCTION("""COMPUTED_VALUE"""),"")</f>
        <v/>
      </c>
      <c r="X15003" s="16" t="str">
        <f>IFERROR(__xludf.DUMMYFUNCTION("""COMPUTED_VALUE"""),"")</f>
        <v/>
      </c>
      <c r="AC15003" s="16" t="str">
        <f>IFERROR(__xludf.DUMMYFUNCTION("""COMPUTED_VALUE"""),"")</f>
        <v/>
      </c>
    </row>
    <row r="15004">
      <c r="A15004" s="16" t="s">
        <v>87</v>
      </c>
      <c r="E15004" s="16" t="str">
        <f>IFERROR(__xludf.DUMMYFUNCTION("""COMPUTED_VALUE"""),"")</f>
        <v/>
      </c>
      <c r="G15004" s="18"/>
      <c r="H15004" s="16" t="s">
        <v>87</v>
      </c>
      <c r="I15004" s="16" t="s">
        <v>87</v>
      </c>
      <c r="J15004" s="19"/>
      <c r="L15004" s="16" t="str">
        <f>IFERROR(__xludf.DUMMYFUNCTION("""COMPUTED_VALUE"""),"")</f>
        <v/>
      </c>
      <c r="M15004" s="16" t="str">
        <f>IFERROR(__xludf.DUMMYFUNCTION("""COMPUTED_VALUE"""),"")</f>
        <v/>
      </c>
      <c r="U15004" s="16" t="s">
        <v>87</v>
      </c>
      <c r="V15004" s="16" t="str">
        <f>IFERROR(__xludf.DUMMYFUNCTION("""COMPUTED_VALUE"""),"")</f>
        <v/>
      </c>
      <c r="W15004" s="16" t="str">
        <f>IFERROR(__xludf.DUMMYFUNCTION("""COMPUTED_VALUE"""),"")</f>
        <v/>
      </c>
      <c r="X15004" s="16" t="str">
        <f>IFERROR(__xludf.DUMMYFUNCTION("""COMPUTED_VALUE"""),"")</f>
        <v/>
      </c>
      <c r="AC15004" s="16" t="str">
        <f>IFERROR(__xludf.DUMMYFUNCTION("""COMPUTED_VALUE"""),"")</f>
        <v/>
      </c>
    </row>
    <row r="15005">
      <c r="A15005" s="16" t="s">
        <v>87</v>
      </c>
      <c r="E15005" s="16" t="str">
        <f>IFERROR(__xludf.DUMMYFUNCTION("""COMPUTED_VALUE"""),"")</f>
        <v/>
      </c>
      <c r="G15005" s="18"/>
      <c r="H15005" s="16" t="s">
        <v>87</v>
      </c>
      <c r="I15005" s="16" t="s">
        <v>87</v>
      </c>
      <c r="J15005" s="19"/>
      <c r="L15005" s="16" t="str">
        <f>IFERROR(__xludf.DUMMYFUNCTION("""COMPUTED_VALUE"""),"")</f>
        <v/>
      </c>
      <c r="M15005" s="16" t="str">
        <f>IFERROR(__xludf.DUMMYFUNCTION("""COMPUTED_VALUE"""),"")</f>
        <v/>
      </c>
      <c r="U15005" s="16" t="s">
        <v>87</v>
      </c>
      <c r="V15005" s="16" t="str">
        <f>IFERROR(__xludf.DUMMYFUNCTION("""COMPUTED_VALUE"""),"")</f>
        <v/>
      </c>
      <c r="W15005" s="16" t="str">
        <f>IFERROR(__xludf.DUMMYFUNCTION("""COMPUTED_VALUE"""),"")</f>
        <v/>
      </c>
      <c r="X15005" s="16" t="str">
        <f>IFERROR(__xludf.DUMMYFUNCTION("""COMPUTED_VALUE"""),"")</f>
        <v/>
      </c>
      <c r="AC15005" s="16" t="str">
        <f>IFERROR(__xludf.DUMMYFUNCTION("""COMPUTED_VALUE"""),"")</f>
        <v/>
      </c>
    </row>
    <row r="15006">
      <c r="A15006" s="16" t="s">
        <v>87</v>
      </c>
      <c r="E15006" s="16" t="str">
        <f>IFERROR(__xludf.DUMMYFUNCTION("""COMPUTED_VALUE"""),"")</f>
        <v/>
      </c>
      <c r="G15006" s="18"/>
      <c r="H15006" s="16" t="s">
        <v>87</v>
      </c>
      <c r="I15006" s="16" t="s">
        <v>87</v>
      </c>
      <c r="J15006" s="19"/>
      <c r="L15006" s="16" t="str">
        <f>IFERROR(__xludf.DUMMYFUNCTION("""COMPUTED_VALUE"""),"")</f>
        <v/>
      </c>
      <c r="M15006" s="16" t="str">
        <f>IFERROR(__xludf.DUMMYFUNCTION("""COMPUTED_VALUE"""),"")</f>
        <v/>
      </c>
      <c r="U15006" s="16" t="s">
        <v>87</v>
      </c>
      <c r="V15006" s="16" t="str">
        <f>IFERROR(__xludf.DUMMYFUNCTION("""COMPUTED_VALUE"""),"")</f>
        <v/>
      </c>
      <c r="W15006" s="16" t="str">
        <f>IFERROR(__xludf.DUMMYFUNCTION("""COMPUTED_VALUE"""),"")</f>
        <v/>
      </c>
      <c r="X15006" s="16" t="str">
        <f>IFERROR(__xludf.DUMMYFUNCTION("""COMPUTED_VALUE"""),"")</f>
        <v/>
      </c>
      <c r="AC15006" s="16" t="str">
        <f>IFERROR(__xludf.DUMMYFUNCTION("""COMPUTED_VALUE"""),"")</f>
        <v/>
      </c>
    </row>
    <row r="15007">
      <c r="A15007" s="16" t="s">
        <v>87</v>
      </c>
      <c r="E15007" s="16" t="str">
        <f>IFERROR(__xludf.DUMMYFUNCTION("""COMPUTED_VALUE"""),"")</f>
        <v/>
      </c>
      <c r="G15007" s="18"/>
      <c r="H15007" s="16" t="s">
        <v>87</v>
      </c>
      <c r="I15007" s="16" t="s">
        <v>87</v>
      </c>
      <c r="J15007" s="19"/>
      <c r="L15007" s="16" t="str">
        <f>IFERROR(__xludf.DUMMYFUNCTION("""COMPUTED_VALUE"""),"")</f>
        <v/>
      </c>
      <c r="M15007" s="16" t="str">
        <f>IFERROR(__xludf.DUMMYFUNCTION("""COMPUTED_VALUE"""),"")</f>
        <v/>
      </c>
      <c r="U15007" s="16" t="s">
        <v>87</v>
      </c>
      <c r="V15007" s="16" t="str">
        <f>IFERROR(__xludf.DUMMYFUNCTION("""COMPUTED_VALUE"""),"")</f>
        <v/>
      </c>
      <c r="W15007" s="16" t="str">
        <f>IFERROR(__xludf.DUMMYFUNCTION("""COMPUTED_VALUE"""),"")</f>
        <v/>
      </c>
      <c r="X15007" s="16" t="str">
        <f>IFERROR(__xludf.DUMMYFUNCTION("""COMPUTED_VALUE"""),"")</f>
        <v/>
      </c>
      <c r="AC15007" s="16" t="str">
        <f>IFERROR(__xludf.DUMMYFUNCTION("""COMPUTED_VALUE"""),"")</f>
        <v/>
      </c>
    </row>
    <row r="15008">
      <c r="A15008" s="16" t="s">
        <v>87</v>
      </c>
      <c r="E15008" s="16" t="str">
        <f>IFERROR(__xludf.DUMMYFUNCTION("""COMPUTED_VALUE"""),"")</f>
        <v/>
      </c>
      <c r="G15008" s="18"/>
      <c r="H15008" s="16" t="s">
        <v>87</v>
      </c>
      <c r="I15008" s="16" t="s">
        <v>87</v>
      </c>
      <c r="J15008" s="19"/>
      <c r="L15008" s="16" t="str">
        <f>IFERROR(__xludf.DUMMYFUNCTION("""COMPUTED_VALUE"""),"")</f>
        <v/>
      </c>
      <c r="M15008" s="16" t="str">
        <f>IFERROR(__xludf.DUMMYFUNCTION("""COMPUTED_VALUE"""),"")</f>
        <v/>
      </c>
      <c r="U15008" s="16" t="s">
        <v>87</v>
      </c>
      <c r="V15008" s="16" t="str">
        <f>IFERROR(__xludf.DUMMYFUNCTION("""COMPUTED_VALUE"""),"")</f>
        <v/>
      </c>
      <c r="W15008" s="16" t="str">
        <f>IFERROR(__xludf.DUMMYFUNCTION("""COMPUTED_VALUE"""),"")</f>
        <v/>
      </c>
      <c r="X15008" s="16" t="str">
        <f>IFERROR(__xludf.DUMMYFUNCTION("""COMPUTED_VALUE"""),"")</f>
        <v/>
      </c>
      <c r="AC15008" s="16" t="str">
        <f>IFERROR(__xludf.DUMMYFUNCTION("""COMPUTED_VALUE"""),"")</f>
        <v/>
      </c>
    </row>
    <row r="15009">
      <c r="A15009" s="16" t="s">
        <v>87</v>
      </c>
      <c r="E15009" s="16" t="str">
        <f>IFERROR(__xludf.DUMMYFUNCTION("""COMPUTED_VALUE"""),"")</f>
        <v/>
      </c>
      <c r="G15009" s="18"/>
      <c r="H15009" s="16" t="s">
        <v>87</v>
      </c>
      <c r="I15009" s="16" t="s">
        <v>87</v>
      </c>
      <c r="J15009" s="19"/>
      <c r="L15009" s="16" t="str">
        <f>IFERROR(__xludf.DUMMYFUNCTION("""COMPUTED_VALUE"""),"")</f>
        <v/>
      </c>
      <c r="M15009" s="16" t="str">
        <f>IFERROR(__xludf.DUMMYFUNCTION("""COMPUTED_VALUE"""),"")</f>
        <v/>
      </c>
      <c r="U15009" s="16" t="s">
        <v>87</v>
      </c>
      <c r="V15009" s="16" t="str">
        <f>IFERROR(__xludf.DUMMYFUNCTION("""COMPUTED_VALUE"""),"")</f>
        <v/>
      </c>
      <c r="W15009" s="16" t="str">
        <f>IFERROR(__xludf.DUMMYFUNCTION("""COMPUTED_VALUE"""),"")</f>
        <v/>
      </c>
      <c r="X15009" s="16" t="str">
        <f>IFERROR(__xludf.DUMMYFUNCTION("""COMPUTED_VALUE"""),"")</f>
        <v/>
      </c>
      <c r="AC15009" s="16" t="str">
        <f>IFERROR(__xludf.DUMMYFUNCTION("""COMPUTED_VALUE"""),"")</f>
        <v/>
      </c>
    </row>
    <row r="15010">
      <c r="A15010" s="16" t="s">
        <v>87</v>
      </c>
      <c r="E15010" s="16" t="str">
        <f>IFERROR(__xludf.DUMMYFUNCTION("""COMPUTED_VALUE"""),"")</f>
        <v/>
      </c>
      <c r="G15010" s="18"/>
      <c r="H15010" s="16" t="s">
        <v>87</v>
      </c>
      <c r="I15010" s="16" t="s">
        <v>87</v>
      </c>
      <c r="J15010" s="19"/>
      <c r="L15010" s="16" t="str">
        <f>IFERROR(__xludf.DUMMYFUNCTION("""COMPUTED_VALUE"""),"")</f>
        <v/>
      </c>
      <c r="M15010" s="16" t="str">
        <f>IFERROR(__xludf.DUMMYFUNCTION("""COMPUTED_VALUE"""),"")</f>
        <v/>
      </c>
      <c r="U15010" s="16" t="s">
        <v>87</v>
      </c>
      <c r="V15010" s="16" t="str">
        <f>IFERROR(__xludf.DUMMYFUNCTION("""COMPUTED_VALUE"""),"")</f>
        <v/>
      </c>
      <c r="W15010" s="16" t="str">
        <f>IFERROR(__xludf.DUMMYFUNCTION("""COMPUTED_VALUE"""),"")</f>
        <v/>
      </c>
      <c r="X15010" s="16" t="str">
        <f>IFERROR(__xludf.DUMMYFUNCTION("""COMPUTED_VALUE"""),"")</f>
        <v/>
      </c>
      <c r="AC15010" s="16" t="str">
        <f>IFERROR(__xludf.DUMMYFUNCTION("""COMPUTED_VALUE"""),"")</f>
        <v/>
      </c>
    </row>
    <row r="15011">
      <c r="A15011" s="16" t="s">
        <v>87</v>
      </c>
      <c r="E15011" s="16" t="str">
        <f>IFERROR(__xludf.DUMMYFUNCTION("""COMPUTED_VALUE"""),"")</f>
        <v/>
      </c>
      <c r="G15011" s="18"/>
      <c r="H15011" s="16" t="s">
        <v>87</v>
      </c>
      <c r="I15011" s="16" t="s">
        <v>87</v>
      </c>
      <c r="J15011" s="19"/>
      <c r="L15011" s="16" t="str">
        <f>IFERROR(__xludf.DUMMYFUNCTION("""COMPUTED_VALUE"""),"")</f>
        <v/>
      </c>
      <c r="M15011" s="16" t="str">
        <f>IFERROR(__xludf.DUMMYFUNCTION("""COMPUTED_VALUE"""),"")</f>
        <v/>
      </c>
      <c r="U15011" s="16" t="s">
        <v>87</v>
      </c>
      <c r="V15011" s="16" t="str">
        <f>IFERROR(__xludf.DUMMYFUNCTION("""COMPUTED_VALUE"""),"")</f>
        <v/>
      </c>
      <c r="W15011" s="16" t="str">
        <f>IFERROR(__xludf.DUMMYFUNCTION("""COMPUTED_VALUE"""),"")</f>
        <v/>
      </c>
      <c r="X15011" s="16" t="str">
        <f>IFERROR(__xludf.DUMMYFUNCTION("""COMPUTED_VALUE"""),"")</f>
        <v/>
      </c>
      <c r="AC15011" s="16" t="str">
        <f>IFERROR(__xludf.DUMMYFUNCTION("""COMPUTED_VALUE"""),"")</f>
        <v/>
      </c>
    </row>
    <row r="15012">
      <c r="A15012" s="16" t="s">
        <v>87</v>
      </c>
      <c r="E15012" s="16" t="str">
        <f>IFERROR(__xludf.DUMMYFUNCTION("""COMPUTED_VALUE"""),"")</f>
        <v/>
      </c>
      <c r="G15012" s="18"/>
      <c r="H15012" s="16" t="s">
        <v>87</v>
      </c>
      <c r="I15012" s="16" t="s">
        <v>87</v>
      </c>
      <c r="J15012" s="19"/>
      <c r="L15012" s="16" t="str">
        <f>IFERROR(__xludf.DUMMYFUNCTION("""COMPUTED_VALUE"""),"")</f>
        <v/>
      </c>
      <c r="M15012" s="16" t="str">
        <f>IFERROR(__xludf.DUMMYFUNCTION("""COMPUTED_VALUE"""),"")</f>
        <v/>
      </c>
      <c r="U15012" s="16" t="s">
        <v>87</v>
      </c>
      <c r="V15012" s="16" t="str">
        <f>IFERROR(__xludf.DUMMYFUNCTION("""COMPUTED_VALUE"""),"")</f>
        <v/>
      </c>
      <c r="W15012" s="16" t="str">
        <f>IFERROR(__xludf.DUMMYFUNCTION("""COMPUTED_VALUE"""),"")</f>
        <v/>
      </c>
      <c r="X15012" s="16" t="str">
        <f>IFERROR(__xludf.DUMMYFUNCTION("""COMPUTED_VALUE"""),"")</f>
        <v/>
      </c>
      <c r="AC15012" s="16" t="str">
        <f>IFERROR(__xludf.DUMMYFUNCTION("""COMPUTED_VALUE"""),"")</f>
        <v/>
      </c>
    </row>
    <row r="15013">
      <c r="A15013" s="16" t="s">
        <v>87</v>
      </c>
      <c r="E15013" s="16" t="str">
        <f>IFERROR(__xludf.DUMMYFUNCTION("""COMPUTED_VALUE"""),"")</f>
        <v/>
      </c>
      <c r="G15013" s="18"/>
      <c r="H15013" s="16" t="s">
        <v>87</v>
      </c>
      <c r="I15013" s="16" t="s">
        <v>87</v>
      </c>
      <c r="J15013" s="19"/>
      <c r="L15013" s="16" t="str">
        <f>IFERROR(__xludf.DUMMYFUNCTION("""COMPUTED_VALUE"""),"")</f>
        <v/>
      </c>
      <c r="M15013" s="16" t="str">
        <f>IFERROR(__xludf.DUMMYFUNCTION("""COMPUTED_VALUE"""),"")</f>
        <v/>
      </c>
      <c r="U15013" s="16" t="s">
        <v>87</v>
      </c>
      <c r="V15013" s="16" t="str">
        <f>IFERROR(__xludf.DUMMYFUNCTION("""COMPUTED_VALUE"""),"")</f>
        <v/>
      </c>
      <c r="W15013" s="16" t="str">
        <f>IFERROR(__xludf.DUMMYFUNCTION("""COMPUTED_VALUE"""),"")</f>
        <v/>
      </c>
      <c r="X15013" s="16" t="str">
        <f>IFERROR(__xludf.DUMMYFUNCTION("""COMPUTED_VALUE"""),"")</f>
        <v/>
      </c>
      <c r="AC15013" s="16" t="str">
        <f>IFERROR(__xludf.DUMMYFUNCTION("""COMPUTED_VALUE"""),"")</f>
        <v/>
      </c>
    </row>
    <row r="15014">
      <c r="A15014" s="16" t="s">
        <v>87</v>
      </c>
      <c r="E15014" s="16" t="str">
        <f>IFERROR(__xludf.DUMMYFUNCTION("""COMPUTED_VALUE"""),"")</f>
        <v/>
      </c>
      <c r="G15014" s="18"/>
      <c r="H15014" s="16" t="s">
        <v>87</v>
      </c>
      <c r="I15014" s="16" t="s">
        <v>87</v>
      </c>
      <c r="J15014" s="19"/>
      <c r="L15014" s="16" t="str">
        <f>IFERROR(__xludf.DUMMYFUNCTION("""COMPUTED_VALUE"""),"")</f>
        <v/>
      </c>
      <c r="M15014" s="16" t="str">
        <f>IFERROR(__xludf.DUMMYFUNCTION("""COMPUTED_VALUE"""),"")</f>
        <v/>
      </c>
      <c r="U15014" s="16" t="s">
        <v>87</v>
      </c>
      <c r="V15014" s="16" t="str">
        <f>IFERROR(__xludf.DUMMYFUNCTION("""COMPUTED_VALUE"""),"")</f>
        <v/>
      </c>
      <c r="W15014" s="16" t="str">
        <f>IFERROR(__xludf.DUMMYFUNCTION("""COMPUTED_VALUE"""),"")</f>
        <v/>
      </c>
      <c r="X15014" s="16" t="str">
        <f>IFERROR(__xludf.DUMMYFUNCTION("""COMPUTED_VALUE"""),"")</f>
        <v/>
      </c>
      <c r="AC15014" s="16" t="str">
        <f>IFERROR(__xludf.DUMMYFUNCTION("""COMPUTED_VALUE"""),"")</f>
        <v/>
      </c>
    </row>
    <row r="15015">
      <c r="A15015" s="16" t="s">
        <v>87</v>
      </c>
      <c r="E15015" s="16" t="str">
        <f>IFERROR(__xludf.DUMMYFUNCTION("""COMPUTED_VALUE"""),"")</f>
        <v/>
      </c>
      <c r="G15015" s="18"/>
      <c r="H15015" s="16" t="s">
        <v>87</v>
      </c>
      <c r="I15015" s="16" t="s">
        <v>87</v>
      </c>
      <c r="J15015" s="19"/>
      <c r="L15015" s="16" t="str">
        <f>IFERROR(__xludf.DUMMYFUNCTION("""COMPUTED_VALUE"""),"")</f>
        <v/>
      </c>
      <c r="M15015" s="16" t="str">
        <f>IFERROR(__xludf.DUMMYFUNCTION("""COMPUTED_VALUE"""),"")</f>
        <v/>
      </c>
      <c r="U15015" s="16" t="s">
        <v>87</v>
      </c>
      <c r="V15015" s="16" t="str">
        <f>IFERROR(__xludf.DUMMYFUNCTION("""COMPUTED_VALUE"""),"")</f>
        <v/>
      </c>
      <c r="W15015" s="16" t="str">
        <f>IFERROR(__xludf.DUMMYFUNCTION("""COMPUTED_VALUE"""),"")</f>
        <v/>
      </c>
      <c r="X15015" s="16" t="str">
        <f>IFERROR(__xludf.DUMMYFUNCTION("""COMPUTED_VALUE"""),"")</f>
        <v/>
      </c>
      <c r="AC15015" s="16" t="str">
        <f>IFERROR(__xludf.DUMMYFUNCTION("""COMPUTED_VALUE"""),"")</f>
        <v/>
      </c>
    </row>
    <row r="15016">
      <c r="A15016" s="16" t="s">
        <v>87</v>
      </c>
      <c r="E15016" s="16" t="str">
        <f>IFERROR(__xludf.DUMMYFUNCTION("""COMPUTED_VALUE"""),"")</f>
        <v/>
      </c>
      <c r="G15016" s="18"/>
      <c r="H15016" s="16" t="s">
        <v>87</v>
      </c>
      <c r="I15016" s="16" t="s">
        <v>87</v>
      </c>
      <c r="J15016" s="19"/>
      <c r="L15016" s="16" t="str">
        <f>IFERROR(__xludf.DUMMYFUNCTION("""COMPUTED_VALUE"""),"")</f>
        <v/>
      </c>
      <c r="M15016" s="16" t="str">
        <f>IFERROR(__xludf.DUMMYFUNCTION("""COMPUTED_VALUE"""),"")</f>
        <v/>
      </c>
      <c r="U15016" s="16" t="s">
        <v>87</v>
      </c>
      <c r="V15016" s="16" t="str">
        <f>IFERROR(__xludf.DUMMYFUNCTION("""COMPUTED_VALUE"""),"")</f>
        <v/>
      </c>
      <c r="W15016" s="16" t="str">
        <f>IFERROR(__xludf.DUMMYFUNCTION("""COMPUTED_VALUE"""),"")</f>
        <v/>
      </c>
      <c r="X15016" s="16" t="str">
        <f>IFERROR(__xludf.DUMMYFUNCTION("""COMPUTED_VALUE"""),"")</f>
        <v/>
      </c>
      <c r="AC15016" s="16" t="str">
        <f>IFERROR(__xludf.DUMMYFUNCTION("""COMPUTED_VALUE"""),"")</f>
        <v/>
      </c>
    </row>
    <row r="15017">
      <c r="A15017" s="16" t="s">
        <v>87</v>
      </c>
      <c r="E15017" s="16" t="str">
        <f>IFERROR(__xludf.DUMMYFUNCTION("""COMPUTED_VALUE"""),"")</f>
        <v/>
      </c>
      <c r="G15017" s="18"/>
      <c r="H15017" s="16" t="s">
        <v>87</v>
      </c>
      <c r="I15017" s="16" t="s">
        <v>87</v>
      </c>
      <c r="J15017" s="19"/>
      <c r="L15017" s="16" t="str">
        <f>IFERROR(__xludf.DUMMYFUNCTION("""COMPUTED_VALUE"""),"")</f>
        <v/>
      </c>
      <c r="M15017" s="16" t="str">
        <f>IFERROR(__xludf.DUMMYFUNCTION("""COMPUTED_VALUE"""),"")</f>
        <v/>
      </c>
      <c r="U15017" s="16" t="s">
        <v>87</v>
      </c>
      <c r="V15017" s="16" t="str">
        <f>IFERROR(__xludf.DUMMYFUNCTION("""COMPUTED_VALUE"""),"")</f>
        <v/>
      </c>
      <c r="W15017" s="16" t="str">
        <f>IFERROR(__xludf.DUMMYFUNCTION("""COMPUTED_VALUE"""),"")</f>
        <v/>
      </c>
      <c r="X15017" s="16" t="str">
        <f>IFERROR(__xludf.DUMMYFUNCTION("""COMPUTED_VALUE"""),"")</f>
        <v/>
      </c>
      <c r="AC15017" s="16" t="str">
        <f>IFERROR(__xludf.DUMMYFUNCTION("""COMPUTED_VALUE"""),"")</f>
        <v/>
      </c>
    </row>
    <row r="15018">
      <c r="A15018" s="16" t="s">
        <v>87</v>
      </c>
      <c r="E15018" s="16" t="str">
        <f>IFERROR(__xludf.DUMMYFUNCTION("""COMPUTED_VALUE"""),"")</f>
        <v/>
      </c>
      <c r="G15018" s="18"/>
      <c r="H15018" s="16" t="s">
        <v>87</v>
      </c>
      <c r="I15018" s="16" t="s">
        <v>87</v>
      </c>
      <c r="J15018" s="19"/>
      <c r="L15018" s="16" t="str">
        <f>IFERROR(__xludf.DUMMYFUNCTION("""COMPUTED_VALUE"""),"")</f>
        <v/>
      </c>
      <c r="M15018" s="16" t="str">
        <f>IFERROR(__xludf.DUMMYFUNCTION("""COMPUTED_VALUE"""),"")</f>
        <v/>
      </c>
      <c r="U15018" s="16" t="s">
        <v>87</v>
      </c>
      <c r="V15018" s="16" t="str">
        <f>IFERROR(__xludf.DUMMYFUNCTION("""COMPUTED_VALUE"""),"")</f>
        <v/>
      </c>
      <c r="W15018" s="16" t="str">
        <f>IFERROR(__xludf.DUMMYFUNCTION("""COMPUTED_VALUE"""),"")</f>
        <v/>
      </c>
      <c r="X15018" s="16" t="str">
        <f>IFERROR(__xludf.DUMMYFUNCTION("""COMPUTED_VALUE"""),"")</f>
        <v/>
      </c>
      <c r="AC15018" s="16" t="str">
        <f>IFERROR(__xludf.DUMMYFUNCTION("""COMPUTED_VALUE"""),"")</f>
        <v/>
      </c>
    </row>
    <row r="15019">
      <c r="A15019" s="16" t="s">
        <v>87</v>
      </c>
      <c r="E15019" s="16" t="str">
        <f>IFERROR(__xludf.DUMMYFUNCTION("""COMPUTED_VALUE"""),"")</f>
        <v/>
      </c>
      <c r="G15019" s="18"/>
      <c r="H15019" s="16" t="s">
        <v>87</v>
      </c>
      <c r="I15019" s="16" t="s">
        <v>87</v>
      </c>
      <c r="J15019" s="19"/>
      <c r="L15019" s="16" t="str">
        <f>IFERROR(__xludf.DUMMYFUNCTION("""COMPUTED_VALUE"""),"")</f>
        <v/>
      </c>
      <c r="M15019" s="16" t="str">
        <f>IFERROR(__xludf.DUMMYFUNCTION("""COMPUTED_VALUE"""),"")</f>
        <v/>
      </c>
      <c r="U15019" s="16" t="s">
        <v>87</v>
      </c>
      <c r="V15019" s="16" t="str">
        <f>IFERROR(__xludf.DUMMYFUNCTION("""COMPUTED_VALUE"""),"")</f>
        <v/>
      </c>
      <c r="W15019" s="16" t="str">
        <f>IFERROR(__xludf.DUMMYFUNCTION("""COMPUTED_VALUE"""),"")</f>
        <v/>
      </c>
      <c r="X15019" s="16" t="str">
        <f>IFERROR(__xludf.DUMMYFUNCTION("""COMPUTED_VALUE"""),"")</f>
        <v/>
      </c>
      <c r="AC15019" s="16" t="str">
        <f>IFERROR(__xludf.DUMMYFUNCTION("""COMPUTED_VALUE"""),"")</f>
        <v/>
      </c>
    </row>
    <row r="15020">
      <c r="A15020" s="16" t="s">
        <v>87</v>
      </c>
      <c r="E15020" s="16" t="str">
        <f>IFERROR(__xludf.DUMMYFUNCTION("""COMPUTED_VALUE"""),"")</f>
        <v/>
      </c>
      <c r="G15020" s="18"/>
      <c r="H15020" s="16" t="s">
        <v>87</v>
      </c>
      <c r="I15020" s="16" t="s">
        <v>87</v>
      </c>
      <c r="J15020" s="19"/>
      <c r="L15020" s="16" t="str">
        <f>IFERROR(__xludf.DUMMYFUNCTION("""COMPUTED_VALUE"""),"")</f>
        <v/>
      </c>
      <c r="M15020" s="16" t="str">
        <f>IFERROR(__xludf.DUMMYFUNCTION("""COMPUTED_VALUE"""),"")</f>
        <v/>
      </c>
      <c r="U15020" s="16" t="s">
        <v>87</v>
      </c>
      <c r="V15020" s="16" t="str">
        <f>IFERROR(__xludf.DUMMYFUNCTION("""COMPUTED_VALUE"""),"")</f>
        <v/>
      </c>
      <c r="W15020" s="16" t="str">
        <f>IFERROR(__xludf.DUMMYFUNCTION("""COMPUTED_VALUE"""),"")</f>
        <v/>
      </c>
      <c r="X15020" s="16" t="str">
        <f>IFERROR(__xludf.DUMMYFUNCTION("""COMPUTED_VALUE"""),"")</f>
        <v/>
      </c>
      <c r="AC15020" s="16" t="str">
        <f>IFERROR(__xludf.DUMMYFUNCTION("""COMPUTED_VALUE"""),"")</f>
        <v/>
      </c>
    </row>
    <row r="15021">
      <c r="A15021" s="16" t="s">
        <v>87</v>
      </c>
      <c r="E15021" s="16" t="str">
        <f>IFERROR(__xludf.DUMMYFUNCTION("""COMPUTED_VALUE"""),"")</f>
        <v/>
      </c>
      <c r="G15021" s="18"/>
      <c r="H15021" s="16" t="s">
        <v>87</v>
      </c>
      <c r="I15021" s="16" t="s">
        <v>87</v>
      </c>
      <c r="J15021" s="19"/>
      <c r="L15021" s="16" t="str">
        <f>IFERROR(__xludf.DUMMYFUNCTION("""COMPUTED_VALUE"""),"")</f>
        <v/>
      </c>
      <c r="M15021" s="16" t="str">
        <f>IFERROR(__xludf.DUMMYFUNCTION("""COMPUTED_VALUE"""),"")</f>
        <v/>
      </c>
      <c r="U15021" s="16" t="s">
        <v>87</v>
      </c>
      <c r="V15021" s="16" t="str">
        <f>IFERROR(__xludf.DUMMYFUNCTION("""COMPUTED_VALUE"""),"")</f>
        <v/>
      </c>
      <c r="W15021" s="16" t="str">
        <f>IFERROR(__xludf.DUMMYFUNCTION("""COMPUTED_VALUE"""),"")</f>
        <v/>
      </c>
      <c r="X15021" s="16" t="str">
        <f>IFERROR(__xludf.DUMMYFUNCTION("""COMPUTED_VALUE"""),"")</f>
        <v/>
      </c>
      <c r="AC15021" s="16" t="str">
        <f>IFERROR(__xludf.DUMMYFUNCTION("""COMPUTED_VALUE"""),"")</f>
        <v/>
      </c>
    </row>
    <row r="15022">
      <c r="A15022" s="16" t="s">
        <v>87</v>
      </c>
      <c r="E15022" s="16" t="str">
        <f>IFERROR(__xludf.DUMMYFUNCTION("""COMPUTED_VALUE"""),"")</f>
        <v/>
      </c>
      <c r="G15022" s="18"/>
      <c r="H15022" s="16" t="s">
        <v>87</v>
      </c>
      <c r="I15022" s="16" t="s">
        <v>87</v>
      </c>
      <c r="J15022" s="19"/>
      <c r="L15022" s="16" t="str">
        <f>IFERROR(__xludf.DUMMYFUNCTION("""COMPUTED_VALUE"""),"")</f>
        <v/>
      </c>
      <c r="M15022" s="16" t="str">
        <f>IFERROR(__xludf.DUMMYFUNCTION("""COMPUTED_VALUE"""),"")</f>
        <v/>
      </c>
      <c r="U15022" s="16" t="s">
        <v>87</v>
      </c>
      <c r="V15022" s="16" t="str">
        <f>IFERROR(__xludf.DUMMYFUNCTION("""COMPUTED_VALUE"""),"")</f>
        <v/>
      </c>
      <c r="W15022" s="16" t="str">
        <f>IFERROR(__xludf.DUMMYFUNCTION("""COMPUTED_VALUE"""),"")</f>
        <v/>
      </c>
      <c r="X15022" s="16" t="str">
        <f>IFERROR(__xludf.DUMMYFUNCTION("""COMPUTED_VALUE"""),"")</f>
        <v/>
      </c>
      <c r="AC15022" s="16" t="str">
        <f>IFERROR(__xludf.DUMMYFUNCTION("""COMPUTED_VALUE"""),"")</f>
        <v/>
      </c>
    </row>
    <row r="15023">
      <c r="A15023" s="16" t="s">
        <v>87</v>
      </c>
      <c r="E15023" s="16" t="str">
        <f>IFERROR(__xludf.DUMMYFUNCTION("""COMPUTED_VALUE"""),"")</f>
        <v/>
      </c>
      <c r="G15023" s="18"/>
      <c r="H15023" s="16" t="s">
        <v>87</v>
      </c>
      <c r="I15023" s="16" t="s">
        <v>87</v>
      </c>
      <c r="J15023" s="19"/>
      <c r="L15023" s="16" t="str">
        <f>IFERROR(__xludf.DUMMYFUNCTION("""COMPUTED_VALUE"""),"")</f>
        <v/>
      </c>
      <c r="M15023" s="16" t="str">
        <f>IFERROR(__xludf.DUMMYFUNCTION("""COMPUTED_VALUE"""),"")</f>
        <v/>
      </c>
      <c r="U15023" s="16" t="s">
        <v>87</v>
      </c>
      <c r="V15023" s="16" t="str">
        <f>IFERROR(__xludf.DUMMYFUNCTION("""COMPUTED_VALUE"""),"")</f>
        <v/>
      </c>
      <c r="W15023" s="16" t="str">
        <f>IFERROR(__xludf.DUMMYFUNCTION("""COMPUTED_VALUE"""),"")</f>
        <v/>
      </c>
      <c r="X15023" s="16" t="str">
        <f>IFERROR(__xludf.DUMMYFUNCTION("""COMPUTED_VALUE"""),"")</f>
        <v/>
      </c>
      <c r="AC15023" s="16" t="str">
        <f>IFERROR(__xludf.DUMMYFUNCTION("""COMPUTED_VALUE"""),"")</f>
        <v/>
      </c>
    </row>
    <row r="15024">
      <c r="A15024" s="16" t="s">
        <v>87</v>
      </c>
      <c r="E15024" s="16" t="str">
        <f>IFERROR(__xludf.DUMMYFUNCTION("""COMPUTED_VALUE"""),"")</f>
        <v/>
      </c>
      <c r="G15024" s="18"/>
      <c r="H15024" s="16" t="s">
        <v>87</v>
      </c>
      <c r="I15024" s="16" t="s">
        <v>87</v>
      </c>
      <c r="J15024" s="19"/>
      <c r="L15024" s="16" t="str">
        <f>IFERROR(__xludf.DUMMYFUNCTION("""COMPUTED_VALUE"""),"")</f>
        <v/>
      </c>
      <c r="M15024" s="16" t="str">
        <f>IFERROR(__xludf.DUMMYFUNCTION("""COMPUTED_VALUE"""),"")</f>
        <v/>
      </c>
      <c r="U15024" s="16" t="s">
        <v>87</v>
      </c>
      <c r="V15024" s="16" t="str">
        <f>IFERROR(__xludf.DUMMYFUNCTION("""COMPUTED_VALUE"""),"")</f>
        <v/>
      </c>
      <c r="W15024" s="16" t="str">
        <f>IFERROR(__xludf.DUMMYFUNCTION("""COMPUTED_VALUE"""),"")</f>
        <v/>
      </c>
      <c r="X15024" s="16" t="str">
        <f>IFERROR(__xludf.DUMMYFUNCTION("""COMPUTED_VALUE"""),"")</f>
        <v/>
      </c>
      <c r="AC15024" s="16" t="str">
        <f>IFERROR(__xludf.DUMMYFUNCTION("""COMPUTED_VALUE"""),"")</f>
        <v/>
      </c>
    </row>
    <row r="15025">
      <c r="A15025" s="16" t="s">
        <v>87</v>
      </c>
      <c r="E15025" s="16" t="str">
        <f>IFERROR(__xludf.DUMMYFUNCTION("""COMPUTED_VALUE"""),"")</f>
        <v/>
      </c>
      <c r="G15025" s="18"/>
      <c r="H15025" s="16" t="s">
        <v>87</v>
      </c>
      <c r="I15025" s="16" t="s">
        <v>87</v>
      </c>
      <c r="J15025" s="19"/>
      <c r="L15025" s="16" t="str">
        <f>IFERROR(__xludf.DUMMYFUNCTION("""COMPUTED_VALUE"""),"")</f>
        <v/>
      </c>
      <c r="M15025" s="16" t="str">
        <f>IFERROR(__xludf.DUMMYFUNCTION("""COMPUTED_VALUE"""),"")</f>
        <v/>
      </c>
      <c r="U15025" s="16" t="s">
        <v>87</v>
      </c>
      <c r="V15025" s="16" t="str">
        <f>IFERROR(__xludf.DUMMYFUNCTION("""COMPUTED_VALUE"""),"")</f>
        <v/>
      </c>
      <c r="W15025" s="16" t="str">
        <f>IFERROR(__xludf.DUMMYFUNCTION("""COMPUTED_VALUE"""),"")</f>
        <v/>
      </c>
      <c r="X15025" s="16" t="str">
        <f>IFERROR(__xludf.DUMMYFUNCTION("""COMPUTED_VALUE"""),"")</f>
        <v/>
      </c>
      <c r="AC15025" s="16" t="str">
        <f>IFERROR(__xludf.DUMMYFUNCTION("""COMPUTED_VALUE"""),"")</f>
        <v/>
      </c>
    </row>
    <row r="15026">
      <c r="A15026" s="16" t="s">
        <v>87</v>
      </c>
      <c r="E15026" s="16" t="str">
        <f>IFERROR(__xludf.DUMMYFUNCTION("""COMPUTED_VALUE"""),"")</f>
        <v/>
      </c>
      <c r="G15026" s="18"/>
      <c r="H15026" s="16" t="s">
        <v>87</v>
      </c>
      <c r="I15026" s="16" t="s">
        <v>87</v>
      </c>
      <c r="J15026" s="19"/>
      <c r="L15026" s="16" t="str">
        <f>IFERROR(__xludf.DUMMYFUNCTION("""COMPUTED_VALUE"""),"")</f>
        <v/>
      </c>
      <c r="M15026" s="16" t="str">
        <f>IFERROR(__xludf.DUMMYFUNCTION("""COMPUTED_VALUE"""),"")</f>
        <v/>
      </c>
      <c r="U15026" s="16" t="s">
        <v>87</v>
      </c>
      <c r="V15026" s="16" t="str">
        <f>IFERROR(__xludf.DUMMYFUNCTION("""COMPUTED_VALUE"""),"")</f>
        <v/>
      </c>
      <c r="W15026" s="16" t="str">
        <f>IFERROR(__xludf.DUMMYFUNCTION("""COMPUTED_VALUE"""),"")</f>
        <v/>
      </c>
      <c r="X15026" s="16" t="str">
        <f>IFERROR(__xludf.DUMMYFUNCTION("""COMPUTED_VALUE"""),"")</f>
        <v/>
      </c>
      <c r="AC15026" s="16" t="str">
        <f>IFERROR(__xludf.DUMMYFUNCTION("""COMPUTED_VALUE"""),"")</f>
        <v/>
      </c>
    </row>
    <row r="15027">
      <c r="A15027" s="16" t="s">
        <v>87</v>
      </c>
      <c r="E15027" s="16" t="str">
        <f>IFERROR(__xludf.DUMMYFUNCTION("""COMPUTED_VALUE"""),"")</f>
        <v/>
      </c>
      <c r="G15027" s="18"/>
      <c r="H15027" s="16" t="s">
        <v>87</v>
      </c>
      <c r="I15027" s="16" t="s">
        <v>87</v>
      </c>
      <c r="J15027" s="19"/>
      <c r="L15027" s="16" t="str">
        <f>IFERROR(__xludf.DUMMYFUNCTION("""COMPUTED_VALUE"""),"")</f>
        <v/>
      </c>
      <c r="M15027" s="16" t="str">
        <f>IFERROR(__xludf.DUMMYFUNCTION("""COMPUTED_VALUE"""),"")</f>
        <v/>
      </c>
      <c r="U15027" s="16" t="s">
        <v>87</v>
      </c>
      <c r="V15027" s="16" t="str">
        <f>IFERROR(__xludf.DUMMYFUNCTION("""COMPUTED_VALUE"""),"")</f>
        <v/>
      </c>
      <c r="W15027" s="16" t="str">
        <f>IFERROR(__xludf.DUMMYFUNCTION("""COMPUTED_VALUE"""),"")</f>
        <v/>
      </c>
      <c r="X15027" s="16" t="str">
        <f>IFERROR(__xludf.DUMMYFUNCTION("""COMPUTED_VALUE"""),"")</f>
        <v/>
      </c>
      <c r="AC15027" s="16" t="str">
        <f>IFERROR(__xludf.DUMMYFUNCTION("""COMPUTED_VALUE"""),"")</f>
        <v/>
      </c>
    </row>
    <row r="15028">
      <c r="A15028" s="16" t="s">
        <v>87</v>
      </c>
      <c r="E15028" s="16" t="str">
        <f>IFERROR(__xludf.DUMMYFUNCTION("""COMPUTED_VALUE"""),"")</f>
        <v/>
      </c>
      <c r="G15028" s="18"/>
      <c r="H15028" s="16" t="s">
        <v>87</v>
      </c>
      <c r="I15028" s="16" t="s">
        <v>87</v>
      </c>
      <c r="J15028" s="19"/>
      <c r="L15028" s="16" t="str">
        <f>IFERROR(__xludf.DUMMYFUNCTION("""COMPUTED_VALUE"""),"")</f>
        <v/>
      </c>
      <c r="M15028" s="16" t="str">
        <f>IFERROR(__xludf.DUMMYFUNCTION("""COMPUTED_VALUE"""),"")</f>
        <v/>
      </c>
      <c r="U15028" s="16" t="s">
        <v>87</v>
      </c>
      <c r="V15028" s="16" t="str">
        <f>IFERROR(__xludf.DUMMYFUNCTION("""COMPUTED_VALUE"""),"")</f>
        <v/>
      </c>
      <c r="W15028" s="16" t="str">
        <f>IFERROR(__xludf.DUMMYFUNCTION("""COMPUTED_VALUE"""),"")</f>
        <v/>
      </c>
      <c r="X15028" s="16" t="str">
        <f>IFERROR(__xludf.DUMMYFUNCTION("""COMPUTED_VALUE"""),"")</f>
        <v/>
      </c>
      <c r="AC15028" s="16" t="str">
        <f>IFERROR(__xludf.DUMMYFUNCTION("""COMPUTED_VALUE"""),"")</f>
        <v/>
      </c>
    </row>
    <row r="15029">
      <c r="A15029" s="16" t="s">
        <v>87</v>
      </c>
      <c r="E15029" s="16" t="str">
        <f>IFERROR(__xludf.DUMMYFUNCTION("""COMPUTED_VALUE"""),"")</f>
        <v/>
      </c>
      <c r="G15029" s="18"/>
      <c r="H15029" s="16" t="s">
        <v>87</v>
      </c>
      <c r="I15029" s="16" t="s">
        <v>87</v>
      </c>
      <c r="J15029" s="19"/>
      <c r="L15029" s="16" t="str">
        <f>IFERROR(__xludf.DUMMYFUNCTION("""COMPUTED_VALUE"""),"")</f>
        <v/>
      </c>
      <c r="M15029" s="16" t="str">
        <f>IFERROR(__xludf.DUMMYFUNCTION("""COMPUTED_VALUE"""),"")</f>
        <v/>
      </c>
      <c r="U15029" s="16" t="s">
        <v>87</v>
      </c>
      <c r="V15029" s="16" t="str">
        <f>IFERROR(__xludf.DUMMYFUNCTION("""COMPUTED_VALUE"""),"")</f>
        <v/>
      </c>
      <c r="W15029" s="16" t="str">
        <f>IFERROR(__xludf.DUMMYFUNCTION("""COMPUTED_VALUE"""),"")</f>
        <v/>
      </c>
      <c r="X15029" s="16" t="str">
        <f>IFERROR(__xludf.DUMMYFUNCTION("""COMPUTED_VALUE"""),"")</f>
        <v/>
      </c>
      <c r="AC15029" s="16" t="str">
        <f>IFERROR(__xludf.DUMMYFUNCTION("""COMPUTED_VALUE"""),"")</f>
        <v/>
      </c>
    </row>
    <row r="15030">
      <c r="A15030" s="16" t="s">
        <v>87</v>
      </c>
      <c r="E15030" s="16" t="str">
        <f>IFERROR(__xludf.DUMMYFUNCTION("""COMPUTED_VALUE"""),"")</f>
        <v/>
      </c>
      <c r="G15030" s="18"/>
      <c r="H15030" s="16" t="s">
        <v>87</v>
      </c>
      <c r="I15030" s="16" t="s">
        <v>87</v>
      </c>
      <c r="J15030" s="19"/>
      <c r="L15030" s="16" t="str">
        <f>IFERROR(__xludf.DUMMYFUNCTION("""COMPUTED_VALUE"""),"")</f>
        <v/>
      </c>
      <c r="M15030" s="16" t="str">
        <f>IFERROR(__xludf.DUMMYFUNCTION("""COMPUTED_VALUE"""),"")</f>
        <v/>
      </c>
      <c r="U15030" s="16" t="s">
        <v>87</v>
      </c>
      <c r="V15030" s="16" t="str">
        <f>IFERROR(__xludf.DUMMYFUNCTION("""COMPUTED_VALUE"""),"")</f>
        <v/>
      </c>
      <c r="W15030" s="16" t="str">
        <f>IFERROR(__xludf.DUMMYFUNCTION("""COMPUTED_VALUE"""),"")</f>
        <v/>
      </c>
      <c r="X15030" s="16" t="str">
        <f>IFERROR(__xludf.DUMMYFUNCTION("""COMPUTED_VALUE"""),"")</f>
        <v/>
      </c>
      <c r="AC15030" s="16" t="str">
        <f>IFERROR(__xludf.DUMMYFUNCTION("""COMPUTED_VALUE"""),"")</f>
        <v/>
      </c>
    </row>
    <row r="15031">
      <c r="A15031" s="16" t="s">
        <v>87</v>
      </c>
      <c r="E15031" s="16" t="str">
        <f>IFERROR(__xludf.DUMMYFUNCTION("""COMPUTED_VALUE"""),"")</f>
        <v/>
      </c>
      <c r="G15031" s="18"/>
      <c r="H15031" s="16" t="s">
        <v>87</v>
      </c>
      <c r="I15031" s="16" t="s">
        <v>87</v>
      </c>
      <c r="J15031" s="19"/>
      <c r="L15031" s="16" t="str">
        <f>IFERROR(__xludf.DUMMYFUNCTION("""COMPUTED_VALUE"""),"")</f>
        <v/>
      </c>
      <c r="M15031" s="16" t="str">
        <f>IFERROR(__xludf.DUMMYFUNCTION("""COMPUTED_VALUE"""),"")</f>
        <v/>
      </c>
      <c r="U15031" s="16" t="s">
        <v>87</v>
      </c>
      <c r="V15031" s="16" t="str">
        <f>IFERROR(__xludf.DUMMYFUNCTION("""COMPUTED_VALUE"""),"")</f>
        <v/>
      </c>
      <c r="W15031" s="16" t="str">
        <f>IFERROR(__xludf.DUMMYFUNCTION("""COMPUTED_VALUE"""),"")</f>
        <v/>
      </c>
      <c r="X15031" s="16" t="str">
        <f>IFERROR(__xludf.DUMMYFUNCTION("""COMPUTED_VALUE"""),"")</f>
        <v/>
      </c>
      <c r="AC15031" s="16" t="str">
        <f>IFERROR(__xludf.DUMMYFUNCTION("""COMPUTED_VALUE"""),"")</f>
        <v/>
      </c>
    </row>
    <row r="15032">
      <c r="A15032" s="16" t="s">
        <v>87</v>
      </c>
      <c r="E15032" s="16" t="str">
        <f>IFERROR(__xludf.DUMMYFUNCTION("""COMPUTED_VALUE"""),"")</f>
        <v/>
      </c>
      <c r="G15032" s="18"/>
      <c r="H15032" s="16" t="s">
        <v>87</v>
      </c>
      <c r="I15032" s="16" t="s">
        <v>87</v>
      </c>
      <c r="J15032" s="19"/>
      <c r="L15032" s="16" t="str">
        <f>IFERROR(__xludf.DUMMYFUNCTION("""COMPUTED_VALUE"""),"")</f>
        <v/>
      </c>
      <c r="M15032" s="16" t="str">
        <f>IFERROR(__xludf.DUMMYFUNCTION("""COMPUTED_VALUE"""),"")</f>
        <v/>
      </c>
      <c r="U15032" s="16" t="s">
        <v>87</v>
      </c>
      <c r="V15032" s="16" t="str">
        <f>IFERROR(__xludf.DUMMYFUNCTION("""COMPUTED_VALUE"""),"")</f>
        <v/>
      </c>
      <c r="W15032" s="16" t="str">
        <f>IFERROR(__xludf.DUMMYFUNCTION("""COMPUTED_VALUE"""),"")</f>
        <v/>
      </c>
      <c r="X15032" s="16" t="str">
        <f>IFERROR(__xludf.DUMMYFUNCTION("""COMPUTED_VALUE"""),"")</f>
        <v/>
      </c>
      <c r="AC15032" s="16" t="str">
        <f>IFERROR(__xludf.DUMMYFUNCTION("""COMPUTED_VALUE"""),"")</f>
        <v/>
      </c>
    </row>
    <row r="15033">
      <c r="A15033" s="16" t="s">
        <v>87</v>
      </c>
      <c r="E15033" s="16" t="str">
        <f>IFERROR(__xludf.DUMMYFUNCTION("""COMPUTED_VALUE"""),"")</f>
        <v/>
      </c>
      <c r="G15033" s="18"/>
      <c r="H15033" s="16" t="s">
        <v>87</v>
      </c>
      <c r="I15033" s="16" t="s">
        <v>87</v>
      </c>
      <c r="J15033" s="19"/>
      <c r="L15033" s="16" t="str">
        <f>IFERROR(__xludf.DUMMYFUNCTION("""COMPUTED_VALUE"""),"")</f>
        <v/>
      </c>
      <c r="M15033" s="16" t="str">
        <f>IFERROR(__xludf.DUMMYFUNCTION("""COMPUTED_VALUE"""),"")</f>
        <v/>
      </c>
      <c r="U15033" s="16" t="s">
        <v>87</v>
      </c>
      <c r="V15033" s="16" t="str">
        <f>IFERROR(__xludf.DUMMYFUNCTION("""COMPUTED_VALUE"""),"")</f>
        <v/>
      </c>
      <c r="W15033" s="16" t="str">
        <f>IFERROR(__xludf.DUMMYFUNCTION("""COMPUTED_VALUE"""),"")</f>
        <v/>
      </c>
      <c r="X15033" s="16" t="str">
        <f>IFERROR(__xludf.DUMMYFUNCTION("""COMPUTED_VALUE"""),"")</f>
        <v/>
      </c>
      <c r="AC15033" s="16" t="str">
        <f>IFERROR(__xludf.DUMMYFUNCTION("""COMPUTED_VALUE"""),"")</f>
        <v/>
      </c>
    </row>
    <row r="15034">
      <c r="A15034" s="16" t="s">
        <v>87</v>
      </c>
      <c r="E15034" s="16" t="str">
        <f>IFERROR(__xludf.DUMMYFUNCTION("""COMPUTED_VALUE"""),"")</f>
        <v/>
      </c>
      <c r="G15034" s="18"/>
      <c r="H15034" s="16" t="s">
        <v>87</v>
      </c>
      <c r="I15034" s="16" t="s">
        <v>87</v>
      </c>
      <c r="J15034" s="19"/>
      <c r="L15034" s="16" t="str">
        <f>IFERROR(__xludf.DUMMYFUNCTION("""COMPUTED_VALUE"""),"")</f>
        <v/>
      </c>
      <c r="M15034" s="16" t="str">
        <f>IFERROR(__xludf.DUMMYFUNCTION("""COMPUTED_VALUE"""),"")</f>
        <v/>
      </c>
      <c r="U15034" s="16" t="s">
        <v>87</v>
      </c>
      <c r="V15034" s="16" t="str">
        <f>IFERROR(__xludf.DUMMYFUNCTION("""COMPUTED_VALUE"""),"")</f>
        <v/>
      </c>
      <c r="W15034" s="16" t="str">
        <f>IFERROR(__xludf.DUMMYFUNCTION("""COMPUTED_VALUE"""),"")</f>
        <v/>
      </c>
      <c r="X15034" s="16" t="str">
        <f>IFERROR(__xludf.DUMMYFUNCTION("""COMPUTED_VALUE"""),"")</f>
        <v/>
      </c>
      <c r="AC15034" s="16" t="str">
        <f>IFERROR(__xludf.DUMMYFUNCTION("""COMPUTED_VALUE"""),"")</f>
        <v/>
      </c>
    </row>
    <row r="15035">
      <c r="A15035" s="16" t="s">
        <v>87</v>
      </c>
      <c r="E15035" s="16" t="str">
        <f>IFERROR(__xludf.DUMMYFUNCTION("""COMPUTED_VALUE"""),"")</f>
        <v/>
      </c>
      <c r="G15035" s="18"/>
      <c r="H15035" s="16" t="s">
        <v>87</v>
      </c>
      <c r="I15035" s="16" t="s">
        <v>87</v>
      </c>
      <c r="J15035" s="19"/>
      <c r="L15035" s="16" t="str">
        <f>IFERROR(__xludf.DUMMYFUNCTION("""COMPUTED_VALUE"""),"")</f>
        <v/>
      </c>
      <c r="M15035" s="16" t="str">
        <f>IFERROR(__xludf.DUMMYFUNCTION("""COMPUTED_VALUE"""),"")</f>
        <v/>
      </c>
      <c r="U15035" s="16" t="s">
        <v>87</v>
      </c>
      <c r="V15035" s="16" t="str">
        <f>IFERROR(__xludf.DUMMYFUNCTION("""COMPUTED_VALUE"""),"")</f>
        <v/>
      </c>
      <c r="W15035" s="16" t="str">
        <f>IFERROR(__xludf.DUMMYFUNCTION("""COMPUTED_VALUE"""),"")</f>
        <v/>
      </c>
      <c r="X15035" s="16" t="str">
        <f>IFERROR(__xludf.DUMMYFUNCTION("""COMPUTED_VALUE"""),"")</f>
        <v/>
      </c>
      <c r="AC15035" s="16" t="str">
        <f>IFERROR(__xludf.DUMMYFUNCTION("""COMPUTED_VALUE"""),"")</f>
        <v/>
      </c>
    </row>
    <row r="15036">
      <c r="A15036" s="16" t="s">
        <v>87</v>
      </c>
      <c r="E15036" s="16" t="str">
        <f>IFERROR(__xludf.DUMMYFUNCTION("""COMPUTED_VALUE"""),"")</f>
        <v/>
      </c>
      <c r="G15036" s="18"/>
      <c r="H15036" s="16" t="s">
        <v>87</v>
      </c>
      <c r="I15036" s="16" t="s">
        <v>87</v>
      </c>
      <c r="J15036" s="19"/>
      <c r="L15036" s="16" t="str">
        <f>IFERROR(__xludf.DUMMYFUNCTION("""COMPUTED_VALUE"""),"")</f>
        <v/>
      </c>
      <c r="M15036" s="16" t="str">
        <f>IFERROR(__xludf.DUMMYFUNCTION("""COMPUTED_VALUE"""),"")</f>
        <v/>
      </c>
      <c r="U15036" s="16" t="s">
        <v>87</v>
      </c>
      <c r="V15036" s="16" t="str">
        <f>IFERROR(__xludf.DUMMYFUNCTION("""COMPUTED_VALUE"""),"")</f>
        <v/>
      </c>
      <c r="W15036" s="16" t="str">
        <f>IFERROR(__xludf.DUMMYFUNCTION("""COMPUTED_VALUE"""),"")</f>
        <v/>
      </c>
      <c r="X15036" s="16" t="str">
        <f>IFERROR(__xludf.DUMMYFUNCTION("""COMPUTED_VALUE"""),"")</f>
        <v/>
      </c>
      <c r="AC15036" s="16" t="str">
        <f>IFERROR(__xludf.DUMMYFUNCTION("""COMPUTED_VALUE"""),"")</f>
        <v/>
      </c>
    </row>
    <row r="15037">
      <c r="A15037" s="16" t="s">
        <v>87</v>
      </c>
      <c r="E15037" s="16" t="str">
        <f>IFERROR(__xludf.DUMMYFUNCTION("""COMPUTED_VALUE"""),"")</f>
        <v/>
      </c>
      <c r="G15037" s="18"/>
      <c r="H15037" s="16" t="s">
        <v>87</v>
      </c>
      <c r="I15037" s="16" t="s">
        <v>87</v>
      </c>
      <c r="J15037" s="19"/>
      <c r="L15037" s="16" t="str">
        <f>IFERROR(__xludf.DUMMYFUNCTION("""COMPUTED_VALUE"""),"")</f>
        <v/>
      </c>
      <c r="M15037" s="16" t="str">
        <f>IFERROR(__xludf.DUMMYFUNCTION("""COMPUTED_VALUE"""),"")</f>
        <v/>
      </c>
      <c r="U15037" s="16" t="s">
        <v>87</v>
      </c>
      <c r="V15037" s="16" t="str">
        <f>IFERROR(__xludf.DUMMYFUNCTION("""COMPUTED_VALUE"""),"")</f>
        <v/>
      </c>
      <c r="W15037" s="16" t="str">
        <f>IFERROR(__xludf.DUMMYFUNCTION("""COMPUTED_VALUE"""),"")</f>
        <v/>
      </c>
      <c r="X15037" s="16" t="str">
        <f>IFERROR(__xludf.DUMMYFUNCTION("""COMPUTED_VALUE"""),"")</f>
        <v/>
      </c>
      <c r="AC15037" s="16" t="str">
        <f>IFERROR(__xludf.DUMMYFUNCTION("""COMPUTED_VALUE"""),"")</f>
        <v/>
      </c>
    </row>
    <row r="15038">
      <c r="A15038" s="16" t="s">
        <v>87</v>
      </c>
      <c r="E15038" s="16" t="str">
        <f>IFERROR(__xludf.DUMMYFUNCTION("""COMPUTED_VALUE"""),"")</f>
        <v/>
      </c>
      <c r="G15038" s="18"/>
      <c r="H15038" s="16" t="s">
        <v>87</v>
      </c>
      <c r="I15038" s="16" t="s">
        <v>87</v>
      </c>
      <c r="J15038" s="19"/>
      <c r="L15038" s="16" t="str">
        <f>IFERROR(__xludf.DUMMYFUNCTION("""COMPUTED_VALUE"""),"")</f>
        <v/>
      </c>
      <c r="M15038" s="16" t="str">
        <f>IFERROR(__xludf.DUMMYFUNCTION("""COMPUTED_VALUE"""),"")</f>
        <v/>
      </c>
      <c r="U15038" s="16" t="s">
        <v>87</v>
      </c>
      <c r="V15038" s="16" t="str">
        <f>IFERROR(__xludf.DUMMYFUNCTION("""COMPUTED_VALUE"""),"")</f>
        <v/>
      </c>
      <c r="W15038" s="16" t="str">
        <f>IFERROR(__xludf.DUMMYFUNCTION("""COMPUTED_VALUE"""),"")</f>
        <v/>
      </c>
      <c r="X15038" s="16" t="str">
        <f>IFERROR(__xludf.DUMMYFUNCTION("""COMPUTED_VALUE"""),"")</f>
        <v/>
      </c>
      <c r="AC15038" s="16" t="str">
        <f>IFERROR(__xludf.DUMMYFUNCTION("""COMPUTED_VALUE"""),"")</f>
        <v/>
      </c>
    </row>
    <row r="15039">
      <c r="A15039" s="16" t="s">
        <v>87</v>
      </c>
      <c r="E15039" s="16" t="str">
        <f>IFERROR(__xludf.DUMMYFUNCTION("""COMPUTED_VALUE"""),"")</f>
        <v/>
      </c>
      <c r="G15039" s="18"/>
      <c r="H15039" s="16" t="s">
        <v>87</v>
      </c>
      <c r="I15039" s="16" t="s">
        <v>87</v>
      </c>
      <c r="J15039" s="19"/>
      <c r="L15039" s="16" t="str">
        <f>IFERROR(__xludf.DUMMYFUNCTION("""COMPUTED_VALUE"""),"")</f>
        <v/>
      </c>
      <c r="M15039" s="16" t="str">
        <f>IFERROR(__xludf.DUMMYFUNCTION("""COMPUTED_VALUE"""),"")</f>
        <v/>
      </c>
      <c r="U15039" s="16" t="s">
        <v>87</v>
      </c>
      <c r="V15039" s="16" t="str">
        <f>IFERROR(__xludf.DUMMYFUNCTION("""COMPUTED_VALUE"""),"")</f>
        <v/>
      </c>
      <c r="W15039" s="16" t="str">
        <f>IFERROR(__xludf.DUMMYFUNCTION("""COMPUTED_VALUE"""),"")</f>
        <v/>
      </c>
      <c r="X15039" s="16" t="str">
        <f>IFERROR(__xludf.DUMMYFUNCTION("""COMPUTED_VALUE"""),"")</f>
        <v/>
      </c>
      <c r="AC15039" s="16" t="str">
        <f>IFERROR(__xludf.DUMMYFUNCTION("""COMPUTED_VALUE"""),"")</f>
        <v/>
      </c>
    </row>
    <row r="15040">
      <c r="A15040" s="16" t="s">
        <v>87</v>
      </c>
      <c r="E15040" s="16" t="str">
        <f>IFERROR(__xludf.DUMMYFUNCTION("""COMPUTED_VALUE"""),"")</f>
        <v/>
      </c>
      <c r="G15040" s="18"/>
      <c r="H15040" s="16" t="s">
        <v>87</v>
      </c>
      <c r="I15040" s="16" t="s">
        <v>87</v>
      </c>
      <c r="J15040" s="19"/>
      <c r="L15040" s="16" t="str">
        <f>IFERROR(__xludf.DUMMYFUNCTION("""COMPUTED_VALUE"""),"")</f>
        <v/>
      </c>
      <c r="M15040" s="16" t="str">
        <f>IFERROR(__xludf.DUMMYFUNCTION("""COMPUTED_VALUE"""),"")</f>
        <v/>
      </c>
      <c r="U15040" s="16" t="s">
        <v>87</v>
      </c>
      <c r="V15040" s="16" t="str">
        <f>IFERROR(__xludf.DUMMYFUNCTION("""COMPUTED_VALUE"""),"")</f>
        <v/>
      </c>
      <c r="W15040" s="16" t="str">
        <f>IFERROR(__xludf.DUMMYFUNCTION("""COMPUTED_VALUE"""),"")</f>
        <v/>
      </c>
      <c r="X15040" s="16" t="str">
        <f>IFERROR(__xludf.DUMMYFUNCTION("""COMPUTED_VALUE"""),"")</f>
        <v/>
      </c>
      <c r="AC15040" s="16" t="str">
        <f>IFERROR(__xludf.DUMMYFUNCTION("""COMPUTED_VALUE"""),"")</f>
        <v/>
      </c>
    </row>
    <row r="15041">
      <c r="A15041" s="16" t="s">
        <v>87</v>
      </c>
      <c r="E15041" s="16" t="str">
        <f>IFERROR(__xludf.DUMMYFUNCTION("""COMPUTED_VALUE"""),"")</f>
        <v/>
      </c>
      <c r="G15041" s="18"/>
      <c r="H15041" s="16" t="s">
        <v>87</v>
      </c>
      <c r="I15041" s="16" t="s">
        <v>87</v>
      </c>
      <c r="J15041" s="19"/>
      <c r="L15041" s="16" t="str">
        <f>IFERROR(__xludf.DUMMYFUNCTION("""COMPUTED_VALUE"""),"")</f>
        <v/>
      </c>
      <c r="M15041" s="16" t="str">
        <f>IFERROR(__xludf.DUMMYFUNCTION("""COMPUTED_VALUE"""),"")</f>
        <v/>
      </c>
      <c r="U15041" s="16" t="s">
        <v>87</v>
      </c>
      <c r="V15041" s="16" t="str">
        <f>IFERROR(__xludf.DUMMYFUNCTION("""COMPUTED_VALUE"""),"")</f>
        <v/>
      </c>
      <c r="W15041" s="16" t="str">
        <f>IFERROR(__xludf.DUMMYFUNCTION("""COMPUTED_VALUE"""),"")</f>
        <v/>
      </c>
      <c r="X15041" s="16" t="str">
        <f>IFERROR(__xludf.DUMMYFUNCTION("""COMPUTED_VALUE"""),"")</f>
        <v/>
      </c>
      <c r="AC15041" s="16" t="str">
        <f>IFERROR(__xludf.DUMMYFUNCTION("""COMPUTED_VALUE"""),"")</f>
        <v/>
      </c>
    </row>
    <row r="15042">
      <c r="A15042" s="16" t="s">
        <v>87</v>
      </c>
      <c r="E15042" s="16" t="str">
        <f>IFERROR(__xludf.DUMMYFUNCTION("""COMPUTED_VALUE"""),"")</f>
        <v/>
      </c>
      <c r="G15042" s="18"/>
      <c r="H15042" s="16" t="s">
        <v>87</v>
      </c>
      <c r="I15042" s="16" t="s">
        <v>87</v>
      </c>
      <c r="J15042" s="19"/>
      <c r="L15042" s="16" t="str">
        <f>IFERROR(__xludf.DUMMYFUNCTION("""COMPUTED_VALUE"""),"")</f>
        <v/>
      </c>
      <c r="M15042" s="16" t="str">
        <f>IFERROR(__xludf.DUMMYFUNCTION("""COMPUTED_VALUE"""),"")</f>
        <v/>
      </c>
      <c r="U15042" s="16" t="s">
        <v>87</v>
      </c>
      <c r="V15042" s="16" t="str">
        <f>IFERROR(__xludf.DUMMYFUNCTION("""COMPUTED_VALUE"""),"")</f>
        <v/>
      </c>
      <c r="W15042" s="16" t="str">
        <f>IFERROR(__xludf.DUMMYFUNCTION("""COMPUTED_VALUE"""),"")</f>
        <v/>
      </c>
      <c r="X15042" s="16" t="str">
        <f>IFERROR(__xludf.DUMMYFUNCTION("""COMPUTED_VALUE"""),"")</f>
        <v/>
      </c>
      <c r="AC15042" s="16" t="str">
        <f>IFERROR(__xludf.DUMMYFUNCTION("""COMPUTED_VALUE"""),"")</f>
        <v/>
      </c>
    </row>
    <row r="15043">
      <c r="A15043" s="16" t="s">
        <v>87</v>
      </c>
      <c r="E15043" s="16" t="str">
        <f>IFERROR(__xludf.DUMMYFUNCTION("""COMPUTED_VALUE"""),"")</f>
        <v/>
      </c>
      <c r="G15043" s="18"/>
      <c r="H15043" s="16" t="s">
        <v>87</v>
      </c>
      <c r="I15043" s="16" t="s">
        <v>87</v>
      </c>
      <c r="J15043" s="19"/>
      <c r="L15043" s="16" t="str">
        <f>IFERROR(__xludf.DUMMYFUNCTION("""COMPUTED_VALUE"""),"")</f>
        <v/>
      </c>
      <c r="M15043" s="16" t="str">
        <f>IFERROR(__xludf.DUMMYFUNCTION("""COMPUTED_VALUE"""),"")</f>
        <v/>
      </c>
      <c r="U15043" s="16" t="s">
        <v>87</v>
      </c>
      <c r="V15043" s="16" t="str">
        <f>IFERROR(__xludf.DUMMYFUNCTION("""COMPUTED_VALUE"""),"")</f>
        <v/>
      </c>
      <c r="W15043" s="16" t="str">
        <f>IFERROR(__xludf.DUMMYFUNCTION("""COMPUTED_VALUE"""),"")</f>
        <v/>
      </c>
      <c r="X15043" s="16" t="str">
        <f>IFERROR(__xludf.DUMMYFUNCTION("""COMPUTED_VALUE"""),"")</f>
        <v/>
      </c>
      <c r="AC15043" s="16" t="str">
        <f>IFERROR(__xludf.DUMMYFUNCTION("""COMPUTED_VALUE"""),"")</f>
        <v/>
      </c>
    </row>
    <row r="15044">
      <c r="A15044" s="16" t="s">
        <v>87</v>
      </c>
      <c r="E15044" s="16" t="str">
        <f>IFERROR(__xludf.DUMMYFUNCTION("""COMPUTED_VALUE"""),"")</f>
        <v/>
      </c>
      <c r="G15044" s="18"/>
      <c r="H15044" s="16" t="s">
        <v>87</v>
      </c>
      <c r="I15044" s="16" t="s">
        <v>87</v>
      </c>
      <c r="J15044" s="19"/>
      <c r="L15044" s="16" t="str">
        <f>IFERROR(__xludf.DUMMYFUNCTION("""COMPUTED_VALUE"""),"")</f>
        <v/>
      </c>
      <c r="M15044" s="16" t="str">
        <f>IFERROR(__xludf.DUMMYFUNCTION("""COMPUTED_VALUE"""),"")</f>
        <v/>
      </c>
      <c r="U15044" s="16" t="s">
        <v>87</v>
      </c>
      <c r="V15044" s="16" t="str">
        <f>IFERROR(__xludf.DUMMYFUNCTION("""COMPUTED_VALUE"""),"")</f>
        <v/>
      </c>
      <c r="W15044" s="16" t="str">
        <f>IFERROR(__xludf.DUMMYFUNCTION("""COMPUTED_VALUE"""),"")</f>
        <v/>
      </c>
      <c r="X15044" s="16" t="str">
        <f>IFERROR(__xludf.DUMMYFUNCTION("""COMPUTED_VALUE"""),"")</f>
        <v/>
      </c>
      <c r="AC15044" s="16" t="str">
        <f>IFERROR(__xludf.DUMMYFUNCTION("""COMPUTED_VALUE"""),"")</f>
        <v/>
      </c>
    </row>
    <row r="15045">
      <c r="A15045" s="16" t="s">
        <v>87</v>
      </c>
      <c r="E15045" s="16" t="str">
        <f>IFERROR(__xludf.DUMMYFUNCTION("""COMPUTED_VALUE"""),"")</f>
        <v/>
      </c>
      <c r="G15045" s="18"/>
      <c r="H15045" s="16" t="s">
        <v>87</v>
      </c>
      <c r="I15045" s="16" t="s">
        <v>87</v>
      </c>
      <c r="J15045" s="19"/>
      <c r="L15045" s="16" t="str">
        <f>IFERROR(__xludf.DUMMYFUNCTION("""COMPUTED_VALUE"""),"")</f>
        <v/>
      </c>
      <c r="M15045" s="16" t="str">
        <f>IFERROR(__xludf.DUMMYFUNCTION("""COMPUTED_VALUE"""),"")</f>
        <v/>
      </c>
      <c r="U15045" s="16" t="s">
        <v>87</v>
      </c>
      <c r="V15045" s="16" t="str">
        <f>IFERROR(__xludf.DUMMYFUNCTION("""COMPUTED_VALUE"""),"")</f>
        <v/>
      </c>
      <c r="W15045" s="16" t="str">
        <f>IFERROR(__xludf.DUMMYFUNCTION("""COMPUTED_VALUE"""),"")</f>
        <v/>
      </c>
      <c r="X15045" s="16" t="str">
        <f>IFERROR(__xludf.DUMMYFUNCTION("""COMPUTED_VALUE"""),"")</f>
        <v/>
      </c>
      <c r="AC15045" s="16" t="str">
        <f>IFERROR(__xludf.DUMMYFUNCTION("""COMPUTED_VALUE"""),"")</f>
        <v/>
      </c>
    </row>
    <row r="15046">
      <c r="A15046" s="16" t="s">
        <v>87</v>
      </c>
      <c r="E15046" s="16" t="str">
        <f>IFERROR(__xludf.DUMMYFUNCTION("""COMPUTED_VALUE"""),"")</f>
        <v/>
      </c>
      <c r="G15046" s="18"/>
      <c r="H15046" s="16" t="s">
        <v>87</v>
      </c>
      <c r="I15046" s="16" t="s">
        <v>87</v>
      </c>
      <c r="J15046" s="19"/>
      <c r="L15046" s="16" t="str">
        <f>IFERROR(__xludf.DUMMYFUNCTION("""COMPUTED_VALUE"""),"")</f>
        <v/>
      </c>
      <c r="M15046" s="16" t="str">
        <f>IFERROR(__xludf.DUMMYFUNCTION("""COMPUTED_VALUE"""),"")</f>
        <v/>
      </c>
      <c r="U15046" s="16" t="s">
        <v>87</v>
      </c>
      <c r="V15046" s="16" t="str">
        <f>IFERROR(__xludf.DUMMYFUNCTION("""COMPUTED_VALUE"""),"")</f>
        <v/>
      </c>
      <c r="W15046" s="16" t="str">
        <f>IFERROR(__xludf.DUMMYFUNCTION("""COMPUTED_VALUE"""),"")</f>
        <v/>
      </c>
      <c r="X15046" s="16" t="str">
        <f>IFERROR(__xludf.DUMMYFUNCTION("""COMPUTED_VALUE"""),"")</f>
        <v/>
      </c>
      <c r="AC15046" s="16" t="str">
        <f>IFERROR(__xludf.DUMMYFUNCTION("""COMPUTED_VALUE"""),"")</f>
        <v/>
      </c>
    </row>
    <row r="15047">
      <c r="A15047" s="16" t="s">
        <v>87</v>
      </c>
      <c r="E15047" s="16" t="str">
        <f>IFERROR(__xludf.DUMMYFUNCTION("""COMPUTED_VALUE"""),"")</f>
        <v/>
      </c>
      <c r="G15047" s="18"/>
      <c r="H15047" s="16" t="s">
        <v>87</v>
      </c>
      <c r="I15047" s="16" t="s">
        <v>87</v>
      </c>
      <c r="J15047" s="19"/>
      <c r="L15047" s="16" t="str">
        <f>IFERROR(__xludf.DUMMYFUNCTION("""COMPUTED_VALUE"""),"")</f>
        <v/>
      </c>
      <c r="M15047" s="16" t="str">
        <f>IFERROR(__xludf.DUMMYFUNCTION("""COMPUTED_VALUE"""),"")</f>
        <v/>
      </c>
      <c r="U15047" s="16" t="s">
        <v>87</v>
      </c>
      <c r="V15047" s="16" t="str">
        <f>IFERROR(__xludf.DUMMYFUNCTION("""COMPUTED_VALUE"""),"")</f>
        <v/>
      </c>
      <c r="W15047" s="16" t="str">
        <f>IFERROR(__xludf.DUMMYFUNCTION("""COMPUTED_VALUE"""),"")</f>
        <v/>
      </c>
      <c r="X15047" s="16" t="str">
        <f>IFERROR(__xludf.DUMMYFUNCTION("""COMPUTED_VALUE"""),"")</f>
        <v/>
      </c>
      <c r="AC15047" s="16" t="str">
        <f>IFERROR(__xludf.DUMMYFUNCTION("""COMPUTED_VALUE"""),"")</f>
        <v/>
      </c>
    </row>
    <row r="15048">
      <c r="A15048" s="16" t="s">
        <v>87</v>
      </c>
      <c r="E15048" s="16" t="str">
        <f>IFERROR(__xludf.DUMMYFUNCTION("""COMPUTED_VALUE"""),"")</f>
        <v/>
      </c>
      <c r="G15048" s="18"/>
      <c r="H15048" s="16" t="s">
        <v>87</v>
      </c>
      <c r="I15048" s="16" t="s">
        <v>87</v>
      </c>
      <c r="J15048" s="19"/>
      <c r="L15048" s="16" t="str">
        <f>IFERROR(__xludf.DUMMYFUNCTION("""COMPUTED_VALUE"""),"")</f>
        <v/>
      </c>
      <c r="M15048" s="16" t="str">
        <f>IFERROR(__xludf.DUMMYFUNCTION("""COMPUTED_VALUE"""),"")</f>
        <v/>
      </c>
      <c r="U15048" s="16" t="s">
        <v>87</v>
      </c>
      <c r="V15048" s="16" t="str">
        <f>IFERROR(__xludf.DUMMYFUNCTION("""COMPUTED_VALUE"""),"")</f>
        <v/>
      </c>
      <c r="W15048" s="16" t="str">
        <f>IFERROR(__xludf.DUMMYFUNCTION("""COMPUTED_VALUE"""),"")</f>
        <v/>
      </c>
      <c r="X15048" s="16" t="str">
        <f>IFERROR(__xludf.DUMMYFUNCTION("""COMPUTED_VALUE"""),"")</f>
        <v/>
      </c>
      <c r="AC15048" s="16" t="str">
        <f>IFERROR(__xludf.DUMMYFUNCTION("""COMPUTED_VALUE"""),"")</f>
        <v/>
      </c>
    </row>
    <row r="15049">
      <c r="A15049" s="16" t="s">
        <v>87</v>
      </c>
      <c r="E15049" s="16" t="str">
        <f>IFERROR(__xludf.DUMMYFUNCTION("""COMPUTED_VALUE"""),"")</f>
        <v/>
      </c>
      <c r="G15049" s="18"/>
      <c r="H15049" s="16" t="s">
        <v>87</v>
      </c>
      <c r="I15049" s="16" t="s">
        <v>87</v>
      </c>
      <c r="J15049" s="19"/>
      <c r="L15049" s="16" t="str">
        <f>IFERROR(__xludf.DUMMYFUNCTION("""COMPUTED_VALUE"""),"")</f>
        <v/>
      </c>
      <c r="M15049" s="16" t="str">
        <f>IFERROR(__xludf.DUMMYFUNCTION("""COMPUTED_VALUE"""),"")</f>
        <v/>
      </c>
      <c r="U15049" s="16" t="s">
        <v>87</v>
      </c>
      <c r="V15049" s="16" t="str">
        <f>IFERROR(__xludf.DUMMYFUNCTION("""COMPUTED_VALUE"""),"")</f>
        <v/>
      </c>
      <c r="W15049" s="16" t="str">
        <f>IFERROR(__xludf.DUMMYFUNCTION("""COMPUTED_VALUE"""),"")</f>
        <v/>
      </c>
      <c r="X15049" s="16" t="str">
        <f>IFERROR(__xludf.DUMMYFUNCTION("""COMPUTED_VALUE"""),"")</f>
        <v/>
      </c>
      <c r="AC15049" s="16" t="str">
        <f>IFERROR(__xludf.DUMMYFUNCTION("""COMPUTED_VALUE"""),"")</f>
        <v/>
      </c>
    </row>
    <row r="15050">
      <c r="A15050" s="16" t="s">
        <v>87</v>
      </c>
      <c r="E15050" s="16" t="str">
        <f>IFERROR(__xludf.DUMMYFUNCTION("""COMPUTED_VALUE"""),"")</f>
        <v/>
      </c>
      <c r="G15050" s="18"/>
      <c r="H15050" s="16" t="s">
        <v>87</v>
      </c>
      <c r="I15050" s="16" t="s">
        <v>87</v>
      </c>
      <c r="J15050" s="19"/>
      <c r="L15050" s="16" t="str">
        <f>IFERROR(__xludf.DUMMYFUNCTION("""COMPUTED_VALUE"""),"")</f>
        <v/>
      </c>
      <c r="M15050" s="16" t="str">
        <f>IFERROR(__xludf.DUMMYFUNCTION("""COMPUTED_VALUE"""),"")</f>
        <v/>
      </c>
      <c r="U15050" s="16" t="s">
        <v>87</v>
      </c>
      <c r="V15050" s="16" t="str">
        <f>IFERROR(__xludf.DUMMYFUNCTION("""COMPUTED_VALUE"""),"")</f>
        <v/>
      </c>
      <c r="W15050" s="16" t="str">
        <f>IFERROR(__xludf.DUMMYFUNCTION("""COMPUTED_VALUE"""),"")</f>
        <v/>
      </c>
      <c r="X15050" s="16" t="str">
        <f>IFERROR(__xludf.DUMMYFUNCTION("""COMPUTED_VALUE"""),"")</f>
        <v/>
      </c>
      <c r="AC15050" s="16" t="str">
        <f>IFERROR(__xludf.DUMMYFUNCTION("""COMPUTED_VALUE"""),"")</f>
        <v/>
      </c>
    </row>
    <row r="15051">
      <c r="A15051" s="16" t="s">
        <v>87</v>
      </c>
      <c r="E15051" s="16" t="str">
        <f>IFERROR(__xludf.DUMMYFUNCTION("""COMPUTED_VALUE"""),"")</f>
        <v/>
      </c>
      <c r="G15051" s="18"/>
      <c r="H15051" s="16" t="s">
        <v>87</v>
      </c>
      <c r="I15051" s="16" t="s">
        <v>87</v>
      </c>
      <c r="J15051" s="19"/>
      <c r="L15051" s="16" t="str">
        <f>IFERROR(__xludf.DUMMYFUNCTION("""COMPUTED_VALUE"""),"")</f>
        <v/>
      </c>
      <c r="M15051" s="16" t="str">
        <f>IFERROR(__xludf.DUMMYFUNCTION("""COMPUTED_VALUE"""),"")</f>
        <v/>
      </c>
      <c r="U15051" s="16" t="s">
        <v>87</v>
      </c>
      <c r="V15051" s="16" t="str">
        <f>IFERROR(__xludf.DUMMYFUNCTION("""COMPUTED_VALUE"""),"")</f>
        <v/>
      </c>
      <c r="W15051" s="16" t="str">
        <f>IFERROR(__xludf.DUMMYFUNCTION("""COMPUTED_VALUE"""),"")</f>
        <v/>
      </c>
      <c r="X15051" s="16" t="str">
        <f>IFERROR(__xludf.DUMMYFUNCTION("""COMPUTED_VALUE"""),"")</f>
        <v/>
      </c>
      <c r="AC15051" s="16" t="str">
        <f>IFERROR(__xludf.DUMMYFUNCTION("""COMPUTED_VALUE"""),"")</f>
        <v/>
      </c>
    </row>
    <row r="15052">
      <c r="A15052" s="16" t="s">
        <v>87</v>
      </c>
      <c r="E15052" s="16" t="str">
        <f>IFERROR(__xludf.DUMMYFUNCTION("""COMPUTED_VALUE"""),"")</f>
        <v/>
      </c>
      <c r="G15052" s="18"/>
      <c r="H15052" s="16" t="s">
        <v>87</v>
      </c>
      <c r="I15052" s="16" t="s">
        <v>87</v>
      </c>
      <c r="J15052" s="19"/>
      <c r="L15052" s="16" t="str">
        <f>IFERROR(__xludf.DUMMYFUNCTION("""COMPUTED_VALUE"""),"")</f>
        <v/>
      </c>
      <c r="M15052" s="16" t="str">
        <f>IFERROR(__xludf.DUMMYFUNCTION("""COMPUTED_VALUE"""),"")</f>
        <v/>
      </c>
      <c r="U15052" s="16" t="s">
        <v>87</v>
      </c>
      <c r="V15052" s="16" t="str">
        <f>IFERROR(__xludf.DUMMYFUNCTION("""COMPUTED_VALUE"""),"")</f>
        <v/>
      </c>
      <c r="W15052" s="16" t="str">
        <f>IFERROR(__xludf.DUMMYFUNCTION("""COMPUTED_VALUE"""),"")</f>
        <v/>
      </c>
      <c r="X15052" s="16" t="str">
        <f>IFERROR(__xludf.DUMMYFUNCTION("""COMPUTED_VALUE"""),"")</f>
        <v/>
      </c>
      <c r="AC15052" s="16" t="str">
        <f>IFERROR(__xludf.DUMMYFUNCTION("""COMPUTED_VALUE"""),"")</f>
        <v/>
      </c>
    </row>
    <row r="15053">
      <c r="A15053" s="16" t="s">
        <v>87</v>
      </c>
      <c r="E15053" s="16" t="str">
        <f>IFERROR(__xludf.DUMMYFUNCTION("""COMPUTED_VALUE"""),"")</f>
        <v/>
      </c>
      <c r="G15053" s="18"/>
      <c r="H15053" s="16" t="s">
        <v>87</v>
      </c>
      <c r="I15053" s="16" t="s">
        <v>87</v>
      </c>
      <c r="J15053" s="19"/>
      <c r="L15053" s="16" t="str">
        <f>IFERROR(__xludf.DUMMYFUNCTION("""COMPUTED_VALUE"""),"")</f>
        <v/>
      </c>
      <c r="M15053" s="16" t="str">
        <f>IFERROR(__xludf.DUMMYFUNCTION("""COMPUTED_VALUE"""),"")</f>
        <v/>
      </c>
      <c r="U15053" s="16" t="s">
        <v>87</v>
      </c>
      <c r="V15053" s="16" t="str">
        <f>IFERROR(__xludf.DUMMYFUNCTION("""COMPUTED_VALUE"""),"")</f>
        <v/>
      </c>
      <c r="W15053" s="16" t="str">
        <f>IFERROR(__xludf.DUMMYFUNCTION("""COMPUTED_VALUE"""),"")</f>
        <v/>
      </c>
      <c r="X15053" s="16" t="str">
        <f>IFERROR(__xludf.DUMMYFUNCTION("""COMPUTED_VALUE"""),"")</f>
        <v/>
      </c>
      <c r="AC15053" s="16" t="str">
        <f>IFERROR(__xludf.DUMMYFUNCTION("""COMPUTED_VALUE"""),"")</f>
        <v/>
      </c>
    </row>
    <row r="15054">
      <c r="A15054" s="16" t="s">
        <v>87</v>
      </c>
      <c r="E15054" s="16" t="str">
        <f>IFERROR(__xludf.DUMMYFUNCTION("""COMPUTED_VALUE"""),"")</f>
        <v/>
      </c>
      <c r="G15054" s="18"/>
      <c r="H15054" s="16" t="s">
        <v>87</v>
      </c>
      <c r="I15054" s="16" t="s">
        <v>87</v>
      </c>
      <c r="J15054" s="19"/>
      <c r="L15054" s="16" t="str">
        <f>IFERROR(__xludf.DUMMYFUNCTION("""COMPUTED_VALUE"""),"")</f>
        <v/>
      </c>
      <c r="M15054" s="16" t="str">
        <f>IFERROR(__xludf.DUMMYFUNCTION("""COMPUTED_VALUE"""),"")</f>
        <v/>
      </c>
      <c r="U15054" s="16" t="s">
        <v>87</v>
      </c>
      <c r="V15054" s="16" t="str">
        <f>IFERROR(__xludf.DUMMYFUNCTION("""COMPUTED_VALUE"""),"")</f>
        <v/>
      </c>
      <c r="W15054" s="16" t="str">
        <f>IFERROR(__xludf.DUMMYFUNCTION("""COMPUTED_VALUE"""),"")</f>
        <v/>
      </c>
      <c r="X15054" s="16" t="str">
        <f>IFERROR(__xludf.DUMMYFUNCTION("""COMPUTED_VALUE"""),"")</f>
        <v/>
      </c>
      <c r="AC15054" s="16" t="str">
        <f>IFERROR(__xludf.DUMMYFUNCTION("""COMPUTED_VALUE"""),"")</f>
        <v/>
      </c>
    </row>
    <row r="15055">
      <c r="A15055" s="16" t="s">
        <v>87</v>
      </c>
      <c r="E15055" s="16" t="str">
        <f>IFERROR(__xludf.DUMMYFUNCTION("""COMPUTED_VALUE"""),"")</f>
        <v/>
      </c>
      <c r="G15055" s="18"/>
      <c r="H15055" s="16" t="s">
        <v>87</v>
      </c>
      <c r="I15055" s="16" t="s">
        <v>87</v>
      </c>
      <c r="J15055" s="19"/>
      <c r="L15055" s="16" t="str">
        <f>IFERROR(__xludf.DUMMYFUNCTION("""COMPUTED_VALUE"""),"")</f>
        <v/>
      </c>
      <c r="M15055" s="16" t="str">
        <f>IFERROR(__xludf.DUMMYFUNCTION("""COMPUTED_VALUE"""),"")</f>
        <v/>
      </c>
      <c r="U15055" s="16" t="s">
        <v>87</v>
      </c>
      <c r="V15055" s="16" t="str">
        <f>IFERROR(__xludf.DUMMYFUNCTION("""COMPUTED_VALUE"""),"")</f>
        <v/>
      </c>
      <c r="W15055" s="16" t="str">
        <f>IFERROR(__xludf.DUMMYFUNCTION("""COMPUTED_VALUE"""),"")</f>
        <v/>
      </c>
      <c r="X15055" s="16" t="str">
        <f>IFERROR(__xludf.DUMMYFUNCTION("""COMPUTED_VALUE"""),"")</f>
        <v/>
      </c>
      <c r="AC15055" s="16" t="str">
        <f>IFERROR(__xludf.DUMMYFUNCTION("""COMPUTED_VALUE"""),"")</f>
        <v/>
      </c>
    </row>
    <row r="15056">
      <c r="A15056" s="16" t="s">
        <v>87</v>
      </c>
      <c r="E15056" s="16" t="str">
        <f>IFERROR(__xludf.DUMMYFUNCTION("""COMPUTED_VALUE"""),"")</f>
        <v/>
      </c>
      <c r="G15056" s="18"/>
      <c r="H15056" s="16" t="s">
        <v>87</v>
      </c>
      <c r="I15056" s="16" t="s">
        <v>87</v>
      </c>
      <c r="J15056" s="19"/>
      <c r="L15056" s="16" t="str">
        <f>IFERROR(__xludf.DUMMYFUNCTION("""COMPUTED_VALUE"""),"")</f>
        <v/>
      </c>
      <c r="M15056" s="16" t="str">
        <f>IFERROR(__xludf.DUMMYFUNCTION("""COMPUTED_VALUE"""),"")</f>
        <v/>
      </c>
      <c r="U15056" s="16" t="s">
        <v>87</v>
      </c>
      <c r="V15056" s="16" t="str">
        <f>IFERROR(__xludf.DUMMYFUNCTION("""COMPUTED_VALUE"""),"")</f>
        <v/>
      </c>
      <c r="W15056" s="16" t="str">
        <f>IFERROR(__xludf.DUMMYFUNCTION("""COMPUTED_VALUE"""),"")</f>
        <v/>
      </c>
      <c r="X15056" s="16" t="str">
        <f>IFERROR(__xludf.DUMMYFUNCTION("""COMPUTED_VALUE"""),"")</f>
        <v/>
      </c>
      <c r="AC15056" s="16" t="str">
        <f>IFERROR(__xludf.DUMMYFUNCTION("""COMPUTED_VALUE"""),"")</f>
        <v/>
      </c>
    </row>
    <row r="15057">
      <c r="A15057" s="16" t="s">
        <v>87</v>
      </c>
      <c r="E15057" s="16" t="str">
        <f>IFERROR(__xludf.DUMMYFUNCTION("""COMPUTED_VALUE"""),"")</f>
        <v/>
      </c>
      <c r="G15057" s="18"/>
      <c r="H15057" s="16" t="s">
        <v>87</v>
      </c>
      <c r="I15057" s="16" t="s">
        <v>87</v>
      </c>
      <c r="J15057" s="19"/>
      <c r="L15057" s="16" t="str">
        <f>IFERROR(__xludf.DUMMYFUNCTION("""COMPUTED_VALUE"""),"")</f>
        <v/>
      </c>
      <c r="M15057" s="16" t="str">
        <f>IFERROR(__xludf.DUMMYFUNCTION("""COMPUTED_VALUE"""),"")</f>
        <v/>
      </c>
      <c r="U15057" s="16" t="s">
        <v>87</v>
      </c>
      <c r="V15057" s="16" t="str">
        <f>IFERROR(__xludf.DUMMYFUNCTION("""COMPUTED_VALUE"""),"")</f>
        <v/>
      </c>
      <c r="W15057" s="16" t="str">
        <f>IFERROR(__xludf.DUMMYFUNCTION("""COMPUTED_VALUE"""),"")</f>
        <v/>
      </c>
      <c r="X15057" s="16" t="str">
        <f>IFERROR(__xludf.DUMMYFUNCTION("""COMPUTED_VALUE"""),"")</f>
        <v/>
      </c>
      <c r="AC15057" s="16" t="str">
        <f>IFERROR(__xludf.DUMMYFUNCTION("""COMPUTED_VALUE"""),"")</f>
        <v/>
      </c>
    </row>
    <row r="15058">
      <c r="A15058" s="16" t="s">
        <v>87</v>
      </c>
      <c r="E15058" s="16" t="str">
        <f>IFERROR(__xludf.DUMMYFUNCTION("""COMPUTED_VALUE"""),"")</f>
        <v/>
      </c>
      <c r="G15058" s="18"/>
      <c r="H15058" s="16" t="s">
        <v>87</v>
      </c>
      <c r="I15058" s="16" t="s">
        <v>87</v>
      </c>
      <c r="J15058" s="19"/>
      <c r="L15058" s="16" t="str">
        <f>IFERROR(__xludf.DUMMYFUNCTION("""COMPUTED_VALUE"""),"")</f>
        <v/>
      </c>
      <c r="M15058" s="16" t="str">
        <f>IFERROR(__xludf.DUMMYFUNCTION("""COMPUTED_VALUE"""),"")</f>
        <v/>
      </c>
      <c r="U15058" s="16" t="s">
        <v>87</v>
      </c>
      <c r="V15058" s="16" t="str">
        <f>IFERROR(__xludf.DUMMYFUNCTION("""COMPUTED_VALUE"""),"")</f>
        <v/>
      </c>
      <c r="W15058" s="16" t="str">
        <f>IFERROR(__xludf.DUMMYFUNCTION("""COMPUTED_VALUE"""),"")</f>
        <v/>
      </c>
      <c r="X15058" s="16" t="str">
        <f>IFERROR(__xludf.DUMMYFUNCTION("""COMPUTED_VALUE"""),"")</f>
        <v/>
      </c>
      <c r="AC15058" s="16" t="str">
        <f>IFERROR(__xludf.DUMMYFUNCTION("""COMPUTED_VALUE"""),"")</f>
        <v/>
      </c>
    </row>
    <row r="15059">
      <c r="A15059" s="16" t="s">
        <v>87</v>
      </c>
      <c r="E15059" s="16" t="str">
        <f>IFERROR(__xludf.DUMMYFUNCTION("""COMPUTED_VALUE"""),"")</f>
        <v/>
      </c>
      <c r="G15059" s="18"/>
      <c r="H15059" s="16" t="s">
        <v>87</v>
      </c>
      <c r="I15059" s="16" t="s">
        <v>87</v>
      </c>
      <c r="J15059" s="19"/>
      <c r="L15059" s="16" t="str">
        <f>IFERROR(__xludf.DUMMYFUNCTION("""COMPUTED_VALUE"""),"")</f>
        <v/>
      </c>
      <c r="M15059" s="16" t="str">
        <f>IFERROR(__xludf.DUMMYFUNCTION("""COMPUTED_VALUE"""),"")</f>
        <v/>
      </c>
      <c r="U15059" s="16" t="s">
        <v>87</v>
      </c>
      <c r="V15059" s="16" t="str">
        <f>IFERROR(__xludf.DUMMYFUNCTION("""COMPUTED_VALUE"""),"")</f>
        <v/>
      </c>
      <c r="W15059" s="16" t="str">
        <f>IFERROR(__xludf.DUMMYFUNCTION("""COMPUTED_VALUE"""),"")</f>
        <v/>
      </c>
      <c r="X15059" s="16" t="str">
        <f>IFERROR(__xludf.DUMMYFUNCTION("""COMPUTED_VALUE"""),"")</f>
        <v/>
      </c>
      <c r="AC15059" s="16" t="str">
        <f>IFERROR(__xludf.DUMMYFUNCTION("""COMPUTED_VALUE"""),"")</f>
        <v/>
      </c>
    </row>
    <row r="15060">
      <c r="A15060" s="16" t="s">
        <v>87</v>
      </c>
      <c r="E15060" s="16" t="str">
        <f>IFERROR(__xludf.DUMMYFUNCTION("""COMPUTED_VALUE"""),"")</f>
        <v/>
      </c>
      <c r="G15060" s="18"/>
      <c r="H15060" s="16" t="s">
        <v>87</v>
      </c>
      <c r="I15060" s="16" t="s">
        <v>87</v>
      </c>
      <c r="J15060" s="19"/>
      <c r="L15060" s="16" t="str">
        <f>IFERROR(__xludf.DUMMYFUNCTION("""COMPUTED_VALUE"""),"")</f>
        <v/>
      </c>
      <c r="M15060" s="16" t="str">
        <f>IFERROR(__xludf.DUMMYFUNCTION("""COMPUTED_VALUE"""),"")</f>
        <v/>
      </c>
      <c r="U15060" s="16" t="s">
        <v>87</v>
      </c>
      <c r="V15060" s="16" t="str">
        <f>IFERROR(__xludf.DUMMYFUNCTION("""COMPUTED_VALUE"""),"")</f>
        <v/>
      </c>
      <c r="W15060" s="16" t="str">
        <f>IFERROR(__xludf.DUMMYFUNCTION("""COMPUTED_VALUE"""),"")</f>
        <v/>
      </c>
      <c r="X15060" s="16" t="str">
        <f>IFERROR(__xludf.DUMMYFUNCTION("""COMPUTED_VALUE"""),"")</f>
        <v/>
      </c>
      <c r="AC15060" s="16" t="str">
        <f>IFERROR(__xludf.DUMMYFUNCTION("""COMPUTED_VALUE"""),"")</f>
        <v/>
      </c>
    </row>
    <row r="15061">
      <c r="A15061" s="16" t="s">
        <v>87</v>
      </c>
      <c r="E15061" s="16" t="str">
        <f>IFERROR(__xludf.DUMMYFUNCTION("""COMPUTED_VALUE"""),"")</f>
        <v/>
      </c>
      <c r="G15061" s="18"/>
      <c r="H15061" s="16" t="s">
        <v>87</v>
      </c>
      <c r="I15061" s="16" t="s">
        <v>87</v>
      </c>
      <c r="J15061" s="19"/>
      <c r="L15061" s="16" t="str">
        <f>IFERROR(__xludf.DUMMYFUNCTION("""COMPUTED_VALUE"""),"")</f>
        <v/>
      </c>
      <c r="M15061" s="16" t="str">
        <f>IFERROR(__xludf.DUMMYFUNCTION("""COMPUTED_VALUE"""),"")</f>
        <v/>
      </c>
      <c r="U15061" s="16" t="s">
        <v>87</v>
      </c>
      <c r="V15061" s="16" t="str">
        <f>IFERROR(__xludf.DUMMYFUNCTION("""COMPUTED_VALUE"""),"")</f>
        <v/>
      </c>
      <c r="W15061" s="16" t="str">
        <f>IFERROR(__xludf.DUMMYFUNCTION("""COMPUTED_VALUE"""),"")</f>
        <v/>
      </c>
      <c r="X15061" s="16" t="str">
        <f>IFERROR(__xludf.DUMMYFUNCTION("""COMPUTED_VALUE"""),"")</f>
        <v/>
      </c>
      <c r="AC15061" s="16" t="str">
        <f>IFERROR(__xludf.DUMMYFUNCTION("""COMPUTED_VALUE"""),"")</f>
        <v/>
      </c>
    </row>
    <row r="15062">
      <c r="A15062" s="16" t="s">
        <v>87</v>
      </c>
      <c r="E15062" s="16" t="str">
        <f>IFERROR(__xludf.DUMMYFUNCTION("""COMPUTED_VALUE"""),"")</f>
        <v/>
      </c>
      <c r="G15062" s="18"/>
      <c r="H15062" s="16" t="s">
        <v>87</v>
      </c>
      <c r="I15062" s="16" t="s">
        <v>87</v>
      </c>
      <c r="J15062" s="19"/>
      <c r="L15062" s="16" t="str">
        <f>IFERROR(__xludf.DUMMYFUNCTION("""COMPUTED_VALUE"""),"")</f>
        <v/>
      </c>
      <c r="M15062" s="16" t="str">
        <f>IFERROR(__xludf.DUMMYFUNCTION("""COMPUTED_VALUE"""),"")</f>
        <v/>
      </c>
      <c r="U15062" s="16" t="s">
        <v>87</v>
      </c>
      <c r="V15062" s="16" t="str">
        <f>IFERROR(__xludf.DUMMYFUNCTION("""COMPUTED_VALUE"""),"")</f>
        <v/>
      </c>
      <c r="W15062" s="16" t="str">
        <f>IFERROR(__xludf.DUMMYFUNCTION("""COMPUTED_VALUE"""),"")</f>
        <v/>
      </c>
      <c r="X15062" s="16" t="str">
        <f>IFERROR(__xludf.DUMMYFUNCTION("""COMPUTED_VALUE"""),"")</f>
        <v/>
      </c>
      <c r="AC15062" s="16" t="str">
        <f>IFERROR(__xludf.DUMMYFUNCTION("""COMPUTED_VALUE"""),"")</f>
        <v/>
      </c>
    </row>
    <row r="15063">
      <c r="A15063" s="16" t="s">
        <v>87</v>
      </c>
      <c r="E15063" s="16" t="str">
        <f>IFERROR(__xludf.DUMMYFUNCTION("""COMPUTED_VALUE"""),"")</f>
        <v/>
      </c>
      <c r="G15063" s="18"/>
      <c r="H15063" s="16" t="s">
        <v>87</v>
      </c>
      <c r="I15063" s="16" t="s">
        <v>87</v>
      </c>
      <c r="J15063" s="19"/>
      <c r="L15063" s="16" t="str">
        <f>IFERROR(__xludf.DUMMYFUNCTION("""COMPUTED_VALUE"""),"")</f>
        <v/>
      </c>
      <c r="M15063" s="16" t="str">
        <f>IFERROR(__xludf.DUMMYFUNCTION("""COMPUTED_VALUE"""),"")</f>
        <v/>
      </c>
      <c r="U15063" s="16" t="s">
        <v>87</v>
      </c>
      <c r="V15063" s="16" t="str">
        <f>IFERROR(__xludf.DUMMYFUNCTION("""COMPUTED_VALUE"""),"")</f>
        <v/>
      </c>
      <c r="W15063" s="16" t="str">
        <f>IFERROR(__xludf.DUMMYFUNCTION("""COMPUTED_VALUE"""),"")</f>
        <v/>
      </c>
      <c r="X15063" s="16" t="str">
        <f>IFERROR(__xludf.DUMMYFUNCTION("""COMPUTED_VALUE"""),"")</f>
        <v/>
      </c>
      <c r="AC15063" s="16" t="str">
        <f>IFERROR(__xludf.DUMMYFUNCTION("""COMPUTED_VALUE"""),"")</f>
        <v/>
      </c>
    </row>
    <row r="15064">
      <c r="A15064" s="16" t="s">
        <v>87</v>
      </c>
      <c r="E15064" s="16" t="str">
        <f>IFERROR(__xludf.DUMMYFUNCTION("""COMPUTED_VALUE"""),"")</f>
        <v/>
      </c>
      <c r="G15064" s="18"/>
      <c r="H15064" s="16" t="s">
        <v>87</v>
      </c>
      <c r="I15064" s="16" t="s">
        <v>87</v>
      </c>
      <c r="J15064" s="19"/>
      <c r="L15064" s="16" t="str">
        <f>IFERROR(__xludf.DUMMYFUNCTION("""COMPUTED_VALUE"""),"")</f>
        <v/>
      </c>
      <c r="M15064" s="16" t="str">
        <f>IFERROR(__xludf.DUMMYFUNCTION("""COMPUTED_VALUE"""),"")</f>
        <v/>
      </c>
      <c r="U15064" s="16" t="s">
        <v>87</v>
      </c>
      <c r="V15064" s="16" t="str">
        <f>IFERROR(__xludf.DUMMYFUNCTION("""COMPUTED_VALUE"""),"")</f>
        <v/>
      </c>
      <c r="W15064" s="16" t="str">
        <f>IFERROR(__xludf.DUMMYFUNCTION("""COMPUTED_VALUE"""),"")</f>
        <v/>
      </c>
      <c r="X15064" s="16" t="str">
        <f>IFERROR(__xludf.DUMMYFUNCTION("""COMPUTED_VALUE"""),"")</f>
        <v/>
      </c>
      <c r="AC15064" s="16" t="str">
        <f>IFERROR(__xludf.DUMMYFUNCTION("""COMPUTED_VALUE"""),"")</f>
        <v/>
      </c>
    </row>
    <row r="15065">
      <c r="A15065" s="16" t="s">
        <v>87</v>
      </c>
      <c r="E15065" s="16" t="str">
        <f>IFERROR(__xludf.DUMMYFUNCTION("""COMPUTED_VALUE"""),"")</f>
        <v/>
      </c>
      <c r="G15065" s="18"/>
      <c r="H15065" s="16" t="s">
        <v>87</v>
      </c>
      <c r="I15065" s="16" t="s">
        <v>87</v>
      </c>
      <c r="J15065" s="19"/>
      <c r="L15065" s="16" t="str">
        <f>IFERROR(__xludf.DUMMYFUNCTION("""COMPUTED_VALUE"""),"")</f>
        <v/>
      </c>
      <c r="M15065" s="16" t="str">
        <f>IFERROR(__xludf.DUMMYFUNCTION("""COMPUTED_VALUE"""),"")</f>
        <v/>
      </c>
      <c r="U15065" s="16" t="s">
        <v>87</v>
      </c>
      <c r="V15065" s="16" t="str">
        <f>IFERROR(__xludf.DUMMYFUNCTION("""COMPUTED_VALUE"""),"")</f>
        <v/>
      </c>
      <c r="W15065" s="16" t="str">
        <f>IFERROR(__xludf.DUMMYFUNCTION("""COMPUTED_VALUE"""),"")</f>
        <v/>
      </c>
      <c r="X15065" s="16" t="str">
        <f>IFERROR(__xludf.DUMMYFUNCTION("""COMPUTED_VALUE"""),"")</f>
        <v/>
      </c>
      <c r="AC15065" s="16" t="str">
        <f>IFERROR(__xludf.DUMMYFUNCTION("""COMPUTED_VALUE"""),"")</f>
        <v/>
      </c>
    </row>
    <row r="15066">
      <c r="A15066" s="16" t="s">
        <v>87</v>
      </c>
      <c r="E15066" s="16" t="str">
        <f>IFERROR(__xludf.DUMMYFUNCTION("""COMPUTED_VALUE"""),"")</f>
        <v/>
      </c>
      <c r="G15066" s="18"/>
      <c r="H15066" s="16" t="s">
        <v>87</v>
      </c>
      <c r="I15066" s="16" t="s">
        <v>87</v>
      </c>
      <c r="J15066" s="19"/>
      <c r="L15066" s="16" t="str">
        <f>IFERROR(__xludf.DUMMYFUNCTION("""COMPUTED_VALUE"""),"")</f>
        <v/>
      </c>
      <c r="M15066" s="16" t="str">
        <f>IFERROR(__xludf.DUMMYFUNCTION("""COMPUTED_VALUE"""),"")</f>
        <v/>
      </c>
      <c r="U15066" s="16" t="s">
        <v>87</v>
      </c>
      <c r="V15066" s="16" t="str">
        <f>IFERROR(__xludf.DUMMYFUNCTION("""COMPUTED_VALUE"""),"")</f>
        <v/>
      </c>
      <c r="W15066" s="16" t="str">
        <f>IFERROR(__xludf.DUMMYFUNCTION("""COMPUTED_VALUE"""),"")</f>
        <v/>
      </c>
      <c r="X15066" s="16" t="str">
        <f>IFERROR(__xludf.DUMMYFUNCTION("""COMPUTED_VALUE"""),"")</f>
        <v/>
      </c>
      <c r="AC15066" s="16" t="str">
        <f>IFERROR(__xludf.DUMMYFUNCTION("""COMPUTED_VALUE"""),"")</f>
        <v/>
      </c>
    </row>
    <row r="15067">
      <c r="A15067" s="16" t="s">
        <v>87</v>
      </c>
      <c r="E15067" s="16" t="str">
        <f>IFERROR(__xludf.DUMMYFUNCTION("""COMPUTED_VALUE"""),"")</f>
        <v/>
      </c>
      <c r="G15067" s="18"/>
      <c r="H15067" s="16" t="s">
        <v>87</v>
      </c>
      <c r="I15067" s="16" t="s">
        <v>87</v>
      </c>
      <c r="J15067" s="19"/>
      <c r="L15067" s="16" t="str">
        <f>IFERROR(__xludf.DUMMYFUNCTION("""COMPUTED_VALUE"""),"")</f>
        <v/>
      </c>
      <c r="M15067" s="16" t="str">
        <f>IFERROR(__xludf.DUMMYFUNCTION("""COMPUTED_VALUE"""),"")</f>
        <v/>
      </c>
      <c r="U15067" s="16" t="s">
        <v>87</v>
      </c>
      <c r="V15067" s="16" t="str">
        <f>IFERROR(__xludf.DUMMYFUNCTION("""COMPUTED_VALUE"""),"")</f>
        <v/>
      </c>
      <c r="W15067" s="16" t="str">
        <f>IFERROR(__xludf.DUMMYFUNCTION("""COMPUTED_VALUE"""),"")</f>
        <v/>
      </c>
      <c r="X15067" s="16" t="str">
        <f>IFERROR(__xludf.DUMMYFUNCTION("""COMPUTED_VALUE"""),"")</f>
        <v/>
      </c>
      <c r="AC15067" s="16" t="str">
        <f>IFERROR(__xludf.DUMMYFUNCTION("""COMPUTED_VALUE"""),"")</f>
        <v/>
      </c>
    </row>
    <row r="15068">
      <c r="A15068" s="16" t="s">
        <v>87</v>
      </c>
      <c r="E15068" s="16" t="str">
        <f>IFERROR(__xludf.DUMMYFUNCTION("""COMPUTED_VALUE"""),"")</f>
        <v/>
      </c>
      <c r="G15068" s="18"/>
      <c r="H15068" s="16" t="s">
        <v>87</v>
      </c>
      <c r="I15068" s="16" t="s">
        <v>87</v>
      </c>
      <c r="J15068" s="19"/>
      <c r="L15068" s="16" t="str">
        <f>IFERROR(__xludf.DUMMYFUNCTION("""COMPUTED_VALUE"""),"")</f>
        <v/>
      </c>
      <c r="M15068" s="16" t="str">
        <f>IFERROR(__xludf.DUMMYFUNCTION("""COMPUTED_VALUE"""),"")</f>
        <v/>
      </c>
      <c r="U15068" s="16" t="s">
        <v>87</v>
      </c>
      <c r="V15068" s="16" t="str">
        <f>IFERROR(__xludf.DUMMYFUNCTION("""COMPUTED_VALUE"""),"")</f>
        <v/>
      </c>
      <c r="W15068" s="16" t="str">
        <f>IFERROR(__xludf.DUMMYFUNCTION("""COMPUTED_VALUE"""),"")</f>
        <v/>
      </c>
      <c r="X15068" s="16" t="str">
        <f>IFERROR(__xludf.DUMMYFUNCTION("""COMPUTED_VALUE"""),"")</f>
        <v/>
      </c>
      <c r="AC15068" s="16" t="str">
        <f>IFERROR(__xludf.DUMMYFUNCTION("""COMPUTED_VALUE"""),"")</f>
        <v/>
      </c>
    </row>
    <row r="15069">
      <c r="A15069" s="16" t="s">
        <v>87</v>
      </c>
      <c r="E15069" s="16" t="str">
        <f>IFERROR(__xludf.DUMMYFUNCTION("""COMPUTED_VALUE"""),"")</f>
        <v/>
      </c>
      <c r="G15069" s="18"/>
      <c r="H15069" s="16" t="s">
        <v>87</v>
      </c>
      <c r="I15069" s="16" t="s">
        <v>87</v>
      </c>
      <c r="J15069" s="19"/>
      <c r="L15069" s="16" t="str">
        <f>IFERROR(__xludf.DUMMYFUNCTION("""COMPUTED_VALUE"""),"")</f>
        <v/>
      </c>
      <c r="M15069" s="16" t="str">
        <f>IFERROR(__xludf.DUMMYFUNCTION("""COMPUTED_VALUE"""),"")</f>
        <v/>
      </c>
      <c r="U15069" s="16" t="s">
        <v>87</v>
      </c>
      <c r="V15069" s="16" t="str">
        <f>IFERROR(__xludf.DUMMYFUNCTION("""COMPUTED_VALUE"""),"")</f>
        <v/>
      </c>
      <c r="W15069" s="16" t="str">
        <f>IFERROR(__xludf.DUMMYFUNCTION("""COMPUTED_VALUE"""),"")</f>
        <v/>
      </c>
      <c r="X15069" s="16" t="str">
        <f>IFERROR(__xludf.DUMMYFUNCTION("""COMPUTED_VALUE"""),"")</f>
        <v/>
      </c>
      <c r="AC15069" s="16" t="str">
        <f>IFERROR(__xludf.DUMMYFUNCTION("""COMPUTED_VALUE"""),"")</f>
        <v/>
      </c>
    </row>
    <row r="15070">
      <c r="A15070" s="16" t="s">
        <v>87</v>
      </c>
      <c r="E15070" s="16" t="str">
        <f>IFERROR(__xludf.DUMMYFUNCTION("""COMPUTED_VALUE"""),"")</f>
        <v/>
      </c>
      <c r="G15070" s="18"/>
      <c r="H15070" s="16" t="s">
        <v>87</v>
      </c>
      <c r="I15070" s="16" t="s">
        <v>87</v>
      </c>
      <c r="J15070" s="19"/>
      <c r="L15070" s="16" t="str">
        <f>IFERROR(__xludf.DUMMYFUNCTION("""COMPUTED_VALUE"""),"")</f>
        <v/>
      </c>
      <c r="M15070" s="16" t="str">
        <f>IFERROR(__xludf.DUMMYFUNCTION("""COMPUTED_VALUE"""),"")</f>
        <v/>
      </c>
      <c r="U15070" s="16" t="s">
        <v>87</v>
      </c>
      <c r="V15070" s="16" t="str">
        <f>IFERROR(__xludf.DUMMYFUNCTION("""COMPUTED_VALUE"""),"")</f>
        <v/>
      </c>
      <c r="W15070" s="16" t="str">
        <f>IFERROR(__xludf.DUMMYFUNCTION("""COMPUTED_VALUE"""),"")</f>
        <v/>
      </c>
      <c r="X15070" s="16" t="str">
        <f>IFERROR(__xludf.DUMMYFUNCTION("""COMPUTED_VALUE"""),"")</f>
        <v/>
      </c>
      <c r="AC15070" s="16" t="str">
        <f>IFERROR(__xludf.DUMMYFUNCTION("""COMPUTED_VALUE"""),"")</f>
        <v/>
      </c>
    </row>
    <row r="15071">
      <c r="A15071" s="16" t="s">
        <v>87</v>
      </c>
      <c r="E15071" s="16" t="str">
        <f>IFERROR(__xludf.DUMMYFUNCTION("""COMPUTED_VALUE"""),"")</f>
        <v/>
      </c>
      <c r="G15071" s="18"/>
      <c r="H15071" s="16" t="s">
        <v>87</v>
      </c>
      <c r="I15071" s="16" t="s">
        <v>87</v>
      </c>
      <c r="J15071" s="19"/>
      <c r="L15071" s="16" t="str">
        <f>IFERROR(__xludf.DUMMYFUNCTION("""COMPUTED_VALUE"""),"")</f>
        <v/>
      </c>
      <c r="M15071" s="16" t="str">
        <f>IFERROR(__xludf.DUMMYFUNCTION("""COMPUTED_VALUE"""),"")</f>
        <v/>
      </c>
      <c r="U15071" s="16" t="s">
        <v>87</v>
      </c>
      <c r="V15071" s="16" t="str">
        <f>IFERROR(__xludf.DUMMYFUNCTION("""COMPUTED_VALUE"""),"")</f>
        <v/>
      </c>
      <c r="W15071" s="16" t="str">
        <f>IFERROR(__xludf.DUMMYFUNCTION("""COMPUTED_VALUE"""),"")</f>
        <v/>
      </c>
      <c r="X15071" s="16" t="str">
        <f>IFERROR(__xludf.DUMMYFUNCTION("""COMPUTED_VALUE"""),"")</f>
        <v/>
      </c>
      <c r="AC15071" s="16" t="str">
        <f>IFERROR(__xludf.DUMMYFUNCTION("""COMPUTED_VALUE"""),"")</f>
        <v/>
      </c>
    </row>
    <row r="15072">
      <c r="A15072" s="16" t="s">
        <v>87</v>
      </c>
      <c r="E15072" s="16" t="str">
        <f>IFERROR(__xludf.DUMMYFUNCTION("""COMPUTED_VALUE"""),"")</f>
        <v/>
      </c>
      <c r="G15072" s="18"/>
      <c r="H15072" s="16" t="s">
        <v>87</v>
      </c>
      <c r="I15072" s="16" t="s">
        <v>87</v>
      </c>
      <c r="J15072" s="19"/>
      <c r="L15072" s="16" t="str">
        <f>IFERROR(__xludf.DUMMYFUNCTION("""COMPUTED_VALUE"""),"")</f>
        <v/>
      </c>
      <c r="M15072" s="16" t="str">
        <f>IFERROR(__xludf.DUMMYFUNCTION("""COMPUTED_VALUE"""),"")</f>
        <v/>
      </c>
      <c r="U15072" s="16" t="s">
        <v>87</v>
      </c>
      <c r="V15072" s="16" t="str">
        <f>IFERROR(__xludf.DUMMYFUNCTION("""COMPUTED_VALUE"""),"")</f>
        <v/>
      </c>
      <c r="W15072" s="16" t="str">
        <f>IFERROR(__xludf.DUMMYFUNCTION("""COMPUTED_VALUE"""),"")</f>
        <v/>
      </c>
      <c r="X15072" s="16" t="str">
        <f>IFERROR(__xludf.DUMMYFUNCTION("""COMPUTED_VALUE"""),"")</f>
        <v/>
      </c>
      <c r="AC15072" s="16" t="str">
        <f>IFERROR(__xludf.DUMMYFUNCTION("""COMPUTED_VALUE"""),"")</f>
        <v/>
      </c>
    </row>
    <row r="15073">
      <c r="A15073" s="16" t="s">
        <v>87</v>
      </c>
      <c r="E15073" s="16" t="str">
        <f>IFERROR(__xludf.DUMMYFUNCTION("""COMPUTED_VALUE"""),"")</f>
        <v/>
      </c>
      <c r="G15073" s="18"/>
      <c r="H15073" s="16" t="s">
        <v>87</v>
      </c>
      <c r="I15073" s="16" t="s">
        <v>87</v>
      </c>
      <c r="J15073" s="19"/>
      <c r="L15073" s="16" t="str">
        <f>IFERROR(__xludf.DUMMYFUNCTION("""COMPUTED_VALUE"""),"")</f>
        <v/>
      </c>
      <c r="M15073" s="16" t="str">
        <f>IFERROR(__xludf.DUMMYFUNCTION("""COMPUTED_VALUE"""),"")</f>
        <v/>
      </c>
      <c r="U15073" s="16" t="s">
        <v>87</v>
      </c>
      <c r="V15073" s="16" t="str">
        <f>IFERROR(__xludf.DUMMYFUNCTION("""COMPUTED_VALUE"""),"")</f>
        <v/>
      </c>
      <c r="W15073" s="16" t="str">
        <f>IFERROR(__xludf.DUMMYFUNCTION("""COMPUTED_VALUE"""),"")</f>
        <v/>
      </c>
      <c r="X15073" s="16" t="str">
        <f>IFERROR(__xludf.DUMMYFUNCTION("""COMPUTED_VALUE"""),"")</f>
        <v/>
      </c>
      <c r="AC15073" s="16" t="str">
        <f>IFERROR(__xludf.DUMMYFUNCTION("""COMPUTED_VALUE"""),"")</f>
        <v/>
      </c>
    </row>
    <row r="15074">
      <c r="A15074" s="16" t="s">
        <v>87</v>
      </c>
      <c r="E15074" s="16" t="str">
        <f>IFERROR(__xludf.DUMMYFUNCTION("""COMPUTED_VALUE"""),"")</f>
        <v/>
      </c>
      <c r="G15074" s="18"/>
      <c r="H15074" s="16" t="s">
        <v>87</v>
      </c>
      <c r="I15074" s="16" t="s">
        <v>87</v>
      </c>
      <c r="J15074" s="19"/>
      <c r="L15074" s="16" t="str">
        <f>IFERROR(__xludf.DUMMYFUNCTION("""COMPUTED_VALUE"""),"")</f>
        <v/>
      </c>
      <c r="M15074" s="16" t="str">
        <f>IFERROR(__xludf.DUMMYFUNCTION("""COMPUTED_VALUE"""),"")</f>
        <v/>
      </c>
      <c r="U15074" s="16" t="s">
        <v>87</v>
      </c>
      <c r="V15074" s="16" t="str">
        <f>IFERROR(__xludf.DUMMYFUNCTION("""COMPUTED_VALUE"""),"")</f>
        <v/>
      </c>
      <c r="W15074" s="16" t="str">
        <f>IFERROR(__xludf.DUMMYFUNCTION("""COMPUTED_VALUE"""),"")</f>
        <v/>
      </c>
      <c r="X15074" s="16" t="str">
        <f>IFERROR(__xludf.DUMMYFUNCTION("""COMPUTED_VALUE"""),"")</f>
        <v/>
      </c>
      <c r="AC15074" s="16" t="str">
        <f>IFERROR(__xludf.DUMMYFUNCTION("""COMPUTED_VALUE"""),"")</f>
        <v/>
      </c>
    </row>
    <row r="15075">
      <c r="A15075" s="16" t="s">
        <v>87</v>
      </c>
      <c r="E15075" s="16" t="str">
        <f>IFERROR(__xludf.DUMMYFUNCTION("""COMPUTED_VALUE"""),"")</f>
        <v/>
      </c>
      <c r="G15075" s="18"/>
      <c r="H15075" s="16" t="s">
        <v>87</v>
      </c>
      <c r="I15075" s="16" t="s">
        <v>87</v>
      </c>
      <c r="J15075" s="19"/>
      <c r="L15075" s="16" t="str">
        <f>IFERROR(__xludf.DUMMYFUNCTION("""COMPUTED_VALUE"""),"")</f>
        <v/>
      </c>
      <c r="M15075" s="16" t="str">
        <f>IFERROR(__xludf.DUMMYFUNCTION("""COMPUTED_VALUE"""),"")</f>
        <v/>
      </c>
      <c r="U15075" s="16" t="s">
        <v>87</v>
      </c>
      <c r="V15075" s="16" t="str">
        <f>IFERROR(__xludf.DUMMYFUNCTION("""COMPUTED_VALUE"""),"")</f>
        <v/>
      </c>
      <c r="W15075" s="16" t="str">
        <f>IFERROR(__xludf.DUMMYFUNCTION("""COMPUTED_VALUE"""),"")</f>
        <v/>
      </c>
      <c r="X15075" s="16" t="str">
        <f>IFERROR(__xludf.DUMMYFUNCTION("""COMPUTED_VALUE"""),"")</f>
        <v/>
      </c>
      <c r="AC15075" s="16" t="str">
        <f>IFERROR(__xludf.DUMMYFUNCTION("""COMPUTED_VALUE"""),"")</f>
        <v/>
      </c>
    </row>
    <row r="15076">
      <c r="A15076" s="16" t="s">
        <v>87</v>
      </c>
      <c r="E15076" s="16" t="str">
        <f>IFERROR(__xludf.DUMMYFUNCTION("""COMPUTED_VALUE"""),"")</f>
        <v/>
      </c>
      <c r="G15076" s="18"/>
      <c r="H15076" s="16" t="s">
        <v>87</v>
      </c>
      <c r="I15076" s="16" t="s">
        <v>87</v>
      </c>
      <c r="J15076" s="19"/>
      <c r="L15076" s="16" t="str">
        <f>IFERROR(__xludf.DUMMYFUNCTION("""COMPUTED_VALUE"""),"")</f>
        <v/>
      </c>
      <c r="M15076" s="16" t="str">
        <f>IFERROR(__xludf.DUMMYFUNCTION("""COMPUTED_VALUE"""),"")</f>
        <v/>
      </c>
      <c r="U15076" s="16" t="s">
        <v>87</v>
      </c>
      <c r="V15076" s="16" t="str">
        <f>IFERROR(__xludf.DUMMYFUNCTION("""COMPUTED_VALUE"""),"")</f>
        <v/>
      </c>
      <c r="W15076" s="16" t="str">
        <f>IFERROR(__xludf.DUMMYFUNCTION("""COMPUTED_VALUE"""),"")</f>
        <v/>
      </c>
      <c r="X15076" s="16" t="str">
        <f>IFERROR(__xludf.DUMMYFUNCTION("""COMPUTED_VALUE"""),"")</f>
        <v/>
      </c>
      <c r="AC15076" s="16" t="str">
        <f>IFERROR(__xludf.DUMMYFUNCTION("""COMPUTED_VALUE"""),"")</f>
        <v/>
      </c>
    </row>
    <row r="15077">
      <c r="A15077" s="16" t="s">
        <v>87</v>
      </c>
      <c r="E15077" s="16" t="str">
        <f>IFERROR(__xludf.DUMMYFUNCTION("""COMPUTED_VALUE"""),"")</f>
        <v/>
      </c>
      <c r="G15077" s="18"/>
      <c r="H15077" s="16" t="s">
        <v>87</v>
      </c>
      <c r="I15077" s="16" t="s">
        <v>87</v>
      </c>
      <c r="J15077" s="19"/>
      <c r="L15077" s="16" t="str">
        <f>IFERROR(__xludf.DUMMYFUNCTION("""COMPUTED_VALUE"""),"")</f>
        <v/>
      </c>
      <c r="M15077" s="16" t="str">
        <f>IFERROR(__xludf.DUMMYFUNCTION("""COMPUTED_VALUE"""),"")</f>
        <v/>
      </c>
      <c r="U15077" s="16" t="s">
        <v>87</v>
      </c>
      <c r="V15077" s="16" t="str">
        <f>IFERROR(__xludf.DUMMYFUNCTION("""COMPUTED_VALUE"""),"")</f>
        <v/>
      </c>
      <c r="W15077" s="16" t="str">
        <f>IFERROR(__xludf.DUMMYFUNCTION("""COMPUTED_VALUE"""),"")</f>
        <v/>
      </c>
      <c r="X15077" s="16" t="str">
        <f>IFERROR(__xludf.DUMMYFUNCTION("""COMPUTED_VALUE"""),"")</f>
        <v/>
      </c>
      <c r="AC15077" s="16" t="str">
        <f>IFERROR(__xludf.DUMMYFUNCTION("""COMPUTED_VALUE"""),"")</f>
        <v/>
      </c>
    </row>
    <row r="15078">
      <c r="A15078" s="16" t="s">
        <v>87</v>
      </c>
      <c r="E15078" s="16" t="str">
        <f>IFERROR(__xludf.DUMMYFUNCTION("""COMPUTED_VALUE"""),"")</f>
        <v/>
      </c>
      <c r="G15078" s="18"/>
      <c r="H15078" s="16" t="s">
        <v>87</v>
      </c>
      <c r="I15078" s="16" t="s">
        <v>87</v>
      </c>
      <c r="J15078" s="19"/>
      <c r="L15078" s="16" t="str">
        <f>IFERROR(__xludf.DUMMYFUNCTION("""COMPUTED_VALUE"""),"")</f>
        <v/>
      </c>
      <c r="M15078" s="16" t="str">
        <f>IFERROR(__xludf.DUMMYFUNCTION("""COMPUTED_VALUE"""),"")</f>
        <v/>
      </c>
      <c r="U15078" s="16" t="s">
        <v>87</v>
      </c>
      <c r="V15078" s="16" t="str">
        <f>IFERROR(__xludf.DUMMYFUNCTION("""COMPUTED_VALUE"""),"")</f>
        <v/>
      </c>
      <c r="W15078" s="16" t="str">
        <f>IFERROR(__xludf.DUMMYFUNCTION("""COMPUTED_VALUE"""),"")</f>
        <v/>
      </c>
      <c r="X15078" s="16" t="str">
        <f>IFERROR(__xludf.DUMMYFUNCTION("""COMPUTED_VALUE"""),"")</f>
        <v/>
      </c>
      <c r="AC15078" s="16" t="str">
        <f>IFERROR(__xludf.DUMMYFUNCTION("""COMPUTED_VALUE"""),"")</f>
        <v/>
      </c>
    </row>
    <row r="15079">
      <c r="A15079" s="16" t="s">
        <v>87</v>
      </c>
      <c r="E15079" s="16" t="str">
        <f>IFERROR(__xludf.DUMMYFUNCTION("""COMPUTED_VALUE"""),"")</f>
        <v/>
      </c>
      <c r="G15079" s="18"/>
      <c r="H15079" s="16" t="s">
        <v>87</v>
      </c>
      <c r="I15079" s="16" t="s">
        <v>87</v>
      </c>
      <c r="J15079" s="19"/>
      <c r="L15079" s="16" t="str">
        <f>IFERROR(__xludf.DUMMYFUNCTION("""COMPUTED_VALUE"""),"")</f>
        <v/>
      </c>
      <c r="M15079" s="16" t="str">
        <f>IFERROR(__xludf.DUMMYFUNCTION("""COMPUTED_VALUE"""),"")</f>
        <v/>
      </c>
      <c r="U15079" s="16" t="s">
        <v>87</v>
      </c>
      <c r="V15079" s="16" t="str">
        <f>IFERROR(__xludf.DUMMYFUNCTION("""COMPUTED_VALUE"""),"")</f>
        <v/>
      </c>
      <c r="W15079" s="16" t="str">
        <f>IFERROR(__xludf.DUMMYFUNCTION("""COMPUTED_VALUE"""),"")</f>
        <v/>
      </c>
      <c r="X15079" s="16" t="str">
        <f>IFERROR(__xludf.DUMMYFUNCTION("""COMPUTED_VALUE"""),"")</f>
        <v/>
      </c>
      <c r="AC15079" s="16" t="str">
        <f>IFERROR(__xludf.DUMMYFUNCTION("""COMPUTED_VALUE"""),"")</f>
        <v/>
      </c>
    </row>
    <row r="15080">
      <c r="A15080" s="16" t="s">
        <v>87</v>
      </c>
      <c r="E15080" s="16" t="str">
        <f>IFERROR(__xludf.DUMMYFUNCTION("""COMPUTED_VALUE"""),"")</f>
        <v/>
      </c>
      <c r="G15080" s="18"/>
      <c r="H15080" s="16" t="s">
        <v>87</v>
      </c>
      <c r="I15080" s="16" t="s">
        <v>87</v>
      </c>
      <c r="J15080" s="19"/>
      <c r="L15080" s="16" t="str">
        <f>IFERROR(__xludf.DUMMYFUNCTION("""COMPUTED_VALUE"""),"")</f>
        <v/>
      </c>
      <c r="M15080" s="16" t="str">
        <f>IFERROR(__xludf.DUMMYFUNCTION("""COMPUTED_VALUE"""),"")</f>
        <v/>
      </c>
      <c r="U15080" s="16" t="s">
        <v>87</v>
      </c>
      <c r="V15080" s="16" t="str">
        <f>IFERROR(__xludf.DUMMYFUNCTION("""COMPUTED_VALUE"""),"")</f>
        <v/>
      </c>
      <c r="W15080" s="16" t="str">
        <f>IFERROR(__xludf.DUMMYFUNCTION("""COMPUTED_VALUE"""),"")</f>
        <v/>
      </c>
      <c r="X15080" s="16" t="str">
        <f>IFERROR(__xludf.DUMMYFUNCTION("""COMPUTED_VALUE"""),"")</f>
        <v/>
      </c>
      <c r="AC15080" s="16" t="str">
        <f>IFERROR(__xludf.DUMMYFUNCTION("""COMPUTED_VALUE"""),"")</f>
        <v/>
      </c>
    </row>
    <row r="15081">
      <c r="A15081" s="16" t="s">
        <v>87</v>
      </c>
      <c r="E15081" s="16" t="str">
        <f>IFERROR(__xludf.DUMMYFUNCTION("""COMPUTED_VALUE"""),"")</f>
        <v/>
      </c>
      <c r="G15081" s="18"/>
      <c r="H15081" s="16" t="s">
        <v>87</v>
      </c>
      <c r="I15081" s="16" t="s">
        <v>87</v>
      </c>
      <c r="J15081" s="19"/>
      <c r="L15081" s="16" t="str">
        <f>IFERROR(__xludf.DUMMYFUNCTION("""COMPUTED_VALUE"""),"")</f>
        <v/>
      </c>
      <c r="M15081" s="16" t="str">
        <f>IFERROR(__xludf.DUMMYFUNCTION("""COMPUTED_VALUE"""),"")</f>
        <v/>
      </c>
      <c r="U15081" s="16" t="s">
        <v>87</v>
      </c>
      <c r="V15081" s="16" t="str">
        <f>IFERROR(__xludf.DUMMYFUNCTION("""COMPUTED_VALUE"""),"")</f>
        <v/>
      </c>
      <c r="W15081" s="16" t="str">
        <f>IFERROR(__xludf.DUMMYFUNCTION("""COMPUTED_VALUE"""),"")</f>
        <v/>
      </c>
      <c r="X15081" s="16" t="str">
        <f>IFERROR(__xludf.DUMMYFUNCTION("""COMPUTED_VALUE"""),"")</f>
        <v/>
      </c>
      <c r="AC15081" s="16" t="str">
        <f>IFERROR(__xludf.DUMMYFUNCTION("""COMPUTED_VALUE"""),"")</f>
        <v/>
      </c>
    </row>
    <row r="15082">
      <c r="A15082" s="16" t="s">
        <v>87</v>
      </c>
      <c r="E15082" s="16" t="str">
        <f>IFERROR(__xludf.DUMMYFUNCTION("""COMPUTED_VALUE"""),"")</f>
        <v/>
      </c>
      <c r="G15082" s="18"/>
      <c r="H15082" s="16" t="s">
        <v>87</v>
      </c>
      <c r="I15082" s="16" t="s">
        <v>87</v>
      </c>
      <c r="J15082" s="19"/>
      <c r="L15082" s="16" t="str">
        <f>IFERROR(__xludf.DUMMYFUNCTION("""COMPUTED_VALUE"""),"")</f>
        <v/>
      </c>
      <c r="M15082" s="16" t="str">
        <f>IFERROR(__xludf.DUMMYFUNCTION("""COMPUTED_VALUE"""),"")</f>
        <v/>
      </c>
      <c r="U15082" s="16" t="s">
        <v>87</v>
      </c>
      <c r="V15082" s="16" t="str">
        <f>IFERROR(__xludf.DUMMYFUNCTION("""COMPUTED_VALUE"""),"")</f>
        <v/>
      </c>
      <c r="W15082" s="16" t="str">
        <f>IFERROR(__xludf.DUMMYFUNCTION("""COMPUTED_VALUE"""),"")</f>
        <v/>
      </c>
      <c r="X15082" s="16" t="str">
        <f>IFERROR(__xludf.DUMMYFUNCTION("""COMPUTED_VALUE"""),"")</f>
        <v/>
      </c>
      <c r="AC15082" s="16" t="str">
        <f>IFERROR(__xludf.DUMMYFUNCTION("""COMPUTED_VALUE"""),"")</f>
        <v/>
      </c>
    </row>
    <row r="15083">
      <c r="A15083" s="16" t="s">
        <v>87</v>
      </c>
      <c r="E15083" s="16" t="str">
        <f>IFERROR(__xludf.DUMMYFUNCTION("""COMPUTED_VALUE"""),"")</f>
        <v/>
      </c>
      <c r="G15083" s="18"/>
      <c r="H15083" s="16" t="s">
        <v>87</v>
      </c>
      <c r="I15083" s="16" t="s">
        <v>87</v>
      </c>
      <c r="J15083" s="19"/>
      <c r="L15083" s="16" t="str">
        <f>IFERROR(__xludf.DUMMYFUNCTION("""COMPUTED_VALUE"""),"")</f>
        <v/>
      </c>
      <c r="M15083" s="16" t="str">
        <f>IFERROR(__xludf.DUMMYFUNCTION("""COMPUTED_VALUE"""),"")</f>
        <v/>
      </c>
      <c r="U15083" s="16" t="s">
        <v>87</v>
      </c>
      <c r="V15083" s="16" t="str">
        <f>IFERROR(__xludf.DUMMYFUNCTION("""COMPUTED_VALUE"""),"")</f>
        <v/>
      </c>
      <c r="W15083" s="16" t="str">
        <f>IFERROR(__xludf.DUMMYFUNCTION("""COMPUTED_VALUE"""),"")</f>
        <v/>
      </c>
      <c r="X15083" s="16" t="str">
        <f>IFERROR(__xludf.DUMMYFUNCTION("""COMPUTED_VALUE"""),"")</f>
        <v/>
      </c>
      <c r="AC15083" s="16" t="str">
        <f>IFERROR(__xludf.DUMMYFUNCTION("""COMPUTED_VALUE"""),"")</f>
        <v/>
      </c>
    </row>
    <row r="15084">
      <c r="A15084" s="16" t="s">
        <v>87</v>
      </c>
      <c r="E15084" s="16" t="str">
        <f>IFERROR(__xludf.DUMMYFUNCTION("""COMPUTED_VALUE"""),"")</f>
        <v/>
      </c>
      <c r="G15084" s="18"/>
      <c r="H15084" s="16" t="s">
        <v>87</v>
      </c>
      <c r="I15084" s="16" t="s">
        <v>87</v>
      </c>
      <c r="J15084" s="19"/>
      <c r="L15084" s="16" t="str">
        <f>IFERROR(__xludf.DUMMYFUNCTION("""COMPUTED_VALUE"""),"")</f>
        <v/>
      </c>
      <c r="M15084" s="16" t="str">
        <f>IFERROR(__xludf.DUMMYFUNCTION("""COMPUTED_VALUE"""),"")</f>
        <v/>
      </c>
      <c r="U15084" s="16" t="s">
        <v>87</v>
      </c>
      <c r="V15084" s="16" t="str">
        <f>IFERROR(__xludf.DUMMYFUNCTION("""COMPUTED_VALUE"""),"")</f>
        <v/>
      </c>
      <c r="W15084" s="16" t="str">
        <f>IFERROR(__xludf.DUMMYFUNCTION("""COMPUTED_VALUE"""),"")</f>
        <v/>
      </c>
      <c r="X15084" s="16" t="str">
        <f>IFERROR(__xludf.DUMMYFUNCTION("""COMPUTED_VALUE"""),"")</f>
        <v/>
      </c>
      <c r="AC15084" s="16" t="str">
        <f>IFERROR(__xludf.DUMMYFUNCTION("""COMPUTED_VALUE"""),"")</f>
        <v/>
      </c>
    </row>
    <row r="15085">
      <c r="A15085" s="16" t="s">
        <v>87</v>
      </c>
      <c r="E15085" s="16" t="str">
        <f>IFERROR(__xludf.DUMMYFUNCTION("""COMPUTED_VALUE"""),"")</f>
        <v/>
      </c>
      <c r="G15085" s="18"/>
      <c r="H15085" s="16" t="s">
        <v>87</v>
      </c>
      <c r="I15085" s="16" t="s">
        <v>87</v>
      </c>
      <c r="J15085" s="19"/>
      <c r="L15085" s="16" t="str">
        <f>IFERROR(__xludf.DUMMYFUNCTION("""COMPUTED_VALUE"""),"")</f>
        <v/>
      </c>
      <c r="M15085" s="16" t="str">
        <f>IFERROR(__xludf.DUMMYFUNCTION("""COMPUTED_VALUE"""),"")</f>
        <v/>
      </c>
      <c r="U15085" s="16" t="s">
        <v>87</v>
      </c>
      <c r="V15085" s="16" t="str">
        <f>IFERROR(__xludf.DUMMYFUNCTION("""COMPUTED_VALUE"""),"")</f>
        <v/>
      </c>
      <c r="W15085" s="16" t="str">
        <f>IFERROR(__xludf.DUMMYFUNCTION("""COMPUTED_VALUE"""),"")</f>
        <v/>
      </c>
      <c r="X15085" s="16" t="str">
        <f>IFERROR(__xludf.DUMMYFUNCTION("""COMPUTED_VALUE"""),"")</f>
        <v/>
      </c>
      <c r="AC15085" s="16" t="str">
        <f>IFERROR(__xludf.DUMMYFUNCTION("""COMPUTED_VALUE"""),"")</f>
        <v/>
      </c>
    </row>
    <row r="15086">
      <c r="A15086" s="16" t="s">
        <v>87</v>
      </c>
      <c r="E15086" s="16" t="str">
        <f>IFERROR(__xludf.DUMMYFUNCTION("""COMPUTED_VALUE"""),"")</f>
        <v/>
      </c>
      <c r="G15086" s="18"/>
      <c r="H15086" s="16" t="s">
        <v>87</v>
      </c>
      <c r="I15086" s="16" t="s">
        <v>87</v>
      </c>
      <c r="J15086" s="19"/>
      <c r="L15086" s="16" t="str">
        <f>IFERROR(__xludf.DUMMYFUNCTION("""COMPUTED_VALUE"""),"")</f>
        <v/>
      </c>
      <c r="M15086" s="16" t="str">
        <f>IFERROR(__xludf.DUMMYFUNCTION("""COMPUTED_VALUE"""),"")</f>
        <v/>
      </c>
      <c r="U15086" s="16" t="s">
        <v>87</v>
      </c>
      <c r="V15086" s="16" t="str">
        <f>IFERROR(__xludf.DUMMYFUNCTION("""COMPUTED_VALUE"""),"")</f>
        <v/>
      </c>
      <c r="W15086" s="16" t="str">
        <f>IFERROR(__xludf.DUMMYFUNCTION("""COMPUTED_VALUE"""),"")</f>
        <v/>
      </c>
      <c r="X15086" s="16" t="str">
        <f>IFERROR(__xludf.DUMMYFUNCTION("""COMPUTED_VALUE"""),"")</f>
        <v/>
      </c>
      <c r="AC15086" s="16" t="str">
        <f>IFERROR(__xludf.DUMMYFUNCTION("""COMPUTED_VALUE"""),"")</f>
        <v/>
      </c>
    </row>
    <row r="15087">
      <c r="A15087" s="16" t="s">
        <v>87</v>
      </c>
      <c r="E15087" s="16" t="str">
        <f>IFERROR(__xludf.DUMMYFUNCTION("""COMPUTED_VALUE"""),"")</f>
        <v/>
      </c>
      <c r="G15087" s="18"/>
      <c r="H15087" s="16" t="s">
        <v>87</v>
      </c>
      <c r="I15087" s="16" t="s">
        <v>87</v>
      </c>
      <c r="J15087" s="19"/>
      <c r="L15087" s="16" t="str">
        <f>IFERROR(__xludf.DUMMYFUNCTION("""COMPUTED_VALUE"""),"")</f>
        <v/>
      </c>
      <c r="M15087" s="16" t="str">
        <f>IFERROR(__xludf.DUMMYFUNCTION("""COMPUTED_VALUE"""),"")</f>
        <v/>
      </c>
      <c r="U15087" s="16" t="s">
        <v>87</v>
      </c>
      <c r="V15087" s="16" t="str">
        <f>IFERROR(__xludf.DUMMYFUNCTION("""COMPUTED_VALUE"""),"")</f>
        <v/>
      </c>
      <c r="W15087" s="16" t="str">
        <f>IFERROR(__xludf.DUMMYFUNCTION("""COMPUTED_VALUE"""),"")</f>
        <v/>
      </c>
      <c r="X15087" s="16" t="str">
        <f>IFERROR(__xludf.DUMMYFUNCTION("""COMPUTED_VALUE"""),"")</f>
        <v/>
      </c>
      <c r="AC15087" s="16" t="str">
        <f>IFERROR(__xludf.DUMMYFUNCTION("""COMPUTED_VALUE"""),"")</f>
        <v/>
      </c>
    </row>
    <row r="15088">
      <c r="A15088" s="16" t="s">
        <v>87</v>
      </c>
      <c r="E15088" s="16" t="str">
        <f>IFERROR(__xludf.DUMMYFUNCTION("""COMPUTED_VALUE"""),"")</f>
        <v/>
      </c>
      <c r="G15088" s="18"/>
      <c r="H15088" s="16" t="s">
        <v>87</v>
      </c>
      <c r="I15088" s="16" t="s">
        <v>87</v>
      </c>
      <c r="J15088" s="19"/>
      <c r="L15088" s="16" t="str">
        <f>IFERROR(__xludf.DUMMYFUNCTION("""COMPUTED_VALUE"""),"")</f>
        <v/>
      </c>
      <c r="M15088" s="16" t="str">
        <f>IFERROR(__xludf.DUMMYFUNCTION("""COMPUTED_VALUE"""),"")</f>
        <v/>
      </c>
      <c r="U15088" s="16" t="s">
        <v>87</v>
      </c>
      <c r="V15088" s="16" t="str">
        <f>IFERROR(__xludf.DUMMYFUNCTION("""COMPUTED_VALUE"""),"")</f>
        <v/>
      </c>
      <c r="W15088" s="16" t="str">
        <f>IFERROR(__xludf.DUMMYFUNCTION("""COMPUTED_VALUE"""),"")</f>
        <v/>
      </c>
      <c r="X15088" s="16" t="str">
        <f>IFERROR(__xludf.DUMMYFUNCTION("""COMPUTED_VALUE"""),"")</f>
        <v/>
      </c>
      <c r="AC15088" s="16" t="str">
        <f>IFERROR(__xludf.DUMMYFUNCTION("""COMPUTED_VALUE"""),"")</f>
        <v/>
      </c>
    </row>
    <row r="15089">
      <c r="A15089" s="16" t="s">
        <v>87</v>
      </c>
      <c r="E15089" s="16" t="str">
        <f>IFERROR(__xludf.DUMMYFUNCTION("""COMPUTED_VALUE"""),"")</f>
        <v/>
      </c>
      <c r="G15089" s="18"/>
      <c r="H15089" s="16" t="s">
        <v>87</v>
      </c>
      <c r="I15089" s="16" t="s">
        <v>87</v>
      </c>
      <c r="J15089" s="19"/>
      <c r="L15089" s="16" t="str">
        <f>IFERROR(__xludf.DUMMYFUNCTION("""COMPUTED_VALUE"""),"")</f>
        <v/>
      </c>
      <c r="M15089" s="16" t="str">
        <f>IFERROR(__xludf.DUMMYFUNCTION("""COMPUTED_VALUE"""),"")</f>
        <v/>
      </c>
      <c r="U15089" s="16" t="s">
        <v>87</v>
      </c>
      <c r="V15089" s="16" t="str">
        <f>IFERROR(__xludf.DUMMYFUNCTION("""COMPUTED_VALUE"""),"")</f>
        <v/>
      </c>
      <c r="W15089" s="16" t="str">
        <f>IFERROR(__xludf.DUMMYFUNCTION("""COMPUTED_VALUE"""),"")</f>
        <v/>
      </c>
      <c r="X15089" s="16" t="str">
        <f>IFERROR(__xludf.DUMMYFUNCTION("""COMPUTED_VALUE"""),"")</f>
        <v/>
      </c>
      <c r="AC15089" s="16" t="str">
        <f>IFERROR(__xludf.DUMMYFUNCTION("""COMPUTED_VALUE"""),"")</f>
        <v/>
      </c>
    </row>
    <row r="15090">
      <c r="A15090" s="16" t="s">
        <v>87</v>
      </c>
      <c r="E15090" s="16" t="str">
        <f>IFERROR(__xludf.DUMMYFUNCTION("""COMPUTED_VALUE"""),"")</f>
        <v/>
      </c>
      <c r="G15090" s="18"/>
      <c r="H15090" s="16" t="s">
        <v>87</v>
      </c>
      <c r="I15090" s="16" t="s">
        <v>87</v>
      </c>
      <c r="J15090" s="19"/>
      <c r="L15090" s="16" t="str">
        <f>IFERROR(__xludf.DUMMYFUNCTION("""COMPUTED_VALUE"""),"")</f>
        <v/>
      </c>
      <c r="M15090" s="16" t="str">
        <f>IFERROR(__xludf.DUMMYFUNCTION("""COMPUTED_VALUE"""),"")</f>
        <v/>
      </c>
      <c r="U15090" s="16" t="s">
        <v>87</v>
      </c>
      <c r="V15090" s="16" t="str">
        <f>IFERROR(__xludf.DUMMYFUNCTION("""COMPUTED_VALUE"""),"")</f>
        <v/>
      </c>
      <c r="W15090" s="16" t="str">
        <f>IFERROR(__xludf.DUMMYFUNCTION("""COMPUTED_VALUE"""),"")</f>
        <v/>
      </c>
      <c r="X15090" s="16" t="str">
        <f>IFERROR(__xludf.DUMMYFUNCTION("""COMPUTED_VALUE"""),"")</f>
        <v/>
      </c>
      <c r="AC15090" s="16" t="str">
        <f>IFERROR(__xludf.DUMMYFUNCTION("""COMPUTED_VALUE"""),"")</f>
        <v/>
      </c>
    </row>
    <row r="15091">
      <c r="A15091" s="16" t="s">
        <v>87</v>
      </c>
      <c r="E15091" s="16" t="str">
        <f>IFERROR(__xludf.DUMMYFUNCTION("""COMPUTED_VALUE"""),"")</f>
        <v/>
      </c>
      <c r="G15091" s="18"/>
      <c r="H15091" s="16" t="s">
        <v>87</v>
      </c>
      <c r="I15091" s="16" t="s">
        <v>87</v>
      </c>
      <c r="J15091" s="19"/>
      <c r="L15091" s="16" t="str">
        <f>IFERROR(__xludf.DUMMYFUNCTION("""COMPUTED_VALUE"""),"")</f>
        <v/>
      </c>
      <c r="M15091" s="16" t="str">
        <f>IFERROR(__xludf.DUMMYFUNCTION("""COMPUTED_VALUE"""),"")</f>
        <v/>
      </c>
      <c r="U15091" s="16" t="s">
        <v>87</v>
      </c>
      <c r="V15091" s="16" t="str">
        <f>IFERROR(__xludf.DUMMYFUNCTION("""COMPUTED_VALUE"""),"")</f>
        <v/>
      </c>
      <c r="W15091" s="16" t="str">
        <f>IFERROR(__xludf.DUMMYFUNCTION("""COMPUTED_VALUE"""),"")</f>
        <v/>
      </c>
      <c r="X15091" s="16" t="str">
        <f>IFERROR(__xludf.DUMMYFUNCTION("""COMPUTED_VALUE"""),"")</f>
        <v/>
      </c>
      <c r="AC15091" s="16" t="str">
        <f>IFERROR(__xludf.DUMMYFUNCTION("""COMPUTED_VALUE"""),"")</f>
        <v/>
      </c>
    </row>
    <row r="15092">
      <c r="A15092" s="16" t="s">
        <v>87</v>
      </c>
      <c r="E15092" s="16" t="str">
        <f>IFERROR(__xludf.DUMMYFUNCTION("""COMPUTED_VALUE"""),"")</f>
        <v/>
      </c>
      <c r="G15092" s="18"/>
      <c r="H15092" s="16" t="s">
        <v>87</v>
      </c>
      <c r="I15092" s="16" t="s">
        <v>87</v>
      </c>
      <c r="J15092" s="19"/>
      <c r="L15092" s="16" t="str">
        <f>IFERROR(__xludf.DUMMYFUNCTION("""COMPUTED_VALUE"""),"")</f>
        <v/>
      </c>
      <c r="M15092" s="16" t="str">
        <f>IFERROR(__xludf.DUMMYFUNCTION("""COMPUTED_VALUE"""),"")</f>
        <v/>
      </c>
      <c r="U15092" s="16" t="s">
        <v>87</v>
      </c>
      <c r="V15092" s="16" t="str">
        <f>IFERROR(__xludf.DUMMYFUNCTION("""COMPUTED_VALUE"""),"")</f>
        <v/>
      </c>
      <c r="W15092" s="16" t="str">
        <f>IFERROR(__xludf.DUMMYFUNCTION("""COMPUTED_VALUE"""),"")</f>
        <v/>
      </c>
      <c r="X15092" s="16" t="str">
        <f>IFERROR(__xludf.DUMMYFUNCTION("""COMPUTED_VALUE"""),"")</f>
        <v/>
      </c>
      <c r="AC15092" s="16" t="str">
        <f>IFERROR(__xludf.DUMMYFUNCTION("""COMPUTED_VALUE"""),"")</f>
        <v/>
      </c>
    </row>
    <row r="15093">
      <c r="A15093" s="16" t="s">
        <v>87</v>
      </c>
      <c r="E15093" s="16" t="str">
        <f>IFERROR(__xludf.DUMMYFUNCTION("""COMPUTED_VALUE"""),"")</f>
        <v/>
      </c>
      <c r="G15093" s="18"/>
      <c r="H15093" s="16" t="s">
        <v>87</v>
      </c>
      <c r="I15093" s="16" t="s">
        <v>87</v>
      </c>
      <c r="J15093" s="19"/>
      <c r="L15093" s="16" t="str">
        <f>IFERROR(__xludf.DUMMYFUNCTION("""COMPUTED_VALUE"""),"")</f>
        <v/>
      </c>
      <c r="M15093" s="16" t="str">
        <f>IFERROR(__xludf.DUMMYFUNCTION("""COMPUTED_VALUE"""),"")</f>
        <v/>
      </c>
      <c r="U15093" s="16" t="s">
        <v>87</v>
      </c>
      <c r="V15093" s="16" t="str">
        <f>IFERROR(__xludf.DUMMYFUNCTION("""COMPUTED_VALUE"""),"")</f>
        <v/>
      </c>
      <c r="W15093" s="16" t="str">
        <f>IFERROR(__xludf.DUMMYFUNCTION("""COMPUTED_VALUE"""),"")</f>
        <v/>
      </c>
      <c r="X15093" s="16" t="str">
        <f>IFERROR(__xludf.DUMMYFUNCTION("""COMPUTED_VALUE"""),"")</f>
        <v/>
      </c>
      <c r="AC15093" s="16" t="str">
        <f>IFERROR(__xludf.DUMMYFUNCTION("""COMPUTED_VALUE"""),"")</f>
        <v/>
      </c>
    </row>
    <row r="15094">
      <c r="A15094" s="16" t="s">
        <v>87</v>
      </c>
      <c r="E15094" s="16" t="str">
        <f>IFERROR(__xludf.DUMMYFUNCTION("""COMPUTED_VALUE"""),"")</f>
        <v/>
      </c>
      <c r="G15094" s="18"/>
      <c r="H15094" s="16" t="s">
        <v>87</v>
      </c>
      <c r="I15094" s="16" t="s">
        <v>87</v>
      </c>
      <c r="J15094" s="19"/>
      <c r="L15094" s="16" t="str">
        <f>IFERROR(__xludf.DUMMYFUNCTION("""COMPUTED_VALUE"""),"")</f>
        <v/>
      </c>
      <c r="M15094" s="16" t="str">
        <f>IFERROR(__xludf.DUMMYFUNCTION("""COMPUTED_VALUE"""),"")</f>
        <v/>
      </c>
      <c r="U15094" s="16" t="s">
        <v>87</v>
      </c>
      <c r="V15094" s="16" t="str">
        <f>IFERROR(__xludf.DUMMYFUNCTION("""COMPUTED_VALUE"""),"")</f>
        <v/>
      </c>
      <c r="W15094" s="16" t="str">
        <f>IFERROR(__xludf.DUMMYFUNCTION("""COMPUTED_VALUE"""),"")</f>
        <v/>
      </c>
      <c r="X15094" s="16" t="str">
        <f>IFERROR(__xludf.DUMMYFUNCTION("""COMPUTED_VALUE"""),"")</f>
        <v/>
      </c>
      <c r="AC15094" s="16" t="str">
        <f>IFERROR(__xludf.DUMMYFUNCTION("""COMPUTED_VALUE"""),"")</f>
        <v/>
      </c>
    </row>
    <row r="15095">
      <c r="A15095" s="16" t="s">
        <v>87</v>
      </c>
      <c r="E15095" s="16" t="str">
        <f>IFERROR(__xludf.DUMMYFUNCTION("""COMPUTED_VALUE"""),"")</f>
        <v/>
      </c>
      <c r="G15095" s="18"/>
      <c r="H15095" s="16" t="s">
        <v>87</v>
      </c>
      <c r="I15095" s="16" t="s">
        <v>87</v>
      </c>
      <c r="J15095" s="19"/>
      <c r="L15095" s="16" t="str">
        <f>IFERROR(__xludf.DUMMYFUNCTION("""COMPUTED_VALUE"""),"")</f>
        <v/>
      </c>
      <c r="M15095" s="16" t="str">
        <f>IFERROR(__xludf.DUMMYFUNCTION("""COMPUTED_VALUE"""),"")</f>
        <v/>
      </c>
      <c r="U15095" s="16" t="s">
        <v>87</v>
      </c>
      <c r="V15095" s="16" t="str">
        <f>IFERROR(__xludf.DUMMYFUNCTION("""COMPUTED_VALUE"""),"")</f>
        <v/>
      </c>
      <c r="W15095" s="16" t="str">
        <f>IFERROR(__xludf.DUMMYFUNCTION("""COMPUTED_VALUE"""),"")</f>
        <v/>
      </c>
      <c r="X15095" s="16" t="str">
        <f>IFERROR(__xludf.DUMMYFUNCTION("""COMPUTED_VALUE"""),"")</f>
        <v/>
      </c>
      <c r="AC15095" s="16" t="str">
        <f>IFERROR(__xludf.DUMMYFUNCTION("""COMPUTED_VALUE"""),"")</f>
        <v/>
      </c>
    </row>
    <row r="15096">
      <c r="A15096" s="16" t="s">
        <v>87</v>
      </c>
      <c r="E15096" s="16" t="str">
        <f>IFERROR(__xludf.DUMMYFUNCTION("""COMPUTED_VALUE"""),"")</f>
        <v/>
      </c>
      <c r="G15096" s="18"/>
      <c r="H15096" s="16" t="s">
        <v>87</v>
      </c>
      <c r="I15096" s="16" t="s">
        <v>87</v>
      </c>
      <c r="J15096" s="19"/>
      <c r="L15096" s="16" t="str">
        <f>IFERROR(__xludf.DUMMYFUNCTION("""COMPUTED_VALUE"""),"")</f>
        <v/>
      </c>
      <c r="M15096" s="16" t="str">
        <f>IFERROR(__xludf.DUMMYFUNCTION("""COMPUTED_VALUE"""),"")</f>
        <v/>
      </c>
      <c r="U15096" s="16" t="s">
        <v>87</v>
      </c>
      <c r="V15096" s="16" t="str">
        <f>IFERROR(__xludf.DUMMYFUNCTION("""COMPUTED_VALUE"""),"")</f>
        <v/>
      </c>
      <c r="W15096" s="16" t="str">
        <f>IFERROR(__xludf.DUMMYFUNCTION("""COMPUTED_VALUE"""),"")</f>
        <v/>
      </c>
      <c r="X15096" s="16" t="str">
        <f>IFERROR(__xludf.DUMMYFUNCTION("""COMPUTED_VALUE"""),"")</f>
        <v/>
      </c>
      <c r="AC15096" s="16" t="str">
        <f>IFERROR(__xludf.DUMMYFUNCTION("""COMPUTED_VALUE"""),"")</f>
        <v/>
      </c>
    </row>
    <row r="15097">
      <c r="A15097" s="16" t="s">
        <v>87</v>
      </c>
      <c r="E15097" s="16" t="str">
        <f>IFERROR(__xludf.DUMMYFUNCTION("""COMPUTED_VALUE"""),"")</f>
        <v/>
      </c>
      <c r="G15097" s="18"/>
      <c r="H15097" s="16" t="s">
        <v>87</v>
      </c>
      <c r="I15097" s="16" t="s">
        <v>87</v>
      </c>
      <c r="J15097" s="19"/>
      <c r="L15097" s="16" t="str">
        <f>IFERROR(__xludf.DUMMYFUNCTION("""COMPUTED_VALUE"""),"")</f>
        <v/>
      </c>
      <c r="M15097" s="16" t="str">
        <f>IFERROR(__xludf.DUMMYFUNCTION("""COMPUTED_VALUE"""),"")</f>
        <v/>
      </c>
      <c r="U15097" s="16" t="s">
        <v>87</v>
      </c>
      <c r="V15097" s="16" t="str">
        <f>IFERROR(__xludf.DUMMYFUNCTION("""COMPUTED_VALUE"""),"")</f>
        <v/>
      </c>
      <c r="W15097" s="16" t="str">
        <f>IFERROR(__xludf.DUMMYFUNCTION("""COMPUTED_VALUE"""),"")</f>
        <v/>
      </c>
      <c r="X15097" s="16" t="str">
        <f>IFERROR(__xludf.DUMMYFUNCTION("""COMPUTED_VALUE"""),"")</f>
        <v/>
      </c>
      <c r="AC15097" s="16" t="str">
        <f>IFERROR(__xludf.DUMMYFUNCTION("""COMPUTED_VALUE"""),"")</f>
        <v/>
      </c>
    </row>
    <row r="15098">
      <c r="A15098" s="16" t="s">
        <v>87</v>
      </c>
      <c r="E15098" s="16" t="str">
        <f>IFERROR(__xludf.DUMMYFUNCTION("""COMPUTED_VALUE"""),"")</f>
        <v/>
      </c>
      <c r="G15098" s="18"/>
      <c r="H15098" s="16" t="s">
        <v>87</v>
      </c>
      <c r="I15098" s="16" t="s">
        <v>87</v>
      </c>
      <c r="J15098" s="19"/>
      <c r="L15098" s="16" t="str">
        <f>IFERROR(__xludf.DUMMYFUNCTION("""COMPUTED_VALUE"""),"")</f>
        <v/>
      </c>
      <c r="M15098" s="16" t="str">
        <f>IFERROR(__xludf.DUMMYFUNCTION("""COMPUTED_VALUE"""),"")</f>
        <v/>
      </c>
      <c r="U15098" s="16" t="s">
        <v>87</v>
      </c>
      <c r="V15098" s="16" t="str">
        <f>IFERROR(__xludf.DUMMYFUNCTION("""COMPUTED_VALUE"""),"")</f>
        <v/>
      </c>
      <c r="W15098" s="16" t="str">
        <f>IFERROR(__xludf.DUMMYFUNCTION("""COMPUTED_VALUE"""),"")</f>
        <v/>
      </c>
      <c r="X15098" s="16" t="str">
        <f>IFERROR(__xludf.DUMMYFUNCTION("""COMPUTED_VALUE"""),"")</f>
        <v/>
      </c>
      <c r="AC15098" s="16" t="str">
        <f>IFERROR(__xludf.DUMMYFUNCTION("""COMPUTED_VALUE"""),"")</f>
        <v/>
      </c>
    </row>
    <row r="15099">
      <c r="A15099" s="16" t="s">
        <v>87</v>
      </c>
      <c r="E15099" s="16" t="str">
        <f>IFERROR(__xludf.DUMMYFUNCTION("""COMPUTED_VALUE"""),"")</f>
        <v/>
      </c>
      <c r="G15099" s="18"/>
      <c r="H15099" s="16" t="s">
        <v>87</v>
      </c>
      <c r="I15099" s="16" t="s">
        <v>87</v>
      </c>
      <c r="J15099" s="19"/>
      <c r="L15099" s="16" t="str">
        <f>IFERROR(__xludf.DUMMYFUNCTION("""COMPUTED_VALUE"""),"")</f>
        <v/>
      </c>
      <c r="M15099" s="16" t="str">
        <f>IFERROR(__xludf.DUMMYFUNCTION("""COMPUTED_VALUE"""),"")</f>
        <v/>
      </c>
      <c r="U15099" s="16" t="s">
        <v>87</v>
      </c>
      <c r="V15099" s="16" t="str">
        <f>IFERROR(__xludf.DUMMYFUNCTION("""COMPUTED_VALUE"""),"")</f>
        <v/>
      </c>
      <c r="W15099" s="16" t="str">
        <f>IFERROR(__xludf.DUMMYFUNCTION("""COMPUTED_VALUE"""),"")</f>
        <v/>
      </c>
      <c r="X15099" s="16" t="str">
        <f>IFERROR(__xludf.DUMMYFUNCTION("""COMPUTED_VALUE"""),"")</f>
        <v/>
      </c>
      <c r="AC15099" s="16" t="str">
        <f>IFERROR(__xludf.DUMMYFUNCTION("""COMPUTED_VALUE"""),"")</f>
        <v/>
      </c>
    </row>
    <row r="15100">
      <c r="A15100" s="16" t="s">
        <v>87</v>
      </c>
      <c r="E15100" s="16" t="str">
        <f>IFERROR(__xludf.DUMMYFUNCTION("""COMPUTED_VALUE"""),"")</f>
        <v/>
      </c>
      <c r="G15100" s="18"/>
      <c r="H15100" s="16" t="s">
        <v>87</v>
      </c>
      <c r="I15100" s="16" t="s">
        <v>87</v>
      </c>
      <c r="J15100" s="19"/>
      <c r="L15100" s="16" t="str">
        <f>IFERROR(__xludf.DUMMYFUNCTION("""COMPUTED_VALUE"""),"")</f>
        <v/>
      </c>
      <c r="M15100" s="16" t="str">
        <f>IFERROR(__xludf.DUMMYFUNCTION("""COMPUTED_VALUE"""),"")</f>
        <v/>
      </c>
      <c r="U15100" s="16" t="s">
        <v>87</v>
      </c>
      <c r="V15100" s="16" t="str">
        <f>IFERROR(__xludf.DUMMYFUNCTION("""COMPUTED_VALUE"""),"")</f>
        <v/>
      </c>
      <c r="W15100" s="16" t="str">
        <f>IFERROR(__xludf.DUMMYFUNCTION("""COMPUTED_VALUE"""),"")</f>
        <v/>
      </c>
      <c r="X15100" s="16" t="str">
        <f>IFERROR(__xludf.DUMMYFUNCTION("""COMPUTED_VALUE"""),"")</f>
        <v/>
      </c>
      <c r="AC15100" s="16" t="str">
        <f>IFERROR(__xludf.DUMMYFUNCTION("""COMPUTED_VALUE"""),"")</f>
        <v/>
      </c>
    </row>
    <row r="15101">
      <c r="A15101" s="16" t="s">
        <v>87</v>
      </c>
      <c r="E15101" s="16" t="str">
        <f>IFERROR(__xludf.DUMMYFUNCTION("""COMPUTED_VALUE"""),"")</f>
        <v/>
      </c>
      <c r="G15101" s="18"/>
      <c r="H15101" s="16" t="s">
        <v>87</v>
      </c>
      <c r="I15101" s="16" t="s">
        <v>87</v>
      </c>
      <c r="J15101" s="19"/>
      <c r="L15101" s="16" t="str">
        <f>IFERROR(__xludf.DUMMYFUNCTION("""COMPUTED_VALUE"""),"")</f>
        <v/>
      </c>
      <c r="M15101" s="16" t="str">
        <f>IFERROR(__xludf.DUMMYFUNCTION("""COMPUTED_VALUE"""),"")</f>
        <v/>
      </c>
      <c r="U15101" s="16" t="s">
        <v>87</v>
      </c>
      <c r="V15101" s="16" t="str">
        <f>IFERROR(__xludf.DUMMYFUNCTION("""COMPUTED_VALUE"""),"")</f>
        <v/>
      </c>
      <c r="W15101" s="16" t="str">
        <f>IFERROR(__xludf.DUMMYFUNCTION("""COMPUTED_VALUE"""),"")</f>
        <v/>
      </c>
      <c r="X15101" s="16" t="str">
        <f>IFERROR(__xludf.DUMMYFUNCTION("""COMPUTED_VALUE"""),"")</f>
        <v/>
      </c>
      <c r="AC15101" s="16" t="str">
        <f>IFERROR(__xludf.DUMMYFUNCTION("""COMPUTED_VALUE"""),"")</f>
        <v/>
      </c>
    </row>
    <row r="15102">
      <c r="A15102" s="16" t="s">
        <v>87</v>
      </c>
      <c r="E15102" s="16" t="str">
        <f>IFERROR(__xludf.DUMMYFUNCTION("""COMPUTED_VALUE"""),"")</f>
        <v/>
      </c>
      <c r="G15102" s="18"/>
      <c r="H15102" s="16" t="s">
        <v>87</v>
      </c>
      <c r="I15102" s="16" t="s">
        <v>87</v>
      </c>
      <c r="J15102" s="19"/>
      <c r="L15102" s="16" t="str">
        <f>IFERROR(__xludf.DUMMYFUNCTION("""COMPUTED_VALUE"""),"")</f>
        <v/>
      </c>
      <c r="M15102" s="16" t="str">
        <f>IFERROR(__xludf.DUMMYFUNCTION("""COMPUTED_VALUE"""),"")</f>
        <v/>
      </c>
      <c r="U15102" s="16" t="s">
        <v>87</v>
      </c>
      <c r="V15102" s="16" t="str">
        <f>IFERROR(__xludf.DUMMYFUNCTION("""COMPUTED_VALUE"""),"")</f>
        <v/>
      </c>
      <c r="W15102" s="16" t="str">
        <f>IFERROR(__xludf.DUMMYFUNCTION("""COMPUTED_VALUE"""),"")</f>
        <v/>
      </c>
      <c r="X15102" s="16" t="str">
        <f>IFERROR(__xludf.DUMMYFUNCTION("""COMPUTED_VALUE"""),"")</f>
        <v/>
      </c>
      <c r="AC15102" s="16" t="str">
        <f>IFERROR(__xludf.DUMMYFUNCTION("""COMPUTED_VALUE"""),"")</f>
        <v/>
      </c>
    </row>
    <row r="15103">
      <c r="A15103" s="16" t="s">
        <v>87</v>
      </c>
      <c r="E15103" s="16" t="str">
        <f>IFERROR(__xludf.DUMMYFUNCTION("""COMPUTED_VALUE"""),"")</f>
        <v/>
      </c>
      <c r="G15103" s="18"/>
      <c r="H15103" s="16" t="s">
        <v>87</v>
      </c>
      <c r="I15103" s="16" t="s">
        <v>87</v>
      </c>
      <c r="J15103" s="19"/>
      <c r="L15103" s="16" t="str">
        <f>IFERROR(__xludf.DUMMYFUNCTION("""COMPUTED_VALUE"""),"")</f>
        <v/>
      </c>
      <c r="M15103" s="16" t="str">
        <f>IFERROR(__xludf.DUMMYFUNCTION("""COMPUTED_VALUE"""),"")</f>
        <v/>
      </c>
      <c r="U15103" s="16" t="s">
        <v>87</v>
      </c>
      <c r="V15103" s="16" t="str">
        <f>IFERROR(__xludf.DUMMYFUNCTION("""COMPUTED_VALUE"""),"")</f>
        <v/>
      </c>
      <c r="W15103" s="16" t="str">
        <f>IFERROR(__xludf.DUMMYFUNCTION("""COMPUTED_VALUE"""),"")</f>
        <v/>
      </c>
      <c r="X15103" s="16" t="str">
        <f>IFERROR(__xludf.DUMMYFUNCTION("""COMPUTED_VALUE"""),"")</f>
        <v/>
      </c>
      <c r="AC15103" s="16" t="str">
        <f>IFERROR(__xludf.DUMMYFUNCTION("""COMPUTED_VALUE"""),"")</f>
        <v/>
      </c>
    </row>
    <row r="15104">
      <c r="A15104" s="16" t="s">
        <v>87</v>
      </c>
      <c r="E15104" s="16" t="str">
        <f>IFERROR(__xludf.DUMMYFUNCTION("""COMPUTED_VALUE"""),"")</f>
        <v/>
      </c>
      <c r="G15104" s="18"/>
      <c r="H15104" s="16" t="s">
        <v>87</v>
      </c>
      <c r="I15104" s="16" t="s">
        <v>87</v>
      </c>
      <c r="J15104" s="19"/>
      <c r="L15104" s="16" t="str">
        <f>IFERROR(__xludf.DUMMYFUNCTION("""COMPUTED_VALUE"""),"")</f>
        <v/>
      </c>
      <c r="M15104" s="16" t="str">
        <f>IFERROR(__xludf.DUMMYFUNCTION("""COMPUTED_VALUE"""),"")</f>
        <v/>
      </c>
      <c r="U15104" s="16" t="s">
        <v>87</v>
      </c>
      <c r="V15104" s="16" t="str">
        <f>IFERROR(__xludf.DUMMYFUNCTION("""COMPUTED_VALUE"""),"")</f>
        <v/>
      </c>
      <c r="W15104" s="16" t="str">
        <f>IFERROR(__xludf.DUMMYFUNCTION("""COMPUTED_VALUE"""),"")</f>
        <v/>
      </c>
      <c r="X15104" s="16" t="str">
        <f>IFERROR(__xludf.DUMMYFUNCTION("""COMPUTED_VALUE"""),"")</f>
        <v/>
      </c>
      <c r="AC15104" s="16" t="str">
        <f>IFERROR(__xludf.DUMMYFUNCTION("""COMPUTED_VALUE"""),"")</f>
        <v/>
      </c>
    </row>
    <row r="15105">
      <c r="A15105" s="16" t="s">
        <v>87</v>
      </c>
      <c r="E15105" s="16" t="str">
        <f>IFERROR(__xludf.DUMMYFUNCTION("""COMPUTED_VALUE"""),"")</f>
        <v/>
      </c>
      <c r="G15105" s="18"/>
      <c r="H15105" s="16" t="s">
        <v>87</v>
      </c>
      <c r="I15105" s="16" t="s">
        <v>87</v>
      </c>
      <c r="J15105" s="19"/>
      <c r="L15105" s="16" t="str">
        <f>IFERROR(__xludf.DUMMYFUNCTION("""COMPUTED_VALUE"""),"")</f>
        <v/>
      </c>
      <c r="M15105" s="16" t="str">
        <f>IFERROR(__xludf.DUMMYFUNCTION("""COMPUTED_VALUE"""),"")</f>
        <v/>
      </c>
      <c r="U15105" s="16" t="s">
        <v>87</v>
      </c>
      <c r="V15105" s="16" t="str">
        <f>IFERROR(__xludf.DUMMYFUNCTION("""COMPUTED_VALUE"""),"")</f>
        <v/>
      </c>
      <c r="W15105" s="16" t="str">
        <f>IFERROR(__xludf.DUMMYFUNCTION("""COMPUTED_VALUE"""),"")</f>
        <v/>
      </c>
      <c r="X15105" s="16" t="str">
        <f>IFERROR(__xludf.DUMMYFUNCTION("""COMPUTED_VALUE"""),"")</f>
        <v/>
      </c>
      <c r="AC15105" s="16" t="str">
        <f>IFERROR(__xludf.DUMMYFUNCTION("""COMPUTED_VALUE"""),"")</f>
        <v/>
      </c>
    </row>
    <row r="15106">
      <c r="A15106" s="16" t="s">
        <v>87</v>
      </c>
      <c r="E15106" s="16" t="str">
        <f>IFERROR(__xludf.DUMMYFUNCTION("""COMPUTED_VALUE"""),"")</f>
        <v/>
      </c>
      <c r="G15106" s="18"/>
      <c r="H15106" s="16" t="s">
        <v>87</v>
      </c>
      <c r="I15106" s="16" t="s">
        <v>87</v>
      </c>
      <c r="J15106" s="19"/>
      <c r="L15106" s="16" t="str">
        <f>IFERROR(__xludf.DUMMYFUNCTION("""COMPUTED_VALUE"""),"")</f>
        <v/>
      </c>
      <c r="M15106" s="16" t="str">
        <f>IFERROR(__xludf.DUMMYFUNCTION("""COMPUTED_VALUE"""),"")</f>
        <v/>
      </c>
      <c r="U15106" s="16" t="s">
        <v>87</v>
      </c>
      <c r="V15106" s="16" t="str">
        <f>IFERROR(__xludf.DUMMYFUNCTION("""COMPUTED_VALUE"""),"")</f>
        <v/>
      </c>
      <c r="W15106" s="16" t="str">
        <f>IFERROR(__xludf.DUMMYFUNCTION("""COMPUTED_VALUE"""),"")</f>
        <v/>
      </c>
      <c r="X15106" s="16" t="str">
        <f>IFERROR(__xludf.DUMMYFUNCTION("""COMPUTED_VALUE"""),"")</f>
        <v/>
      </c>
      <c r="AC15106" s="16" t="str">
        <f>IFERROR(__xludf.DUMMYFUNCTION("""COMPUTED_VALUE"""),"")</f>
        <v/>
      </c>
    </row>
    <row r="15107">
      <c r="A15107" s="16" t="s">
        <v>87</v>
      </c>
      <c r="E15107" s="16" t="str">
        <f>IFERROR(__xludf.DUMMYFUNCTION("""COMPUTED_VALUE"""),"")</f>
        <v/>
      </c>
      <c r="G15107" s="18"/>
      <c r="H15107" s="16" t="s">
        <v>87</v>
      </c>
      <c r="I15107" s="16" t="s">
        <v>87</v>
      </c>
      <c r="J15107" s="19"/>
      <c r="L15107" s="16" t="str">
        <f>IFERROR(__xludf.DUMMYFUNCTION("""COMPUTED_VALUE"""),"")</f>
        <v/>
      </c>
      <c r="M15107" s="16" t="str">
        <f>IFERROR(__xludf.DUMMYFUNCTION("""COMPUTED_VALUE"""),"")</f>
        <v/>
      </c>
      <c r="U15107" s="16" t="s">
        <v>87</v>
      </c>
      <c r="V15107" s="16" t="str">
        <f>IFERROR(__xludf.DUMMYFUNCTION("""COMPUTED_VALUE"""),"")</f>
        <v/>
      </c>
      <c r="W15107" s="16" t="str">
        <f>IFERROR(__xludf.DUMMYFUNCTION("""COMPUTED_VALUE"""),"")</f>
        <v/>
      </c>
      <c r="X15107" s="16" t="str">
        <f>IFERROR(__xludf.DUMMYFUNCTION("""COMPUTED_VALUE"""),"")</f>
        <v/>
      </c>
      <c r="AC15107" s="16" t="str">
        <f>IFERROR(__xludf.DUMMYFUNCTION("""COMPUTED_VALUE"""),"")</f>
        <v/>
      </c>
    </row>
    <row r="15108">
      <c r="A15108" s="16" t="s">
        <v>87</v>
      </c>
      <c r="E15108" s="16" t="str">
        <f>IFERROR(__xludf.DUMMYFUNCTION("""COMPUTED_VALUE"""),"")</f>
        <v/>
      </c>
      <c r="G15108" s="18"/>
      <c r="H15108" s="16" t="s">
        <v>87</v>
      </c>
      <c r="I15108" s="16" t="s">
        <v>87</v>
      </c>
      <c r="J15108" s="19"/>
      <c r="L15108" s="16" t="str">
        <f>IFERROR(__xludf.DUMMYFUNCTION("""COMPUTED_VALUE"""),"")</f>
        <v/>
      </c>
      <c r="M15108" s="16" t="str">
        <f>IFERROR(__xludf.DUMMYFUNCTION("""COMPUTED_VALUE"""),"")</f>
        <v/>
      </c>
      <c r="U15108" s="16" t="s">
        <v>87</v>
      </c>
      <c r="V15108" s="16" t="str">
        <f>IFERROR(__xludf.DUMMYFUNCTION("""COMPUTED_VALUE"""),"")</f>
        <v/>
      </c>
      <c r="W15108" s="16" t="str">
        <f>IFERROR(__xludf.DUMMYFUNCTION("""COMPUTED_VALUE"""),"")</f>
        <v/>
      </c>
      <c r="X15108" s="16" t="str">
        <f>IFERROR(__xludf.DUMMYFUNCTION("""COMPUTED_VALUE"""),"")</f>
        <v/>
      </c>
      <c r="AC15108" s="16" t="str">
        <f>IFERROR(__xludf.DUMMYFUNCTION("""COMPUTED_VALUE"""),"")</f>
        <v/>
      </c>
    </row>
    <row r="15109">
      <c r="A15109" s="16" t="s">
        <v>87</v>
      </c>
      <c r="E15109" s="16" t="str">
        <f>IFERROR(__xludf.DUMMYFUNCTION("""COMPUTED_VALUE"""),"")</f>
        <v/>
      </c>
      <c r="G15109" s="18"/>
      <c r="H15109" s="16" t="s">
        <v>87</v>
      </c>
      <c r="I15109" s="16" t="s">
        <v>87</v>
      </c>
      <c r="J15109" s="19"/>
      <c r="L15109" s="16" t="str">
        <f>IFERROR(__xludf.DUMMYFUNCTION("""COMPUTED_VALUE"""),"")</f>
        <v/>
      </c>
      <c r="M15109" s="16" t="str">
        <f>IFERROR(__xludf.DUMMYFUNCTION("""COMPUTED_VALUE"""),"")</f>
        <v/>
      </c>
      <c r="U15109" s="16" t="s">
        <v>87</v>
      </c>
      <c r="V15109" s="16" t="str">
        <f>IFERROR(__xludf.DUMMYFUNCTION("""COMPUTED_VALUE"""),"")</f>
        <v/>
      </c>
      <c r="W15109" s="16" t="str">
        <f>IFERROR(__xludf.DUMMYFUNCTION("""COMPUTED_VALUE"""),"")</f>
        <v/>
      </c>
      <c r="X15109" s="16" t="str">
        <f>IFERROR(__xludf.DUMMYFUNCTION("""COMPUTED_VALUE"""),"")</f>
        <v/>
      </c>
      <c r="AC15109" s="16" t="str">
        <f>IFERROR(__xludf.DUMMYFUNCTION("""COMPUTED_VALUE"""),"")</f>
        <v/>
      </c>
    </row>
    <row r="15110">
      <c r="A15110" s="16" t="s">
        <v>87</v>
      </c>
      <c r="E15110" s="16" t="str">
        <f>IFERROR(__xludf.DUMMYFUNCTION("""COMPUTED_VALUE"""),"")</f>
        <v/>
      </c>
      <c r="G15110" s="18"/>
      <c r="H15110" s="16" t="s">
        <v>87</v>
      </c>
      <c r="I15110" s="16" t="s">
        <v>87</v>
      </c>
      <c r="J15110" s="19"/>
      <c r="L15110" s="16" t="str">
        <f>IFERROR(__xludf.DUMMYFUNCTION("""COMPUTED_VALUE"""),"")</f>
        <v/>
      </c>
      <c r="M15110" s="16" t="str">
        <f>IFERROR(__xludf.DUMMYFUNCTION("""COMPUTED_VALUE"""),"")</f>
        <v/>
      </c>
      <c r="U15110" s="16" t="s">
        <v>87</v>
      </c>
      <c r="V15110" s="16" t="str">
        <f>IFERROR(__xludf.DUMMYFUNCTION("""COMPUTED_VALUE"""),"")</f>
        <v/>
      </c>
      <c r="W15110" s="16" t="str">
        <f>IFERROR(__xludf.DUMMYFUNCTION("""COMPUTED_VALUE"""),"")</f>
        <v/>
      </c>
      <c r="X15110" s="16" t="str">
        <f>IFERROR(__xludf.DUMMYFUNCTION("""COMPUTED_VALUE"""),"")</f>
        <v/>
      </c>
      <c r="AC15110" s="16" t="str">
        <f>IFERROR(__xludf.DUMMYFUNCTION("""COMPUTED_VALUE"""),"")</f>
        <v/>
      </c>
    </row>
    <row r="15111">
      <c r="A15111" s="16" t="s">
        <v>87</v>
      </c>
      <c r="E15111" s="16" t="str">
        <f>IFERROR(__xludf.DUMMYFUNCTION("""COMPUTED_VALUE"""),"")</f>
        <v/>
      </c>
      <c r="G15111" s="18"/>
      <c r="H15111" s="16" t="s">
        <v>87</v>
      </c>
      <c r="I15111" s="16" t="s">
        <v>87</v>
      </c>
      <c r="J15111" s="19"/>
      <c r="L15111" s="16" t="str">
        <f>IFERROR(__xludf.DUMMYFUNCTION("""COMPUTED_VALUE"""),"")</f>
        <v/>
      </c>
      <c r="M15111" s="16" t="str">
        <f>IFERROR(__xludf.DUMMYFUNCTION("""COMPUTED_VALUE"""),"")</f>
        <v/>
      </c>
      <c r="U15111" s="16" t="s">
        <v>87</v>
      </c>
      <c r="V15111" s="16" t="str">
        <f>IFERROR(__xludf.DUMMYFUNCTION("""COMPUTED_VALUE"""),"")</f>
        <v/>
      </c>
      <c r="W15111" s="16" t="str">
        <f>IFERROR(__xludf.DUMMYFUNCTION("""COMPUTED_VALUE"""),"")</f>
        <v/>
      </c>
      <c r="X15111" s="16" t="str">
        <f>IFERROR(__xludf.DUMMYFUNCTION("""COMPUTED_VALUE"""),"")</f>
        <v/>
      </c>
      <c r="AC15111" s="16" t="str">
        <f>IFERROR(__xludf.DUMMYFUNCTION("""COMPUTED_VALUE"""),"")</f>
        <v/>
      </c>
    </row>
    <row r="15112">
      <c r="A15112" s="16" t="s">
        <v>87</v>
      </c>
      <c r="E15112" s="16" t="str">
        <f>IFERROR(__xludf.DUMMYFUNCTION("""COMPUTED_VALUE"""),"")</f>
        <v/>
      </c>
      <c r="G15112" s="18"/>
      <c r="H15112" s="16" t="s">
        <v>87</v>
      </c>
      <c r="I15112" s="16" t="s">
        <v>87</v>
      </c>
      <c r="J15112" s="19"/>
      <c r="L15112" s="16" t="str">
        <f>IFERROR(__xludf.DUMMYFUNCTION("""COMPUTED_VALUE"""),"")</f>
        <v/>
      </c>
      <c r="M15112" s="16" t="str">
        <f>IFERROR(__xludf.DUMMYFUNCTION("""COMPUTED_VALUE"""),"")</f>
        <v/>
      </c>
      <c r="U15112" s="16" t="s">
        <v>87</v>
      </c>
      <c r="V15112" s="16" t="str">
        <f>IFERROR(__xludf.DUMMYFUNCTION("""COMPUTED_VALUE"""),"")</f>
        <v/>
      </c>
      <c r="W15112" s="16" t="str">
        <f>IFERROR(__xludf.DUMMYFUNCTION("""COMPUTED_VALUE"""),"")</f>
        <v/>
      </c>
      <c r="X15112" s="16" t="str">
        <f>IFERROR(__xludf.DUMMYFUNCTION("""COMPUTED_VALUE"""),"")</f>
        <v/>
      </c>
      <c r="AC15112" s="16" t="str">
        <f>IFERROR(__xludf.DUMMYFUNCTION("""COMPUTED_VALUE"""),"")</f>
        <v/>
      </c>
    </row>
    <row r="15113">
      <c r="A15113" s="16" t="s">
        <v>87</v>
      </c>
      <c r="E15113" s="16" t="str">
        <f>IFERROR(__xludf.DUMMYFUNCTION("""COMPUTED_VALUE"""),"")</f>
        <v/>
      </c>
      <c r="G15113" s="18"/>
      <c r="H15113" s="16" t="s">
        <v>87</v>
      </c>
      <c r="I15113" s="16" t="s">
        <v>87</v>
      </c>
      <c r="J15113" s="19"/>
      <c r="L15113" s="16" t="str">
        <f>IFERROR(__xludf.DUMMYFUNCTION("""COMPUTED_VALUE"""),"")</f>
        <v/>
      </c>
      <c r="M15113" s="16" t="str">
        <f>IFERROR(__xludf.DUMMYFUNCTION("""COMPUTED_VALUE"""),"")</f>
        <v/>
      </c>
      <c r="U15113" s="16" t="s">
        <v>87</v>
      </c>
      <c r="V15113" s="16" t="str">
        <f>IFERROR(__xludf.DUMMYFUNCTION("""COMPUTED_VALUE"""),"")</f>
        <v/>
      </c>
      <c r="W15113" s="16" t="str">
        <f>IFERROR(__xludf.DUMMYFUNCTION("""COMPUTED_VALUE"""),"")</f>
        <v/>
      </c>
      <c r="X15113" s="16" t="str">
        <f>IFERROR(__xludf.DUMMYFUNCTION("""COMPUTED_VALUE"""),"")</f>
        <v/>
      </c>
      <c r="AC15113" s="16" t="str">
        <f>IFERROR(__xludf.DUMMYFUNCTION("""COMPUTED_VALUE"""),"")</f>
        <v/>
      </c>
    </row>
    <row r="15114">
      <c r="A15114" s="16" t="s">
        <v>87</v>
      </c>
      <c r="E15114" s="16" t="str">
        <f>IFERROR(__xludf.DUMMYFUNCTION("""COMPUTED_VALUE"""),"")</f>
        <v/>
      </c>
      <c r="G15114" s="18"/>
      <c r="H15114" s="16" t="s">
        <v>87</v>
      </c>
      <c r="I15114" s="16" t="s">
        <v>87</v>
      </c>
      <c r="J15114" s="19"/>
      <c r="L15114" s="16" t="str">
        <f>IFERROR(__xludf.DUMMYFUNCTION("""COMPUTED_VALUE"""),"")</f>
        <v/>
      </c>
      <c r="M15114" s="16" t="str">
        <f>IFERROR(__xludf.DUMMYFUNCTION("""COMPUTED_VALUE"""),"")</f>
        <v/>
      </c>
      <c r="U15114" s="16" t="s">
        <v>87</v>
      </c>
      <c r="V15114" s="16" t="str">
        <f>IFERROR(__xludf.DUMMYFUNCTION("""COMPUTED_VALUE"""),"")</f>
        <v/>
      </c>
      <c r="W15114" s="16" t="str">
        <f>IFERROR(__xludf.DUMMYFUNCTION("""COMPUTED_VALUE"""),"")</f>
        <v/>
      </c>
      <c r="X15114" s="16" t="str">
        <f>IFERROR(__xludf.DUMMYFUNCTION("""COMPUTED_VALUE"""),"")</f>
        <v/>
      </c>
      <c r="AC15114" s="16" t="str">
        <f>IFERROR(__xludf.DUMMYFUNCTION("""COMPUTED_VALUE"""),"")</f>
        <v/>
      </c>
    </row>
    <row r="15115">
      <c r="A15115" s="16" t="s">
        <v>87</v>
      </c>
      <c r="E15115" s="16" t="str">
        <f>IFERROR(__xludf.DUMMYFUNCTION("""COMPUTED_VALUE"""),"")</f>
        <v/>
      </c>
      <c r="G15115" s="18"/>
      <c r="H15115" s="16" t="s">
        <v>87</v>
      </c>
      <c r="I15115" s="16" t="s">
        <v>87</v>
      </c>
      <c r="J15115" s="19"/>
      <c r="L15115" s="16" t="str">
        <f>IFERROR(__xludf.DUMMYFUNCTION("""COMPUTED_VALUE"""),"")</f>
        <v/>
      </c>
      <c r="M15115" s="16" t="str">
        <f>IFERROR(__xludf.DUMMYFUNCTION("""COMPUTED_VALUE"""),"")</f>
        <v/>
      </c>
      <c r="U15115" s="16" t="s">
        <v>87</v>
      </c>
      <c r="V15115" s="16" t="str">
        <f>IFERROR(__xludf.DUMMYFUNCTION("""COMPUTED_VALUE"""),"")</f>
        <v/>
      </c>
      <c r="W15115" s="16" t="str">
        <f>IFERROR(__xludf.DUMMYFUNCTION("""COMPUTED_VALUE"""),"")</f>
        <v/>
      </c>
      <c r="X15115" s="16" t="str">
        <f>IFERROR(__xludf.DUMMYFUNCTION("""COMPUTED_VALUE"""),"")</f>
        <v/>
      </c>
      <c r="AC15115" s="16" t="str">
        <f>IFERROR(__xludf.DUMMYFUNCTION("""COMPUTED_VALUE"""),"")</f>
        <v/>
      </c>
    </row>
    <row r="15116">
      <c r="A15116" s="16" t="s">
        <v>87</v>
      </c>
      <c r="E15116" s="16" t="str">
        <f>IFERROR(__xludf.DUMMYFUNCTION("""COMPUTED_VALUE"""),"")</f>
        <v/>
      </c>
      <c r="G15116" s="18"/>
      <c r="H15116" s="16" t="s">
        <v>87</v>
      </c>
      <c r="I15116" s="16" t="s">
        <v>87</v>
      </c>
      <c r="J15116" s="19"/>
      <c r="L15116" s="16" t="str">
        <f>IFERROR(__xludf.DUMMYFUNCTION("""COMPUTED_VALUE"""),"")</f>
        <v/>
      </c>
      <c r="M15116" s="16" t="str">
        <f>IFERROR(__xludf.DUMMYFUNCTION("""COMPUTED_VALUE"""),"")</f>
        <v/>
      </c>
      <c r="U15116" s="16" t="s">
        <v>87</v>
      </c>
      <c r="V15116" s="16" t="str">
        <f>IFERROR(__xludf.DUMMYFUNCTION("""COMPUTED_VALUE"""),"")</f>
        <v/>
      </c>
      <c r="W15116" s="16" t="str">
        <f>IFERROR(__xludf.DUMMYFUNCTION("""COMPUTED_VALUE"""),"")</f>
        <v/>
      </c>
      <c r="X15116" s="16" t="str">
        <f>IFERROR(__xludf.DUMMYFUNCTION("""COMPUTED_VALUE"""),"")</f>
        <v/>
      </c>
      <c r="AC15116" s="16" t="str">
        <f>IFERROR(__xludf.DUMMYFUNCTION("""COMPUTED_VALUE"""),"")</f>
        <v/>
      </c>
    </row>
    <row r="15117">
      <c r="A15117" s="16" t="s">
        <v>87</v>
      </c>
      <c r="E15117" s="16" t="str">
        <f>IFERROR(__xludf.DUMMYFUNCTION("""COMPUTED_VALUE"""),"")</f>
        <v/>
      </c>
      <c r="G15117" s="18"/>
      <c r="H15117" s="16" t="s">
        <v>87</v>
      </c>
      <c r="I15117" s="16" t="s">
        <v>87</v>
      </c>
      <c r="J15117" s="19"/>
      <c r="L15117" s="16" t="str">
        <f>IFERROR(__xludf.DUMMYFUNCTION("""COMPUTED_VALUE"""),"")</f>
        <v/>
      </c>
      <c r="M15117" s="16" t="str">
        <f>IFERROR(__xludf.DUMMYFUNCTION("""COMPUTED_VALUE"""),"")</f>
        <v/>
      </c>
      <c r="U15117" s="16" t="s">
        <v>87</v>
      </c>
      <c r="V15117" s="16" t="str">
        <f>IFERROR(__xludf.DUMMYFUNCTION("""COMPUTED_VALUE"""),"")</f>
        <v/>
      </c>
      <c r="W15117" s="16" t="str">
        <f>IFERROR(__xludf.DUMMYFUNCTION("""COMPUTED_VALUE"""),"")</f>
        <v/>
      </c>
      <c r="X15117" s="16" t="str">
        <f>IFERROR(__xludf.DUMMYFUNCTION("""COMPUTED_VALUE"""),"")</f>
        <v/>
      </c>
      <c r="AC15117" s="16" t="str">
        <f>IFERROR(__xludf.DUMMYFUNCTION("""COMPUTED_VALUE"""),"")</f>
        <v/>
      </c>
    </row>
    <row r="15118">
      <c r="A15118" s="16" t="s">
        <v>87</v>
      </c>
      <c r="E15118" s="16" t="str">
        <f>IFERROR(__xludf.DUMMYFUNCTION("""COMPUTED_VALUE"""),"")</f>
        <v/>
      </c>
      <c r="G15118" s="18"/>
      <c r="H15118" s="16" t="s">
        <v>87</v>
      </c>
      <c r="I15118" s="16" t="s">
        <v>87</v>
      </c>
      <c r="J15118" s="19"/>
      <c r="L15118" s="16" t="str">
        <f>IFERROR(__xludf.DUMMYFUNCTION("""COMPUTED_VALUE"""),"")</f>
        <v/>
      </c>
      <c r="M15118" s="16" t="str">
        <f>IFERROR(__xludf.DUMMYFUNCTION("""COMPUTED_VALUE"""),"")</f>
        <v/>
      </c>
      <c r="U15118" s="16" t="s">
        <v>87</v>
      </c>
      <c r="V15118" s="16" t="str">
        <f>IFERROR(__xludf.DUMMYFUNCTION("""COMPUTED_VALUE"""),"")</f>
        <v/>
      </c>
      <c r="W15118" s="16" t="str">
        <f>IFERROR(__xludf.DUMMYFUNCTION("""COMPUTED_VALUE"""),"")</f>
        <v/>
      </c>
      <c r="X15118" s="16" t="str">
        <f>IFERROR(__xludf.DUMMYFUNCTION("""COMPUTED_VALUE"""),"")</f>
        <v/>
      </c>
      <c r="AC15118" s="16" t="str">
        <f>IFERROR(__xludf.DUMMYFUNCTION("""COMPUTED_VALUE"""),"")</f>
        <v/>
      </c>
    </row>
    <row r="15119">
      <c r="A15119" s="16" t="s">
        <v>87</v>
      </c>
      <c r="E15119" s="16" t="str">
        <f>IFERROR(__xludf.DUMMYFUNCTION("""COMPUTED_VALUE"""),"")</f>
        <v/>
      </c>
      <c r="G15119" s="18"/>
      <c r="H15119" s="16" t="s">
        <v>87</v>
      </c>
      <c r="I15119" s="16" t="s">
        <v>87</v>
      </c>
      <c r="J15119" s="19"/>
      <c r="L15119" s="16" t="str">
        <f>IFERROR(__xludf.DUMMYFUNCTION("""COMPUTED_VALUE"""),"")</f>
        <v/>
      </c>
      <c r="M15119" s="16" t="str">
        <f>IFERROR(__xludf.DUMMYFUNCTION("""COMPUTED_VALUE"""),"")</f>
        <v/>
      </c>
      <c r="U15119" s="16" t="s">
        <v>87</v>
      </c>
      <c r="V15119" s="16" t="str">
        <f>IFERROR(__xludf.DUMMYFUNCTION("""COMPUTED_VALUE"""),"")</f>
        <v/>
      </c>
      <c r="W15119" s="16" t="str">
        <f>IFERROR(__xludf.DUMMYFUNCTION("""COMPUTED_VALUE"""),"")</f>
        <v/>
      </c>
      <c r="X15119" s="16" t="str">
        <f>IFERROR(__xludf.DUMMYFUNCTION("""COMPUTED_VALUE"""),"")</f>
        <v/>
      </c>
      <c r="AC15119" s="16" t="str">
        <f>IFERROR(__xludf.DUMMYFUNCTION("""COMPUTED_VALUE"""),"")</f>
        <v/>
      </c>
    </row>
    <row r="15120">
      <c r="A15120" s="16" t="s">
        <v>87</v>
      </c>
      <c r="E15120" s="16" t="str">
        <f>IFERROR(__xludf.DUMMYFUNCTION("""COMPUTED_VALUE"""),"")</f>
        <v/>
      </c>
      <c r="G15120" s="18"/>
      <c r="H15120" s="16" t="s">
        <v>87</v>
      </c>
      <c r="I15120" s="16" t="s">
        <v>87</v>
      </c>
      <c r="J15120" s="19"/>
      <c r="L15120" s="16" t="str">
        <f>IFERROR(__xludf.DUMMYFUNCTION("""COMPUTED_VALUE"""),"")</f>
        <v/>
      </c>
      <c r="M15120" s="16" t="str">
        <f>IFERROR(__xludf.DUMMYFUNCTION("""COMPUTED_VALUE"""),"")</f>
        <v/>
      </c>
      <c r="U15120" s="16" t="s">
        <v>87</v>
      </c>
      <c r="V15120" s="16" t="str">
        <f>IFERROR(__xludf.DUMMYFUNCTION("""COMPUTED_VALUE"""),"")</f>
        <v/>
      </c>
      <c r="W15120" s="16" t="str">
        <f>IFERROR(__xludf.DUMMYFUNCTION("""COMPUTED_VALUE"""),"")</f>
        <v/>
      </c>
      <c r="X15120" s="16" t="str">
        <f>IFERROR(__xludf.DUMMYFUNCTION("""COMPUTED_VALUE"""),"")</f>
        <v/>
      </c>
      <c r="AC15120" s="16" t="str">
        <f>IFERROR(__xludf.DUMMYFUNCTION("""COMPUTED_VALUE"""),"")</f>
        <v/>
      </c>
    </row>
    <row r="15121">
      <c r="A15121" s="16" t="s">
        <v>87</v>
      </c>
      <c r="E15121" s="16" t="str">
        <f>IFERROR(__xludf.DUMMYFUNCTION("""COMPUTED_VALUE"""),"")</f>
        <v/>
      </c>
      <c r="G15121" s="18"/>
      <c r="H15121" s="16" t="s">
        <v>87</v>
      </c>
      <c r="I15121" s="16" t="s">
        <v>87</v>
      </c>
      <c r="J15121" s="19"/>
      <c r="L15121" s="16" t="str">
        <f>IFERROR(__xludf.DUMMYFUNCTION("""COMPUTED_VALUE"""),"")</f>
        <v/>
      </c>
      <c r="M15121" s="16" t="str">
        <f>IFERROR(__xludf.DUMMYFUNCTION("""COMPUTED_VALUE"""),"")</f>
        <v/>
      </c>
      <c r="U15121" s="16" t="s">
        <v>87</v>
      </c>
      <c r="V15121" s="16" t="str">
        <f>IFERROR(__xludf.DUMMYFUNCTION("""COMPUTED_VALUE"""),"")</f>
        <v/>
      </c>
      <c r="W15121" s="16" t="str">
        <f>IFERROR(__xludf.DUMMYFUNCTION("""COMPUTED_VALUE"""),"")</f>
        <v/>
      </c>
      <c r="X15121" s="16" t="str">
        <f>IFERROR(__xludf.DUMMYFUNCTION("""COMPUTED_VALUE"""),"")</f>
        <v/>
      </c>
      <c r="AC15121" s="16" t="str">
        <f>IFERROR(__xludf.DUMMYFUNCTION("""COMPUTED_VALUE"""),"")</f>
        <v/>
      </c>
    </row>
    <row r="15122">
      <c r="A15122" s="16" t="s">
        <v>87</v>
      </c>
      <c r="E15122" s="16" t="str">
        <f>IFERROR(__xludf.DUMMYFUNCTION("""COMPUTED_VALUE"""),"")</f>
        <v/>
      </c>
      <c r="G15122" s="18"/>
      <c r="H15122" s="16" t="s">
        <v>87</v>
      </c>
      <c r="I15122" s="16" t="s">
        <v>87</v>
      </c>
      <c r="J15122" s="19"/>
      <c r="L15122" s="16" t="str">
        <f>IFERROR(__xludf.DUMMYFUNCTION("""COMPUTED_VALUE"""),"")</f>
        <v/>
      </c>
      <c r="M15122" s="16" t="str">
        <f>IFERROR(__xludf.DUMMYFUNCTION("""COMPUTED_VALUE"""),"")</f>
        <v/>
      </c>
      <c r="U15122" s="16" t="s">
        <v>87</v>
      </c>
      <c r="V15122" s="16" t="str">
        <f>IFERROR(__xludf.DUMMYFUNCTION("""COMPUTED_VALUE"""),"")</f>
        <v/>
      </c>
      <c r="W15122" s="16" t="str">
        <f>IFERROR(__xludf.DUMMYFUNCTION("""COMPUTED_VALUE"""),"")</f>
        <v/>
      </c>
      <c r="X15122" s="16" t="str">
        <f>IFERROR(__xludf.DUMMYFUNCTION("""COMPUTED_VALUE"""),"")</f>
        <v/>
      </c>
      <c r="AC15122" s="16" t="str">
        <f>IFERROR(__xludf.DUMMYFUNCTION("""COMPUTED_VALUE"""),"")</f>
        <v/>
      </c>
    </row>
    <row r="15123">
      <c r="A15123" s="16" t="s">
        <v>87</v>
      </c>
      <c r="E15123" s="16" t="str">
        <f>IFERROR(__xludf.DUMMYFUNCTION("""COMPUTED_VALUE"""),"")</f>
        <v/>
      </c>
      <c r="G15123" s="18"/>
      <c r="H15123" s="16" t="s">
        <v>87</v>
      </c>
      <c r="I15123" s="16" t="s">
        <v>87</v>
      </c>
      <c r="J15123" s="19"/>
      <c r="L15123" s="16" t="str">
        <f>IFERROR(__xludf.DUMMYFUNCTION("""COMPUTED_VALUE"""),"")</f>
        <v/>
      </c>
      <c r="M15123" s="16" t="str">
        <f>IFERROR(__xludf.DUMMYFUNCTION("""COMPUTED_VALUE"""),"")</f>
        <v/>
      </c>
      <c r="U15123" s="16" t="s">
        <v>87</v>
      </c>
      <c r="V15123" s="16" t="str">
        <f>IFERROR(__xludf.DUMMYFUNCTION("""COMPUTED_VALUE"""),"")</f>
        <v/>
      </c>
      <c r="W15123" s="16" t="str">
        <f>IFERROR(__xludf.DUMMYFUNCTION("""COMPUTED_VALUE"""),"")</f>
        <v/>
      </c>
      <c r="X15123" s="16" t="str">
        <f>IFERROR(__xludf.DUMMYFUNCTION("""COMPUTED_VALUE"""),"")</f>
        <v/>
      </c>
      <c r="AC15123" s="16" t="str">
        <f>IFERROR(__xludf.DUMMYFUNCTION("""COMPUTED_VALUE"""),"")</f>
        <v/>
      </c>
    </row>
    <row r="15124">
      <c r="A15124" s="16" t="s">
        <v>87</v>
      </c>
      <c r="E15124" s="16" t="str">
        <f>IFERROR(__xludf.DUMMYFUNCTION("""COMPUTED_VALUE"""),"")</f>
        <v/>
      </c>
      <c r="G15124" s="18"/>
      <c r="H15124" s="16" t="s">
        <v>87</v>
      </c>
      <c r="I15124" s="16" t="s">
        <v>87</v>
      </c>
      <c r="J15124" s="19"/>
      <c r="L15124" s="16" t="str">
        <f>IFERROR(__xludf.DUMMYFUNCTION("""COMPUTED_VALUE"""),"")</f>
        <v/>
      </c>
      <c r="M15124" s="16" t="str">
        <f>IFERROR(__xludf.DUMMYFUNCTION("""COMPUTED_VALUE"""),"")</f>
        <v/>
      </c>
      <c r="U15124" s="16" t="s">
        <v>87</v>
      </c>
      <c r="V15124" s="16" t="str">
        <f>IFERROR(__xludf.DUMMYFUNCTION("""COMPUTED_VALUE"""),"")</f>
        <v/>
      </c>
      <c r="W15124" s="16" t="str">
        <f>IFERROR(__xludf.DUMMYFUNCTION("""COMPUTED_VALUE"""),"")</f>
        <v/>
      </c>
      <c r="X15124" s="16" t="str">
        <f>IFERROR(__xludf.DUMMYFUNCTION("""COMPUTED_VALUE"""),"")</f>
        <v/>
      </c>
      <c r="AC15124" s="16" t="str">
        <f>IFERROR(__xludf.DUMMYFUNCTION("""COMPUTED_VALUE"""),"")</f>
        <v/>
      </c>
    </row>
    <row r="15125">
      <c r="A15125" s="16" t="s">
        <v>87</v>
      </c>
      <c r="E15125" s="16" t="str">
        <f>IFERROR(__xludf.DUMMYFUNCTION("""COMPUTED_VALUE"""),"")</f>
        <v/>
      </c>
      <c r="G15125" s="18"/>
      <c r="H15125" s="16" t="s">
        <v>87</v>
      </c>
      <c r="I15125" s="16" t="s">
        <v>87</v>
      </c>
      <c r="J15125" s="19"/>
      <c r="L15125" s="16" t="str">
        <f>IFERROR(__xludf.DUMMYFUNCTION("""COMPUTED_VALUE"""),"")</f>
        <v/>
      </c>
      <c r="M15125" s="16" t="str">
        <f>IFERROR(__xludf.DUMMYFUNCTION("""COMPUTED_VALUE"""),"")</f>
        <v/>
      </c>
      <c r="U15125" s="16" t="s">
        <v>87</v>
      </c>
      <c r="V15125" s="16" t="str">
        <f>IFERROR(__xludf.DUMMYFUNCTION("""COMPUTED_VALUE"""),"")</f>
        <v/>
      </c>
      <c r="W15125" s="16" t="str">
        <f>IFERROR(__xludf.DUMMYFUNCTION("""COMPUTED_VALUE"""),"")</f>
        <v/>
      </c>
      <c r="X15125" s="16" t="str">
        <f>IFERROR(__xludf.DUMMYFUNCTION("""COMPUTED_VALUE"""),"")</f>
        <v/>
      </c>
      <c r="AC15125" s="16" t="str">
        <f>IFERROR(__xludf.DUMMYFUNCTION("""COMPUTED_VALUE"""),"")</f>
        <v/>
      </c>
    </row>
    <row r="15126">
      <c r="A15126" s="16" t="s">
        <v>87</v>
      </c>
      <c r="E15126" s="16" t="str">
        <f>IFERROR(__xludf.DUMMYFUNCTION("""COMPUTED_VALUE"""),"")</f>
        <v/>
      </c>
      <c r="G15126" s="18"/>
      <c r="H15126" s="16" t="s">
        <v>87</v>
      </c>
      <c r="I15126" s="16" t="s">
        <v>87</v>
      </c>
      <c r="J15126" s="19"/>
      <c r="L15126" s="16" t="str">
        <f>IFERROR(__xludf.DUMMYFUNCTION("""COMPUTED_VALUE"""),"")</f>
        <v/>
      </c>
      <c r="M15126" s="16" t="str">
        <f>IFERROR(__xludf.DUMMYFUNCTION("""COMPUTED_VALUE"""),"")</f>
        <v/>
      </c>
      <c r="U15126" s="16" t="s">
        <v>87</v>
      </c>
      <c r="V15126" s="16" t="str">
        <f>IFERROR(__xludf.DUMMYFUNCTION("""COMPUTED_VALUE"""),"")</f>
        <v/>
      </c>
      <c r="W15126" s="16" t="str">
        <f>IFERROR(__xludf.DUMMYFUNCTION("""COMPUTED_VALUE"""),"")</f>
        <v/>
      </c>
      <c r="X15126" s="16" t="str">
        <f>IFERROR(__xludf.DUMMYFUNCTION("""COMPUTED_VALUE"""),"")</f>
        <v/>
      </c>
      <c r="AC15126" s="16" t="str">
        <f>IFERROR(__xludf.DUMMYFUNCTION("""COMPUTED_VALUE"""),"")</f>
        <v/>
      </c>
    </row>
    <row r="15127">
      <c r="A15127" s="16" t="s">
        <v>87</v>
      </c>
      <c r="E15127" s="16" t="str">
        <f>IFERROR(__xludf.DUMMYFUNCTION("""COMPUTED_VALUE"""),"")</f>
        <v/>
      </c>
      <c r="G15127" s="18"/>
      <c r="H15127" s="16" t="s">
        <v>87</v>
      </c>
      <c r="I15127" s="16" t="s">
        <v>87</v>
      </c>
      <c r="J15127" s="19"/>
      <c r="L15127" s="16" t="str">
        <f>IFERROR(__xludf.DUMMYFUNCTION("""COMPUTED_VALUE"""),"")</f>
        <v/>
      </c>
      <c r="M15127" s="16" t="str">
        <f>IFERROR(__xludf.DUMMYFUNCTION("""COMPUTED_VALUE"""),"")</f>
        <v/>
      </c>
      <c r="U15127" s="16" t="s">
        <v>87</v>
      </c>
      <c r="V15127" s="16" t="str">
        <f>IFERROR(__xludf.DUMMYFUNCTION("""COMPUTED_VALUE"""),"")</f>
        <v/>
      </c>
      <c r="W15127" s="16" t="str">
        <f>IFERROR(__xludf.DUMMYFUNCTION("""COMPUTED_VALUE"""),"")</f>
        <v/>
      </c>
      <c r="X15127" s="16" t="str">
        <f>IFERROR(__xludf.DUMMYFUNCTION("""COMPUTED_VALUE"""),"")</f>
        <v/>
      </c>
      <c r="AC15127" s="16" t="str">
        <f>IFERROR(__xludf.DUMMYFUNCTION("""COMPUTED_VALUE"""),"")</f>
        <v/>
      </c>
    </row>
    <row r="15128">
      <c r="A15128" s="16" t="s">
        <v>87</v>
      </c>
      <c r="E15128" s="16" t="str">
        <f>IFERROR(__xludf.DUMMYFUNCTION("""COMPUTED_VALUE"""),"")</f>
        <v/>
      </c>
      <c r="G15128" s="18"/>
      <c r="H15128" s="16" t="s">
        <v>87</v>
      </c>
      <c r="I15128" s="16" t="s">
        <v>87</v>
      </c>
      <c r="J15128" s="19"/>
      <c r="L15128" s="16" t="str">
        <f>IFERROR(__xludf.DUMMYFUNCTION("""COMPUTED_VALUE"""),"")</f>
        <v/>
      </c>
      <c r="M15128" s="16" t="str">
        <f>IFERROR(__xludf.DUMMYFUNCTION("""COMPUTED_VALUE"""),"")</f>
        <v/>
      </c>
      <c r="U15128" s="16" t="s">
        <v>87</v>
      </c>
      <c r="V15128" s="16" t="str">
        <f>IFERROR(__xludf.DUMMYFUNCTION("""COMPUTED_VALUE"""),"")</f>
        <v/>
      </c>
      <c r="W15128" s="16" t="str">
        <f>IFERROR(__xludf.DUMMYFUNCTION("""COMPUTED_VALUE"""),"")</f>
        <v/>
      </c>
      <c r="X15128" s="16" t="str">
        <f>IFERROR(__xludf.DUMMYFUNCTION("""COMPUTED_VALUE"""),"")</f>
        <v/>
      </c>
      <c r="AC15128" s="16" t="str">
        <f>IFERROR(__xludf.DUMMYFUNCTION("""COMPUTED_VALUE"""),"")</f>
        <v/>
      </c>
    </row>
    <row r="15129">
      <c r="A15129" s="16" t="s">
        <v>87</v>
      </c>
      <c r="E15129" s="16" t="str">
        <f>IFERROR(__xludf.DUMMYFUNCTION("""COMPUTED_VALUE"""),"")</f>
        <v/>
      </c>
      <c r="G15129" s="18"/>
      <c r="H15129" s="16" t="s">
        <v>87</v>
      </c>
      <c r="I15129" s="16" t="s">
        <v>87</v>
      </c>
      <c r="J15129" s="19"/>
      <c r="L15129" s="16" t="str">
        <f>IFERROR(__xludf.DUMMYFUNCTION("""COMPUTED_VALUE"""),"")</f>
        <v/>
      </c>
      <c r="M15129" s="16" t="str">
        <f>IFERROR(__xludf.DUMMYFUNCTION("""COMPUTED_VALUE"""),"")</f>
        <v/>
      </c>
      <c r="U15129" s="16" t="s">
        <v>87</v>
      </c>
      <c r="V15129" s="16" t="str">
        <f>IFERROR(__xludf.DUMMYFUNCTION("""COMPUTED_VALUE"""),"")</f>
        <v/>
      </c>
      <c r="W15129" s="16" t="str">
        <f>IFERROR(__xludf.DUMMYFUNCTION("""COMPUTED_VALUE"""),"")</f>
        <v/>
      </c>
      <c r="X15129" s="16" t="str">
        <f>IFERROR(__xludf.DUMMYFUNCTION("""COMPUTED_VALUE"""),"")</f>
        <v/>
      </c>
      <c r="AC15129" s="16" t="str">
        <f>IFERROR(__xludf.DUMMYFUNCTION("""COMPUTED_VALUE"""),"")</f>
        <v/>
      </c>
    </row>
    <row r="15130">
      <c r="A15130" s="16" t="s">
        <v>87</v>
      </c>
      <c r="E15130" s="16" t="str">
        <f>IFERROR(__xludf.DUMMYFUNCTION("""COMPUTED_VALUE"""),"")</f>
        <v/>
      </c>
      <c r="G15130" s="18"/>
      <c r="H15130" s="16" t="s">
        <v>87</v>
      </c>
      <c r="I15130" s="16" t="s">
        <v>87</v>
      </c>
      <c r="J15130" s="19"/>
      <c r="L15130" s="16" t="str">
        <f>IFERROR(__xludf.DUMMYFUNCTION("""COMPUTED_VALUE"""),"")</f>
        <v/>
      </c>
      <c r="M15130" s="16" t="str">
        <f>IFERROR(__xludf.DUMMYFUNCTION("""COMPUTED_VALUE"""),"")</f>
        <v/>
      </c>
      <c r="U15130" s="16" t="s">
        <v>87</v>
      </c>
      <c r="V15130" s="16" t="str">
        <f>IFERROR(__xludf.DUMMYFUNCTION("""COMPUTED_VALUE"""),"")</f>
        <v/>
      </c>
      <c r="W15130" s="16" t="str">
        <f>IFERROR(__xludf.DUMMYFUNCTION("""COMPUTED_VALUE"""),"")</f>
        <v/>
      </c>
      <c r="X15130" s="16" t="str">
        <f>IFERROR(__xludf.DUMMYFUNCTION("""COMPUTED_VALUE"""),"")</f>
        <v/>
      </c>
      <c r="AC15130" s="16" t="str">
        <f>IFERROR(__xludf.DUMMYFUNCTION("""COMPUTED_VALUE"""),"")</f>
        <v/>
      </c>
    </row>
    <row r="15131">
      <c r="A15131" s="16" t="s">
        <v>87</v>
      </c>
      <c r="E15131" s="16" t="str">
        <f>IFERROR(__xludf.DUMMYFUNCTION("""COMPUTED_VALUE"""),"")</f>
        <v/>
      </c>
      <c r="G15131" s="18"/>
      <c r="H15131" s="16" t="s">
        <v>87</v>
      </c>
      <c r="I15131" s="16" t="s">
        <v>87</v>
      </c>
      <c r="J15131" s="19"/>
      <c r="L15131" s="16" t="str">
        <f>IFERROR(__xludf.DUMMYFUNCTION("""COMPUTED_VALUE"""),"")</f>
        <v/>
      </c>
      <c r="M15131" s="16" t="str">
        <f>IFERROR(__xludf.DUMMYFUNCTION("""COMPUTED_VALUE"""),"")</f>
        <v/>
      </c>
      <c r="U15131" s="16" t="s">
        <v>87</v>
      </c>
      <c r="V15131" s="16" t="str">
        <f>IFERROR(__xludf.DUMMYFUNCTION("""COMPUTED_VALUE"""),"")</f>
        <v/>
      </c>
      <c r="W15131" s="16" t="str">
        <f>IFERROR(__xludf.DUMMYFUNCTION("""COMPUTED_VALUE"""),"")</f>
        <v/>
      </c>
      <c r="X15131" s="16" t="str">
        <f>IFERROR(__xludf.DUMMYFUNCTION("""COMPUTED_VALUE"""),"")</f>
        <v/>
      </c>
      <c r="AC15131" s="16" t="str">
        <f>IFERROR(__xludf.DUMMYFUNCTION("""COMPUTED_VALUE"""),"")</f>
        <v/>
      </c>
    </row>
    <row r="15132">
      <c r="A15132" s="16" t="s">
        <v>87</v>
      </c>
      <c r="E15132" s="16" t="str">
        <f>IFERROR(__xludf.DUMMYFUNCTION("""COMPUTED_VALUE"""),"")</f>
        <v/>
      </c>
      <c r="G15132" s="18"/>
      <c r="H15132" s="16" t="s">
        <v>87</v>
      </c>
      <c r="I15132" s="16" t="s">
        <v>87</v>
      </c>
      <c r="J15132" s="19"/>
      <c r="L15132" s="16" t="str">
        <f>IFERROR(__xludf.DUMMYFUNCTION("""COMPUTED_VALUE"""),"")</f>
        <v/>
      </c>
      <c r="M15132" s="16" t="str">
        <f>IFERROR(__xludf.DUMMYFUNCTION("""COMPUTED_VALUE"""),"")</f>
        <v/>
      </c>
      <c r="U15132" s="16" t="s">
        <v>87</v>
      </c>
      <c r="V15132" s="16" t="str">
        <f>IFERROR(__xludf.DUMMYFUNCTION("""COMPUTED_VALUE"""),"")</f>
        <v/>
      </c>
      <c r="W15132" s="16" t="str">
        <f>IFERROR(__xludf.DUMMYFUNCTION("""COMPUTED_VALUE"""),"")</f>
        <v/>
      </c>
      <c r="X15132" s="16" t="str">
        <f>IFERROR(__xludf.DUMMYFUNCTION("""COMPUTED_VALUE"""),"")</f>
        <v/>
      </c>
      <c r="AC15132" s="16" t="str">
        <f>IFERROR(__xludf.DUMMYFUNCTION("""COMPUTED_VALUE"""),"")</f>
        <v/>
      </c>
    </row>
    <row r="15133">
      <c r="A15133" s="16" t="s">
        <v>87</v>
      </c>
      <c r="E15133" s="16" t="str">
        <f>IFERROR(__xludf.DUMMYFUNCTION("""COMPUTED_VALUE"""),"")</f>
        <v/>
      </c>
      <c r="G15133" s="18"/>
      <c r="H15133" s="16" t="s">
        <v>87</v>
      </c>
      <c r="I15133" s="16" t="s">
        <v>87</v>
      </c>
      <c r="J15133" s="19"/>
      <c r="L15133" s="16" t="str">
        <f>IFERROR(__xludf.DUMMYFUNCTION("""COMPUTED_VALUE"""),"")</f>
        <v/>
      </c>
      <c r="M15133" s="16" t="str">
        <f>IFERROR(__xludf.DUMMYFUNCTION("""COMPUTED_VALUE"""),"")</f>
        <v/>
      </c>
      <c r="U15133" s="16" t="s">
        <v>87</v>
      </c>
      <c r="V15133" s="16" t="str">
        <f>IFERROR(__xludf.DUMMYFUNCTION("""COMPUTED_VALUE"""),"")</f>
        <v/>
      </c>
      <c r="W15133" s="16" t="str">
        <f>IFERROR(__xludf.DUMMYFUNCTION("""COMPUTED_VALUE"""),"")</f>
        <v/>
      </c>
      <c r="X15133" s="16" t="str">
        <f>IFERROR(__xludf.DUMMYFUNCTION("""COMPUTED_VALUE"""),"")</f>
        <v/>
      </c>
      <c r="AC15133" s="16" t="str">
        <f>IFERROR(__xludf.DUMMYFUNCTION("""COMPUTED_VALUE"""),"")</f>
        <v/>
      </c>
    </row>
    <row r="15134">
      <c r="A15134" s="16" t="s">
        <v>87</v>
      </c>
      <c r="E15134" s="16" t="str">
        <f>IFERROR(__xludf.DUMMYFUNCTION("""COMPUTED_VALUE"""),"")</f>
        <v/>
      </c>
      <c r="G15134" s="18"/>
      <c r="H15134" s="16" t="s">
        <v>87</v>
      </c>
      <c r="I15134" s="16" t="s">
        <v>87</v>
      </c>
      <c r="J15134" s="19"/>
      <c r="L15134" s="16" t="str">
        <f>IFERROR(__xludf.DUMMYFUNCTION("""COMPUTED_VALUE"""),"")</f>
        <v/>
      </c>
      <c r="M15134" s="16" t="str">
        <f>IFERROR(__xludf.DUMMYFUNCTION("""COMPUTED_VALUE"""),"")</f>
        <v/>
      </c>
      <c r="U15134" s="16" t="s">
        <v>87</v>
      </c>
      <c r="V15134" s="16" t="str">
        <f>IFERROR(__xludf.DUMMYFUNCTION("""COMPUTED_VALUE"""),"")</f>
        <v/>
      </c>
      <c r="W15134" s="16" t="str">
        <f>IFERROR(__xludf.DUMMYFUNCTION("""COMPUTED_VALUE"""),"")</f>
        <v/>
      </c>
      <c r="X15134" s="16" t="str">
        <f>IFERROR(__xludf.DUMMYFUNCTION("""COMPUTED_VALUE"""),"")</f>
        <v/>
      </c>
      <c r="AC15134" s="16" t="str">
        <f>IFERROR(__xludf.DUMMYFUNCTION("""COMPUTED_VALUE"""),"")</f>
        <v/>
      </c>
    </row>
    <row r="15135">
      <c r="A15135" s="16" t="s">
        <v>87</v>
      </c>
      <c r="E15135" s="16" t="str">
        <f>IFERROR(__xludf.DUMMYFUNCTION("""COMPUTED_VALUE"""),"")</f>
        <v/>
      </c>
      <c r="G15135" s="18"/>
      <c r="H15135" s="16" t="s">
        <v>87</v>
      </c>
      <c r="I15135" s="16" t="s">
        <v>87</v>
      </c>
      <c r="J15135" s="19"/>
      <c r="L15135" s="16" t="str">
        <f>IFERROR(__xludf.DUMMYFUNCTION("""COMPUTED_VALUE"""),"")</f>
        <v/>
      </c>
      <c r="M15135" s="16" t="str">
        <f>IFERROR(__xludf.DUMMYFUNCTION("""COMPUTED_VALUE"""),"")</f>
        <v/>
      </c>
      <c r="U15135" s="16" t="s">
        <v>87</v>
      </c>
      <c r="V15135" s="16" t="str">
        <f>IFERROR(__xludf.DUMMYFUNCTION("""COMPUTED_VALUE"""),"")</f>
        <v/>
      </c>
      <c r="W15135" s="16" t="str">
        <f>IFERROR(__xludf.DUMMYFUNCTION("""COMPUTED_VALUE"""),"")</f>
        <v/>
      </c>
      <c r="X15135" s="16" t="str">
        <f>IFERROR(__xludf.DUMMYFUNCTION("""COMPUTED_VALUE"""),"")</f>
        <v/>
      </c>
      <c r="AC15135" s="16" t="str">
        <f>IFERROR(__xludf.DUMMYFUNCTION("""COMPUTED_VALUE"""),"")</f>
        <v/>
      </c>
    </row>
    <row r="15136">
      <c r="A15136" s="16" t="s">
        <v>87</v>
      </c>
      <c r="E15136" s="16" t="str">
        <f>IFERROR(__xludf.DUMMYFUNCTION("""COMPUTED_VALUE"""),"")</f>
        <v/>
      </c>
      <c r="G15136" s="18"/>
      <c r="H15136" s="16" t="s">
        <v>87</v>
      </c>
      <c r="I15136" s="16" t="s">
        <v>87</v>
      </c>
      <c r="J15136" s="19"/>
      <c r="L15136" s="16" t="str">
        <f>IFERROR(__xludf.DUMMYFUNCTION("""COMPUTED_VALUE"""),"")</f>
        <v/>
      </c>
      <c r="M15136" s="16" t="str">
        <f>IFERROR(__xludf.DUMMYFUNCTION("""COMPUTED_VALUE"""),"")</f>
        <v/>
      </c>
      <c r="U15136" s="16" t="s">
        <v>87</v>
      </c>
      <c r="V15136" s="16" t="str">
        <f>IFERROR(__xludf.DUMMYFUNCTION("""COMPUTED_VALUE"""),"")</f>
        <v/>
      </c>
      <c r="W15136" s="16" t="str">
        <f>IFERROR(__xludf.DUMMYFUNCTION("""COMPUTED_VALUE"""),"")</f>
        <v/>
      </c>
      <c r="X15136" s="16" t="str">
        <f>IFERROR(__xludf.DUMMYFUNCTION("""COMPUTED_VALUE"""),"")</f>
        <v/>
      </c>
      <c r="AC15136" s="16" t="str">
        <f>IFERROR(__xludf.DUMMYFUNCTION("""COMPUTED_VALUE"""),"")</f>
        <v/>
      </c>
    </row>
    <row r="15137">
      <c r="A15137" s="16" t="s">
        <v>87</v>
      </c>
      <c r="E15137" s="16" t="str">
        <f>IFERROR(__xludf.DUMMYFUNCTION("""COMPUTED_VALUE"""),"")</f>
        <v/>
      </c>
      <c r="G15137" s="18"/>
      <c r="H15137" s="16" t="s">
        <v>87</v>
      </c>
      <c r="I15137" s="16" t="s">
        <v>87</v>
      </c>
      <c r="J15137" s="19"/>
      <c r="L15137" s="16" t="str">
        <f>IFERROR(__xludf.DUMMYFUNCTION("""COMPUTED_VALUE"""),"")</f>
        <v/>
      </c>
      <c r="M15137" s="16" t="str">
        <f>IFERROR(__xludf.DUMMYFUNCTION("""COMPUTED_VALUE"""),"")</f>
        <v/>
      </c>
      <c r="U15137" s="16" t="s">
        <v>87</v>
      </c>
      <c r="V15137" s="16" t="str">
        <f>IFERROR(__xludf.DUMMYFUNCTION("""COMPUTED_VALUE"""),"")</f>
        <v/>
      </c>
      <c r="W15137" s="16" t="str">
        <f>IFERROR(__xludf.DUMMYFUNCTION("""COMPUTED_VALUE"""),"")</f>
        <v/>
      </c>
      <c r="X15137" s="16" t="str">
        <f>IFERROR(__xludf.DUMMYFUNCTION("""COMPUTED_VALUE"""),"")</f>
        <v/>
      </c>
      <c r="AC15137" s="16" t="str">
        <f>IFERROR(__xludf.DUMMYFUNCTION("""COMPUTED_VALUE"""),"")</f>
        <v/>
      </c>
    </row>
    <row r="15138">
      <c r="A15138" s="16" t="s">
        <v>87</v>
      </c>
      <c r="E15138" s="16" t="str">
        <f>IFERROR(__xludf.DUMMYFUNCTION("""COMPUTED_VALUE"""),"")</f>
        <v/>
      </c>
      <c r="G15138" s="18"/>
      <c r="H15138" s="16" t="s">
        <v>87</v>
      </c>
      <c r="I15138" s="16" t="s">
        <v>87</v>
      </c>
      <c r="J15138" s="19"/>
      <c r="L15138" s="16" t="str">
        <f>IFERROR(__xludf.DUMMYFUNCTION("""COMPUTED_VALUE"""),"")</f>
        <v/>
      </c>
      <c r="M15138" s="16" t="str">
        <f>IFERROR(__xludf.DUMMYFUNCTION("""COMPUTED_VALUE"""),"")</f>
        <v/>
      </c>
      <c r="U15138" s="16" t="s">
        <v>87</v>
      </c>
      <c r="V15138" s="16" t="str">
        <f>IFERROR(__xludf.DUMMYFUNCTION("""COMPUTED_VALUE"""),"")</f>
        <v/>
      </c>
      <c r="W15138" s="16" t="str">
        <f>IFERROR(__xludf.DUMMYFUNCTION("""COMPUTED_VALUE"""),"")</f>
        <v/>
      </c>
      <c r="X15138" s="16" t="str">
        <f>IFERROR(__xludf.DUMMYFUNCTION("""COMPUTED_VALUE"""),"")</f>
        <v/>
      </c>
      <c r="AC15138" s="16" t="str">
        <f>IFERROR(__xludf.DUMMYFUNCTION("""COMPUTED_VALUE"""),"")</f>
        <v/>
      </c>
    </row>
    <row r="15139">
      <c r="A15139" s="16" t="s">
        <v>87</v>
      </c>
      <c r="E15139" s="16" t="str">
        <f>IFERROR(__xludf.DUMMYFUNCTION("""COMPUTED_VALUE"""),"")</f>
        <v/>
      </c>
      <c r="G15139" s="18"/>
      <c r="H15139" s="16" t="s">
        <v>87</v>
      </c>
      <c r="I15139" s="16" t="s">
        <v>87</v>
      </c>
      <c r="J15139" s="19"/>
      <c r="L15139" s="16" t="str">
        <f>IFERROR(__xludf.DUMMYFUNCTION("""COMPUTED_VALUE"""),"")</f>
        <v/>
      </c>
      <c r="M15139" s="16" t="str">
        <f>IFERROR(__xludf.DUMMYFUNCTION("""COMPUTED_VALUE"""),"")</f>
        <v/>
      </c>
      <c r="U15139" s="16" t="s">
        <v>87</v>
      </c>
      <c r="V15139" s="16" t="str">
        <f>IFERROR(__xludf.DUMMYFUNCTION("""COMPUTED_VALUE"""),"")</f>
        <v/>
      </c>
      <c r="W15139" s="16" t="str">
        <f>IFERROR(__xludf.DUMMYFUNCTION("""COMPUTED_VALUE"""),"")</f>
        <v/>
      </c>
      <c r="X15139" s="16" t="str">
        <f>IFERROR(__xludf.DUMMYFUNCTION("""COMPUTED_VALUE"""),"")</f>
        <v/>
      </c>
      <c r="AC15139" s="16" t="str">
        <f>IFERROR(__xludf.DUMMYFUNCTION("""COMPUTED_VALUE"""),"")</f>
        <v/>
      </c>
    </row>
    <row r="15140">
      <c r="A15140" s="16" t="s">
        <v>87</v>
      </c>
      <c r="E15140" s="16" t="str">
        <f>IFERROR(__xludf.DUMMYFUNCTION("""COMPUTED_VALUE"""),"")</f>
        <v/>
      </c>
      <c r="G15140" s="18"/>
      <c r="H15140" s="16" t="s">
        <v>87</v>
      </c>
      <c r="I15140" s="16" t="s">
        <v>87</v>
      </c>
      <c r="J15140" s="19"/>
      <c r="L15140" s="16" t="str">
        <f>IFERROR(__xludf.DUMMYFUNCTION("""COMPUTED_VALUE"""),"")</f>
        <v/>
      </c>
      <c r="M15140" s="16" t="str">
        <f>IFERROR(__xludf.DUMMYFUNCTION("""COMPUTED_VALUE"""),"")</f>
        <v/>
      </c>
      <c r="U15140" s="16" t="s">
        <v>87</v>
      </c>
      <c r="V15140" s="16" t="str">
        <f>IFERROR(__xludf.DUMMYFUNCTION("""COMPUTED_VALUE"""),"")</f>
        <v/>
      </c>
      <c r="W15140" s="16" t="str">
        <f>IFERROR(__xludf.DUMMYFUNCTION("""COMPUTED_VALUE"""),"")</f>
        <v/>
      </c>
      <c r="X15140" s="16" t="str">
        <f>IFERROR(__xludf.DUMMYFUNCTION("""COMPUTED_VALUE"""),"")</f>
        <v/>
      </c>
      <c r="AC15140" s="16" t="str">
        <f>IFERROR(__xludf.DUMMYFUNCTION("""COMPUTED_VALUE"""),"")</f>
        <v/>
      </c>
    </row>
    <row r="15141">
      <c r="A15141" s="16" t="s">
        <v>87</v>
      </c>
      <c r="E15141" s="16" t="str">
        <f>IFERROR(__xludf.DUMMYFUNCTION("""COMPUTED_VALUE"""),"")</f>
        <v/>
      </c>
      <c r="G15141" s="18"/>
      <c r="H15141" s="16" t="s">
        <v>87</v>
      </c>
      <c r="I15141" s="16" t="s">
        <v>87</v>
      </c>
      <c r="J15141" s="19"/>
      <c r="L15141" s="16" t="str">
        <f>IFERROR(__xludf.DUMMYFUNCTION("""COMPUTED_VALUE"""),"")</f>
        <v/>
      </c>
      <c r="M15141" s="16" t="str">
        <f>IFERROR(__xludf.DUMMYFUNCTION("""COMPUTED_VALUE"""),"")</f>
        <v/>
      </c>
      <c r="U15141" s="16" t="s">
        <v>87</v>
      </c>
      <c r="V15141" s="16" t="str">
        <f>IFERROR(__xludf.DUMMYFUNCTION("""COMPUTED_VALUE"""),"")</f>
        <v/>
      </c>
      <c r="W15141" s="16" t="str">
        <f>IFERROR(__xludf.DUMMYFUNCTION("""COMPUTED_VALUE"""),"")</f>
        <v/>
      </c>
      <c r="X15141" s="16" t="str">
        <f>IFERROR(__xludf.DUMMYFUNCTION("""COMPUTED_VALUE"""),"")</f>
        <v/>
      </c>
      <c r="AC15141" s="16" t="str">
        <f>IFERROR(__xludf.DUMMYFUNCTION("""COMPUTED_VALUE"""),"")</f>
        <v/>
      </c>
    </row>
    <row r="15142">
      <c r="A15142" s="16" t="s">
        <v>87</v>
      </c>
      <c r="E15142" s="16" t="str">
        <f>IFERROR(__xludf.DUMMYFUNCTION("""COMPUTED_VALUE"""),"")</f>
        <v/>
      </c>
      <c r="G15142" s="18"/>
      <c r="H15142" s="16" t="s">
        <v>87</v>
      </c>
      <c r="I15142" s="16" t="s">
        <v>87</v>
      </c>
      <c r="J15142" s="19"/>
      <c r="L15142" s="16" t="str">
        <f>IFERROR(__xludf.DUMMYFUNCTION("""COMPUTED_VALUE"""),"")</f>
        <v/>
      </c>
      <c r="M15142" s="16" t="str">
        <f>IFERROR(__xludf.DUMMYFUNCTION("""COMPUTED_VALUE"""),"")</f>
        <v/>
      </c>
      <c r="U15142" s="16" t="s">
        <v>87</v>
      </c>
      <c r="V15142" s="16" t="str">
        <f>IFERROR(__xludf.DUMMYFUNCTION("""COMPUTED_VALUE"""),"")</f>
        <v/>
      </c>
      <c r="W15142" s="16" t="str">
        <f>IFERROR(__xludf.DUMMYFUNCTION("""COMPUTED_VALUE"""),"")</f>
        <v/>
      </c>
      <c r="X15142" s="16" t="str">
        <f>IFERROR(__xludf.DUMMYFUNCTION("""COMPUTED_VALUE"""),"")</f>
        <v/>
      </c>
      <c r="AC15142" s="16" t="str">
        <f>IFERROR(__xludf.DUMMYFUNCTION("""COMPUTED_VALUE"""),"")</f>
        <v/>
      </c>
    </row>
    <row r="15143">
      <c r="A15143" s="16" t="s">
        <v>87</v>
      </c>
      <c r="E15143" s="16" t="str">
        <f>IFERROR(__xludf.DUMMYFUNCTION("""COMPUTED_VALUE"""),"")</f>
        <v/>
      </c>
      <c r="G15143" s="18"/>
      <c r="H15143" s="16" t="s">
        <v>87</v>
      </c>
      <c r="I15143" s="16" t="s">
        <v>87</v>
      </c>
      <c r="J15143" s="19"/>
      <c r="L15143" s="16" t="str">
        <f>IFERROR(__xludf.DUMMYFUNCTION("""COMPUTED_VALUE"""),"")</f>
        <v/>
      </c>
      <c r="M15143" s="16" t="str">
        <f>IFERROR(__xludf.DUMMYFUNCTION("""COMPUTED_VALUE"""),"")</f>
        <v/>
      </c>
      <c r="U15143" s="16" t="s">
        <v>87</v>
      </c>
      <c r="V15143" s="16" t="str">
        <f>IFERROR(__xludf.DUMMYFUNCTION("""COMPUTED_VALUE"""),"")</f>
        <v/>
      </c>
      <c r="W15143" s="16" t="str">
        <f>IFERROR(__xludf.DUMMYFUNCTION("""COMPUTED_VALUE"""),"")</f>
        <v/>
      </c>
      <c r="X15143" s="16" t="str">
        <f>IFERROR(__xludf.DUMMYFUNCTION("""COMPUTED_VALUE"""),"")</f>
        <v/>
      </c>
      <c r="AC15143" s="16" t="str">
        <f>IFERROR(__xludf.DUMMYFUNCTION("""COMPUTED_VALUE"""),"")</f>
        <v/>
      </c>
    </row>
    <row r="15144">
      <c r="A15144" s="16" t="s">
        <v>87</v>
      </c>
      <c r="E15144" s="16" t="str">
        <f>IFERROR(__xludf.DUMMYFUNCTION("""COMPUTED_VALUE"""),"")</f>
        <v/>
      </c>
      <c r="G15144" s="18"/>
      <c r="H15144" s="16" t="s">
        <v>87</v>
      </c>
      <c r="I15144" s="16" t="s">
        <v>87</v>
      </c>
      <c r="J15144" s="19"/>
      <c r="L15144" s="16" t="str">
        <f>IFERROR(__xludf.DUMMYFUNCTION("""COMPUTED_VALUE"""),"")</f>
        <v/>
      </c>
      <c r="M15144" s="16" t="str">
        <f>IFERROR(__xludf.DUMMYFUNCTION("""COMPUTED_VALUE"""),"")</f>
        <v/>
      </c>
      <c r="U15144" s="16" t="s">
        <v>87</v>
      </c>
      <c r="V15144" s="16" t="str">
        <f>IFERROR(__xludf.DUMMYFUNCTION("""COMPUTED_VALUE"""),"")</f>
        <v/>
      </c>
      <c r="W15144" s="16" t="str">
        <f>IFERROR(__xludf.DUMMYFUNCTION("""COMPUTED_VALUE"""),"")</f>
        <v/>
      </c>
      <c r="X15144" s="16" t="str">
        <f>IFERROR(__xludf.DUMMYFUNCTION("""COMPUTED_VALUE"""),"")</f>
        <v/>
      </c>
      <c r="AC15144" s="16" t="str">
        <f>IFERROR(__xludf.DUMMYFUNCTION("""COMPUTED_VALUE"""),"")</f>
        <v/>
      </c>
    </row>
    <row r="15145">
      <c r="A15145" s="16" t="s">
        <v>87</v>
      </c>
      <c r="E15145" s="16" t="str">
        <f>IFERROR(__xludf.DUMMYFUNCTION("""COMPUTED_VALUE"""),"")</f>
        <v/>
      </c>
      <c r="G15145" s="18"/>
      <c r="H15145" s="16" t="s">
        <v>87</v>
      </c>
      <c r="I15145" s="16" t="s">
        <v>87</v>
      </c>
      <c r="J15145" s="19"/>
      <c r="L15145" s="16" t="str">
        <f>IFERROR(__xludf.DUMMYFUNCTION("""COMPUTED_VALUE"""),"")</f>
        <v/>
      </c>
      <c r="M15145" s="16" t="str">
        <f>IFERROR(__xludf.DUMMYFUNCTION("""COMPUTED_VALUE"""),"")</f>
        <v/>
      </c>
      <c r="U15145" s="16" t="s">
        <v>87</v>
      </c>
      <c r="V15145" s="16" t="str">
        <f>IFERROR(__xludf.DUMMYFUNCTION("""COMPUTED_VALUE"""),"")</f>
        <v/>
      </c>
      <c r="W15145" s="16" t="str">
        <f>IFERROR(__xludf.DUMMYFUNCTION("""COMPUTED_VALUE"""),"")</f>
        <v/>
      </c>
      <c r="X15145" s="16" t="str">
        <f>IFERROR(__xludf.DUMMYFUNCTION("""COMPUTED_VALUE"""),"")</f>
        <v/>
      </c>
      <c r="AC15145" s="16" t="str">
        <f>IFERROR(__xludf.DUMMYFUNCTION("""COMPUTED_VALUE"""),"")</f>
        <v/>
      </c>
    </row>
    <row r="15146">
      <c r="A15146" s="16" t="s">
        <v>87</v>
      </c>
      <c r="E15146" s="16" t="str">
        <f>IFERROR(__xludf.DUMMYFUNCTION("""COMPUTED_VALUE"""),"")</f>
        <v/>
      </c>
      <c r="G15146" s="18"/>
      <c r="H15146" s="16" t="s">
        <v>87</v>
      </c>
      <c r="I15146" s="16" t="s">
        <v>87</v>
      </c>
      <c r="J15146" s="19"/>
      <c r="L15146" s="16" t="str">
        <f>IFERROR(__xludf.DUMMYFUNCTION("""COMPUTED_VALUE"""),"")</f>
        <v/>
      </c>
      <c r="M15146" s="16" t="str">
        <f>IFERROR(__xludf.DUMMYFUNCTION("""COMPUTED_VALUE"""),"")</f>
        <v/>
      </c>
      <c r="U15146" s="16" t="s">
        <v>87</v>
      </c>
      <c r="V15146" s="16" t="str">
        <f>IFERROR(__xludf.DUMMYFUNCTION("""COMPUTED_VALUE"""),"")</f>
        <v/>
      </c>
      <c r="W15146" s="16" t="str">
        <f>IFERROR(__xludf.DUMMYFUNCTION("""COMPUTED_VALUE"""),"")</f>
        <v/>
      </c>
      <c r="X15146" s="16" t="str">
        <f>IFERROR(__xludf.DUMMYFUNCTION("""COMPUTED_VALUE"""),"")</f>
        <v/>
      </c>
      <c r="AC15146" s="16" t="str">
        <f>IFERROR(__xludf.DUMMYFUNCTION("""COMPUTED_VALUE"""),"")</f>
        <v/>
      </c>
    </row>
    <row r="15147">
      <c r="A15147" s="16" t="s">
        <v>87</v>
      </c>
      <c r="E15147" s="16" t="str">
        <f>IFERROR(__xludf.DUMMYFUNCTION("""COMPUTED_VALUE"""),"")</f>
        <v/>
      </c>
      <c r="G15147" s="18"/>
      <c r="H15147" s="16" t="s">
        <v>87</v>
      </c>
      <c r="I15147" s="16" t="s">
        <v>87</v>
      </c>
      <c r="J15147" s="19"/>
      <c r="L15147" s="16" t="str">
        <f>IFERROR(__xludf.DUMMYFUNCTION("""COMPUTED_VALUE"""),"")</f>
        <v/>
      </c>
      <c r="M15147" s="16" t="str">
        <f>IFERROR(__xludf.DUMMYFUNCTION("""COMPUTED_VALUE"""),"")</f>
        <v/>
      </c>
      <c r="U15147" s="16" t="s">
        <v>87</v>
      </c>
      <c r="V15147" s="16" t="str">
        <f>IFERROR(__xludf.DUMMYFUNCTION("""COMPUTED_VALUE"""),"")</f>
        <v/>
      </c>
      <c r="W15147" s="16" t="str">
        <f>IFERROR(__xludf.DUMMYFUNCTION("""COMPUTED_VALUE"""),"")</f>
        <v/>
      </c>
      <c r="X15147" s="16" t="str">
        <f>IFERROR(__xludf.DUMMYFUNCTION("""COMPUTED_VALUE"""),"")</f>
        <v/>
      </c>
      <c r="AC15147" s="16" t="str">
        <f>IFERROR(__xludf.DUMMYFUNCTION("""COMPUTED_VALUE"""),"")</f>
        <v/>
      </c>
    </row>
    <row r="15148">
      <c r="A15148" s="16" t="s">
        <v>87</v>
      </c>
      <c r="E15148" s="16" t="str">
        <f>IFERROR(__xludf.DUMMYFUNCTION("""COMPUTED_VALUE"""),"")</f>
        <v/>
      </c>
      <c r="G15148" s="18"/>
      <c r="H15148" s="16" t="s">
        <v>87</v>
      </c>
      <c r="I15148" s="16" t="s">
        <v>87</v>
      </c>
      <c r="J15148" s="19"/>
      <c r="L15148" s="16" t="str">
        <f>IFERROR(__xludf.DUMMYFUNCTION("""COMPUTED_VALUE"""),"")</f>
        <v/>
      </c>
      <c r="M15148" s="16" t="str">
        <f>IFERROR(__xludf.DUMMYFUNCTION("""COMPUTED_VALUE"""),"")</f>
        <v/>
      </c>
      <c r="U15148" s="16" t="s">
        <v>87</v>
      </c>
      <c r="V15148" s="16" t="str">
        <f>IFERROR(__xludf.DUMMYFUNCTION("""COMPUTED_VALUE"""),"")</f>
        <v/>
      </c>
      <c r="W15148" s="16" t="str">
        <f>IFERROR(__xludf.DUMMYFUNCTION("""COMPUTED_VALUE"""),"")</f>
        <v/>
      </c>
      <c r="X15148" s="16" t="str">
        <f>IFERROR(__xludf.DUMMYFUNCTION("""COMPUTED_VALUE"""),"")</f>
        <v/>
      </c>
      <c r="AC15148" s="16" t="str">
        <f>IFERROR(__xludf.DUMMYFUNCTION("""COMPUTED_VALUE"""),"")</f>
        <v/>
      </c>
    </row>
    <row r="15149">
      <c r="A15149" s="16" t="s">
        <v>87</v>
      </c>
      <c r="E15149" s="16" t="str">
        <f>IFERROR(__xludf.DUMMYFUNCTION("""COMPUTED_VALUE"""),"")</f>
        <v/>
      </c>
      <c r="G15149" s="18"/>
      <c r="H15149" s="16" t="s">
        <v>87</v>
      </c>
      <c r="I15149" s="16" t="s">
        <v>87</v>
      </c>
      <c r="J15149" s="19"/>
      <c r="L15149" s="16" t="str">
        <f>IFERROR(__xludf.DUMMYFUNCTION("""COMPUTED_VALUE"""),"")</f>
        <v/>
      </c>
      <c r="M15149" s="16" t="str">
        <f>IFERROR(__xludf.DUMMYFUNCTION("""COMPUTED_VALUE"""),"")</f>
        <v/>
      </c>
      <c r="U15149" s="16" t="s">
        <v>87</v>
      </c>
      <c r="V15149" s="16" t="str">
        <f>IFERROR(__xludf.DUMMYFUNCTION("""COMPUTED_VALUE"""),"")</f>
        <v/>
      </c>
      <c r="W15149" s="16" t="str">
        <f>IFERROR(__xludf.DUMMYFUNCTION("""COMPUTED_VALUE"""),"")</f>
        <v/>
      </c>
      <c r="X15149" s="16" t="str">
        <f>IFERROR(__xludf.DUMMYFUNCTION("""COMPUTED_VALUE"""),"")</f>
        <v/>
      </c>
      <c r="AC15149" s="16" t="str">
        <f>IFERROR(__xludf.DUMMYFUNCTION("""COMPUTED_VALUE"""),"")</f>
        <v/>
      </c>
    </row>
    <row r="15150">
      <c r="A15150" s="16" t="s">
        <v>87</v>
      </c>
      <c r="E15150" s="16" t="str">
        <f>IFERROR(__xludf.DUMMYFUNCTION("""COMPUTED_VALUE"""),"")</f>
        <v/>
      </c>
      <c r="G15150" s="18"/>
      <c r="H15150" s="16" t="s">
        <v>87</v>
      </c>
      <c r="I15150" s="16" t="s">
        <v>87</v>
      </c>
      <c r="J15150" s="19"/>
      <c r="L15150" s="16" t="str">
        <f>IFERROR(__xludf.DUMMYFUNCTION("""COMPUTED_VALUE"""),"")</f>
        <v/>
      </c>
      <c r="M15150" s="16" t="str">
        <f>IFERROR(__xludf.DUMMYFUNCTION("""COMPUTED_VALUE"""),"")</f>
        <v/>
      </c>
      <c r="U15150" s="16" t="s">
        <v>87</v>
      </c>
      <c r="V15150" s="16" t="str">
        <f>IFERROR(__xludf.DUMMYFUNCTION("""COMPUTED_VALUE"""),"")</f>
        <v/>
      </c>
      <c r="W15150" s="16" t="str">
        <f>IFERROR(__xludf.DUMMYFUNCTION("""COMPUTED_VALUE"""),"")</f>
        <v/>
      </c>
      <c r="X15150" s="16" t="str">
        <f>IFERROR(__xludf.DUMMYFUNCTION("""COMPUTED_VALUE"""),"")</f>
        <v/>
      </c>
      <c r="AC15150" s="16" t="str">
        <f>IFERROR(__xludf.DUMMYFUNCTION("""COMPUTED_VALUE"""),"")</f>
        <v/>
      </c>
    </row>
    <row r="15151">
      <c r="A15151" s="16" t="s">
        <v>87</v>
      </c>
      <c r="E15151" s="16" t="str">
        <f>IFERROR(__xludf.DUMMYFUNCTION("""COMPUTED_VALUE"""),"")</f>
        <v/>
      </c>
      <c r="G15151" s="18"/>
      <c r="H15151" s="16" t="s">
        <v>87</v>
      </c>
      <c r="I15151" s="16" t="s">
        <v>87</v>
      </c>
      <c r="J15151" s="19"/>
      <c r="L15151" s="16" t="str">
        <f>IFERROR(__xludf.DUMMYFUNCTION("""COMPUTED_VALUE"""),"")</f>
        <v/>
      </c>
      <c r="M15151" s="16" t="str">
        <f>IFERROR(__xludf.DUMMYFUNCTION("""COMPUTED_VALUE"""),"")</f>
        <v/>
      </c>
      <c r="U15151" s="16" t="s">
        <v>87</v>
      </c>
      <c r="V15151" s="16" t="str">
        <f>IFERROR(__xludf.DUMMYFUNCTION("""COMPUTED_VALUE"""),"")</f>
        <v/>
      </c>
      <c r="W15151" s="16" t="str">
        <f>IFERROR(__xludf.DUMMYFUNCTION("""COMPUTED_VALUE"""),"")</f>
        <v/>
      </c>
      <c r="X15151" s="16" t="str">
        <f>IFERROR(__xludf.DUMMYFUNCTION("""COMPUTED_VALUE"""),"")</f>
        <v/>
      </c>
      <c r="AC15151" s="16" t="str">
        <f>IFERROR(__xludf.DUMMYFUNCTION("""COMPUTED_VALUE"""),"")</f>
        <v/>
      </c>
    </row>
    <row r="15152">
      <c r="A15152" s="16" t="s">
        <v>87</v>
      </c>
      <c r="E15152" s="16" t="str">
        <f>IFERROR(__xludf.DUMMYFUNCTION("""COMPUTED_VALUE"""),"")</f>
        <v/>
      </c>
      <c r="G15152" s="18"/>
      <c r="H15152" s="16" t="s">
        <v>87</v>
      </c>
      <c r="I15152" s="16" t="s">
        <v>87</v>
      </c>
      <c r="J15152" s="19"/>
      <c r="L15152" s="16" t="str">
        <f>IFERROR(__xludf.DUMMYFUNCTION("""COMPUTED_VALUE"""),"")</f>
        <v/>
      </c>
      <c r="M15152" s="16" t="str">
        <f>IFERROR(__xludf.DUMMYFUNCTION("""COMPUTED_VALUE"""),"")</f>
        <v/>
      </c>
      <c r="U15152" s="16" t="s">
        <v>87</v>
      </c>
      <c r="V15152" s="16" t="str">
        <f>IFERROR(__xludf.DUMMYFUNCTION("""COMPUTED_VALUE"""),"")</f>
        <v/>
      </c>
      <c r="W15152" s="16" t="str">
        <f>IFERROR(__xludf.DUMMYFUNCTION("""COMPUTED_VALUE"""),"")</f>
        <v/>
      </c>
      <c r="X15152" s="16" t="str">
        <f>IFERROR(__xludf.DUMMYFUNCTION("""COMPUTED_VALUE"""),"")</f>
        <v/>
      </c>
      <c r="AC15152" s="16" t="str">
        <f>IFERROR(__xludf.DUMMYFUNCTION("""COMPUTED_VALUE"""),"")</f>
        <v/>
      </c>
    </row>
    <row r="15153">
      <c r="A15153" s="16" t="s">
        <v>87</v>
      </c>
      <c r="E15153" s="16" t="str">
        <f>IFERROR(__xludf.DUMMYFUNCTION("""COMPUTED_VALUE"""),"")</f>
        <v/>
      </c>
      <c r="G15153" s="18"/>
      <c r="H15153" s="16" t="s">
        <v>87</v>
      </c>
      <c r="I15153" s="16" t="s">
        <v>87</v>
      </c>
      <c r="J15153" s="19"/>
      <c r="L15153" s="16" t="str">
        <f>IFERROR(__xludf.DUMMYFUNCTION("""COMPUTED_VALUE"""),"")</f>
        <v/>
      </c>
      <c r="M15153" s="16" t="str">
        <f>IFERROR(__xludf.DUMMYFUNCTION("""COMPUTED_VALUE"""),"")</f>
        <v/>
      </c>
      <c r="U15153" s="16" t="s">
        <v>87</v>
      </c>
      <c r="V15153" s="16" t="str">
        <f>IFERROR(__xludf.DUMMYFUNCTION("""COMPUTED_VALUE"""),"")</f>
        <v/>
      </c>
      <c r="W15153" s="16" t="str">
        <f>IFERROR(__xludf.DUMMYFUNCTION("""COMPUTED_VALUE"""),"")</f>
        <v/>
      </c>
      <c r="X15153" s="16" t="str">
        <f>IFERROR(__xludf.DUMMYFUNCTION("""COMPUTED_VALUE"""),"")</f>
        <v/>
      </c>
      <c r="AC15153" s="16" t="str">
        <f>IFERROR(__xludf.DUMMYFUNCTION("""COMPUTED_VALUE"""),"")</f>
        <v/>
      </c>
    </row>
    <row r="15154">
      <c r="A15154" s="16" t="s">
        <v>87</v>
      </c>
      <c r="E15154" s="16" t="str">
        <f>IFERROR(__xludf.DUMMYFUNCTION("""COMPUTED_VALUE"""),"")</f>
        <v/>
      </c>
      <c r="G15154" s="18"/>
      <c r="H15154" s="16" t="s">
        <v>87</v>
      </c>
      <c r="I15154" s="16" t="s">
        <v>87</v>
      </c>
      <c r="J15154" s="19"/>
      <c r="L15154" s="16" t="str">
        <f>IFERROR(__xludf.DUMMYFUNCTION("""COMPUTED_VALUE"""),"")</f>
        <v/>
      </c>
      <c r="M15154" s="16" t="str">
        <f>IFERROR(__xludf.DUMMYFUNCTION("""COMPUTED_VALUE"""),"")</f>
        <v/>
      </c>
      <c r="U15154" s="16" t="s">
        <v>87</v>
      </c>
      <c r="V15154" s="16" t="str">
        <f>IFERROR(__xludf.DUMMYFUNCTION("""COMPUTED_VALUE"""),"")</f>
        <v/>
      </c>
      <c r="W15154" s="16" t="str">
        <f>IFERROR(__xludf.DUMMYFUNCTION("""COMPUTED_VALUE"""),"")</f>
        <v/>
      </c>
      <c r="X15154" s="16" t="str">
        <f>IFERROR(__xludf.DUMMYFUNCTION("""COMPUTED_VALUE"""),"")</f>
        <v/>
      </c>
      <c r="AC15154" s="16" t="str">
        <f>IFERROR(__xludf.DUMMYFUNCTION("""COMPUTED_VALUE"""),"")</f>
        <v/>
      </c>
    </row>
    <row r="15155">
      <c r="A15155" s="16" t="s">
        <v>87</v>
      </c>
      <c r="E15155" s="16" t="str">
        <f>IFERROR(__xludf.DUMMYFUNCTION("""COMPUTED_VALUE"""),"")</f>
        <v/>
      </c>
      <c r="G15155" s="18"/>
      <c r="H15155" s="16" t="s">
        <v>87</v>
      </c>
      <c r="I15155" s="16" t="s">
        <v>87</v>
      </c>
      <c r="J15155" s="19"/>
      <c r="L15155" s="16" t="str">
        <f>IFERROR(__xludf.DUMMYFUNCTION("""COMPUTED_VALUE"""),"")</f>
        <v/>
      </c>
      <c r="M15155" s="16" t="str">
        <f>IFERROR(__xludf.DUMMYFUNCTION("""COMPUTED_VALUE"""),"")</f>
        <v/>
      </c>
      <c r="U15155" s="16" t="s">
        <v>87</v>
      </c>
      <c r="V15155" s="16" t="str">
        <f>IFERROR(__xludf.DUMMYFUNCTION("""COMPUTED_VALUE"""),"")</f>
        <v/>
      </c>
      <c r="W15155" s="16" t="str">
        <f>IFERROR(__xludf.DUMMYFUNCTION("""COMPUTED_VALUE"""),"")</f>
        <v/>
      </c>
      <c r="X15155" s="16" t="str">
        <f>IFERROR(__xludf.DUMMYFUNCTION("""COMPUTED_VALUE"""),"")</f>
        <v/>
      </c>
      <c r="AC15155" s="16" t="str">
        <f>IFERROR(__xludf.DUMMYFUNCTION("""COMPUTED_VALUE"""),"")</f>
        <v/>
      </c>
    </row>
    <row r="15156">
      <c r="A15156" s="16" t="s">
        <v>87</v>
      </c>
      <c r="E15156" s="16" t="str">
        <f>IFERROR(__xludf.DUMMYFUNCTION("""COMPUTED_VALUE"""),"")</f>
        <v/>
      </c>
      <c r="G15156" s="18"/>
      <c r="H15156" s="16" t="s">
        <v>87</v>
      </c>
      <c r="I15156" s="16" t="s">
        <v>87</v>
      </c>
      <c r="J15156" s="19"/>
      <c r="L15156" s="16" t="str">
        <f>IFERROR(__xludf.DUMMYFUNCTION("""COMPUTED_VALUE"""),"")</f>
        <v/>
      </c>
      <c r="M15156" s="16" t="str">
        <f>IFERROR(__xludf.DUMMYFUNCTION("""COMPUTED_VALUE"""),"")</f>
        <v/>
      </c>
      <c r="U15156" s="16" t="s">
        <v>87</v>
      </c>
      <c r="V15156" s="16" t="str">
        <f>IFERROR(__xludf.DUMMYFUNCTION("""COMPUTED_VALUE"""),"")</f>
        <v/>
      </c>
      <c r="W15156" s="16" t="str">
        <f>IFERROR(__xludf.DUMMYFUNCTION("""COMPUTED_VALUE"""),"")</f>
        <v/>
      </c>
      <c r="X15156" s="16" t="str">
        <f>IFERROR(__xludf.DUMMYFUNCTION("""COMPUTED_VALUE"""),"")</f>
        <v/>
      </c>
      <c r="AC15156" s="16" t="str">
        <f>IFERROR(__xludf.DUMMYFUNCTION("""COMPUTED_VALUE"""),"")</f>
        <v/>
      </c>
    </row>
    <row r="15157">
      <c r="A15157" s="16" t="s">
        <v>87</v>
      </c>
      <c r="E15157" s="16" t="str">
        <f>IFERROR(__xludf.DUMMYFUNCTION("""COMPUTED_VALUE"""),"")</f>
        <v/>
      </c>
      <c r="G15157" s="18"/>
      <c r="H15157" s="16" t="s">
        <v>87</v>
      </c>
      <c r="I15157" s="16" t="s">
        <v>87</v>
      </c>
      <c r="J15157" s="19"/>
      <c r="L15157" s="16" t="str">
        <f>IFERROR(__xludf.DUMMYFUNCTION("""COMPUTED_VALUE"""),"")</f>
        <v/>
      </c>
      <c r="M15157" s="16" t="str">
        <f>IFERROR(__xludf.DUMMYFUNCTION("""COMPUTED_VALUE"""),"")</f>
        <v/>
      </c>
      <c r="U15157" s="16" t="s">
        <v>87</v>
      </c>
      <c r="V15157" s="16" t="str">
        <f>IFERROR(__xludf.DUMMYFUNCTION("""COMPUTED_VALUE"""),"")</f>
        <v/>
      </c>
      <c r="W15157" s="16" t="str">
        <f>IFERROR(__xludf.DUMMYFUNCTION("""COMPUTED_VALUE"""),"")</f>
        <v/>
      </c>
      <c r="X15157" s="16" t="str">
        <f>IFERROR(__xludf.DUMMYFUNCTION("""COMPUTED_VALUE"""),"")</f>
        <v/>
      </c>
      <c r="AC15157" s="16" t="str">
        <f>IFERROR(__xludf.DUMMYFUNCTION("""COMPUTED_VALUE"""),"")</f>
        <v/>
      </c>
    </row>
    <row r="15158">
      <c r="A15158" s="16" t="s">
        <v>87</v>
      </c>
      <c r="E15158" s="16" t="str">
        <f>IFERROR(__xludf.DUMMYFUNCTION("""COMPUTED_VALUE"""),"")</f>
        <v/>
      </c>
      <c r="G15158" s="18"/>
      <c r="H15158" s="16" t="s">
        <v>87</v>
      </c>
      <c r="I15158" s="16" t="s">
        <v>87</v>
      </c>
      <c r="J15158" s="19"/>
      <c r="L15158" s="16" t="str">
        <f>IFERROR(__xludf.DUMMYFUNCTION("""COMPUTED_VALUE"""),"")</f>
        <v/>
      </c>
      <c r="M15158" s="16" t="str">
        <f>IFERROR(__xludf.DUMMYFUNCTION("""COMPUTED_VALUE"""),"")</f>
        <v/>
      </c>
      <c r="U15158" s="16" t="s">
        <v>87</v>
      </c>
      <c r="V15158" s="16" t="str">
        <f>IFERROR(__xludf.DUMMYFUNCTION("""COMPUTED_VALUE"""),"")</f>
        <v/>
      </c>
      <c r="W15158" s="16" t="str">
        <f>IFERROR(__xludf.DUMMYFUNCTION("""COMPUTED_VALUE"""),"")</f>
        <v/>
      </c>
      <c r="X15158" s="16" t="str">
        <f>IFERROR(__xludf.DUMMYFUNCTION("""COMPUTED_VALUE"""),"")</f>
        <v/>
      </c>
      <c r="AC15158" s="16" t="str">
        <f>IFERROR(__xludf.DUMMYFUNCTION("""COMPUTED_VALUE"""),"")</f>
        <v/>
      </c>
    </row>
    <row r="15159">
      <c r="A15159" s="16" t="s">
        <v>87</v>
      </c>
      <c r="E15159" s="16" t="str">
        <f>IFERROR(__xludf.DUMMYFUNCTION("""COMPUTED_VALUE"""),"")</f>
        <v/>
      </c>
      <c r="G15159" s="18"/>
      <c r="H15159" s="16" t="s">
        <v>87</v>
      </c>
      <c r="I15159" s="16" t="s">
        <v>87</v>
      </c>
      <c r="J15159" s="19"/>
      <c r="L15159" s="16" t="str">
        <f>IFERROR(__xludf.DUMMYFUNCTION("""COMPUTED_VALUE"""),"")</f>
        <v/>
      </c>
      <c r="M15159" s="16" t="str">
        <f>IFERROR(__xludf.DUMMYFUNCTION("""COMPUTED_VALUE"""),"")</f>
        <v/>
      </c>
      <c r="U15159" s="16" t="s">
        <v>87</v>
      </c>
      <c r="V15159" s="16" t="str">
        <f>IFERROR(__xludf.DUMMYFUNCTION("""COMPUTED_VALUE"""),"")</f>
        <v/>
      </c>
      <c r="W15159" s="16" t="str">
        <f>IFERROR(__xludf.DUMMYFUNCTION("""COMPUTED_VALUE"""),"")</f>
        <v/>
      </c>
      <c r="X15159" s="16" t="str">
        <f>IFERROR(__xludf.DUMMYFUNCTION("""COMPUTED_VALUE"""),"")</f>
        <v/>
      </c>
      <c r="AC15159" s="16" t="str">
        <f>IFERROR(__xludf.DUMMYFUNCTION("""COMPUTED_VALUE"""),"")</f>
        <v/>
      </c>
    </row>
    <row r="15160">
      <c r="A15160" s="16" t="s">
        <v>87</v>
      </c>
      <c r="E15160" s="16" t="str">
        <f>IFERROR(__xludf.DUMMYFUNCTION("""COMPUTED_VALUE"""),"")</f>
        <v/>
      </c>
      <c r="G15160" s="18"/>
      <c r="H15160" s="16" t="s">
        <v>87</v>
      </c>
      <c r="I15160" s="16" t="s">
        <v>87</v>
      </c>
      <c r="J15160" s="19"/>
      <c r="L15160" s="16" t="str">
        <f>IFERROR(__xludf.DUMMYFUNCTION("""COMPUTED_VALUE"""),"")</f>
        <v/>
      </c>
      <c r="M15160" s="16" t="str">
        <f>IFERROR(__xludf.DUMMYFUNCTION("""COMPUTED_VALUE"""),"")</f>
        <v/>
      </c>
      <c r="U15160" s="16" t="s">
        <v>87</v>
      </c>
      <c r="V15160" s="16" t="str">
        <f>IFERROR(__xludf.DUMMYFUNCTION("""COMPUTED_VALUE"""),"")</f>
        <v/>
      </c>
      <c r="W15160" s="16" t="str">
        <f>IFERROR(__xludf.DUMMYFUNCTION("""COMPUTED_VALUE"""),"")</f>
        <v/>
      </c>
      <c r="X15160" s="16" t="str">
        <f>IFERROR(__xludf.DUMMYFUNCTION("""COMPUTED_VALUE"""),"")</f>
        <v/>
      </c>
      <c r="AC15160" s="16" t="str">
        <f>IFERROR(__xludf.DUMMYFUNCTION("""COMPUTED_VALUE"""),"")</f>
        <v/>
      </c>
    </row>
    <row r="15161">
      <c r="A15161" s="16" t="s">
        <v>87</v>
      </c>
      <c r="E15161" s="16" t="str">
        <f>IFERROR(__xludf.DUMMYFUNCTION("""COMPUTED_VALUE"""),"")</f>
        <v/>
      </c>
      <c r="G15161" s="18"/>
      <c r="H15161" s="16" t="s">
        <v>87</v>
      </c>
      <c r="I15161" s="16" t="s">
        <v>87</v>
      </c>
      <c r="J15161" s="19"/>
      <c r="L15161" s="16" t="str">
        <f>IFERROR(__xludf.DUMMYFUNCTION("""COMPUTED_VALUE"""),"")</f>
        <v/>
      </c>
      <c r="M15161" s="16" t="str">
        <f>IFERROR(__xludf.DUMMYFUNCTION("""COMPUTED_VALUE"""),"")</f>
        <v/>
      </c>
      <c r="U15161" s="16" t="s">
        <v>87</v>
      </c>
      <c r="V15161" s="16" t="str">
        <f>IFERROR(__xludf.DUMMYFUNCTION("""COMPUTED_VALUE"""),"")</f>
        <v/>
      </c>
      <c r="W15161" s="16" t="str">
        <f>IFERROR(__xludf.DUMMYFUNCTION("""COMPUTED_VALUE"""),"")</f>
        <v/>
      </c>
      <c r="X15161" s="16" t="str">
        <f>IFERROR(__xludf.DUMMYFUNCTION("""COMPUTED_VALUE"""),"")</f>
        <v/>
      </c>
      <c r="AC15161" s="16" t="str">
        <f>IFERROR(__xludf.DUMMYFUNCTION("""COMPUTED_VALUE"""),"")</f>
        <v/>
      </c>
    </row>
    <row r="15162">
      <c r="A15162" s="16" t="s">
        <v>87</v>
      </c>
      <c r="E15162" s="16" t="str">
        <f>IFERROR(__xludf.DUMMYFUNCTION("""COMPUTED_VALUE"""),"")</f>
        <v/>
      </c>
      <c r="G15162" s="18"/>
      <c r="H15162" s="16" t="s">
        <v>87</v>
      </c>
      <c r="I15162" s="16" t="s">
        <v>87</v>
      </c>
      <c r="J15162" s="19"/>
      <c r="L15162" s="16" t="str">
        <f>IFERROR(__xludf.DUMMYFUNCTION("""COMPUTED_VALUE"""),"")</f>
        <v/>
      </c>
      <c r="M15162" s="16" t="str">
        <f>IFERROR(__xludf.DUMMYFUNCTION("""COMPUTED_VALUE"""),"")</f>
        <v/>
      </c>
      <c r="U15162" s="16" t="s">
        <v>87</v>
      </c>
      <c r="V15162" s="16" t="str">
        <f>IFERROR(__xludf.DUMMYFUNCTION("""COMPUTED_VALUE"""),"")</f>
        <v/>
      </c>
      <c r="W15162" s="16" t="str">
        <f>IFERROR(__xludf.DUMMYFUNCTION("""COMPUTED_VALUE"""),"")</f>
        <v/>
      </c>
      <c r="X15162" s="16" t="str">
        <f>IFERROR(__xludf.DUMMYFUNCTION("""COMPUTED_VALUE"""),"")</f>
        <v/>
      </c>
      <c r="AC15162" s="16" t="str">
        <f>IFERROR(__xludf.DUMMYFUNCTION("""COMPUTED_VALUE"""),"")</f>
        <v/>
      </c>
    </row>
    <row r="15163">
      <c r="A15163" s="16" t="s">
        <v>87</v>
      </c>
      <c r="E15163" s="16" t="str">
        <f>IFERROR(__xludf.DUMMYFUNCTION("""COMPUTED_VALUE"""),"")</f>
        <v/>
      </c>
      <c r="G15163" s="18"/>
      <c r="H15163" s="16" t="s">
        <v>87</v>
      </c>
      <c r="I15163" s="16" t="s">
        <v>87</v>
      </c>
      <c r="J15163" s="19"/>
      <c r="L15163" s="16" t="str">
        <f>IFERROR(__xludf.DUMMYFUNCTION("""COMPUTED_VALUE"""),"")</f>
        <v/>
      </c>
      <c r="M15163" s="16" t="str">
        <f>IFERROR(__xludf.DUMMYFUNCTION("""COMPUTED_VALUE"""),"")</f>
        <v/>
      </c>
      <c r="U15163" s="16" t="s">
        <v>87</v>
      </c>
      <c r="V15163" s="16" t="str">
        <f>IFERROR(__xludf.DUMMYFUNCTION("""COMPUTED_VALUE"""),"")</f>
        <v/>
      </c>
      <c r="W15163" s="16" t="str">
        <f>IFERROR(__xludf.DUMMYFUNCTION("""COMPUTED_VALUE"""),"")</f>
        <v/>
      </c>
      <c r="X15163" s="16" t="str">
        <f>IFERROR(__xludf.DUMMYFUNCTION("""COMPUTED_VALUE"""),"")</f>
        <v/>
      </c>
      <c r="AC15163" s="16" t="str">
        <f>IFERROR(__xludf.DUMMYFUNCTION("""COMPUTED_VALUE"""),"")</f>
        <v/>
      </c>
    </row>
    <row r="15164">
      <c r="A15164" s="16" t="s">
        <v>87</v>
      </c>
      <c r="E15164" s="16" t="str">
        <f>IFERROR(__xludf.DUMMYFUNCTION("""COMPUTED_VALUE"""),"")</f>
        <v/>
      </c>
      <c r="G15164" s="18"/>
      <c r="H15164" s="16" t="s">
        <v>87</v>
      </c>
      <c r="I15164" s="16" t="s">
        <v>87</v>
      </c>
      <c r="J15164" s="19"/>
      <c r="L15164" s="16" t="str">
        <f>IFERROR(__xludf.DUMMYFUNCTION("""COMPUTED_VALUE"""),"")</f>
        <v/>
      </c>
      <c r="M15164" s="16" t="str">
        <f>IFERROR(__xludf.DUMMYFUNCTION("""COMPUTED_VALUE"""),"")</f>
        <v/>
      </c>
      <c r="U15164" s="16" t="s">
        <v>87</v>
      </c>
      <c r="V15164" s="16" t="str">
        <f>IFERROR(__xludf.DUMMYFUNCTION("""COMPUTED_VALUE"""),"")</f>
        <v/>
      </c>
      <c r="W15164" s="16" t="str">
        <f>IFERROR(__xludf.DUMMYFUNCTION("""COMPUTED_VALUE"""),"")</f>
        <v/>
      </c>
      <c r="X15164" s="16" t="str">
        <f>IFERROR(__xludf.DUMMYFUNCTION("""COMPUTED_VALUE"""),"")</f>
        <v/>
      </c>
      <c r="AC15164" s="16" t="str">
        <f>IFERROR(__xludf.DUMMYFUNCTION("""COMPUTED_VALUE"""),"")</f>
        <v/>
      </c>
    </row>
    <row r="15165">
      <c r="A15165" s="16" t="s">
        <v>87</v>
      </c>
      <c r="E15165" s="16" t="str">
        <f>IFERROR(__xludf.DUMMYFUNCTION("""COMPUTED_VALUE"""),"")</f>
        <v/>
      </c>
      <c r="G15165" s="18"/>
      <c r="H15165" s="16" t="s">
        <v>87</v>
      </c>
      <c r="I15165" s="16" t="s">
        <v>87</v>
      </c>
      <c r="J15165" s="19"/>
      <c r="L15165" s="16" t="str">
        <f>IFERROR(__xludf.DUMMYFUNCTION("""COMPUTED_VALUE"""),"")</f>
        <v/>
      </c>
      <c r="M15165" s="16" t="str">
        <f>IFERROR(__xludf.DUMMYFUNCTION("""COMPUTED_VALUE"""),"")</f>
        <v/>
      </c>
      <c r="U15165" s="16" t="s">
        <v>87</v>
      </c>
      <c r="V15165" s="16" t="str">
        <f>IFERROR(__xludf.DUMMYFUNCTION("""COMPUTED_VALUE"""),"")</f>
        <v/>
      </c>
      <c r="W15165" s="16" t="str">
        <f>IFERROR(__xludf.DUMMYFUNCTION("""COMPUTED_VALUE"""),"")</f>
        <v/>
      </c>
      <c r="X15165" s="16" t="str">
        <f>IFERROR(__xludf.DUMMYFUNCTION("""COMPUTED_VALUE"""),"")</f>
        <v/>
      </c>
      <c r="AC15165" s="16" t="str">
        <f>IFERROR(__xludf.DUMMYFUNCTION("""COMPUTED_VALUE"""),"")</f>
        <v/>
      </c>
    </row>
    <row r="15166">
      <c r="A15166" s="16" t="s">
        <v>87</v>
      </c>
      <c r="E15166" s="16" t="str">
        <f>IFERROR(__xludf.DUMMYFUNCTION("""COMPUTED_VALUE"""),"")</f>
        <v/>
      </c>
      <c r="G15166" s="18"/>
      <c r="H15166" s="16" t="s">
        <v>87</v>
      </c>
      <c r="I15166" s="16" t="s">
        <v>87</v>
      </c>
      <c r="J15166" s="19"/>
      <c r="L15166" s="16" t="str">
        <f>IFERROR(__xludf.DUMMYFUNCTION("""COMPUTED_VALUE"""),"")</f>
        <v/>
      </c>
      <c r="M15166" s="16" t="str">
        <f>IFERROR(__xludf.DUMMYFUNCTION("""COMPUTED_VALUE"""),"")</f>
        <v/>
      </c>
      <c r="U15166" s="16" t="s">
        <v>87</v>
      </c>
      <c r="V15166" s="16" t="str">
        <f>IFERROR(__xludf.DUMMYFUNCTION("""COMPUTED_VALUE"""),"")</f>
        <v/>
      </c>
      <c r="W15166" s="16" t="str">
        <f>IFERROR(__xludf.DUMMYFUNCTION("""COMPUTED_VALUE"""),"")</f>
        <v/>
      </c>
      <c r="X15166" s="16" t="str">
        <f>IFERROR(__xludf.DUMMYFUNCTION("""COMPUTED_VALUE"""),"")</f>
        <v/>
      </c>
      <c r="AC15166" s="16" t="str">
        <f>IFERROR(__xludf.DUMMYFUNCTION("""COMPUTED_VALUE"""),"")</f>
        <v/>
      </c>
    </row>
    <row r="15167">
      <c r="A15167" s="16" t="s">
        <v>87</v>
      </c>
      <c r="E15167" s="16" t="str">
        <f>IFERROR(__xludf.DUMMYFUNCTION("""COMPUTED_VALUE"""),"")</f>
        <v/>
      </c>
      <c r="G15167" s="18"/>
      <c r="H15167" s="16" t="s">
        <v>87</v>
      </c>
      <c r="I15167" s="16" t="s">
        <v>87</v>
      </c>
      <c r="J15167" s="19"/>
      <c r="L15167" s="16" t="str">
        <f>IFERROR(__xludf.DUMMYFUNCTION("""COMPUTED_VALUE"""),"")</f>
        <v/>
      </c>
      <c r="M15167" s="16" t="str">
        <f>IFERROR(__xludf.DUMMYFUNCTION("""COMPUTED_VALUE"""),"")</f>
        <v/>
      </c>
      <c r="U15167" s="16" t="s">
        <v>87</v>
      </c>
      <c r="V15167" s="16" t="str">
        <f>IFERROR(__xludf.DUMMYFUNCTION("""COMPUTED_VALUE"""),"")</f>
        <v/>
      </c>
      <c r="W15167" s="16" t="str">
        <f>IFERROR(__xludf.DUMMYFUNCTION("""COMPUTED_VALUE"""),"")</f>
        <v/>
      </c>
      <c r="X15167" s="16" t="str">
        <f>IFERROR(__xludf.DUMMYFUNCTION("""COMPUTED_VALUE"""),"")</f>
        <v/>
      </c>
      <c r="AC15167" s="16" t="str">
        <f>IFERROR(__xludf.DUMMYFUNCTION("""COMPUTED_VALUE"""),"")</f>
        <v/>
      </c>
    </row>
    <row r="15168">
      <c r="A15168" s="16" t="s">
        <v>87</v>
      </c>
      <c r="E15168" s="16" t="str">
        <f>IFERROR(__xludf.DUMMYFUNCTION("""COMPUTED_VALUE"""),"")</f>
        <v/>
      </c>
      <c r="G15168" s="18"/>
      <c r="H15168" s="16" t="s">
        <v>87</v>
      </c>
      <c r="I15168" s="16" t="s">
        <v>87</v>
      </c>
      <c r="J15168" s="19"/>
      <c r="L15168" s="16" t="str">
        <f>IFERROR(__xludf.DUMMYFUNCTION("""COMPUTED_VALUE"""),"")</f>
        <v/>
      </c>
      <c r="M15168" s="16" t="str">
        <f>IFERROR(__xludf.DUMMYFUNCTION("""COMPUTED_VALUE"""),"")</f>
        <v/>
      </c>
      <c r="U15168" s="16" t="s">
        <v>87</v>
      </c>
      <c r="V15168" s="16" t="str">
        <f>IFERROR(__xludf.DUMMYFUNCTION("""COMPUTED_VALUE"""),"")</f>
        <v/>
      </c>
      <c r="W15168" s="16" t="str">
        <f>IFERROR(__xludf.DUMMYFUNCTION("""COMPUTED_VALUE"""),"")</f>
        <v/>
      </c>
      <c r="X15168" s="16" t="str">
        <f>IFERROR(__xludf.DUMMYFUNCTION("""COMPUTED_VALUE"""),"")</f>
        <v/>
      </c>
      <c r="AC15168" s="16" t="str">
        <f>IFERROR(__xludf.DUMMYFUNCTION("""COMPUTED_VALUE"""),"")</f>
        <v/>
      </c>
    </row>
    <row r="15169">
      <c r="A15169" s="16" t="s">
        <v>87</v>
      </c>
      <c r="E15169" s="16" t="str">
        <f>IFERROR(__xludf.DUMMYFUNCTION("""COMPUTED_VALUE"""),"")</f>
        <v/>
      </c>
      <c r="G15169" s="18"/>
      <c r="H15169" s="16" t="s">
        <v>87</v>
      </c>
      <c r="I15169" s="16" t="s">
        <v>87</v>
      </c>
      <c r="J15169" s="19"/>
      <c r="L15169" s="16" t="str">
        <f>IFERROR(__xludf.DUMMYFUNCTION("""COMPUTED_VALUE"""),"")</f>
        <v/>
      </c>
      <c r="M15169" s="16" t="str">
        <f>IFERROR(__xludf.DUMMYFUNCTION("""COMPUTED_VALUE"""),"")</f>
        <v/>
      </c>
      <c r="U15169" s="16" t="s">
        <v>87</v>
      </c>
      <c r="V15169" s="16" t="str">
        <f>IFERROR(__xludf.DUMMYFUNCTION("""COMPUTED_VALUE"""),"")</f>
        <v/>
      </c>
      <c r="W15169" s="16" t="str">
        <f>IFERROR(__xludf.DUMMYFUNCTION("""COMPUTED_VALUE"""),"")</f>
        <v/>
      </c>
      <c r="X15169" s="16" t="str">
        <f>IFERROR(__xludf.DUMMYFUNCTION("""COMPUTED_VALUE"""),"")</f>
        <v/>
      </c>
      <c r="AC15169" s="16" t="str">
        <f>IFERROR(__xludf.DUMMYFUNCTION("""COMPUTED_VALUE"""),"")</f>
        <v/>
      </c>
    </row>
    <row r="15170">
      <c r="A15170" s="16" t="s">
        <v>87</v>
      </c>
      <c r="E15170" s="16" t="str">
        <f>IFERROR(__xludf.DUMMYFUNCTION("""COMPUTED_VALUE"""),"")</f>
        <v/>
      </c>
      <c r="G15170" s="18"/>
      <c r="H15170" s="16" t="s">
        <v>87</v>
      </c>
      <c r="I15170" s="16" t="s">
        <v>87</v>
      </c>
      <c r="J15170" s="19"/>
      <c r="L15170" s="16" t="str">
        <f>IFERROR(__xludf.DUMMYFUNCTION("""COMPUTED_VALUE"""),"")</f>
        <v/>
      </c>
      <c r="M15170" s="16" t="str">
        <f>IFERROR(__xludf.DUMMYFUNCTION("""COMPUTED_VALUE"""),"")</f>
        <v/>
      </c>
      <c r="U15170" s="16" t="s">
        <v>87</v>
      </c>
      <c r="V15170" s="16" t="str">
        <f>IFERROR(__xludf.DUMMYFUNCTION("""COMPUTED_VALUE"""),"")</f>
        <v/>
      </c>
      <c r="W15170" s="16" t="str">
        <f>IFERROR(__xludf.DUMMYFUNCTION("""COMPUTED_VALUE"""),"")</f>
        <v/>
      </c>
      <c r="X15170" s="16" t="str">
        <f>IFERROR(__xludf.DUMMYFUNCTION("""COMPUTED_VALUE"""),"")</f>
        <v/>
      </c>
      <c r="AC15170" s="16" t="str">
        <f>IFERROR(__xludf.DUMMYFUNCTION("""COMPUTED_VALUE"""),"")</f>
        <v/>
      </c>
    </row>
    <row r="15171">
      <c r="A15171" s="16" t="s">
        <v>87</v>
      </c>
      <c r="E15171" s="16" t="str">
        <f>IFERROR(__xludf.DUMMYFUNCTION("""COMPUTED_VALUE"""),"")</f>
        <v/>
      </c>
      <c r="G15171" s="18"/>
      <c r="H15171" s="16" t="s">
        <v>87</v>
      </c>
      <c r="I15171" s="16" t="s">
        <v>87</v>
      </c>
      <c r="J15171" s="19"/>
      <c r="L15171" s="16" t="str">
        <f>IFERROR(__xludf.DUMMYFUNCTION("""COMPUTED_VALUE"""),"")</f>
        <v/>
      </c>
      <c r="M15171" s="16" t="str">
        <f>IFERROR(__xludf.DUMMYFUNCTION("""COMPUTED_VALUE"""),"")</f>
        <v/>
      </c>
      <c r="U15171" s="16" t="s">
        <v>87</v>
      </c>
      <c r="V15171" s="16" t="str">
        <f>IFERROR(__xludf.DUMMYFUNCTION("""COMPUTED_VALUE"""),"")</f>
        <v/>
      </c>
      <c r="W15171" s="16" t="str">
        <f>IFERROR(__xludf.DUMMYFUNCTION("""COMPUTED_VALUE"""),"")</f>
        <v/>
      </c>
      <c r="X15171" s="16" t="str">
        <f>IFERROR(__xludf.DUMMYFUNCTION("""COMPUTED_VALUE"""),"")</f>
        <v/>
      </c>
      <c r="AC15171" s="16" t="str">
        <f>IFERROR(__xludf.DUMMYFUNCTION("""COMPUTED_VALUE"""),"")</f>
        <v/>
      </c>
    </row>
    <row r="15172">
      <c r="A15172" s="16" t="s">
        <v>87</v>
      </c>
      <c r="E15172" s="16" t="str">
        <f>IFERROR(__xludf.DUMMYFUNCTION("""COMPUTED_VALUE"""),"")</f>
        <v/>
      </c>
      <c r="G15172" s="18"/>
      <c r="H15172" s="16" t="s">
        <v>87</v>
      </c>
      <c r="I15172" s="16" t="s">
        <v>87</v>
      </c>
      <c r="J15172" s="19"/>
      <c r="L15172" s="16" t="str">
        <f>IFERROR(__xludf.DUMMYFUNCTION("""COMPUTED_VALUE"""),"")</f>
        <v/>
      </c>
      <c r="M15172" s="16" t="str">
        <f>IFERROR(__xludf.DUMMYFUNCTION("""COMPUTED_VALUE"""),"")</f>
        <v/>
      </c>
      <c r="U15172" s="16" t="s">
        <v>87</v>
      </c>
      <c r="V15172" s="16" t="str">
        <f>IFERROR(__xludf.DUMMYFUNCTION("""COMPUTED_VALUE"""),"")</f>
        <v/>
      </c>
      <c r="W15172" s="16" t="str">
        <f>IFERROR(__xludf.DUMMYFUNCTION("""COMPUTED_VALUE"""),"")</f>
        <v/>
      </c>
      <c r="X15172" s="16" t="str">
        <f>IFERROR(__xludf.DUMMYFUNCTION("""COMPUTED_VALUE"""),"")</f>
        <v/>
      </c>
      <c r="AC15172" s="16" t="str">
        <f>IFERROR(__xludf.DUMMYFUNCTION("""COMPUTED_VALUE"""),"")</f>
        <v/>
      </c>
    </row>
    <row r="15173">
      <c r="A15173" s="16" t="s">
        <v>87</v>
      </c>
      <c r="E15173" s="16" t="str">
        <f>IFERROR(__xludf.DUMMYFUNCTION("""COMPUTED_VALUE"""),"")</f>
        <v/>
      </c>
      <c r="G15173" s="18"/>
      <c r="H15173" s="16" t="s">
        <v>87</v>
      </c>
      <c r="I15173" s="16" t="s">
        <v>87</v>
      </c>
      <c r="J15173" s="19"/>
      <c r="L15173" s="16" t="str">
        <f>IFERROR(__xludf.DUMMYFUNCTION("""COMPUTED_VALUE"""),"")</f>
        <v/>
      </c>
      <c r="M15173" s="16" t="str">
        <f>IFERROR(__xludf.DUMMYFUNCTION("""COMPUTED_VALUE"""),"")</f>
        <v/>
      </c>
      <c r="U15173" s="16" t="s">
        <v>87</v>
      </c>
      <c r="V15173" s="16" t="str">
        <f>IFERROR(__xludf.DUMMYFUNCTION("""COMPUTED_VALUE"""),"")</f>
        <v/>
      </c>
      <c r="W15173" s="16" t="str">
        <f>IFERROR(__xludf.DUMMYFUNCTION("""COMPUTED_VALUE"""),"")</f>
        <v/>
      </c>
      <c r="X15173" s="16" t="str">
        <f>IFERROR(__xludf.DUMMYFUNCTION("""COMPUTED_VALUE"""),"")</f>
        <v/>
      </c>
      <c r="AC15173" s="16" t="str">
        <f>IFERROR(__xludf.DUMMYFUNCTION("""COMPUTED_VALUE"""),"")</f>
        <v/>
      </c>
    </row>
    <row r="15174">
      <c r="A15174" s="16" t="s">
        <v>87</v>
      </c>
      <c r="E15174" s="16" t="str">
        <f>IFERROR(__xludf.DUMMYFUNCTION("""COMPUTED_VALUE"""),"")</f>
        <v/>
      </c>
      <c r="G15174" s="18"/>
      <c r="H15174" s="16" t="s">
        <v>87</v>
      </c>
      <c r="I15174" s="16" t="s">
        <v>87</v>
      </c>
      <c r="J15174" s="19"/>
      <c r="L15174" s="16" t="str">
        <f>IFERROR(__xludf.DUMMYFUNCTION("""COMPUTED_VALUE"""),"")</f>
        <v/>
      </c>
      <c r="M15174" s="16" t="str">
        <f>IFERROR(__xludf.DUMMYFUNCTION("""COMPUTED_VALUE"""),"")</f>
        <v/>
      </c>
      <c r="U15174" s="16" t="s">
        <v>87</v>
      </c>
      <c r="V15174" s="16" t="str">
        <f>IFERROR(__xludf.DUMMYFUNCTION("""COMPUTED_VALUE"""),"")</f>
        <v/>
      </c>
      <c r="W15174" s="16" t="str">
        <f>IFERROR(__xludf.DUMMYFUNCTION("""COMPUTED_VALUE"""),"")</f>
        <v/>
      </c>
      <c r="X15174" s="16" t="str">
        <f>IFERROR(__xludf.DUMMYFUNCTION("""COMPUTED_VALUE"""),"")</f>
        <v/>
      </c>
      <c r="AC15174" s="16" t="str">
        <f>IFERROR(__xludf.DUMMYFUNCTION("""COMPUTED_VALUE"""),"")</f>
        <v/>
      </c>
    </row>
    <row r="15175">
      <c r="A15175" s="16" t="s">
        <v>87</v>
      </c>
      <c r="E15175" s="16" t="str">
        <f>IFERROR(__xludf.DUMMYFUNCTION("""COMPUTED_VALUE"""),"")</f>
        <v/>
      </c>
      <c r="G15175" s="18"/>
      <c r="H15175" s="16" t="s">
        <v>87</v>
      </c>
      <c r="I15175" s="16" t="s">
        <v>87</v>
      </c>
      <c r="J15175" s="19"/>
      <c r="L15175" s="16" t="str">
        <f>IFERROR(__xludf.DUMMYFUNCTION("""COMPUTED_VALUE"""),"")</f>
        <v/>
      </c>
      <c r="M15175" s="16" t="str">
        <f>IFERROR(__xludf.DUMMYFUNCTION("""COMPUTED_VALUE"""),"")</f>
        <v/>
      </c>
      <c r="U15175" s="16" t="s">
        <v>87</v>
      </c>
      <c r="V15175" s="16" t="str">
        <f>IFERROR(__xludf.DUMMYFUNCTION("""COMPUTED_VALUE"""),"")</f>
        <v/>
      </c>
      <c r="W15175" s="16" t="str">
        <f>IFERROR(__xludf.DUMMYFUNCTION("""COMPUTED_VALUE"""),"")</f>
        <v/>
      </c>
      <c r="X15175" s="16" t="str">
        <f>IFERROR(__xludf.DUMMYFUNCTION("""COMPUTED_VALUE"""),"")</f>
        <v/>
      </c>
      <c r="AC15175" s="16" t="str">
        <f>IFERROR(__xludf.DUMMYFUNCTION("""COMPUTED_VALUE"""),"")</f>
        <v/>
      </c>
    </row>
    <row r="15176">
      <c r="A15176" s="16" t="s">
        <v>87</v>
      </c>
      <c r="E15176" s="16" t="str">
        <f>IFERROR(__xludf.DUMMYFUNCTION("""COMPUTED_VALUE"""),"")</f>
        <v/>
      </c>
      <c r="G15176" s="18"/>
      <c r="H15176" s="16" t="s">
        <v>87</v>
      </c>
      <c r="I15176" s="16" t="s">
        <v>87</v>
      </c>
      <c r="J15176" s="19"/>
      <c r="L15176" s="16" t="str">
        <f>IFERROR(__xludf.DUMMYFUNCTION("""COMPUTED_VALUE"""),"")</f>
        <v/>
      </c>
      <c r="M15176" s="16" t="str">
        <f>IFERROR(__xludf.DUMMYFUNCTION("""COMPUTED_VALUE"""),"")</f>
        <v/>
      </c>
      <c r="U15176" s="16" t="s">
        <v>87</v>
      </c>
      <c r="V15176" s="16" t="str">
        <f>IFERROR(__xludf.DUMMYFUNCTION("""COMPUTED_VALUE"""),"")</f>
        <v/>
      </c>
      <c r="W15176" s="16" t="str">
        <f>IFERROR(__xludf.DUMMYFUNCTION("""COMPUTED_VALUE"""),"")</f>
        <v/>
      </c>
      <c r="X15176" s="16" t="str">
        <f>IFERROR(__xludf.DUMMYFUNCTION("""COMPUTED_VALUE"""),"")</f>
        <v/>
      </c>
      <c r="AC15176" s="16" t="str">
        <f>IFERROR(__xludf.DUMMYFUNCTION("""COMPUTED_VALUE"""),"")</f>
        <v/>
      </c>
    </row>
    <row r="15177">
      <c r="A15177" s="16" t="s">
        <v>87</v>
      </c>
      <c r="E15177" s="16" t="str">
        <f>IFERROR(__xludf.DUMMYFUNCTION("""COMPUTED_VALUE"""),"")</f>
        <v/>
      </c>
      <c r="G15177" s="18"/>
      <c r="H15177" s="16" t="s">
        <v>87</v>
      </c>
      <c r="I15177" s="16" t="s">
        <v>87</v>
      </c>
      <c r="J15177" s="19"/>
      <c r="L15177" s="16" t="str">
        <f>IFERROR(__xludf.DUMMYFUNCTION("""COMPUTED_VALUE"""),"")</f>
        <v/>
      </c>
      <c r="M15177" s="16" t="str">
        <f>IFERROR(__xludf.DUMMYFUNCTION("""COMPUTED_VALUE"""),"")</f>
        <v/>
      </c>
      <c r="U15177" s="16" t="s">
        <v>87</v>
      </c>
      <c r="V15177" s="16" t="str">
        <f>IFERROR(__xludf.DUMMYFUNCTION("""COMPUTED_VALUE"""),"")</f>
        <v/>
      </c>
      <c r="W15177" s="16" t="str">
        <f>IFERROR(__xludf.DUMMYFUNCTION("""COMPUTED_VALUE"""),"")</f>
        <v/>
      </c>
      <c r="X15177" s="16" t="str">
        <f>IFERROR(__xludf.DUMMYFUNCTION("""COMPUTED_VALUE"""),"")</f>
        <v/>
      </c>
      <c r="AC15177" s="16" t="str">
        <f>IFERROR(__xludf.DUMMYFUNCTION("""COMPUTED_VALUE"""),"")</f>
        <v/>
      </c>
    </row>
    <row r="15178">
      <c r="A15178" s="16" t="s">
        <v>87</v>
      </c>
      <c r="E15178" s="16" t="str">
        <f>IFERROR(__xludf.DUMMYFUNCTION("""COMPUTED_VALUE"""),"")</f>
        <v/>
      </c>
      <c r="G15178" s="18"/>
      <c r="H15178" s="16" t="s">
        <v>87</v>
      </c>
      <c r="I15178" s="16" t="s">
        <v>87</v>
      </c>
      <c r="J15178" s="19"/>
      <c r="L15178" s="16" t="str">
        <f>IFERROR(__xludf.DUMMYFUNCTION("""COMPUTED_VALUE"""),"")</f>
        <v/>
      </c>
      <c r="M15178" s="16" t="str">
        <f>IFERROR(__xludf.DUMMYFUNCTION("""COMPUTED_VALUE"""),"")</f>
        <v/>
      </c>
      <c r="U15178" s="16" t="s">
        <v>87</v>
      </c>
      <c r="V15178" s="16" t="str">
        <f>IFERROR(__xludf.DUMMYFUNCTION("""COMPUTED_VALUE"""),"")</f>
        <v/>
      </c>
      <c r="W15178" s="16" t="str">
        <f>IFERROR(__xludf.DUMMYFUNCTION("""COMPUTED_VALUE"""),"")</f>
        <v/>
      </c>
      <c r="X15178" s="16" t="str">
        <f>IFERROR(__xludf.DUMMYFUNCTION("""COMPUTED_VALUE"""),"")</f>
        <v/>
      </c>
      <c r="AC15178" s="16" t="str">
        <f>IFERROR(__xludf.DUMMYFUNCTION("""COMPUTED_VALUE"""),"")</f>
        <v/>
      </c>
    </row>
    <row r="15179">
      <c r="A15179" s="16" t="s">
        <v>87</v>
      </c>
      <c r="E15179" s="16" t="str">
        <f>IFERROR(__xludf.DUMMYFUNCTION("""COMPUTED_VALUE"""),"")</f>
        <v/>
      </c>
      <c r="G15179" s="18"/>
      <c r="H15179" s="16" t="s">
        <v>87</v>
      </c>
      <c r="I15179" s="16" t="s">
        <v>87</v>
      </c>
      <c r="J15179" s="19"/>
      <c r="L15179" s="16" t="str">
        <f>IFERROR(__xludf.DUMMYFUNCTION("""COMPUTED_VALUE"""),"")</f>
        <v/>
      </c>
      <c r="M15179" s="16" t="str">
        <f>IFERROR(__xludf.DUMMYFUNCTION("""COMPUTED_VALUE"""),"")</f>
        <v/>
      </c>
      <c r="U15179" s="16" t="s">
        <v>87</v>
      </c>
      <c r="V15179" s="16" t="str">
        <f>IFERROR(__xludf.DUMMYFUNCTION("""COMPUTED_VALUE"""),"")</f>
        <v/>
      </c>
      <c r="W15179" s="16" t="str">
        <f>IFERROR(__xludf.DUMMYFUNCTION("""COMPUTED_VALUE"""),"")</f>
        <v/>
      </c>
      <c r="X15179" s="16" t="str">
        <f>IFERROR(__xludf.DUMMYFUNCTION("""COMPUTED_VALUE"""),"")</f>
        <v/>
      </c>
      <c r="AC15179" s="16" t="str">
        <f>IFERROR(__xludf.DUMMYFUNCTION("""COMPUTED_VALUE"""),"")</f>
        <v/>
      </c>
    </row>
    <row r="15180">
      <c r="A15180" s="16" t="s">
        <v>87</v>
      </c>
      <c r="E15180" s="16" t="str">
        <f>IFERROR(__xludf.DUMMYFUNCTION("""COMPUTED_VALUE"""),"")</f>
        <v/>
      </c>
      <c r="G15180" s="18"/>
      <c r="H15180" s="16" t="s">
        <v>87</v>
      </c>
      <c r="I15180" s="16" t="s">
        <v>87</v>
      </c>
      <c r="J15180" s="19"/>
      <c r="L15180" s="16" t="str">
        <f>IFERROR(__xludf.DUMMYFUNCTION("""COMPUTED_VALUE"""),"")</f>
        <v/>
      </c>
      <c r="M15180" s="16" t="str">
        <f>IFERROR(__xludf.DUMMYFUNCTION("""COMPUTED_VALUE"""),"")</f>
        <v/>
      </c>
      <c r="U15180" s="16" t="s">
        <v>87</v>
      </c>
      <c r="V15180" s="16" t="str">
        <f>IFERROR(__xludf.DUMMYFUNCTION("""COMPUTED_VALUE"""),"")</f>
        <v/>
      </c>
      <c r="W15180" s="16" t="str">
        <f>IFERROR(__xludf.DUMMYFUNCTION("""COMPUTED_VALUE"""),"")</f>
        <v/>
      </c>
      <c r="X15180" s="16" t="str">
        <f>IFERROR(__xludf.DUMMYFUNCTION("""COMPUTED_VALUE"""),"")</f>
        <v/>
      </c>
      <c r="AC15180" s="16" t="str">
        <f>IFERROR(__xludf.DUMMYFUNCTION("""COMPUTED_VALUE"""),"")</f>
        <v/>
      </c>
    </row>
    <row r="15181">
      <c r="A15181" s="16" t="s">
        <v>87</v>
      </c>
      <c r="E15181" s="16" t="str">
        <f>IFERROR(__xludf.DUMMYFUNCTION("""COMPUTED_VALUE"""),"")</f>
        <v/>
      </c>
      <c r="G15181" s="18"/>
      <c r="H15181" s="16" t="s">
        <v>87</v>
      </c>
      <c r="I15181" s="16" t="s">
        <v>87</v>
      </c>
      <c r="J15181" s="19"/>
      <c r="L15181" s="16" t="str">
        <f>IFERROR(__xludf.DUMMYFUNCTION("""COMPUTED_VALUE"""),"")</f>
        <v/>
      </c>
      <c r="M15181" s="16" t="str">
        <f>IFERROR(__xludf.DUMMYFUNCTION("""COMPUTED_VALUE"""),"")</f>
        <v/>
      </c>
      <c r="U15181" s="16" t="s">
        <v>87</v>
      </c>
      <c r="V15181" s="16" t="str">
        <f>IFERROR(__xludf.DUMMYFUNCTION("""COMPUTED_VALUE"""),"")</f>
        <v/>
      </c>
      <c r="W15181" s="16" t="str">
        <f>IFERROR(__xludf.DUMMYFUNCTION("""COMPUTED_VALUE"""),"")</f>
        <v/>
      </c>
      <c r="X15181" s="16" t="str">
        <f>IFERROR(__xludf.DUMMYFUNCTION("""COMPUTED_VALUE"""),"")</f>
        <v/>
      </c>
      <c r="AC15181" s="16" t="str">
        <f>IFERROR(__xludf.DUMMYFUNCTION("""COMPUTED_VALUE"""),"")</f>
        <v/>
      </c>
    </row>
    <row r="15182">
      <c r="A15182" s="16" t="s">
        <v>87</v>
      </c>
      <c r="E15182" s="16" t="str">
        <f>IFERROR(__xludf.DUMMYFUNCTION("""COMPUTED_VALUE"""),"")</f>
        <v/>
      </c>
      <c r="G15182" s="18"/>
      <c r="H15182" s="16" t="s">
        <v>87</v>
      </c>
      <c r="I15182" s="16" t="s">
        <v>87</v>
      </c>
      <c r="J15182" s="19"/>
      <c r="L15182" s="16" t="str">
        <f>IFERROR(__xludf.DUMMYFUNCTION("""COMPUTED_VALUE"""),"")</f>
        <v/>
      </c>
      <c r="M15182" s="16" t="str">
        <f>IFERROR(__xludf.DUMMYFUNCTION("""COMPUTED_VALUE"""),"")</f>
        <v/>
      </c>
      <c r="U15182" s="16" t="s">
        <v>87</v>
      </c>
      <c r="V15182" s="16" t="str">
        <f>IFERROR(__xludf.DUMMYFUNCTION("""COMPUTED_VALUE"""),"")</f>
        <v/>
      </c>
      <c r="W15182" s="16" t="str">
        <f>IFERROR(__xludf.DUMMYFUNCTION("""COMPUTED_VALUE"""),"")</f>
        <v/>
      </c>
      <c r="X15182" s="16" t="str">
        <f>IFERROR(__xludf.DUMMYFUNCTION("""COMPUTED_VALUE"""),"")</f>
        <v/>
      </c>
      <c r="AC15182" s="16" t="str">
        <f>IFERROR(__xludf.DUMMYFUNCTION("""COMPUTED_VALUE"""),"")</f>
        <v/>
      </c>
    </row>
    <row r="15183">
      <c r="A15183" s="16" t="s">
        <v>87</v>
      </c>
      <c r="E15183" s="16" t="str">
        <f>IFERROR(__xludf.DUMMYFUNCTION("""COMPUTED_VALUE"""),"")</f>
        <v/>
      </c>
      <c r="G15183" s="18"/>
      <c r="H15183" s="16" t="s">
        <v>87</v>
      </c>
      <c r="I15183" s="16" t="s">
        <v>87</v>
      </c>
      <c r="J15183" s="19"/>
      <c r="L15183" s="16" t="str">
        <f>IFERROR(__xludf.DUMMYFUNCTION("""COMPUTED_VALUE"""),"")</f>
        <v/>
      </c>
      <c r="M15183" s="16" t="str">
        <f>IFERROR(__xludf.DUMMYFUNCTION("""COMPUTED_VALUE"""),"")</f>
        <v/>
      </c>
      <c r="U15183" s="16" t="s">
        <v>87</v>
      </c>
      <c r="V15183" s="16" t="str">
        <f>IFERROR(__xludf.DUMMYFUNCTION("""COMPUTED_VALUE"""),"")</f>
        <v/>
      </c>
      <c r="W15183" s="16" t="str">
        <f>IFERROR(__xludf.DUMMYFUNCTION("""COMPUTED_VALUE"""),"")</f>
        <v/>
      </c>
      <c r="X15183" s="16" t="str">
        <f>IFERROR(__xludf.DUMMYFUNCTION("""COMPUTED_VALUE"""),"")</f>
        <v/>
      </c>
      <c r="AC15183" s="16" t="str">
        <f>IFERROR(__xludf.DUMMYFUNCTION("""COMPUTED_VALUE"""),"")</f>
        <v/>
      </c>
    </row>
    <row r="15184">
      <c r="A15184" s="16" t="s">
        <v>87</v>
      </c>
      <c r="E15184" s="16" t="str">
        <f>IFERROR(__xludf.DUMMYFUNCTION("""COMPUTED_VALUE"""),"")</f>
        <v/>
      </c>
      <c r="G15184" s="18"/>
      <c r="H15184" s="16" t="s">
        <v>87</v>
      </c>
      <c r="I15184" s="16" t="s">
        <v>87</v>
      </c>
      <c r="J15184" s="19"/>
      <c r="L15184" s="16" t="str">
        <f>IFERROR(__xludf.DUMMYFUNCTION("""COMPUTED_VALUE"""),"")</f>
        <v/>
      </c>
      <c r="M15184" s="16" t="str">
        <f>IFERROR(__xludf.DUMMYFUNCTION("""COMPUTED_VALUE"""),"")</f>
        <v/>
      </c>
      <c r="U15184" s="16" t="s">
        <v>87</v>
      </c>
      <c r="V15184" s="16" t="str">
        <f>IFERROR(__xludf.DUMMYFUNCTION("""COMPUTED_VALUE"""),"")</f>
        <v/>
      </c>
      <c r="W15184" s="16" t="str">
        <f>IFERROR(__xludf.DUMMYFUNCTION("""COMPUTED_VALUE"""),"")</f>
        <v/>
      </c>
      <c r="X15184" s="16" t="str">
        <f>IFERROR(__xludf.DUMMYFUNCTION("""COMPUTED_VALUE"""),"")</f>
        <v/>
      </c>
      <c r="AC15184" s="16" t="str">
        <f>IFERROR(__xludf.DUMMYFUNCTION("""COMPUTED_VALUE"""),"")</f>
        <v/>
      </c>
    </row>
    <row r="15185">
      <c r="A15185" s="16" t="s">
        <v>87</v>
      </c>
      <c r="E15185" s="16" t="str">
        <f>IFERROR(__xludf.DUMMYFUNCTION("""COMPUTED_VALUE"""),"")</f>
        <v/>
      </c>
      <c r="G15185" s="18"/>
      <c r="H15185" s="16" t="s">
        <v>87</v>
      </c>
      <c r="I15185" s="16" t="s">
        <v>87</v>
      </c>
      <c r="J15185" s="19"/>
      <c r="L15185" s="16" t="str">
        <f>IFERROR(__xludf.DUMMYFUNCTION("""COMPUTED_VALUE"""),"")</f>
        <v/>
      </c>
      <c r="M15185" s="16" t="str">
        <f>IFERROR(__xludf.DUMMYFUNCTION("""COMPUTED_VALUE"""),"")</f>
        <v/>
      </c>
      <c r="U15185" s="16" t="s">
        <v>87</v>
      </c>
      <c r="V15185" s="16" t="str">
        <f>IFERROR(__xludf.DUMMYFUNCTION("""COMPUTED_VALUE"""),"")</f>
        <v/>
      </c>
      <c r="W15185" s="16" t="str">
        <f>IFERROR(__xludf.DUMMYFUNCTION("""COMPUTED_VALUE"""),"")</f>
        <v/>
      </c>
      <c r="X15185" s="16" t="str">
        <f>IFERROR(__xludf.DUMMYFUNCTION("""COMPUTED_VALUE"""),"")</f>
        <v/>
      </c>
      <c r="AC15185" s="16" t="str">
        <f>IFERROR(__xludf.DUMMYFUNCTION("""COMPUTED_VALUE"""),"")</f>
        <v/>
      </c>
    </row>
    <row r="15186">
      <c r="A15186" s="16" t="s">
        <v>87</v>
      </c>
      <c r="E15186" s="16" t="str">
        <f>IFERROR(__xludf.DUMMYFUNCTION("""COMPUTED_VALUE"""),"")</f>
        <v/>
      </c>
      <c r="G15186" s="18"/>
      <c r="H15186" s="16" t="s">
        <v>87</v>
      </c>
      <c r="I15186" s="16" t="s">
        <v>87</v>
      </c>
      <c r="J15186" s="19"/>
      <c r="L15186" s="16" t="str">
        <f>IFERROR(__xludf.DUMMYFUNCTION("""COMPUTED_VALUE"""),"")</f>
        <v/>
      </c>
      <c r="M15186" s="16" t="str">
        <f>IFERROR(__xludf.DUMMYFUNCTION("""COMPUTED_VALUE"""),"")</f>
        <v/>
      </c>
      <c r="U15186" s="16" t="s">
        <v>87</v>
      </c>
      <c r="V15186" s="16" t="str">
        <f>IFERROR(__xludf.DUMMYFUNCTION("""COMPUTED_VALUE"""),"")</f>
        <v/>
      </c>
      <c r="W15186" s="16" t="str">
        <f>IFERROR(__xludf.DUMMYFUNCTION("""COMPUTED_VALUE"""),"")</f>
        <v/>
      </c>
      <c r="X15186" s="16" t="str">
        <f>IFERROR(__xludf.DUMMYFUNCTION("""COMPUTED_VALUE"""),"")</f>
        <v/>
      </c>
      <c r="AC15186" s="16" t="str">
        <f>IFERROR(__xludf.DUMMYFUNCTION("""COMPUTED_VALUE"""),"")</f>
        <v/>
      </c>
    </row>
    <row r="15187">
      <c r="A15187" s="16" t="s">
        <v>87</v>
      </c>
      <c r="E15187" s="16" t="str">
        <f>IFERROR(__xludf.DUMMYFUNCTION("""COMPUTED_VALUE"""),"")</f>
        <v/>
      </c>
      <c r="G15187" s="18"/>
      <c r="H15187" s="16" t="s">
        <v>87</v>
      </c>
      <c r="I15187" s="16" t="s">
        <v>87</v>
      </c>
      <c r="J15187" s="19"/>
      <c r="L15187" s="16" t="str">
        <f>IFERROR(__xludf.DUMMYFUNCTION("""COMPUTED_VALUE"""),"")</f>
        <v/>
      </c>
      <c r="M15187" s="16" t="str">
        <f>IFERROR(__xludf.DUMMYFUNCTION("""COMPUTED_VALUE"""),"")</f>
        <v/>
      </c>
      <c r="U15187" s="16" t="s">
        <v>87</v>
      </c>
      <c r="V15187" s="16" t="str">
        <f>IFERROR(__xludf.DUMMYFUNCTION("""COMPUTED_VALUE"""),"")</f>
        <v/>
      </c>
      <c r="W15187" s="16" t="str">
        <f>IFERROR(__xludf.DUMMYFUNCTION("""COMPUTED_VALUE"""),"")</f>
        <v/>
      </c>
      <c r="X15187" s="16" t="str">
        <f>IFERROR(__xludf.DUMMYFUNCTION("""COMPUTED_VALUE"""),"")</f>
        <v/>
      </c>
      <c r="AC15187" s="16" t="str">
        <f>IFERROR(__xludf.DUMMYFUNCTION("""COMPUTED_VALUE"""),"")</f>
        <v/>
      </c>
    </row>
    <row r="15188">
      <c r="A15188" s="16" t="s">
        <v>87</v>
      </c>
      <c r="E15188" s="16" t="str">
        <f>IFERROR(__xludf.DUMMYFUNCTION("""COMPUTED_VALUE"""),"")</f>
        <v/>
      </c>
      <c r="G15188" s="18"/>
      <c r="H15188" s="16" t="s">
        <v>87</v>
      </c>
      <c r="I15188" s="16" t="s">
        <v>87</v>
      </c>
      <c r="J15188" s="19"/>
      <c r="L15188" s="16" t="str">
        <f>IFERROR(__xludf.DUMMYFUNCTION("""COMPUTED_VALUE"""),"")</f>
        <v/>
      </c>
      <c r="M15188" s="16" t="str">
        <f>IFERROR(__xludf.DUMMYFUNCTION("""COMPUTED_VALUE"""),"")</f>
        <v/>
      </c>
      <c r="U15188" s="16" t="s">
        <v>87</v>
      </c>
      <c r="V15188" s="16" t="str">
        <f>IFERROR(__xludf.DUMMYFUNCTION("""COMPUTED_VALUE"""),"")</f>
        <v/>
      </c>
      <c r="W15188" s="16" t="str">
        <f>IFERROR(__xludf.DUMMYFUNCTION("""COMPUTED_VALUE"""),"")</f>
        <v/>
      </c>
      <c r="X15188" s="16" t="str">
        <f>IFERROR(__xludf.DUMMYFUNCTION("""COMPUTED_VALUE"""),"")</f>
        <v/>
      </c>
      <c r="AC15188" s="16" t="str">
        <f>IFERROR(__xludf.DUMMYFUNCTION("""COMPUTED_VALUE"""),"")</f>
        <v/>
      </c>
    </row>
    <row r="15189">
      <c r="A15189" s="16" t="s">
        <v>87</v>
      </c>
      <c r="E15189" s="16" t="str">
        <f>IFERROR(__xludf.DUMMYFUNCTION("""COMPUTED_VALUE"""),"")</f>
        <v/>
      </c>
      <c r="G15189" s="18"/>
      <c r="H15189" s="16" t="s">
        <v>87</v>
      </c>
      <c r="I15189" s="16" t="s">
        <v>87</v>
      </c>
      <c r="J15189" s="19"/>
      <c r="L15189" s="16" t="str">
        <f>IFERROR(__xludf.DUMMYFUNCTION("""COMPUTED_VALUE"""),"")</f>
        <v/>
      </c>
      <c r="M15189" s="16" t="str">
        <f>IFERROR(__xludf.DUMMYFUNCTION("""COMPUTED_VALUE"""),"")</f>
        <v/>
      </c>
      <c r="U15189" s="16" t="s">
        <v>87</v>
      </c>
      <c r="V15189" s="16" t="str">
        <f>IFERROR(__xludf.DUMMYFUNCTION("""COMPUTED_VALUE"""),"")</f>
        <v/>
      </c>
      <c r="W15189" s="16" t="str">
        <f>IFERROR(__xludf.DUMMYFUNCTION("""COMPUTED_VALUE"""),"")</f>
        <v/>
      </c>
      <c r="X15189" s="16" t="str">
        <f>IFERROR(__xludf.DUMMYFUNCTION("""COMPUTED_VALUE"""),"")</f>
        <v/>
      </c>
      <c r="AC15189" s="16" t="str">
        <f>IFERROR(__xludf.DUMMYFUNCTION("""COMPUTED_VALUE"""),"")</f>
        <v/>
      </c>
    </row>
    <row r="15190">
      <c r="A15190" s="16" t="s">
        <v>87</v>
      </c>
      <c r="E15190" s="16" t="str">
        <f>IFERROR(__xludf.DUMMYFUNCTION("""COMPUTED_VALUE"""),"")</f>
        <v/>
      </c>
      <c r="G15190" s="18"/>
      <c r="H15190" s="16" t="s">
        <v>87</v>
      </c>
      <c r="I15190" s="16" t="s">
        <v>87</v>
      </c>
      <c r="J15190" s="19"/>
      <c r="L15190" s="16" t="str">
        <f>IFERROR(__xludf.DUMMYFUNCTION("""COMPUTED_VALUE"""),"")</f>
        <v/>
      </c>
      <c r="M15190" s="16" t="str">
        <f>IFERROR(__xludf.DUMMYFUNCTION("""COMPUTED_VALUE"""),"")</f>
        <v/>
      </c>
      <c r="U15190" s="16" t="s">
        <v>87</v>
      </c>
      <c r="V15190" s="16" t="str">
        <f>IFERROR(__xludf.DUMMYFUNCTION("""COMPUTED_VALUE"""),"")</f>
        <v/>
      </c>
      <c r="W15190" s="16" t="str">
        <f>IFERROR(__xludf.DUMMYFUNCTION("""COMPUTED_VALUE"""),"")</f>
        <v/>
      </c>
      <c r="X15190" s="16" t="str">
        <f>IFERROR(__xludf.DUMMYFUNCTION("""COMPUTED_VALUE"""),"")</f>
        <v/>
      </c>
      <c r="AC15190" s="16" t="str">
        <f>IFERROR(__xludf.DUMMYFUNCTION("""COMPUTED_VALUE"""),"")</f>
        <v/>
      </c>
    </row>
    <row r="15191">
      <c r="A15191" s="16" t="s">
        <v>87</v>
      </c>
      <c r="E15191" s="16" t="str">
        <f>IFERROR(__xludf.DUMMYFUNCTION("""COMPUTED_VALUE"""),"")</f>
        <v/>
      </c>
      <c r="G15191" s="18"/>
      <c r="H15191" s="16" t="s">
        <v>87</v>
      </c>
      <c r="I15191" s="16" t="s">
        <v>87</v>
      </c>
      <c r="J15191" s="19"/>
      <c r="L15191" s="16" t="str">
        <f>IFERROR(__xludf.DUMMYFUNCTION("""COMPUTED_VALUE"""),"")</f>
        <v/>
      </c>
      <c r="M15191" s="16" t="str">
        <f>IFERROR(__xludf.DUMMYFUNCTION("""COMPUTED_VALUE"""),"")</f>
        <v/>
      </c>
      <c r="U15191" s="16" t="s">
        <v>87</v>
      </c>
      <c r="V15191" s="16" t="str">
        <f>IFERROR(__xludf.DUMMYFUNCTION("""COMPUTED_VALUE"""),"")</f>
        <v/>
      </c>
      <c r="W15191" s="16" t="str">
        <f>IFERROR(__xludf.DUMMYFUNCTION("""COMPUTED_VALUE"""),"")</f>
        <v/>
      </c>
      <c r="X15191" s="16" t="str">
        <f>IFERROR(__xludf.DUMMYFUNCTION("""COMPUTED_VALUE"""),"")</f>
        <v/>
      </c>
      <c r="AC15191" s="16" t="str">
        <f>IFERROR(__xludf.DUMMYFUNCTION("""COMPUTED_VALUE"""),"")</f>
        <v/>
      </c>
    </row>
    <row r="15192">
      <c r="A15192" s="16" t="s">
        <v>87</v>
      </c>
      <c r="E15192" s="16" t="str">
        <f>IFERROR(__xludf.DUMMYFUNCTION("""COMPUTED_VALUE"""),"")</f>
        <v/>
      </c>
      <c r="G15192" s="18"/>
      <c r="H15192" s="16" t="s">
        <v>87</v>
      </c>
      <c r="I15192" s="16" t="s">
        <v>87</v>
      </c>
      <c r="J15192" s="19"/>
      <c r="L15192" s="16" t="str">
        <f>IFERROR(__xludf.DUMMYFUNCTION("""COMPUTED_VALUE"""),"")</f>
        <v/>
      </c>
      <c r="M15192" s="16" t="str">
        <f>IFERROR(__xludf.DUMMYFUNCTION("""COMPUTED_VALUE"""),"")</f>
        <v/>
      </c>
      <c r="U15192" s="16" t="s">
        <v>87</v>
      </c>
      <c r="V15192" s="16" t="str">
        <f>IFERROR(__xludf.DUMMYFUNCTION("""COMPUTED_VALUE"""),"")</f>
        <v/>
      </c>
      <c r="W15192" s="16" t="str">
        <f>IFERROR(__xludf.DUMMYFUNCTION("""COMPUTED_VALUE"""),"")</f>
        <v/>
      </c>
      <c r="X15192" s="16" t="str">
        <f>IFERROR(__xludf.DUMMYFUNCTION("""COMPUTED_VALUE"""),"")</f>
        <v/>
      </c>
      <c r="AC15192" s="16" t="str">
        <f>IFERROR(__xludf.DUMMYFUNCTION("""COMPUTED_VALUE"""),"")</f>
        <v/>
      </c>
    </row>
    <row r="15193">
      <c r="A15193" s="16" t="s">
        <v>87</v>
      </c>
      <c r="E15193" s="16" t="str">
        <f>IFERROR(__xludf.DUMMYFUNCTION("""COMPUTED_VALUE"""),"")</f>
        <v/>
      </c>
      <c r="G15193" s="18"/>
      <c r="H15193" s="16" t="s">
        <v>87</v>
      </c>
      <c r="I15193" s="16" t="s">
        <v>87</v>
      </c>
      <c r="J15193" s="19"/>
      <c r="L15193" s="16" t="str">
        <f>IFERROR(__xludf.DUMMYFUNCTION("""COMPUTED_VALUE"""),"")</f>
        <v/>
      </c>
      <c r="M15193" s="16" t="str">
        <f>IFERROR(__xludf.DUMMYFUNCTION("""COMPUTED_VALUE"""),"")</f>
        <v/>
      </c>
      <c r="U15193" s="16" t="s">
        <v>87</v>
      </c>
      <c r="V15193" s="16" t="str">
        <f>IFERROR(__xludf.DUMMYFUNCTION("""COMPUTED_VALUE"""),"")</f>
        <v/>
      </c>
      <c r="W15193" s="16" t="str">
        <f>IFERROR(__xludf.DUMMYFUNCTION("""COMPUTED_VALUE"""),"")</f>
        <v/>
      </c>
      <c r="X15193" s="16" t="str">
        <f>IFERROR(__xludf.DUMMYFUNCTION("""COMPUTED_VALUE"""),"")</f>
        <v/>
      </c>
      <c r="AC15193" s="16" t="str">
        <f>IFERROR(__xludf.DUMMYFUNCTION("""COMPUTED_VALUE"""),"")</f>
        <v/>
      </c>
    </row>
    <row r="15194">
      <c r="A15194" s="16" t="s">
        <v>87</v>
      </c>
      <c r="E15194" s="16" t="str">
        <f>IFERROR(__xludf.DUMMYFUNCTION("""COMPUTED_VALUE"""),"")</f>
        <v/>
      </c>
      <c r="G15194" s="18"/>
      <c r="H15194" s="16" t="s">
        <v>87</v>
      </c>
      <c r="I15194" s="16" t="s">
        <v>87</v>
      </c>
      <c r="J15194" s="19"/>
      <c r="L15194" s="16" t="str">
        <f>IFERROR(__xludf.DUMMYFUNCTION("""COMPUTED_VALUE"""),"")</f>
        <v/>
      </c>
      <c r="M15194" s="16" t="str">
        <f>IFERROR(__xludf.DUMMYFUNCTION("""COMPUTED_VALUE"""),"")</f>
        <v/>
      </c>
      <c r="U15194" s="16" t="s">
        <v>87</v>
      </c>
      <c r="V15194" s="16" t="str">
        <f>IFERROR(__xludf.DUMMYFUNCTION("""COMPUTED_VALUE"""),"")</f>
        <v/>
      </c>
      <c r="W15194" s="16" t="str">
        <f>IFERROR(__xludf.DUMMYFUNCTION("""COMPUTED_VALUE"""),"")</f>
        <v/>
      </c>
      <c r="X15194" s="16" t="str">
        <f>IFERROR(__xludf.DUMMYFUNCTION("""COMPUTED_VALUE"""),"")</f>
        <v/>
      </c>
      <c r="AC15194" s="16" t="str">
        <f>IFERROR(__xludf.DUMMYFUNCTION("""COMPUTED_VALUE"""),"")</f>
        <v/>
      </c>
    </row>
    <row r="15195">
      <c r="A15195" s="16" t="s">
        <v>87</v>
      </c>
      <c r="E15195" s="16" t="str">
        <f>IFERROR(__xludf.DUMMYFUNCTION("""COMPUTED_VALUE"""),"")</f>
        <v/>
      </c>
      <c r="G15195" s="18"/>
      <c r="H15195" s="16" t="s">
        <v>87</v>
      </c>
      <c r="I15195" s="16" t="s">
        <v>87</v>
      </c>
      <c r="J15195" s="19"/>
      <c r="L15195" s="16" t="str">
        <f>IFERROR(__xludf.DUMMYFUNCTION("""COMPUTED_VALUE"""),"")</f>
        <v/>
      </c>
      <c r="M15195" s="16" t="str">
        <f>IFERROR(__xludf.DUMMYFUNCTION("""COMPUTED_VALUE"""),"")</f>
        <v/>
      </c>
      <c r="U15195" s="16" t="s">
        <v>87</v>
      </c>
      <c r="V15195" s="16" t="str">
        <f>IFERROR(__xludf.DUMMYFUNCTION("""COMPUTED_VALUE"""),"")</f>
        <v/>
      </c>
      <c r="W15195" s="16" t="str">
        <f>IFERROR(__xludf.DUMMYFUNCTION("""COMPUTED_VALUE"""),"")</f>
        <v/>
      </c>
      <c r="X15195" s="16" t="str">
        <f>IFERROR(__xludf.DUMMYFUNCTION("""COMPUTED_VALUE"""),"")</f>
        <v/>
      </c>
      <c r="AC15195" s="16" t="str">
        <f>IFERROR(__xludf.DUMMYFUNCTION("""COMPUTED_VALUE"""),"")</f>
        <v/>
      </c>
    </row>
    <row r="15196">
      <c r="A15196" s="16" t="s">
        <v>87</v>
      </c>
      <c r="E15196" s="16" t="str">
        <f>IFERROR(__xludf.DUMMYFUNCTION("""COMPUTED_VALUE"""),"")</f>
        <v/>
      </c>
      <c r="G15196" s="18"/>
      <c r="H15196" s="16" t="s">
        <v>87</v>
      </c>
      <c r="I15196" s="16" t="s">
        <v>87</v>
      </c>
      <c r="J15196" s="19"/>
      <c r="L15196" s="16" t="str">
        <f>IFERROR(__xludf.DUMMYFUNCTION("""COMPUTED_VALUE"""),"")</f>
        <v/>
      </c>
      <c r="M15196" s="16" t="str">
        <f>IFERROR(__xludf.DUMMYFUNCTION("""COMPUTED_VALUE"""),"")</f>
        <v/>
      </c>
      <c r="U15196" s="16" t="s">
        <v>87</v>
      </c>
      <c r="V15196" s="16" t="str">
        <f>IFERROR(__xludf.DUMMYFUNCTION("""COMPUTED_VALUE"""),"")</f>
        <v/>
      </c>
      <c r="W15196" s="16" t="str">
        <f>IFERROR(__xludf.DUMMYFUNCTION("""COMPUTED_VALUE"""),"")</f>
        <v/>
      </c>
      <c r="X15196" s="16" t="str">
        <f>IFERROR(__xludf.DUMMYFUNCTION("""COMPUTED_VALUE"""),"")</f>
        <v/>
      </c>
      <c r="AC15196" s="16" t="str">
        <f>IFERROR(__xludf.DUMMYFUNCTION("""COMPUTED_VALUE"""),"")</f>
        <v/>
      </c>
    </row>
    <row r="15197">
      <c r="A15197" s="16" t="s">
        <v>87</v>
      </c>
      <c r="E15197" s="16" t="str">
        <f>IFERROR(__xludf.DUMMYFUNCTION("""COMPUTED_VALUE"""),"")</f>
        <v/>
      </c>
      <c r="G15197" s="18"/>
      <c r="H15197" s="16" t="s">
        <v>87</v>
      </c>
      <c r="I15197" s="16" t="s">
        <v>87</v>
      </c>
      <c r="J15197" s="19"/>
      <c r="L15197" s="16" t="str">
        <f>IFERROR(__xludf.DUMMYFUNCTION("""COMPUTED_VALUE"""),"")</f>
        <v/>
      </c>
      <c r="M15197" s="16" t="str">
        <f>IFERROR(__xludf.DUMMYFUNCTION("""COMPUTED_VALUE"""),"")</f>
        <v/>
      </c>
      <c r="U15197" s="16" t="s">
        <v>87</v>
      </c>
      <c r="V15197" s="16" t="str">
        <f>IFERROR(__xludf.DUMMYFUNCTION("""COMPUTED_VALUE"""),"")</f>
        <v/>
      </c>
      <c r="W15197" s="16" t="str">
        <f>IFERROR(__xludf.DUMMYFUNCTION("""COMPUTED_VALUE"""),"")</f>
        <v/>
      </c>
      <c r="X15197" s="16" t="str">
        <f>IFERROR(__xludf.DUMMYFUNCTION("""COMPUTED_VALUE"""),"")</f>
        <v/>
      </c>
      <c r="AC15197" s="16" t="str">
        <f>IFERROR(__xludf.DUMMYFUNCTION("""COMPUTED_VALUE"""),"")</f>
        <v/>
      </c>
    </row>
    <row r="15198">
      <c r="A15198" s="16" t="s">
        <v>87</v>
      </c>
      <c r="E15198" s="16" t="str">
        <f>IFERROR(__xludf.DUMMYFUNCTION("""COMPUTED_VALUE"""),"")</f>
        <v/>
      </c>
      <c r="G15198" s="18"/>
      <c r="H15198" s="16" t="s">
        <v>87</v>
      </c>
      <c r="I15198" s="16" t="s">
        <v>87</v>
      </c>
      <c r="J15198" s="19"/>
      <c r="L15198" s="16" t="str">
        <f>IFERROR(__xludf.DUMMYFUNCTION("""COMPUTED_VALUE"""),"")</f>
        <v/>
      </c>
      <c r="M15198" s="16" t="str">
        <f>IFERROR(__xludf.DUMMYFUNCTION("""COMPUTED_VALUE"""),"")</f>
        <v/>
      </c>
      <c r="U15198" s="16" t="s">
        <v>87</v>
      </c>
      <c r="V15198" s="16" t="str">
        <f>IFERROR(__xludf.DUMMYFUNCTION("""COMPUTED_VALUE"""),"")</f>
        <v/>
      </c>
      <c r="W15198" s="16" t="str">
        <f>IFERROR(__xludf.DUMMYFUNCTION("""COMPUTED_VALUE"""),"")</f>
        <v/>
      </c>
      <c r="X15198" s="16" t="str">
        <f>IFERROR(__xludf.DUMMYFUNCTION("""COMPUTED_VALUE"""),"")</f>
        <v/>
      </c>
      <c r="AC15198" s="16" t="str">
        <f>IFERROR(__xludf.DUMMYFUNCTION("""COMPUTED_VALUE"""),"")</f>
        <v/>
      </c>
    </row>
    <row r="15199">
      <c r="A15199" s="16" t="s">
        <v>87</v>
      </c>
      <c r="E15199" s="16" t="str">
        <f>IFERROR(__xludf.DUMMYFUNCTION("""COMPUTED_VALUE"""),"")</f>
        <v/>
      </c>
      <c r="G15199" s="18"/>
      <c r="H15199" s="16" t="s">
        <v>87</v>
      </c>
      <c r="I15199" s="16" t="s">
        <v>87</v>
      </c>
      <c r="J15199" s="19"/>
      <c r="L15199" s="16" t="str">
        <f>IFERROR(__xludf.DUMMYFUNCTION("""COMPUTED_VALUE"""),"")</f>
        <v/>
      </c>
      <c r="M15199" s="16" t="str">
        <f>IFERROR(__xludf.DUMMYFUNCTION("""COMPUTED_VALUE"""),"")</f>
        <v/>
      </c>
      <c r="U15199" s="16" t="s">
        <v>87</v>
      </c>
      <c r="V15199" s="16" t="str">
        <f>IFERROR(__xludf.DUMMYFUNCTION("""COMPUTED_VALUE"""),"")</f>
        <v/>
      </c>
      <c r="W15199" s="16" t="str">
        <f>IFERROR(__xludf.DUMMYFUNCTION("""COMPUTED_VALUE"""),"")</f>
        <v/>
      </c>
      <c r="X15199" s="16" t="str">
        <f>IFERROR(__xludf.DUMMYFUNCTION("""COMPUTED_VALUE"""),"")</f>
        <v/>
      </c>
      <c r="AC15199" s="16" t="str">
        <f>IFERROR(__xludf.DUMMYFUNCTION("""COMPUTED_VALUE"""),"")</f>
        <v/>
      </c>
    </row>
    <row r="15200">
      <c r="A15200" s="16" t="s">
        <v>87</v>
      </c>
      <c r="E15200" s="16" t="str">
        <f>IFERROR(__xludf.DUMMYFUNCTION("""COMPUTED_VALUE"""),"")</f>
        <v/>
      </c>
      <c r="G15200" s="18"/>
      <c r="H15200" s="16" t="s">
        <v>87</v>
      </c>
      <c r="I15200" s="16" t="s">
        <v>87</v>
      </c>
      <c r="J15200" s="19"/>
      <c r="L15200" s="16" t="str">
        <f>IFERROR(__xludf.DUMMYFUNCTION("""COMPUTED_VALUE"""),"")</f>
        <v/>
      </c>
      <c r="M15200" s="16" t="str">
        <f>IFERROR(__xludf.DUMMYFUNCTION("""COMPUTED_VALUE"""),"")</f>
        <v/>
      </c>
      <c r="U15200" s="16" t="s">
        <v>87</v>
      </c>
      <c r="V15200" s="16" t="str">
        <f>IFERROR(__xludf.DUMMYFUNCTION("""COMPUTED_VALUE"""),"")</f>
        <v/>
      </c>
      <c r="W15200" s="16" t="str">
        <f>IFERROR(__xludf.DUMMYFUNCTION("""COMPUTED_VALUE"""),"")</f>
        <v/>
      </c>
      <c r="X15200" s="16" t="str">
        <f>IFERROR(__xludf.DUMMYFUNCTION("""COMPUTED_VALUE"""),"")</f>
        <v/>
      </c>
      <c r="AC15200" s="16" t="str">
        <f>IFERROR(__xludf.DUMMYFUNCTION("""COMPUTED_VALUE"""),"")</f>
        <v/>
      </c>
    </row>
    <row r="15201">
      <c r="A15201" s="16" t="s">
        <v>87</v>
      </c>
      <c r="E15201" s="16" t="str">
        <f>IFERROR(__xludf.DUMMYFUNCTION("""COMPUTED_VALUE"""),"")</f>
        <v/>
      </c>
      <c r="G15201" s="18"/>
      <c r="H15201" s="16" t="s">
        <v>87</v>
      </c>
      <c r="I15201" s="16" t="s">
        <v>87</v>
      </c>
      <c r="J15201" s="19"/>
      <c r="L15201" s="16" t="str">
        <f>IFERROR(__xludf.DUMMYFUNCTION("""COMPUTED_VALUE"""),"")</f>
        <v/>
      </c>
      <c r="M15201" s="16" t="str">
        <f>IFERROR(__xludf.DUMMYFUNCTION("""COMPUTED_VALUE"""),"")</f>
        <v/>
      </c>
      <c r="U15201" s="16" t="s">
        <v>87</v>
      </c>
      <c r="V15201" s="16" t="str">
        <f>IFERROR(__xludf.DUMMYFUNCTION("""COMPUTED_VALUE"""),"")</f>
        <v/>
      </c>
      <c r="W15201" s="16" t="str">
        <f>IFERROR(__xludf.DUMMYFUNCTION("""COMPUTED_VALUE"""),"")</f>
        <v/>
      </c>
      <c r="X15201" s="16" t="str">
        <f>IFERROR(__xludf.DUMMYFUNCTION("""COMPUTED_VALUE"""),"")</f>
        <v/>
      </c>
      <c r="AC15201" s="16" t="str">
        <f>IFERROR(__xludf.DUMMYFUNCTION("""COMPUTED_VALUE"""),"")</f>
        <v/>
      </c>
    </row>
    <row r="15202">
      <c r="A15202" s="16" t="s">
        <v>87</v>
      </c>
      <c r="E15202" s="16" t="str">
        <f>IFERROR(__xludf.DUMMYFUNCTION("""COMPUTED_VALUE"""),"")</f>
        <v/>
      </c>
      <c r="G15202" s="18"/>
      <c r="H15202" s="16" t="s">
        <v>87</v>
      </c>
      <c r="I15202" s="16" t="s">
        <v>87</v>
      </c>
      <c r="J15202" s="19"/>
      <c r="L15202" s="16" t="str">
        <f>IFERROR(__xludf.DUMMYFUNCTION("""COMPUTED_VALUE"""),"")</f>
        <v/>
      </c>
      <c r="M15202" s="16" t="str">
        <f>IFERROR(__xludf.DUMMYFUNCTION("""COMPUTED_VALUE"""),"")</f>
        <v/>
      </c>
      <c r="U15202" s="16" t="s">
        <v>87</v>
      </c>
      <c r="V15202" s="16" t="str">
        <f>IFERROR(__xludf.DUMMYFUNCTION("""COMPUTED_VALUE"""),"")</f>
        <v/>
      </c>
      <c r="W15202" s="16" t="str">
        <f>IFERROR(__xludf.DUMMYFUNCTION("""COMPUTED_VALUE"""),"")</f>
        <v/>
      </c>
      <c r="X15202" s="16" t="str">
        <f>IFERROR(__xludf.DUMMYFUNCTION("""COMPUTED_VALUE"""),"")</f>
        <v/>
      </c>
      <c r="AC15202" s="16" t="str">
        <f>IFERROR(__xludf.DUMMYFUNCTION("""COMPUTED_VALUE"""),"")</f>
        <v/>
      </c>
    </row>
    <row r="15203">
      <c r="A15203" s="16" t="s">
        <v>87</v>
      </c>
      <c r="E15203" s="16" t="str">
        <f>IFERROR(__xludf.DUMMYFUNCTION("""COMPUTED_VALUE"""),"")</f>
        <v/>
      </c>
      <c r="G15203" s="18"/>
      <c r="H15203" s="16" t="s">
        <v>87</v>
      </c>
      <c r="I15203" s="16" t="s">
        <v>87</v>
      </c>
      <c r="J15203" s="19"/>
      <c r="L15203" s="16" t="str">
        <f>IFERROR(__xludf.DUMMYFUNCTION("""COMPUTED_VALUE"""),"")</f>
        <v/>
      </c>
      <c r="M15203" s="16" t="str">
        <f>IFERROR(__xludf.DUMMYFUNCTION("""COMPUTED_VALUE"""),"")</f>
        <v/>
      </c>
      <c r="U15203" s="16" t="s">
        <v>87</v>
      </c>
      <c r="V15203" s="16" t="str">
        <f>IFERROR(__xludf.DUMMYFUNCTION("""COMPUTED_VALUE"""),"")</f>
        <v/>
      </c>
      <c r="W15203" s="16" t="str">
        <f>IFERROR(__xludf.DUMMYFUNCTION("""COMPUTED_VALUE"""),"")</f>
        <v/>
      </c>
      <c r="X15203" s="16" t="str">
        <f>IFERROR(__xludf.DUMMYFUNCTION("""COMPUTED_VALUE"""),"")</f>
        <v/>
      </c>
      <c r="AC15203" s="16" t="str">
        <f>IFERROR(__xludf.DUMMYFUNCTION("""COMPUTED_VALUE"""),"")</f>
        <v/>
      </c>
    </row>
    <row r="15204">
      <c r="A15204" s="16" t="s">
        <v>87</v>
      </c>
      <c r="E15204" s="16" t="str">
        <f>IFERROR(__xludf.DUMMYFUNCTION("""COMPUTED_VALUE"""),"")</f>
        <v/>
      </c>
      <c r="G15204" s="18"/>
      <c r="H15204" s="16" t="s">
        <v>87</v>
      </c>
      <c r="I15204" s="16" t="s">
        <v>87</v>
      </c>
      <c r="J15204" s="19"/>
      <c r="L15204" s="16" t="str">
        <f>IFERROR(__xludf.DUMMYFUNCTION("""COMPUTED_VALUE"""),"")</f>
        <v/>
      </c>
      <c r="M15204" s="16" t="str">
        <f>IFERROR(__xludf.DUMMYFUNCTION("""COMPUTED_VALUE"""),"")</f>
        <v/>
      </c>
      <c r="U15204" s="16" t="s">
        <v>87</v>
      </c>
      <c r="V15204" s="16" t="str">
        <f>IFERROR(__xludf.DUMMYFUNCTION("""COMPUTED_VALUE"""),"")</f>
        <v/>
      </c>
      <c r="W15204" s="16" t="str">
        <f>IFERROR(__xludf.DUMMYFUNCTION("""COMPUTED_VALUE"""),"")</f>
        <v/>
      </c>
      <c r="X15204" s="16" t="str">
        <f>IFERROR(__xludf.DUMMYFUNCTION("""COMPUTED_VALUE"""),"")</f>
        <v/>
      </c>
      <c r="AC15204" s="16" t="str">
        <f>IFERROR(__xludf.DUMMYFUNCTION("""COMPUTED_VALUE"""),"")</f>
        <v/>
      </c>
    </row>
    <row r="15205">
      <c r="A15205" s="16" t="s">
        <v>87</v>
      </c>
      <c r="E15205" s="16" t="str">
        <f>IFERROR(__xludf.DUMMYFUNCTION("""COMPUTED_VALUE"""),"")</f>
        <v/>
      </c>
      <c r="G15205" s="18"/>
      <c r="H15205" s="16" t="s">
        <v>87</v>
      </c>
      <c r="I15205" s="16" t="s">
        <v>87</v>
      </c>
      <c r="J15205" s="19"/>
      <c r="L15205" s="16" t="str">
        <f>IFERROR(__xludf.DUMMYFUNCTION("""COMPUTED_VALUE"""),"")</f>
        <v/>
      </c>
      <c r="M15205" s="16" t="str">
        <f>IFERROR(__xludf.DUMMYFUNCTION("""COMPUTED_VALUE"""),"")</f>
        <v/>
      </c>
      <c r="U15205" s="16" t="s">
        <v>87</v>
      </c>
      <c r="V15205" s="16" t="str">
        <f>IFERROR(__xludf.DUMMYFUNCTION("""COMPUTED_VALUE"""),"")</f>
        <v/>
      </c>
      <c r="W15205" s="16" t="str">
        <f>IFERROR(__xludf.DUMMYFUNCTION("""COMPUTED_VALUE"""),"")</f>
        <v/>
      </c>
      <c r="X15205" s="16" t="str">
        <f>IFERROR(__xludf.DUMMYFUNCTION("""COMPUTED_VALUE"""),"")</f>
        <v/>
      </c>
      <c r="AC15205" s="16" t="str">
        <f>IFERROR(__xludf.DUMMYFUNCTION("""COMPUTED_VALUE"""),"")</f>
        <v/>
      </c>
    </row>
    <row r="15206">
      <c r="A15206" s="16" t="s">
        <v>87</v>
      </c>
      <c r="E15206" s="16" t="str">
        <f>IFERROR(__xludf.DUMMYFUNCTION("""COMPUTED_VALUE"""),"")</f>
        <v/>
      </c>
      <c r="G15206" s="18"/>
      <c r="H15206" s="16" t="s">
        <v>87</v>
      </c>
      <c r="I15206" s="16" t="s">
        <v>87</v>
      </c>
      <c r="J15206" s="19"/>
      <c r="L15206" s="16" t="str">
        <f>IFERROR(__xludf.DUMMYFUNCTION("""COMPUTED_VALUE"""),"")</f>
        <v/>
      </c>
      <c r="M15206" s="16" t="str">
        <f>IFERROR(__xludf.DUMMYFUNCTION("""COMPUTED_VALUE"""),"")</f>
        <v/>
      </c>
      <c r="U15206" s="16" t="s">
        <v>87</v>
      </c>
      <c r="V15206" s="16" t="str">
        <f>IFERROR(__xludf.DUMMYFUNCTION("""COMPUTED_VALUE"""),"")</f>
        <v/>
      </c>
      <c r="W15206" s="16" t="str">
        <f>IFERROR(__xludf.DUMMYFUNCTION("""COMPUTED_VALUE"""),"")</f>
        <v/>
      </c>
      <c r="X15206" s="16" t="str">
        <f>IFERROR(__xludf.DUMMYFUNCTION("""COMPUTED_VALUE"""),"")</f>
        <v/>
      </c>
      <c r="AC15206" s="16" t="str">
        <f>IFERROR(__xludf.DUMMYFUNCTION("""COMPUTED_VALUE"""),"")</f>
        <v/>
      </c>
    </row>
    <row r="15207">
      <c r="A15207" s="16" t="s">
        <v>87</v>
      </c>
      <c r="E15207" s="16" t="str">
        <f>IFERROR(__xludf.DUMMYFUNCTION("""COMPUTED_VALUE"""),"")</f>
        <v/>
      </c>
      <c r="G15207" s="18"/>
      <c r="H15207" s="16" t="s">
        <v>87</v>
      </c>
      <c r="I15207" s="16" t="s">
        <v>87</v>
      </c>
      <c r="J15207" s="19"/>
      <c r="L15207" s="16" t="str">
        <f>IFERROR(__xludf.DUMMYFUNCTION("""COMPUTED_VALUE"""),"")</f>
        <v/>
      </c>
      <c r="M15207" s="16" t="str">
        <f>IFERROR(__xludf.DUMMYFUNCTION("""COMPUTED_VALUE"""),"")</f>
        <v/>
      </c>
      <c r="U15207" s="16" t="s">
        <v>87</v>
      </c>
      <c r="V15207" s="16" t="str">
        <f>IFERROR(__xludf.DUMMYFUNCTION("""COMPUTED_VALUE"""),"")</f>
        <v/>
      </c>
      <c r="W15207" s="16" t="str">
        <f>IFERROR(__xludf.DUMMYFUNCTION("""COMPUTED_VALUE"""),"")</f>
        <v/>
      </c>
      <c r="X15207" s="16" t="str">
        <f>IFERROR(__xludf.DUMMYFUNCTION("""COMPUTED_VALUE"""),"")</f>
        <v/>
      </c>
      <c r="AC15207" s="16" t="str">
        <f>IFERROR(__xludf.DUMMYFUNCTION("""COMPUTED_VALUE"""),"")</f>
        <v/>
      </c>
    </row>
    <row r="15208">
      <c r="A15208" s="16" t="s">
        <v>87</v>
      </c>
      <c r="E15208" s="16" t="str">
        <f>IFERROR(__xludf.DUMMYFUNCTION("""COMPUTED_VALUE"""),"")</f>
        <v/>
      </c>
      <c r="G15208" s="18"/>
      <c r="H15208" s="16" t="s">
        <v>87</v>
      </c>
      <c r="I15208" s="16" t="s">
        <v>87</v>
      </c>
      <c r="J15208" s="19"/>
      <c r="L15208" s="16" t="str">
        <f>IFERROR(__xludf.DUMMYFUNCTION("""COMPUTED_VALUE"""),"")</f>
        <v/>
      </c>
      <c r="M15208" s="16" t="str">
        <f>IFERROR(__xludf.DUMMYFUNCTION("""COMPUTED_VALUE"""),"")</f>
        <v/>
      </c>
      <c r="U15208" s="16" t="s">
        <v>87</v>
      </c>
      <c r="V15208" s="16" t="str">
        <f>IFERROR(__xludf.DUMMYFUNCTION("""COMPUTED_VALUE"""),"")</f>
        <v/>
      </c>
      <c r="W15208" s="16" t="str">
        <f>IFERROR(__xludf.DUMMYFUNCTION("""COMPUTED_VALUE"""),"")</f>
        <v/>
      </c>
      <c r="X15208" s="16" t="str">
        <f>IFERROR(__xludf.DUMMYFUNCTION("""COMPUTED_VALUE"""),"")</f>
        <v/>
      </c>
      <c r="AC15208" s="16" t="str">
        <f>IFERROR(__xludf.DUMMYFUNCTION("""COMPUTED_VALUE"""),"")</f>
        <v/>
      </c>
    </row>
    <row r="15209">
      <c r="A15209" s="16" t="s">
        <v>87</v>
      </c>
      <c r="E15209" s="16" t="str">
        <f>IFERROR(__xludf.DUMMYFUNCTION("""COMPUTED_VALUE"""),"")</f>
        <v/>
      </c>
      <c r="G15209" s="18"/>
      <c r="H15209" s="16" t="s">
        <v>87</v>
      </c>
      <c r="I15209" s="16" t="s">
        <v>87</v>
      </c>
      <c r="J15209" s="19"/>
      <c r="L15209" s="16" t="str">
        <f>IFERROR(__xludf.DUMMYFUNCTION("""COMPUTED_VALUE"""),"")</f>
        <v/>
      </c>
      <c r="M15209" s="16" t="str">
        <f>IFERROR(__xludf.DUMMYFUNCTION("""COMPUTED_VALUE"""),"")</f>
        <v/>
      </c>
      <c r="U15209" s="16" t="s">
        <v>87</v>
      </c>
      <c r="V15209" s="16" t="str">
        <f>IFERROR(__xludf.DUMMYFUNCTION("""COMPUTED_VALUE"""),"")</f>
        <v/>
      </c>
      <c r="W15209" s="16" t="str">
        <f>IFERROR(__xludf.DUMMYFUNCTION("""COMPUTED_VALUE"""),"")</f>
        <v/>
      </c>
      <c r="X15209" s="16" t="str">
        <f>IFERROR(__xludf.DUMMYFUNCTION("""COMPUTED_VALUE"""),"")</f>
        <v/>
      </c>
      <c r="AC15209" s="16" t="str">
        <f>IFERROR(__xludf.DUMMYFUNCTION("""COMPUTED_VALUE"""),"")</f>
        <v/>
      </c>
    </row>
    <row r="15210">
      <c r="A15210" s="16" t="s">
        <v>87</v>
      </c>
      <c r="E15210" s="16" t="str">
        <f>IFERROR(__xludf.DUMMYFUNCTION("""COMPUTED_VALUE"""),"")</f>
        <v/>
      </c>
      <c r="G15210" s="18"/>
      <c r="H15210" s="16" t="s">
        <v>87</v>
      </c>
      <c r="I15210" s="16" t="s">
        <v>87</v>
      </c>
      <c r="J15210" s="19"/>
      <c r="L15210" s="16" t="str">
        <f>IFERROR(__xludf.DUMMYFUNCTION("""COMPUTED_VALUE"""),"")</f>
        <v/>
      </c>
      <c r="M15210" s="16" t="str">
        <f>IFERROR(__xludf.DUMMYFUNCTION("""COMPUTED_VALUE"""),"")</f>
        <v/>
      </c>
      <c r="U15210" s="16" t="s">
        <v>87</v>
      </c>
      <c r="V15210" s="16" t="str">
        <f>IFERROR(__xludf.DUMMYFUNCTION("""COMPUTED_VALUE"""),"")</f>
        <v/>
      </c>
      <c r="W15210" s="16" t="str">
        <f>IFERROR(__xludf.DUMMYFUNCTION("""COMPUTED_VALUE"""),"")</f>
        <v/>
      </c>
      <c r="X15210" s="16" t="str">
        <f>IFERROR(__xludf.DUMMYFUNCTION("""COMPUTED_VALUE"""),"")</f>
        <v/>
      </c>
      <c r="AC15210" s="16" t="str">
        <f>IFERROR(__xludf.DUMMYFUNCTION("""COMPUTED_VALUE"""),"")</f>
        <v/>
      </c>
    </row>
    <row r="15211">
      <c r="A15211" s="16" t="s">
        <v>87</v>
      </c>
      <c r="E15211" s="16" t="str">
        <f>IFERROR(__xludf.DUMMYFUNCTION("""COMPUTED_VALUE"""),"")</f>
        <v/>
      </c>
      <c r="G15211" s="18"/>
      <c r="H15211" s="16" t="s">
        <v>87</v>
      </c>
      <c r="I15211" s="16" t="s">
        <v>87</v>
      </c>
      <c r="J15211" s="19"/>
      <c r="L15211" s="16" t="str">
        <f>IFERROR(__xludf.DUMMYFUNCTION("""COMPUTED_VALUE"""),"")</f>
        <v/>
      </c>
      <c r="M15211" s="16" t="str">
        <f>IFERROR(__xludf.DUMMYFUNCTION("""COMPUTED_VALUE"""),"")</f>
        <v/>
      </c>
      <c r="U15211" s="16" t="s">
        <v>87</v>
      </c>
      <c r="V15211" s="16" t="str">
        <f>IFERROR(__xludf.DUMMYFUNCTION("""COMPUTED_VALUE"""),"")</f>
        <v/>
      </c>
      <c r="W15211" s="16" t="str">
        <f>IFERROR(__xludf.DUMMYFUNCTION("""COMPUTED_VALUE"""),"")</f>
        <v/>
      </c>
      <c r="X15211" s="16" t="str">
        <f>IFERROR(__xludf.DUMMYFUNCTION("""COMPUTED_VALUE"""),"")</f>
        <v/>
      </c>
      <c r="AC15211" s="16" t="str">
        <f>IFERROR(__xludf.DUMMYFUNCTION("""COMPUTED_VALUE"""),"")</f>
        <v/>
      </c>
    </row>
    <row r="15212">
      <c r="A15212" s="16" t="s">
        <v>87</v>
      </c>
      <c r="E15212" s="16" t="str">
        <f>IFERROR(__xludf.DUMMYFUNCTION("""COMPUTED_VALUE"""),"")</f>
        <v/>
      </c>
      <c r="G15212" s="18"/>
      <c r="H15212" s="16" t="s">
        <v>87</v>
      </c>
      <c r="I15212" s="16" t="s">
        <v>87</v>
      </c>
      <c r="J15212" s="19"/>
      <c r="L15212" s="16" t="str">
        <f>IFERROR(__xludf.DUMMYFUNCTION("""COMPUTED_VALUE"""),"")</f>
        <v/>
      </c>
      <c r="M15212" s="16" t="str">
        <f>IFERROR(__xludf.DUMMYFUNCTION("""COMPUTED_VALUE"""),"")</f>
        <v/>
      </c>
      <c r="U15212" s="16" t="s">
        <v>87</v>
      </c>
      <c r="V15212" s="16" t="str">
        <f>IFERROR(__xludf.DUMMYFUNCTION("""COMPUTED_VALUE"""),"")</f>
        <v/>
      </c>
      <c r="W15212" s="16" t="str">
        <f>IFERROR(__xludf.DUMMYFUNCTION("""COMPUTED_VALUE"""),"")</f>
        <v/>
      </c>
      <c r="X15212" s="16" t="str">
        <f>IFERROR(__xludf.DUMMYFUNCTION("""COMPUTED_VALUE"""),"")</f>
        <v/>
      </c>
      <c r="AC15212" s="16" t="str">
        <f>IFERROR(__xludf.DUMMYFUNCTION("""COMPUTED_VALUE"""),"")</f>
        <v/>
      </c>
    </row>
    <row r="15213">
      <c r="A15213" s="16" t="s">
        <v>87</v>
      </c>
      <c r="E15213" s="16" t="str">
        <f>IFERROR(__xludf.DUMMYFUNCTION("""COMPUTED_VALUE"""),"")</f>
        <v/>
      </c>
      <c r="G15213" s="18"/>
      <c r="H15213" s="16" t="s">
        <v>87</v>
      </c>
      <c r="I15213" s="16" t="s">
        <v>87</v>
      </c>
      <c r="J15213" s="19"/>
      <c r="L15213" s="16" t="str">
        <f>IFERROR(__xludf.DUMMYFUNCTION("""COMPUTED_VALUE"""),"")</f>
        <v/>
      </c>
      <c r="M15213" s="16" t="str">
        <f>IFERROR(__xludf.DUMMYFUNCTION("""COMPUTED_VALUE"""),"")</f>
        <v/>
      </c>
      <c r="U15213" s="16" t="s">
        <v>87</v>
      </c>
      <c r="V15213" s="16" t="str">
        <f>IFERROR(__xludf.DUMMYFUNCTION("""COMPUTED_VALUE"""),"")</f>
        <v/>
      </c>
      <c r="W15213" s="16" t="str">
        <f>IFERROR(__xludf.DUMMYFUNCTION("""COMPUTED_VALUE"""),"")</f>
        <v/>
      </c>
      <c r="X15213" s="16" t="str">
        <f>IFERROR(__xludf.DUMMYFUNCTION("""COMPUTED_VALUE"""),"")</f>
        <v/>
      </c>
      <c r="AC15213" s="16" t="str">
        <f>IFERROR(__xludf.DUMMYFUNCTION("""COMPUTED_VALUE"""),"")</f>
        <v/>
      </c>
    </row>
    <row r="15214">
      <c r="A15214" s="16" t="s">
        <v>87</v>
      </c>
      <c r="E15214" s="16" t="str">
        <f>IFERROR(__xludf.DUMMYFUNCTION("""COMPUTED_VALUE"""),"")</f>
        <v/>
      </c>
      <c r="G15214" s="18"/>
      <c r="H15214" s="16" t="s">
        <v>87</v>
      </c>
      <c r="I15214" s="16" t="s">
        <v>87</v>
      </c>
      <c r="J15214" s="19"/>
      <c r="L15214" s="16" t="str">
        <f>IFERROR(__xludf.DUMMYFUNCTION("""COMPUTED_VALUE"""),"")</f>
        <v/>
      </c>
      <c r="M15214" s="16" t="str">
        <f>IFERROR(__xludf.DUMMYFUNCTION("""COMPUTED_VALUE"""),"")</f>
        <v/>
      </c>
      <c r="U15214" s="16" t="s">
        <v>87</v>
      </c>
      <c r="V15214" s="16" t="str">
        <f>IFERROR(__xludf.DUMMYFUNCTION("""COMPUTED_VALUE"""),"")</f>
        <v/>
      </c>
      <c r="W15214" s="16" t="str">
        <f>IFERROR(__xludf.DUMMYFUNCTION("""COMPUTED_VALUE"""),"")</f>
        <v/>
      </c>
      <c r="X15214" s="16" t="str">
        <f>IFERROR(__xludf.DUMMYFUNCTION("""COMPUTED_VALUE"""),"")</f>
        <v/>
      </c>
      <c r="AC15214" s="16" t="str">
        <f>IFERROR(__xludf.DUMMYFUNCTION("""COMPUTED_VALUE"""),"")</f>
        <v/>
      </c>
    </row>
    <row r="15215">
      <c r="A15215" s="16" t="s">
        <v>87</v>
      </c>
      <c r="E15215" s="16" t="str">
        <f>IFERROR(__xludf.DUMMYFUNCTION("""COMPUTED_VALUE"""),"")</f>
        <v/>
      </c>
      <c r="G15215" s="18"/>
      <c r="H15215" s="16" t="s">
        <v>87</v>
      </c>
      <c r="I15215" s="16" t="s">
        <v>87</v>
      </c>
      <c r="J15215" s="19"/>
      <c r="L15215" s="16" t="str">
        <f>IFERROR(__xludf.DUMMYFUNCTION("""COMPUTED_VALUE"""),"")</f>
        <v/>
      </c>
      <c r="M15215" s="16" t="str">
        <f>IFERROR(__xludf.DUMMYFUNCTION("""COMPUTED_VALUE"""),"")</f>
        <v/>
      </c>
      <c r="U15215" s="16" t="s">
        <v>87</v>
      </c>
      <c r="V15215" s="16" t="str">
        <f>IFERROR(__xludf.DUMMYFUNCTION("""COMPUTED_VALUE"""),"")</f>
        <v/>
      </c>
      <c r="W15215" s="16" t="str">
        <f>IFERROR(__xludf.DUMMYFUNCTION("""COMPUTED_VALUE"""),"")</f>
        <v/>
      </c>
      <c r="X15215" s="16" t="str">
        <f>IFERROR(__xludf.DUMMYFUNCTION("""COMPUTED_VALUE"""),"")</f>
        <v/>
      </c>
      <c r="AC15215" s="16" t="str">
        <f>IFERROR(__xludf.DUMMYFUNCTION("""COMPUTED_VALUE"""),"")</f>
        <v/>
      </c>
    </row>
    <row r="15216">
      <c r="A15216" s="16" t="s">
        <v>87</v>
      </c>
      <c r="E15216" s="16" t="str">
        <f>IFERROR(__xludf.DUMMYFUNCTION("""COMPUTED_VALUE"""),"")</f>
        <v/>
      </c>
      <c r="G15216" s="18"/>
      <c r="H15216" s="16" t="s">
        <v>87</v>
      </c>
      <c r="I15216" s="16" t="s">
        <v>87</v>
      </c>
      <c r="J15216" s="19"/>
      <c r="L15216" s="16" t="str">
        <f>IFERROR(__xludf.DUMMYFUNCTION("""COMPUTED_VALUE"""),"")</f>
        <v/>
      </c>
      <c r="M15216" s="16" t="str">
        <f>IFERROR(__xludf.DUMMYFUNCTION("""COMPUTED_VALUE"""),"")</f>
        <v/>
      </c>
      <c r="U15216" s="16" t="s">
        <v>87</v>
      </c>
      <c r="V15216" s="16" t="str">
        <f>IFERROR(__xludf.DUMMYFUNCTION("""COMPUTED_VALUE"""),"")</f>
        <v/>
      </c>
      <c r="W15216" s="16" t="str">
        <f>IFERROR(__xludf.DUMMYFUNCTION("""COMPUTED_VALUE"""),"")</f>
        <v/>
      </c>
      <c r="X15216" s="16" t="str">
        <f>IFERROR(__xludf.DUMMYFUNCTION("""COMPUTED_VALUE"""),"")</f>
        <v/>
      </c>
      <c r="AC15216" s="16" t="str">
        <f>IFERROR(__xludf.DUMMYFUNCTION("""COMPUTED_VALUE"""),"")</f>
        <v/>
      </c>
    </row>
    <row r="15217">
      <c r="A15217" s="16" t="s">
        <v>87</v>
      </c>
      <c r="E15217" s="16" t="str">
        <f>IFERROR(__xludf.DUMMYFUNCTION("""COMPUTED_VALUE"""),"")</f>
        <v/>
      </c>
      <c r="G15217" s="18"/>
      <c r="H15217" s="16" t="s">
        <v>87</v>
      </c>
      <c r="I15217" s="16" t="s">
        <v>87</v>
      </c>
      <c r="J15217" s="19"/>
      <c r="L15217" s="16" t="str">
        <f>IFERROR(__xludf.DUMMYFUNCTION("""COMPUTED_VALUE"""),"")</f>
        <v/>
      </c>
      <c r="M15217" s="16" t="str">
        <f>IFERROR(__xludf.DUMMYFUNCTION("""COMPUTED_VALUE"""),"")</f>
        <v/>
      </c>
      <c r="U15217" s="16" t="s">
        <v>87</v>
      </c>
      <c r="V15217" s="16" t="str">
        <f>IFERROR(__xludf.DUMMYFUNCTION("""COMPUTED_VALUE"""),"")</f>
        <v/>
      </c>
      <c r="W15217" s="16" t="str">
        <f>IFERROR(__xludf.DUMMYFUNCTION("""COMPUTED_VALUE"""),"")</f>
        <v/>
      </c>
      <c r="X15217" s="16" t="str">
        <f>IFERROR(__xludf.DUMMYFUNCTION("""COMPUTED_VALUE"""),"")</f>
        <v/>
      </c>
      <c r="AC15217" s="16" t="str">
        <f>IFERROR(__xludf.DUMMYFUNCTION("""COMPUTED_VALUE"""),"")</f>
        <v/>
      </c>
    </row>
    <row r="15218">
      <c r="A15218" s="16" t="s">
        <v>87</v>
      </c>
      <c r="E15218" s="16" t="str">
        <f>IFERROR(__xludf.DUMMYFUNCTION("""COMPUTED_VALUE"""),"")</f>
        <v/>
      </c>
      <c r="G15218" s="18"/>
      <c r="H15218" s="16" t="s">
        <v>87</v>
      </c>
      <c r="I15218" s="16" t="s">
        <v>87</v>
      </c>
      <c r="J15218" s="19"/>
      <c r="L15218" s="16" t="str">
        <f>IFERROR(__xludf.DUMMYFUNCTION("""COMPUTED_VALUE"""),"")</f>
        <v/>
      </c>
      <c r="M15218" s="16" t="str">
        <f>IFERROR(__xludf.DUMMYFUNCTION("""COMPUTED_VALUE"""),"")</f>
        <v/>
      </c>
      <c r="U15218" s="16" t="s">
        <v>87</v>
      </c>
      <c r="V15218" s="16" t="str">
        <f>IFERROR(__xludf.DUMMYFUNCTION("""COMPUTED_VALUE"""),"")</f>
        <v/>
      </c>
      <c r="W15218" s="16" t="str">
        <f>IFERROR(__xludf.DUMMYFUNCTION("""COMPUTED_VALUE"""),"")</f>
        <v/>
      </c>
      <c r="X15218" s="16" t="str">
        <f>IFERROR(__xludf.DUMMYFUNCTION("""COMPUTED_VALUE"""),"")</f>
        <v/>
      </c>
      <c r="AC15218" s="16" t="str">
        <f>IFERROR(__xludf.DUMMYFUNCTION("""COMPUTED_VALUE"""),"")</f>
        <v/>
      </c>
    </row>
    <row r="15219">
      <c r="A15219" s="16" t="s">
        <v>87</v>
      </c>
      <c r="E15219" s="16" t="str">
        <f>IFERROR(__xludf.DUMMYFUNCTION("""COMPUTED_VALUE"""),"")</f>
        <v/>
      </c>
      <c r="G15219" s="18"/>
      <c r="H15219" s="16" t="s">
        <v>87</v>
      </c>
      <c r="I15219" s="16" t="s">
        <v>87</v>
      </c>
      <c r="J15219" s="19"/>
      <c r="L15219" s="16" t="str">
        <f>IFERROR(__xludf.DUMMYFUNCTION("""COMPUTED_VALUE"""),"")</f>
        <v/>
      </c>
      <c r="M15219" s="16" t="str">
        <f>IFERROR(__xludf.DUMMYFUNCTION("""COMPUTED_VALUE"""),"")</f>
        <v/>
      </c>
      <c r="U15219" s="16" t="s">
        <v>87</v>
      </c>
      <c r="V15219" s="16" t="str">
        <f>IFERROR(__xludf.DUMMYFUNCTION("""COMPUTED_VALUE"""),"")</f>
        <v/>
      </c>
      <c r="W15219" s="16" t="str">
        <f>IFERROR(__xludf.DUMMYFUNCTION("""COMPUTED_VALUE"""),"")</f>
        <v/>
      </c>
      <c r="X15219" s="16" t="str">
        <f>IFERROR(__xludf.DUMMYFUNCTION("""COMPUTED_VALUE"""),"")</f>
        <v/>
      </c>
      <c r="AC15219" s="16" t="str">
        <f>IFERROR(__xludf.DUMMYFUNCTION("""COMPUTED_VALUE"""),"")</f>
        <v/>
      </c>
    </row>
    <row r="15220">
      <c r="A15220" s="16" t="s">
        <v>87</v>
      </c>
      <c r="E15220" s="16" t="str">
        <f>IFERROR(__xludf.DUMMYFUNCTION("""COMPUTED_VALUE"""),"")</f>
        <v/>
      </c>
      <c r="G15220" s="18"/>
      <c r="H15220" s="16" t="s">
        <v>87</v>
      </c>
      <c r="I15220" s="16" t="s">
        <v>87</v>
      </c>
      <c r="J15220" s="19"/>
      <c r="L15220" s="16" t="str">
        <f>IFERROR(__xludf.DUMMYFUNCTION("""COMPUTED_VALUE"""),"")</f>
        <v/>
      </c>
      <c r="M15220" s="16" t="str">
        <f>IFERROR(__xludf.DUMMYFUNCTION("""COMPUTED_VALUE"""),"")</f>
        <v/>
      </c>
      <c r="U15220" s="16" t="s">
        <v>87</v>
      </c>
      <c r="V15220" s="16" t="str">
        <f>IFERROR(__xludf.DUMMYFUNCTION("""COMPUTED_VALUE"""),"")</f>
        <v/>
      </c>
      <c r="W15220" s="16" t="str">
        <f>IFERROR(__xludf.DUMMYFUNCTION("""COMPUTED_VALUE"""),"")</f>
        <v/>
      </c>
      <c r="X15220" s="16" t="str">
        <f>IFERROR(__xludf.DUMMYFUNCTION("""COMPUTED_VALUE"""),"")</f>
        <v/>
      </c>
      <c r="AC15220" s="16" t="str">
        <f>IFERROR(__xludf.DUMMYFUNCTION("""COMPUTED_VALUE"""),"")</f>
        <v/>
      </c>
    </row>
    <row r="15221">
      <c r="A15221" s="16" t="s">
        <v>87</v>
      </c>
      <c r="E15221" s="16" t="str">
        <f>IFERROR(__xludf.DUMMYFUNCTION("""COMPUTED_VALUE"""),"")</f>
        <v/>
      </c>
      <c r="G15221" s="18"/>
      <c r="H15221" s="16" t="s">
        <v>87</v>
      </c>
      <c r="I15221" s="16" t="s">
        <v>87</v>
      </c>
      <c r="J15221" s="19"/>
      <c r="L15221" s="16" t="str">
        <f>IFERROR(__xludf.DUMMYFUNCTION("""COMPUTED_VALUE"""),"")</f>
        <v/>
      </c>
      <c r="M15221" s="16" t="str">
        <f>IFERROR(__xludf.DUMMYFUNCTION("""COMPUTED_VALUE"""),"")</f>
        <v/>
      </c>
      <c r="U15221" s="16" t="s">
        <v>87</v>
      </c>
      <c r="V15221" s="16" t="str">
        <f>IFERROR(__xludf.DUMMYFUNCTION("""COMPUTED_VALUE"""),"")</f>
        <v/>
      </c>
      <c r="W15221" s="16" t="str">
        <f>IFERROR(__xludf.DUMMYFUNCTION("""COMPUTED_VALUE"""),"")</f>
        <v/>
      </c>
      <c r="X15221" s="16" t="str">
        <f>IFERROR(__xludf.DUMMYFUNCTION("""COMPUTED_VALUE"""),"")</f>
        <v/>
      </c>
      <c r="AC15221" s="16" t="str">
        <f>IFERROR(__xludf.DUMMYFUNCTION("""COMPUTED_VALUE"""),"")</f>
        <v/>
      </c>
    </row>
    <row r="15222">
      <c r="A15222" s="16" t="s">
        <v>87</v>
      </c>
      <c r="E15222" s="16" t="str">
        <f>IFERROR(__xludf.DUMMYFUNCTION("""COMPUTED_VALUE"""),"")</f>
        <v/>
      </c>
      <c r="G15222" s="18"/>
      <c r="H15222" s="16" t="s">
        <v>87</v>
      </c>
      <c r="I15222" s="16" t="s">
        <v>87</v>
      </c>
      <c r="J15222" s="19"/>
      <c r="L15222" s="16" t="str">
        <f>IFERROR(__xludf.DUMMYFUNCTION("""COMPUTED_VALUE"""),"")</f>
        <v/>
      </c>
      <c r="M15222" s="16" t="str">
        <f>IFERROR(__xludf.DUMMYFUNCTION("""COMPUTED_VALUE"""),"")</f>
        <v/>
      </c>
      <c r="U15222" s="16" t="s">
        <v>87</v>
      </c>
      <c r="V15222" s="16" t="str">
        <f>IFERROR(__xludf.DUMMYFUNCTION("""COMPUTED_VALUE"""),"")</f>
        <v/>
      </c>
      <c r="W15222" s="16" t="str">
        <f>IFERROR(__xludf.DUMMYFUNCTION("""COMPUTED_VALUE"""),"")</f>
        <v/>
      </c>
      <c r="X15222" s="16" t="str">
        <f>IFERROR(__xludf.DUMMYFUNCTION("""COMPUTED_VALUE"""),"")</f>
        <v/>
      </c>
      <c r="AC15222" s="16" t="str">
        <f>IFERROR(__xludf.DUMMYFUNCTION("""COMPUTED_VALUE"""),"")</f>
        <v/>
      </c>
    </row>
    <row r="15223">
      <c r="A15223" s="16" t="s">
        <v>87</v>
      </c>
      <c r="E15223" s="16" t="str">
        <f>IFERROR(__xludf.DUMMYFUNCTION("""COMPUTED_VALUE"""),"")</f>
        <v/>
      </c>
      <c r="G15223" s="18"/>
      <c r="H15223" s="16" t="s">
        <v>87</v>
      </c>
      <c r="I15223" s="16" t="s">
        <v>87</v>
      </c>
      <c r="J15223" s="19"/>
      <c r="L15223" s="16" t="str">
        <f>IFERROR(__xludf.DUMMYFUNCTION("""COMPUTED_VALUE"""),"")</f>
        <v/>
      </c>
      <c r="M15223" s="16" t="str">
        <f>IFERROR(__xludf.DUMMYFUNCTION("""COMPUTED_VALUE"""),"")</f>
        <v/>
      </c>
      <c r="U15223" s="16" t="s">
        <v>87</v>
      </c>
      <c r="V15223" s="16" t="str">
        <f>IFERROR(__xludf.DUMMYFUNCTION("""COMPUTED_VALUE"""),"")</f>
        <v/>
      </c>
      <c r="W15223" s="16" t="str">
        <f>IFERROR(__xludf.DUMMYFUNCTION("""COMPUTED_VALUE"""),"")</f>
        <v/>
      </c>
      <c r="X15223" s="16" t="str">
        <f>IFERROR(__xludf.DUMMYFUNCTION("""COMPUTED_VALUE"""),"")</f>
        <v/>
      </c>
      <c r="AC15223" s="16" t="str">
        <f>IFERROR(__xludf.DUMMYFUNCTION("""COMPUTED_VALUE"""),"")</f>
        <v/>
      </c>
    </row>
    <row r="15224">
      <c r="A15224" s="16" t="s">
        <v>87</v>
      </c>
      <c r="E15224" s="16" t="str">
        <f>IFERROR(__xludf.DUMMYFUNCTION("""COMPUTED_VALUE"""),"")</f>
        <v/>
      </c>
      <c r="G15224" s="18"/>
      <c r="H15224" s="16" t="s">
        <v>87</v>
      </c>
      <c r="I15224" s="16" t="s">
        <v>87</v>
      </c>
      <c r="J15224" s="19"/>
      <c r="L15224" s="16" t="str">
        <f>IFERROR(__xludf.DUMMYFUNCTION("""COMPUTED_VALUE"""),"")</f>
        <v/>
      </c>
      <c r="M15224" s="16" t="str">
        <f>IFERROR(__xludf.DUMMYFUNCTION("""COMPUTED_VALUE"""),"")</f>
        <v/>
      </c>
      <c r="U15224" s="16" t="s">
        <v>87</v>
      </c>
      <c r="V15224" s="16" t="str">
        <f>IFERROR(__xludf.DUMMYFUNCTION("""COMPUTED_VALUE"""),"")</f>
        <v/>
      </c>
      <c r="W15224" s="16" t="str">
        <f>IFERROR(__xludf.DUMMYFUNCTION("""COMPUTED_VALUE"""),"")</f>
        <v/>
      </c>
      <c r="X15224" s="16" t="str">
        <f>IFERROR(__xludf.DUMMYFUNCTION("""COMPUTED_VALUE"""),"")</f>
        <v/>
      </c>
      <c r="AC15224" s="16" t="str">
        <f>IFERROR(__xludf.DUMMYFUNCTION("""COMPUTED_VALUE"""),"")</f>
        <v/>
      </c>
    </row>
    <row r="15225">
      <c r="A15225" s="16" t="s">
        <v>87</v>
      </c>
      <c r="E15225" s="16" t="str">
        <f>IFERROR(__xludf.DUMMYFUNCTION("""COMPUTED_VALUE"""),"")</f>
        <v/>
      </c>
      <c r="G15225" s="18"/>
      <c r="H15225" s="16" t="s">
        <v>87</v>
      </c>
      <c r="I15225" s="16" t="s">
        <v>87</v>
      </c>
      <c r="J15225" s="19"/>
      <c r="L15225" s="16" t="str">
        <f>IFERROR(__xludf.DUMMYFUNCTION("""COMPUTED_VALUE"""),"")</f>
        <v/>
      </c>
      <c r="M15225" s="16" t="str">
        <f>IFERROR(__xludf.DUMMYFUNCTION("""COMPUTED_VALUE"""),"")</f>
        <v/>
      </c>
      <c r="U15225" s="16" t="s">
        <v>87</v>
      </c>
      <c r="V15225" s="16" t="str">
        <f>IFERROR(__xludf.DUMMYFUNCTION("""COMPUTED_VALUE"""),"")</f>
        <v/>
      </c>
      <c r="W15225" s="16" t="str">
        <f>IFERROR(__xludf.DUMMYFUNCTION("""COMPUTED_VALUE"""),"")</f>
        <v/>
      </c>
      <c r="X15225" s="16" t="str">
        <f>IFERROR(__xludf.DUMMYFUNCTION("""COMPUTED_VALUE"""),"")</f>
        <v/>
      </c>
      <c r="AC15225" s="16" t="str">
        <f>IFERROR(__xludf.DUMMYFUNCTION("""COMPUTED_VALUE"""),"")</f>
        <v/>
      </c>
    </row>
    <row r="15226">
      <c r="A15226" s="16" t="s">
        <v>87</v>
      </c>
      <c r="E15226" s="16" t="str">
        <f>IFERROR(__xludf.DUMMYFUNCTION("""COMPUTED_VALUE"""),"")</f>
        <v/>
      </c>
      <c r="G15226" s="18"/>
      <c r="H15226" s="16" t="s">
        <v>87</v>
      </c>
      <c r="I15226" s="16" t="s">
        <v>87</v>
      </c>
      <c r="J15226" s="19"/>
      <c r="L15226" s="16" t="str">
        <f>IFERROR(__xludf.DUMMYFUNCTION("""COMPUTED_VALUE"""),"")</f>
        <v/>
      </c>
      <c r="M15226" s="16" t="str">
        <f>IFERROR(__xludf.DUMMYFUNCTION("""COMPUTED_VALUE"""),"")</f>
        <v/>
      </c>
      <c r="U15226" s="16" t="s">
        <v>87</v>
      </c>
      <c r="V15226" s="16" t="str">
        <f>IFERROR(__xludf.DUMMYFUNCTION("""COMPUTED_VALUE"""),"")</f>
        <v/>
      </c>
      <c r="W15226" s="16" t="str">
        <f>IFERROR(__xludf.DUMMYFUNCTION("""COMPUTED_VALUE"""),"")</f>
        <v/>
      </c>
      <c r="X15226" s="16" t="str">
        <f>IFERROR(__xludf.DUMMYFUNCTION("""COMPUTED_VALUE"""),"")</f>
        <v/>
      </c>
      <c r="AC15226" s="16" t="str">
        <f>IFERROR(__xludf.DUMMYFUNCTION("""COMPUTED_VALUE"""),"")</f>
        <v/>
      </c>
    </row>
    <row r="15227">
      <c r="A15227" s="16" t="s">
        <v>87</v>
      </c>
      <c r="E15227" s="16" t="str">
        <f>IFERROR(__xludf.DUMMYFUNCTION("""COMPUTED_VALUE"""),"")</f>
        <v/>
      </c>
      <c r="G15227" s="18"/>
      <c r="H15227" s="16" t="s">
        <v>87</v>
      </c>
      <c r="I15227" s="16" t="s">
        <v>87</v>
      </c>
      <c r="J15227" s="19"/>
      <c r="L15227" s="16" t="str">
        <f>IFERROR(__xludf.DUMMYFUNCTION("""COMPUTED_VALUE"""),"")</f>
        <v/>
      </c>
      <c r="M15227" s="16" t="str">
        <f>IFERROR(__xludf.DUMMYFUNCTION("""COMPUTED_VALUE"""),"")</f>
        <v/>
      </c>
      <c r="U15227" s="16" t="s">
        <v>87</v>
      </c>
      <c r="V15227" s="16" t="str">
        <f>IFERROR(__xludf.DUMMYFUNCTION("""COMPUTED_VALUE"""),"")</f>
        <v/>
      </c>
      <c r="W15227" s="16" t="str">
        <f>IFERROR(__xludf.DUMMYFUNCTION("""COMPUTED_VALUE"""),"")</f>
        <v/>
      </c>
      <c r="X15227" s="16" t="str">
        <f>IFERROR(__xludf.DUMMYFUNCTION("""COMPUTED_VALUE"""),"")</f>
        <v/>
      </c>
      <c r="AC15227" s="16" t="str">
        <f>IFERROR(__xludf.DUMMYFUNCTION("""COMPUTED_VALUE"""),"")</f>
        <v/>
      </c>
    </row>
    <row r="15228">
      <c r="A15228" s="16" t="s">
        <v>87</v>
      </c>
      <c r="E15228" s="16" t="str">
        <f>IFERROR(__xludf.DUMMYFUNCTION("""COMPUTED_VALUE"""),"")</f>
        <v/>
      </c>
      <c r="G15228" s="18"/>
      <c r="H15228" s="16" t="s">
        <v>87</v>
      </c>
      <c r="I15228" s="16" t="s">
        <v>87</v>
      </c>
      <c r="J15228" s="19"/>
      <c r="L15228" s="16" t="str">
        <f>IFERROR(__xludf.DUMMYFUNCTION("""COMPUTED_VALUE"""),"")</f>
        <v/>
      </c>
      <c r="M15228" s="16" t="str">
        <f>IFERROR(__xludf.DUMMYFUNCTION("""COMPUTED_VALUE"""),"")</f>
        <v/>
      </c>
      <c r="U15228" s="16" t="s">
        <v>87</v>
      </c>
      <c r="V15228" s="16" t="str">
        <f>IFERROR(__xludf.DUMMYFUNCTION("""COMPUTED_VALUE"""),"")</f>
        <v/>
      </c>
      <c r="W15228" s="16" t="str">
        <f>IFERROR(__xludf.DUMMYFUNCTION("""COMPUTED_VALUE"""),"")</f>
        <v/>
      </c>
      <c r="X15228" s="16" t="str">
        <f>IFERROR(__xludf.DUMMYFUNCTION("""COMPUTED_VALUE"""),"")</f>
        <v/>
      </c>
      <c r="AC15228" s="16" t="str">
        <f>IFERROR(__xludf.DUMMYFUNCTION("""COMPUTED_VALUE"""),"")</f>
        <v/>
      </c>
    </row>
    <row r="15229">
      <c r="A15229" s="16" t="s">
        <v>87</v>
      </c>
      <c r="E15229" s="16" t="str">
        <f>IFERROR(__xludf.DUMMYFUNCTION("""COMPUTED_VALUE"""),"")</f>
        <v/>
      </c>
      <c r="G15229" s="18"/>
      <c r="H15229" s="16" t="s">
        <v>87</v>
      </c>
      <c r="I15229" s="16" t="s">
        <v>87</v>
      </c>
      <c r="J15229" s="19"/>
      <c r="L15229" s="16" t="str">
        <f>IFERROR(__xludf.DUMMYFUNCTION("""COMPUTED_VALUE"""),"")</f>
        <v/>
      </c>
      <c r="M15229" s="16" t="str">
        <f>IFERROR(__xludf.DUMMYFUNCTION("""COMPUTED_VALUE"""),"")</f>
        <v/>
      </c>
      <c r="U15229" s="16" t="s">
        <v>87</v>
      </c>
      <c r="V15229" s="16" t="str">
        <f>IFERROR(__xludf.DUMMYFUNCTION("""COMPUTED_VALUE"""),"")</f>
        <v/>
      </c>
      <c r="W15229" s="16" t="str">
        <f>IFERROR(__xludf.DUMMYFUNCTION("""COMPUTED_VALUE"""),"")</f>
        <v/>
      </c>
      <c r="X15229" s="16" t="str">
        <f>IFERROR(__xludf.DUMMYFUNCTION("""COMPUTED_VALUE"""),"")</f>
        <v/>
      </c>
      <c r="AC15229" s="16" t="str">
        <f>IFERROR(__xludf.DUMMYFUNCTION("""COMPUTED_VALUE"""),"")</f>
        <v/>
      </c>
    </row>
    <row r="15230">
      <c r="A15230" s="16" t="s">
        <v>87</v>
      </c>
      <c r="E15230" s="16" t="str">
        <f>IFERROR(__xludf.DUMMYFUNCTION("""COMPUTED_VALUE"""),"")</f>
        <v/>
      </c>
      <c r="G15230" s="18"/>
      <c r="H15230" s="16" t="s">
        <v>87</v>
      </c>
      <c r="I15230" s="16" t="s">
        <v>87</v>
      </c>
      <c r="J15230" s="19"/>
      <c r="L15230" s="16" t="str">
        <f>IFERROR(__xludf.DUMMYFUNCTION("""COMPUTED_VALUE"""),"")</f>
        <v/>
      </c>
      <c r="M15230" s="16" t="str">
        <f>IFERROR(__xludf.DUMMYFUNCTION("""COMPUTED_VALUE"""),"")</f>
        <v/>
      </c>
      <c r="U15230" s="16" t="s">
        <v>87</v>
      </c>
      <c r="V15230" s="16" t="str">
        <f>IFERROR(__xludf.DUMMYFUNCTION("""COMPUTED_VALUE"""),"")</f>
        <v/>
      </c>
      <c r="W15230" s="16" t="str">
        <f>IFERROR(__xludf.DUMMYFUNCTION("""COMPUTED_VALUE"""),"")</f>
        <v/>
      </c>
      <c r="X15230" s="16" t="str">
        <f>IFERROR(__xludf.DUMMYFUNCTION("""COMPUTED_VALUE"""),"")</f>
        <v/>
      </c>
      <c r="AC15230" s="16" t="str">
        <f>IFERROR(__xludf.DUMMYFUNCTION("""COMPUTED_VALUE"""),"")</f>
        <v/>
      </c>
    </row>
    <row r="15231">
      <c r="A15231" s="16" t="s">
        <v>87</v>
      </c>
      <c r="E15231" s="16" t="str">
        <f>IFERROR(__xludf.DUMMYFUNCTION("""COMPUTED_VALUE"""),"")</f>
        <v/>
      </c>
      <c r="G15231" s="18"/>
      <c r="H15231" s="16" t="s">
        <v>87</v>
      </c>
      <c r="I15231" s="16" t="s">
        <v>87</v>
      </c>
      <c r="J15231" s="19"/>
      <c r="L15231" s="16" t="str">
        <f>IFERROR(__xludf.DUMMYFUNCTION("""COMPUTED_VALUE"""),"")</f>
        <v/>
      </c>
      <c r="M15231" s="16" t="str">
        <f>IFERROR(__xludf.DUMMYFUNCTION("""COMPUTED_VALUE"""),"")</f>
        <v/>
      </c>
      <c r="U15231" s="16" t="s">
        <v>87</v>
      </c>
      <c r="V15231" s="16" t="str">
        <f>IFERROR(__xludf.DUMMYFUNCTION("""COMPUTED_VALUE"""),"")</f>
        <v/>
      </c>
      <c r="W15231" s="16" t="str">
        <f>IFERROR(__xludf.DUMMYFUNCTION("""COMPUTED_VALUE"""),"")</f>
        <v/>
      </c>
      <c r="X15231" s="16" t="str">
        <f>IFERROR(__xludf.DUMMYFUNCTION("""COMPUTED_VALUE"""),"")</f>
        <v/>
      </c>
      <c r="AC15231" s="16" t="str">
        <f>IFERROR(__xludf.DUMMYFUNCTION("""COMPUTED_VALUE"""),"")</f>
        <v/>
      </c>
    </row>
    <row r="15232">
      <c r="A15232" s="16" t="s">
        <v>87</v>
      </c>
      <c r="E15232" s="16" t="str">
        <f>IFERROR(__xludf.DUMMYFUNCTION("""COMPUTED_VALUE"""),"")</f>
        <v/>
      </c>
      <c r="G15232" s="18"/>
      <c r="H15232" s="16" t="s">
        <v>87</v>
      </c>
      <c r="I15232" s="16" t="s">
        <v>87</v>
      </c>
      <c r="J15232" s="19"/>
      <c r="L15232" s="16" t="str">
        <f>IFERROR(__xludf.DUMMYFUNCTION("""COMPUTED_VALUE"""),"")</f>
        <v/>
      </c>
      <c r="M15232" s="16" t="str">
        <f>IFERROR(__xludf.DUMMYFUNCTION("""COMPUTED_VALUE"""),"")</f>
        <v/>
      </c>
      <c r="U15232" s="16" t="s">
        <v>87</v>
      </c>
      <c r="V15232" s="16" t="str">
        <f>IFERROR(__xludf.DUMMYFUNCTION("""COMPUTED_VALUE"""),"")</f>
        <v/>
      </c>
      <c r="W15232" s="16" t="str">
        <f>IFERROR(__xludf.DUMMYFUNCTION("""COMPUTED_VALUE"""),"")</f>
        <v/>
      </c>
      <c r="X15232" s="16" t="str">
        <f>IFERROR(__xludf.DUMMYFUNCTION("""COMPUTED_VALUE"""),"")</f>
        <v/>
      </c>
      <c r="AC15232" s="16" t="str">
        <f>IFERROR(__xludf.DUMMYFUNCTION("""COMPUTED_VALUE"""),"")</f>
        <v/>
      </c>
    </row>
    <row r="15233">
      <c r="A15233" s="16" t="s">
        <v>87</v>
      </c>
      <c r="E15233" s="16" t="str">
        <f>IFERROR(__xludf.DUMMYFUNCTION("""COMPUTED_VALUE"""),"")</f>
        <v/>
      </c>
      <c r="G15233" s="18"/>
      <c r="H15233" s="16" t="s">
        <v>87</v>
      </c>
      <c r="I15233" s="16" t="s">
        <v>87</v>
      </c>
      <c r="J15233" s="19"/>
      <c r="L15233" s="16" t="str">
        <f>IFERROR(__xludf.DUMMYFUNCTION("""COMPUTED_VALUE"""),"")</f>
        <v/>
      </c>
      <c r="M15233" s="16" t="str">
        <f>IFERROR(__xludf.DUMMYFUNCTION("""COMPUTED_VALUE"""),"")</f>
        <v/>
      </c>
      <c r="U15233" s="16" t="s">
        <v>87</v>
      </c>
      <c r="V15233" s="16" t="str">
        <f>IFERROR(__xludf.DUMMYFUNCTION("""COMPUTED_VALUE"""),"")</f>
        <v/>
      </c>
      <c r="W15233" s="16" t="str">
        <f>IFERROR(__xludf.DUMMYFUNCTION("""COMPUTED_VALUE"""),"")</f>
        <v/>
      </c>
      <c r="X15233" s="16" t="str">
        <f>IFERROR(__xludf.DUMMYFUNCTION("""COMPUTED_VALUE"""),"")</f>
        <v/>
      </c>
      <c r="AC15233" s="16" t="str">
        <f>IFERROR(__xludf.DUMMYFUNCTION("""COMPUTED_VALUE"""),"")</f>
        <v/>
      </c>
    </row>
    <row r="15234">
      <c r="A15234" s="16" t="s">
        <v>87</v>
      </c>
      <c r="E15234" s="16" t="str">
        <f>IFERROR(__xludf.DUMMYFUNCTION("""COMPUTED_VALUE"""),"")</f>
        <v/>
      </c>
      <c r="G15234" s="18"/>
      <c r="H15234" s="16" t="s">
        <v>87</v>
      </c>
      <c r="I15234" s="16" t="s">
        <v>87</v>
      </c>
      <c r="J15234" s="19"/>
      <c r="L15234" s="16" t="str">
        <f>IFERROR(__xludf.DUMMYFUNCTION("""COMPUTED_VALUE"""),"")</f>
        <v/>
      </c>
      <c r="M15234" s="16" t="str">
        <f>IFERROR(__xludf.DUMMYFUNCTION("""COMPUTED_VALUE"""),"")</f>
        <v/>
      </c>
      <c r="U15234" s="16" t="s">
        <v>87</v>
      </c>
      <c r="V15234" s="16" t="str">
        <f>IFERROR(__xludf.DUMMYFUNCTION("""COMPUTED_VALUE"""),"")</f>
        <v/>
      </c>
      <c r="W15234" s="16" t="str">
        <f>IFERROR(__xludf.DUMMYFUNCTION("""COMPUTED_VALUE"""),"")</f>
        <v/>
      </c>
      <c r="X15234" s="16" t="str">
        <f>IFERROR(__xludf.DUMMYFUNCTION("""COMPUTED_VALUE"""),"")</f>
        <v/>
      </c>
      <c r="AC15234" s="16" t="str">
        <f>IFERROR(__xludf.DUMMYFUNCTION("""COMPUTED_VALUE"""),"")</f>
        <v/>
      </c>
    </row>
    <row r="15235">
      <c r="A15235" s="16" t="s">
        <v>87</v>
      </c>
      <c r="E15235" s="16" t="str">
        <f>IFERROR(__xludf.DUMMYFUNCTION("""COMPUTED_VALUE"""),"")</f>
        <v/>
      </c>
      <c r="G15235" s="18"/>
      <c r="H15235" s="16" t="s">
        <v>87</v>
      </c>
      <c r="I15235" s="16" t="s">
        <v>87</v>
      </c>
      <c r="J15235" s="19"/>
      <c r="L15235" s="16" t="str">
        <f>IFERROR(__xludf.DUMMYFUNCTION("""COMPUTED_VALUE"""),"")</f>
        <v/>
      </c>
      <c r="M15235" s="16" t="str">
        <f>IFERROR(__xludf.DUMMYFUNCTION("""COMPUTED_VALUE"""),"")</f>
        <v/>
      </c>
      <c r="U15235" s="16" t="s">
        <v>87</v>
      </c>
      <c r="V15235" s="16" t="str">
        <f>IFERROR(__xludf.DUMMYFUNCTION("""COMPUTED_VALUE"""),"")</f>
        <v/>
      </c>
      <c r="W15235" s="16" t="str">
        <f>IFERROR(__xludf.DUMMYFUNCTION("""COMPUTED_VALUE"""),"")</f>
        <v/>
      </c>
      <c r="X15235" s="16" t="str">
        <f>IFERROR(__xludf.DUMMYFUNCTION("""COMPUTED_VALUE"""),"")</f>
        <v/>
      </c>
      <c r="AC15235" s="16" t="str">
        <f>IFERROR(__xludf.DUMMYFUNCTION("""COMPUTED_VALUE"""),"")</f>
        <v/>
      </c>
    </row>
    <row r="15236">
      <c r="A15236" s="16" t="s">
        <v>87</v>
      </c>
      <c r="E15236" s="16" t="str">
        <f>IFERROR(__xludf.DUMMYFUNCTION("""COMPUTED_VALUE"""),"")</f>
        <v/>
      </c>
      <c r="G15236" s="18"/>
      <c r="H15236" s="16" t="s">
        <v>87</v>
      </c>
      <c r="I15236" s="16" t="s">
        <v>87</v>
      </c>
      <c r="J15236" s="19"/>
      <c r="L15236" s="16" t="str">
        <f>IFERROR(__xludf.DUMMYFUNCTION("""COMPUTED_VALUE"""),"")</f>
        <v/>
      </c>
      <c r="M15236" s="16" t="str">
        <f>IFERROR(__xludf.DUMMYFUNCTION("""COMPUTED_VALUE"""),"")</f>
        <v/>
      </c>
      <c r="U15236" s="16" t="s">
        <v>87</v>
      </c>
      <c r="V15236" s="16" t="str">
        <f>IFERROR(__xludf.DUMMYFUNCTION("""COMPUTED_VALUE"""),"")</f>
        <v/>
      </c>
      <c r="W15236" s="16" t="str">
        <f>IFERROR(__xludf.DUMMYFUNCTION("""COMPUTED_VALUE"""),"")</f>
        <v/>
      </c>
      <c r="X15236" s="16" t="str">
        <f>IFERROR(__xludf.DUMMYFUNCTION("""COMPUTED_VALUE"""),"")</f>
        <v/>
      </c>
      <c r="AC15236" s="16" t="str">
        <f>IFERROR(__xludf.DUMMYFUNCTION("""COMPUTED_VALUE"""),"")</f>
        <v/>
      </c>
    </row>
    <row r="15237">
      <c r="A15237" s="16" t="s">
        <v>87</v>
      </c>
      <c r="E15237" s="16" t="str">
        <f>IFERROR(__xludf.DUMMYFUNCTION("""COMPUTED_VALUE"""),"")</f>
        <v/>
      </c>
      <c r="G15237" s="18"/>
      <c r="H15237" s="16" t="s">
        <v>87</v>
      </c>
      <c r="I15237" s="16" t="s">
        <v>87</v>
      </c>
      <c r="J15237" s="19"/>
      <c r="L15237" s="16" t="str">
        <f>IFERROR(__xludf.DUMMYFUNCTION("""COMPUTED_VALUE"""),"")</f>
        <v/>
      </c>
      <c r="M15237" s="16" t="str">
        <f>IFERROR(__xludf.DUMMYFUNCTION("""COMPUTED_VALUE"""),"")</f>
        <v/>
      </c>
      <c r="U15237" s="16" t="s">
        <v>87</v>
      </c>
      <c r="V15237" s="16" t="str">
        <f>IFERROR(__xludf.DUMMYFUNCTION("""COMPUTED_VALUE"""),"")</f>
        <v/>
      </c>
      <c r="W15237" s="16" t="str">
        <f>IFERROR(__xludf.DUMMYFUNCTION("""COMPUTED_VALUE"""),"")</f>
        <v/>
      </c>
      <c r="X15237" s="16" t="str">
        <f>IFERROR(__xludf.DUMMYFUNCTION("""COMPUTED_VALUE"""),"")</f>
        <v/>
      </c>
      <c r="AC15237" s="16" t="str">
        <f>IFERROR(__xludf.DUMMYFUNCTION("""COMPUTED_VALUE"""),"")</f>
        <v/>
      </c>
    </row>
    <row r="15238">
      <c r="A15238" s="16" t="s">
        <v>87</v>
      </c>
      <c r="E15238" s="16" t="str">
        <f>IFERROR(__xludf.DUMMYFUNCTION("""COMPUTED_VALUE"""),"")</f>
        <v/>
      </c>
      <c r="G15238" s="18"/>
      <c r="H15238" s="16" t="s">
        <v>87</v>
      </c>
      <c r="I15238" s="16" t="s">
        <v>87</v>
      </c>
      <c r="J15238" s="19"/>
      <c r="L15238" s="16" t="str">
        <f>IFERROR(__xludf.DUMMYFUNCTION("""COMPUTED_VALUE"""),"")</f>
        <v/>
      </c>
      <c r="M15238" s="16" t="str">
        <f>IFERROR(__xludf.DUMMYFUNCTION("""COMPUTED_VALUE"""),"")</f>
        <v/>
      </c>
      <c r="U15238" s="16" t="s">
        <v>87</v>
      </c>
      <c r="V15238" s="16" t="str">
        <f>IFERROR(__xludf.DUMMYFUNCTION("""COMPUTED_VALUE"""),"")</f>
        <v/>
      </c>
      <c r="W15238" s="16" t="str">
        <f>IFERROR(__xludf.DUMMYFUNCTION("""COMPUTED_VALUE"""),"")</f>
        <v/>
      </c>
      <c r="X15238" s="16" t="str">
        <f>IFERROR(__xludf.DUMMYFUNCTION("""COMPUTED_VALUE"""),"")</f>
        <v/>
      </c>
      <c r="AC15238" s="16" t="str">
        <f>IFERROR(__xludf.DUMMYFUNCTION("""COMPUTED_VALUE"""),"")</f>
        <v/>
      </c>
    </row>
    <row r="15239">
      <c r="A15239" s="16" t="s">
        <v>87</v>
      </c>
      <c r="E15239" s="16" t="str">
        <f>IFERROR(__xludf.DUMMYFUNCTION("""COMPUTED_VALUE"""),"")</f>
        <v/>
      </c>
      <c r="G15239" s="18"/>
      <c r="H15239" s="16" t="s">
        <v>87</v>
      </c>
      <c r="I15239" s="16" t="s">
        <v>87</v>
      </c>
      <c r="J15239" s="19"/>
      <c r="L15239" s="16" t="str">
        <f>IFERROR(__xludf.DUMMYFUNCTION("""COMPUTED_VALUE"""),"")</f>
        <v/>
      </c>
      <c r="M15239" s="16" t="str">
        <f>IFERROR(__xludf.DUMMYFUNCTION("""COMPUTED_VALUE"""),"")</f>
        <v/>
      </c>
      <c r="U15239" s="16" t="s">
        <v>87</v>
      </c>
      <c r="V15239" s="16" t="str">
        <f>IFERROR(__xludf.DUMMYFUNCTION("""COMPUTED_VALUE"""),"")</f>
        <v/>
      </c>
      <c r="W15239" s="16" t="str">
        <f>IFERROR(__xludf.DUMMYFUNCTION("""COMPUTED_VALUE"""),"")</f>
        <v/>
      </c>
      <c r="X15239" s="16" t="str">
        <f>IFERROR(__xludf.DUMMYFUNCTION("""COMPUTED_VALUE"""),"")</f>
        <v/>
      </c>
      <c r="AC15239" s="16" t="str">
        <f>IFERROR(__xludf.DUMMYFUNCTION("""COMPUTED_VALUE"""),"")</f>
        <v/>
      </c>
    </row>
    <row r="15240">
      <c r="A15240" s="16" t="s">
        <v>87</v>
      </c>
      <c r="E15240" s="16" t="str">
        <f>IFERROR(__xludf.DUMMYFUNCTION("""COMPUTED_VALUE"""),"")</f>
        <v/>
      </c>
      <c r="G15240" s="18"/>
      <c r="H15240" s="16" t="s">
        <v>87</v>
      </c>
      <c r="I15240" s="16" t="s">
        <v>87</v>
      </c>
      <c r="J15240" s="19"/>
      <c r="L15240" s="16" t="str">
        <f>IFERROR(__xludf.DUMMYFUNCTION("""COMPUTED_VALUE"""),"")</f>
        <v/>
      </c>
      <c r="M15240" s="16" t="str">
        <f>IFERROR(__xludf.DUMMYFUNCTION("""COMPUTED_VALUE"""),"")</f>
        <v/>
      </c>
      <c r="U15240" s="16" t="s">
        <v>87</v>
      </c>
      <c r="V15240" s="16" t="str">
        <f>IFERROR(__xludf.DUMMYFUNCTION("""COMPUTED_VALUE"""),"")</f>
        <v/>
      </c>
      <c r="W15240" s="16" t="str">
        <f>IFERROR(__xludf.DUMMYFUNCTION("""COMPUTED_VALUE"""),"")</f>
        <v/>
      </c>
      <c r="X15240" s="16" t="str">
        <f>IFERROR(__xludf.DUMMYFUNCTION("""COMPUTED_VALUE"""),"")</f>
        <v/>
      </c>
      <c r="AC15240" s="16" t="str">
        <f>IFERROR(__xludf.DUMMYFUNCTION("""COMPUTED_VALUE"""),"")</f>
        <v/>
      </c>
    </row>
    <row r="15241">
      <c r="A15241" s="16" t="s">
        <v>87</v>
      </c>
      <c r="E15241" s="16" t="str">
        <f>IFERROR(__xludf.DUMMYFUNCTION("""COMPUTED_VALUE"""),"")</f>
        <v/>
      </c>
      <c r="G15241" s="18"/>
      <c r="H15241" s="16" t="s">
        <v>87</v>
      </c>
      <c r="I15241" s="16" t="s">
        <v>87</v>
      </c>
      <c r="J15241" s="19"/>
      <c r="L15241" s="16" t="str">
        <f>IFERROR(__xludf.DUMMYFUNCTION("""COMPUTED_VALUE"""),"")</f>
        <v/>
      </c>
      <c r="M15241" s="16" t="str">
        <f>IFERROR(__xludf.DUMMYFUNCTION("""COMPUTED_VALUE"""),"")</f>
        <v/>
      </c>
      <c r="U15241" s="16" t="s">
        <v>87</v>
      </c>
      <c r="V15241" s="16" t="str">
        <f>IFERROR(__xludf.DUMMYFUNCTION("""COMPUTED_VALUE"""),"")</f>
        <v/>
      </c>
      <c r="W15241" s="16" t="str">
        <f>IFERROR(__xludf.DUMMYFUNCTION("""COMPUTED_VALUE"""),"")</f>
        <v/>
      </c>
      <c r="X15241" s="16" t="str">
        <f>IFERROR(__xludf.DUMMYFUNCTION("""COMPUTED_VALUE"""),"")</f>
        <v/>
      </c>
      <c r="AC15241" s="16" t="str">
        <f>IFERROR(__xludf.DUMMYFUNCTION("""COMPUTED_VALUE"""),"")</f>
        <v/>
      </c>
    </row>
    <row r="15242">
      <c r="A15242" s="16" t="s">
        <v>87</v>
      </c>
      <c r="E15242" s="16" t="str">
        <f>IFERROR(__xludf.DUMMYFUNCTION("""COMPUTED_VALUE"""),"")</f>
        <v/>
      </c>
      <c r="G15242" s="18"/>
      <c r="H15242" s="16" t="s">
        <v>87</v>
      </c>
      <c r="I15242" s="16" t="s">
        <v>87</v>
      </c>
      <c r="J15242" s="19"/>
      <c r="L15242" s="16" t="str">
        <f>IFERROR(__xludf.DUMMYFUNCTION("""COMPUTED_VALUE"""),"")</f>
        <v/>
      </c>
      <c r="M15242" s="16" t="str">
        <f>IFERROR(__xludf.DUMMYFUNCTION("""COMPUTED_VALUE"""),"")</f>
        <v/>
      </c>
      <c r="U15242" s="16" t="s">
        <v>87</v>
      </c>
      <c r="V15242" s="16" t="str">
        <f>IFERROR(__xludf.DUMMYFUNCTION("""COMPUTED_VALUE"""),"")</f>
        <v/>
      </c>
      <c r="W15242" s="16" t="str">
        <f>IFERROR(__xludf.DUMMYFUNCTION("""COMPUTED_VALUE"""),"")</f>
        <v/>
      </c>
      <c r="X15242" s="16" t="str">
        <f>IFERROR(__xludf.DUMMYFUNCTION("""COMPUTED_VALUE"""),"")</f>
        <v/>
      </c>
      <c r="AC15242" s="16" t="str">
        <f>IFERROR(__xludf.DUMMYFUNCTION("""COMPUTED_VALUE"""),"")</f>
        <v/>
      </c>
    </row>
    <row r="15243">
      <c r="A15243" s="16" t="s">
        <v>87</v>
      </c>
      <c r="E15243" s="16" t="str">
        <f>IFERROR(__xludf.DUMMYFUNCTION("""COMPUTED_VALUE"""),"")</f>
        <v/>
      </c>
      <c r="G15243" s="18"/>
      <c r="H15243" s="16" t="s">
        <v>87</v>
      </c>
      <c r="I15243" s="16" t="s">
        <v>87</v>
      </c>
      <c r="J15243" s="19"/>
      <c r="L15243" s="16" t="str">
        <f>IFERROR(__xludf.DUMMYFUNCTION("""COMPUTED_VALUE"""),"")</f>
        <v/>
      </c>
      <c r="M15243" s="16" t="str">
        <f>IFERROR(__xludf.DUMMYFUNCTION("""COMPUTED_VALUE"""),"")</f>
        <v/>
      </c>
      <c r="U15243" s="16" t="s">
        <v>87</v>
      </c>
      <c r="V15243" s="16" t="str">
        <f>IFERROR(__xludf.DUMMYFUNCTION("""COMPUTED_VALUE"""),"")</f>
        <v/>
      </c>
      <c r="W15243" s="16" t="str">
        <f>IFERROR(__xludf.DUMMYFUNCTION("""COMPUTED_VALUE"""),"")</f>
        <v/>
      </c>
      <c r="X15243" s="16" t="str">
        <f>IFERROR(__xludf.DUMMYFUNCTION("""COMPUTED_VALUE"""),"")</f>
        <v/>
      </c>
      <c r="AC15243" s="16" t="str">
        <f>IFERROR(__xludf.DUMMYFUNCTION("""COMPUTED_VALUE"""),"")</f>
        <v/>
      </c>
    </row>
    <row r="15244">
      <c r="A15244" s="16" t="s">
        <v>87</v>
      </c>
      <c r="E15244" s="16" t="str">
        <f>IFERROR(__xludf.DUMMYFUNCTION("""COMPUTED_VALUE"""),"")</f>
        <v/>
      </c>
      <c r="G15244" s="18"/>
      <c r="H15244" s="16" t="s">
        <v>87</v>
      </c>
      <c r="I15244" s="16" t="s">
        <v>87</v>
      </c>
      <c r="J15244" s="19"/>
      <c r="L15244" s="16" t="str">
        <f>IFERROR(__xludf.DUMMYFUNCTION("""COMPUTED_VALUE"""),"")</f>
        <v/>
      </c>
      <c r="M15244" s="16" t="str">
        <f>IFERROR(__xludf.DUMMYFUNCTION("""COMPUTED_VALUE"""),"")</f>
        <v/>
      </c>
      <c r="U15244" s="16" t="s">
        <v>87</v>
      </c>
      <c r="V15244" s="16" t="str">
        <f>IFERROR(__xludf.DUMMYFUNCTION("""COMPUTED_VALUE"""),"")</f>
        <v/>
      </c>
      <c r="W15244" s="16" t="str">
        <f>IFERROR(__xludf.DUMMYFUNCTION("""COMPUTED_VALUE"""),"")</f>
        <v/>
      </c>
      <c r="X15244" s="16" t="str">
        <f>IFERROR(__xludf.DUMMYFUNCTION("""COMPUTED_VALUE"""),"")</f>
        <v/>
      </c>
      <c r="AC15244" s="16" t="str">
        <f>IFERROR(__xludf.DUMMYFUNCTION("""COMPUTED_VALUE"""),"")</f>
        <v/>
      </c>
    </row>
    <row r="15245">
      <c r="A15245" s="16" t="s">
        <v>87</v>
      </c>
      <c r="E15245" s="16" t="str">
        <f>IFERROR(__xludf.DUMMYFUNCTION("""COMPUTED_VALUE"""),"")</f>
        <v/>
      </c>
      <c r="G15245" s="18"/>
      <c r="H15245" s="16" t="s">
        <v>87</v>
      </c>
      <c r="I15245" s="16" t="s">
        <v>87</v>
      </c>
      <c r="J15245" s="19"/>
      <c r="L15245" s="16" t="str">
        <f>IFERROR(__xludf.DUMMYFUNCTION("""COMPUTED_VALUE"""),"")</f>
        <v/>
      </c>
      <c r="M15245" s="16" t="str">
        <f>IFERROR(__xludf.DUMMYFUNCTION("""COMPUTED_VALUE"""),"")</f>
        <v/>
      </c>
      <c r="U15245" s="16" t="s">
        <v>87</v>
      </c>
      <c r="V15245" s="16" t="str">
        <f>IFERROR(__xludf.DUMMYFUNCTION("""COMPUTED_VALUE"""),"")</f>
        <v/>
      </c>
      <c r="W15245" s="16" t="str">
        <f>IFERROR(__xludf.DUMMYFUNCTION("""COMPUTED_VALUE"""),"")</f>
        <v/>
      </c>
      <c r="X15245" s="16" t="str">
        <f>IFERROR(__xludf.DUMMYFUNCTION("""COMPUTED_VALUE"""),"")</f>
        <v/>
      </c>
      <c r="AC15245" s="16" t="str">
        <f>IFERROR(__xludf.DUMMYFUNCTION("""COMPUTED_VALUE"""),"")</f>
        <v/>
      </c>
    </row>
    <row r="15246">
      <c r="A15246" s="16" t="s">
        <v>87</v>
      </c>
      <c r="E15246" s="16" t="str">
        <f>IFERROR(__xludf.DUMMYFUNCTION("""COMPUTED_VALUE"""),"")</f>
        <v/>
      </c>
      <c r="G15246" s="18"/>
      <c r="H15246" s="16" t="s">
        <v>87</v>
      </c>
      <c r="I15246" s="16" t="s">
        <v>87</v>
      </c>
      <c r="J15246" s="19"/>
      <c r="L15246" s="16" t="str">
        <f>IFERROR(__xludf.DUMMYFUNCTION("""COMPUTED_VALUE"""),"")</f>
        <v/>
      </c>
      <c r="M15246" s="16" t="str">
        <f>IFERROR(__xludf.DUMMYFUNCTION("""COMPUTED_VALUE"""),"")</f>
        <v/>
      </c>
      <c r="U15246" s="16" t="s">
        <v>87</v>
      </c>
      <c r="V15246" s="16" t="str">
        <f>IFERROR(__xludf.DUMMYFUNCTION("""COMPUTED_VALUE"""),"")</f>
        <v/>
      </c>
      <c r="W15246" s="16" t="str">
        <f>IFERROR(__xludf.DUMMYFUNCTION("""COMPUTED_VALUE"""),"")</f>
        <v/>
      </c>
      <c r="X15246" s="16" t="str">
        <f>IFERROR(__xludf.DUMMYFUNCTION("""COMPUTED_VALUE"""),"")</f>
        <v/>
      </c>
      <c r="AC15246" s="16" t="str">
        <f>IFERROR(__xludf.DUMMYFUNCTION("""COMPUTED_VALUE"""),"")</f>
        <v/>
      </c>
    </row>
    <row r="15247">
      <c r="A15247" s="16" t="s">
        <v>87</v>
      </c>
      <c r="E15247" s="16" t="str">
        <f>IFERROR(__xludf.DUMMYFUNCTION("""COMPUTED_VALUE"""),"")</f>
        <v/>
      </c>
      <c r="G15247" s="18"/>
      <c r="H15247" s="16" t="s">
        <v>87</v>
      </c>
      <c r="I15247" s="16" t="s">
        <v>87</v>
      </c>
      <c r="J15247" s="19"/>
      <c r="L15247" s="16" t="str">
        <f>IFERROR(__xludf.DUMMYFUNCTION("""COMPUTED_VALUE"""),"")</f>
        <v/>
      </c>
      <c r="M15247" s="16" t="str">
        <f>IFERROR(__xludf.DUMMYFUNCTION("""COMPUTED_VALUE"""),"")</f>
        <v/>
      </c>
      <c r="U15247" s="16" t="s">
        <v>87</v>
      </c>
      <c r="V15247" s="16" t="str">
        <f>IFERROR(__xludf.DUMMYFUNCTION("""COMPUTED_VALUE"""),"")</f>
        <v/>
      </c>
      <c r="W15247" s="16" t="str">
        <f>IFERROR(__xludf.DUMMYFUNCTION("""COMPUTED_VALUE"""),"")</f>
        <v/>
      </c>
      <c r="X15247" s="16" t="str">
        <f>IFERROR(__xludf.DUMMYFUNCTION("""COMPUTED_VALUE"""),"")</f>
        <v/>
      </c>
      <c r="AC15247" s="16" t="str">
        <f>IFERROR(__xludf.DUMMYFUNCTION("""COMPUTED_VALUE"""),"")</f>
        <v/>
      </c>
    </row>
    <row r="15248">
      <c r="A15248" s="16" t="s">
        <v>87</v>
      </c>
      <c r="E15248" s="16" t="str">
        <f>IFERROR(__xludf.DUMMYFUNCTION("""COMPUTED_VALUE"""),"")</f>
        <v/>
      </c>
      <c r="G15248" s="18"/>
      <c r="H15248" s="16" t="s">
        <v>87</v>
      </c>
      <c r="I15248" s="16" t="s">
        <v>87</v>
      </c>
      <c r="J15248" s="19"/>
      <c r="L15248" s="16" t="str">
        <f>IFERROR(__xludf.DUMMYFUNCTION("""COMPUTED_VALUE"""),"")</f>
        <v/>
      </c>
      <c r="M15248" s="16" t="str">
        <f>IFERROR(__xludf.DUMMYFUNCTION("""COMPUTED_VALUE"""),"")</f>
        <v/>
      </c>
      <c r="U15248" s="16" t="s">
        <v>87</v>
      </c>
      <c r="V15248" s="16" t="str">
        <f>IFERROR(__xludf.DUMMYFUNCTION("""COMPUTED_VALUE"""),"")</f>
        <v/>
      </c>
      <c r="W15248" s="16" t="str">
        <f>IFERROR(__xludf.DUMMYFUNCTION("""COMPUTED_VALUE"""),"")</f>
        <v/>
      </c>
      <c r="X15248" s="16" t="str">
        <f>IFERROR(__xludf.DUMMYFUNCTION("""COMPUTED_VALUE"""),"")</f>
        <v/>
      </c>
      <c r="AC15248" s="16" t="str">
        <f>IFERROR(__xludf.DUMMYFUNCTION("""COMPUTED_VALUE"""),"")</f>
        <v/>
      </c>
    </row>
    <row r="15249">
      <c r="A15249" s="16" t="s">
        <v>87</v>
      </c>
      <c r="E15249" s="16" t="str">
        <f>IFERROR(__xludf.DUMMYFUNCTION("""COMPUTED_VALUE"""),"")</f>
        <v/>
      </c>
      <c r="G15249" s="18"/>
      <c r="H15249" s="16" t="s">
        <v>87</v>
      </c>
      <c r="I15249" s="16" t="s">
        <v>87</v>
      </c>
      <c r="J15249" s="19"/>
      <c r="L15249" s="16" t="str">
        <f>IFERROR(__xludf.DUMMYFUNCTION("""COMPUTED_VALUE"""),"")</f>
        <v/>
      </c>
      <c r="M15249" s="16" t="str">
        <f>IFERROR(__xludf.DUMMYFUNCTION("""COMPUTED_VALUE"""),"")</f>
        <v/>
      </c>
      <c r="U15249" s="16" t="s">
        <v>87</v>
      </c>
      <c r="V15249" s="16" t="str">
        <f>IFERROR(__xludf.DUMMYFUNCTION("""COMPUTED_VALUE"""),"")</f>
        <v/>
      </c>
      <c r="W15249" s="16" t="str">
        <f>IFERROR(__xludf.DUMMYFUNCTION("""COMPUTED_VALUE"""),"")</f>
        <v/>
      </c>
      <c r="X15249" s="16" t="str">
        <f>IFERROR(__xludf.DUMMYFUNCTION("""COMPUTED_VALUE"""),"")</f>
        <v/>
      </c>
      <c r="AC15249" s="16" t="str">
        <f>IFERROR(__xludf.DUMMYFUNCTION("""COMPUTED_VALUE"""),"")</f>
        <v/>
      </c>
    </row>
    <row r="15250">
      <c r="A15250" s="16" t="s">
        <v>87</v>
      </c>
      <c r="E15250" s="16" t="str">
        <f>IFERROR(__xludf.DUMMYFUNCTION("""COMPUTED_VALUE"""),"")</f>
        <v/>
      </c>
      <c r="G15250" s="18"/>
      <c r="H15250" s="16" t="s">
        <v>87</v>
      </c>
      <c r="I15250" s="16" t="s">
        <v>87</v>
      </c>
      <c r="J15250" s="19"/>
      <c r="L15250" s="16" t="str">
        <f>IFERROR(__xludf.DUMMYFUNCTION("""COMPUTED_VALUE"""),"")</f>
        <v/>
      </c>
      <c r="M15250" s="16" t="str">
        <f>IFERROR(__xludf.DUMMYFUNCTION("""COMPUTED_VALUE"""),"")</f>
        <v/>
      </c>
      <c r="U15250" s="16" t="s">
        <v>87</v>
      </c>
      <c r="V15250" s="16" t="str">
        <f>IFERROR(__xludf.DUMMYFUNCTION("""COMPUTED_VALUE"""),"")</f>
        <v/>
      </c>
      <c r="W15250" s="16" t="str">
        <f>IFERROR(__xludf.DUMMYFUNCTION("""COMPUTED_VALUE"""),"")</f>
        <v/>
      </c>
      <c r="X15250" s="16" t="str">
        <f>IFERROR(__xludf.DUMMYFUNCTION("""COMPUTED_VALUE"""),"")</f>
        <v/>
      </c>
      <c r="AC15250" s="16" t="str">
        <f>IFERROR(__xludf.DUMMYFUNCTION("""COMPUTED_VALUE"""),"")</f>
        <v/>
      </c>
    </row>
    <row r="15251">
      <c r="A15251" s="16" t="s">
        <v>87</v>
      </c>
      <c r="E15251" s="16" t="str">
        <f>IFERROR(__xludf.DUMMYFUNCTION("""COMPUTED_VALUE"""),"")</f>
        <v/>
      </c>
      <c r="G15251" s="18"/>
      <c r="H15251" s="16" t="s">
        <v>87</v>
      </c>
      <c r="I15251" s="16" t="s">
        <v>87</v>
      </c>
      <c r="J15251" s="19"/>
      <c r="L15251" s="16" t="str">
        <f>IFERROR(__xludf.DUMMYFUNCTION("""COMPUTED_VALUE"""),"")</f>
        <v/>
      </c>
      <c r="M15251" s="16" t="str">
        <f>IFERROR(__xludf.DUMMYFUNCTION("""COMPUTED_VALUE"""),"")</f>
        <v/>
      </c>
      <c r="U15251" s="16" t="s">
        <v>87</v>
      </c>
      <c r="V15251" s="16" t="str">
        <f>IFERROR(__xludf.DUMMYFUNCTION("""COMPUTED_VALUE"""),"")</f>
        <v/>
      </c>
      <c r="W15251" s="16" t="str">
        <f>IFERROR(__xludf.DUMMYFUNCTION("""COMPUTED_VALUE"""),"")</f>
        <v/>
      </c>
      <c r="X15251" s="16" t="str">
        <f>IFERROR(__xludf.DUMMYFUNCTION("""COMPUTED_VALUE"""),"")</f>
        <v/>
      </c>
      <c r="AC15251" s="16" t="str">
        <f>IFERROR(__xludf.DUMMYFUNCTION("""COMPUTED_VALUE"""),"")</f>
        <v/>
      </c>
    </row>
    <row r="15252">
      <c r="A15252" s="16" t="s">
        <v>87</v>
      </c>
      <c r="E15252" s="16" t="str">
        <f>IFERROR(__xludf.DUMMYFUNCTION("""COMPUTED_VALUE"""),"")</f>
        <v/>
      </c>
      <c r="G15252" s="18"/>
      <c r="H15252" s="16" t="s">
        <v>87</v>
      </c>
      <c r="I15252" s="16" t="s">
        <v>87</v>
      </c>
      <c r="J15252" s="19"/>
      <c r="L15252" s="16" t="str">
        <f>IFERROR(__xludf.DUMMYFUNCTION("""COMPUTED_VALUE"""),"")</f>
        <v/>
      </c>
      <c r="M15252" s="16" t="str">
        <f>IFERROR(__xludf.DUMMYFUNCTION("""COMPUTED_VALUE"""),"")</f>
        <v/>
      </c>
      <c r="U15252" s="16" t="s">
        <v>87</v>
      </c>
      <c r="V15252" s="16" t="str">
        <f>IFERROR(__xludf.DUMMYFUNCTION("""COMPUTED_VALUE"""),"")</f>
        <v/>
      </c>
      <c r="W15252" s="16" t="str">
        <f>IFERROR(__xludf.DUMMYFUNCTION("""COMPUTED_VALUE"""),"")</f>
        <v/>
      </c>
      <c r="X15252" s="16" t="str">
        <f>IFERROR(__xludf.DUMMYFUNCTION("""COMPUTED_VALUE"""),"")</f>
        <v/>
      </c>
      <c r="AC15252" s="16" t="str">
        <f>IFERROR(__xludf.DUMMYFUNCTION("""COMPUTED_VALUE"""),"")</f>
        <v/>
      </c>
    </row>
    <row r="15253">
      <c r="A15253" s="16" t="s">
        <v>87</v>
      </c>
      <c r="E15253" s="16" t="str">
        <f>IFERROR(__xludf.DUMMYFUNCTION("""COMPUTED_VALUE"""),"")</f>
        <v/>
      </c>
      <c r="G15253" s="18"/>
      <c r="H15253" s="16" t="s">
        <v>87</v>
      </c>
      <c r="I15253" s="16" t="s">
        <v>87</v>
      </c>
      <c r="J15253" s="19"/>
      <c r="L15253" s="16" t="str">
        <f>IFERROR(__xludf.DUMMYFUNCTION("""COMPUTED_VALUE"""),"")</f>
        <v/>
      </c>
      <c r="M15253" s="16" t="str">
        <f>IFERROR(__xludf.DUMMYFUNCTION("""COMPUTED_VALUE"""),"")</f>
        <v/>
      </c>
      <c r="U15253" s="16" t="s">
        <v>87</v>
      </c>
      <c r="V15253" s="16" t="str">
        <f>IFERROR(__xludf.DUMMYFUNCTION("""COMPUTED_VALUE"""),"")</f>
        <v/>
      </c>
      <c r="W15253" s="16" t="str">
        <f>IFERROR(__xludf.DUMMYFUNCTION("""COMPUTED_VALUE"""),"")</f>
        <v/>
      </c>
      <c r="X15253" s="16" t="str">
        <f>IFERROR(__xludf.DUMMYFUNCTION("""COMPUTED_VALUE"""),"")</f>
        <v/>
      </c>
      <c r="AC15253" s="16" t="str">
        <f>IFERROR(__xludf.DUMMYFUNCTION("""COMPUTED_VALUE"""),"")</f>
        <v/>
      </c>
    </row>
    <row r="15254">
      <c r="A15254" s="16" t="s">
        <v>87</v>
      </c>
      <c r="E15254" s="16" t="str">
        <f>IFERROR(__xludf.DUMMYFUNCTION("""COMPUTED_VALUE"""),"")</f>
        <v/>
      </c>
      <c r="G15254" s="18"/>
      <c r="H15254" s="16" t="s">
        <v>87</v>
      </c>
      <c r="I15254" s="16" t="s">
        <v>87</v>
      </c>
      <c r="J15254" s="19"/>
      <c r="L15254" s="16" t="str">
        <f>IFERROR(__xludf.DUMMYFUNCTION("""COMPUTED_VALUE"""),"")</f>
        <v/>
      </c>
      <c r="M15254" s="16" t="str">
        <f>IFERROR(__xludf.DUMMYFUNCTION("""COMPUTED_VALUE"""),"")</f>
        <v/>
      </c>
      <c r="U15254" s="16" t="s">
        <v>87</v>
      </c>
      <c r="V15254" s="16" t="str">
        <f>IFERROR(__xludf.DUMMYFUNCTION("""COMPUTED_VALUE"""),"")</f>
        <v/>
      </c>
      <c r="W15254" s="16" t="str">
        <f>IFERROR(__xludf.DUMMYFUNCTION("""COMPUTED_VALUE"""),"")</f>
        <v/>
      </c>
      <c r="X15254" s="16" t="str">
        <f>IFERROR(__xludf.DUMMYFUNCTION("""COMPUTED_VALUE"""),"")</f>
        <v/>
      </c>
      <c r="AC15254" s="16" t="str">
        <f>IFERROR(__xludf.DUMMYFUNCTION("""COMPUTED_VALUE"""),"")</f>
        <v/>
      </c>
    </row>
    <row r="15255">
      <c r="A15255" s="16" t="s">
        <v>87</v>
      </c>
      <c r="E15255" s="16" t="str">
        <f>IFERROR(__xludf.DUMMYFUNCTION("""COMPUTED_VALUE"""),"")</f>
        <v/>
      </c>
      <c r="G15255" s="18"/>
      <c r="H15255" s="16" t="s">
        <v>87</v>
      </c>
      <c r="I15255" s="16" t="s">
        <v>87</v>
      </c>
      <c r="J15255" s="19"/>
      <c r="L15255" s="16" t="str">
        <f>IFERROR(__xludf.DUMMYFUNCTION("""COMPUTED_VALUE"""),"")</f>
        <v/>
      </c>
      <c r="M15255" s="16" t="str">
        <f>IFERROR(__xludf.DUMMYFUNCTION("""COMPUTED_VALUE"""),"")</f>
        <v/>
      </c>
      <c r="U15255" s="16" t="s">
        <v>87</v>
      </c>
      <c r="V15255" s="16" t="str">
        <f>IFERROR(__xludf.DUMMYFUNCTION("""COMPUTED_VALUE"""),"")</f>
        <v/>
      </c>
      <c r="W15255" s="16" t="str">
        <f>IFERROR(__xludf.DUMMYFUNCTION("""COMPUTED_VALUE"""),"")</f>
        <v/>
      </c>
      <c r="X15255" s="16" t="str">
        <f>IFERROR(__xludf.DUMMYFUNCTION("""COMPUTED_VALUE"""),"")</f>
        <v/>
      </c>
      <c r="AC15255" s="16" t="str">
        <f>IFERROR(__xludf.DUMMYFUNCTION("""COMPUTED_VALUE"""),"")</f>
        <v/>
      </c>
    </row>
    <row r="15256">
      <c r="A15256" s="16" t="s">
        <v>87</v>
      </c>
      <c r="E15256" s="16" t="str">
        <f>IFERROR(__xludf.DUMMYFUNCTION("""COMPUTED_VALUE"""),"")</f>
        <v/>
      </c>
      <c r="G15256" s="18"/>
      <c r="H15256" s="16" t="s">
        <v>87</v>
      </c>
      <c r="I15256" s="16" t="s">
        <v>87</v>
      </c>
      <c r="J15256" s="19"/>
      <c r="L15256" s="16" t="str">
        <f>IFERROR(__xludf.DUMMYFUNCTION("""COMPUTED_VALUE"""),"")</f>
        <v/>
      </c>
      <c r="M15256" s="16" t="str">
        <f>IFERROR(__xludf.DUMMYFUNCTION("""COMPUTED_VALUE"""),"")</f>
        <v/>
      </c>
      <c r="U15256" s="16" t="s">
        <v>87</v>
      </c>
      <c r="V15256" s="16" t="str">
        <f>IFERROR(__xludf.DUMMYFUNCTION("""COMPUTED_VALUE"""),"")</f>
        <v/>
      </c>
      <c r="W15256" s="16" t="str">
        <f>IFERROR(__xludf.DUMMYFUNCTION("""COMPUTED_VALUE"""),"")</f>
        <v/>
      </c>
      <c r="X15256" s="16" t="str">
        <f>IFERROR(__xludf.DUMMYFUNCTION("""COMPUTED_VALUE"""),"")</f>
        <v/>
      </c>
      <c r="AC15256" s="16" t="str">
        <f>IFERROR(__xludf.DUMMYFUNCTION("""COMPUTED_VALUE"""),"")</f>
        <v/>
      </c>
    </row>
    <row r="15257">
      <c r="A15257" s="16" t="s">
        <v>87</v>
      </c>
      <c r="E15257" s="16" t="str">
        <f>IFERROR(__xludf.DUMMYFUNCTION("""COMPUTED_VALUE"""),"")</f>
        <v/>
      </c>
      <c r="G15257" s="18"/>
      <c r="H15257" s="16" t="s">
        <v>87</v>
      </c>
      <c r="I15257" s="16" t="s">
        <v>87</v>
      </c>
      <c r="J15257" s="19"/>
      <c r="L15257" s="16" t="str">
        <f>IFERROR(__xludf.DUMMYFUNCTION("""COMPUTED_VALUE"""),"")</f>
        <v/>
      </c>
      <c r="M15257" s="16" t="str">
        <f>IFERROR(__xludf.DUMMYFUNCTION("""COMPUTED_VALUE"""),"")</f>
        <v/>
      </c>
      <c r="U15257" s="16" t="s">
        <v>87</v>
      </c>
      <c r="V15257" s="16" t="str">
        <f>IFERROR(__xludf.DUMMYFUNCTION("""COMPUTED_VALUE"""),"")</f>
        <v/>
      </c>
      <c r="W15257" s="16" t="str">
        <f>IFERROR(__xludf.DUMMYFUNCTION("""COMPUTED_VALUE"""),"")</f>
        <v/>
      </c>
      <c r="X15257" s="16" t="str">
        <f>IFERROR(__xludf.DUMMYFUNCTION("""COMPUTED_VALUE"""),"")</f>
        <v/>
      </c>
      <c r="AC15257" s="16" t="str">
        <f>IFERROR(__xludf.DUMMYFUNCTION("""COMPUTED_VALUE"""),"")</f>
        <v/>
      </c>
    </row>
    <row r="15258">
      <c r="A15258" s="16" t="s">
        <v>87</v>
      </c>
      <c r="E15258" s="16" t="str">
        <f>IFERROR(__xludf.DUMMYFUNCTION("""COMPUTED_VALUE"""),"")</f>
        <v/>
      </c>
      <c r="G15258" s="18"/>
      <c r="H15258" s="16" t="s">
        <v>87</v>
      </c>
      <c r="I15258" s="16" t="s">
        <v>87</v>
      </c>
      <c r="J15258" s="19"/>
      <c r="L15258" s="16" t="str">
        <f>IFERROR(__xludf.DUMMYFUNCTION("""COMPUTED_VALUE"""),"")</f>
        <v/>
      </c>
      <c r="M15258" s="16" t="str">
        <f>IFERROR(__xludf.DUMMYFUNCTION("""COMPUTED_VALUE"""),"")</f>
        <v/>
      </c>
      <c r="U15258" s="16" t="s">
        <v>87</v>
      </c>
      <c r="V15258" s="16" t="str">
        <f>IFERROR(__xludf.DUMMYFUNCTION("""COMPUTED_VALUE"""),"")</f>
        <v/>
      </c>
      <c r="W15258" s="16" t="str">
        <f>IFERROR(__xludf.DUMMYFUNCTION("""COMPUTED_VALUE"""),"")</f>
        <v/>
      </c>
      <c r="X15258" s="16" t="str">
        <f>IFERROR(__xludf.DUMMYFUNCTION("""COMPUTED_VALUE"""),"")</f>
        <v/>
      </c>
      <c r="AC15258" s="16" t="str">
        <f>IFERROR(__xludf.DUMMYFUNCTION("""COMPUTED_VALUE"""),"")</f>
        <v/>
      </c>
    </row>
    <row r="15259">
      <c r="A15259" s="16" t="s">
        <v>87</v>
      </c>
      <c r="E15259" s="16" t="str">
        <f>IFERROR(__xludf.DUMMYFUNCTION("""COMPUTED_VALUE"""),"")</f>
        <v/>
      </c>
      <c r="G15259" s="18"/>
      <c r="H15259" s="16" t="s">
        <v>87</v>
      </c>
      <c r="I15259" s="16" t="s">
        <v>87</v>
      </c>
      <c r="J15259" s="19"/>
      <c r="L15259" s="16" t="str">
        <f>IFERROR(__xludf.DUMMYFUNCTION("""COMPUTED_VALUE"""),"")</f>
        <v/>
      </c>
      <c r="M15259" s="16" t="str">
        <f>IFERROR(__xludf.DUMMYFUNCTION("""COMPUTED_VALUE"""),"")</f>
        <v/>
      </c>
      <c r="U15259" s="16" t="s">
        <v>87</v>
      </c>
      <c r="V15259" s="16" t="str">
        <f>IFERROR(__xludf.DUMMYFUNCTION("""COMPUTED_VALUE"""),"")</f>
        <v/>
      </c>
      <c r="W15259" s="16" t="str">
        <f>IFERROR(__xludf.DUMMYFUNCTION("""COMPUTED_VALUE"""),"")</f>
        <v/>
      </c>
      <c r="X15259" s="16" t="str">
        <f>IFERROR(__xludf.DUMMYFUNCTION("""COMPUTED_VALUE"""),"")</f>
        <v/>
      </c>
      <c r="AC15259" s="16" t="str">
        <f>IFERROR(__xludf.DUMMYFUNCTION("""COMPUTED_VALUE"""),"")</f>
        <v/>
      </c>
    </row>
    <row r="15260">
      <c r="A15260" s="16" t="s">
        <v>87</v>
      </c>
      <c r="E15260" s="16" t="str">
        <f>IFERROR(__xludf.DUMMYFUNCTION("""COMPUTED_VALUE"""),"")</f>
        <v/>
      </c>
      <c r="G15260" s="18"/>
      <c r="H15260" s="16" t="s">
        <v>87</v>
      </c>
      <c r="I15260" s="16" t="s">
        <v>87</v>
      </c>
      <c r="J15260" s="19"/>
      <c r="L15260" s="16" t="str">
        <f>IFERROR(__xludf.DUMMYFUNCTION("""COMPUTED_VALUE"""),"")</f>
        <v/>
      </c>
      <c r="M15260" s="16" t="str">
        <f>IFERROR(__xludf.DUMMYFUNCTION("""COMPUTED_VALUE"""),"")</f>
        <v/>
      </c>
      <c r="U15260" s="16" t="s">
        <v>87</v>
      </c>
      <c r="V15260" s="16" t="str">
        <f>IFERROR(__xludf.DUMMYFUNCTION("""COMPUTED_VALUE"""),"")</f>
        <v/>
      </c>
      <c r="W15260" s="16" t="str">
        <f>IFERROR(__xludf.DUMMYFUNCTION("""COMPUTED_VALUE"""),"")</f>
        <v/>
      </c>
      <c r="X15260" s="16" t="str">
        <f>IFERROR(__xludf.DUMMYFUNCTION("""COMPUTED_VALUE"""),"")</f>
        <v/>
      </c>
      <c r="AC15260" s="16" t="str">
        <f>IFERROR(__xludf.DUMMYFUNCTION("""COMPUTED_VALUE"""),"")</f>
        <v/>
      </c>
    </row>
    <row r="15261">
      <c r="A15261" s="16" t="s">
        <v>87</v>
      </c>
      <c r="E15261" s="16" t="str">
        <f>IFERROR(__xludf.DUMMYFUNCTION("""COMPUTED_VALUE"""),"")</f>
        <v/>
      </c>
      <c r="G15261" s="18"/>
      <c r="H15261" s="16" t="s">
        <v>87</v>
      </c>
      <c r="I15261" s="16" t="s">
        <v>87</v>
      </c>
      <c r="J15261" s="19"/>
      <c r="L15261" s="16" t="str">
        <f>IFERROR(__xludf.DUMMYFUNCTION("""COMPUTED_VALUE"""),"")</f>
        <v/>
      </c>
      <c r="M15261" s="16" t="str">
        <f>IFERROR(__xludf.DUMMYFUNCTION("""COMPUTED_VALUE"""),"")</f>
        <v/>
      </c>
      <c r="U15261" s="16" t="s">
        <v>87</v>
      </c>
      <c r="V15261" s="16" t="str">
        <f>IFERROR(__xludf.DUMMYFUNCTION("""COMPUTED_VALUE"""),"")</f>
        <v/>
      </c>
      <c r="W15261" s="16" t="str">
        <f>IFERROR(__xludf.DUMMYFUNCTION("""COMPUTED_VALUE"""),"")</f>
        <v/>
      </c>
      <c r="X15261" s="16" t="str">
        <f>IFERROR(__xludf.DUMMYFUNCTION("""COMPUTED_VALUE"""),"")</f>
        <v/>
      </c>
      <c r="AC15261" s="16" t="str">
        <f>IFERROR(__xludf.DUMMYFUNCTION("""COMPUTED_VALUE"""),"")</f>
        <v/>
      </c>
    </row>
    <row r="15262">
      <c r="A15262" s="16" t="s">
        <v>87</v>
      </c>
      <c r="E15262" s="16" t="str">
        <f>IFERROR(__xludf.DUMMYFUNCTION("""COMPUTED_VALUE"""),"")</f>
        <v/>
      </c>
      <c r="G15262" s="18"/>
      <c r="H15262" s="16" t="s">
        <v>87</v>
      </c>
      <c r="I15262" s="16" t="s">
        <v>87</v>
      </c>
      <c r="J15262" s="19"/>
      <c r="L15262" s="16" t="str">
        <f>IFERROR(__xludf.DUMMYFUNCTION("""COMPUTED_VALUE"""),"")</f>
        <v/>
      </c>
      <c r="M15262" s="16" t="str">
        <f>IFERROR(__xludf.DUMMYFUNCTION("""COMPUTED_VALUE"""),"")</f>
        <v/>
      </c>
      <c r="U15262" s="16" t="s">
        <v>87</v>
      </c>
      <c r="V15262" s="16" t="str">
        <f>IFERROR(__xludf.DUMMYFUNCTION("""COMPUTED_VALUE"""),"")</f>
        <v/>
      </c>
      <c r="W15262" s="16" t="str">
        <f>IFERROR(__xludf.DUMMYFUNCTION("""COMPUTED_VALUE"""),"")</f>
        <v/>
      </c>
      <c r="X15262" s="16" t="str">
        <f>IFERROR(__xludf.DUMMYFUNCTION("""COMPUTED_VALUE"""),"")</f>
        <v/>
      </c>
      <c r="AC15262" s="16" t="str">
        <f>IFERROR(__xludf.DUMMYFUNCTION("""COMPUTED_VALUE"""),"")</f>
        <v/>
      </c>
    </row>
    <row r="15263">
      <c r="A15263" s="16" t="s">
        <v>87</v>
      </c>
      <c r="E15263" s="16" t="str">
        <f>IFERROR(__xludf.DUMMYFUNCTION("""COMPUTED_VALUE"""),"")</f>
        <v/>
      </c>
      <c r="G15263" s="18"/>
      <c r="H15263" s="16" t="s">
        <v>87</v>
      </c>
      <c r="I15263" s="16" t="s">
        <v>87</v>
      </c>
      <c r="J15263" s="19"/>
      <c r="L15263" s="16" t="str">
        <f>IFERROR(__xludf.DUMMYFUNCTION("""COMPUTED_VALUE"""),"")</f>
        <v/>
      </c>
      <c r="M15263" s="16" t="str">
        <f>IFERROR(__xludf.DUMMYFUNCTION("""COMPUTED_VALUE"""),"")</f>
        <v/>
      </c>
      <c r="U15263" s="16" t="s">
        <v>87</v>
      </c>
      <c r="V15263" s="16" t="str">
        <f>IFERROR(__xludf.DUMMYFUNCTION("""COMPUTED_VALUE"""),"")</f>
        <v/>
      </c>
      <c r="W15263" s="16" t="str">
        <f>IFERROR(__xludf.DUMMYFUNCTION("""COMPUTED_VALUE"""),"")</f>
        <v/>
      </c>
      <c r="X15263" s="16" t="str">
        <f>IFERROR(__xludf.DUMMYFUNCTION("""COMPUTED_VALUE"""),"")</f>
        <v/>
      </c>
      <c r="AC15263" s="16" t="str">
        <f>IFERROR(__xludf.DUMMYFUNCTION("""COMPUTED_VALUE"""),"")</f>
        <v/>
      </c>
    </row>
    <row r="15264">
      <c r="A15264" s="16" t="s">
        <v>87</v>
      </c>
      <c r="E15264" s="16" t="str">
        <f>IFERROR(__xludf.DUMMYFUNCTION("""COMPUTED_VALUE"""),"")</f>
        <v/>
      </c>
      <c r="G15264" s="18"/>
      <c r="H15264" s="16" t="s">
        <v>87</v>
      </c>
      <c r="I15264" s="16" t="s">
        <v>87</v>
      </c>
      <c r="J15264" s="19"/>
      <c r="L15264" s="16" t="str">
        <f>IFERROR(__xludf.DUMMYFUNCTION("""COMPUTED_VALUE"""),"")</f>
        <v/>
      </c>
      <c r="M15264" s="16" t="str">
        <f>IFERROR(__xludf.DUMMYFUNCTION("""COMPUTED_VALUE"""),"")</f>
        <v/>
      </c>
      <c r="U15264" s="16" t="s">
        <v>87</v>
      </c>
      <c r="V15264" s="16" t="str">
        <f>IFERROR(__xludf.DUMMYFUNCTION("""COMPUTED_VALUE"""),"")</f>
        <v/>
      </c>
      <c r="W15264" s="16" t="str">
        <f>IFERROR(__xludf.DUMMYFUNCTION("""COMPUTED_VALUE"""),"")</f>
        <v/>
      </c>
      <c r="X15264" s="16" t="str">
        <f>IFERROR(__xludf.DUMMYFUNCTION("""COMPUTED_VALUE"""),"")</f>
        <v/>
      </c>
      <c r="AC15264" s="16" t="str">
        <f>IFERROR(__xludf.DUMMYFUNCTION("""COMPUTED_VALUE"""),"")</f>
        <v/>
      </c>
    </row>
    <row r="15265">
      <c r="A15265" s="16" t="s">
        <v>87</v>
      </c>
      <c r="E15265" s="16" t="str">
        <f>IFERROR(__xludf.DUMMYFUNCTION("""COMPUTED_VALUE"""),"")</f>
        <v/>
      </c>
      <c r="G15265" s="18"/>
      <c r="H15265" s="16" t="s">
        <v>87</v>
      </c>
      <c r="I15265" s="16" t="s">
        <v>87</v>
      </c>
      <c r="J15265" s="19"/>
      <c r="L15265" s="16" t="str">
        <f>IFERROR(__xludf.DUMMYFUNCTION("""COMPUTED_VALUE"""),"")</f>
        <v/>
      </c>
      <c r="M15265" s="16" t="str">
        <f>IFERROR(__xludf.DUMMYFUNCTION("""COMPUTED_VALUE"""),"")</f>
        <v/>
      </c>
      <c r="U15265" s="16" t="s">
        <v>87</v>
      </c>
      <c r="V15265" s="16" t="str">
        <f>IFERROR(__xludf.DUMMYFUNCTION("""COMPUTED_VALUE"""),"")</f>
        <v/>
      </c>
      <c r="W15265" s="16" t="str">
        <f>IFERROR(__xludf.DUMMYFUNCTION("""COMPUTED_VALUE"""),"")</f>
        <v/>
      </c>
      <c r="X15265" s="16" t="str">
        <f>IFERROR(__xludf.DUMMYFUNCTION("""COMPUTED_VALUE"""),"")</f>
        <v/>
      </c>
      <c r="AC15265" s="16" t="str">
        <f>IFERROR(__xludf.DUMMYFUNCTION("""COMPUTED_VALUE"""),"")</f>
        <v/>
      </c>
    </row>
    <row r="15266">
      <c r="A15266" s="16" t="s">
        <v>87</v>
      </c>
      <c r="E15266" s="16" t="str">
        <f>IFERROR(__xludf.DUMMYFUNCTION("""COMPUTED_VALUE"""),"")</f>
        <v/>
      </c>
      <c r="G15266" s="18"/>
      <c r="H15266" s="16" t="s">
        <v>87</v>
      </c>
      <c r="I15266" s="16" t="s">
        <v>87</v>
      </c>
      <c r="J15266" s="19"/>
      <c r="L15266" s="16" t="str">
        <f>IFERROR(__xludf.DUMMYFUNCTION("""COMPUTED_VALUE"""),"")</f>
        <v/>
      </c>
      <c r="M15266" s="16" t="str">
        <f>IFERROR(__xludf.DUMMYFUNCTION("""COMPUTED_VALUE"""),"")</f>
        <v/>
      </c>
      <c r="U15266" s="16" t="s">
        <v>87</v>
      </c>
      <c r="V15266" s="16" t="str">
        <f>IFERROR(__xludf.DUMMYFUNCTION("""COMPUTED_VALUE"""),"")</f>
        <v/>
      </c>
      <c r="W15266" s="16" t="str">
        <f>IFERROR(__xludf.DUMMYFUNCTION("""COMPUTED_VALUE"""),"")</f>
        <v/>
      </c>
      <c r="X15266" s="16" t="str">
        <f>IFERROR(__xludf.DUMMYFUNCTION("""COMPUTED_VALUE"""),"")</f>
        <v/>
      </c>
      <c r="AC15266" s="16" t="str">
        <f>IFERROR(__xludf.DUMMYFUNCTION("""COMPUTED_VALUE"""),"")</f>
        <v/>
      </c>
    </row>
    <row r="15267">
      <c r="A15267" s="16" t="s">
        <v>87</v>
      </c>
      <c r="E15267" s="16" t="str">
        <f>IFERROR(__xludf.DUMMYFUNCTION("""COMPUTED_VALUE"""),"")</f>
        <v/>
      </c>
      <c r="G15267" s="18"/>
      <c r="H15267" s="16" t="s">
        <v>87</v>
      </c>
      <c r="I15267" s="16" t="s">
        <v>87</v>
      </c>
      <c r="J15267" s="19"/>
      <c r="L15267" s="16" t="str">
        <f>IFERROR(__xludf.DUMMYFUNCTION("""COMPUTED_VALUE"""),"")</f>
        <v/>
      </c>
      <c r="M15267" s="16" t="str">
        <f>IFERROR(__xludf.DUMMYFUNCTION("""COMPUTED_VALUE"""),"")</f>
        <v/>
      </c>
      <c r="U15267" s="16" t="s">
        <v>87</v>
      </c>
      <c r="V15267" s="16" t="str">
        <f>IFERROR(__xludf.DUMMYFUNCTION("""COMPUTED_VALUE"""),"")</f>
        <v/>
      </c>
      <c r="W15267" s="16" t="str">
        <f>IFERROR(__xludf.DUMMYFUNCTION("""COMPUTED_VALUE"""),"")</f>
        <v/>
      </c>
      <c r="X15267" s="16" t="str">
        <f>IFERROR(__xludf.DUMMYFUNCTION("""COMPUTED_VALUE"""),"")</f>
        <v/>
      </c>
      <c r="AC15267" s="16" t="str">
        <f>IFERROR(__xludf.DUMMYFUNCTION("""COMPUTED_VALUE"""),"")</f>
        <v/>
      </c>
    </row>
    <row r="15268">
      <c r="A15268" s="16" t="s">
        <v>87</v>
      </c>
      <c r="E15268" s="16" t="str">
        <f>IFERROR(__xludf.DUMMYFUNCTION("""COMPUTED_VALUE"""),"")</f>
        <v/>
      </c>
      <c r="G15268" s="18"/>
      <c r="H15268" s="16" t="s">
        <v>87</v>
      </c>
      <c r="I15268" s="16" t="s">
        <v>87</v>
      </c>
      <c r="J15268" s="19"/>
      <c r="L15268" s="16" t="str">
        <f>IFERROR(__xludf.DUMMYFUNCTION("""COMPUTED_VALUE"""),"")</f>
        <v/>
      </c>
      <c r="M15268" s="16" t="str">
        <f>IFERROR(__xludf.DUMMYFUNCTION("""COMPUTED_VALUE"""),"")</f>
        <v/>
      </c>
      <c r="U15268" s="16" t="s">
        <v>87</v>
      </c>
      <c r="V15268" s="16" t="str">
        <f>IFERROR(__xludf.DUMMYFUNCTION("""COMPUTED_VALUE"""),"")</f>
        <v/>
      </c>
      <c r="W15268" s="16" t="str">
        <f>IFERROR(__xludf.DUMMYFUNCTION("""COMPUTED_VALUE"""),"")</f>
        <v/>
      </c>
      <c r="X15268" s="16" t="str">
        <f>IFERROR(__xludf.DUMMYFUNCTION("""COMPUTED_VALUE"""),"")</f>
        <v/>
      </c>
      <c r="AC15268" s="16" t="str">
        <f>IFERROR(__xludf.DUMMYFUNCTION("""COMPUTED_VALUE"""),"")</f>
        <v/>
      </c>
    </row>
    <row r="15269">
      <c r="A15269" s="16" t="s">
        <v>87</v>
      </c>
      <c r="E15269" s="16" t="str">
        <f>IFERROR(__xludf.DUMMYFUNCTION("""COMPUTED_VALUE"""),"")</f>
        <v/>
      </c>
      <c r="G15269" s="18"/>
      <c r="H15269" s="16" t="s">
        <v>87</v>
      </c>
      <c r="I15269" s="16" t="s">
        <v>87</v>
      </c>
      <c r="J15269" s="19"/>
      <c r="L15269" s="16" t="str">
        <f>IFERROR(__xludf.DUMMYFUNCTION("""COMPUTED_VALUE"""),"")</f>
        <v/>
      </c>
      <c r="M15269" s="16" t="str">
        <f>IFERROR(__xludf.DUMMYFUNCTION("""COMPUTED_VALUE"""),"")</f>
        <v/>
      </c>
      <c r="U15269" s="16" t="s">
        <v>87</v>
      </c>
      <c r="V15269" s="16" t="str">
        <f>IFERROR(__xludf.DUMMYFUNCTION("""COMPUTED_VALUE"""),"")</f>
        <v/>
      </c>
      <c r="W15269" s="16" t="str">
        <f>IFERROR(__xludf.DUMMYFUNCTION("""COMPUTED_VALUE"""),"")</f>
        <v/>
      </c>
      <c r="X15269" s="16" t="str">
        <f>IFERROR(__xludf.DUMMYFUNCTION("""COMPUTED_VALUE"""),"")</f>
        <v/>
      </c>
      <c r="AC15269" s="16" t="str">
        <f>IFERROR(__xludf.DUMMYFUNCTION("""COMPUTED_VALUE"""),"")</f>
        <v/>
      </c>
    </row>
    <row r="15270">
      <c r="A15270" s="16" t="s">
        <v>87</v>
      </c>
      <c r="E15270" s="16" t="str">
        <f>IFERROR(__xludf.DUMMYFUNCTION("""COMPUTED_VALUE"""),"")</f>
        <v/>
      </c>
      <c r="G15270" s="18"/>
      <c r="H15270" s="16" t="s">
        <v>87</v>
      </c>
      <c r="I15270" s="16" t="s">
        <v>87</v>
      </c>
      <c r="J15270" s="19"/>
      <c r="L15270" s="16" t="str">
        <f>IFERROR(__xludf.DUMMYFUNCTION("""COMPUTED_VALUE"""),"")</f>
        <v/>
      </c>
      <c r="M15270" s="16" t="str">
        <f>IFERROR(__xludf.DUMMYFUNCTION("""COMPUTED_VALUE"""),"")</f>
        <v/>
      </c>
      <c r="U15270" s="16" t="s">
        <v>87</v>
      </c>
      <c r="V15270" s="16" t="str">
        <f>IFERROR(__xludf.DUMMYFUNCTION("""COMPUTED_VALUE"""),"")</f>
        <v/>
      </c>
      <c r="W15270" s="16" t="str">
        <f>IFERROR(__xludf.DUMMYFUNCTION("""COMPUTED_VALUE"""),"")</f>
        <v/>
      </c>
      <c r="X15270" s="16" t="str">
        <f>IFERROR(__xludf.DUMMYFUNCTION("""COMPUTED_VALUE"""),"")</f>
        <v/>
      </c>
      <c r="AC15270" s="16" t="str">
        <f>IFERROR(__xludf.DUMMYFUNCTION("""COMPUTED_VALUE"""),"")</f>
        <v/>
      </c>
    </row>
    <row r="15271">
      <c r="A15271" s="16" t="s">
        <v>87</v>
      </c>
      <c r="E15271" s="16" t="str">
        <f>IFERROR(__xludf.DUMMYFUNCTION("""COMPUTED_VALUE"""),"")</f>
        <v/>
      </c>
      <c r="G15271" s="18"/>
      <c r="H15271" s="16" t="s">
        <v>87</v>
      </c>
      <c r="I15271" s="16" t="s">
        <v>87</v>
      </c>
      <c r="J15271" s="19"/>
      <c r="L15271" s="16" t="str">
        <f>IFERROR(__xludf.DUMMYFUNCTION("""COMPUTED_VALUE"""),"")</f>
        <v/>
      </c>
      <c r="M15271" s="16" t="str">
        <f>IFERROR(__xludf.DUMMYFUNCTION("""COMPUTED_VALUE"""),"")</f>
        <v/>
      </c>
      <c r="U15271" s="16" t="s">
        <v>87</v>
      </c>
      <c r="V15271" s="16" t="str">
        <f>IFERROR(__xludf.DUMMYFUNCTION("""COMPUTED_VALUE"""),"")</f>
        <v/>
      </c>
      <c r="W15271" s="16" t="str">
        <f>IFERROR(__xludf.DUMMYFUNCTION("""COMPUTED_VALUE"""),"")</f>
        <v/>
      </c>
      <c r="X15271" s="16" t="str">
        <f>IFERROR(__xludf.DUMMYFUNCTION("""COMPUTED_VALUE"""),"")</f>
        <v/>
      </c>
      <c r="AC15271" s="16" t="str">
        <f>IFERROR(__xludf.DUMMYFUNCTION("""COMPUTED_VALUE"""),"")</f>
        <v/>
      </c>
    </row>
    <row r="15272">
      <c r="A15272" s="16" t="s">
        <v>87</v>
      </c>
      <c r="E15272" s="16" t="str">
        <f>IFERROR(__xludf.DUMMYFUNCTION("""COMPUTED_VALUE"""),"")</f>
        <v/>
      </c>
      <c r="G15272" s="18"/>
      <c r="H15272" s="16" t="s">
        <v>87</v>
      </c>
      <c r="I15272" s="16" t="s">
        <v>87</v>
      </c>
      <c r="J15272" s="19"/>
      <c r="L15272" s="16" t="str">
        <f>IFERROR(__xludf.DUMMYFUNCTION("""COMPUTED_VALUE"""),"")</f>
        <v/>
      </c>
      <c r="M15272" s="16" t="str">
        <f>IFERROR(__xludf.DUMMYFUNCTION("""COMPUTED_VALUE"""),"")</f>
        <v/>
      </c>
      <c r="U15272" s="16" t="s">
        <v>87</v>
      </c>
      <c r="V15272" s="16" t="str">
        <f>IFERROR(__xludf.DUMMYFUNCTION("""COMPUTED_VALUE"""),"")</f>
        <v/>
      </c>
      <c r="W15272" s="16" t="str">
        <f>IFERROR(__xludf.DUMMYFUNCTION("""COMPUTED_VALUE"""),"")</f>
        <v/>
      </c>
      <c r="X15272" s="16" t="str">
        <f>IFERROR(__xludf.DUMMYFUNCTION("""COMPUTED_VALUE"""),"")</f>
        <v/>
      </c>
      <c r="AC15272" s="16" t="str">
        <f>IFERROR(__xludf.DUMMYFUNCTION("""COMPUTED_VALUE"""),"")</f>
        <v/>
      </c>
    </row>
    <row r="15273">
      <c r="A15273" s="16" t="s">
        <v>87</v>
      </c>
      <c r="E15273" s="16" t="str">
        <f>IFERROR(__xludf.DUMMYFUNCTION("""COMPUTED_VALUE"""),"")</f>
        <v/>
      </c>
      <c r="G15273" s="18"/>
      <c r="H15273" s="16" t="s">
        <v>87</v>
      </c>
      <c r="I15273" s="16" t="s">
        <v>87</v>
      </c>
      <c r="J15273" s="19"/>
      <c r="L15273" s="16" t="str">
        <f>IFERROR(__xludf.DUMMYFUNCTION("""COMPUTED_VALUE"""),"")</f>
        <v/>
      </c>
      <c r="M15273" s="16" t="str">
        <f>IFERROR(__xludf.DUMMYFUNCTION("""COMPUTED_VALUE"""),"")</f>
        <v/>
      </c>
      <c r="U15273" s="16" t="s">
        <v>87</v>
      </c>
      <c r="V15273" s="16" t="str">
        <f>IFERROR(__xludf.DUMMYFUNCTION("""COMPUTED_VALUE"""),"")</f>
        <v/>
      </c>
      <c r="W15273" s="16" t="str">
        <f>IFERROR(__xludf.DUMMYFUNCTION("""COMPUTED_VALUE"""),"")</f>
        <v/>
      </c>
      <c r="X15273" s="16" t="str">
        <f>IFERROR(__xludf.DUMMYFUNCTION("""COMPUTED_VALUE"""),"")</f>
        <v/>
      </c>
      <c r="AC15273" s="16" t="str">
        <f>IFERROR(__xludf.DUMMYFUNCTION("""COMPUTED_VALUE"""),"")</f>
        <v/>
      </c>
    </row>
    <row r="15274">
      <c r="A15274" s="16" t="s">
        <v>87</v>
      </c>
      <c r="E15274" s="16" t="str">
        <f>IFERROR(__xludf.DUMMYFUNCTION("""COMPUTED_VALUE"""),"")</f>
        <v/>
      </c>
      <c r="G15274" s="18"/>
      <c r="H15274" s="16" t="s">
        <v>87</v>
      </c>
      <c r="I15274" s="16" t="s">
        <v>87</v>
      </c>
      <c r="J15274" s="19"/>
      <c r="L15274" s="16" t="str">
        <f>IFERROR(__xludf.DUMMYFUNCTION("""COMPUTED_VALUE"""),"")</f>
        <v/>
      </c>
      <c r="M15274" s="16" t="str">
        <f>IFERROR(__xludf.DUMMYFUNCTION("""COMPUTED_VALUE"""),"")</f>
        <v/>
      </c>
      <c r="U15274" s="16" t="s">
        <v>87</v>
      </c>
      <c r="V15274" s="16" t="str">
        <f>IFERROR(__xludf.DUMMYFUNCTION("""COMPUTED_VALUE"""),"")</f>
        <v/>
      </c>
      <c r="W15274" s="16" t="str">
        <f>IFERROR(__xludf.DUMMYFUNCTION("""COMPUTED_VALUE"""),"")</f>
        <v/>
      </c>
      <c r="X15274" s="16" t="str">
        <f>IFERROR(__xludf.DUMMYFUNCTION("""COMPUTED_VALUE"""),"")</f>
        <v/>
      </c>
      <c r="AC15274" s="16" t="str">
        <f>IFERROR(__xludf.DUMMYFUNCTION("""COMPUTED_VALUE"""),"")</f>
        <v/>
      </c>
    </row>
    <row r="15275">
      <c r="A15275" s="16" t="s">
        <v>87</v>
      </c>
      <c r="E15275" s="16" t="str">
        <f>IFERROR(__xludf.DUMMYFUNCTION("""COMPUTED_VALUE"""),"")</f>
        <v/>
      </c>
      <c r="G15275" s="18"/>
      <c r="H15275" s="16" t="s">
        <v>87</v>
      </c>
      <c r="I15275" s="16" t="s">
        <v>87</v>
      </c>
      <c r="J15275" s="19"/>
      <c r="L15275" s="16" t="str">
        <f>IFERROR(__xludf.DUMMYFUNCTION("""COMPUTED_VALUE"""),"")</f>
        <v/>
      </c>
      <c r="M15275" s="16" t="str">
        <f>IFERROR(__xludf.DUMMYFUNCTION("""COMPUTED_VALUE"""),"")</f>
        <v/>
      </c>
      <c r="U15275" s="16" t="s">
        <v>87</v>
      </c>
      <c r="V15275" s="16" t="str">
        <f>IFERROR(__xludf.DUMMYFUNCTION("""COMPUTED_VALUE"""),"")</f>
        <v/>
      </c>
      <c r="W15275" s="16" t="str">
        <f>IFERROR(__xludf.DUMMYFUNCTION("""COMPUTED_VALUE"""),"")</f>
        <v/>
      </c>
      <c r="X15275" s="16" t="str">
        <f>IFERROR(__xludf.DUMMYFUNCTION("""COMPUTED_VALUE"""),"")</f>
        <v/>
      </c>
      <c r="AC15275" s="16" t="str">
        <f>IFERROR(__xludf.DUMMYFUNCTION("""COMPUTED_VALUE"""),"")</f>
        <v/>
      </c>
    </row>
    <row r="15276">
      <c r="A15276" s="16" t="s">
        <v>87</v>
      </c>
      <c r="E15276" s="16" t="str">
        <f>IFERROR(__xludf.DUMMYFUNCTION("""COMPUTED_VALUE"""),"")</f>
        <v/>
      </c>
      <c r="G15276" s="18"/>
      <c r="H15276" s="16" t="s">
        <v>87</v>
      </c>
      <c r="I15276" s="16" t="s">
        <v>87</v>
      </c>
      <c r="J15276" s="19"/>
      <c r="L15276" s="16" t="str">
        <f>IFERROR(__xludf.DUMMYFUNCTION("""COMPUTED_VALUE"""),"")</f>
        <v/>
      </c>
      <c r="M15276" s="16" t="str">
        <f>IFERROR(__xludf.DUMMYFUNCTION("""COMPUTED_VALUE"""),"")</f>
        <v/>
      </c>
      <c r="U15276" s="16" t="s">
        <v>87</v>
      </c>
      <c r="V15276" s="16" t="str">
        <f>IFERROR(__xludf.DUMMYFUNCTION("""COMPUTED_VALUE"""),"")</f>
        <v/>
      </c>
      <c r="W15276" s="16" t="str">
        <f>IFERROR(__xludf.DUMMYFUNCTION("""COMPUTED_VALUE"""),"")</f>
        <v/>
      </c>
      <c r="X15276" s="16" t="str">
        <f>IFERROR(__xludf.DUMMYFUNCTION("""COMPUTED_VALUE"""),"")</f>
        <v/>
      </c>
      <c r="AC15276" s="16" t="str">
        <f>IFERROR(__xludf.DUMMYFUNCTION("""COMPUTED_VALUE"""),"")</f>
        <v/>
      </c>
    </row>
    <row r="15277">
      <c r="A15277" s="16" t="s">
        <v>87</v>
      </c>
      <c r="E15277" s="16" t="str">
        <f>IFERROR(__xludf.DUMMYFUNCTION("""COMPUTED_VALUE"""),"")</f>
        <v/>
      </c>
      <c r="G15277" s="18"/>
      <c r="H15277" s="16" t="s">
        <v>87</v>
      </c>
      <c r="I15277" s="16" t="s">
        <v>87</v>
      </c>
      <c r="J15277" s="19"/>
      <c r="L15277" s="16" t="str">
        <f>IFERROR(__xludf.DUMMYFUNCTION("""COMPUTED_VALUE"""),"")</f>
        <v/>
      </c>
      <c r="M15277" s="16" t="str">
        <f>IFERROR(__xludf.DUMMYFUNCTION("""COMPUTED_VALUE"""),"")</f>
        <v/>
      </c>
      <c r="U15277" s="16" t="s">
        <v>87</v>
      </c>
      <c r="V15277" s="16" t="str">
        <f>IFERROR(__xludf.DUMMYFUNCTION("""COMPUTED_VALUE"""),"")</f>
        <v/>
      </c>
      <c r="W15277" s="16" t="str">
        <f>IFERROR(__xludf.DUMMYFUNCTION("""COMPUTED_VALUE"""),"")</f>
        <v/>
      </c>
      <c r="X15277" s="16" t="str">
        <f>IFERROR(__xludf.DUMMYFUNCTION("""COMPUTED_VALUE"""),"")</f>
        <v/>
      </c>
      <c r="AC15277" s="16" t="str">
        <f>IFERROR(__xludf.DUMMYFUNCTION("""COMPUTED_VALUE"""),"")</f>
        <v/>
      </c>
    </row>
    <row r="15278">
      <c r="A15278" s="16" t="s">
        <v>87</v>
      </c>
      <c r="E15278" s="16" t="str">
        <f>IFERROR(__xludf.DUMMYFUNCTION("""COMPUTED_VALUE"""),"")</f>
        <v/>
      </c>
      <c r="G15278" s="18"/>
      <c r="H15278" s="16" t="s">
        <v>87</v>
      </c>
      <c r="I15278" s="16" t="s">
        <v>87</v>
      </c>
      <c r="J15278" s="19"/>
      <c r="L15278" s="16" t="str">
        <f>IFERROR(__xludf.DUMMYFUNCTION("""COMPUTED_VALUE"""),"")</f>
        <v/>
      </c>
      <c r="M15278" s="16" t="str">
        <f>IFERROR(__xludf.DUMMYFUNCTION("""COMPUTED_VALUE"""),"")</f>
        <v/>
      </c>
      <c r="U15278" s="16" t="s">
        <v>87</v>
      </c>
      <c r="V15278" s="16" t="str">
        <f>IFERROR(__xludf.DUMMYFUNCTION("""COMPUTED_VALUE"""),"")</f>
        <v/>
      </c>
      <c r="W15278" s="16" t="str">
        <f>IFERROR(__xludf.DUMMYFUNCTION("""COMPUTED_VALUE"""),"")</f>
        <v/>
      </c>
      <c r="X15278" s="16" t="str">
        <f>IFERROR(__xludf.DUMMYFUNCTION("""COMPUTED_VALUE"""),"")</f>
        <v/>
      </c>
      <c r="AC15278" s="16" t="str">
        <f>IFERROR(__xludf.DUMMYFUNCTION("""COMPUTED_VALUE"""),"")</f>
        <v/>
      </c>
    </row>
    <row r="15279">
      <c r="A15279" s="16" t="s">
        <v>87</v>
      </c>
      <c r="E15279" s="16" t="str">
        <f>IFERROR(__xludf.DUMMYFUNCTION("""COMPUTED_VALUE"""),"")</f>
        <v/>
      </c>
      <c r="G15279" s="18"/>
      <c r="H15279" s="16" t="s">
        <v>87</v>
      </c>
      <c r="I15279" s="16" t="s">
        <v>87</v>
      </c>
      <c r="J15279" s="19"/>
      <c r="L15279" s="16" t="str">
        <f>IFERROR(__xludf.DUMMYFUNCTION("""COMPUTED_VALUE"""),"")</f>
        <v/>
      </c>
      <c r="M15279" s="16" t="str">
        <f>IFERROR(__xludf.DUMMYFUNCTION("""COMPUTED_VALUE"""),"")</f>
        <v/>
      </c>
      <c r="U15279" s="16" t="s">
        <v>87</v>
      </c>
      <c r="V15279" s="16" t="str">
        <f>IFERROR(__xludf.DUMMYFUNCTION("""COMPUTED_VALUE"""),"")</f>
        <v/>
      </c>
      <c r="W15279" s="16" t="str">
        <f>IFERROR(__xludf.DUMMYFUNCTION("""COMPUTED_VALUE"""),"")</f>
        <v/>
      </c>
      <c r="X15279" s="16" t="str">
        <f>IFERROR(__xludf.DUMMYFUNCTION("""COMPUTED_VALUE"""),"")</f>
        <v/>
      </c>
      <c r="AC15279" s="16" t="str">
        <f>IFERROR(__xludf.DUMMYFUNCTION("""COMPUTED_VALUE"""),"")</f>
        <v/>
      </c>
    </row>
    <row r="15280">
      <c r="A15280" s="16" t="s">
        <v>87</v>
      </c>
      <c r="E15280" s="16" t="str">
        <f>IFERROR(__xludf.DUMMYFUNCTION("""COMPUTED_VALUE"""),"")</f>
        <v/>
      </c>
      <c r="G15280" s="18"/>
      <c r="H15280" s="16" t="s">
        <v>87</v>
      </c>
      <c r="I15280" s="16" t="s">
        <v>87</v>
      </c>
      <c r="J15280" s="19"/>
      <c r="L15280" s="16" t="str">
        <f>IFERROR(__xludf.DUMMYFUNCTION("""COMPUTED_VALUE"""),"")</f>
        <v/>
      </c>
      <c r="M15280" s="16" t="str">
        <f>IFERROR(__xludf.DUMMYFUNCTION("""COMPUTED_VALUE"""),"")</f>
        <v/>
      </c>
      <c r="U15280" s="16" t="s">
        <v>87</v>
      </c>
      <c r="V15280" s="16" t="str">
        <f>IFERROR(__xludf.DUMMYFUNCTION("""COMPUTED_VALUE"""),"")</f>
        <v/>
      </c>
      <c r="W15280" s="16" t="str">
        <f>IFERROR(__xludf.DUMMYFUNCTION("""COMPUTED_VALUE"""),"")</f>
        <v/>
      </c>
      <c r="X15280" s="16" t="str">
        <f>IFERROR(__xludf.DUMMYFUNCTION("""COMPUTED_VALUE"""),"")</f>
        <v/>
      </c>
      <c r="AC15280" s="16" t="str">
        <f>IFERROR(__xludf.DUMMYFUNCTION("""COMPUTED_VALUE"""),"")</f>
        <v/>
      </c>
    </row>
    <row r="15281">
      <c r="A15281" s="16" t="s">
        <v>87</v>
      </c>
      <c r="E15281" s="16" t="str">
        <f>IFERROR(__xludf.DUMMYFUNCTION("""COMPUTED_VALUE"""),"")</f>
        <v/>
      </c>
      <c r="G15281" s="18"/>
      <c r="H15281" s="16" t="s">
        <v>87</v>
      </c>
      <c r="I15281" s="16" t="s">
        <v>87</v>
      </c>
      <c r="J15281" s="19"/>
      <c r="L15281" s="16" t="str">
        <f>IFERROR(__xludf.DUMMYFUNCTION("""COMPUTED_VALUE"""),"")</f>
        <v/>
      </c>
      <c r="M15281" s="16" t="str">
        <f>IFERROR(__xludf.DUMMYFUNCTION("""COMPUTED_VALUE"""),"")</f>
        <v/>
      </c>
      <c r="U15281" s="16" t="s">
        <v>87</v>
      </c>
      <c r="V15281" s="16" t="str">
        <f>IFERROR(__xludf.DUMMYFUNCTION("""COMPUTED_VALUE"""),"")</f>
        <v/>
      </c>
      <c r="W15281" s="16" t="str">
        <f>IFERROR(__xludf.DUMMYFUNCTION("""COMPUTED_VALUE"""),"")</f>
        <v/>
      </c>
      <c r="X15281" s="16" t="str">
        <f>IFERROR(__xludf.DUMMYFUNCTION("""COMPUTED_VALUE"""),"")</f>
        <v/>
      </c>
      <c r="AC15281" s="16" t="str">
        <f>IFERROR(__xludf.DUMMYFUNCTION("""COMPUTED_VALUE"""),"")</f>
        <v/>
      </c>
    </row>
    <row r="15282">
      <c r="A15282" s="16" t="s">
        <v>87</v>
      </c>
      <c r="E15282" s="16" t="str">
        <f>IFERROR(__xludf.DUMMYFUNCTION("""COMPUTED_VALUE"""),"")</f>
        <v/>
      </c>
      <c r="G15282" s="18"/>
      <c r="H15282" s="16" t="s">
        <v>87</v>
      </c>
      <c r="I15282" s="16" t="s">
        <v>87</v>
      </c>
      <c r="J15282" s="19"/>
      <c r="L15282" s="16" t="str">
        <f>IFERROR(__xludf.DUMMYFUNCTION("""COMPUTED_VALUE"""),"")</f>
        <v/>
      </c>
      <c r="M15282" s="16" t="str">
        <f>IFERROR(__xludf.DUMMYFUNCTION("""COMPUTED_VALUE"""),"")</f>
        <v/>
      </c>
      <c r="U15282" s="16" t="s">
        <v>87</v>
      </c>
      <c r="V15282" s="16" t="str">
        <f>IFERROR(__xludf.DUMMYFUNCTION("""COMPUTED_VALUE"""),"")</f>
        <v/>
      </c>
      <c r="W15282" s="16" t="str">
        <f>IFERROR(__xludf.DUMMYFUNCTION("""COMPUTED_VALUE"""),"")</f>
        <v/>
      </c>
      <c r="X15282" s="16" t="str">
        <f>IFERROR(__xludf.DUMMYFUNCTION("""COMPUTED_VALUE"""),"")</f>
        <v/>
      </c>
      <c r="AC15282" s="16" t="str">
        <f>IFERROR(__xludf.DUMMYFUNCTION("""COMPUTED_VALUE"""),"")</f>
        <v/>
      </c>
    </row>
    <row r="15283">
      <c r="A15283" s="16" t="s">
        <v>87</v>
      </c>
      <c r="E15283" s="16" t="str">
        <f>IFERROR(__xludf.DUMMYFUNCTION("""COMPUTED_VALUE"""),"")</f>
        <v/>
      </c>
      <c r="G15283" s="18"/>
      <c r="H15283" s="16" t="s">
        <v>87</v>
      </c>
      <c r="I15283" s="16" t="s">
        <v>87</v>
      </c>
      <c r="J15283" s="19"/>
      <c r="L15283" s="16" t="str">
        <f>IFERROR(__xludf.DUMMYFUNCTION("""COMPUTED_VALUE"""),"")</f>
        <v/>
      </c>
      <c r="M15283" s="16" t="str">
        <f>IFERROR(__xludf.DUMMYFUNCTION("""COMPUTED_VALUE"""),"")</f>
        <v/>
      </c>
      <c r="U15283" s="16" t="s">
        <v>87</v>
      </c>
      <c r="V15283" s="16" t="str">
        <f>IFERROR(__xludf.DUMMYFUNCTION("""COMPUTED_VALUE"""),"")</f>
        <v/>
      </c>
      <c r="W15283" s="16" t="str">
        <f>IFERROR(__xludf.DUMMYFUNCTION("""COMPUTED_VALUE"""),"")</f>
        <v/>
      </c>
      <c r="X15283" s="16" t="str">
        <f>IFERROR(__xludf.DUMMYFUNCTION("""COMPUTED_VALUE"""),"")</f>
        <v/>
      </c>
      <c r="AC15283" s="16" t="str">
        <f>IFERROR(__xludf.DUMMYFUNCTION("""COMPUTED_VALUE"""),"")</f>
        <v/>
      </c>
    </row>
    <row r="15284">
      <c r="A15284" s="16" t="s">
        <v>87</v>
      </c>
      <c r="E15284" s="16" t="str">
        <f>IFERROR(__xludf.DUMMYFUNCTION("""COMPUTED_VALUE"""),"")</f>
        <v/>
      </c>
      <c r="G15284" s="18"/>
      <c r="H15284" s="16" t="s">
        <v>87</v>
      </c>
      <c r="I15284" s="16" t="s">
        <v>87</v>
      </c>
      <c r="J15284" s="19"/>
      <c r="L15284" s="16" t="str">
        <f>IFERROR(__xludf.DUMMYFUNCTION("""COMPUTED_VALUE"""),"")</f>
        <v/>
      </c>
      <c r="M15284" s="16" t="str">
        <f>IFERROR(__xludf.DUMMYFUNCTION("""COMPUTED_VALUE"""),"")</f>
        <v/>
      </c>
      <c r="U15284" s="16" t="s">
        <v>87</v>
      </c>
      <c r="V15284" s="16" t="str">
        <f>IFERROR(__xludf.DUMMYFUNCTION("""COMPUTED_VALUE"""),"")</f>
        <v/>
      </c>
      <c r="W15284" s="16" t="str">
        <f>IFERROR(__xludf.DUMMYFUNCTION("""COMPUTED_VALUE"""),"")</f>
        <v/>
      </c>
      <c r="X15284" s="16" t="str">
        <f>IFERROR(__xludf.DUMMYFUNCTION("""COMPUTED_VALUE"""),"")</f>
        <v/>
      </c>
      <c r="AC15284" s="16" t="str">
        <f>IFERROR(__xludf.DUMMYFUNCTION("""COMPUTED_VALUE"""),"")</f>
        <v/>
      </c>
    </row>
    <row r="15285">
      <c r="A15285" s="16" t="s">
        <v>87</v>
      </c>
      <c r="E15285" s="16" t="str">
        <f>IFERROR(__xludf.DUMMYFUNCTION("""COMPUTED_VALUE"""),"")</f>
        <v/>
      </c>
      <c r="G15285" s="18"/>
      <c r="H15285" s="16" t="s">
        <v>87</v>
      </c>
      <c r="I15285" s="16" t="s">
        <v>87</v>
      </c>
      <c r="J15285" s="19"/>
      <c r="L15285" s="16" t="str">
        <f>IFERROR(__xludf.DUMMYFUNCTION("""COMPUTED_VALUE"""),"")</f>
        <v/>
      </c>
      <c r="M15285" s="16" t="str">
        <f>IFERROR(__xludf.DUMMYFUNCTION("""COMPUTED_VALUE"""),"")</f>
        <v/>
      </c>
      <c r="U15285" s="16" t="s">
        <v>87</v>
      </c>
      <c r="V15285" s="16" t="str">
        <f>IFERROR(__xludf.DUMMYFUNCTION("""COMPUTED_VALUE"""),"")</f>
        <v/>
      </c>
      <c r="W15285" s="16" t="str">
        <f>IFERROR(__xludf.DUMMYFUNCTION("""COMPUTED_VALUE"""),"")</f>
        <v/>
      </c>
      <c r="X15285" s="16" t="str">
        <f>IFERROR(__xludf.DUMMYFUNCTION("""COMPUTED_VALUE"""),"")</f>
        <v/>
      </c>
      <c r="AC15285" s="16" t="str">
        <f>IFERROR(__xludf.DUMMYFUNCTION("""COMPUTED_VALUE"""),"")</f>
        <v/>
      </c>
    </row>
    <row r="15286">
      <c r="A15286" s="16" t="s">
        <v>87</v>
      </c>
      <c r="E15286" s="16" t="str">
        <f>IFERROR(__xludf.DUMMYFUNCTION("""COMPUTED_VALUE"""),"")</f>
        <v/>
      </c>
      <c r="G15286" s="18"/>
      <c r="H15286" s="16" t="s">
        <v>87</v>
      </c>
      <c r="I15286" s="16" t="s">
        <v>87</v>
      </c>
      <c r="J15286" s="19"/>
      <c r="L15286" s="16" t="str">
        <f>IFERROR(__xludf.DUMMYFUNCTION("""COMPUTED_VALUE"""),"")</f>
        <v/>
      </c>
      <c r="M15286" s="16" t="str">
        <f>IFERROR(__xludf.DUMMYFUNCTION("""COMPUTED_VALUE"""),"")</f>
        <v/>
      </c>
      <c r="U15286" s="16" t="s">
        <v>87</v>
      </c>
      <c r="V15286" s="16" t="str">
        <f>IFERROR(__xludf.DUMMYFUNCTION("""COMPUTED_VALUE"""),"")</f>
        <v/>
      </c>
      <c r="W15286" s="16" t="str">
        <f>IFERROR(__xludf.DUMMYFUNCTION("""COMPUTED_VALUE"""),"")</f>
        <v/>
      </c>
      <c r="X15286" s="16" t="str">
        <f>IFERROR(__xludf.DUMMYFUNCTION("""COMPUTED_VALUE"""),"")</f>
        <v/>
      </c>
      <c r="AC15286" s="16" t="str">
        <f>IFERROR(__xludf.DUMMYFUNCTION("""COMPUTED_VALUE"""),"")</f>
        <v/>
      </c>
    </row>
    <row r="15287">
      <c r="A15287" s="16" t="s">
        <v>87</v>
      </c>
      <c r="E15287" s="16" t="str">
        <f>IFERROR(__xludf.DUMMYFUNCTION("""COMPUTED_VALUE"""),"")</f>
        <v/>
      </c>
      <c r="G15287" s="18"/>
      <c r="H15287" s="16" t="s">
        <v>87</v>
      </c>
      <c r="I15287" s="16" t="s">
        <v>87</v>
      </c>
      <c r="J15287" s="19"/>
      <c r="L15287" s="16" t="str">
        <f>IFERROR(__xludf.DUMMYFUNCTION("""COMPUTED_VALUE"""),"")</f>
        <v/>
      </c>
      <c r="M15287" s="16" t="str">
        <f>IFERROR(__xludf.DUMMYFUNCTION("""COMPUTED_VALUE"""),"")</f>
        <v/>
      </c>
      <c r="U15287" s="16" t="s">
        <v>87</v>
      </c>
      <c r="V15287" s="16" t="str">
        <f>IFERROR(__xludf.DUMMYFUNCTION("""COMPUTED_VALUE"""),"")</f>
        <v/>
      </c>
      <c r="W15287" s="16" t="str">
        <f>IFERROR(__xludf.DUMMYFUNCTION("""COMPUTED_VALUE"""),"")</f>
        <v/>
      </c>
      <c r="X15287" s="16" t="str">
        <f>IFERROR(__xludf.DUMMYFUNCTION("""COMPUTED_VALUE"""),"")</f>
        <v/>
      </c>
      <c r="AC15287" s="16" t="str">
        <f>IFERROR(__xludf.DUMMYFUNCTION("""COMPUTED_VALUE"""),"")</f>
        <v/>
      </c>
    </row>
    <row r="15288">
      <c r="A15288" s="16" t="s">
        <v>87</v>
      </c>
      <c r="E15288" s="16" t="str">
        <f>IFERROR(__xludf.DUMMYFUNCTION("""COMPUTED_VALUE"""),"")</f>
        <v/>
      </c>
      <c r="G15288" s="18"/>
      <c r="H15288" s="16" t="s">
        <v>87</v>
      </c>
      <c r="I15288" s="16" t="s">
        <v>87</v>
      </c>
      <c r="J15288" s="19"/>
      <c r="L15288" s="16" t="str">
        <f>IFERROR(__xludf.DUMMYFUNCTION("""COMPUTED_VALUE"""),"")</f>
        <v/>
      </c>
      <c r="M15288" s="16" t="str">
        <f>IFERROR(__xludf.DUMMYFUNCTION("""COMPUTED_VALUE"""),"")</f>
        <v/>
      </c>
      <c r="U15288" s="16" t="s">
        <v>87</v>
      </c>
      <c r="V15288" s="16" t="str">
        <f>IFERROR(__xludf.DUMMYFUNCTION("""COMPUTED_VALUE"""),"")</f>
        <v/>
      </c>
      <c r="W15288" s="16" t="str">
        <f>IFERROR(__xludf.DUMMYFUNCTION("""COMPUTED_VALUE"""),"")</f>
        <v/>
      </c>
      <c r="X15288" s="16" t="str">
        <f>IFERROR(__xludf.DUMMYFUNCTION("""COMPUTED_VALUE"""),"")</f>
        <v/>
      </c>
      <c r="AC15288" s="16" t="str">
        <f>IFERROR(__xludf.DUMMYFUNCTION("""COMPUTED_VALUE"""),"")</f>
        <v/>
      </c>
    </row>
    <row r="15289">
      <c r="A15289" s="16" t="s">
        <v>87</v>
      </c>
      <c r="E15289" s="16" t="str">
        <f>IFERROR(__xludf.DUMMYFUNCTION("""COMPUTED_VALUE"""),"")</f>
        <v/>
      </c>
      <c r="G15289" s="18"/>
      <c r="H15289" s="16" t="s">
        <v>87</v>
      </c>
      <c r="I15289" s="16" t="s">
        <v>87</v>
      </c>
      <c r="J15289" s="19"/>
      <c r="L15289" s="16" t="str">
        <f>IFERROR(__xludf.DUMMYFUNCTION("""COMPUTED_VALUE"""),"")</f>
        <v/>
      </c>
      <c r="M15289" s="16" t="str">
        <f>IFERROR(__xludf.DUMMYFUNCTION("""COMPUTED_VALUE"""),"")</f>
        <v/>
      </c>
      <c r="U15289" s="16" t="s">
        <v>87</v>
      </c>
      <c r="V15289" s="16" t="str">
        <f>IFERROR(__xludf.DUMMYFUNCTION("""COMPUTED_VALUE"""),"")</f>
        <v/>
      </c>
      <c r="W15289" s="16" t="str">
        <f>IFERROR(__xludf.DUMMYFUNCTION("""COMPUTED_VALUE"""),"")</f>
        <v/>
      </c>
      <c r="X15289" s="16" t="str">
        <f>IFERROR(__xludf.DUMMYFUNCTION("""COMPUTED_VALUE"""),"")</f>
        <v/>
      </c>
      <c r="AC15289" s="16" t="str">
        <f>IFERROR(__xludf.DUMMYFUNCTION("""COMPUTED_VALUE"""),"")</f>
        <v/>
      </c>
    </row>
    <row r="15290">
      <c r="A15290" s="16" t="s">
        <v>87</v>
      </c>
      <c r="E15290" s="16" t="str">
        <f>IFERROR(__xludf.DUMMYFUNCTION("""COMPUTED_VALUE"""),"")</f>
        <v/>
      </c>
      <c r="G15290" s="18"/>
      <c r="H15290" s="16" t="s">
        <v>87</v>
      </c>
      <c r="I15290" s="16" t="s">
        <v>87</v>
      </c>
      <c r="J15290" s="19"/>
      <c r="L15290" s="16" t="str">
        <f>IFERROR(__xludf.DUMMYFUNCTION("""COMPUTED_VALUE"""),"")</f>
        <v/>
      </c>
      <c r="M15290" s="16" t="str">
        <f>IFERROR(__xludf.DUMMYFUNCTION("""COMPUTED_VALUE"""),"")</f>
        <v/>
      </c>
      <c r="U15290" s="16" t="s">
        <v>87</v>
      </c>
      <c r="V15290" s="16" t="str">
        <f>IFERROR(__xludf.DUMMYFUNCTION("""COMPUTED_VALUE"""),"")</f>
        <v/>
      </c>
      <c r="W15290" s="16" t="str">
        <f>IFERROR(__xludf.DUMMYFUNCTION("""COMPUTED_VALUE"""),"")</f>
        <v/>
      </c>
      <c r="X15290" s="16" t="str">
        <f>IFERROR(__xludf.DUMMYFUNCTION("""COMPUTED_VALUE"""),"")</f>
        <v/>
      </c>
      <c r="AC15290" s="16" t="str">
        <f>IFERROR(__xludf.DUMMYFUNCTION("""COMPUTED_VALUE"""),"")</f>
        <v/>
      </c>
    </row>
    <row r="15291">
      <c r="A15291" s="16" t="s">
        <v>87</v>
      </c>
      <c r="E15291" s="16" t="str">
        <f>IFERROR(__xludf.DUMMYFUNCTION("""COMPUTED_VALUE"""),"")</f>
        <v/>
      </c>
      <c r="G15291" s="18"/>
      <c r="H15291" s="16" t="s">
        <v>87</v>
      </c>
      <c r="I15291" s="16" t="s">
        <v>87</v>
      </c>
      <c r="J15291" s="19"/>
      <c r="L15291" s="16" t="str">
        <f>IFERROR(__xludf.DUMMYFUNCTION("""COMPUTED_VALUE"""),"")</f>
        <v/>
      </c>
      <c r="M15291" s="16" t="str">
        <f>IFERROR(__xludf.DUMMYFUNCTION("""COMPUTED_VALUE"""),"")</f>
        <v/>
      </c>
      <c r="U15291" s="16" t="s">
        <v>87</v>
      </c>
      <c r="V15291" s="16" t="str">
        <f>IFERROR(__xludf.DUMMYFUNCTION("""COMPUTED_VALUE"""),"")</f>
        <v/>
      </c>
      <c r="W15291" s="16" t="str">
        <f>IFERROR(__xludf.DUMMYFUNCTION("""COMPUTED_VALUE"""),"")</f>
        <v/>
      </c>
      <c r="X15291" s="16" t="str">
        <f>IFERROR(__xludf.DUMMYFUNCTION("""COMPUTED_VALUE"""),"")</f>
        <v/>
      </c>
      <c r="AC15291" s="16" t="str">
        <f>IFERROR(__xludf.DUMMYFUNCTION("""COMPUTED_VALUE"""),"")</f>
        <v/>
      </c>
    </row>
    <row r="15292">
      <c r="A15292" s="16" t="s">
        <v>87</v>
      </c>
      <c r="E15292" s="16" t="str">
        <f>IFERROR(__xludf.DUMMYFUNCTION("""COMPUTED_VALUE"""),"")</f>
        <v/>
      </c>
      <c r="G15292" s="18"/>
      <c r="H15292" s="16" t="s">
        <v>87</v>
      </c>
      <c r="I15292" s="16" t="s">
        <v>87</v>
      </c>
      <c r="J15292" s="19"/>
      <c r="L15292" s="16" t="str">
        <f>IFERROR(__xludf.DUMMYFUNCTION("""COMPUTED_VALUE"""),"")</f>
        <v/>
      </c>
      <c r="M15292" s="16" t="str">
        <f>IFERROR(__xludf.DUMMYFUNCTION("""COMPUTED_VALUE"""),"")</f>
        <v/>
      </c>
      <c r="U15292" s="16" t="s">
        <v>87</v>
      </c>
      <c r="V15292" s="16" t="str">
        <f>IFERROR(__xludf.DUMMYFUNCTION("""COMPUTED_VALUE"""),"")</f>
        <v/>
      </c>
      <c r="W15292" s="16" t="str">
        <f>IFERROR(__xludf.DUMMYFUNCTION("""COMPUTED_VALUE"""),"")</f>
        <v/>
      </c>
      <c r="X15292" s="16" t="str">
        <f>IFERROR(__xludf.DUMMYFUNCTION("""COMPUTED_VALUE"""),"")</f>
        <v/>
      </c>
      <c r="AC15292" s="16" t="str">
        <f>IFERROR(__xludf.DUMMYFUNCTION("""COMPUTED_VALUE"""),"")</f>
        <v/>
      </c>
    </row>
    <row r="15293">
      <c r="A15293" s="16" t="s">
        <v>87</v>
      </c>
      <c r="E15293" s="16" t="str">
        <f>IFERROR(__xludf.DUMMYFUNCTION("""COMPUTED_VALUE"""),"")</f>
        <v/>
      </c>
      <c r="G15293" s="18"/>
      <c r="H15293" s="16" t="s">
        <v>87</v>
      </c>
      <c r="I15293" s="16" t="s">
        <v>87</v>
      </c>
      <c r="J15293" s="19"/>
      <c r="L15293" s="16" t="str">
        <f>IFERROR(__xludf.DUMMYFUNCTION("""COMPUTED_VALUE"""),"")</f>
        <v/>
      </c>
      <c r="M15293" s="16" t="str">
        <f>IFERROR(__xludf.DUMMYFUNCTION("""COMPUTED_VALUE"""),"")</f>
        <v/>
      </c>
      <c r="U15293" s="16" t="s">
        <v>87</v>
      </c>
      <c r="V15293" s="16" t="str">
        <f>IFERROR(__xludf.DUMMYFUNCTION("""COMPUTED_VALUE"""),"")</f>
        <v/>
      </c>
      <c r="W15293" s="16" t="str">
        <f>IFERROR(__xludf.DUMMYFUNCTION("""COMPUTED_VALUE"""),"")</f>
        <v/>
      </c>
      <c r="X15293" s="16" t="str">
        <f>IFERROR(__xludf.DUMMYFUNCTION("""COMPUTED_VALUE"""),"")</f>
        <v/>
      </c>
      <c r="AC15293" s="16" t="str">
        <f>IFERROR(__xludf.DUMMYFUNCTION("""COMPUTED_VALUE"""),"")</f>
        <v/>
      </c>
    </row>
    <row r="15294">
      <c r="A15294" s="16" t="s">
        <v>87</v>
      </c>
      <c r="E15294" s="16" t="str">
        <f>IFERROR(__xludf.DUMMYFUNCTION("""COMPUTED_VALUE"""),"")</f>
        <v/>
      </c>
      <c r="G15294" s="18"/>
      <c r="H15294" s="16" t="s">
        <v>87</v>
      </c>
      <c r="I15294" s="16" t="s">
        <v>87</v>
      </c>
      <c r="J15294" s="19"/>
      <c r="L15294" s="16" t="str">
        <f>IFERROR(__xludf.DUMMYFUNCTION("""COMPUTED_VALUE"""),"")</f>
        <v/>
      </c>
      <c r="M15294" s="16" t="str">
        <f>IFERROR(__xludf.DUMMYFUNCTION("""COMPUTED_VALUE"""),"")</f>
        <v/>
      </c>
      <c r="U15294" s="16" t="s">
        <v>87</v>
      </c>
      <c r="V15294" s="16" t="str">
        <f>IFERROR(__xludf.DUMMYFUNCTION("""COMPUTED_VALUE"""),"")</f>
        <v/>
      </c>
      <c r="W15294" s="16" t="str">
        <f>IFERROR(__xludf.DUMMYFUNCTION("""COMPUTED_VALUE"""),"")</f>
        <v/>
      </c>
      <c r="X15294" s="16" t="str">
        <f>IFERROR(__xludf.DUMMYFUNCTION("""COMPUTED_VALUE"""),"")</f>
        <v/>
      </c>
      <c r="AC15294" s="16" t="str">
        <f>IFERROR(__xludf.DUMMYFUNCTION("""COMPUTED_VALUE"""),"")</f>
        <v/>
      </c>
    </row>
    <row r="15295">
      <c r="A15295" s="16" t="s">
        <v>87</v>
      </c>
      <c r="E15295" s="16" t="str">
        <f>IFERROR(__xludf.DUMMYFUNCTION("""COMPUTED_VALUE"""),"")</f>
        <v/>
      </c>
      <c r="G15295" s="18"/>
      <c r="H15295" s="16" t="s">
        <v>87</v>
      </c>
      <c r="I15295" s="16" t="s">
        <v>87</v>
      </c>
      <c r="J15295" s="19"/>
      <c r="L15295" s="16" t="str">
        <f>IFERROR(__xludf.DUMMYFUNCTION("""COMPUTED_VALUE"""),"")</f>
        <v/>
      </c>
      <c r="M15295" s="16" t="str">
        <f>IFERROR(__xludf.DUMMYFUNCTION("""COMPUTED_VALUE"""),"")</f>
        <v/>
      </c>
      <c r="U15295" s="16" t="s">
        <v>87</v>
      </c>
      <c r="V15295" s="16" t="str">
        <f>IFERROR(__xludf.DUMMYFUNCTION("""COMPUTED_VALUE"""),"")</f>
        <v/>
      </c>
      <c r="W15295" s="16" t="str">
        <f>IFERROR(__xludf.DUMMYFUNCTION("""COMPUTED_VALUE"""),"")</f>
        <v/>
      </c>
      <c r="X15295" s="16" t="str">
        <f>IFERROR(__xludf.DUMMYFUNCTION("""COMPUTED_VALUE"""),"")</f>
        <v/>
      </c>
      <c r="AC15295" s="16" t="str">
        <f>IFERROR(__xludf.DUMMYFUNCTION("""COMPUTED_VALUE"""),"")</f>
        <v/>
      </c>
    </row>
    <row r="15296">
      <c r="A15296" s="16" t="s">
        <v>87</v>
      </c>
      <c r="E15296" s="16" t="str">
        <f>IFERROR(__xludf.DUMMYFUNCTION("""COMPUTED_VALUE"""),"")</f>
        <v/>
      </c>
      <c r="G15296" s="18"/>
      <c r="H15296" s="16" t="s">
        <v>87</v>
      </c>
      <c r="I15296" s="16" t="s">
        <v>87</v>
      </c>
      <c r="J15296" s="19"/>
      <c r="L15296" s="16" t="str">
        <f>IFERROR(__xludf.DUMMYFUNCTION("""COMPUTED_VALUE"""),"")</f>
        <v/>
      </c>
      <c r="M15296" s="16" t="str">
        <f>IFERROR(__xludf.DUMMYFUNCTION("""COMPUTED_VALUE"""),"")</f>
        <v/>
      </c>
      <c r="U15296" s="16" t="s">
        <v>87</v>
      </c>
      <c r="V15296" s="16" t="str">
        <f>IFERROR(__xludf.DUMMYFUNCTION("""COMPUTED_VALUE"""),"")</f>
        <v/>
      </c>
      <c r="W15296" s="16" t="str">
        <f>IFERROR(__xludf.DUMMYFUNCTION("""COMPUTED_VALUE"""),"")</f>
        <v/>
      </c>
      <c r="X15296" s="16" t="str">
        <f>IFERROR(__xludf.DUMMYFUNCTION("""COMPUTED_VALUE"""),"")</f>
        <v/>
      </c>
      <c r="AC15296" s="16" t="str">
        <f>IFERROR(__xludf.DUMMYFUNCTION("""COMPUTED_VALUE"""),"")</f>
        <v/>
      </c>
    </row>
    <row r="15297">
      <c r="A15297" s="16" t="s">
        <v>87</v>
      </c>
      <c r="E15297" s="16" t="str">
        <f>IFERROR(__xludf.DUMMYFUNCTION("""COMPUTED_VALUE"""),"")</f>
        <v/>
      </c>
      <c r="G15297" s="18"/>
      <c r="H15297" s="16" t="s">
        <v>87</v>
      </c>
      <c r="I15297" s="16" t="s">
        <v>87</v>
      </c>
      <c r="J15297" s="19"/>
      <c r="L15297" s="16" t="str">
        <f>IFERROR(__xludf.DUMMYFUNCTION("""COMPUTED_VALUE"""),"")</f>
        <v/>
      </c>
      <c r="M15297" s="16" t="str">
        <f>IFERROR(__xludf.DUMMYFUNCTION("""COMPUTED_VALUE"""),"")</f>
        <v/>
      </c>
      <c r="U15297" s="16" t="s">
        <v>87</v>
      </c>
      <c r="V15297" s="16" t="str">
        <f>IFERROR(__xludf.DUMMYFUNCTION("""COMPUTED_VALUE"""),"")</f>
        <v/>
      </c>
      <c r="W15297" s="16" t="str">
        <f>IFERROR(__xludf.DUMMYFUNCTION("""COMPUTED_VALUE"""),"")</f>
        <v/>
      </c>
      <c r="X15297" s="16" t="str">
        <f>IFERROR(__xludf.DUMMYFUNCTION("""COMPUTED_VALUE"""),"")</f>
        <v/>
      </c>
      <c r="AC15297" s="16" t="str">
        <f>IFERROR(__xludf.DUMMYFUNCTION("""COMPUTED_VALUE"""),"")</f>
        <v/>
      </c>
    </row>
    <row r="15298">
      <c r="A15298" s="16" t="s">
        <v>87</v>
      </c>
      <c r="E15298" s="16" t="str">
        <f>IFERROR(__xludf.DUMMYFUNCTION("""COMPUTED_VALUE"""),"")</f>
        <v/>
      </c>
      <c r="G15298" s="18"/>
      <c r="H15298" s="16" t="s">
        <v>87</v>
      </c>
      <c r="I15298" s="16" t="s">
        <v>87</v>
      </c>
      <c r="J15298" s="19"/>
      <c r="L15298" s="16" t="str">
        <f>IFERROR(__xludf.DUMMYFUNCTION("""COMPUTED_VALUE"""),"")</f>
        <v/>
      </c>
      <c r="M15298" s="16" t="str">
        <f>IFERROR(__xludf.DUMMYFUNCTION("""COMPUTED_VALUE"""),"")</f>
        <v/>
      </c>
      <c r="U15298" s="16" t="s">
        <v>87</v>
      </c>
      <c r="V15298" s="16" t="str">
        <f>IFERROR(__xludf.DUMMYFUNCTION("""COMPUTED_VALUE"""),"")</f>
        <v/>
      </c>
      <c r="W15298" s="16" t="str">
        <f>IFERROR(__xludf.DUMMYFUNCTION("""COMPUTED_VALUE"""),"")</f>
        <v/>
      </c>
      <c r="X15298" s="16" t="str">
        <f>IFERROR(__xludf.DUMMYFUNCTION("""COMPUTED_VALUE"""),"")</f>
        <v/>
      </c>
      <c r="AC15298" s="16" t="str">
        <f>IFERROR(__xludf.DUMMYFUNCTION("""COMPUTED_VALUE"""),"")</f>
        <v/>
      </c>
    </row>
    <row r="15299">
      <c r="A15299" s="16" t="s">
        <v>87</v>
      </c>
      <c r="E15299" s="16" t="str">
        <f>IFERROR(__xludf.DUMMYFUNCTION("""COMPUTED_VALUE"""),"")</f>
        <v/>
      </c>
      <c r="G15299" s="18"/>
      <c r="H15299" s="16" t="s">
        <v>87</v>
      </c>
      <c r="I15299" s="16" t="s">
        <v>87</v>
      </c>
      <c r="J15299" s="19"/>
      <c r="L15299" s="16" t="str">
        <f>IFERROR(__xludf.DUMMYFUNCTION("""COMPUTED_VALUE"""),"")</f>
        <v/>
      </c>
      <c r="M15299" s="16" t="str">
        <f>IFERROR(__xludf.DUMMYFUNCTION("""COMPUTED_VALUE"""),"")</f>
        <v/>
      </c>
      <c r="U15299" s="16" t="s">
        <v>87</v>
      </c>
      <c r="V15299" s="16" t="str">
        <f>IFERROR(__xludf.DUMMYFUNCTION("""COMPUTED_VALUE"""),"")</f>
        <v/>
      </c>
      <c r="W15299" s="16" t="str">
        <f>IFERROR(__xludf.DUMMYFUNCTION("""COMPUTED_VALUE"""),"")</f>
        <v/>
      </c>
      <c r="X15299" s="16" t="str">
        <f>IFERROR(__xludf.DUMMYFUNCTION("""COMPUTED_VALUE"""),"")</f>
        <v/>
      </c>
      <c r="AC15299" s="16" t="str">
        <f>IFERROR(__xludf.DUMMYFUNCTION("""COMPUTED_VALUE"""),"")</f>
        <v/>
      </c>
    </row>
    <row r="15300">
      <c r="A15300" s="16" t="s">
        <v>87</v>
      </c>
      <c r="E15300" s="16" t="str">
        <f>IFERROR(__xludf.DUMMYFUNCTION("""COMPUTED_VALUE"""),"")</f>
        <v/>
      </c>
      <c r="G15300" s="18"/>
      <c r="H15300" s="16" t="s">
        <v>87</v>
      </c>
      <c r="I15300" s="16" t="s">
        <v>87</v>
      </c>
      <c r="J15300" s="19"/>
      <c r="L15300" s="16" t="str">
        <f>IFERROR(__xludf.DUMMYFUNCTION("""COMPUTED_VALUE"""),"")</f>
        <v/>
      </c>
      <c r="M15300" s="16" t="str">
        <f>IFERROR(__xludf.DUMMYFUNCTION("""COMPUTED_VALUE"""),"")</f>
        <v/>
      </c>
      <c r="U15300" s="16" t="s">
        <v>87</v>
      </c>
      <c r="V15300" s="16" t="str">
        <f>IFERROR(__xludf.DUMMYFUNCTION("""COMPUTED_VALUE"""),"")</f>
        <v/>
      </c>
      <c r="W15300" s="16" t="str">
        <f>IFERROR(__xludf.DUMMYFUNCTION("""COMPUTED_VALUE"""),"")</f>
        <v/>
      </c>
      <c r="X15300" s="16" t="str">
        <f>IFERROR(__xludf.DUMMYFUNCTION("""COMPUTED_VALUE"""),"")</f>
        <v/>
      </c>
      <c r="AC15300" s="16" t="str">
        <f>IFERROR(__xludf.DUMMYFUNCTION("""COMPUTED_VALUE"""),"")</f>
        <v/>
      </c>
    </row>
    <row r="15301">
      <c r="A15301" s="16" t="s">
        <v>87</v>
      </c>
      <c r="E15301" s="16" t="str">
        <f>IFERROR(__xludf.DUMMYFUNCTION("""COMPUTED_VALUE"""),"")</f>
        <v/>
      </c>
      <c r="G15301" s="18"/>
      <c r="H15301" s="16" t="s">
        <v>87</v>
      </c>
      <c r="I15301" s="16" t="s">
        <v>87</v>
      </c>
      <c r="J15301" s="19"/>
      <c r="L15301" s="16" t="str">
        <f>IFERROR(__xludf.DUMMYFUNCTION("""COMPUTED_VALUE"""),"")</f>
        <v/>
      </c>
      <c r="M15301" s="16" t="str">
        <f>IFERROR(__xludf.DUMMYFUNCTION("""COMPUTED_VALUE"""),"")</f>
        <v/>
      </c>
      <c r="U15301" s="16" t="s">
        <v>87</v>
      </c>
      <c r="V15301" s="16" t="str">
        <f>IFERROR(__xludf.DUMMYFUNCTION("""COMPUTED_VALUE"""),"")</f>
        <v/>
      </c>
      <c r="W15301" s="16" t="str">
        <f>IFERROR(__xludf.DUMMYFUNCTION("""COMPUTED_VALUE"""),"")</f>
        <v/>
      </c>
      <c r="X15301" s="16" t="str">
        <f>IFERROR(__xludf.DUMMYFUNCTION("""COMPUTED_VALUE"""),"")</f>
        <v/>
      </c>
      <c r="AC15301" s="16" t="str">
        <f>IFERROR(__xludf.DUMMYFUNCTION("""COMPUTED_VALUE"""),"")</f>
        <v/>
      </c>
    </row>
    <row r="15302">
      <c r="A15302" s="16" t="s">
        <v>87</v>
      </c>
      <c r="E15302" s="16" t="str">
        <f>IFERROR(__xludf.DUMMYFUNCTION("""COMPUTED_VALUE"""),"")</f>
        <v/>
      </c>
      <c r="G15302" s="18"/>
      <c r="H15302" s="16" t="s">
        <v>87</v>
      </c>
      <c r="I15302" s="16" t="s">
        <v>87</v>
      </c>
      <c r="J15302" s="19"/>
      <c r="L15302" s="16" t="str">
        <f>IFERROR(__xludf.DUMMYFUNCTION("""COMPUTED_VALUE"""),"")</f>
        <v/>
      </c>
      <c r="M15302" s="16" t="str">
        <f>IFERROR(__xludf.DUMMYFUNCTION("""COMPUTED_VALUE"""),"")</f>
        <v/>
      </c>
      <c r="U15302" s="16" t="s">
        <v>87</v>
      </c>
      <c r="V15302" s="16" t="str">
        <f>IFERROR(__xludf.DUMMYFUNCTION("""COMPUTED_VALUE"""),"")</f>
        <v/>
      </c>
      <c r="W15302" s="16" t="str">
        <f>IFERROR(__xludf.DUMMYFUNCTION("""COMPUTED_VALUE"""),"")</f>
        <v/>
      </c>
      <c r="X15302" s="16" t="str">
        <f>IFERROR(__xludf.DUMMYFUNCTION("""COMPUTED_VALUE"""),"")</f>
        <v/>
      </c>
      <c r="AC15302" s="16" t="str">
        <f>IFERROR(__xludf.DUMMYFUNCTION("""COMPUTED_VALUE"""),"")</f>
        <v/>
      </c>
    </row>
    <row r="15303">
      <c r="A15303" s="16" t="s">
        <v>87</v>
      </c>
      <c r="E15303" s="16" t="str">
        <f>IFERROR(__xludf.DUMMYFUNCTION("""COMPUTED_VALUE"""),"")</f>
        <v/>
      </c>
      <c r="G15303" s="18"/>
      <c r="H15303" s="16" t="s">
        <v>87</v>
      </c>
      <c r="I15303" s="16" t="s">
        <v>87</v>
      </c>
      <c r="J15303" s="19"/>
      <c r="L15303" s="16" t="str">
        <f>IFERROR(__xludf.DUMMYFUNCTION("""COMPUTED_VALUE"""),"")</f>
        <v/>
      </c>
      <c r="M15303" s="16" t="str">
        <f>IFERROR(__xludf.DUMMYFUNCTION("""COMPUTED_VALUE"""),"")</f>
        <v/>
      </c>
      <c r="U15303" s="16" t="s">
        <v>87</v>
      </c>
      <c r="V15303" s="16" t="str">
        <f>IFERROR(__xludf.DUMMYFUNCTION("""COMPUTED_VALUE"""),"")</f>
        <v/>
      </c>
      <c r="W15303" s="16" t="str">
        <f>IFERROR(__xludf.DUMMYFUNCTION("""COMPUTED_VALUE"""),"")</f>
        <v/>
      </c>
      <c r="X15303" s="16" t="str">
        <f>IFERROR(__xludf.DUMMYFUNCTION("""COMPUTED_VALUE"""),"")</f>
        <v/>
      </c>
      <c r="AC15303" s="16" t="str">
        <f>IFERROR(__xludf.DUMMYFUNCTION("""COMPUTED_VALUE"""),"")</f>
        <v/>
      </c>
    </row>
    <row r="15304">
      <c r="A15304" s="16" t="s">
        <v>87</v>
      </c>
      <c r="E15304" s="16" t="str">
        <f>IFERROR(__xludf.DUMMYFUNCTION("""COMPUTED_VALUE"""),"")</f>
        <v/>
      </c>
      <c r="G15304" s="18"/>
      <c r="H15304" s="16" t="s">
        <v>87</v>
      </c>
      <c r="I15304" s="16" t="s">
        <v>87</v>
      </c>
      <c r="J15304" s="19"/>
      <c r="L15304" s="16" t="str">
        <f>IFERROR(__xludf.DUMMYFUNCTION("""COMPUTED_VALUE"""),"")</f>
        <v/>
      </c>
      <c r="M15304" s="16" t="str">
        <f>IFERROR(__xludf.DUMMYFUNCTION("""COMPUTED_VALUE"""),"")</f>
        <v/>
      </c>
      <c r="U15304" s="16" t="s">
        <v>87</v>
      </c>
      <c r="V15304" s="16" t="str">
        <f>IFERROR(__xludf.DUMMYFUNCTION("""COMPUTED_VALUE"""),"")</f>
        <v/>
      </c>
      <c r="W15304" s="16" t="str">
        <f>IFERROR(__xludf.DUMMYFUNCTION("""COMPUTED_VALUE"""),"")</f>
        <v/>
      </c>
      <c r="X15304" s="16" t="str">
        <f>IFERROR(__xludf.DUMMYFUNCTION("""COMPUTED_VALUE"""),"")</f>
        <v/>
      </c>
      <c r="AC15304" s="16" t="str">
        <f>IFERROR(__xludf.DUMMYFUNCTION("""COMPUTED_VALUE"""),"")</f>
        <v/>
      </c>
    </row>
    <row r="15305">
      <c r="A15305" s="16" t="s">
        <v>87</v>
      </c>
      <c r="E15305" s="16" t="str">
        <f>IFERROR(__xludf.DUMMYFUNCTION("""COMPUTED_VALUE"""),"")</f>
        <v/>
      </c>
      <c r="G15305" s="18"/>
      <c r="H15305" s="16" t="s">
        <v>87</v>
      </c>
      <c r="I15305" s="16" t="s">
        <v>87</v>
      </c>
      <c r="J15305" s="19"/>
      <c r="L15305" s="16" t="str">
        <f>IFERROR(__xludf.DUMMYFUNCTION("""COMPUTED_VALUE"""),"")</f>
        <v/>
      </c>
      <c r="M15305" s="16" t="str">
        <f>IFERROR(__xludf.DUMMYFUNCTION("""COMPUTED_VALUE"""),"")</f>
        <v/>
      </c>
      <c r="U15305" s="16" t="s">
        <v>87</v>
      </c>
      <c r="V15305" s="16" t="str">
        <f>IFERROR(__xludf.DUMMYFUNCTION("""COMPUTED_VALUE"""),"")</f>
        <v/>
      </c>
      <c r="W15305" s="16" t="str">
        <f>IFERROR(__xludf.DUMMYFUNCTION("""COMPUTED_VALUE"""),"")</f>
        <v/>
      </c>
      <c r="X15305" s="16" t="str">
        <f>IFERROR(__xludf.DUMMYFUNCTION("""COMPUTED_VALUE"""),"")</f>
        <v/>
      </c>
      <c r="AC15305" s="16" t="str">
        <f>IFERROR(__xludf.DUMMYFUNCTION("""COMPUTED_VALUE"""),"")</f>
        <v/>
      </c>
    </row>
    <row r="15306">
      <c r="A15306" s="16" t="s">
        <v>87</v>
      </c>
      <c r="E15306" s="16" t="str">
        <f>IFERROR(__xludf.DUMMYFUNCTION("""COMPUTED_VALUE"""),"")</f>
        <v/>
      </c>
      <c r="G15306" s="18"/>
      <c r="H15306" s="16" t="s">
        <v>87</v>
      </c>
      <c r="I15306" s="16" t="s">
        <v>87</v>
      </c>
      <c r="J15306" s="19"/>
      <c r="L15306" s="16" t="str">
        <f>IFERROR(__xludf.DUMMYFUNCTION("""COMPUTED_VALUE"""),"")</f>
        <v/>
      </c>
      <c r="M15306" s="16" t="str">
        <f>IFERROR(__xludf.DUMMYFUNCTION("""COMPUTED_VALUE"""),"")</f>
        <v/>
      </c>
      <c r="U15306" s="16" t="s">
        <v>87</v>
      </c>
      <c r="V15306" s="16" t="str">
        <f>IFERROR(__xludf.DUMMYFUNCTION("""COMPUTED_VALUE"""),"")</f>
        <v/>
      </c>
      <c r="W15306" s="16" t="str">
        <f>IFERROR(__xludf.DUMMYFUNCTION("""COMPUTED_VALUE"""),"")</f>
        <v/>
      </c>
      <c r="X15306" s="16" t="str">
        <f>IFERROR(__xludf.DUMMYFUNCTION("""COMPUTED_VALUE"""),"")</f>
        <v/>
      </c>
      <c r="AC15306" s="16" t="str">
        <f>IFERROR(__xludf.DUMMYFUNCTION("""COMPUTED_VALUE"""),"")</f>
        <v/>
      </c>
    </row>
    <row r="15307">
      <c r="A15307" s="16" t="s">
        <v>87</v>
      </c>
      <c r="E15307" s="16" t="str">
        <f>IFERROR(__xludf.DUMMYFUNCTION("""COMPUTED_VALUE"""),"")</f>
        <v/>
      </c>
      <c r="G15307" s="18"/>
      <c r="H15307" s="16" t="s">
        <v>87</v>
      </c>
      <c r="I15307" s="16" t="s">
        <v>87</v>
      </c>
      <c r="J15307" s="19"/>
      <c r="L15307" s="16" t="str">
        <f>IFERROR(__xludf.DUMMYFUNCTION("""COMPUTED_VALUE"""),"")</f>
        <v/>
      </c>
      <c r="M15307" s="16" t="str">
        <f>IFERROR(__xludf.DUMMYFUNCTION("""COMPUTED_VALUE"""),"")</f>
        <v/>
      </c>
      <c r="U15307" s="16" t="s">
        <v>87</v>
      </c>
      <c r="V15307" s="16" t="str">
        <f>IFERROR(__xludf.DUMMYFUNCTION("""COMPUTED_VALUE"""),"")</f>
        <v/>
      </c>
      <c r="W15307" s="16" t="str">
        <f>IFERROR(__xludf.DUMMYFUNCTION("""COMPUTED_VALUE"""),"")</f>
        <v/>
      </c>
      <c r="X15307" s="16" t="str">
        <f>IFERROR(__xludf.DUMMYFUNCTION("""COMPUTED_VALUE"""),"")</f>
        <v/>
      </c>
      <c r="AC15307" s="16" t="str">
        <f>IFERROR(__xludf.DUMMYFUNCTION("""COMPUTED_VALUE"""),"")</f>
        <v/>
      </c>
    </row>
    <row r="15308">
      <c r="A15308" s="16" t="s">
        <v>87</v>
      </c>
      <c r="E15308" s="16" t="str">
        <f>IFERROR(__xludf.DUMMYFUNCTION("""COMPUTED_VALUE"""),"")</f>
        <v/>
      </c>
      <c r="G15308" s="18"/>
      <c r="H15308" s="16" t="s">
        <v>87</v>
      </c>
      <c r="I15308" s="16" t="s">
        <v>87</v>
      </c>
      <c r="J15308" s="19"/>
      <c r="L15308" s="16" t="str">
        <f>IFERROR(__xludf.DUMMYFUNCTION("""COMPUTED_VALUE"""),"")</f>
        <v/>
      </c>
      <c r="M15308" s="16" t="str">
        <f>IFERROR(__xludf.DUMMYFUNCTION("""COMPUTED_VALUE"""),"")</f>
        <v/>
      </c>
      <c r="U15308" s="16" t="s">
        <v>87</v>
      </c>
      <c r="V15308" s="16" t="str">
        <f>IFERROR(__xludf.DUMMYFUNCTION("""COMPUTED_VALUE"""),"")</f>
        <v/>
      </c>
      <c r="W15308" s="16" t="str">
        <f>IFERROR(__xludf.DUMMYFUNCTION("""COMPUTED_VALUE"""),"")</f>
        <v/>
      </c>
      <c r="X15308" s="16" t="str">
        <f>IFERROR(__xludf.DUMMYFUNCTION("""COMPUTED_VALUE"""),"")</f>
        <v/>
      </c>
      <c r="AC15308" s="16" t="str">
        <f>IFERROR(__xludf.DUMMYFUNCTION("""COMPUTED_VALUE"""),"")</f>
        <v/>
      </c>
    </row>
    <row r="15309">
      <c r="A15309" s="16" t="s">
        <v>87</v>
      </c>
      <c r="E15309" s="16" t="str">
        <f>IFERROR(__xludf.DUMMYFUNCTION("""COMPUTED_VALUE"""),"")</f>
        <v/>
      </c>
      <c r="G15309" s="18"/>
      <c r="H15309" s="16" t="s">
        <v>87</v>
      </c>
      <c r="I15309" s="16" t="s">
        <v>87</v>
      </c>
      <c r="J15309" s="19"/>
      <c r="L15309" s="16" t="str">
        <f>IFERROR(__xludf.DUMMYFUNCTION("""COMPUTED_VALUE"""),"")</f>
        <v/>
      </c>
      <c r="M15309" s="16" t="str">
        <f>IFERROR(__xludf.DUMMYFUNCTION("""COMPUTED_VALUE"""),"")</f>
        <v/>
      </c>
      <c r="U15309" s="16" t="s">
        <v>87</v>
      </c>
      <c r="V15309" s="16" t="str">
        <f>IFERROR(__xludf.DUMMYFUNCTION("""COMPUTED_VALUE"""),"")</f>
        <v/>
      </c>
      <c r="W15309" s="16" t="str">
        <f>IFERROR(__xludf.DUMMYFUNCTION("""COMPUTED_VALUE"""),"")</f>
        <v/>
      </c>
      <c r="X15309" s="16" t="str">
        <f>IFERROR(__xludf.DUMMYFUNCTION("""COMPUTED_VALUE"""),"")</f>
        <v/>
      </c>
      <c r="AC15309" s="16" t="str">
        <f>IFERROR(__xludf.DUMMYFUNCTION("""COMPUTED_VALUE"""),"")</f>
        <v/>
      </c>
    </row>
    <row r="15310">
      <c r="A15310" s="16" t="s">
        <v>87</v>
      </c>
      <c r="E15310" s="16" t="str">
        <f>IFERROR(__xludf.DUMMYFUNCTION("""COMPUTED_VALUE"""),"")</f>
        <v/>
      </c>
      <c r="G15310" s="18"/>
      <c r="H15310" s="16" t="s">
        <v>87</v>
      </c>
      <c r="I15310" s="16" t="s">
        <v>87</v>
      </c>
      <c r="J15310" s="19"/>
      <c r="L15310" s="16" t="str">
        <f>IFERROR(__xludf.DUMMYFUNCTION("""COMPUTED_VALUE"""),"")</f>
        <v/>
      </c>
      <c r="M15310" s="16" t="str">
        <f>IFERROR(__xludf.DUMMYFUNCTION("""COMPUTED_VALUE"""),"")</f>
        <v/>
      </c>
      <c r="U15310" s="16" t="s">
        <v>87</v>
      </c>
      <c r="V15310" s="16" t="str">
        <f>IFERROR(__xludf.DUMMYFUNCTION("""COMPUTED_VALUE"""),"")</f>
        <v/>
      </c>
      <c r="W15310" s="16" t="str">
        <f>IFERROR(__xludf.DUMMYFUNCTION("""COMPUTED_VALUE"""),"")</f>
        <v/>
      </c>
      <c r="X15310" s="16" t="str">
        <f>IFERROR(__xludf.DUMMYFUNCTION("""COMPUTED_VALUE"""),"")</f>
        <v/>
      </c>
      <c r="AC15310" s="16" t="str">
        <f>IFERROR(__xludf.DUMMYFUNCTION("""COMPUTED_VALUE"""),"")</f>
        <v/>
      </c>
    </row>
    <row r="15311">
      <c r="A15311" s="16" t="s">
        <v>87</v>
      </c>
      <c r="E15311" s="16" t="str">
        <f>IFERROR(__xludf.DUMMYFUNCTION("""COMPUTED_VALUE"""),"")</f>
        <v/>
      </c>
      <c r="G15311" s="18"/>
      <c r="H15311" s="16" t="s">
        <v>87</v>
      </c>
      <c r="I15311" s="16" t="s">
        <v>87</v>
      </c>
      <c r="J15311" s="19"/>
      <c r="L15311" s="16" t="str">
        <f>IFERROR(__xludf.DUMMYFUNCTION("""COMPUTED_VALUE"""),"")</f>
        <v/>
      </c>
      <c r="M15311" s="16" t="str">
        <f>IFERROR(__xludf.DUMMYFUNCTION("""COMPUTED_VALUE"""),"")</f>
        <v/>
      </c>
      <c r="U15311" s="16" t="s">
        <v>87</v>
      </c>
      <c r="V15311" s="16" t="str">
        <f>IFERROR(__xludf.DUMMYFUNCTION("""COMPUTED_VALUE"""),"")</f>
        <v/>
      </c>
      <c r="W15311" s="16" t="str">
        <f>IFERROR(__xludf.DUMMYFUNCTION("""COMPUTED_VALUE"""),"")</f>
        <v/>
      </c>
      <c r="X15311" s="16" t="str">
        <f>IFERROR(__xludf.DUMMYFUNCTION("""COMPUTED_VALUE"""),"")</f>
        <v/>
      </c>
      <c r="AC15311" s="16" t="str">
        <f>IFERROR(__xludf.DUMMYFUNCTION("""COMPUTED_VALUE"""),"")</f>
        <v/>
      </c>
    </row>
    <row r="15312">
      <c r="A15312" s="16" t="s">
        <v>87</v>
      </c>
      <c r="E15312" s="16" t="str">
        <f>IFERROR(__xludf.DUMMYFUNCTION("""COMPUTED_VALUE"""),"")</f>
        <v/>
      </c>
      <c r="G15312" s="18"/>
      <c r="H15312" s="16" t="s">
        <v>87</v>
      </c>
      <c r="I15312" s="16" t="s">
        <v>87</v>
      </c>
      <c r="J15312" s="19"/>
      <c r="L15312" s="16" t="str">
        <f>IFERROR(__xludf.DUMMYFUNCTION("""COMPUTED_VALUE"""),"")</f>
        <v/>
      </c>
      <c r="M15312" s="16" t="str">
        <f>IFERROR(__xludf.DUMMYFUNCTION("""COMPUTED_VALUE"""),"")</f>
        <v/>
      </c>
      <c r="U15312" s="16" t="s">
        <v>87</v>
      </c>
      <c r="V15312" s="16" t="str">
        <f>IFERROR(__xludf.DUMMYFUNCTION("""COMPUTED_VALUE"""),"")</f>
        <v/>
      </c>
      <c r="W15312" s="16" t="str">
        <f>IFERROR(__xludf.DUMMYFUNCTION("""COMPUTED_VALUE"""),"")</f>
        <v/>
      </c>
      <c r="X15312" s="16" t="str">
        <f>IFERROR(__xludf.DUMMYFUNCTION("""COMPUTED_VALUE"""),"")</f>
        <v/>
      </c>
      <c r="AC15312" s="16" t="str">
        <f>IFERROR(__xludf.DUMMYFUNCTION("""COMPUTED_VALUE"""),"")</f>
        <v/>
      </c>
    </row>
    <row r="15313">
      <c r="A15313" s="16" t="s">
        <v>87</v>
      </c>
      <c r="E15313" s="16" t="str">
        <f>IFERROR(__xludf.DUMMYFUNCTION("""COMPUTED_VALUE"""),"")</f>
        <v/>
      </c>
      <c r="G15313" s="18"/>
      <c r="H15313" s="16" t="s">
        <v>87</v>
      </c>
      <c r="I15313" s="16" t="s">
        <v>87</v>
      </c>
      <c r="J15313" s="19"/>
      <c r="L15313" s="16" t="str">
        <f>IFERROR(__xludf.DUMMYFUNCTION("""COMPUTED_VALUE"""),"")</f>
        <v/>
      </c>
      <c r="M15313" s="16" t="str">
        <f>IFERROR(__xludf.DUMMYFUNCTION("""COMPUTED_VALUE"""),"")</f>
        <v/>
      </c>
      <c r="U15313" s="16" t="s">
        <v>87</v>
      </c>
      <c r="V15313" s="16" t="str">
        <f>IFERROR(__xludf.DUMMYFUNCTION("""COMPUTED_VALUE"""),"")</f>
        <v/>
      </c>
      <c r="W15313" s="16" t="str">
        <f>IFERROR(__xludf.DUMMYFUNCTION("""COMPUTED_VALUE"""),"")</f>
        <v/>
      </c>
      <c r="X15313" s="16" t="str">
        <f>IFERROR(__xludf.DUMMYFUNCTION("""COMPUTED_VALUE"""),"")</f>
        <v/>
      </c>
      <c r="AC15313" s="16" t="str">
        <f>IFERROR(__xludf.DUMMYFUNCTION("""COMPUTED_VALUE"""),"")</f>
        <v/>
      </c>
    </row>
    <row r="15314">
      <c r="A15314" s="16" t="s">
        <v>87</v>
      </c>
      <c r="E15314" s="16" t="str">
        <f>IFERROR(__xludf.DUMMYFUNCTION("""COMPUTED_VALUE"""),"")</f>
        <v/>
      </c>
      <c r="G15314" s="18"/>
      <c r="H15314" s="16" t="s">
        <v>87</v>
      </c>
      <c r="I15314" s="16" t="s">
        <v>87</v>
      </c>
      <c r="J15314" s="19"/>
      <c r="L15314" s="16" t="str">
        <f>IFERROR(__xludf.DUMMYFUNCTION("""COMPUTED_VALUE"""),"")</f>
        <v/>
      </c>
      <c r="M15314" s="16" t="str">
        <f>IFERROR(__xludf.DUMMYFUNCTION("""COMPUTED_VALUE"""),"")</f>
        <v/>
      </c>
      <c r="U15314" s="16" t="s">
        <v>87</v>
      </c>
      <c r="V15314" s="16" t="str">
        <f>IFERROR(__xludf.DUMMYFUNCTION("""COMPUTED_VALUE"""),"")</f>
        <v/>
      </c>
      <c r="W15314" s="16" t="str">
        <f>IFERROR(__xludf.DUMMYFUNCTION("""COMPUTED_VALUE"""),"")</f>
        <v/>
      </c>
      <c r="X15314" s="16" t="str">
        <f>IFERROR(__xludf.DUMMYFUNCTION("""COMPUTED_VALUE"""),"")</f>
        <v/>
      </c>
      <c r="AC15314" s="16" t="str">
        <f>IFERROR(__xludf.DUMMYFUNCTION("""COMPUTED_VALUE"""),"")</f>
        <v/>
      </c>
    </row>
    <row r="15315">
      <c r="A15315" s="16" t="s">
        <v>87</v>
      </c>
      <c r="E15315" s="16" t="str">
        <f>IFERROR(__xludf.DUMMYFUNCTION("""COMPUTED_VALUE"""),"")</f>
        <v/>
      </c>
      <c r="G15315" s="18"/>
      <c r="H15315" s="16" t="s">
        <v>87</v>
      </c>
      <c r="I15315" s="16" t="s">
        <v>87</v>
      </c>
      <c r="J15315" s="19"/>
      <c r="L15315" s="16" t="str">
        <f>IFERROR(__xludf.DUMMYFUNCTION("""COMPUTED_VALUE"""),"")</f>
        <v/>
      </c>
      <c r="M15315" s="16" t="str">
        <f>IFERROR(__xludf.DUMMYFUNCTION("""COMPUTED_VALUE"""),"")</f>
        <v/>
      </c>
      <c r="U15315" s="16" t="s">
        <v>87</v>
      </c>
      <c r="V15315" s="16" t="str">
        <f>IFERROR(__xludf.DUMMYFUNCTION("""COMPUTED_VALUE"""),"")</f>
        <v/>
      </c>
      <c r="W15315" s="16" t="str">
        <f>IFERROR(__xludf.DUMMYFUNCTION("""COMPUTED_VALUE"""),"")</f>
        <v/>
      </c>
      <c r="X15315" s="16" t="str">
        <f>IFERROR(__xludf.DUMMYFUNCTION("""COMPUTED_VALUE"""),"")</f>
        <v/>
      </c>
      <c r="AC15315" s="16" t="str">
        <f>IFERROR(__xludf.DUMMYFUNCTION("""COMPUTED_VALUE"""),"")</f>
        <v/>
      </c>
    </row>
    <row r="15316">
      <c r="A15316" s="16" t="s">
        <v>87</v>
      </c>
      <c r="E15316" s="16" t="str">
        <f>IFERROR(__xludf.DUMMYFUNCTION("""COMPUTED_VALUE"""),"")</f>
        <v/>
      </c>
      <c r="G15316" s="18"/>
      <c r="H15316" s="16" t="s">
        <v>87</v>
      </c>
      <c r="I15316" s="16" t="s">
        <v>87</v>
      </c>
      <c r="J15316" s="19"/>
      <c r="L15316" s="16" t="str">
        <f>IFERROR(__xludf.DUMMYFUNCTION("""COMPUTED_VALUE"""),"")</f>
        <v/>
      </c>
      <c r="M15316" s="16" t="str">
        <f>IFERROR(__xludf.DUMMYFUNCTION("""COMPUTED_VALUE"""),"")</f>
        <v/>
      </c>
      <c r="U15316" s="16" t="s">
        <v>87</v>
      </c>
      <c r="V15316" s="16" t="str">
        <f>IFERROR(__xludf.DUMMYFUNCTION("""COMPUTED_VALUE"""),"")</f>
        <v/>
      </c>
      <c r="W15316" s="16" t="str">
        <f>IFERROR(__xludf.DUMMYFUNCTION("""COMPUTED_VALUE"""),"")</f>
        <v/>
      </c>
      <c r="X15316" s="16" t="str">
        <f>IFERROR(__xludf.DUMMYFUNCTION("""COMPUTED_VALUE"""),"")</f>
        <v/>
      </c>
      <c r="AC15316" s="16" t="str">
        <f>IFERROR(__xludf.DUMMYFUNCTION("""COMPUTED_VALUE"""),"")</f>
        <v/>
      </c>
    </row>
    <row r="15317">
      <c r="A15317" s="16" t="s">
        <v>87</v>
      </c>
      <c r="E15317" s="16" t="str">
        <f>IFERROR(__xludf.DUMMYFUNCTION("""COMPUTED_VALUE"""),"")</f>
        <v/>
      </c>
      <c r="G15317" s="18"/>
      <c r="H15317" s="16" t="s">
        <v>87</v>
      </c>
      <c r="I15317" s="16" t="s">
        <v>87</v>
      </c>
      <c r="J15317" s="19"/>
      <c r="L15317" s="16" t="str">
        <f>IFERROR(__xludf.DUMMYFUNCTION("""COMPUTED_VALUE"""),"")</f>
        <v/>
      </c>
      <c r="M15317" s="16" t="str">
        <f>IFERROR(__xludf.DUMMYFUNCTION("""COMPUTED_VALUE"""),"")</f>
        <v/>
      </c>
      <c r="U15317" s="16" t="s">
        <v>87</v>
      </c>
      <c r="V15317" s="16" t="str">
        <f>IFERROR(__xludf.DUMMYFUNCTION("""COMPUTED_VALUE"""),"")</f>
        <v/>
      </c>
      <c r="W15317" s="16" t="str">
        <f>IFERROR(__xludf.DUMMYFUNCTION("""COMPUTED_VALUE"""),"")</f>
        <v/>
      </c>
      <c r="X15317" s="16" t="str">
        <f>IFERROR(__xludf.DUMMYFUNCTION("""COMPUTED_VALUE"""),"")</f>
        <v/>
      </c>
      <c r="AC15317" s="16" t="str">
        <f>IFERROR(__xludf.DUMMYFUNCTION("""COMPUTED_VALUE"""),"")</f>
        <v/>
      </c>
    </row>
    <row r="15318">
      <c r="A15318" s="16" t="s">
        <v>87</v>
      </c>
      <c r="E15318" s="16" t="str">
        <f>IFERROR(__xludf.DUMMYFUNCTION("""COMPUTED_VALUE"""),"")</f>
        <v/>
      </c>
      <c r="G15318" s="18"/>
      <c r="H15318" s="16" t="s">
        <v>87</v>
      </c>
      <c r="I15318" s="16" t="s">
        <v>87</v>
      </c>
      <c r="J15318" s="19"/>
      <c r="L15318" s="16" t="str">
        <f>IFERROR(__xludf.DUMMYFUNCTION("""COMPUTED_VALUE"""),"")</f>
        <v/>
      </c>
      <c r="M15318" s="16" t="str">
        <f>IFERROR(__xludf.DUMMYFUNCTION("""COMPUTED_VALUE"""),"")</f>
        <v/>
      </c>
      <c r="U15318" s="16" t="s">
        <v>87</v>
      </c>
      <c r="V15318" s="16" t="str">
        <f>IFERROR(__xludf.DUMMYFUNCTION("""COMPUTED_VALUE"""),"")</f>
        <v/>
      </c>
      <c r="W15318" s="16" t="str">
        <f>IFERROR(__xludf.DUMMYFUNCTION("""COMPUTED_VALUE"""),"")</f>
        <v/>
      </c>
      <c r="X15318" s="16" t="str">
        <f>IFERROR(__xludf.DUMMYFUNCTION("""COMPUTED_VALUE"""),"")</f>
        <v/>
      </c>
      <c r="AC15318" s="16" t="str">
        <f>IFERROR(__xludf.DUMMYFUNCTION("""COMPUTED_VALUE"""),"")</f>
        <v/>
      </c>
    </row>
    <row r="15319">
      <c r="A15319" s="16" t="s">
        <v>87</v>
      </c>
      <c r="E15319" s="16" t="str">
        <f>IFERROR(__xludf.DUMMYFUNCTION("""COMPUTED_VALUE"""),"")</f>
        <v/>
      </c>
      <c r="G15319" s="18"/>
      <c r="H15319" s="16" t="s">
        <v>87</v>
      </c>
      <c r="I15319" s="16" t="s">
        <v>87</v>
      </c>
      <c r="J15319" s="19"/>
      <c r="L15319" s="16" t="str">
        <f>IFERROR(__xludf.DUMMYFUNCTION("""COMPUTED_VALUE"""),"")</f>
        <v/>
      </c>
      <c r="M15319" s="16" t="str">
        <f>IFERROR(__xludf.DUMMYFUNCTION("""COMPUTED_VALUE"""),"")</f>
        <v/>
      </c>
      <c r="U15319" s="16" t="s">
        <v>87</v>
      </c>
      <c r="V15319" s="16" t="str">
        <f>IFERROR(__xludf.DUMMYFUNCTION("""COMPUTED_VALUE"""),"")</f>
        <v/>
      </c>
      <c r="W15319" s="16" t="str">
        <f>IFERROR(__xludf.DUMMYFUNCTION("""COMPUTED_VALUE"""),"")</f>
        <v/>
      </c>
      <c r="X15319" s="16" t="str">
        <f>IFERROR(__xludf.DUMMYFUNCTION("""COMPUTED_VALUE"""),"")</f>
        <v/>
      </c>
      <c r="AC15319" s="16" t="str">
        <f>IFERROR(__xludf.DUMMYFUNCTION("""COMPUTED_VALUE"""),"")</f>
        <v/>
      </c>
    </row>
    <row r="15320">
      <c r="A15320" s="16" t="s">
        <v>87</v>
      </c>
      <c r="E15320" s="16" t="str">
        <f>IFERROR(__xludf.DUMMYFUNCTION("""COMPUTED_VALUE"""),"")</f>
        <v/>
      </c>
      <c r="G15320" s="18"/>
      <c r="H15320" s="16" t="s">
        <v>87</v>
      </c>
      <c r="I15320" s="16" t="s">
        <v>87</v>
      </c>
      <c r="J15320" s="19"/>
      <c r="L15320" s="16" t="str">
        <f>IFERROR(__xludf.DUMMYFUNCTION("""COMPUTED_VALUE"""),"")</f>
        <v/>
      </c>
      <c r="M15320" s="16" t="str">
        <f>IFERROR(__xludf.DUMMYFUNCTION("""COMPUTED_VALUE"""),"")</f>
        <v/>
      </c>
      <c r="U15320" s="16" t="s">
        <v>87</v>
      </c>
      <c r="V15320" s="16" t="str">
        <f>IFERROR(__xludf.DUMMYFUNCTION("""COMPUTED_VALUE"""),"")</f>
        <v/>
      </c>
      <c r="W15320" s="16" t="str">
        <f>IFERROR(__xludf.DUMMYFUNCTION("""COMPUTED_VALUE"""),"")</f>
        <v/>
      </c>
      <c r="X15320" s="16" t="str">
        <f>IFERROR(__xludf.DUMMYFUNCTION("""COMPUTED_VALUE"""),"")</f>
        <v/>
      </c>
      <c r="AC15320" s="16" t="str">
        <f>IFERROR(__xludf.DUMMYFUNCTION("""COMPUTED_VALUE"""),"")</f>
        <v/>
      </c>
    </row>
    <row r="15321">
      <c r="A15321" s="16" t="s">
        <v>87</v>
      </c>
      <c r="E15321" s="16" t="str">
        <f>IFERROR(__xludf.DUMMYFUNCTION("""COMPUTED_VALUE"""),"")</f>
        <v/>
      </c>
      <c r="G15321" s="18"/>
      <c r="H15321" s="16" t="s">
        <v>87</v>
      </c>
      <c r="I15321" s="16" t="s">
        <v>87</v>
      </c>
      <c r="J15321" s="19"/>
      <c r="L15321" s="16" t="str">
        <f>IFERROR(__xludf.DUMMYFUNCTION("""COMPUTED_VALUE"""),"")</f>
        <v/>
      </c>
      <c r="M15321" s="16" t="str">
        <f>IFERROR(__xludf.DUMMYFUNCTION("""COMPUTED_VALUE"""),"")</f>
        <v/>
      </c>
      <c r="U15321" s="16" t="s">
        <v>87</v>
      </c>
      <c r="V15321" s="16" t="str">
        <f>IFERROR(__xludf.DUMMYFUNCTION("""COMPUTED_VALUE"""),"")</f>
        <v/>
      </c>
      <c r="W15321" s="16" t="str">
        <f>IFERROR(__xludf.DUMMYFUNCTION("""COMPUTED_VALUE"""),"")</f>
        <v/>
      </c>
      <c r="X15321" s="16" t="str">
        <f>IFERROR(__xludf.DUMMYFUNCTION("""COMPUTED_VALUE"""),"")</f>
        <v/>
      </c>
      <c r="AC15321" s="16" t="str">
        <f>IFERROR(__xludf.DUMMYFUNCTION("""COMPUTED_VALUE"""),"")</f>
        <v/>
      </c>
    </row>
    <row r="15322">
      <c r="A15322" s="16" t="s">
        <v>87</v>
      </c>
      <c r="E15322" s="16" t="str">
        <f>IFERROR(__xludf.DUMMYFUNCTION("""COMPUTED_VALUE"""),"")</f>
        <v/>
      </c>
      <c r="G15322" s="18"/>
      <c r="H15322" s="16" t="s">
        <v>87</v>
      </c>
      <c r="I15322" s="16" t="s">
        <v>87</v>
      </c>
      <c r="J15322" s="19"/>
      <c r="L15322" s="16" t="str">
        <f>IFERROR(__xludf.DUMMYFUNCTION("""COMPUTED_VALUE"""),"")</f>
        <v/>
      </c>
      <c r="M15322" s="16" t="str">
        <f>IFERROR(__xludf.DUMMYFUNCTION("""COMPUTED_VALUE"""),"")</f>
        <v/>
      </c>
      <c r="U15322" s="16" t="s">
        <v>87</v>
      </c>
      <c r="V15322" s="16" t="str">
        <f>IFERROR(__xludf.DUMMYFUNCTION("""COMPUTED_VALUE"""),"")</f>
        <v/>
      </c>
      <c r="W15322" s="16" t="str">
        <f>IFERROR(__xludf.DUMMYFUNCTION("""COMPUTED_VALUE"""),"")</f>
        <v/>
      </c>
      <c r="X15322" s="16" t="str">
        <f>IFERROR(__xludf.DUMMYFUNCTION("""COMPUTED_VALUE"""),"")</f>
        <v/>
      </c>
      <c r="AC15322" s="16" t="str">
        <f>IFERROR(__xludf.DUMMYFUNCTION("""COMPUTED_VALUE"""),"")</f>
        <v/>
      </c>
    </row>
    <row r="15323">
      <c r="A15323" s="16" t="s">
        <v>87</v>
      </c>
      <c r="E15323" s="16" t="str">
        <f>IFERROR(__xludf.DUMMYFUNCTION("""COMPUTED_VALUE"""),"")</f>
        <v/>
      </c>
      <c r="G15323" s="18"/>
      <c r="H15323" s="16" t="s">
        <v>87</v>
      </c>
      <c r="I15323" s="16" t="s">
        <v>87</v>
      </c>
      <c r="J15323" s="19"/>
      <c r="L15323" s="16" t="str">
        <f>IFERROR(__xludf.DUMMYFUNCTION("""COMPUTED_VALUE"""),"")</f>
        <v/>
      </c>
      <c r="M15323" s="16" t="str">
        <f>IFERROR(__xludf.DUMMYFUNCTION("""COMPUTED_VALUE"""),"")</f>
        <v/>
      </c>
      <c r="U15323" s="16" t="s">
        <v>87</v>
      </c>
      <c r="V15323" s="16" t="str">
        <f>IFERROR(__xludf.DUMMYFUNCTION("""COMPUTED_VALUE"""),"")</f>
        <v/>
      </c>
      <c r="W15323" s="16" t="str">
        <f>IFERROR(__xludf.DUMMYFUNCTION("""COMPUTED_VALUE"""),"")</f>
        <v/>
      </c>
      <c r="X15323" s="16" t="str">
        <f>IFERROR(__xludf.DUMMYFUNCTION("""COMPUTED_VALUE"""),"")</f>
        <v/>
      </c>
      <c r="AC15323" s="16" t="str">
        <f>IFERROR(__xludf.DUMMYFUNCTION("""COMPUTED_VALUE"""),"")</f>
        <v/>
      </c>
    </row>
    <row r="15324">
      <c r="A15324" s="16" t="s">
        <v>87</v>
      </c>
      <c r="E15324" s="16" t="str">
        <f>IFERROR(__xludf.DUMMYFUNCTION("""COMPUTED_VALUE"""),"")</f>
        <v/>
      </c>
      <c r="G15324" s="18"/>
      <c r="H15324" s="16" t="s">
        <v>87</v>
      </c>
      <c r="I15324" s="16" t="s">
        <v>87</v>
      </c>
      <c r="J15324" s="19"/>
      <c r="L15324" s="16" t="str">
        <f>IFERROR(__xludf.DUMMYFUNCTION("""COMPUTED_VALUE"""),"")</f>
        <v/>
      </c>
      <c r="M15324" s="16" t="str">
        <f>IFERROR(__xludf.DUMMYFUNCTION("""COMPUTED_VALUE"""),"")</f>
        <v/>
      </c>
      <c r="U15324" s="16" t="s">
        <v>87</v>
      </c>
      <c r="V15324" s="16" t="str">
        <f>IFERROR(__xludf.DUMMYFUNCTION("""COMPUTED_VALUE"""),"")</f>
        <v/>
      </c>
      <c r="W15324" s="16" t="str">
        <f>IFERROR(__xludf.DUMMYFUNCTION("""COMPUTED_VALUE"""),"")</f>
        <v/>
      </c>
      <c r="X15324" s="16" t="str">
        <f>IFERROR(__xludf.DUMMYFUNCTION("""COMPUTED_VALUE"""),"")</f>
        <v/>
      </c>
      <c r="AC15324" s="16" t="str">
        <f>IFERROR(__xludf.DUMMYFUNCTION("""COMPUTED_VALUE"""),"")</f>
        <v/>
      </c>
    </row>
    <row r="15325">
      <c r="A15325" s="16" t="s">
        <v>87</v>
      </c>
      <c r="E15325" s="16" t="str">
        <f>IFERROR(__xludf.DUMMYFUNCTION("""COMPUTED_VALUE"""),"")</f>
        <v/>
      </c>
      <c r="G15325" s="18"/>
      <c r="H15325" s="16" t="s">
        <v>87</v>
      </c>
      <c r="I15325" s="16" t="s">
        <v>87</v>
      </c>
      <c r="J15325" s="19"/>
      <c r="L15325" s="16" t="str">
        <f>IFERROR(__xludf.DUMMYFUNCTION("""COMPUTED_VALUE"""),"")</f>
        <v/>
      </c>
      <c r="M15325" s="16" t="str">
        <f>IFERROR(__xludf.DUMMYFUNCTION("""COMPUTED_VALUE"""),"")</f>
        <v/>
      </c>
      <c r="U15325" s="16" t="s">
        <v>87</v>
      </c>
      <c r="V15325" s="16" t="str">
        <f>IFERROR(__xludf.DUMMYFUNCTION("""COMPUTED_VALUE"""),"")</f>
        <v/>
      </c>
      <c r="W15325" s="16" t="str">
        <f>IFERROR(__xludf.DUMMYFUNCTION("""COMPUTED_VALUE"""),"")</f>
        <v/>
      </c>
      <c r="X15325" s="16" t="str">
        <f>IFERROR(__xludf.DUMMYFUNCTION("""COMPUTED_VALUE"""),"")</f>
        <v/>
      </c>
      <c r="AC15325" s="16" t="str">
        <f>IFERROR(__xludf.DUMMYFUNCTION("""COMPUTED_VALUE"""),"")</f>
        <v/>
      </c>
    </row>
    <row r="15326">
      <c r="A15326" s="16" t="s">
        <v>87</v>
      </c>
      <c r="E15326" s="16" t="str">
        <f>IFERROR(__xludf.DUMMYFUNCTION("""COMPUTED_VALUE"""),"")</f>
        <v/>
      </c>
      <c r="G15326" s="18"/>
      <c r="H15326" s="16" t="s">
        <v>87</v>
      </c>
      <c r="I15326" s="16" t="s">
        <v>87</v>
      </c>
      <c r="J15326" s="19"/>
      <c r="L15326" s="16" t="str">
        <f>IFERROR(__xludf.DUMMYFUNCTION("""COMPUTED_VALUE"""),"")</f>
        <v/>
      </c>
      <c r="M15326" s="16" t="str">
        <f>IFERROR(__xludf.DUMMYFUNCTION("""COMPUTED_VALUE"""),"")</f>
        <v/>
      </c>
      <c r="U15326" s="16" t="s">
        <v>87</v>
      </c>
      <c r="V15326" s="16" t="str">
        <f>IFERROR(__xludf.DUMMYFUNCTION("""COMPUTED_VALUE"""),"")</f>
        <v/>
      </c>
      <c r="W15326" s="16" t="str">
        <f>IFERROR(__xludf.DUMMYFUNCTION("""COMPUTED_VALUE"""),"")</f>
        <v/>
      </c>
      <c r="X15326" s="16" t="str">
        <f>IFERROR(__xludf.DUMMYFUNCTION("""COMPUTED_VALUE"""),"")</f>
        <v/>
      </c>
      <c r="AC15326" s="16" t="str">
        <f>IFERROR(__xludf.DUMMYFUNCTION("""COMPUTED_VALUE"""),"")</f>
        <v/>
      </c>
    </row>
    <row r="15327">
      <c r="A15327" s="16" t="s">
        <v>87</v>
      </c>
      <c r="E15327" s="16" t="str">
        <f>IFERROR(__xludf.DUMMYFUNCTION("""COMPUTED_VALUE"""),"")</f>
        <v/>
      </c>
      <c r="G15327" s="18"/>
      <c r="H15327" s="16" t="s">
        <v>87</v>
      </c>
      <c r="I15327" s="16" t="s">
        <v>87</v>
      </c>
      <c r="J15327" s="19"/>
      <c r="L15327" s="16" t="str">
        <f>IFERROR(__xludf.DUMMYFUNCTION("""COMPUTED_VALUE"""),"")</f>
        <v/>
      </c>
      <c r="M15327" s="16" t="str">
        <f>IFERROR(__xludf.DUMMYFUNCTION("""COMPUTED_VALUE"""),"")</f>
        <v/>
      </c>
      <c r="U15327" s="16" t="s">
        <v>87</v>
      </c>
      <c r="V15327" s="16" t="str">
        <f>IFERROR(__xludf.DUMMYFUNCTION("""COMPUTED_VALUE"""),"")</f>
        <v/>
      </c>
      <c r="W15327" s="16" t="str">
        <f>IFERROR(__xludf.DUMMYFUNCTION("""COMPUTED_VALUE"""),"")</f>
        <v/>
      </c>
      <c r="X15327" s="16" t="str">
        <f>IFERROR(__xludf.DUMMYFUNCTION("""COMPUTED_VALUE"""),"")</f>
        <v/>
      </c>
      <c r="AC15327" s="16" t="str">
        <f>IFERROR(__xludf.DUMMYFUNCTION("""COMPUTED_VALUE"""),"")</f>
        <v/>
      </c>
    </row>
    <row r="15328">
      <c r="A15328" s="16" t="s">
        <v>87</v>
      </c>
      <c r="E15328" s="16" t="str">
        <f>IFERROR(__xludf.DUMMYFUNCTION("""COMPUTED_VALUE"""),"")</f>
        <v/>
      </c>
      <c r="G15328" s="18"/>
      <c r="H15328" s="16" t="s">
        <v>87</v>
      </c>
      <c r="I15328" s="16" t="s">
        <v>87</v>
      </c>
      <c r="J15328" s="19"/>
      <c r="L15328" s="16" t="str">
        <f>IFERROR(__xludf.DUMMYFUNCTION("""COMPUTED_VALUE"""),"")</f>
        <v/>
      </c>
      <c r="M15328" s="16" t="str">
        <f>IFERROR(__xludf.DUMMYFUNCTION("""COMPUTED_VALUE"""),"")</f>
        <v/>
      </c>
      <c r="U15328" s="16" t="s">
        <v>87</v>
      </c>
      <c r="V15328" s="16" t="str">
        <f>IFERROR(__xludf.DUMMYFUNCTION("""COMPUTED_VALUE"""),"")</f>
        <v/>
      </c>
      <c r="W15328" s="16" t="str">
        <f>IFERROR(__xludf.DUMMYFUNCTION("""COMPUTED_VALUE"""),"")</f>
        <v/>
      </c>
      <c r="X15328" s="16" t="str">
        <f>IFERROR(__xludf.DUMMYFUNCTION("""COMPUTED_VALUE"""),"")</f>
        <v/>
      </c>
      <c r="AC15328" s="16" t="str">
        <f>IFERROR(__xludf.DUMMYFUNCTION("""COMPUTED_VALUE"""),"")</f>
        <v/>
      </c>
    </row>
    <row r="15329">
      <c r="A15329" s="16" t="s">
        <v>87</v>
      </c>
      <c r="E15329" s="16" t="str">
        <f>IFERROR(__xludf.DUMMYFUNCTION("""COMPUTED_VALUE"""),"")</f>
        <v/>
      </c>
      <c r="G15329" s="18"/>
      <c r="H15329" s="16" t="s">
        <v>87</v>
      </c>
      <c r="I15329" s="16" t="s">
        <v>87</v>
      </c>
      <c r="J15329" s="19"/>
      <c r="L15329" s="16" t="str">
        <f>IFERROR(__xludf.DUMMYFUNCTION("""COMPUTED_VALUE"""),"")</f>
        <v/>
      </c>
      <c r="M15329" s="16" t="str">
        <f>IFERROR(__xludf.DUMMYFUNCTION("""COMPUTED_VALUE"""),"")</f>
        <v/>
      </c>
      <c r="U15329" s="16" t="s">
        <v>87</v>
      </c>
      <c r="V15329" s="16" t="str">
        <f>IFERROR(__xludf.DUMMYFUNCTION("""COMPUTED_VALUE"""),"")</f>
        <v/>
      </c>
      <c r="W15329" s="16" t="str">
        <f>IFERROR(__xludf.DUMMYFUNCTION("""COMPUTED_VALUE"""),"")</f>
        <v/>
      </c>
      <c r="X15329" s="16" t="str">
        <f>IFERROR(__xludf.DUMMYFUNCTION("""COMPUTED_VALUE"""),"")</f>
        <v/>
      </c>
      <c r="AC15329" s="16" t="str">
        <f>IFERROR(__xludf.DUMMYFUNCTION("""COMPUTED_VALUE"""),"")</f>
        <v/>
      </c>
    </row>
    <row r="15330">
      <c r="A15330" s="16" t="s">
        <v>87</v>
      </c>
      <c r="E15330" s="16" t="str">
        <f>IFERROR(__xludf.DUMMYFUNCTION("""COMPUTED_VALUE"""),"")</f>
        <v/>
      </c>
      <c r="G15330" s="18"/>
      <c r="H15330" s="16" t="s">
        <v>87</v>
      </c>
      <c r="I15330" s="16" t="s">
        <v>87</v>
      </c>
      <c r="J15330" s="19"/>
      <c r="L15330" s="16" t="str">
        <f>IFERROR(__xludf.DUMMYFUNCTION("""COMPUTED_VALUE"""),"")</f>
        <v/>
      </c>
      <c r="M15330" s="16" t="str">
        <f>IFERROR(__xludf.DUMMYFUNCTION("""COMPUTED_VALUE"""),"")</f>
        <v/>
      </c>
      <c r="U15330" s="16" t="s">
        <v>87</v>
      </c>
      <c r="V15330" s="16" t="str">
        <f>IFERROR(__xludf.DUMMYFUNCTION("""COMPUTED_VALUE"""),"")</f>
        <v/>
      </c>
      <c r="W15330" s="16" t="str">
        <f>IFERROR(__xludf.DUMMYFUNCTION("""COMPUTED_VALUE"""),"")</f>
        <v/>
      </c>
      <c r="X15330" s="16" t="str">
        <f>IFERROR(__xludf.DUMMYFUNCTION("""COMPUTED_VALUE"""),"")</f>
        <v/>
      </c>
      <c r="AC15330" s="16" t="str">
        <f>IFERROR(__xludf.DUMMYFUNCTION("""COMPUTED_VALUE"""),"")</f>
        <v/>
      </c>
    </row>
    <row r="15331">
      <c r="A15331" s="16" t="s">
        <v>87</v>
      </c>
      <c r="E15331" s="16" t="str">
        <f>IFERROR(__xludf.DUMMYFUNCTION("""COMPUTED_VALUE"""),"")</f>
        <v/>
      </c>
      <c r="G15331" s="18"/>
      <c r="H15331" s="16" t="s">
        <v>87</v>
      </c>
      <c r="I15331" s="16" t="s">
        <v>87</v>
      </c>
      <c r="J15331" s="19"/>
      <c r="L15331" s="16" t="str">
        <f>IFERROR(__xludf.DUMMYFUNCTION("""COMPUTED_VALUE"""),"")</f>
        <v/>
      </c>
      <c r="M15331" s="16" t="str">
        <f>IFERROR(__xludf.DUMMYFUNCTION("""COMPUTED_VALUE"""),"")</f>
        <v/>
      </c>
      <c r="U15331" s="16" t="s">
        <v>87</v>
      </c>
      <c r="V15331" s="16" t="str">
        <f>IFERROR(__xludf.DUMMYFUNCTION("""COMPUTED_VALUE"""),"")</f>
        <v/>
      </c>
      <c r="W15331" s="16" t="str">
        <f>IFERROR(__xludf.DUMMYFUNCTION("""COMPUTED_VALUE"""),"")</f>
        <v/>
      </c>
      <c r="X15331" s="16" t="str">
        <f>IFERROR(__xludf.DUMMYFUNCTION("""COMPUTED_VALUE"""),"")</f>
        <v/>
      </c>
      <c r="AC15331" s="16" t="str">
        <f>IFERROR(__xludf.DUMMYFUNCTION("""COMPUTED_VALUE"""),"")</f>
        <v/>
      </c>
    </row>
    <row r="15332">
      <c r="A15332" s="16" t="s">
        <v>87</v>
      </c>
      <c r="E15332" s="16" t="str">
        <f>IFERROR(__xludf.DUMMYFUNCTION("""COMPUTED_VALUE"""),"")</f>
        <v/>
      </c>
      <c r="G15332" s="18"/>
      <c r="H15332" s="16" t="s">
        <v>87</v>
      </c>
      <c r="I15332" s="16" t="s">
        <v>87</v>
      </c>
      <c r="J15332" s="19"/>
      <c r="L15332" s="16" t="str">
        <f>IFERROR(__xludf.DUMMYFUNCTION("""COMPUTED_VALUE"""),"")</f>
        <v/>
      </c>
      <c r="M15332" s="16" t="str">
        <f>IFERROR(__xludf.DUMMYFUNCTION("""COMPUTED_VALUE"""),"")</f>
        <v/>
      </c>
      <c r="U15332" s="16" t="s">
        <v>87</v>
      </c>
      <c r="V15332" s="16" t="str">
        <f>IFERROR(__xludf.DUMMYFUNCTION("""COMPUTED_VALUE"""),"")</f>
        <v/>
      </c>
      <c r="W15332" s="16" t="str">
        <f>IFERROR(__xludf.DUMMYFUNCTION("""COMPUTED_VALUE"""),"")</f>
        <v/>
      </c>
      <c r="X15332" s="16" t="str">
        <f>IFERROR(__xludf.DUMMYFUNCTION("""COMPUTED_VALUE"""),"")</f>
        <v/>
      </c>
      <c r="AC15332" s="16" t="str">
        <f>IFERROR(__xludf.DUMMYFUNCTION("""COMPUTED_VALUE"""),"")</f>
        <v/>
      </c>
    </row>
    <row r="15333">
      <c r="A15333" s="16" t="s">
        <v>87</v>
      </c>
      <c r="E15333" s="16" t="str">
        <f>IFERROR(__xludf.DUMMYFUNCTION("""COMPUTED_VALUE"""),"")</f>
        <v/>
      </c>
      <c r="G15333" s="18"/>
      <c r="H15333" s="16" t="s">
        <v>87</v>
      </c>
      <c r="I15333" s="16" t="s">
        <v>87</v>
      </c>
      <c r="J15333" s="19"/>
      <c r="L15333" s="16" t="str">
        <f>IFERROR(__xludf.DUMMYFUNCTION("""COMPUTED_VALUE"""),"")</f>
        <v/>
      </c>
      <c r="M15333" s="16" t="str">
        <f>IFERROR(__xludf.DUMMYFUNCTION("""COMPUTED_VALUE"""),"")</f>
        <v/>
      </c>
      <c r="U15333" s="16" t="s">
        <v>87</v>
      </c>
      <c r="V15333" s="16" t="str">
        <f>IFERROR(__xludf.DUMMYFUNCTION("""COMPUTED_VALUE"""),"")</f>
        <v/>
      </c>
      <c r="W15333" s="16" t="str">
        <f>IFERROR(__xludf.DUMMYFUNCTION("""COMPUTED_VALUE"""),"")</f>
        <v/>
      </c>
      <c r="X15333" s="16" t="str">
        <f>IFERROR(__xludf.DUMMYFUNCTION("""COMPUTED_VALUE"""),"")</f>
        <v/>
      </c>
      <c r="AC15333" s="16" t="str">
        <f>IFERROR(__xludf.DUMMYFUNCTION("""COMPUTED_VALUE"""),"")</f>
        <v/>
      </c>
    </row>
    <row r="15334">
      <c r="A15334" s="16" t="s">
        <v>87</v>
      </c>
      <c r="E15334" s="16" t="str">
        <f>IFERROR(__xludf.DUMMYFUNCTION("""COMPUTED_VALUE"""),"")</f>
        <v/>
      </c>
      <c r="G15334" s="18"/>
      <c r="H15334" s="16" t="s">
        <v>87</v>
      </c>
      <c r="I15334" s="16" t="s">
        <v>87</v>
      </c>
      <c r="J15334" s="19"/>
      <c r="L15334" s="16" t="str">
        <f>IFERROR(__xludf.DUMMYFUNCTION("""COMPUTED_VALUE"""),"")</f>
        <v/>
      </c>
      <c r="M15334" s="16" t="str">
        <f>IFERROR(__xludf.DUMMYFUNCTION("""COMPUTED_VALUE"""),"")</f>
        <v/>
      </c>
      <c r="U15334" s="16" t="s">
        <v>87</v>
      </c>
      <c r="V15334" s="16" t="str">
        <f>IFERROR(__xludf.DUMMYFUNCTION("""COMPUTED_VALUE"""),"")</f>
        <v/>
      </c>
      <c r="W15334" s="16" t="str">
        <f>IFERROR(__xludf.DUMMYFUNCTION("""COMPUTED_VALUE"""),"")</f>
        <v/>
      </c>
      <c r="X15334" s="16" t="str">
        <f>IFERROR(__xludf.DUMMYFUNCTION("""COMPUTED_VALUE"""),"")</f>
        <v/>
      </c>
      <c r="AC15334" s="16" t="str">
        <f>IFERROR(__xludf.DUMMYFUNCTION("""COMPUTED_VALUE"""),"")</f>
        <v/>
      </c>
    </row>
    <row r="15335">
      <c r="A15335" s="16" t="s">
        <v>87</v>
      </c>
      <c r="E15335" s="16" t="str">
        <f>IFERROR(__xludf.DUMMYFUNCTION("""COMPUTED_VALUE"""),"")</f>
        <v/>
      </c>
      <c r="G15335" s="18"/>
      <c r="H15335" s="16" t="s">
        <v>87</v>
      </c>
      <c r="I15335" s="16" t="s">
        <v>87</v>
      </c>
      <c r="J15335" s="19"/>
      <c r="L15335" s="16" t="str">
        <f>IFERROR(__xludf.DUMMYFUNCTION("""COMPUTED_VALUE"""),"")</f>
        <v/>
      </c>
      <c r="M15335" s="16" t="str">
        <f>IFERROR(__xludf.DUMMYFUNCTION("""COMPUTED_VALUE"""),"")</f>
        <v/>
      </c>
      <c r="U15335" s="16" t="s">
        <v>87</v>
      </c>
      <c r="V15335" s="16" t="str">
        <f>IFERROR(__xludf.DUMMYFUNCTION("""COMPUTED_VALUE"""),"")</f>
        <v/>
      </c>
      <c r="W15335" s="16" t="str">
        <f>IFERROR(__xludf.DUMMYFUNCTION("""COMPUTED_VALUE"""),"")</f>
        <v/>
      </c>
      <c r="X15335" s="16" t="str">
        <f>IFERROR(__xludf.DUMMYFUNCTION("""COMPUTED_VALUE"""),"")</f>
        <v/>
      </c>
      <c r="AC15335" s="16" t="str">
        <f>IFERROR(__xludf.DUMMYFUNCTION("""COMPUTED_VALUE"""),"")</f>
        <v/>
      </c>
    </row>
    <row r="15336">
      <c r="A15336" s="16" t="s">
        <v>87</v>
      </c>
      <c r="E15336" s="16" t="str">
        <f>IFERROR(__xludf.DUMMYFUNCTION("""COMPUTED_VALUE"""),"")</f>
        <v/>
      </c>
      <c r="G15336" s="18"/>
      <c r="H15336" s="16" t="s">
        <v>87</v>
      </c>
      <c r="I15336" s="16" t="s">
        <v>87</v>
      </c>
      <c r="J15336" s="19"/>
      <c r="L15336" s="16" t="str">
        <f>IFERROR(__xludf.DUMMYFUNCTION("""COMPUTED_VALUE"""),"")</f>
        <v/>
      </c>
      <c r="M15336" s="16" t="str">
        <f>IFERROR(__xludf.DUMMYFUNCTION("""COMPUTED_VALUE"""),"")</f>
        <v/>
      </c>
      <c r="U15336" s="16" t="s">
        <v>87</v>
      </c>
      <c r="V15336" s="16" t="str">
        <f>IFERROR(__xludf.DUMMYFUNCTION("""COMPUTED_VALUE"""),"")</f>
        <v/>
      </c>
      <c r="W15336" s="16" t="str">
        <f>IFERROR(__xludf.DUMMYFUNCTION("""COMPUTED_VALUE"""),"")</f>
        <v/>
      </c>
      <c r="X15336" s="16" t="str">
        <f>IFERROR(__xludf.DUMMYFUNCTION("""COMPUTED_VALUE"""),"")</f>
        <v/>
      </c>
      <c r="AC15336" s="16" t="str">
        <f>IFERROR(__xludf.DUMMYFUNCTION("""COMPUTED_VALUE"""),"")</f>
        <v/>
      </c>
    </row>
    <row r="15337">
      <c r="A15337" s="16" t="s">
        <v>87</v>
      </c>
      <c r="E15337" s="16" t="str">
        <f>IFERROR(__xludf.DUMMYFUNCTION("""COMPUTED_VALUE"""),"")</f>
        <v/>
      </c>
      <c r="G15337" s="18"/>
      <c r="H15337" s="16" t="s">
        <v>87</v>
      </c>
      <c r="I15337" s="16" t="s">
        <v>87</v>
      </c>
      <c r="J15337" s="19"/>
      <c r="L15337" s="16" t="str">
        <f>IFERROR(__xludf.DUMMYFUNCTION("""COMPUTED_VALUE"""),"")</f>
        <v/>
      </c>
      <c r="M15337" s="16" t="str">
        <f>IFERROR(__xludf.DUMMYFUNCTION("""COMPUTED_VALUE"""),"")</f>
        <v/>
      </c>
      <c r="U15337" s="16" t="s">
        <v>87</v>
      </c>
      <c r="V15337" s="16" t="str">
        <f>IFERROR(__xludf.DUMMYFUNCTION("""COMPUTED_VALUE"""),"")</f>
        <v/>
      </c>
      <c r="W15337" s="16" t="str">
        <f>IFERROR(__xludf.DUMMYFUNCTION("""COMPUTED_VALUE"""),"")</f>
        <v/>
      </c>
      <c r="X15337" s="16" t="str">
        <f>IFERROR(__xludf.DUMMYFUNCTION("""COMPUTED_VALUE"""),"")</f>
        <v/>
      </c>
      <c r="AC15337" s="16" t="str">
        <f>IFERROR(__xludf.DUMMYFUNCTION("""COMPUTED_VALUE"""),"")</f>
        <v/>
      </c>
    </row>
    <row r="15338">
      <c r="A15338" s="16" t="s">
        <v>87</v>
      </c>
      <c r="E15338" s="16" t="str">
        <f>IFERROR(__xludf.DUMMYFUNCTION("""COMPUTED_VALUE"""),"")</f>
        <v/>
      </c>
      <c r="G15338" s="18"/>
      <c r="H15338" s="16" t="s">
        <v>87</v>
      </c>
      <c r="I15338" s="16" t="s">
        <v>87</v>
      </c>
      <c r="J15338" s="19"/>
      <c r="L15338" s="16" t="str">
        <f>IFERROR(__xludf.DUMMYFUNCTION("""COMPUTED_VALUE"""),"")</f>
        <v/>
      </c>
      <c r="M15338" s="16" t="str">
        <f>IFERROR(__xludf.DUMMYFUNCTION("""COMPUTED_VALUE"""),"")</f>
        <v/>
      </c>
      <c r="U15338" s="16" t="s">
        <v>87</v>
      </c>
      <c r="V15338" s="16" t="str">
        <f>IFERROR(__xludf.DUMMYFUNCTION("""COMPUTED_VALUE"""),"")</f>
        <v/>
      </c>
      <c r="W15338" s="16" t="str">
        <f>IFERROR(__xludf.DUMMYFUNCTION("""COMPUTED_VALUE"""),"")</f>
        <v/>
      </c>
      <c r="X15338" s="16" t="str">
        <f>IFERROR(__xludf.DUMMYFUNCTION("""COMPUTED_VALUE"""),"")</f>
        <v/>
      </c>
      <c r="AC15338" s="16" t="str">
        <f>IFERROR(__xludf.DUMMYFUNCTION("""COMPUTED_VALUE"""),"")</f>
        <v/>
      </c>
    </row>
    <row r="15339">
      <c r="A15339" s="16" t="s">
        <v>87</v>
      </c>
      <c r="E15339" s="16" t="str">
        <f>IFERROR(__xludf.DUMMYFUNCTION("""COMPUTED_VALUE"""),"")</f>
        <v/>
      </c>
      <c r="G15339" s="18"/>
      <c r="H15339" s="16" t="s">
        <v>87</v>
      </c>
      <c r="I15339" s="16" t="s">
        <v>87</v>
      </c>
      <c r="J15339" s="19"/>
      <c r="L15339" s="16" t="str">
        <f>IFERROR(__xludf.DUMMYFUNCTION("""COMPUTED_VALUE"""),"")</f>
        <v/>
      </c>
      <c r="M15339" s="16" t="str">
        <f>IFERROR(__xludf.DUMMYFUNCTION("""COMPUTED_VALUE"""),"")</f>
        <v/>
      </c>
      <c r="U15339" s="16" t="s">
        <v>87</v>
      </c>
      <c r="V15339" s="16" t="str">
        <f>IFERROR(__xludf.DUMMYFUNCTION("""COMPUTED_VALUE"""),"")</f>
        <v/>
      </c>
      <c r="W15339" s="16" t="str">
        <f>IFERROR(__xludf.DUMMYFUNCTION("""COMPUTED_VALUE"""),"")</f>
        <v/>
      </c>
      <c r="X15339" s="16" t="str">
        <f>IFERROR(__xludf.DUMMYFUNCTION("""COMPUTED_VALUE"""),"")</f>
        <v/>
      </c>
      <c r="AC15339" s="16" t="str">
        <f>IFERROR(__xludf.DUMMYFUNCTION("""COMPUTED_VALUE"""),"")</f>
        <v/>
      </c>
    </row>
    <row r="15340">
      <c r="A15340" s="16" t="s">
        <v>87</v>
      </c>
      <c r="E15340" s="16" t="str">
        <f>IFERROR(__xludf.DUMMYFUNCTION("""COMPUTED_VALUE"""),"")</f>
        <v/>
      </c>
      <c r="G15340" s="18"/>
      <c r="H15340" s="16" t="s">
        <v>87</v>
      </c>
      <c r="I15340" s="16" t="s">
        <v>87</v>
      </c>
      <c r="J15340" s="19"/>
      <c r="L15340" s="16" t="str">
        <f>IFERROR(__xludf.DUMMYFUNCTION("""COMPUTED_VALUE"""),"")</f>
        <v/>
      </c>
      <c r="M15340" s="16" t="str">
        <f>IFERROR(__xludf.DUMMYFUNCTION("""COMPUTED_VALUE"""),"")</f>
        <v/>
      </c>
      <c r="U15340" s="16" t="s">
        <v>87</v>
      </c>
      <c r="V15340" s="16" t="str">
        <f>IFERROR(__xludf.DUMMYFUNCTION("""COMPUTED_VALUE"""),"")</f>
        <v/>
      </c>
      <c r="W15340" s="16" t="str">
        <f>IFERROR(__xludf.DUMMYFUNCTION("""COMPUTED_VALUE"""),"")</f>
        <v/>
      </c>
      <c r="X15340" s="16" t="str">
        <f>IFERROR(__xludf.DUMMYFUNCTION("""COMPUTED_VALUE"""),"")</f>
        <v/>
      </c>
      <c r="AC15340" s="16" t="str">
        <f>IFERROR(__xludf.DUMMYFUNCTION("""COMPUTED_VALUE"""),"")</f>
        <v/>
      </c>
    </row>
    <row r="15341">
      <c r="A15341" s="16" t="s">
        <v>87</v>
      </c>
      <c r="E15341" s="16" t="str">
        <f>IFERROR(__xludf.DUMMYFUNCTION("""COMPUTED_VALUE"""),"")</f>
        <v/>
      </c>
      <c r="G15341" s="18"/>
      <c r="H15341" s="16" t="s">
        <v>87</v>
      </c>
      <c r="I15341" s="16" t="s">
        <v>87</v>
      </c>
      <c r="J15341" s="19"/>
      <c r="L15341" s="16" t="str">
        <f>IFERROR(__xludf.DUMMYFUNCTION("""COMPUTED_VALUE"""),"")</f>
        <v/>
      </c>
      <c r="M15341" s="16" t="str">
        <f>IFERROR(__xludf.DUMMYFUNCTION("""COMPUTED_VALUE"""),"")</f>
        <v/>
      </c>
      <c r="U15341" s="16" t="s">
        <v>87</v>
      </c>
      <c r="V15341" s="16" t="str">
        <f>IFERROR(__xludf.DUMMYFUNCTION("""COMPUTED_VALUE"""),"")</f>
        <v/>
      </c>
      <c r="W15341" s="16" t="str">
        <f>IFERROR(__xludf.DUMMYFUNCTION("""COMPUTED_VALUE"""),"")</f>
        <v/>
      </c>
      <c r="X15341" s="16" t="str">
        <f>IFERROR(__xludf.DUMMYFUNCTION("""COMPUTED_VALUE"""),"")</f>
        <v/>
      </c>
      <c r="AC15341" s="16" t="str">
        <f>IFERROR(__xludf.DUMMYFUNCTION("""COMPUTED_VALUE"""),"")</f>
        <v/>
      </c>
    </row>
    <row r="15342">
      <c r="A15342" s="16" t="s">
        <v>87</v>
      </c>
      <c r="E15342" s="16" t="str">
        <f>IFERROR(__xludf.DUMMYFUNCTION("""COMPUTED_VALUE"""),"")</f>
        <v/>
      </c>
      <c r="G15342" s="18"/>
      <c r="H15342" s="16" t="s">
        <v>87</v>
      </c>
      <c r="I15342" s="16" t="s">
        <v>87</v>
      </c>
      <c r="J15342" s="19"/>
      <c r="L15342" s="16" t="str">
        <f>IFERROR(__xludf.DUMMYFUNCTION("""COMPUTED_VALUE"""),"")</f>
        <v/>
      </c>
      <c r="M15342" s="16" t="str">
        <f>IFERROR(__xludf.DUMMYFUNCTION("""COMPUTED_VALUE"""),"")</f>
        <v/>
      </c>
      <c r="U15342" s="16" t="s">
        <v>87</v>
      </c>
      <c r="V15342" s="16" t="str">
        <f>IFERROR(__xludf.DUMMYFUNCTION("""COMPUTED_VALUE"""),"")</f>
        <v/>
      </c>
      <c r="W15342" s="16" t="str">
        <f>IFERROR(__xludf.DUMMYFUNCTION("""COMPUTED_VALUE"""),"")</f>
        <v/>
      </c>
      <c r="X15342" s="16" t="str">
        <f>IFERROR(__xludf.DUMMYFUNCTION("""COMPUTED_VALUE"""),"")</f>
        <v/>
      </c>
      <c r="AC15342" s="16" t="str">
        <f>IFERROR(__xludf.DUMMYFUNCTION("""COMPUTED_VALUE"""),"")</f>
        <v/>
      </c>
    </row>
    <row r="15343">
      <c r="A15343" s="16" t="s">
        <v>87</v>
      </c>
      <c r="E15343" s="16" t="str">
        <f>IFERROR(__xludf.DUMMYFUNCTION("""COMPUTED_VALUE"""),"")</f>
        <v/>
      </c>
      <c r="G15343" s="18"/>
      <c r="H15343" s="16" t="s">
        <v>87</v>
      </c>
      <c r="I15343" s="16" t="s">
        <v>87</v>
      </c>
      <c r="J15343" s="19"/>
      <c r="L15343" s="16" t="str">
        <f>IFERROR(__xludf.DUMMYFUNCTION("""COMPUTED_VALUE"""),"")</f>
        <v/>
      </c>
      <c r="M15343" s="16" t="str">
        <f>IFERROR(__xludf.DUMMYFUNCTION("""COMPUTED_VALUE"""),"")</f>
        <v/>
      </c>
      <c r="U15343" s="16" t="s">
        <v>87</v>
      </c>
      <c r="V15343" s="16" t="str">
        <f>IFERROR(__xludf.DUMMYFUNCTION("""COMPUTED_VALUE"""),"")</f>
        <v/>
      </c>
      <c r="W15343" s="16" t="str">
        <f>IFERROR(__xludf.DUMMYFUNCTION("""COMPUTED_VALUE"""),"")</f>
        <v/>
      </c>
      <c r="X15343" s="16" t="str">
        <f>IFERROR(__xludf.DUMMYFUNCTION("""COMPUTED_VALUE"""),"")</f>
        <v/>
      </c>
      <c r="AC15343" s="16" t="str">
        <f>IFERROR(__xludf.DUMMYFUNCTION("""COMPUTED_VALUE"""),"")</f>
        <v/>
      </c>
    </row>
    <row r="15344">
      <c r="A15344" s="16" t="s">
        <v>87</v>
      </c>
      <c r="E15344" s="16" t="str">
        <f>IFERROR(__xludf.DUMMYFUNCTION("""COMPUTED_VALUE"""),"")</f>
        <v/>
      </c>
      <c r="G15344" s="18"/>
      <c r="H15344" s="16" t="s">
        <v>87</v>
      </c>
      <c r="I15344" s="16" t="s">
        <v>87</v>
      </c>
      <c r="J15344" s="19"/>
      <c r="L15344" s="16" t="str">
        <f>IFERROR(__xludf.DUMMYFUNCTION("""COMPUTED_VALUE"""),"")</f>
        <v/>
      </c>
      <c r="M15344" s="16" t="str">
        <f>IFERROR(__xludf.DUMMYFUNCTION("""COMPUTED_VALUE"""),"")</f>
        <v/>
      </c>
      <c r="U15344" s="16" t="s">
        <v>87</v>
      </c>
      <c r="V15344" s="16" t="str">
        <f>IFERROR(__xludf.DUMMYFUNCTION("""COMPUTED_VALUE"""),"")</f>
        <v/>
      </c>
      <c r="W15344" s="16" t="str">
        <f>IFERROR(__xludf.DUMMYFUNCTION("""COMPUTED_VALUE"""),"")</f>
        <v/>
      </c>
      <c r="X15344" s="16" t="str">
        <f>IFERROR(__xludf.DUMMYFUNCTION("""COMPUTED_VALUE"""),"")</f>
        <v/>
      </c>
      <c r="AC15344" s="16" t="str">
        <f>IFERROR(__xludf.DUMMYFUNCTION("""COMPUTED_VALUE"""),"")</f>
        <v/>
      </c>
    </row>
    <row r="15345">
      <c r="A15345" s="16" t="s">
        <v>87</v>
      </c>
      <c r="E15345" s="16" t="str">
        <f>IFERROR(__xludf.DUMMYFUNCTION("""COMPUTED_VALUE"""),"")</f>
        <v/>
      </c>
      <c r="G15345" s="18"/>
      <c r="H15345" s="16" t="s">
        <v>87</v>
      </c>
      <c r="I15345" s="16" t="s">
        <v>87</v>
      </c>
      <c r="J15345" s="19"/>
      <c r="L15345" s="16" t="str">
        <f>IFERROR(__xludf.DUMMYFUNCTION("""COMPUTED_VALUE"""),"")</f>
        <v/>
      </c>
      <c r="M15345" s="16" t="str">
        <f>IFERROR(__xludf.DUMMYFUNCTION("""COMPUTED_VALUE"""),"")</f>
        <v/>
      </c>
      <c r="U15345" s="16" t="s">
        <v>87</v>
      </c>
      <c r="V15345" s="16" t="str">
        <f>IFERROR(__xludf.DUMMYFUNCTION("""COMPUTED_VALUE"""),"")</f>
        <v/>
      </c>
      <c r="W15345" s="16" t="str">
        <f>IFERROR(__xludf.DUMMYFUNCTION("""COMPUTED_VALUE"""),"")</f>
        <v/>
      </c>
      <c r="X15345" s="16" t="str">
        <f>IFERROR(__xludf.DUMMYFUNCTION("""COMPUTED_VALUE"""),"")</f>
        <v/>
      </c>
      <c r="AC15345" s="16" t="str">
        <f>IFERROR(__xludf.DUMMYFUNCTION("""COMPUTED_VALUE"""),"")</f>
        <v/>
      </c>
    </row>
    <row r="15346">
      <c r="A15346" s="16" t="s">
        <v>87</v>
      </c>
      <c r="E15346" s="16" t="str">
        <f>IFERROR(__xludf.DUMMYFUNCTION("""COMPUTED_VALUE"""),"")</f>
        <v/>
      </c>
      <c r="G15346" s="18"/>
      <c r="H15346" s="16" t="s">
        <v>87</v>
      </c>
      <c r="I15346" s="16" t="s">
        <v>87</v>
      </c>
      <c r="J15346" s="19"/>
      <c r="L15346" s="16" t="str">
        <f>IFERROR(__xludf.DUMMYFUNCTION("""COMPUTED_VALUE"""),"")</f>
        <v/>
      </c>
      <c r="M15346" s="16" t="str">
        <f>IFERROR(__xludf.DUMMYFUNCTION("""COMPUTED_VALUE"""),"")</f>
        <v/>
      </c>
      <c r="U15346" s="16" t="s">
        <v>87</v>
      </c>
      <c r="V15346" s="16" t="str">
        <f>IFERROR(__xludf.DUMMYFUNCTION("""COMPUTED_VALUE"""),"")</f>
        <v/>
      </c>
      <c r="W15346" s="16" t="str">
        <f>IFERROR(__xludf.DUMMYFUNCTION("""COMPUTED_VALUE"""),"")</f>
        <v/>
      </c>
      <c r="X15346" s="16" t="str">
        <f>IFERROR(__xludf.DUMMYFUNCTION("""COMPUTED_VALUE"""),"")</f>
        <v/>
      </c>
      <c r="AC15346" s="16" t="str">
        <f>IFERROR(__xludf.DUMMYFUNCTION("""COMPUTED_VALUE"""),"")</f>
        <v/>
      </c>
    </row>
    <row r="15347">
      <c r="A15347" s="16" t="s">
        <v>87</v>
      </c>
      <c r="E15347" s="16" t="str">
        <f>IFERROR(__xludf.DUMMYFUNCTION("""COMPUTED_VALUE"""),"")</f>
        <v/>
      </c>
      <c r="G15347" s="18"/>
      <c r="H15347" s="16" t="s">
        <v>87</v>
      </c>
      <c r="I15347" s="16" t="s">
        <v>87</v>
      </c>
      <c r="J15347" s="19"/>
      <c r="L15347" s="16" t="str">
        <f>IFERROR(__xludf.DUMMYFUNCTION("""COMPUTED_VALUE"""),"")</f>
        <v/>
      </c>
      <c r="M15347" s="16" t="str">
        <f>IFERROR(__xludf.DUMMYFUNCTION("""COMPUTED_VALUE"""),"")</f>
        <v/>
      </c>
      <c r="U15347" s="16" t="s">
        <v>87</v>
      </c>
      <c r="V15347" s="16" t="str">
        <f>IFERROR(__xludf.DUMMYFUNCTION("""COMPUTED_VALUE"""),"")</f>
        <v/>
      </c>
      <c r="W15347" s="16" t="str">
        <f>IFERROR(__xludf.DUMMYFUNCTION("""COMPUTED_VALUE"""),"")</f>
        <v/>
      </c>
      <c r="X15347" s="16" t="str">
        <f>IFERROR(__xludf.DUMMYFUNCTION("""COMPUTED_VALUE"""),"")</f>
        <v/>
      </c>
      <c r="AC15347" s="16" t="str">
        <f>IFERROR(__xludf.DUMMYFUNCTION("""COMPUTED_VALUE"""),"")</f>
        <v/>
      </c>
    </row>
    <row r="15348">
      <c r="A15348" s="16" t="s">
        <v>87</v>
      </c>
      <c r="E15348" s="16" t="str">
        <f>IFERROR(__xludf.DUMMYFUNCTION("""COMPUTED_VALUE"""),"")</f>
        <v/>
      </c>
      <c r="G15348" s="18"/>
      <c r="H15348" s="16" t="s">
        <v>87</v>
      </c>
      <c r="I15348" s="16" t="s">
        <v>87</v>
      </c>
      <c r="J15348" s="19"/>
      <c r="L15348" s="16" t="str">
        <f>IFERROR(__xludf.DUMMYFUNCTION("""COMPUTED_VALUE"""),"")</f>
        <v/>
      </c>
      <c r="M15348" s="16" t="str">
        <f>IFERROR(__xludf.DUMMYFUNCTION("""COMPUTED_VALUE"""),"")</f>
        <v/>
      </c>
      <c r="U15348" s="16" t="s">
        <v>87</v>
      </c>
      <c r="V15348" s="16" t="str">
        <f>IFERROR(__xludf.DUMMYFUNCTION("""COMPUTED_VALUE"""),"")</f>
        <v/>
      </c>
      <c r="W15348" s="16" t="str">
        <f>IFERROR(__xludf.DUMMYFUNCTION("""COMPUTED_VALUE"""),"")</f>
        <v/>
      </c>
      <c r="X15348" s="16" t="str">
        <f>IFERROR(__xludf.DUMMYFUNCTION("""COMPUTED_VALUE"""),"")</f>
        <v/>
      </c>
      <c r="AC15348" s="16" t="str">
        <f>IFERROR(__xludf.DUMMYFUNCTION("""COMPUTED_VALUE"""),"")</f>
        <v/>
      </c>
    </row>
    <row r="15349">
      <c r="A15349" s="16" t="s">
        <v>87</v>
      </c>
      <c r="E15349" s="16" t="str">
        <f>IFERROR(__xludf.DUMMYFUNCTION("""COMPUTED_VALUE"""),"")</f>
        <v/>
      </c>
      <c r="G15349" s="18"/>
      <c r="H15349" s="16" t="s">
        <v>87</v>
      </c>
      <c r="I15349" s="16" t="s">
        <v>87</v>
      </c>
      <c r="J15349" s="19"/>
      <c r="L15349" s="16" t="str">
        <f>IFERROR(__xludf.DUMMYFUNCTION("""COMPUTED_VALUE"""),"")</f>
        <v/>
      </c>
      <c r="M15349" s="16" t="str">
        <f>IFERROR(__xludf.DUMMYFUNCTION("""COMPUTED_VALUE"""),"")</f>
        <v/>
      </c>
      <c r="U15349" s="16" t="s">
        <v>87</v>
      </c>
      <c r="V15349" s="16" t="str">
        <f>IFERROR(__xludf.DUMMYFUNCTION("""COMPUTED_VALUE"""),"")</f>
        <v/>
      </c>
      <c r="W15349" s="16" t="str">
        <f>IFERROR(__xludf.DUMMYFUNCTION("""COMPUTED_VALUE"""),"")</f>
        <v/>
      </c>
      <c r="X15349" s="16" t="str">
        <f>IFERROR(__xludf.DUMMYFUNCTION("""COMPUTED_VALUE"""),"")</f>
        <v/>
      </c>
      <c r="AC15349" s="16" t="str">
        <f>IFERROR(__xludf.DUMMYFUNCTION("""COMPUTED_VALUE"""),"")</f>
        <v/>
      </c>
    </row>
    <row r="15350">
      <c r="A15350" s="16" t="s">
        <v>87</v>
      </c>
      <c r="E15350" s="16" t="str">
        <f>IFERROR(__xludf.DUMMYFUNCTION("""COMPUTED_VALUE"""),"")</f>
        <v/>
      </c>
      <c r="G15350" s="18"/>
      <c r="H15350" s="16" t="s">
        <v>87</v>
      </c>
      <c r="I15350" s="16" t="s">
        <v>87</v>
      </c>
      <c r="J15350" s="19"/>
      <c r="L15350" s="16" t="str">
        <f>IFERROR(__xludf.DUMMYFUNCTION("""COMPUTED_VALUE"""),"")</f>
        <v/>
      </c>
      <c r="M15350" s="16" t="str">
        <f>IFERROR(__xludf.DUMMYFUNCTION("""COMPUTED_VALUE"""),"")</f>
        <v/>
      </c>
      <c r="U15350" s="16" t="s">
        <v>87</v>
      </c>
      <c r="V15350" s="16" t="str">
        <f>IFERROR(__xludf.DUMMYFUNCTION("""COMPUTED_VALUE"""),"")</f>
        <v/>
      </c>
      <c r="W15350" s="16" t="str">
        <f>IFERROR(__xludf.DUMMYFUNCTION("""COMPUTED_VALUE"""),"")</f>
        <v/>
      </c>
      <c r="X15350" s="16" t="str">
        <f>IFERROR(__xludf.DUMMYFUNCTION("""COMPUTED_VALUE"""),"")</f>
        <v/>
      </c>
      <c r="AC15350" s="16" t="str">
        <f>IFERROR(__xludf.DUMMYFUNCTION("""COMPUTED_VALUE"""),"")</f>
        <v/>
      </c>
    </row>
    <row r="15351">
      <c r="A15351" s="16" t="s">
        <v>87</v>
      </c>
      <c r="E15351" s="16" t="str">
        <f>IFERROR(__xludf.DUMMYFUNCTION("""COMPUTED_VALUE"""),"")</f>
        <v/>
      </c>
      <c r="G15351" s="18"/>
      <c r="H15351" s="16" t="s">
        <v>87</v>
      </c>
      <c r="I15351" s="16" t="s">
        <v>87</v>
      </c>
      <c r="J15351" s="19"/>
      <c r="L15351" s="16" t="str">
        <f>IFERROR(__xludf.DUMMYFUNCTION("""COMPUTED_VALUE"""),"")</f>
        <v/>
      </c>
      <c r="M15351" s="16" t="str">
        <f>IFERROR(__xludf.DUMMYFUNCTION("""COMPUTED_VALUE"""),"")</f>
        <v/>
      </c>
      <c r="U15351" s="16" t="s">
        <v>87</v>
      </c>
      <c r="V15351" s="16" t="str">
        <f>IFERROR(__xludf.DUMMYFUNCTION("""COMPUTED_VALUE"""),"")</f>
        <v/>
      </c>
      <c r="W15351" s="16" t="str">
        <f>IFERROR(__xludf.DUMMYFUNCTION("""COMPUTED_VALUE"""),"")</f>
        <v/>
      </c>
      <c r="X15351" s="16" t="str">
        <f>IFERROR(__xludf.DUMMYFUNCTION("""COMPUTED_VALUE"""),"")</f>
        <v/>
      </c>
      <c r="AC15351" s="16" t="str">
        <f>IFERROR(__xludf.DUMMYFUNCTION("""COMPUTED_VALUE"""),"")</f>
        <v/>
      </c>
    </row>
    <row r="15352">
      <c r="A15352" s="16" t="s">
        <v>87</v>
      </c>
      <c r="E15352" s="16" t="str">
        <f>IFERROR(__xludf.DUMMYFUNCTION("""COMPUTED_VALUE"""),"")</f>
        <v/>
      </c>
      <c r="G15352" s="18"/>
      <c r="H15352" s="16" t="s">
        <v>87</v>
      </c>
      <c r="I15352" s="16" t="s">
        <v>87</v>
      </c>
      <c r="J15352" s="19"/>
      <c r="L15352" s="16" t="str">
        <f>IFERROR(__xludf.DUMMYFUNCTION("""COMPUTED_VALUE"""),"")</f>
        <v/>
      </c>
      <c r="M15352" s="16" t="str">
        <f>IFERROR(__xludf.DUMMYFUNCTION("""COMPUTED_VALUE"""),"")</f>
        <v/>
      </c>
      <c r="U15352" s="16" t="s">
        <v>87</v>
      </c>
      <c r="V15352" s="16" t="str">
        <f>IFERROR(__xludf.DUMMYFUNCTION("""COMPUTED_VALUE"""),"")</f>
        <v/>
      </c>
      <c r="W15352" s="16" t="str">
        <f>IFERROR(__xludf.DUMMYFUNCTION("""COMPUTED_VALUE"""),"")</f>
        <v/>
      </c>
      <c r="X15352" s="16" t="str">
        <f>IFERROR(__xludf.DUMMYFUNCTION("""COMPUTED_VALUE"""),"")</f>
        <v/>
      </c>
      <c r="AC15352" s="16" t="str">
        <f>IFERROR(__xludf.DUMMYFUNCTION("""COMPUTED_VALUE"""),"")</f>
        <v/>
      </c>
    </row>
    <row r="15353">
      <c r="A15353" s="16" t="s">
        <v>87</v>
      </c>
      <c r="E15353" s="16" t="str">
        <f>IFERROR(__xludf.DUMMYFUNCTION("""COMPUTED_VALUE"""),"")</f>
        <v/>
      </c>
      <c r="G15353" s="18"/>
      <c r="H15353" s="16" t="s">
        <v>87</v>
      </c>
      <c r="I15353" s="16" t="s">
        <v>87</v>
      </c>
      <c r="J15353" s="19"/>
      <c r="L15353" s="16" t="str">
        <f>IFERROR(__xludf.DUMMYFUNCTION("""COMPUTED_VALUE"""),"")</f>
        <v/>
      </c>
      <c r="M15353" s="16" t="str">
        <f>IFERROR(__xludf.DUMMYFUNCTION("""COMPUTED_VALUE"""),"")</f>
        <v/>
      </c>
      <c r="U15353" s="16" t="s">
        <v>87</v>
      </c>
      <c r="V15353" s="16" t="str">
        <f>IFERROR(__xludf.DUMMYFUNCTION("""COMPUTED_VALUE"""),"")</f>
        <v/>
      </c>
      <c r="W15353" s="16" t="str">
        <f>IFERROR(__xludf.DUMMYFUNCTION("""COMPUTED_VALUE"""),"")</f>
        <v/>
      </c>
      <c r="X15353" s="16" t="str">
        <f>IFERROR(__xludf.DUMMYFUNCTION("""COMPUTED_VALUE"""),"")</f>
        <v/>
      </c>
      <c r="AC15353" s="16" t="str">
        <f>IFERROR(__xludf.DUMMYFUNCTION("""COMPUTED_VALUE"""),"")</f>
        <v/>
      </c>
    </row>
    <row r="15354">
      <c r="A15354" s="16" t="s">
        <v>87</v>
      </c>
      <c r="E15354" s="16" t="str">
        <f>IFERROR(__xludf.DUMMYFUNCTION("""COMPUTED_VALUE"""),"")</f>
        <v/>
      </c>
      <c r="G15354" s="18"/>
      <c r="H15354" s="16" t="s">
        <v>87</v>
      </c>
      <c r="I15354" s="16" t="s">
        <v>87</v>
      </c>
      <c r="J15354" s="19"/>
      <c r="L15354" s="16" t="str">
        <f>IFERROR(__xludf.DUMMYFUNCTION("""COMPUTED_VALUE"""),"")</f>
        <v/>
      </c>
      <c r="M15354" s="16" t="str">
        <f>IFERROR(__xludf.DUMMYFUNCTION("""COMPUTED_VALUE"""),"")</f>
        <v/>
      </c>
      <c r="U15354" s="16" t="s">
        <v>87</v>
      </c>
      <c r="V15354" s="16" t="str">
        <f>IFERROR(__xludf.DUMMYFUNCTION("""COMPUTED_VALUE"""),"")</f>
        <v/>
      </c>
      <c r="W15354" s="16" t="str">
        <f>IFERROR(__xludf.DUMMYFUNCTION("""COMPUTED_VALUE"""),"")</f>
        <v/>
      </c>
      <c r="X15354" s="16" t="str">
        <f>IFERROR(__xludf.DUMMYFUNCTION("""COMPUTED_VALUE"""),"")</f>
        <v/>
      </c>
      <c r="AC15354" s="16" t="str">
        <f>IFERROR(__xludf.DUMMYFUNCTION("""COMPUTED_VALUE"""),"")</f>
        <v/>
      </c>
    </row>
    <row r="15355">
      <c r="A15355" s="16" t="s">
        <v>87</v>
      </c>
      <c r="E15355" s="16" t="str">
        <f>IFERROR(__xludf.DUMMYFUNCTION("""COMPUTED_VALUE"""),"")</f>
        <v/>
      </c>
      <c r="G15355" s="18"/>
      <c r="H15355" s="16" t="s">
        <v>87</v>
      </c>
      <c r="I15355" s="16" t="s">
        <v>87</v>
      </c>
      <c r="J15355" s="19"/>
      <c r="L15355" s="16" t="str">
        <f>IFERROR(__xludf.DUMMYFUNCTION("""COMPUTED_VALUE"""),"")</f>
        <v/>
      </c>
      <c r="M15355" s="16" t="str">
        <f>IFERROR(__xludf.DUMMYFUNCTION("""COMPUTED_VALUE"""),"")</f>
        <v/>
      </c>
      <c r="U15355" s="16" t="s">
        <v>87</v>
      </c>
      <c r="V15355" s="16" t="str">
        <f>IFERROR(__xludf.DUMMYFUNCTION("""COMPUTED_VALUE"""),"")</f>
        <v/>
      </c>
      <c r="W15355" s="16" t="str">
        <f>IFERROR(__xludf.DUMMYFUNCTION("""COMPUTED_VALUE"""),"")</f>
        <v/>
      </c>
      <c r="X15355" s="16" t="str">
        <f>IFERROR(__xludf.DUMMYFUNCTION("""COMPUTED_VALUE"""),"")</f>
        <v/>
      </c>
      <c r="AC15355" s="16" t="str">
        <f>IFERROR(__xludf.DUMMYFUNCTION("""COMPUTED_VALUE"""),"")</f>
        <v/>
      </c>
    </row>
    <row r="15356">
      <c r="A15356" s="16" t="s">
        <v>87</v>
      </c>
      <c r="E15356" s="16" t="str">
        <f>IFERROR(__xludf.DUMMYFUNCTION("""COMPUTED_VALUE"""),"")</f>
        <v/>
      </c>
      <c r="G15356" s="18"/>
      <c r="H15356" s="16" t="s">
        <v>87</v>
      </c>
      <c r="I15356" s="16" t="s">
        <v>87</v>
      </c>
      <c r="J15356" s="19"/>
      <c r="L15356" s="16" t="str">
        <f>IFERROR(__xludf.DUMMYFUNCTION("""COMPUTED_VALUE"""),"")</f>
        <v/>
      </c>
      <c r="M15356" s="16" t="str">
        <f>IFERROR(__xludf.DUMMYFUNCTION("""COMPUTED_VALUE"""),"")</f>
        <v/>
      </c>
      <c r="U15356" s="16" t="s">
        <v>87</v>
      </c>
      <c r="V15356" s="16" t="str">
        <f>IFERROR(__xludf.DUMMYFUNCTION("""COMPUTED_VALUE"""),"")</f>
        <v/>
      </c>
      <c r="W15356" s="16" t="str">
        <f>IFERROR(__xludf.DUMMYFUNCTION("""COMPUTED_VALUE"""),"")</f>
        <v/>
      </c>
      <c r="X15356" s="16" t="str">
        <f>IFERROR(__xludf.DUMMYFUNCTION("""COMPUTED_VALUE"""),"")</f>
        <v/>
      </c>
      <c r="AC15356" s="16" t="str">
        <f>IFERROR(__xludf.DUMMYFUNCTION("""COMPUTED_VALUE"""),"")</f>
        <v/>
      </c>
    </row>
    <row r="15357">
      <c r="A15357" s="16" t="s">
        <v>87</v>
      </c>
      <c r="E15357" s="16" t="str">
        <f>IFERROR(__xludf.DUMMYFUNCTION("""COMPUTED_VALUE"""),"")</f>
        <v/>
      </c>
      <c r="G15357" s="18"/>
      <c r="H15357" s="16" t="s">
        <v>87</v>
      </c>
      <c r="I15357" s="16" t="s">
        <v>87</v>
      </c>
      <c r="J15357" s="19"/>
      <c r="L15357" s="16" t="str">
        <f>IFERROR(__xludf.DUMMYFUNCTION("""COMPUTED_VALUE"""),"")</f>
        <v/>
      </c>
      <c r="M15357" s="16" t="str">
        <f>IFERROR(__xludf.DUMMYFUNCTION("""COMPUTED_VALUE"""),"")</f>
        <v/>
      </c>
      <c r="U15357" s="16" t="s">
        <v>87</v>
      </c>
      <c r="V15357" s="16" t="str">
        <f>IFERROR(__xludf.DUMMYFUNCTION("""COMPUTED_VALUE"""),"")</f>
        <v/>
      </c>
      <c r="W15357" s="16" t="str">
        <f>IFERROR(__xludf.DUMMYFUNCTION("""COMPUTED_VALUE"""),"")</f>
        <v/>
      </c>
      <c r="X15357" s="16" t="str">
        <f>IFERROR(__xludf.DUMMYFUNCTION("""COMPUTED_VALUE"""),"")</f>
        <v/>
      </c>
      <c r="AC15357" s="16" t="str">
        <f>IFERROR(__xludf.DUMMYFUNCTION("""COMPUTED_VALUE"""),"")</f>
        <v/>
      </c>
    </row>
    <row r="15358">
      <c r="A15358" s="16" t="s">
        <v>87</v>
      </c>
      <c r="E15358" s="16" t="str">
        <f>IFERROR(__xludf.DUMMYFUNCTION("""COMPUTED_VALUE"""),"")</f>
        <v/>
      </c>
      <c r="G15358" s="18"/>
      <c r="H15358" s="16" t="s">
        <v>87</v>
      </c>
      <c r="I15358" s="16" t="s">
        <v>87</v>
      </c>
      <c r="J15358" s="19"/>
      <c r="L15358" s="16" t="str">
        <f>IFERROR(__xludf.DUMMYFUNCTION("""COMPUTED_VALUE"""),"")</f>
        <v/>
      </c>
      <c r="M15358" s="16" t="str">
        <f>IFERROR(__xludf.DUMMYFUNCTION("""COMPUTED_VALUE"""),"")</f>
        <v/>
      </c>
      <c r="U15358" s="16" t="s">
        <v>87</v>
      </c>
      <c r="V15358" s="16" t="str">
        <f>IFERROR(__xludf.DUMMYFUNCTION("""COMPUTED_VALUE"""),"")</f>
        <v/>
      </c>
      <c r="W15358" s="16" t="str">
        <f>IFERROR(__xludf.DUMMYFUNCTION("""COMPUTED_VALUE"""),"")</f>
        <v/>
      </c>
      <c r="X15358" s="16" t="str">
        <f>IFERROR(__xludf.DUMMYFUNCTION("""COMPUTED_VALUE"""),"")</f>
        <v/>
      </c>
      <c r="AC15358" s="16" t="str">
        <f>IFERROR(__xludf.DUMMYFUNCTION("""COMPUTED_VALUE"""),"")</f>
        <v/>
      </c>
    </row>
    <row r="15359">
      <c r="A15359" s="16" t="s">
        <v>87</v>
      </c>
      <c r="E15359" s="16" t="str">
        <f>IFERROR(__xludf.DUMMYFUNCTION("""COMPUTED_VALUE"""),"")</f>
        <v/>
      </c>
      <c r="G15359" s="18"/>
      <c r="H15359" s="16" t="s">
        <v>87</v>
      </c>
      <c r="I15359" s="16" t="s">
        <v>87</v>
      </c>
      <c r="J15359" s="19"/>
      <c r="L15359" s="16" t="str">
        <f>IFERROR(__xludf.DUMMYFUNCTION("""COMPUTED_VALUE"""),"")</f>
        <v/>
      </c>
      <c r="M15359" s="16" t="str">
        <f>IFERROR(__xludf.DUMMYFUNCTION("""COMPUTED_VALUE"""),"")</f>
        <v/>
      </c>
      <c r="U15359" s="16" t="s">
        <v>87</v>
      </c>
      <c r="V15359" s="16" t="str">
        <f>IFERROR(__xludf.DUMMYFUNCTION("""COMPUTED_VALUE"""),"")</f>
        <v/>
      </c>
      <c r="W15359" s="16" t="str">
        <f>IFERROR(__xludf.DUMMYFUNCTION("""COMPUTED_VALUE"""),"")</f>
        <v/>
      </c>
      <c r="X15359" s="16" t="str">
        <f>IFERROR(__xludf.DUMMYFUNCTION("""COMPUTED_VALUE"""),"")</f>
        <v/>
      </c>
      <c r="AC15359" s="16" t="str">
        <f>IFERROR(__xludf.DUMMYFUNCTION("""COMPUTED_VALUE"""),"")</f>
        <v/>
      </c>
    </row>
    <row r="15360">
      <c r="A15360" s="16" t="s">
        <v>87</v>
      </c>
      <c r="E15360" s="16" t="str">
        <f>IFERROR(__xludf.DUMMYFUNCTION("""COMPUTED_VALUE"""),"")</f>
        <v/>
      </c>
      <c r="G15360" s="18"/>
      <c r="H15360" s="16" t="s">
        <v>87</v>
      </c>
      <c r="I15360" s="16" t="s">
        <v>87</v>
      </c>
      <c r="J15360" s="19"/>
      <c r="L15360" s="16" t="str">
        <f>IFERROR(__xludf.DUMMYFUNCTION("""COMPUTED_VALUE"""),"")</f>
        <v/>
      </c>
      <c r="M15360" s="16" t="str">
        <f>IFERROR(__xludf.DUMMYFUNCTION("""COMPUTED_VALUE"""),"")</f>
        <v/>
      </c>
      <c r="U15360" s="16" t="s">
        <v>87</v>
      </c>
      <c r="V15360" s="16" t="str">
        <f>IFERROR(__xludf.DUMMYFUNCTION("""COMPUTED_VALUE"""),"")</f>
        <v/>
      </c>
      <c r="W15360" s="16" t="str">
        <f>IFERROR(__xludf.DUMMYFUNCTION("""COMPUTED_VALUE"""),"")</f>
        <v/>
      </c>
      <c r="X15360" s="16" t="str">
        <f>IFERROR(__xludf.DUMMYFUNCTION("""COMPUTED_VALUE"""),"")</f>
        <v/>
      </c>
      <c r="AC15360" s="16" t="str">
        <f>IFERROR(__xludf.DUMMYFUNCTION("""COMPUTED_VALUE"""),"")</f>
        <v/>
      </c>
    </row>
    <row r="15361">
      <c r="A15361" s="16" t="s">
        <v>87</v>
      </c>
      <c r="E15361" s="16" t="str">
        <f>IFERROR(__xludf.DUMMYFUNCTION("""COMPUTED_VALUE"""),"")</f>
        <v/>
      </c>
      <c r="G15361" s="18"/>
      <c r="H15361" s="16" t="s">
        <v>87</v>
      </c>
      <c r="I15361" s="16" t="s">
        <v>87</v>
      </c>
      <c r="J15361" s="19"/>
      <c r="L15361" s="16" t="str">
        <f>IFERROR(__xludf.DUMMYFUNCTION("""COMPUTED_VALUE"""),"")</f>
        <v/>
      </c>
      <c r="M15361" s="16" t="str">
        <f>IFERROR(__xludf.DUMMYFUNCTION("""COMPUTED_VALUE"""),"")</f>
        <v/>
      </c>
      <c r="U15361" s="16" t="s">
        <v>87</v>
      </c>
      <c r="V15361" s="16" t="str">
        <f>IFERROR(__xludf.DUMMYFUNCTION("""COMPUTED_VALUE"""),"")</f>
        <v/>
      </c>
      <c r="W15361" s="16" t="str">
        <f>IFERROR(__xludf.DUMMYFUNCTION("""COMPUTED_VALUE"""),"")</f>
        <v/>
      </c>
      <c r="X15361" s="16" t="str">
        <f>IFERROR(__xludf.DUMMYFUNCTION("""COMPUTED_VALUE"""),"")</f>
        <v/>
      </c>
      <c r="AC15361" s="16" t="str">
        <f>IFERROR(__xludf.DUMMYFUNCTION("""COMPUTED_VALUE"""),"")</f>
        <v/>
      </c>
    </row>
    <row r="15362">
      <c r="A15362" s="16" t="s">
        <v>87</v>
      </c>
      <c r="E15362" s="16" t="str">
        <f>IFERROR(__xludf.DUMMYFUNCTION("""COMPUTED_VALUE"""),"")</f>
        <v/>
      </c>
      <c r="G15362" s="18"/>
      <c r="H15362" s="16" t="s">
        <v>87</v>
      </c>
      <c r="I15362" s="16" t="s">
        <v>87</v>
      </c>
      <c r="J15362" s="19"/>
      <c r="L15362" s="16" t="str">
        <f>IFERROR(__xludf.DUMMYFUNCTION("""COMPUTED_VALUE"""),"")</f>
        <v/>
      </c>
      <c r="M15362" s="16" t="str">
        <f>IFERROR(__xludf.DUMMYFUNCTION("""COMPUTED_VALUE"""),"")</f>
        <v/>
      </c>
      <c r="U15362" s="16" t="s">
        <v>87</v>
      </c>
      <c r="V15362" s="16" t="str">
        <f>IFERROR(__xludf.DUMMYFUNCTION("""COMPUTED_VALUE"""),"")</f>
        <v/>
      </c>
      <c r="W15362" s="16" t="str">
        <f>IFERROR(__xludf.DUMMYFUNCTION("""COMPUTED_VALUE"""),"")</f>
        <v/>
      </c>
      <c r="X15362" s="16" t="str">
        <f>IFERROR(__xludf.DUMMYFUNCTION("""COMPUTED_VALUE"""),"")</f>
        <v/>
      </c>
      <c r="AC15362" s="16" t="str">
        <f>IFERROR(__xludf.DUMMYFUNCTION("""COMPUTED_VALUE"""),"")</f>
        <v/>
      </c>
    </row>
    <row r="15363">
      <c r="A15363" s="16" t="s">
        <v>87</v>
      </c>
      <c r="E15363" s="16" t="str">
        <f>IFERROR(__xludf.DUMMYFUNCTION("""COMPUTED_VALUE"""),"")</f>
        <v/>
      </c>
      <c r="G15363" s="18"/>
      <c r="H15363" s="16" t="s">
        <v>87</v>
      </c>
      <c r="I15363" s="16" t="s">
        <v>87</v>
      </c>
      <c r="J15363" s="19"/>
      <c r="L15363" s="16" t="str">
        <f>IFERROR(__xludf.DUMMYFUNCTION("""COMPUTED_VALUE"""),"")</f>
        <v/>
      </c>
      <c r="M15363" s="16" t="str">
        <f>IFERROR(__xludf.DUMMYFUNCTION("""COMPUTED_VALUE"""),"")</f>
        <v/>
      </c>
      <c r="U15363" s="16" t="s">
        <v>87</v>
      </c>
      <c r="V15363" s="16" t="str">
        <f>IFERROR(__xludf.DUMMYFUNCTION("""COMPUTED_VALUE"""),"")</f>
        <v/>
      </c>
      <c r="W15363" s="16" t="str">
        <f>IFERROR(__xludf.DUMMYFUNCTION("""COMPUTED_VALUE"""),"")</f>
        <v/>
      </c>
      <c r="X15363" s="16" t="str">
        <f>IFERROR(__xludf.DUMMYFUNCTION("""COMPUTED_VALUE"""),"")</f>
        <v/>
      </c>
      <c r="AC15363" s="16" t="str">
        <f>IFERROR(__xludf.DUMMYFUNCTION("""COMPUTED_VALUE"""),"")</f>
        <v/>
      </c>
    </row>
    <row r="15364">
      <c r="A15364" s="16" t="s">
        <v>87</v>
      </c>
      <c r="E15364" s="16" t="str">
        <f>IFERROR(__xludf.DUMMYFUNCTION("""COMPUTED_VALUE"""),"")</f>
        <v/>
      </c>
      <c r="G15364" s="18"/>
      <c r="H15364" s="16" t="s">
        <v>87</v>
      </c>
      <c r="I15364" s="16" t="s">
        <v>87</v>
      </c>
      <c r="J15364" s="19"/>
      <c r="L15364" s="16" t="str">
        <f>IFERROR(__xludf.DUMMYFUNCTION("""COMPUTED_VALUE"""),"")</f>
        <v/>
      </c>
      <c r="M15364" s="16" t="str">
        <f>IFERROR(__xludf.DUMMYFUNCTION("""COMPUTED_VALUE"""),"")</f>
        <v/>
      </c>
      <c r="U15364" s="16" t="s">
        <v>87</v>
      </c>
      <c r="V15364" s="16" t="str">
        <f>IFERROR(__xludf.DUMMYFUNCTION("""COMPUTED_VALUE"""),"")</f>
        <v/>
      </c>
      <c r="W15364" s="16" t="str">
        <f>IFERROR(__xludf.DUMMYFUNCTION("""COMPUTED_VALUE"""),"")</f>
        <v/>
      </c>
      <c r="X15364" s="16" t="str">
        <f>IFERROR(__xludf.DUMMYFUNCTION("""COMPUTED_VALUE"""),"")</f>
        <v/>
      </c>
      <c r="AC15364" s="16" t="str">
        <f>IFERROR(__xludf.DUMMYFUNCTION("""COMPUTED_VALUE"""),"")</f>
        <v/>
      </c>
    </row>
    <row r="15365">
      <c r="A15365" s="16" t="s">
        <v>87</v>
      </c>
      <c r="E15365" s="16" t="str">
        <f>IFERROR(__xludf.DUMMYFUNCTION("""COMPUTED_VALUE"""),"")</f>
        <v/>
      </c>
      <c r="G15365" s="18"/>
      <c r="H15365" s="16" t="s">
        <v>87</v>
      </c>
      <c r="I15365" s="16" t="s">
        <v>87</v>
      </c>
      <c r="J15365" s="19"/>
      <c r="L15365" s="16" t="str">
        <f>IFERROR(__xludf.DUMMYFUNCTION("""COMPUTED_VALUE"""),"")</f>
        <v/>
      </c>
      <c r="M15365" s="16" t="str">
        <f>IFERROR(__xludf.DUMMYFUNCTION("""COMPUTED_VALUE"""),"")</f>
        <v/>
      </c>
      <c r="U15365" s="16" t="s">
        <v>87</v>
      </c>
      <c r="V15365" s="16" t="str">
        <f>IFERROR(__xludf.DUMMYFUNCTION("""COMPUTED_VALUE"""),"")</f>
        <v/>
      </c>
      <c r="W15365" s="16" t="str">
        <f>IFERROR(__xludf.DUMMYFUNCTION("""COMPUTED_VALUE"""),"")</f>
        <v/>
      </c>
      <c r="X15365" s="16" t="str">
        <f>IFERROR(__xludf.DUMMYFUNCTION("""COMPUTED_VALUE"""),"")</f>
        <v/>
      </c>
      <c r="AC15365" s="16" t="str">
        <f>IFERROR(__xludf.DUMMYFUNCTION("""COMPUTED_VALUE"""),"")</f>
        <v/>
      </c>
    </row>
    <row r="15366">
      <c r="A15366" s="16" t="s">
        <v>87</v>
      </c>
      <c r="E15366" s="16" t="str">
        <f>IFERROR(__xludf.DUMMYFUNCTION("""COMPUTED_VALUE"""),"")</f>
        <v/>
      </c>
      <c r="G15366" s="18"/>
      <c r="H15366" s="16" t="s">
        <v>87</v>
      </c>
      <c r="I15366" s="16" t="s">
        <v>87</v>
      </c>
      <c r="J15366" s="19"/>
      <c r="L15366" s="16" t="str">
        <f>IFERROR(__xludf.DUMMYFUNCTION("""COMPUTED_VALUE"""),"")</f>
        <v/>
      </c>
      <c r="M15366" s="16" t="str">
        <f>IFERROR(__xludf.DUMMYFUNCTION("""COMPUTED_VALUE"""),"")</f>
        <v/>
      </c>
      <c r="U15366" s="16" t="s">
        <v>87</v>
      </c>
      <c r="V15366" s="16" t="str">
        <f>IFERROR(__xludf.DUMMYFUNCTION("""COMPUTED_VALUE"""),"")</f>
        <v/>
      </c>
      <c r="W15366" s="16" t="str">
        <f>IFERROR(__xludf.DUMMYFUNCTION("""COMPUTED_VALUE"""),"")</f>
        <v/>
      </c>
      <c r="X15366" s="16" t="str">
        <f>IFERROR(__xludf.DUMMYFUNCTION("""COMPUTED_VALUE"""),"")</f>
        <v/>
      </c>
      <c r="AC15366" s="16" t="str">
        <f>IFERROR(__xludf.DUMMYFUNCTION("""COMPUTED_VALUE"""),"")</f>
        <v/>
      </c>
    </row>
    <row r="15367">
      <c r="A15367" s="16" t="s">
        <v>87</v>
      </c>
      <c r="E15367" s="16" t="str">
        <f>IFERROR(__xludf.DUMMYFUNCTION("""COMPUTED_VALUE"""),"")</f>
        <v/>
      </c>
      <c r="G15367" s="18"/>
      <c r="H15367" s="16" t="s">
        <v>87</v>
      </c>
      <c r="I15367" s="16" t="s">
        <v>87</v>
      </c>
      <c r="J15367" s="19"/>
      <c r="L15367" s="16" t="str">
        <f>IFERROR(__xludf.DUMMYFUNCTION("""COMPUTED_VALUE"""),"")</f>
        <v/>
      </c>
      <c r="M15367" s="16" t="str">
        <f>IFERROR(__xludf.DUMMYFUNCTION("""COMPUTED_VALUE"""),"")</f>
        <v/>
      </c>
      <c r="U15367" s="16" t="s">
        <v>87</v>
      </c>
      <c r="V15367" s="16" t="str">
        <f>IFERROR(__xludf.DUMMYFUNCTION("""COMPUTED_VALUE"""),"")</f>
        <v/>
      </c>
      <c r="W15367" s="16" t="str">
        <f>IFERROR(__xludf.DUMMYFUNCTION("""COMPUTED_VALUE"""),"")</f>
        <v/>
      </c>
      <c r="X15367" s="16" t="str">
        <f>IFERROR(__xludf.DUMMYFUNCTION("""COMPUTED_VALUE"""),"")</f>
        <v/>
      </c>
      <c r="AC15367" s="16" t="str">
        <f>IFERROR(__xludf.DUMMYFUNCTION("""COMPUTED_VALUE"""),"")</f>
        <v/>
      </c>
    </row>
    <row r="15368">
      <c r="A15368" s="16" t="s">
        <v>87</v>
      </c>
      <c r="E15368" s="16" t="str">
        <f>IFERROR(__xludf.DUMMYFUNCTION("""COMPUTED_VALUE"""),"")</f>
        <v/>
      </c>
      <c r="G15368" s="18"/>
      <c r="H15368" s="16" t="s">
        <v>87</v>
      </c>
      <c r="I15368" s="16" t="s">
        <v>87</v>
      </c>
      <c r="J15368" s="19"/>
      <c r="L15368" s="16" t="str">
        <f>IFERROR(__xludf.DUMMYFUNCTION("""COMPUTED_VALUE"""),"")</f>
        <v/>
      </c>
      <c r="M15368" s="16" t="str">
        <f>IFERROR(__xludf.DUMMYFUNCTION("""COMPUTED_VALUE"""),"")</f>
        <v/>
      </c>
      <c r="U15368" s="16" t="s">
        <v>87</v>
      </c>
      <c r="V15368" s="16" t="str">
        <f>IFERROR(__xludf.DUMMYFUNCTION("""COMPUTED_VALUE"""),"")</f>
        <v/>
      </c>
      <c r="W15368" s="16" t="str">
        <f>IFERROR(__xludf.DUMMYFUNCTION("""COMPUTED_VALUE"""),"")</f>
        <v/>
      </c>
      <c r="X15368" s="16" t="str">
        <f>IFERROR(__xludf.DUMMYFUNCTION("""COMPUTED_VALUE"""),"")</f>
        <v/>
      </c>
      <c r="AC15368" s="16" t="str">
        <f>IFERROR(__xludf.DUMMYFUNCTION("""COMPUTED_VALUE"""),"")</f>
        <v/>
      </c>
    </row>
    <row r="15369">
      <c r="A15369" s="16" t="s">
        <v>87</v>
      </c>
      <c r="E15369" s="16" t="str">
        <f>IFERROR(__xludf.DUMMYFUNCTION("""COMPUTED_VALUE"""),"")</f>
        <v/>
      </c>
      <c r="G15369" s="18"/>
      <c r="H15369" s="16" t="s">
        <v>87</v>
      </c>
      <c r="I15369" s="16" t="s">
        <v>87</v>
      </c>
      <c r="J15369" s="19"/>
      <c r="L15369" s="16" t="str">
        <f>IFERROR(__xludf.DUMMYFUNCTION("""COMPUTED_VALUE"""),"")</f>
        <v/>
      </c>
      <c r="M15369" s="16" t="str">
        <f>IFERROR(__xludf.DUMMYFUNCTION("""COMPUTED_VALUE"""),"")</f>
        <v/>
      </c>
      <c r="U15369" s="16" t="s">
        <v>87</v>
      </c>
      <c r="V15369" s="16" t="str">
        <f>IFERROR(__xludf.DUMMYFUNCTION("""COMPUTED_VALUE"""),"")</f>
        <v/>
      </c>
      <c r="W15369" s="16" t="str">
        <f>IFERROR(__xludf.DUMMYFUNCTION("""COMPUTED_VALUE"""),"")</f>
        <v/>
      </c>
      <c r="X15369" s="16" t="str">
        <f>IFERROR(__xludf.DUMMYFUNCTION("""COMPUTED_VALUE"""),"")</f>
        <v/>
      </c>
      <c r="AC15369" s="16" t="str">
        <f>IFERROR(__xludf.DUMMYFUNCTION("""COMPUTED_VALUE"""),"")</f>
        <v/>
      </c>
    </row>
    <row r="15370">
      <c r="A15370" s="16" t="s">
        <v>87</v>
      </c>
      <c r="E15370" s="16" t="str">
        <f>IFERROR(__xludf.DUMMYFUNCTION("""COMPUTED_VALUE"""),"")</f>
        <v/>
      </c>
      <c r="G15370" s="18"/>
      <c r="H15370" s="16" t="s">
        <v>87</v>
      </c>
      <c r="I15370" s="16" t="s">
        <v>87</v>
      </c>
      <c r="J15370" s="19"/>
      <c r="L15370" s="16" t="str">
        <f>IFERROR(__xludf.DUMMYFUNCTION("""COMPUTED_VALUE"""),"")</f>
        <v/>
      </c>
      <c r="M15370" s="16" t="str">
        <f>IFERROR(__xludf.DUMMYFUNCTION("""COMPUTED_VALUE"""),"")</f>
        <v/>
      </c>
      <c r="U15370" s="16" t="s">
        <v>87</v>
      </c>
      <c r="V15370" s="16" t="str">
        <f>IFERROR(__xludf.DUMMYFUNCTION("""COMPUTED_VALUE"""),"")</f>
        <v/>
      </c>
      <c r="W15370" s="16" t="str">
        <f>IFERROR(__xludf.DUMMYFUNCTION("""COMPUTED_VALUE"""),"")</f>
        <v/>
      </c>
      <c r="X15370" s="16" t="str">
        <f>IFERROR(__xludf.DUMMYFUNCTION("""COMPUTED_VALUE"""),"")</f>
        <v/>
      </c>
      <c r="AC15370" s="16" t="str">
        <f>IFERROR(__xludf.DUMMYFUNCTION("""COMPUTED_VALUE"""),"")</f>
        <v/>
      </c>
    </row>
    <row r="15371">
      <c r="A15371" s="16" t="s">
        <v>87</v>
      </c>
      <c r="E15371" s="16" t="str">
        <f>IFERROR(__xludf.DUMMYFUNCTION("""COMPUTED_VALUE"""),"")</f>
        <v/>
      </c>
      <c r="G15371" s="18"/>
      <c r="H15371" s="16" t="s">
        <v>87</v>
      </c>
      <c r="I15371" s="16" t="s">
        <v>87</v>
      </c>
      <c r="J15371" s="19"/>
      <c r="L15371" s="16" t="str">
        <f>IFERROR(__xludf.DUMMYFUNCTION("""COMPUTED_VALUE"""),"")</f>
        <v/>
      </c>
      <c r="M15371" s="16" t="str">
        <f>IFERROR(__xludf.DUMMYFUNCTION("""COMPUTED_VALUE"""),"")</f>
        <v/>
      </c>
      <c r="U15371" s="16" t="s">
        <v>87</v>
      </c>
      <c r="V15371" s="16" t="str">
        <f>IFERROR(__xludf.DUMMYFUNCTION("""COMPUTED_VALUE"""),"")</f>
        <v/>
      </c>
      <c r="W15371" s="16" t="str">
        <f>IFERROR(__xludf.DUMMYFUNCTION("""COMPUTED_VALUE"""),"")</f>
        <v/>
      </c>
      <c r="X15371" s="16" t="str">
        <f>IFERROR(__xludf.DUMMYFUNCTION("""COMPUTED_VALUE"""),"")</f>
        <v/>
      </c>
      <c r="AC15371" s="16" t="str">
        <f>IFERROR(__xludf.DUMMYFUNCTION("""COMPUTED_VALUE"""),"")</f>
        <v/>
      </c>
    </row>
    <row r="15372">
      <c r="A15372" s="16" t="s">
        <v>87</v>
      </c>
      <c r="E15372" s="16" t="str">
        <f>IFERROR(__xludf.DUMMYFUNCTION("""COMPUTED_VALUE"""),"")</f>
        <v/>
      </c>
      <c r="G15372" s="18"/>
      <c r="H15372" s="16" t="s">
        <v>87</v>
      </c>
      <c r="I15372" s="16" t="s">
        <v>87</v>
      </c>
      <c r="J15372" s="19"/>
      <c r="L15372" s="16" t="str">
        <f>IFERROR(__xludf.DUMMYFUNCTION("""COMPUTED_VALUE"""),"")</f>
        <v/>
      </c>
      <c r="M15372" s="16" t="str">
        <f>IFERROR(__xludf.DUMMYFUNCTION("""COMPUTED_VALUE"""),"")</f>
        <v/>
      </c>
      <c r="U15372" s="16" t="s">
        <v>87</v>
      </c>
      <c r="V15372" s="16" t="str">
        <f>IFERROR(__xludf.DUMMYFUNCTION("""COMPUTED_VALUE"""),"")</f>
        <v/>
      </c>
      <c r="W15372" s="16" t="str">
        <f>IFERROR(__xludf.DUMMYFUNCTION("""COMPUTED_VALUE"""),"")</f>
        <v/>
      </c>
      <c r="X15372" s="16" t="str">
        <f>IFERROR(__xludf.DUMMYFUNCTION("""COMPUTED_VALUE"""),"")</f>
        <v/>
      </c>
      <c r="AC15372" s="16" t="str">
        <f>IFERROR(__xludf.DUMMYFUNCTION("""COMPUTED_VALUE"""),"")</f>
        <v/>
      </c>
    </row>
    <row r="15373">
      <c r="A15373" s="16" t="s">
        <v>87</v>
      </c>
      <c r="E15373" s="16" t="str">
        <f>IFERROR(__xludf.DUMMYFUNCTION("""COMPUTED_VALUE"""),"")</f>
        <v/>
      </c>
      <c r="G15373" s="18"/>
      <c r="H15373" s="16" t="s">
        <v>87</v>
      </c>
      <c r="I15373" s="16" t="s">
        <v>87</v>
      </c>
      <c r="J15373" s="19"/>
      <c r="L15373" s="16" t="str">
        <f>IFERROR(__xludf.DUMMYFUNCTION("""COMPUTED_VALUE"""),"")</f>
        <v/>
      </c>
      <c r="M15373" s="16" t="str">
        <f>IFERROR(__xludf.DUMMYFUNCTION("""COMPUTED_VALUE"""),"")</f>
        <v/>
      </c>
      <c r="U15373" s="16" t="s">
        <v>87</v>
      </c>
      <c r="V15373" s="16" t="str">
        <f>IFERROR(__xludf.DUMMYFUNCTION("""COMPUTED_VALUE"""),"")</f>
        <v/>
      </c>
      <c r="W15373" s="16" t="str">
        <f>IFERROR(__xludf.DUMMYFUNCTION("""COMPUTED_VALUE"""),"")</f>
        <v/>
      </c>
      <c r="X15373" s="16" t="str">
        <f>IFERROR(__xludf.DUMMYFUNCTION("""COMPUTED_VALUE"""),"")</f>
        <v/>
      </c>
      <c r="AC15373" s="16" t="str">
        <f>IFERROR(__xludf.DUMMYFUNCTION("""COMPUTED_VALUE"""),"")</f>
        <v/>
      </c>
    </row>
    <row r="15374">
      <c r="A15374" s="16" t="s">
        <v>87</v>
      </c>
      <c r="E15374" s="16" t="str">
        <f>IFERROR(__xludf.DUMMYFUNCTION("""COMPUTED_VALUE"""),"")</f>
        <v/>
      </c>
      <c r="G15374" s="18"/>
      <c r="H15374" s="16" t="s">
        <v>87</v>
      </c>
      <c r="I15374" s="16" t="s">
        <v>87</v>
      </c>
      <c r="J15374" s="19"/>
      <c r="L15374" s="16" t="str">
        <f>IFERROR(__xludf.DUMMYFUNCTION("""COMPUTED_VALUE"""),"")</f>
        <v/>
      </c>
      <c r="M15374" s="16" t="str">
        <f>IFERROR(__xludf.DUMMYFUNCTION("""COMPUTED_VALUE"""),"")</f>
        <v/>
      </c>
      <c r="U15374" s="16" t="s">
        <v>87</v>
      </c>
      <c r="V15374" s="16" t="str">
        <f>IFERROR(__xludf.DUMMYFUNCTION("""COMPUTED_VALUE"""),"")</f>
        <v/>
      </c>
      <c r="W15374" s="16" t="str">
        <f>IFERROR(__xludf.DUMMYFUNCTION("""COMPUTED_VALUE"""),"")</f>
        <v/>
      </c>
      <c r="X15374" s="16" t="str">
        <f>IFERROR(__xludf.DUMMYFUNCTION("""COMPUTED_VALUE"""),"")</f>
        <v/>
      </c>
      <c r="AC15374" s="16" t="str">
        <f>IFERROR(__xludf.DUMMYFUNCTION("""COMPUTED_VALUE"""),"")</f>
        <v/>
      </c>
    </row>
    <row r="15375">
      <c r="A15375" s="16" t="s">
        <v>87</v>
      </c>
      <c r="E15375" s="16" t="str">
        <f>IFERROR(__xludf.DUMMYFUNCTION("""COMPUTED_VALUE"""),"")</f>
        <v/>
      </c>
      <c r="G15375" s="18"/>
      <c r="H15375" s="16" t="s">
        <v>87</v>
      </c>
      <c r="I15375" s="16" t="s">
        <v>87</v>
      </c>
      <c r="J15375" s="19"/>
      <c r="L15375" s="16" t="str">
        <f>IFERROR(__xludf.DUMMYFUNCTION("""COMPUTED_VALUE"""),"")</f>
        <v/>
      </c>
      <c r="M15375" s="16" t="str">
        <f>IFERROR(__xludf.DUMMYFUNCTION("""COMPUTED_VALUE"""),"")</f>
        <v/>
      </c>
      <c r="U15375" s="16" t="s">
        <v>87</v>
      </c>
      <c r="V15375" s="16" t="str">
        <f>IFERROR(__xludf.DUMMYFUNCTION("""COMPUTED_VALUE"""),"")</f>
        <v/>
      </c>
      <c r="W15375" s="16" t="str">
        <f>IFERROR(__xludf.DUMMYFUNCTION("""COMPUTED_VALUE"""),"")</f>
        <v/>
      </c>
      <c r="X15375" s="16" t="str">
        <f>IFERROR(__xludf.DUMMYFUNCTION("""COMPUTED_VALUE"""),"")</f>
        <v/>
      </c>
      <c r="AC15375" s="16" t="str">
        <f>IFERROR(__xludf.DUMMYFUNCTION("""COMPUTED_VALUE"""),"")</f>
        <v/>
      </c>
    </row>
    <row r="15376">
      <c r="A15376" s="16" t="s">
        <v>87</v>
      </c>
      <c r="E15376" s="16" t="str">
        <f>IFERROR(__xludf.DUMMYFUNCTION("""COMPUTED_VALUE"""),"")</f>
        <v/>
      </c>
      <c r="G15376" s="18"/>
      <c r="H15376" s="16" t="s">
        <v>87</v>
      </c>
      <c r="I15376" s="16" t="s">
        <v>87</v>
      </c>
      <c r="J15376" s="19"/>
      <c r="L15376" s="16" t="str">
        <f>IFERROR(__xludf.DUMMYFUNCTION("""COMPUTED_VALUE"""),"")</f>
        <v/>
      </c>
      <c r="M15376" s="16" t="str">
        <f>IFERROR(__xludf.DUMMYFUNCTION("""COMPUTED_VALUE"""),"")</f>
        <v/>
      </c>
      <c r="U15376" s="16" t="s">
        <v>87</v>
      </c>
      <c r="V15376" s="16" t="str">
        <f>IFERROR(__xludf.DUMMYFUNCTION("""COMPUTED_VALUE"""),"")</f>
        <v/>
      </c>
      <c r="W15376" s="16" t="str">
        <f>IFERROR(__xludf.DUMMYFUNCTION("""COMPUTED_VALUE"""),"")</f>
        <v/>
      </c>
      <c r="X15376" s="16" t="str">
        <f>IFERROR(__xludf.DUMMYFUNCTION("""COMPUTED_VALUE"""),"")</f>
        <v/>
      </c>
      <c r="AC15376" s="16" t="str">
        <f>IFERROR(__xludf.DUMMYFUNCTION("""COMPUTED_VALUE"""),"")</f>
        <v/>
      </c>
    </row>
    <row r="15377">
      <c r="A15377" s="16" t="s">
        <v>87</v>
      </c>
      <c r="E15377" s="16" t="str">
        <f>IFERROR(__xludf.DUMMYFUNCTION("""COMPUTED_VALUE"""),"")</f>
        <v/>
      </c>
      <c r="G15377" s="18"/>
      <c r="H15377" s="16" t="s">
        <v>87</v>
      </c>
      <c r="I15377" s="16" t="s">
        <v>87</v>
      </c>
      <c r="J15377" s="19"/>
      <c r="L15377" s="16" t="str">
        <f>IFERROR(__xludf.DUMMYFUNCTION("""COMPUTED_VALUE"""),"")</f>
        <v/>
      </c>
      <c r="M15377" s="16" t="str">
        <f>IFERROR(__xludf.DUMMYFUNCTION("""COMPUTED_VALUE"""),"")</f>
        <v/>
      </c>
      <c r="U15377" s="16" t="s">
        <v>87</v>
      </c>
      <c r="V15377" s="16" t="str">
        <f>IFERROR(__xludf.DUMMYFUNCTION("""COMPUTED_VALUE"""),"")</f>
        <v/>
      </c>
      <c r="W15377" s="16" t="str">
        <f>IFERROR(__xludf.DUMMYFUNCTION("""COMPUTED_VALUE"""),"")</f>
        <v/>
      </c>
      <c r="X15377" s="16" t="str">
        <f>IFERROR(__xludf.DUMMYFUNCTION("""COMPUTED_VALUE"""),"")</f>
        <v/>
      </c>
      <c r="AC15377" s="16" t="str">
        <f>IFERROR(__xludf.DUMMYFUNCTION("""COMPUTED_VALUE"""),"")</f>
        <v/>
      </c>
    </row>
    <row r="15378">
      <c r="A15378" s="16" t="s">
        <v>87</v>
      </c>
      <c r="E15378" s="16" t="str">
        <f>IFERROR(__xludf.DUMMYFUNCTION("""COMPUTED_VALUE"""),"")</f>
        <v/>
      </c>
      <c r="G15378" s="18"/>
      <c r="H15378" s="16" t="s">
        <v>87</v>
      </c>
      <c r="I15378" s="16" t="s">
        <v>87</v>
      </c>
      <c r="J15378" s="19"/>
      <c r="L15378" s="16" t="str">
        <f>IFERROR(__xludf.DUMMYFUNCTION("""COMPUTED_VALUE"""),"")</f>
        <v/>
      </c>
      <c r="M15378" s="16" t="str">
        <f>IFERROR(__xludf.DUMMYFUNCTION("""COMPUTED_VALUE"""),"")</f>
        <v/>
      </c>
      <c r="U15378" s="16" t="s">
        <v>87</v>
      </c>
      <c r="V15378" s="16" t="str">
        <f>IFERROR(__xludf.DUMMYFUNCTION("""COMPUTED_VALUE"""),"")</f>
        <v/>
      </c>
      <c r="W15378" s="16" t="str">
        <f>IFERROR(__xludf.DUMMYFUNCTION("""COMPUTED_VALUE"""),"")</f>
        <v/>
      </c>
      <c r="X15378" s="16" t="str">
        <f>IFERROR(__xludf.DUMMYFUNCTION("""COMPUTED_VALUE"""),"")</f>
        <v/>
      </c>
      <c r="AC15378" s="16" t="str">
        <f>IFERROR(__xludf.DUMMYFUNCTION("""COMPUTED_VALUE"""),"")</f>
        <v/>
      </c>
    </row>
    <row r="15379">
      <c r="A15379" s="16" t="s">
        <v>87</v>
      </c>
      <c r="E15379" s="16" t="str">
        <f>IFERROR(__xludf.DUMMYFUNCTION("""COMPUTED_VALUE"""),"")</f>
        <v/>
      </c>
      <c r="G15379" s="18"/>
      <c r="H15379" s="16" t="s">
        <v>87</v>
      </c>
      <c r="I15379" s="16" t="s">
        <v>87</v>
      </c>
      <c r="J15379" s="19"/>
      <c r="L15379" s="16" t="str">
        <f>IFERROR(__xludf.DUMMYFUNCTION("""COMPUTED_VALUE"""),"")</f>
        <v/>
      </c>
      <c r="M15379" s="16" t="str">
        <f>IFERROR(__xludf.DUMMYFUNCTION("""COMPUTED_VALUE"""),"")</f>
        <v/>
      </c>
      <c r="U15379" s="16" t="s">
        <v>87</v>
      </c>
      <c r="V15379" s="16" t="str">
        <f>IFERROR(__xludf.DUMMYFUNCTION("""COMPUTED_VALUE"""),"")</f>
        <v/>
      </c>
      <c r="W15379" s="16" t="str">
        <f>IFERROR(__xludf.DUMMYFUNCTION("""COMPUTED_VALUE"""),"")</f>
        <v/>
      </c>
      <c r="X15379" s="16" t="str">
        <f>IFERROR(__xludf.DUMMYFUNCTION("""COMPUTED_VALUE"""),"")</f>
        <v/>
      </c>
      <c r="AC15379" s="16" t="str">
        <f>IFERROR(__xludf.DUMMYFUNCTION("""COMPUTED_VALUE"""),"")</f>
        <v/>
      </c>
    </row>
    <row r="15380">
      <c r="A15380" s="16" t="s">
        <v>87</v>
      </c>
      <c r="E15380" s="16" t="str">
        <f>IFERROR(__xludf.DUMMYFUNCTION("""COMPUTED_VALUE"""),"")</f>
        <v/>
      </c>
      <c r="G15380" s="18"/>
      <c r="H15380" s="16" t="s">
        <v>87</v>
      </c>
      <c r="I15380" s="16" t="s">
        <v>87</v>
      </c>
      <c r="J15380" s="19"/>
      <c r="L15380" s="16" t="str">
        <f>IFERROR(__xludf.DUMMYFUNCTION("""COMPUTED_VALUE"""),"")</f>
        <v/>
      </c>
      <c r="M15380" s="16" t="str">
        <f>IFERROR(__xludf.DUMMYFUNCTION("""COMPUTED_VALUE"""),"")</f>
        <v/>
      </c>
      <c r="U15380" s="16" t="s">
        <v>87</v>
      </c>
      <c r="V15380" s="16" t="str">
        <f>IFERROR(__xludf.DUMMYFUNCTION("""COMPUTED_VALUE"""),"")</f>
        <v/>
      </c>
      <c r="W15380" s="16" t="str">
        <f>IFERROR(__xludf.DUMMYFUNCTION("""COMPUTED_VALUE"""),"")</f>
        <v/>
      </c>
      <c r="X15380" s="16" t="str">
        <f>IFERROR(__xludf.DUMMYFUNCTION("""COMPUTED_VALUE"""),"")</f>
        <v/>
      </c>
      <c r="AC15380" s="16" t="str">
        <f>IFERROR(__xludf.DUMMYFUNCTION("""COMPUTED_VALUE"""),"")</f>
        <v/>
      </c>
    </row>
    <row r="15381">
      <c r="A15381" s="16" t="s">
        <v>87</v>
      </c>
      <c r="E15381" s="16" t="str">
        <f>IFERROR(__xludf.DUMMYFUNCTION("""COMPUTED_VALUE"""),"")</f>
        <v/>
      </c>
      <c r="G15381" s="18"/>
      <c r="H15381" s="16" t="s">
        <v>87</v>
      </c>
      <c r="I15381" s="16" t="s">
        <v>87</v>
      </c>
      <c r="J15381" s="19"/>
      <c r="L15381" s="16" t="str">
        <f>IFERROR(__xludf.DUMMYFUNCTION("""COMPUTED_VALUE"""),"")</f>
        <v/>
      </c>
      <c r="M15381" s="16" t="str">
        <f>IFERROR(__xludf.DUMMYFUNCTION("""COMPUTED_VALUE"""),"")</f>
        <v/>
      </c>
      <c r="U15381" s="16" t="s">
        <v>87</v>
      </c>
      <c r="V15381" s="16" t="str">
        <f>IFERROR(__xludf.DUMMYFUNCTION("""COMPUTED_VALUE"""),"")</f>
        <v/>
      </c>
      <c r="W15381" s="16" t="str">
        <f>IFERROR(__xludf.DUMMYFUNCTION("""COMPUTED_VALUE"""),"")</f>
        <v/>
      </c>
      <c r="X15381" s="16" t="str">
        <f>IFERROR(__xludf.DUMMYFUNCTION("""COMPUTED_VALUE"""),"")</f>
        <v/>
      </c>
      <c r="AC15381" s="16" t="str">
        <f>IFERROR(__xludf.DUMMYFUNCTION("""COMPUTED_VALUE"""),"")</f>
        <v/>
      </c>
    </row>
    <row r="15382">
      <c r="A15382" s="16" t="s">
        <v>87</v>
      </c>
      <c r="E15382" s="16" t="str">
        <f>IFERROR(__xludf.DUMMYFUNCTION("""COMPUTED_VALUE"""),"")</f>
        <v/>
      </c>
      <c r="G15382" s="18"/>
      <c r="H15382" s="16" t="s">
        <v>87</v>
      </c>
      <c r="I15382" s="16" t="s">
        <v>87</v>
      </c>
      <c r="J15382" s="19"/>
      <c r="L15382" s="16" t="str">
        <f>IFERROR(__xludf.DUMMYFUNCTION("""COMPUTED_VALUE"""),"")</f>
        <v/>
      </c>
      <c r="M15382" s="16" t="str">
        <f>IFERROR(__xludf.DUMMYFUNCTION("""COMPUTED_VALUE"""),"")</f>
        <v/>
      </c>
      <c r="U15382" s="16" t="s">
        <v>87</v>
      </c>
      <c r="V15382" s="16" t="str">
        <f>IFERROR(__xludf.DUMMYFUNCTION("""COMPUTED_VALUE"""),"")</f>
        <v/>
      </c>
      <c r="W15382" s="16" t="str">
        <f>IFERROR(__xludf.DUMMYFUNCTION("""COMPUTED_VALUE"""),"")</f>
        <v/>
      </c>
      <c r="X15382" s="16" t="str">
        <f>IFERROR(__xludf.DUMMYFUNCTION("""COMPUTED_VALUE"""),"")</f>
        <v/>
      </c>
      <c r="AC15382" s="16" t="str">
        <f>IFERROR(__xludf.DUMMYFUNCTION("""COMPUTED_VALUE"""),"")</f>
        <v/>
      </c>
    </row>
    <row r="15383">
      <c r="A15383" s="16" t="s">
        <v>87</v>
      </c>
      <c r="E15383" s="16" t="str">
        <f>IFERROR(__xludf.DUMMYFUNCTION("""COMPUTED_VALUE"""),"")</f>
        <v/>
      </c>
      <c r="G15383" s="18"/>
      <c r="H15383" s="16" t="s">
        <v>87</v>
      </c>
      <c r="I15383" s="16" t="s">
        <v>87</v>
      </c>
      <c r="J15383" s="19"/>
      <c r="L15383" s="16" t="str">
        <f>IFERROR(__xludf.DUMMYFUNCTION("""COMPUTED_VALUE"""),"")</f>
        <v/>
      </c>
      <c r="M15383" s="16" t="str">
        <f>IFERROR(__xludf.DUMMYFUNCTION("""COMPUTED_VALUE"""),"")</f>
        <v/>
      </c>
      <c r="U15383" s="16" t="s">
        <v>87</v>
      </c>
      <c r="V15383" s="16" t="str">
        <f>IFERROR(__xludf.DUMMYFUNCTION("""COMPUTED_VALUE"""),"")</f>
        <v/>
      </c>
      <c r="W15383" s="16" t="str">
        <f>IFERROR(__xludf.DUMMYFUNCTION("""COMPUTED_VALUE"""),"")</f>
        <v/>
      </c>
      <c r="X15383" s="16" t="str">
        <f>IFERROR(__xludf.DUMMYFUNCTION("""COMPUTED_VALUE"""),"")</f>
        <v/>
      </c>
      <c r="AC15383" s="16" t="str">
        <f>IFERROR(__xludf.DUMMYFUNCTION("""COMPUTED_VALUE"""),"")</f>
        <v/>
      </c>
    </row>
    <row r="15384">
      <c r="A15384" s="16" t="s">
        <v>87</v>
      </c>
      <c r="E15384" s="16" t="str">
        <f>IFERROR(__xludf.DUMMYFUNCTION("""COMPUTED_VALUE"""),"")</f>
        <v/>
      </c>
      <c r="G15384" s="18"/>
      <c r="H15384" s="16" t="s">
        <v>87</v>
      </c>
      <c r="I15384" s="16" t="s">
        <v>87</v>
      </c>
      <c r="J15384" s="19"/>
      <c r="L15384" s="16" t="str">
        <f>IFERROR(__xludf.DUMMYFUNCTION("""COMPUTED_VALUE"""),"")</f>
        <v/>
      </c>
      <c r="M15384" s="16" t="str">
        <f>IFERROR(__xludf.DUMMYFUNCTION("""COMPUTED_VALUE"""),"")</f>
        <v/>
      </c>
      <c r="U15384" s="16" t="s">
        <v>87</v>
      </c>
      <c r="V15384" s="16" t="str">
        <f>IFERROR(__xludf.DUMMYFUNCTION("""COMPUTED_VALUE"""),"")</f>
        <v/>
      </c>
      <c r="W15384" s="16" t="str">
        <f>IFERROR(__xludf.DUMMYFUNCTION("""COMPUTED_VALUE"""),"")</f>
        <v/>
      </c>
      <c r="X15384" s="16" t="str">
        <f>IFERROR(__xludf.DUMMYFUNCTION("""COMPUTED_VALUE"""),"")</f>
        <v/>
      </c>
      <c r="AC15384" s="16" t="str">
        <f>IFERROR(__xludf.DUMMYFUNCTION("""COMPUTED_VALUE"""),"")</f>
        <v/>
      </c>
    </row>
    <row r="15385">
      <c r="A15385" s="16" t="s">
        <v>87</v>
      </c>
      <c r="E15385" s="16" t="str">
        <f>IFERROR(__xludf.DUMMYFUNCTION("""COMPUTED_VALUE"""),"")</f>
        <v/>
      </c>
      <c r="G15385" s="18"/>
      <c r="H15385" s="16" t="s">
        <v>87</v>
      </c>
      <c r="I15385" s="16" t="s">
        <v>87</v>
      </c>
      <c r="J15385" s="19"/>
      <c r="L15385" s="16" t="str">
        <f>IFERROR(__xludf.DUMMYFUNCTION("""COMPUTED_VALUE"""),"")</f>
        <v/>
      </c>
      <c r="M15385" s="16" t="str">
        <f>IFERROR(__xludf.DUMMYFUNCTION("""COMPUTED_VALUE"""),"")</f>
        <v/>
      </c>
      <c r="U15385" s="16" t="s">
        <v>87</v>
      </c>
      <c r="V15385" s="16" t="str">
        <f>IFERROR(__xludf.DUMMYFUNCTION("""COMPUTED_VALUE"""),"")</f>
        <v/>
      </c>
      <c r="W15385" s="16" t="str">
        <f>IFERROR(__xludf.DUMMYFUNCTION("""COMPUTED_VALUE"""),"")</f>
        <v/>
      </c>
      <c r="X15385" s="16" t="str">
        <f>IFERROR(__xludf.DUMMYFUNCTION("""COMPUTED_VALUE"""),"")</f>
        <v/>
      </c>
      <c r="AC15385" s="16" t="str">
        <f>IFERROR(__xludf.DUMMYFUNCTION("""COMPUTED_VALUE"""),"")</f>
        <v/>
      </c>
    </row>
    <row r="15386">
      <c r="A15386" s="16" t="s">
        <v>87</v>
      </c>
      <c r="E15386" s="16" t="str">
        <f>IFERROR(__xludf.DUMMYFUNCTION("""COMPUTED_VALUE"""),"")</f>
        <v/>
      </c>
      <c r="G15386" s="18"/>
      <c r="H15386" s="16" t="s">
        <v>87</v>
      </c>
      <c r="I15386" s="16" t="s">
        <v>87</v>
      </c>
      <c r="J15386" s="19"/>
      <c r="L15386" s="16" t="str">
        <f>IFERROR(__xludf.DUMMYFUNCTION("""COMPUTED_VALUE"""),"")</f>
        <v/>
      </c>
      <c r="M15386" s="16" t="str">
        <f>IFERROR(__xludf.DUMMYFUNCTION("""COMPUTED_VALUE"""),"")</f>
        <v/>
      </c>
      <c r="U15386" s="16" t="s">
        <v>87</v>
      </c>
      <c r="V15386" s="16" t="str">
        <f>IFERROR(__xludf.DUMMYFUNCTION("""COMPUTED_VALUE"""),"")</f>
        <v/>
      </c>
      <c r="W15386" s="16" t="str">
        <f>IFERROR(__xludf.DUMMYFUNCTION("""COMPUTED_VALUE"""),"")</f>
        <v/>
      </c>
      <c r="X15386" s="16" t="str">
        <f>IFERROR(__xludf.DUMMYFUNCTION("""COMPUTED_VALUE"""),"")</f>
        <v/>
      </c>
      <c r="AC15386" s="16" t="str">
        <f>IFERROR(__xludf.DUMMYFUNCTION("""COMPUTED_VALUE"""),"")</f>
        <v/>
      </c>
    </row>
    <row r="15387">
      <c r="A15387" s="16" t="s">
        <v>87</v>
      </c>
      <c r="E15387" s="16" t="str">
        <f>IFERROR(__xludf.DUMMYFUNCTION("""COMPUTED_VALUE"""),"")</f>
        <v/>
      </c>
      <c r="G15387" s="18"/>
      <c r="H15387" s="16" t="s">
        <v>87</v>
      </c>
      <c r="I15387" s="16" t="s">
        <v>87</v>
      </c>
      <c r="J15387" s="19"/>
      <c r="L15387" s="16" t="str">
        <f>IFERROR(__xludf.DUMMYFUNCTION("""COMPUTED_VALUE"""),"")</f>
        <v/>
      </c>
      <c r="M15387" s="16" t="str">
        <f>IFERROR(__xludf.DUMMYFUNCTION("""COMPUTED_VALUE"""),"")</f>
        <v/>
      </c>
      <c r="U15387" s="16" t="s">
        <v>87</v>
      </c>
      <c r="V15387" s="16" t="str">
        <f>IFERROR(__xludf.DUMMYFUNCTION("""COMPUTED_VALUE"""),"")</f>
        <v/>
      </c>
      <c r="W15387" s="16" t="str">
        <f>IFERROR(__xludf.DUMMYFUNCTION("""COMPUTED_VALUE"""),"")</f>
        <v/>
      </c>
      <c r="X15387" s="16" t="str">
        <f>IFERROR(__xludf.DUMMYFUNCTION("""COMPUTED_VALUE"""),"")</f>
        <v/>
      </c>
      <c r="AC15387" s="16" t="str">
        <f>IFERROR(__xludf.DUMMYFUNCTION("""COMPUTED_VALUE"""),"")</f>
        <v/>
      </c>
    </row>
    <row r="15388">
      <c r="A15388" s="16" t="s">
        <v>87</v>
      </c>
      <c r="E15388" s="16" t="str">
        <f>IFERROR(__xludf.DUMMYFUNCTION("""COMPUTED_VALUE"""),"")</f>
        <v/>
      </c>
      <c r="G15388" s="18"/>
      <c r="H15388" s="16" t="s">
        <v>87</v>
      </c>
      <c r="I15388" s="16" t="s">
        <v>87</v>
      </c>
      <c r="J15388" s="19"/>
      <c r="L15388" s="16" t="str">
        <f>IFERROR(__xludf.DUMMYFUNCTION("""COMPUTED_VALUE"""),"")</f>
        <v/>
      </c>
      <c r="M15388" s="16" t="str">
        <f>IFERROR(__xludf.DUMMYFUNCTION("""COMPUTED_VALUE"""),"")</f>
        <v/>
      </c>
      <c r="U15388" s="16" t="s">
        <v>87</v>
      </c>
      <c r="V15388" s="16" t="str">
        <f>IFERROR(__xludf.DUMMYFUNCTION("""COMPUTED_VALUE"""),"")</f>
        <v/>
      </c>
      <c r="W15388" s="16" t="str">
        <f>IFERROR(__xludf.DUMMYFUNCTION("""COMPUTED_VALUE"""),"")</f>
        <v/>
      </c>
      <c r="X15388" s="16" t="str">
        <f>IFERROR(__xludf.DUMMYFUNCTION("""COMPUTED_VALUE"""),"")</f>
        <v/>
      </c>
      <c r="AC15388" s="16" t="str">
        <f>IFERROR(__xludf.DUMMYFUNCTION("""COMPUTED_VALUE"""),"")</f>
        <v/>
      </c>
    </row>
    <row r="15389">
      <c r="A15389" s="16" t="s">
        <v>87</v>
      </c>
      <c r="E15389" s="16" t="str">
        <f>IFERROR(__xludf.DUMMYFUNCTION("""COMPUTED_VALUE"""),"")</f>
        <v/>
      </c>
      <c r="G15389" s="18"/>
      <c r="H15389" s="16" t="s">
        <v>87</v>
      </c>
      <c r="I15389" s="16" t="s">
        <v>87</v>
      </c>
      <c r="J15389" s="19"/>
      <c r="L15389" s="16" t="str">
        <f>IFERROR(__xludf.DUMMYFUNCTION("""COMPUTED_VALUE"""),"")</f>
        <v/>
      </c>
      <c r="M15389" s="16" t="str">
        <f>IFERROR(__xludf.DUMMYFUNCTION("""COMPUTED_VALUE"""),"")</f>
        <v/>
      </c>
      <c r="U15389" s="16" t="s">
        <v>87</v>
      </c>
      <c r="V15389" s="16" t="str">
        <f>IFERROR(__xludf.DUMMYFUNCTION("""COMPUTED_VALUE"""),"")</f>
        <v/>
      </c>
      <c r="W15389" s="16" t="str">
        <f>IFERROR(__xludf.DUMMYFUNCTION("""COMPUTED_VALUE"""),"")</f>
        <v/>
      </c>
      <c r="X15389" s="16" t="str">
        <f>IFERROR(__xludf.DUMMYFUNCTION("""COMPUTED_VALUE"""),"")</f>
        <v/>
      </c>
      <c r="AC15389" s="16" t="str">
        <f>IFERROR(__xludf.DUMMYFUNCTION("""COMPUTED_VALUE"""),"")</f>
        <v/>
      </c>
    </row>
    <row r="15390">
      <c r="A15390" s="16" t="s">
        <v>87</v>
      </c>
      <c r="E15390" s="16" t="str">
        <f>IFERROR(__xludf.DUMMYFUNCTION("""COMPUTED_VALUE"""),"")</f>
        <v/>
      </c>
      <c r="G15390" s="18"/>
      <c r="H15390" s="16" t="s">
        <v>87</v>
      </c>
      <c r="I15390" s="16" t="s">
        <v>87</v>
      </c>
      <c r="J15390" s="19"/>
      <c r="L15390" s="16" t="str">
        <f>IFERROR(__xludf.DUMMYFUNCTION("""COMPUTED_VALUE"""),"")</f>
        <v/>
      </c>
      <c r="M15390" s="16" t="str">
        <f>IFERROR(__xludf.DUMMYFUNCTION("""COMPUTED_VALUE"""),"")</f>
        <v/>
      </c>
      <c r="U15390" s="16" t="s">
        <v>87</v>
      </c>
      <c r="V15390" s="16" t="str">
        <f>IFERROR(__xludf.DUMMYFUNCTION("""COMPUTED_VALUE"""),"")</f>
        <v/>
      </c>
      <c r="W15390" s="16" t="str">
        <f>IFERROR(__xludf.DUMMYFUNCTION("""COMPUTED_VALUE"""),"")</f>
        <v/>
      </c>
      <c r="X15390" s="16" t="str">
        <f>IFERROR(__xludf.DUMMYFUNCTION("""COMPUTED_VALUE"""),"")</f>
        <v/>
      </c>
      <c r="AC15390" s="16" t="str">
        <f>IFERROR(__xludf.DUMMYFUNCTION("""COMPUTED_VALUE"""),"")</f>
        <v/>
      </c>
    </row>
    <row r="15391">
      <c r="A15391" s="16" t="s">
        <v>87</v>
      </c>
      <c r="E15391" s="16" t="str">
        <f>IFERROR(__xludf.DUMMYFUNCTION("""COMPUTED_VALUE"""),"")</f>
        <v/>
      </c>
      <c r="G15391" s="18"/>
      <c r="H15391" s="16" t="s">
        <v>87</v>
      </c>
      <c r="I15391" s="16" t="s">
        <v>87</v>
      </c>
      <c r="J15391" s="19"/>
      <c r="L15391" s="16" t="str">
        <f>IFERROR(__xludf.DUMMYFUNCTION("""COMPUTED_VALUE"""),"")</f>
        <v/>
      </c>
      <c r="M15391" s="16" t="str">
        <f>IFERROR(__xludf.DUMMYFUNCTION("""COMPUTED_VALUE"""),"")</f>
        <v/>
      </c>
      <c r="U15391" s="16" t="s">
        <v>87</v>
      </c>
      <c r="V15391" s="16" t="str">
        <f>IFERROR(__xludf.DUMMYFUNCTION("""COMPUTED_VALUE"""),"")</f>
        <v/>
      </c>
      <c r="W15391" s="16" t="str">
        <f>IFERROR(__xludf.DUMMYFUNCTION("""COMPUTED_VALUE"""),"")</f>
        <v/>
      </c>
      <c r="X15391" s="16" t="str">
        <f>IFERROR(__xludf.DUMMYFUNCTION("""COMPUTED_VALUE"""),"")</f>
        <v/>
      </c>
      <c r="AC15391" s="16" t="str">
        <f>IFERROR(__xludf.DUMMYFUNCTION("""COMPUTED_VALUE"""),"")</f>
        <v/>
      </c>
    </row>
    <row r="15392">
      <c r="A15392" s="16" t="s">
        <v>87</v>
      </c>
      <c r="E15392" s="16" t="str">
        <f>IFERROR(__xludf.DUMMYFUNCTION("""COMPUTED_VALUE"""),"")</f>
        <v/>
      </c>
      <c r="G15392" s="18"/>
      <c r="H15392" s="16" t="s">
        <v>87</v>
      </c>
      <c r="I15392" s="16" t="s">
        <v>87</v>
      </c>
      <c r="J15392" s="19"/>
      <c r="L15392" s="16" t="str">
        <f>IFERROR(__xludf.DUMMYFUNCTION("""COMPUTED_VALUE"""),"")</f>
        <v/>
      </c>
      <c r="M15392" s="16" t="str">
        <f>IFERROR(__xludf.DUMMYFUNCTION("""COMPUTED_VALUE"""),"")</f>
        <v/>
      </c>
      <c r="U15392" s="16" t="s">
        <v>87</v>
      </c>
      <c r="V15392" s="16" t="str">
        <f>IFERROR(__xludf.DUMMYFUNCTION("""COMPUTED_VALUE"""),"")</f>
        <v/>
      </c>
      <c r="W15392" s="16" t="str">
        <f>IFERROR(__xludf.DUMMYFUNCTION("""COMPUTED_VALUE"""),"")</f>
        <v/>
      </c>
      <c r="X15392" s="16" t="str">
        <f>IFERROR(__xludf.DUMMYFUNCTION("""COMPUTED_VALUE"""),"")</f>
        <v/>
      </c>
      <c r="AC15392" s="16" t="str">
        <f>IFERROR(__xludf.DUMMYFUNCTION("""COMPUTED_VALUE"""),"")</f>
        <v/>
      </c>
    </row>
    <row r="15393">
      <c r="A15393" s="16" t="s">
        <v>87</v>
      </c>
      <c r="E15393" s="16" t="str">
        <f>IFERROR(__xludf.DUMMYFUNCTION("""COMPUTED_VALUE"""),"")</f>
        <v/>
      </c>
      <c r="G15393" s="18"/>
      <c r="H15393" s="16" t="s">
        <v>87</v>
      </c>
      <c r="I15393" s="16" t="s">
        <v>87</v>
      </c>
      <c r="J15393" s="19"/>
      <c r="L15393" s="16" t="str">
        <f>IFERROR(__xludf.DUMMYFUNCTION("""COMPUTED_VALUE"""),"")</f>
        <v/>
      </c>
      <c r="M15393" s="16" t="str">
        <f>IFERROR(__xludf.DUMMYFUNCTION("""COMPUTED_VALUE"""),"")</f>
        <v/>
      </c>
      <c r="U15393" s="16" t="s">
        <v>87</v>
      </c>
      <c r="V15393" s="16" t="str">
        <f>IFERROR(__xludf.DUMMYFUNCTION("""COMPUTED_VALUE"""),"")</f>
        <v/>
      </c>
      <c r="W15393" s="16" t="str">
        <f>IFERROR(__xludf.DUMMYFUNCTION("""COMPUTED_VALUE"""),"")</f>
        <v/>
      </c>
      <c r="X15393" s="16" t="str">
        <f>IFERROR(__xludf.DUMMYFUNCTION("""COMPUTED_VALUE"""),"")</f>
        <v/>
      </c>
      <c r="AC15393" s="16" t="str">
        <f>IFERROR(__xludf.DUMMYFUNCTION("""COMPUTED_VALUE"""),"")</f>
        <v/>
      </c>
    </row>
    <row r="15394">
      <c r="A15394" s="16" t="s">
        <v>87</v>
      </c>
      <c r="E15394" s="16" t="str">
        <f>IFERROR(__xludf.DUMMYFUNCTION("""COMPUTED_VALUE"""),"")</f>
        <v/>
      </c>
      <c r="G15394" s="18"/>
      <c r="H15394" s="16" t="s">
        <v>87</v>
      </c>
      <c r="I15394" s="16" t="s">
        <v>87</v>
      </c>
      <c r="J15394" s="19"/>
      <c r="L15394" s="16" t="str">
        <f>IFERROR(__xludf.DUMMYFUNCTION("""COMPUTED_VALUE"""),"")</f>
        <v/>
      </c>
      <c r="M15394" s="16" t="str">
        <f>IFERROR(__xludf.DUMMYFUNCTION("""COMPUTED_VALUE"""),"")</f>
        <v/>
      </c>
      <c r="U15394" s="16" t="s">
        <v>87</v>
      </c>
      <c r="V15394" s="16" t="str">
        <f>IFERROR(__xludf.DUMMYFUNCTION("""COMPUTED_VALUE"""),"")</f>
        <v/>
      </c>
      <c r="W15394" s="16" t="str">
        <f>IFERROR(__xludf.DUMMYFUNCTION("""COMPUTED_VALUE"""),"")</f>
        <v/>
      </c>
      <c r="X15394" s="16" t="str">
        <f>IFERROR(__xludf.DUMMYFUNCTION("""COMPUTED_VALUE"""),"")</f>
        <v/>
      </c>
      <c r="AC15394" s="16" t="str">
        <f>IFERROR(__xludf.DUMMYFUNCTION("""COMPUTED_VALUE"""),"")</f>
        <v/>
      </c>
    </row>
    <row r="15395">
      <c r="A15395" s="16" t="s">
        <v>87</v>
      </c>
      <c r="E15395" s="16" t="str">
        <f>IFERROR(__xludf.DUMMYFUNCTION("""COMPUTED_VALUE"""),"")</f>
        <v/>
      </c>
      <c r="G15395" s="18"/>
      <c r="H15395" s="16" t="s">
        <v>87</v>
      </c>
      <c r="I15395" s="16" t="s">
        <v>87</v>
      </c>
      <c r="J15395" s="19"/>
      <c r="L15395" s="16" t="str">
        <f>IFERROR(__xludf.DUMMYFUNCTION("""COMPUTED_VALUE"""),"")</f>
        <v/>
      </c>
      <c r="M15395" s="16" t="str">
        <f>IFERROR(__xludf.DUMMYFUNCTION("""COMPUTED_VALUE"""),"")</f>
        <v/>
      </c>
      <c r="U15395" s="16" t="s">
        <v>87</v>
      </c>
      <c r="V15395" s="16" t="str">
        <f>IFERROR(__xludf.DUMMYFUNCTION("""COMPUTED_VALUE"""),"")</f>
        <v/>
      </c>
      <c r="W15395" s="16" t="str">
        <f>IFERROR(__xludf.DUMMYFUNCTION("""COMPUTED_VALUE"""),"")</f>
        <v/>
      </c>
      <c r="X15395" s="16" t="str">
        <f>IFERROR(__xludf.DUMMYFUNCTION("""COMPUTED_VALUE"""),"")</f>
        <v/>
      </c>
      <c r="AC15395" s="16" t="str">
        <f>IFERROR(__xludf.DUMMYFUNCTION("""COMPUTED_VALUE"""),"")</f>
        <v/>
      </c>
    </row>
    <row r="15396">
      <c r="A15396" s="16" t="s">
        <v>87</v>
      </c>
      <c r="E15396" s="16" t="str">
        <f>IFERROR(__xludf.DUMMYFUNCTION("""COMPUTED_VALUE"""),"")</f>
        <v/>
      </c>
      <c r="G15396" s="18"/>
      <c r="H15396" s="16" t="s">
        <v>87</v>
      </c>
      <c r="I15396" s="16" t="s">
        <v>87</v>
      </c>
      <c r="J15396" s="19"/>
      <c r="L15396" s="16" t="str">
        <f>IFERROR(__xludf.DUMMYFUNCTION("""COMPUTED_VALUE"""),"")</f>
        <v/>
      </c>
      <c r="M15396" s="16" t="str">
        <f>IFERROR(__xludf.DUMMYFUNCTION("""COMPUTED_VALUE"""),"")</f>
        <v/>
      </c>
      <c r="U15396" s="16" t="s">
        <v>87</v>
      </c>
      <c r="V15396" s="16" t="str">
        <f>IFERROR(__xludf.DUMMYFUNCTION("""COMPUTED_VALUE"""),"")</f>
        <v/>
      </c>
      <c r="W15396" s="16" t="str">
        <f>IFERROR(__xludf.DUMMYFUNCTION("""COMPUTED_VALUE"""),"")</f>
        <v/>
      </c>
      <c r="X15396" s="16" t="str">
        <f>IFERROR(__xludf.DUMMYFUNCTION("""COMPUTED_VALUE"""),"")</f>
        <v/>
      </c>
      <c r="AC15396" s="16" t="str">
        <f>IFERROR(__xludf.DUMMYFUNCTION("""COMPUTED_VALUE"""),"")</f>
        <v/>
      </c>
    </row>
    <row r="15397">
      <c r="A15397" s="16" t="s">
        <v>87</v>
      </c>
      <c r="E15397" s="16" t="str">
        <f>IFERROR(__xludf.DUMMYFUNCTION("""COMPUTED_VALUE"""),"")</f>
        <v/>
      </c>
      <c r="G15397" s="18"/>
      <c r="H15397" s="16" t="s">
        <v>87</v>
      </c>
      <c r="I15397" s="16" t="s">
        <v>87</v>
      </c>
      <c r="J15397" s="19"/>
      <c r="L15397" s="16" t="str">
        <f>IFERROR(__xludf.DUMMYFUNCTION("""COMPUTED_VALUE"""),"")</f>
        <v/>
      </c>
      <c r="M15397" s="16" t="str">
        <f>IFERROR(__xludf.DUMMYFUNCTION("""COMPUTED_VALUE"""),"")</f>
        <v/>
      </c>
      <c r="U15397" s="16" t="s">
        <v>87</v>
      </c>
      <c r="V15397" s="16" t="str">
        <f>IFERROR(__xludf.DUMMYFUNCTION("""COMPUTED_VALUE"""),"")</f>
        <v/>
      </c>
      <c r="W15397" s="16" t="str">
        <f>IFERROR(__xludf.DUMMYFUNCTION("""COMPUTED_VALUE"""),"")</f>
        <v/>
      </c>
      <c r="X15397" s="16" t="str">
        <f>IFERROR(__xludf.DUMMYFUNCTION("""COMPUTED_VALUE"""),"")</f>
        <v/>
      </c>
      <c r="AC15397" s="16" t="str">
        <f>IFERROR(__xludf.DUMMYFUNCTION("""COMPUTED_VALUE"""),"")</f>
        <v/>
      </c>
    </row>
    <row r="15398">
      <c r="A15398" s="16" t="s">
        <v>87</v>
      </c>
      <c r="E15398" s="16" t="str">
        <f>IFERROR(__xludf.DUMMYFUNCTION("""COMPUTED_VALUE"""),"")</f>
        <v/>
      </c>
      <c r="G15398" s="18"/>
      <c r="H15398" s="16" t="s">
        <v>87</v>
      </c>
      <c r="I15398" s="16" t="s">
        <v>87</v>
      </c>
      <c r="J15398" s="19"/>
      <c r="L15398" s="16" t="str">
        <f>IFERROR(__xludf.DUMMYFUNCTION("""COMPUTED_VALUE"""),"")</f>
        <v/>
      </c>
      <c r="M15398" s="16" t="str">
        <f>IFERROR(__xludf.DUMMYFUNCTION("""COMPUTED_VALUE"""),"")</f>
        <v/>
      </c>
      <c r="U15398" s="16" t="s">
        <v>87</v>
      </c>
      <c r="V15398" s="16" t="str">
        <f>IFERROR(__xludf.DUMMYFUNCTION("""COMPUTED_VALUE"""),"")</f>
        <v/>
      </c>
      <c r="W15398" s="16" t="str">
        <f>IFERROR(__xludf.DUMMYFUNCTION("""COMPUTED_VALUE"""),"")</f>
        <v/>
      </c>
      <c r="X15398" s="16" t="str">
        <f>IFERROR(__xludf.DUMMYFUNCTION("""COMPUTED_VALUE"""),"")</f>
        <v/>
      </c>
      <c r="AC15398" s="16" t="str">
        <f>IFERROR(__xludf.DUMMYFUNCTION("""COMPUTED_VALUE"""),"")</f>
        <v/>
      </c>
    </row>
    <row r="15399">
      <c r="A15399" s="16" t="s">
        <v>87</v>
      </c>
      <c r="E15399" s="16" t="str">
        <f>IFERROR(__xludf.DUMMYFUNCTION("""COMPUTED_VALUE"""),"")</f>
        <v/>
      </c>
      <c r="G15399" s="18"/>
      <c r="H15399" s="16" t="s">
        <v>87</v>
      </c>
      <c r="I15399" s="16" t="s">
        <v>87</v>
      </c>
      <c r="J15399" s="19"/>
      <c r="L15399" s="16" t="str">
        <f>IFERROR(__xludf.DUMMYFUNCTION("""COMPUTED_VALUE"""),"")</f>
        <v/>
      </c>
      <c r="M15399" s="16" t="str">
        <f>IFERROR(__xludf.DUMMYFUNCTION("""COMPUTED_VALUE"""),"")</f>
        <v/>
      </c>
      <c r="U15399" s="16" t="s">
        <v>87</v>
      </c>
      <c r="V15399" s="16" t="str">
        <f>IFERROR(__xludf.DUMMYFUNCTION("""COMPUTED_VALUE"""),"")</f>
        <v/>
      </c>
      <c r="W15399" s="16" t="str">
        <f>IFERROR(__xludf.DUMMYFUNCTION("""COMPUTED_VALUE"""),"")</f>
        <v/>
      </c>
      <c r="X15399" s="16" t="str">
        <f>IFERROR(__xludf.DUMMYFUNCTION("""COMPUTED_VALUE"""),"")</f>
        <v/>
      </c>
      <c r="AC15399" s="16" t="str">
        <f>IFERROR(__xludf.DUMMYFUNCTION("""COMPUTED_VALUE"""),"")</f>
        <v/>
      </c>
    </row>
    <row r="15400">
      <c r="A15400" s="16" t="s">
        <v>87</v>
      </c>
      <c r="E15400" s="16" t="str">
        <f>IFERROR(__xludf.DUMMYFUNCTION("""COMPUTED_VALUE"""),"")</f>
        <v/>
      </c>
      <c r="G15400" s="18"/>
      <c r="H15400" s="16" t="s">
        <v>87</v>
      </c>
      <c r="I15400" s="16" t="s">
        <v>87</v>
      </c>
      <c r="J15400" s="19"/>
      <c r="L15400" s="16" t="str">
        <f>IFERROR(__xludf.DUMMYFUNCTION("""COMPUTED_VALUE"""),"")</f>
        <v/>
      </c>
      <c r="M15400" s="16" t="str">
        <f>IFERROR(__xludf.DUMMYFUNCTION("""COMPUTED_VALUE"""),"")</f>
        <v/>
      </c>
      <c r="U15400" s="16" t="s">
        <v>87</v>
      </c>
      <c r="V15400" s="16" t="str">
        <f>IFERROR(__xludf.DUMMYFUNCTION("""COMPUTED_VALUE"""),"")</f>
        <v/>
      </c>
      <c r="W15400" s="16" t="str">
        <f>IFERROR(__xludf.DUMMYFUNCTION("""COMPUTED_VALUE"""),"")</f>
        <v/>
      </c>
      <c r="X15400" s="16" t="str">
        <f>IFERROR(__xludf.DUMMYFUNCTION("""COMPUTED_VALUE"""),"")</f>
        <v/>
      </c>
      <c r="AC15400" s="16" t="str">
        <f>IFERROR(__xludf.DUMMYFUNCTION("""COMPUTED_VALUE"""),"")</f>
        <v/>
      </c>
    </row>
    <row r="15401">
      <c r="A15401" s="16" t="s">
        <v>87</v>
      </c>
      <c r="E15401" s="16" t="str">
        <f>IFERROR(__xludf.DUMMYFUNCTION("""COMPUTED_VALUE"""),"")</f>
        <v/>
      </c>
      <c r="G15401" s="18"/>
      <c r="H15401" s="16" t="s">
        <v>87</v>
      </c>
      <c r="I15401" s="16" t="s">
        <v>87</v>
      </c>
      <c r="J15401" s="19"/>
      <c r="L15401" s="16" t="str">
        <f>IFERROR(__xludf.DUMMYFUNCTION("""COMPUTED_VALUE"""),"")</f>
        <v/>
      </c>
      <c r="M15401" s="16" t="str">
        <f>IFERROR(__xludf.DUMMYFUNCTION("""COMPUTED_VALUE"""),"")</f>
        <v/>
      </c>
      <c r="U15401" s="16" t="s">
        <v>87</v>
      </c>
      <c r="V15401" s="16" t="str">
        <f>IFERROR(__xludf.DUMMYFUNCTION("""COMPUTED_VALUE"""),"")</f>
        <v/>
      </c>
      <c r="W15401" s="16" t="str">
        <f>IFERROR(__xludf.DUMMYFUNCTION("""COMPUTED_VALUE"""),"")</f>
        <v/>
      </c>
      <c r="X15401" s="16" t="str">
        <f>IFERROR(__xludf.DUMMYFUNCTION("""COMPUTED_VALUE"""),"")</f>
        <v/>
      </c>
      <c r="AC15401" s="16" t="str">
        <f>IFERROR(__xludf.DUMMYFUNCTION("""COMPUTED_VALUE"""),"")</f>
        <v/>
      </c>
    </row>
    <row r="15402">
      <c r="A15402" s="16" t="s">
        <v>87</v>
      </c>
      <c r="E15402" s="16" t="str">
        <f>IFERROR(__xludf.DUMMYFUNCTION("""COMPUTED_VALUE"""),"")</f>
        <v/>
      </c>
      <c r="G15402" s="18"/>
      <c r="H15402" s="16" t="s">
        <v>87</v>
      </c>
      <c r="I15402" s="16" t="s">
        <v>87</v>
      </c>
      <c r="J15402" s="19"/>
      <c r="L15402" s="16" t="str">
        <f>IFERROR(__xludf.DUMMYFUNCTION("""COMPUTED_VALUE"""),"")</f>
        <v/>
      </c>
      <c r="M15402" s="16" t="str">
        <f>IFERROR(__xludf.DUMMYFUNCTION("""COMPUTED_VALUE"""),"")</f>
        <v/>
      </c>
      <c r="U15402" s="16" t="s">
        <v>87</v>
      </c>
      <c r="V15402" s="16" t="str">
        <f>IFERROR(__xludf.DUMMYFUNCTION("""COMPUTED_VALUE"""),"")</f>
        <v/>
      </c>
      <c r="W15402" s="16" t="str">
        <f>IFERROR(__xludf.DUMMYFUNCTION("""COMPUTED_VALUE"""),"")</f>
        <v/>
      </c>
      <c r="X15402" s="16" t="str">
        <f>IFERROR(__xludf.DUMMYFUNCTION("""COMPUTED_VALUE"""),"")</f>
        <v/>
      </c>
      <c r="AC15402" s="16" t="str">
        <f>IFERROR(__xludf.DUMMYFUNCTION("""COMPUTED_VALUE"""),"")</f>
        <v/>
      </c>
    </row>
    <row r="15403">
      <c r="A15403" s="16" t="s">
        <v>87</v>
      </c>
      <c r="E15403" s="16" t="str">
        <f>IFERROR(__xludf.DUMMYFUNCTION("""COMPUTED_VALUE"""),"")</f>
        <v/>
      </c>
      <c r="G15403" s="18"/>
      <c r="H15403" s="16" t="s">
        <v>87</v>
      </c>
      <c r="I15403" s="16" t="s">
        <v>87</v>
      </c>
      <c r="J15403" s="19"/>
      <c r="L15403" s="16" t="str">
        <f>IFERROR(__xludf.DUMMYFUNCTION("""COMPUTED_VALUE"""),"")</f>
        <v/>
      </c>
      <c r="M15403" s="16" t="str">
        <f>IFERROR(__xludf.DUMMYFUNCTION("""COMPUTED_VALUE"""),"")</f>
        <v/>
      </c>
      <c r="U15403" s="16" t="s">
        <v>87</v>
      </c>
      <c r="V15403" s="16" t="str">
        <f>IFERROR(__xludf.DUMMYFUNCTION("""COMPUTED_VALUE"""),"")</f>
        <v/>
      </c>
      <c r="W15403" s="16" t="str">
        <f>IFERROR(__xludf.DUMMYFUNCTION("""COMPUTED_VALUE"""),"")</f>
        <v/>
      </c>
      <c r="X15403" s="16" t="str">
        <f>IFERROR(__xludf.DUMMYFUNCTION("""COMPUTED_VALUE"""),"")</f>
        <v/>
      </c>
      <c r="AC15403" s="16" t="str">
        <f>IFERROR(__xludf.DUMMYFUNCTION("""COMPUTED_VALUE"""),"")</f>
        <v/>
      </c>
    </row>
    <row r="15404">
      <c r="A15404" s="16" t="s">
        <v>87</v>
      </c>
      <c r="E15404" s="16" t="str">
        <f>IFERROR(__xludf.DUMMYFUNCTION("""COMPUTED_VALUE"""),"")</f>
        <v/>
      </c>
      <c r="G15404" s="18"/>
      <c r="H15404" s="16" t="s">
        <v>87</v>
      </c>
      <c r="I15404" s="16" t="s">
        <v>87</v>
      </c>
      <c r="J15404" s="19"/>
      <c r="L15404" s="16" t="str">
        <f>IFERROR(__xludf.DUMMYFUNCTION("""COMPUTED_VALUE"""),"")</f>
        <v/>
      </c>
      <c r="M15404" s="16" t="str">
        <f>IFERROR(__xludf.DUMMYFUNCTION("""COMPUTED_VALUE"""),"")</f>
        <v/>
      </c>
      <c r="U15404" s="16" t="s">
        <v>87</v>
      </c>
      <c r="V15404" s="16" t="str">
        <f>IFERROR(__xludf.DUMMYFUNCTION("""COMPUTED_VALUE"""),"")</f>
        <v/>
      </c>
      <c r="W15404" s="16" t="str">
        <f>IFERROR(__xludf.DUMMYFUNCTION("""COMPUTED_VALUE"""),"")</f>
        <v/>
      </c>
      <c r="X15404" s="16" t="str">
        <f>IFERROR(__xludf.DUMMYFUNCTION("""COMPUTED_VALUE"""),"")</f>
        <v/>
      </c>
      <c r="AC15404" s="16" t="str">
        <f>IFERROR(__xludf.DUMMYFUNCTION("""COMPUTED_VALUE"""),"")</f>
        <v/>
      </c>
    </row>
    <row r="15405">
      <c r="A15405" s="16" t="s">
        <v>87</v>
      </c>
      <c r="E15405" s="16" t="str">
        <f>IFERROR(__xludf.DUMMYFUNCTION("""COMPUTED_VALUE"""),"")</f>
        <v/>
      </c>
      <c r="G15405" s="18"/>
      <c r="H15405" s="16" t="s">
        <v>87</v>
      </c>
      <c r="I15405" s="16" t="s">
        <v>87</v>
      </c>
      <c r="J15405" s="19"/>
      <c r="L15405" s="16" t="str">
        <f>IFERROR(__xludf.DUMMYFUNCTION("""COMPUTED_VALUE"""),"")</f>
        <v/>
      </c>
      <c r="M15405" s="16" t="str">
        <f>IFERROR(__xludf.DUMMYFUNCTION("""COMPUTED_VALUE"""),"")</f>
        <v/>
      </c>
      <c r="U15405" s="16" t="s">
        <v>87</v>
      </c>
      <c r="V15405" s="16" t="str">
        <f>IFERROR(__xludf.DUMMYFUNCTION("""COMPUTED_VALUE"""),"")</f>
        <v/>
      </c>
      <c r="W15405" s="16" t="str">
        <f>IFERROR(__xludf.DUMMYFUNCTION("""COMPUTED_VALUE"""),"")</f>
        <v/>
      </c>
      <c r="X15405" s="16" t="str">
        <f>IFERROR(__xludf.DUMMYFUNCTION("""COMPUTED_VALUE"""),"")</f>
        <v/>
      </c>
      <c r="AC15405" s="16" t="str">
        <f>IFERROR(__xludf.DUMMYFUNCTION("""COMPUTED_VALUE"""),"")</f>
        <v/>
      </c>
    </row>
    <row r="15406">
      <c r="A15406" s="16" t="s">
        <v>87</v>
      </c>
      <c r="E15406" s="16" t="str">
        <f>IFERROR(__xludf.DUMMYFUNCTION("""COMPUTED_VALUE"""),"")</f>
        <v/>
      </c>
      <c r="G15406" s="18"/>
      <c r="H15406" s="16" t="s">
        <v>87</v>
      </c>
      <c r="I15406" s="16" t="s">
        <v>87</v>
      </c>
      <c r="J15406" s="19"/>
      <c r="L15406" s="16" t="str">
        <f>IFERROR(__xludf.DUMMYFUNCTION("""COMPUTED_VALUE"""),"")</f>
        <v/>
      </c>
      <c r="M15406" s="16" t="str">
        <f>IFERROR(__xludf.DUMMYFUNCTION("""COMPUTED_VALUE"""),"")</f>
        <v/>
      </c>
      <c r="U15406" s="16" t="s">
        <v>87</v>
      </c>
      <c r="V15406" s="16" t="str">
        <f>IFERROR(__xludf.DUMMYFUNCTION("""COMPUTED_VALUE"""),"")</f>
        <v/>
      </c>
      <c r="W15406" s="16" t="str">
        <f>IFERROR(__xludf.DUMMYFUNCTION("""COMPUTED_VALUE"""),"")</f>
        <v/>
      </c>
      <c r="X15406" s="16" t="str">
        <f>IFERROR(__xludf.DUMMYFUNCTION("""COMPUTED_VALUE"""),"")</f>
        <v/>
      </c>
      <c r="AC15406" s="16" t="str">
        <f>IFERROR(__xludf.DUMMYFUNCTION("""COMPUTED_VALUE"""),"")</f>
        <v/>
      </c>
    </row>
    <row r="15407">
      <c r="A15407" s="16" t="s">
        <v>87</v>
      </c>
      <c r="E15407" s="16" t="str">
        <f>IFERROR(__xludf.DUMMYFUNCTION("""COMPUTED_VALUE"""),"")</f>
        <v/>
      </c>
      <c r="G15407" s="18"/>
      <c r="H15407" s="16" t="s">
        <v>87</v>
      </c>
      <c r="I15407" s="16" t="s">
        <v>87</v>
      </c>
      <c r="J15407" s="19"/>
      <c r="L15407" s="16" t="str">
        <f>IFERROR(__xludf.DUMMYFUNCTION("""COMPUTED_VALUE"""),"")</f>
        <v/>
      </c>
      <c r="M15407" s="16" t="str">
        <f>IFERROR(__xludf.DUMMYFUNCTION("""COMPUTED_VALUE"""),"")</f>
        <v/>
      </c>
      <c r="U15407" s="16" t="s">
        <v>87</v>
      </c>
      <c r="V15407" s="16" t="str">
        <f>IFERROR(__xludf.DUMMYFUNCTION("""COMPUTED_VALUE"""),"")</f>
        <v/>
      </c>
      <c r="W15407" s="16" t="str">
        <f>IFERROR(__xludf.DUMMYFUNCTION("""COMPUTED_VALUE"""),"")</f>
        <v/>
      </c>
      <c r="X15407" s="16" t="str">
        <f>IFERROR(__xludf.DUMMYFUNCTION("""COMPUTED_VALUE"""),"")</f>
        <v/>
      </c>
      <c r="AC15407" s="16" t="str">
        <f>IFERROR(__xludf.DUMMYFUNCTION("""COMPUTED_VALUE"""),"")</f>
        <v/>
      </c>
    </row>
    <row r="15408">
      <c r="A15408" s="16" t="s">
        <v>87</v>
      </c>
      <c r="E15408" s="16" t="str">
        <f>IFERROR(__xludf.DUMMYFUNCTION("""COMPUTED_VALUE"""),"")</f>
        <v/>
      </c>
      <c r="G15408" s="18"/>
      <c r="H15408" s="16" t="s">
        <v>87</v>
      </c>
      <c r="I15408" s="16" t="s">
        <v>87</v>
      </c>
      <c r="J15408" s="19"/>
      <c r="L15408" s="16" t="str">
        <f>IFERROR(__xludf.DUMMYFUNCTION("""COMPUTED_VALUE"""),"")</f>
        <v/>
      </c>
      <c r="M15408" s="16" t="str">
        <f>IFERROR(__xludf.DUMMYFUNCTION("""COMPUTED_VALUE"""),"")</f>
        <v/>
      </c>
      <c r="U15408" s="16" t="s">
        <v>87</v>
      </c>
      <c r="V15408" s="16" t="str">
        <f>IFERROR(__xludf.DUMMYFUNCTION("""COMPUTED_VALUE"""),"")</f>
        <v/>
      </c>
      <c r="W15408" s="16" t="str">
        <f>IFERROR(__xludf.DUMMYFUNCTION("""COMPUTED_VALUE"""),"")</f>
        <v/>
      </c>
      <c r="X15408" s="16" t="str">
        <f>IFERROR(__xludf.DUMMYFUNCTION("""COMPUTED_VALUE"""),"")</f>
        <v/>
      </c>
      <c r="AC15408" s="16" t="str">
        <f>IFERROR(__xludf.DUMMYFUNCTION("""COMPUTED_VALUE"""),"")</f>
        <v/>
      </c>
    </row>
    <row r="15409">
      <c r="A15409" s="16" t="s">
        <v>87</v>
      </c>
      <c r="E15409" s="16" t="str">
        <f>IFERROR(__xludf.DUMMYFUNCTION("""COMPUTED_VALUE"""),"")</f>
        <v/>
      </c>
      <c r="G15409" s="18"/>
      <c r="H15409" s="16" t="s">
        <v>87</v>
      </c>
      <c r="I15409" s="16" t="s">
        <v>87</v>
      </c>
      <c r="J15409" s="19"/>
      <c r="L15409" s="16" t="str">
        <f>IFERROR(__xludf.DUMMYFUNCTION("""COMPUTED_VALUE"""),"")</f>
        <v/>
      </c>
      <c r="M15409" s="16" t="str">
        <f>IFERROR(__xludf.DUMMYFUNCTION("""COMPUTED_VALUE"""),"")</f>
        <v/>
      </c>
      <c r="U15409" s="16" t="s">
        <v>87</v>
      </c>
      <c r="V15409" s="16" t="str">
        <f>IFERROR(__xludf.DUMMYFUNCTION("""COMPUTED_VALUE"""),"")</f>
        <v/>
      </c>
      <c r="W15409" s="16" t="str">
        <f>IFERROR(__xludf.DUMMYFUNCTION("""COMPUTED_VALUE"""),"")</f>
        <v/>
      </c>
      <c r="X15409" s="16" t="str">
        <f>IFERROR(__xludf.DUMMYFUNCTION("""COMPUTED_VALUE"""),"")</f>
        <v/>
      </c>
      <c r="AC15409" s="16" t="str">
        <f>IFERROR(__xludf.DUMMYFUNCTION("""COMPUTED_VALUE"""),"")</f>
        <v/>
      </c>
    </row>
    <row r="15410">
      <c r="A15410" s="16" t="s">
        <v>87</v>
      </c>
      <c r="E15410" s="16" t="str">
        <f>IFERROR(__xludf.DUMMYFUNCTION("""COMPUTED_VALUE"""),"")</f>
        <v/>
      </c>
      <c r="G15410" s="18"/>
      <c r="H15410" s="16" t="s">
        <v>87</v>
      </c>
      <c r="I15410" s="16" t="s">
        <v>87</v>
      </c>
      <c r="J15410" s="19"/>
      <c r="L15410" s="16" t="str">
        <f>IFERROR(__xludf.DUMMYFUNCTION("""COMPUTED_VALUE"""),"")</f>
        <v/>
      </c>
      <c r="M15410" s="16" t="str">
        <f>IFERROR(__xludf.DUMMYFUNCTION("""COMPUTED_VALUE"""),"")</f>
        <v/>
      </c>
      <c r="U15410" s="16" t="s">
        <v>87</v>
      </c>
      <c r="V15410" s="16" t="str">
        <f>IFERROR(__xludf.DUMMYFUNCTION("""COMPUTED_VALUE"""),"")</f>
        <v/>
      </c>
      <c r="W15410" s="16" t="str">
        <f>IFERROR(__xludf.DUMMYFUNCTION("""COMPUTED_VALUE"""),"")</f>
        <v/>
      </c>
      <c r="X15410" s="16" t="str">
        <f>IFERROR(__xludf.DUMMYFUNCTION("""COMPUTED_VALUE"""),"")</f>
        <v/>
      </c>
      <c r="AC15410" s="16" t="str">
        <f>IFERROR(__xludf.DUMMYFUNCTION("""COMPUTED_VALUE"""),"")</f>
        <v/>
      </c>
    </row>
    <row r="15411">
      <c r="A15411" s="16" t="s">
        <v>87</v>
      </c>
      <c r="E15411" s="16" t="str">
        <f>IFERROR(__xludf.DUMMYFUNCTION("""COMPUTED_VALUE"""),"")</f>
        <v/>
      </c>
      <c r="G15411" s="18"/>
      <c r="H15411" s="16" t="s">
        <v>87</v>
      </c>
      <c r="I15411" s="16" t="s">
        <v>87</v>
      </c>
      <c r="J15411" s="19"/>
      <c r="L15411" s="16" t="str">
        <f>IFERROR(__xludf.DUMMYFUNCTION("""COMPUTED_VALUE"""),"")</f>
        <v/>
      </c>
      <c r="M15411" s="16" t="str">
        <f>IFERROR(__xludf.DUMMYFUNCTION("""COMPUTED_VALUE"""),"")</f>
        <v/>
      </c>
      <c r="U15411" s="16" t="s">
        <v>87</v>
      </c>
      <c r="V15411" s="16" t="str">
        <f>IFERROR(__xludf.DUMMYFUNCTION("""COMPUTED_VALUE"""),"")</f>
        <v/>
      </c>
      <c r="W15411" s="16" t="str">
        <f>IFERROR(__xludf.DUMMYFUNCTION("""COMPUTED_VALUE"""),"")</f>
        <v/>
      </c>
      <c r="X15411" s="16" t="str">
        <f>IFERROR(__xludf.DUMMYFUNCTION("""COMPUTED_VALUE"""),"")</f>
        <v/>
      </c>
      <c r="AC15411" s="16" t="str">
        <f>IFERROR(__xludf.DUMMYFUNCTION("""COMPUTED_VALUE"""),"")</f>
        <v/>
      </c>
    </row>
    <row r="15412">
      <c r="A15412" s="16" t="s">
        <v>87</v>
      </c>
      <c r="E15412" s="16" t="str">
        <f>IFERROR(__xludf.DUMMYFUNCTION("""COMPUTED_VALUE"""),"")</f>
        <v/>
      </c>
      <c r="G15412" s="18"/>
      <c r="H15412" s="16" t="s">
        <v>87</v>
      </c>
      <c r="I15412" s="16" t="s">
        <v>87</v>
      </c>
      <c r="J15412" s="19"/>
      <c r="L15412" s="16" t="str">
        <f>IFERROR(__xludf.DUMMYFUNCTION("""COMPUTED_VALUE"""),"")</f>
        <v/>
      </c>
      <c r="M15412" s="16" t="str">
        <f>IFERROR(__xludf.DUMMYFUNCTION("""COMPUTED_VALUE"""),"")</f>
        <v/>
      </c>
      <c r="U15412" s="16" t="s">
        <v>87</v>
      </c>
      <c r="V15412" s="16" t="str">
        <f>IFERROR(__xludf.DUMMYFUNCTION("""COMPUTED_VALUE"""),"")</f>
        <v/>
      </c>
      <c r="W15412" s="16" t="str">
        <f>IFERROR(__xludf.DUMMYFUNCTION("""COMPUTED_VALUE"""),"")</f>
        <v/>
      </c>
      <c r="X15412" s="16" t="str">
        <f>IFERROR(__xludf.DUMMYFUNCTION("""COMPUTED_VALUE"""),"")</f>
        <v/>
      </c>
      <c r="AC15412" s="16" t="str">
        <f>IFERROR(__xludf.DUMMYFUNCTION("""COMPUTED_VALUE"""),"")</f>
        <v/>
      </c>
    </row>
    <row r="15413">
      <c r="A15413" s="16" t="s">
        <v>87</v>
      </c>
      <c r="E15413" s="16" t="str">
        <f>IFERROR(__xludf.DUMMYFUNCTION("""COMPUTED_VALUE"""),"")</f>
        <v/>
      </c>
      <c r="G15413" s="18"/>
      <c r="H15413" s="16" t="s">
        <v>87</v>
      </c>
      <c r="I15413" s="16" t="s">
        <v>87</v>
      </c>
      <c r="J15413" s="19"/>
      <c r="L15413" s="16" t="str">
        <f>IFERROR(__xludf.DUMMYFUNCTION("""COMPUTED_VALUE"""),"")</f>
        <v/>
      </c>
      <c r="M15413" s="16" t="str">
        <f>IFERROR(__xludf.DUMMYFUNCTION("""COMPUTED_VALUE"""),"")</f>
        <v/>
      </c>
      <c r="U15413" s="16" t="s">
        <v>87</v>
      </c>
      <c r="V15413" s="16" t="str">
        <f>IFERROR(__xludf.DUMMYFUNCTION("""COMPUTED_VALUE"""),"")</f>
        <v/>
      </c>
      <c r="W15413" s="16" t="str">
        <f>IFERROR(__xludf.DUMMYFUNCTION("""COMPUTED_VALUE"""),"")</f>
        <v/>
      </c>
      <c r="X15413" s="16" t="str">
        <f>IFERROR(__xludf.DUMMYFUNCTION("""COMPUTED_VALUE"""),"")</f>
        <v/>
      </c>
      <c r="AC15413" s="16" t="str">
        <f>IFERROR(__xludf.DUMMYFUNCTION("""COMPUTED_VALUE"""),"")</f>
        <v/>
      </c>
    </row>
    <row r="15414">
      <c r="A15414" s="16" t="s">
        <v>87</v>
      </c>
      <c r="E15414" s="16" t="str">
        <f>IFERROR(__xludf.DUMMYFUNCTION("""COMPUTED_VALUE"""),"")</f>
        <v/>
      </c>
      <c r="G15414" s="18"/>
      <c r="H15414" s="16" t="s">
        <v>87</v>
      </c>
      <c r="I15414" s="16" t="s">
        <v>87</v>
      </c>
      <c r="J15414" s="19"/>
      <c r="L15414" s="16" t="str">
        <f>IFERROR(__xludf.DUMMYFUNCTION("""COMPUTED_VALUE"""),"")</f>
        <v/>
      </c>
      <c r="M15414" s="16" t="str">
        <f>IFERROR(__xludf.DUMMYFUNCTION("""COMPUTED_VALUE"""),"")</f>
        <v/>
      </c>
      <c r="U15414" s="16" t="s">
        <v>87</v>
      </c>
      <c r="V15414" s="16" t="str">
        <f>IFERROR(__xludf.DUMMYFUNCTION("""COMPUTED_VALUE"""),"")</f>
        <v/>
      </c>
      <c r="W15414" s="16" t="str">
        <f>IFERROR(__xludf.DUMMYFUNCTION("""COMPUTED_VALUE"""),"")</f>
        <v/>
      </c>
      <c r="X15414" s="16" t="str">
        <f>IFERROR(__xludf.DUMMYFUNCTION("""COMPUTED_VALUE"""),"")</f>
        <v/>
      </c>
      <c r="AC15414" s="16" t="str">
        <f>IFERROR(__xludf.DUMMYFUNCTION("""COMPUTED_VALUE"""),"")</f>
        <v/>
      </c>
    </row>
    <row r="15415">
      <c r="A15415" s="16" t="s">
        <v>87</v>
      </c>
      <c r="E15415" s="16" t="str">
        <f>IFERROR(__xludf.DUMMYFUNCTION("""COMPUTED_VALUE"""),"")</f>
        <v/>
      </c>
      <c r="G15415" s="18"/>
      <c r="H15415" s="16" t="s">
        <v>87</v>
      </c>
      <c r="I15415" s="16" t="s">
        <v>87</v>
      </c>
      <c r="J15415" s="19"/>
      <c r="L15415" s="16" t="str">
        <f>IFERROR(__xludf.DUMMYFUNCTION("""COMPUTED_VALUE"""),"")</f>
        <v/>
      </c>
      <c r="M15415" s="16" t="str">
        <f>IFERROR(__xludf.DUMMYFUNCTION("""COMPUTED_VALUE"""),"")</f>
        <v/>
      </c>
      <c r="U15415" s="16" t="s">
        <v>87</v>
      </c>
      <c r="V15415" s="16" t="str">
        <f>IFERROR(__xludf.DUMMYFUNCTION("""COMPUTED_VALUE"""),"")</f>
        <v/>
      </c>
      <c r="W15415" s="16" t="str">
        <f>IFERROR(__xludf.DUMMYFUNCTION("""COMPUTED_VALUE"""),"")</f>
        <v/>
      </c>
      <c r="X15415" s="16" t="str">
        <f>IFERROR(__xludf.DUMMYFUNCTION("""COMPUTED_VALUE"""),"")</f>
        <v/>
      </c>
      <c r="AC15415" s="16" t="str">
        <f>IFERROR(__xludf.DUMMYFUNCTION("""COMPUTED_VALUE"""),"")</f>
        <v/>
      </c>
    </row>
    <row r="15416">
      <c r="A15416" s="16" t="s">
        <v>87</v>
      </c>
      <c r="E15416" s="16" t="str">
        <f>IFERROR(__xludf.DUMMYFUNCTION("""COMPUTED_VALUE"""),"")</f>
        <v/>
      </c>
      <c r="G15416" s="18"/>
      <c r="H15416" s="16" t="s">
        <v>87</v>
      </c>
      <c r="I15416" s="16" t="s">
        <v>87</v>
      </c>
      <c r="J15416" s="19"/>
      <c r="L15416" s="16" t="str">
        <f>IFERROR(__xludf.DUMMYFUNCTION("""COMPUTED_VALUE"""),"")</f>
        <v/>
      </c>
      <c r="M15416" s="16" t="str">
        <f>IFERROR(__xludf.DUMMYFUNCTION("""COMPUTED_VALUE"""),"")</f>
        <v/>
      </c>
      <c r="U15416" s="16" t="s">
        <v>87</v>
      </c>
      <c r="V15416" s="16" t="str">
        <f>IFERROR(__xludf.DUMMYFUNCTION("""COMPUTED_VALUE"""),"")</f>
        <v/>
      </c>
      <c r="W15416" s="16" t="str">
        <f>IFERROR(__xludf.DUMMYFUNCTION("""COMPUTED_VALUE"""),"")</f>
        <v/>
      </c>
      <c r="X15416" s="16" t="str">
        <f>IFERROR(__xludf.DUMMYFUNCTION("""COMPUTED_VALUE"""),"")</f>
        <v/>
      </c>
      <c r="AC15416" s="16" t="str">
        <f>IFERROR(__xludf.DUMMYFUNCTION("""COMPUTED_VALUE"""),"")</f>
        <v/>
      </c>
    </row>
    <row r="15417">
      <c r="A15417" s="16" t="s">
        <v>87</v>
      </c>
      <c r="E15417" s="16" t="str">
        <f>IFERROR(__xludf.DUMMYFUNCTION("""COMPUTED_VALUE"""),"")</f>
        <v/>
      </c>
      <c r="G15417" s="18"/>
      <c r="H15417" s="16" t="s">
        <v>87</v>
      </c>
      <c r="I15417" s="16" t="s">
        <v>87</v>
      </c>
      <c r="J15417" s="19"/>
      <c r="L15417" s="16" t="str">
        <f>IFERROR(__xludf.DUMMYFUNCTION("""COMPUTED_VALUE"""),"")</f>
        <v/>
      </c>
      <c r="M15417" s="16" t="str">
        <f>IFERROR(__xludf.DUMMYFUNCTION("""COMPUTED_VALUE"""),"")</f>
        <v/>
      </c>
      <c r="U15417" s="16" t="s">
        <v>87</v>
      </c>
      <c r="V15417" s="16" t="str">
        <f>IFERROR(__xludf.DUMMYFUNCTION("""COMPUTED_VALUE"""),"")</f>
        <v/>
      </c>
      <c r="W15417" s="16" t="str">
        <f>IFERROR(__xludf.DUMMYFUNCTION("""COMPUTED_VALUE"""),"")</f>
        <v/>
      </c>
      <c r="X15417" s="16" t="str">
        <f>IFERROR(__xludf.DUMMYFUNCTION("""COMPUTED_VALUE"""),"")</f>
        <v/>
      </c>
      <c r="AC15417" s="16" t="str">
        <f>IFERROR(__xludf.DUMMYFUNCTION("""COMPUTED_VALUE"""),"")</f>
        <v/>
      </c>
    </row>
    <row r="15418">
      <c r="A15418" s="16" t="s">
        <v>87</v>
      </c>
      <c r="E15418" s="16" t="str">
        <f>IFERROR(__xludf.DUMMYFUNCTION("""COMPUTED_VALUE"""),"")</f>
        <v/>
      </c>
      <c r="G15418" s="18"/>
      <c r="H15418" s="16" t="s">
        <v>87</v>
      </c>
      <c r="I15418" s="16" t="s">
        <v>87</v>
      </c>
      <c r="J15418" s="19"/>
      <c r="L15418" s="16" t="str">
        <f>IFERROR(__xludf.DUMMYFUNCTION("""COMPUTED_VALUE"""),"")</f>
        <v/>
      </c>
      <c r="M15418" s="16" t="str">
        <f>IFERROR(__xludf.DUMMYFUNCTION("""COMPUTED_VALUE"""),"")</f>
        <v/>
      </c>
      <c r="U15418" s="16" t="s">
        <v>87</v>
      </c>
      <c r="V15418" s="16" t="str">
        <f>IFERROR(__xludf.DUMMYFUNCTION("""COMPUTED_VALUE"""),"")</f>
        <v/>
      </c>
      <c r="W15418" s="16" t="str">
        <f>IFERROR(__xludf.DUMMYFUNCTION("""COMPUTED_VALUE"""),"")</f>
        <v/>
      </c>
      <c r="X15418" s="16" t="str">
        <f>IFERROR(__xludf.DUMMYFUNCTION("""COMPUTED_VALUE"""),"")</f>
        <v/>
      </c>
      <c r="AC15418" s="16" t="str">
        <f>IFERROR(__xludf.DUMMYFUNCTION("""COMPUTED_VALUE"""),"")</f>
        <v/>
      </c>
    </row>
    <row r="15419">
      <c r="A15419" s="16" t="s">
        <v>87</v>
      </c>
      <c r="E15419" s="16" t="str">
        <f>IFERROR(__xludf.DUMMYFUNCTION("""COMPUTED_VALUE"""),"")</f>
        <v/>
      </c>
      <c r="G15419" s="18"/>
      <c r="H15419" s="16" t="s">
        <v>87</v>
      </c>
      <c r="I15419" s="16" t="s">
        <v>87</v>
      </c>
      <c r="J15419" s="19"/>
      <c r="L15419" s="16" t="str">
        <f>IFERROR(__xludf.DUMMYFUNCTION("""COMPUTED_VALUE"""),"")</f>
        <v/>
      </c>
      <c r="M15419" s="16" t="str">
        <f>IFERROR(__xludf.DUMMYFUNCTION("""COMPUTED_VALUE"""),"")</f>
        <v/>
      </c>
      <c r="U15419" s="16" t="s">
        <v>87</v>
      </c>
      <c r="V15419" s="16" t="str">
        <f>IFERROR(__xludf.DUMMYFUNCTION("""COMPUTED_VALUE"""),"")</f>
        <v/>
      </c>
      <c r="W15419" s="16" t="str">
        <f>IFERROR(__xludf.DUMMYFUNCTION("""COMPUTED_VALUE"""),"")</f>
        <v/>
      </c>
      <c r="X15419" s="16" t="str">
        <f>IFERROR(__xludf.DUMMYFUNCTION("""COMPUTED_VALUE"""),"")</f>
        <v/>
      </c>
      <c r="AC15419" s="16" t="str">
        <f>IFERROR(__xludf.DUMMYFUNCTION("""COMPUTED_VALUE"""),"")</f>
        <v/>
      </c>
    </row>
    <row r="15420">
      <c r="A15420" s="16" t="s">
        <v>87</v>
      </c>
      <c r="E15420" s="16" t="str">
        <f>IFERROR(__xludf.DUMMYFUNCTION("""COMPUTED_VALUE"""),"")</f>
        <v/>
      </c>
      <c r="G15420" s="18"/>
      <c r="H15420" s="16" t="s">
        <v>87</v>
      </c>
      <c r="I15420" s="16" t="s">
        <v>87</v>
      </c>
      <c r="J15420" s="19"/>
      <c r="L15420" s="16" t="str">
        <f>IFERROR(__xludf.DUMMYFUNCTION("""COMPUTED_VALUE"""),"")</f>
        <v/>
      </c>
      <c r="M15420" s="16" t="str">
        <f>IFERROR(__xludf.DUMMYFUNCTION("""COMPUTED_VALUE"""),"")</f>
        <v/>
      </c>
      <c r="U15420" s="16" t="s">
        <v>87</v>
      </c>
      <c r="V15420" s="16" t="str">
        <f>IFERROR(__xludf.DUMMYFUNCTION("""COMPUTED_VALUE"""),"")</f>
        <v/>
      </c>
      <c r="W15420" s="16" t="str">
        <f>IFERROR(__xludf.DUMMYFUNCTION("""COMPUTED_VALUE"""),"")</f>
        <v/>
      </c>
      <c r="X15420" s="16" t="str">
        <f>IFERROR(__xludf.DUMMYFUNCTION("""COMPUTED_VALUE"""),"")</f>
        <v/>
      </c>
      <c r="AC15420" s="16" t="str">
        <f>IFERROR(__xludf.DUMMYFUNCTION("""COMPUTED_VALUE"""),"")</f>
        <v/>
      </c>
    </row>
    <row r="15421">
      <c r="A15421" s="16" t="s">
        <v>87</v>
      </c>
      <c r="E15421" s="16" t="str">
        <f>IFERROR(__xludf.DUMMYFUNCTION("""COMPUTED_VALUE"""),"")</f>
        <v/>
      </c>
      <c r="G15421" s="18"/>
      <c r="H15421" s="16" t="s">
        <v>87</v>
      </c>
      <c r="I15421" s="16" t="s">
        <v>87</v>
      </c>
      <c r="J15421" s="19"/>
      <c r="L15421" s="16" t="str">
        <f>IFERROR(__xludf.DUMMYFUNCTION("""COMPUTED_VALUE"""),"")</f>
        <v/>
      </c>
      <c r="M15421" s="16" t="str">
        <f>IFERROR(__xludf.DUMMYFUNCTION("""COMPUTED_VALUE"""),"")</f>
        <v/>
      </c>
      <c r="U15421" s="16" t="s">
        <v>87</v>
      </c>
      <c r="V15421" s="16" t="str">
        <f>IFERROR(__xludf.DUMMYFUNCTION("""COMPUTED_VALUE"""),"")</f>
        <v/>
      </c>
      <c r="W15421" s="16" t="str">
        <f>IFERROR(__xludf.DUMMYFUNCTION("""COMPUTED_VALUE"""),"")</f>
        <v/>
      </c>
      <c r="X15421" s="16" t="str">
        <f>IFERROR(__xludf.DUMMYFUNCTION("""COMPUTED_VALUE"""),"")</f>
        <v/>
      </c>
      <c r="AC15421" s="16" t="str">
        <f>IFERROR(__xludf.DUMMYFUNCTION("""COMPUTED_VALUE"""),"")</f>
        <v/>
      </c>
    </row>
    <row r="15422">
      <c r="A15422" s="16" t="s">
        <v>87</v>
      </c>
      <c r="E15422" s="16" t="str">
        <f>IFERROR(__xludf.DUMMYFUNCTION("""COMPUTED_VALUE"""),"")</f>
        <v/>
      </c>
      <c r="G15422" s="18"/>
      <c r="H15422" s="16" t="s">
        <v>87</v>
      </c>
      <c r="I15422" s="16" t="s">
        <v>87</v>
      </c>
      <c r="J15422" s="19"/>
      <c r="L15422" s="16" t="str">
        <f>IFERROR(__xludf.DUMMYFUNCTION("""COMPUTED_VALUE"""),"")</f>
        <v/>
      </c>
      <c r="M15422" s="16" t="str">
        <f>IFERROR(__xludf.DUMMYFUNCTION("""COMPUTED_VALUE"""),"")</f>
        <v/>
      </c>
      <c r="U15422" s="16" t="s">
        <v>87</v>
      </c>
      <c r="V15422" s="16" t="str">
        <f>IFERROR(__xludf.DUMMYFUNCTION("""COMPUTED_VALUE"""),"")</f>
        <v/>
      </c>
      <c r="W15422" s="16" t="str">
        <f>IFERROR(__xludf.DUMMYFUNCTION("""COMPUTED_VALUE"""),"")</f>
        <v/>
      </c>
      <c r="X15422" s="16" t="str">
        <f>IFERROR(__xludf.DUMMYFUNCTION("""COMPUTED_VALUE"""),"")</f>
        <v/>
      </c>
      <c r="AC15422" s="16" t="str">
        <f>IFERROR(__xludf.DUMMYFUNCTION("""COMPUTED_VALUE"""),"")</f>
        <v/>
      </c>
    </row>
    <row r="15423">
      <c r="A15423" s="16" t="s">
        <v>87</v>
      </c>
      <c r="E15423" s="16" t="str">
        <f>IFERROR(__xludf.DUMMYFUNCTION("""COMPUTED_VALUE"""),"")</f>
        <v/>
      </c>
      <c r="G15423" s="18"/>
      <c r="H15423" s="16" t="s">
        <v>87</v>
      </c>
      <c r="I15423" s="16" t="s">
        <v>87</v>
      </c>
      <c r="J15423" s="19"/>
      <c r="L15423" s="16" t="str">
        <f>IFERROR(__xludf.DUMMYFUNCTION("""COMPUTED_VALUE"""),"")</f>
        <v/>
      </c>
      <c r="M15423" s="16" t="str">
        <f>IFERROR(__xludf.DUMMYFUNCTION("""COMPUTED_VALUE"""),"")</f>
        <v/>
      </c>
      <c r="U15423" s="16" t="s">
        <v>87</v>
      </c>
      <c r="V15423" s="16" t="str">
        <f>IFERROR(__xludf.DUMMYFUNCTION("""COMPUTED_VALUE"""),"")</f>
        <v/>
      </c>
      <c r="W15423" s="16" t="str">
        <f>IFERROR(__xludf.DUMMYFUNCTION("""COMPUTED_VALUE"""),"")</f>
        <v/>
      </c>
      <c r="X15423" s="16" t="str">
        <f>IFERROR(__xludf.DUMMYFUNCTION("""COMPUTED_VALUE"""),"")</f>
        <v/>
      </c>
      <c r="AC15423" s="16" t="str">
        <f>IFERROR(__xludf.DUMMYFUNCTION("""COMPUTED_VALUE"""),"")</f>
        <v/>
      </c>
    </row>
    <row r="15424">
      <c r="A15424" s="16" t="s">
        <v>87</v>
      </c>
      <c r="E15424" s="16" t="str">
        <f>IFERROR(__xludf.DUMMYFUNCTION("""COMPUTED_VALUE"""),"")</f>
        <v/>
      </c>
      <c r="G15424" s="18"/>
      <c r="H15424" s="16" t="s">
        <v>87</v>
      </c>
      <c r="I15424" s="16" t="s">
        <v>87</v>
      </c>
      <c r="J15424" s="19"/>
      <c r="L15424" s="16" t="str">
        <f>IFERROR(__xludf.DUMMYFUNCTION("""COMPUTED_VALUE"""),"")</f>
        <v/>
      </c>
      <c r="M15424" s="16" t="str">
        <f>IFERROR(__xludf.DUMMYFUNCTION("""COMPUTED_VALUE"""),"")</f>
        <v/>
      </c>
      <c r="U15424" s="16" t="s">
        <v>87</v>
      </c>
      <c r="V15424" s="16" t="str">
        <f>IFERROR(__xludf.DUMMYFUNCTION("""COMPUTED_VALUE"""),"")</f>
        <v/>
      </c>
      <c r="W15424" s="16" t="str">
        <f>IFERROR(__xludf.DUMMYFUNCTION("""COMPUTED_VALUE"""),"")</f>
        <v/>
      </c>
      <c r="X15424" s="16" t="str">
        <f>IFERROR(__xludf.DUMMYFUNCTION("""COMPUTED_VALUE"""),"")</f>
        <v/>
      </c>
      <c r="AC15424" s="16" t="str">
        <f>IFERROR(__xludf.DUMMYFUNCTION("""COMPUTED_VALUE"""),"")</f>
        <v/>
      </c>
    </row>
    <row r="15425">
      <c r="A15425" s="16" t="s">
        <v>87</v>
      </c>
      <c r="E15425" s="16" t="str">
        <f>IFERROR(__xludf.DUMMYFUNCTION("""COMPUTED_VALUE"""),"")</f>
        <v/>
      </c>
      <c r="G15425" s="18"/>
      <c r="H15425" s="16" t="s">
        <v>87</v>
      </c>
      <c r="I15425" s="16" t="s">
        <v>87</v>
      </c>
      <c r="J15425" s="19"/>
      <c r="L15425" s="16" t="str">
        <f>IFERROR(__xludf.DUMMYFUNCTION("""COMPUTED_VALUE"""),"")</f>
        <v/>
      </c>
      <c r="M15425" s="16" t="str">
        <f>IFERROR(__xludf.DUMMYFUNCTION("""COMPUTED_VALUE"""),"")</f>
        <v/>
      </c>
      <c r="U15425" s="16" t="s">
        <v>87</v>
      </c>
      <c r="V15425" s="16" t="str">
        <f>IFERROR(__xludf.DUMMYFUNCTION("""COMPUTED_VALUE"""),"")</f>
        <v/>
      </c>
      <c r="W15425" s="16" t="str">
        <f>IFERROR(__xludf.DUMMYFUNCTION("""COMPUTED_VALUE"""),"")</f>
        <v/>
      </c>
      <c r="X15425" s="16" t="str">
        <f>IFERROR(__xludf.DUMMYFUNCTION("""COMPUTED_VALUE"""),"")</f>
        <v/>
      </c>
      <c r="AC15425" s="16" t="str">
        <f>IFERROR(__xludf.DUMMYFUNCTION("""COMPUTED_VALUE"""),"")</f>
        <v/>
      </c>
    </row>
    <row r="15426">
      <c r="A15426" s="16" t="s">
        <v>87</v>
      </c>
      <c r="E15426" s="16" t="str">
        <f>IFERROR(__xludf.DUMMYFUNCTION("""COMPUTED_VALUE"""),"")</f>
        <v/>
      </c>
      <c r="G15426" s="18"/>
      <c r="H15426" s="16" t="s">
        <v>87</v>
      </c>
      <c r="I15426" s="16" t="s">
        <v>87</v>
      </c>
      <c r="J15426" s="19"/>
      <c r="L15426" s="16" t="str">
        <f>IFERROR(__xludf.DUMMYFUNCTION("""COMPUTED_VALUE"""),"")</f>
        <v/>
      </c>
      <c r="M15426" s="16" t="str">
        <f>IFERROR(__xludf.DUMMYFUNCTION("""COMPUTED_VALUE"""),"")</f>
        <v/>
      </c>
      <c r="U15426" s="16" t="s">
        <v>87</v>
      </c>
      <c r="V15426" s="16" t="str">
        <f>IFERROR(__xludf.DUMMYFUNCTION("""COMPUTED_VALUE"""),"")</f>
        <v/>
      </c>
      <c r="W15426" s="16" t="str">
        <f>IFERROR(__xludf.DUMMYFUNCTION("""COMPUTED_VALUE"""),"")</f>
        <v/>
      </c>
      <c r="X15426" s="16" t="str">
        <f>IFERROR(__xludf.DUMMYFUNCTION("""COMPUTED_VALUE"""),"")</f>
        <v/>
      </c>
      <c r="AC15426" s="16" t="str">
        <f>IFERROR(__xludf.DUMMYFUNCTION("""COMPUTED_VALUE"""),"")</f>
        <v/>
      </c>
    </row>
    <row r="15427">
      <c r="A15427" s="16" t="s">
        <v>87</v>
      </c>
      <c r="E15427" s="16" t="str">
        <f>IFERROR(__xludf.DUMMYFUNCTION("""COMPUTED_VALUE"""),"")</f>
        <v/>
      </c>
      <c r="G15427" s="18"/>
      <c r="H15427" s="16" t="s">
        <v>87</v>
      </c>
      <c r="I15427" s="16" t="s">
        <v>87</v>
      </c>
      <c r="J15427" s="19"/>
      <c r="L15427" s="16" t="str">
        <f>IFERROR(__xludf.DUMMYFUNCTION("""COMPUTED_VALUE"""),"")</f>
        <v/>
      </c>
      <c r="M15427" s="16" t="str">
        <f>IFERROR(__xludf.DUMMYFUNCTION("""COMPUTED_VALUE"""),"")</f>
        <v/>
      </c>
      <c r="U15427" s="16" t="s">
        <v>87</v>
      </c>
      <c r="V15427" s="16" t="str">
        <f>IFERROR(__xludf.DUMMYFUNCTION("""COMPUTED_VALUE"""),"")</f>
        <v/>
      </c>
      <c r="W15427" s="16" t="str">
        <f>IFERROR(__xludf.DUMMYFUNCTION("""COMPUTED_VALUE"""),"")</f>
        <v/>
      </c>
      <c r="X15427" s="16" t="str">
        <f>IFERROR(__xludf.DUMMYFUNCTION("""COMPUTED_VALUE"""),"")</f>
        <v/>
      </c>
      <c r="AC15427" s="16" t="str">
        <f>IFERROR(__xludf.DUMMYFUNCTION("""COMPUTED_VALUE"""),"")</f>
        <v/>
      </c>
    </row>
    <row r="15428">
      <c r="A15428" s="16" t="s">
        <v>87</v>
      </c>
      <c r="E15428" s="16" t="str">
        <f>IFERROR(__xludf.DUMMYFUNCTION("""COMPUTED_VALUE"""),"")</f>
        <v/>
      </c>
      <c r="G15428" s="18"/>
      <c r="H15428" s="16" t="s">
        <v>87</v>
      </c>
      <c r="I15428" s="16" t="s">
        <v>87</v>
      </c>
      <c r="J15428" s="19"/>
      <c r="L15428" s="16" t="str">
        <f>IFERROR(__xludf.DUMMYFUNCTION("""COMPUTED_VALUE"""),"")</f>
        <v/>
      </c>
      <c r="M15428" s="16" t="str">
        <f>IFERROR(__xludf.DUMMYFUNCTION("""COMPUTED_VALUE"""),"")</f>
        <v/>
      </c>
      <c r="U15428" s="16" t="s">
        <v>87</v>
      </c>
      <c r="V15428" s="16" t="str">
        <f>IFERROR(__xludf.DUMMYFUNCTION("""COMPUTED_VALUE"""),"")</f>
        <v/>
      </c>
      <c r="W15428" s="16" t="str">
        <f>IFERROR(__xludf.DUMMYFUNCTION("""COMPUTED_VALUE"""),"")</f>
        <v/>
      </c>
      <c r="X15428" s="16" t="str">
        <f>IFERROR(__xludf.DUMMYFUNCTION("""COMPUTED_VALUE"""),"")</f>
        <v/>
      </c>
      <c r="AC15428" s="16" t="str">
        <f>IFERROR(__xludf.DUMMYFUNCTION("""COMPUTED_VALUE"""),"")</f>
        <v/>
      </c>
    </row>
    <row r="15429">
      <c r="A15429" s="16" t="s">
        <v>87</v>
      </c>
      <c r="E15429" s="16" t="str">
        <f>IFERROR(__xludf.DUMMYFUNCTION("""COMPUTED_VALUE"""),"")</f>
        <v/>
      </c>
      <c r="G15429" s="18"/>
      <c r="H15429" s="16" t="s">
        <v>87</v>
      </c>
      <c r="I15429" s="16" t="s">
        <v>87</v>
      </c>
      <c r="J15429" s="19"/>
      <c r="L15429" s="16" t="str">
        <f>IFERROR(__xludf.DUMMYFUNCTION("""COMPUTED_VALUE"""),"")</f>
        <v/>
      </c>
      <c r="M15429" s="16" t="str">
        <f>IFERROR(__xludf.DUMMYFUNCTION("""COMPUTED_VALUE"""),"")</f>
        <v/>
      </c>
      <c r="U15429" s="16" t="s">
        <v>87</v>
      </c>
      <c r="V15429" s="16" t="str">
        <f>IFERROR(__xludf.DUMMYFUNCTION("""COMPUTED_VALUE"""),"")</f>
        <v/>
      </c>
      <c r="W15429" s="16" t="str">
        <f>IFERROR(__xludf.DUMMYFUNCTION("""COMPUTED_VALUE"""),"")</f>
        <v/>
      </c>
      <c r="X15429" s="16" t="str">
        <f>IFERROR(__xludf.DUMMYFUNCTION("""COMPUTED_VALUE"""),"")</f>
        <v/>
      </c>
      <c r="AC15429" s="16" t="str">
        <f>IFERROR(__xludf.DUMMYFUNCTION("""COMPUTED_VALUE"""),"")</f>
        <v/>
      </c>
    </row>
    <row r="15430">
      <c r="A15430" s="16" t="s">
        <v>87</v>
      </c>
      <c r="E15430" s="16" t="str">
        <f>IFERROR(__xludf.DUMMYFUNCTION("""COMPUTED_VALUE"""),"")</f>
        <v/>
      </c>
      <c r="G15430" s="18"/>
      <c r="H15430" s="16" t="s">
        <v>87</v>
      </c>
      <c r="I15430" s="16" t="s">
        <v>87</v>
      </c>
      <c r="J15430" s="19"/>
      <c r="L15430" s="16" t="str">
        <f>IFERROR(__xludf.DUMMYFUNCTION("""COMPUTED_VALUE"""),"")</f>
        <v/>
      </c>
      <c r="M15430" s="16" t="str">
        <f>IFERROR(__xludf.DUMMYFUNCTION("""COMPUTED_VALUE"""),"")</f>
        <v/>
      </c>
      <c r="U15430" s="16" t="s">
        <v>87</v>
      </c>
      <c r="V15430" s="16" t="str">
        <f>IFERROR(__xludf.DUMMYFUNCTION("""COMPUTED_VALUE"""),"")</f>
        <v/>
      </c>
      <c r="W15430" s="16" t="str">
        <f>IFERROR(__xludf.DUMMYFUNCTION("""COMPUTED_VALUE"""),"")</f>
        <v/>
      </c>
      <c r="X15430" s="16" t="str">
        <f>IFERROR(__xludf.DUMMYFUNCTION("""COMPUTED_VALUE"""),"")</f>
        <v/>
      </c>
      <c r="AC15430" s="16" t="str">
        <f>IFERROR(__xludf.DUMMYFUNCTION("""COMPUTED_VALUE"""),"")</f>
        <v/>
      </c>
    </row>
    <row r="15431">
      <c r="A15431" s="16" t="s">
        <v>87</v>
      </c>
      <c r="E15431" s="16" t="str">
        <f>IFERROR(__xludf.DUMMYFUNCTION("""COMPUTED_VALUE"""),"")</f>
        <v/>
      </c>
      <c r="G15431" s="18"/>
      <c r="H15431" s="16" t="s">
        <v>87</v>
      </c>
      <c r="I15431" s="16" t="s">
        <v>87</v>
      </c>
      <c r="J15431" s="19"/>
      <c r="L15431" s="16" t="str">
        <f>IFERROR(__xludf.DUMMYFUNCTION("""COMPUTED_VALUE"""),"")</f>
        <v/>
      </c>
      <c r="M15431" s="16" t="str">
        <f>IFERROR(__xludf.DUMMYFUNCTION("""COMPUTED_VALUE"""),"")</f>
        <v/>
      </c>
      <c r="U15431" s="16" t="s">
        <v>87</v>
      </c>
      <c r="V15431" s="16" t="str">
        <f>IFERROR(__xludf.DUMMYFUNCTION("""COMPUTED_VALUE"""),"")</f>
        <v/>
      </c>
      <c r="W15431" s="16" t="str">
        <f>IFERROR(__xludf.DUMMYFUNCTION("""COMPUTED_VALUE"""),"")</f>
        <v/>
      </c>
      <c r="X15431" s="16" t="str">
        <f>IFERROR(__xludf.DUMMYFUNCTION("""COMPUTED_VALUE"""),"")</f>
        <v/>
      </c>
      <c r="AC15431" s="16" t="str">
        <f>IFERROR(__xludf.DUMMYFUNCTION("""COMPUTED_VALUE"""),"")</f>
        <v/>
      </c>
    </row>
    <row r="15432">
      <c r="A15432" s="16" t="s">
        <v>87</v>
      </c>
      <c r="E15432" s="16" t="str">
        <f>IFERROR(__xludf.DUMMYFUNCTION("""COMPUTED_VALUE"""),"")</f>
        <v/>
      </c>
      <c r="G15432" s="18"/>
      <c r="H15432" s="16" t="s">
        <v>87</v>
      </c>
      <c r="I15432" s="16" t="s">
        <v>87</v>
      </c>
      <c r="J15432" s="19"/>
      <c r="L15432" s="16" t="str">
        <f>IFERROR(__xludf.DUMMYFUNCTION("""COMPUTED_VALUE"""),"")</f>
        <v/>
      </c>
      <c r="M15432" s="16" t="str">
        <f>IFERROR(__xludf.DUMMYFUNCTION("""COMPUTED_VALUE"""),"")</f>
        <v/>
      </c>
      <c r="U15432" s="16" t="s">
        <v>87</v>
      </c>
      <c r="V15432" s="16" t="str">
        <f>IFERROR(__xludf.DUMMYFUNCTION("""COMPUTED_VALUE"""),"")</f>
        <v/>
      </c>
      <c r="W15432" s="16" t="str">
        <f>IFERROR(__xludf.DUMMYFUNCTION("""COMPUTED_VALUE"""),"")</f>
        <v/>
      </c>
      <c r="X15432" s="16" t="str">
        <f>IFERROR(__xludf.DUMMYFUNCTION("""COMPUTED_VALUE"""),"")</f>
        <v/>
      </c>
      <c r="AC15432" s="16" t="str">
        <f>IFERROR(__xludf.DUMMYFUNCTION("""COMPUTED_VALUE"""),"")</f>
        <v/>
      </c>
    </row>
    <row r="15433">
      <c r="A15433" s="16" t="s">
        <v>87</v>
      </c>
      <c r="E15433" s="16" t="str">
        <f>IFERROR(__xludf.DUMMYFUNCTION("""COMPUTED_VALUE"""),"")</f>
        <v/>
      </c>
      <c r="G15433" s="18"/>
      <c r="H15433" s="16" t="s">
        <v>87</v>
      </c>
      <c r="I15433" s="16" t="s">
        <v>87</v>
      </c>
      <c r="J15433" s="19"/>
      <c r="L15433" s="16" t="str">
        <f>IFERROR(__xludf.DUMMYFUNCTION("""COMPUTED_VALUE"""),"")</f>
        <v/>
      </c>
      <c r="M15433" s="16" t="str">
        <f>IFERROR(__xludf.DUMMYFUNCTION("""COMPUTED_VALUE"""),"")</f>
        <v/>
      </c>
      <c r="U15433" s="16" t="s">
        <v>87</v>
      </c>
      <c r="V15433" s="16" t="str">
        <f>IFERROR(__xludf.DUMMYFUNCTION("""COMPUTED_VALUE"""),"")</f>
        <v/>
      </c>
      <c r="W15433" s="16" t="str">
        <f>IFERROR(__xludf.DUMMYFUNCTION("""COMPUTED_VALUE"""),"")</f>
        <v/>
      </c>
      <c r="X15433" s="16" t="str">
        <f>IFERROR(__xludf.DUMMYFUNCTION("""COMPUTED_VALUE"""),"")</f>
        <v/>
      </c>
      <c r="AC15433" s="16" t="str">
        <f>IFERROR(__xludf.DUMMYFUNCTION("""COMPUTED_VALUE"""),"")</f>
        <v/>
      </c>
    </row>
    <row r="15434">
      <c r="A15434" s="16" t="s">
        <v>87</v>
      </c>
      <c r="E15434" s="16" t="str">
        <f>IFERROR(__xludf.DUMMYFUNCTION("""COMPUTED_VALUE"""),"")</f>
        <v/>
      </c>
      <c r="G15434" s="18"/>
      <c r="H15434" s="16" t="s">
        <v>87</v>
      </c>
      <c r="I15434" s="16" t="s">
        <v>87</v>
      </c>
      <c r="J15434" s="19"/>
      <c r="L15434" s="16" t="str">
        <f>IFERROR(__xludf.DUMMYFUNCTION("""COMPUTED_VALUE"""),"")</f>
        <v/>
      </c>
      <c r="M15434" s="16" t="str">
        <f>IFERROR(__xludf.DUMMYFUNCTION("""COMPUTED_VALUE"""),"")</f>
        <v/>
      </c>
      <c r="U15434" s="16" t="s">
        <v>87</v>
      </c>
      <c r="V15434" s="16" t="str">
        <f>IFERROR(__xludf.DUMMYFUNCTION("""COMPUTED_VALUE"""),"")</f>
        <v/>
      </c>
      <c r="W15434" s="16" t="str">
        <f>IFERROR(__xludf.DUMMYFUNCTION("""COMPUTED_VALUE"""),"")</f>
        <v/>
      </c>
      <c r="X15434" s="16" t="str">
        <f>IFERROR(__xludf.DUMMYFUNCTION("""COMPUTED_VALUE"""),"")</f>
        <v/>
      </c>
      <c r="AC15434" s="16" t="str">
        <f>IFERROR(__xludf.DUMMYFUNCTION("""COMPUTED_VALUE"""),"")</f>
        <v/>
      </c>
    </row>
    <row r="15435">
      <c r="A15435" s="16" t="s">
        <v>87</v>
      </c>
      <c r="E15435" s="16" t="str">
        <f>IFERROR(__xludf.DUMMYFUNCTION("""COMPUTED_VALUE"""),"")</f>
        <v/>
      </c>
      <c r="G15435" s="18"/>
      <c r="H15435" s="16" t="s">
        <v>87</v>
      </c>
      <c r="I15435" s="16" t="s">
        <v>87</v>
      </c>
      <c r="J15435" s="19"/>
      <c r="L15435" s="16" t="str">
        <f>IFERROR(__xludf.DUMMYFUNCTION("""COMPUTED_VALUE"""),"")</f>
        <v/>
      </c>
      <c r="M15435" s="16" t="str">
        <f>IFERROR(__xludf.DUMMYFUNCTION("""COMPUTED_VALUE"""),"")</f>
        <v/>
      </c>
      <c r="U15435" s="16" t="s">
        <v>87</v>
      </c>
      <c r="V15435" s="16" t="str">
        <f>IFERROR(__xludf.DUMMYFUNCTION("""COMPUTED_VALUE"""),"")</f>
        <v/>
      </c>
      <c r="W15435" s="16" t="str">
        <f>IFERROR(__xludf.DUMMYFUNCTION("""COMPUTED_VALUE"""),"")</f>
        <v/>
      </c>
      <c r="X15435" s="16" t="str">
        <f>IFERROR(__xludf.DUMMYFUNCTION("""COMPUTED_VALUE"""),"")</f>
        <v/>
      </c>
      <c r="AC15435" s="16" t="str">
        <f>IFERROR(__xludf.DUMMYFUNCTION("""COMPUTED_VALUE"""),"")</f>
        <v/>
      </c>
    </row>
    <row r="15436">
      <c r="A15436" s="16" t="s">
        <v>87</v>
      </c>
      <c r="E15436" s="16" t="str">
        <f>IFERROR(__xludf.DUMMYFUNCTION("""COMPUTED_VALUE"""),"")</f>
        <v/>
      </c>
      <c r="G15436" s="18"/>
      <c r="H15436" s="16" t="s">
        <v>87</v>
      </c>
      <c r="I15436" s="16" t="s">
        <v>87</v>
      </c>
      <c r="J15436" s="19"/>
      <c r="L15436" s="16" t="str">
        <f>IFERROR(__xludf.DUMMYFUNCTION("""COMPUTED_VALUE"""),"")</f>
        <v/>
      </c>
      <c r="M15436" s="16" t="str">
        <f>IFERROR(__xludf.DUMMYFUNCTION("""COMPUTED_VALUE"""),"")</f>
        <v/>
      </c>
      <c r="U15436" s="16" t="s">
        <v>87</v>
      </c>
      <c r="V15436" s="16" t="str">
        <f>IFERROR(__xludf.DUMMYFUNCTION("""COMPUTED_VALUE"""),"")</f>
        <v/>
      </c>
      <c r="W15436" s="16" t="str">
        <f>IFERROR(__xludf.DUMMYFUNCTION("""COMPUTED_VALUE"""),"")</f>
        <v/>
      </c>
      <c r="X15436" s="16" t="str">
        <f>IFERROR(__xludf.DUMMYFUNCTION("""COMPUTED_VALUE"""),"")</f>
        <v/>
      </c>
      <c r="AC15436" s="16" t="str">
        <f>IFERROR(__xludf.DUMMYFUNCTION("""COMPUTED_VALUE"""),"")</f>
        <v/>
      </c>
    </row>
    <row r="15437">
      <c r="A15437" s="16" t="s">
        <v>87</v>
      </c>
      <c r="E15437" s="16" t="str">
        <f>IFERROR(__xludf.DUMMYFUNCTION("""COMPUTED_VALUE"""),"")</f>
        <v/>
      </c>
      <c r="G15437" s="18"/>
      <c r="H15437" s="16" t="s">
        <v>87</v>
      </c>
      <c r="I15437" s="16" t="s">
        <v>87</v>
      </c>
      <c r="J15437" s="19"/>
      <c r="L15437" s="16" t="str">
        <f>IFERROR(__xludf.DUMMYFUNCTION("""COMPUTED_VALUE"""),"")</f>
        <v/>
      </c>
      <c r="M15437" s="16" t="str">
        <f>IFERROR(__xludf.DUMMYFUNCTION("""COMPUTED_VALUE"""),"")</f>
        <v/>
      </c>
      <c r="U15437" s="16" t="s">
        <v>87</v>
      </c>
      <c r="V15437" s="16" t="str">
        <f>IFERROR(__xludf.DUMMYFUNCTION("""COMPUTED_VALUE"""),"")</f>
        <v/>
      </c>
      <c r="W15437" s="16" t="str">
        <f>IFERROR(__xludf.DUMMYFUNCTION("""COMPUTED_VALUE"""),"")</f>
        <v/>
      </c>
      <c r="X15437" s="16" t="str">
        <f>IFERROR(__xludf.DUMMYFUNCTION("""COMPUTED_VALUE"""),"")</f>
        <v/>
      </c>
      <c r="AC15437" s="16" t="str">
        <f>IFERROR(__xludf.DUMMYFUNCTION("""COMPUTED_VALUE"""),"")</f>
        <v/>
      </c>
    </row>
    <row r="15438">
      <c r="A15438" s="16" t="s">
        <v>87</v>
      </c>
      <c r="E15438" s="16" t="str">
        <f>IFERROR(__xludf.DUMMYFUNCTION("""COMPUTED_VALUE"""),"")</f>
        <v/>
      </c>
      <c r="G15438" s="18"/>
      <c r="H15438" s="16" t="s">
        <v>87</v>
      </c>
      <c r="I15438" s="16" t="s">
        <v>87</v>
      </c>
      <c r="J15438" s="19"/>
      <c r="L15438" s="16" t="str">
        <f>IFERROR(__xludf.DUMMYFUNCTION("""COMPUTED_VALUE"""),"")</f>
        <v/>
      </c>
      <c r="M15438" s="16" t="str">
        <f>IFERROR(__xludf.DUMMYFUNCTION("""COMPUTED_VALUE"""),"")</f>
        <v/>
      </c>
      <c r="U15438" s="16" t="s">
        <v>87</v>
      </c>
      <c r="V15438" s="16" t="str">
        <f>IFERROR(__xludf.DUMMYFUNCTION("""COMPUTED_VALUE"""),"")</f>
        <v/>
      </c>
      <c r="W15438" s="16" t="str">
        <f>IFERROR(__xludf.DUMMYFUNCTION("""COMPUTED_VALUE"""),"")</f>
        <v/>
      </c>
      <c r="X15438" s="16" t="str">
        <f>IFERROR(__xludf.DUMMYFUNCTION("""COMPUTED_VALUE"""),"")</f>
        <v/>
      </c>
      <c r="AC15438" s="16" t="str">
        <f>IFERROR(__xludf.DUMMYFUNCTION("""COMPUTED_VALUE"""),"")</f>
        <v/>
      </c>
    </row>
    <row r="15439">
      <c r="A15439" s="16" t="s">
        <v>87</v>
      </c>
      <c r="E15439" s="16" t="str">
        <f>IFERROR(__xludf.DUMMYFUNCTION("""COMPUTED_VALUE"""),"")</f>
        <v/>
      </c>
      <c r="G15439" s="18"/>
      <c r="H15439" s="16" t="s">
        <v>87</v>
      </c>
      <c r="I15439" s="16" t="s">
        <v>87</v>
      </c>
      <c r="J15439" s="19"/>
      <c r="L15439" s="16" t="str">
        <f>IFERROR(__xludf.DUMMYFUNCTION("""COMPUTED_VALUE"""),"")</f>
        <v/>
      </c>
      <c r="M15439" s="16" t="str">
        <f>IFERROR(__xludf.DUMMYFUNCTION("""COMPUTED_VALUE"""),"")</f>
        <v/>
      </c>
      <c r="U15439" s="16" t="s">
        <v>87</v>
      </c>
      <c r="V15439" s="16" t="str">
        <f>IFERROR(__xludf.DUMMYFUNCTION("""COMPUTED_VALUE"""),"")</f>
        <v/>
      </c>
      <c r="W15439" s="16" t="str">
        <f>IFERROR(__xludf.DUMMYFUNCTION("""COMPUTED_VALUE"""),"")</f>
        <v/>
      </c>
      <c r="X15439" s="16" t="str">
        <f>IFERROR(__xludf.DUMMYFUNCTION("""COMPUTED_VALUE"""),"")</f>
        <v/>
      </c>
      <c r="AC15439" s="16" t="str">
        <f>IFERROR(__xludf.DUMMYFUNCTION("""COMPUTED_VALUE"""),"")</f>
        <v/>
      </c>
    </row>
    <row r="15440">
      <c r="A15440" s="16" t="s">
        <v>87</v>
      </c>
      <c r="E15440" s="16" t="str">
        <f>IFERROR(__xludf.DUMMYFUNCTION("""COMPUTED_VALUE"""),"")</f>
        <v/>
      </c>
      <c r="G15440" s="18"/>
      <c r="H15440" s="16" t="s">
        <v>87</v>
      </c>
      <c r="I15440" s="16" t="s">
        <v>87</v>
      </c>
      <c r="J15440" s="19"/>
      <c r="L15440" s="16" t="str">
        <f>IFERROR(__xludf.DUMMYFUNCTION("""COMPUTED_VALUE"""),"")</f>
        <v/>
      </c>
      <c r="M15440" s="16" t="str">
        <f>IFERROR(__xludf.DUMMYFUNCTION("""COMPUTED_VALUE"""),"")</f>
        <v/>
      </c>
      <c r="U15440" s="16" t="s">
        <v>87</v>
      </c>
      <c r="V15440" s="16" t="str">
        <f>IFERROR(__xludf.DUMMYFUNCTION("""COMPUTED_VALUE"""),"")</f>
        <v/>
      </c>
      <c r="W15440" s="16" t="str">
        <f>IFERROR(__xludf.DUMMYFUNCTION("""COMPUTED_VALUE"""),"")</f>
        <v/>
      </c>
      <c r="X15440" s="16" t="str">
        <f>IFERROR(__xludf.DUMMYFUNCTION("""COMPUTED_VALUE"""),"")</f>
        <v/>
      </c>
      <c r="AC15440" s="16" t="str">
        <f>IFERROR(__xludf.DUMMYFUNCTION("""COMPUTED_VALUE"""),"")</f>
        <v/>
      </c>
    </row>
    <row r="15441">
      <c r="A15441" s="16" t="s">
        <v>87</v>
      </c>
      <c r="E15441" s="16" t="str">
        <f>IFERROR(__xludf.DUMMYFUNCTION("""COMPUTED_VALUE"""),"")</f>
        <v/>
      </c>
      <c r="G15441" s="18"/>
      <c r="H15441" s="16" t="s">
        <v>87</v>
      </c>
      <c r="I15441" s="16" t="s">
        <v>87</v>
      </c>
      <c r="J15441" s="19"/>
      <c r="L15441" s="16" t="str">
        <f>IFERROR(__xludf.DUMMYFUNCTION("""COMPUTED_VALUE"""),"")</f>
        <v/>
      </c>
      <c r="M15441" s="16" t="str">
        <f>IFERROR(__xludf.DUMMYFUNCTION("""COMPUTED_VALUE"""),"")</f>
        <v/>
      </c>
      <c r="U15441" s="16" t="s">
        <v>87</v>
      </c>
      <c r="V15441" s="16" t="str">
        <f>IFERROR(__xludf.DUMMYFUNCTION("""COMPUTED_VALUE"""),"")</f>
        <v/>
      </c>
      <c r="W15441" s="16" t="str">
        <f>IFERROR(__xludf.DUMMYFUNCTION("""COMPUTED_VALUE"""),"")</f>
        <v/>
      </c>
      <c r="X15441" s="16" t="str">
        <f>IFERROR(__xludf.DUMMYFUNCTION("""COMPUTED_VALUE"""),"")</f>
        <v/>
      </c>
      <c r="AC15441" s="16" t="str">
        <f>IFERROR(__xludf.DUMMYFUNCTION("""COMPUTED_VALUE"""),"")</f>
        <v/>
      </c>
    </row>
    <row r="15442">
      <c r="A15442" s="16" t="s">
        <v>87</v>
      </c>
      <c r="E15442" s="16" t="str">
        <f>IFERROR(__xludf.DUMMYFUNCTION("""COMPUTED_VALUE"""),"")</f>
        <v/>
      </c>
      <c r="G15442" s="18"/>
      <c r="H15442" s="16" t="s">
        <v>87</v>
      </c>
      <c r="I15442" s="16" t="s">
        <v>87</v>
      </c>
      <c r="J15442" s="19"/>
      <c r="L15442" s="16" t="str">
        <f>IFERROR(__xludf.DUMMYFUNCTION("""COMPUTED_VALUE"""),"")</f>
        <v/>
      </c>
      <c r="M15442" s="16" t="str">
        <f>IFERROR(__xludf.DUMMYFUNCTION("""COMPUTED_VALUE"""),"")</f>
        <v/>
      </c>
      <c r="U15442" s="16" t="s">
        <v>87</v>
      </c>
      <c r="V15442" s="16" t="str">
        <f>IFERROR(__xludf.DUMMYFUNCTION("""COMPUTED_VALUE"""),"")</f>
        <v/>
      </c>
      <c r="W15442" s="16" t="str">
        <f>IFERROR(__xludf.DUMMYFUNCTION("""COMPUTED_VALUE"""),"")</f>
        <v/>
      </c>
      <c r="X15442" s="16" t="str">
        <f>IFERROR(__xludf.DUMMYFUNCTION("""COMPUTED_VALUE"""),"")</f>
        <v/>
      </c>
      <c r="AC15442" s="16" t="str">
        <f>IFERROR(__xludf.DUMMYFUNCTION("""COMPUTED_VALUE"""),"")</f>
        <v/>
      </c>
    </row>
    <row r="15443">
      <c r="A15443" s="16" t="s">
        <v>87</v>
      </c>
      <c r="E15443" s="16" t="str">
        <f>IFERROR(__xludf.DUMMYFUNCTION("""COMPUTED_VALUE"""),"")</f>
        <v/>
      </c>
      <c r="G15443" s="18"/>
      <c r="H15443" s="16" t="s">
        <v>87</v>
      </c>
      <c r="I15443" s="16" t="s">
        <v>87</v>
      </c>
      <c r="J15443" s="19"/>
      <c r="L15443" s="16" t="str">
        <f>IFERROR(__xludf.DUMMYFUNCTION("""COMPUTED_VALUE"""),"")</f>
        <v/>
      </c>
      <c r="M15443" s="16" t="str">
        <f>IFERROR(__xludf.DUMMYFUNCTION("""COMPUTED_VALUE"""),"")</f>
        <v/>
      </c>
      <c r="U15443" s="16" t="s">
        <v>87</v>
      </c>
      <c r="V15443" s="16" t="str">
        <f>IFERROR(__xludf.DUMMYFUNCTION("""COMPUTED_VALUE"""),"")</f>
        <v/>
      </c>
      <c r="W15443" s="16" t="str">
        <f>IFERROR(__xludf.DUMMYFUNCTION("""COMPUTED_VALUE"""),"")</f>
        <v/>
      </c>
      <c r="X15443" s="16" t="str">
        <f>IFERROR(__xludf.DUMMYFUNCTION("""COMPUTED_VALUE"""),"")</f>
        <v/>
      </c>
      <c r="AC15443" s="16" t="str">
        <f>IFERROR(__xludf.DUMMYFUNCTION("""COMPUTED_VALUE"""),"")</f>
        <v/>
      </c>
    </row>
    <row r="15444">
      <c r="A15444" s="16" t="s">
        <v>87</v>
      </c>
      <c r="E15444" s="16" t="str">
        <f>IFERROR(__xludf.DUMMYFUNCTION("""COMPUTED_VALUE"""),"")</f>
        <v/>
      </c>
      <c r="G15444" s="18"/>
      <c r="H15444" s="16" t="s">
        <v>87</v>
      </c>
      <c r="I15444" s="16" t="s">
        <v>87</v>
      </c>
      <c r="J15444" s="19"/>
      <c r="L15444" s="16" t="str">
        <f>IFERROR(__xludf.DUMMYFUNCTION("""COMPUTED_VALUE"""),"")</f>
        <v/>
      </c>
      <c r="M15444" s="16" t="str">
        <f>IFERROR(__xludf.DUMMYFUNCTION("""COMPUTED_VALUE"""),"")</f>
        <v/>
      </c>
      <c r="U15444" s="16" t="s">
        <v>87</v>
      </c>
      <c r="V15444" s="16" t="str">
        <f>IFERROR(__xludf.DUMMYFUNCTION("""COMPUTED_VALUE"""),"")</f>
        <v/>
      </c>
      <c r="W15444" s="16" t="str">
        <f>IFERROR(__xludf.DUMMYFUNCTION("""COMPUTED_VALUE"""),"")</f>
        <v/>
      </c>
      <c r="X15444" s="16" t="str">
        <f>IFERROR(__xludf.DUMMYFUNCTION("""COMPUTED_VALUE"""),"")</f>
        <v/>
      </c>
      <c r="AC15444" s="16" t="str">
        <f>IFERROR(__xludf.DUMMYFUNCTION("""COMPUTED_VALUE"""),"")</f>
        <v/>
      </c>
    </row>
    <row r="15445">
      <c r="A15445" s="16" t="s">
        <v>87</v>
      </c>
      <c r="E15445" s="16" t="str">
        <f>IFERROR(__xludf.DUMMYFUNCTION("""COMPUTED_VALUE"""),"")</f>
        <v/>
      </c>
      <c r="G15445" s="18"/>
      <c r="H15445" s="16" t="s">
        <v>87</v>
      </c>
      <c r="I15445" s="16" t="s">
        <v>87</v>
      </c>
      <c r="J15445" s="19"/>
      <c r="L15445" s="16" t="str">
        <f>IFERROR(__xludf.DUMMYFUNCTION("""COMPUTED_VALUE"""),"")</f>
        <v/>
      </c>
      <c r="M15445" s="16" t="str">
        <f>IFERROR(__xludf.DUMMYFUNCTION("""COMPUTED_VALUE"""),"")</f>
        <v/>
      </c>
      <c r="U15445" s="16" t="s">
        <v>87</v>
      </c>
      <c r="V15445" s="16" t="str">
        <f>IFERROR(__xludf.DUMMYFUNCTION("""COMPUTED_VALUE"""),"")</f>
        <v/>
      </c>
      <c r="W15445" s="16" t="str">
        <f>IFERROR(__xludf.DUMMYFUNCTION("""COMPUTED_VALUE"""),"")</f>
        <v/>
      </c>
      <c r="X15445" s="16" t="str">
        <f>IFERROR(__xludf.DUMMYFUNCTION("""COMPUTED_VALUE"""),"")</f>
        <v/>
      </c>
      <c r="AC15445" s="16" t="str">
        <f>IFERROR(__xludf.DUMMYFUNCTION("""COMPUTED_VALUE"""),"")</f>
        <v/>
      </c>
    </row>
    <row r="15446">
      <c r="A15446" s="16" t="s">
        <v>87</v>
      </c>
      <c r="E15446" s="16" t="str">
        <f>IFERROR(__xludf.DUMMYFUNCTION("""COMPUTED_VALUE"""),"")</f>
        <v/>
      </c>
      <c r="G15446" s="18"/>
      <c r="H15446" s="16" t="s">
        <v>87</v>
      </c>
      <c r="I15446" s="16" t="s">
        <v>87</v>
      </c>
      <c r="J15446" s="19"/>
      <c r="L15446" s="16" t="str">
        <f>IFERROR(__xludf.DUMMYFUNCTION("""COMPUTED_VALUE"""),"")</f>
        <v/>
      </c>
      <c r="M15446" s="16" t="str">
        <f>IFERROR(__xludf.DUMMYFUNCTION("""COMPUTED_VALUE"""),"")</f>
        <v/>
      </c>
      <c r="U15446" s="16" t="s">
        <v>87</v>
      </c>
      <c r="V15446" s="16" t="str">
        <f>IFERROR(__xludf.DUMMYFUNCTION("""COMPUTED_VALUE"""),"")</f>
        <v/>
      </c>
      <c r="W15446" s="16" t="str">
        <f>IFERROR(__xludf.DUMMYFUNCTION("""COMPUTED_VALUE"""),"")</f>
        <v/>
      </c>
      <c r="X15446" s="16" t="str">
        <f>IFERROR(__xludf.DUMMYFUNCTION("""COMPUTED_VALUE"""),"")</f>
        <v/>
      </c>
      <c r="AC15446" s="16" t="str">
        <f>IFERROR(__xludf.DUMMYFUNCTION("""COMPUTED_VALUE"""),"")</f>
        <v/>
      </c>
    </row>
    <row r="15447">
      <c r="A15447" s="16" t="s">
        <v>87</v>
      </c>
      <c r="E15447" s="16" t="str">
        <f>IFERROR(__xludf.DUMMYFUNCTION("""COMPUTED_VALUE"""),"")</f>
        <v/>
      </c>
      <c r="G15447" s="18"/>
      <c r="H15447" s="16" t="s">
        <v>87</v>
      </c>
      <c r="I15447" s="16" t="s">
        <v>87</v>
      </c>
      <c r="J15447" s="19"/>
      <c r="L15447" s="16" t="str">
        <f>IFERROR(__xludf.DUMMYFUNCTION("""COMPUTED_VALUE"""),"")</f>
        <v/>
      </c>
      <c r="M15447" s="16" t="str">
        <f>IFERROR(__xludf.DUMMYFUNCTION("""COMPUTED_VALUE"""),"")</f>
        <v/>
      </c>
      <c r="U15447" s="16" t="s">
        <v>87</v>
      </c>
      <c r="V15447" s="16" t="str">
        <f>IFERROR(__xludf.DUMMYFUNCTION("""COMPUTED_VALUE"""),"")</f>
        <v/>
      </c>
      <c r="W15447" s="16" t="str">
        <f>IFERROR(__xludf.DUMMYFUNCTION("""COMPUTED_VALUE"""),"")</f>
        <v/>
      </c>
      <c r="X15447" s="16" t="str">
        <f>IFERROR(__xludf.DUMMYFUNCTION("""COMPUTED_VALUE"""),"")</f>
        <v/>
      </c>
      <c r="AC15447" s="16" t="str">
        <f>IFERROR(__xludf.DUMMYFUNCTION("""COMPUTED_VALUE"""),"")</f>
        <v/>
      </c>
    </row>
    <row r="15448">
      <c r="A15448" s="16" t="s">
        <v>87</v>
      </c>
      <c r="E15448" s="16" t="str">
        <f>IFERROR(__xludf.DUMMYFUNCTION("""COMPUTED_VALUE"""),"")</f>
        <v/>
      </c>
      <c r="G15448" s="18"/>
      <c r="H15448" s="16" t="s">
        <v>87</v>
      </c>
      <c r="I15448" s="16" t="s">
        <v>87</v>
      </c>
      <c r="J15448" s="19"/>
      <c r="L15448" s="16" t="str">
        <f>IFERROR(__xludf.DUMMYFUNCTION("""COMPUTED_VALUE"""),"")</f>
        <v/>
      </c>
      <c r="M15448" s="16" t="str">
        <f>IFERROR(__xludf.DUMMYFUNCTION("""COMPUTED_VALUE"""),"")</f>
        <v/>
      </c>
      <c r="U15448" s="16" t="s">
        <v>87</v>
      </c>
      <c r="V15448" s="16" t="str">
        <f>IFERROR(__xludf.DUMMYFUNCTION("""COMPUTED_VALUE"""),"")</f>
        <v/>
      </c>
      <c r="W15448" s="16" t="str">
        <f>IFERROR(__xludf.DUMMYFUNCTION("""COMPUTED_VALUE"""),"")</f>
        <v/>
      </c>
      <c r="X15448" s="16" t="str">
        <f>IFERROR(__xludf.DUMMYFUNCTION("""COMPUTED_VALUE"""),"")</f>
        <v/>
      </c>
      <c r="AC15448" s="16" t="str">
        <f>IFERROR(__xludf.DUMMYFUNCTION("""COMPUTED_VALUE"""),"")</f>
        <v/>
      </c>
    </row>
    <row r="15449">
      <c r="A15449" s="16" t="s">
        <v>87</v>
      </c>
      <c r="E15449" s="16" t="str">
        <f>IFERROR(__xludf.DUMMYFUNCTION("""COMPUTED_VALUE"""),"")</f>
        <v/>
      </c>
      <c r="G15449" s="18"/>
      <c r="H15449" s="16" t="s">
        <v>87</v>
      </c>
      <c r="I15449" s="16" t="s">
        <v>87</v>
      </c>
      <c r="J15449" s="19"/>
      <c r="L15449" s="16" t="str">
        <f>IFERROR(__xludf.DUMMYFUNCTION("""COMPUTED_VALUE"""),"")</f>
        <v/>
      </c>
      <c r="M15449" s="16" t="str">
        <f>IFERROR(__xludf.DUMMYFUNCTION("""COMPUTED_VALUE"""),"")</f>
        <v/>
      </c>
      <c r="U15449" s="16" t="s">
        <v>87</v>
      </c>
      <c r="V15449" s="16" t="str">
        <f>IFERROR(__xludf.DUMMYFUNCTION("""COMPUTED_VALUE"""),"")</f>
        <v/>
      </c>
      <c r="W15449" s="16" t="str">
        <f>IFERROR(__xludf.DUMMYFUNCTION("""COMPUTED_VALUE"""),"")</f>
        <v/>
      </c>
      <c r="X15449" s="16" t="str">
        <f>IFERROR(__xludf.DUMMYFUNCTION("""COMPUTED_VALUE"""),"")</f>
        <v/>
      </c>
      <c r="AC15449" s="16" t="str">
        <f>IFERROR(__xludf.DUMMYFUNCTION("""COMPUTED_VALUE"""),"")</f>
        <v/>
      </c>
    </row>
    <row r="15450">
      <c r="A15450" s="16" t="s">
        <v>87</v>
      </c>
      <c r="E15450" s="16" t="str">
        <f>IFERROR(__xludf.DUMMYFUNCTION("""COMPUTED_VALUE"""),"")</f>
        <v/>
      </c>
      <c r="G15450" s="18"/>
      <c r="H15450" s="16" t="s">
        <v>87</v>
      </c>
      <c r="I15450" s="16" t="s">
        <v>87</v>
      </c>
      <c r="J15450" s="19"/>
      <c r="L15450" s="16" t="str">
        <f>IFERROR(__xludf.DUMMYFUNCTION("""COMPUTED_VALUE"""),"")</f>
        <v/>
      </c>
      <c r="M15450" s="16" t="str">
        <f>IFERROR(__xludf.DUMMYFUNCTION("""COMPUTED_VALUE"""),"")</f>
        <v/>
      </c>
      <c r="U15450" s="16" t="s">
        <v>87</v>
      </c>
      <c r="V15450" s="16" t="str">
        <f>IFERROR(__xludf.DUMMYFUNCTION("""COMPUTED_VALUE"""),"")</f>
        <v/>
      </c>
      <c r="W15450" s="16" t="str">
        <f>IFERROR(__xludf.DUMMYFUNCTION("""COMPUTED_VALUE"""),"")</f>
        <v/>
      </c>
      <c r="X15450" s="16" t="str">
        <f>IFERROR(__xludf.DUMMYFUNCTION("""COMPUTED_VALUE"""),"")</f>
        <v/>
      </c>
      <c r="AC15450" s="16" t="str">
        <f>IFERROR(__xludf.DUMMYFUNCTION("""COMPUTED_VALUE"""),"")</f>
        <v/>
      </c>
    </row>
    <row r="15451">
      <c r="A15451" s="16" t="s">
        <v>87</v>
      </c>
      <c r="E15451" s="16" t="str">
        <f>IFERROR(__xludf.DUMMYFUNCTION("""COMPUTED_VALUE"""),"")</f>
        <v/>
      </c>
      <c r="G15451" s="18"/>
      <c r="H15451" s="16" t="s">
        <v>87</v>
      </c>
      <c r="I15451" s="16" t="s">
        <v>87</v>
      </c>
      <c r="J15451" s="19"/>
      <c r="L15451" s="16" t="str">
        <f>IFERROR(__xludf.DUMMYFUNCTION("""COMPUTED_VALUE"""),"")</f>
        <v/>
      </c>
      <c r="M15451" s="16" t="str">
        <f>IFERROR(__xludf.DUMMYFUNCTION("""COMPUTED_VALUE"""),"")</f>
        <v/>
      </c>
      <c r="U15451" s="16" t="s">
        <v>87</v>
      </c>
      <c r="V15451" s="16" t="str">
        <f>IFERROR(__xludf.DUMMYFUNCTION("""COMPUTED_VALUE"""),"")</f>
        <v/>
      </c>
      <c r="W15451" s="16" t="str">
        <f>IFERROR(__xludf.DUMMYFUNCTION("""COMPUTED_VALUE"""),"")</f>
        <v/>
      </c>
      <c r="X15451" s="16" t="str">
        <f>IFERROR(__xludf.DUMMYFUNCTION("""COMPUTED_VALUE"""),"")</f>
        <v/>
      </c>
      <c r="AC15451" s="16" t="str">
        <f>IFERROR(__xludf.DUMMYFUNCTION("""COMPUTED_VALUE"""),"")</f>
        <v/>
      </c>
    </row>
    <row r="15452">
      <c r="A15452" s="16" t="s">
        <v>87</v>
      </c>
      <c r="E15452" s="16" t="str">
        <f>IFERROR(__xludf.DUMMYFUNCTION("""COMPUTED_VALUE"""),"")</f>
        <v/>
      </c>
      <c r="G15452" s="18"/>
      <c r="H15452" s="16" t="s">
        <v>87</v>
      </c>
      <c r="I15452" s="16" t="s">
        <v>87</v>
      </c>
      <c r="J15452" s="19"/>
      <c r="L15452" s="16" t="str">
        <f>IFERROR(__xludf.DUMMYFUNCTION("""COMPUTED_VALUE"""),"")</f>
        <v/>
      </c>
      <c r="M15452" s="16" t="str">
        <f>IFERROR(__xludf.DUMMYFUNCTION("""COMPUTED_VALUE"""),"")</f>
        <v/>
      </c>
      <c r="U15452" s="16" t="s">
        <v>87</v>
      </c>
      <c r="V15452" s="16" t="str">
        <f>IFERROR(__xludf.DUMMYFUNCTION("""COMPUTED_VALUE"""),"")</f>
        <v/>
      </c>
      <c r="W15452" s="16" t="str">
        <f>IFERROR(__xludf.DUMMYFUNCTION("""COMPUTED_VALUE"""),"")</f>
        <v/>
      </c>
      <c r="X15452" s="16" t="str">
        <f>IFERROR(__xludf.DUMMYFUNCTION("""COMPUTED_VALUE"""),"")</f>
        <v/>
      </c>
      <c r="AC15452" s="16" t="str">
        <f>IFERROR(__xludf.DUMMYFUNCTION("""COMPUTED_VALUE"""),"")</f>
        <v/>
      </c>
    </row>
    <row r="15453">
      <c r="A15453" s="16" t="s">
        <v>87</v>
      </c>
      <c r="E15453" s="16" t="str">
        <f>IFERROR(__xludf.DUMMYFUNCTION("""COMPUTED_VALUE"""),"")</f>
        <v/>
      </c>
      <c r="G15453" s="18"/>
      <c r="H15453" s="16" t="s">
        <v>87</v>
      </c>
      <c r="I15453" s="16" t="s">
        <v>87</v>
      </c>
      <c r="J15453" s="19"/>
      <c r="L15453" s="16" t="str">
        <f>IFERROR(__xludf.DUMMYFUNCTION("""COMPUTED_VALUE"""),"")</f>
        <v/>
      </c>
      <c r="M15453" s="16" t="str">
        <f>IFERROR(__xludf.DUMMYFUNCTION("""COMPUTED_VALUE"""),"")</f>
        <v/>
      </c>
      <c r="U15453" s="16" t="s">
        <v>87</v>
      </c>
      <c r="V15453" s="16" t="str">
        <f>IFERROR(__xludf.DUMMYFUNCTION("""COMPUTED_VALUE"""),"")</f>
        <v/>
      </c>
      <c r="W15453" s="16" t="str">
        <f>IFERROR(__xludf.DUMMYFUNCTION("""COMPUTED_VALUE"""),"")</f>
        <v/>
      </c>
      <c r="X15453" s="16" t="str">
        <f>IFERROR(__xludf.DUMMYFUNCTION("""COMPUTED_VALUE"""),"")</f>
        <v/>
      </c>
      <c r="AC15453" s="16" t="str">
        <f>IFERROR(__xludf.DUMMYFUNCTION("""COMPUTED_VALUE"""),"")</f>
        <v/>
      </c>
    </row>
    <row r="15454">
      <c r="A15454" s="16" t="s">
        <v>87</v>
      </c>
      <c r="E15454" s="16" t="str">
        <f>IFERROR(__xludf.DUMMYFUNCTION("""COMPUTED_VALUE"""),"")</f>
        <v/>
      </c>
      <c r="G15454" s="18"/>
      <c r="H15454" s="16" t="s">
        <v>87</v>
      </c>
      <c r="I15454" s="16" t="s">
        <v>87</v>
      </c>
      <c r="J15454" s="19"/>
      <c r="L15454" s="16" t="str">
        <f>IFERROR(__xludf.DUMMYFUNCTION("""COMPUTED_VALUE"""),"")</f>
        <v/>
      </c>
      <c r="M15454" s="16" t="str">
        <f>IFERROR(__xludf.DUMMYFUNCTION("""COMPUTED_VALUE"""),"")</f>
        <v/>
      </c>
      <c r="U15454" s="16" t="s">
        <v>87</v>
      </c>
      <c r="V15454" s="16" t="str">
        <f>IFERROR(__xludf.DUMMYFUNCTION("""COMPUTED_VALUE"""),"")</f>
        <v/>
      </c>
      <c r="W15454" s="16" t="str">
        <f>IFERROR(__xludf.DUMMYFUNCTION("""COMPUTED_VALUE"""),"")</f>
        <v/>
      </c>
      <c r="X15454" s="16" t="str">
        <f>IFERROR(__xludf.DUMMYFUNCTION("""COMPUTED_VALUE"""),"")</f>
        <v/>
      </c>
      <c r="AC15454" s="16" t="str">
        <f>IFERROR(__xludf.DUMMYFUNCTION("""COMPUTED_VALUE"""),"")</f>
        <v/>
      </c>
    </row>
    <row r="15455">
      <c r="A15455" s="16" t="s">
        <v>87</v>
      </c>
      <c r="E15455" s="16" t="str">
        <f>IFERROR(__xludf.DUMMYFUNCTION("""COMPUTED_VALUE"""),"")</f>
        <v/>
      </c>
      <c r="G15455" s="18"/>
      <c r="H15455" s="16" t="s">
        <v>87</v>
      </c>
      <c r="I15455" s="16" t="s">
        <v>87</v>
      </c>
      <c r="J15455" s="19"/>
      <c r="L15455" s="16" t="str">
        <f>IFERROR(__xludf.DUMMYFUNCTION("""COMPUTED_VALUE"""),"")</f>
        <v/>
      </c>
      <c r="M15455" s="16" t="str">
        <f>IFERROR(__xludf.DUMMYFUNCTION("""COMPUTED_VALUE"""),"")</f>
        <v/>
      </c>
      <c r="U15455" s="16" t="s">
        <v>87</v>
      </c>
      <c r="V15455" s="16" t="str">
        <f>IFERROR(__xludf.DUMMYFUNCTION("""COMPUTED_VALUE"""),"")</f>
        <v/>
      </c>
      <c r="W15455" s="16" t="str">
        <f>IFERROR(__xludf.DUMMYFUNCTION("""COMPUTED_VALUE"""),"")</f>
        <v/>
      </c>
      <c r="X15455" s="16" t="str">
        <f>IFERROR(__xludf.DUMMYFUNCTION("""COMPUTED_VALUE"""),"")</f>
        <v/>
      </c>
      <c r="AC15455" s="16" t="str">
        <f>IFERROR(__xludf.DUMMYFUNCTION("""COMPUTED_VALUE"""),"")</f>
        <v/>
      </c>
    </row>
    <row r="15456">
      <c r="A15456" s="16" t="s">
        <v>87</v>
      </c>
      <c r="E15456" s="16" t="str">
        <f>IFERROR(__xludf.DUMMYFUNCTION("""COMPUTED_VALUE"""),"")</f>
        <v/>
      </c>
      <c r="G15456" s="18"/>
      <c r="H15456" s="16" t="s">
        <v>87</v>
      </c>
      <c r="I15456" s="16" t="s">
        <v>87</v>
      </c>
      <c r="J15456" s="19"/>
      <c r="L15456" s="16" t="str">
        <f>IFERROR(__xludf.DUMMYFUNCTION("""COMPUTED_VALUE"""),"")</f>
        <v/>
      </c>
      <c r="M15456" s="16" t="str">
        <f>IFERROR(__xludf.DUMMYFUNCTION("""COMPUTED_VALUE"""),"")</f>
        <v/>
      </c>
      <c r="U15456" s="16" t="s">
        <v>87</v>
      </c>
      <c r="V15456" s="16" t="str">
        <f>IFERROR(__xludf.DUMMYFUNCTION("""COMPUTED_VALUE"""),"")</f>
        <v/>
      </c>
      <c r="W15456" s="16" t="str">
        <f>IFERROR(__xludf.DUMMYFUNCTION("""COMPUTED_VALUE"""),"")</f>
        <v/>
      </c>
      <c r="X15456" s="16" t="str">
        <f>IFERROR(__xludf.DUMMYFUNCTION("""COMPUTED_VALUE"""),"")</f>
        <v/>
      </c>
      <c r="AC15456" s="16" t="str">
        <f>IFERROR(__xludf.DUMMYFUNCTION("""COMPUTED_VALUE"""),"")</f>
        <v/>
      </c>
    </row>
    <row r="15457">
      <c r="A15457" s="16" t="s">
        <v>87</v>
      </c>
      <c r="E15457" s="16" t="str">
        <f>IFERROR(__xludf.DUMMYFUNCTION("""COMPUTED_VALUE"""),"")</f>
        <v/>
      </c>
      <c r="G15457" s="18"/>
      <c r="H15457" s="16" t="s">
        <v>87</v>
      </c>
      <c r="I15457" s="16" t="s">
        <v>87</v>
      </c>
      <c r="J15457" s="19"/>
      <c r="L15457" s="16" t="str">
        <f>IFERROR(__xludf.DUMMYFUNCTION("""COMPUTED_VALUE"""),"")</f>
        <v/>
      </c>
      <c r="M15457" s="16" t="str">
        <f>IFERROR(__xludf.DUMMYFUNCTION("""COMPUTED_VALUE"""),"")</f>
        <v/>
      </c>
      <c r="U15457" s="16" t="s">
        <v>87</v>
      </c>
      <c r="V15457" s="16" t="str">
        <f>IFERROR(__xludf.DUMMYFUNCTION("""COMPUTED_VALUE"""),"")</f>
        <v/>
      </c>
      <c r="W15457" s="16" t="str">
        <f>IFERROR(__xludf.DUMMYFUNCTION("""COMPUTED_VALUE"""),"")</f>
        <v/>
      </c>
      <c r="X15457" s="16" t="str">
        <f>IFERROR(__xludf.DUMMYFUNCTION("""COMPUTED_VALUE"""),"")</f>
        <v/>
      </c>
      <c r="AC15457" s="16" t="str">
        <f>IFERROR(__xludf.DUMMYFUNCTION("""COMPUTED_VALUE"""),"")</f>
        <v/>
      </c>
    </row>
    <row r="15458">
      <c r="A15458" s="16" t="s">
        <v>87</v>
      </c>
      <c r="E15458" s="16" t="str">
        <f>IFERROR(__xludf.DUMMYFUNCTION("""COMPUTED_VALUE"""),"")</f>
        <v/>
      </c>
      <c r="G15458" s="18"/>
      <c r="H15458" s="16" t="s">
        <v>87</v>
      </c>
      <c r="I15458" s="16" t="s">
        <v>87</v>
      </c>
      <c r="J15458" s="19"/>
      <c r="L15458" s="16" t="str">
        <f>IFERROR(__xludf.DUMMYFUNCTION("""COMPUTED_VALUE"""),"")</f>
        <v/>
      </c>
      <c r="M15458" s="16" t="str">
        <f>IFERROR(__xludf.DUMMYFUNCTION("""COMPUTED_VALUE"""),"")</f>
        <v/>
      </c>
      <c r="U15458" s="16" t="s">
        <v>87</v>
      </c>
      <c r="V15458" s="16" t="str">
        <f>IFERROR(__xludf.DUMMYFUNCTION("""COMPUTED_VALUE"""),"")</f>
        <v/>
      </c>
      <c r="W15458" s="16" t="str">
        <f>IFERROR(__xludf.DUMMYFUNCTION("""COMPUTED_VALUE"""),"")</f>
        <v/>
      </c>
      <c r="X15458" s="16" t="str">
        <f>IFERROR(__xludf.DUMMYFUNCTION("""COMPUTED_VALUE"""),"")</f>
        <v/>
      </c>
      <c r="AC15458" s="16" t="str">
        <f>IFERROR(__xludf.DUMMYFUNCTION("""COMPUTED_VALUE"""),"")</f>
        <v/>
      </c>
    </row>
    <row r="15459">
      <c r="A15459" s="16" t="s">
        <v>87</v>
      </c>
      <c r="E15459" s="16" t="str">
        <f>IFERROR(__xludf.DUMMYFUNCTION("""COMPUTED_VALUE"""),"")</f>
        <v/>
      </c>
      <c r="G15459" s="18"/>
      <c r="H15459" s="16" t="s">
        <v>87</v>
      </c>
      <c r="I15459" s="16" t="s">
        <v>87</v>
      </c>
      <c r="J15459" s="19"/>
      <c r="L15459" s="16" t="str">
        <f>IFERROR(__xludf.DUMMYFUNCTION("""COMPUTED_VALUE"""),"")</f>
        <v/>
      </c>
      <c r="M15459" s="16" t="str">
        <f>IFERROR(__xludf.DUMMYFUNCTION("""COMPUTED_VALUE"""),"")</f>
        <v/>
      </c>
      <c r="U15459" s="16" t="s">
        <v>87</v>
      </c>
      <c r="V15459" s="16" t="str">
        <f>IFERROR(__xludf.DUMMYFUNCTION("""COMPUTED_VALUE"""),"")</f>
        <v/>
      </c>
      <c r="W15459" s="16" t="str">
        <f>IFERROR(__xludf.DUMMYFUNCTION("""COMPUTED_VALUE"""),"")</f>
        <v/>
      </c>
      <c r="X15459" s="16" t="str">
        <f>IFERROR(__xludf.DUMMYFUNCTION("""COMPUTED_VALUE"""),"")</f>
        <v/>
      </c>
      <c r="AC15459" s="16" t="str">
        <f>IFERROR(__xludf.DUMMYFUNCTION("""COMPUTED_VALUE"""),"")</f>
        <v/>
      </c>
    </row>
    <row r="15460">
      <c r="A15460" s="16" t="s">
        <v>87</v>
      </c>
      <c r="E15460" s="16" t="str">
        <f>IFERROR(__xludf.DUMMYFUNCTION("""COMPUTED_VALUE"""),"")</f>
        <v/>
      </c>
      <c r="G15460" s="18"/>
      <c r="H15460" s="16" t="s">
        <v>87</v>
      </c>
      <c r="I15460" s="16" t="s">
        <v>87</v>
      </c>
      <c r="J15460" s="19"/>
      <c r="L15460" s="16" t="str">
        <f>IFERROR(__xludf.DUMMYFUNCTION("""COMPUTED_VALUE"""),"")</f>
        <v/>
      </c>
      <c r="M15460" s="16" t="str">
        <f>IFERROR(__xludf.DUMMYFUNCTION("""COMPUTED_VALUE"""),"")</f>
        <v/>
      </c>
      <c r="U15460" s="16" t="s">
        <v>87</v>
      </c>
      <c r="V15460" s="16" t="str">
        <f>IFERROR(__xludf.DUMMYFUNCTION("""COMPUTED_VALUE"""),"")</f>
        <v/>
      </c>
      <c r="W15460" s="16" t="str">
        <f>IFERROR(__xludf.DUMMYFUNCTION("""COMPUTED_VALUE"""),"")</f>
        <v/>
      </c>
      <c r="X15460" s="16" t="str">
        <f>IFERROR(__xludf.DUMMYFUNCTION("""COMPUTED_VALUE"""),"")</f>
        <v/>
      </c>
      <c r="AC15460" s="16" t="str">
        <f>IFERROR(__xludf.DUMMYFUNCTION("""COMPUTED_VALUE"""),"")</f>
        <v/>
      </c>
    </row>
    <row r="15461">
      <c r="A15461" s="16" t="s">
        <v>87</v>
      </c>
      <c r="E15461" s="16" t="str">
        <f>IFERROR(__xludf.DUMMYFUNCTION("""COMPUTED_VALUE"""),"")</f>
        <v/>
      </c>
      <c r="G15461" s="18"/>
      <c r="H15461" s="16" t="s">
        <v>87</v>
      </c>
      <c r="I15461" s="16" t="s">
        <v>87</v>
      </c>
      <c r="J15461" s="19"/>
      <c r="L15461" s="16" t="str">
        <f>IFERROR(__xludf.DUMMYFUNCTION("""COMPUTED_VALUE"""),"")</f>
        <v/>
      </c>
      <c r="M15461" s="16" t="str">
        <f>IFERROR(__xludf.DUMMYFUNCTION("""COMPUTED_VALUE"""),"")</f>
        <v/>
      </c>
      <c r="U15461" s="16" t="s">
        <v>87</v>
      </c>
      <c r="V15461" s="16" t="str">
        <f>IFERROR(__xludf.DUMMYFUNCTION("""COMPUTED_VALUE"""),"")</f>
        <v/>
      </c>
      <c r="W15461" s="16" t="str">
        <f>IFERROR(__xludf.DUMMYFUNCTION("""COMPUTED_VALUE"""),"")</f>
        <v/>
      </c>
      <c r="X15461" s="16" t="str">
        <f>IFERROR(__xludf.DUMMYFUNCTION("""COMPUTED_VALUE"""),"")</f>
        <v/>
      </c>
      <c r="AC15461" s="16" t="str">
        <f>IFERROR(__xludf.DUMMYFUNCTION("""COMPUTED_VALUE"""),"")</f>
        <v/>
      </c>
    </row>
    <row r="15462">
      <c r="A15462" s="16" t="s">
        <v>87</v>
      </c>
      <c r="E15462" s="16" t="str">
        <f>IFERROR(__xludf.DUMMYFUNCTION("""COMPUTED_VALUE"""),"")</f>
        <v/>
      </c>
      <c r="G15462" s="18"/>
      <c r="H15462" s="16" t="s">
        <v>87</v>
      </c>
      <c r="I15462" s="16" t="s">
        <v>87</v>
      </c>
      <c r="J15462" s="19"/>
      <c r="L15462" s="16" t="str">
        <f>IFERROR(__xludf.DUMMYFUNCTION("""COMPUTED_VALUE"""),"")</f>
        <v/>
      </c>
      <c r="M15462" s="16" t="str">
        <f>IFERROR(__xludf.DUMMYFUNCTION("""COMPUTED_VALUE"""),"")</f>
        <v/>
      </c>
      <c r="U15462" s="16" t="s">
        <v>87</v>
      </c>
      <c r="V15462" s="16" t="str">
        <f>IFERROR(__xludf.DUMMYFUNCTION("""COMPUTED_VALUE"""),"")</f>
        <v/>
      </c>
      <c r="W15462" s="16" t="str">
        <f>IFERROR(__xludf.DUMMYFUNCTION("""COMPUTED_VALUE"""),"")</f>
        <v/>
      </c>
      <c r="X15462" s="16" t="str">
        <f>IFERROR(__xludf.DUMMYFUNCTION("""COMPUTED_VALUE"""),"")</f>
        <v/>
      </c>
      <c r="AC15462" s="16" t="str">
        <f>IFERROR(__xludf.DUMMYFUNCTION("""COMPUTED_VALUE"""),"")</f>
        <v/>
      </c>
    </row>
    <row r="15463">
      <c r="A15463" s="16" t="s">
        <v>87</v>
      </c>
      <c r="E15463" s="16" t="str">
        <f>IFERROR(__xludf.DUMMYFUNCTION("""COMPUTED_VALUE"""),"")</f>
        <v/>
      </c>
      <c r="G15463" s="18"/>
      <c r="H15463" s="16" t="s">
        <v>87</v>
      </c>
      <c r="I15463" s="16" t="s">
        <v>87</v>
      </c>
      <c r="J15463" s="19"/>
      <c r="L15463" s="16" t="str">
        <f>IFERROR(__xludf.DUMMYFUNCTION("""COMPUTED_VALUE"""),"")</f>
        <v/>
      </c>
      <c r="M15463" s="16" t="str">
        <f>IFERROR(__xludf.DUMMYFUNCTION("""COMPUTED_VALUE"""),"")</f>
        <v/>
      </c>
      <c r="U15463" s="16" t="s">
        <v>87</v>
      </c>
      <c r="V15463" s="16" t="str">
        <f>IFERROR(__xludf.DUMMYFUNCTION("""COMPUTED_VALUE"""),"")</f>
        <v/>
      </c>
      <c r="W15463" s="16" t="str">
        <f>IFERROR(__xludf.DUMMYFUNCTION("""COMPUTED_VALUE"""),"")</f>
        <v/>
      </c>
      <c r="X15463" s="16" t="str">
        <f>IFERROR(__xludf.DUMMYFUNCTION("""COMPUTED_VALUE"""),"")</f>
        <v/>
      </c>
      <c r="AC15463" s="16" t="str">
        <f>IFERROR(__xludf.DUMMYFUNCTION("""COMPUTED_VALUE"""),"")</f>
        <v/>
      </c>
    </row>
    <row r="15464">
      <c r="A15464" s="16" t="s">
        <v>87</v>
      </c>
      <c r="E15464" s="16" t="str">
        <f>IFERROR(__xludf.DUMMYFUNCTION("""COMPUTED_VALUE"""),"")</f>
        <v/>
      </c>
      <c r="G15464" s="18"/>
      <c r="H15464" s="16" t="s">
        <v>87</v>
      </c>
      <c r="I15464" s="16" t="s">
        <v>87</v>
      </c>
      <c r="J15464" s="19"/>
      <c r="L15464" s="16" t="str">
        <f>IFERROR(__xludf.DUMMYFUNCTION("""COMPUTED_VALUE"""),"")</f>
        <v/>
      </c>
      <c r="M15464" s="16" t="str">
        <f>IFERROR(__xludf.DUMMYFUNCTION("""COMPUTED_VALUE"""),"")</f>
        <v/>
      </c>
      <c r="U15464" s="16" t="s">
        <v>87</v>
      </c>
      <c r="V15464" s="16" t="str">
        <f>IFERROR(__xludf.DUMMYFUNCTION("""COMPUTED_VALUE"""),"")</f>
        <v/>
      </c>
      <c r="W15464" s="16" t="str">
        <f>IFERROR(__xludf.DUMMYFUNCTION("""COMPUTED_VALUE"""),"")</f>
        <v/>
      </c>
      <c r="X15464" s="16" t="str">
        <f>IFERROR(__xludf.DUMMYFUNCTION("""COMPUTED_VALUE"""),"")</f>
        <v/>
      </c>
      <c r="AC15464" s="16" t="str">
        <f>IFERROR(__xludf.DUMMYFUNCTION("""COMPUTED_VALUE"""),"")</f>
        <v/>
      </c>
    </row>
    <row r="15465">
      <c r="A15465" s="16" t="s">
        <v>87</v>
      </c>
      <c r="E15465" s="16" t="str">
        <f>IFERROR(__xludf.DUMMYFUNCTION("""COMPUTED_VALUE"""),"")</f>
        <v/>
      </c>
      <c r="G15465" s="18"/>
      <c r="H15465" s="16" t="s">
        <v>87</v>
      </c>
      <c r="I15465" s="16" t="s">
        <v>87</v>
      </c>
      <c r="J15465" s="19"/>
      <c r="L15465" s="16" t="str">
        <f>IFERROR(__xludf.DUMMYFUNCTION("""COMPUTED_VALUE"""),"")</f>
        <v/>
      </c>
      <c r="M15465" s="16" t="str">
        <f>IFERROR(__xludf.DUMMYFUNCTION("""COMPUTED_VALUE"""),"")</f>
        <v/>
      </c>
      <c r="U15465" s="16" t="s">
        <v>87</v>
      </c>
      <c r="V15465" s="16" t="str">
        <f>IFERROR(__xludf.DUMMYFUNCTION("""COMPUTED_VALUE"""),"")</f>
        <v/>
      </c>
      <c r="W15465" s="16" t="str">
        <f>IFERROR(__xludf.DUMMYFUNCTION("""COMPUTED_VALUE"""),"")</f>
        <v/>
      </c>
      <c r="X15465" s="16" t="str">
        <f>IFERROR(__xludf.DUMMYFUNCTION("""COMPUTED_VALUE"""),"")</f>
        <v/>
      </c>
      <c r="AC15465" s="16" t="str">
        <f>IFERROR(__xludf.DUMMYFUNCTION("""COMPUTED_VALUE"""),"")</f>
        <v/>
      </c>
    </row>
    <row r="15466">
      <c r="A15466" s="16" t="s">
        <v>87</v>
      </c>
      <c r="E15466" s="16" t="str">
        <f>IFERROR(__xludf.DUMMYFUNCTION("""COMPUTED_VALUE"""),"")</f>
        <v/>
      </c>
      <c r="G15466" s="18"/>
      <c r="H15466" s="16" t="s">
        <v>87</v>
      </c>
      <c r="I15466" s="16" t="s">
        <v>87</v>
      </c>
      <c r="J15466" s="19"/>
      <c r="L15466" s="16" t="str">
        <f>IFERROR(__xludf.DUMMYFUNCTION("""COMPUTED_VALUE"""),"")</f>
        <v/>
      </c>
      <c r="M15466" s="16" t="str">
        <f>IFERROR(__xludf.DUMMYFUNCTION("""COMPUTED_VALUE"""),"")</f>
        <v/>
      </c>
      <c r="U15466" s="16" t="s">
        <v>87</v>
      </c>
      <c r="V15466" s="16" t="str">
        <f>IFERROR(__xludf.DUMMYFUNCTION("""COMPUTED_VALUE"""),"")</f>
        <v/>
      </c>
      <c r="W15466" s="16" t="str">
        <f>IFERROR(__xludf.DUMMYFUNCTION("""COMPUTED_VALUE"""),"")</f>
        <v/>
      </c>
      <c r="X15466" s="16" t="str">
        <f>IFERROR(__xludf.DUMMYFUNCTION("""COMPUTED_VALUE"""),"")</f>
        <v/>
      </c>
      <c r="AC15466" s="16" t="str">
        <f>IFERROR(__xludf.DUMMYFUNCTION("""COMPUTED_VALUE"""),"")</f>
        <v/>
      </c>
    </row>
    <row r="15467">
      <c r="A15467" s="16" t="s">
        <v>87</v>
      </c>
      <c r="E15467" s="16" t="str">
        <f>IFERROR(__xludf.DUMMYFUNCTION("""COMPUTED_VALUE"""),"")</f>
        <v/>
      </c>
      <c r="G15467" s="18"/>
      <c r="H15467" s="16" t="s">
        <v>87</v>
      </c>
      <c r="I15467" s="16" t="s">
        <v>87</v>
      </c>
      <c r="J15467" s="19"/>
      <c r="L15467" s="16" t="str">
        <f>IFERROR(__xludf.DUMMYFUNCTION("""COMPUTED_VALUE"""),"")</f>
        <v/>
      </c>
      <c r="M15467" s="16" t="str">
        <f>IFERROR(__xludf.DUMMYFUNCTION("""COMPUTED_VALUE"""),"")</f>
        <v/>
      </c>
      <c r="U15467" s="16" t="s">
        <v>87</v>
      </c>
      <c r="V15467" s="16" t="str">
        <f>IFERROR(__xludf.DUMMYFUNCTION("""COMPUTED_VALUE"""),"")</f>
        <v/>
      </c>
      <c r="W15467" s="16" t="str">
        <f>IFERROR(__xludf.DUMMYFUNCTION("""COMPUTED_VALUE"""),"")</f>
        <v/>
      </c>
      <c r="X15467" s="16" t="str">
        <f>IFERROR(__xludf.DUMMYFUNCTION("""COMPUTED_VALUE"""),"")</f>
        <v/>
      </c>
      <c r="AC15467" s="16" t="str">
        <f>IFERROR(__xludf.DUMMYFUNCTION("""COMPUTED_VALUE"""),"")</f>
        <v/>
      </c>
    </row>
    <row r="15468">
      <c r="A15468" s="16" t="s">
        <v>87</v>
      </c>
      <c r="E15468" s="16" t="str">
        <f>IFERROR(__xludf.DUMMYFUNCTION("""COMPUTED_VALUE"""),"")</f>
        <v/>
      </c>
      <c r="G15468" s="18"/>
      <c r="H15468" s="16" t="s">
        <v>87</v>
      </c>
      <c r="I15468" s="16" t="s">
        <v>87</v>
      </c>
      <c r="J15468" s="19"/>
      <c r="L15468" s="16" t="str">
        <f>IFERROR(__xludf.DUMMYFUNCTION("""COMPUTED_VALUE"""),"")</f>
        <v/>
      </c>
      <c r="M15468" s="16" t="str">
        <f>IFERROR(__xludf.DUMMYFUNCTION("""COMPUTED_VALUE"""),"")</f>
        <v/>
      </c>
      <c r="U15468" s="16" t="s">
        <v>87</v>
      </c>
      <c r="V15468" s="16" t="str">
        <f>IFERROR(__xludf.DUMMYFUNCTION("""COMPUTED_VALUE"""),"")</f>
        <v/>
      </c>
      <c r="W15468" s="16" t="str">
        <f>IFERROR(__xludf.DUMMYFUNCTION("""COMPUTED_VALUE"""),"")</f>
        <v/>
      </c>
      <c r="X15468" s="16" t="str">
        <f>IFERROR(__xludf.DUMMYFUNCTION("""COMPUTED_VALUE"""),"")</f>
        <v/>
      </c>
      <c r="AC15468" s="16" t="str">
        <f>IFERROR(__xludf.DUMMYFUNCTION("""COMPUTED_VALUE"""),"")</f>
        <v/>
      </c>
    </row>
    <row r="15469">
      <c r="A15469" s="16" t="s">
        <v>87</v>
      </c>
      <c r="E15469" s="16" t="str">
        <f>IFERROR(__xludf.DUMMYFUNCTION("""COMPUTED_VALUE"""),"")</f>
        <v/>
      </c>
      <c r="G15469" s="18"/>
      <c r="H15469" s="16" t="s">
        <v>87</v>
      </c>
      <c r="I15469" s="16" t="s">
        <v>87</v>
      </c>
      <c r="J15469" s="19"/>
      <c r="L15469" s="16" t="str">
        <f>IFERROR(__xludf.DUMMYFUNCTION("""COMPUTED_VALUE"""),"")</f>
        <v/>
      </c>
      <c r="M15469" s="16" t="str">
        <f>IFERROR(__xludf.DUMMYFUNCTION("""COMPUTED_VALUE"""),"")</f>
        <v/>
      </c>
      <c r="U15469" s="16" t="s">
        <v>87</v>
      </c>
      <c r="V15469" s="16" t="str">
        <f>IFERROR(__xludf.DUMMYFUNCTION("""COMPUTED_VALUE"""),"")</f>
        <v/>
      </c>
      <c r="W15469" s="16" t="str">
        <f>IFERROR(__xludf.DUMMYFUNCTION("""COMPUTED_VALUE"""),"")</f>
        <v/>
      </c>
      <c r="X15469" s="16" t="str">
        <f>IFERROR(__xludf.DUMMYFUNCTION("""COMPUTED_VALUE"""),"")</f>
        <v/>
      </c>
      <c r="AC15469" s="16" t="str">
        <f>IFERROR(__xludf.DUMMYFUNCTION("""COMPUTED_VALUE"""),"")</f>
        <v/>
      </c>
    </row>
    <row r="15470">
      <c r="A15470" s="16" t="s">
        <v>87</v>
      </c>
      <c r="E15470" s="16" t="str">
        <f>IFERROR(__xludf.DUMMYFUNCTION("""COMPUTED_VALUE"""),"")</f>
        <v/>
      </c>
      <c r="G15470" s="18"/>
      <c r="H15470" s="16" t="s">
        <v>87</v>
      </c>
      <c r="I15470" s="16" t="s">
        <v>87</v>
      </c>
      <c r="J15470" s="19"/>
      <c r="L15470" s="16" t="str">
        <f>IFERROR(__xludf.DUMMYFUNCTION("""COMPUTED_VALUE"""),"")</f>
        <v/>
      </c>
      <c r="M15470" s="16" t="str">
        <f>IFERROR(__xludf.DUMMYFUNCTION("""COMPUTED_VALUE"""),"")</f>
        <v/>
      </c>
      <c r="U15470" s="16" t="s">
        <v>87</v>
      </c>
      <c r="V15470" s="16" t="str">
        <f>IFERROR(__xludf.DUMMYFUNCTION("""COMPUTED_VALUE"""),"")</f>
        <v/>
      </c>
      <c r="W15470" s="16" t="str">
        <f>IFERROR(__xludf.DUMMYFUNCTION("""COMPUTED_VALUE"""),"")</f>
        <v/>
      </c>
      <c r="X15470" s="16" t="str">
        <f>IFERROR(__xludf.DUMMYFUNCTION("""COMPUTED_VALUE"""),"")</f>
        <v/>
      </c>
      <c r="AC15470" s="16" t="str">
        <f>IFERROR(__xludf.DUMMYFUNCTION("""COMPUTED_VALUE"""),"")</f>
        <v/>
      </c>
    </row>
    <row r="15471">
      <c r="A15471" s="16" t="s">
        <v>87</v>
      </c>
      <c r="E15471" s="16" t="str">
        <f>IFERROR(__xludf.DUMMYFUNCTION("""COMPUTED_VALUE"""),"")</f>
        <v/>
      </c>
      <c r="G15471" s="18"/>
      <c r="H15471" s="16" t="s">
        <v>87</v>
      </c>
      <c r="I15471" s="16" t="s">
        <v>87</v>
      </c>
      <c r="J15471" s="19"/>
      <c r="L15471" s="16" t="str">
        <f>IFERROR(__xludf.DUMMYFUNCTION("""COMPUTED_VALUE"""),"")</f>
        <v/>
      </c>
      <c r="M15471" s="16" t="str">
        <f>IFERROR(__xludf.DUMMYFUNCTION("""COMPUTED_VALUE"""),"")</f>
        <v/>
      </c>
      <c r="U15471" s="16" t="s">
        <v>87</v>
      </c>
      <c r="V15471" s="16" t="str">
        <f>IFERROR(__xludf.DUMMYFUNCTION("""COMPUTED_VALUE"""),"")</f>
        <v/>
      </c>
      <c r="W15471" s="16" t="str">
        <f>IFERROR(__xludf.DUMMYFUNCTION("""COMPUTED_VALUE"""),"")</f>
        <v/>
      </c>
      <c r="X15471" s="16" t="str">
        <f>IFERROR(__xludf.DUMMYFUNCTION("""COMPUTED_VALUE"""),"")</f>
        <v/>
      </c>
      <c r="AC15471" s="16" t="str">
        <f>IFERROR(__xludf.DUMMYFUNCTION("""COMPUTED_VALUE"""),"")</f>
        <v/>
      </c>
    </row>
    <row r="15472">
      <c r="A15472" s="16" t="s">
        <v>87</v>
      </c>
      <c r="E15472" s="16" t="str">
        <f>IFERROR(__xludf.DUMMYFUNCTION("""COMPUTED_VALUE"""),"")</f>
        <v/>
      </c>
      <c r="G15472" s="18"/>
      <c r="H15472" s="16" t="s">
        <v>87</v>
      </c>
      <c r="I15472" s="16" t="s">
        <v>87</v>
      </c>
      <c r="J15472" s="19"/>
      <c r="L15472" s="16" t="str">
        <f>IFERROR(__xludf.DUMMYFUNCTION("""COMPUTED_VALUE"""),"")</f>
        <v/>
      </c>
      <c r="M15472" s="16" t="str">
        <f>IFERROR(__xludf.DUMMYFUNCTION("""COMPUTED_VALUE"""),"")</f>
        <v/>
      </c>
      <c r="U15472" s="16" t="s">
        <v>87</v>
      </c>
      <c r="V15472" s="16" t="str">
        <f>IFERROR(__xludf.DUMMYFUNCTION("""COMPUTED_VALUE"""),"")</f>
        <v/>
      </c>
      <c r="W15472" s="16" t="str">
        <f>IFERROR(__xludf.DUMMYFUNCTION("""COMPUTED_VALUE"""),"")</f>
        <v/>
      </c>
      <c r="X15472" s="16" t="str">
        <f>IFERROR(__xludf.DUMMYFUNCTION("""COMPUTED_VALUE"""),"")</f>
        <v/>
      </c>
      <c r="AC15472" s="16" t="str">
        <f>IFERROR(__xludf.DUMMYFUNCTION("""COMPUTED_VALUE"""),"")</f>
        <v/>
      </c>
    </row>
    <row r="15473">
      <c r="A15473" s="16" t="s">
        <v>87</v>
      </c>
      <c r="E15473" s="16" t="str">
        <f>IFERROR(__xludf.DUMMYFUNCTION("""COMPUTED_VALUE"""),"")</f>
        <v/>
      </c>
      <c r="G15473" s="18"/>
      <c r="H15473" s="16" t="s">
        <v>87</v>
      </c>
      <c r="I15473" s="16" t="s">
        <v>87</v>
      </c>
      <c r="J15473" s="19"/>
      <c r="L15473" s="16" t="str">
        <f>IFERROR(__xludf.DUMMYFUNCTION("""COMPUTED_VALUE"""),"")</f>
        <v/>
      </c>
      <c r="M15473" s="16" t="str">
        <f>IFERROR(__xludf.DUMMYFUNCTION("""COMPUTED_VALUE"""),"")</f>
        <v/>
      </c>
      <c r="U15473" s="16" t="s">
        <v>87</v>
      </c>
      <c r="V15473" s="16" t="str">
        <f>IFERROR(__xludf.DUMMYFUNCTION("""COMPUTED_VALUE"""),"")</f>
        <v/>
      </c>
      <c r="W15473" s="16" t="str">
        <f>IFERROR(__xludf.DUMMYFUNCTION("""COMPUTED_VALUE"""),"")</f>
        <v/>
      </c>
      <c r="X15473" s="16" t="str">
        <f>IFERROR(__xludf.DUMMYFUNCTION("""COMPUTED_VALUE"""),"")</f>
        <v/>
      </c>
      <c r="AC15473" s="16" t="str">
        <f>IFERROR(__xludf.DUMMYFUNCTION("""COMPUTED_VALUE"""),"")</f>
        <v/>
      </c>
    </row>
    <row r="15474">
      <c r="A15474" s="16" t="s">
        <v>87</v>
      </c>
      <c r="E15474" s="16" t="str">
        <f>IFERROR(__xludf.DUMMYFUNCTION("""COMPUTED_VALUE"""),"")</f>
        <v/>
      </c>
      <c r="G15474" s="18"/>
      <c r="H15474" s="16" t="s">
        <v>87</v>
      </c>
      <c r="I15474" s="16" t="s">
        <v>87</v>
      </c>
      <c r="J15474" s="19"/>
      <c r="L15474" s="16" t="str">
        <f>IFERROR(__xludf.DUMMYFUNCTION("""COMPUTED_VALUE"""),"")</f>
        <v/>
      </c>
      <c r="M15474" s="16" t="str">
        <f>IFERROR(__xludf.DUMMYFUNCTION("""COMPUTED_VALUE"""),"")</f>
        <v/>
      </c>
      <c r="U15474" s="16" t="s">
        <v>87</v>
      </c>
      <c r="V15474" s="16" t="str">
        <f>IFERROR(__xludf.DUMMYFUNCTION("""COMPUTED_VALUE"""),"")</f>
        <v/>
      </c>
      <c r="W15474" s="16" t="str">
        <f>IFERROR(__xludf.DUMMYFUNCTION("""COMPUTED_VALUE"""),"")</f>
        <v/>
      </c>
      <c r="X15474" s="16" t="str">
        <f>IFERROR(__xludf.DUMMYFUNCTION("""COMPUTED_VALUE"""),"")</f>
        <v/>
      </c>
      <c r="AC15474" s="16" t="str">
        <f>IFERROR(__xludf.DUMMYFUNCTION("""COMPUTED_VALUE"""),"")</f>
        <v/>
      </c>
    </row>
    <row r="15475">
      <c r="A15475" s="16" t="s">
        <v>87</v>
      </c>
      <c r="E15475" s="16" t="str">
        <f>IFERROR(__xludf.DUMMYFUNCTION("""COMPUTED_VALUE"""),"")</f>
        <v/>
      </c>
      <c r="G15475" s="18"/>
      <c r="H15475" s="16" t="s">
        <v>87</v>
      </c>
      <c r="I15475" s="16" t="s">
        <v>87</v>
      </c>
      <c r="J15475" s="19"/>
      <c r="L15475" s="16" t="str">
        <f>IFERROR(__xludf.DUMMYFUNCTION("""COMPUTED_VALUE"""),"")</f>
        <v/>
      </c>
      <c r="M15475" s="16" t="str">
        <f>IFERROR(__xludf.DUMMYFUNCTION("""COMPUTED_VALUE"""),"")</f>
        <v/>
      </c>
      <c r="U15475" s="16" t="s">
        <v>87</v>
      </c>
      <c r="V15475" s="16" t="str">
        <f>IFERROR(__xludf.DUMMYFUNCTION("""COMPUTED_VALUE"""),"")</f>
        <v/>
      </c>
      <c r="W15475" s="16" t="str">
        <f>IFERROR(__xludf.DUMMYFUNCTION("""COMPUTED_VALUE"""),"")</f>
        <v/>
      </c>
      <c r="X15475" s="16" t="str">
        <f>IFERROR(__xludf.DUMMYFUNCTION("""COMPUTED_VALUE"""),"")</f>
        <v/>
      </c>
      <c r="AC15475" s="16" t="str">
        <f>IFERROR(__xludf.DUMMYFUNCTION("""COMPUTED_VALUE"""),"")</f>
        <v/>
      </c>
    </row>
    <row r="15476">
      <c r="A15476" s="16" t="s">
        <v>87</v>
      </c>
      <c r="E15476" s="16" t="str">
        <f>IFERROR(__xludf.DUMMYFUNCTION("""COMPUTED_VALUE"""),"")</f>
        <v/>
      </c>
      <c r="G15476" s="18"/>
      <c r="H15476" s="16" t="s">
        <v>87</v>
      </c>
      <c r="I15476" s="16" t="s">
        <v>87</v>
      </c>
      <c r="J15476" s="19"/>
      <c r="L15476" s="16" t="str">
        <f>IFERROR(__xludf.DUMMYFUNCTION("""COMPUTED_VALUE"""),"")</f>
        <v/>
      </c>
      <c r="M15476" s="16" t="str">
        <f>IFERROR(__xludf.DUMMYFUNCTION("""COMPUTED_VALUE"""),"")</f>
        <v/>
      </c>
      <c r="U15476" s="16" t="s">
        <v>87</v>
      </c>
      <c r="V15476" s="16" t="str">
        <f>IFERROR(__xludf.DUMMYFUNCTION("""COMPUTED_VALUE"""),"")</f>
        <v/>
      </c>
      <c r="W15476" s="16" t="str">
        <f>IFERROR(__xludf.DUMMYFUNCTION("""COMPUTED_VALUE"""),"")</f>
        <v/>
      </c>
      <c r="X15476" s="16" t="str">
        <f>IFERROR(__xludf.DUMMYFUNCTION("""COMPUTED_VALUE"""),"")</f>
        <v/>
      </c>
      <c r="AC15476" s="16" t="str">
        <f>IFERROR(__xludf.DUMMYFUNCTION("""COMPUTED_VALUE"""),"")</f>
        <v/>
      </c>
    </row>
    <row r="15477">
      <c r="A15477" s="16" t="s">
        <v>87</v>
      </c>
      <c r="E15477" s="16" t="str">
        <f>IFERROR(__xludf.DUMMYFUNCTION("""COMPUTED_VALUE"""),"")</f>
        <v/>
      </c>
      <c r="G15477" s="18"/>
      <c r="H15477" s="16" t="s">
        <v>87</v>
      </c>
      <c r="I15477" s="16" t="s">
        <v>87</v>
      </c>
      <c r="J15477" s="19"/>
      <c r="L15477" s="16" t="str">
        <f>IFERROR(__xludf.DUMMYFUNCTION("""COMPUTED_VALUE"""),"")</f>
        <v/>
      </c>
      <c r="M15477" s="16" t="str">
        <f>IFERROR(__xludf.DUMMYFUNCTION("""COMPUTED_VALUE"""),"")</f>
        <v/>
      </c>
      <c r="U15477" s="16" t="s">
        <v>87</v>
      </c>
      <c r="V15477" s="16" t="str">
        <f>IFERROR(__xludf.DUMMYFUNCTION("""COMPUTED_VALUE"""),"")</f>
        <v/>
      </c>
      <c r="W15477" s="16" t="str">
        <f>IFERROR(__xludf.DUMMYFUNCTION("""COMPUTED_VALUE"""),"")</f>
        <v/>
      </c>
      <c r="X15477" s="16" t="str">
        <f>IFERROR(__xludf.DUMMYFUNCTION("""COMPUTED_VALUE"""),"")</f>
        <v/>
      </c>
      <c r="AC15477" s="16" t="str">
        <f>IFERROR(__xludf.DUMMYFUNCTION("""COMPUTED_VALUE"""),"")</f>
        <v/>
      </c>
    </row>
    <row r="15478">
      <c r="A15478" s="16" t="s">
        <v>87</v>
      </c>
      <c r="E15478" s="16" t="str">
        <f>IFERROR(__xludf.DUMMYFUNCTION("""COMPUTED_VALUE"""),"")</f>
        <v/>
      </c>
      <c r="G15478" s="18"/>
      <c r="H15478" s="16" t="s">
        <v>87</v>
      </c>
      <c r="I15478" s="16" t="s">
        <v>87</v>
      </c>
      <c r="J15478" s="19"/>
      <c r="L15478" s="16" t="str">
        <f>IFERROR(__xludf.DUMMYFUNCTION("""COMPUTED_VALUE"""),"")</f>
        <v/>
      </c>
      <c r="M15478" s="16" t="str">
        <f>IFERROR(__xludf.DUMMYFUNCTION("""COMPUTED_VALUE"""),"")</f>
        <v/>
      </c>
      <c r="U15478" s="16" t="s">
        <v>87</v>
      </c>
      <c r="V15478" s="16" t="str">
        <f>IFERROR(__xludf.DUMMYFUNCTION("""COMPUTED_VALUE"""),"")</f>
        <v/>
      </c>
      <c r="W15478" s="16" t="str">
        <f>IFERROR(__xludf.DUMMYFUNCTION("""COMPUTED_VALUE"""),"")</f>
        <v/>
      </c>
      <c r="X15478" s="16" t="str">
        <f>IFERROR(__xludf.DUMMYFUNCTION("""COMPUTED_VALUE"""),"")</f>
        <v/>
      </c>
      <c r="AC15478" s="16" t="str">
        <f>IFERROR(__xludf.DUMMYFUNCTION("""COMPUTED_VALUE"""),"")</f>
        <v/>
      </c>
    </row>
    <row r="15479">
      <c r="A15479" s="16" t="s">
        <v>87</v>
      </c>
      <c r="E15479" s="16" t="str">
        <f>IFERROR(__xludf.DUMMYFUNCTION("""COMPUTED_VALUE"""),"")</f>
        <v/>
      </c>
      <c r="G15479" s="18"/>
      <c r="H15479" s="16" t="s">
        <v>87</v>
      </c>
      <c r="I15479" s="16" t="s">
        <v>87</v>
      </c>
      <c r="J15479" s="19"/>
      <c r="L15479" s="16" t="str">
        <f>IFERROR(__xludf.DUMMYFUNCTION("""COMPUTED_VALUE"""),"")</f>
        <v/>
      </c>
      <c r="M15479" s="16" t="str">
        <f>IFERROR(__xludf.DUMMYFUNCTION("""COMPUTED_VALUE"""),"")</f>
        <v/>
      </c>
      <c r="U15479" s="16" t="s">
        <v>87</v>
      </c>
      <c r="V15479" s="16" t="str">
        <f>IFERROR(__xludf.DUMMYFUNCTION("""COMPUTED_VALUE"""),"")</f>
        <v/>
      </c>
      <c r="W15479" s="16" t="str">
        <f>IFERROR(__xludf.DUMMYFUNCTION("""COMPUTED_VALUE"""),"")</f>
        <v/>
      </c>
      <c r="X15479" s="16" t="str">
        <f>IFERROR(__xludf.DUMMYFUNCTION("""COMPUTED_VALUE"""),"")</f>
        <v/>
      </c>
      <c r="AC15479" s="16" t="str">
        <f>IFERROR(__xludf.DUMMYFUNCTION("""COMPUTED_VALUE"""),"")</f>
        <v/>
      </c>
    </row>
    <row r="15480">
      <c r="A15480" s="16" t="s">
        <v>87</v>
      </c>
      <c r="E15480" s="16" t="str">
        <f>IFERROR(__xludf.DUMMYFUNCTION("""COMPUTED_VALUE"""),"")</f>
        <v/>
      </c>
      <c r="G15480" s="18"/>
      <c r="H15480" s="16" t="s">
        <v>87</v>
      </c>
      <c r="I15480" s="16" t="s">
        <v>87</v>
      </c>
      <c r="J15480" s="19"/>
      <c r="L15480" s="16" t="str">
        <f>IFERROR(__xludf.DUMMYFUNCTION("""COMPUTED_VALUE"""),"")</f>
        <v/>
      </c>
      <c r="M15480" s="16" t="str">
        <f>IFERROR(__xludf.DUMMYFUNCTION("""COMPUTED_VALUE"""),"")</f>
        <v/>
      </c>
      <c r="U15480" s="16" t="s">
        <v>87</v>
      </c>
      <c r="V15480" s="16" t="str">
        <f>IFERROR(__xludf.DUMMYFUNCTION("""COMPUTED_VALUE"""),"")</f>
        <v/>
      </c>
      <c r="W15480" s="16" t="str">
        <f>IFERROR(__xludf.DUMMYFUNCTION("""COMPUTED_VALUE"""),"")</f>
        <v/>
      </c>
      <c r="X15480" s="16" t="str">
        <f>IFERROR(__xludf.DUMMYFUNCTION("""COMPUTED_VALUE"""),"")</f>
        <v/>
      </c>
      <c r="AC15480" s="16" t="str">
        <f>IFERROR(__xludf.DUMMYFUNCTION("""COMPUTED_VALUE"""),"")</f>
        <v/>
      </c>
    </row>
    <row r="15481">
      <c r="A15481" s="16" t="s">
        <v>87</v>
      </c>
      <c r="E15481" s="16" t="str">
        <f>IFERROR(__xludf.DUMMYFUNCTION("""COMPUTED_VALUE"""),"")</f>
        <v/>
      </c>
      <c r="G15481" s="18"/>
      <c r="H15481" s="16" t="s">
        <v>87</v>
      </c>
      <c r="I15481" s="16" t="s">
        <v>87</v>
      </c>
      <c r="J15481" s="19"/>
      <c r="L15481" s="16" t="str">
        <f>IFERROR(__xludf.DUMMYFUNCTION("""COMPUTED_VALUE"""),"")</f>
        <v/>
      </c>
      <c r="M15481" s="16" t="str">
        <f>IFERROR(__xludf.DUMMYFUNCTION("""COMPUTED_VALUE"""),"")</f>
        <v/>
      </c>
      <c r="U15481" s="16" t="s">
        <v>87</v>
      </c>
      <c r="V15481" s="16" t="str">
        <f>IFERROR(__xludf.DUMMYFUNCTION("""COMPUTED_VALUE"""),"")</f>
        <v/>
      </c>
      <c r="W15481" s="16" t="str">
        <f>IFERROR(__xludf.DUMMYFUNCTION("""COMPUTED_VALUE"""),"")</f>
        <v/>
      </c>
      <c r="X15481" s="16" t="str">
        <f>IFERROR(__xludf.DUMMYFUNCTION("""COMPUTED_VALUE"""),"")</f>
        <v/>
      </c>
      <c r="AC15481" s="16" t="str">
        <f>IFERROR(__xludf.DUMMYFUNCTION("""COMPUTED_VALUE"""),"")</f>
        <v/>
      </c>
    </row>
    <row r="15482">
      <c r="A15482" s="16" t="s">
        <v>87</v>
      </c>
      <c r="E15482" s="16" t="str">
        <f>IFERROR(__xludf.DUMMYFUNCTION("""COMPUTED_VALUE"""),"")</f>
        <v/>
      </c>
      <c r="G15482" s="18"/>
      <c r="H15482" s="16" t="s">
        <v>87</v>
      </c>
      <c r="I15482" s="16" t="s">
        <v>87</v>
      </c>
      <c r="J15482" s="19"/>
      <c r="L15482" s="16" t="str">
        <f>IFERROR(__xludf.DUMMYFUNCTION("""COMPUTED_VALUE"""),"")</f>
        <v/>
      </c>
      <c r="M15482" s="16" t="str">
        <f>IFERROR(__xludf.DUMMYFUNCTION("""COMPUTED_VALUE"""),"")</f>
        <v/>
      </c>
      <c r="U15482" s="16" t="s">
        <v>87</v>
      </c>
      <c r="V15482" s="16" t="str">
        <f>IFERROR(__xludf.DUMMYFUNCTION("""COMPUTED_VALUE"""),"")</f>
        <v/>
      </c>
      <c r="W15482" s="16" t="str">
        <f>IFERROR(__xludf.DUMMYFUNCTION("""COMPUTED_VALUE"""),"")</f>
        <v/>
      </c>
      <c r="X15482" s="16" t="str">
        <f>IFERROR(__xludf.DUMMYFUNCTION("""COMPUTED_VALUE"""),"")</f>
        <v/>
      </c>
      <c r="AC15482" s="16" t="str">
        <f>IFERROR(__xludf.DUMMYFUNCTION("""COMPUTED_VALUE"""),"")</f>
        <v/>
      </c>
    </row>
    <row r="15483">
      <c r="A15483" s="16" t="s">
        <v>87</v>
      </c>
      <c r="E15483" s="16" t="str">
        <f>IFERROR(__xludf.DUMMYFUNCTION("""COMPUTED_VALUE"""),"")</f>
        <v/>
      </c>
      <c r="G15483" s="18"/>
      <c r="H15483" s="16" t="s">
        <v>87</v>
      </c>
      <c r="I15483" s="16" t="s">
        <v>87</v>
      </c>
      <c r="J15483" s="19"/>
      <c r="L15483" s="16" t="str">
        <f>IFERROR(__xludf.DUMMYFUNCTION("""COMPUTED_VALUE"""),"")</f>
        <v/>
      </c>
      <c r="M15483" s="16" t="str">
        <f>IFERROR(__xludf.DUMMYFUNCTION("""COMPUTED_VALUE"""),"")</f>
        <v/>
      </c>
      <c r="U15483" s="16" t="s">
        <v>87</v>
      </c>
      <c r="V15483" s="16" t="str">
        <f>IFERROR(__xludf.DUMMYFUNCTION("""COMPUTED_VALUE"""),"")</f>
        <v/>
      </c>
      <c r="W15483" s="16" t="str">
        <f>IFERROR(__xludf.DUMMYFUNCTION("""COMPUTED_VALUE"""),"")</f>
        <v/>
      </c>
      <c r="X15483" s="16" t="str">
        <f>IFERROR(__xludf.DUMMYFUNCTION("""COMPUTED_VALUE"""),"")</f>
        <v/>
      </c>
      <c r="AC15483" s="16" t="str">
        <f>IFERROR(__xludf.DUMMYFUNCTION("""COMPUTED_VALUE"""),"")</f>
        <v/>
      </c>
    </row>
    <row r="15484">
      <c r="A15484" s="16" t="s">
        <v>87</v>
      </c>
      <c r="E15484" s="16" t="str">
        <f>IFERROR(__xludf.DUMMYFUNCTION("""COMPUTED_VALUE"""),"")</f>
        <v/>
      </c>
      <c r="G15484" s="18"/>
      <c r="H15484" s="16" t="s">
        <v>87</v>
      </c>
      <c r="I15484" s="16" t="s">
        <v>87</v>
      </c>
      <c r="J15484" s="19"/>
      <c r="L15484" s="16" t="str">
        <f>IFERROR(__xludf.DUMMYFUNCTION("""COMPUTED_VALUE"""),"")</f>
        <v/>
      </c>
      <c r="M15484" s="16" t="str">
        <f>IFERROR(__xludf.DUMMYFUNCTION("""COMPUTED_VALUE"""),"")</f>
        <v/>
      </c>
      <c r="U15484" s="16" t="s">
        <v>87</v>
      </c>
      <c r="V15484" s="16" t="str">
        <f>IFERROR(__xludf.DUMMYFUNCTION("""COMPUTED_VALUE"""),"")</f>
        <v/>
      </c>
      <c r="W15484" s="16" t="str">
        <f>IFERROR(__xludf.DUMMYFUNCTION("""COMPUTED_VALUE"""),"")</f>
        <v/>
      </c>
      <c r="X15484" s="16" t="str">
        <f>IFERROR(__xludf.DUMMYFUNCTION("""COMPUTED_VALUE"""),"")</f>
        <v/>
      </c>
      <c r="AC15484" s="16" t="str">
        <f>IFERROR(__xludf.DUMMYFUNCTION("""COMPUTED_VALUE"""),"")</f>
        <v/>
      </c>
    </row>
    <row r="15485">
      <c r="A15485" s="16" t="s">
        <v>87</v>
      </c>
      <c r="E15485" s="16" t="str">
        <f>IFERROR(__xludf.DUMMYFUNCTION("""COMPUTED_VALUE"""),"")</f>
        <v/>
      </c>
      <c r="G15485" s="18"/>
      <c r="H15485" s="16" t="s">
        <v>87</v>
      </c>
      <c r="I15485" s="16" t="s">
        <v>87</v>
      </c>
      <c r="J15485" s="19"/>
      <c r="L15485" s="16" t="str">
        <f>IFERROR(__xludf.DUMMYFUNCTION("""COMPUTED_VALUE"""),"")</f>
        <v/>
      </c>
      <c r="M15485" s="16" t="str">
        <f>IFERROR(__xludf.DUMMYFUNCTION("""COMPUTED_VALUE"""),"")</f>
        <v/>
      </c>
      <c r="U15485" s="16" t="s">
        <v>87</v>
      </c>
      <c r="V15485" s="16" t="str">
        <f>IFERROR(__xludf.DUMMYFUNCTION("""COMPUTED_VALUE"""),"")</f>
        <v/>
      </c>
      <c r="W15485" s="16" t="str">
        <f>IFERROR(__xludf.DUMMYFUNCTION("""COMPUTED_VALUE"""),"")</f>
        <v/>
      </c>
      <c r="X15485" s="16" t="str">
        <f>IFERROR(__xludf.DUMMYFUNCTION("""COMPUTED_VALUE"""),"")</f>
        <v/>
      </c>
      <c r="AC15485" s="16" t="str">
        <f>IFERROR(__xludf.DUMMYFUNCTION("""COMPUTED_VALUE"""),"")</f>
        <v/>
      </c>
    </row>
    <row r="15486">
      <c r="A15486" s="16" t="s">
        <v>87</v>
      </c>
      <c r="E15486" s="16" t="str">
        <f>IFERROR(__xludf.DUMMYFUNCTION("""COMPUTED_VALUE"""),"")</f>
        <v/>
      </c>
      <c r="G15486" s="18"/>
      <c r="H15486" s="16" t="s">
        <v>87</v>
      </c>
      <c r="I15486" s="16" t="s">
        <v>87</v>
      </c>
      <c r="J15486" s="19"/>
      <c r="L15486" s="16" t="str">
        <f>IFERROR(__xludf.DUMMYFUNCTION("""COMPUTED_VALUE"""),"")</f>
        <v/>
      </c>
      <c r="M15486" s="16" t="str">
        <f>IFERROR(__xludf.DUMMYFUNCTION("""COMPUTED_VALUE"""),"")</f>
        <v/>
      </c>
      <c r="U15486" s="16" t="s">
        <v>87</v>
      </c>
      <c r="V15486" s="16" t="str">
        <f>IFERROR(__xludf.DUMMYFUNCTION("""COMPUTED_VALUE"""),"")</f>
        <v/>
      </c>
      <c r="W15486" s="16" t="str">
        <f>IFERROR(__xludf.DUMMYFUNCTION("""COMPUTED_VALUE"""),"")</f>
        <v/>
      </c>
      <c r="X15486" s="16" t="str">
        <f>IFERROR(__xludf.DUMMYFUNCTION("""COMPUTED_VALUE"""),"")</f>
        <v/>
      </c>
      <c r="AC15486" s="16" t="str">
        <f>IFERROR(__xludf.DUMMYFUNCTION("""COMPUTED_VALUE"""),"")</f>
        <v/>
      </c>
    </row>
    <row r="15487">
      <c r="A15487" s="16" t="s">
        <v>87</v>
      </c>
      <c r="E15487" s="16" t="str">
        <f>IFERROR(__xludf.DUMMYFUNCTION("""COMPUTED_VALUE"""),"")</f>
        <v/>
      </c>
      <c r="G15487" s="18"/>
      <c r="H15487" s="16" t="s">
        <v>87</v>
      </c>
      <c r="I15487" s="16" t="s">
        <v>87</v>
      </c>
      <c r="J15487" s="19"/>
      <c r="L15487" s="16" t="str">
        <f>IFERROR(__xludf.DUMMYFUNCTION("""COMPUTED_VALUE"""),"")</f>
        <v/>
      </c>
      <c r="M15487" s="16" t="str">
        <f>IFERROR(__xludf.DUMMYFUNCTION("""COMPUTED_VALUE"""),"")</f>
        <v/>
      </c>
      <c r="U15487" s="16" t="s">
        <v>87</v>
      </c>
      <c r="V15487" s="16" t="str">
        <f>IFERROR(__xludf.DUMMYFUNCTION("""COMPUTED_VALUE"""),"")</f>
        <v/>
      </c>
      <c r="W15487" s="16" t="str">
        <f>IFERROR(__xludf.DUMMYFUNCTION("""COMPUTED_VALUE"""),"")</f>
        <v/>
      </c>
      <c r="X15487" s="16" t="str">
        <f>IFERROR(__xludf.DUMMYFUNCTION("""COMPUTED_VALUE"""),"")</f>
        <v/>
      </c>
      <c r="AC15487" s="16" t="str">
        <f>IFERROR(__xludf.DUMMYFUNCTION("""COMPUTED_VALUE"""),"")</f>
        <v/>
      </c>
    </row>
    <row r="15488">
      <c r="A15488" s="16" t="s">
        <v>87</v>
      </c>
      <c r="E15488" s="16" t="str">
        <f>IFERROR(__xludf.DUMMYFUNCTION("""COMPUTED_VALUE"""),"")</f>
        <v/>
      </c>
      <c r="G15488" s="18"/>
      <c r="H15488" s="16" t="s">
        <v>87</v>
      </c>
      <c r="I15488" s="16" t="s">
        <v>87</v>
      </c>
      <c r="J15488" s="19"/>
      <c r="L15488" s="16" t="str">
        <f>IFERROR(__xludf.DUMMYFUNCTION("""COMPUTED_VALUE"""),"")</f>
        <v/>
      </c>
      <c r="M15488" s="16" t="str">
        <f>IFERROR(__xludf.DUMMYFUNCTION("""COMPUTED_VALUE"""),"")</f>
        <v/>
      </c>
      <c r="U15488" s="16" t="s">
        <v>87</v>
      </c>
      <c r="V15488" s="16" t="str">
        <f>IFERROR(__xludf.DUMMYFUNCTION("""COMPUTED_VALUE"""),"")</f>
        <v/>
      </c>
      <c r="W15488" s="16" t="str">
        <f>IFERROR(__xludf.DUMMYFUNCTION("""COMPUTED_VALUE"""),"")</f>
        <v/>
      </c>
      <c r="X15488" s="16" t="str">
        <f>IFERROR(__xludf.DUMMYFUNCTION("""COMPUTED_VALUE"""),"")</f>
        <v/>
      </c>
      <c r="AC15488" s="16" t="str">
        <f>IFERROR(__xludf.DUMMYFUNCTION("""COMPUTED_VALUE"""),"")</f>
        <v/>
      </c>
    </row>
    <row r="15489">
      <c r="A15489" s="16" t="s">
        <v>87</v>
      </c>
      <c r="E15489" s="16" t="str">
        <f>IFERROR(__xludf.DUMMYFUNCTION("""COMPUTED_VALUE"""),"")</f>
        <v/>
      </c>
      <c r="G15489" s="18"/>
      <c r="H15489" s="16" t="s">
        <v>87</v>
      </c>
      <c r="I15489" s="16" t="s">
        <v>87</v>
      </c>
      <c r="J15489" s="19"/>
      <c r="L15489" s="16" t="str">
        <f>IFERROR(__xludf.DUMMYFUNCTION("""COMPUTED_VALUE"""),"")</f>
        <v/>
      </c>
      <c r="M15489" s="16" t="str">
        <f>IFERROR(__xludf.DUMMYFUNCTION("""COMPUTED_VALUE"""),"")</f>
        <v/>
      </c>
      <c r="U15489" s="16" t="s">
        <v>87</v>
      </c>
      <c r="V15489" s="16" t="str">
        <f>IFERROR(__xludf.DUMMYFUNCTION("""COMPUTED_VALUE"""),"")</f>
        <v/>
      </c>
      <c r="W15489" s="16" t="str">
        <f>IFERROR(__xludf.DUMMYFUNCTION("""COMPUTED_VALUE"""),"")</f>
        <v/>
      </c>
      <c r="X15489" s="16" t="str">
        <f>IFERROR(__xludf.DUMMYFUNCTION("""COMPUTED_VALUE"""),"")</f>
        <v/>
      </c>
      <c r="AC15489" s="16" t="str">
        <f>IFERROR(__xludf.DUMMYFUNCTION("""COMPUTED_VALUE"""),"")</f>
        <v/>
      </c>
    </row>
    <row r="15490">
      <c r="A15490" s="16" t="s">
        <v>87</v>
      </c>
      <c r="E15490" s="16" t="str">
        <f>IFERROR(__xludf.DUMMYFUNCTION("""COMPUTED_VALUE"""),"")</f>
        <v/>
      </c>
      <c r="G15490" s="18"/>
      <c r="H15490" s="16" t="s">
        <v>87</v>
      </c>
      <c r="I15490" s="16" t="s">
        <v>87</v>
      </c>
      <c r="J15490" s="19"/>
      <c r="L15490" s="16" t="str">
        <f>IFERROR(__xludf.DUMMYFUNCTION("""COMPUTED_VALUE"""),"")</f>
        <v/>
      </c>
      <c r="M15490" s="16" t="str">
        <f>IFERROR(__xludf.DUMMYFUNCTION("""COMPUTED_VALUE"""),"")</f>
        <v/>
      </c>
      <c r="U15490" s="16" t="s">
        <v>87</v>
      </c>
      <c r="V15490" s="16" t="str">
        <f>IFERROR(__xludf.DUMMYFUNCTION("""COMPUTED_VALUE"""),"")</f>
        <v/>
      </c>
      <c r="W15490" s="16" t="str">
        <f>IFERROR(__xludf.DUMMYFUNCTION("""COMPUTED_VALUE"""),"")</f>
        <v/>
      </c>
      <c r="X15490" s="16" t="str">
        <f>IFERROR(__xludf.DUMMYFUNCTION("""COMPUTED_VALUE"""),"")</f>
        <v/>
      </c>
      <c r="AC15490" s="16" t="str">
        <f>IFERROR(__xludf.DUMMYFUNCTION("""COMPUTED_VALUE"""),"")</f>
        <v/>
      </c>
    </row>
    <row r="15491">
      <c r="A15491" s="16" t="s">
        <v>87</v>
      </c>
      <c r="E15491" s="16" t="str">
        <f>IFERROR(__xludf.DUMMYFUNCTION("""COMPUTED_VALUE"""),"")</f>
        <v/>
      </c>
      <c r="G15491" s="18"/>
      <c r="H15491" s="16" t="s">
        <v>87</v>
      </c>
      <c r="I15491" s="16" t="s">
        <v>87</v>
      </c>
      <c r="J15491" s="19"/>
      <c r="L15491" s="16" t="str">
        <f>IFERROR(__xludf.DUMMYFUNCTION("""COMPUTED_VALUE"""),"")</f>
        <v/>
      </c>
      <c r="M15491" s="16" t="str">
        <f>IFERROR(__xludf.DUMMYFUNCTION("""COMPUTED_VALUE"""),"")</f>
        <v/>
      </c>
      <c r="U15491" s="16" t="s">
        <v>87</v>
      </c>
      <c r="V15491" s="16" t="str">
        <f>IFERROR(__xludf.DUMMYFUNCTION("""COMPUTED_VALUE"""),"")</f>
        <v/>
      </c>
      <c r="W15491" s="16" t="str">
        <f>IFERROR(__xludf.DUMMYFUNCTION("""COMPUTED_VALUE"""),"")</f>
        <v/>
      </c>
      <c r="X15491" s="16" t="str">
        <f>IFERROR(__xludf.DUMMYFUNCTION("""COMPUTED_VALUE"""),"")</f>
        <v/>
      </c>
      <c r="AC15491" s="16" t="str">
        <f>IFERROR(__xludf.DUMMYFUNCTION("""COMPUTED_VALUE"""),"")</f>
        <v/>
      </c>
    </row>
    <row r="15492">
      <c r="A15492" s="16" t="s">
        <v>87</v>
      </c>
      <c r="E15492" s="16" t="str">
        <f>IFERROR(__xludf.DUMMYFUNCTION("""COMPUTED_VALUE"""),"")</f>
        <v/>
      </c>
      <c r="G15492" s="18"/>
      <c r="H15492" s="16" t="s">
        <v>87</v>
      </c>
      <c r="I15492" s="16" t="s">
        <v>87</v>
      </c>
      <c r="J15492" s="19"/>
      <c r="L15492" s="16" t="str">
        <f>IFERROR(__xludf.DUMMYFUNCTION("""COMPUTED_VALUE"""),"")</f>
        <v/>
      </c>
      <c r="M15492" s="16" t="str">
        <f>IFERROR(__xludf.DUMMYFUNCTION("""COMPUTED_VALUE"""),"")</f>
        <v/>
      </c>
      <c r="U15492" s="16" t="s">
        <v>87</v>
      </c>
      <c r="V15492" s="16" t="str">
        <f>IFERROR(__xludf.DUMMYFUNCTION("""COMPUTED_VALUE"""),"")</f>
        <v/>
      </c>
      <c r="W15492" s="16" t="str">
        <f>IFERROR(__xludf.DUMMYFUNCTION("""COMPUTED_VALUE"""),"")</f>
        <v/>
      </c>
      <c r="X15492" s="16" t="str">
        <f>IFERROR(__xludf.DUMMYFUNCTION("""COMPUTED_VALUE"""),"")</f>
        <v/>
      </c>
      <c r="AC15492" s="16" t="str">
        <f>IFERROR(__xludf.DUMMYFUNCTION("""COMPUTED_VALUE"""),"")</f>
        <v/>
      </c>
    </row>
    <row r="15493">
      <c r="A15493" s="16" t="s">
        <v>87</v>
      </c>
      <c r="E15493" s="16" t="str">
        <f>IFERROR(__xludf.DUMMYFUNCTION("""COMPUTED_VALUE"""),"")</f>
        <v/>
      </c>
      <c r="G15493" s="18"/>
      <c r="H15493" s="16" t="s">
        <v>87</v>
      </c>
      <c r="I15493" s="16" t="s">
        <v>87</v>
      </c>
      <c r="J15493" s="19"/>
      <c r="L15493" s="16" t="str">
        <f>IFERROR(__xludf.DUMMYFUNCTION("""COMPUTED_VALUE"""),"")</f>
        <v/>
      </c>
      <c r="M15493" s="16" t="str">
        <f>IFERROR(__xludf.DUMMYFUNCTION("""COMPUTED_VALUE"""),"")</f>
        <v/>
      </c>
      <c r="U15493" s="16" t="s">
        <v>87</v>
      </c>
      <c r="V15493" s="16" t="str">
        <f>IFERROR(__xludf.DUMMYFUNCTION("""COMPUTED_VALUE"""),"")</f>
        <v/>
      </c>
      <c r="W15493" s="16" t="str">
        <f>IFERROR(__xludf.DUMMYFUNCTION("""COMPUTED_VALUE"""),"")</f>
        <v/>
      </c>
      <c r="X15493" s="16" t="str">
        <f>IFERROR(__xludf.DUMMYFUNCTION("""COMPUTED_VALUE"""),"")</f>
        <v/>
      </c>
      <c r="AC15493" s="16" t="str">
        <f>IFERROR(__xludf.DUMMYFUNCTION("""COMPUTED_VALUE"""),"")</f>
        <v/>
      </c>
    </row>
    <row r="15494">
      <c r="A15494" s="16" t="s">
        <v>87</v>
      </c>
      <c r="E15494" s="16" t="str">
        <f>IFERROR(__xludf.DUMMYFUNCTION("""COMPUTED_VALUE"""),"")</f>
        <v/>
      </c>
      <c r="G15494" s="18"/>
      <c r="H15494" s="16" t="s">
        <v>87</v>
      </c>
      <c r="I15494" s="16" t="s">
        <v>87</v>
      </c>
      <c r="J15494" s="19"/>
      <c r="L15494" s="16" t="str">
        <f>IFERROR(__xludf.DUMMYFUNCTION("""COMPUTED_VALUE"""),"")</f>
        <v/>
      </c>
      <c r="M15494" s="16" t="str">
        <f>IFERROR(__xludf.DUMMYFUNCTION("""COMPUTED_VALUE"""),"")</f>
        <v/>
      </c>
      <c r="U15494" s="16" t="s">
        <v>87</v>
      </c>
      <c r="V15494" s="16" t="str">
        <f>IFERROR(__xludf.DUMMYFUNCTION("""COMPUTED_VALUE"""),"")</f>
        <v/>
      </c>
      <c r="W15494" s="16" t="str">
        <f>IFERROR(__xludf.DUMMYFUNCTION("""COMPUTED_VALUE"""),"")</f>
        <v/>
      </c>
      <c r="X15494" s="16" t="str">
        <f>IFERROR(__xludf.DUMMYFUNCTION("""COMPUTED_VALUE"""),"")</f>
        <v/>
      </c>
      <c r="AC15494" s="16" t="str">
        <f>IFERROR(__xludf.DUMMYFUNCTION("""COMPUTED_VALUE"""),"")</f>
        <v/>
      </c>
    </row>
    <row r="15495">
      <c r="A15495" s="16" t="s">
        <v>87</v>
      </c>
      <c r="E15495" s="16" t="str">
        <f>IFERROR(__xludf.DUMMYFUNCTION("""COMPUTED_VALUE"""),"")</f>
        <v/>
      </c>
      <c r="G15495" s="18"/>
      <c r="H15495" s="16" t="s">
        <v>87</v>
      </c>
      <c r="I15495" s="16" t="s">
        <v>87</v>
      </c>
      <c r="J15495" s="19"/>
      <c r="L15495" s="16" t="str">
        <f>IFERROR(__xludf.DUMMYFUNCTION("""COMPUTED_VALUE"""),"")</f>
        <v/>
      </c>
      <c r="M15495" s="16" t="str">
        <f>IFERROR(__xludf.DUMMYFUNCTION("""COMPUTED_VALUE"""),"")</f>
        <v/>
      </c>
      <c r="U15495" s="16" t="s">
        <v>87</v>
      </c>
      <c r="V15495" s="16" t="str">
        <f>IFERROR(__xludf.DUMMYFUNCTION("""COMPUTED_VALUE"""),"")</f>
        <v/>
      </c>
      <c r="W15495" s="16" t="str">
        <f>IFERROR(__xludf.DUMMYFUNCTION("""COMPUTED_VALUE"""),"")</f>
        <v/>
      </c>
      <c r="X15495" s="16" t="str">
        <f>IFERROR(__xludf.DUMMYFUNCTION("""COMPUTED_VALUE"""),"")</f>
        <v/>
      </c>
      <c r="AC15495" s="16" t="str">
        <f>IFERROR(__xludf.DUMMYFUNCTION("""COMPUTED_VALUE"""),"")</f>
        <v/>
      </c>
    </row>
    <row r="15496">
      <c r="A15496" s="16" t="s">
        <v>87</v>
      </c>
      <c r="E15496" s="16" t="str">
        <f>IFERROR(__xludf.DUMMYFUNCTION("""COMPUTED_VALUE"""),"")</f>
        <v/>
      </c>
      <c r="G15496" s="18"/>
      <c r="H15496" s="16" t="s">
        <v>87</v>
      </c>
      <c r="I15496" s="16" t="s">
        <v>87</v>
      </c>
      <c r="J15496" s="19"/>
      <c r="L15496" s="16" t="str">
        <f>IFERROR(__xludf.DUMMYFUNCTION("""COMPUTED_VALUE"""),"")</f>
        <v/>
      </c>
      <c r="M15496" s="16" t="str">
        <f>IFERROR(__xludf.DUMMYFUNCTION("""COMPUTED_VALUE"""),"")</f>
        <v/>
      </c>
      <c r="U15496" s="16" t="s">
        <v>87</v>
      </c>
      <c r="V15496" s="16" t="str">
        <f>IFERROR(__xludf.DUMMYFUNCTION("""COMPUTED_VALUE"""),"")</f>
        <v/>
      </c>
      <c r="W15496" s="16" t="str">
        <f>IFERROR(__xludf.DUMMYFUNCTION("""COMPUTED_VALUE"""),"")</f>
        <v/>
      </c>
      <c r="X15496" s="16" t="str">
        <f>IFERROR(__xludf.DUMMYFUNCTION("""COMPUTED_VALUE"""),"")</f>
        <v/>
      </c>
      <c r="AC15496" s="16" t="str">
        <f>IFERROR(__xludf.DUMMYFUNCTION("""COMPUTED_VALUE"""),"")</f>
        <v/>
      </c>
    </row>
    <row r="15497">
      <c r="A15497" s="16" t="s">
        <v>87</v>
      </c>
      <c r="E15497" s="16" t="str">
        <f>IFERROR(__xludf.DUMMYFUNCTION("""COMPUTED_VALUE"""),"")</f>
        <v/>
      </c>
      <c r="G15497" s="18"/>
      <c r="H15497" s="16" t="s">
        <v>87</v>
      </c>
      <c r="I15497" s="16" t="s">
        <v>87</v>
      </c>
      <c r="J15497" s="19"/>
      <c r="L15497" s="16" t="str">
        <f>IFERROR(__xludf.DUMMYFUNCTION("""COMPUTED_VALUE"""),"")</f>
        <v/>
      </c>
      <c r="M15497" s="16" t="str">
        <f>IFERROR(__xludf.DUMMYFUNCTION("""COMPUTED_VALUE"""),"")</f>
        <v/>
      </c>
      <c r="U15497" s="16" t="s">
        <v>87</v>
      </c>
      <c r="V15497" s="16" t="str">
        <f>IFERROR(__xludf.DUMMYFUNCTION("""COMPUTED_VALUE"""),"")</f>
        <v/>
      </c>
      <c r="W15497" s="16" t="str">
        <f>IFERROR(__xludf.DUMMYFUNCTION("""COMPUTED_VALUE"""),"")</f>
        <v/>
      </c>
      <c r="X15497" s="16" t="str">
        <f>IFERROR(__xludf.DUMMYFUNCTION("""COMPUTED_VALUE"""),"")</f>
        <v/>
      </c>
      <c r="AC15497" s="16" t="str">
        <f>IFERROR(__xludf.DUMMYFUNCTION("""COMPUTED_VALUE"""),"")</f>
        <v/>
      </c>
    </row>
    <row r="15498">
      <c r="A15498" s="16" t="s">
        <v>87</v>
      </c>
      <c r="E15498" s="16" t="str">
        <f>IFERROR(__xludf.DUMMYFUNCTION("""COMPUTED_VALUE"""),"")</f>
        <v/>
      </c>
      <c r="G15498" s="18"/>
      <c r="H15498" s="16" t="s">
        <v>87</v>
      </c>
      <c r="I15498" s="16" t="s">
        <v>87</v>
      </c>
      <c r="J15498" s="19"/>
      <c r="L15498" s="16" t="str">
        <f>IFERROR(__xludf.DUMMYFUNCTION("""COMPUTED_VALUE"""),"")</f>
        <v/>
      </c>
      <c r="M15498" s="16" t="str">
        <f>IFERROR(__xludf.DUMMYFUNCTION("""COMPUTED_VALUE"""),"")</f>
        <v/>
      </c>
      <c r="U15498" s="16" t="s">
        <v>87</v>
      </c>
      <c r="V15498" s="16" t="str">
        <f>IFERROR(__xludf.DUMMYFUNCTION("""COMPUTED_VALUE"""),"")</f>
        <v/>
      </c>
      <c r="W15498" s="16" t="str">
        <f>IFERROR(__xludf.DUMMYFUNCTION("""COMPUTED_VALUE"""),"")</f>
        <v/>
      </c>
      <c r="X15498" s="16" t="str">
        <f>IFERROR(__xludf.DUMMYFUNCTION("""COMPUTED_VALUE"""),"")</f>
        <v/>
      </c>
      <c r="AC15498" s="16" t="str">
        <f>IFERROR(__xludf.DUMMYFUNCTION("""COMPUTED_VALUE"""),"")</f>
        <v/>
      </c>
    </row>
    <row r="15499">
      <c r="A15499" s="16" t="s">
        <v>87</v>
      </c>
      <c r="E15499" s="16" t="str">
        <f>IFERROR(__xludf.DUMMYFUNCTION("""COMPUTED_VALUE"""),"")</f>
        <v/>
      </c>
      <c r="G15499" s="18"/>
      <c r="H15499" s="16" t="s">
        <v>87</v>
      </c>
      <c r="I15499" s="16" t="s">
        <v>87</v>
      </c>
      <c r="J15499" s="19"/>
      <c r="L15499" s="16" t="str">
        <f>IFERROR(__xludf.DUMMYFUNCTION("""COMPUTED_VALUE"""),"")</f>
        <v/>
      </c>
      <c r="M15499" s="16" t="str">
        <f>IFERROR(__xludf.DUMMYFUNCTION("""COMPUTED_VALUE"""),"")</f>
        <v/>
      </c>
      <c r="U15499" s="16" t="s">
        <v>87</v>
      </c>
      <c r="V15499" s="16" t="str">
        <f>IFERROR(__xludf.DUMMYFUNCTION("""COMPUTED_VALUE"""),"")</f>
        <v/>
      </c>
      <c r="W15499" s="16" t="str">
        <f>IFERROR(__xludf.DUMMYFUNCTION("""COMPUTED_VALUE"""),"")</f>
        <v/>
      </c>
      <c r="X15499" s="16" t="str">
        <f>IFERROR(__xludf.DUMMYFUNCTION("""COMPUTED_VALUE"""),"")</f>
        <v/>
      </c>
      <c r="AC15499" s="16" t="str">
        <f>IFERROR(__xludf.DUMMYFUNCTION("""COMPUTED_VALUE"""),"")</f>
        <v/>
      </c>
    </row>
    <row r="15500">
      <c r="A15500" s="16" t="s">
        <v>87</v>
      </c>
      <c r="E15500" s="16" t="str">
        <f>IFERROR(__xludf.DUMMYFUNCTION("""COMPUTED_VALUE"""),"")</f>
        <v/>
      </c>
      <c r="G15500" s="18"/>
      <c r="H15500" s="16" t="s">
        <v>87</v>
      </c>
      <c r="I15500" s="16" t="s">
        <v>87</v>
      </c>
      <c r="J15500" s="19"/>
      <c r="L15500" s="16" t="str">
        <f>IFERROR(__xludf.DUMMYFUNCTION("""COMPUTED_VALUE"""),"")</f>
        <v/>
      </c>
      <c r="M15500" s="16" t="str">
        <f>IFERROR(__xludf.DUMMYFUNCTION("""COMPUTED_VALUE"""),"")</f>
        <v/>
      </c>
      <c r="U15500" s="16" t="s">
        <v>87</v>
      </c>
      <c r="V15500" s="16" t="str">
        <f>IFERROR(__xludf.DUMMYFUNCTION("""COMPUTED_VALUE"""),"")</f>
        <v/>
      </c>
      <c r="W15500" s="16" t="str">
        <f>IFERROR(__xludf.DUMMYFUNCTION("""COMPUTED_VALUE"""),"")</f>
        <v/>
      </c>
      <c r="X15500" s="16" t="str">
        <f>IFERROR(__xludf.DUMMYFUNCTION("""COMPUTED_VALUE"""),"")</f>
        <v/>
      </c>
      <c r="AC15500" s="16" t="str">
        <f>IFERROR(__xludf.DUMMYFUNCTION("""COMPUTED_VALUE"""),"")</f>
        <v/>
      </c>
    </row>
    <row r="15501">
      <c r="A15501" s="16" t="s">
        <v>87</v>
      </c>
      <c r="E15501" s="16" t="str">
        <f>IFERROR(__xludf.DUMMYFUNCTION("""COMPUTED_VALUE"""),"")</f>
        <v/>
      </c>
      <c r="G15501" s="18"/>
      <c r="H15501" s="16" t="s">
        <v>87</v>
      </c>
      <c r="I15501" s="16" t="s">
        <v>87</v>
      </c>
      <c r="J15501" s="19"/>
      <c r="L15501" s="16" t="str">
        <f>IFERROR(__xludf.DUMMYFUNCTION("""COMPUTED_VALUE"""),"")</f>
        <v/>
      </c>
      <c r="M15501" s="16" t="str">
        <f>IFERROR(__xludf.DUMMYFUNCTION("""COMPUTED_VALUE"""),"")</f>
        <v/>
      </c>
      <c r="U15501" s="16" t="s">
        <v>87</v>
      </c>
      <c r="V15501" s="16" t="str">
        <f>IFERROR(__xludf.DUMMYFUNCTION("""COMPUTED_VALUE"""),"")</f>
        <v/>
      </c>
      <c r="W15501" s="16" t="str">
        <f>IFERROR(__xludf.DUMMYFUNCTION("""COMPUTED_VALUE"""),"")</f>
        <v/>
      </c>
      <c r="X15501" s="16" t="str">
        <f>IFERROR(__xludf.DUMMYFUNCTION("""COMPUTED_VALUE"""),"")</f>
        <v/>
      </c>
      <c r="AC15501" s="16" t="str">
        <f>IFERROR(__xludf.DUMMYFUNCTION("""COMPUTED_VALUE"""),"")</f>
        <v/>
      </c>
    </row>
    <row r="15502">
      <c r="A15502" s="16" t="s">
        <v>87</v>
      </c>
      <c r="E15502" s="16" t="str">
        <f>IFERROR(__xludf.DUMMYFUNCTION("""COMPUTED_VALUE"""),"")</f>
        <v/>
      </c>
      <c r="G15502" s="18"/>
      <c r="H15502" s="16" t="s">
        <v>87</v>
      </c>
      <c r="I15502" s="16" t="s">
        <v>87</v>
      </c>
      <c r="J15502" s="19"/>
      <c r="L15502" s="16" t="str">
        <f>IFERROR(__xludf.DUMMYFUNCTION("""COMPUTED_VALUE"""),"")</f>
        <v/>
      </c>
      <c r="M15502" s="16" t="str">
        <f>IFERROR(__xludf.DUMMYFUNCTION("""COMPUTED_VALUE"""),"")</f>
        <v/>
      </c>
      <c r="U15502" s="16" t="s">
        <v>87</v>
      </c>
      <c r="V15502" s="16" t="str">
        <f>IFERROR(__xludf.DUMMYFUNCTION("""COMPUTED_VALUE"""),"")</f>
        <v/>
      </c>
      <c r="W15502" s="16" t="str">
        <f>IFERROR(__xludf.DUMMYFUNCTION("""COMPUTED_VALUE"""),"")</f>
        <v/>
      </c>
      <c r="X15502" s="16" t="str">
        <f>IFERROR(__xludf.DUMMYFUNCTION("""COMPUTED_VALUE"""),"")</f>
        <v/>
      </c>
      <c r="AC15502" s="16" t="str">
        <f>IFERROR(__xludf.DUMMYFUNCTION("""COMPUTED_VALUE"""),"")</f>
        <v/>
      </c>
    </row>
    <row r="15503">
      <c r="A15503" s="16" t="s">
        <v>87</v>
      </c>
      <c r="E15503" s="16" t="str">
        <f>IFERROR(__xludf.DUMMYFUNCTION("""COMPUTED_VALUE"""),"")</f>
        <v/>
      </c>
      <c r="G15503" s="18"/>
      <c r="H15503" s="16" t="s">
        <v>87</v>
      </c>
      <c r="I15503" s="16" t="s">
        <v>87</v>
      </c>
      <c r="J15503" s="19"/>
      <c r="L15503" s="16" t="str">
        <f>IFERROR(__xludf.DUMMYFUNCTION("""COMPUTED_VALUE"""),"")</f>
        <v/>
      </c>
      <c r="M15503" s="16" t="str">
        <f>IFERROR(__xludf.DUMMYFUNCTION("""COMPUTED_VALUE"""),"")</f>
        <v/>
      </c>
      <c r="U15503" s="16" t="s">
        <v>87</v>
      </c>
      <c r="V15503" s="16" t="str">
        <f>IFERROR(__xludf.DUMMYFUNCTION("""COMPUTED_VALUE"""),"")</f>
        <v/>
      </c>
      <c r="W15503" s="16" t="str">
        <f>IFERROR(__xludf.DUMMYFUNCTION("""COMPUTED_VALUE"""),"")</f>
        <v/>
      </c>
      <c r="X15503" s="16" t="str">
        <f>IFERROR(__xludf.DUMMYFUNCTION("""COMPUTED_VALUE"""),"")</f>
        <v/>
      </c>
      <c r="AC15503" s="16" t="str">
        <f>IFERROR(__xludf.DUMMYFUNCTION("""COMPUTED_VALUE"""),"")</f>
        <v/>
      </c>
    </row>
    <row r="15504">
      <c r="A15504" s="16" t="s">
        <v>87</v>
      </c>
      <c r="E15504" s="16" t="str">
        <f>IFERROR(__xludf.DUMMYFUNCTION("""COMPUTED_VALUE"""),"")</f>
        <v/>
      </c>
      <c r="G15504" s="18"/>
      <c r="H15504" s="16" t="s">
        <v>87</v>
      </c>
      <c r="I15504" s="16" t="s">
        <v>87</v>
      </c>
      <c r="J15504" s="19"/>
      <c r="L15504" s="16" t="str">
        <f>IFERROR(__xludf.DUMMYFUNCTION("""COMPUTED_VALUE"""),"")</f>
        <v/>
      </c>
      <c r="M15504" s="16" t="str">
        <f>IFERROR(__xludf.DUMMYFUNCTION("""COMPUTED_VALUE"""),"")</f>
        <v/>
      </c>
      <c r="U15504" s="16" t="s">
        <v>87</v>
      </c>
      <c r="V15504" s="16" t="str">
        <f>IFERROR(__xludf.DUMMYFUNCTION("""COMPUTED_VALUE"""),"")</f>
        <v/>
      </c>
      <c r="W15504" s="16" t="str">
        <f>IFERROR(__xludf.DUMMYFUNCTION("""COMPUTED_VALUE"""),"")</f>
        <v/>
      </c>
      <c r="X15504" s="16" t="str">
        <f>IFERROR(__xludf.DUMMYFUNCTION("""COMPUTED_VALUE"""),"")</f>
        <v/>
      </c>
      <c r="AC15504" s="16" t="str">
        <f>IFERROR(__xludf.DUMMYFUNCTION("""COMPUTED_VALUE"""),"")</f>
        <v/>
      </c>
    </row>
    <row r="15505">
      <c r="A15505" s="16" t="s">
        <v>87</v>
      </c>
      <c r="E15505" s="16" t="str">
        <f>IFERROR(__xludf.DUMMYFUNCTION("""COMPUTED_VALUE"""),"")</f>
        <v/>
      </c>
      <c r="G15505" s="18"/>
      <c r="H15505" s="16" t="s">
        <v>87</v>
      </c>
      <c r="I15505" s="16" t="s">
        <v>87</v>
      </c>
      <c r="J15505" s="19"/>
      <c r="L15505" s="16" t="str">
        <f>IFERROR(__xludf.DUMMYFUNCTION("""COMPUTED_VALUE"""),"")</f>
        <v/>
      </c>
      <c r="M15505" s="16" t="str">
        <f>IFERROR(__xludf.DUMMYFUNCTION("""COMPUTED_VALUE"""),"")</f>
        <v/>
      </c>
      <c r="U15505" s="16" t="s">
        <v>87</v>
      </c>
      <c r="V15505" s="16" t="str">
        <f>IFERROR(__xludf.DUMMYFUNCTION("""COMPUTED_VALUE"""),"")</f>
        <v/>
      </c>
      <c r="W15505" s="16" t="str">
        <f>IFERROR(__xludf.DUMMYFUNCTION("""COMPUTED_VALUE"""),"")</f>
        <v/>
      </c>
      <c r="X15505" s="16" t="str">
        <f>IFERROR(__xludf.DUMMYFUNCTION("""COMPUTED_VALUE"""),"")</f>
        <v/>
      </c>
      <c r="AC15505" s="16" t="str">
        <f>IFERROR(__xludf.DUMMYFUNCTION("""COMPUTED_VALUE"""),"")</f>
        <v/>
      </c>
    </row>
    <row r="15506">
      <c r="A15506" s="16" t="s">
        <v>87</v>
      </c>
      <c r="E15506" s="16" t="str">
        <f>IFERROR(__xludf.DUMMYFUNCTION("""COMPUTED_VALUE"""),"")</f>
        <v/>
      </c>
      <c r="G15506" s="18"/>
      <c r="H15506" s="16" t="s">
        <v>87</v>
      </c>
      <c r="I15506" s="16" t="s">
        <v>87</v>
      </c>
      <c r="J15506" s="19"/>
      <c r="L15506" s="16" t="str">
        <f>IFERROR(__xludf.DUMMYFUNCTION("""COMPUTED_VALUE"""),"")</f>
        <v/>
      </c>
      <c r="M15506" s="16" t="str">
        <f>IFERROR(__xludf.DUMMYFUNCTION("""COMPUTED_VALUE"""),"")</f>
        <v/>
      </c>
      <c r="U15506" s="16" t="s">
        <v>87</v>
      </c>
      <c r="V15506" s="16" t="str">
        <f>IFERROR(__xludf.DUMMYFUNCTION("""COMPUTED_VALUE"""),"")</f>
        <v/>
      </c>
      <c r="W15506" s="16" t="str">
        <f>IFERROR(__xludf.DUMMYFUNCTION("""COMPUTED_VALUE"""),"")</f>
        <v/>
      </c>
      <c r="X15506" s="16" t="str">
        <f>IFERROR(__xludf.DUMMYFUNCTION("""COMPUTED_VALUE"""),"")</f>
        <v/>
      </c>
      <c r="AC15506" s="16" t="str">
        <f>IFERROR(__xludf.DUMMYFUNCTION("""COMPUTED_VALUE"""),"")</f>
        <v/>
      </c>
    </row>
    <row r="15507">
      <c r="A15507" s="16" t="s">
        <v>87</v>
      </c>
      <c r="E15507" s="16" t="str">
        <f>IFERROR(__xludf.DUMMYFUNCTION("""COMPUTED_VALUE"""),"")</f>
        <v/>
      </c>
      <c r="G15507" s="18"/>
      <c r="H15507" s="16" t="s">
        <v>87</v>
      </c>
      <c r="I15507" s="16" t="s">
        <v>87</v>
      </c>
      <c r="J15507" s="19"/>
      <c r="L15507" s="16" t="str">
        <f>IFERROR(__xludf.DUMMYFUNCTION("""COMPUTED_VALUE"""),"")</f>
        <v/>
      </c>
      <c r="M15507" s="16" t="str">
        <f>IFERROR(__xludf.DUMMYFUNCTION("""COMPUTED_VALUE"""),"")</f>
        <v/>
      </c>
      <c r="U15507" s="16" t="s">
        <v>87</v>
      </c>
      <c r="V15507" s="16" t="str">
        <f>IFERROR(__xludf.DUMMYFUNCTION("""COMPUTED_VALUE"""),"")</f>
        <v/>
      </c>
      <c r="W15507" s="16" t="str">
        <f>IFERROR(__xludf.DUMMYFUNCTION("""COMPUTED_VALUE"""),"")</f>
        <v/>
      </c>
      <c r="X15507" s="16" t="str">
        <f>IFERROR(__xludf.DUMMYFUNCTION("""COMPUTED_VALUE"""),"")</f>
        <v/>
      </c>
      <c r="AC15507" s="16" t="str">
        <f>IFERROR(__xludf.DUMMYFUNCTION("""COMPUTED_VALUE"""),"")</f>
        <v/>
      </c>
    </row>
    <row r="15508">
      <c r="A15508" s="16" t="s">
        <v>87</v>
      </c>
      <c r="E15508" s="16" t="str">
        <f>IFERROR(__xludf.DUMMYFUNCTION("""COMPUTED_VALUE"""),"")</f>
        <v/>
      </c>
      <c r="G15508" s="18"/>
      <c r="H15508" s="16" t="s">
        <v>87</v>
      </c>
      <c r="I15508" s="16" t="s">
        <v>87</v>
      </c>
      <c r="J15508" s="19"/>
      <c r="L15508" s="16" t="str">
        <f>IFERROR(__xludf.DUMMYFUNCTION("""COMPUTED_VALUE"""),"")</f>
        <v/>
      </c>
      <c r="M15508" s="16" t="str">
        <f>IFERROR(__xludf.DUMMYFUNCTION("""COMPUTED_VALUE"""),"")</f>
        <v/>
      </c>
      <c r="U15508" s="16" t="s">
        <v>87</v>
      </c>
      <c r="V15508" s="16" t="str">
        <f>IFERROR(__xludf.DUMMYFUNCTION("""COMPUTED_VALUE"""),"")</f>
        <v/>
      </c>
      <c r="W15508" s="16" t="str">
        <f>IFERROR(__xludf.DUMMYFUNCTION("""COMPUTED_VALUE"""),"")</f>
        <v/>
      </c>
      <c r="X15508" s="16" t="str">
        <f>IFERROR(__xludf.DUMMYFUNCTION("""COMPUTED_VALUE"""),"")</f>
        <v/>
      </c>
      <c r="AC15508" s="16" t="str">
        <f>IFERROR(__xludf.DUMMYFUNCTION("""COMPUTED_VALUE"""),"")</f>
        <v/>
      </c>
    </row>
    <row r="15509">
      <c r="A15509" s="16" t="s">
        <v>87</v>
      </c>
      <c r="E15509" s="16" t="str">
        <f>IFERROR(__xludf.DUMMYFUNCTION("""COMPUTED_VALUE"""),"")</f>
        <v/>
      </c>
      <c r="G15509" s="18"/>
      <c r="H15509" s="16" t="s">
        <v>87</v>
      </c>
      <c r="I15509" s="16" t="s">
        <v>87</v>
      </c>
      <c r="J15509" s="19"/>
      <c r="L15509" s="16" t="str">
        <f>IFERROR(__xludf.DUMMYFUNCTION("""COMPUTED_VALUE"""),"")</f>
        <v/>
      </c>
      <c r="M15509" s="16" t="str">
        <f>IFERROR(__xludf.DUMMYFUNCTION("""COMPUTED_VALUE"""),"")</f>
        <v/>
      </c>
      <c r="U15509" s="16" t="s">
        <v>87</v>
      </c>
      <c r="V15509" s="16" t="str">
        <f>IFERROR(__xludf.DUMMYFUNCTION("""COMPUTED_VALUE"""),"")</f>
        <v/>
      </c>
      <c r="W15509" s="16" t="str">
        <f>IFERROR(__xludf.DUMMYFUNCTION("""COMPUTED_VALUE"""),"")</f>
        <v/>
      </c>
      <c r="X15509" s="16" t="str">
        <f>IFERROR(__xludf.DUMMYFUNCTION("""COMPUTED_VALUE"""),"")</f>
        <v/>
      </c>
      <c r="AC15509" s="16" t="str">
        <f>IFERROR(__xludf.DUMMYFUNCTION("""COMPUTED_VALUE"""),"")</f>
        <v/>
      </c>
    </row>
    <row r="15510">
      <c r="A15510" s="16" t="s">
        <v>87</v>
      </c>
      <c r="E15510" s="16" t="str">
        <f>IFERROR(__xludf.DUMMYFUNCTION("""COMPUTED_VALUE"""),"")</f>
        <v/>
      </c>
      <c r="G15510" s="18"/>
      <c r="H15510" s="16" t="s">
        <v>87</v>
      </c>
      <c r="I15510" s="16" t="s">
        <v>87</v>
      </c>
      <c r="J15510" s="19"/>
      <c r="L15510" s="16" t="str">
        <f>IFERROR(__xludf.DUMMYFUNCTION("""COMPUTED_VALUE"""),"")</f>
        <v/>
      </c>
      <c r="M15510" s="16" t="str">
        <f>IFERROR(__xludf.DUMMYFUNCTION("""COMPUTED_VALUE"""),"")</f>
        <v/>
      </c>
      <c r="U15510" s="16" t="s">
        <v>87</v>
      </c>
      <c r="V15510" s="16" t="str">
        <f>IFERROR(__xludf.DUMMYFUNCTION("""COMPUTED_VALUE"""),"")</f>
        <v/>
      </c>
      <c r="W15510" s="16" t="str">
        <f>IFERROR(__xludf.DUMMYFUNCTION("""COMPUTED_VALUE"""),"")</f>
        <v/>
      </c>
      <c r="X15510" s="16" t="str">
        <f>IFERROR(__xludf.DUMMYFUNCTION("""COMPUTED_VALUE"""),"")</f>
        <v/>
      </c>
      <c r="AC15510" s="16" t="str">
        <f>IFERROR(__xludf.DUMMYFUNCTION("""COMPUTED_VALUE"""),"")</f>
        <v/>
      </c>
    </row>
    <row r="15511">
      <c r="A15511" s="16" t="s">
        <v>87</v>
      </c>
      <c r="E15511" s="16" t="str">
        <f>IFERROR(__xludf.DUMMYFUNCTION("""COMPUTED_VALUE"""),"")</f>
        <v/>
      </c>
      <c r="G15511" s="18"/>
      <c r="H15511" s="16" t="s">
        <v>87</v>
      </c>
      <c r="I15511" s="16" t="s">
        <v>87</v>
      </c>
      <c r="J15511" s="19"/>
      <c r="L15511" s="16" t="str">
        <f>IFERROR(__xludf.DUMMYFUNCTION("""COMPUTED_VALUE"""),"")</f>
        <v/>
      </c>
      <c r="M15511" s="16" t="str">
        <f>IFERROR(__xludf.DUMMYFUNCTION("""COMPUTED_VALUE"""),"")</f>
        <v/>
      </c>
      <c r="U15511" s="16" t="s">
        <v>87</v>
      </c>
      <c r="V15511" s="16" t="str">
        <f>IFERROR(__xludf.DUMMYFUNCTION("""COMPUTED_VALUE"""),"")</f>
        <v/>
      </c>
      <c r="W15511" s="16" t="str">
        <f>IFERROR(__xludf.DUMMYFUNCTION("""COMPUTED_VALUE"""),"")</f>
        <v/>
      </c>
      <c r="X15511" s="16" t="str">
        <f>IFERROR(__xludf.DUMMYFUNCTION("""COMPUTED_VALUE"""),"")</f>
        <v/>
      </c>
      <c r="AC15511" s="16" t="str">
        <f>IFERROR(__xludf.DUMMYFUNCTION("""COMPUTED_VALUE"""),"")</f>
        <v/>
      </c>
    </row>
    <row r="15512">
      <c r="A15512" s="16" t="s">
        <v>87</v>
      </c>
      <c r="E15512" s="16" t="str">
        <f>IFERROR(__xludf.DUMMYFUNCTION("""COMPUTED_VALUE"""),"")</f>
        <v/>
      </c>
      <c r="G15512" s="18"/>
      <c r="H15512" s="16" t="s">
        <v>87</v>
      </c>
      <c r="I15512" s="16" t="s">
        <v>87</v>
      </c>
      <c r="J15512" s="19"/>
      <c r="L15512" s="16" t="str">
        <f>IFERROR(__xludf.DUMMYFUNCTION("""COMPUTED_VALUE"""),"")</f>
        <v/>
      </c>
      <c r="M15512" s="16" t="str">
        <f>IFERROR(__xludf.DUMMYFUNCTION("""COMPUTED_VALUE"""),"")</f>
        <v/>
      </c>
      <c r="U15512" s="16" t="s">
        <v>87</v>
      </c>
      <c r="V15512" s="16" t="str">
        <f>IFERROR(__xludf.DUMMYFUNCTION("""COMPUTED_VALUE"""),"")</f>
        <v/>
      </c>
      <c r="W15512" s="16" t="str">
        <f>IFERROR(__xludf.DUMMYFUNCTION("""COMPUTED_VALUE"""),"")</f>
        <v/>
      </c>
      <c r="X15512" s="16" t="str">
        <f>IFERROR(__xludf.DUMMYFUNCTION("""COMPUTED_VALUE"""),"")</f>
        <v/>
      </c>
      <c r="AC15512" s="16" t="str">
        <f>IFERROR(__xludf.DUMMYFUNCTION("""COMPUTED_VALUE"""),"")</f>
        <v/>
      </c>
    </row>
    <row r="15513">
      <c r="A15513" s="16" t="s">
        <v>87</v>
      </c>
      <c r="E15513" s="16" t="str">
        <f>IFERROR(__xludf.DUMMYFUNCTION("""COMPUTED_VALUE"""),"")</f>
        <v/>
      </c>
      <c r="G15513" s="18"/>
      <c r="H15513" s="16" t="s">
        <v>87</v>
      </c>
      <c r="I15513" s="16" t="s">
        <v>87</v>
      </c>
      <c r="J15513" s="19"/>
      <c r="L15513" s="16" t="str">
        <f>IFERROR(__xludf.DUMMYFUNCTION("""COMPUTED_VALUE"""),"")</f>
        <v/>
      </c>
      <c r="M15513" s="16" t="str">
        <f>IFERROR(__xludf.DUMMYFUNCTION("""COMPUTED_VALUE"""),"")</f>
        <v/>
      </c>
      <c r="U15513" s="16" t="s">
        <v>87</v>
      </c>
      <c r="V15513" s="16" t="str">
        <f>IFERROR(__xludf.DUMMYFUNCTION("""COMPUTED_VALUE"""),"")</f>
        <v/>
      </c>
      <c r="W15513" s="16" t="str">
        <f>IFERROR(__xludf.DUMMYFUNCTION("""COMPUTED_VALUE"""),"")</f>
        <v/>
      </c>
      <c r="X15513" s="16" t="str">
        <f>IFERROR(__xludf.DUMMYFUNCTION("""COMPUTED_VALUE"""),"")</f>
        <v/>
      </c>
      <c r="AC15513" s="16" t="str">
        <f>IFERROR(__xludf.DUMMYFUNCTION("""COMPUTED_VALUE"""),"")</f>
        <v/>
      </c>
    </row>
    <row r="15514">
      <c r="A15514" s="16" t="s">
        <v>87</v>
      </c>
      <c r="E15514" s="16" t="str">
        <f>IFERROR(__xludf.DUMMYFUNCTION("""COMPUTED_VALUE"""),"")</f>
        <v/>
      </c>
      <c r="G15514" s="18"/>
      <c r="H15514" s="16" t="s">
        <v>87</v>
      </c>
      <c r="I15514" s="16" t="s">
        <v>87</v>
      </c>
      <c r="J15514" s="19"/>
      <c r="L15514" s="16" t="str">
        <f>IFERROR(__xludf.DUMMYFUNCTION("""COMPUTED_VALUE"""),"")</f>
        <v/>
      </c>
      <c r="M15514" s="16" t="str">
        <f>IFERROR(__xludf.DUMMYFUNCTION("""COMPUTED_VALUE"""),"")</f>
        <v/>
      </c>
      <c r="U15514" s="16" t="s">
        <v>87</v>
      </c>
      <c r="V15514" s="16" t="str">
        <f>IFERROR(__xludf.DUMMYFUNCTION("""COMPUTED_VALUE"""),"")</f>
        <v/>
      </c>
      <c r="W15514" s="16" t="str">
        <f>IFERROR(__xludf.DUMMYFUNCTION("""COMPUTED_VALUE"""),"")</f>
        <v/>
      </c>
      <c r="X15514" s="16" t="str">
        <f>IFERROR(__xludf.DUMMYFUNCTION("""COMPUTED_VALUE"""),"")</f>
        <v/>
      </c>
      <c r="AC15514" s="16" t="str">
        <f>IFERROR(__xludf.DUMMYFUNCTION("""COMPUTED_VALUE"""),"")</f>
        <v/>
      </c>
    </row>
    <row r="15515">
      <c r="A15515" s="16" t="s">
        <v>87</v>
      </c>
      <c r="E15515" s="16" t="str">
        <f>IFERROR(__xludf.DUMMYFUNCTION("""COMPUTED_VALUE"""),"")</f>
        <v/>
      </c>
      <c r="G15515" s="18"/>
      <c r="H15515" s="16" t="s">
        <v>87</v>
      </c>
      <c r="I15515" s="16" t="s">
        <v>87</v>
      </c>
      <c r="J15515" s="19"/>
      <c r="L15515" s="16" t="str">
        <f>IFERROR(__xludf.DUMMYFUNCTION("""COMPUTED_VALUE"""),"")</f>
        <v/>
      </c>
      <c r="M15515" s="16" t="str">
        <f>IFERROR(__xludf.DUMMYFUNCTION("""COMPUTED_VALUE"""),"")</f>
        <v/>
      </c>
      <c r="U15515" s="16" t="s">
        <v>87</v>
      </c>
      <c r="V15515" s="16" t="str">
        <f>IFERROR(__xludf.DUMMYFUNCTION("""COMPUTED_VALUE"""),"")</f>
        <v/>
      </c>
      <c r="W15515" s="16" t="str">
        <f>IFERROR(__xludf.DUMMYFUNCTION("""COMPUTED_VALUE"""),"")</f>
        <v/>
      </c>
      <c r="X15515" s="16" t="str">
        <f>IFERROR(__xludf.DUMMYFUNCTION("""COMPUTED_VALUE"""),"")</f>
        <v/>
      </c>
      <c r="AC15515" s="16" t="str">
        <f>IFERROR(__xludf.DUMMYFUNCTION("""COMPUTED_VALUE"""),"")</f>
        <v/>
      </c>
    </row>
    <row r="15516">
      <c r="A15516" s="16" t="s">
        <v>87</v>
      </c>
      <c r="E15516" s="16" t="str">
        <f>IFERROR(__xludf.DUMMYFUNCTION("""COMPUTED_VALUE"""),"")</f>
        <v/>
      </c>
      <c r="G15516" s="18"/>
      <c r="H15516" s="16" t="s">
        <v>87</v>
      </c>
      <c r="I15516" s="16" t="s">
        <v>87</v>
      </c>
      <c r="J15516" s="19"/>
      <c r="L15516" s="16" t="str">
        <f>IFERROR(__xludf.DUMMYFUNCTION("""COMPUTED_VALUE"""),"")</f>
        <v/>
      </c>
      <c r="M15516" s="16" t="str">
        <f>IFERROR(__xludf.DUMMYFUNCTION("""COMPUTED_VALUE"""),"")</f>
        <v/>
      </c>
      <c r="U15516" s="16" t="s">
        <v>87</v>
      </c>
      <c r="V15516" s="16" t="str">
        <f>IFERROR(__xludf.DUMMYFUNCTION("""COMPUTED_VALUE"""),"")</f>
        <v/>
      </c>
      <c r="W15516" s="16" t="str">
        <f>IFERROR(__xludf.DUMMYFUNCTION("""COMPUTED_VALUE"""),"")</f>
        <v/>
      </c>
      <c r="X15516" s="16" t="str">
        <f>IFERROR(__xludf.DUMMYFUNCTION("""COMPUTED_VALUE"""),"")</f>
        <v/>
      </c>
      <c r="AC15516" s="16" t="str">
        <f>IFERROR(__xludf.DUMMYFUNCTION("""COMPUTED_VALUE"""),"")</f>
        <v/>
      </c>
    </row>
    <row r="15517">
      <c r="A15517" s="16" t="s">
        <v>87</v>
      </c>
      <c r="E15517" s="16" t="str">
        <f>IFERROR(__xludf.DUMMYFUNCTION("""COMPUTED_VALUE"""),"")</f>
        <v/>
      </c>
      <c r="G15517" s="18"/>
      <c r="H15517" s="16" t="s">
        <v>87</v>
      </c>
      <c r="I15517" s="16" t="s">
        <v>87</v>
      </c>
      <c r="J15517" s="19"/>
      <c r="L15517" s="16" t="str">
        <f>IFERROR(__xludf.DUMMYFUNCTION("""COMPUTED_VALUE"""),"")</f>
        <v/>
      </c>
      <c r="M15517" s="16" t="str">
        <f>IFERROR(__xludf.DUMMYFUNCTION("""COMPUTED_VALUE"""),"")</f>
        <v/>
      </c>
      <c r="U15517" s="16" t="s">
        <v>87</v>
      </c>
      <c r="V15517" s="16" t="str">
        <f>IFERROR(__xludf.DUMMYFUNCTION("""COMPUTED_VALUE"""),"")</f>
        <v/>
      </c>
      <c r="W15517" s="16" t="str">
        <f>IFERROR(__xludf.DUMMYFUNCTION("""COMPUTED_VALUE"""),"")</f>
        <v/>
      </c>
      <c r="X15517" s="16" t="str">
        <f>IFERROR(__xludf.DUMMYFUNCTION("""COMPUTED_VALUE"""),"")</f>
        <v/>
      </c>
      <c r="AC15517" s="16" t="str">
        <f>IFERROR(__xludf.DUMMYFUNCTION("""COMPUTED_VALUE"""),"")</f>
        <v/>
      </c>
    </row>
    <row r="15518">
      <c r="A15518" s="16" t="s">
        <v>87</v>
      </c>
      <c r="E15518" s="16" t="str">
        <f>IFERROR(__xludf.DUMMYFUNCTION("""COMPUTED_VALUE"""),"")</f>
        <v/>
      </c>
      <c r="G15518" s="18"/>
      <c r="H15518" s="16" t="s">
        <v>87</v>
      </c>
      <c r="I15518" s="16" t="s">
        <v>87</v>
      </c>
      <c r="J15518" s="19"/>
      <c r="L15518" s="16" t="str">
        <f>IFERROR(__xludf.DUMMYFUNCTION("""COMPUTED_VALUE"""),"")</f>
        <v/>
      </c>
      <c r="M15518" s="16" t="str">
        <f>IFERROR(__xludf.DUMMYFUNCTION("""COMPUTED_VALUE"""),"")</f>
        <v/>
      </c>
      <c r="U15518" s="16" t="s">
        <v>87</v>
      </c>
      <c r="V15518" s="16" t="str">
        <f>IFERROR(__xludf.DUMMYFUNCTION("""COMPUTED_VALUE"""),"")</f>
        <v/>
      </c>
      <c r="W15518" s="16" t="str">
        <f>IFERROR(__xludf.DUMMYFUNCTION("""COMPUTED_VALUE"""),"")</f>
        <v/>
      </c>
      <c r="X15518" s="16" t="str">
        <f>IFERROR(__xludf.DUMMYFUNCTION("""COMPUTED_VALUE"""),"")</f>
        <v/>
      </c>
      <c r="AC15518" s="16" t="str">
        <f>IFERROR(__xludf.DUMMYFUNCTION("""COMPUTED_VALUE"""),"")</f>
        <v/>
      </c>
    </row>
    <row r="15519">
      <c r="A15519" s="16" t="s">
        <v>87</v>
      </c>
      <c r="E15519" s="16" t="str">
        <f>IFERROR(__xludf.DUMMYFUNCTION("""COMPUTED_VALUE"""),"")</f>
        <v/>
      </c>
      <c r="G15519" s="18"/>
      <c r="H15519" s="16" t="s">
        <v>87</v>
      </c>
      <c r="I15519" s="16" t="s">
        <v>87</v>
      </c>
      <c r="J15519" s="19"/>
      <c r="L15519" s="16" t="str">
        <f>IFERROR(__xludf.DUMMYFUNCTION("""COMPUTED_VALUE"""),"")</f>
        <v/>
      </c>
      <c r="M15519" s="16" t="str">
        <f>IFERROR(__xludf.DUMMYFUNCTION("""COMPUTED_VALUE"""),"")</f>
        <v/>
      </c>
      <c r="U15519" s="16" t="s">
        <v>87</v>
      </c>
      <c r="V15519" s="16" t="str">
        <f>IFERROR(__xludf.DUMMYFUNCTION("""COMPUTED_VALUE"""),"")</f>
        <v/>
      </c>
      <c r="W15519" s="16" t="str">
        <f>IFERROR(__xludf.DUMMYFUNCTION("""COMPUTED_VALUE"""),"")</f>
        <v/>
      </c>
      <c r="X15519" s="16" t="str">
        <f>IFERROR(__xludf.DUMMYFUNCTION("""COMPUTED_VALUE"""),"")</f>
        <v/>
      </c>
      <c r="AC15519" s="16" t="str">
        <f>IFERROR(__xludf.DUMMYFUNCTION("""COMPUTED_VALUE"""),"")</f>
        <v/>
      </c>
    </row>
    <row r="15520">
      <c r="A15520" s="16" t="s">
        <v>87</v>
      </c>
      <c r="E15520" s="16" t="str">
        <f>IFERROR(__xludf.DUMMYFUNCTION("""COMPUTED_VALUE"""),"")</f>
        <v/>
      </c>
      <c r="G15520" s="18"/>
      <c r="H15520" s="16" t="s">
        <v>87</v>
      </c>
      <c r="I15520" s="16" t="s">
        <v>87</v>
      </c>
      <c r="J15520" s="19"/>
      <c r="L15520" s="16" t="str">
        <f>IFERROR(__xludf.DUMMYFUNCTION("""COMPUTED_VALUE"""),"")</f>
        <v/>
      </c>
      <c r="M15520" s="16" t="str">
        <f>IFERROR(__xludf.DUMMYFUNCTION("""COMPUTED_VALUE"""),"")</f>
        <v/>
      </c>
      <c r="U15520" s="16" t="s">
        <v>87</v>
      </c>
      <c r="V15520" s="16" t="str">
        <f>IFERROR(__xludf.DUMMYFUNCTION("""COMPUTED_VALUE"""),"")</f>
        <v/>
      </c>
      <c r="W15520" s="16" t="str">
        <f>IFERROR(__xludf.DUMMYFUNCTION("""COMPUTED_VALUE"""),"")</f>
        <v/>
      </c>
      <c r="X15520" s="16" t="str">
        <f>IFERROR(__xludf.DUMMYFUNCTION("""COMPUTED_VALUE"""),"")</f>
        <v/>
      </c>
      <c r="AC15520" s="16" t="str">
        <f>IFERROR(__xludf.DUMMYFUNCTION("""COMPUTED_VALUE"""),"")</f>
        <v/>
      </c>
    </row>
    <row r="15521">
      <c r="A15521" s="16" t="s">
        <v>87</v>
      </c>
      <c r="E15521" s="16" t="str">
        <f>IFERROR(__xludf.DUMMYFUNCTION("""COMPUTED_VALUE"""),"")</f>
        <v/>
      </c>
      <c r="G15521" s="18"/>
      <c r="H15521" s="16" t="s">
        <v>87</v>
      </c>
      <c r="I15521" s="16" t="s">
        <v>87</v>
      </c>
      <c r="J15521" s="19"/>
      <c r="L15521" s="16" t="str">
        <f>IFERROR(__xludf.DUMMYFUNCTION("""COMPUTED_VALUE"""),"")</f>
        <v/>
      </c>
      <c r="M15521" s="16" t="str">
        <f>IFERROR(__xludf.DUMMYFUNCTION("""COMPUTED_VALUE"""),"")</f>
        <v/>
      </c>
      <c r="U15521" s="16" t="s">
        <v>87</v>
      </c>
      <c r="V15521" s="16" t="str">
        <f>IFERROR(__xludf.DUMMYFUNCTION("""COMPUTED_VALUE"""),"")</f>
        <v/>
      </c>
      <c r="W15521" s="16" t="str">
        <f>IFERROR(__xludf.DUMMYFUNCTION("""COMPUTED_VALUE"""),"")</f>
        <v/>
      </c>
      <c r="X15521" s="16" t="str">
        <f>IFERROR(__xludf.DUMMYFUNCTION("""COMPUTED_VALUE"""),"")</f>
        <v/>
      </c>
      <c r="AC15521" s="16" t="str">
        <f>IFERROR(__xludf.DUMMYFUNCTION("""COMPUTED_VALUE"""),"")</f>
        <v/>
      </c>
    </row>
    <row r="15522">
      <c r="A15522" s="16" t="s">
        <v>87</v>
      </c>
      <c r="E15522" s="16" t="str">
        <f>IFERROR(__xludf.DUMMYFUNCTION("""COMPUTED_VALUE"""),"")</f>
        <v/>
      </c>
      <c r="G15522" s="18"/>
      <c r="H15522" s="16" t="s">
        <v>87</v>
      </c>
      <c r="I15522" s="16" t="s">
        <v>87</v>
      </c>
      <c r="J15522" s="19"/>
      <c r="L15522" s="16" t="str">
        <f>IFERROR(__xludf.DUMMYFUNCTION("""COMPUTED_VALUE"""),"")</f>
        <v/>
      </c>
      <c r="M15522" s="16" t="str">
        <f>IFERROR(__xludf.DUMMYFUNCTION("""COMPUTED_VALUE"""),"")</f>
        <v/>
      </c>
      <c r="U15522" s="16" t="s">
        <v>87</v>
      </c>
      <c r="V15522" s="16" t="str">
        <f>IFERROR(__xludf.DUMMYFUNCTION("""COMPUTED_VALUE"""),"")</f>
        <v/>
      </c>
      <c r="W15522" s="16" t="str">
        <f>IFERROR(__xludf.DUMMYFUNCTION("""COMPUTED_VALUE"""),"")</f>
        <v/>
      </c>
      <c r="X15522" s="16" t="str">
        <f>IFERROR(__xludf.DUMMYFUNCTION("""COMPUTED_VALUE"""),"")</f>
        <v/>
      </c>
      <c r="AC15522" s="16" t="str">
        <f>IFERROR(__xludf.DUMMYFUNCTION("""COMPUTED_VALUE"""),"")</f>
        <v/>
      </c>
    </row>
    <row r="15523">
      <c r="A15523" s="16" t="s">
        <v>87</v>
      </c>
      <c r="E15523" s="16" t="str">
        <f>IFERROR(__xludf.DUMMYFUNCTION("""COMPUTED_VALUE"""),"")</f>
        <v/>
      </c>
      <c r="G15523" s="18"/>
      <c r="H15523" s="16" t="s">
        <v>87</v>
      </c>
      <c r="I15523" s="16" t="s">
        <v>87</v>
      </c>
      <c r="J15523" s="19"/>
      <c r="L15523" s="16" t="str">
        <f>IFERROR(__xludf.DUMMYFUNCTION("""COMPUTED_VALUE"""),"")</f>
        <v/>
      </c>
      <c r="M15523" s="16" t="str">
        <f>IFERROR(__xludf.DUMMYFUNCTION("""COMPUTED_VALUE"""),"")</f>
        <v/>
      </c>
      <c r="U15523" s="16" t="s">
        <v>87</v>
      </c>
      <c r="V15523" s="16" t="str">
        <f>IFERROR(__xludf.DUMMYFUNCTION("""COMPUTED_VALUE"""),"")</f>
        <v/>
      </c>
      <c r="W15523" s="16" t="str">
        <f>IFERROR(__xludf.DUMMYFUNCTION("""COMPUTED_VALUE"""),"")</f>
        <v/>
      </c>
      <c r="X15523" s="16" t="str">
        <f>IFERROR(__xludf.DUMMYFUNCTION("""COMPUTED_VALUE"""),"")</f>
        <v/>
      </c>
      <c r="AC15523" s="16" t="str">
        <f>IFERROR(__xludf.DUMMYFUNCTION("""COMPUTED_VALUE"""),"")</f>
        <v/>
      </c>
    </row>
    <row r="15524">
      <c r="A15524" s="16" t="s">
        <v>87</v>
      </c>
      <c r="E15524" s="16" t="str">
        <f>IFERROR(__xludf.DUMMYFUNCTION("""COMPUTED_VALUE"""),"")</f>
        <v/>
      </c>
      <c r="G15524" s="18"/>
      <c r="H15524" s="16" t="s">
        <v>87</v>
      </c>
      <c r="I15524" s="16" t="s">
        <v>87</v>
      </c>
      <c r="J15524" s="19"/>
      <c r="L15524" s="16" t="str">
        <f>IFERROR(__xludf.DUMMYFUNCTION("""COMPUTED_VALUE"""),"")</f>
        <v/>
      </c>
      <c r="M15524" s="16" t="str">
        <f>IFERROR(__xludf.DUMMYFUNCTION("""COMPUTED_VALUE"""),"")</f>
        <v/>
      </c>
      <c r="U15524" s="16" t="s">
        <v>87</v>
      </c>
      <c r="V15524" s="16" t="str">
        <f>IFERROR(__xludf.DUMMYFUNCTION("""COMPUTED_VALUE"""),"")</f>
        <v/>
      </c>
      <c r="W15524" s="16" t="str">
        <f>IFERROR(__xludf.DUMMYFUNCTION("""COMPUTED_VALUE"""),"")</f>
        <v/>
      </c>
      <c r="X15524" s="16" t="str">
        <f>IFERROR(__xludf.DUMMYFUNCTION("""COMPUTED_VALUE"""),"")</f>
        <v/>
      </c>
      <c r="AC15524" s="16" t="str">
        <f>IFERROR(__xludf.DUMMYFUNCTION("""COMPUTED_VALUE"""),"")</f>
        <v/>
      </c>
    </row>
    <row r="15525">
      <c r="A15525" s="16" t="s">
        <v>87</v>
      </c>
      <c r="E15525" s="16" t="str">
        <f>IFERROR(__xludf.DUMMYFUNCTION("""COMPUTED_VALUE"""),"")</f>
        <v/>
      </c>
      <c r="G15525" s="18"/>
      <c r="H15525" s="16" t="s">
        <v>87</v>
      </c>
      <c r="I15525" s="16" t="s">
        <v>87</v>
      </c>
      <c r="J15525" s="19"/>
      <c r="L15525" s="16" t="str">
        <f>IFERROR(__xludf.DUMMYFUNCTION("""COMPUTED_VALUE"""),"")</f>
        <v/>
      </c>
      <c r="M15525" s="16" t="str">
        <f>IFERROR(__xludf.DUMMYFUNCTION("""COMPUTED_VALUE"""),"")</f>
        <v/>
      </c>
      <c r="U15525" s="16" t="s">
        <v>87</v>
      </c>
      <c r="V15525" s="16" t="str">
        <f>IFERROR(__xludf.DUMMYFUNCTION("""COMPUTED_VALUE"""),"")</f>
        <v/>
      </c>
      <c r="W15525" s="16" t="str">
        <f>IFERROR(__xludf.DUMMYFUNCTION("""COMPUTED_VALUE"""),"")</f>
        <v/>
      </c>
      <c r="X15525" s="16" t="str">
        <f>IFERROR(__xludf.DUMMYFUNCTION("""COMPUTED_VALUE"""),"")</f>
        <v/>
      </c>
      <c r="AC15525" s="16" t="str">
        <f>IFERROR(__xludf.DUMMYFUNCTION("""COMPUTED_VALUE"""),"")</f>
        <v/>
      </c>
    </row>
    <row r="15526">
      <c r="A15526" s="16" t="s">
        <v>87</v>
      </c>
      <c r="E15526" s="16" t="str">
        <f>IFERROR(__xludf.DUMMYFUNCTION("""COMPUTED_VALUE"""),"")</f>
        <v/>
      </c>
      <c r="G15526" s="18"/>
      <c r="H15526" s="16" t="s">
        <v>87</v>
      </c>
      <c r="I15526" s="16" t="s">
        <v>87</v>
      </c>
      <c r="J15526" s="19"/>
      <c r="L15526" s="16" t="str">
        <f>IFERROR(__xludf.DUMMYFUNCTION("""COMPUTED_VALUE"""),"")</f>
        <v/>
      </c>
      <c r="M15526" s="16" t="str">
        <f>IFERROR(__xludf.DUMMYFUNCTION("""COMPUTED_VALUE"""),"")</f>
        <v/>
      </c>
      <c r="U15526" s="16" t="s">
        <v>87</v>
      </c>
      <c r="V15526" s="16" t="str">
        <f>IFERROR(__xludf.DUMMYFUNCTION("""COMPUTED_VALUE"""),"")</f>
        <v/>
      </c>
      <c r="W15526" s="16" t="str">
        <f>IFERROR(__xludf.DUMMYFUNCTION("""COMPUTED_VALUE"""),"")</f>
        <v/>
      </c>
      <c r="X15526" s="16" t="str">
        <f>IFERROR(__xludf.DUMMYFUNCTION("""COMPUTED_VALUE"""),"")</f>
        <v/>
      </c>
      <c r="AC15526" s="16" t="str">
        <f>IFERROR(__xludf.DUMMYFUNCTION("""COMPUTED_VALUE"""),"")</f>
        <v/>
      </c>
    </row>
    <row r="15527">
      <c r="A15527" s="16" t="s">
        <v>87</v>
      </c>
      <c r="E15527" s="16" t="str">
        <f>IFERROR(__xludf.DUMMYFUNCTION("""COMPUTED_VALUE"""),"")</f>
        <v/>
      </c>
      <c r="G15527" s="18"/>
      <c r="H15527" s="16" t="s">
        <v>87</v>
      </c>
      <c r="I15527" s="16" t="s">
        <v>87</v>
      </c>
      <c r="J15527" s="19"/>
      <c r="L15527" s="16" t="str">
        <f>IFERROR(__xludf.DUMMYFUNCTION("""COMPUTED_VALUE"""),"")</f>
        <v/>
      </c>
      <c r="M15527" s="16" t="str">
        <f>IFERROR(__xludf.DUMMYFUNCTION("""COMPUTED_VALUE"""),"")</f>
        <v/>
      </c>
      <c r="U15527" s="16" t="s">
        <v>87</v>
      </c>
      <c r="V15527" s="16" t="str">
        <f>IFERROR(__xludf.DUMMYFUNCTION("""COMPUTED_VALUE"""),"")</f>
        <v/>
      </c>
      <c r="W15527" s="16" t="str">
        <f>IFERROR(__xludf.DUMMYFUNCTION("""COMPUTED_VALUE"""),"")</f>
        <v/>
      </c>
      <c r="X15527" s="16" t="str">
        <f>IFERROR(__xludf.DUMMYFUNCTION("""COMPUTED_VALUE"""),"")</f>
        <v/>
      </c>
      <c r="AC15527" s="16" t="str">
        <f>IFERROR(__xludf.DUMMYFUNCTION("""COMPUTED_VALUE"""),"")</f>
        <v/>
      </c>
    </row>
    <row r="15528">
      <c r="A15528" s="16" t="s">
        <v>87</v>
      </c>
      <c r="E15528" s="16" t="str">
        <f>IFERROR(__xludf.DUMMYFUNCTION("""COMPUTED_VALUE"""),"")</f>
        <v/>
      </c>
      <c r="G15528" s="18"/>
      <c r="H15528" s="16" t="s">
        <v>87</v>
      </c>
      <c r="I15528" s="16" t="s">
        <v>87</v>
      </c>
      <c r="J15528" s="19"/>
      <c r="L15528" s="16" t="str">
        <f>IFERROR(__xludf.DUMMYFUNCTION("""COMPUTED_VALUE"""),"")</f>
        <v/>
      </c>
      <c r="M15528" s="16" t="str">
        <f>IFERROR(__xludf.DUMMYFUNCTION("""COMPUTED_VALUE"""),"")</f>
        <v/>
      </c>
      <c r="U15528" s="16" t="s">
        <v>87</v>
      </c>
      <c r="V15528" s="16" t="str">
        <f>IFERROR(__xludf.DUMMYFUNCTION("""COMPUTED_VALUE"""),"")</f>
        <v/>
      </c>
      <c r="W15528" s="16" t="str">
        <f>IFERROR(__xludf.DUMMYFUNCTION("""COMPUTED_VALUE"""),"")</f>
        <v/>
      </c>
      <c r="X15528" s="16" t="str">
        <f>IFERROR(__xludf.DUMMYFUNCTION("""COMPUTED_VALUE"""),"")</f>
        <v/>
      </c>
      <c r="AC15528" s="16" t="str">
        <f>IFERROR(__xludf.DUMMYFUNCTION("""COMPUTED_VALUE"""),"")</f>
        <v/>
      </c>
    </row>
    <row r="15529">
      <c r="A15529" s="16" t="s">
        <v>87</v>
      </c>
      <c r="E15529" s="16" t="str">
        <f>IFERROR(__xludf.DUMMYFUNCTION("""COMPUTED_VALUE"""),"")</f>
        <v/>
      </c>
      <c r="G15529" s="18"/>
      <c r="H15529" s="16" t="s">
        <v>87</v>
      </c>
      <c r="I15529" s="16" t="s">
        <v>87</v>
      </c>
      <c r="J15529" s="19"/>
      <c r="L15529" s="16" t="str">
        <f>IFERROR(__xludf.DUMMYFUNCTION("""COMPUTED_VALUE"""),"")</f>
        <v/>
      </c>
      <c r="M15529" s="16" t="str">
        <f>IFERROR(__xludf.DUMMYFUNCTION("""COMPUTED_VALUE"""),"")</f>
        <v/>
      </c>
      <c r="U15529" s="16" t="s">
        <v>87</v>
      </c>
      <c r="V15529" s="16" t="str">
        <f>IFERROR(__xludf.DUMMYFUNCTION("""COMPUTED_VALUE"""),"")</f>
        <v/>
      </c>
      <c r="W15529" s="16" t="str">
        <f>IFERROR(__xludf.DUMMYFUNCTION("""COMPUTED_VALUE"""),"")</f>
        <v/>
      </c>
      <c r="X15529" s="16" t="str">
        <f>IFERROR(__xludf.DUMMYFUNCTION("""COMPUTED_VALUE"""),"")</f>
        <v/>
      </c>
      <c r="AC15529" s="16" t="str">
        <f>IFERROR(__xludf.DUMMYFUNCTION("""COMPUTED_VALUE"""),"")</f>
        <v/>
      </c>
    </row>
    <row r="15530">
      <c r="A15530" s="16" t="s">
        <v>87</v>
      </c>
      <c r="E15530" s="16" t="str">
        <f>IFERROR(__xludf.DUMMYFUNCTION("""COMPUTED_VALUE"""),"")</f>
        <v/>
      </c>
      <c r="G15530" s="18"/>
      <c r="H15530" s="16" t="s">
        <v>87</v>
      </c>
      <c r="I15530" s="16" t="s">
        <v>87</v>
      </c>
      <c r="J15530" s="19"/>
      <c r="L15530" s="16" t="str">
        <f>IFERROR(__xludf.DUMMYFUNCTION("""COMPUTED_VALUE"""),"")</f>
        <v/>
      </c>
      <c r="M15530" s="16" t="str">
        <f>IFERROR(__xludf.DUMMYFUNCTION("""COMPUTED_VALUE"""),"")</f>
        <v/>
      </c>
      <c r="U15530" s="16" t="s">
        <v>87</v>
      </c>
      <c r="V15530" s="16" t="str">
        <f>IFERROR(__xludf.DUMMYFUNCTION("""COMPUTED_VALUE"""),"")</f>
        <v/>
      </c>
      <c r="W15530" s="16" t="str">
        <f>IFERROR(__xludf.DUMMYFUNCTION("""COMPUTED_VALUE"""),"")</f>
        <v/>
      </c>
      <c r="X15530" s="16" t="str">
        <f>IFERROR(__xludf.DUMMYFUNCTION("""COMPUTED_VALUE"""),"")</f>
        <v/>
      </c>
      <c r="AC15530" s="16" t="str">
        <f>IFERROR(__xludf.DUMMYFUNCTION("""COMPUTED_VALUE"""),"")</f>
        <v/>
      </c>
    </row>
    <row r="15531">
      <c r="A15531" s="16" t="s">
        <v>87</v>
      </c>
      <c r="E15531" s="16" t="str">
        <f>IFERROR(__xludf.DUMMYFUNCTION("""COMPUTED_VALUE"""),"")</f>
        <v/>
      </c>
      <c r="G15531" s="18"/>
      <c r="H15531" s="16" t="s">
        <v>87</v>
      </c>
      <c r="I15531" s="16" t="s">
        <v>87</v>
      </c>
      <c r="J15531" s="19"/>
      <c r="L15531" s="16" t="str">
        <f>IFERROR(__xludf.DUMMYFUNCTION("""COMPUTED_VALUE"""),"")</f>
        <v/>
      </c>
      <c r="M15531" s="16" t="str">
        <f>IFERROR(__xludf.DUMMYFUNCTION("""COMPUTED_VALUE"""),"")</f>
        <v/>
      </c>
      <c r="U15531" s="16" t="s">
        <v>87</v>
      </c>
      <c r="V15531" s="16" t="str">
        <f>IFERROR(__xludf.DUMMYFUNCTION("""COMPUTED_VALUE"""),"")</f>
        <v/>
      </c>
      <c r="W15531" s="16" t="str">
        <f>IFERROR(__xludf.DUMMYFUNCTION("""COMPUTED_VALUE"""),"")</f>
        <v/>
      </c>
      <c r="X15531" s="16" t="str">
        <f>IFERROR(__xludf.DUMMYFUNCTION("""COMPUTED_VALUE"""),"")</f>
        <v/>
      </c>
      <c r="AC15531" s="16" t="str">
        <f>IFERROR(__xludf.DUMMYFUNCTION("""COMPUTED_VALUE"""),"")</f>
        <v/>
      </c>
    </row>
    <row r="15532">
      <c r="A15532" s="16" t="s">
        <v>87</v>
      </c>
      <c r="E15532" s="16" t="str">
        <f>IFERROR(__xludf.DUMMYFUNCTION("""COMPUTED_VALUE"""),"")</f>
        <v/>
      </c>
      <c r="G15532" s="18"/>
      <c r="H15532" s="16" t="s">
        <v>87</v>
      </c>
      <c r="I15532" s="16" t="s">
        <v>87</v>
      </c>
      <c r="J15532" s="19"/>
      <c r="L15532" s="16" t="str">
        <f>IFERROR(__xludf.DUMMYFUNCTION("""COMPUTED_VALUE"""),"")</f>
        <v/>
      </c>
      <c r="M15532" s="16" t="str">
        <f>IFERROR(__xludf.DUMMYFUNCTION("""COMPUTED_VALUE"""),"")</f>
        <v/>
      </c>
      <c r="U15532" s="16" t="s">
        <v>87</v>
      </c>
      <c r="V15532" s="16" t="str">
        <f>IFERROR(__xludf.DUMMYFUNCTION("""COMPUTED_VALUE"""),"")</f>
        <v/>
      </c>
      <c r="W15532" s="16" t="str">
        <f>IFERROR(__xludf.DUMMYFUNCTION("""COMPUTED_VALUE"""),"")</f>
        <v/>
      </c>
      <c r="X15532" s="16" t="str">
        <f>IFERROR(__xludf.DUMMYFUNCTION("""COMPUTED_VALUE"""),"")</f>
        <v/>
      </c>
      <c r="AC15532" s="16" t="str">
        <f>IFERROR(__xludf.DUMMYFUNCTION("""COMPUTED_VALUE"""),"")</f>
        <v/>
      </c>
    </row>
    <row r="15533">
      <c r="A15533" s="16" t="s">
        <v>87</v>
      </c>
      <c r="E15533" s="16" t="str">
        <f>IFERROR(__xludf.DUMMYFUNCTION("""COMPUTED_VALUE"""),"")</f>
        <v/>
      </c>
      <c r="G15533" s="18"/>
      <c r="H15533" s="16" t="s">
        <v>87</v>
      </c>
      <c r="I15533" s="16" t="s">
        <v>87</v>
      </c>
      <c r="J15533" s="19"/>
      <c r="L15533" s="16" t="str">
        <f>IFERROR(__xludf.DUMMYFUNCTION("""COMPUTED_VALUE"""),"")</f>
        <v/>
      </c>
      <c r="M15533" s="16" t="str">
        <f>IFERROR(__xludf.DUMMYFUNCTION("""COMPUTED_VALUE"""),"")</f>
        <v/>
      </c>
      <c r="U15533" s="16" t="s">
        <v>87</v>
      </c>
      <c r="V15533" s="16" t="str">
        <f>IFERROR(__xludf.DUMMYFUNCTION("""COMPUTED_VALUE"""),"")</f>
        <v/>
      </c>
      <c r="W15533" s="16" t="str">
        <f>IFERROR(__xludf.DUMMYFUNCTION("""COMPUTED_VALUE"""),"")</f>
        <v/>
      </c>
      <c r="X15533" s="16" t="str">
        <f>IFERROR(__xludf.DUMMYFUNCTION("""COMPUTED_VALUE"""),"")</f>
        <v/>
      </c>
      <c r="AC15533" s="16" t="str">
        <f>IFERROR(__xludf.DUMMYFUNCTION("""COMPUTED_VALUE"""),"")</f>
        <v/>
      </c>
    </row>
    <row r="15534">
      <c r="A15534" s="16" t="s">
        <v>87</v>
      </c>
      <c r="E15534" s="16" t="str">
        <f>IFERROR(__xludf.DUMMYFUNCTION("""COMPUTED_VALUE"""),"")</f>
        <v/>
      </c>
      <c r="G15534" s="18"/>
      <c r="H15534" s="16" t="s">
        <v>87</v>
      </c>
      <c r="I15534" s="16" t="s">
        <v>87</v>
      </c>
      <c r="J15534" s="19"/>
      <c r="L15534" s="16" t="str">
        <f>IFERROR(__xludf.DUMMYFUNCTION("""COMPUTED_VALUE"""),"")</f>
        <v/>
      </c>
      <c r="M15534" s="16" t="str">
        <f>IFERROR(__xludf.DUMMYFUNCTION("""COMPUTED_VALUE"""),"")</f>
        <v/>
      </c>
      <c r="U15534" s="16" t="s">
        <v>87</v>
      </c>
      <c r="V15534" s="16" t="str">
        <f>IFERROR(__xludf.DUMMYFUNCTION("""COMPUTED_VALUE"""),"")</f>
        <v/>
      </c>
      <c r="W15534" s="16" t="str">
        <f>IFERROR(__xludf.DUMMYFUNCTION("""COMPUTED_VALUE"""),"")</f>
        <v/>
      </c>
      <c r="X15534" s="16" t="str">
        <f>IFERROR(__xludf.DUMMYFUNCTION("""COMPUTED_VALUE"""),"")</f>
        <v/>
      </c>
      <c r="AC15534" s="16" t="str">
        <f>IFERROR(__xludf.DUMMYFUNCTION("""COMPUTED_VALUE"""),"")</f>
        <v/>
      </c>
    </row>
    <row r="15535">
      <c r="A15535" s="16" t="s">
        <v>87</v>
      </c>
      <c r="E15535" s="16" t="str">
        <f>IFERROR(__xludf.DUMMYFUNCTION("""COMPUTED_VALUE"""),"")</f>
        <v/>
      </c>
      <c r="G15535" s="18"/>
      <c r="H15535" s="16" t="s">
        <v>87</v>
      </c>
      <c r="I15535" s="16" t="s">
        <v>87</v>
      </c>
      <c r="J15535" s="19"/>
      <c r="L15535" s="16" t="str">
        <f>IFERROR(__xludf.DUMMYFUNCTION("""COMPUTED_VALUE"""),"")</f>
        <v/>
      </c>
      <c r="M15535" s="16" t="str">
        <f>IFERROR(__xludf.DUMMYFUNCTION("""COMPUTED_VALUE"""),"")</f>
        <v/>
      </c>
      <c r="U15535" s="16" t="s">
        <v>87</v>
      </c>
      <c r="V15535" s="16" t="str">
        <f>IFERROR(__xludf.DUMMYFUNCTION("""COMPUTED_VALUE"""),"")</f>
        <v/>
      </c>
      <c r="W15535" s="16" t="str">
        <f>IFERROR(__xludf.DUMMYFUNCTION("""COMPUTED_VALUE"""),"")</f>
        <v/>
      </c>
      <c r="X15535" s="16" t="str">
        <f>IFERROR(__xludf.DUMMYFUNCTION("""COMPUTED_VALUE"""),"")</f>
        <v/>
      </c>
      <c r="AC15535" s="16" t="str">
        <f>IFERROR(__xludf.DUMMYFUNCTION("""COMPUTED_VALUE"""),"")</f>
        <v/>
      </c>
    </row>
    <row r="15536">
      <c r="A15536" s="16" t="s">
        <v>87</v>
      </c>
      <c r="E15536" s="16" t="str">
        <f>IFERROR(__xludf.DUMMYFUNCTION("""COMPUTED_VALUE"""),"")</f>
        <v/>
      </c>
      <c r="G15536" s="18"/>
      <c r="H15536" s="16" t="s">
        <v>87</v>
      </c>
      <c r="I15536" s="16" t="s">
        <v>87</v>
      </c>
      <c r="J15536" s="19"/>
      <c r="L15536" s="16" t="str">
        <f>IFERROR(__xludf.DUMMYFUNCTION("""COMPUTED_VALUE"""),"")</f>
        <v/>
      </c>
      <c r="M15536" s="16" t="str">
        <f>IFERROR(__xludf.DUMMYFUNCTION("""COMPUTED_VALUE"""),"")</f>
        <v/>
      </c>
      <c r="U15536" s="16" t="s">
        <v>87</v>
      </c>
      <c r="V15536" s="16" t="str">
        <f>IFERROR(__xludf.DUMMYFUNCTION("""COMPUTED_VALUE"""),"")</f>
        <v/>
      </c>
      <c r="W15536" s="16" t="str">
        <f>IFERROR(__xludf.DUMMYFUNCTION("""COMPUTED_VALUE"""),"")</f>
        <v/>
      </c>
      <c r="X15536" s="16" t="str">
        <f>IFERROR(__xludf.DUMMYFUNCTION("""COMPUTED_VALUE"""),"")</f>
        <v/>
      </c>
      <c r="AC15536" s="16" t="str">
        <f>IFERROR(__xludf.DUMMYFUNCTION("""COMPUTED_VALUE"""),"")</f>
        <v/>
      </c>
    </row>
    <row r="15537">
      <c r="A15537" s="16" t="s">
        <v>87</v>
      </c>
      <c r="E15537" s="16" t="str">
        <f>IFERROR(__xludf.DUMMYFUNCTION("""COMPUTED_VALUE"""),"")</f>
        <v/>
      </c>
      <c r="G15537" s="18"/>
      <c r="H15537" s="16" t="s">
        <v>87</v>
      </c>
      <c r="I15537" s="16" t="s">
        <v>87</v>
      </c>
      <c r="J15537" s="19"/>
      <c r="L15537" s="16" t="str">
        <f>IFERROR(__xludf.DUMMYFUNCTION("""COMPUTED_VALUE"""),"")</f>
        <v/>
      </c>
      <c r="M15537" s="16" t="str">
        <f>IFERROR(__xludf.DUMMYFUNCTION("""COMPUTED_VALUE"""),"")</f>
        <v/>
      </c>
      <c r="U15537" s="16" t="s">
        <v>87</v>
      </c>
      <c r="V15537" s="16" t="str">
        <f>IFERROR(__xludf.DUMMYFUNCTION("""COMPUTED_VALUE"""),"")</f>
        <v/>
      </c>
      <c r="W15537" s="16" t="str">
        <f>IFERROR(__xludf.DUMMYFUNCTION("""COMPUTED_VALUE"""),"")</f>
        <v/>
      </c>
      <c r="X15537" s="16" t="str">
        <f>IFERROR(__xludf.DUMMYFUNCTION("""COMPUTED_VALUE"""),"")</f>
        <v/>
      </c>
      <c r="AC15537" s="16" t="str">
        <f>IFERROR(__xludf.DUMMYFUNCTION("""COMPUTED_VALUE"""),"")</f>
        <v/>
      </c>
    </row>
    <row r="15538">
      <c r="A15538" s="16" t="s">
        <v>87</v>
      </c>
      <c r="E15538" s="16" t="str">
        <f>IFERROR(__xludf.DUMMYFUNCTION("""COMPUTED_VALUE"""),"")</f>
        <v/>
      </c>
      <c r="G15538" s="18"/>
      <c r="H15538" s="16" t="s">
        <v>87</v>
      </c>
      <c r="I15538" s="16" t="s">
        <v>87</v>
      </c>
      <c r="J15538" s="19"/>
      <c r="L15538" s="16" t="str">
        <f>IFERROR(__xludf.DUMMYFUNCTION("""COMPUTED_VALUE"""),"")</f>
        <v/>
      </c>
      <c r="M15538" s="16" t="str">
        <f>IFERROR(__xludf.DUMMYFUNCTION("""COMPUTED_VALUE"""),"")</f>
        <v/>
      </c>
      <c r="U15538" s="16" t="s">
        <v>87</v>
      </c>
      <c r="V15538" s="16" t="str">
        <f>IFERROR(__xludf.DUMMYFUNCTION("""COMPUTED_VALUE"""),"")</f>
        <v/>
      </c>
      <c r="W15538" s="16" t="str">
        <f>IFERROR(__xludf.DUMMYFUNCTION("""COMPUTED_VALUE"""),"")</f>
        <v/>
      </c>
      <c r="X15538" s="16" t="str">
        <f>IFERROR(__xludf.DUMMYFUNCTION("""COMPUTED_VALUE"""),"")</f>
        <v/>
      </c>
      <c r="AC15538" s="16" t="str">
        <f>IFERROR(__xludf.DUMMYFUNCTION("""COMPUTED_VALUE"""),"")</f>
        <v/>
      </c>
    </row>
    <row r="15539">
      <c r="A15539" s="16" t="s">
        <v>87</v>
      </c>
      <c r="E15539" s="16" t="str">
        <f>IFERROR(__xludf.DUMMYFUNCTION("""COMPUTED_VALUE"""),"")</f>
        <v/>
      </c>
      <c r="G15539" s="18"/>
      <c r="H15539" s="16" t="s">
        <v>87</v>
      </c>
      <c r="I15539" s="16" t="s">
        <v>87</v>
      </c>
      <c r="J15539" s="19"/>
      <c r="L15539" s="16" t="str">
        <f>IFERROR(__xludf.DUMMYFUNCTION("""COMPUTED_VALUE"""),"")</f>
        <v/>
      </c>
      <c r="M15539" s="16" t="str">
        <f>IFERROR(__xludf.DUMMYFUNCTION("""COMPUTED_VALUE"""),"")</f>
        <v/>
      </c>
      <c r="U15539" s="16" t="s">
        <v>87</v>
      </c>
      <c r="V15539" s="16" t="str">
        <f>IFERROR(__xludf.DUMMYFUNCTION("""COMPUTED_VALUE"""),"")</f>
        <v/>
      </c>
      <c r="W15539" s="16" t="str">
        <f>IFERROR(__xludf.DUMMYFUNCTION("""COMPUTED_VALUE"""),"")</f>
        <v/>
      </c>
      <c r="X15539" s="16" t="str">
        <f>IFERROR(__xludf.DUMMYFUNCTION("""COMPUTED_VALUE"""),"")</f>
        <v/>
      </c>
      <c r="AC15539" s="16" t="str">
        <f>IFERROR(__xludf.DUMMYFUNCTION("""COMPUTED_VALUE"""),"")</f>
        <v/>
      </c>
    </row>
    <row r="15540">
      <c r="A15540" s="16" t="s">
        <v>87</v>
      </c>
      <c r="E15540" s="16" t="str">
        <f>IFERROR(__xludf.DUMMYFUNCTION("""COMPUTED_VALUE"""),"")</f>
        <v/>
      </c>
      <c r="G15540" s="18"/>
      <c r="H15540" s="16" t="s">
        <v>87</v>
      </c>
      <c r="I15540" s="16" t="s">
        <v>87</v>
      </c>
      <c r="J15540" s="19"/>
      <c r="L15540" s="16" t="str">
        <f>IFERROR(__xludf.DUMMYFUNCTION("""COMPUTED_VALUE"""),"")</f>
        <v/>
      </c>
      <c r="M15540" s="16" t="str">
        <f>IFERROR(__xludf.DUMMYFUNCTION("""COMPUTED_VALUE"""),"")</f>
        <v/>
      </c>
      <c r="U15540" s="16" t="s">
        <v>87</v>
      </c>
      <c r="V15540" s="16" t="str">
        <f>IFERROR(__xludf.DUMMYFUNCTION("""COMPUTED_VALUE"""),"")</f>
        <v/>
      </c>
      <c r="W15540" s="16" t="str">
        <f>IFERROR(__xludf.DUMMYFUNCTION("""COMPUTED_VALUE"""),"")</f>
        <v/>
      </c>
      <c r="X15540" s="16" t="str">
        <f>IFERROR(__xludf.DUMMYFUNCTION("""COMPUTED_VALUE"""),"")</f>
        <v/>
      </c>
      <c r="AC15540" s="16" t="str">
        <f>IFERROR(__xludf.DUMMYFUNCTION("""COMPUTED_VALUE"""),"")</f>
        <v/>
      </c>
    </row>
    <row r="15541">
      <c r="A15541" s="16" t="s">
        <v>87</v>
      </c>
      <c r="E15541" s="16" t="str">
        <f>IFERROR(__xludf.DUMMYFUNCTION("""COMPUTED_VALUE"""),"")</f>
        <v/>
      </c>
      <c r="G15541" s="18"/>
      <c r="H15541" s="16" t="s">
        <v>87</v>
      </c>
      <c r="I15541" s="16" t="s">
        <v>87</v>
      </c>
      <c r="J15541" s="19"/>
      <c r="L15541" s="16" t="str">
        <f>IFERROR(__xludf.DUMMYFUNCTION("""COMPUTED_VALUE"""),"")</f>
        <v/>
      </c>
      <c r="M15541" s="16" t="str">
        <f>IFERROR(__xludf.DUMMYFUNCTION("""COMPUTED_VALUE"""),"")</f>
        <v/>
      </c>
      <c r="U15541" s="16" t="s">
        <v>87</v>
      </c>
      <c r="V15541" s="16" t="str">
        <f>IFERROR(__xludf.DUMMYFUNCTION("""COMPUTED_VALUE"""),"")</f>
        <v/>
      </c>
      <c r="W15541" s="16" t="str">
        <f>IFERROR(__xludf.DUMMYFUNCTION("""COMPUTED_VALUE"""),"")</f>
        <v/>
      </c>
      <c r="X15541" s="16" t="str">
        <f>IFERROR(__xludf.DUMMYFUNCTION("""COMPUTED_VALUE"""),"")</f>
        <v/>
      </c>
      <c r="AC15541" s="16" t="str">
        <f>IFERROR(__xludf.DUMMYFUNCTION("""COMPUTED_VALUE"""),"")</f>
        <v/>
      </c>
    </row>
    <row r="15542">
      <c r="A15542" s="16" t="s">
        <v>87</v>
      </c>
      <c r="E15542" s="16" t="str">
        <f>IFERROR(__xludf.DUMMYFUNCTION("""COMPUTED_VALUE"""),"")</f>
        <v/>
      </c>
      <c r="G15542" s="18"/>
      <c r="H15542" s="16" t="s">
        <v>87</v>
      </c>
      <c r="I15542" s="16" t="s">
        <v>87</v>
      </c>
      <c r="J15542" s="19"/>
      <c r="L15542" s="16" t="str">
        <f>IFERROR(__xludf.DUMMYFUNCTION("""COMPUTED_VALUE"""),"")</f>
        <v/>
      </c>
      <c r="M15542" s="16" t="str">
        <f>IFERROR(__xludf.DUMMYFUNCTION("""COMPUTED_VALUE"""),"")</f>
        <v/>
      </c>
      <c r="U15542" s="16" t="s">
        <v>87</v>
      </c>
      <c r="V15542" s="16" t="str">
        <f>IFERROR(__xludf.DUMMYFUNCTION("""COMPUTED_VALUE"""),"")</f>
        <v/>
      </c>
      <c r="W15542" s="16" t="str">
        <f>IFERROR(__xludf.DUMMYFUNCTION("""COMPUTED_VALUE"""),"")</f>
        <v/>
      </c>
      <c r="X15542" s="16" t="str">
        <f>IFERROR(__xludf.DUMMYFUNCTION("""COMPUTED_VALUE"""),"")</f>
        <v/>
      </c>
      <c r="AC15542" s="16" t="str">
        <f>IFERROR(__xludf.DUMMYFUNCTION("""COMPUTED_VALUE"""),"")</f>
        <v/>
      </c>
    </row>
    <row r="15543">
      <c r="A15543" s="16" t="s">
        <v>87</v>
      </c>
      <c r="E15543" s="16" t="str">
        <f>IFERROR(__xludf.DUMMYFUNCTION("""COMPUTED_VALUE"""),"")</f>
        <v/>
      </c>
      <c r="G15543" s="18"/>
      <c r="H15543" s="16" t="s">
        <v>87</v>
      </c>
      <c r="I15543" s="16" t="s">
        <v>87</v>
      </c>
      <c r="J15543" s="19"/>
      <c r="L15543" s="16" t="str">
        <f>IFERROR(__xludf.DUMMYFUNCTION("""COMPUTED_VALUE"""),"")</f>
        <v/>
      </c>
      <c r="M15543" s="16" t="str">
        <f>IFERROR(__xludf.DUMMYFUNCTION("""COMPUTED_VALUE"""),"")</f>
        <v/>
      </c>
      <c r="U15543" s="16" t="s">
        <v>87</v>
      </c>
      <c r="V15543" s="16" t="str">
        <f>IFERROR(__xludf.DUMMYFUNCTION("""COMPUTED_VALUE"""),"")</f>
        <v/>
      </c>
      <c r="W15543" s="16" t="str">
        <f>IFERROR(__xludf.DUMMYFUNCTION("""COMPUTED_VALUE"""),"")</f>
        <v/>
      </c>
      <c r="X15543" s="16" t="str">
        <f>IFERROR(__xludf.DUMMYFUNCTION("""COMPUTED_VALUE"""),"")</f>
        <v/>
      </c>
      <c r="AC15543" s="16" t="str">
        <f>IFERROR(__xludf.DUMMYFUNCTION("""COMPUTED_VALUE"""),"")</f>
        <v/>
      </c>
    </row>
    <row r="15544">
      <c r="A15544" s="16" t="s">
        <v>87</v>
      </c>
      <c r="E15544" s="16" t="str">
        <f>IFERROR(__xludf.DUMMYFUNCTION("""COMPUTED_VALUE"""),"")</f>
        <v/>
      </c>
      <c r="G15544" s="18"/>
      <c r="H15544" s="16" t="s">
        <v>87</v>
      </c>
      <c r="I15544" s="16" t="s">
        <v>87</v>
      </c>
      <c r="J15544" s="19"/>
      <c r="L15544" s="16" t="str">
        <f>IFERROR(__xludf.DUMMYFUNCTION("""COMPUTED_VALUE"""),"")</f>
        <v/>
      </c>
      <c r="M15544" s="16" t="str">
        <f>IFERROR(__xludf.DUMMYFUNCTION("""COMPUTED_VALUE"""),"")</f>
        <v/>
      </c>
      <c r="U15544" s="16" t="s">
        <v>87</v>
      </c>
      <c r="V15544" s="16" t="str">
        <f>IFERROR(__xludf.DUMMYFUNCTION("""COMPUTED_VALUE"""),"")</f>
        <v/>
      </c>
      <c r="W15544" s="16" t="str">
        <f>IFERROR(__xludf.DUMMYFUNCTION("""COMPUTED_VALUE"""),"")</f>
        <v/>
      </c>
      <c r="X15544" s="16" t="str">
        <f>IFERROR(__xludf.DUMMYFUNCTION("""COMPUTED_VALUE"""),"")</f>
        <v/>
      </c>
      <c r="AC15544" s="16" t="str">
        <f>IFERROR(__xludf.DUMMYFUNCTION("""COMPUTED_VALUE"""),"")</f>
        <v/>
      </c>
    </row>
    <row r="15545">
      <c r="A15545" s="16" t="s">
        <v>87</v>
      </c>
      <c r="E15545" s="16" t="str">
        <f>IFERROR(__xludf.DUMMYFUNCTION("""COMPUTED_VALUE"""),"")</f>
        <v/>
      </c>
      <c r="G15545" s="18"/>
      <c r="H15545" s="16" t="s">
        <v>87</v>
      </c>
      <c r="I15545" s="16" t="s">
        <v>87</v>
      </c>
      <c r="J15545" s="19"/>
      <c r="L15545" s="16" t="str">
        <f>IFERROR(__xludf.DUMMYFUNCTION("""COMPUTED_VALUE"""),"")</f>
        <v/>
      </c>
      <c r="M15545" s="16" t="str">
        <f>IFERROR(__xludf.DUMMYFUNCTION("""COMPUTED_VALUE"""),"")</f>
        <v/>
      </c>
      <c r="U15545" s="16" t="s">
        <v>87</v>
      </c>
      <c r="V15545" s="16" t="str">
        <f>IFERROR(__xludf.DUMMYFUNCTION("""COMPUTED_VALUE"""),"")</f>
        <v/>
      </c>
      <c r="W15545" s="16" t="str">
        <f>IFERROR(__xludf.DUMMYFUNCTION("""COMPUTED_VALUE"""),"")</f>
        <v/>
      </c>
      <c r="X15545" s="16" t="str">
        <f>IFERROR(__xludf.DUMMYFUNCTION("""COMPUTED_VALUE"""),"")</f>
        <v/>
      </c>
      <c r="AC15545" s="16" t="str">
        <f>IFERROR(__xludf.DUMMYFUNCTION("""COMPUTED_VALUE"""),"")</f>
        <v/>
      </c>
    </row>
    <row r="15546">
      <c r="A15546" s="16" t="s">
        <v>87</v>
      </c>
      <c r="E15546" s="16" t="str">
        <f>IFERROR(__xludf.DUMMYFUNCTION("""COMPUTED_VALUE"""),"")</f>
        <v/>
      </c>
      <c r="G15546" s="18"/>
      <c r="H15546" s="16" t="s">
        <v>87</v>
      </c>
      <c r="I15546" s="16" t="s">
        <v>87</v>
      </c>
      <c r="J15546" s="19"/>
      <c r="L15546" s="16" t="str">
        <f>IFERROR(__xludf.DUMMYFUNCTION("""COMPUTED_VALUE"""),"")</f>
        <v/>
      </c>
      <c r="M15546" s="16" t="str">
        <f>IFERROR(__xludf.DUMMYFUNCTION("""COMPUTED_VALUE"""),"")</f>
        <v/>
      </c>
      <c r="U15546" s="16" t="s">
        <v>87</v>
      </c>
      <c r="V15546" s="16" t="str">
        <f>IFERROR(__xludf.DUMMYFUNCTION("""COMPUTED_VALUE"""),"")</f>
        <v/>
      </c>
      <c r="W15546" s="16" t="str">
        <f>IFERROR(__xludf.DUMMYFUNCTION("""COMPUTED_VALUE"""),"")</f>
        <v/>
      </c>
      <c r="X15546" s="16" t="str">
        <f>IFERROR(__xludf.DUMMYFUNCTION("""COMPUTED_VALUE"""),"")</f>
        <v/>
      </c>
      <c r="AC15546" s="16" t="str">
        <f>IFERROR(__xludf.DUMMYFUNCTION("""COMPUTED_VALUE"""),"")</f>
        <v/>
      </c>
    </row>
    <row r="15547">
      <c r="A15547" s="16" t="s">
        <v>87</v>
      </c>
      <c r="E15547" s="16" t="str">
        <f>IFERROR(__xludf.DUMMYFUNCTION("""COMPUTED_VALUE"""),"")</f>
        <v/>
      </c>
      <c r="G15547" s="18"/>
      <c r="H15547" s="16" t="s">
        <v>87</v>
      </c>
      <c r="I15547" s="16" t="s">
        <v>87</v>
      </c>
      <c r="J15547" s="19"/>
      <c r="L15547" s="16" t="str">
        <f>IFERROR(__xludf.DUMMYFUNCTION("""COMPUTED_VALUE"""),"")</f>
        <v/>
      </c>
      <c r="M15547" s="16" t="str">
        <f>IFERROR(__xludf.DUMMYFUNCTION("""COMPUTED_VALUE"""),"")</f>
        <v/>
      </c>
      <c r="U15547" s="16" t="s">
        <v>87</v>
      </c>
      <c r="V15547" s="16" t="str">
        <f>IFERROR(__xludf.DUMMYFUNCTION("""COMPUTED_VALUE"""),"")</f>
        <v/>
      </c>
      <c r="W15547" s="16" t="str">
        <f>IFERROR(__xludf.DUMMYFUNCTION("""COMPUTED_VALUE"""),"")</f>
        <v/>
      </c>
      <c r="X15547" s="16" t="str">
        <f>IFERROR(__xludf.DUMMYFUNCTION("""COMPUTED_VALUE"""),"")</f>
        <v/>
      </c>
      <c r="AC15547" s="16" t="str">
        <f>IFERROR(__xludf.DUMMYFUNCTION("""COMPUTED_VALUE"""),"")</f>
        <v/>
      </c>
    </row>
    <row r="15548">
      <c r="A15548" s="16" t="s">
        <v>87</v>
      </c>
      <c r="E15548" s="16" t="str">
        <f>IFERROR(__xludf.DUMMYFUNCTION("""COMPUTED_VALUE"""),"")</f>
        <v/>
      </c>
      <c r="G15548" s="18"/>
      <c r="H15548" s="16" t="s">
        <v>87</v>
      </c>
      <c r="I15548" s="16" t="s">
        <v>87</v>
      </c>
      <c r="J15548" s="19"/>
      <c r="L15548" s="16" t="str">
        <f>IFERROR(__xludf.DUMMYFUNCTION("""COMPUTED_VALUE"""),"")</f>
        <v/>
      </c>
      <c r="M15548" s="16" t="str">
        <f>IFERROR(__xludf.DUMMYFUNCTION("""COMPUTED_VALUE"""),"")</f>
        <v/>
      </c>
      <c r="U15548" s="16" t="s">
        <v>87</v>
      </c>
      <c r="V15548" s="16" t="str">
        <f>IFERROR(__xludf.DUMMYFUNCTION("""COMPUTED_VALUE"""),"")</f>
        <v/>
      </c>
      <c r="W15548" s="16" t="str">
        <f>IFERROR(__xludf.DUMMYFUNCTION("""COMPUTED_VALUE"""),"")</f>
        <v/>
      </c>
      <c r="X15548" s="16" t="str">
        <f>IFERROR(__xludf.DUMMYFUNCTION("""COMPUTED_VALUE"""),"")</f>
        <v/>
      </c>
      <c r="AC15548" s="16" t="str">
        <f>IFERROR(__xludf.DUMMYFUNCTION("""COMPUTED_VALUE"""),"")</f>
        <v/>
      </c>
    </row>
    <row r="15549">
      <c r="A15549" s="16" t="s">
        <v>87</v>
      </c>
      <c r="E15549" s="16" t="str">
        <f>IFERROR(__xludf.DUMMYFUNCTION("""COMPUTED_VALUE"""),"")</f>
        <v/>
      </c>
      <c r="G15549" s="18"/>
      <c r="H15549" s="16" t="s">
        <v>87</v>
      </c>
      <c r="I15549" s="16" t="s">
        <v>87</v>
      </c>
      <c r="J15549" s="19"/>
      <c r="L15549" s="16" t="str">
        <f>IFERROR(__xludf.DUMMYFUNCTION("""COMPUTED_VALUE"""),"")</f>
        <v/>
      </c>
      <c r="M15549" s="16" t="str">
        <f>IFERROR(__xludf.DUMMYFUNCTION("""COMPUTED_VALUE"""),"")</f>
        <v/>
      </c>
      <c r="U15549" s="16" t="s">
        <v>87</v>
      </c>
      <c r="V15549" s="16" t="str">
        <f>IFERROR(__xludf.DUMMYFUNCTION("""COMPUTED_VALUE"""),"")</f>
        <v/>
      </c>
      <c r="W15549" s="16" t="str">
        <f>IFERROR(__xludf.DUMMYFUNCTION("""COMPUTED_VALUE"""),"")</f>
        <v/>
      </c>
      <c r="X15549" s="16" t="str">
        <f>IFERROR(__xludf.DUMMYFUNCTION("""COMPUTED_VALUE"""),"")</f>
        <v/>
      </c>
      <c r="AC15549" s="16" t="str">
        <f>IFERROR(__xludf.DUMMYFUNCTION("""COMPUTED_VALUE"""),"")</f>
        <v/>
      </c>
    </row>
    <row r="15550">
      <c r="A15550" s="16" t="s">
        <v>87</v>
      </c>
      <c r="E15550" s="16" t="str">
        <f>IFERROR(__xludf.DUMMYFUNCTION("""COMPUTED_VALUE"""),"")</f>
        <v/>
      </c>
      <c r="G15550" s="18"/>
      <c r="H15550" s="16" t="s">
        <v>87</v>
      </c>
      <c r="I15550" s="16" t="s">
        <v>87</v>
      </c>
      <c r="J15550" s="19"/>
      <c r="L15550" s="16" t="str">
        <f>IFERROR(__xludf.DUMMYFUNCTION("""COMPUTED_VALUE"""),"")</f>
        <v/>
      </c>
      <c r="M15550" s="16" t="str">
        <f>IFERROR(__xludf.DUMMYFUNCTION("""COMPUTED_VALUE"""),"")</f>
        <v/>
      </c>
      <c r="U15550" s="16" t="s">
        <v>87</v>
      </c>
      <c r="V15550" s="16" t="str">
        <f>IFERROR(__xludf.DUMMYFUNCTION("""COMPUTED_VALUE"""),"")</f>
        <v/>
      </c>
      <c r="W15550" s="16" t="str">
        <f>IFERROR(__xludf.DUMMYFUNCTION("""COMPUTED_VALUE"""),"")</f>
        <v/>
      </c>
      <c r="X15550" s="16" t="str">
        <f>IFERROR(__xludf.DUMMYFUNCTION("""COMPUTED_VALUE"""),"")</f>
        <v/>
      </c>
      <c r="AC15550" s="16" t="str">
        <f>IFERROR(__xludf.DUMMYFUNCTION("""COMPUTED_VALUE"""),"")</f>
        <v/>
      </c>
    </row>
    <row r="15551">
      <c r="A15551" s="16" t="s">
        <v>87</v>
      </c>
      <c r="E15551" s="16" t="str">
        <f>IFERROR(__xludf.DUMMYFUNCTION("""COMPUTED_VALUE"""),"")</f>
        <v/>
      </c>
      <c r="G15551" s="18"/>
      <c r="H15551" s="16" t="s">
        <v>87</v>
      </c>
      <c r="I15551" s="16" t="s">
        <v>87</v>
      </c>
      <c r="J15551" s="19"/>
      <c r="L15551" s="16" t="str">
        <f>IFERROR(__xludf.DUMMYFUNCTION("""COMPUTED_VALUE"""),"")</f>
        <v/>
      </c>
      <c r="M15551" s="16" t="str">
        <f>IFERROR(__xludf.DUMMYFUNCTION("""COMPUTED_VALUE"""),"")</f>
        <v/>
      </c>
      <c r="U15551" s="16" t="s">
        <v>87</v>
      </c>
      <c r="V15551" s="16" t="str">
        <f>IFERROR(__xludf.DUMMYFUNCTION("""COMPUTED_VALUE"""),"")</f>
        <v/>
      </c>
      <c r="W15551" s="16" t="str">
        <f>IFERROR(__xludf.DUMMYFUNCTION("""COMPUTED_VALUE"""),"")</f>
        <v/>
      </c>
      <c r="X15551" s="16" t="str">
        <f>IFERROR(__xludf.DUMMYFUNCTION("""COMPUTED_VALUE"""),"")</f>
        <v/>
      </c>
      <c r="AC15551" s="16" t="str">
        <f>IFERROR(__xludf.DUMMYFUNCTION("""COMPUTED_VALUE"""),"")</f>
        <v/>
      </c>
    </row>
    <row r="15552">
      <c r="A15552" s="16" t="s">
        <v>87</v>
      </c>
      <c r="E15552" s="16" t="str">
        <f>IFERROR(__xludf.DUMMYFUNCTION("""COMPUTED_VALUE"""),"")</f>
        <v/>
      </c>
      <c r="G15552" s="18"/>
      <c r="H15552" s="16" t="s">
        <v>87</v>
      </c>
      <c r="I15552" s="16" t="s">
        <v>87</v>
      </c>
      <c r="J15552" s="19"/>
      <c r="L15552" s="16" t="str">
        <f>IFERROR(__xludf.DUMMYFUNCTION("""COMPUTED_VALUE"""),"")</f>
        <v/>
      </c>
      <c r="M15552" s="16" t="str">
        <f>IFERROR(__xludf.DUMMYFUNCTION("""COMPUTED_VALUE"""),"")</f>
        <v/>
      </c>
      <c r="U15552" s="16" t="s">
        <v>87</v>
      </c>
      <c r="V15552" s="16" t="str">
        <f>IFERROR(__xludf.DUMMYFUNCTION("""COMPUTED_VALUE"""),"")</f>
        <v/>
      </c>
      <c r="W15552" s="16" t="str">
        <f>IFERROR(__xludf.DUMMYFUNCTION("""COMPUTED_VALUE"""),"")</f>
        <v/>
      </c>
      <c r="X15552" s="16" t="str">
        <f>IFERROR(__xludf.DUMMYFUNCTION("""COMPUTED_VALUE"""),"")</f>
        <v/>
      </c>
      <c r="AC15552" s="16" t="str">
        <f>IFERROR(__xludf.DUMMYFUNCTION("""COMPUTED_VALUE"""),"")</f>
        <v/>
      </c>
    </row>
    <row r="15553">
      <c r="A15553" s="16" t="s">
        <v>87</v>
      </c>
      <c r="E15553" s="16" t="str">
        <f>IFERROR(__xludf.DUMMYFUNCTION("""COMPUTED_VALUE"""),"")</f>
        <v/>
      </c>
      <c r="G15553" s="18"/>
      <c r="H15553" s="16" t="s">
        <v>87</v>
      </c>
      <c r="I15553" s="16" t="s">
        <v>87</v>
      </c>
      <c r="J15553" s="19"/>
      <c r="L15553" s="16" t="str">
        <f>IFERROR(__xludf.DUMMYFUNCTION("""COMPUTED_VALUE"""),"")</f>
        <v/>
      </c>
      <c r="M15553" s="16" t="str">
        <f>IFERROR(__xludf.DUMMYFUNCTION("""COMPUTED_VALUE"""),"")</f>
        <v/>
      </c>
      <c r="U15553" s="16" t="s">
        <v>87</v>
      </c>
      <c r="V15553" s="16" t="str">
        <f>IFERROR(__xludf.DUMMYFUNCTION("""COMPUTED_VALUE"""),"")</f>
        <v/>
      </c>
      <c r="W15553" s="16" t="str">
        <f>IFERROR(__xludf.DUMMYFUNCTION("""COMPUTED_VALUE"""),"")</f>
        <v/>
      </c>
      <c r="X15553" s="16" t="str">
        <f>IFERROR(__xludf.DUMMYFUNCTION("""COMPUTED_VALUE"""),"")</f>
        <v/>
      </c>
      <c r="AC15553" s="16" t="str">
        <f>IFERROR(__xludf.DUMMYFUNCTION("""COMPUTED_VALUE"""),"")</f>
        <v/>
      </c>
    </row>
    <row r="15554">
      <c r="A15554" s="16" t="s">
        <v>87</v>
      </c>
      <c r="E15554" s="16" t="str">
        <f>IFERROR(__xludf.DUMMYFUNCTION("""COMPUTED_VALUE"""),"")</f>
        <v/>
      </c>
      <c r="G15554" s="18"/>
      <c r="H15554" s="16" t="s">
        <v>87</v>
      </c>
      <c r="I15554" s="16" t="s">
        <v>87</v>
      </c>
      <c r="J15554" s="19"/>
      <c r="L15554" s="16" t="str">
        <f>IFERROR(__xludf.DUMMYFUNCTION("""COMPUTED_VALUE"""),"")</f>
        <v/>
      </c>
      <c r="M15554" s="16" t="str">
        <f>IFERROR(__xludf.DUMMYFUNCTION("""COMPUTED_VALUE"""),"")</f>
        <v/>
      </c>
      <c r="U15554" s="16" t="s">
        <v>87</v>
      </c>
      <c r="V15554" s="16" t="str">
        <f>IFERROR(__xludf.DUMMYFUNCTION("""COMPUTED_VALUE"""),"")</f>
        <v/>
      </c>
      <c r="W15554" s="16" t="str">
        <f>IFERROR(__xludf.DUMMYFUNCTION("""COMPUTED_VALUE"""),"")</f>
        <v/>
      </c>
      <c r="X15554" s="16" t="str">
        <f>IFERROR(__xludf.DUMMYFUNCTION("""COMPUTED_VALUE"""),"")</f>
        <v/>
      </c>
      <c r="AC15554" s="16" t="str">
        <f>IFERROR(__xludf.DUMMYFUNCTION("""COMPUTED_VALUE"""),"")</f>
        <v/>
      </c>
    </row>
    <row r="15555">
      <c r="A15555" s="16" t="s">
        <v>87</v>
      </c>
      <c r="E15555" s="16" t="str">
        <f>IFERROR(__xludf.DUMMYFUNCTION("""COMPUTED_VALUE"""),"")</f>
        <v/>
      </c>
      <c r="G15555" s="18"/>
      <c r="H15555" s="16" t="s">
        <v>87</v>
      </c>
      <c r="I15555" s="16" t="s">
        <v>87</v>
      </c>
      <c r="J15555" s="19"/>
      <c r="L15555" s="16" t="str">
        <f>IFERROR(__xludf.DUMMYFUNCTION("""COMPUTED_VALUE"""),"")</f>
        <v/>
      </c>
      <c r="M15555" s="16" t="str">
        <f>IFERROR(__xludf.DUMMYFUNCTION("""COMPUTED_VALUE"""),"")</f>
        <v/>
      </c>
      <c r="U15555" s="16" t="s">
        <v>87</v>
      </c>
      <c r="V15555" s="16" t="str">
        <f>IFERROR(__xludf.DUMMYFUNCTION("""COMPUTED_VALUE"""),"")</f>
        <v/>
      </c>
      <c r="W15555" s="16" t="str">
        <f>IFERROR(__xludf.DUMMYFUNCTION("""COMPUTED_VALUE"""),"")</f>
        <v/>
      </c>
      <c r="X15555" s="16" t="str">
        <f>IFERROR(__xludf.DUMMYFUNCTION("""COMPUTED_VALUE"""),"")</f>
        <v/>
      </c>
      <c r="AC15555" s="16" t="str">
        <f>IFERROR(__xludf.DUMMYFUNCTION("""COMPUTED_VALUE"""),"")</f>
        <v/>
      </c>
    </row>
    <row r="15556">
      <c r="A15556" s="16" t="s">
        <v>87</v>
      </c>
      <c r="E15556" s="16" t="str">
        <f>IFERROR(__xludf.DUMMYFUNCTION("""COMPUTED_VALUE"""),"")</f>
        <v/>
      </c>
      <c r="G15556" s="18"/>
      <c r="H15556" s="16" t="s">
        <v>87</v>
      </c>
      <c r="I15556" s="16" t="s">
        <v>87</v>
      </c>
      <c r="J15556" s="19"/>
      <c r="L15556" s="16" t="str">
        <f>IFERROR(__xludf.DUMMYFUNCTION("""COMPUTED_VALUE"""),"")</f>
        <v/>
      </c>
      <c r="M15556" s="16" t="str">
        <f>IFERROR(__xludf.DUMMYFUNCTION("""COMPUTED_VALUE"""),"")</f>
        <v/>
      </c>
      <c r="U15556" s="16" t="s">
        <v>87</v>
      </c>
      <c r="V15556" s="16" t="str">
        <f>IFERROR(__xludf.DUMMYFUNCTION("""COMPUTED_VALUE"""),"")</f>
        <v/>
      </c>
      <c r="W15556" s="16" t="str">
        <f>IFERROR(__xludf.DUMMYFUNCTION("""COMPUTED_VALUE"""),"")</f>
        <v/>
      </c>
      <c r="X15556" s="16" t="str">
        <f>IFERROR(__xludf.DUMMYFUNCTION("""COMPUTED_VALUE"""),"")</f>
        <v/>
      </c>
      <c r="AC15556" s="16" t="str">
        <f>IFERROR(__xludf.DUMMYFUNCTION("""COMPUTED_VALUE"""),"")</f>
        <v/>
      </c>
    </row>
    <row r="15557">
      <c r="A15557" s="16" t="s">
        <v>87</v>
      </c>
      <c r="E15557" s="16" t="str">
        <f>IFERROR(__xludf.DUMMYFUNCTION("""COMPUTED_VALUE"""),"")</f>
        <v/>
      </c>
      <c r="G15557" s="18"/>
      <c r="H15557" s="16" t="s">
        <v>87</v>
      </c>
      <c r="I15557" s="16" t="s">
        <v>87</v>
      </c>
      <c r="J15557" s="19"/>
      <c r="L15557" s="16" t="str">
        <f>IFERROR(__xludf.DUMMYFUNCTION("""COMPUTED_VALUE"""),"")</f>
        <v/>
      </c>
      <c r="M15557" s="16" t="str">
        <f>IFERROR(__xludf.DUMMYFUNCTION("""COMPUTED_VALUE"""),"")</f>
        <v/>
      </c>
      <c r="U15557" s="16" t="s">
        <v>87</v>
      </c>
      <c r="V15557" s="16" t="str">
        <f>IFERROR(__xludf.DUMMYFUNCTION("""COMPUTED_VALUE"""),"")</f>
        <v/>
      </c>
      <c r="W15557" s="16" t="str">
        <f>IFERROR(__xludf.DUMMYFUNCTION("""COMPUTED_VALUE"""),"")</f>
        <v/>
      </c>
      <c r="X15557" s="16" t="str">
        <f>IFERROR(__xludf.DUMMYFUNCTION("""COMPUTED_VALUE"""),"")</f>
        <v/>
      </c>
      <c r="AC15557" s="16" t="str">
        <f>IFERROR(__xludf.DUMMYFUNCTION("""COMPUTED_VALUE"""),"")</f>
        <v/>
      </c>
    </row>
    <row r="15558">
      <c r="A15558" s="16" t="s">
        <v>87</v>
      </c>
      <c r="E15558" s="16" t="str">
        <f>IFERROR(__xludf.DUMMYFUNCTION("""COMPUTED_VALUE"""),"")</f>
        <v/>
      </c>
      <c r="G15558" s="18"/>
      <c r="H15558" s="16" t="s">
        <v>87</v>
      </c>
      <c r="I15558" s="16" t="s">
        <v>87</v>
      </c>
      <c r="J15558" s="19"/>
      <c r="L15558" s="16" t="str">
        <f>IFERROR(__xludf.DUMMYFUNCTION("""COMPUTED_VALUE"""),"")</f>
        <v/>
      </c>
      <c r="M15558" s="16" t="str">
        <f>IFERROR(__xludf.DUMMYFUNCTION("""COMPUTED_VALUE"""),"")</f>
        <v/>
      </c>
      <c r="U15558" s="16" t="s">
        <v>87</v>
      </c>
      <c r="V15558" s="16" t="str">
        <f>IFERROR(__xludf.DUMMYFUNCTION("""COMPUTED_VALUE"""),"")</f>
        <v/>
      </c>
      <c r="W15558" s="16" t="str">
        <f>IFERROR(__xludf.DUMMYFUNCTION("""COMPUTED_VALUE"""),"")</f>
        <v/>
      </c>
      <c r="X15558" s="16" t="str">
        <f>IFERROR(__xludf.DUMMYFUNCTION("""COMPUTED_VALUE"""),"")</f>
        <v/>
      </c>
      <c r="AC15558" s="16" t="str">
        <f>IFERROR(__xludf.DUMMYFUNCTION("""COMPUTED_VALUE"""),"")</f>
        <v/>
      </c>
    </row>
    <row r="15559">
      <c r="A15559" s="16" t="s">
        <v>87</v>
      </c>
      <c r="E15559" s="16" t="str">
        <f>IFERROR(__xludf.DUMMYFUNCTION("""COMPUTED_VALUE"""),"")</f>
        <v/>
      </c>
      <c r="G15559" s="18"/>
      <c r="H15559" s="16" t="s">
        <v>87</v>
      </c>
      <c r="I15559" s="16" t="s">
        <v>87</v>
      </c>
      <c r="J15559" s="19"/>
      <c r="L15559" s="16" t="str">
        <f>IFERROR(__xludf.DUMMYFUNCTION("""COMPUTED_VALUE"""),"")</f>
        <v/>
      </c>
      <c r="M15559" s="16" t="str">
        <f>IFERROR(__xludf.DUMMYFUNCTION("""COMPUTED_VALUE"""),"")</f>
        <v/>
      </c>
      <c r="U15559" s="16" t="s">
        <v>87</v>
      </c>
      <c r="V15559" s="16" t="str">
        <f>IFERROR(__xludf.DUMMYFUNCTION("""COMPUTED_VALUE"""),"")</f>
        <v/>
      </c>
      <c r="W15559" s="16" t="str">
        <f>IFERROR(__xludf.DUMMYFUNCTION("""COMPUTED_VALUE"""),"")</f>
        <v/>
      </c>
      <c r="X15559" s="16" t="str">
        <f>IFERROR(__xludf.DUMMYFUNCTION("""COMPUTED_VALUE"""),"")</f>
        <v/>
      </c>
      <c r="AC15559" s="16" t="str">
        <f>IFERROR(__xludf.DUMMYFUNCTION("""COMPUTED_VALUE"""),"")</f>
        <v/>
      </c>
    </row>
    <row r="15560">
      <c r="A15560" s="16" t="s">
        <v>87</v>
      </c>
      <c r="E15560" s="16" t="str">
        <f>IFERROR(__xludf.DUMMYFUNCTION("""COMPUTED_VALUE"""),"")</f>
        <v/>
      </c>
      <c r="G15560" s="18"/>
      <c r="H15560" s="16" t="s">
        <v>87</v>
      </c>
      <c r="I15560" s="16" t="s">
        <v>87</v>
      </c>
      <c r="J15560" s="19"/>
      <c r="L15560" s="16" t="str">
        <f>IFERROR(__xludf.DUMMYFUNCTION("""COMPUTED_VALUE"""),"")</f>
        <v/>
      </c>
      <c r="M15560" s="16" t="str">
        <f>IFERROR(__xludf.DUMMYFUNCTION("""COMPUTED_VALUE"""),"")</f>
        <v/>
      </c>
      <c r="U15560" s="16" t="s">
        <v>87</v>
      </c>
      <c r="V15560" s="16" t="str">
        <f>IFERROR(__xludf.DUMMYFUNCTION("""COMPUTED_VALUE"""),"")</f>
        <v/>
      </c>
      <c r="W15560" s="16" t="str">
        <f>IFERROR(__xludf.DUMMYFUNCTION("""COMPUTED_VALUE"""),"")</f>
        <v/>
      </c>
      <c r="X15560" s="16" t="str">
        <f>IFERROR(__xludf.DUMMYFUNCTION("""COMPUTED_VALUE"""),"")</f>
        <v/>
      </c>
      <c r="AC15560" s="16" t="str">
        <f>IFERROR(__xludf.DUMMYFUNCTION("""COMPUTED_VALUE"""),"")</f>
        <v/>
      </c>
    </row>
    <row r="15561">
      <c r="A15561" s="16" t="s">
        <v>87</v>
      </c>
      <c r="E15561" s="16" t="str">
        <f>IFERROR(__xludf.DUMMYFUNCTION("""COMPUTED_VALUE"""),"")</f>
        <v/>
      </c>
      <c r="G15561" s="18"/>
      <c r="H15561" s="16" t="s">
        <v>87</v>
      </c>
      <c r="I15561" s="16" t="s">
        <v>87</v>
      </c>
      <c r="J15561" s="19"/>
      <c r="L15561" s="16" t="str">
        <f>IFERROR(__xludf.DUMMYFUNCTION("""COMPUTED_VALUE"""),"")</f>
        <v/>
      </c>
      <c r="M15561" s="16" t="str">
        <f>IFERROR(__xludf.DUMMYFUNCTION("""COMPUTED_VALUE"""),"")</f>
        <v/>
      </c>
      <c r="U15561" s="16" t="s">
        <v>87</v>
      </c>
      <c r="V15561" s="16" t="str">
        <f>IFERROR(__xludf.DUMMYFUNCTION("""COMPUTED_VALUE"""),"")</f>
        <v/>
      </c>
      <c r="W15561" s="16" t="str">
        <f>IFERROR(__xludf.DUMMYFUNCTION("""COMPUTED_VALUE"""),"")</f>
        <v/>
      </c>
      <c r="X15561" s="16" t="str">
        <f>IFERROR(__xludf.DUMMYFUNCTION("""COMPUTED_VALUE"""),"")</f>
        <v/>
      </c>
      <c r="AC15561" s="16" t="str">
        <f>IFERROR(__xludf.DUMMYFUNCTION("""COMPUTED_VALUE"""),"")</f>
        <v/>
      </c>
    </row>
    <row r="15562">
      <c r="A15562" s="16" t="s">
        <v>87</v>
      </c>
      <c r="E15562" s="16" t="str">
        <f>IFERROR(__xludf.DUMMYFUNCTION("""COMPUTED_VALUE"""),"")</f>
        <v/>
      </c>
      <c r="G15562" s="18"/>
      <c r="H15562" s="16" t="s">
        <v>87</v>
      </c>
      <c r="I15562" s="16" t="s">
        <v>87</v>
      </c>
      <c r="J15562" s="19"/>
      <c r="L15562" s="16" t="str">
        <f>IFERROR(__xludf.DUMMYFUNCTION("""COMPUTED_VALUE"""),"")</f>
        <v/>
      </c>
      <c r="M15562" s="16" t="str">
        <f>IFERROR(__xludf.DUMMYFUNCTION("""COMPUTED_VALUE"""),"")</f>
        <v/>
      </c>
      <c r="U15562" s="16" t="s">
        <v>87</v>
      </c>
      <c r="V15562" s="16" t="str">
        <f>IFERROR(__xludf.DUMMYFUNCTION("""COMPUTED_VALUE"""),"")</f>
        <v/>
      </c>
      <c r="W15562" s="16" t="str">
        <f>IFERROR(__xludf.DUMMYFUNCTION("""COMPUTED_VALUE"""),"")</f>
        <v/>
      </c>
      <c r="X15562" s="16" t="str">
        <f>IFERROR(__xludf.DUMMYFUNCTION("""COMPUTED_VALUE"""),"")</f>
        <v/>
      </c>
      <c r="AC15562" s="16" t="str">
        <f>IFERROR(__xludf.DUMMYFUNCTION("""COMPUTED_VALUE"""),"")</f>
        <v/>
      </c>
    </row>
    <row r="15563">
      <c r="A15563" s="16" t="s">
        <v>87</v>
      </c>
      <c r="E15563" s="16" t="str">
        <f>IFERROR(__xludf.DUMMYFUNCTION("""COMPUTED_VALUE"""),"")</f>
        <v/>
      </c>
      <c r="G15563" s="18"/>
      <c r="H15563" s="16" t="s">
        <v>87</v>
      </c>
      <c r="I15563" s="16" t="s">
        <v>87</v>
      </c>
      <c r="J15563" s="19"/>
      <c r="L15563" s="16" t="str">
        <f>IFERROR(__xludf.DUMMYFUNCTION("""COMPUTED_VALUE"""),"")</f>
        <v/>
      </c>
      <c r="M15563" s="16" t="str">
        <f>IFERROR(__xludf.DUMMYFUNCTION("""COMPUTED_VALUE"""),"")</f>
        <v/>
      </c>
      <c r="U15563" s="16" t="s">
        <v>87</v>
      </c>
      <c r="V15563" s="16" t="str">
        <f>IFERROR(__xludf.DUMMYFUNCTION("""COMPUTED_VALUE"""),"")</f>
        <v/>
      </c>
      <c r="W15563" s="16" t="str">
        <f>IFERROR(__xludf.DUMMYFUNCTION("""COMPUTED_VALUE"""),"")</f>
        <v/>
      </c>
      <c r="X15563" s="16" t="str">
        <f>IFERROR(__xludf.DUMMYFUNCTION("""COMPUTED_VALUE"""),"")</f>
        <v/>
      </c>
      <c r="AC15563" s="16" t="str">
        <f>IFERROR(__xludf.DUMMYFUNCTION("""COMPUTED_VALUE"""),"")</f>
        <v/>
      </c>
    </row>
    <row r="15564">
      <c r="A15564" s="16" t="s">
        <v>87</v>
      </c>
      <c r="E15564" s="16" t="str">
        <f>IFERROR(__xludf.DUMMYFUNCTION("""COMPUTED_VALUE"""),"")</f>
        <v/>
      </c>
      <c r="G15564" s="18"/>
      <c r="H15564" s="16" t="s">
        <v>87</v>
      </c>
      <c r="I15564" s="16" t="s">
        <v>87</v>
      </c>
      <c r="J15564" s="19"/>
      <c r="L15564" s="16" t="str">
        <f>IFERROR(__xludf.DUMMYFUNCTION("""COMPUTED_VALUE"""),"")</f>
        <v/>
      </c>
      <c r="M15564" s="16" t="str">
        <f>IFERROR(__xludf.DUMMYFUNCTION("""COMPUTED_VALUE"""),"")</f>
        <v/>
      </c>
      <c r="U15564" s="16" t="s">
        <v>87</v>
      </c>
      <c r="V15564" s="16" t="str">
        <f>IFERROR(__xludf.DUMMYFUNCTION("""COMPUTED_VALUE"""),"")</f>
        <v/>
      </c>
      <c r="W15564" s="16" t="str">
        <f>IFERROR(__xludf.DUMMYFUNCTION("""COMPUTED_VALUE"""),"")</f>
        <v/>
      </c>
      <c r="X15564" s="16" t="str">
        <f>IFERROR(__xludf.DUMMYFUNCTION("""COMPUTED_VALUE"""),"")</f>
        <v/>
      </c>
      <c r="AC15564" s="16" t="str">
        <f>IFERROR(__xludf.DUMMYFUNCTION("""COMPUTED_VALUE"""),"")</f>
        <v/>
      </c>
    </row>
    <row r="15565">
      <c r="A15565" s="16" t="s">
        <v>87</v>
      </c>
      <c r="E15565" s="16" t="str">
        <f>IFERROR(__xludf.DUMMYFUNCTION("""COMPUTED_VALUE"""),"")</f>
        <v/>
      </c>
      <c r="G15565" s="18"/>
      <c r="H15565" s="16" t="s">
        <v>87</v>
      </c>
      <c r="I15565" s="16" t="s">
        <v>87</v>
      </c>
      <c r="J15565" s="19"/>
      <c r="L15565" s="16" t="str">
        <f>IFERROR(__xludf.DUMMYFUNCTION("""COMPUTED_VALUE"""),"")</f>
        <v/>
      </c>
      <c r="M15565" s="16" t="str">
        <f>IFERROR(__xludf.DUMMYFUNCTION("""COMPUTED_VALUE"""),"")</f>
        <v/>
      </c>
      <c r="U15565" s="16" t="s">
        <v>87</v>
      </c>
      <c r="V15565" s="16" t="str">
        <f>IFERROR(__xludf.DUMMYFUNCTION("""COMPUTED_VALUE"""),"")</f>
        <v/>
      </c>
      <c r="W15565" s="16" t="str">
        <f>IFERROR(__xludf.DUMMYFUNCTION("""COMPUTED_VALUE"""),"")</f>
        <v/>
      </c>
      <c r="X15565" s="16" t="str">
        <f>IFERROR(__xludf.DUMMYFUNCTION("""COMPUTED_VALUE"""),"")</f>
        <v/>
      </c>
      <c r="AC15565" s="16" t="str">
        <f>IFERROR(__xludf.DUMMYFUNCTION("""COMPUTED_VALUE"""),"")</f>
        <v/>
      </c>
    </row>
    <row r="15566">
      <c r="A15566" s="16" t="s">
        <v>87</v>
      </c>
      <c r="E15566" s="16" t="str">
        <f>IFERROR(__xludf.DUMMYFUNCTION("""COMPUTED_VALUE"""),"")</f>
        <v/>
      </c>
      <c r="G15566" s="18"/>
      <c r="H15566" s="16" t="s">
        <v>87</v>
      </c>
      <c r="I15566" s="16" t="s">
        <v>87</v>
      </c>
      <c r="J15566" s="19"/>
      <c r="L15566" s="16" t="str">
        <f>IFERROR(__xludf.DUMMYFUNCTION("""COMPUTED_VALUE"""),"")</f>
        <v/>
      </c>
      <c r="M15566" s="16" t="str">
        <f>IFERROR(__xludf.DUMMYFUNCTION("""COMPUTED_VALUE"""),"")</f>
        <v/>
      </c>
      <c r="U15566" s="16" t="s">
        <v>87</v>
      </c>
      <c r="V15566" s="16" t="str">
        <f>IFERROR(__xludf.DUMMYFUNCTION("""COMPUTED_VALUE"""),"")</f>
        <v/>
      </c>
      <c r="W15566" s="16" t="str">
        <f>IFERROR(__xludf.DUMMYFUNCTION("""COMPUTED_VALUE"""),"")</f>
        <v/>
      </c>
      <c r="X15566" s="16" t="str">
        <f>IFERROR(__xludf.DUMMYFUNCTION("""COMPUTED_VALUE"""),"")</f>
        <v/>
      </c>
      <c r="AC15566" s="16" t="str">
        <f>IFERROR(__xludf.DUMMYFUNCTION("""COMPUTED_VALUE"""),"")</f>
        <v/>
      </c>
    </row>
    <row r="15567">
      <c r="A15567" s="16" t="s">
        <v>87</v>
      </c>
      <c r="E15567" s="16" t="str">
        <f>IFERROR(__xludf.DUMMYFUNCTION("""COMPUTED_VALUE"""),"")</f>
        <v/>
      </c>
      <c r="G15567" s="18"/>
      <c r="H15567" s="16" t="s">
        <v>87</v>
      </c>
      <c r="I15567" s="16" t="s">
        <v>87</v>
      </c>
      <c r="J15567" s="19"/>
      <c r="L15567" s="16" t="str">
        <f>IFERROR(__xludf.DUMMYFUNCTION("""COMPUTED_VALUE"""),"")</f>
        <v/>
      </c>
      <c r="M15567" s="16" t="str">
        <f>IFERROR(__xludf.DUMMYFUNCTION("""COMPUTED_VALUE"""),"")</f>
        <v/>
      </c>
      <c r="U15567" s="16" t="s">
        <v>87</v>
      </c>
      <c r="V15567" s="16" t="str">
        <f>IFERROR(__xludf.DUMMYFUNCTION("""COMPUTED_VALUE"""),"")</f>
        <v/>
      </c>
      <c r="W15567" s="16" t="str">
        <f>IFERROR(__xludf.DUMMYFUNCTION("""COMPUTED_VALUE"""),"")</f>
        <v/>
      </c>
      <c r="X15567" s="16" t="str">
        <f>IFERROR(__xludf.DUMMYFUNCTION("""COMPUTED_VALUE"""),"")</f>
        <v/>
      </c>
      <c r="AC15567" s="16" t="str">
        <f>IFERROR(__xludf.DUMMYFUNCTION("""COMPUTED_VALUE"""),"")</f>
        <v/>
      </c>
    </row>
    <row r="15568">
      <c r="A15568" s="16" t="s">
        <v>87</v>
      </c>
      <c r="E15568" s="16" t="str">
        <f>IFERROR(__xludf.DUMMYFUNCTION("""COMPUTED_VALUE"""),"")</f>
        <v/>
      </c>
      <c r="G15568" s="18"/>
      <c r="H15568" s="16" t="s">
        <v>87</v>
      </c>
      <c r="I15568" s="16" t="s">
        <v>87</v>
      </c>
      <c r="J15568" s="19"/>
      <c r="L15568" s="16" t="str">
        <f>IFERROR(__xludf.DUMMYFUNCTION("""COMPUTED_VALUE"""),"")</f>
        <v/>
      </c>
      <c r="M15568" s="16" t="str">
        <f>IFERROR(__xludf.DUMMYFUNCTION("""COMPUTED_VALUE"""),"")</f>
        <v/>
      </c>
      <c r="U15568" s="16" t="s">
        <v>87</v>
      </c>
      <c r="V15568" s="16" t="str">
        <f>IFERROR(__xludf.DUMMYFUNCTION("""COMPUTED_VALUE"""),"")</f>
        <v/>
      </c>
      <c r="W15568" s="16" t="str">
        <f>IFERROR(__xludf.DUMMYFUNCTION("""COMPUTED_VALUE"""),"")</f>
        <v/>
      </c>
      <c r="X15568" s="16" t="str">
        <f>IFERROR(__xludf.DUMMYFUNCTION("""COMPUTED_VALUE"""),"")</f>
        <v/>
      </c>
      <c r="AC15568" s="16" t="str">
        <f>IFERROR(__xludf.DUMMYFUNCTION("""COMPUTED_VALUE"""),"")</f>
        <v/>
      </c>
    </row>
    <row r="15569">
      <c r="A15569" s="16" t="s">
        <v>87</v>
      </c>
      <c r="E15569" s="16" t="str">
        <f>IFERROR(__xludf.DUMMYFUNCTION("""COMPUTED_VALUE"""),"")</f>
        <v/>
      </c>
      <c r="G15569" s="18"/>
      <c r="H15569" s="16" t="s">
        <v>87</v>
      </c>
      <c r="I15569" s="16" t="s">
        <v>87</v>
      </c>
      <c r="J15569" s="19"/>
      <c r="L15569" s="16" t="str">
        <f>IFERROR(__xludf.DUMMYFUNCTION("""COMPUTED_VALUE"""),"")</f>
        <v/>
      </c>
      <c r="M15569" s="16" t="str">
        <f>IFERROR(__xludf.DUMMYFUNCTION("""COMPUTED_VALUE"""),"")</f>
        <v/>
      </c>
      <c r="U15569" s="16" t="s">
        <v>87</v>
      </c>
      <c r="V15569" s="16" t="str">
        <f>IFERROR(__xludf.DUMMYFUNCTION("""COMPUTED_VALUE"""),"")</f>
        <v/>
      </c>
      <c r="W15569" s="16" t="str">
        <f>IFERROR(__xludf.DUMMYFUNCTION("""COMPUTED_VALUE"""),"")</f>
        <v/>
      </c>
      <c r="X15569" s="16" t="str">
        <f>IFERROR(__xludf.DUMMYFUNCTION("""COMPUTED_VALUE"""),"")</f>
        <v/>
      </c>
      <c r="AC15569" s="16" t="str">
        <f>IFERROR(__xludf.DUMMYFUNCTION("""COMPUTED_VALUE"""),"")</f>
        <v/>
      </c>
    </row>
    <row r="15570">
      <c r="A15570" s="16" t="s">
        <v>87</v>
      </c>
      <c r="E15570" s="16" t="str">
        <f>IFERROR(__xludf.DUMMYFUNCTION("""COMPUTED_VALUE"""),"")</f>
        <v/>
      </c>
      <c r="G15570" s="18"/>
      <c r="H15570" s="16" t="s">
        <v>87</v>
      </c>
      <c r="I15570" s="16" t="s">
        <v>87</v>
      </c>
      <c r="J15570" s="19"/>
      <c r="L15570" s="16" t="str">
        <f>IFERROR(__xludf.DUMMYFUNCTION("""COMPUTED_VALUE"""),"")</f>
        <v/>
      </c>
      <c r="M15570" s="16" t="str">
        <f>IFERROR(__xludf.DUMMYFUNCTION("""COMPUTED_VALUE"""),"")</f>
        <v/>
      </c>
      <c r="U15570" s="16" t="s">
        <v>87</v>
      </c>
      <c r="V15570" s="16" t="str">
        <f>IFERROR(__xludf.DUMMYFUNCTION("""COMPUTED_VALUE"""),"")</f>
        <v/>
      </c>
      <c r="W15570" s="16" t="str">
        <f>IFERROR(__xludf.DUMMYFUNCTION("""COMPUTED_VALUE"""),"")</f>
        <v/>
      </c>
      <c r="X15570" s="16" t="str">
        <f>IFERROR(__xludf.DUMMYFUNCTION("""COMPUTED_VALUE"""),"")</f>
        <v/>
      </c>
      <c r="AC15570" s="16" t="str">
        <f>IFERROR(__xludf.DUMMYFUNCTION("""COMPUTED_VALUE"""),"")</f>
        <v/>
      </c>
    </row>
    <row r="15571">
      <c r="A15571" s="16" t="s">
        <v>87</v>
      </c>
      <c r="E15571" s="16" t="str">
        <f>IFERROR(__xludf.DUMMYFUNCTION("""COMPUTED_VALUE"""),"")</f>
        <v/>
      </c>
      <c r="G15571" s="18"/>
      <c r="H15571" s="16" t="s">
        <v>87</v>
      </c>
      <c r="I15571" s="16" t="s">
        <v>87</v>
      </c>
      <c r="J15571" s="19"/>
      <c r="L15571" s="16" t="str">
        <f>IFERROR(__xludf.DUMMYFUNCTION("""COMPUTED_VALUE"""),"")</f>
        <v/>
      </c>
      <c r="M15571" s="16" t="str">
        <f>IFERROR(__xludf.DUMMYFUNCTION("""COMPUTED_VALUE"""),"")</f>
        <v/>
      </c>
      <c r="U15571" s="16" t="s">
        <v>87</v>
      </c>
      <c r="V15571" s="16" t="str">
        <f>IFERROR(__xludf.DUMMYFUNCTION("""COMPUTED_VALUE"""),"")</f>
        <v/>
      </c>
      <c r="W15571" s="16" t="str">
        <f>IFERROR(__xludf.DUMMYFUNCTION("""COMPUTED_VALUE"""),"")</f>
        <v/>
      </c>
      <c r="X15571" s="16" t="str">
        <f>IFERROR(__xludf.DUMMYFUNCTION("""COMPUTED_VALUE"""),"")</f>
        <v/>
      </c>
      <c r="AC15571" s="16" t="str">
        <f>IFERROR(__xludf.DUMMYFUNCTION("""COMPUTED_VALUE"""),"")</f>
        <v/>
      </c>
    </row>
    <row r="15572">
      <c r="A15572" s="16" t="s">
        <v>87</v>
      </c>
      <c r="E15572" s="16" t="str">
        <f>IFERROR(__xludf.DUMMYFUNCTION("""COMPUTED_VALUE"""),"")</f>
        <v/>
      </c>
      <c r="G15572" s="18"/>
      <c r="H15572" s="16" t="s">
        <v>87</v>
      </c>
      <c r="I15572" s="16" t="s">
        <v>87</v>
      </c>
      <c r="J15572" s="19"/>
      <c r="L15572" s="16" t="str">
        <f>IFERROR(__xludf.DUMMYFUNCTION("""COMPUTED_VALUE"""),"")</f>
        <v/>
      </c>
      <c r="M15572" s="16" t="str">
        <f>IFERROR(__xludf.DUMMYFUNCTION("""COMPUTED_VALUE"""),"")</f>
        <v/>
      </c>
      <c r="U15572" s="16" t="s">
        <v>87</v>
      </c>
      <c r="V15572" s="16" t="str">
        <f>IFERROR(__xludf.DUMMYFUNCTION("""COMPUTED_VALUE"""),"")</f>
        <v/>
      </c>
      <c r="W15572" s="16" t="str">
        <f>IFERROR(__xludf.DUMMYFUNCTION("""COMPUTED_VALUE"""),"")</f>
        <v/>
      </c>
      <c r="X15572" s="16" t="str">
        <f>IFERROR(__xludf.DUMMYFUNCTION("""COMPUTED_VALUE"""),"")</f>
        <v/>
      </c>
      <c r="AC15572" s="16" t="str">
        <f>IFERROR(__xludf.DUMMYFUNCTION("""COMPUTED_VALUE"""),"")</f>
        <v/>
      </c>
    </row>
    <row r="15573">
      <c r="A15573" s="16" t="s">
        <v>87</v>
      </c>
      <c r="E15573" s="16" t="str">
        <f>IFERROR(__xludf.DUMMYFUNCTION("""COMPUTED_VALUE"""),"")</f>
        <v/>
      </c>
      <c r="G15573" s="18"/>
      <c r="H15573" s="16" t="s">
        <v>87</v>
      </c>
      <c r="I15573" s="16" t="s">
        <v>87</v>
      </c>
      <c r="J15573" s="19"/>
      <c r="L15573" s="16" t="str">
        <f>IFERROR(__xludf.DUMMYFUNCTION("""COMPUTED_VALUE"""),"")</f>
        <v/>
      </c>
      <c r="M15573" s="16" t="str">
        <f>IFERROR(__xludf.DUMMYFUNCTION("""COMPUTED_VALUE"""),"")</f>
        <v/>
      </c>
      <c r="U15573" s="16" t="s">
        <v>87</v>
      </c>
      <c r="V15573" s="16" t="str">
        <f>IFERROR(__xludf.DUMMYFUNCTION("""COMPUTED_VALUE"""),"")</f>
        <v/>
      </c>
      <c r="W15573" s="16" t="str">
        <f>IFERROR(__xludf.DUMMYFUNCTION("""COMPUTED_VALUE"""),"")</f>
        <v/>
      </c>
      <c r="X15573" s="16" t="str">
        <f>IFERROR(__xludf.DUMMYFUNCTION("""COMPUTED_VALUE"""),"")</f>
        <v/>
      </c>
      <c r="AC15573" s="16" t="str">
        <f>IFERROR(__xludf.DUMMYFUNCTION("""COMPUTED_VALUE"""),"")</f>
        <v/>
      </c>
    </row>
    <row r="15574">
      <c r="A15574" s="16" t="s">
        <v>87</v>
      </c>
      <c r="E15574" s="16" t="str">
        <f>IFERROR(__xludf.DUMMYFUNCTION("""COMPUTED_VALUE"""),"")</f>
        <v/>
      </c>
      <c r="G15574" s="18"/>
      <c r="H15574" s="16" t="s">
        <v>87</v>
      </c>
      <c r="I15574" s="16" t="s">
        <v>87</v>
      </c>
      <c r="J15574" s="19"/>
      <c r="L15574" s="16" t="str">
        <f>IFERROR(__xludf.DUMMYFUNCTION("""COMPUTED_VALUE"""),"")</f>
        <v/>
      </c>
      <c r="M15574" s="16" t="str">
        <f>IFERROR(__xludf.DUMMYFUNCTION("""COMPUTED_VALUE"""),"")</f>
        <v/>
      </c>
      <c r="U15574" s="16" t="s">
        <v>87</v>
      </c>
      <c r="V15574" s="16" t="str">
        <f>IFERROR(__xludf.DUMMYFUNCTION("""COMPUTED_VALUE"""),"")</f>
        <v/>
      </c>
      <c r="W15574" s="16" t="str">
        <f>IFERROR(__xludf.DUMMYFUNCTION("""COMPUTED_VALUE"""),"")</f>
        <v/>
      </c>
      <c r="X15574" s="16" t="str">
        <f>IFERROR(__xludf.DUMMYFUNCTION("""COMPUTED_VALUE"""),"")</f>
        <v/>
      </c>
      <c r="AC15574" s="16" t="str">
        <f>IFERROR(__xludf.DUMMYFUNCTION("""COMPUTED_VALUE"""),"")</f>
        <v/>
      </c>
    </row>
    <row r="15575">
      <c r="A15575" s="16" t="s">
        <v>87</v>
      </c>
      <c r="E15575" s="16" t="str">
        <f>IFERROR(__xludf.DUMMYFUNCTION("""COMPUTED_VALUE"""),"")</f>
        <v/>
      </c>
      <c r="G15575" s="18"/>
      <c r="H15575" s="16" t="s">
        <v>87</v>
      </c>
      <c r="I15575" s="16" t="s">
        <v>87</v>
      </c>
      <c r="J15575" s="19"/>
      <c r="L15575" s="16" t="str">
        <f>IFERROR(__xludf.DUMMYFUNCTION("""COMPUTED_VALUE"""),"")</f>
        <v/>
      </c>
      <c r="M15575" s="16" t="str">
        <f>IFERROR(__xludf.DUMMYFUNCTION("""COMPUTED_VALUE"""),"")</f>
        <v/>
      </c>
      <c r="U15575" s="16" t="s">
        <v>87</v>
      </c>
      <c r="V15575" s="16" t="str">
        <f>IFERROR(__xludf.DUMMYFUNCTION("""COMPUTED_VALUE"""),"")</f>
        <v/>
      </c>
      <c r="W15575" s="16" t="str">
        <f>IFERROR(__xludf.DUMMYFUNCTION("""COMPUTED_VALUE"""),"")</f>
        <v/>
      </c>
      <c r="X15575" s="16" t="str">
        <f>IFERROR(__xludf.DUMMYFUNCTION("""COMPUTED_VALUE"""),"")</f>
        <v/>
      </c>
      <c r="AC15575" s="16" t="str">
        <f>IFERROR(__xludf.DUMMYFUNCTION("""COMPUTED_VALUE"""),"")</f>
        <v/>
      </c>
    </row>
    <row r="15576">
      <c r="A15576" s="16" t="s">
        <v>87</v>
      </c>
      <c r="E15576" s="16" t="str">
        <f>IFERROR(__xludf.DUMMYFUNCTION("""COMPUTED_VALUE"""),"")</f>
        <v/>
      </c>
      <c r="G15576" s="18"/>
      <c r="H15576" s="16" t="s">
        <v>87</v>
      </c>
      <c r="I15576" s="16" t="s">
        <v>87</v>
      </c>
      <c r="J15576" s="19"/>
      <c r="L15576" s="16" t="str">
        <f>IFERROR(__xludf.DUMMYFUNCTION("""COMPUTED_VALUE"""),"")</f>
        <v/>
      </c>
      <c r="M15576" s="16" t="str">
        <f>IFERROR(__xludf.DUMMYFUNCTION("""COMPUTED_VALUE"""),"")</f>
        <v/>
      </c>
      <c r="U15576" s="16" t="s">
        <v>87</v>
      </c>
      <c r="V15576" s="16" t="str">
        <f>IFERROR(__xludf.DUMMYFUNCTION("""COMPUTED_VALUE"""),"")</f>
        <v/>
      </c>
      <c r="W15576" s="16" t="str">
        <f>IFERROR(__xludf.DUMMYFUNCTION("""COMPUTED_VALUE"""),"")</f>
        <v/>
      </c>
      <c r="X15576" s="16" t="str">
        <f>IFERROR(__xludf.DUMMYFUNCTION("""COMPUTED_VALUE"""),"")</f>
        <v/>
      </c>
      <c r="AC15576" s="16" t="str">
        <f>IFERROR(__xludf.DUMMYFUNCTION("""COMPUTED_VALUE"""),"")</f>
        <v/>
      </c>
    </row>
    <row r="15577">
      <c r="A15577" s="16" t="s">
        <v>87</v>
      </c>
      <c r="E15577" s="16" t="str">
        <f>IFERROR(__xludf.DUMMYFUNCTION("""COMPUTED_VALUE"""),"")</f>
        <v/>
      </c>
      <c r="G15577" s="18"/>
      <c r="H15577" s="16" t="s">
        <v>87</v>
      </c>
      <c r="I15577" s="16" t="s">
        <v>87</v>
      </c>
      <c r="J15577" s="19"/>
      <c r="L15577" s="16" t="str">
        <f>IFERROR(__xludf.DUMMYFUNCTION("""COMPUTED_VALUE"""),"")</f>
        <v/>
      </c>
      <c r="M15577" s="16" t="str">
        <f>IFERROR(__xludf.DUMMYFUNCTION("""COMPUTED_VALUE"""),"")</f>
        <v/>
      </c>
      <c r="U15577" s="16" t="s">
        <v>87</v>
      </c>
      <c r="V15577" s="16" t="str">
        <f>IFERROR(__xludf.DUMMYFUNCTION("""COMPUTED_VALUE"""),"")</f>
        <v/>
      </c>
      <c r="W15577" s="16" t="str">
        <f>IFERROR(__xludf.DUMMYFUNCTION("""COMPUTED_VALUE"""),"")</f>
        <v/>
      </c>
      <c r="X15577" s="16" t="str">
        <f>IFERROR(__xludf.DUMMYFUNCTION("""COMPUTED_VALUE"""),"")</f>
        <v/>
      </c>
      <c r="AC15577" s="16" t="str">
        <f>IFERROR(__xludf.DUMMYFUNCTION("""COMPUTED_VALUE"""),"")</f>
        <v/>
      </c>
    </row>
    <row r="15578">
      <c r="A15578" s="16" t="s">
        <v>87</v>
      </c>
      <c r="E15578" s="16" t="str">
        <f>IFERROR(__xludf.DUMMYFUNCTION("""COMPUTED_VALUE"""),"")</f>
        <v/>
      </c>
      <c r="G15578" s="18"/>
      <c r="H15578" s="16" t="s">
        <v>87</v>
      </c>
      <c r="I15578" s="16" t="s">
        <v>87</v>
      </c>
      <c r="J15578" s="19"/>
      <c r="L15578" s="16" t="str">
        <f>IFERROR(__xludf.DUMMYFUNCTION("""COMPUTED_VALUE"""),"")</f>
        <v/>
      </c>
      <c r="M15578" s="16" t="str">
        <f>IFERROR(__xludf.DUMMYFUNCTION("""COMPUTED_VALUE"""),"")</f>
        <v/>
      </c>
      <c r="U15578" s="16" t="s">
        <v>87</v>
      </c>
      <c r="V15578" s="16" t="str">
        <f>IFERROR(__xludf.DUMMYFUNCTION("""COMPUTED_VALUE"""),"")</f>
        <v/>
      </c>
      <c r="W15578" s="16" t="str">
        <f>IFERROR(__xludf.DUMMYFUNCTION("""COMPUTED_VALUE"""),"")</f>
        <v/>
      </c>
      <c r="X15578" s="16" t="str">
        <f>IFERROR(__xludf.DUMMYFUNCTION("""COMPUTED_VALUE"""),"")</f>
        <v/>
      </c>
      <c r="AC15578" s="16" t="str">
        <f>IFERROR(__xludf.DUMMYFUNCTION("""COMPUTED_VALUE"""),"")</f>
        <v/>
      </c>
    </row>
    <row r="15579">
      <c r="A15579" s="16" t="s">
        <v>87</v>
      </c>
      <c r="E15579" s="16" t="str">
        <f>IFERROR(__xludf.DUMMYFUNCTION("""COMPUTED_VALUE"""),"")</f>
        <v/>
      </c>
      <c r="G15579" s="18"/>
      <c r="H15579" s="16" t="s">
        <v>87</v>
      </c>
      <c r="I15579" s="16" t="s">
        <v>87</v>
      </c>
      <c r="J15579" s="19"/>
      <c r="L15579" s="16" t="str">
        <f>IFERROR(__xludf.DUMMYFUNCTION("""COMPUTED_VALUE"""),"")</f>
        <v/>
      </c>
      <c r="M15579" s="16" t="str">
        <f>IFERROR(__xludf.DUMMYFUNCTION("""COMPUTED_VALUE"""),"")</f>
        <v/>
      </c>
      <c r="U15579" s="16" t="s">
        <v>87</v>
      </c>
      <c r="V15579" s="16" t="str">
        <f>IFERROR(__xludf.DUMMYFUNCTION("""COMPUTED_VALUE"""),"")</f>
        <v/>
      </c>
      <c r="W15579" s="16" t="str">
        <f>IFERROR(__xludf.DUMMYFUNCTION("""COMPUTED_VALUE"""),"")</f>
        <v/>
      </c>
      <c r="X15579" s="16" t="str">
        <f>IFERROR(__xludf.DUMMYFUNCTION("""COMPUTED_VALUE"""),"")</f>
        <v/>
      </c>
      <c r="AC15579" s="16" t="str">
        <f>IFERROR(__xludf.DUMMYFUNCTION("""COMPUTED_VALUE"""),"")</f>
        <v/>
      </c>
    </row>
    <row r="15580">
      <c r="A15580" s="16" t="s">
        <v>87</v>
      </c>
      <c r="E15580" s="16" t="str">
        <f>IFERROR(__xludf.DUMMYFUNCTION("""COMPUTED_VALUE"""),"")</f>
        <v/>
      </c>
      <c r="G15580" s="18"/>
      <c r="H15580" s="16" t="s">
        <v>87</v>
      </c>
      <c r="I15580" s="16" t="s">
        <v>87</v>
      </c>
      <c r="J15580" s="19"/>
      <c r="L15580" s="16" t="str">
        <f>IFERROR(__xludf.DUMMYFUNCTION("""COMPUTED_VALUE"""),"")</f>
        <v/>
      </c>
      <c r="M15580" s="16" t="str">
        <f>IFERROR(__xludf.DUMMYFUNCTION("""COMPUTED_VALUE"""),"")</f>
        <v/>
      </c>
      <c r="U15580" s="16" t="s">
        <v>87</v>
      </c>
      <c r="V15580" s="16" t="str">
        <f>IFERROR(__xludf.DUMMYFUNCTION("""COMPUTED_VALUE"""),"")</f>
        <v/>
      </c>
      <c r="W15580" s="16" t="str">
        <f>IFERROR(__xludf.DUMMYFUNCTION("""COMPUTED_VALUE"""),"")</f>
        <v/>
      </c>
      <c r="X15580" s="16" t="str">
        <f>IFERROR(__xludf.DUMMYFUNCTION("""COMPUTED_VALUE"""),"")</f>
        <v/>
      </c>
      <c r="AC15580" s="16" t="str">
        <f>IFERROR(__xludf.DUMMYFUNCTION("""COMPUTED_VALUE"""),"")</f>
        <v/>
      </c>
    </row>
    <row r="15581">
      <c r="A15581" s="16" t="s">
        <v>87</v>
      </c>
      <c r="E15581" s="16" t="str">
        <f>IFERROR(__xludf.DUMMYFUNCTION("""COMPUTED_VALUE"""),"")</f>
        <v/>
      </c>
      <c r="G15581" s="18"/>
      <c r="H15581" s="16" t="s">
        <v>87</v>
      </c>
      <c r="I15581" s="16" t="s">
        <v>87</v>
      </c>
      <c r="J15581" s="19"/>
      <c r="L15581" s="16" t="str">
        <f>IFERROR(__xludf.DUMMYFUNCTION("""COMPUTED_VALUE"""),"")</f>
        <v/>
      </c>
      <c r="M15581" s="16" t="str">
        <f>IFERROR(__xludf.DUMMYFUNCTION("""COMPUTED_VALUE"""),"")</f>
        <v/>
      </c>
      <c r="U15581" s="16" t="s">
        <v>87</v>
      </c>
      <c r="V15581" s="16" t="str">
        <f>IFERROR(__xludf.DUMMYFUNCTION("""COMPUTED_VALUE"""),"")</f>
        <v/>
      </c>
      <c r="W15581" s="16" t="str">
        <f>IFERROR(__xludf.DUMMYFUNCTION("""COMPUTED_VALUE"""),"")</f>
        <v/>
      </c>
      <c r="X15581" s="16" t="str">
        <f>IFERROR(__xludf.DUMMYFUNCTION("""COMPUTED_VALUE"""),"")</f>
        <v/>
      </c>
      <c r="AC15581" s="16" t="str">
        <f>IFERROR(__xludf.DUMMYFUNCTION("""COMPUTED_VALUE"""),"")</f>
        <v/>
      </c>
    </row>
    <row r="15582">
      <c r="A15582" s="16" t="s">
        <v>87</v>
      </c>
      <c r="E15582" s="16" t="str">
        <f>IFERROR(__xludf.DUMMYFUNCTION("""COMPUTED_VALUE"""),"")</f>
        <v/>
      </c>
      <c r="G15582" s="18"/>
      <c r="H15582" s="16" t="s">
        <v>87</v>
      </c>
      <c r="I15582" s="16" t="s">
        <v>87</v>
      </c>
      <c r="J15582" s="19"/>
      <c r="L15582" s="16" t="str">
        <f>IFERROR(__xludf.DUMMYFUNCTION("""COMPUTED_VALUE"""),"")</f>
        <v/>
      </c>
      <c r="M15582" s="16" t="str">
        <f>IFERROR(__xludf.DUMMYFUNCTION("""COMPUTED_VALUE"""),"")</f>
        <v/>
      </c>
      <c r="U15582" s="16" t="s">
        <v>87</v>
      </c>
      <c r="V15582" s="16" t="str">
        <f>IFERROR(__xludf.DUMMYFUNCTION("""COMPUTED_VALUE"""),"")</f>
        <v/>
      </c>
      <c r="W15582" s="16" t="str">
        <f>IFERROR(__xludf.DUMMYFUNCTION("""COMPUTED_VALUE"""),"")</f>
        <v/>
      </c>
      <c r="X15582" s="16" t="str">
        <f>IFERROR(__xludf.DUMMYFUNCTION("""COMPUTED_VALUE"""),"")</f>
        <v/>
      </c>
      <c r="AC15582" s="16" t="str">
        <f>IFERROR(__xludf.DUMMYFUNCTION("""COMPUTED_VALUE"""),"")</f>
        <v/>
      </c>
    </row>
    <row r="15583">
      <c r="A15583" s="16" t="s">
        <v>87</v>
      </c>
      <c r="E15583" s="16" t="str">
        <f>IFERROR(__xludf.DUMMYFUNCTION("""COMPUTED_VALUE"""),"")</f>
        <v/>
      </c>
      <c r="G15583" s="18"/>
      <c r="H15583" s="16" t="s">
        <v>87</v>
      </c>
      <c r="I15583" s="16" t="s">
        <v>87</v>
      </c>
      <c r="J15583" s="19"/>
      <c r="L15583" s="16" t="str">
        <f>IFERROR(__xludf.DUMMYFUNCTION("""COMPUTED_VALUE"""),"")</f>
        <v/>
      </c>
      <c r="M15583" s="16" t="str">
        <f>IFERROR(__xludf.DUMMYFUNCTION("""COMPUTED_VALUE"""),"")</f>
        <v/>
      </c>
      <c r="U15583" s="16" t="s">
        <v>87</v>
      </c>
      <c r="V15583" s="16" t="str">
        <f>IFERROR(__xludf.DUMMYFUNCTION("""COMPUTED_VALUE"""),"")</f>
        <v/>
      </c>
      <c r="W15583" s="16" t="str">
        <f>IFERROR(__xludf.DUMMYFUNCTION("""COMPUTED_VALUE"""),"")</f>
        <v/>
      </c>
      <c r="X15583" s="16" t="str">
        <f>IFERROR(__xludf.DUMMYFUNCTION("""COMPUTED_VALUE"""),"")</f>
        <v/>
      </c>
      <c r="AC15583" s="16" t="str">
        <f>IFERROR(__xludf.DUMMYFUNCTION("""COMPUTED_VALUE"""),"")</f>
        <v/>
      </c>
    </row>
    <row r="15584">
      <c r="A15584" s="16" t="s">
        <v>87</v>
      </c>
      <c r="E15584" s="16" t="str">
        <f>IFERROR(__xludf.DUMMYFUNCTION("""COMPUTED_VALUE"""),"")</f>
        <v/>
      </c>
      <c r="G15584" s="18"/>
      <c r="H15584" s="16" t="s">
        <v>87</v>
      </c>
      <c r="I15584" s="16" t="s">
        <v>87</v>
      </c>
      <c r="J15584" s="19"/>
      <c r="L15584" s="16" t="str">
        <f>IFERROR(__xludf.DUMMYFUNCTION("""COMPUTED_VALUE"""),"")</f>
        <v/>
      </c>
      <c r="M15584" s="16" t="str">
        <f>IFERROR(__xludf.DUMMYFUNCTION("""COMPUTED_VALUE"""),"")</f>
        <v/>
      </c>
      <c r="U15584" s="16" t="s">
        <v>87</v>
      </c>
      <c r="V15584" s="16" t="str">
        <f>IFERROR(__xludf.DUMMYFUNCTION("""COMPUTED_VALUE"""),"")</f>
        <v/>
      </c>
      <c r="W15584" s="16" t="str">
        <f>IFERROR(__xludf.DUMMYFUNCTION("""COMPUTED_VALUE"""),"")</f>
        <v/>
      </c>
      <c r="X15584" s="16" t="str">
        <f>IFERROR(__xludf.DUMMYFUNCTION("""COMPUTED_VALUE"""),"")</f>
        <v/>
      </c>
      <c r="AC15584" s="16" t="str">
        <f>IFERROR(__xludf.DUMMYFUNCTION("""COMPUTED_VALUE"""),"")</f>
        <v/>
      </c>
    </row>
    <row r="15585">
      <c r="A15585" s="16" t="s">
        <v>87</v>
      </c>
      <c r="E15585" s="16" t="str">
        <f>IFERROR(__xludf.DUMMYFUNCTION("""COMPUTED_VALUE"""),"")</f>
        <v/>
      </c>
      <c r="G15585" s="18"/>
      <c r="H15585" s="16" t="s">
        <v>87</v>
      </c>
      <c r="I15585" s="16" t="s">
        <v>87</v>
      </c>
      <c r="J15585" s="19"/>
      <c r="L15585" s="16" t="str">
        <f>IFERROR(__xludf.DUMMYFUNCTION("""COMPUTED_VALUE"""),"")</f>
        <v/>
      </c>
      <c r="M15585" s="16" t="str">
        <f>IFERROR(__xludf.DUMMYFUNCTION("""COMPUTED_VALUE"""),"")</f>
        <v/>
      </c>
      <c r="U15585" s="16" t="s">
        <v>87</v>
      </c>
      <c r="V15585" s="16" t="str">
        <f>IFERROR(__xludf.DUMMYFUNCTION("""COMPUTED_VALUE"""),"")</f>
        <v/>
      </c>
      <c r="W15585" s="16" t="str">
        <f>IFERROR(__xludf.DUMMYFUNCTION("""COMPUTED_VALUE"""),"")</f>
        <v/>
      </c>
      <c r="X15585" s="16" t="str">
        <f>IFERROR(__xludf.DUMMYFUNCTION("""COMPUTED_VALUE"""),"")</f>
        <v/>
      </c>
      <c r="AC15585" s="16" t="str">
        <f>IFERROR(__xludf.DUMMYFUNCTION("""COMPUTED_VALUE"""),"")</f>
        <v/>
      </c>
    </row>
    <row r="15586">
      <c r="A15586" s="16" t="s">
        <v>87</v>
      </c>
      <c r="E15586" s="16" t="str">
        <f>IFERROR(__xludf.DUMMYFUNCTION("""COMPUTED_VALUE"""),"")</f>
        <v/>
      </c>
      <c r="G15586" s="18"/>
      <c r="H15586" s="16" t="s">
        <v>87</v>
      </c>
      <c r="I15586" s="16" t="s">
        <v>87</v>
      </c>
      <c r="J15586" s="19"/>
      <c r="L15586" s="16" t="str">
        <f>IFERROR(__xludf.DUMMYFUNCTION("""COMPUTED_VALUE"""),"")</f>
        <v/>
      </c>
      <c r="M15586" s="16" t="str">
        <f>IFERROR(__xludf.DUMMYFUNCTION("""COMPUTED_VALUE"""),"")</f>
        <v/>
      </c>
      <c r="U15586" s="16" t="s">
        <v>87</v>
      </c>
      <c r="V15586" s="16" t="str">
        <f>IFERROR(__xludf.DUMMYFUNCTION("""COMPUTED_VALUE"""),"")</f>
        <v/>
      </c>
      <c r="W15586" s="16" t="str">
        <f>IFERROR(__xludf.DUMMYFUNCTION("""COMPUTED_VALUE"""),"")</f>
        <v/>
      </c>
      <c r="X15586" s="16" t="str">
        <f>IFERROR(__xludf.DUMMYFUNCTION("""COMPUTED_VALUE"""),"")</f>
        <v/>
      </c>
      <c r="AC15586" s="16" t="str">
        <f>IFERROR(__xludf.DUMMYFUNCTION("""COMPUTED_VALUE"""),"")</f>
        <v/>
      </c>
    </row>
    <row r="15587">
      <c r="A15587" s="16" t="s">
        <v>87</v>
      </c>
      <c r="E15587" s="16" t="str">
        <f>IFERROR(__xludf.DUMMYFUNCTION("""COMPUTED_VALUE"""),"")</f>
        <v/>
      </c>
      <c r="G15587" s="18"/>
      <c r="H15587" s="16" t="s">
        <v>87</v>
      </c>
      <c r="I15587" s="16" t="s">
        <v>87</v>
      </c>
      <c r="J15587" s="19"/>
      <c r="L15587" s="16" t="str">
        <f>IFERROR(__xludf.DUMMYFUNCTION("""COMPUTED_VALUE"""),"")</f>
        <v/>
      </c>
      <c r="M15587" s="16" t="str">
        <f>IFERROR(__xludf.DUMMYFUNCTION("""COMPUTED_VALUE"""),"")</f>
        <v/>
      </c>
      <c r="U15587" s="16" t="s">
        <v>87</v>
      </c>
      <c r="V15587" s="16" t="str">
        <f>IFERROR(__xludf.DUMMYFUNCTION("""COMPUTED_VALUE"""),"")</f>
        <v/>
      </c>
      <c r="W15587" s="16" t="str">
        <f>IFERROR(__xludf.DUMMYFUNCTION("""COMPUTED_VALUE"""),"")</f>
        <v/>
      </c>
      <c r="X15587" s="16" t="str">
        <f>IFERROR(__xludf.DUMMYFUNCTION("""COMPUTED_VALUE"""),"")</f>
        <v/>
      </c>
      <c r="AC15587" s="16" t="str">
        <f>IFERROR(__xludf.DUMMYFUNCTION("""COMPUTED_VALUE"""),"")</f>
        <v/>
      </c>
    </row>
    <row r="15588">
      <c r="A15588" s="16" t="s">
        <v>87</v>
      </c>
      <c r="E15588" s="16" t="str">
        <f>IFERROR(__xludf.DUMMYFUNCTION("""COMPUTED_VALUE"""),"")</f>
        <v/>
      </c>
      <c r="G15588" s="18"/>
      <c r="H15588" s="16" t="s">
        <v>87</v>
      </c>
      <c r="I15588" s="16" t="s">
        <v>87</v>
      </c>
      <c r="J15588" s="19"/>
      <c r="L15588" s="16" t="str">
        <f>IFERROR(__xludf.DUMMYFUNCTION("""COMPUTED_VALUE"""),"")</f>
        <v/>
      </c>
      <c r="M15588" s="16" t="str">
        <f>IFERROR(__xludf.DUMMYFUNCTION("""COMPUTED_VALUE"""),"")</f>
        <v/>
      </c>
      <c r="U15588" s="16" t="s">
        <v>87</v>
      </c>
      <c r="V15588" s="16" t="str">
        <f>IFERROR(__xludf.DUMMYFUNCTION("""COMPUTED_VALUE"""),"")</f>
        <v/>
      </c>
      <c r="W15588" s="16" t="str">
        <f>IFERROR(__xludf.DUMMYFUNCTION("""COMPUTED_VALUE"""),"")</f>
        <v/>
      </c>
      <c r="X15588" s="16" t="str">
        <f>IFERROR(__xludf.DUMMYFUNCTION("""COMPUTED_VALUE"""),"")</f>
        <v/>
      </c>
      <c r="AC15588" s="16" t="str">
        <f>IFERROR(__xludf.DUMMYFUNCTION("""COMPUTED_VALUE"""),"")</f>
        <v/>
      </c>
    </row>
    <row r="15589">
      <c r="A15589" s="16" t="s">
        <v>87</v>
      </c>
      <c r="E15589" s="16" t="str">
        <f>IFERROR(__xludf.DUMMYFUNCTION("""COMPUTED_VALUE"""),"")</f>
        <v/>
      </c>
      <c r="G15589" s="18"/>
      <c r="H15589" s="16" t="s">
        <v>87</v>
      </c>
      <c r="I15589" s="16" t="s">
        <v>87</v>
      </c>
      <c r="J15589" s="19"/>
      <c r="L15589" s="16" t="str">
        <f>IFERROR(__xludf.DUMMYFUNCTION("""COMPUTED_VALUE"""),"")</f>
        <v/>
      </c>
      <c r="M15589" s="16" t="str">
        <f>IFERROR(__xludf.DUMMYFUNCTION("""COMPUTED_VALUE"""),"")</f>
        <v/>
      </c>
      <c r="U15589" s="16" t="s">
        <v>87</v>
      </c>
      <c r="V15589" s="16" t="str">
        <f>IFERROR(__xludf.DUMMYFUNCTION("""COMPUTED_VALUE"""),"")</f>
        <v/>
      </c>
      <c r="W15589" s="16" t="str">
        <f>IFERROR(__xludf.DUMMYFUNCTION("""COMPUTED_VALUE"""),"")</f>
        <v/>
      </c>
      <c r="X15589" s="16" t="str">
        <f>IFERROR(__xludf.DUMMYFUNCTION("""COMPUTED_VALUE"""),"")</f>
        <v/>
      </c>
      <c r="AC15589" s="16" t="str">
        <f>IFERROR(__xludf.DUMMYFUNCTION("""COMPUTED_VALUE"""),"")</f>
        <v/>
      </c>
    </row>
    <row r="15590">
      <c r="A15590" s="16" t="s">
        <v>87</v>
      </c>
      <c r="E15590" s="16" t="str">
        <f>IFERROR(__xludf.DUMMYFUNCTION("""COMPUTED_VALUE"""),"")</f>
        <v/>
      </c>
      <c r="G15590" s="18"/>
      <c r="H15590" s="16" t="s">
        <v>87</v>
      </c>
      <c r="I15590" s="16" t="s">
        <v>87</v>
      </c>
      <c r="J15590" s="19"/>
      <c r="L15590" s="16" t="str">
        <f>IFERROR(__xludf.DUMMYFUNCTION("""COMPUTED_VALUE"""),"")</f>
        <v/>
      </c>
      <c r="M15590" s="16" t="str">
        <f>IFERROR(__xludf.DUMMYFUNCTION("""COMPUTED_VALUE"""),"")</f>
        <v/>
      </c>
      <c r="U15590" s="16" t="s">
        <v>87</v>
      </c>
      <c r="V15590" s="16" t="str">
        <f>IFERROR(__xludf.DUMMYFUNCTION("""COMPUTED_VALUE"""),"")</f>
        <v/>
      </c>
      <c r="W15590" s="16" t="str">
        <f>IFERROR(__xludf.DUMMYFUNCTION("""COMPUTED_VALUE"""),"")</f>
        <v/>
      </c>
      <c r="X15590" s="16" t="str">
        <f>IFERROR(__xludf.DUMMYFUNCTION("""COMPUTED_VALUE"""),"")</f>
        <v/>
      </c>
      <c r="AC15590" s="16" t="str">
        <f>IFERROR(__xludf.DUMMYFUNCTION("""COMPUTED_VALUE"""),"")</f>
        <v/>
      </c>
    </row>
    <row r="15591">
      <c r="A15591" s="16" t="s">
        <v>87</v>
      </c>
      <c r="E15591" s="16" t="str">
        <f>IFERROR(__xludf.DUMMYFUNCTION("""COMPUTED_VALUE"""),"")</f>
        <v/>
      </c>
      <c r="G15591" s="18"/>
      <c r="H15591" s="16" t="s">
        <v>87</v>
      </c>
      <c r="I15591" s="16" t="s">
        <v>87</v>
      </c>
      <c r="J15591" s="19"/>
      <c r="L15591" s="16" t="str">
        <f>IFERROR(__xludf.DUMMYFUNCTION("""COMPUTED_VALUE"""),"")</f>
        <v/>
      </c>
      <c r="M15591" s="16" t="str">
        <f>IFERROR(__xludf.DUMMYFUNCTION("""COMPUTED_VALUE"""),"")</f>
        <v/>
      </c>
      <c r="U15591" s="16" t="s">
        <v>87</v>
      </c>
      <c r="V15591" s="16" t="str">
        <f>IFERROR(__xludf.DUMMYFUNCTION("""COMPUTED_VALUE"""),"")</f>
        <v/>
      </c>
      <c r="W15591" s="16" t="str">
        <f>IFERROR(__xludf.DUMMYFUNCTION("""COMPUTED_VALUE"""),"")</f>
        <v/>
      </c>
      <c r="X15591" s="16" t="str">
        <f>IFERROR(__xludf.DUMMYFUNCTION("""COMPUTED_VALUE"""),"")</f>
        <v/>
      </c>
      <c r="AC15591" s="16" t="str">
        <f>IFERROR(__xludf.DUMMYFUNCTION("""COMPUTED_VALUE"""),"")</f>
        <v/>
      </c>
    </row>
    <row r="15592">
      <c r="A15592" s="16" t="s">
        <v>87</v>
      </c>
      <c r="E15592" s="16" t="str">
        <f>IFERROR(__xludf.DUMMYFUNCTION("""COMPUTED_VALUE"""),"")</f>
        <v/>
      </c>
      <c r="G15592" s="18"/>
      <c r="H15592" s="16" t="s">
        <v>87</v>
      </c>
      <c r="I15592" s="16" t="s">
        <v>87</v>
      </c>
      <c r="J15592" s="19"/>
      <c r="L15592" s="16" t="str">
        <f>IFERROR(__xludf.DUMMYFUNCTION("""COMPUTED_VALUE"""),"")</f>
        <v/>
      </c>
      <c r="M15592" s="16" t="str">
        <f>IFERROR(__xludf.DUMMYFUNCTION("""COMPUTED_VALUE"""),"")</f>
        <v/>
      </c>
      <c r="U15592" s="16" t="s">
        <v>87</v>
      </c>
      <c r="V15592" s="16" t="str">
        <f>IFERROR(__xludf.DUMMYFUNCTION("""COMPUTED_VALUE"""),"")</f>
        <v/>
      </c>
      <c r="W15592" s="16" t="str">
        <f>IFERROR(__xludf.DUMMYFUNCTION("""COMPUTED_VALUE"""),"")</f>
        <v/>
      </c>
      <c r="X15592" s="16" t="str">
        <f>IFERROR(__xludf.DUMMYFUNCTION("""COMPUTED_VALUE"""),"")</f>
        <v/>
      </c>
      <c r="AC15592" s="16" t="str">
        <f>IFERROR(__xludf.DUMMYFUNCTION("""COMPUTED_VALUE"""),"")</f>
        <v/>
      </c>
    </row>
    <row r="15593">
      <c r="A15593" s="16" t="s">
        <v>87</v>
      </c>
      <c r="E15593" s="16" t="str">
        <f>IFERROR(__xludf.DUMMYFUNCTION("""COMPUTED_VALUE"""),"")</f>
        <v/>
      </c>
      <c r="G15593" s="18"/>
      <c r="H15593" s="16" t="s">
        <v>87</v>
      </c>
      <c r="I15593" s="16" t="s">
        <v>87</v>
      </c>
      <c r="J15593" s="19"/>
      <c r="L15593" s="16" t="str">
        <f>IFERROR(__xludf.DUMMYFUNCTION("""COMPUTED_VALUE"""),"")</f>
        <v/>
      </c>
      <c r="M15593" s="16" t="str">
        <f>IFERROR(__xludf.DUMMYFUNCTION("""COMPUTED_VALUE"""),"")</f>
        <v/>
      </c>
      <c r="U15593" s="16" t="s">
        <v>87</v>
      </c>
      <c r="V15593" s="16" t="str">
        <f>IFERROR(__xludf.DUMMYFUNCTION("""COMPUTED_VALUE"""),"")</f>
        <v/>
      </c>
      <c r="W15593" s="16" t="str">
        <f>IFERROR(__xludf.DUMMYFUNCTION("""COMPUTED_VALUE"""),"")</f>
        <v/>
      </c>
      <c r="X15593" s="16" t="str">
        <f>IFERROR(__xludf.DUMMYFUNCTION("""COMPUTED_VALUE"""),"")</f>
        <v/>
      </c>
      <c r="AC15593" s="16" t="str">
        <f>IFERROR(__xludf.DUMMYFUNCTION("""COMPUTED_VALUE"""),"")</f>
        <v/>
      </c>
    </row>
    <row r="15594">
      <c r="A15594" s="16" t="s">
        <v>87</v>
      </c>
      <c r="E15594" s="16" t="str">
        <f>IFERROR(__xludf.DUMMYFUNCTION("""COMPUTED_VALUE"""),"")</f>
        <v/>
      </c>
      <c r="G15594" s="18"/>
      <c r="H15594" s="16" t="s">
        <v>87</v>
      </c>
      <c r="I15594" s="16" t="s">
        <v>87</v>
      </c>
      <c r="J15594" s="19"/>
      <c r="L15594" s="16" t="str">
        <f>IFERROR(__xludf.DUMMYFUNCTION("""COMPUTED_VALUE"""),"")</f>
        <v/>
      </c>
      <c r="M15594" s="16" t="str">
        <f>IFERROR(__xludf.DUMMYFUNCTION("""COMPUTED_VALUE"""),"")</f>
        <v/>
      </c>
      <c r="U15594" s="16" t="s">
        <v>87</v>
      </c>
      <c r="V15594" s="16" t="str">
        <f>IFERROR(__xludf.DUMMYFUNCTION("""COMPUTED_VALUE"""),"")</f>
        <v/>
      </c>
      <c r="W15594" s="16" t="str">
        <f>IFERROR(__xludf.DUMMYFUNCTION("""COMPUTED_VALUE"""),"")</f>
        <v/>
      </c>
      <c r="X15594" s="16" t="str">
        <f>IFERROR(__xludf.DUMMYFUNCTION("""COMPUTED_VALUE"""),"")</f>
        <v/>
      </c>
      <c r="AC15594" s="16" t="str">
        <f>IFERROR(__xludf.DUMMYFUNCTION("""COMPUTED_VALUE"""),"")</f>
        <v/>
      </c>
    </row>
    <row r="15595">
      <c r="A15595" s="16" t="s">
        <v>87</v>
      </c>
      <c r="E15595" s="16" t="str">
        <f>IFERROR(__xludf.DUMMYFUNCTION("""COMPUTED_VALUE"""),"")</f>
        <v/>
      </c>
      <c r="G15595" s="18"/>
      <c r="H15595" s="16" t="s">
        <v>87</v>
      </c>
      <c r="I15595" s="16" t="s">
        <v>87</v>
      </c>
      <c r="J15595" s="19"/>
      <c r="L15595" s="16" t="str">
        <f>IFERROR(__xludf.DUMMYFUNCTION("""COMPUTED_VALUE"""),"")</f>
        <v/>
      </c>
      <c r="M15595" s="16" t="str">
        <f>IFERROR(__xludf.DUMMYFUNCTION("""COMPUTED_VALUE"""),"")</f>
        <v/>
      </c>
      <c r="U15595" s="16" t="s">
        <v>87</v>
      </c>
      <c r="V15595" s="16" t="str">
        <f>IFERROR(__xludf.DUMMYFUNCTION("""COMPUTED_VALUE"""),"")</f>
        <v/>
      </c>
      <c r="W15595" s="16" t="str">
        <f>IFERROR(__xludf.DUMMYFUNCTION("""COMPUTED_VALUE"""),"")</f>
        <v/>
      </c>
      <c r="X15595" s="16" t="str">
        <f>IFERROR(__xludf.DUMMYFUNCTION("""COMPUTED_VALUE"""),"")</f>
        <v/>
      </c>
      <c r="AC15595" s="16" t="str">
        <f>IFERROR(__xludf.DUMMYFUNCTION("""COMPUTED_VALUE"""),"")</f>
        <v/>
      </c>
    </row>
    <row r="15596">
      <c r="A15596" s="16" t="s">
        <v>87</v>
      </c>
      <c r="E15596" s="16" t="str">
        <f>IFERROR(__xludf.DUMMYFUNCTION("""COMPUTED_VALUE"""),"")</f>
        <v/>
      </c>
      <c r="G15596" s="18"/>
      <c r="H15596" s="16" t="s">
        <v>87</v>
      </c>
      <c r="I15596" s="16" t="s">
        <v>87</v>
      </c>
      <c r="J15596" s="19"/>
      <c r="L15596" s="16" t="str">
        <f>IFERROR(__xludf.DUMMYFUNCTION("""COMPUTED_VALUE"""),"")</f>
        <v/>
      </c>
      <c r="M15596" s="16" t="str">
        <f>IFERROR(__xludf.DUMMYFUNCTION("""COMPUTED_VALUE"""),"")</f>
        <v/>
      </c>
      <c r="U15596" s="16" t="s">
        <v>87</v>
      </c>
      <c r="V15596" s="16" t="str">
        <f>IFERROR(__xludf.DUMMYFUNCTION("""COMPUTED_VALUE"""),"")</f>
        <v/>
      </c>
      <c r="W15596" s="16" t="str">
        <f>IFERROR(__xludf.DUMMYFUNCTION("""COMPUTED_VALUE"""),"")</f>
        <v/>
      </c>
      <c r="X15596" s="16" t="str">
        <f>IFERROR(__xludf.DUMMYFUNCTION("""COMPUTED_VALUE"""),"")</f>
        <v/>
      </c>
      <c r="AC15596" s="16" t="str">
        <f>IFERROR(__xludf.DUMMYFUNCTION("""COMPUTED_VALUE"""),"")</f>
        <v/>
      </c>
    </row>
    <row r="15597">
      <c r="A15597" s="16" t="s">
        <v>87</v>
      </c>
      <c r="E15597" s="16" t="str">
        <f>IFERROR(__xludf.DUMMYFUNCTION("""COMPUTED_VALUE"""),"")</f>
        <v/>
      </c>
      <c r="G15597" s="18"/>
      <c r="H15597" s="16" t="s">
        <v>87</v>
      </c>
      <c r="I15597" s="16" t="s">
        <v>87</v>
      </c>
      <c r="J15597" s="19"/>
      <c r="L15597" s="16" t="str">
        <f>IFERROR(__xludf.DUMMYFUNCTION("""COMPUTED_VALUE"""),"")</f>
        <v/>
      </c>
      <c r="M15597" s="16" t="str">
        <f>IFERROR(__xludf.DUMMYFUNCTION("""COMPUTED_VALUE"""),"")</f>
        <v/>
      </c>
      <c r="U15597" s="16" t="s">
        <v>87</v>
      </c>
      <c r="V15597" s="16" t="str">
        <f>IFERROR(__xludf.DUMMYFUNCTION("""COMPUTED_VALUE"""),"")</f>
        <v/>
      </c>
      <c r="W15597" s="16" t="str">
        <f>IFERROR(__xludf.DUMMYFUNCTION("""COMPUTED_VALUE"""),"")</f>
        <v/>
      </c>
      <c r="X15597" s="16" t="str">
        <f>IFERROR(__xludf.DUMMYFUNCTION("""COMPUTED_VALUE"""),"")</f>
        <v/>
      </c>
      <c r="AC15597" s="16" t="str">
        <f>IFERROR(__xludf.DUMMYFUNCTION("""COMPUTED_VALUE"""),"")</f>
        <v/>
      </c>
    </row>
    <row r="15598">
      <c r="A15598" s="16" t="s">
        <v>87</v>
      </c>
      <c r="E15598" s="16" t="str">
        <f>IFERROR(__xludf.DUMMYFUNCTION("""COMPUTED_VALUE"""),"")</f>
        <v/>
      </c>
      <c r="G15598" s="18"/>
      <c r="H15598" s="16" t="s">
        <v>87</v>
      </c>
      <c r="I15598" s="16" t="s">
        <v>87</v>
      </c>
      <c r="J15598" s="19"/>
      <c r="L15598" s="16" t="str">
        <f>IFERROR(__xludf.DUMMYFUNCTION("""COMPUTED_VALUE"""),"")</f>
        <v/>
      </c>
      <c r="M15598" s="16" t="str">
        <f>IFERROR(__xludf.DUMMYFUNCTION("""COMPUTED_VALUE"""),"")</f>
        <v/>
      </c>
      <c r="U15598" s="16" t="s">
        <v>87</v>
      </c>
      <c r="V15598" s="16" t="str">
        <f>IFERROR(__xludf.DUMMYFUNCTION("""COMPUTED_VALUE"""),"")</f>
        <v/>
      </c>
      <c r="W15598" s="16" t="str">
        <f>IFERROR(__xludf.DUMMYFUNCTION("""COMPUTED_VALUE"""),"")</f>
        <v/>
      </c>
      <c r="X15598" s="16" t="str">
        <f>IFERROR(__xludf.DUMMYFUNCTION("""COMPUTED_VALUE"""),"")</f>
        <v/>
      </c>
      <c r="AC15598" s="16" t="str">
        <f>IFERROR(__xludf.DUMMYFUNCTION("""COMPUTED_VALUE"""),"")</f>
        <v/>
      </c>
    </row>
    <row r="15599">
      <c r="A15599" s="16" t="s">
        <v>87</v>
      </c>
      <c r="E15599" s="16" t="str">
        <f>IFERROR(__xludf.DUMMYFUNCTION("""COMPUTED_VALUE"""),"")</f>
        <v/>
      </c>
      <c r="G15599" s="18"/>
      <c r="H15599" s="16" t="s">
        <v>87</v>
      </c>
      <c r="I15599" s="16" t="s">
        <v>87</v>
      </c>
      <c r="J15599" s="19"/>
      <c r="L15599" s="16" t="str">
        <f>IFERROR(__xludf.DUMMYFUNCTION("""COMPUTED_VALUE"""),"")</f>
        <v/>
      </c>
      <c r="M15599" s="16" t="str">
        <f>IFERROR(__xludf.DUMMYFUNCTION("""COMPUTED_VALUE"""),"")</f>
        <v/>
      </c>
      <c r="U15599" s="16" t="s">
        <v>87</v>
      </c>
      <c r="V15599" s="16" t="str">
        <f>IFERROR(__xludf.DUMMYFUNCTION("""COMPUTED_VALUE"""),"")</f>
        <v/>
      </c>
      <c r="W15599" s="16" t="str">
        <f>IFERROR(__xludf.DUMMYFUNCTION("""COMPUTED_VALUE"""),"")</f>
        <v/>
      </c>
      <c r="X15599" s="16" t="str">
        <f>IFERROR(__xludf.DUMMYFUNCTION("""COMPUTED_VALUE"""),"")</f>
        <v/>
      </c>
      <c r="AC15599" s="16" t="str">
        <f>IFERROR(__xludf.DUMMYFUNCTION("""COMPUTED_VALUE"""),"")</f>
        <v/>
      </c>
    </row>
    <row r="15600">
      <c r="A15600" s="16" t="s">
        <v>87</v>
      </c>
      <c r="E15600" s="16" t="str">
        <f>IFERROR(__xludf.DUMMYFUNCTION("""COMPUTED_VALUE"""),"")</f>
        <v/>
      </c>
      <c r="G15600" s="18"/>
      <c r="H15600" s="16" t="s">
        <v>87</v>
      </c>
      <c r="I15600" s="16" t="s">
        <v>87</v>
      </c>
      <c r="J15600" s="19"/>
      <c r="L15600" s="16" t="str">
        <f>IFERROR(__xludf.DUMMYFUNCTION("""COMPUTED_VALUE"""),"")</f>
        <v/>
      </c>
      <c r="M15600" s="16" t="str">
        <f>IFERROR(__xludf.DUMMYFUNCTION("""COMPUTED_VALUE"""),"")</f>
        <v/>
      </c>
      <c r="U15600" s="16" t="s">
        <v>87</v>
      </c>
      <c r="V15600" s="16" t="str">
        <f>IFERROR(__xludf.DUMMYFUNCTION("""COMPUTED_VALUE"""),"")</f>
        <v/>
      </c>
      <c r="W15600" s="16" t="str">
        <f>IFERROR(__xludf.DUMMYFUNCTION("""COMPUTED_VALUE"""),"")</f>
        <v/>
      </c>
      <c r="X15600" s="16" t="str">
        <f>IFERROR(__xludf.DUMMYFUNCTION("""COMPUTED_VALUE"""),"")</f>
        <v/>
      </c>
      <c r="AC15600" s="16" t="str">
        <f>IFERROR(__xludf.DUMMYFUNCTION("""COMPUTED_VALUE"""),"")</f>
        <v/>
      </c>
    </row>
    <row r="15601">
      <c r="A15601" s="16" t="s">
        <v>87</v>
      </c>
      <c r="E15601" s="16" t="str">
        <f>IFERROR(__xludf.DUMMYFUNCTION("""COMPUTED_VALUE"""),"")</f>
        <v/>
      </c>
      <c r="G15601" s="18"/>
      <c r="H15601" s="16" t="s">
        <v>87</v>
      </c>
      <c r="I15601" s="16" t="s">
        <v>87</v>
      </c>
      <c r="J15601" s="19"/>
      <c r="L15601" s="16" t="str">
        <f>IFERROR(__xludf.DUMMYFUNCTION("""COMPUTED_VALUE"""),"")</f>
        <v/>
      </c>
      <c r="M15601" s="16" t="str">
        <f>IFERROR(__xludf.DUMMYFUNCTION("""COMPUTED_VALUE"""),"")</f>
        <v/>
      </c>
      <c r="U15601" s="16" t="s">
        <v>87</v>
      </c>
      <c r="V15601" s="16" t="str">
        <f>IFERROR(__xludf.DUMMYFUNCTION("""COMPUTED_VALUE"""),"")</f>
        <v/>
      </c>
      <c r="W15601" s="16" t="str">
        <f>IFERROR(__xludf.DUMMYFUNCTION("""COMPUTED_VALUE"""),"")</f>
        <v/>
      </c>
      <c r="X15601" s="16" t="str">
        <f>IFERROR(__xludf.DUMMYFUNCTION("""COMPUTED_VALUE"""),"")</f>
        <v/>
      </c>
      <c r="AC15601" s="16" t="str">
        <f>IFERROR(__xludf.DUMMYFUNCTION("""COMPUTED_VALUE"""),"")</f>
        <v/>
      </c>
    </row>
    <row r="15602">
      <c r="A15602" s="16" t="s">
        <v>87</v>
      </c>
      <c r="E15602" s="16" t="str">
        <f>IFERROR(__xludf.DUMMYFUNCTION("""COMPUTED_VALUE"""),"")</f>
        <v/>
      </c>
      <c r="G15602" s="18"/>
      <c r="H15602" s="16" t="s">
        <v>87</v>
      </c>
      <c r="I15602" s="16" t="s">
        <v>87</v>
      </c>
      <c r="J15602" s="19"/>
      <c r="L15602" s="16" t="str">
        <f>IFERROR(__xludf.DUMMYFUNCTION("""COMPUTED_VALUE"""),"")</f>
        <v/>
      </c>
      <c r="M15602" s="16" t="str">
        <f>IFERROR(__xludf.DUMMYFUNCTION("""COMPUTED_VALUE"""),"")</f>
        <v/>
      </c>
      <c r="U15602" s="16" t="s">
        <v>87</v>
      </c>
      <c r="V15602" s="16" t="str">
        <f>IFERROR(__xludf.DUMMYFUNCTION("""COMPUTED_VALUE"""),"")</f>
        <v/>
      </c>
      <c r="W15602" s="16" t="str">
        <f>IFERROR(__xludf.DUMMYFUNCTION("""COMPUTED_VALUE"""),"")</f>
        <v/>
      </c>
      <c r="X15602" s="16" t="str">
        <f>IFERROR(__xludf.DUMMYFUNCTION("""COMPUTED_VALUE"""),"")</f>
        <v/>
      </c>
      <c r="AC15602" s="16" t="str">
        <f>IFERROR(__xludf.DUMMYFUNCTION("""COMPUTED_VALUE"""),"")</f>
        <v/>
      </c>
    </row>
    <row r="15603">
      <c r="A15603" s="16" t="s">
        <v>87</v>
      </c>
      <c r="E15603" s="16" t="str">
        <f>IFERROR(__xludf.DUMMYFUNCTION("""COMPUTED_VALUE"""),"")</f>
        <v/>
      </c>
      <c r="G15603" s="18"/>
      <c r="H15603" s="16" t="s">
        <v>87</v>
      </c>
      <c r="I15603" s="16" t="s">
        <v>87</v>
      </c>
      <c r="J15603" s="19"/>
      <c r="L15603" s="16" t="str">
        <f>IFERROR(__xludf.DUMMYFUNCTION("""COMPUTED_VALUE"""),"")</f>
        <v/>
      </c>
      <c r="M15603" s="16" t="str">
        <f>IFERROR(__xludf.DUMMYFUNCTION("""COMPUTED_VALUE"""),"")</f>
        <v/>
      </c>
      <c r="U15603" s="16" t="s">
        <v>87</v>
      </c>
      <c r="V15603" s="16" t="str">
        <f>IFERROR(__xludf.DUMMYFUNCTION("""COMPUTED_VALUE"""),"")</f>
        <v/>
      </c>
      <c r="W15603" s="16" t="str">
        <f>IFERROR(__xludf.DUMMYFUNCTION("""COMPUTED_VALUE"""),"")</f>
        <v/>
      </c>
      <c r="X15603" s="16" t="str">
        <f>IFERROR(__xludf.DUMMYFUNCTION("""COMPUTED_VALUE"""),"")</f>
        <v/>
      </c>
      <c r="AC15603" s="16" t="str">
        <f>IFERROR(__xludf.DUMMYFUNCTION("""COMPUTED_VALUE"""),"")</f>
        <v/>
      </c>
    </row>
    <row r="15604">
      <c r="A15604" s="16" t="s">
        <v>87</v>
      </c>
      <c r="E15604" s="16" t="str">
        <f>IFERROR(__xludf.DUMMYFUNCTION("""COMPUTED_VALUE"""),"")</f>
        <v/>
      </c>
      <c r="G15604" s="18"/>
      <c r="H15604" s="16" t="s">
        <v>87</v>
      </c>
      <c r="I15604" s="16" t="s">
        <v>87</v>
      </c>
      <c r="J15604" s="19"/>
      <c r="L15604" s="16" t="str">
        <f>IFERROR(__xludf.DUMMYFUNCTION("""COMPUTED_VALUE"""),"")</f>
        <v/>
      </c>
      <c r="M15604" s="16" t="str">
        <f>IFERROR(__xludf.DUMMYFUNCTION("""COMPUTED_VALUE"""),"")</f>
        <v/>
      </c>
      <c r="U15604" s="16" t="s">
        <v>87</v>
      </c>
      <c r="V15604" s="16" t="str">
        <f>IFERROR(__xludf.DUMMYFUNCTION("""COMPUTED_VALUE"""),"")</f>
        <v/>
      </c>
      <c r="W15604" s="16" t="str">
        <f>IFERROR(__xludf.DUMMYFUNCTION("""COMPUTED_VALUE"""),"")</f>
        <v/>
      </c>
      <c r="X15604" s="16" t="str">
        <f>IFERROR(__xludf.DUMMYFUNCTION("""COMPUTED_VALUE"""),"")</f>
        <v/>
      </c>
      <c r="AC15604" s="16" t="str">
        <f>IFERROR(__xludf.DUMMYFUNCTION("""COMPUTED_VALUE"""),"")</f>
        <v/>
      </c>
    </row>
    <row r="15605">
      <c r="A15605" s="16" t="s">
        <v>87</v>
      </c>
      <c r="E15605" s="16" t="str">
        <f>IFERROR(__xludf.DUMMYFUNCTION("""COMPUTED_VALUE"""),"")</f>
        <v/>
      </c>
      <c r="G15605" s="18"/>
      <c r="H15605" s="16" t="s">
        <v>87</v>
      </c>
      <c r="I15605" s="16" t="s">
        <v>87</v>
      </c>
      <c r="J15605" s="19"/>
      <c r="L15605" s="16" t="str">
        <f>IFERROR(__xludf.DUMMYFUNCTION("""COMPUTED_VALUE"""),"")</f>
        <v/>
      </c>
      <c r="M15605" s="16" t="str">
        <f>IFERROR(__xludf.DUMMYFUNCTION("""COMPUTED_VALUE"""),"")</f>
        <v/>
      </c>
      <c r="U15605" s="16" t="s">
        <v>87</v>
      </c>
      <c r="V15605" s="16" t="str">
        <f>IFERROR(__xludf.DUMMYFUNCTION("""COMPUTED_VALUE"""),"")</f>
        <v/>
      </c>
      <c r="W15605" s="16" t="str">
        <f>IFERROR(__xludf.DUMMYFUNCTION("""COMPUTED_VALUE"""),"")</f>
        <v/>
      </c>
      <c r="X15605" s="16" t="str">
        <f>IFERROR(__xludf.DUMMYFUNCTION("""COMPUTED_VALUE"""),"")</f>
        <v/>
      </c>
      <c r="AC15605" s="16" t="str">
        <f>IFERROR(__xludf.DUMMYFUNCTION("""COMPUTED_VALUE"""),"")</f>
        <v/>
      </c>
    </row>
    <row r="15606">
      <c r="A15606" s="16" t="s">
        <v>87</v>
      </c>
      <c r="E15606" s="16" t="str">
        <f>IFERROR(__xludf.DUMMYFUNCTION("""COMPUTED_VALUE"""),"")</f>
        <v/>
      </c>
      <c r="G15606" s="18"/>
      <c r="H15606" s="16" t="s">
        <v>87</v>
      </c>
      <c r="I15606" s="16" t="s">
        <v>87</v>
      </c>
      <c r="J15606" s="19"/>
      <c r="L15606" s="16" t="str">
        <f>IFERROR(__xludf.DUMMYFUNCTION("""COMPUTED_VALUE"""),"")</f>
        <v/>
      </c>
      <c r="M15606" s="16" t="str">
        <f>IFERROR(__xludf.DUMMYFUNCTION("""COMPUTED_VALUE"""),"")</f>
        <v/>
      </c>
      <c r="U15606" s="16" t="s">
        <v>87</v>
      </c>
      <c r="V15606" s="16" t="str">
        <f>IFERROR(__xludf.DUMMYFUNCTION("""COMPUTED_VALUE"""),"")</f>
        <v/>
      </c>
      <c r="W15606" s="16" t="str">
        <f>IFERROR(__xludf.DUMMYFUNCTION("""COMPUTED_VALUE"""),"")</f>
        <v/>
      </c>
      <c r="X15606" s="16" t="str">
        <f>IFERROR(__xludf.DUMMYFUNCTION("""COMPUTED_VALUE"""),"")</f>
        <v/>
      </c>
      <c r="AC15606" s="16" t="str">
        <f>IFERROR(__xludf.DUMMYFUNCTION("""COMPUTED_VALUE"""),"")</f>
        <v/>
      </c>
    </row>
    <row r="15607">
      <c r="A15607" s="16" t="s">
        <v>87</v>
      </c>
      <c r="E15607" s="16" t="str">
        <f>IFERROR(__xludf.DUMMYFUNCTION("""COMPUTED_VALUE"""),"")</f>
        <v/>
      </c>
      <c r="G15607" s="18"/>
      <c r="H15607" s="16" t="s">
        <v>87</v>
      </c>
      <c r="I15607" s="16" t="s">
        <v>87</v>
      </c>
      <c r="J15607" s="19"/>
      <c r="L15607" s="16" t="str">
        <f>IFERROR(__xludf.DUMMYFUNCTION("""COMPUTED_VALUE"""),"")</f>
        <v/>
      </c>
      <c r="M15607" s="16" t="str">
        <f>IFERROR(__xludf.DUMMYFUNCTION("""COMPUTED_VALUE"""),"")</f>
        <v/>
      </c>
      <c r="U15607" s="16" t="s">
        <v>87</v>
      </c>
      <c r="V15607" s="16" t="str">
        <f>IFERROR(__xludf.DUMMYFUNCTION("""COMPUTED_VALUE"""),"")</f>
        <v/>
      </c>
      <c r="W15607" s="16" t="str">
        <f>IFERROR(__xludf.DUMMYFUNCTION("""COMPUTED_VALUE"""),"")</f>
        <v/>
      </c>
      <c r="X15607" s="16" t="str">
        <f>IFERROR(__xludf.DUMMYFUNCTION("""COMPUTED_VALUE"""),"")</f>
        <v/>
      </c>
      <c r="AC15607" s="16" t="str">
        <f>IFERROR(__xludf.DUMMYFUNCTION("""COMPUTED_VALUE"""),"")</f>
        <v/>
      </c>
    </row>
    <row r="15608">
      <c r="A15608" s="16" t="s">
        <v>87</v>
      </c>
      <c r="E15608" s="16" t="str">
        <f>IFERROR(__xludf.DUMMYFUNCTION("""COMPUTED_VALUE"""),"")</f>
        <v/>
      </c>
      <c r="G15608" s="18"/>
      <c r="H15608" s="16" t="s">
        <v>87</v>
      </c>
      <c r="I15608" s="16" t="s">
        <v>87</v>
      </c>
      <c r="J15608" s="19"/>
      <c r="L15608" s="16" t="str">
        <f>IFERROR(__xludf.DUMMYFUNCTION("""COMPUTED_VALUE"""),"")</f>
        <v/>
      </c>
      <c r="M15608" s="16" t="str">
        <f>IFERROR(__xludf.DUMMYFUNCTION("""COMPUTED_VALUE"""),"")</f>
        <v/>
      </c>
      <c r="U15608" s="16" t="s">
        <v>87</v>
      </c>
      <c r="V15608" s="16" t="str">
        <f>IFERROR(__xludf.DUMMYFUNCTION("""COMPUTED_VALUE"""),"")</f>
        <v/>
      </c>
      <c r="W15608" s="16" t="str">
        <f>IFERROR(__xludf.DUMMYFUNCTION("""COMPUTED_VALUE"""),"")</f>
        <v/>
      </c>
      <c r="X15608" s="16" t="str">
        <f>IFERROR(__xludf.DUMMYFUNCTION("""COMPUTED_VALUE"""),"")</f>
        <v/>
      </c>
      <c r="AC15608" s="16" t="str">
        <f>IFERROR(__xludf.DUMMYFUNCTION("""COMPUTED_VALUE"""),"")</f>
        <v/>
      </c>
    </row>
    <row r="15609">
      <c r="A15609" s="16" t="s">
        <v>87</v>
      </c>
      <c r="E15609" s="16" t="str">
        <f>IFERROR(__xludf.DUMMYFUNCTION("""COMPUTED_VALUE"""),"")</f>
        <v/>
      </c>
      <c r="G15609" s="18"/>
      <c r="H15609" s="16" t="s">
        <v>87</v>
      </c>
      <c r="I15609" s="16" t="s">
        <v>87</v>
      </c>
      <c r="J15609" s="19"/>
      <c r="L15609" s="16" t="str">
        <f>IFERROR(__xludf.DUMMYFUNCTION("""COMPUTED_VALUE"""),"")</f>
        <v/>
      </c>
      <c r="M15609" s="16" t="str">
        <f>IFERROR(__xludf.DUMMYFUNCTION("""COMPUTED_VALUE"""),"")</f>
        <v/>
      </c>
      <c r="U15609" s="16" t="s">
        <v>87</v>
      </c>
      <c r="V15609" s="16" t="str">
        <f>IFERROR(__xludf.DUMMYFUNCTION("""COMPUTED_VALUE"""),"")</f>
        <v/>
      </c>
      <c r="W15609" s="16" t="str">
        <f>IFERROR(__xludf.DUMMYFUNCTION("""COMPUTED_VALUE"""),"")</f>
        <v/>
      </c>
      <c r="X15609" s="16" t="str">
        <f>IFERROR(__xludf.DUMMYFUNCTION("""COMPUTED_VALUE"""),"")</f>
        <v/>
      </c>
      <c r="AC15609" s="16" t="str">
        <f>IFERROR(__xludf.DUMMYFUNCTION("""COMPUTED_VALUE"""),"")</f>
        <v/>
      </c>
    </row>
    <row r="15610">
      <c r="A15610" s="16" t="s">
        <v>87</v>
      </c>
      <c r="E15610" s="16" t="str">
        <f>IFERROR(__xludf.DUMMYFUNCTION("""COMPUTED_VALUE"""),"")</f>
        <v/>
      </c>
      <c r="G15610" s="18"/>
      <c r="H15610" s="16" t="s">
        <v>87</v>
      </c>
      <c r="I15610" s="16" t="s">
        <v>87</v>
      </c>
      <c r="J15610" s="19"/>
      <c r="L15610" s="16" t="str">
        <f>IFERROR(__xludf.DUMMYFUNCTION("""COMPUTED_VALUE"""),"")</f>
        <v/>
      </c>
      <c r="M15610" s="16" t="str">
        <f>IFERROR(__xludf.DUMMYFUNCTION("""COMPUTED_VALUE"""),"")</f>
        <v/>
      </c>
      <c r="U15610" s="16" t="s">
        <v>87</v>
      </c>
      <c r="V15610" s="16" t="str">
        <f>IFERROR(__xludf.DUMMYFUNCTION("""COMPUTED_VALUE"""),"")</f>
        <v/>
      </c>
      <c r="W15610" s="16" t="str">
        <f>IFERROR(__xludf.DUMMYFUNCTION("""COMPUTED_VALUE"""),"")</f>
        <v/>
      </c>
      <c r="X15610" s="16" t="str">
        <f>IFERROR(__xludf.DUMMYFUNCTION("""COMPUTED_VALUE"""),"")</f>
        <v/>
      </c>
      <c r="AC15610" s="16" t="str">
        <f>IFERROR(__xludf.DUMMYFUNCTION("""COMPUTED_VALUE"""),"")</f>
        <v/>
      </c>
    </row>
    <row r="15611">
      <c r="A15611" s="16" t="s">
        <v>87</v>
      </c>
      <c r="E15611" s="16" t="str">
        <f>IFERROR(__xludf.DUMMYFUNCTION("""COMPUTED_VALUE"""),"")</f>
        <v/>
      </c>
      <c r="G15611" s="18"/>
      <c r="H15611" s="16" t="s">
        <v>87</v>
      </c>
      <c r="I15611" s="16" t="s">
        <v>87</v>
      </c>
      <c r="J15611" s="19"/>
      <c r="L15611" s="16" t="str">
        <f>IFERROR(__xludf.DUMMYFUNCTION("""COMPUTED_VALUE"""),"")</f>
        <v/>
      </c>
      <c r="M15611" s="16" t="str">
        <f>IFERROR(__xludf.DUMMYFUNCTION("""COMPUTED_VALUE"""),"")</f>
        <v/>
      </c>
      <c r="U15611" s="16" t="s">
        <v>87</v>
      </c>
      <c r="V15611" s="16" t="str">
        <f>IFERROR(__xludf.DUMMYFUNCTION("""COMPUTED_VALUE"""),"")</f>
        <v/>
      </c>
      <c r="W15611" s="16" t="str">
        <f>IFERROR(__xludf.DUMMYFUNCTION("""COMPUTED_VALUE"""),"")</f>
        <v/>
      </c>
      <c r="X15611" s="16" t="str">
        <f>IFERROR(__xludf.DUMMYFUNCTION("""COMPUTED_VALUE"""),"")</f>
        <v/>
      </c>
      <c r="AC15611" s="16" t="str">
        <f>IFERROR(__xludf.DUMMYFUNCTION("""COMPUTED_VALUE"""),"")</f>
        <v/>
      </c>
    </row>
    <row r="15612">
      <c r="A15612" s="16" t="s">
        <v>87</v>
      </c>
      <c r="E15612" s="16" t="str">
        <f>IFERROR(__xludf.DUMMYFUNCTION("""COMPUTED_VALUE"""),"")</f>
        <v/>
      </c>
      <c r="G15612" s="18"/>
      <c r="H15612" s="16" t="s">
        <v>87</v>
      </c>
      <c r="I15612" s="16" t="s">
        <v>87</v>
      </c>
      <c r="J15612" s="19"/>
      <c r="L15612" s="16" t="str">
        <f>IFERROR(__xludf.DUMMYFUNCTION("""COMPUTED_VALUE"""),"")</f>
        <v/>
      </c>
      <c r="M15612" s="16" t="str">
        <f>IFERROR(__xludf.DUMMYFUNCTION("""COMPUTED_VALUE"""),"")</f>
        <v/>
      </c>
      <c r="U15612" s="16" t="s">
        <v>87</v>
      </c>
      <c r="V15612" s="16" t="str">
        <f>IFERROR(__xludf.DUMMYFUNCTION("""COMPUTED_VALUE"""),"")</f>
        <v/>
      </c>
      <c r="W15612" s="16" t="str">
        <f>IFERROR(__xludf.DUMMYFUNCTION("""COMPUTED_VALUE"""),"")</f>
        <v/>
      </c>
      <c r="X15612" s="16" t="str">
        <f>IFERROR(__xludf.DUMMYFUNCTION("""COMPUTED_VALUE"""),"")</f>
        <v/>
      </c>
      <c r="AC15612" s="16" t="str">
        <f>IFERROR(__xludf.DUMMYFUNCTION("""COMPUTED_VALUE"""),"")</f>
        <v/>
      </c>
    </row>
    <row r="15613">
      <c r="A15613" s="16" t="s">
        <v>87</v>
      </c>
      <c r="E15613" s="16" t="str">
        <f>IFERROR(__xludf.DUMMYFUNCTION("""COMPUTED_VALUE"""),"")</f>
        <v/>
      </c>
      <c r="G15613" s="18"/>
      <c r="H15613" s="16" t="s">
        <v>87</v>
      </c>
      <c r="I15613" s="16" t="s">
        <v>87</v>
      </c>
      <c r="J15613" s="19"/>
      <c r="L15613" s="16" t="str">
        <f>IFERROR(__xludf.DUMMYFUNCTION("""COMPUTED_VALUE"""),"")</f>
        <v/>
      </c>
      <c r="M15613" s="16" t="str">
        <f>IFERROR(__xludf.DUMMYFUNCTION("""COMPUTED_VALUE"""),"")</f>
        <v/>
      </c>
      <c r="U15613" s="16" t="s">
        <v>87</v>
      </c>
      <c r="V15613" s="16" t="str">
        <f>IFERROR(__xludf.DUMMYFUNCTION("""COMPUTED_VALUE"""),"")</f>
        <v/>
      </c>
      <c r="W15613" s="16" t="str">
        <f>IFERROR(__xludf.DUMMYFUNCTION("""COMPUTED_VALUE"""),"")</f>
        <v/>
      </c>
      <c r="X15613" s="16" t="str">
        <f>IFERROR(__xludf.DUMMYFUNCTION("""COMPUTED_VALUE"""),"")</f>
        <v/>
      </c>
      <c r="AC15613" s="16" t="str">
        <f>IFERROR(__xludf.DUMMYFUNCTION("""COMPUTED_VALUE"""),"")</f>
        <v/>
      </c>
    </row>
    <row r="15614">
      <c r="A15614" s="16" t="s">
        <v>87</v>
      </c>
      <c r="E15614" s="16" t="str">
        <f>IFERROR(__xludf.DUMMYFUNCTION("""COMPUTED_VALUE"""),"")</f>
        <v/>
      </c>
      <c r="G15614" s="18"/>
      <c r="H15614" s="16" t="s">
        <v>87</v>
      </c>
      <c r="I15614" s="16" t="s">
        <v>87</v>
      </c>
      <c r="J15614" s="19"/>
      <c r="L15614" s="16" t="str">
        <f>IFERROR(__xludf.DUMMYFUNCTION("""COMPUTED_VALUE"""),"")</f>
        <v/>
      </c>
      <c r="M15614" s="16" t="str">
        <f>IFERROR(__xludf.DUMMYFUNCTION("""COMPUTED_VALUE"""),"")</f>
        <v/>
      </c>
      <c r="U15614" s="16" t="s">
        <v>87</v>
      </c>
      <c r="V15614" s="16" t="str">
        <f>IFERROR(__xludf.DUMMYFUNCTION("""COMPUTED_VALUE"""),"")</f>
        <v/>
      </c>
      <c r="W15614" s="16" t="str">
        <f>IFERROR(__xludf.DUMMYFUNCTION("""COMPUTED_VALUE"""),"")</f>
        <v/>
      </c>
      <c r="X15614" s="16" t="str">
        <f>IFERROR(__xludf.DUMMYFUNCTION("""COMPUTED_VALUE"""),"")</f>
        <v/>
      </c>
      <c r="AC15614" s="16" t="str">
        <f>IFERROR(__xludf.DUMMYFUNCTION("""COMPUTED_VALUE"""),"")</f>
        <v/>
      </c>
    </row>
    <row r="15615">
      <c r="A15615" s="16" t="s">
        <v>87</v>
      </c>
      <c r="E15615" s="16" t="str">
        <f>IFERROR(__xludf.DUMMYFUNCTION("""COMPUTED_VALUE"""),"")</f>
        <v/>
      </c>
      <c r="G15615" s="18"/>
      <c r="H15615" s="16" t="s">
        <v>87</v>
      </c>
      <c r="I15615" s="16" t="s">
        <v>87</v>
      </c>
      <c r="J15615" s="19"/>
      <c r="L15615" s="16" t="str">
        <f>IFERROR(__xludf.DUMMYFUNCTION("""COMPUTED_VALUE"""),"")</f>
        <v/>
      </c>
      <c r="M15615" s="16" t="str">
        <f>IFERROR(__xludf.DUMMYFUNCTION("""COMPUTED_VALUE"""),"")</f>
        <v/>
      </c>
      <c r="U15615" s="16" t="s">
        <v>87</v>
      </c>
      <c r="V15615" s="16" t="str">
        <f>IFERROR(__xludf.DUMMYFUNCTION("""COMPUTED_VALUE"""),"")</f>
        <v/>
      </c>
      <c r="W15615" s="16" t="str">
        <f>IFERROR(__xludf.DUMMYFUNCTION("""COMPUTED_VALUE"""),"")</f>
        <v/>
      </c>
      <c r="X15615" s="16" t="str">
        <f>IFERROR(__xludf.DUMMYFUNCTION("""COMPUTED_VALUE"""),"")</f>
        <v/>
      </c>
      <c r="AC15615" s="16" t="str">
        <f>IFERROR(__xludf.DUMMYFUNCTION("""COMPUTED_VALUE"""),"")</f>
        <v/>
      </c>
    </row>
    <row r="15616">
      <c r="A15616" s="16" t="s">
        <v>87</v>
      </c>
      <c r="E15616" s="16" t="str">
        <f>IFERROR(__xludf.DUMMYFUNCTION("""COMPUTED_VALUE"""),"")</f>
        <v/>
      </c>
      <c r="G15616" s="18"/>
      <c r="H15616" s="16" t="s">
        <v>87</v>
      </c>
      <c r="I15616" s="16" t="s">
        <v>87</v>
      </c>
      <c r="J15616" s="19"/>
      <c r="L15616" s="16" t="str">
        <f>IFERROR(__xludf.DUMMYFUNCTION("""COMPUTED_VALUE"""),"")</f>
        <v/>
      </c>
      <c r="M15616" s="16" t="str">
        <f>IFERROR(__xludf.DUMMYFUNCTION("""COMPUTED_VALUE"""),"")</f>
        <v/>
      </c>
      <c r="U15616" s="16" t="s">
        <v>87</v>
      </c>
      <c r="V15616" s="16" t="str">
        <f>IFERROR(__xludf.DUMMYFUNCTION("""COMPUTED_VALUE"""),"")</f>
        <v/>
      </c>
      <c r="W15616" s="16" t="str">
        <f>IFERROR(__xludf.DUMMYFUNCTION("""COMPUTED_VALUE"""),"")</f>
        <v/>
      </c>
      <c r="X15616" s="16" t="str">
        <f>IFERROR(__xludf.DUMMYFUNCTION("""COMPUTED_VALUE"""),"")</f>
        <v/>
      </c>
      <c r="AC15616" s="16" t="str">
        <f>IFERROR(__xludf.DUMMYFUNCTION("""COMPUTED_VALUE"""),"")</f>
        <v/>
      </c>
    </row>
    <row r="15617">
      <c r="A15617" s="16" t="s">
        <v>87</v>
      </c>
      <c r="E15617" s="16" t="str">
        <f>IFERROR(__xludf.DUMMYFUNCTION("""COMPUTED_VALUE"""),"")</f>
        <v/>
      </c>
      <c r="G15617" s="18"/>
      <c r="H15617" s="16" t="s">
        <v>87</v>
      </c>
      <c r="I15617" s="16" t="s">
        <v>87</v>
      </c>
      <c r="J15617" s="19"/>
      <c r="L15617" s="16" t="str">
        <f>IFERROR(__xludf.DUMMYFUNCTION("""COMPUTED_VALUE"""),"")</f>
        <v/>
      </c>
      <c r="M15617" s="16" t="str">
        <f>IFERROR(__xludf.DUMMYFUNCTION("""COMPUTED_VALUE"""),"")</f>
        <v/>
      </c>
      <c r="U15617" s="16" t="s">
        <v>87</v>
      </c>
      <c r="V15617" s="16" t="str">
        <f>IFERROR(__xludf.DUMMYFUNCTION("""COMPUTED_VALUE"""),"")</f>
        <v/>
      </c>
      <c r="W15617" s="16" t="str">
        <f>IFERROR(__xludf.DUMMYFUNCTION("""COMPUTED_VALUE"""),"")</f>
        <v/>
      </c>
      <c r="X15617" s="16" t="str">
        <f>IFERROR(__xludf.DUMMYFUNCTION("""COMPUTED_VALUE"""),"")</f>
        <v/>
      </c>
      <c r="AC15617" s="16" t="str">
        <f>IFERROR(__xludf.DUMMYFUNCTION("""COMPUTED_VALUE"""),"")</f>
        <v/>
      </c>
    </row>
    <row r="15618">
      <c r="A15618" s="16" t="s">
        <v>87</v>
      </c>
      <c r="E15618" s="16" t="str">
        <f>IFERROR(__xludf.DUMMYFUNCTION("""COMPUTED_VALUE"""),"")</f>
        <v/>
      </c>
      <c r="G15618" s="18"/>
      <c r="H15618" s="16" t="s">
        <v>87</v>
      </c>
      <c r="I15618" s="16" t="s">
        <v>87</v>
      </c>
      <c r="J15618" s="19"/>
      <c r="L15618" s="16" t="str">
        <f>IFERROR(__xludf.DUMMYFUNCTION("""COMPUTED_VALUE"""),"")</f>
        <v/>
      </c>
      <c r="M15618" s="16" t="str">
        <f>IFERROR(__xludf.DUMMYFUNCTION("""COMPUTED_VALUE"""),"")</f>
        <v/>
      </c>
      <c r="U15618" s="16" t="s">
        <v>87</v>
      </c>
      <c r="V15618" s="16" t="str">
        <f>IFERROR(__xludf.DUMMYFUNCTION("""COMPUTED_VALUE"""),"")</f>
        <v/>
      </c>
      <c r="W15618" s="16" t="str">
        <f>IFERROR(__xludf.DUMMYFUNCTION("""COMPUTED_VALUE"""),"")</f>
        <v/>
      </c>
      <c r="X15618" s="16" t="str">
        <f>IFERROR(__xludf.DUMMYFUNCTION("""COMPUTED_VALUE"""),"")</f>
        <v/>
      </c>
      <c r="AC15618" s="16" t="str">
        <f>IFERROR(__xludf.DUMMYFUNCTION("""COMPUTED_VALUE"""),"")</f>
        <v/>
      </c>
    </row>
    <row r="15619">
      <c r="A15619" s="16" t="s">
        <v>87</v>
      </c>
      <c r="E15619" s="16" t="str">
        <f>IFERROR(__xludf.DUMMYFUNCTION("""COMPUTED_VALUE"""),"")</f>
        <v/>
      </c>
      <c r="G15619" s="18"/>
      <c r="H15619" s="16" t="s">
        <v>87</v>
      </c>
      <c r="I15619" s="16" t="s">
        <v>87</v>
      </c>
      <c r="J15619" s="19"/>
      <c r="L15619" s="16" t="str">
        <f>IFERROR(__xludf.DUMMYFUNCTION("""COMPUTED_VALUE"""),"")</f>
        <v/>
      </c>
      <c r="M15619" s="16" t="str">
        <f>IFERROR(__xludf.DUMMYFUNCTION("""COMPUTED_VALUE"""),"")</f>
        <v/>
      </c>
      <c r="U15619" s="16" t="s">
        <v>87</v>
      </c>
      <c r="V15619" s="16" t="str">
        <f>IFERROR(__xludf.DUMMYFUNCTION("""COMPUTED_VALUE"""),"")</f>
        <v/>
      </c>
      <c r="W15619" s="16" t="str">
        <f>IFERROR(__xludf.DUMMYFUNCTION("""COMPUTED_VALUE"""),"")</f>
        <v/>
      </c>
      <c r="X15619" s="16" t="str">
        <f>IFERROR(__xludf.DUMMYFUNCTION("""COMPUTED_VALUE"""),"")</f>
        <v/>
      </c>
      <c r="AC15619" s="16" t="str">
        <f>IFERROR(__xludf.DUMMYFUNCTION("""COMPUTED_VALUE"""),"")</f>
        <v/>
      </c>
    </row>
    <row r="15620">
      <c r="A15620" s="16" t="s">
        <v>87</v>
      </c>
      <c r="E15620" s="16" t="str">
        <f>IFERROR(__xludf.DUMMYFUNCTION("""COMPUTED_VALUE"""),"")</f>
        <v/>
      </c>
      <c r="G15620" s="18"/>
      <c r="H15620" s="16" t="s">
        <v>87</v>
      </c>
      <c r="I15620" s="16" t="s">
        <v>87</v>
      </c>
      <c r="J15620" s="19"/>
      <c r="L15620" s="16" t="str">
        <f>IFERROR(__xludf.DUMMYFUNCTION("""COMPUTED_VALUE"""),"")</f>
        <v/>
      </c>
      <c r="M15620" s="16" t="str">
        <f>IFERROR(__xludf.DUMMYFUNCTION("""COMPUTED_VALUE"""),"")</f>
        <v/>
      </c>
      <c r="U15620" s="16" t="s">
        <v>87</v>
      </c>
      <c r="V15620" s="16" t="str">
        <f>IFERROR(__xludf.DUMMYFUNCTION("""COMPUTED_VALUE"""),"")</f>
        <v/>
      </c>
      <c r="W15620" s="16" t="str">
        <f>IFERROR(__xludf.DUMMYFUNCTION("""COMPUTED_VALUE"""),"")</f>
        <v/>
      </c>
      <c r="X15620" s="16" t="str">
        <f>IFERROR(__xludf.DUMMYFUNCTION("""COMPUTED_VALUE"""),"")</f>
        <v/>
      </c>
      <c r="AC15620" s="16" t="str">
        <f>IFERROR(__xludf.DUMMYFUNCTION("""COMPUTED_VALUE"""),"")</f>
        <v/>
      </c>
    </row>
    <row r="15621">
      <c r="A15621" s="16" t="s">
        <v>87</v>
      </c>
      <c r="E15621" s="16" t="str">
        <f>IFERROR(__xludf.DUMMYFUNCTION("""COMPUTED_VALUE"""),"")</f>
        <v/>
      </c>
      <c r="G15621" s="18"/>
      <c r="H15621" s="16" t="s">
        <v>87</v>
      </c>
      <c r="I15621" s="16" t="s">
        <v>87</v>
      </c>
      <c r="J15621" s="19"/>
      <c r="L15621" s="16" t="str">
        <f>IFERROR(__xludf.DUMMYFUNCTION("""COMPUTED_VALUE"""),"")</f>
        <v/>
      </c>
      <c r="M15621" s="16" t="str">
        <f>IFERROR(__xludf.DUMMYFUNCTION("""COMPUTED_VALUE"""),"")</f>
        <v/>
      </c>
      <c r="U15621" s="16" t="s">
        <v>87</v>
      </c>
      <c r="V15621" s="16" t="str">
        <f>IFERROR(__xludf.DUMMYFUNCTION("""COMPUTED_VALUE"""),"")</f>
        <v/>
      </c>
      <c r="W15621" s="16" t="str">
        <f>IFERROR(__xludf.DUMMYFUNCTION("""COMPUTED_VALUE"""),"")</f>
        <v/>
      </c>
      <c r="X15621" s="16" t="str">
        <f>IFERROR(__xludf.DUMMYFUNCTION("""COMPUTED_VALUE"""),"")</f>
        <v/>
      </c>
      <c r="AC15621" s="16" t="str">
        <f>IFERROR(__xludf.DUMMYFUNCTION("""COMPUTED_VALUE"""),"")</f>
        <v/>
      </c>
    </row>
    <row r="15622">
      <c r="A15622" s="16" t="s">
        <v>87</v>
      </c>
      <c r="E15622" s="16" t="str">
        <f>IFERROR(__xludf.DUMMYFUNCTION("""COMPUTED_VALUE"""),"")</f>
        <v/>
      </c>
      <c r="G15622" s="18"/>
      <c r="H15622" s="16" t="s">
        <v>87</v>
      </c>
      <c r="I15622" s="16" t="s">
        <v>87</v>
      </c>
      <c r="J15622" s="19"/>
      <c r="L15622" s="16" t="str">
        <f>IFERROR(__xludf.DUMMYFUNCTION("""COMPUTED_VALUE"""),"")</f>
        <v/>
      </c>
      <c r="M15622" s="16" t="str">
        <f>IFERROR(__xludf.DUMMYFUNCTION("""COMPUTED_VALUE"""),"")</f>
        <v/>
      </c>
      <c r="U15622" s="16" t="s">
        <v>87</v>
      </c>
      <c r="V15622" s="16" t="str">
        <f>IFERROR(__xludf.DUMMYFUNCTION("""COMPUTED_VALUE"""),"")</f>
        <v/>
      </c>
      <c r="W15622" s="16" t="str">
        <f>IFERROR(__xludf.DUMMYFUNCTION("""COMPUTED_VALUE"""),"")</f>
        <v/>
      </c>
      <c r="X15622" s="16" t="str">
        <f>IFERROR(__xludf.DUMMYFUNCTION("""COMPUTED_VALUE"""),"")</f>
        <v/>
      </c>
      <c r="AC15622" s="16" t="str">
        <f>IFERROR(__xludf.DUMMYFUNCTION("""COMPUTED_VALUE"""),"")</f>
        <v/>
      </c>
    </row>
    <row r="15623">
      <c r="A15623" s="16" t="s">
        <v>87</v>
      </c>
      <c r="E15623" s="16" t="str">
        <f>IFERROR(__xludf.DUMMYFUNCTION("""COMPUTED_VALUE"""),"")</f>
        <v/>
      </c>
      <c r="G15623" s="18"/>
      <c r="H15623" s="16" t="s">
        <v>87</v>
      </c>
      <c r="I15623" s="16" t="s">
        <v>87</v>
      </c>
      <c r="J15623" s="19"/>
      <c r="L15623" s="16" t="str">
        <f>IFERROR(__xludf.DUMMYFUNCTION("""COMPUTED_VALUE"""),"")</f>
        <v/>
      </c>
      <c r="M15623" s="16" t="str">
        <f>IFERROR(__xludf.DUMMYFUNCTION("""COMPUTED_VALUE"""),"")</f>
        <v/>
      </c>
      <c r="U15623" s="16" t="s">
        <v>87</v>
      </c>
      <c r="V15623" s="16" t="str">
        <f>IFERROR(__xludf.DUMMYFUNCTION("""COMPUTED_VALUE"""),"")</f>
        <v/>
      </c>
      <c r="W15623" s="16" t="str">
        <f>IFERROR(__xludf.DUMMYFUNCTION("""COMPUTED_VALUE"""),"")</f>
        <v/>
      </c>
      <c r="X15623" s="16" t="str">
        <f>IFERROR(__xludf.DUMMYFUNCTION("""COMPUTED_VALUE"""),"")</f>
        <v/>
      </c>
      <c r="AC15623" s="16" t="str">
        <f>IFERROR(__xludf.DUMMYFUNCTION("""COMPUTED_VALUE"""),"")</f>
        <v/>
      </c>
    </row>
    <row r="15624">
      <c r="A15624" s="16" t="s">
        <v>87</v>
      </c>
      <c r="E15624" s="16" t="str">
        <f>IFERROR(__xludf.DUMMYFUNCTION("""COMPUTED_VALUE"""),"")</f>
        <v/>
      </c>
      <c r="G15624" s="18"/>
      <c r="H15624" s="16" t="s">
        <v>87</v>
      </c>
      <c r="I15624" s="16" t="s">
        <v>87</v>
      </c>
      <c r="J15624" s="19"/>
      <c r="L15624" s="16" t="str">
        <f>IFERROR(__xludf.DUMMYFUNCTION("""COMPUTED_VALUE"""),"")</f>
        <v/>
      </c>
      <c r="M15624" s="16" t="str">
        <f>IFERROR(__xludf.DUMMYFUNCTION("""COMPUTED_VALUE"""),"")</f>
        <v/>
      </c>
      <c r="U15624" s="16" t="s">
        <v>87</v>
      </c>
      <c r="V15624" s="16" t="str">
        <f>IFERROR(__xludf.DUMMYFUNCTION("""COMPUTED_VALUE"""),"")</f>
        <v/>
      </c>
      <c r="W15624" s="16" t="str">
        <f>IFERROR(__xludf.DUMMYFUNCTION("""COMPUTED_VALUE"""),"")</f>
        <v/>
      </c>
      <c r="X15624" s="16" t="str">
        <f>IFERROR(__xludf.DUMMYFUNCTION("""COMPUTED_VALUE"""),"")</f>
        <v/>
      </c>
      <c r="AC15624" s="16" t="str">
        <f>IFERROR(__xludf.DUMMYFUNCTION("""COMPUTED_VALUE"""),"")</f>
        <v/>
      </c>
    </row>
    <row r="15625">
      <c r="A15625" s="16" t="s">
        <v>87</v>
      </c>
      <c r="E15625" s="16" t="str">
        <f>IFERROR(__xludf.DUMMYFUNCTION("""COMPUTED_VALUE"""),"")</f>
        <v/>
      </c>
      <c r="G15625" s="18"/>
      <c r="H15625" s="16" t="s">
        <v>87</v>
      </c>
      <c r="I15625" s="16" t="s">
        <v>87</v>
      </c>
      <c r="J15625" s="19"/>
      <c r="L15625" s="16" t="str">
        <f>IFERROR(__xludf.DUMMYFUNCTION("""COMPUTED_VALUE"""),"")</f>
        <v/>
      </c>
      <c r="M15625" s="16" t="str">
        <f>IFERROR(__xludf.DUMMYFUNCTION("""COMPUTED_VALUE"""),"")</f>
        <v/>
      </c>
      <c r="U15625" s="16" t="s">
        <v>87</v>
      </c>
      <c r="V15625" s="16" t="str">
        <f>IFERROR(__xludf.DUMMYFUNCTION("""COMPUTED_VALUE"""),"")</f>
        <v/>
      </c>
      <c r="W15625" s="16" t="str">
        <f>IFERROR(__xludf.DUMMYFUNCTION("""COMPUTED_VALUE"""),"")</f>
        <v/>
      </c>
      <c r="X15625" s="16" t="str">
        <f>IFERROR(__xludf.DUMMYFUNCTION("""COMPUTED_VALUE"""),"")</f>
        <v/>
      </c>
      <c r="AC15625" s="16" t="str">
        <f>IFERROR(__xludf.DUMMYFUNCTION("""COMPUTED_VALUE"""),"")</f>
        <v/>
      </c>
    </row>
    <row r="15626">
      <c r="A15626" s="16" t="s">
        <v>87</v>
      </c>
      <c r="E15626" s="16" t="str">
        <f>IFERROR(__xludf.DUMMYFUNCTION("""COMPUTED_VALUE"""),"")</f>
        <v/>
      </c>
      <c r="G15626" s="18"/>
      <c r="H15626" s="16" t="s">
        <v>87</v>
      </c>
      <c r="I15626" s="16" t="s">
        <v>87</v>
      </c>
      <c r="J15626" s="19"/>
      <c r="L15626" s="16" t="str">
        <f>IFERROR(__xludf.DUMMYFUNCTION("""COMPUTED_VALUE"""),"")</f>
        <v/>
      </c>
      <c r="M15626" s="16" t="str">
        <f>IFERROR(__xludf.DUMMYFUNCTION("""COMPUTED_VALUE"""),"")</f>
        <v/>
      </c>
      <c r="U15626" s="16" t="s">
        <v>87</v>
      </c>
      <c r="V15626" s="16" t="str">
        <f>IFERROR(__xludf.DUMMYFUNCTION("""COMPUTED_VALUE"""),"")</f>
        <v/>
      </c>
      <c r="W15626" s="16" t="str">
        <f>IFERROR(__xludf.DUMMYFUNCTION("""COMPUTED_VALUE"""),"")</f>
        <v/>
      </c>
      <c r="X15626" s="16" t="str">
        <f>IFERROR(__xludf.DUMMYFUNCTION("""COMPUTED_VALUE"""),"")</f>
        <v/>
      </c>
      <c r="AC15626" s="16" t="str">
        <f>IFERROR(__xludf.DUMMYFUNCTION("""COMPUTED_VALUE"""),"")</f>
        <v/>
      </c>
    </row>
    <row r="15627">
      <c r="A15627" s="16" t="s">
        <v>87</v>
      </c>
      <c r="E15627" s="16" t="str">
        <f>IFERROR(__xludf.DUMMYFUNCTION("""COMPUTED_VALUE"""),"")</f>
        <v/>
      </c>
      <c r="G15627" s="18"/>
      <c r="H15627" s="16" t="s">
        <v>87</v>
      </c>
      <c r="I15627" s="16" t="s">
        <v>87</v>
      </c>
      <c r="J15627" s="19"/>
      <c r="L15627" s="16" t="str">
        <f>IFERROR(__xludf.DUMMYFUNCTION("""COMPUTED_VALUE"""),"")</f>
        <v/>
      </c>
      <c r="M15627" s="16" t="str">
        <f>IFERROR(__xludf.DUMMYFUNCTION("""COMPUTED_VALUE"""),"")</f>
        <v/>
      </c>
      <c r="U15627" s="16" t="s">
        <v>87</v>
      </c>
      <c r="V15627" s="16" t="str">
        <f>IFERROR(__xludf.DUMMYFUNCTION("""COMPUTED_VALUE"""),"")</f>
        <v/>
      </c>
      <c r="W15627" s="16" t="str">
        <f>IFERROR(__xludf.DUMMYFUNCTION("""COMPUTED_VALUE"""),"")</f>
        <v/>
      </c>
      <c r="X15627" s="16" t="str">
        <f>IFERROR(__xludf.DUMMYFUNCTION("""COMPUTED_VALUE"""),"")</f>
        <v/>
      </c>
      <c r="AC15627" s="16" t="str">
        <f>IFERROR(__xludf.DUMMYFUNCTION("""COMPUTED_VALUE"""),"")</f>
        <v/>
      </c>
    </row>
    <row r="15628">
      <c r="A15628" s="16" t="s">
        <v>87</v>
      </c>
      <c r="E15628" s="16" t="str">
        <f>IFERROR(__xludf.DUMMYFUNCTION("""COMPUTED_VALUE"""),"")</f>
        <v/>
      </c>
      <c r="G15628" s="18"/>
      <c r="H15628" s="16" t="s">
        <v>87</v>
      </c>
      <c r="I15628" s="16" t="s">
        <v>87</v>
      </c>
      <c r="J15628" s="19"/>
      <c r="L15628" s="16" t="str">
        <f>IFERROR(__xludf.DUMMYFUNCTION("""COMPUTED_VALUE"""),"")</f>
        <v/>
      </c>
      <c r="M15628" s="16" t="str">
        <f>IFERROR(__xludf.DUMMYFUNCTION("""COMPUTED_VALUE"""),"")</f>
        <v/>
      </c>
      <c r="U15628" s="16" t="s">
        <v>87</v>
      </c>
      <c r="V15628" s="16" t="str">
        <f>IFERROR(__xludf.DUMMYFUNCTION("""COMPUTED_VALUE"""),"")</f>
        <v/>
      </c>
      <c r="W15628" s="16" t="str">
        <f>IFERROR(__xludf.DUMMYFUNCTION("""COMPUTED_VALUE"""),"")</f>
        <v/>
      </c>
      <c r="X15628" s="16" t="str">
        <f>IFERROR(__xludf.DUMMYFUNCTION("""COMPUTED_VALUE"""),"")</f>
        <v/>
      </c>
      <c r="AC15628" s="16" t="str">
        <f>IFERROR(__xludf.DUMMYFUNCTION("""COMPUTED_VALUE"""),"")</f>
        <v/>
      </c>
    </row>
    <row r="15629">
      <c r="A15629" s="16" t="s">
        <v>87</v>
      </c>
      <c r="E15629" s="16" t="str">
        <f>IFERROR(__xludf.DUMMYFUNCTION("""COMPUTED_VALUE"""),"")</f>
        <v/>
      </c>
      <c r="G15629" s="18"/>
      <c r="H15629" s="16" t="s">
        <v>87</v>
      </c>
      <c r="I15629" s="16" t="s">
        <v>87</v>
      </c>
      <c r="J15629" s="19"/>
      <c r="L15629" s="16" t="str">
        <f>IFERROR(__xludf.DUMMYFUNCTION("""COMPUTED_VALUE"""),"")</f>
        <v/>
      </c>
      <c r="M15629" s="16" t="str">
        <f>IFERROR(__xludf.DUMMYFUNCTION("""COMPUTED_VALUE"""),"")</f>
        <v/>
      </c>
      <c r="U15629" s="16" t="s">
        <v>87</v>
      </c>
      <c r="V15629" s="16" t="str">
        <f>IFERROR(__xludf.DUMMYFUNCTION("""COMPUTED_VALUE"""),"")</f>
        <v/>
      </c>
      <c r="W15629" s="16" t="str">
        <f>IFERROR(__xludf.DUMMYFUNCTION("""COMPUTED_VALUE"""),"")</f>
        <v/>
      </c>
      <c r="X15629" s="16" t="str">
        <f>IFERROR(__xludf.DUMMYFUNCTION("""COMPUTED_VALUE"""),"")</f>
        <v/>
      </c>
      <c r="AC15629" s="16" t="str">
        <f>IFERROR(__xludf.DUMMYFUNCTION("""COMPUTED_VALUE"""),"")</f>
        <v/>
      </c>
    </row>
    <row r="15630">
      <c r="A15630" s="16" t="s">
        <v>87</v>
      </c>
      <c r="E15630" s="16" t="str">
        <f>IFERROR(__xludf.DUMMYFUNCTION("""COMPUTED_VALUE"""),"")</f>
        <v/>
      </c>
      <c r="G15630" s="18"/>
      <c r="H15630" s="16" t="s">
        <v>87</v>
      </c>
      <c r="I15630" s="16" t="s">
        <v>87</v>
      </c>
      <c r="J15630" s="19"/>
      <c r="L15630" s="16" t="str">
        <f>IFERROR(__xludf.DUMMYFUNCTION("""COMPUTED_VALUE"""),"")</f>
        <v/>
      </c>
      <c r="M15630" s="16" t="str">
        <f>IFERROR(__xludf.DUMMYFUNCTION("""COMPUTED_VALUE"""),"")</f>
        <v/>
      </c>
      <c r="U15630" s="16" t="s">
        <v>87</v>
      </c>
      <c r="V15630" s="16" t="str">
        <f>IFERROR(__xludf.DUMMYFUNCTION("""COMPUTED_VALUE"""),"")</f>
        <v/>
      </c>
      <c r="W15630" s="16" t="str">
        <f>IFERROR(__xludf.DUMMYFUNCTION("""COMPUTED_VALUE"""),"")</f>
        <v/>
      </c>
      <c r="X15630" s="16" t="str">
        <f>IFERROR(__xludf.DUMMYFUNCTION("""COMPUTED_VALUE"""),"")</f>
        <v/>
      </c>
      <c r="AC15630" s="16" t="str">
        <f>IFERROR(__xludf.DUMMYFUNCTION("""COMPUTED_VALUE"""),"")</f>
        <v/>
      </c>
    </row>
    <row r="15631">
      <c r="A15631" s="16" t="s">
        <v>87</v>
      </c>
      <c r="E15631" s="16" t="str">
        <f>IFERROR(__xludf.DUMMYFUNCTION("""COMPUTED_VALUE"""),"")</f>
        <v/>
      </c>
      <c r="G15631" s="18"/>
      <c r="H15631" s="16" t="s">
        <v>87</v>
      </c>
      <c r="I15631" s="16" t="s">
        <v>87</v>
      </c>
      <c r="J15631" s="19"/>
      <c r="L15631" s="16" t="str">
        <f>IFERROR(__xludf.DUMMYFUNCTION("""COMPUTED_VALUE"""),"")</f>
        <v/>
      </c>
      <c r="M15631" s="16" t="str">
        <f>IFERROR(__xludf.DUMMYFUNCTION("""COMPUTED_VALUE"""),"")</f>
        <v/>
      </c>
      <c r="U15631" s="16" t="s">
        <v>87</v>
      </c>
      <c r="V15631" s="16" t="str">
        <f>IFERROR(__xludf.DUMMYFUNCTION("""COMPUTED_VALUE"""),"")</f>
        <v/>
      </c>
      <c r="W15631" s="16" t="str">
        <f>IFERROR(__xludf.DUMMYFUNCTION("""COMPUTED_VALUE"""),"")</f>
        <v/>
      </c>
      <c r="X15631" s="16" t="str">
        <f>IFERROR(__xludf.DUMMYFUNCTION("""COMPUTED_VALUE"""),"")</f>
        <v/>
      </c>
      <c r="AC15631" s="16" t="str">
        <f>IFERROR(__xludf.DUMMYFUNCTION("""COMPUTED_VALUE"""),"")</f>
        <v/>
      </c>
    </row>
    <row r="15632">
      <c r="A15632" s="16" t="s">
        <v>87</v>
      </c>
      <c r="E15632" s="16" t="str">
        <f>IFERROR(__xludf.DUMMYFUNCTION("""COMPUTED_VALUE"""),"")</f>
        <v/>
      </c>
      <c r="G15632" s="18"/>
      <c r="H15632" s="16" t="s">
        <v>87</v>
      </c>
      <c r="I15632" s="16" t="s">
        <v>87</v>
      </c>
      <c r="J15632" s="19"/>
      <c r="L15632" s="16" t="str">
        <f>IFERROR(__xludf.DUMMYFUNCTION("""COMPUTED_VALUE"""),"")</f>
        <v/>
      </c>
      <c r="M15632" s="16" t="str">
        <f>IFERROR(__xludf.DUMMYFUNCTION("""COMPUTED_VALUE"""),"")</f>
        <v/>
      </c>
      <c r="U15632" s="16" t="s">
        <v>87</v>
      </c>
      <c r="V15632" s="16" t="str">
        <f>IFERROR(__xludf.DUMMYFUNCTION("""COMPUTED_VALUE"""),"")</f>
        <v/>
      </c>
      <c r="W15632" s="16" t="str">
        <f>IFERROR(__xludf.DUMMYFUNCTION("""COMPUTED_VALUE"""),"")</f>
        <v/>
      </c>
      <c r="X15632" s="16" t="str">
        <f>IFERROR(__xludf.DUMMYFUNCTION("""COMPUTED_VALUE"""),"")</f>
        <v/>
      </c>
      <c r="AC15632" s="16" t="str">
        <f>IFERROR(__xludf.DUMMYFUNCTION("""COMPUTED_VALUE"""),"")</f>
        <v/>
      </c>
    </row>
    <row r="15633">
      <c r="A15633" s="16" t="s">
        <v>87</v>
      </c>
      <c r="E15633" s="16" t="str">
        <f>IFERROR(__xludf.DUMMYFUNCTION("""COMPUTED_VALUE"""),"")</f>
        <v/>
      </c>
      <c r="G15633" s="18"/>
      <c r="H15633" s="16" t="s">
        <v>87</v>
      </c>
      <c r="I15633" s="16" t="s">
        <v>87</v>
      </c>
      <c r="J15633" s="19"/>
      <c r="L15633" s="16" t="str">
        <f>IFERROR(__xludf.DUMMYFUNCTION("""COMPUTED_VALUE"""),"")</f>
        <v/>
      </c>
      <c r="M15633" s="16" t="str">
        <f>IFERROR(__xludf.DUMMYFUNCTION("""COMPUTED_VALUE"""),"")</f>
        <v/>
      </c>
      <c r="U15633" s="16" t="s">
        <v>87</v>
      </c>
      <c r="V15633" s="16" t="str">
        <f>IFERROR(__xludf.DUMMYFUNCTION("""COMPUTED_VALUE"""),"")</f>
        <v/>
      </c>
      <c r="W15633" s="16" t="str">
        <f>IFERROR(__xludf.DUMMYFUNCTION("""COMPUTED_VALUE"""),"")</f>
        <v/>
      </c>
      <c r="X15633" s="16" t="str">
        <f>IFERROR(__xludf.DUMMYFUNCTION("""COMPUTED_VALUE"""),"")</f>
        <v/>
      </c>
      <c r="AC15633" s="16" t="str">
        <f>IFERROR(__xludf.DUMMYFUNCTION("""COMPUTED_VALUE"""),"")</f>
        <v/>
      </c>
    </row>
    <row r="15634">
      <c r="A15634" s="16" t="s">
        <v>87</v>
      </c>
      <c r="E15634" s="16" t="str">
        <f>IFERROR(__xludf.DUMMYFUNCTION("""COMPUTED_VALUE"""),"")</f>
        <v/>
      </c>
      <c r="G15634" s="18"/>
      <c r="H15634" s="16" t="s">
        <v>87</v>
      </c>
      <c r="I15634" s="16" t="s">
        <v>87</v>
      </c>
      <c r="J15634" s="19"/>
      <c r="L15634" s="16" t="str">
        <f>IFERROR(__xludf.DUMMYFUNCTION("""COMPUTED_VALUE"""),"")</f>
        <v/>
      </c>
      <c r="M15634" s="16" t="str">
        <f>IFERROR(__xludf.DUMMYFUNCTION("""COMPUTED_VALUE"""),"")</f>
        <v/>
      </c>
      <c r="U15634" s="16" t="s">
        <v>87</v>
      </c>
      <c r="V15634" s="16" t="str">
        <f>IFERROR(__xludf.DUMMYFUNCTION("""COMPUTED_VALUE"""),"")</f>
        <v/>
      </c>
      <c r="W15634" s="16" t="str">
        <f>IFERROR(__xludf.DUMMYFUNCTION("""COMPUTED_VALUE"""),"")</f>
        <v/>
      </c>
      <c r="X15634" s="16" t="str">
        <f>IFERROR(__xludf.DUMMYFUNCTION("""COMPUTED_VALUE"""),"")</f>
        <v/>
      </c>
      <c r="AC15634" s="16" t="str">
        <f>IFERROR(__xludf.DUMMYFUNCTION("""COMPUTED_VALUE"""),"")</f>
        <v/>
      </c>
    </row>
    <row r="15635">
      <c r="A15635" s="16" t="s">
        <v>87</v>
      </c>
      <c r="E15635" s="16" t="str">
        <f>IFERROR(__xludf.DUMMYFUNCTION("""COMPUTED_VALUE"""),"")</f>
        <v/>
      </c>
      <c r="G15635" s="18"/>
      <c r="H15635" s="16" t="s">
        <v>87</v>
      </c>
      <c r="I15635" s="16" t="s">
        <v>87</v>
      </c>
      <c r="J15635" s="19"/>
      <c r="L15635" s="16" t="str">
        <f>IFERROR(__xludf.DUMMYFUNCTION("""COMPUTED_VALUE"""),"")</f>
        <v/>
      </c>
      <c r="M15635" s="16" t="str">
        <f>IFERROR(__xludf.DUMMYFUNCTION("""COMPUTED_VALUE"""),"")</f>
        <v/>
      </c>
      <c r="U15635" s="16" t="s">
        <v>87</v>
      </c>
      <c r="V15635" s="16" t="str">
        <f>IFERROR(__xludf.DUMMYFUNCTION("""COMPUTED_VALUE"""),"")</f>
        <v/>
      </c>
      <c r="W15635" s="16" t="str">
        <f>IFERROR(__xludf.DUMMYFUNCTION("""COMPUTED_VALUE"""),"")</f>
        <v/>
      </c>
      <c r="X15635" s="16" t="str">
        <f>IFERROR(__xludf.DUMMYFUNCTION("""COMPUTED_VALUE"""),"")</f>
        <v/>
      </c>
      <c r="AC15635" s="16" t="str">
        <f>IFERROR(__xludf.DUMMYFUNCTION("""COMPUTED_VALUE"""),"")</f>
        <v/>
      </c>
    </row>
    <row r="15636">
      <c r="A15636" s="16" t="s">
        <v>87</v>
      </c>
      <c r="E15636" s="16" t="str">
        <f>IFERROR(__xludf.DUMMYFUNCTION("""COMPUTED_VALUE"""),"")</f>
        <v/>
      </c>
      <c r="G15636" s="18"/>
      <c r="H15636" s="16" t="s">
        <v>87</v>
      </c>
      <c r="I15636" s="16" t="s">
        <v>87</v>
      </c>
      <c r="J15636" s="19"/>
      <c r="L15636" s="16" t="str">
        <f>IFERROR(__xludf.DUMMYFUNCTION("""COMPUTED_VALUE"""),"")</f>
        <v/>
      </c>
      <c r="M15636" s="16" t="str">
        <f>IFERROR(__xludf.DUMMYFUNCTION("""COMPUTED_VALUE"""),"")</f>
        <v/>
      </c>
      <c r="U15636" s="16" t="s">
        <v>87</v>
      </c>
      <c r="V15636" s="16" t="str">
        <f>IFERROR(__xludf.DUMMYFUNCTION("""COMPUTED_VALUE"""),"")</f>
        <v/>
      </c>
      <c r="W15636" s="16" t="str">
        <f>IFERROR(__xludf.DUMMYFUNCTION("""COMPUTED_VALUE"""),"")</f>
        <v/>
      </c>
      <c r="X15636" s="16" t="str">
        <f>IFERROR(__xludf.DUMMYFUNCTION("""COMPUTED_VALUE"""),"")</f>
        <v/>
      </c>
      <c r="AC15636" s="16" t="str">
        <f>IFERROR(__xludf.DUMMYFUNCTION("""COMPUTED_VALUE"""),"")</f>
        <v/>
      </c>
    </row>
    <row r="15637">
      <c r="A15637" s="16" t="s">
        <v>87</v>
      </c>
      <c r="E15637" s="16" t="str">
        <f>IFERROR(__xludf.DUMMYFUNCTION("""COMPUTED_VALUE"""),"")</f>
        <v/>
      </c>
      <c r="G15637" s="18"/>
      <c r="H15637" s="16" t="s">
        <v>87</v>
      </c>
      <c r="I15637" s="16" t="s">
        <v>87</v>
      </c>
      <c r="J15637" s="19"/>
      <c r="L15637" s="16" t="str">
        <f>IFERROR(__xludf.DUMMYFUNCTION("""COMPUTED_VALUE"""),"")</f>
        <v/>
      </c>
      <c r="M15637" s="16" t="str">
        <f>IFERROR(__xludf.DUMMYFUNCTION("""COMPUTED_VALUE"""),"")</f>
        <v/>
      </c>
      <c r="U15637" s="16" t="s">
        <v>87</v>
      </c>
      <c r="V15637" s="16" t="str">
        <f>IFERROR(__xludf.DUMMYFUNCTION("""COMPUTED_VALUE"""),"")</f>
        <v/>
      </c>
      <c r="W15637" s="16" t="str">
        <f>IFERROR(__xludf.DUMMYFUNCTION("""COMPUTED_VALUE"""),"")</f>
        <v/>
      </c>
      <c r="X15637" s="16" t="str">
        <f>IFERROR(__xludf.DUMMYFUNCTION("""COMPUTED_VALUE"""),"")</f>
        <v/>
      </c>
      <c r="AC15637" s="16" t="str">
        <f>IFERROR(__xludf.DUMMYFUNCTION("""COMPUTED_VALUE"""),"")</f>
        <v/>
      </c>
    </row>
    <row r="15638">
      <c r="A15638" s="16" t="s">
        <v>87</v>
      </c>
      <c r="E15638" s="16" t="str">
        <f>IFERROR(__xludf.DUMMYFUNCTION("""COMPUTED_VALUE"""),"")</f>
        <v/>
      </c>
      <c r="G15638" s="18"/>
      <c r="H15638" s="16" t="s">
        <v>87</v>
      </c>
      <c r="I15638" s="16" t="s">
        <v>87</v>
      </c>
      <c r="J15638" s="19"/>
      <c r="L15638" s="16" t="str">
        <f>IFERROR(__xludf.DUMMYFUNCTION("""COMPUTED_VALUE"""),"")</f>
        <v/>
      </c>
      <c r="M15638" s="16" t="str">
        <f>IFERROR(__xludf.DUMMYFUNCTION("""COMPUTED_VALUE"""),"")</f>
        <v/>
      </c>
      <c r="U15638" s="16" t="s">
        <v>87</v>
      </c>
      <c r="V15638" s="16" t="str">
        <f>IFERROR(__xludf.DUMMYFUNCTION("""COMPUTED_VALUE"""),"")</f>
        <v/>
      </c>
      <c r="W15638" s="16" t="str">
        <f>IFERROR(__xludf.DUMMYFUNCTION("""COMPUTED_VALUE"""),"")</f>
        <v/>
      </c>
      <c r="X15638" s="16" t="str">
        <f>IFERROR(__xludf.DUMMYFUNCTION("""COMPUTED_VALUE"""),"")</f>
        <v/>
      </c>
      <c r="AC15638" s="16" t="str">
        <f>IFERROR(__xludf.DUMMYFUNCTION("""COMPUTED_VALUE"""),"")</f>
        <v/>
      </c>
    </row>
    <row r="15639">
      <c r="A15639" s="16" t="s">
        <v>87</v>
      </c>
      <c r="E15639" s="16" t="str">
        <f>IFERROR(__xludf.DUMMYFUNCTION("""COMPUTED_VALUE"""),"")</f>
        <v/>
      </c>
      <c r="G15639" s="18"/>
      <c r="H15639" s="16" t="s">
        <v>87</v>
      </c>
      <c r="I15639" s="16" t="s">
        <v>87</v>
      </c>
      <c r="J15639" s="19"/>
      <c r="L15639" s="16" t="str">
        <f>IFERROR(__xludf.DUMMYFUNCTION("""COMPUTED_VALUE"""),"")</f>
        <v/>
      </c>
      <c r="M15639" s="16" t="str">
        <f>IFERROR(__xludf.DUMMYFUNCTION("""COMPUTED_VALUE"""),"")</f>
        <v/>
      </c>
      <c r="U15639" s="16" t="s">
        <v>87</v>
      </c>
      <c r="V15639" s="16" t="str">
        <f>IFERROR(__xludf.DUMMYFUNCTION("""COMPUTED_VALUE"""),"")</f>
        <v/>
      </c>
      <c r="W15639" s="16" t="str">
        <f>IFERROR(__xludf.DUMMYFUNCTION("""COMPUTED_VALUE"""),"")</f>
        <v/>
      </c>
      <c r="X15639" s="16" t="str">
        <f>IFERROR(__xludf.DUMMYFUNCTION("""COMPUTED_VALUE"""),"")</f>
        <v/>
      </c>
      <c r="AC15639" s="16" t="str">
        <f>IFERROR(__xludf.DUMMYFUNCTION("""COMPUTED_VALUE"""),"")</f>
        <v/>
      </c>
    </row>
    <row r="15640">
      <c r="A15640" s="16" t="s">
        <v>87</v>
      </c>
      <c r="E15640" s="16" t="str">
        <f>IFERROR(__xludf.DUMMYFUNCTION("""COMPUTED_VALUE"""),"")</f>
        <v/>
      </c>
      <c r="G15640" s="18"/>
      <c r="H15640" s="16" t="s">
        <v>87</v>
      </c>
      <c r="I15640" s="16" t="s">
        <v>87</v>
      </c>
      <c r="J15640" s="19"/>
      <c r="L15640" s="16" t="str">
        <f>IFERROR(__xludf.DUMMYFUNCTION("""COMPUTED_VALUE"""),"")</f>
        <v/>
      </c>
      <c r="M15640" s="16" t="str">
        <f>IFERROR(__xludf.DUMMYFUNCTION("""COMPUTED_VALUE"""),"")</f>
        <v/>
      </c>
      <c r="U15640" s="16" t="s">
        <v>87</v>
      </c>
      <c r="V15640" s="16" t="str">
        <f>IFERROR(__xludf.DUMMYFUNCTION("""COMPUTED_VALUE"""),"")</f>
        <v/>
      </c>
      <c r="W15640" s="16" t="str">
        <f>IFERROR(__xludf.DUMMYFUNCTION("""COMPUTED_VALUE"""),"")</f>
        <v/>
      </c>
      <c r="X15640" s="16" t="str">
        <f>IFERROR(__xludf.DUMMYFUNCTION("""COMPUTED_VALUE"""),"")</f>
        <v/>
      </c>
      <c r="AC15640" s="16" t="str">
        <f>IFERROR(__xludf.DUMMYFUNCTION("""COMPUTED_VALUE"""),"")</f>
        <v/>
      </c>
    </row>
    <row r="15641">
      <c r="A15641" s="16" t="s">
        <v>87</v>
      </c>
      <c r="E15641" s="16" t="str">
        <f>IFERROR(__xludf.DUMMYFUNCTION("""COMPUTED_VALUE"""),"")</f>
        <v/>
      </c>
      <c r="G15641" s="18"/>
      <c r="H15641" s="16" t="s">
        <v>87</v>
      </c>
      <c r="I15641" s="16" t="s">
        <v>87</v>
      </c>
      <c r="J15641" s="19"/>
      <c r="L15641" s="16" t="str">
        <f>IFERROR(__xludf.DUMMYFUNCTION("""COMPUTED_VALUE"""),"")</f>
        <v/>
      </c>
      <c r="M15641" s="16" t="str">
        <f>IFERROR(__xludf.DUMMYFUNCTION("""COMPUTED_VALUE"""),"")</f>
        <v/>
      </c>
      <c r="U15641" s="16" t="s">
        <v>87</v>
      </c>
      <c r="V15641" s="16" t="str">
        <f>IFERROR(__xludf.DUMMYFUNCTION("""COMPUTED_VALUE"""),"")</f>
        <v/>
      </c>
      <c r="W15641" s="16" t="str">
        <f>IFERROR(__xludf.DUMMYFUNCTION("""COMPUTED_VALUE"""),"")</f>
        <v/>
      </c>
      <c r="X15641" s="16" t="str">
        <f>IFERROR(__xludf.DUMMYFUNCTION("""COMPUTED_VALUE"""),"")</f>
        <v/>
      </c>
      <c r="AC15641" s="16" t="str">
        <f>IFERROR(__xludf.DUMMYFUNCTION("""COMPUTED_VALUE"""),"")</f>
        <v/>
      </c>
    </row>
    <row r="15642">
      <c r="A15642" s="16" t="s">
        <v>87</v>
      </c>
      <c r="E15642" s="16" t="str">
        <f>IFERROR(__xludf.DUMMYFUNCTION("""COMPUTED_VALUE"""),"")</f>
        <v/>
      </c>
      <c r="G15642" s="18"/>
      <c r="H15642" s="16" t="s">
        <v>87</v>
      </c>
      <c r="I15642" s="16" t="s">
        <v>87</v>
      </c>
      <c r="J15642" s="19"/>
      <c r="L15642" s="16" t="str">
        <f>IFERROR(__xludf.DUMMYFUNCTION("""COMPUTED_VALUE"""),"")</f>
        <v/>
      </c>
      <c r="M15642" s="16" t="str">
        <f>IFERROR(__xludf.DUMMYFUNCTION("""COMPUTED_VALUE"""),"")</f>
        <v/>
      </c>
      <c r="U15642" s="16" t="s">
        <v>87</v>
      </c>
      <c r="V15642" s="16" t="str">
        <f>IFERROR(__xludf.DUMMYFUNCTION("""COMPUTED_VALUE"""),"")</f>
        <v/>
      </c>
      <c r="W15642" s="16" t="str">
        <f>IFERROR(__xludf.DUMMYFUNCTION("""COMPUTED_VALUE"""),"")</f>
        <v/>
      </c>
      <c r="X15642" s="16" t="str">
        <f>IFERROR(__xludf.DUMMYFUNCTION("""COMPUTED_VALUE"""),"")</f>
        <v/>
      </c>
      <c r="AC15642" s="16" t="str">
        <f>IFERROR(__xludf.DUMMYFUNCTION("""COMPUTED_VALUE"""),"")</f>
        <v/>
      </c>
    </row>
    <row r="15643">
      <c r="A15643" s="16" t="s">
        <v>87</v>
      </c>
      <c r="E15643" s="16" t="str">
        <f>IFERROR(__xludf.DUMMYFUNCTION("""COMPUTED_VALUE"""),"")</f>
        <v/>
      </c>
      <c r="G15643" s="18"/>
      <c r="H15643" s="16" t="s">
        <v>87</v>
      </c>
      <c r="I15643" s="16" t="s">
        <v>87</v>
      </c>
      <c r="J15643" s="19"/>
      <c r="L15643" s="16" t="str">
        <f>IFERROR(__xludf.DUMMYFUNCTION("""COMPUTED_VALUE"""),"")</f>
        <v/>
      </c>
      <c r="M15643" s="16" t="str">
        <f>IFERROR(__xludf.DUMMYFUNCTION("""COMPUTED_VALUE"""),"")</f>
        <v/>
      </c>
      <c r="U15643" s="16" t="s">
        <v>87</v>
      </c>
      <c r="V15643" s="16" t="str">
        <f>IFERROR(__xludf.DUMMYFUNCTION("""COMPUTED_VALUE"""),"")</f>
        <v/>
      </c>
      <c r="W15643" s="16" t="str">
        <f>IFERROR(__xludf.DUMMYFUNCTION("""COMPUTED_VALUE"""),"")</f>
        <v/>
      </c>
      <c r="X15643" s="16" t="str">
        <f>IFERROR(__xludf.DUMMYFUNCTION("""COMPUTED_VALUE"""),"")</f>
        <v/>
      </c>
      <c r="AC15643" s="16" t="str">
        <f>IFERROR(__xludf.DUMMYFUNCTION("""COMPUTED_VALUE"""),"")</f>
        <v/>
      </c>
    </row>
    <row r="15644">
      <c r="A15644" s="16" t="s">
        <v>87</v>
      </c>
      <c r="E15644" s="16" t="str">
        <f>IFERROR(__xludf.DUMMYFUNCTION("""COMPUTED_VALUE"""),"")</f>
        <v/>
      </c>
      <c r="G15644" s="18"/>
      <c r="H15644" s="16" t="s">
        <v>87</v>
      </c>
      <c r="I15644" s="16" t="s">
        <v>87</v>
      </c>
      <c r="J15644" s="19"/>
      <c r="L15644" s="16" t="str">
        <f>IFERROR(__xludf.DUMMYFUNCTION("""COMPUTED_VALUE"""),"")</f>
        <v/>
      </c>
      <c r="M15644" s="16" t="str">
        <f>IFERROR(__xludf.DUMMYFUNCTION("""COMPUTED_VALUE"""),"")</f>
        <v/>
      </c>
      <c r="U15644" s="16" t="s">
        <v>87</v>
      </c>
      <c r="V15644" s="16" t="str">
        <f>IFERROR(__xludf.DUMMYFUNCTION("""COMPUTED_VALUE"""),"")</f>
        <v/>
      </c>
      <c r="W15644" s="16" t="str">
        <f>IFERROR(__xludf.DUMMYFUNCTION("""COMPUTED_VALUE"""),"")</f>
        <v/>
      </c>
      <c r="X15644" s="16" t="str">
        <f>IFERROR(__xludf.DUMMYFUNCTION("""COMPUTED_VALUE"""),"")</f>
        <v/>
      </c>
      <c r="AC15644" s="16" t="str">
        <f>IFERROR(__xludf.DUMMYFUNCTION("""COMPUTED_VALUE"""),"")</f>
        <v/>
      </c>
    </row>
    <row r="15645">
      <c r="A15645" s="16" t="s">
        <v>87</v>
      </c>
      <c r="E15645" s="16" t="str">
        <f>IFERROR(__xludf.DUMMYFUNCTION("""COMPUTED_VALUE"""),"")</f>
        <v/>
      </c>
      <c r="G15645" s="18"/>
      <c r="H15645" s="16" t="s">
        <v>87</v>
      </c>
      <c r="I15645" s="16" t="s">
        <v>87</v>
      </c>
      <c r="J15645" s="19"/>
      <c r="L15645" s="16" t="str">
        <f>IFERROR(__xludf.DUMMYFUNCTION("""COMPUTED_VALUE"""),"")</f>
        <v/>
      </c>
      <c r="M15645" s="16" t="str">
        <f>IFERROR(__xludf.DUMMYFUNCTION("""COMPUTED_VALUE"""),"")</f>
        <v/>
      </c>
      <c r="U15645" s="16" t="s">
        <v>87</v>
      </c>
      <c r="V15645" s="16" t="str">
        <f>IFERROR(__xludf.DUMMYFUNCTION("""COMPUTED_VALUE"""),"")</f>
        <v/>
      </c>
      <c r="W15645" s="16" t="str">
        <f>IFERROR(__xludf.DUMMYFUNCTION("""COMPUTED_VALUE"""),"")</f>
        <v/>
      </c>
      <c r="X15645" s="16" t="str">
        <f>IFERROR(__xludf.DUMMYFUNCTION("""COMPUTED_VALUE"""),"")</f>
        <v/>
      </c>
      <c r="AC15645" s="16" t="str">
        <f>IFERROR(__xludf.DUMMYFUNCTION("""COMPUTED_VALUE"""),"")</f>
        <v/>
      </c>
    </row>
    <row r="15646">
      <c r="A15646" s="16" t="s">
        <v>87</v>
      </c>
      <c r="E15646" s="16" t="str">
        <f>IFERROR(__xludf.DUMMYFUNCTION("""COMPUTED_VALUE"""),"")</f>
        <v/>
      </c>
      <c r="G15646" s="18"/>
      <c r="H15646" s="16" t="s">
        <v>87</v>
      </c>
      <c r="I15646" s="16" t="s">
        <v>87</v>
      </c>
      <c r="J15646" s="19"/>
      <c r="L15646" s="16" t="str">
        <f>IFERROR(__xludf.DUMMYFUNCTION("""COMPUTED_VALUE"""),"")</f>
        <v/>
      </c>
      <c r="M15646" s="16" t="str">
        <f>IFERROR(__xludf.DUMMYFUNCTION("""COMPUTED_VALUE"""),"")</f>
        <v/>
      </c>
      <c r="U15646" s="16" t="s">
        <v>87</v>
      </c>
      <c r="V15646" s="16" t="str">
        <f>IFERROR(__xludf.DUMMYFUNCTION("""COMPUTED_VALUE"""),"")</f>
        <v/>
      </c>
      <c r="W15646" s="16" t="str">
        <f>IFERROR(__xludf.DUMMYFUNCTION("""COMPUTED_VALUE"""),"")</f>
        <v/>
      </c>
      <c r="X15646" s="16" t="str">
        <f>IFERROR(__xludf.DUMMYFUNCTION("""COMPUTED_VALUE"""),"")</f>
        <v/>
      </c>
      <c r="AC15646" s="16" t="str">
        <f>IFERROR(__xludf.DUMMYFUNCTION("""COMPUTED_VALUE"""),"")</f>
        <v/>
      </c>
    </row>
    <row r="15647">
      <c r="A15647" s="16" t="s">
        <v>87</v>
      </c>
      <c r="E15647" s="16" t="str">
        <f>IFERROR(__xludf.DUMMYFUNCTION("""COMPUTED_VALUE"""),"")</f>
        <v/>
      </c>
      <c r="G15647" s="18"/>
      <c r="H15647" s="16" t="s">
        <v>87</v>
      </c>
      <c r="I15647" s="16" t="s">
        <v>87</v>
      </c>
      <c r="J15647" s="19"/>
      <c r="L15647" s="16" t="str">
        <f>IFERROR(__xludf.DUMMYFUNCTION("""COMPUTED_VALUE"""),"")</f>
        <v/>
      </c>
      <c r="M15647" s="16" t="str">
        <f>IFERROR(__xludf.DUMMYFUNCTION("""COMPUTED_VALUE"""),"")</f>
        <v/>
      </c>
      <c r="U15647" s="16" t="s">
        <v>87</v>
      </c>
      <c r="V15647" s="16" t="str">
        <f>IFERROR(__xludf.DUMMYFUNCTION("""COMPUTED_VALUE"""),"")</f>
        <v/>
      </c>
      <c r="W15647" s="16" t="str">
        <f>IFERROR(__xludf.DUMMYFUNCTION("""COMPUTED_VALUE"""),"")</f>
        <v/>
      </c>
      <c r="X15647" s="16" t="str">
        <f>IFERROR(__xludf.DUMMYFUNCTION("""COMPUTED_VALUE"""),"")</f>
        <v/>
      </c>
      <c r="AC15647" s="16" t="str">
        <f>IFERROR(__xludf.DUMMYFUNCTION("""COMPUTED_VALUE"""),"")</f>
        <v/>
      </c>
    </row>
    <row r="15648">
      <c r="A15648" s="16" t="s">
        <v>87</v>
      </c>
      <c r="E15648" s="16" t="str">
        <f>IFERROR(__xludf.DUMMYFUNCTION("""COMPUTED_VALUE"""),"")</f>
        <v/>
      </c>
      <c r="G15648" s="18"/>
      <c r="H15648" s="16" t="s">
        <v>87</v>
      </c>
      <c r="I15648" s="16" t="s">
        <v>87</v>
      </c>
      <c r="J15648" s="19"/>
      <c r="L15648" s="16" t="str">
        <f>IFERROR(__xludf.DUMMYFUNCTION("""COMPUTED_VALUE"""),"")</f>
        <v/>
      </c>
      <c r="M15648" s="16" t="str">
        <f>IFERROR(__xludf.DUMMYFUNCTION("""COMPUTED_VALUE"""),"")</f>
        <v/>
      </c>
      <c r="U15648" s="16" t="s">
        <v>87</v>
      </c>
      <c r="V15648" s="16" t="str">
        <f>IFERROR(__xludf.DUMMYFUNCTION("""COMPUTED_VALUE"""),"")</f>
        <v/>
      </c>
      <c r="W15648" s="16" t="str">
        <f>IFERROR(__xludf.DUMMYFUNCTION("""COMPUTED_VALUE"""),"")</f>
        <v/>
      </c>
      <c r="X15648" s="16" t="str">
        <f>IFERROR(__xludf.DUMMYFUNCTION("""COMPUTED_VALUE"""),"")</f>
        <v/>
      </c>
      <c r="AC15648" s="16" t="str">
        <f>IFERROR(__xludf.DUMMYFUNCTION("""COMPUTED_VALUE"""),"")</f>
        <v/>
      </c>
    </row>
    <row r="15649">
      <c r="A15649" s="16" t="s">
        <v>87</v>
      </c>
      <c r="E15649" s="16" t="str">
        <f>IFERROR(__xludf.DUMMYFUNCTION("""COMPUTED_VALUE"""),"")</f>
        <v/>
      </c>
      <c r="G15649" s="18"/>
      <c r="H15649" s="16" t="s">
        <v>87</v>
      </c>
      <c r="I15649" s="16" t="s">
        <v>87</v>
      </c>
      <c r="J15649" s="19"/>
      <c r="L15649" s="16" t="str">
        <f>IFERROR(__xludf.DUMMYFUNCTION("""COMPUTED_VALUE"""),"")</f>
        <v/>
      </c>
      <c r="M15649" s="16" t="str">
        <f>IFERROR(__xludf.DUMMYFUNCTION("""COMPUTED_VALUE"""),"")</f>
        <v/>
      </c>
      <c r="U15649" s="16" t="s">
        <v>87</v>
      </c>
      <c r="V15649" s="16" t="str">
        <f>IFERROR(__xludf.DUMMYFUNCTION("""COMPUTED_VALUE"""),"")</f>
        <v/>
      </c>
      <c r="W15649" s="16" t="str">
        <f>IFERROR(__xludf.DUMMYFUNCTION("""COMPUTED_VALUE"""),"")</f>
        <v/>
      </c>
      <c r="X15649" s="16" t="str">
        <f>IFERROR(__xludf.DUMMYFUNCTION("""COMPUTED_VALUE"""),"")</f>
        <v/>
      </c>
      <c r="AC15649" s="16" t="str">
        <f>IFERROR(__xludf.DUMMYFUNCTION("""COMPUTED_VALUE"""),"")</f>
        <v/>
      </c>
    </row>
    <row r="15650">
      <c r="A15650" s="16" t="s">
        <v>87</v>
      </c>
      <c r="E15650" s="16" t="str">
        <f>IFERROR(__xludf.DUMMYFUNCTION("""COMPUTED_VALUE"""),"")</f>
        <v/>
      </c>
      <c r="G15650" s="18"/>
      <c r="H15650" s="16" t="s">
        <v>87</v>
      </c>
      <c r="I15650" s="16" t="s">
        <v>87</v>
      </c>
      <c r="J15650" s="19"/>
      <c r="L15650" s="16" t="str">
        <f>IFERROR(__xludf.DUMMYFUNCTION("""COMPUTED_VALUE"""),"")</f>
        <v/>
      </c>
      <c r="M15650" s="16" t="str">
        <f>IFERROR(__xludf.DUMMYFUNCTION("""COMPUTED_VALUE"""),"")</f>
        <v/>
      </c>
      <c r="U15650" s="16" t="s">
        <v>87</v>
      </c>
      <c r="V15650" s="16" t="str">
        <f>IFERROR(__xludf.DUMMYFUNCTION("""COMPUTED_VALUE"""),"")</f>
        <v/>
      </c>
      <c r="W15650" s="16" t="str">
        <f>IFERROR(__xludf.DUMMYFUNCTION("""COMPUTED_VALUE"""),"")</f>
        <v/>
      </c>
      <c r="X15650" s="16" t="str">
        <f>IFERROR(__xludf.DUMMYFUNCTION("""COMPUTED_VALUE"""),"")</f>
        <v/>
      </c>
      <c r="AC15650" s="16" t="str">
        <f>IFERROR(__xludf.DUMMYFUNCTION("""COMPUTED_VALUE"""),"")</f>
        <v/>
      </c>
    </row>
    <row r="15651">
      <c r="A15651" s="16" t="s">
        <v>87</v>
      </c>
      <c r="E15651" s="16" t="str">
        <f>IFERROR(__xludf.DUMMYFUNCTION("""COMPUTED_VALUE"""),"")</f>
        <v/>
      </c>
      <c r="G15651" s="18"/>
      <c r="H15651" s="16" t="s">
        <v>87</v>
      </c>
      <c r="I15651" s="16" t="s">
        <v>87</v>
      </c>
      <c r="J15651" s="19"/>
      <c r="L15651" s="16" t="str">
        <f>IFERROR(__xludf.DUMMYFUNCTION("""COMPUTED_VALUE"""),"")</f>
        <v/>
      </c>
      <c r="M15651" s="16" t="str">
        <f>IFERROR(__xludf.DUMMYFUNCTION("""COMPUTED_VALUE"""),"")</f>
        <v/>
      </c>
      <c r="U15651" s="16" t="s">
        <v>87</v>
      </c>
      <c r="V15651" s="16" t="str">
        <f>IFERROR(__xludf.DUMMYFUNCTION("""COMPUTED_VALUE"""),"")</f>
        <v/>
      </c>
      <c r="W15651" s="16" t="str">
        <f>IFERROR(__xludf.DUMMYFUNCTION("""COMPUTED_VALUE"""),"")</f>
        <v/>
      </c>
      <c r="X15651" s="16" t="str">
        <f>IFERROR(__xludf.DUMMYFUNCTION("""COMPUTED_VALUE"""),"")</f>
        <v/>
      </c>
      <c r="AC15651" s="16" t="str">
        <f>IFERROR(__xludf.DUMMYFUNCTION("""COMPUTED_VALUE"""),"")</f>
        <v/>
      </c>
    </row>
    <row r="15652">
      <c r="A15652" s="16" t="s">
        <v>87</v>
      </c>
      <c r="E15652" s="16" t="str">
        <f>IFERROR(__xludf.DUMMYFUNCTION("""COMPUTED_VALUE"""),"")</f>
        <v/>
      </c>
      <c r="G15652" s="18"/>
      <c r="H15652" s="16" t="s">
        <v>87</v>
      </c>
      <c r="I15652" s="16" t="s">
        <v>87</v>
      </c>
      <c r="J15652" s="19"/>
      <c r="L15652" s="16" t="str">
        <f>IFERROR(__xludf.DUMMYFUNCTION("""COMPUTED_VALUE"""),"")</f>
        <v/>
      </c>
      <c r="M15652" s="16" t="str">
        <f>IFERROR(__xludf.DUMMYFUNCTION("""COMPUTED_VALUE"""),"")</f>
        <v/>
      </c>
      <c r="U15652" s="16" t="s">
        <v>87</v>
      </c>
      <c r="V15652" s="16" t="str">
        <f>IFERROR(__xludf.DUMMYFUNCTION("""COMPUTED_VALUE"""),"")</f>
        <v/>
      </c>
      <c r="W15652" s="16" t="str">
        <f>IFERROR(__xludf.DUMMYFUNCTION("""COMPUTED_VALUE"""),"")</f>
        <v/>
      </c>
      <c r="X15652" s="16" t="str">
        <f>IFERROR(__xludf.DUMMYFUNCTION("""COMPUTED_VALUE"""),"")</f>
        <v/>
      </c>
      <c r="AC15652" s="16" t="str">
        <f>IFERROR(__xludf.DUMMYFUNCTION("""COMPUTED_VALUE"""),"")</f>
        <v/>
      </c>
    </row>
    <row r="15653">
      <c r="A15653" s="16" t="s">
        <v>87</v>
      </c>
      <c r="E15653" s="16" t="str">
        <f>IFERROR(__xludf.DUMMYFUNCTION("""COMPUTED_VALUE"""),"")</f>
        <v/>
      </c>
      <c r="G15653" s="18"/>
      <c r="H15653" s="16" t="s">
        <v>87</v>
      </c>
      <c r="I15653" s="16" t="s">
        <v>87</v>
      </c>
      <c r="J15653" s="19"/>
      <c r="L15653" s="16" t="str">
        <f>IFERROR(__xludf.DUMMYFUNCTION("""COMPUTED_VALUE"""),"")</f>
        <v/>
      </c>
      <c r="M15653" s="16" t="str">
        <f>IFERROR(__xludf.DUMMYFUNCTION("""COMPUTED_VALUE"""),"")</f>
        <v/>
      </c>
      <c r="U15653" s="16" t="s">
        <v>87</v>
      </c>
      <c r="V15653" s="16" t="str">
        <f>IFERROR(__xludf.DUMMYFUNCTION("""COMPUTED_VALUE"""),"")</f>
        <v/>
      </c>
      <c r="W15653" s="16" t="str">
        <f>IFERROR(__xludf.DUMMYFUNCTION("""COMPUTED_VALUE"""),"")</f>
        <v/>
      </c>
      <c r="X15653" s="16" t="str">
        <f>IFERROR(__xludf.DUMMYFUNCTION("""COMPUTED_VALUE"""),"")</f>
        <v/>
      </c>
      <c r="AC15653" s="16" t="str">
        <f>IFERROR(__xludf.DUMMYFUNCTION("""COMPUTED_VALUE"""),"")</f>
        <v/>
      </c>
    </row>
    <row r="15654">
      <c r="A15654" s="16" t="s">
        <v>87</v>
      </c>
      <c r="E15654" s="16" t="str">
        <f>IFERROR(__xludf.DUMMYFUNCTION("""COMPUTED_VALUE"""),"")</f>
        <v/>
      </c>
      <c r="G15654" s="18"/>
      <c r="H15654" s="16" t="s">
        <v>87</v>
      </c>
      <c r="I15654" s="16" t="s">
        <v>87</v>
      </c>
      <c r="J15654" s="19"/>
      <c r="L15654" s="16" t="str">
        <f>IFERROR(__xludf.DUMMYFUNCTION("""COMPUTED_VALUE"""),"")</f>
        <v/>
      </c>
      <c r="M15654" s="16" t="str">
        <f>IFERROR(__xludf.DUMMYFUNCTION("""COMPUTED_VALUE"""),"")</f>
        <v/>
      </c>
      <c r="U15654" s="16" t="s">
        <v>87</v>
      </c>
      <c r="V15654" s="16" t="str">
        <f>IFERROR(__xludf.DUMMYFUNCTION("""COMPUTED_VALUE"""),"")</f>
        <v/>
      </c>
      <c r="W15654" s="16" t="str">
        <f>IFERROR(__xludf.DUMMYFUNCTION("""COMPUTED_VALUE"""),"")</f>
        <v/>
      </c>
      <c r="X15654" s="16" t="str">
        <f>IFERROR(__xludf.DUMMYFUNCTION("""COMPUTED_VALUE"""),"")</f>
        <v/>
      </c>
      <c r="AC15654" s="16" t="str">
        <f>IFERROR(__xludf.DUMMYFUNCTION("""COMPUTED_VALUE"""),"")</f>
        <v/>
      </c>
    </row>
    <row r="15655">
      <c r="A15655" s="16" t="s">
        <v>87</v>
      </c>
      <c r="E15655" s="16" t="str">
        <f>IFERROR(__xludf.DUMMYFUNCTION("""COMPUTED_VALUE"""),"")</f>
        <v/>
      </c>
      <c r="G15655" s="18"/>
      <c r="H15655" s="16" t="s">
        <v>87</v>
      </c>
      <c r="I15655" s="16" t="s">
        <v>87</v>
      </c>
      <c r="J15655" s="19"/>
      <c r="L15655" s="16" t="str">
        <f>IFERROR(__xludf.DUMMYFUNCTION("""COMPUTED_VALUE"""),"")</f>
        <v/>
      </c>
      <c r="M15655" s="16" t="str">
        <f>IFERROR(__xludf.DUMMYFUNCTION("""COMPUTED_VALUE"""),"")</f>
        <v/>
      </c>
      <c r="U15655" s="16" t="s">
        <v>87</v>
      </c>
      <c r="V15655" s="16" t="str">
        <f>IFERROR(__xludf.DUMMYFUNCTION("""COMPUTED_VALUE"""),"")</f>
        <v/>
      </c>
      <c r="W15655" s="16" t="str">
        <f>IFERROR(__xludf.DUMMYFUNCTION("""COMPUTED_VALUE"""),"")</f>
        <v/>
      </c>
      <c r="X15655" s="16" t="str">
        <f>IFERROR(__xludf.DUMMYFUNCTION("""COMPUTED_VALUE"""),"")</f>
        <v/>
      </c>
      <c r="AC15655" s="16" t="str">
        <f>IFERROR(__xludf.DUMMYFUNCTION("""COMPUTED_VALUE"""),"")</f>
        <v/>
      </c>
    </row>
    <row r="15656">
      <c r="A15656" s="16" t="s">
        <v>87</v>
      </c>
      <c r="E15656" s="16" t="str">
        <f>IFERROR(__xludf.DUMMYFUNCTION("""COMPUTED_VALUE"""),"")</f>
        <v/>
      </c>
      <c r="G15656" s="18"/>
      <c r="H15656" s="16" t="s">
        <v>87</v>
      </c>
      <c r="I15656" s="16" t="s">
        <v>87</v>
      </c>
      <c r="J15656" s="19"/>
      <c r="L15656" s="16" t="str">
        <f>IFERROR(__xludf.DUMMYFUNCTION("""COMPUTED_VALUE"""),"")</f>
        <v/>
      </c>
      <c r="M15656" s="16" t="str">
        <f>IFERROR(__xludf.DUMMYFUNCTION("""COMPUTED_VALUE"""),"")</f>
        <v/>
      </c>
      <c r="U15656" s="16" t="s">
        <v>87</v>
      </c>
      <c r="V15656" s="16" t="str">
        <f>IFERROR(__xludf.DUMMYFUNCTION("""COMPUTED_VALUE"""),"")</f>
        <v/>
      </c>
      <c r="W15656" s="16" t="str">
        <f>IFERROR(__xludf.DUMMYFUNCTION("""COMPUTED_VALUE"""),"")</f>
        <v/>
      </c>
      <c r="X15656" s="16" t="str">
        <f>IFERROR(__xludf.DUMMYFUNCTION("""COMPUTED_VALUE"""),"")</f>
        <v/>
      </c>
      <c r="AC15656" s="16" t="str">
        <f>IFERROR(__xludf.DUMMYFUNCTION("""COMPUTED_VALUE"""),"")</f>
        <v/>
      </c>
    </row>
    <row r="15657">
      <c r="A15657" s="16" t="s">
        <v>87</v>
      </c>
      <c r="E15657" s="16" t="str">
        <f>IFERROR(__xludf.DUMMYFUNCTION("""COMPUTED_VALUE"""),"")</f>
        <v/>
      </c>
      <c r="G15657" s="18"/>
      <c r="H15657" s="16" t="s">
        <v>87</v>
      </c>
      <c r="I15657" s="16" t="s">
        <v>87</v>
      </c>
      <c r="J15657" s="19"/>
      <c r="L15657" s="16" t="str">
        <f>IFERROR(__xludf.DUMMYFUNCTION("""COMPUTED_VALUE"""),"")</f>
        <v/>
      </c>
      <c r="M15657" s="16" t="str">
        <f>IFERROR(__xludf.DUMMYFUNCTION("""COMPUTED_VALUE"""),"")</f>
        <v/>
      </c>
      <c r="U15657" s="16" t="s">
        <v>87</v>
      </c>
      <c r="V15657" s="16" t="str">
        <f>IFERROR(__xludf.DUMMYFUNCTION("""COMPUTED_VALUE"""),"")</f>
        <v/>
      </c>
      <c r="W15657" s="16" t="str">
        <f>IFERROR(__xludf.DUMMYFUNCTION("""COMPUTED_VALUE"""),"")</f>
        <v/>
      </c>
      <c r="X15657" s="16" t="str">
        <f>IFERROR(__xludf.DUMMYFUNCTION("""COMPUTED_VALUE"""),"")</f>
        <v/>
      </c>
      <c r="AC15657" s="16" t="str">
        <f>IFERROR(__xludf.DUMMYFUNCTION("""COMPUTED_VALUE"""),"")</f>
        <v/>
      </c>
    </row>
    <row r="15658">
      <c r="A15658" s="16" t="s">
        <v>87</v>
      </c>
      <c r="E15658" s="16" t="str">
        <f>IFERROR(__xludf.DUMMYFUNCTION("""COMPUTED_VALUE"""),"")</f>
        <v/>
      </c>
      <c r="G15658" s="18"/>
      <c r="H15658" s="16" t="s">
        <v>87</v>
      </c>
      <c r="I15658" s="16" t="s">
        <v>87</v>
      </c>
      <c r="J15658" s="19"/>
      <c r="L15658" s="16" t="str">
        <f>IFERROR(__xludf.DUMMYFUNCTION("""COMPUTED_VALUE"""),"")</f>
        <v/>
      </c>
      <c r="M15658" s="16" t="str">
        <f>IFERROR(__xludf.DUMMYFUNCTION("""COMPUTED_VALUE"""),"")</f>
        <v/>
      </c>
      <c r="U15658" s="16" t="s">
        <v>87</v>
      </c>
      <c r="V15658" s="16" t="str">
        <f>IFERROR(__xludf.DUMMYFUNCTION("""COMPUTED_VALUE"""),"")</f>
        <v/>
      </c>
      <c r="W15658" s="16" t="str">
        <f>IFERROR(__xludf.DUMMYFUNCTION("""COMPUTED_VALUE"""),"")</f>
        <v/>
      </c>
      <c r="X15658" s="16" t="str">
        <f>IFERROR(__xludf.DUMMYFUNCTION("""COMPUTED_VALUE"""),"")</f>
        <v/>
      </c>
      <c r="AC15658" s="16" t="str">
        <f>IFERROR(__xludf.DUMMYFUNCTION("""COMPUTED_VALUE"""),"")</f>
        <v/>
      </c>
    </row>
    <row r="15659">
      <c r="A15659" s="16" t="s">
        <v>87</v>
      </c>
      <c r="E15659" s="16" t="str">
        <f>IFERROR(__xludf.DUMMYFUNCTION("""COMPUTED_VALUE"""),"")</f>
        <v/>
      </c>
      <c r="G15659" s="18"/>
      <c r="H15659" s="16" t="s">
        <v>87</v>
      </c>
      <c r="I15659" s="16" t="s">
        <v>87</v>
      </c>
      <c r="J15659" s="19"/>
      <c r="L15659" s="16" t="str">
        <f>IFERROR(__xludf.DUMMYFUNCTION("""COMPUTED_VALUE"""),"")</f>
        <v/>
      </c>
      <c r="M15659" s="16" t="str">
        <f>IFERROR(__xludf.DUMMYFUNCTION("""COMPUTED_VALUE"""),"")</f>
        <v/>
      </c>
      <c r="U15659" s="16" t="s">
        <v>87</v>
      </c>
      <c r="V15659" s="16" t="str">
        <f>IFERROR(__xludf.DUMMYFUNCTION("""COMPUTED_VALUE"""),"")</f>
        <v/>
      </c>
      <c r="W15659" s="16" t="str">
        <f>IFERROR(__xludf.DUMMYFUNCTION("""COMPUTED_VALUE"""),"")</f>
        <v/>
      </c>
      <c r="X15659" s="16" t="str">
        <f>IFERROR(__xludf.DUMMYFUNCTION("""COMPUTED_VALUE"""),"")</f>
        <v/>
      </c>
      <c r="AC15659" s="16" t="str">
        <f>IFERROR(__xludf.DUMMYFUNCTION("""COMPUTED_VALUE"""),"")</f>
        <v/>
      </c>
    </row>
    <row r="15660">
      <c r="A15660" s="16" t="s">
        <v>87</v>
      </c>
      <c r="E15660" s="16" t="str">
        <f>IFERROR(__xludf.DUMMYFUNCTION("""COMPUTED_VALUE"""),"")</f>
        <v/>
      </c>
      <c r="G15660" s="18"/>
      <c r="H15660" s="16" t="s">
        <v>87</v>
      </c>
      <c r="I15660" s="16" t="s">
        <v>87</v>
      </c>
      <c r="J15660" s="19"/>
      <c r="L15660" s="16" t="str">
        <f>IFERROR(__xludf.DUMMYFUNCTION("""COMPUTED_VALUE"""),"")</f>
        <v/>
      </c>
      <c r="M15660" s="16" t="str">
        <f>IFERROR(__xludf.DUMMYFUNCTION("""COMPUTED_VALUE"""),"")</f>
        <v/>
      </c>
      <c r="U15660" s="16" t="s">
        <v>87</v>
      </c>
      <c r="V15660" s="16" t="str">
        <f>IFERROR(__xludf.DUMMYFUNCTION("""COMPUTED_VALUE"""),"")</f>
        <v/>
      </c>
      <c r="W15660" s="16" t="str">
        <f>IFERROR(__xludf.DUMMYFUNCTION("""COMPUTED_VALUE"""),"")</f>
        <v/>
      </c>
      <c r="X15660" s="16" t="str">
        <f>IFERROR(__xludf.DUMMYFUNCTION("""COMPUTED_VALUE"""),"")</f>
        <v/>
      </c>
      <c r="AC15660" s="16" t="str">
        <f>IFERROR(__xludf.DUMMYFUNCTION("""COMPUTED_VALUE"""),"")</f>
        <v/>
      </c>
    </row>
    <row r="15661">
      <c r="A15661" s="16" t="s">
        <v>87</v>
      </c>
      <c r="E15661" s="16" t="str">
        <f>IFERROR(__xludf.DUMMYFUNCTION("""COMPUTED_VALUE"""),"")</f>
        <v/>
      </c>
      <c r="G15661" s="18"/>
      <c r="H15661" s="16" t="s">
        <v>87</v>
      </c>
      <c r="I15661" s="16" t="s">
        <v>87</v>
      </c>
      <c r="J15661" s="19"/>
      <c r="L15661" s="16" t="str">
        <f>IFERROR(__xludf.DUMMYFUNCTION("""COMPUTED_VALUE"""),"")</f>
        <v/>
      </c>
      <c r="M15661" s="16" t="str">
        <f>IFERROR(__xludf.DUMMYFUNCTION("""COMPUTED_VALUE"""),"")</f>
        <v/>
      </c>
      <c r="U15661" s="16" t="s">
        <v>87</v>
      </c>
      <c r="V15661" s="16" t="str">
        <f>IFERROR(__xludf.DUMMYFUNCTION("""COMPUTED_VALUE"""),"")</f>
        <v/>
      </c>
      <c r="W15661" s="16" t="str">
        <f>IFERROR(__xludf.DUMMYFUNCTION("""COMPUTED_VALUE"""),"")</f>
        <v/>
      </c>
      <c r="X15661" s="16" t="str">
        <f>IFERROR(__xludf.DUMMYFUNCTION("""COMPUTED_VALUE"""),"")</f>
        <v/>
      </c>
      <c r="AC15661" s="16" t="str">
        <f>IFERROR(__xludf.DUMMYFUNCTION("""COMPUTED_VALUE"""),"")</f>
        <v/>
      </c>
    </row>
    <row r="15662">
      <c r="A15662" s="16" t="s">
        <v>87</v>
      </c>
      <c r="E15662" s="16" t="str">
        <f>IFERROR(__xludf.DUMMYFUNCTION("""COMPUTED_VALUE"""),"")</f>
        <v/>
      </c>
      <c r="G15662" s="18"/>
      <c r="H15662" s="16" t="s">
        <v>87</v>
      </c>
      <c r="I15662" s="16" t="s">
        <v>87</v>
      </c>
      <c r="J15662" s="19"/>
      <c r="L15662" s="16" t="str">
        <f>IFERROR(__xludf.DUMMYFUNCTION("""COMPUTED_VALUE"""),"")</f>
        <v/>
      </c>
      <c r="M15662" s="16" t="str">
        <f>IFERROR(__xludf.DUMMYFUNCTION("""COMPUTED_VALUE"""),"")</f>
        <v/>
      </c>
      <c r="U15662" s="16" t="s">
        <v>87</v>
      </c>
      <c r="V15662" s="16" t="str">
        <f>IFERROR(__xludf.DUMMYFUNCTION("""COMPUTED_VALUE"""),"")</f>
        <v/>
      </c>
      <c r="W15662" s="16" t="str">
        <f>IFERROR(__xludf.DUMMYFUNCTION("""COMPUTED_VALUE"""),"")</f>
        <v/>
      </c>
      <c r="X15662" s="16" t="str">
        <f>IFERROR(__xludf.DUMMYFUNCTION("""COMPUTED_VALUE"""),"")</f>
        <v/>
      </c>
      <c r="AC15662" s="16" t="str">
        <f>IFERROR(__xludf.DUMMYFUNCTION("""COMPUTED_VALUE"""),"")</f>
        <v/>
      </c>
    </row>
    <row r="15663">
      <c r="A15663" s="16" t="s">
        <v>87</v>
      </c>
      <c r="E15663" s="16" t="str">
        <f>IFERROR(__xludf.DUMMYFUNCTION("""COMPUTED_VALUE"""),"")</f>
        <v/>
      </c>
      <c r="G15663" s="18"/>
      <c r="H15663" s="16" t="s">
        <v>87</v>
      </c>
      <c r="I15663" s="16" t="s">
        <v>87</v>
      </c>
      <c r="J15663" s="19"/>
      <c r="L15663" s="16" t="str">
        <f>IFERROR(__xludf.DUMMYFUNCTION("""COMPUTED_VALUE"""),"")</f>
        <v/>
      </c>
      <c r="M15663" s="16" t="str">
        <f>IFERROR(__xludf.DUMMYFUNCTION("""COMPUTED_VALUE"""),"")</f>
        <v/>
      </c>
      <c r="U15663" s="16" t="s">
        <v>87</v>
      </c>
      <c r="V15663" s="16" t="str">
        <f>IFERROR(__xludf.DUMMYFUNCTION("""COMPUTED_VALUE"""),"")</f>
        <v/>
      </c>
      <c r="W15663" s="16" t="str">
        <f>IFERROR(__xludf.DUMMYFUNCTION("""COMPUTED_VALUE"""),"")</f>
        <v/>
      </c>
      <c r="X15663" s="16" t="str">
        <f>IFERROR(__xludf.DUMMYFUNCTION("""COMPUTED_VALUE"""),"")</f>
        <v/>
      </c>
      <c r="AC15663" s="16" t="str">
        <f>IFERROR(__xludf.DUMMYFUNCTION("""COMPUTED_VALUE"""),"")</f>
        <v/>
      </c>
    </row>
    <row r="15664">
      <c r="A15664" s="16" t="s">
        <v>87</v>
      </c>
      <c r="E15664" s="16" t="str">
        <f>IFERROR(__xludf.DUMMYFUNCTION("""COMPUTED_VALUE"""),"")</f>
        <v/>
      </c>
      <c r="G15664" s="18"/>
      <c r="H15664" s="16" t="s">
        <v>87</v>
      </c>
      <c r="I15664" s="16" t="s">
        <v>87</v>
      </c>
      <c r="J15664" s="19"/>
      <c r="L15664" s="16" t="str">
        <f>IFERROR(__xludf.DUMMYFUNCTION("""COMPUTED_VALUE"""),"")</f>
        <v/>
      </c>
      <c r="M15664" s="16" t="str">
        <f>IFERROR(__xludf.DUMMYFUNCTION("""COMPUTED_VALUE"""),"")</f>
        <v/>
      </c>
      <c r="U15664" s="16" t="s">
        <v>87</v>
      </c>
      <c r="V15664" s="16" t="str">
        <f>IFERROR(__xludf.DUMMYFUNCTION("""COMPUTED_VALUE"""),"")</f>
        <v/>
      </c>
      <c r="W15664" s="16" t="str">
        <f>IFERROR(__xludf.DUMMYFUNCTION("""COMPUTED_VALUE"""),"")</f>
        <v/>
      </c>
      <c r="X15664" s="16" t="str">
        <f>IFERROR(__xludf.DUMMYFUNCTION("""COMPUTED_VALUE"""),"")</f>
        <v/>
      </c>
      <c r="AC15664" s="16" t="str">
        <f>IFERROR(__xludf.DUMMYFUNCTION("""COMPUTED_VALUE"""),"")</f>
        <v/>
      </c>
    </row>
    <row r="15665">
      <c r="A15665" s="16" t="s">
        <v>87</v>
      </c>
      <c r="E15665" s="16" t="str">
        <f>IFERROR(__xludf.DUMMYFUNCTION("""COMPUTED_VALUE"""),"")</f>
        <v/>
      </c>
      <c r="G15665" s="18"/>
      <c r="H15665" s="16" t="s">
        <v>87</v>
      </c>
      <c r="I15665" s="16" t="s">
        <v>87</v>
      </c>
      <c r="J15665" s="19"/>
      <c r="L15665" s="16" t="str">
        <f>IFERROR(__xludf.DUMMYFUNCTION("""COMPUTED_VALUE"""),"")</f>
        <v/>
      </c>
      <c r="M15665" s="16" t="str">
        <f>IFERROR(__xludf.DUMMYFUNCTION("""COMPUTED_VALUE"""),"")</f>
        <v/>
      </c>
      <c r="U15665" s="16" t="s">
        <v>87</v>
      </c>
      <c r="V15665" s="16" t="str">
        <f>IFERROR(__xludf.DUMMYFUNCTION("""COMPUTED_VALUE"""),"")</f>
        <v/>
      </c>
      <c r="W15665" s="16" t="str">
        <f>IFERROR(__xludf.DUMMYFUNCTION("""COMPUTED_VALUE"""),"")</f>
        <v/>
      </c>
      <c r="X15665" s="16" t="str">
        <f>IFERROR(__xludf.DUMMYFUNCTION("""COMPUTED_VALUE"""),"")</f>
        <v/>
      </c>
      <c r="AC15665" s="16" t="str">
        <f>IFERROR(__xludf.DUMMYFUNCTION("""COMPUTED_VALUE"""),"")</f>
        <v/>
      </c>
    </row>
    <row r="15666">
      <c r="A15666" s="16" t="s">
        <v>87</v>
      </c>
      <c r="E15666" s="16" t="str">
        <f>IFERROR(__xludf.DUMMYFUNCTION("""COMPUTED_VALUE"""),"")</f>
        <v/>
      </c>
      <c r="G15666" s="18"/>
      <c r="H15666" s="16" t="s">
        <v>87</v>
      </c>
      <c r="I15666" s="16" t="s">
        <v>87</v>
      </c>
      <c r="J15666" s="19"/>
      <c r="L15666" s="16" t="str">
        <f>IFERROR(__xludf.DUMMYFUNCTION("""COMPUTED_VALUE"""),"")</f>
        <v/>
      </c>
      <c r="M15666" s="16" t="str">
        <f>IFERROR(__xludf.DUMMYFUNCTION("""COMPUTED_VALUE"""),"")</f>
        <v/>
      </c>
      <c r="U15666" s="16" t="s">
        <v>87</v>
      </c>
      <c r="V15666" s="16" t="str">
        <f>IFERROR(__xludf.DUMMYFUNCTION("""COMPUTED_VALUE"""),"")</f>
        <v/>
      </c>
      <c r="W15666" s="16" t="str">
        <f>IFERROR(__xludf.DUMMYFUNCTION("""COMPUTED_VALUE"""),"")</f>
        <v/>
      </c>
      <c r="X15666" s="16" t="str">
        <f>IFERROR(__xludf.DUMMYFUNCTION("""COMPUTED_VALUE"""),"")</f>
        <v/>
      </c>
      <c r="AC15666" s="16" t="str">
        <f>IFERROR(__xludf.DUMMYFUNCTION("""COMPUTED_VALUE"""),"")</f>
        <v/>
      </c>
    </row>
    <row r="15667">
      <c r="A15667" s="16" t="s">
        <v>87</v>
      </c>
      <c r="E15667" s="16" t="str">
        <f>IFERROR(__xludf.DUMMYFUNCTION("""COMPUTED_VALUE"""),"")</f>
        <v/>
      </c>
      <c r="G15667" s="18"/>
      <c r="H15667" s="16" t="s">
        <v>87</v>
      </c>
      <c r="I15667" s="16" t="s">
        <v>87</v>
      </c>
      <c r="J15667" s="19"/>
      <c r="L15667" s="16" t="str">
        <f>IFERROR(__xludf.DUMMYFUNCTION("""COMPUTED_VALUE"""),"")</f>
        <v/>
      </c>
      <c r="M15667" s="16" t="str">
        <f>IFERROR(__xludf.DUMMYFUNCTION("""COMPUTED_VALUE"""),"")</f>
        <v/>
      </c>
      <c r="U15667" s="16" t="s">
        <v>87</v>
      </c>
      <c r="V15667" s="16" t="str">
        <f>IFERROR(__xludf.DUMMYFUNCTION("""COMPUTED_VALUE"""),"")</f>
        <v/>
      </c>
      <c r="W15667" s="16" t="str">
        <f>IFERROR(__xludf.DUMMYFUNCTION("""COMPUTED_VALUE"""),"")</f>
        <v/>
      </c>
      <c r="X15667" s="16" t="str">
        <f>IFERROR(__xludf.DUMMYFUNCTION("""COMPUTED_VALUE"""),"")</f>
        <v/>
      </c>
      <c r="AC15667" s="16" t="str">
        <f>IFERROR(__xludf.DUMMYFUNCTION("""COMPUTED_VALUE"""),"")</f>
        <v/>
      </c>
    </row>
    <row r="15668">
      <c r="A15668" s="16" t="s">
        <v>87</v>
      </c>
      <c r="E15668" s="16" t="str">
        <f>IFERROR(__xludf.DUMMYFUNCTION("""COMPUTED_VALUE"""),"")</f>
        <v/>
      </c>
      <c r="G15668" s="18"/>
      <c r="H15668" s="16" t="s">
        <v>87</v>
      </c>
      <c r="I15668" s="16" t="s">
        <v>87</v>
      </c>
      <c r="J15668" s="19"/>
      <c r="L15668" s="16" t="str">
        <f>IFERROR(__xludf.DUMMYFUNCTION("""COMPUTED_VALUE"""),"")</f>
        <v/>
      </c>
      <c r="M15668" s="16" t="str">
        <f>IFERROR(__xludf.DUMMYFUNCTION("""COMPUTED_VALUE"""),"")</f>
        <v/>
      </c>
      <c r="U15668" s="16" t="s">
        <v>87</v>
      </c>
      <c r="V15668" s="16" t="str">
        <f>IFERROR(__xludf.DUMMYFUNCTION("""COMPUTED_VALUE"""),"")</f>
        <v/>
      </c>
      <c r="W15668" s="16" t="str">
        <f>IFERROR(__xludf.DUMMYFUNCTION("""COMPUTED_VALUE"""),"")</f>
        <v/>
      </c>
      <c r="X15668" s="16" t="str">
        <f>IFERROR(__xludf.DUMMYFUNCTION("""COMPUTED_VALUE"""),"")</f>
        <v/>
      </c>
      <c r="AC15668" s="16" t="str">
        <f>IFERROR(__xludf.DUMMYFUNCTION("""COMPUTED_VALUE"""),"")</f>
        <v/>
      </c>
    </row>
    <row r="15669">
      <c r="A15669" s="16" t="s">
        <v>87</v>
      </c>
      <c r="E15669" s="16" t="str">
        <f>IFERROR(__xludf.DUMMYFUNCTION("""COMPUTED_VALUE"""),"")</f>
        <v/>
      </c>
      <c r="G15669" s="18"/>
      <c r="H15669" s="16" t="s">
        <v>87</v>
      </c>
      <c r="I15669" s="16" t="s">
        <v>87</v>
      </c>
      <c r="J15669" s="19"/>
      <c r="L15669" s="16" t="str">
        <f>IFERROR(__xludf.DUMMYFUNCTION("""COMPUTED_VALUE"""),"")</f>
        <v/>
      </c>
      <c r="M15669" s="16" t="str">
        <f>IFERROR(__xludf.DUMMYFUNCTION("""COMPUTED_VALUE"""),"")</f>
        <v/>
      </c>
      <c r="U15669" s="16" t="s">
        <v>87</v>
      </c>
      <c r="V15669" s="16" t="str">
        <f>IFERROR(__xludf.DUMMYFUNCTION("""COMPUTED_VALUE"""),"")</f>
        <v/>
      </c>
      <c r="W15669" s="16" t="str">
        <f>IFERROR(__xludf.DUMMYFUNCTION("""COMPUTED_VALUE"""),"")</f>
        <v/>
      </c>
      <c r="X15669" s="16" t="str">
        <f>IFERROR(__xludf.DUMMYFUNCTION("""COMPUTED_VALUE"""),"")</f>
        <v/>
      </c>
      <c r="AC15669" s="16" t="str">
        <f>IFERROR(__xludf.DUMMYFUNCTION("""COMPUTED_VALUE"""),"")</f>
        <v/>
      </c>
    </row>
    <row r="15670">
      <c r="A15670" s="16" t="s">
        <v>87</v>
      </c>
      <c r="E15670" s="16" t="str">
        <f>IFERROR(__xludf.DUMMYFUNCTION("""COMPUTED_VALUE"""),"")</f>
        <v/>
      </c>
      <c r="G15670" s="18"/>
      <c r="H15670" s="16" t="s">
        <v>87</v>
      </c>
      <c r="I15670" s="16" t="s">
        <v>87</v>
      </c>
      <c r="J15670" s="19"/>
      <c r="L15670" s="16" t="str">
        <f>IFERROR(__xludf.DUMMYFUNCTION("""COMPUTED_VALUE"""),"")</f>
        <v/>
      </c>
      <c r="M15670" s="16" t="str">
        <f>IFERROR(__xludf.DUMMYFUNCTION("""COMPUTED_VALUE"""),"")</f>
        <v/>
      </c>
      <c r="U15670" s="16" t="s">
        <v>87</v>
      </c>
      <c r="V15670" s="16" t="str">
        <f>IFERROR(__xludf.DUMMYFUNCTION("""COMPUTED_VALUE"""),"")</f>
        <v/>
      </c>
      <c r="W15670" s="16" t="str">
        <f>IFERROR(__xludf.DUMMYFUNCTION("""COMPUTED_VALUE"""),"")</f>
        <v/>
      </c>
      <c r="X15670" s="16" t="str">
        <f>IFERROR(__xludf.DUMMYFUNCTION("""COMPUTED_VALUE"""),"")</f>
        <v/>
      </c>
      <c r="AC15670" s="16" t="str">
        <f>IFERROR(__xludf.DUMMYFUNCTION("""COMPUTED_VALUE"""),"")</f>
        <v/>
      </c>
    </row>
    <row r="15671">
      <c r="A15671" s="16" t="s">
        <v>87</v>
      </c>
      <c r="E15671" s="16" t="str">
        <f>IFERROR(__xludf.DUMMYFUNCTION("""COMPUTED_VALUE"""),"")</f>
        <v/>
      </c>
      <c r="G15671" s="18"/>
      <c r="H15671" s="16" t="s">
        <v>87</v>
      </c>
      <c r="I15671" s="16" t="s">
        <v>87</v>
      </c>
      <c r="J15671" s="19"/>
      <c r="L15671" s="16" t="str">
        <f>IFERROR(__xludf.DUMMYFUNCTION("""COMPUTED_VALUE"""),"")</f>
        <v/>
      </c>
      <c r="M15671" s="16" t="str">
        <f>IFERROR(__xludf.DUMMYFUNCTION("""COMPUTED_VALUE"""),"")</f>
        <v/>
      </c>
      <c r="U15671" s="16" t="s">
        <v>87</v>
      </c>
      <c r="V15671" s="16" t="str">
        <f>IFERROR(__xludf.DUMMYFUNCTION("""COMPUTED_VALUE"""),"")</f>
        <v/>
      </c>
      <c r="W15671" s="16" t="str">
        <f>IFERROR(__xludf.DUMMYFUNCTION("""COMPUTED_VALUE"""),"")</f>
        <v/>
      </c>
      <c r="X15671" s="16" t="str">
        <f>IFERROR(__xludf.DUMMYFUNCTION("""COMPUTED_VALUE"""),"")</f>
        <v/>
      </c>
      <c r="AC15671" s="16" t="str">
        <f>IFERROR(__xludf.DUMMYFUNCTION("""COMPUTED_VALUE"""),"")</f>
        <v/>
      </c>
    </row>
    <row r="15672">
      <c r="A15672" s="16" t="s">
        <v>87</v>
      </c>
      <c r="E15672" s="16" t="str">
        <f>IFERROR(__xludf.DUMMYFUNCTION("""COMPUTED_VALUE"""),"")</f>
        <v/>
      </c>
      <c r="G15672" s="18"/>
      <c r="H15672" s="16" t="s">
        <v>87</v>
      </c>
      <c r="I15672" s="16" t="s">
        <v>87</v>
      </c>
      <c r="J15672" s="19"/>
      <c r="L15672" s="16" t="str">
        <f>IFERROR(__xludf.DUMMYFUNCTION("""COMPUTED_VALUE"""),"")</f>
        <v/>
      </c>
      <c r="M15672" s="16" t="str">
        <f>IFERROR(__xludf.DUMMYFUNCTION("""COMPUTED_VALUE"""),"")</f>
        <v/>
      </c>
      <c r="U15672" s="16" t="s">
        <v>87</v>
      </c>
      <c r="V15672" s="16" t="str">
        <f>IFERROR(__xludf.DUMMYFUNCTION("""COMPUTED_VALUE"""),"")</f>
        <v/>
      </c>
      <c r="W15672" s="16" t="str">
        <f>IFERROR(__xludf.DUMMYFUNCTION("""COMPUTED_VALUE"""),"")</f>
        <v/>
      </c>
      <c r="X15672" s="16" t="str">
        <f>IFERROR(__xludf.DUMMYFUNCTION("""COMPUTED_VALUE"""),"")</f>
        <v/>
      </c>
      <c r="AC15672" s="16" t="str">
        <f>IFERROR(__xludf.DUMMYFUNCTION("""COMPUTED_VALUE"""),"")</f>
        <v/>
      </c>
    </row>
    <row r="15673">
      <c r="A15673" s="16" t="s">
        <v>87</v>
      </c>
      <c r="E15673" s="16" t="str">
        <f>IFERROR(__xludf.DUMMYFUNCTION("""COMPUTED_VALUE"""),"")</f>
        <v/>
      </c>
      <c r="G15673" s="18"/>
      <c r="H15673" s="16" t="s">
        <v>87</v>
      </c>
      <c r="I15673" s="16" t="s">
        <v>87</v>
      </c>
      <c r="J15673" s="19"/>
      <c r="L15673" s="16" t="str">
        <f>IFERROR(__xludf.DUMMYFUNCTION("""COMPUTED_VALUE"""),"")</f>
        <v/>
      </c>
      <c r="M15673" s="16" t="str">
        <f>IFERROR(__xludf.DUMMYFUNCTION("""COMPUTED_VALUE"""),"")</f>
        <v/>
      </c>
      <c r="U15673" s="16" t="s">
        <v>87</v>
      </c>
      <c r="V15673" s="16" t="str">
        <f>IFERROR(__xludf.DUMMYFUNCTION("""COMPUTED_VALUE"""),"")</f>
        <v/>
      </c>
      <c r="W15673" s="16" t="str">
        <f>IFERROR(__xludf.DUMMYFUNCTION("""COMPUTED_VALUE"""),"")</f>
        <v/>
      </c>
      <c r="X15673" s="16" t="str">
        <f>IFERROR(__xludf.DUMMYFUNCTION("""COMPUTED_VALUE"""),"")</f>
        <v/>
      </c>
      <c r="AC15673" s="16" t="str">
        <f>IFERROR(__xludf.DUMMYFUNCTION("""COMPUTED_VALUE"""),"")</f>
        <v/>
      </c>
    </row>
    <row r="15674">
      <c r="A15674" s="16" t="s">
        <v>87</v>
      </c>
      <c r="E15674" s="16" t="str">
        <f>IFERROR(__xludf.DUMMYFUNCTION("""COMPUTED_VALUE"""),"")</f>
        <v/>
      </c>
      <c r="G15674" s="18"/>
      <c r="H15674" s="16" t="s">
        <v>87</v>
      </c>
      <c r="I15674" s="16" t="s">
        <v>87</v>
      </c>
      <c r="J15674" s="19"/>
      <c r="L15674" s="16" t="str">
        <f>IFERROR(__xludf.DUMMYFUNCTION("""COMPUTED_VALUE"""),"")</f>
        <v/>
      </c>
      <c r="M15674" s="16" t="str">
        <f>IFERROR(__xludf.DUMMYFUNCTION("""COMPUTED_VALUE"""),"")</f>
        <v/>
      </c>
      <c r="U15674" s="16" t="s">
        <v>87</v>
      </c>
      <c r="V15674" s="16" t="str">
        <f>IFERROR(__xludf.DUMMYFUNCTION("""COMPUTED_VALUE"""),"")</f>
        <v/>
      </c>
      <c r="W15674" s="16" t="str">
        <f>IFERROR(__xludf.DUMMYFUNCTION("""COMPUTED_VALUE"""),"")</f>
        <v/>
      </c>
      <c r="X15674" s="16" t="str">
        <f>IFERROR(__xludf.DUMMYFUNCTION("""COMPUTED_VALUE"""),"")</f>
        <v/>
      </c>
      <c r="AC15674" s="16" t="str">
        <f>IFERROR(__xludf.DUMMYFUNCTION("""COMPUTED_VALUE"""),"")</f>
        <v/>
      </c>
    </row>
    <row r="15675">
      <c r="A15675" s="16" t="s">
        <v>87</v>
      </c>
      <c r="E15675" s="16" t="str">
        <f>IFERROR(__xludf.DUMMYFUNCTION("""COMPUTED_VALUE"""),"")</f>
        <v/>
      </c>
      <c r="G15675" s="18"/>
      <c r="H15675" s="16" t="s">
        <v>87</v>
      </c>
      <c r="I15675" s="16" t="s">
        <v>87</v>
      </c>
      <c r="J15675" s="19"/>
      <c r="L15675" s="16" t="str">
        <f>IFERROR(__xludf.DUMMYFUNCTION("""COMPUTED_VALUE"""),"")</f>
        <v/>
      </c>
      <c r="M15675" s="16" t="str">
        <f>IFERROR(__xludf.DUMMYFUNCTION("""COMPUTED_VALUE"""),"")</f>
        <v/>
      </c>
      <c r="U15675" s="16" t="s">
        <v>87</v>
      </c>
      <c r="V15675" s="16" t="str">
        <f>IFERROR(__xludf.DUMMYFUNCTION("""COMPUTED_VALUE"""),"")</f>
        <v/>
      </c>
      <c r="W15675" s="16" t="str">
        <f>IFERROR(__xludf.DUMMYFUNCTION("""COMPUTED_VALUE"""),"")</f>
        <v/>
      </c>
      <c r="X15675" s="16" t="str">
        <f>IFERROR(__xludf.DUMMYFUNCTION("""COMPUTED_VALUE"""),"")</f>
        <v/>
      </c>
      <c r="AC15675" s="16" t="str">
        <f>IFERROR(__xludf.DUMMYFUNCTION("""COMPUTED_VALUE"""),"")</f>
        <v/>
      </c>
    </row>
    <row r="15676">
      <c r="A15676" s="16" t="s">
        <v>87</v>
      </c>
      <c r="E15676" s="16" t="str">
        <f>IFERROR(__xludf.DUMMYFUNCTION("""COMPUTED_VALUE"""),"")</f>
        <v/>
      </c>
      <c r="G15676" s="18"/>
      <c r="H15676" s="16" t="s">
        <v>87</v>
      </c>
      <c r="I15676" s="16" t="s">
        <v>87</v>
      </c>
      <c r="J15676" s="19"/>
      <c r="L15676" s="16" t="str">
        <f>IFERROR(__xludf.DUMMYFUNCTION("""COMPUTED_VALUE"""),"")</f>
        <v/>
      </c>
      <c r="M15676" s="16" t="str">
        <f>IFERROR(__xludf.DUMMYFUNCTION("""COMPUTED_VALUE"""),"")</f>
        <v/>
      </c>
      <c r="U15676" s="16" t="s">
        <v>87</v>
      </c>
      <c r="V15676" s="16" t="str">
        <f>IFERROR(__xludf.DUMMYFUNCTION("""COMPUTED_VALUE"""),"")</f>
        <v/>
      </c>
      <c r="W15676" s="16" t="str">
        <f>IFERROR(__xludf.DUMMYFUNCTION("""COMPUTED_VALUE"""),"")</f>
        <v/>
      </c>
      <c r="X15676" s="16" t="str">
        <f>IFERROR(__xludf.DUMMYFUNCTION("""COMPUTED_VALUE"""),"")</f>
        <v/>
      </c>
      <c r="AC15676" s="16" t="str">
        <f>IFERROR(__xludf.DUMMYFUNCTION("""COMPUTED_VALUE"""),"")</f>
        <v/>
      </c>
    </row>
    <row r="15677">
      <c r="A15677" s="16" t="s">
        <v>87</v>
      </c>
      <c r="E15677" s="16" t="str">
        <f>IFERROR(__xludf.DUMMYFUNCTION("""COMPUTED_VALUE"""),"")</f>
        <v/>
      </c>
      <c r="G15677" s="18"/>
      <c r="H15677" s="16" t="s">
        <v>87</v>
      </c>
      <c r="I15677" s="16" t="s">
        <v>87</v>
      </c>
      <c r="J15677" s="19"/>
      <c r="L15677" s="16" t="str">
        <f>IFERROR(__xludf.DUMMYFUNCTION("""COMPUTED_VALUE"""),"")</f>
        <v/>
      </c>
      <c r="M15677" s="16" t="str">
        <f>IFERROR(__xludf.DUMMYFUNCTION("""COMPUTED_VALUE"""),"")</f>
        <v/>
      </c>
      <c r="U15677" s="16" t="s">
        <v>87</v>
      </c>
      <c r="V15677" s="16" t="str">
        <f>IFERROR(__xludf.DUMMYFUNCTION("""COMPUTED_VALUE"""),"")</f>
        <v/>
      </c>
      <c r="W15677" s="16" t="str">
        <f>IFERROR(__xludf.DUMMYFUNCTION("""COMPUTED_VALUE"""),"")</f>
        <v/>
      </c>
      <c r="X15677" s="16" t="str">
        <f>IFERROR(__xludf.DUMMYFUNCTION("""COMPUTED_VALUE"""),"")</f>
        <v/>
      </c>
      <c r="AC15677" s="16" t="str">
        <f>IFERROR(__xludf.DUMMYFUNCTION("""COMPUTED_VALUE"""),"")</f>
        <v/>
      </c>
    </row>
    <row r="15678">
      <c r="A15678" s="16" t="s">
        <v>87</v>
      </c>
      <c r="E15678" s="16" t="str">
        <f>IFERROR(__xludf.DUMMYFUNCTION("""COMPUTED_VALUE"""),"")</f>
        <v/>
      </c>
      <c r="G15678" s="18"/>
      <c r="H15678" s="16" t="s">
        <v>87</v>
      </c>
      <c r="I15678" s="16" t="s">
        <v>87</v>
      </c>
      <c r="J15678" s="19"/>
      <c r="L15678" s="16" t="str">
        <f>IFERROR(__xludf.DUMMYFUNCTION("""COMPUTED_VALUE"""),"")</f>
        <v/>
      </c>
      <c r="M15678" s="16" t="str">
        <f>IFERROR(__xludf.DUMMYFUNCTION("""COMPUTED_VALUE"""),"")</f>
        <v/>
      </c>
      <c r="U15678" s="16" t="s">
        <v>87</v>
      </c>
      <c r="V15678" s="16" t="str">
        <f>IFERROR(__xludf.DUMMYFUNCTION("""COMPUTED_VALUE"""),"")</f>
        <v/>
      </c>
      <c r="W15678" s="16" t="str">
        <f>IFERROR(__xludf.DUMMYFUNCTION("""COMPUTED_VALUE"""),"")</f>
        <v/>
      </c>
      <c r="X15678" s="16" t="str">
        <f>IFERROR(__xludf.DUMMYFUNCTION("""COMPUTED_VALUE"""),"")</f>
        <v/>
      </c>
      <c r="AC15678" s="16" t="str">
        <f>IFERROR(__xludf.DUMMYFUNCTION("""COMPUTED_VALUE"""),"")</f>
        <v/>
      </c>
    </row>
    <row r="15679">
      <c r="A15679" s="16" t="s">
        <v>87</v>
      </c>
      <c r="E15679" s="16" t="str">
        <f>IFERROR(__xludf.DUMMYFUNCTION("""COMPUTED_VALUE"""),"")</f>
        <v/>
      </c>
      <c r="G15679" s="18"/>
      <c r="H15679" s="16" t="s">
        <v>87</v>
      </c>
      <c r="I15679" s="16" t="s">
        <v>87</v>
      </c>
      <c r="J15679" s="19"/>
      <c r="L15679" s="16" t="str">
        <f>IFERROR(__xludf.DUMMYFUNCTION("""COMPUTED_VALUE"""),"")</f>
        <v/>
      </c>
      <c r="M15679" s="16" t="str">
        <f>IFERROR(__xludf.DUMMYFUNCTION("""COMPUTED_VALUE"""),"")</f>
        <v/>
      </c>
      <c r="U15679" s="16" t="s">
        <v>87</v>
      </c>
      <c r="V15679" s="16" t="str">
        <f>IFERROR(__xludf.DUMMYFUNCTION("""COMPUTED_VALUE"""),"")</f>
        <v/>
      </c>
      <c r="W15679" s="16" t="str">
        <f>IFERROR(__xludf.DUMMYFUNCTION("""COMPUTED_VALUE"""),"")</f>
        <v/>
      </c>
      <c r="X15679" s="16" t="str">
        <f>IFERROR(__xludf.DUMMYFUNCTION("""COMPUTED_VALUE"""),"")</f>
        <v/>
      </c>
      <c r="AC15679" s="16" t="str">
        <f>IFERROR(__xludf.DUMMYFUNCTION("""COMPUTED_VALUE"""),"")</f>
        <v/>
      </c>
    </row>
    <row r="15680">
      <c r="A15680" s="16" t="s">
        <v>87</v>
      </c>
      <c r="E15680" s="16" t="str">
        <f>IFERROR(__xludf.DUMMYFUNCTION("""COMPUTED_VALUE"""),"")</f>
        <v/>
      </c>
      <c r="G15680" s="18"/>
      <c r="H15680" s="16" t="s">
        <v>87</v>
      </c>
      <c r="I15680" s="16" t="s">
        <v>87</v>
      </c>
      <c r="J15680" s="19"/>
      <c r="L15680" s="16" t="str">
        <f>IFERROR(__xludf.DUMMYFUNCTION("""COMPUTED_VALUE"""),"")</f>
        <v/>
      </c>
      <c r="M15680" s="16" t="str">
        <f>IFERROR(__xludf.DUMMYFUNCTION("""COMPUTED_VALUE"""),"")</f>
        <v/>
      </c>
      <c r="U15680" s="16" t="s">
        <v>87</v>
      </c>
      <c r="V15680" s="16" t="str">
        <f>IFERROR(__xludf.DUMMYFUNCTION("""COMPUTED_VALUE"""),"")</f>
        <v/>
      </c>
      <c r="W15680" s="16" t="str">
        <f>IFERROR(__xludf.DUMMYFUNCTION("""COMPUTED_VALUE"""),"")</f>
        <v/>
      </c>
      <c r="X15680" s="16" t="str">
        <f>IFERROR(__xludf.DUMMYFUNCTION("""COMPUTED_VALUE"""),"")</f>
        <v/>
      </c>
      <c r="AC15680" s="16" t="str">
        <f>IFERROR(__xludf.DUMMYFUNCTION("""COMPUTED_VALUE"""),"")</f>
        <v/>
      </c>
    </row>
    <row r="15681">
      <c r="A15681" s="16" t="s">
        <v>87</v>
      </c>
      <c r="E15681" s="16" t="str">
        <f>IFERROR(__xludf.DUMMYFUNCTION("""COMPUTED_VALUE"""),"")</f>
        <v/>
      </c>
      <c r="G15681" s="18"/>
      <c r="H15681" s="16" t="s">
        <v>87</v>
      </c>
      <c r="I15681" s="16" t="s">
        <v>87</v>
      </c>
      <c r="J15681" s="19"/>
      <c r="L15681" s="16" t="str">
        <f>IFERROR(__xludf.DUMMYFUNCTION("""COMPUTED_VALUE"""),"")</f>
        <v/>
      </c>
      <c r="M15681" s="16" t="str">
        <f>IFERROR(__xludf.DUMMYFUNCTION("""COMPUTED_VALUE"""),"")</f>
        <v/>
      </c>
      <c r="U15681" s="16" t="s">
        <v>87</v>
      </c>
      <c r="V15681" s="16" t="str">
        <f>IFERROR(__xludf.DUMMYFUNCTION("""COMPUTED_VALUE"""),"")</f>
        <v/>
      </c>
      <c r="W15681" s="16" t="str">
        <f>IFERROR(__xludf.DUMMYFUNCTION("""COMPUTED_VALUE"""),"")</f>
        <v/>
      </c>
      <c r="X15681" s="16" t="str">
        <f>IFERROR(__xludf.DUMMYFUNCTION("""COMPUTED_VALUE"""),"")</f>
        <v/>
      </c>
      <c r="AC15681" s="16" t="str">
        <f>IFERROR(__xludf.DUMMYFUNCTION("""COMPUTED_VALUE"""),"")</f>
        <v/>
      </c>
    </row>
    <row r="15682">
      <c r="A15682" s="16" t="s">
        <v>87</v>
      </c>
      <c r="E15682" s="16" t="str">
        <f>IFERROR(__xludf.DUMMYFUNCTION("""COMPUTED_VALUE"""),"")</f>
        <v/>
      </c>
      <c r="G15682" s="18"/>
      <c r="H15682" s="16" t="s">
        <v>87</v>
      </c>
      <c r="I15682" s="16" t="s">
        <v>87</v>
      </c>
      <c r="J15682" s="19"/>
      <c r="L15682" s="16" t="str">
        <f>IFERROR(__xludf.DUMMYFUNCTION("""COMPUTED_VALUE"""),"")</f>
        <v/>
      </c>
      <c r="M15682" s="16" t="str">
        <f>IFERROR(__xludf.DUMMYFUNCTION("""COMPUTED_VALUE"""),"")</f>
        <v/>
      </c>
      <c r="U15682" s="16" t="s">
        <v>87</v>
      </c>
      <c r="V15682" s="16" t="str">
        <f>IFERROR(__xludf.DUMMYFUNCTION("""COMPUTED_VALUE"""),"")</f>
        <v/>
      </c>
      <c r="W15682" s="16" t="str">
        <f>IFERROR(__xludf.DUMMYFUNCTION("""COMPUTED_VALUE"""),"")</f>
        <v/>
      </c>
      <c r="X15682" s="16" t="str">
        <f>IFERROR(__xludf.DUMMYFUNCTION("""COMPUTED_VALUE"""),"")</f>
        <v/>
      </c>
      <c r="AC15682" s="16" t="str">
        <f>IFERROR(__xludf.DUMMYFUNCTION("""COMPUTED_VALUE"""),"")</f>
        <v/>
      </c>
    </row>
    <row r="15683">
      <c r="A15683" s="16" t="s">
        <v>87</v>
      </c>
      <c r="E15683" s="16" t="str">
        <f>IFERROR(__xludf.DUMMYFUNCTION("""COMPUTED_VALUE"""),"")</f>
        <v/>
      </c>
      <c r="G15683" s="18"/>
      <c r="H15683" s="16" t="s">
        <v>87</v>
      </c>
      <c r="I15683" s="16" t="s">
        <v>87</v>
      </c>
      <c r="J15683" s="19"/>
      <c r="L15683" s="16" t="str">
        <f>IFERROR(__xludf.DUMMYFUNCTION("""COMPUTED_VALUE"""),"")</f>
        <v/>
      </c>
      <c r="M15683" s="16" t="str">
        <f>IFERROR(__xludf.DUMMYFUNCTION("""COMPUTED_VALUE"""),"")</f>
        <v/>
      </c>
      <c r="U15683" s="16" t="s">
        <v>87</v>
      </c>
      <c r="V15683" s="16" t="str">
        <f>IFERROR(__xludf.DUMMYFUNCTION("""COMPUTED_VALUE"""),"")</f>
        <v/>
      </c>
      <c r="W15683" s="16" t="str">
        <f>IFERROR(__xludf.DUMMYFUNCTION("""COMPUTED_VALUE"""),"")</f>
        <v/>
      </c>
      <c r="X15683" s="16" t="str">
        <f>IFERROR(__xludf.DUMMYFUNCTION("""COMPUTED_VALUE"""),"")</f>
        <v/>
      </c>
      <c r="AC15683" s="16" t="str">
        <f>IFERROR(__xludf.DUMMYFUNCTION("""COMPUTED_VALUE"""),"")</f>
        <v/>
      </c>
    </row>
    <row r="15684">
      <c r="A15684" s="16" t="s">
        <v>87</v>
      </c>
      <c r="E15684" s="16" t="str">
        <f>IFERROR(__xludf.DUMMYFUNCTION("""COMPUTED_VALUE"""),"")</f>
        <v/>
      </c>
      <c r="G15684" s="18"/>
      <c r="H15684" s="16" t="s">
        <v>87</v>
      </c>
      <c r="I15684" s="16" t="s">
        <v>87</v>
      </c>
      <c r="J15684" s="19"/>
      <c r="L15684" s="16" t="str">
        <f>IFERROR(__xludf.DUMMYFUNCTION("""COMPUTED_VALUE"""),"")</f>
        <v/>
      </c>
      <c r="M15684" s="16" t="str">
        <f>IFERROR(__xludf.DUMMYFUNCTION("""COMPUTED_VALUE"""),"")</f>
        <v/>
      </c>
      <c r="U15684" s="16" t="s">
        <v>87</v>
      </c>
      <c r="V15684" s="16" t="str">
        <f>IFERROR(__xludf.DUMMYFUNCTION("""COMPUTED_VALUE"""),"")</f>
        <v/>
      </c>
      <c r="W15684" s="16" t="str">
        <f>IFERROR(__xludf.DUMMYFUNCTION("""COMPUTED_VALUE"""),"")</f>
        <v/>
      </c>
      <c r="X15684" s="16" t="str">
        <f>IFERROR(__xludf.DUMMYFUNCTION("""COMPUTED_VALUE"""),"")</f>
        <v/>
      </c>
      <c r="AC15684" s="16" t="str">
        <f>IFERROR(__xludf.DUMMYFUNCTION("""COMPUTED_VALUE"""),"")</f>
        <v/>
      </c>
    </row>
    <row r="15685">
      <c r="A15685" s="16" t="s">
        <v>87</v>
      </c>
      <c r="E15685" s="16" t="str">
        <f>IFERROR(__xludf.DUMMYFUNCTION("""COMPUTED_VALUE"""),"")</f>
        <v/>
      </c>
      <c r="G15685" s="18"/>
      <c r="H15685" s="16" t="s">
        <v>87</v>
      </c>
      <c r="I15685" s="16" t="s">
        <v>87</v>
      </c>
      <c r="J15685" s="19"/>
      <c r="L15685" s="16" t="str">
        <f>IFERROR(__xludf.DUMMYFUNCTION("""COMPUTED_VALUE"""),"")</f>
        <v/>
      </c>
      <c r="M15685" s="16" t="str">
        <f>IFERROR(__xludf.DUMMYFUNCTION("""COMPUTED_VALUE"""),"")</f>
        <v/>
      </c>
      <c r="U15685" s="16" t="s">
        <v>87</v>
      </c>
      <c r="V15685" s="16" t="str">
        <f>IFERROR(__xludf.DUMMYFUNCTION("""COMPUTED_VALUE"""),"")</f>
        <v/>
      </c>
      <c r="W15685" s="16" t="str">
        <f>IFERROR(__xludf.DUMMYFUNCTION("""COMPUTED_VALUE"""),"")</f>
        <v/>
      </c>
      <c r="X15685" s="16" t="str">
        <f>IFERROR(__xludf.DUMMYFUNCTION("""COMPUTED_VALUE"""),"")</f>
        <v/>
      </c>
      <c r="AC15685" s="16" t="str">
        <f>IFERROR(__xludf.DUMMYFUNCTION("""COMPUTED_VALUE"""),"")</f>
        <v/>
      </c>
    </row>
    <row r="15686">
      <c r="A15686" s="16" t="s">
        <v>87</v>
      </c>
      <c r="E15686" s="16" t="str">
        <f>IFERROR(__xludf.DUMMYFUNCTION("""COMPUTED_VALUE"""),"")</f>
        <v/>
      </c>
      <c r="G15686" s="18"/>
      <c r="H15686" s="16" t="s">
        <v>87</v>
      </c>
      <c r="I15686" s="16" t="s">
        <v>87</v>
      </c>
      <c r="J15686" s="19"/>
      <c r="L15686" s="16" t="str">
        <f>IFERROR(__xludf.DUMMYFUNCTION("""COMPUTED_VALUE"""),"")</f>
        <v/>
      </c>
      <c r="M15686" s="16" t="str">
        <f>IFERROR(__xludf.DUMMYFUNCTION("""COMPUTED_VALUE"""),"")</f>
        <v/>
      </c>
      <c r="U15686" s="16" t="s">
        <v>87</v>
      </c>
      <c r="V15686" s="16" t="str">
        <f>IFERROR(__xludf.DUMMYFUNCTION("""COMPUTED_VALUE"""),"")</f>
        <v/>
      </c>
      <c r="W15686" s="16" t="str">
        <f>IFERROR(__xludf.DUMMYFUNCTION("""COMPUTED_VALUE"""),"")</f>
        <v/>
      </c>
      <c r="X15686" s="16" t="str">
        <f>IFERROR(__xludf.DUMMYFUNCTION("""COMPUTED_VALUE"""),"")</f>
        <v/>
      </c>
      <c r="AC15686" s="16" t="str">
        <f>IFERROR(__xludf.DUMMYFUNCTION("""COMPUTED_VALUE"""),"")</f>
        <v/>
      </c>
    </row>
    <row r="15687">
      <c r="A15687" s="16" t="s">
        <v>87</v>
      </c>
      <c r="E15687" s="16" t="str">
        <f>IFERROR(__xludf.DUMMYFUNCTION("""COMPUTED_VALUE"""),"")</f>
        <v/>
      </c>
      <c r="G15687" s="18"/>
      <c r="H15687" s="16" t="s">
        <v>87</v>
      </c>
      <c r="I15687" s="16" t="s">
        <v>87</v>
      </c>
      <c r="J15687" s="19"/>
      <c r="L15687" s="16" t="str">
        <f>IFERROR(__xludf.DUMMYFUNCTION("""COMPUTED_VALUE"""),"")</f>
        <v/>
      </c>
      <c r="M15687" s="16" t="str">
        <f>IFERROR(__xludf.DUMMYFUNCTION("""COMPUTED_VALUE"""),"")</f>
        <v/>
      </c>
      <c r="U15687" s="16" t="s">
        <v>87</v>
      </c>
      <c r="V15687" s="16" t="str">
        <f>IFERROR(__xludf.DUMMYFUNCTION("""COMPUTED_VALUE"""),"")</f>
        <v/>
      </c>
      <c r="W15687" s="16" t="str">
        <f>IFERROR(__xludf.DUMMYFUNCTION("""COMPUTED_VALUE"""),"")</f>
        <v/>
      </c>
      <c r="X15687" s="16" t="str">
        <f>IFERROR(__xludf.DUMMYFUNCTION("""COMPUTED_VALUE"""),"")</f>
        <v/>
      </c>
      <c r="AC15687" s="16" t="str">
        <f>IFERROR(__xludf.DUMMYFUNCTION("""COMPUTED_VALUE"""),"")</f>
        <v/>
      </c>
    </row>
    <row r="15688">
      <c r="A15688" s="16" t="s">
        <v>87</v>
      </c>
      <c r="E15688" s="16" t="str">
        <f>IFERROR(__xludf.DUMMYFUNCTION("""COMPUTED_VALUE"""),"")</f>
        <v/>
      </c>
      <c r="G15688" s="18"/>
      <c r="H15688" s="16" t="s">
        <v>87</v>
      </c>
      <c r="I15688" s="16" t="s">
        <v>87</v>
      </c>
      <c r="J15688" s="19"/>
      <c r="L15688" s="16" t="str">
        <f>IFERROR(__xludf.DUMMYFUNCTION("""COMPUTED_VALUE"""),"")</f>
        <v/>
      </c>
      <c r="M15688" s="16" t="str">
        <f>IFERROR(__xludf.DUMMYFUNCTION("""COMPUTED_VALUE"""),"")</f>
        <v/>
      </c>
      <c r="U15688" s="16" t="s">
        <v>87</v>
      </c>
      <c r="V15688" s="16" t="str">
        <f>IFERROR(__xludf.DUMMYFUNCTION("""COMPUTED_VALUE"""),"")</f>
        <v/>
      </c>
      <c r="W15688" s="16" t="str">
        <f>IFERROR(__xludf.DUMMYFUNCTION("""COMPUTED_VALUE"""),"")</f>
        <v/>
      </c>
      <c r="X15688" s="16" t="str">
        <f>IFERROR(__xludf.DUMMYFUNCTION("""COMPUTED_VALUE"""),"")</f>
        <v/>
      </c>
      <c r="AC15688" s="16" t="str">
        <f>IFERROR(__xludf.DUMMYFUNCTION("""COMPUTED_VALUE"""),"")</f>
        <v/>
      </c>
    </row>
    <row r="15689">
      <c r="A15689" s="16" t="s">
        <v>87</v>
      </c>
      <c r="E15689" s="16" t="str">
        <f>IFERROR(__xludf.DUMMYFUNCTION("""COMPUTED_VALUE"""),"")</f>
        <v/>
      </c>
      <c r="G15689" s="18"/>
      <c r="H15689" s="16" t="s">
        <v>87</v>
      </c>
      <c r="I15689" s="16" t="s">
        <v>87</v>
      </c>
      <c r="J15689" s="19"/>
      <c r="L15689" s="16" t="str">
        <f>IFERROR(__xludf.DUMMYFUNCTION("""COMPUTED_VALUE"""),"")</f>
        <v/>
      </c>
      <c r="M15689" s="16" t="str">
        <f>IFERROR(__xludf.DUMMYFUNCTION("""COMPUTED_VALUE"""),"")</f>
        <v/>
      </c>
      <c r="U15689" s="16" t="s">
        <v>87</v>
      </c>
      <c r="V15689" s="16" t="str">
        <f>IFERROR(__xludf.DUMMYFUNCTION("""COMPUTED_VALUE"""),"")</f>
        <v/>
      </c>
      <c r="W15689" s="16" t="str">
        <f>IFERROR(__xludf.DUMMYFUNCTION("""COMPUTED_VALUE"""),"")</f>
        <v/>
      </c>
      <c r="X15689" s="16" t="str">
        <f>IFERROR(__xludf.DUMMYFUNCTION("""COMPUTED_VALUE"""),"")</f>
        <v/>
      </c>
      <c r="AC15689" s="16" t="str">
        <f>IFERROR(__xludf.DUMMYFUNCTION("""COMPUTED_VALUE"""),"")</f>
        <v/>
      </c>
    </row>
    <row r="15690">
      <c r="A15690" s="16" t="s">
        <v>87</v>
      </c>
      <c r="E15690" s="16" t="str">
        <f>IFERROR(__xludf.DUMMYFUNCTION("""COMPUTED_VALUE"""),"")</f>
        <v/>
      </c>
      <c r="G15690" s="18"/>
      <c r="H15690" s="16" t="s">
        <v>87</v>
      </c>
      <c r="I15690" s="16" t="s">
        <v>87</v>
      </c>
      <c r="J15690" s="19"/>
      <c r="L15690" s="16" t="str">
        <f>IFERROR(__xludf.DUMMYFUNCTION("""COMPUTED_VALUE"""),"")</f>
        <v/>
      </c>
      <c r="M15690" s="16" t="str">
        <f>IFERROR(__xludf.DUMMYFUNCTION("""COMPUTED_VALUE"""),"")</f>
        <v/>
      </c>
      <c r="U15690" s="16" t="s">
        <v>87</v>
      </c>
      <c r="V15690" s="16" t="str">
        <f>IFERROR(__xludf.DUMMYFUNCTION("""COMPUTED_VALUE"""),"")</f>
        <v/>
      </c>
      <c r="W15690" s="16" t="str">
        <f>IFERROR(__xludf.DUMMYFUNCTION("""COMPUTED_VALUE"""),"")</f>
        <v/>
      </c>
      <c r="X15690" s="16" t="str">
        <f>IFERROR(__xludf.DUMMYFUNCTION("""COMPUTED_VALUE"""),"")</f>
        <v/>
      </c>
      <c r="AC15690" s="16" t="str">
        <f>IFERROR(__xludf.DUMMYFUNCTION("""COMPUTED_VALUE"""),"")</f>
        <v/>
      </c>
    </row>
    <row r="15691">
      <c r="A15691" s="16" t="s">
        <v>87</v>
      </c>
      <c r="E15691" s="16" t="str">
        <f>IFERROR(__xludf.DUMMYFUNCTION("""COMPUTED_VALUE"""),"")</f>
        <v/>
      </c>
      <c r="G15691" s="18"/>
      <c r="H15691" s="16" t="s">
        <v>87</v>
      </c>
      <c r="I15691" s="16" t="s">
        <v>87</v>
      </c>
      <c r="J15691" s="19"/>
      <c r="L15691" s="16" t="str">
        <f>IFERROR(__xludf.DUMMYFUNCTION("""COMPUTED_VALUE"""),"")</f>
        <v/>
      </c>
      <c r="M15691" s="16" t="str">
        <f>IFERROR(__xludf.DUMMYFUNCTION("""COMPUTED_VALUE"""),"")</f>
        <v/>
      </c>
      <c r="U15691" s="16" t="s">
        <v>87</v>
      </c>
      <c r="V15691" s="16" t="str">
        <f>IFERROR(__xludf.DUMMYFUNCTION("""COMPUTED_VALUE"""),"")</f>
        <v/>
      </c>
      <c r="W15691" s="16" t="str">
        <f>IFERROR(__xludf.DUMMYFUNCTION("""COMPUTED_VALUE"""),"")</f>
        <v/>
      </c>
      <c r="X15691" s="16" t="str">
        <f>IFERROR(__xludf.DUMMYFUNCTION("""COMPUTED_VALUE"""),"")</f>
        <v/>
      </c>
      <c r="AC15691" s="16" t="str">
        <f>IFERROR(__xludf.DUMMYFUNCTION("""COMPUTED_VALUE"""),"")</f>
        <v/>
      </c>
    </row>
    <row r="15692">
      <c r="A15692" s="16" t="s">
        <v>87</v>
      </c>
      <c r="E15692" s="16" t="str">
        <f>IFERROR(__xludf.DUMMYFUNCTION("""COMPUTED_VALUE"""),"")</f>
        <v/>
      </c>
      <c r="G15692" s="18"/>
      <c r="H15692" s="16" t="s">
        <v>87</v>
      </c>
      <c r="I15692" s="16" t="s">
        <v>87</v>
      </c>
      <c r="J15692" s="19"/>
      <c r="L15692" s="16" t="str">
        <f>IFERROR(__xludf.DUMMYFUNCTION("""COMPUTED_VALUE"""),"")</f>
        <v/>
      </c>
      <c r="M15692" s="16" t="str">
        <f>IFERROR(__xludf.DUMMYFUNCTION("""COMPUTED_VALUE"""),"")</f>
        <v/>
      </c>
      <c r="U15692" s="16" t="s">
        <v>87</v>
      </c>
      <c r="V15692" s="16" t="str">
        <f>IFERROR(__xludf.DUMMYFUNCTION("""COMPUTED_VALUE"""),"")</f>
        <v/>
      </c>
      <c r="W15692" s="16" t="str">
        <f>IFERROR(__xludf.DUMMYFUNCTION("""COMPUTED_VALUE"""),"")</f>
        <v/>
      </c>
      <c r="X15692" s="16" t="str">
        <f>IFERROR(__xludf.DUMMYFUNCTION("""COMPUTED_VALUE"""),"")</f>
        <v/>
      </c>
      <c r="AC15692" s="16" t="str">
        <f>IFERROR(__xludf.DUMMYFUNCTION("""COMPUTED_VALUE"""),"")</f>
        <v/>
      </c>
    </row>
    <row r="15693">
      <c r="A15693" s="16" t="s">
        <v>87</v>
      </c>
      <c r="E15693" s="16" t="str">
        <f>IFERROR(__xludf.DUMMYFUNCTION("""COMPUTED_VALUE"""),"")</f>
        <v/>
      </c>
      <c r="G15693" s="18"/>
      <c r="H15693" s="16" t="s">
        <v>87</v>
      </c>
      <c r="I15693" s="16" t="s">
        <v>87</v>
      </c>
      <c r="J15693" s="19"/>
      <c r="L15693" s="16" t="str">
        <f>IFERROR(__xludf.DUMMYFUNCTION("""COMPUTED_VALUE"""),"")</f>
        <v/>
      </c>
      <c r="M15693" s="16" t="str">
        <f>IFERROR(__xludf.DUMMYFUNCTION("""COMPUTED_VALUE"""),"")</f>
        <v/>
      </c>
      <c r="U15693" s="16" t="s">
        <v>87</v>
      </c>
      <c r="V15693" s="16" t="str">
        <f>IFERROR(__xludf.DUMMYFUNCTION("""COMPUTED_VALUE"""),"")</f>
        <v/>
      </c>
      <c r="W15693" s="16" t="str">
        <f>IFERROR(__xludf.DUMMYFUNCTION("""COMPUTED_VALUE"""),"")</f>
        <v/>
      </c>
      <c r="X15693" s="16" t="str">
        <f>IFERROR(__xludf.DUMMYFUNCTION("""COMPUTED_VALUE"""),"")</f>
        <v/>
      </c>
      <c r="AC15693" s="16" t="str">
        <f>IFERROR(__xludf.DUMMYFUNCTION("""COMPUTED_VALUE"""),"")</f>
        <v/>
      </c>
    </row>
    <row r="15694">
      <c r="A15694" s="16" t="s">
        <v>87</v>
      </c>
      <c r="E15694" s="16" t="str">
        <f>IFERROR(__xludf.DUMMYFUNCTION("""COMPUTED_VALUE"""),"")</f>
        <v/>
      </c>
      <c r="G15694" s="18"/>
      <c r="H15694" s="16" t="s">
        <v>87</v>
      </c>
      <c r="I15694" s="16" t="s">
        <v>87</v>
      </c>
      <c r="J15694" s="19"/>
      <c r="L15694" s="16" t="str">
        <f>IFERROR(__xludf.DUMMYFUNCTION("""COMPUTED_VALUE"""),"")</f>
        <v/>
      </c>
      <c r="M15694" s="16" t="str">
        <f>IFERROR(__xludf.DUMMYFUNCTION("""COMPUTED_VALUE"""),"")</f>
        <v/>
      </c>
      <c r="U15694" s="16" t="s">
        <v>87</v>
      </c>
      <c r="V15694" s="16" t="str">
        <f>IFERROR(__xludf.DUMMYFUNCTION("""COMPUTED_VALUE"""),"")</f>
        <v/>
      </c>
      <c r="W15694" s="16" t="str">
        <f>IFERROR(__xludf.DUMMYFUNCTION("""COMPUTED_VALUE"""),"")</f>
        <v/>
      </c>
      <c r="X15694" s="16" t="str">
        <f>IFERROR(__xludf.DUMMYFUNCTION("""COMPUTED_VALUE"""),"")</f>
        <v/>
      </c>
      <c r="AC15694" s="16" t="str">
        <f>IFERROR(__xludf.DUMMYFUNCTION("""COMPUTED_VALUE"""),"")</f>
        <v/>
      </c>
    </row>
    <row r="15695">
      <c r="A15695" s="16" t="s">
        <v>87</v>
      </c>
      <c r="E15695" s="16" t="str">
        <f>IFERROR(__xludf.DUMMYFUNCTION("""COMPUTED_VALUE"""),"")</f>
        <v/>
      </c>
      <c r="G15695" s="18"/>
      <c r="H15695" s="16" t="s">
        <v>87</v>
      </c>
      <c r="I15695" s="16" t="s">
        <v>87</v>
      </c>
      <c r="J15695" s="19"/>
      <c r="L15695" s="16" t="str">
        <f>IFERROR(__xludf.DUMMYFUNCTION("""COMPUTED_VALUE"""),"")</f>
        <v/>
      </c>
      <c r="M15695" s="16" t="str">
        <f>IFERROR(__xludf.DUMMYFUNCTION("""COMPUTED_VALUE"""),"")</f>
        <v/>
      </c>
      <c r="U15695" s="16" t="s">
        <v>87</v>
      </c>
      <c r="V15695" s="16" t="str">
        <f>IFERROR(__xludf.DUMMYFUNCTION("""COMPUTED_VALUE"""),"")</f>
        <v/>
      </c>
      <c r="W15695" s="16" t="str">
        <f>IFERROR(__xludf.DUMMYFUNCTION("""COMPUTED_VALUE"""),"")</f>
        <v/>
      </c>
      <c r="X15695" s="16" t="str">
        <f>IFERROR(__xludf.DUMMYFUNCTION("""COMPUTED_VALUE"""),"")</f>
        <v/>
      </c>
      <c r="AC15695" s="16" t="str">
        <f>IFERROR(__xludf.DUMMYFUNCTION("""COMPUTED_VALUE"""),"")</f>
        <v/>
      </c>
    </row>
    <row r="15696">
      <c r="A15696" s="16" t="s">
        <v>87</v>
      </c>
      <c r="E15696" s="16" t="str">
        <f>IFERROR(__xludf.DUMMYFUNCTION("""COMPUTED_VALUE"""),"")</f>
        <v/>
      </c>
      <c r="G15696" s="18"/>
      <c r="H15696" s="16" t="s">
        <v>87</v>
      </c>
      <c r="I15696" s="16" t="s">
        <v>87</v>
      </c>
      <c r="J15696" s="19"/>
      <c r="L15696" s="16" t="str">
        <f>IFERROR(__xludf.DUMMYFUNCTION("""COMPUTED_VALUE"""),"")</f>
        <v/>
      </c>
      <c r="M15696" s="16" t="str">
        <f>IFERROR(__xludf.DUMMYFUNCTION("""COMPUTED_VALUE"""),"")</f>
        <v/>
      </c>
      <c r="U15696" s="16" t="s">
        <v>87</v>
      </c>
      <c r="V15696" s="16" t="str">
        <f>IFERROR(__xludf.DUMMYFUNCTION("""COMPUTED_VALUE"""),"")</f>
        <v/>
      </c>
      <c r="W15696" s="16" t="str">
        <f>IFERROR(__xludf.DUMMYFUNCTION("""COMPUTED_VALUE"""),"")</f>
        <v/>
      </c>
      <c r="X15696" s="16" t="str">
        <f>IFERROR(__xludf.DUMMYFUNCTION("""COMPUTED_VALUE"""),"")</f>
        <v/>
      </c>
      <c r="AC15696" s="16" t="str">
        <f>IFERROR(__xludf.DUMMYFUNCTION("""COMPUTED_VALUE"""),"")</f>
        <v/>
      </c>
    </row>
    <row r="15697">
      <c r="A15697" s="16" t="s">
        <v>87</v>
      </c>
      <c r="E15697" s="16" t="str">
        <f>IFERROR(__xludf.DUMMYFUNCTION("""COMPUTED_VALUE"""),"")</f>
        <v/>
      </c>
      <c r="G15697" s="18"/>
      <c r="H15697" s="16" t="s">
        <v>87</v>
      </c>
      <c r="I15697" s="16" t="s">
        <v>87</v>
      </c>
      <c r="J15697" s="19"/>
      <c r="L15697" s="16" t="str">
        <f>IFERROR(__xludf.DUMMYFUNCTION("""COMPUTED_VALUE"""),"")</f>
        <v/>
      </c>
      <c r="M15697" s="16" t="str">
        <f>IFERROR(__xludf.DUMMYFUNCTION("""COMPUTED_VALUE"""),"")</f>
        <v/>
      </c>
      <c r="U15697" s="16" t="s">
        <v>87</v>
      </c>
      <c r="V15697" s="16" t="str">
        <f>IFERROR(__xludf.DUMMYFUNCTION("""COMPUTED_VALUE"""),"")</f>
        <v/>
      </c>
      <c r="W15697" s="16" t="str">
        <f>IFERROR(__xludf.DUMMYFUNCTION("""COMPUTED_VALUE"""),"")</f>
        <v/>
      </c>
      <c r="X15697" s="16" t="str">
        <f>IFERROR(__xludf.DUMMYFUNCTION("""COMPUTED_VALUE"""),"")</f>
        <v/>
      </c>
      <c r="AC15697" s="16" t="str">
        <f>IFERROR(__xludf.DUMMYFUNCTION("""COMPUTED_VALUE"""),"")</f>
        <v/>
      </c>
    </row>
    <row r="15698">
      <c r="A15698" s="16" t="s">
        <v>87</v>
      </c>
      <c r="E15698" s="16" t="str">
        <f>IFERROR(__xludf.DUMMYFUNCTION("""COMPUTED_VALUE"""),"")</f>
        <v/>
      </c>
      <c r="G15698" s="18"/>
      <c r="H15698" s="16" t="s">
        <v>87</v>
      </c>
      <c r="I15698" s="16" t="s">
        <v>87</v>
      </c>
      <c r="J15698" s="19"/>
      <c r="L15698" s="16" t="str">
        <f>IFERROR(__xludf.DUMMYFUNCTION("""COMPUTED_VALUE"""),"")</f>
        <v/>
      </c>
      <c r="M15698" s="16" t="str">
        <f>IFERROR(__xludf.DUMMYFUNCTION("""COMPUTED_VALUE"""),"")</f>
        <v/>
      </c>
      <c r="U15698" s="16" t="s">
        <v>87</v>
      </c>
      <c r="V15698" s="16" t="str">
        <f>IFERROR(__xludf.DUMMYFUNCTION("""COMPUTED_VALUE"""),"")</f>
        <v/>
      </c>
      <c r="W15698" s="16" t="str">
        <f>IFERROR(__xludf.DUMMYFUNCTION("""COMPUTED_VALUE"""),"")</f>
        <v/>
      </c>
      <c r="X15698" s="16" t="str">
        <f>IFERROR(__xludf.DUMMYFUNCTION("""COMPUTED_VALUE"""),"")</f>
        <v/>
      </c>
      <c r="AC15698" s="16" t="str">
        <f>IFERROR(__xludf.DUMMYFUNCTION("""COMPUTED_VALUE"""),"")</f>
        <v/>
      </c>
    </row>
    <row r="15699">
      <c r="A15699" s="16" t="s">
        <v>87</v>
      </c>
      <c r="E15699" s="16" t="str">
        <f>IFERROR(__xludf.DUMMYFUNCTION("""COMPUTED_VALUE"""),"")</f>
        <v/>
      </c>
      <c r="G15699" s="18"/>
      <c r="H15699" s="16" t="s">
        <v>87</v>
      </c>
      <c r="I15699" s="16" t="s">
        <v>87</v>
      </c>
      <c r="J15699" s="19"/>
      <c r="L15699" s="16" t="str">
        <f>IFERROR(__xludf.DUMMYFUNCTION("""COMPUTED_VALUE"""),"")</f>
        <v/>
      </c>
      <c r="M15699" s="16" t="str">
        <f>IFERROR(__xludf.DUMMYFUNCTION("""COMPUTED_VALUE"""),"")</f>
        <v/>
      </c>
      <c r="U15699" s="16" t="s">
        <v>87</v>
      </c>
      <c r="V15699" s="16" t="str">
        <f>IFERROR(__xludf.DUMMYFUNCTION("""COMPUTED_VALUE"""),"")</f>
        <v/>
      </c>
      <c r="W15699" s="16" t="str">
        <f>IFERROR(__xludf.DUMMYFUNCTION("""COMPUTED_VALUE"""),"")</f>
        <v/>
      </c>
      <c r="X15699" s="16" t="str">
        <f>IFERROR(__xludf.DUMMYFUNCTION("""COMPUTED_VALUE"""),"")</f>
        <v/>
      </c>
      <c r="AC15699" s="16" t="str">
        <f>IFERROR(__xludf.DUMMYFUNCTION("""COMPUTED_VALUE"""),"")</f>
        <v/>
      </c>
    </row>
    <row r="15700">
      <c r="A15700" s="16" t="s">
        <v>87</v>
      </c>
      <c r="E15700" s="16" t="str">
        <f>IFERROR(__xludf.DUMMYFUNCTION("""COMPUTED_VALUE"""),"")</f>
        <v/>
      </c>
      <c r="G15700" s="18"/>
      <c r="H15700" s="16" t="s">
        <v>87</v>
      </c>
      <c r="I15700" s="16" t="s">
        <v>87</v>
      </c>
      <c r="J15700" s="19"/>
      <c r="L15700" s="16" t="str">
        <f>IFERROR(__xludf.DUMMYFUNCTION("""COMPUTED_VALUE"""),"")</f>
        <v/>
      </c>
      <c r="M15700" s="16" t="str">
        <f>IFERROR(__xludf.DUMMYFUNCTION("""COMPUTED_VALUE"""),"")</f>
        <v/>
      </c>
      <c r="U15700" s="16" t="s">
        <v>87</v>
      </c>
      <c r="V15700" s="16" t="str">
        <f>IFERROR(__xludf.DUMMYFUNCTION("""COMPUTED_VALUE"""),"")</f>
        <v/>
      </c>
      <c r="W15700" s="16" t="str">
        <f>IFERROR(__xludf.DUMMYFUNCTION("""COMPUTED_VALUE"""),"")</f>
        <v/>
      </c>
      <c r="X15700" s="16" t="str">
        <f>IFERROR(__xludf.DUMMYFUNCTION("""COMPUTED_VALUE"""),"")</f>
        <v/>
      </c>
      <c r="AC15700" s="16" t="str">
        <f>IFERROR(__xludf.DUMMYFUNCTION("""COMPUTED_VALUE"""),"")</f>
        <v/>
      </c>
    </row>
    <row r="15701">
      <c r="A15701" s="16" t="s">
        <v>87</v>
      </c>
      <c r="E15701" s="16" t="str">
        <f>IFERROR(__xludf.DUMMYFUNCTION("""COMPUTED_VALUE"""),"")</f>
        <v/>
      </c>
      <c r="G15701" s="18"/>
      <c r="H15701" s="16" t="s">
        <v>87</v>
      </c>
      <c r="I15701" s="16" t="s">
        <v>87</v>
      </c>
      <c r="J15701" s="19"/>
      <c r="L15701" s="16" t="str">
        <f>IFERROR(__xludf.DUMMYFUNCTION("""COMPUTED_VALUE"""),"")</f>
        <v/>
      </c>
      <c r="M15701" s="16" t="str">
        <f>IFERROR(__xludf.DUMMYFUNCTION("""COMPUTED_VALUE"""),"")</f>
        <v/>
      </c>
      <c r="U15701" s="16" t="s">
        <v>87</v>
      </c>
      <c r="V15701" s="16" t="str">
        <f>IFERROR(__xludf.DUMMYFUNCTION("""COMPUTED_VALUE"""),"")</f>
        <v/>
      </c>
      <c r="W15701" s="16" t="str">
        <f>IFERROR(__xludf.DUMMYFUNCTION("""COMPUTED_VALUE"""),"")</f>
        <v/>
      </c>
      <c r="X15701" s="16" t="str">
        <f>IFERROR(__xludf.DUMMYFUNCTION("""COMPUTED_VALUE"""),"")</f>
        <v/>
      </c>
      <c r="AC15701" s="16" t="str">
        <f>IFERROR(__xludf.DUMMYFUNCTION("""COMPUTED_VALUE"""),"")</f>
        <v/>
      </c>
    </row>
    <row r="15702">
      <c r="A15702" s="16" t="s">
        <v>87</v>
      </c>
      <c r="E15702" s="16" t="str">
        <f>IFERROR(__xludf.DUMMYFUNCTION("""COMPUTED_VALUE"""),"")</f>
        <v/>
      </c>
      <c r="G15702" s="18"/>
      <c r="H15702" s="16" t="s">
        <v>87</v>
      </c>
      <c r="I15702" s="16" t="s">
        <v>87</v>
      </c>
      <c r="J15702" s="19"/>
      <c r="L15702" s="16" t="str">
        <f>IFERROR(__xludf.DUMMYFUNCTION("""COMPUTED_VALUE"""),"")</f>
        <v/>
      </c>
      <c r="M15702" s="16" t="str">
        <f>IFERROR(__xludf.DUMMYFUNCTION("""COMPUTED_VALUE"""),"")</f>
        <v/>
      </c>
      <c r="U15702" s="16" t="s">
        <v>87</v>
      </c>
      <c r="V15702" s="16" t="str">
        <f>IFERROR(__xludf.DUMMYFUNCTION("""COMPUTED_VALUE"""),"")</f>
        <v/>
      </c>
      <c r="W15702" s="16" t="str">
        <f>IFERROR(__xludf.DUMMYFUNCTION("""COMPUTED_VALUE"""),"")</f>
        <v/>
      </c>
      <c r="X15702" s="16" t="str">
        <f>IFERROR(__xludf.DUMMYFUNCTION("""COMPUTED_VALUE"""),"")</f>
        <v/>
      </c>
      <c r="AC15702" s="16" t="str">
        <f>IFERROR(__xludf.DUMMYFUNCTION("""COMPUTED_VALUE"""),"")</f>
        <v/>
      </c>
    </row>
    <row r="15703">
      <c r="A15703" s="16" t="s">
        <v>87</v>
      </c>
      <c r="E15703" s="16" t="str">
        <f>IFERROR(__xludf.DUMMYFUNCTION("""COMPUTED_VALUE"""),"")</f>
        <v/>
      </c>
      <c r="G15703" s="18"/>
      <c r="H15703" s="16" t="s">
        <v>87</v>
      </c>
      <c r="I15703" s="16" t="s">
        <v>87</v>
      </c>
      <c r="J15703" s="19"/>
      <c r="L15703" s="16" t="str">
        <f>IFERROR(__xludf.DUMMYFUNCTION("""COMPUTED_VALUE"""),"")</f>
        <v/>
      </c>
      <c r="M15703" s="16" t="str">
        <f>IFERROR(__xludf.DUMMYFUNCTION("""COMPUTED_VALUE"""),"")</f>
        <v/>
      </c>
      <c r="U15703" s="16" t="s">
        <v>87</v>
      </c>
      <c r="V15703" s="16" t="str">
        <f>IFERROR(__xludf.DUMMYFUNCTION("""COMPUTED_VALUE"""),"")</f>
        <v/>
      </c>
      <c r="W15703" s="16" t="str">
        <f>IFERROR(__xludf.DUMMYFUNCTION("""COMPUTED_VALUE"""),"")</f>
        <v/>
      </c>
      <c r="X15703" s="16" t="str">
        <f>IFERROR(__xludf.DUMMYFUNCTION("""COMPUTED_VALUE"""),"")</f>
        <v/>
      </c>
      <c r="AC15703" s="16" t="str">
        <f>IFERROR(__xludf.DUMMYFUNCTION("""COMPUTED_VALUE"""),"")</f>
        <v/>
      </c>
    </row>
    <row r="15704">
      <c r="A15704" s="16" t="s">
        <v>87</v>
      </c>
      <c r="E15704" s="16" t="str">
        <f>IFERROR(__xludf.DUMMYFUNCTION("""COMPUTED_VALUE"""),"")</f>
        <v/>
      </c>
      <c r="G15704" s="18"/>
      <c r="H15704" s="16" t="s">
        <v>87</v>
      </c>
      <c r="I15704" s="16" t="s">
        <v>87</v>
      </c>
      <c r="J15704" s="19"/>
      <c r="L15704" s="16" t="str">
        <f>IFERROR(__xludf.DUMMYFUNCTION("""COMPUTED_VALUE"""),"")</f>
        <v/>
      </c>
      <c r="M15704" s="16" t="str">
        <f>IFERROR(__xludf.DUMMYFUNCTION("""COMPUTED_VALUE"""),"")</f>
        <v/>
      </c>
      <c r="U15704" s="16" t="s">
        <v>87</v>
      </c>
      <c r="V15704" s="16" t="str">
        <f>IFERROR(__xludf.DUMMYFUNCTION("""COMPUTED_VALUE"""),"")</f>
        <v/>
      </c>
      <c r="W15704" s="16" t="str">
        <f>IFERROR(__xludf.DUMMYFUNCTION("""COMPUTED_VALUE"""),"")</f>
        <v/>
      </c>
      <c r="X15704" s="16" t="str">
        <f>IFERROR(__xludf.DUMMYFUNCTION("""COMPUTED_VALUE"""),"")</f>
        <v/>
      </c>
      <c r="AC15704" s="16" t="str">
        <f>IFERROR(__xludf.DUMMYFUNCTION("""COMPUTED_VALUE"""),"")</f>
        <v/>
      </c>
    </row>
    <row r="15705">
      <c r="A15705" s="16" t="s">
        <v>87</v>
      </c>
      <c r="E15705" s="16" t="str">
        <f>IFERROR(__xludf.DUMMYFUNCTION("""COMPUTED_VALUE"""),"")</f>
        <v/>
      </c>
      <c r="G15705" s="18"/>
      <c r="H15705" s="16" t="s">
        <v>87</v>
      </c>
      <c r="I15705" s="16" t="s">
        <v>87</v>
      </c>
      <c r="J15705" s="19"/>
      <c r="L15705" s="16" t="str">
        <f>IFERROR(__xludf.DUMMYFUNCTION("""COMPUTED_VALUE"""),"")</f>
        <v/>
      </c>
      <c r="M15705" s="16" t="str">
        <f>IFERROR(__xludf.DUMMYFUNCTION("""COMPUTED_VALUE"""),"")</f>
        <v/>
      </c>
      <c r="U15705" s="16" t="s">
        <v>87</v>
      </c>
      <c r="V15705" s="16" t="str">
        <f>IFERROR(__xludf.DUMMYFUNCTION("""COMPUTED_VALUE"""),"")</f>
        <v/>
      </c>
      <c r="W15705" s="16" t="str">
        <f>IFERROR(__xludf.DUMMYFUNCTION("""COMPUTED_VALUE"""),"")</f>
        <v/>
      </c>
      <c r="X15705" s="16" t="str">
        <f>IFERROR(__xludf.DUMMYFUNCTION("""COMPUTED_VALUE"""),"")</f>
        <v/>
      </c>
      <c r="AC15705" s="16" t="str">
        <f>IFERROR(__xludf.DUMMYFUNCTION("""COMPUTED_VALUE"""),"")</f>
        <v/>
      </c>
    </row>
    <row r="15706">
      <c r="A15706" s="16" t="s">
        <v>87</v>
      </c>
      <c r="E15706" s="16" t="str">
        <f>IFERROR(__xludf.DUMMYFUNCTION("""COMPUTED_VALUE"""),"")</f>
        <v/>
      </c>
      <c r="G15706" s="18"/>
      <c r="H15706" s="16" t="s">
        <v>87</v>
      </c>
      <c r="I15706" s="16" t="s">
        <v>87</v>
      </c>
      <c r="J15706" s="19"/>
      <c r="L15706" s="16" t="str">
        <f>IFERROR(__xludf.DUMMYFUNCTION("""COMPUTED_VALUE"""),"")</f>
        <v/>
      </c>
      <c r="M15706" s="16" t="str">
        <f>IFERROR(__xludf.DUMMYFUNCTION("""COMPUTED_VALUE"""),"")</f>
        <v/>
      </c>
      <c r="U15706" s="16" t="s">
        <v>87</v>
      </c>
      <c r="V15706" s="16" t="str">
        <f>IFERROR(__xludf.DUMMYFUNCTION("""COMPUTED_VALUE"""),"")</f>
        <v/>
      </c>
      <c r="W15706" s="16" t="str">
        <f>IFERROR(__xludf.DUMMYFUNCTION("""COMPUTED_VALUE"""),"")</f>
        <v/>
      </c>
      <c r="X15706" s="16" t="str">
        <f>IFERROR(__xludf.DUMMYFUNCTION("""COMPUTED_VALUE"""),"")</f>
        <v/>
      </c>
      <c r="AC15706" s="16" t="str">
        <f>IFERROR(__xludf.DUMMYFUNCTION("""COMPUTED_VALUE"""),"")</f>
        <v/>
      </c>
    </row>
    <row r="15707">
      <c r="A15707" s="16" t="s">
        <v>87</v>
      </c>
      <c r="E15707" s="16" t="str">
        <f>IFERROR(__xludf.DUMMYFUNCTION("""COMPUTED_VALUE"""),"")</f>
        <v/>
      </c>
      <c r="G15707" s="18"/>
      <c r="H15707" s="16" t="s">
        <v>87</v>
      </c>
      <c r="I15707" s="16" t="s">
        <v>87</v>
      </c>
      <c r="J15707" s="19"/>
      <c r="L15707" s="16" t="str">
        <f>IFERROR(__xludf.DUMMYFUNCTION("""COMPUTED_VALUE"""),"")</f>
        <v/>
      </c>
      <c r="M15707" s="16" t="str">
        <f>IFERROR(__xludf.DUMMYFUNCTION("""COMPUTED_VALUE"""),"")</f>
        <v/>
      </c>
      <c r="U15707" s="16" t="s">
        <v>87</v>
      </c>
      <c r="V15707" s="16" t="str">
        <f>IFERROR(__xludf.DUMMYFUNCTION("""COMPUTED_VALUE"""),"")</f>
        <v/>
      </c>
      <c r="W15707" s="16" t="str">
        <f>IFERROR(__xludf.DUMMYFUNCTION("""COMPUTED_VALUE"""),"")</f>
        <v/>
      </c>
      <c r="X15707" s="16" t="str">
        <f>IFERROR(__xludf.DUMMYFUNCTION("""COMPUTED_VALUE"""),"")</f>
        <v/>
      </c>
      <c r="AC15707" s="16" t="str">
        <f>IFERROR(__xludf.DUMMYFUNCTION("""COMPUTED_VALUE"""),"")</f>
        <v/>
      </c>
    </row>
    <row r="15708">
      <c r="A15708" s="16" t="s">
        <v>87</v>
      </c>
      <c r="E15708" s="16" t="str">
        <f>IFERROR(__xludf.DUMMYFUNCTION("""COMPUTED_VALUE"""),"")</f>
        <v/>
      </c>
      <c r="G15708" s="18"/>
      <c r="H15708" s="16" t="s">
        <v>87</v>
      </c>
      <c r="I15708" s="16" t="s">
        <v>87</v>
      </c>
      <c r="J15708" s="19"/>
      <c r="L15708" s="16" t="str">
        <f>IFERROR(__xludf.DUMMYFUNCTION("""COMPUTED_VALUE"""),"")</f>
        <v/>
      </c>
      <c r="M15708" s="16" t="str">
        <f>IFERROR(__xludf.DUMMYFUNCTION("""COMPUTED_VALUE"""),"")</f>
        <v/>
      </c>
      <c r="U15708" s="16" t="s">
        <v>87</v>
      </c>
      <c r="V15708" s="16" t="str">
        <f>IFERROR(__xludf.DUMMYFUNCTION("""COMPUTED_VALUE"""),"")</f>
        <v/>
      </c>
      <c r="W15708" s="16" t="str">
        <f>IFERROR(__xludf.DUMMYFUNCTION("""COMPUTED_VALUE"""),"")</f>
        <v/>
      </c>
      <c r="X15708" s="16" t="str">
        <f>IFERROR(__xludf.DUMMYFUNCTION("""COMPUTED_VALUE"""),"")</f>
        <v/>
      </c>
      <c r="AC15708" s="16" t="str">
        <f>IFERROR(__xludf.DUMMYFUNCTION("""COMPUTED_VALUE"""),"")</f>
        <v/>
      </c>
    </row>
    <row r="15709">
      <c r="A15709" s="16" t="s">
        <v>87</v>
      </c>
      <c r="E15709" s="16" t="str">
        <f>IFERROR(__xludf.DUMMYFUNCTION("""COMPUTED_VALUE"""),"")</f>
        <v/>
      </c>
      <c r="G15709" s="18"/>
      <c r="H15709" s="16" t="s">
        <v>87</v>
      </c>
      <c r="I15709" s="16" t="s">
        <v>87</v>
      </c>
      <c r="J15709" s="19"/>
      <c r="L15709" s="16" t="str">
        <f>IFERROR(__xludf.DUMMYFUNCTION("""COMPUTED_VALUE"""),"")</f>
        <v/>
      </c>
      <c r="M15709" s="16" t="str">
        <f>IFERROR(__xludf.DUMMYFUNCTION("""COMPUTED_VALUE"""),"")</f>
        <v/>
      </c>
      <c r="U15709" s="16" t="s">
        <v>87</v>
      </c>
      <c r="V15709" s="16" t="str">
        <f>IFERROR(__xludf.DUMMYFUNCTION("""COMPUTED_VALUE"""),"")</f>
        <v/>
      </c>
      <c r="W15709" s="16" t="str">
        <f>IFERROR(__xludf.DUMMYFUNCTION("""COMPUTED_VALUE"""),"")</f>
        <v/>
      </c>
      <c r="X15709" s="16" t="str">
        <f>IFERROR(__xludf.DUMMYFUNCTION("""COMPUTED_VALUE"""),"")</f>
        <v/>
      </c>
      <c r="AC15709" s="16" t="str">
        <f>IFERROR(__xludf.DUMMYFUNCTION("""COMPUTED_VALUE"""),"")</f>
        <v/>
      </c>
    </row>
    <row r="15710">
      <c r="A15710" s="16" t="s">
        <v>87</v>
      </c>
      <c r="E15710" s="16" t="str">
        <f>IFERROR(__xludf.DUMMYFUNCTION("""COMPUTED_VALUE"""),"")</f>
        <v/>
      </c>
      <c r="G15710" s="18"/>
      <c r="H15710" s="16" t="s">
        <v>87</v>
      </c>
      <c r="I15710" s="16" t="s">
        <v>87</v>
      </c>
      <c r="J15710" s="19"/>
      <c r="L15710" s="16" t="str">
        <f>IFERROR(__xludf.DUMMYFUNCTION("""COMPUTED_VALUE"""),"")</f>
        <v/>
      </c>
      <c r="M15710" s="16" t="str">
        <f>IFERROR(__xludf.DUMMYFUNCTION("""COMPUTED_VALUE"""),"")</f>
        <v/>
      </c>
      <c r="U15710" s="16" t="s">
        <v>87</v>
      </c>
      <c r="V15710" s="16" t="str">
        <f>IFERROR(__xludf.DUMMYFUNCTION("""COMPUTED_VALUE"""),"")</f>
        <v/>
      </c>
      <c r="W15710" s="16" t="str">
        <f>IFERROR(__xludf.DUMMYFUNCTION("""COMPUTED_VALUE"""),"")</f>
        <v/>
      </c>
      <c r="X15710" s="16" t="str">
        <f>IFERROR(__xludf.DUMMYFUNCTION("""COMPUTED_VALUE"""),"")</f>
        <v/>
      </c>
      <c r="AC15710" s="16" t="str">
        <f>IFERROR(__xludf.DUMMYFUNCTION("""COMPUTED_VALUE"""),"")</f>
        <v/>
      </c>
    </row>
    <row r="15711">
      <c r="A15711" s="16" t="s">
        <v>87</v>
      </c>
      <c r="E15711" s="16" t="str">
        <f>IFERROR(__xludf.DUMMYFUNCTION("""COMPUTED_VALUE"""),"")</f>
        <v/>
      </c>
      <c r="G15711" s="18"/>
      <c r="H15711" s="16" t="s">
        <v>87</v>
      </c>
      <c r="I15711" s="16" t="s">
        <v>87</v>
      </c>
      <c r="J15711" s="19"/>
      <c r="L15711" s="16" t="str">
        <f>IFERROR(__xludf.DUMMYFUNCTION("""COMPUTED_VALUE"""),"")</f>
        <v/>
      </c>
      <c r="M15711" s="16" t="str">
        <f>IFERROR(__xludf.DUMMYFUNCTION("""COMPUTED_VALUE"""),"")</f>
        <v/>
      </c>
      <c r="U15711" s="16" t="s">
        <v>87</v>
      </c>
      <c r="V15711" s="16" t="str">
        <f>IFERROR(__xludf.DUMMYFUNCTION("""COMPUTED_VALUE"""),"")</f>
        <v/>
      </c>
      <c r="W15711" s="16" t="str">
        <f>IFERROR(__xludf.DUMMYFUNCTION("""COMPUTED_VALUE"""),"")</f>
        <v/>
      </c>
      <c r="X15711" s="16" t="str">
        <f>IFERROR(__xludf.DUMMYFUNCTION("""COMPUTED_VALUE"""),"")</f>
        <v/>
      </c>
      <c r="AC15711" s="16" t="str">
        <f>IFERROR(__xludf.DUMMYFUNCTION("""COMPUTED_VALUE"""),"")</f>
        <v/>
      </c>
    </row>
    <row r="15712">
      <c r="A15712" s="16" t="s">
        <v>87</v>
      </c>
      <c r="E15712" s="16" t="str">
        <f>IFERROR(__xludf.DUMMYFUNCTION("""COMPUTED_VALUE"""),"")</f>
        <v/>
      </c>
      <c r="G15712" s="18"/>
      <c r="H15712" s="16" t="s">
        <v>87</v>
      </c>
      <c r="I15712" s="16" t="s">
        <v>87</v>
      </c>
      <c r="J15712" s="19"/>
      <c r="L15712" s="16" t="str">
        <f>IFERROR(__xludf.DUMMYFUNCTION("""COMPUTED_VALUE"""),"")</f>
        <v/>
      </c>
      <c r="M15712" s="16" t="str">
        <f>IFERROR(__xludf.DUMMYFUNCTION("""COMPUTED_VALUE"""),"")</f>
        <v/>
      </c>
      <c r="U15712" s="16" t="s">
        <v>87</v>
      </c>
      <c r="V15712" s="16" t="str">
        <f>IFERROR(__xludf.DUMMYFUNCTION("""COMPUTED_VALUE"""),"")</f>
        <v/>
      </c>
      <c r="W15712" s="16" t="str">
        <f>IFERROR(__xludf.DUMMYFUNCTION("""COMPUTED_VALUE"""),"")</f>
        <v/>
      </c>
      <c r="X15712" s="16" t="str">
        <f>IFERROR(__xludf.DUMMYFUNCTION("""COMPUTED_VALUE"""),"")</f>
        <v/>
      </c>
      <c r="AC15712" s="16" t="str">
        <f>IFERROR(__xludf.DUMMYFUNCTION("""COMPUTED_VALUE"""),"")</f>
        <v/>
      </c>
    </row>
    <row r="15713">
      <c r="A15713" s="16" t="s">
        <v>87</v>
      </c>
      <c r="E15713" s="16" t="str">
        <f>IFERROR(__xludf.DUMMYFUNCTION("""COMPUTED_VALUE"""),"")</f>
        <v/>
      </c>
      <c r="G15713" s="18"/>
      <c r="H15713" s="16" t="s">
        <v>87</v>
      </c>
      <c r="I15713" s="16" t="s">
        <v>87</v>
      </c>
      <c r="J15713" s="19"/>
      <c r="L15713" s="16" t="str">
        <f>IFERROR(__xludf.DUMMYFUNCTION("""COMPUTED_VALUE"""),"")</f>
        <v/>
      </c>
      <c r="M15713" s="16" t="str">
        <f>IFERROR(__xludf.DUMMYFUNCTION("""COMPUTED_VALUE"""),"")</f>
        <v/>
      </c>
      <c r="U15713" s="16" t="s">
        <v>87</v>
      </c>
      <c r="V15713" s="16" t="str">
        <f>IFERROR(__xludf.DUMMYFUNCTION("""COMPUTED_VALUE"""),"")</f>
        <v/>
      </c>
      <c r="W15713" s="16" t="str">
        <f>IFERROR(__xludf.DUMMYFUNCTION("""COMPUTED_VALUE"""),"")</f>
        <v/>
      </c>
      <c r="X15713" s="16" t="str">
        <f>IFERROR(__xludf.DUMMYFUNCTION("""COMPUTED_VALUE"""),"")</f>
        <v/>
      </c>
      <c r="AC15713" s="16" t="str">
        <f>IFERROR(__xludf.DUMMYFUNCTION("""COMPUTED_VALUE"""),"")</f>
        <v/>
      </c>
    </row>
    <row r="15714">
      <c r="A15714" s="16" t="s">
        <v>87</v>
      </c>
      <c r="E15714" s="16" t="str">
        <f>IFERROR(__xludf.DUMMYFUNCTION("""COMPUTED_VALUE"""),"")</f>
        <v/>
      </c>
      <c r="G15714" s="18"/>
      <c r="H15714" s="16" t="s">
        <v>87</v>
      </c>
      <c r="I15714" s="16" t="s">
        <v>87</v>
      </c>
      <c r="J15714" s="19"/>
      <c r="L15714" s="16" t="str">
        <f>IFERROR(__xludf.DUMMYFUNCTION("""COMPUTED_VALUE"""),"")</f>
        <v/>
      </c>
      <c r="M15714" s="16" t="str">
        <f>IFERROR(__xludf.DUMMYFUNCTION("""COMPUTED_VALUE"""),"")</f>
        <v/>
      </c>
      <c r="U15714" s="16" t="s">
        <v>87</v>
      </c>
      <c r="V15714" s="16" t="str">
        <f>IFERROR(__xludf.DUMMYFUNCTION("""COMPUTED_VALUE"""),"")</f>
        <v/>
      </c>
      <c r="W15714" s="16" t="str">
        <f>IFERROR(__xludf.DUMMYFUNCTION("""COMPUTED_VALUE"""),"")</f>
        <v/>
      </c>
      <c r="X15714" s="16" t="str">
        <f>IFERROR(__xludf.DUMMYFUNCTION("""COMPUTED_VALUE"""),"")</f>
        <v/>
      </c>
      <c r="AC15714" s="16" t="str">
        <f>IFERROR(__xludf.DUMMYFUNCTION("""COMPUTED_VALUE"""),"")</f>
        <v/>
      </c>
    </row>
    <row r="15715">
      <c r="A15715" s="16" t="s">
        <v>87</v>
      </c>
      <c r="E15715" s="16" t="str">
        <f>IFERROR(__xludf.DUMMYFUNCTION("""COMPUTED_VALUE"""),"")</f>
        <v/>
      </c>
      <c r="G15715" s="18"/>
      <c r="H15715" s="16" t="s">
        <v>87</v>
      </c>
      <c r="I15715" s="16" t="s">
        <v>87</v>
      </c>
      <c r="J15715" s="19"/>
      <c r="L15715" s="16" t="str">
        <f>IFERROR(__xludf.DUMMYFUNCTION("""COMPUTED_VALUE"""),"")</f>
        <v/>
      </c>
      <c r="M15715" s="16" t="str">
        <f>IFERROR(__xludf.DUMMYFUNCTION("""COMPUTED_VALUE"""),"")</f>
        <v/>
      </c>
      <c r="U15715" s="16" t="s">
        <v>87</v>
      </c>
      <c r="V15715" s="16" t="str">
        <f>IFERROR(__xludf.DUMMYFUNCTION("""COMPUTED_VALUE"""),"")</f>
        <v/>
      </c>
      <c r="W15715" s="16" t="str">
        <f>IFERROR(__xludf.DUMMYFUNCTION("""COMPUTED_VALUE"""),"")</f>
        <v/>
      </c>
      <c r="X15715" s="16" t="str">
        <f>IFERROR(__xludf.DUMMYFUNCTION("""COMPUTED_VALUE"""),"")</f>
        <v/>
      </c>
      <c r="AC15715" s="16" t="str">
        <f>IFERROR(__xludf.DUMMYFUNCTION("""COMPUTED_VALUE"""),"")</f>
        <v/>
      </c>
    </row>
    <row r="15716">
      <c r="A15716" s="16" t="s">
        <v>87</v>
      </c>
      <c r="E15716" s="16" t="str">
        <f>IFERROR(__xludf.DUMMYFUNCTION("""COMPUTED_VALUE"""),"")</f>
        <v/>
      </c>
      <c r="G15716" s="18"/>
      <c r="H15716" s="16" t="s">
        <v>87</v>
      </c>
      <c r="I15716" s="16" t="s">
        <v>87</v>
      </c>
      <c r="J15716" s="19"/>
      <c r="L15716" s="16" t="str">
        <f>IFERROR(__xludf.DUMMYFUNCTION("""COMPUTED_VALUE"""),"")</f>
        <v/>
      </c>
      <c r="M15716" s="16" t="str">
        <f>IFERROR(__xludf.DUMMYFUNCTION("""COMPUTED_VALUE"""),"")</f>
        <v/>
      </c>
      <c r="U15716" s="16" t="s">
        <v>87</v>
      </c>
      <c r="V15716" s="16" t="str">
        <f>IFERROR(__xludf.DUMMYFUNCTION("""COMPUTED_VALUE"""),"")</f>
        <v/>
      </c>
      <c r="W15716" s="16" t="str">
        <f>IFERROR(__xludf.DUMMYFUNCTION("""COMPUTED_VALUE"""),"")</f>
        <v/>
      </c>
      <c r="X15716" s="16" t="str">
        <f>IFERROR(__xludf.DUMMYFUNCTION("""COMPUTED_VALUE"""),"")</f>
        <v/>
      </c>
      <c r="AC15716" s="16" t="str">
        <f>IFERROR(__xludf.DUMMYFUNCTION("""COMPUTED_VALUE"""),"")</f>
        <v/>
      </c>
    </row>
    <row r="15717">
      <c r="A15717" s="16" t="s">
        <v>87</v>
      </c>
      <c r="E15717" s="16" t="str">
        <f>IFERROR(__xludf.DUMMYFUNCTION("""COMPUTED_VALUE"""),"")</f>
        <v/>
      </c>
      <c r="G15717" s="18"/>
      <c r="H15717" s="16" t="s">
        <v>87</v>
      </c>
      <c r="I15717" s="16" t="s">
        <v>87</v>
      </c>
      <c r="J15717" s="19"/>
      <c r="L15717" s="16" t="str">
        <f>IFERROR(__xludf.DUMMYFUNCTION("""COMPUTED_VALUE"""),"")</f>
        <v/>
      </c>
      <c r="M15717" s="16" t="str">
        <f>IFERROR(__xludf.DUMMYFUNCTION("""COMPUTED_VALUE"""),"")</f>
        <v/>
      </c>
      <c r="U15717" s="16" t="s">
        <v>87</v>
      </c>
      <c r="V15717" s="16" t="str">
        <f>IFERROR(__xludf.DUMMYFUNCTION("""COMPUTED_VALUE"""),"")</f>
        <v/>
      </c>
      <c r="W15717" s="16" t="str">
        <f>IFERROR(__xludf.DUMMYFUNCTION("""COMPUTED_VALUE"""),"")</f>
        <v/>
      </c>
      <c r="X15717" s="16" t="str">
        <f>IFERROR(__xludf.DUMMYFUNCTION("""COMPUTED_VALUE"""),"")</f>
        <v/>
      </c>
      <c r="AC15717" s="16" t="str">
        <f>IFERROR(__xludf.DUMMYFUNCTION("""COMPUTED_VALUE"""),"")</f>
        <v/>
      </c>
    </row>
    <row r="15718">
      <c r="A15718" s="16" t="s">
        <v>87</v>
      </c>
      <c r="E15718" s="16" t="str">
        <f>IFERROR(__xludf.DUMMYFUNCTION("""COMPUTED_VALUE"""),"")</f>
        <v/>
      </c>
      <c r="G15718" s="18"/>
      <c r="H15718" s="16" t="s">
        <v>87</v>
      </c>
      <c r="I15718" s="16" t="s">
        <v>87</v>
      </c>
      <c r="J15718" s="19"/>
      <c r="L15718" s="16" t="str">
        <f>IFERROR(__xludf.DUMMYFUNCTION("""COMPUTED_VALUE"""),"")</f>
        <v/>
      </c>
      <c r="M15718" s="16" t="str">
        <f>IFERROR(__xludf.DUMMYFUNCTION("""COMPUTED_VALUE"""),"")</f>
        <v/>
      </c>
      <c r="U15718" s="16" t="s">
        <v>87</v>
      </c>
      <c r="V15718" s="16" t="str">
        <f>IFERROR(__xludf.DUMMYFUNCTION("""COMPUTED_VALUE"""),"")</f>
        <v/>
      </c>
      <c r="W15718" s="16" t="str">
        <f>IFERROR(__xludf.DUMMYFUNCTION("""COMPUTED_VALUE"""),"")</f>
        <v/>
      </c>
      <c r="X15718" s="16" t="str">
        <f>IFERROR(__xludf.DUMMYFUNCTION("""COMPUTED_VALUE"""),"")</f>
        <v/>
      </c>
      <c r="AC15718" s="16" t="str">
        <f>IFERROR(__xludf.DUMMYFUNCTION("""COMPUTED_VALUE"""),"")</f>
        <v/>
      </c>
    </row>
    <row r="15719">
      <c r="A15719" s="16" t="s">
        <v>87</v>
      </c>
      <c r="E15719" s="16" t="str">
        <f>IFERROR(__xludf.DUMMYFUNCTION("""COMPUTED_VALUE"""),"")</f>
        <v/>
      </c>
      <c r="G15719" s="18"/>
      <c r="H15719" s="16" t="s">
        <v>87</v>
      </c>
      <c r="I15719" s="16" t="s">
        <v>87</v>
      </c>
      <c r="J15719" s="19"/>
      <c r="L15719" s="16" t="str">
        <f>IFERROR(__xludf.DUMMYFUNCTION("""COMPUTED_VALUE"""),"")</f>
        <v/>
      </c>
      <c r="M15719" s="16" t="str">
        <f>IFERROR(__xludf.DUMMYFUNCTION("""COMPUTED_VALUE"""),"")</f>
        <v/>
      </c>
      <c r="U15719" s="16" t="s">
        <v>87</v>
      </c>
      <c r="V15719" s="16" t="str">
        <f>IFERROR(__xludf.DUMMYFUNCTION("""COMPUTED_VALUE"""),"")</f>
        <v/>
      </c>
      <c r="W15719" s="16" t="str">
        <f>IFERROR(__xludf.DUMMYFUNCTION("""COMPUTED_VALUE"""),"")</f>
        <v/>
      </c>
      <c r="X15719" s="16" t="str">
        <f>IFERROR(__xludf.DUMMYFUNCTION("""COMPUTED_VALUE"""),"")</f>
        <v/>
      </c>
      <c r="AC15719" s="16" t="str">
        <f>IFERROR(__xludf.DUMMYFUNCTION("""COMPUTED_VALUE"""),"")</f>
        <v/>
      </c>
    </row>
    <row r="15720">
      <c r="A15720" s="16" t="s">
        <v>87</v>
      </c>
      <c r="E15720" s="16" t="str">
        <f>IFERROR(__xludf.DUMMYFUNCTION("""COMPUTED_VALUE"""),"")</f>
        <v/>
      </c>
      <c r="G15720" s="18"/>
      <c r="H15720" s="16" t="s">
        <v>87</v>
      </c>
      <c r="I15720" s="16" t="s">
        <v>87</v>
      </c>
      <c r="J15720" s="19"/>
      <c r="L15720" s="16" t="str">
        <f>IFERROR(__xludf.DUMMYFUNCTION("""COMPUTED_VALUE"""),"")</f>
        <v/>
      </c>
      <c r="M15720" s="16" t="str">
        <f>IFERROR(__xludf.DUMMYFUNCTION("""COMPUTED_VALUE"""),"")</f>
        <v/>
      </c>
      <c r="U15720" s="16" t="s">
        <v>87</v>
      </c>
      <c r="V15720" s="16" t="str">
        <f>IFERROR(__xludf.DUMMYFUNCTION("""COMPUTED_VALUE"""),"")</f>
        <v/>
      </c>
      <c r="W15720" s="16" t="str">
        <f>IFERROR(__xludf.DUMMYFUNCTION("""COMPUTED_VALUE"""),"")</f>
        <v/>
      </c>
      <c r="X15720" s="16" t="str">
        <f>IFERROR(__xludf.DUMMYFUNCTION("""COMPUTED_VALUE"""),"")</f>
        <v/>
      </c>
      <c r="AC15720" s="16" t="str">
        <f>IFERROR(__xludf.DUMMYFUNCTION("""COMPUTED_VALUE"""),"")</f>
        <v/>
      </c>
    </row>
    <row r="15721">
      <c r="A15721" s="16" t="s">
        <v>87</v>
      </c>
      <c r="E15721" s="16" t="str">
        <f>IFERROR(__xludf.DUMMYFUNCTION("""COMPUTED_VALUE"""),"")</f>
        <v/>
      </c>
      <c r="G15721" s="18"/>
      <c r="H15721" s="16" t="s">
        <v>87</v>
      </c>
      <c r="I15721" s="16" t="s">
        <v>87</v>
      </c>
      <c r="J15721" s="19"/>
      <c r="L15721" s="16" t="str">
        <f>IFERROR(__xludf.DUMMYFUNCTION("""COMPUTED_VALUE"""),"")</f>
        <v/>
      </c>
      <c r="M15721" s="16" t="str">
        <f>IFERROR(__xludf.DUMMYFUNCTION("""COMPUTED_VALUE"""),"")</f>
        <v/>
      </c>
      <c r="U15721" s="16" t="s">
        <v>87</v>
      </c>
      <c r="V15721" s="16" t="str">
        <f>IFERROR(__xludf.DUMMYFUNCTION("""COMPUTED_VALUE"""),"")</f>
        <v/>
      </c>
      <c r="W15721" s="16" t="str">
        <f>IFERROR(__xludf.DUMMYFUNCTION("""COMPUTED_VALUE"""),"")</f>
        <v/>
      </c>
      <c r="X15721" s="16" t="str">
        <f>IFERROR(__xludf.DUMMYFUNCTION("""COMPUTED_VALUE"""),"")</f>
        <v/>
      </c>
      <c r="AC15721" s="16" t="str">
        <f>IFERROR(__xludf.DUMMYFUNCTION("""COMPUTED_VALUE"""),"")</f>
        <v/>
      </c>
    </row>
    <row r="15722">
      <c r="A15722" s="16" t="s">
        <v>87</v>
      </c>
      <c r="E15722" s="16" t="str">
        <f>IFERROR(__xludf.DUMMYFUNCTION("""COMPUTED_VALUE"""),"")</f>
        <v/>
      </c>
      <c r="G15722" s="18"/>
      <c r="H15722" s="16" t="s">
        <v>87</v>
      </c>
      <c r="I15722" s="16" t="s">
        <v>87</v>
      </c>
      <c r="J15722" s="19"/>
      <c r="L15722" s="16" t="str">
        <f>IFERROR(__xludf.DUMMYFUNCTION("""COMPUTED_VALUE"""),"")</f>
        <v/>
      </c>
      <c r="M15722" s="16" t="str">
        <f>IFERROR(__xludf.DUMMYFUNCTION("""COMPUTED_VALUE"""),"")</f>
        <v/>
      </c>
      <c r="U15722" s="16" t="s">
        <v>87</v>
      </c>
      <c r="V15722" s="16" t="str">
        <f>IFERROR(__xludf.DUMMYFUNCTION("""COMPUTED_VALUE"""),"")</f>
        <v/>
      </c>
      <c r="W15722" s="16" t="str">
        <f>IFERROR(__xludf.DUMMYFUNCTION("""COMPUTED_VALUE"""),"")</f>
        <v/>
      </c>
      <c r="X15722" s="16" t="str">
        <f>IFERROR(__xludf.DUMMYFUNCTION("""COMPUTED_VALUE"""),"")</f>
        <v/>
      </c>
      <c r="AC15722" s="16" t="str">
        <f>IFERROR(__xludf.DUMMYFUNCTION("""COMPUTED_VALUE"""),"")</f>
        <v/>
      </c>
    </row>
    <row r="15723">
      <c r="A15723" s="16" t="s">
        <v>87</v>
      </c>
      <c r="E15723" s="16" t="str">
        <f>IFERROR(__xludf.DUMMYFUNCTION("""COMPUTED_VALUE"""),"")</f>
        <v/>
      </c>
      <c r="G15723" s="18"/>
      <c r="H15723" s="16" t="s">
        <v>87</v>
      </c>
      <c r="I15723" s="16" t="s">
        <v>87</v>
      </c>
      <c r="J15723" s="19"/>
      <c r="L15723" s="16" t="str">
        <f>IFERROR(__xludf.DUMMYFUNCTION("""COMPUTED_VALUE"""),"")</f>
        <v/>
      </c>
      <c r="M15723" s="16" t="str">
        <f>IFERROR(__xludf.DUMMYFUNCTION("""COMPUTED_VALUE"""),"")</f>
        <v/>
      </c>
      <c r="U15723" s="16" t="s">
        <v>87</v>
      </c>
      <c r="V15723" s="16" t="str">
        <f>IFERROR(__xludf.DUMMYFUNCTION("""COMPUTED_VALUE"""),"")</f>
        <v/>
      </c>
      <c r="W15723" s="16" t="str">
        <f>IFERROR(__xludf.DUMMYFUNCTION("""COMPUTED_VALUE"""),"")</f>
        <v/>
      </c>
      <c r="X15723" s="16" t="str">
        <f>IFERROR(__xludf.DUMMYFUNCTION("""COMPUTED_VALUE"""),"")</f>
        <v/>
      </c>
      <c r="AC15723" s="16" t="str">
        <f>IFERROR(__xludf.DUMMYFUNCTION("""COMPUTED_VALUE"""),"")</f>
        <v/>
      </c>
    </row>
    <row r="15724">
      <c r="A15724" s="16" t="s">
        <v>87</v>
      </c>
      <c r="E15724" s="16" t="str">
        <f>IFERROR(__xludf.DUMMYFUNCTION("""COMPUTED_VALUE"""),"")</f>
        <v/>
      </c>
      <c r="G15724" s="18"/>
      <c r="H15724" s="16" t="s">
        <v>87</v>
      </c>
      <c r="I15724" s="16" t="s">
        <v>87</v>
      </c>
      <c r="J15724" s="19"/>
      <c r="L15724" s="16" t="str">
        <f>IFERROR(__xludf.DUMMYFUNCTION("""COMPUTED_VALUE"""),"")</f>
        <v/>
      </c>
      <c r="M15724" s="16" t="str">
        <f>IFERROR(__xludf.DUMMYFUNCTION("""COMPUTED_VALUE"""),"")</f>
        <v/>
      </c>
      <c r="U15724" s="16" t="s">
        <v>87</v>
      </c>
      <c r="V15724" s="16" t="str">
        <f>IFERROR(__xludf.DUMMYFUNCTION("""COMPUTED_VALUE"""),"")</f>
        <v/>
      </c>
      <c r="W15724" s="16" t="str">
        <f>IFERROR(__xludf.DUMMYFUNCTION("""COMPUTED_VALUE"""),"")</f>
        <v/>
      </c>
      <c r="X15724" s="16" t="str">
        <f>IFERROR(__xludf.DUMMYFUNCTION("""COMPUTED_VALUE"""),"")</f>
        <v/>
      </c>
      <c r="AC15724" s="16" t="str">
        <f>IFERROR(__xludf.DUMMYFUNCTION("""COMPUTED_VALUE"""),"")</f>
        <v/>
      </c>
    </row>
    <row r="15725">
      <c r="A15725" s="16" t="s">
        <v>87</v>
      </c>
      <c r="E15725" s="16" t="str">
        <f>IFERROR(__xludf.DUMMYFUNCTION("""COMPUTED_VALUE"""),"")</f>
        <v/>
      </c>
      <c r="G15725" s="18"/>
      <c r="H15725" s="16" t="s">
        <v>87</v>
      </c>
      <c r="I15725" s="16" t="s">
        <v>87</v>
      </c>
      <c r="J15725" s="19"/>
      <c r="L15725" s="16" t="str">
        <f>IFERROR(__xludf.DUMMYFUNCTION("""COMPUTED_VALUE"""),"")</f>
        <v/>
      </c>
      <c r="M15725" s="16" t="str">
        <f>IFERROR(__xludf.DUMMYFUNCTION("""COMPUTED_VALUE"""),"")</f>
        <v/>
      </c>
      <c r="U15725" s="16" t="s">
        <v>87</v>
      </c>
      <c r="V15725" s="16" t="str">
        <f>IFERROR(__xludf.DUMMYFUNCTION("""COMPUTED_VALUE"""),"")</f>
        <v/>
      </c>
      <c r="W15725" s="16" t="str">
        <f>IFERROR(__xludf.DUMMYFUNCTION("""COMPUTED_VALUE"""),"")</f>
        <v/>
      </c>
      <c r="X15725" s="16" t="str">
        <f>IFERROR(__xludf.DUMMYFUNCTION("""COMPUTED_VALUE"""),"")</f>
        <v/>
      </c>
      <c r="AC15725" s="16" t="str">
        <f>IFERROR(__xludf.DUMMYFUNCTION("""COMPUTED_VALUE"""),"")</f>
        <v/>
      </c>
    </row>
    <row r="15726">
      <c r="A15726" s="16" t="s">
        <v>87</v>
      </c>
      <c r="E15726" s="16" t="str">
        <f>IFERROR(__xludf.DUMMYFUNCTION("""COMPUTED_VALUE"""),"")</f>
        <v/>
      </c>
      <c r="G15726" s="18"/>
      <c r="H15726" s="16" t="s">
        <v>87</v>
      </c>
      <c r="I15726" s="16" t="s">
        <v>87</v>
      </c>
      <c r="J15726" s="19"/>
      <c r="L15726" s="16" t="str">
        <f>IFERROR(__xludf.DUMMYFUNCTION("""COMPUTED_VALUE"""),"")</f>
        <v/>
      </c>
      <c r="M15726" s="16" t="str">
        <f>IFERROR(__xludf.DUMMYFUNCTION("""COMPUTED_VALUE"""),"")</f>
        <v/>
      </c>
      <c r="U15726" s="16" t="s">
        <v>87</v>
      </c>
      <c r="V15726" s="16" t="str">
        <f>IFERROR(__xludf.DUMMYFUNCTION("""COMPUTED_VALUE"""),"")</f>
        <v/>
      </c>
      <c r="W15726" s="16" t="str">
        <f>IFERROR(__xludf.DUMMYFUNCTION("""COMPUTED_VALUE"""),"")</f>
        <v/>
      </c>
      <c r="X15726" s="16" t="str">
        <f>IFERROR(__xludf.DUMMYFUNCTION("""COMPUTED_VALUE"""),"")</f>
        <v/>
      </c>
      <c r="AC15726" s="16" t="str">
        <f>IFERROR(__xludf.DUMMYFUNCTION("""COMPUTED_VALUE"""),"")</f>
        <v/>
      </c>
    </row>
    <row r="15727">
      <c r="A15727" s="16" t="s">
        <v>87</v>
      </c>
      <c r="E15727" s="16" t="str">
        <f>IFERROR(__xludf.DUMMYFUNCTION("""COMPUTED_VALUE"""),"")</f>
        <v/>
      </c>
      <c r="G15727" s="18"/>
      <c r="H15727" s="16" t="s">
        <v>87</v>
      </c>
      <c r="I15727" s="16" t="s">
        <v>87</v>
      </c>
      <c r="J15727" s="19"/>
      <c r="L15727" s="16" t="str">
        <f>IFERROR(__xludf.DUMMYFUNCTION("""COMPUTED_VALUE"""),"")</f>
        <v/>
      </c>
      <c r="M15727" s="16" t="str">
        <f>IFERROR(__xludf.DUMMYFUNCTION("""COMPUTED_VALUE"""),"")</f>
        <v/>
      </c>
      <c r="U15727" s="16" t="s">
        <v>87</v>
      </c>
      <c r="V15727" s="16" t="str">
        <f>IFERROR(__xludf.DUMMYFUNCTION("""COMPUTED_VALUE"""),"")</f>
        <v/>
      </c>
      <c r="W15727" s="16" t="str">
        <f>IFERROR(__xludf.DUMMYFUNCTION("""COMPUTED_VALUE"""),"")</f>
        <v/>
      </c>
      <c r="X15727" s="16" t="str">
        <f>IFERROR(__xludf.DUMMYFUNCTION("""COMPUTED_VALUE"""),"")</f>
        <v/>
      </c>
      <c r="AC15727" s="16" t="str">
        <f>IFERROR(__xludf.DUMMYFUNCTION("""COMPUTED_VALUE"""),"")</f>
        <v/>
      </c>
    </row>
    <row r="15728">
      <c r="A15728" s="16" t="s">
        <v>87</v>
      </c>
      <c r="E15728" s="16" t="str">
        <f>IFERROR(__xludf.DUMMYFUNCTION("""COMPUTED_VALUE"""),"")</f>
        <v/>
      </c>
      <c r="G15728" s="18"/>
      <c r="H15728" s="16" t="s">
        <v>87</v>
      </c>
      <c r="I15728" s="16" t="s">
        <v>87</v>
      </c>
      <c r="J15728" s="19"/>
      <c r="L15728" s="16" t="str">
        <f>IFERROR(__xludf.DUMMYFUNCTION("""COMPUTED_VALUE"""),"")</f>
        <v/>
      </c>
      <c r="M15728" s="16" t="str">
        <f>IFERROR(__xludf.DUMMYFUNCTION("""COMPUTED_VALUE"""),"")</f>
        <v/>
      </c>
      <c r="U15728" s="16" t="s">
        <v>87</v>
      </c>
      <c r="V15728" s="16" t="str">
        <f>IFERROR(__xludf.DUMMYFUNCTION("""COMPUTED_VALUE"""),"")</f>
        <v/>
      </c>
      <c r="W15728" s="16" t="str">
        <f>IFERROR(__xludf.DUMMYFUNCTION("""COMPUTED_VALUE"""),"")</f>
        <v/>
      </c>
      <c r="X15728" s="16" t="str">
        <f>IFERROR(__xludf.DUMMYFUNCTION("""COMPUTED_VALUE"""),"")</f>
        <v/>
      </c>
      <c r="AC15728" s="16" t="str">
        <f>IFERROR(__xludf.DUMMYFUNCTION("""COMPUTED_VALUE"""),"")</f>
        <v/>
      </c>
    </row>
    <row r="15729">
      <c r="A15729" s="16" t="s">
        <v>87</v>
      </c>
      <c r="E15729" s="16" t="str">
        <f>IFERROR(__xludf.DUMMYFUNCTION("""COMPUTED_VALUE"""),"")</f>
        <v/>
      </c>
      <c r="G15729" s="18"/>
      <c r="H15729" s="16" t="s">
        <v>87</v>
      </c>
      <c r="I15729" s="16" t="s">
        <v>87</v>
      </c>
      <c r="J15729" s="19"/>
      <c r="L15729" s="16" t="str">
        <f>IFERROR(__xludf.DUMMYFUNCTION("""COMPUTED_VALUE"""),"")</f>
        <v/>
      </c>
      <c r="M15729" s="16" t="str">
        <f>IFERROR(__xludf.DUMMYFUNCTION("""COMPUTED_VALUE"""),"")</f>
        <v/>
      </c>
      <c r="U15729" s="16" t="s">
        <v>87</v>
      </c>
      <c r="V15729" s="16" t="str">
        <f>IFERROR(__xludf.DUMMYFUNCTION("""COMPUTED_VALUE"""),"")</f>
        <v/>
      </c>
      <c r="W15729" s="16" t="str">
        <f>IFERROR(__xludf.DUMMYFUNCTION("""COMPUTED_VALUE"""),"")</f>
        <v/>
      </c>
      <c r="X15729" s="16" t="str">
        <f>IFERROR(__xludf.DUMMYFUNCTION("""COMPUTED_VALUE"""),"")</f>
        <v/>
      </c>
      <c r="AC15729" s="16" t="str">
        <f>IFERROR(__xludf.DUMMYFUNCTION("""COMPUTED_VALUE"""),"")</f>
        <v/>
      </c>
    </row>
    <row r="15730">
      <c r="A15730" s="16" t="s">
        <v>87</v>
      </c>
      <c r="E15730" s="16" t="str">
        <f>IFERROR(__xludf.DUMMYFUNCTION("""COMPUTED_VALUE"""),"")</f>
        <v/>
      </c>
      <c r="G15730" s="18"/>
      <c r="H15730" s="16" t="s">
        <v>87</v>
      </c>
      <c r="I15730" s="16" t="s">
        <v>87</v>
      </c>
      <c r="J15730" s="19"/>
      <c r="L15730" s="16" t="str">
        <f>IFERROR(__xludf.DUMMYFUNCTION("""COMPUTED_VALUE"""),"")</f>
        <v/>
      </c>
      <c r="M15730" s="16" t="str">
        <f>IFERROR(__xludf.DUMMYFUNCTION("""COMPUTED_VALUE"""),"")</f>
        <v/>
      </c>
      <c r="U15730" s="16" t="s">
        <v>87</v>
      </c>
      <c r="V15730" s="16" t="str">
        <f>IFERROR(__xludf.DUMMYFUNCTION("""COMPUTED_VALUE"""),"")</f>
        <v/>
      </c>
      <c r="W15730" s="16" t="str">
        <f>IFERROR(__xludf.DUMMYFUNCTION("""COMPUTED_VALUE"""),"")</f>
        <v/>
      </c>
      <c r="X15730" s="16" t="str">
        <f>IFERROR(__xludf.DUMMYFUNCTION("""COMPUTED_VALUE"""),"")</f>
        <v/>
      </c>
      <c r="AC15730" s="16" t="str">
        <f>IFERROR(__xludf.DUMMYFUNCTION("""COMPUTED_VALUE"""),"")</f>
        <v/>
      </c>
    </row>
    <row r="15731">
      <c r="A15731" s="16" t="s">
        <v>87</v>
      </c>
      <c r="E15731" s="16" t="str">
        <f>IFERROR(__xludf.DUMMYFUNCTION("""COMPUTED_VALUE"""),"")</f>
        <v/>
      </c>
      <c r="G15731" s="18"/>
      <c r="H15731" s="16" t="s">
        <v>87</v>
      </c>
      <c r="I15731" s="16" t="s">
        <v>87</v>
      </c>
      <c r="J15731" s="19"/>
      <c r="L15731" s="16" t="str">
        <f>IFERROR(__xludf.DUMMYFUNCTION("""COMPUTED_VALUE"""),"")</f>
        <v/>
      </c>
      <c r="M15731" s="16" t="str">
        <f>IFERROR(__xludf.DUMMYFUNCTION("""COMPUTED_VALUE"""),"")</f>
        <v/>
      </c>
      <c r="U15731" s="16" t="s">
        <v>87</v>
      </c>
      <c r="V15731" s="16" t="str">
        <f>IFERROR(__xludf.DUMMYFUNCTION("""COMPUTED_VALUE"""),"")</f>
        <v/>
      </c>
      <c r="W15731" s="16" t="str">
        <f>IFERROR(__xludf.DUMMYFUNCTION("""COMPUTED_VALUE"""),"")</f>
        <v/>
      </c>
      <c r="X15731" s="16" t="str">
        <f>IFERROR(__xludf.DUMMYFUNCTION("""COMPUTED_VALUE"""),"")</f>
        <v/>
      </c>
      <c r="AC15731" s="16" t="str">
        <f>IFERROR(__xludf.DUMMYFUNCTION("""COMPUTED_VALUE"""),"")</f>
        <v/>
      </c>
    </row>
    <row r="15732">
      <c r="A15732" s="16" t="s">
        <v>87</v>
      </c>
      <c r="E15732" s="16" t="str">
        <f>IFERROR(__xludf.DUMMYFUNCTION("""COMPUTED_VALUE"""),"")</f>
        <v/>
      </c>
      <c r="G15732" s="18"/>
      <c r="H15732" s="16" t="s">
        <v>87</v>
      </c>
      <c r="I15732" s="16" t="s">
        <v>87</v>
      </c>
      <c r="J15732" s="19"/>
      <c r="L15732" s="16" t="str">
        <f>IFERROR(__xludf.DUMMYFUNCTION("""COMPUTED_VALUE"""),"")</f>
        <v/>
      </c>
      <c r="M15732" s="16" t="str">
        <f>IFERROR(__xludf.DUMMYFUNCTION("""COMPUTED_VALUE"""),"")</f>
        <v/>
      </c>
      <c r="U15732" s="16" t="s">
        <v>87</v>
      </c>
      <c r="V15732" s="16" t="str">
        <f>IFERROR(__xludf.DUMMYFUNCTION("""COMPUTED_VALUE"""),"")</f>
        <v/>
      </c>
      <c r="W15732" s="16" t="str">
        <f>IFERROR(__xludf.DUMMYFUNCTION("""COMPUTED_VALUE"""),"")</f>
        <v/>
      </c>
      <c r="X15732" s="16" t="str">
        <f>IFERROR(__xludf.DUMMYFUNCTION("""COMPUTED_VALUE"""),"")</f>
        <v/>
      </c>
      <c r="AC15732" s="16" t="str">
        <f>IFERROR(__xludf.DUMMYFUNCTION("""COMPUTED_VALUE"""),"")</f>
        <v/>
      </c>
    </row>
    <row r="15733">
      <c r="A15733" s="16" t="s">
        <v>87</v>
      </c>
      <c r="E15733" s="16" t="str">
        <f>IFERROR(__xludf.DUMMYFUNCTION("""COMPUTED_VALUE"""),"")</f>
        <v/>
      </c>
      <c r="G15733" s="18"/>
      <c r="H15733" s="16" t="s">
        <v>87</v>
      </c>
      <c r="I15733" s="16" t="s">
        <v>87</v>
      </c>
      <c r="J15733" s="19"/>
      <c r="L15733" s="16" t="str">
        <f>IFERROR(__xludf.DUMMYFUNCTION("""COMPUTED_VALUE"""),"")</f>
        <v/>
      </c>
      <c r="M15733" s="16" t="str">
        <f>IFERROR(__xludf.DUMMYFUNCTION("""COMPUTED_VALUE"""),"")</f>
        <v/>
      </c>
      <c r="U15733" s="16" t="s">
        <v>87</v>
      </c>
      <c r="V15733" s="16" t="str">
        <f>IFERROR(__xludf.DUMMYFUNCTION("""COMPUTED_VALUE"""),"")</f>
        <v/>
      </c>
      <c r="W15733" s="16" t="str">
        <f>IFERROR(__xludf.DUMMYFUNCTION("""COMPUTED_VALUE"""),"")</f>
        <v/>
      </c>
      <c r="X15733" s="16" t="str">
        <f>IFERROR(__xludf.DUMMYFUNCTION("""COMPUTED_VALUE"""),"")</f>
        <v/>
      </c>
      <c r="AC15733" s="16" t="str">
        <f>IFERROR(__xludf.DUMMYFUNCTION("""COMPUTED_VALUE"""),"")</f>
        <v/>
      </c>
    </row>
    <row r="15734">
      <c r="A15734" s="16" t="s">
        <v>87</v>
      </c>
      <c r="E15734" s="16" t="str">
        <f>IFERROR(__xludf.DUMMYFUNCTION("""COMPUTED_VALUE"""),"")</f>
        <v/>
      </c>
      <c r="G15734" s="18"/>
      <c r="H15734" s="16" t="s">
        <v>87</v>
      </c>
      <c r="I15734" s="16" t="s">
        <v>87</v>
      </c>
      <c r="J15734" s="19"/>
      <c r="L15734" s="16" t="str">
        <f>IFERROR(__xludf.DUMMYFUNCTION("""COMPUTED_VALUE"""),"")</f>
        <v/>
      </c>
      <c r="M15734" s="16" t="str">
        <f>IFERROR(__xludf.DUMMYFUNCTION("""COMPUTED_VALUE"""),"")</f>
        <v/>
      </c>
      <c r="U15734" s="16" t="s">
        <v>87</v>
      </c>
      <c r="V15734" s="16" t="str">
        <f>IFERROR(__xludf.DUMMYFUNCTION("""COMPUTED_VALUE"""),"")</f>
        <v/>
      </c>
      <c r="W15734" s="16" t="str">
        <f>IFERROR(__xludf.DUMMYFUNCTION("""COMPUTED_VALUE"""),"")</f>
        <v/>
      </c>
      <c r="X15734" s="16" t="str">
        <f>IFERROR(__xludf.DUMMYFUNCTION("""COMPUTED_VALUE"""),"")</f>
        <v/>
      </c>
      <c r="AC15734" s="16" t="str">
        <f>IFERROR(__xludf.DUMMYFUNCTION("""COMPUTED_VALUE"""),"")</f>
        <v/>
      </c>
    </row>
    <row r="15735">
      <c r="A15735" s="16" t="s">
        <v>87</v>
      </c>
      <c r="E15735" s="16" t="str">
        <f>IFERROR(__xludf.DUMMYFUNCTION("""COMPUTED_VALUE"""),"")</f>
        <v/>
      </c>
      <c r="G15735" s="18"/>
      <c r="H15735" s="16" t="s">
        <v>87</v>
      </c>
      <c r="I15735" s="16" t="s">
        <v>87</v>
      </c>
      <c r="J15735" s="19"/>
      <c r="L15735" s="16" t="str">
        <f>IFERROR(__xludf.DUMMYFUNCTION("""COMPUTED_VALUE"""),"")</f>
        <v/>
      </c>
      <c r="M15735" s="16" t="str">
        <f>IFERROR(__xludf.DUMMYFUNCTION("""COMPUTED_VALUE"""),"")</f>
        <v/>
      </c>
      <c r="U15735" s="16" t="s">
        <v>87</v>
      </c>
      <c r="V15735" s="16" t="str">
        <f>IFERROR(__xludf.DUMMYFUNCTION("""COMPUTED_VALUE"""),"")</f>
        <v/>
      </c>
      <c r="W15735" s="16" t="str">
        <f>IFERROR(__xludf.DUMMYFUNCTION("""COMPUTED_VALUE"""),"")</f>
        <v/>
      </c>
      <c r="X15735" s="16" t="str">
        <f>IFERROR(__xludf.DUMMYFUNCTION("""COMPUTED_VALUE"""),"")</f>
        <v/>
      </c>
      <c r="AC15735" s="16" t="str">
        <f>IFERROR(__xludf.DUMMYFUNCTION("""COMPUTED_VALUE"""),"")</f>
        <v/>
      </c>
    </row>
    <row r="15736">
      <c r="A15736" s="16" t="s">
        <v>87</v>
      </c>
      <c r="E15736" s="16" t="str">
        <f>IFERROR(__xludf.DUMMYFUNCTION("""COMPUTED_VALUE"""),"")</f>
        <v/>
      </c>
      <c r="G15736" s="18"/>
      <c r="H15736" s="16" t="s">
        <v>87</v>
      </c>
      <c r="I15736" s="16" t="s">
        <v>87</v>
      </c>
      <c r="J15736" s="19"/>
      <c r="L15736" s="16" t="str">
        <f>IFERROR(__xludf.DUMMYFUNCTION("""COMPUTED_VALUE"""),"")</f>
        <v/>
      </c>
      <c r="M15736" s="16" t="str">
        <f>IFERROR(__xludf.DUMMYFUNCTION("""COMPUTED_VALUE"""),"")</f>
        <v/>
      </c>
      <c r="U15736" s="16" t="s">
        <v>87</v>
      </c>
      <c r="V15736" s="16" t="str">
        <f>IFERROR(__xludf.DUMMYFUNCTION("""COMPUTED_VALUE"""),"")</f>
        <v/>
      </c>
      <c r="W15736" s="16" t="str">
        <f>IFERROR(__xludf.DUMMYFUNCTION("""COMPUTED_VALUE"""),"")</f>
        <v/>
      </c>
      <c r="X15736" s="16" t="str">
        <f>IFERROR(__xludf.DUMMYFUNCTION("""COMPUTED_VALUE"""),"")</f>
        <v/>
      </c>
      <c r="AC15736" s="16" t="str">
        <f>IFERROR(__xludf.DUMMYFUNCTION("""COMPUTED_VALUE"""),"")</f>
        <v/>
      </c>
    </row>
    <row r="15737">
      <c r="A15737" s="16" t="s">
        <v>87</v>
      </c>
      <c r="E15737" s="16" t="str">
        <f>IFERROR(__xludf.DUMMYFUNCTION("""COMPUTED_VALUE"""),"")</f>
        <v/>
      </c>
      <c r="G15737" s="18"/>
      <c r="H15737" s="16" t="s">
        <v>87</v>
      </c>
      <c r="I15737" s="16" t="s">
        <v>87</v>
      </c>
      <c r="J15737" s="19"/>
      <c r="L15737" s="16" t="str">
        <f>IFERROR(__xludf.DUMMYFUNCTION("""COMPUTED_VALUE"""),"")</f>
        <v/>
      </c>
      <c r="M15737" s="16" t="str">
        <f>IFERROR(__xludf.DUMMYFUNCTION("""COMPUTED_VALUE"""),"")</f>
        <v/>
      </c>
      <c r="U15737" s="16" t="s">
        <v>87</v>
      </c>
      <c r="V15737" s="16" t="str">
        <f>IFERROR(__xludf.DUMMYFUNCTION("""COMPUTED_VALUE"""),"")</f>
        <v/>
      </c>
      <c r="W15737" s="16" t="str">
        <f>IFERROR(__xludf.DUMMYFUNCTION("""COMPUTED_VALUE"""),"")</f>
        <v/>
      </c>
      <c r="X15737" s="16" t="str">
        <f>IFERROR(__xludf.DUMMYFUNCTION("""COMPUTED_VALUE"""),"")</f>
        <v/>
      </c>
      <c r="AC15737" s="16" t="str">
        <f>IFERROR(__xludf.DUMMYFUNCTION("""COMPUTED_VALUE"""),"")</f>
        <v/>
      </c>
    </row>
    <row r="15738">
      <c r="A15738" s="16" t="s">
        <v>87</v>
      </c>
      <c r="E15738" s="16" t="str">
        <f>IFERROR(__xludf.DUMMYFUNCTION("""COMPUTED_VALUE"""),"")</f>
        <v/>
      </c>
      <c r="G15738" s="18"/>
      <c r="H15738" s="16" t="s">
        <v>87</v>
      </c>
      <c r="I15738" s="16" t="s">
        <v>87</v>
      </c>
      <c r="J15738" s="19"/>
      <c r="L15738" s="16" t="str">
        <f>IFERROR(__xludf.DUMMYFUNCTION("""COMPUTED_VALUE"""),"")</f>
        <v/>
      </c>
      <c r="M15738" s="16" t="str">
        <f>IFERROR(__xludf.DUMMYFUNCTION("""COMPUTED_VALUE"""),"")</f>
        <v/>
      </c>
      <c r="U15738" s="16" t="s">
        <v>87</v>
      </c>
      <c r="V15738" s="16" t="str">
        <f>IFERROR(__xludf.DUMMYFUNCTION("""COMPUTED_VALUE"""),"")</f>
        <v/>
      </c>
      <c r="W15738" s="16" t="str">
        <f>IFERROR(__xludf.DUMMYFUNCTION("""COMPUTED_VALUE"""),"")</f>
        <v/>
      </c>
      <c r="X15738" s="16" t="str">
        <f>IFERROR(__xludf.DUMMYFUNCTION("""COMPUTED_VALUE"""),"")</f>
        <v/>
      </c>
      <c r="AC15738" s="16" t="str">
        <f>IFERROR(__xludf.DUMMYFUNCTION("""COMPUTED_VALUE"""),"")</f>
        <v/>
      </c>
    </row>
    <row r="15739">
      <c r="A15739" s="16" t="s">
        <v>87</v>
      </c>
      <c r="E15739" s="16" t="str">
        <f>IFERROR(__xludf.DUMMYFUNCTION("""COMPUTED_VALUE"""),"")</f>
        <v/>
      </c>
      <c r="G15739" s="18"/>
      <c r="H15739" s="16" t="s">
        <v>87</v>
      </c>
      <c r="I15739" s="16" t="s">
        <v>87</v>
      </c>
      <c r="J15739" s="19"/>
      <c r="L15739" s="16" t="str">
        <f>IFERROR(__xludf.DUMMYFUNCTION("""COMPUTED_VALUE"""),"")</f>
        <v/>
      </c>
      <c r="M15739" s="16" t="str">
        <f>IFERROR(__xludf.DUMMYFUNCTION("""COMPUTED_VALUE"""),"")</f>
        <v/>
      </c>
      <c r="U15739" s="16" t="s">
        <v>87</v>
      </c>
      <c r="V15739" s="16" t="str">
        <f>IFERROR(__xludf.DUMMYFUNCTION("""COMPUTED_VALUE"""),"")</f>
        <v/>
      </c>
      <c r="W15739" s="16" t="str">
        <f>IFERROR(__xludf.DUMMYFUNCTION("""COMPUTED_VALUE"""),"")</f>
        <v/>
      </c>
      <c r="X15739" s="16" t="str">
        <f>IFERROR(__xludf.DUMMYFUNCTION("""COMPUTED_VALUE"""),"")</f>
        <v/>
      </c>
      <c r="AC15739" s="16" t="str">
        <f>IFERROR(__xludf.DUMMYFUNCTION("""COMPUTED_VALUE"""),"")</f>
        <v/>
      </c>
    </row>
    <row r="15740">
      <c r="A15740" s="16" t="s">
        <v>87</v>
      </c>
      <c r="E15740" s="16" t="str">
        <f>IFERROR(__xludf.DUMMYFUNCTION("""COMPUTED_VALUE"""),"")</f>
        <v/>
      </c>
      <c r="G15740" s="18"/>
      <c r="H15740" s="16" t="s">
        <v>87</v>
      </c>
      <c r="I15740" s="16" t="s">
        <v>87</v>
      </c>
      <c r="J15740" s="19"/>
      <c r="L15740" s="16" t="str">
        <f>IFERROR(__xludf.DUMMYFUNCTION("""COMPUTED_VALUE"""),"")</f>
        <v/>
      </c>
      <c r="M15740" s="16" t="str">
        <f>IFERROR(__xludf.DUMMYFUNCTION("""COMPUTED_VALUE"""),"")</f>
        <v/>
      </c>
      <c r="U15740" s="16" t="s">
        <v>87</v>
      </c>
      <c r="V15740" s="16" t="str">
        <f>IFERROR(__xludf.DUMMYFUNCTION("""COMPUTED_VALUE"""),"")</f>
        <v/>
      </c>
      <c r="W15740" s="16" t="str">
        <f>IFERROR(__xludf.DUMMYFUNCTION("""COMPUTED_VALUE"""),"")</f>
        <v/>
      </c>
      <c r="X15740" s="16" t="str">
        <f>IFERROR(__xludf.DUMMYFUNCTION("""COMPUTED_VALUE"""),"")</f>
        <v/>
      </c>
      <c r="AC15740" s="16" t="str">
        <f>IFERROR(__xludf.DUMMYFUNCTION("""COMPUTED_VALUE"""),"")</f>
        <v/>
      </c>
    </row>
    <row r="15741">
      <c r="A15741" s="16" t="s">
        <v>87</v>
      </c>
      <c r="E15741" s="16" t="str">
        <f>IFERROR(__xludf.DUMMYFUNCTION("""COMPUTED_VALUE"""),"")</f>
        <v/>
      </c>
      <c r="G15741" s="18"/>
      <c r="H15741" s="16" t="s">
        <v>87</v>
      </c>
      <c r="I15741" s="16" t="s">
        <v>87</v>
      </c>
      <c r="J15741" s="19"/>
      <c r="L15741" s="16" t="str">
        <f>IFERROR(__xludf.DUMMYFUNCTION("""COMPUTED_VALUE"""),"")</f>
        <v/>
      </c>
      <c r="M15741" s="16" t="str">
        <f>IFERROR(__xludf.DUMMYFUNCTION("""COMPUTED_VALUE"""),"")</f>
        <v/>
      </c>
      <c r="U15741" s="16" t="s">
        <v>87</v>
      </c>
      <c r="V15741" s="16" t="str">
        <f>IFERROR(__xludf.DUMMYFUNCTION("""COMPUTED_VALUE"""),"")</f>
        <v/>
      </c>
      <c r="W15741" s="16" t="str">
        <f>IFERROR(__xludf.DUMMYFUNCTION("""COMPUTED_VALUE"""),"")</f>
        <v/>
      </c>
      <c r="X15741" s="16" t="str">
        <f>IFERROR(__xludf.DUMMYFUNCTION("""COMPUTED_VALUE"""),"")</f>
        <v/>
      </c>
      <c r="AC15741" s="16" t="str">
        <f>IFERROR(__xludf.DUMMYFUNCTION("""COMPUTED_VALUE"""),"")</f>
        <v/>
      </c>
    </row>
    <row r="15742">
      <c r="A15742" s="16" t="s">
        <v>87</v>
      </c>
      <c r="E15742" s="16" t="str">
        <f>IFERROR(__xludf.DUMMYFUNCTION("""COMPUTED_VALUE"""),"")</f>
        <v/>
      </c>
      <c r="G15742" s="18"/>
      <c r="H15742" s="16" t="s">
        <v>87</v>
      </c>
      <c r="I15742" s="16" t="s">
        <v>87</v>
      </c>
      <c r="J15742" s="19"/>
      <c r="L15742" s="16" t="str">
        <f>IFERROR(__xludf.DUMMYFUNCTION("""COMPUTED_VALUE"""),"")</f>
        <v/>
      </c>
      <c r="M15742" s="16" t="str">
        <f>IFERROR(__xludf.DUMMYFUNCTION("""COMPUTED_VALUE"""),"")</f>
        <v/>
      </c>
      <c r="U15742" s="16" t="s">
        <v>87</v>
      </c>
      <c r="V15742" s="16" t="str">
        <f>IFERROR(__xludf.DUMMYFUNCTION("""COMPUTED_VALUE"""),"")</f>
        <v/>
      </c>
      <c r="W15742" s="16" t="str">
        <f>IFERROR(__xludf.DUMMYFUNCTION("""COMPUTED_VALUE"""),"")</f>
        <v/>
      </c>
      <c r="X15742" s="16" t="str">
        <f>IFERROR(__xludf.DUMMYFUNCTION("""COMPUTED_VALUE"""),"")</f>
        <v/>
      </c>
      <c r="AC15742" s="16" t="str">
        <f>IFERROR(__xludf.DUMMYFUNCTION("""COMPUTED_VALUE"""),"")</f>
        <v/>
      </c>
    </row>
    <row r="15743">
      <c r="A15743" s="16" t="s">
        <v>87</v>
      </c>
      <c r="E15743" s="16" t="str">
        <f>IFERROR(__xludf.DUMMYFUNCTION("""COMPUTED_VALUE"""),"")</f>
        <v/>
      </c>
      <c r="G15743" s="18"/>
      <c r="H15743" s="16" t="s">
        <v>87</v>
      </c>
      <c r="I15743" s="16" t="s">
        <v>87</v>
      </c>
      <c r="J15743" s="19"/>
      <c r="L15743" s="16" t="str">
        <f>IFERROR(__xludf.DUMMYFUNCTION("""COMPUTED_VALUE"""),"")</f>
        <v/>
      </c>
      <c r="M15743" s="16" t="str">
        <f>IFERROR(__xludf.DUMMYFUNCTION("""COMPUTED_VALUE"""),"")</f>
        <v/>
      </c>
      <c r="U15743" s="16" t="s">
        <v>87</v>
      </c>
      <c r="V15743" s="16" t="str">
        <f>IFERROR(__xludf.DUMMYFUNCTION("""COMPUTED_VALUE"""),"")</f>
        <v/>
      </c>
      <c r="W15743" s="16" t="str">
        <f>IFERROR(__xludf.DUMMYFUNCTION("""COMPUTED_VALUE"""),"")</f>
        <v/>
      </c>
      <c r="X15743" s="16" t="str">
        <f>IFERROR(__xludf.DUMMYFUNCTION("""COMPUTED_VALUE"""),"")</f>
        <v/>
      </c>
      <c r="AC15743" s="16" t="str">
        <f>IFERROR(__xludf.DUMMYFUNCTION("""COMPUTED_VALUE"""),"")</f>
        <v/>
      </c>
    </row>
    <row r="15744">
      <c r="A15744" s="16" t="s">
        <v>87</v>
      </c>
      <c r="E15744" s="16" t="str">
        <f>IFERROR(__xludf.DUMMYFUNCTION("""COMPUTED_VALUE"""),"")</f>
        <v/>
      </c>
      <c r="G15744" s="18"/>
      <c r="H15744" s="16" t="s">
        <v>87</v>
      </c>
      <c r="I15744" s="16" t="s">
        <v>87</v>
      </c>
      <c r="J15744" s="19"/>
      <c r="L15744" s="16" t="str">
        <f>IFERROR(__xludf.DUMMYFUNCTION("""COMPUTED_VALUE"""),"")</f>
        <v/>
      </c>
      <c r="M15744" s="16" t="str">
        <f>IFERROR(__xludf.DUMMYFUNCTION("""COMPUTED_VALUE"""),"")</f>
        <v/>
      </c>
      <c r="U15744" s="16" t="s">
        <v>87</v>
      </c>
      <c r="V15744" s="16" t="str">
        <f>IFERROR(__xludf.DUMMYFUNCTION("""COMPUTED_VALUE"""),"")</f>
        <v/>
      </c>
      <c r="W15744" s="16" t="str">
        <f>IFERROR(__xludf.DUMMYFUNCTION("""COMPUTED_VALUE"""),"")</f>
        <v/>
      </c>
      <c r="X15744" s="16" t="str">
        <f>IFERROR(__xludf.DUMMYFUNCTION("""COMPUTED_VALUE"""),"")</f>
        <v/>
      </c>
      <c r="AC15744" s="16" t="str">
        <f>IFERROR(__xludf.DUMMYFUNCTION("""COMPUTED_VALUE"""),"")</f>
        <v/>
      </c>
    </row>
    <row r="15745">
      <c r="A15745" s="16" t="s">
        <v>87</v>
      </c>
      <c r="E15745" s="16" t="str">
        <f>IFERROR(__xludf.DUMMYFUNCTION("""COMPUTED_VALUE"""),"")</f>
        <v/>
      </c>
      <c r="G15745" s="18"/>
      <c r="H15745" s="16" t="s">
        <v>87</v>
      </c>
      <c r="I15745" s="16" t="s">
        <v>87</v>
      </c>
      <c r="J15745" s="19"/>
      <c r="L15745" s="16" t="str">
        <f>IFERROR(__xludf.DUMMYFUNCTION("""COMPUTED_VALUE"""),"")</f>
        <v/>
      </c>
      <c r="M15745" s="16" t="str">
        <f>IFERROR(__xludf.DUMMYFUNCTION("""COMPUTED_VALUE"""),"")</f>
        <v/>
      </c>
      <c r="U15745" s="16" t="s">
        <v>87</v>
      </c>
      <c r="V15745" s="16" t="str">
        <f>IFERROR(__xludf.DUMMYFUNCTION("""COMPUTED_VALUE"""),"")</f>
        <v/>
      </c>
      <c r="W15745" s="16" t="str">
        <f>IFERROR(__xludf.DUMMYFUNCTION("""COMPUTED_VALUE"""),"")</f>
        <v/>
      </c>
      <c r="X15745" s="16" t="str">
        <f>IFERROR(__xludf.DUMMYFUNCTION("""COMPUTED_VALUE"""),"")</f>
        <v/>
      </c>
      <c r="AC15745" s="16" t="str">
        <f>IFERROR(__xludf.DUMMYFUNCTION("""COMPUTED_VALUE"""),"")</f>
        <v/>
      </c>
    </row>
    <row r="15746">
      <c r="A15746" s="16" t="s">
        <v>87</v>
      </c>
      <c r="E15746" s="16" t="str">
        <f>IFERROR(__xludf.DUMMYFUNCTION("""COMPUTED_VALUE"""),"")</f>
        <v/>
      </c>
      <c r="G15746" s="18"/>
      <c r="H15746" s="16" t="s">
        <v>87</v>
      </c>
      <c r="I15746" s="16" t="s">
        <v>87</v>
      </c>
      <c r="J15746" s="19"/>
      <c r="L15746" s="16" t="str">
        <f>IFERROR(__xludf.DUMMYFUNCTION("""COMPUTED_VALUE"""),"")</f>
        <v/>
      </c>
      <c r="M15746" s="16" t="str">
        <f>IFERROR(__xludf.DUMMYFUNCTION("""COMPUTED_VALUE"""),"")</f>
        <v/>
      </c>
      <c r="U15746" s="16" t="s">
        <v>87</v>
      </c>
      <c r="V15746" s="16" t="str">
        <f>IFERROR(__xludf.DUMMYFUNCTION("""COMPUTED_VALUE"""),"")</f>
        <v/>
      </c>
      <c r="W15746" s="16" t="str">
        <f>IFERROR(__xludf.DUMMYFUNCTION("""COMPUTED_VALUE"""),"")</f>
        <v/>
      </c>
      <c r="X15746" s="16" t="str">
        <f>IFERROR(__xludf.DUMMYFUNCTION("""COMPUTED_VALUE"""),"")</f>
        <v/>
      </c>
      <c r="AC15746" s="16" t="str">
        <f>IFERROR(__xludf.DUMMYFUNCTION("""COMPUTED_VALUE"""),"")</f>
        <v/>
      </c>
    </row>
    <row r="15747">
      <c r="A15747" s="16" t="s">
        <v>87</v>
      </c>
      <c r="E15747" s="16" t="str">
        <f>IFERROR(__xludf.DUMMYFUNCTION("""COMPUTED_VALUE"""),"")</f>
        <v/>
      </c>
      <c r="G15747" s="18"/>
      <c r="H15747" s="16" t="s">
        <v>87</v>
      </c>
      <c r="I15747" s="16" t="s">
        <v>87</v>
      </c>
      <c r="J15747" s="19"/>
      <c r="L15747" s="16" t="str">
        <f>IFERROR(__xludf.DUMMYFUNCTION("""COMPUTED_VALUE"""),"")</f>
        <v/>
      </c>
      <c r="M15747" s="16" t="str">
        <f>IFERROR(__xludf.DUMMYFUNCTION("""COMPUTED_VALUE"""),"")</f>
        <v/>
      </c>
      <c r="U15747" s="16" t="s">
        <v>87</v>
      </c>
      <c r="V15747" s="16" t="str">
        <f>IFERROR(__xludf.DUMMYFUNCTION("""COMPUTED_VALUE"""),"")</f>
        <v/>
      </c>
      <c r="W15747" s="16" t="str">
        <f>IFERROR(__xludf.DUMMYFUNCTION("""COMPUTED_VALUE"""),"")</f>
        <v/>
      </c>
      <c r="X15747" s="16" t="str">
        <f>IFERROR(__xludf.DUMMYFUNCTION("""COMPUTED_VALUE"""),"")</f>
        <v/>
      </c>
      <c r="AC15747" s="16" t="str">
        <f>IFERROR(__xludf.DUMMYFUNCTION("""COMPUTED_VALUE"""),"")</f>
        <v/>
      </c>
    </row>
    <row r="15748">
      <c r="A15748" s="16" t="s">
        <v>87</v>
      </c>
      <c r="E15748" s="16" t="str">
        <f>IFERROR(__xludf.DUMMYFUNCTION("""COMPUTED_VALUE"""),"")</f>
        <v/>
      </c>
      <c r="G15748" s="18"/>
      <c r="H15748" s="16" t="s">
        <v>87</v>
      </c>
      <c r="I15748" s="16" t="s">
        <v>87</v>
      </c>
      <c r="J15748" s="19"/>
      <c r="L15748" s="16" t="str">
        <f>IFERROR(__xludf.DUMMYFUNCTION("""COMPUTED_VALUE"""),"")</f>
        <v/>
      </c>
      <c r="M15748" s="16" t="str">
        <f>IFERROR(__xludf.DUMMYFUNCTION("""COMPUTED_VALUE"""),"")</f>
        <v/>
      </c>
      <c r="U15748" s="16" t="s">
        <v>87</v>
      </c>
      <c r="V15748" s="16" t="str">
        <f>IFERROR(__xludf.DUMMYFUNCTION("""COMPUTED_VALUE"""),"")</f>
        <v/>
      </c>
      <c r="W15748" s="16" t="str">
        <f>IFERROR(__xludf.DUMMYFUNCTION("""COMPUTED_VALUE"""),"")</f>
        <v/>
      </c>
      <c r="X15748" s="16" t="str">
        <f>IFERROR(__xludf.DUMMYFUNCTION("""COMPUTED_VALUE"""),"")</f>
        <v/>
      </c>
      <c r="AC15748" s="16" t="str">
        <f>IFERROR(__xludf.DUMMYFUNCTION("""COMPUTED_VALUE"""),"")</f>
        <v/>
      </c>
    </row>
    <row r="15749">
      <c r="A15749" s="16" t="s">
        <v>87</v>
      </c>
      <c r="E15749" s="16" t="str">
        <f>IFERROR(__xludf.DUMMYFUNCTION("""COMPUTED_VALUE"""),"")</f>
        <v/>
      </c>
      <c r="G15749" s="18"/>
      <c r="H15749" s="16" t="s">
        <v>87</v>
      </c>
      <c r="I15749" s="16" t="s">
        <v>87</v>
      </c>
      <c r="J15749" s="19"/>
      <c r="L15749" s="16" t="str">
        <f>IFERROR(__xludf.DUMMYFUNCTION("""COMPUTED_VALUE"""),"")</f>
        <v/>
      </c>
      <c r="M15749" s="16" t="str">
        <f>IFERROR(__xludf.DUMMYFUNCTION("""COMPUTED_VALUE"""),"")</f>
        <v/>
      </c>
      <c r="U15749" s="16" t="s">
        <v>87</v>
      </c>
      <c r="V15749" s="16" t="str">
        <f>IFERROR(__xludf.DUMMYFUNCTION("""COMPUTED_VALUE"""),"")</f>
        <v/>
      </c>
      <c r="W15749" s="16" t="str">
        <f>IFERROR(__xludf.DUMMYFUNCTION("""COMPUTED_VALUE"""),"")</f>
        <v/>
      </c>
      <c r="X15749" s="16" t="str">
        <f>IFERROR(__xludf.DUMMYFUNCTION("""COMPUTED_VALUE"""),"")</f>
        <v/>
      </c>
      <c r="AC15749" s="16" t="str">
        <f>IFERROR(__xludf.DUMMYFUNCTION("""COMPUTED_VALUE"""),"")</f>
        <v/>
      </c>
    </row>
    <row r="15750">
      <c r="A15750" s="16" t="s">
        <v>87</v>
      </c>
      <c r="E15750" s="16" t="str">
        <f>IFERROR(__xludf.DUMMYFUNCTION("""COMPUTED_VALUE"""),"")</f>
        <v/>
      </c>
      <c r="G15750" s="18"/>
      <c r="H15750" s="16" t="s">
        <v>87</v>
      </c>
      <c r="I15750" s="16" t="s">
        <v>87</v>
      </c>
      <c r="J15750" s="19"/>
      <c r="L15750" s="16" t="str">
        <f>IFERROR(__xludf.DUMMYFUNCTION("""COMPUTED_VALUE"""),"")</f>
        <v/>
      </c>
      <c r="M15750" s="16" t="str">
        <f>IFERROR(__xludf.DUMMYFUNCTION("""COMPUTED_VALUE"""),"")</f>
        <v/>
      </c>
      <c r="U15750" s="16" t="s">
        <v>87</v>
      </c>
      <c r="V15750" s="16" t="str">
        <f>IFERROR(__xludf.DUMMYFUNCTION("""COMPUTED_VALUE"""),"")</f>
        <v/>
      </c>
      <c r="W15750" s="16" t="str">
        <f>IFERROR(__xludf.DUMMYFUNCTION("""COMPUTED_VALUE"""),"")</f>
        <v/>
      </c>
      <c r="X15750" s="16" t="str">
        <f>IFERROR(__xludf.DUMMYFUNCTION("""COMPUTED_VALUE"""),"")</f>
        <v/>
      </c>
      <c r="AC15750" s="16" t="str">
        <f>IFERROR(__xludf.DUMMYFUNCTION("""COMPUTED_VALUE"""),"")</f>
        <v/>
      </c>
    </row>
    <row r="15751">
      <c r="A15751" s="16" t="s">
        <v>87</v>
      </c>
      <c r="E15751" s="16" t="str">
        <f>IFERROR(__xludf.DUMMYFUNCTION("""COMPUTED_VALUE"""),"")</f>
        <v/>
      </c>
      <c r="G15751" s="18"/>
      <c r="H15751" s="16" t="s">
        <v>87</v>
      </c>
      <c r="I15751" s="16" t="s">
        <v>87</v>
      </c>
      <c r="J15751" s="19"/>
      <c r="L15751" s="16" t="str">
        <f>IFERROR(__xludf.DUMMYFUNCTION("""COMPUTED_VALUE"""),"")</f>
        <v/>
      </c>
      <c r="M15751" s="16" t="str">
        <f>IFERROR(__xludf.DUMMYFUNCTION("""COMPUTED_VALUE"""),"")</f>
        <v/>
      </c>
      <c r="U15751" s="16" t="s">
        <v>87</v>
      </c>
      <c r="V15751" s="16" t="str">
        <f>IFERROR(__xludf.DUMMYFUNCTION("""COMPUTED_VALUE"""),"")</f>
        <v/>
      </c>
      <c r="W15751" s="16" t="str">
        <f>IFERROR(__xludf.DUMMYFUNCTION("""COMPUTED_VALUE"""),"")</f>
        <v/>
      </c>
      <c r="X15751" s="16" t="str">
        <f>IFERROR(__xludf.DUMMYFUNCTION("""COMPUTED_VALUE"""),"")</f>
        <v/>
      </c>
      <c r="AC15751" s="16" t="str">
        <f>IFERROR(__xludf.DUMMYFUNCTION("""COMPUTED_VALUE"""),"")</f>
        <v/>
      </c>
    </row>
    <row r="15752">
      <c r="A15752" s="16" t="s">
        <v>87</v>
      </c>
      <c r="E15752" s="16" t="str">
        <f>IFERROR(__xludf.DUMMYFUNCTION("""COMPUTED_VALUE"""),"")</f>
        <v/>
      </c>
      <c r="G15752" s="18"/>
      <c r="H15752" s="16" t="s">
        <v>87</v>
      </c>
      <c r="I15752" s="16" t="s">
        <v>87</v>
      </c>
      <c r="J15752" s="19"/>
      <c r="L15752" s="16" t="str">
        <f>IFERROR(__xludf.DUMMYFUNCTION("""COMPUTED_VALUE"""),"")</f>
        <v/>
      </c>
      <c r="M15752" s="16" t="str">
        <f>IFERROR(__xludf.DUMMYFUNCTION("""COMPUTED_VALUE"""),"")</f>
        <v/>
      </c>
      <c r="U15752" s="16" t="s">
        <v>87</v>
      </c>
      <c r="V15752" s="16" t="str">
        <f>IFERROR(__xludf.DUMMYFUNCTION("""COMPUTED_VALUE"""),"")</f>
        <v/>
      </c>
      <c r="W15752" s="16" t="str">
        <f>IFERROR(__xludf.DUMMYFUNCTION("""COMPUTED_VALUE"""),"")</f>
        <v/>
      </c>
      <c r="X15752" s="16" t="str">
        <f>IFERROR(__xludf.DUMMYFUNCTION("""COMPUTED_VALUE"""),"")</f>
        <v/>
      </c>
      <c r="AC15752" s="16" t="str">
        <f>IFERROR(__xludf.DUMMYFUNCTION("""COMPUTED_VALUE"""),"")</f>
        <v/>
      </c>
    </row>
    <row r="15753">
      <c r="A15753" s="16" t="s">
        <v>87</v>
      </c>
      <c r="E15753" s="16" t="str">
        <f>IFERROR(__xludf.DUMMYFUNCTION("""COMPUTED_VALUE"""),"")</f>
        <v/>
      </c>
      <c r="G15753" s="18"/>
      <c r="H15753" s="16" t="s">
        <v>87</v>
      </c>
      <c r="I15753" s="16" t="s">
        <v>87</v>
      </c>
      <c r="J15753" s="19"/>
      <c r="L15753" s="16" t="str">
        <f>IFERROR(__xludf.DUMMYFUNCTION("""COMPUTED_VALUE"""),"")</f>
        <v/>
      </c>
      <c r="M15753" s="16" t="str">
        <f>IFERROR(__xludf.DUMMYFUNCTION("""COMPUTED_VALUE"""),"")</f>
        <v/>
      </c>
      <c r="U15753" s="16" t="s">
        <v>87</v>
      </c>
      <c r="V15753" s="16" t="str">
        <f>IFERROR(__xludf.DUMMYFUNCTION("""COMPUTED_VALUE"""),"")</f>
        <v/>
      </c>
      <c r="W15753" s="16" t="str">
        <f>IFERROR(__xludf.DUMMYFUNCTION("""COMPUTED_VALUE"""),"")</f>
        <v/>
      </c>
      <c r="X15753" s="16" t="str">
        <f>IFERROR(__xludf.DUMMYFUNCTION("""COMPUTED_VALUE"""),"")</f>
        <v/>
      </c>
      <c r="AC15753" s="16" t="str">
        <f>IFERROR(__xludf.DUMMYFUNCTION("""COMPUTED_VALUE"""),"")</f>
        <v/>
      </c>
    </row>
    <row r="15754">
      <c r="A15754" s="16" t="s">
        <v>87</v>
      </c>
      <c r="E15754" s="16" t="str">
        <f>IFERROR(__xludf.DUMMYFUNCTION("""COMPUTED_VALUE"""),"")</f>
        <v/>
      </c>
      <c r="G15754" s="18"/>
      <c r="H15754" s="16" t="s">
        <v>87</v>
      </c>
      <c r="I15754" s="16" t="s">
        <v>87</v>
      </c>
      <c r="J15754" s="19"/>
      <c r="L15754" s="16" t="str">
        <f>IFERROR(__xludf.DUMMYFUNCTION("""COMPUTED_VALUE"""),"")</f>
        <v/>
      </c>
      <c r="M15754" s="16" t="str">
        <f>IFERROR(__xludf.DUMMYFUNCTION("""COMPUTED_VALUE"""),"")</f>
        <v/>
      </c>
      <c r="U15754" s="16" t="s">
        <v>87</v>
      </c>
      <c r="V15754" s="16" t="str">
        <f>IFERROR(__xludf.DUMMYFUNCTION("""COMPUTED_VALUE"""),"")</f>
        <v/>
      </c>
      <c r="W15754" s="16" t="str">
        <f>IFERROR(__xludf.DUMMYFUNCTION("""COMPUTED_VALUE"""),"")</f>
        <v/>
      </c>
      <c r="X15754" s="16" t="str">
        <f>IFERROR(__xludf.DUMMYFUNCTION("""COMPUTED_VALUE"""),"")</f>
        <v/>
      </c>
      <c r="AC15754" s="16" t="str">
        <f>IFERROR(__xludf.DUMMYFUNCTION("""COMPUTED_VALUE"""),"")</f>
        <v/>
      </c>
    </row>
    <row r="15755">
      <c r="A15755" s="16" t="s">
        <v>87</v>
      </c>
      <c r="E15755" s="16" t="str">
        <f>IFERROR(__xludf.DUMMYFUNCTION("""COMPUTED_VALUE"""),"")</f>
        <v/>
      </c>
      <c r="G15755" s="18"/>
      <c r="H15755" s="16" t="s">
        <v>87</v>
      </c>
      <c r="I15755" s="16" t="s">
        <v>87</v>
      </c>
      <c r="J15755" s="19"/>
      <c r="L15755" s="16" t="str">
        <f>IFERROR(__xludf.DUMMYFUNCTION("""COMPUTED_VALUE"""),"")</f>
        <v/>
      </c>
      <c r="M15755" s="16" t="str">
        <f>IFERROR(__xludf.DUMMYFUNCTION("""COMPUTED_VALUE"""),"")</f>
        <v/>
      </c>
      <c r="U15755" s="16" t="s">
        <v>87</v>
      </c>
      <c r="V15755" s="16" t="str">
        <f>IFERROR(__xludf.DUMMYFUNCTION("""COMPUTED_VALUE"""),"")</f>
        <v/>
      </c>
      <c r="W15755" s="16" t="str">
        <f>IFERROR(__xludf.DUMMYFUNCTION("""COMPUTED_VALUE"""),"")</f>
        <v/>
      </c>
      <c r="X15755" s="16" t="str">
        <f>IFERROR(__xludf.DUMMYFUNCTION("""COMPUTED_VALUE"""),"")</f>
        <v/>
      </c>
      <c r="AC15755" s="16" t="str">
        <f>IFERROR(__xludf.DUMMYFUNCTION("""COMPUTED_VALUE"""),"")</f>
        <v/>
      </c>
    </row>
    <row r="15756">
      <c r="A15756" s="16" t="s">
        <v>87</v>
      </c>
      <c r="E15756" s="16" t="str">
        <f>IFERROR(__xludf.DUMMYFUNCTION("""COMPUTED_VALUE"""),"")</f>
        <v/>
      </c>
      <c r="G15756" s="18"/>
      <c r="H15756" s="16" t="s">
        <v>87</v>
      </c>
      <c r="I15756" s="16" t="s">
        <v>87</v>
      </c>
      <c r="J15756" s="19"/>
      <c r="L15756" s="16" t="str">
        <f>IFERROR(__xludf.DUMMYFUNCTION("""COMPUTED_VALUE"""),"")</f>
        <v/>
      </c>
      <c r="M15756" s="16" t="str">
        <f>IFERROR(__xludf.DUMMYFUNCTION("""COMPUTED_VALUE"""),"")</f>
        <v/>
      </c>
      <c r="U15756" s="16" t="s">
        <v>87</v>
      </c>
      <c r="V15756" s="16" t="str">
        <f>IFERROR(__xludf.DUMMYFUNCTION("""COMPUTED_VALUE"""),"")</f>
        <v/>
      </c>
      <c r="W15756" s="16" t="str">
        <f>IFERROR(__xludf.DUMMYFUNCTION("""COMPUTED_VALUE"""),"")</f>
        <v/>
      </c>
      <c r="X15756" s="16" t="str">
        <f>IFERROR(__xludf.DUMMYFUNCTION("""COMPUTED_VALUE"""),"")</f>
        <v/>
      </c>
      <c r="AC15756" s="16" t="str">
        <f>IFERROR(__xludf.DUMMYFUNCTION("""COMPUTED_VALUE"""),"")</f>
        <v/>
      </c>
    </row>
    <row r="15757">
      <c r="A15757" s="16" t="s">
        <v>87</v>
      </c>
      <c r="E15757" s="16" t="str">
        <f>IFERROR(__xludf.DUMMYFUNCTION("""COMPUTED_VALUE"""),"")</f>
        <v/>
      </c>
      <c r="G15757" s="18"/>
      <c r="H15757" s="16" t="s">
        <v>87</v>
      </c>
      <c r="I15757" s="16" t="s">
        <v>87</v>
      </c>
      <c r="J15757" s="19"/>
      <c r="L15757" s="16" t="str">
        <f>IFERROR(__xludf.DUMMYFUNCTION("""COMPUTED_VALUE"""),"")</f>
        <v/>
      </c>
      <c r="M15757" s="16" t="str">
        <f>IFERROR(__xludf.DUMMYFUNCTION("""COMPUTED_VALUE"""),"")</f>
        <v/>
      </c>
      <c r="U15757" s="16" t="s">
        <v>87</v>
      </c>
      <c r="V15757" s="16" t="str">
        <f>IFERROR(__xludf.DUMMYFUNCTION("""COMPUTED_VALUE"""),"")</f>
        <v/>
      </c>
      <c r="W15757" s="16" t="str">
        <f>IFERROR(__xludf.DUMMYFUNCTION("""COMPUTED_VALUE"""),"")</f>
        <v/>
      </c>
      <c r="X15757" s="16" t="str">
        <f>IFERROR(__xludf.DUMMYFUNCTION("""COMPUTED_VALUE"""),"")</f>
        <v/>
      </c>
      <c r="AC15757" s="16" t="str">
        <f>IFERROR(__xludf.DUMMYFUNCTION("""COMPUTED_VALUE"""),"")</f>
        <v/>
      </c>
    </row>
    <row r="15758">
      <c r="A15758" s="16" t="s">
        <v>87</v>
      </c>
      <c r="E15758" s="16" t="str">
        <f>IFERROR(__xludf.DUMMYFUNCTION("""COMPUTED_VALUE"""),"")</f>
        <v/>
      </c>
      <c r="G15758" s="18"/>
      <c r="H15758" s="16" t="s">
        <v>87</v>
      </c>
      <c r="I15758" s="16" t="s">
        <v>87</v>
      </c>
      <c r="J15758" s="19"/>
      <c r="L15758" s="16" t="str">
        <f>IFERROR(__xludf.DUMMYFUNCTION("""COMPUTED_VALUE"""),"")</f>
        <v/>
      </c>
      <c r="M15758" s="16" t="str">
        <f>IFERROR(__xludf.DUMMYFUNCTION("""COMPUTED_VALUE"""),"")</f>
        <v/>
      </c>
      <c r="U15758" s="16" t="s">
        <v>87</v>
      </c>
      <c r="V15758" s="16" t="str">
        <f>IFERROR(__xludf.DUMMYFUNCTION("""COMPUTED_VALUE"""),"")</f>
        <v/>
      </c>
      <c r="W15758" s="16" t="str">
        <f>IFERROR(__xludf.DUMMYFUNCTION("""COMPUTED_VALUE"""),"")</f>
        <v/>
      </c>
      <c r="X15758" s="16" t="str">
        <f>IFERROR(__xludf.DUMMYFUNCTION("""COMPUTED_VALUE"""),"")</f>
        <v/>
      </c>
      <c r="AC15758" s="16" t="str">
        <f>IFERROR(__xludf.DUMMYFUNCTION("""COMPUTED_VALUE"""),"")</f>
        <v/>
      </c>
    </row>
    <row r="15759">
      <c r="A15759" s="16" t="s">
        <v>87</v>
      </c>
      <c r="E15759" s="16" t="str">
        <f>IFERROR(__xludf.DUMMYFUNCTION("""COMPUTED_VALUE"""),"")</f>
        <v/>
      </c>
      <c r="G15759" s="18"/>
      <c r="H15759" s="16" t="s">
        <v>87</v>
      </c>
      <c r="I15759" s="16" t="s">
        <v>87</v>
      </c>
      <c r="J15759" s="19"/>
      <c r="L15759" s="16" t="str">
        <f>IFERROR(__xludf.DUMMYFUNCTION("""COMPUTED_VALUE"""),"")</f>
        <v/>
      </c>
      <c r="M15759" s="16" t="str">
        <f>IFERROR(__xludf.DUMMYFUNCTION("""COMPUTED_VALUE"""),"")</f>
        <v/>
      </c>
      <c r="U15759" s="16" t="s">
        <v>87</v>
      </c>
      <c r="V15759" s="16" t="str">
        <f>IFERROR(__xludf.DUMMYFUNCTION("""COMPUTED_VALUE"""),"")</f>
        <v/>
      </c>
      <c r="W15759" s="16" t="str">
        <f>IFERROR(__xludf.DUMMYFUNCTION("""COMPUTED_VALUE"""),"")</f>
        <v/>
      </c>
      <c r="X15759" s="16" t="str">
        <f>IFERROR(__xludf.DUMMYFUNCTION("""COMPUTED_VALUE"""),"")</f>
        <v/>
      </c>
      <c r="AC15759" s="16" t="str">
        <f>IFERROR(__xludf.DUMMYFUNCTION("""COMPUTED_VALUE"""),"")</f>
        <v/>
      </c>
    </row>
    <row r="15760">
      <c r="A15760" s="16" t="s">
        <v>87</v>
      </c>
      <c r="E15760" s="16" t="str">
        <f>IFERROR(__xludf.DUMMYFUNCTION("""COMPUTED_VALUE"""),"")</f>
        <v/>
      </c>
      <c r="G15760" s="18"/>
      <c r="H15760" s="16" t="s">
        <v>87</v>
      </c>
      <c r="I15760" s="16" t="s">
        <v>87</v>
      </c>
      <c r="J15760" s="19"/>
      <c r="L15760" s="16" t="str">
        <f>IFERROR(__xludf.DUMMYFUNCTION("""COMPUTED_VALUE"""),"")</f>
        <v/>
      </c>
      <c r="M15760" s="16" t="str">
        <f>IFERROR(__xludf.DUMMYFUNCTION("""COMPUTED_VALUE"""),"")</f>
        <v/>
      </c>
      <c r="U15760" s="16" t="s">
        <v>87</v>
      </c>
      <c r="V15760" s="16" t="str">
        <f>IFERROR(__xludf.DUMMYFUNCTION("""COMPUTED_VALUE"""),"")</f>
        <v/>
      </c>
      <c r="W15760" s="16" t="str">
        <f>IFERROR(__xludf.DUMMYFUNCTION("""COMPUTED_VALUE"""),"")</f>
        <v/>
      </c>
      <c r="X15760" s="16" t="str">
        <f>IFERROR(__xludf.DUMMYFUNCTION("""COMPUTED_VALUE"""),"")</f>
        <v/>
      </c>
      <c r="AC15760" s="16" t="str">
        <f>IFERROR(__xludf.DUMMYFUNCTION("""COMPUTED_VALUE"""),"")</f>
        <v/>
      </c>
    </row>
    <row r="15761">
      <c r="A15761" s="16" t="s">
        <v>87</v>
      </c>
      <c r="E15761" s="16" t="str">
        <f>IFERROR(__xludf.DUMMYFUNCTION("""COMPUTED_VALUE"""),"")</f>
        <v/>
      </c>
      <c r="G15761" s="18"/>
      <c r="H15761" s="16" t="s">
        <v>87</v>
      </c>
      <c r="I15761" s="16" t="s">
        <v>87</v>
      </c>
      <c r="J15761" s="19"/>
      <c r="L15761" s="16" t="str">
        <f>IFERROR(__xludf.DUMMYFUNCTION("""COMPUTED_VALUE"""),"")</f>
        <v/>
      </c>
      <c r="M15761" s="16" t="str">
        <f>IFERROR(__xludf.DUMMYFUNCTION("""COMPUTED_VALUE"""),"")</f>
        <v/>
      </c>
      <c r="U15761" s="16" t="s">
        <v>87</v>
      </c>
      <c r="V15761" s="16" t="str">
        <f>IFERROR(__xludf.DUMMYFUNCTION("""COMPUTED_VALUE"""),"")</f>
        <v/>
      </c>
      <c r="W15761" s="16" t="str">
        <f>IFERROR(__xludf.DUMMYFUNCTION("""COMPUTED_VALUE"""),"")</f>
        <v/>
      </c>
      <c r="X15761" s="16" t="str">
        <f>IFERROR(__xludf.DUMMYFUNCTION("""COMPUTED_VALUE"""),"")</f>
        <v/>
      </c>
      <c r="AC15761" s="16" t="str">
        <f>IFERROR(__xludf.DUMMYFUNCTION("""COMPUTED_VALUE"""),"")</f>
        <v/>
      </c>
    </row>
    <row r="15762">
      <c r="A15762" s="16" t="s">
        <v>87</v>
      </c>
      <c r="E15762" s="16" t="str">
        <f>IFERROR(__xludf.DUMMYFUNCTION("""COMPUTED_VALUE"""),"")</f>
        <v/>
      </c>
      <c r="G15762" s="18"/>
      <c r="H15762" s="16" t="s">
        <v>87</v>
      </c>
      <c r="I15762" s="16" t="s">
        <v>87</v>
      </c>
      <c r="J15762" s="19"/>
      <c r="L15762" s="16" t="str">
        <f>IFERROR(__xludf.DUMMYFUNCTION("""COMPUTED_VALUE"""),"")</f>
        <v/>
      </c>
      <c r="M15762" s="16" t="str">
        <f>IFERROR(__xludf.DUMMYFUNCTION("""COMPUTED_VALUE"""),"")</f>
        <v/>
      </c>
      <c r="U15762" s="16" t="s">
        <v>87</v>
      </c>
      <c r="V15762" s="16" t="str">
        <f>IFERROR(__xludf.DUMMYFUNCTION("""COMPUTED_VALUE"""),"")</f>
        <v/>
      </c>
      <c r="W15762" s="16" t="str">
        <f>IFERROR(__xludf.DUMMYFUNCTION("""COMPUTED_VALUE"""),"")</f>
        <v/>
      </c>
      <c r="X15762" s="16" t="str">
        <f>IFERROR(__xludf.DUMMYFUNCTION("""COMPUTED_VALUE"""),"")</f>
        <v/>
      </c>
      <c r="AC15762" s="16" t="str">
        <f>IFERROR(__xludf.DUMMYFUNCTION("""COMPUTED_VALUE"""),"")</f>
        <v/>
      </c>
    </row>
    <row r="15763">
      <c r="A15763" s="16" t="s">
        <v>87</v>
      </c>
      <c r="E15763" s="16" t="str">
        <f>IFERROR(__xludf.DUMMYFUNCTION("""COMPUTED_VALUE"""),"")</f>
        <v/>
      </c>
      <c r="G15763" s="18"/>
      <c r="H15763" s="16" t="s">
        <v>87</v>
      </c>
      <c r="I15763" s="16" t="s">
        <v>87</v>
      </c>
      <c r="J15763" s="19"/>
      <c r="L15763" s="16" t="str">
        <f>IFERROR(__xludf.DUMMYFUNCTION("""COMPUTED_VALUE"""),"")</f>
        <v/>
      </c>
      <c r="M15763" s="16" t="str">
        <f>IFERROR(__xludf.DUMMYFUNCTION("""COMPUTED_VALUE"""),"")</f>
        <v/>
      </c>
      <c r="U15763" s="16" t="s">
        <v>87</v>
      </c>
      <c r="V15763" s="16" t="str">
        <f>IFERROR(__xludf.DUMMYFUNCTION("""COMPUTED_VALUE"""),"")</f>
        <v/>
      </c>
      <c r="W15763" s="16" t="str">
        <f>IFERROR(__xludf.DUMMYFUNCTION("""COMPUTED_VALUE"""),"")</f>
        <v/>
      </c>
      <c r="X15763" s="16" t="str">
        <f>IFERROR(__xludf.DUMMYFUNCTION("""COMPUTED_VALUE"""),"")</f>
        <v/>
      </c>
      <c r="AC15763" s="16" t="str">
        <f>IFERROR(__xludf.DUMMYFUNCTION("""COMPUTED_VALUE"""),"")</f>
        <v/>
      </c>
    </row>
    <row r="15764">
      <c r="A15764" s="16" t="s">
        <v>87</v>
      </c>
      <c r="E15764" s="16" t="str">
        <f>IFERROR(__xludf.DUMMYFUNCTION("""COMPUTED_VALUE"""),"")</f>
        <v/>
      </c>
      <c r="G15764" s="18"/>
      <c r="H15764" s="16" t="s">
        <v>87</v>
      </c>
      <c r="I15764" s="16" t="s">
        <v>87</v>
      </c>
      <c r="J15764" s="19"/>
      <c r="L15764" s="16" t="str">
        <f>IFERROR(__xludf.DUMMYFUNCTION("""COMPUTED_VALUE"""),"")</f>
        <v/>
      </c>
      <c r="M15764" s="16" t="str">
        <f>IFERROR(__xludf.DUMMYFUNCTION("""COMPUTED_VALUE"""),"")</f>
        <v/>
      </c>
      <c r="U15764" s="16" t="s">
        <v>87</v>
      </c>
      <c r="V15764" s="16" t="str">
        <f>IFERROR(__xludf.DUMMYFUNCTION("""COMPUTED_VALUE"""),"")</f>
        <v/>
      </c>
      <c r="W15764" s="16" t="str">
        <f>IFERROR(__xludf.DUMMYFUNCTION("""COMPUTED_VALUE"""),"")</f>
        <v/>
      </c>
      <c r="X15764" s="16" t="str">
        <f>IFERROR(__xludf.DUMMYFUNCTION("""COMPUTED_VALUE"""),"")</f>
        <v/>
      </c>
      <c r="AC15764" s="16" t="str">
        <f>IFERROR(__xludf.DUMMYFUNCTION("""COMPUTED_VALUE"""),"")</f>
        <v/>
      </c>
    </row>
    <row r="15765">
      <c r="A15765" s="16" t="s">
        <v>87</v>
      </c>
      <c r="E15765" s="16" t="str">
        <f>IFERROR(__xludf.DUMMYFUNCTION("""COMPUTED_VALUE"""),"")</f>
        <v/>
      </c>
      <c r="G15765" s="18"/>
      <c r="H15765" s="16" t="s">
        <v>87</v>
      </c>
      <c r="I15765" s="16" t="s">
        <v>87</v>
      </c>
      <c r="J15765" s="19"/>
      <c r="L15765" s="16" t="str">
        <f>IFERROR(__xludf.DUMMYFUNCTION("""COMPUTED_VALUE"""),"")</f>
        <v/>
      </c>
      <c r="M15765" s="16" t="str">
        <f>IFERROR(__xludf.DUMMYFUNCTION("""COMPUTED_VALUE"""),"")</f>
        <v/>
      </c>
      <c r="U15765" s="16" t="s">
        <v>87</v>
      </c>
      <c r="V15765" s="16" t="str">
        <f>IFERROR(__xludf.DUMMYFUNCTION("""COMPUTED_VALUE"""),"")</f>
        <v/>
      </c>
      <c r="W15765" s="16" t="str">
        <f>IFERROR(__xludf.DUMMYFUNCTION("""COMPUTED_VALUE"""),"")</f>
        <v/>
      </c>
      <c r="X15765" s="16" t="str">
        <f>IFERROR(__xludf.DUMMYFUNCTION("""COMPUTED_VALUE"""),"")</f>
        <v/>
      </c>
      <c r="AC15765" s="16" t="str">
        <f>IFERROR(__xludf.DUMMYFUNCTION("""COMPUTED_VALUE"""),"")</f>
        <v/>
      </c>
    </row>
    <row r="15766">
      <c r="A15766" s="16" t="s">
        <v>87</v>
      </c>
      <c r="E15766" s="16" t="str">
        <f>IFERROR(__xludf.DUMMYFUNCTION("""COMPUTED_VALUE"""),"")</f>
        <v/>
      </c>
      <c r="G15766" s="18"/>
      <c r="H15766" s="16" t="s">
        <v>87</v>
      </c>
      <c r="I15766" s="16" t="s">
        <v>87</v>
      </c>
      <c r="J15766" s="19"/>
      <c r="L15766" s="16" t="str">
        <f>IFERROR(__xludf.DUMMYFUNCTION("""COMPUTED_VALUE"""),"")</f>
        <v/>
      </c>
      <c r="M15766" s="16" t="str">
        <f>IFERROR(__xludf.DUMMYFUNCTION("""COMPUTED_VALUE"""),"")</f>
        <v/>
      </c>
      <c r="U15766" s="16" t="s">
        <v>87</v>
      </c>
      <c r="V15766" s="16" t="str">
        <f>IFERROR(__xludf.DUMMYFUNCTION("""COMPUTED_VALUE"""),"")</f>
        <v/>
      </c>
      <c r="W15766" s="16" t="str">
        <f>IFERROR(__xludf.DUMMYFUNCTION("""COMPUTED_VALUE"""),"")</f>
        <v/>
      </c>
      <c r="X15766" s="16" t="str">
        <f>IFERROR(__xludf.DUMMYFUNCTION("""COMPUTED_VALUE"""),"")</f>
        <v/>
      </c>
      <c r="AC15766" s="16" t="str">
        <f>IFERROR(__xludf.DUMMYFUNCTION("""COMPUTED_VALUE"""),"")</f>
        <v/>
      </c>
    </row>
    <row r="15767">
      <c r="A15767" s="16" t="s">
        <v>87</v>
      </c>
      <c r="E15767" s="16" t="str">
        <f>IFERROR(__xludf.DUMMYFUNCTION("""COMPUTED_VALUE"""),"")</f>
        <v/>
      </c>
      <c r="G15767" s="18"/>
      <c r="H15767" s="16" t="s">
        <v>87</v>
      </c>
      <c r="I15767" s="16" t="s">
        <v>87</v>
      </c>
      <c r="J15767" s="19"/>
      <c r="L15767" s="16" t="str">
        <f>IFERROR(__xludf.DUMMYFUNCTION("""COMPUTED_VALUE"""),"")</f>
        <v/>
      </c>
      <c r="M15767" s="16" t="str">
        <f>IFERROR(__xludf.DUMMYFUNCTION("""COMPUTED_VALUE"""),"")</f>
        <v/>
      </c>
      <c r="U15767" s="16" t="s">
        <v>87</v>
      </c>
      <c r="V15767" s="16" t="str">
        <f>IFERROR(__xludf.DUMMYFUNCTION("""COMPUTED_VALUE"""),"")</f>
        <v/>
      </c>
      <c r="W15767" s="16" t="str">
        <f>IFERROR(__xludf.DUMMYFUNCTION("""COMPUTED_VALUE"""),"")</f>
        <v/>
      </c>
      <c r="X15767" s="16" t="str">
        <f>IFERROR(__xludf.DUMMYFUNCTION("""COMPUTED_VALUE"""),"")</f>
        <v/>
      </c>
      <c r="AC15767" s="16" t="str">
        <f>IFERROR(__xludf.DUMMYFUNCTION("""COMPUTED_VALUE"""),"")</f>
        <v/>
      </c>
    </row>
    <row r="15768">
      <c r="A15768" s="16" t="s">
        <v>87</v>
      </c>
      <c r="E15768" s="16" t="str">
        <f>IFERROR(__xludf.DUMMYFUNCTION("""COMPUTED_VALUE"""),"")</f>
        <v/>
      </c>
      <c r="G15768" s="18"/>
      <c r="H15768" s="16" t="s">
        <v>87</v>
      </c>
      <c r="I15768" s="16" t="s">
        <v>87</v>
      </c>
      <c r="J15768" s="19"/>
      <c r="L15768" s="16" t="str">
        <f>IFERROR(__xludf.DUMMYFUNCTION("""COMPUTED_VALUE"""),"")</f>
        <v/>
      </c>
      <c r="M15768" s="16" t="str">
        <f>IFERROR(__xludf.DUMMYFUNCTION("""COMPUTED_VALUE"""),"")</f>
        <v/>
      </c>
      <c r="U15768" s="16" t="s">
        <v>87</v>
      </c>
      <c r="V15768" s="16" t="str">
        <f>IFERROR(__xludf.DUMMYFUNCTION("""COMPUTED_VALUE"""),"")</f>
        <v/>
      </c>
      <c r="W15768" s="16" t="str">
        <f>IFERROR(__xludf.DUMMYFUNCTION("""COMPUTED_VALUE"""),"")</f>
        <v/>
      </c>
      <c r="X15768" s="16" t="str">
        <f>IFERROR(__xludf.DUMMYFUNCTION("""COMPUTED_VALUE"""),"")</f>
        <v/>
      </c>
      <c r="AC15768" s="16" t="str">
        <f>IFERROR(__xludf.DUMMYFUNCTION("""COMPUTED_VALUE"""),"")</f>
        <v/>
      </c>
    </row>
    <row r="15769">
      <c r="A15769" s="16" t="s">
        <v>87</v>
      </c>
      <c r="E15769" s="16" t="str">
        <f>IFERROR(__xludf.DUMMYFUNCTION("""COMPUTED_VALUE"""),"")</f>
        <v/>
      </c>
      <c r="G15769" s="18"/>
      <c r="H15769" s="16" t="s">
        <v>87</v>
      </c>
      <c r="I15769" s="16" t="s">
        <v>87</v>
      </c>
      <c r="J15769" s="19"/>
      <c r="L15769" s="16" t="str">
        <f>IFERROR(__xludf.DUMMYFUNCTION("""COMPUTED_VALUE"""),"")</f>
        <v/>
      </c>
      <c r="M15769" s="16" t="str">
        <f>IFERROR(__xludf.DUMMYFUNCTION("""COMPUTED_VALUE"""),"")</f>
        <v/>
      </c>
      <c r="U15769" s="16" t="s">
        <v>87</v>
      </c>
      <c r="V15769" s="16" t="str">
        <f>IFERROR(__xludf.DUMMYFUNCTION("""COMPUTED_VALUE"""),"")</f>
        <v/>
      </c>
      <c r="W15769" s="16" t="str">
        <f>IFERROR(__xludf.DUMMYFUNCTION("""COMPUTED_VALUE"""),"")</f>
        <v/>
      </c>
      <c r="X15769" s="16" t="str">
        <f>IFERROR(__xludf.DUMMYFUNCTION("""COMPUTED_VALUE"""),"")</f>
        <v/>
      </c>
      <c r="AC15769" s="16" t="str">
        <f>IFERROR(__xludf.DUMMYFUNCTION("""COMPUTED_VALUE"""),"")</f>
        <v/>
      </c>
    </row>
    <row r="15770">
      <c r="A15770" s="16" t="s">
        <v>87</v>
      </c>
      <c r="E15770" s="16" t="str">
        <f>IFERROR(__xludf.DUMMYFUNCTION("""COMPUTED_VALUE"""),"")</f>
        <v/>
      </c>
      <c r="G15770" s="18"/>
      <c r="H15770" s="16" t="s">
        <v>87</v>
      </c>
      <c r="I15770" s="16" t="s">
        <v>87</v>
      </c>
      <c r="J15770" s="19"/>
      <c r="L15770" s="16" t="str">
        <f>IFERROR(__xludf.DUMMYFUNCTION("""COMPUTED_VALUE"""),"")</f>
        <v/>
      </c>
      <c r="M15770" s="16" t="str">
        <f>IFERROR(__xludf.DUMMYFUNCTION("""COMPUTED_VALUE"""),"")</f>
        <v/>
      </c>
      <c r="U15770" s="16" t="s">
        <v>87</v>
      </c>
      <c r="V15770" s="16" t="str">
        <f>IFERROR(__xludf.DUMMYFUNCTION("""COMPUTED_VALUE"""),"")</f>
        <v/>
      </c>
      <c r="W15770" s="16" t="str">
        <f>IFERROR(__xludf.DUMMYFUNCTION("""COMPUTED_VALUE"""),"")</f>
        <v/>
      </c>
      <c r="X15770" s="16" t="str">
        <f>IFERROR(__xludf.DUMMYFUNCTION("""COMPUTED_VALUE"""),"")</f>
        <v/>
      </c>
      <c r="AC15770" s="16" t="str">
        <f>IFERROR(__xludf.DUMMYFUNCTION("""COMPUTED_VALUE"""),"")</f>
        <v/>
      </c>
    </row>
    <row r="15771">
      <c r="A15771" s="16" t="s">
        <v>87</v>
      </c>
      <c r="E15771" s="16" t="str">
        <f>IFERROR(__xludf.DUMMYFUNCTION("""COMPUTED_VALUE"""),"")</f>
        <v/>
      </c>
      <c r="G15771" s="18"/>
      <c r="H15771" s="16" t="s">
        <v>87</v>
      </c>
      <c r="I15771" s="16" t="s">
        <v>87</v>
      </c>
      <c r="J15771" s="19"/>
      <c r="L15771" s="16" t="str">
        <f>IFERROR(__xludf.DUMMYFUNCTION("""COMPUTED_VALUE"""),"")</f>
        <v/>
      </c>
      <c r="M15771" s="16" t="str">
        <f>IFERROR(__xludf.DUMMYFUNCTION("""COMPUTED_VALUE"""),"")</f>
        <v/>
      </c>
      <c r="U15771" s="16" t="s">
        <v>87</v>
      </c>
      <c r="V15771" s="16" t="str">
        <f>IFERROR(__xludf.DUMMYFUNCTION("""COMPUTED_VALUE"""),"")</f>
        <v/>
      </c>
      <c r="W15771" s="16" t="str">
        <f>IFERROR(__xludf.DUMMYFUNCTION("""COMPUTED_VALUE"""),"")</f>
        <v/>
      </c>
      <c r="X15771" s="16" t="str">
        <f>IFERROR(__xludf.DUMMYFUNCTION("""COMPUTED_VALUE"""),"")</f>
        <v/>
      </c>
      <c r="AC15771" s="16" t="str">
        <f>IFERROR(__xludf.DUMMYFUNCTION("""COMPUTED_VALUE"""),"")</f>
        <v/>
      </c>
    </row>
    <row r="15772">
      <c r="A15772" s="16" t="s">
        <v>87</v>
      </c>
      <c r="E15772" s="16" t="str">
        <f>IFERROR(__xludf.DUMMYFUNCTION("""COMPUTED_VALUE"""),"")</f>
        <v/>
      </c>
      <c r="G15772" s="18"/>
      <c r="H15772" s="16" t="s">
        <v>87</v>
      </c>
      <c r="I15772" s="16" t="s">
        <v>87</v>
      </c>
      <c r="J15772" s="19"/>
      <c r="L15772" s="16" t="str">
        <f>IFERROR(__xludf.DUMMYFUNCTION("""COMPUTED_VALUE"""),"")</f>
        <v/>
      </c>
      <c r="M15772" s="16" t="str">
        <f>IFERROR(__xludf.DUMMYFUNCTION("""COMPUTED_VALUE"""),"")</f>
        <v/>
      </c>
      <c r="U15772" s="16" t="s">
        <v>87</v>
      </c>
      <c r="V15772" s="16" t="str">
        <f>IFERROR(__xludf.DUMMYFUNCTION("""COMPUTED_VALUE"""),"")</f>
        <v/>
      </c>
      <c r="W15772" s="16" t="str">
        <f>IFERROR(__xludf.DUMMYFUNCTION("""COMPUTED_VALUE"""),"")</f>
        <v/>
      </c>
      <c r="X15772" s="16" t="str">
        <f>IFERROR(__xludf.DUMMYFUNCTION("""COMPUTED_VALUE"""),"")</f>
        <v/>
      </c>
      <c r="AC15772" s="16" t="str">
        <f>IFERROR(__xludf.DUMMYFUNCTION("""COMPUTED_VALUE"""),"")</f>
        <v/>
      </c>
    </row>
    <row r="15773">
      <c r="A15773" s="16" t="s">
        <v>87</v>
      </c>
      <c r="E15773" s="16" t="str">
        <f>IFERROR(__xludf.DUMMYFUNCTION("""COMPUTED_VALUE"""),"")</f>
        <v/>
      </c>
      <c r="G15773" s="18"/>
      <c r="H15773" s="16" t="s">
        <v>87</v>
      </c>
      <c r="I15773" s="16" t="s">
        <v>87</v>
      </c>
      <c r="J15773" s="19"/>
      <c r="L15773" s="16" t="str">
        <f>IFERROR(__xludf.DUMMYFUNCTION("""COMPUTED_VALUE"""),"")</f>
        <v/>
      </c>
      <c r="M15773" s="16" t="str">
        <f>IFERROR(__xludf.DUMMYFUNCTION("""COMPUTED_VALUE"""),"")</f>
        <v/>
      </c>
      <c r="U15773" s="16" t="s">
        <v>87</v>
      </c>
      <c r="V15773" s="16" t="str">
        <f>IFERROR(__xludf.DUMMYFUNCTION("""COMPUTED_VALUE"""),"")</f>
        <v/>
      </c>
      <c r="W15773" s="16" t="str">
        <f>IFERROR(__xludf.DUMMYFUNCTION("""COMPUTED_VALUE"""),"")</f>
        <v/>
      </c>
      <c r="X15773" s="16" t="str">
        <f>IFERROR(__xludf.DUMMYFUNCTION("""COMPUTED_VALUE"""),"")</f>
        <v/>
      </c>
      <c r="AC15773" s="16" t="str">
        <f>IFERROR(__xludf.DUMMYFUNCTION("""COMPUTED_VALUE"""),"")</f>
        <v/>
      </c>
    </row>
    <row r="15774">
      <c r="A15774" s="16" t="s">
        <v>87</v>
      </c>
      <c r="E15774" s="16" t="str">
        <f>IFERROR(__xludf.DUMMYFUNCTION("""COMPUTED_VALUE"""),"")</f>
        <v/>
      </c>
      <c r="G15774" s="18"/>
      <c r="H15774" s="16" t="s">
        <v>87</v>
      </c>
      <c r="I15774" s="16" t="s">
        <v>87</v>
      </c>
      <c r="J15774" s="19"/>
      <c r="L15774" s="16" t="str">
        <f>IFERROR(__xludf.DUMMYFUNCTION("""COMPUTED_VALUE"""),"")</f>
        <v/>
      </c>
      <c r="M15774" s="16" t="str">
        <f>IFERROR(__xludf.DUMMYFUNCTION("""COMPUTED_VALUE"""),"")</f>
        <v/>
      </c>
      <c r="U15774" s="16" t="s">
        <v>87</v>
      </c>
      <c r="V15774" s="16" t="str">
        <f>IFERROR(__xludf.DUMMYFUNCTION("""COMPUTED_VALUE"""),"")</f>
        <v/>
      </c>
      <c r="W15774" s="16" t="str">
        <f>IFERROR(__xludf.DUMMYFUNCTION("""COMPUTED_VALUE"""),"")</f>
        <v/>
      </c>
      <c r="X15774" s="16" t="str">
        <f>IFERROR(__xludf.DUMMYFUNCTION("""COMPUTED_VALUE"""),"")</f>
        <v/>
      </c>
      <c r="AC15774" s="16" t="str">
        <f>IFERROR(__xludf.DUMMYFUNCTION("""COMPUTED_VALUE"""),"")</f>
        <v/>
      </c>
    </row>
    <row r="15775">
      <c r="A15775" s="16" t="s">
        <v>87</v>
      </c>
      <c r="E15775" s="16" t="str">
        <f>IFERROR(__xludf.DUMMYFUNCTION("""COMPUTED_VALUE"""),"")</f>
        <v/>
      </c>
      <c r="G15775" s="18"/>
      <c r="H15775" s="16" t="s">
        <v>87</v>
      </c>
      <c r="I15775" s="16" t="s">
        <v>87</v>
      </c>
      <c r="J15775" s="19"/>
      <c r="L15775" s="16" t="str">
        <f>IFERROR(__xludf.DUMMYFUNCTION("""COMPUTED_VALUE"""),"")</f>
        <v/>
      </c>
      <c r="M15775" s="16" t="str">
        <f>IFERROR(__xludf.DUMMYFUNCTION("""COMPUTED_VALUE"""),"")</f>
        <v/>
      </c>
      <c r="U15775" s="16" t="s">
        <v>87</v>
      </c>
      <c r="V15775" s="16" t="str">
        <f>IFERROR(__xludf.DUMMYFUNCTION("""COMPUTED_VALUE"""),"")</f>
        <v/>
      </c>
      <c r="W15775" s="16" t="str">
        <f>IFERROR(__xludf.DUMMYFUNCTION("""COMPUTED_VALUE"""),"")</f>
        <v/>
      </c>
      <c r="X15775" s="16" t="str">
        <f>IFERROR(__xludf.DUMMYFUNCTION("""COMPUTED_VALUE"""),"")</f>
        <v/>
      </c>
      <c r="AC15775" s="16" t="str">
        <f>IFERROR(__xludf.DUMMYFUNCTION("""COMPUTED_VALUE"""),"")</f>
        <v/>
      </c>
    </row>
    <row r="15776">
      <c r="A15776" s="16" t="s">
        <v>87</v>
      </c>
      <c r="E15776" s="16" t="str">
        <f>IFERROR(__xludf.DUMMYFUNCTION("""COMPUTED_VALUE"""),"")</f>
        <v/>
      </c>
      <c r="G15776" s="18"/>
      <c r="H15776" s="16" t="s">
        <v>87</v>
      </c>
      <c r="I15776" s="16" t="s">
        <v>87</v>
      </c>
      <c r="J15776" s="19"/>
      <c r="L15776" s="16" t="str">
        <f>IFERROR(__xludf.DUMMYFUNCTION("""COMPUTED_VALUE"""),"")</f>
        <v/>
      </c>
      <c r="M15776" s="16" t="str">
        <f>IFERROR(__xludf.DUMMYFUNCTION("""COMPUTED_VALUE"""),"")</f>
        <v/>
      </c>
      <c r="U15776" s="16" t="s">
        <v>87</v>
      </c>
      <c r="V15776" s="16" t="str">
        <f>IFERROR(__xludf.DUMMYFUNCTION("""COMPUTED_VALUE"""),"")</f>
        <v/>
      </c>
      <c r="W15776" s="16" t="str">
        <f>IFERROR(__xludf.DUMMYFUNCTION("""COMPUTED_VALUE"""),"")</f>
        <v/>
      </c>
      <c r="X15776" s="16" t="str">
        <f>IFERROR(__xludf.DUMMYFUNCTION("""COMPUTED_VALUE"""),"")</f>
        <v/>
      </c>
      <c r="AC15776" s="16" t="str">
        <f>IFERROR(__xludf.DUMMYFUNCTION("""COMPUTED_VALUE"""),"")</f>
        <v/>
      </c>
    </row>
    <row r="15777">
      <c r="A15777" s="16" t="s">
        <v>87</v>
      </c>
      <c r="E15777" s="16" t="str">
        <f>IFERROR(__xludf.DUMMYFUNCTION("""COMPUTED_VALUE"""),"")</f>
        <v/>
      </c>
      <c r="G15777" s="18"/>
      <c r="H15777" s="16" t="s">
        <v>87</v>
      </c>
      <c r="I15777" s="16" t="s">
        <v>87</v>
      </c>
      <c r="J15777" s="19"/>
      <c r="L15777" s="16" t="str">
        <f>IFERROR(__xludf.DUMMYFUNCTION("""COMPUTED_VALUE"""),"")</f>
        <v/>
      </c>
      <c r="M15777" s="16" t="str">
        <f>IFERROR(__xludf.DUMMYFUNCTION("""COMPUTED_VALUE"""),"")</f>
        <v/>
      </c>
      <c r="U15777" s="16" t="s">
        <v>87</v>
      </c>
      <c r="V15777" s="16" t="str">
        <f>IFERROR(__xludf.DUMMYFUNCTION("""COMPUTED_VALUE"""),"")</f>
        <v/>
      </c>
      <c r="W15777" s="16" t="str">
        <f>IFERROR(__xludf.DUMMYFUNCTION("""COMPUTED_VALUE"""),"")</f>
        <v/>
      </c>
      <c r="X15777" s="16" t="str">
        <f>IFERROR(__xludf.DUMMYFUNCTION("""COMPUTED_VALUE"""),"")</f>
        <v/>
      </c>
      <c r="AC15777" s="16" t="str">
        <f>IFERROR(__xludf.DUMMYFUNCTION("""COMPUTED_VALUE"""),"")</f>
        <v/>
      </c>
    </row>
    <row r="15778">
      <c r="A15778" s="16" t="s">
        <v>87</v>
      </c>
      <c r="E15778" s="16" t="str">
        <f>IFERROR(__xludf.DUMMYFUNCTION("""COMPUTED_VALUE"""),"")</f>
        <v/>
      </c>
      <c r="G15778" s="18"/>
      <c r="H15778" s="16" t="s">
        <v>87</v>
      </c>
      <c r="I15778" s="16" t="s">
        <v>87</v>
      </c>
      <c r="J15778" s="19"/>
      <c r="L15778" s="16" t="str">
        <f>IFERROR(__xludf.DUMMYFUNCTION("""COMPUTED_VALUE"""),"")</f>
        <v/>
      </c>
      <c r="M15778" s="16" t="str">
        <f>IFERROR(__xludf.DUMMYFUNCTION("""COMPUTED_VALUE"""),"")</f>
        <v/>
      </c>
      <c r="U15778" s="16" t="s">
        <v>87</v>
      </c>
      <c r="V15778" s="16" t="str">
        <f>IFERROR(__xludf.DUMMYFUNCTION("""COMPUTED_VALUE"""),"")</f>
        <v/>
      </c>
      <c r="W15778" s="16" t="str">
        <f>IFERROR(__xludf.DUMMYFUNCTION("""COMPUTED_VALUE"""),"")</f>
        <v/>
      </c>
      <c r="X15778" s="16" t="str">
        <f>IFERROR(__xludf.DUMMYFUNCTION("""COMPUTED_VALUE"""),"")</f>
        <v/>
      </c>
      <c r="AC15778" s="16" t="str">
        <f>IFERROR(__xludf.DUMMYFUNCTION("""COMPUTED_VALUE"""),"")</f>
        <v/>
      </c>
    </row>
    <row r="15779">
      <c r="A15779" s="16" t="s">
        <v>87</v>
      </c>
      <c r="E15779" s="16" t="str">
        <f>IFERROR(__xludf.DUMMYFUNCTION("""COMPUTED_VALUE"""),"")</f>
        <v/>
      </c>
      <c r="G15779" s="18"/>
      <c r="H15779" s="16" t="s">
        <v>87</v>
      </c>
      <c r="I15779" s="16" t="s">
        <v>87</v>
      </c>
      <c r="J15779" s="19"/>
      <c r="L15779" s="16" t="str">
        <f>IFERROR(__xludf.DUMMYFUNCTION("""COMPUTED_VALUE"""),"")</f>
        <v/>
      </c>
      <c r="M15779" s="16" t="str">
        <f>IFERROR(__xludf.DUMMYFUNCTION("""COMPUTED_VALUE"""),"")</f>
        <v/>
      </c>
      <c r="U15779" s="16" t="s">
        <v>87</v>
      </c>
      <c r="V15779" s="16" t="str">
        <f>IFERROR(__xludf.DUMMYFUNCTION("""COMPUTED_VALUE"""),"")</f>
        <v/>
      </c>
      <c r="W15779" s="16" t="str">
        <f>IFERROR(__xludf.DUMMYFUNCTION("""COMPUTED_VALUE"""),"")</f>
        <v/>
      </c>
      <c r="X15779" s="16" t="str">
        <f>IFERROR(__xludf.DUMMYFUNCTION("""COMPUTED_VALUE"""),"")</f>
        <v/>
      </c>
      <c r="AC15779" s="16" t="str">
        <f>IFERROR(__xludf.DUMMYFUNCTION("""COMPUTED_VALUE"""),"")</f>
        <v/>
      </c>
    </row>
    <row r="15780">
      <c r="A15780" s="16" t="s">
        <v>87</v>
      </c>
      <c r="E15780" s="16" t="str">
        <f>IFERROR(__xludf.DUMMYFUNCTION("""COMPUTED_VALUE"""),"")</f>
        <v/>
      </c>
      <c r="G15780" s="18"/>
      <c r="H15780" s="16" t="s">
        <v>87</v>
      </c>
      <c r="I15780" s="16" t="s">
        <v>87</v>
      </c>
      <c r="J15780" s="19"/>
      <c r="L15780" s="16" t="str">
        <f>IFERROR(__xludf.DUMMYFUNCTION("""COMPUTED_VALUE"""),"")</f>
        <v/>
      </c>
      <c r="M15780" s="16" t="str">
        <f>IFERROR(__xludf.DUMMYFUNCTION("""COMPUTED_VALUE"""),"")</f>
        <v/>
      </c>
      <c r="U15780" s="16" t="s">
        <v>87</v>
      </c>
      <c r="V15780" s="16" t="str">
        <f>IFERROR(__xludf.DUMMYFUNCTION("""COMPUTED_VALUE"""),"")</f>
        <v/>
      </c>
      <c r="W15780" s="16" t="str">
        <f>IFERROR(__xludf.DUMMYFUNCTION("""COMPUTED_VALUE"""),"")</f>
        <v/>
      </c>
      <c r="X15780" s="16" t="str">
        <f>IFERROR(__xludf.DUMMYFUNCTION("""COMPUTED_VALUE"""),"")</f>
        <v/>
      </c>
      <c r="AC15780" s="16" t="str">
        <f>IFERROR(__xludf.DUMMYFUNCTION("""COMPUTED_VALUE"""),"")</f>
        <v/>
      </c>
    </row>
    <row r="15781">
      <c r="A15781" s="16" t="s">
        <v>87</v>
      </c>
      <c r="E15781" s="16" t="str">
        <f>IFERROR(__xludf.DUMMYFUNCTION("""COMPUTED_VALUE"""),"")</f>
        <v/>
      </c>
      <c r="G15781" s="18"/>
      <c r="H15781" s="16" t="s">
        <v>87</v>
      </c>
      <c r="I15781" s="16" t="s">
        <v>87</v>
      </c>
      <c r="J15781" s="19"/>
      <c r="L15781" s="16" t="str">
        <f>IFERROR(__xludf.DUMMYFUNCTION("""COMPUTED_VALUE"""),"")</f>
        <v/>
      </c>
      <c r="M15781" s="16" t="str">
        <f>IFERROR(__xludf.DUMMYFUNCTION("""COMPUTED_VALUE"""),"")</f>
        <v/>
      </c>
      <c r="U15781" s="16" t="s">
        <v>87</v>
      </c>
      <c r="V15781" s="16" t="str">
        <f>IFERROR(__xludf.DUMMYFUNCTION("""COMPUTED_VALUE"""),"")</f>
        <v/>
      </c>
      <c r="W15781" s="16" t="str">
        <f>IFERROR(__xludf.DUMMYFUNCTION("""COMPUTED_VALUE"""),"")</f>
        <v/>
      </c>
      <c r="X15781" s="16" t="str">
        <f>IFERROR(__xludf.DUMMYFUNCTION("""COMPUTED_VALUE"""),"")</f>
        <v/>
      </c>
      <c r="AC15781" s="16" t="str">
        <f>IFERROR(__xludf.DUMMYFUNCTION("""COMPUTED_VALUE"""),"")</f>
        <v/>
      </c>
    </row>
    <row r="15782">
      <c r="A15782" s="16" t="s">
        <v>87</v>
      </c>
      <c r="E15782" s="16" t="str">
        <f>IFERROR(__xludf.DUMMYFUNCTION("""COMPUTED_VALUE"""),"")</f>
        <v/>
      </c>
      <c r="G15782" s="18"/>
      <c r="H15782" s="16" t="s">
        <v>87</v>
      </c>
      <c r="I15782" s="16" t="s">
        <v>87</v>
      </c>
      <c r="J15782" s="19"/>
      <c r="L15782" s="16" t="str">
        <f>IFERROR(__xludf.DUMMYFUNCTION("""COMPUTED_VALUE"""),"")</f>
        <v/>
      </c>
      <c r="M15782" s="16" t="str">
        <f>IFERROR(__xludf.DUMMYFUNCTION("""COMPUTED_VALUE"""),"")</f>
        <v/>
      </c>
      <c r="U15782" s="16" t="s">
        <v>87</v>
      </c>
      <c r="V15782" s="16" t="str">
        <f>IFERROR(__xludf.DUMMYFUNCTION("""COMPUTED_VALUE"""),"")</f>
        <v/>
      </c>
      <c r="W15782" s="16" t="str">
        <f>IFERROR(__xludf.DUMMYFUNCTION("""COMPUTED_VALUE"""),"")</f>
        <v/>
      </c>
      <c r="X15782" s="16" t="str">
        <f>IFERROR(__xludf.DUMMYFUNCTION("""COMPUTED_VALUE"""),"")</f>
        <v/>
      </c>
      <c r="AC15782" s="16" t="str">
        <f>IFERROR(__xludf.DUMMYFUNCTION("""COMPUTED_VALUE"""),"")</f>
        <v/>
      </c>
    </row>
    <row r="15783">
      <c r="A15783" s="16" t="s">
        <v>87</v>
      </c>
      <c r="E15783" s="16" t="str">
        <f>IFERROR(__xludf.DUMMYFUNCTION("""COMPUTED_VALUE"""),"")</f>
        <v/>
      </c>
      <c r="G15783" s="18"/>
      <c r="H15783" s="16" t="s">
        <v>87</v>
      </c>
      <c r="I15783" s="16" t="s">
        <v>87</v>
      </c>
      <c r="J15783" s="19"/>
      <c r="L15783" s="16" t="str">
        <f>IFERROR(__xludf.DUMMYFUNCTION("""COMPUTED_VALUE"""),"")</f>
        <v/>
      </c>
      <c r="M15783" s="16" t="str">
        <f>IFERROR(__xludf.DUMMYFUNCTION("""COMPUTED_VALUE"""),"")</f>
        <v/>
      </c>
      <c r="U15783" s="16" t="s">
        <v>87</v>
      </c>
      <c r="V15783" s="16" t="str">
        <f>IFERROR(__xludf.DUMMYFUNCTION("""COMPUTED_VALUE"""),"")</f>
        <v/>
      </c>
      <c r="W15783" s="16" t="str">
        <f>IFERROR(__xludf.DUMMYFUNCTION("""COMPUTED_VALUE"""),"")</f>
        <v/>
      </c>
      <c r="X15783" s="16" t="str">
        <f>IFERROR(__xludf.DUMMYFUNCTION("""COMPUTED_VALUE"""),"")</f>
        <v/>
      </c>
      <c r="AC15783" s="16" t="str">
        <f>IFERROR(__xludf.DUMMYFUNCTION("""COMPUTED_VALUE"""),"")</f>
        <v/>
      </c>
    </row>
    <row r="15784">
      <c r="A15784" s="16" t="s">
        <v>87</v>
      </c>
      <c r="E15784" s="16" t="str">
        <f>IFERROR(__xludf.DUMMYFUNCTION("""COMPUTED_VALUE"""),"")</f>
        <v/>
      </c>
      <c r="G15784" s="18"/>
      <c r="H15784" s="16" t="s">
        <v>87</v>
      </c>
      <c r="I15784" s="16" t="s">
        <v>87</v>
      </c>
      <c r="J15784" s="19"/>
      <c r="L15784" s="16" t="str">
        <f>IFERROR(__xludf.DUMMYFUNCTION("""COMPUTED_VALUE"""),"")</f>
        <v/>
      </c>
      <c r="M15784" s="16" t="str">
        <f>IFERROR(__xludf.DUMMYFUNCTION("""COMPUTED_VALUE"""),"")</f>
        <v/>
      </c>
      <c r="U15784" s="16" t="s">
        <v>87</v>
      </c>
      <c r="V15784" s="16" t="str">
        <f>IFERROR(__xludf.DUMMYFUNCTION("""COMPUTED_VALUE"""),"")</f>
        <v/>
      </c>
      <c r="W15784" s="16" t="str">
        <f>IFERROR(__xludf.DUMMYFUNCTION("""COMPUTED_VALUE"""),"")</f>
        <v/>
      </c>
      <c r="X15784" s="16" t="str">
        <f>IFERROR(__xludf.DUMMYFUNCTION("""COMPUTED_VALUE"""),"")</f>
        <v/>
      </c>
      <c r="AC15784" s="16" t="str">
        <f>IFERROR(__xludf.DUMMYFUNCTION("""COMPUTED_VALUE"""),"")</f>
        <v/>
      </c>
    </row>
    <row r="15785">
      <c r="A15785" s="16" t="s">
        <v>87</v>
      </c>
      <c r="E15785" s="16" t="str">
        <f>IFERROR(__xludf.DUMMYFUNCTION("""COMPUTED_VALUE"""),"")</f>
        <v/>
      </c>
      <c r="G15785" s="18"/>
      <c r="H15785" s="16" t="s">
        <v>87</v>
      </c>
      <c r="I15785" s="16" t="s">
        <v>87</v>
      </c>
      <c r="J15785" s="19"/>
      <c r="L15785" s="16" t="str">
        <f>IFERROR(__xludf.DUMMYFUNCTION("""COMPUTED_VALUE"""),"")</f>
        <v/>
      </c>
      <c r="M15785" s="16" t="str">
        <f>IFERROR(__xludf.DUMMYFUNCTION("""COMPUTED_VALUE"""),"")</f>
        <v/>
      </c>
      <c r="U15785" s="16" t="s">
        <v>87</v>
      </c>
      <c r="V15785" s="16" t="str">
        <f>IFERROR(__xludf.DUMMYFUNCTION("""COMPUTED_VALUE"""),"")</f>
        <v/>
      </c>
      <c r="W15785" s="16" t="str">
        <f>IFERROR(__xludf.DUMMYFUNCTION("""COMPUTED_VALUE"""),"")</f>
        <v/>
      </c>
      <c r="X15785" s="16" t="str">
        <f>IFERROR(__xludf.DUMMYFUNCTION("""COMPUTED_VALUE"""),"")</f>
        <v/>
      </c>
      <c r="AC15785" s="16" t="str">
        <f>IFERROR(__xludf.DUMMYFUNCTION("""COMPUTED_VALUE"""),"")</f>
        <v/>
      </c>
    </row>
    <row r="15786">
      <c r="A15786" s="16" t="s">
        <v>87</v>
      </c>
      <c r="E15786" s="16" t="str">
        <f>IFERROR(__xludf.DUMMYFUNCTION("""COMPUTED_VALUE"""),"")</f>
        <v/>
      </c>
      <c r="G15786" s="18"/>
      <c r="H15786" s="16" t="s">
        <v>87</v>
      </c>
      <c r="I15786" s="16" t="s">
        <v>87</v>
      </c>
      <c r="J15786" s="19"/>
      <c r="L15786" s="16" t="str">
        <f>IFERROR(__xludf.DUMMYFUNCTION("""COMPUTED_VALUE"""),"")</f>
        <v/>
      </c>
      <c r="M15786" s="16" t="str">
        <f>IFERROR(__xludf.DUMMYFUNCTION("""COMPUTED_VALUE"""),"")</f>
        <v/>
      </c>
      <c r="U15786" s="16" t="s">
        <v>87</v>
      </c>
      <c r="V15786" s="16" t="str">
        <f>IFERROR(__xludf.DUMMYFUNCTION("""COMPUTED_VALUE"""),"")</f>
        <v/>
      </c>
      <c r="W15786" s="16" t="str">
        <f>IFERROR(__xludf.DUMMYFUNCTION("""COMPUTED_VALUE"""),"")</f>
        <v/>
      </c>
      <c r="X15786" s="16" t="str">
        <f>IFERROR(__xludf.DUMMYFUNCTION("""COMPUTED_VALUE"""),"")</f>
        <v/>
      </c>
      <c r="AC15786" s="16" t="str">
        <f>IFERROR(__xludf.DUMMYFUNCTION("""COMPUTED_VALUE"""),"")</f>
        <v/>
      </c>
    </row>
    <row r="15787">
      <c r="A15787" s="16" t="s">
        <v>87</v>
      </c>
      <c r="E15787" s="16" t="str">
        <f>IFERROR(__xludf.DUMMYFUNCTION("""COMPUTED_VALUE"""),"")</f>
        <v/>
      </c>
      <c r="G15787" s="18"/>
      <c r="H15787" s="16" t="s">
        <v>87</v>
      </c>
      <c r="I15787" s="16" t="s">
        <v>87</v>
      </c>
      <c r="J15787" s="19"/>
      <c r="L15787" s="16" t="str">
        <f>IFERROR(__xludf.DUMMYFUNCTION("""COMPUTED_VALUE"""),"")</f>
        <v/>
      </c>
      <c r="M15787" s="16" t="str">
        <f>IFERROR(__xludf.DUMMYFUNCTION("""COMPUTED_VALUE"""),"")</f>
        <v/>
      </c>
      <c r="U15787" s="16" t="s">
        <v>87</v>
      </c>
      <c r="V15787" s="16" t="str">
        <f>IFERROR(__xludf.DUMMYFUNCTION("""COMPUTED_VALUE"""),"")</f>
        <v/>
      </c>
      <c r="W15787" s="16" t="str">
        <f>IFERROR(__xludf.DUMMYFUNCTION("""COMPUTED_VALUE"""),"")</f>
        <v/>
      </c>
      <c r="X15787" s="16" t="str">
        <f>IFERROR(__xludf.DUMMYFUNCTION("""COMPUTED_VALUE"""),"")</f>
        <v/>
      </c>
      <c r="AC15787" s="16" t="str">
        <f>IFERROR(__xludf.DUMMYFUNCTION("""COMPUTED_VALUE"""),"")</f>
        <v/>
      </c>
    </row>
    <row r="15788">
      <c r="A15788" s="16" t="s">
        <v>87</v>
      </c>
      <c r="E15788" s="16" t="str">
        <f>IFERROR(__xludf.DUMMYFUNCTION("""COMPUTED_VALUE"""),"")</f>
        <v/>
      </c>
      <c r="G15788" s="18"/>
      <c r="H15788" s="16" t="s">
        <v>87</v>
      </c>
      <c r="I15788" s="16" t="s">
        <v>87</v>
      </c>
      <c r="J15788" s="19"/>
      <c r="L15788" s="16" t="str">
        <f>IFERROR(__xludf.DUMMYFUNCTION("""COMPUTED_VALUE"""),"")</f>
        <v/>
      </c>
      <c r="M15788" s="16" t="str">
        <f>IFERROR(__xludf.DUMMYFUNCTION("""COMPUTED_VALUE"""),"")</f>
        <v/>
      </c>
      <c r="U15788" s="16" t="s">
        <v>87</v>
      </c>
      <c r="V15788" s="16" t="str">
        <f>IFERROR(__xludf.DUMMYFUNCTION("""COMPUTED_VALUE"""),"")</f>
        <v/>
      </c>
      <c r="W15788" s="16" t="str">
        <f>IFERROR(__xludf.DUMMYFUNCTION("""COMPUTED_VALUE"""),"")</f>
        <v/>
      </c>
      <c r="X15788" s="16" t="str">
        <f>IFERROR(__xludf.DUMMYFUNCTION("""COMPUTED_VALUE"""),"")</f>
        <v/>
      </c>
      <c r="AC15788" s="16" t="str">
        <f>IFERROR(__xludf.DUMMYFUNCTION("""COMPUTED_VALUE"""),"")</f>
        <v/>
      </c>
    </row>
    <row r="15789">
      <c r="A15789" s="16" t="s">
        <v>87</v>
      </c>
      <c r="E15789" s="16" t="str">
        <f>IFERROR(__xludf.DUMMYFUNCTION("""COMPUTED_VALUE"""),"")</f>
        <v/>
      </c>
      <c r="G15789" s="18"/>
      <c r="H15789" s="16" t="s">
        <v>87</v>
      </c>
      <c r="I15789" s="16" t="s">
        <v>87</v>
      </c>
      <c r="J15789" s="19"/>
      <c r="L15789" s="16" t="str">
        <f>IFERROR(__xludf.DUMMYFUNCTION("""COMPUTED_VALUE"""),"")</f>
        <v/>
      </c>
      <c r="M15789" s="16" t="str">
        <f>IFERROR(__xludf.DUMMYFUNCTION("""COMPUTED_VALUE"""),"")</f>
        <v/>
      </c>
      <c r="U15789" s="16" t="s">
        <v>87</v>
      </c>
      <c r="V15789" s="16" t="str">
        <f>IFERROR(__xludf.DUMMYFUNCTION("""COMPUTED_VALUE"""),"")</f>
        <v/>
      </c>
      <c r="W15789" s="16" t="str">
        <f>IFERROR(__xludf.DUMMYFUNCTION("""COMPUTED_VALUE"""),"")</f>
        <v/>
      </c>
      <c r="X15789" s="16" t="str">
        <f>IFERROR(__xludf.DUMMYFUNCTION("""COMPUTED_VALUE"""),"")</f>
        <v/>
      </c>
      <c r="AC15789" s="16" t="str">
        <f>IFERROR(__xludf.DUMMYFUNCTION("""COMPUTED_VALUE"""),"")</f>
        <v/>
      </c>
    </row>
    <row r="15790">
      <c r="A15790" s="16" t="s">
        <v>87</v>
      </c>
      <c r="E15790" s="16" t="str">
        <f>IFERROR(__xludf.DUMMYFUNCTION("""COMPUTED_VALUE"""),"")</f>
        <v/>
      </c>
      <c r="G15790" s="18"/>
      <c r="H15790" s="16" t="s">
        <v>87</v>
      </c>
      <c r="I15790" s="16" t="s">
        <v>87</v>
      </c>
      <c r="J15790" s="19"/>
      <c r="L15790" s="16" t="str">
        <f>IFERROR(__xludf.DUMMYFUNCTION("""COMPUTED_VALUE"""),"")</f>
        <v/>
      </c>
      <c r="M15790" s="16" t="str">
        <f>IFERROR(__xludf.DUMMYFUNCTION("""COMPUTED_VALUE"""),"")</f>
        <v/>
      </c>
      <c r="U15790" s="16" t="s">
        <v>87</v>
      </c>
      <c r="V15790" s="16" t="str">
        <f>IFERROR(__xludf.DUMMYFUNCTION("""COMPUTED_VALUE"""),"")</f>
        <v/>
      </c>
      <c r="W15790" s="16" t="str">
        <f>IFERROR(__xludf.DUMMYFUNCTION("""COMPUTED_VALUE"""),"")</f>
        <v/>
      </c>
      <c r="X15790" s="16" t="str">
        <f>IFERROR(__xludf.DUMMYFUNCTION("""COMPUTED_VALUE"""),"")</f>
        <v/>
      </c>
      <c r="AC15790" s="16" t="str">
        <f>IFERROR(__xludf.DUMMYFUNCTION("""COMPUTED_VALUE"""),"")</f>
        <v/>
      </c>
    </row>
    <row r="15791">
      <c r="A15791" s="16" t="s">
        <v>87</v>
      </c>
      <c r="E15791" s="16" t="str">
        <f>IFERROR(__xludf.DUMMYFUNCTION("""COMPUTED_VALUE"""),"")</f>
        <v/>
      </c>
      <c r="G15791" s="18"/>
      <c r="H15791" s="16" t="s">
        <v>87</v>
      </c>
      <c r="I15791" s="16" t="s">
        <v>87</v>
      </c>
      <c r="J15791" s="19"/>
      <c r="L15791" s="16" t="str">
        <f>IFERROR(__xludf.DUMMYFUNCTION("""COMPUTED_VALUE"""),"")</f>
        <v/>
      </c>
      <c r="M15791" s="16" t="str">
        <f>IFERROR(__xludf.DUMMYFUNCTION("""COMPUTED_VALUE"""),"")</f>
        <v/>
      </c>
      <c r="U15791" s="16" t="s">
        <v>87</v>
      </c>
      <c r="V15791" s="16" t="str">
        <f>IFERROR(__xludf.DUMMYFUNCTION("""COMPUTED_VALUE"""),"")</f>
        <v/>
      </c>
      <c r="W15791" s="16" t="str">
        <f>IFERROR(__xludf.DUMMYFUNCTION("""COMPUTED_VALUE"""),"")</f>
        <v/>
      </c>
      <c r="X15791" s="16" t="str">
        <f>IFERROR(__xludf.DUMMYFUNCTION("""COMPUTED_VALUE"""),"")</f>
        <v/>
      </c>
      <c r="AC15791" s="16" t="str">
        <f>IFERROR(__xludf.DUMMYFUNCTION("""COMPUTED_VALUE"""),"")</f>
        <v/>
      </c>
    </row>
    <row r="15792">
      <c r="A15792" s="16" t="s">
        <v>87</v>
      </c>
      <c r="E15792" s="16" t="str">
        <f>IFERROR(__xludf.DUMMYFUNCTION("""COMPUTED_VALUE"""),"")</f>
        <v/>
      </c>
      <c r="G15792" s="18"/>
      <c r="H15792" s="16" t="s">
        <v>87</v>
      </c>
      <c r="I15792" s="16" t="s">
        <v>87</v>
      </c>
      <c r="J15792" s="19"/>
      <c r="L15792" s="16" t="str">
        <f>IFERROR(__xludf.DUMMYFUNCTION("""COMPUTED_VALUE"""),"")</f>
        <v/>
      </c>
      <c r="M15792" s="16" t="str">
        <f>IFERROR(__xludf.DUMMYFUNCTION("""COMPUTED_VALUE"""),"")</f>
        <v/>
      </c>
      <c r="U15792" s="16" t="s">
        <v>87</v>
      </c>
      <c r="V15792" s="16" t="str">
        <f>IFERROR(__xludf.DUMMYFUNCTION("""COMPUTED_VALUE"""),"")</f>
        <v/>
      </c>
      <c r="W15792" s="16" t="str">
        <f>IFERROR(__xludf.DUMMYFUNCTION("""COMPUTED_VALUE"""),"")</f>
        <v/>
      </c>
      <c r="X15792" s="16" t="str">
        <f>IFERROR(__xludf.DUMMYFUNCTION("""COMPUTED_VALUE"""),"")</f>
        <v/>
      </c>
      <c r="AC15792" s="16" t="str">
        <f>IFERROR(__xludf.DUMMYFUNCTION("""COMPUTED_VALUE"""),"")</f>
        <v/>
      </c>
    </row>
    <row r="15793">
      <c r="A15793" s="16" t="s">
        <v>87</v>
      </c>
      <c r="E15793" s="16" t="str">
        <f>IFERROR(__xludf.DUMMYFUNCTION("""COMPUTED_VALUE"""),"")</f>
        <v/>
      </c>
      <c r="G15793" s="18"/>
      <c r="H15793" s="16" t="s">
        <v>87</v>
      </c>
      <c r="I15793" s="16" t="s">
        <v>87</v>
      </c>
      <c r="J15793" s="19"/>
      <c r="L15793" s="16" t="str">
        <f>IFERROR(__xludf.DUMMYFUNCTION("""COMPUTED_VALUE"""),"")</f>
        <v/>
      </c>
      <c r="M15793" s="16" t="str">
        <f>IFERROR(__xludf.DUMMYFUNCTION("""COMPUTED_VALUE"""),"")</f>
        <v/>
      </c>
      <c r="U15793" s="16" t="s">
        <v>87</v>
      </c>
      <c r="V15793" s="16" t="str">
        <f>IFERROR(__xludf.DUMMYFUNCTION("""COMPUTED_VALUE"""),"")</f>
        <v/>
      </c>
      <c r="W15793" s="16" t="str">
        <f>IFERROR(__xludf.DUMMYFUNCTION("""COMPUTED_VALUE"""),"")</f>
        <v/>
      </c>
      <c r="X15793" s="16" t="str">
        <f>IFERROR(__xludf.DUMMYFUNCTION("""COMPUTED_VALUE"""),"")</f>
        <v/>
      </c>
      <c r="AC15793" s="16" t="str">
        <f>IFERROR(__xludf.DUMMYFUNCTION("""COMPUTED_VALUE"""),"")</f>
        <v/>
      </c>
    </row>
    <row r="15794">
      <c r="A15794" s="16" t="s">
        <v>87</v>
      </c>
      <c r="E15794" s="16" t="str">
        <f>IFERROR(__xludf.DUMMYFUNCTION("""COMPUTED_VALUE"""),"")</f>
        <v/>
      </c>
      <c r="G15794" s="18"/>
      <c r="H15794" s="16" t="s">
        <v>87</v>
      </c>
      <c r="I15794" s="16" t="s">
        <v>87</v>
      </c>
      <c r="J15794" s="19"/>
      <c r="L15794" s="16" t="str">
        <f>IFERROR(__xludf.DUMMYFUNCTION("""COMPUTED_VALUE"""),"")</f>
        <v/>
      </c>
      <c r="M15794" s="16" t="str">
        <f>IFERROR(__xludf.DUMMYFUNCTION("""COMPUTED_VALUE"""),"")</f>
        <v/>
      </c>
      <c r="U15794" s="16" t="s">
        <v>87</v>
      </c>
      <c r="V15794" s="16" t="str">
        <f>IFERROR(__xludf.DUMMYFUNCTION("""COMPUTED_VALUE"""),"")</f>
        <v/>
      </c>
      <c r="W15794" s="16" t="str">
        <f>IFERROR(__xludf.DUMMYFUNCTION("""COMPUTED_VALUE"""),"")</f>
        <v/>
      </c>
      <c r="X15794" s="16" t="str">
        <f>IFERROR(__xludf.DUMMYFUNCTION("""COMPUTED_VALUE"""),"")</f>
        <v/>
      </c>
      <c r="AC15794" s="16" t="str">
        <f>IFERROR(__xludf.DUMMYFUNCTION("""COMPUTED_VALUE"""),"")</f>
        <v/>
      </c>
    </row>
    <row r="15795">
      <c r="A15795" s="16" t="s">
        <v>87</v>
      </c>
      <c r="E15795" s="16" t="str">
        <f>IFERROR(__xludf.DUMMYFUNCTION("""COMPUTED_VALUE"""),"")</f>
        <v/>
      </c>
      <c r="G15795" s="18"/>
      <c r="H15795" s="16" t="s">
        <v>87</v>
      </c>
      <c r="I15795" s="16" t="s">
        <v>87</v>
      </c>
      <c r="J15795" s="19"/>
      <c r="L15795" s="16" t="str">
        <f>IFERROR(__xludf.DUMMYFUNCTION("""COMPUTED_VALUE"""),"")</f>
        <v/>
      </c>
      <c r="M15795" s="16" t="str">
        <f>IFERROR(__xludf.DUMMYFUNCTION("""COMPUTED_VALUE"""),"")</f>
        <v/>
      </c>
      <c r="U15795" s="16" t="s">
        <v>87</v>
      </c>
      <c r="V15795" s="16" t="str">
        <f>IFERROR(__xludf.DUMMYFUNCTION("""COMPUTED_VALUE"""),"")</f>
        <v/>
      </c>
      <c r="W15795" s="16" t="str">
        <f>IFERROR(__xludf.DUMMYFUNCTION("""COMPUTED_VALUE"""),"")</f>
        <v/>
      </c>
      <c r="X15795" s="16" t="str">
        <f>IFERROR(__xludf.DUMMYFUNCTION("""COMPUTED_VALUE"""),"")</f>
        <v/>
      </c>
      <c r="AC15795" s="16" t="str">
        <f>IFERROR(__xludf.DUMMYFUNCTION("""COMPUTED_VALUE"""),"")</f>
        <v/>
      </c>
    </row>
    <row r="15796">
      <c r="A15796" s="16" t="s">
        <v>87</v>
      </c>
      <c r="E15796" s="16" t="str">
        <f>IFERROR(__xludf.DUMMYFUNCTION("""COMPUTED_VALUE"""),"")</f>
        <v/>
      </c>
      <c r="G15796" s="18"/>
      <c r="H15796" s="16" t="s">
        <v>87</v>
      </c>
      <c r="I15796" s="16" t="s">
        <v>87</v>
      </c>
      <c r="J15796" s="19"/>
      <c r="L15796" s="16" t="str">
        <f>IFERROR(__xludf.DUMMYFUNCTION("""COMPUTED_VALUE"""),"")</f>
        <v/>
      </c>
      <c r="M15796" s="16" t="str">
        <f>IFERROR(__xludf.DUMMYFUNCTION("""COMPUTED_VALUE"""),"")</f>
        <v/>
      </c>
      <c r="U15796" s="16" t="s">
        <v>87</v>
      </c>
      <c r="V15796" s="16" t="str">
        <f>IFERROR(__xludf.DUMMYFUNCTION("""COMPUTED_VALUE"""),"")</f>
        <v/>
      </c>
      <c r="W15796" s="16" t="str">
        <f>IFERROR(__xludf.DUMMYFUNCTION("""COMPUTED_VALUE"""),"")</f>
        <v/>
      </c>
      <c r="X15796" s="16" t="str">
        <f>IFERROR(__xludf.DUMMYFUNCTION("""COMPUTED_VALUE"""),"")</f>
        <v/>
      </c>
      <c r="AC15796" s="16" t="str">
        <f>IFERROR(__xludf.DUMMYFUNCTION("""COMPUTED_VALUE"""),"")</f>
        <v/>
      </c>
    </row>
    <row r="15797">
      <c r="A15797" s="16" t="s">
        <v>87</v>
      </c>
      <c r="E15797" s="16" t="str">
        <f>IFERROR(__xludf.DUMMYFUNCTION("""COMPUTED_VALUE"""),"")</f>
        <v/>
      </c>
      <c r="G15797" s="18"/>
      <c r="H15797" s="16" t="s">
        <v>87</v>
      </c>
      <c r="I15797" s="16" t="s">
        <v>87</v>
      </c>
      <c r="J15797" s="19"/>
      <c r="L15797" s="16" t="str">
        <f>IFERROR(__xludf.DUMMYFUNCTION("""COMPUTED_VALUE"""),"")</f>
        <v/>
      </c>
      <c r="M15797" s="16" t="str">
        <f>IFERROR(__xludf.DUMMYFUNCTION("""COMPUTED_VALUE"""),"")</f>
        <v/>
      </c>
      <c r="U15797" s="16" t="s">
        <v>87</v>
      </c>
      <c r="V15797" s="16" t="str">
        <f>IFERROR(__xludf.DUMMYFUNCTION("""COMPUTED_VALUE"""),"")</f>
        <v/>
      </c>
      <c r="W15797" s="16" t="str">
        <f>IFERROR(__xludf.DUMMYFUNCTION("""COMPUTED_VALUE"""),"")</f>
        <v/>
      </c>
      <c r="X15797" s="16" t="str">
        <f>IFERROR(__xludf.DUMMYFUNCTION("""COMPUTED_VALUE"""),"")</f>
        <v/>
      </c>
      <c r="AC15797" s="16" t="str">
        <f>IFERROR(__xludf.DUMMYFUNCTION("""COMPUTED_VALUE"""),"")</f>
        <v/>
      </c>
    </row>
    <row r="15798">
      <c r="A15798" s="16" t="s">
        <v>87</v>
      </c>
      <c r="E15798" s="16" t="str">
        <f>IFERROR(__xludf.DUMMYFUNCTION("""COMPUTED_VALUE"""),"")</f>
        <v/>
      </c>
      <c r="G15798" s="18"/>
      <c r="H15798" s="16" t="s">
        <v>87</v>
      </c>
      <c r="I15798" s="16" t="s">
        <v>87</v>
      </c>
      <c r="J15798" s="19"/>
      <c r="L15798" s="16" t="str">
        <f>IFERROR(__xludf.DUMMYFUNCTION("""COMPUTED_VALUE"""),"")</f>
        <v/>
      </c>
      <c r="M15798" s="16" t="str">
        <f>IFERROR(__xludf.DUMMYFUNCTION("""COMPUTED_VALUE"""),"")</f>
        <v/>
      </c>
      <c r="U15798" s="16" t="s">
        <v>87</v>
      </c>
      <c r="V15798" s="16" t="str">
        <f>IFERROR(__xludf.DUMMYFUNCTION("""COMPUTED_VALUE"""),"")</f>
        <v/>
      </c>
      <c r="W15798" s="16" t="str">
        <f>IFERROR(__xludf.DUMMYFUNCTION("""COMPUTED_VALUE"""),"")</f>
        <v/>
      </c>
      <c r="X15798" s="16" t="str">
        <f>IFERROR(__xludf.DUMMYFUNCTION("""COMPUTED_VALUE"""),"")</f>
        <v/>
      </c>
      <c r="AC15798" s="16" t="str">
        <f>IFERROR(__xludf.DUMMYFUNCTION("""COMPUTED_VALUE"""),"")</f>
        <v/>
      </c>
    </row>
    <row r="15799">
      <c r="A15799" s="16" t="s">
        <v>87</v>
      </c>
      <c r="E15799" s="16" t="str">
        <f>IFERROR(__xludf.DUMMYFUNCTION("""COMPUTED_VALUE"""),"")</f>
        <v/>
      </c>
      <c r="G15799" s="18"/>
      <c r="H15799" s="16" t="s">
        <v>87</v>
      </c>
      <c r="I15799" s="16" t="s">
        <v>87</v>
      </c>
      <c r="J15799" s="19"/>
      <c r="L15799" s="16" t="str">
        <f>IFERROR(__xludf.DUMMYFUNCTION("""COMPUTED_VALUE"""),"")</f>
        <v/>
      </c>
      <c r="M15799" s="16" t="str">
        <f>IFERROR(__xludf.DUMMYFUNCTION("""COMPUTED_VALUE"""),"")</f>
        <v/>
      </c>
      <c r="U15799" s="16" t="s">
        <v>87</v>
      </c>
      <c r="V15799" s="16" t="str">
        <f>IFERROR(__xludf.DUMMYFUNCTION("""COMPUTED_VALUE"""),"")</f>
        <v/>
      </c>
      <c r="W15799" s="16" t="str">
        <f>IFERROR(__xludf.DUMMYFUNCTION("""COMPUTED_VALUE"""),"")</f>
        <v/>
      </c>
      <c r="X15799" s="16" t="str">
        <f>IFERROR(__xludf.DUMMYFUNCTION("""COMPUTED_VALUE"""),"")</f>
        <v/>
      </c>
      <c r="AC15799" s="16" t="str">
        <f>IFERROR(__xludf.DUMMYFUNCTION("""COMPUTED_VALUE"""),"")</f>
        <v/>
      </c>
    </row>
    <row r="15800">
      <c r="A15800" s="16" t="s">
        <v>87</v>
      </c>
      <c r="E15800" s="16" t="str">
        <f>IFERROR(__xludf.DUMMYFUNCTION("""COMPUTED_VALUE"""),"")</f>
        <v/>
      </c>
      <c r="G15800" s="18"/>
      <c r="H15800" s="16" t="s">
        <v>87</v>
      </c>
      <c r="I15800" s="16" t="s">
        <v>87</v>
      </c>
      <c r="J15800" s="19"/>
      <c r="L15800" s="16" t="str">
        <f>IFERROR(__xludf.DUMMYFUNCTION("""COMPUTED_VALUE"""),"")</f>
        <v/>
      </c>
      <c r="M15800" s="16" t="str">
        <f>IFERROR(__xludf.DUMMYFUNCTION("""COMPUTED_VALUE"""),"")</f>
        <v/>
      </c>
      <c r="U15800" s="16" t="s">
        <v>87</v>
      </c>
      <c r="V15800" s="16" t="str">
        <f>IFERROR(__xludf.DUMMYFUNCTION("""COMPUTED_VALUE"""),"")</f>
        <v/>
      </c>
      <c r="W15800" s="16" t="str">
        <f>IFERROR(__xludf.DUMMYFUNCTION("""COMPUTED_VALUE"""),"")</f>
        <v/>
      </c>
      <c r="X15800" s="16" t="str">
        <f>IFERROR(__xludf.DUMMYFUNCTION("""COMPUTED_VALUE"""),"")</f>
        <v/>
      </c>
      <c r="AC15800" s="16" t="str">
        <f>IFERROR(__xludf.DUMMYFUNCTION("""COMPUTED_VALUE"""),"")</f>
        <v/>
      </c>
    </row>
    <row r="15801">
      <c r="A15801" s="16" t="s">
        <v>87</v>
      </c>
      <c r="E15801" s="16" t="str">
        <f>IFERROR(__xludf.DUMMYFUNCTION("""COMPUTED_VALUE"""),"")</f>
        <v/>
      </c>
      <c r="G15801" s="18"/>
      <c r="H15801" s="16" t="s">
        <v>87</v>
      </c>
      <c r="I15801" s="16" t="s">
        <v>87</v>
      </c>
      <c r="J15801" s="19"/>
      <c r="L15801" s="16" t="str">
        <f>IFERROR(__xludf.DUMMYFUNCTION("""COMPUTED_VALUE"""),"")</f>
        <v/>
      </c>
      <c r="M15801" s="16" t="str">
        <f>IFERROR(__xludf.DUMMYFUNCTION("""COMPUTED_VALUE"""),"")</f>
        <v/>
      </c>
      <c r="U15801" s="16" t="s">
        <v>87</v>
      </c>
      <c r="V15801" s="16" t="str">
        <f>IFERROR(__xludf.DUMMYFUNCTION("""COMPUTED_VALUE"""),"")</f>
        <v/>
      </c>
      <c r="W15801" s="16" t="str">
        <f>IFERROR(__xludf.DUMMYFUNCTION("""COMPUTED_VALUE"""),"")</f>
        <v/>
      </c>
      <c r="X15801" s="16" t="str">
        <f>IFERROR(__xludf.DUMMYFUNCTION("""COMPUTED_VALUE"""),"")</f>
        <v/>
      </c>
      <c r="AC15801" s="16" t="str">
        <f>IFERROR(__xludf.DUMMYFUNCTION("""COMPUTED_VALUE"""),"")</f>
        <v/>
      </c>
    </row>
    <row r="15802">
      <c r="A15802" s="16" t="s">
        <v>87</v>
      </c>
      <c r="E15802" s="16" t="str">
        <f>IFERROR(__xludf.DUMMYFUNCTION("""COMPUTED_VALUE"""),"")</f>
        <v/>
      </c>
      <c r="G15802" s="18"/>
      <c r="H15802" s="16" t="s">
        <v>87</v>
      </c>
      <c r="I15802" s="16" t="s">
        <v>87</v>
      </c>
      <c r="J15802" s="19"/>
      <c r="L15802" s="16" t="str">
        <f>IFERROR(__xludf.DUMMYFUNCTION("""COMPUTED_VALUE"""),"")</f>
        <v/>
      </c>
      <c r="M15802" s="16" t="str">
        <f>IFERROR(__xludf.DUMMYFUNCTION("""COMPUTED_VALUE"""),"")</f>
        <v/>
      </c>
      <c r="U15802" s="16" t="s">
        <v>87</v>
      </c>
      <c r="V15802" s="16" t="str">
        <f>IFERROR(__xludf.DUMMYFUNCTION("""COMPUTED_VALUE"""),"")</f>
        <v/>
      </c>
      <c r="W15802" s="16" t="str">
        <f>IFERROR(__xludf.DUMMYFUNCTION("""COMPUTED_VALUE"""),"")</f>
        <v/>
      </c>
      <c r="X15802" s="16" t="str">
        <f>IFERROR(__xludf.DUMMYFUNCTION("""COMPUTED_VALUE"""),"")</f>
        <v/>
      </c>
      <c r="AC15802" s="16" t="str">
        <f>IFERROR(__xludf.DUMMYFUNCTION("""COMPUTED_VALUE"""),"")</f>
        <v/>
      </c>
    </row>
    <row r="15803">
      <c r="A15803" s="16" t="s">
        <v>87</v>
      </c>
      <c r="E15803" s="16" t="str">
        <f>IFERROR(__xludf.DUMMYFUNCTION("""COMPUTED_VALUE"""),"")</f>
        <v/>
      </c>
      <c r="G15803" s="18"/>
      <c r="H15803" s="16" t="s">
        <v>87</v>
      </c>
      <c r="I15803" s="16" t="s">
        <v>87</v>
      </c>
      <c r="J15803" s="19"/>
      <c r="L15803" s="16" t="str">
        <f>IFERROR(__xludf.DUMMYFUNCTION("""COMPUTED_VALUE"""),"")</f>
        <v/>
      </c>
      <c r="M15803" s="16" t="str">
        <f>IFERROR(__xludf.DUMMYFUNCTION("""COMPUTED_VALUE"""),"")</f>
        <v/>
      </c>
      <c r="U15803" s="16" t="s">
        <v>87</v>
      </c>
      <c r="V15803" s="16" t="str">
        <f>IFERROR(__xludf.DUMMYFUNCTION("""COMPUTED_VALUE"""),"")</f>
        <v/>
      </c>
      <c r="W15803" s="16" t="str">
        <f>IFERROR(__xludf.DUMMYFUNCTION("""COMPUTED_VALUE"""),"")</f>
        <v/>
      </c>
      <c r="X15803" s="16" t="str">
        <f>IFERROR(__xludf.DUMMYFUNCTION("""COMPUTED_VALUE"""),"")</f>
        <v/>
      </c>
      <c r="AC15803" s="16" t="str">
        <f>IFERROR(__xludf.DUMMYFUNCTION("""COMPUTED_VALUE"""),"")</f>
        <v/>
      </c>
    </row>
    <row r="15804">
      <c r="A15804" s="16" t="s">
        <v>87</v>
      </c>
      <c r="E15804" s="16" t="str">
        <f>IFERROR(__xludf.DUMMYFUNCTION("""COMPUTED_VALUE"""),"")</f>
        <v/>
      </c>
      <c r="G15804" s="18"/>
      <c r="H15804" s="16" t="s">
        <v>87</v>
      </c>
      <c r="I15804" s="16" t="s">
        <v>87</v>
      </c>
      <c r="J15804" s="19"/>
      <c r="L15804" s="16" t="str">
        <f>IFERROR(__xludf.DUMMYFUNCTION("""COMPUTED_VALUE"""),"")</f>
        <v/>
      </c>
      <c r="M15804" s="16" t="str">
        <f>IFERROR(__xludf.DUMMYFUNCTION("""COMPUTED_VALUE"""),"")</f>
        <v/>
      </c>
      <c r="U15804" s="16" t="s">
        <v>87</v>
      </c>
      <c r="V15804" s="16" t="str">
        <f>IFERROR(__xludf.DUMMYFUNCTION("""COMPUTED_VALUE"""),"")</f>
        <v/>
      </c>
      <c r="W15804" s="16" t="str">
        <f>IFERROR(__xludf.DUMMYFUNCTION("""COMPUTED_VALUE"""),"")</f>
        <v/>
      </c>
      <c r="X15804" s="16" t="str">
        <f>IFERROR(__xludf.DUMMYFUNCTION("""COMPUTED_VALUE"""),"")</f>
        <v/>
      </c>
      <c r="AC15804" s="16" t="str">
        <f>IFERROR(__xludf.DUMMYFUNCTION("""COMPUTED_VALUE"""),"")</f>
        <v/>
      </c>
    </row>
    <row r="15805">
      <c r="A15805" s="16" t="s">
        <v>87</v>
      </c>
      <c r="E15805" s="16" t="str">
        <f>IFERROR(__xludf.DUMMYFUNCTION("""COMPUTED_VALUE"""),"")</f>
        <v/>
      </c>
      <c r="G15805" s="18"/>
      <c r="H15805" s="16" t="s">
        <v>87</v>
      </c>
      <c r="I15805" s="16" t="s">
        <v>87</v>
      </c>
      <c r="J15805" s="19"/>
      <c r="L15805" s="16" t="str">
        <f>IFERROR(__xludf.DUMMYFUNCTION("""COMPUTED_VALUE"""),"")</f>
        <v/>
      </c>
      <c r="M15805" s="16" t="str">
        <f>IFERROR(__xludf.DUMMYFUNCTION("""COMPUTED_VALUE"""),"")</f>
        <v/>
      </c>
      <c r="U15805" s="16" t="s">
        <v>87</v>
      </c>
      <c r="V15805" s="16" t="str">
        <f>IFERROR(__xludf.DUMMYFUNCTION("""COMPUTED_VALUE"""),"")</f>
        <v/>
      </c>
      <c r="W15805" s="16" t="str">
        <f>IFERROR(__xludf.DUMMYFUNCTION("""COMPUTED_VALUE"""),"")</f>
        <v/>
      </c>
      <c r="X15805" s="16" t="str">
        <f>IFERROR(__xludf.DUMMYFUNCTION("""COMPUTED_VALUE"""),"")</f>
        <v/>
      </c>
      <c r="AC15805" s="16" t="str">
        <f>IFERROR(__xludf.DUMMYFUNCTION("""COMPUTED_VALUE"""),"")</f>
        <v/>
      </c>
    </row>
    <row r="15806">
      <c r="A15806" s="16" t="s">
        <v>87</v>
      </c>
      <c r="E15806" s="16" t="str">
        <f>IFERROR(__xludf.DUMMYFUNCTION("""COMPUTED_VALUE"""),"")</f>
        <v/>
      </c>
      <c r="G15806" s="18"/>
      <c r="H15806" s="16" t="s">
        <v>87</v>
      </c>
      <c r="I15806" s="16" t="s">
        <v>87</v>
      </c>
      <c r="J15806" s="19"/>
      <c r="L15806" s="16" t="str">
        <f>IFERROR(__xludf.DUMMYFUNCTION("""COMPUTED_VALUE"""),"")</f>
        <v/>
      </c>
      <c r="M15806" s="16" t="str">
        <f>IFERROR(__xludf.DUMMYFUNCTION("""COMPUTED_VALUE"""),"")</f>
        <v/>
      </c>
      <c r="U15806" s="16" t="s">
        <v>87</v>
      </c>
      <c r="V15806" s="16" t="str">
        <f>IFERROR(__xludf.DUMMYFUNCTION("""COMPUTED_VALUE"""),"")</f>
        <v/>
      </c>
      <c r="W15806" s="16" t="str">
        <f>IFERROR(__xludf.DUMMYFUNCTION("""COMPUTED_VALUE"""),"")</f>
        <v/>
      </c>
      <c r="X15806" s="16" t="str">
        <f>IFERROR(__xludf.DUMMYFUNCTION("""COMPUTED_VALUE"""),"")</f>
        <v/>
      </c>
      <c r="AC15806" s="16" t="str">
        <f>IFERROR(__xludf.DUMMYFUNCTION("""COMPUTED_VALUE"""),"")</f>
        <v/>
      </c>
    </row>
    <row r="15807">
      <c r="A15807" s="16" t="s">
        <v>87</v>
      </c>
      <c r="E15807" s="16" t="str">
        <f>IFERROR(__xludf.DUMMYFUNCTION("""COMPUTED_VALUE"""),"")</f>
        <v/>
      </c>
      <c r="G15807" s="18"/>
      <c r="H15807" s="16" t="s">
        <v>87</v>
      </c>
      <c r="I15807" s="16" t="s">
        <v>87</v>
      </c>
      <c r="J15807" s="19"/>
      <c r="L15807" s="16" t="str">
        <f>IFERROR(__xludf.DUMMYFUNCTION("""COMPUTED_VALUE"""),"")</f>
        <v/>
      </c>
      <c r="M15807" s="16" t="str">
        <f>IFERROR(__xludf.DUMMYFUNCTION("""COMPUTED_VALUE"""),"")</f>
        <v/>
      </c>
      <c r="U15807" s="16" t="s">
        <v>87</v>
      </c>
      <c r="V15807" s="16" t="str">
        <f>IFERROR(__xludf.DUMMYFUNCTION("""COMPUTED_VALUE"""),"")</f>
        <v/>
      </c>
      <c r="W15807" s="16" t="str">
        <f>IFERROR(__xludf.DUMMYFUNCTION("""COMPUTED_VALUE"""),"")</f>
        <v/>
      </c>
      <c r="X15807" s="16" t="str">
        <f>IFERROR(__xludf.DUMMYFUNCTION("""COMPUTED_VALUE"""),"")</f>
        <v/>
      </c>
      <c r="AC15807" s="16" t="str">
        <f>IFERROR(__xludf.DUMMYFUNCTION("""COMPUTED_VALUE"""),"")</f>
        <v/>
      </c>
    </row>
    <row r="15808">
      <c r="A15808" s="16" t="s">
        <v>87</v>
      </c>
      <c r="E15808" s="16" t="str">
        <f>IFERROR(__xludf.DUMMYFUNCTION("""COMPUTED_VALUE"""),"")</f>
        <v/>
      </c>
      <c r="G15808" s="18"/>
      <c r="H15808" s="16" t="s">
        <v>87</v>
      </c>
      <c r="I15808" s="16" t="s">
        <v>87</v>
      </c>
      <c r="J15808" s="19"/>
      <c r="L15808" s="16" t="str">
        <f>IFERROR(__xludf.DUMMYFUNCTION("""COMPUTED_VALUE"""),"")</f>
        <v/>
      </c>
      <c r="M15808" s="16" t="str">
        <f>IFERROR(__xludf.DUMMYFUNCTION("""COMPUTED_VALUE"""),"")</f>
        <v/>
      </c>
      <c r="U15808" s="16" t="s">
        <v>87</v>
      </c>
      <c r="V15808" s="16" t="str">
        <f>IFERROR(__xludf.DUMMYFUNCTION("""COMPUTED_VALUE"""),"")</f>
        <v/>
      </c>
      <c r="W15808" s="16" t="str">
        <f>IFERROR(__xludf.DUMMYFUNCTION("""COMPUTED_VALUE"""),"")</f>
        <v/>
      </c>
      <c r="X15808" s="16" t="str">
        <f>IFERROR(__xludf.DUMMYFUNCTION("""COMPUTED_VALUE"""),"")</f>
        <v/>
      </c>
      <c r="AC15808" s="16" t="str">
        <f>IFERROR(__xludf.DUMMYFUNCTION("""COMPUTED_VALUE"""),"")</f>
        <v/>
      </c>
    </row>
    <row r="15809">
      <c r="A15809" s="16" t="s">
        <v>87</v>
      </c>
      <c r="E15809" s="16" t="str">
        <f>IFERROR(__xludf.DUMMYFUNCTION("""COMPUTED_VALUE"""),"")</f>
        <v/>
      </c>
      <c r="G15809" s="18"/>
      <c r="H15809" s="16" t="s">
        <v>87</v>
      </c>
      <c r="I15809" s="16" t="s">
        <v>87</v>
      </c>
      <c r="J15809" s="19"/>
      <c r="L15809" s="16" t="str">
        <f>IFERROR(__xludf.DUMMYFUNCTION("""COMPUTED_VALUE"""),"")</f>
        <v/>
      </c>
      <c r="M15809" s="16" t="str">
        <f>IFERROR(__xludf.DUMMYFUNCTION("""COMPUTED_VALUE"""),"")</f>
        <v/>
      </c>
      <c r="U15809" s="16" t="s">
        <v>87</v>
      </c>
      <c r="V15809" s="16" t="str">
        <f>IFERROR(__xludf.DUMMYFUNCTION("""COMPUTED_VALUE"""),"")</f>
        <v/>
      </c>
      <c r="W15809" s="16" t="str">
        <f>IFERROR(__xludf.DUMMYFUNCTION("""COMPUTED_VALUE"""),"")</f>
        <v/>
      </c>
      <c r="X15809" s="16" t="str">
        <f>IFERROR(__xludf.DUMMYFUNCTION("""COMPUTED_VALUE"""),"")</f>
        <v/>
      </c>
      <c r="AC15809" s="16" t="str">
        <f>IFERROR(__xludf.DUMMYFUNCTION("""COMPUTED_VALUE"""),"")</f>
        <v/>
      </c>
    </row>
    <row r="15810">
      <c r="A15810" s="16" t="s">
        <v>87</v>
      </c>
      <c r="E15810" s="16" t="str">
        <f>IFERROR(__xludf.DUMMYFUNCTION("""COMPUTED_VALUE"""),"")</f>
        <v/>
      </c>
      <c r="G15810" s="18"/>
      <c r="H15810" s="16" t="s">
        <v>87</v>
      </c>
      <c r="I15810" s="16" t="s">
        <v>87</v>
      </c>
      <c r="J15810" s="19"/>
      <c r="L15810" s="16" t="str">
        <f>IFERROR(__xludf.DUMMYFUNCTION("""COMPUTED_VALUE"""),"")</f>
        <v/>
      </c>
      <c r="M15810" s="16" t="str">
        <f>IFERROR(__xludf.DUMMYFUNCTION("""COMPUTED_VALUE"""),"")</f>
        <v/>
      </c>
      <c r="U15810" s="16" t="s">
        <v>87</v>
      </c>
      <c r="V15810" s="16" t="str">
        <f>IFERROR(__xludf.DUMMYFUNCTION("""COMPUTED_VALUE"""),"")</f>
        <v/>
      </c>
      <c r="W15810" s="16" t="str">
        <f>IFERROR(__xludf.DUMMYFUNCTION("""COMPUTED_VALUE"""),"")</f>
        <v/>
      </c>
      <c r="X15810" s="16" t="str">
        <f>IFERROR(__xludf.DUMMYFUNCTION("""COMPUTED_VALUE"""),"")</f>
        <v/>
      </c>
      <c r="AC15810" s="16" t="str">
        <f>IFERROR(__xludf.DUMMYFUNCTION("""COMPUTED_VALUE"""),"")</f>
        <v/>
      </c>
    </row>
    <row r="15811">
      <c r="A15811" s="16" t="s">
        <v>87</v>
      </c>
      <c r="E15811" s="16" t="str">
        <f>IFERROR(__xludf.DUMMYFUNCTION("""COMPUTED_VALUE"""),"")</f>
        <v/>
      </c>
      <c r="G15811" s="18"/>
      <c r="H15811" s="16" t="s">
        <v>87</v>
      </c>
      <c r="I15811" s="16" t="s">
        <v>87</v>
      </c>
      <c r="J15811" s="19"/>
      <c r="L15811" s="16" t="str">
        <f>IFERROR(__xludf.DUMMYFUNCTION("""COMPUTED_VALUE"""),"")</f>
        <v/>
      </c>
      <c r="M15811" s="16" t="str">
        <f>IFERROR(__xludf.DUMMYFUNCTION("""COMPUTED_VALUE"""),"")</f>
        <v/>
      </c>
      <c r="U15811" s="16" t="s">
        <v>87</v>
      </c>
      <c r="V15811" s="16" t="str">
        <f>IFERROR(__xludf.DUMMYFUNCTION("""COMPUTED_VALUE"""),"")</f>
        <v/>
      </c>
      <c r="W15811" s="16" t="str">
        <f>IFERROR(__xludf.DUMMYFUNCTION("""COMPUTED_VALUE"""),"")</f>
        <v/>
      </c>
      <c r="X15811" s="16" t="str">
        <f>IFERROR(__xludf.DUMMYFUNCTION("""COMPUTED_VALUE"""),"")</f>
        <v/>
      </c>
      <c r="AC15811" s="16" t="str">
        <f>IFERROR(__xludf.DUMMYFUNCTION("""COMPUTED_VALUE"""),"")</f>
        <v/>
      </c>
    </row>
    <row r="15812">
      <c r="A15812" s="16" t="s">
        <v>87</v>
      </c>
      <c r="E15812" s="16" t="str">
        <f>IFERROR(__xludf.DUMMYFUNCTION("""COMPUTED_VALUE"""),"")</f>
        <v/>
      </c>
      <c r="G15812" s="18"/>
      <c r="H15812" s="16" t="s">
        <v>87</v>
      </c>
      <c r="I15812" s="16" t="s">
        <v>87</v>
      </c>
      <c r="J15812" s="19"/>
      <c r="L15812" s="16" t="str">
        <f>IFERROR(__xludf.DUMMYFUNCTION("""COMPUTED_VALUE"""),"")</f>
        <v/>
      </c>
      <c r="M15812" s="16" t="str">
        <f>IFERROR(__xludf.DUMMYFUNCTION("""COMPUTED_VALUE"""),"")</f>
        <v/>
      </c>
      <c r="U15812" s="16" t="s">
        <v>87</v>
      </c>
      <c r="V15812" s="16" t="str">
        <f>IFERROR(__xludf.DUMMYFUNCTION("""COMPUTED_VALUE"""),"")</f>
        <v/>
      </c>
      <c r="W15812" s="16" t="str">
        <f>IFERROR(__xludf.DUMMYFUNCTION("""COMPUTED_VALUE"""),"")</f>
        <v/>
      </c>
      <c r="X15812" s="16" t="str">
        <f>IFERROR(__xludf.DUMMYFUNCTION("""COMPUTED_VALUE"""),"")</f>
        <v/>
      </c>
      <c r="AC15812" s="16" t="str">
        <f>IFERROR(__xludf.DUMMYFUNCTION("""COMPUTED_VALUE"""),"")</f>
        <v/>
      </c>
    </row>
    <row r="15813">
      <c r="A15813" s="16" t="s">
        <v>87</v>
      </c>
      <c r="E15813" s="16" t="str">
        <f>IFERROR(__xludf.DUMMYFUNCTION("""COMPUTED_VALUE"""),"")</f>
        <v/>
      </c>
      <c r="G15813" s="18"/>
      <c r="H15813" s="16" t="s">
        <v>87</v>
      </c>
      <c r="I15813" s="16" t="s">
        <v>87</v>
      </c>
      <c r="J15813" s="19"/>
      <c r="L15813" s="16" t="str">
        <f>IFERROR(__xludf.DUMMYFUNCTION("""COMPUTED_VALUE"""),"")</f>
        <v/>
      </c>
      <c r="M15813" s="16" t="str">
        <f>IFERROR(__xludf.DUMMYFUNCTION("""COMPUTED_VALUE"""),"")</f>
        <v/>
      </c>
      <c r="U15813" s="16" t="s">
        <v>87</v>
      </c>
      <c r="V15813" s="16" t="str">
        <f>IFERROR(__xludf.DUMMYFUNCTION("""COMPUTED_VALUE"""),"")</f>
        <v/>
      </c>
      <c r="W15813" s="16" t="str">
        <f>IFERROR(__xludf.DUMMYFUNCTION("""COMPUTED_VALUE"""),"")</f>
        <v/>
      </c>
      <c r="X15813" s="16" t="str">
        <f>IFERROR(__xludf.DUMMYFUNCTION("""COMPUTED_VALUE"""),"")</f>
        <v/>
      </c>
      <c r="AC15813" s="16" t="str">
        <f>IFERROR(__xludf.DUMMYFUNCTION("""COMPUTED_VALUE"""),"")</f>
        <v/>
      </c>
    </row>
    <row r="15814">
      <c r="A15814" s="16" t="s">
        <v>87</v>
      </c>
      <c r="E15814" s="16" t="str">
        <f>IFERROR(__xludf.DUMMYFUNCTION("""COMPUTED_VALUE"""),"")</f>
        <v/>
      </c>
      <c r="G15814" s="18"/>
      <c r="H15814" s="16" t="s">
        <v>87</v>
      </c>
      <c r="I15814" s="16" t="s">
        <v>87</v>
      </c>
      <c r="J15814" s="19"/>
      <c r="L15814" s="16" t="str">
        <f>IFERROR(__xludf.DUMMYFUNCTION("""COMPUTED_VALUE"""),"")</f>
        <v/>
      </c>
      <c r="M15814" s="16" t="str">
        <f>IFERROR(__xludf.DUMMYFUNCTION("""COMPUTED_VALUE"""),"")</f>
        <v/>
      </c>
      <c r="U15814" s="16" t="s">
        <v>87</v>
      </c>
      <c r="V15814" s="16" t="str">
        <f>IFERROR(__xludf.DUMMYFUNCTION("""COMPUTED_VALUE"""),"")</f>
        <v/>
      </c>
      <c r="W15814" s="16" t="str">
        <f>IFERROR(__xludf.DUMMYFUNCTION("""COMPUTED_VALUE"""),"")</f>
        <v/>
      </c>
      <c r="X15814" s="16" t="str">
        <f>IFERROR(__xludf.DUMMYFUNCTION("""COMPUTED_VALUE"""),"")</f>
        <v/>
      </c>
      <c r="AC15814" s="16" t="str">
        <f>IFERROR(__xludf.DUMMYFUNCTION("""COMPUTED_VALUE"""),"")</f>
        <v/>
      </c>
    </row>
    <row r="15815">
      <c r="A15815" s="16" t="s">
        <v>87</v>
      </c>
      <c r="E15815" s="16" t="str">
        <f>IFERROR(__xludf.DUMMYFUNCTION("""COMPUTED_VALUE"""),"")</f>
        <v/>
      </c>
      <c r="G15815" s="18"/>
      <c r="H15815" s="16" t="s">
        <v>87</v>
      </c>
      <c r="I15815" s="16" t="s">
        <v>87</v>
      </c>
      <c r="J15815" s="19"/>
      <c r="L15815" s="16" t="str">
        <f>IFERROR(__xludf.DUMMYFUNCTION("""COMPUTED_VALUE"""),"")</f>
        <v/>
      </c>
      <c r="M15815" s="16" t="str">
        <f>IFERROR(__xludf.DUMMYFUNCTION("""COMPUTED_VALUE"""),"")</f>
        <v/>
      </c>
      <c r="U15815" s="16" t="s">
        <v>87</v>
      </c>
      <c r="V15815" s="16" t="str">
        <f>IFERROR(__xludf.DUMMYFUNCTION("""COMPUTED_VALUE"""),"")</f>
        <v/>
      </c>
      <c r="W15815" s="16" t="str">
        <f>IFERROR(__xludf.DUMMYFUNCTION("""COMPUTED_VALUE"""),"")</f>
        <v/>
      </c>
      <c r="X15815" s="16" t="str">
        <f>IFERROR(__xludf.DUMMYFUNCTION("""COMPUTED_VALUE"""),"")</f>
        <v/>
      </c>
      <c r="AC15815" s="16" t="str">
        <f>IFERROR(__xludf.DUMMYFUNCTION("""COMPUTED_VALUE"""),"")</f>
        <v/>
      </c>
    </row>
    <row r="15816">
      <c r="A15816" s="16" t="s">
        <v>87</v>
      </c>
      <c r="E15816" s="16" t="str">
        <f>IFERROR(__xludf.DUMMYFUNCTION("""COMPUTED_VALUE"""),"")</f>
        <v/>
      </c>
      <c r="G15816" s="18"/>
      <c r="H15816" s="16" t="s">
        <v>87</v>
      </c>
      <c r="I15816" s="16" t="s">
        <v>87</v>
      </c>
      <c r="J15816" s="19"/>
      <c r="L15816" s="16" t="str">
        <f>IFERROR(__xludf.DUMMYFUNCTION("""COMPUTED_VALUE"""),"")</f>
        <v/>
      </c>
      <c r="M15816" s="16" t="str">
        <f>IFERROR(__xludf.DUMMYFUNCTION("""COMPUTED_VALUE"""),"")</f>
        <v/>
      </c>
      <c r="U15816" s="16" t="s">
        <v>87</v>
      </c>
      <c r="V15816" s="16" t="str">
        <f>IFERROR(__xludf.DUMMYFUNCTION("""COMPUTED_VALUE"""),"")</f>
        <v/>
      </c>
      <c r="W15816" s="16" t="str">
        <f>IFERROR(__xludf.DUMMYFUNCTION("""COMPUTED_VALUE"""),"")</f>
        <v/>
      </c>
      <c r="X15816" s="16" t="str">
        <f>IFERROR(__xludf.DUMMYFUNCTION("""COMPUTED_VALUE"""),"")</f>
        <v/>
      </c>
      <c r="AC15816" s="16" t="str">
        <f>IFERROR(__xludf.DUMMYFUNCTION("""COMPUTED_VALUE"""),"")</f>
        <v/>
      </c>
    </row>
    <row r="15817">
      <c r="A15817" s="16" t="s">
        <v>87</v>
      </c>
      <c r="E15817" s="16" t="str">
        <f>IFERROR(__xludf.DUMMYFUNCTION("""COMPUTED_VALUE"""),"")</f>
        <v/>
      </c>
      <c r="G15817" s="18"/>
      <c r="H15817" s="16" t="s">
        <v>87</v>
      </c>
      <c r="I15817" s="16" t="s">
        <v>87</v>
      </c>
      <c r="J15817" s="19"/>
      <c r="L15817" s="16" t="str">
        <f>IFERROR(__xludf.DUMMYFUNCTION("""COMPUTED_VALUE"""),"")</f>
        <v/>
      </c>
      <c r="M15817" s="16" t="str">
        <f>IFERROR(__xludf.DUMMYFUNCTION("""COMPUTED_VALUE"""),"")</f>
        <v/>
      </c>
      <c r="U15817" s="16" t="s">
        <v>87</v>
      </c>
      <c r="V15817" s="16" t="str">
        <f>IFERROR(__xludf.DUMMYFUNCTION("""COMPUTED_VALUE"""),"")</f>
        <v/>
      </c>
      <c r="W15817" s="16" t="str">
        <f>IFERROR(__xludf.DUMMYFUNCTION("""COMPUTED_VALUE"""),"")</f>
        <v/>
      </c>
      <c r="X15817" s="16" t="str">
        <f>IFERROR(__xludf.DUMMYFUNCTION("""COMPUTED_VALUE"""),"")</f>
        <v/>
      </c>
      <c r="AC15817" s="16" t="str">
        <f>IFERROR(__xludf.DUMMYFUNCTION("""COMPUTED_VALUE"""),"")</f>
        <v/>
      </c>
    </row>
    <row r="15818">
      <c r="A15818" s="16" t="s">
        <v>87</v>
      </c>
      <c r="E15818" s="16" t="str">
        <f>IFERROR(__xludf.DUMMYFUNCTION("""COMPUTED_VALUE"""),"")</f>
        <v/>
      </c>
      <c r="G15818" s="18"/>
      <c r="H15818" s="16" t="s">
        <v>87</v>
      </c>
      <c r="I15818" s="16" t="s">
        <v>87</v>
      </c>
      <c r="J15818" s="19"/>
      <c r="L15818" s="16" t="str">
        <f>IFERROR(__xludf.DUMMYFUNCTION("""COMPUTED_VALUE"""),"")</f>
        <v/>
      </c>
      <c r="M15818" s="16" t="str">
        <f>IFERROR(__xludf.DUMMYFUNCTION("""COMPUTED_VALUE"""),"")</f>
        <v/>
      </c>
      <c r="U15818" s="16" t="s">
        <v>87</v>
      </c>
      <c r="V15818" s="16" t="str">
        <f>IFERROR(__xludf.DUMMYFUNCTION("""COMPUTED_VALUE"""),"")</f>
        <v/>
      </c>
      <c r="W15818" s="16" t="str">
        <f>IFERROR(__xludf.DUMMYFUNCTION("""COMPUTED_VALUE"""),"")</f>
        <v/>
      </c>
      <c r="X15818" s="16" t="str">
        <f>IFERROR(__xludf.DUMMYFUNCTION("""COMPUTED_VALUE"""),"")</f>
        <v/>
      </c>
      <c r="AC15818" s="16" t="str">
        <f>IFERROR(__xludf.DUMMYFUNCTION("""COMPUTED_VALUE"""),"")</f>
        <v/>
      </c>
    </row>
    <row r="15819">
      <c r="A15819" s="16" t="s">
        <v>87</v>
      </c>
      <c r="E15819" s="16" t="str">
        <f>IFERROR(__xludf.DUMMYFUNCTION("""COMPUTED_VALUE"""),"")</f>
        <v/>
      </c>
      <c r="G15819" s="18"/>
      <c r="H15819" s="16" t="s">
        <v>87</v>
      </c>
      <c r="I15819" s="16" t="s">
        <v>87</v>
      </c>
      <c r="J15819" s="19"/>
      <c r="L15819" s="16" t="str">
        <f>IFERROR(__xludf.DUMMYFUNCTION("""COMPUTED_VALUE"""),"")</f>
        <v/>
      </c>
      <c r="M15819" s="16" t="str">
        <f>IFERROR(__xludf.DUMMYFUNCTION("""COMPUTED_VALUE"""),"")</f>
        <v/>
      </c>
      <c r="U15819" s="16" t="s">
        <v>87</v>
      </c>
      <c r="V15819" s="16" t="str">
        <f>IFERROR(__xludf.DUMMYFUNCTION("""COMPUTED_VALUE"""),"")</f>
        <v/>
      </c>
      <c r="W15819" s="16" t="str">
        <f>IFERROR(__xludf.DUMMYFUNCTION("""COMPUTED_VALUE"""),"")</f>
        <v/>
      </c>
      <c r="X15819" s="16" t="str">
        <f>IFERROR(__xludf.DUMMYFUNCTION("""COMPUTED_VALUE"""),"")</f>
        <v/>
      </c>
      <c r="AC15819" s="16" t="str">
        <f>IFERROR(__xludf.DUMMYFUNCTION("""COMPUTED_VALUE"""),"")</f>
        <v/>
      </c>
    </row>
    <row r="15820">
      <c r="A15820" s="16" t="s">
        <v>87</v>
      </c>
      <c r="E15820" s="16" t="str">
        <f>IFERROR(__xludf.DUMMYFUNCTION("""COMPUTED_VALUE"""),"")</f>
        <v/>
      </c>
      <c r="G15820" s="18"/>
      <c r="H15820" s="16" t="s">
        <v>87</v>
      </c>
      <c r="I15820" s="16" t="s">
        <v>87</v>
      </c>
      <c r="J15820" s="19"/>
      <c r="L15820" s="16" t="str">
        <f>IFERROR(__xludf.DUMMYFUNCTION("""COMPUTED_VALUE"""),"")</f>
        <v/>
      </c>
      <c r="M15820" s="16" t="str">
        <f>IFERROR(__xludf.DUMMYFUNCTION("""COMPUTED_VALUE"""),"")</f>
        <v/>
      </c>
      <c r="U15820" s="16" t="s">
        <v>87</v>
      </c>
      <c r="V15820" s="16" t="str">
        <f>IFERROR(__xludf.DUMMYFUNCTION("""COMPUTED_VALUE"""),"")</f>
        <v/>
      </c>
      <c r="W15820" s="16" t="str">
        <f>IFERROR(__xludf.DUMMYFUNCTION("""COMPUTED_VALUE"""),"")</f>
        <v/>
      </c>
      <c r="X15820" s="16" t="str">
        <f>IFERROR(__xludf.DUMMYFUNCTION("""COMPUTED_VALUE"""),"")</f>
        <v/>
      </c>
      <c r="AC15820" s="16" t="str">
        <f>IFERROR(__xludf.DUMMYFUNCTION("""COMPUTED_VALUE"""),"")</f>
        <v/>
      </c>
    </row>
    <row r="15821">
      <c r="A15821" s="16" t="s">
        <v>87</v>
      </c>
      <c r="E15821" s="16" t="str">
        <f>IFERROR(__xludf.DUMMYFUNCTION("""COMPUTED_VALUE"""),"")</f>
        <v/>
      </c>
      <c r="G15821" s="18"/>
      <c r="H15821" s="16" t="s">
        <v>87</v>
      </c>
      <c r="I15821" s="16" t="s">
        <v>87</v>
      </c>
      <c r="J15821" s="19"/>
      <c r="L15821" s="16" t="str">
        <f>IFERROR(__xludf.DUMMYFUNCTION("""COMPUTED_VALUE"""),"")</f>
        <v/>
      </c>
      <c r="M15821" s="16" t="str">
        <f>IFERROR(__xludf.DUMMYFUNCTION("""COMPUTED_VALUE"""),"")</f>
        <v/>
      </c>
      <c r="U15821" s="16" t="s">
        <v>87</v>
      </c>
      <c r="V15821" s="16" t="str">
        <f>IFERROR(__xludf.DUMMYFUNCTION("""COMPUTED_VALUE"""),"")</f>
        <v/>
      </c>
      <c r="W15821" s="16" t="str">
        <f>IFERROR(__xludf.DUMMYFUNCTION("""COMPUTED_VALUE"""),"")</f>
        <v/>
      </c>
      <c r="X15821" s="16" t="str">
        <f>IFERROR(__xludf.DUMMYFUNCTION("""COMPUTED_VALUE"""),"")</f>
        <v/>
      </c>
      <c r="AC15821" s="16" t="str">
        <f>IFERROR(__xludf.DUMMYFUNCTION("""COMPUTED_VALUE"""),"")</f>
        <v/>
      </c>
    </row>
    <row r="15822">
      <c r="A15822" s="16" t="s">
        <v>87</v>
      </c>
      <c r="E15822" s="16" t="str">
        <f>IFERROR(__xludf.DUMMYFUNCTION("""COMPUTED_VALUE"""),"")</f>
        <v/>
      </c>
      <c r="G15822" s="18"/>
      <c r="H15822" s="16" t="s">
        <v>87</v>
      </c>
      <c r="I15822" s="16" t="s">
        <v>87</v>
      </c>
      <c r="J15822" s="19"/>
      <c r="L15822" s="16" t="str">
        <f>IFERROR(__xludf.DUMMYFUNCTION("""COMPUTED_VALUE"""),"")</f>
        <v/>
      </c>
      <c r="M15822" s="16" t="str">
        <f>IFERROR(__xludf.DUMMYFUNCTION("""COMPUTED_VALUE"""),"")</f>
        <v/>
      </c>
      <c r="U15822" s="16" t="s">
        <v>87</v>
      </c>
      <c r="V15822" s="16" t="str">
        <f>IFERROR(__xludf.DUMMYFUNCTION("""COMPUTED_VALUE"""),"")</f>
        <v/>
      </c>
      <c r="W15822" s="16" t="str">
        <f>IFERROR(__xludf.DUMMYFUNCTION("""COMPUTED_VALUE"""),"")</f>
        <v/>
      </c>
      <c r="X15822" s="16" t="str">
        <f>IFERROR(__xludf.DUMMYFUNCTION("""COMPUTED_VALUE"""),"")</f>
        <v/>
      </c>
      <c r="AC15822" s="16" t="str">
        <f>IFERROR(__xludf.DUMMYFUNCTION("""COMPUTED_VALUE"""),"")</f>
        <v/>
      </c>
    </row>
    <row r="15823">
      <c r="A15823" s="16" t="s">
        <v>87</v>
      </c>
      <c r="E15823" s="16" t="str">
        <f>IFERROR(__xludf.DUMMYFUNCTION("""COMPUTED_VALUE"""),"")</f>
        <v/>
      </c>
      <c r="G15823" s="18"/>
      <c r="H15823" s="16" t="s">
        <v>87</v>
      </c>
      <c r="I15823" s="16" t="s">
        <v>87</v>
      </c>
      <c r="J15823" s="19"/>
      <c r="L15823" s="16" t="str">
        <f>IFERROR(__xludf.DUMMYFUNCTION("""COMPUTED_VALUE"""),"")</f>
        <v/>
      </c>
      <c r="M15823" s="16" t="str">
        <f>IFERROR(__xludf.DUMMYFUNCTION("""COMPUTED_VALUE"""),"")</f>
        <v/>
      </c>
      <c r="U15823" s="16" t="s">
        <v>87</v>
      </c>
      <c r="V15823" s="16" t="str">
        <f>IFERROR(__xludf.DUMMYFUNCTION("""COMPUTED_VALUE"""),"")</f>
        <v/>
      </c>
      <c r="W15823" s="16" t="str">
        <f>IFERROR(__xludf.DUMMYFUNCTION("""COMPUTED_VALUE"""),"")</f>
        <v/>
      </c>
      <c r="X15823" s="16" t="str">
        <f>IFERROR(__xludf.DUMMYFUNCTION("""COMPUTED_VALUE"""),"")</f>
        <v/>
      </c>
      <c r="AC15823" s="16" t="str">
        <f>IFERROR(__xludf.DUMMYFUNCTION("""COMPUTED_VALUE"""),"")</f>
        <v/>
      </c>
    </row>
    <row r="15824">
      <c r="A15824" s="16" t="s">
        <v>87</v>
      </c>
      <c r="E15824" s="16" t="str">
        <f>IFERROR(__xludf.DUMMYFUNCTION("""COMPUTED_VALUE"""),"")</f>
        <v/>
      </c>
      <c r="G15824" s="18"/>
      <c r="H15824" s="16" t="s">
        <v>87</v>
      </c>
      <c r="I15824" s="16" t="s">
        <v>87</v>
      </c>
      <c r="J15824" s="19"/>
      <c r="L15824" s="16" t="str">
        <f>IFERROR(__xludf.DUMMYFUNCTION("""COMPUTED_VALUE"""),"")</f>
        <v/>
      </c>
      <c r="M15824" s="16" t="str">
        <f>IFERROR(__xludf.DUMMYFUNCTION("""COMPUTED_VALUE"""),"")</f>
        <v/>
      </c>
      <c r="U15824" s="16" t="s">
        <v>87</v>
      </c>
      <c r="V15824" s="16" t="str">
        <f>IFERROR(__xludf.DUMMYFUNCTION("""COMPUTED_VALUE"""),"")</f>
        <v/>
      </c>
      <c r="W15824" s="16" t="str">
        <f>IFERROR(__xludf.DUMMYFUNCTION("""COMPUTED_VALUE"""),"")</f>
        <v/>
      </c>
      <c r="X15824" s="16" t="str">
        <f>IFERROR(__xludf.DUMMYFUNCTION("""COMPUTED_VALUE"""),"")</f>
        <v/>
      </c>
      <c r="AC15824" s="16" t="str">
        <f>IFERROR(__xludf.DUMMYFUNCTION("""COMPUTED_VALUE"""),"")</f>
        <v/>
      </c>
    </row>
    <row r="15825">
      <c r="A15825" s="16" t="s">
        <v>87</v>
      </c>
      <c r="E15825" s="16" t="str">
        <f>IFERROR(__xludf.DUMMYFUNCTION("""COMPUTED_VALUE"""),"")</f>
        <v/>
      </c>
      <c r="G15825" s="18"/>
      <c r="H15825" s="16" t="s">
        <v>87</v>
      </c>
      <c r="I15825" s="16" t="s">
        <v>87</v>
      </c>
      <c r="J15825" s="19"/>
      <c r="L15825" s="16" t="str">
        <f>IFERROR(__xludf.DUMMYFUNCTION("""COMPUTED_VALUE"""),"")</f>
        <v/>
      </c>
      <c r="M15825" s="16" t="str">
        <f>IFERROR(__xludf.DUMMYFUNCTION("""COMPUTED_VALUE"""),"")</f>
        <v/>
      </c>
      <c r="U15825" s="16" t="s">
        <v>87</v>
      </c>
      <c r="V15825" s="16" t="str">
        <f>IFERROR(__xludf.DUMMYFUNCTION("""COMPUTED_VALUE"""),"")</f>
        <v/>
      </c>
      <c r="W15825" s="16" t="str">
        <f>IFERROR(__xludf.DUMMYFUNCTION("""COMPUTED_VALUE"""),"")</f>
        <v/>
      </c>
      <c r="X15825" s="16" t="str">
        <f>IFERROR(__xludf.DUMMYFUNCTION("""COMPUTED_VALUE"""),"")</f>
        <v/>
      </c>
      <c r="AC15825" s="16" t="str">
        <f>IFERROR(__xludf.DUMMYFUNCTION("""COMPUTED_VALUE"""),"")</f>
        <v/>
      </c>
    </row>
    <row r="15826">
      <c r="A15826" s="16" t="s">
        <v>87</v>
      </c>
      <c r="E15826" s="16" t="str">
        <f>IFERROR(__xludf.DUMMYFUNCTION("""COMPUTED_VALUE"""),"")</f>
        <v/>
      </c>
      <c r="G15826" s="18"/>
      <c r="H15826" s="16" t="s">
        <v>87</v>
      </c>
      <c r="I15826" s="16" t="s">
        <v>87</v>
      </c>
      <c r="J15826" s="19"/>
      <c r="L15826" s="16" t="str">
        <f>IFERROR(__xludf.DUMMYFUNCTION("""COMPUTED_VALUE"""),"")</f>
        <v/>
      </c>
      <c r="M15826" s="16" t="str">
        <f>IFERROR(__xludf.DUMMYFUNCTION("""COMPUTED_VALUE"""),"")</f>
        <v/>
      </c>
      <c r="U15826" s="16" t="s">
        <v>87</v>
      </c>
      <c r="V15826" s="16" t="str">
        <f>IFERROR(__xludf.DUMMYFUNCTION("""COMPUTED_VALUE"""),"")</f>
        <v/>
      </c>
      <c r="W15826" s="16" t="str">
        <f>IFERROR(__xludf.DUMMYFUNCTION("""COMPUTED_VALUE"""),"")</f>
        <v/>
      </c>
      <c r="X15826" s="16" t="str">
        <f>IFERROR(__xludf.DUMMYFUNCTION("""COMPUTED_VALUE"""),"")</f>
        <v/>
      </c>
      <c r="AC15826" s="16" t="str">
        <f>IFERROR(__xludf.DUMMYFUNCTION("""COMPUTED_VALUE"""),"")</f>
        <v/>
      </c>
    </row>
    <row r="15827">
      <c r="A15827" s="16" t="s">
        <v>87</v>
      </c>
      <c r="E15827" s="16" t="str">
        <f>IFERROR(__xludf.DUMMYFUNCTION("""COMPUTED_VALUE"""),"")</f>
        <v/>
      </c>
      <c r="G15827" s="18"/>
      <c r="H15827" s="16" t="s">
        <v>87</v>
      </c>
      <c r="I15827" s="16" t="s">
        <v>87</v>
      </c>
      <c r="J15827" s="19"/>
      <c r="L15827" s="16" t="str">
        <f>IFERROR(__xludf.DUMMYFUNCTION("""COMPUTED_VALUE"""),"")</f>
        <v/>
      </c>
      <c r="M15827" s="16" t="str">
        <f>IFERROR(__xludf.DUMMYFUNCTION("""COMPUTED_VALUE"""),"")</f>
        <v/>
      </c>
      <c r="U15827" s="16" t="s">
        <v>87</v>
      </c>
      <c r="V15827" s="16" t="str">
        <f>IFERROR(__xludf.DUMMYFUNCTION("""COMPUTED_VALUE"""),"")</f>
        <v/>
      </c>
      <c r="W15827" s="16" t="str">
        <f>IFERROR(__xludf.DUMMYFUNCTION("""COMPUTED_VALUE"""),"")</f>
        <v/>
      </c>
      <c r="X15827" s="16" t="str">
        <f>IFERROR(__xludf.DUMMYFUNCTION("""COMPUTED_VALUE"""),"")</f>
        <v/>
      </c>
      <c r="AC15827" s="16" t="str">
        <f>IFERROR(__xludf.DUMMYFUNCTION("""COMPUTED_VALUE"""),"")</f>
        <v/>
      </c>
    </row>
    <row r="15828">
      <c r="A15828" s="16" t="s">
        <v>87</v>
      </c>
      <c r="E15828" s="16" t="str">
        <f>IFERROR(__xludf.DUMMYFUNCTION("""COMPUTED_VALUE"""),"")</f>
        <v/>
      </c>
      <c r="G15828" s="18"/>
      <c r="H15828" s="16" t="s">
        <v>87</v>
      </c>
      <c r="I15828" s="16" t="s">
        <v>87</v>
      </c>
      <c r="J15828" s="19"/>
      <c r="L15828" s="16" t="str">
        <f>IFERROR(__xludf.DUMMYFUNCTION("""COMPUTED_VALUE"""),"")</f>
        <v/>
      </c>
      <c r="M15828" s="16" t="str">
        <f>IFERROR(__xludf.DUMMYFUNCTION("""COMPUTED_VALUE"""),"")</f>
        <v/>
      </c>
      <c r="U15828" s="16" t="s">
        <v>87</v>
      </c>
      <c r="V15828" s="16" t="str">
        <f>IFERROR(__xludf.DUMMYFUNCTION("""COMPUTED_VALUE"""),"")</f>
        <v/>
      </c>
      <c r="W15828" s="16" t="str">
        <f>IFERROR(__xludf.DUMMYFUNCTION("""COMPUTED_VALUE"""),"")</f>
        <v/>
      </c>
      <c r="X15828" s="16" t="str">
        <f>IFERROR(__xludf.DUMMYFUNCTION("""COMPUTED_VALUE"""),"")</f>
        <v/>
      </c>
      <c r="AC15828" s="16" t="str">
        <f>IFERROR(__xludf.DUMMYFUNCTION("""COMPUTED_VALUE"""),"")</f>
        <v/>
      </c>
    </row>
    <row r="15829">
      <c r="A15829" s="16" t="s">
        <v>87</v>
      </c>
      <c r="E15829" s="16" t="str">
        <f>IFERROR(__xludf.DUMMYFUNCTION("""COMPUTED_VALUE"""),"")</f>
        <v/>
      </c>
      <c r="G15829" s="18"/>
      <c r="H15829" s="16" t="s">
        <v>87</v>
      </c>
      <c r="I15829" s="16" t="s">
        <v>87</v>
      </c>
      <c r="J15829" s="19"/>
      <c r="L15829" s="16" t="str">
        <f>IFERROR(__xludf.DUMMYFUNCTION("""COMPUTED_VALUE"""),"")</f>
        <v/>
      </c>
      <c r="M15829" s="16" t="str">
        <f>IFERROR(__xludf.DUMMYFUNCTION("""COMPUTED_VALUE"""),"")</f>
        <v/>
      </c>
      <c r="U15829" s="16" t="s">
        <v>87</v>
      </c>
      <c r="V15829" s="16" t="str">
        <f>IFERROR(__xludf.DUMMYFUNCTION("""COMPUTED_VALUE"""),"")</f>
        <v/>
      </c>
      <c r="W15829" s="16" t="str">
        <f>IFERROR(__xludf.DUMMYFUNCTION("""COMPUTED_VALUE"""),"")</f>
        <v/>
      </c>
      <c r="X15829" s="16" t="str">
        <f>IFERROR(__xludf.DUMMYFUNCTION("""COMPUTED_VALUE"""),"")</f>
        <v/>
      </c>
      <c r="AC15829" s="16" t="str">
        <f>IFERROR(__xludf.DUMMYFUNCTION("""COMPUTED_VALUE"""),"")</f>
        <v/>
      </c>
    </row>
    <row r="15830">
      <c r="A15830" s="16" t="s">
        <v>87</v>
      </c>
      <c r="E15830" s="16" t="str">
        <f>IFERROR(__xludf.DUMMYFUNCTION("""COMPUTED_VALUE"""),"")</f>
        <v/>
      </c>
      <c r="G15830" s="18"/>
      <c r="H15830" s="16" t="s">
        <v>87</v>
      </c>
      <c r="I15830" s="16" t="s">
        <v>87</v>
      </c>
      <c r="J15830" s="19"/>
      <c r="L15830" s="16" t="str">
        <f>IFERROR(__xludf.DUMMYFUNCTION("""COMPUTED_VALUE"""),"")</f>
        <v/>
      </c>
      <c r="M15830" s="16" t="str">
        <f>IFERROR(__xludf.DUMMYFUNCTION("""COMPUTED_VALUE"""),"")</f>
        <v/>
      </c>
      <c r="U15830" s="16" t="s">
        <v>87</v>
      </c>
      <c r="V15830" s="16" t="str">
        <f>IFERROR(__xludf.DUMMYFUNCTION("""COMPUTED_VALUE"""),"")</f>
        <v/>
      </c>
      <c r="W15830" s="16" t="str">
        <f>IFERROR(__xludf.DUMMYFUNCTION("""COMPUTED_VALUE"""),"")</f>
        <v/>
      </c>
      <c r="X15830" s="16" t="str">
        <f>IFERROR(__xludf.DUMMYFUNCTION("""COMPUTED_VALUE"""),"")</f>
        <v/>
      </c>
      <c r="AC15830" s="16" t="str">
        <f>IFERROR(__xludf.DUMMYFUNCTION("""COMPUTED_VALUE"""),"")</f>
        <v/>
      </c>
    </row>
    <row r="15831">
      <c r="A15831" s="16" t="s">
        <v>87</v>
      </c>
      <c r="E15831" s="16" t="str">
        <f>IFERROR(__xludf.DUMMYFUNCTION("""COMPUTED_VALUE"""),"")</f>
        <v/>
      </c>
      <c r="G15831" s="18"/>
      <c r="H15831" s="16" t="s">
        <v>87</v>
      </c>
      <c r="I15831" s="16" t="s">
        <v>87</v>
      </c>
      <c r="J15831" s="19"/>
      <c r="L15831" s="16" t="str">
        <f>IFERROR(__xludf.DUMMYFUNCTION("""COMPUTED_VALUE"""),"")</f>
        <v/>
      </c>
      <c r="M15831" s="16" t="str">
        <f>IFERROR(__xludf.DUMMYFUNCTION("""COMPUTED_VALUE"""),"")</f>
        <v/>
      </c>
      <c r="U15831" s="16" t="s">
        <v>87</v>
      </c>
      <c r="V15831" s="16" t="str">
        <f>IFERROR(__xludf.DUMMYFUNCTION("""COMPUTED_VALUE"""),"")</f>
        <v/>
      </c>
      <c r="W15831" s="16" t="str">
        <f>IFERROR(__xludf.DUMMYFUNCTION("""COMPUTED_VALUE"""),"")</f>
        <v/>
      </c>
      <c r="X15831" s="16" t="str">
        <f>IFERROR(__xludf.DUMMYFUNCTION("""COMPUTED_VALUE"""),"")</f>
        <v/>
      </c>
      <c r="AC15831" s="16" t="str">
        <f>IFERROR(__xludf.DUMMYFUNCTION("""COMPUTED_VALUE"""),"")</f>
        <v/>
      </c>
    </row>
    <row r="15832">
      <c r="A15832" s="16" t="s">
        <v>87</v>
      </c>
      <c r="E15832" s="16" t="str">
        <f>IFERROR(__xludf.DUMMYFUNCTION("""COMPUTED_VALUE"""),"")</f>
        <v/>
      </c>
      <c r="G15832" s="18"/>
      <c r="H15832" s="16" t="s">
        <v>87</v>
      </c>
      <c r="I15832" s="16" t="s">
        <v>87</v>
      </c>
      <c r="J15832" s="19"/>
      <c r="L15832" s="16" t="str">
        <f>IFERROR(__xludf.DUMMYFUNCTION("""COMPUTED_VALUE"""),"")</f>
        <v/>
      </c>
      <c r="M15832" s="16" t="str">
        <f>IFERROR(__xludf.DUMMYFUNCTION("""COMPUTED_VALUE"""),"")</f>
        <v/>
      </c>
      <c r="U15832" s="16" t="s">
        <v>87</v>
      </c>
      <c r="V15832" s="16" t="str">
        <f>IFERROR(__xludf.DUMMYFUNCTION("""COMPUTED_VALUE"""),"")</f>
        <v/>
      </c>
      <c r="W15832" s="16" t="str">
        <f>IFERROR(__xludf.DUMMYFUNCTION("""COMPUTED_VALUE"""),"")</f>
        <v/>
      </c>
      <c r="X15832" s="16" t="str">
        <f>IFERROR(__xludf.DUMMYFUNCTION("""COMPUTED_VALUE"""),"")</f>
        <v/>
      </c>
      <c r="AC15832" s="16" t="str">
        <f>IFERROR(__xludf.DUMMYFUNCTION("""COMPUTED_VALUE"""),"")</f>
        <v/>
      </c>
    </row>
    <row r="15833">
      <c r="A15833" s="16" t="s">
        <v>87</v>
      </c>
      <c r="E15833" s="16" t="str">
        <f>IFERROR(__xludf.DUMMYFUNCTION("""COMPUTED_VALUE"""),"")</f>
        <v/>
      </c>
      <c r="G15833" s="18"/>
      <c r="H15833" s="16" t="s">
        <v>87</v>
      </c>
      <c r="I15833" s="16" t="s">
        <v>87</v>
      </c>
      <c r="J15833" s="19"/>
      <c r="L15833" s="16" t="str">
        <f>IFERROR(__xludf.DUMMYFUNCTION("""COMPUTED_VALUE"""),"")</f>
        <v/>
      </c>
      <c r="M15833" s="16" t="str">
        <f>IFERROR(__xludf.DUMMYFUNCTION("""COMPUTED_VALUE"""),"")</f>
        <v/>
      </c>
      <c r="U15833" s="16" t="s">
        <v>87</v>
      </c>
      <c r="V15833" s="16" t="str">
        <f>IFERROR(__xludf.DUMMYFUNCTION("""COMPUTED_VALUE"""),"")</f>
        <v/>
      </c>
      <c r="W15833" s="16" t="str">
        <f>IFERROR(__xludf.DUMMYFUNCTION("""COMPUTED_VALUE"""),"")</f>
        <v/>
      </c>
      <c r="X15833" s="16" t="str">
        <f>IFERROR(__xludf.DUMMYFUNCTION("""COMPUTED_VALUE"""),"")</f>
        <v/>
      </c>
      <c r="AC15833" s="16" t="str">
        <f>IFERROR(__xludf.DUMMYFUNCTION("""COMPUTED_VALUE"""),"")</f>
        <v/>
      </c>
    </row>
    <row r="15834">
      <c r="A15834" s="16" t="s">
        <v>87</v>
      </c>
      <c r="E15834" s="16" t="str">
        <f>IFERROR(__xludf.DUMMYFUNCTION("""COMPUTED_VALUE"""),"")</f>
        <v/>
      </c>
      <c r="G15834" s="18"/>
      <c r="H15834" s="16" t="s">
        <v>87</v>
      </c>
      <c r="I15834" s="16" t="s">
        <v>87</v>
      </c>
      <c r="J15834" s="19"/>
      <c r="L15834" s="16" t="str">
        <f>IFERROR(__xludf.DUMMYFUNCTION("""COMPUTED_VALUE"""),"")</f>
        <v/>
      </c>
      <c r="M15834" s="16" t="str">
        <f>IFERROR(__xludf.DUMMYFUNCTION("""COMPUTED_VALUE"""),"")</f>
        <v/>
      </c>
      <c r="U15834" s="16" t="s">
        <v>87</v>
      </c>
      <c r="V15834" s="16" t="str">
        <f>IFERROR(__xludf.DUMMYFUNCTION("""COMPUTED_VALUE"""),"")</f>
        <v/>
      </c>
      <c r="W15834" s="16" t="str">
        <f>IFERROR(__xludf.DUMMYFUNCTION("""COMPUTED_VALUE"""),"")</f>
        <v/>
      </c>
      <c r="X15834" s="16" t="str">
        <f>IFERROR(__xludf.DUMMYFUNCTION("""COMPUTED_VALUE"""),"")</f>
        <v/>
      </c>
      <c r="AC15834" s="16" t="str">
        <f>IFERROR(__xludf.DUMMYFUNCTION("""COMPUTED_VALUE"""),"")</f>
        <v/>
      </c>
    </row>
    <row r="15835">
      <c r="A15835" s="16" t="s">
        <v>87</v>
      </c>
      <c r="E15835" s="16" t="str">
        <f>IFERROR(__xludf.DUMMYFUNCTION("""COMPUTED_VALUE"""),"")</f>
        <v/>
      </c>
      <c r="G15835" s="18"/>
      <c r="H15835" s="16" t="s">
        <v>87</v>
      </c>
      <c r="I15835" s="16" t="s">
        <v>87</v>
      </c>
      <c r="J15835" s="19"/>
      <c r="L15835" s="16" t="str">
        <f>IFERROR(__xludf.DUMMYFUNCTION("""COMPUTED_VALUE"""),"")</f>
        <v/>
      </c>
      <c r="M15835" s="16" t="str">
        <f>IFERROR(__xludf.DUMMYFUNCTION("""COMPUTED_VALUE"""),"")</f>
        <v/>
      </c>
      <c r="U15835" s="16" t="s">
        <v>87</v>
      </c>
      <c r="V15835" s="16" t="str">
        <f>IFERROR(__xludf.DUMMYFUNCTION("""COMPUTED_VALUE"""),"")</f>
        <v/>
      </c>
      <c r="W15835" s="16" t="str">
        <f>IFERROR(__xludf.DUMMYFUNCTION("""COMPUTED_VALUE"""),"")</f>
        <v/>
      </c>
      <c r="X15835" s="16" t="str">
        <f>IFERROR(__xludf.DUMMYFUNCTION("""COMPUTED_VALUE"""),"")</f>
        <v/>
      </c>
      <c r="AC15835" s="16" t="str">
        <f>IFERROR(__xludf.DUMMYFUNCTION("""COMPUTED_VALUE"""),"")</f>
        <v/>
      </c>
    </row>
    <row r="15836">
      <c r="A15836" s="16" t="s">
        <v>87</v>
      </c>
      <c r="E15836" s="16" t="str">
        <f>IFERROR(__xludf.DUMMYFUNCTION("""COMPUTED_VALUE"""),"")</f>
        <v/>
      </c>
      <c r="G15836" s="18"/>
      <c r="H15836" s="16" t="s">
        <v>87</v>
      </c>
      <c r="I15836" s="16" t="s">
        <v>87</v>
      </c>
      <c r="J15836" s="19"/>
      <c r="L15836" s="16" t="str">
        <f>IFERROR(__xludf.DUMMYFUNCTION("""COMPUTED_VALUE"""),"")</f>
        <v/>
      </c>
      <c r="M15836" s="16" t="str">
        <f>IFERROR(__xludf.DUMMYFUNCTION("""COMPUTED_VALUE"""),"")</f>
        <v/>
      </c>
      <c r="U15836" s="16" t="s">
        <v>87</v>
      </c>
      <c r="V15836" s="16" t="str">
        <f>IFERROR(__xludf.DUMMYFUNCTION("""COMPUTED_VALUE"""),"")</f>
        <v/>
      </c>
      <c r="W15836" s="16" t="str">
        <f>IFERROR(__xludf.DUMMYFUNCTION("""COMPUTED_VALUE"""),"")</f>
        <v/>
      </c>
      <c r="X15836" s="16" t="str">
        <f>IFERROR(__xludf.DUMMYFUNCTION("""COMPUTED_VALUE"""),"")</f>
        <v/>
      </c>
      <c r="AC15836" s="16" t="str">
        <f>IFERROR(__xludf.DUMMYFUNCTION("""COMPUTED_VALUE"""),"")</f>
        <v/>
      </c>
    </row>
    <row r="15837">
      <c r="A15837" s="16" t="s">
        <v>87</v>
      </c>
      <c r="E15837" s="16" t="str">
        <f>IFERROR(__xludf.DUMMYFUNCTION("""COMPUTED_VALUE"""),"")</f>
        <v/>
      </c>
      <c r="G15837" s="18"/>
      <c r="H15837" s="16" t="s">
        <v>87</v>
      </c>
      <c r="I15837" s="16" t="s">
        <v>87</v>
      </c>
      <c r="J15837" s="19"/>
      <c r="L15837" s="16" t="str">
        <f>IFERROR(__xludf.DUMMYFUNCTION("""COMPUTED_VALUE"""),"")</f>
        <v/>
      </c>
      <c r="M15837" s="16" t="str">
        <f>IFERROR(__xludf.DUMMYFUNCTION("""COMPUTED_VALUE"""),"")</f>
        <v/>
      </c>
      <c r="U15837" s="16" t="s">
        <v>87</v>
      </c>
      <c r="V15837" s="16" t="str">
        <f>IFERROR(__xludf.DUMMYFUNCTION("""COMPUTED_VALUE"""),"")</f>
        <v/>
      </c>
      <c r="W15837" s="16" t="str">
        <f>IFERROR(__xludf.DUMMYFUNCTION("""COMPUTED_VALUE"""),"")</f>
        <v/>
      </c>
      <c r="X15837" s="16" t="str">
        <f>IFERROR(__xludf.DUMMYFUNCTION("""COMPUTED_VALUE"""),"")</f>
        <v/>
      </c>
      <c r="AC15837" s="16" t="str">
        <f>IFERROR(__xludf.DUMMYFUNCTION("""COMPUTED_VALUE"""),"")</f>
        <v/>
      </c>
    </row>
    <row r="15838">
      <c r="A15838" s="16" t="s">
        <v>87</v>
      </c>
      <c r="E15838" s="16" t="str">
        <f>IFERROR(__xludf.DUMMYFUNCTION("""COMPUTED_VALUE"""),"")</f>
        <v/>
      </c>
      <c r="G15838" s="18"/>
      <c r="H15838" s="16" t="s">
        <v>87</v>
      </c>
      <c r="I15838" s="16" t="s">
        <v>87</v>
      </c>
      <c r="J15838" s="19"/>
      <c r="L15838" s="16" t="str">
        <f>IFERROR(__xludf.DUMMYFUNCTION("""COMPUTED_VALUE"""),"")</f>
        <v/>
      </c>
      <c r="M15838" s="16" t="str">
        <f>IFERROR(__xludf.DUMMYFUNCTION("""COMPUTED_VALUE"""),"")</f>
        <v/>
      </c>
      <c r="U15838" s="16" t="s">
        <v>87</v>
      </c>
      <c r="V15838" s="16" t="str">
        <f>IFERROR(__xludf.DUMMYFUNCTION("""COMPUTED_VALUE"""),"")</f>
        <v/>
      </c>
      <c r="W15838" s="16" t="str">
        <f>IFERROR(__xludf.DUMMYFUNCTION("""COMPUTED_VALUE"""),"")</f>
        <v/>
      </c>
      <c r="X15838" s="16" t="str">
        <f>IFERROR(__xludf.DUMMYFUNCTION("""COMPUTED_VALUE"""),"")</f>
        <v/>
      </c>
      <c r="AC15838" s="16" t="str">
        <f>IFERROR(__xludf.DUMMYFUNCTION("""COMPUTED_VALUE"""),"")</f>
        <v/>
      </c>
    </row>
    <row r="15839">
      <c r="A15839" s="16" t="s">
        <v>87</v>
      </c>
      <c r="E15839" s="16" t="str">
        <f>IFERROR(__xludf.DUMMYFUNCTION("""COMPUTED_VALUE"""),"")</f>
        <v/>
      </c>
      <c r="G15839" s="18"/>
      <c r="H15839" s="16" t="s">
        <v>87</v>
      </c>
      <c r="I15839" s="16" t="s">
        <v>87</v>
      </c>
      <c r="J15839" s="19"/>
      <c r="L15839" s="16" t="str">
        <f>IFERROR(__xludf.DUMMYFUNCTION("""COMPUTED_VALUE"""),"")</f>
        <v/>
      </c>
      <c r="M15839" s="16" t="str">
        <f>IFERROR(__xludf.DUMMYFUNCTION("""COMPUTED_VALUE"""),"")</f>
        <v/>
      </c>
      <c r="U15839" s="16" t="s">
        <v>87</v>
      </c>
      <c r="V15839" s="16" t="str">
        <f>IFERROR(__xludf.DUMMYFUNCTION("""COMPUTED_VALUE"""),"")</f>
        <v/>
      </c>
      <c r="W15839" s="16" t="str">
        <f>IFERROR(__xludf.DUMMYFUNCTION("""COMPUTED_VALUE"""),"")</f>
        <v/>
      </c>
      <c r="X15839" s="16" t="str">
        <f>IFERROR(__xludf.DUMMYFUNCTION("""COMPUTED_VALUE"""),"")</f>
        <v/>
      </c>
      <c r="AC15839" s="16" t="str">
        <f>IFERROR(__xludf.DUMMYFUNCTION("""COMPUTED_VALUE"""),"")</f>
        <v/>
      </c>
    </row>
    <row r="15840">
      <c r="A15840" s="16" t="s">
        <v>87</v>
      </c>
      <c r="E15840" s="16" t="str">
        <f>IFERROR(__xludf.DUMMYFUNCTION("""COMPUTED_VALUE"""),"")</f>
        <v/>
      </c>
      <c r="G15840" s="18"/>
      <c r="H15840" s="16" t="s">
        <v>87</v>
      </c>
      <c r="I15840" s="16" t="s">
        <v>87</v>
      </c>
      <c r="J15840" s="19"/>
      <c r="L15840" s="16" t="str">
        <f>IFERROR(__xludf.DUMMYFUNCTION("""COMPUTED_VALUE"""),"")</f>
        <v/>
      </c>
      <c r="M15840" s="16" t="str">
        <f>IFERROR(__xludf.DUMMYFUNCTION("""COMPUTED_VALUE"""),"")</f>
        <v/>
      </c>
      <c r="U15840" s="16" t="s">
        <v>87</v>
      </c>
      <c r="V15840" s="16" t="str">
        <f>IFERROR(__xludf.DUMMYFUNCTION("""COMPUTED_VALUE"""),"")</f>
        <v/>
      </c>
      <c r="W15840" s="16" t="str">
        <f>IFERROR(__xludf.DUMMYFUNCTION("""COMPUTED_VALUE"""),"")</f>
        <v/>
      </c>
      <c r="X15840" s="16" t="str">
        <f>IFERROR(__xludf.DUMMYFUNCTION("""COMPUTED_VALUE"""),"")</f>
        <v/>
      </c>
      <c r="AC15840" s="16" t="str">
        <f>IFERROR(__xludf.DUMMYFUNCTION("""COMPUTED_VALUE"""),"")</f>
        <v/>
      </c>
    </row>
    <row r="15841">
      <c r="A15841" s="16" t="s">
        <v>87</v>
      </c>
      <c r="E15841" s="16" t="str">
        <f>IFERROR(__xludf.DUMMYFUNCTION("""COMPUTED_VALUE"""),"")</f>
        <v/>
      </c>
      <c r="G15841" s="18"/>
      <c r="H15841" s="16" t="s">
        <v>87</v>
      </c>
      <c r="I15841" s="16" t="s">
        <v>87</v>
      </c>
      <c r="J15841" s="19"/>
      <c r="L15841" s="16" t="str">
        <f>IFERROR(__xludf.DUMMYFUNCTION("""COMPUTED_VALUE"""),"")</f>
        <v/>
      </c>
      <c r="M15841" s="16" t="str">
        <f>IFERROR(__xludf.DUMMYFUNCTION("""COMPUTED_VALUE"""),"")</f>
        <v/>
      </c>
      <c r="U15841" s="16" t="s">
        <v>87</v>
      </c>
      <c r="V15841" s="16" t="str">
        <f>IFERROR(__xludf.DUMMYFUNCTION("""COMPUTED_VALUE"""),"")</f>
        <v/>
      </c>
      <c r="W15841" s="16" t="str">
        <f>IFERROR(__xludf.DUMMYFUNCTION("""COMPUTED_VALUE"""),"")</f>
        <v/>
      </c>
      <c r="X15841" s="16" t="str">
        <f>IFERROR(__xludf.DUMMYFUNCTION("""COMPUTED_VALUE"""),"")</f>
        <v/>
      </c>
      <c r="AC15841" s="16" t="str">
        <f>IFERROR(__xludf.DUMMYFUNCTION("""COMPUTED_VALUE"""),"")</f>
        <v/>
      </c>
    </row>
    <row r="15842">
      <c r="A15842" s="16" t="s">
        <v>87</v>
      </c>
      <c r="E15842" s="16" t="str">
        <f>IFERROR(__xludf.DUMMYFUNCTION("""COMPUTED_VALUE"""),"")</f>
        <v/>
      </c>
      <c r="G15842" s="18"/>
      <c r="H15842" s="16" t="s">
        <v>87</v>
      </c>
      <c r="I15842" s="16" t="s">
        <v>87</v>
      </c>
      <c r="J15842" s="19"/>
      <c r="L15842" s="16" t="str">
        <f>IFERROR(__xludf.DUMMYFUNCTION("""COMPUTED_VALUE"""),"")</f>
        <v/>
      </c>
      <c r="M15842" s="16" t="str">
        <f>IFERROR(__xludf.DUMMYFUNCTION("""COMPUTED_VALUE"""),"")</f>
        <v/>
      </c>
      <c r="U15842" s="16" t="s">
        <v>87</v>
      </c>
      <c r="V15842" s="16" t="str">
        <f>IFERROR(__xludf.DUMMYFUNCTION("""COMPUTED_VALUE"""),"")</f>
        <v/>
      </c>
      <c r="W15842" s="16" t="str">
        <f>IFERROR(__xludf.DUMMYFUNCTION("""COMPUTED_VALUE"""),"")</f>
        <v/>
      </c>
      <c r="X15842" s="16" t="str">
        <f>IFERROR(__xludf.DUMMYFUNCTION("""COMPUTED_VALUE"""),"")</f>
        <v/>
      </c>
      <c r="AC15842" s="16" t="str">
        <f>IFERROR(__xludf.DUMMYFUNCTION("""COMPUTED_VALUE"""),"")</f>
        <v/>
      </c>
    </row>
    <row r="15843">
      <c r="A15843" s="16" t="s">
        <v>87</v>
      </c>
      <c r="E15843" s="16" t="str">
        <f>IFERROR(__xludf.DUMMYFUNCTION("""COMPUTED_VALUE"""),"")</f>
        <v/>
      </c>
      <c r="G15843" s="18"/>
      <c r="H15843" s="16" t="s">
        <v>87</v>
      </c>
      <c r="I15843" s="16" t="s">
        <v>87</v>
      </c>
      <c r="J15843" s="19"/>
      <c r="L15843" s="16" t="str">
        <f>IFERROR(__xludf.DUMMYFUNCTION("""COMPUTED_VALUE"""),"")</f>
        <v/>
      </c>
      <c r="M15843" s="16" t="str">
        <f>IFERROR(__xludf.DUMMYFUNCTION("""COMPUTED_VALUE"""),"")</f>
        <v/>
      </c>
      <c r="U15843" s="16" t="s">
        <v>87</v>
      </c>
      <c r="V15843" s="16" t="str">
        <f>IFERROR(__xludf.DUMMYFUNCTION("""COMPUTED_VALUE"""),"")</f>
        <v/>
      </c>
      <c r="W15843" s="16" t="str">
        <f>IFERROR(__xludf.DUMMYFUNCTION("""COMPUTED_VALUE"""),"")</f>
        <v/>
      </c>
      <c r="X15843" s="16" t="str">
        <f>IFERROR(__xludf.DUMMYFUNCTION("""COMPUTED_VALUE"""),"")</f>
        <v/>
      </c>
      <c r="AC15843" s="16" t="str">
        <f>IFERROR(__xludf.DUMMYFUNCTION("""COMPUTED_VALUE"""),"")</f>
        <v/>
      </c>
    </row>
    <row r="15844">
      <c r="A15844" s="16" t="s">
        <v>87</v>
      </c>
      <c r="E15844" s="16" t="str">
        <f>IFERROR(__xludf.DUMMYFUNCTION("""COMPUTED_VALUE"""),"")</f>
        <v/>
      </c>
      <c r="G15844" s="18"/>
      <c r="H15844" s="16" t="s">
        <v>87</v>
      </c>
      <c r="I15844" s="16" t="s">
        <v>87</v>
      </c>
      <c r="J15844" s="19"/>
      <c r="L15844" s="16" t="str">
        <f>IFERROR(__xludf.DUMMYFUNCTION("""COMPUTED_VALUE"""),"")</f>
        <v/>
      </c>
      <c r="M15844" s="16" t="str">
        <f>IFERROR(__xludf.DUMMYFUNCTION("""COMPUTED_VALUE"""),"")</f>
        <v/>
      </c>
      <c r="U15844" s="16" t="s">
        <v>87</v>
      </c>
      <c r="V15844" s="16" t="str">
        <f>IFERROR(__xludf.DUMMYFUNCTION("""COMPUTED_VALUE"""),"")</f>
        <v/>
      </c>
      <c r="W15844" s="16" t="str">
        <f>IFERROR(__xludf.DUMMYFUNCTION("""COMPUTED_VALUE"""),"")</f>
        <v/>
      </c>
      <c r="X15844" s="16" t="str">
        <f>IFERROR(__xludf.DUMMYFUNCTION("""COMPUTED_VALUE"""),"")</f>
        <v/>
      </c>
      <c r="AC15844" s="16" t="str">
        <f>IFERROR(__xludf.DUMMYFUNCTION("""COMPUTED_VALUE"""),"")</f>
        <v/>
      </c>
    </row>
    <row r="15845">
      <c r="A15845" s="16" t="s">
        <v>87</v>
      </c>
      <c r="E15845" s="16" t="str">
        <f>IFERROR(__xludf.DUMMYFUNCTION("""COMPUTED_VALUE"""),"")</f>
        <v/>
      </c>
      <c r="G15845" s="18"/>
      <c r="H15845" s="16" t="s">
        <v>87</v>
      </c>
      <c r="I15845" s="16" t="s">
        <v>87</v>
      </c>
      <c r="J15845" s="19"/>
      <c r="L15845" s="16" t="str">
        <f>IFERROR(__xludf.DUMMYFUNCTION("""COMPUTED_VALUE"""),"")</f>
        <v/>
      </c>
      <c r="M15845" s="16" t="str">
        <f>IFERROR(__xludf.DUMMYFUNCTION("""COMPUTED_VALUE"""),"")</f>
        <v/>
      </c>
      <c r="U15845" s="16" t="s">
        <v>87</v>
      </c>
      <c r="V15845" s="16" t="str">
        <f>IFERROR(__xludf.DUMMYFUNCTION("""COMPUTED_VALUE"""),"")</f>
        <v/>
      </c>
      <c r="W15845" s="16" t="str">
        <f>IFERROR(__xludf.DUMMYFUNCTION("""COMPUTED_VALUE"""),"")</f>
        <v/>
      </c>
      <c r="X15845" s="16" t="str">
        <f>IFERROR(__xludf.DUMMYFUNCTION("""COMPUTED_VALUE"""),"")</f>
        <v/>
      </c>
      <c r="AC15845" s="16" t="str">
        <f>IFERROR(__xludf.DUMMYFUNCTION("""COMPUTED_VALUE"""),"")</f>
        <v/>
      </c>
    </row>
    <row r="15846">
      <c r="A15846" s="16" t="s">
        <v>87</v>
      </c>
      <c r="E15846" s="16" t="str">
        <f>IFERROR(__xludf.DUMMYFUNCTION("""COMPUTED_VALUE"""),"")</f>
        <v/>
      </c>
      <c r="G15846" s="18"/>
      <c r="H15846" s="16" t="s">
        <v>87</v>
      </c>
      <c r="I15846" s="16" t="s">
        <v>87</v>
      </c>
      <c r="J15846" s="19"/>
      <c r="L15846" s="16" t="str">
        <f>IFERROR(__xludf.DUMMYFUNCTION("""COMPUTED_VALUE"""),"")</f>
        <v/>
      </c>
      <c r="M15846" s="16" t="str">
        <f>IFERROR(__xludf.DUMMYFUNCTION("""COMPUTED_VALUE"""),"")</f>
        <v/>
      </c>
      <c r="U15846" s="16" t="s">
        <v>87</v>
      </c>
      <c r="V15846" s="16" t="str">
        <f>IFERROR(__xludf.DUMMYFUNCTION("""COMPUTED_VALUE"""),"")</f>
        <v/>
      </c>
      <c r="W15846" s="16" t="str">
        <f>IFERROR(__xludf.DUMMYFUNCTION("""COMPUTED_VALUE"""),"")</f>
        <v/>
      </c>
      <c r="X15846" s="16" t="str">
        <f>IFERROR(__xludf.DUMMYFUNCTION("""COMPUTED_VALUE"""),"")</f>
        <v/>
      </c>
      <c r="AC15846" s="16" t="str">
        <f>IFERROR(__xludf.DUMMYFUNCTION("""COMPUTED_VALUE"""),"")</f>
        <v/>
      </c>
    </row>
    <row r="15847">
      <c r="A15847" s="16" t="s">
        <v>87</v>
      </c>
      <c r="E15847" s="16" t="str">
        <f>IFERROR(__xludf.DUMMYFUNCTION("""COMPUTED_VALUE"""),"")</f>
        <v/>
      </c>
      <c r="G15847" s="18"/>
      <c r="H15847" s="16" t="s">
        <v>87</v>
      </c>
      <c r="I15847" s="16" t="s">
        <v>87</v>
      </c>
      <c r="J15847" s="19"/>
      <c r="L15847" s="16" t="str">
        <f>IFERROR(__xludf.DUMMYFUNCTION("""COMPUTED_VALUE"""),"")</f>
        <v/>
      </c>
      <c r="M15847" s="16" t="str">
        <f>IFERROR(__xludf.DUMMYFUNCTION("""COMPUTED_VALUE"""),"")</f>
        <v/>
      </c>
      <c r="U15847" s="16" t="s">
        <v>87</v>
      </c>
      <c r="V15847" s="16" t="str">
        <f>IFERROR(__xludf.DUMMYFUNCTION("""COMPUTED_VALUE"""),"")</f>
        <v/>
      </c>
      <c r="W15847" s="16" t="str">
        <f>IFERROR(__xludf.DUMMYFUNCTION("""COMPUTED_VALUE"""),"")</f>
        <v/>
      </c>
      <c r="X15847" s="16" t="str">
        <f>IFERROR(__xludf.DUMMYFUNCTION("""COMPUTED_VALUE"""),"")</f>
        <v/>
      </c>
      <c r="AC15847" s="16" t="str">
        <f>IFERROR(__xludf.DUMMYFUNCTION("""COMPUTED_VALUE"""),"")</f>
        <v/>
      </c>
    </row>
    <row r="15848">
      <c r="A15848" s="16" t="s">
        <v>87</v>
      </c>
      <c r="E15848" s="16" t="str">
        <f>IFERROR(__xludf.DUMMYFUNCTION("""COMPUTED_VALUE"""),"")</f>
        <v/>
      </c>
      <c r="G15848" s="18"/>
      <c r="H15848" s="16" t="s">
        <v>87</v>
      </c>
      <c r="I15848" s="16" t="s">
        <v>87</v>
      </c>
      <c r="J15848" s="19"/>
      <c r="L15848" s="16" t="str">
        <f>IFERROR(__xludf.DUMMYFUNCTION("""COMPUTED_VALUE"""),"")</f>
        <v/>
      </c>
      <c r="M15848" s="16" t="str">
        <f>IFERROR(__xludf.DUMMYFUNCTION("""COMPUTED_VALUE"""),"")</f>
        <v/>
      </c>
      <c r="U15848" s="16" t="s">
        <v>87</v>
      </c>
      <c r="V15848" s="16" t="str">
        <f>IFERROR(__xludf.DUMMYFUNCTION("""COMPUTED_VALUE"""),"")</f>
        <v/>
      </c>
      <c r="W15848" s="16" t="str">
        <f>IFERROR(__xludf.DUMMYFUNCTION("""COMPUTED_VALUE"""),"")</f>
        <v/>
      </c>
      <c r="X15848" s="16" t="str">
        <f>IFERROR(__xludf.DUMMYFUNCTION("""COMPUTED_VALUE"""),"")</f>
        <v/>
      </c>
      <c r="AC15848" s="16" t="str">
        <f>IFERROR(__xludf.DUMMYFUNCTION("""COMPUTED_VALUE"""),"")</f>
        <v/>
      </c>
    </row>
    <row r="15849">
      <c r="A15849" s="16" t="s">
        <v>87</v>
      </c>
      <c r="E15849" s="16" t="str">
        <f>IFERROR(__xludf.DUMMYFUNCTION("""COMPUTED_VALUE"""),"")</f>
        <v/>
      </c>
      <c r="G15849" s="18"/>
      <c r="H15849" s="16" t="s">
        <v>87</v>
      </c>
      <c r="I15849" s="16" t="s">
        <v>87</v>
      </c>
      <c r="J15849" s="19"/>
      <c r="L15849" s="16" t="str">
        <f>IFERROR(__xludf.DUMMYFUNCTION("""COMPUTED_VALUE"""),"")</f>
        <v/>
      </c>
      <c r="M15849" s="16" t="str">
        <f>IFERROR(__xludf.DUMMYFUNCTION("""COMPUTED_VALUE"""),"")</f>
        <v/>
      </c>
      <c r="U15849" s="16" t="s">
        <v>87</v>
      </c>
      <c r="V15849" s="16" t="str">
        <f>IFERROR(__xludf.DUMMYFUNCTION("""COMPUTED_VALUE"""),"")</f>
        <v/>
      </c>
      <c r="W15849" s="16" t="str">
        <f>IFERROR(__xludf.DUMMYFUNCTION("""COMPUTED_VALUE"""),"")</f>
        <v/>
      </c>
      <c r="X15849" s="16" t="str">
        <f>IFERROR(__xludf.DUMMYFUNCTION("""COMPUTED_VALUE"""),"")</f>
        <v/>
      </c>
      <c r="AC15849" s="16" t="str">
        <f>IFERROR(__xludf.DUMMYFUNCTION("""COMPUTED_VALUE"""),"")</f>
        <v/>
      </c>
    </row>
    <row r="15850">
      <c r="A15850" s="16" t="s">
        <v>87</v>
      </c>
      <c r="E15850" s="16" t="str">
        <f>IFERROR(__xludf.DUMMYFUNCTION("""COMPUTED_VALUE"""),"")</f>
        <v/>
      </c>
      <c r="G15850" s="18"/>
      <c r="H15850" s="16" t="s">
        <v>87</v>
      </c>
      <c r="I15850" s="16" t="s">
        <v>87</v>
      </c>
      <c r="J15850" s="19"/>
      <c r="L15850" s="16" t="str">
        <f>IFERROR(__xludf.DUMMYFUNCTION("""COMPUTED_VALUE"""),"")</f>
        <v/>
      </c>
      <c r="M15850" s="16" t="str">
        <f>IFERROR(__xludf.DUMMYFUNCTION("""COMPUTED_VALUE"""),"")</f>
        <v/>
      </c>
      <c r="U15850" s="16" t="s">
        <v>87</v>
      </c>
      <c r="V15850" s="16" t="str">
        <f>IFERROR(__xludf.DUMMYFUNCTION("""COMPUTED_VALUE"""),"")</f>
        <v/>
      </c>
      <c r="W15850" s="16" t="str">
        <f>IFERROR(__xludf.DUMMYFUNCTION("""COMPUTED_VALUE"""),"")</f>
        <v/>
      </c>
      <c r="X15850" s="16" t="str">
        <f>IFERROR(__xludf.DUMMYFUNCTION("""COMPUTED_VALUE"""),"")</f>
        <v/>
      </c>
      <c r="AC15850" s="16" t="str">
        <f>IFERROR(__xludf.DUMMYFUNCTION("""COMPUTED_VALUE"""),"")</f>
        <v/>
      </c>
    </row>
    <row r="15851">
      <c r="A15851" s="16" t="s">
        <v>87</v>
      </c>
      <c r="E15851" s="16" t="str">
        <f>IFERROR(__xludf.DUMMYFUNCTION("""COMPUTED_VALUE"""),"")</f>
        <v/>
      </c>
      <c r="G15851" s="18"/>
      <c r="H15851" s="16" t="s">
        <v>87</v>
      </c>
      <c r="I15851" s="16" t="s">
        <v>87</v>
      </c>
      <c r="J15851" s="19"/>
      <c r="L15851" s="16" t="str">
        <f>IFERROR(__xludf.DUMMYFUNCTION("""COMPUTED_VALUE"""),"")</f>
        <v/>
      </c>
      <c r="M15851" s="16" t="str">
        <f>IFERROR(__xludf.DUMMYFUNCTION("""COMPUTED_VALUE"""),"")</f>
        <v/>
      </c>
      <c r="U15851" s="16" t="s">
        <v>87</v>
      </c>
      <c r="V15851" s="16" t="str">
        <f>IFERROR(__xludf.DUMMYFUNCTION("""COMPUTED_VALUE"""),"")</f>
        <v/>
      </c>
      <c r="W15851" s="16" t="str">
        <f>IFERROR(__xludf.DUMMYFUNCTION("""COMPUTED_VALUE"""),"")</f>
        <v/>
      </c>
      <c r="X15851" s="16" t="str">
        <f>IFERROR(__xludf.DUMMYFUNCTION("""COMPUTED_VALUE"""),"")</f>
        <v/>
      </c>
      <c r="AC15851" s="16" t="str">
        <f>IFERROR(__xludf.DUMMYFUNCTION("""COMPUTED_VALUE"""),"")</f>
        <v/>
      </c>
    </row>
    <row r="15852">
      <c r="A15852" s="16" t="s">
        <v>87</v>
      </c>
      <c r="E15852" s="16" t="str">
        <f>IFERROR(__xludf.DUMMYFUNCTION("""COMPUTED_VALUE"""),"")</f>
        <v/>
      </c>
      <c r="G15852" s="18"/>
      <c r="H15852" s="16" t="s">
        <v>87</v>
      </c>
      <c r="I15852" s="16" t="s">
        <v>87</v>
      </c>
      <c r="J15852" s="19"/>
      <c r="L15852" s="16" t="str">
        <f>IFERROR(__xludf.DUMMYFUNCTION("""COMPUTED_VALUE"""),"")</f>
        <v/>
      </c>
      <c r="M15852" s="16" t="str">
        <f>IFERROR(__xludf.DUMMYFUNCTION("""COMPUTED_VALUE"""),"")</f>
        <v/>
      </c>
      <c r="U15852" s="16" t="s">
        <v>87</v>
      </c>
      <c r="V15852" s="16" t="str">
        <f>IFERROR(__xludf.DUMMYFUNCTION("""COMPUTED_VALUE"""),"")</f>
        <v/>
      </c>
      <c r="W15852" s="16" t="str">
        <f>IFERROR(__xludf.DUMMYFUNCTION("""COMPUTED_VALUE"""),"")</f>
        <v/>
      </c>
      <c r="X15852" s="16" t="str">
        <f>IFERROR(__xludf.DUMMYFUNCTION("""COMPUTED_VALUE"""),"")</f>
        <v/>
      </c>
      <c r="AC15852" s="16" t="str">
        <f>IFERROR(__xludf.DUMMYFUNCTION("""COMPUTED_VALUE"""),"")</f>
        <v/>
      </c>
    </row>
    <row r="15853">
      <c r="A15853" s="16" t="s">
        <v>87</v>
      </c>
      <c r="E15853" s="16" t="str">
        <f>IFERROR(__xludf.DUMMYFUNCTION("""COMPUTED_VALUE"""),"")</f>
        <v/>
      </c>
      <c r="G15853" s="18"/>
      <c r="H15853" s="16" t="s">
        <v>87</v>
      </c>
      <c r="I15853" s="16" t="s">
        <v>87</v>
      </c>
      <c r="J15853" s="19"/>
      <c r="L15853" s="16" t="str">
        <f>IFERROR(__xludf.DUMMYFUNCTION("""COMPUTED_VALUE"""),"")</f>
        <v/>
      </c>
      <c r="M15853" s="16" t="str">
        <f>IFERROR(__xludf.DUMMYFUNCTION("""COMPUTED_VALUE"""),"")</f>
        <v/>
      </c>
      <c r="U15853" s="16" t="s">
        <v>87</v>
      </c>
      <c r="V15853" s="16" t="str">
        <f>IFERROR(__xludf.DUMMYFUNCTION("""COMPUTED_VALUE"""),"")</f>
        <v/>
      </c>
      <c r="W15853" s="16" t="str">
        <f>IFERROR(__xludf.DUMMYFUNCTION("""COMPUTED_VALUE"""),"")</f>
        <v/>
      </c>
      <c r="X15853" s="16" t="str">
        <f>IFERROR(__xludf.DUMMYFUNCTION("""COMPUTED_VALUE"""),"")</f>
        <v/>
      </c>
      <c r="AC15853" s="16" t="str">
        <f>IFERROR(__xludf.DUMMYFUNCTION("""COMPUTED_VALUE"""),"")</f>
        <v/>
      </c>
    </row>
    <row r="15854">
      <c r="A15854" s="16" t="s">
        <v>87</v>
      </c>
      <c r="E15854" s="16" t="str">
        <f>IFERROR(__xludf.DUMMYFUNCTION("""COMPUTED_VALUE"""),"")</f>
        <v/>
      </c>
      <c r="G15854" s="18"/>
      <c r="H15854" s="16" t="s">
        <v>87</v>
      </c>
      <c r="I15854" s="16" t="s">
        <v>87</v>
      </c>
      <c r="J15854" s="19"/>
      <c r="L15854" s="16" t="str">
        <f>IFERROR(__xludf.DUMMYFUNCTION("""COMPUTED_VALUE"""),"")</f>
        <v/>
      </c>
      <c r="M15854" s="16" t="str">
        <f>IFERROR(__xludf.DUMMYFUNCTION("""COMPUTED_VALUE"""),"")</f>
        <v/>
      </c>
      <c r="U15854" s="16" t="s">
        <v>87</v>
      </c>
      <c r="V15854" s="16" t="str">
        <f>IFERROR(__xludf.DUMMYFUNCTION("""COMPUTED_VALUE"""),"")</f>
        <v/>
      </c>
      <c r="W15854" s="16" t="str">
        <f>IFERROR(__xludf.DUMMYFUNCTION("""COMPUTED_VALUE"""),"")</f>
        <v/>
      </c>
      <c r="X15854" s="16" t="str">
        <f>IFERROR(__xludf.DUMMYFUNCTION("""COMPUTED_VALUE"""),"")</f>
        <v/>
      </c>
      <c r="AC15854" s="16" t="str">
        <f>IFERROR(__xludf.DUMMYFUNCTION("""COMPUTED_VALUE"""),"")</f>
        <v/>
      </c>
    </row>
    <row r="15855">
      <c r="A15855" s="16" t="s">
        <v>87</v>
      </c>
      <c r="E15855" s="16" t="str">
        <f>IFERROR(__xludf.DUMMYFUNCTION("""COMPUTED_VALUE"""),"")</f>
        <v/>
      </c>
      <c r="G15855" s="18"/>
      <c r="H15855" s="16" t="s">
        <v>87</v>
      </c>
      <c r="I15855" s="16" t="s">
        <v>87</v>
      </c>
      <c r="J15855" s="19"/>
      <c r="L15855" s="16" t="str">
        <f>IFERROR(__xludf.DUMMYFUNCTION("""COMPUTED_VALUE"""),"")</f>
        <v/>
      </c>
      <c r="M15855" s="16" t="str">
        <f>IFERROR(__xludf.DUMMYFUNCTION("""COMPUTED_VALUE"""),"")</f>
        <v/>
      </c>
      <c r="U15855" s="16" t="s">
        <v>87</v>
      </c>
      <c r="V15855" s="16" t="str">
        <f>IFERROR(__xludf.DUMMYFUNCTION("""COMPUTED_VALUE"""),"")</f>
        <v/>
      </c>
      <c r="W15855" s="16" t="str">
        <f>IFERROR(__xludf.DUMMYFUNCTION("""COMPUTED_VALUE"""),"")</f>
        <v/>
      </c>
      <c r="X15855" s="16" t="str">
        <f>IFERROR(__xludf.DUMMYFUNCTION("""COMPUTED_VALUE"""),"")</f>
        <v/>
      </c>
      <c r="AC15855" s="16" t="str">
        <f>IFERROR(__xludf.DUMMYFUNCTION("""COMPUTED_VALUE"""),"")</f>
        <v/>
      </c>
    </row>
    <row r="15856">
      <c r="A15856" s="16" t="s">
        <v>87</v>
      </c>
      <c r="E15856" s="16" t="str">
        <f>IFERROR(__xludf.DUMMYFUNCTION("""COMPUTED_VALUE"""),"")</f>
        <v/>
      </c>
      <c r="G15856" s="18"/>
      <c r="H15856" s="16" t="s">
        <v>87</v>
      </c>
      <c r="I15856" s="16" t="s">
        <v>87</v>
      </c>
      <c r="J15856" s="19"/>
      <c r="L15856" s="16" t="str">
        <f>IFERROR(__xludf.DUMMYFUNCTION("""COMPUTED_VALUE"""),"")</f>
        <v/>
      </c>
      <c r="M15856" s="16" t="str">
        <f>IFERROR(__xludf.DUMMYFUNCTION("""COMPUTED_VALUE"""),"")</f>
        <v/>
      </c>
      <c r="U15856" s="16" t="s">
        <v>87</v>
      </c>
      <c r="V15856" s="16" t="str">
        <f>IFERROR(__xludf.DUMMYFUNCTION("""COMPUTED_VALUE"""),"")</f>
        <v/>
      </c>
      <c r="W15856" s="16" t="str">
        <f>IFERROR(__xludf.DUMMYFUNCTION("""COMPUTED_VALUE"""),"")</f>
        <v/>
      </c>
      <c r="X15856" s="16" t="str">
        <f>IFERROR(__xludf.DUMMYFUNCTION("""COMPUTED_VALUE"""),"")</f>
        <v/>
      </c>
      <c r="AC15856" s="16" t="str">
        <f>IFERROR(__xludf.DUMMYFUNCTION("""COMPUTED_VALUE"""),"")</f>
        <v/>
      </c>
    </row>
    <row r="15857">
      <c r="A15857" s="16" t="s">
        <v>87</v>
      </c>
      <c r="E15857" s="16" t="str">
        <f>IFERROR(__xludf.DUMMYFUNCTION("""COMPUTED_VALUE"""),"")</f>
        <v/>
      </c>
      <c r="G15857" s="18"/>
      <c r="H15857" s="16" t="s">
        <v>87</v>
      </c>
      <c r="I15857" s="16" t="s">
        <v>87</v>
      </c>
      <c r="J15857" s="19"/>
      <c r="L15857" s="16" t="str">
        <f>IFERROR(__xludf.DUMMYFUNCTION("""COMPUTED_VALUE"""),"")</f>
        <v/>
      </c>
      <c r="M15857" s="16" t="str">
        <f>IFERROR(__xludf.DUMMYFUNCTION("""COMPUTED_VALUE"""),"")</f>
        <v/>
      </c>
      <c r="U15857" s="16" t="s">
        <v>87</v>
      </c>
      <c r="V15857" s="16" t="str">
        <f>IFERROR(__xludf.DUMMYFUNCTION("""COMPUTED_VALUE"""),"")</f>
        <v/>
      </c>
      <c r="W15857" s="16" t="str">
        <f>IFERROR(__xludf.DUMMYFUNCTION("""COMPUTED_VALUE"""),"")</f>
        <v/>
      </c>
      <c r="X15857" s="16" t="str">
        <f>IFERROR(__xludf.DUMMYFUNCTION("""COMPUTED_VALUE"""),"")</f>
        <v/>
      </c>
      <c r="AC15857" s="16" t="str">
        <f>IFERROR(__xludf.DUMMYFUNCTION("""COMPUTED_VALUE"""),"")</f>
        <v/>
      </c>
    </row>
    <row r="15858">
      <c r="A15858" s="16" t="s">
        <v>87</v>
      </c>
      <c r="E15858" s="16" t="str">
        <f>IFERROR(__xludf.DUMMYFUNCTION("""COMPUTED_VALUE"""),"")</f>
        <v/>
      </c>
      <c r="G15858" s="18"/>
      <c r="H15858" s="16" t="s">
        <v>87</v>
      </c>
      <c r="I15858" s="16" t="s">
        <v>87</v>
      </c>
      <c r="J15858" s="19"/>
      <c r="L15858" s="16" t="str">
        <f>IFERROR(__xludf.DUMMYFUNCTION("""COMPUTED_VALUE"""),"")</f>
        <v/>
      </c>
      <c r="M15858" s="16" t="str">
        <f>IFERROR(__xludf.DUMMYFUNCTION("""COMPUTED_VALUE"""),"")</f>
        <v/>
      </c>
      <c r="U15858" s="16" t="s">
        <v>87</v>
      </c>
      <c r="V15858" s="16" t="str">
        <f>IFERROR(__xludf.DUMMYFUNCTION("""COMPUTED_VALUE"""),"")</f>
        <v/>
      </c>
      <c r="W15858" s="16" t="str">
        <f>IFERROR(__xludf.DUMMYFUNCTION("""COMPUTED_VALUE"""),"")</f>
        <v/>
      </c>
      <c r="X15858" s="16" t="str">
        <f>IFERROR(__xludf.DUMMYFUNCTION("""COMPUTED_VALUE"""),"")</f>
        <v/>
      </c>
      <c r="AC15858" s="16" t="str">
        <f>IFERROR(__xludf.DUMMYFUNCTION("""COMPUTED_VALUE"""),"")</f>
        <v/>
      </c>
    </row>
    <row r="15859">
      <c r="A15859" s="16" t="s">
        <v>87</v>
      </c>
      <c r="E15859" s="16" t="str">
        <f>IFERROR(__xludf.DUMMYFUNCTION("""COMPUTED_VALUE"""),"")</f>
        <v/>
      </c>
      <c r="G15859" s="18"/>
      <c r="H15859" s="16" t="s">
        <v>87</v>
      </c>
      <c r="I15859" s="16" t="s">
        <v>87</v>
      </c>
      <c r="J15859" s="19"/>
      <c r="L15859" s="16" t="str">
        <f>IFERROR(__xludf.DUMMYFUNCTION("""COMPUTED_VALUE"""),"")</f>
        <v/>
      </c>
      <c r="M15859" s="16" t="str">
        <f>IFERROR(__xludf.DUMMYFUNCTION("""COMPUTED_VALUE"""),"")</f>
        <v/>
      </c>
      <c r="U15859" s="16" t="s">
        <v>87</v>
      </c>
      <c r="V15859" s="16" t="str">
        <f>IFERROR(__xludf.DUMMYFUNCTION("""COMPUTED_VALUE"""),"")</f>
        <v/>
      </c>
      <c r="W15859" s="16" t="str">
        <f>IFERROR(__xludf.DUMMYFUNCTION("""COMPUTED_VALUE"""),"")</f>
        <v/>
      </c>
      <c r="X15859" s="16" t="str">
        <f>IFERROR(__xludf.DUMMYFUNCTION("""COMPUTED_VALUE"""),"")</f>
        <v/>
      </c>
      <c r="AC15859" s="16" t="str">
        <f>IFERROR(__xludf.DUMMYFUNCTION("""COMPUTED_VALUE"""),"")</f>
        <v/>
      </c>
    </row>
    <row r="15860">
      <c r="A15860" s="16" t="s">
        <v>87</v>
      </c>
      <c r="E15860" s="16" t="str">
        <f>IFERROR(__xludf.DUMMYFUNCTION("""COMPUTED_VALUE"""),"")</f>
        <v/>
      </c>
      <c r="G15860" s="18"/>
      <c r="H15860" s="16" t="s">
        <v>87</v>
      </c>
      <c r="I15860" s="16" t="s">
        <v>87</v>
      </c>
      <c r="J15860" s="19"/>
      <c r="L15860" s="16" t="str">
        <f>IFERROR(__xludf.DUMMYFUNCTION("""COMPUTED_VALUE"""),"")</f>
        <v/>
      </c>
      <c r="M15860" s="16" t="str">
        <f>IFERROR(__xludf.DUMMYFUNCTION("""COMPUTED_VALUE"""),"")</f>
        <v/>
      </c>
      <c r="U15860" s="16" t="s">
        <v>87</v>
      </c>
      <c r="V15860" s="16" t="str">
        <f>IFERROR(__xludf.DUMMYFUNCTION("""COMPUTED_VALUE"""),"")</f>
        <v/>
      </c>
      <c r="W15860" s="16" t="str">
        <f>IFERROR(__xludf.DUMMYFUNCTION("""COMPUTED_VALUE"""),"")</f>
        <v/>
      </c>
      <c r="X15860" s="16" t="str">
        <f>IFERROR(__xludf.DUMMYFUNCTION("""COMPUTED_VALUE"""),"")</f>
        <v/>
      </c>
      <c r="AC15860" s="16" t="str">
        <f>IFERROR(__xludf.DUMMYFUNCTION("""COMPUTED_VALUE"""),"")</f>
        <v/>
      </c>
    </row>
    <row r="15861">
      <c r="A15861" s="16" t="s">
        <v>87</v>
      </c>
      <c r="E15861" s="16" t="str">
        <f>IFERROR(__xludf.DUMMYFUNCTION("""COMPUTED_VALUE"""),"")</f>
        <v/>
      </c>
      <c r="G15861" s="18"/>
      <c r="H15861" s="16" t="s">
        <v>87</v>
      </c>
      <c r="I15861" s="16" t="s">
        <v>87</v>
      </c>
      <c r="J15861" s="19"/>
      <c r="L15861" s="16" t="str">
        <f>IFERROR(__xludf.DUMMYFUNCTION("""COMPUTED_VALUE"""),"")</f>
        <v/>
      </c>
      <c r="M15861" s="16" t="str">
        <f>IFERROR(__xludf.DUMMYFUNCTION("""COMPUTED_VALUE"""),"")</f>
        <v/>
      </c>
      <c r="U15861" s="16" t="s">
        <v>87</v>
      </c>
      <c r="V15861" s="16" t="str">
        <f>IFERROR(__xludf.DUMMYFUNCTION("""COMPUTED_VALUE"""),"")</f>
        <v/>
      </c>
      <c r="W15861" s="16" t="str">
        <f>IFERROR(__xludf.DUMMYFUNCTION("""COMPUTED_VALUE"""),"")</f>
        <v/>
      </c>
      <c r="X15861" s="16" t="str">
        <f>IFERROR(__xludf.DUMMYFUNCTION("""COMPUTED_VALUE"""),"")</f>
        <v/>
      </c>
      <c r="AC15861" s="16" t="str">
        <f>IFERROR(__xludf.DUMMYFUNCTION("""COMPUTED_VALUE"""),"")</f>
        <v/>
      </c>
    </row>
    <row r="15862">
      <c r="A15862" s="16" t="s">
        <v>87</v>
      </c>
      <c r="E15862" s="16" t="str">
        <f>IFERROR(__xludf.DUMMYFUNCTION("""COMPUTED_VALUE"""),"")</f>
        <v/>
      </c>
      <c r="G15862" s="18"/>
      <c r="H15862" s="16" t="s">
        <v>87</v>
      </c>
      <c r="I15862" s="16" t="s">
        <v>87</v>
      </c>
      <c r="J15862" s="19"/>
      <c r="L15862" s="16" t="str">
        <f>IFERROR(__xludf.DUMMYFUNCTION("""COMPUTED_VALUE"""),"")</f>
        <v/>
      </c>
      <c r="M15862" s="16" t="str">
        <f>IFERROR(__xludf.DUMMYFUNCTION("""COMPUTED_VALUE"""),"")</f>
        <v/>
      </c>
      <c r="U15862" s="16" t="s">
        <v>87</v>
      </c>
      <c r="V15862" s="16" t="str">
        <f>IFERROR(__xludf.DUMMYFUNCTION("""COMPUTED_VALUE"""),"")</f>
        <v/>
      </c>
      <c r="W15862" s="16" t="str">
        <f>IFERROR(__xludf.DUMMYFUNCTION("""COMPUTED_VALUE"""),"")</f>
        <v/>
      </c>
      <c r="X15862" s="16" t="str">
        <f>IFERROR(__xludf.DUMMYFUNCTION("""COMPUTED_VALUE"""),"")</f>
        <v/>
      </c>
      <c r="AC15862" s="16" t="str">
        <f>IFERROR(__xludf.DUMMYFUNCTION("""COMPUTED_VALUE"""),"")</f>
        <v/>
      </c>
    </row>
    <row r="15863">
      <c r="A15863" s="16" t="s">
        <v>87</v>
      </c>
      <c r="E15863" s="16" t="str">
        <f>IFERROR(__xludf.DUMMYFUNCTION("""COMPUTED_VALUE"""),"")</f>
        <v/>
      </c>
      <c r="G15863" s="18"/>
      <c r="H15863" s="16" t="s">
        <v>87</v>
      </c>
      <c r="I15863" s="16" t="s">
        <v>87</v>
      </c>
      <c r="J15863" s="19"/>
      <c r="L15863" s="16" t="str">
        <f>IFERROR(__xludf.DUMMYFUNCTION("""COMPUTED_VALUE"""),"")</f>
        <v/>
      </c>
      <c r="M15863" s="16" t="str">
        <f>IFERROR(__xludf.DUMMYFUNCTION("""COMPUTED_VALUE"""),"")</f>
        <v/>
      </c>
      <c r="U15863" s="16" t="s">
        <v>87</v>
      </c>
      <c r="V15863" s="16" t="str">
        <f>IFERROR(__xludf.DUMMYFUNCTION("""COMPUTED_VALUE"""),"")</f>
        <v/>
      </c>
      <c r="W15863" s="16" t="str">
        <f>IFERROR(__xludf.DUMMYFUNCTION("""COMPUTED_VALUE"""),"")</f>
        <v/>
      </c>
      <c r="X15863" s="16" t="str">
        <f>IFERROR(__xludf.DUMMYFUNCTION("""COMPUTED_VALUE"""),"")</f>
        <v/>
      </c>
      <c r="AC15863" s="16" t="str">
        <f>IFERROR(__xludf.DUMMYFUNCTION("""COMPUTED_VALUE"""),"")</f>
        <v/>
      </c>
    </row>
    <row r="15864">
      <c r="A15864" s="16" t="s">
        <v>87</v>
      </c>
      <c r="E15864" s="16" t="str">
        <f>IFERROR(__xludf.DUMMYFUNCTION("""COMPUTED_VALUE"""),"")</f>
        <v/>
      </c>
      <c r="G15864" s="18"/>
      <c r="H15864" s="16" t="s">
        <v>87</v>
      </c>
      <c r="I15864" s="16" t="s">
        <v>87</v>
      </c>
      <c r="J15864" s="19"/>
      <c r="L15864" s="16" t="str">
        <f>IFERROR(__xludf.DUMMYFUNCTION("""COMPUTED_VALUE"""),"")</f>
        <v/>
      </c>
      <c r="M15864" s="16" t="str">
        <f>IFERROR(__xludf.DUMMYFUNCTION("""COMPUTED_VALUE"""),"")</f>
        <v/>
      </c>
      <c r="U15864" s="16" t="s">
        <v>87</v>
      </c>
      <c r="V15864" s="16" t="str">
        <f>IFERROR(__xludf.DUMMYFUNCTION("""COMPUTED_VALUE"""),"")</f>
        <v/>
      </c>
      <c r="W15864" s="16" t="str">
        <f>IFERROR(__xludf.DUMMYFUNCTION("""COMPUTED_VALUE"""),"")</f>
        <v/>
      </c>
      <c r="X15864" s="16" t="str">
        <f>IFERROR(__xludf.DUMMYFUNCTION("""COMPUTED_VALUE"""),"")</f>
        <v/>
      </c>
      <c r="AC15864" s="16" t="str">
        <f>IFERROR(__xludf.DUMMYFUNCTION("""COMPUTED_VALUE"""),"")</f>
        <v/>
      </c>
    </row>
    <row r="15865">
      <c r="A15865" s="16" t="s">
        <v>87</v>
      </c>
      <c r="E15865" s="16" t="str">
        <f>IFERROR(__xludf.DUMMYFUNCTION("""COMPUTED_VALUE"""),"")</f>
        <v/>
      </c>
      <c r="G15865" s="18"/>
      <c r="H15865" s="16" t="s">
        <v>87</v>
      </c>
      <c r="I15865" s="16" t="s">
        <v>87</v>
      </c>
      <c r="J15865" s="19"/>
      <c r="L15865" s="16" t="str">
        <f>IFERROR(__xludf.DUMMYFUNCTION("""COMPUTED_VALUE"""),"")</f>
        <v/>
      </c>
      <c r="M15865" s="16" t="str">
        <f>IFERROR(__xludf.DUMMYFUNCTION("""COMPUTED_VALUE"""),"")</f>
        <v/>
      </c>
      <c r="U15865" s="16" t="s">
        <v>87</v>
      </c>
      <c r="V15865" s="16" t="str">
        <f>IFERROR(__xludf.DUMMYFUNCTION("""COMPUTED_VALUE"""),"")</f>
        <v/>
      </c>
      <c r="W15865" s="16" t="str">
        <f>IFERROR(__xludf.DUMMYFUNCTION("""COMPUTED_VALUE"""),"")</f>
        <v/>
      </c>
      <c r="X15865" s="16" t="str">
        <f>IFERROR(__xludf.DUMMYFUNCTION("""COMPUTED_VALUE"""),"")</f>
        <v/>
      </c>
      <c r="AC15865" s="16" t="str">
        <f>IFERROR(__xludf.DUMMYFUNCTION("""COMPUTED_VALUE"""),"")</f>
        <v/>
      </c>
    </row>
    <row r="15866">
      <c r="A15866" s="16" t="s">
        <v>87</v>
      </c>
      <c r="E15866" s="16" t="str">
        <f>IFERROR(__xludf.DUMMYFUNCTION("""COMPUTED_VALUE"""),"")</f>
        <v/>
      </c>
      <c r="G15866" s="18"/>
      <c r="H15866" s="16" t="s">
        <v>87</v>
      </c>
      <c r="I15866" s="16" t="s">
        <v>87</v>
      </c>
      <c r="J15866" s="19"/>
      <c r="L15866" s="16" t="str">
        <f>IFERROR(__xludf.DUMMYFUNCTION("""COMPUTED_VALUE"""),"")</f>
        <v/>
      </c>
      <c r="M15866" s="16" t="str">
        <f>IFERROR(__xludf.DUMMYFUNCTION("""COMPUTED_VALUE"""),"")</f>
        <v/>
      </c>
      <c r="U15866" s="16" t="s">
        <v>87</v>
      </c>
      <c r="V15866" s="16" t="str">
        <f>IFERROR(__xludf.DUMMYFUNCTION("""COMPUTED_VALUE"""),"")</f>
        <v/>
      </c>
      <c r="W15866" s="16" t="str">
        <f>IFERROR(__xludf.DUMMYFUNCTION("""COMPUTED_VALUE"""),"")</f>
        <v/>
      </c>
      <c r="X15866" s="16" t="str">
        <f>IFERROR(__xludf.DUMMYFUNCTION("""COMPUTED_VALUE"""),"")</f>
        <v/>
      </c>
      <c r="AC15866" s="16" t="str">
        <f>IFERROR(__xludf.DUMMYFUNCTION("""COMPUTED_VALUE"""),"")</f>
        <v/>
      </c>
    </row>
    <row r="15867">
      <c r="A15867" s="16" t="s">
        <v>87</v>
      </c>
      <c r="E15867" s="16" t="str">
        <f>IFERROR(__xludf.DUMMYFUNCTION("""COMPUTED_VALUE"""),"")</f>
        <v/>
      </c>
      <c r="G15867" s="18"/>
      <c r="H15867" s="16" t="s">
        <v>87</v>
      </c>
      <c r="I15867" s="16" t="s">
        <v>87</v>
      </c>
      <c r="J15867" s="19"/>
      <c r="L15867" s="16" t="str">
        <f>IFERROR(__xludf.DUMMYFUNCTION("""COMPUTED_VALUE"""),"")</f>
        <v/>
      </c>
      <c r="M15867" s="16" t="str">
        <f>IFERROR(__xludf.DUMMYFUNCTION("""COMPUTED_VALUE"""),"")</f>
        <v/>
      </c>
      <c r="U15867" s="16" t="s">
        <v>87</v>
      </c>
      <c r="V15867" s="16" t="str">
        <f>IFERROR(__xludf.DUMMYFUNCTION("""COMPUTED_VALUE"""),"")</f>
        <v/>
      </c>
      <c r="W15867" s="16" t="str">
        <f>IFERROR(__xludf.DUMMYFUNCTION("""COMPUTED_VALUE"""),"")</f>
        <v/>
      </c>
      <c r="X15867" s="16" t="str">
        <f>IFERROR(__xludf.DUMMYFUNCTION("""COMPUTED_VALUE"""),"")</f>
        <v/>
      </c>
      <c r="AC15867" s="16" t="str">
        <f>IFERROR(__xludf.DUMMYFUNCTION("""COMPUTED_VALUE"""),"")</f>
        <v/>
      </c>
    </row>
    <row r="15868">
      <c r="A15868" s="16" t="s">
        <v>87</v>
      </c>
      <c r="E15868" s="16" t="str">
        <f>IFERROR(__xludf.DUMMYFUNCTION("""COMPUTED_VALUE"""),"")</f>
        <v/>
      </c>
      <c r="G15868" s="18"/>
      <c r="H15868" s="16" t="s">
        <v>87</v>
      </c>
      <c r="I15868" s="16" t="s">
        <v>87</v>
      </c>
      <c r="J15868" s="19"/>
      <c r="L15868" s="16" t="str">
        <f>IFERROR(__xludf.DUMMYFUNCTION("""COMPUTED_VALUE"""),"")</f>
        <v/>
      </c>
      <c r="M15868" s="16" t="str">
        <f>IFERROR(__xludf.DUMMYFUNCTION("""COMPUTED_VALUE"""),"")</f>
        <v/>
      </c>
      <c r="U15868" s="16" t="s">
        <v>87</v>
      </c>
      <c r="V15868" s="16" t="str">
        <f>IFERROR(__xludf.DUMMYFUNCTION("""COMPUTED_VALUE"""),"")</f>
        <v/>
      </c>
      <c r="W15868" s="16" t="str">
        <f>IFERROR(__xludf.DUMMYFUNCTION("""COMPUTED_VALUE"""),"")</f>
        <v/>
      </c>
      <c r="X15868" s="16" t="str">
        <f>IFERROR(__xludf.DUMMYFUNCTION("""COMPUTED_VALUE"""),"")</f>
        <v/>
      </c>
      <c r="AC15868" s="16" t="str">
        <f>IFERROR(__xludf.DUMMYFUNCTION("""COMPUTED_VALUE"""),"")</f>
        <v/>
      </c>
    </row>
    <row r="15869">
      <c r="A15869" s="16" t="s">
        <v>87</v>
      </c>
      <c r="E15869" s="16" t="str">
        <f>IFERROR(__xludf.DUMMYFUNCTION("""COMPUTED_VALUE"""),"")</f>
        <v/>
      </c>
      <c r="G15869" s="18"/>
      <c r="H15869" s="16" t="s">
        <v>87</v>
      </c>
      <c r="I15869" s="16" t="s">
        <v>87</v>
      </c>
      <c r="J15869" s="19"/>
      <c r="L15869" s="16" t="str">
        <f>IFERROR(__xludf.DUMMYFUNCTION("""COMPUTED_VALUE"""),"")</f>
        <v/>
      </c>
      <c r="M15869" s="16" t="str">
        <f>IFERROR(__xludf.DUMMYFUNCTION("""COMPUTED_VALUE"""),"")</f>
        <v/>
      </c>
      <c r="U15869" s="16" t="s">
        <v>87</v>
      </c>
      <c r="V15869" s="16" t="str">
        <f>IFERROR(__xludf.DUMMYFUNCTION("""COMPUTED_VALUE"""),"")</f>
        <v/>
      </c>
      <c r="W15869" s="16" t="str">
        <f>IFERROR(__xludf.DUMMYFUNCTION("""COMPUTED_VALUE"""),"")</f>
        <v/>
      </c>
      <c r="X15869" s="16" t="str">
        <f>IFERROR(__xludf.DUMMYFUNCTION("""COMPUTED_VALUE"""),"")</f>
        <v/>
      </c>
      <c r="AC15869" s="16" t="str">
        <f>IFERROR(__xludf.DUMMYFUNCTION("""COMPUTED_VALUE"""),"")</f>
        <v/>
      </c>
    </row>
    <row r="15870">
      <c r="A15870" s="16" t="s">
        <v>87</v>
      </c>
      <c r="E15870" s="16" t="str">
        <f>IFERROR(__xludf.DUMMYFUNCTION("""COMPUTED_VALUE"""),"")</f>
        <v/>
      </c>
      <c r="G15870" s="18"/>
      <c r="H15870" s="16" t="s">
        <v>87</v>
      </c>
      <c r="I15870" s="16" t="s">
        <v>87</v>
      </c>
      <c r="J15870" s="19"/>
      <c r="L15870" s="16" t="str">
        <f>IFERROR(__xludf.DUMMYFUNCTION("""COMPUTED_VALUE"""),"")</f>
        <v/>
      </c>
      <c r="M15870" s="16" t="str">
        <f>IFERROR(__xludf.DUMMYFUNCTION("""COMPUTED_VALUE"""),"")</f>
        <v/>
      </c>
      <c r="U15870" s="16" t="s">
        <v>87</v>
      </c>
      <c r="V15870" s="16" t="str">
        <f>IFERROR(__xludf.DUMMYFUNCTION("""COMPUTED_VALUE"""),"")</f>
        <v/>
      </c>
      <c r="W15870" s="16" t="str">
        <f>IFERROR(__xludf.DUMMYFUNCTION("""COMPUTED_VALUE"""),"")</f>
        <v/>
      </c>
      <c r="X15870" s="16" t="str">
        <f>IFERROR(__xludf.DUMMYFUNCTION("""COMPUTED_VALUE"""),"")</f>
        <v/>
      </c>
      <c r="AC15870" s="16" t="str">
        <f>IFERROR(__xludf.DUMMYFUNCTION("""COMPUTED_VALUE"""),"")</f>
        <v/>
      </c>
    </row>
    <row r="15871">
      <c r="A15871" s="16" t="s">
        <v>87</v>
      </c>
      <c r="E15871" s="16" t="str">
        <f>IFERROR(__xludf.DUMMYFUNCTION("""COMPUTED_VALUE"""),"")</f>
        <v/>
      </c>
      <c r="G15871" s="18"/>
      <c r="H15871" s="16" t="s">
        <v>87</v>
      </c>
      <c r="I15871" s="16" t="s">
        <v>87</v>
      </c>
      <c r="J15871" s="19"/>
      <c r="L15871" s="16" t="str">
        <f>IFERROR(__xludf.DUMMYFUNCTION("""COMPUTED_VALUE"""),"")</f>
        <v/>
      </c>
      <c r="M15871" s="16" t="str">
        <f>IFERROR(__xludf.DUMMYFUNCTION("""COMPUTED_VALUE"""),"")</f>
        <v/>
      </c>
      <c r="U15871" s="16" t="s">
        <v>87</v>
      </c>
      <c r="V15871" s="16" t="str">
        <f>IFERROR(__xludf.DUMMYFUNCTION("""COMPUTED_VALUE"""),"")</f>
        <v/>
      </c>
      <c r="W15871" s="16" t="str">
        <f>IFERROR(__xludf.DUMMYFUNCTION("""COMPUTED_VALUE"""),"")</f>
        <v/>
      </c>
      <c r="X15871" s="16" t="str">
        <f>IFERROR(__xludf.DUMMYFUNCTION("""COMPUTED_VALUE"""),"")</f>
        <v/>
      </c>
      <c r="AC15871" s="16" t="str">
        <f>IFERROR(__xludf.DUMMYFUNCTION("""COMPUTED_VALUE"""),"")</f>
        <v/>
      </c>
    </row>
    <row r="15872">
      <c r="A15872" s="16" t="s">
        <v>87</v>
      </c>
      <c r="E15872" s="16" t="str">
        <f>IFERROR(__xludf.DUMMYFUNCTION("""COMPUTED_VALUE"""),"")</f>
        <v/>
      </c>
      <c r="G15872" s="18"/>
      <c r="H15872" s="16" t="s">
        <v>87</v>
      </c>
      <c r="I15872" s="16" t="s">
        <v>87</v>
      </c>
      <c r="J15872" s="19"/>
      <c r="L15872" s="16" t="str">
        <f>IFERROR(__xludf.DUMMYFUNCTION("""COMPUTED_VALUE"""),"")</f>
        <v/>
      </c>
      <c r="M15872" s="16" t="str">
        <f>IFERROR(__xludf.DUMMYFUNCTION("""COMPUTED_VALUE"""),"")</f>
        <v/>
      </c>
      <c r="U15872" s="16" t="s">
        <v>87</v>
      </c>
      <c r="V15872" s="16" t="str">
        <f>IFERROR(__xludf.DUMMYFUNCTION("""COMPUTED_VALUE"""),"")</f>
        <v/>
      </c>
      <c r="W15872" s="16" t="str">
        <f>IFERROR(__xludf.DUMMYFUNCTION("""COMPUTED_VALUE"""),"")</f>
        <v/>
      </c>
      <c r="X15872" s="16" t="str">
        <f>IFERROR(__xludf.DUMMYFUNCTION("""COMPUTED_VALUE"""),"")</f>
        <v/>
      </c>
      <c r="AC15872" s="16" t="str">
        <f>IFERROR(__xludf.DUMMYFUNCTION("""COMPUTED_VALUE"""),"")</f>
        <v/>
      </c>
    </row>
    <row r="15873">
      <c r="A15873" s="16" t="s">
        <v>87</v>
      </c>
      <c r="E15873" s="16" t="str">
        <f>IFERROR(__xludf.DUMMYFUNCTION("""COMPUTED_VALUE"""),"")</f>
        <v/>
      </c>
      <c r="G15873" s="18"/>
      <c r="H15873" s="16" t="s">
        <v>87</v>
      </c>
      <c r="I15873" s="16" t="s">
        <v>87</v>
      </c>
      <c r="J15873" s="19"/>
      <c r="L15873" s="16" t="str">
        <f>IFERROR(__xludf.DUMMYFUNCTION("""COMPUTED_VALUE"""),"")</f>
        <v/>
      </c>
      <c r="M15873" s="16" t="str">
        <f>IFERROR(__xludf.DUMMYFUNCTION("""COMPUTED_VALUE"""),"")</f>
        <v/>
      </c>
      <c r="U15873" s="16" t="s">
        <v>87</v>
      </c>
      <c r="V15873" s="16" t="str">
        <f>IFERROR(__xludf.DUMMYFUNCTION("""COMPUTED_VALUE"""),"")</f>
        <v/>
      </c>
      <c r="W15873" s="16" t="str">
        <f>IFERROR(__xludf.DUMMYFUNCTION("""COMPUTED_VALUE"""),"")</f>
        <v/>
      </c>
      <c r="X15873" s="16" t="str">
        <f>IFERROR(__xludf.DUMMYFUNCTION("""COMPUTED_VALUE"""),"")</f>
        <v/>
      </c>
      <c r="AC15873" s="16" t="str">
        <f>IFERROR(__xludf.DUMMYFUNCTION("""COMPUTED_VALUE"""),"")</f>
        <v/>
      </c>
    </row>
    <row r="15874">
      <c r="A15874" s="16" t="s">
        <v>87</v>
      </c>
      <c r="E15874" s="16" t="str">
        <f>IFERROR(__xludf.DUMMYFUNCTION("""COMPUTED_VALUE"""),"")</f>
        <v/>
      </c>
      <c r="G15874" s="18"/>
      <c r="H15874" s="16" t="s">
        <v>87</v>
      </c>
      <c r="I15874" s="16" t="s">
        <v>87</v>
      </c>
      <c r="J15874" s="19"/>
      <c r="L15874" s="16" t="str">
        <f>IFERROR(__xludf.DUMMYFUNCTION("""COMPUTED_VALUE"""),"")</f>
        <v/>
      </c>
      <c r="M15874" s="16" t="str">
        <f>IFERROR(__xludf.DUMMYFUNCTION("""COMPUTED_VALUE"""),"")</f>
        <v/>
      </c>
      <c r="U15874" s="16" t="s">
        <v>87</v>
      </c>
      <c r="V15874" s="16" t="str">
        <f>IFERROR(__xludf.DUMMYFUNCTION("""COMPUTED_VALUE"""),"")</f>
        <v/>
      </c>
      <c r="W15874" s="16" t="str">
        <f>IFERROR(__xludf.DUMMYFUNCTION("""COMPUTED_VALUE"""),"")</f>
        <v/>
      </c>
      <c r="X15874" s="16" t="str">
        <f>IFERROR(__xludf.DUMMYFUNCTION("""COMPUTED_VALUE"""),"")</f>
        <v/>
      </c>
      <c r="AC15874" s="16" t="str">
        <f>IFERROR(__xludf.DUMMYFUNCTION("""COMPUTED_VALUE"""),"")</f>
        <v/>
      </c>
    </row>
    <row r="15875">
      <c r="A15875" s="16" t="s">
        <v>87</v>
      </c>
      <c r="E15875" s="16" t="str">
        <f>IFERROR(__xludf.DUMMYFUNCTION("""COMPUTED_VALUE"""),"")</f>
        <v/>
      </c>
      <c r="G15875" s="18"/>
      <c r="H15875" s="16" t="s">
        <v>87</v>
      </c>
      <c r="I15875" s="16" t="s">
        <v>87</v>
      </c>
      <c r="J15875" s="19"/>
      <c r="L15875" s="16" t="str">
        <f>IFERROR(__xludf.DUMMYFUNCTION("""COMPUTED_VALUE"""),"")</f>
        <v/>
      </c>
      <c r="M15875" s="16" t="str">
        <f>IFERROR(__xludf.DUMMYFUNCTION("""COMPUTED_VALUE"""),"")</f>
        <v/>
      </c>
      <c r="U15875" s="16" t="s">
        <v>87</v>
      </c>
      <c r="V15875" s="16" t="str">
        <f>IFERROR(__xludf.DUMMYFUNCTION("""COMPUTED_VALUE"""),"")</f>
        <v/>
      </c>
      <c r="W15875" s="16" t="str">
        <f>IFERROR(__xludf.DUMMYFUNCTION("""COMPUTED_VALUE"""),"")</f>
        <v/>
      </c>
      <c r="X15875" s="16" t="str">
        <f>IFERROR(__xludf.DUMMYFUNCTION("""COMPUTED_VALUE"""),"")</f>
        <v/>
      </c>
      <c r="AC15875" s="16" t="str">
        <f>IFERROR(__xludf.DUMMYFUNCTION("""COMPUTED_VALUE"""),"")</f>
        <v/>
      </c>
    </row>
    <row r="15876">
      <c r="A15876" s="16" t="s">
        <v>87</v>
      </c>
      <c r="E15876" s="16" t="str">
        <f>IFERROR(__xludf.DUMMYFUNCTION("""COMPUTED_VALUE"""),"")</f>
        <v/>
      </c>
      <c r="G15876" s="18"/>
      <c r="H15876" s="16" t="s">
        <v>87</v>
      </c>
      <c r="I15876" s="16" t="s">
        <v>87</v>
      </c>
      <c r="J15876" s="19"/>
      <c r="L15876" s="16" t="str">
        <f>IFERROR(__xludf.DUMMYFUNCTION("""COMPUTED_VALUE"""),"")</f>
        <v/>
      </c>
      <c r="M15876" s="16" t="str">
        <f>IFERROR(__xludf.DUMMYFUNCTION("""COMPUTED_VALUE"""),"")</f>
        <v/>
      </c>
      <c r="U15876" s="16" t="s">
        <v>87</v>
      </c>
      <c r="V15876" s="16" t="str">
        <f>IFERROR(__xludf.DUMMYFUNCTION("""COMPUTED_VALUE"""),"")</f>
        <v/>
      </c>
      <c r="W15876" s="16" t="str">
        <f>IFERROR(__xludf.DUMMYFUNCTION("""COMPUTED_VALUE"""),"")</f>
        <v/>
      </c>
      <c r="X15876" s="16" t="str">
        <f>IFERROR(__xludf.DUMMYFUNCTION("""COMPUTED_VALUE"""),"")</f>
        <v/>
      </c>
      <c r="AC15876" s="16" t="str">
        <f>IFERROR(__xludf.DUMMYFUNCTION("""COMPUTED_VALUE"""),"")</f>
        <v/>
      </c>
    </row>
    <row r="15877">
      <c r="A15877" s="16" t="s">
        <v>87</v>
      </c>
      <c r="E15877" s="16" t="str">
        <f>IFERROR(__xludf.DUMMYFUNCTION("""COMPUTED_VALUE"""),"")</f>
        <v/>
      </c>
      <c r="G15877" s="18"/>
      <c r="H15877" s="16" t="s">
        <v>87</v>
      </c>
      <c r="I15877" s="16" t="s">
        <v>87</v>
      </c>
      <c r="J15877" s="19"/>
      <c r="L15877" s="16" t="str">
        <f>IFERROR(__xludf.DUMMYFUNCTION("""COMPUTED_VALUE"""),"")</f>
        <v/>
      </c>
      <c r="M15877" s="16" t="str">
        <f>IFERROR(__xludf.DUMMYFUNCTION("""COMPUTED_VALUE"""),"")</f>
        <v/>
      </c>
      <c r="U15877" s="16" t="s">
        <v>87</v>
      </c>
      <c r="V15877" s="16" t="str">
        <f>IFERROR(__xludf.DUMMYFUNCTION("""COMPUTED_VALUE"""),"")</f>
        <v/>
      </c>
      <c r="W15877" s="16" t="str">
        <f>IFERROR(__xludf.DUMMYFUNCTION("""COMPUTED_VALUE"""),"")</f>
        <v/>
      </c>
      <c r="X15877" s="16" t="str">
        <f>IFERROR(__xludf.DUMMYFUNCTION("""COMPUTED_VALUE"""),"")</f>
        <v/>
      </c>
      <c r="AC15877" s="16" t="str">
        <f>IFERROR(__xludf.DUMMYFUNCTION("""COMPUTED_VALUE"""),"")</f>
        <v/>
      </c>
    </row>
    <row r="15878">
      <c r="A15878" s="16" t="s">
        <v>87</v>
      </c>
      <c r="E15878" s="16" t="str">
        <f>IFERROR(__xludf.DUMMYFUNCTION("""COMPUTED_VALUE"""),"")</f>
        <v/>
      </c>
      <c r="G15878" s="18"/>
      <c r="H15878" s="16" t="s">
        <v>87</v>
      </c>
      <c r="I15878" s="16" t="s">
        <v>87</v>
      </c>
      <c r="J15878" s="19"/>
      <c r="L15878" s="16" t="str">
        <f>IFERROR(__xludf.DUMMYFUNCTION("""COMPUTED_VALUE"""),"")</f>
        <v/>
      </c>
      <c r="M15878" s="16" t="str">
        <f>IFERROR(__xludf.DUMMYFUNCTION("""COMPUTED_VALUE"""),"")</f>
        <v/>
      </c>
      <c r="U15878" s="16" t="s">
        <v>87</v>
      </c>
      <c r="V15878" s="16" t="str">
        <f>IFERROR(__xludf.DUMMYFUNCTION("""COMPUTED_VALUE"""),"")</f>
        <v/>
      </c>
      <c r="W15878" s="16" t="str">
        <f>IFERROR(__xludf.DUMMYFUNCTION("""COMPUTED_VALUE"""),"")</f>
        <v/>
      </c>
      <c r="X15878" s="16" t="str">
        <f>IFERROR(__xludf.DUMMYFUNCTION("""COMPUTED_VALUE"""),"")</f>
        <v/>
      </c>
      <c r="AC15878" s="16" t="str">
        <f>IFERROR(__xludf.DUMMYFUNCTION("""COMPUTED_VALUE"""),"")</f>
        <v/>
      </c>
    </row>
    <row r="15879">
      <c r="A15879" s="16" t="s">
        <v>87</v>
      </c>
      <c r="E15879" s="16" t="str">
        <f>IFERROR(__xludf.DUMMYFUNCTION("""COMPUTED_VALUE"""),"")</f>
        <v/>
      </c>
      <c r="G15879" s="18"/>
      <c r="H15879" s="16" t="s">
        <v>87</v>
      </c>
      <c r="I15879" s="16" t="s">
        <v>87</v>
      </c>
      <c r="J15879" s="19"/>
      <c r="L15879" s="16" t="str">
        <f>IFERROR(__xludf.DUMMYFUNCTION("""COMPUTED_VALUE"""),"")</f>
        <v/>
      </c>
      <c r="M15879" s="16" t="str">
        <f>IFERROR(__xludf.DUMMYFUNCTION("""COMPUTED_VALUE"""),"")</f>
        <v/>
      </c>
      <c r="U15879" s="16" t="s">
        <v>87</v>
      </c>
      <c r="V15879" s="16" t="str">
        <f>IFERROR(__xludf.DUMMYFUNCTION("""COMPUTED_VALUE"""),"")</f>
        <v/>
      </c>
      <c r="W15879" s="16" t="str">
        <f>IFERROR(__xludf.DUMMYFUNCTION("""COMPUTED_VALUE"""),"")</f>
        <v/>
      </c>
      <c r="X15879" s="16" t="str">
        <f>IFERROR(__xludf.DUMMYFUNCTION("""COMPUTED_VALUE"""),"")</f>
        <v/>
      </c>
      <c r="AC15879" s="16" t="str">
        <f>IFERROR(__xludf.DUMMYFUNCTION("""COMPUTED_VALUE"""),"")</f>
        <v/>
      </c>
    </row>
    <row r="15880">
      <c r="A15880" s="16" t="s">
        <v>87</v>
      </c>
      <c r="E15880" s="16" t="str">
        <f>IFERROR(__xludf.DUMMYFUNCTION("""COMPUTED_VALUE"""),"")</f>
        <v/>
      </c>
      <c r="G15880" s="18"/>
      <c r="H15880" s="16" t="s">
        <v>87</v>
      </c>
      <c r="I15880" s="16" t="s">
        <v>87</v>
      </c>
      <c r="J15880" s="19"/>
      <c r="L15880" s="16" t="str">
        <f>IFERROR(__xludf.DUMMYFUNCTION("""COMPUTED_VALUE"""),"")</f>
        <v/>
      </c>
      <c r="M15880" s="16" t="str">
        <f>IFERROR(__xludf.DUMMYFUNCTION("""COMPUTED_VALUE"""),"")</f>
        <v/>
      </c>
      <c r="U15880" s="16" t="s">
        <v>87</v>
      </c>
      <c r="V15880" s="16" t="str">
        <f>IFERROR(__xludf.DUMMYFUNCTION("""COMPUTED_VALUE"""),"")</f>
        <v/>
      </c>
      <c r="W15880" s="16" t="str">
        <f>IFERROR(__xludf.DUMMYFUNCTION("""COMPUTED_VALUE"""),"")</f>
        <v/>
      </c>
      <c r="X15880" s="16" t="str">
        <f>IFERROR(__xludf.DUMMYFUNCTION("""COMPUTED_VALUE"""),"")</f>
        <v/>
      </c>
      <c r="AC15880" s="16" t="str">
        <f>IFERROR(__xludf.DUMMYFUNCTION("""COMPUTED_VALUE"""),"")</f>
        <v/>
      </c>
    </row>
    <row r="15881">
      <c r="A15881" s="16" t="s">
        <v>87</v>
      </c>
      <c r="E15881" s="16" t="str">
        <f>IFERROR(__xludf.DUMMYFUNCTION("""COMPUTED_VALUE"""),"")</f>
        <v/>
      </c>
      <c r="G15881" s="18"/>
      <c r="H15881" s="16" t="s">
        <v>87</v>
      </c>
      <c r="I15881" s="16" t="s">
        <v>87</v>
      </c>
      <c r="J15881" s="19"/>
      <c r="L15881" s="16" t="str">
        <f>IFERROR(__xludf.DUMMYFUNCTION("""COMPUTED_VALUE"""),"")</f>
        <v/>
      </c>
      <c r="M15881" s="16" t="str">
        <f>IFERROR(__xludf.DUMMYFUNCTION("""COMPUTED_VALUE"""),"")</f>
        <v/>
      </c>
      <c r="U15881" s="16" t="s">
        <v>87</v>
      </c>
      <c r="V15881" s="16" t="str">
        <f>IFERROR(__xludf.DUMMYFUNCTION("""COMPUTED_VALUE"""),"")</f>
        <v/>
      </c>
      <c r="W15881" s="16" t="str">
        <f>IFERROR(__xludf.DUMMYFUNCTION("""COMPUTED_VALUE"""),"")</f>
        <v/>
      </c>
      <c r="X15881" s="16" t="str">
        <f>IFERROR(__xludf.DUMMYFUNCTION("""COMPUTED_VALUE"""),"")</f>
        <v/>
      </c>
      <c r="AC15881" s="16" t="str">
        <f>IFERROR(__xludf.DUMMYFUNCTION("""COMPUTED_VALUE"""),"")</f>
        <v/>
      </c>
    </row>
    <row r="15882">
      <c r="A15882" s="16" t="s">
        <v>87</v>
      </c>
      <c r="E15882" s="16" t="str">
        <f>IFERROR(__xludf.DUMMYFUNCTION("""COMPUTED_VALUE"""),"")</f>
        <v/>
      </c>
      <c r="G15882" s="18"/>
      <c r="H15882" s="16" t="s">
        <v>87</v>
      </c>
      <c r="I15882" s="16" t="s">
        <v>87</v>
      </c>
      <c r="J15882" s="19"/>
      <c r="L15882" s="16" t="str">
        <f>IFERROR(__xludf.DUMMYFUNCTION("""COMPUTED_VALUE"""),"")</f>
        <v/>
      </c>
      <c r="M15882" s="16" t="str">
        <f>IFERROR(__xludf.DUMMYFUNCTION("""COMPUTED_VALUE"""),"")</f>
        <v/>
      </c>
      <c r="U15882" s="16" t="s">
        <v>87</v>
      </c>
      <c r="V15882" s="16" t="str">
        <f>IFERROR(__xludf.DUMMYFUNCTION("""COMPUTED_VALUE"""),"")</f>
        <v/>
      </c>
      <c r="W15882" s="16" t="str">
        <f>IFERROR(__xludf.DUMMYFUNCTION("""COMPUTED_VALUE"""),"")</f>
        <v/>
      </c>
      <c r="X15882" s="16" t="str">
        <f>IFERROR(__xludf.DUMMYFUNCTION("""COMPUTED_VALUE"""),"")</f>
        <v/>
      </c>
      <c r="AC15882" s="16" t="str">
        <f>IFERROR(__xludf.DUMMYFUNCTION("""COMPUTED_VALUE"""),"")</f>
        <v/>
      </c>
    </row>
    <row r="15883">
      <c r="A15883" s="16" t="s">
        <v>87</v>
      </c>
      <c r="E15883" s="16" t="str">
        <f>IFERROR(__xludf.DUMMYFUNCTION("""COMPUTED_VALUE"""),"")</f>
        <v/>
      </c>
      <c r="G15883" s="18"/>
      <c r="H15883" s="16" t="s">
        <v>87</v>
      </c>
      <c r="I15883" s="16" t="s">
        <v>87</v>
      </c>
      <c r="J15883" s="19"/>
      <c r="L15883" s="16" t="str">
        <f>IFERROR(__xludf.DUMMYFUNCTION("""COMPUTED_VALUE"""),"")</f>
        <v/>
      </c>
      <c r="M15883" s="16" t="str">
        <f>IFERROR(__xludf.DUMMYFUNCTION("""COMPUTED_VALUE"""),"")</f>
        <v/>
      </c>
      <c r="U15883" s="16" t="s">
        <v>87</v>
      </c>
      <c r="V15883" s="16" t="str">
        <f>IFERROR(__xludf.DUMMYFUNCTION("""COMPUTED_VALUE"""),"")</f>
        <v/>
      </c>
      <c r="W15883" s="16" t="str">
        <f>IFERROR(__xludf.DUMMYFUNCTION("""COMPUTED_VALUE"""),"")</f>
        <v/>
      </c>
      <c r="X15883" s="16" t="str">
        <f>IFERROR(__xludf.DUMMYFUNCTION("""COMPUTED_VALUE"""),"")</f>
        <v/>
      </c>
      <c r="AC15883" s="16" t="str">
        <f>IFERROR(__xludf.DUMMYFUNCTION("""COMPUTED_VALUE"""),"")</f>
        <v/>
      </c>
    </row>
    <row r="15884">
      <c r="A15884" s="16" t="s">
        <v>87</v>
      </c>
      <c r="E15884" s="16" t="str">
        <f>IFERROR(__xludf.DUMMYFUNCTION("""COMPUTED_VALUE"""),"")</f>
        <v/>
      </c>
      <c r="G15884" s="18"/>
      <c r="H15884" s="16" t="s">
        <v>87</v>
      </c>
      <c r="I15884" s="16" t="s">
        <v>87</v>
      </c>
      <c r="J15884" s="19"/>
      <c r="L15884" s="16" t="str">
        <f>IFERROR(__xludf.DUMMYFUNCTION("""COMPUTED_VALUE"""),"")</f>
        <v/>
      </c>
      <c r="M15884" s="16" t="str">
        <f>IFERROR(__xludf.DUMMYFUNCTION("""COMPUTED_VALUE"""),"")</f>
        <v/>
      </c>
      <c r="U15884" s="16" t="s">
        <v>87</v>
      </c>
      <c r="V15884" s="16" t="str">
        <f>IFERROR(__xludf.DUMMYFUNCTION("""COMPUTED_VALUE"""),"")</f>
        <v/>
      </c>
      <c r="W15884" s="16" t="str">
        <f>IFERROR(__xludf.DUMMYFUNCTION("""COMPUTED_VALUE"""),"")</f>
        <v/>
      </c>
      <c r="X15884" s="16" t="str">
        <f>IFERROR(__xludf.DUMMYFUNCTION("""COMPUTED_VALUE"""),"")</f>
        <v/>
      </c>
      <c r="AC15884" s="16" t="str">
        <f>IFERROR(__xludf.DUMMYFUNCTION("""COMPUTED_VALUE"""),"")</f>
        <v/>
      </c>
    </row>
    <row r="15885">
      <c r="A15885" s="16" t="s">
        <v>87</v>
      </c>
      <c r="E15885" s="16" t="str">
        <f>IFERROR(__xludf.DUMMYFUNCTION("""COMPUTED_VALUE"""),"")</f>
        <v/>
      </c>
      <c r="G15885" s="18"/>
      <c r="H15885" s="16" t="s">
        <v>87</v>
      </c>
      <c r="I15885" s="16" t="s">
        <v>87</v>
      </c>
      <c r="J15885" s="19"/>
      <c r="L15885" s="16" t="str">
        <f>IFERROR(__xludf.DUMMYFUNCTION("""COMPUTED_VALUE"""),"")</f>
        <v/>
      </c>
      <c r="M15885" s="16" t="str">
        <f>IFERROR(__xludf.DUMMYFUNCTION("""COMPUTED_VALUE"""),"")</f>
        <v/>
      </c>
      <c r="U15885" s="16" t="s">
        <v>87</v>
      </c>
      <c r="V15885" s="16" t="str">
        <f>IFERROR(__xludf.DUMMYFUNCTION("""COMPUTED_VALUE"""),"")</f>
        <v/>
      </c>
      <c r="W15885" s="16" t="str">
        <f>IFERROR(__xludf.DUMMYFUNCTION("""COMPUTED_VALUE"""),"")</f>
        <v/>
      </c>
      <c r="X15885" s="16" t="str">
        <f>IFERROR(__xludf.DUMMYFUNCTION("""COMPUTED_VALUE"""),"")</f>
        <v/>
      </c>
      <c r="AC15885" s="16" t="str">
        <f>IFERROR(__xludf.DUMMYFUNCTION("""COMPUTED_VALUE"""),"")</f>
        <v/>
      </c>
    </row>
    <row r="15886">
      <c r="A15886" s="16" t="s">
        <v>87</v>
      </c>
      <c r="E15886" s="16" t="str">
        <f>IFERROR(__xludf.DUMMYFUNCTION("""COMPUTED_VALUE"""),"")</f>
        <v/>
      </c>
      <c r="G15886" s="18"/>
      <c r="H15886" s="16" t="s">
        <v>87</v>
      </c>
      <c r="I15886" s="16" t="s">
        <v>87</v>
      </c>
      <c r="J15886" s="19"/>
      <c r="L15886" s="16" t="str">
        <f>IFERROR(__xludf.DUMMYFUNCTION("""COMPUTED_VALUE"""),"")</f>
        <v/>
      </c>
      <c r="M15886" s="16" t="str">
        <f>IFERROR(__xludf.DUMMYFUNCTION("""COMPUTED_VALUE"""),"")</f>
        <v/>
      </c>
      <c r="U15886" s="16" t="s">
        <v>87</v>
      </c>
      <c r="V15886" s="16" t="str">
        <f>IFERROR(__xludf.DUMMYFUNCTION("""COMPUTED_VALUE"""),"")</f>
        <v/>
      </c>
      <c r="W15886" s="16" t="str">
        <f>IFERROR(__xludf.DUMMYFUNCTION("""COMPUTED_VALUE"""),"")</f>
        <v/>
      </c>
      <c r="X15886" s="16" t="str">
        <f>IFERROR(__xludf.DUMMYFUNCTION("""COMPUTED_VALUE"""),"")</f>
        <v/>
      </c>
      <c r="AC15886" s="16" t="str">
        <f>IFERROR(__xludf.DUMMYFUNCTION("""COMPUTED_VALUE"""),"")</f>
        <v/>
      </c>
    </row>
    <row r="15887">
      <c r="A15887" s="16" t="s">
        <v>87</v>
      </c>
      <c r="E15887" s="16" t="str">
        <f>IFERROR(__xludf.DUMMYFUNCTION("""COMPUTED_VALUE"""),"")</f>
        <v/>
      </c>
      <c r="G15887" s="18"/>
      <c r="H15887" s="16" t="s">
        <v>87</v>
      </c>
      <c r="I15887" s="16" t="s">
        <v>87</v>
      </c>
      <c r="J15887" s="19"/>
      <c r="L15887" s="16" t="str">
        <f>IFERROR(__xludf.DUMMYFUNCTION("""COMPUTED_VALUE"""),"")</f>
        <v/>
      </c>
      <c r="M15887" s="16" t="str">
        <f>IFERROR(__xludf.DUMMYFUNCTION("""COMPUTED_VALUE"""),"")</f>
        <v/>
      </c>
      <c r="U15887" s="16" t="s">
        <v>87</v>
      </c>
      <c r="V15887" s="16" t="str">
        <f>IFERROR(__xludf.DUMMYFUNCTION("""COMPUTED_VALUE"""),"")</f>
        <v/>
      </c>
      <c r="W15887" s="16" t="str">
        <f>IFERROR(__xludf.DUMMYFUNCTION("""COMPUTED_VALUE"""),"")</f>
        <v/>
      </c>
      <c r="X15887" s="16" t="str">
        <f>IFERROR(__xludf.DUMMYFUNCTION("""COMPUTED_VALUE"""),"")</f>
        <v/>
      </c>
      <c r="AC15887" s="16" t="str">
        <f>IFERROR(__xludf.DUMMYFUNCTION("""COMPUTED_VALUE"""),"")</f>
        <v/>
      </c>
    </row>
    <row r="15888">
      <c r="A15888" s="16" t="s">
        <v>87</v>
      </c>
      <c r="E15888" s="16" t="str">
        <f>IFERROR(__xludf.DUMMYFUNCTION("""COMPUTED_VALUE"""),"")</f>
        <v/>
      </c>
      <c r="G15888" s="18"/>
      <c r="H15888" s="16" t="s">
        <v>87</v>
      </c>
      <c r="I15888" s="16" t="s">
        <v>87</v>
      </c>
      <c r="J15888" s="19"/>
      <c r="L15888" s="16" t="str">
        <f>IFERROR(__xludf.DUMMYFUNCTION("""COMPUTED_VALUE"""),"")</f>
        <v/>
      </c>
      <c r="M15888" s="16" t="str">
        <f>IFERROR(__xludf.DUMMYFUNCTION("""COMPUTED_VALUE"""),"")</f>
        <v/>
      </c>
      <c r="U15888" s="16" t="s">
        <v>87</v>
      </c>
      <c r="V15888" s="16" t="str">
        <f>IFERROR(__xludf.DUMMYFUNCTION("""COMPUTED_VALUE"""),"")</f>
        <v/>
      </c>
      <c r="W15888" s="16" t="str">
        <f>IFERROR(__xludf.DUMMYFUNCTION("""COMPUTED_VALUE"""),"")</f>
        <v/>
      </c>
      <c r="X15888" s="16" t="str">
        <f>IFERROR(__xludf.DUMMYFUNCTION("""COMPUTED_VALUE"""),"")</f>
        <v/>
      </c>
      <c r="AC15888" s="16" t="str">
        <f>IFERROR(__xludf.DUMMYFUNCTION("""COMPUTED_VALUE"""),"")</f>
        <v/>
      </c>
    </row>
    <row r="15889">
      <c r="A15889" s="16" t="s">
        <v>87</v>
      </c>
      <c r="E15889" s="16" t="str">
        <f>IFERROR(__xludf.DUMMYFUNCTION("""COMPUTED_VALUE"""),"")</f>
        <v/>
      </c>
      <c r="G15889" s="18"/>
      <c r="H15889" s="16" t="s">
        <v>87</v>
      </c>
      <c r="I15889" s="16" t="s">
        <v>87</v>
      </c>
      <c r="J15889" s="19"/>
      <c r="L15889" s="16" t="str">
        <f>IFERROR(__xludf.DUMMYFUNCTION("""COMPUTED_VALUE"""),"")</f>
        <v/>
      </c>
      <c r="M15889" s="16" t="str">
        <f>IFERROR(__xludf.DUMMYFUNCTION("""COMPUTED_VALUE"""),"")</f>
        <v/>
      </c>
      <c r="U15889" s="16" t="s">
        <v>87</v>
      </c>
      <c r="V15889" s="16" t="str">
        <f>IFERROR(__xludf.DUMMYFUNCTION("""COMPUTED_VALUE"""),"")</f>
        <v/>
      </c>
      <c r="W15889" s="16" t="str">
        <f>IFERROR(__xludf.DUMMYFUNCTION("""COMPUTED_VALUE"""),"")</f>
        <v/>
      </c>
      <c r="X15889" s="16" t="str">
        <f>IFERROR(__xludf.DUMMYFUNCTION("""COMPUTED_VALUE"""),"")</f>
        <v/>
      </c>
      <c r="AC15889" s="16" t="str">
        <f>IFERROR(__xludf.DUMMYFUNCTION("""COMPUTED_VALUE"""),"")</f>
        <v/>
      </c>
    </row>
    <row r="15890">
      <c r="A15890" s="16" t="s">
        <v>87</v>
      </c>
      <c r="E15890" s="16" t="str">
        <f>IFERROR(__xludf.DUMMYFUNCTION("""COMPUTED_VALUE"""),"")</f>
        <v/>
      </c>
      <c r="G15890" s="18"/>
      <c r="H15890" s="16" t="s">
        <v>87</v>
      </c>
      <c r="I15890" s="16" t="s">
        <v>87</v>
      </c>
      <c r="J15890" s="19"/>
      <c r="L15890" s="16" t="str">
        <f>IFERROR(__xludf.DUMMYFUNCTION("""COMPUTED_VALUE"""),"")</f>
        <v/>
      </c>
      <c r="M15890" s="16" t="str">
        <f>IFERROR(__xludf.DUMMYFUNCTION("""COMPUTED_VALUE"""),"")</f>
        <v/>
      </c>
      <c r="U15890" s="16" t="s">
        <v>87</v>
      </c>
      <c r="V15890" s="16" t="str">
        <f>IFERROR(__xludf.DUMMYFUNCTION("""COMPUTED_VALUE"""),"")</f>
        <v/>
      </c>
      <c r="W15890" s="16" t="str">
        <f>IFERROR(__xludf.DUMMYFUNCTION("""COMPUTED_VALUE"""),"")</f>
        <v/>
      </c>
      <c r="X15890" s="16" t="str">
        <f>IFERROR(__xludf.DUMMYFUNCTION("""COMPUTED_VALUE"""),"")</f>
        <v/>
      </c>
      <c r="AC15890" s="16" t="str">
        <f>IFERROR(__xludf.DUMMYFUNCTION("""COMPUTED_VALUE"""),"")</f>
        <v/>
      </c>
    </row>
    <row r="15891">
      <c r="A15891" s="16" t="s">
        <v>87</v>
      </c>
      <c r="E15891" s="16" t="str">
        <f>IFERROR(__xludf.DUMMYFUNCTION("""COMPUTED_VALUE"""),"")</f>
        <v/>
      </c>
      <c r="G15891" s="18"/>
      <c r="H15891" s="16" t="s">
        <v>87</v>
      </c>
      <c r="I15891" s="16" t="s">
        <v>87</v>
      </c>
      <c r="J15891" s="19"/>
      <c r="L15891" s="16" t="str">
        <f>IFERROR(__xludf.DUMMYFUNCTION("""COMPUTED_VALUE"""),"")</f>
        <v/>
      </c>
      <c r="M15891" s="16" t="str">
        <f>IFERROR(__xludf.DUMMYFUNCTION("""COMPUTED_VALUE"""),"")</f>
        <v/>
      </c>
      <c r="U15891" s="16" t="s">
        <v>87</v>
      </c>
      <c r="V15891" s="16" t="str">
        <f>IFERROR(__xludf.DUMMYFUNCTION("""COMPUTED_VALUE"""),"")</f>
        <v/>
      </c>
      <c r="W15891" s="16" t="str">
        <f>IFERROR(__xludf.DUMMYFUNCTION("""COMPUTED_VALUE"""),"")</f>
        <v/>
      </c>
      <c r="X15891" s="16" t="str">
        <f>IFERROR(__xludf.DUMMYFUNCTION("""COMPUTED_VALUE"""),"")</f>
        <v/>
      </c>
      <c r="AC15891" s="16" t="str">
        <f>IFERROR(__xludf.DUMMYFUNCTION("""COMPUTED_VALUE"""),"")</f>
        <v/>
      </c>
    </row>
    <row r="15892">
      <c r="A15892" s="16" t="s">
        <v>87</v>
      </c>
      <c r="E15892" s="16" t="str">
        <f>IFERROR(__xludf.DUMMYFUNCTION("""COMPUTED_VALUE"""),"")</f>
        <v/>
      </c>
      <c r="G15892" s="18"/>
      <c r="H15892" s="16" t="s">
        <v>87</v>
      </c>
      <c r="I15892" s="16" t="s">
        <v>87</v>
      </c>
      <c r="J15892" s="19"/>
      <c r="L15892" s="16" t="str">
        <f>IFERROR(__xludf.DUMMYFUNCTION("""COMPUTED_VALUE"""),"")</f>
        <v/>
      </c>
      <c r="M15892" s="16" t="str">
        <f>IFERROR(__xludf.DUMMYFUNCTION("""COMPUTED_VALUE"""),"")</f>
        <v/>
      </c>
      <c r="U15892" s="16" t="s">
        <v>87</v>
      </c>
      <c r="V15892" s="16" t="str">
        <f>IFERROR(__xludf.DUMMYFUNCTION("""COMPUTED_VALUE"""),"")</f>
        <v/>
      </c>
      <c r="W15892" s="16" t="str">
        <f>IFERROR(__xludf.DUMMYFUNCTION("""COMPUTED_VALUE"""),"")</f>
        <v/>
      </c>
      <c r="X15892" s="16" t="str">
        <f>IFERROR(__xludf.DUMMYFUNCTION("""COMPUTED_VALUE"""),"")</f>
        <v/>
      </c>
      <c r="AC15892" s="16" t="str">
        <f>IFERROR(__xludf.DUMMYFUNCTION("""COMPUTED_VALUE"""),"")</f>
        <v/>
      </c>
    </row>
    <row r="15893">
      <c r="A15893" s="16" t="s">
        <v>87</v>
      </c>
      <c r="E15893" s="16" t="str">
        <f>IFERROR(__xludf.DUMMYFUNCTION("""COMPUTED_VALUE"""),"")</f>
        <v/>
      </c>
      <c r="G15893" s="18"/>
      <c r="H15893" s="16" t="s">
        <v>87</v>
      </c>
      <c r="I15893" s="16" t="s">
        <v>87</v>
      </c>
      <c r="J15893" s="19"/>
      <c r="L15893" s="16" t="str">
        <f>IFERROR(__xludf.DUMMYFUNCTION("""COMPUTED_VALUE"""),"")</f>
        <v/>
      </c>
      <c r="M15893" s="16" t="str">
        <f>IFERROR(__xludf.DUMMYFUNCTION("""COMPUTED_VALUE"""),"")</f>
        <v/>
      </c>
      <c r="U15893" s="16" t="s">
        <v>87</v>
      </c>
      <c r="V15893" s="16" t="str">
        <f>IFERROR(__xludf.DUMMYFUNCTION("""COMPUTED_VALUE"""),"")</f>
        <v/>
      </c>
      <c r="W15893" s="16" t="str">
        <f>IFERROR(__xludf.DUMMYFUNCTION("""COMPUTED_VALUE"""),"")</f>
        <v/>
      </c>
      <c r="X15893" s="16" t="str">
        <f>IFERROR(__xludf.DUMMYFUNCTION("""COMPUTED_VALUE"""),"")</f>
        <v/>
      </c>
      <c r="AC15893" s="16" t="str">
        <f>IFERROR(__xludf.DUMMYFUNCTION("""COMPUTED_VALUE"""),"")</f>
        <v/>
      </c>
    </row>
    <row r="15894">
      <c r="A15894" s="16" t="s">
        <v>87</v>
      </c>
      <c r="E15894" s="16" t="str">
        <f>IFERROR(__xludf.DUMMYFUNCTION("""COMPUTED_VALUE"""),"")</f>
        <v/>
      </c>
      <c r="G15894" s="18"/>
      <c r="H15894" s="16" t="s">
        <v>87</v>
      </c>
      <c r="I15894" s="16" t="s">
        <v>87</v>
      </c>
      <c r="J15894" s="19"/>
      <c r="L15894" s="16" t="str">
        <f>IFERROR(__xludf.DUMMYFUNCTION("""COMPUTED_VALUE"""),"")</f>
        <v/>
      </c>
      <c r="M15894" s="16" t="str">
        <f>IFERROR(__xludf.DUMMYFUNCTION("""COMPUTED_VALUE"""),"")</f>
        <v/>
      </c>
      <c r="U15894" s="16" t="s">
        <v>87</v>
      </c>
      <c r="V15894" s="16" t="str">
        <f>IFERROR(__xludf.DUMMYFUNCTION("""COMPUTED_VALUE"""),"")</f>
        <v/>
      </c>
      <c r="W15894" s="16" t="str">
        <f>IFERROR(__xludf.DUMMYFUNCTION("""COMPUTED_VALUE"""),"")</f>
        <v/>
      </c>
      <c r="X15894" s="16" t="str">
        <f>IFERROR(__xludf.DUMMYFUNCTION("""COMPUTED_VALUE"""),"")</f>
        <v/>
      </c>
      <c r="AC15894" s="16" t="str">
        <f>IFERROR(__xludf.DUMMYFUNCTION("""COMPUTED_VALUE"""),"")</f>
        <v/>
      </c>
    </row>
    <row r="15895">
      <c r="A15895" s="16" t="s">
        <v>87</v>
      </c>
      <c r="E15895" s="16" t="str">
        <f>IFERROR(__xludf.DUMMYFUNCTION("""COMPUTED_VALUE"""),"")</f>
        <v/>
      </c>
      <c r="G15895" s="18"/>
      <c r="H15895" s="16" t="s">
        <v>87</v>
      </c>
      <c r="I15895" s="16" t="s">
        <v>87</v>
      </c>
      <c r="J15895" s="19"/>
      <c r="L15895" s="16" t="str">
        <f>IFERROR(__xludf.DUMMYFUNCTION("""COMPUTED_VALUE"""),"")</f>
        <v/>
      </c>
      <c r="M15895" s="16" t="str">
        <f>IFERROR(__xludf.DUMMYFUNCTION("""COMPUTED_VALUE"""),"")</f>
        <v/>
      </c>
      <c r="U15895" s="16" t="s">
        <v>87</v>
      </c>
      <c r="V15895" s="16" t="str">
        <f>IFERROR(__xludf.DUMMYFUNCTION("""COMPUTED_VALUE"""),"")</f>
        <v/>
      </c>
      <c r="W15895" s="16" t="str">
        <f>IFERROR(__xludf.DUMMYFUNCTION("""COMPUTED_VALUE"""),"")</f>
        <v/>
      </c>
      <c r="X15895" s="16" t="str">
        <f>IFERROR(__xludf.DUMMYFUNCTION("""COMPUTED_VALUE"""),"")</f>
        <v/>
      </c>
      <c r="AC15895" s="16" t="str">
        <f>IFERROR(__xludf.DUMMYFUNCTION("""COMPUTED_VALUE"""),"")</f>
        <v/>
      </c>
    </row>
    <row r="15896">
      <c r="A15896" s="16" t="s">
        <v>87</v>
      </c>
      <c r="E15896" s="16" t="str">
        <f>IFERROR(__xludf.DUMMYFUNCTION("""COMPUTED_VALUE"""),"")</f>
        <v/>
      </c>
      <c r="G15896" s="18"/>
      <c r="H15896" s="16" t="s">
        <v>87</v>
      </c>
      <c r="I15896" s="16" t="s">
        <v>87</v>
      </c>
      <c r="J15896" s="19"/>
      <c r="L15896" s="16" t="str">
        <f>IFERROR(__xludf.DUMMYFUNCTION("""COMPUTED_VALUE"""),"")</f>
        <v/>
      </c>
      <c r="M15896" s="16" t="str">
        <f>IFERROR(__xludf.DUMMYFUNCTION("""COMPUTED_VALUE"""),"")</f>
        <v/>
      </c>
      <c r="U15896" s="16" t="s">
        <v>87</v>
      </c>
      <c r="V15896" s="16" t="str">
        <f>IFERROR(__xludf.DUMMYFUNCTION("""COMPUTED_VALUE"""),"")</f>
        <v/>
      </c>
      <c r="W15896" s="16" t="str">
        <f>IFERROR(__xludf.DUMMYFUNCTION("""COMPUTED_VALUE"""),"")</f>
        <v/>
      </c>
      <c r="X15896" s="16" t="str">
        <f>IFERROR(__xludf.DUMMYFUNCTION("""COMPUTED_VALUE"""),"")</f>
        <v/>
      </c>
      <c r="AC15896" s="16" t="str">
        <f>IFERROR(__xludf.DUMMYFUNCTION("""COMPUTED_VALUE"""),"")</f>
        <v/>
      </c>
    </row>
    <row r="15897">
      <c r="A15897" s="16" t="s">
        <v>87</v>
      </c>
      <c r="E15897" s="16" t="str">
        <f>IFERROR(__xludf.DUMMYFUNCTION("""COMPUTED_VALUE"""),"")</f>
        <v/>
      </c>
      <c r="G15897" s="18"/>
      <c r="H15897" s="16" t="s">
        <v>87</v>
      </c>
      <c r="I15897" s="16" t="s">
        <v>87</v>
      </c>
      <c r="J15897" s="19"/>
      <c r="L15897" s="16" t="str">
        <f>IFERROR(__xludf.DUMMYFUNCTION("""COMPUTED_VALUE"""),"")</f>
        <v/>
      </c>
      <c r="M15897" s="16" t="str">
        <f>IFERROR(__xludf.DUMMYFUNCTION("""COMPUTED_VALUE"""),"")</f>
        <v/>
      </c>
      <c r="U15897" s="16" t="s">
        <v>87</v>
      </c>
      <c r="V15897" s="16" t="str">
        <f>IFERROR(__xludf.DUMMYFUNCTION("""COMPUTED_VALUE"""),"")</f>
        <v/>
      </c>
      <c r="W15897" s="16" t="str">
        <f>IFERROR(__xludf.DUMMYFUNCTION("""COMPUTED_VALUE"""),"")</f>
        <v/>
      </c>
      <c r="X15897" s="16" t="str">
        <f>IFERROR(__xludf.DUMMYFUNCTION("""COMPUTED_VALUE"""),"")</f>
        <v/>
      </c>
      <c r="AC15897" s="16" t="str">
        <f>IFERROR(__xludf.DUMMYFUNCTION("""COMPUTED_VALUE"""),"")</f>
        <v/>
      </c>
    </row>
    <row r="15898">
      <c r="A15898" s="16" t="s">
        <v>87</v>
      </c>
      <c r="E15898" s="16" t="str">
        <f>IFERROR(__xludf.DUMMYFUNCTION("""COMPUTED_VALUE"""),"")</f>
        <v/>
      </c>
      <c r="G15898" s="18"/>
      <c r="H15898" s="16" t="s">
        <v>87</v>
      </c>
      <c r="I15898" s="16" t="s">
        <v>87</v>
      </c>
      <c r="J15898" s="19"/>
      <c r="L15898" s="16" t="str">
        <f>IFERROR(__xludf.DUMMYFUNCTION("""COMPUTED_VALUE"""),"")</f>
        <v/>
      </c>
      <c r="M15898" s="16" t="str">
        <f>IFERROR(__xludf.DUMMYFUNCTION("""COMPUTED_VALUE"""),"")</f>
        <v/>
      </c>
      <c r="U15898" s="16" t="s">
        <v>87</v>
      </c>
      <c r="V15898" s="16" t="str">
        <f>IFERROR(__xludf.DUMMYFUNCTION("""COMPUTED_VALUE"""),"")</f>
        <v/>
      </c>
      <c r="W15898" s="16" t="str">
        <f>IFERROR(__xludf.DUMMYFUNCTION("""COMPUTED_VALUE"""),"")</f>
        <v/>
      </c>
      <c r="X15898" s="16" t="str">
        <f>IFERROR(__xludf.DUMMYFUNCTION("""COMPUTED_VALUE"""),"")</f>
        <v/>
      </c>
      <c r="AC15898" s="16" t="str">
        <f>IFERROR(__xludf.DUMMYFUNCTION("""COMPUTED_VALUE"""),"")</f>
        <v/>
      </c>
    </row>
    <row r="15899">
      <c r="A15899" s="16" t="s">
        <v>87</v>
      </c>
      <c r="E15899" s="16" t="str">
        <f>IFERROR(__xludf.DUMMYFUNCTION("""COMPUTED_VALUE"""),"")</f>
        <v/>
      </c>
      <c r="G15899" s="18"/>
      <c r="H15899" s="16" t="s">
        <v>87</v>
      </c>
      <c r="I15899" s="16" t="s">
        <v>87</v>
      </c>
      <c r="J15899" s="19"/>
      <c r="L15899" s="16" t="str">
        <f>IFERROR(__xludf.DUMMYFUNCTION("""COMPUTED_VALUE"""),"")</f>
        <v/>
      </c>
      <c r="M15899" s="16" t="str">
        <f>IFERROR(__xludf.DUMMYFUNCTION("""COMPUTED_VALUE"""),"")</f>
        <v/>
      </c>
      <c r="U15899" s="16" t="s">
        <v>87</v>
      </c>
      <c r="V15899" s="16" t="str">
        <f>IFERROR(__xludf.DUMMYFUNCTION("""COMPUTED_VALUE"""),"")</f>
        <v/>
      </c>
      <c r="W15899" s="16" t="str">
        <f>IFERROR(__xludf.DUMMYFUNCTION("""COMPUTED_VALUE"""),"")</f>
        <v/>
      </c>
      <c r="X15899" s="16" t="str">
        <f>IFERROR(__xludf.DUMMYFUNCTION("""COMPUTED_VALUE"""),"")</f>
        <v/>
      </c>
      <c r="AC15899" s="16" t="str">
        <f>IFERROR(__xludf.DUMMYFUNCTION("""COMPUTED_VALUE"""),"")</f>
        <v/>
      </c>
    </row>
    <row r="15900">
      <c r="A15900" s="16" t="s">
        <v>87</v>
      </c>
      <c r="E15900" s="16" t="str">
        <f>IFERROR(__xludf.DUMMYFUNCTION("""COMPUTED_VALUE"""),"")</f>
        <v/>
      </c>
      <c r="G15900" s="18"/>
      <c r="H15900" s="16" t="s">
        <v>87</v>
      </c>
      <c r="I15900" s="16" t="s">
        <v>87</v>
      </c>
      <c r="J15900" s="19"/>
      <c r="L15900" s="16" t="str">
        <f>IFERROR(__xludf.DUMMYFUNCTION("""COMPUTED_VALUE"""),"")</f>
        <v/>
      </c>
      <c r="M15900" s="16" t="str">
        <f>IFERROR(__xludf.DUMMYFUNCTION("""COMPUTED_VALUE"""),"")</f>
        <v/>
      </c>
      <c r="U15900" s="16" t="s">
        <v>87</v>
      </c>
      <c r="V15900" s="16" t="str">
        <f>IFERROR(__xludf.DUMMYFUNCTION("""COMPUTED_VALUE"""),"")</f>
        <v/>
      </c>
      <c r="W15900" s="16" t="str">
        <f>IFERROR(__xludf.DUMMYFUNCTION("""COMPUTED_VALUE"""),"")</f>
        <v/>
      </c>
      <c r="X15900" s="16" t="str">
        <f>IFERROR(__xludf.DUMMYFUNCTION("""COMPUTED_VALUE"""),"")</f>
        <v/>
      </c>
      <c r="AC15900" s="16" t="str">
        <f>IFERROR(__xludf.DUMMYFUNCTION("""COMPUTED_VALUE"""),"")</f>
        <v/>
      </c>
    </row>
    <row r="15901">
      <c r="A15901" s="16" t="s">
        <v>87</v>
      </c>
      <c r="E15901" s="16" t="str">
        <f>IFERROR(__xludf.DUMMYFUNCTION("""COMPUTED_VALUE"""),"")</f>
        <v/>
      </c>
      <c r="G15901" s="18"/>
      <c r="H15901" s="16" t="s">
        <v>87</v>
      </c>
      <c r="I15901" s="16" t="s">
        <v>87</v>
      </c>
      <c r="J15901" s="19"/>
      <c r="L15901" s="16" t="str">
        <f>IFERROR(__xludf.DUMMYFUNCTION("""COMPUTED_VALUE"""),"")</f>
        <v/>
      </c>
      <c r="M15901" s="16" t="str">
        <f>IFERROR(__xludf.DUMMYFUNCTION("""COMPUTED_VALUE"""),"")</f>
        <v/>
      </c>
      <c r="U15901" s="16" t="s">
        <v>87</v>
      </c>
      <c r="V15901" s="16" t="str">
        <f>IFERROR(__xludf.DUMMYFUNCTION("""COMPUTED_VALUE"""),"")</f>
        <v/>
      </c>
      <c r="W15901" s="16" t="str">
        <f>IFERROR(__xludf.DUMMYFUNCTION("""COMPUTED_VALUE"""),"")</f>
        <v/>
      </c>
      <c r="X15901" s="16" t="str">
        <f>IFERROR(__xludf.DUMMYFUNCTION("""COMPUTED_VALUE"""),"")</f>
        <v/>
      </c>
      <c r="AC15901" s="16" t="str">
        <f>IFERROR(__xludf.DUMMYFUNCTION("""COMPUTED_VALUE"""),"")</f>
        <v/>
      </c>
    </row>
    <row r="15902">
      <c r="A15902" s="16" t="s">
        <v>87</v>
      </c>
      <c r="E15902" s="16" t="str">
        <f>IFERROR(__xludf.DUMMYFUNCTION("""COMPUTED_VALUE"""),"")</f>
        <v/>
      </c>
      <c r="G15902" s="18"/>
      <c r="H15902" s="16" t="s">
        <v>87</v>
      </c>
      <c r="I15902" s="16" t="s">
        <v>87</v>
      </c>
      <c r="J15902" s="19"/>
      <c r="L15902" s="16" t="str">
        <f>IFERROR(__xludf.DUMMYFUNCTION("""COMPUTED_VALUE"""),"")</f>
        <v/>
      </c>
      <c r="M15902" s="16" t="str">
        <f>IFERROR(__xludf.DUMMYFUNCTION("""COMPUTED_VALUE"""),"")</f>
        <v/>
      </c>
      <c r="U15902" s="16" t="s">
        <v>87</v>
      </c>
      <c r="V15902" s="16" t="str">
        <f>IFERROR(__xludf.DUMMYFUNCTION("""COMPUTED_VALUE"""),"")</f>
        <v/>
      </c>
      <c r="W15902" s="16" t="str">
        <f>IFERROR(__xludf.DUMMYFUNCTION("""COMPUTED_VALUE"""),"")</f>
        <v/>
      </c>
      <c r="X15902" s="16" t="str">
        <f>IFERROR(__xludf.DUMMYFUNCTION("""COMPUTED_VALUE"""),"")</f>
        <v/>
      </c>
      <c r="AC15902" s="16" t="str">
        <f>IFERROR(__xludf.DUMMYFUNCTION("""COMPUTED_VALUE"""),"")</f>
        <v/>
      </c>
    </row>
    <row r="15903">
      <c r="A15903" s="16" t="s">
        <v>87</v>
      </c>
      <c r="E15903" s="16" t="str">
        <f>IFERROR(__xludf.DUMMYFUNCTION("""COMPUTED_VALUE"""),"")</f>
        <v/>
      </c>
      <c r="G15903" s="18"/>
      <c r="H15903" s="16" t="s">
        <v>87</v>
      </c>
      <c r="I15903" s="16" t="s">
        <v>87</v>
      </c>
      <c r="J15903" s="19"/>
      <c r="L15903" s="16" t="str">
        <f>IFERROR(__xludf.DUMMYFUNCTION("""COMPUTED_VALUE"""),"")</f>
        <v/>
      </c>
      <c r="M15903" s="16" t="str">
        <f>IFERROR(__xludf.DUMMYFUNCTION("""COMPUTED_VALUE"""),"")</f>
        <v/>
      </c>
      <c r="U15903" s="16" t="s">
        <v>87</v>
      </c>
      <c r="V15903" s="16" t="str">
        <f>IFERROR(__xludf.DUMMYFUNCTION("""COMPUTED_VALUE"""),"")</f>
        <v/>
      </c>
      <c r="W15903" s="16" t="str">
        <f>IFERROR(__xludf.DUMMYFUNCTION("""COMPUTED_VALUE"""),"")</f>
        <v/>
      </c>
      <c r="X15903" s="16" t="str">
        <f>IFERROR(__xludf.DUMMYFUNCTION("""COMPUTED_VALUE"""),"")</f>
        <v/>
      </c>
      <c r="AC15903" s="16" t="str">
        <f>IFERROR(__xludf.DUMMYFUNCTION("""COMPUTED_VALUE"""),"")</f>
        <v/>
      </c>
    </row>
    <row r="15904">
      <c r="A15904" s="16" t="s">
        <v>87</v>
      </c>
      <c r="E15904" s="16" t="str">
        <f>IFERROR(__xludf.DUMMYFUNCTION("""COMPUTED_VALUE"""),"")</f>
        <v/>
      </c>
      <c r="G15904" s="18"/>
      <c r="H15904" s="16" t="s">
        <v>87</v>
      </c>
      <c r="I15904" s="16" t="s">
        <v>87</v>
      </c>
      <c r="J15904" s="19"/>
      <c r="L15904" s="16" t="str">
        <f>IFERROR(__xludf.DUMMYFUNCTION("""COMPUTED_VALUE"""),"")</f>
        <v/>
      </c>
      <c r="M15904" s="16" t="str">
        <f>IFERROR(__xludf.DUMMYFUNCTION("""COMPUTED_VALUE"""),"")</f>
        <v/>
      </c>
      <c r="U15904" s="16" t="s">
        <v>87</v>
      </c>
      <c r="V15904" s="16" t="str">
        <f>IFERROR(__xludf.DUMMYFUNCTION("""COMPUTED_VALUE"""),"")</f>
        <v/>
      </c>
      <c r="W15904" s="16" t="str">
        <f>IFERROR(__xludf.DUMMYFUNCTION("""COMPUTED_VALUE"""),"")</f>
        <v/>
      </c>
      <c r="X15904" s="16" t="str">
        <f>IFERROR(__xludf.DUMMYFUNCTION("""COMPUTED_VALUE"""),"")</f>
        <v/>
      </c>
      <c r="AC15904" s="16" t="str">
        <f>IFERROR(__xludf.DUMMYFUNCTION("""COMPUTED_VALUE"""),"")</f>
        <v/>
      </c>
    </row>
    <row r="15905">
      <c r="A15905" s="16" t="s">
        <v>87</v>
      </c>
      <c r="E15905" s="16" t="str">
        <f>IFERROR(__xludf.DUMMYFUNCTION("""COMPUTED_VALUE"""),"")</f>
        <v/>
      </c>
      <c r="G15905" s="18"/>
      <c r="H15905" s="16" t="s">
        <v>87</v>
      </c>
      <c r="I15905" s="16" t="s">
        <v>87</v>
      </c>
      <c r="J15905" s="19"/>
      <c r="L15905" s="16" t="str">
        <f>IFERROR(__xludf.DUMMYFUNCTION("""COMPUTED_VALUE"""),"")</f>
        <v/>
      </c>
      <c r="M15905" s="16" t="str">
        <f>IFERROR(__xludf.DUMMYFUNCTION("""COMPUTED_VALUE"""),"")</f>
        <v/>
      </c>
      <c r="U15905" s="16" t="s">
        <v>87</v>
      </c>
      <c r="V15905" s="16" t="str">
        <f>IFERROR(__xludf.DUMMYFUNCTION("""COMPUTED_VALUE"""),"")</f>
        <v/>
      </c>
      <c r="W15905" s="16" t="str">
        <f>IFERROR(__xludf.DUMMYFUNCTION("""COMPUTED_VALUE"""),"")</f>
        <v/>
      </c>
      <c r="X15905" s="16" t="str">
        <f>IFERROR(__xludf.DUMMYFUNCTION("""COMPUTED_VALUE"""),"")</f>
        <v/>
      </c>
      <c r="AC15905" s="16" t="str">
        <f>IFERROR(__xludf.DUMMYFUNCTION("""COMPUTED_VALUE"""),"")</f>
        <v/>
      </c>
    </row>
    <row r="15906">
      <c r="A15906" s="16" t="s">
        <v>87</v>
      </c>
      <c r="E15906" s="16" t="str">
        <f>IFERROR(__xludf.DUMMYFUNCTION("""COMPUTED_VALUE"""),"")</f>
        <v/>
      </c>
      <c r="G15906" s="18"/>
      <c r="H15906" s="16" t="s">
        <v>87</v>
      </c>
      <c r="I15906" s="16" t="s">
        <v>87</v>
      </c>
      <c r="J15906" s="19"/>
      <c r="L15906" s="16" t="str">
        <f>IFERROR(__xludf.DUMMYFUNCTION("""COMPUTED_VALUE"""),"")</f>
        <v/>
      </c>
      <c r="M15906" s="16" t="str">
        <f>IFERROR(__xludf.DUMMYFUNCTION("""COMPUTED_VALUE"""),"")</f>
        <v/>
      </c>
      <c r="U15906" s="16" t="s">
        <v>87</v>
      </c>
      <c r="V15906" s="16" t="str">
        <f>IFERROR(__xludf.DUMMYFUNCTION("""COMPUTED_VALUE"""),"")</f>
        <v/>
      </c>
      <c r="W15906" s="16" t="str">
        <f>IFERROR(__xludf.DUMMYFUNCTION("""COMPUTED_VALUE"""),"")</f>
        <v/>
      </c>
      <c r="X15906" s="16" t="str">
        <f>IFERROR(__xludf.DUMMYFUNCTION("""COMPUTED_VALUE"""),"")</f>
        <v/>
      </c>
      <c r="AC15906" s="16" t="str">
        <f>IFERROR(__xludf.DUMMYFUNCTION("""COMPUTED_VALUE"""),"")</f>
        <v/>
      </c>
    </row>
    <row r="15907">
      <c r="A15907" s="16" t="s">
        <v>87</v>
      </c>
      <c r="E15907" s="16" t="str">
        <f>IFERROR(__xludf.DUMMYFUNCTION("""COMPUTED_VALUE"""),"")</f>
        <v/>
      </c>
      <c r="G15907" s="18"/>
      <c r="H15907" s="16" t="s">
        <v>87</v>
      </c>
      <c r="I15907" s="16" t="s">
        <v>87</v>
      </c>
      <c r="J15907" s="19"/>
      <c r="L15907" s="16" t="str">
        <f>IFERROR(__xludf.DUMMYFUNCTION("""COMPUTED_VALUE"""),"")</f>
        <v/>
      </c>
      <c r="M15907" s="16" t="str">
        <f>IFERROR(__xludf.DUMMYFUNCTION("""COMPUTED_VALUE"""),"")</f>
        <v/>
      </c>
      <c r="U15907" s="16" t="s">
        <v>87</v>
      </c>
      <c r="V15907" s="16" t="str">
        <f>IFERROR(__xludf.DUMMYFUNCTION("""COMPUTED_VALUE"""),"")</f>
        <v/>
      </c>
      <c r="W15907" s="16" t="str">
        <f>IFERROR(__xludf.DUMMYFUNCTION("""COMPUTED_VALUE"""),"")</f>
        <v/>
      </c>
      <c r="X15907" s="16" t="str">
        <f>IFERROR(__xludf.DUMMYFUNCTION("""COMPUTED_VALUE"""),"")</f>
        <v/>
      </c>
      <c r="AC15907" s="16" t="str">
        <f>IFERROR(__xludf.DUMMYFUNCTION("""COMPUTED_VALUE"""),"")</f>
        <v/>
      </c>
    </row>
    <row r="15908">
      <c r="A15908" s="16" t="s">
        <v>87</v>
      </c>
      <c r="E15908" s="16" t="str">
        <f>IFERROR(__xludf.DUMMYFUNCTION("""COMPUTED_VALUE"""),"")</f>
        <v/>
      </c>
      <c r="G15908" s="18"/>
      <c r="H15908" s="16" t="s">
        <v>87</v>
      </c>
      <c r="I15908" s="16" t="s">
        <v>87</v>
      </c>
      <c r="J15908" s="19"/>
      <c r="L15908" s="16" t="str">
        <f>IFERROR(__xludf.DUMMYFUNCTION("""COMPUTED_VALUE"""),"")</f>
        <v/>
      </c>
      <c r="M15908" s="16" t="str">
        <f>IFERROR(__xludf.DUMMYFUNCTION("""COMPUTED_VALUE"""),"")</f>
        <v/>
      </c>
      <c r="U15908" s="16" t="s">
        <v>87</v>
      </c>
      <c r="V15908" s="16" t="str">
        <f>IFERROR(__xludf.DUMMYFUNCTION("""COMPUTED_VALUE"""),"")</f>
        <v/>
      </c>
      <c r="W15908" s="16" t="str">
        <f>IFERROR(__xludf.DUMMYFUNCTION("""COMPUTED_VALUE"""),"")</f>
        <v/>
      </c>
      <c r="X15908" s="16" t="str">
        <f>IFERROR(__xludf.DUMMYFUNCTION("""COMPUTED_VALUE"""),"")</f>
        <v/>
      </c>
      <c r="AC15908" s="16" t="str">
        <f>IFERROR(__xludf.DUMMYFUNCTION("""COMPUTED_VALUE"""),"")</f>
        <v/>
      </c>
    </row>
    <row r="15909">
      <c r="A15909" s="16" t="s">
        <v>87</v>
      </c>
      <c r="E15909" s="16" t="str">
        <f>IFERROR(__xludf.DUMMYFUNCTION("""COMPUTED_VALUE"""),"")</f>
        <v/>
      </c>
      <c r="G15909" s="18"/>
      <c r="H15909" s="16" t="s">
        <v>87</v>
      </c>
      <c r="I15909" s="16" t="s">
        <v>87</v>
      </c>
      <c r="J15909" s="19"/>
      <c r="L15909" s="16" t="str">
        <f>IFERROR(__xludf.DUMMYFUNCTION("""COMPUTED_VALUE"""),"")</f>
        <v/>
      </c>
      <c r="M15909" s="16" t="str">
        <f>IFERROR(__xludf.DUMMYFUNCTION("""COMPUTED_VALUE"""),"")</f>
        <v/>
      </c>
      <c r="U15909" s="16" t="s">
        <v>87</v>
      </c>
      <c r="V15909" s="16" t="str">
        <f>IFERROR(__xludf.DUMMYFUNCTION("""COMPUTED_VALUE"""),"")</f>
        <v/>
      </c>
      <c r="W15909" s="16" t="str">
        <f>IFERROR(__xludf.DUMMYFUNCTION("""COMPUTED_VALUE"""),"")</f>
        <v/>
      </c>
      <c r="X15909" s="16" t="str">
        <f>IFERROR(__xludf.DUMMYFUNCTION("""COMPUTED_VALUE"""),"")</f>
        <v/>
      </c>
      <c r="AC15909" s="16" t="str">
        <f>IFERROR(__xludf.DUMMYFUNCTION("""COMPUTED_VALUE"""),"")</f>
        <v/>
      </c>
    </row>
    <row r="15910">
      <c r="A15910" s="16" t="s">
        <v>87</v>
      </c>
      <c r="E15910" s="16" t="str">
        <f>IFERROR(__xludf.DUMMYFUNCTION("""COMPUTED_VALUE"""),"")</f>
        <v/>
      </c>
      <c r="G15910" s="18"/>
      <c r="H15910" s="16" t="s">
        <v>87</v>
      </c>
      <c r="I15910" s="16" t="s">
        <v>87</v>
      </c>
      <c r="J15910" s="19"/>
      <c r="L15910" s="16" t="str">
        <f>IFERROR(__xludf.DUMMYFUNCTION("""COMPUTED_VALUE"""),"")</f>
        <v/>
      </c>
      <c r="M15910" s="16" t="str">
        <f>IFERROR(__xludf.DUMMYFUNCTION("""COMPUTED_VALUE"""),"")</f>
        <v/>
      </c>
      <c r="U15910" s="16" t="s">
        <v>87</v>
      </c>
      <c r="V15910" s="16" t="str">
        <f>IFERROR(__xludf.DUMMYFUNCTION("""COMPUTED_VALUE"""),"")</f>
        <v/>
      </c>
      <c r="W15910" s="16" t="str">
        <f>IFERROR(__xludf.DUMMYFUNCTION("""COMPUTED_VALUE"""),"")</f>
        <v/>
      </c>
      <c r="X15910" s="16" t="str">
        <f>IFERROR(__xludf.DUMMYFUNCTION("""COMPUTED_VALUE"""),"")</f>
        <v/>
      </c>
      <c r="AC15910" s="16" t="str">
        <f>IFERROR(__xludf.DUMMYFUNCTION("""COMPUTED_VALUE"""),"")</f>
        <v/>
      </c>
    </row>
    <row r="15911">
      <c r="A15911" s="16" t="s">
        <v>87</v>
      </c>
      <c r="E15911" s="16" t="str">
        <f>IFERROR(__xludf.DUMMYFUNCTION("""COMPUTED_VALUE"""),"")</f>
        <v/>
      </c>
      <c r="G15911" s="18"/>
      <c r="H15911" s="16" t="s">
        <v>87</v>
      </c>
      <c r="I15911" s="16" t="s">
        <v>87</v>
      </c>
      <c r="J15911" s="19"/>
      <c r="L15911" s="16" t="str">
        <f>IFERROR(__xludf.DUMMYFUNCTION("""COMPUTED_VALUE"""),"")</f>
        <v/>
      </c>
      <c r="M15911" s="16" t="str">
        <f>IFERROR(__xludf.DUMMYFUNCTION("""COMPUTED_VALUE"""),"")</f>
        <v/>
      </c>
      <c r="U15911" s="16" t="s">
        <v>87</v>
      </c>
      <c r="V15911" s="16" t="str">
        <f>IFERROR(__xludf.DUMMYFUNCTION("""COMPUTED_VALUE"""),"")</f>
        <v/>
      </c>
      <c r="W15911" s="16" t="str">
        <f>IFERROR(__xludf.DUMMYFUNCTION("""COMPUTED_VALUE"""),"")</f>
        <v/>
      </c>
      <c r="X15911" s="16" t="str">
        <f>IFERROR(__xludf.DUMMYFUNCTION("""COMPUTED_VALUE"""),"")</f>
        <v/>
      </c>
      <c r="AC15911" s="16" t="str">
        <f>IFERROR(__xludf.DUMMYFUNCTION("""COMPUTED_VALUE"""),"")</f>
        <v/>
      </c>
    </row>
    <row r="15912">
      <c r="A15912" s="16" t="s">
        <v>87</v>
      </c>
      <c r="E15912" s="16" t="str">
        <f>IFERROR(__xludf.DUMMYFUNCTION("""COMPUTED_VALUE"""),"")</f>
        <v/>
      </c>
      <c r="G15912" s="18"/>
      <c r="H15912" s="16" t="s">
        <v>87</v>
      </c>
      <c r="I15912" s="16" t="s">
        <v>87</v>
      </c>
      <c r="J15912" s="19"/>
      <c r="L15912" s="16" t="str">
        <f>IFERROR(__xludf.DUMMYFUNCTION("""COMPUTED_VALUE"""),"")</f>
        <v/>
      </c>
      <c r="M15912" s="16" t="str">
        <f>IFERROR(__xludf.DUMMYFUNCTION("""COMPUTED_VALUE"""),"")</f>
        <v/>
      </c>
      <c r="U15912" s="16" t="s">
        <v>87</v>
      </c>
      <c r="V15912" s="16" t="str">
        <f>IFERROR(__xludf.DUMMYFUNCTION("""COMPUTED_VALUE"""),"")</f>
        <v/>
      </c>
      <c r="W15912" s="16" t="str">
        <f>IFERROR(__xludf.DUMMYFUNCTION("""COMPUTED_VALUE"""),"")</f>
        <v/>
      </c>
      <c r="X15912" s="16" t="str">
        <f>IFERROR(__xludf.DUMMYFUNCTION("""COMPUTED_VALUE"""),"")</f>
        <v/>
      </c>
      <c r="AC15912" s="16" t="str">
        <f>IFERROR(__xludf.DUMMYFUNCTION("""COMPUTED_VALUE"""),"")</f>
        <v/>
      </c>
    </row>
    <row r="15913">
      <c r="A15913" s="16" t="s">
        <v>87</v>
      </c>
      <c r="E15913" s="16" t="str">
        <f>IFERROR(__xludf.DUMMYFUNCTION("""COMPUTED_VALUE"""),"")</f>
        <v/>
      </c>
      <c r="G15913" s="18"/>
      <c r="H15913" s="16" t="s">
        <v>87</v>
      </c>
      <c r="I15913" s="16" t="s">
        <v>87</v>
      </c>
      <c r="J15913" s="19"/>
      <c r="L15913" s="16" t="str">
        <f>IFERROR(__xludf.DUMMYFUNCTION("""COMPUTED_VALUE"""),"")</f>
        <v/>
      </c>
      <c r="M15913" s="16" t="str">
        <f>IFERROR(__xludf.DUMMYFUNCTION("""COMPUTED_VALUE"""),"")</f>
        <v/>
      </c>
      <c r="U15913" s="16" t="s">
        <v>87</v>
      </c>
      <c r="V15913" s="16" t="str">
        <f>IFERROR(__xludf.DUMMYFUNCTION("""COMPUTED_VALUE"""),"")</f>
        <v/>
      </c>
      <c r="W15913" s="16" t="str">
        <f>IFERROR(__xludf.DUMMYFUNCTION("""COMPUTED_VALUE"""),"")</f>
        <v/>
      </c>
      <c r="X15913" s="16" t="str">
        <f>IFERROR(__xludf.DUMMYFUNCTION("""COMPUTED_VALUE"""),"")</f>
        <v/>
      </c>
      <c r="AC15913" s="16" t="str">
        <f>IFERROR(__xludf.DUMMYFUNCTION("""COMPUTED_VALUE"""),"")</f>
        <v/>
      </c>
    </row>
    <row r="15914">
      <c r="A15914" s="16" t="s">
        <v>87</v>
      </c>
      <c r="E15914" s="16" t="str">
        <f>IFERROR(__xludf.DUMMYFUNCTION("""COMPUTED_VALUE"""),"")</f>
        <v/>
      </c>
      <c r="G15914" s="18"/>
      <c r="H15914" s="16" t="s">
        <v>87</v>
      </c>
      <c r="I15914" s="16" t="s">
        <v>87</v>
      </c>
      <c r="J15914" s="19"/>
      <c r="L15914" s="16" t="str">
        <f>IFERROR(__xludf.DUMMYFUNCTION("""COMPUTED_VALUE"""),"")</f>
        <v/>
      </c>
      <c r="M15914" s="16" t="str">
        <f>IFERROR(__xludf.DUMMYFUNCTION("""COMPUTED_VALUE"""),"")</f>
        <v/>
      </c>
      <c r="U15914" s="16" t="s">
        <v>87</v>
      </c>
      <c r="V15914" s="16" t="str">
        <f>IFERROR(__xludf.DUMMYFUNCTION("""COMPUTED_VALUE"""),"")</f>
        <v/>
      </c>
      <c r="W15914" s="16" t="str">
        <f>IFERROR(__xludf.DUMMYFUNCTION("""COMPUTED_VALUE"""),"")</f>
        <v/>
      </c>
      <c r="X15914" s="16" t="str">
        <f>IFERROR(__xludf.DUMMYFUNCTION("""COMPUTED_VALUE"""),"")</f>
        <v/>
      </c>
      <c r="AC15914" s="16" t="str">
        <f>IFERROR(__xludf.DUMMYFUNCTION("""COMPUTED_VALUE"""),"")</f>
        <v/>
      </c>
    </row>
    <row r="15915">
      <c r="A15915" s="16" t="s">
        <v>87</v>
      </c>
      <c r="E15915" s="16" t="str">
        <f>IFERROR(__xludf.DUMMYFUNCTION("""COMPUTED_VALUE"""),"")</f>
        <v/>
      </c>
      <c r="G15915" s="18"/>
      <c r="H15915" s="16" t="s">
        <v>87</v>
      </c>
      <c r="I15915" s="16" t="s">
        <v>87</v>
      </c>
      <c r="J15915" s="19"/>
      <c r="L15915" s="16" t="str">
        <f>IFERROR(__xludf.DUMMYFUNCTION("""COMPUTED_VALUE"""),"")</f>
        <v/>
      </c>
      <c r="M15915" s="16" t="str">
        <f>IFERROR(__xludf.DUMMYFUNCTION("""COMPUTED_VALUE"""),"")</f>
        <v/>
      </c>
      <c r="U15915" s="16" t="s">
        <v>87</v>
      </c>
      <c r="V15915" s="16" t="str">
        <f>IFERROR(__xludf.DUMMYFUNCTION("""COMPUTED_VALUE"""),"")</f>
        <v/>
      </c>
      <c r="W15915" s="16" t="str">
        <f>IFERROR(__xludf.DUMMYFUNCTION("""COMPUTED_VALUE"""),"")</f>
        <v/>
      </c>
      <c r="X15915" s="16" t="str">
        <f>IFERROR(__xludf.DUMMYFUNCTION("""COMPUTED_VALUE"""),"")</f>
        <v/>
      </c>
      <c r="AC15915" s="16" t="str">
        <f>IFERROR(__xludf.DUMMYFUNCTION("""COMPUTED_VALUE"""),"")</f>
        <v/>
      </c>
    </row>
    <row r="15916">
      <c r="A15916" s="16" t="s">
        <v>87</v>
      </c>
      <c r="E15916" s="16" t="str">
        <f>IFERROR(__xludf.DUMMYFUNCTION("""COMPUTED_VALUE"""),"")</f>
        <v/>
      </c>
      <c r="G15916" s="18"/>
      <c r="H15916" s="16" t="s">
        <v>87</v>
      </c>
      <c r="I15916" s="16" t="s">
        <v>87</v>
      </c>
      <c r="J15916" s="19"/>
      <c r="L15916" s="16" t="str">
        <f>IFERROR(__xludf.DUMMYFUNCTION("""COMPUTED_VALUE"""),"")</f>
        <v/>
      </c>
      <c r="M15916" s="16" t="str">
        <f>IFERROR(__xludf.DUMMYFUNCTION("""COMPUTED_VALUE"""),"")</f>
        <v/>
      </c>
      <c r="U15916" s="16" t="s">
        <v>87</v>
      </c>
      <c r="V15916" s="16" t="str">
        <f>IFERROR(__xludf.DUMMYFUNCTION("""COMPUTED_VALUE"""),"")</f>
        <v/>
      </c>
      <c r="W15916" s="16" t="str">
        <f>IFERROR(__xludf.DUMMYFUNCTION("""COMPUTED_VALUE"""),"")</f>
        <v/>
      </c>
      <c r="X15916" s="16" t="str">
        <f>IFERROR(__xludf.DUMMYFUNCTION("""COMPUTED_VALUE"""),"")</f>
        <v/>
      </c>
      <c r="AC15916" s="16" t="str">
        <f>IFERROR(__xludf.DUMMYFUNCTION("""COMPUTED_VALUE"""),"")</f>
        <v/>
      </c>
    </row>
    <row r="15917">
      <c r="A15917" s="16" t="s">
        <v>87</v>
      </c>
      <c r="E15917" s="16" t="str">
        <f>IFERROR(__xludf.DUMMYFUNCTION("""COMPUTED_VALUE"""),"")</f>
        <v/>
      </c>
      <c r="G15917" s="18"/>
      <c r="H15917" s="16" t="s">
        <v>87</v>
      </c>
      <c r="I15917" s="16" t="s">
        <v>87</v>
      </c>
      <c r="J15917" s="19"/>
      <c r="L15917" s="16" t="str">
        <f>IFERROR(__xludf.DUMMYFUNCTION("""COMPUTED_VALUE"""),"")</f>
        <v/>
      </c>
      <c r="M15917" s="16" t="str">
        <f>IFERROR(__xludf.DUMMYFUNCTION("""COMPUTED_VALUE"""),"")</f>
        <v/>
      </c>
      <c r="U15917" s="16" t="s">
        <v>87</v>
      </c>
      <c r="V15917" s="16" t="str">
        <f>IFERROR(__xludf.DUMMYFUNCTION("""COMPUTED_VALUE"""),"")</f>
        <v/>
      </c>
      <c r="W15917" s="16" t="str">
        <f>IFERROR(__xludf.DUMMYFUNCTION("""COMPUTED_VALUE"""),"")</f>
        <v/>
      </c>
      <c r="X15917" s="16" t="str">
        <f>IFERROR(__xludf.DUMMYFUNCTION("""COMPUTED_VALUE"""),"")</f>
        <v/>
      </c>
      <c r="AC15917" s="16" t="str">
        <f>IFERROR(__xludf.DUMMYFUNCTION("""COMPUTED_VALUE"""),"")</f>
        <v/>
      </c>
    </row>
    <row r="15918">
      <c r="A15918" s="16" t="s">
        <v>87</v>
      </c>
      <c r="E15918" s="16" t="str">
        <f>IFERROR(__xludf.DUMMYFUNCTION("""COMPUTED_VALUE"""),"")</f>
        <v/>
      </c>
      <c r="G15918" s="18"/>
      <c r="H15918" s="16" t="s">
        <v>87</v>
      </c>
      <c r="I15918" s="16" t="s">
        <v>87</v>
      </c>
      <c r="J15918" s="19"/>
      <c r="L15918" s="16" t="str">
        <f>IFERROR(__xludf.DUMMYFUNCTION("""COMPUTED_VALUE"""),"")</f>
        <v/>
      </c>
      <c r="M15918" s="16" t="str">
        <f>IFERROR(__xludf.DUMMYFUNCTION("""COMPUTED_VALUE"""),"")</f>
        <v/>
      </c>
      <c r="U15918" s="16" t="s">
        <v>87</v>
      </c>
      <c r="V15918" s="16" t="str">
        <f>IFERROR(__xludf.DUMMYFUNCTION("""COMPUTED_VALUE"""),"")</f>
        <v/>
      </c>
      <c r="W15918" s="16" t="str">
        <f>IFERROR(__xludf.DUMMYFUNCTION("""COMPUTED_VALUE"""),"")</f>
        <v/>
      </c>
      <c r="X15918" s="16" t="str">
        <f>IFERROR(__xludf.DUMMYFUNCTION("""COMPUTED_VALUE"""),"")</f>
        <v/>
      </c>
      <c r="AC15918" s="16" t="str">
        <f>IFERROR(__xludf.DUMMYFUNCTION("""COMPUTED_VALUE"""),"")</f>
        <v/>
      </c>
    </row>
    <row r="15919">
      <c r="A15919" s="16" t="s">
        <v>87</v>
      </c>
      <c r="E15919" s="16" t="str">
        <f>IFERROR(__xludf.DUMMYFUNCTION("""COMPUTED_VALUE"""),"")</f>
        <v/>
      </c>
      <c r="G15919" s="18"/>
      <c r="H15919" s="16" t="s">
        <v>87</v>
      </c>
      <c r="I15919" s="16" t="s">
        <v>87</v>
      </c>
      <c r="J15919" s="19"/>
      <c r="L15919" s="16" t="str">
        <f>IFERROR(__xludf.DUMMYFUNCTION("""COMPUTED_VALUE"""),"")</f>
        <v/>
      </c>
      <c r="M15919" s="16" t="str">
        <f>IFERROR(__xludf.DUMMYFUNCTION("""COMPUTED_VALUE"""),"")</f>
        <v/>
      </c>
      <c r="U15919" s="16" t="s">
        <v>87</v>
      </c>
      <c r="V15919" s="16" t="str">
        <f>IFERROR(__xludf.DUMMYFUNCTION("""COMPUTED_VALUE"""),"")</f>
        <v/>
      </c>
      <c r="W15919" s="16" t="str">
        <f>IFERROR(__xludf.DUMMYFUNCTION("""COMPUTED_VALUE"""),"")</f>
        <v/>
      </c>
      <c r="X15919" s="16" t="str">
        <f>IFERROR(__xludf.DUMMYFUNCTION("""COMPUTED_VALUE"""),"")</f>
        <v/>
      </c>
      <c r="AC15919" s="16" t="str">
        <f>IFERROR(__xludf.DUMMYFUNCTION("""COMPUTED_VALUE"""),"")</f>
        <v/>
      </c>
    </row>
    <row r="15920">
      <c r="A15920" s="16" t="s">
        <v>87</v>
      </c>
      <c r="E15920" s="16" t="str">
        <f>IFERROR(__xludf.DUMMYFUNCTION("""COMPUTED_VALUE"""),"")</f>
        <v/>
      </c>
      <c r="G15920" s="18"/>
      <c r="H15920" s="16" t="s">
        <v>87</v>
      </c>
      <c r="I15920" s="16" t="s">
        <v>87</v>
      </c>
      <c r="J15920" s="19"/>
      <c r="L15920" s="16" t="str">
        <f>IFERROR(__xludf.DUMMYFUNCTION("""COMPUTED_VALUE"""),"")</f>
        <v/>
      </c>
      <c r="M15920" s="16" t="str">
        <f>IFERROR(__xludf.DUMMYFUNCTION("""COMPUTED_VALUE"""),"")</f>
        <v/>
      </c>
      <c r="U15920" s="16" t="s">
        <v>87</v>
      </c>
      <c r="V15920" s="16" t="str">
        <f>IFERROR(__xludf.DUMMYFUNCTION("""COMPUTED_VALUE"""),"")</f>
        <v/>
      </c>
      <c r="W15920" s="16" t="str">
        <f>IFERROR(__xludf.DUMMYFUNCTION("""COMPUTED_VALUE"""),"")</f>
        <v/>
      </c>
      <c r="X15920" s="16" t="str">
        <f>IFERROR(__xludf.DUMMYFUNCTION("""COMPUTED_VALUE"""),"")</f>
        <v/>
      </c>
      <c r="AC15920" s="16" t="str">
        <f>IFERROR(__xludf.DUMMYFUNCTION("""COMPUTED_VALUE"""),"")</f>
        <v/>
      </c>
    </row>
    <row r="15921">
      <c r="A15921" s="16" t="s">
        <v>87</v>
      </c>
      <c r="E15921" s="16" t="str">
        <f>IFERROR(__xludf.DUMMYFUNCTION("""COMPUTED_VALUE"""),"")</f>
        <v/>
      </c>
      <c r="G15921" s="18"/>
      <c r="H15921" s="16" t="s">
        <v>87</v>
      </c>
      <c r="I15921" s="16" t="s">
        <v>87</v>
      </c>
      <c r="J15921" s="19"/>
      <c r="L15921" s="16" t="str">
        <f>IFERROR(__xludf.DUMMYFUNCTION("""COMPUTED_VALUE"""),"")</f>
        <v/>
      </c>
      <c r="M15921" s="16" t="str">
        <f>IFERROR(__xludf.DUMMYFUNCTION("""COMPUTED_VALUE"""),"")</f>
        <v/>
      </c>
      <c r="U15921" s="16" t="s">
        <v>87</v>
      </c>
      <c r="V15921" s="16" t="str">
        <f>IFERROR(__xludf.DUMMYFUNCTION("""COMPUTED_VALUE"""),"")</f>
        <v/>
      </c>
      <c r="W15921" s="16" t="str">
        <f>IFERROR(__xludf.DUMMYFUNCTION("""COMPUTED_VALUE"""),"")</f>
        <v/>
      </c>
      <c r="X15921" s="16" t="str">
        <f>IFERROR(__xludf.DUMMYFUNCTION("""COMPUTED_VALUE"""),"")</f>
        <v/>
      </c>
      <c r="AC15921" s="16" t="str">
        <f>IFERROR(__xludf.DUMMYFUNCTION("""COMPUTED_VALUE"""),"")</f>
        <v/>
      </c>
    </row>
    <row r="15922">
      <c r="A15922" s="16" t="s">
        <v>87</v>
      </c>
      <c r="E15922" s="16" t="str">
        <f>IFERROR(__xludf.DUMMYFUNCTION("""COMPUTED_VALUE"""),"")</f>
        <v/>
      </c>
      <c r="G15922" s="18"/>
      <c r="H15922" s="16" t="s">
        <v>87</v>
      </c>
      <c r="I15922" s="16" t="s">
        <v>87</v>
      </c>
      <c r="J15922" s="19"/>
      <c r="L15922" s="16" t="str">
        <f>IFERROR(__xludf.DUMMYFUNCTION("""COMPUTED_VALUE"""),"")</f>
        <v/>
      </c>
      <c r="M15922" s="16" t="str">
        <f>IFERROR(__xludf.DUMMYFUNCTION("""COMPUTED_VALUE"""),"")</f>
        <v/>
      </c>
      <c r="U15922" s="16" t="s">
        <v>87</v>
      </c>
      <c r="V15922" s="16" t="str">
        <f>IFERROR(__xludf.DUMMYFUNCTION("""COMPUTED_VALUE"""),"")</f>
        <v/>
      </c>
      <c r="W15922" s="16" t="str">
        <f>IFERROR(__xludf.DUMMYFUNCTION("""COMPUTED_VALUE"""),"")</f>
        <v/>
      </c>
      <c r="X15922" s="16" t="str">
        <f>IFERROR(__xludf.DUMMYFUNCTION("""COMPUTED_VALUE"""),"")</f>
        <v/>
      </c>
      <c r="AC15922" s="16" t="str">
        <f>IFERROR(__xludf.DUMMYFUNCTION("""COMPUTED_VALUE"""),"")</f>
        <v/>
      </c>
    </row>
    <row r="15923">
      <c r="A15923" s="16" t="s">
        <v>87</v>
      </c>
      <c r="E15923" s="16" t="str">
        <f>IFERROR(__xludf.DUMMYFUNCTION("""COMPUTED_VALUE"""),"")</f>
        <v/>
      </c>
      <c r="G15923" s="18"/>
      <c r="H15923" s="16" t="s">
        <v>87</v>
      </c>
      <c r="I15923" s="16" t="s">
        <v>87</v>
      </c>
      <c r="J15923" s="19"/>
      <c r="L15923" s="16" t="str">
        <f>IFERROR(__xludf.DUMMYFUNCTION("""COMPUTED_VALUE"""),"")</f>
        <v/>
      </c>
      <c r="M15923" s="16" t="str">
        <f>IFERROR(__xludf.DUMMYFUNCTION("""COMPUTED_VALUE"""),"")</f>
        <v/>
      </c>
      <c r="U15923" s="16" t="s">
        <v>87</v>
      </c>
      <c r="V15923" s="16" t="str">
        <f>IFERROR(__xludf.DUMMYFUNCTION("""COMPUTED_VALUE"""),"")</f>
        <v/>
      </c>
      <c r="W15923" s="16" t="str">
        <f>IFERROR(__xludf.DUMMYFUNCTION("""COMPUTED_VALUE"""),"")</f>
        <v/>
      </c>
      <c r="X15923" s="16" t="str">
        <f>IFERROR(__xludf.DUMMYFUNCTION("""COMPUTED_VALUE"""),"")</f>
        <v/>
      </c>
      <c r="AC15923" s="16" t="str">
        <f>IFERROR(__xludf.DUMMYFUNCTION("""COMPUTED_VALUE"""),"")</f>
        <v/>
      </c>
    </row>
    <row r="15924">
      <c r="A15924" s="16" t="s">
        <v>87</v>
      </c>
      <c r="E15924" s="16" t="str">
        <f>IFERROR(__xludf.DUMMYFUNCTION("""COMPUTED_VALUE"""),"")</f>
        <v/>
      </c>
      <c r="G15924" s="18"/>
      <c r="H15924" s="16" t="s">
        <v>87</v>
      </c>
      <c r="I15924" s="16" t="s">
        <v>87</v>
      </c>
      <c r="J15924" s="19"/>
      <c r="L15924" s="16" t="str">
        <f>IFERROR(__xludf.DUMMYFUNCTION("""COMPUTED_VALUE"""),"")</f>
        <v/>
      </c>
      <c r="M15924" s="16" t="str">
        <f>IFERROR(__xludf.DUMMYFUNCTION("""COMPUTED_VALUE"""),"")</f>
        <v/>
      </c>
      <c r="U15924" s="16" t="s">
        <v>87</v>
      </c>
      <c r="V15924" s="16" t="str">
        <f>IFERROR(__xludf.DUMMYFUNCTION("""COMPUTED_VALUE"""),"")</f>
        <v/>
      </c>
      <c r="W15924" s="16" t="str">
        <f>IFERROR(__xludf.DUMMYFUNCTION("""COMPUTED_VALUE"""),"")</f>
        <v/>
      </c>
      <c r="X15924" s="16" t="str">
        <f>IFERROR(__xludf.DUMMYFUNCTION("""COMPUTED_VALUE"""),"")</f>
        <v/>
      </c>
      <c r="AC15924" s="16" t="str">
        <f>IFERROR(__xludf.DUMMYFUNCTION("""COMPUTED_VALUE"""),"")</f>
        <v/>
      </c>
    </row>
    <row r="15925">
      <c r="A15925" s="16" t="s">
        <v>87</v>
      </c>
      <c r="E15925" s="16" t="str">
        <f>IFERROR(__xludf.DUMMYFUNCTION("""COMPUTED_VALUE"""),"")</f>
        <v/>
      </c>
      <c r="G15925" s="18"/>
      <c r="H15925" s="16" t="s">
        <v>87</v>
      </c>
      <c r="I15925" s="16" t="s">
        <v>87</v>
      </c>
      <c r="J15925" s="19"/>
      <c r="L15925" s="16" t="str">
        <f>IFERROR(__xludf.DUMMYFUNCTION("""COMPUTED_VALUE"""),"")</f>
        <v/>
      </c>
      <c r="M15925" s="16" t="str">
        <f>IFERROR(__xludf.DUMMYFUNCTION("""COMPUTED_VALUE"""),"")</f>
        <v/>
      </c>
      <c r="U15925" s="16" t="s">
        <v>87</v>
      </c>
      <c r="V15925" s="16" t="str">
        <f>IFERROR(__xludf.DUMMYFUNCTION("""COMPUTED_VALUE"""),"")</f>
        <v/>
      </c>
      <c r="W15925" s="16" t="str">
        <f>IFERROR(__xludf.DUMMYFUNCTION("""COMPUTED_VALUE"""),"")</f>
        <v/>
      </c>
      <c r="X15925" s="16" t="str">
        <f>IFERROR(__xludf.DUMMYFUNCTION("""COMPUTED_VALUE"""),"")</f>
        <v/>
      </c>
      <c r="AC15925" s="16" t="str">
        <f>IFERROR(__xludf.DUMMYFUNCTION("""COMPUTED_VALUE"""),"")</f>
        <v/>
      </c>
    </row>
    <row r="15926">
      <c r="A15926" s="16" t="s">
        <v>87</v>
      </c>
      <c r="E15926" s="16" t="str">
        <f>IFERROR(__xludf.DUMMYFUNCTION("""COMPUTED_VALUE"""),"")</f>
        <v/>
      </c>
      <c r="G15926" s="18"/>
      <c r="H15926" s="16" t="s">
        <v>87</v>
      </c>
      <c r="I15926" s="16" t="s">
        <v>87</v>
      </c>
      <c r="J15926" s="19"/>
      <c r="L15926" s="16" t="str">
        <f>IFERROR(__xludf.DUMMYFUNCTION("""COMPUTED_VALUE"""),"")</f>
        <v/>
      </c>
      <c r="M15926" s="16" t="str">
        <f>IFERROR(__xludf.DUMMYFUNCTION("""COMPUTED_VALUE"""),"")</f>
        <v/>
      </c>
      <c r="U15926" s="16" t="s">
        <v>87</v>
      </c>
      <c r="V15926" s="16" t="str">
        <f>IFERROR(__xludf.DUMMYFUNCTION("""COMPUTED_VALUE"""),"")</f>
        <v/>
      </c>
      <c r="W15926" s="16" t="str">
        <f>IFERROR(__xludf.DUMMYFUNCTION("""COMPUTED_VALUE"""),"")</f>
        <v/>
      </c>
      <c r="X15926" s="16" t="str">
        <f>IFERROR(__xludf.DUMMYFUNCTION("""COMPUTED_VALUE"""),"")</f>
        <v/>
      </c>
      <c r="AC15926" s="16" t="str">
        <f>IFERROR(__xludf.DUMMYFUNCTION("""COMPUTED_VALUE"""),"")</f>
        <v/>
      </c>
    </row>
    <row r="15927">
      <c r="A15927" s="16" t="s">
        <v>87</v>
      </c>
      <c r="E15927" s="16" t="str">
        <f>IFERROR(__xludf.DUMMYFUNCTION("""COMPUTED_VALUE"""),"")</f>
        <v/>
      </c>
      <c r="G15927" s="18"/>
      <c r="H15927" s="16" t="s">
        <v>87</v>
      </c>
      <c r="I15927" s="16" t="s">
        <v>87</v>
      </c>
      <c r="J15927" s="19"/>
      <c r="L15927" s="16" t="str">
        <f>IFERROR(__xludf.DUMMYFUNCTION("""COMPUTED_VALUE"""),"")</f>
        <v/>
      </c>
      <c r="M15927" s="16" t="str">
        <f>IFERROR(__xludf.DUMMYFUNCTION("""COMPUTED_VALUE"""),"")</f>
        <v/>
      </c>
      <c r="U15927" s="16" t="s">
        <v>87</v>
      </c>
      <c r="V15927" s="16" t="str">
        <f>IFERROR(__xludf.DUMMYFUNCTION("""COMPUTED_VALUE"""),"")</f>
        <v/>
      </c>
      <c r="W15927" s="16" t="str">
        <f>IFERROR(__xludf.DUMMYFUNCTION("""COMPUTED_VALUE"""),"")</f>
        <v/>
      </c>
      <c r="X15927" s="16" t="str">
        <f>IFERROR(__xludf.DUMMYFUNCTION("""COMPUTED_VALUE"""),"")</f>
        <v/>
      </c>
      <c r="AC15927" s="16" t="str">
        <f>IFERROR(__xludf.DUMMYFUNCTION("""COMPUTED_VALUE"""),"")</f>
        <v/>
      </c>
    </row>
    <row r="15928">
      <c r="A15928" s="16" t="s">
        <v>87</v>
      </c>
      <c r="E15928" s="16" t="str">
        <f>IFERROR(__xludf.DUMMYFUNCTION("""COMPUTED_VALUE"""),"")</f>
        <v/>
      </c>
      <c r="G15928" s="18"/>
      <c r="H15928" s="16" t="s">
        <v>87</v>
      </c>
      <c r="I15928" s="16" t="s">
        <v>87</v>
      </c>
      <c r="J15928" s="19"/>
      <c r="L15928" s="16" t="str">
        <f>IFERROR(__xludf.DUMMYFUNCTION("""COMPUTED_VALUE"""),"")</f>
        <v/>
      </c>
      <c r="M15928" s="16" t="str">
        <f>IFERROR(__xludf.DUMMYFUNCTION("""COMPUTED_VALUE"""),"")</f>
        <v/>
      </c>
      <c r="U15928" s="16" t="s">
        <v>87</v>
      </c>
      <c r="V15928" s="16" t="str">
        <f>IFERROR(__xludf.DUMMYFUNCTION("""COMPUTED_VALUE"""),"")</f>
        <v/>
      </c>
      <c r="W15928" s="16" t="str">
        <f>IFERROR(__xludf.DUMMYFUNCTION("""COMPUTED_VALUE"""),"")</f>
        <v/>
      </c>
      <c r="X15928" s="16" t="str">
        <f>IFERROR(__xludf.DUMMYFUNCTION("""COMPUTED_VALUE"""),"")</f>
        <v/>
      </c>
      <c r="AC15928" s="16" t="str">
        <f>IFERROR(__xludf.DUMMYFUNCTION("""COMPUTED_VALUE"""),"")</f>
        <v/>
      </c>
    </row>
    <row r="15929">
      <c r="A15929" s="16" t="s">
        <v>87</v>
      </c>
      <c r="E15929" s="16" t="str">
        <f>IFERROR(__xludf.DUMMYFUNCTION("""COMPUTED_VALUE"""),"")</f>
        <v/>
      </c>
      <c r="G15929" s="18"/>
      <c r="H15929" s="16" t="s">
        <v>87</v>
      </c>
      <c r="I15929" s="16" t="s">
        <v>87</v>
      </c>
      <c r="J15929" s="19"/>
      <c r="L15929" s="16" t="str">
        <f>IFERROR(__xludf.DUMMYFUNCTION("""COMPUTED_VALUE"""),"")</f>
        <v/>
      </c>
      <c r="M15929" s="16" t="str">
        <f>IFERROR(__xludf.DUMMYFUNCTION("""COMPUTED_VALUE"""),"")</f>
        <v/>
      </c>
      <c r="U15929" s="16" t="s">
        <v>87</v>
      </c>
      <c r="V15929" s="16" t="str">
        <f>IFERROR(__xludf.DUMMYFUNCTION("""COMPUTED_VALUE"""),"")</f>
        <v/>
      </c>
      <c r="W15929" s="16" t="str">
        <f>IFERROR(__xludf.DUMMYFUNCTION("""COMPUTED_VALUE"""),"")</f>
        <v/>
      </c>
      <c r="X15929" s="16" t="str">
        <f>IFERROR(__xludf.DUMMYFUNCTION("""COMPUTED_VALUE"""),"")</f>
        <v/>
      </c>
      <c r="AC15929" s="16" t="str">
        <f>IFERROR(__xludf.DUMMYFUNCTION("""COMPUTED_VALUE"""),"")</f>
        <v/>
      </c>
    </row>
    <row r="15930">
      <c r="A15930" s="16" t="s">
        <v>87</v>
      </c>
      <c r="E15930" s="16" t="str">
        <f>IFERROR(__xludf.DUMMYFUNCTION("""COMPUTED_VALUE"""),"")</f>
        <v/>
      </c>
      <c r="G15930" s="18"/>
      <c r="H15930" s="16" t="s">
        <v>87</v>
      </c>
      <c r="I15930" s="16" t="s">
        <v>87</v>
      </c>
      <c r="J15930" s="19"/>
      <c r="L15930" s="16" t="str">
        <f>IFERROR(__xludf.DUMMYFUNCTION("""COMPUTED_VALUE"""),"")</f>
        <v/>
      </c>
      <c r="M15930" s="16" t="str">
        <f>IFERROR(__xludf.DUMMYFUNCTION("""COMPUTED_VALUE"""),"")</f>
        <v/>
      </c>
      <c r="U15930" s="16" t="s">
        <v>87</v>
      </c>
      <c r="V15930" s="16" t="str">
        <f>IFERROR(__xludf.DUMMYFUNCTION("""COMPUTED_VALUE"""),"")</f>
        <v/>
      </c>
      <c r="W15930" s="16" t="str">
        <f>IFERROR(__xludf.DUMMYFUNCTION("""COMPUTED_VALUE"""),"")</f>
        <v/>
      </c>
      <c r="X15930" s="16" t="str">
        <f>IFERROR(__xludf.DUMMYFUNCTION("""COMPUTED_VALUE"""),"")</f>
        <v/>
      </c>
      <c r="AC15930" s="16" t="str">
        <f>IFERROR(__xludf.DUMMYFUNCTION("""COMPUTED_VALUE"""),"")</f>
        <v/>
      </c>
    </row>
    <row r="15931">
      <c r="A15931" s="16" t="s">
        <v>87</v>
      </c>
      <c r="E15931" s="16" t="str">
        <f>IFERROR(__xludf.DUMMYFUNCTION("""COMPUTED_VALUE"""),"")</f>
        <v/>
      </c>
      <c r="G15931" s="18"/>
      <c r="H15931" s="16" t="s">
        <v>87</v>
      </c>
      <c r="I15931" s="16" t="s">
        <v>87</v>
      </c>
      <c r="J15931" s="19"/>
      <c r="L15931" s="16" t="str">
        <f>IFERROR(__xludf.DUMMYFUNCTION("""COMPUTED_VALUE"""),"")</f>
        <v/>
      </c>
      <c r="M15931" s="16" t="str">
        <f>IFERROR(__xludf.DUMMYFUNCTION("""COMPUTED_VALUE"""),"")</f>
        <v/>
      </c>
      <c r="U15931" s="16" t="s">
        <v>87</v>
      </c>
      <c r="V15931" s="16" t="str">
        <f>IFERROR(__xludf.DUMMYFUNCTION("""COMPUTED_VALUE"""),"")</f>
        <v/>
      </c>
      <c r="W15931" s="16" t="str">
        <f>IFERROR(__xludf.DUMMYFUNCTION("""COMPUTED_VALUE"""),"")</f>
        <v/>
      </c>
      <c r="X15931" s="16" t="str">
        <f>IFERROR(__xludf.DUMMYFUNCTION("""COMPUTED_VALUE"""),"")</f>
        <v/>
      </c>
      <c r="AC15931" s="16" t="str">
        <f>IFERROR(__xludf.DUMMYFUNCTION("""COMPUTED_VALUE"""),"")</f>
        <v/>
      </c>
    </row>
    <row r="15932">
      <c r="A15932" s="16" t="s">
        <v>87</v>
      </c>
      <c r="E15932" s="16" t="str">
        <f>IFERROR(__xludf.DUMMYFUNCTION("""COMPUTED_VALUE"""),"")</f>
        <v/>
      </c>
      <c r="G15932" s="18"/>
      <c r="H15932" s="16" t="s">
        <v>87</v>
      </c>
      <c r="I15932" s="16" t="s">
        <v>87</v>
      </c>
      <c r="J15932" s="19"/>
      <c r="L15932" s="16" t="str">
        <f>IFERROR(__xludf.DUMMYFUNCTION("""COMPUTED_VALUE"""),"")</f>
        <v/>
      </c>
      <c r="M15932" s="16" t="str">
        <f>IFERROR(__xludf.DUMMYFUNCTION("""COMPUTED_VALUE"""),"")</f>
        <v/>
      </c>
      <c r="U15932" s="16" t="s">
        <v>87</v>
      </c>
      <c r="V15932" s="16" t="str">
        <f>IFERROR(__xludf.DUMMYFUNCTION("""COMPUTED_VALUE"""),"")</f>
        <v/>
      </c>
      <c r="W15932" s="16" t="str">
        <f>IFERROR(__xludf.DUMMYFUNCTION("""COMPUTED_VALUE"""),"")</f>
        <v/>
      </c>
      <c r="X15932" s="16" t="str">
        <f>IFERROR(__xludf.DUMMYFUNCTION("""COMPUTED_VALUE"""),"")</f>
        <v/>
      </c>
      <c r="AC15932" s="16" t="str">
        <f>IFERROR(__xludf.DUMMYFUNCTION("""COMPUTED_VALUE"""),"")</f>
        <v/>
      </c>
    </row>
    <row r="15933">
      <c r="A15933" s="16" t="s">
        <v>87</v>
      </c>
      <c r="E15933" s="16" t="str">
        <f>IFERROR(__xludf.DUMMYFUNCTION("""COMPUTED_VALUE"""),"")</f>
        <v/>
      </c>
      <c r="G15933" s="18"/>
      <c r="H15933" s="16" t="s">
        <v>87</v>
      </c>
      <c r="I15933" s="16" t="s">
        <v>87</v>
      </c>
      <c r="J15933" s="19"/>
      <c r="L15933" s="16" t="str">
        <f>IFERROR(__xludf.DUMMYFUNCTION("""COMPUTED_VALUE"""),"")</f>
        <v/>
      </c>
      <c r="M15933" s="16" t="str">
        <f>IFERROR(__xludf.DUMMYFUNCTION("""COMPUTED_VALUE"""),"")</f>
        <v/>
      </c>
      <c r="U15933" s="16" t="s">
        <v>87</v>
      </c>
      <c r="V15933" s="16" t="str">
        <f>IFERROR(__xludf.DUMMYFUNCTION("""COMPUTED_VALUE"""),"")</f>
        <v/>
      </c>
      <c r="W15933" s="16" t="str">
        <f>IFERROR(__xludf.DUMMYFUNCTION("""COMPUTED_VALUE"""),"")</f>
        <v/>
      </c>
      <c r="X15933" s="16" t="str">
        <f>IFERROR(__xludf.DUMMYFUNCTION("""COMPUTED_VALUE"""),"")</f>
        <v/>
      </c>
      <c r="AC15933" s="16" t="str">
        <f>IFERROR(__xludf.DUMMYFUNCTION("""COMPUTED_VALUE"""),"")</f>
        <v/>
      </c>
    </row>
    <row r="15934">
      <c r="A15934" s="16" t="s">
        <v>87</v>
      </c>
      <c r="E15934" s="16" t="str">
        <f>IFERROR(__xludf.DUMMYFUNCTION("""COMPUTED_VALUE"""),"")</f>
        <v/>
      </c>
      <c r="G15934" s="18"/>
      <c r="H15934" s="16" t="s">
        <v>87</v>
      </c>
      <c r="I15934" s="16" t="s">
        <v>87</v>
      </c>
      <c r="J15934" s="19"/>
      <c r="L15934" s="16" t="str">
        <f>IFERROR(__xludf.DUMMYFUNCTION("""COMPUTED_VALUE"""),"")</f>
        <v/>
      </c>
      <c r="M15934" s="16" t="str">
        <f>IFERROR(__xludf.DUMMYFUNCTION("""COMPUTED_VALUE"""),"")</f>
        <v/>
      </c>
      <c r="U15934" s="16" t="s">
        <v>87</v>
      </c>
      <c r="V15934" s="16" t="str">
        <f>IFERROR(__xludf.DUMMYFUNCTION("""COMPUTED_VALUE"""),"")</f>
        <v/>
      </c>
      <c r="W15934" s="16" t="str">
        <f>IFERROR(__xludf.DUMMYFUNCTION("""COMPUTED_VALUE"""),"")</f>
        <v/>
      </c>
      <c r="X15934" s="16" t="str">
        <f>IFERROR(__xludf.DUMMYFUNCTION("""COMPUTED_VALUE"""),"")</f>
        <v/>
      </c>
      <c r="AC15934" s="16" t="str">
        <f>IFERROR(__xludf.DUMMYFUNCTION("""COMPUTED_VALUE"""),"")</f>
        <v/>
      </c>
    </row>
    <row r="15935">
      <c r="A15935" s="16" t="s">
        <v>87</v>
      </c>
      <c r="E15935" s="16" t="str">
        <f>IFERROR(__xludf.DUMMYFUNCTION("""COMPUTED_VALUE"""),"")</f>
        <v/>
      </c>
      <c r="G15935" s="18"/>
      <c r="H15935" s="16" t="s">
        <v>87</v>
      </c>
      <c r="I15935" s="16" t="s">
        <v>87</v>
      </c>
      <c r="J15935" s="19"/>
      <c r="L15935" s="16" t="str">
        <f>IFERROR(__xludf.DUMMYFUNCTION("""COMPUTED_VALUE"""),"")</f>
        <v/>
      </c>
      <c r="M15935" s="16" t="str">
        <f>IFERROR(__xludf.DUMMYFUNCTION("""COMPUTED_VALUE"""),"")</f>
        <v/>
      </c>
      <c r="U15935" s="16" t="s">
        <v>87</v>
      </c>
      <c r="V15935" s="16" t="str">
        <f>IFERROR(__xludf.DUMMYFUNCTION("""COMPUTED_VALUE"""),"")</f>
        <v/>
      </c>
      <c r="W15935" s="16" t="str">
        <f>IFERROR(__xludf.DUMMYFUNCTION("""COMPUTED_VALUE"""),"")</f>
        <v/>
      </c>
      <c r="X15935" s="16" t="str">
        <f>IFERROR(__xludf.DUMMYFUNCTION("""COMPUTED_VALUE"""),"")</f>
        <v/>
      </c>
      <c r="AC15935" s="16" t="str">
        <f>IFERROR(__xludf.DUMMYFUNCTION("""COMPUTED_VALUE"""),"")</f>
        <v/>
      </c>
    </row>
    <row r="15936">
      <c r="A15936" s="16" t="s">
        <v>87</v>
      </c>
      <c r="E15936" s="16" t="str">
        <f>IFERROR(__xludf.DUMMYFUNCTION("""COMPUTED_VALUE"""),"")</f>
        <v/>
      </c>
      <c r="G15936" s="18"/>
      <c r="H15936" s="16" t="s">
        <v>87</v>
      </c>
      <c r="I15936" s="16" t="s">
        <v>87</v>
      </c>
      <c r="J15936" s="19"/>
      <c r="L15936" s="16" t="str">
        <f>IFERROR(__xludf.DUMMYFUNCTION("""COMPUTED_VALUE"""),"")</f>
        <v/>
      </c>
      <c r="M15936" s="16" t="str">
        <f>IFERROR(__xludf.DUMMYFUNCTION("""COMPUTED_VALUE"""),"")</f>
        <v/>
      </c>
      <c r="U15936" s="16" t="s">
        <v>87</v>
      </c>
      <c r="V15936" s="16" t="str">
        <f>IFERROR(__xludf.DUMMYFUNCTION("""COMPUTED_VALUE"""),"")</f>
        <v/>
      </c>
      <c r="W15936" s="16" t="str">
        <f>IFERROR(__xludf.DUMMYFUNCTION("""COMPUTED_VALUE"""),"")</f>
        <v/>
      </c>
      <c r="X15936" s="16" t="str">
        <f>IFERROR(__xludf.DUMMYFUNCTION("""COMPUTED_VALUE"""),"")</f>
        <v/>
      </c>
      <c r="AC15936" s="16" t="str">
        <f>IFERROR(__xludf.DUMMYFUNCTION("""COMPUTED_VALUE"""),"")</f>
        <v/>
      </c>
    </row>
    <row r="15937">
      <c r="A15937" s="16" t="s">
        <v>87</v>
      </c>
      <c r="E15937" s="16" t="str">
        <f>IFERROR(__xludf.DUMMYFUNCTION("""COMPUTED_VALUE"""),"")</f>
        <v/>
      </c>
      <c r="G15937" s="18"/>
      <c r="H15937" s="16" t="s">
        <v>87</v>
      </c>
      <c r="I15937" s="16" t="s">
        <v>87</v>
      </c>
      <c r="J15937" s="19"/>
      <c r="L15937" s="16" t="str">
        <f>IFERROR(__xludf.DUMMYFUNCTION("""COMPUTED_VALUE"""),"")</f>
        <v/>
      </c>
      <c r="M15937" s="16" t="str">
        <f>IFERROR(__xludf.DUMMYFUNCTION("""COMPUTED_VALUE"""),"")</f>
        <v/>
      </c>
      <c r="U15937" s="16" t="s">
        <v>87</v>
      </c>
      <c r="V15937" s="16" t="str">
        <f>IFERROR(__xludf.DUMMYFUNCTION("""COMPUTED_VALUE"""),"")</f>
        <v/>
      </c>
      <c r="W15937" s="16" t="str">
        <f>IFERROR(__xludf.DUMMYFUNCTION("""COMPUTED_VALUE"""),"")</f>
        <v/>
      </c>
      <c r="X15937" s="16" t="str">
        <f>IFERROR(__xludf.DUMMYFUNCTION("""COMPUTED_VALUE"""),"")</f>
        <v/>
      </c>
      <c r="AC15937" s="16" t="str">
        <f>IFERROR(__xludf.DUMMYFUNCTION("""COMPUTED_VALUE"""),"")</f>
        <v/>
      </c>
    </row>
    <row r="15938">
      <c r="A15938" s="16" t="s">
        <v>87</v>
      </c>
      <c r="E15938" s="16" t="str">
        <f>IFERROR(__xludf.DUMMYFUNCTION("""COMPUTED_VALUE"""),"")</f>
        <v/>
      </c>
      <c r="G15938" s="18"/>
      <c r="H15938" s="16" t="s">
        <v>87</v>
      </c>
      <c r="I15938" s="16" t="s">
        <v>87</v>
      </c>
      <c r="J15938" s="19"/>
      <c r="L15938" s="16" t="str">
        <f>IFERROR(__xludf.DUMMYFUNCTION("""COMPUTED_VALUE"""),"")</f>
        <v/>
      </c>
      <c r="M15938" s="16" t="str">
        <f>IFERROR(__xludf.DUMMYFUNCTION("""COMPUTED_VALUE"""),"")</f>
        <v/>
      </c>
      <c r="U15938" s="16" t="s">
        <v>87</v>
      </c>
      <c r="V15938" s="16" t="str">
        <f>IFERROR(__xludf.DUMMYFUNCTION("""COMPUTED_VALUE"""),"")</f>
        <v/>
      </c>
      <c r="W15938" s="16" t="str">
        <f>IFERROR(__xludf.DUMMYFUNCTION("""COMPUTED_VALUE"""),"")</f>
        <v/>
      </c>
      <c r="X15938" s="16" t="str">
        <f>IFERROR(__xludf.DUMMYFUNCTION("""COMPUTED_VALUE"""),"")</f>
        <v/>
      </c>
      <c r="AC15938" s="16" t="str">
        <f>IFERROR(__xludf.DUMMYFUNCTION("""COMPUTED_VALUE"""),"")</f>
        <v/>
      </c>
    </row>
    <row r="15939">
      <c r="A15939" s="16" t="s">
        <v>87</v>
      </c>
      <c r="E15939" s="16" t="str">
        <f>IFERROR(__xludf.DUMMYFUNCTION("""COMPUTED_VALUE"""),"")</f>
        <v/>
      </c>
      <c r="G15939" s="18"/>
      <c r="H15939" s="16" t="s">
        <v>87</v>
      </c>
      <c r="I15939" s="16" t="s">
        <v>87</v>
      </c>
      <c r="J15939" s="19"/>
      <c r="L15939" s="16" t="str">
        <f>IFERROR(__xludf.DUMMYFUNCTION("""COMPUTED_VALUE"""),"")</f>
        <v/>
      </c>
      <c r="M15939" s="16" t="str">
        <f>IFERROR(__xludf.DUMMYFUNCTION("""COMPUTED_VALUE"""),"")</f>
        <v/>
      </c>
      <c r="U15939" s="16" t="s">
        <v>87</v>
      </c>
      <c r="V15939" s="16" t="str">
        <f>IFERROR(__xludf.DUMMYFUNCTION("""COMPUTED_VALUE"""),"")</f>
        <v/>
      </c>
      <c r="W15939" s="16" t="str">
        <f>IFERROR(__xludf.DUMMYFUNCTION("""COMPUTED_VALUE"""),"")</f>
        <v/>
      </c>
      <c r="X15939" s="16" t="str">
        <f>IFERROR(__xludf.DUMMYFUNCTION("""COMPUTED_VALUE"""),"")</f>
        <v/>
      </c>
      <c r="AC15939" s="16" t="str">
        <f>IFERROR(__xludf.DUMMYFUNCTION("""COMPUTED_VALUE"""),"")</f>
        <v/>
      </c>
    </row>
    <row r="15940">
      <c r="A15940" s="16" t="s">
        <v>87</v>
      </c>
      <c r="E15940" s="16" t="str">
        <f>IFERROR(__xludf.DUMMYFUNCTION("""COMPUTED_VALUE"""),"")</f>
        <v/>
      </c>
      <c r="G15940" s="18"/>
      <c r="H15940" s="16" t="s">
        <v>87</v>
      </c>
      <c r="I15940" s="16" t="s">
        <v>87</v>
      </c>
      <c r="J15940" s="19"/>
      <c r="L15940" s="16" t="str">
        <f>IFERROR(__xludf.DUMMYFUNCTION("""COMPUTED_VALUE"""),"")</f>
        <v/>
      </c>
      <c r="M15940" s="16" t="str">
        <f>IFERROR(__xludf.DUMMYFUNCTION("""COMPUTED_VALUE"""),"")</f>
        <v/>
      </c>
      <c r="U15940" s="16" t="s">
        <v>87</v>
      </c>
      <c r="V15940" s="16" t="str">
        <f>IFERROR(__xludf.DUMMYFUNCTION("""COMPUTED_VALUE"""),"")</f>
        <v/>
      </c>
      <c r="W15940" s="16" t="str">
        <f>IFERROR(__xludf.DUMMYFUNCTION("""COMPUTED_VALUE"""),"")</f>
        <v/>
      </c>
      <c r="X15940" s="16" t="str">
        <f>IFERROR(__xludf.DUMMYFUNCTION("""COMPUTED_VALUE"""),"")</f>
        <v/>
      </c>
      <c r="AC15940" s="16" t="str">
        <f>IFERROR(__xludf.DUMMYFUNCTION("""COMPUTED_VALUE"""),"")</f>
        <v/>
      </c>
    </row>
    <row r="15941">
      <c r="A15941" s="16" t="s">
        <v>87</v>
      </c>
      <c r="E15941" s="16" t="str">
        <f>IFERROR(__xludf.DUMMYFUNCTION("""COMPUTED_VALUE"""),"")</f>
        <v/>
      </c>
      <c r="G15941" s="18"/>
      <c r="H15941" s="16" t="s">
        <v>87</v>
      </c>
      <c r="I15941" s="16" t="s">
        <v>87</v>
      </c>
      <c r="J15941" s="19"/>
      <c r="L15941" s="16" t="str">
        <f>IFERROR(__xludf.DUMMYFUNCTION("""COMPUTED_VALUE"""),"")</f>
        <v/>
      </c>
      <c r="M15941" s="16" t="str">
        <f>IFERROR(__xludf.DUMMYFUNCTION("""COMPUTED_VALUE"""),"")</f>
        <v/>
      </c>
      <c r="U15941" s="16" t="s">
        <v>87</v>
      </c>
      <c r="V15941" s="16" t="str">
        <f>IFERROR(__xludf.DUMMYFUNCTION("""COMPUTED_VALUE"""),"")</f>
        <v/>
      </c>
      <c r="W15941" s="16" t="str">
        <f>IFERROR(__xludf.DUMMYFUNCTION("""COMPUTED_VALUE"""),"")</f>
        <v/>
      </c>
      <c r="X15941" s="16" t="str">
        <f>IFERROR(__xludf.DUMMYFUNCTION("""COMPUTED_VALUE"""),"")</f>
        <v/>
      </c>
      <c r="AC15941" s="16" t="str">
        <f>IFERROR(__xludf.DUMMYFUNCTION("""COMPUTED_VALUE"""),"")</f>
        <v/>
      </c>
    </row>
    <row r="15942">
      <c r="A15942" s="16" t="s">
        <v>87</v>
      </c>
      <c r="E15942" s="16" t="str">
        <f>IFERROR(__xludf.DUMMYFUNCTION("""COMPUTED_VALUE"""),"")</f>
        <v/>
      </c>
      <c r="G15942" s="18"/>
      <c r="H15942" s="16" t="s">
        <v>87</v>
      </c>
      <c r="I15942" s="16" t="s">
        <v>87</v>
      </c>
      <c r="J15942" s="19"/>
      <c r="L15942" s="16" t="str">
        <f>IFERROR(__xludf.DUMMYFUNCTION("""COMPUTED_VALUE"""),"")</f>
        <v/>
      </c>
      <c r="M15942" s="16" t="str">
        <f>IFERROR(__xludf.DUMMYFUNCTION("""COMPUTED_VALUE"""),"")</f>
        <v/>
      </c>
      <c r="U15942" s="16" t="s">
        <v>87</v>
      </c>
      <c r="V15942" s="16" t="str">
        <f>IFERROR(__xludf.DUMMYFUNCTION("""COMPUTED_VALUE"""),"")</f>
        <v/>
      </c>
      <c r="W15942" s="16" t="str">
        <f>IFERROR(__xludf.DUMMYFUNCTION("""COMPUTED_VALUE"""),"")</f>
        <v/>
      </c>
      <c r="X15942" s="16" t="str">
        <f>IFERROR(__xludf.DUMMYFUNCTION("""COMPUTED_VALUE"""),"")</f>
        <v/>
      </c>
      <c r="AC15942" s="16" t="str">
        <f>IFERROR(__xludf.DUMMYFUNCTION("""COMPUTED_VALUE"""),"")</f>
        <v/>
      </c>
    </row>
    <row r="15943">
      <c r="A15943" s="16" t="s">
        <v>87</v>
      </c>
      <c r="E15943" s="16" t="str">
        <f>IFERROR(__xludf.DUMMYFUNCTION("""COMPUTED_VALUE"""),"")</f>
        <v/>
      </c>
      <c r="G15943" s="18"/>
      <c r="H15943" s="16" t="s">
        <v>87</v>
      </c>
      <c r="I15943" s="16" t="s">
        <v>87</v>
      </c>
      <c r="J15943" s="19"/>
      <c r="L15943" s="16" t="str">
        <f>IFERROR(__xludf.DUMMYFUNCTION("""COMPUTED_VALUE"""),"")</f>
        <v/>
      </c>
      <c r="M15943" s="16" t="str">
        <f>IFERROR(__xludf.DUMMYFUNCTION("""COMPUTED_VALUE"""),"")</f>
        <v/>
      </c>
      <c r="U15943" s="16" t="s">
        <v>87</v>
      </c>
      <c r="V15943" s="16" t="str">
        <f>IFERROR(__xludf.DUMMYFUNCTION("""COMPUTED_VALUE"""),"")</f>
        <v/>
      </c>
      <c r="W15943" s="16" t="str">
        <f>IFERROR(__xludf.DUMMYFUNCTION("""COMPUTED_VALUE"""),"")</f>
        <v/>
      </c>
      <c r="X15943" s="16" t="str">
        <f>IFERROR(__xludf.DUMMYFUNCTION("""COMPUTED_VALUE"""),"")</f>
        <v/>
      </c>
      <c r="AC15943" s="16" t="str">
        <f>IFERROR(__xludf.DUMMYFUNCTION("""COMPUTED_VALUE"""),"")</f>
        <v/>
      </c>
    </row>
    <row r="15944">
      <c r="A15944" s="16" t="s">
        <v>87</v>
      </c>
      <c r="E15944" s="16" t="str">
        <f>IFERROR(__xludf.DUMMYFUNCTION("""COMPUTED_VALUE"""),"")</f>
        <v/>
      </c>
      <c r="G15944" s="18"/>
      <c r="H15944" s="16" t="s">
        <v>87</v>
      </c>
      <c r="I15944" s="16" t="s">
        <v>87</v>
      </c>
      <c r="J15944" s="19"/>
      <c r="L15944" s="16" t="str">
        <f>IFERROR(__xludf.DUMMYFUNCTION("""COMPUTED_VALUE"""),"")</f>
        <v/>
      </c>
      <c r="M15944" s="16" t="str">
        <f>IFERROR(__xludf.DUMMYFUNCTION("""COMPUTED_VALUE"""),"")</f>
        <v/>
      </c>
      <c r="U15944" s="16" t="s">
        <v>87</v>
      </c>
      <c r="V15944" s="16" t="str">
        <f>IFERROR(__xludf.DUMMYFUNCTION("""COMPUTED_VALUE"""),"")</f>
        <v/>
      </c>
      <c r="W15944" s="16" t="str">
        <f>IFERROR(__xludf.DUMMYFUNCTION("""COMPUTED_VALUE"""),"")</f>
        <v/>
      </c>
      <c r="X15944" s="16" t="str">
        <f>IFERROR(__xludf.DUMMYFUNCTION("""COMPUTED_VALUE"""),"")</f>
        <v/>
      </c>
      <c r="AC15944" s="16" t="str">
        <f>IFERROR(__xludf.DUMMYFUNCTION("""COMPUTED_VALUE"""),"")</f>
        <v/>
      </c>
    </row>
    <row r="15945">
      <c r="A15945" s="16" t="s">
        <v>87</v>
      </c>
      <c r="E15945" s="16" t="str">
        <f>IFERROR(__xludf.DUMMYFUNCTION("""COMPUTED_VALUE"""),"")</f>
        <v/>
      </c>
      <c r="G15945" s="18"/>
      <c r="H15945" s="16" t="s">
        <v>87</v>
      </c>
      <c r="I15945" s="16" t="s">
        <v>87</v>
      </c>
      <c r="J15945" s="19"/>
      <c r="L15945" s="16" t="str">
        <f>IFERROR(__xludf.DUMMYFUNCTION("""COMPUTED_VALUE"""),"")</f>
        <v/>
      </c>
      <c r="M15945" s="16" t="str">
        <f>IFERROR(__xludf.DUMMYFUNCTION("""COMPUTED_VALUE"""),"")</f>
        <v/>
      </c>
      <c r="U15945" s="16" t="s">
        <v>87</v>
      </c>
      <c r="V15945" s="16" t="str">
        <f>IFERROR(__xludf.DUMMYFUNCTION("""COMPUTED_VALUE"""),"")</f>
        <v/>
      </c>
      <c r="W15945" s="16" t="str">
        <f>IFERROR(__xludf.DUMMYFUNCTION("""COMPUTED_VALUE"""),"")</f>
        <v/>
      </c>
      <c r="X15945" s="16" t="str">
        <f>IFERROR(__xludf.DUMMYFUNCTION("""COMPUTED_VALUE"""),"")</f>
        <v/>
      </c>
      <c r="AC15945" s="16" t="str">
        <f>IFERROR(__xludf.DUMMYFUNCTION("""COMPUTED_VALUE"""),"")</f>
        <v/>
      </c>
    </row>
    <row r="15946">
      <c r="A15946" s="16" t="s">
        <v>87</v>
      </c>
      <c r="E15946" s="16" t="str">
        <f>IFERROR(__xludf.DUMMYFUNCTION("""COMPUTED_VALUE"""),"")</f>
        <v/>
      </c>
      <c r="G15946" s="18"/>
      <c r="H15946" s="16" t="s">
        <v>87</v>
      </c>
      <c r="I15946" s="16" t="s">
        <v>87</v>
      </c>
      <c r="J15946" s="19"/>
      <c r="L15946" s="16" t="str">
        <f>IFERROR(__xludf.DUMMYFUNCTION("""COMPUTED_VALUE"""),"")</f>
        <v/>
      </c>
      <c r="M15946" s="16" t="str">
        <f>IFERROR(__xludf.DUMMYFUNCTION("""COMPUTED_VALUE"""),"")</f>
        <v/>
      </c>
      <c r="U15946" s="16" t="s">
        <v>87</v>
      </c>
      <c r="V15946" s="16" t="str">
        <f>IFERROR(__xludf.DUMMYFUNCTION("""COMPUTED_VALUE"""),"")</f>
        <v/>
      </c>
      <c r="W15946" s="16" t="str">
        <f>IFERROR(__xludf.DUMMYFUNCTION("""COMPUTED_VALUE"""),"")</f>
        <v/>
      </c>
      <c r="X15946" s="16" t="str">
        <f>IFERROR(__xludf.DUMMYFUNCTION("""COMPUTED_VALUE"""),"")</f>
        <v/>
      </c>
      <c r="AC15946" s="16" t="str">
        <f>IFERROR(__xludf.DUMMYFUNCTION("""COMPUTED_VALUE"""),"")</f>
        <v/>
      </c>
    </row>
    <row r="15947">
      <c r="A15947" s="16" t="s">
        <v>87</v>
      </c>
      <c r="E15947" s="16" t="str">
        <f>IFERROR(__xludf.DUMMYFUNCTION("""COMPUTED_VALUE"""),"")</f>
        <v/>
      </c>
      <c r="G15947" s="18"/>
      <c r="H15947" s="16" t="s">
        <v>87</v>
      </c>
      <c r="I15947" s="16" t="s">
        <v>87</v>
      </c>
      <c r="J15947" s="19"/>
      <c r="L15947" s="16" t="str">
        <f>IFERROR(__xludf.DUMMYFUNCTION("""COMPUTED_VALUE"""),"")</f>
        <v/>
      </c>
      <c r="M15947" s="16" t="str">
        <f>IFERROR(__xludf.DUMMYFUNCTION("""COMPUTED_VALUE"""),"")</f>
        <v/>
      </c>
      <c r="U15947" s="16" t="s">
        <v>87</v>
      </c>
      <c r="V15947" s="16" t="str">
        <f>IFERROR(__xludf.DUMMYFUNCTION("""COMPUTED_VALUE"""),"")</f>
        <v/>
      </c>
      <c r="W15947" s="16" t="str">
        <f>IFERROR(__xludf.DUMMYFUNCTION("""COMPUTED_VALUE"""),"")</f>
        <v/>
      </c>
      <c r="X15947" s="16" t="str">
        <f>IFERROR(__xludf.DUMMYFUNCTION("""COMPUTED_VALUE"""),"")</f>
        <v/>
      </c>
      <c r="AC15947" s="16" t="str">
        <f>IFERROR(__xludf.DUMMYFUNCTION("""COMPUTED_VALUE"""),"")</f>
        <v/>
      </c>
    </row>
    <row r="15948">
      <c r="A15948" s="16" t="s">
        <v>87</v>
      </c>
      <c r="E15948" s="16" t="str">
        <f>IFERROR(__xludf.DUMMYFUNCTION("""COMPUTED_VALUE"""),"")</f>
        <v/>
      </c>
      <c r="G15948" s="18"/>
      <c r="H15948" s="16" t="s">
        <v>87</v>
      </c>
      <c r="I15948" s="16" t="s">
        <v>87</v>
      </c>
      <c r="J15948" s="19"/>
      <c r="L15948" s="16" t="str">
        <f>IFERROR(__xludf.DUMMYFUNCTION("""COMPUTED_VALUE"""),"")</f>
        <v/>
      </c>
      <c r="M15948" s="16" t="str">
        <f>IFERROR(__xludf.DUMMYFUNCTION("""COMPUTED_VALUE"""),"")</f>
        <v/>
      </c>
      <c r="U15948" s="16" t="s">
        <v>87</v>
      </c>
      <c r="V15948" s="16" t="str">
        <f>IFERROR(__xludf.DUMMYFUNCTION("""COMPUTED_VALUE"""),"")</f>
        <v/>
      </c>
      <c r="W15948" s="16" t="str">
        <f>IFERROR(__xludf.DUMMYFUNCTION("""COMPUTED_VALUE"""),"")</f>
        <v/>
      </c>
      <c r="X15948" s="16" t="str">
        <f>IFERROR(__xludf.DUMMYFUNCTION("""COMPUTED_VALUE"""),"")</f>
        <v/>
      </c>
      <c r="AC15948" s="16" t="str">
        <f>IFERROR(__xludf.DUMMYFUNCTION("""COMPUTED_VALUE"""),"")</f>
        <v/>
      </c>
    </row>
    <row r="15949">
      <c r="A15949" s="16" t="s">
        <v>87</v>
      </c>
      <c r="E15949" s="16" t="str">
        <f>IFERROR(__xludf.DUMMYFUNCTION("""COMPUTED_VALUE"""),"")</f>
        <v/>
      </c>
      <c r="G15949" s="18"/>
      <c r="H15949" s="16" t="s">
        <v>87</v>
      </c>
      <c r="I15949" s="16" t="s">
        <v>87</v>
      </c>
      <c r="J15949" s="19"/>
      <c r="L15949" s="16" t="str">
        <f>IFERROR(__xludf.DUMMYFUNCTION("""COMPUTED_VALUE"""),"")</f>
        <v/>
      </c>
      <c r="M15949" s="16" t="str">
        <f>IFERROR(__xludf.DUMMYFUNCTION("""COMPUTED_VALUE"""),"")</f>
        <v/>
      </c>
      <c r="U15949" s="16" t="s">
        <v>87</v>
      </c>
      <c r="V15949" s="16" t="str">
        <f>IFERROR(__xludf.DUMMYFUNCTION("""COMPUTED_VALUE"""),"")</f>
        <v/>
      </c>
      <c r="W15949" s="16" t="str">
        <f>IFERROR(__xludf.DUMMYFUNCTION("""COMPUTED_VALUE"""),"")</f>
        <v/>
      </c>
      <c r="X15949" s="16" t="str">
        <f>IFERROR(__xludf.DUMMYFUNCTION("""COMPUTED_VALUE"""),"")</f>
        <v/>
      </c>
      <c r="AC15949" s="16" t="str">
        <f>IFERROR(__xludf.DUMMYFUNCTION("""COMPUTED_VALUE"""),"")</f>
        <v/>
      </c>
    </row>
    <row r="15950">
      <c r="A15950" s="16" t="s">
        <v>87</v>
      </c>
      <c r="E15950" s="16" t="str">
        <f>IFERROR(__xludf.DUMMYFUNCTION("""COMPUTED_VALUE"""),"")</f>
        <v/>
      </c>
      <c r="G15950" s="18"/>
      <c r="H15950" s="16" t="s">
        <v>87</v>
      </c>
      <c r="I15950" s="16" t="s">
        <v>87</v>
      </c>
      <c r="J15950" s="19"/>
      <c r="L15950" s="16" t="str">
        <f>IFERROR(__xludf.DUMMYFUNCTION("""COMPUTED_VALUE"""),"")</f>
        <v/>
      </c>
      <c r="M15950" s="16" t="str">
        <f>IFERROR(__xludf.DUMMYFUNCTION("""COMPUTED_VALUE"""),"")</f>
        <v/>
      </c>
      <c r="U15950" s="16" t="s">
        <v>87</v>
      </c>
      <c r="V15950" s="16" t="str">
        <f>IFERROR(__xludf.DUMMYFUNCTION("""COMPUTED_VALUE"""),"")</f>
        <v/>
      </c>
      <c r="W15950" s="16" t="str">
        <f>IFERROR(__xludf.DUMMYFUNCTION("""COMPUTED_VALUE"""),"")</f>
        <v/>
      </c>
      <c r="X15950" s="16" t="str">
        <f>IFERROR(__xludf.DUMMYFUNCTION("""COMPUTED_VALUE"""),"")</f>
        <v/>
      </c>
      <c r="AC15950" s="16" t="str">
        <f>IFERROR(__xludf.DUMMYFUNCTION("""COMPUTED_VALUE"""),"")</f>
        <v/>
      </c>
    </row>
    <row r="15951">
      <c r="A15951" s="16" t="s">
        <v>87</v>
      </c>
      <c r="E15951" s="16" t="str">
        <f>IFERROR(__xludf.DUMMYFUNCTION("""COMPUTED_VALUE"""),"")</f>
        <v/>
      </c>
      <c r="G15951" s="18"/>
      <c r="H15951" s="16" t="s">
        <v>87</v>
      </c>
      <c r="I15951" s="16" t="s">
        <v>87</v>
      </c>
      <c r="J15951" s="19"/>
      <c r="L15951" s="16" t="str">
        <f>IFERROR(__xludf.DUMMYFUNCTION("""COMPUTED_VALUE"""),"")</f>
        <v/>
      </c>
      <c r="M15951" s="16" t="str">
        <f>IFERROR(__xludf.DUMMYFUNCTION("""COMPUTED_VALUE"""),"")</f>
        <v/>
      </c>
      <c r="U15951" s="16" t="s">
        <v>87</v>
      </c>
      <c r="V15951" s="16" t="str">
        <f>IFERROR(__xludf.DUMMYFUNCTION("""COMPUTED_VALUE"""),"")</f>
        <v/>
      </c>
      <c r="W15951" s="16" t="str">
        <f>IFERROR(__xludf.DUMMYFUNCTION("""COMPUTED_VALUE"""),"")</f>
        <v/>
      </c>
      <c r="X15951" s="16" t="str">
        <f>IFERROR(__xludf.DUMMYFUNCTION("""COMPUTED_VALUE"""),"")</f>
        <v/>
      </c>
      <c r="AC15951" s="16" t="str">
        <f>IFERROR(__xludf.DUMMYFUNCTION("""COMPUTED_VALUE"""),"")</f>
        <v/>
      </c>
    </row>
    <row r="15952">
      <c r="A15952" s="16" t="s">
        <v>87</v>
      </c>
      <c r="E15952" s="16" t="str">
        <f>IFERROR(__xludf.DUMMYFUNCTION("""COMPUTED_VALUE"""),"")</f>
        <v/>
      </c>
      <c r="G15952" s="18"/>
      <c r="H15952" s="16" t="s">
        <v>87</v>
      </c>
      <c r="I15952" s="16" t="s">
        <v>87</v>
      </c>
      <c r="J15952" s="19"/>
      <c r="L15952" s="16" t="str">
        <f>IFERROR(__xludf.DUMMYFUNCTION("""COMPUTED_VALUE"""),"")</f>
        <v/>
      </c>
      <c r="M15952" s="16" t="str">
        <f>IFERROR(__xludf.DUMMYFUNCTION("""COMPUTED_VALUE"""),"")</f>
        <v/>
      </c>
      <c r="U15952" s="16" t="s">
        <v>87</v>
      </c>
      <c r="V15952" s="16" t="str">
        <f>IFERROR(__xludf.DUMMYFUNCTION("""COMPUTED_VALUE"""),"")</f>
        <v/>
      </c>
      <c r="W15952" s="16" t="str">
        <f>IFERROR(__xludf.DUMMYFUNCTION("""COMPUTED_VALUE"""),"")</f>
        <v/>
      </c>
      <c r="X15952" s="16" t="str">
        <f>IFERROR(__xludf.DUMMYFUNCTION("""COMPUTED_VALUE"""),"")</f>
        <v/>
      </c>
      <c r="AC15952" s="16" t="str">
        <f>IFERROR(__xludf.DUMMYFUNCTION("""COMPUTED_VALUE"""),"")</f>
        <v/>
      </c>
    </row>
    <row r="15953">
      <c r="A15953" s="16" t="s">
        <v>87</v>
      </c>
      <c r="E15953" s="16" t="str">
        <f>IFERROR(__xludf.DUMMYFUNCTION("""COMPUTED_VALUE"""),"")</f>
        <v/>
      </c>
      <c r="G15953" s="18"/>
      <c r="H15953" s="16" t="s">
        <v>87</v>
      </c>
      <c r="I15953" s="16" t="s">
        <v>87</v>
      </c>
      <c r="J15953" s="19"/>
      <c r="L15953" s="16" t="str">
        <f>IFERROR(__xludf.DUMMYFUNCTION("""COMPUTED_VALUE"""),"")</f>
        <v/>
      </c>
      <c r="M15953" s="16" t="str">
        <f>IFERROR(__xludf.DUMMYFUNCTION("""COMPUTED_VALUE"""),"")</f>
        <v/>
      </c>
      <c r="U15953" s="16" t="s">
        <v>87</v>
      </c>
      <c r="V15953" s="16" t="str">
        <f>IFERROR(__xludf.DUMMYFUNCTION("""COMPUTED_VALUE"""),"")</f>
        <v/>
      </c>
      <c r="W15953" s="16" t="str">
        <f>IFERROR(__xludf.DUMMYFUNCTION("""COMPUTED_VALUE"""),"")</f>
        <v/>
      </c>
      <c r="X15953" s="16" t="str">
        <f>IFERROR(__xludf.DUMMYFUNCTION("""COMPUTED_VALUE"""),"")</f>
        <v/>
      </c>
      <c r="AC15953" s="16" t="str">
        <f>IFERROR(__xludf.DUMMYFUNCTION("""COMPUTED_VALUE"""),"")</f>
        <v/>
      </c>
    </row>
    <row r="15954">
      <c r="A15954" s="16" t="s">
        <v>87</v>
      </c>
      <c r="E15954" s="16" t="str">
        <f>IFERROR(__xludf.DUMMYFUNCTION("""COMPUTED_VALUE"""),"")</f>
        <v/>
      </c>
      <c r="G15954" s="18"/>
      <c r="H15954" s="16" t="s">
        <v>87</v>
      </c>
      <c r="I15954" s="16" t="s">
        <v>87</v>
      </c>
      <c r="J15954" s="19"/>
      <c r="L15954" s="16" t="str">
        <f>IFERROR(__xludf.DUMMYFUNCTION("""COMPUTED_VALUE"""),"")</f>
        <v/>
      </c>
      <c r="M15954" s="16" t="str">
        <f>IFERROR(__xludf.DUMMYFUNCTION("""COMPUTED_VALUE"""),"")</f>
        <v/>
      </c>
      <c r="U15954" s="16" t="s">
        <v>87</v>
      </c>
      <c r="V15954" s="16" t="str">
        <f>IFERROR(__xludf.DUMMYFUNCTION("""COMPUTED_VALUE"""),"")</f>
        <v/>
      </c>
      <c r="W15954" s="16" t="str">
        <f>IFERROR(__xludf.DUMMYFUNCTION("""COMPUTED_VALUE"""),"")</f>
        <v/>
      </c>
      <c r="X15954" s="16" t="str">
        <f>IFERROR(__xludf.DUMMYFUNCTION("""COMPUTED_VALUE"""),"")</f>
        <v/>
      </c>
      <c r="AC15954" s="16" t="str">
        <f>IFERROR(__xludf.DUMMYFUNCTION("""COMPUTED_VALUE"""),"")</f>
        <v/>
      </c>
    </row>
    <row r="15955">
      <c r="A15955" s="16" t="s">
        <v>87</v>
      </c>
      <c r="E15955" s="16" t="str">
        <f>IFERROR(__xludf.DUMMYFUNCTION("""COMPUTED_VALUE"""),"")</f>
        <v/>
      </c>
      <c r="G15955" s="18"/>
      <c r="H15955" s="16" t="s">
        <v>87</v>
      </c>
      <c r="I15955" s="16" t="s">
        <v>87</v>
      </c>
      <c r="J15955" s="19"/>
      <c r="L15955" s="16" t="str">
        <f>IFERROR(__xludf.DUMMYFUNCTION("""COMPUTED_VALUE"""),"")</f>
        <v/>
      </c>
      <c r="M15955" s="16" t="str">
        <f>IFERROR(__xludf.DUMMYFUNCTION("""COMPUTED_VALUE"""),"")</f>
        <v/>
      </c>
      <c r="U15955" s="16" t="s">
        <v>87</v>
      </c>
      <c r="V15955" s="16" t="str">
        <f>IFERROR(__xludf.DUMMYFUNCTION("""COMPUTED_VALUE"""),"")</f>
        <v/>
      </c>
      <c r="W15955" s="16" t="str">
        <f>IFERROR(__xludf.DUMMYFUNCTION("""COMPUTED_VALUE"""),"")</f>
        <v/>
      </c>
      <c r="X15955" s="16" t="str">
        <f>IFERROR(__xludf.DUMMYFUNCTION("""COMPUTED_VALUE"""),"")</f>
        <v/>
      </c>
      <c r="AC15955" s="16" t="str">
        <f>IFERROR(__xludf.DUMMYFUNCTION("""COMPUTED_VALUE"""),"")</f>
        <v/>
      </c>
    </row>
    <row r="15956">
      <c r="A15956" s="16" t="s">
        <v>87</v>
      </c>
      <c r="E15956" s="16" t="str">
        <f>IFERROR(__xludf.DUMMYFUNCTION("""COMPUTED_VALUE"""),"")</f>
        <v/>
      </c>
      <c r="G15956" s="18"/>
      <c r="H15956" s="16" t="s">
        <v>87</v>
      </c>
      <c r="I15956" s="16" t="s">
        <v>87</v>
      </c>
      <c r="J15956" s="19"/>
      <c r="L15956" s="16" t="str">
        <f>IFERROR(__xludf.DUMMYFUNCTION("""COMPUTED_VALUE"""),"")</f>
        <v/>
      </c>
      <c r="M15956" s="16" t="str">
        <f>IFERROR(__xludf.DUMMYFUNCTION("""COMPUTED_VALUE"""),"")</f>
        <v/>
      </c>
      <c r="U15956" s="16" t="s">
        <v>87</v>
      </c>
      <c r="V15956" s="16" t="str">
        <f>IFERROR(__xludf.DUMMYFUNCTION("""COMPUTED_VALUE"""),"")</f>
        <v/>
      </c>
      <c r="W15956" s="16" t="str">
        <f>IFERROR(__xludf.DUMMYFUNCTION("""COMPUTED_VALUE"""),"")</f>
        <v/>
      </c>
      <c r="X15956" s="16" t="str">
        <f>IFERROR(__xludf.DUMMYFUNCTION("""COMPUTED_VALUE"""),"")</f>
        <v/>
      </c>
      <c r="AC15956" s="16" t="str">
        <f>IFERROR(__xludf.DUMMYFUNCTION("""COMPUTED_VALUE"""),"")</f>
        <v/>
      </c>
    </row>
    <row r="15957">
      <c r="A15957" s="16" t="s">
        <v>87</v>
      </c>
      <c r="E15957" s="16" t="str">
        <f>IFERROR(__xludf.DUMMYFUNCTION("""COMPUTED_VALUE"""),"")</f>
        <v/>
      </c>
      <c r="G15957" s="18"/>
      <c r="H15957" s="16" t="s">
        <v>87</v>
      </c>
      <c r="I15957" s="16" t="s">
        <v>87</v>
      </c>
      <c r="J15957" s="19"/>
      <c r="L15957" s="16" t="str">
        <f>IFERROR(__xludf.DUMMYFUNCTION("""COMPUTED_VALUE"""),"")</f>
        <v/>
      </c>
      <c r="M15957" s="16" t="str">
        <f>IFERROR(__xludf.DUMMYFUNCTION("""COMPUTED_VALUE"""),"")</f>
        <v/>
      </c>
      <c r="U15957" s="16" t="s">
        <v>87</v>
      </c>
      <c r="V15957" s="16" t="str">
        <f>IFERROR(__xludf.DUMMYFUNCTION("""COMPUTED_VALUE"""),"")</f>
        <v/>
      </c>
      <c r="W15957" s="16" t="str">
        <f>IFERROR(__xludf.DUMMYFUNCTION("""COMPUTED_VALUE"""),"")</f>
        <v/>
      </c>
      <c r="X15957" s="16" t="str">
        <f>IFERROR(__xludf.DUMMYFUNCTION("""COMPUTED_VALUE"""),"")</f>
        <v/>
      </c>
      <c r="AC15957" s="16" t="str">
        <f>IFERROR(__xludf.DUMMYFUNCTION("""COMPUTED_VALUE"""),"")</f>
        <v/>
      </c>
    </row>
    <row r="15958">
      <c r="A15958" s="16" t="s">
        <v>87</v>
      </c>
      <c r="E15958" s="16" t="str">
        <f>IFERROR(__xludf.DUMMYFUNCTION("""COMPUTED_VALUE"""),"")</f>
        <v/>
      </c>
      <c r="G15958" s="18"/>
      <c r="H15958" s="16" t="s">
        <v>87</v>
      </c>
      <c r="I15958" s="16" t="s">
        <v>87</v>
      </c>
      <c r="J15958" s="19"/>
      <c r="L15958" s="16" t="str">
        <f>IFERROR(__xludf.DUMMYFUNCTION("""COMPUTED_VALUE"""),"")</f>
        <v/>
      </c>
      <c r="M15958" s="16" t="str">
        <f>IFERROR(__xludf.DUMMYFUNCTION("""COMPUTED_VALUE"""),"")</f>
        <v/>
      </c>
      <c r="U15958" s="16" t="s">
        <v>87</v>
      </c>
      <c r="V15958" s="16" t="str">
        <f>IFERROR(__xludf.DUMMYFUNCTION("""COMPUTED_VALUE"""),"")</f>
        <v/>
      </c>
      <c r="W15958" s="16" t="str">
        <f>IFERROR(__xludf.DUMMYFUNCTION("""COMPUTED_VALUE"""),"")</f>
        <v/>
      </c>
      <c r="X15958" s="16" t="str">
        <f>IFERROR(__xludf.DUMMYFUNCTION("""COMPUTED_VALUE"""),"")</f>
        <v/>
      </c>
      <c r="AC15958" s="16" t="str">
        <f>IFERROR(__xludf.DUMMYFUNCTION("""COMPUTED_VALUE"""),"")</f>
        <v/>
      </c>
    </row>
    <row r="15959">
      <c r="A15959" s="16" t="s">
        <v>87</v>
      </c>
      <c r="E15959" s="16" t="str">
        <f>IFERROR(__xludf.DUMMYFUNCTION("""COMPUTED_VALUE"""),"")</f>
        <v/>
      </c>
      <c r="G15959" s="18"/>
      <c r="H15959" s="16" t="s">
        <v>87</v>
      </c>
      <c r="I15959" s="16" t="s">
        <v>87</v>
      </c>
      <c r="J15959" s="19"/>
      <c r="L15959" s="16" t="str">
        <f>IFERROR(__xludf.DUMMYFUNCTION("""COMPUTED_VALUE"""),"")</f>
        <v/>
      </c>
      <c r="M15959" s="16" t="str">
        <f>IFERROR(__xludf.DUMMYFUNCTION("""COMPUTED_VALUE"""),"")</f>
        <v/>
      </c>
      <c r="U15959" s="16" t="s">
        <v>87</v>
      </c>
      <c r="V15959" s="16" t="str">
        <f>IFERROR(__xludf.DUMMYFUNCTION("""COMPUTED_VALUE"""),"")</f>
        <v/>
      </c>
      <c r="W15959" s="16" t="str">
        <f>IFERROR(__xludf.DUMMYFUNCTION("""COMPUTED_VALUE"""),"")</f>
        <v/>
      </c>
      <c r="X15959" s="16" t="str">
        <f>IFERROR(__xludf.DUMMYFUNCTION("""COMPUTED_VALUE"""),"")</f>
        <v/>
      </c>
      <c r="AC15959" s="16" t="str">
        <f>IFERROR(__xludf.DUMMYFUNCTION("""COMPUTED_VALUE"""),"")</f>
        <v/>
      </c>
    </row>
    <row r="15960">
      <c r="A15960" s="16" t="s">
        <v>87</v>
      </c>
      <c r="E15960" s="16" t="str">
        <f>IFERROR(__xludf.DUMMYFUNCTION("""COMPUTED_VALUE"""),"")</f>
        <v/>
      </c>
      <c r="G15960" s="18"/>
      <c r="H15960" s="16" t="s">
        <v>87</v>
      </c>
      <c r="I15960" s="16" t="s">
        <v>87</v>
      </c>
      <c r="J15960" s="19"/>
      <c r="L15960" s="16" t="str">
        <f>IFERROR(__xludf.DUMMYFUNCTION("""COMPUTED_VALUE"""),"")</f>
        <v/>
      </c>
      <c r="M15960" s="16" t="str">
        <f>IFERROR(__xludf.DUMMYFUNCTION("""COMPUTED_VALUE"""),"")</f>
        <v/>
      </c>
      <c r="U15960" s="16" t="s">
        <v>87</v>
      </c>
      <c r="V15960" s="16" t="str">
        <f>IFERROR(__xludf.DUMMYFUNCTION("""COMPUTED_VALUE"""),"")</f>
        <v/>
      </c>
      <c r="W15960" s="16" t="str">
        <f>IFERROR(__xludf.DUMMYFUNCTION("""COMPUTED_VALUE"""),"")</f>
        <v/>
      </c>
      <c r="X15960" s="16" t="str">
        <f>IFERROR(__xludf.DUMMYFUNCTION("""COMPUTED_VALUE"""),"")</f>
        <v/>
      </c>
      <c r="AC15960" s="16" t="str">
        <f>IFERROR(__xludf.DUMMYFUNCTION("""COMPUTED_VALUE"""),"")</f>
        <v/>
      </c>
    </row>
    <row r="15961">
      <c r="A15961" s="16" t="s">
        <v>87</v>
      </c>
      <c r="E15961" s="16" t="str">
        <f>IFERROR(__xludf.DUMMYFUNCTION("""COMPUTED_VALUE"""),"")</f>
        <v/>
      </c>
      <c r="G15961" s="18"/>
      <c r="H15961" s="16" t="s">
        <v>87</v>
      </c>
      <c r="I15961" s="16" t="s">
        <v>87</v>
      </c>
      <c r="J15961" s="19"/>
      <c r="L15961" s="16" t="str">
        <f>IFERROR(__xludf.DUMMYFUNCTION("""COMPUTED_VALUE"""),"")</f>
        <v/>
      </c>
      <c r="M15961" s="16" t="str">
        <f>IFERROR(__xludf.DUMMYFUNCTION("""COMPUTED_VALUE"""),"")</f>
        <v/>
      </c>
      <c r="U15961" s="16" t="s">
        <v>87</v>
      </c>
      <c r="V15961" s="16" t="str">
        <f>IFERROR(__xludf.DUMMYFUNCTION("""COMPUTED_VALUE"""),"")</f>
        <v/>
      </c>
      <c r="W15961" s="16" t="str">
        <f>IFERROR(__xludf.DUMMYFUNCTION("""COMPUTED_VALUE"""),"")</f>
        <v/>
      </c>
      <c r="X15961" s="16" t="str">
        <f>IFERROR(__xludf.DUMMYFUNCTION("""COMPUTED_VALUE"""),"")</f>
        <v/>
      </c>
      <c r="AC15961" s="16" t="str">
        <f>IFERROR(__xludf.DUMMYFUNCTION("""COMPUTED_VALUE"""),"")</f>
        <v/>
      </c>
    </row>
    <row r="15962">
      <c r="A15962" s="16" t="s">
        <v>87</v>
      </c>
      <c r="E15962" s="16" t="str">
        <f>IFERROR(__xludf.DUMMYFUNCTION("""COMPUTED_VALUE"""),"")</f>
        <v/>
      </c>
      <c r="G15962" s="18"/>
      <c r="H15962" s="16" t="s">
        <v>87</v>
      </c>
      <c r="I15962" s="16" t="s">
        <v>87</v>
      </c>
      <c r="J15962" s="19"/>
      <c r="L15962" s="16" t="str">
        <f>IFERROR(__xludf.DUMMYFUNCTION("""COMPUTED_VALUE"""),"")</f>
        <v/>
      </c>
      <c r="M15962" s="16" t="str">
        <f>IFERROR(__xludf.DUMMYFUNCTION("""COMPUTED_VALUE"""),"")</f>
        <v/>
      </c>
      <c r="U15962" s="16" t="s">
        <v>87</v>
      </c>
      <c r="V15962" s="16" t="str">
        <f>IFERROR(__xludf.DUMMYFUNCTION("""COMPUTED_VALUE"""),"")</f>
        <v/>
      </c>
      <c r="W15962" s="16" t="str">
        <f>IFERROR(__xludf.DUMMYFUNCTION("""COMPUTED_VALUE"""),"")</f>
        <v/>
      </c>
      <c r="X15962" s="16" t="str">
        <f>IFERROR(__xludf.DUMMYFUNCTION("""COMPUTED_VALUE"""),"")</f>
        <v/>
      </c>
      <c r="AC15962" s="16" t="str">
        <f>IFERROR(__xludf.DUMMYFUNCTION("""COMPUTED_VALUE"""),"")</f>
        <v/>
      </c>
    </row>
    <row r="15963">
      <c r="A15963" s="16" t="s">
        <v>87</v>
      </c>
      <c r="E15963" s="16" t="str">
        <f>IFERROR(__xludf.DUMMYFUNCTION("""COMPUTED_VALUE"""),"")</f>
        <v/>
      </c>
      <c r="G15963" s="18"/>
      <c r="H15963" s="16" t="s">
        <v>87</v>
      </c>
      <c r="I15963" s="16" t="s">
        <v>87</v>
      </c>
      <c r="J15963" s="19"/>
      <c r="L15963" s="16" t="str">
        <f>IFERROR(__xludf.DUMMYFUNCTION("""COMPUTED_VALUE"""),"")</f>
        <v/>
      </c>
      <c r="M15963" s="16" t="str">
        <f>IFERROR(__xludf.DUMMYFUNCTION("""COMPUTED_VALUE"""),"")</f>
        <v/>
      </c>
      <c r="U15963" s="16" t="s">
        <v>87</v>
      </c>
      <c r="V15963" s="16" t="str">
        <f>IFERROR(__xludf.DUMMYFUNCTION("""COMPUTED_VALUE"""),"")</f>
        <v/>
      </c>
      <c r="W15963" s="16" t="str">
        <f>IFERROR(__xludf.DUMMYFUNCTION("""COMPUTED_VALUE"""),"")</f>
        <v/>
      </c>
      <c r="X15963" s="16" t="str">
        <f>IFERROR(__xludf.DUMMYFUNCTION("""COMPUTED_VALUE"""),"")</f>
        <v/>
      </c>
      <c r="AC15963" s="16" t="str">
        <f>IFERROR(__xludf.DUMMYFUNCTION("""COMPUTED_VALUE"""),"")</f>
        <v/>
      </c>
    </row>
    <row r="15964">
      <c r="A15964" s="16" t="s">
        <v>87</v>
      </c>
      <c r="E15964" s="16" t="str">
        <f>IFERROR(__xludf.DUMMYFUNCTION("""COMPUTED_VALUE"""),"")</f>
        <v/>
      </c>
      <c r="G15964" s="18"/>
      <c r="H15964" s="16" t="s">
        <v>87</v>
      </c>
      <c r="I15964" s="16" t="s">
        <v>87</v>
      </c>
      <c r="J15964" s="19"/>
      <c r="L15964" s="16" t="str">
        <f>IFERROR(__xludf.DUMMYFUNCTION("""COMPUTED_VALUE"""),"")</f>
        <v/>
      </c>
      <c r="M15964" s="16" t="str">
        <f>IFERROR(__xludf.DUMMYFUNCTION("""COMPUTED_VALUE"""),"")</f>
        <v/>
      </c>
      <c r="U15964" s="16" t="s">
        <v>87</v>
      </c>
      <c r="V15964" s="16" t="str">
        <f>IFERROR(__xludf.DUMMYFUNCTION("""COMPUTED_VALUE"""),"")</f>
        <v/>
      </c>
      <c r="W15964" s="16" t="str">
        <f>IFERROR(__xludf.DUMMYFUNCTION("""COMPUTED_VALUE"""),"")</f>
        <v/>
      </c>
      <c r="X15964" s="16" t="str">
        <f>IFERROR(__xludf.DUMMYFUNCTION("""COMPUTED_VALUE"""),"")</f>
        <v/>
      </c>
      <c r="AC15964" s="16" t="str">
        <f>IFERROR(__xludf.DUMMYFUNCTION("""COMPUTED_VALUE"""),"")</f>
        <v/>
      </c>
    </row>
    <row r="15965">
      <c r="A15965" s="16" t="s">
        <v>87</v>
      </c>
      <c r="E15965" s="16" t="str">
        <f>IFERROR(__xludf.DUMMYFUNCTION("""COMPUTED_VALUE"""),"")</f>
        <v/>
      </c>
      <c r="G15965" s="18"/>
      <c r="H15965" s="16" t="s">
        <v>87</v>
      </c>
      <c r="I15965" s="16" t="s">
        <v>87</v>
      </c>
      <c r="J15965" s="19"/>
      <c r="L15965" s="16" t="str">
        <f>IFERROR(__xludf.DUMMYFUNCTION("""COMPUTED_VALUE"""),"")</f>
        <v/>
      </c>
      <c r="M15965" s="16" t="str">
        <f>IFERROR(__xludf.DUMMYFUNCTION("""COMPUTED_VALUE"""),"")</f>
        <v/>
      </c>
      <c r="U15965" s="16" t="s">
        <v>87</v>
      </c>
      <c r="V15965" s="16" t="str">
        <f>IFERROR(__xludf.DUMMYFUNCTION("""COMPUTED_VALUE"""),"")</f>
        <v/>
      </c>
      <c r="W15965" s="16" t="str">
        <f>IFERROR(__xludf.DUMMYFUNCTION("""COMPUTED_VALUE"""),"")</f>
        <v/>
      </c>
      <c r="X15965" s="16" t="str">
        <f>IFERROR(__xludf.DUMMYFUNCTION("""COMPUTED_VALUE"""),"")</f>
        <v/>
      </c>
      <c r="AC15965" s="16" t="str">
        <f>IFERROR(__xludf.DUMMYFUNCTION("""COMPUTED_VALUE"""),"")</f>
        <v/>
      </c>
    </row>
    <row r="15966">
      <c r="A15966" s="16" t="s">
        <v>87</v>
      </c>
      <c r="E15966" s="16" t="str">
        <f>IFERROR(__xludf.DUMMYFUNCTION("""COMPUTED_VALUE"""),"")</f>
        <v/>
      </c>
      <c r="G15966" s="18"/>
      <c r="H15966" s="16" t="s">
        <v>87</v>
      </c>
      <c r="I15966" s="16" t="s">
        <v>87</v>
      </c>
      <c r="J15966" s="19"/>
      <c r="L15966" s="16" t="str">
        <f>IFERROR(__xludf.DUMMYFUNCTION("""COMPUTED_VALUE"""),"")</f>
        <v/>
      </c>
      <c r="M15966" s="16" t="str">
        <f>IFERROR(__xludf.DUMMYFUNCTION("""COMPUTED_VALUE"""),"")</f>
        <v/>
      </c>
      <c r="U15966" s="16" t="s">
        <v>87</v>
      </c>
      <c r="V15966" s="16" t="str">
        <f>IFERROR(__xludf.DUMMYFUNCTION("""COMPUTED_VALUE"""),"")</f>
        <v/>
      </c>
      <c r="W15966" s="16" t="str">
        <f>IFERROR(__xludf.DUMMYFUNCTION("""COMPUTED_VALUE"""),"")</f>
        <v/>
      </c>
      <c r="X15966" s="16" t="str">
        <f>IFERROR(__xludf.DUMMYFUNCTION("""COMPUTED_VALUE"""),"")</f>
        <v/>
      </c>
      <c r="AC15966" s="16" t="str">
        <f>IFERROR(__xludf.DUMMYFUNCTION("""COMPUTED_VALUE"""),"")</f>
        <v/>
      </c>
    </row>
    <row r="15967">
      <c r="A15967" s="16" t="s">
        <v>87</v>
      </c>
      <c r="E15967" s="16" t="str">
        <f>IFERROR(__xludf.DUMMYFUNCTION("""COMPUTED_VALUE"""),"")</f>
        <v/>
      </c>
      <c r="G15967" s="18"/>
      <c r="H15967" s="16" t="s">
        <v>87</v>
      </c>
      <c r="I15967" s="16" t="s">
        <v>87</v>
      </c>
      <c r="J15967" s="19"/>
      <c r="L15967" s="16" t="str">
        <f>IFERROR(__xludf.DUMMYFUNCTION("""COMPUTED_VALUE"""),"")</f>
        <v/>
      </c>
      <c r="M15967" s="16" t="str">
        <f>IFERROR(__xludf.DUMMYFUNCTION("""COMPUTED_VALUE"""),"")</f>
        <v/>
      </c>
      <c r="U15967" s="16" t="s">
        <v>87</v>
      </c>
      <c r="V15967" s="16" t="str">
        <f>IFERROR(__xludf.DUMMYFUNCTION("""COMPUTED_VALUE"""),"")</f>
        <v/>
      </c>
      <c r="W15967" s="16" t="str">
        <f>IFERROR(__xludf.DUMMYFUNCTION("""COMPUTED_VALUE"""),"")</f>
        <v/>
      </c>
      <c r="X15967" s="16" t="str">
        <f>IFERROR(__xludf.DUMMYFUNCTION("""COMPUTED_VALUE"""),"")</f>
        <v/>
      </c>
      <c r="AC15967" s="16" t="str">
        <f>IFERROR(__xludf.DUMMYFUNCTION("""COMPUTED_VALUE"""),"")</f>
        <v/>
      </c>
    </row>
    <row r="15968">
      <c r="A15968" s="16" t="s">
        <v>87</v>
      </c>
      <c r="E15968" s="16" t="str">
        <f>IFERROR(__xludf.DUMMYFUNCTION("""COMPUTED_VALUE"""),"")</f>
        <v/>
      </c>
      <c r="G15968" s="18"/>
      <c r="H15968" s="16" t="s">
        <v>87</v>
      </c>
      <c r="I15968" s="16" t="s">
        <v>87</v>
      </c>
      <c r="J15968" s="19"/>
      <c r="L15968" s="16" t="str">
        <f>IFERROR(__xludf.DUMMYFUNCTION("""COMPUTED_VALUE"""),"")</f>
        <v/>
      </c>
      <c r="M15968" s="16" t="str">
        <f>IFERROR(__xludf.DUMMYFUNCTION("""COMPUTED_VALUE"""),"")</f>
        <v/>
      </c>
      <c r="U15968" s="16" t="s">
        <v>87</v>
      </c>
      <c r="V15968" s="16" t="str">
        <f>IFERROR(__xludf.DUMMYFUNCTION("""COMPUTED_VALUE"""),"")</f>
        <v/>
      </c>
      <c r="W15968" s="16" t="str">
        <f>IFERROR(__xludf.DUMMYFUNCTION("""COMPUTED_VALUE"""),"")</f>
        <v/>
      </c>
      <c r="X15968" s="16" t="str">
        <f>IFERROR(__xludf.DUMMYFUNCTION("""COMPUTED_VALUE"""),"")</f>
        <v/>
      </c>
      <c r="AC15968" s="16" t="str">
        <f>IFERROR(__xludf.DUMMYFUNCTION("""COMPUTED_VALUE"""),"")</f>
        <v/>
      </c>
    </row>
    <row r="15969">
      <c r="A15969" s="16" t="s">
        <v>87</v>
      </c>
      <c r="E15969" s="16" t="str">
        <f>IFERROR(__xludf.DUMMYFUNCTION("""COMPUTED_VALUE"""),"")</f>
        <v/>
      </c>
      <c r="G15969" s="18"/>
      <c r="H15969" s="16" t="s">
        <v>87</v>
      </c>
      <c r="I15969" s="16" t="s">
        <v>87</v>
      </c>
      <c r="J15969" s="19"/>
      <c r="L15969" s="16" t="str">
        <f>IFERROR(__xludf.DUMMYFUNCTION("""COMPUTED_VALUE"""),"")</f>
        <v/>
      </c>
      <c r="M15969" s="16" t="str">
        <f>IFERROR(__xludf.DUMMYFUNCTION("""COMPUTED_VALUE"""),"")</f>
        <v/>
      </c>
      <c r="U15969" s="16" t="s">
        <v>87</v>
      </c>
      <c r="V15969" s="16" t="str">
        <f>IFERROR(__xludf.DUMMYFUNCTION("""COMPUTED_VALUE"""),"")</f>
        <v/>
      </c>
      <c r="W15969" s="16" t="str">
        <f>IFERROR(__xludf.DUMMYFUNCTION("""COMPUTED_VALUE"""),"")</f>
        <v/>
      </c>
      <c r="X15969" s="16" t="str">
        <f>IFERROR(__xludf.DUMMYFUNCTION("""COMPUTED_VALUE"""),"")</f>
        <v/>
      </c>
      <c r="AC15969" s="16" t="str">
        <f>IFERROR(__xludf.DUMMYFUNCTION("""COMPUTED_VALUE"""),"")</f>
        <v/>
      </c>
    </row>
    <row r="15970">
      <c r="A15970" s="16" t="s">
        <v>87</v>
      </c>
      <c r="E15970" s="16" t="str">
        <f>IFERROR(__xludf.DUMMYFUNCTION("""COMPUTED_VALUE"""),"")</f>
        <v/>
      </c>
      <c r="G15970" s="18"/>
      <c r="H15970" s="16" t="s">
        <v>87</v>
      </c>
      <c r="I15970" s="16" t="s">
        <v>87</v>
      </c>
      <c r="J15970" s="19"/>
      <c r="L15970" s="16" t="str">
        <f>IFERROR(__xludf.DUMMYFUNCTION("""COMPUTED_VALUE"""),"")</f>
        <v/>
      </c>
      <c r="M15970" s="16" t="str">
        <f>IFERROR(__xludf.DUMMYFUNCTION("""COMPUTED_VALUE"""),"")</f>
        <v/>
      </c>
      <c r="U15970" s="16" t="s">
        <v>87</v>
      </c>
      <c r="V15970" s="16" t="str">
        <f>IFERROR(__xludf.DUMMYFUNCTION("""COMPUTED_VALUE"""),"")</f>
        <v/>
      </c>
      <c r="W15970" s="16" t="str">
        <f>IFERROR(__xludf.DUMMYFUNCTION("""COMPUTED_VALUE"""),"")</f>
        <v/>
      </c>
      <c r="X15970" s="16" t="str">
        <f>IFERROR(__xludf.DUMMYFUNCTION("""COMPUTED_VALUE"""),"")</f>
        <v/>
      </c>
      <c r="AC15970" s="16" t="str">
        <f>IFERROR(__xludf.DUMMYFUNCTION("""COMPUTED_VALUE"""),"")</f>
        <v/>
      </c>
    </row>
    <row r="15971">
      <c r="A15971" s="16" t="s">
        <v>87</v>
      </c>
      <c r="E15971" s="16" t="str">
        <f>IFERROR(__xludf.DUMMYFUNCTION("""COMPUTED_VALUE"""),"")</f>
        <v/>
      </c>
      <c r="G15971" s="18"/>
      <c r="H15971" s="16" t="s">
        <v>87</v>
      </c>
      <c r="I15971" s="16" t="s">
        <v>87</v>
      </c>
      <c r="J15971" s="19"/>
      <c r="L15971" s="16" t="str">
        <f>IFERROR(__xludf.DUMMYFUNCTION("""COMPUTED_VALUE"""),"")</f>
        <v/>
      </c>
      <c r="M15971" s="16" t="str">
        <f>IFERROR(__xludf.DUMMYFUNCTION("""COMPUTED_VALUE"""),"")</f>
        <v/>
      </c>
      <c r="U15971" s="16" t="s">
        <v>87</v>
      </c>
      <c r="V15971" s="16" t="str">
        <f>IFERROR(__xludf.DUMMYFUNCTION("""COMPUTED_VALUE"""),"")</f>
        <v/>
      </c>
      <c r="W15971" s="16" t="str">
        <f>IFERROR(__xludf.DUMMYFUNCTION("""COMPUTED_VALUE"""),"")</f>
        <v/>
      </c>
      <c r="X15971" s="16" t="str">
        <f>IFERROR(__xludf.DUMMYFUNCTION("""COMPUTED_VALUE"""),"")</f>
        <v/>
      </c>
      <c r="AC15971" s="16" t="str">
        <f>IFERROR(__xludf.DUMMYFUNCTION("""COMPUTED_VALUE"""),"")</f>
        <v/>
      </c>
    </row>
    <row r="15972">
      <c r="A15972" s="16" t="s">
        <v>87</v>
      </c>
      <c r="E15972" s="16" t="str">
        <f>IFERROR(__xludf.DUMMYFUNCTION("""COMPUTED_VALUE"""),"")</f>
        <v/>
      </c>
      <c r="G15972" s="18"/>
      <c r="H15972" s="16" t="s">
        <v>87</v>
      </c>
      <c r="I15972" s="16" t="s">
        <v>87</v>
      </c>
      <c r="J15972" s="19"/>
      <c r="L15972" s="16" t="str">
        <f>IFERROR(__xludf.DUMMYFUNCTION("""COMPUTED_VALUE"""),"")</f>
        <v/>
      </c>
      <c r="M15972" s="16" t="str">
        <f>IFERROR(__xludf.DUMMYFUNCTION("""COMPUTED_VALUE"""),"")</f>
        <v/>
      </c>
      <c r="U15972" s="16" t="s">
        <v>87</v>
      </c>
      <c r="V15972" s="16" t="str">
        <f>IFERROR(__xludf.DUMMYFUNCTION("""COMPUTED_VALUE"""),"")</f>
        <v/>
      </c>
      <c r="W15972" s="16" t="str">
        <f>IFERROR(__xludf.DUMMYFUNCTION("""COMPUTED_VALUE"""),"")</f>
        <v/>
      </c>
      <c r="X15972" s="16" t="str">
        <f>IFERROR(__xludf.DUMMYFUNCTION("""COMPUTED_VALUE"""),"")</f>
        <v/>
      </c>
      <c r="AC15972" s="16" t="str">
        <f>IFERROR(__xludf.DUMMYFUNCTION("""COMPUTED_VALUE"""),"")</f>
        <v/>
      </c>
    </row>
    <row r="15973">
      <c r="A15973" s="16" t="s">
        <v>87</v>
      </c>
      <c r="E15973" s="16" t="str">
        <f>IFERROR(__xludf.DUMMYFUNCTION("""COMPUTED_VALUE"""),"")</f>
        <v/>
      </c>
      <c r="G15973" s="18"/>
      <c r="H15973" s="16" t="s">
        <v>87</v>
      </c>
      <c r="I15973" s="16" t="s">
        <v>87</v>
      </c>
      <c r="J15973" s="19"/>
      <c r="L15973" s="16" t="str">
        <f>IFERROR(__xludf.DUMMYFUNCTION("""COMPUTED_VALUE"""),"")</f>
        <v/>
      </c>
      <c r="M15973" s="16" t="str">
        <f>IFERROR(__xludf.DUMMYFUNCTION("""COMPUTED_VALUE"""),"")</f>
        <v/>
      </c>
      <c r="U15973" s="16" t="s">
        <v>87</v>
      </c>
      <c r="V15973" s="16" t="str">
        <f>IFERROR(__xludf.DUMMYFUNCTION("""COMPUTED_VALUE"""),"")</f>
        <v/>
      </c>
      <c r="W15973" s="16" t="str">
        <f>IFERROR(__xludf.DUMMYFUNCTION("""COMPUTED_VALUE"""),"")</f>
        <v/>
      </c>
      <c r="X15973" s="16" t="str">
        <f>IFERROR(__xludf.DUMMYFUNCTION("""COMPUTED_VALUE"""),"")</f>
        <v/>
      </c>
      <c r="AC15973" s="16" t="str">
        <f>IFERROR(__xludf.DUMMYFUNCTION("""COMPUTED_VALUE"""),"")</f>
        <v/>
      </c>
    </row>
    <row r="15974">
      <c r="A15974" s="16" t="s">
        <v>87</v>
      </c>
      <c r="E15974" s="16" t="str">
        <f>IFERROR(__xludf.DUMMYFUNCTION("""COMPUTED_VALUE"""),"")</f>
        <v/>
      </c>
      <c r="G15974" s="18"/>
      <c r="H15974" s="16" t="s">
        <v>87</v>
      </c>
      <c r="I15974" s="16" t="s">
        <v>87</v>
      </c>
      <c r="J15974" s="19"/>
      <c r="L15974" s="16" t="str">
        <f>IFERROR(__xludf.DUMMYFUNCTION("""COMPUTED_VALUE"""),"")</f>
        <v/>
      </c>
      <c r="M15974" s="16" t="str">
        <f>IFERROR(__xludf.DUMMYFUNCTION("""COMPUTED_VALUE"""),"")</f>
        <v/>
      </c>
      <c r="U15974" s="16" t="s">
        <v>87</v>
      </c>
      <c r="V15974" s="16" t="str">
        <f>IFERROR(__xludf.DUMMYFUNCTION("""COMPUTED_VALUE"""),"")</f>
        <v/>
      </c>
      <c r="W15974" s="16" t="str">
        <f>IFERROR(__xludf.DUMMYFUNCTION("""COMPUTED_VALUE"""),"")</f>
        <v/>
      </c>
      <c r="X15974" s="16" t="str">
        <f>IFERROR(__xludf.DUMMYFUNCTION("""COMPUTED_VALUE"""),"")</f>
        <v/>
      </c>
      <c r="AC15974" s="16" t="str">
        <f>IFERROR(__xludf.DUMMYFUNCTION("""COMPUTED_VALUE"""),"")</f>
        <v/>
      </c>
    </row>
    <row r="15975">
      <c r="A15975" s="16" t="s">
        <v>87</v>
      </c>
      <c r="E15975" s="16" t="str">
        <f>IFERROR(__xludf.DUMMYFUNCTION("""COMPUTED_VALUE"""),"")</f>
        <v/>
      </c>
      <c r="G15975" s="18"/>
      <c r="H15975" s="16" t="s">
        <v>87</v>
      </c>
      <c r="I15975" s="16" t="s">
        <v>87</v>
      </c>
      <c r="J15975" s="19"/>
      <c r="L15975" s="16" t="str">
        <f>IFERROR(__xludf.DUMMYFUNCTION("""COMPUTED_VALUE"""),"")</f>
        <v/>
      </c>
      <c r="M15975" s="16" t="str">
        <f>IFERROR(__xludf.DUMMYFUNCTION("""COMPUTED_VALUE"""),"")</f>
        <v/>
      </c>
      <c r="U15975" s="16" t="s">
        <v>87</v>
      </c>
      <c r="V15975" s="16" t="str">
        <f>IFERROR(__xludf.DUMMYFUNCTION("""COMPUTED_VALUE"""),"")</f>
        <v/>
      </c>
      <c r="W15975" s="16" t="str">
        <f>IFERROR(__xludf.DUMMYFUNCTION("""COMPUTED_VALUE"""),"")</f>
        <v/>
      </c>
      <c r="X15975" s="16" t="str">
        <f>IFERROR(__xludf.DUMMYFUNCTION("""COMPUTED_VALUE"""),"")</f>
        <v/>
      </c>
      <c r="AC15975" s="16" t="str">
        <f>IFERROR(__xludf.DUMMYFUNCTION("""COMPUTED_VALUE"""),"")</f>
        <v/>
      </c>
    </row>
    <row r="15976">
      <c r="A15976" s="16" t="s">
        <v>87</v>
      </c>
      <c r="E15976" s="16" t="str">
        <f>IFERROR(__xludf.DUMMYFUNCTION("""COMPUTED_VALUE"""),"")</f>
        <v/>
      </c>
      <c r="G15976" s="18"/>
      <c r="H15976" s="16" t="s">
        <v>87</v>
      </c>
      <c r="I15976" s="16" t="s">
        <v>87</v>
      </c>
      <c r="J15976" s="19"/>
      <c r="L15976" s="16" t="str">
        <f>IFERROR(__xludf.DUMMYFUNCTION("""COMPUTED_VALUE"""),"")</f>
        <v/>
      </c>
      <c r="M15976" s="16" t="str">
        <f>IFERROR(__xludf.DUMMYFUNCTION("""COMPUTED_VALUE"""),"")</f>
        <v/>
      </c>
      <c r="U15976" s="16" t="s">
        <v>87</v>
      </c>
      <c r="V15976" s="16" t="str">
        <f>IFERROR(__xludf.DUMMYFUNCTION("""COMPUTED_VALUE"""),"")</f>
        <v/>
      </c>
      <c r="W15976" s="16" t="str">
        <f>IFERROR(__xludf.DUMMYFUNCTION("""COMPUTED_VALUE"""),"")</f>
        <v/>
      </c>
      <c r="X15976" s="16" t="str">
        <f>IFERROR(__xludf.DUMMYFUNCTION("""COMPUTED_VALUE"""),"")</f>
        <v/>
      </c>
      <c r="AC15976" s="16" t="str">
        <f>IFERROR(__xludf.DUMMYFUNCTION("""COMPUTED_VALUE"""),"")</f>
        <v/>
      </c>
    </row>
    <row r="15977">
      <c r="A15977" s="16" t="s">
        <v>87</v>
      </c>
      <c r="E15977" s="16" t="str">
        <f>IFERROR(__xludf.DUMMYFUNCTION("""COMPUTED_VALUE"""),"")</f>
        <v/>
      </c>
      <c r="G15977" s="18"/>
      <c r="H15977" s="16" t="s">
        <v>87</v>
      </c>
      <c r="I15977" s="16" t="s">
        <v>87</v>
      </c>
      <c r="J15977" s="19"/>
      <c r="L15977" s="16" t="str">
        <f>IFERROR(__xludf.DUMMYFUNCTION("""COMPUTED_VALUE"""),"")</f>
        <v/>
      </c>
      <c r="M15977" s="16" t="str">
        <f>IFERROR(__xludf.DUMMYFUNCTION("""COMPUTED_VALUE"""),"")</f>
        <v/>
      </c>
      <c r="U15977" s="16" t="s">
        <v>87</v>
      </c>
      <c r="V15977" s="16" t="str">
        <f>IFERROR(__xludf.DUMMYFUNCTION("""COMPUTED_VALUE"""),"")</f>
        <v/>
      </c>
      <c r="W15977" s="16" t="str">
        <f>IFERROR(__xludf.DUMMYFUNCTION("""COMPUTED_VALUE"""),"")</f>
        <v/>
      </c>
      <c r="X15977" s="16" t="str">
        <f>IFERROR(__xludf.DUMMYFUNCTION("""COMPUTED_VALUE"""),"")</f>
        <v/>
      </c>
      <c r="AC15977" s="16" t="str">
        <f>IFERROR(__xludf.DUMMYFUNCTION("""COMPUTED_VALUE"""),"")</f>
        <v/>
      </c>
    </row>
    <row r="15978">
      <c r="A15978" s="16" t="s">
        <v>87</v>
      </c>
      <c r="E15978" s="16" t="str">
        <f>IFERROR(__xludf.DUMMYFUNCTION("""COMPUTED_VALUE"""),"")</f>
        <v/>
      </c>
      <c r="G15978" s="18"/>
      <c r="H15978" s="16" t="s">
        <v>87</v>
      </c>
      <c r="I15978" s="16" t="s">
        <v>87</v>
      </c>
      <c r="J15978" s="19"/>
      <c r="L15978" s="16" t="str">
        <f>IFERROR(__xludf.DUMMYFUNCTION("""COMPUTED_VALUE"""),"")</f>
        <v/>
      </c>
      <c r="M15978" s="16" t="str">
        <f>IFERROR(__xludf.DUMMYFUNCTION("""COMPUTED_VALUE"""),"")</f>
        <v/>
      </c>
      <c r="U15978" s="16" t="s">
        <v>87</v>
      </c>
      <c r="V15978" s="16" t="str">
        <f>IFERROR(__xludf.DUMMYFUNCTION("""COMPUTED_VALUE"""),"")</f>
        <v/>
      </c>
      <c r="W15978" s="16" t="str">
        <f>IFERROR(__xludf.DUMMYFUNCTION("""COMPUTED_VALUE"""),"")</f>
        <v/>
      </c>
      <c r="X15978" s="16" t="str">
        <f>IFERROR(__xludf.DUMMYFUNCTION("""COMPUTED_VALUE"""),"")</f>
        <v/>
      </c>
      <c r="AC15978" s="16" t="str">
        <f>IFERROR(__xludf.DUMMYFUNCTION("""COMPUTED_VALUE"""),"")</f>
        <v/>
      </c>
    </row>
    <row r="15979">
      <c r="A15979" s="16" t="s">
        <v>87</v>
      </c>
      <c r="E15979" s="16" t="str">
        <f>IFERROR(__xludf.DUMMYFUNCTION("""COMPUTED_VALUE"""),"")</f>
        <v/>
      </c>
      <c r="G15979" s="18"/>
      <c r="H15979" s="16" t="s">
        <v>87</v>
      </c>
      <c r="I15979" s="16" t="s">
        <v>87</v>
      </c>
      <c r="J15979" s="19"/>
      <c r="L15979" s="16" t="str">
        <f>IFERROR(__xludf.DUMMYFUNCTION("""COMPUTED_VALUE"""),"")</f>
        <v/>
      </c>
      <c r="M15979" s="16" t="str">
        <f>IFERROR(__xludf.DUMMYFUNCTION("""COMPUTED_VALUE"""),"")</f>
        <v/>
      </c>
      <c r="U15979" s="16" t="s">
        <v>87</v>
      </c>
      <c r="V15979" s="16" t="str">
        <f>IFERROR(__xludf.DUMMYFUNCTION("""COMPUTED_VALUE"""),"")</f>
        <v/>
      </c>
      <c r="W15979" s="16" t="str">
        <f>IFERROR(__xludf.DUMMYFUNCTION("""COMPUTED_VALUE"""),"")</f>
        <v/>
      </c>
      <c r="X15979" s="16" t="str">
        <f>IFERROR(__xludf.DUMMYFUNCTION("""COMPUTED_VALUE"""),"")</f>
        <v/>
      </c>
      <c r="AC15979" s="16" t="str">
        <f>IFERROR(__xludf.DUMMYFUNCTION("""COMPUTED_VALUE"""),"")</f>
        <v/>
      </c>
    </row>
    <row r="15980">
      <c r="A15980" s="16" t="s">
        <v>87</v>
      </c>
      <c r="E15980" s="16" t="str">
        <f>IFERROR(__xludf.DUMMYFUNCTION("""COMPUTED_VALUE"""),"")</f>
        <v/>
      </c>
      <c r="G15980" s="18"/>
      <c r="H15980" s="16" t="s">
        <v>87</v>
      </c>
      <c r="I15980" s="16" t="s">
        <v>87</v>
      </c>
      <c r="J15980" s="19"/>
      <c r="L15980" s="16" t="str">
        <f>IFERROR(__xludf.DUMMYFUNCTION("""COMPUTED_VALUE"""),"")</f>
        <v/>
      </c>
      <c r="M15980" s="16" t="str">
        <f>IFERROR(__xludf.DUMMYFUNCTION("""COMPUTED_VALUE"""),"")</f>
        <v/>
      </c>
      <c r="U15980" s="16" t="s">
        <v>87</v>
      </c>
      <c r="V15980" s="16" t="str">
        <f>IFERROR(__xludf.DUMMYFUNCTION("""COMPUTED_VALUE"""),"")</f>
        <v/>
      </c>
      <c r="W15980" s="16" t="str">
        <f>IFERROR(__xludf.DUMMYFUNCTION("""COMPUTED_VALUE"""),"")</f>
        <v/>
      </c>
      <c r="X15980" s="16" t="str">
        <f>IFERROR(__xludf.DUMMYFUNCTION("""COMPUTED_VALUE"""),"")</f>
        <v/>
      </c>
      <c r="AC15980" s="16" t="str">
        <f>IFERROR(__xludf.DUMMYFUNCTION("""COMPUTED_VALUE"""),"")</f>
        <v/>
      </c>
    </row>
    <row r="15981">
      <c r="A15981" s="16" t="s">
        <v>87</v>
      </c>
      <c r="E15981" s="16" t="str">
        <f>IFERROR(__xludf.DUMMYFUNCTION("""COMPUTED_VALUE"""),"")</f>
        <v/>
      </c>
      <c r="G15981" s="18"/>
      <c r="H15981" s="16" t="s">
        <v>87</v>
      </c>
      <c r="I15981" s="16" t="s">
        <v>87</v>
      </c>
      <c r="J15981" s="19"/>
      <c r="L15981" s="16" t="str">
        <f>IFERROR(__xludf.DUMMYFUNCTION("""COMPUTED_VALUE"""),"")</f>
        <v/>
      </c>
      <c r="M15981" s="16" t="str">
        <f>IFERROR(__xludf.DUMMYFUNCTION("""COMPUTED_VALUE"""),"")</f>
        <v/>
      </c>
      <c r="U15981" s="16" t="s">
        <v>87</v>
      </c>
      <c r="V15981" s="16" t="str">
        <f>IFERROR(__xludf.DUMMYFUNCTION("""COMPUTED_VALUE"""),"")</f>
        <v/>
      </c>
      <c r="W15981" s="16" t="str">
        <f>IFERROR(__xludf.DUMMYFUNCTION("""COMPUTED_VALUE"""),"")</f>
        <v/>
      </c>
      <c r="X15981" s="16" t="str">
        <f>IFERROR(__xludf.DUMMYFUNCTION("""COMPUTED_VALUE"""),"")</f>
        <v/>
      </c>
      <c r="AC15981" s="16" t="str">
        <f>IFERROR(__xludf.DUMMYFUNCTION("""COMPUTED_VALUE"""),"")</f>
        <v/>
      </c>
    </row>
    <row r="15982">
      <c r="A15982" s="16" t="s">
        <v>87</v>
      </c>
      <c r="E15982" s="16" t="str">
        <f>IFERROR(__xludf.DUMMYFUNCTION("""COMPUTED_VALUE"""),"")</f>
        <v/>
      </c>
      <c r="G15982" s="18"/>
      <c r="H15982" s="16" t="s">
        <v>87</v>
      </c>
      <c r="I15982" s="16" t="s">
        <v>87</v>
      </c>
      <c r="J15982" s="19"/>
      <c r="L15982" s="16" t="str">
        <f>IFERROR(__xludf.DUMMYFUNCTION("""COMPUTED_VALUE"""),"")</f>
        <v/>
      </c>
      <c r="M15982" s="16" t="str">
        <f>IFERROR(__xludf.DUMMYFUNCTION("""COMPUTED_VALUE"""),"")</f>
        <v/>
      </c>
      <c r="U15982" s="16" t="s">
        <v>87</v>
      </c>
      <c r="V15982" s="16" t="str">
        <f>IFERROR(__xludf.DUMMYFUNCTION("""COMPUTED_VALUE"""),"")</f>
        <v/>
      </c>
      <c r="W15982" s="16" t="str">
        <f>IFERROR(__xludf.DUMMYFUNCTION("""COMPUTED_VALUE"""),"")</f>
        <v/>
      </c>
      <c r="X15982" s="16" t="str">
        <f>IFERROR(__xludf.DUMMYFUNCTION("""COMPUTED_VALUE"""),"")</f>
        <v/>
      </c>
      <c r="AC15982" s="16" t="str">
        <f>IFERROR(__xludf.DUMMYFUNCTION("""COMPUTED_VALUE"""),"")</f>
        <v/>
      </c>
    </row>
    <row r="15983">
      <c r="A15983" s="16" t="s">
        <v>87</v>
      </c>
      <c r="E15983" s="16" t="str">
        <f>IFERROR(__xludf.DUMMYFUNCTION("""COMPUTED_VALUE"""),"")</f>
        <v/>
      </c>
      <c r="G15983" s="18"/>
      <c r="H15983" s="16" t="s">
        <v>87</v>
      </c>
      <c r="I15983" s="16" t="s">
        <v>87</v>
      </c>
      <c r="J15983" s="19"/>
      <c r="L15983" s="16" t="str">
        <f>IFERROR(__xludf.DUMMYFUNCTION("""COMPUTED_VALUE"""),"")</f>
        <v/>
      </c>
      <c r="M15983" s="16" t="str">
        <f>IFERROR(__xludf.DUMMYFUNCTION("""COMPUTED_VALUE"""),"")</f>
        <v/>
      </c>
      <c r="U15983" s="16" t="s">
        <v>87</v>
      </c>
      <c r="V15983" s="16" t="str">
        <f>IFERROR(__xludf.DUMMYFUNCTION("""COMPUTED_VALUE"""),"")</f>
        <v/>
      </c>
      <c r="W15983" s="16" t="str">
        <f>IFERROR(__xludf.DUMMYFUNCTION("""COMPUTED_VALUE"""),"")</f>
        <v/>
      </c>
      <c r="X15983" s="16" t="str">
        <f>IFERROR(__xludf.DUMMYFUNCTION("""COMPUTED_VALUE"""),"")</f>
        <v/>
      </c>
      <c r="AC15983" s="16" t="str">
        <f>IFERROR(__xludf.DUMMYFUNCTION("""COMPUTED_VALUE"""),"")</f>
        <v/>
      </c>
    </row>
    <row r="15984">
      <c r="A15984" s="16" t="s">
        <v>87</v>
      </c>
      <c r="E15984" s="16" t="str">
        <f>IFERROR(__xludf.DUMMYFUNCTION("""COMPUTED_VALUE"""),"")</f>
        <v/>
      </c>
      <c r="G15984" s="18"/>
      <c r="H15984" s="16" t="s">
        <v>87</v>
      </c>
      <c r="I15984" s="16" t="s">
        <v>87</v>
      </c>
      <c r="J15984" s="19"/>
      <c r="L15984" s="16" t="str">
        <f>IFERROR(__xludf.DUMMYFUNCTION("""COMPUTED_VALUE"""),"")</f>
        <v/>
      </c>
      <c r="M15984" s="16" t="str">
        <f>IFERROR(__xludf.DUMMYFUNCTION("""COMPUTED_VALUE"""),"")</f>
        <v/>
      </c>
      <c r="U15984" s="16" t="s">
        <v>87</v>
      </c>
      <c r="V15984" s="16" t="str">
        <f>IFERROR(__xludf.DUMMYFUNCTION("""COMPUTED_VALUE"""),"")</f>
        <v/>
      </c>
      <c r="W15984" s="16" t="str">
        <f>IFERROR(__xludf.DUMMYFUNCTION("""COMPUTED_VALUE"""),"")</f>
        <v/>
      </c>
      <c r="X15984" s="16" t="str">
        <f>IFERROR(__xludf.DUMMYFUNCTION("""COMPUTED_VALUE"""),"")</f>
        <v/>
      </c>
      <c r="AC15984" s="16" t="str">
        <f>IFERROR(__xludf.DUMMYFUNCTION("""COMPUTED_VALUE"""),"")</f>
        <v/>
      </c>
    </row>
    <row r="15985">
      <c r="A15985" s="16" t="s">
        <v>87</v>
      </c>
      <c r="E15985" s="16" t="str">
        <f>IFERROR(__xludf.DUMMYFUNCTION("""COMPUTED_VALUE"""),"")</f>
        <v/>
      </c>
      <c r="G15985" s="18"/>
      <c r="H15985" s="16" t="s">
        <v>87</v>
      </c>
      <c r="I15985" s="16" t="s">
        <v>87</v>
      </c>
      <c r="J15985" s="19"/>
      <c r="L15985" s="16" t="str">
        <f>IFERROR(__xludf.DUMMYFUNCTION("""COMPUTED_VALUE"""),"")</f>
        <v/>
      </c>
      <c r="M15985" s="16" t="str">
        <f>IFERROR(__xludf.DUMMYFUNCTION("""COMPUTED_VALUE"""),"")</f>
        <v/>
      </c>
      <c r="U15985" s="16" t="s">
        <v>87</v>
      </c>
      <c r="V15985" s="16" t="str">
        <f>IFERROR(__xludf.DUMMYFUNCTION("""COMPUTED_VALUE"""),"")</f>
        <v/>
      </c>
      <c r="W15985" s="16" t="str">
        <f>IFERROR(__xludf.DUMMYFUNCTION("""COMPUTED_VALUE"""),"")</f>
        <v/>
      </c>
      <c r="X15985" s="16" t="str">
        <f>IFERROR(__xludf.DUMMYFUNCTION("""COMPUTED_VALUE"""),"")</f>
        <v/>
      </c>
      <c r="AC15985" s="16" t="str">
        <f>IFERROR(__xludf.DUMMYFUNCTION("""COMPUTED_VALUE"""),"")</f>
        <v/>
      </c>
    </row>
    <row r="15986">
      <c r="A15986" s="16" t="s">
        <v>87</v>
      </c>
      <c r="E15986" s="16" t="str">
        <f>IFERROR(__xludf.DUMMYFUNCTION("""COMPUTED_VALUE"""),"")</f>
        <v/>
      </c>
      <c r="G15986" s="18"/>
      <c r="H15986" s="16" t="s">
        <v>87</v>
      </c>
      <c r="I15986" s="16" t="s">
        <v>87</v>
      </c>
      <c r="J15986" s="19"/>
      <c r="L15986" s="16" t="str">
        <f>IFERROR(__xludf.DUMMYFUNCTION("""COMPUTED_VALUE"""),"")</f>
        <v/>
      </c>
      <c r="M15986" s="16" t="str">
        <f>IFERROR(__xludf.DUMMYFUNCTION("""COMPUTED_VALUE"""),"")</f>
        <v/>
      </c>
      <c r="U15986" s="16" t="s">
        <v>87</v>
      </c>
      <c r="V15986" s="16" t="str">
        <f>IFERROR(__xludf.DUMMYFUNCTION("""COMPUTED_VALUE"""),"")</f>
        <v/>
      </c>
      <c r="W15986" s="16" t="str">
        <f>IFERROR(__xludf.DUMMYFUNCTION("""COMPUTED_VALUE"""),"")</f>
        <v/>
      </c>
      <c r="X15986" s="16" t="str">
        <f>IFERROR(__xludf.DUMMYFUNCTION("""COMPUTED_VALUE"""),"")</f>
        <v/>
      </c>
      <c r="AC15986" s="16" t="str">
        <f>IFERROR(__xludf.DUMMYFUNCTION("""COMPUTED_VALUE"""),"")</f>
        <v/>
      </c>
    </row>
    <row r="15987">
      <c r="A15987" s="16" t="s">
        <v>87</v>
      </c>
      <c r="E15987" s="16" t="str">
        <f>IFERROR(__xludf.DUMMYFUNCTION("""COMPUTED_VALUE"""),"")</f>
        <v/>
      </c>
      <c r="G15987" s="18"/>
      <c r="H15987" s="16" t="s">
        <v>87</v>
      </c>
      <c r="I15987" s="16" t="s">
        <v>87</v>
      </c>
      <c r="J15987" s="19"/>
      <c r="L15987" s="16" t="str">
        <f>IFERROR(__xludf.DUMMYFUNCTION("""COMPUTED_VALUE"""),"")</f>
        <v/>
      </c>
      <c r="M15987" s="16" t="str">
        <f>IFERROR(__xludf.DUMMYFUNCTION("""COMPUTED_VALUE"""),"")</f>
        <v/>
      </c>
      <c r="U15987" s="16" t="s">
        <v>87</v>
      </c>
      <c r="V15987" s="16" t="str">
        <f>IFERROR(__xludf.DUMMYFUNCTION("""COMPUTED_VALUE"""),"")</f>
        <v/>
      </c>
      <c r="W15987" s="16" t="str">
        <f>IFERROR(__xludf.DUMMYFUNCTION("""COMPUTED_VALUE"""),"")</f>
        <v/>
      </c>
      <c r="X15987" s="16" t="str">
        <f>IFERROR(__xludf.DUMMYFUNCTION("""COMPUTED_VALUE"""),"")</f>
        <v/>
      </c>
      <c r="AC15987" s="16" t="str">
        <f>IFERROR(__xludf.DUMMYFUNCTION("""COMPUTED_VALUE"""),"")</f>
        <v/>
      </c>
    </row>
    <row r="15988">
      <c r="A15988" s="16" t="s">
        <v>87</v>
      </c>
      <c r="E15988" s="16" t="str">
        <f>IFERROR(__xludf.DUMMYFUNCTION("""COMPUTED_VALUE"""),"")</f>
        <v/>
      </c>
      <c r="G15988" s="18"/>
      <c r="H15988" s="16" t="s">
        <v>87</v>
      </c>
      <c r="I15988" s="16" t="s">
        <v>87</v>
      </c>
      <c r="J15988" s="19"/>
      <c r="L15988" s="16" t="str">
        <f>IFERROR(__xludf.DUMMYFUNCTION("""COMPUTED_VALUE"""),"")</f>
        <v/>
      </c>
      <c r="M15988" s="16" t="str">
        <f>IFERROR(__xludf.DUMMYFUNCTION("""COMPUTED_VALUE"""),"")</f>
        <v/>
      </c>
      <c r="U15988" s="16" t="s">
        <v>87</v>
      </c>
      <c r="V15988" s="16" t="str">
        <f>IFERROR(__xludf.DUMMYFUNCTION("""COMPUTED_VALUE"""),"")</f>
        <v/>
      </c>
      <c r="W15988" s="16" t="str">
        <f>IFERROR(__xludf.DUMMYFUNCTION("""COMPUTED_VALUE"""),"")</f>
        <v/>
      </c>
      <c r="X15988" s="16" t="str">
        <f>IFERROR(__xludf.DUMMYFUNCTION("""COMPUTED_VALUE"""),"")</f>
        <v/>
      </c>
      <c r="AC15988" s="16" t="str">
        <f>IFERROR(__xludf.DUMMYFUNCTION("""COMPUTED_VALUE"""),"")</f>
        <v/>
      </c>
    </row>
    <row r="15989">
      <c r="A15989" s="16" t="s">
        <v>87</v>
      </c>
      <c r="E15989" s="16" t="str">
        <f>IFERROR(__xludf.DUMMYFUNCTION("""COMPUTED_VALUE"""),"")</f>
        <v/>
      </c>
      <c r="G15989" s="18"/>
      <c r="H15989" s="16" t="s">
        <v>87</v>
      </c>
      <c r="I15989" s="16" t="s">
        <v>87</v>
      </c>
      <c r="J15989" s="19"/>
      <c r="L15989" s="16" t="str">
        <f>IFERROR(__xludf.DUMMYFUNCTION("""COMPUTED_VALUE"""),"")</f>
        <v/>
      </c>
      <c r="M15989" s="16" t="str">
        <f>IFERROR(__xludf.DUMMYFUNCTION("""COMPUTED_VALUE"""),"")</f>
        <v/>
      </c>
      <c r="U15989" s="16" t="s">
        <v>87</v>
      </c>
      <c r="V15989" s="16" t="str">
        <f>IFERROR(__xludf.DUMMYFUNCTION("""COMPUTED_VALUE"""),"")</f>
        <v/>
      </c>
      <c r="W15989" s="16" t="str">
        <f>IFERROR(__xludf.DUMMYFUNCTION("""COMPUTED_VALUE"""),"")</f>
        <v/>
      </c>
      <c r="X15989" s="16" t="str">
        <f>IFERROR(__xludf.DUMMYFUNCTION("""COMPUTED_VALUE"""),"")</f>
        <v/>
      </c>
      <c r="AC15989" s="16" t="str">
        <f>IFERROR(__xludf.DUMMYFUNCTION("""COMPUTED_VALUE"""),"")</f>
        <v/>
      </c>
    </row>
    <row r="15990">
      <c r="A15990" s="16" t="s">
        <v>87</v>
      </c>
      <c r="E15990" s="16" t="str">
        <f>IFERROR(__xludf.DUMMYFUNCTION("""COMPUTED_VALUE"""),"")</f>
        <v/>
      </c>
      <c r="G15990" s="18"/>
      <c r="H15990" s="16" t="s">
        <v>87</v>
      </c>
      <c r="I15990" s="16" t="s">
        <v>87</v>
      </c>
      <c r="J15990" s="19"/>
      <c r="L15990" s="16" t="str">
        <f>IFERROR(__xludf.DUMMYFUNCTION("""COMPUTED_VALUE"""),"")</f>
        <v/>
      </c>
      <c r="M15990" s="16" t="str">
        <f>IFERROR(__xludf.DUMMYFUNCTION("""COMPUTED_VALUE"""),"")</f>
        <v/>
      </c>
      <c r="U15990" s="16" t="s">
        <v>87</v>
      </c>
      <c r="V15990" s="16" t="str">
        <f>IFERROR(__xludf.DUMMYFUNCTION("""COMPUTED_VALUE"""),"")</f>
        <v/>
      </c>
      <c r="W15990" s="16" t="str">
        <f>IFERROR(__xludf.DUMMYFUNCTION("""COMPUTED_VALUE"""),"")</f>
        <v/>
      </c>
      <c r="X15990" s="16" t="str">
        <f>IFERROR(__xludf.DUMMYFUNCTION("""COMPUTED_VALUE"""),"")</f>
        <v/>
      </c>
      <c r="AC15990" s="16" t="str">
        <f>IFERROR(__xludf.DUMMYFUNCTION("""COMPUTED_VALUE"""),"")</f>
        <v/>
      </c>
    </row>
    <row r="15991">
      <c r="A15991" s="16" t="s">
        <v>87</v>
      </c>
      <c r="E15991" s="16" t="str">
        <f>IFERROR(__xludf.DUMMYFUNCTION("""COMPUTED_VALUE"""),"")</f>
        <v/>
      </c>
      <c r="G15991" s="18"/>
      <c r="H15991" s="16" t="s">
        <v>87</v>
      </c>
      <c r="I15991" s="16" t="s">
        <v>87</v>
      </c>
      <c r="J15991" s="19"/>
      <c r="L15991" s="16" t="str">
        <f>IFERROR(__xludf.DUMMYFUNCTION("""COMPUTED_VALUE"""),"")</f>
        <v/>
      </c>
      <c r="M15991" s="16" t="str">
        <f>IFERROR(__xludf.DUMMYFUNCTION("""COMPUTED_VALUE"""),"")</f>
        <v/>
      </c>
      <c r="U15991" s="16" t="s">
        <v>87</v>
      </c>
      <c r="V15991" s="16" t="str">
        <f>IFERROR(__xludf.DUMMYFUNCTION("""COMPUTED_VALUE"""),"")</f>
        <v/>
      </c>
      <c r="W15991" s="16" t="str">
        <f>IFERROR(__xludf.DUMMYFUNCTION("""COMPUTED_VALUE"""),"")</f>
        <v/>
      </c>
      <c r="X15991" s="16" t="str">
        <f>IFERROR(__xludf.DUMMYFUNCTION("""COMPUTED_VALUE"""),"")</f>
        <v/>
      </c>
      <c r="AC15991" s="16" t="str">
        <f>IFERROR(__xludf.DUMMYFUNCTION("""COMPUTED_VALUE"""),"")</f>
        <v/>
      </c>
    </row>
    <row r="15992">
      <c r="A15992" s="16" t="s">
        <v>87</v>
      </c>
      <c r="E15992" s="16" t="str">
        <f>IFERROR(__xludf.DUMMYFUNCTION("""COMPUTED_VALUE"""),"")</f>
        <v/>
      </c>
      <c r="G15992" s="18"/>
      <c r="H15992" s="16" t="s">
        <v>87</v>
      </c>
      <c r="I15992" s="16" t="s">
        <v>87</v>
      </c>
      <c r="J15992" s="19"/>
      <c r="L15992" s="16" t="str">
        <f>IFERROR(__xludf.DUMMYFUNCTION("""COMPUTED_VALUE"""),"")</f>
        <v/>
      </c>
      <c r="M15992" s="16" t="str">
        <f>IFERROR(__xludf.DUMMYFUNCTION("""COMPUTED_VALUE"""),"")</f>
        <v/>
      </c>
      <c r="U15992" s="16" t="s">
        <v>87</v>
      </c>
      <c r="V15992" s="16" t="str">
        <f>IFERROR(__xludf.DUMMYFUNCTION("""COMPUTED_VALUE"""),"")</f>
        <v/>
      </c>
      <c r="W15992" s="16" t="str">
        <f>IFERROR(__xludf.DUMMYFUNCTION("""COMPUTED_VALUE"""),"")</f>
        <v/>
      </c>
      <c r="X15992" s="16" t="str">
        <f>IFERROR(__xludf.DUMMYFUNCTION("""COMPUTED_VALUE"""),"")</f>
        <v/>
      </c>
      <c r="AC15992" s="16" t="str">
        <f>IFERROR(__xludf.DUMMYFUNCTION("""COMPUTED_VALUE"""),"")</f>
        <v/>
      </c>
    </row>
    <row r="15993">
      <c r="A15993" s="16" t="s">
        <v>87</v>
      </c>
      <c r="E15993" s="16" t="str">
        <f>IFERROR(__xludf.DUMMYFUNCTION("""COMPUTED_VALUE"""),"")</f>
        <v/>
      </c>
      <c r="G15993" s="18"/>
      <c r="H15993" s="16" t="s">
        <v>87</v>
      </c>
      <c r="I15993" s="16" t="s">
        <v>87</v>
      </c>
      <c r="J15993" s="19"/>
      <c r="L15993" s="16" t="str">
        <f>IFERROR(__xludf.DUMMYFUNCTION("""COMPUTED_VALUE"""),"")</f>
        <v/>
      </c>
      <c r="M15993" s="16" t="str">
        <f>IFERROR(__xludf.DUMMYFUNCTION("""COMPUTED_VALUE"""),"")</f>
        <v/>
      </c>
      <c r="U15993" s="16" t="s">
        <v>87</v>
      </c>
      <c r="V15993" s="16" t="str">
        <f>IFERROR(__xludf.DUMMYFUNCTION("""COMPUTED_VALUE"""),"")</f>
        <v/>
      </c>
      <c r="W15993" s="16" t="str">
        <f>IFERROR(__xludf.DUMMYFUNCTION("""COMPUTED_VALUE"""),"")</f>
        <v/>
      </c>
      <c r="X15993" s="16" t="str">
        <f>IFERROR(__xludf.DUMMYFUNCTION("""COMPUTED_VALUE"""),"")</f>
        <v/>
      </c>
      <c r="AC15993" s="16" t="str">
        <f>IFERROR(__xludf.DUMMYFUNCTION("""COMPUTED_VALUE"""),"")</f>
        <v/>
      </c>
    </row>
    <row r="15994">
      <c r="A15994" s="16" t="s">
        <v>87</v>
      </c>
      <c r="E15994" s="16" t="str">
        <f>IFERROR(__xludf.DUMMYFUNCTION("""COMPUTED_VALUE"""),"")</f>
        <v/>
      </c>
      <c r="G15994" s="18"/>
      <c r="H15994" s="16" t="s">
        <v>87</v>
      </c>
      <c r="I15994" s="16" t="s">
        <v>87</v>
      </c>
      <c r="J15994" s="19"/>
      <c r="L15994" s="16" t="str">
        <f>IFERROR(__xludf.DUMMYFUNCTION("""COMPUTED_VALUE"""),"")</f>
        <v/>
      </c>
      <c r="M15994" s="16" t="str">
        <f>IFERROR(__xludf.DUMMYFUNCTION("""COMPUTED_VALUE"""),"")</f>
        <v/>
      </c>
      <c r="U15994" s="16" t="s">
        <v>87</v>
      </c>
      <c r="V15994" s="16" t="str">
        <f>IFERROR(__xludf.DUMMYFUNCTION("""COMPUTED_VALUE"""),"")</f>
        <v/>
      </c>
      <c r="W15994" s="16" t="str">
        <f>IFERROR(__xludf.DUMMYFUNCTION("""COMPUTED_VALUE"""),"")</f>
        <v/>
      </c>
      <c r="X15994" s="16" t="str">
        <f>IFERROR(__xludf.DUMMYFUNCTION("""COMPUTED_VALUE"""),"")</f>
        <v/>
      </c>
      <c r="AC15994" s="16" t="str">
        <f>IFERROR(__xludf.DUMMYFUNCTION("""COMPUTED_VALUE"""),"")</f>
        <v/>
      </c>
    </row>
    <row r="15995">
      <c r="A15995" s="16" t="s">
        <v>87</v>
      </c>
      <c r="E15995" s="16" t="str">
        <f>IFERROR(__xludf.DUMMYFUNCTION("""COMPUTED_VALUE"""),"")</f>
        <v/>
      </c>
      <c r="G15995" s="18"/>
      <c r="H15995" s="16" t="s">
        <v>87</v>
      </c>
      <c r="I15995" s="16" t="s">
        <v>87</v>
      </c>
      <c r="J15995" s="19"/>
      <c r="L15995" s="16" t="str">
        <f>IFERROR(__xludf.DUMMYFUNCTION("""COMPUTED_VALUE"""),"")</f>
        <v/>
      </c>
      <c r="M15995" s="16" t="str">
        <f>IFERROR(__xludf.DUMMYFUNCTION("""COMPUTED_VALUE"""),"")</f>
        <v/>
      </c>
      <c r="U15995" s="16" t="s">
        <v>87</v>
      </c>
      <c r="V15995" s="16" t="str">
        <f>IFERROR(__xludf.DUMMYFUNCTION("""COMPUTED_VALUE"""),"")</f>
        <v/>
      </c>
      <c r="W15995" s="16" t="str">
        <f>IFERROR(__xludf.DUMMYFUNCTION("""COMPUTED_VALUE"""),"")</f>
        <v/>
      </c>
      <c r="X15995" s="16" t="str">
        <f>IFERROR(__xludf.DUMMYFUNCTION("""COMPUTED_VALUE"""),"")</f>
        <v/>
      </c>
      <c r="AC15995" s="16" t="str">
        <f>IFERROR(__xludf.DUMMYFUNCTION("""COMPUTED_VALUE"""),"")</f>
        <v/>
      </c>
    </row>
    <row r="15996">
      <c r="A15996" s="16" t="s">
        <v>87</v>
      </c>
      <c r="E15996" s="16" t="str">
        <f>IFERROR(__xludf.DUMMYFUNCTION("""COMPUTED_VALUE"""),"")</f>
        <v/>
      </c>
      <c r="G15996" s="18"/>
      <c r="H15996" s="16" t="s">
        <v>87</v>
      </c>
      <c r="I15996" s="16" t="s">
        <v>87</v>
      </c>
      <c r="J15996" s="19"/>
      <c r="L15996" s="16" t="str">
        <f>IFERROR(__xludf.DUMMYFUNCTION("""COMPUTED_VALUE"""),"")</f>
        <v/>
      </c>
      <c r="M15996" s="16" t="str">
        <f>IFERROR(__xludf.DUMMYFUNCTION("""COMPUTED_VALUE"""),"")</f>
        <v/>
      </c>
      <c r="U15996" s="16" t="s">
        <v>87</v>
      </c>
      <c r="V15996" s="16" t="str">
        <f>IFERROR(__xludf.DUMMYFUNCTION("""COMPUTED_VALUE"""),"")</f>
        <v/>
      </c>
      <c r="W15996" s="16" t="str">
        <f>IFERROR(__xludf.DUMMYFUNCTION("""COMPUTED_VALUE"""),"")</f>
        <v/>
      </c>
      <c r="X15996" s="16" t="str">
        <f>IFERROR(__xludf.DUMMYFUNCTION("""COMPUTED_VALUE"""),"")</f>
        <v/>
      </c>
      <c r="AC15996" s="16" t="str">
        <f>IFERROR(__xludf.DUMMYFUNCTION("""COMPUTED_VALUE"""),"")</f>
        <v/>
      </c>
    </row>
    <row r="15997">
      <c r="A15997" s="16" t="s">
        <v>87</v>
      </c>
      <c r="E15997" s="16" t="str">
        <f>IFERROR(__xludf.DUMMYFUNCTION("""COMPUTED_VALUE"""),"")</f>
        <v/>
      </c>
      <c r="G15997" s="18"/>
      <c r="H15997" s="16" t="s">
        <v>87</v>
      </c>
      <c r="I15997" s="16" t="s">
        <v>87</v>
      </c>
      <c r="J15997" s="19"/>
      <c r="L15997" s="16" t="str">
        <f>IFERROR(__xludf.DUMMYFUNCTION("""COMPUTED_VALUE"""),"")</f>
        <v/>
      </c>
      <c r="M15997" s="16" t="str">
        <f>IFERROR(__xludf.DUMMYFUNCTION("""COMPUTED_VALUE"""),"")</f>
        <v/>
      </c>
      <c r="U15997" s="16" t="s">
        <v>87</v>
      </c>
      <c r="V15997" s="16" t="str">
        <f>IFERROR(__xludf.DUMMYFUNCTION("""COMPUTED_VALUE"""),"")</f>
        <v/>
      </c>
      <c r="W15997" s="16" t="str">
        <f>IFERROR(__xludf.DUMMYFUNCTION("""COMPUTED_VALUE"""),"")</f>
        <v/>
      </c>
      <c r="X15997" s="16" t="str">
        <f>IFERROR(__xludf.DUMMYFUNCTION("""COMPUTED_VALUE"""),"")</f>
        <v/>
      </c>
      <c r="AC15997" s="16" t="str">
        <f>IFERROR(__xludf.DUMMYFUNCTION("""COMPUTED_VALUE"""),"")</f>
        <v/>
      </c>
    </row>
    <row r="15998">
      <c r="A15998" s="16" t="s">
        <v>87</v>
      </c>
      <c r="E15998" s="16" t="str">
        <f>IFERROR(__xludf.DUMMYFUNCTION("""COMPUTED_VALUE"""),"")</f>
        <v/>
      </c>
      <c r="G15998" s="18"/>
      <c r="H15998" s="16" t="s">
        <v>87</v>
      </c>
      <c r="I15998" s="16" t="s">
        <v>87</v>
      </c>
      <c r="J15998" s="19"/>
      <c r="L15998" s="16" t="str">
        <f>IFERROR(__xludf.DUMMYFUNCTION("""COMPUTED_VALUE"""),"")</f>
        <v/>
      </c>
      <c r="M15998" s="16" t="str">
        <f>IFERROR(__xludf.DUMMYFUNCTION("""COMPUTED_VALUE"""),"")</f>
        <v/>
      </c>
      <c r="U15998" s="16" t="s">
        <v>87</v>
      </c>
      <c r="V15998" s="16" t="str">
        <f>IFERROR(__xludf.DUMMYFUNCTION("""COMPUTED_VALUE"""),"")</f>
        <v/>
      </c>
      <c r="W15998" s="16" t="str">
        <f>IFERROR(__xludf.DUMMYFUNCTION("""COMPUTED_VALUE"""),"")</f>
        <v/>
      </c>
      <c r="X15998" s="16" t="str">
        <f>IFERROR(__xludf.DUMMYFUNCTION("""COMPUTED_VALUE"""),"")</f>
        <v/>
      </c>
      <c r="AC15998" s="16" t="str">
        <f>IFERROR(__xludf.DUMMYFUNCTION("""COMPUTED_VALUE"""),"")</f>
        <v/>
      </c>
    </row>
    <row r="15999">
      <c r="A15999" s="16" t="s">
        <v>87</v>
      </c>
      <c r="E15999" s="16" t="str">
        <f>IFERROR(__xludf.DUMMYFUNCTION("""COMPUTED_VALUE"""),"")</f>
        <v/>
      </c>
      <c r="G15999" s="18"/>
      <c r="H15999" s="16" t="s">
        <v>87</v>
      </c>
      <c r="I15999" s="16" t="s">
        <v>87</v>
      </c>
      <c r="J15999" s="19"/>
      <c r="L15999" s="16" t="str">
        <f>IFERROR(__xludf.DUMMYFUNCTION("""COMPUTED_VALUE"""),"")</f>
        <v/>
      </c>
      <c r="M15999" s="16" t="str">
        <f>IFERROR(__xludf.DUMMYFUNCTION("""COMPUTED_VALUE"""),"")</f>
        <v/>
      </c>
      <c r="U15999" s="16" t="s">
        <v>87</v>
      </c>
      <c r="V15999" s="16" t="str">
        <f>IFERROR(__xludf.DUMMYFUNCTION("""COMPUTED_VALUE"""),"")</f>
        <v/>
      </c>
      <c r="W15999" s="16" t="str">
        <f>IFERROR(__xludf.DUMMYFUNCTION("""COMPUTED_VALUE"""),"")</f>
        <v/>
      </c>
      <c r="X15999" s="16" t="str">
        <f>IFERROR(__xludf.DUMMYFUNCTION("""COMPUTED_VALUE"""),"")</f>
        <v/>
      </c>
      <c r="AC15999" s="16" t="str">
        <f>IFERROR(__xludf.DUMMYFUNCTION("""COMPUTED_VALUE"""),"")</f>
        <v/>
      </c>
    </row>
    <row r="16000">
      <c r="A16000" s="16" t="s">
        <v>87</v>
      </c>
      <c r="E16000" s="16" t="str">
        <f>IFERROR(__xludf.DUMMYFUNCTION("""COMPUTED_VALUE"""),"")</f>
        <v/>
      </c>
      <c r="G16000" s="18"/>
      <c r="H16000" s="16" t="s">
        <v>87</v>
      </c>
      <c r="I16000" s="16" t="s">
        <v>87</v>
      </c>
      <c r="J16000" s="19"/>
      <c r="L16000" s="16" t="str">
        <f>IFERROR(__xludf.DUMMYFUNCTION("""COMPUTED_VALUE"""),"")</f>
        <v/>
      </c>
      <c r="M16000" s="16" t="str">
        <f>IFERROR(__xludf.DUMMYFUNCTION("""COMPUTED_VALUE"""),"")</f>
        <v/>
      </c>
      <c r="U16000" s="16" t="s">
        <v>87</v>
      </c>
      <c r="V16000" s="16" t="str">
        <f>IFERROR(__xludf.DUMMYFUNCTION("""COMPUTED_VALUE"""),"")</f>
        <v/>
      </c>
      <c r="W16000" s="16" t="str">
        <f>IFERROR(__xludf.DUMMYFUNCTION("""COMPUTED_VALUE"""),"")</f>
        <v/>
      </c>
      <c r="X16000" s="16" t="str">
        <f>IFERROR(__xludf.DUMMYFUNCTION("""COMPUTED_VALUE"""),"")</f>
        <v/>
      </c>
      <c r="AC16000" s="16" t="str">
        <f>IFERROR(__xludf.DUMMYFUNCTION("""COMPUTED_VALUE"""),"")</f>
        <v/>
      </c>
    </row>
    <row r="16001">
      <c r="A16001" s="16" t="s">
        <v>87</v>
      </c>
      <c r="E16001" s="16" t="str">
        <f>IFERROR(__xludf.DUMMYFUNCTION("""COMPUTED_VALUE"""),"")</f>
        <v/>
      </c>
      <c r="G16001" s="18"/>
      <c r="H16001" s="16" t="s">
        <v>87</v>
      </c>
      <c r="I16001" s="16" t="s">
        <v>87</v>
      </c>
      <c r="J16001" s="19"/>
      <c r="L16001" s="16" t="str">
        <f>IFERROR(__xludf.DUMMYFUNCTION("""COMPUTED_VALUE"""),"")</f>
        <v/>
      </c>
      <c r="M16001" s="16" t="str">
        <f>IFERROR(__xludf.DUMMYFUNCTION("""COMPUTED_VALUE"""),"")</f>
        <v/>
      </c>
      <c r="U16001" s="16" t="s">
        <v>87</v>
      </c>
      <c r="V16001" s="16" t="str">
        <f>IFERROR(__xludf.DUMMYFUNCTION("""COMPUTED_VALUE"""),"")</f>
        <v/>
      </c>
      <c r="W16001" s="16" t="str">
        <f>IFERROR(__xludf.DUMMYFUNCTION("""COMPUTED_VALUE"""),"")</f>
        <v/>
      </c>
      <c r="X16001" s="16" t="str">
        <f>IFERROR(__xludf.DUMMYFUNCTION("""COMPUTED_VALUE"""),"")</f>
        <v/>
      </c>
      <c r="AC16001" s="16" t="str">
        <f>IFERROR(__xludf.DUMMYFUNCTION("""COMPUTED_VALUE"""),"")</f>
        <v/>
      </c>
    </row>
    <row r="16002">
      <c r="A16002" s="16" t="s">
        <v>87</v>
      </c>
      <c r="E16002" s="16" t="str">
        <f>IFERROR(__xludf.DUMMYFUNCTION("""COMPUTED_VALUE"""),"")</f>
        <v/>
      </c>
      <c r="G16002" s="18"/>
      <c r="H16002" s="16" t="s">
        <v>87</v>
      </c>
      <c r="I16002" s="16" t="s">
        <v>87</v>
      </c>
      <c r="J16002" s="19"/>
      <c r="L16002" s="16" t="str">
        <f>IFERROR(__xludf.DUMMYFUNCTION("""COMPUTED_VALUE"""),"")</f>
        <v/>
      </c>
      <c r="M16002" s="16" t="str">
        <f>IFERROR(__xludf.DUMMYFUNCTION("""COMPUTED_VALUE"""),"")</f>
        <v/>
      </c>
      <c r="U16002" s="16" t="s">
        <v>87</v>
      </c>
      <c r="V16002" s="16" t="str">
        <f>IFERROR(__xludf.DUMMYFUNCTION("""COMPUTED_VALUE"""),"")</f>
        <v/>
      </c>
      <c r="W16002" s="16" t="str">
        <f>IFERROR(__xludf.DUMMYFUNCTION("""COMPUTED_VALUE"""),"")</f>
        <v/>
      </c>
      <c r="X16002" s="16" t="str">
        <f>IFERROR(__xludf.DUMMYFUNCTION("""COMPUTED_VALUE"""),"")</f>
        <v/>
      </c>
      <c r="AC16002" s="16" t="str">
        <f>IFERROR(__xludf.DUMMYFUNCTION("""COMPUTED_VALUE"""),"")</f>
        <v/>
      </c>
    </row>
    <row r="16003">
      <c r="A16003" s="16" t="s">
        <v>87</v>
      </c>
      <c r="E16003" s="16" t="str">
        <f>IFERROR(__xludf.DUMMYFUNCTION("""COMPUTED_VALUE"""),"")</f>
        <v/>
      </c>
      <c r="G16003" s="18"/>
      <c r="H16003" s="16" t="s">
        <v>87</v>
      </c>
      <c r="I16003" s="16" t="s">
        <v>87</v>
      </c>
      <c r="J16003" s="19"/>
      <c r="L16003" s="16" t="str">
        <f>IFERROR(__xludf.DUMMYFUNCTION("""COMPUTED_VALUE"""),"")</f>
        <v/>
      </c>
      <c r="M16003" s="16" t="str">
        <f>IFERROR(__xludf.DUMMYFUNCTION("""COMPUTED_VALUE"""),"")</f>
        <v/>
      </c>
      <c r="U16003" s="16" t="s">
        <v>87</v>
      </c>
      <c r="V16003" s="16" t="str">
        <f>IFERROR(__xludf.DUMMYFUNCTION("""COMPUTED_VALUE"""),"")</f>
        <v/>
      </c>
      <c r="W16003" s="16" t="str">
        <f>IFERROR(__xludf.DUMMYFUNCTION("""COMPUTED_VALUE"""),"")</f>
        <v/>
      </c>
      <c r="X16003" s="16" t="str">
        <f>IFERROR(__xludf.DUMMYFUNCTION("""COMPUTED_VALUE"""),"")</f>
        <v/>
      </c>
      <c r="AC16003" s="16" t="str">
        <f>IFERROR(__xludf.DUMMYFUNCTION("""COMPUTED_VALUE"""),"")</f>
        <v/>
      </c>
    </row>
    <row r="16004">
      <c r="A16004" s="16" t="s">
        <v>87</v>
      </c>
      <c r="E16004" s="16" t="str">
        <f>IFERROR(__xludf.DUMMYFUNCTION("""COMPUTED_VALUE"""),"")</f>
        <v/>
      </c>
      <c r="G16004" s="18"/>
      <c r="H16004" s="16" t="s">
        <v>87</v>
      </c>
      <c r="I16004" s="16" t="s">
        <v>87</v>
      </c>
      <c r="J16004" s="19"/>
      <c r="L16004" s="16" t="str">
        <f>IFERROR(__xludf.DUMMYFUNCTION("""COMPUTED_VALUE"""),"")</f>
        <v/>
      </c>
      <c r="M16004" s="16" t="str">
        <f>IFERROR(__xludf.DUMMYFUNCTION("""COMPUTED_VALUE"""),"")</f>
        <v/>
      </c>
      <c r="U16004" s="16" t="s">
        <v>87</v>
      </c>
      <c r="V16004" s="16" t="str">
        <f>IFERROR(__xludf.DUMMYFUNCTION("""COMPUTED_VALUE"""),"")</f>
        <v/>
      </c>
      <c r="W16004" s="16" t="str">
        <f>IFERROR(__xludf.DUMMYFUNCTION("""COMPUTED_VALUE"""),"")</f>
        <v/>
      </c>
      <c r="X16004" s="16" t="str">
        <f>IFERROR(__xludf.DUMMYFUNCTION("""COMPUTED_VALUE"""),"")</f>
        <v/>
      </c>
      <c r="AC16004" s="16" t="str">
        <f>IFERROR(__xludf.DUMMYFUNCTION("""COMPUTED_VALUE"""),"")</f>
        <v/>
      </c>
    </row>
    <row r="16005">
      <c r="A16005" s="16" t="s">
        <v>87</v>
      </c>
      <c r="E16005" s="16" t="str">
        <f>IFERROR(__xludf.DUMMYFUNCTION("""COMPUTED_VALUE"""),"")</f>
        <v/>
      </c>
      <c r="G16005" s="18"/>
      <c r="H16005" s="16" t="s">
        <v>87</v>
      </c>
      <c r="I16005" s="16" t="s">
        <v>87</v>
      </c>
      <c r="J16005" s="19"/>
      <c r="L16005" s="16" t="str">
        <f>IFERROR(__xludf.DUMMYFUNCTION("""COMPUTED_VALUE"""),"")</f>
        <v/>
      </c>
      <c r="M16005" s="16" t="str">
        <f>IFERROR(__xludf.DUMMYFUNCTION("""COMPUTED_VALUE"""),"")</f>
        <v/>
      </c>
      <c r="U16005" s="16" t="s">
        <v>87</v>
      </c>
      <c r="V16005" s="16" t="str">
        <f>IFERROR(__xludf.DUMMYFUNCTION("""COMPUTED_VALUE"""),"")</f>
        <v/>
      </c>
      <c r="W16005" s="16" t="str">
        <f>IFERROR(__xludf.DUMMYFUNCTION("""COMPUTED_VALUE"""),"")</f>
        <v/>
      </c>
      <c r="X16005" s="16" t="str">
        <f>IFERROR(__xludf.DUMMYFUNCTION("""COMPUTED_VALUE"""),"")</f>
        <v/>
      </c>
      <c r="AC16005" s="16" t="str">
        <f>IFERROR(__xludf.DUMMYFUNCTION("""COMPUTED_VALUE"""),"")</f>
        <v/>
      </c>
    </row>
    <row r="16006">
      <c r="A16006" s="16" t="s">
        <v>87</v>
      </c>
      <c r="E16006" s="16" t="str">
        <f>IFERROR(__xludf.DUMMYFUNCTION("""COMPUTED_VALUE"""),"")</f>
        <v/>
      </c>
      <c r="G16006" s="18"/>
      <c r="H16006" s="16" t="s">
        <v>87</v>
      </c>
      <c r="I16006" s="16" t="s">
        <v>87</v>
      </c>
      <c r="J16006" s="19"/>
      <c r="L16006" s="16" t="str">
        <f>IFERROR(__xludf.DUMMYFUNCTION("""COMPUTED_VALUE"""),"")</f>
        <v/>
      </c>
      <c r="M16006" s="16" t="str">
        <f>IFERROR(__xludf.DUMMYFUNCTION("""COMPUTED_VALUE"""),"")</f>
        <v/>
      </c>
      <c r="U16006" s="16" t="s">
        <v>87</v>
      </c>
      <c r="V16006" s="16" t="str">
        <f>IFERROR(__xludf.DUMMYFUNCTION("""COMPUTED_VALUE"""),"")</f>
        <v/>
      </c>
      <c r="W16006" s="16" t="str">
        <f>IFERROR(__xludf.DUMMYFUNCTION("""COMPUTED_VALUE"""),"")</f>
        <v/>
      </c>
      <c r="X16006" s="16" t="str">
        <f>IFERROR(__xludf.DUMMYFUNCTION("""COMPUTED_VALUE"""),"")</f>
        <v/>
      </c>
      <c r="AC16006" s="16" t="str">
        <f>IFERROR(__xludf.DUMMYFUNCTION("""COMPUTED_VALUE"""),"")</f>
        <v/>
      </c>
    </row>
    <row r="16007">
      <c r="A16007" s="16" t="s">
        <v>87</v>
      </c>
      <c r="E16007" s="16" t="str">
        <f>IFERROR(__xludf.DUMMYFUNCTION("""COMPUTED_VALUE"""),"")</f>
        <v/>
      </c>
      <c r="G16007" s="18"/>
      <c r="H16007" s="16" t="s">
        <v>87</v>
      </c>
      <c r="I16007" s="16" t="s">
        <v>87</v>
      </c>
      <c r="J16007" s="19"/>
      <c r="L16007" s="16" t="str">
        <f>IFERROR(__xludf.DUMMYFUNCTION("""COMPUTED_VALUE"""),"")</f>
        <v/>
      </c>
      <c r="M16007" s="16" t="str">
        <f>IFERROR(__xludf.DUMMYFUNCTION("""COMPUTED_VALUE"""),"")</f>
        <v/>
      </c>
      <c r="U16007" s="16" t="s">
        <v>87</v>
      </c>
      <c r="V16007" s="16" t="str">
        <f>IFERROR(__xludf.DUMMYFUNCTION("""COMPUTED_VALUE"""),"")</f>
        <v/>
      </c>
      <c r="W16007" s="16" t="str">
        <f>IFERROR(__xludf.DUMMYFUNCTION("""COMPUTED_VALUE"""),"")</f>
        <v/>
      </c>
      <c r="X16007" s="16" t="str">
        <f>IFERROR(__xludf.DUMMYFUNCTION("""COMPUTED_VALUE"""),"")</f>
        <v/>
      </c>
      <c r="AC16007" s="16" t="str">
        <f>IFERROR(__xludf.DUMMYFUNCTION("""COMPUTED_VALUE"""),"")</f>
        <v/>
      </c>
    </row>
    <row r="16008">
      <c r="A16008" s="16" t="s">
        <v>87</v>
      </c>
      <c r="E16008" s="16" t="str">
        <f>IFERROR(__xludf.DUMMYFUNCTION("""COMPUTED_VALUE"""),"")</f>
        <v/>
      </c>
      <c r="G16008" s="18"/>
      <c r="H16008" s="16" t="s">
        <v>87</v>
      </c>
      <c r="I16008" s="16" t="s">
        <v>87</v>
      </c>
      <c r="J16008" s="19"/>
      <c r="L16008" s="16" t="str">
        <f>IFERROR(__xludf.DUMMYFUNCTION("""COMPUTED_VALUE"""),"")</f>
        <v/>
      </c>
      <c r="M16008" s="16" t="str">
        <f>IFERROR(__xludf.DUMMYFUNCTION("""COMPUTED_VALUE"""),"")</f>
        <v/>
      </c>
      <c r="U16008" s="16" t="s">
        <v>87</v>
      </c>
      <c r="V16008" s="16" t="str">
        <f>IFERROR(__xludf.DUMMYFUNCTION("""COMPUTED_VALUE"""),"")</f>
        <v/>
      </c>
      <c r="W16008" s="16" t="str">
        <f>IFERROR(__xludf.DUMMYFUNCTION("""COMPUTED_VALUE"""),"")</f>
        <v/>
      </c>
      <c r="X16008" s="16" t="str">
        <f>IFERROR(__xludf.DUMMYFUNCTION("""COMPUTED_VALUE"""),"")</f>
        <v/>
      </c>
      <c r="AC16008" s="16" t="str">
        <f>IFERROR(__xludf.DUMMYFUNCTION("""COMPUTED_VALUE"""),"")</f>
        <v/>
      </c>
    </row>
    <row r="16009">
      <c r="A16009" s="16" t="s">
        <v>87</v>
      </c>
      <c r="E16009" s="16" t="str">
        <f>IFERROR(__xludf.DUMMYFUNCTION("""COMPUTED_VALUE"""),"")</f>
        <v/>
      </c>
      <c r="G16009" s="18"/>
      <c r="H16009" s="16" t="s">
        <v>87</v>
      </c>
      <c r="I16009" s="16" t="s">
        <v>87</v>
      </c>
      <c r="J16009" s="19"/>
      <c r="L16009" s="16" t="str">
        <f>IFERROR(__xludf.DUMMYFUNCTION("""COMPUTED_VALUE"""),"")</f>
        <v/>
      </c>
      <c r="M16009" s="16" t="str">
        <f>IFERROR(__xludf.DUMMYFUNCTION("""COMPUTED_VALUE"""),"")</f>
        <v/>
      </c>
      <c r="U16009" s="16" t="s">
        <v>87</v>
      </c>
      <c r="V16009" s="16" t="str">
        <f>IFERROR(__xludf.DUMMYFUNCTION("""COMPUTED_VALUE"""),"")</f>
        <v/>
      </c>
      <c r="W16009" s="16" t="str">
        <f>IFERROR(__xludf.DUMMYFUNCTION("""COMPUTED_VALUE"""),"")</f>
        <v/>
      </c>
      <c r="X16009" s="16" t="str">
        <f>IFERROR(__xludf.DUMMYFUNCTION("""COMPUTED_VALUE"""),"")</f>
        <v/>
      </c>
      <c r="AC16009" s="16" t="str">
        <f>IFERROR(__xludf.DUMMYFUNCTION("""COMPUTED_VALUE"""),"")</f>
        <v/>
      </c>
    </row>
    <row r="16010">
      <c r="A16010" s="16" t="s">
        <v>87</v>
      </c>
      <c r="E16010" s="16" t="str">
        <f>IFERROR(__xludf.DUMMYFUNCTION("""COMPUTED_VALUE"""),"")</f>
        <v/>
      </c>
      <c r="G16010" s="18"/>
      <c r="H16010" s="16" t="s">
        <v>87</v>
      </c>
      <c r="I16010" s="16" t="s">
        <v>87</v>
      </c>
      <c r="J16010" s="19"/>
      <c r="L16010" s="16" t="str">
        <f>IFERROR(__xludf.DUMMYFUNCTION("""COMPUTED_VALUE"""),"")</f>
        <v/>
      </c>
      <c r="M16010" s="16" t="str">
        <f>IFERROR(__xludf.DUMMYFUNCTION("""COMPUTED_VALUE"""),"")</f>
        <v/>
      </c>
      <c r="U16010" s="16" t="s">
        <v>87</v>
      </c>
      <c r="V16010" s="16" t="str">
        <f>IFERROR(__xludf.DUMMYFUNCTION("""COMPUTED_VALUE"""),"")</f>
        <v/>
      </c>
      <c r="W16010" s="16" t="str">
        <f>IFERROR(__xludf.DUMMYFUNCTION("""COMPUTED_VALUE"""),"")</f>
        <v/>
      </c>
      <c r="X16010" s="16" t="str">
        <f>IFERROR(__xludf.DUMMYFUNCTION("""COMPUTED_VALUE"""),"")</f>
        <v/>
      </c>
      <c r="AC16010" s="16" t="str">
        <f>IFERROR(__xludf.DUMMYFUNCTION("""COMPUTED_VALUE"""),"")</f>
        <v/>
      </c>
    </row>
    <row r="16011">
      <c r="A16011" s="16" t="s">
        <v>87</v>
      </c>
      <c r="E16011" s="16" t="str">
        <f>IFERROR(__xludf.DUMMYFUNCTION("""COMPUTED_VALUE"""),"")</f>
        <v/>
      </c>
      <c r="G16011" s="18"/>
      <c r="H16011" s="16" t="s">
        <v>87</v>
      </c>
      <c r="I16011" s="16" t="s">
        <v>87</v>
      </c>
      <c r="J16011" s="19"/>
      <c r="L16011" s="16" t="str">
        <f>IFERROR(__xludf.DUMMYFUNCTION("""COMPUTED_VALUE"""),"")</f>
        <v/>
      </c>
      <c r="M16011" s="16" t="str">
        <f>IFERROR(__xludf.DUMMYFUNCTION("""COMPUTED_VALUE"""),"")</f>
        <v/>
      </c>
      <c r="U16011" s="16" t="s">
        <v>87</v>
      </c>
      <c r="V16011" s="16" t="str">
        <f>IFERROR(__xludf.DUMMYFUNCTION("""COMPUTED_VALUE"""),"")</f>
        <v/>
      </c>
      <c r="W16011" s="16" t="str">
        <f>IFERROR(__xludf.DUMMYFUNCTION("""COMPUTED_VALUE"""),"")</f>
        <v/>
      </c>
      <c r="X16011" s="16" t="str">
        <f>IFERROR(__xludf.DUMMYFUNCTION("""COMPUTED_VALUE"""),"")</f>
        <v/>
      </c>
      <c r="AC16011" s="16" t="str">
        <f>IFERROR(__xludf.DUMMYFUNCTION("""COMPUTED_VALUE"""),"")</f>
        <v/>
      </c>
    </row>
    <row r="16012">
      <c r="A16012" s="16" t="s">
        <v>87</v>
      </c>
      <c r="E16012" s="16" t="str">
        <f>IFERROR(__xludf.DUMMYFUNCTION("""COMPUTED_VALUE"""),"")</f>
        <v/>
      </c>
      <c r="G16012" s="18"/>
      <c r="H16012" s="16" t="s">
        <v>87</v>
      </c>
      <c r="I16012" s="16" t="s">
        <v>87</v>
      </c>
      <c r="J16012" s="19"/>
      <c r="L16012" s="16" t="str">
        <f>IFERROR(__xludf.DUMMYFUNCTION("""COMPUTED_VALUE"""),"")</f>
        <v/>
      </c>
      <c r="M16012" s="16" t="str">
        <f>IFERROR(__xludf.DUMMYFUNCTION("""COMPUTED_VALUE"""),"")</f>
        <v/>
      </c>
      <c r="U16012" s="16" t="s">
        <v>87</v>
      </c>
      <c r="V16012" s="16" t="str">
        <f>IFERROR(__xludf.DUMMYFUNCTION("""COMPUTED_VALUE"""),"")</f>
        <v/>
      </c>
      <c r="W16012" s="16" t="str">
        <f>IFERROR(__xludf.DUMMYFUNCTION("""COMPUTED_VALUE"""),"")</f>
        <v/>
      </c>
      <c r="X16012" s="16" t="str">
        <f>IFERROR(__xludf.DUMMYFUNCTION("""COMPUTED_VALUE"""),"")</f>
        <v/>
      </c>
      <c r="AC16012" s="16" t="str">
        <f>IFERROR(__xludf.DUMMYFUNCTION("""COMPUTED_VALUE"""),"")</f>
        <v/>
      </c>
    </row>
    <row r="16013">
      <c r="A16013" s="16" t="s">
        <v>87</v>
      </c>
      <c r="E16013" s="16" t="str">
        <f>IFERROR(__xludf.DUMMYFUNCTION("""COMPUTED_VALUE"""),"")</f>
        <v/>
      </c>
      <c r="G16013" s="18"/>
      <c r="H16013" s="16" t="s">
        <v>87</v>
      </c>
      <c r="I16013" s="16" t="s">
        <v>87</v>
      </c>
      <c r="J16013" s="19"/>
      <c r="L16013" s="16" t="str">
        <f>IFERROR(__xludf.DUMMYFUNCTION("""COMPUTED_VALUE"""),"")</f>
        <v/>
      </c>
      <c r="M16013" s="16" t="str">
        <f>IFERROR(__xludf.DUMMYFUNCTION("""COMPUTED_VALUE"""),"")</f>
        <v/>
      </c>
      <c r="U16013" s="16" t="s">
        <v>87</v>
      </c>
      <c r="V16013" s="16" t="str">
        <f>IFERROR(__xludf.DUMMYFUNCTION("""COMPUTED_VALUE"""),"")</f>
        <v/>
      </c>
      <c r="W16013" s="16" t="str">
        <f>IFERROR(__xludf.DUMMYFUNCTION("""COMPUTED_VALUE"""),"")</f>
        <v/>
      </c>
      <c r="X16013" s="16" t="str">
        <f>IFERROR(__xludf.DUMMYFUNCTION("""COMPUTED_VALUE"""),"")</f>
        <v/>
      </c>
      <c r="AC16013" s="16" t="str">
        <f>IFERROR(__xludf.DUMMYFUNCTION("""COMPUTED_VALUE"""),"")</f>
        <v/>
      </c>
    </row>
    <row r="16014">
      <c r="A16014" s="16" t="s">
        <v>87</v>
      </c>
      <c r="E16014" s="16" t="str">
        <f>IFERROR(__xludf.DUMMYFUNCTION("""COMPUTED_VALUE"""),"")</f>
        <v/>
      </c>
      <c r="G16014" s="18"/>
      <c r="H16014" s="16" t="s">
        <v>87</v>
      </c>
      <c r="I16014" s="16" t="s">
        <v>87</v>
      </c>
      <c r="J16014" s="19"/>
      <c r="L16014" s="16" t="str">
        <f>IFERROR(__xludf.DUMMYFUNCTION("""COMPUTED_VALUE"""),"")</f>
        <v/>
      </c>
      <c r="M16014" s="16" t="str">
        <f>IFERROR(__xludf.DUMMYFUNCTION("""COMPUTED_VALUE"""),"")</f>
        <v/>
      </c>
      <c r="U16014" s="16" t="s">
        <v>87</v>
      </c>
      <c r="V16014" s="16" t="str">
        <f>IFERROR(__xludf.DUMMYFUNCTION("""COMPUTED_VALUE"""),"")</f>
        <v/>
      </c>
      <c r="W16014" s="16" t="str">
        <f>IFERROR(__xludf.DUMMYFUNCTION("""COMPUTED_VALUE"""),"")</f>
        <v/>
      </c>
      <c r="X16014" s="16" t="str">
        <f>IFERROR(__xludf.DUMMYFUNCTION("""COMPUTED_VALUE"""),"")</f>
        <v/>
      </c>
      <c r="AC16014" s="16" t="str">
        <f>IFERROR(__xludf.DUMMYFUNCTION("""COMPUTED_VALUE"""),"")</f>
        <v/>
      </c>
    </row>
    <row r="16015">
      <c r="A16015" s="16" t="s">
        <v>87</v>
      </c>
      <c r="E16015" s="16" t="str">
        <f>IFERROR(__xludf.DUMMYFUNCTION("""COMPUTED_VALUE"""),"")</f>
        <v/>
      </c>
      <c r="G16015" s="18"/>
      <c r="H16015" s="16" t="s">
        <v>87</v>
      </c>
      <c r="I16015" s="16" t="s">
        <v>87</v>
      </c>
      <c r="J16015" s="19"/>
      <c r="L16015" s="16" t="str">
        <f>IFERROR(__xludf.DUMMYFUNCTION("""COMPUTED_VALUE"""),"")</f>
        <v/>
      </c>
      <c r="M16015" s="16" t="str">
        <f>IFERROR(__xludf.DUMMYFUNCTION("""COMPUTED_VALUE"""),"")</f>
        <v/>
      </c>
      <c r="U16015" s="16" t="s">
        <v>87</v>
      </c>
      <c r="V16015" s="16" t="str">
        <f>IFERROR(__xludf.DUMMYFUNCTION("""COMPUTED_VALUE"""),"")</f>
        <v/>
      </c>
      <c r="W16015" s="16" t="str">
        <f>IFERROR(__xludf.DUMMYFUNCTION("""COMPUTED_VALUE"""),"")</f>
        <v/>
      </c>
      <c r="X16015" s="16" t="str">
        <f>IFERROR(__xludf.DUMMYFUNCTION("""COMPUTED_VALUE"""),"")</f>
        <v/>
      </c>
      <c r="AC16015" s="16" t="str">
        <f>IFERROR(__xludf.DUMMYFUNCTION("""COMPUTED_VALUE"""),"")</f>
        <v/>
      </c>
    </row>
    <row r="16016">
      <c r="A16016" s="16" t="s">
        <v>87</v>
      </c>
      <c r="E16016" s="16" t="str">
        <f>IFERROR(__xludf.DUMMYFUNCTION("""COMPUTED_VALUE"""),"")</f>
        <v/>
      </c>
      <c r="G16016" s="18"/>
      <c r="H16016" s="16" t="s">
        <v>87</v>
      </c>
      <c r="I16016" s="16" t="s">
        <v>87</v>
      </c>
      <c r="J16016" s="19"/>
      <c r="L16016" s="16" t="str">
        <f>IFERROR(__xludf.DUMMYFUNCTION("""COMPUTED_VALUE"""),"")</f>
        <v/>
      </c>
      <c r="M16016" s="16" t="str">
        <f>IFERROR(__xludf.DUMMYFUNCTION("""COMPUTED_VALUE"""),"")</f>
        <v/>
      </c>
      <c r="U16016" s="16" t="s">
        <v>87</v>
      </c>
      <c r="V16016" s="16" t="str">
        <f>IFERROR(__xludf.DUMMYFUNCTION("""COMPUTED_VALUE"""),"")</f>
        <v/>
      </c>
      <c r="W16016" s="16" t="str">
        <f>IFERROR(__xludf.DUMMYFUNCTION("""COMPUTED_VALUE"""),"")</f>
        <v/>
      </c>
      <c r="X16016" s="16" t="str">
        <f>IFERROR(__xludf.DUMMYFUNCTION("""COMPUTED_VALUE"""),"")</f>
        <v/>
      </c>
      <c r="AC16016" s="16" t="str">
        <f>IFERROR(__xludf.DUMMYFUNCTION("""COMPUTED_VALUE"""),"")</f>
        <v/>
      </c>
    </row>
    <row r="16017">
      <c r="A16017" s="16" t="s">
        <v>87</v>
      </c>
      <c r="E16017" s="16" t="str">
        <f>IFERROR(__xludf.DUMMYFUNCTION("""COMPUTED_VALUE"""),"")</f>
        <v/>
      </c>
      <c r="G16017" s="18"/>
      <c r="H16017" s="16" t="s">
        <v>87</v>
      </c>
      <c r="I16017" s="16" t="s">
        <v>87</v>
      </c>
      <c r="J16017" s="19"/>
      <c r="L16017" s="16" t="str">
        <f>IFERROR(__xludf.DUMMYFUNCTION("""COMPUTED_VALUE"""),"")</f>
        <v/>
      </c>
      <c r="M16017" s="16" t="str">
        <f>IFERROR(__xludf.DUMMYFUNCTION("""COMPUTED_VALUE"""),"")</f>
        <v/>
      </c>
      <c r="U16017" s="16" t="s">
        <v>87</v>
      </c>
      <c r="V16017" s="16" t="str">
        <f>IFERROR(__xludf.DUMMYFUNCTION("""COMPUTED_VALUE"""),"")</f>
        <v/>
      </c>
      <c r="W16017" s="16" t="str">
        <f>IFERROR(__xludf.DUMMYFUNCTION("""COMPUTED_VALUE"""),"")</f>
        <v/>
      </c>
      <c r="X16017" s="16" t="str">
        <f>IFERROR(__xludf.DUMMYFUNCTION("""COMPUTED_VALUE"""),"")</f>
        <v/>
      </c>
      <c r="AC16017" s="16" t="str">
        <f>IFERROR(__xludf.DUMMYFUNCTION("""COMPUTED_VALUE"""),"")</f>
        <v/>
      </c>
    </row>
    <row r="16018">
      <c r="A16018" s="16" t="s">
        <v>87</v>
      </c>
      <c r="E16018" s="16" t="str">
        <f>IFERROR(__xludf.DUMMYFUNCTION("""COMPUTED_VALUE"""),"")</f>
        <v/>
      </c>
      <c r="G16018" s="18"/>
      <c r="H16018" s="16" t="s">
        <v>87</v>
      </c>
      <c r="I16018" s="16" t="s">
        <v>87</v>
      </c>
      <c r="J16018" s="19"/>
      <c r="L16018" s="16" t="str">
        <f>IFERROR(__xludf.DUMMYFUNCTION("""COMPUTED_VALUE"""),"")</f>
        <v/>
      </c>
      <c r="M16018" s="16" t="str">
        <f>IFERROR(__xludf.DUMMYFUNCTION("""COMPUTED_VALUE"""),"")</f>
        <v/>
      </c>
      <c r="U16018" s="16" t="s">
        <v>87</v>
      </c>
      <c r="V16018" s="16" t="str">
        <f>IFERROR(__xludf.DUMMYFUNCTION("""COMPUTED_VALUE"""),"")</f>
        <v/>
      </c>
      <c r="W16018" s="16" t="str">
        <f>IFERROR(__xludf.DUMMYFUNCTION("""COMPUTED_VALUE"""),"")</f>
        <v/>
      </c>
      <c r="X16018" s="16" t="str">
        <f>IFERROR(__xludf.DUMMYFUNCTION("""COMPUTED_VALUE"""),"")</f>
        <v/>
      </c>
      <c r="AC16018" s="16" t="str">
        <f>IFERROR(__xludf.DUMMYFUNCTION("""COMPUTED_VALUE"""),"")</f>
        <v/>
      </c>
    </row>
    <row r="16019">
      <c r="A16019" s="16" t="s">
        <v>87</v>
      </c>
      <c r="E16019" s="16" t="str">
        <f>IFERROR(__xludf.DUMMYFUNCTION("""COMPUTED_VALUE"""),"")</f>
        <v/>
      </c>
      <c r="G16019" s="18"/>
      <c r="H16019" s="16" t="s">
        <v>87</v>
      </c>
      <c r="I16019" s="16" t="s">
        <v>87</v>
      </c>
      <c r="J16019" s="19"/>
      <c r="L16019" s="16" t="str">
        <f>IFERROR(__xludf.DUMMYFUNCTION("""COMPUTED_VALUE"""),"")</f>
        <v/>
      </c>
      <c r="M16019" s="16" t="str">
        <f>IFERROR(__xludf.DUMMYFUNCTION("""COMPUTED_VALUE"""),"")</f>
        <v/>
      </c>
      <c r="U16019" s="16" t="s">
        <v>87</v>
      </c>
      <c r="V16019" s="16" t="str">
        <f>IFERROR(__xludf.DUMMYFUNCTION("""COMPUTED_VALUE"""),"")</f>
        <v/>
      </c>
      <c r="W16019" s="16" t="str">
        <f>IFERROR(__xludf.DUMMYFUNCTION("""COMPUTED_VALUE"""),"")</f>
        <v/>
      </c>
      <c r="X16019" s="16" t="str">
        <f>IFERROR(__xludf.DUMMYFUNCTION("""COMPUTED_VALUE"""),"")</f>
        <v/>
      </c>
      <c r="AC16019" s="16" t="str">
        <f>IFERROR(__xludf.DUMMYFUNCTION("""COMPUTED_VALUE"""),"")</f>
        <v/>
      </c>
    </row>
    <row r="16020">
      <c r="A16020" s="16" t="s">
        <v>87</v>
      </c>
      <c r="E16020" s="16" t="str">
        <f>IFERROR(__xludf.DUMMYFUNCTION("""COMPUTED_VALUE"""),"")</f>
        <v/>
      </c>
      <c r="G16020" s="18"/>
      <c r="H16020" s="16" t="s">
        <v>87</v>
      </c>
      <c r="I16020" s="16" t="s">
        <v>87</v>
      </c>
      <c r="J16020" s="19"/>
      <c r="L16020" s="16" t="str">
        <f>IFERROR(__xludf.DUMMYFUNCTION("""COMPUTED_VALUE"""),"")</f>
        <v/>
      </c>
      <c r="M16020" s="16" t="str">
        <f>IFERROR(__xludf.DUMMYFUNCTION("""COMPUTED_VALUE"""),"")</f>
        <v/>
      </c>
      <c r="U16020" s="16" t="s">
        <v>87</v>
      </c>
      <c r="V16020" s="16" t="str">
        <f>IFERROR(__xludf.DUMMYFUNCTION("""COMPUTED_VALUE"""),"")</f>
        <v/>
      </c>
      <c r="W16020" s="16" t="str">
        <f>IFERROR(__xludf.DUMMYFUNCTION("""COMPUTED_VALUE"""),"")</f>
        <v/>
      </c>
      <c r="X16020" s="16" t="str">
        <f>IFERROR(__xludf.DUMMYFUNCTION("""COMPUTED_VALUE"""),"")</f>
        <v/>
      </c>
      <c r="AC16020" s="16" t="str">
        <f>IFERROR(__xludf.DUMMYFUNCTION("""COMPUTED_VALUE"""),"")</f>
        <v/>
      </c>
    </row>
    <row r="16021">
      <c r="A16021" s="16" t="s">
        <v>87</v>
      </c>
      <c r="E16021" s="16" t="str">
        <f>IFERROR(__xludf.DUMMYFUNCTION("""COMPUTED_VALUE"""),"")</f>
        <v/>
      </c>
      <c r="G16021" s="18"/>
      <c r="H16021" s="16" t="s">
        <v>87</v>
      </c>
      <c r="I16021" s="16" t="s">
        <v>87</v>
      </c>
      <c r="J16021" s="19"/>
      <c r="L16021" s="16" t="str">
        <f>IFERROR(__xludf.DUMMYFUNCTION("""COMPUTED_VALUE"""),"")</f>
        <v/>
      </c>
      <c r="M16021" s="16" t="str">
        <f>IFERROR(__xludf.DUMMYFUNCTION("""COMPUTED_VALUE"""),"")</f>
        <v/>
      </c>
      <c r="U16021" s="16" t="s">
        <v>87</v>
      </c>
      <c r="V16021" s="16" t="str">
        <f>IFERROR(__xludf.DUMMYFUNCTION("""COMPUTED_VALUE"""),"")</f>
        <v/>
      </c>
      <c r="W16021" s="16" t="str">
        <f>IFERROR(__xludf.DUMMYFUNCTION("""COMPUTED_VALUE"""),"")</f>
        <v/>
      </c>
      <c r="X16021" s="16" t="str">
        <f>IFERROR(__xludf.DUMMYFUNCTION("""COMPUTED_VALUE"""),"")</f>
        <v/>
      </c>
      <c r="AC16021" s="16" t="str">
        <f>IFERROR(__xludf.DUMMYFUNCTION("""COMPUTED_VALUE"""),"")</f>
        <v/>
      </c>
    </row>
    <row r="16022">
      <c r="A16022" s="16" t="s">
        <v>87</v>
      </c>
      <c r="E16022" s="16" t="str">
        <f>IFERROR(__xludf.DUMMYFUNCTION("""COMPUTED_VALUE"""),"")</f>
        <v/>
      </c>
      <c r="G16022" s="18"/>
      <c r="H16022" s="16" t="s">
        <v>87</v>
      </c>
      <c r="I16022" s="16" t="s">
        <v>87</v>
      </c>
      <c r="J16022" s="19"/>
      <c r="L16022" s="16" t="str">
        <f>IFERROR(__xludf.DUMMYFUNCTION("""COMPUTED_VALUE"""),"")</f>
        <v/>
      </c>
      <c r="M16022" s="16" t="str">
        <f>IFERROR(__xludf.DUMMYFUNCTION("""COMPUTED_VALUE"""),"")</f>
        <v/>
      </c>
      <c r="U16022" s="16" t="s">
        <v>87</v>
      </c>
      <c r="V16022" s="16" t="str">
        <f>IFERROR(__xludf.DUMMYFUNCTION("""COMPUTED_VALUE"""),"")</f>
        <v/>
      </c>
      <c r="W16022" s="16" t="str">
        <f>IFERROR(__xludf.DUMMYFUNCTION("""COMPUTED_VALUE"""),"")</f>
        <v/>
      </c>
      <c r="X16022" s="16" t="str">
        <f>IFERROR(__xludf.DUMMYFUNCTION("""COMPUTED_VALUE"""),"")</f>
        <v/>
      </c>
      <c r="AC16022" s="16" t="str">
        <f>IFERROR(__xludf.DUMMYFUNCTION("""COMPUTED_VALUE"""),"")</f>
        <v/>
      </c>
    </row>
    <row r="16023">
      <c r="A16023" s="16" t="s">
        <v>87</v>
      </c>
      <c r="E16023" s="16" t="str">
        <f>IFERROR(__xludf.DUMMYFUNCTION("""COMPUTED_VALUE"""),"")</f>
        <v/>
      </c>
      <c r="G16023" s="18"/>
      <c r="H16023" s="16" t="s">
        <v>87</v>
      </c>
      <c r="I16023" s="16" t="s">
        <v>87</v>
      </c>
      <c r="J16023" s="19"/>
      <c r="L16023" s="16" t="str">
        <f>IFERROR(__xludf.DUMMYFUNCTION("""COMPUTED_VALUE"""),"")</f>
        <v/>
      </c>
      <c r="M16023" s="16" t="str">
        <f>IFERROR(__xludf.DUMMYFUNCTION("""COMPUTED_VALUE"""),"")</f>
        <v/>
      </c>
      <c r="U16023" s="16" t="s">
        <v>87</v>
      </c>
      <c r="V16023" s="16" t="str">
        <f>IFERROR(__xludf.DUMMYFUNCTION("""COMPUTED_VALUE"""),"")</f>
        <v/>
      </c>
      <c r="W16023" s="16" t="str">
        <f>IFERROR(__xludf.DUMMYFUNCTION("""COMPUTED_VALUE"""),"")</f>
        <v/>
      </c>
      <c r="X16023" s="16" t="str">
        <f>IFERROR(__xludf.DUMMYFUNCTION("""COMPUTED_VALUE"""),"")</f>
        <v/>
      </c>
      <c r="AC16023" s="16" t="str">
        <f>IFERROR(__xludf.DUMMYFUNCTION("""COMPUTED_VALUE"""),"")</f>
        <v/>
      </c>
    </row>
    <row r="16024">
      <c r="A16024" s="16" t="s">
        <v>87</v>
      </c>
      <c r="E16024" s="16" t="str">
        <f>IFERROR(__xludf.DUMMYFUNCTION("""COMPUTED_VALUE"""),"")</f>
        <v/>
      </c>
      <c r="G16024" s="18"/>
      <c r="H16024" s="16" t="s">
        <v>87</v>
      </c>
      <c r="I16024" s="16" t="s">
        <v>87</v>
      </c>
      <c r="J16024" s="19"/>
      <c r="L16024" s="16" t="str">
        <f>IFERROR(__xludf.DUMMYFUNCTION("""COMPUTED_VALUE"""),"")</f>
        <v/>
      </c>
      <c r="M16024" s="16" t="str">
        <f>IFERROR(__xludf.DUMMYFUNCTION("""COMPUTED_VALUE"""),"")</f>
        <v/>
      </c>
      <c r="U16024" s="16" t="s">
        <v>87</v>
      </c>
      <c r="V16024" s="16" t="str">
        <f>IFERROR(__xludf.DUMMYFUNCTION("""COMPUTED_VALUE"""),"")</f>
        <v/>
      </c>
      <c r="W16024" s="16" t="str">
        <f>IFERROR(__xludf.DUMMYFUNCTION("""COMPUTED_VALUE"""),"")</f>
        <v/>
      </c>
      <c r="X16024" s="16" t="str">
        <f>IFERROR(__xludf.DUMMYFUNCTION("""COMPUTED_VALUE"""),"")</f>
        <v/>
      </c>
      <c r="AC16024" s="16" t="str">
        <f>IFERROR(__xludf.DUMMYFUNCTION("""COMPUTED_VALUE"""),"")</f>
        <v/>
      </c>
    </row>
    <row r="16025">
      <c r="A16025" s="16" t="s">
        <v>87</v>
      </c>
      <c r="E16025" s="16" t="str">
        <f>IFERROR(__xludf.DUMMYFUNCTION("""COMPUTED_VALUE"""),"")</f>
        <v/>
      </c>
      <c r="G16025" s="18"/>
      <c r="H16025" s="16" t="s">
        <v>87</v>
      </c>
      <c r="I16025" s="16" t="s">
        <v>87</v>
      </c>
      <c r="J16025" s="19"/>
      <c r="L16025" s="16" t="str">
        <f>IFERROR(__xludf.DUMMYFUNCTION("""COMPUTED_VALUE"""),"")</f>
        <v/>
      </c>
      <c r="M16025" s="16" t="str">
        <f>IFERROR(__xludf.DUMMYFUNCTION("""COMPUTED_VALUE"""),"")</f>
        <v/>
      </c>
      <c r="U16025" s="16" t="s">
        <v>87</v>
      </c>
      <c r="V16025" s="16" t="str">
        <f>IFERROR(__xludf.DUMMYFUNCTION("""COMPUTED_VALUE"""),"")</f>
        <v/>
      </c>
      <c r="W16025" s="16" t="str">
        <f>IFERROR(__xludf.DUMMYFUNCTION("""COMPUTED_VALUE"""),"")</f>
        <v/>
      </c>
      <c r="X16025" s="16" t="str">
        <f>IFERROR(__xludf.DUMMYFUNCTION("""COMPUTED_VALUE"""),"")</f>
        <v/>
      </c>
      <c r="AC16025" s="16" t="str">
        <f>IFERROR(__xludf.DUMMYFUNCTION("""COMPUTED_VALUE"""),"")</f>
        <v/>
      </c>
    </row>
    <row r="16026">
      <c r="A16026" s="16" t="s">
        <v>87</v>
      </c>
      <c r="E16026" s="16" t="str">
        <f>IFERROR(__xludf.DUMMYFUNCTION("""COMPUTED_VALUE"""),"")</f>
        <v/>
      </c>
      <c r="G16026" s="18"/>
      <c r="H16026" s="16" t="s">
        <v>87</v>
      </c>
      <c r="I16026" s="16" t="s">
        <v>87</v>
      </c>
      <c r="J16026" s="19"/>
      <c r="L16026" s="16" t="str">
        <f>IFERROR(__xludf.DUMMYFUNCTION("""COMPUTED_VALUE"""),"")</f>
        <v/>
      </c>
      <c r="M16026" s="16" t="str">
        <f>IFERROR(__xludf.DUMMYFUNCTION("""COMPUTED_VALUE"""),"")</f>
        <v/>
      </c>
      <c r="U16026" s="16" t="s">
        <v>87</v>
      </c>
      <c r="V16026" s="16" t="str">
        <f>IFERROR(__xludf.DUMMYFUNCTION("""COMPUTED_VALUE"""),"")</f>
        <v/>
      </c>
      <c r="W16026" s="16" t="str">
        <f>IFERROR(__xludf.DUMMYFUNCTION("""COMPUTED_VALUE"""),"")</f>
        <v/>
      </c>
      <c r="X16026" s="16" t="str">
        <f>IFERROR(__xludf.DUMMYFUNCTION("""COMPUTED_VALUE"""),"")</f>
        <v/>
      </c>
      <c r="AC16026" s="16" t="str">
        <f>IFERROR(__xludf.DUMMYFUNCTION("""COMPUTED_VALUE"""),"")</f>
        <v/>
      </c>
    </row>
    <row r="16027">
      <c r="A16027" s="16" t="s">
        <v>87</v>
      </c>
      <c r="E16027" s="16" t="str">
        <f>IFERROR(__xludf.DUMMYFUNCTION("""COMPUTED_VALUE"""),"")</f>
        <v/>
      </c>
      <c r="G16027" s="18"/>
      <c r="H16027" s="16" t="s">
        <v>87</v>
      </c>
      <c r="I16027" s="16" t="s">
        <v>87</v>
      </c>
      <c r="J16027" s="19"/>
      <c r="L16027" s="16" t="str">
        <f>IFERROR(__xludf.DUMMYFUNCTION("""COMPUTED_VALUE"""),"")</f>
        <v/>
      </c>
      <c r="M16027" s="16" t="str">
        <f>IFERROR(__xludf.DUMMYFUNCTION("""COMPUTED_VALUE"""),"")</f>
        <v/>
      </c>
      <c r="U16027" s="16" t="s">
        <v>87</v>
      </c>
      <c r="V16027" s="16" t="str">
        <f>IFERROR(__xludf.DUMMYFUNCTION("""COMPUTED_VALUE"""),"")</f>
        <v/>
      </c>
      <c r="W16027" s="16" t="str">
        <f>IFERROR(__xludf.DUMMYFUNCTION("""COMPUTED_VALUE"""),"")</f>
        <v/>
      </c>
      <c r="X16027" s="16" t="str">
        <f>IFERROR(__xludf.DUMMYFUNCTION("""COMPUTED_VALUE"""),"")</f>
        <v/>
      </c>
      <c r="AC16027" s="16" t="str">
        <f>IFERROR(__xludf.DUMMYFUNCTION("""COMPUTED_VALUE"""),"")</f>
        <v/>
      </c>
    </row>
    <row r="16028">
      <c r="A16028" s="16" t="s">
        <v>87</v>
      </c>
      <c r="E16028" s="16" t="str">
        <f>IFERROR(__xludf.DUMMYFUNCTION("""COMPUTED_VALUE"""),"")</f>
        <v/>
      </c>
      <c r="G16028" s="18"/>
      <c r="H16028" s="16" t="s">
        <v>87</v>
      </c>
      <c r="I16028" s="16" t="s">
        <v>87</v>
      </c>
      <c r="J16028" s="19"/>
      <c r="L16028" s="16" t="str">
        <f>IFERROR(__xludf.DUMMYFUNCTION("""COMPUTED_VALUE"""),"")</f>
        <v/>
      </c>
      <c r="M16028" s="16" t="str">
        <f>IFERROR(__xludf.DUMMYFUNCTION("""COMPUTED_VALUE"""),"")</f>
        <v/>
      </c>
      <c r="U16028" s="16" t="s">
        <v>87</v>
      </c>
      <c r="V16028" s="16" t="str">
        <f>IFERROR(__xludf.DUMMYFUNCTION("""COMPUTED_VALUE"""),"")</f>
        <v/>
      </c>
      <c r="W16028" s="16" t="str">
        <f>IFERROR(__xludf.DUMMYFUNCTION("""COMPUTED_VALUE"""),"")</f>
        <v/>
      </c>
      <c r="X16028" s="16" t="str">
        <f>IFERROR(__xludf.DUMMYFUNCTION("""COMPUTED_VALUE"""),"")</f>
        <v/>
      </c>
      <c r="AC16028" s="16" t="str">
        <f>IFERROR(__xludf.DUMMYFUNCTION("""COMPUTED_VALUE"""),"")</f>
        <v/>
      </c>
    </row>
    <row r="16029">
      <c r="A16029" s="16" t="s">
        <v>87</v>
      </c>
      <c r="E16029" s="16" t="str">
        <f>IFERROR(__xludf.DUMMYFUNCTION("""COMPUTED_VALUE"""),"")</f>
        <v/>
      </c>
      <c r="G16029" s="18"/>
      <c r="H16029" s="16" t="s">
        <v>87</v>
      </c>
      <c r="I16029" s="16" t="s">
        <v>87</v>
      </c>
      <c r="J16029" s="19"/>
      <c r="L16029" s="16" t="str">
        <f>IFERROR(__xludf.DUMMYFUNCTION("""COMPUTED_VALUE"""),"")</f>
        <v/>
      </c>
      <c r="M16029" s="16" t="str">
        <f>IFERROR(__xludf.DUMMYFUNCTION("""COMPUTED_VALUE"""),"")</f>
        <v/>
      </c>
      <c r="U16029" s="16" t="s">
        <v>87</v>
      </c>
      <c r="V16029" s="16" t="str">
        <f>IFERROR(__xludf.DUMMYFUNCTION("""COMPUTED_VALUE"""),"")</f>
        <v/>
      </c>
      <c r="W16029" s="16" t="str">
        <f>IFERROR(__xludf.DUMMYFUNCTION("""COMPUTED_VALUE"""),"")</f>
        <v/>
      </c>
      <c r="X16029" s="16" t="str">
        <f>IFERROR(__xludf.DUMMYFUNCTION("""COMPUTED_VALUE"""),"")</f>
        <v/>
      </c>
      <c r="AC16029" s="16" t="str">
        <f>IFERROR(__xludf.DUMMYFUNCTION("""COMPUTED_VALUE"""),"")</f>
        <v/>
      </c>
    </row>
    <row r="16030">
      <c r="A16030" s="16" t="s">
        <v>87</v>
      </c>
      <c r="E16030" s="16" t="str">
        <f>IFERROR(__xludf.DUMMYFUNCTION("""COMPUTED_VALUE"""),"")</f>
        <v/>
      </c>
      <c r="G16030" s="18"/>
      <c r="H16030" s="16" t="s">
        <v>87</v>
      </c>
      <c r="I16030" s="16" t="s">
        <v>87</v>
      </c>
      <c r="J16030" s="19"/>
      <c r="L16030" s="16" t="str">
        <f>IFERROR(__xludf.DUMMYFUNCTION("""COMPUTED_VALUE"""),"")</f>
        <v/>
      </c>
      <c r="M16030" s="16" t="str">
        <f>IFERROR(__xludf.DUMMYFUNCTION("""COMPUTED_VALUE"""),"")</f>
        <v/>
      </c>
      <c r="U16030" s="16" t="s">
        <v>87</v>
      </c>
      <c r="V16030" s="16" t="str">
        <f>IFERROR(__xludf.DUMMYFUNCTION("""COMPUTED_VALUE"""),"")</f>
        <v/>
      </c>
      <c r="W16030" s="16" t="str">
        <f>IFERROR(__xludf.DUMMYFUNCTION("""COMPUTED_VALUE"""),"")</f>
        <v/>
      </c>
      <c r="X16030" s="16" t="str">
        <f>IFERROR(__xludf.DUMMYFUNCTION("""COMPUTED_VALUE"""),"")</f>
        <v/>
      </c>
      <c r="AC16030" s="16" t="str">
        <f>IFERROR(__xludf.DUMMYFUNCTION("""COMPUTED_VALUE"""),"")</f>
        <v/>
      </c>
    </row>
    <row r="16031">
      <c r="A16031" s="16" t="s">
        <v>87</v>
      </c>
      <c r="E16031" s="16" t="str">
        <f>IFERROR(__xludf.DUMMYFUNCTION("""COMPUTED_VALUE"""),"")</f>
        <v/>
      </c>
      <c r="G16031" s="18"/>
      <c r="H16031" s="16" t="s">
        <v>87</v>
      </c>
      <c r="I16031" s="16" t="s">
        <v>87</v>
      </c>
      <c r="J16031" s="19"/>
      <c r="L16031" s="16" t="str">
        <f>IFERROR(__xludf.DUMMYFUNCTION("""COMPUTED_VALUE"""),"")</f>
        <v/>
      </c>
      <c r="M16031" s="16" t="str">
        <f>IFERROR(__xludf.DUMMYFUNCTION("""COMPUTED_VALUE"""),"")</f>
        <v/>
      </c>
      <c r="U16031" s="16" t="s">
        <v>87</v>
      </c>
      <c r="V16031" s="16" t="str">
        <f>IFERROR(__xludf.DUMMYFUNCTION("""COMPUTED_VALUE"""),"")</f>
        <v/>
      </c>
      <c r="W16031" s="16" t="str">
        <f>IFERROR(__xludf.DUMMYFUNCTION("""COMPUTED_VALUE"""),"")</f>
        <v/>
      </c>
      <c r="X16031" s="16" t="str">
        <f>IFERROR(__xludf.DUMMYFUNCTION("""COMPUTED_VALUE"""),"")</f>
        <v/>
      </c>
      <c r="AC16031" s="16" t="str">
        <f>IFERROR(__xludf.DUMMYFUNCTION("""COMPUTED_VALUE"""),"")</f>
        <v/>
      </c>
    </row>
    <row r="16032">
      <c r="A16032" s="16" t="s">
        <v>87</v>
      </c>
      <c r="E16032" s="16" t="str">
        <f>IFERROR(__xludf.DUMMYFUNCTION("""COMPUTED_VALUE"""),"")</f>
        <v/>
      </c>
      <c r="G16032" s="18"/>
      <c r="H16032" s="16" t="s">
        <v>87</v>
      </c>
      <c r="I16032" s="16" t="s">
        <v>87</v>
      </c>
      <c r="J16032" s="19"/>
      <c r="L16032" s="16" t="str">
        <f>IFERROR(__xludf.DUMMYFUNCTION("""COMPUTED_VALUE"""),"")</f>
        <v/>
      </c>
      <c r="M16032" s="16" t="str">
        <f>IFERROR(__xludf.DUMMYFUNCTION("""COMPUTED_VALUE"""),"")</f>
        <v/>
      </c>
      <c r="U16032" s="16" t="s">
        <v>87</v>
      </c>
      <c r="V16032" s="16" t="str">
        <f>IFERROR(__xludf.DUMMYFUNCTION("""COMPUTED_VALUE"""),"")</f>
        <v/>
      </c>
      <c r="W16032" s="16" t="str">
        <f>IFERROR(__xludf.DUMMYFUNCTION("""COMPUTED_VALUE"""),"")</f>
        <v/>
      </c>
      <c r="X16032" s="16" t="str">
        <f>IFERROR(__xludf.DUMMYFUNCTION("""COMPUTED_VALUE"""),"")</f>
        <v/>
      </c>
      <c r="AC16032" s="16" t="str">
        <f>IFERROR(__xludf.DUMMYFUNCTION("""COMPUTED_VALUE"""),"")</f>
        <v/>
      </c>
    </row>
    <row r="16033">
      <c r="A16033" s="16" t="s">
        <v>87</v>
      </c>
      <c r="E16033" s="16" t="str">
        <f>IFERROR(__xludf.DUMMYFUNCTION("""COMPUTED_VALUE"""),"")</f>
        <v/>
      </c>
      <c r="G16033" s="18"/>
      <c r="H16033" s="16" t="s">
        <v>87</v>
      </c>
      <c r="I16033" s="16" t="s">
        <v>87</v>
      </c>
      <c r="J16033" s="19"/>
      <c r="L16033" s="16" t="str">
        <f>IFERROR(__xludf.DUMMYFUNCTION("""COMPUTED_VALUE"""),"")</f>
        <v/>
      </c>
      <c r="M16033" s="16" t="str">
        <f>IFERROR(__xludf.DUMMYFUNCTION("""COMPUTED_VALUE"""),"")</f>
        <v/>
      </c>
      <c r="U16033" s="16" t="s">
        <v>87</v>
      </c>
      <c r="V16033" s="16" t="str">
        <f>IFERROR(__xludf.DUMMYFUNCTION("""COMPUTED_VALUE"""),"")</f>
        <v/>
      </c>
      <c r="W16033" s="16" t="str">
        <f>IFERROR(__xludf.DUMMYFUNCTION("""COMPUTED_VALUE"""),"")</f>
        <v/>
      </c>
      <c r="X16033" s="16" t="str">
        <f>IFERROR(__xludf.DUMMYFUNCTION("""COMPUTED_VALUE"""),"")</f>
        <v/>
      </c>
      <c r="AC16033" s="16" t="str">
        <f>IFERROR(__xludf.DUMMYFUNCTION("""COMPUTED_VALUE"""),"")</f>
        <v/>
      </c>
    </row>
    <row r="16034">
      <c r="A16034" s="16" t="s">
        <v>87</v>
      </c>
      <c r="E16034" s="16" t="str">
        <f>IFERROR(__xludf.DUMMYFUNCTION("""COMPUTED_VALUE"""),"")</f>
        <v/>
      </c>
      <c r="G16034" s="18"/>
      <c r="H16034" s="16" t="s">
        <v>87</v>
      </c>
      <c r="I16034" s="16" t="s">
        <v>87</v>
      </c>
      <c r="J16034" s="19"/>
      <c r="L16034" s="16" t="str">
        <f>IFERROR(__xludf.DUMMYFUNCTION("""COMPUTED_VALUE"""),"")</f>
        <v/>
      </c>
      <c r="M16034" s="16" t="str">
        <f>IFERROR(__xludf.DUMMYFUNCTION("""COMPUTED_VALUE"""),"")</f>
        <v/>
      </c>
      <c r="U16034" s="16" t="s">
        <v>87</v>
      </c>
      <c r="V16034" s="16" t="str">
        <f>IFERROR(__xludf.DUMMYFUNCTION("""COMPUTED_VALUE"""),"")</f>
        <v/>
      </c>
      <c r="W16034" s="16" t="str">
        <f>IFERROR(__xludf.DUMMYFUNCTION("""COMPUTED_VALUE"""),"")</f>
        <v/>
      </c>
      <c r="X16034" s="16" t="str">
        <f>IFERROR(__xludf.DUMMYFUNCTION("""COMPUTED_VALUE"""),"")</f>
        <v/>
      </c>
      <c r="AC16034" s="16" t="str">
        <f>IFERROR(__xludf.DUMMYFUNCTION("""COMPUTED_VALUE"""),"")</f>
        <v/>
      </c>
    </row>
    <row r="16035">
      <c r="A16035" s="16" t="s">
        <v>87</v>
      </c>
      <c r="E16035" s="16" t="str">
        <f>IFERROR(__xludf.DUMMYFUNCTION("""COMPUTED_VALUE"""),"")</f>
        <v/>
      </c>
      <c r="G16035" s="18"/>
      <c r="H16035" s="16" t="s">
        <v>87</v>
      </c>
      <c r="I16035" s="16" t="s">
        <v>87</v>
      </c>
      <c r="J16035" s="19"/>
      <c r="L16035" s="16" t="str">
        <f>IFERROR(__xludf.DUMMYFUNCTION("""COMPUTED_VALUE"""),"")</f>
        <v/>
      </c>
      <c r="M16035" s="16" t="str">
        <f>IFERROR(__xludf.DUMMYFUNCTION("""COMPUTED_VALUE"""),"")</f>
        <v/>
      </c>
      <c r="U16035" s="16" t="s">
        <v>87</v>
      </c>
      <c r="V16035" s="16" t="str">
        <f>IFERROR(__xludf.DUMMYFUNCTION("""COMPUTED_VALUE"""),"")</f>
        <v/>
      </c>
      <c r="W16035" s="16" t="str">
        <f>IFERROR(__xludf.DUMMYFUNCTION("""COMPUTED_VALUE"""),"")</f>
        <v/>
      </c>
      <c r="X16035" s="16" t="str">
        <f>IFERROR(__xludf.DUMMYFUNCTION("""COMPUTED_VALUE"""),"")</f>
        <v/>
      </c>
      <c r="AC16035" s="16" t="str">
        <f>IFERROR(__xludf.DUMMYFUNCTION("""COMPUTED_VALUE"""),"")</f>
        <v/>
      </c>
    </row>
    <row r="16036">
      <c r="A16036" s="16" t="s">
        <v>87</v>
      </c>
      <c r="E16036" s="16" t="str">
        <f>IFERROR(__xludf.DUMMYFUNCTION("""COMPUTED_VALUE"""),"")</f>
        <v/>
      </c>
      <c r="G16036" s="18"/>
      <c r="H16036" s="16" t="s">
        <v>87</v>
      </c>
      <c r="I16036" s="16" t="s">
        <v>87</v>
      </c>
      <c r="J16036" s="19"/>
      <c r="L16036" s="16" t="str">
        <f>IFERROR(__xludf.DUMMYFUNCTION("""COMPUTED_VALUE"""),"")</f>
        <v/>
      </c>
      <c r="M16036" s="16" t="str">
        <f>IFERROR(__xludf.DUMMYFUNCTION("""COMPUTED_VALUE"""),"")</f>
        <v/>
      </c>
      <c r="U16036" s="16" t="s">
        <v>87</v>
      </c>
      <c r="V16036" s="16" t="str">
        <f>IFERROR(__xludf.DUMMYFUNCTION("""COMPUTED_VALUE"""),"")</f>
        <v/>
      </c>
      <c r="W16036" s="16" t="str">
        <f>IFERROR(__xludf.DUMMYFUNCTION("""COMPUTED_VALUE"""),"")</f>
        <v/>
      </c>
      <c r="X16036" s="16" t="str">
        <f>IFERROR(__xludf.DUMMYFUNCTION("""COMPUTED_VALUE"""),"")</f>
        <v/>
      </c>
      <c r="AC16036" s="16" t="str">
        <f>IFERROR(__xludf.DUMMYFUNCTION("""COMPUTED_VALUE"""),"")</f>
        <v/>
      </c>
    </row>
    <row r="16037">
      <c r="A16037" s="16" t="s">
        <v>87</v>
      </c>
      <c r="E16037" s="16" t="str">
        <f>IFERROR(__xludf.DUMMYFUNCTION("""COMPUTED_VALUE"""),"")</f>
        <v/>
      </c>
      <c r="G16037" s="18"/>
      <c r="H16037" s="16" t="s">
        <v>87</v>
      </c>
      <c r="I16037" s="16" t="s">
        <v>87</v>
      </c>
      <c r="J16037" s="19"/>
      <c r="L16037" s="16" t="str">
        <f>IFERROR(__xludf.DUMMYFUNCTION("""COMPUTED_VALUE"""),"")</f>
        <v/>
      </c>
      <c r="M16037" s="16" t="str">
        <f>IFERROR(__xludf.DUMMYFUNCTION("""COMPUTED_VALUE"""),"")</f>
        <v/>
      </c>
      <c r="U16037" s="16" t="s">
        <v>87</v>
      </c>
      <c r="V16037" s="16" t="str">
        <f>IFERROR(__xludf.DUMMYFUNCTION("""COMPUTED_VALUE"""),"")</f>
        <v/>
      </c>
      <c r="W16037" s="16" t="str">
        <f>IFERROR(__xludf.DUMMYFUNCTION("""COMPUTED_VALUE"""),"")</f>
        <v/>
      </c>
      <c r="X16037" s="16" t="str">
        <f>IFERROR(__xludf.DUMMYFUNCTION("""COMPUTED_VALUE"""),"")</f>
        <v/>
      </c>
      <c r="AC16037" s="16" t="str">
        <f>IFERROR(__xludf.DUMMYFUNCTION("""COMPUTED_VALUE"""),"")</f>
        <v/>
      </c>
    </row>
    <row r="16038">
      <c r="A16038" s="16" t="s">
        <v>87</v>
      </c>
      <c r="E16038" s="16" t="str">
        <f>IFERROR(__xludf.DUMMYFUNCTION("""COMPUTED_VALUE"""),"")</f>
        <v/>
      </c>
      <c r="G16038" s="18"/>
      <c r="H16038" s="16" t="s">
        <v>87</v>
      </c>
      <c r="I16038" s="16" t="s">
        <v>87</v>
      </c>
      <c r="J16038" s="19"/>
      <c r="L16038" s="16" t="str">
        <f>IFERROR(__xludf.DUMMYFUNCTION("""COMPUTED_VALUE"""),"")</f>
        <v/>
      </c>
      <c r="M16038" s="16" t="str">
        <f>IFERROR(__xludf.DUMMYFUNCTION("""COMPUTED_VALUE"""),"")</f>
        <v/>
      </c>
      <c r="U16038" s="16" t="s">
        <v>87</v>
      </c>
      <c r="V16038" s="16" t="str">
        <f>IFERROR(__xludf.DUMMYFUNCTION("""COMPUTED_VALUE"""),"")</f>
        <v/>
      </c>
      <c r="W16038" s="16" t="str">
        <f>IFERROR(__xludf.DUMMYFUNCTION("""COMPUTED_VALUE"""),"")</f>
        <v/>
      </c>
      <c r="X16038" s="16" t="str">
        <f>IFERROR(__xludf.DUMMYFUNCTION("""COMPUTED_VALUE"""),"")</f>
        <v/>
      </c>
      <c r="AC16038" s="16" t="str">
        <f>IFERROR(__xludf.DUMMYFUNCTION("""COMPUTED_VALUE"""),"")</f>
        <v/>
      </c>
    </row>
    <row r="16039">
      <c r="A16039" s="16" t="s">
        <v>87</v>
      </c>
      <c r="E16039" s="16" t="str">
        <f>IFERROR(__xludf.DUMMYFUNCTION("""COMPUTED_VALUE"""),"")</f>
        <v/>
      </c>
      <c r="G16039" s="18"/>
      <c r="H16039" s="16" t="s">
        <v>87</v>
      </c>
      <c r="I16039" s="16" t="s">
        <v>87</v>
      </c>
      <c r="J16039" s="19"/>
      <c r="L16039" s="16" t="str">
        <f>IFERROR(__xludf.DUMMYFUNCTION("""COMPUTED_VALUE"""),"")</f>
        <v/>
      </c>
      <c r="M16039" s="16" t="str">
        <f>IFERROR(__xludf.DUMMYFUNCTION("""COMPUTED_VALUE"""),"")</f>
        <v/>
      </c>
      <c r="U16039" s="16" t="s">
        <v>87</v>
      </c>
      <c r="V16039" s="16" t="str">
        <f>IFERROR(__xludf.DUMMYFUNCTION("""COMPUTED_VALUE"""),"")</f>
        <v/>
      </c>
      <c r="W16039" s="16" t="str">
        <f>IFERROR(__xludf.DUMMYFUNCTION("""COMPUTED_VALUE"""),"")</f>
        <v/>
      </c>
      <c r="X16039" s="16" t="str">
        <f>IFERROR(__xludf.DUMMYFUNCTION("""COMPUTED_VALUE"""),"")</f>
        <v/>
      </c>
      <c r="AC16039" s="16" t="str">
        <f>IFERROR(__xludf.DUMMYFUNCTION("""COMPUTED_VALUE"""),"")</f>
        <v/>
      </c>
    </row>
    <row r="16040">
      <c r="A16040" s="16" t="s">
        <v>87</v>
      </c>
      <c r="E16040" s="16" t="str">
        <f>IFERROR(__xludf.DUMMYFUNCTION("""COMPUTED_VALUE"""),"")</f>
        <v/>
      </c>
      <c r="G16040" s="18"/>
      <c r="H16040" s="16" t="s">
        <v>87</v>
      </c>
      <c r="I16040" s="16" t="s">
        <v>87</v>
      </c>
      <c r="J16040" s="19"/>
      <c r="L16040" s="16" t="str">
        <f>IFERROR(__xludf.DUMMYFUNCTION("""COMPUTED_VALUE"""),"")</f>
        <v/>
      </c>
      <c r="M16040" s="16" t="str">
        <f>IFERROR(__xludf.DUMMYFUNCTION("""COMPUTED_VALUE"""),"")</f>
        <v/>
      </c>
      <c r="U16040" s="16" t="s">
        <v>87</v>
      </c>
      <c r="V16040" s="16" t="str">
        <f>IFERROR(__xludf.DUMMYFUNCTION("""COMPUTED_VALUE"""),"")</f>
        <v/>
      </c>
      <c r="W16040" s="16" t="str">
        <f>IFERROR(__xludf.DUMMYFUNCTION("""COMPUTED_VALUE"""),"")</f>
        <v/>
      </c>
      <c r="X16040" s="16" t="str">
        <f>IFERROR(__xludf.DUMMYFUNCTION("""COMPUTED_VALUE"""),"")</f>
        <v/>
      </c>
      <c r="AC16040" s="16" t="str">
        <f>IFERROR(__xludf.DUMMYFUNCTION("""COMPUTED_VALUE"""),"")</f>
        <v/>
      </c>
    </row>
    <row r="16041">
      <c r="A16041" s="16" t="s">
        <v>87</v>
      </c>
      <c r="E16041" s="16" t="str">
        <f>IFERROR(__xludf.DUMMYFUNCTION("""COMPUTED_VALUE"""),"")</f>
        <v/>
      </c>
      <c r="G16041" s="18"/>
      <c r="H16041" s="16" t="s">
        <v>87</v>
      </c>
      <c r="I16041" s="16" t="s">
        <v>87</v>
      </c>
      <c r="J16041" s="19"/>
      <c r="L16041" s="16" t="str">
        <f>IFERROR(__xludf.DUMMYFUNCTION("""COMPUTED_VALUE"""),"")</f>
        <v/>
      </c>
      <c r="M16041" s="16" t="str">
        <f>IFERROR(__xludf.DUMMYFUNCTION("""COMPUTED_VALUE"""),"")</f>
        <v/>
      </c>
      <c r="U16041" s="16" t="s">
        <v>87</v>
      </c>
      <c r="V16041" s="16" t="str">
        <f>IFERROR(__xludf.DUMMYFUNCTION("""COMPUTED_VALUE"""),"")</f>
        <v/>
      </c>
      <c r="W16041" s="16" t="str">
        <f>IFERROR(__xludf.DUMMYFUNCTION("""COMPUTED_VALUE"""),"")</f>
        <v/>
      </c>
      <c r="X16041" s="16" t="str">
        <f>IFERROR(__xludf.DUMMYFUNCTION("""COMPUTED_VALUE"""),"")</f>
        <v/>
      </c>
      <c r="AC16041" s="16" t="str">
        <f>IFERROR(__xludf.DUMMYFUNCTION("""COMPUTED_VALUE"""),"")</f>
        <v/>
      </c>
    </row>
    <row r="16042">
      <c r="A16042" s="16" t="s">
        <v>87</v>
      </c>
      <c r="E16042" s="16" t="str">
        <f>IFERROR(__xludf.DUMMYFUNCTION("""COMPUTED_VALUE"""),"")</f>
        <v/>
      </c>
      <c r="G16042" s="18"/>
      <c r="H16042" s="16" t="s">
        <v>87</v>
      </c>
      <c r="I16042" s="16" t="s">
        <v>87</v>
      </c>
      <c r="J16042" s="19"/>
      <c r="L16042" s="16" t="str">
        <f>IFERROR(__xludf.DUMMYFUNCTION("""COMPUTED_VALUE"""),"")</f>
        <v/>
      </c>
      <c r="M16042" s="16" t="str">
        <f>IFERROR(__xludf.DUMMYFUNCTION("""COMPUTED_VALUE"""),"")</f>
        <v/>
      </c>
      <c r="U16042" s="16" t="s">
        <v>87</v>
      </c>
      <c r="V16042" s="16" t="str">
        <f>IFERROR(__xludf.DUMMYFUNCTION("""COMPUTED_VALUE"""),"")</f>
        <v/>
      </c>
      <c r="W16042" s="16" t="str">
        <f>IFERROR(__xludf.DUMMYFUNCTION("""COMPUTED_VALUE"""),"")</f>
        <v/>
      </c>
      <c r="X16042" s="16" t="str">
        <f>IFERROR(__xludf.DUMMYFUNCTION("""COMPUTED_VALUE"""),"")</f>
        <v/>
      </c>
      <c r="AC16042" s="16" t="str">
        <f>IFERROR(__xludf.DUMMYFUNCTION("""COMPUTED_VALUE"""),"")</f>
        <v/>
      </c>
    </row>
    <row r="16043">
      <c r="A16043" s="16" t="s">
        <v>87</v>
      </c>
      <c r="E16043" s="16" t="str">
        <f>IFERROR(__xludf.DUMMYFUNCTION("""COMPUTED_VALUE"""),"")</f>
        <v/>
      </c>
      <c r="G16043" s="18"/>
      <c r="H16043" s="16" t="s">
        <v>87</v>
      </c>
      <c r="I16043" s="16" t="s">
        <v>87</v>
      </c>
      <c r="J16043" s="19"/>
      <c r="L16043" s="16" t="str">
        <f>IFERROR(__xludf.DUMMYFUNCTION("""COMPUTED_VALUE"""),"")</f>
        <v/>
      </c>
      <c r="M16043" s="16" t="str">
        <f>IFERROR(__xludf.DUMMYFUNCTION("""COMPUTED_VALUE"""),"")</f>
        <v/>
      </c>
      <c r="U16043" s="16" t="s">
        <v>87</v>
      </c>
      <c r="V16043" s="16" t="str">
        <f>IFERROR(__xludf.DUMMYFUNCTION("""COMPUTED_VALUE"""),"")</f>
        <v/>
      </c>
      <c r="W16043" s="16" t="str">
        <f>IFERROR(__xludf.DUMMYFUNCTION("""COMPUTED_VALUE"""),"")</f>
        <v/>
      </c>
      <c r="X16043" s="16" t="str">
        <f>IFERROR(__xludf.DUMMYFUNCTION("""COMPUTED_VALUE"""),"")</f>
        <v/>
      </c>
      <c r="AC16043" s="16" t="str">
        <f>IFERROR(__xludf.DUMMYFUNCTION("""COMPUTED_VALUE"""),"")</f>
        <v/>
      </c>
    </row>
    <row r="16044">
      <c r="A16044" s="16" t="s">
        <v>87</v>
      </c>
      <c r="E16044" s="16" t="str">
        <f>IFERROR(__xludf.DUMMYFUNCTION("""COMPUTED_VALUE"""),"")</f>
        <v/>
      </c>
      <c r="G16044" s="18"/>
      <c r="H16044" s="16" t="s">
        <v>87</v>
      </c>
      <c r="I16044" s="16" t="s">
        <v>87</v>
      </c>
      <c r="J16044" s="19"/>
      <c r="L16044" s="16" t="str">
        <f>IFERROR(__xludf.DUMMYFUNCTION("""COMPUTED_VALUE"""),"")</f>
        <v/>
      </c>
      <c r="M16044" s="16" t="str">
        <f>IFERROR(__xludf.DUMMYFUNCTION("""COMPUTED_VALUE"""),"")</f>
        <v/>
      </c>
      <c r="U16044" s="16" t="s">
        <v>87</v>
      </c>
      <c r="V16044" s="16" t="str">
        <f>IFERROR(__xludf.DUMMYFUNCTION("""COMPUTED_VALUE"""),"")</f>
        <v/>
      </c>
      <c r="W16044" s="16" t="str">
        <f>IFERROR(__xludf.DUMMYFUNCTION("""COMPUTED_VALUE"""),"")</f>
        <v/>
      </c>
      <c r="X16044" s="16" t="str">
        <f>IFERROR(__xludf.DUMMYFUNCTION("""COMPUTED_VALUE"""),"")</f>
        <v/>
      </c>
      <c r="AC16044" s="16" t="str">
        <f>IFERROR(__xludf.DUMMYFUNCTION("""COMPUTED_VALUE"""),"")</f>
        <v/>
      </c>
    </row>
    <row r="16045">
      <c r="A16045" s="16" t="s">
        <v>87</v>
      </c>
      <c r="E16045" s="16" t="str">
        <f>IFERROR(__xludf.DUMMYFUNCTION("""COMPUTED_VALUE"""),"")</f>
        <v/>
      </c>
      <c r="G16045" s="18"/>
      <c r="H16045" s="16" t="s">
        <v>87</v>
      </c>
      <c r="I16045" s="16" t="s">
        <v>87</v>
      </c>
      <c r="J16045" s="19"/>
      <c r="L16045" s="16" t="str">
        <f>IFERROR(__xludf.DUMMYFUNCTION("""COMPUTED_VALUE"""),"")</f>
        <v/>
      </c>
      <c r="M16045" s="16" t="str">
        <f>IFERROR(__xludf.DUMMYFUNCTION("""COMPUTED_VALUE"""),"")</f>
        <v/>
      </c>
      <c r="U16045" s="16" t="s">
        <v>87</v>
      </c>
      <c r="V16045" s="16" t="str">
        <f>IFERROR(__xludf.DUMMYFUNCTION("""COMPUTED_VALUE"""),"")</f>
        <v/>
      </c>
      <c r="W16045" s="16" t="str">
        <f>IFERROR(__xludf.DUMMYFUNCTION("""COMPUTED_VALUE"""),"")</f>
        <v/>
      </c>
      <c r="X16045" s="16" t="str">
        <f>IFERROR(__xludf.DUMMYFUNCTION("""COMPUTED_VALUE"""),"")</f>
        <v/>
      </c>
      <c r="AC16045" s="16" t="str">
        <f>IFERROR(__xludf.DUMMYFUNCTION("""COMPUTED_VALUE"""),"")</f>
        <v/>
      </c>
    </row>
    <row r="16046">
      <c r="A16046" s="16" t="s">
        <v>87</v>
      </c>
      <c r="E16046" s="16" t="str">
        <f>IFERROR(__xludf.DUMMYFUNCTION("""COMPUTED_VALUE"""),"")</f>
        <v/>
      </c>
      <c r="G16046" s="18"/>
      <c r="H16046" s="16" t="s">
        <v>87</v>
      </c>
      <c r="I16046" s="16" t="s">
        <v>87</v>
      </c>
      <c r="J16046" s="19"/>
      <c r="L16046" s="16" t="str">
        <f>IFERROR(__xludf.DUMMYFUNCTION("""COMPUTED_VALUE"""),"")</f>
        <v/>
      </c>
      <c r="M16046" s="16" t="str">
        <f>IFERROR(__xludf.DUMMYFUNCTION("""COMPUTED_VALUE"""),"")</f>
        <v/>
      </c>
      <c r="U16046" s="16" t="s">
        <v>87</v>
      </c>
      <c r="V16046" s="16" t="str">
        <f>IFERROR(__xludf.DUMMYFUNCTION("""COMPUTED_VALUE"""),"")</f>
        <v/>
      </c>
      <c r="W16046" s="16" t="str">
        <f>IFERROR(__xludf.DUMMYFUNCTION("""COMPUTED_VALUE"""),"")</f>
        <v/>
      </c>
      <c r="X16046" s="16" t="str">
        <f>IFERROR(__xludf.DUMMYFUNCTION("""COMPUTED_VALUE"""),"")</f>
        <v/>
      </c>
      <c r="AC16046" s="16" t="str">
        <f>IFERROR(__xludf.DUMMYFUNCTION("""COMPUTED_VALUE"""),"")</f>
        <v/>
      </c>
    </row>
    <row r="16047">
      <c r="A16047" s="16" t="s">
        <v>87</v>
      </c>
      <c r="E16047" s="16" t="str">
        <f>IFERROR(__xludf.DUMMYFUNCTION("""COMPUTED_VALUE"""),"")</f>
        <v/>
      </c>
      <c r="G16047" s="18"/>
      <c r="H16047" s="16" t="s">
        <v>87</v>
      </c>
      <c r="I16047" s="16" t="s">
        <v>87</v>
      </c>
      <c r="J16047" s="19"/>
      <c r="L16047" s="16" t="str">
        <f>IFERROR(__xludf.DUMMYFUNCTION("""COMPUTED_VALUE"""),"")</f>
        <v/>
      </c>
      <c r="M16047" s="16" t="str">
        <f>IFERROR(__xludf.DUMMYFUNCTION("""COMPUTED_VALUE"""),"")</f>
        <v/>
      </c>
      <c r="U16047" s="16" t="s">
        <v>87</v>
      </c>
      <c r="V16047" s="16" t="str">
        <f>IFERROR(__xludf.DUMMYFUNCTION("""COMPUTED_VALUE"""),"")</f>
        <v/>
      </c>
      <c r="W16047" s="16" t="str">
        <f>IFERROR(__xludf.DUMMYFUNCTION("""COMPUTED_VALUE"""),"")</f>
        <v/>
      </c>
      <c r="X16047" s="16" t="str">
        <f>IFERROR(__xludf.DUMMYFUNCTION("""COMPUTED_VALUE"""),"")</f>
        <v/>
      </c>
      <c r="AC16047" s="16" t="str">
        <f>IFERROR(__xludf.DUMMYFUNCTION("""COMPUTED_VALUE"""),"")</f>
        <v/>
      </c>
    </row>
    <row r="16048">
      <c r="A16048" s="16" t="s">
        <v>87</v>
      </c>
      <c r="E16048" s="16" t="str">
        <f>IFERROR(__xludf.DUMMYFUNCTION("""COMPUTED_VALUE"""),"")</f>
        <v/>
      </c>
      <c r="G16048" s="18"/>
      <c r="H16048" s="16" t="s">
        <v>87</v>
      </c>
      <c r="I16048" s="16" t="s">
        <v>87</v>
      </c>
      <c r="J16048" s="19"/>
      <c r="L16048" s="16" t="str">
        <f>IFERROR(__xludf.DUMMYFUNCTION("""COMPUTED_VALUE"""),"")</f>
        <v/>
      </c>
      <c r="M16048" s="16" t="str">
        <f>IFERROR(__xludf.DUMMYFUNCTION("""COMPUTED_VALUE"""),"")</f>
        <v/>
      </c>
      <c r="U16048" s="16" t="s">
        <v>87</v>
      </c>
      <c r="V16048" s="16" t="str">
        <f>IFERROR(__xludf.DUMMYFUNCTION("""COMPUTED_VALUE"""),"")</f>
        <v/>
      </c>
      <c r="W16048" s="16" t="str">
        <f>IFERROR(__xludf.DUMMYFUNCTION("""COMPUTED_VALUE"""),"")</f>
        <v/>
      </c>
      <c r="X16048" s="16" t="str">
        <f>IFERROR(__xludf.DUMMYFUNCTION("""COMPUTED_VALUE"""),"")</f>
        <v/>
      </c>
      <c r="AC16048" s="16" t="str">
        <f>IFERROR(__xludf.DUMMYFUNCTION("""COMPUTED_VALUE"""),"")</f>
        <v/>
      </c>
    </row>
    <row r="16049">
      <c r="A16049" s="16" t="s">
        <v>87</v>
      </c>
      <c r="E16049" s="16" t="str">
        <f>IFERROR(__xludf.DUMMYFUNCTION("""COMPUTED_VALUE"""),"")</f>
        <v/>
      </c>
      <c r="G16049" s="18"/>
      <c r="H16049" s="16" t="s">
        <v>87</v>
      </c>
      <c r="I16049" s="16" t="s">
        <v>87</v>
      </c>
      <c r="J16049" s="19"/>
      <c r="L16049" s="16" t="str">
        <f>IFERROR(__xludf.DUMMYFUNCTION("""COMPUTED_VALUE"""),"")</f>
        <v/>
      </c>
      <c r="M16049" s="16" t="str">
        <f>IFERROR(__xludf.DUMMYFUNCTION("""COMPUTED_VALUE"""),"")</f>
        <v/>
      </c>
      <c r="U16049" s="16" t="s">
        <v>87</v>
      </c>
      <c r="V16049" s="16" t="str">
        <f>IFERROR(__xludf.DUMMYFUNCTION("""COMPUTED_VALUE"""),"")</f>
        <v/>
      </c>
      <c r="W16049" s="16" t="str">
        <f>IFERROR(__xludf.DUMMYFUNCTION("""COMPUTED_VALUE"""),"")</f>
        <v/>
      </c>
      <c r="X16049" s="16" t="str">
        <f>IFERROR(__xludf.DUMMYFUNCTION("""COMPUTED_VALUE"""),"")</f>
        <v/>
      </c>
      <c r="AC16049" s="16" t="str">
        <f>IFERROR(__xludf.DUMMYFUNCTION("""COMPUTED_VALUE"""),"")</f>
        <v/>
      </c>
    </row>
    <row r="16050">
      <c r="A16050" s="16" t="s">
        <v>87</v>
      </c>
      <c r="E16050" s="16" t="str">
        <f>IFERROR(__xludf.DUMMYFUNCTION("""COMPUTED_VALUE"""),"")</f>
        <v/>
      </c>
      <c r="G16050" s="18"/>
      <c r="H16050" s="16" t="s">
        <v>87</v>
      </c>
      <c r="I16050" s="16" t="s">
        <v>87</v>
      </c>
      <c r="J16050" s="19"/>
      <c r="L16050" s="16" t="str">
        <f>IFERROR(__xludf.DUMMYFUNCTION("""COMPUTED_VALUE"""),"")</f>
        <v/>
      </c>
      <c r="M16050" s="16" t="str">
        <f>IFERROR(__xludf.DUMMYFUNCTION("""COMPUTED_VALUE"""),"")</f>
        <v/>
      </c>
      <c r="U16050" s="16" t="s">
        <v>87</v>
      </c>
      <c r="V16050" s="16" t="str">
        <f>IFERROR(__xludf.DUMMYFUNCTION("""COMPUTED_VALUE"""),"")</f>
        <v/>
      </c>
      <c r="W16050" s="16" t="str">
        <f>IFERROR(__xludf.DUMMYFUNCTION("""COMPUTED_VALUE"""),"")</f>
        <v/>
      </c>
      <c r="X16050" s="16" t="str">
        <f>IFERROR(__xludf.DUMMYFUNCTION("""COMPUTED_VALUE"""),"")</f>
        <v/>
      </c>
      <c r="AC16050" s="16" t="str">
        <f>IFERROR(__xludf.DUMMYFUNCTION("""COMPUTED_VALUE"""),"")</f>
        <v/>
      </c>
    </row>
    <row r="16051">
      <c r="A16051" s="16" t="s">
        <v>87</v>
      </c>
      <c r="E16051" s="16" t="str">
        <f>IFERROR(__xludf.DUMMYFUNCTION("""COMPUTED_VALUE"""),"")</f>
        <v/>
      </c>
      <c r="G16051" s="18"/>
      <c r="H16051" s="16" t="s">
        <v>87</v>
      </c>
      <c r="I16051" s="16" t="s">
        <v>87</v>
      </c>
      <c r="J16051" s="19"/>
      <c r="L16051" s="16" t="str">
        <f>IFERROR(__xludf.DUMMYFUNCTION("""COMPUTED_VALUE"""),"")</f>
        <v/>
      </c>
      <c r="M16051" s="16" t="str">
        <f>IFERROR(__xludf.DUMMYFUNCTION("""COMPUTED_VALUE"""),"")</f>
        <v/>
      </c>
      <c r="U16051" s="16" t="s">
        <v>87</v>
      </c>
      <c r="V16051" s="16" t="str">
        <f>IFERROR(__xludf.DUMMYFUNCTION("""COMPUTED_VALUE"""),"")</f>
        <v/>
      </c>
      <c r="W16051" s="16" t="str">
        <f>IFERROR(__xludf.DUMMYFUNCTION("""COMPUTED_VALUE"""),"")</f>
        <v/>
      </c>
      <c r="X16051" s="16" t="str">
        <f>IFERROR(__xludf.DUMMYFUNCTION("""COMPUTED_VALUE"""),"")</f>
        <v/>
      </c>
      <c r="AC16051" s="16" t="str">
        <f>IFERROR(__xludf.DUMMYFUNCTION("""COMPUTED_VALUE"""),"")</f>
        <v/>
      </c>
    </row>
    <row r="16052">
      <c r="A16052" s="16" t="s">
        <v>87</v>
      </c>
      <c r="E16052" s="16" t="str">
        <f>IFERROR(__xludf.DUMMYFUNCTION("""COMPUTED_VALUE"""),"")</f>
        <v/>
      </c>
      <c r="G16052" s="18"/>
      <c r="H16052" s="16" t="s">
        <v>87</v>
      </c>
      <c r="I16052" s="16" t="s">
        <v>87</v>
      </c>
      <c r="J16052" s="19"/>
      <c r="L16052" s="16" t="str">
        <f>IFERROR(__xludf.DUMMYFUNCTION("""COMPUTED_VALUE"""),"")</f>
        <v/>
      </c>
      <c r="M16052" s="16" t="str">
        <f>IFERROR(__xludf.DUMMYFUNCTION("""COMPUTED_VALUE"""),"")</f>
        <v/>
      </c>
      <c r="U16052" s="16" t="s">
        <v>87</v>
      </c>
      <c r="V16052" s="16" t="str">
        <f>IFERROR(__xludf.DUMMYFUNCTION("""COMPUTED_VALUE"""),"")</f>
        <v/>
      </c>
      <c r="W16052" s="16" t="str">
        <f>IFERROR(__xludf.DUMMYFUNCTION("""COMPUTED_VALUE"""),"")</f>
        <v/>
      </c>
      <c r="X16052" s="16" t="str">
        <f>IFERROR(__xludf.DUMMYFUNCTION("""COMPUTED_VALUE"""),"")</f>
        <v/>
      </c>
      <c r="AC16052" s="16" t="str">
        <f>IFERROR(__xludf.DUMMYFUNCTION("""COMPUTED_VALUE"""),"")</f>
        <v/>
      </c>
    </row>
    <row r="16053">
      <c r="A16053" s="16" t="s">
        <v>87</v>
      </c>
      <c r="E16053" s="16" t="str">
        <f>IFERROR(__xludf.DUMMYFUNCTION("""COMPUTED_VALUE"""),"")</f>
        <v/>
      </c>
      <c r="G16053" s="18"/>
      <c r="H16053" s="16" t="s">
        <v>87</v>
      </c>
      <c r="I16053" s="16" t="s">
        <v>87</v>
      </c>
      <c r="J16053" s="19"/>
      <c r="L16053" s="16" t="str">
        <f>IFERROR(__xludf.DUMMYFUNCTION("""COMPUTED_VALUE"""),"")</f>
        <v/>
      </c>
      <c r="M16053" s="16" t="str">
        <f>IFERROR(__xludf.DUMMYFUNCTION("""COMPUTED_VALUE"""),"")</f>
        <v/>
      </c>
      <c r="U16053" s="16" t="s">
        <v>87</v>
      </c>
      <c r="V16053" s="16" t="str">
        <f>IFERROR(__xludf.DUMMYFUNCTION("""COMPUTED_VALUE"""),"")</f>
        <v/>
      </c>
      <c r="W16053" s="16" t="str">
        <f>IFERROR(__xludf.DUMMYFUNCTION("""COMPUTED_VALUE"""),"")</f>
        <v/>
      </c>
      <c r="X16053" s="16" t="str">
        <f>IFERROR(__xludf.DUMMYFUNCTION("""COMPUTED_VALUE"""),"")</f>
        <v/>
      </c>
      <c r="AC16053" s="16" t="str">
        <f>IFERROR(__xludf.DUMMYFUNCTION("""COMPUTED_VALUE"""),"")</f>
        <v/>
      </c>
    </row>
    <row r="16054">
      <c r="A16054" s="16" t="s">
        <v>87</v>
      </c>
      <c r="E16054" s="16" t="str">
        <f>IFERROR(__xludf.DUMMYFUNCTION("""COMPUTED_VALUE"""),"")</f>
        <v/>
      </c>
      <c r="G16054" s="18"/>
      <c r="H16054" s="16" t="s">
        <v>87</v>
      </c>
      <c r="I16054" s="16" t="s">
        <v>87</v>
      </c>
      <c r="J16054" s="19"/>
      <c r="L16054" s="16" t="str">
        <f>IFERROR(__xludf.DUMMYFUNCTION("""COMPUTED_VALUE"""),"")</f>
        <v/>
      </c>
      <c r="M16054" s="16" t="str">
        <f>IFERROR(__xludf.DUMMYFUNCTION("""COMPUTED_VALUE"""),"")</f>
        <v/>
      </c>
      <c r="U16054" s="16" t="s">
        <v>87</v>
      </c>
      <c r="V16054" s="16" t="str">
        <f>IFERROR(__xludf.DUMMYFUNCTION("""COMPUTED_VALUE"""),"")</f>
        <v/>
      </c>
      <c r="W16054" s="16" t="str">
        <f>IFERROR(__xludf.DUMMYFUNCTION("""COMPUTED_VALUE"""),"")</f>
        <v/>
      </c>
      <c r="X16054" s="16" t="str">
        <f>IFERROR(__xludf.DUMMYFUNCTION("""COMPUTED_VALUE"""),"")</f>
        <v/>
      </c>
      <c r="AC16054" s="16" t="str">
        <f>IFERROR(__xludf.DUMMYFUNCTION("""COMPUTED_VALUE"""),"")</f>
        <v/>
      </c>
    </row>
    <row r="16055">
      <c r="A16055" s="16" t="s">
        <v>87</v>
      </c>
      <c r="E16055" s="16" t="str">
        <f>IFERROR(__xludf.DUMMYFUNCTION("""COMPUTED_VALUE"""),"")</f>
        <v/>
      </c>
      <c r="G16055" s="18"/>
      <c r="H16055" s="16" t="s">
        <v>87</v>
      </c>
      <c r="I16055" s="16" t="s">
        <v>87</v>
      </c>
      <c r="J16055" s="19"/>
      <c r="L16055" s="16" t="str">
        <f>IFERROR(__xludf.DUMMYFUNCTION("""COMPUTED_VALUE"""),"")</f>
        <v/>
      </c>
      <c r="M16055" s="16" t="str">
        <f>IFERROR(__xludf.DUMMYFUNCTION("""COMPUTED_VALUE"""),"")</f>
        <v/>
      </c>
      <c r="U16055" s="16" t="s">
        <v>87</v>
      </c>
      <c r="V16055" s="16" t="str">
        <f>IFERROR(__xludf.DUMMYFUNCTION("""COMPUTED_VALUE"""),"")</f>
        <v/>
      </c>
      <c r="W16055" s="16" t="str">
        <f>IFERROR(__xludf.DUMMYFUNCTION("""COMPUTED_VALUE"""),"")</f>
        <v/>
      </c>
      <c r="X16055" s="16" t="str">
        <f>IFERROR(__xludf.DUMMYFUNCTION("""COMPUTED_VALUE"""),"")</f>
        <v/>
      </c>
      <c r="AC16055" s="16" t="str">
        <f>IFERROR(__xludf.DUMMYFUNCTION("""COMPUTED_VALUE"""),"")</f>
        <v/>
      </c>
    </row>
    <row r="16056">
      <c r="A16056" s="16" t="s">
        <v>87</v>
      </c>
      <c r="E16056" s="16" t="str">
        <f>IFERROR(__xludf.DUMMYFUNCTION("""COMPUTED_VALUE"""),"")</f>
        <v/>
      </c>
      <c r="G16056" s="18"/>
      <c r="H16056" s="16" t="s">
        <v>87</v>
      </c>
      <c r="I16056" s="16" t="s">
        <v>87</v>
      </c>
      <c r="J16056" s="19"/>
      <c r="L16056" s="16" t="str">
        <f>IFERROR(__xludf.DUMMYFUNCTION("""COMPUTED_VALUE"""),"")</f>
        <v/>
      </c>
      <c r="M16056" s="16" t="str">
        <f>IFERROR(__xludf.DUMMYFUNCTION("""COMPUTED_VALUE"""),"")</f>
        <v/>
      </c>
      <c r="U16056" s="16" t="s">
        <v>87</v>
      </c>
      <c r="V16056" s="16" t="str">
        <f>IFERROR(__xludf.DUMMYFUNCTION("""COMPUTED_VALUE"""),"")</f>
        <v/>
      </c>
      <c r="W16056" s="16" t="str">
        <f>IFERROR(__xludf.DUMMYFUNCTION("""COMPUTED_VALUE"""),"")</f>
        <v/>
      </c>
      <c r="X16056" s="16" t="str">
        <f>IFERROR(__xludf.DUMMYFUNCTION("""COMPUTED_VALUE"""),"")</f>
        <v/>
      </c>
      <c r="AC16056" s="16" t="str">
        <f>IFERROR(__xludf.DUMMYFUNCTION("""COMPUTED_VALUE"""),"")</f>
        <v/>
      </c>
    </row>
    <row r="16057">
      <c r="A16057" s="16" t="s">
        <v>87</v>
      </c>
      <c r="E16057" s="16" t="str">
        <f>IFERROR(__xludf.DUMMYFUNCTION("""COMPUTED_VALUE"""),"")</f>
        <v/>
      </c>
      <c r="G16057" s="18"/>
      <c r="H16057" s="16" t="s">
        <v>87</v>
      </c>
      <c r="I16057" s="16" t="s">
        <v>87</v>
      </c>
      <c r="J16057" s="19"/>
      <c r="L16057" s="16" t="str">
        <f>IFERROR(__xludf.DUMMYFUNCTION("""COMPUTED_VALUE"""),"")</f>
        <v/>
      </c>
      <c r="M16057" s="16" t="str">
        <f>IFERROR(__xludf.DUMMYFUNCTION("""COMPUTED_VALUE"""),"")</f>
        <v/>
      </c>
      <c r="U16057" s="16" t="s">
        <v>87</v>
      </c>
      <c r="V16057" s="16" t="str">
        <f>IFERROR(__xludf.DUMMYFUNCTION("""COMPUTED_VALUE"""),"")</f>
        <v/>
      </c>
      <c r="W16057" s="16" t="str">
        <f>IFERROR(__xludf.DUMMYFUNCTION("""COMPUTED_VALUE"""),"")</f>
        <v/>
      </c>
      <c r="X16057" s="16" t="str">
        <f>IFERROR(__xludf.DUMMYFUNCTION("""COMPUTED_VALUE"""),"")</f>
        <v/>
      </c>
      <c r="AC16057" s="16" t="str">
        <f>IFERROR(__xludf.DUMMYFUNCTION("""COMPUTED_VALUE"""),"")</f>
        <v/>
      </c>
    </row>
    <row r="16058">
      <c r="A16058" s="16" t="s">
        <v>87</v>
      </c>
      <c r="E16058" s="16" t="str">
        <f>IFERROR(__xludf.DUMMYFUNCTION("""COMPUTED_VALUE"""),"")</f>
        <v/>
      </c>
      <c r="G16058" s="18"/>
      <c r="H16058" s="16" t="s">
        <v>87</v>
      </c>
      <c r="I16058" s="16" t="s">
        <v>87</v>
      </c>
      <c r="J16058" s="19"/>
      <c r="L16058" s="16" t="str">
        <f>IFERROR(__xludf.DUMMYFUNCTION("""COMPUTED_VALUE"""),"")</f>
        <v/>
      </c>
      <c r="M16058" s="16" t="str">
        <f>IFERROR(__xludf.DUMMYFUNCTION("""COMPUTED_VALUE"""),"")</f>
        <v/>
      </c>
      <c r="U16058" s="16" t="s">
        <v>87</v>
      </c>
      <c r="V16058" s="16" t="str">
        <f>IFERROR(__xludf.DUMMYFUNCTION("""COMPUTED_VALUE"""),"")</f>
        <v/>
      </c>
      <c r="W16058" s="16" t="str">
        <f>IFERROR(__xludf.DUMMYFUNCTION("""COMPUTED_VALUE"""),"")</f>
        <v/>
      </c>
      <c r="X16058" s="16" t="str">
        <f>IFERROR(__xludf.DUMMYFUNCTION("""COMPUTED_VALUE"""),"")</f>
        <v/>
      </c>
      <c r="AC16058" s="16" t="str">
        <f>IFERROR(__xludf.DUMMYFUNCTION("""COMPUTED_VALUE"""),"")</f>
        <v/>
      </c>
    </row>
    <row r="16059">
      <c r="A16059" s="16" t="s">
        <v>87</v>
      </c>
      <c r="E16059" s="16" t="str">
        <f>IFERROR(__xludf.DUMMYFUNCTION("""COMPUTED_VALUE"""),"")</f>
        <v/>
      </c>
      <c r="G16059" s="18"/>
      <c r="H16059" s="16" t="s">
        <v>87</v>
      </c>
      <c r="I16059" s="16" t="s">
        <v>87</v>
      </c>
      <c r="J16059" s="19"/>
      <c r="L16059" s="16" t="str">
        <f>IFERROR(__xludf.DUMMYFUNCTION("""COMPUTED_VALUE"""),"")</f>
        <v/>
      </c>
      <c r="M16059" s="16" t="str">
        <f>IFERROR(__xludf.DUMMYFUNCTION("""COMPUTED_VALUE"""),"")</f>
        <v/>
      </c>
      <c r="U16059" s="16" t="s">
        <v>87</v>
      </c>
      <c r="V16059" s="16" t="str">
        <f>IFERROR(__xludf.DUMMYFUNCTION("""COMPUTED_VALUE"""),"")</f>
        <v/>
      </c>
      <c r="W16059" s="16" t="str">
        <f>IFERROR(__xludf.DUMMYFUNCTION("""COMPUTED_VALUE"""),"")</f>
        <v/>
      </c>
      <c r="X16059" s="16" t="str">
        <f>IFERROR(__xludf.DUMMYFUNCTION("""COMPUTED_VALUE"""),"")</f>
        <v/>
      </c>
      <c r="AC16059" s="16" t="str">
        <f>IFERROR(__xludf.DUMMYFUNCTION("""COMPUTED_VALUE"""),"")</f>
        <v/>
      </c>
    </row>
    <row r="16060">
      <c r="A16060" s="16" t="s">
        <v>87</v>
      </c>
      <c r="E16060" s="16" t="str">
        <f>IFERROR(__xludf.DUMMYFUNCTION("""COMPUTED_VALUE"""),"")</f>
        <v/>
      </c>
      <c r="G16060" s="18"/>
      <c r="H16060" s="16" t="s">
        <v>87</v>
      </c>
      <c r="I16060" s="16" t="s">
        <v>87</v>
      </c>
      <c r="J16060" s="19"/>
      <c r="L16060" s="16" t="str">
        <f>IFERROR(__xludf.DUMMYFUNCTION("""COMPUTED_VALUE"""),"")</f>
        <v/>
      </c>
      <c r="M16060" s="16" t="str">
        <f>IFERROR(__xludf.DUMMYFUNCTION("""COMPUTED_VALUE"""),"")</f>
        <v/>
      </c>
      <c r="U16060" s="16" t="s">
        <v>87</v>
      </c>
      <c r="V16060" s="16" t="str">
        <f>IFERROR(__xludf.DUMMYFUNCTION("""COMPUTED_VALUE"""),"")</f>
        <v/>
      </c>
      <c r="W16060" s="16" t="str">
        <f>IFERROR(__xludf.DUMMYFUNCTION("""COMPUTED_VALUE"""),"")</f>
        <v/>
      </c>
      <c r="X16060" s="16" t="str">
        <f>IFERROR(__xludf.DUMMYFUNCTION("""COMPUTED_VALUE"""),"")</f>
        <v/>
      </c>
      <c r="AC16060" s="16" t="str">
        <f>IFERROR(__xludf.DUMMYFUNCTION("""COMPUTED_VALUE"""),"")</f>
        <v/>
      </c>
    </row>
    <row r="16061">
      <c r="A16061" s="16" t="s">
        <v>87</v>
      </c>
      <c r="E16061" s="16" t="str">
        <f>IFERROR(__xludf.DUMMYFUNCTION("""COMPUTED_VALUE"""),"")</f>
        <v/>
      </c>
      <c r="G16061" s="18"/>
      <c r="H16061" s="16" t="s">
        <v>87</v>
      </c>
      <c r="I16061" s="16" t="s">
        <v>87</v>
      </c>
      <c r="J16061" s="19"/>
      <c r="L16061" s="16" t="str">
        <f>IFERROR(__xludf.DUMMYFUNCTION("""COMPUTED_VALUE"""),"")</f>
        <v/>
      </c>
      <c r="M16061" s="16" t="str">
        <f>IFERROR(__xludf.DUMMYFUNCTION("""COMPUTED_VALUE"""),"")</f>
        <v/>
      </c>
      <c r="U16061" s="16" t="s">
        <v>87</v>
      </c>
      <c r="V16061" s="16" t="str">
        <f>IFERROR(__xludf.DUMMYFUNCTION("""COMPUTED_VALUE"""),"")</f>
        <v/>
      </c>
      <c r="W16061" s="16" t="str">
        <f>IFERROR(__xludf.DUMMYFUNCTION("""COMPUTED_VALUE"""),"")</f>
        <v/>
      </c>
      <c r="X16061" s="16" t="str">
        <f>IFERROR(__xludf.DUMMYFUNCTION("""COMPUTED_VALUE"""),"")</f>
        <v/>
      </c>
      <c r="AC16061" s="16" t="str">
        <f>IFERROR(__xludf.DUMMYFUNCTION("""COMPUTED_VALUE"""),"")</f>
        <v/>
      </c>
    </row>
    <row r="16062">
      <c r="A16062" s="16" t="s">
        <v>87</v>
      </c>
      <c r="E16062" s="16" t="str">
        <f>IFERROR(__xludf.DUMMYFUNCTION("""COMPUTED_VALUE"""),"")</f>
        <v/>
      </c>
      <c r="G16062" s="18"/>
      <c r="H16062" s="16" t="s">
        <v>87</v>
      </c>
      <c r="I16062" s="16" t="s">
        <v>87</v>
      </c>
      <c r="J16062" s="19"/>
      <c r="L16062" s="16" t="str">
        <f>IFERROR(__xludf.DUMMYFUNCTION("""COMPUTED_VALUE"""),"")</f>
        <v/>
      </c>
      <c r="M16062" s="16" t="str">
        <f>IFERROR(__xludf.DUMMYFUNCTION("""COMPUTED_VALUE"""),"")</f>
        <v/>
      </c>
      <c r="U16062" s="16" t="s">
        <v>87</v>
      </c>
      <c r="V16062" s="16" t="str">
        <f>IFERROR(__xludf.DUMMYFUNCTION("""COMPUTED_VALUE"""),"")</f>
        <v/>
      </c>
      <c r="W16062" s="16" t="str">
        <f>IFERROR(__xludf.DUMMYFUNCTION("""COMPUTED_VALUE"""),"")</f>
        <v/>
      </c>
      <c r="X16062" s="16" t="str">
        <f>IFERROR(__xludf.DUMMYFUNCTION("""COMPUTED_VALUE"""),"")</f>
        <v/>
      </c>
      <c r="AC16062" s="16" t="str">
        <f>IFERROR(__xludf.DUMMYFUNCTION("""COMPUTED_VALUE"""),"")</f>
        <v/>
      </c>
    </row>
    <row r="16063">
      <c r="A16063" s="16" t="s">
        <v>87</v>
      </c>
      <c r="E16063" s="16" t="str">
        <f>IFERROR(__xludf.DUMMYFUNCTION("""COMPUTED_VALUE"""),"")</f>
        <v/>
      </c>
      <c r="G16063" s="18"/>
      <c r="H16063" s="16" t="s">
        <v>87</v>
      </c>
      <c r="I16063" s="16" t="s">
        <v>87</v>
      </c>
      <c r="J16063" s="19"/>
      <c r="L16063" s="16" t="str">
        <f>IFERROR(__xludf.DUMMYFUNCTION("""COMPUTED_VALUE"""),"")</f>
        <v/>
      </c>
      <c r="M16063" s="16" t="str">
        <f>IFERROR(__xludf.DUMMYFUNCTION("""COMPUTED_VALUE"""),"")</f>
        <v/>
      </c>
      <c r="U16063" s="16" t="s">
        <v>87</v>
      </c>
      <c r="V16063" s="16" t="str">
        <f>IFERROR(__xludf.DUMMYFUNCTION("""COMPUTED_VALUE"""),"")</f>
        <v/>
      </c>
      <c r="W16063" s="16" t="str">
        <f>IFERROR(__xludf.DUMMYFUNCTION("""COMPUTED_VALUE"""),"")</f>
        <v/>
      </c>
      <c r="X16063" s="16" t="str">
        <f>IFERROR(__xludf.DUMMYFUNCTION("""COMPUTED_VALUE"""),"")</f>
        <v/>
      </c>
      <c r="AC16063" s="16" t="str">
        <f>IFERROR(__xludf.DUMMYFUNCTION("""COMPUTED_VALUE"""),"")</f>
        <v/>
      </c>
    </row>
    <row r="16064">
      <c r="A16064" s="16" t="s">
        <v>87</v>
      </c>
      <c r="E16064" s="16" t="str">
        <f>IFERROR(__xludf.DUMMYFUNCTION("""COMPUTED_VALUE"""),"")</f>
        <v/>
      </c>
      <c r="G16064" s="18"/>
      <c r="H16064" s="16" t="s">
        <v>87</v>
      </c>
      <c r="I16064" s="16" t="s">
        <v>87</v>
      </c>
      <c r="J16064" s="19"/>
      <c r="L16064" s="16" t="str">
        <f>IFERROR(__xludf.DUMMYFUNCTION("""COMPUTED_VALUE"""),"")</f>
        <v/>
      </c>
      <c r="M16064" s="16" t="str">
        <f>IFERROR(__xludf.DUMMYFUNCTION("""COMPUTED_VALUE"""),"")</f>
        <v/>
      </c>
      <c r="U16064" s="16" t="s">
        <v>87</v>
      </c>
      <c r="V16064" s="16" t="str">
        <f>IFERROR(__xludf.DUMMYFUNCTION("""COMPUTED_VALUE"""),"")</f>
        <v/>
      </c>
      <c r="W16064" s="16" t="str">
        <f>IFERROR(__xludf.DUMMYFUNCTION("""COMPUTED_VALUE"""),"")</f>
        <v/>
      </c>
      <c r="X16064" s="16" t="str">
        <f>IFERROR(__xludf.DUMMYFUNCTION("""COMPUTED_VALUE"""),"")</f>
        <v/>
      </c>
      <c r="AC16064" s="16" t="str">
        <f>IFERROR(__xludf.DUMMYFUNCTION("""COMPUTED_VALUE"""),"")</f>
        <v/>
      </c>
    </row>
    <row r="16065">
      <c r="A16065" s="16" t="s">
        <v>87</v>
      </c>
      <c r="E16065" s="16" t="str">
        <f>IFERROR(__xludf.DUMMYFUNCTION("""COMPUTED_VALUE"""),"")</f>
        <v/>
      </c>
      <c r="G16065" s="18"/>
      <c r="H16065" s="16" t="s">
        <v>87</v>
      </c>
      <c r="I16065" s="16" t="s">
        <v>87</v>
      </c>
      <c r="J16065" s="19"/>
      <c r="L16065" s="16" t="str">
        <f>IFERROR(__xludf.DUMMYFUNCTION("""COMPUTED_VALUE"""),"")</f>
        <v/>
      </c>
      <c r="M16065" s="16" t="str">
        <f>IFERROR(__xludf.DUMMYFUNCTION("""COMPUTED_VALUE"""),"")</f>
        <v/>
      </c>
      <c r="U16065" s="16" t="s">
        <v>87</v>
      </c>
      <c r="V16065" s="16" t="str">
        <f>IFERROR(__xludf.DUMMYFUNCTION("""COMPUTED_VALUE"""),"")</f>
        <v/>
      </c>
      <c r="W16065" s="16" t="str">
        <f>IFERROR(__xludf.DUMMYFUNCTION("""COMPUTED_VALUE"""),"")</f>
        <v/>
      </c>
      <c r="X16065" s="16" t="str">
        <f>IFERROR(__xludf.DUMMYFUNCTION("""COMPUTED_VALUE"""),"")</f>
        <v/>
      </c>
      <c r="AC16065" s="16" t="str">
        <f>IFERROR(__xludf.DUMMYFUNCTION("""COMPUTED_VALUE"""),"")</f>
        <v/>
      </c>
    </row>
    <row r="16066">
      <c r="A16066" s="16" t="s">
        <v>87</v>
      </c>
      <c r="E16066" s="16" t="str">
        <f>IFERROR(__xludf.DUMMYFUNCTION("""COMPUTED_VALUE"""),"")</f>
        <v/>
      </c>
      <c r="G16066" s="18"/>
      <c r="H16066" s="16" t="s">
        <v>87</v>
      </c>
      <c r="I16066" s="16" t="s">
        <v>87</v>
      </c>
      <c r="J16066" s="19"/>
      <c r="L16066" s="16" t="str">
        <f>IFERROR(__xludf.DUMMYFUNCTION("""COMPUTED_VALUE"""),"")</f>
        <v/>
      </c>
      <c r="M16066" s="16" t="str">
        <f>IFERROR(__xludf.DUMMYFUNCTION("""COMPUTED_VALUE"""),"")</f>
        <v/>
      </c>
      <c r="U16066" s="16" t="s">
        <v>87</v>
      </c>
      <c r="V16066" s="16" t="str">
        <f>IFERROR(__xludf.DUMMYFUNCTION("""COMPUTED_VALUE"""),"")</f>
        <v/>
      </c>
      <c r="W16066" s="16" t="str">
        <f>IFERROR(__xludf.DUMMYFUNCTION("""COMPUTED_VALUE"""),"")</f>
        <v/>
      </c>
      <c r="X16066" s="16" t="str">
        <f>IFERROR(__xludf.DUMMYFUNCTION("""COMPUTED_VALUE"""),"")</f>
        <v/>
      </c>
      <c r="AC16066" s="16" t="str">
        <f>IFERROR(__xludf.DUMMYFUNCTION("""COMPUTED_VALUE"""),"")</f>
        <v/>
      </c>
    </row>
    <row r="16067">
      <c r="A16067" s="16" t="s">
        <v>87</v>
      </c>
      <c r="E16067" s="16" t="str">
        <f>IFERROR(__xludf.DUMMYFUNCTION("""COMPUTED_VALUE"""),"")</f>
        <v/>
      </c>
      <c r="G16067" s="18"/>
      <c r="H16067" s="16" t="s">
        <v>87</v>
      </c>
      <c r="I16067" s="16" t="s">
        <v>87</v>
      </c>
      <c r="J16067" s="19"/>
      <c r="L16067" s="16" t="str">
        <f>IFERROR(__xludf.DUMMYFUNCTION("""COMPUTED_VALUE"""),"")</f>
        <v/>
      </c>
      <c r="M16067" s="16" t="str">
        <f>IFERROR(__xludf.DUMMYFUNCTION("""COMPUTED_VALUE"""),"")</f>
        <v/>
      </c>
      <c r="U16067" s="16" t="s">
        <v>87</v>
      </c>
      <c r="V16067" s="16" t="str">
        <f>IFERROR(__xludf.DUMMYFUNCTION("""COMPUTED_VALUE"""),"")</f>
        <v/>
      </c>
      <c r="W16067" s="16" t="str">
        <f>IFERROR(__xludf.DUMMYFUNCTION("""COMPUTED_VALUE"""),"")</f>
        <v/>
      </c>
      <c r="X16067" s="16" t="str">
        <f>IFERROR(__xludf.DUMMYFUNCTION("""COMPUTED_VALUE"""),"")</f>
        <v/>
      </c>
      <c r="AC16067" s="16" t="str">
        <f>IFERROR(__xludf.DUMMYFUNCTION("""COMPUTED_VALUE"""),"")</f>
        <v/>
      </c>
    </row>
    <row r="16068">
      <c r="A16068" s="16" t="s">
        <v>87</v>
      </c>
      <c r="E16068" s="16" t="str">
        <f>IFERROR(__xludf.DUMMYFUNCTION("""COMPUTED_VALUE"""),"")</f>
        <v/>
      </c>
      <c r="G16068" s="18"/>
      <c r="H16068" s="16" t="s">
        <v>87</v>
      </c>
      <c r="I16068" s="16" t="s">
        <v>87</v>
      </c>
      <c r="J16068" s="19"/>
      <c r="L16068" s="16" t="str">
        <f>IFERROR(__xludf.DUMMYFUNCTION("""COMPUTED_VALUE"""),"")</f>
        <v/>
      </c>
      <c r="M16068" s="16" t="str">
        <f>IFERROR(__xludf.DUMMYFUNCTION("""COMPUTED_VALUE"""),"")</f>
        <v/>
      </c>
      <c r="U16068" s="16" t="s">
        <v>87</v>
      </c>
      <c r="V16068" s="16" t="str">
        <f>IFERROR(__xludf.DUMMYFUNCTION("""COMPUTED_VALUE"""),"")</f>
        <v/>
      </c>
      <c r="W16068" s="16" t="str">
        <f>IFERROR(__xludf.DUMMYFUNCTION("""COMPUTED_VALUE"""),"")</f>
        <v/>
      </c>
      <c r="X16068" s="16" t="str">
        <f>IFERROR(__xludf.DUMMYFUNCTION("""COMPUTED_VALUE"""),"")</f>
        <v/>
      </c>
      <c r="AC16068" s="16" t="str">
        <f>IFERROR(__xludf.DUMMYFUNCTION("""COMPUTED_VALUE"""),"")</f>
        <v/>
      </c>
    </row>
    <row r="16069">
      <c r="A16069" s="16" t="s">
        <v>87</v>
      </c>
      <c r="E16069" s="16" t="str">
        <f>IFERROR(__xludf.DUMMYFUNCTION("""COMPUTED_VALUE"""),"")</f>
        <v/>
      </c>
      <c r="G16069" s="18"/>
      <c r="H16069" s="16" t="s">
        <v>87</v>
      </c>
      <c r="I16069" s="16" t="s">
        <v>87</v>
      </c>
      <c r="J16069" s="19"/>
      <c r="L16069" s="16" t="str">
        <f>IFERROR(__xludf.DUMMYFUNCTION("""COMPUTED_VALUE"""),"")</f>
        <v/>
      </c>
      <c r="M16069" s="16" t="str">
        <f>IFERROR(__xludf.DUMMYFUNCTION("""COMPUTED_VALUE"""),"")</f>
        <v/>
      </c>
      <c r="U16069" s="16" t="s">
        <v>87</v>
      </c>
      <c r="V16069" s="16" t="str">
        <f>IFERROR(__xludf.DUMMYFUNCTION("""COMPUTED_VALUE"""),"")</f>
        <v/>
      </c>
      <c r="W16069" s="16" t="str">
        <f>IFERROR(__xludf.DUMMYFUNCTION("""COMPUTED_VALUE"""),"")</f>
        <v/>
      </c>
      <c r="X16069" s="16" t="str">
        <f>IFERROR(__xludf.DUMMYFUNCTION("""COMPUTED_VALUE"""),"")</f>
        <v/>
      </c>
      <c r="AC16069" s="16" t="str">
        <f>IFERROR(__xludf.DUMMYFUNCTION("""COMPUTED_VALUE"""),"")</f>
        <v/>
      </c>
    </row>
    <row r="16070">
      <c r="A16070" s="16" t="s">
        <v>87</v>
      </c>
      <c r="E16070" s="16" t="str">
        <f>IFERROR(__xludf.DUMMYFUNCTION("""COMPUTED_VALUE"""),"")</f>
        <v/>
      </c>
      <c r="G16070" s="18"/>
      <c r="H16070" s="16" t="s">
        <v>87</v>
      </c>
      <c r="I16070" s="16" t="s">
        <v>87</v>
      </c>
      <c r="J16070" s="19"/>
      <c r="L16070" s="16" t="str">
        <f>IFERROR(__xludf.DUMMYFUNCTION("""COMPUTED_VALUE"""),"")</f>
        <v/>
      </c>
      <c r="M16070" s="16" t="str">
        <f>IFERROR(__xludf.DUMMYFUNCTION("""COMPUTED_VALUE"""),"")</f>
        <v/>
      </c>
      <c r="U16070" s="16" t="s">
        <v>87</v>
      </c>
      <c r="V16070" s="16" t="str">
        <f>IFERROR(__xludf.DUMMYFUNCTION("""COMPUTED_VALUE"""),"")</f>
        <v/>
      </c>
      <c r="W16070" s="16" t="str">
        <f>IFERROR(__xludf.DUMMYFUNCTION("""COMPUTED_VALUE"""),"")</f>
        <v/>
      </c>
      <c r="X16070" s="16" t="str">
        <f>IFERROR(__xludf.DUMMYFUNCTION("""COMPUTED_VALUE"""),"")</f>
        <v/>
      </c>
      <c r="AC16070" s="16" t="str">
        <f>IFERROR(__xludf.DUMMYFUNCTION("""COMPUTED_VALUE"""),"")</f>
        <v/>
      </c>
    </row>
    <row r="16071">
      <c r="A16071" s="16" t="s">
        <v>87</v>
      </c>
      <c r="E16071" s="16" t="str">
        <f>IFERROR(__xludf.DUMMYFUNCTION("""COMPUTED_VALUE"""),"")</f>
        <v/>
      </c>
      <c r="G16071" s="18"/>
      <c r="H16071" s="16" t="s">
        <v>87</v>
      </c>
      <c r="I16071" s="16" t="s">
        <v>87</v>
      </c>
      <c r="J16071" s="19"/>
      <c r="L16071" s="16" t="str">
        <f>IFERROR(__xludf.DUMMYFUNCTION("""COMPUTED_VALUE"""),"")</f>
        <v/>
      </c>
      <c r="M16071" s="16" t="str">
        <f>IFERROR(__xludf.DUMMYFUNCTION("""COMPUTED_VALUE"""),"")</f>
        <v/>
      </c>
      <c r="U16071" s="16" t="s">
        <v>87</v>
      </c>
      <c r="V16071" s="16" t="str">
        <f>IFERROR(__xludf.DUMMYFUNCTION("""COMPUTED_VALUE"""),"")</f>
        <v/>
      </c>
      <c r="W16071" s="16" t="str">
        <f>IFERROR(__xludf.DUMMYFUNCTION("""COMPUTED_VALUE"""),"")</f>
        <v/>
      </c>
      <c r="X16071" s="16" t="str">
        <f>IFERROR(__xludf.DUMMYFUNCTION("""COMPUTED_VALUE"""),"")</f>
        <v/>
      </c>
      <c r="AC16071" s="16" t="str">
        <f>IFERROR(__xludf.DUMMYFUNCTION("""COMPUTED_VALUE"""),"")</f>
        <v/>
      </c>
    </row>
    <row r="16072">
      <c r="A16072" s="16" t="s">
        <v>87</v>
      </c>
      <c r="E16072" s="16" t="str">
        <f>IFERROR(__xludf.DUMMYFUNCTION("""COMPUTED_VALUE"""),"")</f>
        <v/>
      </c>
      <c r="G16072" s="18"/>
      <c r="H16072" s="16" t="s">
        <v>87</v>
      </c>
      <c r="I16072" s="16" t="s">
        <v>87</v>
      </c>
      <c r="J16072" s="19"/>
      <c r="L16072" s="16" t="str">
        <f>IFERROR(__xludf.DUMMYFUNCTION("""COMPUTED_VALUE"""),"")</f>
        <v/>
      </c>
      <c r="M16072" s="16" t="str">
        <f>IFERROR(__xludf.DUMMYFUNCTION("""COMPUTED_VALUE"""),"")</f>
        <v/>
      </c>
      <c r="U16072" s="16" t="s">
        <v>87</v>
      </c>
      <c r="V16072" s="16" t="str">
        <f>IFERROR(__xludf.DUMMYFUNCTION("""COMPUTED_VALUE"""),"")</f>
        <v/>
      </c>
      <c r="W16072" s="16" t="str">
        <f>IFERROR(__xludf.DUMMYFUNCTION("""COMPUTED_VALUE"""),"")</f>
        <v/>
      </c>
      <c r="X16072" s="16" t="str">
        <f>IFERROR(__xludf.DUMMYFUNCTION("""COMPUTED_VALUE"""),"")</f>
        <v/>
      </c>
      <c r="AC16072" s="16" t="str">
        <f>IFERROR(__xludf.DUMMYFUNCTION("""COMPUTED_VALUE"""),"")</f>
        <v/>
      </c>
    </row>
    <row r="16073">
      <c r="A16073" s="16" t="s">
        <v>87</v>
      </c>
      <c r="E16073" s="16" t="str">
        <f>IFERROR(__xludf.DUMMYFUNCTION("""COMPUTED_VALUE"""),"")</f>
        <v/>
      </c>
      <c r="G16073" s="18"/>
      <c r="H16073" s="16" t="s">
        <v>87</v>
      </c>
      <c r="I16073" s="16" t="s">
        <v>87</v>
      </c>
      <c r="J16073" s="19"/>
      <c r="L16073" s="16" t="str">
        <f>IFERROR(__xludf.DUMMYFUNCTION("""COMPUTED_VALUE"""),"")</f>
        <v/>
      </c>
      <c r="M16073" s="16" t="str">
        <f>IFERROR(__xludf.DUMMYFUNCTION("""COMPUTED_VALUE"""),"")</f>
        <v/>
      </c>
      <c r="U16073" s="16" t="s">
        <v>87</v>
      </c>
      <c r="V16073" s="16" t="str">
        <f>IFERROR(__xludf.DUMMYFUNCTION("""COMPUTED_VALUE"""),"")</f>
        <v/>
      </c>
      <c r="W16073" s="16" t="str">
        <f>IFERROR(__xludf.DUMMYFUNCTION("""COMPUTED_VALUE"""),"")</f>
        <v/>
      </c>
      <c r="X16073" s="16" t="str">
        <f>IFERROR(__xludf.DUMMYFUNCTION("""COMPUTED_VALUE"""),"")</f>
        <v/>
      </c>
      <c r="AC16073" s="16" t="str">
        <f>IFERROR(__xludf.DUMMYFUNCTION("""COMPUTED_VALUE"""),"")</f>
        <v/>
      </c>
    </row>
    <row r="16074">
      <c r="A16074" s="16" t="s">
        <v>87</v>
      </c>
      <c r="E16074" s="16" t="str">
        <f>IFERROR(__xludf.DUMMYFUNCTION("""COMPUTED_VALUE"""),"")</f>
        <v/>
      </c>
      <c r="G16074" s="18"/>
      <c r="H16074" s="16" t="s">
        <v>87</v>
      </c>
      <c r="I16074" s="16" t="s">
        <v>87</v>
      </c>
      <c r="J16074" s="19"/>
      <c r="L16074" s="16" t="str">
        <f>IFERROR(__xludf.DUMMYFUNCTION("""COMPUTED_VALUE"""),"")</f>
        <v/>
      </c>
      <c r="M16074" s="16" t="str">
        <f>IFERROR(__xludf.DUMMYFUNCTION("""COMPUTED_VALUE"""),"")</f>
        <v/>
      </c>
      <c r="U16074" s="16" t="s">
        <v>87</v>
      </c>
      <c r="V16074" s="16" t="str">
        <f>IFERROR(__xludf.DUMMYFUNCTION("""COMPUTED_VALUE"""),"")</f>
        <v/>
      </c>
      <c r="W16074" s="16" t="str">
        <f>IFERROR(__xludf.DUMMYFUNCTION("""COMPUTED_VALUE"""),"")</f>
        <v/>
      </c>
      <c r="X16074" s="16" t="str">
        <f>IFERROR(__xludf.DUMMYFUNCTION("""COMPUTED_VALUE"""),"")</f>
        <v/>
      </c>
      <c r="AC16074" s="16" t="str">
        <f>IFERROR(__xludf.DUMMYFUNCTION("""COMPUTED_VALUE"""),"")</f>
        <v/>
      </c>
    </row>
    <row r="16075">
      <c r="A16075" s="16" t="s">
        <v>87</v>
      </c>
      <c r="E16075" s="16" t="str">
        <f>IFERROR(__xludf.DUMMYFUNCTION("""COMPUTED_VALUE"""),"")</f>
        <v/>
      </c>
      <c r="G16075" s="18"/>
      <c r="H16075" s="16" t="s">
        <v>87</v>
      </c>
      <c r="I16075" s="16" t="s">
        <v>87</v>
      </c>
      <c r="J16075" s="19"/>
      <c r="L16075" s="16" t="str">
        <f>IFERROR(__xludf.DUMMYFUNCTION("""COMPUTED_VALUE"""),"")</f>
        <v/>
      </c>
      <c r="M16075" s="16" t="str">
        <f>IFERROR(__xludf.DUMMYFUNCTION("""COMPUTED_VALUE"""),"")</f>
        <v/>
      </c>
      <c r="U16075" s="16" t="s">
        <v>87</v>
      </c>
      <c r="V16075" s="16" t="str">
        <f>IFERROR(__xludf.DUMMYFUNCTION("""COMPUTED_VALUE"""),"")</f>
        <v/>
      </c>
      <c r="W16075" s="16" t="str">
        <f>IFERROR(__xludf.DUMMYFUNCTION("""COMPUTED_VALUE"""),"")</f>
        <v/>
      </c>
      <c r="X16075" s="16" t="str">
        <f>IFERROR(__xludf.DUMMYFUNCTION("""COMPUTED_VALUE"""),"")</f>
        <v/>
      </c>
      <c r="AC16075" s="16" t="str">
        <f>IFERROR(__xludf.DUMMYFUNCTION("""COMPUTED_VALUE"""),"")</f>
        <v/>
      </c>
    </row>
    <row r="16076">
      <c r="A16076" s="16" t="s">
        <v>87</v>
      </c>
      <c r="E16076" s="16" t="str">
        <f>IFERROR(__xludf.DUMMYFUNCTION("""COMPUTED_VALUE"""),"")</f>
        <v/>
      </c>
      <c r="G16076" s="18"/>
      <c r="H16076" s="16" t="s">
        <v>87</v>
      </c>
      <c r="I16076" s="16" t="s">
        <v>87</v>
      </c>
      <c r="J16076" s="19"/>
      <c r="L16076" s="16" t="str">
        <f>IFERROR(__xludf.DUMMYFUNCTION("""COMPUTED_VALUE"""),"")</f>
        <v/>
      </c>
      <c r="M16076" s="16" t="str">
        <f>IFERROR(__xludf.DUMMYFUNCTION("""COMPUTED_VALUE"""),"")</f>
        <v/>
      </c>
      <c r="U16076" s="16" t="s">
        <v>87</v>
      </c>
      <c r="V16076" s="16" t="str">
        <f>IFERROR(__xludf.DUMMYFUNCTION("""COMPUTED_VALUE"""),"")</f>
        <v/>
      </c>
      <c r="W16076" s="16" t="str">
        <f>IFERROR(__xludf.DUMMYFUNCTION("""COMPUTED_VALUE"""),"")</f>
        <v/>
      </c>
      <c r="X16076" s="16" t="str">
        <f>IFERROR(__xludf.DUMMYFUNCTION("""COMPUTED_VALUE"""),"")</f>
        <v/>
      </c>
      <c r="AC16076" s="16" t="str">
        <f>IFERROR(__xludf.DUMMYFUNCTION("""COMPUTED_VALUE"""),"")</f>
        <v/>
      </c>
    </row>
    <row r="16077">
      <c r="A16077" s="16" t="s">
        <v>87</v>
      </c>
      <c r="E16077" s="16" t="str">
        <f>IFERROR(__xludf.DUMMYFUNCTION("""COMPUTED_VALUE"""),"")</f>
        <v/>
      </c>
      <c r="G16077" s="18"/>
      <c r="H16077" s="16" t="s">
        <v>87</v>
      </c>
      <c r="I16077" s="16" t="s">
        <v>87</v>
      </c>
      <c r="J16077" s="19"/>
      <c r="L16077" s="16" t="str">
        <f>IFERROR(__xludf.DUMMYFUNCTION("""COMPUTED_VALUE"""),"")</f>
        <v/>
      </c>
      <c r="M16077" s="16" t="str">
        <f>IFERROR(__xludf.DUMMYFUNCTION("""COMPUTED_VALUE"""),"")</f>
        <v/>
      </c>
      <c r="U16077" s="16" t="s">
        <v>87</v>
      </c>
      <c r="V16077" s="16" t="str">
        <f>IFERROR(__xludf.DUMMYFUNCTION("""COMPUTED_VALUE"""),"")</f>
        <v/>
      </c>
      <c r="W16077" s="16" t="str">
        <f>IFERROR(__xludf.DUMMYFUNCTION("""COMPUTED_VALUE"""),"")</f>
        <v/>
      </c>
      <c r="X16077" s="16" t="str">
        <f>IFERROR(__xludf.DUMMYFUNCTION("""COMPUTED_VALUE"""),"")</f>
        <v/>
      </c>
      <c r="AC16077" s="16" t="str">
        <f>IFERROR(__xludf.DUMMYFUNCTION("""COMPUTED_VALUE"""),"")</f>
        <v/>
      </c>
    </row>
    <row r="16078">
      <c r="A16078" s="16" t="s">
        <v>87</v>
      </c>
      <c r="E16078" s="16" t="str">
        <f>IFERROR(__xludf.DUMMYFUNCTION("""COMPUTED_VALUE"""),"")</f>
        <v/>
      </c>
      <c r="G16078" s="18"/>
      <c r="H16078" s="16" t="s">
        <v>87</v>
      </c>
      <c r="I16078" s="16" t="s">
        <v>87</v>
      </c>
      <c r="J16078" s="19"/>
      <c r="L16078" s="16" t="str">
        <f>IFERROR(__xludf.DUMMYFUNCTION("""COMPUTED_VALUE"""),"")</f>
        <v/>
      </c>
      <c r="M16078" s="16" t="str">
        <f>IFERROR(__xludf.DUMMYFUNCTION("""COMPUTED_VALUE"""),"")</f>
        <v/>
      </c>
      <c r="U16078" s="16" t="s">
        <v>87</v>
      </c>
      <c r="V16078" s="16" t="str">
        <f>IFERROR(__xludf.DUMMYFUNCTION("""COMPUTED_VALUE"""),"")</f>
        <v/>
      </c>
      <c r="W16078" s="16" t="str">
        <f>IFERROR(__xludf.DUMMYFUNCTION("""COMPUTED_VALUE"""),"")</f>
        <v/>
      </c>
      <c r="X16078" s="16" t="str">
        <f>IFERROR(__xludf.DUMMYFUNCTION("""COMPUTED_VALUE"""),"")</f>
        <v/>
      </c>
      <c r="AC16078" s="16" t="str">
        <f>IFERROR(__xludf.DUMMYFUNCTION("""COMPUTED_VALUE"""),"")</f>
        <v/>
      </c>
    </row>
    <row r="16079">
      <c r="A16079" s="16" t="s">
        <v>87</v>
      </c>
      <c r="E16079" s="16" t="str">
        <f>IFERROR(__xludf.DUMMYFUNCTION("""COMPUTED_VALUE"""),"")</f>
        <v/>
      </c>
      <c r="G16079" s="18"/>
      <c r="H16079" s="16" t="s">
        <v>87</v>
      </c>
      <c r="I16079" s="16" t="s">
        <v>87</v>
      </c>
      <c r="J16079" s="19"/>
      <c r="L16079" s="16" t="str">
        <f>IFERROR(__xludf.DUMMYFUNCTION("""COMPUTED_VALUE"""),"")</f>
        <v/>
      </c>
      <c r="M16079" s="16" t="str">
        <f>IFERROR(__xludf.DUMMYFUNCTION("""COMPUTED_VALUE"""),"")</f>
        <v/>
      </c>
      <c r="U16079" s="16" t="s">
        <v>87</v>
      </c>
      <c r="V16079" s="16" t="str">
        <f>IFERROR(__xludf.DUMMYFUNCTION("""COMPUTED_VALUE"""),"")</f>
        <v/>
      </c>
      <c r="W16079" s="16" t="str">
        <f>IFERROR(__xludf.DUMMYFUNCTION("""COMPUTED_VALUE"""),"")</f>
        <v/>
      </c>
      <c r="X16079" s="16" t="str">
        <f>IFERROR(__xludf.DUMMYFUNCTION("""COMPUTED_VALUE"""),"")</f>
        <v/>
      </c>
      <c r="AC16079" s="16" t="str">
        <f>IFERROR(__xludf.DUMMYFUNCTION("""COMPUTED_VALUE"""),"")</f>
        <v/>
      </c>
    </row>
    <row r="16080">
      <c r="A16080" s="16" t="s">
        <v>87</v>
      </c>
      <c r="E16080" s="16" t="str">
        <f>IFERROR(__xludf.DUMMYFUNCTION("""COMPUTED_VALUE"""),"")</f>
        <v/>
      </c>
      <c r="G16080" s="18"/>
      <c r="H16080" s="16" t="s">
        <v>87</v>
      </c>
      <c r="I16080" s="16" t="s">
        <v>87</v>
      </c>
      <c r="J16080" s="19"/>
      <c r="L16080" s="16" t="str">
        <f>IFERROR(__xludf.DUMMYFUNCTION("""COMPUTED_VALUE"""),"")</f>
        <v/>
      </c>
      <c r="M16080" s="16" t="str">
        <f>IFERROR(__xludf.DUMMYFUNCTION("""COMPUTED_VALUE"""),"")</f>
        <v/>
      </c>
      <c r="U16080" s="16" t="s">
        <v>87</v>
      </c>
      <c r="V16080" s="16" t="str">
        <f>IFERROR(__xludf.DUMMYFUNCTION("""COMPUTED_VALUE"""),"")</f>
        <v/>
      </c>
      <c r="W16080" s="16" t="str">
        <f>IFERROR(__xludf.DUMMYFUNCTION("""COMPUTED_VALUE"""),"")</f>
        <v/>
      </c>
      <c r="X16080" s="16" t="str">
        <f>IFERROR(__xludf.DUMMYFUNCTION("""COMPUTED_VALUE"""),"")</f>
        <v/>
      </c>
      <c r="AC16080" s="16" t="str">
        <f>IFERROR(__xludf.DUMMYFUNCTION("""COMPUTED_VALUE"""),"")</f>
        <v/>
      </c>
    </row>
    <row r="16081">
      <c r="A16081" s="16" t="s">
        <v>87</v>
      </c>
      <c r="E16081" s="16" t="str">
        <f>IFERROR(__xludf.DUMMYFUNCTION("""COMPUTED_VALUE"""),"")</f>
        <v/>
      </c>
      <c r="G16081" s="18"/>
      <c r="H16081" s="16" t="s">
        <v>87</v>
      </c>
      <c r="I16081" s="16" t="s">
        <v>87</v>
      </c>
      <c r="J16081" s="19"/>
      <c r="L16081" s="16" t="str">
        <f>IFERROR(__xludf.DUMMYFUNCTION("""COMPUTED_VALUE"""),"")</f>
        <v/>
      </c>
      <c r="M16081" s="16" t="str">
        <f>IFERROR(__xludf.DUMMYFUNCTION("""COMPUTED_VALUE"""),"")</f>
        <v/>
      </c>
      <c r="U16081" s="16" t="s">
        <v>87</v>
      </c>
      <c r="V16081" s="16" t="str">
        <f>IFERROR(__xludf.DUMMYFUNCTION("""COMPUTED_VALUE"""),"")</f>
        <v/>
      </c>
      <c r="W16081" s="16" t="str">
        <f>IFERROR(__xludf.DUMMYFUNCTION("""COMPUTED_VALUE"""),"")</f>
        <v/>
      </c>
      <c r="X16081" s="16" t="str">
        <f>IFERROR(__xludf.DUMMYFUNCTION("""COMPUTED_VALUE"""),"")</f>
        <v/>
      </c>
      <c r="AC16081" s="16" t="str">
        <f>IFERROR(__xludf.DUMMYFUNCTION("""COMPUTED_VALUE"""),"")</f>
        <v/>
      </c>
    </row>
    <row r="16082">
      <c r="A16082" s="16" t="s">
        <v>87</v>
      </c>
      <c r="E16082" s="16" t="str">
        <f>IFERROR(__xludf.DUMMYFUNCTION("""COMPUTED_VALUE"""),"")</f>
        <v/>
      </c>
      <c r="G16082" s="18"/>
      <c r="H16082" s="16" t="s">
        <v>87</v>
      </c>
      <c r="I16082" s="16" t="s">
        <v>87</v>
      </c>
      <c r="J16082" s="19"/>
      <c r="L16082" s="16" t="str">
        <f>IFERROR(__xludf.DUMMYFUNCTION("""COMPUTED_VALUE"""),"")</f>
        <v/>
      </c>
      <c r="M16082" s="16" t="str">
        <f>IFERROR(__xludf.DUMMYFUNCTION("""COMPUTED_VALUE"""),"")</f>
        <v/>
      </c>
      <c r="U16082" s="16" t="s">
        <v>87</v>
      </c>
      <c r="V16082" s="16" t="str">
        <f>IFERROR(__xludf.DUMMYFUNCTION("""COMPUTED_VALUE"""),"")</f>
        <v/>
      </c>
      <c r="W16082" s="16" t="str">
        <f>IFERROR(__xludf.DUMMYFUNCTION("""COMPUTED_VALUE"""),"")</f>
        <v/>
      </c>
      <c r="X16082" s="16" t="str">
        <f>IFERROR(__xludf.DUMMYFUNCTION("""COMPUTED_VALUE"""),"")</f>
        <v/>
      </c>
      <c r="AC16082" s="16" t="str">
        <f>IFERROR(__xludf.DUMMYFUNCTION("""COMPUTED_VALUE"""),"")</f>
        <v/>
      </c>
    </row>
    <row r="16083">
      <c r="A16083" s="16" t="s">
        <v>87</v>
      </c>
      <c r="E16083" s="16" t="str">
        <f>IFERROR(__xludf.DUMMYFUNCTION("""COMPUTED_VALUE"""),"")</f>
        <v/>
      </c>
      <c r="G16083" s="18"/>
      <c r="H16083" s="16" t="s">
        <v>87</v>
      </c>
      <c r="I16083" s="16" t="s">
        <v>87</v>
      </c>
      <c r="J16083" s="19"/>
      <c r="L16083" s="16" t="str">
        <f>IFERROR(__xludf.DUMMYFUNCTION("""COMPUTED_VALUE"""),"")</f>
        <v/>
      </c>
      <c r="M16083" s="16" t="str">
        <f>IFERROR(__xludf.DUMMYFUNCTION("""COMPUTED_VALUE"""),"")</f>
        <v/>
      </c>
      <c r="U16083" s="16" t="s">
        <v>87</v>
      </c>
      <c r="V16083" s="16" t="str">
        <f>IFERROR(__xludf.DUMMYFUNCTION("""COMPUTED_VALUE"""),"")</f>
        <v/>
      </c>
      <c r="W16083" s="16" t="str">
        <f>IFERROR(__xludf.DUMMYFUNCTION("""COMPUTED_VALUE"""),"")</f>
        <v/>
      </c>
      <c r="X16083" s="16" t="str">
        <f>IFERROR(__xludf.DUMMYFUNCTION("""COMPUTED_VALUE"""),"")</f>
        <v/>
      </c>
      <c r="AC16083" s="16" t="str">
        <f>IFERROR(__xludf.DUMMYFUNCTION("""COMPUTED_VALUE"""),"")</f>
        <v/>
      </c>
    </row>
    <row r="16084">
      <c r="A16084" s="16" t="s">
        <v>87</v>
      </c>
      <c r="E16084" s="16" t="str">
        <f>IFERROR(__xludf.DUMMYFUNCTION("""COMPUTED_VALUE"""),"")</f>
        <v/>
      </c>
      <c r="G16084" s="18"/>
      <c r="H16084" s="16" t="s">
        <v>87</v>
      </c>
      <c r="I16084" s="16" t="s">
        <v>87</v>
      </c>
      <c r="J16084" s="19"/>
      <c r="L16084" s="16" t="str">
        <f>IFERROR(__xludf.DUMMYFUNCTION("""COMPUTED_VALUE"""),"")</f>
        <v/>
      </c>
      <c r="M16084" s="16" t="str">
        <f>IFERROR(__xludf.DUMMYFUNCTION("""COMPUTED_VALUE"""),"")</f>
        <v/>
      </c>
      <c r="U16084" s="16" t="s">
        <v>87</v>
      </c>
      <c r="V16084" s="16" t="str">
        <f>IFERROR(__xludf.DUMMYFUNCTION("""COMPUTED_VALUE"""),"")</f>
        <v/>
      </c>
      <c r="W16084" s="16" t="str">
        <f>IFERROR(__xludf.DUMMYFUNCTION("""COMPUTED_VALUE"""),"")</f>
        <v/>
      </c>
      <c r="X16084" s="16" t="str">
        <f>IFERROR(__xludf.DUMMYFUNCTION("""COMPUTED_VALUE"""),"")</f>
        <v/>
      </c>
      <c r="AC16084" s="16" t="str">
        <f>IFERROR(__xludf.DUMMYFUNCTION("""COMPUTED_VALUE"""),"")</f>
        <v/>
      </c>
    </row>
    <row r="16085">
      <c r="A16085" s="16" t="s">
        <v>87</v>
      </c>
      <c r="E16085" s="16" t="str">
        <f>IFERROR(__xludf.DUMMYFUNCTION("""COMPUTED_VALUE"""),"")</f>
        <v/>
      </c>
      <c r="G16085" s="18"/>
      <c r="H16085" s="16" t="s">
        <v>87</v>
      </c>
      <c r="I16085" s="16" t="s">
        <v>87</v>
      </c>
      <c r="J16085" s="19"/>
      <c r="L16085" s="16" t="str">
        <f>IFERROR(__xludf.DUMMYFUNCTION("""COMPUTED_VALUE"""),"")</f>
        <v/>
      </c>
      <c r="M16085" s="16" t="str">
        <f>IFERROR(__xludf.DUMMYFUNCTION("""COMPUTED_VALUE"""),"")</f>
        <v/>
      </c>
      <c r="U16085" s="16" t="s">
        <v>87</v>
      </c>
      <c r="V16085" s="16" t="str">
        <f>IFERROR(__xludf.DUMMYFUNCTION("""COMPUTED_VALUE"""),"")</f>
        <v/>
      </c>
      <c r="W16085" s="16" t="str">
        <f>IFERROR(__xludf.DUMMYFUNCTION("""COMPUTED_VALUE"""),"")</f>
        <v/>
      </c>
      <c r="X16085" s="16" t="str">
        <f>IFERROR(__xludf.DUMMYFUNCTION("""COMPUTED_VALUE"""),"")</f>
        <v/>
      </c>
      <c r="AC16085" s="16" t="str">
        <f>IFERROR(__xludf.DUMMYFUNCTION("""COMPUTED_VALUE"""),"")</f>
        <v/>
      </c>
    </row>
    <row r="16086">
      <c r="A16086" s="16" t="s">
        <v>87</v>
      </c>
      <c r="E16086" s="16" t="str">
        <f>IFERROR(__xludf.DUMMYFUNCTION("""COMPUTED_VALUE"""),"")</f>
        <v/>
      </c>
      <c r="G16086" s="18"/>
      <c r="H16086" s="16" t="s">
        <v>87</v>
      </c>
      <c r="I16086" s="16" t="s">
        <v>87</v>
      </c>
      <c r="J16086" s="19"/>
      <c r="L16086" s="16" t="str">
        <f>IFERROR(__xludf.DUMMYFUNCTION("""COMPUTED_VALUE"""),"")</f>
        <v/>
      </c>
      <c r="M16086" s="16" t="str">
        <f>IFERROR(__xludf.DUMMYFUNCTION("""COMPUTED_VALUE"""),"")</f>
        <v/>
      </c>
      <c r="U16086" s="16" t="s">
        <v>87</v>
      </c>
      <c r="V16086" s="16" t="str">
        <f>IFERROR(__xludf.DUMMYFUNCTION("""COMPUTED_VALUE"""),"")</f>
        <v/>
      </c>
      <c r="W16086" s="16" t="str">
        <f>IFERROR(__xludf.DUMMYFUNCTION("""COMPUTED_VALUE"""),"")</f>
        <v/>
      </c>
      <c r="X16086" s="16" t="str">
        <f>IFERROR(__xludf.DUMMYFUNCTION("""COMPUTED_VALUE"""),"")</f>
        <v/>
      </c>
      <c r="AC16086" s="16" t="str">
        <f>IFERROR(__xludf.DUMMYFUNCTION("""COMPUTED_VALUE"""),"")</f>
        <v/>
      </c>
    </row>
    <row r="16087">
      <c r="A16087" s="16" t="s">
        <v>87</v>
      </c>
      <c r="E16087" s="16" t="str">
        <f>IFERROR(__xludf.DUMMYFUNCTION("""COMPUTED_VALUE"""),"")</f>
        <v/>
      </c>
      <c r="G16087" s="18"/>
      <c r="H16087" s="16" t="s">
        <v>87</v>
      </c>
      <c r="I16087" s="16" t="s">
        <v>87</v>
      </c>
      <c r="J16087" s="19"/>
      <c r="L16087" s="16" t="str">
        <f>IFERROR(__xludf.DUMMYFUNCTION("""COMPUTED_VALUE"""),"")</f>
        <v/>
      </c>
      <c r="M16087" s="16" t="str">
        <f>IFERROR(__xludf.DUMMYFUNCTION("""COMPUTED_VALUE"""),"")</f>
        <v/>
      </c>
      <c r="U16087" s="16" t="s">
        <v>87</v>
      </c>
      <c r="V16087" s="16" t="str">
        <f>IFERROR(__xludf.DUMMYFUNCTION("""COMPUTED_VALUE"""),"")</f>
        <v/>
      </c>
      <c r="W16087" s="16" t="str">
        <f>IFERROR(__xludf.DUMMYFUNCTION("""COMPUTED_VALUE"""),"")</f>
        <v/>
      </c>
      <c r="X16087" s="16" t="str">
        <f>IFERROR(__xludf.DUMMYFUNCTION("""COMPUTED_VALUE"""),"")</f>
        <v/>
      </c>
      <c r="AC16087" s="16" t="str">
        <f>IFERROR(__xludf.DUMMYFUNCTION("""COMPUTED_VALUE"""),"")</f>
        <v/>
      </c>
    </row>
    <row r="16088">
      <c r="A16088" s="16" t="s">
        <v>87</v>
      </c>
      <c r="E16088" s="16" t="str">
        <f>IFERROR(__xludf.DUMMYFUNCTION("""COMPUTED_VALUE"""),"")</f>
        <v/>
      </c>
      <c r="G16088" s="18"/>
      <c r="H16088" s="16" t="s">
        <v>87</v>
      </c>
      <c r="I16088" s="16" t="s">
        <v>87</v>
      </c>
      <c r="J16088" s="19"/>
      <c r="L16088" s="16" t="str">
        <f>IFERROR(__xludf.DUMMYFUNCTION("""COMPUTED_VALUE"""),"")</f>
        <v/>
      </c>
      <c r="M16088" s="16" t="str">
        <f>IFERROR(__xludf.DUMMYFUNCTION("""COMPUTED_VALUE"""),"")</f>
        <v/>
      </c>
      <c r="U16088" s="16" t="s">
        <v>87</v>
      </c>
      <c r="V16088" s="16" t="str">
        <f>IFERROR(__xludf.DUMMYFUNCTION("""COMPUTED_VALUE"""),"")</f>
        <v/>
      </c>
      <c r="W16088" s="16" t="str">
        <f>IFERROR(__xludf.DUMMYFUNCTION("""COMPUTED_VALUE"""),"")</f>
        <v/>
      </c>
      <c r="X16088" s="16" t="str">
        <f>IFERROR(__xludf.DUMMYFUNCTION("""COMPUTED_VALUE"""),"")</f>
        <v/>
      </c>
      <c r="AC16088" s="16" t="str">
        <f>IFERROR(__xludf.DUMMYFUNCTION("""COMPUTED_VALUE"""),"")</f>
        <v/>
      </c>
    </row>
    <row r="16089">
      <c r="A16089" s="16" t="s">
        <v>87</v>
      </c>
      <c r="E16089" s="16" t="str">
        <f>IFERROR(__xludf.DUMMYFUNCTION("""COMPUTED_VALUE"""),"")</f>
        <v/>
      </c>
      <c r="G16089" s="18"/>
      <c r="H16089" s="16" t="s">
        <v>87</v>
      </c>
      <c r="I16089" s="16" t="s">
        <v>87</v>
      </c>
      <c r="J16089" s="19"/>
      <c r="L16089" s="16" t="str">
        <f>IFERROR(__xludf.DUMMYFUNCTION("""COMPUTED_VALUE"""),"")</f>
        <v/>
      </c>
      <c r="M16089" s="16" t="str">
        <f>IFERROR(__xludf.DUMMYFUNCTION("""COMPUTED_VALUE"""),"")</f>
        <v/>
      </c>
      <c r="U16089" s="16" t="s">
        <v>87</v>
      </c>
      <c r="V16089" s="16" t="str">
        <f>IFERROR(__xludf.DUMMYFUNCTION("""COMPUTED_VALUE"""),"")</f>
        <v/>
      </c>
      <c r="W16089" s="16" t="str">
        <f>IFERROR(__xludf.DUMMYFUNCTION("""COMPUTED_VALUE"""),"")</f>
        <v/>
      </c>
      <c r="X16089" s="16" t="str">
        <f>IFERROR(__xludf.DUMMYFUNCTION("""COMPUTED_VALUE"""),"")</f>
        <v/>
      </c>
      <c r="AC16089" s="16" t="str">
        <f>IFERROR(__xludf.DUMMYFUNCTION("""COMPUTED_VALUE"""),"")</f>
        <v/>
      </c>
    </row>
    <row r="16090">
      <c r="A16090" s="16" t="s">
        <v>87</v>
      </c>
      <c r="E16090" s="16" t="str">
        <f>IFERROR(__xludf.DUMMYFUNCTION("""COMPUTED_VALUE"""),"")</f>
        <v/>
      </c>
      <c r="G16090" s="18"/>
      <c r="H16090" s="16" t="s">
        <v>87</v>
      </c>
      <c r="I16090" s="16" t="s">
        <v>87</v>
      </c>
      <c r="J16090" s="19"/>
      <c r="L16090" s="16" t="str">
        <f>IFERROR(__xludf.DUMMYFUNCTION("""COMPUTED_VALUE"""),"")</f>
        <v/>
      </c>
      <c r="M16090" s="16" t="str">
        <f>IFERROR(__xludf.DUMMYFUNCTION("""COMPUTED_VALUE"""),"")</f>
        <v/>
      </c>
      <c r="U16090" s="16" t="s">
        <v>87</v>
      </c>
      <c r="V16090" s="16" t="str">
        <f>IFERROR(__xludf.DUMMYFUNCTION("""COMPUTED_VALUE"""),"")</f>
        <v/>
      </c>
      <c r="W16090" s="16" t="str">
        <f>IFERROR(__xludf.DUMMYFUNCTION("""COMPUTED_VALUE"""),"")</f>
        <v/>
      </c>
      <c r="X16090" s="16" t="str">
        <f>IFERROR(__xludf.DUMMYFUNCTION("""COMPUTED_VALUE"""),"")</f>
        <v/>
      </c>
      <c r="AC16090" s="16" t="str">
        <f>IFERROR(__xludf.DUMMYFUNCTION("""COMPUTED_VALUE"""),"")</f>
        <v/>
      </c>
    </row>
    <row r="16091">
      <c r="A16091" s="16" t="s">
        <v>87</v>
      </c>
      <c r="E16091" s="16" t="str">
        <f>IFERROR(__xludf.DUMMYFUNCTION("""COMPUTED_VALUE"""),"")</f>
        <v/>
      </c>
      <c r="G16091" s="18"/>
      <c r="H16091" s="16" t="s">
        <v>87</v>
      </c>
      <c r="I16091" s="16" t="s">
        <v>87</v>
      </c>
      <c r="J16091" s="19"/>
      <c r="L16091" s="16" t="str">
        <f>IFERROR(__xludf.DUMMYFUNCTION("""COMPUTED_VALUE"""),"")</f>
        <v/>
      </c>
      <c r="M16091" s="16" t="str">
        <f>IFERROR(__xludf.DUMMYFUNCTION("""COMPUTED_VALUE"""),"")</f>
        <v/>
      </c>
      <c r="U16091" s="16" t="s">
        <v>87</v>
      </c>
      <c r="V16091" s="16" t="str">
        <f>IFERROR(__xludf.DUMMYFUNCTION("""COMPUTED_VALUE"""),"")</f>
        <v/>
      </c>
      <c r="W16091" s="16" t="str">
        <f>IFERROR(__xludf.DUMMYFUNCTION("""COMPUTED_VALUE"""),"")</f>
        <v/>
      </c>
      <c r="X16091" s="16" t="str">
        <f>IFERROR(__xludf.DUMMYFUNCTION("""COMPUTED_VALUE"""),"")</f>
        <v/>
      </c>
      <c r="AC16091" s="16" t="str">
        <f>IFERROR(__xludf.DUMMYFUNCTION("""COMPUTED_VALUE"""),"")</f>
        <v/>
      </c>
    </row>
    <row r="16092">
      <c r="A16092" s="16" t="s">
        <v>87</v>
      </c>
      <c r="E16092" s="16" t="str">
        <f>IFERROR(__xludf.DUMMYFUNCTION("""COMPUTED_VALUE"""),"")</f>
        <v/>
      </c>
      <c r="G16092" s="18"/>
      <c r="H16092" s="16" t="s">
        <v>87</v>
      </c>
      <c r="I16092" s="16" t="s">
        <v>87</v>
      </c>
      <c r="J16092" s="19"/>
      <c r="L16092" s="16" t="str">
        <f>IFERROR(__xludf.DUMMYFUNCTION("""COMPUTED_VALUE"""),"")</f>
        <v/>
      </c>
      <c r="M16092" s="16" t="str">
        <f>IFERROR(__xludf.DUMMYFUNCTION("""COMPUTED_VALUE"""),"")</f>
        <v/>
      </c>
      <c r="U16092" s="16" t="s">
        <v>87</v>
      </c>
      <c r="V16092" s="16" t="str">
        <f>IFERROR(__xludf.DUMMYFUNCTION("""COMPUTED_VALUE"""),"")</f>
        <v/>
      </c>
      <c r="W16092" s="16" t="str">
        <f>IFERROR(__xludf.DUMMYFUNCTION("""COMPUTED_VALUE"""),"")</f>
        <v/>
      </c>
      <c r="X16092" s="16" t="str">
        <f>IFERROR(__xludf.DUMMYFUNCTION("""COMPUTED_VALUE"""),"")</f>
        <v/>
      </c>
      <c r="AC16092" s="16" t="str">
        <f>IFERROR(__xludf.DUMMYFUNCTION("""COMPUTED_VALUE"""),"")</f>
        <v/>
      </c>
    </row>
    <row r="16093">
      <c r="A16093" s="16" t="s">
        <v>87</v>
      </c>
      <c r="E16093" s="16" t="str">
        <f>IFERROR(__xludf.DUMMYFUNCTION("""COMPUTED_VALUE"""),"")</f>
        <v/>
      </c>
      <c r="G16093" s="18"/>
      <c r="H16093" s="16" t="s">
        <v>87</v>
      </c>
      <c r="I16093" s="16" t="s">
        <v>87</v>
      </c>
      <c r="J16093" s="19"/>
      <c r="L16093" s="16" t="str">
        <f>IFERROR(__xludf.DUMMYFUNCTION("""COMPUTED_VALUE"""),"")</f>
        <v/>
      </c>
      <c r="M16093" s="16" t="str">
        <f>IFERROR(__xludf.DUMMYFUNCTION("""COMPUTED_VALUE"""),"")</f>
        <v/>
      </c>
      <c r="U16093" s="16" t="s">
        <v>87</v>
      </c>
      <c r="V16093" s="16" t="str">
        <f>IFERROR(__xludf.DUMMYFUNCTION("""COMPUTED_VALUE"""),"")</f>
        <v/>
      </c>
      <c r="W16093" s="16" t="str">
        <f>IFERROR(__xludf.DUMMYFUNCTION("""COMPUTED_VALUE"""),"")</f>
        <v/>
      </c>
      <c r="X16093" s="16" t="str">
        <f>IFERROR(__xludf.DUMMYFUNCTION("""COMPUTED_VALUE"""),"")</f>
        <v/>
      </c>
      <c r="AC16093" s="16" t="str">
        <f>IFERROR(__xludf.DUMMYFUNCTION("""COMPUTED_VALUE"""),"")</f>
        <v/>
      </c>
    </row>
    <row r="16094">
      <c r="A16094" s="16" t="s">
        <v>87</v>
      </c>
      <c r="E16094" s="16" t="str">
        <f>IFERROR(__xludf.DUMMYFUNCTION("""COMPUTED_VALUE"""),"")</f>
        <v/>
      </c>
      <c r="G16094" s="18"/>
      <c r="H16094" s="16" t="s">
        <v>87</v>
      </c>
      <c r="I16094" s="16" t="s">
        <v>87</v>
      </c>
      <c r="J16094" s="19"/>
      <c r="L16094" s="16" t="str">
        <f>IFERROR(__xludf.DUMMYFUNCTION("""COMPUTED_VALUE"""),"")</f>
        <v/>
      </c>
      <c r="M16094" s="16" t="str">
        <f>IFERROR(__xludf.DUMMYFUNCTION("""COMPUTED_VALUE"""),"")</f>
        <v/>
      </c>
      <c r="U16094" s="16" t="s">
        <v>87</v>
      </c>
      <c r="V16094" s="16" t="str">
        <f>IFERROR(__xludf.DUMMYFUNCTION("""COMPUTED_VALUE"""),"")</f>
        <v/>
      </c>
      <c r="W16094" s="16" t="str">
        <f>IFERROR(__xludf.DUMMYFUNCTION("""COMPUTED_VALUE"""),"")</f>
        <v/>
      </c>
      <c r="X16094" s="16" t="str">
        <f>IFERROR(__xludf.DUMMYFUNCTION("""COMPUTED_VALUE"""),"")</f>
        <v/>
      </c>
      <c r="AC16094" s="16" t="str">
        <f>IFERROR(__xludf.DUMMYFUNCTION("""COMPUTED_VALUE"""),"")</f>
        <v/>
      </c>
    </row>
    <row r="16095">
      <c r="A16095" s="16" t="s">
        <v>87</v>
      </c>
      <c r="E16095" s="16" t="str">
        <f>IFERROR(__xludf.DUMMYFUNCTION("""COMPUTED_VALUE"""),"")</f>
        <v/>
      </c>
      <c r="G16095" s="18"/>
      <c r="H16095" s="16" t="s">
        <v>87</v>
      </c>
      <c r="I16095" s="16" t="s">
        <v>87</v>
      </c>
      <c r="J16095" s="19"/>
      <c r="L16095" s="16" t="str">
        <f>IFERROR(__xludf.DUMMYFUNCTION("""COMPUTED_VALUE"""),"")</f>
        <v/>
      </c>
      <c r="M16095" s="16" t="str">
        <f>IFERROR(__xludf.DUMMYFUNCTION("""COMPUTED_VALUE"""),"")</f>
        <v/>
      </c>
      <c r="U16095" s="16" t="s">
        <v>87</v>
      </c>
      <c r="V16095" s="16" t="str">
        <f>IFERROR(__xludf.DUMMYFUNCTION("""COMPUTED_VALUE"""),"")</f>
        <v/>
      </c>
      <c r="W16095" s="16" t="str">
        <f>IFERROR(__xludf.DUMMYFUNCTION("""COMPUTED_VALUE"""),"")</f>
        <v/>
      </c>
      <c r="X16095" s="16" t="str">
        <f>IFERROR(__xludf.DUMMYFUNCTION("""COMPUTED_VALUE"""),"")</f>
        <v/>
      </c>
      <c r="AC16095" s="16" t="str">
        <f>IFERROR(__xludf.DUMMYFUNCTION("""COMPUTED_VALUE"""),"")</f>
        <v/>
      </c>
    </row>
    <row r="16096">
      <c r="A16096" s="16" t="s">
        <v>87</v>
      </c>
      <c r="E16096" s="16" t="str">
        <f>IFERROR(__xludf.DUMMYFUNCTION("""COMPUTED_VALUE"""),"")</f>
        <v/>
      </c>
      <c r="G16096" s="18"/>
      <c r="H16096" s="16" t="s">
        <v>87</v>
      </c>
      <c r="I16096" s="16" t="s">
        <v>87</v>
      </c>
      <c r="J16096" s="19"/>
      <c r="L16096" s="16" t="str">
        <f>IFERROR(__xludf.DUMMYFUNCTION("""COMPUTED_VALUE"""),"")</f>
        <v/>
      </c>
      <c r="M16096" s="16" t="str">
        <f>IFERROR(__xludf.DUMMYFUNCTION("""COMPUTED_VALUE"""),"")</f>
        <v/>
      </c>
      <c r="U16096" s="16" t="s">
        <v>87</v>
      </c>
      <c r="V16096" s="16" t="str">
        <f>IFERROR(__xludf.DUMMYFUNCTION("""COMPUTED_VALUE"""),"")</f>
        <v/>
      </c>
      <c r="W16096" s="16" t="str">
        <f>IFERROR(__xludf.DUMMYFUNCTION("""COMPUTED_VALUE"""),"")</f>
        <v/>
      </c>
      <c r="X16096" s="16" t="str">
        <f>IFERROR(__xludf.DUMMYFUNCTION("""COMPUTED_VALUE"""),"")</f>
        <v/>
      </c>
      <c r="AC16096" s="16" t="str">
        <f>IFERROR(__xludf.DUMMYFUNCTION("""COMPUTED_VALUE"""),"")</f>
        <v/>
      </c>
    </row>
    <row r="16097">
      <c r="A16097" s="16" t="s">
        <v>87</v>
      </c>
      <c r="E16097" s="16" t="str">
        <f>IFERROR(__xludf.DUMMYFUNCTION("""COMPUTED_VALUE"""),"")</f>
        <v/>
      </c>
      <c r="G16097" s="18"/>
      <c r="H16097" s="16" t="s">
        <v>87</v>
      </c>
      <c r="I16097" s="16" t="s">
        <v>87</v>
      </c>
      <c r="J16097" s="19"/>
      <c r="L16097" s="16" t="str">
        <f>IFERROR(__xludf.DUMMYFUNCTION("""COMPUTED_VALUE"""),"")</f>
        <v/>
      </c>
      <c r="M16097" s="16" t="str">
        <f>IFERROR(__xludf.DUMMYFUNCTION("""COMPUTED_VALUE"""),"")</f>
        <v/>
      </c>
      <c r="U16097" s="16" t="s">
        <v>87</v>
      </c>
      <c r="V16097" s="16" t="str">
        <f>IFERROR(__xludf.DUMMYFUNCTION("""COMPUTED_VALUE"""),"")</f>
        <v/>
      </c>
      <c r="W16097" s="16" t="str">
        <f>IFERROR(__xludf.DUMMYFUNCTION("""COMPUTED_VALUE"""),"")</f>
        <v/>
      </c>
      <c r="X16097" s="16" t="str">
        <f>IFERROR(__xludf.DUMMYFUNCTION("""COMPUTED_VALUE"""),"")</f>
        <v/>
      </c>
      <c r="AC16097" s="16" t="str">
        <f>IFERROR(__xludf.DUMMYFUNCTION("""COMPUTED_VALUE"""),"")</f>
        <v/>
      </c>
    </row>
    <row r="16098">
      <c r="A16098" s="16" t="s">
        <v>87</v>
      </c>
      <c r="E16098" s="16" t="str">
        <f>IFERROR(__xludf.DUMMYFUNCTION("""COMPUTED_VALUE"""),"")</f>
        <v/>
      </c>
      <c r="G16098" s="18"/>
      <c r="H16098" s="16" t="s">
        <v>87</v>
      </c>
      <c r="I16098" s="16" t="s">
        <v>87</v>
      </c>
      <c r="J16098" s="19"/>
      <c r="L16098" s="16" t="str">
        <f>IFERROR(__xludf.DUMMYFUNCTION("""COMPUTED_VALUE"""),"")</f>
        <v/>
      </c>
      <c r="M16098" s="16" t="str">
        <f>IFERROR(__xludf.DUMMYFUNCTION("""COMPUTED_VALUE"""),"")</f>
        <v/>
      </c>
      <c r="U16098" s="16" t="s">
        <v>87</v>
      </c>
      <c r="V16098" s="16" t="str">
        <f>IFERROR(__xludf.DUMMYFUNCTION("""COMPUTED_VALUE"""),"")</f>
        <v/>
      </c>
      <c r="W16098" s="16" t="str">
        <f>IFERROR(__xludf.DUMMYFUNCTION("""COMPUTED_VALUE"""),"")</f>
        <v/>
      </c>
      <c r="X16098" s="16" t="str">
        <f>IFERROR(__xludf.DUMMYFUNCTION("""COMPUTED_VALUE"""),"")</f>
        <v/>
      </c>
      <c r="AC16098" s="16" t="str">
        <f>IFERROR(__xludf.DUMMYFUNCTION("""COMPUTED_VALUE"""),"")</f>
        <v/>
      </c>
    </row>
    <row r="16099">
      <c r="A16099" s="16" t="s">
        <v>87</v>
      </c>
      <c r="E16099" s="16" t="str">
        <f>IFERROR(__xludf.DUMMYFUNCTION("""COMPUTED_VALUE"""),"")</f>
        <v/>
      </c>
      <c r="G16099" s="18"/>
      <c r="H16099" s="16" t="s">
        <v>87</v>
      </c>
      <c r="I16099" s="16" t="s">
        <v>87</v>
      </c>
      <c r="J16099" s="19"/>
      <c r="L16099" s="16" t="str">
        <f>IFERROR(__xludf.DUMMYFUNCTION("""COMPUTED_VALUE"""),"")</f>
        <v/>
      </c>
      <c r="M16099" s="16" t="str">
        <f>IFERROR(__xludf.DUMMYFUNCTION("""COMPUTED_VALUE"""),"")</f>
        <v/>
      </c>
      <c r="U16099" s="16" t="s">
        <v>87</v>
      </c>
      <c r="V16099" s="16" t="str">
        <f>IFERROR(__xludf.DUMMYFUNCTION("""COMPUTED_VALUE"""),"")</f>
        <v/>
      </c>
      <c r="W16099" s="16" t="str">
        <f>IFERROR(__xludf.DUMMYFUNCTION("""COMPUTED_VALUE"""),"")</f>
        <v/>
      </c>
      <c r="X16099" s="16" t="str">
        <f>IFERROR(__xludf.DUMMYFUNCTION("""COMPUTED_VALUE"""),"")</f>
        <v/>
      </c>
      <c r="AC16099" s="16" t="str">
        <f>IFERROR(__xludf.DUMMYFUNCTION("""COMPUTED_VALUE"""),"")</f>
        <v/>
      </c>
    </row>
    <row r="16100">
      <c r="A16100" s="16" t="s">
        <v>87</v>
      </c>
      <c r="E16100" s="16" t="str">
        <f>IFERROR(__xludf.DUMMYFUNCTION("""COMPUTED_VALUE"""),"")</f>
        <v/>
      </c>
      <c r="G16100" s="18"/>
      <c r="H16100" s="16" t="s">
        <v>87</v>
      </c>
      <c r="I16100" s="16" t="s">
        <v>87</v>
      </c>
      <c r="J16100" s="19"/>
      <c r="L16100" s="16" t="str">
        <f>IFERROR(__xludf.DUMMYFUNCTION("""COMPUTED_VALUE"""),"")</f>
        <v/>
      </c>
      <c r="M16100" s="16" t="str">
        <f>IFERROR(__xludf.DUMMYFUNCTION("""COMPUTED_VALUE"""),"")</f>
        <v/>
      </c>
      <c r="U16100" s="16" t="s">
        <v>87</v>
      </c>
      <c r="V16100" s="16" t="str">
        <f>IFERROR(__xludf.DUMMYFUNCTION("""COMPUTED_VALUE"""),"")</f>
        <v/>
      </c>
      <c r="W16100" s="16" t="str">
        <f>IFERROR(__xludf.DUMMYFUNCTION("""COMPUTED_VALUE"""),"")</f>
        <v/>
      </c>
      <c r="X16100" s="16" t="str">
        <f>IFERROR(__xludf.DUMMYFUNCTION("""COMPUTED_VALUE"""),"")</f>
        <v/>
      </c>
      <c r="AC16100" s="16" t="str">
        <f>IFERROR(__xludf.DUMMYFUNCTION("""COMPUTED_VALUE"""),"")</f>
        <v/>
      </c>
    </row>
    <row r="16101">
      <c r="A16101" s="16" t="s">
        <v>87</v>
      </c>
      <c r="E16101" s="16" t="str">
        <f>IFERROR(__xludf.DUMMYFUNCTION("""COMPUTED_VALUE"""),"")</f>
        <v/>
      </c>
      <c r="G16101" s="18"/>
      <c r="H16101" s="16" t="s">
        <v>87</v>
      </c>
      <c r="I16101" s="16" t="s">
        <v>87</v>
      </c>
      <c r="J16101" s="19"/>
      <c r="L16101" s="16" t="str">
        <f>IFERROR(__xludf.DUMMYFUNCTION("""COMPUTED_VALUE"""),"")</f>
        <v/>
      </c>
      <c r="M16101" s="16" t="str">
        <f>IFERROR(__xludf.DUMMYFUNCTION("""COMPUTED_VALUE"""),"")</f>
        <v/>
      </c>
      <c r="U16101" s="16" t="s">
        <v>87</v>
      </c>
      <c r="V16101" s="16" t="str">
        <f>IFERROR(__xludf.DUMMYFUNCTION("""COMPUTED_VALUE"""),"")</f>
        <v/>
      </c>
      <c r="W16101" s="16" t="str">
        <f>IFERROR(__xludf.DUMMYFUNCTION("""COMPUTED_VALUE"""),"")</f>
        <v/>
      </c>
      <c r="X16101" s="16" t="str">
        <f>IFERROR(__xludf.DUMMYFUNCTION("""COMPUTED_VALUE"""),"")</f>
        <v/>
      </c>
      <c r="AC16101" s="16" t="str">
        <f>IFERROR(__xludf.DUMMYFUNCTION("""COMPUTED_VALUE"""),"")</f>
        <v/>
      </c>
    </row>
    <row r="16102">
      <c r="A16102" s="16" t="s">
        <v>87</v>
      </c>
      <c r="E16102" s="16" t="str">
        <f>IFERROR(__xludf.DUMMYFUNCTION("""COMPUTED_VALUE"""),"")</f>
        <v/>
      </c>
      <c r="G16102" s="18"/>
      <c r="H16102" s="16" t="s">
        <v>87</v>
      </c>
      <c r="I16102" s="16" t="s">
        <v>87</v>
      </c>
      <c r="J16102" s="19"/>
      <c r="L16102" s="16" t="str">
        <f>IFERROR(__xludf.DUMMYFUNCTION("""COMPUTED_VALUE"""),"")</f>
        <v/>
      </c>
      <c r="M16102" s="16" t="str">
        <f>IFERROR(__xludf.DUMMYFUNCTION("""COMPUTED_VALUE"""),"")</f>
        <v/>
      </c>
      <c r="U16102" s="16" t="s">
        <v>87</v>
      </c>
      <c r="V16102" s="16" t="str">
        <f>IFERROR(__xludf.DUMMYFUNCTION("""COMPUTED_VALUE"""),"")</f>
        <v/>
      </c>
      <c r="W16102" s="16" t="str">
        <f>IFERROR(__xludf.DUMMYFUNCTION("""COMPUTED_VALUE"""),"")</f>
        <v/>
      </c>
      <c r="X16102" s="16" t="str">
        <f>IFERROR(__xludf.DUMMYFUNCTION("""COMPUTED_VALUE"""),"")</f>
        <v/>
      </c>
      <c r="AC16102" s="16" t="str">
        <f>IFERROR(__xludf.DUMMYFUNCTION("""COMPUTED_VALUE"""),"")</f>
        <v/>
      </c>
    </row>
    <row r="16103">
      <c r="A16103" s="16" t="s">
        <v>87</v>
      </c>
      <c r="E16103" s="16" t="str">
        <f>IFERROR(__xludf.DUMMYFUNCTION("""COMPUTED_VALUE"""),"")</f>
        <v/>
      </c>
      <c r="G16103" s="18"/>
      <c r="H16103" s="16" t="s">
        <v>87</v>
      </c>
      <c r="I16103" s="16" t="s">
        <v>87</v>
      </c>
      <c r="J16103" s="19"/>
      <c r="L16103" s="16" t="str">
        <f>IFERROR(__xludf.DUMMYFUNCTION("""COMPUTED_VALUE"""),"")</f>
        <v/>
      </c>
      <c r="M16103" s="16" t="str">
        <f>IFERROR(__xludf.DUMMYFUNCTION("""COMPUTED_VALUE"""),"")</f>
        <v/>
      </c>
      <c r="U16103" s="16" t="s">
        <v>87</v>
      </c>
      <c r="V16103" s="16" t="str">
        <f>IFERROR(__xludf.DUMMYFUNCTION("""COMPUTED_VALUE"""),"")</f>
        <v/>
      </c>
      <c r="W16103" s="16" t="str">
        <f>IFERROR(__xludf.DUMMYFUNCTION("""COMPUTED_VALUE"""),"")</f>
        <v/>
      </c>
      <c r="X16103" s="16" t="str">
        <f>IFERROR(__xludf.DUMMYFUNCTION("""COMPUTED_VALUE"""),"")</f>
        <v/>
      </c>
      <c r="AC16103" s="16" t="str">
        <f>IFERROR(__xludf.DUMMYFUNCTION("""COMPUTED_VALUE"""),"")</f>
        <v/>
      </c>
    </row>
    <row r="16104">
      <c r="A16104" s="16" t="s">
        <v>87</v>
      </c>
      <c r="E16104" s="16" t="str">
        <f>IFERROR(__xludf.DUMMYFUNCTION("""COMPUTED_VALUE"""),"")</f>
        <v/>
      </c>
      <c r="G16104" s="18"/>
      <c r="H16104" s="16" t="s">
        <v>87</v>
      </c>
      <c r="I16104" s="16" t="s">
        <v>87</v>
      </c>
      <c r="J16104" s="19"/>
      <c r="L16104" s="16" t="str">
        <f>IFERROR(__xludf.DUMMYFUNCTION("""COMPUTED_VALUE"""),"")</f>
        <v/>
      </c>
      <c r="M16104" s="16" t="str">
        <f>IFERROR(__xludf.DUMMYFUNCTION("""COMPUTED_VALUE"""),"")</f>
        <v/>
      </c>
      <c r="U16104" s="16" t="s">
        <v>87</v>
      </c>
      <c r="V16104" s="16" t="str">
        <f>IFERROR(__xludf.DUMMYFUNCTION("""COMPUTED_VALUE"""),"")</f>
        <v/>
      </c>
      <c r="W16104" s="16" t="str">
        <f>IFERROR(__xludf.DUMMYFUNCTION("""COMPUTED_VALUE"""),"")</f>
        <v/>
      </c>
      <c r="X16104" s="16" t="str">
        <f>IFERROR(__xludf.DUMMYFUNCTION("""COMPUTED_VALUE"""),"")</f>
        <v/>
      </c>
      <c r="AC16104" s="16" t="str">
        <f>IFERROR(__xludf.DUMMYFUNCTION("""COMPUTED_VALUE"""),"")</f>
        <v/>
      </c>
    </row>
    <row r="16105">
      <c r="A16105" s="16" t="s">
        <v>87</v>
      </c>
      <c r="E16105" s="16" t="str">
        <f>IFERROR(__xludf.DUMMYFUNCTION("""COMPUTED_VALUE"""),"")</f>
        <v/>
      </c>
      <c r="G16105" s="18"/>
      <c r="H16105" s="16" t="s">
        <v>87</v>
      </c>
      <c r="I16105" s="16" t="s">
        <v>87</v>
      </c>
      <c r="J16105" s="19"/>
      <c r="L16105" s="16" t="str">
        <f>IFERROR(__xludf.DUMMYFUNCTION("""COMPUTED_VALUE"""),"")</f>
        <v/>
      </c>
      <c r="M16105" s="16" t="str">
        <f>IFERROR(__xludf.DUMMYFUNCTION("""COMPUTED_VALUE"""),"")</f>
        <v/>
      </c>
      <c r="U16105" s="16" t="s">
        <v>87</v>
      </c>
      <c r="V16105" s="16" t="str">
        <f>IFERROR(__xludf.DUMMYFUNCTION("""COMPUTED_VALUE"""),"")</f>
        <v/>
      </c>
      <c r="W16105" s="16" t="str">
        <f>IFERROR(__xludf.DUMMYFUNCTION("""COMPUTED_VALUE"""),"")</f>
        <v/>
      </c>
      <c r="X16105" s="16" t="str">
        <f>IFERROR(__xludf.DUMMYFUNCTION("""COMPUTED_VALUE"""),"")</f>
        <v/>
      </c>
      <c r="AC16105" s="16" t="str">
        <f>IFERROR(__xludf.DUMMYFUNCTION("""COMPUTED_VALUE"""),"")</f>
        <v/>
      </c>
    </row>
    <row r="16106">
      <c r="A16106" s="16" t="s">
        <v>87</v>
      </c>
      <c r="E16106" s="16" t="str">
        <f>IFERROR(__xludf.DUMMYFUNCTION("""COMPUTED_VALUE"""),"")</f>
        <v/>
      </c>
      <c r="G16106" s="18"/>
      <c r="H16106" s="16" t="s">
        <v>87</v>
      </c>
      <c r="I16106" s="16" t="s">
        <v>87</v>
      </c>
      <c r="J16106" s="19"/>
      <c r="L16106" s="16" t="str">
        <f>IFERROR(__xludf.DUMMYFUNCTION("""COMPUTED_VALUE"""),"")</f>
        <v/>
      </c>
      <c r="M16106" s="16" t="str">
        <f>IFERROR(__xludf.DUMMYFUNCTION("""COMPUTED_VALUE"""),"")</f>
        <v/>
      </c>
      <c r="U16106" s="16" t="s">
        <v>87</v>
      </c>
      <c r="V16106" s="16" t="str">
        <f>IFERROR(__xludf.DUMMYFUNCTION("""COMPUTED_VALUE"""),"")</f>
        <v/>
      </c>
      <c r="W16106" s="16" t="str">
        <f>IFERROR(__xludf.DUMMYFUNCTION("""COMPUTED_VALUE"""),"")</f>
        <v/>
      </c>
      <c r="X16106" s="16" t="str">
        <f>IFERROR(__xludf.DUMMYFUNCTION("""COMPUTED_VALUE"""),"")</f>
        <v/>
      </c>
      <c r="AC16106" s="16" t="str">
        <f>IFERROR(__xludf.DUMMYFUNCTION("""COMPUTED_VALUE"""),"")</f>
        <v/>
      </c>
    </row>
    <row r="16107">
      <c r="A16107" s="16" t="s">
        <v>87</v>
      </c>
      <c r="E16107" s="16" t="str">
        <f>IFERROR(__xludf.DUMMYFUNCTION("""COMPUTED_VALUE"""),"")</f>
        <v/>
      </c>
      <c r="G16107" s="18"/>
      <c r="H16107" s="16" t="s">
        <v>87</v>
      </c>
      <c r="I16107" s="16" t="s">
        <v>87</v>
      </c>
      <c r="J16107" s="19"/>
      <c r="L16107" s="16" t="str">
        <f>IFERROR(__xludf.DUMMYFUNCTION("""COMPUTED_VALUE"""),"")</f>
        <v/>
      </c>
      <c r="M16107" s="16" t="str">
        <f>IFERROR(__xludf.DUMMYFUNCTION("""COMPUTED_VALUE"""),"")</f>
        <v/>
      </c>
      <c r="U16107" s="16" t="s">
        <v>87</v>
      </c>
      <c r="V16107" s="16" t="str">
        <f>IFERROR(__xludf.DUMMYFUNCTION("""COMPUTED_VALUE"""),"")</f>
        <v/>
      </c>
      <c r="W16107" s="16" t="str">
        <f>IFERROR(__xludf.DUMMYFUNCTION("""COMPUTED_VALUE"""),"")</f>
        <v/>
      </c>
      <c r="X16107" s="16" t="str">
        <f>IFERROR(__xludf.DUMMYFUNCTION("""COMPUTED_VALUE"""),"")</f>
        <v/>
      </c>
      <c r="AC16107" s="16" t="str">
        <f>IFERROR(__xludf.DUMMYFUNCTION("""COMPUTED_VALUE"""),"")</f>
        <v/>
      </c>
    </row>
    <row r="16108">
      <c r="A16108" s="16" t="s">
        <v>87</v>
      </c>
      <c r="E16108" s="16" t="str">
        <f>IFERROR(__xludf.DUMMYFUNCTION("""COMPUTED_VALUE"""),"")</f>
        <v/>
      </c>
      <c r="G16108" s="18"/>
      <c r="H16108" s="16" t="s">
        <v>87</v>
      </c>
      <c r="I16108" s="16" t="s">
        <v>87</v>
      </c>
      <c r="J16108" s="19"/>
      <c r="L16108" s="16" t="str">
        <f>IFERROR(__xludf.DUMMYFUNCTION("""COMPUTED_VALUE"""),"")</f>
        <v/>
      </c>
      <c r="M16108" s="16" t="str">
        <f>IFERROR(__xludf.DUMMYFUNCTION("""COMPUTED_VALUE"""),"")</f>
        <v/>
      </c>
      <c r="U16108" s="16" t="s">
        <v>87</v>
      </c>
      <c r="V16108" s="16" t="str">
        <f>IFERROR(__xludf.DUMMYFUNCTION("""COMPUTED_VALUE"""),"")</f>
        <v/>
      </c>
      <c r="W16108" s="16" t="str">
        <f>IFERROR(__xludf.DUMMYFUNCTION("""COMPUTED_VALUE"""),"")</f>
        <v/>
      </c>
      <c r="X16108" s="16" t="str">
        <f>IFERROR(__xludf.DUMMYFUNCTION("""COMPUTED_VALUE"""),"")</f>
        <v/>
      </c>
      <c r="AC16108" s="16" t="str">
        <f>IFERROR(__xludf.DUMMYFUNCTION("""COMPUTED_VALUE"""),"")</f>
        <v/>
      </c>
    </row>
    <row r="16109">
      <c r="A16109" s="16" t="s">
        <v>87</v>
      </c>
      <c r="E16109" s="16" t="str">
        <f>IFERROR(__xludf.DUMMYFUNCTION("""COMPUTED_VALUE"""),"")</f>
        <v/>
      </c>
      <c r="G16109" s="18"/>
      <c r="H16109" s="16" t="s">
        <v>87</v>
      </c>
      <c r="I16109" s="16" t="s">
        <v>87</v>
      </c>
      <c r="J16109" s="19"/>
      <c r="L16109" s="16" t="str">
        <f>IFERROR(__xludf.DUMMYFUNCTION("""COMPUTED_VALUE"""),"")</f>
        <v/>
      </c>
      <c r="M16109" s="16" t="str">
        <f>IFERROR(__xludf.DUMMYFUNCTION("""COMPUTED_VALUE"""),"")</f>
        <v/>
      </c>
      <c r="U16109" s="16" t="s">
        <v>87</v>
      </c>
      <c r="V16109" s="16" t="str">
        <f>IFERROR(__xludf.DUMMYFUNCTION("""COMPUTED_VALUE"""),"")</f>
        <v/>
      </c>
      <c r="W16109" s="16" t="str">
        <f>IFERROR(__xludf.DUMMYFUNCTION("""COMPUTED_VALUE"""),"")</f>
        <v/>
      </c>
      <c r="X16109" s="16" t="str">
        <f>IFERROR(__xludf.DUMMYFUNCTION("""COMPUTED_VALUE"""),"")</f>
        <v/>
      </c>
      <c r="AC16109" s="16" t="str">
        <f>IFERROR(__xludf.DUMMYFUNCTION("""COMPUTED_VALUE"""),"")</f>
        <v/>
      </c>
    </row>
    <row r="16110">
      <c r="A16110" s="16" t="s">
        <v>87</v>
      </c>
      <c r="E16110" s="16" t="str">
        <f>IFERROR(__xludf.DUMMYFUNCTION("""COMPUTED_VALUE"""),"")</f>
        <v/>
      </c>
      <c r="G16110" s="18"/>
      <c r="H16110" s="16" t="s">
        <v>87</v>
      </c>
      <c r="I16110" s="16" t="s">
        <v>87</v>
      </c>
      <c r="J16110" s="19"/>
      <c r="L16110" s="16" t="str">
        <f>IFERROR(__xludf.DUMMYFUNCTION("""COMPUTED_VALUE"""),"")</f>
        <v/>
      </c>
      <c r="M16110" s="16" t="str">
        <f>IFERROR(__xludf.DUMMYFUNCTION("""COMPUTED_VALUE"""),"")</f>
        <v/>
      </c>
      <c r="U16110" s="16" t="s">
        <v>87</v>
      </c>
      <c r="V16110" s="16" t="str">
        <f>IFERROR(__xludf.DUMMYFUNCTION("""COMPUTED_VALUE"""),"")</f>
        <v/>
      </c>
      <c r="W16110" s="16" t="str">
        <f>IFERROR(__xludf.DUMMYFUNCTION("""COMPUTED_VALUE"""),"")</f>
        <v/>
      </c>
      <c r="X16110" s="16" t="str">
        <f>IFERROR(__xludf.DUMMYFUNCTION("""COMPUTED_VALUE"""),"")</f>
        <v/>
      </c>
      <c r="AC16110" s="16" t="str">
        <f>IFERROR(__xludf.DUMMYFUNCTION("""COMPUTED_VALUE"""),"")</f>
        <v/>
      </c>
    </row>
    <row r="16111">
      <c r="A16111" s="16" t="s">
        <v>87</v>
      </c>
      <c r="E16111" s="16" t="str">
        <f>IFERROR(__xludf.DUMMYFUNCTION("""COMPUTED_VALUE"""),"")</f>
        <v/>
      </c>
      <c r="G16111" s="18"/>
      <c r="H16111" s="16" t="s">
        <v>87</v>
      </c>
      <c r="I16111" s="16" t="s">
        <v>87</v>
      </c>
      <c r="J16111" s="19"/>
      <c r="L16111" s="16" t="str">
        <f>IFERROR(__xludf.DUMMYFUNCTION("""COMPUTED_VALUE"""),"")</f>
        <v/>
      </c>
      <c r="M16111" s="16" t="str">
        <f>IFERROR(__xludf.DUMMYFUNCTION("""COMPUTED_VALUE"""),"")</f>
        <v/>
      </c>
      <c r="U16111" s="16" t="s">
        <v>87</v>
      </c>
      <c r="V16111" s="16" t="str">
        <f>IFERROR(__xludf.DUMMYFUNCTION("""COMPUTED_VALUE"""),"")</f>
        <v/>
      </c>
      <c r="W16111" s="16" t="str">
        <f>IFERROR(__xludf.DUMMYFUNCTION("""COMPUTED_VALUE"""),"")</f>
        <v/>
      </c>
      <c r="X16111" s="16" t="str">
        <f>IFERROR(__xludf.DUMMYFUNCTION("""COMPUTED_VALUE"""),"")</f>
        <v/>
      </c>
      <c r="AC16111" s="16" t="str">
        <f>IFERROR(__xludf.DUMMYFUNCTION("""COMPUTED_VALUE"""),"")</f>
        <v/>
      </c>
    </row>
    <row r="16112">
      <c r="A16112" s="16" t="s">
        <v>87</v>
      </c>
      <c r="E16112" s="16" t="str">
        <f>IFERROR(__xludf.DUMMYFUNCTION("""COMPUTED_VALUE"""),"")</f>
        <v/>
      </c>
      <c r="G16112" s="18"/>
      <c r="H16112" s="16" t="s">
        <v>87</v>
      </c>
      <c r="I16112" s="16" t="s">
        <v>87</v>
      </c>
      <c r="J16112" s="19"/>
      <c r="L16112" s="16" t="str">
        <f>IFERROR(__xludf.DUMMYFUNCTION("""COMPUTED_VALUE"""),"")</f>
        <v/>
      </c>
      <c r="M16112" s="16" t="str">
        <f>IFERROR(__xludf.DUMMYFUNCTION("""COMPUTED_VALUE"""),"")</f>
        <v/>
      </c>
      <c r="U16112" s="16" t="s">
        <v>87</v>
      </c>
      <c r="V16112" s="16" t="str">
        <f>IFERROR(__xludf.DUMMYFUNCTION("""COMPUTED_VALUE"""),"")</f>
        <v/>
      </c>
      <c r="W16112" s="16" t="str">
        <f>IFERROR(__xludf.DUMMYFUNCTION("""COMPUTED_VALUE"""),"")</f>
        <v/>
      </c>
      <c r="X16112" s="16" t="str">
        <f>IFERROR(__xludf.DUMMYFUNCTION("""COMPUTED_VALUE"""),"")</f>
        <v/>
      </c>
      <c r="AC16112" s="16" t="str">
        <f>IFERROR(__xludf.DUMMYFUNCTION("""COMPUTED_VALUE"""),"")</f>
        <v/>
      </c>
    </row>
    <row r="16113">
      <c r="A16113" s="16" t="s">
        <v>87</v>
      </c>
      <c r="E16113" s="16" t="str">
        <f>IFERROR(__xludf.DUMMYFUNCTION("""COMPUTED_VALUE"""),"")</f>
        <v/>
      </c>
      <c r="G16113" s="18"/>
      <c r="H16113" s="16" t="s">
        <v>87</v>
      </c>
      <c r="I16113" s="16" t="s">
        <v>87</v>
      </c>
      <c r="J16113" s="19"/>
      <c r="L16113" s="16" t="str">
        <f>IFERROR(__xludf.DUMMYFUNCTION("""COMPUTED_VALUE"""),"")</f>
        <v/>
      </c>
      <c r="M16113" s="16" t="str">
        <f>IFERROR(__xludf.DUMMYFUNCTION("""COMPUTED_VALUE"""),"")</f>
        <v/>
      </c>
      <c r="U16113" s="16" t="s">
        <v>87</v>
      </c>
      <c r="V16113" s="16" t="str">
        <f>IFERROR(__xludf.DUMMYFUNCTION("""COMPUTED_VALUE"""),"")</f>
        <v/>
      </c>
      <c r="W16113" s="16" t="str">
        <f>IFERROR(__xludf.DUMMYFUNCTION("""COMPUTED_VALUE"""),"")</f>
        <v/>
      </c>
      <c r="X16113" s="16" t="str">
        <f>IFERROR(__xludf.DUMMYFUNCTION("""COMPUTED_VALUE"""),"")</f>
        <v/>
      </c>
      <c r="AC16113" s="16" t="str">
        <f>IFERROR(__xludf.DUMMYFUNCTION("""COMPUTED_VALUE"""),"")</f>
        <v/>
      </c>
    </row>
    <row r="16114">
      <c r="A16114" s="16" t="s">
        <v>87</v>
      </c>
      <c r="E16114" s="16" t="str">
        <f>IFERROR(__xludf.DUMMYFUNCTION("""COMPUTED_VALUE"""),"")</f>
        <v/>
      </c>
      <c r="G16114" s="18"/>
      <c r="H16114" s="16" t="s">
        <v>87</v>
      </c>
      <c r="I16114" s="16" t="s">
        <v>87</v>
      </c>
      <c r="J16114" s="19"/>
      <c r="L16114" s="16" t="str">
        <f>IFERROR(__xludf.DUMMYFUNCTION("""COMPUTED_VALUE"""),"")</f>
        <v/>
      </c>
      <c r="M16114" s="16" t="str">
        <f>IFERROR(__xludf.DUMMYFUNCTION("""COMPUTED_VALUE"""),"")</f>
        <v/>
      </c>
      <c r="U16114" s="16" t="s">
        <v>87</v>
      </c>
      <c r="V16114" s="16" t="str">
        <f>IFERROR(__xludf.DUMMYFUNCTION("""COMPUTED_VALUE"""),"")</f>
        <v/>
      </c>
      <c r="W16114" s="16" t="str">
        <f>IFERROR(__xludf.DUMMYFUNCTION("""COMPUTED_VALUE"""),"")</f>
        <v/>
      </c>
      <c r="X16114" s="16" t="str">
        <f>IFERROR(__xludf.DUMMYFUNCTION("""COMPUTED_VALUE"""),"")</f>
        <v/>
      </c>
      <c r="AC16114" s="16" t="str">
        <f>IFERROR(__xludf.DUMMYFUNCTION("""COMPUTED_VALUE"""),"")</f>
        <v/>
      </c>
    </row>
    <row r="16115">
      <c r="A16115" s="16" t="s">
        <v>87</v>
      </c>
      <c r="E16115" s="16" t="str">
        <f>IFERROR(__xludf.DUMMYFUNCTION("""COMPUTED_VALUE"""),"")</f>
        <v/>
      </c>
      <c r="G16115" s="18"/>
      <c r="H16115" s="16" t="s">
        <v>87</v>
      </c>
      <c r="I16115" s="16" t="s">
        <v>87</v>
      </c>
      <c r="J16115" s="19"/>
      <c r="L16115" s="16" t="str">
        <f>IFERROR(__xludf.DUMMYFUNCTION("""COMPUTED_VALUE"""),"")</f>
        <v/>
      </c>
      <c r="M16115" s="16" t="str">
        <f>IFERROR(__xludf.DUMMYFUNCTION("""COMPUTED_VALUE"""),"")</f>
        <v/>
      </c>
      <c r="U16115" s="16" t="s">
        <v>87</v>
      </c>
      <c r="V16115" s="16" t="str">
        <f>IFERROR(__xludf.DUMMYFUNCTION("""COMPUTED_VALUE"""),"")</f>
        <v/>
      </c>
      <c r="W16115" s="16" t="str">
        <f>IFERROR(__xludf.DUMMYFUNCTION("""COMPUTED_VALUE"""),"")</f>
        <v/>
      </c>
      <c r="X16115" s="16" t="str">
        <f>IFERROR(__xludf.DUMMYFUNCTION("""COMPUTED_VALUE"""),"")</f>
        <v/>
      </c>
      <c r="AC16115" s="16" t="str">
        <f>IFERROR(__xludf.DUMMYFUNCTION("""COMPUTED_VALUE"""),"")</f>
        <v/>
      </c>
    </row>
    <row r="16116">
      <c r="A16116" s="16" t="s">
        <v>87</v>
      </c>
      <c r="E16116" s="16" t="str">
        <f>IFERROR(__xludf.DUMMYFUNCTION("""COMPUTED_VALUE"""),"")</f>
        <v/>
      </c>
      <c r="G16116" s="18"/>
      <c r="H16116" s="16" t="s">
        <v>87</v>
      </c>
      <c r="I16116" s="16" t="s">
        <v>87</v>
      </c>
      <c r="J16116" s="19"/>
      <c r="L16116" s="16" t="str">
        <f>IFERROR(__xludf.DUMMYFUNCTION("""COMPUTED_VALUE"""),"")</f>
        <v/>
      </c>
      <c r="M16116" s="16" t="str">
        <f>IFERROR(__xludf.DUMMYFUNCTION("""COMPUTED_VALUE"""),"")</f>
        <v/>
      </c>
      <c r="U16116" s="16" t="s">
        <v>87</v>
      </c>
      <c r="V16116" s="16" t="str">
        <f>IFERROR(__xludf.DUMMYFUNCTION("""COMPUTED_VALUE"""),"")</f>
        <v/>
      </c>
      <c r="W16116" s="16" t="str">
        <f>IFERROR(__xludf.DUMMYFUNCTION("""COMPUTED_VALUE"""),"")</f>
        <v/>
      </c>
      <c r="X16116" s="16" t="str">
        <f>IFERROR(__xludf.DUMMYFUNCTION("""COMPUTED_VALUE"""),"")</f>
        <v/>
      </c>
      <c r="AC16116" s="16" t="str">
        <f>IFERROR(__xludf.DUMMYFUNCTION("""COMPUTED_VALUE"""),"")</f>
        <v/>
      </c>
    </row>
    <row r="16117">
      <c r="A16117" s="16" t="s">
        <v>87</v>
      </c>
      <c r="E16117" s="16" t="str">
        <f>IFERROR(__xludf.DUMMYFUNCTION("""COMPUTED_VALUE"""),"")</f>
        <v/>
      </c>
      <c r="G16117" s="18"/>
      <c r="H16117" s="16" t="s">
        <v>87</v>
      </c>
      <c r="I16117" s="16" t="s">
        <v>87</v>
      </c>
      <c r="J16117" s="19"/>
      <c r="L16117" s="16" t="str">
        <f>IFERROR(__xludf.DUMMYFUNCTION("""COMPUTED_VALUE"""),"")</f>
        <v/>
      </c>
      <c r="M16117" s="16" t="str">
        <f>IFERROR(__xludf.DUMMYFUNCTION("""COMPUTED_VALUE"""),"")</f>
        <v/>
      </c>
      <c r="U16117" s="16" t="s">
        <v>87</v>
      </c>
      <c r="V16117" s="16" t="str">
        <f>IFERROR(__xludf.DUMMYFUNCTION("""COMPUTED_VALUE"""),"")</f>
        <v/>
      </c>
      <c r="W16117" s="16" t="str">
        <f>IFERROR(__xludf.DUMMYFUNCTION("""COMPUTED_VALUE"""),"")</f>
        <v/>
      </c>
      <c r="X16117" s="16" t="str">
        <f>IFERROR(__xludf.DUMMYFUNCTION("""COMPUTED_VALUE"""),"")</f>
        <v/>
      </c>
      <c r="AC16117" s="16" t="str">
        <f>IFERROR(__xludf.DUMMYFUNCTION("""COMPUTED_VALUE"""),"")</f>
        <v/>
      </c>
    </row>
    <row r="16118">
      <c r="A16118" s="16" t="s">
        <v>87</v>
      </c>
      <c r="E16118" s="16" t="str">
        <f>IFERROR(__xludf.DUMMYFUNCTION("""COMPUTED_VALUE"""),"")</f>
        <v/>
      </c>
      <c r="G16118" s="18"/>
      <c r="H16118" s="16" t="s">
        <v>87</v>
      </c>
      <c r="I16118" s="16" t="s">
        <v>87</v>
      </c>
      <c r="J16118" s="19"/>
      <c r="L16118" s="16" t="str">
        <f>IFERROR(__xludf.DUMMYFUNCTION("""COMPUTED_VALUE"""),"")</f>
        <v/>
      </c>
      <c r="M16118" s="16" t="str">
        <f>IFERROR(__xludf.DUMMYFUNCTION("""COMPUTED_VALUE"""),"")</f>
        <v/>
      </c>
      <c r="U16118" s="16" t="s">
        <v>87</v>
      </c>
      <c r="V16118" s="16" t="str">
        <f>IFERROR(__xludf.DUMMYFUNCTION("""COMPUTED_VALUE"""),"")</f>
        <v/>
      </c>
      <c r="W16118" s="16" t="str">
        <f>IFERROR(__xludf.DUMMYFUNCTION("""COMPUTED_VALUE"""),"")</f>
        <v/>
      </c>
      <c r="X16118" s="16" t="str">
        <f>IFERROR(__xludf.DUMMYFUNCTION("""COMPUTED_VALUE"""),"")</f>
        <v/>
      </c>
      <c r="AC16118" s="16" t="str">
        <f>IFERROR(__xludf.DUMMYFUNCTION("""COMPUTED_VALUE"""),"")</f>
        <v/>
      </c>
    </row>
    <row r="16119">
      <c r="A16119" s="16" t="s">
        <v>87</v>
      </c>
      <c r="E16119" s="16" t="str">
        <f>IFERROR(__xludf.DUMMYFUNCTION("""COMPUTED_VALUE"""),"")</f>
        <v/>
      </c>
      <c r="G16119" s="18"/>
      <c r="H16119" s="16" t="s">
        <v>87</v>
      </c>
      <c r="I16119" s="16" t="s">
        <v>87</v>
      </c>
      <c r="J16119" s="19"/>
      <c r="L16119" s="16" t="str">
        <f>IFERROR(__xludf.DUMMYFUNCTION("""COMPUTED_VALUE"""),"")</f>
        <v/>
      </c>
      <c r="M16119" s="16" t="str">
        <f>IFERROR(__xludf.DUMMYFUNCTION("""COMPUTED_VALUE"""),"")</f>
        <v/>
      </c>
      <c r="U16119" s="16" t="s">
        <v>87</v>
      </c>
      <c r="V16119" s="16" t="str">
        <f>IFERROR(__xludf.DUMMYFUNCTION("""COMPUTED_VALUE"""),"")</f>
        <v/>
      </c>
      <c r="W16119" s="16" t="str">
        <f>IFERROR(__xludf.DUMMYFUNCTION("""COMPUTED_VALUE"""),"")</f>
        <v/>
      </c>
      <c r="X16119" s="16" t="str">
        <f>IFERROR(__xludf.DUMMYFUNCTION("""COMPUTED_VALUE"""),"")</f>
        <v/>
      </c>
      <c r="AC16119" s="16" t="str">
        <f>IFERROR(__xludf.DUMMYFUNCTION("""COMPUTED_VALUE"""),"")</f>
        <v/>
      </c>
    </row>
    <row r="16120">
      <c r="A16120" s="16" t="s">
        <v>87</v>
      </c>
      <c r="E16120" s="16" t="str">
        <f>IFERROR(__xludf.DUMMYFUNCTION("""COMPUTED_VALUE"""),"")</f>
        <v/>
      </c>
      <c r="G16120" s="18"/>
      <c r="H16120" s="16" t="s">
        <v>87</v>
      </c>
      <c r="I16120" s="16" t="s">
        <v>87</v>
      </c>
      <c r="J16120" s="19"/>
      <c r="L16120" s="16" t="str">
        <f>IFERROR(__xludf.DUMMYFUNCTION("""COMPUTED_VALUE"""),"")</f>
        <v/>
      </c>
      <c r="M16120" s="16" t="str">
        <f>IFERROR(__xludf.DUMMYFUNCTION("""COMPUTED_VALUE"""),"")</f>
        <v/>
      </c>
      <c r="U16120" s="16" t="s">
        <v>87</v>
      </c>
      <c r="V16120" s="16" t="str">
        <f>IFERROR(__xludf.DUMMYFUNCTION("""COMPUTED_VALUE"""),"")</f>
        <v/>
      </c>
      <c r="W16120" s="16" t="str">
        <f>IFERROR(__xludf.DUMMYFUNCTION("""COMPUTED_VALUE"""),"")</f>
        <v/>
      </c>
      <c r="X16120" s="16" t="str">
        <f>IFERROR(__xludf.DUMMYFUNCTION("""COMPUTED_VALUE"""),"")</f>
        <v/>
      </c>
      <c r="AC16120" s="16" t="str">
        <f>IFERROR(__xludf.DUMMYFUNCTION("""COMPUTED_VALUE"""),"")</f>
        <v/>
      </c>
    </row>
    <row r="16121">
      <c r="A16121" s="16" t="s">
        <v>87</v>
      </c>
      <c r="E16121" s="16" t="str">
        <f>IFERROR(__xludf.DUMMYFUNCTION("""COMPUTED_VALUE"""),"")</f>
        <v/>
      </c>
      <c r="G16121" s="18"/>
      <c r="H16121" s="16" t="s">
        <v>87</v>
      </c>
      <c r="I16121" s="16" t="s">
        <v>87</v>
      </c>
      <c r="J16121" s="19"/>
      <c r="L16121" s="16" t="str">
        <f>IFERROR(__xludf.DUMMYFUNCTION("""COMPUTED_VALUE"""),"")</f>
        <v/>
      </c>
      <c r="M16121" s="16" t="str">
        <f>IFERROR(__xludf.DUMMYFUNCTION("""COMPUTED_VALUE"""),"")</f>
        <v/>
      </c>
      <c r="U16121" s="16" t="s">
        <v>87</v>
      </c>
      <c r="V16121" s="16" t="str">
        <f>IFERROR(__xludf.DUMMYFUNCTION("""COMPUTED_VALUE"""),"")</f>
        <v/>
      </c>
      <c r="W16121" s="16" t="str">
        <f>IFERROR(__xludf.DUMMYFUNCTION("""COMPUTED_VALUE"""),"")</f>
        <v/>
      </c>
      <c r="X16121" s="16" t="str">
        <f>IFERROR(__xludf.DUMMYFUNCTION("""COMPUTED_VALUE"""),"")</f>
        <v/>
      </c>
      <c r="AC16121" s="16" t="str">
        <f>IFERROR(__xludf.DUMMYFUNCTION("""COMPUTED_VALUE"""),"")</f>
        <v/>
      </c>
    </row>
    <row r="16122">
      <c r="A16122" s="16" t="s">
        <v>87</v>
      </c>
      <c r="E16122" s="16" t="str">
        <f>IFERROR(__xludf.DUMMYFUNCTION("""COMPUTED_VALUE"""),"")</f>
        <v/>
      </c>
      <c r="G16122" s="18"/>
      <c r="H16122" s="16" t="s">
        <v>87</v>
      </c>
      <c r="I16122" s="16" t="s">
        <v>87</v>
      </c>
      <c r="J16122" s="19"/>
      <c r="L16122" s="16" t="str">
        <f>IFERROR(__xludf.DUMMYFUNCTION("""COMPUTED_VALUE"""),"")</f>
        <v/>
      </c>
      <c r="M16122" s="16" t="str">
        <f>IFERROR(__xludf.DUMMYFUNCTION("""COMPUTED_VALUE"""),"")</f>
        <v/>
      </c>
      <c r="U16122" s="16" t="s">
        <v>87</v>
      </c>
      <c r="V16122" s="16" t="str">
        <f>IFERROR(__xludf.DUMMYFUNCTION("""COMPUTED_VALUE"""),"")</f>
        <v/>
      </c>
      <c r="W16122" s="16" t="str">
        <f>IFERROR(__xludf.DUMMYFUNCTION("""COMPUTED_VALUE"""),"")</f>
        <v/>
      </c>
      <c r="X16122" s="16" t="str">
        <f>IFERROR(__xludf.DUMMYFUNCTION("""COMPUTED_VALUE"""),"")</f>
        <v/>
      </c>
      <c r="AC16122" s="16" t="str">
        <f>IFERROR(__xludf.DUMMYFUNCTION("""COMPUTED_VALUE"""),"")</f>
        <v/>
      </c>
    </row>
    <row r="16123">
      <c r="A16123" s="16" t="s">
        <v>87</v>
      </c>
      <c r="E16123" s="16" t="str">
        <f>IFERROR(__xludf.DUMMYFUNCTION("""COMPUTED_VALUE"""),"")</f>
        <v/>
      </c>
      <c r="G16123" s="18"/>
      <c r="H16123" s="16" t="s">
        <v>87</v>
      </c>
      <c r="I16123" s="16" t="s">
        <v>87</v>
      </c>
      <c r="J16123" s="19"/>
      <c r="L16123" s="16" t="str">
        <f>IFERROR(__xludf.DUMMYFUNCTION("""COMPUTED_VALUE"""),"")</f>
        <v/>
      </c>
      <c r="M16123" s="16" t="str">
        <f>IFERROR(__xludf.DUMMYFUNCTION("""COMPUTED_VALUE"""),"")</f>
        <v/>
      </c>
      <c r="U16123" s="16" t="s">
        <v>87</v>
      </c>
      <c r="V16123" s="16" t="str">
        <f>IFERROR(__xludf.DUMMYFUNCTION("""COMPUTED_VALUE"""),"")</f>
        <v/>
      </c>
      <c r="W16123" s="16" t="str">
        <f>IFERROR(__xludf.DUMMYFUNCTION("""COMPUTED_VALUE"""),"")</f>
        <v/>
      </c>
      <c r="X16123" s="16" t="str">
        <f>IFERROR(__xludf.DUMMYFUNCTION("""COMPUTED_VALUE"""),"")</f>
        <v/>
      </c>
      <c r="AC16123" s="16" t="str">
        <f>IFERROR(__xludf.DUMMYFUNCTION("""COMPUTED_VALUE"""),"")</f>
        <v/>
      </c>
    </row>
    <row r="16124">
      <c r="A16124" s="16" t="s">
        <v>87</v>
      </c>
      <c r="E16124" s="16" t="str">
        <f>IFERROR(__xludf.DUMMYFUNCTION("""COMPUTED_VALUE"""),"")</f>
        <v/>
      </c>
      <c r="G16124" s="18"/>
      <c r="H16124" s="16" t="s">
        <v>87</v>
      </c>
      <c r="I16124" s="16" t="s">
        <v>87</v>
      </c>
      <c r="J16124" s="19"/>
      <c r="L16124" s="16" t="str">
        <f>IFERROR(__xludf.DUMMYFUNCTION("""COMPUTED_VALUE"""),"")</f>
        <v/>
      </c>
      <c r="M16124" s="16" t="str">
        <f>IFERROR(__xludf.DUMMYFUNCTION("""COMPUTED_VALUE"""),"")</f>
        <v/>
      </c>
      <c r="U16124" s="16" t="s">
        <v>87</v>
      </c>
      <c r="V16124" s="16" t="str">
        <f>IFERROR(__xludf.DUMMYFUNCTION("""COMPUTED_VALUE"""),"")</f>
        <v/>
      </c>
      <c r="W16124" s="16" t="str">
        <f>IFERROR(__xludf.DUMMYFUNCTION("""COMPUTED_VALUE"""),"")</f>
        <v/>
      </c>
      <c r="X16124" s="16" t="str">
        <f>IFERROR(__xludf.DUMMYFUNCTION("""COMPUTED_VALUE"""),"")</f>
        <v/>
      </c>
      <c r="AC16124" s="16" t="str">
        <f>IFERROR(__xludf.DUMMYFUNCTION("""COMPUTED_VALUE"""),"")</f>
        <v/>
      </c>
    </row>
    <row r="16125">
      <c r="A16125" s="16" t="s">
        <v>87</v>
      </c>
      <c r="E16125" s="16" t="str">
        <f>IFERROR(__xludf.DUMMYFUNCTION("""COMPUTED_VALUE"""),"")</f>
        <v/>
      </c>
      <c r="G16125" s="18"/>
      <c r="H16125" s="16" t="s">
        <v>87</v>
      </c>
      <c r="I16125" s="16" t="s">
        <v>87</v>
      </c>
      <c r="J16125" s="19"/>
      <c r="L16125" s="16" t="str">
        <f>IFERROR(__xludf.DUMMYFUNCTION("""COMPUTED_VALUE"""),"")</f>
        <v/>
      </c>
      <c r="M16125" s="16" t="str">
        <f>IFERROR(__xludf.DUMMYFUNCTION("""COMPUTED_VALUE"""),"")</f>
        <v/>
      </c>
      <c r="U16125" s="16" t="s">
        <v>87</v>
      </c>
      <c r="V16125" s="16" t="str">
        <f>IFERROR(__xludf.DUMMYFUNCTION("""COMPUTED_VALUE"""),"")</f>
        <v/>
      </c>
      <c r="W16125" s="16" t="str">
        <f>IFERROR(__xludf.DUMMYFUNCTION("""COMPUTED_VALUE"""),"")</f>
        <v/>
      </c>
      <c r="X16125" s="16" t="str">
        <f>IFERROR(__xludf.DUMMYFUNCTION("""COMPUTED_VALUE"""),"")</f>
        <v/>
      </c>
      <c r="AC16125" s="16" t="str">
        <f>IFERROR(__xludf.DUMMYFUNCTION("""COMPUTED_VALUE"""),"")</f>
        <v/>
      </c>
    </row>
    <row r="16126">
      <c r="A16126" s="16" t="s">
        <v>87</v>
      </c>
      <c r="E16126" s="16" t="str">
        <f>IFERROR(__xludf.DUMMYFUNCTION("""COMPUTED_VALUE"""),"")</f>
        <v/>
      </c>
      <c r="G16126" s="18"/>
      <c r="H16126" s="16" t="s">
        <v>87</v>
      </c>
      <c r="I16126" s="16" t="s">
        <v>87</v>
      </c>
      <c r="J16126" s="19"/>
      <c r="L16126" s="16" t="str">
        <f>IFERROR(__xludf.DUMMYFUNCTION("""COMPUTED_VALUE"""),"")</f>
        <v/>
      </c>
      <c r="M16126" s="16" t="str">
        <f>IFERROR(__xludf.DUMMYFUNCTION("""COMPUTED_VALUE"""),"")</f>
        <v/>
      </c>
      <c r="U16126" s="16" t="s">
        <v>87</v>
      </c>
      <c r="V16126" s="16" t="str">
        <f>IFERROR(__xludf.DUMMYFUNCTION("""COMPUTED_VALUE"""),"")</f>
        <v/>
      </c>
      <c r="W16126" s="16" t="str">
        <f>IFERROR(__xludf.DUMMYFUNCTION("""COMPUTED_VALUE"""),"")</f>
        <v/>
      </c>
      <c r="X16126" s="16" t="str">
        <f>IFERROR(__xludf.DUMMYFUNCTION("""COMPUTED_VALUE"""),"")</f>
        <v/>
      </c>
      <c r="AC16126" s="16" t="str">
        <f>IFERROR(__xludf.DUMMYFUNCTION("""COMPUTED_VALUE"""),"")</f>
        <v/>
      </c>
    </row>
    <row r="16127">
      <c r="A16127" s="16" t="s">
        <v>87</v>
      </c>
      <c r="E16127" s="16" t="str">
        <f>IFERROR(__xludf.DUMMYFUNCTION("""COMPUTED_VALUE"""),"")</f>
        <v/>
      </c>
      <c r="G16127" s="18"/>
      <c r="H16127" s="16" t="s">
        <v>87</v>
      </c>
      <c r="I16127" s="16" t="s">
        <v>87</v>
      </c>
      <c r="J16127" s="19"/>
      <c r="L16127" s="16" t="str">
        <f>IFERROR(__xludf.DUMMYFUNCTION("""COMPUTED_VALUE"""),"")</f>
        <v/>
      </c>
      <c r="M16127" s="16" t="str">
        <f>IFERROR(__xludf.DUMMYFUNCTION("""COMPUTED_VALUE"""),"")</f>
        <v/>
      </c>
      <c r="U16127" s="16" t="s">
        <v>87</v>
      </c>
      <c r="V16127" s="16" t="str">
        <f>IFERROR(__xludf.DUMMYFUNCTION("""COMPUTED_VALUE"""),"")</f>
        <v/>
      </c>
      <c r="W16127" s="16" t="str">
        <f>IFERROR(__xludf.DUMMYFUNCTION("""COMPUTED_VALUE"""),"")</f>
        <v/>
      </c>
      <c r="X16127" s="16" t="str">
        <f>IFERROR(__xludf.DUMMYFUNCTION("""COMPUTED_VALUE"""),"")</f>
        <v/>
      </c>
      <c r="AC16127" s="16" t="str">
        <f>IFERROR(__xludf.DUMMYFUNCTION("""COMPUTED_VALUE"""),"")</f>
        <v/>
      </c>
    </row>
    <row r="16128">
      <c r="A16128" s="16" t="s">
        <v>87</v>
      </c>
      <c r="E16128" s="16" t="str">
        <f>IFERROR(__xludf.DUMMYFUNCTION("""COMPUTED_VALUE"""),"")</f>
        <v/>
      </c>
      <c r="G16128" s="18"/>
      <c r="H16128" s="16" t="s">
        <v>87</v>
      </c>
      <c r="I16128" s="16" t="s">
        <v>87</v>
      </c>
      <c r="J16128" s="19"/>
      <c r="L16128" s="16" t="str">
        <f>IFERROR(__xludf.DUMMYFUNCTION("""COMPUTED_VALUE"""),"")</f>
        <v/>
      </c>
      <c r="M16128" s="16" t="str">
        <f>IFERROR(__xludf.DUMMYFUNCTION("""COMPUTED_VALUE"""),"")</f>
        <v/>
      </c>
      <c r="U16128" s="16" t="s">
        <v>87</v>
      </c>
      <c r="V16128" s="16" t="str">
        <f>IFERROR(__xludf.DUMMYFUNCTION("""COMPUTED_VALUE"""),"")</f>
        <v/>
      </c>
      <c r="W16128" s="16" t="str">
        <f>IFERROR(__xludf.DUMMYFUNCTION("""COMPUTED_VALUE"""),"")</f>
        <v/>
      </c>
      <c r="X16128" s="16" t="str">
        <f>IFERROR(__xludf.DUMMYFUNCTION("""COMPUTED_VALUE"""),"")</f>
        <v/>
      </c>
      <c r="AC16128" s="16" t="str">
        <f>IFERROR(__xludf.DUMMYFUNCTION("""COMPUTED_VALUE"""),"")</f>
        <v/>
      </c>
    </row>
    <row r="16129">
      <c r="A16129" s="16" t="s">
        <v>87</v>
      </c>
      <c r="E16129" s="16" t="str">
        <f>IFERROR(__xludf.DUMMYFUNCTION("""COMPUTED_VALUE"""),"")</f>
        <v/>
      </c>
      <c r="G16129" s="18"/>
      <c r="H16129" s="16" t="s">
        <v>87</v>
      </c>
      <c r="I16129" s="16" t="s">
        <v>87</v>
      </c>
      <c r="J16129" s="19"/>
      <c r="L16129" s="16" t="str">
        <f>IFERROR(__xludf.DUMMYFUNCTION("""COMPUTED_VALUE"""),"")</f>
        <v/>
      </c>
      <c r="M16129" s="16" t="str">
        <f>IFERROR(__xludf.DUMMYFUNCTION("""COMPUTED_VALUE"""),"")</f>
        <v/>
      </c>
      <c r="U16129" s="16" t="s">
        <v>87</v>
      </c>
      <c r="V16129" s="16" t="str">
        <f>IFERROR(__xludf.DUMMYFUNCTION("""COMPUTED_VALUE"""),"")</f>
        <v/>
      </c>
      <c r="W16129" s="16" t="str">
        <f>IFERROR(__xludf.DUMMYFUNCTION("""COMPUTED_VALUE"""),"")</f>
        <v/>
      </c>
      <c r="X16129" s="16" t="str">
        <f>IFERROR(__xludf.DUMMYFUNCTION("""COMPUTED_VALUE"""),"")</f>
        <v/>
      </c>
      <c r="AC16129" s="16" t="str">
        <f>IFERROR(__xludf.DUMMYFUNCTION("""COMPUTED_VALUE"""),"")</f>
        <v/>
      </c>
    </row>
    <row r="16130">
      <c r="A16130" s="16" t="s">
        <v>87</v>
      </c>
      <c r="E16130" s="16" t="str">
        <f>IFERROR(__xludf.DUMMYFUNCTION("""COMPUTED_VALUE"""),"")</f>
        <v/>
      </c>
      <c r="G16130" s="18"/>
      <c r="H16130" s="16" t="s">
        <v>87</v>
      </c>
      <c r="I16130" s="16" t="s">
        <v>87</v>
      </c>
      <c r="J16130" s="19"/>
      <c r="L16130" s="16" t="str">
        <f>IFERROR(__xludf.DUMMYFUNCTION("""COMPUTED_VALUE"""),"")</f>
        <v/>
      </c>
      <c r="M16130" s="16" t="str">
        <f>IFERROR(__xludf.DUMMYFUNCTION("""COMPUTED_VALUE"""),"")</f>
        <v/>
      </c>
      <c r="U16130" s="16" t="s">
        <v>87</v>
      </c>
      <c r="V16130" s="16" t="str">
        <f>IFERROR(__xludf.DUMMYFUNCTION("""COMPUTED_VALUE"""),"")</f>
        <v/>
      </c>
      <c r="W16130" s="16" t="str">
        <f>IFERROR(__xludf.DUMMYFUNCTION("""COMPUTED_VALUE"""),"")</f>
        <v/>
      </c>
      <c r="X16130" s="16" t="str">
        <f>IFERROR(__xludf.DUMMYFUNCTION("""COMPUTED_VALUE"""),"")</f>
        <v/>
      </c>
      <c r="AC16130" s="16" t="str">
        <f>IFERROR(__xludf.DUMMYFUNCTION("""COMPUTED_VALUE"""),"")</f>
        <v/>
      </c>
    </row>
    <row r="16131">
      <c r="A16131" s="16" t="s">
        <v>87</v>
      </c>
      <c r="E16131" s="16" t="str">
        <f>IFERROR(__xludf.DUMMYFUNCTION("""COMPUTED_VALUE"""),"")</f>
        <v/>
      </c>
      <c r="G16131" s="18"/>
      <c r="H16131" s="16" t="s">
        <v>87</v>
      </c>
      <c r="I16131" s="16" t="s">
        <v>87</v>
      </c>
      <c r="J16131" s="19"/>
      <c r="L16131" s="16" t="str">
        <f>IFERROR(__xludf.DUMMYFUNCTION("""COMPUTED_VALUE"""),"")</f>
        <v/>
      </c>
      <c r="M16131" s="16" t="str">
        <f>IFERROR(__xludf.DUMMYFUNCTION("""COMPUTED_VALUE"""),"")</f>
        <v/>
      </c>
      <c r="U16131" s="16" t="s">
        <v>87</v>
      </c>
      <c r="V16131" s="16" t="str">
        <f>IFERROR(__xludf.DUMMYFUNCTION("""COMPUTED_VALUE"""),"")</f>
        <v/>
      </c>
      <c r="W16131" s="16" t="str">
        <f>IFERROR(__xludf.DUMMYFUNCTION("""COMPUTED_VALUE"""),"")</f>
        <v/>
      </c>
      <c r="X16131" s="16" t="str">
        <f>IFERROR(__xludf.DUMMYFUNCTION("""COMPUTED_VALUE"""),"")</f>
        <v/>
      </c>
      <c r="AC16131" s="16" t="str">
        <f>IFERROR(__xludf.DUMMYFUNCTION("""COMPUTED_VALUE"""),"")</f>
        <v/>
      </c>
    </row>
    <row r="16132">
      <c r="A16132" s="16" t="s">
        <v>87</v>
      </c>
      <c r="E16132" s="16" t="str">
        <f>IFERROR(__xludf.DUMMYFUNCTION("""COMPUTED_VALUE"""),"")</f>
        <v/>
      </c>
      <c r="G16132" s="18"/>
      <c r="H16132" s="16" t="s">
        <v>87</v>
      </c>
      <c r="I16132" s="16" t="s">
        <v>87</v>
      </c>
      <c r="J16132" s="19"/>
      <c r="L16132" s="16" t="str">
        <f>IFERROR(__xludf.DUMMYFUNCTION("""COMPUTED_VALUE"""),"")</f>
        <v/>
      </c>
      <c r="M16132" s="16" t="str">
        <f>IFERROR(__xludf.DUMMYFUNCTION("""COMPUTED_VALUE"""),"")</f>
        <v/>
      </c>
      <c r="U16132" s="16" t="s">
        <v>87</v>
      </c>
      <c r="V16132" s="16" t="str">
        <f>IFERROR(__xludf.DUMMYFUNCTION("""COMPUTED_VALUE"""),"")</f>
        <v/>
      </c>
      <c r="W16132" s="16" t="str">
        <f>IFERROR(__xludf.DUMMYFUNCTION("""COMPUTED_VALUE"""),"")</f>
        <v/>
      </c>
      <c r="X16132" s="16" t="str">
        <f>IFERROR(__xludf.DUMMYFUNCTION("""COMPUTED_VALUE"""),"")</f>
        <v/>
      </c>
      <c r="AC16132" s="16" t="str">
        <f>IFERROR(__xludf.DUMMYFUNCTION("""COMPUTED_VALUE"""),"")</f>
        <v/>
      </c>
    </row>
    <row r="16133">
      <c r="A16133" s="16" t="s">
        <v>87</v>
      </c>
      <c r="E16133" s="16" t="str">
        <f>IFERROR(__xludf.DUMMYFUNCTION("""COMPUTED_VALUE"""),"")</f>
        <v/>
      </c>
      <c r="G16133" s="18"/>
      <c r="H16133" s="16" t="s">
        <v>87</v>
      </c>
      <c r="I16133" s="16" t="s">
        <v>87</v>
      </c>
      <c r="J16133" s="19"/>
      <c r="L16133" s="16" t="str">
        <f>IFERROR(__xludf.DUMMYFUNCTION("""COMPUTED_VALUE"""),"")</f>
        <v/>
      </c>
      <c r="M16133" s="16" t="str">
        <f>IFERROR(__xludf.DUMMYFUNCTION("""COMPUTED_VALUE"""),"")</f>
        <v/>
      </c>
      <c r="U16133" s="16" t="s">
        <v>87</v>
      </c>
      <c r="V16133" s="16" t="str">
        <f>IFERROR(__xludf.DUMMYFUNCTION("""COMPUTED_VALUE"""),"")</f>
        <v/>
      </c>
      <c r="W16133" s="16" t="str">
        <f>IFERROR(__xludf.DUMMYFUNCTION("""COMPUTED_VALUE"""),"")</f>
        <v/>
      </c>
      <c r="X16133" s="16" t="str">
        <f>IFERROR(__xludf.DUMMYFUNCTION("""COMPUTED_VALUE"""),"")</f>
        <v/>
      </c>
      <c r="AC16133" s="16" t="str">
        <f>IFERROR(__xludf.DUMMYFUNCTION("""COMPUTED_VALUE"""),"")</f>
        <v/>
      </c>
    </row>
    <row r="16134">
      <c r="A16134" s="16" t="s">
        <v>87</v>
      </c>
      <c r="E16134" s="16" t="str">
        <f>IFERROR(__xludf.DUMMYFUNCTION("""COMPUTED_VALUE"""),"")</f>
        <v/>
      </c>
      <c r="G16134" s="18"/>
      <c r="H16134" s="16" t="s">
        <v>87</v>
      </c>
      <c r="I16134" s="16" t="s">
        <v>87</v>
      </c>
      <c r="J16134" s="19"/>
      <c r="L16134" s="16" t="str">
        <f>IFERROR(__xludf.DUMMYFUNCTION("""COMPUTED_VALUE"""),"")</f>
        <v/>
      </c>
      <c r="M16134" s="16" t="str">
        <f>IFERROR(__xludf.DUMMYFUNCTION("""COMPUTED_VALUE"""),"")</f>
        <v/>
      </c>
      <c r="U16134" s="16" t="s">
        <v>87</v>
      </c>
      <c r="V16134" s="16" t="str">
        <f>IFERROR(__xludf.DUMMYFUNCTION("""COMPUTED_VALUE"""),"")</f>
        <v/>
      </c>
      <c r="W16134" s="16" t="str">
        <f>IFERROR(__xludf.DUMMYFUNCTION("""COMPUTED_VALUE"""),"")</f>
        <v/>
      </c>
      <c r="X16134" s="16" t="str">
        <f>IFERROR(__xludf.DUMMYFUNCTION("""COMPUTED_VALUE"""),"")</f>
        <v/>
      </c>
      <c r="AC16134" s="16" t="str">
        <f>IFERROR(__xludf.DUMMYFUNCTION("""COMPUTED_VALUE"""),"")</f>
        <v/>
      </c>
    </row>
    <row r="16135">
      <c r="A16135" s="16" t="s">
        <v>87</v>
      </c>
      <c r="E16135" s="16" t="str">
        <f>IFERROR(__xludf.DUMMYFUNCTION("""COMPUTED_VALUE"""),"")</f>
        <v/>
      </c>
      <c r="G16135" s="18"/>
      <c r="H16135" s="16" t="s">
        <v>87</v>
      </c>
      <c r="I16135" s="16" t="s">
        <v>87</v>
      </c>
      <c r="J16135" s="19"/>
      <c r="L16135" s="16" t="str">
        <f>IFERROR(__xludf.DUMMYFUNCTION("""COMPUTED_VALUE"""),"")</f>
        <v/>
      </c>
      <c r="M16135" s="16" t="str">
        <f>IFERROR(__xludf.DUMMYFUNCTION("""COMPUTED_VALUE"""),"")</f>
        <v/>
      </c>
      <c r="U16135" s="16" t="s">
        <v>87</v>
      </c>
      <c r="V16135" s="16" t="str">
        <f>IFERROR(__xludf.DUMMYFUNCTION("""COMPUTED_VALUE"""),"")</f>
        <v/>
      </c>
      <c r="W16135" s="16" t="str">
        <f>IFERROR(__xludf.DUMMYFUNCTION("""COMPUTED_VALUE"""),"")</f>
        <v/>
      </c>
      <c r="X16135" s="16" t="str">
        <f>IFERROR(__xludf.DUMMYFUNCTION("""COMPUTED_VALUE"""),"")</f>
        <v/>
      </c>
      <c r="AC16135" s="16" t="str">
        <f>IFERROR(__xludf.DUMMYFUNCTION("""COMPUTED_VALUE"""),"")</f>
        <v/>
      </c>
    </row>
    <row r="16136">
      <c r="A16136" s="16" t="s">
        <v>87</v>
      </c>
      <c r="E16136" s="16" t="str">
        <f>IFERROR(__xludf.DUMMYFUNCTION("""COMPUTED_VALUE"""),"")</f>
        <v/>
      </c>
      <c r="G16136" s="18"/>
      <c r="H16136" s="16" t="s">
        <v>87</v>
      </c>
      <c r="I16136" s="16" t="s">
        <v>87</v>
      </c>
      <c r="J16136" s="19"/>
      <c r="L16136" s="16" t="str">
        <f>IFERROR(__xludf.DUMMYFUNCTION("""COMPUTED_VALUE"""),"")</f>
        <v/>
      </c>
      <c r="M16136" s="16" t="str">
        <f>IFERROR(__xludf.DUMMYFUNCTION("""COMPUTED_VALUE"""),"")</f>
        <v/>
      </c>
      <c r="U16136" s="16" t="s">
        <v>87</v>
      </c>
      <c r="V16136" s="16" t="str">
        <f>IFERROR(__xludf.DUMMYFUNCTION("""COMPUTED_VALUE"""),"")</f>
        <v/>
      </c>
      <c r="W16136" s="16" t="str">
        <f>IFERROR(__xludf.DUMMYFUNCTION("""COMPUTED_VALUE"""),"")</f>
        <v/>
      </c>
      <c r="X16136" s="16" t="str">
        <f>IFERROR(__xludf.DUMMYFUNCTION("""COMPUTED_VALUE"""),"")</f>
        <v/>
      </c>
      <c r="AC16136" s="16" t="str">
        <f>IFERROR(__xludf.DUMMYFUNCTION("""COMPUTED_VALUE"""),"")</f>
        <v/>
      </c>
    </row>
    <row r="16137">
      <c r="A16137" s="16" t="s">
        <v>87</v>
      </c>
      <c r="E16137" s="16" t="str">
        <f>IFERROR(__xludf.DUMMYFUNCTION("""COMPUTED_VALUE"""),"")</f>
        <v/>
      </c>
      <c r="G16137" s="18"/>
      <c r="H16137" s="16" t="s">
        <v>87</v>
      </c>
      <c r="I16137" s="16" t="s">
        <v>87</v>
      </c>
      <c r="J16137" s="19"/>
      <c r="L16137" s="16" t="str">
        <f>IFERROR(__xludf.DUMMYFUNCTION("""COMPUTED_VALUE"""),"")</f>
        <v/>
      </c>
      <c r="M16137" s="16" t="str">
        <f>IFERROR(__xludf.DUMMYFUNCTION("""COMPUTED_VALUE"""),"")</f>
        <v/>
      </c>
      <c r="U16137" s="16" t="s">
        <v>87</v>
      </c>
      <c r="V16137" s="16" t="str">
        <f>IFERROR(__xludf.DUMMYFUNCTION("""COMPUTED_VALUE"""),"")</f>
        <v/>
      </c>
      <c r="W16137" s="16" t="str">
        <f>IFERROR(__xludf.DUMMYFUNCTION("""COMPUTED_VALUE"""),"")</f>
        <v/>
      </c>
      <c r="X16137" s="16" t="str">
        <f>IFERROR(__xludf.DUMMYFUNCTION("""COMPUTED_VALUE"""),"")</f>
        <v/>
      </c>
      <c r="AC16137" s="16" t="str">
        <f>IFERROR(__xludf.DUMMYFUNCTION("""COMPUTED_VALUE"""),"")</f>
        <v/>
      </c>
    </row>
    <row r="16138">
      <c r="A16138" s="16" t="s">
        <v>87</v>
      </c>
      <c r="E16138" s="16" t="str">
        <f>IFERROR(__xludf.DUMMYFUNCTION("""COMPUTED_VALUE"""),"")</f>
        <v/>
      </c>
      <c r="G16138" s="18"/>
      <c r="H16138" s="16" t="s">
        <v>87</v>
      </c>
      <c r="I16138" s="16" t="s">
        <v>87</v>
      </c>
      <c r="J16138" s="19"/>
      <c r="L16138" s="16" t="str">
        <f>IFERROR(__xludf.DUMMYFUNCTION("""COMPUTED_VALUE"""),"")</f>
        <v/>
      </c>
      <c r="M16138" s="16" t="str">
        <f>IFERROR(__xludf.DUMMYFUNCTION("""COMPUTED_VALUE"""),"")</f>
        <v/>
      </c>
      <c r="U16138" s="16" t="s">
        <v>87</v>
      </c>
      <c r="V16138" s="16" t="str">
        <f>IFERROR(__xludf.DUMMYFUNCTION("""COMPUTED_VALUE"""),"")</f>
        <v/>
      </c>
      <c r="W16138" s="16" t="str">
        <f>IFERROR(__xludf.DUMMYFUNCTION("""COMPUTED_VALUE"""),"")</f>
        <v/>
      </c>
      <c r="X16138" s="16" t="str">
        <f>IFERROR(__xludf.DUMMYFUNCTION("""COMPUTED_VALUE"""),"")</f>
        <v/>
      </c>
      <c r="AC16138" s="16" t="str">
        <f>IFERROR(__xludf.DUMMYFUNCTION("""COMPUTED_VALUE"""),"")</f>
        <v/>
      </c>
    </row>
    <row r="16139">
      <c r="A16139" s="16" t="s">
        <v>87</v>
      </c>
      <c r="E16139" s="16" t="str">
        <f>IFERROR(__xludf.DUMMYFUNCTION("""COMPUTED_VALUE"""),"")</f>
        <v/>
      </c>
      <c r="G16139" s="18"/>
      <c r="H16139" s="16" t="s">
        <v>87</v>
      </c>
      <c r="I16139" s="16" t="s">
        <v>87</v>
      </c>
      <c r="J16139" s="19"/>
      <c r="L16139" s="16" t="str">
        <f>IFERROR(__xludf.DUMMYFUNCTION("""COMPUTED_VALUE"""),"")</f>
        <v/>
      </c>
      <c r="M16139" s="16" t="str">
        <f>IFERROR(__xludf.DUMMYFUNCTION("""COMPUTED_VALUE"""),"")</f>
        <v/>
      </c>
      <c r="U16139" s="16" t="s">
        <v>87</v>
      </c>
      <c r="V16139" s="16" t="str">
        <f>IFERROR(__xludf.DUMMYFUNCTION("""COMPUTED_VALUE"""),"")</f>
        <v/>
      </c>
      <c r="W16139" s="16" t="str">
        <f>IFERROR(__xludf.DUMMYFUNCTION("""COMPUTED_VALUE"""),"")</f>
        <v/>
      </c>
      <c r="X16139" s="16" t="str">
        <f>IFERROR(__xludf.DUMMYFUNCTION("""COMPUTED_VALUE"""),"")</f>
        <v/>
      </c>
      <c r="AC16139" s="16" t="str">
        <f>IFERROR(__xludf.DUMMYFUNCTION("""COMPUTED_VALUE"""),"")</f>
        <v/>
      </c>
    </row>
    <row r="16140">
      <c r="A16140" s="16" t="s">
        <v>87</v>
      </c>
      <c r="E16140" s="16" t="str">
        <f>IFERROR(__xludf.DUMMYFUNCTION("""COMPUTED_VALUE"""),"")</f>
        <v/>
      </c>
      <c r="G16140" s="18"/>
      <c r="H16140" s="16" t="s">
        <v>87</v>
      </c>
      <c r="I16140" s="16" t="s">
        <v>87</v>
      </c>
      <c r="J16140" s="19"/>
      <c r="L16140" s="16" t="str">
        <f>IFERROR(__xludf.DUMMYFUNCTION("""COMPUTED_VALUE"""),"")</f>
        <v/>
      </c>
      <c r="M16140" s="16" t="str">
        <f>IFERROR(__xludf.DUMMYFUNCTION("""COMPUTED_VALUE"""),"")</f>
        <v/>
      </c>
      <c r="U16140" s="16" t="s">
        <v>87</v>
      </c>
      <c r="V16140" s="16" t="str">
        <f>IFERROR(__xludf.DUMMYFUNCTION("""COMPUTED_VALUE"""),"")</f>
        <v/>
      </c>
      <c r="W16140" s="16" t="str">
        <f>IFERROR(__xludf.DUMMYFUNCTION("""COMPUTED_VALUE"""),"")</f>
        <v/>
      </c>
      <c r="X16140" s="16" t="str">
        <f>IFERROR(__xludf.DUMMYFUNCTION("""COMPUTED_VALUE"""),"")</f>
        <v/>
      </c>
      <c r="AC16140" s="16" t="str">
        <f>IFERROR(__xludf.DUMMYFUNCTION("""COMPUTED_VALUE"""),"")</f>
        <v/>
      </c>
    </row>
    <row r="16141">
      <c r="A16141" s="16" t="s">
        <v>87</v>
      </c>
      <c r="E16141" s="16" t="str">
        <f>IFERROR(__xludf.DUMMYFUNCTION("""COMPUTED_VALUE"""),"")</f>
        <v/>
      </c>
      <c r="G16141" s="18"/>
      <c r="H16141" s="16" t="s">
        <v>87</v>
      </c>
      <c r="I16141" s="16" t="s">
        <v>87</v>
      </c>
      <c r="J16141" s="19"/>
      <c r="L16141" s="16" t="str">
        <f>IFERROR(__xludf.DUMMYFUNCTION("""COMPUTED_VALUE"""),"")</f>
        <v/>
      </c>
      <c r="M16141" s="16" t="str">
        <f>IFERROR(__xludf.DUMMYFUNCTION("""COMPUTED_VALUE"""),"")</f>
        <v/>
      </c>
      <c r="U16141" s="16" t="s">
        <v>87</v>
      </c>
      <c r="V16141" s="16" t="str">
        <f>IFERROR(__xludf.DUMMYFUNCTION("""COMPUTED_VALUE"""),"")</f>
        <v/>
      </c>
      <c r="W16141" s="16" t="str">
        <f>IFERROR(__xludf.DUMMYFUNCTION("""COMPUTED_VALUE"""),"")</f>
        <v/>
      </c>
      <c r="X16141" s="16" t="str">
        <f>IFERROR(__xludf.DUMMYFUNCTION("""COMPUTED_VALUE"""),"")</f>
        <v/>
      </c>
      <c r="AC16141" s="16" t="str">
        <f>IFERROR(__xludf.DUMMYFUNCTION("""COMPUTED_VALUE"""),"")</f>
        <v/>
      </c>
    </row>
    <row r="16142">
      <c r="A16142" s="16" t="s">
        <v>87</v>
      </c>
      <c r="E16142" s="16" t="str">
        <f>IFERROR(__xludf.DUMMYFUNCTION("""COMPUTED_VALUE"""),"")</f>
        <v/>
      </c>
      <c r="G16142" s="18"/>
      <c r="H16142" s="16" t="s">
        <v>87</v>
      </c>
      <c r="I16142" s="16" t="s">
        <v>87</v>
      </c>
      <c r="J16142" s="19"/>
      <c r="L16142" s="16" t="str">
        <f>IFERROR(__xludf.DUMMYFUNCTION("""COMPUTED_VALUE"""),"")</f>
        <v/>
      </c>
      <c r="M16142" s="16" t="str">
        <f>IFERROR(__xludf.DUMMYFUNCTION("""COMPUTED_VALUE"""),"")</f>
        <v/>
      </c>
      <c r="U16142" s="16" t="s">
        <v>87</v>
      </c>
      <c r="V16142" s="16" t="str">
        <f>IFERROR(__xludf.DUMMYFUNCTION("""COMPUTED_VALUE"""),"")</f>
        <v/>
      </c>
      <c r="W16142" s="16" t="str">
        <f>IFERROR(__xludf.DUMMYFUNCTION("""COMPUTED_VALUE"""),"")</f>
        <v/>
      </c>
      <c r="X16142" s="16" t="str">
        <f>IFERROR(__xludf.DUMMYFUNCTION("""COMPUTED_VALUE"""),"")</f>
        <v/>
      </c>
      <c r="AC16142" s="16" t="str">
        <f>IFERROR(__xludf.DUMMYFUNCTION("""COMPUTED_VALUE"""),"")</f>
        <v/>
      </c>
    </row>
    <row r="16143">
      <c r="A16143" s="16" t="s">
        <v>87</v>
      </c>
      <c r="E16143" s="16" t="str">
        <f>IFERROR(__xludf.DUMMYFUNCTION("""COMPUTED_VALUE"""),"")</f>
        <v/>
      </c>
      <c r="G16143" s="18"/>
      <c r="H16143" s="16" t="s">
        <v>87</v>
      </c>
      <c r="I16143" s="16" t="s">
        <v>87</v>
      </c>
      <c r="J16143" s="19"/>
      <c r="L16143" s="16" t="str">
        <f>IFERROR(__xludf.DUMMYFUNCTION("""COMPUTED_VALUE"""),"")</f>
        <v/>
      </c>
      <c r="M16143" s="16" t="str">
        <f>IFERROR(__xludf.DUMMYFUNCTION("""COMPUTED_VALUE"""),"")</f>
        <v/>
      </c>
      <c r="U16143" s="16" t="s">
        <v>87</v>
      </c>
      <c r="V16143" s="16" t="str">
        <f>IFERROR(__xludf.DUMMYFUNCTION("""COMPUTED_VALUE"""),"")</f>
        <v/>
      </c>
      <c r="W16143" s="16" t="str">
        <f>IFERROR(__xludf.DUMMYFUNCTION("""COMPUTED_VALUE"""),"")</f>
        <v/>
      </c>
      <c r="X16143" s="16" t="str">
        <f>IFERROR(__xludf.DUMMYFUNCTION("""COMPUTED_VALUE"""),"")</f>
        <v/>
      </c>
      <c r="AC16143" s="16" t="str">
        <f>IFERROR(__xludf.DUMMYFUNCTION("""COMPUTED_VALUE"""),"")</f>
        <v/>
      </c>
    </row>
    <row r="16144">
      <c r="A16144" s="16" t="s">
        <v>87</v>
      </c>
      <c r="E16144" s="16" t="str">
        <f>IFERROR(__xludf.DUMMYFUNCTION("""COMPUTED_VALUE"""),"")</f>
        <v/>
      </c>
      <c r="G16144" s="18"/>
      <c r="H16144" s="16" t="s">
        <v>87</v>
      </c>
      <c r="I16144" s="16" t="s">
        <v>87</v>
      </c>
      <c r="J16144" s="19"/>
      <c r="L16144" s="16" t="str">
        <f>IFERROR(__xludf.DUMMYFUNCTION("""COMPUTED_VALUE"""),"")</f>
        <v/>
      </c>
      <c r="M16144" s="16" t="str">
        <f>IFERROR(__xludf.DUMMYFUNCTION("""COMPUTED_VALUE"""),"")</f>
        <v/>
      </c>
      <c r="U16144" s="16" t="s">
        <v>87</v>
      </c>
      <c r="V16144" s="16" t="str">
        <f>IFERROR(__xludf.DUMMYFUNCTION("""COMPUTED_VALUE"""),"")</f>
        <v/>
      </c>
      <c r="W16144" s="16" t="str">
        <f>IFERROR(__xludf.DUMMYFUNCTION("""COMPUTED_VALUE"""),"")</f>
        <v/>
      </c>
      <c r="X16144" s="16" t="str">
        <f>IFERROR(__xludf.DUMMYFUNCTION("""COMPUTED_VALUE"""),"")</f>
        <v/>
      </c>
      <c r="AC16144" s="16" t="str">
        <f>IFERROR(__xludf.DUMMYFUNCTION("""COMPUTED_VALUE"""),"")</f>
        <v/>
      </c>
    </row>
    <row r="16145">
      <c r="A16145" s="16" t="s">
        <v>87</v>
      </c>
      <c r="E16145" s="16" t="str">
        <f>IFERROR(__xludf.DUMMYFUNCTION("""COMPUTED_VALUE"""),"")</f>
        <v/>
      </c>
      <c r="G16145" s="18"/>
      <c r="H16145" s="16" t="s">
        <v>87</v>
      </c>
      <c r="I16145" s="16" t="s">
        <v>87</v>
      </c>
      <c r="J16145" s="19"/>
      <c r="L16145" s="16" t="str">
        <f>IFERROR(__xludf.DUMMYFUNCTION("""COMPUTED_VALUE"""),"")</f>
        <v/>
      </c>
      <c r="M16145" s="16" t="str">
        <f>IFERROR(__xludf.DUMMYFUNCTION("""COMPUTED_VALUE"""),"")</f>
        <v/>
      </c>
      <c r="U16145" s="16" t="s">
        <v>87</v>
      </c>
      <c r="V16145" s="16" t="str">
        <f>IFERROR(__xludf.DUMMYFUNCTION("""COMPUTED_VALUE"""),"")</f>
        <v/>
      </c>
      <c r="W16145" s="16" t="str">
        <f>IFERROR(__xludf.DUMMYFUNCTION("""COMPUTED_VALUE"""),"")</f>
        <v/>
      </c>
      <c r="X16145" s="16" t="str">
        <f>IFERROR(__xludf.DUMMYFUNCTION("""COMPUTED_VALUE"""),"")</f>
        <v/>
      </c>
      <c r="AC16145" s="16" t="str">
        <f>IFERROR(__xludf.DUMMYFUNCTION("""COMPUTED_VALUE"""),"")</f>
        <v/>
      </c>
    </row>
    <row r="16146">
      <c r="A16146" s="16" t="s">
        <v>87</v>
      </c>
      <c r="E16146" s="16" t="str">
        <f>IFERROR(__xludf.DUMMYFUNCTION("""COMPUTED_VALUE"""),"")</f>
        <v/>
      </c>
      <c r="G16146" s="18"/>
      <c r="H16146" s="16" t="s">
        <v>87</v>
      </c>
      <c r="I16146" s="16" t="s">
        <v>87</v>
      </c>
      <c r="J16146" s="19"/>
      <c r="L16146" s="16" t="str">
        <f>IFERROR(__xludf.DUMMYFUNCTION("""COMPUTED_VALUE"""),"")</f>
        <v/>
      </c>
      <c r="M16146" s="16" t="str">
        <f>IFERROR(__xludf.DUMMYFUNCTION("""COMPUTED_VALUE"""),"")</f>
        <v/>
      </c>
      <c r="U16146" s="16" t="s">
        <v>87</v>
      </c>
      <c r="V16146" s="16" t="str">
        <f>IFERROR(__xludf.DUMMYFUNCTION("""COMPUTED_VALUE"""),"")</f>
        <v/>
      </c>
      <c r="W16146" s="16" t="str">
        <f>IFERROR(__xludf.DUMMYFUNCTION("""COMPUTED_VALUE"""),"")</f>
        <v/>
      </c>
      <c r="X16146" s="16" t="str">
        <f>IFERROR(__xludf.DUMMYFUNCTION("""COMPUTED_VALUE"""),"")</f>
        <v/>
      </c>
      <c r="AC16146" s="16" t="str">
        <f>IFERROR(__xludf.DUMMYFUNCTION("""COMPUTED_VALUE"""),"")</f>
        <v/>
      </c>
    </row>
    <row r="16147">
      <c r="A16147" s="16" t="s">
        <v>87</v>
      </c>
      <c r="E16147" s="16" t="str">
        <f>IFERROR(__xludf.DUMMYFUNCTION("""COMPUTED_VALUE"""),"")</f>
        <v/>
      </c>
      <c r="G16147" s="18"/>
      <c r="H16147" s="16" t="s">
        <v>87</v>
      </c>
      <c r="I16147" s="16" t="s">
        <v>87</v>
      </c>
      <c r="J16147" s="19"/>
      <c r="L16147" s="16" t="str">
        <f>IFERROR(__xludf.DUMMYFUNCTION("""COMPUTED_VALUE"""),"")</f>
        <v/>
      </c>
      <c r="M16147" s="16" t="str">
        <f>IFERROR(__xludf.DUMMYFUNCTION("""COMPUTED_VALUE"""),"")</f>
        <v/>
      </c>
      <c r="U16147" s="16" t="s">
        <v>87</v>
      </c>
      <c r="V16147" s="16" t="str">
        <f>IFERROR(__xludf.DUMMYFUNCTION("""COMPUTED_VALUE"""),"")</f>
        <v/>
      </c>
      <c r="W16147" s="16" t="str">
        <f>IFERROR(__xludf.DUMMYFUNCTION("""COMPUTED_VALUE"""),"")</f>
        <v/>
      </c>
      <c r="X16147" s="16" t="str">
        <f>IFERROR(__xludf.DUMMYFUNCTION("""COMPUTED_VALUE"""),"")</f>
        <v/>
      </c>
      <c r="AC16147" s="16" t="str">
        <f>IFERROR(__xludf.DUMMYFUNCTION("""COMPUTED_VALUE"""),"")</f>
        <v/>
      </c>
    </row>
    <row r="16148">
      <c r="A16148" s="16" t="s">
        <v>87</v>
      </c>
      <c r="E16148" s="16" t="str">
        <f>IFERROR(__xludf.DUMMYFUNCTION("""COMPUTED_VALUE"""),"")</f>
        <v/>
      </c>
      <c r="G16148" s="18"/>
      <c r="H16148" s="16" t="s">
        <v>87</v>
      </c>
      <c r="I16148" s="16" t="s">
        <v>87</v>
      </c>
      <c r="J16148" s="19"/>
      <c r="L16148" s="16" t="str">
        <f>IFERROR(__xludf.DUMMYFUNCTION("""COMPUTED_VALUE"""),"")</f>
        <v/>
      </c>
      <c r="M16148" s="16" t="str">
        <f>IFERROR(__xludf.DUMMYFUNCTION("""COMPUTED_VALUE"""),"")</f>
        <v/>
      </c>
      <c r="U16148" s="16" t="s">
        <v>87</v>
      </c>
      <c r="V16148" s="16" t="str">
        <f>IFERROR(__xludf.DUMMYFUNCTION("""COMPUTED_VALUE"""),"")</f>
        <v/>
      </c>
      <c r="W16148" s="16" t="str">
        <f>IFERROR(__xludf.DUMMYFUNCTION("""COMPUTED_VALUE"""),"")</f>
        <v/>
      </c>
      <c r="X16148" s="16" t="str">
        <f>IFERROR(__xludf.DUMMYFUNCTION("""COMPUTED_VALUE"""),"")</f>
        <v/>
      </c>
      <c r="AC16148" s="16" t="str">
        <f>IFERROR(__xludf.DUMMYFUNCTION("""COMPUTED_VALUE"""),"")</f>
        <v/>
      </c>
    </row>
    <row r="16149">
      <c r="A16149" s="16" t="s">
        <v>87</v>
      </c>
      <c r="E16149" s="16" t="str">
        <f>IFERROR(__xludf.DUMMYFUNCTION("""COMPUTED_VALUE"""),"")</f>
        <v/>
      </c>
      <c r="G16149" s="18"/>
      <c r="H16149" s="16" t="s">
        <v>87</v>
      </c>
      <c r="I16149" s="16" t="s">
        <v>87</v>
      </c>
      <c r="J16149" s="19"/>
      <c r="L16149" s="16" t="str">
        <f>IFERROR(__xludf.DUMMYFUNCTION("""COMPUTED_VALUE"""),"")</f>
        <v/>
      </c>
      <c r="M16149" s="16" t="str">
        <f>IFERROR(__xludf.DUMMYFUNCTION("""COMPUTED_VALUE"""),"")</f>
        <v/>
      </c>
      <c r="U16149" s="16" t="s">
        <v>87</v>
      </c>
      <c r="V16149" s="16" t="str">
        <f>IFERROR(__xludf.DUMMYFUNCTION("""COMPUTED_VALUE"""),"")</f>
        <v/>
      </c>
      <c r="W16149" s="16" t="str">
        <f>IFERROR(__xludf.DUMMYFUNCTION("""COMPUTED_VALUE"""),"")</f>
        <v/>
      </c>
      <c r="X16149" s="16" t="str">
        <f>IFERROR(__xludf.DUMMYFUNCTION("""COMPUTED_VALUE"""),"")</f>
        <v/>
      </c>
      <c r="AC16149" s="16" t="str">
        <f>IFERROR(__xludf.DUMMYFUNCTION("""COMPUTED_VALUE"""),"")</f>
        <v/>
      </c>
    </row>
    <row r="16150">
      <c r="A16150" s="16" t="s">
        <v>87</v>
      </c>
      <c r="E16150" s="16" t="str">
        <f>IFERROR(__xludf.DUMMYFUNCTION("""COMPUTED_VALUE"""),"")</f>
        <v/>
      </c>
      <c r="G16150" s="18"/>
      <c r="H16150" s="16" t="s">
        <v>87</v>
      </c>
      <c r="I16150" s="16" t="s">
        <v>87</v>
      </c>
      <c r="J16150" s="19"/>
      <c r="L16150" s="16" t="str">
        <f>IFERROR(__xludf.DUMMYFUNCTION("""COMPUTED_VALUE"""),"")</f>
        <v/>
      </c>
      <c r="M16150" s="16" t="str">
        <f>IFERROR(__xludf.DUMMYFUNCTION("""COMPUTED_VALUE"""),"")</f>
        <v/>
      </c>
      <c r="U16150" s="16" t="s">
        <v>87</v>
      </c>
      <c r="V16150" s="16" t="str">
        <f>IFERROR(__xludf.DUMMYFUNCTION("""COMPUTED_VALUE"""),"")</f>
        <v/>
      </c>
      <c r="W16150" s="16" t="str">
        <f>IFERROR(__xludf.DUMMYFUNCTION("""COMPUTED_VALUE"""),"")</f>
        <v/>
      </c>
      <c r="X16150" s="16" t="str">
        <f>IFERROR(__xludf.DUMMYFUNCTION("""COMPUTED_VALUE"""),"")</f>
        <v/>
      </c>
      <c r="AC16150" s="16" t="str">
        <f>IFERROR(__xludf.DUMMYFUNCTION("""COMPUTED_VALUE"""),"")</f>
        <v/>
      </c>
    </row>
    <row r="16151">
      <c r="A16151" s="16" t="s">
        <v>87</v>
      </c>
      <c r="E16151" s="16" t="str">
        <f>IFERROR(__xludf.DUMMYFUNCTION("""COMPUTED_VALUE"""),"")</f>
        <v/>
      </c>
      <c r="G16151" s="18"/>
      <c r="H16151" s="16" t="s">
        <v>87</v>
      </c>
      <c r="I16151" s="16" t="s">
        <v>87</v>
      </c>
      <c r="J16151" s="19"/>
      <c r="L16151" s="16" t="str">
        <f>IFERROR(__xludf.DUMMYFUNCTION("""COMPUTED_VALUE"""),"")</f>
        <v/>
      </c>
      <c r="M16151" s="16" t="str">
        <f>IFERROR(__xludf.DUMMYFUNCTION("""COMPUTED_VALUE"""),"")</f>
        <v/>
      </c>
      <c r="U16151" s="16" t="s">
        <v>87</v>
      </c>
      <c r="V16151" s="16" t="str">
        <f>IFERROR(__xludf.DUMMYFUNCTION("""COMPUTED_VALUE"""),"")</f>
        <v/>
      </c>
      <c r="W16151" s="16" t="str">
        <f>IFERROR(__xludf.DUMMYFUNCTION("""COMPUTED_VALUE"""),"")</f>
        <v/>
      </c>
      <c r="X16151" s="16" t="str">
        <f>IFERROR(__xludf.DUMMYFUNCTION("""COMPUTED_VALUE"""),"")</f>
        <v/>
      </c>
      <c r="AC16151" s="16" t="str">
        <f>IFERROR(__xludf.DUMMYFUNCTION("""COMPUTED_VALUE"""),"")</f>
        <v/>
      </c>
    </row>
    <row r="16152">
      <c r="A16152" s="16" t="s">
        <v>87</v>
      </c>
      <c r="E16152" s="16" t="str">
        <f>IFERROR(__xludf.DUMMYFUNCTION("""COMPUTED_VALUE"""),"")</f>
        <v/>
      </c>
      <c r="G16152" s="18"/>
      <c r="H16152" s="16" t="s">
        <v>87</v>
      </c>
      <c r="I16152" s="16" t="s">
        <v>87</v>
      </c>
      <c r="J16152" s="19"/>
      <c r="L16152" s="16" t="str">
        <f>IFERROR(__xludf.DUMMYFUNCTION("""COMPUTED_VALUE"""),"")</f>
        <v/>
      </c>
      <c r="M16152" s="16" t="str">
        <f>IFERROR(__xludf.DUMMYFUNCTION("""COMPUTED_VALUE"""),"")</f>
        <v/>
      </c>
      <c r="U16152" s="16" t="s">
        <v>87</v>
      </c>
      <c r="V16152" s="16" t="str">
        <f>IFERROR(__xludf.DUMMYFUNCTION("""COMPUTED_VALUE"""),"")</f>
        <v/>
      </c>
      <c r="W16152" s="16" t="str">
        <f>IFERROR(__xludf.DUMMYFUNCTION("""COMPUTED_VALUE"""),"")</f>
        <v/>
      </c>
      <c r="X16152" s="16" t="str">
        <f>IFERROR(__xludf.DUMMYFUNCTION("""COMPUTED_VALUE"""),"")</f>
        <v/>
      </c>
      <c r="AC16152" s="16" t="str">
        <f>IFERROR(__xludf.DUMMYFUNCTION("""COMPUTED_VALUE"""),"")</f>
        <v/>
      </c>
    </row>
    <row r="16153">
      <c r="A16153" s="16" t="s">
        <v>87</v>
      </c>
      <c r="E16153" s="16" t="str">
        <f>IFERROR(__xludf.DUMMYFUNCTION("""COMPUTED_VALUE"""),"")</f>
        <v/>
      </c>
      <c r="G16153" s="18"/>
      <c r="H16153" s="16" t="s">
        <v>87</v>
      </c>
      <c r="I16153" s="16" t="s">
        <v>87</v>
      </c>
      <c r="J16153" s="19"/>
      <c r="L16153" s="16" t="str">
        <f>IFERROR(__xludf.DUMMYFUNCTION("""COMPUTED_VALUE"""),"")</f>
        <v/>
      </c>
      <c r="M16153" s="16" t="str">
        <f>IFERROR(__xludf.DUMMYFUNCTION("""COMPUTED_VALUE"""),"")</f>
        <v/>
      </c>
      <c r="U16153" s="16" t="s">
        <v>87</v>
      </c>
      <c r="V16153" s="16" t="str">
        <f>IFERROR(__xludf.DUMMYFUNCTION("""COMPUTED_VALUE"""),"")</f>
        <v/>
      </c>
      <c r="W16153" s="16" t="str">
        <f>IFERROR(__xludf.DUMMYFUNCTION("""COMPUTED_VALUE"""),"")</f>
        <v/>
      </c>
      <c r="X16153" s="16" t="str">
        <f>IFERROR(__xludf.DUMMYFUNCTION("""COMPUTED_VALUE"""),"")</f>
        <v/>
      </c>
      <c r="AC16153" s="16" t="str">
        <f>IFERROR(__xludf.DUMMYFUNCTION("""COMPUTED_VALUE"""),"")</f>
        <v/>
      </c>
    </row>
    <row r="16154">
      <c r="A16154" s="16" t="s">
        <v>87</v>
      </c>
      <c r="E16154" s="16" t="str">
        <f>IFERROR(__xludf.DUMMYFUNCTION("""COMPUTED_VALUE"""),"")</f>
        <v/>
      </c>
      <c r="G16154" s="18"/>
      <c r="H16154" s="16" t="s">
        <v>87</v>
      </c>
      <c r="I16154" s="16" t="s">
        <v>87</v>
      </c>
      <c r="J16154" s="19"/>
      <c r="L16154" s="16" t="str">
        <f>IFERROR(__xludf.DUMMYFUNCTION("""COMPUTED_VALUE"""),"")</f>
        <v/>
      </c>
      <c r="M16154" s="16" t="str">
        <f>IFERROR(__xludf.DUMMYFUNCTION("""COMPUTED_VALUE"""),"")</f>
        <v/>
      </c>
      <c r="U16154" s="16" t="s">
        <v>87</v>
      </c>
      <c r="V16154" s="16" t="str">
        <f>IFERROR(__xludf.DUMMYFUNCTION("""COMPUTED_VALUE"""),"")</f>
        <v/>
      </c>
      <c r="W16154" s="16" t="str">
        <f>IFERROR(__xludf.DUMMYFUNCTION("""COMPUTED_VALUE"""),"")</f>
        <v/>
      </c>
      <c r="X16154" s="16" t="str">
        <f>IFERROR(__xludf.DUMMYFUNCTION("""COMPUTED_VALUE"""),"")</f>
        <v/>
      </c>
      <c r="AC16154" s="16" t="str">
        <f>IFERROR(__xludf.DUMMYFUNCTION("""COMPUTED_VALUE"""),"")</f>
        <v/>
      </c>
    </row>
    <row r="16155">
      <c r="A16155" s="16" t="s">
        <v>87</v>
      </c>
      <c r="E16155" s="16" t="str">
        <f>IFERROR(__xludf.DUMMYFUNCTION("""COMPUTED_VALUE"""),"")</f>
        <v/>
      </c>
      <c r="G16155" s="18"/>
      <c r="H16155" s="16" t="s">
        <v>87</v>
      </c>
      <c r="I16155" s="16" t="s">
        <v>87</v>
      </c>
      <c r="J16155" s="19"/>
      <c r="L16155" s="16" t="str">
        <f>IFERROR(__xludf.DUMMYFUNCTION("""COMPUTED_VALUE"""),"")</f>
        <v/>
      </c>
      <c r="M16155" s="16" t="str">
        <f>IFERROR(__xludf.DUMMYFUNCTION("""COMPUTED_VALUE"""),"")</f>
        <v/>
      </c>
      <c r="U16155" s="16" t="s">
        <v>87</v>
      </c>
      <c r="V16155" s="16" t="str">
        <f>IFERROR(__xludf.DUMMYFUNCTION("""COMPUTED_VALUE"""),"")</f>
        <v/>
      </c>
      <c r="W16155" s="16" t="str">
        <f>IFERROR(__xludf.DUMMYFUNCTION("""COMPUTED_VALUE"""),"")</f>
        <v/>
      </c>
      <c r="X16155" s="16" t="str">
        <f>IFERROR(__xludf.DUMMYFUNCTION("""COMPUTED_VALUE"""),"")</f>
        <v/>
      </c>
      <c r="AC16155" s="16" t="str">
        <f>IFERROR(__xludf.DUMMYFUNCTION("""COMPUTED_VALUE"""),"")</f>
        <v/>
      </c>
    </row>
    <row r="16156">
      <c r="A16156" s="16" t="s">
        <v>87</v>
      </c>
      <c r="E16156" s="16" t="str">
        <f>IFERROR(__xludf.DUMMYFUNCTION("""COMPUTED_VALUE"""),"")</f>
        <v/>
      </c>
      <c r="G16156" s="18"/>
      <c r="H16156" s="16" t="s">
        <v>87</v>
      </c>
      <c r="I16156" s="16" t="s">
        <v>87</v>
      </c>
      <c r="J16156" s="19"/>
      <c r="L16156" s="16" t="str">
        <f>IFERROR(__xludf.DUMMYFUNCTION("""COMPUTED_VALUE"""),"")</f>
        <v/>
      </c>
      <c r="M16156" s="16" t="str">
        <f>IFERROR(__xludf.DUMMYFUNCTION("""COMPUTED_VALUE"""),"")</f>
        <v/>
      </c>
      <c r="U16156" s="16" t="s">
        <v>87</v>
      </c>
      <c r="V16156" s="16" t="str">
        <f>IFERROR(__xludf.DUMMYFUNCTION("""COMPUTED_VALUE"""),"")</f>
        <v/>
      </c>
      <c r="W16156" s="16" t="str">
        <f>IFERROR(__xludf.DUMMYFUNCTION("""COMPUTED_VALUE"""),"")</f>
        <v/>
      </c>
      <c r="X16156" s="16" t="str">
        <f>IFERROR(__xludf.DUMMYFUNCTION("""COMPUTED_VALUE"""),"")</f>
        <v/>
      </c>
      <c r="AC16156" s="16" t="str">
        <f>IFERROR(__xludf.DUMMYFUNCTION("""COMPUTED_VALUE"""),"")</f>
        <v/>
      </c>
    </row>
    <row r="16157">
      <c r="A16157" s="16" t="s">
        <v>87</v>
      </c>
      <c r="E16157" s="16" t="str">
        <f>IFERROR(__xludf.DUMMYFUNCTION("""COMPUTED_VALUE"""),"")</f>
        <v/>
      </c>
      <c r="G16157" s="18"/>
      <c r="H16157" s="16" t="s">
        <v>87</v>
      </c>
      <c r="I16157" s="16" t="s">
        <v>87</v>
      </c>
      <c r="J16157" s="19"/>
      <c r="L16157" s="16" t="str">
        <f>IFERROR(__xludf.DUMMYFUNCTION("""COMPUTED_VALUE"""),"")</f>
        <v/>
      </c>
      <c r="M16157" s="16" t="str">
        <f>IFERROR(__xludf.DUMMYFUNCTION("""COMPUTED_VALUE"""),"")</f>
        <v/>
      </c>
      <c r="U16157" s="16" t="s">
        <v>87</v>
      </c>
      <c r="V16157" s="16" t="str">
        <f>IFERROR(__xludf.DUMMYFUNCTION("""COMPUTED_VALUE"""),"")</f>
        <v/>
      </c>
      <c r="W16157" s="16" t="str">
        <f>IFERROR(__xludf.DUMMYFUNCTION("""COMPUTED_VALUE"""),"")</f>
        <v/>
      </c>
      <c r="X16157" s="16" t="str">
        <f>IFERROR(__xludf.DUMMYFUNCTION("""COMPUTED_VALUE"""),"")</f>
        <v/>
      </c>
      <c r="AC16157" s="16" t="str">
        <f>IFERROR(__xludf.DUMMYFUNCTION("""COMPUTED_VALUE"""),"")</f>
        <v/>
      </c>
    </row>
    <row r="16158">
      <c r="A16158" s="16" t="s">
        <v>87</v>
      </c>
      <c r="E16158" s="16" t="str">
        <f>IFERROR(__xludf.DUMMYFUNCTION("""COMPUTED_VALUE"""),"")</f>
        <v/>
      </c>
      <c r="G16158" s="18"/>
      <c r="H16158" s="16" t="s">
        <v>87</v>
      </c>
      <c r="I16158" s="16" t="s">
        <v>87</v>
      </c>
      <c r="J16158" s="19"/>
      <c r="L16158" s="16" t="str">
        <f>IFERROR(__xludf.DUMMYFUNCTION("""COMPUTED_VALUE"""),"")</f>
        <v/>
      </c>
      <c r="M16158" s="16" t="str">
        <f>IFERROR(__xludf.DUMMYFUNCTION("""COMPUTED_VALUE"""),"")</f>
        <v/>
      </c>
      <c r="U16158" s="16" t="s">
        <v>87</v>
      </c>
      <c r="V16158" s="16" t="str">
        <f>IFERROR(__xludf.DUMMYFUNCTION("""COMPUTED_VALUE"""),"")</f>
        <v/>
      </c>
      <c r="W16158" s="16" t="str">
        <f>IFERROR(__xludf.DUMMYFUNCTION("""COMPUTED_VALUE"""),"")</f>
        <v/>
      </c>
      <c r="X16158" s="16" t="str">
        <f>IFERROR(__xludf.DUMMYFUNCTION("""COMPUTED_VALUE"""),"")</f>
        <v/>
      </c>
      <c r="AC16158" s="16" t="str">
        <f>IFERROR(__xludf.DUMMYFUNCTION("""COMPUTED_VALUE"""),"")</f>
        <v/>
      </c>
    </row>
    <row r="16159">
      <c r="A16159" s="16" t="s">
        <v>87</v>
      </c>
      <c r="E16159" s="16" t="str">
        <f>IFERROR(__xludf.DUMMYFUNCTION("""COMPUTED_VALUE"""),"")</f>
        <v/>
      </c>
      <c r="G16159" s="18"/>
      <c r="H16159" s="16" t="s">
        <v>87</v>
      </c>
      <c r="I16159" s="16" t="s">
        <v>87</v>
      </c>
      <c r="J16159" s="19"/>
      <c r="L16159" s="16" t="str">
        <f>IFERROR(__xludf.DUMMYFUNCTION("""COMPUTED_VALUE"""),"")</f>
        <v/>
      </c>
      <c r="M16159" s="16" t="str">
        <f>IFERROR(__xludf.DUMMYFUNCTION("""COMPUTED_VALUE"""),"")</f>
        <v/>
      </c>
      <c r="U16159" s="16" t="s">
        <v>87</v>
      </c>
      <c r="V16159" s="16" t="str">
        <f>IFERROR(__xludf.DUMMYFUNCTION("""COMPUTED_VALUE"""),"")</f>
        <v/>
      </c>
      <c r="W16159" s="16" t="str">
        <f>IFERROR(__xludf.DUMMYFUNCTION("""COMPUTED_VALUE"""),"")</f>
        <v/>
      </c>
      <c r="X16159" s="16" t="str">
        <f>IFERROR(__xludf.DUMMYFUNCTION("""COMPUTED_VALUE"""),"")</f>
        <v/>
      </c>
      <c r="AC16159" s="16" t="str">
        <f>IFERROR(__xludf.DUMMYFUNCTION("""COMPUTED_VALUE"""),"")</f>
        <v/>
      </c>
    </row>
    <row r="16160">
      <c r="A16160" s="16" t="s">
        <v>87</v>
      </c>
      <c r="E16160" s="16" t="str">
        <f>IFERROR(__xludf.DUMMYFUNCTION("""COMPUTED_VALUE"""),"")</f>
        <v/>
      </c>
      <c r="G16160" s="18"/>
      <c r="H16160" s="16" t="s">
        <v>87</v>
      </c>
      <c r="I16160" s="16" t="s">
        <v>87</v>
      </c>
      <c r="J16160" s="19"/>
      <c r="L16160" s="16" t="str">
        <f>IFERROR(__xludf.DUMMYFUNCTION("""COMPUTED_VALUE"""),"")</f>
        <v/>
      </c>
      <c r="M16160" s="16" t="str">
        <f>IFERROR(__xludf.DUMMYFUNCTION("""COMPUTED_VALUE"""),"")</f>
        <v/>
      </c>
      <c r="U16160" s="16" t="s">
        <v>87</v>
      </c>
      <c r="V16160" s="16" t="str">
        <f>IFERROR(__xludf.DUMMYFUNCTION("""COMPUTED_VALUE"""),"")</f>
        <v/>
      </c>
      <c r="W16160" s="16" t="str">
        <f>IFERROR(__xludf.DUMMYFUNCTION("""COMPUTED_VALUE"""),"")</f>
        <v/>
      </c>
      <c r="X16160" s="16" t="str">
        <f>IFERROR(__xludf.DUMMYFUNCTION("""COMPUTED_VALUE"""),"")</f>
        <v/>
      </c>
      <c r="AC16160" s="16" t="str">
        <f>IFERROR(__xludf.DUMMYFUNCTION("""COMPUTED_VALUE"""),"")</f>
        <v/>
      </c>
    </row>
    <row r="16161">
      <c r="A16161" s="16" t="s">
        <v>87</v>
      </c>
      <c r="E16161" s="16" t="str">
        <f>IFERROR(__xludf.DUMMYFUNCTION("""COMPUTED_VALUE"""),"")</f>
        <v/>
      </c>
      <c r="G16161" s="18"/>
      <c r="H16161" s="16" t="s">
        <v>87</v>
      </c>
      <c r="I16161" s="16" t="s">
        <v>87</v>
      </c>
      <c r="J16161" s="19"/>
      <c r="L16161" s="16" t="str">
        <f>IFERROR(__xludf.DUMMYFUNCTION("""COMPUTED_VALUE"""),"")</f>
        <v/>
      </c>
      <c r="M16161" s="16" t="str">
        <f>IFERROR(__xludf.DUMMYFUNCTION("""COMPUTED_VALUE"""),"")</f>
        <v/>
      </c>
      <c r="U16161" s="16" t="s">
        <v>87</v>
      </c>
      <c r="V16161" s="16" t="str">
        <f>IFERROR(__xludf.DUMMYFUNCTION("""COMPUTED_VALUE"""),"")</f>
        <v/>
      </c>
      <c r="W16161" s="16" t="str">
        <f>IFERROR(__xludf.DUMMYFUNCTION("""COMPUTED_VALUE"""),"")</f>
        <v/>
      </c>
      <c r="X16161" s="16" t="str">
        <f>IFERROR(__xludf.DUMMYFUNCTION("""COMPUTED_VALUE"""),"")</f>
        <v/>
      </c>
      <c r="AC16161" s="16" t="str">
        <f>IFERROR(__xludf.DUMMYFUNCTION("""COMPUTED_VALUE"""),"")</f>
        <v/>
      </c>
    </row>
    <row r="16162">
      <c r="A16162" s="16" t="s">
        <v>87</v>
      </c>
      <c r="E16162" s="16" t="str">
        <f>IFERROR(__xludf.DUMMYFUNCTION("""COMPUTED_VALUE"""),"")</f>
        <v/>
      </c>
      <c r="G16162" s="18"/>
      <c r="H16162" s="16" t="s">
        <v>87</v>
      </c>
      <c r="I16162" s="16" t="s">
        <v>87</v>
      </c>
      <c r="J16162" s="19"/>
      <c r="L16162" s="16" t="str">
        <f>IFERROR(__xludf.DUMMYFUNCTION("""COMPUTED_VALUE"""),"")</f>
        <v/>
      </c>
      <c r="M16162" s="16" t="str">
        <f>IFERROR(__xludf.DUMMYFUNCTION("""COMPUTED_VALUE"""),"")</f>
        <v/>
      </c>
      <c r="U16162" s="16" t="s">
        <v>87</v>
      </c>
      <c r="V16162" s="16" t="str">
        <f>IFERROR(__xludf.DUMMYFUNCTION("""COMPUTED_VALUE"""),"")</f>
        <v/>
      </c>
      <c r="W16162" s="16" t="str">
        <f>IFERROR(__xludf.DUMMYFUNCTION("""COMPUTED_VALUE"""),"")</f>
        <v/>
      </c>
      <c r="X16162" s="16" t="str">
        <f>IFERROR(__xludf.DUMMYFUNCTION("""COMPUTED_VALUE"""),"")</f>
        <v/>
      </c>
      <c r="AC16162" s="16" t="str">
        <f>IFERROR(__xludf.DUMMYFUNCTION("""COMPUTED_VALUE"""),"")</f>
        <v/>
      </c>
    </row>
    <row r="16163">
      <c r="A16163" s="16" t="s">
        <v>87</v>
      </c>
      <c r="E16163" s="16" t="str">
        <f>IFERROR(__xludf.DUMMYFUNCTION("""COMPUTED_VALUE"""),"")</f>
        <v/>
      </c>
      <c r="G16163" s="18"/>
      <c r="H16163" s="16" t="s">
        <v>87</v>
      </c>
      <c r="I16163" s="16" t="s">
        <v>87</v>
      </c>
      <c r="J16163" s="19"/>
      <c r="L16163" s="16" t="str">
        <f>IFERROR(__xludf.DUMMYFUNCTION("""COMPUTED_VALUE"""),"")</f>
        <v/>
      </c>
      <c r="M16163" s="16" t="str">
        <f>IFERROR(__xludf.DUMMYFUNCTION("""COMPUTED_VALUE"""),"")</f>
        <v/>
      </c>
      <c r="U16163" s="16" t="s">
        <v>87</v>
      </c>
      <c r="V16163" s="16" t="str">
        <f>IFERROR(__xludf.DUMMYFUNCTION("""COMPUTED_VALUE"""),"")</f>
        <v/>
      </c>
      <c r="W16163" s="16" t="str">
        <f>IFERROR(__xludf.DUMMYFUNCTION("""COMPUTED_VALUE"""),"")</f>
        <v/>
      </c>
      <c r="X16163" s="16" t="str">
        <f>IFERROR(__xludf.DUMMYFUNCTION("""COMPUTED_VALUE"""),"")</f>
        <v/>
      </c>
      <c r="AC16163" s="16" t="str">
        <f>IFERROR(__xludf.DUMMYFUNCTION("""COMPUTED_VALUE"""),"")</f>
        <v/>
      </c>
    </row>
    <row r="16164">
      <c r="A16164" s="16" t="s">
        <v>87</v>
      </c>
      <c r="E16164" s="16" t="str">
        <f>IFERROR(__xludf.DUMMYFUNCTION("""COMPUTED_VALUE"""),"")</f>
        <v/>
      </c>
      <c r="G16164" s="18"/>
      <c r="H16164" s="16" t="s">
        <v>87</v>
      </c>
      <c r="I16164" s="16" t="s">
        <v>87</v>
      </c>
      <c r="J16164" s="19"/>
      <c r="L16164" s="16" t="str">
        <f>IFERROR(__xludf.DUMMYFUNCTION("""COMPUTED_VALUE"""),"")</f>
        <v/>
      </c>
      <c r="M16164" s="16" t="str">
        <f>IFERROR(__xludf.DUMMYFUNCTION("""COMPUTED_VALUE"""),"")</f>
        <v/>
      </c>
      <c r="U16164" s="16" t="s">
        <v>87</v>
      </c>
      <c r="V16164" s="16" t="str">
        <f>IFERROR(__xludf.DUMMYFUNCTION("""COMPUTED_VALUE"""),"")</f>
        <v/>
      </c>
      <c r="W16164" s="16" t="str">
        <f>IFERROR(__xludf.DUMMYFUNCTION("""COMPUTED_VALUE"""),"")</f>
        <v/>
      </c>
      <c r="X16164" s="16" t="str">
        <f>IFERROR(__xludf.DUMMYFUNCTION("""COMPUTED_VALUE"""),"")</f>
        <v/>
      </c>
      <c r="AC16164" s="16" t="str">
        <f>IFERROR(__xludf.DUMMYFUNCTION("""COMPUTED_VALUE"""),"")</f>
        <v/>
      </c>
    </row>
    <row r="16165">
      <c r="A16165" s="16" t="s">
        <v>87</v>
      </c>
      <c r="E16165" s="16" t="str">
        <f>IFERROR(__xludf.DUMMYFUNCTION("""COMPUTED_VALUE"""),"")</f>
        <v/>
      </c>
      <c r="G16165" s="18"/>
      <c r="H16165" s="16" t="s">
        <v>87</v>
      </c>
      <c r="I16165" s="16" t="s">
        <v>87</v>
      </c>
      <c r="J16165" s="19"/>
      <c r="L16165" s="16" t="str">
        <f>IFERROR(__xludf.DUMMYFUNCTION("""COMPUTED_VALUE"""),"")</f>
        <v/>
      </c>
      <c r="M16165" s="16" t="str">
        <f>IFERROR(__xludf.DUMMYFUNCTION("""COMPUTED_VALUE"""),"")</f>
        <v/>
      </c>
      <c r="U16165" s="16" t="s">
        <v>87</v>
      </c>
      <c r="V16165" s="16" t="str">
        <f>IFERROR(__xludf.DUMMYFUNCTION("""COMPUTED_VALUE"""),"")</f>
        <v/>
      </c>
      <c r="W16165" s="16" t="str">
        <f>IFERROR(__xludf.DUMMYFUNCTION("""COMPUTED_VALUE"""),"")</f>
        <v/>
      </c>
      <c r="X16165" s="16" t="str">
        <f>IFERROR(__xludf.DUMMYFUNCTION("""COMPUTED_VALUE"""),"")</f>
        <v/>
      </c>
      <c r="AC16165" s="16" t="str">
        <f>IFERROR(__xludf.DUMMYFUNCTION("""COMPUTED_VALUE"""),"")</f>
        <v/>
      </c>
    </row>
    <row r="16166">
      <c r="A16166" s="16" t="s">
        <v>87</v>
      </c>
      <c r="E16166" s="16" t="str">
        <f>IFERROR(__xludf.DUMMYFUNCTION("""COMPUTED_VALUE"""),"")</f>
        <v/>
      </c>
      <c r="G16166" s="18"/>
      <c r="H16166" s="16" t="s">
        <v>87</v>
      </c>
      <c r="I16166" s="16" t="s">
        <v>87</v>
      </c>
      <c r="J16166" s="19"/>
      <c r="L16166" s="16" t="str">
        <f>IFERROR(__xludf.DUMMYFUNCTION("""COMPUTED_VALUE"""),"")</f>
        <v/>
      </c>
      <c r="M16166" s="16" t="str">
        <f>IFERROR(__xludf.DUMMYFUNCTION("""COMPUTED_VALUE"""),"")</f>
        <v/>
      </c>
      <c r="U16166" s="16" t="s">
        <v>87</v>
      </c>
      <c r="V16166" s="16" t="str">
        <f>IFERROR(__xludf.DUMMYFUNCTION("""COMPUTED_VALUE"""),"")</f>
        <v/>
      </c>
      <c r="W16166" s="16" t="str">
        <f>IFERROR(__xludf.DUMMYFUNCTION("""COMPUTED_VALUE"""),"")</f>
        <v/>
      </c>
      <c r="X16166" s="16" t="str">
        <f>IFERROR(__xludf.DUMMYFUNCTION("""COMPUTED_VALUE"""),"")</f>
        <v/>
      </c>
      <c r="AC16166" s="16" t="str">
        <f>IFERROR(__xludf.DUMMYFUNCTION("""COMPUTED_VALUE"""),"")</f>
        <v/>
      </c>
    </row>
    <row r="16167">
      <c r="A16167" s="16" t="s">
        <v>87</v>
      </c>
      <c r="E16167" s="16" t="str">
        <f>IFERROR(__xludf.DUMMYFUNCTION("""COMPUTED_VALUE"""),"")</f>
        <v/>
      </c>
      <c r="G16167" s="18"/>
      <c r="H16167" s="16" t="s">
        <v>87</v>
      </c>
      <c r="I16167" s="16" t="s">
        <v>87</v>
      </c>
      <c r="J16167" s="19"/>
      <c r="L16167" s="16" t="str">
        <f>IFERROR(__xludf.DUMMYFUNCTION("""COMPUTED_VALUE"""),"")</f>
        <v/>
      </c>
      <c r="M16167" s="16" t="str">
        <f>IFERROR(__xludf.DUMMYFUNCTION("""COMPUTED_VALUE"""),"")</f>
        <v/>
      </c>
      <c r="U16167" s="16" t="s">
        <v>87</v>
      </c>
      <c r="V16167" s="16" t="str">
        <f>IFERROR(__xludf.DUMMYFUNCTION("""COMPUTED_VALUE"""),"")</f>
        <v/>
      </c>
      <c r="W16167" s="16" t="str">
        <f>IFERROR(__xludf.DUMMYFUNCTION("""COMPUTED_VALUE"""),"")</f>
        <v/>
      </c>
      <c r="X16167" s="16" t="str">
        <f>IFERROR(__xludf.DUMMYFUNCTION("""COMPUTED_VALUE"""),"")</f>
        <v/>
      </c>
      <c r="AC16167" s="16" t="str">
        <f>IFERROR(__xludf.DUMMYFUNCTION("""COMPUTED_VALUE"""),"")</f>
        <v/>
      </c>
    </row>
    <row r="16168">
      <c r="A16168" s="16" t="s">
        <v>87</v>
      </c>
      <c r="E16168" s="16" t="str">
        <f>IFERROR(__xludf.DUMMYFUNCTION("""COMPUTED_VALUE"""),"")</f>
        <v/>
      </c>
      <c r="G16168" s="18"/>
      <c r="H16168" s="16" t="s">
        <v>87</v>
      </c>
      <c r="I16168" s="16" t="s">
        <v>87</v>
      </c>
      <c r="J16168" s="19"/>
      <c r="L16168" s="16" t="str">
        <f>IFERROR(__xludf.DUMMYFUNCTION("""COMPUTED_VALUE"""),"")</f>
        <v/>
      </c>
      <c r="M16168" s="16" t="str">
        <f>IFERROR(__xludf.DUMMYFUNCTION("""COMPUTED_VALUE"""),"")</f>
        <v/>
      </c>
      <c r="U16168" s="16" t="s">
        <v>87</v>
      </c>
      <c r="V16168" s="16" t="str">
        <f>IFERROR(__xludf.DUMMYFUNCTION("""COMPUTED_VALUE"""),"")</f>
        <v/>
      </c>
      <c r="W16168" s="16" t="str">
        <f>IFERROR(__xludf.DUMMYFUNCTION("""COMPUTED_VALUE"""),"")</f>
        <v/>
      </c>
      <c r="X16168" s="16" t="str">
        <f>IFERROR(__xludf.DUMMYFUNCTION("""COMPUTED_VALUE"""),"")</f>
        <v/>
      </c>
      <c r="AC16168" s="16" t="str">
        <f>IFERROR(__xludf.DUMMYFUNCTION("""COMPUTED_VALUE"""),"")</f>
        <v/>
      </c>
    </row>
    <row r="16169">
      <c r="A16169" s="16" t="s">
        <v>87</v>
      </c>
      <c r="E16169" s="16" t="str">
        <f>IFERROR(__xludf.DUMMYFUNCTION("""COMPUTED_VALUE"""),"")</f>
        <v/>
      </c>
      <c r="G16169" s="18"/>
      <c r="H16169" s="16" t="s">
        <v>87</v>
      </c>
      <c r="I16169" s="16" t="s">
        <v>87</v>
      </c>
      <c r="J16169" s="19"/>
      <c r="L16169" s="16" t="str">
        <f>IFERROR(__xludf.DUMMYFUNCTION("""COMPUTED_VALUE"""),"")</f>
        <v/>
      </c>
      <c r="M16169" s="16" t="str">
        <f>IFERROR(__xludf.DUMMYFUNCTION("""COMPUTED_VALUE"""),"")</f>
        <v/>
      </c>
      <c r="U16169" s="16" t="s">
        <v>87</v>
      </c>
      <c r="V16169" s="16" t="str">
        <f>IFERROR(__xludf.DUMMYFUNCTION("""COMPUTED_VALUE"""),"")</f>
        <v/>
      </c>
      <c r="W16169" s="16" t="str">
        <f>IFERROR(__xludf.DUMMYFUNCTION("""COMPUTED_VALUE"""),"")</f>
        <v/>
      </c>
      <c r="X16169" s="16" t="str">
        <f>IFERROR(__xludf.DUMMYFUNCTION("""COMPUTED_VALUE"""),"")</f>
        <v/>
      </c>
      <c r="AC16169" s="16" t="str">
        <f>IFERROR(__xludf.DUMMYFUNCTION("""COMPUTED_VALUE"""),"")</f>
        <v/>
      </c>
    </row>
    <row r="16170">
      <c r="A16170" s="16" t="s">
        <v>87</v>
      </c>
      <c r="E16170" s="16" t="str">
        <f>IFERROR(__xludf.DUMMYFUNCTION("""COMPUTED_VALUE"""),"")</f>
        <v/>
      </c>
      <c r="G16170" s="18"/>
      <c r="H16170" s="16" t="s">
        <v>87</v>
      </c>
      <c r="I16170" s="16" t="s">
        <v>87</v>
      </c>
      <c r="J16170" s="19"/>
      <c r="L16170" s="16" t="str">
        <f>IFERROR(__xludf.DUMMYFUNCTION("""COMPUTED_VALUE"""),"")</f>
        <v/>
      </c>
      <c r="M16170" s="16" t="str">
        <f>IFERROR(__xludf.DUMMYFUNCTION("""COMPUTED_VALUE"""),"")</f>
        <v/>
      </c>
      <c r="U16170" s="16" t="s">
        <v>87</v>
      </c>
      <c r="V16170" s="16" t="str">
        <f>IFERROR(__xludf.DUMMYFUNCTION("""COMPUTED_VALUE"""),"")</f>
        <v/>
      </c>
      <c r="W16170" s="16" t="str">
        <f>IFERROR(__xludf.DUMMYFUNCTION("""COMPUTED_VALUE"""),"")</f>
        <v/>
      </c>
      <c r="X16170" s="16" t="str">
        <f>IFERROR(__xludf.DUMMYFUNCTION("""COMPUTED_VALUE"""),"")</f>
        <v/>
      </c>
      <c r="AC16170" s="16" t="str">
        <f>IFERROR(__xludf.DUMMYFUNCTION("""COMPUTED_VALUE"""),"")</f>
        <v/>
      </c>
    </row>
    <row r="16171">
      <c r="A16171" s="16" t="s">
        <v>87</v>
      </c>
      <c r="E16171" s="16" t="str">
        <f>IFERROR(__xludf.DUMMYFUNCTION("""COMPUTED_VALUE"""),"")</f>
        <v/>
      </c>
      <c r="G16171" s="18"/>
      <c r="H16171" s="16" t="s">
        <v>87</v>
      </c>
      <c r="I16171" s="16" t="s">
        <v>87</v>
      </c>
      <c r="J16171" s="19"/>
      <c r="L16171" s="16" t="str">
        <f>IFERROR(__xludf.DUMMYFUNCTION("""COMPUTED_VALUE"""),"")</f>
        <v/>
      </c>
      <c r="M16171" s="16" t="str">
        <f>IFERROR(__xludf.DUMMYFUNCTION("""COMPUTED_VALUE"""),"")</f>
        <v/>
      </c>
      <c r="U16171" s="16" t="s">
        <v>87</v>
      </c>
      <c r="V16171" s="16" t="str">
        <f>IFERROR(__xludf.DUMMYFUNCTION("""COMPUTED_VALUE"""),"")</f>
        <v/>
      </c>
      <c r="W16171" s="16" t="str">
        <f>IFERROR(__xludf.DUMMYFUNCTION("""COMPUTED_VALUE"""),"")</f>
        <v/>
      </c>
      <c r="X16171" s="16" t="str">
        <f>IFERROR(__xludf.DUMMYFUNCTION("""COMPUTED_VALUE"""),"")</f>
        <v/>
      </c>
      <c r="AC16171" s="16" t="str">
        <f>IFERROR(__xludf.DUMMYFUNCTION("""COMPUTED_VALUE"""),"")</f>
        <v/>
      </c>
    </row>
    <row r="16172">
      <c r="A16172" s="16" t="s">
        <v>87</v>
      </c>
      <c r="E16172" s="16" t="str">
        <f>IFERROR(__xludf.DUMMYFUNCTION("""COMPUTED_VALUE"""),"")</f>
        <v/>
      </c>
      <c r="G16172" s="18"/>
      <c r="H16172" s="16" t="s">
        <v>87</v>
      </c>
      <c r="I16172" s="16" t="s">
        <v>87</v>
      </c>
      <c r="J16172" s="19"/>
      <c r="L16172" s="16" t="str">
        <f>IFERROR(__xludf.DUMMYFUNCTION("""COMPUTED_VALUE"""),"")</f>
        <v/>
      </c>
      <c r="M16172" s="16" t="str">
        <f>IFERROR(__xludf.DUMMYFUNCTION("""COMPUTED_VALUE"""),"")</f>
        <v/>
      </c>
      <c r="U16172" s="16" t="s">
        <v>87</v>
      </c>
      <c r="V16172" s="16" t="str">
        <f>IFERROR(__xludf.DUMMYFUNCTION("""COMPUTED_VALUE"""),"")</f>
        <v/>
      </c>
      <c r="W16172" s="16" t="str">
        <f>IFERROR(__xludf.DUMMYFUNCTION("""COMPUTED_VALUE"""),"")</f>
        <v/>
      </c>
      <c r="X16172" s="16" t="str">
        <f>IFERROR(__xludf.DUMMYFUNCTION("""COMPUTED_VALUE"""),"")</f>
        <v/>
      </c>
      <c r="AC16172" s="16" t="str">
        <f>IFERROR(__xludf.DUMMYFUNCTION("""COMPUTED_VALUE"""),"")</f>
        <v/>
      </c>
    </row>
    <row r="16173">
      <c r="A16173" s="16" t="s">
        <v>87</v>
      </c>
      <c r="E16173" s="16" t="str">
        <f>IFERROR(__xludf.DUMMYFUNCTION("""COMPUTED_VALUE"""),"")</f>
        <v/>
      </c>
      <c r="G16173" s="18"/>
      <c r="H16173" s="16" t="s">
        <v>87</v>
      </c>
      <c r="I16173" s="16" t="s">
        <v>87</v>
      </c>
      <c r="J16173" s="19"/>
      <c r="L16173" s="16" t="str">
        <f>IFERROR(__xludf.DUMMYFUNCTION("""COMPUTED_VALUE"""),"")</f>
        <v/>
      </c>
      <c r="M16173" s="16" t="str">
        <f>IFERROR(__xludf.DUMMYFUNCTION("""COMPUTED_VALUE"""),"")</f>
        <v/>
      </c>
      <c r="U16173" s="16" t="s">
        <v>87</v>
      </c>
      <c r="V16173" s="16" t="str">
        <f>IFERROR(__xludf.DUMMYFUNCTION("""COMPUTED_VALUE"""),"")</f>
        <v/>
      </c>
      <c r="W16173" s="16" t="str">
        <f>IFERROR(__xludf.DUMMYFUNCTION("""COMPUTED_VALUE"""),"")</f>
        <v/>
      </c>
      <c r="X16173" s="16" t="str">
        <f>IFERROR(__xludf.DUMMYFUNCTION("""COMPUTED_VALUE"""),"")</f>
        <v/>
      </c>
      <c r="AC16173" s="16" t="str">
        <f>IFERROR(__xludf.DUMMYFUNCTION("""COMPUTED_VALUE"""),"")</f>
        <v/>
      </c>
    </row>
    <row r="16174">
      <c r="A16174" s="16" t="s">
        <v>87</v>
      </c>
      <c r="E16174" s="16" t="str">
        <f>IFERROR(__xludf.DUMMYFUNCTION("""COMPUTED_VALUE"""),"")</f>
        <v/>
      </c>
      <c r="G16174" s="18"/>
      <c r="H16174" s="16" t="s">
        <v>87</v>
      </c>
      <c r="I16174" s="16" t="s">
        <v>87</v>
      </c>
      <c r="J16174" s="19"/>
      <c r="L16174" s="16" t="str">
        <f>IFERROR(__xludf.DUMMYFUNCTION("""COMPUTED_VALUE"""),"")</f>
        <v/>
      </c>
      <c r="M16174" s="16" t="str">
        <f>IFERROR(__xludf.DUMMYFUNCTION("""COMPUTED_VALUE"""),"")</f>
        <v/>
      </c>
      <c r="U16174" s="16" t="s">
        <v>87</v>
      </c>
      <c r="V16174" s="16" t="str">
        <f>IFERROR(__xludf.DUMMYFUNCTION("""COMPUTED_VALUE"""),"")</f>
        <v/>
      </c>
      <c r="W16174" s="16" t="str">
        <f>IFERROR(__xludf.DUMMYFUNCTION("""COMPUTED_VALUE"""),"")</f>
        <v/>
      </c>
      <c r="X16174" s="16" t="str">
        <f>IFERROR(__xludf.DUMMYFUNCTION("""COMPUTED_VALUE"""),"")</f>
        <v/>
      </c>
      <c r="AC16174" s="16" t="str">
        <f>IFERROR(__xludf.DUMMYFUNCTION("""COMPUTED_VALUE"""),"")</f>
        <v/>
      </c>
    </row>
    <row r="16175">
      <c r="A16175" s="16" t="s">
        <v>87</v>
      </c>
      <c r="E16175" s="16" t="str">
        <f>IFERROR(__xludf.DUMMYFUNCTION("""COMPUTED_VALUE"""),"")</f>
        <v/>
      </c>
      <c r="G16175" s="18"/>
      <c r="H16175" s="16" t="s">
        <v>87</v>
      </c>
      <c r="I16175" s="16" t="s">
        <v>87</v>
      </c>
      <c r="J16175" s="19"/>
      <c r="L16175" s="16" t="str">
        <f>IFERROR(__xludf.DUMMYFUNCTION("""COMPUTED_VALUE"""),"")</f>
        <v/>
      </c>
      <c r="M16175" s="16" t="str">
        <f>IFERROR(__xludf.DUMMYFUNCTION("""COMPUTED_VALUE"""),"")</f>
        <v/>
      </c>
      <c r="U16175" s="16" t="s">
        <v>87</v>
      </c>
      <c r="V16175" s="16" t="str">
        <f>IFERROR(__xludf.DUMMYFUNCTION("""COMPUTED_VALUE"""),"")</f>
        <v/>
      </c>
      <c r="W16175" s="16" t="str">
        <f>IFERROR(__xludf.DUMMYFUNCTION("""COMPUTED_VALUE"""),"")</f>
        <v/>
      </c>
      <c r="X16175" s="16" t="str">
        <f>IFERROR(__xludf.DUMMYFUNCTION("""COMPUTED_VALUE"""),"")</f>
        <v/>
      </c>
      <c r="AC16175" s="16" t="str">
        <f>IFERROR(__xludf.DUMMYFUNCTION("""COMPUTED_VALUE"""),"")</f>
        <v/>
      </c>
    </row>
    <row r="16176">
      <c r="A16176" s="16" t="s">
        <v>87</v>
      </c>
      <c r="E16176" s="16" t="str">
        <f>IFERROR(__xludf.DUMMYFUNCTION("""COMPUTED_VALUE"""),"")</f>
        <v/>
      </c>
      <c r="G16176" s="18"/>
      <c r="H16176" s="16" t="s">
        <v>87</v>
      </c>
      <c r="I16176" s="16" t="s">
        <v>87</v>
      </c>
      <c r="J16176" s="19"/>
      <c r="L16176" s="16" t="str">
        <f>IFERROR(__xludf.DUMMYFUNCTION("""COMPUTED_VALUE"""),"")</f>
        <v/>
      </c>
      <c r="M16176" s="16" t="str">
        <f>IFERROR(__xludf.DUMMYFUNCTION("""COMPUTED_VALUE"""),"")</f>
        <v/>
      </c>
      <c r="U16176" s="16" t="s">
        <v>87</v>
      </c>
      <c r="V16176" s="16" t="str">
        <f>IFERROR(__xludf.DUMMYFUNCTION("""COMPUTED_VALUE"""),"")</f>
        <v/>
      </c>
      <c r="W16176" s="16" t="str">
        <f>IFERROR(__xludf.DUMMYFUNCTION("""COMPUTED_VALUE"""),"")</f>
        <v/>
      </c>
      <c r="X16176" s="16" t="str">
        <f>IFERROR(__xludf.DUMMYFUNCTION("""COMPUTED_VALUE"""),"")</f>
        <v/>
      </c>
      <c r="AC16176" s="16" t="str">
        <f>IFERROR(__xludf.DUMMYFUNCTION("""COMPUTED_VALUE"""),"")</f>
        <v/>
      </c>
    </row>
    <row r="16177">
      <c r="A16177" s="16" t="s">
        <v>87</v>
      </c>
      <c r="E16177" s="16" t="str">
        <f>IFERROR(__xludf.DUMMYFUNCTION("""COMPUTED_VALUE"""),"")</f>
        <v/>
      </c>
      <c r="G16177" s="18"/>
      <c r="H16177" s="16" t="s">
        <v>87</v>
      </c>
      <c r="I16177" s="16" t="s">
        <v>87</v>
      </c>
      <c r="J16177" s="19"/>
      <c r="L16177" s="16" t="str">
        <f>IFERROR(__xludf.DUMMYFUNCTION("""COMPUTED_VALUE"""),"")</f>
        <v/>
      </c>
      <c r="M16177" s="16" t="str">
        <f>IFERROR(__xludf.DUMMYFUNCTION("""COMPUTED_VALUE"""),"")</f>
        <v/>
      </c>
      <c r="U16177" s="16" t="s">
        <v>87</v>
      </c>
      <c r="V16177" s="16" t="str">
        <f>IFERROR(__xludf.DUMMYFUNCTION("""COMPUTED_VALUE"""),"")</f>
        <v/>
      </c>
      <c r="W16177" s="16" t="str">
        <f>IFERROR(__xludf.DUMMYFUNCTION("""COMPUTED_VALUE"""),"")</f>
        <v/>
      </c>
      <c r="X16177" s="16" t="str">
        <f>IFERROR(__xludf.DUMMYFUNCTION("""COMPUTED_VALUE"""),"")</f>
        <v/>
      </c>
      <c r="AC16177" s="16" t="str">
        <f>IFERROR(__xludf.DUMMYFUNCTION("""COMPUTED_VALUE"""),"")</f>
        <v/>
      </c>
    </row>
    <row r="16178">
      <c r="A16178" s="16" t="s">
        <v>87</v>
      </c>
      <c r="E16178" s="16" t="str">
        <f>IFERROR(__xludf.DUMMYFUNCTION("""COMPUTED_VALUE"""),"")</f>
        <v/>
      </c>
      <c r="G16178" s="18"/>
      <c r="H16178" s="16" t="s">
        <v>87</v>
      </c>
      <c r="I16178" s="16" t="s">
        <v>87</v>
      </c>
      <c r="J16178" s="19"/>
      <c r="L16178" s="16" t="str">
        <f>IFERROR(__xludf.DUMMYFUNCTION("""COMPUTED_VALUE"""),"")</f>
        <v/>
      </c>
      <c r="M16178" s="16" t="str">
        <f>IFERROR(__xludf.DUMMYFUNCTION("""COMPUTED_VALUE"""),"")</f>
        <v/>
      </c>
      <c r="U16178" s="16" t="s">
        <v>87</v>
      </c>
      <c r="V16178" s="16" t="str">
        <f>IFERROR(__xludf.DUMMYFUNCTION("""COMPUTED_VALUE"""),"")</f>
        <v/>
      </c>
      <c r="W16178" s="16" t="str">
        <f>IFERROR(__xludf.DUMMYFUNCTION("""COMPUTED_VALUE"""),"")</f>
        <v/>
      </c>
      <c r="X16178" s="16" t="str">
        <f>IFERROR(__xludf.DUMMYFUNCTION("""COMPUTED_VALUE"""),"")</f>
        <v/>
      </c>
      <c r="AC16178" s="16" t="str">
        <f>IFERROR(__xludf.DUMMYFUNCTION("""COMPUTED_VALUE"""),"")</f>
        <v/>
      </c>
    </row>
    <row r="16179">
      <c r="A16179" s="16" t="s">
        <v>87</v>
      </c>
      <c r="E16179" s="16" t="str">
        <f>IFERROR(__xludf.DUMMYFUNCTION("""COMPUTED_VALUE"""),"")</f>
        <v/>
      </c>
      <c r="G16179" s="18"/>
      <c r="H16179" s="16" t="s">
        <v>87</v>
      </c>
      <c r="I16179" s="16" t="s">
        <v>87</v>
      </c>
      <c r="J16179" s="19"/>
      <c r="L16179" s="16" t="str">
        <f>IFERROR(__xludf.DUMMYFUNCTION("""COMPUTED_VALUE"""),"")</f>
        <v/>
      </c>
      <c r="M16179" s="16" t="str">
        <f>IFERROR(__xludf.DUMMYFUNCTION("""COMPUTED_VALUE"""),"")</f>
        <v/>
      </c>
      <c r="U16179" s="16" t="s">
        <v>87</v>
      </c>
      <c r="V16179" s="16" t="str">
        <f>IFERROR(__xludf.DUMMYFUNCTION("""COMPUTED_VALUE"""),"")</f>
        <v/>
      </c>
      <c r="W16179" s="16" t="str">
        <f>IFERROR(__xludf.DUMMYFUNCTION("""COMPUTED_VALUE"""),"")</f>
        <v/>
      </c>
      <c r="X16179" s="16" t="str">
        <f>IFERROR(__xludf.DUMMYFUNCTION("""COMPUTED_VALUE"""),"")</f>
        <v/>
      </c>
      <c r="AC16179" s="16" t="str">
        <f>IFERROR(__xludf.DUMMYFUNCTION("""COMPUTED_VALUE"""),"")</f>
        <v/>
      </c>
    </row>
    <row r="16180">
      <c r="A16180" s="16" t="s">
        <v>87</v>
      </c>
      <c r="E16180" s="16" t="str">
        <f>IFERROR(__xludf.DUMMYFUNCTION("""COMPUTED_VALUE"""),"")</f>
        <v/>
      </c>
      <c r="G16180" s="18"/>
      <c r="H16180" s="16" t="s">
        <v>87</v>
      </c>
      <c r="I16180" s="16" t="s">
        <v>87</v>
      </c>
      <c r="J16180" s="19"/>
      <c r="L16180" s="16" t="str">
        <f>IFERROR(__xludf.DUMMYFUNCTION("""COMPUTED_VALUE"""),"")</f>
        <v/>
      </c>
      <c r="M16180" s="16" t="str">
        <f>IFERROR(__xludf.DUMMYFUNCTION("""COMPUTED_VALUE"""),"")</f>
        <v/>
      </c>
      <c r="U16180" s="16" t="s">
        <v>87</v>
      </c>
      <c r="V16180" s="16" t="str">
        <f>IFERROR(__xludf.DUMMYFUNCTION("""COMPUTED_VALUE"""),"")</f>
        <v/>
      </c>
      <c r="W16180" s="16" t="str">
        <f>IFERROR(__xludf.DUMMYFUNCTION("""COMPUTED_VALUE"""),"")</f>
        <v/>
      </c>
      <c r="X16180" s="16" t="str">
        <f>IFERROR(__xludf.DUMMYFUNCTION("""COMPUTED_VALUE"""),"")</f>
        <v/>
      </c>
      <c r="AC16180" s="16" t="str">
        <f>IFERROR(__xludf.DUMMYFUNCTION("""COMPUTED_VALUE"""),"")</f>
        <v/>
      </c>
    </row>
    <row r="16181">
      <c r="A16181" s="16" t="s">
        <v>87</v>
      </c>
      <c r="E16181" s="16" t="str">
        <f>IFERROR(__xludf.DUMMYFUNCTION("""COMPUTED_VALUE"""),"")</f>
        <v/>
      </c>
      <c r="G16181" s="18"/>
      <c r="H16181" s="16" t="s">
        <v>87</v>
      </c>
      <c r="I16181" s="16" t="s">
        <v>87</v>
      </c>
      <c r="J16181" s="19"/>
      <c r="L16181" s="16" t="str">
        <f>IFERROR(__xludf.DUMMYFUNCTION("""COMPUTED_VALUE"""),"")</f>
        <v/>
      </c>
      <c r="M16181" s="16" t="str">
        <f>IFERROR(__xludf.DUMMYFUNCTION("""COMPUTED_VALUE"""),"")</f>
        <v/>
      </c>
      <c r="U16181" s="16" t="s">
        <v>87</v>
      </c>
      <c r="V16181" s="16" t="str">
        <f>IFERROR(__xludf.DUMMYFUNCTION("""COMPUTED_VALUE"""),"")</f>
        <v/>
      </c>
      <c r="W16181" s="16" t="str">
        <f>IFERROR(__xludf.DUMMYFUNCTION("""COMPUTED_VALUE"""),"")</f>
        <v/>
      </c>
      <c r="X16181" s="16" t="str">
        <f>IFERROR(__xludf.DUMMYFUNCTION("""COMPUTED_VALUE"""),"")</f>
        <v/>
      </c>
      <c r="AC16181" s="16" t="str">
        <f>IFERROR(__xludf.DUMMYFUNCTION("""COMPUTED_VALUE"""),"")</f>
        <v/>
      </c>
    </row>
    <row r="16182">
      <c r="A16182" s="16" t="s">
        <v>87</v>
      </c>
      <c r="E16182" s="16" t="str">
        <f>IFERROR(__xludf.DUMMYFUNCTION("""COMPUTED_VALUE"""),"")</f>
        <v/>
      </c>
      <c r="G16182" s="18"/>
      <c r="H16182" s="16" t="s">
        <v>87</v>
      </c>
      <c r="I16182" s="16" t="s">
        <v>87</v>
      </c>
      <c r="J16182" s="19"/>
      <c r="L16182" s="16" t="str">
        <f>IFERROR(__xludf.DUMMYFUNCTION("""COMPUTED_VALUE"""),"")</f>
        <v/>
      </c>
      <c r="M16182" s="16" t="str">
        <f>IFERROR(__xludf.DUMMYFUNCTION("""COMPUTED_VALUE"""),"")</f>
        <v/>
      </c>
      <c r="U16182" s="16" t="s">
        <v>87</v>
      </c>
      <c r="V16182" s="16" t="str">
        <f>IFERROR(__xludf.DUMMYFUNCTION("""COMPUTED_VALUE"""),"")</f>
        <v/>
      </c>
      <c r="W16182" s="16" t="str">
        <f>IFERROR(__xludf.DUMMYFUNCTION("""COMPUTED_VALUE"""),"")</f>
        <v/>
      </c>
      <c r="X16182" s="16" t="str">
        <f>IFERROR(__xludf.DUMMYFUNCTION("""COMPUTED_VALUE"""),"")</f>
        <v/>
      </c>
      <c r="AC16182" s="16" t="str">
        <f>IFERROR(__xludf.DUMMYFUNCTION("""COMPUTED_VALUE"""),"")</f>
        <v/>
      </c>
    </row>
    <row r="16183">
      <c r="A16183" s="16" t="s">
        <v>87</v>
      </c>
      <c r="E16183" s="16" t="str">
        <f>IFERROR(__xludf.DUMMYFUNCTION("""COMPUTED_VALUE"""),"")</f>
        <v/>
      </c>
      <c r="G16183" s="18"/>
      <c r="H16183" s="16" t="s">
        <v>87</v>
      </c>
      <c r="I16183" s="16" t="s">
        <v>87</v>
      </c>
      <c r="J16183" s="19"/>
      <c r="L16183" s="16" t="str">
        <f>IFERROR(__xludf.DUMMYFUNCTION("""COMPUTED_VALUE"""),"")</f>
        <v/>
      </c>
      <c r="M16183" s="16" t="str">
        <f>IFERROR(__xludf.DUMMYFUNCTION("""COMPUTED_VALUE"""),"")</f>
        <v/>
      </c>
      <c r="U16183" s="16" t="s">
        <v>87</v>
      </c>
      <c r="V16183" s="16" t="str">
        <f>IFERROR(__xludf.DUMMYFUNCTION("""COMPUTED_VALUE"""),"")</f>
        <v/>
      </c>
      <c r="W16183" s="16" t="str">
        <f>IFERROR(__xludf.DUMMYFUNCTION("""COMPUTED_VALUE"""),"")</f>
        <v/>
      </c>
      <c r="X16183" s="16" t="str">
        <f>IFERROR(__xludf.DUMMYFUNCTION("""COMPUTED_VALUE"""),"")</f>
        <v/>
      </c>
      <c r="AC16183" s="16" t="str">
        <f>IFERROR(__xludf.DUMMYFUNCTION("""COMPUTED_VALUE"""),"")</f>
        <v/>
      </c>
    </row>
    <row r="16184">
      <c r="A16184" s="16" t="s">
        <v>87</v>
      </c>
      <c r="E16184" s="16" t="str">
        <f>IFERROR(__xludf.DUMMYFUNCTION("""COMPUTED_VALUE"""),"")</f>
        <v/>
      </c>
      <c r="G16184" s="18"/>
      <c r="H16184" s="16" t="s">
        <v>87</v>
      </c>
      <c r="I16184" s="16" t="s">
        <v>87</v>
      </c>
      <c r="J16184" s="19"/>
      <c r="L16184" s="16" t="str">
        <f>IFERROR(__xludf.DUMMYFUNCTION("""COMPUTED_VALUE"""),"")</f>
        <v/>
      </c>
      <c r="M16184" s="16" t="str">
        <f>IFERROR(__xludf.DUMMYFUNCTION("""COMPUTED_VALUE"""),"")</f>
        <v/>
      </c>
      <c r="U16184" s="16" t="s">
        <v>87</v>
      </c>
      <c r="V16184" s="16" t="str">
        <f>IFERROR(__xludf.DUMMYFUNCTION("""COMPUTED_VALUE"""),"")</f>
        <v/>
      </c>
      <c r="W16184" s="16" t="str">
        <f>IFERROR(__xludf.DUMMYFUNCTION("""COMPUTED_VALUE"""),"")</f>
        <v/>
      </c>
      <c r="X16184" s="16" t="str">
        <f>IFERROR(__xludf.DUMMYFUNCTION("""COMPUTED_VALUE"""),"")</f>
        <v/>
      </c>
      <c r="AC16184" s="16" t="str">
        <f>IFERROR(__xludf.DUMMYFUNCTION("""COMPUTED_VALUE"""),"")</f>
        <v/>
      </c>
    </row>
    <row r="16185">
      <c r="A16185" s="16" t="s">
        <v>87</v>
      </c>
      <c r="E16185" s="16" t="str">
        <f>IFERROR(__xludf.DUMMYFUNCTION("""COMPUTED_VALUE"""),"")</f>
        <v/>
      </c>
      <c r="G16185" s="18"/>
      <c r="H16185" s="16" t="s">
        <v>87</v>
      </c>
      <c r="I16185" s="16" t="s">
        <v>87</v>
      </c>
      <c r="J16185" s="19"/>
      <c r="L16185" s="16" t="str">
        <f>IFERROR(__xludf.DUMMYFUNCTION("""COMPUTED_VALUE"""),"")</f>
        <v/>
      </c>
      <c r="M16185" s="16" t="str">
        <f>IFERROR(__xludf.DUMMYFUNCTION("""COMPUTED_VALUE"""),"")</f>
        <v/>
      </c>
      <c r="U16185" s="16" t="s">
        <v>87</v>
      </c>
      <c r="V16185" s="16" t="str">
        <f>IFERROR(__xludf.DUMMYFUNCTION("""COMPUTED_VALUE"""),"")</f>
        <v/>
      </c>
      <c r="W16185" s="16" t="str">
        <f>IFERROR(__xludf.DUMMYFUNCTION("""COMPUTED_VALUE"""),"")</f>
        <v/>
      </c>
      <c r="X16185" s="16" t="str">
        <f>IFERROR(__xludf.DUMMYFUNCTION("""COMPUTED_VALUE"""),"")</f>
        <v/>
      </c>
      <c r="AC16185" s="16" t="str">
        <f>IFERROR(__xludf.DUMMYFUNCTION("""COMPUTED_VALUE"""),"")</f>
        <v/>
      </c>
    </row>
    <row r="16186">
      <c r="A16186" s="16" t="s">
        <v>87</v>
      </c>
      <c r="E16186" s="16" t="str">
        <f>IFERROR(__xludf.DUMMYFUNCTION("""COMPUTED_VALUE"""),"")</f>
        <v/>
      </c>
      <c r="G16186" s="18"/>
      <c r="H16186" s="16" t="s">
        <v>87</v>
      </c>
      <c r="I16186" s="16" t="s">
        <v>87</v>
      </c>
      <c r="J16186" s="19"/>
      <c r="L16186" s="16" t="str">
        <f>IFERROR(__xludf.DUMMYFUNCTION("""COMPUTED_VALUE"""),"")</f>
        <v/>
      </c>
      <c r="M16186" s="16" t="str">
        <f>IFERROR(__xludf.DUMMYFUNCTION("""COMPUTED_VALUE"""),"")</f>
        <v/>
      </c>
      <c r="U16186" s="16" t="s">
        <v>87</v>
      </c>
      <c r="V16186" s="16" t="str">
        <f>IFERROR(__xludf.DUMMYFUNCTION("""COMPUTED_VALUE"""),"")</f>
        <v/>
      </c>
      <c r="W16186" s="16" t="str">
        <f>IFERROR(__xludf.DUMMYFUNCTION("""COMPUTED_VALUE"""),"")</f>
        <v/>
      </c>
      <c r="X16186" s="16" t="str">
        <f>IFERROR(__xludf.DUMMYFUNCTION("""COMPUTED_VALUE"""),"")</f>
        <v/>
      </c>
      <c r="AC16186" s="16" t="str">
        <f>IFERROR(__xludf.DUMMYFUNCTION("""COMPUTED_VALUE"""),"")</f>
        <v/>
      </c>
    </row>
    <row r="16187">
      <c r="A16187" s="16" t="s">
        <v>87</v>
      </c>
      <c r="E16187" s="16" t="str">
        <f>IFERROR(__xludf.DUMMYFUNCTION("""COMPUTED_VALUE"""),"")</f>
        <v/>
      </c>
      <c r="G16187" s="18"/>
      <c r="H16187" s="16" t="s">
        <v>87</v>
      </c>
      <c r="I16187" s="16" t="s">
        <v>87</v>
      </c>
      <c r="J16187" s="19"/>
      <c r="L16187" s="16" t="str">
        <f>IFERROR(__xludf.DUMMYFUNCTION("""COMPUTED_VALUE"""),"")</f>
        <v/>
      </c>
      <c r="M16187" s="16" t="str">
        <f>IFERROR(__xludf.DUMMYFUNCTION("""COMPUTED_VALUE"""),"")</f>
        <v/>
      </c>
      <c r="U16187" s="16" t="s">
        <v>87</v>
      </c>
      <c r="V16187" s="16" t="str">
        <f>IFERROR(__xludf.DUMMYFUNCTION("""COMPUTED_VALUE"""),"")</f>
        <v/>
      </c>
      <c r="W16187" s="16" t="str">
        <f>IFERROR(__xludf.DUMMYFUNCTION("""COMPUTED_VALUE"""),"")</f>
        <v/>
      </c>
      <c r="X16187" s="16" t="str">
        <f>IFERROR(__xludf.DUMMYFUNCTION("""COMPUTED_VALUE"""),"")</f>
        <v/>
      </c>
      <c r="AC16187" s="16" t="str">
        <f>IFERROR(__xludf.DUMMYFUNCTION("""COMPUTED_VALUE"""),"")</f>
        <v/>
      </c>
    </row>
    <row r="16188">
      <c r="A16188" s="16" t="s">
        <v>87</v>
      </c>
      <c r="E16188" s="16" t="str">
        <f>IFERROR(__xludf.DUMMYFUNCTION("""COMPUTED_VALUE"""),"")</f>
        <v/>
      </c>
      <c r="G16188" s="18"/>
      <c r="H16188" s="16" t="s">
        <v>87</v>
      </c>
      <c r="I16188" s="16" t="s">
        <v>87</v>
      </c>
      <c r="J16188" s="19"/>
      <c r="L16188" s="16" t="str">
        <f>IFERROR(__xludf.DUMMYFUNCTION("""COMPUTED_VALUE"""),"")</f>
        <v/>
      </c>
      <c r="M16188" s="16" t="str">
        <f>IFERROR(__xludf.DUMMYFUNCTION("""COMPUTED_VALUE"""),"")</f>
        <v/>
      </c>
      <c r="U16188" s="16" t="s">
        <v>87</v>
      </c>
      <c r="V16188" s="16" t="str">
        <f>IFERROR(__xludf.DUMMYFUNCTION("""COMPUTED_VALUE"""),"")</f>
        <v/>
      </c>
      <c r="W16188" s="16" t="str">
        <f>IFERROR(__xludf.DUMMYFUNCTION("""COMPUTED_VALUE"""),"")</f>
        <v/>
      </c>
      <c r="X16188" s="16" t="str">
        <f>IFERROR(__xludf.DUMMYFUNCTION("""COMPUTED_VALUE"""),"")</f>
        <v/>
      </c>
      <c r="AC16188" s="16" t="str">
        <f>IFERROR(__xludf.DUMMYFUNCTION("""COMPUTED_VALUE"""),"")</f>
        <v/>
      </c>
    </row>
    <row r="16189">
      <c r="A16189" s="16" t="s">
        <v>87</v>
      </c>
      <c r="E16189" s="16" t="str">
        <f>IFERROR(__xludf.DUMMYFUNCTION("""COMPUTED_VALUE"""),"")</f>
        <v/>
      </c>
      <c r="G16189" s="18"/>
      <c r="H16189" s="16" t="s">
        <v>87</v>
      </c>
      <c r="I16189" s="16" t="s">
        <v>87</v>
      </c>
      <c r="J16189" s="19"/>
      <c r="L16189" s="16" t="str">
        <f>IFERROR(__xludf.DUMMYFUNCTION("""COMPUTED_VALUE"""),"")</f>
        <v/>
      </c>
      <c r="M16189" s="16" t="str">
        <f>IFERROR(__xludf.DUMMYFUNCTION("""COMPUTED_VALUE"""),"")</f>
        <v/>
      </c>
      <c r="U16189" s="16" t="s">
        <v>87</v>
      </c>
      <c r="V16189" s="16" t="str">
        <f>IFERROR(__xludf.DUMMYFUNCTION("""COMPUTED_VALUE"""),"")</f>
        <v/>
      </c>
      <c r="W16189" s="16" t="str">
        <f>IFERROR(__xludf.DUMMYFUNCTION("""COMPUTED_VALUE"""),"")</f>
        <v/>
      </c>
      <c r="X16189" s="16" t="str">
        <f>IFERROR(__xludf.DUMMYFUNCTION("""COMPUTED_VALUE"""),"")</f>
        <v/>
      </c>
      <c r="AC16189" s="16" t="str">
        <f>IFERROR(__xludf.DUMMYFUNCTION("""COMPUTED_VALUE"""),"")</f>
        <v/>
      </c>
    </row>
    <row r="16190">
      <c r="A16190" s="16" t="s">
        <v>87</v>
      </c>
      <c r="E16190" s="16" t="str">
        <f>IFERROR(__xludf.DUMMYFUNCTION("""COMPUTED_VALUE"""),"")</f>
        <v/>
      </c>
      <c r="G16190" s="18"/>
      <c r="H16190" s="16" t="s">
        <v>87</v>
      </c>
      <c r="I16190" s="16" t="s">
        <v>87</v>
      </c>
      <c r="J16190" s="19"/>
      <c r="L16190" s="16" t="str">
        <f>IFERROR(__xludf.DUMMYFUNCTION("""COMPUTED_VALUE"""),"")</f>
        <v/>
      </c>
      <c r="M16190" s="16" t="str">
        <f>IFERROR(__xludf.DUMMYFUNCTION("""COMPUTED_VALUE"""),"")</f>
        <v/>
      </c>
      <c r="U16190" s="16" t="s">
        <v>87</v>
      </c>
      <c r="V16190" s="16" t="str">
        <f>IFERROR(__xludf.DUMMYFUNCTION("""COMPUTED_VALUE"""),"")</f>
        <v/>
      </c>
      <c r="W16190" s="16" t="str">
        <f>IFERROR(__xludf.DUMMYFUNCTION("""COMPUTED_VALUE"""),"")</f>
        <v/>
      </c>
      <c r="X16190" s="16" t="str">
        <f>IFERROR(__xludf.DUMMYFUNCTION("""COMPUTED_VALUE"""),"")</f>
        <v/>
      </c>
      <c r="AC16190" s="16" t="str">
        <f>IFERROR(__xludf.DUMMYFUNCTION("""COMPUTED_VALUE"""),"")</f>
        <v/>
      </c>
    </row>
    <row r="16191">
      <c r="A16191" s="16" t="s">
        <v>87</v>
      </c>
      <c r="E16191" s="16" t="str">
        <f>IFERROR(__xludf.DUMMYFUNCTION("""COMPUTED_VALUE"""),"")</f>
        <v/>
      </c>
      <c r="G16191" s="18"/>
      <c r="H16191" s="16" t="s">
        <v>87</v>
      </c>
      <c r="I16191" s="16" t="s">
        <v>87</v>
      </c>
      <c r="J16191" s="19"/>
      <c r="L16191" s="16" t="str">
        <f>IFERROR(__xludf.DUMMYFUNCTION("""COMPUTED_VALUE"""),"")</f>
        <v/>
      </c>
      <c r="M16191" s="16" t="str">
        <f>IFERROR(__xludf.DUMMYFUNCTION("""COMPUTED_VALUE"""),"")</f>
        <v/>
      </c>
      <c r="U16191" s="16" t="s">
        <v>87</v>
      </c>
      <c r="V16191" s="16" t="str">
        <f>IFERROR(__xludf.DUMMYFUNCTION("""COMPUTED_VALUE"""),"")</f>
        <v/>
      </c>
      <c r="W16191" s="16" t="str">
        <f>IFERROR(__xludf.DUMMYFUNCTION("""COMPUTED_VALUE"""),"")</f>
        <v/>
      </c>
      <c r="X16191" s="16" t="str">
        <f>IFERROR(__xludf.DUMMYFUNCTION("""COMPUTED_VALUE"""),"")</f>
        <v/>
      </c>
      <c r="AC16191" s="16" t="str">
        <f>IFERROR(__xludf.DUMMYFUNCTION("""COMPUTED_VALUE"""),"")</f>
        <v/>
      </c>
    </row>
    <row r="16192">
      <c r="A16192" s="16" t="s">
        <v>87</v>
      </c>
      <c r="E16192" s="16" t="str">
        <f>IFERROR(__xludf.DUMMYFUNCTION("""COMPUTED_VALUE"""),"")</f>
        <v/>
      </c>
      <c r="G16192" s="18"/>
      <c r="H16192" s="16" t="s">
        <v>87</v>
      </c>
      <c r="I16192" s="16" t="s">
        <v>87</v>
      </c>
      <c r="J16192" s="19"/>
      <c r="L16192" s="16" t="str">
        <f>IFERROR(__xludf.DUMMYFUNCTION("""COMPUTED_VALUE"""),"")</f>
        <v/>
      </c>
      <c r="M16192" s="16" t="str">
        <f>IFERROR(__xludf.DUMMYFUNCTION("""COMPUTED_VALUE"""),"")</f>
        <v/>
      </c>
      <c r="U16192" s="16" t="s">
        <v>87</v>
      </c>
      <c r="V16192" s="16" t="str">
        <f>IFERROR(__xludf.DUMMYFUNCTION("""COMPUTED_VALUE"""),"")</f>
        <v/>
      </c>
      <c r="W16192" s="16" t="str">
        <f>IFERROR(__xludf.DUMMYFUNCTION("""COMPUTED_VALUE"""),"")</f>
        <v/>
      </c>
      <c r="X16192" s="16" t="str">
        <f>IFERROR(__xludf.DUMMYFUNCTION("""COMPUTED_VALUE"""),"")</f>
        <v/>
      </c>
      <c r="AC16192" s="16" t="str">
        <f>IFERROR(__xludf.DUMMYFUNCTION("""COMPUTED_VALUE"""),"")</f>
        <v/>
      </c>
    </row>
    <row r="16193">
      <c r="A16193" s="16" t="s">
        <v>87</v>
      </c>
      <c r="E16193" s="16" t="str">
        <f>IFERROR(__xludf.DUMMYFUNCTION("""COMPUTED_VALUE"""),"")</f>
        <v/>
      </c>
      <c r="G16193" s="18"/>
      <c r="H16193" s="16" t="s">
        <v>87</v>
      </c>
      <c r="I16193" s="16" t="s">
        <v>87</v>
      </c>
      <c r="J16193" s="19"/>
      <c r="L16193" s="16" t="str">
        <f>IFERROR(__xludf.DUMMYFUNCTION("""COMPUTED_VALUE"""),"")</f>
        <v/>
      </c>
      <c r="M16193" s="16" t="str">
        <f>IFERROR(__xludf.DUMMYFUNCTION("""COMPUTED_VALUE"""),"")</f>
        <v/>
      </c>
      <c r="U16193" s="16" t="s">
        <v>87</v>
      </c>
      <c r="V16193" s="16" t="str">
        <f>IFERROR(__xludf.DUMMYFUNCTION("""COMPUTED_VALUE"""),"")</f>
        <v/>
      </c>
      <c r="W16193" s="16" t="str">
        <f>IFERROR(__xludf.DUMMYFUNCTION("""COMPUTED_VALUE"""),"")</f>
        <v/>
      </c>
      <c r="X16193" s="16" t="str">
        <f>IFERROR(__xludf.DUMMYFUNCTION("""COMPUTED_VALUE"""),"")</f>
        <v/>
      </c>
      <c r="AC16193" s="16" t="str">
        <f>IFERROR(__xludf.DUMMYFUNCTION("""COMPUTED_VALUE"""),"")</f>
        <v/>
      </c>
    </row>
    <row r="16194">
      <c r="A16194" s="16" t="s">
        <v>87</v>
      </c>
      <c r="E16194" s="16" t="str">
        <f>IFERROR(__xludf.DUMMYFUNCTION("""COMPUTED_VALUE"""),"")</f>
        <v/>
      </c>
      <c r="G16194" s="18"/>
      <c r="H16194" s="16" t="s">
        <v>87</v>
      </c>
      <c r="I16194" s="16" t="s">
        <v>87</v>
      </c>
      <c r="J16194" s="19"/>
      <c r="L16194" s="16" t="str">
        <f>IFERROR(__xludf.DUMMYFUNCTION("""COMPUTED_VALUE"""),"")</f>
        <v/>
      </c>
      <c r="M16194" s="16" t="str">
        <f>IFERROR(__xludf.DUMMYFUNCTION("""COMPUTED_VALUE"""),"")</f>
        <v/>
      </c>
      <c r="U16194" s="16" t="s">
        <v>87</v>
      </c>
      <c r="V16194" s="16" t="str">
        <f>IFERROR(__xludf.DUMMYFUNCTION("""COMPUTED_VALUE"""),"")</f>
        <v/>
      </c>
      <c r="W16194" s="16" t="str">
        <f>IFERROR(__xludf.DUMMYFUNCTION("""COMPUTED_VALUE"""),"")</f>
        <v/>
      </c>
      <c r="X16194" s="16" t="str">
        <f>IFERROR(__xludf.DUMMYFUNCTION("""COMPUTED_VALUE"""),"")</f>
        <v/>
      </c>
      <c r="AC16194" s="16" t="str">
        <f>IFERROR(__xludf.DUMMYFUNCTION("""COMPUTED_VALUE"""),"")</f>
        <v/>
      </c>
    </row>
    <row r="16195">
      <c r="A16195" s="16" t="s">
        <v>87</v>
      </c>
      <c r="E16195" s="16" t="str">
        <f>IFERROR(__xludf.DUMMYFUNCTION("""COMPUTED_VALUE"""),"")</f>
        <v/>
      </c>
      <c r="G16195" s="18"/>
      <c r="H16195" s="16" t="s">
        <v>87</v>
      </c>
      <c r="I16195" s="16" t="s">
        <v>87</v>
      </c>
      <c r="J16195" s="19"/>
      <c r="L16195" s="16" t="str">
        <f>IFERROR(__xludf.DUMMYFUNCTION("""COMPUTED_VALUE"""),"")</f>
        <v/>
      </c>
      <c r="M16195" s="16" t="str">
        <f>IFERROR(__xludf.DUMMYFUNCTION("""COMPUTED_VALUE"""),"")</f>
        <v/>
      </c>
      <c r="U16195" s="16" t="s">
        <v>87</v>
      </c>
      <c r="V16195" s="16" t="str">
        <f>IFERROR(__xludf.DUMMYFUNCTION("""COMPUTED_VALUE"""),"")</f>
        <v/>
      </c>
      <c r="W16195" s="16" t="str">
        <f>IFERROR(__xludf.DUMMYFUNCTION("""COMPUTED_VALUE"""),"")</f>
        <v/>
      </c>
      <c r="X16195" s="16" t="str">
        <f>IFERROR(__xludf.DUMMYFUNCTION("""COMPUTED_VALUE"""),"")</f>
        <v/>
      </c>
      <c r="AC16195" s="16" t="str">
        <f>IFERROR(__xludf.DUMMYFUNCTION("""COMPUTED_VALUE"""),"")</f>
        <v/>
      </c>
    </row>
    <row r="16196">
      <c r="A16196" s="16" t="s">
        <v>87</v>
      </c>
      <c r="E16196" s="16" t="str">
        <f>IFERROR(__xludf.DUMMYFUNCTION("""COMPUTED_VALUE"""),"")</f>
        <v/>
      </c>
      <c r="G16196" s="18"/>
      <c r="H16196" s="16" t="s">
        <v>87</v>
      </c>
      <c r="I16196" s="16" t="s">
        <v>87</v>
      </c>
      <c r="J16196" s="19"/>
      <c r="L16196" s="16" t="str">
        <f>IFERROR(__xludf.DUMMYFUNCTION("""COMPUTED_VALUE"""),"")</f>
        <v/>
      </c>
      <c r="M16196" s="16" t="str">
        <f>IFERROR(__xludf.DUMMYFUNCTION("""COMPUTED_VALUE"""),"")</f>
        <v/>
      </c>
      <c r="U16196" s="16" t="s">
        <v>87</v>
      </c>
      <c r="V16196" s="16" t="str">
        <f>IFERROR(__xludf.DUMMYFUNCTION("""COMPUTED_VALUE"""),"")</f>
        <v/>
      </c>
      <c r="W16196" s="16" t="str">
        <f>IFERROR(__xludf.DUMMYFUNCTION("""COMPUTED_VALUE"""),"")</f>
        <v/>
      </c>
      <c r="X16196" s="16" t="str">
        <f>IFERROR(__xludf.DUMMYFUNCTION("""COMPUTED_VALUE"""),"")</f>
        <v/>
      </c>
      <c r="AC16196" s="16" t="str">
        <f>IFERROR(__xludf.DUMMYFUNCTION("""COMPUTED_VALUE"""),"")</f>
        <v/>
      </c>
    </row>
    <row r="16197">
      <c r="A16197" s="16" t="s">
        <v>87</v>
      </c>
      <c r="E16197" s="16" t="str">
        <f>IFERROR(__xludf.DUMMYFUNCTION("""COMPUTED_VALUE"""),"")</f>
        <v/>
      </c>
      <c r="G16197" s="18"/>
      <c r="H16197" s="16" t="s">
        <v>87</v>
      </c>
      <c r="I16197" s="16" t="s">
        <v>87</v>
      </c>
      <c r="J16197" s="19"/>
      <c r="L16197" s="16" t="str">
        <f>IFERROR(__xludf.DUMMYFUNCTION("""COMPUTED_VALUE"""),"")</f>
        <v/>
      </c>
      <c r="M16197" s="16" t="str">
        <f>IFERROR(__xludf.DUMMYFUNCTION("""COMPUTED_VALUE"""),"")</f>
        <v/>
      </c>
      <c r="U16197" s="16" t="s">
        <v>87</v>
      </c>
      <c r="V16197" s="16" t="str">
        <f>IFERROR(__xludf.DUMMYFUNCTION("""COMPUTED_VALUE"""),"")</f>
        <v/>
      </c>
      <c r="W16197" s="16" t="str">
        <f>IFERROR(__xludf.DUMMYFUNCTION("""COMPUTED_VALUE"""),"")</f>
        <v/>
      </c>
      <c r="X16197" s="16" t="str">
        <f>IFERROR(__xludf.DUMMYFUNCTION("""COMPUTED_VALUE"""),"")</f>
        <v/>
      </c>
      <c r="AC16197" s="16" t="str">
        <f>IFERROR(__xludf.DUMMYFUNCTION("""COMPUTED_VALUE"""),"")</f>
        <v/>
      </c>
    </row>
    <row r="16198">
      <c r="A16198" s="16" t="s">
        <v>87</v>
      </c>
      <c r="E16198" s="16" t="str">
        <f>IFERROR(__xludf.DUMMYFUNCTION("""COMPUTED_VALUE"""),"")</f>
        <v/>
      </c>
      <c r="G16198" s="18"/>
      <c r="H16198" s="16" t="s">
        <v>87</v>
      </c>
      <c r="I16198" s="16" t="s">
        <v>87</v>
      </c>
      <c r="J16198" s="19"/>
      <c r="L16198" s="16" t="str">
        <f>IFERROR(__xludf.DUMMYFUNCTION("""COMPUTED_VALUE"""),"")</f>
        <v/>
      </c>
      <c r="M16198" s="16" t="str">
        <f>IFERROR(__xludf.DUMMYFUNCTION("""COMPUTED_VALUE"""),"")</f>
        <v/>
      </c>
      <c r="U16198" s="16" t="s">
        <v>87</v>
      </c>
      <c r="V16198" s="16" t="str">
        <f>IFERROR(__xludf.DUMMYFUNCTION("""COMPUTED_VALUE"""),"")</f>
        <v/>
      </c>
      <c r="W16198" s="16" t="str">
        <f>IFERROR(__xludf.DUMMYFUNCTION("""COMPUTED_VALUE"""),"")</f>
        <v/>
      </c>
      <c r="X16198" s="16" t="str">
        <f>IFERROR(__xludf.DUMMYFUNCTION("""COMPUTED_VALUE"""),"")</f>
        <v/>
      </c>
      <c r="AC16198" s="16" t="str">
        <f>IFERROR(__xludf.DUMMYFUNCTION("""COMPUTED_VALUE"""),"")</f>
        <v/>
      </c>
    </row>
    <row r="16199">
      <c r="A16199" s="16" t="s">
        <v>87</v>
      </c>
      <c r="E16199" s="16" t="str">
        <f>IFERROR(__xludf.DUMMYFUNCTION("""COMPUTED_VALUE"""),"")</f>
        <v/>
      </c>
      <c r="G16199" s="18"/>
      <c r="H16199" s="16" t="s">
        <v>87</v>
      </c>
      <c r="I16199" s="16" t="s">
        <v>87</v>
      </c>
      <c r="J16199" s="19"/>
      <c r="L16199" s="16" t="str">
        <f>IFERROR(__xludf.DUMMYFUNCTION("""COMPUTED_VALUE"""),"")</f>
        <v/>
      </c>
      <c r="M16199" s="16" t="str">
        <f>IFERROR(__xludf.DUMMYFUNCTION("""COMPUTED_VALUE"""),"")</f>
        <v/>
      </c>
      <c r="U16199" s="16" t="s">
        <v>87</v>
      </c>
      <c r="V16199" s="16" t="str">
        <f>IFERROR(__xludf.DUMMYFUNCTION("""COMPUTED_VALUE"""),"")</f>
        <v/>
      </c>
      <c r="W16199" s="16" t="str">
        <f>IFERROR(__xludf.DUMMYFUNCTION("""COMPUTED_VALUE"""),"")</f>
        <v/>
      </c>
      <c r="X16199" s="16" t="str">
        <f>IFERROR(__xludf.DUMMYFUNCTION("""COMPUTED_VALUE"""),"")</f>
        <v/>
      </c>
      <c r="AC16199" s="16" t="str">
        <f>IFERROR(__xludf.DUMMYFUNCTION("""COMPUTED_VALUE"""),"")</f>
        <v/>
      </c>
    </row>
    <row r="16200">
      <c r="A16200" s="16" t="s">
        <v>87</v>
      </c>
      <c r="E16200" s="16" t="str">
        <f>IFERROR(__xludf.DUMMYFUNCTION("""COMPUTED_VALUE"""),"")</f>
        <v/>
      </c>
      <c r="G16200" s="18"/>
      <c r="H16200" s="16" t="s">
        <v>87</v>
      </c>
      <c r="I16200" s="16" t="s">
        <v>87</v>
      </c>
      <c r="J16200" s="19"/>
      <c r="L16200" s="16" t="str">
        <f>IFERROR(__xludf.DUMMYFUNCTION("""COMPUTED_VALUE"""),"")</f>
        <v/>
      </c>
      <c r="M16200" s="16" t="str">
        <f>IFERROR(__xludf.DUMMYFUNCTION("""COMPUTED_VALUE"""),"")</f>
        <v/>
      </c>
      <c r="U16200" s="16" t="s">
        <v>87</v>
      </c>
      <c r="V16200" s="16" t="str">
        <f>IFERROR(__xludf.DUMMYFUNCTION("""COMPUTED_VALUE"""),"")</f>
        <v/>
      </c>
      <c r="W16200" s="16" t="str">
        <f>IFERROR(__xludf.DUMMYFUNCTION("""COMPUTED_VALUE"""),"")</f>
        <v/>
      </c>
      <c r="X16200" s="16" t="str">
        <f>IFERROR(__xludf.DUMMYFUNCTION("""COMPUTED_VALUE"""),"")</f>
        <v/>
      </c>
      <c r="AC16200" s="16" t="str">
        <f>IFERROR(__xludf.DUMMYFUNCTION("""COMPUTED_VALUE"""),"")</f>
        <v/>
      </c>
    </row>
    <row r="16201">
      <c r="A16201" s="16" t="s">
        <v>87</v>
      </c>
      <c r="E16201" s="16" t="str">
        <f>IFERROR(__xludf.DUMMYFUNCTION("""COMPUTED_VALUE"""),"")</f>
        <v/>
      </c>
      <c r="G16201" s="18"/>
      <c r="H16201" s="16" t="s">
        <v>87</v>
      </c>
      <c r="I16201" s="16" t="s">
        <v>87</v>
      </c>
      <c r="J16201" s="19"/>
      <c r="L16201" s="16" t="str">
        <f>IFERROR(__xludf.DUMMYFUNCTION("""COMPUTED_VALUE"""),"")</f>
        <v/>
      </c>
      <c r="M16201" s="16" t="str">
        <f>IFERROR(__xludf.DUMMYFUNCTION("""COMPUTED_VALUE"""),"")</f>
        <v/>
      </c>
      <c r="U16201" s="16" t="s">
        <v>87</v>
      </c>
      <c r="V16201" s="16" t="str">
        <f>IFERROR(__xludf.DUMMYFUNCTION("""COMPUTED_VALUE"""),"")</f>
        <v/>
      </c>
      <c r="W16201" s="16" t="str">
        <f>IFERROR(__xludf.DUMMYFUNCTION("""COMPUTED_VALUE"""),"")</f>
        <v/>
      </c>
      <c r="X16201" s="16" t="str">
        <f>IFERROR(__xludf.DUMMYFUNCTION("""COMPUTED_VALUE"""),"")</f>
        <v/>
      </c>
      <c r="AC16201" s="16" t="str">
        <f>IFERROR(__xludf.DUMMYFUNCTION("""COMPUTED_VALUE"""),"")</f>
        <v/>
      </c>
    </row>
    <row r="16202">
      <c r="A16202" s="16" t="s">
        <v>87</v>
      </c>
      <c r="E16202" s="16" t="str">
        <f>IFERROR(__xludf.DUMMYFUNCTION("""COMPUTED_VALUE"""),"")</f>
        <v/>
      </c>
      <c r="G16202" s="18"/>
      <c r="H16202" s="16" t="s">
        <v>87</v>
      </c>
      <c r="I16202" s="16" t="s">
        <v>87</v>
      </c>
      <c r="J16202" s="19"/>
      <c r="L16202" s="16" t="str">
        <f>IFERROR(__xludf.DUMMYFUNCTION("""COMPUTED_VALUE"""),"")</f>
        <v/>
      </c>
      <c r="M16202" s="16" t="str">
        <f>IFERROR(__xludf.DUMMYFUNCTION("""COMPUTED_VALUE"""),"")</f>
        <v/>
      </c>
      <c r="U16202" s="16" t="s">
        <v>87</v>
      </c>
      <c r="V16202" s="16" t="str">
        <f>IFERROR(__xludf.DUMMYFUNCTION("""COMPUTED_VALUE"""),"")</f>
        <v/>
      </c>
      <c r="W16202" s="16" t="str">
        <f>IFERROR(__xludf.DUMMYFUNCTION("""COMPUTED_VALUE"""),"")</f>
        <v/>
      </c>
      <c r="X16202" s="16" t="str">
        <f>IFERROR(__xludf.DUMMYFUNCTION("""COMPUTED_VALUE"""),"")</f>
        <v/>
      </c>
      <c r="AC16202" s="16" t="str">
        <f>IFERROR(__xludf.DUMMYFUNCTION("""COMPUTED_VALUE"""),"")</f>
        <v/>
      </c>
    </row>
    <row r="16203">
      <c r="A16203" s="16" t="s">
        <v>87</v>
      </c>
      <c r="E16203" s="16" t="str">
        <f>IFERROR(__xludf.DUMMYFUNCTION("""COMPUTED_VALUE"""),"")</f>
        <v/>
      </c>
      <c r="G16203" s="18"/>
      <c r="H16203" s="16" t="s">
        <v>87</v>
      </c>
      <c r="I16203" s="16" t="s">
        <v>87</v>
      </c>
      <c r="J16203" s="19"/>
      <c r="L16203" s="16" t="str">
        <f>IFERROR(__xludf.DUMMYFUNCTION("""COMPUTED_VALUE"""),"")</f>
        <v/>
      </c>
      <c r="M16203" s="16" t="str">
        <f>IFERROR(__xludf.DUMMYFUNCTION("""COMPUTED_VALUE"""),"")</f>
        <v/>
      </c>
      <c r="U16203" s="16" t="s">
        <v>87</v>
      </c>
      <c r="V16203" s="16" t="str">
        <f>IFERROR(__xludf.DUMMYFUNCTION("""COMPUTED_VALUE"""),"")</f>
        <v/>
      </c>
      <c r="W16203" s="16" t="str">
        <f>IFERROR(__xludf.DUMMYFUNCTION("""COMPUTED_VALUE"""),"")</f>
        <v/>
      </c>
      <c r="X16203" s="16" t="str">
        <f>IFERROR(__xludf.DUMMYFUNCTION("""COMPUTED_VALUE"""),"")</f>
        <v/>
      </c>
      <c r="AC16203" s="16" t="str">
        <f>IFERROR(__xludf.DUMMYFUNCTION("""COMPUTED_VALUE"""),"")</f>
        <v/>
      </c>
    </row>
    <row r="16204">
      <c r="A16204" s="16" t="s">
        <v>87</v>
      </c>
      <c r="E16204" s="16" t="str">
        <f>IFERROR(__xludf.DUMMYFUNCTION("""COMPUTED_VALUE"""),"")</f>
        <v/>
      </c>
      <c r="G16204" s="18"/>
      <c r="H16204" s="16" t="s">
        <v>87</v>
      </c>
      <c r="I16204" s="16" t="s">
        <v>87</v>
      </c>
      <c r="J16204" s="19"/>
      <c r="L16204" s="16" t="str">
        <f>IFERROR(__xludf.DUMMYFUNCTION("""COMPUTED_VALUE"""),"")</f>
        <v/>
      </c>
      <c r="M16204" s="16" t="str">
        <f>IFERROR(__xludf.DUMMYFUNCTION("""COMPUTED_VALUE"""),"")</f>
        <v/>
      </c>
      <c r="U16204" s="16" t="s">
        <v>87</v>
      </c>
      <c r="V16204" s="16" t="str">
        <f>IFERROR(__xludf.DUMMYFUNCTION("""COMPUTED_VALUE"""),"")</f>
        <v/>
      </c>
      <c r="W16204" s="16" t="str">
        <f>IFERROR(__xludf.DUMMYFUNCTION("""COMPUTED_VALUE"""),"")</f>
        <v/>
      </c>
      <c r="X16204" s="16" t="str">
        <f>IFERROR(__xludf.DUMMYFUNCTION("""COMPUTED_VALUE"""),"")</f>
        <v/>
      </c>
      <c r="AC16204" s="16" t="str">
        <f>IFERROR(__xludf.DUMMYFUNCTION("""COMPUTED_VALUE"""),"")</f>
        <v/>
      </c>
    </row>
    <row r="16205">
      <c r="A16205" s="16" t="s">
        <v>87</v>
      </c>
      <c r="E16205" s="16" t="str">
        <f>IFERROR(__xludf.DUMMYFUNCTION("""COMPUTED_VALUE"""),"")</f>
        <v/>
      </c>
      <c r="G16205" s="18"/>
      <c r="H16205" s="16" t="s">
        <v>87</v>
      </c>
      <c r="I16205" s="16" t="s">
        <v>87</v>
      </c>
      <c r="J16205" s="19"/>
      <c r="L16205" s="16" t="str">
        <f>IFERROR(__xludf.DUMMYFUNCTION("""COMPUTED_VALUE"""),"")</f>
        <v/>
      </c>
      <c r="M16205" s="16" t="str">
        <f>IFERROR(__xludf.DUMMYFUNCTION("""COMPUTED_VALUE"""),"")</f>
        <v/>
      </c>
      <c r="U16205" s="16" t="s">
        <v>87</v>
      </c>
      <c r="V16205" s="16" t="str">
        <f>IFERROR(__xludf.DUMMYFUNCTION("""COMPUTED_VALUE"""),"")</f>
        <v/>
      </c>
      <c r="W16205" s="16" t="str">
        <f>IFERROR(__xludf.DUMMYFUNCTION("""COMPUTED_VALUE"""),"")</f>
        <v/>
      </c>
      <c r="X16205" s="16" t="str">
        <f>IFERROR(__xludf.DUMMYFUNCTION("""COMPUTED_VALUE"""),"")</f>
        <v/>
      </c>
      <c r="AC16205" s="16" t="str">
        <f>IFERROR(__xludf.DUMMYFUNCTION("""COMPUTED_VALUE"""),"")</f>
        <v/>
      </c>
    </row>
    <row r="16206">
      <c r="A16206" s="16" t="s">
        <v>87</v>
      </c>
      <c r="E16206" s="16" t="str">
        <f>IFERROR(__xludf.DUMMYFUNCTION("""COMPUTED_VALUE"""),"")</f>
        <v/>
      </c>
      <c r="G16206" s="18"/>
      <c r="H16206" s="16" t="s">
        <v>87</v>
      </c>
      <c r="I16206" s="16" t="s">
        <v>87</v>
      </c>
      <c r="J16206" s="19"/>
      <c r="L16206" s="16" t="str">
        <f>IFERROR(__xludf.DUMMYFUNCTION("""COMPUTED_VALUE"""),"")</f>
        <v/>
      </c>
      <c r="M16206" s="16" t="str">
        <f>IFERROR(__xludf.DUMMYFUNCTION("""COMPUTED_VALUE"""),"")</f>
        <v/>
      </c>
      <c r="U16206" s="16" t="s">
        <v>87</v>
      </c>
      <c r="V16206" s="16" t="str">
        <f>IFERROR(__xludf.DUMMYFUNCTION("""COMPUTED_VALUE"""),"")</f>
        <v/>
      </c>
      <c r="W16206" s="16" t="str">
        <f>IFERROR(__xludf.DUMMYFUNCTION("""COMPUTED_VALUE"""),"")</f>
        <v/>
      </c>
      <c r="X16206" s="16" t="str">
        <f>IFERROR(__xludf.DUMMYFUNCTION("""COMPUTED_VALUE"""),"")</f>
        <v/>
      </c>
      <c r="AC16206" s="16" t="str">
        <f>IFERROR(__xludf.DUMMYFUNCTION("""COMPUTED_VALUE"""),"")</f>
        <v/>
      </c>
    </row>
    <row r="16207">
      <c r="A16207" s="16" t="s">
        <v>87</v>
      </c>
      <c r="E16207" s="16" t="str">
        <f>IFERROR(__xludf.DUMMYFUNCTION("""COMPUTED_VALUE"""),"")</f>
        <v/>
      </c>
      <c r="G16207" s="18"/>
      <c r="H16207" s="16" t="s">
        <v>87</v>
      </c>
      <c r="I16207" s="16" t="s">
        <v>87</v>
      </c>
      <c r="J16207" s="19"/>
      <c r="L16207" s="16" t="str">
        <f>IFERROR(__xludf.DUMMYFUNCTION("""COMPUTED_VALUE"""),"")</f>
        <v/>
      </c>
      <c r="M16207" s="16" t="str">
        <f>IFERROR(__xludf.DUMMYFUNCTION("""COMPUTED_VALUE"""),"")</f>
        <v/>
      </c>
      <c r="U16207" s="16" t="s">
        <v>87</v>
      </c>
      <c r="V16207" s="16" t="str">
        <f>IFERROR(__xludf.DUMMYFUNCTION("""COMPUTED_VALUE"""),"")</f>
        <v/>
      </c>
      <c r="W16207" s="16" t="str">
        <f>IFERROR(__xludf.DUMMYFUNCTION("""COMPUTED_VALUE"""),"")</f>
        <v/>
      </c>
      <c r="X16207" s="16" t="str">
        <f>IFERROR(__xludf.DUMMYFUNCTION("""COMPUTED_VALUE"""),"")</f>
        <v/>
      </c>
      <c r="AC16207" s="16" t="str">
        <f>IFERROR(__xludf.DUMMYFUNCTION("""COMPUTED_VALUE"""),"")</f>
        <v/>
      </c>
    </row>
    <row r="16208">
      <c r="A16208" s="16" t="s">
        <v>87</v>
      </c>
      <c r="E16208" s="16" t="str">
        <f>IFERROR(__xludf.DUMMYFUNCTION("""COMPUTED_VALUE"""),"")</f>
        <v/>
      </c>
      <c r="G16208" s="18"/>
      <c r="H16208" s="16" t="s">
        <v>87</v>
      </c>
      <c r="I16208" s="16" t="s">
        <v>87</v>
      </c>
      <c r="J16208" s="19"/>
      <c r="L16208" s="16" t="str">
        <f>IFERROR(__xludf.DUMMYFUNCTION("""COMPUTED_VALUE"""),"")</f>
        <v/>
      </c>
      <c r="M16208" s="16" t="str">
        <f>IFERROR(__xludf.DUMMYFUNCTION("""COMPUTED_VALUE"""),"")</f>
        <v/>
      </c>
      <c r="U16208" s="16" t="s">
        <v>87</v>
      </c>
      <c r="V16208" s="16" t="str">
        <f>IFERROR(__xludf.DUMMYFUNCTION("""COMPUTED_VALUE"""),"")</f>
        <v/>
      </c>
      <c r="W16208" s="16" t="str">
        <f>IFERROR(__xludf.DUMMYFUNCTION("""COMPUTED_VALUE"""),"")</f>
        <v/>
      </c>
      <c r="X16208" s="16" t="str">
        <f>IFERROR(__xludf.DUMMYFUNCTION("""COMPUTED_VALUE"""),"")</f>
        <v/>
      </c>
      <c r="AC16208" s="16" t="str">
        <f>IFERROR(__xludf.DUMMYFUNCTION("""COMPUTED_VALUE"""),"")</f>
        <v/>
      </c>
    </row>
    <row r="16209">
      <c r="A16209" s="16" t="s">
        <v>87</v>
      </c>
      <c r="E16209" s="16" t="str">
        <f>IFERROR(__xludf.DUMMYFUNCTION("""COMPUTED_VALUE"""),"")</f>
        <v/>
      </c>
      <c r="G16209" s="18"/>
      <c r="H16209" s="16" t="s">
        <v>87</v>
      </c>
      <c r="I16209" s="16" t="s">
        <v>87</v>
      </c>
      <c r="J16209" s="19"/>
      <c r="L16209" s="16" t="str">
        <f>IFERROR(__xludf.DUMMYFUNCTION("""COMPUTED_VALUE"""),"")</f>
        <v/>
      </c>
      <c r="M16209" s="16" t="str">
        <f>IFERROR(__xludf.DUMMYFUNCTION("""COMPUTED_VALUE"""),"")</f>
        <v/>
      </c>
      <c r="U16209" s="16" t="s">
        <v>87</v>
      </c>
      <c r="V16209" s="16" t="str">
        <f>IFERROR(__xludf.DUMMYFUNCTION("""COMPUTED_VALUE"""),"")</f>
        <v/>
      </c>
      <c r="W16209" s="16" t="str">
        <f>IFERROR(__xludf.DUMMYFUNCTION("""COMPUTED_VALUE"""),"")</f>
        <v/>
      </c>
      <c r="X16209" s="16" t="str">
        <f>IFERROR(__xludf.DUMMYFUNCTION("""COMPUTED_VALUE"""),"")</f>
        <v/>
      </c>
      <c r="AC16209" s="16" t="str">
        <f>IFERROR(__xludf.DUMMYFUNCTION("""COMPUTED_VALUE"""),"")</f>
        <v/>
      </c>
    </row>
    <row r="16210">
      <c r="A16210" s="16" t="s">
        <v>87</v>
      </c>
      <c r="E16210" s="16" t="str">
        <f>IFERROR(__xludf.DUMMYFUNCTION("""COMPUTED_VALUE"""),"")</f>
        <v/>
      </c>
      <c r="G16210" s="18"/>
      <c r="H16210" s="16" t="s">
        <v>87</v>
      </c>
      <c r="I16210" s="16" t="s">
        <v>87</v>
      </c>
      <c r="J16210" s="19"/>
      <c r="L16210" s="16" t="str">
        <f>IFERROR(__xludf.DUMMYFUNCTION("""COMPUTED_VALUE"""),"")</f>
        <v/>
      </c>
      <c r="M16210" s="16" t="str">
        <f>IFERROR(__xludf.DUMMYFUNCTION("""COMPUTED_VALUE"""),"")</f>
        <v/>
      </c>
      <c r="U16210" s="16" t="s">
        <v>87</v>
      </c>
      <c r="V16210" s="16" t="str">
        <f>IFERROR(__xludf.DUMMYFUNCTION("""COMPUTED_VALUE"""),"")</f>
        <v/>
      </c>
      <c r="W16210" s="16" t="str">
        <f>IFERROR(__xludf.DUMMYFUNCTION("""COMPUTED_VALUE"""),"")</f>
        <v/>
      </c>
      <c r="X16210" s="16" t="str">
        <f>IFERROR(__xludf.DUMMYFUNCTION("""COMPUTED_VALUE"""),"")</f>
        <v/>
      </c>
      <c r="AC16210" s="16" t="str">
        <f>IFERROR(__xludf.DUMMYFUNCTION("""COMPUTED_VALUE"""),"")</f>
        <v/>
      </c>
    </row>
    <row r="16211">
      <c r="A16211" s="16" t="s">
        <v>87</v>
      </c>
      <c r="E16211" s="16" t="str">
        <f>IFERROR(__xludf.DUMMYFUNCTION("""COMPUTED_VALUE"""),"")</f>
        <v/>
      </c>
      <c r="G16211" s="18"/>
      <c r="H16211" s="16" t="s">
        <v>87</v>
      </c>
      <c r="I16211" s="16" t="s">
        <v>87</v>
      </c>
      <c r="J16211" s="19"/>
      <c r="L16211" s="16" t="str">
        <f>IFERROR(__xludf.DUMMYFUNCTION("""COMPUTED_VALUE"""),"")</f>
        <v/>
      </c>
      <c r="M16211" s="16" t="str">
        <f>IFERROR(__xludf.DUMMYFUNCTION("""COMPUTED_VALUE"""),"")</f>
        <v/>
      </c>
      <c r="U16211" s="16" t="s">
        <v>87</v>
      </c>
      <c r="V16211" s="16" t="str">
        <f>IFERROR(__xludf.DUMMYFUNCTION("""COMPUTED_VALUE"""),"")</f>
        <v/>
      </c>
      <c r="W16211" s="16" t="str">
        <f>IFERROR(__xludf.DUMMYFUNCTION("""COMPUTED_VALUE"""),"")</f>
        <v/>
      </c>
      <c r="X16211" s="16" t="str">
        <f>IFERROR(__xludf.DUMMYFUNCTION("""COMPUTED_VALUE"""),"")</f>
        <v/>
      </c>
      <c r="AC16211" s="16" t="str">
        <f>IFERROR(__xludf.DUMMYFUNCTION("""COMPUTED_VALUE"""),"")</f>
        <v/>
      </c>
    </row>
    <row r="16212">
      <c r="A16212" s="16" t="s">
        <v>87</v>
      </c>
      <c r="E16212" s="16" t="str">
        <f>IFERROR(__xludf.DUMMYFUNCTION("""COMPUTED_VALUE"""),"")</f>
        <v/>
      </c>
      <c r="G16212" s="18"/>
      <c r="H16212" s="16" t="s">
        <v>87</v>
      </c>
      <c r="I16212" s="16" t="s">
        <v>87</v>
      </c>
      <c r="J16212" s="19"/>
      <c r="L16212" s="16" t="str">
        <f>IFERROR(__xludf.DUMMYFUNCTION("""COMPUTED_VALUE"""),"")</f>
        <v/>
      </c>
      <c r="M16212" s="16" t="str">
        <f>IFERROR(__xludf.DUMMYFUNCTION("""COMPUTED_VALUE"""),"")</f>
        <v/>
      </c>
      <c r="U16212" s="16" t="s">
        <v>87</v>
      </c>
      <c r="V16212" s="16" t="str">
        <f>IFERROR(__xludf.DUMMYFUNCTION("""COMPUTED_VALUE"""),"")</f>
        <v/>
      </c>
      <c r="W16212" s="16" t="str">
        <f>IFERROR(__xludf.DUMMYFUNCTION("""COMPUTED_VALUE"""),"")</f>
        <v/>
      </c>
      <c r="X16212" s="16" t="str">
        <f>IFERROR(__xludf.DUMMYFUNCTION("""COMPUTED_VALUE"""),"")</f>
        <v/>
      </c>
      <c r="AC16212" s="16" t="str">
        <f>IFERROR(__xludf.DUMMYFUNCTION("""COMPUTED_VALUE"""),"")</f>
        <v/>
      </c>
    </row>
    <row r="16213">
      <c r="A16213" s="16" t="s">
        <v>87</v>
      </c>
      <c r="E16213" s="16" t="str">
        <f>IFERROR(__xludf.DUMMYFUNCTION("""COMPUTED_VALUE"""),"")</f>
        <v/>
      </c>
      <c r="G16213" s="18"/>
      <c r="H16213" s="16" t="s">
        <v>87</v>
      </c>
      <c r="I16213" s="16" t="s">
        <v>87</v>
      </c>
      <c r="J16213" s="19"/>
      <c r="L16213" s="16" t="str">
        <f>IFERROR(__xludf.DUMMYFUNCTION("""COMPUTED_VALUE"""),"")</f>
        <v/>
      </c>
      <c r="M16213" s="16" t="str">
        <f>IFERROR(__xludf.DUMMYFUNCTION("""COMPUTED_VALUE"""),"")</f>
        <v/>
      </c>
      <c r="U16213" s="16" t="s">
        <v>87</v>
      </c>
      <c r="V16213" s="16" t="str">
        <f>IFERROR(__xludf.DUMMYFUNCTION("""COMPUTED_VALUE"""),"")</f>
        <v/>
      </c>
      <c r="W16213" s="16" t="str">
        <f>IFERROR(__xludf.DUMMYFUNCTION("""COMPUTED_VALUE"""),"")</f>
        <v/>
      </c>
      <c r="X16213" s="16" t="str">
        <f>IFERROR(__xludf.DUMMYFUNCTION("""COMPUTED_VALUE"""),"")</f>
        <v/>
      </c>
      <c r="AC16213" s="16" t="str">
        <f>IFERROR(__xludf.DUMMYFUNCTION("""COMPUTED_VALUE"""),"")</f>
        <v/>
      </c>
    </row>
    <row r="16214">
      <c r="A16214" s="16" t="s">
        <v>87</v>
      </c>
      <c r="E16214" s="16" t="str">
        <f>IFERROR(__xludf.DUMMYFUNCTION("""COMPUTED_VALUE"""),"")</f>
        <v/>
      </c>
      <c r="G16214" s="18"/>
      <c r="H16214" s="16" t="s">
        <v>87</v>
      </c>
      <c r="I16214" s="16" t="s">
        <v>87</v>
      </c>
      <c r="J16214" s="19"/>
      <c r="L16214" s="16" t="str">
        <f>IFERROR(__xludf.DUMMYFUNCTION("""COMPUTED_VALUE"""),"")</f>
        <v/>
      </c>
      <c r="M16214" s="16" t="str">
        <f>IFERROR(__xludf.DUMMYFUNCTION("""COMPUTED_VALUE"""),"")</f>
        <v/>
      </c>
      <c r="U16214" s="16" t="s">
        <v>87</v>
      </c>
      <c r="V16214" s="16" t="str">
        <f>IFERROR(__xludf.DUMMYFUNCTION("""COMPUTED_VALUE"""),"")</f>
        <v/>
      </c>
      <c r="W16214" s="16" t="str">
        <f>IFERROR(__xludf.DUMMYFUNCTION("""COMPUTED_VALUE"""),"")</f>
        <v/>
      </c>
      <c r="X16214" s="16" t="str">
        <f>IFERROR(__xludf.DUMMYFUNCTION("""COMPUTED_VALUE"""),"")</f>
        <v/>
      </c>
      <c r="AC16214" s="16" t="str">
        <f>IFERROR(__xludf.DUMMYFUNCTION("""COMPUTED_VALUE"""),"")</f>
        <v/>
      </c>
    </row>
    <row r="16215">
      <c r="A16215" s="16" t="s">
        <v>87</v>
      </c>
      <c r="E16215" s="16" t="str">
        <f>IFERROR(__xludf.DUMMYFUNCTION("""COMPUTED_VALUE"""),"")</f>
        <v/>
      </c>
      <c r="G16215" s="18"/>
      <c r="H16215" s="16" t="s">
        <v>87</v>
      </c>
      <c r="I16215" s="16" t="s">
        <v>87</v>
      </c>
      <c r="J16215" s="19"/>
      <c r="L16215" s="16" t="str">
        <f>IFERROR(__xludf.DUMMYFUNCTION("""COMPUTED_VALUE"""),"")</f>
        <v/>
      </c>
      <c r="M16215" s="16" t="str">
        <f>IFERROR(__xludf.DUMMYFUNCTION("""COMPUTED_VALUE"""),"")</f>
        <v/>
      </c>
      <c r="U16215" s="16" t="s">
        <v>87</v>
      </c>
      <c r="V16215" s="16" t="str">
        <f>IFERROR(__xludf.DUMMYFUNCTION("""COMPUTED_VALUE"""),"")</f>
        <v/>
      </c>
      <c r="W16215" s="16" t="str">
        <f>IFERROR(__xludf.DUMMYFUNCTION("""COMPUTED_VALUE"""),"")</f>
        <v/>
      </c>
      <c r="X16215" s="16" t="str">
        <f>IFERROR(__xludf.DUMMYFUNCTION("""COMPUTED_VALUE"""),"")</f>
        <v/>
      </c>
      <c r="AC16215" s="16" t="str">
        <f>IFERROR(__xludf.DUMMYFUNCTION("""COMPUTED_VALUE"""),"")</f>
        <v/>
      </c>
    </row>
    <row r="16216">
      <c r="A16216" s="16" t="s">
        <v>87</v>
      </c>
      <c r="E16216" s="16" t="str">
        <f>IFERROR(__xludf.DUMMYFUNCTION("""COMPUTED_VALUE"""),"")</f>
        <v/>
      </c>
      <c r="G16216" s="18"/>
      <c r="H16216" s="16" t="s">
        <v>87</v>
      </c>
      <c r="I16216" s="16" t="s">
        <v>87</v>
      </c>
      <c r="J16216" s="19"/>
      <c r="L16216" s="16" t="str">
        <f>IFERROR(__xludf.DUMMYFUNCTION("""COMPUTED_VALUE"""),"")</f>
        <v/>
      </c>
      <c r="M16216" s="16" t="str">
        <f>IFERROR(__xludf.DUMMYFUNCTION("""COMPUTED_VALUE"""),"")</f>
        <v/>
      </c>
      <c r="U16216" s="16" t="s">
        <v>87</v>
      </c>
      <c r="V16216" s="16" t="str">
        <f>IFERROR(__xludf.DUMMYFUNCTION("""COMPUTED_VALUE"""),"")</f>
        <v/>
      </c>
      <c r="W16216" s="16" t="str">
        <f>IFERROR(__xludf.DUMMYFUNCTION("""COMPUTED_VALUE"""),"")</f>
        <v/>
      </c>
      <c r="X16216" s="16" t="str">
        <f>IFERROR(__xludf.DUMMYFUNCTION("""COMPUTED_VALUE"""),"")</f>
        <v/>
      </c>
      <c r="AC16216" s="16" t="str">
        <f>IFERROR(__xludf.DUMMYFUNCTION("""COMPUTED_VALUE"""),"")</f>
        <v/>
      </c>
    </row>
    <row r="16217">
      <c r="A16217" s="16" t="s">
        <v>87</v>
      </c>
      <c r="E16217" s="16" t="str">
        <f>IFERROR(__xludf.DUMMYFUNCTION("""COMPUTED_VALUE"""),"")</f>
        <v/>
      </c>
      <c r="G16217" s="18"/>
      <c r="H16217" s="16" t="s">
        <v>87</v>
      </c>
      <c r="I16217" s="16" t="s">
        <v>87</v>
      </c>
      <c r="J16217" s="19"/>
      <c r="L16217" s="16" t="str">
        <f>IFERROR(__xludf.DUMMYFUNCTION("""COMPUTED_VALUE"""),"")</f>
        <v/>
      </c>
      <c r="M16217" s="16" t="str">
        <f>IFERROR(__xludf.DUMMYFUNCTION("""COMPUTED_VALUE"""),"")</f>
        <v/>
      </c>
      <c r="U16217" s="16" t="s">
        <v>87</v>
      </c>
      <c r="V16217" s="16" t="str">
        <f>IFERROR(__xludf.DUMMYFUNCTION("""COMPUTED_VALUE"""),"")</f>
        <v/>
      </c>
      <c r="W16217" s="16" t="str">
        <f>IFERROR(__xludf.DUMMYFUNCTION("""COMPUTED_VALUE"""),"")</f>
        <v/>
      </c>
      <c r="X16217" s="16" t="str">
        <f>IFERROR(__xludf.DUMMYFUNCTION("""COMPUTED_VALUE"""),"")</f>
        <v/>
      </c>
      <c r="AC16217" s="16" t="str">
        <f>IFERROR(__xludf.DUMMYFUNCTION("""COMPUTED_VALUE"""),"")</f>
        <v/>
      </c>
    </row>
    <row r="16218">
      <c r="A16218" s="16" t="s">
        <v>87</v>
      </c>
      <c r="E16218" s="16" t="str">
        <f>IFERROR(__xludf.DUMMYFUNCTION("""COMPUTED_VALUE"""),"")</f>
        <v/>
      </c>
      <c r="G16218" s="18"/>
      <c r="H16218" s="16" t="s">
        <v>87</v>
      </c>
      <c r="I16218" s="16" t="s">
        <v>87</v>
      </c>
      <c r="J16218" s="19"/>
      <c r="L16218" s="16" t="str">
        <f>IFERROR(__xludf.DUMMYFUNCTION("""COMPUTED_VALUE"""),"")</f>
        <v/>
      </c>
      <c r="M16218" s="16" t="str">
        <f>IFERROR(__xludf.DUMMYFUNCTION("""COMPUTED_VALUE"""),"")</f>
        <v/>
      </c>
      <c r="U16218" s="16" t="s">
        <v>87</v>
      </c>
      <c r="V16218" s="16" t="str">
        <f>IFERROR(__xludf.DUMMYFUNCTION("""COMPUTED_VALUE"""),"")</f>
        <v/>
      </c>
      <c r="W16218" s="16" t="str">
        <f>IFERROR(__xludf.DUMMYFUNCTION("""COMPUTED_VALUE"""),"")</f>
        <v/>
      </c>
      <c r="X16218" s="16" t="str">
        <f>IFERROR(__xludf.DUMMYFUNCTION("""COMPUTED_VALUE"""),"")</f>
        <v/>
      </c>
      <c r="AC16218" s="16" t="str">
        <f>IFERROR(__xludf.DUMMYFUNCTION("""COMPUTED_VALUE"""),"")</f>
        <v/>
      </c>
    </row>
    <row r="16219">
      <c r="A16219" s="16" t="s">
        <v>87</v>
      </c>
      <c r="E16219" s="16" t="str">
        <f>IFERROR(__xludf.DUMMYFUNCTION("""COMPUTED_VALUE"""),"")</f>
        <v/>
      </c>
      <c r="G16219" s="18"/>
      <c r="H16219" s="16" t="s">
        <v>87</v>
      </c>
      <c r="I16219" s="16" t="s">
        <v>87</v>
      </c>
      <c r="J16219" s="19"/>
      <c r="L16219" s="16" t="str">
        <f>IFERROR(__xludf.DUMMYFUNCTION("""COMPUTED_VALUE"""),"")</f>
        <v/>
      </c>
      <c r="M16219" s="16" t="str">
        <f>IFERROR(__xludf.DUMMYFUNCTION("""COMPUTED_VALUE"""),"")</f>
        <v/>
      </c>
      <c r="U16219" s="16" t="s">
        <v>87</v>
      </c>
      <c r="V16219" s="16" t="str">
        <f>IFERROR(__xludf.DUMMYFUNCTION("""COMPUTED_VALUE"""),"")</f>
        <v/>
      </c>
      <c r="W16219" s="16" t="str">
        <f>IFERROR(__xludf.DUMMYFUNCTION("""COMPUTED_VALUE"""),"")</f>
        <v/>
      </c>
      <c r="X16219" s="16" t="str">
        <f>IFERROR(__xludf.DUMMYFUNCTION("""COMPUTED_VALUE"""),"")</f>
        <v/>
      </c>
      <c r="AC16219" s="16" t="str">
        <f>IFERROR(__xludf.DUMMYFUNCTION("""COMPUTED_VALUE"""),"")</f>
        <v/>
      </c>
    </row>
    <row r="16220">
      <c r="A16220" s="16" t="s">
        <v>87</v>
      </c>
      <c r="E16220" s="16" t="str">
        <f>IFERROR(__xludf.DUMMYFUNCTION("""COMPUTED_VALUE"""),"")</f>
        <v/>
      </c>
      <c r="G16220" s="18"/>
      <c r="H16220" s="16" t="s">
        <v>87</v>
      </c>
      <c r="I16220" s="16" t="s">
        <v>87</v>
      </c>
      <c r="J16220" s="19"/>
      <c r="L16220" s="16" t="str">
        <f>IFERROR(__xludf.DUMMYFUNCTION("""COMPUTED_VALUE"""),"")</f>
        <v/>
      </c>
      <c r="M16220" s="16" t="str">
        <f>IFERROR(__xludf.DUMMYFUNCTION("""COMPUTED_VALUE"""),"")</f>
        <v/>
      </c>
      <c r="U16220" s="16" t="s">
        <v>87</v>
      </c>
      <c r="V16220" s="16" t="str">
        <f>IFERROR(__xludf.DUMMYFUNCTION("""COMPUTED_VALUE"""),"")</f>
        <v/>
      </c>
      <c r="W16220" s="16" t="str">
        <f>IFERROR(__xludf.DUMMYFUNCTION("""COMPUTED_VALUE"""),"")</f>
        <v/>
      </c>
      <c r="X16220" s="16" t="str">
        <f>IFERROR(__xludf.DUMMYFUNCTION("""COMPUTED_VALUE"""),"")</f>
        <v/>
      </c>
      <c r="AC16220" s="16" t="str">
        <f>IFERROR(__xludf.DUMMYFUNCTION("""COMPUTED_VALUE"""),"")</f>
        <v/>
      </c>
    </row>
    <row r="16221">
      <c r="A16221" s="16" t="s">
        <v>87</v>
      </c>
      <c r="E16221" s="16" t="str">
        <f>IFERROR(__xludf.DUMMYFUNCTION("""COMPUTED_VALUE"""),"")</f>
        <v/>
      </c>
      <c r="G16221" s="18"/>
      <c r="H16221" s="16" t="s">
        <v>87</v>
      </c>
      <c r="I16221" s="16" t="s">
        <v>87</v>
      </c>
      <c r="J16221" s="19"/>
      <c r="L16221" s="16" t="str">
        <f>IFERROR(__xludf.DUMMYFUNCTION("""COMPUTED_VALUE"""),"")</f>
        <v/>
      </c>
      <c r="M16221" s="16" t="str">
        <f>IFERROR(__xludf.DUMMYFUNCTION("""COMPUTED_VALUE"""),"")</f>
        <v/>
      </c>
      <c r="U16221" s="16" t="s">
        <v>87</v>
      </c>
      <c r="V16221" s="16" t="str">
        <f>IFERROR(__xludf.DUMMYFUNCTION("""COMPUTED_VALUE"""),"")</f>
        <v/>
      </c>
      <c r="W16221" s="16" t="str">
        <f>IFERROR(__xludf.DUMMYFUNCTION("""COMPUTED_VALUE"""),"")</f>
        <v/>
      </c>
      <c r="X16221" s="16" t="str">
        <f>IFERROR(__xludf.DUMMYFUNCTION("""COMPUTED_VALUE"""),"")</f>
        <v/>
      </c>
      <c r="AC16221" s="16" t="str">
        <f>IFERROR(__xludf.DUMMYFUNCTION("""COMPUTED_VALUE"""),"")</f>
        <v/>
      </c>
    </row>
    <row r="16222">
      <c r="A16222" s="16" t="s">
        <v>87</v>
      </c>
      <c r="E16222" s="16" t="str">
        <f>IFERROR(__xludf.DUMMYFUNCTION("""COMPUTED_VALUE"""),"")</f>
        <v/>
      </c>
      <c r="G16222" s="18"/>
      <c r="H16222" s="16" t="s">
        <v>87</v>
      </c>
      <c r="I16222" s="16" t="s">
        <v>87</v>
      </c>
      <c r="J16222" s="19"/>
      <c r="L16222" s="16" t="str">
        <f>IFERROR(__xludf.DUMMYFUNCTION("""COMPUTED_VALUE"""),"")</f>
        <v/>
      </c>
      <c r="M16222" s="16" t="str">
        <f>IFERROR(__xludf.DUMMYFUNCTION("""COMPUTED_VALUE"""),"")</f>
        <v/>
      </c>
      <c r="U16222" s="16" t="s">
        <v>87</v>
      </c>
      <c r="V16222" s="16" t="str">
        <f>IFERROR(__xludf.DUMMYFUNCTION("""COMPUTED_VALUE"""),"")</f>
        <v/>
      </c>
      <c r="W16222" s="16" t="str">
        <f>IFERROR(__xludf.DUMMYFUNCTION("""COMPUTED_VALUE"""),"")</f>
        <v/>
      </c>
      <c r="X16222" s="16" t="str">
        <f>IFERROR(__xludf.DUMMYFUNCTION("""COMPUTED_VALUE"""),"")</f>
        <v/>
      </c>
      <c r="AC16222" s="16" t="str">
        <f>IFERROR(__xludf.DUMMYFUNCTION("""COMPUTED_VALUE"""),"")</f>
        <v/>
      </c>
    </row>
    <row r="16223">
      <c r="A16223" s="16" t="s">
        <v>87</v>
      </c>
      <c r="E16223" s="16" t="str">
        <f>IFERROR(__xludf.DUMMYFUNCTION("""COMPUTED_VALUE"""),"")</f>
        <v/>
      </c>
      <c r="G16223" s="18"/>
      <c r="H16223" s="16" t="s">
        <v>87</v>
      </c>
      <c r="I16223" s="16" t="s">
        <v>87</v>
      </c>
      <c r="J16223" s="19"/>
      <c r="L16223" s="16" t="str">
        <f>IFERROR(__xludf.DUMMYFUNCTION("""COMPUTED_VALUE"""),"")</f>
        <v/>
      </c>
      <c r="M16223" s="16" t="str">
        <f>IFERROR(__xludf.DUMMYFUNCTION("""COMPUTED_VALUE"""),"")</f>
        <v/>
      </c>
      <c r="U16223" s="16" t="s">
        <v>87</v>
      </c>
      <c r="V16223" s="16" t="str">
        <f>IFERROR(__xludf.DUMMYFUNCTION("""COMPUTED_VALUE"""),"")</f>
        <v/>
      </c>
      <c r="W16223" s="16" t="str">
        <f>IFERROR(__xludf.DUMMYFUNCTION("""COMPUTED_VALUE"""),"")</f>
        <v/>
      </c>
      <c r="X16223" s="16" t="str">
        <f>IFERROR(__xludf.DUMMYFUNCTION("""COMPUTED_VALUE"""),"")</f>
        <v/>
      </c>
      <c r="AC16223" s="16" t="str">
        <f>IFERROR(__xludf.DUMMYFUNCTION("""COMPUTED_VALUE"""),"")</f>
        <v/>
      </c>
    </row>
    <row r="16224">
      <c r="A16224" s="16" t="s">
        <v>87</v>
      </c>
      <c r="E16224" s="16" t="str">
        <f>IFERROR(__xludf.DUMMYFUNCTION("""COMPUTED_VALUE"""),"")</f>
        <v/>
      </c>
      <c r="G16224" s="18"/>
      <c r="H16224" s="16" t="s">
        <v>87</v>
      </c>
      <c r="I16224" s="16" t="s">
        <v>87</v>
      </c>
      <c r="J16224" s="19"/>
      <c r="L16224" s="16" t="str">
        <f>IFERROR(__xludf.DUMMYFUNCTION("""COMPUTED_VALUE"""),"")</f>
        <v/>
      </c>
      <c r="M16224" s="16" t="str">
        <f>IFERROR(__xludf.DUMMYFUNCTION("""COMPUTED_VALUE"""),"")</f>
        <v/>
      </c>
      <c r="U16224" s="16" t="s">
        <v>87</v>
      </c>
      <c r="V16224" s="16" t="str">
        <f>IFERROR(__xludf.DUMMYFUNCTION("""COMPUTED_VALUE"""),"")</f>
        <v/>
      </c>
      <c r="W16224" s="16" t="str">
        <f>IFERROR(__xludf.DUMMYFUNCTION("""COMPUTED_VALUE"""),"")</f>
        <v/>
      </c>
      <c r="X16224" s="16" t="str">
        <f>IFERROR(__xludf.DUMMYFUNCTION("""COMPUTED_VALUE"""),"")</f>
        <v/>
      </c>
      <c r="AC16224" s="16" t="str">
        <f>IFERROR(__xludf.DUMMYFUNCTION("""COMPUTED_VALUE"""),"")</f>
        <v/>
      </c>
    </row>
    <row r="16225">
      <c r="A16225" s="16" t="s">
        <v>87</v>
      </c>
      <c r="E16225" s="16" t="str">
        <f>IFERROR(__xludf.DUMMYFUNCTION("""COMPUTED_VALUE"""),"")</f>
        <v/>
      </c>
      <c r="G16225" s="18"/>
      <c r="H16225" s="16" t="s">
        <v>87</v>
      </c>
      <c r="I16225" s="16" t="s">
        <v>87</v>
      </c>
      <c r="J16225" s="19"/>
      <c r="L16225" s="16" t="str">
        <f>IFERROR(__xludf.DUMMYFUNCTION("""COMPUTED_VALUE"""),"")</f>
        <v/>
      </c>
      <c r="M16225" s="16" t="str">
        <f>IFERROR(__xludf.DUMMYFUNCTION("""COMPUTED_VALUE"""),"")</f>
        <v/>
      </c>
      <c r="U16225" s="16" t="s">
        <v>87</v>
      </c>
      <c r="V16225" s="16" t="str">
        <f>IFERROR(__xludf.DUMMYFUNCTION("""COMPUTED_VALUE"""),"")</f>
        <v/>
      </c>
      <c r="W16225" s="16" t="str">
        <f>IFERROR(__xludf.DUMMYFUNCTION("""COMPUTED_VALUE"""),"")</f>
        <v/>
      </c>
      <c r="X16225" s="16" t="str">
        <f>IFERROR(__xludf.DUMMYFUNCTION("""COMPUTED_VALUE"""),"")</f>
        <v/>
      </c>
      <c r="AC16225" s="16" t="str">
        <f>IFERROR(__xludf.DUMMYFUNCTION("""COMPUTED_VALUE"""),"")</f>
        <v/>
      </c>
    </row>
    <row r="16226">
      <c r="A16226" s="16" t="s">
        <v>87</v>
      </c>
      <c r="E16226" s="16" t="str">
        <f>IFERROR(__xludf.DUMMYFUNCTION("""COMPUTED_VALUE"""),"")</f>
        <v/>
      </c>
      <c r="G16226" s="18"/>
      <c r="H16226" s="16" t="s">
        <v>87</v>
      </c>
      <c r="I16226" s="16" t="s">
        <v>87</v>
      </c>
      <c r="J16226" s="19"/>
      <c r="L16226" s="16" t="str">
        <f>IFERROR(__xludf.DUMMYFUNCTION("""COMPUTED_VALUE"""),"")</f>
        <v/>
      </c>
      <c r="M16226" s="16" t="str">
        <f>IFERROR(__xludf.DUMMYFUNCTION("""COMPUTED_VALUE"""),"")</f>
        <v/>
      </c>
      <c r="U16226" s="16" t="s">
        <v>87</v>
      </c>
      <c r="V16226" s="16" t="str">
        <f>IFERROR(__xludf.DUMMYFUNCTION("""COMPUTED_VALUE"""),"")</f>
        <v/>
      </c>
      <c r="W16226" s="16" t="str">
        <f>IFERROR(__xludf.DUMMYFUNCTION("""COMPUTED_VALUE"""),"")</f>
        <v/>
      </c>
      <c r="X16226" s="16" t="str">
        <f>IFERROR(__xludf.DUMMYFUNCTION("""COMPUTED_VALUE"""),"")</f>
        <v/>
      </c>
      <c r="AC16226" s="16" t="str">
        <f>IFERROR(__xludf.DUMMYFUNCTION("""COMPUTED_VALUE"""),"")</f>
        <v/>
      </c>
    </row>
    <row r="16227">
      <c r="A16227" s="16" t="s">
        <v>87</v>
      </c>
      <c r="E16227" s="16" t="str">
        <f>IFERROR(__xludf.DUMMYFUNCTION("""COMPUTED_VALUE"""),"")</f>
        <v/>
      </c>
      <c r="G16227" s="18"/>
      <c r="H16227" s="16" t="s">
        <v>87</v>
      </c>
      <c r="I16227" s="16" t="s">
        <v>87</v>
      </c>
      <c r="J16227" s="19"/>
      <c r="L16227" s="16" t="str">
        <f>IFERROR(__xludf.DUMMYFUNCTION("""COMPUTED_VALUE"""),"")</f>
        <v/>
      </c>
      <c r="M16227" s="16" t="str">
        <f>IFERROR(__xludf.DUMMYFUNCTION("""COMPUTED_VALUE"""),"")</f>
        <v/>
      </c>
      <c r="U16227" s="16" t="s">
        <v>87</v>
      </c>
      <c r="V16227" s="16" t="str">
        <f>IFERROR(__xludf.DUMMYFUNCTION("""COMPUTED_VALUE"""),"")</f>
        <v/>
      </c>
      <c r="W16227" s="16" t="str">
        <f>IFERROR(__xludf.DUMMYFUNCTION("""COMPUTED_VALUE"""),"")</f>
        <v/>
      </c>
      <c r="X16227" s="16" t="str">
        <f>IFERROR(__xludf.DUMMYFUNCTION("""COMPUTED_VALUE"""),"")</f>
        <v/>
      </c>
      <c r="AC16227" s="16" t="str">
        <f>IFERROR(__xludf.DUMMYFUNCTION("""COMPUTED_VALUE"""),"")</f>
        <v/>
      </c>
    </row>
    <row r="16228">
      <c r="A16228" s="16" t="s">
        <v>87</v>
      </c>
      <c r="E16228" s="16" t="str">
        <f>IFERROR(__xludf.DUMMYFUNCTION("""COMPUTED_VALUE"""),"")</f>
        <v/>
      </c>
      <c r="G16228" s="18"/>
      <c r="H16228" s="16" t="s">
        <v>87</v>
      </c>
      <c r="I16228" s="16" t="s">
        <v>87</v>
      </c>
      <c r="J16228" s="19"/>
      <c r="L16228" s="16" t="str">
        <f>IFERROR(__xludf.DUMMYFUNCTION("""COMPUTED_VALUE"""),"")</f>
        <v/>
      </c>
      <c r="M16228" s="16" t="str">
        <f>IFERROR(__xludf.DUMMYFUNCTION("""COMPUTED_VALUE"""),"")</f>
        <v/>
      </c>
      <c r="U16228" s="16" t="s">
        <v>87</v>
      </c>
      <c r="V16228" s="16" t="str">
        <f>IFERROR(__xludf.DUMMYFUNCTION("""COMPUTED_VALUE"""),"")</f>
        <v/>
      </c>
      <c r="W16228" s="16" t="str">
        <f>IFERROR(__xludf.DUMMYFUNCTION("""COMPUTED_VALUE"""),"")</f>
        <v/>
      </c>
      <c r="X16228" s="16" t="str">
        <f>IFERROR(__xludf.DUMMYFUNCTION("""COMPUTED_VALUE"""),"")</f>
        <v/>
      </c>
      <c r="AC16228" s="16" t="str">
        <f>IFERROR(__xludf.DUMMYFUNCTION("""COMPUTED_VALUE"""),"")</f>
        <v/>
      </c>
    </row>
    <row r="16229">
      <c r="A16229" s="16" t="s">
        <v>87</v>
      </c>
      <c r="E16229" s="16" t="str">
        <f>IFERROR(__xludf.DUMMYFUNCTION("""COMPUTED_VALUE"""),"")</f>
        <v/>
      </c>
      <c r="G16229" s="18"/>
      <c r="H16229" s="16" t="s">
        <v>87</v>
      </c>
      <c r="I16229" s="16" t="s">
        <v>87</v>
      </c>
      <c r="J16229" s="19"/>
      <c r="L16229" s="16" t="str">
        <f>IFERROR(__xludf.DUMMYFUNCTION("""COMPUTED_VALUE"""),"")</f>
        <v/>
      </c>
      <c r="M16229" s="16" t="str">
        <f>IFERROR(__xludf.DUMMYFUNCTION("""COMPUTED_VALUE"""),"")</f>
        <v/>
      </c>
      <c r="U16229" s="16" t="s">
        <v>87</v>
      </c>
      <c r="V16229" s="16" t="str">
        <f>IFERROR(__xludf.DUMMYFUNCTION("""COMPUTED_VALUE"""),"")</f>
        <v/>
      </c>
      <c r="W16229" s="16" t="str">
        <f>IFERROR(__xludf.DUMMYFUNCTION("""COMPUTED_VALUE"""),"")</f>
        <v/>
      </c>
      <c r="X16229" s="16" t="str">
        <f>IFERROR(__xludf.DUMMYFUNCTION("""COMPUTED_VALUE"""),"")</f>
        <v/>
      </c>
      <c r="AC16229" s="16" t="str">
        <f>IFERROR(__xludf.DUMMYFUNCTION("""COMPUTED_VALUE"""),"")</f>
        <v/>
      </c>
    </row>
    <row r="16230">
      <c r="A16230" s="16" t="s">
        <v>87</v>
      </c>
      <c r="E16230" s="16" t="str">
        <f>IFERROR(__xludf.DUMMYFUNCTION("""COMPUTED_VALUE"""),"")</f>
        <v/>
      </c>
      <c r="G16230" s="18"/>
      <c r="H16230" s="16" t="s">
        <v>87</v>
      </c>
      <c r="I16230" s="16" t="s">
        <v>87</v>
      </c>
      <c r="J16230" s="19"/>
      <c r="L16230" s="16" t="str">
        <f>IFERROR(__xludf.DUMMYFUNCTION("""COMPUTED_VALUE"""),"")</f>
        <v/>
      </c>
      <c r="M16230" s="16" t="str">
        <f>IFERROR(__xludf.DUMMYFUNCTION("""COMPUTED_VALUE"""),"")</f>
        <v/>
      </c>
      <c r="U16230" s="16" t="s">
        <v>87</v>
      </c>
      <c r="V16230" s="16" t="str">
        <f>IFERROR(__xludf.DUMMYFUNCTION("""COMPUTED_VALUE"""),"")</f>
        <v/>
      </c>
      <c r="W16230" s="16" t="str">
        <f>IFERROR(__xludf.DUMMYFUNCTION("""COMPUTED_VALUE"""),"")</f>
        <v/>
      </c>
      <c r="X16230" s="16" t="str">
        <f>IFERROR(__xludf.DUMMYFUNCTION("""COMPUTED_VALUE"""),"")</f>
        <v/>
      </c>
      <c r="AC16230" s="16" t="str">
        <f>IFERROR(__xludf.DUMMYFUNCTION("""COMPUTED_VALUE"""),"")</f>
        <v/>
      </c>
    </row>
    <row r="16231">
      <c r="A16231" s="16" t="s">
        <v>87</v>
      </c>
      <c r="E16231" s="16" t="str">
        <f>IFERROR(__xludf.DUMMYFUNCTION("""COMPUTED_VALUE"""),"")</f>
        <v/>
      </c>
      <c r="G16231" s="18"/>
      <c r="H16231" s="16" t="s">
        <v>87</v>
      </c>
      <c r="I16231" s="16" t="s">
        <v>87</v>
      </c>
      <c r="J16231" s="19"/>
      <c r="L16231" s="16" t="str">
        <f>IFERROR(__xludf.DUMMYFUNCTION("""COMPUTED_VALUE"""),"")</f>
        <v/>
      </c>
      <c r="M16231" s="16" t="str">
        <f>IFERROR(__xludf.DUMMYFUNCTION("""COMPUTED_VALUE"""),"")</f>
        <v/>
      </c>
      <c r="U16231" s="16" t="s">
        <v>87</v>
      </c>
      <c r="V16231" s="16" t="str">
        <f>IFERROR(__xludf.DUMMYFUNCTION("""COMPUTED_VALUE"""),"")</f>
        <v/>
      </c>
      <c r="W16231" s="16" t="str">
        <f>IFERROR(__xludf.DUMMYFUNCTION("""COMPUTED_VALUE"""),"")</f>
        <v/>
      </c>
      <c r="X16231" s="16" t="str">
        <f>IFERROR(__xludf.DUMMYFUNCTION("""COMPUTED_VALUE"""),"")</f>
        <v/>
      </c>
      <c r="AC16231" s="16" t="str">
        <f>IFERROR(__xludf.DUMMYFUNCTION("""COMPUTED_VALUE"""),"")</f>
        <v/>
      </c>
    </row>
    <row r="16232">
      <c r="A16232" s="16" t="s">
        <v>87</v>
      </c>
      <c r="E16232" s="16" t="str">
        <f>IFERROR(__xludf.DUMMYFUNCTION("""COMPUTED_VALUE"""),"")</f>
        <v/>
      </c>
      <c r="G16232" s="18"/>
      <c r="H16232" s="16" t="s">
        <v>87</v>
      </c>
      <c r="I16232" s="16" t="s">
        <v>87</v>
      </c>
      <c r="J16232" s="19"/>
      <c r="L16232" s="16" t="str">
        <f>IFERROR(__xludf.DUMMYFUNCTION("""COMPUTED_VALUE"""),"")</f>
        <v/>
      </c>
      <c r="M16232" s="16" t="str">
        <f>IFERROR(__xludf.DUMMYFUNCTION("""COMPUTED_VALUE"""),"")</f>
        <v/>
      </c>
      <c r="U16232" s="16" t="s">
        <v>87</v>
      </c>
      <c r="V16232" s="16" t="str">
        <f>IFERROR(__xludf.DUMMYFUNCTION("""COMPUTED_VALUE"""),"")</f>
        <v/>
      </c>
      <c r="W16232" s="16" t="str">
        <f>IFERROR(__xludf.DUMMYFUNCTION("""COMPUTED_VALUE"""),"")</f>
        <v/>
      </c>
      <c r="X16232" s="16" t="str">
        <f>IFERROR(__xludf.DUMMYFUNCTION("""COMPUTED_VALUE"""),"")</f>
        <v/>
      </c>
      <c r="AC16232" s="16" t="str">
        <f>IFERROR(__xludf.DUMMYFUNCTION("""COMPUTED_VALUE"""),"")</f>
        <v/>
      </c>
    </row>
    <row r="16233">
      <c r="A16233" s="16" t="s">
        <v>87</v>
      </c>
      <c r="E16233" s="16" t="str">
        <f>IFERROR(__xludf.DUMMYFUNCTION("""COMPUTED_VALUE"""),"")</f>
        <v/>
      </c>
      <c r="G16233" s="18"/>
      <c r="H16233" s="16" t="s">
        <v>87</v>
      </c>
      <c r="I16233" s="16" t="s">
        <v>87</v>
      </c>
      <c r="J16233" s="19"/>
      <c r="L16233" s="16" t="str">
        <f>IFERROR(__xludf.DUMMYFUNCTION("""COMPUTED_VALUE"""),"")</f>
        <v/>
      </c>
      <c r="M16233" s="16" t="str">
        <f>IFERROR(__xludf.DUMMYFUNCTION("""COMPUTED_VALUE"""),"")</f>
        <v/>
      </c>
      <c r="U16233" s="16" t="s">
        <v>87</v>
      </c>
      <c r="V16233" s="16" t="str">
        <f>IFERROR(__xludf.DUMMYFUNCTION("""COMPUTED_VALUE"""),"")</f>
        <v/>
      </c>
      <c r="W16233" s="16" t="str">
        <f>IFERROR(__xludf.DUMMYFUNCTION("""COMPUTED_VALUE"""),"")</f>
        <v/>
      </c>
      <c r="X16233" s="16" t="str">
        <f>IFERROR(__xludf.DUMMYFUNCTION("""COMPUTED_VALUE"""),"")</f>
        <v/>
      </c>
      <c r="AC16233" s="16" t="str">
        <f>IFERROR(__xludf.DUMMYFUNCTION("""COMPUTED_VALUE"""),"")</f>
        <v/>
      </c>
    </row>
    <row r="16234">
      <c r="A16234" s="16" t="s">
        <v>87</v>
      </c>
      <c r="E16234" s="16" t="str">
        <f>IFERROR(__xludf.DUMMYFUNCTION("""COMPUTED_VALUE"""),"")</f>
        <v/>
      </c>
      <c r="G16234" s="18"/>
      <c r="H16234" s="16" t="s">
        <v>87</v>
      </c>
      <c r="I16234" s="16" t="s">
        <v>87</v>
      </c>
      <c r="J16234" s="19"/>
      <c r="L16234" s="16" t="str">
        <f>IFERROR(__xludf.DUMMYFUNCTION("""COMPUTED_VALUE"""),"")</f>
        <v/>
      </c>
      <c r="M16234" s="16" t="str">
        <f>IFERROR(__xludf.DUMMYFUNCTION("""COMPUTED_VALUE"""),"")</f>
        <v/>
      </c>
      <c r="U16234" s="16" t="s">
        <v>87</v>
      </c>
      <c r="V16234" s="16" t="str">
        <f>IFERROR(__xludf.DUMMYFUNCTION("""COMPUTED_VALUE"""),"")</f>
        <v/>
      </c>
      <c r="W16234" s="16" t="str">
        <f>IFERROR(__xludf.DUMMYFUNCTION("""COMPUTED_VALUE"""),"")</f>
        <v/>
      </c>
      <c r="X16234" s="16" t="str">
        <f>IFERROR(__xludf.DUMMYFUNCTION("""COMPUTED_VALUE"""),"")</f>
        <v/>
      </c>
      <c r="AC16234" s="16" t="str">
        <f>IFERROR(__xludf.DUMMYFUNCTION("""COMPUTED_VALUE"""),"")</f>
        <v/>
      </c>
    </row>
    <row r="16235">
      <c r="A16235" s="16" t="s">
        <v>87</v>
      </c>
      <c r="E16235" s="16" t="str">
        <f>IFERROR(__xludf.DUMMYFUNCTION("""COMPUTED_VALUE"""),"")</f>
        <v/>
      </c>
      <c r="G16235" s="18"/>
      <c r="H16235" s="16" t="s">
        <v>87</v>
      </c>
      <c r="I16235" s="16" t="s">
        <v>87</v>
      </c>
      <c r="J16235" s="19"/>
      <c r="L16235" s="16" t="str">
        <f>IFERROR(__xludf.DUMMYFUNCTION("""COMPUTED_VALUE"""),"")</f>
        <v/>
      </c>
      <c r="M16235" s="16" t="str">
        <f>IFERROR(__xludf.DUMMYFUNCTION("""COMPUTED_VALUE"""),"")</f>
        <v/>
      </c>
      <c r="U16235" s="16" t="s">
        <v>87</v>
      </c>
      <c r="V16235" s="16" t="str">
        <f>IFERROR(__xludf.DUMMYFUNCTION("""COMPUTED_VALUE"""),"")</f>
        <v/>
      </c>
      <c r="W16235" s="16" t="str">
        <f>IFERROR(__xludf.DUMMYFUNCTION("""COMPUTED_VALUE"""),"")</f>
        <v/>
      </c>
      <c r="X16235" s="16" t="str">
        <f>IFERROR(__xludf.DUMMYFUNCTION("""COMPUTED_VALUE"""),"")</f>
        <v/>
      </c>
      <c r="AC16235" s="16" t="str">
        <f>IFERROR(__xludf.DUMMYFUNCTION("""COMPUTED_VALUE"""),"")</f>
        <v/>
      </c>
    </row>
    <row r="16236">
      <c r="A16236" s="16" t="s">
        <v>87</v>
      </c>
      <c r="E16236" s="16" t="str">
        <f>IFERROR(__xludf.DUMMYFUNCTION("""COMPUTED_VALUE"""),"")</f>
        <v/>
      </c>
      <c r="G16236" s="18"/>
      <c r="H16236" s="16" t="s">
        <v>87</v>
      </c>
      <c r="I16236" s="16" t="s">
        <v>87</v>
      </c>
      <c r="J16236" s="19"/>
      <c r="L16236" s="16" t="str">
        <f>IFERROR(__xludf.DUMMYFUNCTION("""COMPUTED_VALUE"""),"")</f>
        <v/>
      </c>
      <c r="M16236" s="16" t="str">
        <f>IFERROR(__xludf.DUMMYFUNCTION("""COMPUTED_VALUE"""),"")</f>
        <v/>
      </c>
      <c r="U16236" s="16" t="s">
        <v>87</v>
      </c>
      <c r="V16236" s="16" t="str">
        <f>IFERROR(__xludf.DUMMYFUNCTION("""COMPUTED_VALUE"""),"")</f>
        <v/>
      </c>
      <c r="W16236" s="16" t="str">
        <f>IFERROR(__xludf.DUMMYFUNCTION("""COMPUTED_VALUE"""),"")</f>
        <v/>
      </c>
      <c r="X16236" s="16" t="str">
        <f>IFERROR(__xludf.DUMMYFUNCTION("""COMPUTED_VALUE"""),"")</f>
        <v/>
      </c>
      <c r="AC16236" s="16" t="str">
        <f>IFERROR(__xludf.DUMMYFUNCTION("""COMPUTED_VALUE"""),"")</f>
        <v/>
      </c>
    </row>
    <row r="16237">
      <c r="A16237" s="16" t="s">
        <v>87</v>
      </c>
      <c r="E16237" s="16" t="str">
        <f>IFERROR(__xludf.DUMMYFUNCTION("""COMPUTED_VALUE"""),"")</f>
        <v/>
      </c>
      <c r="G16237" s="18"/>
      <c r="H16237" s="16" t="s">
        <v>87</v>
      </c>
      <c r="I16237" s="16" t="s">
        <v>87</v>
      </c>
      <c r="J16237" s="19"/>
      <c r="L16237" s="16" t="str">
        <f>IFERROR(__xludf.DUMMYFUNCTION("""COMPUTED_VALUE"""),"")</f>
        <v/>
      </c>
      <c r="M16237" s="16" t="str">
        <f>IFERROR(__xludf.DUMMYFUNCTION("""COMPUTED_VALUE"""),"")</f>
        <v/>
      </c>
      <c r="U16237" s="16" t="s">
        <v>87</v>
      </c>
      <c r="V16237" s="16" t="str">
        <f>IFERROR(__xludf.DUMMYFUNCTION("""COMPUTED_VALUE"""),"")</f>
        <v/>
      </c>
      <c r="W16237" s="16" t="str">
        <f>IFERROR(__xludf.DUMMYFUNCTION("""COMPUTED_VALUE"""),"")</f>
        <v/>
      </c>
      <c r="X16237" s="16" t="str">
        <f>IFERROR(__xludf.DUMMYFUNCTION("""COMPUTED_VALUE"""),"")</f>
        <v/>
      </c>
      <c r="AC16237" s="16" t="str">
        <f>IFERROR(__xludf.DUMMYFUNCTION("""COMPUTED_VALUE"""),"")</f>
        <v/>
      </c>
    </row>
    <row r="16238">
      <c r="A16238" s="16" t="s">
        <v>87</v>
      </c>
      <c r="E16238" s="16" t="str">
        <f>IFERROR(__xludf.DUMMYFUNCTION("""COMPUTED_VALUE"""),"")</f>
        <v/>
      </c>
      <c r="G16238" s="18"/>
      <c r="H16238" s="16" t="s">
        <v>87</v>
      </c>
      <c r="I16238" s="16" t="s">
        <v>87</v>
      </c>
      <c r="J16238" s="19"/>
      <c r="L16238" s="16" t="str">
        <f>IFERROR(__xludf.DUMMYFUNCTION("""COMPUTED_VALUE"""),"")</f>
        <v/>
      </c>
      <c r="M16238" s="16" t="str">
        <f>IFERROR(__xludf.DUMMYFUNCTION("""COMPUTED_VALUE"""),"")</f>
        <v/>
      </c>
      <c r="U16238" s="16" t="s">
        <v>87</v>
      </c>
      <c r="V16238" s="16" t="str">
        <f>IFERROR(__xludf.DUMMYFUNCTION("""COMPUTED_VALUE"""),"")</f>
        <v/>
      </c>
      <c r="W16238" s="16" t="str">
        <f>IFERROR(__xludf.DUMMYFUNCTION("""COMPUTED_VALUE"""),"")</f>
        <v/>
      </c>
      <c r="X16238" s="16" t="str">
        <f>IFERROR(__xludf.DUMMYFUNCTION("""COMPUTED_VALUE"""),"")</f>
        <v/>
      </c>
      <c r="AC16238" s="16" t="str">
        <f>IFERROR(__xludf.DUMMYFUNCTION("""COMPUTED_VALUE"""),"")</f>
        <v/>
      </c>
    </row>
    <row r="16239">
      <c r="A16239" s="16" t="s">
        <v>87</v>
      </c>
      <c r="E16239" s="16" t="str">
        <f>IFERROR(__xludf.DUMMYFUNCTION("""COMPUTED_VALUE"""),"")</f>
        <v/>
      </c>
      <c r="G16239" s="18"/>
      <c r="H16239" s="16" t="s">
        <v>87</v>
      </c>
      <c r="I16239" s="16" t="s">
        <v>87</v>
      </c>
      <c r="J16239" s="19"/>
      <c r="L16239" s="16" t="str">
        <f>IFERROR(__xludf.DUMMYFUNCTION("""COMPUTED_VALUE"""),"")</f>
        <v/>
      </c>
      <c r="M16239" s="16" t="str">
        <f>IFERROR(__xludf.DUMMYFUNCTION("""COMPUTED_VALUE"""),"")</f>
        <v/>
      </c>
      <c r="U16239" s="16" t="s">
        <v>87</v>
      </c>
      <c r="V16239" s="16" t="str">
        <f>IFERROR(__xludf.DUMMYFUNCTION("""COMPUTED_VALUE"""),"")</f>
        <v/>
      </c>
      <c r="W16239" s="16" t="str">
        <f>IFERROR(__xludf.DUMMYFUNCTION("""COMPUTED_VALUE"""),"")</f>
        <v/>
      </c>
      <c r="X16239" s="16" t="str">
        <f>IFERROR(__xludf.DUMMYFUNCTION("""COMPUTED_VALUE"""),"")</f>
        <v/>
      </c>
      <c r="AC16239" s="16" t="str">
        <f>IFERROR(__xludf.DUMMYFUNCTION("""COMPUTED_VALUE"""),"")</f>
        <v/>
      </c>
    </row>
    <row r="16240">
      <c r="A16240" s="16" t="s">
        <v>87</v>
      </c>
      <c r="E16240" s="16" t="str">
        <f>IFERROR(__xludf.DUMMYFUNCTION("""COMPUTED_VALUE"""),"")</f>
        <v/>
      </c>
      <c r="G16240" s="18"/>
      <c r="H16240" s="16" t="s">
        <v>87</v>
      </c>
      <c r="I16240" s="16" t="s">
        <v>87</v>
      </c>
      <c r="J16240" s="19"/>
      <c r="L16240" s="16" t="str">
        <f>IFERROR(__xludf.DUMMYFUNCTION("""COMPUTED_VALUE"""),"")</f>
        <v/>
      </c>
      <c r="M16240" s="16" t="str">
        <f>IFERROR(__xludf.DUMMYFUNCTION("""COMPUTED_VALUE"""),"")</f>
        <v/>
      </c>
      <c r="U16240" s="16" t="s">
        <v>87</v>
      </c>
      <c r="V16240" s="16" t="str">
        <f>IFERROR(__xludf.DUMMYFUNCTION("""COMPUTED_VALUE"""),"")</f>
        <v/>
      </c>
      <c r="W16240" s="16" t="str">
        <f>IFERROR(__xludf.DUMMYFUNCTION("""COMPUTED_VALUE"""),"")</f>
        <v/>
      </c>
      <c r="X16240" s="16" t="str">
        <f>IFERROR(__xludf.DUMMYFUNCTION("""COMPUTED_VALUE"""),"")</f>
        <v/>
      </c>
      <c r="AC16240" s="16" t="str">
        <f>IFERROR(__xludf.DUMMYFUNCTION("""COMPUTED_VALUE"""),"")</f>
        <v/>
      </c>
    </row>
    <row r="16241">
      <c r="A16241" s="16" t="s">
        <v>87</v>
      </c>
      <c r="E16241" s="16" t="str">
        <f>IFERROR(__xludf.DUMMYFUNCTION("""COMPUTED_VALUE"""),"")</f>
        <v/>
      </c>
      <c r="G16241" s="18"/>
      <c r="H16241" s="16" t="s">
        <v>87</v>
      </c>
      <c r="I16241" s="16" t="s">
        <v>87</v>
      </c>
      <c r="J16241" s="19"/>
      <c r="L16241" s="16" t="str">
        <f>IFERROR(__xludf.DUMMYFUNCTION("""COMPUTED_VALUE"""),"")</f>
        <v/>
      </c>
      <c r="M16241" s="16" t="str">
        <f>IFERROR(__xludf.DUMMYFUNCTION("""COMPUTED_VALUE"""),"")</f>
        <v/>
      </c>
      <c r="U16241" s="16" t="s">
        <v>87</v>
      </c>
      <c r="V16241" s="16" t="str">
        <f>IFERROR(__xludf.DUMMYFUNCTION("""COMPUTED_VALUE"""),"")</f>
        <v/>
      </c>
      <c r="W16241" s="16" t="str">
        <f>IFERROR(__xludf.DUMMYFUNCTION("""COMPUTED_VALUE"""),"")</f>
        <v/>
      </c>
      <c r="X16241" s="16" t="str">
        <f>IFERROR(__xludf.DUMMYFUNCTION("""COMPUTED_VALUE"""),"")</f>
        <v/>
      </c>
      <c r="AC16241" s="16" t="str">
        <f>IFERROR(__xludf.DUMMYFUNCTION("""COMPUTED_VALUE"""),"")</f>
        <v/>
      </c>
    </row>
    <row r="16242">
      <c r="A16242" s="16" t="s">
        <v>87</v>
      </c>
      <c r="E16242" s="16" t="str">
        <f>IFERROR(__xludf.DUMMYFUNCTION("""COMPUTED_VALUE"""),"")</f>
        <v/>
      </c>
      <c r="G16242" s="18"/>
      <c r="H16242" s="16" t="s">
        <v>87</v>
      </c>
      <c r="I16242" s="16" t="s">
        <v>87</v>
      </c>
      <c r="J16242" s="19"/>
      <c r="L16242" s="16" t="str">
        <f>IFERROR(__xludf.DUMMYFUNCTION("""COMPUTED_VALUE"""),"")</f>
        <v/>
      </c>
      <c r="M16242" s="16" t="str">
        <f>IFERROR(__xludf.DUMMYFUNCTION("""COMPUTED_VALUE"""),"")</f>
        <v/>
      </c>
      <c r="U16242" s="16" t="s">
        <v>87</v>
      </c>
      <c r="V16242" s="16" t="str">
        <f>IFERROR(__xludf.DUMMYFUNCTION("""COMPUTED_VALUE"""),"")</f>
        <v/>
      </c>
      <c r="W16242" s="16" t="str">
        <f>IFERROR(__xludf.DUMMYFUNCTION("""COMPUTED_VALUE"""),"")</f>
        <v/>
      </c>
      <c r="X16242" s="16" t="str">
        <f>IFERROR(__xludf.DUMMYFUNCTION("""COMPUTED_VALUE"""),"")</f>
        <v/>
      </c>
      <c r="AC16242" s="16" t="str">
        <f>IFERROR(__xludf.DUMMYFUNCTION("""COMPUTED_VALUE"""),"")</f>
        <v/>
      </c>
    </row>
    <row r="16243">
      <c r="A16243" s="16" t="s">
        <v>87</v>
      </c>
      <c r="E16243" s="16" t="str">
        <f>IFERROR(__xludf.DUMMYFUNCTION("""COMPUTED_VALUE"""),"")</f>
        <v/>
      </c>
      <c r="G16243" s="18"/>
      <c r="H16243" s="16" t="s">
        <v>87</v>
      </c>
      <c r="I16243" s="16" t="s">
        <v>87</v>
      </c>
      <c r="J16243" s="19"/>
      <c r="L16243" s="16" t="str">
        <f>IFERROR(__xludf.DUMMYFUNCTION("""COMPUTED_VALUE"""),"")</f>
        <v/>
      </c>
      <c r="M16243" s="16" t="str">
        <f>IFERROR(__xludf.DUMMYFUNCTION("""COMPUTED_VALUE"""),"")</f>
        <v/>
      </c>
      <c r="U16243" s="16" t="s">
        <v>87</v>
      </c>
      <c r="V16243" s="16" t="str">
        <f>IFERROR(__xludf.DUMMYFUNCTION("""COMPUTED_VALUE"""),"")</f>
        <v/>
      </c>
      <c r="W16243" s="16" t="str">
        <f>IFERROR(__xludf.DUMMYFUNCTION("""COMPUTED_VALUE"""),"")</f>
        <v/>
      </c>
      <c r="X16243" s="16" t="str">
        <f>IFERROR(__xludf.DUMMYFUNCTION("""COMPUTED_VALUE"""),"")</f>
        <v/>
      </c>
      <c r="AC16243" s="16" t="str">
        <f>IFERROR(__xludf.DUMMYFUNCTION("""COMPUTED_VALUE"""),"")</f>
        <v/>
      </c>
    </row>
    <row r="16244">
      <c r="A16244" s="16" t="s">
        <v>87</v>
      </c>
      <c r="E16244" s="16" t="str">
        <f>IFERROR(__xludf.DUMMYFUNCTION("""COMPUTED_VALUE"""),"")</f>
        <v/>
      </c>
      <c r="G16244" s="18"/>
      <c r="H16244" s="16" t="s">
        <v>87</v>
      </c>
      <c r="I16244" s="16" t="s">
        <v>87</v>
      </c>
      <c r="J16244" s="19"/>
      <c r="L16244" s="16" t="str">
        <f>IFERROR(__xludf.DUMMYFUNCTION("""COMPUTED_VALUE"""),"")</f>
        <v/>
      </c>
      <c r="M16244" s="16" t="str">
        <f>IFERROR(__xludf.DUMMYFUNCTION("""COMPUTED_VALUE"""),"")</f>
        <v/>
      </c>
      <c r="U16244" s="16" t="s">
        <v>87</v>
      </c>
      <c r="V16244" s="16" t="str">
        <f>IFERROR(__xludf.DUMMYFUNCTION("""COMPUTED_VALUE"""),"")</f>
        <v/>
      </c>
      <c r="W16244" s="16" t="str">
        <f>IFERROR(__xludf.DUMMYFUNCTION("""COMPUTED_VALUE"""),"")</f>
        <v/>
      </c>
      <c r="X16244" s="16" t="str">
        <f>IFERROR(__xludf.DUMMYFUNCTION("""COMPUTED_VALUE"""),"")</f>
        <v/>
      </c>
      <c r="AC16244" s="16" t="str">
        <f>IFERROR(__xludf.DUMMYFUNCTION("""COMPUTED_VALUE"""),"")</f>
        <v/>
      </c>
    </row>
    <row r="16245">
      <c r="A16245" s="16" t="s">
        <v>87</v>
      </c>
      <c r="E16245" s="16" t="str">
        <f>IFERROR(__xludf.DUMMYFUNCTION("""COMPUTED_VALUE"""),"")</f>
        <v/>
      </c>
      <c r="G16245" s="18"/>
      <c r="H16245" s="16" t="s">
        <v>87</v>
      </c>
      <c r="I16245" s="16" t="s">
        <v>87</v>
      </c>
      <c r="J16245" s="19"/>
      <c r="L16245" s="16" t="str">
        <f>IFERROR(__xludf.DUMMYFUNCTION("""COMPUTED_VALUE"""),"")</f>
        <v/>
      </c>
      <c r="M16245" s="16" t="str">
        <f>IFERROR(__xludf.DUMMYFUNCTION("""COMPUTED_VALUE"""),"")</f>
        <v/>
      </c>
      <c r="U16245" s="16" t="s">
        <v>87</v>
      </c>
      <c r="V16245" s="16" t="str">
        <f>IFERROR(__xludf.DUMMYFUNCTION("""COMPUTED_VALUE"""),"")</f>
        <v/>
      </c>
      <c r="W16245" s="16" t="str">
        <f>IFERROR(__xludf.DUMMYFUNCTION("""COMPUTED_VALUE"""),"")</f>
        <v/>
      </c>
      <c r="X16245" s="16" t="str">
        <f>IFERROR(__xludf.DUMMYFUNCTION("""COMPUTED_VALUE"""),"")</f>
        <v/>
      </c>
      <c r="AC16245" s="16" t="str">
        <f>IFERROR(__xludf.DUMMYFUNCTION("""COMPUTED_VALUE"""),"")</f>
        <v/>
      </c>
    </row>
    <row r="16246">
      <c r="A16246" s="16" t="s">
        <v>87</v>
      </c>
      <c r="E16246" s="16" t="str">
        <f>IFERROR(__xludf.DUMMYFUNCTION("""COMPUTED_VALUE"""),"")</f>
        <v/>
      </c>
      <c r="G16246" s="18"/>
      <c r="H16246" s="16" t="s">
        <v>87</v>
      </c>
      <c r="I16246" s="16" t="s">
        <v>87</v>
      </c>
      <c r="J16246" s="19"/>
      <c r="L16246" s="16" t="str">
        <f>IFERROR(__xludf.DUMMYFUNCTION("""COMPUTED_VALUE"""),"")</f>
        <v/>
      </c>
      <c r="M16246" s="16" t="str">
        <f>IFERROR(__xludf.DUMMYFUNCTION("""COMPUTED_VALUE"""),"")</f>
        <v/>
      </c>
      <c r="U16246" s="16" t="s">
        <v>87</v>
      </c>
      <c r="V16246" s="16" t="str">
        <f>IFERROR(__xludf.DUMMYFUNCTION("""COMPUTED_VALUE"""),"")</f>
        <v/>
      </c>
      <c r="W16246" s="16" t="str">
        <f>IFERROR(__xludf.DUMMYFUNCTION("""COMPUTED_VALUE"""),"")</f>
        <v/>
      </c>
      <c r="X16246" s="16" t="str">
        <f>IFERROR(__xludf.DUMMYFUNCTION("""COMPUTED_VALUE"""),"")</f>
        <v/>
      </c>
      <c r="AC16246" s="16" t="str">
        <f>IFERROR(__xludf.DUMMYFUNCTION("""COMPUTED_VALUE"""),"")</f>
        <v/>
      </c>
    </row>
    <row r="16247">
      <c r="A16247" s="16" t="s">
        <v>87</v>
      </c>
      <c r="E16247" s="16" t="str">
        <f>IFERROR(__xludf.DUMMYFUNCTION("""COMPUTED_VALUE"""),"")</f>
        <v/>
      </c>
      <c r="G16247" s="18"/>
      <c r="H16247" s="16" t="s">
        <v>87</v>
      </c>
      <c r="I16247" s="16" t="s">
        <v>87</v>
      </c>
      <c r="J16247" s="19"/>
      <c r="L16247" s="16" t="str">
        <f>IFERROR(__xludf.DUMMYFUNCTION("""COMPUTED_VALUE"""),"")</f>
        <v/>
      </c>
      <c r="M16247" s="16" t="str">
        <f>IFERROR(__xludf.DUMMYFUNCTION("""COMPUTED_VALUE"""),"")</f>
        <v/>
      </c>
      <c r="U16247" s="16" t="s">
        <v>87</v>
      </c>
      <c r="V16247" s="16" t="str">
        <f>IFERROR(__xludf.DUMMYFUNCTION("""COMPUTED_VALUE"""),"")</f>
        <v/>
      </c>
      <c r="W16247" s="16" t="str">
        <f>IFERROR(__xludf.DUMMYFUNCTION("""COMPUTED_VALUE"""),"")</f>
        <v/>
      </c>
      <c r="X16247" s="16" t="str">
        <f>IFERROR(__xludf.DUMMYFUNCTION("""COMPUTED_VALUE"""),"")</f>
        <v/>
      </c>
      <c r="AC16247" s="16" t="str">
        <f>IFERROR(__xludf.DUMMYFUNCTION("""COMPUTED_VALUE"""),"")</f>
        <v/>
      </c>
    </row>
    <row r="16248">
      <c r="A16248" s="16" t="s">
        <v>87</v>
      </c>
      <c r="E16248" s="16" t="str">
        <f>IFERROR(__xludf.DUMMYFUNCTION("""COMPUTED_VALUE"""),"")</f>
        <v/>
      </c>
      <c r="G16248" s="18"/>
      <c r="H16248" s="16" t="s">
        <v>87</v>
      </c>
      <c r="I16248" s="16" t="s">
        <v>87</v>
      </c>
      <c r="J16248" s="19"/>
      <c r="L16248" s="16" t="str">
        <f>IFERROR(__xludf.DUMMYFUNCTION("""COMPUTED_VALUE"""),"")</f>
        <v/>
      </c>
      <c r="M16248" s="16" t="str">
        <f>IFERROR(__xludf.DUMMYFUNCTION("""COMPUTED_VALUE"""),"")</f>
        <v/>
      </c>
      <c r="U16248" s="16" t="s">
        <v>87</v>
      </c>
      <c r="V16248" s="16" t="str">
        <f>IFERROR(__xludf.DUMMYFUNCTION("""COMPUTED_VALUE"""),"")</f>
        <v/>
      </c>
      <c r="W16248" s="16" t="str">
        <f>IFERROR(__xludf.DUMMYFUNCTION("""COMPUTED_VALUE"""),"")</f>
        <v/>
      </c>
      <c r="X16248" s="16" t="str">
        <f>IFERROR(__xludf.DUMMYFUNCTION("""COMPUTED_VALUE"""),"")</f>
        <v/>
      </c>
      <c r="AC16248" s="16" t="str">
        <f>IFERROR(__xludf.DUMMYFUNCTION("""COMPUTED_VALUE"""),"")</f>
        <v/>
      </c>
    </row>
    <row r="16249">
      <c r="A16249" s="16" t="s">
        <v>87</v>
      </c>
      <c r="E16249" s="16" t="str">
        <f>IFERROR(__xludf.DUMMYFUNCTION("""COMPUTED_VALUE"""),"")</f>
        <v/>
      </c>
      <c r="G16249" s="18"/>
      <c r="H16249" s="16" t="s">
        <v>87</v>
      </c>
      <c r="I16249" s="16" t="s">
        <v>87</v>
      </c>
      <c r="J16249" s="19"/>
      <c r="L16249" s="16" t="str">
        <f>IFERROR(__xludf.DUMMYFUNCTION("""COMPUTED_VALUE"""),"")</f>
        <v/>
      </c>
      <c r="M16249" s="16" t="str">
        <f>IFERROR(__xludf.DUMMYFUNCTION("""COMPUTED_VALUE"""),"")</f>
        <v/>
      </c>
      <c r="U16249" s="16" t="s">
        <v>87</v>
      </c>
      <c r="V16249" s="16" t="str">
        <f>IFERROR(__xludf.DUMMYFUNCTION("""COMPUTED_VALUE"""),"")</f>
        <v/>
      </c>
      <c r="W16249" s="16" t="str">
        <f>IFERROR(__xludf.DUMMYFUNCTION("""COMPUTED_VALUE"""),"")</f>
        <v/>
      </c>
      <c r="X16249" s="16" t="str">
        <f>IFERROR(__xludf.DUMMYFUNCTION("""COMPUTED_VALUE"""),"")</f>
        <v/>
      </c>
      <c r="AC16249" s="16" t="str">
        <f>IFERROR(__xludf.DUMMYFUNCTION("""COMPUTED_VALUE"""),"")</f>
        <v/>
      </c>
    </row>
    <row r="16250">
      <c r="A16250" s="16" t="s">
        <v>87</v>
      </c>
      <c r="E16250" s="16" t="str">
        <f>IFERROR(__xludf.DUMMYFUNCTION("""COMPUTED_VALUE"""),"")</f>
        <v/>
      </c>
      <c r="G16250" s="18"/>
      <c r="H16250" s="16" t="s">
        <v>87</v>
      </c>
      <c r="I16250" s="16" t="s">
        <v>87</v>
      </c>
      <c r="J16250" s="19"/>
      <c r="L16250" s="16" t="str">
        <f>IFERROR(__xludf.DUMMYFUNCTION("""COMPUTED_VALUE"""),"")</f>
        <v/>
      </c>
      <c r="M16250" s="16" t="str">
        <f>IFERROR(__xludf.DUMMYFUNCTION("""COMPUTED_VALUE"""),"")</f>
        <v/>
      </c>
      <c r="U16250" s="16" t="s">
        <v>87</v>
      </c>
      <c r="V16250" s="16" t="str">
        <f>IFERROR(__xludf.DUMMYFUNCTION("""COMPUTED_VALUE"""),"")</f>
        <v/>
      </c>
      <c r="W16250" s="16" t="str">
        <f>IFERROR(__xludf.DUMMYFUNCTION("""COMPUTED_VALUE"""),"")</f>
        <v/>
      </c>
      <c r="X16250" s="16" t="str">
        <f>IFERROR(__xludf.DUMMYFUNCTION("""COMPUTED_VALUE"""),"")</f>
        <v/>
      </c>
      <c r="AC16250" s="16" t="str">
        <f>IFERROR(__xludf.DUMMYFUNCTION("""COMPUTED_VALUE"""),"")</f>
        <v/>
      </c>
    </row>
    <row r="16251">
      <c r="A16251" s="16" t="s">
        <v>87</v>
      </c>
      <c r="E16251" s="16" t="str">
        <f>IFERROR(__xludf.DUMMYFUNCTION("""COMPUTED_VALUE"""),"")</f>
        <v/>
      </c>
      <c r="G16251" s="18"/>
      <c r="H16251" s="16" t="s">
        <v>87</v>
      </c>
      <c r="I16251" s="16" t="s">
        <v>87</v>
      </c>
      <c r="J16251" s="19"/>
      <c r="L16251" s="16" t="str">
        <f>IFERROR(__xludf.DUMMYFUNCTION("""COMPUTED_VALUE"""),"")</f>
        <v/>
      </c>
      <c r="M16251" s="16" t="str">
        <f>IFERROR(__xludf.DUMMYFUNCTION("""COMPUTED_VALUE"""),"")</f>
        <v/>
      </c>
      <c r="U16251" s="16" t="s">
        <v>87</v>
      </c>
      <c r="V16251" s="16" t="str">
        <f>IFERROR(__xludf.DUMMYFUNCTION("""COMPUTED_VALUE"""),"")</f>
        <v/>
      </c>
      <c r="W16251" s="16" t="str">
        <f>IFERROR(__xludf.DUMMYFUNCTION("""COMPUTED_VALUE"""),"")</f>
        <v/>
      </c>
      <c r="X16251" s="16" t="str">
        <f>IFERROR(__xludf.DUMMYFUNCTION("""COMPUTED_VALUE"""),"")</f>
        <v/>
      </c>
      <c r="AC16251" s="16" t="str">
        <f>IFERROR(__xludf.DUMMYFUNCTION("""COMPUTED_VALUE"""),"")</f>
        <v/>
      </c>
    </row>
    <row r="16252">
      <c r="A16252" s="16" t="s">
        <v>87</v>
      </c>
      <c r="E16252" s="16" t="str">
        <f>IFERROR(__xludf.DUMMYFUNCTION("""COMPUTED_VALUE"""),"")</f>
        <v/>
      </c>
      <c r="G16252" s="18"/>
      <c r="H16252" s="16" t="s">
        <v>87</v>
      </c>
      <c r="I16252" s="16" t="s">
        <v>87</v>
      </c>
      <c r="J16252" s="19"/>
      <c r="L16252" s="16" t="str">
        <f>IFERROR(__xludf.DUMMYFUNCTION("""COMPUTED_VALUE"""),"")</f>
        <v/>
      </c>
      <c r="M16252" s="16" t="str">
        <f>IFERROR(__xludf.DUMMYFUNCTION("""COMPUTED_VALUE"""),"")</f>
        <v/>
      </c>
      <c r="U16252" s="16" t="s">
        <v>87</v>
      </c>
      <c r="V16252" s="16" t="str">
        <f>IFERROR(__xludf.DUMMYFUNCTION("""COMPUTED_VALUE"""),"")</f>
        <v/>
      </c>
      <c r="W16252" s="16" t="str">
        <f>IFERROR(__xludf.DUMMYFUNCTION("""COMPUTED_VALUE"""),"")</f>
        <v/>
      </c>
      <c r="X16252" s="16" t="str">
        <f>IFERROR(__xludf.DUMMYFUNCTION("""COMPUTED_VALUE"""),"")</f>
        <v/>
      </c>
      <c r="AC16252" s="16" t="str">
        <f>IFERROR(__xludf.DUMMYFUNCTION("""COMPUTED_VALUE"""),"")</f>
        <v/>
      </c>
    </row>
    <row r="16253">
      <c r="A16253" s="16" t="s">
        <v>87</v>
      </c>
      <c r="E16253" s="16" t="str">
        <f>IFERROR(__xludf.DUMMYFUNCTION("""COMPUTED_VALUE"""),"")</f>
        <v/>
      </c>
      <c r="G16253" s="18"/>
      <c r="H16253" s="16" t="s">
        <v>87</v>
      </c>
      <c r="I16253" s="16" t="s">
        <v>87</v>
      </c>
      <c r="J16253" s="19"/>
      <c r="L16253" s="16" t="str">
        <f>IFERROR(__xludf.DUMMYFUNCTION("""COMPUTED_VALUE"""),"")</f>
        <v/>
      </c>
      <c r="M16253" s="16" t="str">
        <f>IFERROR(__xludf.DUMMYFUNCTION("""COMPUTED_VALUE"""),"")</f>
        <v/>
      </c>
      <c r="U16253" s="16" t="s">
        <v>87</v>
      </c>
      <c r="V16253" s="16" t="str">
        <f>IFERROR(__xludf.DUMMYFUNCTION("""COMPUTED_VALUE"""),"")</f>
        <v/>
      </c>
      <c r="W16253" s="16" t="str">
        <f>IFERROR(__xludf.DUMMYFUNCTION("""COMPUTED_VALUE"""),"")</f>
        <v/>
      </c>
      <c r="X16253" s="16" t="str">
        <f>IFERROR(__xludf.DUMMYFUNCTION("""COMPUTED_VALUE"""),"")</f>
        <v/>
      </c>
      <c r="AC16253" s="16" t="str">
        <f>IFERROR(__xludf.DUMMYFUNCTION("""COMPUTED_VALUE"""),"")</f>
        <v/>
      </c>
    </row>
    <row r="16254">
      <c r="A16254" s="16" t="s">
        <v>87</v>
      </c>
      <c r="E16254" s="16" t="str">
        <f>IFERROR(__xludf.DUMMYFUNCTION("""COMPUTED_VALUE"""),"")</f>
        <v/>
      </c>
      <c r="G16254" s="18"/>
      <c r="H16254" s="16" t="s">
        <v>87</v>
      </c>
      <c r="I16254" s="16" t="s">
        <v>87</v>
      </c>
      <c r="J16254" s="19"/>
      <c r="L16254" s="16" t="str">
        <f>IFERROR(__xludf.DUMMYFUNCTION("""COMPUTED_VALUE"""),"")</f>
        <v/>
      </c>
      <c r="M16254" s="16" t="str">
        <f>IFERROR(__xludf.DUMMYFUNCTION("""COMPUTED_VALUE"""),"")</f>
        <v/>
      </c>
      <c r="U16254" s="16" t="s">
        <v>87</v>
      </c>
      <c r="V16254" s="16" t="str">
        <f>IFERROR(__xludf.DUMMYFUNCTION("""COMPUTED_VALUE"""),"")</f>
        <v/>
      </c>
      <c r="W16254" s="16" t="str">
        <f>IFERROR(__xludf.DUMMYFUNCTION("""COMPUTED_VALUE"""),"")</f>
        <v/>
      </c>
      <c r="X16254" s="16" t="str">
        <f>IFERROR(__xludf.DUMMYFUNCTION("""COMPUTED_VALUE"""),"")</f>
        <v/>
      </c>
      <c r="AC16254" s="16" t="str">
        <f>IFERROR(__xludf.DUMMYFUNCTION("""COMPUTED_VALUE"""),"")</f>
        <v/>
      </c>
    </row>
    <row r="16255">
      <c r="A16255" s="16" t="s">
        <v>87</v>
      </c>
      <c r="E16255" s="16" t="str">
        <f>IFERROR(__xludf.DUMMYFUNCTION("""COMPUTED_VALUE"""),"")</f>
        <v/>
      </c>
      <c r="G16255" s="18"/>
      <c r="H16255" s="16" t="s">
        <v>87</v>
      </c>
      <c r="I16255" s="16" t="s">
        <v>87</v>
      </c>
      <c r="J16255" s="19"/>
      <c r="L16255" s="16" t="str">
        <f>IFERROR(__xludf.DUMMYFUNCTION("""COMPUTED_VALUE"""),"")</f>
        <v/>
      </c>
      <c r="M16255" s="16" t="str">
        <f>IFERROR(__xludf.DUMMYFUNCTION("""COMPUTED_VALUE"""),"")</f>
        <v/>
      </c>
      <c r="U16255" s="16" t="s">
        <v>87</v>
      </c>
      <c r="V16255" s="16" t="str">
        <f>IFERROR(__xludf.DUMMYFUNCTION("""COMPUTED_VALUE"""),"")</f>
        <v/>
      </c>
      <c r="W16255" s="16" t="str">
        <f>IFERROR(__xludf.DUMMYFUNCTION("""COMPUTED_VALUE"""),"")</f>
        <v/>
      </c>
      <c r="X16255" s="16" t="str">
        <f>IFERROR(__xludf.DUMMYFUNCTION("""COMPUTED_VALUE"""),"")</f>
        <v/>
      </c>
      <c r="AC16255" s="16" t="str">
        <f>IFERROR(__xludf.DUMMYFUNCTION("""COMPUTED_VALUE"""),"")</f>
        <v/>
      </c>
    </row>
    <row r="16256">
      <c r="A16256" s="16" t="s">
        <v>87</v>
      </c>
      <c r="E16256" s="16" t="str">
        <f>IFERROR(__xludf.DUMMYFUNCTION("""COMPUTED_VALUE"""),"")</f>
        <v/>
      </c>
      <c r="G16256" s="18"/>
      <c r="H16256" s="16" t="s">
        <v>87</v>
      </c>
      <c r="I16256" s="16" t="s">
        <v>87</v>
      </c>
      <c r="J16256" s="19"/>
      <c r="L16256" s="16" t="str">
        <f>IFERROR(__xludf.DUMMYFUNCTION("""COMPUTED_VALUE"""),"")</f>
        <v/>
      </c>
      <c r="M16256" s="16" t="str">
        <f>IFERROR(__xludf.DUMMYFUNCTION("""COMPUTED_VALUE"""),"")</f>
        <v/>
      </c>
      <c r="U16256" s="16" t="s">
        <v>87</v>
      </c>
      <c r="V16256" s="16" t="str">
        <f>IFERROR(__xludf.DUMMYFUNCTION("""COMPUTED_VALUE"""),"")</f>
        <v/>
      </c>
      <c r="W16256" s="16" t="str">
        <f>IFERROR(__xludf.DUMMYFUNCTION("""COMPUTED_VALUE"""),"")</f>
        <v/>
      </c>
      <c r="X16256" s="16" t="str">
        <f>IFERROR(__xludf.DUMMYFUNCTION("""COMPUTED_VALUE"""),"")</f>
        <v/>
      </c>
      <c r="AC16256" s="16" t="str">
        <f>IFERROR(__xludf.DUMMYFUNCTION("""COMPUTED_VALUE"""),"")</f>
        <v/>
      </c>
    </row>
    <row r="16257">
      <c r="A16257" s="16" t="s">
        <v>87</v>
      </c>
      <c r="E16257" s="16" t="str">
        <f>IFERROR(__xludf.DUMMYFUNCTION("""COMPUTED_VALUE"""),"")</f>
        <v/>
      </c>
      <c r="G16257" s="18"/>
      <c r="H16257" s="16" t="s">
        <v>87</v>
      </c>
      <c r="I16257" s="16" t="s">
        <v>87</v>
      </c>
      <c r="J16257" s="19"/>
      <c r="L16257" s="16" t="str">
        <f>IFERROR(__xludf.DUMMYFUNCTION("""COMPUTED_VALUE"""),"")</f>
        <v/>
      </c>
      <c r="M16257" s="16" t="str">
        <f>IFERROR(__xludf.DUMMYFUNCTION("""COMPUTED_VALUE"""),"")</f>
        <v/>
      </c>
      <c r="U16257" s="16" t="s">
        <v>87</v>
      </c>
      <c r="V16257" s="16" t="str">
        <f>IFERROR(__xludf.DUMMYFUNCTION("""COMPUTED_VALUE"""),"")</f>
        <v/>
      </c>
      <c r="W16257" s="16" t="str">
        <f>IFERROR(__xludf.DUMMYFUNCTION("""COMPUTED_VALUE"""),"")</f>
        <v/>
      </c>
      <c r="X16257" s="16" t="str">
        <f>IFERROR(__xludf.DUMMYFUNCTION("""COMPUTED_VALUE"""),"")</f>
        <v/>
      </c>
      <c r="AC16257" s="16" t="str">
        <f>IFERROR(__xludf.DUMMYFUNCTION("""COMPUTED_VALUE"""),"")</f>
        <v/>
      </c>
    </row>
    <row r="16258">
      <c r="A16258" s="16" t="s">
        <v>87</v>
      </c>
      <c r="E16258" s="16" t="str">
        <f>IFERROR(__xludf.DUMMYFUNCTION("""COMPUTED_VALUE"""),"")</f>
        <v/>
      </c>
      <c r="G16258" s="18"/>
      <c r="H16258" s="16" t="s">
        <v>87</v>
      </c>
      <c r="I16258" s="16" t="s">
        <v>87</v>
      </c>
      <c r="J16258" s="19"/>
      <c r="L16258" s="16" t="str">
        <f>IFERROR(__xludf.DUMMYFUNCTION("""COMPUTED_VALUE"""),"")</f>
        <v/>
      </c>
      <c r="M16258" s="16" t="str">
        <f>IFERROR(__xludf.DUMMYFUNCTION("""COMPUTED_VALUE"""),"")</f>
        <v/>
      </c>
      <c r="U16258" s="16" t="s">
        <v>87</v>
      </c>
      <c r="V16258" s="16" t="str">
        <f>IFERROR(__xludf.DUMMYFUNCTION("""COMPUTED_VALUE"""),"")</f>
        <v/>
      </c>
      <c r="W16258" s="16" t="str">
        <f>IFERROR(__xludf.DUMMYFUNCTION("""COMPUTED_VALUE"""),"")</f>
        <v/>
      </c>
      <c r="X16258" s="16" t="str">
        <f>IFERROR(__xludf.DUMMYFUNCTION("""COMPUTED_VALUE"""),"")</f>
        <v/>
      </c>
      <c r="AC16258" s="16" t="str">
        <f>IFERROR(__xludf.DUMMYFUNCTION("""COMPUTED_VALUE"""),"")</f>
        <v/>
      </c>
    </row>
    <row r="16259">
      <c r="A16259" s="16" t="s">
        <v>87</v>
      </c>
      <c r="E16259" s="16" t="str">
        <f>IFERROR(__xludf.DUMMYFUNCTION("""COMPUTED_VALUE"""),"")</f>
        <v/>
      </c>
      <c r="G16259" s="18"/>
      <c r="H16259" s="16" t="s">
        <v>87</v>
      </c>
      <c r="I16259" s="16" t="s">
        <v>87</v>
      </c>
      <c r="J16259" s="19"/>
      <c r="L16259" s="16" t="str">
        <f>IFERROR(__xludf.DUMMYFUNCTION("""COMPUTED_VALUE"""),"")</f>
        <v/>
      </c>
      <c r="M16259" s="16" t="str">
        <f>IFERROR(__xludf.DUMMYFUNCTION("""COMPUTED_VALUE"""),"")</f>
        <v/>
      </c>
      <c r="U16259" s="16" t="s">
        <v>87</v>
      </c>
      <c r="V16259" s="16" t="str">
        <f>IFERROR(__xludf.DUMMYFUNCTION("""COMPUTED_VALUE"""),"")</f>
        <v/>
      </c>
      <c r="W16259" s="16" t="str">
        <f>IFERROR(__xludf.DUMMYFUNCTION("""COMPUTED_VALUE"""),"")</f>
        <v/>
      </c>
      <c r="X16259" s="16" t="str">
        <f>IFERROR(__xludf.DUMMYFUNCTION("""COMPUTED_VALUE"""),"")</f>
        <v/>
      </c>
      <c r="AC16259" s="16" t="str">
        <f>IFERROR(__xludf.DUMMYFUNCTION("""COMPUTED_VALUE"""),"")</f>
        <v/>
      </c>
    </row>
    <row r="16260">
      <c r="A16260" s="16" t="s">
        <v>87</v>
      </c>
      <c r="E16260" s="16" t="str">
        <f>IFERROR(__xludf.DUMMYFUNCTION("""COMPUTED_VALUE"""),"")</f>
        <v/>
      </c>
      <c r="G16260" s="18"/>
      <c r="H16260" s="16" t="s">
        <v>87</v>
      </c>
      <c r="I16260" s="16" t="s">
        <v>87</v>
      </c>
      <c r="J16260" s="19"/>
      <c r="L16260" s="16" t="str">
        <f>IFERROR(__xludf.DUMMYFUNCTION("""COMPUTED_VALUE"""),"")</f>
        <v/>
      </c>
      <c r="M16260" s="16" t="str">
        <f>IFERROR(__xludf.DUMMYFUNCTION("""COMPUTED_VALUE"""),"")</f>
        <v/>
      </c>
      <c r="U16260" s="16" t="s">
        <v>87</v>
      </c>
      <c r="V16260" s="16" t="str">
        <f>IFERROR(__xludf.DUMMYFUNCTION("""COMPUTED_VALUE"""),"")</f>
        <v/>
      </c>
      <c r="W16260" s="16" t="str">
        <f>IFERROR(__xludf.DUMMYFUNCTION("""COMPUTED_VALUE"""),"")</f>
        <v/>
      </c>
      <c r="X16260" s="16" t="str">
        <f>IFERROR(__xludf.DUMMYFUNCTION("""COMPUTED_VALUE"""),"")</f>
        <v/>
      </c>
      <c r="AC16260" s="16" t="str">
        <f>IFERROR(__xludf.DUMMYFUNCTION("""COMPUTED_VALUE"""),"")</f>
        <v/>
      </c>
    </row>
    <row r="16261">
      <c r="A16261" s="16" t="s">
        <v>87</v>
      </c>
      <c r="E16261" s="16" t="str">
        <f>IFERROR(__xludf.DUMMYFUNCTION("""COMPUTED_VALUE"""),"")</f>
        <v/>
      </c>
      <c r="G16261" s="18"/>
      <c r="H16261" s="16" t="s">
        <v>87</v>
      </c>
      <c r="I16261" s="16" t="s">
        <v>87</v>
      </c>
      <c r="J16261" s="19"/>
      <c r="L16261" s="16" t="str">
        <f>IFERROR(__xludf.DUMMYFUNCTION("""COMPUTED_VALUE"""),"")</f>
        <v/>
      </c>
      <c r="M16261" s="16" t="str">
        <f>IFERROR(__xludf.DUMMYFUNCTION("""COMPUTED_VALUE"""),"")</f>
        <v/>
      </c>
      <c r="U16261" s="16" t="s">
        <v>87</v>
      </c>
      <c r="V16261" s="16" t="str">
        <f>IFERROR(__xludf.DUMMYFUNCTION("""COMPUTED_VALUE"""),"")</f>
        <v/>
      </c>
      <c r="W16261" s="16" t="str">
        <f>IFERROR(__xludf.DUMMYFUNCTION("""COMPUTED_VALUE"""),"")</f>
        <v/>
      </c>
      <c r="X16261" s="16" t="str">
        <f>IFERROR(__xludf.DUMMYFUNCTION("""COMPUTED_VALUE"""),"")</f>
        <v/>
      </c>
      <c r="AC16261" s="16" t="str">
        <f>IFERROR(__xludf.DUMMYFUNCTION("""COMPUTED_VALUE"""),"")</f>
        <v/>
      </c>
    </row>
    <row r="16262">
      <c r="A16262" s="16" t="s">
        <v>87</v>
      </c>
      <c r="E16262" s="16" t="str">
        <f>IFERROR(__xludf.DUMMYFUNCTION("""COMPUTED_VALUE"""),"")</f>
        <v/>
      </c>
      <c r="G16262" s="18"/>
      <c r="H16262" s="16" t="s">
        <v>87</v>
      </c>
      <c r="I16262" s="16" t="s">
        <v>87</v>
      </c>
      <c r="J16262" s="19"/>
      <c r="L16262" s="16" t="str">
        <f>IFERROR(__xludf.DUMMYFUNCTION("""COMPUTED_VALUE"""),"")</f>
        <v/>
      </c>
      <c r="M16262" s="16" t="str">
        <f>IFERROR(__xludf.DUMMYFUNCTION("""COMPUTED_VALUE"""),"")</f>
        <v/>
      </c>
      <c r="U16262" s="16" t="s">
        <v>87</v>
      </c>
      <c r="V16262" s="16" t="str">
        <f>IFERROR(__xludf.DUMMYFUNCTION("""COMPUTED_VALUE"""),"")</f>
        <v/>
      </c>
      <c r="W16262" s="16" t="str">
        <f>IFERROR(__xludf.DUMMYFUNCTION("""COMPUTED_VALUE"""),"")</f>
        <v/>
      </c>
      <c r="X16262" s="16" t="str">
        <f>IFERROR(__xludf.DUMMYFUNCTION("""COMPUTED_VALUE"""),"")</f>
        <v/>
      </c>
      <c r="AC16262" s="16" t="str">
        <f>IFERROR(__xludf.DUMMYFUNCTION("""COMPUTED_VALUE"""),"")</f>
        <v/>
      </c>
    </row>
    <row r="16263">
      <c r="A16263" s="16" t="s">
        <v>87</v>
      </c>
      <c r="E16263" s="16" t="str">
        <f>IFERROR(__xludf.DUMMYFUNCTION("""COMPUTED_VALUE"""),"")</f>
        <v/>
      </c>
      <c r="G16263" s="18"/>
      <c r="H16263" s="16" t="s">
        <v>87</v>
      </c>
      <c r="I16263" s="16" t="s">
        <v>87</v>
      </c>
      <c r="J16263" s="19"/>
      <c r="L16263" s="16" t="str">
        <f>IFERROR(__xludf.DUMMYFUNCTION("""COMPUTED_VALUE"""),"")</f>
        <v/>
      </c>
      <c r="M16263" s="16" t="str">
        <f>IFERROR(__xludf.DUMMYFUNCTION("""COMPUTED_VALUE"""),"")</f>
        <v/>
      </c>
      <c r="U16263" s="16" t="s">
        <v>87</v>
      </c>
      <c r="V16263" s="16" t="str">
        <f>IFERROR(__xludf.DUMMYFUNCTION("""COMPUTED_VALUE"""),"")</f>
        <v/>
      </c>
      <c r="W16263" s="16" t="str">
        <f>IFERROR(__xludf.DUMMYFUNCTION("""COMPUTED_VALUE"""),"")</f>
        <v/>
      </c>
      <c r="X16263" s="16" t="str">
        <f>IFERROR(__xludf.DUMMYFUNCTION("""COMPUTED_VALUE"""),"")</f>
        <v/>
      </c>
      <c r="AC16263" s="16" t="str">
        <f>IFERROR(__xludf.DUMMYFUNCTION("""COMPUTED_VALUE"""),"")</f>
        <v/>
      </c>
    </row>
    <row r="16264">
      <c r="A16264" s="16" t="s">
        <v>87</v>
      </c>
      <c r="E16264" s="16" t="str">
        <f>IFERROR(__xludf.DUMMYFUNCTION("""COMPUTED_VALUE"""),"")</f>
        <v/>
      </c>
      <c r="G16264" s="18"/>
      <c r="H16264" s="16" t="s">
        <v>87</v>
      </c>
      <c r="I16264" s="16" t="s">
        <v>87</v>
      </c>
      <c r="J16264" s="19"/>
      <c r="L16264" s="16" t="str">
        <f>IFERROR(__xludf.DUMMYFUNCTION("""COMPUTED_VALUE"""),"")</f>
        <v/>
      </c>
      <c r="M16264" s="16" t="str">
        <f>IFERROR(__xludf.DUMMYFUNCTION("""COMPUTED_VALUE"""),"")</f>
        <v/>
      </c>
      <c r="U16264" s="16" t="s">
        <v>87</v>
      </c>
      <c r="V16264" s="16" t="str">
        <f>IFERROR(__xludf.DUMMYFUNCTION("""COMPUTED_VALUE"""),"")</f>
        <v/>
      </c>
      <c r="W16264" s="16" t="str">
        <f>IFERROR(__xludf.DUMMYFUNCTION("""COMPUTED_VALUE"""),"")</f>
        <v/>
      </c>
      <c r="X16264" s="16" t="str">
        <f>IFERROR(__xludf.DUMMYFUNCTION("""COMPUTED_VALUE"""),"")</f>
        <v/>
      </c>
      <c r="AC16264" s="16" t="str">
        <f>IFERROR(__xludf.DUMMYFUNCTION("""COMPUTED_VALUE"""),"")</f>
        <v/>
      </c>
    </row>
    <row r="16265">
      <c r="A16265" s="16" t="s">
        <v>87</v>
      </c>
      <c r="E16265" s="16" t="str">
        <f>IFERROR(__xludf.DUMMYFUNCTION("""COMPUTED_VALUE"""),"")</f>
        <v/>
      </c>
      <c r="G16265" s="18"/>
      <c r="H16265" s="16" t="s">
        <v>87</v>
      </c>
      <c r="I16265" s="16" t="s">
        <v>87</v>
      </c>
      <c r="J16265" s="19"/>
      <c r="L16265" s="16" t="str">
        <f>IFERROR(__xludf.DUMMYFUNCTION("""COMPUTED_VALUE"""),"")</f>
        <v/>
      </c>
      <c r="M16265" s="16" t="str">
        <f>IFERROR(__xludf.DUMMYFUNCTION("""COMPUTED_VALUE"""),"")</f>
        <v/>
      </c>
      <c r="U16265" s="16" t="s">
        <v>87</v>
      </c>
      <c r="V16265" s="16" t="str">
        <f>IFERROR(__xludf.DUMMYFUNCTION("""COMPUTED_VALUE"""),"")</f>
        <v/>
      </c>
      <c r="W16265" s="16" t="str">
        <f>IFERROR(__xludf.DUMMYFUNCTION("""COMPUTED_VALUE"""),"")</f>
        <v/>
      </c>
      <c r="X16265" s="16" t="str">
        <f>IFERROR(__xludf.DUMMYFUNCTION("""COMPUTED_VALUE"""),"")</f>
        <v/>
      </c>
      <c r="AC16265" s="16" t="str">
        <f>IFERROR(__xludf.DUMMYFUNCTION("""COMPUTED_VALUE"""),"")</f>
        <v/>
      </c>
    </row>
    <row r="16266">
      <c r="A16266" s="16" t="s">
        <v>87</v>
      </c>
      <c r="E16266" s="16" t="str">
        <f>IFERROR(__xludf.DUMMYFUNCTION("""COMPUTED_VALUE"""),"")</f>
        <v/>
      </c>
      <c r="G16266" s="18"/>
      <c r="H16266" s="16" t="s">
        <v>87</v>
      </c>
      <c r="I16266" s="16" t="s">
        <v>87</v>
      </c>
      <c r="J16266" s="19"/>
      <c r="L16266" s="16" t="str">
        <f>IFERROR(__xludf.DUMMYFUNCTION("""COMPUTED_VALUE"""),"")</f>
        <v/>
      </c>
      <c r="M16266" s="16" t="str">
        <f>IFERROR(__xludf.DUMMYFUNCTION("""COMPUTED_VALUE"""),"")</f>
        <v/>
      </c>
      <c r="U16266" s="16" t="s">
        <v>87</v>
      </c>
      <c r="V16266" s="16" t="str">
        <f>IFERROR(__xludf.DUMMYFUNCTION("""COMPUTED_VALUE"""),"")</f>
        <v/>
      </c>
      <c r="W16266" s="16" t="str">
        <f>IFERROR(__xludf.DUMMYFUNCTION("""COMPUTED_VALUE"""),"")</f>
        <v/>
      </c>
      <c r="X16266" s="16" t="str">
        <f>IFERROR(__xludf.DUMMYFUNCTION("""COMPUTED_VALUE"""),"")</f>
        <v/>
      </c>
      <c r="AC16266" s="16" t="str">
        <f>IFERROR(__xludf.DUMMYFUNCTION("""COMPUTED_VALUE"""),"")</f>
        <v/>
      </c>
    </row>
    <row r="16267">
      <c r="A16267" s="16" t="s">
        <v>87</v>
      </c>
      <c r="E16267" s="16" t="str">
        <f>IFERROR(__xludf.DUMMYFUNCTION("""COMPUTED_VALUE"""),"")</f>
        <v/>
      </c>
      <c r="G16267" s="18"/>
      <c r="H16267" s="16" t="s">
        <v>87</v>
      </c>
      <c r="I16267" s="16" t="s">
        <v>87</v>
      </c>
      <c r="J16267" s="19"/>
      <c r="L16267" s="16" t="str">
        <f>IFERROR(__xludf.DUMMYFUNCTION("""COMPUTED_VALUE"""),"")</f>
        <v/>
      </c>
      <c r="M16267" s="16" t="str">
        <f>IFERROR(__xludf.DUMMYFUNCTION("""COMPUTED_VALUE"""),"")</f>
        <v/>
      </c>
      <c r="U16267" s="16" t="s">
        <v>87</v>
      </c>
      <c r="V16267" s="16" t="str">
        <f>IFERROR(__xludf.DUMMYFUNCTION("""COMPUTED_VALUE"""),"")</f>
        <v/>
      </c>
      <c r="W16267" s="16" t="str">
        <f>IFERROR(__xludf.DUMMYFUNCTION("""COMPUTED_VALUE"""),"")</f>
        <v/>
      </c>
      <c r="X16267" s="16" t="str">
        <f>IFERROR(__xludf.DUMMYFUNCTION("""COMPUTED_VALUE"""),"")</f>
        <v/>
      </c>
      <c r="AC16267" s="16" t="str">
        <f>IFERROR(__xludf.DUMMYFUNCTION("""COMPUTED_VALUE"""),"")</f>
        <v/>
      </c>
    </row>
    <row r="16268">
      <c r="A16268" s="16" t="s">
        <v>87</v>
      </c>
      <c r="E16268" s="16" t="str">
        <f>IFERROR(__xludf.DUMMYFUNCTION("""COMPUTED_VALUE"""),"")</f>
        <v/>
      </c>
      <c r="G16268" s="18"/>
      <c r="H16268" s="16" t="s">
        <v>87</v>
      </c>
      <c r="I16268" s="16" t="s">
        <v>87</v>
      </c>
      <c r="J16268" s="19"/>
      <c r="L16268" s="16" t="str">
        <f>IFERROR(__xludf.DUMMYFUNCTION("""COMPUTED_VALUE"""),"")</f>
        <v/>
      </c>
      <c r="M16268" s="16" t="str">
        <f>IFERROR(__xludf.DUMMYFUNCTION("""COMPUTED_VALUE"""),"")</f>
        <v/>
      </c>
      <c r="U16268" s="16" t="s">
        <v>87</v>
      </c>
      <c r="V16268" s="16" t="str">
        <f>IFERROR(__xludf.DUMMYFUNCTION("""COMPUTED_VALUE"""),"")</f>
        <v/>
      </c>
      <c r="W16268" s="16" t="str">
        <f>IFERROR(__xludf.DUMMYFUNCTION("""COMPUTED_VALUE"""),"")</f>
        <v/>
      </c>
      <c r="X16268" s="16" t="str">
        <f>IFERROR(__xludf.DUMMYFUNCTION("""COMPUTED_VALUE"""),"")</f>
        <v/>
      </c>
      <c r="AC16268" s="16" t="str">
        <f>IFERROR(__xludf.DUMMYFUNCTION("""COMPUTED_VALUE"""),"")</f>
        <v/>
      </c>
    </row>
    <row r="16269">
      <c r="A16269" s="16" t="s">
        <v>87</v>
      </c>
      <c r="E16269" s="16" t="str">
        <f>IFERROR(__xludf.DUMMYFUNCTION("""COMPUTED_VALUE"""),"")</f>
        <v/>
      </c>
      <c r="G16269" s="18"/>
      <c r="H16269" s="16" t="s">
        <v>87</v>
      </c>
      <c r="I16269" s="16" t="s">
        <v>87</v>
      </c>
      <c r="J16269" s="19"/>
      <c r="L16269" s="16" t="str">
        <f>IFERROR(__xludf.DUMMYFUNCTION("""COMPUTED_VALUE"""),"")</f>
        <v/>
      </c>
      <c r="M16269" s="16" t="str">
        <f>IFERROR(__xludf.DUMMYFUNCTION("""COMPUTED_VALUE"""),"")</f>
        <v/>
      </c>
      <c r="U16269" s="16" t="s">
        <v>87</v>
      </c>
      <c r="V16269" s="16" t="str">
        <f>IFERROR(__xludf.DUMMYFUNCTION("""COMPUTED_VALUE"""),"")</f>
        <v/>
      </c>
      <c r="W16269" s="16" t="str">
        <f>IFERROR(__xludf.DUMMYFUNCTION("""COMPUTED_VALUE"""),"")</f>
        <v/>
      </c>
      <c r="X16269" s="16" t="str">
        <f>IFERROR(__xludf.DUMMYFUNCTION("""COMPUTED_VALUE"""),"")</f>
        <v/>
      </c>
      <c r="AC16269" s="16" t="str">
        <f>IFERROR(__xludf.DUMMYFUNCTION("""COMPUTED_VALUE"""),"")</f>
        <v/>
      </c>
    </row>
    <row r="16270">
      <c r="A16270" s="16" t="s">
        <v>87</v>
      </c>
      <c r="E16270" s="16" t="str">
        <f>IFERROR(__xludf.DUMMYFUNCTION("""COMPUTED_VALUE"""),"")</f>
        <v/>
      </c>
      <c r="G16270" s="18"/>
      <c r="H16270" s="16" t="s">
        <v>87</v>
      </c>
      <c r="I16270" s="16" t="s">
        <v>87</v>
      </c>
      <c r="J16270" s="19"/>
      <c r="L16270" s="16" t="str">
        <f>IFERROR(__xludf.DUMMYFUNCTION("""COMPUTED_VALUE"""),"")</f>
        <v/>
      </c>
      <c r="M16270" s="16" t="str">
        <f>IFERROR(__xludf.DUMMYFUNCTION("""COMPUTED_VALUE"""),"")</f>
        <v/>
      </c>
      <c r="U16270" s="16" t="s">
        <v>87</v>
      </c>
      <c r="V16270" s="16" t="str">
        <f>IFERROR(__xludf.DUMMYFUNCTION("""COMPUTED_VALUE"""),"")</f>
        <v/>
      </c>
      <c r="W16270" s="16" t="str">
        <f>IFERROR(__xludf.DUMMYFUNCTION("""COMPUTED_VALUE"""),"")</f>
        <v/>
      </c>
      <c r="X16270" s="16" t="str">
        <f>IFERROR(__xludf.DUMMYFUNCTION("""COMPUTED_VALUE"""),"")</f>
        <v/>
      </c>
      <c r="AC16270" s="16" t="str">
        <f>IFERROR(__xludf.DUMMYFUNCTION("""COMPUTED_VALUE"""),"")</f>
        <v/>
      </c>
    </row>
    <row r="16271">
      <c r="A16271" s="16" t="s">
        <v>87</v>
      </c>
      <c r="E16271" s="16" t="str">
        <f>IFERROR(__xludf.DUMMYFUNCTION("""COMPUTED_VALUE"""),"")</f>
        <v/>
      </c>
      <c r="G16271" s="18"/>
      <c r="H16271" s="16" t="s">
        <v>87</v>
      </c>
      <c r="I16271" s="16" t="s">
        <v>87</v>
      </c>
      <c r="J16271" s="19"/>
      <c r="L16271" s="16" t="str">
        <f>IFERROR(__xludf.DUMMYFUNCTION("""COMPUTED_VALUE"""),"")</f>
        <v/>
      </c>
      <c r="M16271" s="16" t="str">
        <f>IFERROR(__xludf.DUMMYFUNCTION("""COMPUTED_VALUE"""),"")</f>
        <v/>
      </c>
      <c r="U16271" s="16" t="s">
        <v>87</v>
      </c>
      <c r="V16271" s="16" t="str">
        <f>IFERROR(__xludf.DUMMYFUNCTION("""COMPUTED_VALUE"""),"")</f>
        <v/>
      </c>
      <c r="W16271" s="16" t="str">
        <f>IFERROR(__xludf.DUMMYFUNCTION("""COMPUTED_VALUE"""),"")</f>
        <v/>
      </c>
      <c r="X16271" s="16" t="str">
        <f>IFERROR(__xludf.DUMMYFUNCTION("""COMPUTED_VALUE"""),"")</f>
        <v/>
      </c>
      <c r="AC16271" s="16" t="str">
        <f>IFERROR(__xludf.DUMMYFUNCTION("""COMPUTED_VALUE"""),"")</f>
        <v/>
      </c>
    </row>
    <row r="16272">
      <c r="A16272" s="16" t="s">
        <v>87</v>
      </c>
      <c r="E16272" s="16" t="str">
        <f>IFERROR(__xludf.DUMMYFUNCTION("""COMPUTED_VALUE"""),"")</f>
        <v/>
      </c>
      <c r="G16272" s="18"/>
      <c r="H16272" s="16" t="s">
        <v>87</v>
      </c>
      <c r="I16272" s="16" t="s">
        <v>87</v>
      </c>
      <c r="J16272" s="19"/>
      <c r="L16272" s="16" t="str">
        <f>IFERROR(__xludf.DUMMYFUNCTION("""COMPUTED_VALUE"""),"")</f>
        <v/>
      </c>
      <c r="M16272" s="16" t="str">
        <f>IFERROR(__xludf.DUMMYFUNCTION("""COMPUTED_VALUE"""),"")</f>
        <v/>
      </c>
      <c r="U16272" s="16" t="s">
        <v>87</v>
      </c>
      <c r="V16272" s="16" t="str">
        <f>IFERROR(__xludf.DUMMYFUNCTION("""COMPUTED_VALUE"""),"")</f>
        <v/>
      </c>
      <c r="W16272" s="16" t="str">
        <f>IFERROR(__xludf.DUMMYFUNCTION("""COMPUTED_VALUE"""),"")</f>
        <v/>
      </c>
      <c r="X16272" s="16" t="str">
        <f>IFERROR(__xludf.DUMMYFUNCTION("""COMPUTED_VALUE"""),"")</f>
        <v/>
      </c>
      <c r="AC16272" s="16" t="str">
        <f>IFERROR(__xludf.DUMMYFUNCTION("""COMPUTED_VALUE"""),"")</f>
        <v/>
      </c>
    </row>
    <row r="16273">
      <c r="A16273" s="16" t="s">
        <v>87</v>
      </c>
      <c r="E16273" s="16" t="str">
        <f>IFERROR(__xludf.DUMMYFUNCTION("""COMPUTED_VALUE"""),"")</f>
        <v/>
      </c>
      <c r="G16273" s="18"/>
      <c r="H16273" s="16" t="s">
        <v>87</v>
      </c>
      <c r="I16273" s="16" t="s">
        <v>87</v>
      </c>
      <c r="J16273" s="19"/>
      <c r="L16273" s="16" t="str">
        <f>IFERROR(__xludf.DUMMYFUNCTION("""COMPUTED_VALUE"""),"")</f>
        <v/>
      </c>
      <c r="M16273" s="16" t="str">
        <f>IFERROR(__xludf.DUMMYFUNCTION("""COMPUTED_VALUE"""),"")</f>
        <v/>
      </c>
      <c r="U16273" s="16" t="s">
        <v>87</v>
      </c>
      <c r="V16273" s="16" t="str">
        <f>IFERROR(__xludf.DUMMYFUNCTION("""COMPUTED_VALUE"""),"")</f>
        <v/>
      </c>
      <c r="W16273" s="16" t="str">
        <f>IFERROR(__xludf.DUMMYFUNCTION("""COMPUTED_VALUE"""),"")</f>
        <v/>
      </c>
      <c r="X16273" s="16" t="str">
        <f>IFERROR(__xludf.DUMMYFUNCTION("""COMPUTED_VALUE"""),"")</f>
        <v/>
      </c>
      <c r="AC16273" s="16" t="str">
        <f>IFERROR(__xludf.DUMMYFUNCTION("""COMPUTED_VALUE"""),"")</f>
        <v/>
      </c>
    </row>
    <row r="16274">
      <c r="A16274" s="16" t="s">
        <v>87</v>
      </c>
      <c r="E16274" s="16" t="str">
        <f>IFERROR(__xludf.DUMMYFUNCTION("""COMPUTED_VALUE"""),"")</f>
        <v/>
      </c>
      <c r="G16274" s="18"/>
      <c r="H16274" s="16" t="s">
        <v>87</v>
      </c>
      <c r="I16274" s="16" t="s">
        <v>87</v>
      </c>
      <c r="J16274" s="19"/>
      <c r="L16274" s="16" t="str">
        <f>IFERROR(__xludf.DUMMYFUNCTION("""COMPUTED_VALUE"""),"")</f>
        <v/>
      </c>
      <c r="M16274" s="16" t="str">
        <f>IFERROR(__xludf.DUMMYFUNCTION("""COMPUTED_VALUE"""),"")</f>
        <v/>
      </c>
      <c r="U16274" s="16" t="s">
        <v>87</v>
      </c>
      <c r="V16274" s="16" t="str">
        <f>IFERROR(__xludf.DUMMYFUNCTION("""COMPUTED_VALUE"""),"")</f>
        <v/>
      </c>
      <c r="W16274" s="16" t="str">
        <f>IFERROR(__xludf.DUMMYFUNCTION("""COMPUTED_VALUE"""),"")</f>
        <v/>
      </c>
      <c r="X16274" s="16" t="str">
        <f>IFERROR(__xludf.DUMMYFUNCTION("""COMPUTED_VALUE"""),"")</f>
        <v/>
      </c>
      <c r="AC16274" s="16" t="str">
        <f>IFERROR(__xludf.DUMMYFUNCTION("""COMPUTED_VALUE"""),"")</f>
        <v/>
      </c>
    </row>
    <row r="16275">
      <c r="A16275" s="16" t="s">
        <v>87</v>
      </c>
      <c r="E16275" s="16" t="str">
        <f>IFERROR(__xludf.DUMMYFUNCTION("""COMPUTED_VALUE"""),"")</f>
        <v/>
      </c>
      <c r="G16275" s="18"/>
      <c r="H16275" s="16" t="s">
        <v>87</v>
      </c>
      <c r="I16275" s="16" t="s">
        <v>87</v>
      </c>
      <c r="J16275" s="19"/>
      <c r="L16275" s="16" t="str">
        <f>IFERROR(__xludf.DUMMYFUNCTION("""COMPUTED_VALUE"""),"")</f>
        <v/>
      </c>
      <c r="M16275" s="16" t="str">
        <f>IFERROR(__xludf.DUMMYFUNCTION("""COMPUTED_VALUE"""),"")</f>
        <v/>
      </c>
      <c r="U16275" s="16" t="s">
        <v>87</v>
      </c>
      <c r="V16275" s="16" t="str">
        <f>IFERROR(__xludf.DUMMYFUNCTION("""COMPUTED_VALUE"""),"")</f>
        <v/>
      </c>
      <c r="W16275" s="16" t="str">
        <f>IFERROR(__xludf.DUMMYFUNCTION("""COMPUTED_VALUE"""),"")</f>
        <v/>
      </c>
      <c r="X16275" s="16" t="str">
        <f>IFERROR(__xludf.DUMMYFUNCTION("""COMPUTED_VALUE"""),"")</f>
        <v/>
      </c>
      <c r="AC16275" s="16" t="str">
        <f>IFERROR(__xludf.DUMMYFUNCTION("""COMPUTED_VALUE"""),"")</f>
        <v/>
      </c>
    </row>
    <row r="16276">
      <c r="A16276" s="16" t="s">
        <v>87</v>
      </c>
      <c r="E16276" s="16" t="str">
        <f>IFERROR(__xludf.DUMMYFUNCTION("""COMPUTED_VALUE"""),"")</f>
        <v/>
      </c>
      <c r="G16276" s="18"/>
      <c r="H16276" s="16" t="s">
        <v>87</v>
      </c>
      <c r="I16276" s="16" t="s">
        <v>87</v>
      </c>
      <c r="J16276" s="19"/>
      <c r="L16276" s="16" t="str">
        <f>IFERROR(__xludf.DUMMYFUNCTION("""COMPUTED_VALUE"""),"")</f>
        <v/>
      </c>
      <c r="M16276" s="16" t="str">
        <f>IFERROR(__xludf.DUMMYFUNCTION("""COMPUTED_VALUE"""),"")</f>
        <v/>
      </c>
      <c r="U16276" s="16" t="s">
        <v>87</v>
      </c>
      <c r="V16276" s="16" t="str">
        <f>IFERROR(__xludf.DUMMYFUNCTION("""COMPUTED_VALUE"""),"")</f>
        <v/>
      </c>
      <c r="W16276" s="16" t="str">
        <f>IFERROR(__xludf.DUMMYFUNCTION("""COMPUTED_VALUE"""),"")</f>
        <v/>
      </c>
      <c r="X16276" s="16" t="str">
        <f>IFERROR(__xludf.DUMMYFUNCTION("""COMPUTED_VALUE"""),"")</f>
        <v/>
      </c>
      <c r="AC16276" s="16" t="str">
        <f>IFERROR(__xludf.DUMMYFUNCTION("""COMPUTED_VALUE"""),"")</f>
        <v/>
      </c>
    </row>
    <row r="16277">
      <c r="A16277" s="16" t="s">
        <v>87</v>
      </c>
      <c r="E16277" s="16" t="str">
        <f>IFERROR(__xludf.DUMMYFUNCTION("""COMPUTED_VALUE"""),"")</f>
        <v/>
      </c>
      <c r="G16277" s="18"/>
      <c r="H16277" s="16" t="s">
        <v>87</v>
      </c>
      <c r="I16277" s="16" t="s">
        <v>87</v>
      </c>
      <c r="J16277" s="19"/>
      <c r="L16277" s="16" t="str">
        <f>IFERROR(__xludf.DUMMYFUNCTION("""COMPUTED_VALUE"""),"")</f>
        <v/>
      </c>
      <c r="M16277" s="16" t="str">
        <f>IFERROR(__xludf.DUMMYFUNCTION("""COMPUTED_VALUE"""),"")</f>
        <v/>
      </c>
      <c r="U16277" s="16" t="s">
        <v>87</v>
      </c>
      <c r="V16277" s="16" t="str">
        <f>IFERROR(__xludf.DUMMYFUNCTION("""COMPUTED_VALUE"""),"")</f>
        <v/>
      </c>
      <c r="W16277" s="16" t="str">
        <f>IFERROR(__xludf.DUMMYFUNCTION("""COMPUTED_VALUE"""),"")</f>
        <v/>
      </c>
      <c r="X16277" s="16" t="str">
        <f>IFERROR(__xludf.DUMMYFUNCTION("""COMPUTED_VALUE"""),"")</f>
        <v/>
      </c>
      <c r="AC16277" s="16" t="str">
        <f>IFERROR(__xludf.DUMMYFUNCTION("""COMPUTED_VALUE"""),"")</f>
        <v/>
      </c>
    </row>
    <row r="16278">
      <c r="A16278" s="16" t="s">
        <v>87</v>
      </c>
      <c r="E16278" s="16" t="str">
        <f>IFERROR(__xludf.DUMMYFUNCTION("""COMPUTED_VALUE"""),"")</f>
        <v/>
      </c>
      <c r="G16278" s="18"/>
      <c r="H16278" s="16" t="s">
        <v>87</v>
      </c>
      <c r="I16278" s="16" t="s">
        <v>87</v>
      </c>
      <c r="J16278" s="19"/>
      <c r="L16278" s="16" t="str">
        <f>IFERROR(__xludf.DUMMYFUNCTION("""COMPUTED_VALUE"""),"")</f>
        <v/>
      </c>
      <c r="M16278" s="16" t="str">
        <f>IFERROR(__xludf.DUMMYFUNCTION("""COMPUTED_VALUE"""),"")</f>
        <v/>
      </c>
      <c r="U16278" s="16" t="s">
        <v>87</v>
      </c>
      <c r="V16278" s="16" t="str">
        <f>IFERROR(__xludf.DUMMYFUNCTION("""COMPUTED_VALUE"""),"")</f>
        <v/>
      </c>
      <c r="W16278" s="16" t="str">
        <f>IFERROR(__xludf.DUMMYFUNCTION("""COMPUTED_VALUE"""),"")</f>
        <v/>
      </c>
      <c r="X16278" s="16" t="str">
        <f>IFERROR(__xludf.DUMMYFUNCTION("""COMPUTED_VALUE"""),"")</f>
        <v/>
      </c>
      <c r="AC16278" s="16" t="str">
        <f>IFERROR(__xludf.DUMMYFUNCTION("""COMPUTED_VALUE"""),"")</f>
        <v/>
      </c>
    </row>
    <row r="16279">
      <c r="A16279" s="16" t="s">
        <v>87</v>
      </c>
      <c r="E16279" s="16" t="str">
        <f>IFERROR(__xludf.DUMMYFUNCTION("""COMPUTED_VALUE"""),"")</f>
        <v/>
      </c>
      <c r="G16279" s="18"/>
      <c r="H16279" s="16" t="s">
        <v>87</v>
      </c>
      <c r="I16279" s="16" t="s">
        <v>87</v>
      </c>
      <c r="J16279" s="19"/>
      <c r="L16279" s="16" t="str">
        <f>IFERROR(__xludf.DUMMYFUNCTION("""COMPUTED_VALUE"""),"")</f>
        <v/>
      </c>
      <c r="M16279" s="16" t="str">
        <f>IFERROR(__xludf.DUMMYFUNCTION("""COMPUTED_VALUE"""),"")</f>
        <v/>
      </c>
      <c r="U16279" s="16" t="s">
        <v>87</v>
      </c>
      <c r="V16279" s="16" t="str">
        <f>IFERROR(__xludf.DUMMYFUNCTION("""COMPUTED_VALUE"""),"")</f>
        <v/>
      </c>
      <c r="W16279" s="16" t="str">
        <f>IFERROR(__xludf.DUMMYFUNCTION("""COMPUTED_VALUE"""),"")</f>
        <v/>
      </c>
      <c r="X16279" s="16" t="str">
        <f>IFERROR(__xludf.DUMMYFUNCTION("""COMPUTED_VALUE"""),"")</f>
        <v/>
      </c>
      <c r="AC16279" s="16" t="str">
        <f>IFERROR(__xludf.DUMMYFUNCTION("""COMPUTED_VALUE"""),"")</f>
        <v/>
      </c>
    </row>
    <row r="16280">
      <c r="A16280" s="16" t="s">
        <v>87</v>
      </c>
      <c r="E16280" s="16" t="str">
        <f>IFERROR(__xludf.DUMMYFUNCTION("""COMPUTED_VALUE"""),"")</f>
        <v/>
      </c>
      <c r="G16280" s="18"/>
      <c r="H16280" s="16" t="s">
        <v>87</v>
      </c>
      <c r="I16280" s="16" t="s">
        <v>87</v>
      </c>
      <c r="J16280" s="19"/>
      <c r="L16280" s="16" t="str">
        <f>IFERROR(__xludf.DUMMYFUNCTION("""COMPUTED_VALUE"""),"")</f>
        <v/>
      </c>
      <c r="M16280" s="16" t="str">
        <f>IFERROR(__xludf.DUMMYFUNCTION("""COMPUTED_VALUE"""),"")</f>
        <v/>
      </c>
      <c r="U16280" s="16" t="s">
        <v>87</v>
      </c>
      <c r="V16280" s="16" t="str">
        <f>IFERROR(__xludf.DUMMYFUNCTION("""COMPUTED_VALUE"""),"")</f>
        <v/>
      </c>
      <c r="W16280" s="16" t="str">
        <f>IFERROR(__xludf.DUMMYFUNCTION("""COMPUTED_VALUE"""),"")</f>
        <v/>
      </c>
      <c r="X16280" s="16" t="str">
        <f>IFERROR(__xludf.DUMMYFUNCTION("""COMPUTED_VALUE"""),"")</f>
        <v/>
      </c>
      <c r="AC16280" s="16" t="str">
        <f>IFERROR(__xludf.DUMMYFUNCTION("""COMPUTED_VALUE"""),"")</f>
        <v/>
      </c>
    </row>
    <row r="16281">
      <c r="A16281" s="16" t="s">
        <v>87</v>
      </c>
      <c r="E16281" s="16" t="str">
        <f>IFERROR(__xludf.DUMMYFUNCTION("""COMPUTED_VALUE"""),"")</f>
        <v/>
      </c>
      <c r="G16281" s="18"/>
      <c r="H16281" s="16" t="s">
        <v>87</v>
      </c>
      <c r="I16281" s="16" t="s">
        <v>87</v>
      </c>
      <c r="J16281" s="19"/>
      <c r="L16281" s="16" t="str">
        <f>IFERROR(__xludf.DUMMYFUNCTION("""COMPUTED_VALUE"""),"")</f>
        <v/>
      </c>
      <c r="M16281" s="16" t="str">
        <f>IFERROR(__xludf.DUMMYFUNCTION("""COMPUTED_VALUE"""),"")</f>
        <v/>
      </c>
      <c r="U16281" s="16" t="s">
        <v>87</v>
      </c>
      <c r="V16281" s="16" t="str">
        <f>IFERROR(__xludf.DUMMYFUNCTION("""COMPUTED_VALUE"""),"")</f>
        <v/>
      </c>
      <c r="W16281" s="16" t="str">
        <f>IFERROR(__xludf.DUMMYFUNCTION("""COMPUTED_VALUE"""),"")</f>
        <v/>
      </c>
      <c r="X16281" s="16" t="str">
        <f>IFERROR(__xludf.DUMMYFUNCTION("""COMPUTED_VALUE"""),"")</f>
        <v/>
      </c>
      <c r="AC16281" s="16" t="str">
        <f>IFERROR(__xludf.DUMMYFUNCTION("""COMPUTED_VALUE"""),"")</f>
        <v/>
      </c>
    </row>
    <row r="16282">
      <c r="A16282" s="16" t="s">
        <v>87</v>
      </c>
      <c r="E16282" s="16" t="str">
        <f>IFERROR(__xludf.DUMMYFUNCTION("""COMPUTED_VALUE"""),"")</f>
        <v/>
      </c>
      <c r="G16282" s="18"/>
      <c r="H16282" s="16" t="s">
        <v>87</v>
      </c>
      <c r="I16282" s="16" t="s">
        <v>87</v>
      </c>
      <c r="J16282" s="19"/>
      <c r="L16282" s="16" t="str">
        <f>IFERROR(__xludf.DUMMYFUNCTION("""COMPUTED_VALUE"""),"")</f>
        <v/>
      </c>
      <c r="M16282" s="16" t="str">
        <f>IFERROR(__xludf.DUMMYFUNCTION("""COMPUTED_VALUE"""),"")</f>
        <v/>
      </c>
      <c r="U16282" s="16" t="s">
        <v>87</v>
      </c>
      <c r="V16282" s="16" t="str">
        <f>IFERROR(__xludf.DUMMYFUNCTION("""COMPUTED_VALUE"""),"")</f>
        <v/>
      </c>
      <c r="W16282" s="16" t="str">
        <f>IFERROR(__xludf.DUMMYFUNCTION("""COMPUTED_VALUE"""),"")</f>
        <v/>
      </c>
      <c r="X16282" s="16" t="str">
        <f>IFERROR(__xludf.DUMMYFUNCTION("""COMPUTED_VALUE"""),"")</f>
        <v/>
      </c>
      <c r="AC16282" s="16" t="str">
        <f>IFERROR(__xludf.DUMMYFUNCTION("""COMPUTED_VALUE"""),"")</f>
        <v/>
      </c>
    </row>
    <row r="16283">
      <c r="A16283" s="16" t="s">
        <v>87</v>
      </c>
      <c r="E16283" s="16" t="str">
        <f>IFERROR(__xludf.DUMMYFUNCTION("""COMPUTED_VALUE"""),"")</f>
        <v/>
      </c>
      <c r="G16283" s="18"/>
      <c r="H16283" s="16" t="s">
        <v>87</v>
      </c>
      <c r="I16283" s="16" t="s">
        <v>87</v>
      </c>
      <c r="J16283" s="19"/>
      <c r="L16283" s="16" t="str">
        <f>IFERROR(__xludf.DUMMYFUNCTION("""COMPUTED_VALUE"""),"")</f>
        <v/>
      </c>
      <c r="M16283" s="16" t="str">
        <f>IFERROR(__xludf.DUMMYFUNCTION("""COMPUTED_VALUE"""),"")</f>
        <v/>
      </c>
      <c r="U16283" s="16" t="s">
        <v>87</v>
      </c>
      <c r="V16283" s="16" t="str">
        <f>IFERROR(__xludf.DUMMYFUNCTION("""COMPUTED_VALUE"""),"")</f>
        <v/>
      </c>
      <c r="W16283" s="16" t="str">
        <f>IFERROR(__xludf.DUMMYFUNCTION("""COMPUTED_VALUE"""),"")</f>
        <v/>
      </c>
      <c r="X16283" s="16" t="str">
        <f>IFERROR(__xludf.DUMMYFUNCTION("""COMPUTED_VALUE"""),"")</f>
        <v/>
      </c>
      <c r="AC16283" s="16" t="str">
        <f>IFERROR(__xludf.DUMMYFUNCTION("""COMPUTED_VALUE"""),"")</f>
        <v/>
      </c>
    </row>
    <row r="16284">
      <c r="A16284" s="16" t="s">
        <v>87</v>
      </c>
      <c r="E16284" s="16" t="str">
        <f>IFERROR(__xludf.DUMMYFUNCTION("""COMPUTED_VALUE"""),"")</f>
        <v/>
      </c>
      <c r="G16284" s="18"/>
      <c r="H16284" s="16" t="s">
        <v>87</v>
      </c>
      <c r="I16284" s="16" t="s">
        <v>87</v>
      </c>
      <c r="J16284" s="19"/>
      <c r="L16284" s="16" t="str">
        <f>IFERROR(__xludf.DUMMYFUNCTION("""COMPUTED_VALUE"""),"")</f>
        <v/>
      </c>
      <c r="M16284" s="16" t="str">
        <f>IFERROR(__xludf.DUMMYFUNCTION("""COMPUTED_VALUE"""),"")</f>
        <v/>
      </c>
      <c r="U16284" s="16" t="s">
        <v>87</v>
      </c>
      <c r="V16284" s="16" t="str">
        <f>IFERROR(__xludf.DUMMYFUNCTION("""COMPUTED_VALUE"""),"")</f>
        <v/>
      </c>
      <c r="W16284" s="16" t="str">
        <f>IFERROR(__xludf.DUMMYFUNCTION("""COMPUTED_VALUE"""),"")</f>
        <v/>
      </c>
      <c r="X16284" s="16" t="str">
        <f>IFERROR(__xludf.DUMMYFUNCTION("""COMPUTED_VALUE"""),"")</f>
        <v/>
      </c>
      <c r="AC16284" s="16" t="str">
        <f>IFERROR(__xludf.DUMMYFUNCTION("""COMPUTED_VALUE"""),"")</f>
        <v/>
      </c>
    </row>
    <row r="16285">
      <c r="A16285" s="16" t="s">
        <v>87</v>
      </c>
      <c r="E16285" s="16" t="str">
        <f>IFERROR(__xludf.DUMMYFUNCTION("""COMPUTED_VALUE"""),"")</f>
        <v/>
      </c>
      <c r="G16285" s="18"/>
      <c r="H16285" s="16" t="s">
        <v>87</v>
      </c>
      <c r="I16285" s="16" t="s">
        <v>87</v>
      </c>
      <c r="J16285" s="19"/>
      <c r="L16285" s="16" t="str">
        <f>IFERROR(__xludf.DUMMYFUNCTION("""COMPUTED_VALUE"""),"")</f>
        <v/>
      </c>
      <c r="M16285" s="16" t="str">
        <f>IFERROR(__xludf.DUMMYFUNCTION("""COMPUTED_VALUE"""),"")</f>
        <v/>
      </c>
      <c r="U16285" s="16" t="s">
        <v>87</v>
      </c>
      <c r="V16285" s="16" t="str">
        <f>IFERROR(__xludf.DUMMYFUNCTION("""COMPUTED_VALUE"""),"")</f>
        <v/>
      </c>
      <c r="W16285" s="16" t="str">
        <f>IFERROR(__xludf.DUMMYFUNCTION("""COMPUTED_VALUE"""),"")</f>
        <v/>
      </c>
      <c r="X16285" s="16" t="str">
        <f>IFERROR(__xludf.DUMMYFUNCTION("""COMPUTED_VALUE"""),"")</f>
        <v/>
      </c>
      <c r="AC16285" s="16" t="str">
        <f>IFERROR(__xludf.DUMMYFUNCTION("""COMPUTED_VALUE"""),"")</f>
        <v/>
      </c>
    </row>
    <row r="16286">
      <c r="A16286" s="16" t="s">
        <v>87</v>
      </c>
      <c r="E16286" s="16" t="str">
        <f>IFERROR(__xludf.DUMMYFUNCTION("""COMPUTED_VALUE"""),"")</f>
        <v/>
      </c>
      <c r="G16286" s="18"/>
      <c r="H16286" s="16" t="s">
        <v>87</v>
      </c>
      <c r="I16286" s="16" t="s">
        <v>87</v>
      </c>
      <c r="J16286" s="19"/>
      <c r="L16286" s="16" t="str">
        <f>IFERROR(__xludf.DUMMYFUNCTION("""COMPUTED_VALUE"""),"")</f>
        <v/>
      </c>
      <c r="M16286" s="16" t="str">
        <f>IFERROR(__xludf.DUMMYFUNCTION("""COMPUTED_VALUE"""),"")</f>
        <v/>
      </c>
      <c r="U16286" s="16" t="s">
        <v>87</v>
      </c>
      <c r="V16286" s="16" t="str">
        <f>IFERROR(__xludf.DUMMYFUNCTION("""COMPUTED_VALUE"""),"")</f>
        <v/>
      </c>
      <c r="W16286" s="16" t="str">
        <f>IFERROR(__xludf.DUMMYFUNCTION("""COMPUTED_VALUE"""),"")</f>
        <v/>
      </c>
      <c r="X16286" s="16" t="str">
        <f>IFERROR(__xludf.DUMMYFUNCTION("""COMPUTED_VALUE"""),"")</f>
        <v/>
      </c>
      <c r="AC16286" s="16" t="str">
        <f>IFERROR(__xludf.DUMMYFUNCTION("""COMPUTED_VALUE"""),"")</f>
        <v/>
      </c>
    </row>
    <row r="16287">
      <c r="A16287" s="16" t="s">
        <v>87</v>
      </c>
      <c r="E16287" s="16" t="str">
        <f>IFERROR(__xludf.DUMMYFUNCTION("""COMPUTED_VALUE"""),"")</f>
        <v/>
      </c>
      <c r="G16287" s="18"/>
      <c r="H16287" s="16" t="s">
        <v>87</v>
      </c>
      <c r="I16287" s="16" t="s">
        <v>87</v>
      </c>
      <c r="J16287" s="19"/>
      <c r="L16287" s="16" t="str">
        <f>IFERROR(__xludf.DUMMYFUNCTION("""COMPUTED_VALUE"""),"")</f>
        <v/>
      </c>
      <c r="M16287" s="16" t="str">
        <f>IFERROR(__xludf.DUMMYFUNCTION("""COMPUTED_VALUE"""),"")</f>
        <v/>
      </c>
      <c r="U16287" s="16" t="s">
        <v>87</v>
      </c>
      <c r="V16287" s="16" t="str">
        <f>IFERROR(__xludf.DUMMYFUNCTION("""COMPUTED_VALUE"""),"")</f>
        <v/>
      </c>
      <c r="W16287" s="16" t="str">
        <f>IFERROR(__xludf.DUMMYFUNCTION("""COMPUTED_VALUE"""),"")</f>
        <v/>
      </c>
      <c r="X16287" s="16" t="str">
        <f>IFERROR(__xludf.DUMMYFUNCTION("""COMPUTED_VALUE"""),"")</f>
        <v/>
      </c>
      <c r="AC16287" s="16" t="str">
        <f>IFERROR(__xludf.DUMMYFUNCTION("""COMPUTED_VALUE"""),"")</f>
        <v/>
      </c>
    </row>
    <row r="16288">
      <c r="A16288" s="16" t="s">
        <v>87</v>
      </c>
      <c r="E16288" s="16" t="str">
        <f>IFERROR(__xludf.DUMMYFUNCTION("""COMPUTED_VALUE"""),"")</f>
        <v/>
      </c>
      <c r="G16288" s="18"/>
      <c r="H16288" s="16" t="s">
        <v>87</v>
      </c>
      <c r="I16288" s="16" t="s">
        <v>87</v>
      </c>
      <c r="J16288" s="19"/>
      <c r="L16288" s="16" t="str">
        <f>IFERROR(__xludf.DUMMYFUNCTION("""COMPUTED_VALUE"""),"")</f>
        <v/>
      </c>
      <c r="M16288" s="16" t="str">
        <f>IFERROR(__xludf.DUMMYFUNCTION("""COMPUTED_VALUE"""),"")</f>
        <v/>
      </c>
      <c r="U16288" s="16" t="s">
        <v>87</v>
      </c>
      <c r="V16288" s="16" t="str">
        <f>IFERROR(__xludf.DUMMYFUNCTION("""COMPUTED_VALUE"""),"")</f>
        <v/>
      </c>
      <c r="W16288" s="16" t="str">
        <f>IFERROR(__xludf.DUMMYFUNCTION("""COMPUTED_VALUE"""),"")</f>
        <v/>
      </c>
      <c r="X16288" s="16" t="str">
        <f>IFERROR(__xludf.DUMMYFUNCTION("""COMPUTED_VALUE"""),"")</f>
        <v/>
      </c>
      <c r="AC16288" s="16" t="str">
        <f>IFERROR(__xludf.DUMMYFUNCTION("""COMPUTED_VALUE"""),"")</f>
        <v/>
      </c>
    </row>
    <row r="16289">
      <c r="A16289" s="16" t="s">
        <v>87</v>
      </c>
      <c r="E16289" s="16" t="str">
        <f>IFERROR(__xludf.DUMMYFUNCTION("""COMPUTED_VALUE"""),"")</f>
        <v/>
      </c>
      <c r="G16289" s="18"/>
      <c r="H16289" s="16" t="s">
        <v>87</v>
      </c>
      <c r="I16289" s="16" t="s">
        <v>87</v>
      </c>
      <c r="J16289" s="19"/>
      <c r="L16289" s="16" t="str">
        <f>IFERROR(__xludf.DUMMYFUNCTION("""COMPUTED_VALUE"""),"")</f>
        <v/>
      </c>
      <c r="M16289" s="16" t="str">
        <f>IFERROR(__xludf.DUMMYFUNCTION("""COMPUTED_VALUE"""),"")</f>
        <v/>
      </c>
      <c r="U16289" s="16" t="s">
        <v>87</v>
      </c>
      <c r="V16289" s="16" t="str">
        <f>IFERROR(__xludf.DUMMYFUNCTION("""COMPUTED_VALUE"""),"")</f>
        <v/>
      </c>
      <c r="W16289" s="16" t="str">
        <f>IFERROR(__xludf.DUMMYFUNCTION("""COMPUTED_VALUE"""),"")</f>
        <v/>
      </c>
      <c r="X16289" s="16" t="str">
        <f>IFERROR(__xludf.DUMMYFUNCTION("""COMPUTED_VALUE"""),"")</f>
        <v/>
      </c>
      <c r="AC16289" s="16" t="str">
        <f>IFERROR(__xludf.DUMMYFUNCTION("""COMPUTED_VALUE"""),"")</f>
        <v/>
      </c>
    </row>
    <row r="16290">
      <c r="A16290" s="16" t="s">
        <v>87</v>
      </c>
      <c r="E16290" s="16" t="str">
        <f>IFERROR(__xludf.DUMMYFUNCTION("""COMPUTED_VALUE"""),"")</f>
        <v/>
      </c>
      <c r="G16290" s="18"/>
      <c r="H16290" s="16" t="s">
        <v>87</v>
      </c>
      <c r="I16290" s="16" t="s">
        <v>87</v>
      </c>
      <c r="J16290" s="19"/>
      <c r="L16290" s="16" t="str">
        <f>IFERROR(__xludf.DUMMYFUNCTION("""COMPUTED_VALUE"""),"")</f>
        <v/>
      </c>
      <c r="M16290" s="16" t="str">
        <f>IFERROR(__xludf.DUMMYFUNCTION("""COMPUTED_VALUE"""),"")</f>
        <v/>
      </c>
      <c r="U16290" s="16" t="s">
        <v>87</v>
      </c>
      <c r="V16290" s="16" t="str">
        <f>IFERROR(__xludf.DUMMYFUNCTION("""COMPUTED_VALUE"""),"")</f>
        <v/>
      </c>
      <c r="W16290" s="16" t="str">
        <f>IFERROR(__xludf.DUMMYFUNCTION("""COMPUTED_VALUE"""),"")</f>
        <v/>
      </c>
      <c r="X16290" s="16" t="str">
        <f>IFERROR(__xludf.DUMMYFUNCTION("""COMPUTED_VALUE"""),"")</f>
        <v/>
      </c>
      <c r="AC16290" s="16" t="str">
        <f>IFERROR(__xludf.DUMMYFUNCTION("""COMPUTED_VALUE"""),"")</f>
        <v/>
      </c>
    </row>
    <row r="16291">
      <c r="A16291" s="16" t="s">
        <v>87</v>
      </c>
      <c r="E16291" s="16" t="str">
        <f>IFERROR(__xludf.DUMMYFUNCTION("""COMPUTED_VALUE"""),"")</f>
        <v/>
      </c>
      <c r="G16291" s="18"/>
      <c r="H16291" s="16" t="s">
        <v>87</v>
      </c>
      <c r="I16291" s="16" t="s">
        <v>87</v>
      </c>
      <c r="J16291" s="19"/>
      <c r="L16291" s="16" t="str">
        <f>IFERROR(__xludf.DUMMYFUNCTION("""COMPUTED_VALUE"""),"")</f>
        <v/>
      </c>
      <c r="M16291" s="16" t="str">
        <f>IFERROR(__xludf.DUMMYFUNCTION("""COMPUTED_VALUE"""),"")</f>
        <v/>
      </c>
      <c r="U16291" s="16" t="s">
        <v>87</v>
      </c>
      <c r="V16291" s="16" t="str">
        <f>IFERROR(__xludf.DUMMYFUNCTION("""COMPUTED_VALUE"""),"")</f>
        <v/>
      </c>
      <c r="W16291" s="16" t="str">
        <f>IFERROR(__xludf.DUMMYFUNCTION("""COMPUTED_VALUE"""),"")</f>
        <v/>
      </c>
      <c r="X16291" s="16" t="str">
        <f>IFERROR(__xludf.DUMMYFUNCTION("""COMPUTED_VALUE"""),"")</f>
        <v/>
      </c>
      <c r="AC16291" s="16" t="str">
        <f>IFERROR(__xludf.DUMMYFUNCTION("""COMPUTED_VALUE"""),"")</f>
        <v/>
      </c>
    </row>
    <row r="16292">
      <c r="A16292" s="16" t="s">
        <v>87</v>
      </c>
      <c r="E16292" s="16" t="str">
        <f>IFERROR(__xludf.DUMMYFUNCTION("""COMPUTED_VALUE"""),"")</f>
        <v/>
      </c>
      <c r="G16292" s="18"/>
      <c r="H16292" s="16" t="s">
        <v>87</v>
      </c>
      <c r="I16292" s="16" t="s">
        <v>87</v>
      </c>
      <c r="J16292" s="19"/>
      <c r="L16292" s="16" t="str">
        <f>IFERROR(__xludf.DUMMYFUNCTION("""COMPUTED_VALUE"""),"")</f>
        <v/>
      </c>
      <c r="M16292" s="16" t="str">
        <f>IFERROR(__xludf.DUMMYFUNCTION("""COMPUTED_VALUE"""),"")</f>
        <v/>
      </c>
      <c r="U16292" s="16" t="s">
        <v>87</v>
      </c>
      <c r="V16292" s="16" t="str">
        <f>IFERROR(__xludf.DUMMYFUNCTION("""COMPUTED_VALUE"""),"")</f>
        <v/>
      </c>
      <c r="W16292" s="16" t="str">
        <f>IFERROR(__xludf.DUMMYFUNCTION("""COMPUTED_VALUE"""),"")</f>
        <v/>
      </c>
      <c r="X16292" s="16" t="str">
        <f>IFERROR(__xludf.DUMMYFUNCTION("""COMPUTED_VALUE"""),"")</f>
        <v/>
      </c>
      <c r="AC16292" s="16" t="str">
        <f>IFERROR(__xludf.DUMMYFUNCTION("""COMPUTED_VALUE"""),"")</f>
        <v/>
      </c>
    </row>
    <row r="16293">
      <c r="A16293" s="16" t="s">
        <v>87</v>
      </c>
      <c r="E16293" s="16" t="str">
        <f>IFERROR(__xludf.DUMMYFUNCTION("""COMPUTED_VALUE"""),"")</f>
        <v/>
      </c>
      <c r="G16293" s="18"/>
      <c r="H16293" s="16" t="s">
        <v>87</v>
      </c>
      <c r="I16293" s="16" t="s">
        <v>87</v>
      </c>
      <c r="J16293" s="19"/>
      <c r="L16293" s="16" t="str">
        <f>IFERROR(__xludf.DUMMYFUNCTION("""COMPUTED_VALUE"""),"")</f>
        <v/>
      </c>
      <c r="M16293" s="16" t="str">
        <f>IFERROR(__xludf.DUMMYFUNCTION("""COMPUTED_VALUE"""),"")</f>
        <v/>
      </c>
      <c r="U16293" s="16" t="s">
        <v>87</v>
      </c>
      <c r="V16293" s="16" t="str">
        <f>IFERROR(__xludf.DUMMYFUNCTION("""COMPUTED_VALUE"""),"")</f>
        <v/>
      </c>
      <c r="W16293" s="16" t="str">
        <f>IFERROR(__xludf.DUMMYFUNCTION("""COMPUTED_VALUE"""),"")</f>
        <v/>
      </c>
      <c r="X16293" s="16" t="str">
        <f>IFERROR(__xludf.DUMMYFUNCTION("""COMPUTED_VALUE"""),"")</f>
        <v/>
      </c>
      <c r="AC16293" s="16" t="str">
        <f>IFERROR(__xludf.DUMMYFUNCTION("""COMPUTED_VALUE"""),"")</f>
        <v/>
      </c>
    </row>
    <row r="16294">
      <c r="A16294" s="16" t="s">
        <v>87</v>
      </c>
      <c r="E16294" s="16" t="str">
        <f>IFERROR(__xludf.DUMMYFUNCTION("""COMPUTED_VALUE"""),"")</f>
        <v/>
      </c>
      <c r="G16294" s="18"/>
      <c r="H16294" s="16" t="s">
        <v>87</v>
      </c>
      <c r="I16294" s="16" t="s">
        <v>87</v>
      </c>
      <c r="J16294" s="19"/>
      <c r="L16294" s="16" t="str">
        <f>IFERROR(__xludf.DUMMYFUNCTION("""COMPUTED_VALUE"""),"")</f>
        <v/>
      </c>
      <c r="M16294" s="16" t="str">
        <f>IFERROR(__xludf.DUMMYFUNCTION("""COMPUTED_VALUE"""),"")</f>
        <v/>
      </c>
      <c r="U16294" s="16" t="s">
        <v>87</v>
      </c>
      <c r="V16294" s="16" t="str">
        <f>IFERROR(__xludf.DUMMYFUNCTION("""COMPUTED_VALUE"""),"")</f>
        <v/>
      </c>
      <c r="W16294" s="16" t="str">
        <f>IFERROR(__xludf.DUMMYFUNCTION("""COMPUTED_VALUE"""),"")</f>
        <v/>
      </c>
      <c r="X16294" s="16" t="str">
        <f>IFERROR(__xludf.DUMMYFUNCTION("""COMPUTED_VALUE"""),"")</f>
        <v/>
      </c>
      <c r="AC16294" s="16" t="str">
        <f>IFERROR(__xludf.DUMMYFUNCTION("""COMPUTED_VALUE"""),"")</f>
        <v/>
      </c>
    </row>
    <row r="16295">
      <c r="A16295" s="16" t="s">
        <v>87</v>
      </c>
      <c r="E16295" s="16" t="str">
        <f>IFERROR(__xludf.DUMMYFUNCTION("""COMPUTED_VALUE"""),"")</f>
        <v/>
      </c>
      <c r="G16295" s="18"/>
      <c r="H16295" s="16" t="s">
        <v>87</v>
      </c>
      <c r="I16295" s="16" t="s">
        <v>87</v>
      </c>
      <c r="J16295" s="19"/>
      <c r="L16295" s="16" t="str">
        <f>IFERROR(__xludf.DUMMYFUNCTION("""COMPUTED_VALUE"""),"")</f>
        <v/>
      </c>
      <c r="M16295" s="16" t="str">
        <f>IFERROR(__xludf.DUMMYFUNCTION("""COMPUTED_VALUE"""),"")</f>
        <v/>
      </c>
      <c r="U16295" s="16" t="s">
        <v>87</v>
      </c>
      <c r="V16295" s="16" t="str">
        <f>IFERROR(__xludf.DUMMYFUNCTION("""COMPUTED_VALUE"""),"")</f>
        <v/>
      </c>
      <c r="W16295" s="16" t="str">
        <f>IFERROR(__xludf.DUMMYFUNCTION("""COMPUTED_VALUE"""),"")</f>
        <v/>
      </c>
      <c r="X16295" s="16" t="str">
        <f>IFERROR(__xludf.DUMMYFUNCTION("""COMPUTED_VALUE"""),"")</f>
        <v/>
      </c>
      <c r="AC16295" s="16" t="str">
        <f>IFERROR(__xludf.DUMMYFUNCTION("""COMPUTED_VALUE"""),"")</f>
        <v/>
      </c>
    </row>
    <row r="16296">
      <c r="A16296" s="16" t="s">
        <v>87</v>
      </c>
      <c r="E16296" s="16" t="str">
        <f>IFERROR(__xludf.DUMMYFUNCTION("""COMPUTED_VALUE"""),"")</f>
        <v/>
      </c>
      <c r="G16296" s="18"/>
      <c r="H16296" s="16" t="s">
        <v>87</v>
      </c>
      <c r="I16296" s="16" t="s">
        <v>87</v>
      </c>
      <c r="J16296" s="19"/>
      <c r="L16296" s="16" t="str">
        <f>IFERROR(__xludf.DUMMYFUNCTION("""COMPUTED_VALUE"""),"")</f>
        <v/>
      </c>
      <c r="M16296" s="16" t="str">
        <f>IFERROR(__xludf.DUMMYFUNCTION("""COMPUTED_VALUE"""),"")</f>
        <v/>
      </c>
      <c r="U16296" s="16" t="s">
        <v>87</v>
      </c>
      <c r="V16296" s="16" t="str">
        <f>IFERROR(__xludf.DUMMYFUNCTION("""COMPUTED_VALUE"""),"")</f>
        <v/>
      </c>
      <c r="W16296" s="16" t="str">
        <f>IFERROR(__xludf.DUMMYFUNCTION("""COMPUTED_VALUE"""),"")</f>
        <v/>
      </c>
      <c r="X16296" s="16" t="str">
        <f>IFERROR(__xludf.DUMMYFUNCTION("""COMPUTED_VALUE"""),"")</f>
        <v/>
      </c>
      <c r="AC16296" s="16" t="str">
        <f>IFERROR(__xludf.DUMMYFUNCTION("""COMPUTED_VALUE"""),"")</f>
        <v/>
      </c>
    </row>
    <row r="16297">
      <c r="A16297" s="16" t="s">
        <v>87</v>
      </c>
      <c r="E16297" s="16" t="str">
        <f>IFERROR(__xludf.DUMMYFUNCTION("""COMPUTED_VALUE"""),"")</f>
        <v/>
      </c>
      <c r="G16297" s="18"/>
      <c r="H16297" s="16" t="s">
        <v>87</v>
      </c>
      <c r="I16297" s="16" t="s">
        <v>87</v>
      </c>
      <c r="J16297" s="19"/>
      <c r="L16297" s="16" t="str">
        <f>IFERROR(__xludf.DUMMYFUNCTION("""COMPUTED_VALUE"""),"")</f>
        <v/>
      </c>
      <c r="M16297" s="16" t="str">
        <f>IFERROR(__xludf.DUMMYFUNCTION("""COMPUTED_VALUE"""),"")</f>
        <v/>
      </c>
      <c r="U16297" s="16" t="s">
        <v>87</v>
      </c>
      <c r="V16297" s="16" t="str">
        <f>IFERROR(__xludf.DUMMYFUNCTION("""COMPUTED_VALUE"""),"")</f>
        <v/>
      </c>
      <c r="W16297" s="16" t="str">
        <f>IFERROR(__xludf.DUMMYFUNCTION("""COMPUTED_VALUE"""),"")</f>
        <v/>
      </c>
      <c r="X16297" s="16" t="str">
        <f>IFERROR(__xludf.DUMMYFUNCTION("""COMPUTED_VALUE"""),"")</f>
        <v/>
      </c>
      <c r="AC16297" s="16" t="str">
        <f>IFERROR(__xludf.DUMMYFUNCTION("""COMPUTED_VALUE"""),"")</f>
        <v/>
      </c>
    </row>
    <row r="16298">
      <c r="A16298" s="16" t="s">
        <v>87</v>
      </c>
      <c r="E16298" s="16" t="str">
        <f>IFERROR(__xludf.DUMMYFUNCTION("""COMPUTED_VALUE"""),"")</f>
        <v/>
      </c>
      <c r="G16298" s="18"/>
      <c r="H16298" s="16" t="s">
        <v>87</v>
      </c>
      <c r="I16298" s="16" t="s">
        <v>87</v>
      </c>
      <c r="J16298" s="19"/>
      <c r="L16298" s="16" t="str">
        <f>IFERROR(__xludf.DUMMYFUNCTION("""COMPUTED_VALUE"""),"")</f>
        <v/>
      </c>
      <c r="M16298" s="16" t="str">
        <f>IFERROR(__xludf.DUMMYFUNCTION("""COMPUTED_VALUE"""),"")</f>
        <v/>
      </c>
      <c r="U16298" s="16" t="s">
        <v>87</v>
      </c>
      <c r="V16298" s="16" t="str">
        <f>IFERROR(__xludf.DUMMYFUNCTION("""COMPUTED_VALUE"""),"")</f>
        <v/>
      </c>
      <c r="W16298" s="16" t="str">
        <f>IFERROR(__xludf.DUMMYFUNCTION("""COMPUTED_VALUE"""),"")</f>
        <v/>
      </c>
      <c r="X16298" s="16" t="str">
        <f>IFERROR(__xludf.DUMMYFUNCTION("""COMPUTED_VALUE"""),"")</f>
        <v/>
      </c>
      <c r="AC16298" s="16" t="str">
        <f>IFERROR(__xludf.DUMMYFUNCTION("""COMPUTED_VALUE"""),"")</f>
        <v/>
      </c>
    </row>
    <row r="16299">
      <c r="A16299" s="16" t="s">
        <v>87</v>
      </c>
      <c r="E16299" s="16" t="str">
        <f>IFERROR(__xludf.DUMMYFUNCTION("""COMPUTED_VALUE"""),"")</f>
        <v/>
      </c>
      <c r="G16299" s="18"/>
      <c r="H16299" s="16" t="s">
        <v>87</v>
      </c>
      <c r="I16299" s="16" t="s">
        <v>87</v>
      </c>
      <c r="J16299" s="19"/>
      <c r="L16299" s="16" t="str">
        <f>IFERROR(__xludf.DUMMYFUNCTION("""COMPUTED_VALUE"""),"")</f>
        <v/>
      </c>
      <c r="M16299" s="16" t="str">
        <f>IFERROR(__xludf.DUMMYFUNCTION("""COMPUTED_VALUE"""),"")</f>
        <v/>
      </c>
      <c r="U16299" s="16" t="s">
        <v>87</v>
      </c>
      <c r="V16299" s="16" t="str">
        <f>IFERROR(__xludf.DUMMYFUNCTION("""COMPUTED_VALUE"""),"")</f>
        <v/>
      </c>
      <c r="W16299" s="16" t="str">
        <f>IFERROR(__xludf.DUMMYFUNCTION("""COMPUTED_VALUE"""),"")</f>
        <v/>
      </c>
      <c r="X16299" s="16" t="str">
        <f>IFERROR(__xludf.DUMMYFUNCTION("""COMPUTED_VALUE"""),"")</f>
        <v/>
      </c>
      <c r="AC16299" s="16" t="str">
        <f>IFERROR(__xludf.DUMMYFUNCTION("""COMPUTED_VALUE"""),"")</f>
        <v/>
      </c>
    </row>
    <row r="16300">
      <c r="A16300" s="16" t="s">
        <v>87</v>
      </c>
      <c r="E16300" s="16" t="str">
        <f>IFERROR(__xludf.DUMMYFUNCTION("""COMPUTED_VALUE"""),"")</f>
        <v/>
      </c>
      <c r="G16300" s="18"/>
      <c r="H16300" s="16" t="s">
        <v>87</v>
      </c>
      <c r="I16300" s="16" t="s">
        <v>87</v>
      </c>
      <c r="J16300" s="19"/>
      <c r="L16300" s="16" t="str">
        <f>IFERROR(__xludf.DUMMYFUNCTION("""COMPUTED_VALUE"""),"")</f>
        <v/>
      </c>
      <c r="M16300" s="16" t="str">
        <f>IFERROR(__xludf.DUMMYFUNCTION("""COMPUTED_VALUE"""),"")</f>
        <v/>
      </c>
      <c r="U16300" s="16" t="s">
        <v>87</v>
      </c>
      <c r="V16300" s="16" t="str">
        <f>IFERROR(__xludf.DUMMYFUNCTION("""COMPUTED_VALUE"""),"")</f>
        <v/>
      </c>
      <c r="W16300" s="16" t="str">
        <f>IFERROR(__xludf.DUMMYFUNCTION("""COMPUTED_VALUE"""),"")</f>
        <v/>
      </c>
      <c r="X16300" s="16" t="str">
        <f>IFERROR(__xludf.DUMMYFUNCTION("""COMPUTED_VALUE"""),"")</f>
        <v/>
      </c>
      <c r="AC16300" s="16" t="str">
        <f>IFERROR(__xludf.DUMMYFUNCTION("""COMPUTED_VALUE"""),"")</f>
        <v/>
      </c>
    </row>
    <row r="16301">
      <c r="A16301" s="16" t="s">
        <v>87</v>
      </c>
      <c r="E16301" s="16" t="str">
        <f>IFERROR(__xludf.DUMMYFUNCTION("""COMPUTED_VALUE"""),"")</f>
        <v/>
      </c>
      <c r="G16301" s="18"/>
      <c r="H16301" s="16" t="s">
        <v>87</v>
      </c>
      <c r="I16301" s="16" t="s">
        <v>87</v>
      </c>
      <c r="J16301" s="19"/>
      <c r="L16301" s="16" t="str">
        <f>IFERROR(__xludf.DUMMYFUNCTION("""COMPUTED_VALUE"""),"")</f>
        <v/>
      </c>
      <c r="M16301" s="16" t="str">
        <f>IFERROR(__xludf.DUMMYFUNCTION("""COMPUTED_VALUE"""),"")</f>
        <v/>
      </c>
      <c r="U16301" s="16" t="s">
        <v>87</v>
      </c>
      <c r="V16301" s="16" t="str">
        <f>IFERROR(__xludf.DUMMYFUNCTION("""COMPUTED_VALUE"""),"")</f>
        <v/>
      </c>
      <c r="W16301" s="16" t="str">
        <f>IFERROR(__xludf.DUMMYFUNCTION("""COMPUTED_VALUE"""),"")</f>
        <v/>
      </c>
      <c r="X16301" s="16" t="str">
        <f>IFERROR(__xludf.DUMMYFUNCTION("""COMPUTED_VALUE"""),"")</f>
        <v/>
      </c>
      <c r="AC16301" s="16" t="str">
        <f>IFERROR(__xludf.DUMMYFUNCTION("""COMPUTED_VALUE"""),"")</f>
        <v/>
      </c>
    </row>
    <row r="16302">
      <c r="A16302" s="16" t="s">
        <v>87</v>
      </c>
      <c r="E16302" s="16" t="str">
        <f>IFERROR(__xludf.DUMMYFUNCTION("""COMPUTED_VALUE"""),"")</f>
        <v/>
      </c>
      <c r="G16302" s="18"/>
      <c r="H16302" s="16" t="s">
        <v>87</v>
      </c>
      <c r="I16302" s="16" t="s">
        <v>87</v>
      </c>
      <c r="J16302" s="19"/>
      <c r="L16302" s="16" t="str">
        <f>IFERROR(__xludf.DUMMYFUNCTION("""COMPUTED_VALUE"""),"")</f>
        <v/>
      </c>
      <c r="M16302" s="16" t="str">
        <f>IFERROR(__xludf.DUMMYFUNCTION("""COMPUTED_VALUE"""),"")</f>
        <v/>
      </c>
      <c r="U16302" s="16" t="s">
        <v>87</v>
      </c>
      <c r="V16302" s="16" t="str">
        <f>IFERROR(__xludf.DUMMYFUNCTION("""COMPUTED_VALUE"""),"")</f>
        <v/>
      </c>
      <c r="W16302" s="16" t="str">
        <f>IFERROR(__xludf.DUMMYFUNCTION("""COMPUTED_VALUE"""),"")</f>
        <v/>
      </c>
      <c r="X16302" s="16" t="str">
        <f>IFERROR(__xludf.DUMMYFUNCTION("""COMPUTED_VALUE"""),"")</f>
        <v/>
      </c>
      <c r="AC16302" s="16" t="str">
        <f>IFERROR(__xludf.DUMMYFUNCTION("""COMPUTED_VALUE"""),"")</f>
        <v/>
      </c>
    </row>
    <row r="16303">
      <c r="A16303" s="16" t="s">
        <v>87</v>
      </c>
      <c r="E16303" s="16" t="str">
        <f>IFERROR(__xludf.DUMMYFUNCTION("""COMPUTED_VALUE"""),"")</f>
        <v/>
      </c>
      <c r="G16303" s="18"/>
      <c r="H16303" s="16" t="s">
        <v>87</v>
      </c>
      <c r="I16303" s="16" t="s">
        <v>87</v>
      </c>
      <c r="J16303" s="19"/>
      <c r="L16303" s="16" t="str">
        <f>IFERROR(__xludf.DUMMYFUNCTION("""COMPUTED_VALUE"""),"")</f>
        <v/>
      </c>
      <c r="M16303" s="16" t="str">
        <f>IFERROR(__xludf.DUMMYFUNCTION("""COMPUTED_VALUE"""),"")</f>
        <v/>
      </c>
      <c r="U16303" s="16" t="s">
        <v>87</v>
      </c>
      <c r="V16303" s="16" t="str">
        <f>IFERROR(__xludf.DUMMYFUNCTION("""COMPUTED_VALUE"""),"")</f>
        <v/>
      </c>
      <c r="W16303" s="16" t="str">
        <f>IFERROR(__xludf.DUMMYFUNCTION("""COMPUTED_VALUE"""),"")</f>
        <v/>
      </c>
      <c r="X16303" s="16" t="str">
        <f>IFERROR(__xludf.DUMMYFUNCTION("""COMPUTED_VALUE"""),"")</f>
        <v/>
      </c>
      <c r="AC16303" s="16" t="str">
        <f>IFERROR(__xludf.DUMMYFUNCTION("""COMPUTED_VALUE"""),"")</f>
        <v/>
      </c>
    </row>
    <row r="16304">
      <c r="A16304" s="16" t="s">
        <v>87</v>
      </c>
      <c r="E16304" s="16" t="str">
        <f>IFERROR(__xludf.DUMMYFUNCTION("""COMPUTED_VALUE"""),"")</f>
        <v/>
      </c>
      <c r="G16304" s="18"/>
      <c r="H16304" s="16" t="s">
        <v>87</v>
      </c>
      <c r="I16304" s="16" t="s">
        <v>87</v>
      </c>
      <c r="J16304" s="19"/>
      <c r="L16304" s="16" t="str">
        <f>IFERROR(__xludf.DUMMYFUNCTION("""COMPUTED_VALUE"""),"")</f>
        <v/>
      </c>
      <c r="M16304" s="16" t="str">
        <f>IFERROR(__xludf.DUMMYFUNCTION("""COMPUTED_VALUE"""),"")</f>
        <v/>
      </c>
      <c r="U16304" s="16" t="s">
        <v>87</v>
      </c>
      <c r="V16304" s="16" t="str">
        <f>IFERROR(__xludf.DUMMYFUNCTION("""COMPUTED_VALUE"""),"")</f>
        <v/>
      </c>
      <c r="W16304" s="16" t="str">
        <f>IFERROR(__xludf.DUMMYFUNCTION("""COMPUTED_VALUE"""),"")</f>
        <v/>
      </c>
      <c r="X16304" s="16" t="str">
        <f>IFERROR(__xludf.DUMMYFUNCTION("""COMPUTED_VALUE"""),"")</f>
        <v/>
      </c>
      <c r="AC16304" s="16" t="str">
        <f>IFERROR(__xludf.DUMMYFUNCTION("""COMPUTED_VALUE"""),"")</f>
        <v/>
      </c>
    </row>
    <row r="16305">
      <c r="A16305" s="16" t="s">
        <v>87</v>
      </c>
      <c r="E16305" s="16" t="str">
        <f>IFERROR(__xludf.DUMMYFUNCTION("""COMPUTED_VALUE"""),"")</f>
        <v/>
      </c>
      <c r="G16305" s="18"/>
      <c r="H16305" s="16" t="s">
        <v>87</v>
      </c>
      <c r="I16305" s="16" t="s">
        <v>87</v>
      </c>
      <c r="J16305" s="19"/>
      <c r="L16305" s="16" t="str">
        <f>IFERROR(__xludf.DUMMYFUNCTION("""COMPUTED_VALUE"""),"")</f>
        <v/>
      </c>
      <c r="M16305" s="16" t="str">
        <f>IFERROR(__xludf.DUMMYFUNCTION("""COMPUTED_VALUE"""),"")</f>
        <v/>
      </c>
      <c r="U16305" s="16" t="s">
        <v>87</v>
      </c>
      <c r="V16305" s="16" t="str">
        <f>IFERROR(__xludf.DUMMYFUNCTION("""COMPUTED_VALUE"""),"")</f>
        <v/>
      </c>
      <c r="W16305" s="16" t="str">
        <f>IFERROR(__xludf.DUMMYFUNCTION("""COMPUTED_VALUE"""),"")</f>
        <v/>
      </c>
      <c r="X16305" s="16" t="str">
        <f>IFERROR(__xludf.DUMMYFUNCTION("""COMPUTED_VALUE"""),"")</f>
        <v/>
      </c>
      <c r="AC16305" s="16" t="str">
        <f>IFERROR(__xludf.DUMMYFUNCTION("""COMPUTED_VALUE"""),"")</f>
        <v/>
      </c>
    </row>
    <row r="16306">
      <c r="A16306" s="16" t="s">
        <v>87</v>
      </c>
      <c r="E16306" s="16" t="str">
        <f>IFERROR(__xludf.DUMMYFUNCTION("""COMPUTED_VALUE"""),"")</f>
        <v/>
      </c>
      <c r="G16306" s="18"/>
      <c r="H16306" s="16" t="s">
        <v>87</v>
      </c>
      <c r="I16306" s="16" t="s">
        <v>87</v>
      </c>
      <c r="J16306" s="19"/>
      <c r="L16306" s="16" t="str">
        <f>IFERROR(__xludf.DUMMYFUNCTION("""COMPUTED_VALUE"""),"")</f>
        <v/>
      </c>
      <c r="M16306" s="16" t="str">
        <f>IFERROR(__xludf.DUMMYFUNCTION("""COMPUTED_VALUE"""),"")</f>
        <v/>
      </c>
      <c r="U16306" s="16" t="s">
        <v>87</v>
      </c>
      <c r="V16306" s="16" t="str">
        <f>IFERROR(__xludf.DUMMYFUNCTION("""COMPUTED_VALUE"""),"")</f>
        <v/>
      </c>
      <c r="W16306" s="16" t="str">
        <f>IFERROR(__xludf.DUMMYFUNCTION("""COMPUTED_VALUE"""),"")</f>
        <v/>
      </c>
      <c r="X16306" s="16" t="str">
        <f>IFERROR(__xludf.DUMMYFUNCTION("""COMPUTED_VALUE"""),"")</f>
        <v/>
      </c>
      <c r="AC16306" s="16" t="str">
        <f>IFERROR(__xludf.DUMMYFUNCTION("""COMPUTED_VALUE"""),"")</f>
        <v/>
      </c>
    </row>
    <row r="16307">
      <c r="A16307" s="16" t="s">
        <v>87</v>
      </c>
      <c r="E16307" s="16" t="str">
        <f>IFERROR(__xludf.DUMMYFUNCTION("""COMPUTED_VALUE"""),"")</f>
        <v/>
      </c>
      <c r="G16307" s="18"/>
      <c r="H16307" s="16" t="s">
        <v>87</v>
      </c>
      <c r="I16307" s="16" t="s">
        <v>87</v>
      </c>
      <c r="J16307" s="19"/>
      <c r="L16307" s="16" t="str">
        <f>IFERROR(__xludf.DUMMYFUNCTION("""COMPUTED_VALUE"""),"")</f>
        <v/>
      </c>
      <c r="M16307" s="16" t="str">
        <f>IFERROR(__xludf.DUMMYFUNCTION("""COMPUTED_VALUE"""),"")</f>
        <v/>
      </c>
      <c r="U16307" s="16" t="s">
        <v>87</v>
      </c>
      <c r="V16307" s="16" t="str">
        <f>IFERROR(__xludf.DUMMYFUNCTION("""COMPUTED_VALUE"""),"")</f>
        <v/>
      </c>
      <c r="W16307" s="16" t="str">
        <f>IFERROR(__xludf.DUMMYFUNCTION("""COMPUTED_VALUE"""),"")</f>
        <v/>
      </c>
      <c r="X16307" s="16" t="str">
        <f>IFERROR(__xludf.DUMMYFUNCTION("""COMPUTED_VALUE"""),"")</f>
        <v/>
      </c>
      <c r="AC16307" s="16" t="str">
        <f>IFERROR(__xludf.DUMMYFUNCTION("""COMPUTED_VALUE"""),"")</f>
        <v/>
      </c>
    </row>
    <row r="16308">
      <c r="A16308" s="16" t="s">
        <v>87</v>
      </c>
      <c r="E16308" s="16" t="str">
        <f>IFERROR(__xludf.DUMMYFUNCTION("""COMPUTED_VALUE"""),"")</f>
        <v/>
      </c>
      <c r="G16308" s="18"/>
      <c r="H16308" s="16" t="s">
        <v>87</v>
      </c>
      <c r="I16308" s="16" t="s">
        <v>87</v>
      </c>
      <c r="J16308" s="19"/>
      <c r="L16308" s="16" t="str">
        <f>IFERROR(__xludf.DUMMYFUNCTION("""COMPUTED_VALUE"""),"")</f>
        <v/>
      </c>
      <c r="M16308" s="16" t="str">
        <f>IFERROR(__xludf.DUMMYFUNCTION("""COMPUTED_VALUE"""),"")</f>
        <v/>
      </c>
      <c r="U16308" s="16" t="s">
        <v>87</v>
      </c>
      <c r="V16308" s="16" t="str">
        <f>IFERROR(__xludf.DUMMYFUNCTION("""COMPUTED_VALUE"""),"")</f>
        <v/>
      </c>
      <c r="W16308" s="16" t="str">
        <f>IFERROR(__xludf.DUMMYFUNCTION("""COMPUTED_VALUE"""),"")</f>
        <v/>
      </c>
      <c r="X16308" s="16" t="str">
        <f>IFERROR(__xludf.DUMMYFUNCTION("""COMPUTED_VALUE"""),"")</f>
        <v/>
      </c>
      <c r="AC16308" s="16" t="str">
        <f>IFERROR(__xludf.DUMMYFUNCTION("""COMPUTED_VALUE"""),"")</f>
        <v/>
      </c>
    </row>
    <row r="16309">
      <c r="A16309" s="16" t="s">
        <v>87</v>
      </c>
      <c r="E16309" s="16" t="str">
        <f>IFERROR(__xludf.DUMMYFUNCTION("""COMPUTED_VALUE"""),"")</f>
        <v/>
      </c>
      <c r="G16309" s="18"/>
      <c r="H16309" s="16" t="s">
        <v>87</v>
      </c>
      <c r="I16309" s="16" t="s">
        <v>87</v>
      </c>
      <c r="J16309" s="19"/>
      <c r="L16309" s="16" t="str">
        <f>IFERROR(__xludf.DUMMYFUNCTION("""COMPUTED_VALUE"""),"")</f>
        <v/>
      </c>
      <c r="M16309" s="16" t="str">
        <f>IFERROR(__xludf.DUMMYFUNCTION("""COMPUTED_VALUE"""),"")</f>
        <v/>
      </c>
      <c r="U16309" s="16" t="s">
        <v>87</v>
      </c>
      <c r="V16309" s="16" t="str">
        <f>IFERROR(__xludf.DUMMYFUNCTION("""COMPUTED_VALUE"""),"")</f>
        <v/>
      </c>
      <c r="W16309" s="16" t="str">
        <f>IFERROR(__xludf.DUMMYFUNCTION("""COMPUTED_VALUE"""),"")</f>
        <v/>
      </c>
      <c r="X16309" s="16" t="str">
        <f>IFERROR(__xludf.DUMMYFUNCTION("""COMPUTED_VALUE"""),"")</f>
        <v/>
      </c>
      <c r="AC16309" s="16" t="str">
        <f>IFERROR(__xludf.DUMMYFUNCTION("""COMPUTED_VALUE"""),"")</f>
        <v/>
      </c>
    </row>
    <row r="16310">
      <c r="A16310" s="16" t="s">
        <v>87</v>
      </c>
      <c r="E16310" s="16" t="str">
        <f>IFERROR(__xludf.DUMMYFUNCTION("""COMPUTED_VALUE"""),"")</f>
        <v/>
      </c>
      <c r="G16310" s="18"/>
      <c r="H16310" s="16" t="s">
        <v>87</v>
      </c>
      <c r="I16310" s="16" t="s">
        <v>87</v>
      </c>
      <c r="J16310" s="19"/>
      <c r="L16310" s="16" t="str">
        <f>IFERROR(__xludf.DUMMYFUNCTION("""COMPUTED_VALUE"""),"")</f>
        <v/>
      </c>
      <c r="M16310" s="16" t="str">
        <f>IFERROR(__xludf.DUMMYFUNCTION("""COMPUTED_VALUE"""),"")</f>
        <v/>
      </c>
      <c r="U16310" s="16" t="s">
        <v>87</v>
      </c>
      <c r="V16310" s="16" t="str">
        <f>IFERROR(__xludf.DUMMYFUNCTION("""COMPUTED_VALUE"""),"")</f>
        <v/>
      </c>
      <c r="W16310" s="16" t="str">
        <f>IFERROR(__xludf.DUMMYFUNCTION("""COMPUTED_VALUE"""),"")</f>
        <v/>
      </c>
      <c r="X16310" s="16" t="str">
        <f>IFERROR(__xludf.DUMMYFUNCTION("""COMPUTED_VALUE"""),"")</f>
        <v/>
      </c>
      <c r="AC16310" s="16" t="str">
        <f>IFERROR(__xludf.DUMMYFUNCTION("""COMPUTED_VALUE"""),"")</f>
        <v/>
      </c>
    </row>
    <row r="16311">
      <c r="A16311" s="16" t="s">
        <v>87</v>
      </c>
      <c r="E16311" s="16" t="str">
        <f>IFERROR(__xludf.DUMMYFUNCTION("""COMPUTED_VALUE"""),"")</f>
        <v/>
      </c>
      <c r="G16311" s="18"/>
      <c r="H16311" s="16" t="s">
        <v>87</v>
      </c>
      <c r="I16311" s="16" t="s">
        <v>87</v>
      </c>
      <c r="J16311" s="19"/>
      <c r="L16311" s="16" t="str">
        <f>IFERROR(__xludf.DUMMYFUNCTION("""COMPUTED_VALUE"""),"")</f>
        <v/>
      </c>
      <c r="M16311" s="16" t="str">
        <f>IFERROR(__xludf.DUMMYFUNCTION("""COMPUTED_VALUE"""),"")</f>
        <v/>
      </c>
      <c r="U16311" s="16" t="s">
        <v>87</v>
      </c>
      <c r="V16311" s="16" t="str">
        <f>IFERROR(__xludf.DUMMYFUNCTION("""COMPUTED_VALUE"""),"")</f>
        <v/>
      </c>
      <c r="W16311" s="16" t="str">
        <f>IFERROR(__xludf.DUMMYFUNCTION("""COMPUTED_VALUE"""),"")</f>
        <v/>
      </c>
      <c r="X16311" s="16" t="str">
        <f>IFERROR(__xludf.DUMMYFUNCTION("""COMPUTED_VALUE"""),"")</f>
        <v/>
      </c>
      <c r="AC16311" s="16" t="str">
        <f>IFERROR(__xludf.DUMMYFUNCTION("""COMPUTED_VALUE"""),"")</f>
        <v/>
      </c>
    </row>
    <row r="16312">
      <c r="A16312" s="16" t="s">
        <v>87</v>
      </c>
      <c r="E16312" s="16" t="str">
        <f>IFERROR(__xludf.DUMMYFUNCTION("""COMPUTED_VALUE"""),"")</f>
        <v/>
      </c>
      <c r="G16312" s="18"/>
      <c r="H16312" s="16" t="s">
        <v>87</v>
      </c>
      <c r="I16312" s="16" t="s">
        <v>87</v>
      </c>
      <c r="J16312" s="19"/>
      <c r="L16312" s="16" t="str">
        <f>IFERROR(__xludf.DUMMYFUNCTION("""COMPUTED_VALUE"""),"")</f>
        <v/>
      </c>
      <c r="M16312" s="16" t="str">
        <f>IFERROR(__xludf.DUMMYFUNCTION("""COMPUTED_VALUE"""),"")</f>
        <v/>
      </c>
      <c r="U16312" s="16" t="s">
        <v>87</v>
      </c>
      <c r="V16312" s="16" t="str">
        <f>IFERROR(__xludf.DUMMYFUNCTION("""COMPUTED_VALUE"""),"")</f>
        <v/>
      </c>
      <c r="W16312" s="16" t="str">
        <f>IFERROR(__xludf.DUMMYFUNCTION("""COMPUTED_VALUE"""),"")</f>
        <v/>
      </c>
      <c r="X16312" s="16" t="str">
        <f>IFERROR(__xludf.DUMMYFUNCTION("""COMPUTED_VALUE"""),"")</f>
        <v/>
      </c>
      <c r="AC16312" s="16" t="str">
        <f>IFERROR(__xludf.DUMMYFUNCTION("""COMPUTED_VALUE"""),"")</f>
        <v/>
      </c>
    </row>
    <row r="16313">
      <c r="A16313" s="16" t="s">
        <v>87</v>
      </c>
      <c r="E16313" s="16" t="str">
        <f>IFERROR(__xludf.DUMMYFUNCTION("""COMPUTED_VALUE"""),"")</f>
        <v/>
      </c>
      <c r="G16313" s="18"/>
      <c r="H16313" s="16" t="s">
        <v>87</v>
      </c>
      <c r="I16313" s="16" t="s">
        <v>87</v>
      </c>
      <c r="J16313" s="19"/>
      <c r="L16313" s="16" t="str">
        <f>IFERROR(__xludf.DUMMYFUNCTION("""COMPUTED_VALUE"""),"")</f>
        <v/>
      </c>
      <c r="M16313" s="16" t="str">
        <f>IFERROR(__xludf.DUMMYFUNCTION("""COMPUTED_VALUE"""),"")</f>
        <v/>
      </c>
      <c r="U16313" s="16" t="s">
        <v>87</v>
      </c>
      <c r="V16313" s="16" t="str">
        <f>IFERROR(__xludf.DUMMYFUNCTION("""COMPUTED_VALUE"""),"")</f>
        <v/>
      </c>
      <c r="W16313" s="16" t="str">
        <f>IFERROR(__xludf.DUMMYFUNCTION("""COMPUTED_VALUE"""),"")</f>
        <v/>
      </c>
      <c r="X16313" s="16" t="str">
        <f>IFERROR(__xludf.DUMMYFUNCTION("""COMPUTED_VALUE"""),"")</f>
        <v/>
      </c>
      <c r="AC16313" s="16" t="str">
        <f>IFERROR(__xludf.DUMMYFUNCTION("""COMPUTED_VALUE"""),"")</f>
        <v/>
      </c>
    </row>
    <row r="16314">
      <c r="A16314" s="16" t="s">
        <v>87</v>
      </c>
      <c r="E16314" s="16" t="str">
        <f>IFERROR(__xludf.DUMMYFUNCTION("""COMPUTED_VALUE"""),"")</f>
        <v/>
      </c>
      <c r="G16314" s="18"/>
      <c r="H16314" s="16" t="s">
        <v>87</v>
      </c>
      <c r="I16314" s="16" t="s">
        <v>87</v>
      </c>
      <c r="J16314" s="19"/>
      <c r="L16314" s="16" t="str">
        <f>IFERROR(__xludf.DUMMYFUNCTION("""COMPUTED_VALUE"""),"")</f>
        <v/>
      </c>
      <c r="M16314" s="16" t="str">
        <f>IFERROR(__xludf.DUMMYFUNCTION("""COMPUTED_VALUE"""),"")</f>
        <v/>
      </c>
      <c r="U16314" s="16" t="s">
        <v>87</v>
      </c>
      <c r="V16314" s="16" t="str">
        <f>IFERROR(__xludf.DUMMYFUNCTION("""COMPUTED_VALUE"""),"")</f>
        <v/>
      </c>
      <c r="W16314" s="16" t="str">
        <f>IFERROR(__xludf.DUMMYFUNCTION("""COMPUTED_VALUE"""),"")</f>
        <v/>
      </c>
      <c r="X16314" s="16" t="str">
        <f>IFERROR(__xludf.DUMMYFUNCTION("""COMPUTED_VALUE"""),"")</f>
        <v/>
      </c>
      <c r="AC16314" s="16" t="str">
        <f>IFERROR(__xludf.DUMMYFUNCTION("""COMPUTED_VALUE"""),"")</f>
        <v/>
      </c>
    </row>
    <row r="16315">
      <c r="A16315" s="16" t="s">
        <v>87</v>
      </c>
      <c r="E16315" s="16" t="str">
        <f>IFERROR(__xludf.DUMMYFUNCTION("""COMPUTED_VALUE"""),"")</f>
        <v/>
      </c>
      <c r="G16315" s="18"/>
      <c r="H16315" s="16" t="s">
        <v>87</v>
      </c>
      <c r="I16315" s="16" t="s">
        <v>87</v>
      </c>
      <c r="J16315" s="19"/>
      <c r="L16315" s="16" t="str">
        <f>IFERROR(__xludf.DUMMYFUNCTION("""COMPUTED_VALUE"""),"")</f>
        <v/>
      </c>
      <c r="M16315" s="16" t="str">
        <f>IFERROR(__xludf.DUMMYFUNCTION("""COMPUTED_VALUE"""),"")</f>
        <v/>
      </c>
      <c r="U16315" s="16" t="s">
        <v>87</v>
      </c>
      <c r="V16315" s="16" t="str">
        <f>IFERROR(__xludf.DUMMYFUNCTION("""COMPUTED_VALUE"""),"")</f>
        <v/>
      </c>
      <c r="W16315" s="16" t="str">
        <f>IFERROR(__xludf.DUMMYFUNCTION("""COMPUTED_VALUE"""),"")</f>
        <v/>
      </c>
      <c r="X16315" s="16" t="str">
        <f>IFERROR(__xludf.DUMMYFUNCTION("""COMPUTED_VALUE"""),"")</f>
        <v/>
      </c>
      <c r="AC16315" s="16" t="str">
        <f>IFERROR(__xludf.DUMMYFUNCTION("""COMPUTED_VALUE"""),"")</f>
        <v/>
      </c>
    </row>
    <row r="16316">
      <c r="A16316" s="16" t="s">
        <v>87</v>
      </c>
      <c r="E16316" s="16" t="str">
        <f>IFERROR(__xludf.DUMMYFUNCTION("""COMPUTED_VALUE"""),"")</f>
        <v/>
      </c>
      <c r="G16316" s="18"/>
      <c r="H16316" s="16" t="s">
        <v>87</v>
      </c>
      <c r="I16316" s="16" t="s">
        <v>87</v>
      </c>
      <c r="J16316" s="19"/>
      <c r="L16316" s="16" t="str">
        <f>IFERROR(__xludf.DUMMYFUNCTION("""COMPUTED_VALUE"""),"")</f>
        <v/>
      </c>
      <c r="M16316" s="16" t="str">
        <f>IFERROR(__xludf.DUMMYFUNCTION("""COMPUTED_VALUE"""),"")</f>
        <v/>
      </c>
      <c r="U16316" s="16" t="s">
        <v>87</v>
      </c>
      <c r="V16316" s="16" t="str">
        <f>IFERROR(__xludf.DUMMYFUNCTION("""COMPUTED_VALUE"""),"")</f>
        <v/>
      </c>
      <c r="W16316" s="16" t="str">
        <f>IFERROR(__xludf.DUMMYFUNCTION("""COMPUTED_VALUE"""),"")</f>
        <v/>
      </c>
      <c r="X16316" s="16" t="str">
        <f>IFERROR(__xludf.DUMMYFUNCTION("""COMPUTED_VALUE"""),"")</f>
        <v/>
      </c>
      <c r="AC16316" s="16" t="str">
        <f>IFERROR(__xludf.DUMMYFUNCTION("""COMPUTED_VALUE"""),"")</f>
        <v/>
      </c>
    </row>
    <row r="16317">
      <c r="A16317" s="16" t="s">
        <v>87</v>
      </c>
      <c r="E16317" s="16" t="str">
        <f>IFERROR(__xludf.DUMMYFUNCTION("""COMPUTED_VALUE"""),"")</f>
        <v/>
      </c>
      <c r="G16317" s="18"/>
      <c r="H16317" s="16" t="s">
        <v>87</v>
      </c>
      <c r="I16317" s="16" t="s">
        <v>87</v>
      </c>
      <c r="J16317" s="19"/>
      <c r="L16317" s="16" t="str">
        <f>IFERROR(__xludf.DUMMYFUNCTION("""COMPUTED_VALUE"""),"")</f>
        <v/>
      </c>
      <c r="M16317" s="16" t="str">
        <f>IFERROR(__xludf.DUMMYFUNCTION("""COMPUTED_VALUE"""),"")</f>
        <v/>
      </c>
      <c r="U16317" s="16" t="s">
        <v>87</v>
      </c>
      <c r="V16317" s="16" t="str">
        <f>IFERROR(__xludf.DUMMYFUNCTION("""COMPUTED_VALUE"""),"")</f>
        <v/>
      </c>
      <c r="W16317" s="16" t="str">
        <f>IFERROR(__xludf.DUMMYFUNCTION("""COMPUTED_VALUE"""),"")</f>
        <v/>
      </c>
      <c r="X16317" s="16" t="str">
        <f>IFERROR(__xludf.DUMMYFUNCTION("""COMPUTED_VALUE"""),"")</f>
        <v/>
      </c>
      <c r="AC16317" s="16" t="str">
        <f>IFERROR(__xludf.DUMMYFUNCTION("""COMPUTED_VALUE"""),"")</f>
        <v/>
      </c>
    </row>
    <row r="16318">
      <c r="A16318" s="16" t="s">
        <v>87</v>
      </c>
      <c r="E16318" s="16" t="str">
        <f>IFERROR(__xludf.DUMMYFUNCTION("""COMPUTED_VALUE"""),"")</f>
        <v/>
      </c>
      <c r="G16318" s="18"/>
      <c r="H16318" s="16" t="s">
        <v>87</v>
      </c>
      <c r="I16318" s="16" t="s">
        <v>87</v>
      </c>
      <c r="J16318" s="19"/>
      <c r="L16318" s="16" t="str">
        <f>IFERROR(__xludf.DUMMYFUNCTION("""COMPUTED_VALUE"""),"")</f>
        <v/>
      </c>
      <c r="M16318" s="16" t="str">
        <f>IFERROR(__xludf.DUMMYFUNCTION("""COMPUTED_VALUE"""),"")</f>
        <v/>
      </c>
      <c r="U16318" s="16" t="s">
        <v>87</v>
      </c>
      <c r="V16318" s="16" t="str">
        <f>IFERROR(__xludf.DUMMYFUNCTION("""COMPUTED_VALUE"""),"")</f>
        <v/>
      </c>
      <c r="W16318" s="16" t="str">
        <f>IFERROR(__xludf.DUMMYFUNCTION("""COMPUTED_VALUE"""),"")</f>
        <v/>
      </c>
      <c r="X16318" s="16" t="str">
        <f>IFERROR(__xludf.DUMMYFUNCTION("""COMPUTED_VALUE"""),"")</f>
        <v/>
      </c>
      <c r="AC16318" s="16" t="str">
        <f>IFERROR(__xludf.DUMMYFUNCTION("""COMPUTED_VALUE"""),"")</f>
        <v/>
      </c>
    </row>
    <row r="16319">
      <c r="A16319" s="16" t="s">
        <v>87</v>
      </c>
      <c r="E16319" s="16" t="str">
        <f>IFERROR(__xludf.DUMMYFUNCTION("""COMPUTED_VALUE"""),"")</f>
        <v/>
      </c>
      <c r="G16319" s="18"/>
      <c r="H16319" s="16" t="s">
        <v>87</v>
      </c>
      <c r="I16319" s="16" t="s">
        <v>87</v>
      </c>
      <c r="J16319" s="19"/>
      <c r="L16319" s="16" t="str">
        <f>IFERROR(__xludf.DUMMYFUNCTION("""COMPUTED_VALUE"""),"")</f>
        <v/>
      </c>
      <c r="M16319" s="16" t="str">
        <f>IFERROR(__xludf.DUMMYFUNCTION("""COMPUTED_VALUE"""),"")</f>
        <v/>
      </c>
      <c r="U16319" s="16" t="s">
        <v>87</v>
      </c>
      <c r="V16319" s="16" t="str">
        <f>IFERROR(__xludf.DUMMYFUNCTION("""COMPUTED_VALUE"""),"")</f>
        <v/>
      </c>
      <c r="W16319" s="16" t="str">
        <f>IFERROR(__xludf.DUMMYFUNCTION("""COMPUTED_VALUE"""),"")</f>
        <v/>
      </c>
      <c r="X16319" s="16" t="str">
        <f>IFERROR(__xludf.DUMMYFUNCTION("""COMPUTED_VALUE"""),"")</f>
        <v/>
      </c>
      <c r="AC16319" s="16" t="str">
        <f>IFERROR(__xludf.DUMMYFUNCTION("""COMPUTED_VALUE"""),"")</f>
        <v/>
      </c>
    </row>
    <row r="16320">
      <c r="A16320" s="16" t="s">
        <v>87</v>
      </c>
      <c r="E16320" s="16" t="str">
        <f>IFERROR(__xludf.DUMMYFUNCTION("""COMPUTED_VALUE"""),"")</f>
        <v/>
      </c>
      <c r="G16320" s="18"/>
      <c r="H16320" s="16" t="s">
        <v>87</v>
      </c>
      <c r="I16320" s="16" t="s">
        <v>87</v>
      </c>
      <c r="J16320" s="19"/>
      <c r="L16320" s="16" t="str">
        <f>IFERROR(__xludf.DUMMYFUNCTION("""COMPUTED_VALUE"""),"")</f>
        <v/>
      </c>
      <c r="M16320" s="16" t="str">
        <f>IFERROR(__xludf.DUMMYFUNCTION("""COMPUTED_VALUE"""),"")</f>
        <v/>
      </c>
      <c r="U16320" s="16" t="s">
        <v>87</v>
      </c>
      <c r="V16320" s="16" t="str">
        <f>IFERROR(__xludf.DUMMYFUNCTION("""COMPUTED_VALUE"""),"")</f>
        <v/>
      </c>
      <c r="W16320" s="16" t="str">
        <f>IFERROR(__xludf.DUMMYFUNCTION("""COMPUTED_VALUE"""),"")</f>
        <v/>
      </c>
      <c r="X16320" s="16" t="str">
        <f>IFERROR(__xludf.DUMMYFUNCTION("""COMPUTED_VALUE"""),"")</f>
        <v/>
      </c>
      <c r="AC16320" s="16" t="str">
        <f>IFERROR(__xludf.DUMMYFUNCTION("""COMPUTED_VALUE"""),"")</f>
        <v/>
      </c>
    </row>
    <row r="16321">
      <c r="A16321" s="16" t="s">
        <v>87</v>
      </c>
      <c r="E16321" s="16" t="str">
        <f>IFERROR(__xludf.DUMMYFUNCTION("""COMPUTED_VALUE"""),"")</f>
        <v/>
      </c>
      <c r="G16321" s="18"/>
      <c r="H16321" s="16" t="s">
        <v>87</v>
      </c>
      <c r="I16321" s="16" t="s">
        <v>87</v>
      </c>
      <c r="J16321" s="19"/>
      <c r="L16321" s="16" t="str">
        <f>IFERROR(__xludf.DUMMYFUNCTION("""COMPUTED_VALUE"""),"")</f>
        <v/>
      </c>
      <c r="M16321" s="16" t="str">
        <f>IFERROR(__xludf.DUMMYFUNCTION("""COMPUTED_VALUE"""),"")</f>
        <v/>
      </c>
      <c r="U16321" s="16" t="s">
        <v>87</v>
      </c>
      <c r="V16321" s="16" t="str">
        <f>IFERROR(__xludf.DUMMYFUNCTION("""COMPUTED_VALUE"""),"")</f>
        <v/>
      </c>
      <c r="W16321" s="16" t="str">
        <f>IFERROR(__xludf.DUMMYFUNCTION("""COMPUTED_VALUE"""),"")</f>
        <v/>
      </c>
      <c r="X16321" s="16" t="str">
        <f>IFERROR(__xludf.DUMMYFUNCTION("""COMPUTED_VALUE"""),"")</f>
        <v/>
      </c>
      <c r="AC16321" s="16" t="str">
        <f>IFERROR(__xludf.DUMMYFUNCTION("""COMPUTED_VALUE"""),"")</f>
        <v/>
      </c>
    </row>
    <row r="16322">
      <c r="A16322" s="16" t="s">
        <v>87</v>
      </c>
      <c r="E16322" s="16" t="str">
        <f>IFERROR(__xludf.DUMMYFUNCTION("""COMPUTED_VALUE"""),"")</f>
        <v/>
      </c>
      <c r="G16322" s="18"/>
      <c r="H16322" s="16" t="s">
        <v>87</v>
      </c>
      <c r="I16322" s="16" t="s">
        <v>87</v>
      </c>
      <c r="J16322" s="19"/>
      <c r="L16322" s="16" t="str">
        <f>IFERROR(__xludf.DUMMYFUNCTION("""COMPUTED_VALUE"""),"")</f>
        <v/>
      </c>
      <c r="M16322" s="16" t="str">
        <f>IFERROR(__xludf.DUMMYFUNCTION("""COMPUTED_VALUE"""),"")</f>
        <v/>
      </c>
      <c r="U16322" s="16" t="s">
        <v>87</v>
      </c>
      <c r="V16322" s="16" t="str">
        <f>IFERROR(__xludf.DUMMYFUNCTION("""COMPUTED_VALUE"""),"")</f>
        <v/>
      </c>
      <c r="W16322" s="16" t="str">
        <f>IFERROR(__xludf.DUMMYFUNCTION("""COMPUTED_VALUE"""),"")</f>
        <v/>
      </c>
      <c r="X16322" s="16" t="str">
        <f>IFERROR(__xludf.DUMMYFUNCTION("""COMPUTED_VALUE"""),"")</f>
        <v/>
      </c>
      <c r="AC16322" s="16" t="str">
        <f>IFERROR(__xludf.DUMMYFUNCTION("""COMPUTED_VALUE"""),"")</f>
        <v/>
      </c>
    </row>
    <row r="16323">
      <c r="A16323" s="16" t="s">
        <v>87</v>
      </c>
      <c r="E16323" s="16" t="str">
        <f>IFERROR(__xludf.DUMMYFUNCTION("""COMPUTED_VALUE"""),"")</f>
        <v/>
      </c>
      <c r="G16323" s="18"/>
      <c r="H16323" s="16" t="s">
        <v>87</v>
      </c>
      <c r="I16323" s="16" t="s">
        <v>87</v>
      </c>
      <c r="J16323" s="19"/>
      <c r="L16323" s="16" t="str">
        <f>IFERROR(__xludf.DUMMYFUNCTION("""COMPUTED_VALUE"""),"")</f>
        <v/>
      </c>
      <c r="M16323" s="16" t="str">
        <f>IFERROR(__xludf.DUMMYFUNCTION("""COMPUTED_VALUE"""),"")</f>
        <v/>
      </c>
      <c r="U16323" s="16" t="s">
        <v>87</v>
      </c>
      <c r="V16323" s="16" t="str">
        <f>IFERROR(__xludf.DUMMYFUNCTION("""COMPUTED_VALUE"""),"")</f>
        <v/>
      </c>
      <c r="W16323" s="16" t="str">
        <f>IFERROR(__xludf.DUMMYFUNCTION("""COMPUTED_VALUE"""),"")</f>
        <v/>
      </c>
      <c r="X16323" s="16" t="str">
        <f>IFERROR(__xludf.DUMMYFUNCTION("""COMPUTED_VALUE"""),"")</f>
        <v/>
      </c>
      <c r="AC16323" s="16" t="str">
        <f>IFERROR(__xludf.DUMMYFUNCTION("""COMPUTED_VALUE"""),"")</f>
        <v/>
      </c>
    </row>
    <row r="16324">
      <c r="A16324" s="16" t="s">
        <v>87</v>
      </c>
      <c r="E16324" s="16" t="str">
        <f>IFERROR(__xludf.DUMMYFUNCTION("""COMPUTED_VALUE"""),"")</f>
        <v/>
      </c>
      <c r="G16324" s="18"/>
      <c r="H16324" s="16" t="s">
        <v>87</v>
      </c>
      <c r="I16324" s="16" t="s">
        <v>87</v>
      </c>
      <c r="J16324" s="19"/>
      <c r="L16324" s="16" t="str">
        <f>IFERROR(__xludf.DUMMYFUNCTION("""COMPUTED_VALUE"""),"")</f>
        <v/>
      </c>
      <c r="M16324" s="16" t="str">
        <f>IFERROR(__xludf.DUMMYFUNCTION("""COMPUTED_VALUE"""),"")</f>
        <v/>
      </c>
      <c r="U16324" s="16" t="s">
        <v>87</v>
      </c>
      <c r="V16324" s="16" t="str">
        <f>IFERROR(__xludf.DUMMYFUNCTION("""COMPUTED_VALUE"""),"")</f>
        <v/>
      </c>
      <c r="W16324" s="16" t="str">
        <f>IFERROR(__xludf.DUMMYFUNCTION("""COMPUTED_VALUE"""),"")</f>
        <v/>
      </c>
      <c r="X16324" s="16" t="str">
        <f>IFERROR(__xludf.DUMMYFUNCTION("""COMPUTED_VALUE"""),"")</f>
        <v/>
      </c>
      <c r="AC16324" s="16" t="str">
        <f>IFERROR(__xludf.DUMMYFUNCTION("""COMPUTED_VALUE"""),"")</f>
        <v/>
      </c>
    </row>
    <row r="16325">
      <c r="A16325" s="16" t="s">
        <v>87</v>
      </c>
      <c r="E16325" s="16" t="str">
        <f>IFERROR(__xludf.DUMMYFUNCTION("""COMPUTED_VALUE"""),"")</f>
        <v/>
      </c>
      <c r="G16325" s="18"/>
      <c r="H16325" s="16" t="s">
        <v>87</v>
      </c>
      <c r="I16325" s="16" t="s">
        <v>87</v>
      </c>
      <c r="J16325" s="19"/>
      <c r="L16325" s="16" t="str">
        <f>IFERROR(__xludf.DUMMYFUNCTION("""COMPUTED_VALUE"""),"")</f>
        <v/>
      </c>
      <c r="M16325" s="16" t="str">
        <f>IFERROR(__xludf.DUMMYFUNCTION("""COMPUTED_VALUE"""),"")</f>
        <v/>
      </c>
      <c r="U16325" s="16" t="s">
        <v>87</v>
      </c>
      <c r="V16325" s="16" t="str">
        <f>IFERROR(__xludf.DUMMYFUNCTION("""COMPUTED_VALUE"""),"")</f>
        <v/>
      </c>
      <c r="W16325" s="16" t="str">
        <f>IFERROR(__xludf.DUMMYFUNCTION("""COMPUTED_VALUE"""),"")</f>
        <v/>
      </c>
      <c r="X16325" s="16" t="str">
        <f>IFERROR(__xludf.DUMMYFUNCTION("""COMPUTED_VALUE"""),"")</f>
        <v/>
      </c>
      <c r="AC16325" s="16" t="str">
        <f>IFERROR(__xludf.DUMMYFUNCTION("""COMPUTED_VALUE"""),"")</f>
        <v/>
      </c>
    </row>
    <row r="16326">
      <c r="A16326" s="16" t="s">
        <v>87</v>
      </c>
      <c r="E16326" s="16" t="str">
        <f>IFERROR(__xludf.DUMMYFUNCTION("""COMPUTED_VALUE"""),"")</f>
        <v/>
      </c>
      <c r="G16326" s="18"/>
      <c r="H16326" s="16" t="s">
        <v>87</v>
      </c>
      <c r="I16326" s="16" t="s">
        <v>87</v>
      </c>
      <c r="J16326" s="19"/>
      <c r="L16326" s="16" t="str">
        <f>IFERROR(__xludf.DUMMYFUNCTION("""COMPUTED_VALUE"""),"")</f>
        <v/>
      </c>
      <c r="M16326" s="16" t="str">
        <f>IFERROR(__xludf.DUMMYFUNCTION("""COMPUTED_VALUE"""),"")</f>
        <v/>
      </c>
      <c r="U16326" s="16" t="s">
        <v>87</v>
      </c>
      <c r="V16326" s="16" t="str">
        <f>IFERROR(__xludf.DUMMYFUNCTION("""COMPUTED_VALUE"""),"")</f>
        <v/>
      </c>
      <c r="W16326" s="16" t="str">
        <f>IFERROR(__xludf.DUMMYFUNCTION("""COMPUTED_VALUE"""),"")</f>
        <v/>
      </c>
      <c r="X16326" s="16" t="str">
        <f>IFERROR(__xludf.DUMMYFUNCTION("""COMPUTED_VALUE"""),"")</f>
        <v/>
      </c>
      <c r="AC16326" s="16" t="str">
        <f>IFERROR(__xludf.DUMMYFUNCTION("""COMPUTED_VALUE"""),"")</f>
        <v/>
      </c>
    </row>
    <row r="16327">
      <c r="A16327" s="16" t="s">
        <v>87</v>
      </c>
      <c r="E16327" s="16" t="str">
        <f>IFERROR(__xludf.DUMMYFUNCTION("""COMPUTED_VALUE"""),"")</f>
        <v/>
      </c>
      <c r="G16327" s="18"/>
      <c r="H16327" s="16" t="s">
        <v>87</v>
      </c>
      <c r="I16327" s="16" t="s">
        <v>87</v>
      </c>
      <c r="J16327" s="19"/>
      <c r="L16327" s="16" t="str">
        <f>IFERROR(__xludf.DUMMYFUNCTION("""COMPUTED_VALUE"""),"")</f>
        <v/>
      </c>
      <c r="M16327" s="16" t="str">
        <f>IFERROR(__xludf.DUMMYFUNCTION("""COMPUTED_VALUE"""),"")</f>
        <v/>
      </c>
      <c r="U16327" s="16" t="s">
        <v>87</v>
      </c>
      <c r="V16327" s="16" t="str">
        <f>IFERROR(__xludf.DUMMYFUNCTION("""COMPUTED_VALUE"""),"")</f>
        <v/>
      </c>
      <c r="W16327" s="16" t="str">
        <f>IFERROR(__xludf.DUMMYFUNCTION("""COMPUTED_VALUE"""),"")</f>
        <v/>
      </c>
      <c r="X16327" s="16" t="str">
        <f>IFERROR(__xludf.DUMMYFUNCTION("""COMPUTED_VALUE"""),"")</f>
        <v/>
      </c>
      <c r="AC16327" s="16" t="str">
        <f>IFERROR(__xludf.DUMMYFUNCTION("""COMPUTED_VALUE"""),"")</f>
        <v/>
      </c>
    </row>
    <row r="16328">
      <c r="A16328" s="16" t="s">
        <v>87</v>
      </c>
      <c r="E16328" s="16" t="str">
        <f>IFERROR(__xludf.DUMMYFUNCTION("""COMPUTED_VALUE"""),"")</f>
        <v/>
      </c>
      <c r="G16328" s="18"/>
      <c r="H16328" s="16" t="s">
        <v>87</v>
      </c>
      <c r="I16328" s="16" t="s">
        <v>87</v>
      </c>
      <c r="J16328" s="19"/>
      <c r="L16328" s="16" t="str">
        <f>IFERROR(__xludf.DUMMYFUNCTION("""COMPUTED_VALUE"""),"")</f>
        <v/>
      </c>
      <c r="M16328" s="16" t="str">
        <f>IFERROR(__xludf.DUMMYFUNCTION("""COMPUTED_VALUE"""),"")</f>
        <v/>
      </c>
      <c r="U16328" s="16" t="s">
        <v>87</v>
      </c>
      <c r="V16328" s="16" t="str">
        <f>IFERROR(__xludf.DUMMYFUNCTION("""COMPUTED_VALUE"""),"")</f>
        <v/>
      </c>
      <c r="W16328" s="16" t="str">
        <f>IFERROR(__xludf.DUMMYFUNCTION("""COMPUTED_VALUE"""),"")</f>
        <v/>
      </c>
      <c r="X16328" s="16" t="str">
        <f>IFERROR(__xludf.DUMMYFUNCTION("""COMPUTED_VALUE"""),"")</f>
        <v/>
      </c>
      <c r="AC16328" s="16" t="str">
        <f>IFERROR(__xludf.DUMMYFUNCTION("""COMPUTED_VALUE"""),"")</f>
        <v/>
      </c>
    </row>
    <row r="16329">
      <c r="A16329" s="16" t="s">
        <v>87</v>
      </c>
      <c r="E16329" s="16" t="str">
        <f>IFERROR(__xludf.DUMMYFUNCTION("""COMPUTED_VALUE"""),"")</f>
        <v/>
      </c>
      <c r="G16329" s="18"/>
      <c r="H16329" s="16" t="s">
        <v>87</v>
      </c>
      <c r="I16329" s="16" t="s">
        <v>87</v>
      </c>
      <c r="J16329" s="19"/>
      <c r="L16329" s="16" t="str">
        <f>IFERROR(__xludf.DUMMYFUNCTION("""COMPUTED_VALUE"""),"")</f>
        <v/>
      </c>
      <c r="M16329" s="16" t="str">
        <f>IFERROR(__xludf.DUMMYFUNCTION("""COMPUTED_VALUE"""),"")</f>
        <v/>
      </c>
      <c r="U16329" s="16" t="s">
        <v>87</v>
      </c>
      <c r="V16329" s="16" t="str">
        <f>IFERROR(__xludf.DUMMYFUNCTION("""COMPUTED_VALUE"""),"")</f>
        <v/>
      </c>
      <c r="W16329" s="16" t="str">
        <f>IFERROR(__xludf.DUMMYFUNCTION("""COMPUTED_VALUE"""),"")</f>
        <v/>
      </c>
      <c r="X16329" s="16" t="str">
        <f>IFERROR(__xludf.DUMMYFUNCTION("""COMPUTED_VALUE"""),"")</f>
        <v/>
      </c>
      <c r="AC16329" s="16" t="str">
        <f>IFERROR(__xludf.DUMMYFUNCTION("""COMPUTED_VALUE"""),"")</f>
        <v/>
      </c>
    </row>
    <row r="16330">
      <c r="A16330" s="16" t="s">
        <v>87</v>
      </c>
      <c r="E16330" s="16" t="str">
        <f>IFERROR(__xludf.DUMMYFUNCTION("""COMPUTED_VALUE"""),"")</f>
        <v/>
      </c>
      <c r="G16330" s="18"/>
      <c r="H16330" s="16" t="s">
        <v>87</v>
      </c>
      <c r="I16330" s="16" t="s">
        <v>87</v>
      </c>
      <c r="J16330" s="19"/>
      <c r="L16330" s="16" t="str">
        <f>IFERROR(__xludf.DUMMYFUNCTION("""COMPUTED_VALUE"""),"")</f>
        <v/>
      </c>
      <c r="M16330" s="16" t="str">
        <f>IFERROR(__xludf.DUMMYFUNCTION("""COMPUTED_VALUE"""),"")</f>
        <v/>
      </c>
      <c r="U16330" s="16" t="s">
        <v>87</v>
      </c>
      <c r="V16330" s="16" t="str">
        <f>IFERROR(__xludf.DUMMYFUNCTION("""COMPUTED_VALUE"""),"")</f>
        <v/>
      </c>
      <c r="W16330" s="16" t="str">
        <f>IFERROR(__xludf.DUMMYFUNCTION("""COMPUTED_VALUE"""),"")</f>
        <v/>
      </c>
      <c r="X16330" s="16" t="str">
        <f>IFERROR(__xludf.DUMMYFUNCTION("""COMPUTED_VALUE"""),"")</f>
        <v/>
      </c>
      <c r="AC16330" s="16" t="str">
        <f>IFERROR(__xludf.DUMMYFUNCTION("""COMPUTED_VALUE"""),"")</f>
        <v/>
      </c>
    </row>
    <row r="16331">
      <c r="A16331" s="16" t="s">
        <v>87</v>
      </c>
      <c r="E16331" s="16" t="str">
        <f>IFERROR(__xludf.DUMMYFUNCTION("""COMPUTED_VALUE"""),"")</f>
        <v/>
      </c>
      <c r="G16331" s="18"/>
      <c r="H16331" s="16" t="s">
        <v>87</v>
      </c>
      <c r="I16331" s="16" t="s">
        <v>87</v>
      </c>
      <c r="J16331" s="19"/>
      <c r="L16331" s="16" t="str">
        <f>IFERROR(__xludf.DUMMYFUNCTION("""COMPUTED_VALUE"""),"")</f>
        <v/>
      </c>
      <c r="M16331" s="16" t="str">
        <f>IFERROR(__xludf.DUMMYFUNCTION("""COMPUTED_VALUE"""),"")</f>
        <v/>
      </c>
      <c r="U16331" s="16" t="s">
        <v>87</v>
      </c>
      <c r="V16331" s="16" t="str">
        <f>IFERROR(__xludf.DUMMYFUNCTION("""COMPUTED_VALUE"""),"")</f>
        <v/>
      </c>
      <c r="W16331" s="16" t="str">
        <f>IFERROR(__xludf.DUMMYFUNCTION("""COMPUTED_VALUE"""),"")</f>
        <v/>
      </c>
      <c r="X16331" s="16" t="str">
        <f>IFERROR(__xludf.DUMMYFUNCTION("""COMPUTED_VALUE"""),"")</f>
        <v/>
      </c>
      <c r="AC16331" s="16" t="str">
        <f>IFERROR(__xludf.DUMMYFUNCTION("""COMPUTED_VALUE"""),"")</f>
        <v/>
      </c>
    </row>
    <row r="16332">
      <c r="A16332" s="16" t="s">
        <v>87</v>
      </c>
      <c r="E16332" s="16" t="str">
        <f>IFERROR(__xludf.DUMMYFUNCTION("""COMPUTED_VALUE"""),"")</f>
        <v/>
      </c>
      <c r="G16332" s="18"/>
      <c r="H16332" s="16" t="s">
        <v>87</v>
      </c>
      <c r="I16332" s="16" t="s">
        <v>87</v>
      </c>
      <c r="J16332" s="19"/>
      <c r="L16332" s="16" t="str">
        <f>IFERROR(__xludf.DUMMYFUNCTION("""COMPUTED_VALUE"""),"")</f>
        <v/>
      </c>
      <c r="M16332" s="16" t="str">
        <f>IFERROR(__xludf.DUMMYFUNCTION("""COMPUTED_VALUE"""),"")</f>
        <v/>
      </c>
      <c r="U16332" s="16" t="s">
        <v>87</v>
      </c>
      <c r="V16332" s="16" t="str">
        <f>IFERROR(__xludf.DUMMYFUNCTION("""COMPUTED_VALUE"""),"")</f>
        <v/>
      </c>
      <c r="W16332" s="16" t="str">
        <f>IFERROR(__xludf.DUMMYFUNCTION("""COMPUTED_VALUE"""),"")</f>
        <v/>
      </c>
      <c r="X16332" s="16" t="str">
        <f>IFERROR(__xludf.DUMMYFUNCTION("""COMPUTED_VALUE"""),"")</f>
        <v/>
      </c>
      <c r="AC16332" s="16" t="str">
        <f>IFERROR(__xludf.DUMMYFUNCTION("""COMPUTED_VALUE"""),"")</f>
        <v/>
      </c>
    </row>
    <row r="16333">
      <c r="A16333" s="16" t="s">
        <v>87</v>
      </c>
      <c r="E16333" s="16" t="str">
        <f>IFERROR(__xludf.DUMMYFUNCTION("""COMPUTED_VALUE"""),"")</f>
        <v/>
      </c>
      <c r="G16333" s="18"/>
      <c r="H16333" s="16" t="s">
        <v>87</v>
      </c>
      <c r="I16333" s="16" t="s">
        <v>87</v>
      </c>
      <c r="J16333" s="19"/>
      <c r="L16333" s="16" t="str">
        <f>IFERROR(__xludf.DUMMYFUNCTION("""COMPUTED_VALUE"""),"")</f>
        <v/>
      </c>
      <c r="M16333" s="16" t="str">
        <f>IFERROR(__xludf.DUMMYFUNCTION("""COMPUTED_VALUE"""),"")</f>
        <v/>
      </c>
      <c r="U16333" s="16" t="s">
        <v>87</v>
      </c>
      <c r="V16333" s="16" t="str">
        <f>IFERROR(__xludf.DUMMYFUNCTION("""COMPUTED_VALUE"""),"")</f>
        <v/>
      </c>
      <c r="W16333" s="16" t="str">
        <f>IFERROR(__xludf.DUMMYFUNCTION("""COMPUTED_VALUE"""),"")</f>
        <v/>
      </c>
      <c r="X16333" s="16" t="str">
        <f>IFERROR(__xludf.DUMMYFUNCTION("""COMPUTED_VALUE"""),"")</f>
        <v/>
      </c>
      <c r="AC16333" s="16" t="str">
        <f>IFERROR(__xludf.DUMMYFUNCTION("""COMPUTED_VALUE"""),"")</f>
        <v/>
      </c>
    </row>
    <row r="16334">
      <c r="A16334" s="16" t="s">
        <v>87</v>
      </c>
      <c r="E16334" s="16" t="str">
        <f>IFERROR(__xludf.DUMMYFUNCTION("""COMPUTED_VALUE"""),"")</f>
        <v/>
      </c>
      <c r="G16334" s="18"/>
      <c r="H16334" s="16" t="s">
        <v>87</v>
      </c>
      <c r="I16334" s="16" t="s">
        <v>87</v>
      </c>
      <c r="J16334" s="19"/>
      <c r="L16334" s="16" t="str">
        <f>IFERROR(__xludf.DUMMYFUNCTION("""COMPUTED_VALUE"""),"")</f>
        <v/>
      </c>
      <c r="M16334" s="16" t="str">
        <f>IFERROR(__xludf.DUMMYFUNCTION("""COMPUTED_VALUE"""),"")</f>
        <v/>
      </c>
      <c r="U16334" s="16" t="s">
        <v>87</v>
      </c>
      <c r="V16334" s="16" t="str">
        <f>IFERROR(__xludf.DUMMYFUNCTION("""COMPUTED_VALUE"""),"")</f>
        <v/>
      </c>
      <c r="W16334" s="16" t="str">
        <f>IFERROR(__xludf.DUMMYFUNCTION("""COMPUTED_VALUE"""),"")</f>
        <v/>
      </c>
      <c r="X16334" s="16" t="str">
        <f>IFERROR(__xludf.DUMMYFUNCTION("""COMPUTED_VALUE"""),"")</f>
        <v/>
      </c>
      <c r="AC16334" s="16" t="str">
        <f>IFERROR(__xludf.DUMMYFUNCTION("""COMPUTED_VALUE"""),"")</f>
        <v/>
      </c>
    </row>
    <row r="16335">
      <c r="A16335" s="16" t="s">
        <v>87</v>
      </c>
      <c r="E16335" s="16" t="str">
        <f>IFERROR(__xludf.DUMMYFUNCTION("""COMPUTED_VALUE"""),"")</f>
        <v/>
      </c>
      <c r="G16335" s="18"/>
      <c r="H16335" s="16" t="s">
        <v>87</v>
      </c>
      <c r="I16335" s="16" t="s">
        <v>87</v>
      </c>
      <c r="J16335" s="19"/>
      <c r="L16335" s="16" t="str">
        <f>IFERROR(__xludf.DUMMYFUNCTION("""COMPUTED_VALUE"""),"")</f>
        <v/>
      </c>
      <c r="M16335" s="16" t="str">
        <f>IFERROR(__xludf.DUMMYFUNCTION("""COMPUTED_VALUE"""),"")</f>
        <v/>
      </c>
      <c r="U16335" s="16" t="s">
        <v>87</v>
      </c>
      <c r="V16335" s="16" t="str">
        <f>IFERROR(__xludf.DUMMYFUNCTION("""COMPUTED_VALUE"""),"")</f>
        <v/>
      </c>
      <c r="W16335" s="16" t="str">
        <f>IFERROR(__xludf.DUMMYFUNCTION("""COMPUTED_VALUE"""),"")</f>
        <v/>
      </c>
      <c r="X16335" s="16" t="str">
        <f>IFERROR(__xludf.DUMMYFUNCTION("""COMPUTED_VALUE"""),"")</f>
        <v/>
      </c>
      <c r="AC16335" s="16" t="str">
        <f>IFERROR(__xludf.DUMMYFUNCTION("""COMPUTED_VALUE"""),"")</f>
        <v/>
      </c>
    </row>
    <row r="16336">
      <c r="A16336" s="16" t="s">
        <v>87</v>
      </c>
      <c r="E16336" s="16" t="str">
        <f>IFERROR(__xludf.DUMMYFUNCTION("""COMPUTED_VALUE"""),"")</f>
        <v/>
      </c>
      <c r="G16336" s="18"/>
      <c r="H16336" s="16" t="s">
        <v>87</v>
      </c>
      <c r="I16336" s="16" t="s">
        <v>87</v>
      </c>
      <c r="J16336" s="19"/>
      <c r="L16336" s="16" t="str">
        <f>IFERROR(__xludf.DUMMYFUNCTION("""COMPUTED_VALUE"""),"")</f>
        <v/>
      </c>
      <c r="M16336" s="16" t="str">
        <f>IFERROR(__xludf.DUMMYFUNCTION("""COMPUTED_VALUE"""),"")</f>
        <v/>
      </c>
      <c r="U16336" s="16" t="s">
        <v>87</v>
      </c>
      <c r="V16336" s="16" t="str">
        <f>IFERROR(__xludf.DUMMYFUNCTION("""COMPUTED_VALUE"""),"")</f>
        <v/>
      </c>
      <c r="W16336" s="16" t="str">
        <f>IFERROR(__xludf.DUMMYFUNCTION("""COMPUTED_VALUE"""),"")</f>
        <v/>
      </c>
      <c r="X16336" s="16" t="str">
        <f>IFERROR(__xludf.DUMMYFUNCTION("""COMPUTED_VALUE"""),"")</f>
        <v/>
      </c>
      <c r="AC16336" s="16" t="str">
        <f>IFERROR(__xludf.DUMMYFUNCTION("""COMPUTED_VALUE"""),"")</f>
        <v/>
      </c>
    </row>
    <row r="16337">
      <c r="A16337" s="16" t="s">
        <v>87</v>
      </c>
      <c r="E16337" s="16" t="str">
        <f>IFERROR(__xludf.DUMMYFUNCTION("""COMPUTED_VALUE"""),"")</f>
        <v/>
      </c>
      <c r="G16337" s="18"/>
      <c r="H16337" s="16" t="s">
        <v>87</v>
      </c>
      <c r="I16337" s="16" t="s">
        <v>87</v>
      </c>
      <c r="J16337" s="19"/>
      <c r="L16337" s="16" t="str">
        <f>IFERROR(__xludf.DUMMYFUNCTION("""COMPUTED_VALUE"""),"")</f>
        <v/>
      </c>
      <c r="M16337" s="16" t="str">
        <f>IFERROR(__xludf.DUMMYFUNCTION("""COMPUTED_VALUE"""),"")</f>
        <v/>
      </c>
      <c r="U16337" s="16" t="s">
        <v>87</v>
      </c>
      <c r="V16337" s="16" t="str">
        <f>IFERROR(__xludf.DUMMYFUNCTION("""COMPUTED_VALUE"""),"")</f>
        <v/>
      </c>
      <c r="W16337" s="16" t="str">
        <f>IFERROR(__xludf.DUMMYFUNCTION("""COMPUTED_VALUE"""),"")</f>
        <v/>
      </c>
      <c r="X16337" s="16" t="str">
        <f>IFERROR(__xludf.DUMMYFUNCTION("""COMPUTED_VALUE"""),"")</f>
        <v/>
      </c>
      <c r="AC16337" s="16" t="str">
        <f>IFERROR(__xludf.DUMMYFUNCTION("""COMPUTED_VALUE"""),"")</f>
        <v/>
      </c>
    </row>
    <row r="16338">
      <c r="A16338" s="16" t="s">
        <v>87</v>
      </c>
      <c r="E16338" s="16" t="str">
        <f>IFERROR(__xludf.DUMMYFUNCTION("""COMPUTED_VALUE"""),"")</f>
        <v/>
      </c>
      <c r="G16338" s="18"/>
      <c r="H16338" s="16" t="s">
        <v>87</v>
      </c>
      <c r="I16338" s="16" t="s">
        <v>87</v>
      </c>
      <c r="J16338" s="19"/>
      <c r="L16338" s="16" t="str">
        <f>IFERROR(__xludf.DUMMYFUNCTION("""COMPUTED_VALUE"""),"")</f>
        <v/>
      </c>
      <c r="M16338" s="16" t="str">
        <f>IFERROR(__xludf.DUMMYFUNCTION("""COMPUTED_VALUE"""),"")</f>
        <v/>
      </c>
      <c r="U16338" s="16" t="s">
        <v>87</v>
      </c>
      <c r="V16338" s="16" t="str">
        <f>IFERROR(__xludf.DUMMYFUNCTION("""COMPUTED_VALUE"""),"")</f>
        <v/>
      </c>
      <c r="W16338" s="16" t="str">
        <f>IFERROR(__xludf.DUMMYFUNCTION("""COMPUTED_VALUE"""),"")</f>
        <v/>
      </c>
      <c r="X16338" s="16" t="str">
        <f>IFERROR(__xludf.DUMMYFUNCTION("""COMPUTED_VALUE"""),"")</f>
        <v/>
      </c>
      <c r="AC16338" s="16" t="str">
        <f>IFERROR(__xludf.DUMMYFUNCTION("""COMPUTED_VALUE"""),"")</f>
        <v/>
      </c>
    </row>
    <row r="16339">
      <c r="A16339" s="16" t="s">
        <v>87</v>
      </c>
      <c r="E16339" s="16" t="str">
        <f>IFERROR(__xludf.DUMMYFUNCTION("""COMPUTED_VALUE"""),"")</f>
        <v/>
      </c>
      <c r="G16339" s="18"/>
      <c r="H16339" s="16" t="s">
        <v>87</v>
      </c>
      <c r="I16339" s="16" t="s">
        <v>87</v>
      </c>
      <c r="J16339" s="19"/>
      <c r="L16339" s="16" t="str">
        <f>IFERROR(__xludf.DUMMYFUNCTION("""COMPUTED_VALUE"""),"")</f>
        <v/>
      </c>
      <c r="M16339" s="16" t="str">
        <f>IFERROR(__xludf.DUMMYFUNCTION("""COMPUTED_VALUE"""),"")</f>
        <v/>
      </c>
      <c r="U16339" s="16" t="s">
        <v>87</v>
      </c>
      <c r="V16339" s="16" t="str">
        <f>IFERROR(__xludf.DUMMYFUNCTION("""COMPUTED_VALUE"""),"")</f>
        <v/>
      </c>
      <c r="W16339" s="16" t="str">
        <f>IFERROR(__xludf.DUMMYFUNCTION("""COMPUTED_VALUE"""),"")</f>
        <v/>
      </c>
      <c r="X16339" s="16" t="str">
        <f>IFERROR(__xludf.DUMMYFUNCTION("""COMPUTED_VALUE"""),"")</f>
        <v/>
      </c>
      <c r="AC16339" s="16" t="str">
        <f>IFERROR(__xludf.DUMMYFUNCTION("""COMPUTED_VALUE"""),"")</f>
        <v/>
      </c>
    </row>
    <row r="16340">
      <c r="A16340" s="16" t="s">
        <v>87</v>
      </c>
      <c r="E16340" s="16" t="str">
        <f>IFERROR(__xludf.DUMMYFUNCTION("""COMPUTED_VALUE"""),"")</f>
        <v/>
      </c>
      <c r="G16340" s="18"/>
      <c r="H16340" s="16" t="s">
        <v>87</v>
      </c>
      <c r="I16340" s="16" t="s">
        <v>87</v>
      </c>
      <c r="J16340" s="19"/>
      <c r="L16340" s="16" t="str">
        <f>IFERROR(__xludf.DUMMYFUNCTION("""COMPUTED_VALUE"""),"")</f>
        <v/>
      </c>
      <c r="M16340" s="16" t="str">
        <f>IFERROR(__xludf.DUMMYFUNCTION("""COMPUTED_VALUE"""),"")</f>
        <v/>
      </c>
      <c r="U16340" s="16" t="s">
        <v>87</v>
      </c>
      <c r="V16340" s="16" t="str">
        <f>IFERROR(__xludf.DUMMYFUNCTION("""COMPUTED_VALUE"""),"")</f>
        <v/>
      </c>
      <c r="W16340" s="16" t="str">
        <f>IFERROR(__xludf.DUMMYFUNCTION("""COMPUTED_VALUE"""),"")</f>
        <v/>
      </c>
      <c r="X16340" s="16" t="str">
        <f>IFERROR(__xludf.DUMMYFUNCTION("""COMPUTED_VALUE"""),"")</f>
        <v/>
      </c>
      <c r="AC16340" s="16" t="str">
        <f>IFERROR(__xludf.DUMMYFUNCTION("""COMPUTED_VALUE"""),"")</f>
        <v/>
      </c>
    </row>
    <row r="16341">
      <c r="A16341" s="16" t="s">
        <v>87</v>
      </c>
      <c r="E16341" s="16" t="str">
        <f>IFERROR(__xludf.DUMMYFUNCTION("""COMPUTED_VALUE"""),"")</f>
        <v/>
      </c>
      <c r="G16341" s="18"/>
      <c r="H16341" s="16" t="s">
        <v>87</v>
      </c>
      <c r="I16341" s="16" t="s">
        <v>87</v>
      </c>
      <c r="J16341" s="19"/>
      <c r="L16341" s="16" t="str">
        <f>IFERROR(__xludf.DUMMYFUNCTION("""COMPUTED_VALUE"""),"")</f>
        <v/>
      </c>
      <c r="M16341" s="16" t="str">
        <f>IFERROR(__xludf.DUMMYFUNCTION("""COMPUTED_VALUE"""),"")</f>
        <v/>
      </c>
      <c r="U16341" s="16" t="s">
        <v>87</v>
      </c>
      <c r="V16341" s="16" t="str">
        <f>IFERROR(__xludf.DUMMYFUNCTION("""COMPUTED_VALUE"""),"")</f>
        <v/>
      </c>
      <c r="W16341" s="16" t="str">
        <f>IFERROR(__xludf.DUMMYFUNCTION("""COMPUTED_VALUE"""),"")</f>
        <v/>
      </c>
      <c r="X16341" s="16" t="str">
        <f>IFERROR(__xludf.DUMMYFUNCTION("""COMPUTED_VALUE"""),"")</f>
        <v/>
      </c>
      <c r="AC16341" s="16" t="str">
        <f>IFERROR(__xludf.DUMMYFUNCTION("""COMPUTED_VALUE"""),"")</f>
        <v/>
      </c>
    </row>
    <row r="16342">
      <c r="A16342" s="16" t="s">
        <v>87</v>
      </c>
      <c r="E16342" s="16" t="str">
        <f>IFERROR(__xludf.DUMMYFUNCTION("""COMPUTED_VALUE"""),"")</f>
        <v/>
      </c>
      <c r="G16342" s="18"/>
      <c r="H16342" s="16" t="s">
        <v>87</v>
      </c>
      <c r="I16342" s="16" t="s">
        <v>87</v>
      </c>
      <c r="J16342" s="19"/>
      <c r="L16342" s="16" t="str">
        <f>IFERROR(__xludf.DUMMYFUNCTION("""COMPUTED_VALUE"""),"")</f>
        <v/>
      </c>
      <c r="M16342" s="16" t="str">
        <f>IFERROR(__xludf.DUMMYFUNCTION("""COMPUTED_VALUE"""),"")</f>
        <v/>
      </c>
      <c r="U16342" s="16" t="s">
        <v>87</v>
      </c>
      <c r="V16342" s="16" t="str">
        <f>IFERROR(__xludf.DUMMYFUNCTION("""COMPUTED_VALUE"""),"")</f>
        <v/>
      </c>
      <c r="W16342" s="16" t="str">
        <f>IFERROR(__xludf.DUMMYFUNCTION("""COMPUTED_VALUE"""),"")</f>
        <v/>
      </c>
      <c r="X16342" s="16" t="str">
        <f>IFERROR(__xludf.DUMMYFUNCTION("""COMPUTED_VALUE"""),"")</f>
        <v/>
      </c>
      <c r="AC16342" s="16" t="str">
        <f>IFERROR(__xludf.DUMMYFUNCTION("""COMPUTED_VALUE"""),"")</f>
        <v/>
      </c>
    </row>
    <row r="16343">
      <c r="A16343" s="16" t="s">
        <v>87</v>
      </c>
      <c r="E16343" s="16" t="str">
        <f>IFERROR(__xludf.DUMMYFUNCTION("""COMPUTED_VALUE"""),"")</f>
        <v/>
      </c>
      <c r="G16343" s="18"/>
      <c r="H16343" s="16" t="s">
        <v>87</v>
      </c>
      <c r="I16343" s="16" t="s">
        <v>87</v>
      </c>
      <c r="J16343" s="19"/>
      <c r="L16343" s="16" t="str">
        <f>IFERROR(__xludf.DUMMYFUNCTION("""COMPUTED_VALUE"""),"")</f>
        <v/>
      </c>
      <c r="M16343" s="16" t="str">
        <f>IFERROR(__xludf.DUMMYFUNCTION("""COMPUTED_VALUE"""),"")</f>
        <v/>
      </c>
      <c r="U16343" s="16" t="s">
        <v>87</v>
      </c>
      <c r="V16343" s="16" t="str">
        <f>IFERROR(__xludf.DUMMYFUNCTION("""COMPUTED_VALUE"""),"")</f>
        <v/>
      </c>
      <c r="W16343" s="16" t="str">
        <f>IFERROR(__xludf.DUMMYFUNCTION("""COMPUTED_VALUE"""),"")</f>
        <v/>
      </c>
      <c r="X16343" s="16" t="str">
        <f>IFERROR(__xludf.DUMMYFUNCTION("""COMPUTED_VALUE"""),"")</f>
        <v/>
      </c>
      <c r="AC16343" s="16" t="str">
        <f>IFERROR(__xludf.DUMMYFUNCTION("""COMPUTED_VALUE"""),"")</f>
        <v/>
      </c>
    </row>
    <row r="16344">
      <c r="A16344" s="16" t="s">
        <v>87</v>
      </c>
      <c r="E16344" s="16" t="str">
        <f>IFERROR(__xludf.DUMMYFUNCTION("""COMPUTED_VALUE"""),"")</f>
        <v/>
      </c>
      <c r="G16344" s="18"/>
      <c r="H16344" s="16" t="s">
        <v>87</v>
      </c>
      <c r="I16344" s="16" t="s">
        <v>87</v>
      </c>
      <c r="J16344" s="19"/>
      <c r="L16344" s="16" t="str">
        <f>IFERROR(__xludf.DUMMYFUNCTION("""COMPUTED_VALUE"""),"")</f>
        <v/>
      </c>
      <c r="M16344" s="16" t="str">
        <f>IFERROR(__xludf.DUMMYFUNCTION("""COMPUTED_VALUE"""),"")</f>
        <v/>
      </c>
      <c r="U16344" s="16" t="s">
        <v>87</v>
      </c>
      <c r="V16344" s="16" t="str">
        <f>IFERROR(__xludf.DUMMYFUNCTION("""COMPUTED_VALUE"""),"")</f>
        <v/>
      </c>
      <c r="W16344" s="16" t="str">
        <f>IFERROR(__xludf.DUMMYFUNCTION("""COMPUTED_VALUE"""),"")</f>
        <v/>
      </c>
      <c r="X16344" s="16" t="str">
        <f>IFERROR(__xludf.DUMMYFUNCTION("""COMPUTED_VALUE"""),"")</f>
        <v/>
      </c>
      <c r="AC16344" s="16" t="str">
        <f>IFERROR(__xludf.DUMMYFUNCTION("""COMPUTED_VALUE"""),"")</f>
        <v/>
      </c>
    </row>
    <row r="16345">
      <c r="A16345" s="16" t="s">
        <v>87</v>
      </c>
      <c r="E16345" s="16" t="str">
        <f>IFERROR(__xludf.DUMMYFUNCTION("""COMPUTED_VALUE"""),"")</f>
        <v/>
      </c>
      <c r="G16345" s="18"/>
      <c r="H16345" s="16" t="s">
        <v>87</v>
      </c>
      <c r="I16345" s="16" t="s">
        <v>87</v>
      </c>
      <c r="J16345" s="19"/>
      <c r="L16345" s="16" t="str">
        <f>IFERROR(__xludf.DUMMYFUNCTION("""COMPUTED_VALUE"""),"")</f>
        <v/>
      </c>
      <c r="M16345" s="16" t="str">
        <f>IFERROR(__xludf.DUMMYFUNCTION("""COMPUTED_VALUE"""),"")</f>
        <v/>
      </c>
      <c r="U16345" s="16" t="s">
        <v>87</v>
      </c>
      <c r="V16345" s="16" t="str">
        <f>IFERROR(__xludf.DUMMYFUNCTION("""COMPUTED_VALUE"""),"")</f>
        <v/>
      </c>
      <c r="W16345" s="16" t="str">
        <f>IFERROR(__xludf.DUMMYFUNCTION("""COMPUTED_VALUE"""),"")</f>
        <v/>
      </c>
      <c r="X16345" s="16" t="str">
        <f>IFERROR(__xludf.DUMMYFUNCTION("""COMPUTED_VALUE"""),"")</f>
        <v/>
      </c>
      <c r="AC16345" s="16" t="str">
        <f>IFERROR(__xludf.DUMMYFUNCTION("""COMPUTED_VALUE"""),"")</f>
        <v/>
      </c>
    </row>
    <row r="16346">
      <c r="A16346" s="16" t="s">
        <v>87</v>
      </c>
      <c r="E16346" s="16" t="str">
        <f>IFERROR(__xludf.DUMMYFUNCTION("""COMPUTED_VALUE"""),"")</f>
        <v/>
      </c>
      <c r="G16346" s="18"/>
      <c r="H16346" s="16" t="s">
        <v>87</v>
      </c>
      <c r="I16346" s="16" t="s">
        <v>87</v>
      </c>
      <c r="J16346" s="19"/>
      <c r="L16346" s="16" t="str">
        <f>IFERROR(__xludf.DUMMYFUNCTION("""COMPUTED_VALUE"""),"")</f>
        <v/>
      </c>
      <c r="M16346" s="16" t="str">
        <f>IFERROR(__xludf.DUMMYFUNCTION("""COMPUTED_VALUE"""),"")</f>
        <v/>
      </c>
      <c r="U16346" s="16" t="s">
        <v>87</v>
      </c>
      <c r="V16346" s="16" t="str">
        <f>IFERROR(__xludf.DUMMYFUNCTION("""COMPUTED_VALUE"""),"")</f>
        <v/>
      </c>
      <c r="W16346" s="16" t="str">
        <f>IFERROR(__xludf.DUMMYFUNCTION("""COMPUTED_VALUE"""),"")</f>
        <v/>
      </c>
      <c r="X16346" s="16" t="str">
        <f>IFERROR(__xludf.DUMMYFUNCTION("""COMPUTED_VALUE"""),"")</f>
        <v/>
      </c>
      <c r="AC16346" s="16" t="str">
        <f>IFERROR(__xludf.DUMMYFUNCTION("""COMPUTED_VALUE"""),"")</f>
        <v/>
      </c>
    </row>
    <row r="16347">
      <c r="A16347" s="16" t="s">
        <v>87</v>
      </c>
      <c r="E16347" s="16" t="str">
        <f>IFERROR(__xludf.DUMMYFUNCTION("""COMPUTED_VALUE"""),"")</f>
        <v/>
      </c>
      <c r="G16347" s="18"/>
      <c r="H16347" s="16" t="s">
        <v>87</v>
      </c>
      <c r="I16347" s="16" t="s">
        <v>87</v>
      </c>
      <c r="J16347" s="19"/>
      <c r="L16347" s="16" t="str">
        <f>IFERROR(__xludf.DUMMYFUNCTION("""COMPUTED_VALUE"""),"")</f>
        <v/>
      </c>
      <c r="M16347" s="16" t="str">
        <f>IFERROR(__xludf.DUMMYFUNCTION("""COMPUTED_VALUE"""),"")</f>
        <v/>
      </c>
      <c r="U16347" s="16" t="s">
        <v>87</v>
      </c>
      <c r="V16347" s="16" t="str">
        <f>IFERROR(__xludf.DUMMYFUNCTION("""COMPUTED_VALUE"""),"")</f>
        <v/>
      </c>
      <c r="W16347" s="16" t="str">
        <f>IFERROR(__xludf.DUMMYFUNCTION("""COMPUTED_VALUE"""),"")</f>
        <v/>
      </c>
      <c r="X16347" s="16" t="str">
        <f>IFERROR(__xludf.DUMMYFUNCTION("""COMPUTED_VALUE"""),"")</f>
        <v/>
      </c>
      <c r="AC16347" s="16" t="str">
        <f>IFERROR(__xludf.DUMMYFUNCTION("""COMPUTED_VALUE"""),"")</f>
        <v/>
      </c>
    </row>
    <row r="16348">
      <c r="A16348" s="16" t="s">
        <v>87</v>
      </c>
      <c r="E16348" s="16" t="str">
        <f>IFERROR(__xludf.DUMMYFUNCTION("""COMPUTED_VALUE"""),"")</f>
        <v/>
      </c>
      <c r="G16348" s="18"/>
      <c r="H16348" s="16" t="s">
        <v>87</v>
      </c>
      <c r="I16348" s="16" t="s">
        <v>87</v>
      </c>
      <c r="J16348" s="19"/>
      <c r="L16348" s="16" t="str">
        <f>IFERROR(__xludf.DUMMYFUNCTION("""COMPUTED_VALUE"""),"")</f>
        <v/>
      </c>
      <c r="M16348" s="16" t="str">
        <f>IFERROR(__xludf.DUMMYFUNCTION("""COMPUTED_VALUE"""),"")</f>
        <v/>
      </c>
      <c r="U16348" s="16" t="s">
        <v>87</v>
      </c>
      <c r="V16348" s="16" t="str">
        <f>IFERROR(__xludf.DUMMYFUNCTION("""COMPUTED_VALUE"""),"")</f>
        <v/>
      </c>
      <c r="W16348" s="16" t="str">
        <f>IFERROR(__xludf.DUMMYFUNCTION("""COMPUTED_VALUE"""),"")</f>
        <v/>
      </c>
      <c r="X16348" s="16" t="str">
        <f>IFERROR(__xludf.DUMMYFUNCTION("""COMPUTED_VALUE"""),"")</f>
        <v/>
      </c>
      <c r="AC16348" s="16" t="str">
        <f>IFERROR(__xludf.DUMMYFUNCTION("""COMPUTED_VALUE"""),"")</f>
        <v/>
      </c>
    </row>
    <row r="16349">
      <c r="A16349" s="16" t="s">
        <v>87</v>
      </c>
      <c r="E16349" s="16" t="str">
        <f>IFERROR(__xludf.DUMMYFUNCTION("""COMPUTED_VALUE"""),"")</f>
        <v/>
      </c>
      <c r="G16349" s="18"/>
      <c r="H16349" s="16" t="s">
        <v>87</v>
      </c>
      <c r="I16349" s="16" t="s">
        <v>87</v>
      </c>
      <c r="J16349" s="19"/>
      <c r="L16349" s="16" t="str">
        <f>IFERROR(__xludf.DUMMYFUNCTION("""COMPUTED_VALUE"""),"")</f>
        <v/>
      </c>
      <c r="M16349" s="16" t="str">
        <f>IFERROR(__xludf.DUMMYFUNCTION("""COMPUTED_VALUE"""),"")</f>
        <v/>
      </c>
      <c r="U16349" s="16" t="s">
        <v>87</v>
      </c>
      <c r="V16349" s="16" t="str">
        <f>IFERROR(__xludf.DUMMYFUNCTION("""COMPUTED_VALUE"""),"")</f>
        <v/>
      </c>
      <c r="W16349" s="16" t="str">
        <f>IFERROR(__xludf.DUMMYFUNCTION("""COMPUTED_VALUE"""),"")</f>
        <v/>
      </c>
      <c r="X16349" s="16" t="str">
        <f>IFERROR(__xludf.DUMMYFUNCTION("""COMPUTED_VALUE"""),"")</f>
        <v/>
      </c>
      <c r="AC16349" s="16" t="str">
        <f>IFERROR(__xludf.DUMMYFUNCTION("""COMPUTED_VALUE"""),"")</f>
        <v/>
      </c>
    </row>
    <row r="16350">
      <c r="A16350" s="16" t="s">
        <v>87</v>
      </c>
      <c r="E16350" s="16" t="str">
        <f>IFERROR(__xludf.DUMMYFUNCTION("""COMPUTED_VALUE"""),"")</f>
        <v/>
      </c>
      <c r="G16350" s="18"/>
      <c r="H16350" s="16" t="s">
        <v>87</v>
      </c>
      <c r="I16350" s="16" t="s">
        <v>87</v>
      </c>
      <c r="J16350" s="19"/>
      <c r="L16350" s="16" t="str">
        <f>IFERROR(__xludf.DUMMYFUNCTION("""COMPUTED_VALUE"""),"")</f>
        <v/>
      </c>
      <c r="M16350" s="16" t="str">
        <f>IFERROR(__xludf.DUMMYFUNCTION("""COMPUTED_VALUE"""),"")</f>
        <v/>
      </c>
      <c r="U16350" s="16" t="s">
        <v>87</v>
      </c>
      <c r="V16350" s="16" t="str">
        <f>IFERROR(__xludf.DUMMYFUNCTION("""COMPUTED_VALUE"""),"")</f>
        <v/>
      </c>
      <c r="W16350" s="16" t="str">
        <f>IFERROR(__xludf.DUMMYFUNCTION("""COMPUTED_VALUE"""),"")</f>
        <v/>
      </c>
      <c r="X16350" s="16" t="str">
        <f>IFERROR(__xludf.DUMMYFUNCTION("""COMPUTED_VALUE"""),"")</f>
        <v/>
      </c>
      <c r="AC16350" s="16" t="str">
        <f>IFERROR(__xludf.DUMMYFUNCTION("""COMPUTED_VALUE"""),"")</f>
        <v/>
      </c>
    </row>
    <row r="16351">
      <c r="A16351" s="16" t="s">
        <v>87</v>
      </c>
      <c r="E16351" s="16" t="str">
        <f>IFERROR(__xludf.DUMMYFUNCTION("""COMPUTED_VALUE"""),"")</f>
        <v/>
      </c>
      <c r="G16351" s="18"/>
      <c r="H16351" s="16" t="s">
        <v>87</v>
      </c>
      <c r="I16351" s="16" t="s">
        <v>87</v>
      </c>
      <c r="J16351" s="19"/>
      <c r="L16351" s="16" t="str">
        <f>IFERROR(__xludf.DUMMYFUNCTION("""COMPUTED_VALUE"""),"")</f>
        <v/>
      </c>
      <c r="M16351" s="16" t="str">
        <f>IFERROR(__xludf.DUMMYFUNCTION("""COMPUTED_VALUE"""),"")</f>
        <v/>
      </c>
      <c r="U16351" s="16" t="s">
        <v>87</v>
      </c>
      <c r="V16351" s="16" t="str">
        <f>IFERROR(__xludf.DUMMYFUNCTION("""COMPUTED_VALUE"""),"")</f>
        <v/>
      </c>
      <c r="W16351" s="16" t="str">
        <f>IFERROR(__xludf.DUMMYFUNCTION("""COMPUTED_VALUE"""),"")</f>
        <v/>
      </c>
      <c r="X16351" s="16" t="str">
        <f>IFERROR(__xludf.DUMMYFUNCTION("""COMPUTED_VALUE"""),"")</f>
        <v/>
      </c>
      <c r="AC16351" s="16" t="str">
        <f>IFERROR(__xludf.DUMMYFUNCTION("""COMPUTED_VALUE"""),"")</f>
        <v/>
      </c>
    </row>
    <row r="16352">
      <c r="A16352" s="16" t="s">
        <v>87</v>
      </c>
      <c r="E16352" s="16" t="str">
        <f>IFERROR(__xludf.DUMMYFUNCTION("""COMPUTED_VALUE"""),"")</f>
        <v/>
      </c>
      <c r="G16352" s="18"/>
      <c r="H16352" s="16" t="s">
        <v>87</v>
      </c>
      <c r="I16352" s="16" t="s">
        <v>87</v>
      </c>
      <c r="J16352" s="19"/>
      <c r="L16352" s="16" t="str">
        <f>IFERROR(__xludf.DUMMYFUNCTION("""COMPUTED_VALUE"""),"")</f>
        <v/>
      </c>
      <c r="M16352" s="16" t="str">
        <f>IFERROR(__xludf.DUMMYFUNCTION("""COMPUTED_VALUE"""),"")</f>
        <v/>
      </c>
      <c r="U16352" s="16" t="s">
        <v>87</v>
      </c>
      <c r="V16352" s="16" t="str">
        <f>IFERROR(__xludf.DUMMYFUNCTION("""COMPUTED_VALUE"""),"")</f>
        <v/>
      </c>
      <c r="W16352" s="16" t="str">
        <f>IFERROR(__xludf.DUMMYFUNCTION("""COMPUTED_VALUE"""),"")</f>
        <v/>
      </c>
      <c r="X16352" s="16" t="str">
        <f>IFERROR(__xludf.DUMMYFUNCTION("""COMPUTED_VALUE"""),"")</f>
        <v/>
      </c>
      <c r="AC16352" s="16" t="str">
        <f>IFERROR(__xludf.DUMMYFUNCTION("""COMPUTED_VALUE"""),"")</f>
        <v/>
      </c>
    </row>
    <row r="16353">
      <c r="A16353" s="16" t="s">
        <v>87</v>
      </c>
      <c r="E16353" s="16" t="str">
        <f>IFERROR(__xludf.DUMMYFUNCTION("""COMPUTED_VALUE"""),"")</f>
        <v/>
      </c>
      <c r="G16353" s="18"/>
      <c r="H16353" s="16" t="s">
        <v>87</v>
      </c>
      <c r="I16353" s="16" t="s">
        <v>87</v>
      </c>
      <c r="J16353" s="19"/>
      <c r="L16353" s="16" t="str">
        <f>IFERROR(__xludf.DUMMYFUNCTION("""COMPUTED_VALUE"""),"")</f>
        <v/>
      </c>
      <c r="M16353" s="16" t="str">
        <f>IFERROR(__xludf.DUMMYFUNCTION("""COMPUTED_VALUE"""),"")</f>
        <v/>
      </c>
      <c r="U16353" s="16" t="s">
        <v>87</v>
      </c>
      <c r="V16353" s="16" t="str">
        <f>IFERROR(__xludf.DUMMYFUNCTION("""COMPUTED_VALUE"""),"")</f>
        <v/>
      </c>
      <c r="W16353" s="16" t="str">
        <f>IFERROR(__xludf.DUMMYFUNCTION("""COMPUTED_VALUE"""),"")</f>
        <v/>
      </c>
      <c r="X16353" s="16" t="str">
        <f>IFERROR(__xludf.DUMMYFUNCTION("""COMPUTED_VALUE"""),"")</f>
        <v/>
      </c>
      <c r="AC16353" s="16" t="str">
        <f>IFERROR(__xludf.DUMMYFUNCTION("""COMPUTED_VALUE"""),"")</f>
        <v/>
      </c>
    </row>
    <row r="16354">
      <c r="A16354" s="16" t="s">
        <v>87</v>
      </c>
      <c r="E16354" s="16" t="str">
        <f>IFERROR(__xludf.DUMMYFUNCTION("""COMPUTED_VALUE"""),"")</f>
        <v/>
      </c>
      <c r="G16354" s="18"/>
      <c r="H16354" s="16" t="s">
        <v>87</v>
      </c>
      <c r="I16354" s="16" t="s">
        <v>87</v>
      </c>
      <c r="J16354" s="19"/>
      <c r="L16354" s="16" t="str">
        <f>IFERROR(__xludf.DUMMYFUNCTION("""COMPUTED_VALUE"""),"")</f>
        <v/>
      </c>
      <c r="M16354" s="16" t="str">
        <f>IFERROR(__xludf.DUMMYFUNCTION("""COMPUTED_VALUE"""),"")</f>
        <v/>
      </c>
      <c r="U16354" s="16" t="s">
        <v>87</v>
      </c>
      <c r="V16354" s="16" t="str">
        <f>IFERROR(__xludf.DUMMYFUNCTION("""COMPUTED_VALUE"""),"")</f>
        <v/>
      </c>
      <c r="W16354" s="16" t="str">
        <f>IFERROR(__xludf.DUMMYFUNCTION("""COMPUTED_VALUE"""),"")</f>
        <v/>
      </c>
      <c r="X16354" s="16" t="str">
        <f>IFERROR(__xludf.DUMMYFUNCTION("""COMPUTED_VALUE"""),"")</f>
        <v/>
      </c>
      <c r="AC16354" s="16" t="str">
        <f>IFERROR(__xludf.DUMMYFUNCTION("""COMPUTED_VALUE"""),"")</f>
        <v/>
      </c>
    </row>
    <row r="16355">
      <c r="A16355" s="16" t="s">
        <v>87</v>
      </c>
      <c r="E16355" s="16" t="str">
        <f>IFERROR(__xludf.DUMMYFUNCTION("""COMPUTED_VALUE"""),"")</f>
        <v/>
      </c>
      <c r="G16355" s="18"/>
      <c r="H16355" s="16" t="s">
        <v>87</v>
      </c>
      <c r="I16355" s="16" t="s">
        <v>87</v>
      </c>
      <c r="J16355" s="19"/>
      <c r="L16355" s="16" t="str">
        <f>IFERROR(__xludf.DUMMYFUNCTION("""COMPUTED_VALUE"""),"")</f>
        <v/>
      </c>
      <c r="M16355" s="16" t="str">
        <f>IFERROR(__xludf.DUMMYFUNCTION("""COMPUTED_VALUE"""),"")</f>
        <v/>
      </c>
      <c r="U16355" s="16" t="s">
        <v>87</v>
      </c>
      <c r="V16355" s="16" t="str">
        <f>IFERROR(__xludf.DUMMYFUNCTION("""COMPUTED_VALUE"""),"")</f>
        <v/>
      </c>
      <c r="W16355" s="16" t="str">
        <f>IFERROR(__xludf.DUMMYFUNCTION("""COMPUTED_VALUE"""),"")</f>
        <v/>
      </c>
      <c r="X16355" s="16" t="str">
        <f>IFERROR(__xludf.DUMMYFUNCTION("""COMPUTED_VALUE"""),"")</f>
        <v/>
      </c>
      <c r="AC16355" s="16" t="str">
        <f>IFERROR(__xludf.DUMMYFUNCTION("""COMPUTED_VALUE"""),"")</f>
        <v/>
      </c>
    </row>
    <row r="16356">
      <c r="A16356" s="16" t="s">
        <v>87</v>
      </c>
      <c r="E16356" s="16" t="str">
        <f>IFERROR(__xludf.DUMMYFUNCTION("""COMPUTED_VALUE"""),"")</f>
        <v/>
      </c>
      <c r="G16356" s="18"/>
      <c r="H16356" s="16" t="s">
        <v>87</v>
      </c>
      <c r="I16356" s="16" t="s">
        <v>87</v>
      </c>
      <c r="J16356" s="19"/>
      <c r="L16356" s="16" t="str">
        <f>IFERROR(__xludf.DUMMYFUNCTION("""COMPUTED_VALUE"""),"")</f>
        <v/>
      </c>
      <c r="M16356" s="16" t="str">
        <f>IFERROR(__xludf.DUMMYFUNCTION("""COMPUTED_VALUE"""),"")</f>
        <v/>
      </c>
      <c r="U16356" s="16" t="s">
        <v>87</v>
      </c>
      <c r="V16356" s="16" t="str">
        <f>IFERROR(__xludf.DUMMYFUNCTION("""COMPUTED_VALUE"""),"")</f>
        <v/>
      </c>
      <c r="W16356" s="16" t="str">
        <f>IFERROR(__xludf.DUMMYFUNCTION("""COMPUTED_VALUE"""),"")</f>
        <v/>
      </c>
      <c r="X16356" s="16" t="str">
        <f>IFERROR(__xludf.DUMMYFUNCTION("""COMPUTED_VALUE"""),"")</f>
        <v/>
      </c>
      <c r="AC16356" s="16" t="str">
        <f>IFERROR(__xludf.DUMMYFUNCTION("""COMPUTED_VALUE"""),"")</f>
        <v/>
      </c>
    </row>
    <row r="16357">
      <c r="A16357" s="16" t="s">
        <v>87</v>
      </c>
      <c r="E16357" s="16" t="str">
        <f>IFERROR(__xludf.DUMMYFUNCTION("""COMPUTED_VALUE"""),"")</f>
        <v/>
      </c>
      <c r="G16357" s="18"/>
      <c r="H16357" s="16" t="s">
        <v>87</v>
      </c>
      <c r="I16357" s="16" t="s">
        <v>87</v>
      </c>
      <c r="J16357" s="19"/>
      <c r="L16357" s="16" t="str">
        <f>IFERROR(__xludf.DUMMYFUNCTION("""COMPUTED_VALUE"""),"")</f>
        <v/>
      </c>
      <c r="M16357" s="16" t="str">
        <f>IFERROR(__xludf.DUMMYFUNCTION("""COMPUTED_VALUE"""),"")</f>
        <v/>
      </c>
      <c r="U16357" s="16" t="s">
        <v>87</v>
      </c>
      <c r="V16357" s="16" t="str">
        <f>IFERROR(__xludf.DUMMYFUNCTION("""COMPUTED_VALUE"""),"")</f>
        <v/>
      </c>
      <c r="W16357" s="16" t="str">
        <f>IFERROR(__xludf.DUMMYFUNCTION("""COMPUTED_VALUE"""),"")</f>
        <v/>
      </c>
      <c r="X16357" s="16" t="str">
        <f>IFERROR(__xludf.DUMMYFUNCTION("""COMPUTED_VALUE"""),"")</f>
        <v/>
      </c>
      <c r="AC16357" s="16" t="str">
        <f>IFERROR(__xludf.DUMMYFUNCTION("""COMPUTED_VALUE"""),"")</f>
        <v/>
      </c>
    </row>
    <row r="16358">
      <c r="A16358" s="16" t="s">
        <v>87</v>
      </c>
      <c r="E16358" s="16" t="str">
        <f>IFERROR(__xludf.DUMMYFUNCTION("""COMPUTED_VALUE"""),"")</f>
        <v/>
      </c>
      <c r="G16358" s="18"/>
      <c r="H16358" s="16" t="s">
        <v>87</v>
      </c>
      <c r="I16358" s="16" t="s">
        <v>87</v>
      </c>
      <c r="J16358" s="19"/>
      <c r="L16358" s="16" t="str">
        <f>IFERROR(__xludf.DUMMYFUNCTION("""COMPUTED_VALUE"""),"")</f>
        <v/>
      </c>
      <c r="M16358" s="16" t="str">
        <f>IFERROR(__xludf.DUMMYFUNCTION("""COMPUTED_VALUE"""),"")</f>
        <v/>
      </c>
      <c r="U16358" s="16" t="s">
        <v>87</v>
      </c>
      <c r="V16358" s="16" t="str">
        <f>IFERROR(__xludf.DUMMYFUNCTION("""COMPUTED_VALUE"""),"")</f>
        <v/>
      </c>
      <c r="W16358" s="16" t="str">
        <f>IFERROR(__xludf.DUMMYFUNCTION("""COMPUTED_VALUE"""),"")</f>
        <v/>
      </c>
      <c r="X16358" s="16" t="str">
        <f>IFERROR(__xludf.DUMMYFUNCTION("""COMPUTED_VALUE"""),"")</f>
        <v/>
      </c>
      <c r="AC16358" s="16" t="str">
        <f>IFERROR(__xludf.DUMMYFUNCTION("""COMPUTED_VALUE"""),"")</f>
        <v/>
      </c>
    </row>
    <row r="16359">
      <c r="A16359" s="16" t="s">
        <v>87</v>
      </c>
      <c r="E16359" s="16" t="str">
        <f>IFERROR(__xludf.DUMMYFUNCTION("""COMPUTED_VALUE"""),"")</f>
        <v/>
      </c>
      <c r="G16359" s="18"/>
      <c r="H16359" s="16" t="s">
        <v>87</v>
      </c>
      <c r="I16359" s="16" t="s">
        <v>87</v>
      </c>
      <c r="J16359" s="19"/>
      <c r="L16359" s="16" t="str">
        <f>IFERROR(__xludf.DUMMYFUNCTION("""COMPUTED_VALUE"""),"")</f>
        <v/>
      </c>
      <c r="M16359" s="16" t="str">
        <f>IFERROR(__xludf.DUMMYFUNCTION("""COMPUTED_VALUE"""),"")</f>
        <v/>
      </c>
      <c r="U16359" s="16" t="s">
        <v>87</v>
      </c>
      <c r="V16359" s="16" t="str">
        <f>IFERROR(__xludf.DUMMYFUNCTION("""COMPUTED_VALUE"""),"")</f>
        <v/>
      </c>
      <c r="W16359" s="16" t="str">
        <f>IFERROR(__xludf.DUMMYFUNCTION("""COMPUTED_VALUE"""),"")</f>
        <v/>
      </c>
      <c r="X16359" s="16" t="str">
        <f>IFERROR(__xludf.DUMMYFUNCTION("""COMPUTED_VALUE"""),"")</f>
        <v/>
      </c>
      <c r="AC16359" s="16" t="str">
        <f>IFERROR(__xludf.DUMMYFUNCTION("""COMPUTED_VALUE"""),"")</f>
        <v/>
      </c>
    </row>
    <row r="16360">
      <c r="A16360" s="16" t="s">
        <v>87</v>
      </c>
      <c r="E16360" s="16" t="str">
        <f>IFERROR(__xludf.DUMMYFUNCTION("""COMPUTED_VALUE"""),"")</f>
        <v/>
      </c>
      <c r="G16360" s="18"/>
      <c r="H16360" s="16" t="s">
        <v>87</v>
      </c>
      <c r="I16360" s="16" t="s">
        <v>87</v>
      </c>
      <c r="J16360" s="19"/>
      <c r="L16360" s="16" t="str">
        <f>IFERROR(__xludf.DUMMYFUNCTION("""COMPUTED_VALUE"""),"")</f>
        <v/>
      </c>
      <c r="M16360" s="16" t="str">
        <f>IFERROR(__xludf.DUMMYFUNCTION("""COMPUTED_VALUE"""),"")</f>
        <v/>
      </c>
      <c r="U16360" s="16" t="s">
        <v>87</v>
      </c>
      <c r="V16360" s="16" t="str">
        <f>IFERROR(__xludf.DUMMYFUNCTION("""COMPUTED_VALUE"""),"")</f>
        <v/>
      </c>
      <c r="W16360" s="16" t="str">
        <f>IFERROR(__xludf.DUMMYFUNCTION("""COMPUTED_VALUE"""),"")</f>
        <v/>
      </c>
      <c r="X16360" s="16" t="str">
        <f>IFERROR(__xludf.DUMMYFUNCTION("""COMPUTED_VALUE"""),"")</f>
        <v/>
      </c>
      <c r="AC16360" s="16" t="str">
        <f>IFERROR(__xludf.DUMMYFUNCTION("""COMPUTED_VALUE"""),"")</f>
        <v/>
      </c>
    </row>
    <row r="16361">
      <c r="A16361" s="16" t="s">
        <v>87</v>
      </c>
      <c r="E16361" s="16" t="str">
        <f>IFERROR(__xludf.DUMMYFUNCTION("""COMPUTED_VALUE"""),"")</f>
        <v/>
      </c>
      <c r="G16361" s="18"/>
      <c r="H16361" s="16" t="s">
        <v>87</v>
      </c>
      <c r="I16361" s="16" t="s">
        <v>87</v>
      </c>
      <c r="J16361" s="19"/>
      <c r="L16361" s="16" t="str">
        <f>IFERROR(__xludf.DUMMYFUNCTION("""COMPUTED_VALUE"""),"")</f>
        <v/>
      </c>
      <c r="M16361" s="16" t="str">
        <f>IFERROR(__xludf.DUMMYFUNCTION("""COMPUTED_VALUE"""),"")</f>
        <v/>
      </c>
      <c r="U16361" s="16" t="s">
        <v>87</v>
      </c>
      <c r="V16361" s="16" t="str">
        <f>IFERROR(__xludf.DUMMYFUNCTION("""COMPUTED_VALUE"""),"")</f>
        <v/>
      </c>
      <c r="W16361" s="16" t="str">
        <f>IFERROR(__xludf.DUMMYFUNCTION("""COMPUTED_VALUE"""),"")</f>
        <v/>
      </c>
      <c r="X16361" s="16" t="str">
        <f>IFERROR(__xludf.DUMMYFUNCTION("""COMPUTED_VALUE"""),"")</f>
        <v/>
      </c>
      <c r="AC16361" s="16" t="str">
        <f>IFERROR(__xludf.DUMMYFUNCTION("""COMPUTED_VALUE"""),"")</f>
        <v/>
      </c>
    </row>
    <row r="16362">
      <c r="A16362" s="16" t="s">
        <v>87</v>
      </c>
      <c r="E16362" s="16" t="str">
        <f>IFERROR(__xludf.DUMMYFUNCTION("""COMPUTED_VALUE"""),"")</f>
        <v/>
      </c>
      <c r="G16362" s="18"/>
      <c r="H16362" s="16" t="s">
        <v>87</v>
      </c>
      <c r="I16362" s="16" t="s">
        <v>87</v>
      </c>
      <c r="J16362" s="19"/>
      <c r="L16362" s="16" t="str">
        <f>IFERROR(__xludf.DUMMYFUNCTION("""COMPUTED_VALUE"""),"")</f>
        <v/>
      </c>
      <c r="M16362" s="16" t="str">
        <f>IFERROR(__xludf.DUMMYFUNCTION("""COMPUTED_VALUE"""),"")</f>
        <v/>
      </c>
      <c r="U16362" s="16" t="s">
        <v>87</v>
      </c>
      <c r="V16362" s="16" t="str">
        <f>IFERROR(__xludf.DUMMYFUNCTION("""COMPUTED_VALUE"""),"")</f>
        <v/>
      </c>
      <c r="W16362" s="16" t="str">
        <f>IFERROR(__xludf.DUMMYFUNCTION("""COMPUTED_VALUE"""),"")</f>
        <v/>
      </c>
      <c r="X16362" s="16" t="str">
        <f>IFERROR(__xludf.DUMMYFUNCTION("""COMPUTED_VALUE"""),"")</f>
        <v/>
      </c>
      <c r="AC16362" s="16" t="str">
        <f>IFERROR(__xludf.DUMMYFUNCTION("""COMPUTED_VALUE"""),"")</f>
        <v/>
      </c>
    </row>
    <row r="16363">
      <c r="A16363" s="16" t="s">
        <v>87</v>
      </c>
      <c r="E16363" s="16" t="str">
        <f>IFERROR(__xludf.DUMMYFUNCTION("""COMPUTED_VALUE"""),"")</f>
        <v/>
      </c>
      <c r="G16363" s="18"/>
      <c r="H16363" s="16" t="s">
        <v>87</v>
      </c>
      <c r="I16363" s="16" t="s">
        <v>87</v>
      </c>
      <c r="J16363" s="19"/>
      <c r="L16363" s="16" t="str">
        <f>IFERROR(__xludf.DUMMYFUNCTION("""COMPUTED_VALUE"""),"")</f>
        <v/>
      </c>
      <c r="M16363" s="16" t="str">
        <f>IFERROR(__xludf.DUMMYFUNCTION("""COMPUTED_VALUE"""),"")</f>
        <v/>
      </c>
      <c r="U16363" s="16" t="s">
        <v>87</v>
      </c>
      <c r="V16363" s="16" t="str">
        <f>IFERROR(__xludf.DUMMYFUNCTION("""COMPUTED_VALUE"""),"")</f>
        <v/>
      </c>
      <c r="W16363" s="16" t="str">
        <f>IFERROR(__xludf.DUMMYFUNCTION("""COMPUTED_VALUE"""),"")</f>
        <v/>
      </c>
      <c r="X16363" s="16" t="str">
        <f>IFERROR(__xludf.DUMMYFUNCTION("""COMPUTED_VALUE"""),"")</f>
        <v/>
      </c>
      <c r="AC16363" s="16" t="str">
        <f>IFERROR(__xludf.DUMMYFUNCTION("""COMPUTED_VALUE"""),"")</f>
        <v/>
      </c>
    </row>
    <row r="16364">
      <c r="A16364" s="16" t="s">
        <v>87</v>
      </c>
      <c r="E16364" s="16" t="str">
        <f>IFERROR(__xludf.DUMMYFUNCTION("""COMPUTED_VALUE"""),"")</f>
        <v/>
      </c>
      <c r="G16364" s="18"/>
      <c r="H16364" s="16" t="s">
        <v>87</v>
      </c>
      <c r="I16364" s="16" t="s">
        <v>87</v>
      </c>
      <c r="J16364" s="19"/>
      <c r="L16364" s="16" t="str">
        <f>IFERROR(__xludf.DUMMYFUNCTION("""COMPUTED_VALUE"""),"")</f>
        <v/>
      </c>
      <c r="M16364" s="16" t="str">
        <f>IFERROR(__xludf.DUMMYFUNCTION("""COMPUTED_VALUE"""),"")</f>
        <v/>
      </c>
      <c r="U16364" s="16" t="s">
        <v>87</v>
      </c>
      <c r="V16364" s="16" t="str">
        <f>IFERROR(__xludf.DUMMYFUNCTION("""COMPUTED_VALUE"""),"")</f>
        <v/>
      </c>
      <c r="W16364" s="16" t="str">
        <f>IFERROR(__xludf.DUMMYFUNCTION("""COMPUTED_VALUE"""),"")</f>
        <v/>
      </c>
      <c r="X16364" s="16" t="str">
        <f>IFERROR(__xludf.DUMMYFUNCTION("""COMPUTED_VALUE"""),"")</f>
        <v/>
      </c>
      <c r="AC16364" s="16" t="str">
        <f>IFERROR(__xludf.DUMMYFUNCTION("""COMPUTED_VALUE"""),"")</f>
        <v/>
      </c>
    </row>
    <row r="16365">
      <c r="A16365" s="16" t="s">
        <v>87</v>
      </c>
      <c r="E16365" s="16" t="str">
        <f>IFERROR(__xludf.DUMMYFUNCTION("""COMPUTED_VALUE"""),"")</f>
        <v/>
      </c>
      <c r="G16365" s="18"/>
      <c r="H16365" s="16" t="s">
        <v>87</v>
      </c>
      <c r="I16365" s="16" t="s">
        <v>87</v>
      </c>
      <c r="J16365" s="19"/>
      <c r="L16365" s="16" t="str">
        <f>IFERROR(__xludf.DUMMYFUNCTION("""COMPUTED_VALUE"""),"")</f>
        <v/>
      </c>
      <c r="M16365" s="16" t="str">
        <f>IFERROR(__xludf.DUMMYFUNCTION("""COMPUTED_VALUE"""),"")</f>
        <v/>
      </c>
      <c r="U16365" s="16" t="s">
        <v>87</v>
      </c>
      <c r="V16365" s="16" t="str">
        <f>IFERROR(__xludf.DUMMYFUNCTION("""COMPUTED_VALUE"""),"")</f>
        <v/>
      </c>
      <c r="W16365" s="16" t="str">
        <f>IFERROR(__xludf.DUMMYFUNCTION("""COMPUTED_VALUE"""),"")</f>
        <v/>
      </c>
      <c r="X16365" s="16" t="str">
        <f>IFERROR(__xludf.DUMMYFUNCTION("""COMPUTED_VALUE"""),"")</f>
        <v/>
      </c>
      <c r="AC16365" s="16" t="str">
        <f>IFERROR(__xludf.DUMMYFUNCTION("""COMPUTED_VALUE"""),"")</f>
        <v/>
      </c>
    </row>
    <row r="16366">
      <c r="A16366" s="16" t="s">
        <v>87</v>
      </c>
      <c r="E16366" s="16" t="str">
        <f>IFERROR(__xludf.DUMMYFUNCTION("""COMPUTED_VALUE"""),"")</f>
        <v/>
      </c>
      <c r="G16366" s="18"/>
      <c r="H16366" s="16" t="s">
        <v>87</v>
      </c>
      <c r="I16366" s="16" t="s">
        <v>87</v>
      </c>
      <c r="J16366" s="19"/>
      <c r="L16366" s="16" t="str">
        <f>IFERROR(__xludf.DUMMYFUNCTION("""COMPUTED_VALUE"""),"")</f>
        <v/>
      </c>
      <c r="M16366" s="16" t="str">
        <f>IFERROR(__xludf.DUMMYFUNCTION("""COMPUTED_VALUE"""),"")</f>
        <v/>
      </c>
      <c r="U16366" s="16" t="s">
        <v>87</v>
      </c>
      <c r="V16366" s="16" t="str">
        <f>IFERROR(__xludf.DUMMYFUNCTION("""COMPUTED_VALUE"""),"")</f>
        <v/>
      </c>
      <c r="W16366" s="16" t="str">
        <f>IFERROR(__xludf.DUMMYFUNCTION("""COMPUTED_VALUE"""),"")</f>
        <v/>
      </c>
      <c r="X16366" s="16" t="str">
        <f>IFERROR(__xludf.DUMMYFUNCTION("""COMPUTED_VALUE"""),"")</f>
        <v/>
      </c>
      <c r="AC16366" s="16" t="str">
        <f>IFERROR(__xludf.DUMMYFUNCTION("""COMPUTED_VALUE"""),"")</f>
        <v/>
      </c>
    </row>
    <row r="16367">
      <c r="A16367" s="16" t="s">
        <v>87</v>
      </c>
      <c r="E16367" s="16" t="str">
        <f>IFERROR(__xludf.DUMMYFUNCTION("""COMPUTED_VALUE"""),"")</f>
        <v/>
      </c>
      <c r="G16367" s="18"/>
      <c r="H16367" s="16" t="s">
        <v>87</v>
      </c>
      <c r="I16367" s="16" t="s">
        <v>87</v>
      </c>
      <c r="J16367" s="19"/>
      <c r="L16367" s="16" t="str">
        <f>IFERROR(__xludf.DUMMYFUNCTION("""COMPUTED_VALUE"""),"")</f>
        <v/>
      </c>
      <c r="M16367" s="16" t="str">
        <f>IFERROR(__xludf.DUMMYFUNCTION("""COMPUTED_VALUE"""),"")</f>
        <v/>
      </c>
      <c r="U16367" s="16" t="s">
        <v>87</v>
      </c>
      <c r="V16367" s="16" t="str">
        <f>IFERROR(__xludf.DUMMYFUNCTION("""COMPUTED_VALUE"""),"")</f>
        <v/>
      </c>
      <c r="W16367" s="16" t="str">
        <f>IFERROR(__xludf.DUMMYFUNCTION("""COMPUTED_VALUE"""),"")</f>
        <v/>
      </c>
      <c r="X16367" s="16" t="str">
        <f>IFERROR(__xludf.DUMMYFUNCTION("""COMPUTED_VALUE"""),"")</f>
        <v/>
      </c>
      <c r="AC16367" s="16" t="str">
        <f>IFERROR(__xludf.DUMMYFUNCTION("""COMPUTED_VALUE"""),"")</f>
        <v/>
      </c>
    </row>
    <row r="16368">
      <c r="A16368" s="16" t="s">
        <v>87</v>
      </c>
      <c r="E16368" s="16" t="str">
        <f>IFERROR(__xludf.DUMMYFUNCTION("""COMPUTED_VALUE"""),"")</f>
        <v/>
      </c>
      <c r="G16368" s="18"/>
      <c r="H16368" s="16" t="s">
        <v>87</v>
      </c>
      <c r="I16368" s="16" t="s">
        <v>87</v>
      </c>
      <c r="J16368" s="19"/>
      <c r="L16368" s="16" t="str">
        <f>IFERROR(__xludf.DUMMYFUNCTION("""COMPUTED_VALUE"""),"")</f>
        <v/>
      </c>
      <c r="M16368" s="16" t="str">
        <f>IFERROR(__xludf.DUMMYFUNCTION("""COMPUTED_VALUE"""),"")</f>
        <v/>
      </c>
      <c r="U16368" s="16" t="s">
        <v>87</v>
      </c>
      <c r="V16368" s="16" t="str">
        <f>IFERROR(__xludf.DUMMYFUNCTION("""COMPUTED_VALUE"""),"")</f>
        <v/>
      </c>
      <c r="W16368" s="16" t="str">
        <f>IFERROR(__xludf.DUMMYFUNCTION("""COMPUTED_VALUE"""),"")</f>
        <v/>
      </c>
      <c r="X16368" s="16" t="str">
        <f>IFERROR(__xludf.DUMMYFUNCTION("""COMPUTED_VALUE"""),"")</f>
        <v/>
      </c>
      <c r="AC16368" s="16" t="str">
        <f>IFERROR(__xludf.DUMMYFUNCTION("""COMPUTED_VALUE"""),"")</f>
        <v/>
      </c>
    </row>
    <row r="16369">
      <c r="A16369" s="16" t="s">
        <v>87</v>
      </c>
      <c r="E16369" s="16" t="str">
        <f>IFERROR(__xludf.DUMMYFUNCTION("""COMPUTED_VALUE"""),"")</f>
        <v/>
      </c>
      <c r="G16369" s="18"/>
      <c r="H16369" s="16" t="s">
        <v>87</v>
      </c>
      <c r="I16369" s="16" t="s">
        <v>87</v>
      </c>
      <c r="J16369" s="19"/>
      <c r="L16369" s="16" t="str">
        <f>IFERROR(__xludf.DUMMYFUNCTION("""COMPUTED_VALUE"""),"")</f>
        <v/>
      </c>
      <c r="M16369" s="16" t="str">
        <f>IFERROR(__xludf.DUMMYFUNCTION("""COMPUTED_VALUE"""),"")</f>
        <v/>
      </c>
      <c r="U16369" s="16" t="s">
        <v>87</v>
      </c>
      <c r="V16369" s="16" t="str">
        <f>IFERROR(__xludf.DUMMYFUNCTION("""COMPUTED_VALUE"""),"")</f>
        <v/>
      </c>
      <c r="W16369" s="16" t="str">
        <f>IFERROR(__xludf.DUMMYFUNCTION("""COMPUTED_VALUE"""),"")</f>
        <v/>
      </c>
      <c r="X16369" s="16" t="str">
        <f>IFERROR(__xludf.DUMMYFUNCTION("""COMPUTED_VALUE"""),"")</f>
        <v/>
      </c>
      <c r="AC16369" s="16" t="str">
        <f>IFERROR(__xludf.DUMMYFUNCTION("""COMPUTED_VALUE"""),"")</f>
        <v/>
      </c>
    </row>
    <row r="16370">
      <c r="A16370" s="16" t="s">
        <v>87</v>
      </c>
      <c r="E16370" s="16" t="str">
        <f>IFERROR(__xludf.DUMMYFUNCTION("""COMPUTED_VALUE"""),"")</f>
        <v/>
      </c>
      <c r="G16370" s="18"/>
      <c r="H16370" s="16" t="s">
        <v>87</v>
      </c>
      <c r="I16370" s="16" t="s">
        <v>87</v>
      </c>
      <c r="J16370" s="19"/>
      <c r="L16370" s="16" t="str">
        <f>IFERROR(__xludf.DUMMYFUNCTION("""COMPUTED_VALUE"""),"")</f>
        <v/>
      </c>
      <c r="M16370" s="16" t="str">
        <f>IFERROR(__xludf.DUMMYFUNCTION("""COMPUTED_VALUE"""),"")</f>
        <v/>
      </c>
      <c r="U16370" s="16" t="s">
        <v>87</v>
      </c>
      <c r="V16370" s="16" t="str">
        <f>IFERROR(__xludf.DUMMYFUNCTION("""COMPUTED_VALUE"""),"")</f>
        <v/>
      </c>
      <c r="W16370" s="16" t="str">
        <f>IFERROR(__xludf.DUMMYFUNCTION("""COMPUTED_VALUE"""),"")</f>
        <v/>
      </c>
      <c r="X16370" s="16" t="str">
        <f>IFERROR(__xludf.DUMMYFUNCTION("""COMPUTED_VALUE"""),"")</f>
        <v/>
      </c>
      <c r="AC16370" s="16" t="str">
        <f>IFERROR(__xludf.DUMMYFUNCTION("""COMPUTED_VALUE"""),"")</f>
        <v/>
      </c>
    </row>
    <row r="16371">
      <c r="A16371" s="16" t="s">
        <v>87</v>
      </c>
      <c r="E16371" s="16" t="str">
        <f>IFERROR(__xludf.DUMMYFUNCTION("""COMPUTED_VALUE"""),"")</f>
        <v/>
      </c>
      <c r="G16371" s="18"/>
      <c r="H16371" s="16" t="s">
        <v>87</v>
      </c>
      <c r="I16371" s="16" t="s">
        <v>87</v>
      </c>
      <c r="J16371" s="19"/>
      <c r="L16371" s="16" t="str">
        <f>IFERROR(__xludf.DUMMYFUNCTION("""COMPUTED_VALUE"""),"")</f>
        <v/>
      </c>
      <c r="M16371" s="16" t="str">
        <f>IFERROR(__xludf.DUMMYFUNCTION("""COMPUTED_VALUE"""),"")</f>
        <v/>
      </c>
      <c r="U16371" s="16" t="s">
        <v>87</v>
      </c>
      <c r="V16371" s="16" t="str">
        <f>IFERROR(__xludf.DUMMYFUNCTION("""COMPUTED_VALUE"""),"")</f>
        <v/>
      </c>
      <c r="W16371" s="16" t="str">
        <f>IFERROR(__xludf.DUMMYFUNCTION("""COMPUTED_VALUE"""),"")</f>
        <v/>
      </c>
      <c r="X16371" s="16" t="str">
        <f>IFERROR(__xludf.DUMMYFUNCTION("""COMPUTED_VALUE"""),"")</f>
        <v/>
      </c>
      <c r="AC16371" s="16" t="str">
        <f>IFERROR(__xludf.DUMMYFUNCTION("""COMPUTED_VALUE"""),"")</f>
        <v/>
      </c>
    </row>
    <row r="16372">
      <c r="A16372" s="16" t="s">
        <v>87</v>
      </c>
      <c r="E16372" s="16" t="str">
        <f>IFERROR(__xludf.DUMMYFUNCTION("""COMPUTED_VALUE"""),"")</f>
        <v/>
      </c>
      <c r="G16372" s="18"/>
      <c r="H16372" s="16" t="s">
        <v>87</v>
      </c>
      <c r="I16372" s="16" t="s">
        <v>87</v>
      </c>
      <c r="J16372" s="19"/>
      <c r="L16372" s="16" t="str">
        <f>IFERROR(__xludf.DUMMYFUNCTION("""COMPUTED_VALUE"""),"")</f>
        <v/>
      </c>
      <c r="M16372" s="16" t="str">
        <f>IFERROR(__xludf.DUMMYFUNCTION("""COMPUTED_VALUE"""),"")</f>
        <v/>
      </c>
      <c r="U16372" s="16" t="s">
        <v>87</v>
      </c>
      <c r="V16372" s="16" t="str">
        <f>IFERROR(__xludf.DUMMYFUNCTION("""COMPUTED_VALUE"""),"")</f>
        <v/>
      </c>
      <c r="W16372" s="16" t="str">
        <f>IFERROR(__xludf.DUMMYFUNCTION("""COMPUTED_VALUE"""),"")</f>
        <v/>
      </c>
      <c r="X16372" s="16" t="str">
        <f>IFERROR(__xludf.DUMMYFUNCTION("""COMPUTED_VALUE"""),"")</f>
        <v/>
      </c>
      <c r="AC16372" s="16" t="str">
        <f>IFERROR(__xludf.DUMMYFUNCTION("""COMPUTED_VALUE"""),"")</f>
        <v/>
      </c>
    </row>
    <row r="16373">
      <c r="A16373" s="16" t="s">
        <v>87</v>
      </c>
      <c r="E16373" s="16" t="str">
        <f>IFERROR(__xludf.DUMMYFUNCTION("""COMPUTED_VALUE"""),"")</f>
        <v/>
      </c>
      <c r="G16373" s="18"/>
      <c r="H16373" s="16" t="s">
        <v>87</v>
      </c>
      <c r="I16373" s="16" t="s">
        <v>87</v>
      </c>
      <c r="J16373" s="19"/>
      <c r="L16373" s="16" t="str">
        <f>IFERROR(__xludf.DUMMYFUNCTION("""COMPUTED_VALUE"""),"")</f>
        <v/>
      </c>
      <c r="M16373" s="16" t="str">
        <f>IFERROR(__xludf.DUMMYFUNCTION("""COMPUTED_VALUE"""),"")</f>
        <v/>
      </c>
      <c r="U16373" s="16" t="s">
        <v>87</v>
      </c>
      <c r="V16373" s="16" t="str">
        <f>IFERROR(__xludf.DUMMYFUNCTION("""COMPUTED_VALUE"""),"")</f>
        <v/>
      </c>
      <c r="W16373" s="16" t="str">
        <f>IFERROR(__xludf.DUMMYFUNCTION("""COMPUTED_VALUE"""),"")</f>
        <v/>
      </c>
      <c r="X16373" s="16" t="str">
        <f>IFERROR(__xludf.DUMMYFUNCTION("""COMPUTED_VALUE"""),"")</f>
        <v/>
      </c>
      <c r="AC16373" s="16" t="str">
        <f>IFERROR(__xludf.DUMMYFUNCTION("""COMPUTED_VALUE"""),"")</f>
        <v/>
      </c>
    </row>
    <row r="16374">
      <c r="A16374" s="16" t="s">
        <v>87</v>
      </c>
      <c r="E16374" s="16" t="str">
        <f>IFERROR(__xludf.DUMMYFUNCTION("""COMPUTED_VALUE"""),"")</f>
        <v/>
      </c>
      <c r="G16374" s="18"/>
      <c r="H16374" s="16" t="s">
        <v>87</v>
      </c>
      <c r="I16374" s="16" t="s">
        <v>87</v>
      </c>
      <c r="J16374" s="19"/>
      <c r="L16374" s="16" t="str">
        <f>IFERROR(__xludf.DUMMYFUNCTION("""COMPUTED_VALUE"""),"")</f>
        <v/>
      </c>
      <c r="M16374" s="16" t="str">
        <f>IFERROR(__xludf.DUMMYFUNCTION("""COMPUTED_VALUE"""),"")</f>
        <v/>
      </c>
      <c r="U16374" s="16" t="s">
        <v>87</v>
      </c>
      <c r="V16374" s="16" t="str">
        <f>IFERROR(__xludf.DUMMYFUNCTION("""COMPUTED_VALUE"""),"")</f>
        <v/>
      </c>
      <c r="W16374" s="16" t="str">
        <f>IFERROR(__xludf.DUMMYFUNCTION("""COMPUTED_VALUE"""),"")</f>
        <v/>
      </c>
      <c r="X16374" s="16" t="str">
        <f>IFERROR(__xludf.DUMMYFUNCTION("""COMPUTED_VALUE"""),"")</f>
        <v/>
      </c>
      <c r="AC16374" s="16" t="str">
        <f>IFERROR(__xludf.DUMMYFUNCTION("""COMPUTED_VALUE"""),"")</f>
        <v/>
      </c>
    </row>
    <row r="16375">
      <c r="A16375" s="16" t="s">
        <v>87</v>
      </c>
      <c r="E16375" s="16" t="str">
        <f>IFERROR(__xludf.DUMMYFUNCTION("""COMPUTED_VALUE"""),"")</f>
        <v/>
      </c>
      <c r="G16375" s="18"/>
      <c r="H16375" s="16" t="s">
        <v>87</v>
      </c>
      <c r="I16375" s="16" t="s">
        <v>87</v>
      </c>
      <c r="J16375" s="19"/>
      <c r="L16375" s="16" t="str">
        <f>IFERROR(__xludf.DUMMYFUNCTION("""COMPUTED_VALUE"""),"")</f>
        <v/>
      </c>
      <c r="M16375" s="16" t="str">
        <f>IFERROR(__xludf.DUMMYFUNCTION("""COMPUTED_VALUE"""),"")</f>
        <v/>
      </c>
      <c r="U16375" s="16" t="s">
        <v>87</v>
      </c>
      <c r="V16375" s="16" t="str">
        <f>IFERROR(__xludf.DUMMYFUNCTION("""COMPUTED_VALUE"""),"")</f>
        <v/>
      </c>
      <c r="W16375" s="16" t="str">
        <f>IFERROR(__xludf.DUMMYFUNCTION("""COMPUTED_VALUE"""),"")</f>
        <v/>
      </c>
      <c r="X16375" s="16" t="str">
        <f>IFERROR(__xludf.DUMMYFUNCTION("""COMPUTED_VALUE"""),"")</f>
        <v/>
      </c>
      <c r="AC16375" s="16" t="str">
        <f>IFERROR(__xludf.DUMMYFUNCTION("""COMPUTED_VALUE"""),"")</f>
        <v/>
      </c>
    </row>
    <row r="16376">
      <c r="A16376" s="16" t="s">
        <v>87</v>
      </c>
      <c r="E16376" s="16" t="str">
        <f>IFERROR(__xludf.DUMMYFUNCTION("""COMPUTED_VALUE"""),"")</f>
        <v/>
      </c>
      <c r="G16376" s="18"/>
      <c r="H16376" s="16" t="s">
        <v>87</v>
      </c>
      <c r="I16376" s="16" t="s">
        <v>87</v>
      </c>
      <c r="J16376" s="19"/>
      <c r="L16376" s="16" t="str">
        <f>IFERROR(__xludf.DUMMYFUNCTION("""COMPUTED_VALUE"""),"")</f>
        <v/>
      </c>
      <c r="M16376" s="16" t="str">
        <f>IFERROR(__xludf.DUMMYFUNCTION("""COMPUTED_VALUE"""),"")</f>
        <v/>
      </c>
      <c r="U16376" s="16" t="s">
        <v>87</v>
      </c>
      <c r="V16376" s="16" t="str">
        <f>IFERROR(__xludf.DUMMYFUNCTION("""COMPUTED_VALUE"""),"")</f>
        <v/>
      </c>
      <c r="W16376" s="16" t="str">
        <f>IFERROR(__xludf.DUMMYFUNCTION("""COMPUTED_VALUE"""),"")</f>
        <v/>
      </c>
      <c r="X16376" s="16" t="str">
        <f>IFERROR(__xludf.DUMMYFUNCTION("""COMPUTED_VALUE"""),"")</f>
        <v/>
      </c>
      <c r="AC16376" s="16" t="str">
        <f>IFERROR(__xludf.DUMMYFUNCTION("""COMPUTED_VALUE"""),"")</f>
        <v/>
      </c>
    </row>
    <row r="16377">
      <c r="A16377" s="16" t="s">
        <v>87</v>
      </c>
      <c r="E16377" s="16" t="str">
        <f>IFERROR(__xludf.DUMMYFUNCTION("""COMPUTED_VALUE"""),"")</f>
        <v/>
      </c>
      <c r="G16377" s="18"/>
      <c r="H16377" s="16" t="s">
        <v>87</v>
      </c>
      <c r="I16377" s="16" t="s">
        <v>87</v>
      </c>
      <c r="J16377" s="19"/>
      <c r="L16377" s="16" t="str">
        <f>IFERROR(__xludf.DUMMYFUNCTION("""COMPUTED_VALUE"""),"")</f>
        <v/>
      </c>
      <c r="M16377" s="16" t="str">
        <f>IFERROR(__xludf.DUMMYFUNCTION("""COMPUTED_VALUE"""),"")</f>
        <v/>
      </c>
      <c r="U16377" s="16" t="s">
        <v>87</v>
      </c>
      <c r="V16377" s="16" t="str">
        <f>IFERROR(__xludf.DUMMYFUNCTION("""COMPUTED_VALUE"""),"")</f>
        <v/>
      </c>
      <c r="W16377" s="16" t="str">
        <f>IFERROR(__xludf.DUMMYFUNCTION("""COMPUTED_VALUE"""),"")</f>
        <v/>
      </c>
      <c r="X16377" s="16" t="str">
        <f>IFERROR(__xludf.DUMMYFUNCTION("""COMPUTED_VALUE"""),"")</f>
        <v/>
      </c>
      <c r="AC16377" s="16" t="str">
        <f>IFERROR(__xludf.DUMMYFUNCTION("""COMPUTED_VALUE"""),"")</f>
        <v/>
      </c>
    </row>
    <row r="16378">
      <c r="A16378" s="16" t="s">
        <v>87</v>
      </c>
      <c r="E16378" s="16" t="str">
        <f>IFERROR(__xludf.DUMMYFUNCTION("""COMPUTED_VALUE"""),"")</f>
        <v/>
      </c>
      <c r="G16378" s="18"/>
      <c r="H16378" s="16" t="s">
        <v>87</v>
      </c>
      <c r="I16378" s="16" t="s">
        <v>87</v>
      </c>
      <c r="J16378" s="19"/>
      <c r="L16378" s="16" t="str">
        <f>IFERROR(__xludf.DUMMYFUNCTION("""COMPUTED_VALUE"""),"")</f>
        <v/>
      </c>
      <c r="M16378" s="16" t="str">
        <f>IFERROR(__xludf.DUMMYFUNCTION("""COMPUTED_VALUE"""),"")</f>
        <v/>
      </c>
      <c r="U16378" s="16" t="s">
        <v>87</v>
      </c>
      <c r="V16378" s="16" t="str">
        <f>IFERROR(__xludf.DUMMYFUNCTION("""COMPUTED_VALUE"""),"")</f>
        <v/>
      </c>
      <c r="W16378" s="16" t="str">
        <f>IFERROR(__xludf.DUMMYFUNCTION("""COMPUTED_VALUE"""),"")</f>
        <v/>
      </c>
      <c r="X16378" s="16" t="str">
        <f>IFERROR(__xludf.DUMMYFUNCTION("""COMPUTED_VALUE"""),"")</f>
        <v/>
      </c>
      <c r="AC16378" s="16" t="str">
        <f>IFERROR(__xludf.DUMMYFUNCTION("""COMPUTED_VALUE"""),"")</f>
        <v/>
      </c>
    </row>
    <row r="16379">
      <c r="A16379" s="16" t="s">
        <v>87</v>
      </c>
      <c r="E16379" s="16" t="str">
        <f>IFERROR(__xludf.DUMMYFUNCTION("""COMPUTED_VALUE"""),"")</f>
        <v/>
      </c>
      <c r="G16379" s="18"/>
      <c r="H16379" s="16" t="s">
        <v>87</v>
      </c>
      <c r="I16379" s="16" t="s">
        <v>87</v>
      </c>
      <c r="J16379" s="19"/>
      <c r="L16379" s="16" t="str">
        <f>IFERROR(__xludf.DUMMYFUNCTION("""COMPUTED_VALUE"""),"")</f>
        <v/>
      </c>
      <c r="M16379" s="16" t="str">
        <f>IFERROR(__xludf.DUMMYFUNCTION("""COMPUTED_VALUE"""),"")</f>
        <v/>
      </c>
      <c r="U16379" s="16" t="s">
        <v>87</v>
      </c>
      <c r="V16379" s="16" t="str">
        <f>IFERROR(__xludf.DUMMYFUNCTION("""COMPUTED_VALUE"""),"")</f>
        <v/>
      </c>
      <c r="W16379" s="16" t="str">
        <f>IFERROR(__xludf.DUMMYFUNCTION("""COMPUTED_VALUE"""),"")</f>
        <v/>
      </c>
      <c r="X16379" s="16" t="str">
        <f>IFERROR(__xludf.DUMMYFUNCTION("""COMPUTED_VALUE"""),"")</f>
        <v/>
      </c>
      <c r="AC16379" s="16" t="str">
        <f>IFERROR(__xludf.DUMMYFUNCTION("""COMPUTED_VALUE"""),"")</f>
        <v/>
      </c>
    </row>
    <row r="16380">
      <c r="A16380" s="16" t="s">
        <v>87</v>
      </c>
      <c r="E16380" s="16" t="str">
        <f>IFERROR(__xludf.DUMMYFUNCTION("""COMPUTED_VALUE"""),"")</f>
        <v/>
      </c>
      <c r="G16380" s="18"/>
      <c r="H16380" s="16" t="s">
        <v>87</v>
      </c>
      <c r="I16380" s="16" t="s">
        <v>87</v>
      </c>
      <c r="J16380" s="19"/>
      <c r="L16380" s="16" t="str">
        <f>IFERROR(__xludf.DUMMYFUNCTION("""COMPUTED_VALUE"""),"")</f>
        <v/>
      </c>
      <c r="M16380" s="16" t="str">
        <f>IFERROR(__xludf.DUMMYFUNCTION("""COMPUTED_VALUE"""),"")</f>
        <v/>
      </c>
      <c r="U16380" s="16" t="s">
        <v>87</v>
      </c>
      <c r="V16380" s="16" t="str">
        <f>IFERROR(__xludf.DUMMYFUNCTION("""COMPUTED_VALUE"""),"")</f>
        <v/>
      </c>
      <c r="W16380" s="16" t="str">
        <f>IFERROR(__xludf.DUMMYFUNCTION("""COMPUTED_VALUE"""),"")</f>
        <v/>
      </c>
      <c r="X16380" s="16" t="str">
        <f>IFERROR(__xludf.DUMMYFUNCTION("""COMPUTED_VALUE"""),"")</f>
        <v/>
      </c>
      <c r="AC16380" s="16" t="str">
        <f>IFERROR(__xludf.DUMMYFUNCTION("""COMPUTED_VALUE"""),"")</f>
        <v/>
      </c>
    </row>
    <row r="16381">
      <c r="A16381" s="16" t="s">
        <v>87</v>
      </c>
      <c r="E16381" s="16" t="str">
        <f>IFERROR(__xludf.DUMMYFUNCTION("""COMPUTED_VALUE"""),"")</f>
        <v/>
      </c>
      <c r="G16381" s="18"/>
      <c r="H16381" s="16" t="s">
        <v>87</v>
      </c>
      <c r="I16381" s="16" t="s">
        <v>87</v>
      </c>
      <c r="J16381" s="19"/>
      <c r="L16381" s="16" t="str">
        <f>IFERROR(__xludf.DUMMYFUNCTION("""COMPUTED_VALUE"""),"")</f>
        <v/>
      </c>
      <c r="M16381" s="16" t="str">
        <f>IFERROR(__xludf.DUMMYFUNCTION("""COMPUTED_VALUE"""),"")</f>
        <v/>
      </c>
      <c r="U16381" s="16" t="s">
        <v>87</v>
      </c>
      <c r="V16381" s="16" t="str">
        <f>IFERROR(__xludf.DUMMYFUNCTION("""COMPUTED_VALUE"""),"")</f>
        <v/>
      </c>
      <c r="W16381" s="16" t="str">
        <f>IFERROR(__xludf.DUMMYFUNCTION("""COMPUTED_VALUE"""),"")</f>
        <v/>
      </c>
      <c r="X16381" s="16" t="str">
        <f>IFERROR(__xludf.DUMMYFUNCTION("""COMPUTED_VALUE"""),"")</f>
        <v/>
      </c>
      <c r="AC16381" s="16" t="str">
        <f>IFERROR(__xludf.DUMMYFUNCTION("""COMPUTED_VALUE"""),"")</f>
        <v/>
      </c>
    </row>
    <row r="16382">
      <c r="A16382" s="16" t="s">
        <v>87</v>
      </c>
      <c r="E16382" s="16" t="str">
        <f>IFERROR(__xludf.DUMMYFUNCTION("""COMPUTED_VALUE"""),"")</f>
        <v/>
      </c>
      <c r="G16382" s="18"/>
      <c r="H16382" s="16" t="s">
        <v>87</v>
      </c>
      <c r="I16382" s="16" t="s">
        <v>87</v>
      </c>
      <c r="J16382" s="19"/>
      <c r="L16382" s="16" t="str">
        <f>IFERROR(__xludf.DUMMYFUNCTION("""COMPUTED_VALUE"""),"")</f>
        <v/>
      </c>
      <c r="M16382" s="16" t="str">
        <f>IFERROR(__xludf.DUMMYFUNCTION("""COMPUTED_VALUE"""),"")</f>
        <v/>
      </c>
      <c r="U16382" s="16" t="s">
        <v>87</v>
      </c>
      <c r="V16382" s="16" t="str">
        <f>IFERROR(__xludf.DUMMYFUNCTION("""COMPUTED_VALUE"""),"")</f>
        <v/>
      </c>
      <c r="W16382" s="16" t="str">
        <f>IFERROR(__xludf.DUMMYFUNCTION("""COMPUTED_VALUE"""),"")</f>
        <v/>
      </c>
      <c r="X16382" s="16" t="str">
        <f>IFERROR(__xludf.DUMMYFUNCTION("""COMPUTED_VALUE"""),"")</f>
        <v/>
      </c>
      <c r="AC16382" s="16" t="str">
        <f>IFERROR(__xludf.DUMMYFUNCTION("""COMPUTED_VALUE"""),"")</f>
        <v/>
      </c>
    </row>
    <row r="16383">
      <c r="A16383" s="16" t="s">
        <v>87</v>
      </c>
      <c r="E16383" s="16" t="str">
        <f>IFERROR(__xludf.DUMMYFUNCTION("""COMPUTED_VALUE"""),"")</f>
        <v/>
      </c>
      <c r="G16383" s="18"/>
      <c r="H16383" s="16" t="s">
        <v>87</v>
      </c>
      <c r="I16383" s="16" t="s">
        <v>87</v>
      </c>
      <c r="J16383" s="19"/>
      <c r="L16383" s="16" t="str">
        <f>IFERROR(__xludf.DUMMYFUNCTION("""COMPUTED_VALUE"""),"")</f>
        <v/>
      </c>
      <c r="M16383" s="16" t="str">
        <f>IFERROR(__xludf.DUMMYFUNCTION("""COMPUTED_VALUE"""),"")</f>
        <v/>
      </c>
      <c r="U16383" s="16" t="s">
        <v>87</v>
      </c>
      <c r="V16383" s="16" t="str">
        <f>IFERROR(__xludf.DUMMYFUNCTION("""COMPUTED_VALUE"""),"")</f>
        <v/>
      </c>
      <c r="W16383" s="16" t="str">
        <f>IFERROR(__xludf.DUMMYFUNCTION("""COMPUTED_VALUE"""),"")</f>
        <v/>
      </c>
      <c r="X16383" s="16" t="str">
        <f>IFERROR(__xludf.DUMMYFUNCTION("""COMPUTED_VALUE"""),"")</f>
        <v/>
      </c>
      <c r="AC16383" s="16" t="str">
        <f>IFERROR(__xludf.DUMMYFUNCTION("""COMPUTED_VALUE"""),"")</f>
        <v/>
      </c>
    </row>
    <row r="16384">
      <c r="A16384" s="16" t="s">
        <v>87</v>
      </c>
      <c r="E16384" s="16" t="str">
        <f>IFERROR(__xludf.DUMMYFUNCTION("""COMPUTED_VALUE"""),"")</f>
        <v/>
      </c>
      <c r="G16384" s="18"/>
      <c r="H16384" s="16" t="s">
        <v>87</v>
      </c>
      <c r="I16384" s="16" t="s">
        <v>87</v>
      </c>
      <c r="J16384" s="19"/>
      <c r="L16384" s="16" t="str">
        <f>IFERROR(__xludf.DUMMYFUNCTION("""COMPUTED_VALUE"""),"")</f>
        <v/>
      </c>
      <c r="M16384" s="16" t="str">
        <f>IFERROR(__xludf.DUMMYFUNCTION("""COMPUTED_VALUE"""),"")</f>
        <v/>
      </c>
      <c r="U16384" s="16" t="s">
        <v>87</v>
      </c>
      <c r="V16384" s="16" t="str">
        <f>IFERROR(__xludf.DUMMYFUNCTION("""COMPUTED_VALUE"""),"")</f>
        <v/>
      </c>
      <c r="W16384" s="16" t="str">
        <f>IFERROR(__xludf.DUMMYFUNCTION("""COMPUTED_VALUE"""),"")</f>
        <v/>
      </c>
      <c r="X16384" s="16" t="str">
        <f>IFERROR(__xludf.DUMMYFUNCTION("""COMPUTED_VALUE"""),"")</f>
        <v/>
      </c>
      <c r="AC16384" s="16" t="str">
        <f>IFERROR(__xludf.DUMMYFUNCTION("""COMPUTED_VALUE"""),"")</f>
        <v/>
      </c>
    </row>
    <row r="16385">
      <c r="A16385" s="16" t="s">
        <v>87</v>
      </c>
      <c r="E16385" s="16" t="str">
        <f>IFERROR(__xludf.DUMMYFUNCTION("""COMPUTED_VALUE"""),"")</f>
        <v/>
      </c>
      <c r="G16385" s="18"/>
      <c r="H16385" s="16" t="s">
        <v>87</v>
      </c>
      <c r="I16385" s="16" t="s">
        <v>87</v>
      </c>
      <c r="J16385" s="19"/>
      <c r="L16385" s="16" t="str">
        <f>IFERROR(__xludf.DUMMYFUNCTION("""COMPUTED_VALUE"""),"")</f>
        <v/>
      </c>
      <c r="M16385" s="16" t="str">
        <f>IFERROR(__xludf.DUMMYFUNCTION("""COMPUTED_VALUE"""),"")</f>
        <v/>
      </c>
      <c r="U16385" s="16" t="s">
        <v>87</v>
      </c>
      <c r="V16385" s="16" t="str">
        <f>IFERROR(__xludf.DUMMYFUNCTION("""COMPUTED_VALUE"""),"")</f>
        <v/>
      </c>
      <c r="W16385" s="16" t="str">
        <f>IFERROR(__xludf.DUMMYFUNCTION("""COMPUTED_VALUE"""),"")</f>
        <v/>
      </c>
      <c r="X16385" s="16" t="str">
        <f>IFERROR(__xludf.DUMMYFUNCTION("""COMPUTED_VALUE"""),"")</f>
        <v/>
      </c>
      <c r="AC16385" s="16" t="str">
        <f>IFERROR(__xludf.DUMMYFUNCTION("""COMPUTED_VALUE"""),"")</f>
        <v/>
      </c>
    </row>
    <row r="16386">
      <c r="A16386" s="16" t="s">
        <v>87</v>
      </c>
      <c r="E16386" s="16" t="str">
        <f>IFERROR(__xludf.DUMMYFUNCTION("""COMPUTED_VALUE"""),"")</f>
        <v/>
      </c>
      <c r="G16386" s="18"/>
      <c r="H16386" s="16" t="s">
        <v>87</v>
      </c>
      <c r="I16386" s="16" t="s">
        <v>87</v>
      </c>
      <c r="J16386" s="19"/>
      <c r="L16386" s="16" t="str">
        <f>IFERROR(__xludf.DUMMYFUNCTION("""COMPUTED_VALUE"""),"")</f>
        <v/>
      </c>
      <c r="M16386" s="16" t="str">
        <f>IFERROR(__xludf.DUMMYFUNCTION("""COMPUTED_VALUE"""),"")</f>
        <v/>
      </c>
      <c r="U16386" s="16" t="s">
        <v>87</v>
      </c>
      <c r="V16386" s="16" t="str">
        <f>IFERROR(__xludf.DUMMYFUNCTION("""COMPUTED_VALUE"""),"")</f>
        <v/>
      </c>
      <c r="W16386" s="16" t="str">
        <f>IFERROR(__xludf.DUMMYFUNCTION("""COMPUTED_VALUE"""),"")</f>
        <v/>
      </c>
      <c r="X16386" s="16" t="str">
        <f>IFERROR(__xludf.DUMMYFUNCTION("""COMPUTED_VALUE"""),"")</f>
        <v/>
      </c>
      <c r="AC16386" s="16" t="str">
        <f>IFERROR(__xludf.DUMMYFUNCTION("""COMPUTED_VALUE"""),"")</f>
        <v/>
      </c>
    </row>
    <row r="16387">
      <c r="A16387" s="16" t="s">
        <v>87</v>
      </c>
      <c r="E16387" s="16" t="str">
        <f>IFERROR(__xludf.DUMMYFUNCTION("""COMPUTED_VALUE"""),"")</f>
        <v/>
      </c>
      <c r="G16387" s="18"/>
      <c r="H16387" s="16" t="s">
        <v>87</v>
      </c>
      <c r="I16387" s="16" t="s">
        <v>87</v>
      </c>
      <c r="J16387" s="19"/>
      <c r="L16387" s="16" t="str">
        <f>IFERROR(__xludf.DUMMYFUNCTION("""COMPUTED_VALUE"""),"")</f>
        <v/>
      </c>
      <c r="M16387" s="16" t="str">
        <f>IFERROR(__xludf.DUMMYFUNCTION("""COMPUTED_VALUE"""),"")</f>
        <v/>
      </c>
      <c r="U16387" s="16" t="s">
        <v>87</v>
      </c>
      <c r="V16387" s="16" t="str">
        <f>IFERROR(__xludf.DUMMYFUNCTION("""COMPUTED_VALUE"""),"")</f>
        <v/>
      </c>
      <c r="W16387" s="16" t="str">
        <f>IFERROR(__xludf.DUMMYFUNCTION("""COMPUTED_VALUE"""),"")</f>
        <v/>
      </c>
      <c r="X16387" s="16" t="str">
        <f>IFERROR(__xludf.DUMMYFUNCTION("""COMPUTED_VALUE"""),"")</f>
        <v/>
      </c>
      <c r="AC16387" s="16" t="str">
        <f>IFERROR(__xludf.DUMMYFUNCTION("""COMPUTED_VALUE"""),"")</f>
        <v/>
      </c>
    </row>
    <row r="16388">
      <c r="A16388" s="16" t="s">
        <v>87</v>
      </c>
      <c r="E16388" s="16" t="str">
        <f>IFERROR(__xludf.DUMMYFUNCTION("""COMPUTED_VALUE"""),"")</f>
        <v/>
      </c>
      <c r="G16388" s="18"/>
      <c r="H16388" s="16" t="s">
        <v>87</v>
      </c>
      <c r="I16388" s="16" t="s">
        <v>87</v>
      </c>
      <c r="J16388" s="19"/>
      <c r="L16388" s="16" t="str">
        <f>IFERROR(__xludf.DUMMYFUNCTION("""COMPUTED_VALUE"""),"")</f>
        <v/>
      </c>
      <c r="M16388" s="16" t="str">
        <f>IFERROR(__xludf.DUMMYFUNCTION("""COMPUTED_VALUE"""),"")</f>
        <v/>
      </c>
      <c r="U16388" s="16" t="s">
        <v>87</v>
      </c>
      <c r="V16388" s="16" t="str">
        <f>IFERROR(__xludf.DUMMYFUNCTION("""COMPUTED_VALUE"""),"")</f>
        <v/>
      </c>
      <c r="W16388" s="16" t="str">
        <f>IFERROR(__xludf.DUMMYFUNCTION("""COMPUTED_VALUE"""),"")</f>
        <v/>
      </c>
      <c r="X16388" s="16" t="str">
        <f>IFERROR(__xludf.DUMMYFUNCTION("""COMPUTED_VALUE"""),"")</f>
        <v/>
      </c>
      <c r="AC16388" s="16" t="str">
        <f>IFERROR(__xludf.DUMMYFUNCTION("""COMPUTED_VALUE"""),"")</f>
        <v/>
      </c>
    </row>
    <row r="16389">
      <c r="A16389" s="16" t="s">
        <v>87</v>
      </c>
      <c r="E16389" s="16" t="str">
        <f>IFERROR(__xludf.DUMMYFUNCTION("""COMPUTED_VALUE"""),"")</f>
        <v/>
      </c>
      <c r="G16389" s="18"/>
      <c r="H16389" s="16" t="s">
        <v>87</v>
      </c>
      <c r="I16389" s="16" t="s">
        <v>87</v>
      </c>
      <c r="J16389" s="19"/>
      <c r="L16389" s="16" t="str">
        <f>IFERROR(__xludf.DUMMYFUNCTION("""COMPUTED_VALUE"""),"")</f>
        <v/>
      </c>
      <c r="M16389" s="16" t="str">
        <f>IFERROR(__xludf.DUMMYFUNCTION("""COMPUTED_VALUE"""),"")</f>
        <v/>
      </c>
      <c r="U16389" s="16" t="s">
        <v>87</v>
      </c>
      <c r="V16389" s="16" t="str">
        <f>IFERROR(__xludf.DUMMYFUNCTION("""COMPUTED_VALUE"""),"")</f>
        <v/>
      </c>
      <c r="W16389" s="16" t="str">
        <f>IFERROR(__xludf.DUMMYFUNCTION("""COMPUTED_VALUE"""),"")</f>
        <v/>
      </c>
      <c r="X16389" s="16" t="str">
        <f>IFERROR(__xludf.DUMMYFUNCTION("""COMPUTED_VALUE"""),"")</f>
        <v/>
      </c>
      <c r="AC16389" s="16" t="str">
        <f>IFERROR(__xludf.DUMMYFUNCTION("""COMPUTED_VALUE"""),"")</f>
        <v/>
      </c>
    </row>
    <row r="16390">
      <c r="A16390" s="16" t="s">
        <v>87</v>
      </c>
      <c r="E16390" s="16" t="str">
        <f>IFERROR(__xludf.DUMMYFUNCTION("""COMPUTED_VALUE"""),"")</f>
        <v/>
      </c>
      <c r="G16390" s="18"/>
      <c r="H16390" s="16" t="s">
        <v>87</v>
      </c>
      <c r="I16390" s="16" t="s">
        <v>87</v>
      </c>
      <c r="J16390" s="19"/>
      <c r="L16390" s="16" t="str">
        <f>IFERROR(__xludf.DUMMYFUNCTION("""COMPUTED_VALUE"""),"")</f>
        <v/>
      </c>
      <c r="M16390" s="16" t="str">
        <f>IFERROR(__xludf.DUMMYFUNCTION("""COMPUTED_VALUE"""),"")</f>
        <v/>
      </c>
      <c r="U16390" s="16" t="s">
        <v>87</v>
      </c>
      <c r="V16390" s="16" t="str">
        <f>IFERROR(__xludf.DUMMYFUNCTION("""COMPUTED_VALUE"""),"")</f>
        <v/>
      </c>
      <c r="W16390" s="16" t="str">
        <f>IFERROR(__xludf.DUMMYFUNCTION("""COMPUTED_VALUE"""),"")</f>
        <v/>
      </c>
      <c r="X16390" s="16" t="str">
        <f>IFERROR(__xludf.DUMMYFUNCTION("""COMPUTED_VALUE"""),"")</f>
        <v/>
      </c>
      <c r="AC16390" s="16" t="str">
        <f>IFERROR(__xludf.DUMMYFUNCTION("""COMPUTED_VALUE"""),"")</f>
        <v/>
      </c>
    </row>
    <row r="16391">
      <c r="A16391" s="16" t="s">
        <v>87</v>
      </c>
      <c r="E16391" s="16" t="str">
        <f>IFERROR(__xludf.DUMMYFUNCTION("""COMPUTED_VALUE"""),"")</f>
        <v/>
      </c>
      <c r="G16391" s="18"/>
      <c r="H16391" s="16" t="s">
        <v>87</v>
      </c>
      <c r="I16391" s="16" t="s">
        <v>87</v>
      </c>
      <c r="J16391" s="19"/>
      <c r="L16391" s="16" t="str">
        <f>IFERROR(__xludf.DUMMYFUNCTION("""COMPUTED_VALUE"""),"")</f>
        <v/>
      </c>
      <c r="M16391" s="16" t="str">
        <f>IFERROR(__xludf.DUMMYFUNCTION("""COMPUTED_VALUE"""),"")</f>
        <v/>
      </c>
      <c r="U16391" s="16" t="s">
        <v>87</v>
      </c>
      <c r="V16391" s="16" t="str">
        <f>IFERROR(__xludf.DUMMYFUNCTION("""COMPUTED_VALUE"""),"")</f>
        <v/>
      </c>
      <c r="W16391" s="16" t="str">
        <f>IFERROR(__xludf.DUMMYFUNCTION("""COMPUTED_VALUE"""),"")</f>
        <v/>
      </c>
      <c r="X16391" s="16" t="str">
        <f>IFERROR(__xludf.DUMMYFUNCTION("""COMPUTED_VALUE"""),"")</f>
        <v/>
      </c>
      <c r="AC16391" s="16" t="str">
        <f>IFERROR(__xludf.DUMMYFUNCTION("""COMPUTED_VALUE"""),"")</f>
        <v/>
      </c>
    </row>
    <row r="16392">
      <c r="A16392" s="16" t="s">
        <v>87</v>
      </c>
      <c r="E16392" s="16" t="str">
        <f>IFERROR(__xludf.DUMMYFUNCTION("""COMPUTED_VALUE"""),"")</f>
        <v/>
      </c>
      <c r="G16392" s="18"/>
      <c r="H16392" s="16" t="s">
        <v>87</v>
      </c>
      <c r="I16392" s="16" t="s">
        <v>87</v>
      </c>
      <c r="J16392" s="19"/>
      <c r="L16392" s="16" t="str">
        <f>IFERROR(__xludf.DUMMYFUNCTION("""COMPUTED_VALUE"""),"")</f>
        <v/>
      </c>
      <c r="M16392" s="16" t="str">
        <f>IFERROR(__xludf.DUMMYFUNCTION("""COMPUTED_VALUE"""),"")</f>
        <v/>
      </c>
      <c r="U16392" s="16" t="s">
        <v>87</v>
      </c>
      <c r="V16392" s="16" t="str">
        <f>IFERROR(__xludf.DUMMYFUNCTION("""COMPUTED_VALUE"""),"")</f>
        <v/>
      </c>
      <c r="W16392" s="16" t="str">
        <f>IFERROR(__xludf.DUMMYFUNCTION("""COMPUTED_VALUE"""),"")</f>
        <v/>
      </c>
      <c r="X16392" s="16" t="str">
        <f>IFERROR(__xludf.DUMMYFUNCTION("""COMPUTED_VALUE"""),"")</f>
        <v/>
      </c>
      <c r="AC16392" s="16" t="str">
        <f>IFERROR(__xludf.DUMMYFUNCTION("""COMPUTED_VALUE"""),"")</f>
        <v/>
      </c>
    </row>
    <row r="16393">
      <c r="A16393" s="16" t="s">
        <v>87</v>
      </c>
      <c r="E16393" s="16" t="str">
        <f>IFERROR(__xludf.DUMMYFUNCTION("""COMPUTED_VALUE"""),"")</f>
        <v/>
      </c>
      <c r="G16393" s="18"/>
      <c r="H16393" s="16" t="s">
        <v>87</v>
      </c>
      <c r="I16393" s="16" t="s">
        <v>87</v>
      </c>
      <c r="J16393" s="19"/>
      <c r="L16393" s="16" t="str">
        <f>IFERROR(__xludf.DUMMYFUNCTION("""COMPUTED_VALUE"""),"")</f>
        <v/>
      </c>
      <c r="M16393" s="16" t="str">
        <f>IFERROR(__xludf.DUMMYFUNCTION("""COMPUTED_VALUE"""),"")</f>
        <v/>
      </c>
      <c r="U16393" s="16" t="s">
        <v>87</v>
      </c>
      <c r="V16393" s="16" t="str">
        <f>IFERROR(__xludf.DUMMYFUNCTION("""COMPUTED_VALUE"""),"")</f>
        <v/>
      </c>
      <c r="W16393" s="16" t="str">
        <f>IFERROR(__xludf.DUMMYFUNCTION("""COMPUTED_VALUE"""),"")</f>
        <v/>
      </c>
      <c r="X16393" s="16" t="str">
        <f>IFERROR(__xludf.DUMMYFUNCTION("""COMPUTED_VALUE"""),"")</f>
        <v/>
      </c>
      <c r="AC16393" s="16" t="str">
        <f>IFERROR(__xludf.DUMMYFUNCTION("""COMPUTED_VALUE"""),"")</f>
        <v/>
      </c>
    </row>
    <row r="16394">
      <c r="A16394" s="16" t="s">
        <v>87</v>
      </c>
      <c r="E16394" s="16" t="str">
        <f>IFERROR(__xludf.DUMMYFUNCTION("""COMPUTED_VALUE"""),"")</f>
        <v/>
      </c>
      <c r="G16394" s="18"/>
      <c r="H16394" s="16" t="s">
        <v>87</v>
      </c>
      <c r="I16394" s="16" t="s">
        <v>87</v>
      </c>
      <c r="J16394" s="19"/>
      <c r="L16394" s="16" t="str">
        <f>IFERROR(__xludf.DUMMYFUNCTION("""COMPUTED_VALUE"""),"")</f>
        <v/>
      </c>
      <c r="M16394" s="16" t="str">
        <f>IFERROR(__xludf.DUMMYFUNCTION("""COMPUTED_VALUE"""),"")</f>
        <v/>
      </c>
      <c r="U16394" s="16" t="s">
        <v>87</v>
      </c>
      <c r="V16394" s="16" t="str">
        <f>IFERROR(__xludf.DUMMYFUNCTION("""COMPUTED_VALUE"""),"")</f>
        <v/>
      </c>
      <c r="W16394" s="16" t="str">
        <f>IFERROR(__xludf.DUMMYFUNCTION("""COMPUTED_VALUE"""),"")</f>
        <v/>
      </c>
      <c r="X16394" s="16" t="str">
        <f>IFERROR(__xludf.DUMMYFUNCTION("""COMPUTED_VALUE"""),"")</f>
        <v/>
      </c>
      <c r="AC16394" s="16" t="str">
        <f>IFERROR(__xludf.DUMMYFUNCTION("""COMPUTED_VALUE"""),"")</f>
        <v/>
      </c>
    </row>
    <row r="16395">
      <c r="A16395" s="16" t="s">
        <v>87</v>
      </c>
      <c r="E16395" s="16" t="str">
        <f>IFERROR(__xludf.DUMMYFUNCTION("""COMPUTED_VALUE"""),"")</f>
        <v/>
      </c>
      <c r="G16395" s="18"/>
      <c r="H16395" s="16" t="s">
        <v>87</v>
      </c>
      <c r="I16395" s="16" t="s">
        <v>87</v>
      </c>
      <c r="J16395" s="19"/>
      <c r="L16395" s="16" t="str">
        <f>IFERROR(__xludf.DUMMYFUNCTION("""COMPUTED_VALUE"""),"")</f>
        <v/>
      </c>
      <c r="M16395" s="16" t="str">
        <f>IFERROR(__xludf.DUMMYFUNCTION("""COMPUTED_VALUE"""),"")</f>
        <v/>
      </c>
      <c r="U16395" s="16" t="s">
        <v>87</v>
      </c>
      <c r="V16395" s="16" t="str">
        <f>IFERROR(__xludf.DUMMYFUNCTION("""COMPUTED_VALUE"""),"")</f>
        <v/>
      </c>
      <c r="W16395" s="16" t="str">
        <f>IFERROR(__xludf.DUMMYFUNCTION("""COMPUTED_VALUE"""),"")</f>
        <v/>
      </c>
      <c r="X16395" s="16" t="str">
        <f>IFERROR(__xludf.DUMMYFUNCTION("""COMPUTED_VALUE"""),"")</f>
        <v/>
      </c>
      <c r="AC16395" s="16" t="str">
        <f>IFERROR(__xludf.DUMMYFUNCTION("""COMPUTED_VALUE"""),"")</f>
        <v/>
      </c>
    </row>
    <row r="16396">
      <c r="A16396" s="16" t="s">
        <v>87</v>
      </c>
      <c r="E16396" s="16" t="str">
        <f>IFERROR(__xludf.DUMMYFUNCTION("""COMPUTED_VALUE"""),"")</f>
        <v/>
      </c>
      <c r="G16396" s="18"/>
      <c r="H16396" s="16" t="s">
        <v>87</v>
      </c>
      <c r="I16396" s="16" t="s">
        <v>87</v>
      </c>
      <c r="J16396" s="19"/>
      <c r="L16396" s="16" t="str">
        <f>IFERROR(__xludf.DUMMYFUNCTION("""COMPUTED_VALUE"""),"")</f>
        <v/>
      </c>
      <c r="M16396" s="16" t="str">
        <f>IFERROR(__xludf.DUMMYFUNCTION("""COMPUTED_VALUE"""),"")</f>
        <v/>
      </c>
      <c r="U16396" s="16" t="s">
        <v>87</v>
      </c>
      <c r="V16396" s="16" t="str">
        <f>IFERROR(__xludf.DUMMYFUNCTION("""COMPUTED_VALUE"""),"")</f>
        <v/>
      </c>
      <c r="W16396" s="16" t="str">
        <f>IFERROR(__xludf.DUMMYFUNCTION("""COMPUTED_VALUE"""),"")</f>
        <v/>
      </c>
      <c r="X16396" s="16" t="str">
        <f>IFERROR(__xludf.DUMMYFUNCTION("""COMPUTED_VALUE"""),"")</f>
        <v/>
      </c>
      <c r="AC16396" s="16" t="str">
        <f>IFERROR(__xludf.DUMMYFUNCTION("""COMPUTED_VALUE"""),"")</f>
        <v/>
      </c>
    </row>
    <row r="16397">
      <c r="A16397" s="16" t="s">
        <v>87</v>
      </c>
      <c r="E16397" s="16" t="str">
        <f>IFERROR(__xludf.DUMMYFUNCTION("""COMPUTED_VALUE"""),"")</f>
        <v/>
      </c>
      <c r="G16397" s="18"/>
      <c r="H16397" s="16" t="s">
        <v>87</v>
      </c>
      <c r="I16397" s="16" t="s">
        <v>87</v>
      </c>
      <c r="J16397" s="19"/>
      <c r="L16397" s="16" t="str">
        <f>IFERROR(__xludf.DUMMYFUNCTION("""COMPUTED_VALUE"""),"")</f>
        <v/>
      </c>
      <c r="M16397" s="16" t="str">
        <f>IFERROR(__xludf.DUMMYFUNCTION("""COMPUTED_VALUE"""),"")</f>
        <v/>
      </c>
      <c r="U16397" s="16" t="s">
        <v>87</v>
      </c>
      <c r="V16397" s="16" t="str">
        <f>IFERROR(__xludf.DUMMYFUNCTION("""COMPUTED_VALUE"""),"")</f>
        <v/>
      </c>
      <c r="W16397" s="16" t="str">
        <f>IFERROR(__xludf.DUMMYFUNCTION("""COMPUTED_VALUE"""),"")</f>
        <v/>
      </c>
      <c r="X16397" s="16" t="str">
        <f>IFERROR(__xludf.DUMMYFUNCTION("""COMPUTED_VALUE"""),"")</f>
        <v/>
      </c>
      <c r="AC16397" s="16" t="str">
        <f>IFERROR(__xludf.DUMMYFUNCTION("""COMPUTED_VALUE"""),"")</f>
        <v/>
      </c>
    </row>
    <row r="16398">
      <c r="A16398" s="16" t="s">
        <v>87</v>
      </c>
      <c r="E16398" s="16" t="str">
        <f>IFERROR(__xludf.DUMMYFUNCTION("""COMPUTED_VALUE"""),"")</f>
        <v/>
      </c>
      <c r="G16398" s="18"/>
      <c r="H16398" s="16" t="s">
        <v>87</v>
      </c>
      <c r="I16398" s="16" t="s">
        <v>87</v>
      </c>
      <c r="J16398" s="19"/>
      <c r="L16398" s="16" t="str">
        <f>IFERROR(__xludf.DUMMYFUNCTION("""COMPUTED_VALUE"""),"")</f>
        <v/>
      </c>
      <c r="M16398" s="16" t="str">
        <f>IFERROR(__xludf.DUMMYFUNCTION("""COMPUTED_VALUE"""),"")</f>
        <v/>
      </c>
      <c r="U16398" s="16" t="s">
        <v>87</v>
      </c>
      <c r="V16398" s="16" t="str">
        <f>IFERROR(__xludf.DUMMYFUNCTION("""COMPUTED_VALUE"""),"")</f>
        <v/>
      </c>
      <c r="W16398" s="16" t="str">
        <f>IFERROR(__xludf.DUMMYFUNCTION("""COMPUTED_VALUE"""),"")</f>
        <v/>
      </c>
      <c r="X16398" s="16" t="str">
        <f>IFERROR(__xludf.DUMMYFUNCTION("""COMPUTED_VALUE"""),"")</f>
        <v/>
      </c>
      <c r="AC16398" s="16" t="str">
        <f>IFERROR(__xludf.DUMMYFUNCTION("""COMPUTED_VALUE"""),"")</f>
        <v/>
      </c>
    </row>
    <row r="16399">
      <c r="A16399" s="16" t="s">
        <v>87</v>
      </c>
      <c r="E16399" s="16" t="str">
        <f>IFERROR(__xludf.DUMMYFUNCTION("""COMPUTED_VALUE"""),"")</f>
        <v/>
      </c>
      <c r="G16399" s="18"/>
      <c r="H16399" s="16" t="s">
        <v>87</v>
      </c>
      <c r="I16399" s="16" t="s">
        <v>87</v>
      </c>
      <c r="J16399" s="19"/>
      <c r="L16399" s="16" t="str">
        <f>IFERROR(__xludf.DUMMYFUNCTION("""COMPUTED_VALUE"""),"")</f>
        <v/>
      </c>
      <c r="M16399" s="16" t="str">
        <f>IFERROR(__xludf.DUMMYFUNCTION("""COMPUTED_VALUE"""),"")</f>
        <v/>
      </c>
      <c r="U16399" s="16" t="s">
        <v>87</v>
      </c>
      <c r="V16399" s="16" t="str">
        <f>IFERROR(__xludf.DUMMYFUNCTION("""COMPUTED_VALUE"""),"")</f>
        <v/>
      </c>
      <c r="W16399" s="16" t="str">
        <f>IFERROR(__xludf.DUMMYFUNCTION("""COMPUTED_VALUE"""),"")</f>
        <v/>
      </c>
      <c r="X16399" s="16" t="str">
        <f>IFERROR(__xludf.DUMMYFUNCTION("""COMPUTED_VALUE"""),"")</f>
        <v/>
      </c>
      <c r="AC16399" s="16" t="str">
        <f>IFERROR(__xludf.DUMMYFUNCTION("""COMPUTED_VALUE"""),"")</f>
        <v/>
      </c>
    </row>
    <row r="16400">
      <c r="A16400" s="16" t="s">
        <v>87</v>
      </c>
      <c r="E16400" s="16" t="str">
        <f>IFERROR(__xludf.DUMMYFUNCTION("""COMPUTED_VALUE"""),"")</f>
        <v/>
      </c>
      <c r="G16400" s="18"/>
      <c r="H16400" s="16" t="s">
        <v>87</v>
      </c>
      <c r="I16400" s="16" t="s">
        <v>87</v>
      </c>
      <c r="J16400" s="19"/>
      <c r="L16400" s="16" t="str">
        <f>IFERROR(__xludf.DUMMYFUNCTION("""COMPUTED_VALUE"""),"")</f>
        <v/>
      </c>
      <c r="M16400" s="16" t="str">
        <f>IFERROR(__xludf.DUMMYFUNCTION("""COMPUTED_VALUE"""),"")</f>
        <v/>
      </c>
      <c r="U16400" s="16" t="s">
        <v>87</v>
      </c>
      <c r="V16400" s="16" t="str">
        <f>IFERROR(__xludf.DUMMYFUNCTION("""COMPUTED_VALUE"""),"")</f>
        <v/>
      </c>
      <c r="W16400" s="16" t="str">
        <f>IFERROR(__xludf.DUMMYFUNCTION("""COMPUTED_VALUE"""),"")</f>
        <v/>
      </c>
      <c r="X16400" s="16" t="str">
        <f>IFERROR(__xludf.DUMMYFUNCTION("""COMPUTED_VALUE"""),"")</f>
        <v/>
      </c>
      <c r="AC16400" s="16" t="str">
        <f>IFERROR(__xludf.DUMMYFUNCTION("""COMPUTED_VALUE"""),"")</f>
        <v/>
      </c>
    </row>
    <row r="16401">
      <c r="A16401" s="16" t="s">
        <v>87</v>
      </c>
      <c r="E16401" s="16" t="str">
        <f>IFERROR(__xludf.DUMMYFUNCTION("""COMPUTED_VALUE"""),"")</f>
        <v/>
      </c>
      <c r="G16401" s="18"/>
      <c r="H16401" s="16" t="s">
        <v>87</v>
      </c>
      <c r="I16401" s="16" t="s">
        <v>87</v>
      </c>
      <c r="J16401" s="19"/>
      <c r="L16401" s="16" t="str">
        <f>IFERROR(__xludf.DUMMYFUNCTION("""COMPUTED_VALUE"""),"")</f>
        <v/>
      </c>
      <c r="M16401" s="16" t="str">
        <f>IFERROR(__xludf.DUMMYFUNCTION("""COMPUTED_VALUE"""),"")</f>
        <v/>
      </c>
      <c r="U16401" s="16" t="s">
        <v>87</v>
      </c>
      <c r="V16401" s="16" t="str">
        <f>IFERROR(__xludf.DUMMYFUNCTION("""COMPUTED_VALUE"""),"")</f>
        <v/>
      </c>
      <c r="W16401" s="16" t="str">
        <f>IFERROR(__xludf.DUMMYFUNCTION("""COMPUTED_VALUE"""),"")</f>
        <v/>
      </c>
      <c r="X16401" s="16" t="str">
        <f>IFERROR(__xludf.DUMMYFUNCTION("""COMPUTED_VALUE"""),"")</f>
        <v/>
      </c>
      <c r="AC16401" s="16" t="str">
        <f>IFERROR(__xludf.DUMMYFUNCTION("""COMPUTED_VALUE"""),"")</f>
        <v/>
      </c>
    </row>
    <row r="16402">
      <c r="A16402" s="16" t="s">
        <v>87</v>
      </c>
      <c r="E16402" s="16" t="str">
        <f>IFERROR(__xludf.DUMMYFUNCTION("""COMPUTED_VALUE"""),"")</f>
        <v/>
      </c>
      <c r="G16402" s="18"/>
      <c r="H16402" s="16" t="s">
        <v>87</v>
      </c>
      <c r="I16402" s="16" t="s">
        <v>87</v>
      </c>
      <c r="J16402" s="19"/>
      <c r="L16402" s="16" t="str">
        <f>IFERROR(__xludf.DUMMYFUNCTION("""COMPUTED_VALUE"""),"")</f>
        <v/>
      </c>
      <c r="M16402" s="16" t="str">
        <f>IFERROR(__xludf.DUMMYFUNCTION("""COMPUTED_VALUE"""),"")</f>
        <v/>
      </c>
      <c r="U16402" s="16" t="s">
        <v>87</v>
      </c>
      <c r="V16402" s="16" t="str">
        <f>IFERROR(__xludf.DUMMYFUNCTION("""COMPUTED_VALUE"""),"")</f>
        <v/>
      </c>
      <c r="W16402" s="16" t="str">
        <f>IFERROR(__xludf.DUMMYFUNCTION("""COMPUTED_VALUE"""),"")</f>
        <v/>
      </c>
      <c r="X16402" s="16" t="str">
        <f>IFERROR(__xludf.DUMMYFUNCTION("""COMPUTED_VALUE"""),"")</f>
        <v/>
      </c>
      <c r="AC16402" s="16" t="str">
        <f>IFERROR(__xludf.DUMMYFUNCTION("""COMPUTED_VALUE"""),"")</f>
        <v/>
      </c>
    </row>
    <row r="16403">
      <c r="A16403" s="16" t="s">
        <v>87</v>
      </c>
      <c r="E16403" s="16" t="str">
        <f>IFERROR(__xludf.DUMMYFUNCTION("""COMPUTED_VALUE"""),"")</f>
        <v/>
      </c>
      <c r="G16403" s="18"/>
      <c r="H16403" s="16" t="s">
        <v>87</v>
      </c>
      <c r="I16403" s="16" t="s">
        <v>87</v>
      </c>
      <c r="J16403" s="19"/>
      <c r="L16403" s="16" t="str">
        <f>IFERROR(__xludf.DUMMYFUNCTION("""COMPUTED_VALUE"""),"")</f>
        <v/>
      </c>
      <c r="M16403" s="16" t="str">
        <f>IFERROR(__xludf.DUMMYFUNCTION("""COMPUTED_VALUE"""),"")</f>
        <v/>
      </c>
      <c r="U16403" s="16" t="s">
        <v>87</v>
      </c>
      <c r="V16403" s="16" t="str">
        <f>IFERROR(__xludf.DUMMYFUNCTION("""COMPUTED_VALUE"""),"")</f>
        <v/>
      </c>
      <c r="W16403" s="16" t="str">
        <f>IFERROR(__xludf.DUMMYFUNCTION("""COMPUTED_VALUE"""),"")</f>
        <v/>
      </c>
      <c r="X16403" s="16" t="str">
        <f>IFERROR(__xludf.DUMMYFUNCTION("""COMPUTED_VALUE"""),"")</f>
        <v/>
      </c>
      <c r="AC16403" s="16" t="str">
        <f>IFERROR(__xludf.DUMMYFUNCTION("""COMPUTED_VALUE"""),"")</f>
        <v/>
      </c>
    </row>
    <row r="16404">
      <c r="A16404" s="16" t="s">
        <v>87</v>
      </c>
      <c r="E16404" s="16" t="str">
        <f>IFERROR(__xludf.DUMMYFUNCTION("""COMPUTED_VALUE"""),"")</f>
        <v/>
      </c>
      <c r="G16404" s="18"/>
      <c r="H16404" s="16" t="s">
        <v>87</v>
      </c>
      <c r="I16404" s="16" t="s">
        <v>87</v>
      </c>
      <c r="J16404" s="19"/>
      <c r="L16404" s="16" t="str">
        <f>IFERROR(__xludf.DUMMYFUNCTION("""COMPUTED_VALUE"""),"")</f>
        <v/>
      </c>
      <c r="M16404" s="16" t="str">
        <f>IFERROR(__xludf.DUMMYFUNCTION("""COMPUTED_VALUE"""),"")</f>
        <v/>
      </c>
      <c r="U16404" s="16" t="s">
        <v>87</v>
      </c>
      <c r="V16404" s="16" t="str">
        <f>IFERROR(__xludf.DUMMYFUNCTION("""COMPUTED_VALUE"""),"")</f>
        <v/>
      </c>
      <c r="W16404" s="16" t="str">
        <f>IFERROR(__xludf.DUMMYFUNCTION("""COMPUTED_VALUE"""),"")</f>
        <v/>
      </c>
      <c r="X16404" s="16" t="str">
        <f>IFERROR(__xludf.DUMMYFUNCTION("""COMPUTED_VALUE"""),"")</f>
        <v/>
      </c>
      <c r="AC16404" s="16" t="str">
        <f>IFERROR(__xludf.DUMMYFUNCTION("""COMPUTED_VALUE"""),"")</f>
        <v/>
      </c>
    </row>
    <row r="16405">
      <c r="A16405" s="16" t="s">
        <v>87</v>
      </c>
      <c r="E16405" s="16" t="str">
        <f>IFERROR(__xludf.DUMMYFUNCTION("""COMPUTED_VALUE"""),"")</f>
        <v/>
      </c>
      <c r="G16405" s="18"/>
      <c r="H16405" s="16" t="s">
        <v>87</v>
      </c>
      <c r="I16405" s="16" t="s">
        <v>87</v>
      </c>
      <c r="J16405" s="19"/>
      <c r="L16405" s="16" t="str">
        <f>IFERROR(__xludf.DUMMYFUNCTION("""COMPUTED_VALUE"""),"")</f>
        <v/>
      </c>
      <c r="M16405" s="16" t="str">
        <f>IFERROR(__xludf.DUMMYFUNCTION("""COMPUTED_VALUE"""),"")</f>
        <v/>
      </c>
      <c r="U16405" s="16" t="s">
        <v>87</v>
      </c>
      <c r="V16405" s="16" t="str">
        <f>IFERROR(__xludf.DUMMYFUNCTION("""COMPUTED_VALUE"""),"")</f>
        <v/>
      </c>
      <c r="W16405" s="16" t="str">
        <f>IFERROR(__xludf.DUMMYFUNCTION("""COMPUTED_VALUE"""),"")</f>
        <v/>
      </c>
      <c r="X16405" s="16" t="str">
        <f>IFERROR(__xludf.DUMMYFUNCTION("""COMPUTED_VALUE"""),"")</f>
        <v/>
      </c>
      <c r="AC16405" s="16" t="str">
        <f>IFERROR(__xludf.DUMMYFUNCTION("""COMPUTED_VALUE"""),"")</f>
        <v/>
      </c>
    </row>
    <row r="16406">
      <c r="A16406" s="16" t="s">
        <v>87</v>
      </c>
      <c r="E16406" s="16" t="str">
        <f>IFERROR(__xludf.DUMMYFUNCTION("""COMPUTED_VALUE"""),"")</f>
        <v/>
      </c>
      <c r="G16406" s="18"/>
      <c r="H16406" s="16" t="s">
        <v>87</v>
      </c>
      <c r="I16406" s="16" t="s">
        <v>87</v>
      </c>
      <c r="J16406" s="19"/>
      <c r="L16406" s="16" t="str">
        <f>IFERROR(__xludf.DUMMYFUNCTION("""COMPUTED_VALUE"""),"")</f>
        <v/>
      </c>
      <c r="M16406" s="16" t="str">
        <f>IFERROR(__xludf.DUMMYFUNCTION("""COMPUTED_VALUE"""),"")</f>
        <v/>
      </c>
      <c r="U16406" s="16" t="s">
        <v>87</v>
      </c>
      <c r="V16406" s="16" t="str">
        <f>IFERROR(__xludf.DUMMYFUNCTION("""COMPUTED_VALUE"""),"")</f>
        <v/>
      </c>
      <c r="W16406" s="16" t="str">
        <f>IFERROR(__xludf.DUMMYFUNCTION("""COMPUTED_VALUE"""),"")</f>
        <v/>
      </c>
      <c r="X16406" s="16" t="str">
        <f>IFERROR(__xludf.DUMMYFUNCTION("""COMPUTED_VALUE"""),"")</f>
        <v/>
      </c>
      <c r="AC16406" s="16" t="str">
        <f>IFERROR(__xludf.DUMMYFUNCTION("""COMPUTED_VALUE"""),"")</f>
        <v/>
      </c>
    </row>
    <row r="16407">
      <c r="A16407" s="16" t="s">
        <v>87</v>
      </c>
      <c r="E16407" s="16" t="str">
        <f>IFERROR(__xludf.DUMMYFUNCTION("""COMPUTED_VALUE"""),"")</f>
        <v/>
      </c>
      <c r="G16407" s="18"/>
      <c r="H16407" s="16" t="s">
        <v>87</v>
      </c>
      <c r="I16407" s="16" t="s">
        <v>87</v>
      </c>
      <c r="J16407" s="19"/>
      <c r="L16407" s="16" t="str">
        <f>IFERROR(__xludf.DUMMYFUNCTION("""COMPUTED_VALUE"""),"")</f>
        <v/>
      </c>
      <c r="M16407" s="16" t="str">
        <f>IFERROR(__xludf.DUMMYFUNCTION("""COMPUTED_VALUE"""),"")</f>
        <v/>
      </c>
      <c r="U16407" s="16" t="s">
        <v>87</v>
      </c>
      <c r="V16407" s="16" t="str">
        <f>IFERROR(__xludf.DUMMYFUNCTION("""COMPUTED_VALUE"""),"")</f>
        <v/>
      </c>
      <c r="W16407" s="16" t="str">
        <f>IFERROR(__xludf.DUMMYFUNCTION("""COMPUTED_VALUE"""),"")</f>
        <v/>
      </c>
      <c r="X16407" s="16" t="str">
        <f>IFERROR(__xludf.DUMMYFUNCTION("""COMPUTED_VALUE"""),"")</f>
        <v/>
      </c>
      <c r="AC16407" s="16" t="str">
        <f>IFERROR(__xludf.DUMMYFUNCTION("""COMPUTED_VALUE"""),"")</f>
        <v/>
      </c>
    </row>
    <row r="16408">
      <c r="A16408" s="16" t="s">
        <v>87</v>
      </c>
      <c r="E16408" s="16" t="str">
        <f>IFERROR(__xludf.DUMMYFUNCTION("""COMPUTED_VALUE"""),"")</f>
        <v/>
      </c>
      <c r="G16408" s="18"/>
      <c r="H16408" s="16" t="s">
        <v>87</v>
      </c>
      <c r="I16408" s="16" t="s">
        <v>87</v>
      </c>
      <c r="J16408" s="19"/>
      <c r="L16408" s="16" t="str">
        <f>IFERROR(__xludf.DUMMYFUNCTION("""COMPUTED_VALUE"""),"")</f>
        <v/>
      </c>
      <c r="M16408" s="16" t="str">
        <f>IFERROR(__xludf.DUMMYFUNCTION("""COMPUTED_VALUE"""),"")</f>
        <v/>
      </c>
      <c r="U16408" s="16" t="s">
        <v>87</v>
      </c>
      <c r="V16408" s="16" t="str">
        <f>IFERROR(__xludf.DUMMYFUNCTION("""COMPUTED_VALUE"""),"")</f>
        <v/>
      </c>
      <c r="W16408" s="16" t="str">
        <f>IFERROR(__xludf.DUMMYFUNCTION("""COMPUTED_VALUE"""),"")</f>
        <v/>
      </c>
      <c r="X16408" s="16" t="str">
        <f>IFERROR(__xludf.DUMMYFUNCTION("""COMPUTED_VALUE"""),"")</f>
        <v/>
      </c>
      <c r="AC16408" s="16" t="str">
        <f>IFERROR(__xludf.DUMMYFUNCTION("""COMPUTED_VALUE"""),"")</f>
        <v/>
      </c>
    </row>
    <row r="16409">
      <c r="A16409" s="16" t="s">
        <v>87</v>
      </c>
      <c r="E16409" s="16" t="str">
        <f>IFERROR(__xludf.DUMMYFUNCTION("""COMPUTED_VALUE"""),"")</f>
        <v/>
      </c>
      <c r="G16409" s="18"/>
      <c r="H16409" s="16" t="s">
        <v>87</v>
      </c>
      <c r="I16409" s="16" t="s">
        <v>87</v>
      </c>
      <c r="J16409" s="19"/>
      <c r="L16409" s="16" t="str">
        <f>IFERROR(__xludf.DUMMYFUNCTION("""COMPUTED_VALUE"""),"")</f>
        <v/>
      </c>
      <c r="M16409" s="16" t="str">
        <f>IFERROR(__xludf.DUMMYFUNCTION("""COMPUTED_VALUE"""),"")</f>
        <v/>
      </c>
      <c r="U16409" s="16" t="s">
        <v>87</v>
      </c>
      <c r="V16409" s="16" t="str">
        <f>IFERROR(__xludf.DUMMYFUNCTION("""COMPUTED_VALUE"""),"")</f>
        <v/>
      </c>
      <c r="W16409" s="16" t="str">
        <f>IFERROR(__xludf.DUMMYFUNCTION("""COMPUTED_VALUE"""),"")</f>
        <v/>
      </c>
      <c r="X16409" s="16" t="str">
        <f>IFERROR(__xludf.DUMMYFUNCTION("""COMPUTED_VALUE"""),"")</f>
        <v/>
      </c>
      <c r="AC16409" s="16" t="str">
        <f>IFERROR(__xludf.DUMMYFUNCTION("""COMPUTED_VALUE"""),"")</f>
        <v/>
      </c>
    </row>
    <row r="16410">
      <c r="A16410" s="16" t="s">
        <v>87</v>
      </c>
      <c r="E16410" s="16" t="str">
        <f>IFERROR(__xludf.DUMMYFUNCTION("""COMPUTED_VALUE"""),"")</f>
        <v/>
      </c>
      <c r="G16410" s="18"/>
      <c r="H16410" s="16" t="s">
        <v>87</v>
      </c>
      <c r="I16410" s="16" t="s">
        <v>87</v>
      </c>
      <c r="J16410" s="19"/>
      <c r="L16410" s="16" t="str">
        <f>IFERROR(__xludf.DUMMYFUNCTION("""COMPUTED_VALUE"""),"")</f>
        <v/>
      </c>
      <c r="M16410" s="16" t="str">
        <f>IFERROR(__xludf.DUMMYFUNCTION("""COMPUTED_VALUE"""),"")</f>
        <v/>
      </c>
      <c r="U16410" s="16" t="s">
        <v>87</v>
      </c>
      <c r="V16410" s="16" t="str">
        <f>IFERROR(__xludf.DUMMYFUNCTION("""COMPUTED_VALUE"""),"")</f>
        <v/>
      </c>
      <c r="W16410" s="16" t="str">
        <f>IFERROR(__xludf.DUMMYFUNCTION("""COMPUTED_VALUE"""),"")</f>
        <v/>
      </c>
      <c r="X16410" s="16" t="str">
        <f>IFERROR(__xludf.DUMMYFUNCTION("""COMPUTED_VALUE"""),"")</f>
        <v/>
      </c>
      <c r="AC16410" s="16" t="str">
        <f>IFERROR(__xludf.DUMMYFUNCTION("""COMPUTED_VALUE"""),"")</f>
        <v/>
      </c>
    </row>
    <row r="16411">
      <c r="A16411" s="16" t="s">
        <v>87</v>
      </c>
      <c r="E16411" s="16" t="str">
        <f>IFERROR(__xludf.DUMMYFUNCTION("""COMPUTED_VALUE"""),"")</f>
        <v/>
      </c>
      <c r="G16411" s="18"/>
      <c r="H16411" s="16" t="s">
        <v>87</v>
      </c>
      <c r="I16411" s="16" t="s">
        <v>87</v>
      </c>
      <c r="J16411" s="19"/>
      <c r="L16411" s="16" t="str">
        <f>IFERROR(__xludf.DUMMYFUNCTION("""COMPUTED_VALUE"""),"")</f>
        <v/>
      </c>
      <c r="M16411" s="16" t="str">
        <f>IFERROR(__xludf.DUMMYFUNCTION("""COMPUTED_VALUE"""),"")</f>
        <v/>
      </c>
      <c r="U16411" s="16" t="s">
        <v>87</v>
      </c>
      <c r="V16411" s="16" t="str">
        <f>IFERROR(__xludf.DUMMYFUNCTION("""COMPUTED_VALUE"""),"")</f>
        <v/>
      </c>
      <c r="W16411" s="16" t="str">
        <f>IFERROR(__xludf.DUMMYFUNCTION("""COMPUTED_VALUE"""),"")</f>
        <v/>
      </c>
      <c r="X16411" s="16" t="str">
        <f>IFERROR(__xludf.DUMMYFUNCTION("""COMPUTED_VALUE"""),"")</f>
        <v/>
      </c>
      <c r="AC16411" s="16" t="str">
        <f>IFERROR(__xludf.DUMMYFUNCTION("""COMPUTED_VALUE"""),"")</f>
        <v/>
      </c>
    </row>
    <row r="16412">
      <c r="A16412" s="16" t="s">
        <v>87</v>
      </c>
      <c r="E16412" s="16" t="str">
        <f>IFERROR(__xludf.DUMMYFUNCTION("""COMPUTED_VALUE"""),"")</f>
        <v/>
      </c>
      <c r="G16412" s="18"/>
      <c r="H16412" s="16" t="s">
        <v>87</v>
      </c>
      <c r="I16412" s="16" t="s">
        <v>87</v>
      </c>
      <c r="J16412" s="19"/>
      <c r="L16412" s="16" t="str">
        <f>IFERROR(__xludf.DUMMYFUNCTION("""COMPUTED_VALUE"""),"")</f>
        <v/>
      </c>
      <c r="M16412" s="16" t="str">
        <f>IFERROR(__xludf.DUMMYFUNCTION("""COMPUTED_VALUE"""),"")</f>
        <v/>
      </c>
      <c r="U16412" s="16" t="s">
        <v>87</v>
      </c>
      <c r="V16412" s="16" t="str">
        <f>IFERROR(__xludf.DUMMYFUNCTION("""COMPUTED_VALUE"""),"")</f>
        <v/>
      </c>
      <c r="W16412" s="16" t="str">
        <f>IFERROR(__xludf.DUMMYFUNCTION("""COMPUTED_VALUE"""),"")</f>
        <v/>
      </c>
      <c r="X16412" s="16" t="str">
        <f>IFERROR(__xludf.DUMMYFUNCTION("""COMPUTED_VALUE"""),"")</f>
        <v/>
      </c>
      <c r="AC16412" s="16" t="str">
        <f>IFERROR(__xludf.DUMMYFUNCTION("""COMPUTED_VALUE"""),"")</f>
        <v/>
      </c>
    </row>
    <row r="16413">
      <c r="A16413" s="16" t="s">
        <v>87</v>
      </c>
      <c r="E16413" s="16" t="str">
        <f>IFERROR(__xludf.DUMMYFUNCTION("""COMPUTED_VALUE"""),"")</f>
        <v/>
      </c>
      <c r="G16413" s="18"/>
      <c r="H16413" s="16" t="s">
        <v>87</v>
      </c>
      <c r="I16413" s="16" t="s">
        <v>87</v>
      </c>
      <c r="J16413" s="19"/>
      <c r="L16413" s="16" t="str">
        <f>IFERROR(__xludf.DUMMYFUNCTION("""COMPUTED_VALUE"""),"")</f>
        <v/>
      </c>
      <c r="M16413" s="16" t="str">
        <f>IFERROR(__xludf.DUMMYFUNCTION("""COMPUTED_VALUE"""),"")</f>
        <v/>
      </c>
      <c r="U16413" s="16" t="s">
        <v>87</v>
      </c>
      <c r="V16413" s="16" t="str">
        <f>IFERROR(__xludf.DUMMYFUNCTION("""COMPUTED_VALUE"""),"")</f>
        <v/>
      </c>
      <c r="W16413" s="16" t="str">
        <f>IFERROR(__xludf.DUMMYFUNCTION("""COMPUTED_VALUE"""),"")</f>
        <v/>
      </c>
      <c r="X16413" s="16" t="str">
        <f>IFERROR(__xludf.DUMMYFUNCTION("""COMPUTED_VALUE"""),"")</f>
        <v/>
      </c>
      <c r="AC16413" s="16" t="str">
        <f>IFERROR(__xludf.DUMMYFUNCTION("""COMPUTED_VALUE"""),"")</f>
        <v/>
      </c>
    </row>
    <row r="16414">
      <c r="A16414" s="16" t="s">
        <v>87</v>
      </c>
      <c r="E16414" s="16" t="str">
        <f>IFERROR(__xludf.DUMMYFUNCTION("""COMPUTED_VALUE"""),"")</f>
        <v/>
      </c>
      <c r="G16414" s="18"/>
      <c r="H16414" s="16" t="s">
        <v>87</v>
      </c>
      <c r="I16414" s="16" t="s">
        <v>87</v>
      </c>
      <c r="J16414" s="19"/>
      <c r="L16414" s="16" t="str">
        <f>IFERROR(__xludf.DUMMYFUNCTION("""COMPUTED_VALUE"""),"")</f>
        <v/>
      </c>
      <c r="M16414" s="16" t="str">
        <f>IFERROR(__xludf.DUMMYFUNCTION("""COMPUTED_VALUE"""),"")</f>
        <v/>
      </c>
      <c r="U16414" s="16" t="s">
        <v>87</v>
      </c>
      <c r="V16414" s="16" t="str">
        <f>IFERROR(__xludf.DUMMYFUNCTION("""COMPUTED_VALUE"""),"")</f>
        <v/>
      </c>
      <c r="W16414" s="16" t="str">
        <f>IFERROR(__xludf.DUMMYFUNCTION("""COMPUTED_VALUE"""),"")</f>
        <v/>
      </c>
      <c r="X16414" s="16" t="str">
        <f>IFERROR(__xludf.DUMMYFUNCTION("""COMPUTED_VALUE"""),"")</f>
        <v/>
      </c>
      <c r="AC16414" s="16" t="str">
        <f>IFERROR(__xludf.DUMMYFUNCTION("""COMPUTED_VALUE"""),"")</f>
        <v/>
      </c>
    </row>
    <row r="16415">
      <c r="A16415" s="16" t="s">
        <v>87</v>
      </c>
      <c r="E16415" s="16" t="str">
        <f>IFERROR(__xludf.DUMMYFUNCTION("""COMPUTED_VALUE"""),"")</f>
        <v/>
      </c>
      <c r="G16415" s="18"/>
      <c r="H16415" s="16" t="s">
        <v>87</v>
      </c>
      <c r="I16415" s="16" t="s">
        <v>87</v>
      </c>
      <c r="J16415" s="19"/>
      <c r="L16415" s="16" t="str">
        <f>IFERROR(__xludf.DUMMYFUNCTION("""COMPUTED_VALUE"""),"")</f>
        <v/>
      </c>
      <c r="M16415" s="16" t="str">
        <f>IFERROR(__xludf.DUMMYFUNCTION("""COMPUTED_VALUE"""),"")</f>
        <v/>
      </c>
      <c r="U16415" s="16" t="s">
        <v>87</v>
      </c>
      <c r="V16415" s="16" t="str">
        <f>IFERROR(__xludf.DUMMYFUNCTION("""COMPUTED_VALUE"""),"")</f>
        <v/>
      </c>
      <c r="W16415" s="16" t="str">
        <f>IFERROR(__xludf.DUMMYFUNCTION("""COMPUTED_VALUE"""),"")</f>
        <v/>
      </c>
      <c r="X16415" s="16" t="str">
        <f>IFERROR(__xludf.DUMMYFUNCTION("""COMPUTED_VALUE"""),"")</f>
        <v/>
      </c>
      <c r="AC16415" s="16" t="str">
        <f>IFERROR(__xludf.DUMMYFUNCTION("""COMPUTED_VALUE"""),"")</f>
        <v/>
      </c>
    </row>
    <row r="16416">
      <c r="A16416" s="16" t="s">
        <v>87</v>
      </c>
      <c r="E16416" s="16" t="str">
        <f>IFERROR(__xludf.DUMMYFUNCTION("""COMPUTED_VALUE"""),"")</f>
        <v/>
      </c>
      <c r="G16416" s="18"/>
      <c r="H16416" s="16" t="s">
        <v>87</v>
      </c>
      <c r="I16416" s="16" t="s">
        <v>87</v>
      </c>
      <c r="J16416" s="19"/>
      <c r="L16416" s="16" t="str">
        <f>IFERROR(__xludf.DUMMYFUNCTION("""COMPUTED_VALUE"""),"")</f>
        <v/>
      </c>
      <c r="M16416" s="16" t="str">
        <f>IFERROR(__xludf.DUMMYFUNCTION("""COMPUTED_VALUE"""),"")</f>
        <v/>
      </c>
      <c r="U16416" s="16" t="s">
        <v>87</v>
      </c>
      <c r="V16416" s="16" t="str">
        <f>IFERROR(__xludf.DUMMYFUNCTION("""COMPUTED_VALUE"""),"")</f>
        <v/>
      </c>
      <c r="W16416" s="16" t="str">
        <f>IFERROR(__xludf.DUMMYFUNCTION("""COMPUTED_VALUE"""),"")</f>
        <v/>
      </c>
      <c r="X16416" s="16" t="str">
        <f>IFERROR(__xludf.DUMMYFUNCTION("""COMPUTED_VALUE"""),"")</f>
        <v/>
      </c>
      <c r="AC16416" s="16" t="str">
        <f>IFERROR(__xludf.DUMMYFUNCTION("""COMPUTED_VALUE"""),"")</f>
        <v/>
      </c>
    </row>
    <row r="16417">
      <c r="A16417" s="16" t="s">
        <v>87</v>
      </c>
      <c r="E16417" s="16" t="str">
        <f>IFERROR(__xludf.DUMMYFUNCTION("""COMPUTED_VALUE"""),"")</f>
        <v/>
      </c>
      <c r="G16417" s="18"/>
      <c r="H16417" s="16" t="s">
        <v>87</v>
      </c>
      <c r="I16417" s="16" t="s">
        <v>87</v>
      </c>
      <c r="J16417" s="19"/>
      <c r="L16417" s="16" t="str">
        <f>IFERROR(__xludf.DUMMYFUNCTION("""COMPUTED_VALUE"""),"")</f>
        <v/>
      </c>
      <c r="M16417" s="16" t="str">
        <f>IFERROR(__xludf.DUMMYFUNCTION("""COMPUTED_VALUE"""),"")</f>
        <v/>
      </c>
      <c r="U16417" s="16" t="s">
        <v>87</v>
      </c>
      <c r="V16417" s="16" t="str">
        <f>IFERROR(__xludf.DUMMYFUNCTION("""COMPUTED_VALUE"""),"")</f>
        <v/>
      </c>
      <c r="W16417" s="16" t="str">
        <f>IFERROR(__xludf.DUMMYFUNCTION("""COMPUTED_VALUE"""),"")</f>
        <v/>
      </c>
      <c r="X16417" s="16" t="str">
        <f>IFERROR(__xludf.DUMMYFUNCTION("""COMPUTED_VALUE"""),"")</f>
        <v/>
      </c>
      <c r="AC16417" s="16" t="str">
        <f>IFERROR(__xludf.DUMMYFUNCTION("""COMPUTED_VALUE"""),"")</f>
        <v/>
      </c>
    </row>
    <row r="16418">
      <c r="A16418" s="16" t="s">
        <v>87</v>
      </c>
      <c r="E16418" s="16" t="str">
        <f>IFERROR(__xludf.DUMMYFUNCTION("""COMPUTED_VALUE"""),"")</f>
        <v/>
      </c>
      <c r="G16418" s="18"/>
      <c r="H16418" s="16" t="s">
        <v>87</v>
      </c>
      <c r="I16418" s="16" t="s">
        <v>87</v>
      </c>
      <c r="J16418" s="19"/>
      <c r="L16418" s="16" t="str">
        <f>IFERROR(__xludf.DUMMYFUNCTION("""COMPUTED_VALUE"""),"")</f>
        <v/>
      </c>
      <c r="M16418" s="16" t="str">
        <f>IFERROR(__xludf.DUMMYFUNCTION("""COMPUTED_VALUE"""),"")</f>
        <v/>
      </c>
      <c r="U16418" s="16" t="s">
        <v>87</v>
      </c>
      <c r="V16418" s="16" t="str">
        <f>IFERROR(__xludf.DUMMYFUNCTION("""COMPUTED_VALUE"""),"")</f>
        <v/>
      </c>
      <c r="W16418" s="16" t="str">
        <f>IFERROR(__xludf.DUMMYFUNCTION("""COMPUTED_VALUE"""),"")</f>
        <v/>
      </c>
      <c r="X16418" s="16" t="str">
        <f>IFERROR(__xludf.DUMMYFUNCTION("""COMPUTED_VALUE"""),"")</f>
        <v/>
      </c>
      <c r="AC16418" s="16" t="str">
        <f>IFERROR(__xludf.DUMMYFUNCTION("""COMPUTED_VALUE"""),"")</f>
        <v/>
      </c>
    </row>
    <row r="16419">
      <c r="A16419" s="16" t="s">
        <v>87</v>
      </c>
      <c r="E16419" s="16" t="str">
        <f>IFERROR(__xludf.DUMMYFUNCTION("""COMPUTED_VALUE"""),"")</f>
        <v/>
      </c>
      <c r="G16419" s="18"/>
      <c r="H16419" s="16" t="s">
        <v>87</v>
      </c>
      <c r="I16419" s="16" t="s">
        <v>87</v>
      </c>
      <c r="J16419" s="19"/>
      <c r="L16419" s="16" t="str">
        <f>IFERROR(__xludf.DUMMYFUNCTION("""COMPUTED_VALUE"""),"")</f>
        <v/>
      </c>
      <c r="M16419" s="16" t="str">
        <f>IFERROR(__xludf.DUMMYFUNCTION("""COMPUTED_VALUE"""),"")</f>
        <v/>
      </c>
      <c r="U16419" s="16" t="s">
        <v>87</v>
      </c>
      <c r="V16419" s="16" t="str">
        <f>IFERROR(__xludf.DUMMYFUNCTION("""COMPUTED_VALUE"""),"")</f>
        <v/>
      </c>
      <c r="W16419" s="16" t="str">
        <f>IFERROR(__xludf.DUMMYFUNCTION("""COMPUTED_VALUE"""),"")</f>
        <v/>
      </c>
      <c r="X16419" s="16" t="str">
        <f>IFERROR(__xludf.DUMMYFUNCTION("""COMPUTED_VALUE"""),"")</f>
        <v/>
      </c>
      <c r="AC16419" s="16" t="str">
        <f>IFERROR(__xludf.DUMMYFUNCTION("""COMPUTED_VALUE"""),"")</f>
        <v/>
      </c>
    </row>
    <row r="16420">
      <c r="A16420" s="16" t="s">
        <v>87</v>
      </c>
      <c r="E16420" s="16" t="str">
        <f>IFERROR(__xludf.DUMMYFUNCTION("""COMPUTED_VALUE"""),"")</f>
        <v/>
      </c>
      <c r="G16420" s="18"/>
      <c r="H16420" s="16" t="s">
        <v>87</v>
      </c>
      <c r="I16420" s="16" t="s">
        <v>87</v>
      </c>
      <c r="J16420" s="19"/>
      <c r="L16420" s="16" t="str">
        <f>IFERROR(__xludf.DUMMYFUNCTION("""COMPUTED_VALUE"""),"")</f>
        <v/>
      </c>
      <c r="M16420" s="16" t="str">
        <f>IFERROR(__xludf.DUMMYFUNCTION("""COMPUTED_VALUE"""),"")</f>
        <v/>
      </c>
      <c r="U16420" s="16" t="s">
        <v>87</v>
      </c>
      <c r="V16420" s="16" t="str">
        <f>IFERROR(__xludf.DUMMYFUNCTION("""COMPUTED_VALUE"""),"")</f>
        <v/>
      </c>
      <c r="W16420" s="16" t="str">
        <f>IFERROR(__xludf.DUMMYFUNCTION("""COMPUTED_VALUE"""),"")</f>
        <v/>
      </c>
      <c r="X16420" s="16" t="str">
        <f>IFERROR(__xludf.DUMMYFUNCTION("""COMPUTED_VALUE"""),"")</f>
        <v/>
      </c>
      <c r="AC16420" s="16" t="str">
        <f>IFERROR(__xludf.DUMMYFUNCTION("""COMPUTED_VALUE"""),"")</f>
        <v/>
      </c>
    </row>
    <row r="16421">
      <c r="A16421" s="16" t="s">
        <v>87</v>
      </c>
      <c r="E16421" s="16" t="str">
        <f>IFERROR(__xludf.DUMMYFUNCTION("""COMPUTED_VALUE"""),"")</f>
        <v/>
      </c>
      <c r="G16421" s="18"/>
      <c r="H16421" s="16" t="s">
        <v>87</v>
      </c>
      <c r="I16421" s="16" t="s">
        <v>87</v>
      </c>
      <c r="J16421" s="19"/>
      <c r="L16421" s="16" t="str">
        <f>IFERROR(__xludf.DUMMYFUNCTION("""COMPUTED_VALUE"""),"")</f>
        <v/>
      </c>
      <c r="M16421" s="16" t="str">
        <f>IFERROR(__xludf.DUMMYFUNCTION("""COMPUTED_VALUE"""),"")</f>
        <v/>
      </c>
      <c r="U16421" s="16" t="s">
        <v>87</v>
      </c>
      <c r="V16421" s="16" t="str">
        <f>IFERROR(__xludf.DUMMYFUNCTION("""COMPUTED_VALUE"""),"")</f>
        <v/>
      </c>
      <c r="W16421" s="16" t="str">
        <f>IFERROR(__xludf.DUMMYFUNCTION("""COMPUTED_VALUE"""),"")</f>
        <v/>
      </c>
      <c r="X16421" s="16" t="str">
        <f>IFERROR(__xludf.DUMMYFUNCTION("""COMPUTED_VALUE"""),"")</f>
        <v/>
      </c>
      <c r="AC16421" s="16" t="str">
        <f>IFERROR(__xludf.DUMMYFUNCTION("""COMPUTED_VALUE"""),"")</f>
        <v/>
      </c>
    </row>
    <row r="16422">
      <c r="A16422" s="16" t="s">
        <v>87</v>
      </c>
      <c r="E16422" s="16" t="str">
        <f>IFERROR(__xludf.DUMMYFUNCTION("""COMPUTED_VALUE"""),"")</f>
        <v/>
      </c>
      <c r="G16422" s="18"/>
      <c r="H16422" s="16" t="s">
        <v>87</v>
      </c>
      <c r="I16422" s="16" t="s">
        <v>87</v>
      </c>
      <c r="J16422" s="19"/>
      <c r="L16422" s="16" t="str">
        <f>IFERROR(__xludf.DUMMYFUNCTION("""COMPUTED_VALUE"""),"")</f>
        <v/>
      </c>
      <c r="M16422" s="16" t="str">
        <f>IFERROR(__xludf.DUMMYFUNCTION("""COMPUTED_VALUE"""),"")</f>
        <v/>
      </c>
      <c r="U16422" s="16" t="s">
        <v>87</v>
      </c>
      <c r="V16422" s="16" t="str">
        <f>IFERROR(__xludf.DUMMYFUNCTION("""COMPUTED_VALUE"""),"")</f>
        <v/>
      </c>
      <c r="W16422" s="16" t="str">
        <f>IFERROR(__xludf.DUMMYFUNCTION("""COMPUTED_VALUE"""),"")</f>
        <v/>
      </c>
      <c r="X16422" s="16" t="str">
        <f>IFERROR(__xludf.DUMMYFUNCTION("""COMPUTED_VALUE"""),"")</f>
        <v/>
      </c>
      <c r="AC16422" s="16" t="str">
        <f>IFERROR(__xludf.DUMMYFUNCTION("""COMPUTED_VALUE"""),"")</f>
        <v/>
      </c>
    </row>
    <row r="16423">
      <c r="A16423" s="16" t="s">
        <v>87</v>
      </c>
      <c r="E16423" s="16" t="str">
        <f>IFERROR(__xludf.DUMMYFUNCTION("""COMPUTED_VALUE"""),"")</f>
        <v/>
      </c>
      <c r="G16423" s="18"/>
      <c r="H16423" s="16" t="s">
        <v>87</v>
      </c>
      <c r="I16423" s="16" t="s">
        <v>87</v>
      </c>
      <c r="J16423" s="19"/>
      <c r="L16423" s="16" t="str">
        <f>IFERROR(__xludf.DUMMYFUNCTION("""COMPUTED_VALUE"""),"")</f>
        <v/>
      </c>
      <c r="M16423" s="16" t="str">
        <f>IFERROR(__xludf.DUMMYFUNCTION("""COMPUTED_VALUE"""),"")</f>
        <v/>
      </c>
      <c r="U16423" s="16" t="s">
        <v>87</v>
      </c>
      <c r="V16423" s="16" t="str">
        <f>IFERROR(__xludf.DUMMYFUNCTION("""COMPUTED_VALUE"""),"")</f>
        <v/>
      </c>
      <c r="W16423" s="16" t="str">
        <f>IFERROR(__xludf.DUMMYFUNCTION("""COMPUTED_VALUE"""),"")</f>
        <v/>
      </c>
      <c r="X16423" s="16" t="str">
        <f>IFERROR(__xludf.DUMMYFUNCTION("""COMPUTED_VALUE"""),"")</f>
        <v/>
      </c>
      <c r="AC16423" s="16" t="str">
        <f>IFERROR(__xludf.DUMMYFUNCTION("""COMPUTED_VALUE"""),"")</f>
        <v/>
      </c>
    </row>
    <row r="16424">
      <c r="A16424" s="16" t="s">
        <v>87</v>
      </c>
      <c r="E16424" s="16" t="str">
        <f>IFERROR(__xludf.DUMMYFUNCTION("""COMPUTED_VALUE"""),"")</f>
        <v/>
      </c>
      <c r="G16424" s="18"/>
      <c r="H16424" s="16" t="s">
        <v>87</v>
      </c>
      <c r="I16424" s="16" t="s">
        <v>87</v>
      </c>
      <c r="J16424" s="19"/>
      <c r="L16424" s="16" t="str">
        <f>IFERROR(__xludf.DUMMYFUNCTION("""COMPUTED_VALUE"""),"")</f>
        <v/>
      </c>
      <c r="M16424" s="16" t="str">
        <f>IFERROR(__xludf.DUMMYFUNCTION("""COMPUTED_VALUE"""),"")</f>
        <v/>
      </c>
      <c r="U16424" s="16" t="s">
        <v>87</v>
      </c>
      <c r="V16424" s="16" t="str">
        <f>IFERROR(__xludf.DUMMYFUNCTION("""COMPUTED_VALUE"""),"")</f>
        <v/>
      </c>
      <c r="W16424" s="16" t="str">
        <f>IFERROR(__xludf.DUMMYFUNCTION("""COMPUTED_VALUE"""),"")</f>
        <v/>
      </c>
      <c r="X16424" s="16" t="str">
        <f>IFERROR(__xludf.DUMMYFUNCTION("""COMPUTED_VALUE"""),"")</f>
        <v/>
      </c>
      <c r="AC16424" s="16" t="str">
        <f>IFERROR(__xludf.DUMMYFUNCTION("""COMPUTED_VALUE"""),"")</f>
        <v/>
      </c>
    </row>
    <row r="16425">
      <c r="A16425" s="16" t="s">
        <v>87</v>
      </c>
      <c r="E16425" s="16" t="str">
        <f>IFERROR(__xludf.DUMMYFUNCTION("""COMPUTED_VALUE"""),"")</f>
        <v/>
      </c>
      <c r="G16425" s="18"/>
      <c r="H16425" s="16" t="s">
        <v>87</v>
      </c>
      <c r="I16425" s="16" t="s">
        <v>87</v>
      </c>
      <c r="J16425" s="19"/>
      <c r="L16425" s="16" t="str">
        <f>IFERROR(__xludf.DUMMYFUNCTION("""COMPUTED_VALUE"""),"")</f>
        <v/>
      </c>
      <c r="M16425" s="16" t="str">
        <f>IFERROR(__xludf.DUMMYFUNCTION("""COMPUTED_VALUE"""),"")</f>
        <v/>
      </c>
      <c r="U16425" s="16" t="s">
        <v>87</v>
      </c>
      <c r="V16425" s="16" t="str">
        <f>IFERROR(__xludf.DUMMYFUNCTION("""COMPUTED_VALUE"""),"")</f>
        <v/>
      </c>
      <c r="W16425" s="16" t="str">
        <f>IFERROR(__xludf.DUMMYFUNCTION("""COMPUTED_VALUE"""),"")</f>
        <v/>
      </c>
      <c r="X16425" s="16" t="str">
        <f>IFERROR(__xludf.DUMMYFUNCTION("""COMPUTED_VALUE"""),"")</f>
        <v/>
      </c>
      <c r="AC16425" s="16" t="str">
        <f>IFERROR(__xludf.DUMMYFUNCTION("""COMPUTED_VALUE"""),"")</f>
        <v/>
      </c>
    </row>
    <row r="16426">
      <c r="A16426" s="16" t="s">
        <v>87</v>
      </c>
      <c r="E16426" s="16" t="str">
        <f>IFERROR(__xludf.DUMMYFUNCTION("""COMPUTED_VALUE"""),"")</f>
        <v/>
      </c>
      <c r="G16426" s="18"/>
      <c r="H16426" s="16" t="s">
        <v>87</v>
      </c>
      <c r="I16426" s="16" t="s">
        <v>87</v>
      </c>
      <c r="J16426" s="19"/>
      <c r="L16426" s="16" t="str">
        <f>IFERROR(__xludf.DUMMYFUNCTION("""COMPUTED_VALUE"""),"")</f>
        <v/>
      </c>
      <c r="M16426" s="16" t="str">
        <f>IFERROR(__xludf.DUMMYFUNCTION("""COMPUTED_VALUE"""),"")</f>
        <v/>
      </c>
      <c r="U16426" s="16" t="s">
        <v>87</v>
      </c>
      <c r="V16426" s="16" t="str">
        <f>IFERROR(__xludf.DUMMYFUNCTION("""COMPUTED_VALUE"""),"")</f>
        <v/>
      </c>
      <c r="W16426" s="16" t="str">
        <f>IFERROR(__xludf.DUMMYFUNCTION("""COMPUTED_VALUE"""),"")</f>
        <v/>
      </c>
      <c r="X16426" s="16" t="str">
        <f>IFERROR(__xludf.DUMMYFUNCTION("""COMPUTED_VALUE"""),"")</f>
        <v/>
      </c>
      <c r="AC16426" s="16" t="str">
        <f>IFERROR(__xludf.DUMMYFUNCTION("""COMPUTED_VALUE"""),"")</f>
        <v/>
      </c>
    </row>
    <row r="16427">
      <c r="A16427" s="16" t="s">
        <v>87</v>
      </c>
      <c r="E16427" s="16" t="str">
        <f>IFERROR(__xludf.DUMMYFUNCTION("""COMPUTED_VALUE"""),"")</f>
        <v/>
      </c>
      <c r="G16427" s="18"/>
      <c r="H16427" s="16" t="s">
        <v>87</v>
      </c>
      <c r="I16427" s="16" t="s">
        <v>87</v>
      </c>
      <c r="J16427" s="19"/>
      <c r="L16427" s="16" t="str">
        <f>IFERROR(__xludf.DUMMYFUNCTION("""COMPUTED_VALUE"""),"")</f>
        <v/>
      </c>
      <c r="M16427" s="16" t="str">
        <f>IFERROR(__xludf.DUMMYFUNCTION("""COMPUTED_VALUE"""),"")</f>
        <v/>
      </c>
      <c r="U16427" s="16" t="s">
        <v>87</v>
      </c>
      <c r="V16427" s="16" t="str">
        <f>IFERROR(__xludf.DUMMYFUNCTION("""COMPUTED_VALUE"""),"")</f>
        <v/>
      </c>
      <c r="W16427" s="16" t="str">
        <f>IFERROR(__xludf.DUMMYFUNCTION("""COMPUTED_VALUE"""),"")</f>
        <v/>
      </c>
      <c r="X16427" s="16" t="str">
        <f>IFERROR(__xludf.DUMMYFUNCTION("""COMPUTED_VALUE"""),"")</f>
        <v/>
      </c>
      <c r="AC16427" s="16" t="str">
        <f>IFERROR(__xludf.DUMMYFUNCTION("""COMPUTED_VALUE"""),"")</f>
        <v/>
      </c>
    </row>
    <row r="16428">
      <c r="A16428" s="16" t="s">
        <v>87</v>
      </c>
      <c r="E16428" s="16" t="str">
        <f>IFERROR(__xludf.DUMMYFUNCTION("""COMPUTED_VALUE"""),"")</f>
        <v/>
      </c>
      <c r="G16428" s="18"/>
      <c r="H16428" s="16" t="s">
        <v>87</v>
      </c>
      <c r="I16428" s="16" t="s">
        <v>87</v>
      </c>
      <c r="J16428" s="19"/>
      <c r="L16428" s="16" t="str">
        <f>IFERROR(__xludf.DUMMYFUNCTION("""COMPUTED_VALUE"""),"")</f>
        <v/>
      </c>
      <c r="M16428" s="16" t="str">
        <f>IFERROR(__xludf.DUMMYFUNCTION("""COMPUTED_VALUE"""),"")</f>
        <v/>
      </c>
      <c r="U16428" s="16" t="s">
        <v>87</v>
      </c>
      <c r="V16428" s="16" t="str">
        <f>IFERROR(__xludf.DUMMYFUNCTION("""COMPUTED_VALUE"""),"")</f>
        <v/>
      </c>
      <c r="W16428" s="16" t="str">
        <f>IFERROR(__xludf.DUMMYFUNCTION("""COMPUTED_VALUE"""),"")</f>
        <v/>
      </c>
      <c r="X16428" s="16" t="str">
        <f>IFERROR(__xludf.DUMMYFUNCTION("""COMPUTED_VALUE"""),"")</f>
        <v/>
      </c>
      <c r="AC16428" s="16" t="str">
        <f>IFERROR(__xludf.DUMMYFUNCTION("""COMPUTED_VALUE"""),"")</f>
        <v/>
      </c>
    </row>
    <row r="16429">
      <c r="A16429" s="16" t="s">
        <v>87</v>
      </c>
      <c r="E16429" s="16" t="str">
        <f>IFERROR(__xludf.DUMMYFUNCTION("""COMPUTED_VALUE"""),"")</f>
        <v/>
      </c>
      <c r="G16429" s="18"/>
      <c r="H16429" s="16" t="s">
        <v>87</v>
      </c>
      <c r="I16429" s="16" t="s">
        <v>87</v>
      </c>
      <c r="J16429" s="19"/>
      <c r="L16429" s="16" t="str">
        <f>IFERROR(__xludf.DUMMYFUNCTION("""COMPUTED_VALUE"""),"")</f>
        <v/>
      </c>
      <c r="M16429" s="16" t="str">
        <f>IFERROR(__xludf.DUMMYFUNCTION("""COMPUTED_VALUE"""),"")</f>
        <v/>
      </c>
      <c r="U16429" s="16" t="s">
        <v>87</v>
      </c>
      <c r="V16429" s="16" t="str">
        <f>IFERROR(__xludf.DUMMYFUNCTION("""COMPUTED_VALUE"""),"")</f>
        <v/>
      </c>
      <c r="W16429" s="16" t="str">
        <f>IFERROR(__xludf.DUMMYFUNCTION("""COMPUTED_VALUE"""),"")</f>
        <v/>
      </c>
      <c r="X16429" s="16" t="str">
        <f>IFERROR(__xludf.DUMMYFUNCTION("""COMPUTED_VALUE"""),"")</f>
        <v/>
      </c>
      <c r="AC16429" s="16" t="str">
        <f>IFERROR(__xludf.DUMMYFUNCTION("""COMPUTED_VALUE"""),"")</f>
        <v/>
      </c>
    </row>
    <row r="16430">
      <c r="A16430" s="16" t="s">
        <v>87</v>
      </c>
      <c r="E16430" s="16" t="str">
        <f>IFERROR(__xludf.DUMMYFUNCTION("""COMPUTED_VALUE"""),"")</f>
        <v/>
      </c>
      <c r="G16430" s="18"/>
      <c r="H16430" s="16" t="s">
        <v>87</v>
      </c>
      <c r="I16430" s="16" t="s">
        <v>87</v>
      </c>
      <c r="J16430" s="19"/>
      <c r="L16430" s="16" t="str">
        <f>IFERROR(__xludf.DUMMYFUNCTION("""COMPUTED_VALUE"""),"")</f>
        <v/>
      </c>
      <c r="M16430" s="16" t="str">
        <f>IFERROR(__xludf.DUMMYFUNCTION("""COMPUTED_VALUE"""),"")</f>
        <v/>
      </c>
      <c r="U16430" s="16" t="s">
        <v>87</v>
      </c>
      <c r="V16430" s="16" t="str">
        <f>IFERROR(__xludf.DUMMYFUNCTION("""COMPUTED_VALUE"""),"")</f>
        <v/>
      </c>
      <c r="W16430" s="16" t="str">
        <f>IFERROR(__xludf.DUMMYFUNCTION("""COMPUTED_VALUE"""),"")</f>
        <v/>
      </c>
      <c r="X16430" s="16" t="str">
        <f>IFERROR(__xludf.DUMMYFUNCTION("""COMPUTED_VALUE"""),"")</f>
        <v/>
      </c>
      <c r="AC16430" s="16" t="str">
        <f>IFERROR(__xludf.DUMMYFUNCTION("""COMPUTED_VALUE"""),"")</f>
        <v/>
      </c>
    </row>
    <row r="16431">
      <c r="A16431" s="16" t="s">
        <v>87</v>
      </c>
      <c r="E16431" s="16" t="str">
        <f>IFERROR(__xludf.DUMMYFUNCTION("""COMPUTED_VALUE"""),"")</f>
        <v/>
      </c>
      <c r="G16431" s="18"/>
      <c r="H16431" s="16" t="s">
        <v>87</v>
      </c>
      <c r="I16431" s="16" t="s">
        <v>87</v>
      </c>
      <c r="J16431" s="19"/>
      <c r="L16431" s="16" t="str">
        <f>IFERROR(__xludf.DUMMYFUNCTION("""COMPUTED_VALUE"""),"")</f>
        <v/>
      </c>
      <c r="M16431" s="16" t="str">
        <f>IFERROR(__xludf.DUMMYFUNCTION("""COMPUTED_VALUE"""),"")</f>
        <v/>
      </c>
      <c r="U16431" s="16" t="s">
        <v>87</v>
      </c>
      <c r="V16431" s="16" t="str">
        <f>IFERROR(__xludf.DUMMYFUNCTION("""COMPUTED_VALUE"""),"")</f>
        <v/>
      </c>
      <c r="W16431" s="16" t="str">
        <f>IFERROR(__xludf.DUMMYFUNCTION("""COMPUTED_VALUE"""),"")</f>
        <v/>
      </c>
      <c r="X16431" s="16" t="str">
        <f>IFERROR(__xludf.DUMMYFUNCTION("""COMPUTED_VALUE"""),"")</f>
        <v/>
      </c>
      <c r="AC16431" s="16" t="str">
        <f>IFERROR(__xludf.DUMMYFUNCTION("""COMPUTED_VALUE"""),"")</f>
        <v/>
      </c>
    </row>
    <row r="16432">
      <c r="A16432" s="16" t="s">
        <v>87</v>
      </c>
      <c r="E16432" s="16" t="str">
        <f>IFERROR(__xludf.DUMMYFUNCTION("""COMPUTED_VALUE"""),"")</f>
        <v/>
      </c>
      <c r="G16432" s="18"/>
      <c r="H16432" s="16" t="s">
        <v>87</v>
      </c>
      <c r="I16432" s="16" t="s">
        <v>87</v>
      </c>
      <c r="J16432" s="19"/>
      <c r="L16432" s="16" t="str">
        <f>IFERROR(__xludf.DUMMYFUNCTION("""COMPUTED_VALUE"""),"")</f>
        <v/>
      </c>
      <c r="M16432" s="16" t="str">
        <f>IFERROR(__xludf.DUMMYFUNCTION("""COMPUTED_VALUE"""),"")</f>
        <v/>
      </c>
      <c r="U16432" s="16" t="s">
        <v>87</v>
      </c>
      <c r="V16432" s="16" t="str">
        <f>IFERROR(__xludf.DUMMYFUNCTION("""COMPUTED_VALUE"""),"")</f>
        <v/>
      </c>
      <c r="W16432" s="16" t="str">
        <f>IFERROR(__xludf.DUMMYFUNCTION("""COMPUTED_VALUE"""),"")</f>
        <v/>
      </c>
      <c r="X16432" s="16" t="str">
        <f>IFERROR(__xludf.DUMMYFUNCTION("""COMPUTED_VALUE"""),"")</f>
        <v/>
      </c>
      <c r="AC16432" s="16" t="str">
        <f>IFERROR(__xludf.DUMMYFUNCTION("""COMPUTED_VALUE"""),"")</f>
        <v/>
      </c>
    </row>
    <row r="16433">
      <c r="A16433" s="16" t="s">
        <v>87</v>
      </c>
      <c r="E16433" s="16" t="str">
        <f>IFERROR(__xludf.DUMMYFUNCTION("""COMPUTED_VALUE"""),"")</f>
        <v/>
      </c>
      <c r="G16433" s="18"/>
      <c r="H16433" s="16" t="s">
        <v>87</v>
      </c>
      <c r="I16433" s="16" t="s">
        <v>87</v>
      </c>
      <c r="J16433" s="19"/>
      <c r="L16433" s="16" t="str">
        <f>IFERROR(__xludf.DUMMYFUNCTION("""COMPUTED_VALUE"""),"")</f>
        <v/>
      </c>
      <c r="M16433" s="16" t="str">
        <f>IFERROR(__xludf.DUMMYFUNCTION("""COMPUTED_VALUE"""),"")</f>
        <v/>
      </c>
      <c r="U16433" s="16" t="s">
        <v>87</v>
      </c>
      <c r="V16433" s="16" t="str">
        <f>IFERROR(__xludf.DUMMYFUNCTION("""COMPUTED_VALUE"""),"")</f>
        <v/>
      </c>
      <c r="W16433" s="16" t="str">
        <f>IFERROR(__xludf.DUMMYFUNCTION("""COMPUTED_VALUE"""),"")</f>
        <v/>
      </c>
      <c r="X16433" s="16" t="str">
        <f>IFERROR(__xludf.DUMMYFUNCTION("""COMPUTED_VALUE"""),"")</f>
        <v/>
      </c>
      <c r="AC16433" s="16" t="str">
        <f>IFERROR(__xludf.DUMMYFUNCTION("""COMPUTED_VALUE"""),"")</f>
        <v/>
      </c>
    </row>
    <row r="16434">
      <c r="A16434" s="16" t="s">
        <v>87</v>
      </c>
      <c r="E16434" s="16" t="str">
        <f>IFERROR(__xludf.DUMMYFUNCTION("""COMPUTED_VALUE"""),"")</f>
        <v/>
      </c>
      <c r="G16434" s="18"/>
      <c r="H16434" s="16" t="s">
        <v>87</v>
      </c>
      <c r="I16434" s="16" t="s">
        <v>87</v>
      </c>
      <c r="J16434" s="19"/>
      <c r="L16434" s="16" t="str">
        <f>IFERROR(__xludf.DUMMYFUNCTION("""COMPUTED_VALUE"""),"")</f>
        <v/>
      </c>
      <c r="M16434" s="16" t="str">
        <f>IFERROR(__xludf.DUMMYFUNCTION("""COMPUTED_VALUE"""),"")</f>
        <v/>
      </c>
      <c r="U16434" s="16" t="s">
        <v>87</v>
      </c>
      <c r="V16434" s="16" t="str">
        <f>IFERROR(__xludf.DUMMYFUNCTION("""COMPUTED_VALUE"""),"")</f>
        <v/>
      </c>
      <c r="W16434" s="16" t="str">
        <f>IFERROR(__xludf.DUMMYFUNCTION("""COMPUTED_VALUE"""),"")</f>
        <v/>
      </c>
      <c r="X16434" s="16" t="str">
        <f>IFERROR(__xludf.DUMMYFUNCTION("""COMPUTED_VALUE"""),"")</f>
        <v/>
      </c>
      <c r="AC16434" s="16" t="str">
        <f>IFERROR(__xludf.DUMMYFUNCTION("""COMPUTED_VALUE"""),"")</f>
        <v/>
      </c>
    </row>
    <row r="16435">
      <c r="A16435" s="16" t="s">
        <v>87</v>
      </c>
      <c r="E16435" s="16" t="str">
        <f>IFERROR(__xludf.DUMMYFUNCTION("""COMPUTED_VALUE"""),"")</f>
        <v/>
      </c>
      <c r="G16435" s="18"/>
      <c r="H16435" s="16" t="s">
        <v>87</v>
      </c>
      <c r="I16435" s="16" t="s">
        <v>87</v>
      </c>
      <c r="J16435" s="19"/>
      <c r="L16435" s="16" t="str">
        <f>IFERROR(__xludf.DUMMYFUNCTION("""COMPUTED_VALUE"""),"")</f>
        <v/>
      </c>
      <c r="M16435" s="16" t="str">
        <f>IFERROR(__xludf.DUMMYFUNCTION("""COMPUTED_VALUE"""),"")</f>
        <v/>
      </c>
      <c r="U16435" s="16" t="s">
        <v>87</v>
      </c>
      <c r="V16435" s="16" t="str">
        <f>IFERROR(__xludf.DUMMYFUNCTION("""COMPUTED_VALUE"""),"")</f>
        <v/>
      </c>
      <c r="W16435" s="16" t="str">
        <f>IFERROR(__xludf.DUMMYFUNCTION("""COMPUTED_VALUE"""),"")</f>
        <v/>
      </c>
      <c r="X16435" s="16" t="str">
        <f>IFERROR(__xludf.DUMMYFUNCTION("""COMPUTED_VALUE"""),"")</f>
        <v/>
      </c>
      <c r="AC16435" s="16" t="str">
        <f>IFERROR(__xludf.DUMMYFUNCTION("""COMPUTED_VALUE"""),"")</f>
        <v/>
      </c>
    </row>
    <row r="16436">
      <c r="A16436" s="16" t="s">
        <v>87</v>
      </c>
      <c r="E16436" s="16" t="str">
        <f>IFERROR(__xludf.DUMMYFUNCTION("""COMPUTED_VALUE"""),"")</f>
        <v/>
      </c>
      <c r="G16436" s="18"/>
      <c r="H16436" s="16" t="s">
        <v>87</v>
      </c>
      <c r="I16436" s="16" t="s">
        <v>87</v>
      </c>
      <c r="J16436" s="19"/>
      <c r="L16436" s="16" t="str">
        <f>IFERROR(__xludf.DUMMYFUNCTION("""COMPUTED_VALUE"""),"")</f>
        <v/>
      </c>
      <c r="M16436" s="16" t="str">
        <f>IFERROR(__xludf.DUMMYFUNCTION("""COMPUTED_VALUE"""),"")</f>
        <v/>
      </c>
      <c r="U16436" s="16" t="s">
        <v>87</v>
      </c>
      <c r="V16436" s="16" t="str">
        <f>IFERROR(__xludf.DUMMYFUNCTION("""COMPUTED_VALUE"""),"")</f>
        <v/>
      </c>
      <c r="W16436" s="16" t="str">
        <f>IFERROR(__xludf.DUMMYFUNCTION("""COMPUTED_VALUE"""),"")</f>
        <v/>
      </c>
      <c r="X16436" s="16" t="str">
        <f>IFERROR(__xludf.DUMMYFUNCTION("""COMPUTED_VALUE"""),"")</f>
        <v/>
      </c>
      <c r="AC16436" s="16" t="str">
        <f>IFERROR(__xludf.DUMMYFUNCTION("""COMPUTED_VALUE"""),"")</f>
        <v/>
      </c>
    </row>
    <row r="16437">
      <c r="A16437" s="16" t="s">
        <v>87</v>
      </c>
      <c r="E16437" s="16" t="str">
        <f>IFERROR(__xludf.DUMMYFUNCTION("""COMPUTED_VALUE"""),"")</f>
        <v/>
      </c>
      <c r="G16437" s="18"/>
      <c r="H16437" s="16" t="s">
        <v>87</v>
      </c>
      <c r="I16437" s="16" t="s">
        <v>87</v>
      </c>
      <c r="J16437" s="19"/>
      <c r="L16437" s="16" t="str">
        <f>IFERROR(__xludf.DUMMYFUNCTION("""COMPUTED_VALUE"""),"")</f>
        <v/>
      </c>
      <c r="M16437" s="16" t="str">
        <f>IFERROR(__xludf.DUMMYFUNCTION("""COMPUTED_VALUE"""),"")</f>
        <v/>
      </c>
      <c r="U16437" s="16" t="s">
        <v>87</v>
      </c>
      <c r="V16437" s="16" t="str">
        <f>IFERROR(__xludf.DUMMYFUNCTION("""COMPUTED_VALUE"""),"")</f>
        <v/>
      </c>
      <c r="W16437" s="16" t="str">
        <f>IFERROR(__xludf.DUMMYFUNCTION("""COMPUTED_VALUE"""),"")</f>
        <v/>
      </c>
      <c r="X16437" s="16" t="str">
        <f>IFERROR(__xludf.DUMMYFUNCTION("""COMPUTED_VALUE"""),"")</f>
        <v/>
      </c>
      <c r="AC16437" s="16" t="str">
        <f>IFERROR(__xludf.DUMMYFUNCTION("""COMPUTED_VALUE"""),"")</f>
        <v/>
      </c>
    </row>
    <row r="16438">
      <c r="A16438" s="16" t="s">
        <v>87</v>
      </c>
      <c r="E16438" s="16" t="str">
        <f>IFERROR(__xludf.DUMMYFUNCTION("""COMPUTED_VALUE"""),"")</f>
        <v/>
      </c>
      <c r="G16438" s="18"/>
      <c r="H16438" s="16" t="s">
        <v>87</v>
      </c>
      <c r="I16438" s="16" t="s">
        <v>87</v>
      </c>
      <c r="J16438" s="19"/>
      <c r="L16438" s="16" t="str">
        <f>IFERROR(__xludf.DUMMYFUNCTION("""COMPUTED_VALUE"""),"")</f>
        <v/>
      </c>
      <c r="M16438" s="16" t="str">
        <f>IFERROR(__xludf.DUMMYFUNCTION("""COMPUTED_VALUE"""),"")</f>
        <v/>
      </c>
      <c r="U16438" s="16" t="s">
        <v>87</v>
      </c>
      <c r="V16438" s="16" t="str">
        <f>IFERROR(__xludf.DUMMYFUNCTION("""COMPUTED_VALUE"""),"")</f>
        <v/>
      </c>
      <c r="W16438" s="16" t="str">
        <f>IFERROR(__xludf.DUMMYFUNCTION("""COMPUTED_VALUE"""),"")</f>
        <v/>
      </c>
      <c r="X16438" s="16" t="str">
        <f>IFERROR(__xludf.DUMMYFUNCTION("""COMPUTED_VALUE"""),"")</f>
        <v/>
      </c>
      <c r="AC16438" s="16" t="str">
        <f>IFERROR(__xludf.DUMMYFUNCTION("""COMPUTED_VALUE"""),"")</f>
        <v/>
      </c>
    </row>
    <row r="16439">
      <c r="A16439" s="16" t="s">
        <v>87</v>
      </c>
      <c r="E16439" s="16" t="str">
        <f>IFERROR(__xludf.DUMMYFUNCTION("""COMPUTED_VALUE"""),"")</f>
        <v/>
      </c>
      <c r="G16439" s="18"/>
      <c r="H16439" s="16" t="s">
        <v>87</v>
      </c>
      <c r="I16439" s="16" t="s">
        <v>87</v>
      </c>
      <c r="J16439" s="19"/>
      <c r="L16439" s="16" t="str">
        <f>IFERROR(__xludf.DUMMYFUNCTION("""COMPUTED_VALUE"""),"")</f>
        <v/>
      </c>
      <c r="M16439" s="16" t="str">
        <f>IFERROR(__xludf.DUMMYFUNCTION("""COMPUTED_VALUE"""),"")</f>
        <v/>
      </c>
      <c r="U16439" s="16" t="s">
        <v>87</v>
      </c>
      <c r="V16439" s="16" t="str">
        <f>IFERROR(__xludf.DUMMYFUNCTION("""COMPUTED_VALUE"""),"")</f>
        <v/>
      </c>
      <c r="W16439" s="16" t="str">
        <f>IFERROR(__xludf.DUMMYFUNCTION("""COMPUTED_VALUE"""),"")</f>
        <v/>
      </c>
      <c r="X16439" s="16" t="str">
        <f>IFERROR(__xludf.DUMMYFUNCTION("""COMPUTED_VALUE"""),"")</f>
        <v/>
      </c>
      <c r="AC16439" s="16" t="str">
        <f>IFERROR(__xludf.DUMMYFUNCTION("""COMPUTED_VALUE"""),"")</f>
        <v/>
      </c>
    </row>
    <row r="16440">
      <c r="A16440" s="16" t="s">
        <v>87</v>
      </c>
      <c r="E16440" s="16" t="str">
        <f>IFERROR(__xludf.DUMMYFUNCTION("""COMPUTED_VALUE"""),"")</f>
        <v/>
      </c>
      <c r="G16440" s="18"/>
      <c r="H16440" s="16" t="s">
        <v>87</v>
      </c>
      <c r="I16440" s="16" t="s">
        <v>87</v>
      </c>
      <c r="J16440" s="19"/>
      <c r="L16440" s="16" t="str">
        <f>IFERROR(__xludf.DUMMYFUNCTION("""COMPUTED_VALUE"""),"")</f>
        <v/>
      </c>
      <c r="M16440" s="16" t="str">
        <f>IFERROR(__xludf.DUMMYFUNCTION("""COMPUTED_VALUE"""),"")</f>
        <v/>
      </c>
      <c r="U16440" s="16" t="s">
        <v>87</v>
      </c>
      <c r="V16440" s="16" t="str">
        <f>IFERROR(__xludf.DUMMYFUNCTION("""COMPUTED_VALUE"""),"")</f>
        <v/>
      </c>
      <c r="W16440" s="16" t="str">
        <f>IFERROR(__xludf.DUMMYFUNCTION("""COMPUTED_VALUE"""),"")</f>
        <v/>
      </c>
      <c r="X16440" s="16" t="str">
        <f>IFERROR(__xludf.DUMMYFUNCTION("""COMPUTED_VALUE"""),"")</f>
        <v/>
      </c>
      <c r="AC16440" s="16" t="str">
        <f>IFERROR(__xludf.DUMMYFUNCTION("""COMPUTED_VALUE"""),"")</f>
        <v/>
      </c>
    </row>
    <row r="16441">
      <c r="A16441" s="16" t="s">
        <v>87</v>
      </c>
      <c r="E16441" s="16" t="str">
        <f>IFERROR(__xludf.DUMMYFUNCTION("""COMPUTED_VALUE"""),"")</f>
        <v/>
      </c>
      <c r="G16441" s="18"/>
      <c r="H16441" s="16" t="s">
        <v>87</v>
      </c>
      <c r="I16441" s="16" t="s">
        <v>87</v>
      </c>
      <c r="J16441" s="19"/>
      <c r="L16441" s="16" t="str">
        <f>IFERROR(__xludf.DUMMYFUNCTION("""COMPUTED_VALUE"""),"")</f>
        <v/>
      </c>
      <c r="M16441" s="16" t="str">
        <f>IFERROR(__xludf.DUMMYFUNCTION("""COMPUTED_VALUE"""),"")</f>
        <v/>
      </c>
      <c r="U16441" s="16" t="s">
        <v>87</v>
      </c>
      <c r="V16441" s="16" t="str">
        <f>IFERROR(__xludf.DUMMYFUNCTION("""COMPUTED_VALUE"""),"")</f>
        <v/>
      </c>
      <c r="W16441" s="16" t="str">
        <f>IFERROR(__xludf.DUMMYFUNCTION("""COMPUTED_VALUE"""),"")</f>
        <v/>
      </c>
      <c r="X16441" s="16" t="str">
        <f>IFERROR(__xludf.DUMMYFUNCTION("""COMPUTED_VALUE"""),"")</f>
        <v/>
      </c>
      <c r="AC16441" s="16" t="str">
        <f>IFERROR(__xludf.DUMMYFUNCTION("""COMPUTED_VALUE"""),"")</f>
        <v/>
      </c>
    </row>
    <row r="16442">
      <c r="A16442" s="16" t="s">
        <v>87</v>
      </c>
      <c r="E16442" s="16" t="str">
        <f>IFERROR(__xludf.DUMMYFUNCTION("""COMPUTED_VALUE"""),"")</f>
        <v/>
      </c>
      <c r="G16442" s="18"/>
      <c r="H16442" s="16" t="s">
        <v>87</v>
      </c>
      <c r="I16442" s="16" t="s">
        <v>87</v>
      </c>
      <c r="J16442" s="19"/>
      <c r="L16442" s="16" t="str">
        <f>IFERROR(__xludf.DUMMYFUNCTION("""COMPUTED_VALUE"""),"")</f>
        <v/>
      </c>
      <c r="M16442" s="16" t="str">
        <f>IFERROR(__xludf.DUMMYFUNCTION("""COMPUTED_VALUE"""),"")</f>
        <v/>
      </c>
      <c r="U16442" s="16" t="s">
        <v>87</v>
      </c>
      <c r="V16442" s="16" t="str">
        <f>IFERROR(__xludf.DUMMYFUNCTION("""COMPUTED_VALUE"""),"")</f>
        <v/>
      </c>
      <c r="W16442" s="16" t="str">
        <f>IFERROR(__xludf.DUMMYFUNCTION("""COMPUTED_VALUE"""),"")</f>
        <v/>
      </c>
      <c r="X16442" s="16" t="str">
        <f>IFERROR(__xludf.DUMMYFUNCTION("""COMPUTED_VALUE"""),"")</f>
        <v/>
      </c>
      <c r="AC16442" s="16" t="str">
        <f>IFERROR(__xludf.DUMMYFUNCTION("""COMPUTED_VALUE"""),"")</f>
        <v/>
      </c>
    </row>
    <row r="16443">
      <c r="A16443" s="16" t="s">
        <v>87</v>
      </c>
      <c r="E16443" s="16" t="str">
        <f>IFERROR(__xludf.DUMMYFUNCTION("""COMPUTED_VALUE"""),"")</f>
        <v/>
      </c>
      <c r="G16443" s="18"/>
      <c r="H16443" s="16" t="s">
        <v>87</v>
      </c>
      <c r="I16443" s="16" t="s">
        <v>87</v>
      </c>
      <c r="J16443" s="19"/>
      <c r="L16443" s="16" t="str">
        <f>IFERROR(__xludf.DUMMYFUNCTION("""COMPUTED_VALUE"""),"")</f>
        <v/>
      </c>
      <c r="M16443" s="16" t="str">
        <f>IFERROR(__xludf.DUMMYFUNCTION("""COMPUTED_VALUE"""),"")</f>
        <v/>
      </c>
      <c r="U16443" s="16" t="s">
        <v>87</v>
      </c>
      <c r="V16443" s="16" t="str">
        <f>IFERROR(__xludf.DUMMYFUNCTION("""COMPUTED_VALUE"""),"")</f>
        <v/>
      </c>
      <c r="W16443" s="16" t="str">
        <f>IFERROR(__xludf.DUMMYFUNCTION("""COMPUTED_VALUE"""),"")</f>
        <v/>
      </c>
      <c r="X16443" s="16" t="str">
        <f>IFERROR(__xludf.DUMMYFUNCTION("""COMPUTED_VALUE"""),"")</f>
        <v/>
      </c>
      <c r="AC16443" s="16" t="str">
        <f>IFERROR(__xludf.DUMMYFUNCTION("""COMPUTED_VALUE"""),"")</f>
        <v/>
      </c>
    </row>
    <row r="16444">
      <c r="A16444" s="16" t="s">
        <v>87</v>
      </c>
      <c r="E16444" s="16" t="str">
        <f>IFERROR(__xludf.DUMMYFUNCTION("""COMPUTED_VALUE"""),"")</f>
        <v/>
      </c>
      <c r="G16444" s="18"/>
      <c r="H16444" s="16" t="s">
        <v>87</v>
      </c>
      <c r="I16444" s="16" t="s">
        <v>87</v>
      </c>
      <c r="J16444" s="19"/>
      <c r="L16444" s="16" t="str">
        <f>IFERROR(__xludf.DUMMYFUNCTION("""COMPUTED_VALUE"""),"")</f>
        <v/>
      </c>
      <c r="M16444" s="16" t="str">
        <f>IFERROR(__xludf.DUMMYFUNCTION("""COMPUTED_VALUE"""),"")</f>
        <v/>
      </c>
      <c r="U16444" s="16" t="s">
        <v>87</v>
      </c>
      <c r="V16444" s="16" t="str">
        <f>IFERROR(__xludf.DUMMYFUNCTION("""COMPUTED_VALUE"""),"")</f>
        <v/>
      </c>
      <c r="W16444" s="16" t="str">
        <f>IFERROR(__xludf.DUMMYFUNCTION("""COMPUTED_VALUE"""),"")</f>
        <v/>
      </c>
      <c r="X16444" s="16" t="str">
        <f>IFERROR(__xludf.DUMMYFUNCTION("""COMPUTED_VALUE"""),"")</f>
        <v/>
      </c>
      <c r="AC16444" s="16" t="str">
        <f>IFERROR(__xludf.DUMMYFUNCTION("""COMPUTED_VALUE"""),"")</f>
        <v/>
      </c>
    </row>
    <row r="16445">
      <c r="A16445" s="16" t="s">
        <v>87</v>
      </c>
      <c r="E16445" s="16" t="str">
        <f>IFERROR(__xludf.DUMMYFUNCTION("""COMPUTED_VALUE"""),"")</f>
        <v/>
      </c>
      <c r="G16445" s="18"/>
      <c r="H16445" s="16" t="s">
        <v>87</v>
      </c>
      <c r="I16445" s="16" t="s">
        <v>87</v>
      </c>
      <c r="J16445" s="19"/>
      <c r="L16445" s="16" t="str">
        <f>IFERROR(__xludf.DUMMYFUNCTION("""COMPUTED_VALUE"""),"")</f>
        <v/>
      </c>
      <c r="M16445" s="16" t="str">
        <f>IFERROR(__xludf.DUMMYFUNCTION("""COMPUTED_VALUE"""),"")</f>
        <v/>
      </c>
      <c r="U16445" s="16" t="s">
        <v>87</v>
      </c>
      <c r="V16445" s="16" t="str">
        <f>IFERROR(__xludf.DUMMYFUNCTION("""COMPUTED_VALUE"""),"")</f>
        <v/>
      </c>
      <c r="W16445" s="16" t="str">
        <f>IFERROR(__xludf.DUMMYFUNCTION("""COMPUTED_VALUE"""),"")</f>
        <v/>
      </c>
      <c r="X16445" s="16" t="str">
        <f>IFERROR(__xludf.DUMMYFUNCTION("""COMPUTED_VALUE"""),"")</f>
        <v/>
      </c>
      <c r="AC16445" s="16" t="str">
        <f>IFERROR(__xludf.DUMMYFUNCTION("""COMPUTED_VALUE"""),"")</f>
        <v/>
      </c>
    </row>
    <row r="16446">
      <c r="A16446" s="16" t="s">
        <v>87</v>
      </c>
      <c r="E16446" s="16" t="str">
        <f>IFERROR(__xludf.DUMMYFUNCTION("""COMPUTED_VALUE"""),"")</f>
        <v/>
      </c>
      <c r="G16446" s="18"/>
      <c r="H16446" s="16" t="s">
        <v>87</v>
      </c>
      <c r="I16446" s="16" t="s">
        <v>87</v>
      </c>
      <c r="J16446" s="19"/>
      <c r="L16446" s="16" t="str">
        <f>IFERROR(__xludf.DUMMYFUNCTION("""COMPUTED_VALUE"""),"")</f>
        <v/>
      </c>
      <c r="M16446" s="16" t="str">
        <f>IFERROR(__xludf.DUMMYFUNCTION("""COMPUTED_VALUE"""),"")</f>
        <v/>
      </c>
      <c r="U16446" s="16" t="s">
        <v>87</v>
      </c>
      <c r="V16446" s="16" t="str">
        <f>IFERROR(__xludf.DUMMYFUNCTION("""COMPUTED_VALUE"""),"")</f>
        <v/>
      </c>
      <c r="W16446" s="16" t="str">
        <f>IFERROR(__xludf.DUMMYFUNCTION("""COMPUTED_VALUE"""),"")</f>
        <v/>
      </c>
      <c r="X16446" s="16" t="str">
        <f>IFERROR(__xludf.DUMMYFUNCTION("""COMPUTED_VALUE"""),"")</f>
        <v/>
      </c>
      <c r="AC16446" s="16" t="str">
        <f>IFERROR(__xludf.DUMMYFUNCTION("""COMPUTED_VALUE"""),"")</f>
        <v/>
      </c>
    </row>
    <row r="16447">
      <c r="A16447" s="16" t="s">
        <v>87</v>
      </c>
      <c r="E16447" s="16" t="str">
        <f>IFERROR(__xludf.DUMMYFUNCTION("""COMPUTED_VALUE"""),"")</f>
        <v/>
      </c>
      <c r="G16447" s="18"/>
      <c r="H16447" s="16" t="s">
        <v>87</v>
      </c>
      <c r="I16447" s="16" t="s">
        <v>87</v>
      </c>
      <c r="J16447" s="19"/>
      <c r="L16447" s="16" t="str">
        <f>IFERROR(__xludf.DUMMYFUNCTION("""COMPUTED_VALUE"""),"")</f>
        <v/>
      </c>
      <c r="M16447" s="16" t="str">
        <f>IFERROR(__xludf.DUMMYFUNCTION("""COMPUTED_VALUE"""),"")</f>
        <v/>
      </c>
      <c r="U16447" s="16" t="s">
        <v>87</v>
      </c>
      <c r="V16447" s="16" t="str">
        <f>IFERROR(__xludf.DUMMYFUNCTION("""COMPUTED_VALUE"""),"")</f>
        <v/>
      </c>
      <c r="W16447" s="16" t="str">
        <f>IFERROR(__xludf.DUMMYFUNCTION("""COMPUTED_VALUE"""),"")</f>
        <v/>
      </c>
      <c r="X16447" s="16" t="str">
        <f>IFERROR(__xludf.DUMMYFUNCTION("""COMPUTED_VALUE"""),"")</f>
        <v/>
      </c>
      <c r="AC16447" s="16" t="str">
        <f>IFERROR(__xludf.DUMMYFUNCTION("""COMPUTED_VALUE"""),"")</f>
        <v/>
      </c>
    </row>
    <row r="16448">
      <c r="A16448" s="16" t="s">
        <v>87</v>
      </c>
      <c r="E16448" s="16" t="str">
        <f>IFERROR(__xludf.DUMMYFUNCTION("""COMPUTED_VALUE"""),"")</f>
        <v/>
      </c>
      <c r="G16448" s="18"/>
      <c r="H16448" s="16" t="s">
        <v>87</v>
      </c>
      <c r="I16448" s="16" t="s">
        <v>87</v>
      </c>
      <c r="J16448" s="19"/>
      <c r="L16448" s="16" t="str">
        <f>IFERROR(__xludf.DUMMYFUNCTION("""COMPUTED_VALUE"""),"")</f>
        <v/>
      </c>
      <c r="M16448" s="16" t="str">
        <f>IFERROR(__xludf.DUMMYFUNCTION("""COMPUTED_VALUE"""),"")</f>
        <v/>
      </c>
      <c r="U16448" s="16" t="s">
        <v>87</v>
      </c>
      <c r="V16448" s="16" t="str">
        <f>IFERROR(__xludf.DUMMYFUNCTION("""COMPUTED_VALUE"""),"")</f>
        <v/>
      </c>
      <c r="W16448" s="16" t="str">
        <f>IFERROR(__xludf.DUMMYFUNCTION("""COMPUTED_VALUE"""),"")</f>
        <v/>
      </c>
      <c r="X16448" s="16" t="str">
        <f>IFERROR(__xludf.DUMMYFUNCTION("""COMPUTED_VALUE"""),"")</f>
        <v/>
      </c>
      <c r="AC16448" s="16" t="str">
        <f>IFERROR(__xludf.DUMMYFUNCTION("""COMPUTED_VALUE"""),"")</f>
        <v/>
      </c>
    </row>
    <row r="16449">
      <c r="A16449" s="16" t="s">
        <v>87</v>
      </c>
      <c r="E16449" s="16" t="str">
        <f>IFERROR(__xludf.DUMMYFUNCTION("""COMPUTED_VALUE"""),"")</f>
        <v/>
      </c>
      <c r="G16449" s="18"/>
      <c r="H16449" s="16" t="s">
        <v>87</v>
      </c>
      <c r="I16449" s="16" t="s">
        <v>87</v>
      </c>
      <c r="J16449" s="19"/>
      <c r="L16449" s="16" t="str">
        <f>IFERROR(__xludf.DUMMYFUNCTION("""COMPUTED_VALUE"""),"")</f>
        <v/>
      </c>
      <c r="M16449" s="16" t="str">
        <f>IFERROR(__xludf.DUMMYFUNCTION("""COMPUTED_VALUE"""),"")</f>
        <v/>
      </c>
      <c r="U16449" s="16" t="s">
        <v>87</v>
      </c>
      <c r="V16449" s="16" t="str">
        <f>IFERROR(__xludf.DUMMYFUNCTION("""COMPUTED_VALUE"""),"")</f>
        <v/>
      </c>
      <c r="W16449" s="16" t="str">
        <f>IFERROR(__xludf.DUMMYFUNCTION("""COMPUTED_VALUE"""),"")</f>
        <v/>
      </c>
      <c r="X16449" s="16" t="str">
        <f>IFERROR(__xludf.DUMMYFUNCTION("""COMPUTED_VALUE"""),"")</f>
        <v/>
      </c>
      <c r="AC16449" s="16" t="str">
        <f>IFERROR(__xludf.DUMMYFUNCTION("""COMPUTED_VALUE"""),"")</f>
        <v/>
      </c>
    </row>
    <row r="16450">
      <c r="A16450" s="16" t="s">
        <v>87</v>
      </c>
      <c r="E16450" s="16" t="str">
        <f>IFERROR(__xludf.DUMMYFUNCTION("""COMPUTED_VALUE"""),"")</f>
        <v/>
      </c>
      <c r="G16450" s="18"/>
      <c r="H16450" s="16" t="s">
        <v>87</v>
      </c>
      <c r="I16450" s="16" t="s">
        <v>87</v>
      </c>
      <c r="J16450" s="19"/>
      <c r="L16450" s="16" t="str">
        <f>IFERROR(__xludf.DUMMYFUNCTION("""COMPUTED_VALUE"""),"")</f>
        <v/>
      </c>
      <c r="M16450" s="16" t="str">
        <f>IFERROR(__xludf.DUMMYFUNCTION("""COMPUTED_VALUE"""),"")</f>
        <v/>
      </c>
      <c r="U16450" s="16" t="s">
        <v>87</v>
      </c>
      <c r="V16450" s="16" t="str">
        <f>IFERROR(__xludf.DUMMYFUNCTION("""COMPUTED_VALUE"""),"")</f>
        <v/>
      </c>
      <c r="W16450" s="16" t="str">
        <f>IFERROR(__xludf.DUMMYFUNCTION("""COMPUTED_VALUE"""),"")</f>
        <v/>
      </c>
      <c r="X16450" s="16" t="str">
        <f>IFERROR(__xludf.DUMMYFUNCTION("""COMPUTED_VALUE"""),"")</f>
        <v/>
      </c>
      <c r="AC16450" s="16" t="str">
        <f>IFERROR(__xludf.DUMMYFUNCTION("""COMPUTED_VALUE"""),"")</f>
        <v/>
      </c>
    </row>
    <row r="16451">
      <c r="A16451" s="16" t="s">
        <v>87</v>
      </c>
      <c r="E16451" s="16" t="str">
        <f>IFERROR(__xludf.DUMMYFUNCTION("""COMPUTED_VALUE"""),"")</f>
        <v/>
      </c>
      <c r="G16451" s="18"/>
      <c r="H16451" s="16" t="s">
        <v>87</v>
      </c>
      <c r="I16451" s="16" t="s">
        <v>87</v>
      </c>
      <c r="J16451" s="19"/>
      <c r="L16451" s="16" t="str">
        <f>IFERROR(__xludf.DUMMYFUNCTION("""COMPUTED_VALUE"""),"")</f>
        <v/>
      </c>
      <c r="M16451" s="16" t="str">
        <f>IFERROR(__xludf.DUMMYFUNCTION("""COMPUTED_VALUE"""),"")</f>
        <v/>
      </c>
      <c r="U16451" s="16" t="s">
        <v>87</v>
      </c>
      <c r="V16451" s="16" t="str">
        <f>IFERROR(__xludf.DUMMYFUNCTION("""COMPUTED_VALUE"""),"")</f>
        <v/>
      </c>
      <c r="W16451" s="16" t="str">
        <f>IFERROR(__xludf.DUMMYFUNCTION("""COMPUTED_VALUE"""),"")</f>
        <v/>
      </c>
      <c r="X16451" s="16" t="str">
        <f>IFERROR(__xludf.DUMMYFUNCTION("""COMPUTED_VALUE"""),"")</f>
        <v/>
      </c>
      <c r="AC16451" s="16" t="str">
        <f>IFERROR(__xludf.DUMMYFUNCTION("""COMPUTED_VALUE"""),"")</f>
        <v/>
      </c>
    </row>
    <row r="16452">
      <c r="A16452" s="16" t="s">
        <v>87</v>
      </c>
      <c r="E16452" s="16" t="str">
        <f>IFERROR(__xludf.DUMMYFUNCTION("""COMPUTED_VALUE"""),"")</f>
        <v/>
      </c>
      <c r="G16452" s="18"/>
      <c r="H16452" s="16" t="s">
        <v>87</v>
      </c>
      <c r="I16452" s="16" t="s">
        <v>87</v>
      </c>
      <c r="J16452" s="19"/>
      <c r="L16452" s="16" t="str">
        <f>IFERROR(__xludf.DUMMYFUNCTION("""COMPUTED_VALUE"""),"")</f>
        <v/>
      </c>
      <c r="M16452" s="16" t="str">
        <f>IFERROR(__xludf.DUMMYFUNCTION("""COMPUTED_VALUE"""),"")</f>
        <v/>
      </c>
      <c r="U16452" s="16" t="s">
        <v>87</v>
      </c>
      <c r="V16452" s="16" t="str">
        <f>IFERROR(__xludf.DUMMYFUNCTION("""COMPUTED_VALUE"""),"")</f>
        <v/>
      </c>
      <c r="W16452" s="16" t="str">
        <f>IFERROR(__xludf.DUMMYFUNCTION("""COMPUTED_VALUE"""),"")</f>
        <v/>
      </c>
      <c r="X16452" s="16" t="str">
        <f>IFERROR(__xludf.DUMMYFUNCTION("""COMPUTED_VALUE"""),"")</f>
        <v/>
      </c>
      <c r="AC16452" s="16" t="str">
        <f>IFERROR(__xludf.DUMMYFUNCTION("""COMPUTED_VALUE"""),"")</f>
        <v/>
      </c>
    </row>
    <row r="16453">
      <c r="A16453" s="16" t="s">
        <v>87</v>
      </c>
      <c r="E16453" s="16" t="str">
        <f>IFERROR(__xludf.DUMMYFUNCTION("""COMPUTED_VALUE"""),"")</f>
        <v/>
      </c>
      <c r="G16453" s="18"/>
      <c r="H16453" s="16" t="s">
        <v>87</v>
      </c>
      <c r="I16453" s="16" t="s">
        <v>87</v>
      </c>
      <c r="J16453" s="19"/>
      <c r="L16453" s="16" t="str">
        <f>IFERROR(__xludf.DUMMYFUNCTION("""COMPUTED_VALUE"""),"")</f>
        <v/>
      </c>
      <c r="M16453" s="16" t="str">
        <f>IFERROR(__xludf.DUMMYFUNCTION("""COMPUTED_VALUE"""),"")</f>
        <v/>
      </c>
      <c r="U16453" s="16" t="s">
        <v>87</v>
      </c>
      <c r="V16453" s="16" t="str">
        <f>IFERROR(__xludf.DUMMYFUNCTION("""COMPUTED_VALUE"""),"")</f>
        <v/>
      </c>
      <c r="W16453" s="16" t="str">
        <f>IFERROR(__xludf.DUMMYFUNCTION("""COMPUTED_VALUE"""),"")</f>
        <v/>
      </c>
      <c r="X16453" s="16" t="str">
        <f>IFERROR(__xludf.DUMMYFUNCTION("""COMPUTED_VALUE"""),"")</f>
        <v/>
      </c>
      <c r="AC16453" s="16" t="str">
        <f>IFERROR(__xludf.DUMMYFUNCTION("""COMPUTED_VALUE"""),"")</f>
        <v/>
      </c>
    </row>
    <row r="16454">
      <c r="A16454" s="16" t="s">
        <v>87</v>
      </c>
      <c r="E16454" s="16" t="str">
        <f>IFERROR(__xludf.DUMMYFUNCTION("""COMPUTED_VALUE"""),"")</f>
        <v/>
      </c>
      <c r="G16454" s="18"/>
      <c r="H16454" s="16" t="s">
        <v>87</v>
      </c>
      <c r="I16454" s="16" t="s">
        <v>87</v>
      </c>
      <c r="J16454" s="19"/>
      <c r="L16454" s="16" t="str">
        <f>IFERROR(__xludf.DUMMYFUNCTION("""COMPUTED_VALUE"""),"")</f>
        <v/>
      </c>
      <c r="M16454" s="16" t="str">
        <f>IFERROR(__xludf.DUMMYFUNCTION("""COMPUTED_VALUE"""),"")</f>
        <v/>
      </c>
      <c r="U16454" s="16" t="s">
        <v>87</v>
      </c>
      <c r="V16454" s="16" t="str">
        <f>IFERROR(__xludf.DUMMYFUNCTION("""COMPUTED_VALUE"""),"")</f>
        <v/>
      </c>
      <c r="W16454" s="16" t="str">
        <f>IFERROR(__xludf.DUMMYFUNCTION("""COMPUTED_VALUE"""),"")</f>
        <v/>
      </c>
      <c r="X16454" s="16" t="str">
        <f>IFERROR(__xludf.DUMMYFUNCTION("""COMPUTED_VALUE"""),"")</f>
        <v/>
      </c>
      <c r="AC16454" s="16" t="str">
        <f>IFERROR(__xludf.DUMMYFUNCTION("""COMPUTED_VALUE"""),"")</f>
        <v/>
      </c>
    </row>
    <row r="16455">
      <c r="A16455" s="16" t="s">
        <v>87</v>
      </c>
      <c r="E16455" s="16" t="str">
        <f>IFERROR(__xludf.DUMMYFUNCTION("""COMPUTED_VALUE"""),"")</f>
        <v/>
      </c>
      <c r="G16455" s="18"/>
      <c r="H16455" s="16" t="s">
        <v>87</v>
      </c>
      <c r="I16455" s="16" t="s">
        <v>87</v>
      </c>
      <c r="J16455" s="19"/>
      <c r="L16455" s="16" t="str">
        <f>IFERROR(__xludf.DUMMYFUNCTION("""COMPUTED_VALUE"""),"")</f>
        <v/>
      </c>
      <c r="M16455" s="16" t="str">
        <f>IFERROR(__xludf.DUMMYFUNCTION("""COMPUTED_VALUE"""),"")</f>
        <v/>
      </c>
      <c r="U16455" s="16" t="s">
        <v>87</v>
      </c>
      <c r="V16455" s="16" t="str">
        <f>IFERROR(__xludf.DUMMYFUNCTION("""COMPUTED_VALUE"""),"")</f>
        <v/>
      </c>
      <c r="W16455" s="16" t="str">
        <f>IFERROR(__xludf.DUMMYFUNCTION("""COMPUTED_VALUE"""),"")</f>
        <v/>
      </c>
      <c r="X16455" s="16" t="str">
        <f>IFERROR(__xludf.DUMMYFUNCTION("""COMPUTED_VALUE"""),"")</f>
        <v/>
      </c>
      <c r="AC16455" s="16" t="str">
        <f>IFERROR(__xludf.DUMMYFUNCTION("""COMPUTED_VALUE"""),"")</f>
        <v/>
      </c>
    </row>
    <row r="16456">
      <c r="A16456" s="16" t="s">
        <v>87</v>
      </c>
      <c r="E16456" s="16" t="str">
        <f>IFERROR(__xludf.DUMMYFUNCTION("""COMPUTED_VALUE"""),"")</f>
        <v/>
      </c>
      <c r="G16456" s="18"/>
      <c r="H16456" s="16" t="s">
        <v>87</v>
      </c>
      <c r="I16456" s="16" t="s">
        <v>87</v>
      </c>
      <c r="J16456" s="19"/>
      <c r="L16456" s="16" t="str">
        <f>IFERROR(__xludf.DUMMYFUNCTION("""COMPUTED_VALUE"""),"")</f>
        <v/>
      </c>
      <c r="M16456" s="16" t="str">
        <f>IFERROR(__xludf.DUMMYFUNCTION("""COMPUTED_VALUE"""),"")</f>
        <v/>
      </c>
      <c r="U16456" s="16" t="s">
        <v>87</v>
      </c>
      <c r="V16456" s="16" t="str">
        <f>IFERROR(__xludf.DUMMYFUNCTION("""COMPUTED_VALUE"""),"")</f>
        <v/>
      </c>
      <c r="W16456" s="16" t="str">
        <f>IFERROR(__xludf.DUMMYFUNCTION("""COMPUTED_VALUE"""),"")</f>
        <v/>
      </c>
      <c r="X16456" s="16" t="str">
        <f>IFERROR(__xludf.DUMMYFUNCTION("""COMPUTED_VALUE"""),"")</f>
        <v/>
      </c>
      <c r="AC16456" s="16" t="str">
        <f>IFERROR(__xludf.DUMMYFUNCTION("""COMPUTED_VALUE"""),"")</f>
        <v/>
      </c>
    </row>
    <row r="16457">
      <c r="A16457" s="16" t="s">
        <v>87</v>
      </c>
      <c r="E16457" s="16" t="str">
        <f>IFERROR(__xludf.DUMMYFUNCTION("""COMPUTED_VALUE"""),"")</f>
        <v/>
      </c>
      <c r="G16457" s="18"/>
      <c r="H16457" s="16" t="s">
        <v>87</v>
      </c>
      <c r="I16457" s="16" t="s">
        <v>87</v>
      </c>
      <c r="J16457" s="19"/>
      <c r="L16457" s="16" t="str">
        <f>IFERROR(__xludf.DUMMYFUNCTION("""COMPUTED_VALUE"""),"")</f>
        <v/>
      </c>
      <c r="M16457" s="16" t="str">
        <f>IFERROR(__xludf.DUMMYFUNCTION("""COMPUTED_VALUE"""),"")</f>
        <v/>
      </c>
      <c r="U16457" s="16" t="s">
        <v>87</v>
      </c>
      <c r="V16457" s="16" t="str">
        <f>IFERROR(__xludf.DUMMYFUNCTION("""COMPUTED_VALUE"""),"")</f>
        <v/>
      </c>
      <c r="W16457" s="16" t="str">
        <f>IFERROR(__xludf.DUMMYFUNCTION("""COMPUTED_VALUE"""),"")</f>
        <v/>
      </c>
      <c r="X16457" s="16" t="str">
        <f>IFERROR(__xludf.DUMMYFUNCTION("""COMPUTED_VALUE"""),"")</f>
        <v/>
      </c>
      <c r="AC16457" s="16" t="str">
        <f>IFERROR(__xludf.DUMMYFUNCTION("""COMPUTED_VALUE"""),"")</f>
        <v/>
      </c>
    </row>
    <row r="16458">
      <c r="A16458" s="16" t="s">
        <v>87</v>
      </c>
      <c r="E16458" s="16" t="str">
        <f>IFERROR(__xludf.DUMMYFUNCTION("""COMPUTED_VALUE"""),"")</f>
        <v/>
      </c>
      <c r="G16458" s="18"/>
      <c r="H16458" s="16" t="s">
        <v>87</v>
      </c>
      <c r="I16458" s="16" t="s">
        <v>87</v>
      </c>
      <c r="J16458" s="19"/>
      <c r="L16458" s="16" t="str">
        <f>IFERROR(__xludf.DUMMYFUNCTION("""COMPUTED_VALUE"""),"")</f>
        <v/>
      </c>
      <c r="M16458" s="16" t="str">
        <f>IFERROR(__xludf.DUMMYFUNCTION("""COMPUTED_VALUE"""),"")</f>
        <v/>
      </c>
      <c r="U16458" s="16" t="s">
        <v>87</v>
      </c>
      <c r="V16458" s="16" t="str">
        <f>IFERROR(__xludf.DUMMYFUNCTION("""COMPUTED_VALUE"""),"")</f>
        <v/>
      </c>
      <c r="W16458" s="16" t="str">
        <f>IFERROR(__xludf.DUMMYFUNCTION("""COMPUTED_VALUE"""),"")</f>
        <v/>
      </c>
      <c r="X16458" s="16" t="str">
        <f>IFERROR(__xludf.DUMMYFUNCTION("""COMPUTED_VALUE"""),"")</f>
        <v/>
      </c>
      <c r="AC16458" s="16" t="str">
        <f>IFERROR(__xludf.DUMMYFUNCTION("""COMPUTED_VALUE"""),"")</f>
        <v/>
      </c>
    </row>
    <row r="16459">
      <c r="A16459" s="16" t="s">
        <v>87</v>
      </c>
      <c r="E16459" s="16" t="str">
        <f>IFERROR(__xludf.DUMMYFUNCTION("""COMPUTED_VALUE"""),"")</f>
        <v/>
      </c>
      <c r="G16459" s="18"/>
      <c r="H16459" s="16" t="s">
        <v>87</v>
      </c>
      <c r="I16459" s="16" t="s">
        <v>87</v>
      </c>
      <c r="J16459" s="19"/>
      <c r="L16459" s="16" t="str">
        <f>IFERROR(__xludf.DUMMYFUNCTION("""COMPUTED_VALUE"""),"")</f>
        <v/>
      </c>
      <c r="M16459" s="16" t="str">
        <f>IFERROR(__xludf.DUMMYFUNCTION("""COMPUTED_VALUE"""),"")</f>
        <v/>
      </c>
      <c r="U16459" s="16" t="s">
        <v>87</v>
      </c>
      <c r="V16459" s="16" t="str">
        <f>IFERROR(__xludf.DUMMYFUNCTION("""COMPUTED_VALUE"""),"")</f>
        <v/>
      </c>
      <c r="W16459" s="16" t="str">
        <f>IFERROR(__xludf.DUMMYFUNCTION("""COMPUTED_VALUE"""),"")</f>
        <v/>
      </c>
      <c r="X16459" s="16" t="str">
        <f>IFERROR(__xludf.DUMMYFUNCTION("""COMPUTED_VALUE"""),"")</f>
        <v/>
      </c>
      <c r="AC16459" s="16" t="str">
        <f>IFERROR(__xludf.DUMMYFUNCTION("""COMPUTED_VALUE"""),"")</f>
        <v/>
      </c>
    </row>
    <row r="16460">
      <c r="A16460" s="16" t="s">
        <v>87</v>
      </c>
      <c r="E16460" s="16" t="str">
        <f>IFERROR(__xludf.DUMMYFUNCTION("""COMPUTED_VALUE"""),"")</f>
        <v/>
      </c>
      <c r="G16460" s="18"/>
      <c r="H16460" s="16" t="s">
        <v>87</v>
      </c>
      <c r="I16460" s="16" t="s">
        <v>87</v>
      </c>
      <c r="J16460" s="19"/>
      <c r="L16460" s="16" t="str">
        <f>IFERROR(__xludf.DUMMYFUNCTION("""COMPUTED_VALUE"""),"")</f>
        <v/>
      </c>
      <c r="M16460" s="16" t="str">
        <f>IFERROR(__xludf.DUMMYFUNCTION("""COMPUTED_VALUE"""),"")</f>
        <v/>
      </c>
      <c r="U16460" s="16" t="s">
        <v>87</v>
      </c>
      <c r="V16460" s="16" t="str">
        <f>IFERROR(__xludf.DUMMYFUNCTION("""COMPUTED_VALUE"""),"")</f>
        <v/>
      </c>
      <c r="W16460" s="16" t="str">
        <f>IFERROR(__xludf.DUMMYFUNCTION("""COMPUTED_VALUE"""),"")</f>
        <v/>
      </c>
      <c r="X16460" s="16" t="str">
        <f>IFERROR(__xludf.DUMMYFUNCTION("""COMPUTED_VALUE"""),"")</f>
        <v/>
      </c>
      <c r="AC16460" s="16" t="str">
        <f>IFERROR(__xludf.DUMMYFUNCTION("""COMPUTED_VALUE"""),"")</f>
        <v/>
      </c>
    </row>
    <row r="16461">
      <c r="A16461" s="16" t="s">
        <v>87</v>
      </c>
      <c r="E16461" s="16" t="str">
        <f>IFERROR(__xludf.DUMMYFUNCTION("""COMPUTED_VALUE"""),"")</f>
        <v/>
      </c>
      <c r="G16461" s="18"/>
      <c r="H16461" s="16" t="s">
        <v>87</v>
      </c>
      <c r="I16461" s="16" t="s">
        <v>87</v>
      </c>
      <c r="J16461" s="19"/>
      <c r="L16461" s="16" t="str">
        <f>IFERROR(__xludf.DUMMYFUNCTION("""COMPUTED_VALUE"""),"")</f>
        <v/>
      </c>
      <c r="M16461" s="16" t="str">
        <f>IFERROR(__xludf.DUMMYFUNCTION("""COMPUTED_VALUE"""),"")</f>
        <v/>
      </c>
      <c r="U16461" s="16" t="s">
        <v>87</v>
      </c>
      <c r="V16461" s="16" t="str">
        <f>IFERROR(__xludf.DUMMYFUNCTION("""COMPUTED_VALUE"""),"")</f>
        <v/>
      </c>
      <c r="W16461" s="16" t="str">
        <f>IFERROR(__xludf.DUMMYFUNCTION("""COMPUTED_VALUE"""),"")</f>
        <v/>
      </c>
      <c r="X16461" s="16" t="str">
        <f>IFERROR(__xludf.DUMMYFUNCTION("""COMPUTED_VALUE"""),"")</f>
        <v/>
      </c>
      <c r="AC16461" s="16" t="str">
        <f>IFERROR(__xludf.DUMMYFUNCTION("""COMPUTED_VALUE"""),"")</f>
        <v/>
      </c>
    </row>
    <row r="16462">
      <c r="A16462" s="16" t="s">
        <v>87</v>
      </c>
      <c r="E16462" s="16" t="str">
        <f>IFERROR(__xludf.DUMMYFUNCTION("""COMPUTED_VALUE"""),"")</f>
        <v/>
      </c>
      <c r="G16462" s="18"/>
      <c r="H16462" s="16" t="s">
        <v>87</v>
      </c>
      <c r="I16462" s="16" t="s">
        <v>87</v>
      </c>
      <c r="J16462" s="19"/>
      <c r="L16462" s="16" t="str">
        <f>IFERROR(__xludf.DUMMYFUNCTION("""COMPUTED_VALUE"""),"")</f>
        <v/>
      </c>
      <c r="M16462" s="16" t="str">
        <f>IFERROR(__xludf.DUMMYFUNCTION("""COMPUTED_VALUE"""),"")</f>
        <v/>
      </c>
      <c r="U16462" s="16" t="s">
        <v>87</v>
      </c>
      <c r="V16462" s="16" t="str">
        <f>IFERROR(__xludf.DUMMYFUNCTION("""COMPUTED_VALUE"""),"")</f>
        <v/>
      </c>
      <c r="W16462" s="16" t="str">
        <f>IFERROR(__xludf.DUMMYFUNCTION("""COMPUTED_VALUE"""),"")</f>
        <v/>
      </c>
      <c r="X16462" s="16" t="str">
        <f>IFERROR(__xludf.DUMMYFUNCTION("""COMPUTED_VALUE"""),"")</f>
        <v/>
      </c>
      <c r="AC16462" s="16" t="str">
        <f>IFERROR(__xludf.DUMMYFUNCTION("""COMPUTED_VALUE"""),"")</f>
        <v/>
      </c>
    </row>
    <row r="16463">
      <c r="A16463" s="16" t="s">
        <v>87</v>
      </c>
      <c r="E16463" s="16" t="str">
        <f>IFERROR(__xludf.DUMMYFUNCTION("""COMPUTED_VALUE"""),"")</f>
        <v/>
      </c>
      <c r="G16463" s="18"/>
      <c r="H16463" s="16" t="s">
        <v>87</v>
      </c>
      <c r="I16463" s="16" t="s">
        <v>87</v>
      </c>
      <c r="J16463" s="19"/>
      <c r="L16463" s="16" t="str">
        <f>IFERROR(__xludf.DUMMYFUNCTION("""COMPUTED_VALUE"""),"")</f>
        <v/>
      </c>
      <c r="M16463" s="16" t="str">
        <f>IFERROR(__xludf.DUMMYFUNCTION("""COMPUTED_VALUE"""),"")</f>
        <v/>
      </c>
      <c r="U16463" s="16" t="s">
        <v>87</v>
      </c>
      <c r="V16463" s="16" t="str">
        <f>IFERROR(__xludf.DUMMYFUNCTION("""COMPUTED_VALUE"""),"")</f>
        <v/>
      </c>
      <c r="W16463" s="16" t="str">
        <f>IFERROR(__xludf.DUMMYFUNCTION("""COMPUTED_VALUE"""),"")</f>
        <v/>
      </c>
      <c r="X16463" s="16" t="str">
        <f>IFERROR(__xludf.DUMMYFUNCTION("""COMPUTED_VALUE"""),"")</f>
        <v/>
      </c>
      <c r="AC16463" s="16" t="str">
        <f>IFERROR(__xludf.DUMMYFUNCTION("""COMPUTED_VALUE"""),"")</f>
        <v/>
      </c>
    </row>
    <row r="16464">
      <c r="A16464" s="16" t="s">
        <v>87</v>
      </c>
      <c r="E16464" s="16" t="str">
        <f>IFERROR(__xludf.DUMMYFUNCTION("""COMPUTED_VALUE"""),"")</f>
        <v/>
      </c>
      <c r="G16464" s="18"/>
      <c r="H16464" s="16" t="s">
        <v>87</v>
      </c>
      <c r="I16464" s="16" t="s">
        <v>87</v>
      </c>
      <c r="J16464" s="19"/>
      <c r="L16464" s="16" t="str">
        <f>IFERROR(__xludf.DUMMYFUNCTION("""COMPUTED_VALUE"""),"")</f>
        <v/>
      </c>
      <c r="M16464" s="16" t="str">
        <f>IFERROR(__xludf.DUMMYFUNCTION("""COMPUTED_VALUE"""),"")</f>
        <v/>
      </c>
      <c r="U16464" s="16" t="s">
        <v>87</v>
      </c>
      <c r="V16464" s="16" t="str">
        <f>IFERROR(__xludf.DUMMYFUNCTION("""COMPUTED_VALUE"""),"")</f>
        <v/>
      </c>
      <c r="W16464" s="16" t="str">
        <f>IFERROR(__xludf.DUMMYFUNCTION("""COMPUTED_VALUE"""),"")</f>
        <v/>
      </c>
      <c r="X16464" s="16" t="str">
        <f>IFERROR(__xludf.DUMMYFUNCTION("""COMPUTED_VALUE"""),"")</f>
        <v/>
      </c>
      <c r="AC16464" s="16" t="str">
        <f>IFERROR(__xludf.DUMMYFUNCTION("""COMPUTED_VALUE"""),"")</f>
        <v/>
      </c>
    </row>
    <row r="16465">
      <c r="A16465" s="16" t="s">
        <v>87</v>
      </c>
      <c r="E16465" s="16" t="str">
        <f>IFERROR(__xludf.DUMMYFUNCTION("""COMPUTED_VALUE"""),"")</f>
        <v/>
      </c>
      <c r="G16465" s="18"/>
      <c r="H16465" s="16" t="s">
        <v>87</v>
      </c>
      <c r="I16465" s="16" t="s">
        <v>87</v>
      </c>
      <c r="J16465" s="19"/>
      <c r="L16465" s="16" t="str">
        <f>IFERROR(__xludf.DUMMYFUNCTION("""COMPUTED_VALUE"""),"")</f>
        <v/>
      </c>
      <c r="M16465" s="16" t="str">
        <f>IFERROR(__xludf.DUMMYFUNCTION("""COMPUTED_VALUE"""),"")</f>
        <v/>
      </c>
      <c r="U16465" s="16" t="s">
        <v>87</v>
      </c>
      <c r="V16465" s="16" t="str">
        <f>IFERROR(__xludf.DUMMYFUNCTION("""COMPUTED_VALUE"""),"")</f>
        <v/>
      </c>
      <c r="W16465" s="16" t="str">
        <f>IFERROR(__xludf.DUMMYFUNCTION("""COMPUTED_VALUE"""),"")</f>
        <v/>
      </c>
      <c r="X16465" s="16" t="str">
        <f>IFERROR(__xludf.DUMMYFUNCTION("""COMPUTED_VALUE"""),"")</f>
        <v/>
      </c>
      <c r="AC16465" s="16" t="str">
        <f>IFERROR(__xludf.DUMMYFUNCTION("""COMPUTED_VALUE"""),"")</f>
        <v/>
      </c>
    </row>
    <row r="16466">
      <c r="A16466" s="16" t="s">
        <v>87</v>
      </c>
      <c r="E16466" s="16" t="str">
        <f>IFERROR(__xludf.DUMMYFUNCTION("""COMPUTED_VALUE"""),"")</f>
        <v/>
      </c>
      <c r="G16466" s="18"/>
      <c r="H16466" s="16" t="s">
        <v>87</v>
      </c>
      <c r="I16466" s="16" t="s">
        <v>87</v>
      </c>
      <c r="J16466" s="19"/>
      <c r="L16466" s="16" t="str">
        <f>IFERROR(__xludf.DUMMYFUNCTION("""COMPUTED_VALUE"""),"")</f>
        <v/>
      </c>
      <c r="M16466" s="16" t="str">
        <f>IFERROR(__xludf.DUMMYFUNCTION("""COMPUTED_VALUE"""),"")</f>
        <v/>
      </c>
      <c r="U16466" s="16" t="s">
        <v>87</v>
      </c>
      <c r="V16466" s="16" t="str">
        <f>IFERROR(__xludf.DUMMYFUNCTION("""COMPUTED_VALUE"""),"")</f>
        <v/>
      </c>
      <c r="W16466" s="16" t="str">
        <f>IFERROR(__xludf.DUMMYFUNCTION("""COMPUTED_VALUE"""),"")</f>
        <v/>
      </c>
      <c r="X16466" s="16" t="str">
        <f>IFERROR(__xludf.DUMMYFUNCTION("""COMPUTED_VALUE"""),"")</f>
        <v/>
      </c>
      <c r="AC16466" s="16" t="str">
        <f>IFERROR(__xludf.DUMMYFUNCTION("""COMPUTED_VALUE"""),"")</f>
        <v/>
      </c>
    </row>
    <row r="16467">
      <c r="A16467" s="16" t="s">
        <v>87</v>
      </c>
      <c r="E16467" s="16" t="str">
        <f>IFERROR(__xludf.DUMMYFUNCTION("""COMPUTED_VALUE"""),"")</f>
        <v/>
      </c>
      <c r="G16467" s="18"/>
      <c r="H16467" s="16" t="s">
        <v>87</v>
      </c>
      <c r="I16467" s="16" t="s">
        <v>87</v>
      </c>
      <c r="J16467" s="19"/>
      <c r="L16467" s="16" t="str">
        <f>IFERROR(__xludf.DUMMYFUNCTION("""COMPUTED_VALUE"""),"")</f>
        <v/>
      </c>
      <c r="M16467" s="16" t="str">
        <f>IFERROR(__xludf.DUMMYFUNCTION("""COMPUTED_VALUE"""),"")</f>
        <v/>
      </c>
      <c r="U16467" s="16" t="s">
        <v>87</v>
      </c>
      <c r="V16467" s="16" t="str">
        <f>IFERROR(__xludf.DUMMYFUNCTION("""COMPUTED_VALUE"""),"")</f>
        <v/>
      </c>
      <c r="W16467" s="16" t="str">
        <f>IFERROR(__xludf.DUMMYFUNCTION("""COMPUTED_VALUE"""),"")</f>
        <v/>
      </c>
      <c r="X16467" s="16" t="str">
        <f>IFERROR(__xludf.DUMMYFUNCTION("""COMPUTED_VALUE"""),"")</f>
        <v/>
      </c>
      <c r="AC16467" s="16" t="str">
        <f>IFERROR(__xludf.DUMMYFUNCTION("""COMPUTED_VALUE"""),"")</f>
        <v/>
      </c>
    </row>
    <row r="16468">
      <c r="A16468" s="16" t="s">
        <v>87</v>
      </c>
      <c r="E16468" s="16" t="str">
        <f>IFERROR(__xludf.DUMMYFUNCTION("""COMPUTED_VALUE"""),"")</f>
        <v/>
      </c>
      <c r="G16468" s="18"/>
      <c r="H16468" s="16" t="s">
        <v>87</v>
      </c>
      <c r="I16468" s="16" t="s">
        <v>87</v>
      </c>
      <c r="J16468" s="19"/>
      <c r="L16468" s="16" t="str">
        <f>IFERROR(__xludf.DUMMYFUNCTION("""COMPUTED_VALUE"""),"")</f>
        <v/>
      </c>
      <c r="M16468" s="16" t="str">
        <f>IFERROR(__xludf.DUMMYFUNCTION("""COMPUTED_VALUE"""),"")</f>
        <v/>
      </c>
      <c r="U16468" s="16" t="s">
        <v>87</v>
      </c>
      <c r="V16468" s="16" t="str">
        <f>IFERROR(__xludf.DUMMYFUNCTION("""COMPUTED_VALUE"""),"")</f>
        <v/>
      </c>
      <c r="W16468" s="16" t="str">
        <f>IFERROR(__xludf.DUMMYFUNCTION("""COMPUTED_VALUE"""),"")</f>
        <v/>
      </c>
      <c r="X16468" s="16" t="str">
        <f>IFERROR(__xludf.DUMMYFUNCTION("""COMPUTED_VALUE"""),"")</f>
        <v/>
      </c>
      <c r="AC16468" s="16" t="str">
        <f>IFERROR(__xludf.DUMMYFUNCTION("""COMPUTED_VALUE"""),"")</f>
        <v/>
      </c>
    </row>
    <row r="16469">
      <c r="A16469" s="16" t="s">
        <v>87</v>
      </c>
      <c r="E16469" s="16" t="str">
        <f>IFERROR(__xludf.DUMMYFUNCTION("""COMPUTED_VALUE"""),"")</f>
        <v/>
      </c>
      <c r="G16469" s="18"/>
      <c r="H16469" s="16" t="s">
        <v>87</v>
      </c>
      <c r="I16469" s="16" t="s">
        <v>87</v>
      </c>
      <c r="J16469" s="19"/>
      <c r="L16469" s="16" t="str">
        <f>IFERROR(__xludf.DUMMYFUNCTION("""COMPUTED_VALUE"""),"")</f>
        <v/>
      </c>
      <c r="M16469" s="16" t="str">
        <f>IFERROR(__xludf.DUMMYFUNCTION("""COMPUTED_VALUE"""),"")</f>
        <v/>
      </c>
      <c r="U16469" s="16" t="s">
        <v>87</v>
      </c>
      <c r="V16469" s="16" t="str">
        <f>IFERROR(__xludf.DUMMYFUNCTION("""COMPUTED_VALUE"""),"")</f>
        <v/>
      </c>
      <c r="W16469" s="16" t="str">
        <f>IFERROR(__xludf.DUMMYFUNCTION("""COMPUTED_VALUE"""),"")</f>
        <v/>
      </c>
      <c r="X16469" s="16" t="str">
        <f>IFERROR(__xludf.DUMMYFUNCTION("""COMPUTED_VALUE"""),"")</f>
        <v/>
      </c>
      <c r="AC16469" s="16" t="str">
        <f>IFERROR(__xludf.DUMMYFUNCTION("""COMPUTED_VALUE"""),"")</f>
        <v/>
      </c>
    </row>
    <row r="16470">
      <c r="A16470" s="16" t="s">
        <v>87</v>
      </c>
      <c r="E16470" s="16" t="str">
        <f>IFERROR(__xludf.DUMMYFUNCTION("""COMPUTED_VALUE"""),"")</f>
        <v/>
      </c>
      <c r="G16470" s="18"/>
      <c r="H16470" s="16" t="s">
        <v>87</v>
      </c>
      <c r="I16470" s="16" t="s">
        <v>87</v>
      </c>
      <c r="J16470" s="19"/>
      <c r="L16470" s="16" t="str">
        <f>IFERROR(__xludf.DUMMYFUNCTION("""COMPUTED_VALUE"""),"")</f>
        <v/>
      </c>
      <c r="M16470" s="16" t="str">
        <f>IFERROR(__xludf.DUMMYFUNCTION("""COMPUTED_VALUE"""),"")</f>
        <v/>
      </c>
      <c r="U16470" s="16" t="s">
        <v>87</v>
      </c>
      <c r="V16470" s="16" t="str">
        <f>IFERROR(__xludf.DUMMYFUNCTION("""COMPUTED_VALUE"""),"")</f>
        <v/>
      </c>
      <c r="W16470" s="16" t="str">
        <f>IFERROR(__xludf.DUMMYFUNCTION("""COMPUTED_VALUE"""),"")</f>
        <v/>
      </c>
      <c r="X16470" s="16" t="str">
        <f>IFERROR(__xludf.DUMMYFUNCTION("""COMPUTED_VALUE"""),"")</f>
        <v/>
      </c>
      <c r="AC16470" s="16" t="str">
        <f>IFERROR(__xludf.DUMMYFUNCTION("""COMPUTED_VALUE"""),"")</f>
        <v/>
      </c>
    </row>
    <row r="16471">
      <c r="A16471" s="16" t="s">
        <v>87</v>
      </c>
      <c r="E16471" s="16" t="str">
        <f>IFERROR(__xludf.DUMMYFUNCTION("""COMPUTED_VALUE"""),"")</f>
        <v/>
      </c>
      <c r="G16471" s="18"/>
      <c r="H16471" s="16" t="s">
        <v>87</v>
      </c>
      <c r="I16471" s="16" t="s">
        <v>87</v>
      </c>
      <c r="J16471" s="19"/>
      <c r="L16471" s="16" t="str">
        <f>IFERROR(__xludf.DUMMYFUNCTION("""COMPUTED_VALUE"""),"")</f>
        <v/>
      </c>
      <c r="M16471" s="16" t="str">
        <f>IFERROR(__xludf.DUMMYFUNCTION("""COMPUTED_VALUE"""),"")</f>
        <v/>
      </c>
      <c r="U16471" s="16" t="s">
        <v>87</v>
      </c>
      <c r="V16471" s="16" t="str">
        <f>IFERROR(__xludf.DUMMYFUNCTION("""COMPUTED_VALUE"""),"")</f>
        <v/>
      </c>
      <c r="W16471" s="16" t="str">
        <f>IFERROR(__xludf.DUMMYFUNCTION("""COMPUTED_VALUE"""),"")</f>
        <v/>
      </c>
      <c r="X16471" s="16" t="str">
        <f>IFERROR(__xludf.DUMMYFUNCTION("""COMPUTED_VALUE"""),"")</f>
        <v/>
      </c>
      <c r="AC16471" s="16" t="str">
        <f>IFERROR(__xludf.DUMMYFUNCTION("""COMPUTED_VALUE"""),"")</f>
        <v/>
      </c>
    </row>
    <row r="16472">
      <c r="A16472" s="16" t="s">
        <v>87</v>
      </c>
      <c r="E16472" s="16" t="str">
        <f>IFERROR(__xludf.DUMMYFUNCTION("""COMPUTED_VALUE"""),"")</f>
        <v/>
      </c>
      <c r="G16472" s="18"/>
      <c r="H16472" s="16" t="s">
        <v>87</v>
      </c>
      <c r="I16472" s="16" t="s">
        <v>87</v>
      </c>
      <c r="J16472" s="19"/>
      <c r="L16472" s="16" t="str">
        <f>IFERROR(__xludf.DUMMYFUNCTION("""COMPUTED_VALUE"""),"")</f>
        <v/>
      </c>
      <c r="M16472" s="16" t="str">
        <f>IFERROR(__xludf.DUMMYFUNCTION("""COMPUTED_VALUE"""),"")</f>
        <v/>
      </c>
      <c r="U16472" s="16" t="s">
        <v>87</v>
      </c>
      <c r="V16472" s="16" t="str">
        <f>IFERROR(__xludf.DUMMYFUNCTION("""COMPUTED_VALUE"""),"")</f>
        <v/>
      </c>
      <c r="W16472" s="16" t="str">
        <f>IFERROR(__xludf.DUMMYFUNCTION("""COMPUTED_VALUE"""),"")</f>
        <v/>
      </c>
      <c r="X16472" s="16" t="str">
        <f>IFERROR(__xludf.DUMMYFUNCTION("""COMPUTED_VALUE"""),"")</f>
        <v/>
      </c>
      <c r="AC16472" s="16" t="str">
        <f>IFERROR(__xludf.DUMMYFUNCTION("""COMPUTED_VALUE"""),"")</f>
        <v/>
      </c>
    </row>
    <row r="16473">
      <c r="A16473" s="16" t="s">
        <v>87</v>
      </c>
      <c r="E16473" s="16" t="str">
        <f>IFERROR(__xludf.DUMMYFUNCTION("""COMPUTED_VALUE"""),"")</f>
        <v/>
      </c>
      <c r="G16473" s="18"/>
      <c r="H16473" s="16" t="s">
        <v>87</v>
      </c>
      <c r="I16473" s="16" t="s">
        <v>87</v>
      </c>
      <c r="J16473" s="19"/>
      <c r="L16473" s="16" t="str">
        <f>IFERROR(__xludf.DUMMYFUNCTION("""COMPUTED_VALUE"""),"")</f>
        <v/>
      </c>
      <c r="M16473" s="16" t="str">
        <f>IFERROR(__xludf.DUMMYFUNCTION("""COMPUTED_VALUE"""),"")</f>
        <v/>
      </c>
      <c r="U16473" s="16" t="s">
        <v>87</v>
      </c>
      <c r="V16473" s="16" t="str">
        <f>IFERROR(__xludf.DUMMYFUNCTION("""COMPUTED_VALUE"""),"")</f>
        <v/>
      </c>
      <c r="W16473" s="16" t="str">
        <f>IFERROR(__xludf.DUMMYFUNCTION("""COMPUTED_VALUE"""),"")</f>
        <v/>
      </c>
      <c r="X16473" s="16" t="str">
        <f>IFERROR(__xludf.DUMMYFUNCTION("""COMPUTED_VALUE"""),"")</f>
        <v/>
      </c>
      <c r="AC16473" s="16" t="str">
        <f>IFERROR(__xludf.DUMMYFUNCTION("""COMPUTED_VALUE"""),"")</f>
        <v/>
      </c>
    </row>
    <row r="16474">
      <c r="A16474" s="16" t="s">
        <v>87</v>
      </c>
      <c r="E16474" s="16" t="str">
        <f>IFERROR(__xludf.DUMMYFUNCTION("""COMPUTED_VALUE"""),"")</f>
        <v/>
      </c>
      <c r="G16474" s="18"/>
      <c r="H16474" s="16" t="s">
        <v>87</v>
      </c>
      <c r="I16474" s="16" t="s">
        <v>87</v>
      </c>
      <c r="J16474" s="19"/>
      <c r="L16474" s="16" t="str">
        <f>IFERROR(__xludf.DUMMYFUNCTION("""COMPUTED_VALUE"""),"")</f>
        <v/>
      </c>
      <c r="M16474" s="16" t="str">
        <f>IFERROR(__xludf.DUMMYFUNCTION("""COMPUTED_VALUE"""),"")</f>
        <v/>
      </c>
      <c r="U16474" s="16" t="s">
        <v>87</v>
      </c>
      <c r="V16474" s="16" t="str">
        <f>IFERROR(__xludf.DUMMYFUNCTION("""COMPUTED_VALUE"""),"")</f>
        <v/>
      </c>
      <c r="W16474" s="16" t="str">
        <f>IFERROR(__xludf.DUMMYFUNCTION("""COMPUTED_VALUE"""),"")</f>
        <v/>
      </c>
      <c r="X16474" s="16" t="str">
        <f>IFERROR(__xludf.DUMMYFUNCTION("""COMPUTED_VALUE"""),"")</f>
        <v/>
      </c>
      <c r="AC16474" s="16" t="str">
        <f>IFERROR(__xludf.DUMMYFUNCTION("""COMPUTED_VALUE"""),"")</f>
        <v/>
      </c>
    </row>
    <row r="16475">
      <c r="A16475" s="16" t="s">
        <v>87</v>
      </c>
      <c r="E16475" s="16" t="str">
        <f>IFERROR(__xludf.DUMMYFUNCTION("""COMPUTED_VALUE"""),"")</f>
        <v/>
      </c>
      <c r="G16475" s="18"/>
      <c r="H16475" s="16" t="s">
        <v>87</v>
      </c>
      <c r="I16475" s="16" t="s">
        <v>87</v>
      </c>
      <c r="J16475" s="19"/>
      <c r="L16475" s="16" t="str">
        <f>IFERROR(__xludf.DUMMYFUNCTION("""COMPUTED_VALUE"""),"")</f>
        <v/>
      </c>
      <c r="M16475" s="16" t="str">
        <f>IFERROR(__xludf.DUMMYFUNCTION("""COMPUTED_VALUE"""),"")</f>
        <v/>
      </c>
      <c r="U16475" s="16" t="s">
        <v>87</v>
      </c>
      <c r="V16475" s="16" t="str">
        <f>IFERROR(__xludf.DUMMYFUNCTION("""COMPUTED_VALUE"""),"")</f>
        <v/>
      </c>
      <c r="W16475" s="16" t="str">
        <f>IFERROR(__xludf.DUMMYFUNCTION("""COMPUTED_VALUE"""),"")</f>
        <v/>
      </c>
      <c r="X16475" s="16" t="str">
        <f>IFERROR(__xludf.DUMMYFUNCTION("""COMPUTED_VALUE"""),"")</f>
        <v/>
      </c>
      <c r="AC16475" s="16" t="str">
        <f>IFERROR(__xludf.DUMMYFUNCTION("""COMPUTED_VALUE"""),"")</f>
        <v/>
      </c>
    </row>
    <row r="16476">
      <c r="A16476" s="16" t="s">
        <v>87</v>
      </c>
      <c r="E16476" s="16" t="str">
        <f>IFERROR(__xludf.DUMMYFUNCTION("""COMPUTED_VALUE"""),"")</f>
        <v/>
      </c>
      <c r="G16476" s="18"/>
      <c r="H16476" s="16" t="s">
        <v>87</v>
      </c>
      <c r="I16476" s="16" t="s">
        <v>87</v>
      </c>
      <c r="J16476" s="19"/>
      <c r="L16476" s="16" t="str">
        <f>IFERROR(__xludf.DUMMYFUNCTION("""COMPUTED_VALUE"""),"")</f>
        <v/>
      </c>
      <c r="M16476" s="16" t="str">
        <f>IFERROR(__xludf.DUMMYFUNCTION("""COMPUTED_VALUE"""),"")</f>
        <v/>
      </c>
      <c r="U16476" s="16" t="s">
        <v>87</v>
      </c>
      <c r="V16476" s="16" t="str">
        <f>IFERROR(__xludf.DUMMYFUNCTION("""COMPUTED_VALUE"""),"")</f>
        <v/>
      </c>
      <c r="W16476" s="16" t="str">
        <f>IFERROR(__xludf.DUMMYFUNCTION("""COMPUTED_VALUE"""),"")</f>
        <v/>
      </c>
      <c r="X16476" s="16" t="str">
        <f>IFERROR(__xludf.DUMMYFUNCTION("""COMPUTED_VALUE"""),"")</f>
        <v/>
      </c>
      <c r="AC16476" s="16" t="str">
        <f>IFERROR(__xludf.DUMMYFUNCTION("""COMPUTED_VALUE"""),"")</f>
        <v/>
      </c>
    </row>
    <row r="16477">
      <c r="A16477" s="16" t="s">
        <v>87</v>
      </c>
      <c r="E16477" s="16" t="str">
        <f>IFERROR(__xludf.DUMMYFUNCTION("""COMPUTED_VALUE"""),"")</f>
        <v/>
      </c>
      <c r="G16477" s="18"/>
      <c r="H16477" s="16" t="s">
        <v>87</v>
      </c>
      <c r="I16477" s="16" t="s">
        <v>87</v>
      </c>
      <c r="J16477" s="19"/>
      <c r="L16477" s="16" t="str">
        <f>IFERROR(__xludf.DUMMYFUNCTION("""COMPUTED_VALUE"""),"")</f>
        <v/>
      </c>
      <c r="M16477" s="16" t="str">
        <f>IFERROR(__xludf.DUMMYFUNCTION("""COMPUTED_VALUE"""),"")</f>
        <v/>
      </c>
      <c r="U16477" s="16" t="s">
        <v>87</v>
      </c>
      <c r="V16477" s="16" t="str">
        <f>IFERROR(__xludf.DUMMYFUNCTION("""COMPUTED_VALUE"""),"")</f>
        <v/>
      </c>
      <c r="W16477" s="16" t="str">
        <f>IFERROR(__xludf.DUMMYFUNCTION("""COMPUTED_VALUE"""),"")</f>
        <v/>
      </c>
      <c r="X16477" s="16" t="str">
        <f>IFERROR(__xludf.DUMMYFUNCTION("""COMPUTED_VALUE"""),"")</f>
        <v/>
      </c>
      <c r="AC16477" s="16" t="str">
        <f>IFERROR(__xludf.DUMMYFUNCTION("""COMPUTED_VALUE"""),"")</f>
        <v/>
      </c>
    </row>
    <row r="16478">
      <c r="A16478" s="16" t="s">
        <v>87</v>
      </c>
      <c r="E16478" s="16" t="str">
        <f>IFERROR(__xludf.DUMMYFUNCTION("""COMPUTED_VALUE"""),"")</f>
        <v/>
      </c>
      <c r="G16478" s="18"/>
      <c r="H16478" s="16" t="s">
        <v>87</v>
      </c>
      <c r="I16478" s="16" t="s">
        <v>87</v>
      </c>
      <c r="J16478" s="19"/>
      <c r="L16478" s="16" t="str">
        <f>IFERROR(__xludf.DUMMYFUNCTION("""COMPUTED_VALUE"""),"")</f>
        <v/>
      </c>
      <c r="M16478" s="16" t="str">
        <f>IFERROR(__xludf.DUMMYFUNCTION("""COMPUTED_VALUE"""),"")</f>
        <v/>
      </c>
      <c r="U16478" s="16" t="s">
        <v>87</v>
      </c>
      <c r="V16478" s="16" t="str">
        <f>IFERROR(__xludf.DUMMYFUNCTION("""COMPUTED_VALUE"""),"")</f>
        <v/>
      </c>
      <c r="W16478" s="16" t="str">
        <f>IFERROR(__xludf.DUMMYFUNCTION("""COMPUTED_VALUE"""),"")</f>
        <v/>
      </c>
      <c r="X16478" s="16" t="str">
        <f>IFERROR(__xludf.DUMMYFUNCTION("""COMPUTED_VALUE"""),"")</f>
        <v/>
      </c>
      <c r="AC16478" s="16" t="str">
        <f>IFERROR(__xludf.DUMMYFUNCTION("""COMPUTED_VALUE"""),"")</f>
        <v/>
      </c>
    </row>
    <row r="16479">
      <c r="A16479" s="16" t="s">
        <v>87</v>
      </c>
      <c r="E16479" s="16" t="str">
        <f>IFERROR(__xludf.DUMMYFUNCTION("""COMPUTED_VALUE"""),"")</f>
        <v/>
      </c>
      <c r="G16479" s="18"/>
      <c r="H16479" s="16" t="s">
        <v>87</v>
      </c>
      <c r="I16479" s="16" t="s">
        <v>87</v>
      </c>
      <c r="J16479" s="19"/>
      <c r="L16479" s="16" t="str">
        <f>IFERROR(__xludf.DUMMYFUNCTION("""COMPUTED_VALUE"""),"")</f>
        <v/>
      </c>
      <c r="M16479" s="16" t="str">
        <f>IFERROR(__xludf.DUMMYFUNCTION("""COMPUTED_VALUE"""),"")</f>
        <v/>
      </c>
      <c r="U16479" s="16" t="s">
        <v>87</v>
      </c>
      <c r="V16479" s="16" t="str">
        <f>IFERROR(__xludf.DUMMYFUNCTION("""COMPUTED_VALUE"""),"")</f>
        <v/>
      </c>
      <c r="W16479" s="16" t="str">
        <f>IFERROR(__xludf.DUMMYFUNCTION("""COMPUTED_VALUE"""),"")</f>
        <v/>
      </c>
      <c r="X16479" s="16" t="str">
        <f>IFERROR(__xludf.DUMMYFUNCTION("""COMPUTED_VALUE"""),"")</f>
        <v/>
      </c>
      <c r="AC16479" s="16" t="str">
        <f>IFERROR(__xludf.DUMMYFUNCTION("""COMPUTED_VALUE"""),"")</f>
        <v/>
      </c>
    </row>
    <row r="16480">
      <c r="A16480" s="16" t="s">
        <v>87</v>
      </c>
      <c r="E16480" s="16" t="str">
        <f>IFERROR(__xludf.DUMMYFUNCTION("""COMPUTED_VALUE"""),"")</f>
        <v/>
      </c>
      <c r="G16480" s="18"/>
      <c r="H16480" s="16" t="s">
        <v>87</v>
      </c>
      <c r="I16480" s="16" t="s">
        <v>87</v>
      </c>
      <c r="J16480" s="19"/>
      <c r="L16480" s="16" t="str">
        <f>IFERROR(__xludf.DUMMYFUNCTION("""COMPUTED_VALUE"""),"")</f>
        <v/>
      </c>
      <c r="M16480" s="16" t="str">
        <f>IFERROR(__xludf.DUMMYFUNCTION("""COMPUTED_VALUE"""),"")</f>
        <v/>
      </c>
      <c r="U16480" s="16" t="s">
        <v>87</v>
      </c>
      <c r="V16480" s="16" t="str">
        <f>IFERROR(__xludf.DUMMYFUNCTION("""COMPUTED_VALUE"""),"")</f>
        <v/>
      </c>
      <c r="W16480" s="16" t="str">
        <f>IFERROR(__xludf.DUMMYFUNCTION("""COMPUTED_VALUE"""),"")</f>
        <v/>
      </c>
      <c r="X16480" s="16" t="str">
        <f>IFERROR(__xludf.DUMMYFUNCTION("""COMPUTED_VALUE"""),"")</f>
        <v/>
      </c>
      <c r="AC16480" s="16" t="str">
        <f>IFERROR(__xludf.DUMMYFUNCTION("""COMPUTED_VALUE"""),"")</f>
        <v/>
      </c>
    </row>
    <row r="16481">
      <c r="A16481" s="16" t="s">
        <v>87</v>
      </c>
      <c r="E16481" s="16" t="str">
        <f>IFERROR(__xludf.DUMMYFUNCTION("""COMPUTED_VALUE"""),"")</f>
        <v/>
      </c>
      <c r="G16481" s="18"/>
      <c r="H16481" s="16" t="s">
        <v>87</v>
      </c>
      <c r="I16481" s="16" t="s">
        <v>87</v>
      </c>
      <c r="J16481" s="19"/>
      <c r="L16481" s="16" t="str">
        <f>IFERROR(__xludf.DUMMYFUNCTION("""COMPUTED_VALUE"""),"")</f>
        <v/>
      </c>
      <c r="M16481" s="16" t="str">
        <f>IFERROR(__xludf.DUMMYFUNCTION("""COMPUTED_VALUE"""),"")</f>
        <v/>
      </c>
      <c r="U16481" s="16" t="s">
        <v>87</v>
      </c>
      <c r="V16481" s="16" t="str">
        <f>IFERROR(__xludf.DUMMYFUNCTION("""COMPUTED_VALUE"""),"")</f>
        <v/>
      </c>
      <c r="W16481" s="16" t="str">
        <f>IFERROR(__xludf.DUMMYFUNCTION("""COMPUTED_VALUE"""),"")</f>
        <v/>
      </c>
      <c r="X16481" s="16" t="str">
        <f>IFERROR(__xludf.DUMMYFUNCTION("""COMPUTED_VALUE"""),"")</f>
        <v/>
      </c>
      <c r="AC16481" s="16" t="str">
        <f>IFERROR(__xludf.DUMMYFUNCTION("""COMPUTED_VALUE"""),"")</f>
        <v/>
      </c>
    </row>
    <row r="16482">
      <c r="A16482" s="16" t="s">
        <v>87</v>
      </c>
      <c r="E16482" s="16" t="str">
        <f>IFERROR(__xludf.DUMMYFUNCTION("""COMPUTED_VALUE"""),"")</f>
        <v/>
      </c>
      <c r="G16482" s="18"/>
      <c r="H16482" s="16" t="s">
        <v>87</v>
      </c>
      <c r="I16482" s="16" t="s">
        <v>87</v>
      </c>
      <c r="J16482" s="19"/>
      <c r="L16482" s="16" t="str">
        <f>IFERROR(__xludf.DUMMYFUNCTION("""COMPUTED_VALUE"""),"")</f>
        <v/>
      </c>
      <c r="M16482" s="16" t="str">
        <f>IFERROR(__xludf.DUMMYFUNCTION("""COMPUTED_VALUE"""),"")</f>
        <v/>
      </c>
      <c r="U16482" s="16" t="s">
        <v>87</v>
      </c>
      <c r="V16482" s="16" t="str">
        <f>IFERROR(__xludf.DUMMYFUNCTION("""COMPUTED_VALUE"""),"")</f>
        <v/>
      </c>
      <c r="W16482" s="16" t="str">
        <f>IFERROR(__xludf.DUMMYFUNCTION("""COMPUTED_VALUE"""),"")</f>
        <v/>
      </c>
      <c r="X16482" s="16" t="str">
        <f>IFERROR(__xludf.DUMMYFUNCTION("""COMPUTED_VALUE"""),"")</f>
        <v/>
      </c>
      <c r="AC16482" s="16" t="str">
        <f>IFERROR(__xludf.DUMMYFUNCTION("""COMPUTED_VALUE"""),"")</f>
        <v/>
      </c>
    </row>
    <row r="16483">
      <c r="A16483" s="16" t="s">
        <v>87</v>
      </c>
      <c r="E16483" s="16" t="str">
        <f>IFERROR(__xludf.DUMMYFUNCTION("""COMPUTED_VALUE"""),"")</f>
        <v/>
      </c>
      <c r="G16483" s="18"/>
      <c r="H16483" s="16" t="s">
        <v>87</v>
      </c>
      <c r="I16483" s="16" t="s">
        <v>87</v>
      </c>
      <c r="J16483" s="19"/>
      <c r="L16483" s="16" t="str">
        <f>IFERROR(__xludf.DUMMYFUNCTION("""COMPUTED_VALUE"""),"")</f>
        <v/>
      </c>
      <c r="M16483" s="16" t="str">
        <f>IFERROR(__xludf.DUMMYFUNCTION("""COMPUTED_VALUE"""),"")</f>
        <v/>
      </c>
      <c r="U16483" s="16" t="s">
        <v>87</v>
      </c>
      <c r="V16483" s="16" t="str">
        <f>IFERROR(__xludf.DUMMYFUNCTION("""COMPUTED_VALUE"""),"")</f>
        <v/>
      </c>
      <c r="W16483" s="16" t="str">
        <f>IFERROR(__xludf.DUMMYFUNCTION("""COMPUTED_VALUE"""),"")</f>
        <v/>
      </c>
      <c r="X16483" s="16" t="str">
        <f>IFERROR(__xludf.DUMMYFUNCTION("""COMPUTED_VALUE"""),"")</f>
        <v/>
      </c>
      <c r="AC16483" s="16" t="str">
        <f>IFERROR(__xludf.DUMMYFUNCTION("""COMPUTED_VALUE"""),"")</f>
        <v/>
      </c>
    </row>
    <row r="16484">
      <c r="A16484" s="16" t="s">
        <v>87</v>
      </c>
      <c r="E16484" s="16" t="str">
        <f>IFERROR(__xludf.DUMMYFUNCTION("""COMPUTED_VALUE"""),"")</f>
        <v/>
      </c>
      <c r="G16484" s="18"/>
      <c r="H16484" s="16" t="s">
        <v>87</v>
      </c>
      <c r="I16484" s="16" t="s">
        <v>87</v>
      </c>
      <c r="J16484" s="19"/>
      <c r="L16484" s="16" t="str">
        <f>IFERROR(__xludf.DUMMYFUNCTION("""COMPUTED_VALUE"""),"")</f>
        <v/>
      </c>
      <c r="M16484" s="16" t="str">
        <f>IFERROR(__xludf.DUMMYFUNCTION("""COMPUTED_VALUE"""),"")</f>
        <v/>
      </c>
      <c r="U16484" s="16" t="s">
        <v>87</v>
      </c>
      <c r="V16484" s="16" t="str">
        <f>IFERROR(__xludf.DUMMYFUNCTION("""COMPUTED_VALUE"""),"")</f>
        <v/>
      </c>
      <c r="W16484" s="16" t="str">
        <f>IFERROR(__xludf.DUMMYFUNCTION("""COMPUTED_VALUE"""),"")</f>
        <v/>
      </c>
      <c r="X16484" s="16" t="str">
        <f>IFERROR(__xludf.DUMMYFUNCTION("""COMPUTED_VALUE"""),"")</f>
        <v/>
      </c>
      <c r="AC16484" s="16" t="str">
        <f>IFERROR(__xludf.DUMMYFUNCTION("""COMPUTED_VALUE"""),"")</f>
        <v/>
      </c>
    </row>
    <row r="16485">
      <c r="A16485" s="16" t="s">
        <v>87</v>
      </c>
      <c r="E16485" s="16" t="str">
        <f>IFERROR(__xludf.DUMMYFUNCTION("""COMPUTED_VALUE"""),"")</f>
        <v/>
      </c>
      <c r="G16485" s="18"/>
      <c r="H16485" s="16" t="s">
        <v>87</v>
      </c>
      <c r="I16485" s="16" t="s">
        <v>87</v>
      </c>
      <c r="J16485" s="19"/>
      <c r="L16485" s="16" t="str">
        <f>IFERROR(__xludf.DUMMYFUNCTION("""COMPUTED_VALUE"""),"")</f>
        <v/>
      </c>
      <c r="M16485" s="16" t="str">
        <f>IFERROR(__xludf.DUMMYFUNCTION("""COMPUTED_VALUE"""),"")</f>
        <v/>
      </c>
      <c r="U16485" s="16" t="s">
        <v>87</v>
      </c>
      <c r="V16485" s="16" t="str">
        <f>IFERROR(__xludf.DUMMYFUNCTION("""COMPUTED_VALUE"""),"")</f>
        <v/>
      </c>
      <c r="W16485" s="16" t="str">
        <f>IFERROR(__xludf.DUMMYFUNCTION("""COMPUTED_VALUE"""),"")</f>
        <v/>
      </c>
      <c r="X16485" s="16" t="str">
        <f>IFERROR(__xludf.DUMMYFUNCTION("""COMPUTED_VALUE"""),"")</f>
        <v/>
      </c>
      <c r="AC16485" s="16" t="str">
        <f>IFERROR(__xludf.DUMMYFUNCTION("""COMPUTED_VALUE"""),"")</f>
        <v/>
      </c>
    </row>
    <row r="16486">
      <c r="A16486" s="16" t="s">
        <v>87</v>
      </c>
      <c r="E16486" s="16" t="str">
        <f>IFERROR(__xludf.DUMMYFUNCTION("""COMPUTED_VALUE"""),"")</f>
        <v/>
      </c>
      <c r="G16486" s="18"/>
      <c r="H16486" s="16" t="s">
        <v>87</v>
      </c>
      <c r="I16486" s="16" t="s">
        <v>87</v>
      </c>
      <c r="J16486" s="19"/>
      <c r="L16486" s="16" t="str">
        <f>IFERROR(__xludf.DUMMYFUNCTION("""COMPUTED_VALUE"""),"")</f>
        <v/>
      </c>
      <c r="M16486" s="16" t="str">
        <f>IFERROR(__xludf.DUMMYFUNCTION("""COMPUTED_VALUE"""),"")</f>
        <v/>
      </c>
      <c r="U16486" s="16" t="s">
        <v>87</v>
      </c>
      <c r="V16486" s="16" t="str">
        <f>IFERROR(__xludf.DUMMYFUNCTION("""COMPUTED_VALUE"""),"")</f>
        <v/>
      </c>
      <c r="W16486" s="16" t="str">
        <f>IFERROR(__xludf.DUMMYFUNCTION("""COMPUTED_VALUE"""),"")</f>
        <v/>
      </c>
      <c r="X16486" s="16" t="str">
        <f>IFERROR(__xludf.DUMMYFUNCTION("""COMPUTED_VALUE"""),"")</f>
        <v/>
      </c>
      <c r="AC16486" s="16" t="str">
        <f>IFERROR(__xludf.DUMMYFUNCTION("""COMPUTED_VALUE"""),"")</f>
        <v/>
      </c>
    </row>
    <row r="16487">
      <c r="A16487" s="16" t="s">
        <v>87</v>
      </c>
      <c r="E16487" s="16" t="str">
        <f>IFERROR(__xludf.DUMMYFUNCTION("""COMPUTED_VALUE"""),"")</f>
        <v/>
      </c>
      <c r="G16487" s="18"/>
      <c r="H16487" s="16" t="s">
        <v>87</v>
      </c>
      <c r="I16487" s="16" t="s">
        <v>87</v>
      </c>
      <c r="J16487" s="19"/>
      <c r="L16487" s="16" t="str">
        <f>IFERROR(__xludf.DUMMYFUNCTION("""COMPUTED_VALUE"""),"")</f>
        <v/>
      </c>
      <c r="M16487" s="16" t="str">
        <f>IFERROR(__xludf.DUMMYFUNCTION("""COMPUTED_VALUE"""),"")</f>
        <v/>
      </c>
      <c r="U16487" s="16" t="s">
        <v>87</v>
      </c>
      <c r="V16487" s="16" t="str">
        <f>IFERROR(__xludf.DUMMYFUNCTION("""COMPUTED_VALUE"""),"")</f>
        <v/>
      </c>
      <c r="W16487" s="16" t="str">
        <f>IFERROR(__xludf.DUMMYFUNCTION("""COMPUTED_VALUE"""),"")</f>
        <v/>
      </c>
      <c r="X16487" s="16" t="str">
        <f>IFERROR(__xludf.DUMMYFUNCTION("""COMPUTED_VALUE"""),"")</f>
        <v/>
      </c>
      <c r="AC16487" s="16" t="str">
        <f>IFERROR(__xludf.DUMMYFUNCTION("""COMPUTED_VALUE"""),"")</f>
        <v/>
      </c>
    </row>
    <row r="16488">
      <c r="A16488" s="16" t="s">
        <v>87</v>
      </c>
      <c r="E16488" s="16" t="str">
        <f>IFERROR(__xludf.DUMMYFUNCTION("""COMPUTED_VALUE"""),"")</f>
        <v/>
      </c>
      <c r="G16488" s="18"/>
      <c r="H16488" s="16" t="s">
        <v>87</v>
      </c>
      <c r="I16488" s="16" t="s">
        <v>87</v>
      </c>
      <c r="J16488" s="19"/>
      <c r="L16488" s="16" t="str">
        <f>IFERROR(__xludf.DUMMYFUNCTION("""COMPUTED_VALUE"""),"")</f>
        <v/>
      </c>
      <c r="M16488" s="16" t="str">
        <f>IFERROR(__xludf.DUMMYFUNCTION("""COMPUTED_VALUE"""),"")</f>
        <v/>
      </c>
      <c r="U16488" s="16" t="s">
        <v>87</v>
      </c>
      <c r="V16488" s="16" t="str">
        <f>IFERROR(__xludf.DUMMYFUNCTION("""COMPUTED_VALUE"""),"")</f>
        <v/>
      </c>
      <c r="W16488" s="16" t="str">
        <f>IFERROR(__xludf.DUMMYFUNCTION("""COMPUTED_VALUE"""),"")</f>
        <v/>
      </c>
      <c r="X16488" s="16" t="str">
        <f>IFERROR(__xludf.DUMMYFUNCTION("""COMPUTED_VALUE"""),"")</f>
        <v/>
      </c>
      <c r="AC16488" s="16" t="str">
        <f>IFERROR(__xludf.DUMMYFUNCTION("""COMPUTED_VALUE"""),"")</f>
        <v/>
      </c>
    </row>
    <row r="16489">
      <c r="A16489" s="16" t="s">
        <v>87</v>
      </c>
      <c r="E16489" s="16" t="str">
        <f>IFERROR(__xludf.DUMMYFUNCTION("""COMPUTED_VALUE"""),"")</f>
        <v/>
      </c>
      <c r="G16489" s="18"/>
      <c r="H16489" s="16" t="s">
        <v>87</v>
      </c>
      <c r="I16489" s="16" t="s">
        <v>87</v>
      </c>
      <c r="J16489" s="19"/>
      <c r="L16489" s="16" t="str">
        <f>IFERROR(__xludf.DUMMYFUNCTION("""COMPUTED_VALUE"""),"")</f>
        <v/>
      </c>
      <c r="M16489" s="16" t="str">
        <f>IFERROR(__xludf.DUMMYFUNCTION("""COMPUTED_VALUE"""),"")</f>
        <v/>
      </c>
      <c r="U16489" s="16" t="s">
        <v>87</v>
      </c>
      <c r="V16489" s="16" t="str">
        <f>IFERROR(__xludf.DUMMYFUNCTION("""COMPUTED_VALUE"""),"")</f>
        <v/>
      </c>
      <c r="W16489" s="16" t="str">
        <f>IFERROR(__xludf.DUMMYFUNCTION("""COMPUTED_VALUE"""),"")</f>
        <v/>
      </c>
      <c r="X16489" s="16" t="str">
        <f>IFERROR(__xludf.DUMMYFUNCTION("""COMPUTED_VALUE"""),"")</f>
        <v/>
      </c>
      <c r="AC16489" s="16" t="str">
        <f>IFERROR(__xludf.DUMMYFUNCTION("""COMPUTED_VALUE"""),"")</f>
        <v/>
      </c>
    </row>
    <row r="16490">
      <c r="A16490" s="16" t="s">
        <v>87</v>
      </c>
      <c r="E16490" s="16" t="str">
        <f>IFERROR(__xludf.DUMMYFUNCTION("""COMPUTED_VALUE"""),"")</f>
        <v/>
      </c>
      <c r="G16490" s="18"/>
      <c r="H16490" s="16" t="s">
        <v>87</v>
      </c>
      <c r="I16490" s="16" t="s">
        <v>87</v>
      </c>
      <c r="J16490" s="19"/>
      <c r="L16490" s="16" t="str">
        <f>IFERROR(__xludf.DUMMYFUNCTION("""COMPUTED_VALUE"""),"")</f>
        <v/>
      </c>
      <c r="M16490" s="16" t="str">
        <f>IFERROR(__xludf.DUMMYFUNCTION("""COMPUTED_VALUE"""),"")</f>
        <v/>
      </c>
      <c r="U16490" s="16" t="s">
        <v>87</v>
      </c>
      <c r="V16490" s="16" t="str">
        <f>IFERROR(__xludf.DUMMYFUNCTION("""COMPUTED_VALUE"""),"")</f>
        <v/>
      </c>
      <c r="W16490" s="16" t="str">
        <f>IFERROR(__xludf.DUMMYFUNCTION("""COMPUTED_VALUE"""),"")</f>
        <v/>
      </c>
      <c r="X16490" s="16" t="str">
        <f>IFERROR(__xludf.DUMMYFUNCTION("""COMPUTED_VALUE"""),"")</f>
        <v/>
      </c>
      <c r="AC16490" s="16" t="str">
        <f>IFERROR(__xludf.DUMMYFUNCTION("""COMPUTED_VALUE"""),"")</f>
        <v/>
      </c>
    </row>
    <row r="16491">
      <c r="A16491" s="16" t="s">
        <v>87</v>
      </c>
      <c r="E16491" s="16" t="str">
        <f>IFERROR(__xludf.DUMMYFUNCTION("""COMPUTED_VALUE"""),"")</f>
        <v/>
      </c>
      <c r="G16491" s="18"/>
      <c r="H16491" s="16" t="s">
        <v>87</v>
      </c>
      <c r="I16491" s="16" t="s">
        <v>87</v>
      </c>
      <c r="J16491" s="19"/>
      <c r="L16491" s="16" t="str">
        <f>IFERROR(__xludf.DUMMYFUNCTION("""COMPUTED_VALUE"""),"")</f>
        <v/>
      </c>
      <c r="M16491" s="16" t="str">
        <f>IFERROR(__xludf.DUMMYFUNCTION("""COMPUTED_VALUE"""),"")</f>
        <v/>
      </c>
      <c r="U16491" s="16" t="s">
        <v>87</v>
      </c>
      <c r="V16491" s="16" t="str">
        <f>IFERROR(__xludf.DUMMYFUNCTION("""COMPUTED_VALUE"""),"")</f>
        <v/>
      </c>
      <c r="W16491" s="16" t="str">
        <f>IFERROR(__xludf.DUMMYFUNCTION("""COMPUTED_VALUE"""),"")</f>
        <v/>
      </c>
      <c r="X16491" s="16" t="str">
        <f>IFERROR(__xludf.DUMMYFUNCTION("""COMPUTED_VALUE"""),"")</f>
        <v/>
      </c>
      <c r="AC16491" s="16" t="str">
        <f>IFERROR(__xludf.DUMMYFUNCTION("""COMPUTED_VALUE"""),"")</f>
        <v/>
      </c>
    </row>
    <row r="16492">
      <c r="A16492" s="16" t="s">
        <v>87</v>
      </c>
      <c r="E16492" s="16" t="str">
        <f>IFERROR(__xludf.DUMMYFUNCTION("""COMPUTED_VALUE"""),"")</f>
        <v/>
      </c>
      <c r="G16492" s="18"/>
      <c r="H16492" s="16" t="s">
        <v>87</v>
      </c>
      <c r="I16492" s="16" t="s">
        <v>87</v>
      </c>
      <c r="J16492" s="19"/>
      <c r="L16492" s="16" t="str">
        <f>IFERROR(__xludf.DUMMYFUNCTION("""COMPUTED_VALUE"""),"")</f>
        <v/>
      </c>
      <c r="M16492" s="16" t="str">
        <f>IFERROR(__xludf.DUMMYFUNCTION("""COMPUTED_VALUE"""),"")</f>
        <v/>
      </c>
      <c r="U16492" s="16" t="s">
        <v>87</v>
      </c>
      <c r="V16492" s="16" t="str">
        <f>IFERROR(__xludf.DUMMYFUNCTION("""COMPUTED_VALUE"""),"")</f>
        <v/>
      </c>
      <c r="W16492" s="16" t="str">
        <f>IFERROR(__xludf.DUMMYFUNCTION("""COMPUTED_VALUE"""),"")</f>
        <v/>
      </c>
      <c r="X16492" s="16" t="str">
        <f>IFERROR(__xludf.DUMMYFUNCTION("""COMPUTED_VALUE"""),"")</f>
        <v/>
      </c>
      <c r="AC16492" s="16" t="str">
        <f>IFERROR(__xludf.DUMMYFUNCTION("""COMPUTED_VALUE"""),"")</f>
        <v/>
      </c>
    </row>
    <row r="16493">
      <c r="A16493" s="16" t="s">
        <v>87</v>
      </c>
      <c r="E16493" s="16" t="str">
        <f>IFERROR(__xludf.DUMMYFUNCTION("""COMPUTED_VALUE"""),"")</f>
        <v/>
      </c>
      <c r="G16493" s="18"/>
      <c r="H16493" s="16" t="s">
        <v>87</v>
      </c>
      <c r="I16493" s="16" t="s">
        <v>87</v>
      </c>
      <c r="J16493" s="19"/>
      <c r="L16493" s="16" t="str">
        <f>IFERROR(__xludf.DUMMYFUNCTION("""COMPUTED_VALUE"""),"")</f>
        <v/>
      </c>
      <c r="M16493" s="16" t="str">
        <f>IFERROR(__xludf.DUMMYFUNCTION("""COMPUTED_VALUE"""),"")</f>
        <v/>
      </c>
      <c r="U16493" s="16" t="s">
        <v>87</v>
      </c>
      <c r="V16493" s="16" t="str">
        <f>IFERROR(__xludf.DUMMYFUNCTION("""COMPUTED_VALUE"""),"")</f>
        <v/>
      </c>
      <c r="W16493" s="16" t="str">
        <f>IFERROR(__xludf.DUMMYFUNCTION("""COMPUTED_VALUE"""),"")</f>
        <v/>
      </c>
      <c r="X16493" s="16" t="str">
        <f>IFERROR(__xludf.DUMMYFUNCTION("""COMPUTED_VALUE"""),"")</f>
        <v/>
      </c>
      <c r="AC16493" s="16" t="str">
        <f>IFERROR(__xludf.DUMMYFUNCTION("""COMPUTED_VALUE"""),"")</f>
        <v/>
      </c>
    </row>
    <row r="16494">
      <c r="A16494" s="16" t="s">
        <v>87</v>
      </c>
      <c r="E16494" s="16" t="str">
        <f>IFERROR(__xludf.DUMMYFUNCTION("""COMPUTED_VALUE"""),"")</f>
        <v/>
      </c>
      <c r="G16494" s="18"/>
      <c r="H16494" s="16" t="s">
        <v>87</v>
      </c>
      <c r="I16494" s="16" t="s">
        <v>87</v>
      </c>
      <c r="J16494" s="19"/>
      <c r="L16494" s="16" t="str">
        <f>IFERROR(__xludf.DUMMYFUNCTION("""COMPUTED_VALUE"""),"")</f>
        <v/>
      </c>
      <c r="M16494" s="16" t="str">
        <f>IFERROR(__xludf.DUMMYFUNCTION("""COMPUTED_VALUE"""),"")</f>
        <v/>
      </c>
      <c r="U16494" s="16" t="s">
        <v>87</v>
      </c>
      <c r="V16494" s="16" t="str">
        <f>IFERROR(__xludf.DUMMYFUNCTION("""COMPUTED_VALUE"""),"")</f>
        <v/>
      </c>
      <c r="W16494" s="16" t="str">
        <f>IFERROR(__xludf.DUMMYFUNCTION("""COMPUTED_VALUE"""),"")</f>
        <v/>
      </c>
      <c r="X16494" s="16" t="str">
        <f>IFERROR(__xludf.DUMMYFUNCTION("""COMPUTED_VALUE"""),"")</f>
        <v/>
      </c>
      <c r="AC16494" s="16" t="str">
        <f>IFERROR(__xludf.DUMMYFUNCTION("""COMPUTED_VALUE"""),"")</f>
        <v/>
      </c>
    </row>
    <row r="16495">
      <c r="A16495" s="16" t="s">
        <v>87</v>
      </c>
      <c r="E16495" s="16" t="str">
        <f>IFERROR(__xludf.DUMMYFUNCTION("""COMPUTED_VALUE"""),"")</f>
        <v/>
      </c>
      <c r="G16495" s="18"/>
      <c r="H16495" s="16" t="s">
        <v>87</v>
      </c>
      <c r="I16495" s="16" t="s">
        <v>87</v>
      </c>
      <c r="J16495" s="19"/>
      <c r="L16495" s="16" t="str">
        <f>IFERROR(__xludf.DUMMYFUNCTION("""COMPUTED_VALUE"""),"")</f>
        <v/>
      </c>
      <c r="M16495" s="16" t="str">
        <f>IFERROR(__xludf.DUMMYFUNCTION("""COMPUTED_VALUE"""),"")</f>
        <v/>
      </c>
      <c r="U16495" s="16" t="s">
        <v>87</v>
      </c>
      <c r="V16495" s="16" t="str">
        <f>IFERROR(__xludf.DUMMYFUNCTION("""COMPUTED_VALUE"""),"")</f>
        <v/>
      </c>
      <c r="W16495" s="16" t="str">
        <f>IFERROR(__xludf.DUMMYFUNCTION("""COMPUTED_VALUE"""),"")</f>
        <v/>
      </c>
      <c r="X16495" s="16" t="str">
        <f>IFERROR(__xludf.DUMMYFUNCTION("""COMPUTED_VALUE"""),"")</f>
        <v/>
      </c>
      <c r="AC16495" s="16" t="str">
        <f>IFERROR(__xludf.DUMMYFUNCTION("""COMPUTED_VALUE"""),"")</f>
        <v/>
      </c>
    </row>
    <row r="16496">
      <c r="A16496" s="16" t="s">
        <v>87</v>
      </c>
      <c r="E16496" s="16" t="str">
        <f>IFERROR(__xludf.DUMMYFUNCTION("""COMPUTED_VALUE"""),"")</f>
        <v/>
      </c>
      <c r="G16496" s="18"/>
      <c r="H16496" s="16" t="s">
        <v>87</v>
      </c>
      <c r="I16496" s="16" t="s">
        <v>87</v>
      </c>
      <c r="J16496" s="19"/>
      <c r="L16496" s="16" t="str">
        <f>IFERROR(__xludf.DUMMYFUNCTION("""COMPUTED_VALUE"""),"")</f>
        <v/>
      </c>
      <c r="M16496" s="16" t="str">
        <f>IFERROR(__xludf.DUMMYFUNCTION("""COMPUTED_VALUE"""),"")</f>
        <v/>
      </c>
      <c r="U16496" s="16" t="s">
        <v>87</v>
      </c>
      <c r="V16496" s="16" t="str">
        <f>IFERROR(__xludf.DUMMYFUNCTION("""COMPUTED_VALUE"""),"")</f>
        <v/>
      </c>
      <c r="W16496" s="16" t="str">
        <f>IFERROR(__xludf.DUMMYFUNCTION("""COMPUTED_VALUE"""),"")</f>
        <v/>
      </c>
      <c r="X16496" s="16" t="str">
        <f>IFERROR(__xludf.DUMMYFUNCTION("""COMPUTED_VALUE"""),"")</f>
        <v/>
      </c>
      <c r="AC16496" s="16" t="str">
        <f>IFERROR(__xludf.DUMMYFUNCTION("""COMPUTED_VALUE"""),"")</f>
        <v/>
      </c>
    </row>
    <row r="16497">
      <c r="A16497" s="16" t="s">
        <v>87</v>
      </c>
      <c r="E16497" s="16" t="str">
        <f>IFERROR(__xludf.DUMMYFUNCTION("""COMPUTED_VALUE"""),"")</f>
        <v/>
      </c>
      <c r="G16497" s="18"/>
      <c r="H16497" s="16" t="s">
        <v>87</v>
      </c>
      <c r="I16497" s="16" t="s">
        <v>87</v>
      </c>
      <c r="J16497" s="19"/>
      <c r="L16497" s="16" t="str">
        <f>IFERROR(__xludf.DUMMYFUNCTION("""COMPUTED_VALUE"""),"")</f>
        <v/>
      </c>
      <c r="M16497" s="16" t="str">
        <f>IFERROR(__xludf.DUMMYFUNCTION("""COMPUTED_VALUE"""),"")</f>
        <v/>
      </c>
      <c r="U16497" s="16" t="s">
        <v>87</v>
      </c>
      <c r="V16497" s="16" t="str">
        <f>IFERROR(__xludf.DUMMYFUNCTION("""COMPUTED_VALUE"""),"")</f>
        <v/>
      </c>
      <c r="W16497" s="16" t="str">
        <f>IFERROR(__xludf.DUMMYFUNCTION("""COMPUTED_VALUE"""),"")</f>
        <v/>
      </c>
      <c r="X16497" s="16" t="str">
        <f>IFERROR(__xludf.DUMMYFUNCTION("""COMPUTED_VALUE"""),"")</f>
        <v/>
      </c>
      <c r="AC16497" s="16" t="str">
        <f>IFERROR(__xludf.DUMMYFUNCTION("""COMPUTED_VALUE"""),"")</f>
        <v/>
      </c>
    </row>
    <row r="16498">
      <c r="A16498" s="16" t="s">
        <v>87</v>
      </c>
      <c r="E16498" s="16" t="str">
        <f>IFERROR(__xludf.DUMMYFUNCTION("""COMPUTED_VALUE"""),"")</f>
        <v/>
      </c>
      <c r="G16498" s="18"/>
      <c r="H16498" s="16" t="s">
        <v>87</v>
      </c>
      <c r="I16498" s="16" t="s">
        <v>87</v>
      </c>
      <c r="J16498" s="19"/>
      <c r="L16498" s="16" t="str">
        <f>IFERROR(__xludf.DUMMYFUNCTION("""COMPUTED_VALUE"""),"")</f>
        <v/>
      </c>
      <c r="M16498" s="16" t="str">
        <f>IFERROR(__xludf.DUMMYFUNCTION("""COMPUTED_VALUE"""),"")</f>
        <v/>
      </c>
      <c r="U16498" s="16" t="s">
        <v>87</v>
      </c>
      <c r="V16498" s="16" t="str">
        <f>IFERROR(__xludf.DUMMYFUNCTION("""COMPUTED_VALUE"""),"")</f>
        <v/>
      </c>
      <c r="W16498" s="16" t="str">
        <f>IFERROR(__xludf.DUMMYFUNCTION("""COMPUTED_VALUE"""),"")</f>
        <v/>
      </c>
      <c r="X16498" s="16" t="str">
        <f>IFERROR(__xludf.DUMMYFUNCTION("""COMPUTED_VALUE"""),"")</f>
        <v/>
      </c>
      <c r="AC16498" s="16" t="str">
        <f>IFERROR(__xludf.DUMMYFUNCTION("""COMPUTED_VALUE"""),"")</f>
        <v/>
      </c>
    </row>
    <row r="16499">
      <c r="A16499" s="16" t="s">
        <v>87</v>
      </c>
      <c r="E16499" s="16" t="str">
        <f>IFERROR(__xludf.DUMMYFUNCTION("""COMPUTED_VALUE"""),"")</f>
        <v/>
      </c>
      <c r="G16499" s="18"/>
      <c r="H16499" s="16" t="s">
        <v>87</v>
      </c>
      <c r="I16499" s="16" t="s">
        <v>87</v>
      </c>
      <c r="J16499" s="19"/>
      <c r="L16499" s="16" t="str">
        <f>IFERROR(__xludf.DUMMYFUNCTION("""COMPUTED_VALUE"""),"")</f>
        <v/>
      </c>
      <c r="M16499" s="16" t="str">
        <f>IFERROR(__xludf.DUMMYFUNCTION("""COMPUTED_VALUE"""),"")</f>
        <v/>
      </c>
      <c r="U16499" s="16" t="s">
        <v>87</v>
      </c>
      <c r="V16499" s="16" t="str">
        <f>IFERROR(__xludf.DUMMYFUNCTION("""COMPUTED_VALUE"""),"")</f>
        <v/>
      </c>
      <c r="W16499" s="16" t="str">
        <f>IFERROR(__xludf.DUMMYFUNCTION("""COMPUTED_VALUE"""),"")</f>
        <v/>
      </c>
      <c r="X16499" s="16" t="str">
        <f>IFERROR(__xludf.DUMMYFUNCTION("""COMPUTED_VALUE"""),"")</f>
        <v/>
      </c>
      <c r="AC16499" s="16" t="str">
        <f>IFERROR(__xludf.DUMMYFUNCTION("""COMPUTED_VALUE"""),"")</f>
        <v/>
      </c>
    </row>
    <row r="16500">
      <c r="A16500" s="16" t="s">
        <v>87</v>
      </c>
      <c r="E16500" s="16" t="str">
        <f>IFERROR(__xludf.DUMMYFUNCTION("""COMPUTED_VALUE"""),"")</f>
        <v/>
      </c>
      <c r="G16500" s="18"/>
      <c r="H16500" s="16" t="s">
        <v>87</v>
      </c>
      <c r="I16500" s="16" t="s">
        <v>87</v>
      </c>
      <c r="J16500" s="19"/>
      <c r="L16500" s="16" t="str">
        <f>IFERROR(__xludf.DUMMYFUNCTION("""COMPUTED_VALUE"""),"")</f>
        <v/>
      </c>
      <c r="M16500" s="16" t="str">
        <f>IFERROR(__xludf.DUMMYFUNCTION("""COMPUTED_VALUE"""),"")</f>
        <v/>
      </c>
      <c r="U16500" s="16" t="s">
        <v>87</v>
      </c>
      <c r="V16500" s="16" t="str">
        <f>IFERROR(__xludf.DUMMYFUNCTION("""COMPUTED_VALUE"""),"")</f>
        <v/>
      </c>
      <c r="W16500" s="16" t="str">
        <f>IFERROR(__xludf.DUMMYFUNCTION("""COMPUTED_VALUE"""),"")</f>
        <v/>
      </c>
      <c r="X16500" s="16" t="str">
        <f>IFERROR(__xludf.DUMMYFUNCTION("""COMPUTED_VALUE"""),"")</f>
        <v/>
      </c>
      <c r="AC16500" s="16" t="str">
        <f>IFERROR(__xludf.DUMMYFUNCTION("""COMPUTED_VALUE"""),"")</f>
        <v/>
      </c>
    </row>
    <row r="16501">
      <c r="A16501" s="16" t="s">
        <v>87</v>
      </c>
      <c r="E16501" s="16" t="str">
        <f>IFERROR(__xludf.DUMMYFUNCTION("""COMPUTED_VALUE"""),"")</f>
        <v/>
      </c>
      <c r="G16501" s="18"/>
      <c r="H16501" s="16" t="s">
        <v>87</v>
      </c>
      <c r="I16501" s="16" t="s">
        <v>87</v>
      </c>
      <c r="J16501" s="19"/>
      <c r="L16501" s="16" t="str">
        <f>IFERROR(__xludf.DUMMYFUNCTION("""COMPUTED_VALUE"""),"")</f>
        <v/>
      </c>
      <c r="M16501" s="16" t="str">
        <f>IFERROR(__xludf.DUMMYFUNCTION("""COMPUTED_VALUE"""),"")</f>
        <v/>
      </c>
      <c r="U16501" s="16" t="s">
        <v>87</v>
      </c>
      <c r="V16501" s="16" t="str">
        <f>IFERROR(__xludf.DUMMYFUNCTION("""COMPUTED_VALUE"""),"")</f>
        <v/>
      </c>
      <c r="W16501" s="16" t="str">
        <f>IFERROR(__xludf.DUMMYFUNCTION("""COMPUTED_VALUE"""),"")</f>
        <v/>
      </c>
      <c r="X16501" s="16" t="str">
        <f>IFERROR(__xludf.DUMMYFUNCTION("""COMPUTED_VALUE"""),"")</f>
        <v/>
      </c>
      <c r="AC16501" s="16" t="str">
        <f>IFERROR(__xludf.DUMMYFUNCTION("""COMPUTED_VALUE"""),"")</f>
        <v/>
      </c>
    </row>
    <row r="16502">
      <c r="A16502" s="16" t="s">
        <v>87</v>
      </c>
      <c r="E16502" s="16" t="str">
        <f>IFERROR(__xludf.DUMMYFUNCTION("""COMPUTED_VALUE"""),"")</f>
        <v/>
      </c>
      <c r="G16502" s="18"/>
      <c r="H16502" s="16" t="s">
        <v>87</v>
      </c>
      <c r="I16502" s="16" t="s">
        <v>87</v>
      </c>
      <c r="J16502" s="19"/>
      <c r="L16502" s="16" t="str">
        <f>IFERROR(__xludf.DUMMYFUNCTION("""COMPUTED_VALUE"""),"")</f>
        <v/>
      </c>
      <c r="M16502" s="16" t="str">
        <f>IFERROR(__xludf.DUMMYFUNCTION("""COMPUTED_VALUE"""),"")</f>
        <v/>
      </c>
      <c r="U16502" s="16" t="s">
        <v>87</v>
      </c>
      <c r="V16502" s="16" t="str">
        <f>IFERROR(__xludf.DUMMYFUNCTION("""COMPUTED_VALUE"""),"")</f>
        <v/>
      </c>
      <c r="W16502" s="16" t="str">
        <f>IFERROR(__xludf.DUMMYFUNCTION("""COMPUTED_VALUE"""),"")</f>
        <v/>
      </c>
      <c r="X16502" s="16" t="str">
        <f>IFERROR(__xludf.DUMMYFUNCTION("""COMPUTED_VALUE"""),"")</f>
        <v/>
      </c>
      <c r="AC16502" s="16" t="str">
        <f>IFERROR(__xludf.DUMMYFUNCTION("""COMPUTED_VALUE"""),"")</f>
        <v/>
      </c>
    </row>
    <row r="16503">
      <c r="A16503" s="16" t="s">
        <v>87</v>
      </c>
      <c r="E16503" s="16" t="str">
        <f>IFERROR(__xludf.DUMMYFUNCTION("""COMPUTED_VALUE"""),"")</f>
        <v/>
      </c>
      <c r="G16503" s="18"/>
      <c r="H16503" s="16" t="s">
        <v>87</v>
      </c>
      <c r="I16503" s="16" t="s">
        <v>87</v>
      </c>
      <c r="J16503" s="19"/>
      <c r="L16503" s="16" t="str">
        <f>IFERROR(__xludf.DUMMYFUNCTION("""COMPUTED_VALUE"""),"")</f>
        <v/>
      </c>
      <c r="M16503" s="16" t="str">
        <f>IFERROR(__xludf.DUMMYFUNCTION("""COMPUTED_VALUE"""),"")</f>
        <v/>
      </c>
      <c r="U16503" s="16" t="s">
        <v>87</v>
      </c>
      <c r="V16503" s="16" t="str">
        <f>IFERROR(__xludf.DUMMYFUNCTION("""COMPUTED_VALUE"""),"")</f>
        <v/>
      </c>
      <c r="W16503" s="16" t="str">
        <f>IFERROR(__xludf.DUMMYFUNCTION("""COMPUTED_VALUE"""),"")</f>
        <v/>
      </c>
      <c r="X16503" s="16" t="str">
        <f>IFERROR(__xludf.DUMMYFUNCTION("""COMPUTED_VALUE"""),"")</f>
        <v/>
      </c>
      <c r="AC16503" s="16" t="str">
        <f>IFERROR(__xludf.DUMMYFUNCTION("""COMPUTED_VALUE"""),"")</f>
        <v/>
      </c>
    </row>
    <row r="16504">
      <c r="A16504" s="16" t="s">
        <v>87</v>
      </c>
      <c r="E16504" s="16" t="str">
        <f>IFERROR(__xludf.DUMMYFUNCTION("""COMPUTED_VALUE"""),"")</f>
        <v/>
      </c>
      <c r="G16504" s="18"/>
      <c r="H16504" s="16" t="s">
        <v>87</v>
      </c>
      <c r="I16504" s="16" t="s">
        <v>87</v>
      </c>
      <c r="J16504" s="19"/>
      <c r="L16504" s="16" t="str">
        <f>IFERROR(__xludf.DUMMYFUNCTION("""COMPUTED_VALUE"""),"")</f>
        <v/>
      </c>
      <c r="M16504" s="16" t="str">
        <f>IFERROR(__xludf.DUMMYFUNCTION("""COMPUTED_VALUE"""),"")</f>
        <v/>
      </c>
      <c r="U16504" s="16" t="s">
        <v>87</v>
      </c>
      <c r="V16504" s="16" t="str">
        <f>IFERROR(__xludf.DUMMYFUNCTION("""COMPUTED_VALUE"""),"")</f>
        <v/>
      </c>
      <c r="W16504" s="16" t="str">
        <f>IFERROR(__xludf.DUMMYFUNCTION("""COMPUTED_VALUE"""),"")</f>
        <v/>
      </c>
      <c r="X16504" s="16" t="str">
        <f>IFERROR(__xludf.DUMMYFUNCTION("""COMPUTED_VALUE"""),"")</f>
        <v/>
      </c>
      <c r="AC16504" s="16" t="str">
        <f>IFERROR(__xludf.DUMMYFUNCTION("""COMPUTED_VALUE"""),"")</f>
        <v/>
      </c>
    </row>
    <row r="16505">
      <c r="A16505" s="16" t="s">
        <v>87</v>
      </c>
      <c r="E16505" s="16" t="str">
        <f>IFERROR(__xludf.DUMMYFUNCTION("""COMPUTED_VALUE"""),"")</f>
        <v/>
      </c>
      <c r="G16505" s="18"/>
      <c r="H16505" s="16" t="s">
        <v>87</v>
      </c>
      <c r="I16505" s="16" t="s">
        <v>87</v>
      </c>
      <c r="J16505" s="19"/>
      <c r="L16505" s="16" t="str">
        <f>IFERROR(__xludf.DUMMYFUNCTION("""COMPUTED_VALUE"""),"")</f>
        <v/>
      </c>
      <c r="M16505" s="16" t="str">
        <f>IFERROR(__xludf.DUMMYFUNCTION("""COMPUTED_VALUE"""),"")</f>
        <v/>
      </c>
      <c r="U16505" s="16" t="s">
        <v>87</v>
      </c>
      <c r="V16505" s="16" t="str">
        <f>IFERROR(__xludf.DUMMYFUNCTION("""COMPUTED_VALUE"""),"")</f>
        <v/>
      </c>
      <c r="W16505" s="16" t="str">
        <f>IFERROR(__xludf.DUMMYFUNCTION("""COMPUTED_VALUE"""),"")</f>
        <v/>
      </c>
      <c r="X16505" s="16" t="str">
        <f>IFERROR(__xludf.DUMMYFUNCTION("""COMPUTED_VALUE"""),"")</f>
        <v/>
      </c>
      <c r="AC16505" s="16" t="str">
        <f>IFERROR(__xludf.DUMMYFUNCTION("""COMPUTED_VALUE"""),"")</f>
        <v/>
      </c>
    </row>
    <row r="16506">
      <c r="A16506" s="16" t="s">
        <v>87</v>
      </c>
      <c r="E16506" s="16" t="str">
        <f>IFERROR(__xludf.DUMMYFUNCTION("""COMPUTED_VALUE"""),"")</f>
        <v/>
      </c>
      <c r="G16506" s="18"/>
      <c r="H16506" s="16" t="s">
        <v>87</v>
      </c>
      <c r="I16506" s="16" t="s">
        <v>87</v>
      </c>
      <c r="J16506" s="19"/>
      <c r="L16506" s="16" t="str">
        <f>IFERROR(__xludf.DUMMYFUNCTION("""COMPUTED_VALUE"""),"")</f>
        <v/>
      </c>
      <c r="M16506" s="16" t="str">
        <f>IFERROR(__xludf.DUMMYFUNCTION("""COMPUTED_VALUE"""),"")</f>
        <v/>
      </c>
      <c r="U16506" s="16" t="s">
        <v>87</v>
      </c>
      <c r="V16506" s="16" t="str">
        <f>IFERROR(__xludf.DUMMYFUNCTION("""COMPUTED_VALUE"""),"")</f>
        <v/>
      </c>
      <c r="W16506" s="16" t="str">
        <f>IFERROR(__xludf.DUMMYFUNCTION("""COMPUTED_VALUE"""),"")</f>
        <v/>
      </c>
      <c r="X16506" s="16" t="str">
        <f>IFERROR(__xludf.DUMMYFUNCTION("""COMPUTED_VALUE"""),"")</f>
        <v/>
      </c>
      <c r="AC16506" s="16" t="str">
        <f>IFERROR(__xludf.DUMMYFUNCTION("""COMPUTED_VALUE"""),"")</f>
        <v/>
      </c>
    </row>
    <row r="16507">
      <c r="A16507" s="16" t="s">
        <v>87</v>
      </c>
      <c r="E16507" s="16" t="str">
        <f>IFERROR(__xludf.DUMMYFUNCTION("""COMPUTED_VALUE"""),"")</f>
        <v/>
      </c>
      <c r="G16507" s="18"/>
      <c r="H16507" s="16" t="s">
        <v>87</v>
      </c>
      <c r="I16507" s="16" t="s">
        <v>87</v>
      </c>
      <c r="J16507" s="19"/>
      <c r="L16507" s="16" t="str">
        <f>IFERROR(__xludf.DUMMYFUNCTION("""COMPUTED_VALUE"""),"")</f>
        <v/>
      </c>
      <c r="M16507" s="16" t="str">
        <f>IFERROR(__xludf.DUMMYFUNCTION("""COMPUTED_VALUE"""),"")</f>
        <v/>
      </c>
      <c r="U16507" s="16" t="s">
        <v>87</v>
      </c>
      <c r="V16507" s="16" t="str">
        <f>IFERROR(__xludf.DUMMYFUNCTION("""COMPUTED_VALUE"""),"")</f>
        <v/>
      </c>
      <c r="W16507" s="16" t="str">
        <f>IFERROR(__xludf.DUMMYFUNCTION("""COMPUTED_VALUE"""),"")</f>
        <v/>
      </c>
      <c r="X16507" s="16" t="str">
        <f>IFERROR(__xludf.DUMMYFUNCTION("""COMPUTED_VALUE"""),"")</f>
        <v/>
      </c>
      <c r="AC16507" s="16" t="str">
        <f>IFERROR(__xludf.DUMMYFUNCTION("""COMPUTED_VALUE"""),"")</f>
        <v/>
      </c>
    </row>
    <row r="16508">
      <c r="A16508" s="16" t="s">
        <v>87</v>
      </c>
      <c r="E16508" s="16" t="str">
        <f>IFERROR(__xludf.DUMMYFUNCTION("""COMPUTED_VALUE"""),"")</f>
        <v/>
      </c>
      <c r="G16508" s="18"/>
      <c r="H16508" s="16" t="s">
        <v>87</v>
      </c>
      <c r="I16508" s="16" t="s">
        <v>87</v>
      </c>
      <c r="J16508" s="19"/>
      <c r="L16508" s="16" t="str">
        <f>IFERROR(__xludf.DUMMYFUNCTION("""COMPUTED_VALUE"""),"")</f>
        <v/>
      </c>
      <c r="M16508" s="16" t="str">
        <f>IFERROR(__xludf.DUMMYFUNCTION("""COMPUTED_VALUE"""),"")</f>
        <v/>
      </c>
      <c r="U16508" s="16" t="s">
        <v>87</v>
      </c>
      <c r="V16508" s="16" t="str">
        <f>IFERROR(__xludf.DUMMYFUNCTION("""COMPUTED_VALUE"""),"")</f>
        <v/>
      </c>
      <c r="W16508" s="16" t="str">
        <f>IFERROR(__xludf.DUMMYFUNCTION("""COMPUTED_VALUE"""),"")</f>
        <v/>
      </c>
      <c r="X16508" s="16" t="str">
        <f>IFERROR(__xludf.DUMMYFUNCTION("""COMPUTED_VALUE"""),"")</f>
        <v/>
      </c>
      <c r="AC16508" s="16" t="str">
        <f>IFERROR(__xludf.DUMMYFUNCTION("""COMPUTED_VALUE"""),"")</f>
        <v/>
      </c>
    </row>
    <row r="16509">
      <c r="A16509" s="16" t="s">
        <v>87</v>
      </c>
      <c r="E16509" s="16" t="str">
        <f>IFERROR(__xludf.DUMMYFUNCTION("""COMPUTED_VALUE"""),"")</f>
        <v/>
      </c>
      <c r="G16509" s="18"/>
      <c r="H16509" s="16" t="s">
        <v>87</v>
      </c>
      <c r="I16509" s="16" t="s">
        <v>87</v>
      </c>
      <c r="J16509" s="19"/>
      <c r="L16509" s="16" t="str">
        <f>IFERROR(__xludf.DUMMYFUNCTION("""COMPUTED_VALUE"""),"")</f>
        <v/>
      </c>
      <c r="M16509" s="16" t="str">
        <f>IFERROR(__xludf.DUMMYFUNCTION("""COMPUTED_VALUE"""),"")</f>
        <v/>
      </c>
      <c r="U16509" s="16" t="s">
        <v>87</v>
      </c>
      <c r="V16509" s="16" t="str">
        <f>IFERROR(__xludf.DUMMYFUNCTION("""COMPUTED_VALUE"""),"")</f>
        <v/>
      </c>
      <c r="W16509" s="16" t="str">
        <f>IFERROR(__xludf.DUMMYFUNCTION("""COMPUTED_VALUE"""),"")</f>
        <v/>
      </c>
      <c r="X16509" s="16" t="str">
        <f>IFERROR(__xludf.DUMMYFUNCTION("""COMPUTED_VALUE"""),"")</f>
        <v/>
      </c>
      <c r="AC16509" s="16" t="str">
        <f>IFERROR(__xludf.DUMMYFUNCTION("""COMPUTED_VALUE"""),"")</f>
        <v/>
      </c>
    </row>
    <row r="16510">
      <c r="A16510" s="16" t="s">
        <v>87</v>
      </c>
      <c r="E16510" s="16" t="str">
        <f>IFERROR(__xludf.DUMMYFUNCTION("""COMPUTED_VALUE"""),"")</f>
        <v/>
      </c>
      <c r="G16510" s="18"/>
      <c r="H16510" s="16" t="s">
        <v>87</v>
      </c>
      <c r="I16510" s="16" t="s">
        <v>87</v>
      </c>
      <c r="J16510" s="19"/>
      <c r="L16510" s="16" t="str">
        <f>IFERROR(__xludf.DUMMYFUNCTION("""COMPUTED_VALUE"""),"")</f>
        <v/>
      </c>
      <c r="M16510" s="16" t="str">
        <f>IFERROR(__xludf.DUMMYFUNCTION("""COMPUTED_VALUE"""),"")</f>
        <v/>
      </c>
      <c r="U16510" s="16" t="s">
        <v>87</v>
      </c>
      <c r="V16510" s="16" t="str">
        <f>IFERROR(__xludf.DUMMYFUNCTION("""COMPUTED_VALUE"""),"")</f>
        <v/>
      </c>
      <c r="W16510" s="16" t="str">
        <f>IFERROR(__xludf.DUMMYFUNCTION("""COMPUTED_VALUE"""),"")</f>
        <v/>
      </c>
      <c r="X16510" s="16" t="str">
        <f>IFERROR(__xludf.DUMMYFUNCTION("""COMPUTED_VALUE"""),"")</f>
        <v/>
      </c>
      <c r="AC16510" s="16" t="str">
        <f>IFERROR(__xludf.DUMMYFUNCTION("""COMPUTED_VALUE"""),"")</f>
        <v/>
      </c>
    </row>
    <row r="16511">
      <c r="A16511" s="16" t="s">
        <v>87</v>
      </c>
      <c r="E16511" s="16" t="str">
        <f>IFERROR(__xludf.DUMMYFUNCTION("""COMPUTED_VALUE"""),"")</f>
        <v/>
      </c>
      <c r="G16511" s="18"/>
      <c r="H16511" s="16" t="s">
        <v>87</v>
      </c>
      <c r="I16511" s="16" t="s">
        <v>87</v>
      </c>
      <c r="J16511" s="19"/>
      <c r="L16511" s="16" t="str">
        <f>IFERROR(__xludf.DUMMYFUNCTION("""COMPUTED_VALUE"""),"")</f>
        <v/>
      </c>
      <c r="M16511" s="16" t="str">
        <f>IFERROR(__xludf.DUMMYFUNCTION("""COMPUTED_VALUE"""),"")</f>
        <v/>
      </c>
      <c r="U16511" s="16" t="s">
        <v>87</v>
      </c>
      <c r="V16511" s="16" t="str">
        <f>IFERROR(__xludf.DUMMYFUNCTION("""COMPUTED_VALUE"""),"")</f>
        <v/>
      </c>
      <c r="W16511" s="16" t="str">
        <f>IFERROR(__xludf.DUMMYFUNCTION("""COMPUTED_VALUE"""),"")</f>
        <v/>
      </c>
      <c r="X16511" s="16" t="str">
        <f>IFERROR(__xludf.DUMMYFUNCTION("""COMPUTED_VALUE"""),"")</f>
        <v/>
      </c>
      <c r="AC16511" s="16" t="str">
        <f>IFERROR(__xludf.DUMMYFUNCTION("""COMPUTED_VALUE"""),"")</f>
        <v/>
      </c>
    </row>
    <row r="16512">
      <c r="A16512" s="16" t="s">
        <v>87</v>
      </c>
      <c r="E16512" s="16" t="str">
        <f>IFERROR(__xludf.DUMMYFUNCTION("""COMPUTED_VALUE"""),"")</f>
        <v/>
      </c>
      <c r="G16512" s="18"/>
      <c r="H16512" s="16" t="s">
        <v>87</v>
      </c>
      <c r="I16512" s="16" t="s">
        <v>87</v>
      </c>
      <c r="J16512" s="19"/>
      <c r="L16512" s="16" t="str">
        <f>IFERROR(__xludf.DUMMYFUNCTION("""COMPUTED_VALUE"""),"")</f>
        <v/>
      </c>
      <c r="M16512" s="16" t="str">
        <f>IFERROR(__xludf.DUMMYFUNCTION("""COMPUTED_VALUE"""),"")</f>
        <v/>
      </c>
      <c r="U16512" s="16" t="s">
        <v>87</v>
      </c>
      <c r="V16512" s="16" t="str">
        <f>IFERROR(__xludf.DUMMYFUNCTION("""COMPUTED_VALUE"""),"")</f>
        <v/>
      </c>
      <c r="W16512" s="16" t="str">
        <f>IFERROR(__xludf.DUMMYFUNCTION("""COMPUTED_VALUE"""),"")</f>
        <v/>
      </c>
      <c r="X16512" s="16" t="str">
        <f>IFERROR(__xludf.DUMMYFUNCTION("""COMPUTED_VALUE"""),"")</f>
        <v/>
      </c>
      <c r="AC16512" s="16" t="str">
        <f>IFERROR(__xludf.DUMMYFUNCTION("""COMPUTED_VALUE"""),"")</f>
        <v/>
      </c>
    </row>
    <row r="16513">
      <c r="A16513" s="16" t="s">
        <v>87</v>
      </c>
      <c r="E16513" s="16" t="str">
        <f>IFERROR(__xludf.DUMMYFUNCTION("""COMPUTED_VALUE"""),"")</f>
        <v/>
      </c>
      <c r="G16513" s="18"/>
      <c r="H16513" s="16" t="s">
        <v>87</v>
      </c>
      <c r="I16513" s="16" t="s">
        <v>87</v>
      </c>
      <c r="J16513" s="19"/>
      <c r="L16513" s="16" t="str">
        <f>IFERROR(__xludf.DUMMYFUNCTION("""COMPUTED_VALUE"""),"")</f>
        <v/>
      </c>
      <c r="M16513" s="16" t="str">
        <f>IFERROR(__xludf.DUMMYFUNCTION("""COMPUTED_VALUE"""),"")</f>
        <v/>
      </c>
      <c r="U16513" s="16" t="s">
        <v>87</v>
      </c>
      <c r="V16513" s="16" t="str">
        <f>IFERROR(__xludf.DUMMYFUNCTION("""COMPUTED_VALUE"""),"")</f>
        <v/>
      </c>
      <c r="W16513" s="16" t="str">
        <f>IFERROR(__xludf.DUMMYFUNCTION("""COMPUTED_VALUE"""),"")</f>
        <v/>
      </c>
      <c r="X16513" s="16" t="str">
        <f>IFERROR(__xludf.DUMMYFUNCTION("""COMPUTED_VALUE"""),"")</f>
        <v/>
      </c>
      <c r="AC16513" s="16" t="str">
        <f>IFERROR(__xludf.DUMMYFUNCTION("""COMPUTED_VALUE"""),"")</f>
        <v/>
      </c>
    </row>
    <row r="16514">
      <c r="A16514" s="16" t="s">
        <v>87</v>
      </c>
      <c r="E16514" s="16" t="str">
        <f>IFERROR(__xludf.DUMMYFUNCTION("""COMPUTED_VALUE"""),"")</f>
        <v/>
      </c>
      <c r="G16514" s="18"/>
      <c r="H16514" s="16" t="s">
        <v>87</v>
      </c>
      <c r="I16514" s="16" t="s">
        <v>87</v>
      </c>
      <c r="J16514" s="19"/>
      <c r="L16514" s="16" t="str">
        <f>IFERROR(__xludf.DUMMYFUNCTION("""COMPUTED_VALUE"""),"")</f>
        <v/>
      </c>
      <c r="M16514" s="16" t="str">
        <f>IFERROR(__xludf.DUMMYFUNCTION("""COMPUTED_VALUE"""),"")</f>
        <v/>
      </c>
      <c r="U16514" s="16" t="s">
        <v>87</v>
      </c>
      <c r="V16514" s="16" t="str">
        <f>IFERROR(__xludf.DUMMYFUNCTION("""COMPUTED_VALUE"""),"")</f>
        <v/>
      </c>
      <c r="W16514" s="16" t="str">
        <f>IFERROR(__xludf.DUMMYFUNCTION("""COMPUTED_VALUE"""),"")</f>
        <v/>
      </c>
      <c r="X16514" s="16" t="str">
        <f>IFERROR(__xludf.DUMMYFUNCTION("""COMPUTED_VALUE"""),"")</f>
        <v/>
      </c>
      <c r="AC16514" s="16" t="str">
        <f>IFERROR(__xludf.DUMMYFUNCTION("""COMPUTED_VALUE"""),"")</f>
        <v/>
      </c>
    </row>
    <row r="16515">
      <c r="A16515" s="16" t="s">
        <v>87</v>
      </c>
      <c r="E16515" s="16" t="str">
        <f>IFERROR(__xludf.DUMMYFUNCTION("""COMPUTED_VALUE"""),"")</f>
        <v/>
      </c>
      <c r="G16515" s="18"/>
      <c r="H16515" s="16" t="s">
        <v>87</v>
      </c>
      <c r="I16515" s="16" t="s">
        <v>87</v>
      </c>
      <c r="J16515" s="19"/>
      <c r="L16515" s="16" t="str">
        <f>IFERROR(__xludf.DUMMYFUNCTION("""COMPUTED_VALUE"""),"")</f>
        <v/>
      </c>
      <c r="M16515" s="16" t="str">
        <f>IFERROR(__xludf.DUMMYFUNCTION("""COMPUTED_VALUE"""),"")</f>
        <v/>
      </c>
      <c r="U16515" s="16" t="s">
        <v>87</v>
      </c>
      <c r="V16515" s="16" t="str">
        <f>IFERROR(__xludf.DUMMYFUNCTION("""COMPUTED_VALUE"""),"")</f>
        <v/>
      </c>
      <c r="W16515" s="16" t="str">
        <f>IFERROR(__xludf.DUMMYFUNCTION("""COMPUTED_VALUE"""),"")</f>
        <v/>
      </c>
      <c r="X16515" s="16" t="str">
        <f>IFERROR(__xludf.DUMMYFUNCTION("""COMPUTED_VALUE"""),"")</f>
        <v/>
      </c>
      <c r="AC16515" s="16" t="str">
        <f>IFERROR(__xludf.DUMMYFUNCTION("""COMPUTED_VALUE"""),"")</f>
        <v/>
      </c>
    </row>
    <row r="16516">
      <c r="A16516" s="16" t="s">
        <v>87</v>
      </c>
      <c r="E16516" s="16" t="str">
        <f>IFERROR(__xludf.DUMMYFUNCTION("""COMPUTED_VALUE"""),"")</f>
        <v/>
      </c>
      <c r="G16516" s="18"/>
      <c r="H16516" s="16" t="s">
        <v>87</v>
      </c>
      <c r="I16516" s="16" t="s">
        <v>87</v>
      </c>
      <c r="J16516" s="19"/>
      <c r="L16516" s="16" t="str">
        <f>IFERROR(__xludf.DUMMYFUNCTION("""COMPUTED_VALUE"""),"")</f>
        <v/>
      </c>
      <c r="M16516" s="16" t="str">
        <f>IFERROR(__xludf.DUMMYFUNCTION("""COMPUTED_VALUE"""),"")</f>
        <v/>
      </c>
      <c r="U16516" s="16" t="s">
        <v>87</v>
      </c>
      <c r="V16516" s="16" t="str">
        <f>IFERROR(__xludf.DUMMYFUNCTION("""COMPUTED_VALUE"""),"")</f>
        <v/>
      </c>
      <c r="W16516" s="16" t="str">
        <f>IFERROR(__xludf.DUMMYFUNCTION("""COMPUTED_VALUE"""),"")</f>
        <v/>
      </c>
      <c r="X16516" s="16" t="str">
        <f>IFERROR(__xludf.DUMMYFUNCTION("""COMPUTED_VALUE"""),"")</f>
        <v/>
      </c>
      <c r="AC16516" s="16" t="str">
        <f>IFERROR(__xludf.DUMMYFUNCTION("""COMPUTED_VALUE"""),"")</f>
        <v/>
      </c>
    </row>
    <row r="16517">
      <c r="A16517" s="16" t="s">
        <v>87</v>
      </c>
      <c r="E16517" s="16" t="str">
        <f>IFERROR(__xludf.DUMMYFUNCTION("""COMPUTED_VALUE"""),"")</f>
        <v/>
      </c>
      <c r="G16517" s="18"/>
      <c r="H16517" s="16" t="s">
        <v>87</v>
      </c>
      <c r="I16517" s="16" t="s">
        <v>87</v>
      </c>
      <c r="J16517" s="19"/>
      <c r="L16517" s="16" t="str">
        <f>IFERROR(__xludf.DUMMYFUNCTION("""COMPUTED_VALUE"""),"")</f>
        <v/>
      </c>
      <c r="M16517" s="16" t="str">
        <f>IFERROR(__xludf.DUMMYFUNCTION("""COMPUTED_VALUE"""),"")</f>
        <v/>
      </c>
      <c r="U16517" s="16" t="s">
        <v>87</v>
      </c>
      <c r="V16517" s="16" t="str">
        <f>IFERROR(__xludf.DUMMYFUNCTION("""COMPUTED_VALUE"""),"")</f>
        <v/>
      </c>
      <c r="W16517" s="16" t="str">
        <f>IFERROR(__xludf.DUMMYFUNCTION("""COMPUTED_VALUE"""),"")</f>
        <v/>
      </c>
      <c r="X16517" s="16" t="str">
        <f>IFERROR(__xludf.DUMMYFUNCTION("""COMPUTED_VALUE"""),"")</f>
        <v/>
      </c>
      <c r="AC16517" s="16" t="str">
        <f>IFERROR(__xludf.DUMMYFUNCTION("""COMPUTED_VALUE"""),"")</f>
        <v/>
      </c>
    </row>
    <row r="16518">
      <c r="A16518" s="16" t="s">
        <v>87</v>
      </c>
      <c r="E16518" s="16" t="str">
        <f>IFERROR(__xludf.DUMMYFUNCTION("""COMPUTED_VALUE"""),"")</f>
        <v/>
      </c>
      <c r="G16518" s="18"/>
      <c r="H16518" s="16" t="s">
        <v>87</v>
      </c>
      <c r="I16518" s="16" t="s">
        <v>87</v>
      </c>
      <c r="J16518" s="19"/>
      <c r="L16518" s="16" t="str">
        <f>IFERROR(__xludf.DUMMYFUNCTION("""COMPUTED_VALUE"""),"")</f>
        <v/>
      </c>
      <c r="M16518" s="16" t="str">
        <f>IFERROR(__xludf.DUMMYFUNCTION("""COMPUTED_VALUE"""),"")</f>
        <v/>
      </c>
      <c r="U16518" s="16" t="s">
        <v>87</v>
      </c>
      <c r="V16518" s="16" t="str">
        <f>IFERROR(__xludf.DUMMYFUNCTION("""COMPUTED_VALUE"""),"")</f>
        <v/>
      </c>
      <c r="W16518" s="16" t="str">
        <f>IFERROR(__xludf.DUMMYFUNCTION("""COMPUTED_VALUE"""),"")</f>
        <v/>
      </c>
      <c r="X16518" s="16" t="str">
        <f>IFERROR(__xludf.DUMMYFUNCTION("""COMPUTED_VALUE"""),"")</f>
        <v/>
      </c>
      <c r="AC16518" s="16" t="str">
        <f>IFERROR(__xludf.DUMMYFUNCTION("""COMPUTED_VALUE"""),"")</f>
        <v/>
      </c>
    </row>
    <row r="16519">
      <c r="A16519" s="16" t="s">
        <v>87</v>
      </c>
      <c r="E16519" s="16" t="str">
        <f>IFERROR(__xludf.DUMMYFUNCTION("""COMPUTED_VALUE"""),"")</f>
        <v/>
      </c>
      <c r="G16519" s="18"/>
      <c r="H16519" s="16" t="s">
        <v>87</v>
      </c>
      <c r="I16519" s="16" t="s">
        <v>87</v>
      </c>
      <c r="J16519" s="19"/>
      <c r="L16519" s="16" t="str">
        <f>IFERROR(__xludf.DUMMYFUNCTION("""COMPUTED_VALUE"""),"")</f>
        <v/>
      </c>
      <c r="M16519" s="16" t="str">
        <f>IFERROR(__xludf.DUMMYFUNCTION("""COMPUTED_VALUE"""),"")</f>
        <v/>
      </c>
      <c r="U16519" s="16" t="s">
        <v>87</v>
      </c>
      <c r="V16519" s="16" t="str">
        <f>IFERROR(__xludf.DUMMYFUNCTION("""COMPUTED_VALUE"""),"")</f>
        <v/>
      </c>
      <c r="W16519" s="16" t="str">
        <f>IFERROR(__xludf.DUMMYFUNCTION("""COMPUTED_VALUE"""),"")</f>
        <v/>
      </c>
      <c r="X16519" s="16" t="str">
        <f>IFERROR(__xludf.DUMMYFUNCTION("""COMPUTED_VALUE"""),"")</f>
        <v/>
      </c>
      <c r="AC16519" s="16" t="str">
        <f>IFERROR(__xludf.DUMMYFUNCTION("""COMPUTED_VALUE"""),"")</f>
        <v/>
      </c>
    </row>
    <row r="16520">
      <c r="A16520" s="16" t="s">
        <v>87</v>
      </c>
      <c r="E16520" s="16" t="str">
        <f>IFERROR(__xludf.DUMMYFUNCTION("""COMPUTED_VALUE"""),"")</f>
        <v/>
      </c>
      <c r="G16520" s="18"/>
      <c r="H16520" s="16" t="s">
        <v>87</v>
      </c>
      <c r="I16520" s="16" t="s">
        <v>87</v>
      </c>
      <c r="J16520" s="19"/>
      <c r="L16520" s="16" t="str">
        <f>IFERROR(__xludf.DUMMYFUNCTION("""COMPUTED_VALUE"""),"")</f>
        <v/>
      </c>
      <c r="M16520" s="16" t="str">
        <f>IFERROR(__xludf.DUMMYFUNCTION("""COMPUTED_VALUE"""),"")</f>
        <v/>
      </c>
      <c r="U16520" s="16" t="s">
        <v>87</v>
      </c>
      <c r="V16520" s="16" t="str">
        <f>IFERROR(__xludf.DUMMYFUNCTION("""COMPUTED_VALUE"""),"")</f>
        <v/>
      </c>
      <c r="W16520" s="16" t="str">
        <f>IFERROR(__xludf.DUMMYFUNCTION("""COMPUTED_VALUE"""),"")</f>
        <v/>
      </c>
      <c r="X16520" s="16" t="str">
        <f>IFERROR(__xludf.DUMMYFUNCTION("""COMPUTED_VALUE"""),"")</f>
        <v/>
      </c>
      <c r="AC16520" s="16" t="str">
        <f>IFERROR(__xludf.DUMMYFUNCTION("""COMPUTED_VALUE"""),"")</f>
        <v/>
      </c>
    </row>
    <row r="16521">
      <c r="A16521" s="16" t="s">
        <v>87</v>
      </c>
      <c r="E16521" s="16" t="str">
        <f>IFERROR(__xludf.DUMMYFUNCTION("""COMPUTED_VALUE"""),"")</f>
        <v/>
      </c>
      <c r="G16521" s="18"/>
      <c r="H16521" s="16" t="s">
        <v>87</v>
      </c>
      <c r="I16521" s="16" t="s">
        <v>87</v>
      </c>
      <c r="J16521" s="19"/>
      <c r="L16521" s="16" t="str">
        <f>IFERROR(__xludf.DUMMYFUNCTION("""COMPUTED_VALUE"""),"")</f>
        <v/>
      </c>
      <c r="M16521" s="16" t="str">
        <f>IFERROR(__xludf.DUMMYFUNCTION("""COMPUTED_VALUE"""),"")</f>
        <v/>
      </c>
      <c r="U16521" s="16" t="s">
        <v>87</v>
      </c>
      <c r="V16521" s="16" t="str">
        <f>IFERROR(__xludf.DUMMYFUNCTION("""COMPUTED_VALUE"""),"")</f>
        <v/>
      </c>
      <c r="W16521" s="16" t="str">
        <f>IFERROR(__xludf.DUMMYFUNCTION("""COMPUTED_VALUE"""),"")</f>
        <v/>
      </c>
      <c r="X16521" s="16" t="str">
        <f>IFERROR(__xludf.DUMMYFUNCTION("""COMPUTED_VALUE"""),"")</f>
        <v/>
      </c>
      <c r="AC16521" s="16" t="str">
        <f>IFERROR(__xludf.DUMMYFUNCTION("""COMPUTED_VALUE"""),"")</f>
        <v/>
      </c>
    </row>
    <row r="16522">
      <c r="A16522" s="16" t="s">
        <v>87</v>
      </c>
      <c r="E16522" s="16" t="str">
        <f>IFERROR(__xludf.DUMMYFUNCTION("""COMPUTED_VALUE"""),"")</f>
        <v/>
      </c>
      <c r="G16522" s="18"/>
      <c r="H16522" s="16" t="s">
        <v>87</v>
      </c>
      <c r="I16522" s="16" t="s">
        <v>87</v>
      </c>
      <c r="J16522" s="19"/>
      <c r="L16522" s="16" t="str">
        <f>IFERROR(__xludf.DUMMYFUNCTION("""COMPUTED_VALUE"""),"")</f>
        <v/>
      </c>
      <c r="M16522" s="16" t="str">
        <f>IFERROR(__xludf.DUMMYFUNCTION("""COMPUTED_VALUE"""),"")</f>
        <v/>
      </c>
      <c r="U16522" s="16" t="s">
        <v>87</v>
      </c>
      <c r="V16522" s="16" t="str">
        <f>IFERROR(__xludf.DUMMYFUNCTION("""COMPUTED_VALUE"""),"")</f>
        <v/>
      </c>
      <c r="W16522" s="16" t="str">
        <f>IFERROR(__xludf.DUMMYFUNCTION("""COMPUTED_VALUE"""),"")</f>
        <v/>
      </c>
      <c r="X16522" s="16" t="str">
        <f>IFERROR(__xludf.DUMMYFUNCTION("""COMPUTED_VALUE"""),"")</f>
        <v/>
      </c>
      <c r="AC16522" s="16" t="str">
        <f>IFERROR(__xludf.DUMMYFUNCTION("""COMPUTED_VALUE"""),"")</f>
        <v/>
      </c>
    </row>
    <row r="16523">
      <c r="A16523" s="16" t="s">
        <v>87</v>
      </c>
      <c r="E16523" s="16" t="str">
        <f>IFERROR(__xludf.DUMMYFUNCTION("""COMPUTED_VALUE"""),"")</f>
        <v/>
      </c>
      <c r="G16523" s="18"/>
      <c r="H16523" s="16" t="s">
        <v>87</v>
      </c>
      <c r="I16523" s="16" t="s">
        <v>87</v>
      </c>
      <c r="J16523" s="19"/>
      <c r="L16523" s="16" t="str">
        <f>IFERROR(__xludf.DUMMYFUNCTION("""COMPUTED_VALUE"""),"")</f>
        <v/>
      </c>
      <c r="M16523" s="16" t="str">
        <f>IFERROR(__xludf.DUMMYFUNCTION("""COMPUTED_VALUE"""),"")</f>
        <v/>
      </c>
      <c r="U16523" s="16" t="s">
        <v>87</v>
      </c>
      <c r="V16523" s="16" t="str">
        <f>IFERROR(__xludf.DUMMYFUNCTION("""COMPUTED_VALUE"""),"")</f>
        <v/>
      </c>
      <c r="W16523" s="16" t="str">
        <f>IFERROR(__xludf.DUMMYFUNCTION("""COMPUTED_VALUE"""),"")</f>
        <v/>
      </c>
      <c r="X16523" s="16" t="str">
        <f>IFERROR(__xludf.DUMMYFUNCTION("""COMPUTED_VALUE"""),"")</f>
        <v/>
      </c>
      <c r="AC16523" s="16" t="str">
        <f>IFERROR(__xludf.DUMMYFUNCTION("""COMPUTED_VALUE"""),"")</f>
        <v/>
      </c>
    </row>
    <row r="16524">
      <c r="A16524" s="16" t="s">
        <v>87</v>
      </c>
      <c r="E16524" s="16" t="str">
        <f>IFERROR(__xludf.DUMMYFUNCTION("""COMPUTED_VALUE"""),"")</f>
        <v/>
      </c>
      <c r="G16524" s="18"/>
      <c r="H16524" s="16" t="s">
        <v>87</v>
      </c>
      <c r="I16524" s="16" t="s">
        <v>87</v>
      </c>
      <c r="J16524" s="19"/>
      <c r="L16524" s="16" t="str">
        <f>IFERROR(__xludf.DUMMYFUNCTION("""COMPUTED_VALUE"""),"")</f>
        <v/>
      </c>
      <c r="M16524" s="16" t="str">
        <f>IFERROR(__xludf.DUMMYFUNCTION("""COMPUTED_VALUE"""),"")</f>
        <v/>
      </c>
      <c r="U16524" s="16" t="s">
        <v>87</v>
      </c>
      <c r="V16524" s="16" t="str">
        <f>IFERROR(__xludf.DUMMYFUNCTION("""COMPUTED_VALUE"""),"")</f>
        <v/>
      </c>
      <c r="W16524" s="16" t="str">
        <f>IFERROR(__xludf.DUMMYFUNCTION("""COMPUTED_VALUE"""),"")</f>
        <v/>
      </c>
      <c r="X16524" s="16" t="str">
        <f>IFERROR(__xludf.DUMMYFUNCTION("""COMPUTED_VALUE"""),"")</f>
        <v/>
      </c>
      <c r="AC16524" s="16" t="str">
        <f>IFERROR(__xludf.DUMMYFUNCTION("""COMPUTED_VALUE"""),"")</f>
        <v/>
      </c>
    </row>
    <row r="16525">
      <c r="A16525" s="16" t="s">
        <v>87</v>
      </c>
      <c r="E16525" s="16" t="str">
        <f>IFERROR(__xludf.DUMMYFUNCTION("""COMPUTED_VALUE"""),"")</f>
        <v/>
      </c>
      <c r="G16525" s="18"/>
      <c r="H16525" s="16" t="s">
        <v>87</v>
      </c>
      <c r="I16525" s="16" t="s">
        <v>87</v>
      </c>
      <c r="J16525" s="19"/>
      <c r="L16525" s="16" t="str">
        <f>IFERROR(__xludf.DUMMYFUNCTION("""COMPUTED_VALUE"""),"")</f>
        <v/>
      </c>
      <c r="M16525" s="16" t="str">
        <f>IFERROR(__xludf.DUMMYFUNCTION("""COMPUTED_VALUE"""),"")</f>
        <v/>
      </c>
      <c r="U16525" s="16" t="s">
        <v>87</v>
      </c>
      <c r="V16525" s="16" t="str">
        <f>IFERROR(__xludf.DUMMYFUNCTION("""COMPUTED_VALUE"""),"")</f>
        <v/>
      </c>
      <c r="W16525" s="16" t="str">
        <f>IFERROR(__xludf.DUMMYFUNCTION("""COMPUTED_VALUE"""),"")</f>
        <v/>
      </c>
      <c r="X16525" s="16" t="str">
        <f>IFERROR(__xludf.DUMMYFUNCTION("""COMPUTED_VALUE"""),"")</f>
        <v/>
      </c>
      <c r="AC16525" s="16" t="str">
        <f>IFERROR(__xludf.DUMMYFUNCTION("""COMPUTED_VALUE"""),"")</f>
        <v/>
      </c>
    </row>
    <row r="16526">
      <c r="A16526" s="16" t="s">
        <v>87</v>
      </c>
      <c r="E16526" s="16" t="str">
        <f>IFERROR(__xludf.DUMMYFUNCTION("""COMPUTED_VALUE"""),"")</f>
        <v/>
      </c>
      <c r="G16526" s="18"/>
      <c r="H16526" s="16" t="s">
        <v>87</v>
      </c>
      <c r="I16526" s="16" t="s">
        <v>87</v>
      </c>
      <c r="J16526" s="19"/>
      <c r="L16526" s="16" t="str">
        <f>IFERROR(__xludf.DUMMYFUNCTION("""COMPUTED_VALUE"""),"")</f>
        <v/>
      </c>
      <c r="M16526" s="16" t="str">
        <f>IFERROR(__xludf.DUMMYFUNCTION("""COMPUTED_VALUE"""),"")</f>
        <v/>
      </c>
      <c r="U16526" s="16" t="s">
        <v>87</v>
      </c>
      <c r="V16526" s="16" t="str">
        <f>IFERROR(__xludf.DUMMYFUNCTION("""COMPUTED_VALUE"""),"")</f>
        <v/>
      </c>
      <c r="W16526" s="16" t="str">
        <f>IFERROR(__xludf.DUMMYFUNCTION("""COMPUTED_VALUE"""),"")</f>
        <v/>
      </c>
      <c r="X16526" s="16" t="str">
        <f>IFERROR(__xludf.DUMMYFUNCTION("""COMPUTED_VALUE"""),"")</f>
        <v/>
      </c>
      <c r="AC16526" s="16" t="str">
        <f>IFERROR(__xludf.DUMMYFUNCTION("""COMPUTED_VALUE"""),"")</f>
        <v/>
      </c>
    </row>
    <row r="16527">
      <c r="A16527" s="16" t="s">
        <v>87</v>
      </c>
      <c r="E16527" s="16" t="str">
        <f>IFERROR(__xludf.DUMMYFUNCTION("""COMPUTED_VALUE"""),"")</f>
        <v/>
      </c>
      <c r="G16527" s="18"/>
      <c r="H16527" s="16" t="s">
        <v>87</v>
      </c>
      <c r="I16527" s="16" t="s">
        <v>87</v>
      </c>
      <c r="J16527" s="19"/>
      <c r="L16527" s="16" t="str">
        <f>IFERROR(__xludf.DUMMYFUNCTION("""COMPUTED_VALUE"""),"")</f>
        <v/>
      </c>
      <c r="M16527" s="16" t="str">
        <f>IFERROR(__xludf.DUMMYFUNCTION("""COMPUTED_VALUE"""),"")</f>
        <v/>
      </c>
      <c r="U16527" s="16" t="s">
        <v>87</v>
      </c>
      <c r="V16527" s="16" t="str">
        <f>IFERROR(__xludf.DUMMYFUNCTION("""COMPUTED_VALUE"""),"")</f>
        <v/>
      </c>
      <c r="W16527" s="16" t="str">
        <f>IFERROR(__xludf.DUMMYFUNCTION("""COMPUTED_VALUE"""),"")</f>
        <v/>
      </c>
      <c r="X16527" s="16" t="str">
        <f>IFERROR(__xludf.DUMMYFUNCTION("""COMPUTED_VALUE"""),"")</f>
        <v/>
      </c>
      <c r="AC16527" s="16" t="str">
        <f>IFERROR(__xludf.DUMMYFUNCTION("""COMPUTED_VALUE"""),"")</f>
        <v/>
      </c>
    </row>
    <row r="16528">
      <c r="A16528" s="16" t="s">
        <v>87</v>
      </c>
      <c r="E16528" s="16" t="str">
        <f>IFERROR(__xludf.DUMMYFUNCTION("""COMPUTED_VALUE"""),"")</f>
        <v/>
      </c>
      <c r="G16528" s="18"/>
      <c r="H16528" s="16" t="s">
        <v>87</v>
      </c>
      <c r="I16528" s="16" t="s">
        <v>87</v>
      </c>
      <c r="J16528" s="19"/>
      <c r="L16528" s="16" t="str">
        <f>IFERROR(__xludf.DUMMYFUNCTION("""COMPUTED_VALUE"""),"")</f>
        <v/>
      </c>
      <c r="M16528" s="16" t="str">
        <f>IFERROR(__xludf.DUMMYFUNCTION("""COMPUTED_VALUE"""),"")</f>
        <v/>
      </c>
      <c r="U16528" s="16" t="s">
        <v>87</v>
      </c>
      <c r="V16528" s="16" t="str">
        <f>IFERROR(__xludf.DUMMYFUNCTION("""COMPUTED_VALUE"""),"")</f>
        <v/>
      </c>
      <c r="W16528" s="16" t="str">
        <f>IFERROR(__xludf.DUMMYFUNCTION("""COMPUTED_VALUE"""),"")</f>
        <v/>
      </c>
      <c r="X16528" s="16" t="str">
        <f>IFERROR(__xludf.DUMMYFUNCTION("""COMPUTED_VALUE"""),"")</f>
        <v/>
      </c>
      <c r="AC16528" s="16" t="str">
        <f>IFERROR(__xludf.DUMMYFUNCTION("""COMPUTED_VALUE"""),"")</f>
        <v/>
      </c>
    </row>
    <row r="16529">
      <c r="A16529" s="16" t="s">
        <v>87</v>
      </c>
      <c r="E16529" s="16" t="str">
        <f>IFERROR(__xludf.DUMMYFUNCTION("""COMPUTED_VALUE"""),"")</f>
        <v/>
      </c>
      <c r="G16529" s="18"/>
      <c r="H16529" s="16" t="s">
        <v>87</v>
      </c>
      <c r="I16529" s="16" t="s">
        <v>87</v>
      </c>
      <c r="J16529" s="19"/>
      <c r="L16529" s="16" t="str">
        <f>IFERROR(__xludf.DUMMYFUNCTION("""COMPUTED_VALUE"""),"")</f>
        <v/>
      </c>
      <c r="M16529" s="16" t="str">
        <f>IFERROR(__xludf.DUMMYFUNCTION("""COMPUTED_VALUE"""),"")</f>
        <v/>
      </c>
      <c r="U16529" s="16" t="s">
        <v>87</v>
      </c>
      <c r="V16529" s="16" t="str">
        <f>IFERROR(__xludf.DUMMYFUNCTION("""COMPUTED_VALUE"""),"")</f>
        <v/>
      </c>
      <c r="W16529" s="16" t="str">
        <f>IFERROR(__xludf.DUMMYFUNCTION("""COMPUTED_VALUE"""),"")</f>
        <v/>
      </c>
      <c r="X16529" s="16" t="str">
        <f>IFERROR(__xludf.DUMMYFUNCTION("""COMPUTED_VALUE"""),"")</f>
        <v/>
      </c>
      <c r="AC16529" s="16" t="str">
        <f>IFERROR(__xludf.DUMMYFUNCTION("""COMPUTED_VALUE"""),"")</f>
        <v/>
      </c>
    </row>
    <row r="16530">
      <c r="A16530" s="16" t="s">
        <v>87</v>
      </c>
      <c r="E16530" s="16" t="str">
        <f>IFERROR(__xludf.DUMMYFUNCTION("""COMPUTED_VALUE"""),"")</f>
        <v/>
      </c>
      <c r="G16530" s="18"/>
      <c r="H16530" s="16" t="s">
        <v>87</v>
      </c>
      <c r="I16530" s="16" t="s">
        <v>87</v>
      </c>
      <c r="J16530" s="19"/>
      <c r="L16530" s="16" t="str">
        <f>IFERROR(__xludf.DUMMYFUNCTION("""COMPUTED_VALUE"""),"")</f>
        <v/>
      </c>
      <c r="M16530" s="16" t="str">
        <f>IFERROR(__xludf.DUMMYFUNCTION("""COMPUTED_VALUE"""),"")</f>
        <v/>
      </c>
      <c r="U16530" s="16" t="s">
        <v>87</v>
      </c>
      <c r="V16530" s="16" t="str">
        <f>IFERROR(__xludf.DUMMYFUNCTION("""COMPUTED_VALUE"""),"")</f>
        <v/>
      </c>
      <c r="W16530" s="16" t="str">
        <f>IFERROR(__xludf.DUMMYFUNCTION("""COMPUTED_VALUE"""),"")</f>
        <v/>
      </c>
      <c r="X16530" s="16" t="str">
        <f>IFERROR(__xludf.DUMMYFUNCTION("""COMPUTED_VALUE"""),"")</f>
        <v/>
      </c>
      <c r="AC16530" s="16" t="str">
        <f>IFERROR(__xludf.DUMMYFUNCTION("""COMPUTED_VALUE"""),"")</f>
        <v/>
      </c>
    </row>
    <row r="16531">
      <c r="A16531" s="16" t="s">
        <v>87</v>
      </c>
      <c r="E16531" s="16" t="str">
        <f>IFERROR(__xludf.DUMMYFUNCTION("""COMPUTED_VALUE"""),"")</f>
        <v/>
      </c>
      <c r="G16531" s="18"/>
      <c r="H16531" s="16" t="s">
        <v>87</v>
      </c>
      <c r="I16531" s="16" t="s">
        <v>87</v>
      </c>
      <c r="J16531" s="19"/>
      <c r="L16531" s="16" t="str">
        <f>IFERROR(__xludf.DUMMYFUNCTION("""COMPUTED_VALUE"""),"")</f>
        <v/>
      </c>
      <c r="M16531" s="16" t="str">
        <f>IFERROR(__xludf.DUMMYFUNCTION("""COMPUTED_VALUE"""),"")</f>
        <v/>
      </c>
      <c r="U16531" s="16" t="s">
        <v>87</v>
      </c>
      <c r="V16531" s="16" t="str">
        <f>IFERROR(__xludf.DUMMYFUNCTION("""COMPUTED_VALUE"""),"")</f>
        <v/>
      </c>
      <c r="W16531" s="16" t="str">
        <f>IFERROR(__xludf.DUMMYFUNCTION("""COMPUTED_VALUE"""),"")</f>
        <v/>
      </c>
      <c r="X16531" s="16" t="str">
        <f>IFERROR(__xludf.DUMMYFUNCTION("""COMPUTED_VALUE"""),"")</f>
        <v/>
      </c>
      <c r="AC16531" s="16" t="str">
        <f>IFERROR(__xludf.DUMMYFUNCTION("""COMPUTED_VALUE"""),"")</f>
        <v/>
      </c>
    </row>
    <row r="16532">
      <c r="A16532" s="16" t="s">
        <v>87</v>
      </c>
      <c r="E16532" s="16" t="str">
        <f>IFERROR(__xludf.DUMMYFUNCTION("""COMPUTED_VALUE"""),"")</f>
        <v/>
      </c>
      <c r="G16532" s="18"/>
      <c r="H16532" s="16" t="s">
        <v>87</v>
      </c>
      <c r="I16532" s="16" t="s">
        <v>87</v>
      </c>
      <c r="J16532" s="19"/>
      <c r="L16532" s="16" t="str">
        <f>IFERROR(__xludf.DUMMYFUNCTION("""COMPUTED_VALUE"""),"")</f>
        <v/>
      </c>
      <c r="M16532" s="16" t="str">
        <f>IFERROR(__xludf.DUMMYFUNCTION("""COMPUTED_VALUE"""),"")</f>
        <v/>
      </c>
      <c r="U16532" s="16" t="s">
        <v>87</v>
      </c>
      <c r="V16532" s="16" t="str">
        <f>IFERROR(__xludf.DUMMYFUNCTION("""COMPUTED_VALUE"""),"")</f>
        <v/>
      </c>
      <c r="W16532" s="16" t="str">
        <f>IFERROR(__xludf.DUMMYFUNCTION("""COMPUTED_VALUE"""),"")</f>
        <v/>
      </c>
      <c r="X16532" s="16" t="str">
        <f>IFERROR(__xludf.DUMMYFUNCTION("""COMPUTED_VALUE"""),"")</f>
        <v/>
      </c>
      <c r="AC16532" s="16" t="str">
        <f>IFERROR(__xludf.DUMMYFUNCTION("""COMPUTED_VALUE"""),"")</f>
        <v/>
      </c>
    </row>
    <row r="16533">
      <c r="A16533" s="16" t="s">
        <v>87</v>
      </c>
      <c r="E16533" s="16" t="str">
        <f>IFERROR(__xludf.DUMMYFUNCTION("""COMPUTED_VALUE"""),"")</f>
        <v/>
      </c>
      <c r="G16533" s="18"/>
      <c r="H16533" s="16" t="s">
        <v>87</v>
      </c>
      <c r="I16533" s="16" t="s">
        <v>87</v>
      </c>
      <c r="J16533" s="19"/>
      <c r="L16533" s="16" t="str">
        <f>IFERROR(__xludf.DUMMYFUNCTION("""COMPUTED_VALUE"""),"")</f>
        <v/>
      </c>
      <c r="M16533" s="16" t="str">
        <f>IFERROR(__xludf.DUMMYFUNCTION("""COMPUTED_VALUE"""),"")</f>
        <v/>
      </c>
      <c r="U16533" s="16" t="s">
        <v>87</v>
      </c>
      <c r="V16533" s="16" t="str">
        <f>IFERROR(__xludf.DUMMYFUNCTION("""COMPUTED_VALUE"""),"")</f>
        <v/>
      </c>
      <c r="W16533" s="16" t="str">
        <f>IFERROR(__xludf.DUMMYFUNCTION("""COMPUTED_VALUE"""),"")</f>
        <v/>
      </c>
      <c r="X16533" s="16" t="str">
        <f>IFERROR(__xludf.DUMMYFUNCTION("""COMPUTED_VALUE"""),"")</f>
        <v/>
      </c>
      <c r="AC16533" s="16" t="str">
        <f>IFERROR(__xludf.DUMMYFUNCTION("""COMPUTED_VALUE"""),"")</f>
        <v/>
      </c>
    </row>
    <row r="16534">
      <c r="A16534" s="16" t="s">
        <v>87</v>
      </c>
      <c r="E16534" s="16" t="str">
        <f>IFERROR(__xludf.DUMMYFUNCTION("""COMPUTED_VALUE"""),"")</f>
        <v/>
      </c>
      <c r="G16534" s="18"/>
      <c r="H16534" s="16" t="s">
        <v>87</v>
      </c>
      <c r="I16534" s="16" t="s">
        <v>87</v>
      </c>
      <c r="J16534" s="19"/>
      <c r="L16534" s="16" t="str">
        <f>IFERROR(__xludf.DUMMYFUNCTION("""COMPUTED_VALUE"""),"")</f>
        <v/>
      </c>
      <c r="M16534" s="16" t="str">
        <f>IFERROR(__xludf.DUMMYFUNCTION("""COMPUTED_VALUE"""),"")</f>
        <v/>
      </c>
      <c r="U16534" s="16" t="s">
        <v>87</v>
      </c>
      <c r="V16534" s="16" t="str">
        <f>IFERROR(__xludf.DUMMYFUNCTION("""COMPUTED_VALUE"""),"")</f>
        <v/>
      </c>
      <c r="W16534" s="16" t="str">
        <f>IFERROR(__xludf.DUMMYFUNCTION("""COMPUTED_VALUE"""),"")</f>
        <v/>
      </c>
      <c r="X16534" s="16" t="str">
        <f>IFERROR(__xludf.DUMMYFUNCTION("""COMPUTED_VALUE"""),"")</f>
        <v/>
      </c>
      <c r="AC16534" s="16" t="str">
        <f>IFERROR(__xludf.DUMMYFUNCTION("""COMPUTED_VALUE"""),"")</f>
        <v/>
      </c>
    </row>
    <row r="16535">
      <c r="A16535" s="16" t="s">
        <v>87</v>
      </c>
      <c r="E16535" s="16" t="str">
        <f>IFERROR(__xludf.DUMMYFUNCTION("""COMPUTED_VALUE"""),"")</f>
        <v/>
      </c>
      <c r="G16535" s="18"/>
      <c r="H16535" s="16" t="s">
        <v>87</v>
      </c>
      <c r="I16535" s="16" t="s">
        <v>87</v>
      </c>
      <c r="J16535" s="19"/>
      <c r="L16535" s="16" t="str">
        <f>IFERROR(__xludf.DUMMYFUNCTION("""COMPUTED_VALUE"""),"")</f>
        <v/>
      </c>
      <c r="M16535" s="16" t="str">
        <f>IFERROR(__xludf.DUMMYFUNCTION("""COMPUTED_VALUE"""),"")</f>
        <v/>
      </c>
      <c r="U16535" s="16" t="s">
        <v>87</v>
      </c>
      <c r="V16535" s="16" t="str">
        <f>IFERROR(__xludf.DUMMYFUNCTION("""COMPUTED_VALUE"""),"")</f>
        <v/>
      </c>
      <c r="W16535" s="16" t="str">
        <f>IFERROR(__xludf.DUMMYFUNCTION("""COMPUTED_VALUE"""),"")</f>
        <v/>
      </c>
      <c r="X16535" s="16" t="str">
        <f>IFERROR(__xludf.DUMMYFUNCTION("""COMPUTED_VALUE"""),"")</f>
        <v/>
      </c>
      <c r="AC16535" s="16" t="str">
        <f>IFERROR(__xludf.DUMMYFUNCTION("""COMPUTED_VALUE"""),"")</f>
        <v/>
      </c>
    </row>
    <row r="16536">
      <c r="A16536" s="16" t="s">
        <v>87</v>
      </c>
      <c r="E16536" s="16" t="str">
        <f>IFERROR(__xludf.DUMMYFUNCTION("""COMPUTED_VALUE"""),"")</f>
        <v/>
      </c>
      <c r="G16536" s="18"/>
      <c r="H16536" s="16" t="s">
        <v>87</v>
      </c>
      <c r="I16536" s="16" t="s">
        <v>87</v>
      </c>
      <c r="J16536" s="19"/>
      <c r="L16536" s="16" t="str">
        <f>IFERROR(__xludf.DUMMYFUNCTION("""COMPUTED_VALUE"""),"")</f>
        <v/>
      </c>
      <c r="M16536" s="16" t="str">
        <f>IFERROR(__xludf.DUMMYFUNCTION("""COMPUTED_VALUE"""),"")</f>
        <v/>
      </c>
      <c r="U16536" s="16" t="s">
        <v>87</v>
      </c>
      <c r="V16536" s="16" t="str">
        <f>IFERROR(__xludf.DUMMYFUNCTION("""COMPUTED_VALUE"""),"")</f>
        <v/>
      </c>
      <c r="W16536" s="16" t="str">
        <f>IFERROR(__xludf.DUMMYFUNCTION("""COMPUTED_VALUE"""),"")</f>
        <v/>
      </c>
      <c r="X16536" s="16" t="str">
        <f>IFERROR(__xludf.DUMMYFUNCTION("""COMPUTED_VALUE"""),"")</f>
        <v/>
      </c>
      <c r="AC16536" s="16" t="str">
        <f>IFERROR(__xludf.DUMMYFUNCTION("""COMPUTED_VALUE"""),"")</f>
        <v/>
      </c>
    </row>
    <row r="16537">
      <c r="A16537" s="16" t="s">
        <v>87</v>
      </c>
      <c r="E16537" s="16" t="str">
        <f>IFERROR(__xludf.DUMMYFUNCTION("""COMPUTED_VALUE"""),"")</f>
        <v/>
      </c>
      <c r="G16537" s="18"/>
      <c r="H16537" s="16" t="s">
        <v>87</v>
      </c>
      <c r="I16537" s="16" t="s">
        <v>87</v>
      </c>
      <c r="J16537" s="19"/>
      <c r="L16537" s="16" t="str">
        <f>IFERROR(__xludf.DUMMYFUNCTION("""COMPUTED_VALUE"""),"")</f>
        <v/>
      </c>
      <c r="M16537" s="16" t="str">
        <f>IFERROR(__xludf.DUMMYFUNCTION("""COMPUTED_VALUE"""),"")</f>
        <v/>
      </c>
      <c r="U16537" s="16" t="s">
        <v>87</v>
      </c>
      <c r="V16537" s="16" t="str">
        <f>IFERROR(__xludf.DUMMYFUNCTION("""COMPUTED_VALUE"""),"")</f>
        <v/>
      </c>
      <c r="W16537" s="16" t="str">
        <f>IFERROR(__xludf.DUMMYFUNCTION("""COMPUTED_VALUE"""),"")</f>
        <v/>
      </c>
      <c r="X16537" s="16" t="str">
        <f>IFERROR(__xludf.DUMMYFUNCTION("""COMPUTED_VALUE"""),"")</f>
        <v/>
      </c>
      <c r="AC16537" s="16" t="str">
        <f>IFERROR(__xludf.DUMMYFUNCTION("""COMPUTED_VALUE"""),"")</f>
        <v/>
      </c>
    </row>
    <row r="16538">
      <c r="A16538" s="16" t="s">
        <v>87</v>
      </c>
      <c r="E16538" s="16" t="str">
        <f>IFERROR(__xludf.DUMMYFUNCTION("""COMPUTED_VALUE"""),"")</f>
        <v/>
      </c>
      <c r="G16538" s="18"/>
      <c r="H16538" s="16" t="s">
        <v>87</v>
      </c>
      <c r="I16538" s="16" t="s">
        <v>87</v>
      </c>
      <c r="J16538" s="19"/>
      <c r="L16538" s="16" t="str">
        <f>IFERROR(__xludf.DUMMYFUNCTION("""COMPUTED_VALUE"""),"")</f>
        <v/>
      </c>
      <c r="M16538" s="16" t="str">
        <f>IFERROR(__xludf.DUMMYFUNCTION("""COMPUTED_VALUE"""),"")</f>
        <v/>
      </c>
      <c r="U16538" s="16" t="s">
        <v>87</v>
      </c>
      <c r="V16538" s="16" t="str">
        <f>IFERROR(__xludf.DUMMYFUNCTION("""COMPUTED_VALUE"""),"")</f>
        <v/>
      </c>
      <c r="W16538" s="16" t="str">
        <f>IFERROR(__xludf.DUMMYFUNCTION("""COMPUTED_VALUE"""),"")</f>
        <v/>
      </c>
      <c r="X16538" s="16" t="str">
        <f>IFERROR(__xludf.DUMMYFUNCTION("""COMPUTED_VALUE"""),"")</f>
        <v/>
      </c>
      <c r="AC16538" s="16" t="str">
        <f>IFERROR(__xludf.DUMMYFUNCTION("""COMPUTED_VALUE"""),"")</f>
        <v/>
      </c>
    </row>
    <row r="16539">
      <c r="A16539" s="16" t="s">
        <v>87</v>
      </c>
      <c r="E16539" s="16" t="str">
        <f>IFERROR(__xludf.DUMMYFUNCTION("""COMPUTED_VALUE"""),"")</f>
        <v/>
      </c>
      <c r="G16539" s="18"/>
      <c r="H16539" s="16" t="s">
        <v>87</v>
      </c>
      <c r="I16539" s="16" t="s">
        <v>87</v>
      </c>
      <c r="J16539" s="19"/>
      <c r="L16539" s="16" t="str">
        <f>IFERROR(__xludf.DUMMYFUNCTION("""COMPUTED_VALUE"""),"")</f>
        <v/>
      </c>
      <c r="M16539" s="16" t="str">
        <f>IFERROR(__xludf.DUMMYFUNCTION("""COMPUTED_VALUE"""),"")</f>
        <v/>
      </c>
      <c r="U16539" s="16" t="s">
        <v>87</v>
      </c>
      <c r="V16539" s="16" t="str">
        <f>IFERROR(__xludf.DUMMYFUNCTION("""COMPUTED_VALUE"""),"")</f>
        <v/>
      </c>
      <c r="W16539" s="16" t="str">
        <f>IFERROR(__xludf.DUMMYFUNCTION("""COMPUTED_VALUE"""),"")</f>
        <v/>
      </c>
      <c r="X16539" s="16" t="str">
        <f>IFERROR(__xludf.DUMMYFUNCTION("""COMPUTED_VALUE"""),"")</f>
        <v/>
      </c>
      <c r="AC16539" s="16" t="str">
        <f>IFERROR(__xludf.DUMMYFUNCTION("""COMPUTED_VALUE"""),"")</f>
        <v/>
      </c>
    </row>
    <row r="16540">
      <c r="A16540" s="16" t="s">
        <v>87</v>
      </c>
      <c r="E16540" s="16" t="str">
        <f>IFERROR(__xludf.DUMMYFUNCTION("""COMPUTED_VALUE"""),"")</f>
        <v/>
      </c>
      <c r="G16540" s="18"/>
      <c r="H16540" s="16" t="s">
        <v>87</v>
      </c>
      <c r="I16540" s="16" t="s">
        <v>87</v>
      </c>
      <c r="J16540" s="19"/>
      <c r="L16540" s="16" t="str">
        <f>IFERROR(__xludf.DUMMYFUNCTION("""COMPUTED_VALUE"""),"")</f>
        <v/>
      </c>
      <c r="M16540" s="16" t="str">
        <f>IFERROR(__xludf.DUMMYFUNCTION("""COMPUTED_VALUE"""),"")</f>
        <v/>
      </c>
      <c r="U16540" s="16" t="s">
        <v>87</v>
      </c>
      <c r="V16540" s="16" t="str">
        <f>IFERROR(__xludf.DUMMYFUNCTION("""COMPUTED_VALUE"""),"")</f>
        <v/>
      </c>
      <c r="W16540" s="16" t="str">
        <f>IFERROR(__xludf.DUMMYFUNCTION("""COMPUTED_VALUE"""),"")</f>
        <v/>
      </c>
      <c r="X16540" s="16" t="str">
        <f>IFERROR(__xludf.DUMMYFUNCTION("""COMPUTED_VALUE"""),"")</f>
        <v/>
      </c>
      <c r="AC16540" s="16" t="str">
        <f>IFERROR(__xludf.DUMMYFUNCTION("""COMPUTED_VALUE"""),"")</f>
        <v/>
      </c>
    </row>
    <row r="16541">
      <c r="A16541" s="16" t="s">
        <v>87</v>
      </c>
      <c r="E16541" s="16" t="str">
        <f>IFERROR(__xludf.DUMMYFUNCTION("""COMPUTED_VALUE"""),"")</f>
        <v/>
      </c>
      <c r="G16541" s="18"/>
      <c r="H16541" s="16" t="s">
        <v>87</v>
      </c>
      <c r="I16541" s="16" t="s">
        <v>87</v>
      </c>
      <c r="J16541" s="19"/>
      <c r="L16541" s="16" t="str">
        <f>IFERROR(__xludf.DUMMYFUNCTION("""COMPUTED_VALUE"""),"")</f>
        <v/>
      </c>
      <c r="M16541" s="16" t="str">
        <f>IFERROR(__xludf.DUMMYFUNCTION("""COMPUTED_VALUE"""),"")</f>
        <v/>
      </c>
      <c r="U16541" s="16" t="s">
        <v>87</v>
      </c>
      <c r="V16541" s="16" t="str">
        <f>IFERROR(__xludf.DUMMYFUNCTION("""COMPUTED_VALUE"""),"")</f>
        <v/>
      </c>
      <c r="W16541" s="16" t="str">
        <f>IFERROR(__xludf.DUMMYFUNCTION("""COMPUTED_VALUE"""),"")</f>
        <v/>
      </c>
      <c r="X16541" s="16" t="str">
        <f>IFERROR(__xludf.DUMMYFUNCTION("""COMPUTED_VALUE"""),"")</f>
        <v/>
      </c>
      <c r="AC16541" s="16" t="str">
        <f>IFERROR(__xludf.DUMMYFUNCTION("""COMPUTED_VALUE"""),"")</f>
        <v/>
      </c>
    </row>
    <row r="16542">
      <c r="A16542" s="16" t="s">
        <v>87</v>
      </c>
      <c r="E16542" s="16" t="str">
        <f>IFERROR(__xludf.DUMMYFUNCTION("""COMPUTED_VALUE"""),"")</f>
        <v/>
      </c>
      <c r="G16542" s="18"/>
      <c r="H16542" s="16" t="s">
        <v>87</v>
      </c>
      <c r="I16542" s="16" t="s">
        <v>87</v>
      </c>
      <c r="J16542" s="19"/>
      <c r="L16542" s="16" t="str">
        <f>IFERROR(__xludf.DUMMYFUNCTION("""COMPUTED_VALUE"""),"")</f>
        <v/>
      </c>
      <c r="M16542" s="16" t="str">
        <f>IFERROR(__xludf.DUMMYFUNCTION("""COMPUTED_VALUE"""),"")</f>
        <v/>
      </c>
      <c r="U16542" s="16" t="s">
        <v>87</v>
      </c>
      <c r="V16542" s="16" t="str">
        <f>IFERROR(__xludf.DUMMYFUNCTION("""COMPUTED_VALUE"""),"")</f>
        <v/>
      </c>
      <c r="W16542" s="16" t="str">
        <f>IFERROR(__xludf.DUMMYFUNCTION("""COMPUTED_VALUE"""),"")</f>
        <v/>
      </c>
      <c r="X16542" s="16" t="str">
        <f>IFERROR(__xludf.DUMMYFUNCTION("""COMPUTED_VALUE"""),"")</f>
        <v/>
      </c>
      <c r="AC16542" s="16" t="str">
        <f>IFERROR(__xludf.DUMMYFUNCTION("""COMPUTED_VALUE"""),"")</f>
        <v/>
      </c>
    </row>
    <row r="16543">
      <c r="A16543" s="16" t="s">
        <v>87</v>
      </c>
      <c r="E16543" s="16" t="str">
        <f>IFERROR(__xludf.DUMMYFUNCTION("""COMPUTED_VALUE"""),"")</f>
        <v/>
      </c>
      <c r="G16543" s="18"/>
      <c r="H16543" s="16" t="s">
        <v>87</v>
      </c>
      <c r="I16543" s="16" t="s">
        <v>87</v>
      </c>
      <c r="J16543" s="19"/>
      <c r="L16543" s="16" t="str">
        <f>IFERROR(__xludf.DUMMYFUNCTION("""COMPUTED_VALUE"""),"")</f>
        <v/>
      </c>
      <c r="M16543" s="16" t="str">
        <f>IFERROR(__xludf.DUMMYFUNCTION("""COMPUTED_VALUE"""),"")</f>
        <v/>
      </c>
      <c r="U16543" s="16" t="s">
        <v>87</v>
      </c>
      <c r="V16543" s="16" t="str">
        <f>IFERROR(__xludf.DUMMYFUNCTION("""COMPUTED_VALUE"""),"")</f>
        <v/>
      </c>
      <c r="W16543" s="16" t="str">
        <f>IFERROR(__xludf.DUMMYFUNCTION("""COMPUTED_VALUE"""),"")</f>
        <v/>
      </c>
      <c r="X16543" s="16" t="str">
        <f>IFERROR(__xludf.DUMMYFUNCTION("""COMPUTED_VALUE"""),"")</f>
        <v/>
      </c>
      <c r="AC16543" s="16" t="str">
        <f>IFERROR(__xludf.DUMMYFUNCTION("""COMPUTED_VALUE"""),"")</f>
        <v/>
      </c>
    </row>
    <row r="16544">
      <c r="A16544" s="16" t="s">
        <v>87</v>
      </c>
      <c r="E16544" s="16" t="str">
        <f>IFERROR(__xludf.DUMMYFUNCTION("""COMPUTED_VALUE"""),"")</f>
        <v/>
      </c>
      <c r="G16544" s="18"/>
      <c r="H16544" s="16" t="s">
        <v>87</v>
      </c>
      <c r="I16544" s="16" t="s">
        <v>87</v>
      </c>
      <c r="J16544" s="19"/>
      <c r="L16544" s="16" t="str">
        <f>IFERROR(__xludf.DUMMYFUNCTION("""COMPUTED_VALUE"""),"")</f>
        <v/>
      </c>
      <c r="M16544" s="16" t="str">
        <f>IFERROR(__xludf.DUMMYFUNCTION("""COMPUTED_VALUE"""),"")</f>
        <v/>
      </c>
      <c r="U16544" s="16" t="s">
        <v>87</v>
      </c>
      <c r="V16544" s="16" t="str">
        <f>IFERROR(__xludf.DUMMYFUNCTION("""COMPUTED_VALUE"""),"")</f>
        <v/>
      </c>
      <c r="W16544" s="16" t="str">
        <f>IFERROR(__xludf.DUMMYFUNCTION("""COMPUTED_VALUE"""),"")</f>
        <v/>
      </c>
      <c r="X16544" s="16" t="str">
        <f>IFERROR(__xludf.DUMMYFUNCTION("""COMPUTED_VALUE"""),"")</f>
        <v/>
      </c>
      <c r="AC16544" s="16" t="str">
        <f>IFERROR(__xludf.DUMMYFUNCTION("""COMPUTED_VALUE"""),"")</f>
        <v/>
      </c>
    </row>
    <row r="16545">
      <c r="A16545" s="16" t="s">
        <v>87</v>
      </c>
      <c r="E16545" s="16" t="str">
        <f>IFERROR(__xludf.DUMMYFUNCTION("""COMPUTED_VALUE"""),"")</f>
        <v/>
      </c>
      <c r="G16545" s="18"/>
      <c r="H16545" s="16" t="s">
        <v>87</v>
      </c>
      <c r="I16545" s="16" t="s">
        <v>87</v>
      </c>
      <c r="J16545" s="19"/>
      <c r="L16545" s="16" t="str">
        <f>IFERROR(__xludf.DUMMYFUNCTION("""COMPUTED_VALUE"""),"")</f>
        <v/>
      </c>
      <c r="M16545" s="16" t="str">
        <f>IFERROR(__xludf.DUMMYFUNCTION("""COMPUTED_VALUE"""),"")</f>
        <v/>
      </c>
      <c r="U16545" s="16" t="s">
        <v>87</v>
      </c>
      <c r="V16545" s="16" t="str">
        <f>IFERROR(__xludf.DUMMYFUNCTION("""COMPUTED_VALUE"""),"")</f>
        <v/>
      </c>
      <c r="W16545" s="16" t="str">
        <f>IFERROR(__xludf.DUMMYFUNCTION("""COMPUTED_VALUE"""),"")</f>
        <v/>
      </c>
      <c r="X16545" s="16" t="str">
        <f>IFERROR(__xludf.DUMMYFUNCTION("""COMPUTED_VALUE"""),"")</f>
        <v/>
      </c>
      <c r="AC16545" s="16" t="str">
        <f>IFERROR(__xludf.DUMMYFUNCTION("""COMPUTED_VALUE"""),"")</f>
        <v/>
      </c>
    </row>
    <row r="16546">
      <c r="A16546" s="16" t="s">
        <v>87</v>
      </c>
      <c r="E16546" s="16" t="str">
        <f>IFERROR(__xludf.DUMMYFUNCTION("""COMPUTED_VALUE"""),"")</f>
        <v/>
      </c>
      <c r="G16546" s="18"/>
      <c r="H16546" s="16" t="s">
        <v>87</v>
      </c>
      <c r="I16546" s="16" t="s">
        <v>87</v>
      </c>
      <c r="J16546" s="19"/>
      <c r="L16546" s="16" t="str">
        <f>IFERROR(__xludf.DUMMYFUNCTION("""COMPUTED_VALUE"""),"")</f>
        <v/>
      </c>
      <c r="M16546" s="16" t="str">
        <f>IFERROR(__xludf.DUMMYFUNCTION("""COMPUTED_VALUE"""),"")</f>
        <v/>
      </c>
      <c r="U16546" s="16" t="s">
        <v>87</v>
      </c>
      <c r="V16546" s="16" t="str">
        <f>IFERROR(__xludf.DUMMYFUNCTION("""COMPUTED_VALUE"""),"")</f>
        <v/>
      </c>
      <c r="W16546" s="16" t="str">
        <f>IFERROR(__xludf.DUMMYFUNCTION("""COMPUTED_VALUE"""),"")</f>
        <v/>
      </c>
      <c r="X16546" s="16" t="str">
        <f>IFERROR(__xludf.DUMMYFUNCTION("""COMPUTED_VALUE"""),"")</f>
        <v/>
      </c>
      <c r="AC16546" s="16" t="str">
        <f>IFERROR(__xludf.DUMMYFUNCTION("""COMPUTED_VALUE"""),"")</f>
        <v/>
      </c>
    </row>
    <row r="16547">
      <c r="A16547" s="16" t="s">
        <v>87</v>
      </c>
      <c r="E16547" s="16" t="str">
        <f>IFERROR(__xludf.DUMMYFUNCTION("""COMPUTED_VALUE"""),"")</f>
        <v/>
      </c>
      <c r="G16547" s="18"/>
      <c r="H16547" s="16" t="s">
        <v>87</v>
      </c>
      <c r="I16547" s="16" t="s">
        <v>87</v>
      </c>
      <c r="J16547" s="19"/>
      <c r="L16547" s="16" t="str">
        <f>IFERROR(__xludf.DUMMYFUNCTION("""COMPUTED_VALUE"""),"")</f>
        <v/>
      </c>
      <c r="M16547" s="16" t="str">
        <f>IFERROR(__xludf.DUMMYFUNCTION("""COMPUTED_VALUE"""),"")</f>
        <v/>
      </c>
      <c r="U16547" s="16" t="s">
        <v>87</v>
      </c>
      <c r="V16547" s="16" t="str">
        <f>IFERROR(__xludf.DUMMYFUNCTION("""COMPUTED_VALUE"""),"")</f>
        <v/>
      </c>
      <c r="W16547" s="16" t="str">
        <f>IFERROR(__xludf.DUMMYFUNCTION("""COMPUTED_VALUE"""),"")</f>
        <v/>
      </c>
      <c r="X16547" s="16" t="str">
        <f>IFERROR(__xludf.DUMMYFUNCTION("""COMPUTED_VALUE"""),"")</f>
        <v/>
      </c>
      <c r="AC16547" s="16" t="str">
        <f>IFERROR(__xludf.DUMMYFUNCTION("""COMPUTED_VALUE"""),"")</f>
        <v/>
      </c>
    </row>
    <row r="16548">
      <c r="A16548" s="16" t="s">
        <v>87</v>
      </c>
      <c r="E16548" s="16" t="str">
        <f>IFERROR(__xludf.DUMMYFUNCTION("""COMPUTED_VALUE"""),"")</f>
        <v/>
      </c>
      <c r="G16548" s="18"/>
      <c r="H16548" s="16" t="s">
        <v>87</v>
      </c>
      <c r="I16548" s="16" t="s">
        <v>87</v>
      </c>
      <c r="J16548" s="19"/>
      <c r="L16548" s="16" t="str">
        <f>IFERROR(__xludf.DUMMYFUNCTION("""COMPUTED_VALUE"""),"")</f>
        <v/>
      </c>
      <c r="M16548" s="16" t="str">
        <f>IFERROR(__xludf.DUMMYFUNCTION("""COMPUTED_VALUE"""),"")</f>
        <v/>
      </c>
      <c r="U16548" s="16" t="s">
        <v>87</v>
      </c>
      <c r="V16548" s="16" t="str">
        <f>IFERROR(__xludf.DUMMYFUNCTION("""COMPUTED_VALUE"""),"")</f>
        <v/>
      </c>
      <c r="W16548" s="16" t="str">
        <f>IFERROR(__xludf.DUMMYFUNCTION("""COMPUTED_VALUE"""),"")</f>
        <v/>
      </c>
      <c r="X16548" s="16" t="str">
        <f>IFERROR(__xludf.DUMMYFUNCTION("""COMPUTED_VALUE"""),"")</f>
        <v/>
      </c>
      <c r="AC16548" s="16" t="str">
        <f>IFERROR(__xludf.DUMMYFUNCTION("""COMPUTED_VALUE"""),"")</f>
        <v/>
      </c>
    </row>
    <row r="16549">
      <c r="A16549" s="16" t="s">
        <v>87</v>
      </c>
      <c r="E16549" s="16" t="str">
        <f>IFERROR(__xludf.DUMMYFUNCTION("""COMPUTED_VALUE"""),"")</f>
        <v/>
      </c>
      <c r="G16549" s="18"/>
      <c r="H16549" s="16" t="s">
        <v>87</v>
      </c>
      <c r="I16549" s="16" t="s">
        <v>87</v>
      </c>
      <c r="J16549" s="19"/>
      <c r="L16549" s="16" t="str">
        <f>IFERROR(__xludf.DUMMYFUNCTION("""COMPUTED_VALUE"""),"")</f>
        <v/>
      </c>
      <c r="M16549" s="16" t="str">
        <f>IFERROR(__xludf.DUMMYFUNCTION("""COMPUTED_VALUE"""),"")</f>
        <v/>
      </c>
      <c r="U16549" s="16" t="s">
        <v>87</v>
      </c>
      <c r="V16549" s="16" t="str">
        <f>IFERROR(__xludf.DUMMYFUNCTION("""COMPUTED_VALUE"""),"")</f>
        <v/>
      </c>
      <c r="W16549" s="16" t="str">
        <f>IFERROR(__xludf.DUMMYFUNCTION("""COMPUTED_VALUE"""),"")</f>
        <v/>
      </c>
      <c r="X16549" s="16" t="str">
        <f>IFERROR(__xludf.DUMMYFUNCTION("""COMPUTED_VALUE"""),"")</f>
        <v/>
      </c>
      <c r="AC16549" s="16" t="str">
        <f>IFERROR(__xludf.DUMMYFUNCTION("""COMPUTED_VALUE"""),"")</f>
        <v/>
      </c>
    </row>
    <row r="16550">
      <c r="A16550" s="16" t="s">
        <v>87</v>
      </c>
      <c r="E16550" s="16" t="str">
        <f>IFERROR(__xludf.DUMMYFUNCTION("""COMPUTED_VALUE"""),"")</f>
        <v/>
      </c>
      <c r="G16550" s="18"/>
      <c r="H16550" s="16" t="s">
        <v>87</v>
      </c>
      <c r="I16550" s="16" t="s">
        <v>87</v>
      </c>
      <c r="J16550" s="19"/>
      <c r="L16550" s="16" t="str">
        <f>IFERROR(__xludf.DUMMYFUNCTION("""COMPUTED_VALUE"""),"")</f>
        <v/>
      </c>
      <c r="M16550" s="16" t="str">
        <f>IFERROR(__xludf.DUMMYFUNCTION("""COMPUTED_VALUE"""),"")</f>
        <v/>
      </c>
      <c r="U16550" s="16" t="s">
        <v>87</v>
      </c>
      <c r="V16550" s="16" t="str">
        <f>IFERROR(__xludf.DUMMYFUNCTION("""COMPUTED_VALUE"""),"")</f>
        <v/>
      </c>
      <c r="W16550" s="16" t="str">
        <f>IFERROR(__xludf.DUMMYFUNCTION("""COMPUTED_VALUE"""),"")</f>
        <v/>
      </c>
      <c r="X16550" s="16" t="str">
        <f>IFERROR(__xludf.DUMMYFUNCTION("""COMPUTED_VALUE"""),"")</f>
        <v/>
      </c>
      <c r="AC16550" s="16" t="str">
        <f>IFERROR(__xludf.DUMMYFUNCTION("""COMPUTED_VALUE"""),"")</f>
        <v/>
      </c>
    </row>
    <row r="16551">
      <c r="A16551" s="16" t="s">
        <v>87</v>
      </c>
      <c r="E16551" s="16" t="str">
        <f>IFERROR(__xludf.DUMMYFUNCTION("""COMPUTED_VALUE"""),"")</f>
        <v/>
      </c>
      <c r="G16551" s="18"/>
      <c r="H16551" s="16" t="s">
        <v>87</v>
      </c>
      <c r="I16551" s="16" t="s">
        <v>87</v>
      </c>
      <c r="J16551" s="19"/>
      <c r="L16551" s="16" t="str">
        <f>IFERROR(__xludf.DUMMYFUNCTION("""COMPUTED_VALUE"""),"")</f>
        <v/>
      </c>
      <c r="M16551" s="16" t="str">
        <f>IFERROR(__xludf.DUMMYFUNCTION("""COMPUTED_VALUE"""),"")</f>
        <v/>
      </c>
      <c r="U16551" s="16" t="s">
        <v>87</v>
      </c>
      <c r="V16551" s="16" t="str">
        <f>IFERROR(__xludf.DUMMYFUNCTION("""COMPUTED_VALUE"""),"")</f>
        <v/>
      </c>
      <c r="W16551" s="16" t="str">
        <f>IFERROR(__xludf.DUMMYFUNCTION("""COMPUTED_VALUE"""),"")</f>
        <v/>
      </c>
      <c r="X16551" s="16" t="str">
        <f>IFERROR(__xludf.DUMMYFUNCTION("""COMPUTED_VALUE"""),"")</f>
        <v/>
      </c>
      <c r="AC16551" s="16" t="str">
        <f>IFERROR(__xludf.DUMMYFUNCTION("""COMPUTED_VALUE"""),"")</f>
        <v/>
      </c>
    </row>
    <row r="16552">
      <c r="A16552" s="16" t="s">
        <v>87</v>
      </c>
      <c r="E16552" s="16" t="str">
        <f>IFERROR(__xludf.DUMMYFUNCTION("""COMPUTED_VALUE"""),"")</f>
        <v/>
      </c>
      <c r="G16552" s="18"/>
      <c r="H16552" s="16" t="s">
        <v>87</v>
      </c>
      <c r="I16552" s="16" t="s">
        <v>87</v>
      </c>
      <c r="J16552" s="19"/>
      <c r="L16552" s="16" t="str">
        <f>IFERROR(__xludf.DUMMYFUNCTION("""COMPUTED_VALUE"""),"")</f>
        <v/>
      </c>
      <c r="M16552" s="16" t="str">
        <f>IFERROR(__xludf.DUMMYFUNCTION("""COMPUTED_VALUE"""),"")</f>
        <v/>
      </c>
      <c r="U16552" s="16" t="s">
        <v>87</v>
      </c>
      <c r="V16552" s="16" t="str">
        <f>IFERROR(__xludf.DUMMYFUNCTION("""COMPUTED_VALUE"""),"")</f>
        <v/>
      </c>
      <c r="W16552" s="16" t="str">
        <f>IFERROR(__xludf.DUMMYFUNCTION("""COMPUTED_VALUE"""),"")</f>
        <v/>
      </c>
      <c r="X16552" s="16" t="str">
        <f>IFERROR(__xludf.DUMMYFUNCTION("""COMPUTED_VALUE"""),"")</f>
        <v/>
      </c>
      <c r="AC16552" s="16" t="str">
        <f>IFERROR(__xludf.DUMMYFUNCTION("""COMPUTED_VALUE"""),"")</f>
        <v/>
      </c>
    </row>
    <row r="16553">
      <c r="A16553" s="16" t="s">
        <v>87</v>
      </c>
      <c r="E16553" s="16" t="str">
        <f>IFERROR(__xludf.DUMMYFUNCTION("""COMPUTED_VALUE"""),"")</f>
        <v/>
      </c>
      <c r="G16553" s="18"/>
      <c r="H16553" s="16" t="s">
        <v>87</v>
      </c>
      <c r="I16553" s="16" t="s">
        <v>87</v>
      </c>
      <c r="J16553" s="19"/>
      <c r="L16553" s="16" t="str">
        <f>IFERROR(__xludf.DUMMYFUNCTION("""COMPUTED_VALUE"""),"")</f>
        <v/>
      </c>
      <c r="M16553" s="16" t="str">
        <f>IFERROR(__xludf.DUMMYFUNCTION("""COMPUTED_VALUE"""),"")</f>
        <v/>
      </c>
      <c r="U16553" s="16" t="s">
        <v>87</v>
      </c>
      <c r="V16553" s="16" t="str">
        <f>IFERROR(__xludf.DUMMYFUNCTION("""COMPUTED_VALUE"""),"")</f>
        <v/>
      </c>
      <c r="W16553" s="16" t="str">
        <f>IFERROR(__xludf.DUMMYFUNCTION("""COMPUTED_VALUE"""),"")</f>
        <v/>
      </c>
      <c r="X16553" s="16" t="str">
        <f>IFERROR(__xludf.DUMMYFUNCTION("""COMPUTED_VALUE"""),"")</f>
        <v/>
      </c>
      <c r="AC16553" s="16" t="str">
        <f>IFERROR(__xludf.DUMMYFUNCTION("""COMPUTED_VALUE"""),"")</f>
        <v/>
      </c>
    </row>
    <row r="16554">
      <c r="A16554" s="16" t="s">
        <v>87</v>
      </c>
      <c r="E16554" s="16" t="str">
        <f>IFERROR(__xludf.DUMMYFUNCTION("""COMPUTED_VALUE"""),"")</f>
        <v/>
      </c>
      <c r="G16554" s="18"/>
      <c r="H16554" s="16" t="s">
        <v>87</v>
      </c>
      <c r="I16554" s="16" t="s">
        <v>87</v>
      </c>
      <c r="J16554" s="19"/>
      <c r="L16554" s="16" t="str">
        <f>IFERROR(__xludf.DUMMYFUNCTION("""COMPUTED_VALUE"""),"")</f>
        <v/>
      </c>
      <c r="M16554" s="16" t="str">
        <f>IFERROR(__xludf.DUMMYFUNCTION("""COMPUTED_VALUE"""),"")</f>
        <v/>
      </c>
      <c r="U16554" s="16" t="s">
        <v>87</v>
      </c>
      <c r="V16554" s="16" t="str">
        <f>IFERROR(__xludf.DUMMYFUNCTION("""COMPUTED_VALUE"""),"")</f>
        <v/>
      </c>
      <c r="W16554" s="16" t="str">
        <f>IFERROR(__xludf.DUMMYFUNCTION("""COMPUTED_VALUE"""),"")</f>
        <v/>
      </c>
      <c r="X16554" s="16" t="str">
        <f>IFERROR(__xludf.DUMMYFUNCTION("""COMPUTED_VALUE"""),"")</f>
        <v/>
      </c>
      <c r="AC16554" s="16" t="str">
        <f>IFERROR(__xludf.DUMMYFUNCTION("""COMPUTED_VALUE"""),"")</f>
        <v/>
      </c>
    </row>
    <row r="16555">
      <c r="A16555" s="16" t="s">
        <v>87</v>
      </c>
      <c r="E16555" s="16" t="str">
        <f>IFERROR(__xludf.DUMMYFUNCTION("""COMPUTED_VALUE"""),"")</f>
        <v/>
      </c>
      <c r="G16555" s="18"/>
      <c r="H16555" s="16" t="s">
        <v>87</v>
      </c>
      <c r="I16555" s="16" t="s">
        <v>87</v>
      </c>
      <c r="J16555" s="19"/>
      <c r="L16555" s="16" t="str">
        <f>IFERROR(__xludf.DUMMYFUNCTION("""COMPUTED_VALUE"""),"")</f>
        <v/>
      </c>
      <c r="M16555" s="16" t="str">
        <f>IFERROR(__xludf.DUMMYFUNCTION("""COMPUTED_VALUE"""),"")</f>
        <v/>
      </c>
      <c r="U16555" s="16" t="s">
        <v>87</v>
      </c>
      <c r="V16555" s="16" t="str">
        <f>IFERROR(__xludf.DUMMYFUNCTION("""COMPUTED_VALUE"""),"")</f>
        <v/>
      </c>
      <c r="W16555" s="16" t="str">
        <f>IFERROR(__xludf.DUMMYFUNCTION("""COMPUTED_VALUE"""),"")</f>
        <v/>
      </c>
      <c r="X16555" s="16" t="str">
        <f>IFERROR(__xludf.DUMMYFUNCTION("""COMPUTED_VALUE"""),"")</f>
        <v/>
      </c>
      <c r="AC16555" s="16" t="str">
        <f>IFERROR(__xludf.DUMMYFUNCTION("""COMPUTED_VALUE"""),"")</f>
        <v/>
      </c>
    </row>
    <row r="16556">
      <c r="A16556" s="16" t="s">
        <v>87</v>
      </c>
      <c r="E16556" s="16" t="str">
        <f>IFERROR(__xludf.DUMMYFUNCTION("""COMPUTED_VALUE"""),"")</f>
        <v/>
      </c>
      <c r="G16556" s="18"/>
      <c r="H16556" s="16" t="s">
        <v>87</v>
      </c>
      <c r="I16556" s="16" t="s">
        <v>87</v>
      </c>
      <c r="J16556" s="19"/>
      <c r="L16556" s="16" t="str">
        <f>IFERROR(__xludf.DUMMYFUNCTION("""COMPUTED_VALUE"""),"")</f>
        <v/>
      </c>
      <c r="M16556" s="16" t="str">
        <f>IFERROR(__xludf.DUMMYFUNCTION("""COMPUTED_VALUE"""),"")</f>
        <v/>
      </c>
      <c r="U16556" s="16" t="s">
        <v>87</v>
      </c>
      <c r="V16556" s="16" t="str">
        <f>IFERROR(__xludf.DUMMYFUNCTION("""COMPUTED_VALUE"""),"")</f>
        <v/>
      </c>
      <c r="W16556" s="16" t="str">
        <f>IFERROR(__xludf.DUMMYFUNCTION("""COMPUTED_VALUE"""),"")</f>
        <v/>
      </c>
      <c r="X16556" s="16" t="str">
        <f>IFERROR(__xludf.DUMMYFUNCTION("""COMPUTED_VALUE"""),"")</f>
        <v/>
      </c>
      <c r="AC16556" s="16" t="str">
        <f>IFERROR(__xludf.DUMMYFUNCTION("""COMPUTED_VALUE"""),"")</f>
        <v/>
      </c>
    </row>
    <row r="16557">
      <c r="A16557" s="16" t="s">
        <v>87</v>
      </c>
      <c r="E16557" s="16" t="str">
        <f>IFERROR(__xludf.DUMMYFUNCTION("""COMPUTED_VALUE"""),"")</f>
        <v/>
      </c>
      <c r="G16557" s="18"/>
      <c r="H16557" s="16" t="s">
        <v>87</v>
      </c>
      <c r="I16557" s="16" t="s">
        <v>87</v>
      </c>
      <c r="J16557" s="19"/>
      <c r="L16557" s="16" t="str">
        <f>IFERROR(__xludf.DUMMYFUNCTION("""COMPUTED_VALUE"""),"")</f>
        <v/>
      </c>
      <c r="M16557" s="16" t="str">
        <f>IFERROR(__xludf.DUMMYFUNCTION("""COMPUTED_VALUE"""),"")</f>
        <v/>
      </c>
      <c r="U16557" s="16" t="s">
        <v>87</v>
      </c>
      <c r="V16557" s="16" t="str">
        <f>IFERROR(__xludf.DUMMYFUNCTION("""COMPUTED_VALUE"""),"")</f>
        <v/>
      </c>
      <c r="W16557" s="16" t="str">
        <f>IFERROR(__xludf.DUMMYFUNCTION("""COMPUTED_VALUE"""),"")</f>
        <v/>
      </c>
      <c r="X16557" s="16" t="str">
        <f>IFERROR(__xludf.DUMMYFUNCTION("""COMPUTED_VALUE"""),"")</f>
        <v/>
      </c>
      <c r="AC16557" s="16" t="str">
        <f>IFERROR(__xludf.DUMMYFUNCTION("""COMPUTED_VALUE"""),"")</f>
        <v/>
      </c>
    </row>
    <row r="16558">
      <c r="A16558" s="16" t="s">
        <v>87</v>
      </c>
      <c r="E16558" s="16" t="str">
        <f>IFERROR(__xludf.DUMMYFUNCTION("""COMPUTED_VALUE"""),"")</f>
        <v/>
      </c>
      <c r="G16558" s="18"/>
      <c r="H16558" s="16" t="s">
        <v>87</v>
      </c>
      <c r="I16558" s="16" t="s">
        <v>87</v>
      </c>
      <c r="J16558" s="19"/>
      <c r="L16558" s="16" t="str">
        <f>IFERROR(__xludf.DUMMYFUNCTION("""COMPUTED_VALUE"""),"")</f>
        <v/>
      </c>
      <c r="M16558" s="16" t="str">
        <f>IFERROR(__xludf.DUMMYFUNCTION("""COMPUTED_VALUE"""),"")</f>
        <v/>
      </c>
      <c r="U16558" s="16" t="s">
        <v>87</v>
      </c>
      <c r="V16558" s="16" t="str">
        <f>IFERROR(__xludf.DUMMYFUNCTION("""COMPUTED_VALUE"""),"")</f>
        <v/>
      </c>
      <c r="W16558" s="16" t="str">
        <f>IFERROR(__xludf.DUMMYFUNCTION("""COMPUTED_VALUE"""),"")</f>
        <v/>
      </c>
      <c r="X16558" s="16" t="str">
        <f>IFERROR(__xludf.DUMMYFUNCTION("""COMPUTED_VALUE"""),"")</f>
        <v/>
      </c>
      <c r="AC16558" s="16" t="str">
        <f>IFERROR(__xludf.DUMMYFUNCTION("""COMPUTED_VALUE"""),"")</f>
        <v/>
      </c>
    </row>
    <row r="16559">
      <c r="A16559" s="16" t="s">
        <v>87</v>
      </c>
      <c r="E16559" s="16" t="str">
        <f>IFERROR(__xludf.DUMMYFUNCTION("""COMPUTED_VALUE"""),"")</f>
        <v/>
      </c>
      <c r="G16559" s="18"/>
      <c r="H16559" s="16" t="s">
        <v>87</v>
      </c>
      <c r="I16559" s="16" t="s">
        <v>87</v>
      </c>
      <c r="J16559" s="19"/>
      <c r="L16559" s="16" t="str">
        <f>IFERROR(__xludf.DUMMYFUNCTION("""COMPUTED_VALUE"""),"")</f>
        <v/>
      </c>
      <c r="M16559" s="16" t="str">
        <f>IFERROR(__xludf.DUMMYFUNCTION("""COMPUTED_VALUE"""),"")</f>
        <v/>
      </c>
      <c r="U16559" s="16" t="s">
        <v>87</v>
      </c>
      <c r="V16559" s="16" t="str">
        <f>IFERROR(__xludf.DUMMYFUNCTION("""COMPUTED_VALUE"""),"")</f>
        <v/>
      </c>
      <c r="W16559" s="16" t="str">
        <f>IFERROR(__xludf.DUMMYFUNCTION("""COMPUTED_VALUE"""),"")</f>
        <v/>
      </c>
      <c r="X16559" s="16" t="str">
        <f>IFERROR(__xludf.DUMMYFUNCTION("""COMPUTED_VALUE"""),"")</f>
        <v/>
      </c>
      <c r="AC16559" s="16" t="str">
        <f>IFERROR(__xludf.DUMMYFUNCTION("""COMPUTED_VALUE"""),"")</f>
        <v/>
      </c>
    </row>
    <row r="16560">
      <c r="A16560" s="16" t="s">
        <v>87</v>
      </c>
      <c r="E16560" s="16" t="str">
        <f>IFERROR(__xludf.DUMMYFUNCTION("""COMPUTED_VALUE"""),"")</f>
        <v/>
      </c>
      <c r="G16560" s="18"/>
      <c r="H16560" s="16" t="s">
        <v>87</v>
      </c>
      <c r="I16560" s="16" t="s">
        <v>87</v>
      </c>
      <c r="J16560" s="19"/>
      <c r="L16560" s="16" t="str">
        <f>IFERROR(__xludf.DUMMYFUNCTION("""COMPUTED_VALUE"""),"")</f>
        <v/>
      </c>
      <c r="M16560" s="16" t="str">
        <f>IFERROR(__xludf.DUMMYFUNCTION("""COMPUTED_VALUE"""),"")</f>
        <v/>
      </c>
      <c r="U16560" s="16" t="s">
        <v>87</v>
      </c>
      <c r="V16560" s="16" t="str">
        <f>IFERROR(__xludf.DUMMYFUNCTION("""COMPUTED_VALUE"""),"")</f>
        <v/>
      </c>
      <c r="W16560" s="16" t="str">
        <f>IFERROR(__xludf.DUMMYFUNCTION("""COMPUTED_VALUE"""),"")</f>
        <v/>
      </c>
      <c r="X16560" s="16" t="str">
        <f>IFERROR(__xludf.DUMMYFUNCTION("""COMPUTED_VALUE"""),"")</f>
        <v/>
      </c>
      <c r="AC16560" s="16" t="str">
        <f>IFERROR(__xludf.DUMMYFUNCTION("""COMPUTED_VALUE"""),"")</f>
        <v/>
      </c>
    </row>
    <row r="16561">
      <c r="A16561" s="16" t="s">
        <v>87</v>
      </c>
      <c r="E16561" s="16" t="str">
        <f>IFERROR(__xludf.DUMMYFUNCTION("""COMPUTED_VALUE"""),"")</f>
        <v/>
      </c>
      <c r="G16561" s="18"/>
      <c r="H16561" s="16" t="s">
        <v>87</v>
      </c>
      <c r="I16561" s="16" t="s">
        <v>87</v>
      </c>
      <c r="J16561" s="19"/>
      <c r="L16561" s="16" t="str">
        <f>IFERROR(__xludf.DUMMYFUNCTION("""COMPUTED_VALUE"""),"")</f>
        <v/>
      </c>
      <c r="M16561" s="16" t="str">
        <f>IFERROR(__xludf.DUMMYFUNCTION("""COMPUTED_VALUE"""),"")</f>
        <v/>
      </c>
      <c r="U16561" s="16" t="s">
        <v>87</v>
      </c>
      <c r="V16561" s="16" t="str">
        <f>IFERROR(__xludf.DUMMYFUNCTION("""COMPUTED_VALUE"""),"")</f>
        <v/>
      </c>
      <c r="W16561" s="16" t="str">
        <f>IFERROR(__xludf.DUMMYFUNCTION("""COMPUTED_VALUE"""),"")</f>
        <v/>
      </c>
      <c r="X16561" s="16" t="str">
        <f>IFERROR(__xludf.DUMMYFUNCTION("""COMPUTED_VALUE"""),"")</f>
        <v/>
      </c>
      <c r="AC16561" s="16" t="str">
        <f>IFERROR(__xludf.DUMMYFUNCTION("""COMPUTED_VALUE"""),"")</f>
        <v/>
      </c>
    </row>
    <row r="16562">
      <c r="A16562" s="16" t="s">
        <v>87</v>
      </c>
      <c r="E16562" s="16" t="str">
        <f>IFERROR(__xludf.DUMMYFUNCTION("""COMPUTED_VALUE"""),"")</f>
        <v/>
      </c>
      <c r="G16562" s="18"/>
      <c r="H16562" s="16" t="s">
        <v>87</v>
      </c>
      <c r="I16562" s="16" t="s">
        <v>87</v>
      </c>
      <c r="J16562" s="19"/>
      <c r="L16562" s="16" t="str">
        <f>IFERROR(__xludf.DUMMYFUNCTION("""COMPUTED_VALUE"""),"")</f>
        <v/>
      </c>
      <c r="M16562" s="16" t="str">
        <f>IFERROR(__xludf.DUMMYFUNCTION("""COMPUTED_VALUE"""),"")</f>
        <v/>
      </c>
      <c r="U16562" s="16" t="s">
        <v>87</v>
      </c>
      <c r="V16562" s="16" t="str">
        <f>IFERROR(__xludf.DUMMYFUNCTION("""COMPUTED_VALUE"""),"")</f>
        <v/>
      </c>
      <c r="W16562" s="16" t="str">
        <f>IFERROR(__xludf.DUMMYFUNCTION("""COMPUTED_VALUE"""),"")</f>
        <v/>
      </c>
      <c r="X16562" s="16" t="str">
        <f>IFERROR(__xludf.DUMMYFUNCTION("""COMPUTED_VALUE"""),"")</f>
        <v/>
      </c>
      <c r="AC16562" s="16" t="str">
        <f>IFERROR(__xludf.DUMMYFUNCTION("""COMPUTED_VALUE"""),"")</f>
        <v/>
      </c>
    </row>
    <row r="16563">
      <c r="A16563" s="16" t="s">
        <v>87</v>
      </c>
      <c r="E16563" s="16" t="str">
        <f>IFERROR(__xludf.DUMMYFUNCTION("""COMPUTED_VALUE"""),"")</f>
        <v/>
      </c>
      <c r="G16563" s="18"/>
      <c r="H16563" s="16" t="s">
        <v>87</v>
      </c>
      <c r="I16563" s="16" t="s">
        <v>87</v>
      </c>
      <c r="J16563" s="19"/>
      <c r="L16563" s="16" t="str">
        <f>IFERROR(__xludf.DUMMYFUNCTION("""COMPUTED_VALUE"""),"")</f>
        <v/>
      </c>
      <c r="M16563" s="16" t="str">
        <f>IFERROR(__xludf.DUMMYFUNCTION("""COMPUTED_VALUE"""),"")</f>
        <v/>
      </c>
      <c r="U16563" s="16" t="s">
        <v>87</v>
      </c>
      <c r="V16563" s="16" t="str">
        <f>IFERROR(__xludf.DUMMYFUNCTION("""COMPUTED_VALUE"""),"")</f>
        <v/>
      </c>
      <c r="W16563" s="16" t="str">
        <f>IFERROR(__xludf.DUMMYFUNCTION("""COMPUTED_VALUE"""),"")</f>
        <v/>
      </c>
      <c r="X16563" s="16" t="str">
        <f>IFERROR(__xludf.DUMMYFUNCTION("""COMPUTED_VALUE"""),"")</f>
        <v/>
      </c>
      <c r="AC16563" s="16" t="str">
        <f>IFERROR(__xludf.DUMMYFUNCTION("""COMPUTED_VALUE"""),"")</f>
        <v/>
      </c>
    </row>
    <row r="16564">
      <c r="A16564" s="16" t="s">
        <v>87</v>
      </c>
      <c r="E16564" s="16" t="str">
        <f>IFERROR(__xludf.DUMMYFUNCTION("""COMPUTED_VALUE"""),"")</f>
        <v/>
      </c>
      <c r="G16564" s="18"/>
      <c r="H16564" s="16" t="s">
        <v>87</v>
      </c>
      <c r="I16564" s="16" t="s">
        <v>87</v>
      </c>
      <c r="J16564" s="19"/>
      <c r="L16564" s="16" t="str">
        <f>IFERROR(__xludf.DUMMYFUNCTION("""COMPUTED_VALUE"""),"")</f>
        <v/>
      </c>
      <c r="M16564" s="16" t="str">
        <f>IFERROR(__xludf.DUMMYFUNCTION("""COMPUTED_VALUE"""),"")</f>
        <v/>
      </c>
      <c r="U16564" s="16" t="s">
        <v>87</v>
      </c>
      <c r="V16564" s="16" t="str">
        <f>IFERROR(__xludf.DUMMYFUNCTION("""COMPUTED_VALUE"""),"")</f>
        <v/>
      </c>
      <c r="W16564" s="16" t="str">
        <f>IFERROR(__xludf.DUMMYFUNCTION("""COMPUTED_VALUE"""),"")</f>
        <v/>
      </c>
      <c r="X16564" s="16" t="str">
        <f>IFERROR(__xludf.DUMMYFUNCTION("""COMPUTED_VALUE"""),"")</f>
        <v/>
      </c>
      <c r="AC16564" s="16" t="str">
        <f>IFERROR(__xludf.DUMMYFUNCTION("""COMPUTED_VALUE"""),"")</f>
        <v/>
      </c>
    </row>
    <row r="16565">
      <c r="A16565" s="16" t="s">
        <v>87</v>
      </c>
      <c r="E16565" s="16" t="str">
        <f>IFERROR(__xludf.DUMMYFUNCTION("""COMPUTED_VALUE"""),"")</f>
        <v/>
      </c>
      <c r="G16565" s="18"/>
      <c r="H16565" s="16" t="s">
        <v>87</v>
      </c>
      <c r="I16565" s="16" t="s">
        <v>87</v>
      </c>
      <c r="J16565" s="19"/>
      <c r="L16565" s="16" t="str">
        <f>IFERROR(__xludf.DUMMYFUNCTION("""COMPUTED_VALUE"""),"")</f>
        <v/>
      </c>
      <c r="M16565" s="16" t="str">
        <f>IFERROR(__xludf.DUMMYFUNCTION("""COMPUTED_VALUE"""),"")</f>
        <v/>
      </c>
      <c r="U16565" s="16" t="s">
        <v>87</v>
      </c>
      <c r="V16565" s="16" t="str">
        <f>IFERROR(__xludf.DUMMYFUNCTION("""COMPUTED_VALUE"""),"")</f>
        <v/>
      </c>
      <c r="W16565" s="16" t="str">
        <f>IFERROR(__xludf.DUMMYFUNCTION("""COMPUTED_VALUE"""),"")</f>
        <v/>
      </c>
      <c r="X16565" s="16" t="str">
        <f>IFERROR(__xludf.DUMMYFUNCTION("""COMPUTED_VALUE"""),"")</f>
        <v/>
      </c>
      <c r="AC16565" s="16" t="str">
        <f>IFERROR(__xludf.DUMMYFUNCTION("""COMPUTED_VALUE"""),"")</f>
        <v/>
      </c>
    </row>
    <row r="16566">
      <c r="A16566" s="16" t="s">
        <v>87</v>
      </c>
      <c r="E16566" s="16" t="str">
        <f>IFERROR(__xludf.DUMMYFUNCTION("""COMPUTED_VALUE"""),"")</f>
        <v/>
      </c>
      <c r="G16566" s="18"/>
      <c r="H16566" s="16" t="s">
        <v>87</v>
      </c>
      <c r="I16566" s="16" t="s">
        <v>87</v>
      </c>
      <c r="J16566" s="19"/>
      <c r="L16566" s="16" t="str">
        <f>IFERROR(__xludf.DUMMYFUNCTION("""COMPUTED_VALUE"""),"")</f>
        <v/>
      </c>
      <c r="M16566" s="16" t="str">
        <f>IFERROR(__xludf.DUMMYFUNCTION("""COMPUTED_VALUE"""),"")</f>
        <v/>
      </c>
      <c r="U16566" s="16" t="s">
        <v>87</v>
      </c>
      <c r="V16566" s="16" t="str">
        <f>IFERROR(__xludf.DUMMYFUNCTION("""COMPUTED_VALUE"""),"")</f>
        <v/>
      </c>
      <c r="W16566" s="16" t="str">
        <f>IFERROR(__xludf.DUMMYFUNCTION("""COMPUTED_VALUE"""),"")</f>
        <v/>
      </c>
      <c r="X16566" s="16" t="str">
        <f>IFERROR(__xludf.DUMMYFUNCTION("""COMPUTED_VALUE"""),"")</f>
        <v/>
      </c>
      <c r="AC16566" s="16" t="str">
        <f>IFERROR(__xludf.DUMMYFUNCTION("""COMPUTED_VALUE"""),"")</f>
        <v/>
      </c>
    </row>
    <row r="16567">
      <c r="A16567" s="16" t="s">
        <v>87</v>
      </c>
      <c r="E16567" s="16" t="str">
        <f>IFERROR(__xludf.DUMMYFUNCTION("""COMPUTED_VALUE"""),"")</f>
        <v/>
      </c>
      <c r="G16567" s="18"/>
      <c r="H16567" s="16" t="s">
        <v>87</v>
      </c>
      <c r="I16567" s="16" t="s">
        <v>87</v>
      </c>
      <c r="J16567" s="19"/>
      <c r="L16567" s="16" t="str">
        <f>IFERROR(__xludf.DUMMYFUNCTION("""COMPUTED_VALUE"""),"")</f>
        <v/>
      </c>
      <c r="M16567" s="16" t="str">
        <f>IFERROR(__xludf.DUMMYFUNCTION("""COMPUTED_VALUE"""),"")</f>
        <v/>
      </c>
      <c r="U16567" s="16" t="s">
        <v>87</v>
      </c>
      <c r="V16567" s="16" t="str">
        <f>IFERROR(__xludf.DUMMYFUNCTION("""COMPUTED_VALUE"""),"")</f>
        <v/>
      </c>
      <c r="W16567" s="16" t="str">
        <f>IFERROR(__xludf.DUMMYFUNCTION("""COMPUTED_VALUE"""),"")</f>
        <v/>
      </c>
      <c r="X16567" s="16" t="str">
        <f>IFERROR(__xludf.DUMMYFUNCTION("""COMPUTED_VALUE"""),"")</f>
        <v/>
      </c>
      <c r="AC16567" s="16" t="str">
        <f>IFERROR(__xludf.DUMMYFUNCTION("""COMPUTED_VALUE"""),"")</f>
        <v/>
      </c>
    </row>
    <row r="16568">
      <c r="A16568" s="16" t="s">
        <v>87</v>
      </c>
      <c r="E16568" s="16" t="str">
        <f>IFERROR(__xludf.DUMMYFUNCTION("""COMPUTED_VALUE"""),"")</f>
        <v/>
      </c>
      <c r="G16568" s="18"/>
      <c r="H16568" s="16" t="s">
        <v>87</v>
      </c>
      <c r="I16568" s="16" t="s">
        <v>87</v>
      </c>
      <c r="J16568" s="19"/>
      <c r="L16568" s="16" t="str">
        <f>IFERROR(__xludf.DUMMYFUNCTION("""COMPUTED_VALUE"""),"")</f>
        <v/>
      </c>
      <c r="M16568" s="16" t="str">
        <f>IFERROR(__xludf.DUMMYFUNCTION("""COMPUTED_VALUE"""),"")</f>
        <v/>
      </c>
      <c r="U16568" s="16" t="s">
        <v>87</v>
      </c>
      <c r="V16568" s="16" t="str">
        <f>IFERROR(__xludf.DUMMYFUNCTION("""COMPUTED_VALUE"""),"")</f>
        <v/>
      </c>
      <c r="W16568" s="16" t="str">
        <f>IFERROR(__xludf.DUMMYFUNCTION("""COMPUTED_VALUE"""),"")</f>
        <v/>
      </c>
      <c r="X16568" s="16" t="str">
        <f>IFERROR(__xludf.DUMMYFUNCTION("""COMPUTED_VALUE"""),"")</f>
        <v/>
      </c>
      <c r="AC16568" s="16" t="str">
        <f>IFERROR(__xludf.DUMMYFUNCTION("""COMPUTED_VALUE"""),"")</f>
        <v/>
      </c>
    </row>
    <row r="16569">
      <c r="A16569" s="16" t="s">
        <v>87</v>
      </c>
      <c r="E16569" s="16" t="str">
        <f>IFERROR(__xludf.DUMMYFUNCTION("""COMPUTED_VALUE"""),"")</f>
        <v/>
      </c>
      <c r="G16569" s="18"/>
      <c r="H16569" s="16" t="s">
        <v>87</v>
      </c>
      <c r="I16569" s="16" t="s">
        <v>87</v>
      </c>
      <c r="J16569" s="19"/>
      <c r="L16569" s="16" t="str">
        <f>IFERROR(__xludf.DUMMYFUNCTION("""COMPUTED_VALUE"""),"")</f>
        <v/>
      </c>
      <c r="M16569" s="16" t="str">
        <f>IFERROR(__xludf.DUMMYFUNCTION("""COMPUTED_VALUE"""),"")</f>
        <v/>
      </c>
      <c r="U16569" s="16" t="s">
        <v>87</v>
      </c>
      <c r="V16569" s="16" t="str">
        <f>IFERROR(__xludf.DUMMYFUNCTION("""COMPUTED_VALUE"""),"")</f>
        <v/>
      </c>
      <c r="W16569" s="16" t="str">
        <f>IFERROR(__xludf.DUMMYFUNCTION("""COMPUTED_VALUE"""),"")</f>
        <v/>
      </c>
      <c r="X16569" s="16" t="str">
        <f>IFERROR(__xludf.DUMMYFUNCTION("""COMPUTED_VALUE"""),"")</f>
        <v/>
      </c>
      <c r="AC16569" s="16" t="str">
        <f>IFERROR(__xludf.DUMMYFUNCTION("""COMPUTED_VALUE"""),"")</f>
        <v/>
      </c>
    </row>
    <row r="16570">
      <c r="A16570" s="16" t="s">
        <v>87</v>
      </c>
      <c r="E16570" s="16" t="str">
        <f>IFERROR(__xludf.DUMMYFUNCTION("""COMPUTED_VALUE"""),"")</f>
        <v/>
      </c>
      <c r="G16570" s="18"/>
      <c r="H16570" s="16" t="s">
        <v>87</v>
      </c>
      <c r="I16570" s="16" t="s">
        <v>87</v>
      </c>
      <c r="J16570" s="19"/>
      <c r="L16570" s="16" t="str">
        <f>IFERROR(__xludf.DUMMYFUNCTION("""COMPUTED_VALUE"""),"")</f>
        <v/>
      </c>
      <c r="M16570" s="16" t="str">
        <f>IFERROR(__xludf.DUMMYFUNCTION("""COMPUTED_VALUE"""),"")</f>
        <v/>
      </c>
      <c r="U16570" s="16" t="s">
        <v>87</v>
      </c>
      <c r="V16570" s="16" t="str">
        <f>IFERROR(__xludf.DUMMYFUNCTION("""COMPUTED_VALUE"""),"")</f>
        <v/>
      </c>
      <c r="W16570" s="16" t="str">
        <f>IFERROR(__xludf.DUMMYFUNCTION("""COMPUTED_VALUE"""),"")</f>
        <v/>
      </c>
      <c r="X16570" s="16" t="str">
        <f>IFERROR(__xludf.DUMMYFUNCTION("""COMPUTED_VALUE"""),"")</f>
        <v/>
      </c>
      <c r="AC16570" s="16" t="str">
        <f>IFERROR(__xludf.DUMMYFUNCTION("""COMPUTED_VALUE"""),"")</f>
        <v/>
      </c>
    </row>
    <row r="16571">
      <c r="A16571" s="16" t="s">
        <v>87</v>
      </c>
      <c r="E16571" s="16" t="str">
        <f>IFERROR(__xludf.DUMMYFUNCTION("""COMPUTED_VALUE"""),"")</f>
        <v/>
      </c>
      <c r="G16571" s="18"/>
      <c r="H16571" s="16" t="s">
        <v>87</v>
      </c>
      <c r="I16571" s="16" t="s">
        <v>87</v>
      </c>
      <c r="J16571" s="19"/>
      <c r="L16571" s="16" t="str">
        <f>IFERROR(__xludf.DUMMYFUNCTION("""COMPUTED_VALUE"""),"")</f>
        <v/>
      </c>
      <c r="M16571" s="16" t="str">
        <f>IFERROR(__xludf.DUMMYFUNCTION("""COMPUTED_VALUE"""),"")</f>
        <v/>
      </c>
      <c r="U16571" s="16" t="s">
        <v>87</v>
      </c>
      <c r="V16571" s="16" t="str">
        <f>IFERROR(__xludf.DUMMYFUNCTION("""COMPUTED_VALUE"""),"")</f>
        <v/>
      </c>
      <c r="W16571" s="16" t="str">
        <f>IFERROR(__xludf.DUMMYFUNCTION("""COMPUTED_VALUE"""),"")</f>
        <v/>
      </c>
      <c r="X16571" s="16" t="str">
        <f>IFERROR(__xludf.DUMMYFUNCTION("""COMPUTED_VALUE"""),"")</f>
        <v/>
      </c>
      <c r="AC16571" s="16" t="str">
        <f>IFERROR(__xludf.DUMMYFUNCTION("""COMPUTED_VALUE"""),"")</f>
        <v/>
      </c>
    </row>
    <row r="16572">
      <c r="A16572" s="16" t="s">
        <v>87</v>
      </c>
      <c r="E16572" s="16" t="str">
        <f>IFERROR(__xludf.DUMMYFUNCTION("""COMPUTED_VALUE"""),"")</f>
        <v/>
      </c>
      <c r="G16572" s="18"/>
      <c r="H16572" s="16" t="s">
        <v>87</v>
      </c>
      <c r="I16572" s="16" t="s">
        <v>87</v>
      </c>
      <c r="J16572" s="19"/>
      <c r="L16572" s="16" t="str">
        <f>IFERROR(__xludf.DUMMYFUNCTION("""COMPUTED_VALUE"""),"")</f>
        <v/>
      </c>
      <c r="M16572" s="16" t="str">
        <f>IFERROR(__xludf.DUMMYFUNCTION("""COMPUTED_VALUE"""),"")</f>
        <v/>
      </c>
      <c r="U16572" s="16" t="s">
        <v>87</v>
      </c>
      <c r="V16572" s="16" t="str">
        <f>IFERROR(__xludf.DUMMYFUNCTION("""COMPUTED_VALUE"""),"")</f>
        <v/>
      </c>
      <c r="W16572" s="16" t="str">
        <f>IFERROR(__xludf.DUMMYFUNCTION("""COMPUTED_VALUE"""),"")</f>
        <v/>
      </c>
      <c r="X16572" s="16" t="str">
        <f>IFERROR(__xludf.DUMMYFUNCTION("""COMPUTED_VALUE"""),"")</f>
        <v/>
      </c>
      <c r="AC16572" s="16" t="str">
        <f>IFERROR(__xludf.DUMMYFUNCTION("""COMPUTED_VALUE"""),"")</f>
        <v/>
      </c>
    </row>
    <row r="16573">
      <c r="A16573" s="16" t="s">
        <v>87</v>
      </c>
      <c r="E16573" s="16" t="str">
        <f>IFERROR(__xludf.DUMMYFUNCTION("""COMPUTED_VALUE"""),"")</f>
        <v/>
      </c>
      <c r="G16573" s="18"/>
      <c r="H16573" s="16" t="s">
        <v>87</v>
      </c>
      <c r="I16573" s="16" t="s">
        <v>87</v>
      </c>
      <c r="J16573" s="19"/>
      <c r="L16573" s="16" t="str">
        <f>IFERROR(__xludf.DUMMYFUNCTION("""COMPUTED_VALUE"""),"")</f>
        <v/>
      </c>
      <c r="M16573" s="16" t="str">
        <f>IFERROR(__xludf.DUMMYFUNCTION("""COMPUTED_VALUE"""),"")</f>
        <v/>
      </c>
      <c r="U16573" s="16" t="s">
        <v>87</v>
      </c>
      <c r="V16573" s="16" t="str">
        <f>IFERROR(__xludf.DUMMYFUNCTION("""COMPUTED_VALUE"""),"")</f>
        <v/>
      </c>
      <c r="W16573" s="16" t="str">
        <f>IFERROR(__xludf.DUMMYFUNCTION("""COMPUTED_VALUE"""),"")</f>
        <v/>
      </c>
      <c r="X16573" s="16" t="str">
        <f>IFERROR(__xludf.DUMMYFUNCTION("""COMPUTED_VALUE"""),"")</f>
        <v/>
      </c>
      <c r="AC16573" s="16" t="str">
        <f>IFERROR(__xludf.DUMMYFUNCTION("""COMPUTED_VALUE"""),"")</f>
        <v/>
      </c>
    </row>
    <row r="16574">
      <c r="A16574" s="16" t="s">
        <v>87</v>
      </c>
      <c r="E16574" s="16" t="str">
        <f>IFERROR(__xludf.DUMMYFUNCTION("""COMPUTED_VALUE"""),"")</f>
        <v/>
      </c>
      <c r="G16574" s="18"/>
      <c r="H16574" s="16" t="s">
        <v>87</v>
      </c>
      <c r="I16574" s="16" t="s">
        <v>87</v>
      </c>
      <c r="J16574" s="19"/>
      <c r="L16574" s="16" t="str">
        <f>IFERROR(__xludf.DUMMYFUNCTION("""COMPUTED_VALUE"""),"")</f>
        <v/>
      </c>
      <c r="M16574" s="16" t="str">
        <f>IFERROR(__xludf.DUMMYFUNCTION("""COMPUTED_VALUE"""),"")</f>
        <v/>
      </c>
      <c r="U16574" s="16" t="s">
        <v>87</v>
      </c>
      <c r="V16574" s="16" t="str">
        <f>IFERROR(__xludf.DUMMYFUNCTION("""COMPUTED_VALUE"""),"")</f>
        <v/>
      </c>
      <c r="W16574" s="16" t="str">
        <f>IFERROR(__xludf.DUMMYFUNCTION("""COMPUTED_VALUE"""),"")</f>
        <v/>
      </c>
      <c r="X16574" s="16" t="str">
        <f>IFERROR(__xludf.DUMMYFUNCTION("""COMPUTED_VALUE"""),"")</f>
        <v/>
      </c>
      <c r="AC16574" s="16" t="str">
        <f>IFERROR(__xludf.DUMMYFUNCTION("""COMPUTED_VALUE"""),"")</f>
        <v/>
      </c>
    </row>
    <row r="16575">
      <c r="A16575" s="16" t="s">
        <v>87</v>
      </c>
      <c r="E16575" s="16" t="str">
        <f>IFERROR(__xludf.DUMMYFUNCTION("""COMPUTED_VALUE"""),"")</f>
        <v/>
      </c>
      <c r="G16575" s="18"/>
      <c r="H16575" s="16" t="s">
        <v>87</v>
      </c>
      <c r="I16575" s="16" t="s">
        <v>87</v>
      </c>
      <c r="J16575" s="19"/>
      <c r="L16575" s="16" t="str">
        <f>IFERROR(__xludf.DUMMYFUNCTION("""COMPUTED_VALUE"""),"")</f>
        <v/>
      </c>
      <c r="M16575" s="16" t="str">
        <f>IFERROR(__xludf.DUMMYFUNCTION("""COMPUTED_VALUE"""),"")</f>
        <v/>
      </c>
      <c r="U16575" s="16" t="s">
        <v>87</v>
      </c>
      <c r="V16575" s="16" t="str">
        <f>IFERROR(__xludf.DUMMYFUNCTION("""COMPUTED_VALUE"""),"")</f>
        <v/>
      </c>
      <c r="W16575" s="16" t="str">
        <f>IFERROR(__xludf.DUMMYFUNCTION("""COMPUTED_VALUE"""),"")</f>
        <v/>
      </c>
      <c r="X16575" s="16" t="str">
        <f>IFERROR(__xludf.DUMMYFUNCTION("""COMPUTED_VALUE"""),"")</f>
        <v/>
      </c>
      <c r="AC16575" s="16" t="str">
        <f>IFERROR(__xludf.DUMMYFUNCTION("""COMPUTED_VALUE"""),"")</f>
        <v/>
      </c>
    </row>
    <row r="16576">
      <c r="A16576" s="16" t="s">
        <v>87</v>
      </c>
      <c r="E16576" s="16" t="str">
        <f>IFERROR(__xludf.DUMMYFUNCTION("""COMPUTED_VALUE"""),"")</f>
        <v/>
      </c>
      <c r="G16576" s="18"/>
      <c r="H16576" s="16" t="s">
        <v>87</v>
      </c>
      <c r="I16576" s="16" t="s">
        <v>87</v>
      </c>
      <c r="J16576" s="19"/>
      <c r="L16576" s="16" t="str">
        <f>IFERROR(__xludf.DUMMYFUNCTION("""COMPUTED_VALUE"""),"")</f>
        <v/>
      </c>
      <c r="M16576" s="16" t="str">
        <f>IFERROR(__xludf.DUMMYFUNCTION("""COMPUTED_VALUE"""),"")</f>
        <v/>
      </c>
      <c r="U16576" s="16" t="s">
        <v>87</v>
      </c>
      <c r="V16576" s="16" t="str">
        <f>IFERROR(__xludf.DUMMYFUNCTION("""COMPUTED_VALUE"""),"")</f>
        <v/>
      </c>
      <c r="W16576" s="16" t="str">
        <f>IFERROR(__xludf.DUMMYFUNCTION("""COMPUTED_VALUE"""),"")</f>
        <v/>
      </c>
      <c r="X16576" s="16" t="str">
        <f>IFERROR(__xludf.DUMMYFUNCTION("""COMPUTED_VALUE"""),"")</f>
        <v/>
      </c>
      <c r="AC16576" s="16" t="str">
        <f>IFERROR(__xludf.DUMMYFUNCTION("""COMPUTED_VALUE"""),"")</f>
        <v/>
      </c>
    </row>
    <row r="16577">
      <c r="A16577" s="16" t="s">
        <v>87</v>
      </c>
      <c r="E16577" s="16" t="str">
        <f>IFERROR(__xludf.DUMMYFUNCTION("""COMPUTED_VALUE"""),"")</f>
        <v/>
      </c>
      <c r="G16577" s="18"/>
      <c r="H16577" s="16" t="s">
        <v>87</v>
      </c>
      <c r="I16577" s="16" t="s">
        <v>87</v>
      </c>
      <c r="J16577" s="19"/>
      <c r="L16577" s="16" t="str">
        <f>IFERROR(__xludf.DUMMYFUNCTION("""COMPUTED_VALUE"""),"")</f>
        <v/>
      </c>
      <c r="M16577" s="16" t="str">
        <f>IFERROR(__xludf.DUMMYFUNCTION("""COMPUTED_VALUE"""),"")</f>
        <v/>
      </c>
      <c r="U16577" s="16" t="s">
        <v>87</v>
      </c>
      <c r="V16577" s="16" t="str">
        <f>IFERROR(__xludf.DUMMYFUNCTION("""COMPUTED_VALUE"""),"")</f>
        <v/>
      </c>
      <c r="W16577" s="16" t="str">
        <f>IFERROR(__xludf.DUMMYFUNCTION("""COMPUTED_VALUE"""),"")</f>
        <v/>
      </c>
      <c r="X16577" s="16" t="str">
        <f>IFERROR(__xludf.DUMMYFUNCTION("""COMPUTED_VALUE"""),"")</f>
        <v/>
      </c>
      <c r="AC16577" s="16" t="str">
        <f>IFERROR(__xludf.DUMMYFUNCTION("""COMPUTED_VALUE"""),"")</f>
        <v/>
      </c>
    </row>
    <row r="16578">
      <c r="A16578" s="16" t="s">
        <v>87</v>
      </c>
      <c r="E16578" s="16" t="str">
        <f>IFERROR(__xludf.DUMMYFUNCTION("""COMPUTED_VALUE"""),"")</f>
        <v/>
      </c>
      <c r="G16578" s="18"/>
      <c r="H16578" s="16" t="s">
        <v>87</v>
      </c>
      <c r="I16578" s="16" t="s">
        <v>87</v>
      </c>
      <c r="J16578" s="19"/>
      <c r="L16578" s="16" t="str">
        <f>IFERROR(__xludf.DUMMYFUNCTION("""COMPUTED_VALUE"""),"")</f>
        <v/>
      </c>
      <c r="M16578" s="16" t="str">
        <f>IFERROR(__xludf.DUMMYFUNCTION("""COMPUTED_VALUE"""),"")</f>
        <v/>
      </c>
      <c r="U16578" s="16" t="s">
        <v>87</v>
      </c>
      <c r="V16578" s="16" t="str">
        <f>IFERROR(__xludf.DUMMYFUNCTION("""COMPUTED_VALUE"""),"")</f>
        <v/>
      </c>
      <c r="W16578" s="16" t="str">
        <f>IFERROR(__xludf.DUMMYFUNCTION("""COMPUTED_VALUE"""),"")</f>
        <v/>
      </c>
      <c r="X16578" s="16" t="str">
        <f>IFERROR(__xludf.DUMMYFUNCTION("""COMPUTED_VALUE"""),"")</f>
        <v/>
      </c>
      <c r="AC16578" s="16" t="str">
        <f>IFERROR(__xludf.DUMMYFUNCTION("""COMPUTED_VALUE"""),"")</f>
        <v/>
      </c>
    </row>
    <row r="16579">
      <c r="A16579" s="16" t="s">
        <v>87</v>
      </c>
      <c r="E16579" s="16" t="str">
        <f>IFERROR(__xludf.DUMMYFUNCTION("""COMPUTED_VALUE"""),"")</f>
        <v/>
      </c>
      <c r="G16579" s="18"/>
      <c r="H16579" s="16" t="s">
        <v>87</v>
      </c>
      <c r="I16579" s="16" t="s">
        <v>87</v>
      </c>
      <c r="J16579" s="19"/>
      <c r="L16579" s="16" t="str">
        <f>IFERROR(__xludf.DUMMYFUNCTION("""COMPUTED_VALUE"""),"")</f>
        <v/>
      </c>
      <c r="M16579" s="16" t="str">
        <f>IFERROR(__xludf.DUMMYFUNCTION("""COMPUTED_VALUE"""),"")</f>
        <v/>
      </c>
      <c r="U16579" s="16" t="s">
        <v>87</v>
      </c>
      <c r="V16579" s="16" t="str">
        <f>IFERROR(__xludf.DUMMYFUNCTION("""COMPUTED_VALUE"""),"")</f>
        <v/>
      </c>
      <c r="W16579" s="16" t="str">
        <f>IFERROR(__xludf.DUMMYFUNCTION("""COMPUTED_VALUE"""),"")</f>
        <v/>
      </c>
      <c r="X16579" s="16" t="str">
        <f>IFERROR(__xludf.DUMMYFUNCTION("""COMPUTED_VALUE"""),"")</f>
        <v/>
      </c>
      <c r="AC16579" s="16" t="str">
        <f>IFERROR(__xludf.DUMMYFUNCTION("""COMPUTED_VALUE"""),"")</f>
        <v/>
      </c>
    </row>
    <row r="16580">
      <c r="A16580" s="16" t="s">
        <v>87</v>
      </c>
      <c r="E16580" s="16" t="str">
        <f>IFERROR(__xludf.DUMMYFUNCTION("""COMPUTED_VALUE"""),"")</f>
        <v/>
      </c>
      <c r="G16580" s="18"/>
      <c r="H16580" s="16" t="s">
        <v>87</v>
      </c>
      <c r="I16580" s="16" t="s">
        <v>87</v>
      </c>
      <c r="J16580" s="19"/>
      <c r="L16580" s="16" t="str">
        <f>IFERROR(__xludf.DUMMYFUNCTION("""COMPUTED_VALUE"""),"")</f>
        <v/>
      </c>
      <c r="M16580" s="16" t="str">
        <f>IFERROR(__xludf.DUMMYFUNCTION("""COMPUTED_VALUE"""),"")</f>
        <v/>
      </c>
      <c r="U16580" s="16" t="s">
        <v>87</v>
      </c>
      <c r="V16580" s="16" t="str">
        <f>IFERROR(__xludf.DUMMYFUNCTION("""COMPUTED_VALUE"""),"")</f>
        <v/>
      </c>
      <c r="W16580" s="16" t="str">
        <f>IFERROR(__xludf.DUMMYFUNCTION("""COMPUTED_VALUE"""),"")</f>
        <v/>
      </c>
      <c r="X16580" s="16" t="str">
        <f>IFERROR(__xludf.DUMMYFUNCTION("""COMPUTED_VALUE"""),"")</f>
        <v/>
      </c>
      <c r="AC16580" s="16" t="str">
        <f>IFERROR(__xludf.DUMMYFUNCTION("""COMPUTED_VALUE"""),"")</f>
        <v/>
      </c>
    </row>
    <row r="16581">
      <c r="A16581" s="16" t="s">
        <v>87</v>
      </c>
      <c r="E16581" s="16" t="str">
        <f>IFERROR(__xludf.DUMMYFUNCTION("""COMPUTED_VALUE"""),"")</f>
        <v/>
      </c>
      <c r="G16581" s="18"/>
      <c r="H16581" s="16" t="s">
        <v>87</v>
      </c>
      <c r="I16581" s="16" t="s">
        <v>87</v>
      </c>
      <c r="J16581" s="19"/>
      <c r="L16581" s="16" t="str">
        <f>IFERROR(__xludf.DUMMYFUNCTION("""COMPUTED_VALUE"""),"")</f>
        <v/>
      </c>
      <c r="M16581" s="16" t="str">
        <f>IFERROR(__xludf.DUMMYFUNCTION("""COMPUTED_VALUE"""),"")</f>
        <v/>
      </c>
      <c r="U16581" s="16" t="s">
        <v>87</v>
      </c>
      <c r="V16581" s="16" t="str">
        <f>IFERROR(__xludf.DUMMYFUNCTION("""COMPUTED_VALUE"""),"")</f>
        <v/>
      </c>
      <c r="W16581" s="16" t="str">
        <f>IFERROR(__xludf.DUMMYFUNCTION("""COMPUTED_VALUE"""),"")</f>
        <v/>
      </c>
      <c r="X16581" s="16" t="str">
        <f>IFERROR(__xludf.DUMMYFUNCTION("""COMPUTED_VALUE"""),"")</f>
        <v/>
      </c>
      <c r="AC16581" s="16" t="str">
        <f>IFERROR(__xludf.DUMMYFUNCTION("""COMPUTED_VALUE"""),"")</f>
        <v/>
      </c>
    </row>
    <row r="16582">
      <c r="A16582" s="16" t="s">
        <v>87</v>
      </c>
      <c r="E16582" s="16" t="str">
        <f>IFERROR(__xludf.DUMMYFUNCTION("""COMPUTED_VALUE"""),"")</f>
        <v/>
      </c>
      <c r="G16582" s="18"/>
      <c r="H16582" s="16" t="s">
        <v>87</v>
      </c>
      <c r="I16582" s="16" t="s">
        <v>87</v>
      </c>
      <c r="J16582" s="19"/>
      <c r="L16582" s="16" t="str">
        <f>IFERROR(__xludf.DUMMYFUNCTION("""COMPUTED_VALUE"""),"")</f>
        <v/>
      </c>
      <c r="M16582" s="16" t="str">
        <f>IFERROR(__xludf.DUMMYFUNCTION("""COMPUTED_VALUE"""),"")</f>
        <v/>
      </c>
      <c r="U16582" s="16" t="s">
        <v>87</v>
      </c>
      <c r="V16582" s="16" t="str">
        <f>IFERROR(__xludf.DUMMYFUNCTION("""COMPUTED_VALUE"""),"")</f>
        <v/>
      </c>
      <c r="W16582" s="16" t="str">
        <f>IFERROR(__xludf.DUMMYFUNCTION("""COMPUTED_VALUE"""),"")</f>
        <v/>
      </c>
      <c r="X16582" s="16" t="str">
        <f>IFERROR(__xludf.DUMMYFUNCTION("""COMPUTED_VALUE"""),"")</f>
        <v/>
      </c>
      <c r="AC16582" s="16" t="str">
        <f>IFERROR(__xludf.DUMMYFUNCTION("""COMPUTED_VALUE"""),"")</f>
        <v/>
      </c>
    </row>
    <row r="16583">
      <c r="A16583" s="16" t="s">
        <v>87</v>
      </c>
      <c r="E16583" s="16" t="str">
        <f>IFERROR(__xludf.DUMMYFUNCTION("""COMPUTED_VALUE"""),"")</f>
        <v/>
      </c>
      <c r="G16583" s="18"/>
      <c r="H16583" s="16" t="s">
        <v>87</v>
      </c>
      <c r="I16583" s="16" t="s">
        <v>87</v>
      </c>
      <c r="J16583" s="19"/>
      <c r="L16583" s="16" t="str">
        <f>IFERROR(__xludf.DUMMYFUNCTION("""COMPUTED_VALUE"""),"")</f>
        <v/>
      </c>
      <c r="M16583" s="16" t="str">
        <f>IFERROR(__xludf.DUMMYFUNCTION("""COMPUTED_VALUE"""),"")</f>
        <v/>
      </c>
      <c r="U16583" s="16" t="s">
        <v>87</v>
      </c>
      <c r="V16583" s="16" t="str">
        <f>IFERROR(__xludf.DUMMYFUNCTION("""COMPUTED_VALUE"""),"")</f>
        <v/>
      </c>
      <c r="W16583" s="16" t="str">
        <f>IFERROR(__xludf.DUMMYFUNCTION("""COMPUTED_VALUE"""),"")</f>
        <v/>
      </c>
      <c r="X16583" s="16" t="str">
        <f>IFERROR(__xludf.DUMMYFUNCTION("""COMPUTED_VALUE"""),"")</f>
        <v/>
      </c>
      <c r="AC16583" s="16" t="str">
        <f>IFERROR(__xludf.DUMMYFUNCTION("""COMPUTED_VALUE"""),"")</f>
        <v/>
      </c>
    </row>
    <row r="16584">
      <c r="A16584" s="16" t="s">
        <v>87</v>
      </c>
      <c r="E16584" s="16" t="str">
        <f>IFERROR(__xludf.DUMMYFUNCTION("""COMPUTED_VALUE"""),"")</f>
        <v/>
      </c>
      <c r="G16584" s="18"/>
      <c r="H16584" s="16" t="s">
        <v>87</v>
      </c>
      <c r="I16584" s="16" t="s">
        <v>87</v>
      </c>
      <c r="J16584" s="19"/>
      <c r="L16584" s="16" t="str">
        <f>IFERROR(__xludf.DUMMYFUNCTION("""COMPUTED_VALUE"""),"")</f>
        <v/>
      </c>
      <c r="M16584" s="16" t="str">
        <f>IFERROR(__xludf.DUMMYFUNCTION("""COMPUTED_VALUE"""),"")</f>
        <v/>
      </c>
      <c r="U16584" s="16" t="s">
        <v>87</v>
      </c>
      <c r="V16584" s="16" t="str">
        <f>IFERROR(__xludf.DUMMYFUNCTION("""COMPUTED_VALUE"""),"")</f>
        <v/>
      </c>
      <c r="W16584" s="16" t="str">
        <f>IFERROR(__xludf.DUMMYFUNCTION("""COMPUTED_VALUE"""),"")</f>
        <v/>
      </c>
      <c r="X16584" s="16" t="str">
        <f>IFERROR(__xludf.DUMMYFUNCTION("""COMPUTED_VALUE"""),"")</f>
        <v/>
      </c>
      <c r="AC16584" s="16" t="str">
        <f>IFERROR(__xludf.DUMMYFUNCTION("""COMPUTED_VALUE"""),"")</f>
        <v/>
      </c>
    </row>
    <row r="16585">
      <c r="A16585" s="16" t="s">
        <v>87</v>
      </c>
      <c r="E16585" s="16" t="str">
        <f>IFERROR(__xludf.DUMMYFUNCTION("""COMPUTED_VALUE"""),"")</f>
        <v/>
      </c>
      <c r="G16585" s="18"/>
      <c r="H16585" s="16" t="s">
        <v>87</v>
      </c>
      <c r="I16585" s="16" t="s">
        <v>87</v>
      </c>
      <c r="J16585" s="19"/>
      <c r="L16585" s="16" t="str">
        <f>IFERROR(__xludf.DUMMYFUNCTION("""COMPUTED_VALUE"""),"")</f>
        <v/>
      </c>
      <c r="M16585" s="16" t="str">
        <f>IFERROR(__xludf.DUMMYFUNCTION("""COMPUTED_VALUE"""),"")</f>
        <v/>
      </c>
      <c r="U16585" s="16" t="s">
        <v>87</v>
      </c>
      <c r="V16585" s="16" t="str">
        <f>IFERROR(__xludf.DUMMYFUNCTION("""COMPUTED_VALUE"""),"")</f>
        <v/>
      </c>
      <c r="W16585" s="16" t="str">
        <f>IFERROR(__xludf.DUMMYFUNCTION("""COMPUTED_VALUE"""),"")</f>
        <v/>
      </c>
      <c r="X16585" s="16" t="str">
        <f>IFERROR(__xludf.DUMMYFUNCTION("""COMPUTED_VALUE"""),"")</f>
        <v/>
      </c>
      <c r="AC16585" s="16" t="str">
        <f>IFERROR(__xludf.DUMMYFUNCTION("""COMPUTED_VALUE"""),"")</f>
        <v/>
      </c>
    </row>
    <row r="16586">
      <c r="A16586" s="16" t="s">
        <v>87</v>
      </c>
      <c r="E16586" s="16" t="str">
        <f>IFERROR(__xludf.DUMMYFUNCTION("""COMPUTED_VALUE"""),"")</f>
        <v/>
      </c>
      <c r="G16586" s="18"/>
      <c r="H16586" s="16" t="s">
        <v>87</v>
      </c>
      <c r="I16586" s="16" t="s">
        <v>87</v>
      </c>
      <c r="J16586" s="19"/>
      <c r="L16586" s="16" t="str">
        <f>IFERROR(__xludf.DUMMYFUNCTION("""COMPUTED_VALUE"""),"")</f>
        <v/>
      </c>
      <c r="M16586" s="16" t="str">
        <f>IFERROR(__xludf.DUMMYFUNCTION("""COMPUTED_VALUE"""),"")</f>
        <v/>
      </c>
      <c r="U16586" s="16" t="s">
        <v>87</v>
      </c>
      <c r="V16586" s="16" t="str">
        <f>IFERROR(__xludf.DUMMYFUNCTION("""COMPUTED_VALUE"""),"")</f>
        <v/>
      </c>
      <c r="W16586" s="16" t="str">
        <f>IFERROR(__xludf.DUMMYFUNCTION("""COMPUTED_VALUE"""),"")</f>
        <v/>
      </c>
      <c r="X16586" s="16" t="str">
        <f>IFERROR(__xludf.DUMMYFUNCTION("""COMPUTED_VALUE"""),"")</f>
        <v/>
      </c>
      <c r="AC16586" s="16" t="str">
        <f>IFERROR(__xludf.DUMMYFUNCTION("""COMPUTED_VALUE"""),"")</f>
        <v/>
      </c>
    </row>
    <row r="16587">
      <c r="A16587" s="16" t="s">
        <v>87</v>
      </c>
      <c r="E16587" s="16" t="str">
        <f>IFERROR(__xludf.DUMMYFUNCTION("""COMPUTED_VALUE"""),"")</f>
        <v/>
      </c>
      <c r="G16587" s="18"/>
      <c r="H16587" s="16" t="s">
        <v>87</v>
      </c>
      <c r="I16587" s="16" t="s">
        <v>87</v>
      </c>
      <c r="J16587" s="19"/>
      <c r="L16587" s="16" t="str">
        <f>IFERROR(__xludf.DUMMYFUNCTION("""COMPUTED_VALUE"""),"")</f>
        <v/>
      </c>
      <c r="M16587" s="16" t="str">
        <f>IFERROR(__xludf.DUMMYFUNCTION("""COMPUTED_VALUE"""),"")</f>
        <v/>
      </c>
      <c r="U16587" s="16" t="s">
        <v>87</v>
      </c>
      <c r="V16587" s="16" t="str">
        <f>IFERROR(__xludf.DUMMYFUNCTION("""COMPUTED_VALUE"""),"")</f>
        <v/>
      </c>
      <c r="W16587" s="16" t="str">
        <f>IFERROR(__xludf.DUMMYFUNCTION("""COMPUTED_VALUE"""),"")</f>
        <v/>
      </c>
      <c r="X16587" s="16" t="str">
        <f>IFERROR(__xludf.DUMMYFUNCTION("""COMPUTED_VALUE"""),"")</f>
        <v/>
      </c>
      <c r="AC16587" s="16" t="str">
        <f>IFERROR(__xludf.DUMMYFUNCTION("""COMPUTED_VALUE"""),"")</f>
        <v/>
      </c>
    </row>
    <row r="16588">
      <c r="A16588" s="16" t="s">
        <v>87</v>
      </c>
      <c r="E16588" s="16" t="str">
        <f>IFERROR(__xludf.DUMMYFUNCTION("""COMPUTED_VALUE"""),"")</f>
        <v/>
      </c>
      <c r="G16588" s="18"/>
      <c r="H16588" s="16" t="s">
        <v>87</v>
      </c>
      <c r="I16588" s="16" t="s">
        <v>87</v>
      </c>
      <c r="J16588" s="19"/>
      <c r="L16588" s="16" t="str">
        <f>IFERROR(__xludf.DUMMYFUNCTION("""COMPUTED_VALUE"""),"")</f>
        <v/>
      </c>
      <c r="M16588" s="16" t="str">
        <f>IFERROR(__xludf.DUMMYFUNCTION("""COMPUTED_VALUE"""),"")</f>
        <v/>
      </c>
      <c r="U16588" s="16" t="s">
        <v>87</v>
      </c>
      <c r="V16588" s="16" t="str">
        <f>IFERROR(__xludf.DUMMYFUNCTION("""COMPUTED_VALUE"""),"")</f>
        <v/>
      </c>
      <c r="W16588" s="16" t="str">
        <f>IFERROR(__xludf.DUMMYFUNCTION("""COMPUTED_VALUE"""),"")</f>
        <v/>
      </c>
      <c r="X16588" s="16" t="str">
        <f>IFERROR(__xludf.DUMMYFUNCTION("""COMPUTED_VALUE"""),"")</f>
        <v/>
      </c>
      <c r="AC16588" s="16" t="str">
        <f>IFERROR(__xludf.DUMMYFUNCTION("""COMPUTED_VALUE"""),"")</f>
        <v/>
      </c>
    </row>
    <row r="16589">
      <c r="A16589" s="16" t="s">
        <v>87</v>
      </c>
      <c r="E16589" s="16" t="str">
        <f>IFERROR(__xludf.DUMMYFUNCTION("""COMPUTED_VALUE"""),"")</f>
        <v/>
      </c>
      <c r="G16589" s="18"/>
      <c r="H16589" s="16" t="s">
        <v>87</v>
      </c>
      <c r="I16589" s="16" t="s">
        <v>87</v>
      </c>
      <c r="J16589" s="19"/>
      <c r="L16589" s="16" t="str">
        <f>IFERROR(__xludf.DUMMYFUNCTION("""COMPUTED_VALUE"""),"")</f>
        <v/>
      </c>
      <c r="M16589" s="16" t="str">
        <f>IFERROR(__xludf.DUMMYFUNCTION("""COMPUTED_VALUE"""),"")</f>
        <v/>
      </c>
      <c r="U16589" s="16" t="s">
        <v>87</v>
      </c>
      <c r="V16589" s="16" t="str">
        <f>IFERROR(__xludf.DUMMYFUNCTION("""COMPUTED_VALUE"""),"")</f>
        <v/>
      </c>
      <c r="W16589" s="16" t="str">
        <f>IFERROR(__xludf.DUMMYFUNCTION("""COMPUTED_VALUE"""),"")</f>
        <v/>
      </c>
      <c r="X16589" s="16" t="str">
        <f>IFERROR(__xludf.DUMMYFUNCTION("""COMPUTED_VALUE"""),"")</f>
        <v/>
      </c>
      <c r="AC16589" s="16" t="str">
        <f>IFERROR(__xludf.DUMMYFUNCTION("""COMPUTED_VALUE"""),"")</f>
        <v/>
      </c>
    </row>
    <row r="16590">
      <c r="A16590" s="16" t="s">
        <v>87</v>
      </c>
      <c r="E16590" s="16" t="str">
        <f>IFERROR(__xludf.DUMMYFUNCTION("""COMPUTED_VALUE"""),"")</f>
        <v/>
      </c>
      <c r="G16590" s="18"/>
      <c r="H16590" s="16" t="s">
        <v>87</v>
      </c>
      <c r="I16590" s="16" t="s">
        <v>87</v>
      </c>
      <c r="J16590" s="19"/>
      <c r="L16590" s="16" t="str">
        <f>IFERROR(__xludf.DUMMYFUNCTION("""COMPUTED_VALUE"""),"")</f>
        <v/>
      </c>
      <c r="M16590" s="16" t="str">
        <f>IFERROR(__xludf.DUMMYFUNCTION("""COMPUTED_VALUE"""),"")</f>
        <v/>
      </c>
      <c r="U16590" s="16" t="s">
        <v>87</v>
      </c>
      <c r="V16590" s="16" t="str">
        <f>IFERROR(__xludf.DUMMYFUNCTION("""COMPUTED_VALUE"""),"")</f>
        <v/>
      </c>
      <c r="W16590" s="16" t="str">
        <f>IFERROR(__xludf.DUMMYFUNCTION("""COMPUTED_VALUE"""),"")</f>
        <v/>
      </c>
      <c r="X16590" s="16" t="str">
        <f>IFERROR(__xludf.DUMMYFUNCTION("""COMPUTED_VALUE"""),"")</f>
        <v/>
      </c>
      <c r="AC16590" s="16" t="str">
        <f>IFERROR(__xludf.DUMMYFUNCTION("""COMPUTED_VALUE"""),"")</f>
        <v/>
      </c>
    </row>
    <row r="16591">
      <c r="A16591" s="16" t="s">
        <v>87</v>
      </c>
      <c r="E16591" s="16" t="str">
        <f>IFERROR(__xludf.DUMMYFUNCTION("""COMPUTED_VALUE"""),"")</f>
        <v/>
      </c>
      <c r="G16591" s="18"/>
      <c r="H16591" s="16" t="s">
        <v>87</v>
      </c>
      <c r="I16591" s="16" t="s">
        <v>87</v>
      </c>
      <c r="J16591" s="19"/>
      <c r="L16591" s="16" t="str">
        <f>IFERROR(__xludf.DUMMYFUNCTION("""COMPUTED_VALUE"""),"")</f>
        <v/>
      </c>
      <c r="M16591" s="16" t="str">
        <f>IFERROR(__xludf.DUMMYFUNCTION("""COMPUTED_VALUE"""),"")</f>
        <v/>
      </c>
      <c r="U16591" s="16" t="s">
        <v>87</v>
      </c>
      <c r="V16591" s="16" t="str">
        <f>IFERROR(__xludf.DUMMYFUNCTION("""COMPUTED_VALUE"""),"")</f>
        <v/>
      </c>
      <c r="W16591" s="16" t="str">
        <f>IFERROR(__xludf.DUMMYFUNCTION("""COMPUTED_VALUE"""),"")</f>
        <v/>
      </c>
      <c r="X16591" s="16" t="str">
        <f>IFERROR(__xludf.DUMMYFUNCTION("""COMPUTED_VALUE"""),"")</f>
        <v/>
      </c>
      <c r="AC16591" s="16" t="str">
        <f>IFERROR(__xludf.DUMMYFUNCTION("""COMPUTED_VALUE"""),"")</f>
        <v/>
      </c>
    </row>
    <row r="16592">
      <c r="A16592" s="16" t="s">
        <v>87</v>
      </c>
      <c r="E16592" s="16" t="str">
        <f>IFERROR(__xludf.DUMMYFUNCTION("""COMPUTED_VALUE"""),"")</f>
        <v/>
      </c>
      <c r="G16592" s="18"/>
      <c r="H16592" s="16" t="s">
        <v>87</v>
      </c>
      <c r="I16592" s="16" t="s">
        <v>87</v>
      </c>
      <c r="J16592" s="19"/>
      <c r="L16592" s="16" t="str">
        <f>IFERROR(__xludf.DUMMYFUNCTION("""COMPUTED_VALUE"""),"")</f>
        <v/>
      </c>
      <c r="M16592" s="16" t="str">
        <f>IFERROR(__xludf.DUMMYFUNCTION("""COMPUTED_VALUE"""),"")</f>
        <v/>
      </c>
      <c r="U16592" s="16" t="s">
        <v>87</v>
      </c>
      <c r="V16592" s="16" t="str">
        <f>IFERROR(__xludf.DUMMYFUNCTION("""COMPUTED_VALUE"""),"")</f>
        <v/>
      </c>
      <c r="W16592" s="16" t="str">
        <f>IFERROR(__xludf.DUMMYFUNCTION("""COMPUTED_VALUE"""),"")</f>
        <v/>
      </c>
      <c r="X16592" s="16" t="str">
        <f>IFERROR(__xludf.DUMMYFUNCTION("""COMPUTED_VALUE"""),"")</f>
        <v/>
      </c>
      <c r="AC16592" s="16" t="str">
        <f>IFERROR(__xludf.DUMMYFUNCTION("""COMPUTED_VALUE"""),"")</f>
        <v/>
      </c>
    </row>
    <row r="16593">
      <c r="A16593" s="16" t="s">
        <v>87</v>
      </c>
      <c r="E16593" s="16" t="str">
        <f>IFERROR(__xludf.DUMMYFUNCTION("""COMPUTED_VALUE"""),"")</f>
        <v/>
      </c>
      <c r="G16593" s="18"/>
      <c r="H16593" s="16" t="s">
        <v>87</v>
      </c>
      <c r="I16593" s="16" t="s">
        <v>87</v>
      </c>
      <c r="J16593" s="19"/>
      <c r="L16593" s="16" t="str">
        <f>IFERROR(__xludf.DUMMYFUNCTION("""COMPUTED_VALUE"""),"")</f>
        <v/>
      </c>
      <c r="M16593" s="16" t="str">
        <f>IFERROR(__xludf.DUMMYFUNCTION("""COMPUTED_VALUE"""),"")</f>
        <v/>
      </c>
      <c r="U16593" s="16" t="s">
        <v>87</v>
      </c>
      <c r="V16593" s="16" t="str">
        <f>IFERROR(__xludf.DUMMYFUNCTION("""COMPUTED_VALUE"""),"")</f>
        <v/>
      </c>
      <c r="W16593" s="16" t="str">
        <f>IFERROR(__xludf.DUMMYFUNCTION("""COMPUTED_VALUE"""),"")</f>
        <v/>
      </c>
      <c r="X16593" s="16" t="str">
        <f>IFERROR(__xludf.DUMMYFUNCTION("""COMPUTED_VALUE"""),"")</f>
        <v/>
      </c>
      <c r="AC16593" s="16" t="str">
        <f>IFERROR(__xludf.DUMMYFUNCTION("""COMPUTED_VALUE"""),"")</f>
        <v/>
      </c>
    </row>
    <row r="16594">
      <c r="A16594" s="16" t="s">
        <v>87</v>
      </c>
      <c r="E16594" s="16" t="str">
        <f>IFERROR(__xludf.DUMMYFUNCTION("""COMPUTED_VALUE"""),"")</f>
        <v/>
      </c>
      <c r="G16594" s="18"/>
      <c r="H16594" s="16" t="s">
        <v>87</v>
      </c>
      <c r="I16594" s="16" t="s">
        <v>87</v>
      </c>
      <c r="J16594" s="19"/>
      <c r="L16594" s="16" t="str">
        <f>IFERROR(__xludf.DUMMYFUNCTION("""COMPUTED_VALUE"""),"")</f>
        <v/>
      </c>
      <c r="M16594" s="16" t="str">
        <f>IFERROR(__xludf.DUMMYFUNCTION("""COMPUTED_VALUE"""),"")</f>
        <v/>
      </c>
      <c r="U16594" s="16" t="s">
        <v>87</v>
      </c>
      <c r="V16594" s="16" t="str">
        <f>IFERROR(__xludf.DUMMYFUNCTION("""COMPUTED_VALUE"""),"")</f>
        <v/>
      </c>
      <c r="W16594" s="16" t="str">
        <f>IFERROR(__xludf.DUMMYFUNCTION("""COMPUTED_VALUE"""),"")</f>
        <v/>
      </c>
      <c r="X16594" s="16" t="str">
        <f>IFERROR(__xludf.DUMMYFUNCTION("""COMPUTED_VALUE"""),"")</f>
        <v/>
      </c>
      <c r="AC16594" s="16" t="str">
        <f>IFERROR(__xludf.DUMMYFUNCTION("""COMPUTED_VALUE"""),"")</f>
        <v/>
      </c>
    </row>
    <row r="16595">
      <c r="A16595" s="16" t="s">
        <v>87</v>
      </c>
      <c r="E16595" s="16" t="str">
        <f>IFERROR(__xludf.DUMMYFUNCTION("""COMPUTED_VALUE"""),"")</f>
        <v/>
      </c>
      <c r="G16595" s="18"/>
      <c r="H16595" s="16" t="s">
        <v>87</v>
      </c>
      <c r="I16595" s="16" t="s">
        <v>87</v>
      </c>
      <c r="J16595" s="19"/>
      <c r="L16595" s="16" t="str">
        <f>IFERROR(__xludf.DUMMYFUNCTION("""COMPUTED_VALUE"""),"")</f>
        <v/>
      </c>
      <c r="M16595" s="16" t="str">
        <f>IFERROR(__xludf.DUMMYFUNCTION("""COMPUTED_VALUE"""),"")</f>
        <v/>
      </c>
      <c r="U16595" s="16" t="s">
        <v>87</v>
      </c>
      <c r="V16595" s="16" t="str">
        <f>IFERROR(__xludf.DUMMYFUNCTION("""COMPUTED_VALUE"""),"")</f>
        <v/>
      </c>
      <c r="W16595" s="16" t="str">
        <f>IFERROR(__xludf.DUMMYFUNCTION("""COMPUTED_VALUE"""),"")</f>
        <v/>
      </c>
      <c r="X16595" s="16" t="str">
        <f>IFERROR(__xludf.DUMMYFUNCTION("""COMPUTED_VALUE"""),"")</f>
        <v/>
      </c>
      <c r="AC16595" s="16" t="str">
        <f>IFERROR(__xludf.DUMMYFUNCTION("""COMPUTED_VALUE"""),"")</f>
        <v/>
      </c>
    </row>
    <row r="16596">
      <c r="A16596" s="16" t="s">
        <v>87</v>
      </c>
      <c r="E16596" s="16" t="str">
        <f>IFERROR(__xludf.DUMMYFUNCTION("""COMPUTED_VALUE"""),"")</f>
        <v/>
      </c>
      <c r="G16596" s="18"/>
      <c r="H16596" s="16" t="s">
        <v>87</v>
      </c>
      <c r="I16596" s="16" t="s">
        <v>87</v>
      </c>
      <c r="J16596" s="19"/>
      <c r="L16596" s="16" t="str">
        <f>IFERROR(__xludf.DUMMYFUNCTION("""COMPUTED_VALUE"""),"")</f>
        <v/>
      </c>
      <c r="M16596" s="16" t="str">
        <f>IFERROR(__xludf.DUMMYFUNCTION("""COMPUTED_VALUE"""),"")</f>
        <v/>
      </c>
      <c r="U16596" s="16" t="s">
        <v>87</v>
      </c>
      <c r="V16596" s="16" t="str">
        <f>IFERROR(__xludf.DUMMYFUNCTION("""COMPUTED_VALUE"""),"")</f>
        <v/>
      </c>
      <c r="W16596" s="16" t="str">
        <f>IFERROR(__xludf.DUMMYFUNCTION("""COMPUTED_VALUE"""),"")</f>
        <v/>
      </c>
      <c r="X16596" s="16" t="str">
        <f>IFERROR(__xludf.DUMMYFUNCTION("""COMPUTED_VALUE"""),"")</f>
        <v/>
      </c>
      <c r="AC16596" s="16" t="str">
        <f>IFERROR(__xludf.DUMMYFUNCTION("""COMPUTED_VALUE"""),"")</f>
        <v/>
      </c>
    </row>
    <row r="16597">
      <c r="A16597" s="16" t="s">
        <v>87</v>
      </c>
      <c r="E16597" s="16" t="str">
        <f>IFERROR(__xludf.DUMMYFUNCTION("""COMPUTED_VALUE"""),"")</f>
        <v/>
      </c>
      <c r="G16597" s="18"/>
      <c r="H16597" s="16" t="s">
        <v>87</v>
      </c>
      <c r="I16597" s="16" t="s">
        <v>87</v>
      </c>
      <c r="J16597" s="19"/>
      <c r="L16597" s="16" t="str">
        <f>IFERROR(__xludf.DUMMYFUNCTION("""COMPUTED_VALUE"""),"")</f>
        <v/>
      </c>
      <c r="M16597" s="16" t="str">
        <f>IFERROR(__xludf.DUMMYFUNCTION("""COMPUTED_VALUE"""),"")</f>
        <v/>
      </c>
      <c r="U16597" s="16" t="s">
        <v>87</v>
      </c>
      <c r="V16597" s="16" t="str">
        <f>IFERROR(__xludf.DUMMYFUNCTION("""COMPUTED_VALUE"""),"")</f>
        <v/>
      </c>
      <c r="W16597" s="16" t="str">
        <f>IFERROR(__xludf.DUMMYFUNCTION("""COMPUTED_VALUE"""),"")</f>
        <v/>
      </c>
      <c r="X16597" s="16" t="str">
        <f>IFERROR(__xludf.DUMMYFUNCTION("""COMPUTED_VALUE"""),"")</f>
        <v/>
      </c>
      <c r="AC16597" s="16" t="str">
        <f>IFERROR(__xludf.DUMMYFUNCTION("""COMPUTED_VALUE"""),"")</f>
        <v/>
      </c>
    </row>
    <row r="16598">
      <c r="A16598" s="16" t="s">
        <v>87</v>
      </c>
      <c r="E16598" s="16" t="str">
        <f>IFERROR(__xludf.DUMMYFUNCTION("""COMPUTED_VALUE"""),"")</f>
        <v/>
      </c>
      <c r="G16598" s="18"/>
      <c r="H16598" s="16" t="s">
        <v>87</v>
      </c>
      <c r="I16598" s="16" t="s">
        <v>87</v>
      </c>
      <c r="J16598" s="19"/>
      <c r="L16598" s="16" t="str">
        <f>IFERROR(__xludf.DUMMYFUNCTION("""COMPUTED_VALUE"""),"")</f>
        <v/>
      </c>
      <c r="M16598" s="16" t="str">
        <f>IFERROR(__xludf.DUMMYFUNCTION("""COMPUTED_VALUE"""),"")</f>
        <v/>
      </c>
      <c r="U16598" s="16" t="s">
        <v>87</v>
      </c>
      <c r="V16598" s="16" t="str">
        <f>IFERROR(__xludf.DUMMYFUNCTION("""COMPUTED_VALUE"""),"")</f>
        <v/>
      </c>
      <c r="W16598" s="16" t="str">
        <f>IFERROR(__xludf.DUMMYFUNCTION("""COMPUTED_VALUE"""),"")</f>
        <v/>
      </c>
      <c r="X16598" s="16" t="str">
        <f>IFERROR(__xludf.DUMMYFUNCTION("""COMPUTED_VALUE"""),"")</f>
        <v/>
      </c>
      <c r="AC16598" s="16" t="str">
        <f>IFERROR(__xludf.DUMMYFUNCTION("""COMPUTED_VALUE"""),"")</f>
        <v/>
      </c>
    </row>
    <row r="16599">
      <c r="A16599" s="16" t="s">
        <v>87</v>
      </c>
      <c r="E16599" s="16" t="str">
        <f>IFERROR(__xludf.DUMMYFUNCTION("""COMPUTED_VALUE"""),"")</f>
        <v/>
      </c>
      <c r="G16599" s="18"/>
      <c r="H16599" s="16" t="s">
        <v>87</v>
      </c>
      <c r="I16599" s="16" t="s">
        <v>87</v>
      </c>
      <c r="J16599" s="19"/>
      <c r="L16599" s="16" t="str">
        <f>IFERROR(__xludf.DUMMYFUNCTION("""COMPUTED_VALUE"""),"")</f>
        <v/>
      </c>
      <c r="M16599" s="16" t="str">
        <f>IFERROR(__xludf.DUMMYFUNCTION("""COMPUTED_VALUE"""),"")</f>
        <v/>
      </c>
      <c r="U16599" s="16" t="s">
        <v>87</v>
      </c>
      <c r="V16599" s="16" t="str">
        <f>IFERROR(__xludf.DUMMYFUNCTION("""COMPUTED_VALUE"""),"")</f>
        <v/>
      </c>
      <c r="W16599" s="16" t="str">
        <f>IFERROR(__xludf.DUMMYFUNCTION("""COMPUTED_VALUE"""),"")</f>
        <v/>
      </c>
      <c r="X16599" s="16" t="str">
        <f>IFERROR(__xludf.DUMMYFUNCTION("""COMPUTED_VALUE"""),"")</f>
        <v/>
      </c>
      <c r="AC16599" s="16" t="str">
        <f>IFERROR(__xludf.DUMMYFUNCTION("""COMPUTED_VALUE"""),"")</f>
        <v/>
      </c>
    </row>
    <row r="16600">
      <c r="A16600" s="16" t="s">
        <v>87</v>
      </c>
      <c r="E16600" s="16" t="str">
        <f>IFERROR(__xludf.DUMMYFUNCTION("""COMPUTED_VALUE"""),"")</f>
        <v/>
      </c>
      <c r="G16600" s="18"/>
      <c r="H16600" s="16" t="s">
        <v>87</v>
      </c>
      <c r="I16600" s="16" t="s">
        <v>87</v>
      </c>
      <c r="J16600" s="19"/>
      <c r="L16600" s="16" t="str">
        <f>IFERROR(__xludf.DUMMYFUNCTION("""COMPUTED_VALUE"""),"")</f>
        <v/>
      </c>
      <c r="M16600" s="16" t="str">
        <f>IFERROR(__xludf.DUMMYFUNCTION("""COMPUTED_VALUE"""),"")</f>
        <v/>
      </c>
      <c r="U16600" s="16" t="s">
        <v>87</v>
      </c>
      <c r="V16600" s="16" t="str">
        <f>IFERROR(__xludf.DUMMYFUNCTION("""COMPUTED_VALUE"""),"")</f>
        <v/>
      </c>
      <c r="W16600" s="16" t="str">
        <f>IFERROR(__xludf.DUMMYFUNCTION("""COMPUTED_VALUE"""),"")</f>
        <v/>
      </c>
      <c r="X16600" s="16" t="str">
        <f>IFERROR(__xludf.DUMMYFUNCTION("""COMPUTED_VALUE"""),"")</f>
        <v/>
      </c>
      <c r="AC16600" s="16" t="str">
        <f>IFERROR(__xludf.DUMMYFUNCTION("""COMPUTED_VALUE"""),"")</f>
        <v/>
      </c>
    </row>
    <row r="16601">
      <c r="A16601" s="16" t="s">
        <v>87</v>
      </c>
      <c r="E16601" s="16" t="str">
        <f>IFERROR(__xludf.DUMMYFUNCTION("""COMPUTED_VALUE"""),"")</f>
        <v/>
      </c>
      <c r="G16601" s="18"/>
      <c r="H16601" s="16" t="s">
        <v>87</v>
      </c>
      <c r="I16601" s="16" t="s">
        <v>87</v>
      </c>
      <c r="J16601" s="19"/>
      <c r="L16601" s="16" t="str">
        <f>IFERROR(__xludf.DUMMYFUNCTION("""COMPUTED_VALUE"""),"")</f>
        <v/>
      </c>
      <c r="M16601" s="16" t="str">
        <f>IFERROR(__xludf.DUMMYFUNCTION("""COMPUTED_VALUE"""),"")</f>
        <v/>
      </c>
      <c r="U16601" s="16" t="s">
        <v>87</v>
      </c>
      <c r="V16601" s="16" t="str">
        <f>IFERROR(__xludf.DUMMYFUNCTION("""COMPUTED_VALUE"""),"")</f>
        <v/>
      </c>
      <c r="W16601" s="16" t="str">
        <f>IFERROR(__xludf.DUMMYFUNCTION("""COMPUTED_VALUE"""),"")</f>
        <v/>
      </c>
      <c r="X16601" s="16" t="str">
        <f>IFERROR(__xludf.DUMMYFUNCTION("""COMPUTED_VALUE"""),"")</f>
        <v/>
      </c>
      <c r="AC16601" s="16" t="str">
        <f>IFERROR(__xludf.DUMMYFUNCTION("""COMPUTED_VALUE"""),"")</f>
        <v/>
      </c>
    </row>
    <row r="16602">
      <c r="A16602" s="16" t="s">
        <v>87</v>
      </c>
      <c r="E16602" s="16" t="str">
        <f>IFERROR(__xludf.DUMMYFUNCTION("""COMPUTED_VALUE"""),"")</f>
        <v/>
      </c>
      <c r="G16602" s="18"/>
      <c r="H16602" s="16" t="s">
        <v>87</v>
      </c>
      <c r="I16602" s="16" t="s">
        <v>87</v>
      </c>
      <c r="J16602" s="19"/>
      <c r="L16602" s="16" t="str">
        <f>IFERROR(__xludf.DUMMYFUNCTION("""COMPUTED_VALUE"""),"")</f>
        <v/>
      </c>
      <c r="M16602" s="16" t="str">
        <f>IFERROR(__xludf.DUMMYFUNCTION("""COMPUTED_VALUE"""),"")</f>
        <v/>
      </c>
      <c r="U16602" s="16" t="s">
        <v>87</v>
      </c>
      <c r="V16602" s="16" t="str">
        <f>IFERROR(__xludf.DUMMYFUNCTION("""COMPUTED_VALUE"""),"")</f>
        <v/>
      </c>
      <c r="W16602" s="16" t="str">
        <f>IFERROR(__xludf.DUMMYFUNCTION("""COMPUTED_VALUE"""),"")</f>
        <v/>
      </c>
      <c r="X16602" s="16" t="str">
        <f>IFERROR(__xludf.DUMMYFUNCTION("""COMPUTED_VALUE"""),"")</f>
        <v/>
      </c>
      <c r="AC16602" s="16" t="str">
        <f>IFERROR(__xludf.DUMMYFUNCTION("""COMPUTED_VALUE"""),"")</f>
        <v/>
      </c>
    </row>
    <row r="16603">
      <c r="A16603" s="16" t="s">
        <v>87</v>
      </c>
      <c r="E16603" s="16" t="str">
        <f>IFERROR(__xludf.DUMMYFUNCTION("""COMPUTED_VALUE"""),"")</f>
        <v/>
      </c>
      <c r="G16603" s="18"/>
      <c r="H16603" s="16" t="s">
        <v>87</v>
      </c>
      <c r="I16603" s="16" t="s">
        <v>87</v>
      </c>
      <c r="J16603" s="19"/>
      <c r="L16603" s="16" t="str">
        <f>IFERROR(__xludf.DUMMYFUNCTION("""COMPUTED_VALUE"""),"")</f>
        <v/>
      </c>
      <c r="M16603" s="16" t="str">
        <f>IFERROR(__xludf.DUMMYFUNCTION("""COMPUTED_VALUE"""),"")</f>
        <v/>
      </c>
      <c r="U16603" s="16" t="s">
        <v>87</v>
      </c>
      <c r="V16603" s="16" t="str">
        <f>IFERROR(__xludf.DUMMYFUNCTION("""COMPUTED_VALUE"""),"")</f>
        <v/>
      </c>
      <c r="W16603" s="16" t="str">
        <f>IFERROR(__xludf.DUMMYFUNCTION("""COMPUTED_VALUE"""),"")</f>
        <v/>
      </c>
      <c r="X16603" s="16" t="str">
        <f>IFERROR(__xludf.DUMMYFUNCTION("""COMPUTED_VALUE"""),"")</f>
        <v/>
      </c>
      <c r="AC16603" s="16" t="str">
        <f>IFERROR(__xludf.DUMMYFUNCTION("""COMPUTED_VALUE"""),"")</f>
        <v/>
      </c>
    </row>
    <row r="16604">
      <c r="A16604" s="16" t="s">
        <v>87</v>
      </c>
      <c r="E16604" s="16" t="str">
        <f>IFERROR(__xludf.DUMMYFUNCTION("""COMPUTED_VALUE"""),"")</f>
        <v/>
      </c>
      <c r="G16604" s="18"/>
      <c r="H16604" s="16" t="s">
        <v>87</v>
      </c>
      <c r="I16604" s="16" t="s">
        <v>87</v>
      </c>
      <c r="J16604" s="19"/>
      <c r="L16604" s="16" t="str">
        <f>IFERROR(__xludf.DUMMYFUNCTION("""COMPUTED_VALUE"""),"")</f>
        <v/>
      </c>
      <c r="M16604" s="16" t="str">
        <f>IFERROR(__xludf.DUMMYFUNCTION("""COMPUTED_VALUE"""),"")</f>
        <v/>
      </c>
      <c r="U16604" s="16" t="s">
        <v>87</v>
      </c>
      <c r="V16604" s="16" t="str">
        <f>IFERROR(__xludf.DUMMYFUNCTION("""COMPUTED_VALUE"""),"")</f>
        <v/>
      </c>
      <c r="W16604" s="16" t="str">
        <f>IFERROR(__xludf.DUMMYFUNCTION("""COMPUTED_VALUE"""),"")</f>
        <v/>
      </c>
      <c r="X16604" s="16" t="str">
        <f>IFERROR(__xludf.DUMMYFUNCTION("""COMPUTED_VALUE"""),"")</f>
        <v/>
      </c>
      <c r="AC16604" s="16" t="str">
        <f>IFERROR(__xludf.DUMMYFUNCTION("""COMPUTED_VALUE"""),"")</f>
        <v/>
      </c>
    </row>
    <row r="16605">
      <c r="A16605" s="16" t="s">
        <v>87</v>
      </c>
      <c r="E16605" s="16" t="str">
        <f>IFERROR(__xludf.DUMMYFUNCTION("""COMPUTED_VALUE"""),"")</f>
        <v/>
      </c>
      <c r="G16605" s="18"/>
      <c r="H16605" s="16" t="s">
        <v>87</v>
      </c>
      <c r="I16605" s="16" t="s">
        <v>87</v>
      </c>
      <c r="J16605" s="19"/>
      <c r="L16605" s="16" t="str">
        <f>IFERROR(__xludf.DUMMYFUNCTION("""COMPUTED_VALUE"""),"")</f>
        <v/>
      </c>
      <c r="M16605" s="16" t="str">
        <f>IFERROR(__xludf.DUMMYFUNCTION("""COMPUTED_VALUE"""),"")</f>
        <v/>
      </c>
      <c r="U16605" s="16" t="s">
        <v>87</v>
      </c>
      <c r="V16605" s="16" t="str">
        <f>IFERROR(__xludf.DUMMYFUNCTION("""COMPUTED_VALUE"""),"")</f>
        <v/>
      </c>
      <c r="W16605" s="16" t="str">
        <f>IFERROR(__xludf.DUMMYFUNCTION("""COMPUTED_VALUE"""),"")</f>
        <v/>
      </c>
      <c r="X16605" s="16" t="str">
        <f>IFERROR(__xludf.DUMMYFUNCTION("""COMPUTED_VALUE"""),"")</f>
        <v/>
      </c>
      <c r="AC16605" s="16" t="str">
        <f>IFERROR(__xludf.DUMMYFUNCTION("""COMPUTED_VALUE"""),"")</f>
        <v/>
      </c>
    </row>
    <row r="16606">
      <c r="A16606" s="16" t="s">
        <v>87</v>
      </c>
      <c r="E16606" s="16" t="str">
        <f>IFERROR(__xludf.DUMMYFUNCTION("""COMPUTED_VALUE"""),"")</f>
        <v/>
      </c>
      <c r="G16606" s="18"/>
      <c r="H16606" s="16" t="s">
        <v>87</v>
      </c>
      <c r="I16606" s="16" t="s">
        <v>87</v>
      </c>
      <c r="J16606" s="19"/>
      <c r="L16606" s="16" t="str">
        <f>IFERROR(__xludf.DUMMYFUNCTION("""COMPUTED_VALUE"""),"")</f>
        <v/>
      </c>
      <c r="M16606" s="16" t="str">
        <f>IFERROR(__xludf.DUMMYFUNCTION("""COMPUTED_VALUE"""),"")</f>
        <v/>
      </c>
      <c r="U16606" s="16" t="s">
        <v>87</v>
      </c>
      <c r="V16606" s="16" t="str">
        <f>IFERROR(__xludf.DUMMYFUNCTION("""COMPUTED_VALUE"""),"")</f>
        <v/>
      </c>
      <c r="W16606" s="16" t="str">
        <f>IFERROR(__xludf.DUMMYFUNCTION("""COMPUTED_VALUE"""),"")</f>
        <v/>
      </c>
      <c r="X16606" s="16" t="str">
        <f>IFERROR(__xludf.DUMMYFUNCTION("""COMPUTED_VALUE"""),"")</f>
        <v/>
      </c>
      <c r="AC16606" s="16" t="str">
        <f>IFERROR(__xludf.DUMMYFUNCTION("""COMPUTED_VALUE"""),"")</f>
        <v/>
      </c>
    </row>
    <row r="16607">
      <c r="A16607" s="16" t="s">
        <v>87</v>
      </c>
      <c r="E16607" s="16" t="str">
        <f>IFERROR(__xludf.DUMMYFUNCTION("""COMPUTED_VALUE"""),"")</f>
        <v/>
      </c>
      <c r="G16607" s="18"/>
      <c r="H16607" s="16" t="s">
        <v>87</v>
      </c>
      <c r="I16607" s="16" t="s">
        <v>87</v>
      </c>
      <c r="J16607" s="19"/>
      <c r="L16607" s="16" t="str">
        <f>IFERROR(__xludf.DUMMYFUNCTION("""COMPUTED_VALUE"""),"")</f>
        <v/>
      </c>
      <c r="M16607" s="16" t="str">
        <f>IFERROR(__xludf.DUMMYFUNCTION("""COMPUTED_VALUE"""),"")</f>
        <v/>
      </c>
      <c r="U16607" s="16" t="s">
        <v>87</v>
      </c>
      <c r="V16607" s="16" t="str">
        <f>IFERROR(__xludf.DUMMYFUNCTION("""COMPUTED_VALUE"""),"")</f>
        <v/>
      </c>
      <c r="W16607" s="16" t="str">
        <f>IFERROR(__xludf.DUMMYFUNCTION("""COMPUTED_VALUE"""),"")</f>
        <v/>
      </c>
      <c r="X16607" s="16" t="str">
        <f>IFERROR(__xludf.DUMMYFUNCTION("""COMPUTED_VALUE"""),"")</f>
        <v/>
      </c>
      <c r="AC16607" s="16" t="str">
        <f>IFERROR(__xludf.DUMMYFUNCTION("""COMPUTED_VALUE"""),"")</f>
        <v/>
      </c>
    </row>
    <row r="16608">
      <c r="A16608" s="16" t="s">
        <v>87</v>
      </c>
      <c r="E16608" s="16" t="str">
        <f>IFERROR(__xludf.DUMMYFUNCTION("""COMPUTED_VALUE"""),"")</f>
        <v/>
      </c>
      <c r="G16608" s="18"/>
      <c r="H16608" s="16" t="s">
        <v>87</v>
      </c>
      <c r="I16608" s="16" t="s">
        <v>87</v>
      </c>
      <c r="J16608" s="19"/>
      <c r="L16608" s="16" t="str">
        <f>IFERROR(__xludf.DUMMYFUNCTION("""COMPUTED_VALUE"""),"")</f>
        <v/>
      </c>
      <c r="M16608" s="16" t="str">
        <f>IFERROR(__xludf.DUMMYFUNCTION("""COMPUTED_VALUE"""),"")</f>
        <v/>
      </c>
      <c r="U16608" s="16" t="s">
        <v>87</v>
      </c>
      <c r="V16608" s="16" t="str">
        <f>IFERROR(__xludf.DUMMYFUNCTION("""COMPUTED_VALUE"""),"")</f>
        <v/>
      </c>
      <c r="W16608" s="16" t="str">
        <f>IFERROR(__xludf.DUMMYFUNCTION("""COMPUTED_VALUE"""),"")</f>
        <v/>
      </c>
      <c r="X16608" s="16" t="str">
        <f>IFERROR(__xludf.DUMMYFUNCTION("""COMPUTED_VALUE"""),"")</f>
        <v/>
      </c>
      <c r="AC16608" s="16" t="str">
        <f>IFERROR(__xludf.DUMMYFUNCTION("""COMPUTED_VALUE"""),"")</f>
        <v/>
      </c>
    </row>
    <row r="16609">
      <c r="A16609" s="16" t="s">
        <v>87</v>
      </c>
      <c r="E16609" s="16" t="str">
        <f>IFERROR(__xludf.DUMMYFUNCTION("""COMPUTED_VALUE"""),"")</f>
        <v/>
      </c>
      <c r="G16609" s="18"/>
      <c r="H16609" s="16" t="s">
        <v>87</v>
      </c>
      <c r="I16609" s="16" t="s">
        <v>87</v>
      </c>
      <c r="J16609" s="19"/>
      <c r="L16609" s="16" t="str">
        <f>IFERROR(__xludf.DUMMYFUNCTION("""COMPUTED_VALUE"""),"")</f>
        <v/>
      </c>
      <c r="M16609" s="16" t="str">
        <f>IFERROR(__xludf.DUMMYFUNCTION("""COMPUTED_VALUE"""),"")</f>
        <v/>
      </c>
      <c r="U16609" s="16" t="s">
        <v>87</v>
      </c>
      <c r="V16609" s="16" t="str">
        <f>IFERROR(__xludf.DUMMYFUNCTION("""COMPUTED_VALUE"""),"")</f>
        <v/>
      </c>
      <c r="W16609" s="16" t="str">
        <f>IFERROR(__xludf.DUMMYFUNCTION("""COMPUTED_VALUE"""),"")</f>
        <v/>
      </c>
      <c r="X16609" s="16" t="str">
        <f>IFERROR(__xludf.DUMMYFUNCTION("""COMPUTED_VALUE"""),"")</f>
        <v/>
      </c>
      <c r="AC16609" s="16" t="str">
        <f>IFERROR(__xludf.DUMMYFUNCTION("""COMPUTED_VALUE"""),"")</f>
        <v/>
      </c>
    </row>
    <row r="16610">
      <c r="A16610" s="16" t="s">
        <v>87</v>
      </c>
      <c r="E16610" s="16" t="str">
        <f>IFERROR(__xludf.DUMMYFUNCTION("""COMPUTED_VALUE"""),"")</f>
        <v/>
      </c>
      <c r="G16610" s="18"/>
      <c r="H16610" s="16" t="s">
        <v>87</v>
      </c>
      <c r="I16610" s="16" t="s">
        <v>87</v>
      </c>
      <c r="J16610" s="19"/>
      <c r="L16610" s="16" t="str">
        <f>IFERROR(__xludf.DUMMYFUNCTION("""COMPUTED_VALUE"""),"")</f>
        <v/>
      </c>
      <c r="M16610" s="16" t="str">
        <f>IFERROR(__xludf.DUMMYFUNCTION("""COMPUTED_VALUE"""),"")</f>
        <v/>
      </c>
      <c r="U16610" s="16" t="s">
        <v>87</v>
      </c>
      <c r="V16610" s="16" t="str">
        <f>IFERROR(__xludf.DUMMYFUNCTION("""COMPUTED_VALUE"""),"")</f>
        <v/>
      </c>
      <c r="W16610" s="16" t="str">
        <f>IFERROR(__xludf.DUMMYFUNCTION("""COMPUTED_VALUE"""),"")</f>
        <v/>
      </c>
      <c r="X16610" s="16" t="str">
        <f>IFERROR(__xludf.DUMMYFUNCTION("""COMPUTED_VALUE"""),"")</f>
        <v/>
      </c>
      <c r="AC16610" s="16" t="str">
        <f>IFERROR(__xludf.DUMMYFUNCTION("""COMPUTED_VALUE"""),"")</f>
        <v/>
      </c>
    </row>
    <row r="16611">
      <c r="A16611" s="16" t="s">
        <v>87</v>
      </c>
      <c r="E16611" s="16" t="str">
        <f>IFERROR(__xludf.DUMMYFUNCTION("""COMPUTED_VALUE"""),"")</f>
        <v/>
      </c>
      <c r="G16611" s="18"/>
      <c r="H16611" s="16" t="s">
        <v>87</v>
      </c>
      <c r="I16611" s="16" t="s">
        <v>87</v>
      </c>
      <c r="J16611" s="19"/>
      <c r="L16611" s="16" t="str">
        <f>IFERROR(__xludf.DUMMYFUNCTION("""COMPUTED_VALUE"""),"")</f>
        <v/>
      </c>
      <c r="M16611" s="16" t="str">
        <f>IFERROR(__xludf.DUMMYFUNCTION("""COMPUTED_VALUE"""),"")</f>
        <v/>
      </c>
      <c r="U16611" s="16" t="s">
        <v>87</v>
      </c>
      <c r="V16611" s="16" t="str">
        <f>IFERROR(__xludf.DUMMYFUNCTION("""COMPUTED_VALUE"""),"")</f>
        <v/>
      </c>
      <c r="W16611" s="16" t="str">
        <f>IFERROR(__xludf.DUMMYFUNCTION("""COMPUTED_VALUE"""),"")</f>
        <v/>
      </c>
      <c r="X16611" s="16" t="str">
        <f>IFERROR(__xludf.DUMMYFUNCTION("""COMPUTED_VALUE"""),"")</f>
        <v/>
      </c>
      <c r="AC16611" s="16" t="str">
        <f>IFERROR(__xludf.DUMMYFUNCTION("""COMPUTED_VALUE"""),"")</f>
        <v/>
      </c>
    </row>
    <row r="16612">
      <c r="A16612" s="16" t="s">
        <v>87</v>
      </c>
      <c r="E16612" s="16" t="str">
        <f>IFERROR(__xludf.DUMMYFUNCTION("""COMPUTED_VALUE"""),"")</f>
        <v/>
      </c>
      <c r="G16612" s="18"/>
      <c r="H16612" s="16" t="s">
        <v>87</v>
      </c>
      <c r="I16612" s="16" t="s">
        <v>87</v>
      </c>
      <c r="J16612" s="19"/>
      <c r="L16612" s="16" t="str">
        <f>IFERROR(__xludf.DUMMYFUNCTION("""COMPUTED_VALUE"""),"")</f>
        <v/>
      </c>
      <c r="M16612" s="16" t="str">
        <f>IFERROR(__xludf.DUMMYFUNCTION("""COMPUTED_VALUE"""),"")</f>
        <v/>
      </c>
      <c r="U16612" s="16" t="s">
        <v>87</v>
      </c>
      <c r="V16612" s="16" t="str">
        <f>IFERROR(__xludf.DUMMYFUNCTION("""COMPUTED_VALUE"""),"")</f>
        <v/>
      </c>
      <c r="W16612" s="16" t="str">
        <f>IFERROR(__xludf.DUMMYFUNCTION("""COMPUTED_VALUE"""),"")</f>
        <v/>
      </c>
      <c r="X16612" s="16" t="str">
        <f>IFERROR(__xludf.DUMMYFUNCTION("""COMPUTED_VALUE"""),"")</f>
        <v/>
      </c>
      <c r="AC16612" s="16" t="str">
        <f>IFERROR(__xludf.DUMMYFUNCTION("""COMPUTED_VALUE"""),"")</f>
        <v/>
      </c>
    </row>
    <row r="16613">
      <c r="A16613" s="16" t="s">
        <v>87</v>
      </c>
      <c r="E16613" s="16" t="str">
        <f>IFERROR(__xludf.DUMMYFUNCTION("""COMPUTED_VALUE"""),"")</f>
        <v/>
      </c>
      <c r="G16613" s="18"/>
      <c r="H16613" s="16" t="s">
        <v>87</v>
      </c>
      <c r="I16613" s="16" t="s">
        <v>87</v>
      </c>
      <c r="J16613" s="19"/>
      <c r="L16613" s="16" t="str">
        <f>IFERROR(__xludf.DUMMYFUNCTION("""COMPUTED_VALUE"""),"")</f>
        <v/>
      </c>
      <c r="M16613" s="16" t="str">
        <f>IFERROR(__xludf.DUMMYFUNCTION("""COMPUTED_VALUE"""),"")</f>
        <v/>
      </c>
      <c r="U16613" s="16" t="s">
        <v>87</v>
      </c>
      <c r="V16613" s="16" t="str">
        <f>IFERROR(__xludf.DUMMYFUNCTION("""COMPUTED_VALUE"""),"")</f>
        <v/>
      </c>
      <c r="W16613" s="16" t="str">
        <f>IFERROR(__xludf.DUMMYFUNCTION("""COMPUTED_VALUE"""),"")</f>
        <v/>
      </c>
      <c r="X16613" s="16" t="str">
        <f>IFERROR(__xludf.DUMMYFUNCTION("""COMPUTED_VALUE"""),"")</f>
        <v/>
      </c>
      <c r="AC16613" s="16" t="str">
        <f>IFERROR(__xludf.DUMMYFUNCTION("""COMPUTED_VALUE"""),"")</f>
        <v/>
      </c>
    </row>
    <row r="16614">
      <c r="A16614" s="16" t="s">
        <v>87</v>
      </c>
      <c r="E16614" s="16" t="str">
        <f>IFERROR(__xludf.DUMMYFUNCTION("""COMPUTED_VALUE"""),"")</f>
        <v/>
      </c>
      <c r="G16614" s="18"/>
      <c r="H16614" s="16" t="s">
        <v>87</v>
      </c>
      <c r="I16614" s="16" t="s">
        <v>87</v>
      </c>
      <c r="J16614" s="19"/>
      <c r="L16614" s="16" t="str">
        <f>IFERROR(__xludf.DUMMYFUNCTION("""COMPUTED_VALUE"""),"")</f>
        <v/>
      </c>
      <c r="M16614" s="16" t="str">
        <f>IFERROR(__xludf.DUMMYFUNCTION("""COMPUTED_VALUE"""),"")</f>
        <v/>
      </c>
      <c r="U16614" s="16" t="s">
        <v>87</v>
      </c>
      <c r="V16614" s="16" t="str">
        <f>IFERROR(__xludf.DUMMYFUNCTION("""COMPUTED_VALUE"""),"")</f>
        <v/>
      </c>
      <c r="W16614" s="16" t="str">
        <f>IFERROR(__xludf.DUMMYFUNCTION("""COMPUTED_VALUE"""),"")</f>
        <v/>
      </c>
      <c r="X16614" s="16" t="str">
        <f>IFERROR(__xludf.DUMMYFUNCTION("""COMPUTED_VALUE"""),"")</f>
        <v/>
      </c>
      <c r="AC16614" s="16" t="str">
        <f>IFERROR(__xludf.DUMMYFUNCTION("""COMPUTED_VALUE"""),"")</f>
        <v/>
      </c>
    </row>
    <row r="16615">
      <c r="A16615" s="16" t="s">
        <v>87</v>
      </c>
      <c r="E16615" s="16" t="str">
        <f>IFERROR(__xludf.DUMMYFUNCTION("""COMPUTED_VALUE"""),"")</f>
        <v/>
      </c>
      <c r="G16615" s="18"/>
      <c r="H16615" s="16" t="s">
        <v>87</v>
      </c>
      <c r="I16615" s="16" t="s">
        <v>87</v>
      </c>
      <c r="J16615" s="19"/>
      <c r="L16615" s="16" t="str">
        <f>IFERROR(__xludf.DUMMYFUNCTION("""COMPUTED_VALUE"""),"")</f>
        <v/>
      </c>
      <c r="M16615" s="16" t="str">
        <f>IFERROR(__xludf.DUMMYFUNCTION("""COMPUTED_VALUE"""),"")</f>
        <v/>
      </c>
      <c r="U16615" s="16" t="s">
        <v>87</v>
      </c>
      <c r="V16615" s="16" t="str">
        <f>IFERROR(__xludf.DUMMYFUNCTION("""COMPUTED_VALUE"""),"")</f>
        <v/>
      </c>
      <c r="W16615" s="16" t="str">
        <f>IFERROR(__xludf.DUMMYFUNCTION("""COMPUTED_VALUE"""),"")</f>
        <v/>
      </c>
      <c r="X16615" s="16" t="str">
        <f>IFERROR(__xludf.DUMMYFUNCTION("""COMPUTED_VALUE"""),"")</f>
        <v/>
      </c>
      <c r="AC16615" s="16" t="str">
        <f>IFERROR(__xludf.DUMMYFUNCTION("""COMPUTED_VALUE"""),"")</f>
        <v/>
      </c>
    </row>
    <row r="16616">
      <c r="A16616" s="16" t="s">
        <v>87</v>
      </c>
      <c r="E16616" s="16" t="str">
        <f>IFERROR(__xludf.DUMMYFUNCTION("""COMPUTED_VALUE"""),"")</f>
        <v/>
      </c>
      <c r="G16616" s="18"/>
      <c r="H16616" s="16" t="s">
        <v>87</v>
      </c>
      <c r="I16616" s="16" t="s">
        <v>87</v>
      </c>
      <c r="J16616" s="19"/>
      <c r="L16616" s="16" t="str">
        <f>IFERROR(__xludf.DUMMYFUNCTION("""COMPUTED_VALUE"""),"")</f>
        <v/>
      </c>
      <c r="M16616" s="16" t="str">
        <f>IFERROR(__xludf.DUMMYFUNCTION("""COMPUTED_VALUE"""),"")</f>
        <v/>
      </c>
      <c r="U16616" s="16" t="s">
        <v>87</v>
      </c>
      <c r="V16616" s="16" t="str">
        <f>IFERROR(__xludf.DUMMYFUNCTION("""COMPUTED_VALUE"""),"")</f>
        <v/>
      </c>
      <c r="W16616" s="16" t="str">
        <f>IFERROR(__xludf.DUMMYFUNCTION("""COMPUTED_VALUE"""),"")</f>
        <v/>
      </c>
      <c r="X16616" s="16" t="str">
        <f>IFERROR(__xludf.DUMMYFUNCTION("""COMPUTED_VALUE"""),"")</f>
        <v/>
      </c>
      <c r="AC16616" s="16" t="str">
        <f>IFERROR(__xludf.DUMMYFUNCTION("""COMPUTED_VALUE"""),"")</f>
        <v/>
      </c>
    </row>
    <row r="16617">
      <c r="A16617" s="16" t="s">
        <v>87</v>
      </c>
      <c r="E16617" s="16" t="str">
        <f>IFERROR(__xludf.DUMMYFUNCTION("""COMPUTED_VALUE"""),"")</f>
        <v/>
      </c>
      <c r="G16617" s="18"/>
      <c r="H16617" s="16" t="s">
        <v>87</v>
      </c>
      <c r="I16617" s="16" t="s">
        <v>87</v>
      </c>
      <c r="J16617" s="19"/>
      <c r="L16617" s="16" t="str">
        <f>IFERROR(__xludf.DUMMYFUNCTION("""COMPUTED_VALUE"""),"")</f>
        <v/>
      </c>
      <c r="M16617" s="16" t="str">
        <f>IFERROR(__xludf.DUMMYFUNCTION("""COMPUTED_VALUE"""),"")</f>
        <v/>
      </c>
      <c r="U16617" s="16" t="s">
        <v>87</v>
      </c>
      <c r="V16617" s="16" t="str">
        <f>IFERROR(__xludf.DUMMYFUNCTION("""COMPUTED_VALUE"""),"")</f>
        <v/>
      </c>
      <c r="W16617" s="16" t="str">
        <f>IFERROR(__xludf.DUMMYFUNCTION("""COMPUTED_VALUE"""),"")</f>
        <v/>
      </c>
      <c r="X16617" s="16" t="str">
        <f>IFERROR(__xludf.DUMMYFUNCTION("""COMPUTED_VALUE"""),"")</f>
        <v/>
      </c>
      <c r="AC16617" s="16" t="str">
        <f>IFERROR(__xludf.DUMMYFUNCTION("""COMPUTED_VALUE"""),"")</f>
        <v/>
      </c>
    </row>
    <row r="16618">
      <c r="A16618" s="16" t="s">
        <v>87</v>
      </c>
      <c r="E16618" s="16" t="str">
        <f>IFERROR(__xludf.DUMMYFUNCTION("""COMPUTED_VALUE"""),"")</f>
        <v/>
      </c>
      <c r="G16618" s="18"/>
      <c r="H16618" s="16" t="s">
        <v>87</v>
      </c>
      <c r="I16618" s="16" t="s">
        <v>87</v>
      </c>
      <c r="J16618" s="19"/>
      <c r="L16618" s="16" t="str">
        <f>IFERROR(__xludf.DUMMYFUNCTION("""COMPUTED_VALUE"""),"")</f>
        <v/>
      </c>
      <c r="M16618" s="16" t="str">
        <f>IFERROR(__xludf.DUMMYFUNCTION("""COMPUTED_VALUE"""),"")</f>
        <v/>
      </c>
      <c r="U16618" s="16" t="s">
        <v>87</v>
      </c>
      <c r="V16618" s="16" t="str">
        <f>IFERROR(__xludf.DUMMYFUNCTION("""COMPUTED_VALUE"""),"")</f>
        <v/>
      </c>
      <c r="W16618" s="16" t="str">
        <f>IFERROR(__xludf.DUMMYFUNCTION("""COMPUTED_VALUE"""),"")</f>
        <v/>
      </c>
      <c r="X16618" s="16" t="str">
        <f>IFERROR(__xludf.DUMMYFUNCTION("""COMPUTED_VALUE"""),"")</f>
        <v/>
      </c>
      <c r="AC16618" s="16" t="str">
        <f>IFERROR(__xludf.DUMMYFUNCTION("""COMPUTED_VALUE"""),"")</f>
        <v/>
      </c>
    </row>
    <row r="16619">
      <c r="A16619" s="16" t="s">
        <v>87</v>
      </c>
      <c r="E16619" s="16" t="str">
        <f>IFERROR(__xludf.DUMMYFUNCTION("""COMPUTED_VALUE"""),"")</f>
        <v/>
      </c>
      <c r="G16619" s="18"/>
      <c r="H16619" s="16" t="s">
        <v>87</v>
      </c>
      <c r="I16619" s="16" t="s">
        <v>87</v>
      </c>
      <c r="J16619" s="19"/>
      <c r="L16619" s="16" t="str">
        <f>IFERROR(__xludf.DUMMYFUNCTION("""COMPUTED_VALUE"""),"")</f>
        <v/>
      </c>
      <c r="M16619" s="16" t="str">
        <f>IFERROR(__xludf.DUMMYFUNCTION("""COMPUTED_VALUE"""),"")</f>
        <v/>
      </c>
      <c r="U16619" s="16" t="s">
        <v>87</v>
      </c>
      <c r="V16619" s="16" t="str">
        <f>IFERROR(__xludf.DUMMYFUNCTION("""COMPUTED_VALUE"""),"")</f>
        <v/>
      </c>
      <c r="W16619" s="16" t="str">
        <f>IFERROR(__xludf.DUMMYFUNCTION("""COMPUTED_VALUE"""),"")</f>
        <v/>
      </c>
      <c r="X16619" s="16" t="str">
        <f>IFERROR(__xludf.DUMMYFUNCTION("""COMPUTED_VALUE"""),"")</f>
        <v/>
      </c>
      <c r="AC16619" s="16" t="str">
        <f>IFERROR(__xludf.DUMMYFUNCTION("""COMPUTED_VALUE"""),"")</f>
        <v/>
      </c>
    </row>
    <row r="16620">
      <c r="A16620" s="16" t="s">
        <v>87</v>
      </c>
      <c r="E16620" s="16" t="str">
        <f>IFERROR(__xludf.DUMMYFUNCTION("""COMPUTED_VALUE"""),"")</f>
        <v/>
      </c>
      <c r="G16620" s="18"/>
      <c r="H16620" s="16" t="s">
        <v>87</v>
      </c>
      <c r="I16620" s="16" t="s">
        <v>87</v>
      </c>
      <c r="J16620" s="19"/>
      <c r="L16620" s="16" t="str">
        <f>IFERROR(__xludf.DUMMYFUNCTION("""COMPUTED_VALUE"""),"")</f>
        <v/>
      </c>
      <c r="M16620" s="16" t="str">
        <f>IFERROR(__xludf.DUMMYFUNCTION("""COMPUTED_VALUE"""),"")</f>
        <v/>
      </c>
      <c r="U16620" s="16" t="s">
        <v>87</v>
      </c>
      <c r="V16620" s="16" t="str">
        <f>IFERROR(__xludf.DUMMYFUNCTION("""COMPUTED_VALUE"""),"")</f>
        <v/>
      </c>
      <c r="W16620" s="16" t="str">
        <f>IFERROR(__xludf.DUMMYFUNCTION("""COMPUTED_VALUE"""),"")</f>
        <v/>
      </c>
      <c r="X16620" s="16" t="str">
        <f>IFERROR(__xludf.DUMMYFUNCTION("""COMPUTED_VALUE"""),"")</f>
        <v/>
      </c>
      <c r="AC16620" s="16" t="str">
        <f>IFERROR(__xludf.DUMMYFUNCTION("""COMPUTED_VALUE"""),"")</f>
        <v/>
      </c>
    </row>
    <row r="16621">
      <c r="A16621" s="16" t="s">
        <v>87</v>
      </c>
      <c r="E16621" s="16" t="str">
        <f>IFERROR(__xludf.DUMMYFUNCTION("""COMPUTED_VALUE"""),"")</f>
        <v/>
      </c>
      <c r="G16621" s="18"/>
      <c r="H16621" s="16" t="s">
        <v>87</v>
      </c>
      <c r="I16621" s="16" t="s">
        <v>87</v>
      </c>
      <c r="J16621" s="19"/>
      <c r="L16621" s="16" t="str">
        <f>IFERROR(__xludf.DUMMYFUNCTION("""COMPUTED_VALUE"""),"")</f>
        <v/>
      </c>
      <c r="M16621" s="16" t="str">
        <f>IFERROR(__xludf.DUMMYFUNCTION("""COMPUTED_VALUE"""),"")</f>
        <v/>
      </c>
      <c r="U16621" s="16" t="s">
        <v>87</v>
      </c>
      <c r="V16621" s="16" t="str">
        <f>IFERROR(__xludf.DUMMYFUNCTION("""COMPUTED_VALUE"""),"")</f>
        <v/>
      </c>
      <c r="W16621" s="16" t="str">
        <f>IFERROR(__xludf.DUMMYFUNCTION("""COMPUTED_VALUE"""),"")</f>
        <v/>
      </c>
      <c r="X16621" s="16" t="str">
        <f>IFERROR(__xludf.DUMMYFUNCTION("""COMPUTED_VALUE"""),"")</f>
        <v/>
      </c>
      <c r="AC16621" s="16" t="str">
        <f>IFERROR(__xludf.DUMMYFUNCTION("""COMPUTED_VALUE"""),"")</f>
        <v/>
      </c>
    </row>
    <row r="16622">
      <c r="A16622" s="16" t="s">
        <v>87</v>
      </c>
      <c r="E16622" s="16" t="str">
        <f>IFERROR(__xludf.DUMMYFUNCTION("""COMPUTED_VALUE"""),"")</f>
        <v/>
      </c>
      <c r="G16622" s="18"/>
      <c r="H16622" s="16" t="s">
        <v>87</v>
      </c>
      <c r="I16622" s="16" t="s">
        <v>87</v>
      </c>
      <c r="J16622" s="19"/>
      <c r="L16622" s="16" t="str">
        <f>IFERROR(__xludf.DUMMYFUNCTION("""COMPUTED_VALUE"""),"")</f>
        <v/>
      </c>
      <c r="M16622" s="16" t="str">
        <f>IFERROR(__xludf.DUMMYFUNCTION("""COMPUTED_VALUE"""),"")</f>
        <v/>
      </c>
      <c r="U16622" s="16" t="s">
        <v>87</v>
      </c>
      <c r="V16622" s="16" t="str">
        <f>IFERROR(__xludf.DUMMYFUNCTION("""COMPUTED_VALUE"""),"")</f>
        <v/>
      </c>
      <c r="W16622" s="16" t="str">
        <f>IFERROR(__xludf.DUMMYFUNCTION("""COMPUTED_VALUE"""),"")</f>
        <v/>
      </c>
      <c r="X16622" s="16" t="str">
        <f>IFERROR(__xludf.DUMMYFUNCTION("""COMPUTED_VALUE"""),"")</f>
        <v/>
      </c>
      <c r="AC16622" s="16" t="str">
        <f>IFERROR(__xludf.DUMMYFUNCTION("""COMPUTED_VALUE"""),"")</f>
        <v/>
      </c>
    </row>
    <row r="16623">
      <c r="A16623" s="16" t="s">
        <v>87</v>
      </c>
      <c r="E16623" s="16" t="str">
        <f>IFERROR(__xludf.DUMMYFUNCTION("""COMPUTED_VALUE"""),"")</f>
        <v/>
      </c>
      <c r="G16623" s="18"/>
      <c r="H16623" s="16" t="s">
        <v>87</v>
      </c>
      <c r="I16623" s="16" t="s">
        <v>87</v>
      </c>
      <c r="J16623" s="19"/>
      <c r="L16623" s="16" t="str">
        <f>IFERROR(__xludf.DUMMYFUNCTION("""COMPUTED_VALUE"""),"")</f>
        <v/>
      </c>
      <c r="M16623" s="16" t="str">
        <f>IFERROR(__xludf.DUMMYFUNCTION("""COMPUTED_VALUE"""),"")</f>
        <v/>
      </c>
      <c r="U16623" s="16" t="s">
        <v>87</v>
      </c>
      <c r="V16623" s="16" t="str">
        <f>IFERROR(__xludf.DUMMYFUNCTION("""COMPUTED_VALUE"""),"")</f>
        <v/>
      </c>
      <c r="W16623" s="16" t="str">
        <f>IFERROR(__xludf.DUMMYFUNCTION("""COMPUTED_VALUE"""),"")</f>
        <v/>
      </c>
      <c r="X16623" s="16" t="str">
        <f>IFERROR(__xludf.DUMMYFUNCTION("""COMPUTED_VALUE"""),"")</f>
        <v/>
      </c>
      <c r="AC16623" s="16" t="str">
        <f>IFERROR(__xludf.DUMMYFUNCTION("""COMPUTED_VALUE"""),"")</f>
        <v/>
      </c>
    </row>
    <row r="16624">
      <c r="A16624" s="16" t="s">
        <v>87</v>
      </c>
      <c r="E16624" s="16" t="str">
        <f>IFERROR(__xludf.DUMMYFUNCTION("""COMPUTED_VALUE"""),"")</f>
        <v/>
      </c>
      <c r="G16624" s="18"/>
      <c r="H16624" s="16" t="s">
        <v>87</v>
      </c>
      <c r="I16624" s="16" t="s">
        <v>87</v>
      </c>
      <c r="J16624" s="19"/>
      <c r="L16624" s="16" t="str">
        <f>IFERROR(__xludf.DUMMYFUNCTION("""COMPUTED_VALUE"""),"")</f>
        <v/>
      </c>
      <c r="M16624" s="16" t="str">
        <f>IFERROR(__xludf.DUMMYFUNCTION("""COMPUTED_VALUE"""),"")</f>
        <v/>
      </c>
      <c r="U16624" s="16" t="s">
        <v>87</v>
      </c>
      <c r="V16624" s="16" t="str">
        <f>IFERROR(__xludf.DUMMYFUNCTION("""COMPUTED_VALUE"""),"")</f>
        <v/>
      </c>
      <c r="W16624" s="16" t="str">
        <f>IFERROR(__xludf.DUMMYFUNCTION("""COMPUTED_VALUE"""),"")</f>
        <v/>
      </c>
      <c r="X16624" s="16" t="str">
        <f>IFERROR(__xludf.DUMMYFUNCTION("""COMPUTED_VALUE"""),"")</f>
        <v/>
      </c>
      <c r="AC16624" s="16" t="str">
        <f>IFERROR(__xludf.DUMMYFUNCTION("""COMPUTED_VALUE"""),"")</f>
        <v/>
      </c>
    </row>
    <row r="16625">
      <c r="A16625" s="16" t="s">
        <v>87</v>
      </c>
      <c r="E16625" s="16" t="str">
        <f>IFERROR(__xludf.DUMMYFUNCTION("""COMPUTED_VALUE"""),"")</f>
        <v/>
      </c>
      <c r="G16625" s="18"/>
      <c r="H16625" s="16" t="s">
        <v>87</v>
      </c>
      <c r="I16625" s="16" t="s">
        <v>87</v>
      </c>
      <c r="J16625" s="19"/>
      <c r="L16625" s="16" t="str">
        <f>IFERROR(__xludf.DUMMYFUNCTION("""COMPUTED_VALUE"""),"")</f>
        <v/>
      </c>
      <c r="M16625" s="16" t="str">
        <f>IFERROR(__xludf.DUMMYFUNCTION("""COMPUTED_VALUE"""),"")</f>
        <v/>
      </c>
      <c r="U16625" s="16" t="s">
        <v>87</v>
      </c>
      <c r="V16625" s="16" t="str">
        <f>IFERROR(__xludf.DUMMYFUNCTION("""COMPUTED_VALUE"""),"")</f>
        <v/>
      </c>
      <c r="W16625" s="16" t="str">
        <f>IFERROR(__xludf.DUMMYFUNCTION("""COMPUTED_VALUE"""),"")</f>
        <v/>
      </c>
      <c r="X16625" s="16" t="str">
        <f>IFERROR(__xludf.DUMMYFUNCTION("""COMPUTED_VALUE"""),"")</f>
        <v/>
      </c>
      <c r="AC16625" s="16" t="str">
        <f>IFERROR(__xludf.DUMMYFUNCTION("""COMPUTED_VALUE"""),"")</f>
        <v/>
      </c>
    </row>
    <row r="16626">
      <c r="A16626" s="16" t="s">
        <v>87</v>
      </c>
      <c r="E16626" s="16" t="str">
        <f>IFERROR(__xludf.DUMMYFUNCTION("""COMPUTED_VALUE"""),"")</f>
        <v/>
      </c>
      <c r="G16626" s="18"/>
      <c r="H16626" s="16" t="s">
        <v>87</v>
      </c>
      <c r="I16626" s="16" t="s">
        <v>87</v>
      </c>
      <c r="J16626" s="19"/>
      <c r="L16626" s="16" t="str">
        <f>IFERROR(__xludf.DUMMYFUNCTION("""COMPUTED_VALUE"""),"")</f>
        <v/>
      </c>
      <c r="M16626" s="16" t="str">
        <f>IFERROR(__xludf.DUMMYFUNCTION("""COMPUTED_VALUE"""),"")</f>
        <v/>
      </c>
      <c r="U16626" s="16" t="s">
        <v>87</v>
      </c>
      <c r="V16626" s="16" t="str">
        <f>IFERROR(__xludf.DUMMYFUNCTION("""COMPUTED_VALUE"""),"")</f>
        <v/>
      </c>
      <c r="W16626" s="16" t="str">
        <f>IFERROR(__xludf.DUMMYFUNCTION("""COMPUTED_VALUE"""),"")</f>
        <v/>
      </c>
      <c r="X16626" s="16" t="str">
        <f>IFERROR(__xludf.DUMMYFUNCTION("""COMPUTED_VALUE"""),"")</f>
        <v/>
      </c>
      <c r="AC16626" s="16" t="str">
        <f>IFERROR(__xludf.DUMMYFUNCTION("""COMPUTED_VALUE"""),"")</f>
        <v/>
      </c>
    </row>
    <row r="16627">
      <c r="A16627" s="16" t="s">
        <v>87</v>
      </c>
      <c r="E16627" s="16" t="str">
        <f>IFERROR(__xludf.DUMMYFUNCTION("""COMPUTED_VALUE"""),"")</f>
        <v/>
      </c>
      <c r="G16627" s="18"/>
      <c r="H16627" s="16" t="s">
        <v>87</v>
      </c>
      <c r="I16627" s="16" t="s">
        <v>87</v>
      </c>
      <c r="J16627" s="19"/>
      <c r="L16627" s="16" t="str">
        <f>IFERROR(__xludf.DUMMYFUNCTION("""COMPUTED_VALUE"""),"")</f>
        <v/>
      </c>
      <c r="M16627" s="16" t="str">
        <f>IFERROR(__xludf.DUMMYFUNCTION("""COMPUTED_VALUE"""),"")</f>
        <v/>
      </c>
      <c r="U16627" s="16" t="s">
        <v>87</v>
      </c>
      <c r="V16627" s="16" t="str">
        <f>IFERROR(__xludf.DUMMYFUNCTION("""COMPUTED_VALUE"""),"")</f>
        <v/>
      </c>
      <c r="W16627" s="16" t="str">
        <f>IFERROR(__xludf.DUMMYFUNCTION("""COMPUTED_VALUE"""),"")</f>
        <v/>
      </c>
      <c r="X16627" s="16" t="str">
        <f>IFERROR(__xludf.DUMMYFUNCTION("""COMPUTED_VALUE"""),"")</f>
        <v/>
      </c>
      <c r="AC16627" s="16" t="str">
        <f>IFERROR(__xludf.DUMMYFUNCTION("""COMPUTED_VALUE"""),"")</f>
        <v/>
      </c>
    </row>
    <row r="16628">
      <c r="A16628" s="16" t="s">
        <v>87</v>
      </c>
      <c r="E16628" s="16" t="str">
        <f>IFERROR(__xludf.DUMMYFUNCTION("""COMPUTED_VALUE"""),"")</f>
        <v/>
      </c>
      <c r="G16628" s="18"/>
      <c r="H16628" s="16" t="s">
        <v>87</v>
      </c>
      <c r="I16628" s="16" t="s">
        <v>87</v>
      </c>
      <c r="J16628" s="19"/>
      <c r="L16628" s="16" t="str">
        <f>IFERROR(__xludf.DUMMYFUNCTION("""COMPUTED_VALUE"""),"")</f>
        <v/>
      </c>
      <c r="M16628" s="16" t="str">
        <f>IFERROR(__xludf.DUMMYFUNCTION("""COMPUTED_VALUE"""),"")</f>
        <v/>
      </c>
      <c r="U16628" s="16" t="s">
        <v>87</v>
      </c>
      <c r="V16628" s="16" t="str">
        <f>IFERROR(__xludf.DUMMYFUNCTION("""COMPUTED_VALUE"""),"")</f>
        <v/>
      </c>
      <c r="W16628" s="16" t="str">
        <f>IFERROR(__xludf.DUMMYFUNCTION("""COMPUTED_VALUE"""),"")</f>
        <v/>
      </c>
      <c r="X16628" s="16" t="str">
        <f>IFERROR(__xludf.DUMMYFUNCTION("""COMPUTED_VALUE"""),"")</f>
        <v/>
      </c>
      <c r="AC16628" s="16" t="str">
        <f>IFERROR(__xludf.DUMMYFUNCTION("""COMPUTED_VALUE"""),"")</f>
        <v/>
      </c>
    </row>
    <row r="16629">
      <c r="A16629" s="16" t="s">
        <v>87</v>
      </c>
      <c r="E16629" s="16" t="str">
        <f>IFERROR(__xludf.DUMMYFUNCTION("""COMPUTED_VALUE"""),"")</f>
        <v/>
      </c>
      <c r="G16629" s="18"/>
      <c r="H16629" s="16" t="s">
        <v>87</v>
      </c>
      <c r="I16629" s="16" t="s">
        <v>87</v>
      </c>
      <c r="J16629" s="19"/>
      <c r="L16629" s="16" t="str">
        <f>IFERROR(__xludf.DUMMYFUNCTION("""COMPUTED_VALUE"""),"")</f>
        <v/>
      </c>
      <c r="M16629" s="16" t="str">
        <f>IFERROR(__xludf.DUMMYFUNCTION("""COMPUTED_VALUE"""),"")</f>
        <v/>
      </c>
      <c r="U16629" s="16" t="s">
        <v>87</v>
      </c>
      <c r="V16629" s="16" t="str">
        <f>IFERROR(__xludf.DUMMYFUNCTION("""COMPUTED_VALUE"""),"")</f>
        <v/>
      </c>
      <c r="W16629" s="16" t="str">
        <f>IFERROR(__xludf.DUMMYFUNCTION("""COMPUTED_VALUE"""),"")</f>
        <v/>
      </c>
      <c r="X16629" s="16" t="str">
        <f>IFERROR(__xludf.DUMMYFUNCTION("""COMPUTED_VALUE"""),"")</f>
        <v/>
      </c>
      <c r="AC16629" s="16" t="str">
        <f>IFERROR(__xludf.DUMMYFUNCTION("""COMPUTED_VALUE"""),"")</f>
        <v/>
      </c>
    </row>
    <row r="16630">
      <c r="A16630" s="16" t="s">
        <v>87</v>
      </c>
      <c r="E16630" s="16" t="str">
        <f>IFERROR(__xludf.DUMMYFUNCTION("""COMPUTED_VALUE"""),"")</f>
        <v/>
      </c>
      <c r="G16630" s="18"/>
      <c r="H16630" s="16" t="s">
        <v>87</v>
      </c>
      <c r="I16630" s="16" t="s">
        <v>87</v>
      </c>
      <c r="J16630" s="19"/>
      <c r="L16630" s="16" t="str">
        <f>IFERROR(__xludf.DUMMYFUNCTION("""COMPUTED_VALUE"""),"")</f>
        <v/>
      </c>
      <c r="M16630" s="16" t="str">
        <f>IFERROR(__xludf.DUMMYFUNCTION("""COMPUTED_VALUE"""),"")</f>
        <v/>
      </c>
      <c r="U16630" s="16" t="s">
        <v>87</v>
      </c>
      <c r="V16630" s="16" t="str">
        <f>IFERROR(__xludf.DUMMYFUNCTION("""COMPUTED_VALUE"""),"")</f>
        <v/>
      </c>
      <c r="W16630" s="16" t="str">
        <f>IFERROR(__xludf.DUMMYFUNCTION("""COMPUTED_VALUE"""),"")</f>
        <v/>
      </c>
      <c r="X16630" s="16" t="str">
        <f>IFERROR(__xludf.DUMMYFUNCTION("""COMPUTED_VALUE"""),"")</f>
        <v/>
      </c>
      <c r="AC16630" s="16" t="str">
        <f>IFERROR(__xludf.DUMMYFUNCTION("""COMPUTED_VALUE"""),"")</f>
        <v/>
      </c>
    </row>
    <row r="16631">
      <c r="A16631" s="16" t="s">
        <v>87</v>
      </c>
      <c r="E16631" s="16" t="str">
        <f>IFERROR(__xludf.DUMMYFUNCTION("""COMPUTED_VALUE"""),"")</f>
        <v/>
      </c>
      <c r="G16631" s="18"/>
      <c r="H16631" s="16" t="s">
        <v>87</v>
      </c>
      <c r="I16631" s="16" t="s">
        <v>87</v>
      </c>
      <c r="J16631" s="19"/>
      <c r="L16631" s="16" t="str">
        <f>IFERROR(__xludf.DUMMYFUNCTION("""COMPUTED_VALUE"""),"")</f>
        <v/>
      </c>
      <c r="M16631" s="16" t="str">
        <f>IFERROR(__xludf.DUMMYFUNCTION("""COMPUTED_VALUE"""),"")</f>
        <v/>
      </c>
      <c r="U16631" s="16" t="s">
        <v>87</v>
      </c>
      <c r="V16631" s="16" t="str">
        <f>IFERROR(__xludf.DUMMYFUNCTION("""COMPUTED_VALUE"""),"")</f>
        <v/>
      </c>
      <c r="W16631" s="16" t="str">
        <f>IFERROR(__xludf.DUMMYFUNCTION("""COMPUTED_VALUE"""),"")</f>
        <v/>
      </c>
      <c r="X16631" s="16" t="str">
        <f>IFERROR(__xludf.DUMMYFUNCTION("""COMPUTED_VALUE"""),"")</f>
        <v/>
      </c>
      <c r="AC16631" s="16" t="str">
        <f>IFERROR(__xludf.DUMMYFUNCTION("""COMPUTED_VALUE"""),"")</f>
        <v/>
      </c>
    </row>
    <row r="16632">
      <c r="A16632" s="16" t="s">
        <v>87</v>
      </c>
      <c r="E16632" s="16" t="str">
        <f>IFERROR(__xludf.DUMMYFUNCTION("""COMPUTED_VALUE"""),"")</f>
        <v/>
      </c>
      <c r="G16632" s="18"/>
      <c r="H16632" s="16" t="s">
        <v>87</v>
      </c>
      <c r="I16632" s="16" t="s">
        <v>87</v>
      </c>
      <c r="J16632" s="19"/>
      <c r="L16632" s="16" t="str">
        <f>IFERROR(__xludf.DUMMYFUNCTION("""COMPUTED_VALUE"""),"")</f>
        <v/>
      </c>
      <c r="M16632" s="16" t="str">
        <f>IFERROR(__xludf.DUMMYFUNCTION("""COMPUTED_VALUE"""),"")</f>
        <v/>
      </c>
      <c r="U16632" s="16" t="s">
        <v>87</v>
      </c>
      <c r="V16632" s="16" t="str">
        <f>IFERROR(__xludf.DUMMYFUNCTION("""COMPUTED_VALUE"""),"")</f>
        <v/>
      </c>
      <c r="W16632" s="16" t="str">
        <f>IFERROR(__xludf.DUMMYFUNCTION("""COMPUTED_VALUE"""),"")</f>
        <v/>
      </c>
      <c r="X16632" s="16" t="str">
        <f>IFERROR(__xludf.DUMMYFUNCTION("""COMPUTED_VALUE"""),"")</f>
        <v/>
      </c>
      <c r="AC16632" s="16" t="str">
        <f>IFERROR(__xludf.DUMMYFUNCTION("""COMPUTED_VALUE"""),"")</f>
        <v/>
      </c>
    </row>
    <row r="16633">
      <c r="A16633" s="16" t="s">
        <v>87</v>
      </c>
      <c r="E16633" s="16" t="str">
        <f>IFERROR(__xludf.DUMMYFUNCTION("""COMPUTED_VALUE"""),"")</f>
        <v/>
      </c>
      <c r="G16633" s="18"/>
      <c r="H16633" s="16" t="s">
        <v>87</v>
      </c>
      <c r="I16633" s="16" t="s">
        <v>87</v>
      </c>
      <c r="J16633" s="19"/>
      <c r="L16633" s="16" t="str">
        <f>IFERROR(__xludf.DUMMYFUNCTION("""COMPUTED_VALUE"""),"")</f>
        <v/>
      </c>
      <c r="M16633" s="16" t="str">
        <f>IFERROR(__xludf.DUMMYFUNCTION("""COMPUTED_VALUE"""),"")</f>
        <v/>
      </c>
      <c r="U16633" s="16" t="s">
        <v>87</v>
      </c>
      <c r="V16633" s="16" t="str">
        <f>IFERROR(__xludf.DUMMYFUNCTION("""COMPUTED_VALUE"""),"")</f>
        <v/>
      </c>
      <c r="W16633" s="16" t="str">
        <f>IFERROR(__xludf.DUMMYFUNCTION("""COMPUTED_VALUE"""),"")</f>
        <v/>
      </c>
      <c r="X16633" s="16" t="str">
        <f>IFERROR(__xludf.DUMMYFUNCTION("""COMPUTED_VALUE"""),"")</f>
        <v/>
      </c>
      <c r="AC16633" s="16" t="str">
        <f>IFERROR(__xludf.DUMMYFUNCTION("""COMPUTED_VALUE"""),"")</f>
        <v/>
      </c>
    </row>
    <row r="16634">
      <c r="A16634" s="16" t="s">
        <v>87</v>
      </c>
      <c r="E16634" s="16" t="str">
        <f>IFERROR(__xludf.DUMMYFUNCTION("""COMPUTED_VALUE"""),"")</f>
        <v/>
      </c>
      <c r="G16634" s="18"/>
      <c r="H16634" s="16" t="s">
        <v>87</v>
      </c>
      <c r="I16634" s="16" t="s">
        <v>87</v>
      </c>
      <c r="J16634" s="19"/>
      <c r="L16634" s="16" t="str">
        <f>IFERROR(__xludf.DUMMYFUNCTION("""COMPUTED_VALUE"""),"")</f>
        <v/>
      </c>
      <c r="M16634" s="16" t="str">
        <f>IFERROR(__xludf.DUMMYFUNCTION("""COMPUTED_VALUE"""),"")</f>
        <v/>
      </c>
      <c r="U16634" s="16" t="s">
        <v>87</v>
      </c>
      <c r="V16634" s="16" t="str">
        <f>IFERROR(__xludf.DUMMYFUNCTION("""COMPUTED_VALUE"""),"")</f>
        <v/>
      </c>
      <c r="W16634" s="16" t="str">
        <f>IFERROR(__xludf.DUMMYFUNCTION("""COMPUTED_VALUE"""),"")</f>
        <v/>
      </c>
      <c r="X16634" s="16" t="str">
        <f>IFERROR(__xludf.DUMMYFUNCTION("""COMPUTED_VALUE"""),"")</f>
        <v/>
      </c>
      <c r="AC16634" s="16" t="str">
        <f>IFERROR(__xludf.DUMMYFUNCTION("""COMPUTED_VALUE"""),"")</f>
        <v/>
      </c>
    </row>
    <row r="16635">
      <c r="A16635" s="16" t="s">
        <v>87</v>
      </c>
      <c r="E16635" s="16" t="str">
        <f>IFERROR(__xludf.DUMMYFUNCTION("""COMPUTED_VALUE"""),"")</f>
        <v/>
      </c>
      <c r="G16635" s="18"/>
      <c r="H16635" s="16" t="s">
        <v>87</v>
      </c>
      <c r="I16635" s="16" t="s">
        <v>87</v>
      </c>
      <c r="J16635" s="19"/>
      <c r="L16635" s="16" t="str">
        <f>IFERROR(__xludf.DUMMYFUNCTION("""COMPUTED_VALUE"""),"")</f>
        <v/>
      </c>
      <c r="M16635" s="16" t="str">
        <f>IFERROR(__xludf.DUMMYFUNCTION("""COMPUTED_VALUE"""),"")</f>
        <v/>
      </c>
      <c r="U16635" s="16" t="s">
        <v>87</v>
      </c>
      <c r="V16635" s="16" t="str">
        <f>IFERROR(__xludf.DUMMYFUNCTION("""COMPUTED_VALUE"""),"")</f>
        <v/>
      </c>
      <c r="W16635" s="16" t="str">
        <f>IFERROR(__xludf.DUMMYFUNCTION("""COMPUTED_VALUE"""),"")</f>
        <v/>
      </c>
      <c r="X16635" s="16" t="str">
        <f>IFERROR(__xludf.DUMMYFUNCTION("""COMPUTED_VALUE"""),"")</f>
        <v/>
      </c>
      <c r="AC16635" s="16" t="str">
        <f>IFERROR(__xludf.DUMMYFUNCTION("""COMPUTED_VALUE"""),"")</f>
        <v/>
      </c>
    </row>
    <row r="16636">
      <c r="A16636" s="16" t="s">
        <v>87</v>
      </c>
      <c r="E16636" s="16" t="str">
        <f>IFERROR(__xludf.DUMMYFUNCTION("""COMPUTED_VALUE"""),"")</f>
        <v/>
      </c>
      <c r="G16636" s="18"/>
      <c r="H16636" s="16" t="s">
        <v>87</v>
      </c>
      <c r="I16636" s="16" t="s">
        <v>87</v>
      </c>
      <c r="J16636" s="19"/>
      <c r="L16636" s="16" t="str">
        <f>IFERROR(__xludf.DUMMYFUNCTION("""COMPUTED_VALUE"""),"")</f>
        <v/>
      </c>
      <c r="M16636" s="16" t="str">
        <f>IFERROR(__xludf.DUMMYFUNCTION("""COMPUTED_VALUE"""),"")</f>
        <v/>
      </c>
      <c r="U16636" s="16" t="s">
        <v>87</v>
      </c>
      <c r="V16636" s="16" t="str">
        <f>IFERROR(__xludf.DUMMYFUNCTION("""COMPUTED_VALUE"""),"")</f>
        <v/>
      </c>
      <c r="W16636" s="16" t="str">
        <f>IFERROR(__xludf.DUMMYFUNCTION("""COMPUTED_VALUE"""),"")</f>
        <v/>
      </c>
      <c r="X16636" s="16" t="str">
        <f>IFERROR(__xludf.DUMMYFUNCTION("""COMPUTED_VALUE"""),"")</f>
        <v/>
      </c>
      <c r="AC16636" s="16" t="str">
        <f>IFERROR(__xludf.DUMMYFUNCTION("""COMPUTED_VALUE"""),"")</f>
        <v/>
      </c>
    </row>
    <row r="16637">
      <c r="A16637" s="16" t="s">
        <v>87</v>
      </c>
      <c r="E16637" s="16" t="str">
        <f>IFERROR(__xludf.DUMMYFUNCTION("""COMPUTED_VALUE"""),"")</f>
        <v/>
      </c>
      <c r="G16637" s="18"/>
      <c r="H16637" s="16" t="s">
        <v>87</v>
      </c>
      <c r="I16637" s="16" t="s">
        <v>87</v>
      </c>
      <c r="J16637" s="19"/>
      <c r="L16637" s="16" t="str">
        <f>IFERROR(__xludf.DUMMYFUNCTION("""COMPUTED_VALUE"""),"")</f>
        <v/>
      </c>
      <c r="M16637" s="16" t="str">
        <f>IFERROR(__xludf.DUMMYFUNCTION("""COMPUTED_VALUE"""),"")</f>
        <v/>
      </c>
      <c r="U16637" s="16" t="s">
        <v>87</v>
      </c>
      <c r="V16637" s="16" t="str">
        <f>IFERROR(__xludf.DUMMYFUNCTION("""COMPUTED_VALUE"""),"")</f>
        <v/>
      </c>
      <c r="W16637" s="16" t="str">
        <f>IFERROR(__xludf.DUMMYFUNCTION("""COMPUTED_VALUE"""),"")</f>
        <v/>
      </c>
      <c r="X16637" s="16" t="str">
        <f>IFERROR(__xludf.DUMMYFUNCTION("""COMPUTED_VALUE"""),"")</f>
        <v/>
      </c>
      <c r="AC16637" s="16" t="str">
        <f>IFERROR(__xludf.DUMMYFUNCTION("""COMPUTED_VALUE"""),"")</f>
        <v/>
      </c>
    </row>
    <row r="16638">
      <c r="A16638" s="16" t="s">
        <v>87</v>
      </c>
      <c r="E16638" s="16" t="str">
        <f>IFERROR(__xludf.DUMMYFUNCTION("""COMPUTED_VALUE"""),"")</f>
        <v/>
      </c>
      <c r="G16638" s="18"/>
      <c r="H16638" s="16" t="s">
        <v>87</v>
      </c>
      <c r="I16638" s="16" t="s">
        <v>87</v>
      </c>
      <c r="J16638" s="19"/>
      <c r="L16638" s="16" t="str">
        <f>IFERROR(__xludf.DUMMYFUNCTION("""COMPUTED_VALUE"""),"")</f>
        <v/>
      </c>
      <c r="M16638" s="16" t="str">
        <f>IFERROR(__xludf.DUMMYFUNCTION("""COMPUTED_VALUE"""),"")</f>
        <v/>
      </c>
      <c r="U16638" s="16" t="s">
        <v>87</v>
      </c>
      <c r="V16638" s="16" t="str">
        <f>IFERROR(__xludf.DUMMYFUNCTION("""COMPUTED_VALUE"""),"")</f>
        <v/>
      </c>
      <c r="W16638" s="16" t="str">
        <f>IFERROR(__xludf.DUMMYFUNCTION("""COMPUTED_VALUE"""),"")</f>
        <v/>
      </c>
      <c r="X16638" s="16" t="str">
        <f>IFERROR(__xludf.DUMMYFUNCTION("""COMPUTED_VALUE"""),"")</f>
        <v/>
      </c>
      <c r="AC16638" s="16" t="str">
        <f>IFERROR(__xludf.DUMMYFUNCTION("""COMPUTED_VALUE"""),"")</f>
        <v/>
      </c>
    </row>
    <row r="16639">
      <c r="A16639" s="16" t="s">
        <v>87</v>
      </c>
      <c r="E16639" s="16" t="str">
        <f>IFERROR(__xludf.DUMMYFUNCTION("""COMPUTED_VALUE"""),"")</f>
        <v/>
      </c>
      <c r="G16639" s="18"/>
      <c r="H16639" s="16" t="s">
        <v>87</v>
      </c>
      <c r="I16639" s="16" t="s">
        <v>87</v>
      </c>
      <c r="J16639" s="19"/>
      <c r="L16639" s="16" t="str">
        <f>IFERROR(__xludf.DUMMYFUNCTION("""COMPUTED_VALUE"""),"")</f>
        <v/>
      </c>
      <c r="M16639" s="16" t="str">
        <f>IFERROR(__xludf.DUMMYFUNCTION("""COMPUTED_VALUE"""),"")</f>
        <v/>
      </c>
      <c r="U16639" s="16" t="s">
        <v>87</v>
      </c>
      <c r="V16639" s="16" t="str">
        <f>IFERROR(__xludf.DUMMYFUNCTION("""COMPUTED_VALUE"""),"")</f>
        <v/>
      </c>
      <c r="W16639" s="16" t="str">
        <f>IFERROR(__xludf.DUMMYFUNCTION("""COMPUTED_VALUE"""),"")</f>
        <v/>
      </c>
      <c r="X16639" s="16" t="str">
        <f>IFERROR(__xludf.DUMMYFUNCTION("""COMPUTED_VALUE"""),"")</f>
        <v/>
      </c>
      <c r="AC16639" s="16" t="str">
        <f>IFERROR(__xludf.DUMMYFUNCTION("""COMPUTED_VALUE"""),"")</f>
        <v/>
      </c>
    </row>
    <row r="16640">
      <c r="A16640" s="16" t="s">
        <v>87</v>
      </c>
      <c r="E16640" s="16" t="str">
        <f>IFERROR(__xludf.DUMMYFUNCTION("""COMPUTED_VALUE"""),"")</f>
        <v/>
      </c>
      <c r="G16640" s="18"/>
      <c r="H16640" s="16" t="s">
        <v>87</v>
      </c>
      <c r="I16640" s="16" t="s">
        <v>87</v>
      </c>
      <c r="J16640" s="19"/>
      <c r="L16640" s="16" t="str">
        <f>IFERROR(__xludf.DUMMYFUNCTION("""COMPUTED_VALUE"""),"")</f>
        <v/>
      </c>
      <c r="M16640" s="16" t="str">
        <f>IFERROR(__xludf.DUMMYFUNCTION("""COMPUTED_VALUE"""),"")</f>
        <v/>
      </c>
      <c r="U16640" s="16" t="s">
        <v>87</v>
      </c>
      <c r="V16640" s="16" t="str">
        <f>IFERROR(__xludf.DUMMYFUNCTION("""COMPUTED_VALUE"""),"")</f>
        <v/>
      </c>
      <c r="W16640" s="16" t="str">
        <f>IFERROR(__xludf.DUMMYFUNCTION("""COMPUTED_VALUE"""),"")</f>
        <v/>
      </c>
      <c r="X16640" s="16" t="str">
        <f>IFERROR(__xludf.DUMMYFUNCTION("""COMPUTED_VALUE"""),"")</f>
        <v/>
      </c>
      <c r="AC16640" s="16" t="str">
        <f>IFERROR(__xludf.DUMMYFUNCTION("""COMPUTED_VALUE"""),"")</f>
        <v/>
      </c>
    </row>
    <row r="16641">
      <c r="A16641" s="16" t="s">
        <v>87</v>
      </c>
      <c r="E16641" s="16" t="str">
        <f>IFERROR(__xludf.DUMMYFUNCTION("""COMPUTED_VALUE"""),"")</f>
        <v/>
      </c>
      <c r="G16641" s="18"/>
      <c r="H16641" s="16" t="s">
        <v>87</v>
      </c>
      <c r="I16641" s="16" t="s">
        <v>87</v>
      </c>
      <c r="J16641" s="19"/>
      <c r="L16641" s="16" t="str">
        <f>IFERROR(__xludf.DUMMYFUNCTION("""COMPUTED_VALUE"""),"")</f>
        <v/>
      </c>
      <c r="M16641" s="16" t="str">
        <f>IFERROR(__xludf.DUMMYFUNCTION("""COMPUTED_VALUE"""),"")</f>
        <v/>
      </c>
      <c r="U16641" s="16" t="s">
        <v>87</v>
      </c>
      <c r="V16641" s="16" t="str">
        <f>IFERROR(__xludf.DUMMYFUNCTION("""COMPUTED_VALUE"""),"")</f>
        <v/>
      </c>
      <c r="W16641" s="16" t="str">
        <f>IFERROR(__xludf.DUMMYFUNCTION("""COMPUTED_VALUE"""),"")</f>
        <v/>
      </c>
      <c r="X16641" s="16" t="str">
        <f>IFERROR(__xludf.DUMMYFUNCTION("""COMPUTED_VALUE"""),"")</f>
        <v/>
      </c>
      <c r="AC16641" s="16" t="str">
        <f>IFERROR(__xludf.DUMMYFUNCTION("""COMPUTED_VALUE"""),"")</f>
        <v/>
      </c>
    </row>
    <row r="16642">
      <c r="A16642" s="16" t="s">
        <v>87</v>
      </c>
      <c r="E16642" s="16" t="str">
        <f>IFERROR(__xludf.DUMMYFUNCTION("""COMPUTED_VALUE"""),"")</f>
        <v/>
      </c>
      <c r="G16642" s="18"/>
      <c r="H16642" s="16" t="s">
        <v>87</v>
      </c>
      <c r="I16642" s="16" t="s">
        <v>87</v>
      </c>
      <c r="J16642" s="19"/>
      <c r="L16642" s="16" t="str">
        <f>IFERROR(__xludf.DUMMYFUNCTION("""COMPUTED_VALUE"""),"")</f>
        <v/>
      </c>
      <c r="M16642" s="16" t="str">
        <f>IFERROR(__xludf.DUMMYFUNCTION("""COMPUTED_VALUE"""),"")</f>
        <v/>
      </c>
      <c r="U16642" s="16" t="s">
        <v>87</v>
      </c>
      <c r="V16642" s="16" t="str">
        <f>IFERROR(__xludf.DUMMYFUNCTION("""COMPUTED_VALUE"""),"")</f>
        <v/>
      </c>
      <c r="W16642" s="16" t="str">
        <f>IFERROR(__xludf.DUMMYFUNCTION("""COMPUTED_VALUE"""),"")</f>
        <v/>
      </c>
      <c r="X16642" s="16" t="str">
        <f>IFERROR(__xludf.DUMMYFUNCTION("""COMPUTED_VALUE"""),"")</f>
        <v/>
      </c>
      <c r="AC16642" s="16" t="str">
        <f>IFERROR(__xludf.DUMMYFUNCTION("""COMPUTED_VALUE"""),"")</f>
        <v/>
      </c>
    </row>
    <row r="16643">
      <c r="A16643" s="16" t="s">
        <v>87</v>
      </c>
      <c r="E16643" s="16" t="str">
        <f>IFERROR(__xludf.DUMMYFUNCTION("""COMPUTED_VALUE"""),"")</f>
        <v/>
      </c>
      <c r="G16643" s="18"/>
      <c r="H16643" s="16" t="s">
        <v>87</v>
      </c>
      <c r="I16643" s="16" t="s">
        <v>87</v>
      </c>
      <c r="J16643" s="19"/>
      <c r="L16643" s="16" t="str">
        <f>IFERROR(__xludf.DUMMYFUNCTION("""COMPUTED_VALUE"""),"")</f>
        <v/>
      </c>
      <c r="M16643" s="16" t="str">
        <f>IFERROR(__xludf.DUMMYFUNCTION("""COMPUTED_VALUE"""),"")</f>
        <v/>
      </c>
      <c r="U16643" s="16" t="s">
        <v>87</v>
      </c>
      <c r="V16643" s="16" t="str">
        <f>IFERROR(__xludf.DUMMYFUNCTION("""COMPUTED_VALUE"""),"")</f>
        <v/>
      </c>
      <c r="W16643" s="16" t="str">
        <f>IFERROR(__xludf.DUMMYFUNCTION("""COMPUTED_VALUE"""),"")</f>
        <v/>
      </c>
      <c r="X16643" s="16" t="str">
        <f>IFERROR(__xludf.DUMMYFUNCTION("""COMPUTED_VALUE"""),"")</f>
        <v/>
      </c>
      <c r="AC16643" s="16" t="str">
        <f>IFERROR(__xludf.DUMMYFUNCTION("""COMPUTED_VALUE"""),"")</f>
        <v/>
      </c>
    </row>
    <row r="16644">
      <c r="A16644" s="16" t="s">
        <v>87</v>
      </c>
      <c r="E16644" s="16" t="str">
        <f>IFERROR(__xludf.DUMMYFUNCTION("""COMPUTED_VALUE"""),"")</f>
        <v/>
      </c>
      <c r="G16644" s="18"/>
      <c r="H16644" s="16" t="s">
        <v>87</v>
      </c>
      <c r="I16644" s="16" t="s">
        <v>87</v>
      </c>
      <c r="J16644" s="19"/>
      <c r="L16644" s="16" t="str">
        <f>IFERROR(__xludf.DUMMYFUNCTION("""COMPUTED_VALUE"""),"")</f>
        <v/>
      </c>
      <c r="M16644" s="16" t="str">
        <f>IFERROR(__xludf.DUMMYFUNCTION("""COMPUTED_VALUE"""),"")</f>
        <v/>
      </c>
      <c r="U16644" s="16" t="s">
        <v>87</v>
      </c>
      <c r="V16644" s="16" t="str">
        <f>IFERROR(__xludf.DUMMYFUNCTION("""COMPUTED_VALUE"""),"")</f>
        <v/>
      </c>
      <c r="W16644" s="16" t="str">
        <f>IFERROR(__xludf.DUMMYFUNCTION("""COMPUTED_VALUE"""),"")</f>
        <v/>
      </c>
      <c r="X16644" s="16" t="str">
        <f>IFERROR(__xludf.DUMMYFUNCTION("""COMPUTED_VALUE"""),"")</f>
        <v/>
      </c>
      <c r="AC16644" s="16" t="str">
        <f>IFERROR(__xludf.DUMMYFUNCTION("""COMPUTED_VALUE"""),"")</f>
        <v/>
      </c>
    </row>
    <row r="16645">
      <c r="A16645" s="16" t="s">
        <v>87</v>
      </c>
      <c r="E16645" s="16" t="str">
        <f>IFERROR(__xludf.DUMMYFUNCTION("""COMPUTED_VALUE"""),"")</f>
        <v/>
      </c>
      <c r="G16645" s="18"/>
      <c r="H16645" s="16" t="s">
        <v>87</v>
      </c>
      <c r="I16645" s="16" t="s">
        <v>87</v>
      </c>
      <c r="J16645" s="19"/>
      <c r="L16645" s="16" t="str">
        <f>IFERROR(__xludf.DUMMYFUNCTION("""COMPUTED_VALUE"""),"")</f>
        <v/>
      </c>
      <c r="M16645" s="16" t="str">
        <f>IFERROR(__xludf.DUMMYFUNCTION("""COMPUTED_VALUE"""),"")</f>
        <v/>
      </c>
      <c r="U16645" s="16" t="s">
        <v>87</v>
      </c>
      <c r="V16645" s="16" t="str">
        <f>IFERROR(__xludf.DUMMYFUNCTION("""COMPUTED_VALUE"""),"")</f>
        <v/>
      </c>
      <c r="W16645" s="16" t="str">
        <f>IFERROR(__xludf.DUMMYFUNCTION("""COMPUTED_VALUE"""),"")</f>
        <v/>
      </c>
      <c r="X16645" s="16" t="str">
        <f>IFERROR(__xludf.DUMMYFUNCTION("""COMPUTED_VALUE"""),"")</f>
        <v/>
      </c>
      <c r="AC16645" s="16" t="str">
        <f>IFERROR(__xludf.DUMMYFUNCTION("""COMPUTED_VALUE"""),"")</f>
        <v/>
      </c>
    </row>
    <row r="16646">
      <c r="A16646" s="16" t="s">
        <v>87</v>
      </c>
      <c r="E16646" s="16" t="str">
        <f>IFERROR(__xludf.DUMMYFUNCTION("""COMPUTED_VALUE"""),"")</f>
        <v/>
      </c>
      <c r="G16646" s="18"/>
      <c r="H16646" s="16" t="s">
        <v>87</v>
      </c>
      <c r="I16646" s="16" t="s">
        <v>87</v>
      </c>
      <c r="J16646" s="19"/>
      <c r="L16646" s="16" t="str">
        <f>IFERROR(__xludf.DUMMYFUNCTION("""COMPUTED_VALUE"""),"")</f>
        <v/>
      </c>
      <c r="M16646" s="16" t="str">
        <f>IFERROR(__xludf.DUMMYFUNCTION("""COMPUTED_VALUE"""),"")</f>
        <v/>
      </c>
      <c r="U16646" s="16" t="s">
        <v>87</v>
      </c>
      <c r="V16646" s="16" t="str">
        <f>IFERROR(__xludf.DUMMYFUNCTION("""COMPUTED_VALUE"""),"")</f>
        <v/>
      </c>
      <c r="W16646" s="16" t="str">
        <f>IFERROR(__xludf.DUMMYFUNCTION("""COMPUTED_VALUE"""),"")</f>
        <v/>
      </c>
      <c r="X16646" s="16" t="str">
        <f>IFERROR(__xludf.DUMMYFUNCTION("""COMPUTED_VALUE"""),"")</f>
        <v/>
      </c>
      <c r="AC16646" s="16" t="str">
        <f>IFERROR(__xludf.DUMMYFUNCTION("""COMPUTED_VALUE"""),"")</f>
        <v/>
      </c>
    </row>
    <row r="16647">
      <c r="A16647" s="16" t="s">
        <v>87</v>
      </c>
      <c r="E16647" s="16" t="str">
        <f>IFERROR(__xludf.DUMMYFUNCTION("""COMPUTED_VALUE"""),"")</f>
        <v/>
      </c>
      <c r="G16647" s="18"/>
      <c r="H16647" s="16" t="s">
        <v>87</v>
      </c>
      <c r="I16647" s="16" t="s">
        <v>87</v>
      </c>
      <c r="J16647" s="19"/>
      <c r="L16647" s="16" t="str">
        <f>IFERROR(__xludf.DUMMYFUNCTION("""COMPUTED_VALUE"""),"")</f>
        <v/>
      </c>
      <c r="M16647" s="16" t="str">
        <f>IFERROR(__xludf.DUMMYFUNCTION("""COMPUTED_VALUE"""),"")</f>
        <v/>
      </c>
      <c r="U16647" s="16" t="s">
        <v>87</v>
      </c>
      <c r="V16647" s="16" t="str">
        <f>IFERROR(__xludf.DUMMYFUNCTION("""COMPUTED_VALUE"""),"")</f>
        <v/>
      </c>
      <c r="W16647" s="16" t="str">
        <f>IFERROR(__xludf.DUMMYFUNCTION("""COMPUTED_VALUE"""),"")</f>
        <v/>
      </c>
      <c r="X16647" s="16" t="str">
        <f>IFERROR(__xludf.DUMMYFUNCTION("""COMPUTED_VALUE"""),"")</f>
        <v/>
      </c>
      <c r="AC16647" s="16" t="str">
        <f>IFERROR(__xludf.DUMMYFUNCTION("""COMPUTED_VALUE"""),"")</f>
        <v/>
      </c>
    </row>
    <row r="16648">
      <c r="A16648" s="16" t="s">
        <v>87</v>
      </c>
      <c r="E16648" s="16" t="str">
        <f>IFERROR(__xludf.DUMMYFUNCTION("""COMPUTED_VALUE"""),"")</f>
        <v/>
      </c>
      <c r="G16648" s="18"/>
      <c r="H16648" s="16" t="s">
        <v>87</v>
      </c>
      <c r="I16648" s="16" t="s">
        <v>87</v>
      </c>
      <c r="J16648" s="19"/>
      <c r="L16648" s="16" t="str">
        <f>IFERROR(__xludf.DUMMYFUNCTION("""COMPUTED_VALUE"""),"")</f>
        <v/>
      </c>
      <c r="M16648" s="16" t="str">
        <f>IFERROR(__xludf.DUMMYFUNCTION("""COMPUTED_VALUE"""),"")</f>
        <v/>
      </c>
      <c r="U16648" s="16" t="s">
        <v>87</v>
      </c>
      <c r="V16648" s="16" t="str">
        <f>IFERROR(__xludf.DUMMYFUNCTION("""COMPUTED_VALUE"""),"")</f>
        <v/>
      </c>
      <c r="W16648" s="16" t="str">
        <f>IFERROR(__xludf.DUMMYFUNCTION("""COMPUTED_VALUE"""),"")</f>
        <v/>
      </c>
      <c r="X16648" s="16" t="str">
        <f>IFERROR(__xludf.DUMMYFUNCTION("""COMPUTED_VALUE"""),"")</f>
        <v/>
      </c>
      <c r="AC16648" s="16" t="str">
        <f>IFERROR(__xludf.DUMMYFUNCTION("""COMPUTED_VALUE"""),"")</f>
        <v/>
      </c>
    </row>
    <row r="16649">
      <c r="A16649" s="16" t="s">
        <v>87</v>
      </c>
      <c r="E16649" s="16" t="str">
        <f>IFERROR(__xludf.DUMMYFUNCTION("""COMPUTED_VALUE"""),"")</f>
        <v/>
      </c>
      <c r="G16649" s="18"/>
      <c r="H16649" s="16" t="s">
        <v>87</v>
      </c>
      <c r="I16649" s="16" t="s">
        <v>87</v>
      </c>
      <c r="J16649" s="19"/>
      <c r="L16649" s="16" t="str">
        <f>IFERROR(__xludf.DUMMYFUNCTION("""COMPUTED_VALUE"""),"")</f>
        <v/>
      </c>
      <c r="M16649" s="16" t="str">
        <f>IFERROR(__xludf.DUMMYFUNCTION("""COMPUTED_VALUE"""),"")</f>
        <v/>
      </c>
      <c r="U16649" s="16" t="s">
        <v>87</v>
      </c>
      <c r="V16649" s="16" t="str">
        <f>IFERROR(__xludf.DUMMYFUNCTION("""COMPUTED_VALUE"""),"")</f>
        <v/>
      </c>
      <c r="W16649" s="16" t="str">
        <f>IFERROR(__xludf.DUMMYFUNCTION("""COMPUTED_VALUE"""),"")</f>
        <v/>
      </c>
      <c r="X16649" s="16" t="str">
        <f>IFERROR(__xludf.DUMMYFUNCTION("""COMPUTED_VALUE"""),"")</f>
        <v/>
      </c>
      <c r="AC16649" s="16" t="str">
        <f>IFERROR(__xludf.DUMMYFUNCTION("""COMPUTED_VALUE"""),"")</f>
        <v/>
      </c>
    </row>
    <row r="16650">
      <c r="A16650" s="16" t="s">
        <v>87</v>
      </c>
      <c r="E16650" s="16" t="str">
        <f>IFERROR(__xludf.DUMMYFUNCTION("""COMPUTED_VALUE"""),"")</f>
        <v/>
      </c>
      <c r="G16650" s="18"/>
      <c r="H16650" s="16" t="s">
        <v>87</v>
      </c>
      <c r="I16650" s="16" t="s">
        <v>87</v>
      </c>
      <c r="J16650" s="19"/>
      <c r="L16650" s="16" t="str">
        <f>IFERROR(__xludf.DUMMYFUNCTION("""COMPUTED_VALUE"""),"")</f>
        <v/>
      </c>
      <c r="M16650" s="16" t="str">
        <f>IFERROR(__xludf.DUMMYFUNCTION("""COMPUTED_VALUE"""),"")</f>
        <v/>
      </c>
      <c r="U16650" s="16" t="s">
        <v>87</v>
      </c>
      <c r="V16650" s="16" t="str">
        <f>IFERROR(__xludf.DUMMYFUNCTION("""COMPUTED_VALUE"""),"")</f>
        <v/>
      </c>
      <c r="W16650" s="16" t="str">
        <f>IFERROR(__xludf.DUMMYFUNCTION("""COMPUTED_VALUE"""),"")</f>
        <v/>
      </c>
      <c r="X16650" s="16" t="str">
        <f>IFERROR(__xludf.DUMMYFUNCTION("""COMPUTED_VALUE"""),"")</f>
        <v/>
      </c>
      <c r="AC16650" s="16" t="str">
        <f>IFERROR(__xludf.DUMMYFUNCTION("""COMPUTED_VALUE"""),"")</f>
        <v/>
      </c>
    </row>
    <row r="16651">
      <c r="A16651" s="16" t="s">
        <v>87</v>
      </c>
      <c r="E16651" s="16" t="str">
        <f>IFERROR(__xludf.DUMMYFUNCTION("""COMPUTED_VALUE"""),"")</f>
        <v/>
      </c>
      <c r="G16651" s="18"/>
      <c r="H16651" s="16" t="s">
        <v>87</v>
      </c>
      <c r="I16651" s="16" t="s">
        <v>87</v>
      </c>
      <c r="J16651" s="19"/>
      <c r="L16651" s="16" t="str">
        <f>IFERROR(__xludf.DUMMYFUNCTION("""COMPUTED_VALUE"""),"")</f>
        <v/>
      </c>
      <c r="M16651" s="16" t="str">
        <f>IFERROR(__xludf.DUMMYFUNCTION("""COMPUTED_VALUE"""),"")</f>
        <v/>
      </c>
      <c r="U16651" s="16" t="s">
        <v>87</v>
      </c>
      <c r="V16651" s="16" t="str">
        <f>IFERROR(__xludf.DUMMYFUNCTION("""COMPUTED_VALUE"""),"")</f>
        <v/>
      </c>
      <c r="W16651" s="16" t="str">
        <f>IFERROR(__xludf.DUMMYFUNCTION("""COMPUTED_VALUE"""),"")</f>
        <v/>
      </c>
      <c r="X16651" s="16" t="str">
        <f>IFERROR(__xludf.DUMMYFUNCTION("""COMPUTED_VALUE"""),"")</f>
        <v/>
      </c>
      <c r="AC16651" s="16" t="str">
        <f>IFERROR(__xludf.DUMMYFUNCTION("""COMPUTED_VALUE"""),"")</f>
        <v/>
      </c>
    </row>
    <row r="16652">
      <c r="A16652" s="16" t="s">
        <v>87</v>
      </c>
      <c r="E16652" s="16" t="str">
        <f>IFERROR(__xludf.DUMMYFUNCTION("""COMPUTED_VALUE"""),"")</f>
        <v/>
      </c>
      <c r="G16652" s="18"/>
      <c r="H16652" s="16" t="s">
        <v>87</v>
      </c>
      <c r="I16652" s="16" t="s">
        <v>87</v>
      </c>
      <c r="J16652" s="19"/>
      <c r="L16652" s="16" t="str">
        <f>IFERROR(__xludf.DUMMYFUNCTION("""COMPUTED_VALUE"""),"")</f>
        <v/>
      </c>
      <c r="M16652" s="16" t="str">
        <f>IFERROR(__xludf.DUMMYFUNCTION("""COMPUTED_VALUE"""),"")</f>
        <v/>
      </c>
      <c r="U16652" s="16" t="s">
        <v>87</v>
      </c>
      <c r="V16652" s="16" t="str">
        <f>IFERROR(__xludf.DUMMYFUNCTION("""COMPUTED_VALUE"""),"")</f>
        <v/>
      </c>
      <c r="W16652" s="16" t="str">
        <f>IFERROR(__xludf.DUMMYFUNCTION("""COMPUTED_VALUE"""),"")</f>
        <v/>
      </c>
      <c r="X16652" s="16" t="str">
        <f>IFERROR(__xludf.DUMMYFUNCTION("""COMPUTED_VALUE"""),"")</f>
        <v/>
      </c>
      <c r="AC16652" s="16" t="str">
        <f>IFERROR(__xludf.DUMMYFUNCTION("""COMPUTED_VALUE"""),"")</f>
        <v/>
      </c>
    </row>
    <row r="16653">
      <c r="A16653" s="16" t="s">
        <v>87</v>
      </c>
      <c r="E16653" s="16" t="str">
        <f>IFERROR(__xludf.DUMMYFUNCTION("""COMPUTED_VALUE"""),"")</f>
        <v/>
      </c>
      <c r="G16653" s="18"/>
      <c r="H16653" s="16" t="s">
        <v>87</v>
      </c>
      <c r="I16653" s="16" t="s">
        <v>87</v>
      </c>
      <c r="J16653" s="19"/>
      <c r="L16653" s="16" t="str">
        <f>IFERROR(__xludf.DUMMYFUNCTION("""COMPUTED_VALUE"""),"")</f>
        <v/>
      </c>
      <c r="M16653" s="16" t="str">
        <f>IFERROR(__xludf.DUMMYFUNCTION("""COMPUTED_VALUE"""),"")</f>
        <v/>
      </c>
      <c r="U16653" s="16" t="s">
        <v>87</v>
      </c>
      <c r="V16653" s="16" t="str">
        <f>IFERROR(__xludf.DUMMYFUNCTION("""COMPUTED_VALUE"""),"")</f>
        <v/>
      </c>
      <c r="W16653" s="16" t="str">
        <f>IFERROR(__xludf.DUMMYFUNCTION("""COMPUTED_VALUE"""),"")</f>
        <v/>
      </c>
      <c r="X16653" s="16" t="str">
        <f>IFERROR(__xludf.DUMMYFUNCTION("""COMPUTED_VALUE"""),"")</f>
        <v/>
      </c>
      <c r="AC16653" s="16" t="str">
        <f>IFERROR(__xludf.DUMMYFUNCTION("""COMPUTED_VALUE"""),"")</f>
        <v/>
      </c>
    </row>
    <row r="16654">
      <c r="A16654" s="16" t="s">
        <v>87</v>
      </c>
      <c r="E16654" s="16" t="str">
        <f>IFERROR(__xludf.DUMMYFUNCTION("""COMPUTED_VALUE"""),"")</f>
        <v/>
      </c>
      <c r="G16654" s="18"/>
      <c r="H16654" s="16" t="s">
        <v>87</v>
      </c>
      <c r="I16654" s="16" t="s">
        <v>87</v>
      </c>
      <c r="J16654" s="19"/>
      <c r="L16654" s="16" t="str">
        <f>IFERROR(__xludf.DUMMYFUNCTION("""COMPUTED_VALUE"""),"")</f>
        <v/>
      </c>
      <c r="M16654" s="16" t="str">
        <f>IFERROR(__xludf.DUMMYFUNCTION("""COMPUTED_VALUE"""),"")</f>
        <v/>
      </c>
      <c r="U16654" s="16" t="s">
        <v>87</v>
      </c>
      <c r="V16654" s="16" t="str">
        <f>IFERROR(__xludf.DUMMYFUNCTION("""COMPUTED_VALUE"""),"")</f>
        <v/>
      </c>
      <c r="W16654" s="16" t="str">
        <f>IFERROR(__xludf.DUMMYFUNCTION("""COMPUTED_VALUE"""),"")</f>
        <v/>
      </c>
      <c r="X16654" s="16" t="str">
        <f>IFERROR(__xludf.DUMMYFUNCTION("""COMPUTED_VALUE"""),"")</f>
        <v/>
      </c>
      <c r="AC16654" s="16" t="str">
        <f>IFERROR(__xludf.DUMMYFUNCTION("""COMPUTED_VALUE"""),"")</f>
        <v/>
      </c>
    </row>
    <row r="16655">
      <c r="A16655" s="16" t="s">
        <v>87</v>
      </c>
      <c r="E16655" s="16" t="str">
        <f>IFERROR(__xludf.DUMMYFUNCTION("""COMPUTED_VALUE"""),"")</f>
        <v/>
      </c>
      <c r="G16655" s="18"/>
      <c r="H16655" s="16" t="s">
        <v>87</v>
      </c>
      <c r="I16655" s="16" t="s">
        <v>87</v>
      </c>
      <c r="J16655" s="19"/>
      <c r="L16655" s="16" t="str">
        <f>IFERROR(__xludf.DUMMYFUNCTION("""COMPUTED_VALUE"""),"")</f>
        <v/>
      </c>
      <c r="M16655" s="16" t="str">
        <f>IFERROR(__xludf.DUMMYFUNCTION("""COMPUTED_VALUE"""),"")</f>
        <v/>
      </c>
      <c r="U16655" s="16" t="s">
        <v>87</v>
      </c>
      <c r="V16655" s="16" t="str">
        <f>IFERROR(__xludf.DUMMYFUNCTION("""COMPUTED_VALUE"""),"")</f>
        <v/>
      </c>
      <c r="W16655" s="16" t="str">
        <f>IFERROR(__xludf.DUMMYFUNCTION("""COMPUTED_VALUE"""),"")</f>
        <v/>
      </c>
      <c r="X16655" s="16" t="str">
        <f>IFERROR(__xludf.DUMMYFUNCTION("""COMPUTED_VALUE"""),"")</f>
        <v/>
      </c>
      <c r="AC16655" s="16" t="str">
        <f>IFERROR(__xludf.DUMMYFUNCTION("""COMPUTED_VALUE"""),"")</f>
        <v/>
      </c>
    </row>
    <row r="16656">
      <c r="A16656" s="16" t="s">
        <v>87</v>
      </c>
      <c r="E16656" s="16" t="str">
        <f>IFERROR(__xludf.DUMMYFUNCTION("""COMPUTED_VALUE"""),"")</f>
        <v/>
      </c>
      <c r="G16656" s="18"/>
      <c r="H16656" s="16" t="s">
        <v>87</v>
      </c>
      <c r="I16656" s="16" t="s">
        <v>87</v>
      </c>
      <c r="J16656" s="19"/>
      <c r="L16656" s="16" t="str">
        <f>IFERROR(__xludf.DUMMYFUNCTION("""COMPUTED_VALUE"""),"")</f>
        <v/>
      </c>
      <c r="M16656" s="16" t="str">
        <f>IFERROR(__xludf.DUMMYFUNCTION("""COMPUTED_VALUE"""),"")</f>
        <v/>
      </c>
      <c r="U16656" s="16" t="s">
        <v>87</v>
      </c>
      <c r="V16656" s="16" t="str">
        <f>IFERROR(__xludf.DUMMYFUNCTION("""COMPUTED_VALUE"""),"")</f>
        <v/>
      </c>
      <c r="W16656" s="16" t="str">
        <f>IFERROR(__xludf.DUMMYFUNCTION("""COMPUTED_VALUE"""),"")</f>
        <v/>
      </c>
      <c r="X16656" s="16" t="str">
        <f>IFERROR(__xludf.DUMMYFUNCTION("""COMPUTED_VALUE"""),"")</f>
        <v/>
      </c>
      <c r="AC16656" s="16" t="str">
        <f>IFERROR(__xludf.DUMMYFUNCTION("""COMPUTED_VALUE"""),"")</f>
        <v/>
      </c>
    </row>
    <row r="16657">
      <c r="A16657" s="16" t="s">
        <v>87</v>
      </c>
      <c r="E16657" s="16" t="str">
        <f>IFERROR(__xludf.DUMMYFUNCTION("""COMPUTED_VALUE"""),"")</f>
        <v/>
      </c>
      <c r="G16657" s="18"/>
      <c r="H16657" s="16" t="s">
        <v>87</v>
      </c>
      <c r="I16657" s="16" t="s">
        <v>87</v>
      </c>
      <c r="J16657" s="19"/>
      <c r="L16657" s="16" t="str">
        <f>IFERROR(__xludf.DUMMYFUNCTION("""COMPUTED_VALUE"""),"")</f>
        <v/>
      </c>
      <c r="M16657" s="16" t="str">
        <f>IFERROR(__xludf.DUMMYFUNCTION("""COMPUTED_VALUE"""),"")</f>
        <v/>
      </c>
      <c r="U16657" s="16" t="s">
        <v>87</v>
      </c>
      <c r="V16657" s="16" t="str">
        <f>IFERROR(__xludf.DUMMYFUNCTION("""COMPUTED_VALUE"""),"")</f>
        <v/>
      </c>
      <c r="W16657" s="16" t="str">
        <f>IFERROR(__xludf.DUMMYFUNCTION("""COMPUTED_VALUE"""),"")</f>
        <v/>
      </c>
      <c r="X16657" s="16" t="str">
        <f>IFERROR(__xludf.DUMMYFUNCTION("""COMPUTED_VALUE"""),"")</f>
        <v/>
      </c>
      <c r="AC16657" s="16" t="str">
        <f>IFERROR(__xludf.DUMMYFUNCTION("""COMPUTED_VALUE"""),"")</f>
        <v/>
      </c>
    </row>
    <row r="16658">
      <c r="A16658" s="16" t="s">
        <v>87</v>
      </c>
      <c r="E16658" s="16" t="str">
        <f>IFERROR(__xludf.DUMMYFUNCTION("""COMPUTED_VALUE"""),"")</f>
        <v/>
      </c>
      <c r="G16658" s="18"/>
      <c r="H16658" s="16" t="s">
        <v>87</v>
      </c>
      <c r="I16658" s="16" t="s">
        <v>87</v>
      </c>
      <c r="J16658" s="19"/>
      <c r="L16658" s="16" t="str">
        <f>IFERROR(__xludf.DUMMYFUNCTION("""COMPUTED_VALUE"""),"")</f>
        <v/>
      </c>
      <c r="M16658" s="16" t="str">
        <f>IFERROR(__xludf.DUMMYFUNCTION("""COMPUTED_VALUE"""),"")</f>
        <v/>
      </c>
      <c r="U16658" s="16" t="s">
        <v>87</v>
      </c>
      <c r="V16658" s="16" t="str">
        <f>IFERROR(__xludf.DUMMYFUNCTION("""COMPUTED_VALUE"""),"")</f>
        <v/>
      </c>
      <c r="W16658" s="16" t="str">
        <f>IFERROR(__xludf.DUMMYFUNCTION("""COMPUTED_VALUE"""),"")</f>
        <v/>
      </c>
      <c r="X16658" s="16" t="str">
        <f>IFERROR(__xludf.DUMMYFUNCTION("""COMPUTED_VALUE"""),"")</f>
        <v/>
      </c>
      <c r="AC16658" s="16" t="str">
        <f>IFERROR(__xludf.DUMMYFUNCTION("""COMPUTED_VALUE"""),"")</f>
        <v/>
      </c>
    </row>
    <row r="16659">
      <c r="A16659" s="16" t="s">
        <v>87</v>
      </c>
      <c r="E16659" s="16" t="str">
        <f>IFERROR(__xludf.DUMMYFUNCTION("""COMPUTED_VALUE"""),"")</f>
        <v/>
      </c>
      <c r="G16659" s="18"/>
      <c r="H16659" s="16" t="s">
        <v>87</v>
      </c>
      <c r="I16659" s="16" t="s">
        <v>87</v>
      </c>
      <c r="J16659" s="19"/>
      <c r="L16659" s="16" t="str">
        <f>IFERROR(__xludf.DUMMYFUNCTION("""COMPUTED_VALUE"""),"")</f>
        <v/>
      </c>
      <c r="M16659" s="16" t="str">
        <f>IFERROR(__xludf.DUMMYFUNCTION("""COMPUTED_VALUE"""),"")</f>
        <v/>
      </c>
      <c r="U16659" s="16" t="s">
        <v>87</v>
      </c>
      <c r="V16659" s="16" t="str">
        <f>IFERROR(__xludf.DUMMYFUNCTION("""COMPUTED_VALUE"""),"")</f>
        <v/>
      </c>
      <c r="W16659" s="16" t="str">
        <f>IFERROR(__xludf.DUMMYFUNCTION("""COMPUTED_VALUE"""),"")</f>
        <v/>
      </c>
      <c r="X16659" s="16" t="str">
        <f>IFERROR(__xludf.DUMMYFUNCTION("""COMPUTED_VALUE"""),"")</f>
        <v/>
      </c>
      <c r="AC16659" s="16" t="str">
        <f>IFERROR(__xludf.DUMMYFUNCTION("""COMPUTED_VALUE"""),"")</f>
        <v/>
      </c>
    </row>
    <row r="16660">
      <c r="A16660" s="16" t="s">
        <v>87</v>
      </c>
      <c r="E16660" s="16" t="str">
        <f>IFERROR(__xludf.DUMMYFUNCTION("""COMPUTED_VALUE"""),"")</f>
        <v/>
      </c>
      <c r="G16660" s="18"/>
      <c r="H16660" s="16" t="s">
        <v>87</v>
      </c>
      <c r="I16660" s="16" t="s">
        <v>87</v>
      </c>
      <c r="J16660" s="19"/>
      <c r="L16660" s="16" t="str">
        <f>IFERROR(__xludf.DUMMYFUNCTION("""COMPUTED_VALUE"""),"")</f>
        <v/>
      </c>
      <c r="M16660" s="16" t="str">
        <f>IFERROR(__xludf.DUMMYFUNCTION("""COMPUTED_VALUE"""),"")</f>
        <v/>
      </c>
      <c r="U16660" s="16" t="s">
        <v>87</v>
      </c>
      <c r="V16660" s="16" t="str">
        <f>IFERROR(__xludf.DUMMYFUNCTION("""COMPUTED_VALUE"""),"")</f>
        <v/>
      </c>
      <c r="W16660" s="16" t="str">
        <f>IFERROR(__xludf.DUMMYFUNCTION("""COMPUTED_VALUE"""),"")</f>
        <v/>
      </c>
      <c r="X16660" s="16" t="str">
        <f>IFERROR(__xludf.DUMMYFUNCTION("""COMPUTED_VALUE"""),"")</f>
        <v/>
      </c>
      <c r="AC16660" s="16" t="str">
        <f>IFERROR(__xludf.DUMMYFUNCTION("""COMPUTED_VALUE"""),"")</f>
        <v/>
      </c>
    </row>
    <row r="16661">
      <c r="A16661" s="16" t="s">
        <v>87</v>
      </c>
      <c r="E16661" s="16" t="str">
        <f>IFERROR(__xludf.DUMMYFUNCTION("""COMPUTED_VALUE"""),"")</f>
        <v/>
      </c>
      <c r="G16661" s="18"/>
      <c r="H16661" s="16" t="s">
        <v>87</v>
      </c>
      <c r="I16661" s="16" t="s">
        <v>87</v>
      </c>
      <c r="J16661" s="19"/>
      <c r="L16661" s="16" t="str">
        <f>IFERROR(__xludf.DUMMYFUNCTION("""COMPUTED_VALUE"""),"")</f>
        <v/>
      </c>
      <c r="M16661" s="16" t="str">
        <f>IFERROR(__xludf.DUMMYFUNCTION("""COMPUTED_VALUE"""),"")</f>
        <v/>
      </c>
      <c r="U16661" s="16" t="s">
        <v>87</v>
      </c>
      <c r="V16661" s="16" t="str">
        <f>IFERROR(__xludf.DUMMYFUNCTION("""COMPUTED_VALUE"""),"")</f>
        <v/>
      </c>
      <c r="W16661" s="16" t="str">
        <f>IFERROR(__xludf.DUMMYFUNCTION("""COMPUTED_VALUE"""),"")</f>
        <v/>
      </c>
      <c r="X16661" s="16" t="str">
        <f>IFERROR(__xludf.DUMMYFUNCTION("""COMPUTED_VALUE"""),"")</f>
        <v/>
      </c>
      <c r="AC16661" s="16" t="str">
        <f>IFERROR(__xludf.DUMMYFUNCTION("""COMPUTED_VALUE"""),"")</f>
        <v/>
      </c>
    </row>
    <row r="16662">
      <c r="A16662" s="16" t="s">
        <v>87</v>
      </c>
      <c r="E16662" s="16" t="str">
        <f>IFERROR(__xludf.DUMMYFUNCTION("""COMPUTED_VALUE"""),"")</f>
        <v/>
      </c>
      <c r="G16662" s="18"/>
      <c r="H16662" s="16" t="s">
        <v>87</v>
      </c>
      <c r="I16662" s="16" t="s">
        <v>87</v>
      </c>
      <c r="J16662" s="19"/>
      <c r="L16662" s="16" t="str">
        <f>IFERROR(__xludf.DUMMYFUNCTION("""COMPUTED_VALUE"""),"")</f>
        <v/>
      </c>
      <c r="M16662" s="16" t="str">
        <f>IFERROR(__xludf.DUMMYFUNCTION("""COMPUTED_VALUE"""),"")</f>
        <v/>
      </c>
      <c r="U16662" s="16" t="s">
        <v>87</v>
      </c>
      <c r="V16662" s="16" t="str">
        <f>IFERROR(__xludf.DUMMYFUNCTION("""COMPUTED_VALUE"""),"")</f>
        <v/>
      </c>
      <c r="W16662" s="16" t="str">
        <f>IFERROR(__xludf.DUMMYFUNCTION("""COMPUTED_VALUE"""),"")</f>
        <v/>
      </c>
      <c r="X16662" s="16" t="str">
        <f>IFERROR(__xludf.DUMMYFUNCTION("""COMPUTED_VALUE"""),"")</f>
        <v/>
      </c>
      <c r="AC16662" s="16" t="str">
        <f>IFERROR(__xludf.DUMMYFUNCTION("""COMPUTED_VALUE"""),"")</f>
        <v/>
      </c>
    </row>
    <row r="16663">
      <c r="A16663" s="16" t="s">
        <v>87</v>
      </c>
      <c r="E16663" s="16" t="str">
        <f>IFERROR(__xludf.DUMMYFUNCTION("""COMPUTED_VALUE"""),"")</f>
        <v/>
      </c>
      <c r="G16663" s="18"/>
      <c r="H16663" s="16" t="s">
        <v>87</v>
      </c>
      <c r="I16663" s="16" t="s">
        <v>87</v>
      </c>
      <c r="J16663" s="19"/>
      <c r="L16663" s="16" t="str">
        <f>IFERROR(__xludf.DUMMYFUNCTION("""COMPUTED_VALUE"""),"")</f>
        <v/>
      </c>
      <c r="M16663" s="16" t="str">
        <f>IFERROR(__xludf.DUMMYFUNCTION("""COMPUTED_VALUE"""),"")</f>
        <v/>
      </c>
      <c r="U16663" s="16" t="s">
        <v>87</v>
      </c>
      <c r="V16663" s="16" t="str">
        <f>IFERROR(__xludf.DUMMYFUNCTION("""COMPUTED_VALUE"""),"")</f>
        <v/>
      </c>
      <c r="W16663" s="16" t="str">
        <f>IFERROR(__xludf.DUMMYFUNCTION("""COMPUTED_VALUE"""),"")</f>
        <v/>
      </c>
      <c r="X16663" s="16" t="str">
        <f>IFERROR(__xludf.DUMMYFUNCTION("""COMPUTED_VALUE"""),"")</f>
        <v/>
      </c>
      <c r="AC16663" s="16" t="str">
        <f>IFERROR(__xludf.DUMMYFUNCTION("""COMPUTED_VALUE"""),"")</f>
        <v/>
      </c>
    </row>
    <row r="16664">
      <c r="A16664" s="16" t="s">
        <v>87</v>
      </c>
      <c r="E16664" s="16" t="str">
        <f>IFERROR(__xludf.DUMMYFUNCTION("""COMPUTED_VALUE"""),"")</f>
        <v/>
      </c>
      <c r="G16664" s="18"/>
      <c r="H16664" s="16" t="s">
        <v>87</v>
      </c>
      <c r="I16664" s="16" t="s">
        <v>87</v>
      </c>
      <c r="J16664" s="19"/>
      <c r="L16664" s="16" t="str">
        <f>IFERROR(__xludf.DUMMYFUNCTION("""COMPUTED_VALUE"""),"")</f>
        <v/>
      </c>
      <c r="M16664" s="16" t="str">
        <f>IFERROR(__xludf.DUMMYFUNCTION("""COMPUTED_VALUE"""),"")</f>
        <v/>
      </c>
      <c r="U16664" s="16" t="s">
        <v>87</v>
      </c>
      <c r="V16664" s="16" t="str">
        <f>IFERROR(__xludf.DUMMYFUNCTION("""COMPUTED_VALUE"""),"")</f>
        <v/>
      </c>
      <c r="W16664" s="16" t="str">
        <f>IFERROR(__xludf.DUMMYFUNCTION("""COMPUTED_VALUE"""),"")</f>
        <v/>
      </c>
      <c r="X16664" s="16" t="str">
        <f>IFERROR(__xludf.DUMMYFUNCTION("""COMPUTED_VALUE"""),"")</f>
        <v/>
      </c>
      <c r="AC16664" s="16" t="str">
        <f>IFERROR(__xludf.DUMMYFUNCTION("""COMPUTED_VALUE"""),"")</f>
        <v/>
      </c>
    </row>
    <row r="16665">
      <c r="A16665" s="16" t="s">
        <v>87</v>
      </c>
      <c r="E16665" s="16" t="str">
        <f>IFERROR(__xludf.DUMMYFUNCTION("""COMPUTED_VALUE"""),"")</f>
        <v/>
      </c>
      <c r="G16665" s="18"/>
      <c r="H16665" s="16" t="s">
        <v>87</v>
      </c>
      <c r="I16665" s="16" t="s">
        <v>87</v>
      </c>
      <c r="J16665" s="19"/>
      <c r="L16665" s="16" t="str">
        <f>IFERROR(__xludf.DUMMYFUNCTION("""COMPUTED_VALUE"""),"")</f>
        <v/>
      </c>
      <c r="M16665" s="16" t="str">
        <f>IFERROR(__xludf.DUMMYFUNCTION("""COMPUTED_VALUE"""),"")</f>
        <v/>
      </c>
      <c r="U16665" s="16" t="s">
        <v>87</v>
      </c>
      <c r="V16665" s="16" t="str">
        <f>IFERROR(__xludf.DUMMYFUNCTION("""COMPUTED_VALUE"""),"")</f>
        <v/>
      </c>
      <c r="W16665" s="16" t="str">
        <f>IFERROR(__xludf.DUMMYFUNCTION("""COMPUTED_VALUE"""),"")</f>
        <v/>
      </c>
      <c r="X16665" s="16" t="str">
        <f>IFERROR(__xludf.DUMMYFUNCTION("""COMPUTED_VALUE"""),"")</f>
        <v/>
      </c>
      <c r="AC16665" s="16" t="str">
        <f>IFERROR(__xludf.DUMMYFUNCTION("""COMPUTED_VALUE"""),"")</f>
        <v/>
      </c>
    </row>
    <row r="16666">
      <c r="A16666" s="16" t="s">
        <v>87</v>
      </c>
      <c r="E16666" s="16" t="str">
        <f>IFERROR(__xludf.DUMMYFUNCTION("""COMPUTED_VALUE"""),"")</f>
        <v/>
      </c>
      <c r="G16666" s="18"/>
      <c r="H16666" s="16" t="s">
        <v>87</v>
      </c>
      <c r="I16666" s="16" t="s">
        <v>87</v>
      </c>
      <c r="J16666" s="19"/>
      <c r="L16666" s="16" t="str">
        <f>IFERROR(__xludf.DUMMYFUNCTION("""COMPUTED_VALUE"""),"")</f>
        <v/>
      </c>
      <c r="M16666" s="16" t="str">
        <f>IFERROR(__xludf.DUMMYFUNCTION("""COMPUTED_VALUE"""),"")</f>
        <v/>
      </c>
      <c r="U16666" s="16" t="s">
        <v>87</v>
      </c>
      <c r="V16666" s="16" t="str">
        <f>IFERROR(__xludf.DUMMYFUNCTION("""COMPUTED_VALUE"""),"")</f>
        <v/>
      </c>
      <c r="W16666" s="16" t="str">
        <f>IFERROR(__xludf.DUMMYFUNCTION("""COMPUTED_VALUE"""),"")</f>
        <v/>
      </c>
      <c r="X16666" s="16" t="str">
        <f>IFERROR(__xludf.DUMMYFUNCTION("""COMPUTED_VALUE"""),"")</f>
        <v/>
      </c>
      <c r="AC16666" s="16" t="str">
        <f>IFERROR(__xludf.DUMMYFUNCTION("""COMPUTED_VALUE"""),"")</f>
        <v/>
      </c>
    </row>
    <row r="16667">
      <c r="A16667" s="16" t="s">
        <v>87</v>
      </c>
      <c r="E16667" s="16" t="str">
        <f>IFERROR(__xludf.DUMMYFUNCTION("""COMPUTED_VALUE"""),"")</f>
        <v/>
      </c>
      <c r="G16667" s="18"/>
      <c r="H16667" s="16" t="s">
        <v>87</v>
      </c>
      <c r="I16667" s="16" t="s">
        <v>87</v>
      </c>
      <c r="J16667" s="19"/>
      <c r="L16667" s="16" t="str">
        <f>IFERROR(__xludf.DUMMYFUNCTION("""COMPUTED_VALUE"""),"")</f>
        <v/>
      </c>
      <c r="M16667" s="16" t="str">
        <f>IFERROR(__xludf.DUMMYFUNCTION("""COMPUTED_VALUE"""),"")</f>
        <v/>
      </c>
      <c r="U16667" s="16" t="s">
        <v>87</v>
      </c>
      <c r="V16667" s="16" t="str">
        <f>IFERROR(__xludf.DUMMYFUNCTION("""COMPUTED_VALUE"""),"")</f>
        <v/>
      </c>
      <c r="W16667" s="16" t="str">
        <f>IFERROR(__xludf.DUMMYFUNCTION("""COMPUTED_VALUE"""),"")</f>
        <v/>
      </c>
      <c r="X16667" s="16" t="str">
        <f>IFERROR(__xludf.DUMMYFUNCTION("""COMPUTED_VALUE"""),"")</f>
        <v/>
      </c>
      <c r="AC16667" s="16" t="str">
        <f>IFERROR(__xludf.DUMMYFUNCTION("""COMPUTED_VALUE"""),"")</f>
        <v/>
      </c>
    </row>
    <row r="16668">
      <c r="A16668" s="16" t="s">
        <v>87</v>
      </c>
      <c r="E16668" s="16" t="str">
        <f>IFERROR(__xludf.DUMMYFUNCTION("""COMPUTED_VALUE"""),"")</f>
        <v/>
      </c>
      <c r="G16668" s="18"/>
      <c r="H16668" s="16" t="s">
        <v>87</v>
      </c>
      <c r="I16668" s="16" t="s">
        <v>87</v>
      </c>
      <c r="J16668" s="19"/>
      <c r="L16668" s="16" t="str">
        <f>IFERROR(__xludf.DUMMYFUNCTION("""COMPUTED_VALUE"""),"")</f>
        <v/>
      </c>
      <c r="M16668" s="16" t="str">
        <f>IFERROR(__xludf.DUMMYFUNCTION("""COMPUTED_VALUE"""),"")</f>
        <v/>
      </c>
      <c r="U16668" s="16" t="s">
        <v>87</v>
      </c>
      <c r="V16668" s="16" t="str">
        <f>IFERROR(__xludf.DUMMYFUNCTION("""COMPUTED_VALUE"""),"")</f>
        <v/>
      </c>
      <c r="W16668" s="16" t="str">
        <f>IFERROR(__xludf.DUMMYFUNCTION("""COMPUTED_VALUE"""),"")</f>
        <v/>
      </c>
      <c r="X16668" s="16" t="str">
        <f>IFERROR(__xludf.DUMMYFUNCTION("""COMPUTED_VALUE"""),"")</f>
        <v/>
      </c>
      <c r="AC16668" s="16" t="str">
        <f>IFERROR(__xludf.DUMMYFUNCTION("""COMPUTED_VALUE"""),"")</f>
        <v/>
      </c>
    </row>
    <row r="16669">
      <c r="A16669" s="16" t="s">
        <v>87</v>
      </c>
      <c r="E16669" s="16" t="str">
        <f>IFERROR(__xludf.DUMMYFUNCTION("""COMPUTED_VALUE"""),"")</f>
        <v/>
      </c>
      <c r="G16669" s="18"/>
      <c r="H16669" s="16" t="s">
        <v>87</v>
      </c>
      <c r="I16669" s="16" t="s">
        <v>87</v>
      </c>
      <c r="J16669" s="19"/>
      <c r="L16669" s="16" t="str">
        <f>IFERROR(__xludf.DUMMYFUNCTION("""COMPUTED_VALUE"""),"")</f>
        <v/>
      </c>
      <c r="M16669" s="16" t="str">
        <f>IFERROR(__xludf.DUMMYFUNCTION("""COMPUTED_VALUE"""),"")</f>
        <v/>
      </c>
      <c r="U16669" s="16" t="s">
        <v>87</v>
      </c>
      <c r="V16669" s="16" t="str">
        <f>IFERROR(__xludf.DUMMYFUNCTION("""COMPUTED_VALUE"""),"")</f>
        <v/>
      </c>
      <c r="W16669" s="16" t="str">
        <f>IFERROR(__xludf.DUMMYFUNCTION("""COMPUTED_VALUE"""),"")</f>
        <v/>
      </c>
      <c r="X16669" s="16" t="str">
        <f>IFERROR(__xludf.DUMMYFUNCTION("""COMPUTED_VALUE"""),"")</f>
        <v/>
      </c>
      <c r="AC16669" s="16" t="str">
        <f>IFERROR(__xludf.DUMMYFUNCTION("""COMPUTED_VALUE"""),"")</f>
        <v/>
      </c>
    </row>
    <row r="16670">
      <c r="A16670" s="16" t="s">
        <v>87</v>
      </c>
      <c r="E16670" s="16" t="str">
        <f>IFERROR(__xludf.DUMMYFUNCTION("""COMPUTED_VALUE"""),"")</f>
        <v/>
      </c>
      <c r="G16670" s="18"/>
      <c r="H16670" s="16" t="s">
        <v>87</v>
      </c>
      <c r="I16670" s="16" t="s">
        <v>87</v>
      </c>
      <c r="J16670" s="19"/>
      <c r="L16670" s="16" t="str">
        <f>IFERROR(__xludf.DUMMYFUNCTION("""COMPUTED_VALUE"""),"")</f>
        <v/>
      </c>
      <c r="M16670" s="16" t="str">
        <f>IFERROR(__xludf.DUMMYFUNCTION("""COMPUTED_VALUE"""),"")</f>
        <v/>
      </c>
      <c r="U16670" s="16" t="s">
        <v>87</v>
      </c>
      <c r="V16670" s="16" t="str">
        <f>IFERROR(__xludf.DUMMYFUNCTION("""COMPUTED_VALUE"""),"")</f>
        <v/>
      </c>
      <c r="W16670" s="16" t="str">
        <f>IFERROR(__xludf.DUMMYFUNCTION("""COMPUTED_VALUE"""),"")</f>
        <v/>
      </c>
      <c r="X16670" s="16" t="str">
        <f>IFERROR(__xludf.DUMMYFUNCTION("""COMPUTED_VALUE"""),"")</f>
        <v/>
      </c>
      <c r="AC16670" s="16" t="str">
        <f>IFERROR(__xludf.DUMMYFUNCTION("""COMPUTED_VALUE"""),"")</f>
        <v/>
      </c>
    </row>
    <row r="16671">
      <c r="A16671" s="16" t="s">
        <v>87</v>
      </c>
      <c r="E16671" s="16" t="str">
        <f>IFERROR(__xludf.DUMMYFUNCTION("""COMPUTED_VALUE"""),"")</f>
        <v/>
      </c>
      <c r="G16671" s="18"/>
      <c r="H16671" s="16" t="s">
        <v>87</v>
      </c>
      <c r="I16671" s="16" t="s">
        <v>87</v>
      </c>
      <c r="J16671" s="19"/>
      <c r="L16671" s="16" t="str">
        <f>IFERROR(__xludf.DUMMYFUNCTION("""COMPUTED_VALUE"""),"")</f>
        <v/>
      </c>
      <c r="M16671" s="16" t="str">
        <f>IFERROR(__xludf.DUMMYFUNCTION("""COMPUTED_VALUE"""),"")</f>
        <v/>
      </c>
      <c r="U16671" s="16" t="s">
        <v>87</v>
      </c>
      <c r="V16671" s="16" t="str">
        <f>IFERROR(__xludf.DUMMYFUNCTION("""COMPUTED_VALUE"""),"")</f>
        <v/>
      </c>
      <c r="W16671" s="16" t="str">
        <f>IFERROR(__xludf.DUMMYFUNCTION("""COMPUTED_VALUE"""),"")</f>
        <v/>
      </c>
      <c r="X16671" s="16" t="str">
        <f>IFERROR(__xludf.DUMMYFUNCTION("""COMPUTED_VALUE"""),"")</f>
        <v/>
      </c>
      <c r="AC16671" s="16" t="str">
        <f>IFERROR(__xludf.DUMMYFUNCTION("""COMPUTED_VALUE"""),"")</f>
        <v/>
      </c>
    </row>
    <row r="16672">
      <c r="A16672" s="16" t="s">
        <v>87</v>
      </c>
      <c r="E16672" s="16" t="str">
        <f>IFERROR(__xludf.DUMMYFUNCTION("""COMPUTED_VALUE"""),"")</f>
        <v/>
      </c>
      <c r="G16672" s="18"/>
      <c r="H16672" s="16" t="s">
        <v>87</v>
      </c>
      <c r="I16672" s="16" t="s">
        <v>87</v>
      </c>
      <c r="J16672" s="19"/>
      <c r="L16672" s="16" t="str">
        <f>IFERROR(__xludf.DUMMYFUNCTION("""COMPUTED_VALUE"""),"")</f>
        <v/>
      </c>
      <c r="M16672" s="16" t="str">
        <f>IFERROR(__xludf.DUMMYFUNCTION("""COMPUTED_VALUE"""),"")</f>
        <v/>
      </c>
      <c r="U16672" s="16" t="s">
        <v>87</v>
      </c>
      <c r="V16672" s="16" t="str">
        <f>IFERROR(__xludf.DUMMYFUNCTION("""COMPUTED_VALUE"""),"")</f>
        <v/>
      </c>
      <c r="W16672" s="16" t="str">
        <f>IFERROR(__xludf.DUMMYFUNCTION("""COMPUTED_VALUE"""),"")</f>
        <v/>
      </c>
      <c r="X16672" s="16" t="str">
        <f>IFERROR(__xludf.DUMMYFUNCTION("""COMPUTED_VALUE"""),"")</f>
        <v/>
      </c>
      <c r="AC16672" s="16" t="str">
        <f>IFERROR(__xludf.DUMMYFUNCTION("""COMPUTED_VALUE"""),"")</f>
        <v/>
      </c>
    </row>
    <row r="16673">
      <c r="A16673" s="16" t="s">
        <v>87</v>
      </c>
      <c r="E16673" s="16" t="str">
        <f>IFERROR(__xludf.DUMMYFUNCTION("""COMPUTED_VALUE"""),"")</f>
        <v/>
      </c>
      <c r="G16673" s="18"/>
      <c r="H16673" s="16" t="s">
        <v>87</v>
      </c>
      <c r="I16673" s="16" t="s">
        <v>87</v>
      </c>
      <c r="J16673" s="19"/>
      <c r="L16673" s="16" t="str">
        <f>IFERROR(__xludf.DUMMYFUNCTION("""COMPUTED_VALUE"""),"")</f>
        <v/>
      </c>
      <c r="M16673" s="16" t="str">
        <f>IFERROR(__xludf.DUMMYFUNCTION("""COMPUTED_VALUE"""),"")</f>
        <v/>
      </c>
      <c r="U16673" s="16" t="s">
        <v>87</v>
      </c>
      <c r="V16673" s="16" t="str">
        <f>IFERROR(__xludf.DUMMYFUNCTION("""COMPUTED_VALUE"""),"")</f>
        <v/>
      </c>
      <c r="W16673" s="16" t="str">
        <f>IFERROR(__xludf.DUMMYFUNCTION("""COMPUTED_VALUE"""),"")</f>
        <v/>
      </c>
      <c r="X16673" s="16" t="str">
        <f>IFERROR(__xludf.DUMMYFUNCTION("""COMPUTED_VALUE"""),"")</f>
        <v/>
      </c>
      <c r="AC16673" s="16" t="str">
        <f>IFERROR(__xludf.DUMMYFUNCTION("""COMPUTED_VALUE"""),"")</f>
        <v/>
      </c>
    </row>
    <row r="16674">
      <c r="A16674" s="16" t="s">
        <v>87</v>
      </c>
      <c r="E16674" s="16" t="str">
        <f>IFERROR(__xludf.DUMMYFUNCTION("""COMPUTED_VALUE"""),"")</f>
        <v/>
      </c>
      <c r="G16674" s="18"/>
      <c r="H16674" s="16" t="s">
        <v>87</v>
      </c>
      <c r="I16674" s="16" t="s">
        <v>87</v>
      </c>
      <c r="J16674" s="19"/>
      <c r="L16674" s="16" t="str">
        <f>IFERROR(__xludf.DUMMYFUNCTION("""COMPUTED_VALUE"""),"")</f>
        <v/>
      </c>
      <c r="M16674" s="16" t="str">
        <f>IFERROR(__xludf.DUMMYFUNCTION("""COMPUTED_VALUE"""),"")</f>
        <v/>
      </c>
      <c r="U16674" s="16" t="s">
        <v>87</v>
      </c>
      <c r="V16674" s="16" t="str">
        <f>IFERROR(__xludf.DUMMYFUNCTION("""COMPUTED_VALUE"""),"")</f>
        <v/>
      </c>
      <c r="W16674" s="16" t="str">
        <f>IFERROR(__xludf.DUMMYFUNCTION("""COMPUTED_VALUE"""),"")</f>
        <v/>
      </c>
      <c r="X16674" s="16" t="str">
        <f>IFERROR(__xludf.DUMMYFUNCTION("""COMPUTED_VALUE"""),"")</f>
        <v/>
      </c>
      <c r="AC16674" s="16" t="str">
        <f>IFERROR(__xludf.DUMMYFUNCTION("""COMPUTED_VALUE"""),"")</f>
        <v/>
      </c>
    </row>
    <row r="16675">
      <c r="A16675" s="16" t="s">
        <v>87</v>
      </c>
      <c r="E16675" s="16" t="str">
        <f>IFERROR(__xludf.DUMMYFUNCTION("""COMPUTED_VALUE"""),"")</f>
        <v/>
      </c>
      <c r="G16675" s="18"/>
      <c r="H16675" s="16" t="s">
        <v>87</v>
      </c>
      <c r="I16675" s="16" t="s">
        <v>87</v>
      </c>
      <c r="J16675" s="19"/>
      <c r="L16675" s="16" t="str">
        <f>IFERROR(__xludf.DUMMYFUNCTION("""COMPUTED_VALUE"""),"")</f>
        <v/>
      </c>
      <c r="M16675" s="16" t="str">
        <f>IFERROR(__xludf.DUMMYFUNCTION("""COMPUTED_VALUE"""),"")</f>
        <v/>
      </c>
      <c r="U16675" s="16" t="s">
        <v>87</v>
      </c>
      <c r="V16675" s="16" t="str">
        <f>IFERROR(__xludf.DUMMYFUNCTION("""COMPUTED_VALUE"""),"")</f>
        <v/>
      </c>
      <c r="W16675" s="16" t="str">
        <f>IFERROR(__xludf.DUMMYFUNCTION("""COMPUTED_VALUE"""),"")</f>
        <v/>
      </c>
      <c r="X16675" s="16" t="str">
        <f>IFERROR(__xludf.DUMMYFUNCTION("""COMPUTED_VALUE"""),"")</f>
        <v/>
      </c>
      <c r="AC16675" s="16" t="str">
        <f>IFERROR(__xludf.DUMMYFUNCTION("""COMPUTED_VALUE"""),"")</f>
        <v/>
      </c>
    </row>
    <row r="16676">
      <c r="A16676" s="16" t="s">
        <v>87</v>
      </c>
      <c r="E16676" s="16" t="str">
        <f>IFERROR(__xludf.DUMMYFUNCTION("""COMPUTED_VALUE"""),"")</f>
        <v/>
      </c>
      <c r="G16676" s="18"/>
      <c r="H16676" s="16" t="s">
        <v>87</v>
      </c>
      <c r="I16676" s="16" t="s">
        <v>87</v>
      </c>
      <c r="J16676" s="19"/>
      <c r="L16676" s="16" t="str">
        <f>IFERROR(__xludf.DUMMYFUNCTION("""COMPUTED_VALUE"""),"")</f>
        <v/>
      </c>
      <c r="M16676" s="16" t="str">
        <f>IFERROR(__xludf.DUMMYFUNCTION("""COMPUTED_VALUE"""),"")</f>
        <v/>
      </c>
      <c r="U16676" s="16" t="s">
        <v>87</v>
      </c>
      <c r="V16676" s="16" t="str">
        <f>IFERROR(__xludf.DUMMYFUNCTION("""COMPUTED_VALUE"""),"")</f>
        <v/>
      </c>
      <c r="W16676" s="16" t="str">
        <f>IFERROR(__xludf.DUMMYFUNCTION("""COMPUTED_VALUE"""),"")</f>
        <v/>
      </c>
      <c r="X16676" s="16" t="str">
        <f>IFERROR(__xludf.DUMMYFUNCTION("""COMPUTED_VALUE"""),"")</f>
        <v/>
      </c>
      <c r="AC16676" s="16" t="str">
        <f>IFERROR(__xludf.DUMMYFUNCTION("""COMPUTED_VALUE"""),"")</f>
        <v/>
      </c>
    </row>
    <row r="16677">
      <c r="A16677" s="16" t="s">
        <v>87</v>
      </c>
      <c r="E16677" s="16" t="str">
        <f>IFERROR(__xludf.DUMMYFUNCTION("""COMPUTED_VALUE"""),"")</f>
        <v/>
      </c>
      <c r="G16677" s="18"/>
      <c r="H16677" s="16" t="s">
        <v>87</v>
      </c>
      <c r="I16677" s="16" t="s">
        <v>87</v>
      </c>
      <c r="J16677" s="19"/>
      <c r="L16677" s="16" t="str">
        <f>IFERROR(__xludf.DUMMYFUNCTION("""COMPUTED_VALUE"""),"")</f>
        <v/>
      </c>
      <c r="M16677" s="16" t="str">
        <f>IFERROR(__xludf.DUMMYFUNCTION("""COMPUTED_VALUE"""),"")</f>
        <v/>
      </c>
      <c r="U16677" s="16" t="s">
        <v>87</v>
      </c>
      <c r="V16677" s="16" t="str">
        <f>IFERROR(__xludf.DUMMYFUNCTION("""COMPUTED_VALUE"""),"")</f>
        <v/>
      </c>
      <c r="W16677" s="16" t="str">
        <f>IFERROR(__xludf.DUMMYFUNCTION("""COMPUTED_VALUE"""),"")</f>
        <v/>
      </c>
      <c r="X16677" s="16" t="str">
        <f>IFERROR(__xludf.DUMMYFUNCTION("""COMPUTED_VALUE"""),"")</f>
        <v/>
      </c>
      <c r="AC16677" s="16" t="str">
        <f>IFERROR(__xludf.DUMMYFUNCTION("""COMPUTED_VALUE"""),"")</f>
        <v/>
      </c>
    </row>
    <row r="16678">
      <c r="A16678" s="16" t="s">
        <v>87</v>
      </c>
      <c r="E16678" s="16" t="str">
        <f>IFERROR(__xludf.DUMMYFUNCTION("""COMPUTED_VALUE"""),"")</f>
        <v/>
      </c>
      <c r="G16678" s="18"/>
      <c r="H16678" s="16" t="s">
        <v>87</v>
      </c>
      <c r="I16678" s="16" t="s">
        <v>87</v>
      </c>
      <c r="J16678" s="19"/>
      <c r="L16678" s="16" t="str">
        <f>IFERROR(__xludf.DUMMYFUNCTION("""COMPUTED_VALUE"""),"")</f>
        <v/>
      </c>
      <c r="M16678" s="16" t="str">
        <f>IFERROR(__xludf.DUMMYFUNCTION("""COMPUTED_VALUE"""),"")</f>
        <v/>
      </c>
      <c r="U16678" s="16" t="s">
        <v>87</v>
      </c>
      <c r="V16678" s="16" t="str">
        <f>IFERROR(__xludf.DUMMYFUNCTION("""COMPUTED_VALUE"""),"")</f>
        <v/>
      </c>
      <c r="W16678" s="16" t="str">
        <f>IFERROR(__xludf.DUMMYFUNCTION("""COMPUTED_VALUE"""),"")</f>
        <v/>
      </c>
      <c r="X16678" s="16" t="str">
        <f>IFERROR(__xludf.DUMMYFUNCTION("""COMPUTED_VALUE"""),"")</f>
        <v/>
      </c>
      <c r="AC16678" s="16" t="str">
        <f>IFERROR(__xludf.DUMMYFUNCTION("""COMPUTED_VALUE"""),"")</f>
        <v/>
      </c>
    </row>
    <row r="16679">
      <c r="A16679" s="16" t="s">
        <v>87</v>
      </c>
      <c r="E16679" s="16" t="str">
        <f>IFERROR(__xludf.DUMMYFUNCTION("""COMPUTED_VALUE"""),"")</f>
        <v/>
      </c>
      <c r="G16679" s="18"/>
      <c r="H16679" s="16" t="s">
        <v>87</v>
      </c>
      <c r="I16679" s="16" t="s">
        <v>87</v>
      </c>
      <c r="J16679" s="19"/>
      <c r="L16679" s="16" t="str">
        <f>IFERROR(__xludf.DUMMYFUNCTION("""COMPUTED_VALUE"""),"")</f>
        <v/>
      </c>
      <c r="M16679" s="16" t="str">
        <f>IFERROR(__xludf.DUMMYFUNCTION("""COMPUTED_VALUE"""),"")</f>
        <v/>
      </c>
      <c r="U16679" s="16" t="s">
        <v>87</v>
      </c>
      <c r="V16679" s="16" t="str">
        <f>IFERROR(__xludf.DUMMYFUNCTION("""COMPUTED_VALUE"""),"")</f>
        <v/>
      </c>
      <c r="W16679" s="16" t="str">
        <f>IFERROR(__xludf.DUMMYFUNCTION("""COMPUTED_VALUE"""),"")</f>
        <v/>
      </c>
      <c r="X16679" s="16" t="str">
        <f>IFERROR(__xludf.DUMMYFUNCTION("""COMPUTED_VALUE"""),"")</f>
        <v/>
      </c>
      <c r="AC16679" s="16" t="str">
        <f>IFERROR(__xludf.DUMMYFUNCTION("""COMPUTED_VALUE"""),"")</f>
        <v/>
      </c>
    </row>
    <row r="16680">
      <c r="A16680" s="16" t="s">
        <v>87</v>
      </c>
      <c r="E16680" s="16" t="str">
        <f>IFERROR(__xludf.DUMMYFUNCTION("""COMPUTED_VALUE"""),"")</f>
        <v/>
      </c>
      <c r="G16680" s="18"/>
      <c r="H16680" s="16" t="s">
        <v>87</v>
      </c>
      <c r="I16680" s="16" t="s">
        <v>87</v>
      </c>
      <c r="J16680" s="19"/>
      <c r="L16680" s="16" t="str">
        <f>IFERROR(__xludf.DUMMYFUNCTION("""COMPUTED_VALUE"""),"")</f>
        <v/>
      </c>
      <c r="M16680" s="16" t="str">
        <f>IFERROR(__xludf.DUMMYFUNCTION("""COMPUTED_VALUE"""),"")</f>
        <v/>
      </c>
      <c r="U16680" s="16" t="s">
        <v>87</v>
      </c>
      <c r="V16680" s="16" t="str">
        <f>IFERROR(__xludf.DUMMYFUNCTION("""COMPUTED_VALUE"""),"")</f>
        <v/>
      </c>
      <c r="W16680" s="16" t="str">
        <f>IFERROR(__xludf.DUMMYFUNCTION("""COMPUTED_VALUE"""),"")</f>
        <v/>
      </c>
      <c r="X16680" s="16" t="str">
        <f>IFERROR(__xludf.DUMMYFUNCTION("""COMPUTED_VALUE"""),"")</f>
        <v/>
      </c>
      <c r="AC16680" s="16" t="str">
        <f>IFERROR(__xludf.DUMMYFUNCTION("""COMPUTED_VALUE"""),"")</f>
        <v/>
      </c>
    </row>
    <row r="16681">
      <c r="A16681" s="16" t="s">
        <v>87</v>
      </c>
      <c r="E16681" s="16" t="str">
        <f>IFERROR(__xludf.DUMMYFUNCTION("""COMPUTED_VALUE"""),"")</f>
        <v/>
      </c>
      <c r="G16681" s="18"/>
      <c r="H16681" s="16" t="s">
        <v>87</v>
      </c>
      <c r="I16681" s="16" t="s">
        <v>87</v>
      </c>
      <c r="J16681" s="19"/>
      <c r="L16681" s="16" t="str">
        <f>IFERROR(__xludf.DUMMYFUNCTION("""COMPUTED_VALUE"""),"")</f>
        <v/>
      </c>
      <c r="M16681" s="16" t="str">
        <f>IFERROR(__xludf.DUMMYFUNCTION("""COMPUTED_VALUE"""),"")</f>
        <v/>
      </c>
      <c r="U16681" s="16" t="s">
        <v>87</v>
      </c>
      <c r="V16681" s="16" t="str">
        <f>IFERROR(__xludf.DUMMYFUNCTION("""COMPUTED_VALUE"""),"")</f>
        <v/>
      </c>
      <c r="W16681" s="16" t="str">
        <f>IFERROR(__xludf.DUMMYFUNCTION("""COMPUTED_VALUE"""),"")</f>
        <v/>
      </c>
      <c r="X16681" s="16" t="str">
        <f>IFERROR(__xludf.DUMMYFUNCTION("""COMPUTED_VALUE"""),"")</f>
        <v/>
      </c>
      <c r="AC16681" s="16" t="str">
        <f>IFERROR(__xludf.DUMMYFUNCTION("""COMPUTED_VALUE"""),"")</f>
        <v/>
      </c>
    </row>
    <row r="16682">
      <c r="A16682" s="16" t="s">
        <v>87</v>
      </c>
      <c r="E16682" s="16" t="str">
        <f>IFERROR(__xludf.DUMMYFUNCTION("""COMPUTED_VALUE"""),"")</f>
        <v/>
      </c>
      <c r="G16682" s="18"/>
      <c r="H16682" s="16" t="s">
        <v>87</v>
      </c>
      <c r="I16682" s="16" t="s">
        <v>87</v>
      </c>
      <c r="J16682" s="19"/>
      <c r="L16682" s="16" t="str">
        <f>IFERROR(__xludf.DUMMYFUNCTION("""COMPUTED_VALUE"""),"")</f>
        <v/>
      </c>
      <c r="M16682" s="16" t="str">
        <f>IFERROR(__xludf.DUMMYFUNCTION("""COMPUTED_VALUE"""),"")</f>
        <v/>
      </c>
      <c r="U16682" s="16" t="s">
        <v>87</v>
      </c>
      <c r="V16682" s="16" t="str">
        <f>IFERROR(__xludf.DUMMYFUNCTION("""COMPUTED_VALUE"""),"")</f>
        <v/>
      </c>
      <c r="W16682" s="16" t="str">
        <f>IFERROR(__xludf.DUMMYFUNCTION("""COMPUTED_VALUE"""),"")</f>
        <v/>
      </c>
      <c r="X16682" s="16" t="str">
        <f>IFERROR(__xludf.DUMMYFUNCTION("""COMPUTED_VALUE"""),"")</f>
        <v/>
      </c>
      <c r="AC16682" s="16" t="str">
        <f>IFERROR(__xludf.DUMMYFUNCTION("""COMPUTED_VALUE"""),"")</f>
        <v/>
      </c>
    </row>
    <row r="16683">
      <c r="A16683" s="16" t="s">
        <v>87</v>
      </c>
      <c r="E16683" s="16" t="str">
        <f>IFERROR(__xludf.DUMMYFUNCTION("""COMPUTED_VALUE"""),"")</f>
        <v/>
      </c>
      <c r="G16683" s="18"/>
      <c r="H16683" s="16" t="s">
        <v>87</v>
      </c>
      <c r="I16683" s="16" t="s">
        <v>87</v>
      </c>
      <c r="J16683" s="19"/>
      <c r="L16683" s="16" t="str">
        <f>IFERROR(__xludf.DUMMYFUNCTION("""COMPUTED_VALUE"""),"")</f>
        <v/>
      </c>
      <c r="M16683" s="16" t="str">
        <f>IFERROR(__xludf.DUMMYFUNCTION("""COMPUTED_VALUE"""),"")</f>
        <v/>
      </c>
      <c r="U16683" s="16" t="s">
        <v>87</v>
      </c>
      <c r="V16683" s="16" t="str">
        <f>IFERROR(__xludf.DUMMYFUNCTION("""COMPUTED_VALUE"""),"")</f>
        <v/>
      </c>
      <c r="W16683" s="16" t="str">
        <f>IFERROR(__xludf.DUMMYFUNCTION("""COMPUTED_VALUE"""),"")</f>
        <v/>
      </c>
      <c r="X16683" s="16" t="str">
        <f>IFERROR(__xludf.DUMMYFUNCTION("""COMPUTED_VALUE"""),"")</f>
        <v/>
      </c>
      <c r="AC16683" s="16" t="str">
        <f>IFERROR(__xludf.DUMMYFUNCTION("""COMPUTED_VALUE"""),"")</f>
        <v/>
      </c>
    </row>
    <row r="16684">
      <c r="A16684" s="16" t="s">
        <v>87</v>
      </c>
      <c r="E16684" s="16" t="str">
        <f>IFERROR(__xludf.DUMMYFUNCTION("""COMPUTED_VALUE"""),"")</f>
        <v/>
      </c>
      <c r="G16684" s="18"/>
      <c r="H16684" s="16" t="s">
        <v>87</v>
      </c>
      <c r="I16684" s="16" t="s">
        <v>87</v>
      </c>
      <c r="J16684" s="19"/>
      <c r="L16684" s="16" t="str">
        <f>IFERROR(__xludf.DUMMYFUNCTION("""COMPUTED_VALUE"""),"")</f>
        <v/>
      </c>
      <c r="M16684" s="16" t="str">
        <f>IFERROR(__xludf.DUMMYFUNCTION("""COMPUTED_VALUE"""),"")</f>
        <v/>
      </c>
      <c r="U16684" s="16" t="s">
        <v>87</v>
      </c>
      <c r="V16684" s="16" t="str">
        <f>IFERROR(__xludf.DUMMYFUNCTION("""COMPUTED_VALUE"""),"")</f>
        <v/>
      </c>
      <c r="W16684" s="16" t="str">
        <f>IFERROR(__xludf.DUMMYFUNCTION("""COMPUTED_VALUE"""),"")</f>
        <v/>
      </c>
      <c r="X16684" s="16" t="str">
        <f>IFERROR(__xludf.DUMMYFUNCTION("""COMPUTED_VALUE"""),"")</f>
        <v/>
      </c>
      <c r="AC16684" s="16" t="str">
        <f>IFERROR(__xludf.DUMMYFUNCTION("""COMPUTED_VALUE"""),"")</f>
        <v/>
      </c>
    </row>
    <row r="16685">
      <c r="A16685" s="16" t="s">
        <v>87</v>
      </c>
      <c r="E16685" s="16" t="str">
        <f>IFERROR(__xludf.DUMMYFUNCTION("""COMPUTED_VALUE"""),"")</f>
        <v/>
      </c>
      <c r="G16685" s="18"/>
      <c r="H16685" s="16" t="s">
        <v>87</v>
      </c>
      <c r="I16685" s="16" t="s">
        <v>87</v>
      </c>
      <c r="J16685" s="19"/>
      <c r="L16685" s="16" t="str">
        <f>IFERROR(__xludf.DUMMYFUNCTION("""COMPUTED_VALUE"""),"")</f>
        <v/>
      </c>
      <c r="M16685" s="16" t="str">
        <f>IFERROR(__xludf.DUMMYFUNCTION("""COMPUTED_VALUE"""),"")</f>
        <v/>
      </c>
      <c r="U16685" s="16" t="s">
        <v>87</v>
      </c>
      <c r="V16685" s="16" t="str">
        <f>IFERROR(__xludf.DUMMYFUNCTION("""COMPUTED_VALUE"""),"")</f>
        <v/>
      </c>
      <c r="W16685" s="16" t="str">
        <f>IFERROR(__xludf.DUMMYFUNCTION("""COMPUTED_VALUE"""),"")</f>
        <v/>
      </c>
      <c r="X16685" s="16" t="str">
        <f>IFERROR(__xludf.DUMMYFUNCTION("""COMPUTED_VALUE"""),"")</f>
        <v/>
      </c>
      <c r="AC16685" s="16" t="str">
        <f>IFERROR(__xludf.DUMMYFUNCTION("""COMPUTED_VALUE"""),"")</f>
        <v/>
      </c>
    </row>
    <row r="16686">
      <c r="A16686" s="16" t="s">
        <v>87</v>
      </c>
      <c r="E16686" s="16" t="str">
        <f>IFERROR(__xludf.DUMMYFUNCTION("""COMPUTED_VALUE"""),"")</f>
        <v/>
      </c>
      <c r="G16686" s="18"/>
      <c r="H16686" s="16" t="s">
        <v>87</v>
      </c>
      <c r="I16686" s="16" t="s">
        <v>87</v>
      </c>
      <c r="J16686" s="19"/>
      <c r="L16686" s="16" t="str">
        <f>IFERROR(__xludf.DUMMYFUNCTION("""COMPUTED_VALUE"""),"")</f>
        <v/>
      </c>
      <c r="M16686" s="16" t="str">
        <f>IFERROR(__xludf.DUMMYFUNCTION("""COMPUTED_VALUE"""),"")</f>
        <v/>
      </c>
      <c r="U16686" s="16" t="s">
        <v>87</v>
      </c>
      <c r="V16686" s="16" t="str">
        <f>IFERROR(__xludf.DUMMYFUNCTION("""COMPUTED_VALUE"""),"")</f>
        <v/>
      </c>
      <c r="W16686" s="16" t="str">
        <f>IFERROR(__xludf.DUMMYFUNCTION("""COMPUTED_VALUE"""),"")</f>
        <v/>
      </c>
      <c r="X16686" s="16" t="str">
        <f>IFERROR(__xludf.DUMMYFUNCTION("""COMPUTED_VALUE"""),"")</f>
        <v/>
      </c>
      <c r="AC16686" s="16" t="str">
        <f>IFERROR(__xludf.DUMMYFUNCTION("""COMPUTED_VALUE"""),"")</f>
        <v/>
      </c>
    </row>
    <row r="16687">
      <c r="A16687" s="16" t="s">
        <v>87</v>
      </c>
      <c r="E16687" s="16" t="str">
        <f>IFERROR(__xludf.DUMMYFUNCTION("""COMPUTED_VALUE"""),"")</f>
        <v/>
      </c>
      <c r="G16687" s="18"/>
      <c r="H16687" s="16" t="s">
        <v>87</v>
      </c>
      <c r="I16687" s="16" t="s">
        <v>87</v>
      </c>
      <c r="J16687" s="19"/>
      <c r="L16687" s="16" t="str">
        <f>IFERROR(__xludf.DUMMYFUNCTION("""COMPUTED_VALUE"""),"")</f>
        <v/>
      </c>
      <c r="M16687" s="16" t="str">
        <f>IFERROR(__xludf.DUMMYFUNCTION("""COMPUTED_VALUE"""),"")</f>
        <v/>
      </c>
      <c r="U16687" s="16" t="s">
        <v>87</v>
      </c>
      <c r="V16687" s="16" t="str">
        <f>IFERROR(__xludf.DUMMYFUNCTION("""COMPUTED_VALUE"""),"")</f>
        <v/>
      </c>
      <c r="W16687" s="16" t="str">
        <f>IFERROR(__xludf.DUMMYFUNCTION("""COMPUTED_VALUE"""),"")</f>
        <v/>
      </c>
      <c r="X16687" s="16" t="str">
        <f>IFERROR(__xludf.DUMMYFUNCTION("""COMPUTED_VALUE"""),"")</f>
        <v/>
      </c>
      <c r="AC16687" s="16" t="str">
        <f>IFERROR(__xludf.DUMMYFUNCTION("""COMPUTED_VALUE"""),"")</f>
        <v/>
      </c>
    </row>
    <row r="16688">
      <c r="A16688" s="16" t="s">
        <v>87</v>
      </c>
      <c r="E16688" s="16" t="str">
        <f>IFERROR(__xludf.DUMMYFUNCTION("""COMPUTED_VALUE"""),"")</f>
        <v/>
      </c>
      <c r="G16688" s="18"/>
      <c r="H16688" s="16" t="s">
        <v>87</v>
      </c>
      <c r="I16688" s="16" t="s">
        <v>87</v>
      </c>
      <c r="J16688" s="19"/>
      <c r="L16688" s="16" t="str">
        <f>IFERROR(__xludf.DUMMYFUNCTION("""COMPUTED_VALUE"""),"")</f>
        <v/>
      </c>
      <c r="M16688" s="16" t="str">
        <f>IFERROR(__xludf.DUMMYFUNCTION("""COMPUTED_VALUE"""),"")</f>
        <v/>
      </c>
      <c r="U16688" s="16" t="s">
        <v>87</v>
      </c>
      <c r="V16688" s="16" t="str">
        <f>IFERROR(__xludf.DUMMYFUNCTION("""COMPUTED_VALUE"""),"")</f>
        <v/>
      </c>
      <c r="W16688" s="16" t="str">
        <f>IFERROR(__xludf.DUMMYFUNCTION("""COMPUTED_VALUE"""),"")</f>
        <v/>
      </c>
      <c r="X16688" s="16" t="str">
        <f>IFERROR(__xludf.DUMMYFUNCTION("""COMPUTED_VALUE"""),"")</f>
        <v/>
      </c>
      <c r="AC16688" s="16" t="str">
        <f>IFERROR(__xludf.DUMMYFUNCTION("""COMPUTED_VALUE"""),"")</f>
        <v/>
      </c>
    </row>
    <row r="16689">
      <c r="A16689" s="16" t="s">
        <v>87</v>
      </c>
      <c r="E16689" s="16" t="str">
        <f>IFERROR(__xludf.DUMMYFUNCTION("""COMPUTED_VALUE"""),"")</f>
        <v/>
      </c>
      <c r="G16689" s="18"/>
      <c r="H16689" s="16" t="s">
        <v>87</v>
      </c>
      <c r="I16689" s="16" t="s">
        <v>87</v>
      </c>
      <c r="J16689" s="19"/>
      <c r="L16689" s="16" t="str">
        <f>IFERROR(__xludf.DUMMYFUNCTION("""COMPUTED_VALUE"""),"")</f>
        <v/>
      </c>
      <c r="M16689" s="16" t="str">
        <f>IFERROR(__xludf.DUMMYFUNCTION("""COMPUTED_VALUE"""),"")</f>
        <v/>
      </c>
      <c r="U16689" s="16" t="s">
        <v>87</v>
      </c>
      <c r="V16689" s="16" t="str">
        <f>IFERROR(__xludf.DUMMYFUNCTION("""COMPUTED_VALUE"""),"")</f>
        <v/>
      </c>
      <c r="W16689" s="16" t="str">
        <f>IFERROR(__xludf.DUMMYFUNCTION("""COMPUTED_VALUE"""),"")</f>
        <v/>
      </c>
      <c r="X16689" s="16" t="str">
        <f>IFERROR(__xludf.DUMMYFUNCTION("""COMPUTED_VALUE"""),"")</f>
        <v/>
      </c>
      <c r="AC16689" s="16" t="str">
        <f>IFERROR(__xludf.DUMMYFUNCTION("""COMPUTED_VALUE"""),"")</f>
        <v/>
      </c>
    </row>
    <row r="16690">
      <c r="A16690" s="16" t="s">
        <v>87</v>
      </c>
      <c r="E16690" s="16" t="str">
        <f>IFERROR(__xludf.DUMMYFUNCTION("""COMPUTED_VALUE"""),"")</f>
        <v/>
      </c>
      <c r="G16690" s="18"/>
      <c r="H16690" s="16" t="s">
        <v>87</v>
      </c>
      <c r="I16690" s="16" t="s">
        <v>87</v>
      </c>
      <c r="J16690" s="19"/>
      <c r="L16690" s="16" t="str">
        <f>IFERROR(__xludf.DUMMYFUNCTION("""COMPUTED_VALUE"""),"")</f>
        <v/>
      </c>
      <c r="M16690" s="16" t="str">
        <f>IFERROR(__xludf.DUMMYFUNCTION("""COMPUTED_VALUE"""),"")</f>
        <v/>
      </c>
      <c r="U16690" s="16" t="s">
        <v>87</v>
      </c>
      <c r="V16690" s="16" t="str">
        <f>IFERROR(__xludf.DUMMYFUNCTION("""COMPUTED_VALUE"""),"")</f>
        <v/>
      </c>
      <c r="W16690" s="16" t="str">
        <f>IFERROR(__xludf.DUMMYFUNCTION("""COMPUTED_VALUE"""),"")</f>
        <v/>
      </c>
      <c r="X16690" s="16" t="str">
        <f>IFERROR(__xludf.DUMMYFUNCTION("""COMPUTED_VALUE"""),"")</f>
        <v/>
      </c>
      <c r="AC16690" s="16" t="str">
        <f>IFERROR(__xludf.DUMMYFUNCTION("""COMPUTED_VALUE"""),"")</f>
        <v/>
      </c>
    </row>
    <row r="16691">
      <c r="A16691" s="16" t="s">
        <v>87</v>
      </c>
      <c r="E16691" s="16" t="str">
        <f>IFERROR(__xludf.DUMMYFUNCTION("""COMPUTED_VALUE"""),"")</f>
        <v/>
      </c>
      <c r="G16691" s="18"/>
      <c r="H16691" s="16" t="s">
        <v>87</v>
      </c>
      <c r="I16691" s="16" t="s">
        <v>87</v>
      </c>
      <c r="J16691" s="19"/>
      <c r="L16691" s="16" t="str">
        <f>IFERROR(__xludf.DUMMYFUNCTION("""COMPUTED_VALUE"""),"")</f>
        <v/>
      </c>
      <c r="M16691" s="16" t="str">
        <f>IFERROR(__xludf.DUMMYFUNCTION("""COMPUTED_VALUE"""),"")</f>
        <v/>
      </c>
      <c r="U16691" s="16" t="s">
        <v>87</v>
      </c>
      <c r="V16691" s="16" t="str">
        <f>IFERROR(__xludf.DUMMYFUNCTION("""COMPUTED_VALUE"""),"")</f>
        <v/>
      </c>
      <c r="W16691" s="16" t="str">
        <f>IFERROR(__xludf.DUMMYFUNCTION("""COMPUTED_VALUE"""),"")</f>
        <v/>
      </c>
      <c r="X16691" s="16" t="str">
        <f>IFERROR(__xludf.DUMMYFUNCTION("""COMPUTED_VALUE"""),"")</f>
        <v/>
      </c>
      <c r="AC16691" s="16" t="str">
        <f>IFERROR(__xludf.DUMMYFUNCTION("""COMPUTED_VALUE"""),"")</f>
        <v/>
      </c>
    </row>
    <row r="16692">
      <c r="A16692" s="16" t="s">
        <v>87</v>
      </c>
      <c r="E16692" s="16" t="str">
        <f>IFERROR(__xludf.DUMMYFUNCTION("""COMPUTED_VALUE"""),"")</f>
        <v/>
      </c>
      <c r="G16692" s="18"/>
      <c r="H16692" s="16" t="s">
        <v>87</v>
      </c>
      <c r="I16692" s="16" t="s">
        <v>87</v>
      </c>
      <c r="J16692" s="19"/>
      <c r="L16692" s="16" t="str">
        <f>IFERROR(__xludf.DUMMYFUNCTION("""COMPUTED_VALUE"""),"")</f>
        <v/>
      </c>
      <c r="M16692" s="16" t="str">
        <f>IFERROR(__xludf.DUMMYFUNCTION("""COMPUTED_VALUE"""),"")</f>
        <v/>
      </c>
      <c r="U16692" s="16" t="s">
        <v>87</v>
      </c>
      <c r="V16692" s="16" t="str">
        <f>IFERROR(__xludf.DUMMYFUNCTION("""COMPUTED_VALUE"""),"")</f>
        <v/>
      </c>
      <c r="W16692" s="16" t="str">
        <f>IFERROR(__xludf.DUMMYFUNCTION("""COMPUTED_VALUE"""),"")</f>
        <v/>
      </c>
      <c r="X16692" s="16" t="str">
        <f>IFERROR(__xludf.DUMMYFUNCTION("""COMPUTED_VALUE"""),"")</f>
        <v/>
      </c>
      <c r="AC16692" s="16" t="str">
        <f>IFERROR(__xludf.DUMMYFUNCTION("""COMPUTED_VALUE"""),"")</f>
        <v/>
      </c>
    </row>
    <row r="16693">
      <c r="A16693" s="16" t="s">
        <v>87</v>
      </c>
      <c r="E16693" s="16" t="str">
        <f>IFERROR(__xludf.DUMMYFUNCTION("""COMPUTED_VALUE"""),"")</f>
        <v/>
      </c>
      <c r="G16693" s="18"/>
      <c r="H16693" s="16" t="s">
        <v>87</v>
      </c>
      <c r="I16693" s="16" t="s">
        <v>87</v>
      </c>
      <c r="J16693" s="19"/>
      <c r="L16693" s="16" t="str">
        <f>IFERROR(__xludf.DUMMYFUNCTION("""COMPUTED_VALUE"""),"")</f>
        <v/>
      </c>
      <c r="M16693" s="16" t="str">
        <f>IFERROR(__xludf.DUMMYFUNCTION("""COMPUTED_VALUE"""),"")</f>
        <v/>
      </c>
      <c r="U16693" s="16" t="s">
        <v>87</v>
      </c>
      <c r="V16693" s="16" t="str">
        <f>IFERROR(__xludf.DUMMYFUNCTION("""COMPUTED_VALUE"""),"")</f>
        <v/>
      </c>
      <c r="W16693" s="16" t="str">
        <f>IFERROR(__xludf.DUMMYFUNCTION("""COMPUTED_VALUE"""),"")</f>
        <v/>
      </c>
      <c r="X16693" s="16" t="str">
        <f>IFERROR(__xludf.DUMMYFUNCTION("""COMPUTED_VALUE"""),"")</f>
        <v/>
      </c>
      <c r="AC16693" s="16" t="str">
        <f>IFERROR(__xludf.DUMMYFUNCTION("""COMPUTED_VALUE"""),"")</f>
        <v/>
      </c>
    </row>
    <row r="16694">
      <c r="A16694" s="16" t="s">
        <v>87</v>
      </c>
      <c r="E16694" s="16" t="str">
        <f>IFERROR(__xludf.DUMMYFUNCTION("""COMPUTED_VALUE"""),"")</f>
        <v/>
      </c>
      <c r="G16694" s="18"/>
      <c r="H16694" s="16" t="s">
        <v>87</v>
      </c>
      <c r="I16694" s="16" t="s">
        <v>87</v>
      </c>
      <c r="J16694" s="19"/>
      <c r="L16694" s="16" t="str">
        <f>IFERROR(__xludf.DUMMYFUNCTION("""COMPUTED_VALUE"""),"")</f>
        <v/>
      </c>
      <c r="M16694" s="16" t="str">
        <f>IFERROR(__xludf.DUMMYFUNCTION("""COMPUTED_VALUE"""),"")</f>
        <v/>
      </c>
      <c r="U16694" s="16" t="s">
        <v>87</v>
      </c>
      <c r="V16694" s="16" t="str">
        <f>IFERROR(__xludf.DUMMYFUNCTION("""COMPUTED_VALUE"""),"")</f>
        <v/>
      </c>
      <c r="W16694" s="16" t="str">
        <f>IFERROR(__xludf.DUMMYFUNCTION("""COMPUTED_VALUE"""),"")</f>
        <v/>
      </c>
      <c r="X16694" s="16" t="str">
        <f>IFERROR(__xludf.DUMMYFUNCTION("""COMPUTED_VALUE"""),"")</f>
        <v/>
      </c>
      <c r="AC16694" s="16" t="str">
        <f>IFERROR(__xludf.DUMMYFUNCTION("""COMPUTED_VALUE"""),"")</f>
        <v/>
      </c>
    </row>
    <row r="16695">
      <c r="A16695" s="16" t="s">
        <v>87</v>
      </c>
      <c r="E16695" s="16" t="str">
        <f>IFERROR(__xludf.DUMMYFUNCTION("""COMPUTED_VALUE"""),"")</f>
        <v/>
      </c>
      <c r="G16695" s="18"/>
      <c r="H16695" s="16" t="s">
        <v>87</v>
      </c>
      <c r="I16695" s="16" t="s">
        <v>87</v>
      </c>
      <c r="J16695" s="19"/>
      <c r="L16695" s="16" t="str">
        <f>IFERROR(__xludf.DUMMYFUNCTION("""COMPUTED_VALUE"""),"")</f>
        <v/>
      </c>
      <c r="M16695" s="16" t="str">
        <f>IFERROR(__xludf.DUMMYFUNCTION("""COMPUTED_VALUE"""),"")</f>
        <v/>
      </c>
      <c r="U16695" s="16" t="s">
        <v>87</v>
      </c>
      <c r="V16695" s="16" t="str">
        <f>IFERROR(__xludf.DUMMYFUNCTION("""COMPUTED_VALUE"""),"")</f>
        <v/>
      </c>
      <c r="W16695" s="16" t="str">
        <f>IFERROR(__xludf.DUMMYFUNCTION("""COMPUTED_VALUE"""),"")</f>
        <v/>
      </c>
      <c r="X16695" s="16" t="str">
        <f>IFERROR(__xludf.DUMMYFUNCTION("""COMPUTED_VALUE"""),"")</f>
        <v/>
      </c>
      <c r="AC16695" s="16" t="str">
        <f>IFERROR(__xludf.DUMMYFUNCTION("""COMPUTED_VALUE"""),"")</f>
        <v/>
      </c>
    </row>
    <row r="16696">
      <c r="A16696" s="16" t="s">
        <v>87</v>
      </c>
      <c r="E16696" s="16" t="str">
        <f>IFERROR(__xludf.DUMMYFUNCTION("""COMPUTED_VALUE"""),"")</f>
        <v/>
      </c>
      <c r="G16696" s="18"/>
      <c r="H16696" s="16" t="s">
        <v>87</v>
      </c>
      <c r="I16696" s="16" t="s">
        <v>87</v>
      </c>
      <c r="J16696" s="19"/>
      <c r="L16696" s="16" t="str">
        <f>IFERROR(__xludf.DUMMYFUNCTION("""COMPUTED_VALUE"""),"")</f>
        <v/>
      </c>
      <c r="M16696" s="16" t="str">
        <f>IFERROR(__xludf.DUMMYFUNCTION("""COMPUTED_VALUE"""),"")</f>
        <v/>
      </c>
      <c r="U16696" s="16" t="s">
        <v>87</v>
      </c>
      <c r="V16696" s="16" t="str">
        <f>IFERROR(__xludf.DUMMYFUNCTION("""COMPUTED_VALUE"""),"")</f>
        <v/>
      </c>
      <c r="W16696" s="16" t="str">
        <f>IFERROR(__xludf.DUMMYFUNCTION("""COMPUTED_VALUE"""),"")</f>
        <v/>
      </c>
      <c r="X16696" s="16" t="str">
        <f>IFERROR(__xludf.DUMMYFUNCTION("""COMPUTED_VALUE"""),"")</f>
        <v/>
      </c>
      <c r="AC16696" s="16" t="str">
        <f>IFERROR(__xludf.DUMMYFUNCTION("""COMPUTED_VALUE"""),"")</f>
        <v/>
      </c>
    </row>
    <row r="16697">
      <c r="A16697" s="16" t="s">
        <v>87</v>
      </c>
      <c r="E16697" s="16" t="str">
        <f>IFERROR(__xludf.DUMMYFUNCTION("""COMPUTED_VALUE"""),"")</f>
        <v/>
      </c>
      <c r="G16697" s="18"/>
      <c r="H16697" s="16" t="s">
        <v>87</v>
      </c>
      <c r="I16697" s="16" t="s">
        <v>87</v>
      </c>
      <c r="J16697" s="19"/>
      <c r="L16697" s="16" t="str">
        <f>IFERROR(__xludf.DUMMYFUNCTION("""COMPUTED_VALUE"""),"")</f>
        <v/>
      </c>
      <c r="M16697" s="16" t="str">
        <f>IFERROR(__xludf.DUMMYFUNCTION("""COMPUTED_VALUE"""),"")</f>
        <v/>
      </c>
      <c r="U16697" s="16" t="s">
        <v>87</v>
      </c>
      <c r="V16697" s="16" t="str">
        <f>IFERROR(__xludf.DUMMYFUNCTION("""COMPUTED_VALUE"""),"")</f>
        <v/>
      </c>
      <c r="W16697" s="16" t="str">
        <f>IFERROR(__xludf.DUMMYFUNCTION("""COMPUTED_VALUE"""),"")</f>
        <v/>
      </c>
      <c r="X16697" s="16" t="str">
        <f>IFERROR(__xludf.DUMMYFUNCTION("""COMPUTED_VALUE"""),"")</f>
        <v/>
      </c>
      <c r="AC16697" s="16" t="str">
        <f>IFERROR(__xludf.DUMMYFUNCTION("""COMPUTED_VALUE"""),"")</f>
        <v/>
      </c>
    </row>
    <row r="16698">
      <c r="A16698" s="16" t="s">
        <v>87</v>
      </c>
      <c r="E16698" s="16" t="str">
        <f>IFERROR(__xludf.DUMMYFUNCTION("""COMPUTED_VALUE"""),"")</f>
        <v/>
      </c>
      <c r="G16698" s="18"/>
      <c r="H16698" s="16" t="s">
        <v>87</v>
      </c>
      <c r="I16698" s="16" t="s">
        <v>87</v>
      </c>
      <c r="J16698" s="19"/>
      <c r="L16698" s="16" t="str">
        <f>IFERROR(__xludf.DUMMYFUNCTION("""COMPUTED_VALUE"""),"")</f>
        <v/>
      </c>
      <c r="M16698" s="16" t="str">
        <f>IFERROR(__xludf.DUMMYFUNCTION("""COMPUTED_VALUE"""),"")</f>
        <v/>
      </c>
      <c r="U16698" s="16" t="s">
        <v>87</v>
      </c>
      <c r="V16698" s="16" t="str">
        <f>IFERROR(__xludf.DUMMYFUNCTION("""COMPUTED_VALUE"""),"")</f>
        <v/>
      </c>
      <c r="W16698" s="16" t="str">
        <f>IFERROR(__xludf.DUMMYFUNCTION("""COMPUTED_VALUE"""),"")</f>
        <v/>
      </c>
      <c r="X16698" s="16" t="str">
        <f>IFERROR(__xludf.DUMMYFUNCTION("""COMPUTED_VALUE"""),"")</f>
        <v/>
      </c>
      <c r="AC16698" s="16" t="str">
        <f>IFERROR(__xludf.DUMMYFUNCTION("""COMPUTED_VALUE"""),"")</f>
        <v/>
      </c>
    </row>
    <row r="16699">
      <c r="A16699" s="16" t="s">
        <v>87</v>
      </c>
      <c r="E16699" s="16" t="str">
        <f>IFERROR(__xludf.DUMMYFUNCTION("""COMPUTED_VALUE"""),"")</f>
        <v/>
      </c>
      <c r="G16699" s="18"/>
      <c r="H16699" s="16" t="s">
        <v>87</v>
      </c>
      <c r="I16699" s="16" t="s">
        <v>87</v>
      </c>
      <c r="J16699" s="19"/>
      <c r="L16699" s="16" t="str">
        <f>IFERROR(__xludf.DUMMYFUNCTION("""COMPUTED_VALUE"""),"")</f>
        <v/>
      </c>
      <c r="M16699" s="16" t="str">
        <f>IFERROR(__xludf.DUMMYFUNCTION("""COMPUTED_VALUE"""),"")</f>
        <v/>
      </c>
      <c r="U16699" s="16" t="s">
        <v>87</v>
      </c>
      <c r="V16699" s="16" t="str">
        <f>IFERROR(__xludf.DUMMYFUNCTION("""COMPUTED_VALUE"""),"")</f>
        <v/>
      </c>
      <c r="W16699" s="16" t="str">
        <f>IFERROR(__xludf.DUMMYFUNCTION("""COMPUTED_VALUE"""),"")</f>
        <v/>
      </c>
      <c r="X16699" s="16" t="str">
        <f>IFERROR(__xludf.DUMMYFUNCTION("""COMPUTED_VALUE"""),"")</f>
        <v/>
      </c>
      <c r="AC16699" s="16" t="str">
        <f>IFERROR(__xludf.DUMMYFUNCTION("""COMPUTED_VALUE"""),"")</f>
        <v/>
      </c>
    </row>
    <row r="16700">
      <c r="A16700" s="16" t="s">
        <v>87</v>
      </c>
      <c r="E16700" s="16" t="str">
        <f>IFERROR(__xludf.DUMMYFUNCTION("""COMPUTED_VALUE"""),"")</f>
        <v/>
      </c>
      <c r="G16700" s="18"/>
      <c r="H16700" s="16" t="s">
        <v>87</v>
      </c>
      <c r="I16700" s="16" t="s">
        <v>87</v>
      </c>
      <c r="J16700" s="19"/>
      <c r="L16700" s="16" t="str">
        <f>IFERROR(__xludf.DUMMYFUNCTION("""COMPUTED_VALUE"""),"")</f>
        <v/>
      </c>
      <c r="M16700" s="16" t="str">
        <f>IFERROR(__xludf.DUMMYFUNCTION("""COMPUTED_VALUE"""),"")</f>
        <v/>
      </c>
      <c r="U16700" s="16" t="s">
        <v>87</v>
      </c>
      <c r="V16700" s="16" t="str">
        <f>IFERROR(__xludf.DUMMYFUNCTION("""COMPUTED_VALUE"""),"")</f>
        <v/>
      </c>
      <c r="W16700" s="16" t="str">
        <f>IFERROR(__xludf.DUMMYFUNCTION("""COMPUTED_VALUE"""),"")</f>
        <v/>
      </c>
      <c r="X16700" s="16" t="str">
        <f>IFERROR(__xludf.DUMMYFUNCTION("""COMPUTED_VALUE"""),"")</f>
        <v/>
      </c>
      <c r="AC16700" s="16" t="str">
        <f>IFERROR(__xludf.DUMMYFUNCTION("""COMPUTED_VALUE"""),"")</f>
        <v/>
      </c>
    </row>
    <row r="16701">
      <c r="A16701" s="16" t="s">
        <v>87</v>
      </c>
      <c r="E16701" s="16" t="str">
        <f>IFERROR(__xludf.DUMMYFUNCTION("""COMPUTED_VALUE"""),"")</f>
        <v/>
      </c>
      <c r="G16701" s="18"/>
      <c r="H16701" s="16" t="s">
        <v>87</v>
      </c>
      <c r="I16701" s="16" t="s">
        <v>87</v>
      </c>
      <c r="J16701" s="19"/>
      <c r="L16701" s="16" t="str">
        <f>IFERROR(__xludf.DUMMYFUNCTION("""COMPUTED_VALUE"""),"")</f>
        <v/>
      </c>
      <c r="M16701" s="16" t="str">
        <f>IFERROR(__xludf.DUMMYFUNCTION("""COMPUTED_VALUE"""),"")</f>
        <v/>
      </c>
      <c r="U16701" s="16" t="s">
        <v>87</v>
      </c>
      <c r="V16701" s="16" t="str">
        <f>IFERROR(__xludf.DUMMYFUNCTION("""COMPUTED_VALUE"""),"")</f>
        <v/>
      </c>
      <c r="W16701" s="16" t="str">
        <f>IFERROR(__xludf.DUMMYFUNCTION("""COMPUTED_VALUE"""),"")</f>
        <v/>
      </c>
      <c r="X16701" s="16" t="str">
        <f>IFERROR(__xludf.DUMMYFUNCTION("""COMPUTED_VALUE"""),"")</f>
        <v/>
      </c>
      <c r="AC16701" s="16" t="str">
        <f>IFERROR(__xludf.DUMMYFUNCTION("""COMPUTED_VALUE"""),"")</f>
        <v/>
      </c>
    </row>
    <row r="16702">
      <c r="A16702" s="16" t="s">
        <v>87</v>
      </c>
      <c r="E16702" s="16" t="str">
        <f>IFERROR(__xludf.DUMMYFUNCTION("""COMPUTED_VALUE"""),"")</f>
        <v/>
      </c>
      <c r="G16702" s="18"/>
      <c r="H16702" s="16" t="s">
        <v>87</v>
      </c>
      <c r="I16702" s="16" t="s">
        <v>87</v>
      </c>
      <c r="J16702" s="19"/>
      <c r="L16702" s="16" t="str">
        <f>IFERROR(__xludf.DUMMYFUNCTION("""COMPUTED_VALUE"""),"")</f>
        <v/>
      </c>
      <c r="M16702" s="16" t="str">
        <f>IFERROR(__xludf.DUMMYFUNCTION("""COMPUTED_VALUE"""),"")</f>
        <v/>
      </c>
      <c r="U16702" s="16" t="s">
        <v>87</v>
      </c>
      <c r="V16702" s="16" t="str">
        <f>IFERROR(__xludf.DUMMYFUNCTION("""COMPUTED_VALUE"""),"")</f>
        <v/>
      </c>
      <c r="W16702" s="16" t="str">
        <f>IFERROR(__xludf.DUMMYFUNCTION("""COMPUTED_VALUE"""),"")</f>
        <v/>
      </c>
      <c r="X16702" s="16" t="str">
        <f>IFERROR(__xludf.DUMMYFUNCTION("""COMPUTED_VALUE"""),"")</f>
        <v/>
      </c>
      <c r="AC16702" s="16" t="str">
        <f>IFERROR(__xludf.DUMMYFUNCTION("""COMPUTED_VALUE"""),"")</f>
        <v/>
      </c>
    </row>
    <row r="16703">
      <c r="A16703" s="16" t="s">
        <v>87</v>
      </c>
      <c r="E16703" s="16" t="str">
        <f>IFERROR(__xludf.DUMMYFUNCTION("""COMPUTED_VALUE"""),"")</f>
        <v/>
      </c>
      <c r="G16703" s="18"/>
      <c r="H16703" s="16" t="s">
        <v>87</v>
      </c>
      <c r="I16703" s="16" t="s">
        <v>87</v>
      </c>
      <c r="J16703" s="19"/>
      <c r="L16703" s="16" t="str">
        <f>IFERROR(__xludf.DUMMYFUNCTION("""COMPUTED_VALUE"""),"")</f>
        <v/>
      </c>
      <c r="M16703" s="16" t="str">
        <f>IFERROR(__xludf.DUMMYFUNCTION("""COMPUTED_VALUE"""),"")</f>
        <v/>
      </c>
      <c r="U16703" s="16" t="s">
        <v>87</v>
      </c>
      <c r="V16703" s="16" t="str">
        <f>IFERROR(__xludf.DUMMYFUNCTION("""COMPUTED_VALUE"""),"")</f>
        <v/>
      </c>
      <c r="W16703" s="16" t="str">
        <f>IFERROR(__xludf.DUMMYFUNCTION("""COMPUTED_VALUE"""),"")</f>
        <v/>
      </c>
      <c r="X16703" s="16" t="str">
        <f>IFERROR(__xludf.DUMMYFUNCTION("""COMPUTED_VALUE"""),"")</f>
        <v/>
      </c>
      <c r="AC16703" s="16" t="str">
        <f>IFERROR(__xludf.DUMMYFUNCTION("""COMPUTED_VALUE"""),"")</f>
        <v/>
      </c>
    </row>
    <row r="16704">
      <c r="A16704" s="16" t="s">
        <v>87</v>
      </c>
      <c r="E16704" s="16" t="str">
        <f>IFERROR(__xludf.DUMMYFUNCTION("""COMPUTED_VALUE"""),"")</f>
        <v/>
      </c>
      <c r="G16704" s="18"/>
      <c r="H16704" s="16" t="s">
        <v>87</v>
      </c>
      <c r="I16704" s="16" t="s">
        <v>87</v>
      </c>
      <c r="J16704" s="19"/>
      <c r="L16704" s="16" t="str">
        <f>IFERROR(__xludf.DUMMYFUNCTION("""COMPUTED_VALUE"""),"")</f>
        <v/>
      </c>
      <c r="M16704" s="16" t="str">
        <f>IFERROR(__xludf.DUMMYFUNCTION("""COMPUTED_VALUE"""),"")</f>
        <v/>
      </c>
      <c r="U16704" s="16" t="s">
        <v>87</v>
      </c>
      <c r="V16704" s="16" t="str">
        <f>IFERROR(__xludf.DUMMYFUNCTION("""COMPUTED_VALUE"""),"")</f>
        <v/>
      </c>
      <c r="W16704" s="16" t="str">
        <f>IFERROR(__xludf.DUMMYFUNCTION("""COMPUTED_VALUE"""),"")</f>
        <v/>
      </c>
      <c r="X16704" s="16" t="str">
        <f>IFERROR(__xludf.DUMMYFUNCTION("""COMPUTED_VALUE"""),"")</f>
        <v/>
      </c>
      <c r="AC16704" s="16" t="str">
        <f>IFERROR(__xludf.DUMMYFUNCTION("""COMPUTED_VALUE"""),"")</f>
        <v/>
      </c>
    </row>
    <row r="16705">
      <c r="A16705" s="16" t="s">
        <v>87</v>
      </c>
      <c r="E16705" s="16" t="str">
        <f>IFERROR(__xludf.DUMMYFUNCTION("""COMPUTED_VALUE"""),"")</f>
        <v/>
      </c>
      <c r="G16705" s="18"/>
      <c r="H16705" s="16" t="s">
        <v>87</v>
      </c>
      <c r="I16705" s="16" t="s">
        <v>87</v>
      </c>
      <c r="J16705" s="19"/>
      <c r="L16705" s="16" t="str">
        <f>IFERROR(__xludf.DUMMYFUNCTION("""COMPUTED_VALUE"""),"")</f>
        <v/>
      </c>
      <c r="M16705" s="16" t="str">
        <f>IFERROR(__xludf.DUMMYFUNCTION("""COMPUTED_VALUE"""),"")</f>
        <v/>
      </c>
      <c r="U16705" s="16" t="s">
        <v>87</v>
      </c>
      <c r="V16705" s="16" t="str">
        <f>IFERROR(__xludf.DUMMYFUNCTION("""COMPUTED_VALUE"""),"")</f>
        <v/>
      </c>
      <c r="W16705" s="16" t="str">
        <f>IFERROR(__xludf.DUMMYFUNCTION("""COMPUTED_VALUE"""),"")</f>
        <v/>
      </c>
      <c r="X16705" s="16" t="str">
        <f>IFERROR(__xludf.DUMMYFUNCTION("""COMPUTED_VALUE"""),"")</f>
        <v/>
      </c>
      <c r="AC16705" s="16" t="str">
        <f>IFERROR(__xludf.DUMMYFUNCTION("""COMPUTED_VALUE"""),"")</f>
        <v/>
      </c>
    </row>
    <row r="16706">
      <c r="A16706" s="16" t="s">
        <v>87</v>
      </c>
      <c r="E16706" s="16" t="str">
        <f>IFERROR(__xludf.DUMMYFUNCTION("""COMPUTED_VALUE"""),"")</f>
        <v/>
      </c>
      <c r="G16706" s="18"/>
      <c r="H16706" s="16" t="s">
        <v>87</v>
      </c>
      <c r="I16706" s="16" t="s">
        <v>87</v>
      </c>
      <c r="J16706" s="19"/>
      <c r="L16706" s="16" t="str">
        <f>IFERROR(__xludf.DUMMYFUNCTION("""COMPUTED_VALUE"""),"")</f>
        <v/>
      </c>
      <c r="M16706" s="16" t="str">
        <f>IFERROR(__xludf.DUMMYFUNCTION("""COMPUTED_VALUE"""),"")</f>
        <v/>
      </c>
      <c r="U16706" s="16" t="s">
        <v>87</v>
      </c>
      <c r="V16706" s="16" t="str">
        <f>IFERROR(__xludf.DUMMYFUNCTION("""COMPUTED_VALUE"""),"")</f>
        <v/>
      </c>
      <c r="W16706" s="16" t="str">
        <f>IFERROR(__xludf.DUMMYFUNCTION("""COMPUTED_VALUE"""),"")</f>
        <v/>
      </c>
      <c r="X16706" s="16" t="str">
        <f>IFERROR(__xludf.DUMMYFUNCTION("""COMPUTED_VALUE"""),"")</f>
        <v/>
      </c>
      <c r="AC16706" s="16" t="str">
        <f>IFERROR(__xludf.DUMMYFUNCTION("""COMPUTED_VALUE"""),"")</f>
        <v/>
      </c>
    </row>
    <row r="16707">
      <c r="A16707" s="16" t="s">
        <v>87</v>
      </c>
      <c r="E16707" s="16" t="str">
        <f>IFERROR(__xludf.DUMMYFUNCTION("""COMPUTED_VALUE"""),"")</f>
        <v/>
      </c>
      <c r="G16707" s="18"/>
      <c r="H16707" s="16" t="s">
        <v>87</v>
      </c>
      <c r="I16707" s="16" t="s">
        <v>87</v>
      </c>
      <c r="J16707" s="19"/>
      <c r="L16707" s="16" t="str">
        <f>IFERROR(__xludf.DUMMYFUNCTION("""COMPUTED_VALUE"""),"")</f>
        <v/>
      </c>
      <c r="M16707" s="16" t="str">
        <f>IFERROR(__xludf.DUMMYFUNCTION("""COMPUTED_VALUE"""),"")</f>
        <v/>
      </c>
      <c r="U16707" s="16" t="s">
        <v>87</v>
      </c>
      <c r="V16707" s="16" t="str">
        <f>IFERROR(__xludf.DUMMYFUNCTION("""COMPUTED_VALUE"""),"")</f>
        <v/>
      </c>
      <c r="W16707" s="16" t="str">
        <f>IFERROR(__xludf.DUMMYFUNCTION("""COMPUTED_VALUE"""),"")</f>
        <v/>
      </c>
      <c r="X16707" s="16" t="str">
        <f>IFERROR(__xludf.DUMMYFUNCTION("""COMPUTED_VALUE"""),"")</f>
        <v/>
      </c>
      <c r="AC16707" s="16" t="str">
        <f>IFERROR(__xludf.DUMMYFUNCTION("""COMPUTED_VALUE"""),"")</f>
        <v/>
      </c>
    </row>
    <row r="16708">
      <c r="A16708" s="16" t="s">
        <v>87</v>
      </c>
      <c r="E16708" s="16" t="str">
        <f>IFERROR(__xludf.DUMMYFUNCTION("""COMPUTED_VALUE"""),"")</f>
        <v/>
      </c>
      <c r="G16708" s="18"/>
      <c r="H16708" s="16" t="s">
        <v>87</v>
      </c>
      <c r="I16708" s="16" t="s">
        <v>87</v>
      </c>
      <c r="J16708" s="19"/>
      <c r="L16708" s="16" t="str">
        <f>IFERROR(__xludf.DUMMYFUNCTION("""COMPUTED_VALUE"""),"")</f>
        <v/>
      </c>
      <c r="M16708" s="16" t="str">
        <f>IFERROR(__xludf.DUMMYFUNCTION("""COMPUTED_VALUE"""),"")</f>
        <v/>
      </c>
      <c r="U16708" s="16" t="s">
        <v>87</v>
      </c>
      <c r="V16708" s="16" t="str">
        <f>IFERROR(__xludf.DUMMYFUNCTION("""COMPUTED_VALUE"""),"")</f>
        <v/>
      </c>
      <c r="W16708" s="16" t="str">
        <f>IFERROR(__xludf.DUMMYFUNCTION("""COMPUTED_VALUE"""),"")</f>
        <v/>
      </c>
      <c r="X16708" s="16" t="str">
        <f>IFERROR(__xludf.DUMMYFUNCTION("""COMPUTED_VALUE"""),"")</f>
        <v/>
      </c>
      <c r="AC16708" s="16" t="str">
        <f>IFERROR(__xludf.DUMMYFUNCTION("""COMPUTED_VALUE"""),"")</f>
        <v/>
      </c>
    </row>
    <row r="16709">
      <c r="A16709" s="16" t="s">
        <v>87</v>
      </c>
      <c r="E16709" s="16" t="str">
        <f>IFERROR(__xludf.DUMMYFUNCTION("""COMPUTED_VALUE"""),"")</f>
        <v/>
      </c>
      <c r="G16709" s="18"/>
      <c r="H16709" s="16" t="s">
        <v>87</v>
      </c>
      <c r="I16709" s="16" t="s">
        <v>87</v>
      </c>
      <c r="J16709" s="19"/>
      <c r="L16709" s="16" t="str">
        <f>IFERROR(__xludf.DUMMYFUNCTION("""COMPUTED_VALUE"""),"")</f>
        <v/>
      </c>
      <c r="M16709" s="16" t="str">
        <f>IFERROR(__xludf.DUMMYFUNCTION("""COMPUTED_VALUE"""),"")</f>
        <v/>
      </c>
      <c r="U16709" s="16" t="s">
        <v>87</v>
      </c>
      <c r="V16709" s="16" t="str">
        <f>IFERROR(__xludf.DUMMYFUNCTION("""COMPUTED_VALUE"""),"")</f>
        <v/>
      </c>
      <c r="W16709" s="16" t="str">
        <f>IFERROR(__xludf.DUMMYFUNCTION("""COMPUTED_VALUE"""),"")</f>
        <v/>
      </c>
      <c r="X16709" s="16" t="str">
        <f>IFERROR(__xludf.DUMMYFUNCTION("""COMPUTED_VALUE"""),"")</f>
        <v/>
      </c>
      <c r="AC16709" s="16" t="str">
        <f>IFERROR(__xludf.DUMMYFUNCTION("""COMPUTED_VALUE"""),"")</f>
        <v/>
      </c>
    </row>
    <row r="16710">
      <c r="A16710" s="16" t="s">
        <v>87</v>
      </c>
      <c r="E16710" s="16" t="str">
        <f>IFERROR(__xludf.DUMMYFUNCTION("""COMPUTED_VALUE"""),"")</f>
        <v/>
      </c>
      <c r="G16710" s="18"/>
      <c r="H16710" s="16" t="s">
        <v>87</v>
      </c>
      <c r="I16710" s="16" t="s">
        <v>87</v>
      </c>
      <c r="J16710" s="19"/>
      <c r="L16710" s="16" t="str">
        <f>IFERROR(__xludf.DUMMYFUNCTION("""COMPUTED_VALUE"""),"")</f>
        <v/>
      </c>
      <c r="M16710" s="16" t="str">
        <f>IFERROR(__xludf.DUMMYFUNCTION("""COMPUTED_VALUE"""),"")</f>
        <v/>
      </c>
      <c r="U16710" s="16" t="s">
        <v>87</v>
      </c>
      <c r="V16710" s="16" t="str">
        <f>IFERROR(__xludf.DUMMYFUNCTION("""COMPUTED_VALUE"""),"")</f>
        <v/>
      </c>
      <c r="W16710" s="16" t="str">
        <f>IFERROR(__xludf.DUMMYFUNCTION("""COMPUTED_VALUE"""),"")</f>
        <v/>
      </c>
      <c r="X16710" s="16" t="str">
        <f>IFERROR(__xludf.DUMMYFUNCTION("""COMPUTED_VALUE"""),"")</f>
        <v/>
      </c>
      <c r="AC16710" s="16" t="str">
        <f>IFERROR(__xludf.DUMMYFUNCTION("""COMPUTED_VALUE"""),"")</f>
        <v/>
      </c>
    </row>
    <row r="16711">
      <c r="A16711" s="16" t="s">
        <v>87</v>
      </c>
      <c r="E16711" s="16" t="str">
        <f>IFERROR(__xludf.DUMMYFUNCTION("""COMPUTED_VALUE"""),"")</f>
        <v/>
      </c>
      <c r="G16711" s="18"/>
      <c r="H16711" s="16" t="s">
        <v>87</v>
      </c>
      <c r="I16711" s="16" t="s">
        <v>87</v>
      </c>
      <c r="J16711" s="19"/>
      <c r="L16711" s="16" t="str">
        <f>IFERROR(__xludf.DUMMYFUNCTION("""COMPUTED_VALUE"""),"")</f>
        <v/>
      </c>
      <c r="M16711" s="16" t="str">
        <f>IFERROR(__xludf.DUMMYFUNCTION("""COMPUTED_VALUE"""),"")</f>
        <v/>
      </c>
      <c r="U16711" s="16" t="s">
        <v>87</v>
      </c>
      <c r="V16711" s="16" t="str">
        <f>IFERROR(__xludf.DUMMYFUNCTION("""COMPUTED_VALUE"""),"")</f>
        <v/>
      </c>
      <c r="W16711" s="16" t="str">
        <f>IFERROR(__xludf.DUMMYFUNCTION("""COMPUTED_VALUE"""),"")</f>
        <v/>
      </c>
      <c r="X16711" s="16" t="str">
        <f>IFERROR(__xludf.DUMMYFUNCTION("""COMPUTED_VALUE"""),"")</f>
        <v/>
      </c>
      <c r="AC16711" s="16" t="str">
        <f>IFERROR(__xludf.DUMMYFUNCTION("""COMPUTED_VALUE"""),"")</f>
        <v/>
      </c>
    </row>
    <row r="16712">
      <c r="A16712" s="16" t="s">
        <v>87</v>
      </c>
      <c r="E16712" s="16" t="str">
        <f>IFERROR(__xludf.DUMMYFUNCTION("""COMPUTED_VALUE"""),"")</f>
        <v/>
      </c>
      <c r="G16712" s="18"/>
      <c r="H16712" s="16" t="s">
        <v>87</v>
      </c>
      <c r="I16712" s="16" t="s">
        <v>87</v>
      </c>
      <c r="J16712" s="19"/>
      <c r="L16712" s="16" t="str">
        <f>IFERROR(__xludf.DUMMYFUNCTION("""COMPUTED_VALUE"""),"")</f>
        <v/>
      </c>
      <c r="M16712" s="16" t="str">
        <f>IFERROR(__xludf.DUMMYFUNCTION("""COMPUTED_VALUE"""),"")</f>
        <v/>
      </c>
      <c r="U16712" s="16" t="s">
        <v>87</v>
      </c>
      <c r="V16712" s="16" t="str">
        <f>IFERROR(__xludf.DUMMYFUNCTION("""COMPUTED_VALUE"""),"")</f>
        <v/>
      </c>
      <c r="W16712" s="16" t="str">
        <f>IFERROR(__xludf.DUMMYFUNCTION("""COMPUTED_VALUE"""),"")</f>
        <v/>
      </c>
      <c r="X16712" s="16" t="str">
        <f>IFERROR(__xludf.DUMMYFUNCTION("""COMPUTED_VALUE"""),"")</f>
        <v/>
      </c>
      <c r="AC16712" s="16" t="str">
        <f>IFERROR(__xludf.DUMMYFUNCTION("""COMPUTED_VALUE"""),"")</f>
        <v/>
      </c>
    </row>
    <row r="16713">
      <c r="A16713" s="16" t="s">
        <v>87</v>
      </c>
      <c r="E16713" s="16" t="str">
        <f>IFERROR(__xludf.DUMMYFUNCTION("""COMPUTED_VALUE"""),"")</f>
        <v/>
      </c>
      <c r="G16713" s="18"/>
      <c r="H16713" s="16" t="s">
        <v>87</v>
      </c>
      <c r="I16713" s="16" t="s">
        <v>87</v>
      </c>
      <c r="J16713" s="19"/>
      <c r="L16713" s="16" t="str">
        <f>IFERROR(__xludf.DUMMYFUNCTION("""COMPUTED_VALUE"""),"")</f>
        <v/>
      </c>
      <c r="M16713" s="16" t="str">
        <f>IFERROR(__xludf.DUMMYFUNCTION("""COMPUTED_VALUE"""),"")</f>
        <v/>
      </c>
      <c r="U16713" s="16" t="s">
        <v>87</v>
      </c>
      <c r="V16713" s="16" t="str">
        <f>IFERROR(__xludf.DUMMYFUNCTION("""COMPUTED_VALUE"""),"")</f>
        <v/>
      </c>
      <c r="W16713" s="16" t="str">
        <f>IFERROR(__xludf.DUMMYFUNCTION("""COMPUTED_VALUE"""),"")</f>
        <v/>
      </c>
      <c r="X16713" s="16" t="str">
        <f>IFERROR(__xludf.DUMMYFUNCTION("""COMPUTED_VALUE"""),"")</f>
        <v/>
      </c>
      <c r="AC16713" s="16" t="str">
        <f>IFERROR(__xludf.DUMMYFUNCTION("""COMPUTED_VALUE"""),"")</f>
        <v/>
      </c>
    </row>
    <row r="16714">
      <c r="A16714" s="16" t="s">
        <v>87</v>
      </c>
      <c r="E16714" s="16" t="str">
        <f>IFERROR(__xludf.DUMMYFUNCTION("""COMPUTED_VALUE"""),"")</f>
        <v/>
      </c>
      <c r="G16714" s="18"/>
      <c r="H16714" s="16" t="s">
        <v>87</v>
      </c>
      <c r="I16714" s="16" t="s">
        <v>87</v>
      </c>
      <c r="J16714" s="19"/>
      <c r="L16714" s="16" t="str">
        <f>IFERROR(__xludf.DUMMYFUNCTION("""COMPUTED_VALUE"""),"")</f>
        <v/>
      </c>
      <c r="M16714" s="16" t="str">
        <f>IFERROR(__xludf.DUMMYFUNCTION("""COMPUTED_VALUE"""),"")</f>
        <v/>
      </c>
      <c r="U16714" s="16" t="s">
        <v>87</v>
      </c>
      <c r="V16714" s="16" t="str">
        <f>IFERROR(__xludf.DUMMYFUNCTION("""COMPUTED_VALUE"""),"")</f>
        <v/>
      </c>
      <c r="W16714" s="16" t="str">
        <f>IFERROR(__xludf.DUMMYFUNCTION("""COMPUTED_VALUE"""),"")</f>
        <v/>
      </c>
      <c r="X16714" s="16" t="str">
        <f>IFERROR(__xludf.DUMMYFUNCTION("""COMPUTED_VALUE"""),"")</f>
        <v/>
      </c>
      <c r="AC16714" s="16" t="str">
        <f>IFERROR(__xludf.DUMMYFUNCTION("""COMPUTED_VALUE"""),"")</f>
        <v/>
      </c>
    </row>
    <row r="16715">
      <c r="A16715" s="16" t="s">
        <v>87</v>
      </c>
      <c r="E16715" s="16" t="str">
        <f>IFERROR(__xludf.DUMMYFUNCTION("""COMPUTED_VALUE"""),"")</f>
        <v/>
      </c>
      <c r="G16715" s="18"/>
      <c r="H16715" s="16" t="s">
        <v>87</v>
      </c>
      <c r="I16715" s="16" t="s">
        <v>87</v>
      </c>
      <c r="J16715" s="19"/>
      <c r="L16715" s="16" t="str">
        <f>IFERROR(__xludf.DUMMYFUNCTION("""COMPUTED_VALUE"""),"")</f>
        <v/>
      </c>
      <c r="M16715" s="16" t="str">
        <f>IFERROR(__xludf.DUMMYFUNCTION("""COMPUTED_VALUE"""),"")</f>
        <v/>
      </c>
      <c r="U16715" s="16" t="s">
        <v>87</v>
      </c>
      <c r="V16715" s="16" t="str">
        <f>IFERROR(__xludf.DUMMYFUNCTION("""COMPUTED_VALUE"""),"")</f>
        <v/>
      </c>
      <c r="W16715" s="16" t="str">
        <f>IFERROR(__xludf.DUMMYFUNCTION("""COMPUTED_VALUE"""),"")</f>
        <v/>
      </c>
      <c r="X16715" s="16" t="str">
        <f>IFERROR(__xludf.DUMMYFUNCTION("""COMPUTED_VALUE"""),"")</f>
        <v/>
      </c>
      <c r="AC16715" s="16" t="str">
        <f>IFERROR(__xludf.DUMMYFUNCTION("""COMPUTED_VALUE"""),"")</f>
        <v/>
      </c>
    </row>
    <row r="16716">
      <c r="A16716" s="16" t="s">
        <v>87</v>
      </c>
      <c r="E16716" s="16" t="str">
        <f>IFERROR(__xludf.DUMMYFUNCTION("""COMPUTED_VALUE"""),"")</f>
        <v/>
      </c>
      <c r="G16716" s="18"/>
      <c r="H16716" s="16" t="s">
        <v>87</v>
      </c>
      <c r="I16716" s="16" t="s">
        <v>87</v>
      </c>
      <c r="J16716" s="19"/>
      <c r="L16716" s="16" t="str">
        <f>IFERROR(__xludf.DUMMYFUNCTION("""COMPUTED_VALUE"""),"")</f>
        <v/>
      </c>
      <c r="M16716" s="16" t="str">
        <f>IFERROR(__xludf.DUMMYFUNCTION("""COMPUTED_VALUE"""),"")</f>
        <v/>
      </c>
      <c r="U16716" s="16" t="s">
        <v>87</v>
      </c>
      <c r="V16716" s="16" t="str">
        <f>IFERROR(__xludf.DUMMYFUNCTION("""COMPUTED_VALUE"""),"")</f>
        <v/>
      </c>
      <c r="W16716" s="16" t="str">
        <f>IFERROR(__xludf.DUMMYFUNCTION("""COMPUTED_VALUE"""),"")</f>
        <v/>
      </c>
      <c r="X16716" s="16" t="str">
        <f>IFERROR(__xludf.DUMMYFUNCTION("""COMPUTED_VALUE"""),"")</f>
        <v/>
      </c>
      <c r="AC16716" s="16" t="str">
        <f>IFERROR(__xludf.DUMMYFUNCTION("""COMPUTED_VALUE"""),"")</f>
        <v/>
      </c>
    </row>
    <row r="16717">
      <c r="A16717" s="16" t="s">
        <v>87</v>
      </c>
      <c r="E16717" s="16" t="str">
        <f>IFERROR(__xludf.DUMMYFUNCTION("""COMPUTED_VALUE"""),"")</f>
        <v/>
      </c>
      <c r="G16717" s="18"/>
      <c r="H16717" s="16" t="s">
        <v>87</v>
      </c>
      <c r="I16717" s="16" t="s">
        <v>87</v>
      </c>
      <c r="J16717" s="19"/>
      <c r="L16717" s="16" t="str">
        <f>IFERROR(__xludf.DUMMYFUNCTION("""COMPUTED_VALUE"""),"")</f>
        <v/>
      </c>
      <c r="M16717" s="16" t="str">
        <f>IFERROR(__xludf.DUMMYFUNCTION("""COMPUTED_VALUE"""),"")</f>
        <v/>
      </c>
      <c r="U16717" s="16" t="s">
        <v>87</v>
      </c>
      <c r="V16717" s="16" t="str">
        <f>IFERROR(__xludf.DUMMYFUNCTION("""COMPUTED_VALUE"""),"")</f>
        <v/>
      </c>
      <c r="W16717" s="16" t="str">
        <f>IFERROR(__xludf.DUMMYFUNCTION("""COMPUTED_VALUE"""),"")</f>
        <v/>
      </c>
      <c r="X16717" s="16" t="str">
        <f>IFERROR(__xludf.DUMMYFUNCTION("""COMPUTED_VALUE"""),"")</f>
        <v/>
      </c>
      <c r="AC16717" s="16" t="str">
        <f>IFERROR(__xludf.DUMMYFUNCTION("""COMPUTED_VALUE"""),"")</f>
        <v/>
      </c>
    </row>
    <row r="16718">
      <c r="A16718" s="16" t="s">
        <v>87</v>
      </c>
      <c r="E16718" s="16" t="str">
        <f>IFERROR(__xludf.DUMMYFUNCTION("""COMPUTED_VALUE"""),"")</f>
        <v/>
      </c>
      <c r="G16718" s="18"/>
      <c r="H16718" s="16" t="s">
        <v>87</v>
      </c>
      <c r="I16718" s="16" t="s">
        <v>87</v>
      </c>
      <c r="J16718" s="19"/>
      <c r="L16718" s="16" t="str">
        <f>IFERROR(__xludf.DUMMYFUNCTION("""COMPUTED_VALUE"""),"")</f>
        <v/>
      </c>
      <c r="M16718" s="16" t="str">
        <f>IFERROR(__xludf.DUMMYFUNCTION("""COMPUTED_VALUE"""),"")</f>
        <v/>
      </c>
      <c r="U16718" s="16" t="s">
        <v>87</v>
      </c>
      <c r="V16718" s="16" t="str">
        <f>IFERROR(__xludf.DUMMYFUNCTION("""COMPUTED_VALUE"""),"")</f>
        <v/>
      </c>
      <c r="W16718" s="16" t="str">
        <f>IFERROR(__xludf.DUMMYFUNCTION("""COMPUTED_VALUE"""),"")</f>
        <v/>
      </c>
      <c r="X16718" s="16" t="str">
        <f>IFERROR(__xludf.DUMMYFUNCTION("""COMPUTED_VALUE"""),"")</f>
        <v/>
      </c>
      <c r="AC16718" s="16" t="str">
        <f>IFERROR(__xludf.DUMMYFUNCTION("""COMPUTED_VALUE"""),"")</f>
        <v/>
      </c>
    </row>
    <row r="16719">
      <c r="A16719" s="16" t="s">
        <v>87</v>
      </c>
      <c r="E16719" s="16" t="str">
        <f>IFERROR(__xludf.DUMMYFUNCTION("""COMPUTED_VALUE"""),"")</f>
        <v/>
      </c>
      <c r="G16719" s="18"/>
      <c r="H16719" s="16" t="s">
        <v>87</v>
      </c>
      <c r="I16719" s="16" t="s">
        <v>87</v>
      </c>
      <c r="J16719" s="19"/>
      <c r="L16719" s="16" t="str">
        <f>IFERROR(__xludf.DUMMYFUNCTION("""COMPUTED_VALUE"""),"")</f>
        <v/>
      </c>
      <c r="M16719" s="16" t="str">
        <f>IFERROR(__xludf.DUMMYFUNCTION("""COMPUTED_VALUE"""),"")</f>
        <v/>
      </c>
      <c r="U16719" s="16" t="s">
        <v>87</v>
      </c>
      <c r="V16719" s="16" t="str">
        <f>IFERROR(__xludf.DUMMYFUNCTION("""COMPUTED_VALUE"""),"")</f>
        <v/>
      </c>
      <c r="W16719" s="16" t="str">
        <f>IFERROR(__xludf.DUMMYFUNCTION("""COMPUTED_VALUE"""),"")</f>
        <v/>
      </c>
      <c r="X16719" s="16" t="str">
        <f>IFERROR(__xludf.DUMMYFUNCTION("""COMPUTED_VALUE"""),"")</f>
        <v/>
      </c>
      <c r="AC16719" s="16" t="str">
        <f>IFERROR(__xludf.DUMMYFUNCTION("""COMPUTED_VALUE"""),"")</f>
        <v/>
      </c>
    </row>
    <row r="16720">
      <c r="A16720" s="16" t="s">
        <v>87</v>
      </c>
      <c r="E16720" s="16" t="str">
        <f>IFERROR(__xludf.DUMMYFUNCTION("""COMPUTED_VALUE"""),"")</f>
        <v/>
      </c>
      <c r="G16720" s="18"/>
      <c r="H16720" s="16" t="s">
        <v>87</v>
      </c>
      <c r="I16720" s="16" t="s">
        <v>87</v>
      </c>
      <c r="J16720" s="19"/>
      <c r="L16720" s="16" t="str">
        <f>IFERROR(__xludf.DUMMYFUNCTION("""COMPUTED_VALUE"""),"")</f>
        <v/>
      </c>
      <c r="M16720" s="16" t="str">
        <f>IFERROR(__xludf.DUMMYFUNCTION("""COMPUTED_VALUE"""),"")</f>
        <v/>
      </c>
      <c r="U16720" s="16" t="s">
        <v>87</v>
      </c>
      <c r="V16720" s="16" t="str">
        <f>IFERROR(__xludf.DUMMYFUNCTION("""COMPUTED_VALUE"""),"")</f>
        <v/>
      </c>
      <c r="W16720" s="16" t="str">
        <f>IFERROR(__xludf.DUMMYFUNCTION("""COMPUTED_VALUE"""),"")</f>
        <v/>
      </c>
      <c r="X16720" s="16" t="str">
        <f>IFERROR(__xludf.DUMMYFUNCTION("""COMPUTED_VALUE"""),"")</f>
        <v/>
      </c>
      <c r="AC16720" s="16" t="str">
        <f>IFERROR(__xludf.DUMMYFUNCTION("""COMPUTED_VALUE"""),"")</f>
        <v/>
      </c>
    </row>
    <row r="16721">
      <c r="A16721" s="16" t="s">
        <v>87</v>
      </c>
      <c r="E16721" s="16" t="str">
        <f>IFERROR(__xludf.DUMMYFUNCTION("""COMPUTED_VALUE"""),"")</f>
        <v/>
      </c>
      <c r="G16721" s="18"/>
      <c r="H16721" s="16" t="s">
        <v>87</v>
      </c>
      <c r="I16721" s="16" t="s">
        <v>87</v>
      </c>
      <c r="J16721" s="19"/>
      <c r="L16721" s="16" t="str">
        <f>IFERROR(__xludf.DUMMYFUNCTION("""COMPUTED_VALUE"""),"")</f>
        <v/>
      </c>
      <c r="M16721" s="16" t="str">
        <f>IFERROR(__xludf.DUMMYFUNCTION("""COMPUTED_VALUE"""),"")</f>
        <v/>
      </c>
      <c r="U16721" s="16" t="s">
        <v>87</v>
      </c>
      <c r="V16721" s="16" t="str">
        <f>IFERROR(__xludf.DUMMYFUNCTION("""COMPUTED_VALUE"""),"")</f>
        <v/>
      </c>
      <c r="W16721" s="16" t="str">
        <f>IFERROR(__xludf.DUMMYFUNCTION("""COMPUTED_VALUE"""),"")</f>
        <v/>
      </c>
      <c r="X16721" s="16" t="str">
        <f>IFERROR(__xludf.DUMMYFUNCTION("""COMPUTED_VALUE"""),"")</f>
        <v/>
      </c>
      <c r="AC16721" s="16" t="str">
        <f>IFERROR(__xludf.DUMMYFUNCTION("""COMPUTED_VALUE"""),"")</f>
        <v/>
      </c>
    </row>
    <row r="16722">
      <c r="A16722" s="16" t="s">
        <v>87</v>
      </c>
      <c r="E16722" s="16" t="str">
        <f>IFERROR(__xludf.DUMMYFUNCTION("""COMPUTED_VALUE"""),"")</f>
        <v/>
      </c>
      <c r="G16722" s="18"/>
      <c r="H16722" s="16" t="s">
        <v>87</v>
      </c>
      <c r="I16722" s="16" t="s">
        <v>87</v>
      </c>
      <c r="J16722" s="19"/>
      <c r="L16722" s="16" t="str">
        <f>IFERROR(__xludf.DUMMYFUNCTION("""COMPUTED_VALUE"""),"")</f>
        <v/>
      </c>
      <c r="M16722" s="16" t="str">
        <f>IFERROR(__xludf.DUMMYFUNCTION("""COMPUTED_VALUE"""),"")</f>
        <v/>
      </c>
      <c r="U16722" s="16" t="s">
        <v>87</v>
      </c>
      <c r="V16722" s="16" t="str">
        <f>IFERROR(__xludf.DUMMYFUNCTION("""COMPUTED_VALUE"""),"")</f>
        <v/>
      </c>
      <c r="W16722" s="16" t="str">
        <f>IFERROR(__xludf.DUMMYFUNCTION("""COMPUTED_VALUE"""),"")</f>
        <v/>
      </c>
      <c r="X16722" s="16" t="str">
        <f>IFERROR(__xludf.DUMMYFUNCTION("""COMPUTED_VALUE"""),"")</f>
        <v/>
      </c>
      <c r="AC16722" s="16" t="str">
        <f>IFERROR(__xludf.DUMMYFUNCTION("""COMPUTED_VALUE"""),"")</f>
        <v/>
      </c>
    </row>
    <row r="16723">
      <c r="A16723" s="16" t="s">
        <v>87</v>
      </c>
      <c r="E16723" s="16" t="str">
        <f>IFERROR(__xludf.DUMMYFUNCTION("""COMPUTED_VALUE"""),"")</f>
        <v/>
      </c>
      <c r="G16723" s="18"/>
      <c r="H16723" s="16" t="s">
        <v>87</v>
      </c>
      <c r="I16723" s="16" t="s">
        <v>87</v>
      </c>
      <c r="J16723" s="19"/>
      <c r="L16723" s="16" t="str">
        <f>IFERROR(__xludf.DUMMYFUNCTION("""COMPUTED_VALUE"""),"")</f>
        <v/>
      </c>
      <c r="M16723" s="16" t="str">
        <f>IFERROR(__xludf.DUMMYFUNCTION("""COMPUTED_VALUE"""),"")</f>
        <v/>
      </c>
      <c r="U16723" s="16" t="s">
        <v>87</v>
      </c>
      <c r="V16723" s="16" t="str">
        <f>IFERROR(__xludf.DUMMYFUNCTION("""COMPUTED_VALUE"""),"")</f>
        <v/>
      </c>
      <c r="W16723" s="16" t="str">
        <f>IFERROR(__xludf.DUMMYFUNCTION("""COMPUTED_VALUE"""),"")</f>
        <v/>
      </c>
      <c r="X16723" s="16" t="str">
        <f>IFERROR(__xludf.DUMMYFUNCTION("""COMPUTED_VALUE"""),"")</f>
        <v/>
      </c>
      <c r="AC16723" s="16" t="str">
        <f>IFERROR(__xludf.DUMMYFUNCTION("""COMPUTED_VALUE"""),"")</f>
        <v/>
      </c>
    </row>
    <row r="16724">
      <c r="A16724" s="16" t="s">
        <v>87</v>
      </c>
      <c r="E16724" s="16" t="str">
        <f>IFERROR(__xludf.DUMMYFUNCTION("""COMPUTED_VALUE"""),"")</f>
        <v/>
      </c>
      <c r="G16724" s="18"/>
      <c r="H16724" s="16" t="s">
        <v>87</v>
      </c>
      <c r="I16724" s="16" t="s">
        <v>87</v>
      </c>
      <c r="J16724" s="19"/>
      <c r="L16724" s="16" t="str">
        <f>IFERROR(__xludf.DUMMYFUNCTION("""COMPUTED_VALUE"""),"")</f>
        <v/>
      </c>
      <c r="M16724" s="16" t="str">
        <f>IFERROR(__xludf.DUMMYFUNCTION("""COMPUTED_VALUE"""),"")</f>
        <v/>
      </c>
      <c r="U16724" s="16" t="s">
        <v>87</v>
      </c>
      <c r="V16724" s="16" t="str">
        <f>IFERROR(__xludf.DUMMYFUNCTION("""COMPUTED_VALUE"""),"")</f>
        <v/>
      </c>
      <c r="W16724" s="16" t="str">
        <f>IFERROR(__xludf.DUMMYFUNCTION("""COMPUTED_VALUE"""),"")</f>
        <v/>
      </c>
      <c r="X16724" s="16" t="str">
        <f>IFERROR(__xludf.DUMMYFUNCTION("""COMPUTED_VALUE"""),"")</f>
        <v/>
      </c>
      <c r="AC16724" s="16" t="str">
        <f>IFERROR(__xludf.DUMMYFUNCTION("""COMPUTED_VALUE"""),"")</f>
        <v/>
      </c>
    </row>
    <row r="16725">
      <c r="A16725" s="16" t="s">
        <v>87</v>
      </c>
      <c r="E16725" s="16" t="str">
        <f>IFERROR(__xludf.DUMMYFUNCTION("""COMPUTED_VALUE"""),"")</f>
        <v/>
      </c>
      <c r="G16725" s="18"/>
      <c r="H16725" s="16" t="s">
        <v>87</v>
      </c>
      <c r="I16725" s="16" t="s">
        <v>87</v>
      </c>
      <c r="J16725" s="19"/>
      <c r="L16725" s="16" t="str">
        <f>IFERROR(__xludf.DUMMYFUNCTION("""COMPUTED_VALUE"""),"")</f>
        <v/>
      </c>
      <c r="M16725" s="16" t="str">
        <f>IFERROR(__xludf.DUMMYFUNCTION("""COMPUTED_VALUE"""),"")</f>
        <v/>
      </c>
      <c r="U16725" s="16" t="s">
        <v>87</v>
      </c>
      <c r="V16725" s="16" t="str">
        <f>IFERROR(__xludf.DUMMYFUNCTION("""COMPUTED_VALUE"""),"")</f>
        <v/>
      </c>
      <c r="W16725" s="16" t="str">
        <f>IFERROR(__xludf.DUMMYFUNCTION("""COMPUTED_VALUE"""),"")</f>
        <v/>
      </c>
      <c r="X16725" s="16" t="str">
        <f>IFERROR(__xludf.DUMMYFUNCTION("""COMPUTED_VALUE"""),"")</f>
        <v/>
      </c>
      <c r="AC16725" s="16" t="str">
        <f>IFERROR(__xludf.DUMMYFUNCTION("""COMPUTED_VALUE"""),"")</f>
        <v/>
      </c>
    </row>
    <row r="16726">
      <c r="A16726" s="16" t="s">
        <v>87</v>
      </c>
      <c r="E16726" s="16" t="str">
        <f>IFERROR(__xludf.DUMMYFUNCTION("""COMPUTED_VALUE"""),"")</f>
        <v/>
      </c>
      <c r="G16726" s="18"/>
      <c r="H16726" s="16" t="s">
        <v>87</v>
      </c>
      <c r="I16726" s="16" t="s">
        <v>87</v>
      </c>
      <c r="J16726" s="19"/>
      <c r="L16726" s="16" t="str">
        <f>IFERROR(__xludf.DUMMYFUNCTION("""COMPUTED_VALUE"""),"")</f>
        <v/>
      </c>
      <c r="M16726" s="16" t="str">
        <f>IFERROR(__xludf.DUMMYFUNCTION("""COMPUTED_VALUE"""),"")</f>
        <v/>
      </c>
      <c r="U16726" s="16" t="s">
        <v>87</v>
      </c>
      <c r="V16726" s="16" t="str">
        <f>IFERROR(__xludf.DUMMYFUNCTION("""COMPUTED_VALUE"""),"")</f>
        <v/>
      </c>
      <c r="W16726" s="16" t="str">
        <f>IFERROR(__xludf.DUMMYFUNCTION("""COMPUTED_VALUE"""),"")</f>
        <v/>
      </c>
      <c r="X16726" s="16" t="str">
        <f>IFERROR(__xludf.DUMMYFUNCTION("""COMPUTED_VALUE"""),"")</f>
        <v/>
      </c>
      <c r="AC16726" s="16" t="str">
        <f>IFERROR(__xludf.DUMMYFUNCTION("""COMPUTED_VALUE"""),"")</f>
        <v/>
      </c>
    </row>
    <row r="16727">
      <c r="A16727" s="16" t="s">
        <v>87</v>
      </c>
      <c r="E16727" s="16" t="str">
        <f>IFERROR(__xludf.DUMMYFUNCTION("""COMPUTED_VALUE"""),"")</f>
        <v/>
      </c>
      <c r="G16727" s="18"/>
      <c r="H16727" s="16" t="s">
        <v>87</v>
      </c>
      <c r="I16727" s="16" t="s">
        <v>87</v>
      </c>
      <c r="J16727" s="19"/>
      <c r="L16727" s="16" t="str">
        <f>IFERROR(__xludf.DUMMYFUNCTION("""COMPUTED_VALUE"""),"")</f>
        <v/>
      </c>
      <c r="M16727" s="16" t="str">
        <f>IFERROR(__xludf.DUMMYFUNCTION("""COMPUTED_VALUE"""),"")</f>
        <v/>
      </c>
      <c r="U16727" s="16" t="s">
        <v>87</v>
      </c>
      <c r="V16727" s="16" t="str">
        <f>IFERROR(__xludf.DUMMYFUNCTION("""COMPUTED_VALUE"""),"")</f>
        <v/>
      </c>
      <c r="W16727" s="16" t="str">
        <f>IFERROR(__xludf.DUMMYFUNCTION("""COMPUTED_VALUE"""),"")</f>
        <v/>
      </c>
      <c r="X16727" s="16" t="str">
        <f>IFERROR(__xludf.DUMMYFUNCTION("""COMPUTED_VALUE"""),"")</f>
        <v/>
      </c>
      <c r="AC16727" s="16" t="str">
        <f>IFERROR(__xludf.DUMMYFUNCTION("""COMPUTED_VALUE"""),"")</f>
        <v/>
      </c>
    </row>
    <row r="16728">
      <c r="A16728" s="16" t="s">
        <v>87</v>
      </c>
      <c r="E16728" s="16" t="str">
        <f>IFERROR(__xludf.DUMMYFUNCTION("""COMPUTED_VALUE"""),"")</f>
        <v/>
      </c>
      <c r="G16728" s="18"/>
      <c r="H16728" s="16" t="s">
        <v>87</v>
      </c>
      <c r="I16728" s="16" t="s">
        <v>87</v>
      </c>
      <c r="J16728" s="19"/>
      <c r="L16728" s="16" t="str">
        <f>IFERROR(__xludf.DUMMYFUNCTION("""COMPUTED_VALUE"""),"")</f>
        <v/>
      </c>
      <c r="M16728" s="16" t="str">
        <f>IFERROR(__xludf.DUMMYFUNCTION("""COMPUTED_VALUE"""),"")</f>
        <v/>
      </c>
      <c r="U16728" s="16" t="s">
        <v>87</v>
      </c>
      <c r="V16728" s="16" t="str">
        <f>IFERROR(__xludf.DUMMYFUNCTION("""COMPUTED_VALUE"""),"")</f>
        <v/>
      </c>
      <c r="W16728" s="16" t="str">
        <f>IFERROR(__xludf.DUMMYFUNCTION("""COMPUTED_VALUE"""),"")</f>
        <v/>
      </c>
      <c r="X16728" s="16" t="str">
        <f>IFERROR(__xludf.DUMMYFUNCTION("""COMPUTED_VALUE"""),"")</f>
        <v/>
      </c>
      <c r="AC16728" s="16" t="str">
        <f>IFERROR(__xludf.DUMMYFUNCTION("""COMPUTED_VALUE"""),"")</f>
        <v/>
      </c>
    </row>
    <row r="16729">
      <c r="A16729" s="16" t="s">
        <v>87</v>
      </c>
      <c r="E16729" s="16" t="str">
        <f>IFERROR(__xludf.DUMMYFUNCTION("""COMPUTED_VALUE"""),"")</f>
        <v/>
      </c>
      <c r="G16729" s="18"/>
      <c r="H16729" s="16" t="s">
        <v>87</v>
      </c>
      <c r="I16729" s="16" t="s">
        <v>87</v>
      </c>
      <c r="J16729" s="19"/>
      <c r="L16729" s="16" t="str">
        <f>IFERROR(__xludf.DUMMYFUNCTION("""COMPUTED_VALUE"""),"")</f>
        <v/>
      </c>
      <c r="M16729" s="16" t="str">
        <f>IFERROR(__xludf.DUMMYFUNCTION("""COMPUTED_VALUE"""),"")</f>
        <v/>
      </c>
      <c r="U16729" s="16" t="s">
        <v>87</v>
      </c>
      <c r="V16729" s="16" t="str">
        <f>IFERROR(__xludf.DUMMYFUNCTION("""COMPUTED_VALUE"""),"")</f>
        <v/>
      </c>
      <c r="W16729" s="16" t="str">
        <f>IFERROR(__xludf.DUMMYFUNCTION("""COMPUTED_VALUE"""),"")</f>
        <v/>
      </c>
      <c r="X16729" s="16" t="str">
        <f>IFERROR(__xludf.DUMMYFUNCTION("""COMPUTED_VALUE"""),"")</f>
        <v/>
      </c>
      <c r="AC16729" s="16" t="str">
        <f>IFERROR(__xludf.DUMMYFUNCTION("""COMPUTED_VALUE"""),"")</f>
        <v/>
      </c>
    </row>
    <row r="16730">
      <c r="A16730" s="16" t="s">
        <v>87</v>
      </c>
      <c r="E16730" s="16" t="str">
        <f>IFERROR(__xludf.DUMMYFUNCTION("""COMPUTED_VALUE"""),"")</f>
        <v/>
      </c>
      <c r="G16730" s="18"/>
      <c r="H16730" s="16" t="s">
        <v>87</v>
      </c>
      <c r="I16730" s="16" t="s">
        <v>87</v>
      </c>
      <c r="J16730" s="19"/>
      <c r="L16730" s="16" t="str">
        <f>IFERROR(__xludf.DUMMYFUNCTION("""COMPUTED_VALUE"""),"")</f>
        <v/>
      </c>
      <c r="M16730" s="16" t="str">
        <f>IFERROR(__xludf.DUMMYFUNCTION("""COMPUTED_VALUE"""),"")</f>
        <v/>
      </c>
      <c r="U16730" s="16" t="s">
        <v>87</v>
      </c>
      <c r="V16730" s="16" t="str">
        <f>IFERROR(__xludf.DUMMYFUNCTION("""COMPUTED_VALUE"""),"")</f>
        <v/>
      </c>
      <c r="W16730" s="16" t="str">
        <f>IFERROR(__xludf.DUMMYFUNCTION("""COMPUTED_VALUE"""),"")</f>
        <v/>
      </c>
      <c r="X16730" s="16" t="str">
        <f>IFERROR(__xludf.DUMMYFUNCTION("""COMPUTED_VALUE"""),"")</f>
        <v/>
      </c>
      <c r="AC16730" s="16" t="str">
        <f>IFERROR(__xludf.DUMMYFUNCTION("""COMPUTED_VALUE"""),"")</f>
        <v/>
      </c>
    </row>
    <row r="16731">
      <c r="A16731" s="16" t="s">
        <v>87</v>
      </c>
      <c r="E16731" s="16" t="str">
        <f>IFERROR(__xludf.DUMMYFUNCTION("""COMPUTED_VALUE"""),"")</f>
        <v/>
      </c>
      <c r="G16731" s="18"/>
      <c r="H16731" s="16" t="s">
        <v>87</v>
      </c>
      <c r="I16731" s="16" t="s">
        <v>87</v>
      </c>
      <c r="J16731" s="19"/>
      <c r="L16731" s="16" t="str">
        <f>IFERROR(__xludf.DUMMYFUNCTION("""COMPUTED_VALUE"""),"")</f>
        <v/>
      </c>
      <c r="M16731" s="16" t="str">
        <f>IFERROR(__xludf.DUMMYFUNCTION("""COMPUTED_VALUE"""),"")</f>
        <v/>
      </c>
      <c r="U16731" s="16" t="s">
        <v>87</v>
      </c>
      <c r="V16731" s="16" t="str">
        <f>IFERROR(__xludf.DUMMYFUNCTION("""COMPUTED_VALUE"""),"")</f>
        <v/>
      </c>
      <c r="W16731" s="16" t="str">
        <f>IFERROR(__xludf.DUMMYFUNCTION("""COMPUTED_VALUE"""),"")</f>
        <v/>
      </c>
      <c r="X16731" s="16" t="str">
        <f>IFERROR(__xludf.DUMMYFUNCTION("""COMPUTED_VALUE"""),"")</f>
        <v/>
      </c>
      <c r="AC16731" s="16" t="str">
        <f>IFERROR(__xludf.DUMMYFUNCTION("""COMPUTED_VALUE"""),"")</f>
        <v/>
      </c>
    </row>
    <row r="16732">
      <c r="A16732" s="16" t="s">
        <v>87</v>
      </c>
      <c r="E16732" s="16" t="str">
        <f>IFERROR(__xludf.DUMMYFUNCTION("""COMPUTED_VALUE"""),"")</f>
        <v/>
      </c>
      <c r="G16732" s="18"/>
      <c r="H16732" s="16" t="s">
        <v>87</v>
      </c>
      <c r="I16732" s="16" t="s">
        <v>87</v>
      </c>
      <c r="J16732" s="19"/>
      <c r="L16732" s="16" t="str">
        <f>IFERROR(__xludf.DUMMYFUNCTION("""COMPUTED_VALUE"""),"")</f>
        <v/>
      </c>
      <c r="M16732" s="16" t="str">
        <f>IFERROR(__xludf.DUMMYFUNCTION("""COMPUTED_VALUE"""),"")</f>
        <v/>
      </c>
      <c r="U16732" s="16" t="s">
        <v>87</v>
      </c>
      <c r="V16732" s="16" t="str">
        <f>IFERROR(__xludf.DUMMYFUNCTION("""COMPUTED_VALUE"""),"")</f>
        <v/>
      </c>
      <c r="W16732" s="16" t="str">
        <f>IFERROR(__xludf.DUMMYFUNCTION("""COMPUTED_VALUE"""),"")</f>
        <v/>
      </c>
      <c r="X16732" s="16" t="str">
        <f>IFERROR(__xludf.DUMMYFUNCTION("""COMPUTED_VALUE"""),"")</f>
        <v/>
      </c>
      <c r="AC16732" s="16" t="str">
        <f>IFERROR(__xludf.DUMMYFUNCTION("""COMPUTED_VALUE"""),"")</f>
        <v/>
      </c>
    </row>
    <row r="16733">
      <c r="A16733" s="16" t="s">
        <v>87</v>
      </c>
      <c r="E16733" s="16" t="str">
        <f>IFERROR(__xludf.DUMMYFUNCTION("""COMPUTED_VALUE"""),"")</f>
        <v/>
      </c>
      <c r="G16733" s="18"/>
      <c r="H16733" s="16" t="s">
        <v>87</v>
      </c>
      <c r="I16733" s="16" t="s">
        <v>87</v>
      </c>
      <c r="J16733" s="19"/>
      <c r="L16733" s="16" t="str">
        <f>IFERROR(__xludf.DUMMYFUNCTION("""COMPUTED_VALUE"""),"")</f>
        <v/>
      </c>
      <c r="M16733" s="16" t="str">
        <f>IFERROR(__xludf.DUMMYFUNCTION("""COMPUTED_VALUE"""),"")</f>
        <v/>
      </c>
      <c r="U16733" s="16" t="s">
        <v>87</v>
      </c>
      <c r="V16733" s="16" t="str">
        <f>IFERROR(__xludf.DUMMYFUNCTION("""COMPUTED_VALUE"""),"")</f>
        <v/>
      </c>
      <c r="W16733" s="16" t="str">
        <f>IFERROR(__xludf.DUMMYFUNCTION("""COMPUTED_VALUE"""),"")</f>
        <v/>
      </c>
      <c r="X16733" s="16" t="str">
        <f>IFERROR(__xludf.DUMMYFUNCTION("""COMPUTED_VALUE"""),"")</f>
        <v/>
      </c>
      <c r="AC16733" s="16" t="str">
        <f>IFERROR(__xludf.DUMMYFUNCTION("""COMPUTED_VALUE"""),"")</f>
        <v/>
      </c>
    </row>
    <row r="16734">
      <c r="A16734" s="16" t="s">
        <v>87</v>
      </c>
      <c r="E16734" s="16" t="str">
        <f>IFERROR(__xludf.DUMMYFUNCTION("""COMPUTED_VALUE"""),"")</f>
        <v/>
      </c>
      <c r="G16734" s="18"/>
      <c r="H16734" s="16" t="s">
        <v>87</v>
      </c>
      <c r="I16734" s="16" t="s">
        <v>87</v>
      </c>
      <c r="J16734" s="19"/>
      <c r="L16734" s="16" t="str">
        <f>IFERROR(__xludf.DUMMYFUNCTION("""COMPUTED_VALUE"""),"")</f>
        <v/>
      </c>
      <c r="M16734" s="16" t="str">
        <f>IFERROR(__xludf.DUMMYFUNCTION("""COMPUTED_VALUE"""),"")</f>
        <v/>
      </c>
      <c r="U16734" s="16" t="s">
        <v>87</v>
      </c>
      <c r="V16734" s="16" t="str">
        <f>IFERROR(__xludf.DUMMYFUNCTION("""COMPUTED_VALUE"""),"")</f>
        <v/>
      </c>
      <c r="W16734" s="16" t="str">
        <f>IFERROR(__xludf.DUMMYFUNCTION("""COMPUTED_VALUE"""),"")</f>
        <v/>
      </c>
      <c r="X16734" s="16" t="str">
        <f>IFERROR(__xludf.DUMMYFUNCTION("""COMPUTED_VALUE"""),"")</f>
        <v/>
      </c>
      <c r="AC16734" s="16" t="str">
        <f>IFERROR(__xludf.DUMMYFUNCTION("""COMPUTED_VALUE"""),"")</f>
        <v/>
      </c>
    </row>
    <row r="16735">
      <c r="A16735" s="16" t="s">
        <v>87</v>
      </c>
      <c r="E16735" s="16" t="str">
        <f>IFERROR(__xludf.DUMMYFUNCTION("""COMPUTED_VALUE"""),"")</f>
        <v/>
      </c>
      <c r="G16735" s="18"/>
      <c r="H16735" s="16" t="s">
        <v>87</v>
      </c>
      <c r="I16735" s="16" t="s">
        <v>87</v>
      </c>
      <c r="J16735" s="19"/>
      <c r="L16735" s="16" t="str">
        <f>IFERROR(__xludf.DUMMYFUNCTION("""COMPUTED_VALUE"""),"")</f>
        <v/>
      </c>
      <c r="M16735" s="16" t="str">
        <f>IFERROR(__xludf.DUMMYFUNCTION("""COMPUTED_VALUE"""),"")</f>
        <v/>
      </c>
      <c r="U16735" s="16" t="s">
        <v>87</v>
      </c>
      <c r="V16735" s="16" t="str">
        <f>IFERROR(__xludf.DUMMYFUNCTION("""COMPUTED_VALUE"""),"")</f>
        <v/>
      </c>
      <c r="W16735" s="16" t="str">
        <f>IFERROR(__xludf.DUMMYFUNCTION("""COMPUTED_VALUE"""),"")</f>
        <v/>
      </c>
      <c r="X16735" s="16" t="str">
        <f>IFERROR(__xludf.DUMMYFUNCTION("""COMPUTED_VALUE"""),"")</f>
        <v/>
      </c>
      <c r="AC16735" s="16" t="str">
        <f>IFERROR(__xludf.DUMMYFUNCTION("""COMPUTED_VALUE"""),"")</f>
        <v/>
      </c>
    </row>
    <row r="16736">
      <c r="A16736" s="16" t="s">
        <v>87</v>
      </c>
      <c r="E16736" s="16" t="str">
        <f>IFERROR(__xludf.DUMMYFUNCTION("""COMPUTED_VALUE"""),"")</f>
        <v/>
      </c>
      <c r="G16736" s="18"/>
      <c r="H16736" s="16" t="s">
        <v>87</v>
      </c>
      <c r="I16736" s="16" t="s">
        <v>87</v>
      </c>
      <c r="J16736" s="19"/>
      <c r="L16736" s="16" t="str">
        <f>IFERROR(__xludf.DUMMYFUNCTION("""COMPUTED_VALUE"""),"")</f>
        <v/>
      </c>
      <c r="M16736" s="16" t="str">
        <f>IFERROR(__xludf.DUMMYFUNCTION("""COMPUTED_VALUE"""),"")</f>
        <v/>
      </c>
      <c r="U16736" s="16" t="s">
        <v>87</v>
      </c>
      <c r="V16736" s="16" t="str">
        <f>IFERROR(__xludf.DUMMYFUNCTION("""COMPUTED_VALUE"""),"")</f>
        <v/>
      </c>
      <c r="W16736" s="16" t="str">
        <f>IFERROR(__xludf.DUMMYFUNCTION("""COMPUTED_VALUE"""),"")</f>
        <v/>
      </c>
      <c r="X16736" s="16" t="str">
        <f>IFERROR(__xludf.DUMMYFUNCTION("""COMPUTED_VALUE"""),"")</f>
        <v/>
      </c>
      <c r="AC16736" s="16" t="str">
        <f>IFERROR(__xludf.DUMMYFUNCTION("""COMPUTED_VALUE"""),"")</f>
        <v/>
      </c>
    </row>
    <row r="16737">
      <c r="A16737" s="16" t="s">
        <v>87</v>
      </c>
      <c r="E16737" s="16" t="str">
        <f>IFERROR(__xludf.DUMMYFUNCTION("""COMPUTED_VALUE"""),"")</f>
        <v/>
      </c>
      <c r="G16737" s="18"/>
      <c r="H16737" s="16" t="s">
        <v>87</v>
      </c>
      <c r="I16737" s="16" t="s">
        <v>87</v>
      </c>
      <c r="J16737" s="19"/>
      <c r="L16737" s="16" t="str">
        <f>IFERROR(__xludf.DUMMYFUNCTION("""COMPUTED_VALUE"""),"")</f>
        <v/>
      </c>
      <c r="M16737" s="16" t="str">
        <f>IFERROR(__xludf.DUMMYFUNCTION("""COMPUTED_VALUE"""),"")</f>
        <v/>
      </c>
      <c r="U16737" s="16" t="s">
        <v>87</v>
      </c>
      <c r="V16737" s="16" t="str">
        <f>IFERROR(__xludf.DUMMYFUNCTION("""COMPUTED_VALUE"""),"")</f>
        <v/>
      </c>
      <c r="W16737" s="16" t="str">
        <f>IFERROR(__xludf.DUMMYFUNCTION("""COMPUTED_VALUE"""),"")</f>
        <v/>
      </c>
      <c r="X16737" s="16" t="str">
        <f>IFERROR(__xludf.DUMMYFUNCTION("""COMPUTED_VALUE"""),"")</f>
        <v/>
      </c>
      <c r="AC16737" s="16" t="str">
        <f>IFERROR(__xludf.DUMMYFUNCTION("""COMPUTED_VALUE"""),"")</f>
        <v/>
      </c>
    </row>
    <row r="16738">
      <c r="A16738" s="16" t="s">
        <v>87</v>
      </c>
      <c r="E16738" s="16" t="str">
        <f>IFERROR(__xludf.DUMMYFUNCTION("""COMPUTED_VALUE"""),"")</f>
        <v/>
      </c>
      <c r="G16738" s="18"/>
      <c r="H16738" s="16" t="s">
        <v>87</v>
      </c>
      <c r="I16738" s="16" t="s">
        <v>87</v>
      </c>
      <c r="J16738" s="19"/>
      <c r="L16738" s="16" t="str">
        <f>IFERROR(__xludf.DUMMYFUNCTION("""COMPUTED_VALUE"""),"")</f>
        <v/>
      </c>
      <c r="M16738" s="16" t="str">
        <f>IFERROR(__xludf.DUMMYFUNCTION("""COMPUTED_VALUE"""),"")</f>
        <v/>
      </c>
      <c r="U16738" s="16" t="s">
        <v>87</v>
      </c>
      <c r="V16738" s="16" t="str">
        <f>IFERROR(__xludf.DUMMYFUNCTION("""COMPUTED_VALUE"""),"")</f>
        <v/>
      </c>
      <c r="W16738" s="16" t="str">
        <f>IFERROR(__xludf.DUMMYFUNCTION("""COMPUTED_VALUE"""),"")</f>
        <v/>
      </c>
      <c r="X16738" s="16" t="str">
        <f>IFERROR(__xludf.DUMMYFUNCTION("""COMPUTED_VALUE"""),"")</f>
        <v/>
      </c>
      <c r="AC16738" s="16" t="str">
        <f>IFERROR(__xludf.DUMMYFUNCTION("""COMPUTED_VALUE"""),"")</f>
        <v/>
      </c>
    </row>
    <row r="16739">
      <c r="A16739" s="16" t="s">
        <v>87</v>
      </c>
      <c r="E16739" s="16" t="str">
        <f>IFERROR(__xludf.DUMMYFUNCTION("""COMPUTED_VALUE"""),"")</f>
        <v/>
      </c>
      <c r="G16739" s="18"/>
      <c r="H16739" s="16" t="s">
        <v>87</v>
      </c>
      <c r="I16739" s="16" t="s">
        <v>87</v>
      </c>
      <c r="J16739" s="19"/>
      <c r="L16739" s="16" t="str">
        <f>IFERROR(__xludf.DUMMYFUNCTION("""COMPUTED_VALUE"""),"")</f>
        <v/>
      </c>
      <c r="M16739" s="16" t="str">
        <f>IFERROR(__xludf.DUMMYFUNCTION("""COMPUTED_VALUE"""),"")</f>
        <v/>
      </c>
      <c r="U16739" s="16" t="s">
        <v>87</v>
      </c>
      <c r="V16739" s="16" t="str">
        <f>IFERROR(__xludf.DUMMYFUNCTION("""COMPUTED_VALUE"""),"")</f>
        <v/>
      </c>
      <c r="W16739" s="16" t="str">
        <f>IFERROR(__xludf.DUMMYFUNCTION("""COMPUTED_VALUE"""),"")</f>
        <v/>
      </c>
      <c r="X16739" s="16" t="str">
        <f>IFERROR(__xludf.DUMMYFUNCTION("""COMPUTED_VALUE"""),"")</f>
        <v/>
      </c>
      <c r="AC16739" s="16" t="str">
        <f>IFERROR(__xludf.DUMMYFUNCTION("""COMPUTED_VALUE"""),"")</f>
        <v/>
      </c>
    </row>
    <row r="16740">
      <c r="A16740" s="16" t="s">
        <v>87</v>
      </c>
      <c r="E16740" s="16" t="str">
        <f>IFERROR(__xludf.DUMMYFUNCTION("""COMPUTED_VALUE"""),"")</f>
        <v/>
      </c>
      <c r="G16740" s="18"/>
      <c r="H16740" s="16" t="s">
        <v>87</v>
      </c>
      <c r="I16740" s="16" t="s">
        <v>87</v>
      </c>
      <c r="J16740" s="19"/>
      <c r="L16740" s="16" t="str">
        <f>IFERROR(__xludf.DUMMYFUNCTION("""COMPUTED_VALUE"""),"")</f>
        <v/>
      </c>
      <c r="M16740" s="16" t="str">
        <f>IFERROR(__xludf.DUMMYFUNCTION("""COMPUTED_VALUE"""),"")</f>
        <v/>
      </c>
      <c r="U16740" s="16" t="s">
        <v>87</v>
      </c>
      <c r="V16740" s="16" t="str">
        <f>IFERROR(__xludf.DUMMYFUNCTION("""COMPUTED_VALUE"""),"")</f>
        <v/>
      </c>
      <c r="W16740" s="16" t="str">
        <f>IFERROR(__xludf.DUMMYFUNCTION("""COMPUTED_VALUE"""),"")</f>
        <v/>
      </c>
      <c r="X16740" s="16" t="str">
        <f>IFERROR(__xludf.DUMMYFUNCTION("""COMPUTED_VALUE"""),"")</f>
        <v/>
      </c>
      <c r="AC16740" s="16" t="str">
        <f>IFERROR(__xludf.DUMMYFUNCTION("""COMPUTED_VALUE"""),"")</f>
        <v/>
      </c>
    </row>
    <row r="16741">
      <c r="A16741" s="16" t="s">
        <v>87</v>
      </c>
      <c r="E16741" s="16" t="str">
        <f>IFERROR(__xludf.DUMMYFUNCTION("""COMPUTED_VALUE"""),"")</f>
        <v/>
      </c>
      <c r="G16741" s="18"/>
      <c r="H16741" s="16" t="s">
        <v>87</v>
      </c>
      <c r="I16741" s="16" t="s">
        <v>87</v>
      </c>
      <c r="J16741" s="19"/>
      <c r="L16741" s="16" t="str">
        <f>IFERROR(__xludf.DUMMYFUNCTION("""COMPUTED_VALUE"""),"")</f>
        <v/>
      </c>
      <c r="M16741" s="16" t="str">
        <f>IFERROR(__xludf.DUMMYFUNCTION("""COMPUTED_VALUE"""),"")</f>
        <v/>
      </c>
      <c r="U16741" s="16" t="s">
        <v>87</v>
      </c>
      <c r="V16741" s="16" t="str">
        <f>IFERROR(__xludf.DUMMYFUNCTION("""COMPUTED_VALUE"""),"")</f>
        <v/>
      </c>
      <c r="W16741" s="16" t="str">
        <f>IFERROR(__xludf.DUMMYFUNCTION("""COMPUTED_VALUE"""),"")</f>
        <v/>
      </c>
      <c r="X16741" s="16" t="str">
        <f>IFERROR(__xludf.DUMMYFUNCTION("""COMPUTED_VALUE"""),"")</f>
        <v/>
      </c>
      <c r="AC16741" s="16" t="str">
        <f>IFERROR(__xludf.DUMMYFUNCTION("""COMPUTED_VALUE"""),"")</f>
        <v/>
      </c>
    </row>
    <row r="16742">
      <c r="A16742" s="16" t="s">
        <v>87</v>
      </c>
      <c r="E16742" s="16" t="str">
        <f>IFERROR(__xludf.DUMMYFUNCTION("""COMPUTED_VALUE"""),"")</f>
        <v/>
      </c>
      <c r="G16742" s="18"/>
      <c r="H16742" s="16" t="s">
        <v>87</v>
      </c>
      <c r="I16742" s="16" t="s">
        <v>87</v>
      </c>
      <c r="J16742" s="19"/>
      <c r="L16742" s="16" t="str">
        <f>IFERROR(__xludf.DUMMYFUNCTION("""COMPUTED_VALUE"""),"")</f>
        <v/>
      </c>
      <c r="M16742" s="16" t="str">
        <f>IFERROR(__xludf.DUMMYFUNCTION("""COMPUTED_VALUE"""),"")</f>
        <v/>
      </c>
      <c r="U16742" s="16" t="s">
        <v>87</v>
      </c>
      <c r="V16742" s="16" t="str">
        <f>IFERROR(__xludf.DUMMYFUNCTION("""COMPUTED_VALUE"""),"")</f>
        <v/>
      </c>
      <c r="W16742" s="16" t="str">
        <f>IFERROR(__xludf.DUMMYFUNCTION("""COMPUTED_VALUE"""),"")</f>
        <v/>
      </c>
      <c r="X16742" s="16" t="str">
        <f>IFERROR(__xludf.DUMMYFUNCTION("""COMPUTED_VALUE"""),"")</f>
        <v/>
      </c>
      <c r="AC16742" s="16" t="str">
        <f>IFERROR(__xludf.DUMMYFUNCTION("""COMPUTED_VALUE"""),"")</f>
        <v/>
      </c>
    </row>
    <row r="16743">
      <c r="A16743" s="16" t="s">
        <v>87</v>
      </c>
      <c r="E16743" s="16" t="str">
        <f>IFERROR(__xludf.DUMMYFUNCTION("""COMPUTED_VALUE"""),"")</f>
        <v/>
      </c>
      <c r="G16743" s="18"/>
      <c r="H16743" s="16" t="s">
        <v>87</v>
      </c>
      <c r="I16743" s="16" t="s">
        <v>87</v>
      </c>
      <c r="J16743" s="19"/>
      <c r="L16743" s="16" t="str">
        <f>IFERROR(__xludf.DUMMYFUNCTION("""COMPUTED_VALUE"""),"")</f>
        <v/>
      </c>
      <c r="M16743" s="16" t="str">
        <f>IFERROR(__xludf.DUMMYFUNCTION("""COMPUTED_VALUE"""),"")</f>
        <v/>
      </c>
      <c r="U16743" s="16" t="s">
        <v>87</v>
      </c>
      <c r="V16743" s="16" t="str">
        <f>IFERROR(__xludf.DUMMYFUNCTION("""COMPUTED_VALUE"""),"")</f>
        <v/>
      </c>
      <c r="W16743" s="16" t="str">
        <f>IFERROR(__xludf.DUMMYFUNCTION("""COMPUTED_VALUE"""),"")</f>
        <v/>
      </c>
      <c r="X16743" s="16" t="str">
        <f>IFERROR(__xludf.DUMMYFUNCTION("""COMPUTED_VALUE"""),"")</f>
        <v/>
      </c>
      <c r="AC16743" s="16" t="str">
        <f>IFERROR(__xludf.DUMMYFUNCTION("""COMPUTED_VALUE"""),"")</f>
        <v/>
      </c>
    </row>
    <row r="16744">
      <c r="A16744" s="16" t="s">
        <v>87</v>
      </c>
      <c r="E16744" s="16" t="str">
        <f>IFERROR(__xludf.DUMMYFUNCTION("""COMPUTED_VALUE"""),"")</f>
        <v/>
      </c>
      <c r="G16744" s="18"/>
      <c r="H16744" s="16" t="s">
        <v>87</v>
      </c>
      <c r="I16744" s="16" t="s">
        <v>87</v>
      </c>
      <c r="J16744" s="19"/>
      <c r="L16744" s="16" t="str">
        <f>IFERROR(__xludf.DUMMYFUNCTION("""COMPUTED_VALUE"""),"")</f>
        <v/>
      </c>
      <c r="M16744" s="16" t="str">
        <f>IFERROR(__xludf.DUMMYFUNCTION("""COMPUTED_VALUE"""),"")</f>
        <v/>
      </c>
      <c r="U16744" s="16" t="s">
        <v>87</v>
      </c>
      <c r="V16744" s="16" t="str">
        <f>IFERROR(__xludf.DUMMYFUNCTION("""COMPUTED_VALUE"""),"")</f>
        <v/>
      </c>
      <c r="W16744" s="16" t="str">
        <f>IFERROR(__xludf.DUMMYFUNCTION("""COMPUTED_VALUE"""),"")</f>
        <v/>
      </c>
      <c r="X16744" s="16" t="str">
        <f>IFERROR(__xludf.DUMMYFUNCTION("""COMPUTED_VALUE"""),"")</f>
        <v/>
      </c>
      <c r="AC16744" s="16" t="str">
        <f>IFERROR(__xludf.DUMMYFUNCTION("""COMPUTED_VALUE"""),"")</f>
        <v/>
      </c>
    </row>
    <row r="16745">
      <c r="A16745" s="16" t="s">
        <v>87</v>
      </c>
      <c r="E16745" s="16" t="str">
        <f>IFERROR(__xludf.DUMMYFUNCTION("""COMPUTED_VALUE"""),"")</f>
        <v/>
      </c>
      <c r="G16745" s="18"/>
      <c r="H16745" s="16" t="s">
        <v>87</v>
      </c>
      <c r="I16745" s="16" t="s">
        <v>87</v>
      </c>
      <c r="J16745" s="19"/>
      <c r="L16745" s="16" t="str">
        <f>IFERROR(__xludf.DUMMYFUNCTION("""COMPUTED_VALUE"""),"")</f>
        <v/>
      </c>
      <c r="M16745" s="16" t="str">
        <f>IFERROR(__xludf.DUMMYFUNCTION("""COMPUTED_VALUE"""),"")</f>
        <v/>
      </c>
      <c r="U16745" s="16" t="s">
        <v>87</v>
      </c>
      <c r="V16745" s="16" t="str">
        <f>IFERROR(__xludf.DUMMYFUNCTION("""COMPUTED_VALUE"""),"")</f>
        <v/>
      </c>
      <c r="W16745" s="16" t="str">
        <f>IFERROR(__xludf.DUMMYFUNCTION("""COMPUTED_VALUE"""),"")</f>
        <v/>
      </c>
      <c r="X16745" s="16" t="str">
        <f>IFERROR(__xludf.DUMMYFUNCTION("""COMPUTED_VALUE"""),"")</f>
        <v/>
      </c>
      <c r="AC16745" s="16" t="str">
        <f>IFERROR(__xludf.DUMMYFUNCTION("""COMPUTED_VALUE"""),"")</f>
        <v/>
      </c>
    </row>
    <row r="16746">
      <c r="A16746" s="16" t="s">
        <v>87</v>
      </c>
      <c r="E16746" s="16" t="str">
        <f>IFERROR(__xludf.DUMMYFUNCTION("""COMPUTED_VALUE"""),"")</f>
        <v/>
      </c>
      <c r="G16746" s="18"/>
      <c r="H16746" s="16" t="s">
        <v>87</v>
      </c>
      <c r="I16746" s="16" t="s">
        <v>87</v>
      </c>
      <c r="J16746" s="19"/>
      <c r="L16746" s="16" t="str">
        <f>IFERROR(__xludf.DUMMYFUNCTION("""COMPUTED_VALUE"""),"")</f>
        <v/>
      </c>
      <c r="M16746" s="16" t="str">
        <f>IFERROR(__xludf.DUMMYFUNCTION("""COMPUTED_VALUE"""),"")</f>
        <v/>
      </c>
      <c r="U16746" s="16" t="s">
        <v>87</v>
      </c>
      <c r="V16746" s="16" t="str">
        <f>IFERROR(__xludf.DUMMYFUNCTION("""COMPUTED_VALUE"""),"")</f>
        <v/>
      </c>
      <c r="W16746" s="16" t="str">
        <f>IFERROR(__xludf.DUMMYFUNCTION("""COMPUTED_VALUE"""),"")</f>
        <v/>
      </c>
      <c r="X16746" s="16" t="str">
        <f>IFERROR(__xludf.DUMMYFUNCTION("""COMPUTED_VALUE"""),"")</f>
        <v/>
      </c>
      <c r="AC16746" s="16" t="str">
        <f>IFERROR(__xludf.DUMMYFUNCTION("""COMPUTED_VALUE"""),"")</f>
        <v/>
      </c>
    </row>
    <row r="16747">
      <c r="A16747" s="16" t="s">
        <v>87</v>
      </c>
      <c r="E16747" s="16" t="str">
        <f>IFERROR(__xludf.DUMMYFUNCTION("""COMPUTED_VALUE"""),"")</f>
        <v/>
      </c>
      <c r="G16747" s="18"/>
      <c r="H16747" s="16" t="s">
        <v>87</v>
      </c>
      <c r="I16747" s="16" t="s">
        <v>87</v>
      </c>
      <c r="J16747" s="19"/>
      <c r="L16747" s="16" t="str">
        <f>IFERROR(__xludf.DUMMYFUNCTION("""COMPUTED_VALUE"""),"")</f>
        <v/>
      </c>
      <c r="M16747" s="16" t="str">
        <f>IFERROR(__xludf.DUMMYFUNCTION("""COMPUTED_VALUE"""),"")</f>
        <v/>
      </c>
      <c r="U16747" s="16" t="s">
        <v>87</v>
      </c>
      <c r="V16747" s="16" t="str">
        <f>IFERROR(__xludf.DUMMYFUNCTION("""COMPUTED_VALUE"""),"")</f>
        <v/>
      </c>
      <c r="W16747" s="16" t="str">
        <f>IFERROR(__xludf.DUMMYFUNCTION("""COMPUTED_VALUE"""),"")</f>
        <v/>
      </c>
      <c r="X16747" s="16" t="str">
        <f>IFERROR(__xludf.DUMMYFUNCTION("""COMPUTED_VALUE"""),"")</f>
        <v/>
      </c>
      <c r="AC16747" s="16" t="str">
        <f>IFERROR(__xludf.DUMMYFUNCTION("""COMPUTED_VALUE"""),"")</f>
        <v/>
      </c>
    </row>
    <row r="16748">
      <c r="A16748" s="16" t="s">
        <v>87</v>
      </c>
      <c r="E16748" s="16" t="str">
        <f>IFERROR(__xludf.DUMMYFUNCTION("""COMPUTED_VALUE"""),"")</f>
        <v/>
      </c>
      <c r="G16748" s="18"/>
      <c r="H16748" s="16" t="s">
        <v>87</v>
      </c>
      <c r="I16748" s="16" t="s">
        <v>87</v>
      </c>
      <c r="J16748" s="19"/>
      <c r="L16748" s="16" t="str">
        <f>IFERROR(__xludf.DUMMYFUNCTION("""COMPUTED_VALUE"""),"")</f>
        <v/>
      </c>
      <c r="M16748" s="16" t="str">
        <f>IFERROR(__xludf.DUMMYFUNCTION("""COMPUTED_VALUE"""),"")</f>
        <v/>
      </c>
      <c r="U16748" s="16" t="s">
        <v>87</v>
      </c>
      <c r="V16748" s="16" t="str">
        <f>IFERROR(__xludf.DUMMYFUNCTION("""COMPUTED_VALUE"""),"")</f>
        <v/>
      </c>
      <c r="W16748" s="16" t="str">
        <f>IFERROR(__xludf.DUMMYFUNCTION("""COMPUTED_VALUE"""),"")</f>
        <v/>
      </c>
      <c r="X16748" s="16" t="str">
        <f>IFERROR(__xludf.DUMMYFUNCTION("""COMPUTED_VALUE"""),"")</f>
        <v/>
      </c>
      <c r="AC16748" s="16" t="str">
        <f>IFERROR(__xludf.DUMMYFUNCTION("""COMPUTED_VALUE"""),"")</f>
        <v/>
      </c>
    </row>
    <row r="16749">
      <c r="A16749" s="16" t="s">
        <v>87</v>
      </c>
      <c r="E16749" s="16" t="str">
        <f>IFERROR(__xludf.DUMMYFUNCTION("""COMPUTED_VALUE"""),"")</f>
        <v/>
      </c>
      <c r="G16749" s="18"/>
      <c r="H16749" s="16" t="s">
        <v>87</v>
      </c>
      <c r="I16749" s="16" t="s">
        <v>87</v>
      </c>
      <c r="J16749" s="19"/>
      <c r="L16749" s="16" t="str">
        <f>IFERROR(__xludf.DUMMYFUNCTION("""COMPUTED_VALUE"""),"")</f>
        <v/>
      </c>
      <c r="M16749" s="16" t="str">
        <f>IFERROR(__xludf.DUMMYFUNCTION("""COMPUTED_VALUE"""),"")</f>
        <v/>
      </c>
      <c r="U16749" s="16" t="s">
        <v>87</v>
      </c>
      <c r="V16749" s="16" t="str">
        <f>IFERROR(__xludf.DUMMYFUNCTION("""COMPUTED_VALUE"""),"")</f>
        <v/>
      </c>
      <c r="W16749" s="16" t="str">
        <f>IFERROR(__xludf.DUMMYFUNCTION("""COMPUTED_VALUE"""),"")</f>
        <v/>
      </c>
      <c r="X16749" s="16" t="str">
        <f>IFERROR(__xludf.DUMMYFUNCTION("""COMPUTED_VALUE"""),"")</f>
        <v/>
      </c>
      <c r="AC16749" s="16" t="str">
        <f>IFERROR(__xludf.DUMMYFUNCTION("""COMPUTED_VALUE"""),"")</f>
        <v/>
      </c>
    </row>
    <row r="16750">
      <c r="A16750" s="16" t="s">
        <v>87</v>
      </c>
      <c r="E16750" s="16" t="str">
        <f>IFERROR(__xludf.DUMMYFUNCTION("""COMPUTED_VALUE"""),"")</f>
        <v/>
      </c>
      <c r="G16750" s="18"/>
      <c r="H16750" s="16" t="s">
        <v>87</v>
      </c>
      <c r="I16750" s="16" t="s">
        <v>87</v>
      </c>
      <c r="J16750" s="19"/>
      <c r="L16750" s="16" t="str">
        <f>IFERROR(__xludf.DUMMYFUNCTION("""COMPUTED_VALUE"""),"")</f>
        <v/>
      </c>
      <c r="M16750" s="16" t="str">
        <f>IFERROR(__xludf.DUMMYFUNCTION("""COMPUTED_VALUE"""),"")</f>
        <v/>
      </c>
      <c r="U16750" s="16" t="s">
        <v>87</v>
      </c>
      <c r="V16750" s="16" t="str">
        <f>IFERROR(__xludf.DUMMYFUNCTION("""COMPUTED_VALUE"""),"")</f>
        <v/>
      </c>
      <c r="W16750" s="16" t="str">
        <f>IFERROR(__xludf.DUMMYFUNCTION("""COMPUTED_VALUE"""),"")</f>
        <v/>
      </c>
      <c r="X16750" s="16" t="str">
        <f>IFERROR(__xludf.DUMMYFUNCTION("""COMPUTED_VALUE"""),"")</f>
        <v/>
      </c>
      <c r="AC16750" s="16" t="str">
        <f>IFERROR(__xludf.DUMMYFUNCTION("""COMPUTED_VALUE"""),"")</f>
        <v/>
      </c>
    </row>
    <row r="16751">
      <c r="A16751" s="16" t="s">
        <v>87</v>
      </c>
      <c r="E16751" s="16" t="str">
        <f>IFERROR(__xludf.DUMMYFUNCTION("""COMPUTED_VALUE"""),"")</f>
        <v/>
      </c>
      <c r="G16751" s="18"/>
      <c r="H16751" s="16" t="s">
        <v>87</v>
      </c>
      <c r="I16751" s="16" t="s">
        <v>87</v>
      </c>
      <c r="J16751" s="19"/>
      <c r="L16751" s="16" t="str">
        <f>IFERROR(__xludf.DUMMYFUNCTION("""COMPUTED_VALUE"""),"")</f>
        <v/>
      </c>
      <c r="M16751" s="16" t="str">
        <f>IFERROR(__xludf.DUMMYFUNCTION("""COMPUTED_VALUE"""),"")</f>
        <v/>
      </c>
      <c r="U16751" s="16" t="s">
        <v>87</v>
      </c>
      <c r="V16751" s="16" t="str">
        <f>IFERROR(__xludf.DUMMYFUNCTION("""COMPUTED_VALUE"""),"")</f>
        <v/>
      </c>
      <c r="W16751" s="16" t="str">
        <f>IFERROR(__xludf.DUMMYFUNCTION("""COMPUTED_VALUE"""),"")</f>
        <v/>
      </c>
      <c r="X16751" s="16" t="str">
        <f>IFERROR(__xludf.DUMMYFUNCTION("""COMPUTED_VALUE"""),"")</f>
        <v/>
      </c>
      <c r="AC16751" s="16" t="str">
        <f>IFERROR(__xludf.DUMMYFUNCTION("""COMPUTED_VALUE"""),"")</f>
        <v/>
      </c>
    </row>
    <row r="16752">
      <c r="A16752" s="16" t="s">
        <v>87</v>
      </c>
      <c r="E16752" s="16" t="str">
        <f>IFERROR(__xludf.DUMMYFUNCTION("""COMPUTED_VALUE"""),"")</f>
        <v/>
      </c>
      <c r="G16752" s="18"/>
      <c r="H16752" s="16" t="s">
        <v>87</v>
      </c>
      <c r="I16752" s="16" t="s">
        <v>87</v>
      </c>
      <c r="J16752" s="19"/>
      <c r="L16752" s="16" t="str">
        <f>IFERROR(__xludf.DUMMYFUNCTION("""COMPUTED_VALUE"""),"")</f>
        <v/>
      </c>
      <c r="M16752" s="16" t="str">
        <f>IFERROR(__xludf.DUMMYFUNCTION("""COMPUTED_VALUE"""),"")</f>
        <v/>
      </c>
      <c r="U16752" s="16" t="s">
        <v>87</v>
      </c>
      <c r="V16752" s="16" t="str">
        <f>IFERROR(__xludf.DUMMYFUNCTION("""COMPUTED_VALUE"""),"")</f>
        <v/>
      </c>
      <c r="W16752" s="16" t="str">
        <f>IFERROR(__xludf.DUMMYFUNCTION("""COMPUTED_VALUE"""),"")</f>
        <v/>
      </c>
      <c r="X16752" s="16" t="str">
        <f>IFERROR(__xludf.DUMMYFUNCTION("""COMPUTED_VALUE"""),"")</f>
        <v/>
      </c>
      <c r="AC16752" s="16" t="str">
        <f>IFERROR(__xludf.DUMMYFUNCTION("""COMPUTED_VALUE"""),"")</f>
        <v/>
      </c>
    </row>
    <row r="16753">
      <c r="A16753" s="16" t="s">
        <v>87</v>
      </c>
      <c r="E16753" s="16" t="str">
        <f>IFERROR(__xludf.DUMMYFUNCTION("""COMPUTED_VALUE"""),"")</f>
        <v/>
      </c>
      <c r="G16753" s="18"/>
      <c r="H16753" s="16" t="s">
        <v>87</v>
      </c>
      <c r="I16753" s="16" t="s">
        <v>87</v>
      </c>
      <c r="J16753" s="19"/>
      <c r="L16753" s="16" t="str">
        <f>IFERROR(__xludf.DUMMYFUNCTION("""COMPUTED_VALUE"""),"")</f>
        <v/>
      </c>
      <c r="M16753" s="16" t="str">
        <f>IFERROR(__xludf.DUMMYFUNCTION("""COMPUTED_VALUE"""),"")</f>
        <v/>
      </c>
      <c r="U16753" s="16" t="s">
        <v>87</v>
      </c>
      <c r="V16753" s="16" t="str">
        <f>IFERROR(__xludf.DUMMYFUNCTION("""COMPUTED_VALUE"""),"")</f>
        <v/>
      </c>
      <c r="W16753" s="16" t="str">
        <f>IFERROR(__xludf.DUMMYFUNCTION("""COMPUTED_VALUE"""),"")</f>
        <v/>
      </c>
      <c r="X16753" s="16" t="str">
        <f>IFERROR(__xludf.DUMMYFUNCTION("""COMPUTED_VALUE"""),"")</f>
        <v/>
      </c>
      <c r="AC16753" s="16" t="str">
        <f>IFERROR(__xludf.DUMMYFUNCTION("""COMPUTED_VALUE"""),"")</f>
        <v/>
      </c>
    </row>
    <row r="16754">
      <c r="A16754" s="16" t="s">
        <v>87</v>
      </c>
      <c r="E16754" s="16" t="str">
        <f>IFERROR(__xludf.DUMMYFUNCTION("""COMPUTED_VALUE"""),"")</f>
        <v/>
      </c>
      <c r="G16754" s="18"/>
      <c r="H16754" s="16" t="s">
        <v>87</v>
      </c>
      <c r="I16754" s="16" t="s">
        <v>87</v>
      </c>
      <c r="J16754" s="19"/>
      <c r="L16754" s="16" t="str">
        <f>IFERROR(__xludf.DUMMYFUNCTION("""COMPUTED_VALUE"""),"")</f>
        <v/>
      </c>
      <c r="M16754" s="16" t="str">
        <f>IFERROR(__xludf.DUMMYFUNCTION("""COMPUTED_VALUE"""),"")</f>
        <v/>
      </c>
      <c r="U16754" s="16" t="s">
        <v>87</v>
      </c>
      <c r="V16754" s="16" t="str">
        <f>IFERROR(__xludf.DUMMYFUNCTION("""COMPUTED_VALUE"""),"")</f>
        <v/>
      </c>
      <c r="W16754" s="16" t="str">
        <f>IFERROR(__xludf.DUMMYFUNCTION("""COMPUTED_VALUE"""),"")</f>
        <v/>
      </c>
      <c r="X16754" s="16" t="str">
        <f>IFERROR(__xludf.DUMMYFUNCTION("""COMPUTED_VALUE"""),"")</f>
        <v/>
      </c>
      <c r="AC16754" s="16" t="str">
        <f>IFERROR(__xludf.DUMMYFUNCTION("""COMPUTED_VALUE"""),"")</f>
        <v/>
      </c>
    </row>
    <row r="16755">
      <c r="A16755" s="16" t="s">
        <v>87</v>
      </c>
      <c r="E16755" s="16" t="str">
        <f>IFERROR(__xludf.DUMMYFUNCTION("""COMPUTED_VALUE"""),"")</f>
        <v/>
      </c>
      <c r="G16755" s="18"/>
      <c r="H16755" s="16" t="s">
        <v>87</v>
      </c>
      <c r="I16755" s="16" t="s">
        <v>87</v>
      </c>
      <c r="J16755" s="19"/>
      <c r="L16755" s="16" t="str">
        <f>IFERROR(__xludf.DUMMYFUNCTION("""COMPUTED_VALUE"""),"")</f>
        <v/>
      </c>
      <c r="M16755" s="16" t="str">
        <f>IFERROR(__xludf.DUMMYFUNCTION("""COMPUTED_VALUE"""),"")</f>
        <v/>
      </c>
      <c r="U16755" s="16" t="s">
        <v>87</v>
      </c>
      <c r="V16755" s="16" t="str">
        <f>IFERROR(__xludf.DUMMYFUNCTION("""COMPUTED_VALUE"""),"")</f>
        <v/>
      </c>
      <c r="W16755" s="16" t="str">
        <f>IFERROR(__xludf.DUMMYFUNCTION("""COMPUTED_VALUE"""),"")</f>
        <v/>
      </c>
      <c r="X16755" s="16" t="str">
        <f>IFERROR(__xludf.DUMMYFUNCTION("""COMPUTED_VALUE"""),"")</f>
        <v/>
      </c>
      <c r="AC16755" s="16" t="str">
        <f>IFERROR(__xludf.DUMMYFUNCTION("""COMPUTED_VALUE"""),"")</f>
        <v/>
      </c>
    </row>
    <row r="16756">
      <c r="A16756" s="16" t="s">
        <v>87</v>
      </c>
      <c r="E16756" s="16" t="str">
        <f>IFERROR(__xludf.DUMMYFUNCTION("""COMPUTED_VALUE"""),"")</f>
        <v/>
      </c>
      <c r="G16756" s="18"/>
      <c r="H16756" s="16" t="s">
        <v>87</v>
      </c>
      <c r="I16756" s="16" t="s">
        <v>87</v>
      </c>
      <c r="J16756" s="19"/>
      <c r="L16756" s="16" t="str">
        <f>IFERROR(__xludf.DUMMYFUNCTION("""COMPUTED_VALUE"""),"")</f>
        <v/>
      </c>
      <c r="M16756" s="16" t="str">
        <f>IFERROR(__xludf.DUMMYFUNCTION("""COMPUTED_VALUE"""),"")</f>
        <v/>
      </c>
      <c r="U16756" s="16" t="s">
        <v>87</v>
      </c>
      <c r="V16756" s="16" t="str">
        <f>IFERROR(__xludf.DUMMYFUNCTION("""COMPUTED_VALUE"""),"")</f>
        <v/>
      </c>
      <c r="W16756" s="16" t="str">
        <f>IFERROR(__xludf.DUMMYFUNCTION("""COMPUTED_VALUE"""),"")</f>
        <v/>
      </c>
      <c r="X16756" s="16" t="str">
        <f>IFERROR(__xludf.DUMMYFUNCTION("""COMPUTED_VALUE"""),"")</f>
        <v/>
      </c>
      <c r="AC16756" s="16" t="str">
        <f>IFERROR(__xludf.DUMMYFUNCTION("""COMPUTED_VALUE"""),"")</f>
        <v/>
      </c>
    </row>
    <row r="16757">
      <c r="A16757" s="16" t="s">
        <v>87</v>
      </c>
      <c r="E16757" s="16" t="str">
        <f>IFERROR(__xludf.DUMMYFUNCTION("""COMPUTED_VALUE"""),"")</f>
        <v/>
      </c>
      <c r="G16757" s="18"/>
      <c r="H16757" s="16" t="s">
        <v>87</v>
      </c>
      <c r="I16757" s="16" t="s">
        <v>87</v>
      </c>
      <c r="J16757" s="19"/>
      <c r="L16757" s="16" t="str">
        <f>IFERROR(__xludf.DUMMYFUNCTION("""COMPUTED_VALUE"""),"")</f>
        <v/>
      </c>
      <c r="M16757" s="16" t="str">
        <f>IFERROR(__xludf.DUMMYFUNCTION("""COMPUTED_VALUE"""),"")</f>
        <v/>
      </c>
      <c r="U16757" s="16" t="s">
        <v>87</v>
      </c>
      <c r="V16757" s="16" t="str">
        <f>IFERROR(__xludf.DUMMYFUNCTION("""COMPUTED_VALUE"""),"")</f>
        <v/>
      </c>
      <c r="W16757" s="16" t="str">
        <f>IFERROR(__xludf.DUMMYFUNCTION("""COMPUTED_VALUE"""),"")</f>
        <v/>
      </c>
      <c r="X16757" s="16" t="str">
        <f>IFERROR(__xludf.DUMMYFUNCTION("""COMPUTED_VALUE"""),"")</f>
        <v/>
      </c>
      <c r="AC16757" s="16" t="str">
        <f>IFERROR(__xludf.DUMMYFUNCTION("""COMPUTED_VALUE"""),"")</f>
        <v/>
      </c>
    </row>
    <row r="16758">
      <c r="A16758" s="16" t="s">
        <v>87</v>
      </c>
      <c r="E16758" s="16" t="str">
        <f>IFERROR(__xludf.DUMMYFUNCTION("""COMPUTED_VALUE"""),"")</f>
        <v/>
      </c>
      <c r="G16758" s="18"/>
      <c r="H16758" s="16" t="s">
        <v>87</v>
      </c>
      <c r="I16758" s="16" t="s">
        <v>87</v>
      </c>
      <c r="J16758" s="19"/>
      <c r="L16758" s="16" t="str">
        <f>IFERROR(__xludf.DUMMYFUNCTION("""COMPUTED_VALUE"""),"")</f>
        <v/>
      </c>
      <c r="M16758" s="16" t="str">
        <f>IFERROR(__xludf.DUMMYFUNCTION("""COMPUTED_VALUE"""),"")</f>
        <v/>
      </c>
      <c r="U16758" s="16" t="s">
        <v>87</v>
      </c>
      <c r="V16758" s="16" t="str">
        <f>IFERROR(__xludf.DUMMYFUNCTION("""COMPUTED_VALUE"""),"")</f>
        <v/>
      </c>
      <c r="W16758" s="16" t="str">
        <f>IFERROR(__xludf.DUMMYFUNCTION("""COMPUTED_VALUE"""),"")</f>
        <v/>
      </c>
      <c r="X16758" s="16" t="str">
        <f>IFERROR(__xludf.DUMMYFUNCTION("""COMPUTED_VALUE"""),"")</f>
        <v/>
      </c>
      <c r="AC16758" s="16" t="str">
        <f>IFERROR(__xludf.DUMMYFUNCTION("""COMPUTED_VALUE"""),"")</f>
        <v/>
      </c>
    </row>
    <row r="16759">
      <c r="A16759" s="16" t="s">
        <v>87</v>
      </c>
      <c r="E16759" s="16" t="str">
        <f>IFERROR(__xludf.DUMMYFUNCTION("""COMPUTED_VALUE"""),"")</f>
        <v/>
      </c>
      <c r="G16759" s="18"/>
      <c r="H16759" s="16" t="s">
        <v>87</v>
      </c>
      <c r="I16759" s="16" t="s">
        <v>87</v>
      </c>
      <c r="J16759" s="19"/>
      <c r="L16759" s="16" t="str">
        <f>IFERROR(__xludf.DUMMYFUNCTION("""COMPUTED_VALUE"""),"")</f>
        <v/>
      </c>
      <c r="M16759" s="16" t="str">
        <f>IFERROR(__xludf.DUMMYFUNCTION("""COMPUTED_VALUE"""),"")</f>
        <v/>
      </c>
      <c r="U16759" s="16" t="s">
        <v>87</v>
      </c>
      <c r="V16759" s="16" t="str">
        <f>IFERROR(__xludf.DUMMYFUNCTION("""COMPUTED_VALUE"""),"")</f>
        <v/>
      </c>
      <c r="W16759" s="16" t="str">
        <f>IFERROR(__xludf.DUMMYFUNCTION("""COMPUTED_VALUE"""),"")</f>
        <v/>
      </c>
      <c r="X16759" s="16" t="str">
        <f>IFERROR(__xludf.DUMMYFUNCTION("""COMPUTED_VALUE"""),"")</f>
        <v/>
      </c>
      <c r="AC16759" s="16" t="str">
        <f>IFERROR(__xludf.DUMMYFUNCTION("""COMPUTED_VALUE"""),"")</f>
        <v/>
      </c>
    </row>
    <row r="16760">
      <c r="A16760" s="16" t="s">
        <v>87</v>
      </c>
      <c r="E16760" s="16" t="str">
        <f>IFERROR(__xludf.DUMMYFUNCTION("""COMPUTED_VALUE"""),"")</f>
        <v/>
      </c>
      <c r="G16760" s="18"/>
      <c r="H16760" s="16" t="s">
        <v>87</v>
      </c>
      <c r="I16760" s="16" t="s">
        <v>87</v>
      </c>
      <c r="J16760" s="19"/>
      <c r="L16760" s="16" t="str">
        <f>IFERROR(__xludf.DUMMYFUNCTION("""COMPUTED_VALUE"""),"")</f>
        <v/>
      </c>
      <c r="M16760" s="16" t="str">
        <f>IFERROR(__xludf.DUMMYFUNCTION("""COMPUTED_VALUE"""),"")</f>
        <v/>
      </c>
      <c r="U16760" s="16" t="s">
        <v>87</v>
      </c>
      <c r="V16760" s="16" t="str">
        <f>IFERROR(__xludf.DUMMYFUNCTION("""COMPUTED_VALUE"""),"")</f>
        <v/>
      </c>
      <c r="W16760" s="16" t="str">
        <f>IFERROR(__xludf.DUMMYFUNCTION("""COMPUTED_VALUE"""),"")</f>
        <v/>
      </c>
      <c r="X16760" s="16" t="str">
        <f>IFERROR(__xludf.DUMMYFUNCTION("""COMPUTED_VALUE"""),"")</f>
        <v/>
      </c>
      <c r="AC16760" s="16" t="str">
        <f>IFERROR(__xludf.DUMMYFUNCTION("""COMPUTED_VALUE"""),"")</f>
        <v/>
      </c>
    </row>
    <row r="16761">
      <c r="A16761" s="16" t="s">
        <v>87</v>
      </c>
      <c r="E16761" s="16" t="str">
        <f>IFERROR(__xludf.DUMMYFUNCTION("""COMPUTED_VALUE"""),"")</f>
        <v/>
      </c>
      <c r="G16761" s="18"/>
      <c r="H16761" s="16" t="s">
        <v>87</v>
      </c>
      <c r="I16761" s="16" t="s">
        <v>87</v>
      </c>
      <c r="J16761" s="19"/>
      <c r="L16761" s="16" t="str">
        <f>IFERROR(__xludf.DUMMYFUNCTION("""COMPUTED_VALUE"""),"")</f>
        <v/>
      </c>
      <c r="M16761" s="16" t="str">
        <f>IFERROR(__xludf.DUMMYFUNCTION("""COMPUTED_VALUE"""),"")</f>
        <v/>
      </c>
      <c r="U16761" s="16" t="s">
        <v>87</v>
      </c>
      <c r="V16761" s="16" t="str">
        <f>IFERROR(__xludf.DUMMYFUNCTION("""COMPUTED_VALUE"""),"")</f>
        <v/>
      </c>
      <c r="W16761" s="16" t="str">
        <f>IFERROR(__xludf.DUMMYFUNCTION("""COMPUTED_VALUE"""),"")</f>
        <v/>
      </c>
      <c r="X16761" s="16" t="str">
        <f>IFERROR(__xludf.DUMMYFUNCTION("""COMPUTED_VALUE"""),"")</f>
        <v/>
      </c>
      <c r="AC16761" s="16" t="str">
        <f>IFERROR(__xludf.DUMMYFUNCTION("""COMPUTED_VALUE"""),"")</f>
        <v/>
      </c>
    </row>
    <row r="16762">
      <c r="A16762" s="16" t="s">
        <v>87</v>
      </c>
      <c r="E16762" s="16" t="str">
        <f>IFERROR(__xludf.DUMMYFUNCTION("""COMPUTED_VALUE"""),"")</f>
        <v/>
      </c>
      <c r="G16762" s="18"/>
      <c r="H16762" s="16" t="s">
        <v>87</v>
      </c>
      <c r="I16762" s="16" t="s">
        <v>87</v>
      </c>
      <c r="J16762" s="19"/>
      <c r="L16762" s="16" t="str">
        <f>IFERROR(__xludf.DUMMYFUNCTION("""COMPUTED_VALUE"""),"")</f>
        <v/>
      </c>
      <c r="M16762" s="16" t="str">
        <f>IFERROR(__xludf.DUMMYFUNCTION("""COMPUTED_VALUE"""),"")</f>
        <v/>
      </c>
      <c r="U16762" s="16" t="s">
        <v>87</v>
      </c>
      <c r="V16762" s="16" t="str">
        <f>IFERROR(__xludf.DUMMYFUNCTION("""COMPUTED_VALUE"""),"")</f>
        <v/>
      </c>
      <c r="W16762" s="16" t="str">
        <f>IFERROR(__xludf.DUMMYFUNCTION("""COMPUTED_VALUE"""),"")</f>
        <v/>
      </c>
      <c r="X16762" s="16" t="str">
        <f>IFERROR(__xludf.DUMMYFUNCTION("""COMPUTED_VALUE"""),"")</f>
        <v/>
      </c>
      <c r="AC16762" s="16" t="str">
        <f>IFERROR(__xludf.DUMMYFUNCTION("""COMPUTED_VALUE"""),"")</f>
        <v/>
      </c>
    </row>
    <row r="16763">
      <c r="A16763" s="16" t="s">
        <v>87</v>
      </c>
      <c r="E16763" s="16" t="str">
        <f>IFERROR(__xludf.DUMMYFUNCTION("""COMPUTED_VALUE"""),"")</f>
        <v/>
      </c>
      <c r="G16763" s="18"/>
      <c r="H16763" s="16" t="s">
        <v>87</v>
      </c>
      <c r="I16763" s="16" t="s">
        <v>87</v>
      </c>
      <c r="J16763" s="19"/>
      <c r="L16763" s="16" t="str">
        <f>IFERROR(__xludf.DUMMYFUNCTION("""COMPUTED_VALUE"""),"")</f>
        <v/>
      </c>
      <c r="M16763" s="16" t="str">
        <f>IFERROR(__xludf.DUMMYFUNCTION("""COMPUTED_VALUE"""),"")</f>
        <v/>
      </c>
      <c r="U16763" s="16" t="s">
        <v>87</v>
      </c>
      <c r="V16763" s="16" t="str">
        <f>IFERROR(__xludf.DUMMYFUNCTION("""COMPUTED_VALUE"""),"")</f>
        <v/>
      </c>
      <c r="W16763" s="16" t="str">
        <f>IFERROR(__xludf.DUMMYFUNCTION("""COMPUTED_VALUE"""),"")</f>
        <v/>
      </c>
      <c r="X16763" s="16" t="str">
        <f>IFERROR(__xludf.DUMMYFUNCTION("""COMPUTED_VALUE"""),"")</f>
        <v/>
      </c>
      <c r="AC16763" s="16" t="str">
        <f>IFERROR(__xludf.DUMMYFUNCTION("""COMPUTED_VALUE"""),"")</f>
        <v/>
      </c>
    </row>
    <row r="16764">
      <c r="A16764" s="16" t="s">
        <v>87</v>
      </c>
      <c r="E16764" s="16" t="str">
        <f>IFERROR(__xludf.DUMMYFUNCTION("""COMPUTED_VALUE"""),"")</f>
        <v/>
      </c>
      <c r="G16764" s="18"/>
      <c r="H16764" s="16" t="s">
        <v>87</v>
      </c>
      <c r="I16764" s="16" t="s">
        <v>87</v>
      </c>
      <c r="J16764" s="19"/>
      <c r="L16764" s="16" t="str">
        <f>IFERROR(__xludf.DUMMYFUNCTION("""COMPUTED_VALUE"""),"")</f>
        <v/>
      </c>
      <c r="M16764" s="16" t="str">
        <f>IFERROR(__xludf.DUMMYFUNCTION("""COMPUTED_VALUE"""),"")</f>
        <v/>
      </c>
      <c r="U16764" s="16" t="s">
        <v>87</v>
      </c>
      <c r="V16764" s="16" t="str">
        <f>IFERROR(__xludf.DUMMYFUNCTION("""COMPUTED_VALUE"""),"")</f>
        <v/>
      </c>
      <c r="W16764" s="16" t="str">
        <f>IFERROR(__xludf.DUMMYFUNCTION("""COMPUTED_VALUE"""),"")</f>
        <v/>
      </c>
      <c r="X16764" s="16" t="str">
        <f>IFERROR(__xludf.DUMMYFUNCTION("""COMPUTED_VALUE"""),"")</f>
        <v/>
      </c>
      <c r="AC16764" s="16" t="str">
        <f>IFERROR(__xludf.DUMMYFUNCTION("""COMPUTED_VALUE"""),"")</f>
        <v/>
      </c>
    </row>
    <row r="16765">
      <c r="A16765" s="16" t="s">
        <v>87</v>
      </c>
      <c r="E16765" s="16" t="str">
        <f>IFERROR(__xludf.DUMMYFUNCTION("""COMPUTED_VALUE"""),"")</f>
        <v/>
      </c>
      <c r="G16765" s="18"/>
      <c r="H16765" s="16" t="s">
        <v>87</v>
      </c>
      <c r="I16765" s="16" t="s">
        <v>87</v>
      </c>
      <c r="J16765" s="19"/>
      <c r="L16765" s="16" t="str">
        <f>IFERROR(__xludf.DUMMYFUNCTION("""COMPUTED_VALUE"""),"")</f>
        <v/>
      </c>
      <c r="M16765" s="16" t="str">
        <f>IFERROR(__xludf.DUMMYFUNCTION("""COMPUTED_VALUE"""),"")</f>
        <v/>
      </c>
      <c r="U16765" s="16" t="s">
        <v>87</v>
      </c>
      <c r="V16765" s="16" t="str">
        <f>IFERROR(__xludf.DUMMYFUNCTION("""COMPUTED_VALUE"""),"")</f>
        <v/>
      </c>
      <c r="W16765" s="16" t="str">
        <f>IFERROR(__xludf.DUMMYFUNCTION("""COMPUTED_VALUE"""),"")</f>
        <v/>
      </c>
      <c r="X16765" s="16" t="str">
        <f>IFERROR(__xludf.DUMMYFUNCTION("""COMPUTED_VALUE"""),"")</f>
        <v/>
      </c>
      <c r="AC16765" s="16" t="str">
        <f>IFERROR(__xludf.DUMMYFUNCTION("""COMPUTED_VALUE"""),"")</f>
        <v/>
      </c>
    </row>
    <row r="16766">
      <c r="A16766" s="16" t="s">
        <v>87</v>
      </c>
      <c r="E16766" s="16" t="str">
        <f>IFERROR(__xludf.DUMMYFUNCTION("""COMPUTED_VALUE"""),"")</f>
        <v/>
      </c>
      <c r="G16766" s="18"/>
      <c r="H16766" s="16" t="s">
        <v>87</v>
      </c>
      <c r="I16766" s="16" t="s">
        <v>87</v>
      </c>
      <c r="J16766" s="19"/>
      <c r="L16766" s="16" t="str">
        <f>IFERROR(__xludf.DUMMYFUNCTION("""COMPUTED_VALUE"""),"")</f>
        <v/>
      </c>
      <c r="M16766" s="16" t="str">
        <f>IFERROR(__xludf.DUMMYFUNCTION("""COMPUTED_VALUE"""),"")</f>
        <v/>
      </c>
      <c r="U16766" s="16" t="s">
        <v>87</v>
      </c>
      <c r="V16766" s="16" t="str">
        <f>IFERROR(__xludf.DUMMYFUNCTION("""COMPUTED_VALUE"""),"")</f>
        <v/>
      </c>
      <c r="W16766" s="16" t="str">
        <f>IFERROR(__xludf.DUMMYFUNCTION("""COMPUTED_VALUE"""),"")</f>
        <v/>
      </c>
      <c r="X16766" s="16" t="str">
        <f>IFERROR(__xludf.DUMMYFUNCTION("""COMPUTED_VALUE"""),"")</f>
        <v/>
      </c>
      <c r="AC16766" s="16" t="str">
        <f>IFERROR(__xludf.DUMMYFUNCTION("""COMPUTED_VALUE"""),"")</f>
        <v/>
      </c>
    </row>
    <row r="16767">
      <c r="A16767" s="16" t="s">
        <v>87</v>
      </c>
      <c r="E16767" s="16" t="str">
        <f>IFERROR(__xludf.DUMMYFUNCTION("""COMPUTED_VALUE"""),"")</f>
        <v/>
      </c>
      <c r="G16767" s="18"/>
      <c r="H16767" s="16" t="s">
        <v>87</v>
      </c>
      <c r="I16767" s="16" t="s">
        <v>87</v>
      </c>
      <c r="J16767" s="19"/>
      <c r="L16767" s="16" t="str">
        <f>IFERROR(__xludf.DUMMYFUNCTION("""COMPUTED_VALUE"""),"")</f>
        <v/>
      </c>
      <c r="M16767" s="16" t="str">
        <f>IFERROR(__xludf.DUMMYFUNCTION("""COMPUTED_VALUE"""),"")</f>
        <v/>
      </c>
      <c r="U16767" s="16" t="s">
        <v>87</v>
      </c>
      <c r="V16767" s="16" t="str">
        <f>IFERROR(__xludf.DUMMYFUNCTION("""COMPUTED_VALUE"""),"")</f>
        <v/>
      </c>
      <c r="W16767" s="16" t="str">
        <f>IFERROR(__xludf.DUMMYFUNCTION("""COMPUTED_VALUE"""),"")</f>
        <v/>
      </c>
      <c r="X16767" s="16" t="str">
        <f>IFERROR(__xludf.DUMMYFUNCTION("""COMPUTED_VALUE"""),"")</f>
        <v/>
      </c>
      <c r="AC16767" s="16" t="str">
        <f>IFERROR(__xludf.DUMMYFUNCTION("""COMPUTED_VALUE"""),"")</f>
        <v/>
      </c>
    </row>
    <row r="16768">
      <c r="A16768" s="16" t="s">
        <v>87</v>
      </c>
      <c r="E16768" s="16" t="str">
        <f>IFERROR(__xludf.DUMMYFUNCTION("""COMPUTED_VALUE"""),"")</f>
        <v/>
      </c>
      <c r="G16768" s="18"/>
      <c r="H16768" s="16" t="s">
        <v>87</v>
      </c>
      <c r="I16768" s="16" t="s">
        <v>87</v>
      </c>
      <c r="J16768" s="19"/>
      <c r="L16768" s="16" t="str">
        <f>IFERROR(__xludf.DUMMYFUNCTION("""COMPUTED_VALUE"""),"")</f>
        <v/>
      </c>
      <c r="M16768" s="16" t="str">
        <f>IFERROR(__xludf.DUMMYFUNCTION("""COMPUTED_VALUE"""),"")</f>
        <v/>
      </c>
      <c r="U16768" s="16" t="s">
        <v>87</v>
      </c>
      <c r="V16768" s="16" t="str">
        <f>IFERROR(__xludf.DUMMYFUNCTION("""COMPUTED_VALUE"""),"")</f>
        <v/>
      </c>
      <c r="W16768" s="16" t="str">
        <f>IFERROR(__xludf.DUMMYFUNCTION("""COMPUTED_VALUE"""),"")</f>
        <v/>
      </c>
      <c r="X16768" s="16" t="str">
        <f>IFERROR(__xludf.DUMMYFUNCTION("""COMPUTED_VALUE"""),"")</f>
        <v/>
      </c>
      <c r="AC16768" s="16" t="str">
        <f>IFERROR(__xludf.DUMMYFUNCTION("""COMPUTED_VALUE"""),"")</f>
        <v/>
      </c>
    </row>
    <row r="16769">
      <c r="A16769" s="16" t="s">
        <v>87</v>
      </c>
      <c r="E16769" s="16" t="str">
        <f>IFERROR(__xludf.DUMMYFUNCTION("""COMPUTED_VALUE"""),"")</f>
        <v/>
      </c>
      <c r="G16769" s="18"/>
      <c r="H16769" s="16" t="s">
        <v>87</v>
      </c>
      <c r="I16769" s="16" t="s">
        <v>87</v>
      </c>
      <c r="J16769" s="19"/>
      <c r="L16769" s="16" t="str">
        <f>IFERROR(__xludf.DUMMYFUNCTION("""COMPUTED_VALUE"""),"")</f>
        <v/>
      </c>
      <c r="M16769" s="16" t="str">
        <f>IFERROR(__xludf.DUMMYFUNCTION("""COMPUTED_VALUE"""),"")</f>
        <v/>
      </c>
      <c r="U16769" s="16" t="s">
        <v>87</v>
      </c>
      <c r="V16769" s="16" t="str">
        <f>IFERROR(__xludf.DUMMYFUNCTION("""COMPUTED_VALUE"""),"")</f>
        <v/>
      </c>
      <c r="W16769" s="16" t="str">
        <f>IFERROR(__xludf.DUMMYFUNCTION("""COMPUTED_VALUE"""),"")</f>
        <v/>
      </c>
      <c r="X16769" s="16" t="str">
        <f>IFERROR(__xludf.DUMMYFUNCTION("""COMPUTED_VALUE"""),"")</f>
        <v/>
      </c>
      <c r="AC16769" s="16" t="str">
        <f>IFERROR(__xludf.DUMMYFUNCTION("""COMPUTED_VALUE"""),"")</f>
        <v/>
      </c>
    </row>
    <row r="16770">
      <c r="A16770" s="16" t="s">
        <v>87</v>
      </c>
      <c r="E16770" s="16" t="str">
        <f>IFERROR(__xludf.DUMMYFUNCTION("""COMPUTED_VALUE"""),"")</f>
        <v/>
      </c>
      <c r="G16770" s="18"/>
      <c r="H16770" s="16" t="s">
        <v>87</v>
      </c>
      <c r="I16770" s="16" t="s">
        <v>87</v>
      </c>
      <c r="J16770" s="19"/>
      <c r="L16770" s="16" t="str">
        <f>IFERROR(__xludf.DUMMYFUNCTION("""COMPUTED_VALUE"""),"")</f>
        <v/>
      </c>
      <c r="M16770" s="16" t="str">
        <f>IFERROR(__xludf.DUMMYFUNCTION("""COMPUTED_VALUE"""),"")</f>
        <v/>
      </c>
      <c r="U16770" s="16" t="s">
        <v>87</v>
      </c>
      <c r="V16770" s="16" t="str">
        <f>IFERROR(__xludf.DUMMYFUNCTION("""COMPUTED_VALUE"""),"")</f>
        <v/>
      </c>
      <c r="W16770" s="16" t="str">
        <f>IFERROR(__xludf.DUMMYFUNCTION("""COMPUTED_VALUE"""),"")</f>
        <v/>
      </c>
      <c r="X16770" s="16" t="str">
        <f>IFERROR(__xludf.DUMMYFUNCTION("""COMPUTED_VALUE"""),"")</f>
        <v/>
      </c>
      <c r="AC16770" s="16" t="str">
        <f>IFERROR(__xludf.DUMMYFUNCTION("""COMPUTED_VALUE"""),"")</f>
        <v/>
      </c>
    </row>
    <row r="16771">
      <c r="A16771" s="16" t="s">
        <v>87</v>
      </c>
      <c r="E16771" s="16" t="str">
        <f>IFERROR(__xludf.DUMMYFUNCTION("""COMPUTED_VALUE"""),"")</f>
        <v/>
      </c>
      <c r="G16771" s="18"/>
      <c r="H16771" s="16" t="s">
        <v>87</v>
      </c>
      <c r="I16771" s="16" t="s">
        <v>87</v>
      </c>
      <c r="J16771" s="19"/>
      <c r="L16771" s="16" t="str">
        <f>IFERROR(__xludf.DUMMYFUNCTION("""COMPUTED_VALUE"""),"")</f>
        <v/>
      </c>
      <c r="M16771" s="16" t="str">
        <f>IFERROR(__xludf.DUMMYFUNCTION("""COMPUTED_VALUE"""),"")</f>
        <v/>
      </c>
      <c r="U16771" s="16" t="s">
        <v>87</v>
      </c>
      <c r="V16771" s="16" t="str">
        <f>IFERROR(__xludf.DUMMYFUNCTION("""COMPUTED_VALUE"""),"")</f>
        <v/>
      </c>
      <c r="W16771" s="16" t="str">
        <f>IFERROR(__xludf.DUMMYFUNCTION("""COMPUTED_VALUE"""),"")</f>
        <v/>
      </c>
      <c r="X16771" s="16" t="str">
        <f>IFERROR(__xludf.DUMMYFUNCTION("""COMPUTED_VALUE"""),"")</f>
        <v/>
      </c>
      <c r="AC16771" s="16" t="str">
        <f>IFERROR(__xludf.DUMMYFUNCTION("""COMPUTED_VALUE"""),"")</f>
        <v/>
      </c>
    </row>
  </sheetData>
  <autoFilter ref="$A$1:$BX$246"/>
  <customSheetViews>
    <customSheetView guid="{BDD8BA1E-9FCA-41B9-85B6-8E9E4E4BDA69}" filter="1" showAutoFilter="1">
      <autoFilter ref="$A$1:$BX$16771">
        <filterColumn colId="6">
          <filters>
            <filter val="25/Jan/2025"/>
            <filter val="22/Jan/2025"/>
            <filter val="12/Jan/2025"/>
            <filter val="02/Jan/2025"/>
            <filter val="19/Jan/2025"/>
            <filter val="13/Jan/2025"/>
            <filter val="26/Jan/2025"/>
            <filter val="03/Jan/2025"/>
            <filter val="31/Jan/2025"/>
            <filter val="01/Jan/2025"/>
            <filter val="11/Jan/2025"/>
            <filter val="23/Jan/2025"/>
            <filter val="17/Jan/2025"/>
            <filter val="04/Jan/2025"/>
            <filter val="08/Jan/2025"/>
            <filter val="10/Jan/2025"/>
            <filter val="05/Jan/2025"/>
          </filters>
        </filterColumn>
      </autoFilter>
    </customSheetView>
  </customSheetView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30.25"/>
    <col customWidth="1" min="3" max="3" width="9.63"/>
    <col customWidth="1" min="4" max="4" width="11.75"/>
    <col customWidth="1" min="5" max="5" width="13.5"/>
    <col customWidth="1" min="6" max="6" width="15.88"/>
  </cols>
  <sheetData>
    <row r="1">
      <c r="G1" s="16" t="str">
        <f>IFERROR(__xludf.DUMMYFUNCTION("ArrayFormula(IFERROR(IF(F2:F16152="""","""",ROUND(QUERY(C1:F16152,""SELECT F+E-D""),)),""DIFF""))"),"DIFF")</f>
        <v>DIFF</v>
      </c>
    </row>
    <row r="2">
      <c r="G2" s="16">
        <f>IFERROR(__xludf.DUMMYFUNCTION("""COMPUTED_VALUE"""),0.0)</f>
        <v>0</v>
      </c>
    </row>
    <row r="3">
      <c r="G3" s="16">
        <f>IFERROR(__xludf.DUMMYFUNCTION("""COMPUTED_VALUE"""),0.0)</f>
        <v>0</v>
      </c>
    </row>
    <row r="4">
      <c r="G4" s="16">
        <f>IFERROR(__xludf.DUMMYFUNCTION("""COMPUTED_VALUE"""),0.0)</f>
        <v>0</v>
      </c>
    </row>
    <row r="5">
      <c r="G5" s="16">
        <f>IFERROR(__xludf.DUMMYFUNCTION("""COMPUTED_VALUE"""),0.0)</f>
        <v>0</v>
      </c>
    </row>
    <row r="6">
      <c r="G6" s="16">
        <f>IFERROR(__xludf.DUMMYFUNCTION("""COMPUTED_VALUE"""),0.0)</f>
        <v>0</v>
      </c>
    </row>
    <row r="7">
      <c r="G7" s="16">
        <f>IFERROR(__xludf.DUMMYFUNCTION("""COMPUTED_VALUE"""),0.0)</f>
        <v>0</v>
      </c>
    </row>
    <row r="8">
      <c r="G8" s="16">
        <f>IFERROR(__xludf.DUMMYFUNCTION("""COMPUTED_VALUE"""),0.0)</f>
        <v>0</v>
      </c>
    </row>
    <row r="9">
      <c r="G9" s="16">
        <f>IFERROR(__xludf.DUMMYFUNCTION("""COMPUTED_VALUE"""),0.0)</f>
        <v>0</v>
      </c>
    </row>
    <row r="10">
      <c r="G10" s="16" t="str">
        <f>IFERROR(__xludf.DUMMYFUNCTION("""COMPUTED_VALUE"""),"")</f>
        <v/>
      </c>
    </row>
    <row r="11">
      <c r="G11" s="16" t="str">
        <f>IFERROR(__xludf.DUMMYFUNCTION("""COMPUTED_VALUE"""),"")</f>
        <v/>
      </c>
    </row>
    <row r="12">
      <c r="G12" s="16" t="str">
        <f>IFERROR(__xludf.DUMMYFUNCTION("""COMPUTED_VALUE"""),"")</f>
        <v/>
      </c>
    </row>
    <row r="13">
      <c r="G13" s="16" t="str">
        <f>IFERROR(__xludf.DUMMYFUNCTION("""COMPUTED_VALUE"""),"")</f>
        <v/>
      </c>
    </row>
    <row r="14">
      <c r="G14" s="16" t="str">
        <f>IFERROR(__xludf.DUMMYFUNCTION("""COMPUTED_VALUE"""),"")</f>
        <v/>
      </c>
    </row>
    <row r="15">
      <c r="G15" s="16" t="str">
        <f>IFERROR(__xludf.DUMMYFUNCTION("""COMPUTED_VALUE"""),"")</f>
        <v/>
      </c>
    </row>
    <row r="16">
      <c r="G16" s="16" t="str">
        <f>IFERROR(__xludf.DUMMYFUNCTION("""COMPUTED_VALUE"""),"")</f>
        <v/>
      </c>
    </row>
    <row r="17">
      <c r="G17" s="16" t="str">
        <f>IFERROR(__xludf.DUMMYFUNCTION("""COMPUTED_VALUE"""),"")</f>
        <v/>
      </c>
    </row>
    <row r="18">
      <c r="G18" s="16" t="str">
        <f>IFERROR(__xludf.DUMMYFUNCTION("""COMPUTED_VALUE"""),"")</f>
        <v/>
      </c>
    </row>
    <row r="19">
      <c r="G19" s="16" t="str">
        <f>IFERROR(__xludf.DUMMYFUNCTION("""COMPUTED_VALUE"""),"")</f>
        <v/>
      </c>
    </row>
    <row r="20">
      <c r="G20" s="16" t="str">
        <f>IFERROR(__xludf.DUMMYFUNCTION("""COMPUTED_VALUE"""),"")</f>
        <v/>
      </c>
    </row>
    <row r="21">
      <c r="G21" s="16" t="str">
        <f>IFERROR(__xludf.DUMMYFUNCTION("""COMPUTED_VALUE"""),"")</f>
        <v/>
      </c>
    </row>
    <row r="22">
      <c r="G22" s="16" t="str">
        <f>IFERROR(__xludf.DUMMYFUNCTION("""COMPUTED_VALUE"""),"")</f>
        <v/>
      </c>
    </row>
    <row r="23">
      <c r="G23" s="16" t="str">
        <f>IFERROR(__xludf.DUMMYFUNCTION("""COMPUTED_VALUE"""),"")</f>
        <v/>
      </c>
    </row>
    <row r="24">
      <c r="G24" s="16" t="str">
        <f>IFERROR(__xludf.DUMMYFUNCTION("""COMPUTED_VALUE"""),"")</f>
        <v/>
      </c>
    </row>
    <row r="25">
      <c r="G25" s="16" t="str">
        <f>IFERROR(__xludf.DUMMYFUNCTION("""COMPUTED_VALUE"""),"")</f>
        <v/>
      </c>
    </row>
    <row r="26">
      <c r="G26" s="16" t="str">
        <f>IFERROR(__xludf.DUMMYFUNCTION("""COMPUTED_VALUE"""),"")</f>
        <v/>
      </c>
    </row>
    <row r="27">
      <c r="G27" s="16" t="str">
        <f>IFERROR(__xludf.DUMMYFUNCTION("""COMPUTED_VALUE"""),"")</f>
        <v/>
      </c>
    </row>
    <row r="28">
      <c r="G28" s="16" t="str">
        <f>IFERROR(__xludf.DUMMYFUNCTION("""COMPUTED_VALUE"""),"")</f>
        <v/>
      </c>
    </row>
    <row r="29">
      <c r="G29" s="16" t="str">
        <f>IFERROR(__xludf.DUMMYFUNCTION("""COMPUTED_VALUE"""),"")</f>
        <v/>
      </c>
    </row>
    <row r="30">
      <c r="G30" s="16" t="str">
        <f>IFERROR(__xludf.DUMMYFUNCTION("""COMPUTED_VALUE"""),"")</f>
        <v/>
      </c>
    </row>
    <row r="31">
      <c r="G31" s="16" t="str">
        <f>IFERROR(__xludf.DUMMYFUNCTION("""COMPUTED_VALUE"""),"")</f>
        <v/>
      </c>
    </row>
    <row r="32">
      <c r="G32" s="16" t="str">
        <f>IFERROR(__xludf.DUMMYFUNCTION("""COMPUTED_VALUE"""),"")</f>
        <v/>
      </c>
    </row>
    <row r="33">
      <c r="G33" s="16" t="str">
        <f>IFERROR(__xludf.DUMMYFUNCTION("""COMPUTED_VALUE"""),"")</f>
        <v/>
      </c>
    </row>
    <row r="34">
      <c r="G34" s="16" t="str">
        <f>IFERROR(__xludf.DUMMYFUNCTION("""COMPUTED_VALUE"""),"")</f>
        <v/>
      </c>
    </row>
    <row r="35">
      <c r="G35" s="16" t="str">
        <f>IFERROR(__xludf.DUMMYFUNCTION("""COMPUTED_VALUE"""),"")</f>
        <v/>
      </c>
    </row>
    <row r="36">
      <c r="G36" s="16" t="str">
        <f>IFERROR(__xludf.DUMMYFUNCTION("""COMPUTED_VALUE"""),"")</f>
        <v/>
      </c>
    </row>
    <row r="37">
      <c r="G37" s="16" t="str">
        <f>IFERROR(__xludf.DUMMYFUNCTION("""COMPUTED_VALUE"""),"")</f>
        <v/>
      </c>
    </row>
    <row r="38">
      <c r="G38" s="16" t="str">
        <f>IFERROR(__xludf.DUMMYFUNCTION("""COMPUTED_VALUE"""),"")</f>
        <v/>
      </c>
    </row>
    <row r="39">
      <c r="G39" s="16" t="str">
        <f>IFERROR(__xludf.DUMMYFUNCTION("""COMPUTED_VALUE"""),"")</f>
        <v/>
      </c>
    </row>
    <row r="40">
      <c r="G40" s="16" t="str">
        <f>IFERROR(__xludf.DUMMYFUNCTION("""COMPUTED_VALUE"""),"")</f>
        <v/>
      </c>
    </row>
    <row r="41">
      <c r="G41" s="16" t="str">
        <f>IFERROR(__xludf.DUMMYFUNCTION("""COMPUTED_VALUE"""),"")</f>
        <v/>
      </c>
    </row>
    <row r="42">
      <c r="G42" s="16" t="str">
        <f>IFERROR(__xludf.DUMMYFUNCTION("""COMPUTED_VALUE"""),"")</f>
        <v/>
      </c>
    </row>
    <row r="43">
      <c r="G43" s="16" t="str">
        <f>IFERROR(__xludf.DUMMYFUNCTION("""COMPUTED_VALUE"""),"")</f>
        <v/>
      </c>
    </row>
    <row r="44">
      <c r="G44" s="16" t="str">
        <f>IFERROR(__xludf.DUMMYFUNCTION("""COMPUTED_VALUE"""),"")</f>
        <v/>
      </c>
    </row>
    <row r="45">
      <c r="G45" s="16" t="str">
        <f>IFERROR(__xludf.DUMMYFUNCTION("""COMPUTED_VALUE"""),"")</f>
        <v/>
      </c>
    </row>
    <row r="46">
      <c r="G46" s="16" t="str">
        <f>IFERROR(__xludf.DUMMYFUNCTION("""COMPUTED_VALUE"""),"")</f>
        <v/>
      </c>
    </row>
    <row r="47">
      <c r="G47" s="16" t="str">
        <f>IFERROR(__xludf.DUMMYFUNCTION("""COMPUTED_VALUE"""),"")</f>
        <v/>
      </c>
    </row>
    <row r="48">
      <c r="G48" s="16" t="str">
        <f>IFERROR(__xludf.DUMMYFUNCTION("""COMPUTED_VALUE"""),"")</f>
        <v/>
      </c>
    </row>
    <row r="49">
      <c r="G49" s="16" t="str">
        <f>IFERROR(__xludf.DUMMYFUNCTION("""COMPUTED_VALUE"""),"")</f>
        <v/>
      </c>
    </row>
    <row r="50">
      <c r="G50" s="16" t="str">
        <f>IFERROR(__xludf.DUMMYFUNCTION("""COMPUTED_VALUE"""),"")</f>
        <v/>
      </c>
    </row>
    <row r="51">
      <c r="G51" s="16" t="str">
        <f>IFERROR(__xludf.DUMMYFUNCTION("""COMPUTED_VALUE"""),"")</f>
        <v/>
      </c>
    </row>
    <row r="52">
      <c r="G52" s="16" t="str">
        <f>IFERROR(__xludf.DUMMYFUNCTION("""COMPUTED_VALUE"""),"")</f>
        <v/>
      </c>
    </row>
    <row r="53">
      <c r="G53" s="16" t="str">
        <f>IFERROR(__xludf.DUMMYFUNCTION("""COMPUTED_VALUE"""),"")</f>
        <v/>
      </c>
    </row>
    <row r="54">
      <c r="G54" s="16" t="str">
        <f>IFERROR(__xludf.DUMMYFUNCTION("""COMPUTED_VALUE"""),"")</f>
        <v/>
      </c>
    </row>
    <row r="55">
      <c r="G55" s="16" t="str">
        <f>IFERROR(__xludf.DUMMYFUNCTION("""COMPUTED_VALUE"""),"")</f>
        <v/>
      </c>
    </row>
    <row r="56">
      <c r="G56" s="16" t="str">
        <f>IFERROR(__xludf.DUMMYFUNCTION("""COMPUTED_VALUE"""),"")</f>
        <v/>
      </c>
    </row>
    <row r="57">
      <c r="G57" s="16" t="str">
        <f>IFERROR(__xludf.DUMMYFUNCTION("""COMPUTED_VALUE"""),"")</f>
        <v/>
      </c>
    </row>
    <row r="58">
      <c r="G58" s="16" t="str">
        <f>IFERROR(__xludf.DUMMYFUNCTION("""COMPUTED_VALUE"""),"")</f>
        <v/>
      </c>
    </row>
    <row r="59">
      <c r="G59" s="16" t="str">
        <f>IFERROR(__xludf.DUMMYFUNCTION("""COMPUTED_VALUE"""),"")</f>
        <v/>
      </c>
    </row>
    <row r="60">
      <c r="G60" s="16" t="str">
        <f>IFERROR(__xludf.DUMMYFUNCTION("""COMPUTED_VALUE"""),"")</f>
        <v/>
      </c>
    </row>
    <row r="61">
      <c r="G61" s="16" t="str">
        <f>IFERROR(__xludf.DUMMYFUNCTION("""COMPUTED_VALUE"""),"")</f>
        <v/>
      </c>
    </row>
    <row r="62">
      <c r="G62" s="16" t="str">
        <f>IFERROR(__xludf.DUMMYFUNCTION("""COMPUTED_VALUE"""),"")</f>
        <v/>
      </c>
    </row>
    <row r="63">
      <c r="G63" s="16" t="str">
        <f>IFERROR(__xludf.DUMMYFUNCTION("""COMPUTED_VALUE"""),"")</f>
        <v/>
      </c>
    </row>
    <row r="64">
      <c r="G64" s="16" t="str">
        <f>IFERROR(__xludf.DUMMYFUNCTION("""COMPUTED_VALUE"""),"")</f>
        <v/>
      </c>
    </row>
    <row r="65">
      <c r="G65" s="16" t="str">
        <f>IFERROR(__xludf.DUMMYFUNCTION("""COMPUTED_VALUE"""),"")</f>
        <v/>
      </c>
    </row>
    <row r="66">
      <c r="G66" s="16" t="str">
        <f>IFERROR(__xludf.DUMMYFUNCTION("""COMPUTED_VALUE"""),"")</f>
        <v/>
      </c>
    </row>
    <row r="67">
      <c r="G67" s="16" t="str">
        <f>IFERROR(__xludf.DUMMYFUNCTION("""COMPUTED_VALUE"""),"")</f>
        <v/>
      </c>
    </row>
    <row r="68">
      <c r="G68" s="16" t="str">
        <f>IFERROR(__xludf.DUMMYFUNCTION("""COMPUTED_VALUE"""),"")</f>
        <v/>
      </c>
    </row>
    <row r="69">
      <c r="G69" s="16" t="str">
        <f>IFERROR(__xludf.DUMMYFUNCTION("""COMPUTED_VALUE"""),"")</f>
        <v/>
      </c>
    </row>
    <row r="70">
      <c r="G70" s="16" t="str">
        <f>IFERROR(__xludf.DUMMYFUNCTION("""COMPUTED_VALUE"""),"")</f>
        <v/>
      </c>
    </row>
    <row r="71">
      <c r="G71" s="16" t="str">
        <f>IFERROR(__xludf.DUMMYFUNCTION("""COMPUTED_VALUE"""),"")</f>
        <v/>
      </c>
    </row>
    <row r="72">
      <c r="G72" s="16" t="str">
        <f>IFERROR(__xludf.DUMMYFUNCTION("""COMPUTED_VALUE"""),"")</f>
        <v/>
      </c>
    </row>
    <row r="73">
      <c r="G73" s="16" t="str">
        <f>IFERROR(__xludf.DUMMYFUNCTION("""COMPUTED_VALUE"""),"")</f>
        <v/>
      </c>
    </row>
    <row r="74">
      <c r="G74" s="16" t="str">
        <f>IFERROR(__xludf.DUMMYFUNCTION("""COMPUTED_VALUE"""),"")</f>
        <v/>
      </c>
    </row>
    <row r="75">
      <c r="G75" s="16" t="str">
        <f>IFERROR(__xludf.DUMMYFUNCTION("""COMPUTED_VALUE"""),"")</f>
        <v/>
      </c>
    </row>
    <row r="76">
      <c r="G76" s="16" t="str">
        <f>IFERROR(__xludf.DUMMYFUNCTION("""COMPUTED_VALUE"""),"")</f>
        <v/>
      </c>
    </row>
    <row r="77">
      <c r="G77" s="16" t="str">
        <f>IFERROR(__xludf.DUMMYFUNCTION("""COMPUTED_VALUE"""),"")</f>
        <v/>
      </c>
    </row>
    <row r="78">
      <c r="G78" s="16" t="str">
        <f>IFERROR(__xludf.DUMMYFUNCTION("""COMPUTED_VALUE"""),"")</f>
        <v/>
      </c>
    </row>
    <row r="79">
      <c r="G79" s="16" t="str">
        <f>IFERROR(__xludf.DUMMYFUNCTION("""COMPUTED_VALUE"""),"")</f>
        <v/>
      </c>
    </row>
    <row r="80">
      <c r="G80" s="16" t="str">
        <f>IFERROR(__xludf.DUMMYFUNCTION("""COMPUTED_VALUE"""),"")</f>
        <v/>
      </c>
    </row>
    <row r="81">
      <c r="G81" s="16" t="str">
        <f>IFERROR(__xludf.DUMMYFUNCTION("""COMPUTED_VALUE"""),"")</f>
        <v/>
      </c>
    </row>
    <row r="82">
      <c r="G82" s="16" t="str">
        <f>IFERROR(__xludf.DUMMYFUNCTION("""COMPUTED_VALUE"""),"")</f>
        <v/>
      </c>
    </row>
    <row r="83">
      <c r="G83" s="16" t="str">
        <f>IFERROR(__xludf.DUMMYFUNCTION("""COMPUTED_VALUE"""),"")</f>
        <v/>
      </c>
    </row>
    <row r="84">
      <c r="G84" s="16" t="str">
        <f>IFERROR(__xludf.DUMMYFUNCTION("""COMPUTED_VALUE"""),"")</f>
        <v/>
      </c>
    </row>
    <row r="85">
      <c r="G85" s="16" t="str">
        <f>IFERROR(__xludf.DUMMYFUNCTION("""COMPUTED_VALUE"""),"")</f>
        <v/>
      </c>
    </row>
    <row r="86">
      <c r="G86" s="16" t="str">
        <f>IFERROR(__xludf.DUMMYFUNCTION("""COMPUTED_VALUE"""),"")</f>
        <v/>
      </c>
    </row>
    <row r="87">
      <c r="G87" s="16" t="str">
        <f>IFERROR(__xludf.DUMMYFUNCTION("""COMPUTED_VALUE"""),"")</f>
        <v/>
      </c>
    </row>
    <row r="88">
      <c r="G88" s="16" t="str">
        <f>IFERROR(__xludf.DUMMYFUNCTION("""COMPUTED_VALUE"""),"")</f>
        <v/>
      </c>
    </row>
    <row r="89">
      <c r="G89" s="16" t="str">
        <f>IFERROR(__xludf.DUMMYFUNCTION("""COMPUTED_VALUE"""),"")</f>
        <v/>
      </c>
    </row>
    <row r="90">
      <c r="G90" s="16" t="str">
        <f>IFERROR(__xludf.DUMMYFUNCTION("""COMPUTED_VALUE"""),"")</f>
        <v/>
      </c>
    </row>
    <row r="91">
      <c r="G91" s="16" t="str">
        <f>IFERROR(__xludf.DUMMYFUNCTION("""COMPUTED_VALUE"""),"")</f>
        <v/>
      </c>
    </row>
    <row r="92">
      <c r="G92" s="16" t="str">
        <f>IFERROR(__xludf.DUMMYFUNCTION("""COMPUTED_VALUE"""),"")</f>
        <v/>
      </c>
    </row>
    <row r="93">
      <c r="G93" s="16" t="str">
        <f>IFERROR(__xludf.DUMMYFUNCTION("""COMPUTED_VALUE"""),"")</f>
        <v/>
      </c>
    </row>
    <row r="94">
      <c r="G94" s="16" t="str">
        <f>IFERROR(__xludf.DUMMYFUNCTION("""COMPUTED_VALUE"""),"")</f>
        <v/>
      </c>
    </row>
    <row r="95">
      <c r="G95" s="16" t="str">
        <f>IFERROR(__xludf.DUMMYFUNCTION("""COMPUTED_VALUE"""),"")</f>
        <v/>
      </c>
    </row>
    <row r="96">
      <c r="G96" s="16" t="str">
        <f>IFERROR(__xludf.DUMMYFUNCTION("""COMPUTED_VALUE"""),"")</f>
        <v/>
      </c>
    </row>
    <row r="97">
      <c r="G97" s="16" t="str">
        <f>IFERROR(__xludf.DUMMYFUNCTION("""COMPUTED_VALUE"""),"")</f>
        <v/>
      </c>
    </row>
    <row r="98">
      <c r="G98" s="16" t="str">
        <f>IFERROR(__xludf.DUMMYFUNCTION("""COMPUTED_VALUE"""),"")</f>
        <v/>
      </c>
    </row>
    <row r="99">
      <c r="G99" s="16" t="str">
        <f>IFERROR(__xludf.DUMMYFUNCTION("""COMPUTED_VALUE"""),"")</f>
        <v/>
      </c>
    </row>
    <row r="100">
      <c r="G100" s="16" t="str">
        <f>IFERROR(__xludf.DUMMYFUNCTION("""COMPUTED_VALUE"""),"")</f>
        <v/>
      </c>
    </row>
    <row r="101">
      <c r="G101" s="16" t="str">
        <f>IFERROR(__xludf.DUMMYFUNCTION("""COMPUTED_VALUE"""),"")</f>
        <v/>
      </c>
    </row>
    <row r="102">
      <c r="G102" s="16" t="str">
        <f>IFERROR(__xludf.DUMMYFUNCTION("""COMPUTED_VALUE"""),"")</f>
        <v/>
      </c>
    </row>
    <row r="103">
      <c r="G103" s="16" t="str">
        <f>IFERROR(__xludf.DUMMYFUNCTION("""COMPUTED_VALUE"""),"")</f>
        <v/>
      </c>
    </row>
    <row r="104">
      <c r="G104" s="16" t="str">
        <f>IFERROR(__xludf.DUMMYFUNCTION("""COMPUTED_VALUE"""),"")</f>
        <v/>
      </c>
    </row>
    <row r="105">
      <c r="G105" s="16" t="str">
        <f>IFERROR(__xludf.DUMMYFUNCTION("""COMPUTED_VALUE"""),"")</f>
        <v/>
      </c>
    </row>
    <row r="106">
      <c r="G106" s="16" t="str">
        <f>IFERROR(__xludf.DUMMYFUNCTION("""COMPUTED_VALUE"""),"")</f>
        <v/>
      </c>
    </row>
    <row r="107">
      <c r="G107" s="16" t="str">
        <f>IFERROR(__xludf.DUMMYFUNCTION("""COMPUTED_VALUE"""),"")</f>
        <v/>
      </c>
    </row>
    <row r="108">
      <c r="G108" s="16" t="str">
        <f>IFERROR(__xludf.DUMMYFUNCTION("""COMPUTED_VALUE"""),"")</f>
        <v/>
      </c>
    </row>
    <row r="109">
      <c r="G109" s="16" t="str">
        <f>IFERROR(__xludf.DUMMYFUNCTION("""COMPUTED_VALUE"""),"")</f>
        <v/>
      </c>
    </row>
    <row r="110">
      <c r="G110" s="16" t="str">
        <f>IFERROR(__xludf.DUMMYFUNCTION("""COMPUTED_VALUE"""),"")</f>
        <v/>
      </c>
    </row>
    <row r="111">
      <c r="G111" s="16" t="str">
        <f>IFERROR(__xludf.DUMMYFUNCTION("""COMPUTED_VALUE"""),"")</f>
        <v/>
      </c>
    </row>
    <row r="112">
      <c r="G112" s="16" t="str">
        <f>IFERROR(__xludf.DUMMYFUNCTION("""COMPUTED_VALUE"""),"")</f>
        <v/>
      </c>
    </row>
    <row r="113">
      <c r="G113" s="16" t="str">
        <f>IFERROR(__xludf.DUMMYFUNCTION("""COMPUTED_VALUE"""),"")</f>
        <v/>
      </c>
    </row>
    <row r="114">
      <c r="G114" s="16" t="str">
        <f>IFERROR(__xludf.DUMMYFUNCTION("""COMPUTED_VALUE"""),"")</f>
        <v/>
      </c>
    </row>
    <row r="115">
      <c r="G115" s="16" t="str">
        <f>IFERROR(__xludf.DUMMYFUNCTION("""COMPUTED_VALUE"""),"")</f>
        <v/>
      </c>
    </row>
    <row r="116">
      <c r="G116" s="16" t="str">
        <f>IFERROR(__xludf.DUMMYFUNCTION("""COMPUTED_VALUE"""),"")</f>
        <v/>
      </c>
    </row>
    <row r="117">
      <c r="G117" s="16" t="str">
        <f>IFERROR(__xludf.DUMMYFUNCTION("""COMPUTED_VALUE"""),"")</f>
        <v/>
      </c>
    </row>
    <row r="118">
      <c r="G118" s="16" t="str">
        <f>IFERROR(__xludf.DUMMYFUNCTION("""COMPUTED_VALUE"""),"")</f>
        <v/>
      </c>
    </row>
    <row r="119">
      <c r="G119" s="16" t="str">
        <f>IFERROR(__xludf.DUMMYFUNCTION("""COMPUTED_VALUE"""),"")</f>
        <v/>
      </c>
    </row>
    <row r="120">
      <c r="G120" s="16" t="str">
        <f>IFERROR(__xludf.DUMMYFUNCTION("""COMPUTED_VALUE"""),"")</f>
        <v/>
      </c>
    </row>
    <row r="121">
      <c r="G121" s="16" t="str">
        <f>IFERROR(__xludf.DUMMYFUNCTION("""COMPUTED_VALUE"""),"")</f>
        <v/>
      </c>
    </row>
    <row r="122">
      <c r="G122" s="16" t="str">
        <f>IFERROR(__xludf.DUMMYFUNCTION("""COMPUTED_VALUE"""),"")</f>
        <v/>
      </c>
    </row>
    <row r="123">
      <c r="G123" s="16" t="str">
        <f>IFERROR(__xludf.DUMMYFUNCTION("""COMPUTED_VALUE"""),"")</f>
        <v/>
      </c>
    </row>
    <row r="124">
      <c r="G124" s="16" t="str">
        <f>IFERROR(__xludf.DUMMYFUNCTION("""COMPUTED_VALUE"""),"")</f>
        <v/>
      </c>
    </row>
    <row r="125">
      <c r="G125" s="16" t="str">
        <f>IFERROR(__xludf.DUMMYFUNCTION("""COMPUTED_VALUE"""),"")</f>
        <v/>
      </c>
    </row>
    <row r="126">
      <c r="G126" s="16" t="str">
        <f>IFERROR(__xludf.DUMMYFUNCTION("""COMPUTED_VALUE"""),"")</f>
        <v/>
      </c>
    </row>
    <row r="127">
      <c r="G127" s="16" t="str">
        <f>IFERROR(__xludf.DUMMYFUNCTION("""COMPUTED_VALUE"""),"")</f>
        <v/>
      </c>
    </row>
    <row r="128">
      <c r="G128" s="16" t="str">
        <f>IFERROR(__xludf.DUMMYFUNCTION("""COMPUTED_VALUE"""),"")</f>
        <v/>
      </c>
    </row>
    <row r="129">
      <c r="G129" s="16" t="str">
        <f>IFERROR(__xludf.DUMMYFUNCTION("""COMPUTED_VALUE"""),"")</f>
        <v/>
      </c>
    </row>
    <row r="130">
      <c r="G130" s="16" t="str">
        <f>IFERROR(__xludf.DUMMYFUNCTION("""COMPUTED_VALUE"""),"")</f>
        <v/>
      </c>
    </row>
    <row r="131">
      <c r="G131" s="16" t="str">
        <f>IFERROR(__xludf.DUMMYFUNCTION("""COMPUTED_VALUE"""),"")</f>
        <v/>
      </c>
    </row>
    <row r="132">
      <c r="G132" s="16" t="str">
        <f>IFERROR(__xludf.DUMMYFUNCTION("""COMPUTED_VALUE"""),"")</f>
        <v/>
      </c>
    </row>
    <row r="133">
      <c r="G133" s="16" t="str">
        <f>IFERROR(__xludf.DUMMYFUNCTION("""COMPUTED_VALUE"""),"")</f>
        <v/>
      </c>
    </row>
    <row r="134">
      <c r="G134" s="16" t="str">
        <f>IFERROR(__xludf.DUMMYFUNCTION("""COMPUTED_VALUE"""),"")</f>
        <v/>
      </c>
    </row>
    <row r="135">
      <c r="G135" s="16" t="str">
        <f>IFERROR(__xludf.DUMMYFUNCTION("""COMPUTED_VALUE"""),"")</f>
        <v/>
      </c>
    </row>
    <row r="136">
      <c r="G136" s="16" t="str">
        <f>IFERROR(__xludf.DUMMYFUNCTION("""COMPUTED_VALUE"""),"")</f>
        <v/>
      </c>
    </row>
    <row r="137">
      <c r="G137" s="16" t="str">
        <f>IFERROR(__xludf.DUMMYFUNCTION("""COMPUTED_VALUE"""),"")</f>
        <v/>
      </c>
    </row>
    <row r="138">
      <c r="G138" s="16" t="str">
        <f>IFERROR(__xludf.DUMMYFUNCTION("""COMPUTED_VALUE"""),"")</f>
        <v/>
      </c>
    </row>
    <row r="139">
      <c r="G139" s="16" t="str">
        <f>IFERROR(__xludf.DUMMYFUNCTION("""COMPUTED_VALUE"""),"")</f>
        <v/>
      </c>
    </row>
    <row r="140">
      <c r="G140" s="16" t="str">
        <f>IFERROR(__xludf.DUMMYFUNCTION("""COMPUTED_VALUE"""),"")</f>
        <v/>
      </c>
    </row>
    <row r="141">
      <c r="G141" s="16" t="str">
        <f>IFERROR(__xludf.DUMMYFUNCTION("""COMPUTED_VALUE"""),"")</f>
        <v/>
      </c>
    </row>
    <row r="142">
      <c r="G142" s="16" t="str">
        <f>IFERROR(__xludf.DUMMYFUNCTION("""COMPUTED_VALUE"""),"")</f>
        <v/>
      </c>
    </row>
    <row r="143">
      <c r="G143" s="16" t="str">
        <f>IFERROR(__xludf.DUMMYFUNCTION("""COMPUTED_VALUE"""),"")</f>
        <v/>
      </c>
    </row>
    <row r="144">
      <c r="G144" s="16" t="str">
        <f>IFERROR(__xludf.DUMMYFUNCTION("""COMPUTED_VALUE"""),"")</f>
        <v/>
      </c>
    </row>
    <row r="145">
      <c r="G145" s="16" t="str">
        <f>IFERROR(__xludf.DUMMYFUNCTION("""COMPUTED_VALUE"""),"")</f>
        <v/>
      </c>
    </row>
    <row r="146">
      <c r="G146" s="16" t="str">
        <f>IFERROR(__xludf.DUMMYFUNCTION("""COMPUTED_VALUE"""),"")</f>
        <v/>
      </c>
    </row>
    <row r="147">
      <c r="G147" s="16" t="str">
        <f>IFERROR(__xludf.DUMMYFUNCTION("""COMPUTED_VALUE"""),"")</f>
        <v/>
      </c>
    </row>
    <row r="148">
      <c r="G148" s="16" t="str">
        <f>IFERROR(__xludf.DUMMYFUNCTION("""COMPUTED_VALUE"""),"")</f>
        <v/>
      </c>
    </row>
    <row r="149">
      <c r="G149" s="16" t="str">
        <f>IFERROR(__xludf.DUMMYFUNCTION("""COMPUTED_VALUE"""),"")</f>
        <v/>
      </c>
    </row>
    <row r="150">
      <c r="G150" s="16" t="str">
        <f>IFERROR(__xludf.DUMMYFUNCTION("""COMPUTED_VALUE"""),"")</f>
        <v/>
      </c>
    </row>
    <row r="151">
      <c r="G151" s="16" t="str">
        <f>IFERROR(__xludf.DUMMYFUNCTION("""COMPUTED_VALUE"""),"")</f>
        <v/>
      </c>
    </row>
    <row r="152">
      <c r="G152" s="16" t="str">
        <f>IFERROR(__xludf.DUMMYFUNCTION("""COMPUTED_VALUE"""),"")</f>
        <v/>
      </c>
    </row>
    <row r="153">
      <c r="G153" s="16" t="str">
        <f>IFERROR(__xludf.DUMMYFUNCTION("""COMPUTED_VALUE"""),"")</f>
        <v/>
      </c>
    </row>
    <row r="154">
      <c r="G154" s="16" t="str">
        <f>IFERROR(__xludf.DUMMYFUNCTION("""COMPUTED_VALUE"""),"")</f>
        <v/>
      </c>
    </row>
    <row r="155">
      <c r="G155" s="16" t="str">
        <f>IFERROR(__xludf.DUMMYFUNCTION("""COMPUTED_VALUE"""),"")</f>
        <v/>
      </c>
    </row>
    <row r="156">
      <c r="G156" s="16" t="str">
        <f>IFERROR(__xludf.DUMMYFUNCTION("""COMPUTED_VALUE"""),"")</f>
        <v/>
      </c>
    </row>
    <row r="157">
      <c r="G157" s="16" t="str">
        <f>IFERROR(__xludf.DUMMYFUNCTION("""COMPUTED_VALUE"""),"")</f>
        <v/>
      </c>
    </row>
    <row r="158">
      <c r="G158" s="16" t="str">
        <f>IFERROR(__xludf.DUMMYFUNCTION("""COMPUTED_VALUE"""),"")</f>
        <v/>
      </c>
    </row>
    <row r="159">
      <c r="G159" s="16" t="str">
        <f>IFERROR(__xludf.DUMMYFUNCTION("""COMPUTED_VALUE"""),"")</f>
        <v/>
      </c>
    </row>
    <row r="160">
      <c r="G160" s="16" t="str">
        <f>IFERROR(__xludf.DUMMYFUNCTION("""COMPUTED_VALUE"""),"")</f>
        <v/>
      </c>
    </row>
    <row r="161">
      <c r="G161" s="16" t="str">
        <f>IFERROR(__xludf.DUMMYFUNCTION("""COMPUTED_VALUE"""),"")</f>
        <v/>
      </c>
    </row>
    <row r="162">
      <c r="G162" s="16" t="str">
        <f>IFERROR(__xludf.DUMMYFUNCTION("""COMPUTED_VALUE"""),"")</f>
        <v/>
      </c>
    </row>
    <row r="163">
      <c r="G163" s="16" t="str">
        <f>IFERROR(__xludf.DUMMYFUNCTION("""COMPUTED_VALUE"""),"")</f>
        <v/>
      </c>
    </row>
    <row r="164">
      <c r="G164" s="16" t="str">
        <f>IFERROR(__xludf.DUMMYFUNCTION("""COMPUTED_VALUE"""),"")</f>
        <v/>
      </c>
    </row>
    <row r="165">
      <c r="G165" s="16" t="str">
        <f>IFERROR(__xludf.DUMMYFUNCTION("""COMPUTED_VALUE"""),"")</f>
        <v/>
      </c>
    </row>
    <row r="166">
      <c r="G166" s="16" t="str">
        <f>IFERROR(__xludf.DUMMYFUNCTION("""COMPUTED_VALUE"""),"")</f>
        <v/>
      </c>
    </row>
    <row r="167">
      <c r="G167" s="16" t="str">
        <f>IFERROR(__xludf.DUMMYFUNCTION("""COMPUTED_VALUE"""),"")</f>
        <v/>
      </c>
    </row>
    <row r="168">
      <c r="G168" s="16" t="str">
        <f>IFERROR(__xludf.DUMMYFUNCTION("""COMPUTED_VALUE"""),"")</f>
        <v/>
      </c>
    </row>
    <row r="169">
      <c r="G169" s="16" t="str">
        <f>IFERROR(__xludf.DUMMYFUNCTION("""COMPUTED_VALUE"""),"")</f>
        <v/>
      </c>
    </row>
    <row r="170">
      <c r="G170" s="16" t="str">
        <f>IFERROR(__xludf.DUMMYFUNCTION("""COMPUTED_VALUE"""),"")</f>
        <v/>
      </c>
    </row>
    <row r="171">
      <c r="G171" s="16" t="str">
        <f>IFERROR(__xludf.DUMMYFUNCTION("""COMPUTED_VALUE"""),"")</f>
        <v/>
      </c>
    </row>
    <row r="172">
      <c r="G172" s="16" t="str">
        <f>IFERROR(__xludf.DUMMYFUNCTION("""COMPUTED_VALUE"""),"")</f>
        <v/>
      </c>
    </row>
    <row r="173">
      <c r="G173" s="16" t="str">
        <f>IFERROR(__xludf.DUMMYFUNCTION("""COMPUTED_VALUE"""),"")</f>
        <v/>
      </c>
    </row>
    <row r="174">
      <c r="G174" s="16" t="str">
        <f>IFERROR(__xludf.DUMMYFUNCTION("""COMPUTED_VALUE"""),"")</f>
        <v/>
      </c>
    </row>
    <row r="175">
      <c r="G175" s="16" t="str">
        <f>IFERROR(__xludf.DUMMYFUNCTION("""COMPUTED_VALUE"""),"")</f>
        <v/>
      </c>
    </row>
    <row r="176">
      <c r="G176" s="16" t="str">
        <f>IFERROR(__xludf.DUMMYFUNCTION("""COMPUTED_VALUE"""),"")</f>
        <v/>
      </c>
    </row>
    <row r="177">
      <c r="G177" s="16" t="str">
        <f>IFERROR(__xludf.DUMMYFUNCTION("""COMPUTED_VALUE"""),"")</f>
        <v/>
      </c>
    </row>
    <row r="178">
      <c r="G178" s="16" t="str">
        <f>IFERROR(__xludf.DUMMYFUNCTION("""COMPUTED_VALUE"""),"")</f>
        <v/>
      </c>
    </row>
    <row r="179">
      <c r="G179" s="16" t="str">
        <f>IFERROR(__xludf.DUMMYFUNCTION("""COMPUTED_VALUE"""),"")</f>
        <v/>
      </c>
    </row>
    <row r="180">
      <c r="G180" s="16" t="str">
        <f>IFERROR(__xludf.DUMMYFUNCTION("""COMPUTED_VALUE"""),"")</f>
        <v/>
      </c>
    </row>
    <row r="181">
      <c r="G181" s="16" t="str">
        <f>IFERROR(__xludf.DUMMYFUNCTION("""COMPUTED_VALUE"""),"")</f>
        <v/>
      </c>
    </row>
    <row r="182">
      <c r="G182" s="16" t="str">
        <f>IFERROR(__xludf.DUMMYFUNCTION("""COMPUTED_VALUE"""),"")</f>
        <v/>
      </c>
    </row>
    <row r="183">
      <c r="G183" s="16" t="str">
        <f>IFERROR(__xludf.DUMMYFUNCTION("""COMPUTED_VALUE"""),"")</f>
        <v/>
      </c>
    </row>
    <row r="184">
      <c r="G184" s="16" t="str">
        <f>IFERROR(__xludf.DUMMYFUNCTION("""COMPUTED_VALUE"""),"")</f>
        <v/>
      </c>
    </row>
    <row r="185">
      <c r="G185" s="16" t="str">
        <f>IFERROR(__xludf.DUMMYFUNCTION("""COMPUTED_VALUE"""),"")</f>
        <v/>
      </c>
    </row>
    <row r="186">
      <c r="G186" s="16" t="str">
        <f>IFERROR(__xludf.DUMMYFUNCTION("""COMPUTED_VALUE"""),"")</f>
        <v/>
      </c>
    </row>
    <row r="187">
      <c r="G187" s="16" t="str">
        <f>IFERROR(__xludf.DUMMYFUNCTION("""COMPUTED_VALUE"""),"")</f>
        <v/>
      </c>
    </row>
    <row r="188">
      <c r="G188" s="16" t="str">
        <f>IFERROR(__xludf.DUMMYFUNCTION("""COMPUTED_VALUE"""),"")</f>
        <v/>
      </c>
    </row>
    <row r="189">
      <c r="G189" s="16" t="str">
        <f>IFERROR(__xludf.DUMMYFUNCTION("""COMPUTED_VALUE"""),"")</f>
        <v/>
      </c>
    </row>
    <row r="190">
      <c r="G190" s="16" t="str">
        <f>IFERROR(__xludf.DUMMYFUNCTION("""COMPUTED_VALUE"""),"")</f>
        <v/>
      </c>
    </row>
    <row r="191">
      <c r="G191" s="16" t="str">
        <f>IFERROR(__xludf.DUMMYFUNCTION("""COMPUTED_VALUE"""),"")</f>
        <v/>
      </c>
    </row>
    <row r="192">
      <c r="G192" s="16" t="str">
        <f>IFERROR(__xludf.DUMMYFUNCTION("""COMPUTED_VALUE"""),"")</f>
        <v/>
      </c>
    </row>
    <row r="193">
      <c r="G193" s="16" t="str">
        <f>IFERROR(__xludf.DUMMYFUNCTION("""COMPUTED_VALUE"""),"")</f>
        <v/>
      </c>
    </row>
    <row r="194">
      <c r="G194" s="16" t="str">
        <f>IFERROR(__xludf.DUMMYFUNCTION("""COMPUTED_VALUE"""),"")</f>
        <v/>
      </c>
    </row>
    <row r="195">
      <c r="G195" s="16" t="str">
        <f>IFERROR(__xludf.DUMMYFUNCTION("""COMPUTED_VALUE"""),"")</f>
        <v/>
      </c>
    </row>
    <row r="196">
      <c r="G196" s="16" t="str">
        <f>IFERROR(__xludf.DUMMYFUNCTION("""COMPUTED_VALUE"""),"")</f>
        <v/>
      </c>
    </row>
    <row r="197">
      <c r="G197" s="16" t="str">
        <f>IFERROR(__xludf.DUMMYFUNCTION("""COMPUTED_VALUE"""),"")</f>
        <v/>
      </c>
    </row>
    <row r="198">
      <c r="G198" s="16" t="str">
        <f>IFERROR(__xludf.DUMMYFUNCTION("""COMPUTED_VALUE"""),"")</f>
        <v/>
      </c>
    </row>
    <row r="199">
      <c r="G199" s="16" t="str">
        <f>IFERROR(__xludf.DUMMYFUNCTION("""COMPUTED_VALUE"""),"")</f>
        <v/>
      </c>
    </row>
    <row r="200">
      <c r="G200" s="16" t="str">
        <f>IFERROR(__xludf.DUMMYFUNCTION("""COMPUTED_VALUE"""),"")</f>
        <v/>
      </c>
    </row>
    <row r="201">
      <c r="G201" s="16" t="str">
        <f>IFERROR(__xludf.DUMMYFUNCTION("""COMPUTED_VALUE"""),"")</f>
        <v/>
      </c>
    </row>
    <row r="202">
      <c r="G202" s="16" t="str">
        <f>IFERROR(__xludf.DUMMYFUNCTION("""COMPUTED_VALUE"""),"")</f>
        <v/>
      </c>
    </row>
    <row r="203">
      <c r="G203" s="16" t="str">
        <f>IFERROR(__xludf.DUMMYFUNCTION("""COMPUTED_VALUE"""),"")</f>
        <v/>
      </c>
    </row>
    <row r="204">
      <c r="G204" s="16" t="str">
        <f>IFERROR(__xludf.DUMMYFUNCTION("""COMPUTED_VALUE"""),"")</f>
        <v/>
      </c>
    </row>
    <row r="205">
      <c r="G205" s="16" t="str">
        <f>IFERROR(__xludf.DUMMYFUNCTION("""COMPUTED_VALUE"""),"")</f>
        <v/>
      </c>
    </row>
    <row r="206">
      <c r="G206" s="16" t="str">
        <f>IFERROR(__xludf.DUMMYFUNCTION("""COMPUTED_VALUE"""),"")</f>
        <v/>
      </c>
    </row>
    <row r="207">
      <c r="G207" s="16" t="str">
        <f>IFERROR(__xludf.DUMMYFUNCTION("""COMPUTED_VALUE"""),"")</f>
        <v/>
      </c>
    </row>
    <row r="208">
      <c r="G208" s="16" t="str">
        <f>IFERROR(__xludf.DUMMYFUNCTION("""COMPUTED_VALUE"""),"")</f>
        <v/>
      </c>
    </row>
    <row r="209">
      <c r="G209" s="16" t="str">
        <f>IFERROR(__xludf.DUMMYFUNCTION("""COMPUTED_VALUE"""),"")</f>
        <v/>
      </c>
    </row>
    <row r="210">
      <c r="G210" s="16" t="str">
        <f>IFERROR(__xludf.DUMMYFUNCTION("""COMPUTED_VALUE"""),"")</f>
        <v/>
      </c>
    </row>
    <row r="211">
      <c r="G211" s="16" t="str">
        <f>IFERROR(__xludf.DUMMYFUNCTION("""COMPUTED_VALUE"""),"")</f>
        <v/>
      </c>
    </row>
    <row r="212">
      <c r="G212" s="16" t="str">
        <f>IFERROR(__xludf.DUMMYFUNCTION("""COMPUTED_VALUE"""),"")</f>
        <v/>
      </c>
    </row>
    <row r="213">
      <c r="G213" s="16" t="str">
        <f>IFERROR(__xludf.DUMMYFUNCTION("""COMPUTED_VALUE"""),"")</f>
        <v/>
      </c>
    </row>
    <row r="214">
      <c r="G214" s="16" t="str">
        <f>IFERROR(__xludf.DUMMYFUNCTION("""COMPUTED_VALUE"""),"")</f>
        <v/>
      </c>
    </row>
    <row r="215">
      <c r="G215" s="16" t="str">
        <f>IFERROR(__xludf.DUMMYFUNCTION("""COMPUTED_VALUE"""),"")</f>
        <v/>
      </c>
    </row>
    <row r="216">
      <c r="G216" s="16" t="str">
        <f>IFERROR(__xludf.DUMMYFUNCTION("""COMPUTED_VALUE"""),"")</f>
        <v/>
      </c>
    </row>
    <row r="217">
      <c r="G217" s="16" t="str">
        <f>IFERROR(__xludf.DUMMYFUNCTION("""COMPUTED_VALUE"""),"")</f>
        <v/>
      </c>
    </row>
    <row r="218">
      <c r="G218" s="16" t="str">
        <f>IFERROR(__xludf.DUMMYFUNCTION("""COMPUTED_VALUE"""),"")</f>
        <v/>
      </c>
    </row>
    <row r="219">
      <c r="G219" s="16" t="str">
        <f>IFERROR(__xludf.DUMMYFUNCTION("""COMPUTED_VALUE"""),"")</f>
        <v/>
      </c>
    </row>
    <row r="220">
      <c r="G220" s="16" t="str">
        <f>IFERROR(__xludf.DUMMYFUNCTION("""COMPUTED_VALUE"""),"")</f>
        <v/>
      </c>
    </row>
    <row r="221">
      <c r="G221" s="16" t="str">
        <f>IFERROR(__xludf.DUMMYFUNCTION("""COMPUTED_VALUE"""),"")</f>
        <v/>
      </c>
    </row>
    <row r="222">
      <c r="G222" s="16" t="str">
        <f>IFERROR(__xludf.DUMMYFUNCTION("""COMPUTED_VALUE"""),"")</f>
        <v/>
      </c>
    </row>
    <row r="223">
      <c r="G223" s="16" t="str">
        <f>IFERROR(__xludf.DUMMYFUNCTION("""COMPUTED_VALUE"""),"")</f>
        <v/>
      </c>
    </row>
    <row r="224">
      <c r="G224" s="16" t="str">
        <f>IFERROR(__xludf.DUMMYFUNCTION("""COMPUTED_VALUE"""),"")</f>
        <v/>
      </c>
    </row>
    <row r="225">
      <c r="G225" s="16" t="str">
        <f>IFERROR(__xludf.DUMMYFUNCTION("""COMPUTED_VALUE"""),"")</f>
        <v/>
      </c>
    </row>
    <row r="226">
      <c r="G226" s="16" t="str">
        <f>IFERROR(__xludf.DUMMYFUNCTION("""COMPUTED_VALUE"""),"")</f>
        <v/>
      </c>
    </row>
    <row r="227">
      <c r="G227" s="16" t="str">
        <f>IFERROR(__xludf.DUMMYFUNCTION("""COMPUTED_VALUE"""),"")</f>
        <v/>
      </c>
    </row>
    <row r="228">
      <c r="G228" s="16" t="str">
        <f>IFERROR(__xludf.DUMMYFUNCTION("""COMPUTED_VALUE"""),"")</f>
        <v/>
      </c>
    </row>
    <row r="229">
      <c r="G229" s="16" t="str">
        <f>IFERROR(__xludf.DUMMYFUNCTION("""COMPUTED_VALUE"""),"")</f>
        <v/>
      </c>
    </row>
    <row r="230">
      <c r="G230" s="16" t="str">
        <f>IFERROR(__xludf.DUMMYFUNCTION("""COMPUTED_VALUE"""),"")</f>
        <v/>
      </c>
    </row>
    <row r="231">
      <c r="G231" s="16" t="str">
        <f>IFERROR(__xludf.DUMMYFUNCTION("""COMPUTED_VALUE"""),"")</f>
        <v/>
      </c>
    </row>
    <row r="232">
      <c r="G232" s="16" t="str">
        <f>IFERROR(__xludf.DUMMYFUNCTION("""COMPUTED_VALUE"""),"")</f>
        <v/>
      </c>
    </row>
    <row r="233">
      <c r="G233" s="16" t="str">
        <f>IFERROR(__xludf.DUMMYFUNCTION("""COMPUTED_VALUE"""),"")</f>
        <v/>
      </c>
    </row>
    <row r="234">
      <c r="G234" s="16" t="str">
        <f>IFERROR(__xludf.DUMMYFUNCTION("""COMPUTED_VALUE"""),"")</f>
        <v/>
      </c>
    </row>
    <row r="235">
      <c r="G235" s="16" t="str">
        <f>IFERROR(__xludf.DUMMYFUNCTION("""COMPUTED_VALUE"""),"")</f>
        <v/>
      </c>
    </row>
    <row r="236">
      <c r="G236" s="16" t="str">
        <f>IFERROR(__xludf.DUMMYFUNCTION("""COMPUTED_VALUE"""),"")</f>
        <v/>
      </c>
    </row>
    <row r="237">
      <c r="G237" s="16" t="str">
        <f>IFERROR(__xludf.DUMMYFUNCTION("""COMPUTED_VALUE"""),"")</f>
        <v/>
      </c>
    </row>
    <row r="238">
      <c r="G238" s="16" t="str">
        <f>IFERROR(__xludf.DUMMYFUNCTION("""COMPUTED_VALUE"""),"")</f>
        <v/>
      </c>
    </row>
    <row r="239">
      <c r="G239" s="16" t="str">
        <f>IFERROR(__xludf.DUMMYFUNCTION("""COMPUTED_VALUE"""),"")</f>
        <v/>
      </c>
    </row>
    <row r="240">
      <c r="G240" s="16" t="str">
        <f>IFERROR(__xludf.DUMMYFUNCTION("""COMPUTED_VALUE"""),"")</f>
        <v/>
      </c>
    </row>
    <row r="241">
      <c r="G241" s="16" t="str">
        <f>IFERROR(__xludf.DUMMYFUNCTION("""COMPUTED_VALUE"""),"")</f>
        <v/>
      </c>
    </row>
    <row r="242">
      <c r="G242" s="16" t="str">
        <f>IFERROR(__xludf.DUMMYFUNCTION("""COMPUTED_VALUE"""),"")</f>
        <v/>
      </c>
    </row>
    <row r="243">
      <c r="G243" s="16" t="str">
        <f>IFERROR(__xludf.DUMMYFUNCTION("""COMPUTED_VALUE"""),"")</f>
        <v/>
      </c>
    </row>
    <row r="244">
      <c r="G244" s="16" t="str">
        <f>IFERROR(__xludf.DUMMYFUNCTION("""COMPUTED_VALUE"""),"")</f>
        <v/>
      </c>
    </row>
    <row r="245">
      <c r="G245" s="16" t="str">
        <f>IFERROR(__xludf.DUMMYFUNCTION("""COMPUTED_VALUE"""),"")</f>
        <v/>
      </c>
    </row>
    <row r="246">
      <c r="G246" s="16" t="str">
        <f>IFERROR(__xludf.DUMMYFUNCTION("""COMPUTED_VALUE"""),"")</f>
        <v/>
      </c>
    </row>
    <row r="247">
      <c r="G247" s="16" t="str">
        <f>IFERROR(__xludf.DUMMYFUNCTION("""COMPUTED_VALUE"""),"")</f>
        <v/>
      </c>
    </row>
    <row r="248">
      <c r="G248" s="16" t="str">
        <f>IFERROR(__xludf.DUMMYFUNCTION("""COMPUTED_VALUE"""),"")</f>
        <v/>
      </c>
    </row>
    <row r="249">
      <c r="G249" s="16" t="str">
        <f>IFERROR(__xludf.DUMMYFUNCTION("""COMPUTED_VALUE"""),"")</f>
        <v/>
      </c>
    </row>
    <row r="250">
      <c r="G250" s="16" t="str">
        <f>IFERROR(__xludf.DUMMYFUNCTION("""COMPUTED_VALUE"""),"")</f>
        <v/>
      </c>
    </row>
    <row r="251">
      <c r="G251" s="16" t="str">
        <f>IFERROR(__xludf.DUMMYFUNCTION("""COMPUTED_VALUE"""),"")</f>
        <v/>
      </c>
    </row>
    <row r="252">
      <c r="G252" s="16" t="str">
        <f>IFERROR(__xludf.DUMMYFUNCTION("""COMPUTED_VALUE"""),"")</f>
        <v/>
      </c>
    </row>
    <row r="253">
      <c r="G253" s="16" t="str">
        <f>IFERROR(__xludf.DUMMYFUNCTION("""COMPUTED_VALUE"""),"")</f>
        <v/>
      </c>
    </row>
    <row r="254">
      <c r="G254" s="16" t="str">
        <f>IFERROR(__xludf.DUMMYFUNCTION("""COMPUTED_VALUE"""),"")</f>
        <v/>
      </c>
    </row>
    <row r="255">
      <c r="G255" s="16" t="str">
        <f>IFERROR(__xludf.DUMMYFUNCTION("""COMPUTED_VALUE"""),"")</f>
        <v/>
      </c>
    </row>
    <row r="256">
      <c r="G256" s="16" t="str">
        <f>IFERROR(__xludf.DUMMYFUNCTION("""COMPUTED_VALUE"""),"")</f>
        <v/>
      </c>
    </row>
    <row r="257">
      <c r="G257" s="16" t="str">
        <f>IFERROR(__xludf.DUMMYFUNCTION("""COMPUTED_VALUE"""),"")</f>
        <v/>
      </c>
    </row>
    <row r="258">
      <c r="G258" s="16" t="str">
        <f>IFERROR(__xludf.DUMMYFUNCTION("""COMPUTED_VALUE"""),"")</f>
        <v/>
      </c>
    </row>
    <row r="259">
      <c r="G259" s="16" t="str">
        <f>IFERROR(__xludf.DUMMYFUNCTION("""COMPUTED_VALUE"""),"")</f>
        <v/>
      </c>
    </row>
    <row r="260">
      <c r="G260" s="16" t="str">
        <f>IFERROR(__xludf.DUMMYFUNCTION("""COMPUTED_VALUE"""),"")</f>
        <v/>
      </c>
    </row>
    <row r="261">
      <c r="G261" s="16" t="str">
        <f>IFERROR(__xludf.DUMMYFUNCTION("""COMPUTED_VALUE"""),"")</f>
        <v/>
      </c>
    </row>
    <row r="262">
      <c r="G262" s="16" t="str">
        <f>IFERROR(__xludf.DUMMYFUNCTION("""COMPUTED_VALUE"""),"")</f>
        <v/>
      </c>
    </row>
    <row r="263">
      <c r="G263" s="16" t="str">
        <f>IFERROR(__xludf.DUMMYFUNCTION("""COMPUTED_VALUE"""),"")</f>
        <v/>
      </c>
    </row>
    <row r="264">
      <c r="G264" s="16" t="str">
        <f>IFERROR(__xludf.DUMMYFUNCTION("""COMPUTED_VALUE"""),"")</f>
        <v/>
      </c>
    </row>
    <row r="265">
      <c r="G265" s="16" t="str">
        <f>IFERROR(__xludf.DUMMYFUNCTION("""COMPUTED_VALUE"""),"")</f>
        <v/>
      </c>
    </row>
    <row r="266">
      <c r="G266" s="16" t="str">
        <f>IFERROR(__xludf.DUMMYFUNCTION("""COMPUTED_VALUE"""),"")</f>
        <v/>
      </c>
    </row>
    <row r="267">
      <c r="G267" s="16" t="str">
        <f>IFERROR(__xludf.DUMMYFUNCTION("""COMPUTED_VALUE"""),"")</f>
        <v/>
      </c>
    </row>
    <row r="268">
      <c r="G268" s="16" t="str">
        <f>IFERROR(__xludf.DUMMYFUNCTION("""COMPUTED_VALUE"""),"")</f>
        <v/>
      </c>
    </row>
    <row r="269">
      <c r="G269" s="16" t="str">
        <f>IFERROR(__xludf.DUMMYFUNCTION("""COMPUTED_VALUE"""),"")</f>
        <v/>
      </c>
    </row>
    <row r="270">
      <c r="G270" s="16" t="str">
        <f>IFERROR(__xludf.DUMMYFUNCTION("""COMPUTED_VALUE"""),"")</f>
        <v/>
      </c>
    </row>
    <row r="271">
      <c r="G271" s="16" t="str">
        <f>IFERROR(__xludf.DUMMYFUNCTION("""COMPUTED_VALUE"""),"")</f>
        <v/>
      </c>
    </row>
    <row r="272">
      <c r="G272" s="16" t="str">
        <f>IFERROR(__xludf.DUMMYFUNCTION("""COMPUTED_VALUE"""),"")</f>
        <v/>
      </c>
    </row>
    <row r="273">
      <c r="G273" s="16" t="str">
        <f>IFERROR(__xludf.DUMMYFUNCTION("""COMPUTED_VALUE"""),"")</f>
        <v/>
      </c>
    </row>
    <row r="274">
      <c r="G274" s="16" t="str">
        <f>IFERROR(__xludf.DUMMYFUNCTION("""COMPUTED_VALUE"""),"")</f>
        <v/>
      </c>
    </row>
    <row r="275">
      <c r="G275" s="16" t="str">
        <f>IFERROR(__xludf.DUMMYFUNCTION("""COMPUTED_VALUE"""),"")</f>
        <v/>
      </c>
    </row>
    <row r="276">
      <c r="G276" s="16" t="str">
        <f>IFERROR(__xludf.DUMMYFUNCTION("""COMPUTED_VALUE"""),"")</f>
        <v/>
      </c>
    </row>
    <row r="277">
      <c r="G277" s="16" t="str">
        <f>IFERROR(__xludf.DUMMYFUNCTION("""COMPUTED_VALUE"""),"")</f>
        <v/>
      </c>
    </row>
    <row r="278">
      <c r="G278" s="16" t="str">
        <f>IFERROR(__xludf.DUMMYFUNCTION("""COMPUTED_VALUE"""),"")</f>
        <v/>
      </c>
    </row>
    <row r="279">
      <c r="G279" s="16" t="str">
        <f>IFERROR(__xludf.DUMMYFUNCTION("""COMPUTED_VALUE"""),"")</f>
        <v/>
      </c>
    </row>
    <row r="280">
      <c r="G280" s="16" t="str">
        <f>IFERROR(__xludf.DUMMYFUNCTION("""COMPUTED_VALUE"""),"")</f>
        <v/>
      </c>
    </row>
    <row r="281">
      <c r="G281" s="16" t="str">
        <f>IFERROR(__xludf.DUMMYFUNCTION("""COMPUTED_VALUE"""),"")</f>
        <v/>
      </c>
    </row>
    <row r="282">
      <c r="G282" s="16" t="str">
        <f>IFERROR(__xludf.DUMMYFUNCTION("""COMPUTED_VALUE"""),"")</f>
        <v/>
      </c>
    </row>
    <row r="283">
      <c r="G283" s="16" t="str">
        <f>IFERROR(__xludf.DUMMYFUNCTION("""COMPUTED_VALUE"""),"")</f>
        <v/>
      </c>
    </row>
    <row r="284">
      <c r="G284" s="16" t="str">
        <f>IFERROR(__xludf.DUMMYFUNCTION("""COMPUTED_VALUE"""),"")</f>
        <v/>
      </c>
    </row>
    <row r="285">
      <c r="G285" s="16" t="str">
        <f>IFERROR(__xludf.DUMMYFUNCTION("""COMPUTED_VALUE"""),"")</f>
        <v/>
      </c>
    </row>
    <row r="286">
      <c r="G286" s="16" t="str">
        <f>IFERROR(__xludf.DUMMYFUNCTION("""COMPUTED_VALUE"""),"")</f>
        <v/>
      </c>
    </row>
    <row r="287">
      <c r="G287" s="16" t="str">
        <f>IFERROR(__xludf.DUMMYFUNCTION("""COMPUTED_VALUE"""),"")</f>
        <v/>
      </c>
    </row>
    <row r="288">
      <c r="G288" s="16" t="str">
        <f>IFERROR(__xludf.DUMMYFUNCTION("""COMPUTED_VALUE"""),"")</f>
        <v/>
      </c>
    </row>
    <row r="289">
      <c r="G289" s="16" t="str">
        <f>IFERROR(__xludf.DUMMYFUNCTION("""COMPUTED_VALUE"""),"")</f>
        <v/>
      </c>
    </row>
    <row r="290">
      <c r="G290" s="16" t="str">
        <f>IFERROR(__xludf.DUMMYFUNCTION("""COMPUTED_VALUE"""),"")</f>
        <v/>
      </c>
    </row>
    <row r="291">
      <c r="G291" s="16" t="str">
        <f>IFERROR(__xludf.DUMMYFUNCTION("""COMPUTED_VALUE"""),"")</f>
        <v/>
      </c>
    </row>
    <row r="292">
      <c r="G292" s="16" t="str">
        <f>IFERROR(__xludf.DUMMYFUNCTION("""COMPUTED_VALUE"""),"")</f>
        <v/>
      </c>
    </row>
    <row r="293">
      <c r="G293" s="16" t="str">
        <f>IFERROR(__xludf.DUMMYFUNCTION("""COMPUTED_VALUE"""),"")</f>
        <v/>
      </c>
    </row>
    <row r="294">
      <c r="G294" s="16" t="str">
        <f>IFERROR(__xludf.DUMMYFUNCTION("""COMPUTED_VALUE"""),"")</f>
        <v/>
      </c>
    </row>
    <row r="295">
      <c r="G295" s="16" t="str">
        <f>IFERROR(__xludf.DUMMYFUNCTION("""COMPUTED_VALUE"""),"")</f>
        <v/>
      </c>
    </row>
    <row r="296">
      <c r="G296" s="16" t="str">
        <f>IFERROR(__xludf.DUMMYFUNCTION("""COMPUTED_VALUE"""),"")</f>
        <v/>
      </c>
    </row>
    <row r="297">
      <c r="G297" s="16" t="str">
        <f>IFERROR(__xludf.DUMMYFUNCTION("""COMPUTED_VALUE"""),"")</f>
        <v/>
      </c>
    </row>
    <row r="298">
      <c r="G298" s="16" t="str">
        <f>IFERROR(__xludf.DUMMYFUNCTION("""COMPUTED_VALUE"""),"")</f>
        <v/>
      </c>
    </row>
    <row r="299">
      <c r="G299" s="16" t="str">
        <f>IFERROR(__xludf.DUMMYFUNCTION("""COMPUTED_VALUE"""),"")</f>
        <v/>
      </c>
    </row>
    <row r="300">
      <c r="G300" s="16" t="str">
        <f>IFERROR(__xludf.DUMMYFUNCTION("""COMPUTED_VALUE"""),"")</f>
        <v/>
      </c>
    </row>
    <row r="301">
      <c r="G301" s="16" t="str">
        <f>IFERROR(__xludf.DUMMYFUNCTION("""COMPUTED_VALUE"""),"")</f>
        <v/>
      </c>
    </row>
    <row r="302">
      <c r="G302" s="16" t="str">
        <f>IFERROR(__xludf.DUMMYFUNCTION("""COMPUTED_VALUE"""),"")</f>
        <v/>
      </c>
    </row>
    <row r="303">
      <c r="G303" s="16" t="str">
        <f>IFERROR(__xludf.DUMMYFUNCTION("""COMPUTED_VALUE"""),"")</f>
        <v/>
      </c>
    </row>
    <row r="304">
      <c r="G304" s="16" t="str">
        <f>IFERROR(__xludf.DUMMYFUNCTION("""COMPUTED_VALUE"""),"")</f>
        <v/>
      </c>
    </row>
    <row r="305">
      <c r="G305" s="16" t="str">
        <f>IFERROR(__xludf.DUMMYFUNCTION("""COMPUTED_VALUE"""),"")</f>
        <v/>
      </c>
    </row>
    <row r="306">
      <c r="G306" s="16" t="str">
        <f>IFERROR(__xludf.DUMMYFUNCTION("""COMPUTED_VALUE"""),"")</f>
        <v/>
      </c>
    </row>
    <row r="307">
      <c r="G307" s="16" t="str">
        <f>IFERROR(__xludf.DUMMYFUNCTION("""COMPUTED_VALUE"""),"")</f>
        <v/>
      </c>
    </row>
    <row r="308">
      <c r="G308" s="16" t="str">
        <f>IFERROR(__xludf.DUMMYFUNCTION("""COMPUTED_VALUE"""),"")</f>
        <v/>
      </c>
    </row>
    <row r="309">
      <c r="G309" s="16" t="str">
        <f>IFERROR(__xludf.DUMMYFUNCTION("""COMPUTED_VALUE"""),"")</f>
        <v/>
      </c>
    </row>
    <row r="310">
      <c r="G310" s="16" t="str">
        <f>IFERROR(__xludf.DUMMYFUNCTION("""COMPUTED_VALUE"""),"")</f>
        <v/>
      </c>
    </row>
    <row r="311">
      <c r="G311" s="16" t="str">
        <f>IFERROR(__xludf.DUMMYFUNCTION("""COMPUTED_VALUE"""),"")</f>
        <v/>
      </c>
    </row>
    <row r="312">
      <c r="G312" s="16" t="str">
        <f>IFERROR(__xludf.DUMMYFUNCTION("""COMPUTED_VALUE"""),"")</f>
        <v/>
      </c>
    </row>
    <row r="313">
      <c r="G313" s="16" t="str">
        <f>IFERROR(__xludf.DUMMYFUNCTION("""COMPUTED_VALUE"""),"")</f>
        <v/>
      </c>
    </row>
    <row r="314">
      <c r="G314" s="16" t="str">
        <f>IFERROR(__xludf.DUMMYFUNCTION("""COMPUTED_VALUE"""),"")</f>
        <v/>
      </c>
    </row>
    <row r="315">
      <c r="G315" s="16" t="str">
        <f>IFERROR(__xludf.DUMMYFUNCTION("""COMPUTED_VALUE"""),"")</f>
        <v/>
      </c>
    </row>
    <row r="316">
      <c r="G316" s="16" t="str">
        <f>IFERROR(__xludf.DUMMYFUNCTION("""COMPUTED_VALUE"""),"")</f>
        <v/>
      </c>
    </row>
    <row r="317">
      <c r="G317" s="16" t="str">
        <f>IFERROR(__xludf.DUMMYFUNCTION("""COMPUTED_VALUE"""),"")</f>
        <v/>
      </c>
    </row>
    <row r="318">
      <c r="G318" s="16" t="str">
        <f>IFERROR(__xludf.DUMMYFUNCTION("""COMPUTED_VALUE"""),"")</f>
        <v/>
      </c>
    </row>
    <row r="319">
      <c r="G319" s="16" t="str">
        <f>IFERROR(__xludf.DUMMYFUNCTION("""COMPUTED_VALUE"""),"")</f>
        <v/>
      </c>
    </row>
    <row r="320">
      <c r="G320" s="16" t="str">
        <f>IFERROR(__xludf.DUMMYFUNCTION("""COMPUTED_VALUE"""),"")</f>
        <v/>
      </c>
    </row>
    <row r="321">
      <c r="G321" s="16" t="str">
        <f>IFERROR(__xludf.DUMMYFUNCTION("""COMPUTED_VALUE"""),"")</f>
        <v/>
      </c>
    </row>
    <row r="322">
      <c r="G322" s="16" t="str">
        <f>IFERROR(__xludf.DUMMYFUNCTION("""COMPUTED_VALUE"""),"")</f>
        <v/>
      </c>
    </row>
    <row r="323">
      <c r="G323" s="16" t="str">
        <f>IFERROR(__xludf.DUMMYFUNCTION("""COMPUTED_VALUE"""),"")</f>
        <v/>
      </c>
    </row>
    <row r="324">
      <c r="G324" s="16" t="str">
        <f>IFERROR(__xludf.DUMMYFUNCTION("""COMPUTED_VALUE"""),"")</f>
        <v/>
      </c>
    </row>
    <row r="325">
      <c r="G325" s="16" t="str">
        <f>IFERROR(__xludf.DUMMYFUNCTION("""COMPUTED_VALUE"""),"")</f>
        <v/>
      </c>
    </row>
    <row r="326">
      <c r="G326" s="16" t="str">
        <f>IFERROR(__xludf.DUMMYFUNCTION("""COMPUTED_VALUE"""),"")</f>
        <v/>
      </c>
    </row>
    <row r="327">
      <c r="G327" s="16" t="str">
        <f>IFERROR(__xludf.DUMMYFUNCTION("""COMPUTED_VALUE"""),"")</f>
        <v/>
      </c>
    </row>
    <row r="328">
      <c r="G328" s="16" t="str">
        <f>IFERROR(__xludf.DUMMYFUNCTION("""COMPUTED_VALUE"""),"")</f>
        <v/>
      </c>
    </row>
    <row r="329">
      <c r="G329" s="16" t="str">
        <f>IFERROR(__xludf.DUMMYFUNCTION("""COMPUTED_VALUE"""),"")</f>
        <v/>
      </c>
    </row>
    <row r="330">
      <c r="G330" s="16" t="str">
        <f>IFERROR(__xludf.DUMMYFUNCTION("""COMPUTED_VALUE"""),"")</f>
        <v/>
      </c>
    </row>
    <row r="331">
      <c r="G331" s="16" t="str">
        <f>IFERROR(__xludf.DUMMYFUNCTION("""COMPUTED_VALUE"""),"")</f>
        <v/>
      </c>
    </row>
    <row r="332">
      <c r="G332" s="16" t="str">
        <f>IFERROR(__xludf.DUMMYFUNCTION("""COMPUTED_VALUE"""),"")</f>
        <v/>
      </c>
    </row>
    <row r="333">
      <c r="G333" s="16" t="str">
        <f>IFERROR(__xludf.DUMMYFUNCTION("""COMPUTED_VALUE"""),"")</f>
        <v/>
      </c>
    </row>
    <row r="334">
      <c r="G334" s="16" t="str">
        <f>IFERROR(__xludf.DUMMYFUNCTION("""COMPUTED_VALUE"""),"")</f>
        <v/>
      </c>
    </row>
    <row r="335">
      <c r="G335" s="16" t="str">
        <f>IFERROR(__xludf.DUMMYFUNCTION("""COMPUTED_VALUE"""),"")</f>
        <v/>
      </c>
    </row>
    <row r="336">
      <c r="G336" s="16" t="str">
        <f>IFERROR(__xludf.DUMMYFUNCTION("""COMPUTED_VALUE"""),"")</f>
        <v/>
      </c>
    </row>
    <row r="337">
      <c r="G337" s="16" t="str">
        <f>IFERROR(__xludf.DUMMYFUNCTION("""COMPUTED_VALUE"""),"")</f>
        <v/>
      </c>
    </row>
    <row r="338">
      <c r="G338" s="16" t="str">
        <f>IFERROR(__xludf.DUMMYFUNCTION("""COMPUTED_VALUE"""),"")</f>
        <v/>
      </c>
    </row>
    <row r="339">
      <c r="G339" s="16" t="str">
        <f>IFERROR(__xludf.DUMMYFUNCTION("""COMPUTED_VALUE"""),"")</f>
        <v/>
      </c>
    </row>
    <row r="340">
      <c r="G340" s="16" t="str">
        <f>IFERROR(__xludf.DUMMYFUNCTION("""COMPUTED_VALUE"""),"")</f>
        <v/>
      </c>
    </row>
    <row r="341">
      <c r="G341" s="16" t="str">
        <f>IFERROR(__xludf.DUMMYFUNCTION("""COMPUTED_VALUE"""),"")</f>
        <v/>
      </c>
    </row>
    <row r="342">
      <c r="G342" s="16" t="str">
        <f>IFERROR(__xludf.DUMMYFUNCTION("""COMPUTED_VALUE"""),"")</f>
        <v/>
      </c>
    </row>
    <row r="343">
      <c r="G343" s="16" t="str">
        <f>IFERROR(__xludf.DUMMYFUNCTION("""COMPUTED_VALUE"""),"")</f>
        <v/>
      </c>
    </row>
    <row r="344">
      <c r="G344" s="16" t="str">
        <f>IFERROR(__xludf.DUMMYFUNCTION("""COMPUTED_VALUE"""),"")</f>
        <v/>
      </c>
    </row>
    <row r="345">
      <c r="G345" s="16" t="str">
        <f>IFERROR(__xludf.DUMMYFUNCTION("""COMPUTED_VALUE"""),"")</f>
        <v/>
      </c>
    </row>
    <row r="346">
      <c r="G346" s="16" t="str">
        <f>IFERROR(__xludf.DUMMYFUNCTION("""COMPUTED_VALUE"""),"")</f>
        <v/>
      </c>
    </row>
    <row r="347">
      <c r="G347" s="16" t="str">
        <f>IFERROR(__xludf.DUMMYFUNCTION("""COMPUTED_VALUE"""),"")</f>
        <v/>
      </c>
    </row>
    <row r="348">
      <c r="G348" s="16" t="str">
        <f>IFERROR(__xludf.DUMMYFUNCTION("""COMPUTED_VALUE"""),"")</f>
        <v/>
      </c>
    </row>
    <row r="349">
      <c r="G349" s="16" t="str">
        <f>IFERROR(__xludf.DUMMYFUNCTION("""COMPUTED_VALUE"""),"")</f>
        <v/>
      </c>
    </row>
    <row r="350">
      <c r="G350" s="16" t="str">
        <f>IFERROR(__xludf.DUMMYFUNCTION("""COMPUTED_VALUE"""),"")</f>
        <v/>
      </c>
    </row>
    <row r="351">
      <c r="G351" s="16" t="str">
        <f>IFERROR(__xludf.DUMMYFUNCTION("""COMPUTED_VALUE"""),"")</f>
        <v/>
      </c>
    </row>
    <row r="352">
      <c r="G352" s="16" t="str">
        <f>IFERROR(__xludf.DUMMYFUNCTION("""COMPUTED_VALUE"""),"")</f>
        <v/>
      </c>
    </row>
    <row r="353">
      <c r="G353" s="16" t="str">
        <f>IFERROR(__xludf.DUMMYFUNCTION("""COMPUTED_VALUE"""),"")</f>
        <v/>
      </c>
    </row>
    <row r="354">
      <c r="G354" s="16" t="str">
        <f>IFERROR(__xludf.DUMMYFUNCTION("""COMPUTED_VALUE"""),"")</f>
        <v/>
      </c>
    </row>
    <row r="355">
      <c r="G355" s="16" t="str">
        <f>IFERROR(__xludf.DUMMYFUNCTION("""COMPUTED_VALUE"""),"")</f>
        <v/>
      </c>
    </row>
    <row r="356">
      <c r="G356" s="16" t="str">
        <f>IFERROR(__xludf.DUMMYFUNCTION("""COMPUTED_VALUE"""),"")</f>
        <v/>
      </c>
    </row>
    <row r="357">
      <c r="G357" s="16" t="str">
        <f>IFERROR(__xludf.DUMMYFUNCTION("""COMPUTED_VALUE"""),"")</f>
        <v/>
      </c>
    </row>
    <row r="358">
      <c r="G358" s="16" t="str">
        <f>IFERROR(__xludf.DUMMYFUNCTION("""COMPUTED_VALUE"""),"")</f>
        <v/>
      </c>
    </row>
    <row r="359">
      <c r="G359" s="16" t="str">
        <f>IFERROR(__xludf.DUMMYFUNCTION("""COMPUTED_VALUE"""),"")</f>
        <v/>
      </c>
    </row>
    <row r="360">
      <c r="G360" s="16" t="str">
        <f>IFERROR(__xludf.DUMMYFUNCTION("""COMPUTED_VALUE"""),"")</f>
        <v/>
      </c>
    </row>
    <row r="361">
      <c r="G361" s="16" t="str">
        <f>IFERROR(__xludf.DUMMYFUNCTION("""COMPUTED_VALUE"""),"")</f>
        <v/>
      </c>
    </row>
    <row r="362">
      <c r="G362" s="16" t="str">
        <f>IFERROR(__xludf.DUMMYFUNCTION("""COMPUTED_VALUE"""),"")</f>
        <v/>
      </c>
    </row>
    <row r="363">
      <c r="G363" s="16" t="str">
        <f>IFERROR(__xludf.DUMMYFUNCTION("""COMPUTED_VALUE"""),"")</f>
        <v/>
      </c>
    </row>
    <row r="364">
      <c r="G364" s="16" t="str">
        <f>IFERROR(__xludf.DUMMYFUNCTION("""COMPUTED_VALUE"""),"")</f>
        <v/>
      </c>
    </row>
    <row r="365">
      <c r="G365" s="16" t="str">
        <f>IFERROR(__xludf.DUMMYFUNCTION("""COMPUTED_VALUE"""),"")</f>
        <v/>
      </c>
    </row>
    <row r="366">
      <c r="G366" s="16" t="str">
        <f>IFERROR(__xludf.DUMMYFUNCTION("""COMPUTED_VALUE"""),"")</f>
        <v/>
      </c>
    </row>
    <row r="367">
      <c r="G367" s="16" t="str">
        <f>IFERROR(__xludf.DUMMYFUNCTION("""COMPUTED_VALUE"""),"")</f>
        <v/>
      </c>
    </row>
    <row r="368">
      <c r="G368" s="16" t="str">
        <f>IFERROR(__xludf.DUMMYFUNCTION("""COMPUTED_VALUE"""),"")</f>
        <v/>
      </c>
    </row>
    <row r="369">
      <c r="G369" s="16" t="str">
        <f>IFERROR(__xludf.DUMMYFUNCTION("""COMPUTED_VALUE"""),"")</f>
        <v/>
      </c>
    </row>
    <row r="370">
      <c r="G370" s="16" t="str">
        <f>IFERROR(__xludf.DUMMYFUNCTION("""COMPUTED_VALUE"""),"")</f>
        <v/>
      </c>
    </row>
    <row r="371">
      <c r="G371" s="16" t="str">
        <f>IFERROR(__xludf.DUMMYFUNCTION("""COMPUTED_VALUE"""),"")</f>
        <v/>
      </c>
    </row>
    <row r="372">
      <c r="G372" s="16" t="str">
        <f>IFERROR(__xludf.DUMMYFUNCTION("""COMPUTED_VALUE"""),"")</f>
        <v/>
      </c>
    </row>
    <row r="373">
      <c r="G373" s="16" t="str">
        <f>IFERROR(__xludf.DUMMYFUNCTION("""COMPUTED_VALUE"""),"")</f>
        <v/>
      </c>
    </row>
    <row r="374">
      <c r="G374" s="16" t="str">
        <f>IFERROR(__xludf.DUMMYFUNCTION("""COMPUTED_VALUE"""),"")</f>
        <v/>
      </c>
    </row>
    <row r="375">
      <c r="G375" s="16" t="str">
        <f>IFERROR(__xludf.DUMMYFUNCTION("""COMPUTED_VALUE"""),"")</f>
        <v/>
      </c>
    </row>
    <row r="376">
      <c r="G376" s="16" t="str">
        <f>IFERROR(__xludf.DUMMYFUNCTION("""COMPUTED_VALUE"""),"")</f>
        <v/>
      </c>
    </row>
    <row r="377">
      <c r="G377" s="16" t="str">
        <f>IFERROR(__xludf.DUMMYFUNCTION("""COMPUTED_VALUE"""),"")</f>
        <v/>
      </c>
    </row>
    <row r="378">
      <c r="G378" s="16" t="str">
        <f>IFERROR(__xludf.DUMMYFUNCTION("""COMPUTED_VALUE"""),"")</f>
        <v/>
      </c>
    </row>
    <row r="379">
      <c r="G379" s="16" t="str">
        <f>IFERROR(__xludf.DUMMYFUNCTION("""COMPUTED_VALUE"""),"")</f>
        <v/>
      </c>
    </row>
    <row r="380">
      <c r="G380" s="16" t="str">
        <f>IFERROR(__xludf.DUMMYFUNCTION("""COMPUTED_VALUE"""),"")</f>
        <v/>
      </c>
    </row>
    <row r="381">
      <c r="G381" s="16" t="str">
        <f>IFERROR(__xludf.DUMMYFUNCTION("""COMPUTED_VALUE"""),"")</f>
        <v/>
      </c>
    </row>
    <row r="382">
      <c r="G382" s="16" t="str">
        <f>IFERROR(__xludf.DUMMYFUNCTION("""COMPUTED_VALUE"""),"")</f>
        <v/>
      </c>
    </row>
    <row r="383">
      <c r="G383" s="16" t="str">
        <f>IFERROR(__xludf.DUMMYFUNCTION("""COMPUTED_VALUE"""),"")</f>
        <v/>
      </c>
    </row>
    <row r="384">
      <c r="G384" s="16" t="str">
        <f>IFERROR(__xludf.DUMMYFUNCTION("""COMPUTED_VALUE"""),"")</f>
        <v/>
      </c>
    </row>
    <row r="385">
      <c r="G385" s="16" t="str">
        <f>IFERROR(__xludf.DUMMYFUNCTION("""COMPUTED_VALUE"""),"")</f>
        <v/>
      </c>
    </row>
    <row r="386">
      <c r="G386" s="16" t="str">
        <f>IFERROR(__xludf.DUMMYFUNCTION("""COMPUTED_VALUE"""),"")</f>
        <v/>
      </c>
    </row>
    <row r="387">
      <c r="G387" s="16" t="str">
        <f>IFERROR(__xludf.DUMMYFUNCTION("""COMPUTED_VALUE"""),"")</f>
        <v/>
      </c>
    </row>
    <row r="388">
      <c r="G388" s="16" t="str">
        <f>IFERROR(__xludf.DUMMYFUNCTION("""COMPUTED_VALUE"""),"")</f>
        <v/>
      </c>
    </row>
    <row r="389">
      <c r="G389" s="16" t="str">
        <f>IFERROR(__xludf.DUMMYFUNCTION("""COMPUTED_VALUE"""),"")</f>
        <v/>
      </c>
    </row>
    <row r="390">
      <c r="G390" s="16" t="str">
        <f>IFERROR(__xludf.DUMMYFUNCTION("""COMPUTED_VALUE"""),"")</f>
        <v/>
      </c>
    </row>
    <row r="391">
      <c r="G391" s="16" t="str">
        <f>IFERROR(__xludf.DUMMYFUNCTION("""COMPUTED_VALUE"""),"")</f>
        <v/>
      </c>
    </row>
    <row r="392">
      <c r="G392" s="16" t="str">
        <f>IFERROR(__xludf.DUMMYFUNCTION("""COMPUTED_VALUE"""),"")</f>
        <v/>
      </c>
    </row>
    <row r="393">
      <c r="G393" s="16" t="str">
        <f>IFERROR(__xludf.DUMMYFUNCTION("""COMPUTED_VALUE"""),"")</f>
        <v/>
      </c>
    </row>
    <row r="394">
      <c r="G394" s="16" t="str">
        <f>IFERROR(__xludf.DUMMYFUNCTION("""COMPUTED_VALUE"""),"")</f>
        <v/>
      </c>
    </row>
    <row r="395">
      <c r="G395" s="16" t="str">
        <f>IFERROR(__xludf.DUMMYFUNCTION("""COMPUTED_VALUE"""),"")</f>
        <v/>
      </c>
    </row>
    <row r="396">
      <c r="G396" s="16" t="str">
        <f>IFERROR(__xludf.DUMMYFUNCTION("""COMPUTED_VALUE"""),"")</f>
        <v/>
      </c>
    </row>
    <row r="397">
      <c r="G397" s="16" t="str">
        <f>IFERROR(__xludf.DUMMYFUNCTION("""COMPUTED_VALUE"""),"")</f>
        <v/>
      </c>
    </row>
    <row r="398">
      <c r="G398" s="16" t="str">
        <f>IFERROR(__xludf.DUMMYFUNCTION("""COMPUTED_VALUE"""),"")</f>
        <v/>
      </c>
    </row>
    <row r="399">
      <c r="G399" s="16" t="str">
        <f>IFERROR(__xludf.DUMMYFUNCTION("""COMPUTED_VALUE"""),"")</f>
        <v/>
      </c>
    </row>
    <row r="400">
      <c r="G400" s="16" t="str">
        <f>IFERROR(__xludf.DUMMYFUNCTION("""COMPUTED_VALUE"""),"")</f>
        <v/>
      </c>
    </row>
    <row r="401">
      <c r="G401" s="16" t="str">
        <f>IFERROR(__xludf.DUMMYFUNCTION("""COMPUTED_VALUE"""),"")</f>
        <v/>
      </c>
    </row>
    <row r="402">
      <c r="G402" s="16" t="str">
        <f>IFERROR(__xludf.DUMMYFUNCTION("""COMPUTED_VALUE"""),"")</f>
        <v/>
      </c>
    </row>
    <row r="403">
      <c r="G403" s="16" t="str">
        <f>IFERROR(__xludf.DUMMYFUNCTION("""COMPUTED_VALUE"""),"")</f>
        <v/>
      </c>
    </row>
    <row r="404">
      <c r="G404" s="16" t="str">
        <f>IFERROR(__xludf.DUMMYFUNCTION("""COMPUTED_VALUE"""),"")</f>
        <v/>
      </c>
    </row>
    <row r="405">
      <c r="G405" s="16" t="str">
        <f>IFERROR(__xludf.DUMMYFUNCTION("""COMPUTED_VALUE"""),"")</f>
        <v/>
      </c>
    </row>
    <row r="406">
      <c r="G406" s="16" t="str">
        <f>IFERROR(__xludf.DUMMYFUNCTION("""COMPUTED_VALUE"""),"")</f>
        <v/>
      </c>
    </row>
    <row r="407">
      <c r="G407" s="16" t="str">
        <f>IFERROR(__xludf.DUMMYFUNCTION("""COMPUTED_VALUE"""),"")</f>
        <v/>
      </c>
    </row>
    <row r="408">
      <c r="G408" s="16" t="str">
        <f>IFERROR(__xludf.DUMMYFUNCTION("""COMPUTED_VALUE"""),"")</f>
        <v/>
      </c>
    </row>
    <row r="409">
      <c r="G409" s="16" t="str">
        <f>IFERROR(__xludf.DUMMYFUNCTION("""COMPUTED_VALUE"""),"")</f>
        <v/>
      </c>
    </row>
    <row r="410">
      <c r="G410" s="16" t="str">
        <f>IFERROR(__xludf.DUMMYFUNCTION("""COMPUTED_VALUE"""),"")</f>
        <v/>
      </c>
    </row>
    <row r="411">
      <c r="G411" s="16" t="str">
        <f>IFERROR(__xludf.DUMMYFUNCTION("""COMPUTED_VALUE"""),"")</f>
        <v/>
      </c>
    </row>
    <row r="412">
      <c r="G412" s="16" t="str">
        <f>IFERROR(__xludf.DUMMYFUNCTION("""COMPUTED_VALUE"""),"")</f>
        <v/>
      </c>
    </row>
    <row r="413">
      <c r="G413" s="16" t="str">
        <f>IFERROR(__xludf.DUMMYFUNCTION("""COMPUTED_VALUE"""),"")</f>
        <v/>
      </c>
    </row>
    <row r="414">
      <c r="G414" s="16" t="str">
        <f>IFERROR(__xludf.DUMMYFUNCTION("""COMPUTED_VALUE"""),"")</f>
        <v/>
      </c>
    </row>
    <row r="415">
      <c r="G415" s="16" t="str">
        <f>IFERROR(__xludf.DUMMYFUNCTION("""COMPUTED_VALUE"""),"")</f>
        <v/>
      </c>
    </row>
    <row r="416">
      <c r="G416" s="16" t="str">
        <f>IFERROR(__xludf.DUMMYFUNCTION("""COMPUTED_VALUE"""),"")</f>
        <v/>
      </c>
    </row>
    <row r="417">
      <c r="G417" s="16" t="str">
        <f>IFERROR(__xludf.DUMMYFUNCTION("""COMPUTED_VALUE"""),"")</f>
        <v/>
      </c>
    </row>
    <row r="418">
      <c r="G418" s="16" t="str">
        <f>IFERROR(__xludf.DUMMYFUNCTION("""COMPUTED_VALUE"""),"")</f>
        <v/>
      </c>
    </row>
    <row r="419">
      <c r="G419" s="16" t="str">
        <f>IFERROR(__xludf.DUMMYFUNCTION("""COMPUTED_VALUE"""),"")</f>
        <v/>
      </c>
    </row>
    <row r="420">
      <c r="G420" s="16" t="str">
        <f>IFERROR(__xludf.DUMMYFUNCTION("""COMPUTED_VALUE"""),"")</f>
        <v/>
      </c>
    </row>
    <row r="421">
      <c r="G421" s="16" t="str">
        <f>IFERROR(__xludf.DUMMYFUNCTION("""COMPUTED_VALUE"""),"")</f>
        <v/>
      </c>
    </row>
    <row r="422">
      <c r="G422" s="16" t="str">
        <f>IFERROR(__xludf.DUMMYFUNCTION("""COMPUTED_VALUE"""),"")</f>
        <v/>
      </c>
    </row>
    <row r="423">
      <c r="G423" s="16" t="str">
        <f>IFERROR(__xludf.DUMMYFUNCTION("""COMPUTED_VALUE"""),"")</f>
        <v/>
      </c>
    </row>
    <row r="424">
      <c r="G424" s="16" t="str">
        <f>IFERROR(__xludf.DUMMYFUNCTION("""COMPUTED_VALUE"""),"")</f>
        <v/>
      </c>
    </row>
    <row r="425">
      <c r="G425" s="16" t="str">
        <f>IFERROR(__xludf.DUMMYFUNCTION("""COMPUTED_VALUE"""),"")</f>
        <v/>
      </c>
    </row>
    <row r="426">
      <c r="G426" s="16" t="str">
        <f>IFERROR(__xludf.DUMMYFUNCTION("""COMPUTED_VALUE"""),"")</f>
        <v/>
      </c>
    </row>
    <row r="427">
      <c r="G427" s="16" t="str">
        <f>IFERROR(__xludf.DUMMYFUNCTION("""COMPUTED_VALUE"""),"")</f>
        <v/>
      </c>
    </row>
    <row r="428">
      <c r="G428" s="16" t="str">
        <f>IFERROR(__xludf.DUMMYFUNCTION("""COMPUTED_VALUE"""),"")</f>
        <v/>
      </c>
    </row>
    <row r="429">
      <c r="G429" s="16" t="str">
        <f>IFERROR(__xludf.DUMMYFUNCTION("""COMPUTED_VALUE"""),"")</f>
        <v/>
      </c>
    </row>
    <row r="430">
      <c r="G430" s="16" t="str">
        <f>IFERROR(__xludf.DUMMYFUNCTION("""COMPUTED_VALUE"""),"")</f>
        <v/>
      </c>
    </row>
    <row r="431">
      <c r="G431" s="16" t="str">
        <f>IFERROR(__xludf.DUMMYFUNCTION("""COMPUTED_VALUE"""),"")</f>
        <v/>
      </c>
    </row>
    <row r="432">
      <c r="G432" s="16" t="str">
        <f>IFERROR(__xludf.DUMMYFUNCTION("""COMPUTED_VALUE"""),"")</f>
        <v/>
      </c>
    </row>
    <row r="433">
      <c r="G433" s="16" t="str">
        <f>IFERROR(__xludf.DUMMYFUNCTION("""COMPUTED_VALUE"""),"")</f>
        <v/>
      </c>
    </row>
    <row r="434">
      <c r="G434" s="16" t="str">
        <f>IFERROR(__xludf.DUMMYFUNCTION("""COMPUTED_VALUE"""),"")</f>
        <v/>
      </c>
    </row>
    <row r="435">
      <c r="G435" s="16" t="str">
        <f>IFERROR(__xludf.DUMMYFUNCTION("""COMPUTED_VALUE"""),"")</f>
        <v/>
      </c>
    </row>
    <row r="436">
      <c r="G436" s="16" t="str">
        <f>IFERROR(__xludf.DUMMYFUNCTION("""COMPUTED_VALUE"""),"")</f>
        <v/>
      </c>
    </row>
    <row r="437">
      <c r="G437" s="16" t="str">
        <f>IFERROR(__xludf.DUMMYFUNCTION("""COMPUTED_VALUE"""),"")</f>
        <v/>
      </c>
    </row>
    <row r="438">
      <c r="G438" s="16" t="str">
        <f>IFERROR(__xludf.DUMMYFUNCTION("""COMPUTED_VALUE"""),"")</f>
        <v/>
      </c>
    </row>
    <row r="439">
      <c r="G439" s="16" t="str">
        <f>IFERROR(__xludf.DUMMYFUNCTION("""COMPUTED_VALUE"""),"")</f>
        <v/>
      </c>
    </row>
    <row r="440">
      <c r="G440" s="16" t="str">
        <f>IFERROR(__xludf.DUMMYFUNCTION("""COMPUTED_VALUE"""),"")</f>
        <v/>
      </c>
    </row>
    <row r="441">
      <c r="G441" s="16" t="str">
        <f>IFERROR(__xludf.DUMMYFUNCTION("""COMPUTED_VALUE"""),"")</f>
        <v/>
      </c>
    </row>
    <row r="442">
      <c r="G442" s="16" t="str">
        <f>IFERROR(__xludf.DUMMYFUNCTION("""COMPUTED_VALUE"""),"")</f>
        <v/>
      </c>
    </row>
    <row r="443">
      <c r="G443" s="16" t="str">
        <f>IFERROR(__xludf.DUMMYFUNCTION("""COMPUTED_VALUE"""),"")</f>
        <v/>
      </c>
    </row>
    <row r="444">
      <c r="G444" s="16" t="str">
        <f>IFERROR(__xludf.DUMMYFUNCTION("""COMPUTED_VALUE"""),"")</f>
        <v/>
      </c>
    </row>
    <row r="445">
      <c r="G445" s="16" t="str">
        <f>IFERROR(__xludf.DUMMYFUNCTION("""COMPUTED_VALUE"""),"")</f>
        <v/>
      </c>
    </row>
    <row r="446">
      <c r="G446" s="16" t="str">
        <f>IFERROR(__xludf.DUMMYFUNCTION("""COMPUTED_VALUE"""),"")</f>
        <v/>
      </c>
    </row>
    <row r="447">
      <c r="G447" s="16" t="str">
        <f>IFERROR(__xludf.DUMMYFUNCTION("""COMPUTED_VALUE"""),"")</f>
        <v/>
      </c>
    </row>
    <row r="448">
      <c r="G448" s="16" t="str">
        <f>IFERROR(__xludf.DUMMYFUNCTION("""COMPUTED_VALUE"""),"")</f>
        <v/>
      </c>
    </row>
    <row r="449">
      <c r="G449" s="16" t="str">
        <f>IFERROR(__xludf.DUMMYFUNCTION("""COMPUTED_VALUE"""),"")</f>
        <v/>
      </c>
    </row>
    <row r="450">
      <c r="G450" s="16" t="str">
        <f>IFERROR(__xludf.DUMMYFUNCTION("""COMPUTED_VALUE"""),"")</f>
        <v/>
      </c>
    </row>
    <row r="451">
      <c r="G451" s="16" t="str">
        <f>IFERROR(__xludf.DUMMYFUNCTION("""COMPUTED_VALUE"""),"")</f>
        <v/>
      </c>
    </row>
    <row r="452">
      <c r="G452" s="16" t="str">
        <f>IFERROR(__xludf.DUMMYFUNCTION("""COMPUTED_VALUE"""),"")</f>
        <v/>
      </c>
    </row>
    <row r="453">
      <c r="G453" s="16" t="str">
        <f>IFERROR(__xludf.DUMMYFUNCTION("""COMPUTED_VALUE"""),"")</f>
        <v/>
      </c>
    </row>
    <row r="454">
      <c r="G454" s="16" t="str">
        <f>IFERROR(__xludf.DUMMYFUNCTION("""COMPUTED_VALUE"""),"")</f>
        <v/>
      </c>
    </row>
    <row r="455">
      <c r="G455" s="16" t="str">
        <f>IFERROR(__xludf.DUMMYFUNCTION("""COMPUTED_VALUE"""),"")</f>
        <v/>
      </c>
    </row>
    <row r="456">
      <c r="G456" s="16" t="str">
        <f>IFERROR(__xludf.DUMMYFUNCTION("""COMPUTED_VALUE"""),"")</f>
        <v/>
      </c>
    </row>
    <row r="457">
      <c r="G457" s="16" t="str">
        <f>IFERROR(__xludf.DUMMYFUNCTION("""COMPUTED_VALUE"""),"")</f>
        <v/>
      </c>
    </row>
    <row r="458">
      <c r="G458" s="16" t="str">
        <f>IFERROR(__xludf.DUMMYFUNCTION("""COMPUTED_VALUE"""),"")</f>
        <v/>
      </c>
    </row>
    <row r="459">
      <c r="G459" s="16" t="str">
        <f>IFERROR(__xludf.DUMMYFUNCTION("""COMPUTED_VALUE"""),"")</f>
        <v/>
      </c>
    </row>
    <row r="460">
      <c r="G460" s="16" t="str">
        <f>IFERROR(__xludf.DUMMYFUNCTION("""COMPUTED_VALUE"""),"")</f>
        <v/>
      </c>
    </row>
    <row r="461">
      <c r="G461" s="16" t="str">
        <f>IFERROR(__xludf.DUMMYFUNCTION("""COMPUTED_VALUE"""),"")</f>
        <v/>
      </c>
    </row>
    <row r="462">
      <c r="G462" s="16" t="str">
        <f>IFERROR(__xludf.DUMMYFUNCTION("""COMPUTED_VALUE"""),"")</f>
        <v/>
      </c>
    </row>
    <row r="463">
      <c r="G463" s="16" t="str">
        <f>IFERROR(__xludf.DUMMYFUNCTION("""COMPUTED_VALUE"""),"")</f>
        <v/>
      </c>
    </row>
    <row r="464">
      <c r="G464" s="16" t="str">
        <f>IFERROR(__xludf.DUMMYFUNCTION("""COMPUTED_VALUE"""),"")</f>
        <v/>
      </c>
    </row>
    <row r="465">
      <c r="G465" s="16" t="str">
        <f>IFERROR(__xludf.DUMMYFUNCTION("""COMPUTED_VALUE"""),"")</f>
        <v/>
      </c>
    </row>
    <row r="466">
      <c r="G466" s="16" t="str">
        <f>IFERROR(__xludf.DUMMYFUNCTION("""COMPUTED_VALUE"""),"")</f>
        <v/>
      </c>
    </row>
    <row r="467">
      <c r="G467" s="16" t="str">
        <f>IFERROR(__xludf.DUMMYFUNCTION("""COMPUTED_VALUE"""),"")</f>
        <v/>
      </c>
    </row>
    <row r="468">
      <c r="G468" s="16" t="str">
        <f>IFERROR(__xludf.DUMMYFUNCTION("""COMPUTED_VALUE"""),"")</f>
        <v/>
      </c>
    </row>
    <row r="469">
      <c r="G469" s="16" t="str">
        <f>IFERROR(__xludf.DUMMYFUNCTION("""COMPUTED_VALUE"""),"")</f>
        <v/>
      </c>
    </row>
    <row r="470">
      <c r="G470" s="16" t="str">
        <f>IFERROR(__xludf.DUMMYFUNCTION("""COMPUTED_VALUE"""),"")</f>
        <v/>
      </c>
    </row>
    <row r="471">
      <c r="G471" s="16" t="str">
        <f>IFERROR(__xludf.DUMMYFUNCTION("""COMPUTED_VALUE"""),"")</f>
        <v/>
      </c>
    </row>
    <row r="472">
      <c r="G472" s="16" t="str">
        <f>IFERROR(__xludf.DUMMYFUNCTION("""COMPUTED_VALUE"""),"")</f>
        <v/>
      </c>
    </row>
    <row r="473">
      <c r="G473" s="16" t="str">
        <f>IFERROR(__xludf.DUMMYFUNCTION("""COMPUTED_VALUE"""),"")</f>
        <v/>
      </c>
    </row>
    <row r="474">
      <c r="G474" s="16" t="str">
        <f>IFERROR(__xludf.DUMMYFUNCTION("""COMPUTED_VALUE"""),"")</f>
        <v/>
      </c>
    </row>
    <row r="475">
      <c r="G475" s="16" t="str">
        <f>IFERROR(__xludf.DUMMYFUNCTION("""COMPUTED_VALUE"""),"")</f>
        <v/>
      </c>
    </row>
    <row r="476">
      <c r="G476" s="16" t="str">
        <f>IFERROR(__xludf.DUMMYFUNCTION("""COMPUTED_VALUE"""),"")</f>
        <v/>
      </c>
    </row>
    <row r="477">
      <c r="G477" s="16" t="str">
        <f>IFERROR(__xludf.DUMMYFUNCTION("""COMPUTED_VALUE"""),"")</f>
        <v/>
      </c>
    </row>
    <row r="478">
      <c r="G478" s="16" t="str">
        <f>IFERROR(__xludf.DUMMYFUNCTION("""COMPUTED_VALUE"""),"")</f>
        <v/>
      </c>
    </row>
    <row r="479">
      <c r="G479" s="16" t="str">
        <f>IFERROR(__xludf.DUMMYFUNCTION("""COMPUTED_VALUE"""),"")</f>
        <v/>
      </c>
    </row>
    <row r="480">
      <c r="G480" s="16" t="str">
        <f>IFERROR(__xludf.DUMMYFUNCTION("""COMPUTED_VALUE"""),"")</f>
        <v/>
      </c>
    </row>
    <row r="481">
      <c r="G481" s="16" t="str">
        <f>IFERROR(__xludf.DUMMYFUNCTION("""COMPUTED_VALUE"""),"")</f>
        <v/>
      </c>
    </row>
    <row r="482">
      <c r="G482" s="16" t="str">
        <f>IFERROR(__xludf.DUMMYFUNCTION("""COMPUTED_VALUE"""),"")</f>
        <v/>
      </c>
    </row>
    <row r="483">
      <c r="G483" s="16" t="str">
        <f>IFERROR(__xludf.DUMMYFUNCTION("""COMPUTED_VALUE"""),"")</f>
        <v/>
      </c>
    </row>
    <row r="484">
      <c r="G484" s="16" t="str">
        <f>IFERROR(__xludf.DUMMYFUNCTION("""COMPUTED_VALUE"""),"")</f>
        <v/>
      </c>
    </row>
    <row r="485">
      <c r="G485" s="16" t="str">
        <f>IFERROR(__xludf.DUMMYFUNCTION("""COMPUTED_VALUE"""),"")</f>
        <v/>
      </c>
    </row>
    <row r="486">
      <c r="G486" s="16" t="str">
        <f>IFERROR(__xludf.DUMMYFUNCTION("""COMPUTED_VALUE"""),"")</f>
        <v/>
      </c>
    </row>
    <row r="487">
      <c r="G487" s="16" t="str">
        <f>IFERROR(__xludf.DUMMYFUNCTION("""COMPUTED_VALUE"""),"")</f>
        <v/>
      </c>
    </row>
    <row r="488">
      <c r="G488" s="16" t="str">
        <f>IFERROR(__xludf.DUMMYFUNCTION("""COMPUTED_VALUE"""),"")</f>
        <v/>
      </c>
    </row>
    <row r="489">
      <c r="G489" s="16" t="str">
        <f>IFERROR(__xludf.DUMMYFUNCTION("""COMPUTED_VALUE"""),"")</f>
        <v/>
      </c>
    </row>
    <row r="490">
      <c r="G490" s="16" t="str">
        <f>IFERROR(__xludf.DUMMYFUNCTION("""COMPUTED_VALUE"""),"")</f>
        <v/>
      </c>
    </row>
    <row r="491">
      <c r="G491" s="16" t="str">
        <f>IFERROR(__xludf.DUMMYFUNCTION("""COMPUTED_VALUE"""),"")</f>
        <v/>
      </c>
    </row>
    <row r="492">
      <c r="G492" s="16" t="str">
        <f>IFERROR(__xludf.DUMMYFUNCTION("""COMPUTED_VALUE"""),"")</f>
        <v/>
      </c>
    </row>
    <row r="493">
      <c r="G493" s="16" t="str">
        <f>IFERROR(__xludf.DUMMYFUNCTION("""COMPUTED_VALUE"""),"")</f>
        <v/>
      </c>
    </row>
    <row r="494">
      <c r="G494" s="16" t="str">
        <f>IFERROR(__xludf.DUMMYFUNCTION("""COMPUTED_VALUE"""),"")</f>
        <v/>
      </c>
    </row>
    <row r="495">
      <c r="G495" s="16" t="str">
        <f>IFERROR(__xludf.DUMMYFUNCTION("""COMPUTED_VALUE"""),"")</f>
        <v/>
      </c>
    </row>
    <row r="496">
      <c r="G496" s="16" t="str">
        <f>IFERROR(__xludf.DUMMYFUNCTION("""COMPUTED_VALUE"""),"")</f>
        <v/>
      </c>
    </row>
    <row r="497">
      <c r="G497" s="16" t="str">
        <f>IFERROR(__xludf.DUMMYFUNCTION("""COMPUTED_VALUE"""),"")</f>
        <v/>
      </c>
    </row>
    <row r="498">
      <c r="G498" s="16" t="str">
        <f>IFERROR(__xludf.DUMMYFUNCTION("""COMPUTED_VALUE"""),"")</f>
        <v/>
      </c>
    </row>
    <row r="499">
      <c r="G499" s="16" t="str">
        <f>IFERROR(__xludf.DUMMYFUNCTION("""COMPUTED_VALUE"""),"")</f>
        <v/>
      </c>
    </row>
    <row r="500">
      <c r="G500" s="16" t="str">
        <f>IFERROR(__xludf.DUMMYFUNCTION("""COMPUTED_VALUE"""),"")</f>
        <v/>
      </c>
    </row>
    <row r="501">
      <c r="G501" s="16" t="str">
        <f>IFERROR(__xludf.DUMMYFUNCTION("""COMPUTED_VALUE"""),"")</f>
        <v/>
      </c>
    </row>
    <row r="502">
      <c r="G502" s="16" t="str">
        <f>IFERROR(__xludf.DUMMYFUNCTION("""COMPUTED_VALUE"""),"")</f>
        <v/>
      </c>
    </row>
    <row r="503">
      <c r="G503" s="16" t="str">
        <f>IFERROR(__xludf.DUMMYFUNCTION("""COMPUTED_VALUE"""),"")</f>
        <v/>
      </c>
    </row>
    <row r="504">
      <c r="G504" s="16" t="str">
        <f>IFERROR(__xludf.DUMMYFUNCTION("""COMPUTED_VALUE"""),"")</f>
        <v/>
      </c>
    </row>
    <row r="505">
      <c r="G505" s="16" t="str">
        <f>IFERROR(__xludf.DUMMYFUNCTION("""COMPUTED_VALUE"""),"")</f>
        <v/>
      </c>
    </row>
    <row r="506">
      <c r="G506" s="16" t="str">
        <f>IFERROR(__xludf.DUMMYFUNCTION("""COMPUTED_VALUE"""),"")</f>
        <v/>
      </c>
    </row>
    <row r="507">
      <c r="G507" s="16" t="str">
        <f>IFERROR(__xludf.DUMMYFUNCTION("""COMPUTED_VALUE"""),"")</f>
        <v/>
      </c>
    </row>
    <row r="508">
      <c r="G508" s="16" t="str">
        <f>IFERROR(__xludf.DUMMYFUNCTION("""COMPUTED_VALUE"""),"")</f>
        <v/>
      </c>
    </row>
    <row r="509">
      <c r="G509" s="16" t="str">
        <f>IFERROR(__xludf.DUMMYFUNCTION("""COMPUTED_VALUE"""),"")</f>
        <v/>
      </c>
    </row>
    <row r="510">
      <c r="G510" s="16" t="str">
        <f>IFERROR(__xludf.DUMMYFUNCTION("""COMPUTED_VALUE"""),"")</f>
        <v/>
      </c>
    </row>
    <row r="511">
      <c r="G511" s="16" t="str">
        <f>IFERROR(__xludf.DUMMYFUNCTION("""COMPUTED_VALUE"""),"")</f>
        <v/>
      </c>
    </row>
    <row r="512">
      <c r="G512" s="16" t="str">
        <f>IFERROR(__xludf.DUMMYFUNCTION("""COMPUTED_VALUE"""),"")</f>
        <v/>
      </c>
    </row>
    <row r="513">
      <c r="G513" s="16" t="str">
        <f>IFERROR(__xludf.DUMMYFUNCTION("""COMPUTED_VALUE"""),"")</f>
        <v/>
      </c>
    </row>
    <row r="514">
      <c r="G514" s="16" t="str">
        <f>IFERROR(__xludf.DUMMYFUNCTION("""COMPUTED_VALUE"""),"")</f>
        <v/>
      </c>
    </row>
    <row r="515">
      <c r="G515" s="16" t="str">
        <f>IFERROR(__xludf.DUMMYFUNCTION("""COMPUTED_VALUE"""),"")</f>
        <v/>
      </c>
    </row>
    <row r="516">
      <c r="G516" s="16" t="str">
        <f>IFERROR(__xludf.DUMMYFUNCTION("""COMPUTED_VALUE"""),"")</f>
        <v/>
      </c>
    </row>
    <row r="517">
      <c r="G517" s="16" t="str">
        <f>IFERROR(__xludf.DUMMYFUNCTION("""COMPUTED_VALUE"""),"")</f>
        <v/>
      </c>
    </row>
    <row r="518">
      <c r="G518" s="16" t="str">
        <f>IFERROR(__xludf.DUMMYFUNCTION("""COMPUTED_VALUE"""),"")</f>
        <v/>
      </c>
    </row>
    <row r="519">
      <c r="G519" s="16" t="str">
        <f>IFERROR(__xludf.DUMMYFUNCTION("""COMPUTED_VALUE"""),"")</f>
        <v/>
      </c>
    </row>
    <row r="520">
      <c r="G520" s="16" t="str">
        <f>IFERROR(__xludf.DUMMYFUNCTION("""COMPUTED_VALUE"""),"")</f>
        <v/>
      </c>
    </row>
    <row r="521">
      <c r="G521" s="16" t="str">
        <f>IFERROR(__xludf.DUMMYFUNCTION("""COMPUTED_VALUE"""),"")</f>
        <v/>
      </c>
    </row>
    <row r="522">
      <c r="G522" s="16" t="str">
        <f>IFERROR(__xludf.DUMMYFUNCTION("""COMPUTED_VALUE"""),"")</f>
        <v/>
      </c>
    </row>
    <row r="523">
      <c r="G523" s="16" t="str">
        <f>IFERROR(__xludf.DUMMYFUNCTION("""COMPUTED_VALUE"""),"")</f>
        <v/>
      </c>
    </row>
    <row r="524">
      <c r="G524" s="16" t="str">
        <f>IFERROR(__xludf.DUMMYFUNCTION("""COMPUTED_VALUE"""),"")</f>
        <v/>
      </c>
    </row>
    <row r="525">
      <c r="G525" s="16" t="str">
        <f>IFERROR(__xludf.DUMMYFUNCTION("""COMPUTED_VALUE"""),"")</f>
        <v/>
      </c>
    </row>
    <row r="526">
      <c r="G526" s="16" t="str">
        <f>IFERROR(__xludf.DUMMYFUNCTION("""COMPUTED_VALUE"""),"")</f>
        <v/>
      </c>
    </row>
    <row r="527">
      <c r="G527" s="16" t="str">
        <f>IFERROR(__xludf.DUMMYFUNCTION("""COMPUTED_VALUE"""),"")</f>
        <v/>
      </c>
    </row>
    <row r="528">
      <c r="G528" s="16" t="str">
        <f>IFERROR(__xludf.DUMMYFUNCTION("""COMPUTED_VALUE"""),"")</f>
        <v/>
      </c>
    </row>
    <row r="529">
      <c r="G529" s="16" t="str">
        <f>IFERROR(__xludf.DUMMYFUNCTION("""COMPUTED_VALUE"""),"")</f>
        <v/>
      </c>
    </row>
    <row r="530">
      <c r="G530" s="16" t="str">
        <f>IFERROR(__xludf.DUMMYFUNCTION("""COMPUTED_VALUE"""),"")</f>
        <v/>
      </c>
    </row>
    <row r="531">
      <c r="G531" s="16" t="str">
        <f>IFERROR(__xludf.DUMMYFUNCTION("""COMPUTED_VALUE"""),"")</f>
        <v/>
      </c>
    </row>
    <row r="532">
      <c r="G532" s="16" t="str">
        <f>IFERROR(__xludf.DUMMYFUNCTION("""COMPUTED_VALUE"""),"")</f>
        <v/>
      </c>
    </row>
    <row r="533">
      <c r="G533" s="16" t="str">
        <f>IFERROR(__xludf.DUMMYFUNCTION("""COMPUTED_VALUE"""),"")</f>
        <v/>
      </c>
    </row>
    <row r="534">
      <c r="G534" s="16" t="str">
        <f>IFERROR(__xludf.DUMMYFUNCTION("""COMPUTED_VALUE"""),"")</f>
        <v/>
      </c>
    </row>
    <row r="535">
      <c r="G535" s="16" t="str">
        <f>IFERROR(__xludf.DUMMYFUNCTION("""COMPUTED_VALUE"""),"")</f>
        <v/>
      </c>
    </row>
    <row r="536">
      <c r="G536" s="16" t="str">
        <f>IFERROR(__xludf.DUMMYFUNCTION("""COMPUTED_VALUE"""),"")</f>
        <v/>
      </c>
    </row>
    <row r="537">
      <c r="G537" s="16" t="str">
        <f>IFERROR(__xludf.DUMMYFUNCTION("""COMPUTED_VALUE"""),"")</f>
        <v/>
      </c>
    </row>
    <row r="538">
      <c r="G538" s="16" t="str">
        <f>IFERROR(__xludf.DUMMYFUNCTION("""COMPUTED_VALUE"""),"")</f>
        <v/>
      </c>
    </row>
    <row r="539">
      <c r="G539" s="16" t="str">
        <f>IFERROR(__xludf.DUMMYFUNCTION("""COMPUTED_VALUE"""),"")</f>
        <v/>
      </c>
    </row>
    <row r="540">
      <c r="G540" s="16" t="str">
        <f>IFERROR(__xludf.DUMMYFUNCTION("""COMPUTED_VALUE"""),"")</f>
        <v/>
      </c>
    </row>
    <row r="541">
      <c r="G541" s="16" t="str">
        <f>IFERROR(__xludf.DUMMYFUNCTION("""COMPUTED_VALUE"""),"")</f>
        <v/>
      </c>
    </row>
    <row r="542">
      <c r="G542" s="16" t="str">
        <f>IFERROR(__xludf.DUMMYFUNCTION("""COMPUTED_VALUE"""),"")</f>
        <v/>
      </c>
    </row>
    <row r="543">
      <c r="G543" s="16" t="str">
        <f>IFERROR(__xludf.DUMMYFUNCTION("""COMPUTED_VALUE"""),"")</f>
        <v/>
      </c>
    </row>
    <row r="544">
      <c r="G544" s="16" t="str">
        <f>IFERROR(__xludf.DUMMYFUNCTION("""COMPUTED_VALUE"""),"")</f>
        <v/>
      </c>
    </row>
    <row r="545">
      <c r="G545" s="16" t="str">
        <f>IFERROR(__xludf.DUMMYFUNCTION("""COMPUTED_VALUE"""),"")</f>
        <v/>
      </c>
    </row>
    <row r="546">
      <c r="G546" s="16" t="str">
        <f>IFERROR(__xludf.DUMMYFUNCTION("""COMPUTED_VALUE"""),"")</f>
        <v/>
      </c>
    </row>
    <row r="547">
      <c r="G547" s="16" t="str">
        <f>IFERROR(__xludf.DUMMYFUNCTION("""COMPUTED_VALUE"""),"")</f>
        <v/>
      </c>
    </row>
    <row r="548">
      <c r="G548" s="16" t="str">
        <f>IFERROR(__xludf.DUMMYFUNCTION("""COMPUTED_VALUE"""),"")</f>
        <v/>
      </c>
    </row>
    <row r="549">
      <c r="G549" s="16" t="str">
        <f>IFERROR(__xludf.DUMMYFUNCTION("""COMPUTED_VALUE"""),"")</f>
        <v/>
      </c>
    </row>
    <row r="550">
      <c r="G550" s="16" t="str">
        <f>IFERROR(__xludf.DUMMYFUNCTION("""COMPUTED_VALUE"""),"")</f>
        <v/>
      </c>
    </row>
    <row r="551">
      <c r="G551" s="16" t="str">
        <f>IFERROR(__xludf.DUMMYFUNCTION("""COMPUTED_VALUE"""),"")</f>
        <v/>
      </c>
    </row>
    <row r="552">
      <c r="G552" s="16" t="str">
        <f>IFERROR(__xludf.DUMMYFUNCTION("""COMPUTED_VALUE"""),"")</f>
        <v/>
      </c>
    </row>
    <row r="553">
      <c r="G553" s="16" t="str">
        <f>IFERROR(__xludf.DUMMYFUNCTION("""COMPUTED_VALUE"""),"")</f>
        <v/>
      </c>
    </row>
    <row r="554">
      <c r="G554" s="16" t="str">
        <f>IFERROR(__xludf.DUMMYFUNCTION("""COMPUTED_VALUE"""),"")</f>
        <v/>
      </c>
    </row>
    <row r="555">
      <c r="G555" s="16" t="str">
        <f>IFERROR(__xludf.DUMMYFUNCTION("""COMPUTED_VALUE"""),"")</f>
        <v/>
      </c>
    </row>
    <row r="556">
      <c r="G556" s="16" t="str">
        <f>IFERROR(__xludf.DUMMYFUNCTION("""COMPUTED_VALUE"""),"")</f>
        <v/>
      </c>
    </row>
    <row r="557">
      <c r="G557" s="16" t="str">
        <f>IFERROR(__xludf.DUMMYFUNCTION("""COMPUTED_VALUE"""),"")</f>
        <v/>
      </c>
    </row>
    <row r="558">
      <c r="G558" s="16" t="str">
        <f>IFERROR(__xludf.DUMMYFUNCTION("""COMPUTED_VALUE"""),"")</f>
        <v/>
      </c>
    </row>
    <row r="559">
      <c r="G559" s="16" t="str">
        <f>IFERROR(__xludf.DUMMYFUNCTION("""COMPUTED_VALUE"""),"")</f>
        <v/>
      </c>
    </row>
    <row r="560">
      <c r="G560" s="16" t="str">
        <f>IFERROR(__xludf.DUMMYFUNCTION("""COMPUTED_VALUE"""),"")</f>
        <v/>
      </c>
    </row>
    <row r="561">
      <c r="G561" s="16" t="str">
        <f>IFERROR(__xludf.DUMMYFUNCTION("""COMPUTED_VALUE"""),"")</f>
        <v/>
      </c>
    </row>
    <row r="562">
      <c r="G562" s="16" t="str">
        <f>IFERROR(__xludf.DUMMYFUNCTION("""COMPUTED_VALUE"""),"")</f>
        <v/>
      </c>
    </row>
    <row r="563">
      <c r="G563" s="16" t="str">
        <f>IFERROR(__xludf.DUMMYFUNCTION("""COMPUTED_VALUE"""),"")</f>
        <v/>
      </c>
    </row>
    <row r="564">
      <c r="G564" s="16" t="str">
        <f>IFERROR(__xludf.DUMMYFUNCTION("""COMPUTED_VALUE"""),"")</f>
        <v/>
      </c>
    </row>
    <row r="565">
      <c r="G565" s="16" t="str">
        <f>IFERROR(__xludf.DUMMYFUNCTION("""COMPUTED_VALUE"""),"")</f>
        <v/>
      </c>
    </row>
    <row r="566">
      <c r="G566" s="16" t="str">
        <f>IFERROR(__xludf.DUMMYFUNCTION("""COMPUTED_VALUE"""),"")</f>
        <v/>
      </c>
    </row>
    <row r="567">
      <c r="G567" s="16" t="str">
        <f>IFERROR(__xludf.DUMMYFUNCTION("""COMPUTED_VALUE"""),"")</f>
        <v/>
      </c>
    </row>
    <row r="568">
      <c r="G568" s="16" t="str">
        <f>IFERROR(__xludf.DUMMYFUNCTION("""COMPUTED_VALUE"""),"")</f>
        <v/>
      </c>
    </row>
    <row r="569">
      <c r="G569" s="16" t="str">
        <f>IFERROR(__xludf.DUMMYFUNCTION("""COMPUTED_VALUE"""),"")</f>
        <v/>
      </c>
    </row>
    <row r="570">
      <c r="G570" s="16" t="str">
        <f>IFERROR(__xludf.DUMMYFUNCTION("""COMPUTED_VALUE"""),"")</f>
        <v/>
      </c>
    </row>
    <row r="571">
      <c r="G571" s="16" t="str">
        <f>IFERROR(__xludf.DUMMYFUNCTION("""COMPUTED_VALUE"""),"")</f>
        <v/>
      </c>
    </row>
    <row r="572">
      <c r="G572" s="16" t="str">
        <f>IFERROR(__xludf.DUMMYFUNCTION("""COMPUTED_VALUE"""),"")</f>
        <v/>
      </c>
    </row>
    <row r="573">
      <c r="G573" s="16" t="str">
        <f>IFERROR(__xludf.DUMMYFUNCTION("""COMPUTED_VALUE"""),"")</f>
        <v/>
      </c>
    </row>
    <row r="574">
      <c r="G574" s="16" t="str">
        <f>IFERROR(__xludf.DUMMYFUNCTION("""COMPUTED_VALUE"""),"")</f>
        <v/>
      </c>
    </row>
    <row r="575">
      <c r="G575" s="16" t="str">
        <f>IFERROR(__xludf.DUMMYFUNCTION("""COMPUTED_VALUE"""),"")</f>
        <v/>
      </c>
    </row>
    <row r="576">
      <c r="G576" s="16" t="str">
        <f>IFERROR(__xludf.DUMMYFUNCTION("""COMPUTED_VALUE"""),"")</f>
        <v/>
      </c>
    </row>
    <row r="577">
      <c r="G577" s="16" t="str">
        <f>IFERROR(__xludf.DUMMYFUNCTION("""COMPUTED_VALUE"""),"")</f>
        <v/>
      </c>
    </row>
    <row r="578">
      <c r="G578" s="16" t="str">
        <f>IFERROR(__xludf.DUMMYFUNCTION("""COMPUTED_VALUE"""),"")</f>
        <v/>
      </c>
    </row>
    <row r="579">
      <c r="G579" s="16" t="str">
        <f>IFERROR(__xludf.DUMMYFUNCTION("""COMPUTED_VALUE"""),"")</f>
        <v/>
      </c>
    </row>
    <row r="580">
      <c r="G580" s="16" t="str">
        <f>IFERROR(__xludf.DUMMYFUNCTION("""COMPUTED_VALUE"""),"")</f>
        <v/>
      </c>
    </row>
    <row r="581">
      <c r="G581" s="16" t="str">
        <f>IFERROR(__xludf.DUMMYFUNCTION("""COMPUTED_VALUE"""),"")</f>
        <v/>
      </c>
    </row>
    <row r="582">
      <c r="G582" s="16" t="str">
        <f>IFERROR(__xludf.DUMMYFUNCTION("""COMPUTED_VALUE"""),"")</f>
        <v/>
      </c>
    </row>
    <row r="583">
      <c r="G583" s="16" t="str">
        <f>IFERROR(__xludf.DUMMYFUNCTION("""COMPUTED_VALUE"""),"")</f>
        <v/>
      </c>
    </row>
    <row r="584">
      <c r="G584" s="16" t="str">
        <f>IFERROR(__xludf.DUMMYFUNCTION("""COMPUTED_VALUE"""),"")</f>
        <v/>
      </c>
    </row>
    <row r="585">
      <c r="G585" s="16" t="str">
        <f>IFERROR(__xludf.DUMMYFUNCTION("""COMPUTED_VALUE"""),"")</f>
        <v/>
      </c>
    </row>
    <row r="586">
      <c r="G586" s="16" t="str">
        <f>IFERROR(__xludf.DUMMYFUNCTION("""COMPUTED_VALUE"""),"")</f>
        <v/>
      </c>
    </row>
    <row r="587">
      <c r="G587" s="16" t="str">
        <f>IFERROR(__xludf.DUMMYFUNCTION("""COMPUTED_VALUE"""),"")</f>
        <v/>
      </c>
    </row>
    <row r="588">
      <c r="G588" s="16" t="str">
        <f>IFERROR(__xludf.DUMMYFUNCTION("""COMPUTED_VALUE"""),"")</f>
        <v/>
      </c>
    </row>
    <row r="589">
      <c r="G589" s="16" t="str">
        <f>IFERROR(__xludf.DUMMYFUNCTION("""COMPUTED_VALUE"""),"")</f>
        <v/>
      </c>
    </row>
    <row r="590">
      <c r="G590" s="16" t="str">
        <f>IFERROR(__xludf.DUMMYFUNCTION("""COMPUTED_VALUE"""),"")</f>
        <v/>
      </c>
    </row>
    <row r="591">
      <c r="G591" s="16" t="str">
        <f>IFERROR(__xludf.DUMMYFUNCTION("""COMPUTED_VALUE"""),"")</f>
        <v/>
      </c>
    </row>
    <row r="592">
      <c r="G592" s="16" t="str">
        <f>IFERROR(__xludf.DUMMYFUNCTION("""COMPUTED_VALUE"""),"")</f>
        <v/>
      </c>
    </row>
    <row r="593">
      <c r="G593" s="16" t="str">
        <f>IFERROR(__xludf.DUMMYFUNCTION("""COMPUTED_VALUE"""),"")</f>
        <v/>
      </c>
    </row>
    <row r="594">
      <c r="G594" s="16" t="str">
        <f>IFERROR(__xludf.DUMMYFUNCTION("""COMPUTED_VALUE"""),"")</f>
        <v/>
      </c>
    </row>
    <row r="595">
      <c r="G595" s="16" t="str">
        <f>IFERROR(__xludf.DUMMYFUNCTION("""COMPUTED_VALUE"""),"")</f>
        <v/>
      </c>
    </row>
    <row r="596">
      <c r="G596" s="16" t="str">
        <f>IFERROR(__xludf.DUMMYFUNCTION("""COMPUTED_VALUE"""),"")</f>
        <v/>
      </c>
    </row>
    <row r="597">
      <c r="G597" s="16" t="str">
        <f>IFERROR(__xludf.DUMMYFUNCTION("""COMPUTED_VALUE"""),"")</f>
        <v/>
      </c>
    </row>
    <row r="598">
      <c r="G598" s="16" t="str">
        <f>IFERROR(__xludf.DUMMYFUNCTION("""COMPUTED_VALUE"""),"")</f>
        <v/>
      </c>
    </row>
    <row r="599">
      <c r="G599" s="16" t="str">
        <f>IFERROR(__xludf.DUMMYFUNCTION("""COMPUTED_VALUE"""),"")</f>
        <v/>
      </c>
    </row>
    <row r="600">
      <c r="G600" s="16" t="str">
        <f>IFERROR(__xludf.DUMMYFUNCTION("""COMPUTED_VALUE"""),"")</f>
        <v/>
      </c>
    </row>
    <row r="601">
      <c r="G601" s="16" t="str">
        <f>IFERROR(__xludf.DUMMYFUNCTION("""COMPUTED_VALUE"""),"")</f>
        <v/>
      </c>
    </row>
    <row r="602">
      <c r="G602" s="16" t="str">
        <f>IFERROR(__xludf.DUMMYFUNCTION("""COMPUTED_VALUE"""),"")</f>
        <v/>
      </c>
    </row>
    <row r="603">
      <c r="G603" s="16" t="str">
        <f>IFERROR(__xludf.DUMMYFUNCTION("""COMPUTED_VALUE"""),"")</f>
        <v/>
      </c>
    </row>
    <row r="604">
      <c r="G604" s="16" t="str">
        <f>IFERROR(__xludf.DUMMYFUNCTION("""COMPUTED_VALUE"""),"")</f>
        <v/>
      </c>
    </row>
    <row r="605">
      <c r="G605" s="16" t="str">
        <f>IFERROR(__xludf.DUMMYFUNCTION("""COMPUTED_VALUE"""),"")</f>
        <v/>
      </c>
    </row>
    <row r="606">
      <c r="G606" s="16" t="str">
        <f>IFERROR(__xludf.DUMMYFUNCTION("""COMPUTED_VALUE"""),"")</f>
        <v/>
      </c>
    </row>
    <row r="607">
      <c r="G607" s="16" t="str">
        <f>IFERROR(__xludf.DUMMYFUNCTION("""COMPUTED_VALUE"""),"")</f>
        <v/>
      </c>
    </row>
    <row r="608">
      <c r="G608" s="16" t="str">
        <f>IFERROR(__xludf.DUMMYFUNCTION("""COMPUTED_VALUE"""),"")</f>
        <v/>
      </c>
    </row>
    <row r="609">
      <c r="G609" s="16" t="str">
        <f>IFERROR(__xludf.DUMMYFUNCTION("""COMPUTED_VALUE"""),"")</f>
        <v/>
      </c>
    </row>
    <row r="610">
      <c r="G610" s="16" t="str">
        <f>IFERROR(__xludf.DUMMYFUNCTION("""COMPUTED_VALUE"""),"")</f>
        <v/>
      </c>
    </row>
    <row r="611">
      <c r="G611" s="16" t="str">
        <f>IFERROR(__xludf.DUMMYFUNCTION("""COMPUTED_VALUE"""),"")</f>
        <v/>
      </c>
    </row>
    <row r="612">
      <c r="G612" s="16" t="str">
        <f>IFERROR(__xludf.DUMMYFUNCTION("""COMPUTED_VALUE"""),"")</f>
        <v/>
      </c>
    </row>
    <row r="613">
      <c r="G613" s="16" t="str">
        <f>IFERROR(__xludf.DUMMYFUNCTION("""COMPUTED_VALUE"""),"")</f>
        <v/>
      </c>
    </row>
    <row r="614">
      <c r="G614" s="16" t="str">
        <f>IFERROR(__xludf.DUMMYFUNCTION("""COMPUTED_VALUE"""),"")</f>
        <v/>
      </c>
    </row>
    <row r="615">
      <c r="G615" s="16" t="str">
        <f>IFERROR(__xludf.DUMMYFUNCTION("""COMPUTED_VALUE"""),"")</f>
        <v/>
      </c>
    </row>
    <row r="616">
      <c r="G616" s="16" t="str">
        <f>IFERROR(__xludf.DUMMYFUNCTION("""COMPUTED_VALUE"""),"")</f>
        <v/>
      </c>
    </row>
    <row r="617">
      <c r="G617" s="16" t="str">
        <f>IFERROR(__xludf.DUMMYFUNCTION("""COMPUTED_VALUE"""),"")</f>
        <v/>
      </c>
    </row>
    <row r="618">
      <c r="G618" s="16" t="str">
        <f>IFERROR(__xludf.DUMMYFUNCTION("""COMPUTED_VALUE"""),"")</f>
        <v/>
      </c>
    </row>
    <row r="619">
      <c r="G619" s="16" t="str">
        <f>IFERROR(__xludf.DUMMYFUNCTION("""COMPUTED_VALUE"""),"")</f>
        <v/>
      </c>
    </row>
    <row r="620">
      <c r="G620" s="16" t="str">
        <f>IFERROR(__xludf.DUMMYFUNCTION("""COMPUTED_VALUE"""),"")</f>
        <v/>
      </c>
    </row>
    <row r="621">
      <c r="G621" s="16" t="str">
        <f>IFERROR(__xludf.DUMMYFUNCTION("""COMPUTED_VALUE"""),"")</f>
        <v/>
      </c>
    </row>
    <row r="622">
      <c r="G622" s="16" t="str">
        <f>IFERROR(__xludf.DUMMYFUNCTION("""COMPUTED_VALUE"""),"")</f>
        <v/>
      </c>
    </row>
    <row r="623">
      <c r="G623" s="16" t="str">
        <f>IFERROR(__xludf.DUMMYFUNCTION("""COMPUTED_VALUE"""),"")</f>
        <v/>
      </c>
    </row>
    <row r="624">
      <c r="G624" s="16" t="str">
        <f>IFERROR(__xludf.DUMMYFUNCTION("""COMPUTED_VALUE"""),"")</f>
        <v/>
      </c>
    </row>
    <row r="625">
      <c r="G625" s="16" t="str">
        <f>IFERROR(__xludf.DUMMYFUNCTION("""COMPUTED_VALUE"""),"")</f>
        <v/>
      </c>
    </row>
    <row r="626">
      <c r="G626" s="16" t="str">
        <f>IFERROR(__xludf.DUMMYFUNCTION("""COMPUTED_VALUE"""),"")</f>
        <v/>
      </c>
    </row>
    <row r="627">
      <c r="G627" s="16" t="str">
        <f>IFERROR(__xludf.DUMMYFUNCTION("""COMPUTED_VALUE"""),"")</f>
        <v/>
      </c>
    </row>
    <row r="628">
      <c r="G628" s="16" t="str">
        <f>IFERROR(__xludf.DUMMYFUNCTION("""COMPUTED_VALUE"""),"")</f>
        <v/>
      </c>
    </row>
    <row r="629">
      <c r="G629" s="16" t="str">
        <f>IFERROR(__xludf.DUMMYFUNCTION("""COMPUTED_VALUE"""),"")</f>
        <v/>
      </c>
    </row>
    <row r="630">
      <c r="G630" s="16" t="str">
        <f>IFERROR(__xludf.DUMMYFUNCTION("""COMPUTED_VALUE"""),"")</f>
        <v/>
      </c>
    </row>
    <row r="631">
      <c r="G631" s="16" t="str">
        <f>IFERROR(__xludf.DUMMYFUNCTION("""COMPUTED_VALUE"""),"")</f>
        <v/>
      </c>
    </row>
    <row r="632">
      <c r="G632" s="16" t="str">
        <f>IFERROR(__xludf.DUMMYFUNCTION("""COMPUTED_VALUE"""),"")</f>
        <v/>
      </c>
    </row>
    <row r="633">
      <c r="G633" s="16" t="str">
        <f>IFERROR(__xludf.DUMMYFUNCTION("""COMPUTED_VALUE"""),"")</f>
        <v/>
      </c>
    </row>
    <row r="634">
      <c r="G634" s="16" t="str">
        <f>IFERROR(__xludf.DUMMYFUNCTION("""COMPUTED_VALUE"""),"")</f>
        <v/>
      </c>
    </row>
    <row r="635">
      <c r="G635" s="16" t="str">
        <f>IFERROR(__xludf.DUMMYFUNCTION("""COMPUTED_VALUE"""),"")</f>
        <v/>
      </c>
    </row>
    <row r="636">
      <c r="G636" s="16" t="str">
        <f>IFERROR(__xludf.DUMMYFUNCTION("""COMPUTED_VALUE"""),"")</f>
        <v/>
      </c>
    </row>
    <row r="637">
      <c r="G637" s="16" t="str">
        <f>IFERROR(__xludf.DUMMYFUNCTION("""COMPUTED_VALUE"""),"")</f>
        <v/>
      </c>
    </row>
    <row r="638">
      <c r="G638" s="16" t="str">
        <f>IFERROR(__xludf.DUMMYFUNCTION("""COMPUTED_VALUE"""),"")</f>
        <v/>
      </c>
    </row>
    <row r="639">
      <c r="G639" s="16" t="str">
        <f>IFERROR(__xludf.DUMMYFUNCTION("""COMPUTED_VALUE"""),"")</f>
        <v/>
      </c>
    </row>
    <row r="640">
      <c r="G640" s="16" t="str">
        <f>IFERROR(__xludf.DUMMYFUNCTION("""COMPUTED_VALUE"""),"")</f>
        <v/>
      </c>
    </row>
    <row r="641">
      <c r="G641" s="16" t="str">
        <f>IFERROR(__xludf.DUMMYFUNCTION("""COMPUTED_VALUE"""),"")</f>
        <v/>
      </c>
    </row>
    <row r="642">
      <c r="G642" s="16" t="str">
        <f>IFERROR(__xludf.DUMMYFUNCTION("""COMPUTED_VALUE"""),"")</f>
        <v/>
      </c>
    </row>
    <row r="643">
      <c r="G643" s="16" t="str">
        <f>IFERROR(__xludf.DUMMYFUNCTION("""COMPUTED_VALUE"""),"")</f>
        <v/>
      </c>
    </row>
    <row r="644">
      <c r="G644" s="16" t="str">
        <f>IFERROR(__xludf.DUMMYFUNCTION("""COMPUTED_VALUE"""),"")</f>
        <v/>
      </c>
    </row>
    <row r="645">
      <c r="G645" s="16" t="str">
        <f>IFERROR(__xludf.DUMMYFUNCTION("""COMPUTED_VALUE"""),"")</f>
        <v/>
      </c>
    </row>
    <row r="646">
      <c r="G646" s="16" t="str">
        <f>IFERROR(__xludf.DUMMYFUNCTION("""COMPUTED_VALUE"""),"")</f>
        <v/>
      </c>
    </row>
    <row r="647">
      <c r="G647" s="16" t="str">
        <f>IFERROR(__xludf.DUMMYFUNCTION("""COMPUTED_VALUE"""),"")</f>
        <v/>
      </c>
    </row>
    <row r="648">
      <c r="G648" s="16" t="str">
        <f>IFERROR(__xludf.DUMMYFUNCTION("""COMPUTED_VALUE"""),"")</f>
        <v/>
      </c>
    </row>
    <row r="649">
      <c r="G649" s="16" t="str">
        <f>IFERROR(__xludf.DUMMYFUNCTION("""COMPUTED_VALUE"""),"")</f>
        <v/>
      </c>
    </row>
    <row r="650">
      <c r="G650" s="16" t="str">
        <f>IFERROR(__xludf.DUMMYFUNCTION("""COMPUTED_VALUE"""),"")</f>
        <v/>
      </c>
    </row>
    <row r="651">
      <c r="G651" s="16" t="str">
        <f>IFERROR(__xludf.DUMMYFUNCTION("""COMPUTED_VALUE"""),"")</f>
        <v/>
      </c>
    </row>
    <row r="652">
      <c r="G652" s="16" t="str">
        <f>IFERROR(__xludf.DUMMYFUNCTION("""COMPUTED_VALUE"""),"")</f>
        <v/>
      </c>
    </row>
    <row r="653">
      <c r="G653" s="16" t="str">
        <f>IFERROR(__xludf.DUMMYFUNCTION("""COMPUTED_VALUE"""),"")</f>
        <v/>
      </c>
    </row>
    <row r="654">
      <c r="G654" s="16" t="str">
        <f>IFERROR(__xludf.DUMMYFUNCTION("""COMPUTED_VALUE"""),"")</f>
        <v/>
      </c>
    </row>
    <row r="655">
      <c r="G655" s="16" t="str">
        <f>IFERROR(__xludf.DUMMYFUNCTION("""COMPUTED_VALUE"""),"")</f>
        <v/>
      </c>
    </row>
    <row r="656">
      <c r="G656" s="16" t="str">
        <f>IFERROR(__xludf.DUMMYFUNCTION("""COMPUTED_VALUE"""),"")</f>
        <v/>
      </c>
    </row>
    <row r="657">
      <c r="G657" s="16" t="str">
        <f>IFERROR(__xludf.DUMMYFUNCTION("""COMPUTED_VALUE"""),"")</f>
        <v/>
      </c>
    </row>
    <row r="658">
      <c r="G658" s="16" t="str">
        <f>IFERROR(__xludf.DUMMYFUNCTION("""COMPUTED_VALUE"""),"")</f>
        <v/>
      </c>
    </row>
    <row r="659">
      <c r="G659" s="16" t="str">
        <f>IFERROR(__xludf.DUMMYFUNCTION("""COMPUTED_VALUE"""),"")</f>
        <v/>
      </c>
    </row>
    <row r="660">
      <c r="G660" s="16" t="str">
        <f>IFERROR(__xludf.DUMMYFUNCTION("""COMPUTED_VALUE"""),"")</f>
        <v/>
      </c>
    </row>
    <row r="661">
      <c r="G661" s="16" t="str">
        <f>IFERROR(__xludf.DUMMYFUNCTION("""COMPUTED_VALUE"""),"")</f>
        <v/>
      </c>
    </row>
    <row r="662">
      <c r="G662" s="16" t="str">
        <f>IFERROR(__xludf.DUMMYFUNCTION("""COMPUTED_VALUE"""),"")</f>
        <v/>
      </c>
    </row>
    <row r="663">
      <c r="G663" s="16" t="str">
        <f>IFERROR(__xludf.DUMMYFUNCTION("""COMPUTED_VALUE"""),"")</f>
        <v/>
      </c>
    </row>
    <row r="664">
      <c r="G664" s="16" t="str">
        <f>IFERROR(__xludf.DUMMYFUNCTION("""COMPUTED_VALUE"""),"")</f>
        <v/>
      </c>
    </row>
    <row r="665">
      <c r="G665" s="16" t="str">
        <f>IFERROR(__xludf.DUMMYFUNCTION("""COMPUTED_VALUE"""),"")</f>
        <v/>
      </c>
    </row>
    <row r="666">
      <c r="G666" s="16" t="str">
        <f>IFERROR(__xludf.DUMMYFUNCTION("""COMPUTED_VALUE"""),"")</f>
        <v/>
      </c>
    </row>
    <row r="667">
      <c r="G667" s="16" t="str">
        <f>IFERROR(__xludf.DUMMYFUNCTION("""COMPUTED_VALUE"""),"")</f>
        <v/>
      </c>
    </row>
    <row r="668">
      <c r="G668" s="16" t="str">
        <f>IFERROR(__xludf.DUMMYFUNCTION("""COMPUTED_VALUE"""),"")</f>
        <v/>
      </c>
    </row>
    <row r="669">
      <c r="G669" s="16" t="str">
        <f>IFERROR(__xludf.DUMMYFUNCTION("""COMPUTED_VALUE"""),"")</f>
        <v/>
      </c>
    </row>
    <row r="670">
      <c r="G670" s="16" t="str">
        <f>IFERROR(__xludf.DUMMYFUNCTION("""COMPUTED_VALUE"""),"")</f>
        <v/>
      </c>
    </row>
    <row r="671">
      <c r="G671" s="16" t="str">
        <f>IFERROR(__xludf.DUMMYFUNCTION("""COMPUTED_VALUE"""),"")</f>
        <v/>
      </c>
    </row>
    <row r="672">
      <c r="G672" s="16" t="str">
        <f>IFERROR(__xludf.DUMMYFUNCTION("""COMPUTED_VALUE"""),"")</f>
        <v/>
      </c>
    </row>
    <row r="673">
      <c r="G673" s="16" t="str">
        <f>IFERROR(__xludf.DUMMYFUNCTION("""COMPUTED_VALUE"""),"")</f>
        <v/>
      </c>
    </row>
    <row r="674">
      <c r="G674" s="16" t="str">
        <f>IFERROR(__xludf.DUMMYFUNCTION("""COMPUTED_VALUE"""),"")</f>
        <v/>
      </c>
    </row>
    <row r="675">
      <c r="G675" s="16" t="str">
        <f>IFERROR(__xludf.DUMMYFUNCTION("""COMPUTED_VALUE"""),"")</f>
        <v/>
      </c>
    </row>
    <row r="676">
      <c r="G676" s="16" t="str">
        <f>IFERROR(__xludf.DUMMYFUNCTION("""COMPUTED_VALUE"""),"")</f>
        <v/>
      </c>
    </row>
    <row r="677">
      <c r="G677" s="16" t="str">
        <f>IFERROR(__xludf.DUMMYFUNCTION("""COMPUTED_VALUE"""),"")</f>
        <v/>
      </c>
    </row>
    <row r="678">
      <c r="G678" s="16" t="str">
        <f>IFERROR(__xludf.DUMMYFUNCTION("""COMPUTED_VALUE"""),"")</f>
        <v/>
      </c>
    </row>
    <row r="679">
      <c r="G679" s="16" t="str">
        <f>IFERROR(__xludf.DUMMYFUNCTION("""COMPUTED_VALUE"""),"")</f>
        <v/>
      </c>
    </row>
    <row r="680">
      <c r="G680" s="16" t="str">
        <f>IFERROR(__xludf.DUMMYFUNCTION("""COMPUTED_VALUE"""),"")</f>
        <v/>
      </c>
    </row>
    <row r="681">
      <c r="G681" s="16" t="str">
        <f>IFERROR(__xludf.DUMMYFUNCTION("""COMPUTED_VALUE"""),"")</f>
        <v/>
      </c>
    </row>
    <row r="682">
      <c r="G682" s="16" t="str">
        <f>IFERROR(__xludf.DUMMYFUNCTION("""COMPUTED_VALUE"""),"")</f>
        <v/>
      </c>
    </row>
    <row r="683">
      <c r="G683" s="16" t="str">
        <f>IFERROR(__xludf.DUMMYFUNCTION("""COMPUTED_VALUE"""),"")</f>
        <v/>
      </c>
    </row>
    <row r="684">
      <c r="G684" s="16" t="str">
        <f>IFERROR(__xludf.DUMMYFUNCTION("""COMPUTED_VALUE"""),"")</f>
        <v/>
      </c>
    </row>
    <row r="685">
      <c r="G685" s="16" t="str">
        <f>IFERROR(__xludf.DUMMYFUNCTION("""COMPUTED_VALUE"""),"")</f>
        <v/>
      </c>
    </row>
    <row r="686">
      <c r="G686" s="16" t="str">
        <f>IFERROR(__xludf.DUMMYFUNCTION("""COMPUTED_VALUE"""),"")</f>
        <v/>
      </c>
    </row>
    <row r="687">
      <c r="G687" s="16" t="str">
        <f>IFERROR(__xludf.DUMMYFUNCTION("""COMPUTED_VALUE"""),"")</f>
        <v/>
      </c>
    </row>
    <row r="688">
      <c r="G688" s="16" t="str">
        <f>IFERROR(__xludf.DUMMYFUNCTION("""COMPUTED_VALUE"""),"")</f>
        <v/>
      </c>
    </row>
    <row r="689">
      <c r="G689" s="16" t="str">
        <f>IFERROR(__xludf.DUMMYFUNCTION("""COMPUTED_VALUE"""),"")</f>
        <v/>
      </c>
    </row>
    <row r="690">
      <c r="G690" s="16" t="str">
        <f>IFERROR(__xludf.DUMMYFUNCTION("""COMPUTED_VALUE"""),"")</f>
        <v/>
      </c>
    </row>
    <row r="691">
      <c r="G691" s="16" t="str">
        <f>IFERROR(__xludf.DUMMYFUNCTION("""COMPUTED_VALUE"""),"")</f>
        <v/>
      </c>
    </row>
    <row r="692">
      <c r="G692" s="16" t="str">
        <f>IFERROR(__xludf.DUMMYFUNCTION("""COMPUTED_VALUE"""),"")</f>
        <v/>
      </c>
    </row>
    <row r="693">
      <c r="G693" s="16" t="str">
        <f>IFERROR(__xludf.DUMMYFUNCTION("""COMPUTED_VALUE"""),"")</f>
        <v/>
      </c>
    </row>
    <row r="694">
      <c r="G694" s="16" t="str">
        <f>IFERROR(__xludf.DUMMYFUNCTION("""COMPUTED_VALUE"""),"")</f>
        <v/>
      </c>
    </row>
    <row r="695">
      <c r="G695" s="16" t="str">
        <f>IFERROR(__xludf.DUMMYFUNCTION("""COMPUTED_VALUE"""),"")</f>
        <v/>
      </c>
    </row>
    <row r="696">
      <c r="G696" s="16" t="str">
        <f>IFERROR(__xludf.DUMMYFUNCTION("""COMPUTED_VALUE"""),"")</f>
        <v/>
      </c>
    </row>
    <row r="697">
      <c r="G697" s="16" t="str">
        <f>IFERROR(__xludf.DUMMYFUNCTION("""COMPUTED_VALUE"""),"")</f>
        <v/>
      </c>
    </row>
    <row r="698">
      <c r="G698" s="16" t="str">
        <f>IFERROR(__xludf.DUMMYFUNCTION("""COMPUTED_VALUE"""),"")</f>
        <v/>
      </c>
    </row>
    <row r="699">
      <c r="G699" s="16" t="str">
        <f>IFERROR(__xludf.DUMMYFUNCTION("""COMPUTED_VALUE"""),"")</f>
        <v/>
      </c>
    </row>
    <row r="700">
      <c r="G700" s="16" t="str">
        <f>IFERROR(__xludf.DUMMYFUNCTION("""COMPUTED_VALUE"""),"")</f>
        <v/>
      </c>
    </row>
    <row r="701">
      <c r="G701" s="16" t="str">
        <f>IFERROR(__xludf.DUMMYFUNCTION("""COMPUTED_VALUE"""),"")</f>
        <v/>
      </c>
    </row>
    <row r="702">
      <c r="G702" s="16" t="str">
        <f>IFERROR(__xludf.DUMMYFUNCTION("""COMPUTED_VALUE"""),"")</f>
        <v/>
      </c>
    </row>
    <row r="703">
      <c r="G703" s="16" t="str">
        <f>IFERROR(__xludf.DUMMYFUNCTION("""COMPUTED_VALUE"""),"")</f>
        <v/>
      </c>
    </row>
    <row r="704">
      <c r="G704" s="16" t="str">
        <f>IFERROR(__xludf.DUMMYFUNCTION("""COMPUTED_VALUE"""),"")</f>
        <v/>
      </c>
    </row>
    <row r="705">
      <c r="G705" s="16" t="str">
        <f>IFERROR(__xludf.DUMMYFUNCTION("""COMPUTED_VALUE"""),"")</f>
        <v/>
      </c>
    </row>
    <row r="706">
      <c r="G706" s="16" t="str">
        <f>IFERROR(__xludf.DUMMYFUNCTION("""COMPUTED_VALUE"""),"")</f>
        <v/>
      </c>
    </row>
    <row r="707">
      <c r="G707" s="16" t="str">
        <f>IFERROR(__xludf.DUMMYFUNCTION("""COMPUTED_VALUE"""),"")</f>
        <v/>
      </c>
    </row>
    <row r="708">
      <c r="G708" s="16" t="str">
        <f>IFERROR(__xludf.DUMMYFUNCTION("""COMPUTED_VALUE"""),"")</f>
        <v/>
      </c>
    </row>
    <row r="709">
      <c r="G709" s="16" t="str">
        <f>IFERROR(__xludf.DUMMYFUNCTION("""COMPUTED_VALUE"""),"")</f>
        <v/>
      </c>
    </row>
    <row r="710">
      <c r="G710" s="16" t="str">
        <f>IFERROR(__xludf.DUMMYFUNCTION("""COMPUTED_VALUE"""),"")</f>
        <v/>
      </c>
    </row>
    <row r="711">
      <c r="G711" s="16" t="str">
        <f>IFERROR(__xludf.DUMMYFUNCTION("""COMPUTED_VALUE"""),"")</f>
        <v/>
      </c>
    </row>
    <row r="712">
      <c r="G712" s="16" t="str">
        <f>IFERROR(__xludf.DUMMYFUNCTION("""COMPUTED_VALUE"""),"")</f>
        <v/>
      </c>
    </row>
    <row r="713">
      <c r="G713" s="16" t="str">
        <f>IFERROR(__xludf.DUMMYFUNCTION("""COMPUTED_VALUE"""),"")</f>
        <v/>
      </c>
    </row>
    <row r="714">
      <c r="G714" s="16" t="str">
        <f>IFERROR(__xludf.DUMMYFUNCTION("""COMPUTED_VALUE"""),"")</f>
        <v/>
      </c>
    </row>
    <row r="715">
      <c r="G715" s="16" t="str">
        <f>IFERROR(__xludf.DUMMYFUNCTION("""COMPUTED_VALUE"""),"")</f>
        <v/>
      </c>
    </row>
    <row r="716">
      <c r="G716" s="16" t="str">
        <f>IFERROR(__xludf.DUMMYFUNCTION("""COMPUTED_VALUE"""),"")</f>
        <v/>
      </c>
    </row>
    <row r="717">
      <c r="G717" s="16" t="str">
        <f>IFERROR(__xludf.DUMMYFUNCTION("""COMPUTED_VALUE"""),"")</f>
        <v/>
      </c>
    </row>
    <row r="718">
      <c r="G718" s="16" t="str">
        <f>IFERROR(__xludf.DUMMYFUNCTION("""COMPUTED_VALUE"""),"")</f>
        <v/>
      </c>
    </row>
    <row r="719">
      <c r="G719" s="16" t="str">
        <f>IFERROR(__xludf.DUMMYFUNCTION("""COMPUTED_VALUE"""),"")</f>
        <v/>
      </c>
    </row>
    <row r="720">
      <c r="G720" s="16" t="str">
        <f>IFERROR(__xludf.DUMMYFUNCTION("""COMPUTED_VALUE"""),"")</f>
        <v/>
      </c>
    </row>
    <row r="721">
      <c r="G721" s="16" t="str">
        <f>IFERROR(__xludf.DUMMYFUNCTION("""COMPUTED_VALUE"""),"")</f>
        <v/>
      </c>
    </row>
    <row r="722">
      <c r="G722" s="16" t="str">
        <f>IFERROR(__xludf.DUMMYFUNCTION("""COMPUTED_VALUE"""),"")</f>
        <v/>
      </c>
    </row>
    <row r="723">
      <c r="G723" s="16" t="str">
        <f>IFERROR(__xludf.DUMMYFUNCTION("""COMPUTED_VALUE"""),"")</f>
        <v/>
      </c>
    </row>
    <row r="724">
      <c r="G724" s="16" t="str">
        <f>IFERROR(__xludf.DUMMYFUNCTION("""COMPUTED_VALUE"""),"")</f>
        <v/>
      </c>
    </row>
    <row r="725">
      <c r="G725" s="16" t="str">
        <f>IFERROR(__xludf.DUMMYFUNCTION("""COMPUTED_VALUE"""),"")</f>
        <v/>
      </c>
    </row>
    <row r="726">
      <c r="G726" s="16" t="str">
        <f>IFERROR(__xludf.DUMMYFUNCTION("""COMPUTED_VALUE"""),"")</f>
        <v/>
      </c>
    </row>
    <row r="727">
      <c r="G727" s="16" t="str">
        <f>IFERROR(__xludf.DUMMYFUNCTION("""COMPUTED_VALUE"""),"")</f>
        <v/>
      </c>
    </row>
    <row r="728">
      <c r="G728" s="16" t="str">
        <f>IFERROR(__xludf.DUMMYFUNCTION("""COMPUTED_VALUE"""),"")</f>
        <v/>
      </c>
    </row>
    <row r="729">
      <c r="G729" s="16" t="str">
        <f>IFERROR(__xludf.DUMMYFUNCTION("""COMPUTED_VALUE"""),"")</f>
        <v/>
      </c>
    </row>
    <row r="730">
      <c r="G730" s="16" t="str">
        <f>IFERROR(__xludf.DUMMYFUNCTION("""COMPUTED_VALUE"""),"")</f>
        <v/>
      </c>
    </row>
    <row r="731">
      <c r="G731" s="16" t="str">
        <f>IFERROR(__xludf.DUMMYFUNCTION("""COMPUTED_VALUE"""),"")</f>
        <v/>
      </c>
    </row>
    <row r="732">
      <c r="G732" s="16" t="str">
        <f>IFERROR(__xludf.DUMMYFUNCTION("""COMPUTED_VALUE"""),"")</f>
        <v/>
      </c>
    </row>
    <row r="733">
      <c r="G733" s="16" t="str">
        <f>IFERROR(__xludf.DUMMYFUNCTION("""COMPUTED_VALUE"""),"")</f>
        <v/>
      </c>
    </row>
    <row r="734">
      <c r="G734" s="16" t="str">
        <f>IFERROR(__xludf.DUMMYFUNCTION("""COMPUTED_VALUE"""),"")</f>
        <v/>
      </c>
    </row>
    <row r="735">
      <c r="G735" s="16" t="str">
        <f>IFERROR(__xludf.DUMMYFUNCTION("""COMPUTED_VALUE"""),"")</f>
        <v/>
      </c>
    </row>
    <row r="736">
      <c r="G736" s="16" t="str">
        <f>IFERROR(__xludf.DUMMYFUNCTION("""COMPUTED_VALUE"""),"")</f>
        <v/>
      </c>
    </row>
    <row r="737">
      <c r="G737" s="16" t="str">
        <f>IFERROR(__xludf.DUMMYFUNCTION("""COMPUTED_VALUE"""),"")</f>
        <v/>
      </c>
    </row>
    <row r="738">
      <c r="G738" s="16" t="str">
        <f>IFERROR(__xludf.DUMMYFUNCTION("""COMPUTED_VALUE"""),"")</f>
        <v/>
      </c>
    </row>
    <row r="739">
      <c r="G739" s="16" t="str">
        <f>IFERROR(__xludf.DUMMYFUNCTION("""COMPUTED_VALUE"""),"")</f>
        <v/>
      </c>
    </row>
    <row r="740">
      <c r="G740" s="16" t="str">
        <f>IFERROR(__xludf.DUMMYFUNCTION("""COMPUTED_VALUE"""),"")</f>
        <v/>
      </c>
    </row>
    <row r="741">
      <c r="G741" s="16" t="str">
        <f>IFERROR(__xludf.DUMMYFUNCTION("""COMPUTED_VALUE"""),"")</f>
        <v/>
      </c>
    </row>
    <row r="742">
      <c r="G742" s="16" t="str">
        <f>IFERROR(__xludf.DUMMYFUNCTION("""COMPUTED_VALUE"""),"")</f>
        <v/>
      </c>
    </row>
    <row r="743">
      <c r="G743" s="16" t="str">
        <f>IFERROR(__xludf.DUMMYFUNCTION("""COMPUTED_VALUE"""),"")</f>
        <v/>
      </c>
    </row>
    <row r="744">
      <c r="G744" s="16" t="str">
        <f>IFERROR(__xludf.DUMMYFUNCTION("""COMPUTED_VALUE"""),"")</f>
        <v/>
      </c>
    </row>
    <row r="745">
      <c r="G745" s="16" t="str">
        <f>IFERROR(__xludf.DUMMYFUNCTION("""COMPUTED_VALUE"""),"")</f>
        <v/>
      </c>
    </row>
    <row r="746">
      <c r="G746" s="16" t="str">
        <f>IFERROR(__xludf.DUMMYFUNCTION("""COMPUTED_VALUE"""),"")</f>
        <v/>
      </c>
    </row>
    <row r="747">
      <c r="G747" s="16" t="str">
        <f>IFERROR(__xludf.DUMMYFUNCTION("""COMPUTED_VALUE"""),"")</f>
        <v/>
      </c>
    </row>
    <row r="748">
      <c r="G748" s="16" t="str">
        <f>IFERROR(__xludf.DUMMYFUNCTION("""COMPUTED_VALUE"""),"")</f>
        <v/>
      </c>
    </row>
    <row r="749">
      <c r="G749" s="16" t="str">
        <f>IFERROR(__xludf.DUMMYFUNCTION("""COMPUTED_VALUE"""),"")</f>
        <v/>
      </c>
    </row>
    <row r="750">
      <c r="G750" s="16" t="str">
        <f>IFERROR(__xludf.DUMMYFUNCTION("""COMPUTED_VALUE"""),"")</f>
        <v/>
      </c>
    </row>
    <row r="751">
      <c r="G751" s="16" t="str">
        <f>IFERROR(__xludf.DUMMYFUNCTION("""COMPUTED_VALUE"""),"")</f>
        <v/>
      </c>
    </row>
    <row r="752">
      <c r="G752" s="16" t="str">
        <f>IFERROR(__xludf.DUMMYFUNCTION("""COMPUTED_VALUE"""),"")</f>
        <v/>
      </c>
    </row>
    <row r="753">
      <c r="G753" s="16" t="str">
        <f>IFERROR(__xludf.DUMMYFUNCTION("""COMPUTED_VALUE"""),"")</f>
        <v/>
      </c>
    </row>
    <row r="754">
      <c r="G754" s="16" t="str">
        <f>IFERROR(__xludf.DUMMYFUNCTION("""COMPUTED_VALUE"""),"")</f>
        <v/>
      </c>
    </row>
    <row r="755">
      <c r="G755" s="16" t="str">
        <f>IFERROR(__xludf.DUMMYFUNCTION("""COMPUTED_VALUE"""),"")</f>
        <v/>
      </c>
    </row>
    <row r="756">
      <c r="G756" s="16" t="str">
        <f>IFERROR(__xludf.DUMMYFUNCTION("""COMPUTED_VALUE"""),"")</f>
        <v/>
      </c>
    </row>
    <row r="757">
      <c r="G757" s="16" t="str">
        <f>IFERROR(__xludf.DUMMYFUNCTION("""COMPUTED_VALUE"""),"")</f>
        <v/>
      </c>
    </row>
    <row r="758">
      <c r="G758" s="16" t="str">
        <f>IFERROR(__xludf.DUMMYFUNCTION("""COMPUTED_VALUE"""),"")</f>
        <v/>
      </c>
    </row>
    <row r="759">
      <c r="G759" s="16" t="str">
        <f>IFERROR(__xludf.DUMMYFUNCTION("""COMPUTED_VALUE"""),"")</f>
        <v/>
      </c>
    </row>
    <row r="760">
      <c r="G760" s="16" t="str">
        <f>IFERROR(__xludf.DUMMYFUNCTION("""COMPUTED_VALUE"""),"")</f>
        <v/>
      </c>
    </row>
    <row r="761">
      <c r="G761" s="16" t="str">
        <f>IFERROR(__xludf.DUMMYFUNCTION("""COMPUTED_VALUE"""),"")</f>
        <v/>
      </c>
    </row>
    <row r="762">
      <c r="G762" s="16" t="str">
        <f>IFERROR(__xludf.DUMMYFUNCTION("""COMPUTED_VALUE"""),"")</f>
        <v/>
      </c>
    </row>
    <row r="763">
      <c r="G763" s="16" t="str">
        <f>IFERROR(__xludf.DUMMYFUNCTION("""COMPUTED_VALUE"""),"")</f>
        <v/>
      </c>
    </row>
    <row r="764">
      <c r="G764" s="16" t="str">
        <f>IFERROR(__xludf.DUMMYFUNCTION("""COMPUTED_VALUE"""),"")</f>
        <v/>
      </c>
    </row>
    <row r="765">
      <c r="G765" s="16" t="str">
        <f>IFERROR(__xludf.DUMMYFUNCTION("""COMPUTED_VALUE"""),"")</f>
        <v/>
      </c>
    </row>
    <row r="766">
      <c r="G766" s="16" t="str">
        <f>IFERROR(__xludf.DUMMYFUNCTION("""COMPUTED_VALUE"""),"")</f>
        <v/>
      </c>
    </row>
    <row r="767">
      <c r="G767" s="16" t="str">
        <f>IFERROR(__xludf.DUMMYFUNCTION("""COMPUTED_VALUE"""),"")</f>
        <v/>
      </c>
    </row>
    <row r="768">
      <c r="G768" s="16" t="str">
        <f>IFERROR(__xludf.DUMMYFUNCTION("""COMPUTED_VALUE"""),"")</f>
        <v/>
      </c>
    </row>
    <row r="769">
      <c r="G769" s="16" t="str">
        <f>IFERROR(__xludf.DUMMYFUNCTION("""COMPUTED_VALUE"""),"")</f>
        <v/>
      </c>
    </row>
    <row r="770">
      <c r="G770" s="16" t="str">
        <f>IFERROR(__xludf.DUMMYFUNCTION("""COMPUTED_VALUE"""),"")</f>
        <v/>
      </c>
    </row>
    <row r="771">
      <c r="G771" s="16" t="str">
        <f>IFERROR(__xludf.DUMMYFUNCTION("""COMPUTED_VALUE"""),"")</f>
        <v/>
      </c>
    </row>
    <row r="772">
      <c r="G772" s="16" t="str">
        <f>IFERROR(__xludf.DUMMYFUNCTION("""COMPUTED_VALUE"""),"")</f>
        <v/>
      </c>
    </row>
    <row r="773">
      <c r="G773" s="16" t="str">
        <f>IFERROR(__xludf.DUMMYFUNCTION("""COMPUTED_VALUE"""),"")</f>
        <v/>
      </c>
    </row>
    <row r="774">
      <c r="G774" s="16" t="str">
        <f>IFERROR(__xludf.DUMMYFUNCTION("""COMPUTED_VALUE"""),"")</f>
        <v/>
      </c>
    </row>
    <row r="775">
      <c r="G775" s="16" t="str">
        <f>IFERROR(__xludf.DUMMYFUNCTION("""COMPUTED_VALUE"""),"")</f>
        <v/>
      </c>
    </row>
    <row r="776">
      <c r="G776" s="16" t="str">
        <f>IFERROR(__xludf.DUMMYFUNCTION("""COMPUTED_VALUE"""),"")</f>
        <v/>
      </c>
    </row>
    <row r="777">
      <c r="G777" s="16" t="str">
        <f>IFERROR(__xludf.DUMMYFUNCTION("""COMPUTED_VALUE"""),"")</f>
        <v/>
      </c>
    </row>
    <row r="778">
      <c r="G778" s="16" t="str">
        <f>IFERROR(__xludf.DUMMYFUNCTION("""COMPUTED_VALUE"""),"")</f>
        <v/>
      </c>
    </row>
    <row r="779">
      <c r="G779" s="16" t="str">
        <f>IFERROR(__xludf.DUMMYFUNCTION("""COMPUTED_VALUE"""),"")</f>
        <v/>
      </c>
    </row>
    <row r="780">
      <c r="G780" s="16" t="str">
        <f>IFERROR(__xludf.DUMMYFUNCTION("""COMPUTED_VALUE"""),"")</f>
        <v/>
      </c>
    </row>
    <row r="781">
      <c r="G781" s="16" t="str">
        <f>IFERROR(__xludf.DUMMYFUNCTION("""COMPUTED_VALUE"""),"")</f>
        <v/>
      </c>
    </row>
    <row r="782">
      <c r="G782" s="16" t="str">
        <f>IFERROR(__xludf.DUMMYFUNCTION("""COMPUTED_VALUE"""),"")</f>
        <v/>
      </c>
    </row>
    <row r="783">
      <c r="G783" s="16" t="str">
        <f>IFERROR(__xludf.DUMMYFUNCTION("""COMPUTED_VALUE"""),"")</f>
        <v/>
      </c>
    </row>
    <row r="784">
      <c r="G784" s="16" t="str">
        <f>IFERROR(__xludf.DUMMYFUNCTION("""COMPUTED_VALUE"""),"")</f>
        <v/>
      </c>
    </row>
    <row r="785">
      <c r="G785" s="16" t="str">
        <f>IFERROR(__xludf.DUMMYFUNCTION("""COMPUTED_VALUE"""),"")</f>
        <v/>
      </c>
    </row>
    <row r="786">
      <c r="G786" s="16" t="str">
        <f>IFERROR(__xludf.DUMMYFUNCTION("""COMPUTED_VALUE"""),"")</f>
        <v/>
      </c>
    </row>
    <row r="787">
      <c r="G787" s="16" t="str">
        <f>IFERROR(__xludf.DUMMYFUNCTION("""COMPUTED_VALUE"""),"")</f>
        <v/>
      </c>
    </row>
    <row r="788">
      <c r="G788" s="16" t="str">
        <f>IFERROR(__xludf.DUMMYFUNCTION("""COMPUTED_VALUE"""),"")</f>
        <v/>
      </c>
    </row>
    <row r="789">
      <c r="G789" s="16" t="str">
        <f>IFERROR(__xludf.DUMMYFUNCTION("""COMPUTED_VALUE"""),"")</f>
        <v/>
      </c>
    </row>
    <row r="790">
      <c r="G790" s="16" t="str">
        <f>IFERROR(__xludf.DUMMYFUNCTION("""COMPUTED_VALUE"""),"")</f>
        <v/>
      </c>
    </row>
    <row r="791">
      <c r="G791" s="16" t="str">
        <f>IFERROR(__xludf.DUMMYFUNCTION("""COMPUTED_VALUE"""),"")</f>
        <v/>
      </c>
    </row>
    <row r="792">
      <c r="G792" s="16" t="str">
        <f>IFERROR(__xludf.DUMMYFUNCTION("""COMPUTED_VALUE"""),"")</f>
        <v/>
      </c>
    </row>
    <row r="793">
      <c r="G793" s="16" t="str">
        <f>IFERROR(__xludf.DUMMYFUNCTION("""COMPUTED_VALUE"""),"")</f>
        <v/>
      </c>
    </row>
    <row r="794">
      <c r="G794" s="16" t="str">
        <f>IFERROR(__xludf.DUMMYFUNCTION("""COMPUTED_VALUE"""),"")</f>
        <v/>
      </c>
    </row>
    <row r="795">
      <c r="G795" s="16" t="str">
        <f>IFERROR(__xludf.DUMMYFUNCTION("""COMPUTED_VALUE"""),"")</f>
        <v/>
      </c>
    </row>
    <row r="796">
      <c r="G796" s="16" t="str">
        <f>IFERROR(__xludf.DUMMYFUNCTION("""COMPUTED_VALUE"""),"")</f>
        <v/>
      </c>
    </row>
    <row r="797">
      <c r="G797" s="16" t="str">
        <f>IFERROR(__xludf.DUMMYFUNCTION("""COMPUTED_VALUE"""),"")</f>
        <v/>
      </c>
    </row>
    <row r="798">
      <c r="G798" s="16" t="str">
        <f>IFERROR(__xludf.DUMMYFUNCTION("""COMPUTED_VALUE"""),"")</f>
        <v/>
      </c>
    </row>
    <row r="799">
      <c r="G799" s="16" t="str">
        <f>IFERROR(__xludf.DUMMYFUNCTION("""COMPUTED_VALUE"""),"")</f>
        <v/>
      </c>
    </row>
    <row r="800">
      <c r="G800" s="16" t="str">
        <f>IFERROR(__xludf.DUMMYFUNCTION("""COMPUTED_VALUE"""),"")</f>
        <v/>
      </c>
    </row>
    <row r="801">
      <c r="G801" s="16" t="str">
        <f>IFERROR(__xludf.DUMMYFUNCTION("""COMPUTED_VALUE"""),"")</f>
        <v/>
      </c>
    </row>
    <row r="802">
      <c r="G802" s="16" t="str">
        <f>IFERROR(__xludf.DUMMYFUNCTION("""COMPUTED_VALUE"""),"")</f>
        <v/>
      </c>
    </row>
    <row r="803">
      <c r="G803" s="16" t="str">
        <f>IFERROR(__xludf.DUMMYFUNCTION("""COMPUTED_VALUE"""),"")</f>
        <v/>
      </c>
    </row>
    <row r="804">
      <c r="G804" s="16" t="str">
        <f>IFERROR(__xludf.DUMMYFUNCTION("""COMPUTED_VALUE"""),"")</f>
        <v/>
      </c>
    </row>
    <row r="805">
      <c r="G805" s="16" t="str">
        <f>IFERROR(__xludf.DUMMYFUNCTION("""COMPUTED_VALUE"""),"")</f>
        <v/>
      </c>
    </row>
    <row r="806">
      <c r="G806" s="16" t="str">
        <f>IFERROR(__xludf.DUMMYFUNCTION("""COMPUTED_VALUE"""),"")</f>
        <v/>
      </c>
    </row>
    <row r="807">
      <c r="G807" s="16" t="str">
        <f>IFERROR(__xludf.DUMMYFUNCTION("""COMPUTED_VALUE"""),"")</f>
        <v/>
      </c>
    </row>
    <row r="808">
      <c r="G808" s="16" t="str">
        <f>IFERROR(__xludf.DUMMYFUNCTION("""COMPUTED_VALUE"""),"")</f>
        <v/>
      </c>
    </row>
    <row r="809">
      <c r="G809" s="16" t="str">
        <f>IFERROR(__xludf.DUMMYFUNCTION("""COMPUTED_VALUE"""),"")</f>
        <v/>
      </c>
    </row>
    <row r="810">
      <c r="G810" s="16" t="str">
        <f>IFERROR(__xludf.DUMMYFUNCTION("""COMPUTED_VALUE"""),"")</f>
        <v/>
      </c>
    </row>
    <row r="811">
      <c r="G811" s="16" t="str">
        <f>IFERROR(__xludf.DUMMYFUNCTION("""COMPUTED_VALUE"""),"")</f>
        <v/>
      </c>
    </row>
    <row r="812">
      <c r="G812" s="16" t="str">
        <f>IFERROR(__xludf.DUMMYFUNCTION("""COMPUTED_VALUE"""),"")</f>
        <v/>
      </c>
    </row>
    <row r="813">
      <c r="G813" s="16" t="str">
        <f>IFERROR(__xludf.DUMMYFUNCTION("""COMPUTED_VALUE"""),"")</f>
        <v/>
      </c>
    </row>
    <row r="814">
      <c r="G814" s="16" t="str">
        <f>IFERROR(__xludf.DUMMYFUNCTION("""COMPUTED_VALUE"""),"")</f>
        <v/>
      </c>
    </row>
    <row r="815">
      <c r="G815" s="16" t="str">
        <f>IFERROR(__xludf.DUMMYFUNCTION("""COMPUTED_VALUE"""),"")</f>
        <v/>
      </c>
    </row>
    <row r="816">
      <c r="G816" s="16" t="str">
        <f>IFERROR(__xludf.DUMMYFUNCTION("""COMPUTED_VALUE"""),"")</f>
        <v/>
      </c>
    </row>
    <row r="817">
      <c r="G817" s="16" t="str">
        <f>IFERROR(__xludf.DUMMYFUNCTION("""COMPUTED_VALUE"""),"")</f>
        <v/>
      </c>
    </row>
    <row r="818">
      <c r="G818" s="16" t="str">
        <f>IFERROR(__xludf.DUMMYFUNCTION("""COMPUTED_VALUE"""),"")</f>
        <v/>
      </c>
    </row>
    <row r="819">
      <c r="G819" s="16" t="str">
        <f>IFERROR(__xludf.DUMMYFUNCTION("""COMPUTED_VALUE"""),"")</f>
        <v/>
      </c>
    </row>
    <row r="820">
      <c r="G820" s="16" t="str">
        <f>IFERROR(__xludf.DUMMYFUNCTION("""COMPUTED_VALUE"""),"")</f>
        <v/>
      </c>
    </row>
    <row r="821">
      <c r="G821" s="16" t="str">
        <f>IFERROR(__xludf.DUMMYFUNCTION("""COMPUTED_VALUE"""),"")</f>
        <v/>
      </c>
    </row>
    <row r="822">
      <c r="G822" s="16" t="str">
        <f>IFERROR(__xludf.DUMMYFUNCTION("""COMPUTED_VALUE"""),"")</f>
        <v/>
      </c>
    </row>
    <row r="823">
      <c r="G823" s="16" t="str">
        <f>IFERROR(__xludf.DUMMYFUNCTION("""COMPUTED_VALUE"""),"")</f>
        <v/>
      </c>
    </row>
    <row r="824">
      <c r="G824" s="16" t="str">
        <f>IFERROR(__xludf.DUMMYFUNCTION("""COMPUTED_VALUE"""),"")</f>
        <v/>
      </c>
    </row>
    <row r="825">
      <c r="G825" s="16" t="str">
        <f>IFERROR(__xludf.DUMMYFUNCTION("""COMPUTED_VALUE"""),"")</f>
        <v/>
      </c>
    </row>
    <row r="826">
      <c r="G826" s="16" t="str">
        <f>IFERROR(__xludf.DUMMYFUNCTION("""COMPUTED_VALUE"""),"")</f>
        <v/>
      </c>
    </row>
    <row r="827">
      <c r="G827" s="16" t="str">
        <f>IFERROR(__xludf.DUMMYFUNCTION("""COMPUTED_VALUE"""),"")</f>
        <v/>
      </c>
    </row>
    <row r="828">
      <c r="G828" s="16" t="str">
        <f>IFERROR(__xludf.DUMMYFUNCTION("""COMPUTED_VALUE"""),"")</f>
        <v/>
      </c>
    </row>
    <row r="829">
      <c r="G829" s="16" t="str">
        <f>IFERROR(__xludf.DUMMYFUNCTION("""COMPUTED_VALUE"""),"")</f>
        <v/>
      </c>
    </row>
    <row r="830">
      <c r="G830" s="16" t="str">
        <f>IFERROR(__xludf.DUMMYFUNCTION("""COMPUTED_VALUE"""),"")</f>
        <v/>
      </c>
    </row>
    <row r="831">
      <c r="G831" s="16" t="str">
        <f>IFERROR(__xludf.DUMMYFUNCTION("""COMPUTED_VALUE"""),"")</f>
        <v/>
      </c>
    </row>
    <row r="832">
      <c r="G832" s="16" t="str">
        <f>IFERROR(__xludf.DUMMYFUNCTION("""COMPUTED_VALUE"""),"")</f>
        <v/>
      </c>
    </row>
    <row r="833">
      <c r="G833" s="16" t="str">
        <f>IFERROR(__xludf.DUMMYFUNCTION("""COMPUTED_VALUE"""),"")</f>
        <v/>
      </c>
    </row>
    <row r="834">
      <c r="G834" s="16" t="str">
        <f>IFERROR(__xludf.DUMMYFUNCTION("""COMPUTED_VALUE"""),"")</f>
        <v/>
      </c>
    </row>
    <row r="835">
      <c r="G835" s="16" t="str">
        <f>IFERROR(__xludf.DUMMYFUNCTION("""COMPUTED_VALUE"""),"")</f>
        <v/>
      </c>
    </row>
    <row r="836">
      <c r="G836" s="16" t="str">
        <f>IFERROR(__xludf.DUMMYFUNCTION("""COMPUTED_VALUE"""),"")</f>
        <v/>
      </c>
    </row>
    <row r="837">
      <c r="G837" s="16" t="str">
        <f>IFERROR(__xludf.DUMMYFUNCTION("""COMPUTED_VALUE"""),"")</f>
        <v/>
      </c>
    </row>
    <row r="838">
      <c r="G838" s="16" t="str">
        <f>IFERROR(__xludf.DUMMYFUNCTION("""COMPUTED_VALUE"""),"")</f>
        <v/>
      </c>
    </row>
    <row r="839">
      <c r="G839" s="16" t="str">
        <f>IFERROR(__xludf.DUMMYFUNCTION("""COMPUTED_VALUE"""),"")</f>
        <v/>
      </c>
    </row>
    <row r="840">
      <c r="G840" s="16" t="str">
        <f>IFERROR(__xludf.DUMMYFUNCTION("""COMPUTED_VALUE"""),"")</f>
        <v/>
      </c>
    </row>
    <row r="841">
      <c r="G841" s="16" t="str">
        <f>IFERROR(__xludf.DUMMYFUNCTION("""COMPUTED_VALUE"""),"")</f>
        <v/>
      </c>
    </row>
    <row r="842">
      <c r="G842" s="16" t="str">
        <f>IFERROR(__xludf.DUMMYFUNCTION("""COMPUTED_VALUE"""),"")</f>
        <v/>
      </c>
    </row>
    <row r="843">
      <c r="G843" s="16" t="str">
        <f>IFERROR(__xludf.DUMMYFUNCTION("""COMPUTED_VALUE"""),"")</f>
        <v/>
      </c>
    </row>
    <row r="844">
      <c r="G844" s="16" t="str">
        <f>IFERROR(__xludf.DUMMYFUNCTION("""COMPUTED_VALUE"""),"")</f>
        <v/>
      </c>
    </row>
    <row r="845">
      <c r="G845" s="16" t="str">
        <f>IFERROR(__xludf.DUMMYFUNCTION("""COMPUTED_VALUE"""),"")</f>
        <v/>
      </c>
    </row>
    <row r="846">
      <c r="G846" s="16" t="str">
        <f>IFERROR(__xludf.DUMMYFUNCTION("""COMPUTED_VALUE"""),"")</f>
        <v/>
      </c>
    </row>
    <row r="847">
      <c r="G847" s="16" t="str">
        <f>IFERROR(__xludf.DUMMYFUNCTION("""COMPUTED_VALUE"""),"")</f>
        <v/>
      </c>
    </row>
    <row r="848">
      <c r="G848" s="16" t="str">
        <f>IFERROR(__xludf.DUMMYFUNCTION("""COMPUTED_VALUE"""),"")</f>
        <v/>
      </c>
    </row>
    <row r="849">
      <c r="G849" s="16" t="str">
        <f>IFERROR(__xludf.DUMMYFUNCTION("""COMPUTED_VALUE"""),"")</f>
        <v/>
      </c>
    </row>
    <row r="850">
      <c r="G850" s="16" t="str">
        <f>IFERROR(__xludf.DUMMYFUNCTION("""COMPUTED_VALUE"""),"")</f>
        <v/>
      </c>
    </row>
    <row r="851">
      <c r="G851" s="16" t="str">
        <f>IFERROR(__xludf.DUMMYFUNCTION("""COMPUTED_VALUE"""),"")</f>
        <v/>
      </c>
    </row>
    <row r="852">
      <c r="G852" s="16" t="str">
        <f>IFERROR(__xludf.DUMMYFUNCTION("""COMPUTED_VALUE"""),"")</f>
        <v/>
      </c>
    </row>
    <row r="853">
      <c r="G853" s="16" t="str">
        <f>IFERROR(__xludf.DUMMYFUNCTION("""COMPUTED_VALUE"""),"")</f>
        <v/>
      </c>
    </row>
    <row r="854">
      <c r="G854" s="16" t="str">
        <f>IFERROR(__xludf.DUMMYFUNCTION("""COMPUTED_VALUE"""),"")</f>
        <v/>
      </c>
    </row>
    <row r="855">
      <c r="G855" s="16" t="str">
        <f>IFERROR(__xludf.DUMMYFUNCTION("""COMPUTED_VALUE"""),"")</f>
        <v/>
      </c>
    </row>
    <row r="856">
      <c r="G856" s="16" t="str">
        <f>IFERROR(__xludf.DUMMYFUNCTION("""COMPUTED_VALUE"""),"")</f>
        <v/>
      </c>
    </row>
    <row r="857">
      <c r="G857" s="16" t="str">
        <f>IFERROR(__xludf.DUMMYFUNCTION("""COMPUTED_VALUE"""),"")</f>
        <v/>
      </c>
    </row>
    <row r="858">
      <c r="G858" s="16" t="str">
        <f>IFERROR(__xludf.DUMMYFUNCTION("""COMPUTED_VALUE"""),"")</f>
        <v/>
      </c>
    </row>
    <row r="859">
      <c r="G859" s="16" t="str">
        <f>IFERROR(__xludf.DUMMYFUNCTION("""COMPUTED_VALUE"""),"")</f>
        <v/>
      </c>
    </row>
    <row r="860">
      <c r="G860" s="16" t="str">
        <f>IFERROR(__xludf.DUMMYFUNCTION("""COMPUTED_VALUE"""),"")</f>
        <v/>
      </c>
    </row>
    <row r="861">
      <c r="G861" s="16" t="str">
        <f>IFERROR(__xludf.DUMMYFUNCTION("""COMPUTED_VALUE"""),"")</f>
        <v/>
      </c>
    </row>
    <row r="862">
      <c r="G862" s="16" t="str">
        <f>IFERROR(__xludf.DUMMYFUNCTION("""COMPUTED_VALUE"""),"")</f>
        <v/>
      </c>
    </row>
    <row r="863">
      <c r="G863" s="16" t="str">
        <f>IFERROR(__xludf.DUMMYFUNCTION("""COMPUTED_VALUE"""),"")</f>
        <v/>
      </c>
    </row>
    <row r="864">
      <c r="G864" s="16" t="str">
        <f>IFERROR(__xludf.DUMMYFUNCTION("""COMPUTED_VALUE"""),"")</f>
        <v/>
      </c>
    </row>
    <row r="865">
      <c r="G865" s="16" t="str">
        <f>IFERROR(__xludf.DUMMYFUNCTION("""COMPUTED_VALUE"""),"")</f>
        <v/>
      </c>
    </row>
    <row r="866">
      <c r="G866" s="16" t="str">
        <f>IFERROR(__xludf.DUMMYFUNCTION("""COMPUTED_VALUE"""),"")</f>
        <v/>
      </c>
    </row>
    <row r="867">
      <c r="G867" s="16" t="str">
        <f>IFERROR(__xludf.DUMMYFUNCTION("""COMPUTED_VALUE"""),"")</f>
        <v/>
      </c>
    </row>
    <row r="868">
      <c r="G868" s="16" t="str">
        <f>IFERROR(__xludf.DUMMYFUNCTION("""COMPUTED_VALUE"""),"")</f>
        <v/>
      </c>
    </row>
    <row r="869">
      <c r="G869" s="16" t="str">
        <f>IFERROR(__xludf.DUMMYFUNCTION("""COMPUTED_VALUE"""),"")</f>
        <v/>
      </c>
    </row>
    <row r="870">
      <c r="G870" s="16" t="str">
        <f>IFERROR(__xludf.DUMMYFUNCTION("""COMPUTED_VALUE"""),"")</f>
        <v/>
      </c>
    </row>
    <row r="871">
      <c r="G871" s="16" t="str">
        <f>IFERROR(__xludf.DUMMYFUNCTION("""COMPUTED_VALUE"""),"")</f>
        <v/>
      </c>
    </row>
    <row r="872">
      <c r="G872" s="16" t="str">
        <f>IFERROR(__xludf.DUMMYFUNCTION("""COMPUTED_VALUE"""),"")</f>
        <v/>
      </c>
    </row>
    <row r="873">
      <c r="G873" s="16" t="str">
        <f>IFERROR(__xludf.DUMMYFUNCTION("""COMPUTED_VALUE"""),"")</f>
        <v/>
      </c>
    </row>
    <row r="874">
      <c r="G874" s="16" t="str">
        <f>IFERROR(__xludf.DUMMYFUNCTION("""COMPUTED_VALUE"""),"")</f>
        <v/>
      </c>
    </row>
    <row r="875">
      <c r="G875" s="16" t="str">
        <f>IFERROR(__xludf.DUMMYFUNCTION("""COMPUTED_VALUE"""),"")</f>
        <v/>
      </c>
    </row>
    <row r="876">
      <c r="G876" s="16" t="str">
        <f>IFERROR(__xludf.DUMMYFUNCTION("""COMPUTED_VALUE"""),"")</f>
        <v/>
      </c>
    </row>
    <row r="877">
      <c r="G877" s="16" t="str">
        <f>IFERROR(__xludf.DUMMYFUNCTION("""COMPUTED_VALUE"""),"")</f>
        <v/>
      </c>
    </row>
    <row r="878">
      <c r="G878" s="16" t="str">
        <f>IFERROR(__xludf.DUMMYFUNCTION("""COMPUTED_VALUE"""),"")</f>
        <v/>
      </c>
    </row>
    <row r="879">
      <c r="G879" s="16" t="str">
        <f>IFERROR(__xludf.DUMMYFUNCTION("""COMPUTED_VALUE"""),"")</f>
        <v/>
      </c>
    </row>
    <row r="880">
      <c r="G880" s="16" t="str">
        <f>IFERROR(__xludf.DUMMYFUNCTION("""COMPUTED_VALUE"""),"")</f>
        <v/>
      </c>
    </row>
    <row r="881">
      <c r="G881" s="16" t="str">
        <f>IFERROR(__xludf.DUMMYFUNCTION("""COMPUTED_VALUE"""),"")</f>
        <v/>
      </c>
    </row>
    <row r="882">
      <c r="G882" s="16" t="str">
        <f>IFERROR(__xludf.DUMMYFUNCTION("""COMPUTED_VALUE"""),"")</f>
        <v/>
      </c>
    </row>
    <row r="883">
      <c r="G883" s="16" t="str">
        <f>IFERROR(__xludf.DUMMYFUNCTION("""COMPUTED_VALUE"""),"")</f>
        <v/>
      </c>
    </row>
    <row r="884">
      <c r="G884" s="16" t="str">
        <f>IFERROR(__xludf.DUMMYFUNCTION("""COMPUTED_VALUE"""),"")</f>
        <v/>
      </c>
    </row>
    <row r="885">
      <c r="G885" s="16" t="str">
        <f>IFERROR(__xludf.DUMMYFUNCTION("""COMPUTED_VALUE"""),"")</f>
        <v/>
      </c>
    </row>
    <row r="886">
      <c r="G886" s="16" t="str">
        <f>IFERROR(__xludf.DUMMYFUNCTION("""COMPUTED_VALUE"""),"")</f>
        <v/>
      </c>
    </row>
    <row r="887">
      <c r="G887" s="16" t="str">
        <f>IFERROR(__xludf.DUMMYFUNCTION("""COMPUTED_VALUE"""),"")</f>
        <v/>
      </c>
    </row>
    <row r="888">
      <c r="G888" s="16" t="str">
        <f>IFERROR(__xludf.DUMMYFUNCTION("""COMPUTED_VALUE"""),"")</f>
        <v/>
      </c>
    </row>
    <row r="889">
      <c r="G889" s="16" t="str">
        <f>IFERROR(__xludf.DUMMYFUNCTION("""COMPUTED_VALUE"""),"")</f>
        <v/>
      </c>
    </row>
    <row r="890">
      <c r="G890" s="16" t="str">
        <f>IFERROR(__xludf.DUMMYFUNCTION("""COMPUTED_VALUE"""),"")</f>
        <v/>
      </c>
    </row>
    <row r="891">
      <c r="G891" s="16" t="str">
        <f>IFERROR(__xludf.DUMMYFUNCTION("""COMPUTED_VALUE"""),"")</f>
        <v/>
      </c>
    </row>
    <row r="892">
      <c r="G892" s="16" t="str">
        <f>IFERROR(__xludf.DUMMYFUNCTION("""COMPUTED_VALUE"""),"")</f>
        <v/>
      </c>
    </row>
    <row r="893">
      <c r="G893" s="16" t="str">
        <f>IFERROR(__xludf.DUMMYFUNCTION("""COMPUTED_VALUE"""),"")</f>
        <v/>
      </c>
    </row>
    <row r="894">
      <c r="G894" s="16" t="str">
        <f>IFERROR(__xludf.DUMMYFUNCTION("""COMPUTED_VALUE"""),"")</f>
        <v/>
      </c>
    </row>
    <row r="895">
      <c r="G895" s="16" t="str">
        <f>IFERROR(__xludf.DUMMYFUNCTION("""COMPUTED_VALUE"""),"")</f>
        <v/>
      </c>
    </row>
    <row r="896">
      <c r="G896" s="16" t="str">
        <f>IFERROR(__xludf.DUMMYFUNCTION("""COMPUTED_VALUE"""),"")</f>
        <v/>
      </c>
    </row>
    <row r="897">
      <c r="G897" s="16" t="str">
        <f>IFERROR(__xludf.DUMMYFUNCTION("""COMPUTED_VALUE"""),"")</f>
        <v/>
      </c>
    </row>
    <row r="898">
      <c r="G898" s="16" t="str">
        <f>IFERROR(__xludf.DUMMYFUNCTION("""COMPUTED_VALUE"""),"")</f>
        <v/>
      </c>
    </row>
    <row r="899">
      <c r="G899" s="16" t="str">
        <f>IFERROR(__xludf.DUMMYFUNCTION("""COMPUTED_VALUE"""),"")</f>
        <v/>
      </c>
    </row>
    <row r="900">
      <c r="G900" s="16" t="str">
        <f>IFERROR(__xludf.DUMMYFUNCTION("""COMPUTED_VALUE"""),"")</f>
        <v/>
      </c>
    </row>
    <row r="901">
      <c r="G901" s="16" t="str">
        <f>IFERROR(__xludf.DUMMYFUNCTION("""COMPUTED_VALUE"""),"")</f>
        <v/>
      </c>
    </row>
    <row r="902">
      <c r="G902" s="16" t="str">
        <f>IFERROR(__xludf.DUMMYFUNCTION("""COMPUTED_VALUE"""),"")</f>
        <v/>
      </c>
    </row>
    <row r="903">
      <c r="G903" s="16" t="str">
        <f>IFERROR(__xludf.DUMMYFUNCTION("""COMPUTED_VALUE"""),"")</f>
        <v/>
      </c>
    </row>
    <row r="904">
      <c r="G904" s="16" t="str">
        <f>IFERROR(__xludf.DUMMYFUNCTION("""COMPUTED_VALUE"""),"")</f>
        <v/>
      </c>
    </row>
    <row r="905">
      <c r="G905" s="16" t="str">
        <f>IFERROR(__xludf.DUMMYFUNCTION("""COMPUTED_VALUE"""),"")</f>
        <v/>
      </c>
    </row>
    <row r="906">
      <c r="G906" s="16" t="str">
        <f>IFERROR(__xludf.DUMMYFUNCTION("""COMPUTED_VALUE"""),"")</f>
        <v/>
      </c>
    </row>
    <row r="907">
      <c r="G907" s="16" t="str">
        <f>IFERROR(__xludf.DUMMYFUNCTION("""COMPUTED_VALUE"""),"")</f>
        <v/>
      </c>
    </row>
    <row r="908">
      <c r="G908" s="16" t="str">
        <f>IFERROR(__xludf.DUMMYFUNCTION("""COMPUTED_VALUE"""),"")</f>
        <v/>
      </c>
    </row>
    <row r="909">
      <c r="G909" s="16" t="str">
        <f>IFERROR(__xludf.DUMMYFUNCTION("""COMPUTED_VALUE"""),"")</f>
        <v/>
      </c>
    </row>
    <row r="910">
      <c r="G910" s="16" t="str">
        <f>IFERROR(__xludf.DUMMYFUNCTION("""COMPUTED_VALUE"""),"")</f>
        <v/>
      </c>
    </row>
    <row r="911">
      <c r="G911" s="16" t="str">
        <f>IFERROR(__xludf.DUMMYFUNCTION("""COMPUTED_VALUE"""),"")</f>
        <v/>
      </c>
    </row>
    <row r="912">
      <c r="G912" s="16" t="str">
        <f>IFERROR(__xludf.DUMMYFUNCTION("""COMPUTED_VALUE"""),"")</f>
        <v/>
      </c>
    </row>
    <row r="913">
      <c r="G913" s="16" t="str">
        <f>IFERROR(__xludf.DUMMYFUNCTION("""COMPUTED_VALUE"""),"")</f>
        <v/>
      </c>
    </row>
    <row r="914">
      <c r="G914" s="16" t="str">
        <f>IFERROR(__xludf.DUMMYFUNCTION("""COMPUTED_VALUE"""),"")</f>
        <v/>
      </c>
    </row>
    <row r="915">
      <c r="G915" s="16" t="str">
        <f>IFERROR(__xludf.DUMMYFUNCTION("""COMPUTED_VALUE"""),"")</f>
        <v/>
      </c>
    </row>
    <row r="916">
      <c r="G916" s="16" t="str">
        <f>IFERROR(__xludf.DUMMYFUNCTION("""COMPUTED_VALUE"""),"")</f>
        <v/>
      </c>
    </row>
    <row r="917">
      <c r="G917" s="16" t="str">
        <f>IFERROR(__xludf.DUMMYFUNCTION("""COMPUTED_VALUE"""),"")</f>
        <v/>
      </c>
    </row>
    <row r="918">
      <c r="G918" s="16" t="str">
        <f>IFERROR(__xludf.DUMMYFUNCTION("""COMPUTED_VALUE"""),"")</f>
        <v/>
      </c>
    </row>
    <row r="919">
      <c r="G919" s="16" t="str">
        <f>IFERROR(__xludf.DUMMYFUNCTION("""COMPUTED_VALUE"""),"")</f>
        <v/>
      </c>
    </row>
    <row r="920">
      <c r="G920" s="16" t="str">
        <f>IFERROR(__xludf.DUMMYFUNCTION("""COMPUTED_VALUE"""),"")</f>
        <v/>
      </c>
    </row>
    <row r="921">
      <c r="G921" s="16" t="str">
        <f>IFERROR(__xludf.DUMMYFUNCTION("""COMPUTED_VALUE"""),"")</f>
        <v/>
      </c>
    </row>
    <row r="922">
      <c r="G922" s="16" t="str">
        <f>IFERROR(__xludf.DUMMYFUNCTION("""COMPUTED_VALUE"""),"")</f>
        <v/>
      </c>
    </row>
    <row r="923">
      <c r="G923" s="16" t="str">
        <f>IFERROR(__xludf.DUMMYFUNCTION("""COMPUTED_VALUE"""),"")</f>
        <v/>
      </c>
    </row>
    <row r="924">
      <c r="G924" s="16" t="str">
        <f>IFERROR(__xludf.DUMMYFUNCTION("""COMPUTED_VALUE"""),"")</f>
        <v/>
      </c>
    </row>
    <row r="925">
      <c r="G925" s="16" t="str">
        <f>IFERROR(__xludf.DUMMYFUNCTION("""COMPUTED_VALUE"""),"")</f>
        <v/>
      </c>
    </row>
    <row r="926">
      <c r="G926" s="16" t="str">
        <f>IFERROR(__xludf.DUMMYFUNCTION("""COMPUTED_VALUE"""),"")</f>
        <v/>
      </c>
    </row>
    <row r="927">
      <c r="G927" s="16" t="str">
        <f>IFERROR(__xludf.DUMMYFUNCTION("""COMPUTED_VALUE"""),"")</f>
        <v/>
      </c>
    </row>
    <row r="928">
      <c r="G928" s="16" t="str">
        <f>IFERROR(__xludf.DUMMYFUNCTION("""COMPUTED_VALUE"""),"")</f>
        <v/>
      </c>
    </row>
    <row r="929">
      <c r="G929" s="16" t="str">
        <f>IFERROR(__xludf.DUMMYFUNCTION("""COMPUTED_VALUE"""),"")</f>
        <v/>
      </c>
    </row>
    <row r="930">
      <c r="G930" s="16" t="str">
        <f>IFERROR(__xludf.DUMMYFUNCTION("""COMPUTED_VALUE"""),"")</f>
        <v/>
      </c>
    </row>
    <row r="931">
      <c r="G931" s="16" t="str">
        <f>IFERROR(__xludf.DUMMYFUNCTION("""COMPUTED_VALUE"""),"")</f>
        <v/>
      </c>
    </row>
    <row r="932">
      <c r="G932" s="16" t="str">
        <f>IFERROR(__xludf.DUMMYFUNCTION("""COMPUTED_VALUE"""),"")</f>
        <v/>
      </c>
    </row>
    <row r="933">
      <c r="G933" s="16" t="str">
        <f>IFERROR(__xludf.DUMMYFUNCTION("""COMPUTED_VALUE"""),"")</f>
        <v/>
      </c>
    </row>
    <row r="934">
      <c r="G934" s="16" t="str">
        <f>IFERROR(__xludf.DUMMYFUNCTION("""COMPUTED_VALUE"""),"")</f>
        <v/>
      </c>
    </row>
    <row r="935">
      <c r="G935" s="16" t="str">
        <f>IFERROR(__xludf.DUMMYFUNCTION("""COMPUTED_VALUE"""),"")</f>
        <v/>
      </c>
    </row>
    <row r="936">
      <c r="G936" s="16" t="str">
        <f>IFERROR(__xludf.DUMMYFUNCTION("""COMPUTED_VALUE"""),"")</f>
        <v/>
      </c>
    </row>
    <row r="937">
      <c r="G937" s="16" t="str">
        <f>IFERROR(__xludf.DUMMYFUNCTION("""COMPUTED_VALUE"""),"")</f>
        <v/>
      </c>
    </row>
    <row r="938">
      <c r="G938" s="16" t="str">
        <f>IFERROR(__xludf.DUMMYFUNCTION("""COMPUTED_VALUE"""),"")</f>
        <v/>
      </c>
    </row>
    <row r="939">
      <c r="G939" s="16" t="str">
        <f>IFERROR(__xludf.DUMMYFUNCTION("""COMPUTED_VALUE"""),"")</f>
        <v/>
      </c>
    </row>
    <row r="940">
      <c r="G940" s="16" t="str">
        <f>IFERROR(__xludf.DUMMYFUNCTION("""COMPUTED_VALUE"""),"")</f>
        <v/>
      </c>
    </row>
    <row r="941">
      <c r="G941" s="16" t="str">
        <f>IFERROR(__xludf.DUMMYFUNCTION("""COMPUTED_VALUE"""),"")</f>
        <v/>
      </c>
    </row>
    <row r="942">
      <c r="G942" s="16" t="str">
        <f>IFERROR(__xludf.DUMMYFUNCTION("""COMPUTED_VALUE"""),"")</f>
        <v/>
      </c>
    </row>
    <row r="943">
      <c r="G943" s="16" t="str">
        <f>IFERROR(__xludf.DUMMYFUNCTION("""COMPUTED_VALUE"""),"")</f>
        <v/>
      </c>
    </row>
    <row r="944">
      <c r="G944" s="16" t="str">
        <f>IFERROR(__xludf.DUMMYFUNCTION("""COMPUTED_VALUE"""),"")</f>
        <v/>
      </c>
    </row>
    <row r="945">
      <c r="G945" s="16" t="str">
        <f>IFERROR(__xludf.DUMMYFUNCTION("""COMPUTED_VALUE"""),"")</f>
        <v/>
      </c>
    </row>
    <row r="946">
      <c r="G946" s="16" t="str">
        <f>IFERROR(__xludf.DUMMYFUNCTION("""COMPUTED_VALUE"""),"")</f>
        <v/>
      </c>
    </row>
    <row r="947">
      <c r="G947" s="16" t="str">
        <f>IFERROR(__xludf.DUMMYFUNCTION("""COMPUTED_VALUE"""),"")</f>
        <v/>
      </c>
    </row>
    <row r="948">
      <c r="G948" s="16" t="str">
        <f>IFERROR(__xludf.DUMMYFUNCTION("""COMPUTED_VALUE"""),"")</f>
        <v/>
      </c>
    </row>
    <row r="949">
      <c r="G949" s="16" t="str">
        <f>IFERROR(__xludf.DUMMYFUNCTION("""COMPUTED_VALUE"""),"")</f>
        <v/>
      </c>
    </row>
    <row r="950">
      <c r="G950" s="16" t="str">
        <f>IFERROR(__xludf.DUMMYFUNCTION("""COMPUTED_VALUE"""),"")</f>
        <v/>
      </c>
    </row>
    <row r="951">
      <c r="G951" s="16" t="str">
        <f>IFERROR(__xludf.DUMMYFUNCTION("""COMPUTED_VALUE"""),"")</f>
        <v/>
      </c>
    </row>
    <row r="952">
      <c r="G952" s="16" t="str">
        <f>IFERROR(__xludf.DUMMYFUNCTION("""COMPUTED_VALUE"""),"")</f>
        <v/>
      </c>
    </row>
    <row r="953">
      <c r="G953" s="16" t="str">
        <f>IFERROR(__xludf.DUMMYFUNCTION("""COMPUTED_VALUE"""),"")</f>
        <v/>
      </c>
    </row>
    <row r="954">
      <c r="G954" s="16" t="str">
        <f>IFERROR(__xludf.DUMMYFUNCTION("""COMPUTED_VALUE"""),"")</f>
        <v/>
      </c>
    </row>
    <row r="955">
      <c r="G955" s="16" t="str">
        <f>IFERROR(__xludf.DUMMYFUNCTION("""COMPUTED_VALUE"""),"")</f>
        <v/>
      </c>
    </row>
    <row r="956">
      <c r="G956" s="16" t="str">
        <f>IFERROR(__xludf.DUMMYFUNCTION("""COMPUTED_VALUE"""),"")</f>
        <v/>
      </c>
    </row>
    <row r="957">
      <c r="G957" s="16" t="str">
        <f>IFERROR(__xludf.DUMMYFUNCTION("""COMPUTED_VALUE"""),"")</f>
        <v/>
      </c>
    </row>
    <row r="958">
      <c r="G958" s="16" t="str">
        <f>IFERROR(__xludf.DUMMYFUNCTION("""COMPUTED_VALUE"""),"")</f>
        <v/>
      </c>
    </row>
    <row r="959">
      <c r="G959" s="16" t="str">
        <f>IFERROR(__xludf.DUMMYFUNCTION("""COMPUTED_VALUE"""),"")</f>
        <v/>
      </c>
    </row>
    <row r="960">
      <c r="G960" s="16" t="str">
        <f>IFERROR(__xludf.DUMMYFUNCTION("""COMPUTED_VALUE"""),"")</f>
        <v/>
      </c>
    </row>
    <row r="961">
      <c r="G961" s="16" t="str">
        <f>IFERROR(__xludf.DUMMYFUNCTION("""COMPUTED_VALUE"""),"")</f>
        <v/>
      </c>
    </row>
    <row r="962">
      <c r="G962" s="16" t="str">
        <f>IFERROR(__xludf.DUMMYFUNCTION("""COMPUTED_VALUE"""),"")</f>
        <v/>
      </c>
    </row>
    <row r="963">
      <c r="G963" s="16" t="str">
        <f>IFERROR(__xludf.DUMMYFUNCTION("""COMPUTED_VALUE"""),"")</f>
        <v/>
      </c>
    </row>
    <row r="964">
      <c r="G964" s="16" t="str">
        <f>IFERROR(__xludf.DUMMYFUNCTION("""COMPUTED_VALUE"""),"")</f>
        <v/>
      </c>
    </row>
    <row r="965">
      <c r="G965" s="16" t="str">
        <f>IFERROR(__xludf.DUMMYFUNCTION("""COMPUTED_VALUE"""),"")</f>
        <v/>
      </c>
    </row>
    <row r="966">
      <c r="G966" s="16" t="str">
        <f>IFERROR(__xludf.DUMMYFUNCTION("""COMPUTED_VALUE"""),"")</f>
        <v/>
      </c>
    </row>
    <row r="967">
      <c r="G967" s="16" t="str">
        <f>IFERROR(__xludf.DUMMYFUNCTION("""COMPUTED_VALUE"""),"")</f>
        <v/>
      </c>
    </row>
    <row r="968">
      <c r="G968" s="16" t="str">
        <f>IFERROR(__xludf.DUMMYFUNCTION("""COMPUTED_VALUE"""),"")</f>
        <v/>
      </c>
    </row>
    <row r="969">
      <c r="G969" s="16" t="str">
        <f>IFERROR(__xludf.DUMMYFUNCTION("""COMPUTED_VALUE"""),"")</f>
        <v/>
      </c>
    </row>
    <row r="970">
      <c r="G970" s="16" t="str">
        <f>IFERROR(__xludf.DUMMYFUNCTION("""COMPUTED_VALUE"""),"")</f>
        <v/>
      </c>
    </row>
    <row r="971">
      <c r="G971" s="16" t="str">
        <f>IFERROR(__xludf.DUMMYFUNCTION("""COMPUTED_VALUE"""),"")</f>
        <v/>
      </c>
    </row>
    <row r="972">
      <c r="G972" s="16" t="str">
        <f>IFERROR(__xludf.DUMMYFUNCTION("""COMPUTED_VALUE"""),"")</f>
        <v/>
      </c>
    </row>
    <row r="973">
      <c r="G973" s="16" t="str">
        <f>IFERROR(__xludf.DUMMYFUNCTION("""COMPUTED_VALUE"""),"")</f>
        <v/>
      </c>
    </row>
    <row r="974">
      <c r="G974" s="16" t="str">
        <f>IFERROR(__xludf.DUMMYFUNCTION("""COMPUTED_VALUE"""),"")</f>
        <v/>
      </c>
    </row>
    <row r="975">
      <c r="G975" s="16" t="str">
        <f>IFERROR(__xludf.DUMMYFUNCTION("""COMPUTED_VALUE"""),"")</f>
        <v/>
      </c>
    </row>
    <row r="976">
      <c r="G976" s="16" t="str">
        <f>IFERROR(__xludf.DUMMYFUNCTION("""COMPUTED_VALUE"""),"")</f>
        <v/>
      </c>
    </row>
    <row r="977">
      <c r="G977" s="16" t="str">
        <f>IFERROR(__xludf.DUMMYFUNCTION("""COMPUTED_VALUE"""),"")</f>
        <v/>
      </c>
    </row>
    <row r="978">
      <c r="G978" s="16" t="str">
        <f>IFERROR(__xludf.DUMMYFUNCTION("""COMPUTED_VALUE"""),"")</f>
        <v/>
      </c>
    </row>
    <row r="979">
      <c r="G979" s="16" t="str">
        <f>IFERROR(__xludf.DUMMYFUNCTION("""COMPUTED_VALUE"""),"")</f>
        <v/>
      </c>
    </row>
    <row r="980">
      <c r="G980" s="16" t="str">
        <f>IFERROR(__xludf.DUMMYFUNCTION("""COMPUTED_VALUE"""),"")</f>
        <v/>
      </c>
    </row>
    <row r="981">
      <c r="G981" s="16" t="str">
        <f>IFERROR(__xludf.DUMMYFUNCTION("""COMPUTED_VALUE"""),"")</f>
        <v/>
      </c>
    </row>
    <row r="982">
      <c r="G982" s="16" t="str">
        <f>IFERROR(__xludf.DUMMYFUNCTION("""COMPUTED_VALUE"""),"")</f>
        <v/>
      </c>
    </row>
    <row r="983">
      <c r="G983" s="16" t="str">
        <f>IFERROR(__xludf.DUMMYFUNCTION("""COMPUTED_VALUE"""),"")</f>
        <v/>
      </c>
    </row>
    <row r="984">
      <c r="G984" s="16" t="str">
        <f>IFERROR(__xludf.DUMMYFUNCTION("""COMPUTED_VALUE"""),"")</f>
        <v/>
      </c>
    </row>
    <row r="985">
      <c r="G985" s="16" t="str">
        <f>IFERROR(__xludf.DUMMYFUNCTION("""COMPUTED_VALUE"""),"")</f>
        <v/>
      </c>
    </row>
    <row r="986">
      <c r="G986" s="16" t="str">
        <f>IFERROR(__xludf.DUMMYFUNCTION("""COMPUTED_VALUE"""),"")</f>
        <v/>
      </c>
    </row>
    <row r="987">
      <c r="G987" s="16" t="str">
        <f>IFERROR(__xludf.DUMMYFUNCTION("""COMPUTED_VALUE"""),"")</f>
        <v/>
      </c>
    </row>
    <row r="988">
      <c r="G988" s="16" t="str">
        <f>IFERROR(__xludf.DUMMYFUNCTION("""COMPUTED_VALUE"""),"")</f>
        <v/>
      </c>
    </row>
    <row r="989">
      <c r="G989" s="16" t="str">
        <f>IFERROR(__xludf.DUMMYFUNCTION("""COMPUTED_VALUE"""),"")</f>
        <v/>
      </c>
    </row>
    <row r="990">
      <c r="G990" s="16" t="str">
        <f>IFERROR(__xludf.DUMMYFUNCTION("""COMPUTED_VALUE"""),"")</f>
        <v/>
      </c>
    </row>
    <row r="991">
      <c r="G991" s="16" t="str">
        <f>IFERROR(__xludf.DUMMYFUNCTION("""COMPUTED_VALUE"""),"")</f>
        <v/>
      </c>
    </row>
    <row r="992">
      <c r="G992" s="16" t="str">
        <f>IFERROR(__xludf.DUMMYFUNCTION("""COMPUTED_VALUE"""),"")</f>
        <v/>
      </c>
    </row>
    <row r="993">
      <c r="G993" s="16" t="str">
        <f>IFERROR(__xludf.DUMMYFUNCTION("""COMPUTED_VALUE"""),"")</f>
        <v/>
      </c>
    </row>
    <row r="994">
      <c r="G994" s="16" t="str">
        <f>IFERROR(__xludf.DUMMYFUNCTION("""COMPUTED_VALUE"""),"")</f>
        <v/>
      </c>
    </row>
    <row r="995">
      <c r="G995" s="16" t="str">
        <f>IFERROR(__xludf.DUMMYFUNCTION("""COMPUTED_VALUE"""),"")</f>
        <v/>
      </c>
    </row>
    <row r="996">
      <c r="G996" s="16" t="str">
        <f>IFERROR(__xludf.DUMMYFUNCTION("""COMPUTED_VALUE"""),"")</f>
        <v/>
      </c>
    </row>
    <row r="997">
      <c r="G997" s="16" t="str">
        <f>IFERROR(__xludf.DUMMYFUNCTION("""COMPUTED_VALUE"""),"")</f>
        <v/>
      </c>
    </row>
    <row r="998">
      <c r="G998" s="16" t="str">
        <f>IFERROR(__xludf.DUMMYFUNCTION("""COMPUTED_VALUE"""),"")</f>
        <v/>
      </c>
    </row>
    <row r="999">
      <c r="G999" s="16" t="str">
        <f>IFERROR(__xludf.DUMMYFUNCTION("""COMPUTED_VALUE"""),"")</f>
        <v/>
      </c>
    </row>
    <row r="1000">
      <c r="G1000" s="16" t="str">
        <f>IFERROR(__xludf.DUMMYFUNCTION("""COMPUTED_VALUE"""),"")</f>
        <v/>
      </c>
    </row>
    <row r="1001">
      <c r="G1001" s="16" t="str">
        <f>IFERROR(__xludf.DUMMYFUNCTION("""COMPUTED_VALUE"""),"")</f>
        <v/>
      </c>
    </row>
    <row r="1002">
      <c r="G1002" s="16" t="str">
        <f>IFERROR(__xludf.DUMMYFUNCTION("""COMPUTED_VALUE"""),"")</f>
        <v/>
      </c>
    </row>
    <row r="1003">
      <c r="G1003" s="16" t="str">
        <f>IFERROR(__xludf.DUMMYFUNCTION("""COMPUTED_VALUE"""),"")</f>
        <v/>
      </c>
    </row>
    <row r="1004">
      <c r="G1004" s="16" t="str">
        <f>IFERROR(__xludf.DUMMYFUNCTION("""COMPUTED_VALUE"""),"")</f>
        <v/>
      </c>
    </row>
    <row r="1005">
      <c r="G1005" s="16" t="str">
        <f>IFERROR(__xludf.DUMMYFUNCTION("""COMPUTED_VALUE"""),"")</f>
        <v/>
      </c>
    </row>
    <row r="1006">
      <c r="G1006" s="16" t="str">
        <f>IFERROR(__xludf.DUMMYFUNCTION("""COMPUTED_VALUE"""),"")</f>
        <v/>
      </c>
    </row>
    <row r="1007">
      <c r="G1007" s="16" t="str">
        <f>IFERROR(__xludf.DUMMYFUNCTION("""COMPUTED_VALUE"""),"")</f>
        <v/>
      </c>
    </row>
    <row r="1008">
      <c r="G1008" s="16" t="str">
        <f>IFERROR(__xludf.DUMMYFUNCTION("""COMPUTED_VALUE"""),"")</f>
        <v/>
      </c>
    </row>
    <row r="1009">
      <c r="G1009" s="16" t="str">
        <f>IFERROR(__xludf.DUMMYFUNCTION("""COMPUTED_VALUE"""),"")</f>
        <v/>
      </c>
    </row>
    <row r="1010">
      <c r="G1010" s="16" t="str">
        <f>IFERROR(__xludf.DUMMYFUNCTION("""COMPUTED_VALUE"""),"")</f>
        <v/>
      </c>
    </row>
    <row r="1011">
      <c r="G1011" s="16" t="str">
        <f>IFERROR(__xludf.DUMMYFUNCTION("""COMPUTED_VALUE"""),"")</f>
        <v/>
      </c>
    </row>
    <row r="1012">
      <c r="G1012" s="16" t="str">
        <f>IFERROR(__xludf.DUMMYFUNCTION("""COMPUTED_VALUE"""),"")</f>
        <v/>
      </c>
    </row>
    <row r="1013">
      <c r="G1013" s="16" t="str">
        <f>IFERROR(__xludf.DUMMYFUNCTION("""COMPUTED_VALUE"""),"")</f>
        <v/>
      </c>
    </row>
    <row r="1014">
      <c r="G1014" s="16" t="str">
        <f>IFERROR(__xludf.DUMMYFUNCTION("""COMPUTED_VALUE"""),"")</f>
        <v/>
      </c>
    </row>
    <row r="1015">
      <c r="G1015" s="16" t="str">
        <f>IFERROR(__xludf.DUMMYFUNCTION("""COMPUTED_VALUE"""),"")</f>
        <v/>
      </c>
    </row>
    <row r="1016">
      <c r="G1016" s="16" t="str">
        <f>IFERROR(__xludf.DUMMYFUNCTION("""COMPUTED_VALUE"""),"")</f>
        <v/>
      </c>
    </row>
    <row r="1017">
      <c r="G1017" s="16" t="str">
        <f>IFERROR(__xludf.DUMMYFUNCTION("""COMPUTED_VALUE"""),"")</f>
        <v/>
      </c>
    </row>
    <row r="1018">
      <c r="G1018" s="16" t="str">
        <f>IFERROR(__xludf.DUMMYFUNCTION("""COMPUTED_VALUE"""),"")</f>
        <v/>
      </c>
    </row>
    <row r="1019">
      <c r="G1019" s="16" t="str">
        <f>IFERROR(__xludf.DUMMYFUNCTION("""COMPUTED_VALUE"""),"")</f>
        <v/>
      </c>
    </row>
    <row r="1020">
      <c r="G1020" s="16" t="str">
        <f>IFERROR(__xludf.DUMMYFUNCTION("""COMPUTED_VALUE"""),"")</f>
        <v/>
      </c>
    </row>
    <row r="1021">
      <c r="G1021" s="16" t="str">
        <f>IFERROR(__xludf.DUMMYFUNCTION("""COMPUTED_VALUE"""),"")</f>
        <v/>
      </c>
    </row>
    <row r="1022">
      <c r="G1022" s="16" t="str">
        <f>IFERROR(__xludf.DUMMYFUNCTION("""COMPUTED_VALUE"""),"")</f>
        <v/>
      </c>
    </row>
    <row r="1023">
      <c r="G1023" s="16" t="str">
        <f>IFERROR(__xludf.DUMMYFUNCTION("""COMPUTED_VALUE"""),"")</f>
        <v/>
      </c>
    </row>
    <row r="1024">
      <c r="G1024" s="16" t="str">
        <f>IFERROR(__xludf.DUMMYFUNCTION("""COMPUTED_VALUE"""),"")</f>
        <v/>
      </c>
    </row>
    <row r="1025">
      <c r="G1025" s="16" t="str">
        <f>IFERROR(__xludf.DUMMYFUNCTION("""COMPUTED_VALUE"""),"")</f>
        <v/>
      </c>
    </row>
    <row r="1026">
      <c r="G1026" s="16" t="str">
        <f>IFERROR(__xludf.DUMMYFUNCTION("""COMPUTED_VALUE"""),"")</f>
        <v/>
      </c>
    </row>
    <row r="1027">
      <c r="G1027" s="16" t="str">
        <f>IFERROR(__xludf.DUMMYFUNCTION("""COMPUTED_VALUE"""),"")</f>
        <v/>
      </c>
    </row>
    <row r="1028">
      <c r="G1028" s="16" t="str">
        <f>IFERROR(__xludf.DUMMYFUNCTION("""COMPUTED_VALUE"""),"")</f>
        <v/>
      </c>
    </row>
    <row r="1029">
      <c r="G1029" s="16" t="str">
        <f>IFERROR(__xludf.DUMMYFUNCTION("""COMPUTED_VALUE"""),"")</f>
        <v/>
      </c>
    </row>
    <row r="1030">
      <c r="G1030" s="16" t="str">
        <f>IFERROR(__xludf.DUMMYFUNCTION("""COMPUTED_VALUE"""),"")</f>
        <v/>
      </c>
    </row>
    <row r="1031">
      <c r="G1031" s="16" t="str">
        <f>IFERROR(__xludf.DUMMYFUNCTION("""COMPUTED_VALUE"""),"")</f>
        <v/>
      </c>
    </row>
    <row r="1032">
      <c r="G1032" s="16" t="str">
        <f>IFERROR(__xludf.DUMMYFUNCTION("""COMPUTED_VALUE"""),"")</f>
        <v/>
      </c>
    </row>
    <row r="1033">
      <c r="G1033" s="16" t="str">
        <f>IFERROR(__xludf.DUMMYFUNCTION("""COMPUTED_VALUE"""),"")</f>
        <v/>
      </c>
    </row>
    <row r="1034">
      <c r="G1034" s="16" t="str">
        <f>IFERROR(__xludf.DUMMYFUNCTION("""COMPUTED_VALUE"""),"")</f>
        <v/>
      </c>
    </row>
    <row r="1035">
      <c r="G1035" s="16" t="str">
        <f>IFERROR(__xludf.DUMMYFUNCTION("""COMPUTED_VALUE"""),"")</f>
        <v/>
      </c>
    </row>
    <row r="1036">
      <c r="G1036" s="16" t="str">
        <f>IFERROR(__xludf.DUMMYFUNCTION("""COMPUTED_VALUE"""),"")</f>
        <v/>
      </c>
    </row>
    <row r="1037">
      <c r="G1037" s="16" t="str">
        <f>IFERROR(__xludf.DUMMYFUNCTION("""COMPUTED_VALUE"""),"")</f>
        <v/>
      </c>
    </row>
    <row r="1038">
      <c r="G1038" s="16" t="str">
        <f>IFERROR(__xludf.DUMMYFUNCTION("""COMPUTED_VALUE"""),"")</f>
        <v/>
      </c>
    </row>
    <row r="1039">
      <c r="G1039" s="16" t="str">
        <f>IFERROR(__xludf.DUMMYFUNCTION("""COMPUTED_VALUE"""),"")</f>
        <v/>
      </c>
    </row>
    <row r="1040">
      <c r="G1040" s="16" t="str">
        <f>IFERROR(__xludf.DUMMYFUNCTION("""COMPUTED_VALUE"""),"")</f>
        <v/>
      </c>
    </row>
    <row r="1041">
      <c r="G1041" s="16" t="str">
        <f>IFERROR(__xludf.DUMMYFUNCTION("""COMPUTED_VALUE"""),"")</f>
        <v/>
      </c>
    </row>
    <row r="1042">
      <c r="G1042" s="16" t="str">
        <f>IFERROR(__xludf.DUMMYFUNCTION("""COMPUTED_VALUE"""),"")</f>
        <v/>
      </c>
    </row>
    <row r="1043">
      <c r="G1043" s="16" t="str">
        <f>IFERROR(__xludf.DUMMYFUNCTION("""COMPUTED_VALUE"""),"")</f>
        <v/>
      </c>
    </row>
    <row r="1044">
      <c r="G1044" s="16" t="str">
        <f>IFERROR(__xludf.DUMMYFUNCTION("""COMPUTED_VALUE"""),"")</f>
        <v/>
      </c>
    </row>
    <row r="1045">
      <c r="G1045" s="16" t="str">
        <f>IFERROR(__xludf.DUMMYFUNCTION("""COMPUTED_VALUE"""),"")</f>
        <v/>
      </c>
    </row>
    <row r="1046">
      <c r="G1046" s="16" t="str">
        <f>IFERROR(__xludf.DUMMYFUNCTION("""COMPUTED_VALUE"""),"")</f>
        <v/>
      </c>
    </row>
    <row r="1047">
      <c r="G1047" s="16" t="str">
        <f>IFERROR(__xludf.DUMMYFUNCTION("""COMPUTED_VALUE"""),"")</f>
        <v/>
      </c>
    </row>
    <row r="1048">
      <c r="G1048" s="16" t="str">
        <f>IFERROR(__xludf.DUMMYFUNCTION("""COMPUTED_VALUE"""),"")</f>
        <v/>
      </c>
    </row>
    <row r="1049">
      <c r="G1049" s="16" t="str">
        <f>IFERROR(__xludf.DUMMYFUNCTION("""COMPUTED_VALUE"""),"")</f>
        <v/>
      </c>
    </row>
    <row r="1050">
      <c r="G1050" s="16" t="str">
        <f>IFERROR(__xludf.DUMMYFUNCTION("""COMPUTED_VALUE"""),"")</f>
        <v/>
      </c>
    </row>
    <row r="1051">
      <c r="G1051" s="16" t="str">
        <f>IFERROR(__xludf.DUMMYFUNCTION("""COMPUTED_VALUE"""),"")</f>
        <v/>
      </c>
    </row>
    <row r="1052">
      <c r="G1052" s="16" t="str">
        <f>IFERROR(__xludf.DUMMYFUNCTION("""COMPUTED_VALUE"""),"")</f>
        <v/>
      </c>
    </row>
    <row r="1053">
      <c r="G1053" s="16" t="str">
        <f>IFERROR(__xludf.DUMMYFUNCTION("""COMPUTED_VALUE"""),"")</f>
        <v/>
      </c>
    </row>
    <row r="1054">
      <c r="G1054" s="16" t="str">
        <f>IFERROR(__xludf.DUMMYFUNCTION("""COMPUTED_VALUE"""),"")</f>
        <v/>
      </c>
    </row>
    <row r="1055">
      <c r="G1055" s="16" t="str">
        <f>IFERROR(__xludf.DUMMYFUNCTION("""COMPUTED_VALUE"""),"")</f>
        <v/>
      </c>
    </row>
    <row r="1056">
      <c r="G1056" s="16" t="str">
        <f>IFERROR(__xludf.DUMMYFUNCTION("""COMPUTED_VALUE"""),"")</f>
        <v/>
      </c>
    </row>
    <row r="1057">
      <c r="G1057" s="16" t="str">
        <f>IFERROR(__xludf.DUMMYFUNCTION("""COMPUTED_VALUE"""),"")</f>
        <v/>
      </c>
    </row>
    <row r="1058">
      <c r="G1058" s="16" t="str">
        <f>IFERROR(__xludf.DUMMYFUNCTION("""COMPUTED_VALUE"""),"")</f>
        <v/>
      </c>
    </row>
    <row r="1059">
      <c r="G1059" s="16" t="str">
        <f>IFERROR(__xludf.DUMMYFUNCTION("""COMPUTED_VALUE"""),"")</f>
        <v/>
      </c>
    </row>
    <row r="1060">
      <c r="G1060" s="16" t="str">
        <f>IFERROR(__xludf.DUMMYFUNCTION("""COMPUTED_VALUE"""),"")</f>
        <v/>
      </c>
    </row>
    <row r="1061">
      <c r="G1061" s="16" t="str">
        <f>IFERROR(__xludf.DUMMYFUNCTION("""COMPUTED_VALUE"""),"")</f>
        <v/>
      </c>
    </row>
    <row r="1062">
      <c r="G1062" s="16" t="str">
        <f>IFERROR(__xludf.DUMMYFUNCTION("""COMPUTED_VALUE"""),"")</f>
        <v/>
      </c>
    </row>
    <row r="1063">
      <c r="G1063" s="16" t="str">
        <f>IFERROR(__xludf.DUMMYFUNCTION("""COMPUTED_VALUE"""),"")</f>
        <v/>
      </c>
    </row>
    <row r="1064">
      <c r="G1064" s="16" t="str">
        <f>IFERROR(__xludf.DUMMYFUNCTION("""COMPUTED_VALUE"""),"")</f>
        <v/>
      </c>
    </row>
    <row r="1065">
      <c r="G1065" s="16" t="str">
        <f>IFERROR(__xludf.DUMMYFUNCTION("""COMPUTED_VALUE"""),"")</f>
        <v/>
      </c>
    </row>
    <row r="1066">
      <c r="G1066" s="16" t="str">
        <f>IFERROR(__xludf.DUMMYFUNCTION("""COMPUTED_VALUE"""),"")</f>
        <v/>
      </c>
    </row>
    <row r="1067">
      <c r="G1067" s="16" t="str">
        <f>IFERROR(__xludf.DUMMYFUNCTION("""COMPUTED_VALUE"""),"")</f>
        <v/>
      </c>
    </row>
    <row r="1068">
      <c r="G1068" s="16" t="str">
        <f>IFERROR(__xludf.DUMMYFUNCTION("""COMPUTED_VALUE"""),"")</f>
        <v/>
      </c>
    </row>
    <row r="1069">
      <c r="G1069" s="16" t="str">
        <f>IFERROR(__xludf.DUMMYFUNCTION("""COMPUTED_VALUE"""),"")</f>
        <v/>
      </c>
    </row>
    <row r="1070">
      <c r="G1070" s="16" t="str">
        <f>IFERROR(__xludf.DUMMYFUNCTION("""COMPUTED_VALUE"""),"")</f>
        <v/>
      </c>
    </row>
    <row r="1071">
      <c r="G1071" s="16" t="str">
        <f>IFERROR(__xludf.DUMMYFUNCTION("""COMPUTED_VALUE"""),"")</f>
        <v/>
      </c>
    </row>
    <row r="1072">
      <c r="G1072" s="16" t="str">
        <f>IFERROR(__xludf.DUMMYFUNCTION("""COMPUTED_VALUE"""),"")</f>
        <v/>
      </c>
    </row>
    <row r="1073">
      <c r="G1073" s="16" t="str">
        <f>IFERROR(__xludf.DUMMYFUNCTION("""COMPUTED_VALUE"""),"")</f>
        <v/>
      </c>
    </row>
    <row r="1074">
      <c r="G1074" s="16" t="str">
        <f>IFERROR(__xludf.DUMMYFUNCTION("""COMPUTED_VALUE"""),"")</f>
        <v/>
      </c>
    </row>
    <row r="1075">
      <c r="G1075" s="16" t="str">
        <f>IFERROR(__xludf.DUMMYFUNCTION("""COMPUTED_VALUE"""),"")</f>
        <v/>
      </c>
    </row>
    <row r="1076">
      <c r="G1076" s="16" t="str">
        <f>IFERROR(__xludf.DUMMYFUNCTION("""COMPUTED_VALUE"""),"")</f>
        <v/>
      </c>
    </row>
    <row r="1077">
      <c r="G1077" s="16" t="str">
        <f>IFERROR(__xludf.DUMMYFUNCTION("""COMPUTED_VALUE"""),"")</f>
        <v/>
      </c>
    </row>
    <row r="1078">
      <c r="G1078" s="16" t="str">
        <f>IFERROR(__xludf.DUMMYFUNCTION("""COMPUTED_VALUE"""),"")</f>
        <v/>
      </c>
    </row>
    <row r="1079">
      <c r="G1079" s="16" t="str">
        <f>IFERROR(__xludf.DUMMYFUNCTION("""COMPUTED_VALUE"""),"")</f>
        <v/>
      </c>
    </row>
    <row r="1080">
      <c r="G1080" s="16" t="str">
        <f>IFERROR(__xludf.DUMMYFUNCTION("""COMPUTED_VALUE"""),"")</f>
        <v/>
      </c>
    </row>
    <row r="1081">
      <c r="G1081" s="16" t="str">
        <f>IFERROR(__xludf.DUMMYFUNCTION("""COMPUTED_VALUE"""),"")</f>
        <v/>
      </c>
    </row>
    <row r="1082">
      <c r="G1082" s="16" t="str">
        <f>IFERROR(__xludf.DUMMYFUNCTION("""COMPUTED_VALUE"""),"")</f>
        <v/>
      </c>
    </row>
    <row r="1083">
      <c r="G1083" s="16" t="str">
        <f>IFERROR(__xludf.DUMMYFUNCTION("""COMPUTED_VALUE"""),"")</f>
        <v/>
      </c>
    </row>
    <row r="1084">
      <c r="G1084" s="16" t="str">
        <f>IFERROR(__xludf.DUMMYFUNCTION("""COMPUTED_VALUE"""),"")</f>
        <v/>
      </c>
    </row>
    <row r="1085">
      <c r="G1085" s="16" t="str">
        <f>IFERROR(__xludf.DUMMYFUNCTION("""COMPUTED_VALUE"""),"")</f>
        <v/>
      </c>
    </row>
    <row r="1086">
      <c r="G1086" s="16" t="str">
        <f>IFERROR(__xludf.DUMMYFUNCTION("""COMPUTED_VALUE"""),"")</f>
        <v/>
      </c>
    </row>
    <row r="1087">
      <c r="G1087" s="16" t="str">
        <f>IFERROR(__xludf.DUMMYFUNCTION("""COMPUTED_VALUE"""),"")</f>
        <v/>
      </c>
    </row>
    <row r="1088">
      <c r="G1088" s="16" t="str">
        <f>IFERROR(__xludf.DUMMYFUNCTION("""COMPUTED_VALUE"""),"")</f>
        <v/>
      </c>
    </row>
    <row r="1089">
      <c r="G1089" s="16" t="str">
        <f>IFERROR(__xludf.DUMMYFUNCTION("""COMPUTED_VALUE"""),"")</f>
        <v/>
      </c>
    </row>
    <row r="1090">
      <c r="G1090" s="16" t="str">
        <f>IFERROR(__xludf.DUMMYFUNCTION("""COMPUTED_VALUE"""),"")</f>
        <v/>
      </c>
    </row>
    <row r="1091">
      <c r="G1091" s="16" t="str">
        <f>IFERROR(__xludf.DUMMYFUNCTION("""COMPUTED_VALUE"""),"")</f>
        <v/>
      </c>
    </row>
    <row r="1092">
      <c r="G1092" s="16" t="str">
        <f>IFERROR(__xludf.DUMMYFUNCTION("""COMPUTED_VALUE"""),"")</f>
        <v/>
      </c>
    </row>
    <row r="1093">
      <c r="G1093" s="16" t="str">
        <f>IFERROR(__xludf.DUMMYFUNCTION("""COMPUTED_VALUE"""),"")</f>
        <v/>
      </c>
    </row>
    <row r="1094">
      <c r="G1094" s="16" t="str">
        <f>IFERROR(__xludf.DUMMYFUNCTION("""COMPUTED_VALUE"""),"")</f>
        <v/>
      </c>
    </row>
    <row r="1095">
      <c r="G1095" s="16" t="str">
        <f>IFERROR(__xludf.DUMMYFUNCTION("""COMPUTED_VALUE"""),"")</f>
        <v/>
      </c>
    </row>
    <row r="1096">
      <c r="G1096" s="16" t="str">
        <f>IFERROR(__xludf.DUMMYFUNCTION("""COMPUTED_VALUE"""),"")</f>
        <v/>
      </c>
    </row>
    <row r="1097">
      <c r="G1097" s="16" t="str">
        <f>IFERROR(__xludf.DUMMYFUNCTION("""COMPUTED_VALUE"""),"")</f>
        <v/>
      </c>
    </row>
    <row r="1098">
      <c r="G1098" s="16" t="str">
        <f>IFERROR(__xludf.DUMMYFUNCTION("""COMPUTED_VALUE"""),"")</f>
        <v/>
      </c>
    </row>
    <row r="1099">
      <c r="G1099" s="16" t="str">
        <f>IFERROR(__xludf.DUMMYFUNCTION("""COMPUTED_VALUE"""),"")</f>
        <v/>
      </c>
    </row>
    <row r="1100">
      <c r="G1100" s="16" t="str">
        <f>IFERROR(__xludf.DUMMYFUNCTION("""COMPUTED_VALUE"""),"")</f>
        <v/>
      </c>
    </row>
    <row r="1101">
      <c r="G1101" s="16" t="str">
        <f>IFERROR(__xludf.DUMMYFUNCTION("""COMPUTED_VALUE"""),"")</f>
        <v/>
      </c>
    </row>
    <row r="1102">
      <c r="G1102" s="16" t="str">
        <f>IFERROR(__xludf.DUMMYFUNCTION("""COMPUTED_VALUE"""),"")</f>
        <v/>
      </c>
    </row>
    <row r="1103">
      <c r="G1103" s="16" t="str">
        <f>IFERROR(__xludf.DUMMYFUNCTION("""COMPUTED_VALUE"""),"")</f>
        <v/>
      </c>
    </row>
    <row r="1104">
      <c r="G1104" s="16" t="str">
        <f>IFERROR(__xludf.DUMMYFUNCTION("""COMPUTED_VALUE"""),"")</f>
        <v/>
      </c>
    </row>
    <row r="1105">
      <c r="G1105" s="16" t="str">
        <f>IFERROR(__xludf.DUMMYFUNCTION("""COMPUTED_VALUE"""),"")</f>
        <v/>
      </c>
    </row>
    <row r="1106">
      <c r="G1106" s="16" t="str">
        <f>IFERROR(__xludf.DUMMYFUNCTION("""COMPUTED_VALUE"""),"")</f>
        <v/>
      </c>
    </row>
    <row r="1107">
      <c r="G1107" s="16" t="str">
        <f>IFERROR(__xludf.DUMMYFUNCTION("""COMPUTED_VALUE"""),"")</f>
        <v/>
      </c>
    </row>
    <row r="1108">
      <c r="G1108" s="16" t="str">
        <f>IFERROR(__xludf.DUMMYFUNCTION("""COMPUTED_VALUE"""),"")</f>
        <v/>
      </c>
    </row>
    <row r="1109">
      <c r="G1109" s="16" t="str">
        <f>IFERROR(__xludf.DUMMYFUNCTION("""COMPUTED_VALUE"""),"")</f>
        <v/>
      </c>
    </row>
    <row r="1110">
      <c r="G1110" s="16" t="str">
        <f>IFERROR(__xludf.DUMMYFUNCTION("""COMPUTED_VALUE"""),"")</f>
        <v/>
      </c>
    </row>
    <row r="1111">
      <c r="G1111" s="16" t="str">
        <f>IFERROR(__xludf.DUMMYFUNCTION("""COMPUTED_VALUE"""),"")</f>
        <v/>
      </c>
    </row>
    <row r="1112">
      <c r="G1112" s="16" t="str">
        <f>IFERROR(__xludf.DUMMYFUNCTION("""COMPUTED_VALUE"""),"")</f>
        <v/>
      </c>
    </row>
    <row r="1113">
      <c r="G1113" s="16" t="str">
        <f>IFERROR(__xludf.DUMMYFUNCTION("""COMPUTED_VALUE"""),"")</f>
        <v/>
      </c>
    </row>
    <row r="1114">
      <c r="G1114" s="16" t="str">
        <f>IFERROR(__xludf.DUMMYFUNCTION("""COMPUTED_VALUE"""),"")</f>
        <v/>
      </c>
    </row>
    <row r="1115">
      <c r="G1115" s="16" t="str">
        <f>IFERROR(__xludf.DUMMYFUNCTION("""COMPUTED_VALUE"""),"")</f>
        <v/>
      </c>
    </row>
    <row r="1116">
      <c r="G1116" s="16" t="str">
        <f>IFERROR(__xludf.DUMMYFUNCTION("""COMPUTED_VALUE"""),"")</f>
        <v/>
      </c>
    </row>
    <row r="1117">
      <c r="G1117" s="16" t="str">
        <f>IFERROR(__xludf.DUMMYFUNCTION("""COMPUTED_VALUE"""),"")</f>
        <v/>
      </c>
    </row>
    <row r="1118">
      <c r="G1118" s="16" t="str">
        <f>IFERROR(__xludf.DUMMYFUNCTION("""COMPUTED_VALUE"""),"")</f>
        <v/>
      </c>
    </row>
    <row r="1119">
      <c r="G1119" s="16" t="str">
        <f>IFERROR(__xludf.DUMMYFUNCTION("""COMPUTED_VALUE"""),"")</f>
        <v/>
      </c>
    </row>
    <row r="1120">
      <c r="G1120" s="16" t="str">
        <f>IFERROR(__xludf.DUMMYFUNCTION("""COMPUTED_VALUE"""),"")</f>
        <v/>
      </c>
    </row>
    <row r="1121">
      <c r="G1121" s="16" t="str">
        <f>IFERROR(__xludf.DUMMYFUNCTION("""COMPUTED_VALUE"""),"")</f>
        <v/>
      </c>
    </row>
    <row r="1122">
      <c r="G1122" s="16" t="str">
        <f>IFERROR(__xludf.DUMMYFUNCTION("""COMPUTED_VALUE"""),"")</f>
        <v/>
      </c>
    </row>
    <row r="1123">
      <c r="G1123" s="16" t="str">
        <f>IFERROR(__xludf.DUMMYFUNCTION("""COMPUTED_VALUE"""),"")</f>
        <v/>
      </c>
    </row>
    <row r="1124">
      <c r="G1124" s="16" t="str">
        <f>IFERROR(__xludf.DUMMYFUNCTION("""COMPUTED_VALUE"""),"")</f>
        <v/>
      </c>
    </row>
    <row r="1125">
      <c r="G1125" s="16" t="str">
        <f>IFERROR(__xludf.DUMMYFUNCTION("""COMPUTED_VALUE"""),"")</f>
        <v/>
      </c>
    </row>
    <row r="1126">
      <c r="G1126" s="16" t="str">
        <f>IFERROR(__xludf.DUMMYFUNCTION("""COMPUTED_VALUE"""),"")</f>
        <v/>
      </c>
    </row>
    <row r="1127">
      <c r="G1127" s="16" t="str">
        <f>IFERROR(__xludf.DUMMYFUNCTION("""COMPUTED_VALUE"""),"")</f>
        <v/>
      </c>
    </row>
    <row r="1128">
      <c r="G1128" s="16" t="str">
        <f>IFERROR(__xludf.DUMMYFUNCTION("""COMPUTED_VALUE"""),"")</f>
        <v/>
      </c>
    </row>
    <row r="1129">
      <c r="G1129" s="16" t="str">
        <f>IFERROR(__xludf.DUMMYFUNCTION("""COMPUTED_VALUE"""),"")</f>
        <v/>
      </c>
    </row>
    <row r="1130">
      <c r="G1130" s="16" t="str">
        <f>IFERROR(__xludf.DUMMYFUNCTION("""COMPUTED_VALUE"""),"")</f>
        <v/>
      </c>
    </row>
    <row r="1131">
      <c r="G1131" s="16" t="str">
        <f>IFERROR(__xludf.DUMMYFUNCTION("""COMPUTED_VALUE"""),"")</f>
        <v/>
      </c>
    </row>
    <row r="1132">
      <c r="G1132" s="16" t="str">
        <f>IFERROR(__xludf.DUMMYFUNCTION("""COMPUTED_VALUE"""),"")</f>
        <v/>
      </c>
    </row>
    <row r="1133">
      <c r="G1133" s="16" t="str">
        <f>IFERROR(__xludf.DUMMYFUNCTION("""COMPUTED_VALUE"""),"")</f>
        <v/>
      </c>
    </row>
    <row r="1134">
      <c r="G1134" s="16" t="str">
        <f>IFERROR(__xludf.DUMMYFUNCTION("""COMPUTED_VALUE"""),"")</f>
        <v/>
      </c>
    </row>
    <row r="1135">
      <c r="G1135" s="16" t="str">
        <f>IFERROR(__xludf.DUMMYFUNCTION("""COMPUTED_VALUE"""),"")</f>
        <v/>
      </c>
    </row>
    <row r="1136">
      <c r="G1136" s="16" t="str">
        <f>IFERROR(__xludf.DUMMYFUNCTION("""COMPUTED_VALUE"""),"")</f>
        <v/>
      </c>
    </row>
    <row r="1137">
      <c r="G1137" s="16" t="str">
        <f>IFERROR(__xludf.DUMMYFUNCTION("""COMPUTED_VALUE"""),"")</f>
        <v/>
      </c>
    </row>
    <row r="1138">
      <c r="G1138" s="16" t="str">
        <f>IFERROR(__xludf.DUMMYFUNCTION("""COMPUTED_VALUE"""),"")</f>
        <v/>
      </c>
    </row>
    <row r="1139">
      <c r="G1139" s="16" t="str">
        <f>IFERROR(__xludf.DUMMYFUNCTION("""COMPUTED_VALUE"""),"")</f>
        <v/>
      </c>
    </row>
    <row r="1140">
      <c r="G1140" s="16" t="str">
        <f>IFERROR(__xludf.DUMMYFUNCTION("""COMPUTED_VALUE"""),"")</f>
        <v/>
      </c>
    </row>
    <row r="1141">
      <c r="G1141" s="16" t="str">
        <f>IFERROR(__xludf.DUMMYFUNCTION("""COMPUTED_VALUE"""),"")</f>
        <v/>
      </c>
    </row>
    <row r="1142">
      <c r="G1142" s="16" t="str">
        <f>IFERROR(__xludf.DUMMYFUNCTION("""COMPUTED_VALUE"""),"")</f>
        <v/>
      </c>
    </row>
    <row r="1143">
      <c r="G1143" s="16" t="str">
        <f>IFERROR(__xludf.DUMMYFUNCTION("""COMPUTED_VALUE"""),"")</f>
        <v/>
      </c>
    </row>
    <row r="1144">
      <c r="G1144" s="16" t="str">
        <f>IFERROR(__xludf.DUMMYFUNCTION("""COMPUTED_VALUE"""),"")</f>
        <v/>
      </c>
    </row>
    <row r="1145">
      <c r="G1145" s="16" t="str">
        <f>IFERROR(__xludf.DUMMYFUNCTION("""COMPUTED_VALUE"""),"")</f>
        <v/>
      </c>
    </row>
    <row r="1146">
      <c r="G1146" s="16" t="str">
        <f>IFERROR(__xludf.DUMMYFUNCTION("""COMPUTED_VALUE"""),"")</f>
        <v/>
      </c>
    </row>
    <row r="1147">
      <c r="G1147" s="16" t="str">
        <f>IFERROR(__xludf.DUMMYFUNCTION("""COMPUTED_VALUE"""),"")</f>
        <v/>
      </c>
    </row>
    <row r="1148">
      <c r="G1148" s="16" t="str">
        <f>IFERROR(__xludf.DUMMYFUNCTION("""COMPUTED_VALUE"""),"")</f>
        <v/>
      </c>
    </row>
    <row r="1149">
      <c r="G1149" s="16" t="str">
        <f>IFERROR(__xludf.DUMMYFUNCTION("""COMPUTED_VALUE"""),"")</f>
        <v/>
      </c>
    </row>
    <row r="1150">
      <c r="G1150" s="16" t="str">
        <f>IFERROR(__xludf.DUMMYFUNCTION("""COMPUTED_VALUE"""),"")</f>
        <v/>
      </c>
    </row>
    <row r="1151">
      <c r="G1151" s="16" t="str">
        <f>IFERROR(__xludf.DUMMYFUNCTION("""COMPUTED_VALUE"""),"")</f>
        <v/>
      </c>
    </row>
    <row r="1152">
      <c r="G1152" s="16" t="str">
        <f>IFERROR(__xludf.DUMMYFUNCTION("""COMPUTED_VALUE"""),"")</f>
        <v/>
      </c>
    </row>
    <row r="1153">
      <c r="G1153" s="16" t="str">
        <f>IFERROR(__xludf.DUMMYFUNCTION("""COMPUTED_VALUE"""),"")</f>
        <v/>
      </c>
    </row>
    <row r="1154">
      <c r="G1154" s="16" t="str">
        <f>IFERROR(__xludf.DUMMYFUNCTION("""COMPUTED_VALUE"""),"")</f>
        <v/>
      </c>
    </row>
    <row r="1155">
      <c r="G1155" s="16" t="str">
        <f>IFERROR(__xludf.DUMMYFUNCTION("""COMPUTED_VALUE"""),"")</f>
        <v/>
      </c>
    </row>
    <row r="1156">
      <c r="G1156" s="16" t="str">
        <f>IFERROR(__xludf.DUMMYFUNCTION("""COMPUTED_VALUE"""),"")</f>
        <v/>
      </c>
    </row>
    <row r="1157">
      <c r="G1157" s="16" t="str">
        <f>IFERROR(__xludf.DUMMYFUNCTION("""COMPUTED_VALUE"""),"")</f>
        <v/>
      </c>
    </row>
    <row r="1158">
      <c r="G1158" s="16" t="str">
        <f>IFERROR(__xludf.DUMMYFUNCTION("""COMPUTED_VALUE"""),"")</f>
        <v/>
      </c>
    </row>
    <row r="1159">
      <c r="G1159" s="16" t="str">
        <f>IFERROR(__xludf.DUMMYFUNCTION("""COMPUTED_VALUE"""),"")</f>
        <v/>
      </c>
    </row>
    <row r="1160">
      <c r="G1160" s="16" t="str">
        <f>IFERROR(__xludf.DUMMYFUNCTION("""COMPUTED_VALUE"""),"")</f>
        <v/>
      </c>
    </row>
    <row r="1161">
      <c r="G1161" s="16" t="str">
        <f>IFERROR(__xludf.DUMMYFUNCTION("""COMPUTED_VALUE"""),"")</f>
        <v/>
      </c>
    </row>
    <row r="1162">
      <c r="G1162" s="16" t="str">
        <f>IFERROR(__xludf.DUMMYFUNCTION("""COMPUTED_VALUE"""),"")</f>
        <v/>
      </c>
    </row>
    <row r="1163">
      <c r="G1163" s="16" t="str">
        <f>IFERROR(__xludf.DUMMYFUNCTION("""COMPUTED_VALUE"""),"")</f>
        <v/>
      </c>
    </row>
    <row r="1164">
      <c r="G1164" s="16" t="str">
        <f>IFERROR(__xludf.DUMMYFUNCTION("""COMPUTED_VALUE"""),"")</f>
        <v/>
      </c>
    </row>
    <row r="1165">
      <c r="G1165" s="16" t="str">
        <f>IFERROR(__xludf.DUMMYFUNCTION("""COMPUTED_VALUE"""),"")</f>
        <v/>
      </c>
    </row>
    <row r="1166">
      <c r="G1166" s="16" t="str">
        <f>IFERROR(__xludf.DUMMYFUNCTION("""COMPUTED_VALUE"""),"")</f>
        <v/>
      </c>
    </row>
    <row r="1167">
      <c r="G1167" s="16" t="str">
        <f>IFERROR(__xludf.DUMMYFUNCTION("""COMPUTED_VALUE"""),"")</f>
        <v/>
      </c>
    </row>
    <row r="1168">
      <c r="G1168" s="16" t="str">
        <f>IFERROR(__xludf.DUMMYFUNCTION("""COMPUTED_VALUE"""),"")</f>
        <v/>
      </c>
    </row>
    <row r="1169">
      <c r="G1169" s="16" t="str">
        <f>IFERROR(__xludf.DUMMYFUNCTION("""COMPUTED_VALUE"""),"")</f>
        <v/>
      </c>
    </row>
    <row r="1170">
      <c r="G1170" s="16" t="str">
        <f>IFERROR(__xludf.DUMMYFUNCTION("""COMPUTED_VALUE"""),"")</f>
        <v/>
      </c>
    </row>
    <row r="1171">
      <c r="G1171" s="16" t="str">
        <f>IFERROR(__xludf.DUMMYFUNCTION("""COMPUTED_VALUE"""),"")</f>
        <v/>
      </c>
    </row>
    <row r="1172">
      <c r="G1172" s="16" t="str">
        <f>IFERROR(__xludf.DUMMYFUNCTION("""COMPUTED_VALUE"""),"")</f>
        <v/>
      </c>
    </row>
    <row r="1173">
      <c r="G1173" s="16" t="str">
        <f>IFERROR(__xludf.DUMMYFUNCTION("""COMPUTED_VALUE"""),"")</f>
        <v/>
      </c>
    </row>
    <row r="1174">
      <c r="G1174" s="16" t="str">
        <f>IFERROR(__xludf.DUMMYFUNCTION("""COMPUTED_VALUE"""),"")</f>
        <v/>
      </c>
    </row>
    <row r="1175">
      <c r="G1175" s="16" t="str">
        <f>IFERROR(__xludf.DUMMYFUNCTION("""COMPUTED_VALUE"""),"")</f>
        <v/>
      </c>
    </row>
    <row r="1176">
      <c r="G1176" s="16" t="str">
        <f>IFERROR(__xludf.DUMMYFUNCTION("""COMPUTED_VALUE"""),"")</f>
        <v/>
      </c>
    </row>
    <row r="1177">
      <c r="G1177" s="16" t="str">
        <f>IFERROR(__xludf.DUMMYFUNCTION("""COMPUTED_VALUE"""),"")</f>
        <v/>
      </c>
    </row>
    <row r="1178">
      <c r="G1178" s="16" t="str">
        <f>IFERROR(__xludf.DUMMYFUNCTION("""COMPUTED_VALUE"""),"")</f>
        <v/>
      </c>
    </row>
    <row r="1179">
      <c r="G1179" s="16" t="str">
        <f>IFERROR(__xludf.DUMMYFUNCTION("""COMPUTED_VALUE"""),"")</f>
        <v/>
      </c>
    </row>
    <row r="1180">
      <c r="G1180" s="16" t="str">
        <f>IFERROR(__xludf.DUMMYFUNCTION("""COMPUTED_VALUE"""),"")</f>
        <v/>
      </c>
    </row>
    <row r="1181">
      <c r="G1181" s="16" t="str">
        <f>IFERROR(__xludf.DUMMYFUNCTION("""COMPUTED_VALUE"""),"")</f>
        <v/>
      </c>
    </row>
    <row r="1182">
      <c r="G1182" s="16" t="str">
        <f>IFERROR(__xludf.DUMMYFUNCTION("""COMPUTED_VALUE"""),"")</f>
        <v/>
      </c>
    </row>
    <row r="1183">
      <c r="G1183" s="16" t="str">
        <f>IFERROR(__xludf.DUMMYFUNCTION("""COMPUTED_VALUE"""),"")</f>
        <v/>
      </c>
    </row>
    <row r="1184">
      <c r="G1184" s="16" t="str">
        <f>IFERROR(__xludf.DUMMYFUNCTION("""COMPUTED_VALUE"""),"")</f>
        <v/>
      </c>
    </row>
    <row r="1185">
      <c r="G1185" s="16" t="str">
        <f>IFERROR(__xludf.DUMMYFUNCTION("""COMPUTED_VALUE"""),"")</f>
        <v/>
      </c>
    </row>
    <row r="1186">
      <c r="G1186" s="16" t="str">
        <f>IFERROR(__xludf.DUMMYFUNCTION("""COMPUTED_VALUE"""),"")</f>
        <v/>
      </c>
    </row>
    <row r="1187">
      <c r="G1187" s="16" t="str">
        <f>IFERROR(__xludf.DUMMYFUNCTION("""COMPUTED_VALUE"""),"")</f>
        <v/>
      </c>
    </row>
    <row r="1188">
      <c r="G1188" s="16" t="str">
        <f>IFERROR(__xludf.DUMMYFUNCTION("""COMPUTED_VALUE"""),"")</f>
        <v/>
      </c>
    </row>
    <row r="1189">
      <c r="G1189" s="16" t="str">
        <f>IFERROR(__xludf.DUMMYFUNCTION("""COMPUTED_VALUE"""),"")</f>
        <v/>
      </c>
    </row>
    <row r="1190">
      <c r="G1190" s="16" t="str">
        <f>IFERROR(__xludf.DUMMYFUNCTION("""COMPUTED_VALUE"""),"")</f>
        <v/>
      </c>
    </row>
    <row r="1191">
      <c r="G1191" s="16" t="str">
        <f>IFERROR(__xludf.DUMMYFUNCTION("""COMPUTED_VALUE"""),"")</f>
        <v/>
      </c>
    </row>
    <row r="1192">
      <c r="G1192" s="16" t="str">
        <f>IFERROR(__xludf.DUMMYFUNCTION("""COMPUTED_VALUE"""),"")</f>
        <v/>
      </c>
    </row>
    <row r="1193">
      <c r="G1193" s="16" t="str">
        <f>IFERROR(__xludf.DUMMYFUNCTION("""COMPUTED_VALUE"""),"")</f>
        <v/>
      </c>
    </row>
    <row r="1194">
      <c r="G1194" s="16" t="str">
        <f>IFERROR(__xludf.DUMMYFUNCTION("""COMPUTED_VALUE"""),"")</f>
        <v/>
      </c>
    </row>
    <row r="1195">
      <c r="G1195" s="16" t="str">
        <f>IFERROR(__xludf.DUMMYFUNCTION("""COMPUTED_VALUE"""),"")</f>
        <v/>
      </c>
    </row>
    <row r="1196">
      <c r="G1196" s="16" t="str">
        <f>IFERROR(__xludf.DUMMYFUNCTION("""COMPUTED_VALUE"""),"")</f>
        <v/>
      </c>
    </row>
    <row r="1197">
      <c r="G1197" s="16" t="str">
        <f>IFERROR(__xludf.DUMMYFUNCTION("""COMPUTED_VALUE"""),"")</f>
        <v/>
      </c>
    </row>
    <row r="1198">
      <c r="G1198" s="16" t="str">
        <f>IFERROR(__xludf.DUMMYFUNCTION("""COMPUTED_VALUE"""),"")</f>
        <v/>
      </c>
    </row>
    <row r="1199">
      <c r="G1199" s="16" t="str">
        <f>IFERROR(__xludf.DUMMYFUNCTION("""COMPUTED_VALUE"""),"")</f>
        <v/>
      </c>
    </row>
    <row r="1200">
      <c r="G1200" s="16" t="str">
        <f>IFERROR(__xludf.DUMMYFUNCTION("""COMPUTED_VALUE"""),"")</f>
        <v/>
      </c>
    </row>
    <row r="1201">
      <c r="G1201" s="16" t="str">
        <f>IFERROR(__xludf.DUMMYFUNCTION("""COMPUTED_VALUE"""),"")</f>
        <v/>
      </c>
    </row>
    <row r="1202">
      <c r="G1202" s="16" t="str">
        <f>IFERROR(__xludf.DUMMYFUNCTION("""COMPUTED_VALUE"""),"")</f>
        <v/>
      </c>
    </row>
    <row r="1203">
      <c r="G1203" s="16" t="str">
        <f>IFERROR(__xludf.DUMMYFUNCTION("""COMPUTED_VALUE"""),"")</f>
        <v/>
      </c>
    </row>
    <row r="1204">
      <c r="G1204" s="16" t="str">
        <f>IFERROR(__xludf.DUMMYFUNCTION("""COMPUTED_VALUE"""),"")</f>
        <v/>
      </c>
    </row>
    <row r="1205">
      <c r="G1205" s="16" t="str">
        <f>IFERROR(__xludf.DUMMYFUNCTION("""COMPUTED_VALUE"""),"")</f>
        <v/>
      </c>
    </row>
    <row r="1206">
      <c r="G1206" s="16" t="str">
        <f>IFERROR(__xludf.DUMMYFUNCTION("""COMPUTED_VALUE"""),"")</f>
        <v/>
      </c>
    </row>
    <row r="1207">
      <c r="G1207" s="16" t="str">
        <f>IFERROR(__xludf.DUMMYFUNCTION("""COMPUTED_VALUE"""),"")</f>
        <v/>
      </c>
    </row>
    <row r="1208">
      <c r="G1208" s="16" t="str">
        <f>IFERROR(__xludf.DUMMYFUNCTION("""COMPUTED_VALUE"""),"")</f>
        <v/>
      </c>
    </row>
    <row r="1209">
      <c r="G1209" s="16" t="str">
        <f>IFERROR(__xludf.DUMMYFUNCTION("""COMPUTED_VALUE"""),"")</f>
        <v/>
      </c>
    </row>
    <row r="1210">
      <c r="G1210" s="16" t="str">
        <f>IFERROR(__xludf.DUMMYFUNCTION("""COMPUTED_VALUE"""),"")</f>
        <v/>
      </c>
    </row>
    <row r="1211">
      <c r="G1211" s="16" t="str">
        <f>IFERROR(__xludf.DUMMYFUNCTION("""COMPUTED_VALUE"""),"")</f>
        <v/>
      </c>
    </row>
    <row r="1212">
      <c r="G1212" s="16" t="str">
        <f>IFERROR(__xludf.DUMMYFUNCTION("""COMPUTED_VALUE"""),"")</f>
        <v/>
      </c>
    </row>
    <row r="1213">
      <c r="G1213" s="16" t="str">
        <f>IFERROR(__xludf.DUMMYFUNCTION("""COMPUTED_VALUE"""),"")</f>
        <v/>
      </c>
    </row>
    <row r="1214">
      <c r="G1214" s="16" t="str">
        <f>IFERROR(__xludf.DUMMYFUNCTION("""COMPUTED_VALUE"""),"")</f>
        <v/>
      </c>
    </row>
    <row r="1215">
      <c r="G1215" s="16" t="str">
        <f>IFERROR(__xludf.DUMMYFUNCTION("""COMPUTED_VALUE"""),"")</f>
        <v/>
      </c>
    </row>
    <row r="1216">
      <c r="G1216" s="16" t="str">
        <f>IFERROR(__xludf.DUMMYFUNCTION("""COMPUTED_VALUE"""),"")</f>
        <v/>
      </c>
    </row>
    <row r="1217">
      <c r="G1217" s="16" t="str">
        <f>IFERROR(__xludf.DUMMYFUNCTION("""COMPUTED_VALUE"""),"")</f>
        <v/>
      </c>
    </row>
    <row r="1218">
      <c r="G1218" s="16" t="str">
        <f>IFERROR(__xludf.DUMMYFUNCTION("""COMPUTED_VALUE"""),"")</f>
        <v/>
      </c>
    </row>
    <row r="1219">
      <c r="G1219" s="16" t="str">
        <f>IFERROR(__xludf.DUMMYFUNCTION("""COMPUTED_VALUE"""),"")</f>
        <v/>
      </c>
    </row>
    <row r="1220">
      <c r="G1220" s="16" t="str">
        <f>IFERROR(__xludf.DUMMYFUNCTION("""COMPUTED_VALUE"""),"")</f>
        <v/>
      </c>
    </row>
    <row r="1221">
      <c r="G1221" s="16" t="str">
        <f>IFERROR(__xludf.DUMMYFUNCTION("""COMPUTED_VALUE"""),"")</f>
        <v/>
      </c>
    </row>
    <row r="1222">
      <c r="G1222" s="16" t="str">
        <f>IFERROR(__xludf.DUMMYFUNCTION("""COMPUTED_VALUE"""),"")</f>
        <v/>
      </c>
    </row>
    <row r="1223">
      <c r="G1223" s="16" t="str">
        <f>IFERROR(__xludf.DUMMYFUNCTION("""COMPUTED_VALUE"""),"")</f>
        <v/>
      </c>
    </row>
    <row r="1224">
      <c r="G1224" s="16" t="str">
        <f>IFERROR(__xludf.DUMMYFUNCTION("""COMPUTED_VALUE"""),"")</f>
        <v/>
      </c>
    </row>
    <row r="1225">
      <c r="G1225" s="16" t="str">
        <f>IFERROR(__xludf.DUMMYFUNCTION("""COMPUTED_VALUE"""),"")</f>
        <v/>
      </c>
    </row>
    <row r="1226">
      <c r="G1226" s="16" t="str">
        <f>IFERROR(__xludf.DUMMYFUNCTION("""COMPUTED_VALUE"""),"")</f>
        <v/>
      </c>
    </row>
    <row r="1227">
      <c r="G1227" s="16" t="str">
        <f>IFERROR(__xludf.DUMMYFUNCTION("""COMPUTED_VALUE"""),"")</f>
        <v/>
      </c>
    </row>
    <row r="1228">
      <c r="G1228" s="16" t="str">
        <f>IFERROR(__xludf.DUMMYFUNCTION("""COMPUTED_VALUE"""),"")</f>
        <v/>
      </c>
    </row>
    <row r="1229">
      <c r="G1229" s="16" t="str">
        <f>IFERROR(__xludf.DUMMYFUNCTION("""COMPUTED_VALUE"""),"")</f>
        <v/>
      </c>
    </row>
    <row r="1230">
      <c r="G1230" s="16" t="str">
        <f>IFERROR(__xludf.DUMMYFUNCTION("""COMPUTED_VALUE"""),"")</f>
        <v/>
      </c>
    </row>
    <row r="1231">
      <c r="G1231" s="16" t="str">
        <f>IFERROR(__xludf.DUMMYFUNCTION("""COMPUTED_VALUE"""),"")</f>
        <v/>
      </c>
    </row>
    <row r="1232">
      <c r="G1232" s="16" t="str">
        <f>IFERROR(__xludf.DUMMYFUNCTION("""COMPUTED_VALUE"""),"")</f>
        <v/>
      </c>
    </row>
    <row r="1233">
      <c r="G1233" s="16" t="str">
        <f>IFERROR(__xludf.DUMMYFUNCTION("""COMPUTED_VALUE"""),"")</f>
        <v/>
      </c>
    </row>
    <row r="1234">
      <c r="G1234" s="16" t="str">
        <f>IFERROR(__xludf.DUMMYFUNCTION("""COMPUTED_VALUE"""),"")</f>
        <v/>
      </c>
    </row>
    <row r="1235">
      <c r="G1235" s="16" t="str">
        <f>IFERROR(__xludf.DUMMYFUNCTION("""COMPUTED_VALUE"""),"")</f>
        <v/>
      </c>
    </row>
    <row r="1236">
      <c r="G1236" s="16" t="str">
        <f>IFERROR(__xludf.DUMMYFUNCTION("""COMPUTED_VALUE"""),"")</f>
        <v/>
      </c>
    </row>
    <row r="1237">
      <c r="G1237" s="16" t="str">
        <f>IFERROR(__xludf.DUMMYFUNCTION("""COMPUTED_VALUE"""),"")</f>
        <v/>
      </c>
    </row>
    <row r="1238">
      <c r="G1238" s="16" t="str">
        <f>IFERROR(__xludf.DUMMYFUNCTION("""COMPUTED_VALUE"""),"")</f>
        <v/>
      </c>
    </row>
    <row r="1239">
      <c r="G1239" s="16" t="str">
        <f>IFERROR(__xludf.DUMMYFUNCTION("""COMPUTED_VALUE"""),"")</f>
        <v/>
      </c>
    </row>
    <row r="1240">
      <c r="G1240" s="16" t="str">
        <f>IFERROR(__xludf.DUMMYFUNCTION("""COMPUTED_VALUE"""),"")</f>
        <v/>
      </c>
    </row>
    <row r="1241">
      <c r="G1241" s="16" t="str">
        <f>IFERROR(__xludf.DUMMYFUNCTION("""COMPUTED_VALUE"""),"")</f>
        <v/>
      </c>
    </row>
    <row r="1242">
      <c r="G1242" s="16" t="str">
        <f>IFERROR(__xludf.DUMMYFUNCTION("""COMPUTED_VALUE"""),"")</f>
        <v/>
      </c>
    </row>
    <row r="1243">
      <c r="G1243" s="16" t="str">
        <f>IFERROR(__xludf.DUMMYFUNCTION("""COMPUTED_VALUE"""),"")</f>
        <v/>
      </c>
    </row>
    <row r="1244">
      <c r="G1244" s="16" t="str">
        <f>IFERROR(__xludf.DUMMYFUNCTION("""COMPUTED_VALUE"""),"")</f>
        <v/>
      </c>
    </row>
    <row r="1245">
      <c r="G1245" s="16" t="str">
        <f>IFERROR(__xludf.DUMMYFUNCTION("""COMPUTED_VALUE"""),"")</f>
        <v/>
      </c>
    </row>
    <row r="1246">
      <c r="G1246" s="16" t="str">
        <f>IFERROR(__xludf.DUMMYFUNCTION("""COMPUTED_VALUE"""),"")</f>
        <v/>
      </c>
    </row>
    <row r="1247">
      <c r="G1247" s="16" t="str">
        <f>IFERROR(__xludf.DUMMYFUNCTION("""COMPUTED_VALUE"""),"")</f>
        <v/>
      </c>
    </row>
    <row r="1248">
      <c r="G1248" s="16" t="str">
        <f>IFERROR(__xludf.DUMMYFUNCTION("""COMPUTED_VALUE"""),"")</f>
        <v/>
      </c>
    </row>
    <row r="1249">
      <c r="G1249" s="16" t="str">
        <f>IFERROR(__xludf.DUMMYFUNCTION("""COMPUTED_VALUE"""),"")</f>
        <v/>
      </c>
    </row>
    <row r="1250">
      <c r="G1250" s="16" t="str">
        <f>IFERROR(__xludf.DUMMYFUNCTION("""COMPUTED_VALUE"""),"")</f>
        <v/>
      </c>
    </row>
    <row r="1251">
      <c r="G1251" s="16" t="str">
        <f>IFERROR(__xludf.DUMMYFUNCTION("""COMPUTED_VALUE"""),"")</f>
        <v/>
      </c>
    </row>
    <row r="1252">
      <c r="G1252" s="16" t="str">
        <f>IFERROR(__xludf.DUMMYFUNCTION("""COMPUTED_VALUE"""),"")</f>
        <v/>
      </c>
    </row>
    <row r="1253">
      <c r="G1253" s="16" t="str">
        <f>IFERROR(__xludf.DUMMYFUNCTION("""COMPUTED_VALUE"""),"")</f>
        <v/>
      </c>
    </row>
    <row r="1254">
      <c r="G1254" s="16" t="str">
        <f>IFERROR(__xludf.DUMMYFUNCTION("""COMPUTED_VALUE"""),"")</f>
        <v/>
      </c>
    </row>
    <row r="1255">
      <c r="G1255" s="16" t="str">
        <f>IFERROR(__xludf.DUMMYFUNCTION("""COMPUTED_VALUE"""),"")</f>
        <v/>
      </c>
    </row>
    <row r="1256">
      <c r="G1256" s="16" t="str">
        <f>IFERROR(__xludf.DUMMYFUNCTION("""COMPUTED_VALUE"""),"")</f>
        <v/>
      </c>
    </row>
    <row r="1257">
      <c r="G1257" s="16" t="str">
        <f>IFERROR(__xludf.DUMMYFUNCTION("""COMPUTED_VALUE"""),"")</f>
        <v/>
      </c>
    </row>
    <row r="1258">
      <c r="G1258" s="16" t="str">
        <f>IFERROR(__xludf.DUMMYFUNCTION("""COMPUTED_VALUE"""),"")</f>
        <v/>
      </c>
    </row>
    <row r="1259">
      <c r="G1259" s="16" t="str">
        <f>IFERROR(__xludf.DUMMYFUNCTION("""COMPUTED_VALUE"""),"")</f>
        <v/>
      </c>
    </row>
    <row r="1260">
      <c r="G1260" s="16" t="str">
        <f>IFERROR(__xludf.DUMMYFUNCTION("""COMPUTED_VALUE"""),"")</f>
        <v/>
      </c>
    </row>
    <row r="1261">
      <c r="G1261" s="16" t="str">
        <f>IFERROR(__xludf.DUMMYFUNCTION("""COMPUTED_VALUE"""),"")</f>
        <v/>
      </c>
    </row>
    <row r="1262">
      <c r="G1262" s="16" t="str">
        <f>IFERROR(__xludf.DUMMYFUNCTION("""COMPUTED_VALUE"""),"")</f>
        <v/>
      </c>
    </row>
    <row r="1263">
      <c r="G1263" s="16" t="str">
        <f>IFERROR(__xludf.DUMMYFUNCTION("""COMPUTED_VALUE"""),"")</f>
        <v/>
      </c>
    </row>
    <row r="1264">
      <c r="G1264" s="16" t="str">
        <f>IFERROR(__xludf.DUMMYFUNCTION("""COMPUTED_VALUE"""),"")</f>
        <v/>
      </c>
    </row>
    <row r="1265">
      <c r="G1265" s="16" t="str">
        <f>IFERROR(__xludf.DUMMYFUNCTION("""COMPUTED_VALUE"""),"")</f>
        <v/>
      </c>
    </row>
    <row r="1266">
      <c r="G1266" s="16" t="str">
        <f>IFERROR(__xludf.DUMMYFUNCTION("""COMPUTED_VALUE"""),"")</f>
        <v/>
      </c>
    </row>
    <row r="1267">
      <c r="G1267" s="16" t="str">
        <f>IFERROR(__xludf.DUMMYFUNCTION("""COMPUTED_VALUE"""),"")</f>
        <v/>
      </c>
    </row>
    <row r="1268">
      <c r="G1268" s="16" t="str">
        <f>IFERROR(__xludf.DUMMYFUNCTION("""COMPUTED_VALUE"""),"")</f>
        <v/>
      </c>
    </row>
    <row r="1269">
      <c r="G1269" s="16" t="str">
        <f>IFERROR(__xludf.DUMMYFUNCTION("""COMPUTED_VALUE"""),"")</f>
        <v/>
      </c>
    </row>
    <row r="1270">
      <c r="G1270" s="16" t="str">
        <f>IFERROR(__xludf.DUMMYFUNCTION("""COMPUTED_VALUE"""),"")</f>
        <v/>
      </c>
    </row>
    <row r="1271">
      <c r="G1271" s="16" t="str">
        <f>IFERROR(__xludf.DUMMYFUNCTION("""COMPUTED_VALUE"""),"")</f>
        <v/>
      </c>
    </row>
    <row r="1272">
      <c r="G1272" s="16" t="str">
        <f>IFERROR(__xludf.DUMMYFUNCTION("""COMPUTED_VALUE"""),"")</f>
        <v/>
      </c>
    </row>
    <row r="1273">
      <c r="G1273" s="16" t="str">
        <f>IFERROR(__xludf.DUMMYFUNCTION("""COMPUTED_VALUE"""),"")</f>
        <v/>
      </c>
    </row>
    <row r="1274">
      <c r="G1274" s="16" t="str">
        <f>IFERROR(__xludf.DUMMYFUNCTION("""COMPUTED_VALUE"""),"")</f>
        <v/>
      </c>
    </row>
    <row r="1275">
      <c r="G1275" s="16" t="str">
        <f>IFERROR(__xludf.DUMMYFUNCTION("""COMPUTED_VALUE"""),"")</f>
        <v/>
      </c>
    </row>
    <row r="1276">
      <c r="G1276" s="16" t="str">
        <f>IFERROR(__xludf.DUMMYFUNCTION("""COMPUTED_VALUE"""),"")</f>
        <v/>
      </c>
    </row>
    <row r="1277">
      <c r="G1277" s="16" t="str">
        <f>IFERROR(__xludf.DUMMYFUNCTION("""COMPUTED_VALUE"""),"")</f>
        <v/>
      </c>
    </row>
    <row r="1278">
      <c r="G1278" s="16" t="str">
        <f>IFERROR(__xludf.DUMMYFUNCTION("""COMPUTED_VALUE"""),"")</f>
        <v/>
      </c>
    </row>
    <row r="1279">
      <c r="G1279" s="16" t="str">
        <f>IFERROR(__xludf.DUMMYFUNCTION("""COMPUTED_VALUE"""),"")</f>
        <v/>
      </c>
    </row>
    <row r="1280">
      <c r="G1280" s="16" t="str">
        <f>IFERROR(__xludf.DUMMYFUNCTION("""COMPUTED_VALUE"""),"")</f>
        <v/>
      </c>
    </row>
    <row r="1281">
      <c r="G1281" s="16" t="str">
        <f>IFERROR(__xludf.DUMMYFUNCTION("""COMPUTED_VALUE"""),"")</f>
        <v/>
      </c>
    </row>
    <row r="1282">
      <c r="G1282" s="16" t="str">
        <f>IFERROR(__xludf.DUMMYFUNCTION("""COMPUTED_VALUE"""),"")</f>
        <v/>
      </c>
    </row>
    <row r="1283">
      <c r="G1283" s="16" t="str">
        <f>IFERROR(__xludf.DUMMYFUNCTION("""COMPUTED_VALUE"""),"")</f>
        <v/>
      </c>
    </row>
    <row r="1284">
      <c r="G1284" s="16" t="str">
        <f>IFERROR(__xludf.DUMMYFUNCTION("""COMPUTED_VALUE"""),"")</f>
        <v/>
      </c>
    </row>
    <row r="1285">
      <c r="G1285" s="16" t="str">
        <f>IFERROR(__xludf.DUMMYFUNCTION("""COMPUTED_VALUE"""),"")</f>
        <v/>
      </c>
    </row>
    <row r="1286">
      <c r="G1286" s="16" t="str">
        <f>IFERROR(__xludf.DUMMYFUNCTION("""COMPUTED_VALUE"""),"")</f>
        <v/>
      </c>
    </row>
    <row r="1287">
      <c r="G1287" s="16" t="str">
        <f>IFERROR(__xludf.DUMMYFUNCTION("""COMPUTED_VALUE"""),"")</f>
        <v/>
      </c>
    </row>
    <row r="1288">
      <c r="G1288" s="16" t="str">
        <f>IFERROR(__xludf.DUMMYFUNCTION("""COMPUTED_VALUE"""),"")</f>
        <v/>
      </c>
    </row>
    <row r="1289">
      <c r="G1289" s="16" t="str">
        <f>IFERROR(__xludf.DUMMYFUNCTION("""COMPUTED_VALUE"""),"")</f>
        <v/>
      </c>
    </row>
    <row r="1290">
      <c r="G1290" s="16" t="str">
        <f>IFERROR(__xludf.DUMMYFUNCTION("""COMPUTED_VALUE"""),"")</f>
        <v/>
      </c>
    </row>
    <row r="1291">
      <c r="G1291" s="16" t="str">
        <f>IFERROR(__xludf.DUMMYFUNCTION("""COMPUTED_VALUE"""),"")</f>
        <v/>
      </c>
    </row>
    <row r="1292">
      <c r="G1292" s="16" t="str">
        <f>IFERROR(__xludf.DUMMYFUNCTION("""COMPUTED_VALUE"""),"")</f>
        <v/>
      </c>
    </row>
    <row r="1293">
      <c r="G1293" s="16" t="str">
        <f>IFERROR(__xludf.DUMMYFUNCTION("""COMPUTED_VALUE"""),"")</f>
        <v/>
      </c>
    </row>
    <row r="1294">
      <c r="G1294" s="16" t="str">
        <f>IFERROR(__xludf.DUMMYFUNCTION("""COMPUTED_VALUE"""),"")</f>
        <v/>
      </c>
    </row>
    <row r="1295">
      <c r="G1295" s="16" t="str">
        <f>IFERROR(__xludf.DUMMYFUNCTION("""COMPUTED_VALUE"""),"")</f>
        <v/>
      </c>
    </row>
    <row r="1296">
      <c r="G1296" s="16" t="str">
        <f>IFERROR(__xludf.DUMMYFUNCTION("""COMPUTED_VALUE"""),"")</f>
        <v/>
      </c>
    </row>
    <row r="1297">
      <c r="G1297" s="16" t="str">
        <f>IFERROR(__xludf.DUMMYFUNCTION("""COMPUTED_VALUE"""),"")</f>
        <v/>
      </c>
    </row>
    <row r="1298">
      <c r="G1298" s="16" t="str">
        <f>IFERROR(__xludf.DUMMYFUNCTION("""COMPUTED_VALUE"""),"")</f>
        <v/>
      </c>
    </row>
    <row r="1299">
      <c r="G1299" s="16" t="str">
        <f>IFERROR(__xludf.DUMMYFUNCTION("""COMPUTED_VALUE"""),"")</f>
        <v/>
      </c>
    </row>
    <row r="1300">
      <c r="G1300" s="16" t="str">
        <f>IFERROR(__xludf.DUMMYFUNCTION("""COMPUTED_VALUE"""),"")</f>
        <v/>
      </c>
    </row>
    <row r="1301">
      <c r="G1301" s="16" t="str">
        <f>IFERROR(__xludf.DUMMYFUNCTION("""COMPUTED_VALUE"""),"")</f>
        <v/>
      </c>
    </row>
    <row r="1302">
      <c r="G1302" s="16" t="str">
        <f>IFERROR(__xludf.DUMMYFUNCTION("""COMPUTED_VALUE"""),"")</f>
        <v/>
      </c>
    </row>
    <row r="1303">
      <c r="G1303" s="16" t="str">
        <f>IFERROR(__xludf.DUMMYFUNCTION("""COMPUTED_VALUE"""),"")</f>
        <v/>
      </c>
    </row>
    <row r="1304">
      <c r="G1304" s="16" t="str">
        <f>IFERROR(__xludf.DUMMYFUNCTION("""COMPUTED_VALUE"""),"")</f>
        <v/>
      </c>
    </row>
    <row r="1305">
      <c r="G1305" s="16" t="str">
        <f>IFERROR(__xludf.DUMMYFUNCTION("""COMPUTED_VALUE"""),"")</f>
        <v/>
      </c>
    </row>
    <row r="1306">
      <c r="G1306" s="16" t="str">
        <f>IFERROR(__xludf.DUMMYFUNCTION("""COMPUTED_VALUE"""),"")</f>
        <v/>
      </c>
    </row>
    <row r="1307">
      <c r="G1307" s="16" t="str">
        <f>IFERROR(__xludf.DUMMYFUNCTION("""COMPUTED_VALUE"""),"")</f>
        <v/>
      </c>
    </row>
    <row r="1308">
      <c r="G1308" s="16" t="str">
        <f>IFERROR(__xludf.DUMMYFUNCTION("""COMPUTED_VALUE"""),"")</f>
        <v/>
      </c>
    </row>
    <row r="1309">
      <c r="G1309" s="16" t="str">
        <f>IFERROR(__xludf.DUMMYFUNCTION("""COMPUTED_VALUE"""),"")</f>
        <v/>
      </c>
    </row>
    <row r="1310">
      <c r="G1310" s="16" t="str">
        <f>IFERROR(__xludf.DUMMYFUNCTION("""COMPUTED_VALUE"""),"")</f>
        <v/>
      </c>
    </row>
    <row r="1311">
      <c r="G1311" s="16" t="str">
        <f>IFERROR(__xludf.DUMMYFUNCTION("""COMPUTED_VALUE"""),"")</f>
        <v/>
      </c>
    </row>
    <row r="1312">
      <c r="G1312" s="16" t="str">
        <f>IFERROR(__xludf.DUMMYFUNCTION("""COMPUTED_VALUE"""),"")</f>
        <v/>
      </c>
    </row>
    <row r="1313">
      <c r="G1313" s="16" t="str">
        <f>IFERROR(__xludf.DUMMYFUNCTION("""COMPUTED_VALUE"""),"")</f>
        <v/>
      </c>
    </row>
    <row r="1314">
      <c r="G1314" s="16" t="str">
        <f>IFERROR(__xludf.DUMMYFUNCTION("""COMPUTED_VALUE"""),"")</f>
        <v/>
      </c>
    </row>
    <row r="1315">
      <c r="G1315" s="16" t="str">
        <f>IFERROR(__xludf.DUMMYFUNCTION("""COMPUTED_VALUE"""),"")</f>
        <v/>
      </c>
    </row>
    <row r="1316">
      <c r="G1316" s="16" t="str">
        <f>IFERROR(__xludf.DUMMYFUNCTION("""COMPUTED_VALUE"""),"")</f>
        <v/>
      </c>
    </row>
    <row r="1317">
      <c r="G1317" s="16" t="str">
        <f>IFERROR(__xludf.DUMMYFUNCTION("""COMPUTED_VALUE"""),"")</f>
        <v/>
      </c>
    </row>
    <row r="1318">
      <c r="G1318" s="16" t="str">
        <f>IFERROR(__xludf.DUMMYFUNCTION("""COMPUTED_VALUE"""),"")</f>
        <v/>
      </c>
    </row>
    <row r="1319">
      <c r="G1319" s="16" t="str">
        <f>IFERROR(__xludf.DUMMYFUNCTION("""COMPUTED_VALUE"""),"")</f>
        <v/>
      </c>
    </row>
    <row r="1320">
      <c r="G1320" s="16" t="str">
        <f>IFERROR(__xludf.DUMMYFUNCTION("""COMPUTED_VALUE"""),"")</f>
        <v/>
      </c>
    </row>
    <row r="1321">
      <c r="G1321" s="16" t="str">
        <f>IFERROR(__xludf.DUMMYFUNCTION("""COMPUTED_VALUE"""),"")</f>
        <v/>
      </c>
    </row>
    <row r="1322">
      <c r="G1322" s="16" t="str">
        <f>IFERROR(__xludf.DUMMYFUNCTION("""COMPUTED_VALUE"""),"")</f>
        <v/>
      </c>
    </row>
    <row r="1323">
      <c r="G1323" s="16" t="str">
        <f>IFERROR(__xludf.DUMMYFUNCTION("""COMPUTED_VALUE"""),"")</f>
        <v/>
      </c>
    </row>
    <row r="1324">
      <c r="G1324" s="16" t="str">
        <f>IFERROR(__xludf.DUMMYFUNCTION("""COMPUTED_VALUE"""),"")</f>
        <v/>
      </c>
    </row>
    <row r="1325">
      <c r="G1325" s="16" t="str">
        <f>IFERROR(__xludf.DUMMYFUNCTION("""COMPUTED_VALUE"""),"")</f>
        <v/>
      </c>
    </row>
    <row r="1326">
      <c r="G1326" s="16" t="str">
        <f>IFERROR(__xludf.DUMMYFUNCTION("""COMPUTED_VALUE"""),"")</f>
        <v/>
      </c>
    </row>
    <row r="1327">
      <c r="G1327" s="16" t="str">
        <f>IFERROR(__xludf.DUMMYFUNCTION("""COMPUTED_VALUE"""),"")</f>
        <v/>
      </c>
    </row>
    <row r="1328">
      <c r="G1328" s="16" t="str">
        <f>IFERROR(__xludf.DUMMYFUNCTION("""COMPUTED_VALUE"""),"")</f>
        <v/>
      </c>
    </row>
    <row r="1329">
      <c r="G1329" s="16" t="str">
        <f>IFERROR(__xludf.DUMMYFUNCTION("""COMPUTED_VALUE"""),"")</f>
        <v/>
      </c>
    </row>
    <row r="1330">
      <c r="G1330" s="16" t="str">
        <f>IFERROR(__xludf.DUMMYFUNCTION("""COMPUTED_VALUE"""),"")</f>
        <v/>
      </c>
    </row>
    <row r="1331">
      <c r="G1331" s="16" t="str">
        <f>IFERROR(__xludf.DUMMYFUNCTION("""COMPUTED_VALUE"""),"")</f>
        <v/>
      </c>
    </row>
    <row r="1332">
      <c r="G1332" s="16" t="str">
        <f>IFERROR(__xludf.DUMMYFUNCTION("""COMPUTED_VALUE"""),"")</f>
        <v/>
      </c>
    </row>
    <row r="1333">
      <c r="G1333" s="16" t="str">
        <f>IFERROR(__xludf.DUMMYFUNCTION("""COMPUTED_VALUE"""),"")</f>
        <v/>
      </c>
    </row>
    <row r="1334">
      <c r="G1334" s="16" t="str">
        <f>IFERROR(__xludf.DUMMYFUNCTION("""COMPUTED_VALUE"""),"")</f>
        <v/>
      </c>
    </row>
    <row r="1335">
      <c r="G1335" s="16" t="str">
        <f>IFERROR(__xludf.DUMMYFUNCTION("""COMPUTED_VALUE"""),"")</f>
        <v/>
      </c>
    </row>
    <row r="1336">
      <c r="G1336" s="16" t="str">
        <f>IFERROR(__xludf.DUMMYFUNCTION("""COMPUTED_VALUE"""),"")</f>
        <v/>
      </c>
    </row>
    <row r="1337">
      <c r="G1337" s="16" t="str">
        <f>IFERROR(__xludf.DUMMYFUNCTION("""COMPUTED_VALUE"""),"")</f>
        <v/>
      </c>
    </row>
    <row r="1338">
      <c r="G1338" s="16" t="str">
        <f>IFERROR(__xludf.DUMMYFUNCTION("""COMPUTED_VALUE"""),"")</f>
        <v/>
      </c>
    </row>
    <row r="1339">
      <c r="G1339" s="16" t="str">
        <f>IFERROR(__xludf.DUMMYFUNCTION("""COMPUTED_VALUE"""),"")</f>
        <v/>
      </c>
    </row>
    <row r="1340">
      <c r="G1340" s="16" t="str">
        <f>IFERROR(__xludf.DUMMYFUNCTION("""COMPUTED_VALUE"""),"")</f>
        <v/>
      </c>
    </row>
    <row r="1341">
      <c r="G1341" s="16" t="str">
        <f>IFERROR(__xludf.DUMMYFUNCTION("""COMPUTED_VALUE"""),"")</f>
        <v/>
      </c>
    </row>
    <row r="1342">
      <c r="G1342" s="16" t="str">
        <f>IFERROR(__xludf.DUMMYFUNCTION("""COMPUTED_VALUE"""),"")</f>
        <v/>
      </c>
    </row>
    <row r="1343">
      <c r="G1343" s="16" t="str">
        <f>IFERROR(__xludf.DUMMYFUNCTION("""COMPUTED_VALUE"""),"")</f>
        <v/>
      </c>
    </row>
    <row r="1344">
      <c r="G1344" s="16" t="str">
        <f>IFERROR(__xludf.DUMMYFUNCTION("""COMPUTED_VALUE"""),"")</f>
        <v/>
      </c>
    </row>
    <row r="1345">
      <c r="G1345" s="16" t="str">
        <f>IFERROR(__xludf.DUMMYFUNCTION("""COMPUTED_VALUE"""),"")</f>
        <v/>
      </c>
    </row>
    <row r="1346">
      <c r="G1346" s="16" t="str">
        <f>IFERROR(__xludf.DUMMYFUNCTION("""COMPUTED_VALUE"""),"")</f>
        <v/>
      </c>
    </row>
    <row r="1347">
      <c r="G1347" s="16" t="str">
        <f>IFERROR(__xludf.DUMMYFUNCTION("""COMPUTED_VALUE"""),"")</f>
        <v/>
      </c>
    </row>
    <row r="1348">
      <c r="G1348" s="16" t="str">
        <f>IFERROR(__xludf.DUMMYFUNCTION("""COMPUTED_VALUE"""),"")</f>
        <v/>
      </c>
    </row>
    <row r="1349">
      <c r="G1349" s="16" t="str">
        <f>IFERROR(__xludf.DUMMYFUNCTION("""COMPUTED_VALUE"""),"")</f>
        <v/>
      </c>
    </row>
    <row r="1350">
      <c r="G1350" s="16" t="str">
        <f>IFERROR(__xludf.DUMMYFUNCTION("""COMPUTED_VALUE"""),"")</f>
        <v/>
      </c>
    </row>
    <row r="1351">
      <c r="G1351" s="16" t="str">
        <f>IFERROR(__xludf.DUMMYFUNCTION("""COMPUTED_VALUE"""),"")</f>
        <v/>
      </c>
    </row>
    <row r="1352">
      <c r="G1352" s="16" t="str">
        <f>IFERROR(__xludf.DUMMYFUNCTION("""COMPUTED_VALUE"""),"")</f>
        <v/>
      </c>
    </row>
    <row r="1353">
      <c r="G1353" s="16" t="str">
        <f>IFERROR(__xludf.DUMMYFUNCTION("""COMPUTED_VALUE"""),"")</f>
        <v/>
      </c>
    </row>
    <row r="1354">
      <c r="G1354" s="16" t="str">
        <f>IFERROR(__xludf.DUMMYFUNCTION("""COMPUTED_VALUE"""),"")</f>
        <v/>
      </c>
    </row>
    <row r="1355">
      <c r="G1355" s="16" t="str">
        <f>IFERROR(__xludf.DUMMYFUNCTION("""COMPUTED_VALUE"""),"")</f>
        <v/>
      </c>
    </row>
    <row r="1356">
      <c r="G1356" s="16" t="str">
        <f>IFERROR(__xludf.DUMMYFUNCTION("""COMPUTED_VALUE"""),"")</f>
        <v/>
      </c>
    </row>
    <row r="1357">
      <c r="G1357" s="16" t="str">
        <f>IFERROR(__xludf.DUMMYFUNCTION("""COMPUTED_VALUE"""),"")</f>
        <v/>
      </c>
    </row>
    <row r="1358">
      <c r="G1358" s="16" t="str">
        <f>IFERROR(__xludf.DUMMYFUNCTION("""COMPUTED_VALUE"""),"")</f>
        <v/>
      </c>
    </row>
    <row r="1359">
      <c r="G1359" s="16" t="str">
        <f>IFERROR(__xludf.DUMMYFUNCTION("""COMPUTED_VALUE"""),"")</f>
        <v/>
      </c>
    </row>
    <row r="1360">
      <c r="G1360" s="16" t="str">
        <f>IFERROR(__xludf.DUMMYFUNCTION("""COMPUTED_VALUE"""),"")</f>
        <v/>
      </c>
    </row>
    <row r="1361">
      <c r="G1361" s="16" t="str">
        <f>IFERROR(__xludf.DUMMYFUNCTION("""COMPUTED_VALUE"""),"")</f>
        <v/>
      </c>
    </row>
    <row r="1362">
      <c r="G1362" s="16" t="str">
        <f>IFERROR(__xludf.DUMMYFUNCTION("""COMPUTED_VALUE"""),"")</f>
        <v/>
      </c>
    </row>
    <row r="1363">
      <c r="G1363" s="16" t="str">
        <f>IFERROR(__xludf.DUMMYFUNCTION("""COMPUTED_VALUE"""),"")</f>
        <v/>
      </c>
    </row>
    <row r="1364">
      <c r="G1364" s="16" t="str">
        <f>IFERROR(__xludf.DUMMYFUNCTION("""COMPUTED_VALUE"""),"")</f>
        <v/>
      </c>
    </row>
    <row r="1365">
      <c r="G1365" s="16" t="str">
        <f>IFERROR(__xludf.DUMMYFUNCTION("""COMPUTED_VALUE"""),"")</f>
        <v/>
      </c>
    </row>
    <row r="1366">
      <c r="G1366" s="16" t="str">
        <f>IFERROR(__xludf.DUMMYFUNCTION("""COMPUTED_VALUE"""),"")</f>
        <v/>
      </c>
    </row>
    <row r="1367">
      <c r="G1367" s="16" t="str">
        <f>IFERROR(__xludf.DUMMYFUNCTION("""COMPUTED_VALUE"""),"")</f>
        <v/>
      </c>
    </row>
    <row r="1368">
      <c r="G1368" s="16" t="str">
        <f>IFERROR(__xludf.DUMMYFUNCTION("""COMPUTED_VALUE"""),"")</f>
        <v/>
      </c>
    </row>
    <row r="1369">
      <c r="G1369" s="16" t="str">
        <f>IFERROR(__xludf.DUMMYFUNCTION("""COMPUTED_VALUE"""),"")</f>
        <v/>
      </c>
    </row>
    <row r="1370">
      <c r="G1370" s="16" t="str">
        <f>IFERROR(__xludf.DUMMYFUNCTION("""COMPUTED_VALUE"""),"")</f>
        <v/>
      </c>
    </row>
    <row r="1371">
      <c r="G1371" s="16" t="str">
        <f>IFERROR(__xludf.DUMMYFUNCTION("""COMPUTED_VALUE"""),"")</f>
        <v/>
      </c>
    </row>
    <row r="1372">
      <c r="G1372" s="16" t="str">
        <f>IFERROR(__xludf.DUMMYFUNCTION("""COMPUTED_VALUE"""),"")</f>
        <v/>
      </c>
    </row>
    <row r="1373">
      <c r="G1373" s="16" t="str">
        <f>IFERROR(__xludf.DUMMYFUNCTION("""COMPUTED_VALUE"""),"")</f>
        <v/>
      </c>
    </row>
    <row r="1374">
      <c r="G1374" s="16" t="str">
        <f>IFERROR(__xludf.DUMMYFUNCTION("""COMPUTED_VALUE"""),"")</f>
        <v/>
      </c>
    </row>
    <row r="1375">
      <c r="G1375" s="16" t="str">
        <f>IFERROR(__xludf.DUMMYFUNCTION("""COMPUTED_VALUE"""),"")</f>
        <v/>
      </c>
    </row>
    <row r="1376">
      <c r="G1376" s="16" t="str">
        <f>IFERROR(__xludf.DUMMYFUNCTION("""COMPUTED_VALUE"""),"")</f>
        <v/>
      </c>
    </row>
    <row r="1377">
      <c r="G1377" s="16" t="str">
        <f>IFERROR(__xludf.DUMMYFUNCTION("""COMPUTED_VALUE"""),"")</f>
        <v/>
      </c>
    </row>
    <row r="1378">
      <c r="G1378" s="16" t="str">
        <f>IFERROR(__xludf.DUMMYFUNCTION("""COMPUTED_VALUE"""),"")</f>
        <v/>
      </c>
    </row>
    <row r="1379">
      <c r="G1379" s="16" t="str">
        <f>IFERROR(__xludf.DUMMYFUNCTION("""COMPUTED_VALUE"""),"")</f>
        <v/>
      </c>
    </row>
    <row r="1380">
      <c r="G1380" s="16" t="str">
        <f>IFERROR(__xludf.DUMMYFUNCTION("""COMPUTED_VALUE"""),"")</f>
        <v/>
      </c>
    </row>
    <row r="1381">
      <c r="G1381" s="16" t="str">
        <f>IFERROR(__xludf.DUMMYFUNCTION("""COMPUTED_VALUE"""),"")</f>
        <v/>
      </c>
    </row>
    <row r="1382">
      <c r="G1382" s="16" t="str">
        <f>IFERROR(__xludf.DUMMYFUNCTION("""COMPUTED_VALUE"""),"")</f>
        <v/>
      </c>
    </row>
    <row r="1383">
      <c r="G1383" s="16" t="str">
        <f>IFERROR(__xludf.DUMMYFUNCTION("""COMPUTED_VALUE"""),"")</f>
        <v/>
      </c>
    </row>
    <row r="1384">
      <c r="G1384" s="16" t="str">
        <f>IFERROR(__xludf.DUMMYFUNCTION("""COMPUTED_VALUE"""),"")</f>
        <v/>
      </c>
    </row>
    <row r="1385">
      <c r="G1385" s="16" t="str">
        <f>IFERROR(__xludf.DUMMYFUNCTION("""COMPUTED_VALUE"""),"")</f>
        <v/>
      </c>
    </row>
    <row r="1386">
      <c r="G1386" s="16" t="str">
        <f>IFERROR(__xludf.DUMMYFUNCTION("""COMPUTED_VALUE"""),"")</f>
        <v/>
      </c>
    </row>
    <row r="1387">
      <c r="G1387" s="16" t="str">
        <f>IFERROR(__xludf.DUMMYFUNCTION("""COMPUTED_VALUE"""),"")</f>
        <v/>
      </c>
    </row>
    <row r="1388">
      <c r="G1388" s="16" t="str">
        <f>IFERROR(__xludf.DUMMYFUNCTION("""COMPUTED_VALUE"""),"")</f>
        <v/>
      </c>
    </row>
    <row r="1389">
      <c r="G1389" s="16" t="str">
        <f>IFERROR(__xludf.DUMMYFUNCTION("""COMPUTED_VALUE"""),"")</f>
        <v/>
      </c>
    </row>
    <row r="1390">
      <c r="G1390" s="16" t="str">
        <f>IFERROR(__xludf.DUMMYFUNCTION("""COMPUTED_VALUE"""),"")</f>
        <v/>
      </c>
    </row>
    <row r="1391">
      <c r="G1391" s="16" t="str">
        <f>IFERROR(__xludf.DUMMYFUNCTION("""COMPUTED_VALUE"""),"")</f>
        <v/>
      </c>
    </row>
    <row r="1392">
      <c r="G1392" s="16" t="str">
        <f>IFERROR(__xludf.DUMMYFUNCTION("""COMPUTED_VALUE"""),"")</f>
        <v/>
      </c>
    </row>
    <row r="1393">
      <c r="G1393" s="16" t="str">
        <f>IFERROR(__xludf.DUMMYFUNCTION("""COMPUTED_VALUE"""),"")</f>
        <v/>
      </c>
    </row>
    <row r="1394">
      <c r="G1394" s="16" t="str">
        <f>IFERROR(__xludf.DUMMYFUNCTION("""COMPUTED_VALUE"""),"")</f>
        <v/>
      </c>
    </row>
    <row r="1395">
      <c r="G1395" s="16" t="str">
        <f>IFERROR(__xludf.DUMMYFUNCTION("""COMPUTED_VALUE"""),"")</f>
        <v/>
      </c>
    </row>
    <row r="1396">
      <c r="G1396" s="16" t="str">
        <f>IFERROR(__xludf.DUMMYFUNCTION("""COMPUTED_VALUE"""),"")</f>
        <v/>
      </c>
    </row>
    <row r="1397">
      <c r="G1397" s="16" t="str">
        <f>IFERROR(__xludf.DUMMYFUNCTION("""COMPUTED_VALUE"""),"")</f>
        <v/>
      </c>
    </row>
    <row r="1398">
      <c r="G1398" s="16" t="str">
        <f>IFERROR(__xludf.DUMMYFUNCTION("""COMPUTED_VALUE"""),"")</f>
        <v/>
      </c>
    </row>
    <row r="1399">
      <c r="G1399" s="16" t="str">
        <f>IFERROR(__xludf.DUMMYFUNCTION("""COMPUTED_VALUE"""),"")</f>
        <v/>
      </c>
    </row>
    <row r="1400">
      <c r="G1400" s="16" t="str">
        <f>IFERROR(__xludf.DUMMYFUNCTION("""COMPUTED_VALUE"""),"")</f>
        <v/>
      </c>
    </row>
    <row r="1401">
      <c r="G1401" s="16" t="str">
        <f>IFERROR(__xludf.DUMMYFUNCTION("""COMPUTED_VALUE"""),"")</f>
        <v/>
      </c>
    </row>
    <row r="1402">
      <c r="G1402" s="16" t="str">
        <f>IFERROR(__xludf.DUMMYFUNCTION("""COMPUTED_VALUE"""),"")</f>
        <v/>
      </c>
    </row>
    <row r="1403">
      <c r="G1403" s="16" t="str">
        <f>IFERROR(__xludf.DUMMYFUNCTION("""COMPUTED_VALUE"""),"")</f>
        <v/>
      </c>
    </row>
    <row r="1404">
      <c r="G1404" s="16" t="str">
        <f>IFERROR(__xludf.DUMMYFUNCTION("""COMPUTED_VALUE"""),"")</f>
        <v/>
      </c>
    </row>
    <row r="1405">
      <c r="G1405" s="16" t="str">
        <f>IFERROR(__xludf.DUMMYFUNCTION("""COMPUTED_VALUE"""),"")</f>
        <v/>
      </c>
    </row>
    <row r="1406">
      <c r="G1406" s="16" t="str">
        <f>IFERROR(__xludf.DUMMYFUNCTION("""COMPUTED_VALUE"""),"")</f>
        <v/>
      </c>
    </row>
    <row r="1407">
      <c r="G1407" s="16" t="str">
        <f>IFERROR(__xludf.DUMMYFUNCTION("""COMPUTED_VALUE"""),"")</f>
        <v/>
      </c>
    </row>
    <row r="1408">
      <c r="G1408" s="16" t="str">
        <f>IFERROR(__xludf.DUMMYFUNCTION("""COMPUTED_VALUE"""),"")</f>
        <v/>
      </c>
    </row>
    <row r="1409">
      <c r="G1409" s="16" t="str">
        <f>IFERROR(__xludf.DUMMYFUNCTION("""COMPUTED_VALUE"""),"")</f>
        <v/>
      </c>
    </row>
    <row r="1410">
      <c r="G1410" s="16" t="str">
        <f>IFERROR(__xludf.DUMMYFUNCTION("""COMPUTED_VALUE"""),"")</f>
        <v/>
      </c>
    </row>
    <row r="1411">
      <c r="G1411" s="16" t="str">
        <f>IFERROR(__xludf.DUMMYFUNCTION("""COMPUTED_VALUE"""),"")</f>
        <v/>
      </c>
    </row>
    <row r="1412">
      <c r="G1412" s="16" t="str">
        <f>IFERROR(__xludf.DUMMYFUNCTION("""COMPUTED_VALUE"""),"")</f>
        <v/>
      </c>
    </row>
    <row r="1413">
      <c r="G1413" s="16" t="str">
        <f>IFERROR(__xludf.DUMMYFUNCTION("""COMPUTED_VALUE"""),"")</f>
        <v/>
      </c>
    </row>
    <row r="1414">
      <c r="G1414" s="16" t="str">
        <f>IFERROR(__xludf.DUMMYFUNCTION("""COMPUTED_VALUE"""),"")</f>
        <v/>
      </c>
    </row>
    <row r="1415">
      <c r="G1415" s="16" t="str">
        <f>IFERROR(__xludf.DUMMYFUNCTION("""COMPUTED_VALUE"""),"")</f>
        <v/>
      </c>
    </row>
    <row r="1416">
      <c r="G1416" s="16" t="str">
        <f>IFERROR(__xludf.DUMMYFUNCTION("""COMPUTED_VALUE"""),"")</f>
        <v/>
      </c>
    </row>
    <row r="1417">
      <c r="G1417" s="16" t="str">
        <f>IFERROR(__xludf.DUMMYFUNCTION("""COMPUTED_VALUE"""),"")</f>
        <v/>
      </c>
    </row>
    <row r="1418">
      <c r="G1418" s="16" t="str">
        <f>IFERROR(__xludf.DUMMYFUNCTION("""COMPUTED_VALUE"""),"")</f>
        <v/>
      </c>
    </row>
    <row r="1419">
      <c r="G1419" s="16" t="str">
        <f>IFERROR(__xludf.DUMMYFUNCTION("""COMPUTED_VALUE"""),"")</f>
        <v/>
      </c>
    </row>
    <row r="1420">
      <c r="G1420" s="16" t="str">
        <f>IFERROR(__xludf.DUMMYFUNCTION("""COMPUTED_VALUE"""),"")</f>
        <v/>
      </c>
    </row>
    <row r="1421">
      <c r="G1421" s="16" t="str">
        <f>IFERROR(__xludf.DUMMYFUNCTION("""COMPUTED_VALUE"""),"")</f>
        <v/>
      </c>
    </row>
    <row r="1422">
      <c r="G1422" s="16" t="str">
        <f>IFERROR(__xludf.DUMMYFUNCTION("""COMPUTED_VALUE"""),"")</f>
        <v/>
      </c>
    </row>
    <row r="1423">
      <c r="G1423" s="16" t="str">
        <f>IFERROR(__xludf.DUMMYFUNCTION("""COMPUTED_VALUE"""),"")</f>
        <v/>
      </c>
    </row>
    <row r="1424">
      <c r="G1424" s="16" t="str">
        <f>IFERROR(__xludf.DUMMYFUNCTION("""COMPUTED_VALUE"""),"")</f>
        <v/>
      </c>
    </row>
    <row r="1425">
      <c r="G1425" s="16" t="str">
        <f>IFERROR(__xludf.DUMMYFUNCTION("""COMPUTED_VALUE"""),"")</f>
        <v/>
      </c>
    </row>
    <row r="1426">
      <c r="G1426" s="16" t="str">
        <f>IFERROR(__xludf.DUMMYFUNCTION("""COMPUTED_VALUE"""),"")</f>
        <v/>
      </c>
    </row>
    <row r="1427">
      <c r="G1427" s="16" t="str">
        <f>IFERROR(__xludf.DUMMYFUNCTION("""COMPUTED_VALUE"""),"")</f>
        <v/>
      </c>
    </row>
    <row r="1428">
      <c r="G1428" s="16" t="str">
        <f>IFERROR(__xludf.DUMMYFUNCTION("""COMPUTED_VALUE"""),"")</f>
        <v/>
      </c>
    </row>
    <row r="1429">
      <c r="G1429" s="16" t="str">
        <f>IFERROR(__xludf.DUMMYFUNCTION("""COMPUTED_VALUE"""),"")</f>
        <v/>
      </c>
    </row>
    <row r="1430">
      <c r="G1430" s="16" t="str">
        <f>IFERROR(__xludf.DUMMYFUNCTION("""COMPUTED_VALUE"""),"")</f>
        <v/>
      </c>
    </row>
    <row r="1431">
      <c r="G1431" s="16" t="str">
        <f>IFERROR(__xludf.DUMMYFUNCTION("""COMPUTED_VALUE"""),"")</f>
        <v/>
      </c>
    </row>
    <row r="1432">
      <c r="G1432" s="16" t="str">
        <f>IFERROR(__xludf.DUMMYFUNCTION("""COMPUTED_VALUE"""),"")</f>
        <v/>
      </c>
    </row>
    <row r="1433">
      <c r="G1433" s="16" t="str">
        <f>IFERROR(__xludf.DUMMYFUNCTION("""COMPUTED_VALUE"""),"")</f>
        <v/>
      </c>
    </row>
    <row r="1434">
      <c r="G1434" s="16" t="str">
        <f>IFERROR(__xludf.DUMMYFUNCTION("""COMPUTED_VALUE"""),"")</f>
        <v/>
      </c>
    </row>
    <row r="1435">
      <c r="G1435" s="16" t="str">
        <f>IFERROR(__xludf.DUMMYFUNCTION("""COMPUTED_VALUE"""),"")</f>
        <v/>
      </c>
    </row>
    <row r="1436">
      <c r="G1436" s="16" t="str">
        <f>IFERROR(__xludf.DUMMYFUNCTION("""COMPUTED_VALUE"""),"")</f>
        <v/>
      </c>
    </row>
    <row r="1437">
      <c r="G1437" s="16" t="str">
        <f>IFERROR(__xludf.DUMMYFUNCTION("""COMPUTED_VALUE"""),"")</f>
        <v/>
      </c>
    </row>
    <row r="1438">
      <c r="G1438" s="16" t="str">
        <f>IFERROR(__xludf.DUMMYFUNCTION("""COMPUTED_VALUE"""),"")</f>
        <v/>
      </c>
    </row>
    <row r="1439">
      <c r="G1439" s="16" t="str">
        <f>IFERROR(__xludf.DUMMYFUNCTION("""COMPUTED_VALUE"""),"")</f>
        <v/>
      </c>
    </row>
    <row r="1440">
      <c r="G1440" s="16" t="str">
        <f>IFERROR(__xludf.DUMMYFUNCTION("""COMPUTED_VALUE"""),"")</f>
        <v/>
      </c>
    </row>
    <row r="1441">
      <c r="G1441" s="16" t="str">
        <f>IFERROR(__xludf.DUMMYFUNCTION("""COMPUTED_VALUE"""),"")</f>
        <v/>
      </c>
    </row>
    <row r="1442">
      <c r="G1442" s="16" t="str">
        <f>IFERROR(__xludf.DUMMYFUNCTION("""COMPUTED_VALUE"""),"")</f>
        <v/>
      </c>
    </row>
    <row r="1443">
      <c r="G1443" s="16" t="str">
        <f>IFERROR(__xludf.DUMMYFUNCTION("""COMPUTED_VALUE"""),"")</f>
        <v/>
      </c>
    </row>
    <row r="1444">
      <c r="G1444" s="16" t="str">
        <f>IFERROR(__xludf.DUMMYFUNCTION("""COMPUTED_VALUE"""),"")</f>
        <v/>
      </c>
    </row>
    <row r="1445">
      <c r="G1445" s="16" t="str">
        <f>IFERROR(__xludf.DUMMYFUNCTION("""COMPUTED_VALUE"""),"")</f>
        <v/>
      </c>
    </row>
    <row r="1446">
      <c r="G1446" s="16" t="str">
        <f>IFERROR(__xludf.DUMMYFUNCTION("""COMPUTED_VALUE"""),"")</f>
        <v/>
      </c>
    </row>
    <row r="1447">
      <c r="G1447" s="16" t="str">
        <f>IFERROR(__xludf.DUMMYFUNCTION("""COMPUTED_VALUE"""),"")</f>
        <v/>
      </c>
    </row>
    <row r="1448">
      <c r="G1448" s="16" t="str">
        <f>IFERROR(__xludf.DUMMYFUNCTION("""COMPUTED_VALUE"""),"")</f>
        <v/>
      </c>
    </row>
    <row r="1449">
      <c r="G1449" s="16" t="str">
        <f>IFERROR(__xludf.DUMMYFUNCTION("""COMPUTED_VALUE"""),"")</f>
        <v/>
      </c>
    </row>
    <row r="1450">
      <c r="G1450" s="16" t="str">
        <f>IFERROR(__xludf.DUMMYFUNCTION("""COMPUTED_VALUE"""),"")</f>
        <v/>
      </c>
    </row>
    <row r="1451">
      <c r="G1451" s="16" t="str">
        <f>IFERROR(__xludf.DUMMYFUNCTION("""COMPUTED_VALUE"""),"")</f>
        <v/>
      </c>
    </row>
    <row r="1452">
      <c r="G1452" s="16" t="str">
        <f>IFERROR(__xludf.DUMMYFUNCTION("""COMPUTED_VALUE"""),"")</f>
        <v/>
      </c>
    </row>
    <row r="1453">
      <c r="G1453" s="16" t="str">
        <f>IFERROR(__xludf.DUMMYFUNCTION("""COMPUTED_VALUE"""),"")</f>
        <v/>
      </c>
    </row>
    <row r="1454">
      <c r="G1454" s="16" t="str">
        <f>IFERROR(__xludf.DUMMYFUNCTION("""COMPUTED_VALUE"""),"")</f>
        <v/>
      </c>
    </row>
    <row r="1455">
      <c r="G1455" s="16" t="str">
        <f>IFERROR(__xludf.DUMMYFUNCTION("""COMPUTED_VALUE"""),"")</f>
        <v/>
      </c>
    </row>
    <row r="1456">
      <c r="G1456" s="16" t="str">
        <f>IFERROR(__xludf.DUMMYFUNCTION("""COMPUTED_VALUE"""),"")</f>
        <v/>
      </c>
    </row>
    <row r="1457">
      <c r="G1457" s="16" t="str">
        <f>IFERROR(__xludf.DUMMYFUNCTION("""COMPUTED_VALUE"""),"")</f>
        <v/>
      </c>
    </row>
    <row r="1458">
      <c r="G1458" s="16" t="str">
        <f>IFERROR(__xludf.DUMMYFUNCTION("""COMPUTED_VALUE"""),"")</f>
        <v/>
      </c>
    </row>
    <row r="1459">
      <c r="G1459" s="16" t="str">
        <f>IFERROR(__xludf.DUMMYFUNCTION("""COMPUTED_VALUE"""),"")</f>
        <v/>
      </c>
    </row>
    <row r="1460">
      <c r="G1460" s="16" t="str">
        <f>IFERROR(__xludf.DUMMYFUNCTION("""COMPUTED_VALUE"""),"")</f>
        <v/>
      </c>
    </row>
    <row r="1461">
      <c r="G1461" s="16" t="str">
        <f>IFERROR(__xludf.DUMMYFUNCTION("""COMPUTED_VALUE"""),"")</f>
        <v/>
      </c>
    </row>
    <row r="1462">
      <c r="G1462" s="16" t="str">
        <f>IFERROR(__xludf.DUMMYFUNCTION("""COMPUTED_VALUE"""),"")</f>
        <v/>
      </c>
    </row>
    <row r="1463">
      <c r="G1463" s="16" t="str">
        <f>IFERROR(__xludf.DUMMYFUNCTION("""COMPUTED_VALUE"""),"")</f>
        <v/>
      </c>
    </row>
    <row r="1464">
      <c r="G1464" s="16" t="str">
        <f>IFERROR(__xludf.DUMMYFUNCTION("""COMPUTED_VALUE"""),"")</f>
        <v/>
      </c>
    </row>
    <row r="1465">
      <c r="G1465" s="16" t="str">
        <f>IFERROR(__xludf.DUMMYFUNCTION("""COMPUTED_VALUE"""),"")</f>
        <v/>
      </c>
    </row>
    <row r="1466">
      <c r="G1466" s="16" t="str">
        <f>IFERROR(__xludf.DUMMYFUNCTION("""COMPUTED_VALUE"""),"")</f>
        <v/>
      </c>
    </row>
    <row r="1467">
      <c r="G1467" s="16" t="str">
        <f>IFERROR(__xludf.DUMMYFUNCTION("""COMPUTED_VALUE"""),"")</f>
        <v/>
      </c>
    </row>
    <row r="1468">
      <c r="G1468" s="16" t="str">
        <f>IFERROR(__xludf.DUMMYFUNCTION("""COMPUTED_VALUE"""),"")</f>
        <v/>
      </c>
    </row>
    <row r="1469">
      <c r="G1469" s="16" t="str">
        <f>IFERROR(__xludf.DUMMYFUNCTION("""COMPUTED_VALUE"""),"")</f>
        <v/>
      </c>
    </row>
    <row r="1470">
      <c r="G1470" s="16" t="str">
        <f>IFERROR(__xludf.DUMMYFUNCTION("""COMPUTED_VALUE"""),"")</f>
        <v/>
      </c>
    </row>
    <row r="1471">
      <c r="G1471" s="16" t="str">
        <f>IFERROR(__xludf.DUMMYFUNCTION("""COMPUTED_VALUE"""),"")</f>
        <v/>
      </c>
    </row>
    <row r="1472">
      <c r="G1472" s="16" t="str">
        <f>IFERROR(__xludf.DUMMYFUNCTION("""COMPUTED_VALUE"""),"")</f>
        <v/>
      </c>
    </row>
    <row r="1473">
      <c r="G1473" s="16" t="str">
        <f>IFERROR(__xludf.DUMMYFUNCTION("""COMPUTED_VALUE"""),"")</f>
        <v/>
      </c>
    </row>
    <row r="1474">
      <c r="G1474" s="16" t="str">
        <f>IFERROR(__xludf.DUMMYFUNCTION("""COMPUTED_VALUE"""),"")</f>
        <v/>
      </c>
    </row>
    <row r="1475">
      <c r="G1475" s="16" t="str">
        <f>IFERROR(__xludf.DUMMYFUNCTION("""COMPUTED_VALUE"""),"")</f>
        <v/>
      </c>
    </row>
    <row r="1476">
      <c r="G1476" s="16" t="str">
        <f>IFERROR(__xludf.DUMMYFUNCTION("""COMPUTED_VALUE"""),"")</f>
        <v/>
      </c>
    </row>
    <row r="1477">
      <c r="G1477" s="16" t="str">
        <f>IFERROR(__xludf.DUMMYFUNCTION("""COMPUTED_VALUE"""),"")</f>
        <v/>
      </c>
    </row>
    <row r="1478">
      <c r="G1478" s="16" t="str">
        <f>IFERROR(__xludf.DUMMYFUNCTION("""COMPUTED_VALUE"""),"")</f>
        <v/>
      </c>
    </row>
    <row r="1479">
      <c r="G1479" s="16" t="str">
        <f>IFERROR(__xludf.DUMMYFUNCTION("""COMPUTED_VALUE"""),"")</f>
        <v/>
      </c>
    </row>
    <row r="1480">
      <c r="G1480" s="16" t="str">
        <f>IFERROR(__xludf.DUMMYFUNCTION("""COMPUTED_VALUE"""),"")</f>
        <v/>
      </c>
    </row>
    <row r="1481">
      <c r="G1481" s="16" t="str">
        <f>IFERROR(__xludf.DUMMYFUNCTION("""COMPUTED_VALUE"""),"")</f>
        <v/>
      </c>
    </row>
    <row r="1482">
      <c r="G1482" s="16" t="str">
        <f>IFERROR(__xludf.DUMMYFUNCTION("""COMPUTED_VALUE"""),"")</f>
        <v/>
      </c>
    </row>
    <row r="1483">
      <c r="G1483" s="16" t="str">
        <f>IFERROR(__xludf.DUMMYFUNCTION("""COMPUTED_VALUE"""),"")</f>
        <v/>
      </c>
    </row>
    <row r="1484">
      <c r="G1484" s="16" t="str">
        <f>IFERROR(__xludf.DUMMYFUNCTION("""COMPUTED_VALUE"""),"")</f>
        <v/>
      </c>
    </row>
    <row r="1485">
      <c r="G1485" s="16" t="str">
        <f>IFERROR(__xludf.DUMMYFUNCTION("""COMPUTED_VALUE"""),"")</f>
        <v/>
      </c>
    </row>
    <row r="1486">
      <c r="G1486" s="16" t="str">
        <f>IFERROR(__xludf.DUMMYFUNCTION("""COMPUTED_VALUE"""),"")</f>
        <v/>
      </c>
    </row>
    <row r="1487">
      <c r="G1487" s="16" t="str">
        <f>IFERROR(__xludf.DUMMYFUNCTION("""COMPUTED_VALUE"""),"")</f>
        <v/>
      </c>
    </row>
    <row r="1488">
      <c r="G1488" s="16" t="str">
        <f>IFERROR(__xludf.DUMMYFUNCTION("""COMPUTED_VALUE"""),"")</f>
        <v/>
      </c>
    </row>
    <row r="1489">
      <c r="G1489" s="16" t="str">
        <f>IFERROR(__xludf.DUMMYFUNCTION("""COMPUTED_VALUE"""),"")</f>
        <v/>
      </c>
    </row>
    <row r="1490">
      <c r="G1490" s="16" t="str">
        <f>IFERROR(__xludf.DUMMYFUNCTION("""COMPUTED_VALUE"""),"")</f>
        <v/>
      </c>
    </row>
    <row r="1491">
      <c r="G1491" s="16" t="str">
        <f>IFERROR(__xludf.DUMMYFUNCTION("""COMPUTED_VALUE"""),"")</f>
        <v/>
      </c>
    </row>
    <row r="1492">
      <c r="G1492" s="16" t="str">
        <f>IFERROR(__xludf.DUMMYFUNCTION("""COMPUTED_VALUE"""),"")</f>
        <v/>
      </c>
    </row>
    <row r="1493">
      <c r="G1493" s="16" t="str">
        <f>IFERROR(__xludf.DUMMYFUNCTION("""COMPUTED_VALUE"""),"")</f>
        <v/>
      </c>
    </row>
    <row r="1494">
      <c r="G1494" s="16" t="str">
        <f>IFERROR(__xludf.DUMMYFUNCTION("""COMPUTED_VALUE"""),"")</f>
        <v/>
      </c>
    </row>
    <row r="1495">
      <c r="G1495" s="16" t="str">
        <f>IFERROR(__xludf.DUMMYFUNCTION("""COMPUTED_VALUE"""),"")</f>
        <v/>
      </c>
    </row>
    <row r="1496">
      <c r="G1496" s="16" t="str">
        <f>IFERROR(__xludf.DUMMYFUNCTION("""COMPUTED_VALUE"""),"")</f>
        <v/>
      </c>
    </row>
    <row r="1497">
      <c r="G1497" s="16" t="str">
        <f>IFERROR(__xludf.DUMMYFUNCTION("""COMPUTED_VALUE"""),"")</f>
        <v/>
      </c>
    </row>
    <row r="1498">
      <c r="G1498" s="16" t="str">
        <f>IFERROR(__xludf.DUMMYFUNCTION("""COMPUTED_VALUE"""),"")</f>
        <v/>
      </c>
    </row>
    <row r="1499">
      <c r="G1499" s="16" t="str">
        <f>IFERROR(__xludf.DUMMYFUNCTION("""COMPUTED_VALUE"""),"")</f>
        <v/>
      </c>
    </row>
    <row r="1500">
      <c r="G1500" s="16" t="str">
        <f>IFERROR(__xludf.DUMMYFUNCTION("""COMPUTED_VALUE"""),"")</f>
        <v/>
      </c>
    </row>
    <row r="1501">
      <c r="G1501" s="16" t="str">
        <f>IFERROR(__xludf.DUMMYFUNCTION("""COMPUTED_VALUE"""),"")</f>
        <v/>
      </c>
    </row>
    <row r="1502">
      <c r="G1502" s="16" t="str">
        <f>IFERROR(__xludf.DUMMYFUNCTION("""COMPUTED_VALUE"""),"")</f>
        <v/>
      </c>
    </row>
    <row r="1503">
      <c r="G1503" s="16" t="str">
        <f>IFERROR(__xludf.DUMMYFUNCTION("""COMPUTED_VALUE"""),"")</f>
        <v/>
      </c>
    </row>
    <row r="1504">
      <c r="G1504" s="16" t="str">
        <f>IFERROR(__xludf.DUMMYFUNCTION("""COMPUTED_VALUE"""),"")</f>
        <v/>
      </c>
    </row>
    <row r="1505">
      <c r="G1505" s="16" t="str">
        <f>IFERROR(__xludf.DUMMYFUNCTION("""COMPUTED_VALUE"""),"")</f>
        <v/>
      </c>
    </row>
    <row r="1506">
      <c r="G1506" s="16" t="str">
        <f>IFERROR(__xludf.DUMMYFUNCTION("""COMPUTED_VALUE"""),"")</f>
        <v/>
      </c>
    </row>
    <row r="1507">
      <c r="G1507" s="16" t="str">
        <f>IFERROR(__xludf.DUMMYFUNCTION("""COMPUTED_VALUE"""),"")</f>
        <v/>
      </c>
    </row>
    <row r="1508">
      <c r="G1508" s="16" t="str">
        <f>IFERROR(__xludf.DUMMYFUNCTION("""COMPUTED_VALUE"""),"")</f>
        <v/>
      </c>
    </row>
    <row r="1509">
      <c r="G1509" s="16" t="str">
        <f>IFERROR(__xludf.DUMMYFUNCTION("""COMPUTED_VALUE"""),"")</f>
        <v/>
      </c>
    </row>
    <row r="1510">
      <c r="G1510" s="16" t="str">
        <f>IFERROR(__xludf.DUMMYFUNCTION("""COMPUTED_VALUE"""),"")</f>
        <v/>
      </c>
    </row>
    <row r="1511">
      <c r="G1511" s="16" t="str">
        <f>IFERROR(__xludf.DUMMYFUNCTION("""COMPUTED_VALUE"""),"")</f>
        <v/>
      </c>
    </row>
    <row r="1512">
      <c r="G1512" s="16" t="str">
        <f>IFERROR(__xludf.DUMMYFUNCTION("""COMPUTED_VALUE"""),"")</f>
        <v/>
      </c>
    </row>
    <row r="1513">
      <c r="G1513" s="16" t="str">
        <f>IFERROR(__xludf.DUMMYFUNCTION("""COMPUTED_VALUE"""),"")</f>
        <v/>
      </c>
    </row>
    <row r="1514">
      <c r="G1514" s="16" t="str">
        <f>IFERROR(__xludf.DUMMYFUNCTION("""COMPUTED_VALUE"""),"")</f>
        <v/>
      </c>
    </row>
    <row r="1515">
      <c r="G1515" s="16" t="str">
        <f>IFERROR(__xludf.DUMMYFUNCTION("""COMPUTED_VALUE"""),"")</f>
        <v/>
      </c>
    </row>
    <row r="1516">
      <c r="G1516" s="16" t="str">
        <f>IFERROR(__xludf.DUMMYFUNCTION("""COMPUTED_VALUE"""),"")</f>
        <v/>
      </c>
    </row>
    <row r="1517">
      <c r="G1517" s="16" t="str">
        <f>IFERROR(__xludf.DUMMYFUNCTION("""COMPUTED_VALUE"""),"")</f>
        <v/>
      </c>
    </row>
    <row r="1518">
      <c r="G1518" s="16" t="str">
        <f>IFERROR(__xludf.DUMMYFUNCTION("""COMPUTED_VALUE"""),"")</f>
        <v/>
      </c>
    </row>
    <row r="1519">
      <c r="G1519" s="16" t="str">
        <f>IFERROR(__xludf.DUMMYFUNCTION("""COMPUTED_VALUE"""),"")</f>
        <v/>
      </c>
    </row>
    <row r="1520">
      <c r="G1520" s="16" t="str">
        <f>IFERROR(__xludf.DUMMYFUNCTION("""COMPUTED_VALUE"""),"")</f>
        <v/>
      </c>
    </row>
    <row r="1521">
      <c r="G1521" s="16" t="str">
        <f>IFERROR(__xludf.DUMMYFUNCTION("""COMPUTED_VALUE"""),"")</f>
        <v/>
      </c>
    </row>
    <row r="1522">
      <c r="G1522" s="16" t="str">
        <f>IFERROR(__xludf.DUMMYFUNCTION("""COMPUTED_VALUE"""),"")</f>
        <v/>
      </c>
    </row>
    <row r="1523">
      <c r="G1523" s="16" t="str">
        <f>IFERROR(__xludf.DUMMYFUNCTION("""COMPUTED_VALUE"""),"")</f>
        <v/>
      </c>
    </row>
    <row r="1524">
      <c r="G1524" s="16" t="str">
        <f>IFERROR(__xludf.DUMMYFUNCTION("""COMPUTED_VALUE"""),"")</f>
        <v/>
      </c>
    </row>
    <row r="1525">
      <c r="G1525" s="16" t="str">
        <f>IFERROR(__xludf.DUMMYFUNCTION("""COMPUTED_VALUE"""),"")</f>
        <v/>
      </c>
    </row>
    <row r="1526">
      <c r="G1526" s="16" t="str">
        <f>IFERROR(__xludf.DUMMYFUNCTION("""COMPUTED_VALUE"""),"")</f>
        <v/>
      </c>
    </row>
    <row r="1527">
      <c r="G1527" s="16" t="str">
        <f>IFERROR(__xludf.DUMMYFUNCTION("""COMPUTED_VALUE"""),"")</f>
        <v/>
      </c>
    </row>
    <row r="1528">
      <c r="G1528" s="16" t="str">
        <f>IFERROR(__xludf.DUMMYFUNCTION("""COMPUTED_VALUE"""),"")</f>
        <v/>
      </c>
    </row>
    <row r="1529">
      <c r="G1529" s="16" t="str">
        <f>IFERROR(__xludf.DUMMYFUNCTION("""COMPUTED_VALUE"""),"")</f>
        <v/>
      </c>
    </row>
    <row r="1530">
      <c r="G1530" s="16" t="str">
        <f>IFERROR(__xludf.DUMMYFUNCTION("""COMPUTED_VALUE"""),"")</f>
        <v/>
      </c>
    </row>
    <row r="1531">
      <c r="G1531" s="16" t="str">
        <f>IFERROR(__xludf.DUMMYFUNCTION("""COMPUTED_VALUE"""),"")</f>
        <v/>
      </c>
    </row>
    <row r="1532">
      <c r="G1532" s="16" t="str">
        <f>IFERROR(__xludf.DUMMYFUNCTION("""COMPUTED_VALUE"""),"")</f>
        <v/>
      </c>
    </row>
    <row r="1533">
      <c r="G1533" s="16" t="str">
        <f>IFERROR(__xludf.DUMMYFUNCTION("""COMPUTED_VALUE"""),"")</f>
        <v/>
      </c>
    </row>
    <row r="1534">
      <c r="G1534" s="16" t="str">
        <f>IFERROR(__xludf.DUMMYFUNCTION("""COMPUTED_VALUE"""),"")</f>
        <v/>
      </c>
    </row>
    <row r="1535">
      <c r="G1535" s="16" t="str">
        <f>IFERROR(__xludf.DUMMYFUNCTION("""COMPUTED_VALUE"""),"")</f>
        <v/>
      </c>
    </row>
    <row r="1536">
      <c r="G1536" s="16" t="str">
        <f>IFERROR(__xludf.DUMMYFUNCTION("""COMPUTED_VALUE"""),"")</f>
        <v/>
      </c>
    </row>
    <row r="1537">
      <c r="G1537" s="16" t="str">
        <f>IFERROR(__xludf.DUMMYFUNCTION("""COMPUTED_VALUE"""),"")</f>
        <v/>
      </c>
    </row>
    <row r="1538">
      <c r="G1538" s="16" t="str">
        <f>IFERROR(__xludf.DUMMYFUNCTION("""COMPUTED_VALUE"""),"")</f>
        <v/>
      </c>
    </row>
    <row r="1539">
      <c r="G1539" s="16" t="str">
        <f>IFERROR(__xludf.DUMMYFUNCTION("""COMPUTED_VALUE"""),"")</f>
        <v/>
      </c>
    </row>
    <row r="1540">
      <c r="G1540" s="16" t="str">
        <f>IFERROR(__xludf.DUMMYFUNCTION("""COMPUTED_VALUE"""),"")</f>
        <v/>
      </c>
    </row>
    <row r="1541">
      <c r="G1541" s="16" t="str">
        <f>IFERROR(__xludf.DUMMYFUNCTION("""COMPUTED_VALUE"""),"")</f>
        <v/>
      </c>
    </row>
    <row r="1542">
      <c r="G1542" s="16" t="str">
        <f>IFERROR(__xludf.DUMMYFUNCTION("""COMPUTED_VALUE"""),"")</f>
        <v/>
      </c>
    </row>
    <row r="1543">
      <c r="G1543" s="16" t="str">
        <f>IFERROR(__xludf.DUMMYFUNCTION("""COMPUTED_VALUE"""),"")</f>
        <v/>
      </c>
    </row>
    <row r="1544">
      <c r="G1544" s="16" t="str">
        <f>IFERROR(__xludf.DUMMYFUNCTION("""COMPUTED_VALUE"""),"")</f>
        <v/>
      </c>
    </row>
    <row r="1545">
      <c r="G1545" s="16" t="str">
        <f>IFERROR(__xludf.DUMMYFUNCTION("""COMPUTED_VALUE"""),"")</f>
        <v/>
      </c>
    </row>
    <row r="1546">
      <c r="G1546" s="16" t="str">
        <f>IFERROR(__xludf.DUMMYFUNCTION("""COMPUTED_VALUE"""),"")</f>
        <v/>
      </c>
    </row>
    <row r="1547">
      <c r="G1547" s="16" t="str">
        <f>IFERROR(__xludf.DUMMYFUNCTION("""COMPUTED_VALUE"""),"")</f>
        <v/>
      </c>
    </row>
    <row r="1548">
      <c r="G1548" s="16" t="str">
        <f>IFERROR(__xludf.DUMMYFUNCTION("""COMPUTED_VALUE"""),"")</f>
        <v/>
      </c>
    </row>
    <row r="1549">
      <c r="G1549" s="16" t="str">
        <f>IFERROR(__xludf.DUMMYFUNCTION("""COMPUTED_VALUE"""),"")</f>
        <v/>
      </c>
    </row>
    <row r="1550">
      <c r="G1550" s="16" t="str">
        <f>IFERROR(__xludf.DUMMYFUNCTION("""COMPUTED_VALUE"""),"")</f>
        <v/>
      </c>
    </row>
    <row r="1551">
      <c r="G1551" s="16" t="str">
        <f>IFERROR(__xludf.DUMMYFUNCTION("""COMPUTED_VALUE"""),"")</f>
        <v/>
      </c>
    </row>
    <row r="1552">
      <c r="G1552" s="16" t="str">
        <f>IFERROR(__xludf.DUMMYFUNCTION("""COMPUTED_VALUE"""),"")</f>
        <v/>
      </c>
    </row>
    <row r="1553">
      <c r="G1553" s="16" t="str">
        <f>IFERROR(__xludf.DUMMYFUNCTION("""COMPUTED_VALUE"""),"")</f>
        <v/>
      </c>
    </row>
    <row r="1554">
      <c r="G1554" s="16" t="str">
        <f>IFERROR(__xludf.DUMMYFUNCTION("""COMPUTED_VALUE"""),"")</f>
        <v/>
      </c>
    </row>
    <row r="1555">
      <c r="G1555" s="16" t="str">
        <f>IFERROR(__xludf.DUMMYFUNCTION("""COMPUTED_VALUE"""),"")</f>
        <v/>
      </c>
    </row>
    <row r="1556">
      <c r="G1556" s="16" t="str">
        <f>IFERROR(__xludf.DUMMYFUNCTION("""COMPUTED_VALUE"""),"")</f>
        <v/>
      </c>
    </row>
    <row r="1557">
      <c r="G1557" s="16" t="str">
        <f>IFERROR(__xludf.DUMMYFUNCTION("""COMPUTED_VALUE"""),"")</f>
        <v/>
      </c>
    </row>
    <row r="1558">
      <c r="G1558" s="16" t="str">
        <f>IFERROR(__xludf.DUMMYFUNCTION("""COMPUTED_VALUE"""),"")</f>
        <v/>
      </c>
    </row>
    <row r="1559">
      <c r="G1559" s="16" t="str">
        <f>IFERROR(__xludf.DUMMYFUNCTION("""COMPUTED_VALUE"""),"")</f>
        <v/>
      </c>
    </row>
    <row r="1560">
      <c r="G1560" s="16" t="str">
        <f>IFERROR(__xludf.DUMMYFUNCTION("""COMPUTED_VALUE"""),"")</f>
        <v/>
      </c>
    </row>
    <row r="1561">
      <c r="G1561" s="16" t="str">
        <f>IFERROR(__xludf.DUMMYFUNCTION("""COMPUTED_VALUE"""),"")</f>
        <v/>
      </c>
    </row>
    <row r="1562">
      <c r="G1562" s="16" t="str">
        <f>IFERROR(__xludf.DUMMYFUNCTION("""COMPUTED_VALUE"""),"")</f>
        <v/>
      </c>
    </row>
    <row r="1563">
      <c r="G1563" s="16" t="str">
        <f>IFERROR(__xludf.DUMMYFUNCTION("""COMPUTED_VALUE"""),"")</f>
        <v/>
      </c>
    </row>
    <row r="1564">
      <c r="G1564" s="16" t="str">
        <f>IFERROR(__xludf.DUMMYFUNCTION("""COMPUTED_VALUE"""),"")</f>
        <v/>
      </c>
    </row>
    <row r="1565">
      <c r="G1565" s="16" t="str">
        <f>IFERROR(__xludf.DUMMYFUNCTION("""COMPUTED_VALUE"""),"")</f>
        <v/>
      </c>
    </row>
    <row r="1566">
      <c r="G1566" s="16" t="str">
        <f>IFERROR(__xludf.DUMMYFUNCTION("""COMPUTED_VALUE"""),"")</f>
        <v/>
      </c>
    </row>
    <row r="1567">
      <c r="G1567" s="16" t="str">
        <f>IFERROR(__xludf.DUMMYFUNCTION("""COMPUTED_VALUE"""),"")</f>
        <v/>
      </c>
    </row>
    <row r="1568">
      <c r="G1568" s="16" t="str">
        <f>IFERROR(__xludf.DUMMYFUNCTION("""COMPUTED_VALUE"""),"")</f>
        <v/>
      </c>
    </row>
    <row r="1569">
      <c r="G1569" s="16" t="str">
        <f>IFERROR(__xludf.DUMMYFUNCTION("""COMPUTED_VALUE"""),"")</f>
        <v/>
      </c>
    </row>
    <row r="1570">
      <c r="G1570" s="16" t="str">
        <f>IFERROR(__xludf.DUMMYFUNCTION("""COMPUTED_VALUE"""),"")</f>
        <v/>
      </c>
    </row>
    <row r="1571">
      <c r="G1571" s="16" t="str">
        <f>IFERROR(__xludf.DUMMYFUNCTION("""COMPUTED_VALUE"""),"")</f>
        <v/>
      </c>
    </row>
    <row r="1572">
      <c r="G1572" s="16" t="str">
        <f>IFERROR(__xludf.DUMMYFUNCTION("""COMPUTED_VALUE"""),"")</f>
        <v/>
      </c>
    </row>
    <row r="1573">
      <c r="G1573" s="16" t="str">
        <f>IFERROR(__xludf.DUMMYFUNCTION("""COMPUTED_VALUE"""),"")</f>
        <v/>
      </c>
    </row>
    <row r="1574">
      <c r="G1574" s="16" t="str">
        <f>IFERROR(__xludf.DUMMYFUNCTION("""COMPUTED_VALUE"""),"")</f>
        <v/>
      </c>
    </row>
    <row r="1575">
      <c r="G1575" s="16" t="str">
        <f>IFERROR(__xludf.DUMMYFUNCTION("""COMPUTED_VALUE"""),"")</f>
        <v/>
      </c>
    </row>
    <row r="1576">
      <c r="G1576" s="16" t="str">
        <f>IFERROR(__xludf.DUMMYFUNCTION("""COMPUTED_VALUE"""),"")</f>
        <v/>
      </c>
    </row>
    <row r="1577">
      <c r="G1577" s="16" t="str">
        <f>IFERROR(__xludf.DUMMYFUNCTION("""COMPUTED_VALUE"""),"")</f>
        <v/>
      </c>
    </row>
    <row r="1578">
      <c r="G1578" s="16" t="str">
        <f>IFERROR(__xludf.DUMMYFUNCTION("""COMPUTED_VALUE"""),"")</f>
        <v/>
      </c>
    </row>
    <row r="1579">
      <c r="G1579" s="16" t="str">
        <f>IFERROR(__xludf.DUMMYFUNCTION("""COMPUTED_VALUE"""),"")</f>
        <v/>
      </c>
    </row>
    <row r="1580">
      <c r="G1580" s="16" t="str">
        <f>IFERROR(__xludf.DUMMYFUNCTION("""COMPUTED_VALUE"""),"")</f>
        <v/>
      </c>
    </row>
    <row r="1581">
      <c r="G1581" s="16" t="str">
        <f>IFERROR(__xludf.DUMMYFUNCTION("""COMPUTED_VALUE"""),"")</f>
        <v/>
      </c>
    </row>
    <row r="1582">
      <c r="G1582" s="16" t="str">
        <f>IFERROR(__xludf.DUMMYFUNCTION("""COMPUTED_VALUE"""),"")</f>
        <v/>
      </c>
    </row>
    <row r="1583">
      <c r="G1583" s="16" t="str">
        <f>IFERROR(__xludf.DUMMYFUNCTION("""COMPUTED_VALUE"""),"")</f>
        <v/>
      </c>
    </row>
    <row r="1584">
      <c r="G1584" s="16" t="str">
        <f>IFERROR(__xludf.DUMMYFUNCTION("""COMPUTED_VALUE"""),"")</f>
        <v/>
      </c>
    </row>
    <row r="1585">
      <c r="G1585" s="16" t="str">
        <f>IFERROR(__xludf.DUMMYFUNCTION("""COMPUTED_VALUE"""),"")</f>
        <v/>
      </c>
    </row>
    <row r="1586">
      <c r="G1586" s="16" t="str">
        <f>IFERROR(__xludf.DUMMYFUNCTION("""COMPUTED_VALUE"""),"")</f>
        <v/>
      </c>
    </row>
    <row r="1587">
      <c r="G1587" s="16" t="str">
        <f>IFERROR(__xludf.DUMMYFUNCTION("""COMPUTED_VALUE"""),"")</f>
        <v/>
      </c>
    </row>
    <row r="1588">
      <c r="G1588" s="16" t="str">
        <f>IFERROR(__xludf.DUMMYFUNCTION("""COMPUTED_VALUE"""),"")</f>
        <v/>
      </c>
    </row>
    <row r="1589">
      <c r="G1589" s="16" t="str">
        <f>IFERROR(__xludf.DUMMYFUNCTION("""COMPUTED_VALUE"""),"")</f>
        <v/>
      </c>
    </row>
    <row r="1590">
      <c r="G1590" s="16" t="str">
        <f>IFERROR(__xludf.DUMMYFUNCTION("""COMPUTED_VALUE"""),"")</f>
        <v/>
      </c>
    </row>
    <row r="1591">
      <c r="G1591" s="16" t="str">
        <f>IFERROR(__xludf.DUMMYFUNCTION("""COMPUTED_VALUE"""),"")</f>
        <v/>
      </c>
    </row>
    <row r="1592">
      <c r="G1592" s="16" t="str">
        <f>IFERROR(__xludf.DUMMYFUNCTION("""COMPUTED_VALUE"""),"")</f>
        <v/>
      </c>
    </row>
    <row r="1593">
      <c r="G1593" s="16" t="str">
        <f>IFERROR(__xludf.DUMMYFUNCTION("""COMPUTED_VALUE"""),"")</f>
        <v/>
      </c>
    </row>
    <row r="1594">
      <c r="G1594" s="16" t="str">
        <f>IFERROR(__xludf.DUMMYFUNCTION("""COMPUTED_VALUE"""),"")</f>
        <v/>
      </c>
    </row>
    <row r="1595">
      <c r="G1595" s="16" t="str">
        <f>IFERROR(__xludf.DUMMYFUNCTION("""COMPUTED_VALUE"""),"")</f>
        <v/>
      </c>
    </row>
    <row r="1596">
      <c r="G1596" s="16" t="str">
        <f>IFERROR(__xludf.DUMMYFUNCTION("""COMPUTED_VALUE"""),"")</f>
        <v/>
      </c>
    </row>
    <row r="1597">
      <c r="G1597" s="16" t="str">
        <f>IFERROR(__xludf.DUMMYFUNCTION("""COMPUTED_VALUE"""),"")</f>
        <v/>
      </c>
    </row>
    <row r="1598">
      <c r="G1598" s="16" t="str">
        <f>IFERROR(__xludf.DUMMYFUNCTION("""COMPUTED_VALUE"""),"")</f>
        <v/>
      </c>
    </row>
    <row r="1599">
      <c r="G1599" s="16" t="str">
        <f>IFERROR(__xludf.DUMMYFUNCTION("""COMPUTED_VALUE"""),"")</f>
        <v/>
      </c>
    </row>
    <row r="1600">
      <c r="G1600" s="16" t="str">
        <f>IFERROR(__xludf.DUMMYFUNCTION("""COMPUTED_VALUE"""),"")</f>
        <v/>
      </c>
    </row>
    <row r="1601">
      <c r="G1601" s="16" t="str">
        <f>IFERROR(__xludf.DUMMYFUNCTION("""COMPUTED_VALUE"""),"")</f>
        <v/>
      </c>
    </row>
    <row r="1602">
      <c r="G1602" s="16" t="str">
        <f>IFERROR(__xludf.DUMMYFUNCTION("""COMPUTED_VALUE"""),"")</f>
        <v/>
      </c>
    </row>
    <row r="1603">
      <c r="G1603" s="16" t="str">
        <f>IFERROR(__xludf.DUMMYFUNCTION("""COMPUTED_VALUE"""),"")</f>
        <v/>
      </c>
    </row>
    <row r="1604">
      <c r="G1604" s="16" t="str">
        <f>IFERROR(__xludf.DUMMYFUNCTION("""COMPUTED_VALUE"""),"")</f>
        <v/>
      </c>
    </row>
    <row r="1605">
      <c r="G1605" s="16" t="str">
        <f>IFERROR(__xludf.DUMMYFUNCTION("""COMPUTED_VALUE"""),"")</f>
        <v/>
      </c>
    </row>
    <row r="1606">
      <c r="G1606" s="16" t="str">
        <f>IFERROR(__xludf.DUMMYFUNCTION("""COMPUTED_VALUE"""),"")</f>
        <v/>
      </c>
    </row>
    <row r="1607">
      <c r="G1607" s="16" t="str">
        <f>IFERROR(__xludf.DUMMYFUNCTION("""COMPUTED_VALUE"""),"")</f>
        <v/>
      </c>
    </row>
    <row r="1608">
      <c r="G1608" s="16" t="str">
        <f>IFERROR(__xludf.DUMMYFUNCTION("""COMPUTED_VALUE"""),"")</f>
        <v/>
      </c>
    </row>
    <row r="1609">
      <c r="G1609" s="16" t="str">
        <f>IFERROR(__xludf.DUMMYFUNCTION("""COMPUTED_VALUE"""),"")</f>
        <v/>
      </c>
    </row>
    <row r="1610">
      <c r="G1610" s="16" t="str">
        <f>IFERROR(__xludf.DUMMYFUNCTION("""COMPUTED_VALUE"""),"")</f>
        <v/>
      </c>
    </row>
    <row r="1611">
      <c r="G1611" s="16" t="str">
        <f>IFERROR(__xludf.DUMMYFUNCTION("""COMPUTED_VALUE"""),"")</f>
        <v/>
      </c>
    </row>
    <row r="1612">
      <c r="G1612" s="16" t="str">
        <f>IFERROR(__xludf.DUMMYFUNCTION("""COMPUTED_VALUE"""),"")</f>
        <v/>
      </c>
    </row>
    <row r="1613">
      <c r="G1613" s="16" t="str">
        <f>IFERROR(__xludf.DUMMYFUNCTION("""COMPUTED_VALUE"""),"")</f>
        <v/>
      </c>
    </row>
    <row r="1614">
      <c r="G1614" s="16" t="str">
        <f>IFERROR(__xludf.DUMMYFUNCTION("""COMPUTED_VALUE"""),"")</f>
        <v/>
      </c>
    </row>
    <row r="1615">
      <c r="G1615" s="16" t="str">
        <f>IFERROR(__xludf.DUMMYFUNCTION("""COMPUTED_VALUE"""),"")</f>
        <v/>
      </c>
    </row>
    <row r="1616">
      <c r="G1616" s="16" t="str">
        <f>IFERROR(__xludf.DUMMYFUNCTION("""COMPUTED_VALUE"""),"")</f>
        <v/>
      </c>
    </row>
    <row r="1617">
      <c r="G1617" s="16" t="str">
        <f>IFERROR(__xludf.DUMMYFUNCTION("""COMPUTED_VALUE"""),"")</f>
        <v/>
      </c>
    </row>
    <row r="1618">
      <c r="G1618" s="16" t="str">
        <f>IFERROR(__xludf.DUMMYFUNCTION("""COMPUTED_VALUE"""),"")</f>
        <v/>
      </c>
    </row>
    <row r="1619">
      <c r="G1619" s="16" t="str">
        <f>IFERROR(__xludf.DUMMYFUNCTION("""COMPUTED_VALUE"""),"")</f>
        <v/>
      </c>
    </row>
    <row r="1620">
      <c r="G1620" s="16" t="str">
        <f>IFERROR(__xludf.DUMMYFUNCTION("""COMPUTED_VALUE"""),"")</f>
        <v/>
      </c>
    </row>
    <row r="1621">
      <c r="G1621" s="16" t="str">
        <f>IFERROR(__xludf.DUMMYFUNCTION("""COMPUTED_VALUE"""),"")</f>
        <v/>
      </c>
    </row>
    <row r="1622">
      <c r="G1622" s="16" t="str">
        <f>IFERROR(__xludf.DUMMYFUNCTION("""COMPUTED_VALUE"""),"")</f>
        <v/>
      </c>
    </row>
    <row r="1623">
      <c r="G1623" s="16" t="str">
        <f>IFERROR(__xludf.DUMMYFUNCTION("""COMPUTED_VALUE"""),"")</f>
        <v/>
      </c>
    </row>
    <row r="1624">
      <c r="G1624" s="16" t="str">
        <f>IFERROR(__xludf.DUMMYFUNCTION("""COMPUTED_VALUE"""),"")</f>
        <v/>
      </c>
    </row>
    <row r="1625">
      <c r="G1625" s="16" t="str">
        <f>IFERROR(__xludf.DUMMYFUNCTION("""COMPUTED_VALUE"""),"")</f>
        <v/>
      </c>
    </row>
    <row r="1626">
      <c r="G1626" s="16" t="str">
        <f>IFERROR(__xludf.DUMMYFUNCTION("""COMPUTED_VALUE"""),"")</f>
        <v/>
      </c>
    </row>
    <row r="1627">
      <c r="G1627" s="16" t="str">
        <f>IFERROR(__xludf.DUMMYFUNCTION("""COMPUTED_VALUE"""),"")</f>
        <v/>
      </c>
    </row>
    <row r="1628">
      <c r="G1628" s="16" t="str">
        <f>IFERROR(__xludf.DUMMYFUNCTION("""COMPUTED_VALUE"""),"")</f>
        <v/>
      </c>
    </row>
    <row r="1629">
      <c r="G1629" s="16" t="str">
        <f>IFERROR(__xludf.DUMMYFUNCTION("""COMPUTED_VALUE"""),"")</f>
        <v/>
      </c>
    </row>
    <row r="1630">
      <c r="G1630" s="16" t="str">
        <f>IFERROR(__xludf.DUMMYFUNCTION("""COMPUTED_VALUE"""),"")</f>
        <v/>
      </c>
    </row>
    <row r="1631">
      <c r="G1631" s="16" t="str">
        <f>IFERROR(__xludf.DUMMYFUNCTION("""COMPUTED_VALUE"""),"")</f>
        <v/>
      </c>
    </row>
    <row r="1632">
      <c r="G1632" s="16" t="str">
        <f>IFERROR(__xludf.DUMMYFUNCTION("""COMPUTED_VALUE"""),"")</f>
        <v/>
      </c>
    </row>
    <row r="1633">
      <c r="G1633" s="16" t="str">
        <f>IFERROR(__xludf.DUMMYFUNCTION("""COMPUTED_VALUE"""),"")</f>
        <v/>
      </c>
    </row>
    <row r="1634">
      <c r="G1634" s="16" t="str">
        <f>IFERROR(__xludf.DUMMYFUNCTION("""COMPUTED_VALUE"""),"")</f>
        <v/>
      </c>
    </row>
    <row r="1635">
      <c r="G1635" s="16" t="str">
        <f>IFERROR(__xludf.DUMMYFUNCTION("""COMPUTED_VALUE"""),"")</f>
        <v/>
      </c>
    </row>
    <row r="1636">
      <c r="G1636" s="16" t="str">
        <f>IFERROR(__xludf.DUMMYFUNCTION("""COMPUTED_VALUE"""),"")</f>
        <v/>
      </c>
    </row>
    <row r="1637">
      <c r="G1637" s="16" t="str">
        <f>IFERROR(__xludf.DUMMYFUNCTION("""COMPUTED_VALUE"""),"")</f>
        <v/>
      </c>
    </row>
    <row r="1638">
      <c r="G1638" s="16" t="str">
        <f>IFERROR(__xludf.DUMMYFUNCTION("""COMPUTED_VALUE"""),"")</f>
        <v/>
      </c>
    </row>
    <row r="1639">
      <c r="G1639" s="16" t="str">
        <f>IFERROR(__xludf.DUMMYFUNCTION("""COMPUTED_VALUE"""),"")</f>
        <v/>
      </c>
    </row>
    <row r="1640">
      <c r="G1640" s="16" t="str">
        <f>IFERROR(__xludf.DUMMYFUNCTION("""COMPUTED_VALUE"""),"")</f>
        <v/>
      </c>
    </row>
    <row r="1641">
      <c r="G1641" s="16" t="str">
        <f>IFERROR(__xludf.DUMMYFUNCTION("""COMPUTED_VALUE"""),"")</f>
        <v/>
      </c>
    </row>
    <row r="1642">
      <c r="G1642" s="16" t="str">
        <f>IFERROR(__xludf.DUMMYFUNCTION("""COMPUTED_VALUE"""),"")</f>
        <v/>
      </c>
    </row>
    <row r="1643">
      <c r="G1643" s="16" t="str">
        <f>IFERROR(__xludf.DUMMYFUNCTION("""COMPUTED_VALUE"""),"")</f>
        <v/>
      </c>
    </row>
    <row r="1644">
      <c r="G1644" s="16" t="str">
        <f>IFERROR(__xludf.DUMMYFUNCTION("""COMPUTED_VALUE"""),"")</f>
        <v/>
      </c>
    </row>
    <row r="1645">
      <c r="G1645" s="16" t="str">
        <f>IFERROR(__xludf.DUMMYFUNCTION("""COMPUTED_VALUE"""),"")</f>
        <v/>
      </c>
    </row>
    <row r="1646">
      <c r="G1646" s="16" t="str">
        <f>IFERROR(__xludf.DUMMYFUNCTION("""COMPUTED_VALUE"""),"")</f>
        <v/>
      </c>
    </row>
    <row r="1647">
      <c r="G1647" s="16" t="str">
        <f>IFERROR(__xludf.DUMMYFUNCTION("""COMPUTED_VALUE"""),"")</f>
        <v/>
      </c>
    </row>
    <row r="1648">
      <c r="G1648" s="16" t="str">
        <f>IFERROR(__xludf.DUMMYFUNCTION("""COMPUTED_VALUE"""),"")</f>
        <v/>
      </c>
    </row>
    <row r="1649">
      <c r="G1649" s="16" t="str">
        <f>IFERROR(__xludf.DUMMYFUNCTION("""COMPUTED_VALUE"""),"")</f>
        <v/>
      </c>
    </row>
    <row r="1650">
      <c r="G1650" s="16" t="str">
        <f>IFERROR(__xludf.DUMMYFUNCTION("""COMPUTED_VALUE"""),"")</f>
        <v/>
      </c>
    </row>
    <row r="1651">
      <c r="G1651" s="16" t="str">
        <f>IFERROR(__xludf.DUMMYFUNCTION("""COMPUTED_VALUE"""),"")</f>
        <v/>
      </c>
    </row>
    <row r="1652">
      <c r="G1652" s="16" t="str">
        <f>IFERROR(__xludf.DUMMYFUNCTION("""COMPUTED_VALUE"""),"")</f>
        <v/>
      </c>
    </row>
    <row r="1653">
      <c r="G1653" s="16" t="str">
        <f>IFERROR(__xludf.DUMMYFUNCTION("""COMPUTED_VALUE"""),"")</f>
        <v/>
      </c>
    </row>
    <row r="1654">
      <c r="G1654" s="16" t="str">
        <f>IFERROR(__xludf.DUMMYFUNCTION("""COMPUTED_VALUE"""),"")</f>
        <v/>
      </c>
    </row>
    <row r="1655">
      <c r="G1655" s="16" t="str">
        <f>IFERROR(__xludf.DUMMYFUNCTION("""COMPUTED_VALUE"""),"")</f>
        <v/>
      </c>
    </row>
    <row r="1656">
      <c r="G1656" s="16" t="str">
        <f>IFERROR(__xludf.DUMMYFUNCTION("""COMPUTED_VALUE"""),"")</f>
        <v/>
      </c>
    </row>
    <row r="1657">
      <c r="G1657" s="16" t="str">
        <f>IFERROR(__xludf.DUMMYFUNCTION("""COMPUTED_VALUE"""),"")</f>
        <v/>
      </c>
    </row>
    <row r="1658">
      <c r="G1658" s="16" t="str">
        <f>IFERROR(__xludf.DUMMYFUNCTION("""COMPUTED_VALUE"""),"")</f>
        <v/>
      </c>
    </row>
    <row r="1659">
      <c r="G1659" s="16" t="str">
        <f>IFERROR(__xludf.DUMMYFUNCTION("""COMPUTED_VALUE"""),"")</f>
        <v/>
      </c>
    </row>
    <row r="1660">
      <c r="G1660" s="16" t="str">
        <f>IFERROR(__xludf.DUMMYFUNCTION("""COMPUTED_VALUE"""),"")</f>
        <v/>
      </c>
    </row>
    <row r="1661">
      <c r="G1661" s="16" t="str">
        <f>IFERROR(__xludf.DUMMYFUNCTION("""COMPUTED_VALUE"""),"")</f>
        <v/>
      </c>
    </row>
    <row r="1662">
      <c r="G1662" s="16" t="str">
        <f>IFERROR(__xludf.DUMMYFUNCTION("""COMPUTED_VALUE"""),"")</f>
        <v/>
      </c>
    </row>
    <row r="1663">
      <c r="G1663" s="16" t="str">
        <f>IFERROR(__xludf.DUMMYFUNCTION("""COMPUTED_VALUE"""),"")</f>
        <v/>
      </c>
    </row>
    <row r="1664">
      <c r="G1664" s="16" t="str">
        <f>IFERROR(__xludf.DUMMYFUNCTION("""COMPUTED_VALUE"""),"")</f>
        <v/>
      </c>
    </row>
    <row r="1665">
      <c r="G1665" s="16" t="str">
        <f>IFERROR(__xludf.DUMMYFUNCTION("""COMPUTED_VALUE"""),"")</f>
        <v/>
      </c>
    </row>
    <row r="1666">
      <c r="G1666" s="16" t="str">
        <f>IFERROR(__xludf.DUMMYFUNCTION("""COMPUTED_VALUE"""),"")</f>
        <v/>
      </c>
    </row>
    <row r="1667">
      <c r="G1667" s="16" t="str">
        <f>IFERROR(__xludf.DUMMYFUNCTION("""COMPUTED_VALUE"""),"")</f>
        <v/>
      </c>
    </row>
    <row r="1668">
      <c r="G1668" s="16" t="str">
        <f>IFERROR(__xludf.DUMMYFUNCTION("""COMPUTED_VALUE"""),"")</f>
        <v/>
      </c>
    </row>
    <row r="1669">
      <c r="G1669" s="16" t="str">
        <f>IFERROR(__xludf.DUMMYFUNCTION("""COMPUTED_VALUE"""),"")</f>
        <v/>
      </c>
    </row>
    <row r="1670">
      <c r="G1670" s="16" t="str">
        <f>IFERROR(__xludf.DUMMYFUNCTION("""COMPUTED_VALUE"""),"")</f>
        <v/>
      </c>
    </row>
    <row r="1671">
      <c r="G1671" s="16" t="str">
        <f>IFERROR(__xludf.DUMMYFUNCTION("""COMPUTED_VALUE"""),"")</f>
        <v/>
      </c>
    </row>
    <row r="1672">
      <c r="G1672" s="16" t="str">
        <f>IFERROR(__xludf.DUMMYFUNCTION("""COMPUTED_VALUE"""),"")</f>
        <v/>
      </c>
    </row>
    <row r="1673">
      <c r="G1673" s="16" t="str">
        <f>IFERROR(__xludf.DUMMYFUNCTION("""COMPUTED_VALUE"""),"")</f>
        <v/>
      </c>
    </row>
    <row r="1674">
      <c r="G1674" s="16" t="str">
        <f>IFERROR(__xludf.DUMMYFUNCTION("""COMPUTED_VALUE"""),"")</f>
        <v/>
      </c>
    </row>
    <row r="1675">
      <c r="G1675" s="16" t="str">
        <f>IFERROR(__xludf.DUMMYFUNCTION("""COMPUTED_VALUE"""),"")</f>
        <v/>
      </c>
    </row>
    <row r="1676">
      <c r="G1676" s="16" t="str">
        <f>IFERROR(__xludf.DUMMYFUNCTION("""COMPUTED_VALUE"""),"")</f>
        <v/>
      </c>
    </row>
    <row r="1677">
      <c r="G1677" s="16" t="str">
        <f>IFERROR(__xludf.DUMMYFUNCTION("""COMPUTED_VALUE"""),"")</f>
        <v/>
      </c>
    </row>
    <row r="1678">
      <c r="G1678" s="16" t="str">
        <f>IFERROR(__xludf.DUMMYFUNCTION("""COMPUTED_VALUE"""),"")</f>
        <v/>
      </c>
    </row>
    <row r="1679">
      <c r="G1679" s="16" t="str">
        <f>IFERROR(__xludf.DUMMYFUNCTION("""COMPUTED_VALUE"""),"")</f>
        <v/>
      </c>
    </row>
    <row r="1680">
      <c r="G1680" s="16" t="str">
        <f>IFERROR(__xludf.DUMMYFUNCTION("""COMPUTED_VALUE"""),"")</f>
        <v/>
      </c>
    </row>
    <row r="1681">
      <c r="G1681" s="16" t="str">
        <f>IFERROR(__xludf.DUMMYFUNCTION("""COMPUTED_VALUE"""),"")</f>
        <v/>
      </c>
    </row>
    <row r="1682">
      <c r="G1682" s="16" t="str">
        <f>IFERROR(__xludf.DUMMYFUNCTION("""COMPUTED_VALUE"""),"")</f>
        <v/>
      </c>
    </row>
    <row r="1683">
      <c r="G1683" s="16" t="str">
        <f>IFERROR(__xludf.DUMMYFUNCTION("""COMPUTED_VALUE"""),"")</f>
        <v/>
      </c>
    </row>
    <row r="1684">
      <c r="G1684" s="16" t="str">
        <f>IFERROR(__xludf.DUMMYFUNCTION("""COMPUTED_VALUE"""),"")</f>
        <v/>
      </c>
    </row>
    <row r="1685">
      <c r="G1685" s="16" t="str">
        <f>IFERROR(__xludf.DUMMYFUNCTION("""COMPUTED_VALUE"""),"")</f>
        <v/>
      </c>
    </row>
    <row r="1686">
      <c r="G1686" s="16" t="str">
        <f>IFERROR(__xludf.DUMMYFUNCTION("""COMPUTED_VALUE"""),"")</f>
        <v/>
      </c>
    </row>
    <row r="1687">
      <c r="G1687" s="16" t="str">
        <f>IFERROR(__xludf.DUMMYFUNCTION("""COMPUTED_VALUE"""),"")</f>
        <v/>
      </c>
    </row>
    <row r="1688">
      <c r="G1688" s="16" t="str">
        <f>IFERROR(__xludf.DUMMYFUNCTION("""COMPUTED_VALUE"""),"")</f>
        <v/>
      </c>
    </row>
    <row r="1689">
      <c r="G1689" s="16" t="str">
        <f>IFERROR(__xludf.DUMMYFUNCTION("""COMPUTED_VALUE"""),"")</f>
        <v/>
      </c>
    </row>
    <row r="1690">
      <c r="G1690" s="16" t="str">
        <f>IFERROR(__xludf.DUMMYFUNCTION("""COMPUTED_VALUE"""),"")</f>
        <v/>
      </c>
    </row>
    <row r="1691">
      <c r="G1691" s="16" t="str">
        <f>IFERROR(__xludf.DUMMYFUNCTION("""COMPUTED_VALUE"""),"")</f>
        <v/>
      </c>
    </row>
    <row r="1692">
      <c r="G1692" s="16" t="str">
        <f>IFERROR(__xludf.DUMMYFUNCTION("""COMPUTED_VALUE"""),"")</f>
        <v/>
      </c>
    </row>
    <row r="1693">
      <c r="G1693" s="16" t="str">
        <f>IFERROR(__xludf.DUMMYFUNCTION("""COMPUTED_VALUE"""),"")</f>
        <v/>
      </c>
    </row>
    <row r="1694">
      <c r="G1694" s="16" t="str">
        <f>IFERROR(__xludf.DUMMYFUNCTION("""COMPUTED_VALUE"""),"")</f>
        <v/>
      </c>
    </row>
    <row r="1695">
      <c r="G1695" s="16" t="str">
        <f>IFERROR(__xludf.DUMMYFUNCTION("""COMPUTED_VALUE"""),"")</f>
        <v/>
      </c>
    </row>
    <row r="1696">
      <c r="G1696" s="16" t="str">
        <f>IFERROR(__xludf.DUMMYFUNCTION("""COMPUTED_VALUE"""),"")</f>
        <v/>
      </c>
    </row>
    <row r="1697">
      <c r="G1697" s="16" t="str">
        <f>IFERROR(__xludf.DUMMYFUNCTION("""COMPUTED_VALUE"""),"")</f>
        <v/>
      </c>
    </row>
    <row r="1698">
      <c r="G1698" s="16" t="str">
        <f>IFERROR(__xludf.DUMMYFUNCTION("""COMPUTED_VALUE"""),"")</f>
        <v/>
      </c>
    </row>
    <row r="1699">
      <c r="G1699" s="16" t="str">
        <f>IFERROR(__xludf.DUMMYFUNCTION("""COMPUTED_VALUE"""),"")</f>
        <v/>
      </c>
    </row>
    <row r="1700">
      <c r="G1700" s="16" t="str">
        <f>IFERROR(__xludf.DUMMYFUNCTION("""COMPUTED_VALUE"""),"")</f>
        <v/>
      </c>
    </row>
    <row r="1701">
      <c r="G1701" s="16" t="str">
        <f>IFERROR(__xludf.DUMMYFUNCTION("""COMPUTED_VALUE"""),"")</f>
        <v/>
      </c>
    </row>
    <row r="1702">
      <c r="G1702" s="16" t="str">
        <f>IFERROR(__xludf.DUMMYFUNCTION("""COMPUTED_VALUE"""),"")</f>
        <v/>
      </c>
    </row>
    <row r="1703">
      <c r="G1703" s="16" t="str">
        <f>IFERROR(__xludf.DUMMYFUNCTION("""COMPUTED_VALUE"""),"")</f>
        <v/>
      </c>
    </row>
    <row r="1704">
      <c r="G1704" s="16" t="str">
        <f>IFERROR(__xludf.DUMMYFUNCTION("""COMPUTED_VALUE"""),"")</f>
        <v/>
      </c>
    </row>
    <row r="1705">
      <c r="G1705" s="16" t="str">
        <f>IFERROR(__xludf.DUMMYFUNCTION("""COMPUTED_VALUE"""),"")</f>
        <v/>
      </c>
    </row>
    <row r="1706">
      <c r="G1706" s="16" t="str">
        <f>IFERROR(__xludf.DUMMYFUNCTION("""COMPUTED_VALUE"""),"")</f>
        <v/>
      </c>
    </row>
    <row r="1707">
      <c r="G1707" s="16" t="str">
        <f>IFERROR(__xludf.DUMMYFUNCTION("""COMPUTED_VALUE"""),"")</f>
        <v/>
      </c>
    </row>
    <row r="1708">
      <c r="G1708" s="16" t="str">
        <f>IFERROR(__xludf.DUMMYFUNCTION("""COMPUTED_VALUE"""),"")</f>
        <v/>
      </c>
    </row>
    <row r="1709">
      <c r="G1709" s="16" t="str">
        <f>IFERROR(__xludf.DUMMYFUNCTION("""COMPUTED_VALUE"""),"")</f>
        <v/>
      </c>
    </row>
    <row r="1710">
      <c r="G1710" s="16" t="str">
        <f>IFERROR(__xludf.DUMMYFUNCTION("""COMPUTED_VALUE"""),"")</f>
        <v/>
      </c>
    </row>
    <row r="1711">
      <c r="G1711" s="16" t="str">
        <f>IFERROR(__xludf.DUMMYFUNCTION("""COMPUTED_VALUE"""),"")</f>
        <v/>
      </c>
    </row>
    <row r="1712">
      <c r="G1712" s="16" t="str">
        <f>IFERROR(__xludf.DUMMYFUNCTION("""COMPUTED_VALUE"""),"")</f>
        <v/>
      </c>
    </row>
    <row r="1713">
      <c r="G1713" s="16" t="str">
        <f>IFERROR(__xludf.DUMMYFUNCTION("""COMPUTED_VALUE"""),"")</f>
        <v/>
      </c>
    </row>
    <row r="1714">
      <c r="G1714" s="16" t="str">
        <f>IFERROR(__xludf.DUMMYFUNCTION("""COMPUTED_VALUE"""),"")</f>
        <v/>
      </c>
    </row>
    <row r="1715">
      <c r="G1715" s="16" t="str">
        <f>IFERROR(__xludf.DUMMYFUNCTION("""COMPUTED_VALUE"""),"")</f>
        <v/>
      </c>
    </row>
    <row r="1716">
      <c r="G1716" s="16" t="str">
        <f>IFERROR(__xludf.DUMMYFUNCTION("""COMPUTED_VALUE"""),"")</f>
        <v/>
      </c>
    </row>
    <row r="1717">
      <c r="G1717" s="16" t="str">
        <f>IFERROR(__xludf.DUMMYFUNCTION("""COMPUTED_VALUE"""),"")</f>
        <v/>
      </c>
    </row>
    <row r="1718">
      <c r="G1718" s="16" t="str">
        <f>IFERROR(__xludf.DUMMYFUNCTION("""COMPUTED_VALUE"""),"")</f>
        <v/>
      </c>
    </row>
    <row r="1719">
      <c r="G1719" s="16" t="str">
        <f>IFERROR(__xludf.DUMMYFUNCTION("""COMPUTED_VALUE"""),"")</f>
        <v/>
      </c>
    </row>
    <row r="1720">
      <c r="G1720" s="16" t="str">
        <f>IFERROR(__xludf.DUMMYFUNCTION("""COMPUTED_VALUE"""),"")</f>
        <v/>
      </c>
    </row>
    <row r="1721">
      <c r="G1721" s="16" t="str">
        <f>IFERROR(__xludf.DUMMYFUNCTION("""COMPUTED_VALUE"""),"")</f>
        <v/>
      </c>
    </row>
    <row r="1722">
      <c r="G1722" s="16" t="str">
        <f>IFERROR(__xludf.DUMMYFUNCTION("""COMPUTED_VALUE"""),"")</f>
        <v/>
      </c>
    </row>
    <row r="1723">
      <c r="G1723" s="16" t="str">
        <f>IFERROR(__xludf.DUMMYFUNCTION("""COMPUTED_VALUE"""),"")</f>
        <v/>
      </c>
    </row>
    <row r="1724">
      <c r="G1724" s="16" t="str">
        <f>IFERROR(__xludf.DUMMYFUNCTION("""COMPUTED_VALUE"""),"")</f>
        <v/>
      </c>
    </row>
    <row r="1725">
      <c r="G1725" s="16" t="str">
        <f>IFERROR(__xludf.DUMMYFUNCTION("""COMPUTED_VALUE"""),"")</f>
        <v/>
      </c>
    </row>
    <row r="1726">
      <c r="G1726" s="16" t="str">
        <f>IFERROR(__xludf.DUMMYFUNCTION("""COMPUTED_VALUE"""),"")</f>
        <v/>
      </c>
    </row>
    <row r="1727">
      <c r="G1727" s="16" t="str">
        <f>IFERROR(__xludf.DUMMYFUNCTION("""COMPUTED_VALUE"""),"")</f>
        <v/>
      </c>
    </row>
    <row r="1728">
      <c r="G1728" s="16" t="str">
        <f>IFERROR(__xludf.DUMMYFUNCTION("""COMPUTED_VALUE"""),"")</f>
        <v/>
      </c>
    </row>
    <row r="1729">
      <c r="G1729" s="16" t="str">
        <f>IFERROR(__xludf.DUMMYFUNCTION("""COMPUTED_VALUE"""),"")</f>
        <v/>
      </c>
    </row>
    <row r="1730">
      <c r="G1730" s="16" t="str">
        <f>IFERROR(__xludf.DUMMYFUNCTION("""COMPUTED_VALUE"""),"")</f>
        <v/>
      </c>
    </row>
    <row r="1731">
      <c r="G1731" s="16" t="str">
        <f>IFERROR(__xludf.DUMMYFUNCTION("""COMPUTED_VALUE"""),"")</f>
        <v/>
      </c>
    </row>
    <row r="1732">
      <c r="G1732" s="16" t="str">
        <f>IFERROR(__xludf.DUMMYFUNCTION("""COMPUTED_VALUE"""),"")</f>
        <v/>
      </c>
    </row>
    <row r="1733">
      <c r="G1733" s="16" t="str">
        <f>IFERROR(__xludf.DUMMYFUNCTION("""COMPUTED_VALUE"""),"")</f>
        <v/>
      </c>
    </row>
    <row r="1734">
      <c r="G1734" s="16" t="str">
        <f>IFERROR(__xludf.DUMMYFUNCTION("""COMPUTED_VALUE"""),"")</f>
        <v/>
      </c>
    </row>
    <row r="1735">
      <c r="G1735" s="16" t="str">
        <f>IFERROR(__xludf.DUMMYFUNCTION("""COMPUTED_VALUE"""),"")</f>
        <v/>
      </c>
    </row>
    <row r="1736">
      <c r="G1736" s="16" t="str">
        <f>IFERROR(__xludf.DUMMYFUNCTION("""COMPUTED_VALUE"""),"")</f>
        <v/>
      </c>
    </row>
    <row r="1737">
      <c r="G1737" s="16" t="str">
        <f>IFERROR(__xludf.DUMMYFUNCTION("""COMPUTED_VALUE"""),"")</f>
        <v/>
      </c>
    </row>
    <row r="1738">
      <c r="G1738" s="16" t="str">
        <f>IFERROR(__xludf.DUMMYFUNCTION("""COMPUTED_VALUE"""),"")</f>
        <v/>
      </c>
    </row>
    <row r="1739">
      <c r="G1739" s="16" t="str">
        <f>IFERROR(__xludf.DUMMYFUNCTION("""COMPUTED_VALUE"""),"")</f>
        <v/>
      </c>
    </row>
    <row r="1740">
      <c r="G1740" s="16" t="str">
        <f>IFERROR(__xludf.DUMMYFUNCTION("""COMPUTED_VALUE"""),"")</f>
        <v/>
      </c>
    </row>
    <row r="1741">
      <c r="G1741" s="16" t="str">
        <f>IFERROR(__xludf.DUMMYFUNCTION("""COMPUTED_VALUE"""),"")</f>
        <v/>
      </c>
    </row>
    <row r="1742">
      <c r="G1742" s="16" t="str">
        <f>IFERROR(__xludf.DUMMYFUNCTION("""COMPUTED_VALUE"""),"")</f>
        <v/>
      </c>
    </row>
    <row r="1743">
      <c r="G1743" s="16" t="str">
        <f>IFERROR(__xludf.DUMMYFUNCTION("""COMPUTED_VALUE"""),"")</f>
        <v/>
      </c>
    </row>
    <row r="1744">
      <c r="G1744" s="16" t="str">
        <f>IFERROR(__xludf.DUMMYFUNCTION("""COMPUTED_VALUE"""),"")</f>
        <v/>
      </c>
    </row>
    <row r="1745">
      <c r="G1745" s="16" t="str">
        <f>IFERROR(__xludf.DUMMYFUNCTION("""COMPUTED_VALUE"""),"")</f>
        <v/>
      </c>
    </row>
    <row r="1746">
      <c r="G1746" s="16" t="str">
        <f>IFERROR(__xludf.DUMMYFUNCTION("""COMPUTED_VALUE"""),"")</f>
        <v/>
      </c>
    </row>
    <row r="1747">
      <c r="G1747" s="16" t="str">
        <f>IFERROR(__xludf.DUMMYFUNCTION("""COMPUTED_VALUE"""),"")</f>
        <v/>
      </c>
    </row>
    <row r="1748">
      <c r="G1748" s="16" t="str">
        <f>IFERROR(__xludf.DUMMYFUNCTION("""COMPUTED_VALUE"""),"")</f>
        <v/>
      </c>
    </row>
    <row r="1749">
      <c r="G1749" s="16" t="str">
        <f>IFERROR(__xludf.DUMMYFUNCTION("""COMPUTED_VALUE"""),"")</f>
        <v/>
      </c>
    </row>
    <row r="1750">
      <c r="G1750" s="16" t="str">
        <f>IFERROR(__xludf.DUMMYFUNCTION("""COMPUTED_VALUE"""),"")</f>
        <v/>
      </c>
    </row>
    <row r="1751">
      <c r="G1751" s="16" t="str">
        <f>IFERROR(__xludf.DUMMYFUNCTION("""COMPUTED_VALUE"""),"")</f>
        <v/>
      </c>
    </row>
    <row r="1752">
      <c r="G1752" s="16" t="str">
        <f>IFERROR(__xludf.DUMMYFUNCTION("""COMPUTED_VALUE"""),"")</f>
        <v/>
      </c>
    </row>
    <row r="1753">
      <c r="G1753" s="16" t="str">
        <f>IFERROR(__xludf.DUMMYFUNCTION("""COMPUTED_VALUE"""),"")</f>
        <v/>
      </c>
    </row>
    <row r="1754">
      <c r="G1754" s="16" t="str">
        <f>IFERROR(__xludf.DUMMYFUNCTION("""COMPUTED_VALUE"""),"")</f>
        <v/>
      </c>
    </row>
    <row r="1755">
      <c r="G1755" s="16" t="str">
        <f>IFERROR(__xludf.DUMMYFUNCTION("""COMPUTED_VALUE"""),"")</f>
        <v/>
      </c>
    </row>
    <row r="1756">
      <c r="G1756" s="16" t="str">
        <f>IFERROR(__xludf.DUMMYFUNCTION("""COMPUTED_VALUE"""),"")</f>
        <v/>
      </c>
    </row>
    <row r="1757">
      <c r="G1757" s="16" t="str">
        <f>IFERROR(__xludf.DUMMYFUNCTION("""COMPUTED_VALUE"""),"")</f>
        <v/>
      </c>
    </row>
    <row r="1758">
      <c r="G1758" s="16" t="str">
        <f>IFERROR(__xludf.DUMMYFUNCTION("""COMPUTED_VALUE"""),"")</f>
        <v/>
      </c>
    </row>
    <row r="1759">
      <c r="G1759" s="16" t="str">
        <f>IFERROR(__xludf.DUMMYFUNCTION("""COMPUTED_VALUE"""),"")</f>
        <v/>
      </c>
    </row>
    <row r="1760">
      <c r="G1760" s="16" t="str">
        <f>IFERROR(__xludf.DUMMYFUNCTION("""COMPUTED_VALUE"""),"")</f>
        <v/>
      </c>
    </row>
    <row r="1761">
      <c r="G1761" s="16" t="str">
        <f>IFERROR(__xludf.DUMMYFUNCTION("""COMPUTED_VALUE"""),"")</f>
        <v/>
      </c>
    </row>
    <row r="1762">
      <c r="G1762" s="16" t="str">
        <f>IFERROR(__xludf.DUMMYFUNCTION("""COMPUTED_VALUE"""),"")</f>
        <v/>
      </c>
    </row>
    <row r="1763">
      <c r="G1763" s="16" t="str">
        <f>IFERROR(__xludf.DUMMYFUNCTION("""COMPUTED_VALUE"""),"")</f>
        <v/>
      </c>
    </row>
    <row r="1764">
      <c r="G1764" s="16" t="str">
        <f>IFERROR(__xludf.DUMMYFUNCTION("""COMPUTED_VALUE"""),"")</f>
        <v/>
      </c>
    </row>
    <row r="1765">
      <c r="G1765" s="16" t="str">
        <f>IFERROR(__xludf.DUMMYFUNCTION("""COMPUTED_VALUE"""),"")</f>
        <v/>
      </c>
    </row>
    <row r="1766">
      <c r="G1766" s="16" t="str">
        <f>IFERROR(__xludf.DUMMYFUNCTION("""COMPUTED_VALUE"""),"")</f>
        <v/>
      </c>
    </row>
    <row r="1767">
      <c r="G1767" s="16" t="str">
        <f>IFERROR(__xludf.DUMMYFUNCTION("""COMPUTED_VALUE"""),"")</f>
        <v/>
      </c>
    </row>
    <row r="1768">
      <c r="G1768" s="16" t="str">
        <f>IFERROR(__xludf.DUMMYFUNCTION("""COMPUTED_VALUE"""),"")</f>
        <v/>
      </c>
    </row>
    <row r="1769">
      <c r="G1769" s="16" t="str">
        <f>IFERROR(__xludf.DUMMYFUNCTION("""COMPUTED_VALUE"""),"")</f>
        <v/>
      </c>
    </row>
    <row r="1770">
      <c r="G1770" s="16" t="str">
        <f>IFERROR(__xludf.DUMMYFUNCTION("""COMPUTED_VALUE"""),"")</f>
        <v/>
      </c>
    </row>
    <row r="1771">
      <c r="G1771" s="16" t="str">
        <f>IFERROR(__xludf.DUMMYFUNCTION("""COMPUTED_VALUE"""),"")</f>
        <v/>
      </c>
    </row>
    <row r="1772">
      <c r="G1772" s="16" t="str">
        <f>IFERROR(__xludf.DUMMYFUNCTION("""COMPUTED_VALUE"""),"")</f>
        <v/>
      </c>
    </row>
    <row r="1773">
      <c r="G1773" s="16" t="str">
        <f>IFERROR(__xludf.DUMMYFUNCTION("""COMPUTED_VALUE"""),"")</f>
        <v/>
      </c>
    </row>
    <row r="1774">
      <c r="G1774" s="16" t="str">
        <f>IFERROR(__xludf.DUMMYFUNCTION("""COMPUTED_VALUE"""),"")</f>
        <v/>
      </c>
    </row>
    <row r="1775">
      <c r="G1775" s="16" t="str">
        <f>IFERROR(__xludf.DUMMYFUNCTION("""COMPUTED_VALUE"""),"")</f>
        <v/>
      </c>
    </row>
    <row r="1776">
      <c r="G1776" s="16" t="str">
        <f>IFERROR(__xludf.DUMMYFUNCTION("""COMPUTED_VALUE"""),"")</f>
        <v/>
      </c>
    </row>
    <row r="1777">
      <c r="G1777" s="16" t="str">
        <f>IFERROR(__xludf.DUMMYFUNCTION("""COMPUTED_VALUE"""),"")</f>
        <v/>
      </c>
    </row>
    <row r="1778">
      <c r="G1778" s="16" t="str">
        <f>IFERROR(__xludf.DUMMYFUNCTION("""COMPUTED_VALUE"""),"")</f>
        <v/>
      </c>
    </row>
    <row r="1779">
      <c r="G1779" s="16" t="str">
        <f>IFERROR(__xludf.DUMMYFUNCTION("""COMPUTED_VALUE"""),"")</f>
        <v/>
      </c>
    </row>
    <row r="1780">
      <c r="G1780" s="16" t="str">
        <f>IFERROR(__xludf.DUMMYFUNCTION("""COMPUTED_VALUE"""),"")</f>
        <v/>
      </c>
    </row>
    <row r="1781">
      <c r="G1781" s="16" t="str">
        <f>IFERROR(__xludf.DUMMYFUNCTION("""COMPUTED_VALUE"""),"")</f>
        <v/>
      </c>
    </row>
    <row r="1782">
      <c r="G1782" s="16" t="str">
        <f>IFERROR(__xludf.DUMMYFUNCTION("""COMPUTED_VALUE"""),"")</f>
        <v/>
      </c>
    </row>
    <row r="1783">
      <c r="G1783" s="16" t="str">
        <f>IFERROR(__xludf.DUMMYFUNCTION("""COMPUTED_VALUE"""),"")</f>
        <v/>
      </c>
    </row>
    <row r="1784">
      <c r="G1784" s="16" t="str">
        <f>IFERROR(__xludf.DUMMYFUNCTION("""COMPUTED_VALUE"""),"")</f>
        <v/>
      </c>
    </row>
    <row r="1785">
      <c r="G1785" s="16" t="str">
        <f>IFERROR(__xludf.DUMMYFUNCTION("""COMPUTED_VALUE"""),"")</f>
        <v/>
      </c>
    </row>
    <row r="1786">
      <c r="G1786" s="16" t="str">
        <f>IFERROR(__xludf.DUMMYFUNCTION("""COMPUTED_VALUE"""),"")</f>
        <v/>
      </c>
    </row>
    <row r="1787">
      <c r="G1787" s="16" t="str">
        <f>IFERROR(__xludf.DUMMYFUNCTION("""COMPUTED_VALUE"""),"")</f>
        <v/>
      </c>
    </row>
    <row r="1788">
      <c r="G1788" s="16" t="str">
        <f>IFERROR(__xludf.DUMMYFUNCTION("""COMPUTED_VALUE"""),"")</f>
        <v/>
      </c>
    </row>
    <row r="1789">
      <c r="G1789" s="16" t="str">
        <f>IFERROR(__xludf.DUMMYFUNCTION("""COMPUTED_VALUE"""),"")</f>
        <v/>
      </c>
    </row>
    <row r="1790">
      <c r="G1790" s="16" t="str">
        <f>IFERROR(__xludf.DUMMYFUNCTION("""COMPUTED_VALUE"""),"")</f>
        <v/>
      </c>
    </row>
    <row r="1791">
      <c r="G1791" s="16" t="str">
        <f>IFERROR(__xludf.DUMMYFUNCTION("""COMPUTED_VALUE"""),"")</f>
        <v/>
      </c>
    </row>
    <row r="1792">
      <c r="G1792" s="16" t="str">
        <f>IFERROR(__xludf.DUMMYFUNCTION("""COMPUTED_VALUE"""),"")</f>
        <v/>
      </c>
    </row>
    <row r="1793">
      <c r="G1793" s="16" t="str">
        <f>IFERROR(__xludf.DUMMYFUNCTION("""COMPUTED_VALUE"""),"")</f>
        <v/>
      </c>
    </row>
    <row r="1794">
      <c r="G1794" s="16" t="str">
        <f>IFERROR(__xludf.DUMMYFUNCTION("""COMPUTED_VALUE"""),"")</f>
        <v/>
      </c>
    </row>
    <row r="1795">
      <c r="G1795" s="16" t="str">
        <f>IFERROR(__xludf.DUMMYFUNCTION("""COMPUTED_VALUE"""),"")</f>
        <v/>
      </c>
    </row>
    <row r="1796">
      <c r="G1796" s="16" t="str">
        <f>IFERROR(__xludf.DUMMYFUNCTION("""COMPUTED_VALUE"""),"")</f>
        <v/>
      </c>
    </row>
    <row r="1797">
      <c r="G1797" s="16" t="str">
        <f>IFERROR(__xludf.DUMMYFUNCTION("""COMPUTED_VALUE"""),"")</f>
        <v/>
      </c>
    </row>
    <row r="1798">
      <c r="G1798" s="16" t="str">
        <f>IFERROR(__xludf.DUMMYFUNCTION("""COMPUTED_VALUE"""),"")</f>
        <v/>
      </c>
    </row>
    <row r="1799">
      <c r="G1799" s="16" t="str">
        <f>IFERROR(__xludf.DUMMYFUNCTION("""COMPUTED_VALUE"""),"")</f>
        <v/>
      </c>
    </row>
    <row r="1800">
      <c r="G1800" s="16" t="str">
        <f>IFERROR(__xludf.DUMMYFUNCTION("""COMPUTED_VALUE"""),"")</f>
        <v/>
      </c>
    </row>
    <row r="1801">
      <c r="G1801" s="16" t="str">
        <f>IFERROR(__xludf.DUMMYFUNCTION("""COMPUTED_VALUE"""),"")</f>
        <v/>
      </c>
    </row>
    <row r="1802">
      <c r="G1802" s="16" t="str">
        <f>IFERROR(__xludf.DUMMYFUNCTION("""COMPUTED_VALUE"""),"")</f>
        <v/>
      </c>
    </row>
    <row r="1803">
      <c r="G1803" s="16" t="str">
        <f>IFERROR(__xludf.DUMMYFUNCTION("""COMPUTED_VALUE"""),"")</f>
        <v/>
      </c>
    </row>
    <row r="1804">
      <c r="G1804" s="16" t="str">
        <f>IFERROR(__xludf.DUMMYFUNCTION("""COMPUTED_VALUE"""),"")</f>
        <v/>
      </c>
    </row>
    <row r="1805">
      <c r="G1805" s="16" t="str">
        <f>IFERROR(__xludf.DUMMYFUNCTION("""COMPUTED_VALUE"""),"")</f>
        <v/>
      </c>
    </row>
    <row r="1806">
      <c r="G1806" s="16" t="str">
        <f>IFERROR(__xludf.DUMMYFUNCTION("""COMPUTED_VALUE"""),"")</f>
        <v/>
      </c>
    </row>
    <row r="1807">
      <c r="G1807" s="16" t="str">
        <f>IFERROR(__xludf.DUMMYFUNCTION("""COMPUTED_VALUE"""),"")</f>
        <v/>
      </c>
    </row>
    <row r="1808">
      <c r="G1808" s="16" t="str">
        <f>IFERROR(__xludf.DUMMYFUNCTION("""COMPUTED_VALUE"""),"")</f>
        <v/>
      </c>
    </row>
    <row r="1809">
      <c r="G1809" s="16" t="str">
        <f>IFERROR(__xludf.DUMMYFUNCTION("""COMPUTED_VALUE"""),"")</f>
        <v/>
      </c>
    </row>
    <row r="1810">
      <c r="G1810" s="16" t="str">
        <f>IFERROR(__xludf.DUMMYFUNCTION("""COMPUTED_VALUE"""),"")</f>
        <v/>
      </c>
    </row>
    <row r="1811">
      <c r="G1811" s="16" t="str">
        <f>IFERROR(__xludf.DUMMYFUNCTION("""COMPUTED_VALUE"""),"")</f>
        <v/>
      </c>
    </row>
    <row r="1812">
      <c r="G1812" s="16" t="str">
        <f>IFERROR(__xludf.DUMMYFUNCTION("""COMPUTED_VALUE"""),"")</f>
        <v/>
      </c>
    </row>
    <row r="1813">
      <c r="G1813" s="16" t="str">
        <f>IFERROR(__xludf.DUMMYFUNCTION("""COMPUTED_VALUE"""),"")</f>
        <v/>
      </c>
    </row>
    <row r="1814">
      <c r="G1814" s="16" t="str">
        <f>IFERROR(__xludf.DUMMYFUNCTION("""COMPUTED_VALUE"""),"")</f>
        <v/>
      </c>
    </row>
    <row r="1815">
      <c r="G1815" s="16" t="str">
        <f>IFERROR(__xludf.DUMMYFUNCTION("""COMPUTED_VALUE"""),"")</f>
        <v/>
      </c>
    </row>
    <row r="1816">
      <c r="G1816" s="16" t="str">
        <f>IFERROR(__xludf.DUMMYFUNCTION("""COMPUTED_VALUE"""),"")</f>
        <v/>
      </c>
    </row>
    <row r="1817">
      <c r="G1817" s="16" t="str">
        <f>IFERROR(__xludf.DUMMYFUNCTION("""COMPUTED_VALUE"""),"")</f>
        <v/>
      </c>
    </row>
    <row r="1818">
      <c r="G1818" s="16" t="str">
        <f>IFERROR(__xludf.DUMMYFUNCTION("""COMPUTED_VALUE"""),"")</f>
        <v/>
      </c>
    </row>
    <row r="1819">
      <c r="G1819" s="16" t="str">
        <f>IFERROR(__xludf.DUMMYFUNCTION("""COMPUTED_VALUE"""),"")</f>
        <v/>
      </c>
    </row>
    <row r="1820">
      <c r="G1820" s="16" t="str">
        <f>IFERROR(__xludf.DUMMYFUNCTION("""COMPUTED_VALUE"""),"")</f>
        <v/>
      </c>
    </row>
    <row r="1821">
      <c r="G1821" s="16" t="str">
        <f>IFERROR(__xludf.DUMMYFUNCTION("""COMPUTED_VALUE"""),"")</f>
        <v/>
      </c>
    </row>
    <row r="1822">
      <c r="G1822" s="16" t="str">
        <f>IFERROR(__xludf.DUMMYFUNCTION("""COMPUTED_VALUE"""),"")</f>
        <v/>
      </c>
    </row>
    <row r="1823">
      <c r="G1823" s="16" t="str">
        <f>IFERROR(__xludf.DUMMYFUNCTION("""COMPUTED_VALUE"""),"")</f>
        <v/>
      </c>
    </row>
    <row r="1824">
      <c r="G1824" s="16" t="str">
        <f>IFERROR(__xludf.DUMMYFUNCTION("""COMPUTED_VALUE"""),"")</f>
        <v/>
      </c>
    </row>
    <row r="1825">
      <c r="G1825" s="16" t="str">
        <f>IFERROR(__xludf.DUMMYFUNCTION("""COMPUTED_VALUE"""),"")</f>
        <v/>
      </c>
    </row>
    <row r="1826">
      <c r="G1826" s="16" t="str">
        <f>IFERROR(__xludf.DUMMYFUNCTION("""COMPUTED_VALUE"""),"")</f>
        <v/>
      </c>
    </row>
    <row r="1827">
      <c r="G1827" s="16" t="str">
        <f>IFERROR(__xludf.DUMMYFUNCTION("""COMPUTED_VALUE"""),"")</f>
        <v/>
      </c>
    </row>
    <row r="1828">
      <c r="G1828" s="16" t="str">
        <f>IFERROR(__xludf.DUMMYFUNCTION("""COMPUTED_VALUE"""),"")</f>
        <v/>
      </c>
    </row>
    <row r="1829">
      <c r="G1829" s="16" t="str">
        <f>IFERROR(__xludf.DUMMYFUNCTION("""COMPUTED_VALUE"""),"")</f>
        <v/>
      </c>
    </row>
    <row r="1830">
      <c r="G1830" s="16" t="str">
        <f>IFERROR(__xludf.DUMMYFUNCTION("""COMPUTED_VALUE"""),"")</f>
        <v/>
      </c>
    </row>
    <row r="1831">
      <c r="G1831" s="16" t="str">
        <f>IFERROR(__xludf.DUMMYFUNCTION("""COMPUTED_VALUE"""),"")</f>
        <v/>
      </c>
    </row>
    <row r="1832">
      <c r="G1832" s="16" t="str">
        <f>IFERROR(__xludf.DUMMYFUNCTION("""COMPUTED_VALUE"""),"")</f>
        <v/>
      </c>
    </row>
    <row r="1833">
      <c r="G1833" s="16" t="str">
        <f>IFERROR(__xludf.DUMMYFUNCTION("""COMPUTED_VALUE"""),"")</f>
        <v/>
      </c>
    </row>
    <row r="1834">
      <c r="G1834" s="16" t="str">
        <f>IFERROR(__xludf.DUMMYFUNCTION("""COMPUTED_VALUE"""),"")</f>
        <v/>
      </c>
    </row>
    <row r="1835">
      <c r="G1835" s="16" t="str">
        <f>IFERROR(__xludf.DUMMYFUNCTION("""COMPUTED_VALUE"""),"")</f>
        <v/>
      </c>
    </row>
    <row r="1836">
      <c r="G1836" s="16" t="str">
        <f>IFERROR(__xludf.DUMMYFUNCTION("""COMPUTED_VALUE"""),"")</f>
        <v/>
      </c>
    </row>
    <row r="1837">
      <c r="G1837" s="16" t="str">
        <f>IFERROR(__xludf.DUMMYFUNCTION("""COMPUTED_VALUE"""),"")</f>
        <v/>
      </c>
    </row>
    <row r="1838">
      <c r="G1838" s="16" t="str">
        <f>IFERROR(__xludf.DUMMYFUNCTION("""COMPUTED_VALUE"""),"")</f>
        <v/>
      </c>
    </row>
    <row r="1839">
      <c r="G1839" s="16" t="str">
        <f>IFERROR(__xludf.DUMMYFUNCTION("""COMPUTED_VALUE"""),"")</f>
        <v/>
      </c>
    </row>
    <row r="1840">
      <c r="G1840" s="16" t="str">
        <f>IFERROR(__xludf.DUMMYFUNCTION("""COMPUTED_VALUE"""),"")</f>
        <v/>
      </c>
    </row>
    <row r="1841">
      <c r="G1841" s="16" t="str">
        <f>IFERROR(__xludf.DUMMYFUNCTION("""COMPUTED_VALUE"""),"")</f>
        <v/>
      </c>
    </row>
    <row r="1842">
      <c r="G1842" s="16" t="str">
        <f>IFERROR(__xludf.DUMMYFUNCTION("""COMPUTED_VALUE"""),"")</f>
        <v/>
      </c>
    </row>
    <row r="1843">
      <c r="G1843" s="16" t="str">
        <f>IFERROR(__xludf.DUMMYFUNCTION("""COMPUTED_VALUE"""),"")</f>
        <v/>
      </c>
    </row>
    <row r="1844">
      <c r="G1844" s="16" t="str">
        <f>IFERROR(__xludf.DUMMYFUNCTION("""COMPUTED_VALUE"""),"")</f>
        <v/>
      </c>
    </row>
    <row r="1845">
      <c r="G1845" s="16" t="str">
        <f>IFERROR(__xludf.DUMMYFUNCTION("""COMPUTED_VALUE"""),"")</f>
        <v/>
      </c>
    </row>
    <row r="1846">
      <c r="G1846" s="16" t="str">
        <f>IFERROR(__xludf.DUMMYFUNCTION("""COMPUTED_VALUE"""),"")</f>
        <v/>
      </c>
    </row>
    <row r="1847">
      <c r="G1847" s="16" t="str">
        <f>IFERROR(__xludf.DUMMYFUNCTION("""COMPUTED_VALUE"""),"")</f>
        <v/>
      </c>
    </row>
    <row r="1848">
      <c r="G1848" s="16" t="str">
        <f>IFERROR(__xludf.DUMMYFUNCTION("""COMPUTED_VALUE"""),"")</f>
        <v/>
      </c>
    </row>
    <row r="1849">
      <c r="G1849" s="16" t="str">
        <f>IFERROR(__xludf.DUMMYFUNCTION("""COMPUTED_VALUE"""),"")</f>
        <v/>
      </c>
    </row>
    <row r="1850">
      <c r="G1850" s="16" t="str">
        <f>IFERROR(__xludf.DUMMYFUNCTION("""COMPUTED_VALUE"""),"")</f>
        <v/>
      </c>
    </row>
    <row r="1851">
      <c r="G1851" s="16" t="str">
        <f>IFERROR(__xludf.DUMMYFUNCTION("""COMPUTED_VALUE"""),"")</f>
        <v/>
      </c>
    </row>
    <row r="1852">
      <c r="G1852" s="16" t="str">
        <f>IFERROR(__xludf.DUMMYFUNCTION("""COMPUTED_VALUE"""),"")</f>
        <v/>
      </c>
    </row>
    <row r="1853">
      <c r="G1853" s="16" t="str">
        <f>IFERROR(__xludf.DUMMYFUNCTION("""COMPUTED_VALUE"""),"")</f>
        <v/>
      </c>
    </row>
    <row r="1854">
      <c r="G1854" s="16" t="str">
        <f>IFERROR(__xludf.DUMMYFUNCTION("""COMPUTED_VALUE"""),"")</f>
        <v/>
      </c>
    </row>
    <row r="1855">
      <c r="G1855" s="16" t="str">
        <f>IFERROR(__xludf.DUMMYFUNCTION("""COMPUTED_VALUE"""),"")</f>
        <v/>
      </c>
    </row>
    <row r="1856">
      <c r="G1856" s="16" t="str">
        <f>IFERROR(__xludf.DUMMYFUNCTION("""COMPUTED_VALUE"""),"")</f>
        <v/>
      </c>
    </row>
    <row r="1857">
      <c r="G1857" s="16" t="str">
        <f>IFERROR(__xludf.DUMMYFUNCTION("""COMPUTED_VALUE"""),"")</f>
        <v/>
      </c>
    </row>
    <row r="1858">
      <c r="G1858" s="16" t="str">
        <f>IFERROR(__xludf.DUMMYFUNCTION("""COMPUTED_VALUE"""),"")</f>
        <v/>
      </c>
    </row>
    <row r="1859">
      <c r="G1859" s="16" t="str">
        <f>IFERROR(__xludf.DUMMYFUNCTION("""COMPUTED_VALUE"""),"")</f>
        <v/>
      </c>
    </row>
    <row r="1860">
      <c r="G1860" s="16" t="str">
        <f>IFERROR(__xludf.DUMMYFUNCTION("""COMPUTED_VALUE"""),"")</f>
        <v/>
      </c>
    </row>
    <row r="1861">
      <c r="G1861" s="16" t="str">
        <f>IFERROR(__xludf.DUMMYFUNCTION("""COMPUTED_VALUE"""),"")</f>
        <v/>
      </c>
    </row>
    <row r="1862">
      <c r="G1862" s="16" t="str">
        <f>IFERROR(__xludf.DUMMYFUNCTION("""COMPUTED_VALUE"""),"")</f>
        <v/>
      </c>
    </row>
    <row r="1863">
      <c r="G1863" s="16" t="str">
        <f>IFERROR(__xludf.DUMMYFUNCTION("""COMPUTED_VALUE"""),"")</f>
        <v/>
      </c>
    </row>
    <row r="1864">
      <c r="G1864" s="16" t="str">
        <f>IFERROR(__xludf.DUMMYFUNCTION("""COMPUTED_VALUE"""),"")</f>
        <v/>
      </c>
    </row>
    <row r="1865">
      <c r="G1865" s="16" t="str">
        <f>IFERROR(__xludf.DUMMYFUNCTION("""COMPUTED_VALUE"""),"")</f>
        <v/>
      </c>
    </row>
    <row r="1866">
      <c r="G1866" s="16" t="str">
        <f>IFERROR(__xludf.DUMMYFUNCTION("""COMPUTED_VALUE"""),"")</f>
        <v/>
      </c>
    </row>
    <row r="1867">
      <c r="G1867" s="16" t="str">
        <f>IFERROR(__xludf.DUMMYFUNCTION("""COMPUTED_VALUE"""),"")</f>
        <v/>
      </c>
    </row>
    <row r="1868">
      <c r="G1868" s="16" t="str">
        <f>IFERROR(__xludf.DUMMYFUNCTION("""COMPUTED_VALUE"""),"")</f>
        <v/>
      </c>
    </row>
    <row r="1869">
      <c r="G1869" s="16" t="str">
        <f>IFERROR(__xludf.DUMMYFUNCTION("""COMPUTED_VALUE"""),"")</f>
        <v/>
      </c>
    </row>
    <row r="1870">
      <c r="G1870" s="16" t="str">
        <f>IFERROR(__xludf.DUMMYFUNCTION("""COMPUTED_VALUE"""),"")</f>
        <v/>
      </c>
    </row>
    <row r="1871">
      <c r="G1871" s="16" t="str">
        <f>IFERROR(__xludf.DUMMYFUNCTION("""COMPUTED_VALUE"""),"")</f>
        <v/>
      </c>
    </row>
    <row r="1872">
      <c r="G1872" s="16" t="str">
        <f>IFERROR(__xludf.DUMMYFUNCTION("""COMPUTED_VALUE"""),"")</f>
        <v/>
      </c>
    </row>
    <row r="1873">
      <c r="G1873" s="16" t="str">
        <f>IFERROR(__xludf.DUMMYFUNCTION("""COMPUTED_VALUE"""),"")</f>
        <v/>
      </c>
    </row>
    <row r="1874">
      <c r="G1874" s="16" t="str">
        <f>IFERROR(__xludf.DUMMYFUNCTION("""COMPUTED_VALUE"""),"")</f>
        <v/>
      </c>
    </row>
    <row r="1875">
      <c r="G1875" s="16" t="str">
        <f>IFERROR(__xludf.DUMMYFUNCTION("""COMPUTED_VALUE"""),"")</f>
        <v/>
      </c>
    </row>
    <row r="1876">
      <c r="G1876" s="16" t="str">
        <f>IFERROR(__xludf.DUMMYFUNCTION("""COMPUTED_VALUE"""),"")</f>
        <v/>
      </c>
    </row>
    <row r="1877">
      <c r="G1877" s="16" t="str">
        <f>IFERROR(__xludf.DUMMYFUNCTION("""COMPUTED_VALUE"""),"")</f>
        <v/>
      </c>
    </row>
    <row r="1878">
      <c r="G1878" s="16" t="str">
        <f>IFERROR(__xludf.DUMMYFUNCTION("""COMPUTED_VALUE"""),"")</f>
        <v/>
      </c>
    </row>
    <row r="1879">
      <c r="G1879" s="16" t="str">
        <f>IFERROR(__xludf.DUMMYFUNCTION("""COMPUTED_VALUE"""),"")</f>
        <v/>
      </c>
    </row>
    <row r="1880">
      <c r="G1880" s="16" t="str">
        <f>IFERROR(__xludf.DUMMYFUNCTION("""COMPUTED_VALUE"""),"")</f>
        <v/>
      </c>
    </row>
    <row r="1881">
      <c r="G1881" s="16" t="str">
        <f>IFERROR(__xludf.DUMMYFUNCTION("""COMPUTED_VALUE"""),"")</f>
        <v/>
      </c>
    </row>
    <row r="1882">
      <c r="G1882" s="16" t="str">
        <f>IFERROR(__xludf.DUMMYFUNCTION("""COMPUTED_VALUE"""),"")</f>
        <v/>
      </c>
    </row>
    <row r="1883">
      <c r="G1883" s="16" t="str">
        <f>IFERROR(__xludf.DUMMYFUNCTION("""COMPUTED_VALUE"""),"")</f>
        <v/>
      </c>
    </row>
    <row r="1884">
      <c r="G1884" s="16" t="str">
        <f>IFERROR(__xludf.DUMMYFUNCTION("""COMPUTED_VALUE"""),"")</f>
        <v/>
      </c>
    </row>
    <row r="1885">
      <c r="G1885" s="16" t="str">
        <f>IFERROR(__xludf.DUMMYFUNCTION("""COMPUTED_VALUE"""),"")</f>
        <v/>
      </c>
    </row>
    <row r="1886">
      <c r="G1886" s="16" t="str">
        <f>IFERROR(__xludf.DUMMYFUNCTION("""COMPUTED_VALUE"""),"")</f>
        <v/>
      </c>
    </row>
    <row r="1887">
      <c r="G1887" s="16" t="str">
        <f>IFERROR(__xludf.DUMMYFUNCTION("""COMPUTED_VALUE"""),"")</f>
        <v/>
      </c>
    </row>
    <row r="1888">
      <c r="G1888" s="16" t="str">
        <f>IFERROR(__xludf.DUMMYFUNCTION("""COMPUTED_VALUE"""),"")</f>
        <v/>
      </c>
    </row>
    <row r="1889">
      <c r="G1889" s="16" t="str">
        <f>IFERROR(__xludf.DUMMYFUNCTION("""COMPUTED_VALUE"""),"")</f>
        <v/>
      </c>
    </row>
    <row r="1890">
      <c r="G1890" s="16" t="str">
        <f>IFERROR(__xludf.DUMMYFUNCTION("""COMPUTED_VALUE"""),"")</f>
        <v/>
      </c>
    </row>
    <row r="1891">
      <c r="G1891" s="16" t="str">
        <f>IFERROR(__xludf.DUMMYFUNCTION("""COMPUTED_VALUE"""),"")</f>
        <v/>
      </c>
    </row>
    <row r="1892">
      <c r="G1892" s="16" t="str">
        <f>IFERROR(__xludf.DUMMYFUNCTION("""COMPUTED_VALUE"""),"")</f>
        <v/>
      </c>
    </row>
    <row r="1893">
      <c r="G1893" s="16" t="str">
        <f>IFERROR(__xludf.DUMMYFUNCTION("""COMPUTED_VALUE"""),"")</f>
        <v/>
      </c>
    </row>
    <row r="1894">
      <c r="G1894" s="16" t="str">
        <f>IFERROR(__xludf.DUMMYFUNCTION("""COMPUTED_VALUE"""),"")</f>
        <v/>
      </c>
    </row>
    <row r="1895">
      <c r="G1895" s="16" t="str">
        <f>IFERROR(__xludf.DUMMYFUNCTION("""COMPUTED_VALUE"""),"")</f>
        <v/>
      </c>
    </row>
    <row r="1896">
      <c r="G1896" s="16" t="str">
        <f>IFERROR(__xludf.DUMMYFUNCTION("""COMPUTED_VALUE"""),"")</f>
        <v/>
      </c>
    </row>
    <row r="1897">
      <c r="G1897" s="16" t="str">
        <f>IFERROR(__xludf.DUMMYFUNCTION("""COMPUTED_VALUE"""),"")</f>
        <v/>
      </c>
    </row>
    <row r="1898">
      <c r="G1898" s="16" t="str">
        <f>IFERROR(__xludf.DUMMYFUNCTION("""COMPUTED_VALUE"""),"")</f>
        <v/>
      </c>
    </row>
    <row r="1899">
      <c r="G1899" s="16" t="str">
        <f>IFERROR(__xludf.DUMMYFUNCTION("""COMPUTED_VALUE"""),"")</f>
        <v/>
      </c>
    </row>
    <row r="1900">
      <c r="G1900" s="16" t="str">
        <f>IFERROR(__xludf.DUMMYFUNCTION("""COMPUTED_VALUE"""),"")</f>
        <v/>
      </c>
    </row>
    <row r="1901">
      <c r="G1901" s="16" t="str">
        <f>IFERROR(__xludf.DUMMYFUNCTION("""COMPUTED_VALUE"""),"")</f>
        <v/>
      </c>
    </row>
    <row r="1902">
      <c r="G1902" s="16" t="str">
        <f>IFERROR(__xludf.DUMMYFUNCTION("""COMPUTED_VALUE"""),"")</f>
        <v/>
      </c>
    </row>
    <row r="1903">
      <c r="G1903" s="16" t="str">
        <f>IFERROR(__xludf.DUMMYFUNCTION("""COMPUTED_VALUE"""),"")</f>
        <v/>
      </c>
    </row>
    <row r="1904">
      <c r="G1904" s="16" t="str">
        <f>IFERROR(__xludf.DUMMYFUNCTION("""COMPUTED_VALUE"""),"")</f>
        <v/>
      </c>
    </row>
    <row r="1905">
      <c r="G1905" s="16" t="str">
        <f>IFERROR(__xludf.DUMMYFUNCTION("""COMPUTED_VALUE"""),"")</f>
        <v/>
      </c>
    </row>
    <row r="1906">
      <c r="G1906" s="16" t="str">
        <f>IFERROR(__xludf.DUMMYFUNCTION("""COMPUTED_VALUE"""),"")</f>
        <v/>
      </c>
    </row>
    <row r="1907">
      <c r="G1907" s="16" t="str">
        <f>IFERROR(__xludf.DUMMYFUNCTION("""COMPUTED_VALUE"""),"")</f>
        <v/>
      </c>
    </row>
    <row r="1908">
      <c r="G1908" s="16" t="str">
        <f>IFERROR(__xludf.DUMMYFUNCTION("""COMPUTED_VALUE"""),"")</f>
        <v/>
      </c>
    </row>
    <row r="1909">
      <c r="G1909" s="16" t="str">
        <f>IFERROR(__xludf.DUMMYFUNCTION("""COMPUTED_VALUE"""),"")</f>
        <v/>
      </c>
    </row>
    <row r="1910">
      <c r="G1910" s="16" t="str">
        <f>IFERROR(__xludf.DUMMYFUNCTION("""COMPUTED_VALUE"""),"")</f>
        <v/>
      </c>
    </row>
    <row r="1911">
      <c r="G1911" s="16" t="str">
        <f>IFERROR(__xludf.DUMMYFUNCTION("""COMPUTED_VALUE"""),"")</f>
        <v/>
      </c>
    </row>
    <row r="1912">
      <c r="G1912" s="16" t="str">
        <f>IFERROR(__xludf.DUMMYFUNCTION("""COMPUTED_VALUE"""),"")</f>
        <v/>
      </c>
    </row>
    <row r="1913">
      <c r="G1913" s="16" t="str">
        <f>IFERROR(__xludf.DUMMYFUNCTION("""COMPUTED_VALUE"""),"")</f>
        <v/>
      </c>
    </row>
    <row r="1914">
      <c r="G1914" s="16" t="str">
        <f>IFERROR(__xludf.DUMMYFUNCTION("""COMPUTED_VALUE"""),"")</f>
        <v/>
      </c>
    </row>
    <row r="1915">
      <c r="G1915" s="16" t="str">
        <f>IFERROR(__xludf.DUMMYFUNCTION("""COMPUTED_VALUE"""),"")</f>
        <v/>
      </c>
    </row>
    <row r="1916">
      <c r="G1916" s="16" t="str">
        <f>IFERROR(__xludf.DUMMYFUNCTION("""COMPUTED_VALUE"""),"")</f>
        <v/>
      </c>
    </row>
    <row r="1917">
      <c r="G1917" s="16" t="str">
        <f>IFERROR(__xludf.DUMMYFUNCTION("""COMPUTED_VALUE"""),"")</f>
        <v/>
      </c>
    </row>
    <row r="1918">
      <c r="G1918" s="16" t="str">
        <f>IFERROR(__xludf.DUMMYFUNCTION("""COMPUTED_VALUE"""),"")</f>
        <v/>
      </c>
    </row>
    <row r="1919">
      <c r="G1919" s="16" t="str">
        <f>IFERROR(__xludf.DUMMYFUNCTION("""COMPUTED_VALUE"""),"")</f>
        <v/>
      </c>
    </row>
    <row r="1920">
      <c r="G1920" s="16" t="str">
        <f>IFERROR(__xludf.DUMMYFUNCTION("""COMPUTED_VALUE"""),"")</f>
        <v/>
      </c>
    </row>
    <row r="1921">
      <c r="G1921" s="16" t="str">
        <f>IFERROR(__xludf.DUMMYFUNCTION("""COMPUTED_VALUE"""),"")</f>
        <v/>
      </c>
    </row>
    <row r="1922">
      <c r="G1922" s="16" t="str">
        <f>IFERROR(__xludf.DUMMYFUNCTION("""COMPUTED_VALUE"""),"")</f>
        <v/>
      </c>
    </row>
    <row r="1923">
      <c r="G1923" s="16" t="str">
        <f>IFERROR(__xludf.DUMMYFUNCTION("""COMPUTED_VALUE"""),"")</f>
        <v/>
      </c>
    </row>
    <row r="1924">
      <c r="G1924" s="16" t="str">
        <f>IFERROR(__xludf.DUMMYFUNCTION("""COMPUTED_VALUE"""),"")</f>
        <v/>
      </c>
    </row>
    <row r="1925">
      <c r="G1925" s="16" t="str">
        <f>IFERROR(__xludf.DUMMYFUNCTION("""COMPUTED_VALUE"""),"")</f>
        <v/>
      </c>
    </row>
    <row r="1926">
      <c r="G1926" s="16" t="str">
        <f>IFERROR(__xludf.DUMMYFUNCTION("""COMPUTED_VALUE"""),"")</f>
        <v/>
      </c>
    </row>
    <row r="1927">
      <c r="G1927" s="16" t="str">
        <f>IFERROR(__xludf.DUMMYFUNCTION("""COMPUTED_VALUE"""),"")</f>
        <v/>
      </c>
    </row>
    <row r="1928">
      <c r="G1928" s="16" t="str">
        <f>IFERROR(__xludf.DUMMYFUNCTION("""COMPUTED_VALUE"""),"")</f>
        <v/>
      </c>
    </row>
    <row r="1929">
      <c r="G1929" s="16" t="str">
        <f>IFERROR(__xludf.DUMMYFUNCTION("""COMPUTED_VALUE"""),"")</f>
        <v/>
      </c>
    </row>
    <row r="1930">
      <c r="G1930" s="16" t="str">
        <f>IFERROR(__xludf.DUMMYFUNCTION("""COMPUTED_VALUE"""),"")</f>
        <v/>
      </c>
    </row>
    <row r="1931">
      <c r="G1931" s="16" t="str">
        <f>IFERROR(__xludf.DUMMYFUNCTION("""COMPUTED_VALUE"""),"")</f>
        <v/>
      </c>
    </row>
    <row r="1932">
      <c r="G1932" s="16" t="str">
        <f>IFERROR(__xludf.DUMMYFUNCTION("""COMPUTED_VALUE"""),"")</f>
        <v/>
      </c>
    </row>
    <row r="1933">
      <c r="G1933" s="16" t="str">
        <f>IFERROR(__xludf.DUMMYFUNCTION("""COMPUTED_VALUE"""),"")</f>
        <v/>
      </c>
    </row>
    <row r="1934">
      <c r="G1934" s="16" t="str">
        <f>IFERROR(__xludf.DUMMYFUNCTION("""COMPUTED_VALUE"""),"")</f>
        <v/>
      </c>
    </row>
    <row r="1935">
      <c r="G1935" s="16" t="str">
        <f>IFERROR(__xludf.DUMMYFUNCTION("""COMPUTED_VALUE"""),"")</f>
        <v/>
      </c>
    </row>
    <row r="1936">
      <c r="G1936" s="16" t="str">
        <f>IFERROR(__xludf.DUMMYFUNCTION("""COMPUTED_VALUE"""),"")</f>
        <v/>
      </c>
    </row>
    <row r="1937">
      <c r="G1937" s="16" t="str">
        <f>IFERROR(__xludf.DUMMYFUNCTION("""COMPUTED_VALUE"""),"")</f>
        <v/>
      </c>
    </row>
    <row r="1938">
      <c r="G1938" s="16" t="str">
        <f>IFERROR(__xludf.DUMMYFUNCTION("""COMPUTED_VALUE"""),"")</f>
        <v/>
      </c>
    </row>
    <row r="1939">
      <c r="G1939" s="16" t="str">
        <f>IFERROR(__xludf.DUMMYFUNCTION("""COMPUTED_VALUE"""),"")</f>
        <v/>
      </c>
    </row>
    <row r="1940">
      <c r="G1940" s="16" t="str">
        <f>IFERROR(__xludf.DUMMYFUNCTION("""COMPUTED_VALUE"""),"")</f>
        <v/>
      </c>
    </row>
    <row r="1941">
      <c r="G1941" s="16" t="str">
        <f>IFERROR(__xludf.DUMMYFUNCTION("""COMPUTED_VALUE"""),"")</f>
        <v/>
      </c>
    </row>
    <row r="1942">
      <c r="G1942" s="16" t="str">
        <f>IFERROR(__xludf.DUMMYFUNCTION("""COMPUTED_VALUE"""),"")</f>
        <v/>
      </c>
    </row>
    <row r="1943">
      <c r="G1943" s="16" t="str">
        <f>IFERROR(__xludf.DUMMYFUNCTION("""COMPUTED_VALUE"""),"")</f>
        <v/>
      </c>
    </row>
    <row r="1944">
      <c r="G1944" s="16" t="str">
        <f>IFERROR(__xludf.DUMMYFUNCTION("""COMPUTED_VALUE"""),"")</f>
        <v/>
      </c>
    </row>
    <row r="1945">
      <c r="G1945" s="16" t="str">
        <f>IFERROR(__xludf.DUMMYFUNCTION("""COMPUTED_VALUE"""),"")</f>
        <v/>
      </c>
    </row>
    <row r="1946">
      <c r="G1946" s="16" t="str">
        <f>IFERROR(__xludf.DUMMYFUNCTION("""COMPUTED_VALUE"""),"")</f>
        <v/>
      </c>
    </row>
    <row r="1947">
      <c r="G1947" s="16" t="str">
        <f>IFERROR(__xludf.DUMMYFUNCTION("""COMPUTED_VALUE"""),"")</f>
        <v/>
      </c>
    </row>
    <row r="1948">
      <c r="G1948" s="16" t="str">
        <f>IFERROR(__xludf.DUMMYFUNCTION("""COMPUTED_VALUE"""),"")</f>
        <v/>
      </c>
    </row>
    <row r="1949">
      <c r="G1949" s="16" t="str">
        <f>IFERROR(__xludf.DUMMYFUNCTION("""COMPUTED_VALUE"""),"")</f>
        <v/>
      </c>
    </row>
    <row r="1950">
      <c r="G1950" s="16" t="str">
        <f>IFERROR(__xludf.DUMMYFUNCTION("""COMPUTED_VALUE"""),"")</f>
        <v/>
      </c>
    </row>
    <row r="1951">
      <c r="G1951" s="16" t="str">
        <f>IFERROR(__xludf.DUMMYFUNCTION("""COMPUTED_VALUE"""),"")</f>
        <v/>
      </c>
    </row>
    <row r="1952">
      <c r="G1952" s="16" t="str">
        <f>IFERROR(__xludf.DUMMYFUNCTION("""COMPUTED_VALUE"""),"")</f>
        <v/>
      </c>
    </row>
    <row r="1953">
      <c r="G1953" s="16" t="str">
        <f>IFERROR(__xludf.DUMMYFUNCTION("""COMPUTED_VALUE"""),"")</f>
        <v/>
      </c>
    </row>
    <row r="1954">
      <c r="G1954" s="16" t="str">
        <f>IFERROR(__xludf.DUMMYFUNCTION("""COMPUTED_VALUE"""),"")</f>
        <v/>
      </c>
    </row>
    <row r="1955">
      <c r="G1955" s="16" t="str">
        <f>IFERROR(__xludf.DUMMYFUNCTION("""COMPUTED_VALUE"""),"")</f>
        <v/>
      </c>
    </row>
    <row r="1956">
      <c r="G1956" s="16" t="str">
        <f>IFERROR(__xludf.DUMMYFUNCTION("""COMPUTED_VALUE"""),"")</f>
        <v/>
      </c>
    </row>
    <row r="1957">
      <c r="G1957" s="16" t="str">
        <f>IFERROR(__xludf.DUMMYFUNCTION("""COMPUTED_VALUE"""),"")</f>
        <v/>
      </c>
    </row>
    <row r="1958">
      <c r="G1958" s="16" t="str">
        <f>IFERROR(__xludf.DUMMYFUNCTION("""COMPUTED_VALUE"""),"")</f>
        <v/>
      </c>
    </row>
    <row r="1959">
      <c r="G1959" s="16" t="str">
        <f>IFERROR(__xludf.DUMMYFUNCTION("""COMPUTED_VALUE"""),"")</f>
        <v/>
      </c>
    </row>
    <row r="1960">
      <c r="G1960" s="16" t="str">
        <f>IFERROR(__xludf.DUMMYFUNCTION("""COMPUTED_VALUE"""),"")</f>
        <v/>
      </c>
    </row>
    <row r="1961">
      <c r="G1961" s="16" t="str">
        <f>IFERROR(__xludf.DUMMYFUNCTION("""COMPUTED_VALUE"""),"")</f>
        <v/>
      </c>
    </row>
    <row r="1962">
      <c r="G1962" s="16" t="str">
        <f>IFERROR(__xludf.DUMMYFUNCTION("""COMPUTED_VALUE"""),"")</f>
        <v/>
      </c>
    </row>
    <row r="1963">
      <c r="G1963" s="16" t="str">
        <f>IFERROR(__xludf.DUMMYFUNCTION("""COMPUTED_VALUE"""),"")</f>
        <v/>
      </c>
    </row>
    <row r="1964">
      <c r="G1964" s="16" t="str">
        <f>IFERROR(__xludf.DUMMYFUNCTION("""COMPUTED_VALUE"""),"")</f>
        <v/>
      </c>
    </row>
    <row r="1965">
      <c r="G1965" s="16" t="str">
        <f>IFERROR(__xludf.DUMMYFUNCTION("""COMPUTED_VALUE"""),"")</f>
        <v/>
      </c>
    </row>
    <row r="1966">
      <c r="G1966" s="16" t="str">
        <f>IFERROR(__xludf.DUMMYFUNCTION("""COMPUTED_VALUE"""),"")</f>
        <v/>
      </c>
    </row>
    <row r="1967">
      <c r="G1967" s="16" t="str">
        <f>IFERROR(__xludf.DUMMYFUNCTION("""COMPUTED_VALUE"""),"")</f>
        <v/>
      </c>
    </row>
    <row r="1968">
      <c r="G1968" s="16" t="str">
        <f>IFERROR(__xludf.DUMMYFUNCTION("""COMPUTED_VALUE"""),"")</f>
        <v/>
      </c>
    </row>
    <row r="1969">
      <c r="G1969" s="16" t="str">
        <f>IFERROR(__xludf.DUMMYFUNCTION("""COMPUTED_VALUE"""),"")</f>
        <v/>
      </c>
    </row>
    <row r="1970">
      <c r="G1970" s="16" t="str">
        <f>IFERROR(__xludf.DUMMYFUNCTION("""COMPUTED_VALUE"""),"")</f>
        <v/>
      </c>
    </row>
    <row r="1971">
      <c r="G1971" s="16" t="str">
        <f>IFERROR(__xludf.DUMMYFUNCTION("""COMPUTED_VALUE"""),"")</f>
        <v/>
      </c>
    </row>
    <row r="1972">
      <c r="G1972" s="16" t="str">
        <f>IFERROR(__xludf.DUMMYFUNCTION("""COMPUTED_VALUE"""),"")</f>
        <v/>
      </c>
    </row>
    <row r="1973">
      <c r="G1973" s="16" t="str">
        <f>IFERROR(__xludf.DUMMYFUNCTION("""COMPUTED_VALUE"""),"")</f>
        <v/>
      </c>
    </row>
    <row r="1974">
      <c r="G1974" s="16" t="str">
        <f>IFERROR(__xludf.DUMMYFUNCTION("""COMPUTED_VALUE"""),"")</f>
        <v/>
      </c>
    </row>
    <row r="1975">
      <c r="G1975" s="16" t="str">
        <f>IFERROR(__xludf.DUMMYFUNCTION("""COMPUTED_VALUE"""),"")</f>
        <v/>
      </c>
    </row>
    <row r="1976">
      <c r="G1976" s="16" t="str">
        <f>IFERROR(__xludf.DUMMYFUNCTION("""COMPUTED_VALUE"""),"")</f>
        <v/>
      </c>
    </row>
    <row r="1977">
      <c r="G1977" s="16" t="str">
        <f>IFERROR(__xludf.DUMMYFUNCTION("""COMPUTED_VALUE"""),"")</f>
        <v/>
      </c>
    </row>
    <row r="1978">
      <c r="G1978" s="16" t="str">
        <f>IFERROR(__xludf.DUMMYFUNCTION("""COMPUTED_VALUE"""),"")</f>
        <v/>
      </c>
    </row>
    <row r="1979">
      <c r="G1979" s="16" t="str">
        <f>IFERROR(__xludf.DUMMYFUNCTION("""COMPUTED_VALUE"""),"")</f>
        <v/>
      </c>
    </row>
    <row r="1980">
      <c r="G1980" s="16" t="str">
        <f>IFERROR(__xludf.DUMMYFUNCTION("""COMPUTED_VALUE"""),"")</f>
        <v/>
      </c>
    </row>
    <row r="1981">
      <c r="G1981" s="16" t="str">
        <f>IFERROR(__xludf.DUMMYFUNCTION("""COMPUTED_VALUE"""),"")</f>
        <v/>
      </c>
    </row>
    <row r="1982">
      <c r="G1982" s="16" t="str">
        <f>IFERROR(__xludf.DUMMYFUNCTION("""COMPUTED_VALUE"""),"")</f>
        <v/>
      </c>
    </row>
    <row r="1983">
      <c r="G1983" s="16" t="str">
        <f>IFERROR(__xludf.DUMMYFUNCTION("""COMPUTED_VALUE"""),"")</f>
        <v/>
      </c>
    </row>
    <row r="1984">
      <c r="G1984" s="16" t="str">
        <f>IFERROR(__xludf.DUMMYFUNCTION("""COMPUTED_VALUE"""),"")</f>
        <v/>
      </c>
    </row>
    <row r="1985">
      <c r="G1985" s="16" t="str">
        <f>IFERROR(__xludf.DUMMYFUNCTION("""COMPUTED_VALUE"""),"")</f>
        <v/>
      </c>
    </row>
    <row r="1986">
      <c r="G1986" s="16" t="str">
        <f>IFERROR(__xludf.DUMMYFUNCTION("""COMPUTED_VALUE"""),"")</f>
        <v/>
      </c>
    </row>
    <row r="1987">
      <c r="G1987" s="16" t="str">
        <f>IFERROR(__xludf.DUMMYFUNCTION("""COMPUTED_VALUE"""),"")</f>
        <v/>
      </c>
    </row>
    <row r="1988">
      <c r="G1988" s="16" t="str">
        <f>IFERROR(__xludf.DUMMYFUNCTION("""COMPUTED_VALUE"""),"")</f>
        <v/>
      </c>
    </row>
    <row r="1989">
      <c r="G1989" s="16" t="str">
        <f>IFERROR(__xludf.DUMMYFUNCTION("""COMPUTED_VALUE"""),"")</f>
        <v/>
      </c>
    </row>
    <row r="1990">
      <c r="G1990" s="16" t="str">
        <f>IFERROR(__xludf.DUMMYFUNCTION("""COMPUTED_VALUE"""),"")</f>
        <v/>
      </c>
    </row>
    <row r="1991">
      <c r="G1991" s="16" t="str">
        <f>IFERROR(__xludf.DUMMYFUNCTION("""COMPUTED_VALUE"""),"")</f>
        <v/>
      </c>
    </row>
    <row r="1992">
      <c r="G1992" s="16" t="str">
        <f>IFERROR(__xludf.DUMMYFUNCTION("""COMPUTED_VALUE"""),"")</f>
        <v/>
      </c>
    </row>
    <row r="1993">
      <c r="G1993" s="16" t="str">
        <f>IFERROR(__xludf.DUMMYFUNCTION("""COMPUTED_VALUE"""),"")</f>
        <v/>
      </c>
    </row>
    <row r="1994">
      <c r="G1994" s="16" t="str">
        <f>IFERROR(__xludf.DUMMYFUNCTION("""COMPUTED_VALUE"""),"")</f>
        <v/>
      </c>
    </row>
    <row r="1995">
      <c r="G1995" s="16" t="str">
        <f>IFERROR(__xludf.DUMMYFUNCTION("""COMPUTED_VALUE"""),"")</f>
        <v/>
      </c>
    </row>
    <row r="1996">
      <c r="G1996" s="16" t="str">
        <f>IFERROR(__xludf.DUMMYFUNCTION("""COMPUTED_VALUE"""),"")</f>
        <v/>
      </c>
    </row>
    <row r="1997">
      <c r="G1997" s="16" t="str">
        <f>IFERROR(__xludf.DUMMYFUNCTION("""COMPUTED_VALUE"""),"")</f>
        <v/>
      </c>
    </row>
    <row r="1998">
      <c r="G1998" s="16" t="str">
        <f>IFERROR(__xludf.DUMMYFUNCTION("""COMPUTED_VALUE"""),"")</f>
        <v/>
      </c>
    </row>
    <row r="1999">
      <c r="G1999" s="16" t="str">
        <f>IFERROR(__xludf.DUMMYFUNCTION("""COMPUTED_VALUE"""),"")</f>
        <v/>
      </c>
    </row>
    <row r="2000">
      <c r="G2000" s="16" t="str">
        <f>IFERROR(__xludf.DUMMYFUNCTION("""COMPUTED_VALUE"""),"")</f>
        <v/>
      </c>
    </row>
    <row r="2001">
      <c r="G2001" s="16" t="str">
        <f>IFERROR(__xludf.DUMMYFUNCTION("""COMPUTED_VALUE"""),"")</f>
        <v/>
      </c>
    </row>
    <row r="2002">
      <c r="G2002" s="16" t="str">
        <f>IFERROR(__xludf.DUMMYFUNCTION("""COMPUTED_VALUE"""),"")</f>
        <v/>
      </c>
    </row>
    <row r="2003">
      <c r="G2003" s="16" t="str">
        <f>IFERROR(__xludf.DUMMYFUNCTION("""COMPUTED_VALUE"""),"")</f>
        <v/>
      </c>
    </row>
    <row r="2004">
      <c r="G2004" s="16" t="str">
        <f>IFERROR(__xludf.DUMMYFUNCTION("""COMPUTED_VALUE"""),"")</f>
        <v/>
      </c>
    </row>
    <row r="2005">
      <c r="G2005" s="16" t="str">
        <f>IFERROR(__xludf.DUMMYFUNCTION("""COMPUTED_VALUE"""),"")</f>
        <v/>
      </c>
    </row>
    <row r="2006">
      <c r="G2006" s="16" t="str">
        <f>IFERROR(__xludf.DUMMYFUNCTION("""COMPUTED_VALUE"""),"")</f>
        <v/>
      </c>
    </row>
    <row r="2007">
      <c r="G2007" s="16" t="str">
        <f>IFERROR(__xludf.DUMMYFUNCTION("""COMPUTED_VALUE"""),"")</f>
        <v/>
      </c>
    </row>
    <row r="2008">
      <c r="G2008" s="16" t="str">
        <f>IFERROR(__xludf.DUMMYFUNCTION("""COMPUTED_VALUE"""),"")</f>
        <v/>
      </c>
    </row>
    <row r="2009">
      <c r="G2009" s="16" t="str">
        <f>IFERROR(__xludf.DUMMYFUNCTION("""COMPUTED_VALUE"""),"")</f>
        <v/>
      </c>
    </row>
    <row r="2010">
      <c r="G2010" s="16" t="str">
        <f>IFERROR(__xludf.DUMMYFUNCTION("""COMPUTED_VALUE"""),"")</f>
        <v/>
      </c>
    </row>
    <row r="2011">
      <c r="G2011" s="16" t="str">
        <f>IFERROR(__xludf.DUMMYFUNCTION("""COMPUTED_VALUE"""),"")</f>
        <v/>
      </c>
    </row>
    <row r="2012">
      <c r="G2012" s="16" t="str">
        <f>IFERROR(__xludf.DUMMYFUNCTION("""COMPUTED_VALUE"""),"")</f>
        <v/>
      </c>
    </row>
    <row r="2013">
      <c r="G2013" s="16" t="str">
        <f>IFERROR(__xludf.DUMMYFUNCTION("""COMPUTED_VALUE"""),"")</f>
        <v/>
      </c>
    </row>
    <row r="2014">
      <c r="G2014" s="16" t="str">
        <f>IFERROR(__xludf.DUMMYFUNCTION("""COMPUTED_VALUE"""),"")</f>
        <v/>
      </c>
    </row>
    <row r="2015">
      <c r="G2015" s="16" t="str">
        <f>IFERROR(__xludf.DUMMYFUNCTION("""COMPUTED_VALUE"""),"")</f>
        <v/>
      </c>
    </row>
    <row r="2016">
      <c r="G2016" s="16" t="str">
        <f>IFERROR(__xludf.DUMMYFUNCTION("""COMPUTED_VALUE"""),"")</f>
        <v/>
      </c>
    </row>
    <row r="2017">
      <c r="G2017" s="16" t="str">
        <f>IFERROR(__xludf.DUMMYFUNCTION("""COMPUTED_VALUE"""),"")</f>
        <v/>
      </c>
    </row>
    <row r="2018">
      <c r="G2018" s="16" t="str">
        <f>IFERROR(__xludf.DUMMYFUNCTION("""COMPUTED_VALUE"""),"")</f>
        <v/>
      </c>
    </row>
    <row r="2019">
      <c r="G2019" s="16" t="str">
        <f>IFERROR(__xludf.DUMMYFUNCTION("""COMPUTED_VALUE"""),"")</f>
        <v/>
      </c>
    </row>
    <row r="2020">
      <c r="G2020" s="16" t="str">
        <f>IFERROR(__xludf.DUMMYFUNCTION("""COMPUTED_VALUE"""),"")</f>
        <v/>
      </c>
    </row>
    <row r="2021">
      <c r="G2021" s="16" t="str">
        <f>IFERROR(__xludf.DUMMYFUNCTION("""COMPUTED_VALUE"""),"")</f>
        <v/>
      </c>
    </row>
    <row r="2022">
      <c r="G2022" s="16" t="str">
        <f>IFERROR(__xludf.DUMMYFUNCTION("""COMPUTED_VALUE"""),"")</f>
        <v/>
      </c>
    </row>
    <row r="2023">
      <c r="G2023" s="16" t="str">
        <f>IFERROR(__xludf.DUMMYFUNCTION("""COMPUTED_VALUE"""),"")</f>
        <v/>
      </c>
    </row>
    <row r="2024">
      <c r="G2024" s="16" t="str">
        <f>IFERROR(__xludf.DUMMYFUNCTION("""COMPUTED_VALUE"""),"")</f>
        <v/>
      </c>
    </row>
    <row r="2025">
      <c r="G2025" s="16" t="str">
        <f>IFERROR(__xludf.DUMMYFUNCTION("""COMPUTED_VALUE"""),"")</f>
        <v/>
      </c>
    </row>
    <row r="2026">
      <c r="G2026" s="16" t="str">
        <f>IFERROR(__xludf.DUMMYFUNCTION("""COMPUTED_VALUE"""),"")</f>
        <v/>
      </c>
    </row>
    <row r="2027">
      <c r="G2027" s="16" t="str">
        <f>IFERROR(__xludf.DUMMYFUNCTION("""COMPUTED_VALUE"""),"")</f>
        <v/>
      </c>
    </row>
    <row r="2028">
      <c r="G2028" s="16" t="str">
        <f>IFERROR(__xludf.DUMMYFUNCTION("""COMPUTED_VALUE"""),"")</f>
        <v/>
      </c>
    </row>
    <row r="2029">
      <c r="G2029" s="16" t="str">
        <f>IFERROR(__xludf.DUMMYFUNCTION("""COMPUTED_VALUE"""),"")</f>
        <v/>
      </c>
    </row>
    <row r="2030">
      <c r="G2030" s="16" t="str">
        <f>IFERROR(__xludf.DUMMYFUNCTION("""COMPUTED_VALUE"""),"")</f>
        <v/>
      </c>
    </row>
    <row r="2031">
      <c r="G2031" s="16" t="str">
        <f>IFERROR(__xludf.DUMMYFUNCTION("""COMPUTED_VALUE"""),"")</f>
        <v/>
      </c>
    </row>
    <row r="2032">
      <c r="G2032" s="16" t="str">
        <f>IFERROR(__xludf.DUMMYFUNCTION("""COMPUTED_VALUE"""),"")</f>
        <v/>
      </c>
    </row>
    <row r="2033">
      <c r="G2033" s="16" t="str">
        <f>IFERROR(__xludf.DUMMYFUNCTION("""COMPUTED_VALUE"""),"")</f>
        <v/>
      </c>
    </row>
    <row r="2034">
      <c r="G2034" s="16" t="str">
        <f>IFERROR(__xludf.DUMMYFUNCTION("""COMPUTED_VALUE"""),"")</f>
        <v/>
      </c>
    </row>
    <row r="2035">
      <c r="G2035" s="16" t="str">
        <f>IFERROR(__xludf.DUMMYFUNCTION("""COMPUTED_VALUE"""),"")</f>
        <v/>
      </c>
    </row>
    <row r="2036">
      <c r="G2036" s="16" t="str">
        <f>IFERROR(__xludf.DUMMYFUNCTION("""COMPUTED_VALUE"""),"")</f>
        <v/>
      </c>
    </row>
    <row r="2037">
      <c r="G2037" s="16" t="str">
        <f>IFERROR(__xludf.DUMMYFUNCTION("""COMPUTED_VALUE"""),"")</f>
        <v/>
      </c>
    </row>
    <row r="2038">
      <c r="G2038" s="16" t="str">
        <f>IFERROR(__xludf.DUMMYFUNCTION("""COMPUTED_VALUE"""),"")</f>
        <v/>
      </c>
    </row>
    <row r="2039">
      <c r="G2039" s="16" t="str">
        <f>IFERROR(__xludf.DUMMYFUNCTION("""COMPUTED_VALUE"""),"")</f>
        <v/>
      </c>
    </row>
    <row r="2040">
      <c r="G2040" s="16" t="str">
        <f>IFERROR(__xludf.DUMMYFUNCTION("""COMPUTED_VALUE"""),"")</f>
        <v/>
      </c>
    </row>
    <row r="2041">
      <c r="G2041" s="16" t="str">
        <f>IFERROR(__xludf.DUMMYFUNCTION("""COMPUTED_VALUE"""),"")</f>
        <v/>
      </c>
    </row>
    <row r="2042">
      <c r="G2042" s="16" t="str">
        <f>IFERROR(__xludf.DUMMYFUNCTION("""COMPUTED_VALUE"""),"")</f>
        <v/>
      </c>
    </row>
    <row r="2043">
      <c r="G2043" s="16" t="str">
        <f>IFERROR(__xludf.DUMMYFUNCTION("""COMPUTED_VALUE"""),"")</f>
        <v/>
      </c>
    </row>
    <row r="2044">
      <c r="G2044" s="16" t="str">
        <f>IFERROR(__xludf.DUMMYFUNCTION("""COMPUTED_VALUE"""),"")</f>
        <v/>
      </c>
    </row>
    <row r="2045">
      <c r="G2045" s="16" t="str">
        <f>IFERROR(__xludf.DUMMYFUNCTION("""COMPUTED_VALUE"""),"")</f>
        <v/>
      </c>
    </row>
    <row r="2046">
      <c r="G2046" s="16" t="str">
        <f>IFERROR(__xludf.DUMMYFUNCTION("""COMPUTED_VALUE"""),"")</f>
        <v/>
      </c>
    </row>
    <row r="2047">
      <c r="G2047" s="16" t="str">
        <f>IFERROR(__xludf.DUMMYFUNCTION("""COMPUTED_VALUE"""),"")</f>
        <v/>
      </c>
    </row>
    <row r="2048">
      <c r="G2048" s="16" t="str">
        <f>IFERROR(__xludf.DUMMYFUNCTION("""COMPUTED_VALUE"""),"")</f>
        <v/>
      </c>
    </row>
    <row r="2049">
      <c r="G2049" s="16" t="str">
        <f>IFERROR(__xludf.DUMMYFUNCTION("""COMPUTED_VALUE"""),"")</f>
        <v/>
      </c>
    </row>
    <row r="2050">
      <c r="G2050" s="16" t="str">
        <f>IFERROR(__xludf.DUMMYFUNCTION("""COMPUTED_VALUE"""),"")</f>
        <v/>
      </c>
    </row>
    <row r="2051">
      <c r="G2051" s="16" t="str">
        <f>IFERROR(__xludf.DUMMYFUNCTION("""COMPUTED_VALUE"""),"")</f>
        <v/>
      </c>
    </row>
    <row r="2052">
      <c r="G2052" s="16" t="str">
        <f>IFERROR(__xludf.DUMMYFUNCTION("""COMPUTED_VALUE"""),"")</f>
        <v/>
      </c>
    </row>
    <row r="2053">
      <c r="G2053" s="16" t="str">
        <f>IFERROR(__xludf.DUMMYFUNCTION("""COMPUTED_VALUE"""),"")</f>
        <v/>
      </c>
    </row>
    <row r="2054">
      <c r="G2054" s="16" t="str">
        <f>IFERROR(__xludf.DUMMYFUNCTION("""COMPUTED_VALUE"""),"")</f>
        <v/>
      </c>
    </row>
    <row r="2055">
      <c r="G2055" s="16" t="str">
        <f>IFERROR(__xludf.DUMMYFUNCTION("""COMPUTED_VALUE"""),"")</f>
        <v/>
      </c>
    </row>
    <row r="2056">
      <c r="G2056" s="16" t="str">
        <f>IFERROR(__xludf.DUMMYFUNCTION("""COMPUTED_VALUE"""),"")</f>
        <v/>
      </c>
    </row>
    <row r="2057">
      <c r="G2057" s="16" t="str">
        <f>IFERROR(__xludf.DUMMYFUNCTION("""COMPUTED_VALUE"""),"")</f>
        <v/>
      </c>
    </row>
    <row r="2058">
      <c r="G2058" s="16" t="str">
        <f>IFERROR(__xludf.DUMMYFUNCTION("""COMPUTED_VALUE"""),"")</f>
        <v/>
      </c>
    </row>
    <row r="2059">
      <c r="G2059" s="16" t="str">
        <f>IFERROR(__xludf.DUMMYFUNCTION("""COMPUTED_VALUE"""),"")</f>
        <v/>
      </c>
    </row>
    <row r="2060">
      <c r="G2060" s="16" t="str">
        <f>IFERROR(__xludf.DUMMYFUNCTION("""COMPUTED_VALUE"""),"")</f>
        <v/>
      </c>
    </row>
    <row r="2061">
      <c r="G2061" s="16" t="str">
        <f>IFERROR(__xludf.DUMMYFUNCTION("""COMPUTED_VALUE"""),"")</f>
        <v/>
      </c>
    </row>
    <row r="2062">
      <c r="G2062" s="16" t="str">
        <f>IFERROR(__xludf.DUMMYFUNCTION("""COMPUTED_VALUE"""),"")</f>
        <v/>
      </c>
    </row>
    <row r="2063">
      <c r="G2063" s="16" t="str">
        <f>IFERROR(__xludf.DUMMYFUNCTION("""COMPUTED_VALUE"""),"")</f>
        <v/>
      </c>
    </row>
    <row r="2064">
      <c r="G2064" s="16" t="str">
        <f>IFERROR(__xludf.DUMMYFUNCTION("""COMPUTED_VALUE"""),"")</f>
        <v/>
      </c>
    </row>
    <row r="2065">
      <c r="G2065" s="16" t="str">
        <f>IFERROR(__xludf.DUMMYFUNCTION("""COMPUTED_VALUE"""),"")</f>
        <v/>
      </c>
    </row>
    <row r="2066">
      <c r="G2066" s="16" t="str">
        <f>IFERROR(__xludf.DUMMYFUNCTION("""COMPUTED_VALUE"""),"")</f>
        <v/>
      </c>
    </row>
    <row r="2067">
      <c r="G2067" s="16" t="str">
        <f>IFERROR(__xludf.DUMMYFUNCTION("""COMPUTED_VALUE"""),"")</f>
        <v/>
      </c>
    </row>
    <row r="2068">
      <c r="G2068" s="16" t="str">
        <f>IFERROR(__xludf.DUMMYFUNCTION("""COMPUTED_VALUE"""),"")</f>
        <v/>
      </c>
    </row>
    <row r="2069">
      <c r="G2069" s="16" t="str">
        <f>IFERROR(__xludf.DUMMYFUNCTION("""COMPUTED_VALUE"""),"")</f>
        <v/>
      </c>
    </row>
    <row r="2070">
      <c r="G2070" s="16" t="str">
        <f>IFERROR(__xludf.DUMMYFUNCTION("""COMPUTED_VALUE"""),"")</f>
        <v/>
      </c>
    </row>
    <row r="2071">
      <c r="G2071" s="16" t="str">
        <f>IFERROR(__xludf.DUMMYFUNCTION("""COMPUTED_VALUE"""),"")</f>
        <v/>
      </c>
    </row>
    <row r="2072">
      <c r="G2072" s="16" t="str">
        <f>IFERROR(__xludf.DUMMYFUNCTION("""COMPUTED_VALUE"""),"")</f>
        <v/>
      </c>
    </row>
    <row r="2073">
      <c r="G2073" s="16" t="str">
        <f>IFERROR(__xludf.DUMMYFUNCTION("""COMPUTED_VALUE"""),"")</f>
        <v/>
      </c>
    </row>
    <row r="2074">
      <c r="G2074" s="16" t="str">
        <f>IFERROR(__xludf.DUMMYFUNCTION("""COMPUTED_VALUE"""),"")</f>
        <v/>
      </c>
    </row>
    <row r="2075">
      <c r="G2075" s="16" t="str">
        <f>IFERROR(__xludf.DUMMYFUNCTION("""COMPUTED_VALUE"""),"")</f>
        <v/>
      </c>
    </row>
    <row r="2076">
      <c r="G2076" s="16" t="str">
        <f>IFERROR(__xludf.DUMMYFUNCTION("""COMPUTED_VALUE"""),"")</f>
        <v/>
      </c>
    </row>
    <row r="2077">
      <c r="G2077" s="16" t="str">
        <f>IFERROR(__xludf.DUMMYFUNCTION("""COMPUTED_VALUE"""),"")</f>
        <v/>
      </c>
    </row>
    <row r="2078">
      <c r="G2078" s="16" t="str">
        <f>IFERROR(__xludf.DUMMYFUNCTION("""COMPUTED_VALUE"""),"")</f>
        <v/>
      </c>
    </row>
    <row r="2079">
      <c r="G2079" s="16" t="str">
        <f>IFERROR(__xludf.DUMMYFUNCTION("""COMPUTED_VALUE"""),"")</f>
        <v/>
      </c>
    </row>
    <row r="2080">
      <c r="G2080" s="16" t="str">
        <f>IFERROR(__xludf.DUMMYFUNCTION("""COMPUTED_VALUE"""),"")</f>
        <v/>
      </c>
    </row>
    <row r="2081">
      <c r="G2081" s="16" t="str">
        <f>IFERROR(__xludf.DUMMYFUNCTION("""COMPUTED_VALUE"""),"")</f>
        <v/>
      </c>
    </row>
    <row r="2082">
      <c r="G2082" s="16" t="str">
        <f>IFERROR(__xludf.DUMMYFUNCTION("""COMPUTED_VALUE"""),"")</f>
        <v/>
      </c>
    </row>
    <row r="2083">
      <c r="G2083" s="16" t="str">
        <f>IFERROR(__xludf.DUMMYFUNCTION("""COMPUTED_VALUE"""),"")</f>
        <v/>
      </c>
    </row>
    <row r="2084">
      <c r="G2084" s="16" t="str">
        <f>IFERROR(__xludf.DUMMYFUNCTION("""COMPUTED_VALUE"""),"")</f>
        <v/>
      </c>
    </row>
    <row r="2085">
      <c r="G2085" s="16" t="str">
        <f>IFERROR(__xludf.DUMMYFUNCTION("""COMPUTED_VALUE"""),"")</f>
        <v/>
      </c>
    </row>
    <row r="2086">
      <c r="G2086" s="16" t="str">
        <f>IFERROR(__xludf.DUMMYFUNCTION("""COMPUTED_VALUE"""),"")</f>
        <v/>
      </c>
    </row>
    <row r="2087">
      <c r="G2087" s="16" t="str">
        <f>IFERROR(__xludf.DUMMYFUNCTION("""COMPUTED_VALUE"""),"")</f>
        <v/>
      </c>
    </row>
    <row r="2088">
      <c r="G2088" s="16" t="str">
        <f>IFERROR(__xludf.DUMMYFUNCTION("""COMPUTED_VALUE"""),"")</f>
        <v/>
      </c>
    </row>
    <row r="2089">
      <c r="G2089" s="16" t="str">
        <f>IFERROR(__xludf.DUMMYFUNCTION("""COMPUTED_VALUE"""),"")</f>
        <v/>
      </c>
    </row>
    <row r="2090">
      <c r="G2090" s="16" t="str">
        <f>IFERROR(__xludf.DUMMYFUNCTION("""COMPUTED_VALUE"""),"")</f>
        <v/>
      </c>
    </row>
    <row r="2091">
      <c r="G2091" s="16" t="str">
        <f>IFERROR(__xludf.DUMMYFUNCTION("""COMPUTED_VALUE"""),"")</f>
        <v/>
      </c>
    </row>
    <row r="2092">
      <c r="G2092" s="16" t="str">
        <f>IFERROR(__xludf.DUMMYFUNCTION("""COMPUTED_VALUE"""),"")</f>
        <v/>
      </c>
    </row>
    <row r="2093">
      <c r="G2093" s="16" t="str">
        <f>IFERROR(__xludf.DUMMYFUNCTION("""COMPUTED_VALUE"""),"")</f>
        <v/>
      </c>
    </row>
    <row r="2094">
      <c r="G2094" s="16" t="str">
        <f>IFERROR(__xludf.DUMMYFUNCTION("""COMPUTED_VALUE"""),"")</f>
        <v/>
      </c>
    </row>
    <row r="2095">
      <c r="G2095" s="16" t="str">
        <f>IFERROR(__xludf.DUMMYFUNCTION("""COMPUTED_VALUE"""),"")</f>
        <v/>
      </c>
    </row>
    <row r="2096">
      <c r="G2096" s="16" t="str">
        <f>IFERROR(__xludf.DUMMYFUNCTION("""COMPUTED_VALUE"""),"")</f>
        <v/>
      </c>
    </row>
    <row r="2097">
      <c r="G2097" s="16" t="str">
        <f>IFERROR(__xludf.DUMMYFUNCTION("""COMPUTED_VALUE"""),"")</f>
        <v/>
      </c>
    </row>
    <row r="2098">
      <c r="G2098" s="16" t="str">
        <f>IFERROR(__xludf.DUMMYFUNCTION("""COMPUTED_VALUE"""),"")</f>
        <v/>
      </c>
    </row>
    <row r="2099">
      <c r="G2099" s="16" t="str">
        <f>IFERROR(__xludf.DUMMYFUNCTION("""COMPUTED_VALUE"""),"")</f>
        <v/>
      </c>
    </row>
    <row r="2100">
      <c r="G2100" s="16" t="str">
        <f>IFERROR(__xludf.DUMMYFUNCTION("""COMPUTED_VALUE"""),"")</f>
        <v/>
      </c>
    </row>
    <row r="2101">
      <c r="G2101" s="16" t="str">
        <f>IFERROR(__xludf.DUMMYFUNCTION("""COMPUTED_VALUE"""),"")</f>
        <v/>
      </c>
    </row>
    <row r="2102">
      <c r="G2102" s="16" t="str">
        <f>IFERROR(__xludf.DUMMYFUNCTION("""COMPUTED_VALUE"""),"")</f>
        <v/>
      </c>
    </row>
    <row r="2103">
      <c r="G2103" s="16" t="str">
        <f>IFERROR(__xludf.DUMMYFUNCTION("""COMPUTED_VALUE"""),"")</f>
        <v/>
      </c>
    </row>
    <row r="2104">
      <c r="G2104" s="16" t="str">
        <f>IFERROR(__xludf.DUMMYFUNCTION("""COMPUTED_VALUE"""),"")</f>
        <v/>
      </c>
    </row>
    <row r="2105">
      <c r="G2105" s="16" t="str">
        <f>IFERROR(__xludf.DUMMYFUNCTION("""COMPUTED_VALUE"""),"")</f>
        <v/>
      </c>
    </row>
    <row r="2106">
      <c r="G2106" s="16" t="str">
        <f>IFERROR(__xludf.DUMMYFUNCTION("""COMPUTED_VALUE"""),"")</f>
        <v/>
      </c>
    </row>
    <row r="2107">
      <c r="G2107" s="16" t="str">
        <f>IFERROR(__xludf.DUMMYFUNCTION("""COMPUTED_VALUE"""),"")</f>
        <v/>
      </c>
    </row>
    <row r="2108">
      <c r="G2108" s="16" t="str">
        <f>IFERROR(__xludf.DUMMYFUNCTION("""COMPUTED_VALUE"""),"")</f>
        <v/>
      </c>
    </row>
    <row r="2109">
      <c r="G2109" s="16" t="str">
        <f>IFERROR(__xludf.DUMMYFUNCTION("""COMPUTED_VALUE"""),"")</f>
        <v/>
      </c>
    </row>
    <row r="2110">
      <c r="G2110" s="16" t="str">
        <f>IFERROR(__xludf.DUMMYFUNCTION("""COMPUTED_VALUE"""),"")</f>
        <v/>
      </c>
    </row>
    <row r="2111">
      <c r="G2111" s="16" t="str">
        <f>IFERROR(__xludf.DUMMYFUNCTION("""COMPUTED_VALUE"""),"")</f>
        <v/>
      </c>
    </row>
    <row r="2112">
      <c r="G2112" s="16" t="str">
        <f>IFERROR(__xludf.DUMMYFUNCTION("""COMPUTED_VALUE"""),"")</f>
        <v/>
      </c>
    </row>
    <row r="2113">
      <c r="G2113" s="16" t="str">
        <f>IFERROR(__xludf.DUMMYFUNCTION("""COMPUTED_VALUE"""),"")</f>
        <v/>
      </c>
    </row>
    <row r="2114">
      <c r="G2114" s="16" t="str">
        <f>IFERROR(__xludf.DUMMYFUNCTION("""COMPUTED_VALUE"""),"")</f>
        <v/>
      </c>
    </row>
    <row r="2115">
      <c r="G2115" s="16" t="str">
        <f>IFERROR(__xludf.DUMMYFUNCTION("""COMPUTED_VALUE"""),"")</f>
        <v/>
      </c>
    </row>
    <row r="2116">
      <c r="G2116" s="16" t="str">
        <f>IFERROR(__xludf.DUMMYFUNCTION("""COMPUTED_VALUE"""),"")</f>
        <v/>
      </c>
    </row>
    <row r="2117">
      <c r="G2117" s="16" t="str">
        <f>IFERROR(__xludf.DUMMYFUNCTION("""COMPUTED_VALUE"""),"")</f>
        <v/>
      </c>
    </row>
    <row r="2118">
      <c r="G2118" s="16" t="str">
        <f>IFERROR(__xludf.DUMMYFUNCTION("""COMPUTED_VALUE"""),"")</f>
        <v/>
      </c>
    </row>
    <row r="2119">
      <c r="G2119" s="16" t="str">
        <f>IFERROR(__xludf.DUMMYFUNCTION("""COMPUTED_VALUE"""),"")</f>
        <v/>
      </c>
    </row>
    <row r="2120">
      <c r="G2120" s="16" t="str">
        <f>IFERROR(__xludf.DUMMYFUNCTION("""COMPUTED_VALUE"""),"")</f>
        <v/>
      </c>
    </row>
    <row r="2121">
      <c r="G2121" s="16" t="str">
        <f>IFERROR(__xludf.DUMMYFUNCTION("""COMPUTED_VALUE"""),"")</f>
        <v/>
      </c>
    </row>
    <row r="2122">
      <c r="G2122" s="16" t="str">
        <f>IFERROR(__xludf.DUMMYFUNCTION("""COMPUTED_VALUE"""),"")</f>
        <v/>
      </c>
    </row>
    <row r="2123">
      <c r="G2123" s="16" t="str">
        <f>IFERROR(__xludf.DUMMYFUNCTION("""COMPUTED_VALUE"""),"")</f>
        <v/>
      </c>
    </row>
    <row r="2124">
      <c r="G2124" s="16" t="str">
        <f>IFERROR(__xludf.DUMMYFUNCTION("""COMPUTED_VALUE"""),"")</f>
        <v/>
      </c>
    </row>
    <row r="2125">
      <c r="G2125" s="16" t="str">
        <f>IFERROR(__xludf.DUMMYFUNCTION("""COMPUTED_VALUE"""),"")</f>
        <v/>
      </c>
    </row>
    <row r="2126">
      <c r="G2126" s="16" t="str">
        <f>IFERROR(__xludf.DUMMYFUNCTION("""COMPUTED_VALUE"""),"")</f>
        <v/>
      </c>
    </row>
    <row r="2127">
      <c r="G2127" s="16" t="str">
        <f>IFERROR(__xludf.DUMMYFUNCTION("""COMPUTED_VALUE"""),"")</f>
        <v/>
      </c>
    </row>
    <row r="2128">
      <c r="G2128" s="16" t="str">
        <f>IFERROR(__xludf.DUMMYFUNCTION("""COMPUTED_VALUE"""),"")</f>
        <v/>
      </c>
    </row>
    <row r="2129">
      <c r="G2129" s="16" t="str">
        <f>IFERROR(__xludf.DUMMYFUNCTION("""COMPUTED_VALUE"""),"")</f>
        <v/>
      </c>
    </row>
    <row r="2130">
      <c r="G2130" s="16" t="str">
        <f>IFERROR(__xludf.DUMMYFUNCTION("""COMPUTED_VALUE"""),"")</f>
        <v/>
      </c>
    </row>
    <row r="2131">
      <c r="G2131" s="16" t="str">
        <f>IFERROR(__xludf.DUMMYFUNCTION("""COMPUTED_VALUE"""),"")</f>
        <v/>
      </c>
    </row>
    <row r="2132">
      <c r="G2132" s="16" t="str">
        <f>IFERROR(__xludf.DUMMYFUNCTION("""COMPUTED_VALUE"""),"")</f>
        <v/>
      </c>
    </row>
    <row r="2133">
      <c r="G2133" s="16" t="str">
        <f>IFERROR(__xludf.DUMMYFUNCTION("""COMPUTED_VALUE"""),"")</f>
        <v/>
      </c>
    </row>
    <row r="2134">
      <c r="G2134" s="16" t="str">
        <f>IFERROR(__xludf.DUMMYFUNCTION("""COMPUTED_VALUE"""),"")</f>
        <v/>
      </c>
    </row>
    <row r="2135">
      <c r="G2135" s="16" t="str">
        <f>IFERROR(__xludf.DUMMYFUNCTION("""COMPUTED_VALUE"""),"")</f>
        <v/>
      </c>
    </row>
    <row r="2136">
      <c r="G2136" s="16" t="str">
        <f>IFERROR(__xludf.DUMMYFUNCTION("""COMPUTED_VALUE"""),"")</f>
        <v/>
      </c>
    </row>
    <row r="2137">
      <c r="G2137" s="16" t="str">
        <f>IFERROR(__xludf.DUMMYFUNCTION("""COMPUTED_VALUE"""),"")</f>
        <v/>
      </c>
    </row>
    <row r="2138">
      <c r="G2138" s="16" t="str">
        <f>IFERROR(__xludf.DUMMYFUNCTION("""COMPUTED_VALUE"""),"")</f>
        <v/>
      </c>
    </row>
    <row r="2139">
      <c r="G2139" s="16" t="str">
        <f>IFERROR(__xludf.DUMMYFUNCTION("""COMPUTED_VALUE"""),"")</f>
        <v/>
      </c>
    </row>
    <row r="2140">
      <c r="G2140" s="16" t="str">
        <f>IFERROR(__xludf.DUMMYFUNCTION("""COMPUTED_VALUE"""),"")</f>
        <v/>
      </c>
    </row>
    <row r="2141">
      <c r="G2141" s="16" t="str">
        <f>IFERROR(__xludf.DUMMYFUNCTION("""COMPUTED_VALUE"""),"")</f>
        <v/>
      </c>
    </row>
    <row r="2142">
      <c r="G2142" s="16" t="str">
        <f>IFERROR(__xludf.DUMMYFUNCTION("""COMPUTED_VALUE"""),"")</f>
        <v/>
      </c>
    </row>
    <row r="2143">
      <c r="G2143" s="16" t="str">
        <f>IFERROR(__xludf.DUMMYFUNCTION("""COMPUTED_VALUE"""),"")</f>
        <v/>
      </c>
    </row>
    <row r="2144">
      <c r="G2144" s="16" t="str">
        <f>IFERROR(__xludf.DUMMYFUNCTION("""COMPUTED_VALUE"""),"")</f>
        <v/>
      </c>
    </row>
    <row r="2145">
      <c r="G2145" s="16" t="str">
        <f>IFERROR(__xludf.DUMMYFUNCTION("""COMPUTED_VALUE"""),"")</f>
        <v/>
      </c>
    </row>
    <row r="2146">
      <c r="G2146" s="16" t="str">
        <f>IFERROR(__xludf.DUMMYFUNCTION("""COMPUTED_VALUE"""),"")</f>
        <v/>
      </c>
    </row>
    <row r="2147">
      <c r="G2147" s="16" t="str">
        <f>IFERROR(__xludf.DUMMYFUNCTION("""COMPUTED_VALUE"""),"")</f>
        <v/>
      </c>
    </row>
    <row r="2148">
      <c r="G2148" s="16" t="str">
        <f>IFERROR(__xludf.DUMMYFUNCTION("""COMPUTED_VALUE"""),"")</f>
        <v/>
      </c>
    </row>
    <row r="2149">
      <c r="G2149" s="16" t="str">
        <f>IFERROR(__xludf.DUMMYFUNCTION("""COMPUTED_VALUE"""),"")</f>
        <v/>
      </c>
    </row>
    <row r="2150">
      <c r="G2150" s="16" t="str">
        <f>IFERROR(__xludf.DUMMYFUNCTION("""COMPUTED_VALUE"""),"")</f>
        <v/>
      </c>
    </row>
    <row r="2151">
      <c r="G2151" s="16" t="str">
        <f>IFERROR(__xludf.DUMMYFUNCTION("""COMPUTED_VALUE"""),"")</f>
        <v/>
      </c>
    </row>
    <row r="2152">
      <c r="G2152" s="16" t="str">
        <f>IFERROR(__xludf.DUMMYFUNCTION("""COMPUTED_VALUE"""),"")</f>
        <v/>
      </c>
    </row>
    <row r="2153">
      <c r="G2153" s="16" t="str">
        <f>IFERROR(__xludf.DUMMYFUNCTION("""COMPUTED_VALUE"""),"")</f>
        <v/>
      </c>
    </row>
    <row r="2154">
      <c r="G2154" s="16" t="str">
        <f>IFERROR(__xludf.DUMMYFUNCTION("""COMPUTED_VALUE"""),"")</f>
        <v/>
      </c>
    </row>
    <row r="2155">
      <c r="G2155" s="16" t="str">
        <f>IFERROR(__xludf.DUMMYFUNCTION("""COMPUTED_VALUE"""),"")</f>
        <v/>
      </c>
    </row>
    <row r="2156">
      <c r="G2156" s="16" t="str">
        <f>IFERROR(__xludf.DUMMYFUNCTION("""COMPUTED_VALUE"""),"")</f>
        <v/>
      </c>
    </row>
    <row r="2157">
      <c r="G2157" s="16" t="str">
        <f>IFERROR(__xludf.DUMMYFUNCTION("""COMPUTED_VALUE"""),"")</f>
        <v/>
      </c>
    </row>
    <row r="2158">
      <c r="G2158" s="16" t="str">
        <f>IFERROR(__xludf.DUMMYFUNCTION("""COMPUTED_VALUE"""),"")</f>
        <v/>
      </c>
    </row>
    <row r="2159">
      <c r="G2159" s="16" t="str">
        <f>IFERROR(__xludf.DUMMYFUNCTION("""COMPUTED_VALUE"""),"")</f>
        <v/>
      </c>
    </row>
    <row r="2160">
      <c r="G2160" s="16" t="str">
        <f>IFERROR(__xludf.DUMMYFUNCTION("""COMPUTED_VALUE"""),"")</f>
        <v/>
      </c>
    </row>
    <row r="2161">
      <c r="G2161" s="16" t="str">
        <f>IFERROR(__xludf.DUMMYFUNCTION("""COMPUTED_VALUE"""),"")</f>
        <v/>
      </c>
    </row>
    <row r="2162">
      <c r="G2162" s="16" t="str">
        <f>IFERROR(__xludf.DUMMYFUNCTION("""COMPUTED_VALUE"""),"")</f>
        <v/>
      </c>
    </row>
    <row r="2163">
      <c r="G2163" s="16" t="str">
        <f>IFERROR(__xludf.DUMMYFUNCTION("""COMPUTED_VALUE"""),"")</f>
        <v/>
      </c>
    </row>
    <row r="2164">
      <c r="G2164" s="16" t="str">
        <f>IFERROR(__xludf.DUMMYFUNCTION("""COMPUTED_VALUE"""),"")</f>
        <v/>
      </c>
    </row>
    <row r="2165">
      <c r="G2165" s="16" t="str">
        <f>IFERROR(__xludf.DUMMYFUNCTION("""COMPUTED_VALUE"""),"")</f>
        <v/>
      </c>
    </row>
    <row r="2166">
      <c r="G2166" s="16" t="str">
        <f>IFERROR(__xludf.DUMMYFUNCTION("""COMPUTED_VALUE"""),"")</f>
        <v/>
      </c>
    </row>
    <row r="2167">
      <c r="G2167" s="16" t="str">
        <f>IFERROR(__xludf.DUMMYFUNCTION("""COMPUTED_VALUE"""),"")</f>
        <v/>
      </c>
    </row>
    <row r="2168">
      <c r="G2168" s="16" t="str">
        <f>IFERROR(__xludf.DUMMYFUNCTION("""COMPUTED_VALUE"""),"")</f>
        <v/>
      </c>
    </row>
    <row r="2169">
      <c r="G2169" s="16" t="str">
        <f>IFERROR(__xludf.DUMMYFUNCTION("""COMPUTED_VALUE"""),"")</f>
        <v/>
      </c>
    </row>
    <row r="2170">
      <c r="G2170" s="16" t="str">
        <f>IFERROR(__xludf.DUMMYFUNCTION("""COMPUTED_VALUE"""),"")</f>
        <v/>
      </c>
    </row>
    <row r="2171">
      <c r="G2171" s="16" t="str">
        <f>IFERROR(__xludf.DUMMYFUNCTION("""COMPUTED_VALUE"""),"")</f>
        <v/>
      </c>
    </row>
    <row r="2172">
      <c r="G2172" s="16" t="str">
        <f>IFERROR(__xludf.DUMMYFUNCTION("""COMPUTED_VALUE"""),"")</f>
        <v/>
      </c>
    </row>
    <row r="2173">
      <c r="G2173" s="16" t="str">
        <f>IFERROR(__xludf.DUMMYFUNCTION("""COMPUTED_VALUE"""),"")</f>
        <v/>
      </c>
    </row>
    <row r="2174">
      <c r="G2174" s="16" t="str">
        <f>IFERROR(__xludf.DUMMYFUNCTION("""COMPUTED_VALUE"""),"")</f>
        <v/>
      </c>
    </row>
    <row r="2175">
      <c r="G2175" s="16" t="str">
        <f>IFERROR(__xludf.DUMMYFUNCTION("""COMPUTED_VALUE"""),"")</f>
        <v/>
      </c>
    </row>
    <row r="2176">
      <c r="G2176" s="16" t="str">
        <f>IFERROR(__xludf.DUMMYFUNCTION("""COMPUTED_VALUE"""),"")</f>
        <v/>
      </c>
    </row>
    <row r="2177">
      <c r="G2177" s="16" t="str">
        <f>IFERROR(__xludf.DUMMYFUNCTION("""COMPUTED_VALUE"""),"")</f>
        <v/>
      </c>
    </row>
    <row r="2178">
      <c r="G2178" s="16" t="str">
        <f>IFERROR(__xludf.DUMMYFUNCTION("""COMPUTED_VALUE"""),"")</f>
        <v/>
      </c>
    </row>
    <row r="2179">
      <c r="G2179" s="16" t="str">
        <f>IFERROR(__xludf.DUMMYFUNCTION("""COMPUTED_VALUE"""),"")</f>
        <v/>
      </c>
    </row>
    <row r="2180">
      <c r="G2180" s="16" t="str">
        <f>IFERROR(__xludf.DUMMYFUNCTION("""COMPUTED_VALUE"""),"")</f>
        <v/>
      </c>
    </row>
    <row r="2181">
      <c r="G2181" s="16" t="str">
        <f>IFERROR(__xludf.DUMMYFUNCTION("""COMPUTED_VALUE"""),"")</f>
        <v/>
      </c>
    </row>
    <row r="2182">
      <c r="G2182" s="16" t="str">
        <f>IFERROR(__xludf.DUMMYFUNCTION("""COMPUTED_VALUE"""),"")</f>
        <v/>
      </c>
    </row>
    <row r="2183">
      <c r="G2183" s="16" t="str">
        <f>IFERROR(__xludf.DUMMYFUNCTION("""COMPUTED_VALUE"""),"")</f>
        <v/>
      </c>
    </row>
    <row r="2184">
      <c r="G2184" s="16" t="str">
        <f>IFERROR(__xludf.DUMMYFUNCTION("""COMPUTED_VALUE"""),"")</f>
        <v/>
      </c>
    </row>
    <row r="2185">
      <c r="G2185" s="16" t="str">
        <f>IFERROR(__xludf.DUMMYFUNCTION("""COMPUTED_VALUE"""),"")</f>
        <v/>
      </c>
    </row>
    <row r="2186">
      <c r="G2186" s="16" t="str">
        <f>IFERROR(__xludf.DUMMYFUNCTION("""COMPUTED_VALUE"""),"")</f>
        <v/>
      </c>
    </row>
    <row r="2187">
      <c r="G2187" s="16" t="str">
        <f>IFERROR(__xludf.DUMMYFUNCTION("""COMPUTED_VALUE"""),"")</f>
        <v/>
      </c>
    </row>
    <row r="2188">
      <c r="G2188" s="16" t="str">
        <f>IFERROR(__xludf.DUMMYFUNCTION("""COMPUTED_VALUE"""),"")</f>
        <v/>
      </c>
    </row>
    <row r="2189">
      <c r="G2189" s="16" t="str">
        <f>IFERROR(__xludf.DUMMYFUNCTION("""COMPUTED_VALUE"""),"")</f>
        <v/>
      </c>
    </row>
    <row r="2190">
      <c r="G2190" s="16" t="str">
        <f>IFERROR(__xludf.DUMMYFUNCTION("""COMPUTED_VALUE"""),"")</f>
        <v/>
      </c>
    </row>
    <row r="2191">
      <c r="G2191" s="16" t="str">
        <f>IFERROR(__xludf.DUMMYFUNCTION("""COMPUTED_VALUE"""),"")</f>
        <v/>
      </c>
    </row>
    <row r="2192">
      <c r="G2192" s="16" t="str">
        <f>IFERROR(__xludf.DUMMYFUNCTION("""COMPUTED_VALUE"""),"")</f>
        <v/>
      </c>
    </row>
    <row r="2193">
      <c r="G2193" s="16" t="str">
        <f>IFERROR(__xludf.DUMMYFUNCTION("""COMPUTED_VALUE"""),"")</f>
        <v/>
      </c>
    </row>
    <row r="2194">
      <c r="G2194" s="16" t="str">
        <f>IFERROR(__xludf.DUMMYFUNCTION("""COMPUTED_VALUE"""),"")</f>
        <v/>
      </c>
    </row>
    <row r="2195">
      <c r="G2195" s="16" t="str">
        <f>IFERROR(__xludf.DUMMYFUNCTION("""COMPUTED_VALUE"""),"")</f>
        <v/>
      </c>
    </row>
    <row r="2196">
      <c r="G2196" s="16" t="str">
        <f>IFERROR(__xludf.DUMMYFUNCTION("""COMPUTED_VALUE"""),"")</f>
        <v/>
      </c>
    </row>
    <row r="2197">
      <c r="G2197" s="16" t="str">
        <f>IFERROR(__xludf.DUMMYFUNCTION("""COMPUTED_VALUE"""),"")</f>
        <v/>
      </c>
    </row>
    <row r="2198">
      <c r="G2198" s="16" t="str">
        <f>IFERROR(__xludf.DUMMYFUNCTION("""COMPUTED_VALUE"""),"")</f>
        <v/>
      </c>
    </row>
    <row r="2199">
      <c r="G2199" s="16" t="str">
        <f>IFERROR(__xludf.DUMMYFUNCTION("""COMPUTED_VALUE"""),"")</f>
        <v/>
      </c>
    </row>
    <row r="2200">
      <c r="G2200" s="16" t="str">
        <f>IFERROR(__xludf.DUMMYFUNCTION("""COMPUTED_VALUE"""),"")</f>
        <v/>
      </c>
    </row>
    <row r="2201">
      <c r="G2201" s="16" t="str">
        <f>IFERROR(__xludf.DUMMYFUNCTION("""COMPUTED_VALUE"""),"")</f>
        <v/>
      </c>
    </row>
    <row r="2202">
      <c r="G2202" s="16" t="str">
        <f>IFERROR(__xludf.DUMMYFUNCTION("""COMPUTED_VALUE"""),"")</f>
        <v/>
      </c>
    </row>
    <row r="2203">
      <c r="G2203" s="16" t="str">
        <f>IFERROR(__xludf.DUMMYFUNCTION("""COMPUTED_VALUE"""),"")</f>
        <v/>
      </c>
    </row>
    <row r="2204">
      <c r="G2204" s="16" t="str">
        <f>IFERROR(__xludf.DUMMYFUNCTION("""COMPUTED_VALUE"""),"")</f>
        <v/>
      </c>
    </row>
    <row r="2205">
      <c r="G2205" s="16" t="str">
        <f>IFERROR(__xludf.DUMMYFUNCTION("""COMPUTED_VALUE"""),"")</f>
        <v/>
      </c>
    </row>
    <row r="2206">
      <c r="G2206" s="16" t="str">
        <f>IFERROR(__xludf.DUMMYFUNCTION("""COMPUTED_VALUE"""),"")</f>
        <v/>
      </c>
    </row>
    <row r="2207">
      <c r="G2207" s="16" t="str">
        <f>IFERROR(__xludf.DUMMYFUNCTION("""COMPUTED_VALUE"""),"")</f>
        <v/>
      </c>
    </row>
    <row r="2208">
      <c r="G2208" s="16" t="str">
        <f>IFERROR(__xludf.DUMMYFUNCTION("""COMPUTED_VALUE"""),"")</f>
        <v/>
      </c>
    </row>
    <row r="2209">
      <c r="G2209" s="16" t="str">
        <f>IFERROR(__xludf.DUMMYFUNCTION("""COMPUTED_VALUE"""),"")</f>
        <v/>
      </c>
    </row>
    <row r="2210">
      <c r="G2210" s="16" t="str">
        <f>IFERROR(__xludf.DUMMYFUNCTION("""COMPUTED_VALUE"""),"")</f>
        <v/>
      </c>
    </row>
    <row r="2211">
      <c r="G2211" s="16" t="str">
        <f>IFERROR(__xludf.DUMMYFUNCTION("""COMPUTED_VALUE"""),"")</f>
        <v/>
      </c>
    </row>
    <row r="2212">
      <c r="G2212" s="16" t="str">
        <f>IFERROR(__xludf.DUMMYFUNCTION("""COMPUTED_VALUE"""),"")</f>
        <v/>
      </c>
    </row>
    <row r="2213">
      <c r="G2213" s="16" t="str">
        <f>IFERROR(__xludf.DUMMYFUNCTION("""COMPUTED_VALUE"""),"")</f>
        <v/>
      </c>
    </row>
    <row r="2214">
      <c r="G2214" s="16" t="str">
        <f>IFERROR(__xludf.DUMMYFUNCTION("""COMPUTED_VALUE"""),"")</f>
        <v/>
      </c>
    </row>
    <row r="2215">
      <c r="G2215" s="16" t="str">
        <f>IFERROR(__xludf.DUMMYFUNCTION("""COMPUTED_VALUE"""),"")</f>
        <v/>
      </c>
    </row>
    <row r="2216">
      <c r="G2216" s="16" t="str">
        <f>IFERROR(__xludf.DUMMYFUNCTION("""COMPUTED_VALUE"""),"")</f>
        <v/>
      </c>
    </row>
    <row r="2217">
      <c r="G2217" s="16" t="str">
        <f>IFERROR(__xludf.DUMMYFUNCTION("""COMPUTED_VALUE"""),"")</f>
        <v/>
      </c>
    </row>
    <row r="2218">
      <c r="G2218" s="16" t="str">
        <f>IFERROR(__xludf.DUMMYFUNCTION("""COMPUTED_VALUE"""),"")</f>
        <v/>
      </c>
    </row>
    <row r="2219">
      <c r="G2219" s="16" t="str">
        <f>IFERROR(__xludf.DUMMYFUNCTION("""COMPUTED_VALUE"""),"")</f>
        <v/>
      </c>
    </row>
    <row r="2220">
      <c r="G2220" s="16" t="str">
        <f>IFERROR(__xludf.DUMMYFUNCTION("""COMPUTED_VALUE"""),"")</f>
        <v/>
      </c>
    </row>
    <row r="2221">
      <c r="G2221" s="16" t="str">
        <f>IFERROR(__xludf.DUMMYFUNCTION("""COMPUTED_VALUE"""),"")</f>
        <v/>
      </c>
    </row>
    <row r="2222">
      <c r="G2222" s="16" t="str">
        <f>IFERROR(__xludf.DUMMYFUNCTION("""COMPUTED_VALUE"""),"")</f>
        <v/>
      </c>
    </row>
    <row r="2223">
      <c r="G2223" s="16" t="str">
        <f>IFERROR(__xludf.DUMMYFUNCTION("""COMPUTED_VALUE"""),"")</f>
        <v/>
      </c>
    </row>
    <row r="2224">
      <c r="G2224" s="16" t="str">
        <f>IFERROR(__xludf.DUMMYFUNCTION("""COMPUTED_VALUE"""),"")</f>
        <v/>
      </c>
    </row>
    <row r="2225">
      <c r="G2225" s="16" t="str">
        <f>IFERROR(__xludf.DUMMYFUNCTION("""COMPUTED_VALUE"""),"")</f>
        <v/>
      </c>
    </row>
    <row r="2226">
      <c r="G2226" s="16" t="str">
        <f>IFERROR(__xludf.DUMMYFUNCTION("""COMPUTED_VALUE"""),"")</f>
        <v/>
      </c>
    </row>
    <row r="2227">
      <c r="G2227" s="16" t="str">
        <f>IFERROR(__xludf.DUMMYFUNCTION("""COMPUTED_VALUE"""),"")</f>
        <v/>
      </c>
    </row>
    <row r="2228">
      <c r="G2228" s="16" t="str">
        <f>IFERROR(__xludf.DUMMYFUNCTION("""COMPUTED_VALUE"""),"")</f>
        <v/>
      </c>
    </row>
    <row r="2229">
      <c r="G2229" s="16" t="str">
        <f>IFERROR(__xludf.DUMMYFUNCTION("""COMPUTED_VALUE"""),"")</f>
        <v/>
      </c>
    </row>
    <row r="2230">
      <c r="G2230" s="16" t="str">
        <f>IFERROR(__xludf.DUMMYFUNCTION("""COMPUTED_VALUE"""),"")</f>
        <v/>
      </c>
    </row>
    <row r="2231">
      <c r="G2231" s="16" t="str">
        <f>IFERROR(__xludf.DUMMYFUNCTION("""COMPUTED_VALUE"""),"")</f>
        <v/>
      </c>
    </row>
    <row r="2232">
      <c r="G2232" s="16" t="str">
        <f>IFERROR(__xludf.DUMMYFUNCTION("""COMPUTED_VALUE"""),"")</f>
        <v/>
      </c>
    </row>
    <row r="2233">
      <c r="G2233" s="16" t="str">
        <f>IFERROR(__xludf.DUMMYFUNCTION("""COMPUTED_VALUE"""),"")</f>
        <v/>
      </c>
    </row>
    <row r="2234">
      <c r="G2234" s="16" t="str">
        <f>IFERROR(__xludf.DUMMYFUNCTION("""COMPUTED_VALUE"""),"")</f>
        <v/>
      </c>
    </row>
    <row r="2235">
      <c r="G2235" s="16" t="str">
        <f>IFERROR(__xludf.DUMMYFUNCTION("""COMPUTED_VALUE"""),"")</f>
        <v/>
      </c>
    </row>
    <row r="2236">
      <c r="G2236" s="16" t="str">
        <f>IFERROR(__xludf.DUMMYFUNCTION("""COMPUTED_VALUE"""),"")</f>
        <v/>
      </c>
    </row>
    <row r="2237">
      <c r="G2237" s="16" t="str">
        <f>IFERROR(__xludf.DUMMYFUNCTION("""COMPUTED_VALUE"""),"")</f>
        <v/>
      </c>
    </row>
    <row r="2238">
      <c r="G2238" s="16" t="str">
        <f>IFERROR(__xludf.DUMMYFUNCTION("""COMPUTED_VALUE"""),"")</f>
        <v/>
      </c>
    </row>
    <row r="2239">
      <c r="G2239" s="16" t="str">
        <f>IFERROR(__xludf.DUMMYFUNCTION("""COMPUTED_VALUE"""),"")</f>
        <v/>
      </c>
    </row>
    <row r="2240">
      <c r="G2240" s="16" t="str">
        <f>IFERROR(__xludf.DUMMYFUNCTION("""COMPUTED_VALUE"""),"")</f>
        <v/>
      </c>
    </row>
    <row r="2241">
      <c r="G2241" s="16" t="str">
        <f>IFERROR(__xludf.DUMMYFUNCTION("""COMPUTED_VALUE"""),"")</f>
        <v/>
      </c>
    </row>
    <row r="2242">
      <c r="G2242" s="16" t="str">
        <f>IFERROR(__xludf.DUMMYFUNCTION("""COMPUTED_VALUE"""),"")</f>
        <v/>
      </c>
    </row>
    <row r="2243">
      <c r="G2243" s="16" t="str">
        <f>IFERROR(__xludf.DUMMYFUNCTION("""COMPUTED_VALUE"""),"")</f>
        <v/>
      </c>
    </row>
    <row r="2244">
      <c r="G2244" s="16" t="str">
        <f>IFERROR(__xludf.DUMMYFUNCTION("""COMPUTED_VALUE"""),"")</f>
        <v/>
      </c>
    </row>
    <row r="2245">
      <c r="G2245" s="16" t="str">
        <f>IFERROR(__xludf.DUMMYFUNCTION("""COMPUTED_VALUE"""),"")</f>
        <v/>
      </c>
    </row>
    <row r="2246">
      <c r="G2246" s="16" t="str">
        <f>IFERROR(__xludf.DUMMYFUNCTION("""COMPUTED_VALUE"""),"")</f>
        <v/>
      </c>
    </row>
    <row r="2247">
      <c r="G2247" s="16" t="str">
        <f>IFERROR(__xludf.DUMMYFUNCTION("""COMPUTED_VALUE"""),"")</f>
        <v/>
      </c>
    </row>
    <row r="2248">
      <c r="G2248" s="16" t="str">
        <f>IFERROR(__xludf.DUMMYFUNCTION("""COMPUTED_VALUE"""),"")</f>
        <v/>
      </c>
    </row>
    <row r="2249">
      <c r="G2249" s="16" t="str">
        <f>IFERROR(__xludf.DUMMYFUNCTION("""COMPUTED_VALUE"""),"")</f>
        <v/>
      </c>
    </row>
    <row r="2250">
      <c r="G2250" s="16" t="str">
        <f>IFERROR(__xludf.DUMMYFUNCTION("""COMPUTED_VALUE"""),"")</f>
        <v/>
      </c>
    </row>
    <row r="2251">
      <c r="G2251" s="16" t="str">
        <f>IFERROR(__xludf.DUMMYFUNCTION("""COMPUTED_VALUE"""),"")</f>
        <v/>
      </c>
    </row>
    <row r="2252">
      <c r="G2252" s="16" t="str">
        <f>IFERROR(__xludf.DUMMYFUNCTION("""COMPUTED_VALUE"""),"")</f>
        <v/>
      </c>
    </row>
    <row r="2253">
      <c r="G2253" s="16" t="str">
        <f>IFERROR(__xludf.DUMMYFUNCTION("""COMPUTED_VALUE"""),"")</f>
        <v/>
      </c>
    </row>
    <row r="2254">
      <c r="G2254" s="16" t="str">
        <f>IFERROR(__xludf.DUMMYFUNCTION("""COMPUTED_VALUE"""),"")</f>
        <v/>
      </c>
    </row>
    <row r="2255">
      <c r="G2255" s="16" t="str">
        <f>IFERROR(__xludf.DUMMYFUNCTION("""COMPUTED_VALUE"""),"")</f>
        <v/>
      </c>
    </row>
    <row r="2256">
      <c r="G2256" s="16" t="str">
        <f>IFERROR(__xludf.DUMMYFUNCTION("""COMPUTED_VALUE"""),"")</f>
        <v/>
      </c>
    </row>
    <row r="2257">
      <c r="G2257" s="16" t="str">
        <f>IFERROR(__xludf.DUMMYFUNCTION("""COMPUTED_VALUE"""),"")</f>
        <v/>
      </c>
    </row>
    <row r="2258">
      <c r="G2258" s="16" t="str">
        <f>IFERROR(__xludf.DUMMYFUNCTION("""COMPUTED_VALUE"""),"")</f>
        <v/>
      </c>
    </row>
    <row r="2259">
      <c r="G2259" s="16" t="str">
        <f>IFERROR(__xludf.DUMMYFUNCTION("""COMPUTED_VALUE"""),"")</f>
        <v/>
      </c>
    </row>
    <row r="2260">
      <c r="G2260" s="16" t="str">
        <f>IFERROR(__xludf.DUMMYFUNCTION("""COMPUTED_VALUE"""),"")</f>
        <v/>
      </c>
    </row>
    <row r="2261">
      <c r="G2261" s="16" t="str">
        <f>IFERROR(__xludf.DUMMYFUNCTION("""COMPUTED_VALUE"""),"")</f>
        <v/>
      </c>
    </row>
    <row r="2262">
      <c r="G2262" s="16" t="str">
        <f>IFERROR(__xludf.DUMMYFUNCTION("""COMPUTED_VALUE"""),"")</f>
        <v/>
      </c>
    </row>
    <row r="2263">
      <c r="G2263" s="16" t="str">
        <f>IFERROR(__xludf.DUMMYFUNCTION("""COMPUTED_VALUE"""),"")</f>
        <v/>
      </c>
    </row>
    <row r="2264">
      <c r="G2264" s="16" t="str">
        <f>IFERROR(__xludf.DUMMYFUNCTION("""COMPUTED_VALUE"""),"")</f>
        <v/>
      </c>
    </row>
    <row r="2265">
      <c r="G2265" s="16" t="str">
        <f>IFERROR(__xludf.DUMMYFUNCTION("""COMPUTED_VALUE"""),"")</f>
        <v/>
      </c>
    </row>
    <row r="2266">
      <c r="G2266" s="16" t="str">
        <f>IFERROR(__xludf.DUMMYFUNCTION("""COMPUTED_VALUE"""),"")</f>
        <v/>
      </c>
    </row>
    <row r="2267">
      <c r="G2267" s="16" t="str">
        <f>IFERROR(__xludf.DUMMYFUNCTION("""COMPUTED_VALUE"""),"")</f>
        <v/>
      </c>
    </row>
    <row r="2268">
      <c r="G2268" s="16" t="str">
        <f>IFERROR(__xludf.DUMMYFUNCTION("""COMPUTED_VALUE"""),"")</f>
        <v/>
      </c>
    </row>
    <row r="2269">
      <c r="G2269" s="16" t="str">
        <f>IFERROR(__xludf.DUMMYFUNCTION("""COMPUTED_VALUE"""),"")</f>
        <v/>
      </c>
    </row>
    <row r="2270">
      <c r="G2270" s="16" t="str">
        <f>IFERROR(__xludf.DUMMYFUNCTION("""COMPUTED_VALUE"""),"")</f>
        <v/>
      </c>
    </row>
    <row r="2271">
      <c r="G2271" s="16" t="str">
        <f>IFERROR(__xludf.DUMMYFUNCTION("""COMPUTED_VALUE"""),"")</f>
        <v/>
      </c>
    </row>
    <row r="2272">
      <c r="G2272" s="16" t="str">
        <f>IFERROR(__xludf.DUMMYFUNCTION("""COMPUTED_VALUE"""),"")</f>
        <v/>
      </c>
    </row>
    <row r="2273">
      <c r="G2273" s="16" t="str">
        <f>IFERROR(__xludf.DUMMYFUNCTION("""COMPUTED_VALUE"""),"")</f>
        <v/>
      </c>
    </row>
    <row r="2274">
      <c r="G2274" s="16" t="str">
        <f>IFERROR(__xludf.DUMMYFUNCTION("""COMPUTED_VALUE"""),"")</f>
        <v/>
      </c>
    </row>
    <row r="2275">
      <c r="G2275" s="16" t="str">
        <f>IFERROR(__xludf.DUMMYFUNCTION("""COMPUTED_VALUE"""),"")</f>
        <v/>
      </c>
    </row>
    <row r="2276">
      <c r="G2276" s="16" t="str">
        <f>IFERROR(__xludf.DUMMYFUNCTION("""COMPUTED_VALUE"""),"")</f>
        <v/>
      </c>
    </row>
    <row r="2277">
      <c r="G2277" s="16" t="str">
        <f>IFERROR(__xludf.DUMMYFUNCTION("""COMPUTED_VALUE"""),"")</f>
        <v/>
      </c>
    </row>
    <row r="2278">
      <c r="G2278" s="16" t="str">
        <f>IFERROR(__xludf.DUMMYFUNCTION("""COMPUTED_VALUE"""),"")</f>
        <v/>
      </c>
    </row>
    <row r="2279">
      <c r="G2279" s="16" t="str">
        <f>IFERROR(__xludf.DUMMYFUNCTION("""COMPUTED_VALUE"""),"")</f>
        <v/>
      </c>
    </row>
    <row r="2280">
      <c r="G2280" s="16" t="str">
        <f>IFERROR(__xludf.DUMMYFUNCTION("""COMPUTED_VALUE"""),"")</f>
        <v/>
      </c>
    </row>
    <row r="2281">
      <c r="G2281" s="16" t="str">
        <f>IFERROR(__xludf.DUMMYFUNCTION("""COMPUTED_VALUE"""),"")</f>
        <v/>
      </c>
    </row>
    <row r="2282">
      <c r="G2282" s="16" t="str">
        <f>IFERROR(__xludf.DUMMYFUNCTION("""COMPUTED_VALUE"""),"")</f>
        <v/>
      </c>
    </row>
    <row r="2283">
      <c r="G2283" s="16" t="str">
        <f>IFERROR(__xludf.DUMMYFUNCTION("""COMPUTED_VALUE"""),"")</f>
        <v/>
      </c>
    </row>
    <row r="2284">
      <c r="G2284" s="16" t="str">
        <f>IFERROR(__xludf.DUMMYFUNCTION("""COMPUTED_VALUE"""),"")</f>
        <v/>
      </c>
    </row>
    <row r="2285">
      <c r="G2285" s="16" t="str">
        <f>IFERROR(__xludf.DUMMYFUNCTION("""COMPUTED_VALUE"""),"")</f>
        <v/>
      </c>
    </row>
    <row r="2286">
      <c r="G2286" s="16" t="str">
        <f>IFERROR(__xludf.DUMMYFUNCTION("""COMPUTED_VALUE"""),"")</f>
        <v/>
      </c>
    </row>
    <row r="2287">
      <c r="G2287" s="16" t="str">
        <f>IFERROR(__xludf.DUMMYFUNCTION("""COMPUTED_VALUE"""),"")</f>
        <v/>
      </c>
    </row>
    <row r="2288">
      <c r="G2288" s="16" t="str">
        <f>IFERROR(__xludf.DUMMYFUNCTION("""COMPUTED_VALUE"""),"")</f>
        <v/>
      </c>
    </row>
    <row r="2289">
      <c r="G2289" s="16" t="str">
        <f>IFERROR(__xludf.DUMMYFUNCTION("""COMPUTED_VALUE"""),"")</f>
        <v/>
      </c>
    </row>
    <row r="2290">
      <c r="G2290" s="16" t="str">
        <f>IFERROR(__xludf.DUMMYFUNCTION("""COMPUTED_VALUE"""),"")</f>
        <v/>
      </c>
    </row>
    <row r="2291">
      <c r="G2291" s="16" t="str">
        <f>IFERROR(__xludf.DUMMYFUNCTION("""COMPUTED_VALUE"""),"")</f>
        <v/>
      </c>
    </row>
    <row r="2292">
      <c r="G2292" s="16" t="str">
        <f>IFERROR(__xludf.DUMMYFUNCTION("""COMPUTED_VALUE"""),"")</f>
        <v/>
      </c>
    </row>
    <row r="2293">
      <c r="G2293" s="16" t="str">
        <f>IFERROR(__xludf.DUMMYFUNCTION("""COMPUTED_VALUE"""),"")</f>
        <v/>
      </c>
    </row>
    <row r="2294">
      <c r="G2294" s="16" t="str">
        <f>IFERROR(__xludf.DUMMYFUNCTION("""COMPUTED_VALUE"""),"")</f>
        <v/>
      </c>
    </row>
    <row r="2295">
      <c r="G2295" s="16" t="str">
        <f>IFERROR(__xludf.DUMMYFUNCTION("""COMPUTED_VALUE"""),"")</f>
        <v/>
      </c>
    </row>
    <row r="2296">
      <c r="G2296" s="16" t="str">
        <f>IFERROR(__xludf.DUMMYFUNCTION("""COMPUTED_VALUE"""),"")</f>
        <v/>
      </c>
    </row>
    <row r="2297">
      <c r="G2297" s="16" t="str">
        <f>IFERROR(__xludf.DUMMYFUNCTION("""COMPUTED_VALUE"""),"")</f>
        <v/>
      </c>
    </row>
    <row r="2298">
      <c r="G2298" s="16" t="str">
        <f>IFERROR(__xludf.DUMMYFUNCTION("""COMPUTED_VALUE"""),"")</f>
        <v/>
      </c>
    </row>
    <row r="2299">
      <c r="G2299" s="16" t="str">
        <f>IFERROR(__xludf.DUMMYFUNCTION("""COMPUTED_VALUE"""),"")</f>
        <v/>
      </c>
    </row>
    <row r="2300">
      <c r="G2300" s="16" t="str">
        <f>IFERROR(__xludf.DUMMYFUNCTION("""COMPUTED_VALUE"""),"")</f>
        <v/>
      </c>
    </row>
    <row r="2301">
      <c r="G2301" s="16" t="str">
        <f>IFERROR(__xludf.DUMMYFUNCTION("""COMPUTED_VALUE"""),"")</f>
        <v/>
      </c>
    </row>
    <row r="2302">
      <c r="G2302" s="16" t="str">
        <f>IFERROR(__xludf.DUMMYFUNCTION("""COMPUTED_VALUE"""),"")</f>
        <v/>
      </c>
    </row>
    <row r="2303">
      <c r="G2303" s="16" t="str">
        <f>IFERROR(__xludf.DUMMYFUNCTION("""COMPUTED_VALUE"""),"")</f>
        <v/>
      </c>
    </row>
    <row r="2304">
      <c r="G2304" s="16" t="str">
        <f>IFERROR(__xludf.DUMMYFUNCTION("""COMPUTED_VALUE"""),"")</f>
        <v/>
      </c>
    </row>
    <row r="2305">
      <c r="G2305" s="16" t="str">
        <f>IFERROR(__xludf.DUMMYFUNCTION("""COMPUTED_VALUE"""),"")</f>
        <v/>
      </c>
    </row>
    <row r="2306">
      <c r="G2306" s="16" t="str">
        <f>IFERROR(__xludf.DUMMYFUNCTION("""COMPUTED_VALUE"""),"")</f>
        <v/>
      </c>
    </row>
    <row r="2307">
      <c r="G2307" s="16" t="str">
        <f>IFERROR(__xludf.DUMMYFUNCTION("""COMPUTED_VALUE"""),"")</f>
        <v/>
      </c>
    </row>
    <row r="2308">
      <c r="G2308" s="16" t="str">
        <f>IFERROR(__xludf.DUMMYFUNCTION("""COMPUTED_VALUE"""),"")</f>
        <v/>
      </c>
    </row>
    <row r="2309">
      <c r="G2309" s="16" t="str">
        <f>IFERROR(__xludf.DUMMYFUNCTION("""COMPUTED_VALUE"""),"")</f>
        <v/>
      </c>
    </row>
    <row r="2310">
      <c r="G2310" s="16" t="str">
        <f>IFERROR(__xludf.DUMMYFUNCTION("""COMPUTED_VALUE"""),"")</f>
        <v/>
      </c>
    </row>
    <row r="2311">
      <c r="G2311" s="16" t="str">
        <f>IFERROR(__xludf.DUMMYFUNCTION("""COMPUTED_VALUE"""),"")</f>
        <v/>
      </c>
    </row>
    <row r="2312">
      <c r="G2312" s="16" t="str">
        <f>IFERROR(__xludf.DUMMYFUNCTION("""COMPUTED_VALUE"""),"")</f>
        <v/>
      </c>
    </row>
    <row r="2313">
      <c r="G2313" s="16" t="str">
        <f>IFERROR(__xludf.DUMMYFUNCTION("""COMPUTED_VALUE"""),"")</f>
        <v/>
      </c>
    </row>
    <row r="2314">
      <c r="G2314" s="16" t="str">
        <f>IFERROR(__xludf.DUMMYFUNCTION("""COMPUTED_VALUE"""),"")</f>
        <v/>
      </c>
    </row>
    <row r="2315">
      <c r="G2315" s="16" t="str">
        <f>IFERROR(__xludf.DUMMYFUNCTION("""COMPUTED_VALUE"""),"")</f>
        <v/>
      </c>
    </row>
    <row r="2316">
      <c r="G2316" s="16" t="str">
        <f>IFERROR(__xludf.DUMMYFUNCTION("""COMPUTED_VALUE"""),"")</f>
        <v/>
      </c>
    </row>
    <row r="2317">
      <c r="G2317" s="16" t="str">
        <f>IFERROR(__xludf.DUMMYFUNCTION("""COMPUTED_VALUE"""),"")</f>
        <v/>
      </c>
    </row>
    <row r="2318">
      <c r="G2318" s="16" t="str">
        <f>IFERROR(__xludf.DUMMYFUNCTION("""COMPUTED_VALUE"""),"")</f>
        <v/>
      </c>
    </row>
    <row r="2319">
      <c r="G2319" s="16" t="str">
        <f>IFERROR(__xludf.DUMMYFUNCTION("""COMPUTED_VALUE"""),"")</f>
        <v/>
      </c>
    </row>
    <row r="2320">
      <c r="G2320" s="16" t="str">
        <f>IFERROR(__xludf.DUMMYFUNCTION("""COMPUTED_VALUE"""),"")</f>
        <v/>
      </c>
    </row>
    <row r="2321">
      <c r="G2321" s="16" t="str">
        <f>IFERROR(__xludf.DUMMYFUNCTION("""COMPUTED_VALUE"""),"")</f>
        <v/>
      </c>
    </row>
    <row r="2322">
      <c r="G2322" s="16" t="str">
        <f>IFERROR(__xludf.DUMMYFUNCTION("""COMPUTED_VALUE"""),"")</f>
        <v/>
      </c>
    </row>
    <row r="2323">
      <c r="G2323" s="16" t="str">
        <f>IFERROR(__xludf.DUMMYFUNCTION("""COMPUTED_VALUE"""),"")</f>
        <v/>
      </c>
    </row>
    <row r="2324">
      <c r="G2324" s="16" t="str">
        <f>IFERROR(__xludf.DUMMYFUNCTION("""COMPUTED_VALUE"""),"")</f>
        <v/>
      </c>
    </row>
    <row r="2325">
      <c r="G2325" s="16" t="str">
        <f>IFERROR(__xludf.DUMMYFUNCTION("""COMPUTED_VALUE"""),"")</f>
        <v/>
      </c>
    </row>
    <row r="2326">
      <c r="G2326" s="16" t="str">
        <f>IFERROR(__xludf.DUMMYFUNCTION("""COMPUTED_VALUE"""),"")</f>
        <v/>
      </c>
    </row>
    <row r="2327">
      <c r="G2327" s="16" t="str">
        <f>IFERROR(__xludf.DUMMYFUNCTION("""COMPUTED_VALUE"""),"")</f>
        <v/>
      </c>
    </row>
    <row r="2328">
      <c r="G2328" s="16" t="str">
        <f>IFERROR(__xludf.DUMMYFUNCTION("""COMPUTED_VALUE"""),"")</f>
        <v/>
      </c>
    </row>
    <row r="2329">
      <c r="G2329" s="16" t="str">
        <f>IFERROR(__xludf.DUMMYFUNCTION("""COMPUTED_VALUE"""),"")</f>
        <v/>
      </c>
    </row>
    <row r="2330">
      <c r="G2330" s="16" t="str">
        <f>IFERROR(__xludf.DUMMYFUNCTION("""COMPUTED_VALUE"""),"")</f>
        <v/>
      </c>
    </row>
    <row r="2331">
      <c r="G2331" s="16" t="str">
        <f>IFERROR(__xludf.DUMMYFUNCTION("""COMPUTED_VALUE"""),"")</f>
        <v/>
      </c>
    </row>
    <row r="2332">
      <c r="G2332" s="16" t="str">
        <f>IFERROR(__xludf.DUMMYFUNCTION("""COMPUTED_VALUE"""),"")</f>
        <v/>
      </c>
    </row>
    <row r="2333">
      <c r="G2333" s="16" t="str">
        <f>IFERROR(__xludf.DUMMYFUNCTION("""COMPUTED_VALUE"""),"")</f>
        <v/>
      </c>
    </row>
    <row r="2334">
      <c r="G2334" s="16" t="str">
        <f>IFERROR(__xludf.DUMMYFUNCTION("""COMPUTED_VALUE"""),"")</f>
        <v/>
      </c>
    </row>
    <row r="2335">
      <c r="G2335" s="16" t="str">
        <f>IFERROR(__xludf.DUMMYFUNCTION("""COMPUTED_VALUE"""),"")</f>
        <v/>
      </c>
    </row>
    <row r="2336">
      <c r="G2336" s="16" t="str">
        <f>IFERROR(__xludf.DUMMYFUNCTION("""COMPUTED_VALUE"""),"")</f>
        <v/>
      </c>
    </row>
    <row r="2337">
      <c r="G2337" s="16" t="str">
        <f>IFERROR(__xludf.DUMMYFUNCTION("""COMPUTED_VALUE"""),"")</f>
        <v/>
      </c>
    </row>
    <row r="2338">
      <c r="G2338" s="16" t="str">
        <f>IFERROR(__xludf.DUMMYFUNCTION("""COMPUTED_VALUE"""),"")</f>
        <v/>
      </c>
    </row>
    <row r="2339">
      <c r="G2339" s="16" t="str">
        <f>IFERROR(__xludf.DUMMYFUNCTION("""COMPUTED_VALUE"""),"")</f>
        <v/>
      </c>
    </row>
    <row r="2340">
      <c r="G2340" s="16" t="str">
        <f>IFERROR(__xludf.DUMMYFUNCTION("""COMPUTED_VALUE"""),"")</f>
        <v/>
      </c>
    </row>
    <row r="2341">
      <c r="G2341" s="16" t="str">
        <f>IFERROR(__xludf.DUMMYFUNCTION("""COMPUTED_VALUE"""),"")</f>
        <v/>
      </c>
    </row>
    <row r="2342">
      <c r="G2342" s="16" t="str">
        <f>IFERROR(__xludf.DUMMYFUNCTION("""COMPUTED_VALUE"""),"")</f>
        <v/>
      </c>
    </row>
    <row r="2343">
      <c r="G2343" s="16" t="str">
        <f>IFERROR(__xludf.DUMMYFUNCTION("""COMPUTED_VALUE"""),"")</f>
        <v/>
      </c>
    </row>
    <row r="2344">
      <c r="G2344" s="16" t="str">
        <f>IFERROR(__xludf.DUMMYFUNCTION("""COMPUTED_VALUE"""),"")</f>
        <v/>
      </c>
    </row>
    <row r="2345">
      <c r="G2345" s="16" t="str">
        <f>IFERROR(__xludf.DUMMYFUNCTION("""COMPUTED_VALUE"""),"")</f>
        <v/>
      </c>
    </row>
    <row r="2346">
      <c r="G2346" s="16" t="str">
        <f>IFERROR(__xludf.DUMMYFUNCTION("""COMPUTED_VALUE"""),"")</f>
        <v/>
      </c>
    </row>
    <row r="2347">
      <c r="G2347" s="16" t="str">
        <f>IFERROR(__xludf.DUMMYFUNCTION("""COMPUTED_VALUE"""),"")</f>
        <v/>
      </c>
    </row>
    <row r="2348">
      <c r="G2348" s="16" t="str">
        <f>IFERROR(__xludf.DUMMYFUNCTION("""COMPUTED_VALUE"""),"")</f>
        <v/>
      </c>
    </row>
    <row r="2349">
      <c r="G2349" s="16" t="str">
        <f>IFERROR(__xludf.DUMMYFUNCTION("""COMPUTED_VALUE"""),"")</f>
        <v/>
      </c>
    </row>
    <row r="2350">
      <c r="G2350" s="16" t="str">
        <f>IFERROR(__xludf.DUMMYFUNCTION("""COMPUTED_VALUE"""),"")</f>
        <v/>
      </c>
    </row>
    <row r="2351">
      <c r="G2351" s="16" t="str">
        <f>IFERROR(__xludf.DUMMYFUNCTION("""COMPUTED_VALUE"""),"")</f>
        <v/>
      </c>
    </row>
    <row r="2352">
      <c r="G2352" s="16" t="str">
        <f>IFERROR(__xludf.DUMMYFUNCTION("""COMPUTED_VALUE"""),"")</f>
        <v/>
      </c>
    </row>
    <row r="2353">
      <c r="G2353" s="16" t="str">
        <f>IFERROR(__xludf.DUMMYFUNCTION("""COMPUTED_VALUE"""),"")</f>
        <v/>
      </c>
    </row>
    <row r="2354">
      <c r="G2354" s="16" t="str">
        <f>IFERROR(__xludf.DUMMYFUNCTION("""COMPUTED_VALUE"""),"")</f>
        <v/>
      </c>
    </row>
    <row r="2355">
      <c r="G2355" s="16" t="str">
        <f>IFERROR(__xludf.DUMMYFUNCTION("""COMPUTED_VALUE"""),"")</f>
        <v/>
      </c>
    </row>
    <row r="2356">
      <c r="G2356" s="16" t="str">
        <f>IFERROR(__xludf.DUMMYFUNCTION("""COMPUTED_VALUE"""),"")</f>
        <v/>
      </c>
    </row>
    <row r="2357">
      <c r="G2357" s="16" t="str">
        <f>IFERROR(__xludf.DUMMYFUNCTION("""COMPUTED_VALUE"""),"")</f>
        <v/>
      </c>
    </row>
    <row r="2358">
      <c r="G2358" s="16" t="str">
        <f>IFERROR(__xludf.DUMMYFUNCTION("""COMPUTED_VALUE"""),"")</f>
        <v/>
      </c>
    </row>
    <row r="2359">
      <c r="G2359" s="16" t="str">
        <f>IFERROR(__xludf.DUMMYFUNCTION("""COMPUTED_VALUE"""),"")</f>
        <v/>
      </c>
    </row>
    <row r="2360">
      <c r="G2360" s="16" t="str">
        <f>IFERROR(__xludf.DUMMYFUNCTION("""COMPUTED_VALUE"""),"")</f>
        <v/>
      </c>
    </row>
    <row r="2361">
      <c r="G2361" s="16" t="str">
        <f>IFERROR(__xludf.DUMMYFUNCTION("""COMPUTED_VALUE"""),"")</f>
        <v/>
      </c>
    </row>
    <row r="2362">
      <c r="G2362" s="16" t="str">
        <f>IFERROR(__xludf.DUMMYFUNCTION("""COMPUTED_VALUE"""),"")</f>
        <v/>
      </c>
    </row>
    <row r="2363">
      <c r="G2363" s="16" t="str">
        <f>IFERROR(__xludf.DUMMYFUNCTION("""COMPUTED_VALUE"""),"")</f>
        <v/>
      </c>
    </row>
    <row r="2364">
      <c r="G2364" s="16" t="str">
        <f>IFERROR(__xludf.DUMMYFUNCTION("""COMPUTED_VALUE"""),"")</f>
        <v/>
      </c>
    </row>
    <row r="2365">
      <c r="G2365" s="16" t="str">
        <f>IFERROR(__xludf.DUMMYFUNCTION("""COMPUTED_VALUE"""),"")</f>
        <v/>
      </c>
    </row>
    <row r="2366">
      <c r="G2366" s="16" t="str">
        <f>IFERROR(__xludf.DUMMYFUNCTION("""COMPUTED_VALUE"""),"")</f>
        <v/>
      </c>
    </row>
    <row r="2367">
      <c r="G2367" s="16" t="str">
        <f>IFERROR(__xludf.DUMMYFUNCTION("""COMPUTED_VALUE"""),"")</f>
        <v/>
      </c>
    </row>
    <row r="2368">
      <c r="G2368" s="16" t="str">
        <f>IFERROR(__xludf.DUMMYFUNCTION("""COMPUTED_VALUE"""),"")</f>
        <v/>
      </c>
    </row>
    <row r="2369">
      <c r="G2369" s="16" t="str">
        <f>IFERROR(__xludf.DUMMYFUNCTION("""COMPUTED_VALUE"""),"")</f>
        <v/>
      </c>
    </row>
    <row r="2370">
      <c r="G2370" s="16" t="str">
        <f>IFERROR(__xludf.DUMMYFUNCTION("""COMPUTED_VALUE"""),"")</f>
        <v/>
      </c>
    </row>
    <row r="2371">
      <c r="G2371" s="16" t="str">
        <f>IFERROR(__xludf.DUMMYFUNCTION("""COMPUTED_VALUE"""),"")</f>
        <v/>
      </c>
    </row>
    <row r="2372">
      <c r="G2372" s="16" t="str">
        <f>IFERROR(__xludf.DUMMYFUNCTION("""COMPUTED_VALUE"""),"")</f>
        <v/>
      </c>
    </row>
    <row r="2373">
      <c r="G2373" s="16" t="str">
        <f>IFERROR(__xludf.DUMMYFUNCTION("""COMPUTED_VALUE"""),"")</f>
        <v/>
      </c>
    </row>
    <row r="2374">
      <c r="G2374" s="16" t="str">
        <f>IFERROR(__xludf.DUMMYFUNCTION("""COMPUTED_VALUE"""),"")</f>
        <v/>
      </c>
    </row>
    <row r="2375">
      <c r="G2375" s="16" t="str">
        <f>IFERROR(__xludf.DUMMYFUNCTION("""COMPUTED_VALUE"""),"")</f>
        <v/>
      </c>
    </row>
    <row r="2376">
      <c r="G2376" s="16" t="str">
        <f>IFERROR(__xludf.DUMMYFUNCTION("""COMPUTED_VALUE"""),"")</f>
        <v/>
      </c>
    </row>
    <row r="2377">
      <c r="G2377" s="16" t="str">
        <f>IFERROR(__xludf.DUMMYFUNCTION("""COMPUTED_VALUE"""),"")</f>
        <v/>
      </c>
    </row>
    <row r="2378">
      <c r="G2378" s="16" t="str">
        <f>IFERROR(__xludf.DUMMYFUNCTION("""COMPUTED_VALUE"""),"")</f>
        <v/>
      </c>
    </row>
    <row r="2379">
      <c r="G2379" s="16" t="str">
        <f>IFERROR(__xludf.DUMMYFUNCTION("""COMPUTED_VALUE"""),"")</f>
        <v/>
      </c>
    </row>
    <row r="2380">
      <c r="G2380" s="16" t="str">
        <f>IFERROR(__xludf.DUMMYFUNCTION("""COMPUTED_VALUE"""),"")</f>
        <v/>
      </c>
    </row>
    <row r="2381">
      <c r="G2381" s="16" t="str">
        <f>IFERROR(__xludf.DUMMYFUNCTION("""COMPUTED_VALUE"""),"")</f>
        <v/>
      </c>
    </row>
    <row r="2382">
      <c r="G2382" s="16" t="str">
        <f>IFERROR(__xludf.DUMMYFUNCTION("""COMPUTED_VALUE"""),"")</f>
        <v/>
      </c>
    </row>
    <row r="2383">
      <c r="G2383" s="16" t="str">
        <f>IFERROR(__xludf.DUMMYFUNCTION("""COMPUTED_VALUE"""),"")</f>
        <v/>
      </c>
    </row>
    <row r="2384">
      <c r="G2384" s="16" t="str">
        <f>IFERROR(__xludf.DUMMYFUNCTION("""COMPUTED_VALUE"""),"")</f>
        <v/>
      </c>
    </row>
    <row r="2385">
      <c r="G2385" s="16" t="str">
        <f>IFERROR(__xludf.DUMMYFUNCTION("""COMPUTED_VALUE"""),"")</f>
        <v/>
      </c>
    </row>
    <row r="2386">
      <c r="G2386" s="16" t="str">
        <f>IFERROR(__xludf.DUMMYFUNCTION("""COMPUTED_VALUE"""),"")</f>
        <v/>
      </c>
    </row>
    <row r="2387">
      <c r="G2387" s="16" t="str">
        <f>IFERROR(__xludf.DUMMYFUNCTION("""COMPUTED_VALUE"""),"")</f>
        <v/>
      </c>
    </row>
    <row r="2388">
      <c r="G2388" s="16" t="str">
        <f>IFERROR(__xludf.DUMMYFUNCTION("""COMPUTED_VALUE"""),"")</f>
        <v/>
      </c>
    </row>
    <row r="2389">
      <c r="G2389" s="16" t="str">
        <f>IFERROR(__xludf.DUMMYFUNCTION("""COMPUTED_VALUE"""),"")</f>
        <v/>
      </c>
    </row>
    <row r="2390">
      <c r="G2390" s="16" t="str">
        <f>IFERROR(__xludf.DUMMYFUNCTION("""COMPUTED_VALUE"""),"")</f>
        <v/>
      </c>
    </row>
    <row r="2391">
      <c r="G2391" s="16" t="str">
        <f>IFERROR(__xludf.DUMMYFUNCTION("""COMPUTED_VALUE"""),"")</f>
        <v/>
      </c>
    </row>
    <row r="2392">
      <c r="G2392" s="16" t="str">
        <f>IFERROR(__xludf.DUMMYFUNCTION("""COMPUTED_VALUE"""),"")</f>
        <v/>
      </c>
    </row>
    <row r="2393">
      <c r="G2393" s="16" t="str">
        <f>IFERROR(__xludf.DUMMYFUNCTION("""COMPUTED_VALUE"""),"")</f>
        <v/>
      </c>
    </row>
    <row r="2394">
      <c r="G2394" s="16" t="str">
        <f>IFERROR(__xludf.DUMMYFUNCTION("""COMPUTED_VALUE"""),"")</f>
        <v/>
      </c>
    </row>
    <row r="2395">
      <c r="G2395" s="16" t="str">
        <f>IFERROR(__xludf.DUMMYFUNCTION("""COMPUTED_VALUE"""),"")</f>
        <v/>
      </c>
    </row>
    <row r="2396">
      <c r="G2396" s="16" t="str">
        <f>IFERROR(__xludf.DUMMYFUNCTION("""COMPUTED_VALUE"""),"")</f>
        <v/>
      </c>
    </row>
    <row r="2397">
      <c r="G2397" s="16" t="str">
        <f>IFERROR(__xludf.DUMMYFUNCTION("""COMPUTED_VALUE"""),"")</f>
        <v/>
      </c>
    </row>
    <row r="2398">
      <c r="G2398" s="16" t="str">
        <f>IFERROR(__xludf.DUMMYFUNCTION("""COMPUTED_VALUE"""),"")</f>
        <v/>
      </c>
    </row>
    <row r="2399">
      <c r="G2399" s="16" t="str">
        <f>IFERROR(__xludf.DUMMYFUNCTION("""COMPUTED_VALUE"""),"")</f>
        <v/>
      </c>
    </row>
    <row r="2400">
      <c r="G2400" s="16" t="str">
        <f>IFERROR(__xludf.DUMMYFUNCTION("""COMPUTED_VALUE"""),"")</f>
        <v/>
      </c>
    </row>
    <row r="2401">
      <c r="G2401" s="16" t="str">
        <f>IFERROR(__xludf.DUMMYFUNCTION("""COMPUTED_VALUE"""),"")</f>
        <v/>
      </c>
    </row>
    <row r="2402">
      <c r="G2402" s="16" t="str">
        <f>IFERROR(__xludf.DUMMYFUNCTION("""COMPUTED_VALUE"""),"")</f>
        <v/>
      </c>
    </row>
    <row r="2403">
      <c r="G2403" s="16" t="str">
        <f>IFERROR(__xludf.DUMMYFUNCTION("""COMPUTED_VALUE"""),"")</f>
        <v/>
      </c>
    </row>
    <row r="2404">
      <c r="G2404" s="16" t="str">
        <f>IFERROR(__xludf.DUMMYFUNCTION("""COMPUTED_VALUE"""),"")</f>
        <v/>
      </c>
    </row>
    <row r="2405">
      <c r="G2405" s="16" t="str">
        <f>IFERROR(__xludf.DUMMYFUNCTION("""COMPUTED_VALUE"""),"")</f>
        <v/>
      </c>
    </row>
    <row r="2406">
      <c r="G2406" s="16" t="str">
        <f>IFERROR(__xludf.DUMMYFUNCTION("""COMPUTED_VALUE"""),"")</f>
        <v/>
      </c>
    </row>
    <row r="2407">
      <c r="G2407" s="16" t="str">
        <f>IFERROR(__xludf.DUMMYFUNCTION("""COMPUTED_VALUE"""),"")</f>
        <v/>
      </c>
    </row>
    <row r="2408">
      <c r="G2408" s="16" t="str">
        <f>IFERROR(__xludf.DUMMYFUNCTION("""COMPUTED_VALUE"""),"")</f>
        <v/>
      </c>
    </row>
    <row r="2409">
      <c r="G2409" s="16" t="str">
        <f>IFERROR(__xludf.DUMMYFUNCTION("""COMPUTED_VALUE"""),"")</f>
        <v/>
      </c>
    </row>
    <row r="2410">
      <c r="G2410" s="16" t="str">
        <f>IFERROR(__xludf.DUMMYFUNCTION("""COMPUTED_VALUE"""),"")</f>
        <v/>
      </c>
    </row>
    <row r="2411">
      <c r="G2411" s="16" t="str">
        <f>IFERROR(__xludf.DUMMYFUNCTION("""COMPUTED_VALUE"""),"")</f>
        <v/>
      </c>
    </row>
    <row r="2412">
      <c r="G2412" s="16" t="str">
        <f>IFERROR(__xludf.DUMMYFUNCTION("""COMPUTED_VALUE"""),"")</f>
        <v/>
      </c>
    </row>
    <row r="2413">
      <c r="G2413" s="16" t="str">
        <f>IFERROR(__xludf.DUMMYFUNCTION("""COMPUTED_VALUE"""),"")</f>
        <v/>
      </c>
    </row>
    <row r="2414">
      <c r="G2414" s="16" t="str">
        <f>IFERROR(__xludf.DUMMYFUNCTION("""COMPUTED_VALUE"""),"")</f>
        <v/>
      </c>
    </row>
    <row r="2415">
      <c r="G2415" s="16" t="str">
        <f>IFERROR(__xludf.DUMMYFUNCTION("""COMPUTED_VALUE"""),"")</f>
        <v/>
      </c>
    </row>
    <row r="2416">
      <c r="G2416" s="16" t="str">
        <f>IFERROR(__xludf.DUMMYFUNCTION("""COMPUTED_VALUE"""),"")</f>
        <v/>
      </c>
    </row>
    <row r="2417">
      <c r="G2417" s="16" t="str">
        <f>IFERROR(__xludf.DUMMYFUNCTION("""COMPUTED_VALUE"""),"")</f>
        <v/>
      </c>
    </row>
    <row r="2418">
      <c r="G2418" s="16" t="str">
        <f>IFERROR(__xludf.DUMMYFUNCTION("""COMPUTED_VALUE"""),"")</f>
        <v/>
      </c>
    </row>
    <row r="2419">
      <c r="G2419" s="16" t="str">
        <f>IFERROR(__xludf.DUMMYFUNCTION("""COMPUTED_VALUE"""),"")</f>
        <v/>
      </c>
    </row>
    <row r="2420">
      <c r="G2420" s="16" t="str">
        <f>IFERROR(__xludf.DUMMYFUNCTION("""COMPUTED_VALUE"""),"")</f>
        <v/>
      </c>
    </row>
    <row r="2421">
      <c r="G2421" s="16" t="str">
        <f>IFERROR(__xludf.DUMMYFUNCTION("""COMPUTED_VALUE"""),"")</f>
        <v/>
      </c>
    </row>
    <row r="2422">
      <c r="G2422" s="16" t="str">
        <f>IFERROR(__xludf.DUMMYFUNCTION("""COMPUTED_VALUE"""),"")</f>
        <v/>
      </c>
    </row>
    <row r="2423">
      <c r="G2423" s="16" t="str">
        <f>IFERROR(__xludf.DUMMYFUNCTION("""COMPUTED_VALUE"""),"")</f>
        <v/>
      </c>
    </row>
    <row r="2424">
      <c r="G2424" s="16" t="str">
        <f>IFERROR(__xludf.DUMMYFUNCTION("""COMPUTED_VALUE"""),"")</f>
        <v/>
      </c>
    </row>
    <row r="2425">
      <c r="G2425" s="16" t="str">
        <f>IFERROR(__xludf.DUMMYFUNCTION("""COMPUTED_VALUE"""),"")</f>
        <v/>
      </c>
    </row>
    <row r="2426">
      <c r="G2426" s="16" t="str">
        <f>IFERROR(__xludf.DUMMYFUNCTION("""COMPUTED_VALUE"""),"")</f>
        <v/>
      </c>
    </row>
    <row r="2427">
      <c r="G2427" s="16" t="str">
        <f>IFERROR(__xludf.DUMMYFUNCTION("""COMPUTED_VALUE"""),"")</f>
        <v/>
      </c>
    </row>
    <row r="2428">
      <c r="G2428" s="16" t="str">
        <f>IFERROR(__xludf.DUMMYFUNCTION("""COMPUTED_VALUE"""),"")</f>
        <v/>
      </c>
    </row>
    <row r="2429">
      <c r="G2429" s="16" t="str">
        <f>IFERROR(__xludf.DUMMYFUNCTION("""COMPUTED_VALUE"""),"")</f>
        <v/>
      </c>
    </row>
    <row r="2430">
      <c r="G2430" s="16" t="str">
        <f>IFERROR(__xludf.DUMMYFUNCTION("""COMPUTED_VALUE"""),"")</f>
        <v/>
      </c>
    </row>
    <row r="2431">
      <c r="G2431" s="16" t="str">
        <f>IFERROR(__xludf.DUMMYFUNCTION("""COMPUTED_VALUE"""),"")</f>
        <v/>
      </c>
    </row>
    <row r="2432">
      <c r="G2432" s="16" t="str">
        <f>IFERROR(__xludf.DUMMYFUNCTION("""COMPUTED_VALUE"""),"")</f>
        <v/>
      </c>
    </row>
    <row r="2433">
      <c r="G2433" s="16" t="str">
        <f>IFERROR(__xludf.DUMMYFUNCTION("""COMPUTED_VALUE"""),"")</f>
        <v/>
      </c>
    </row>
    <row r="2434">
      <c r="G2434" s="16" t="str">
        <f>IFERROR(__xludf.DUMMYFUNCTION("""COMPUTED_VALUE"""),"")</f>
        <v/>
      </c>
    </row>
    <row r="2435">
      <c r="G2435" s="16" t="str">
        <f>IFERROR(__xludf.DUMMYFUNCTION("""COMPUTED_VALUE"""),"")</f>
        <v/>
      </c>
    </row>
    <row r="2436">
      <c r="G2436" s="16" t="str">
        <f>IFERROR(__xludf.DUMMYFUNCTION("""COMPUTED_VALUE"""),"")</f>
        <v/>
      </c>
    </row>
    <row r="2437">
      <c r="G2437" s="16" t="str">
        <f>IFERROR(__xludf.DUMMYFUNCTION("""COMPUTED_VALUE"""),"")</f>
        <v/>
      </c>
    </row>
    <row r="2438">
      <c r="G2438" s="16" t="str">
        <f>IFERROR(__xludf.DUMMYFUNCTION("""COMPUTED_VALUE"""),"")</f>
        <v/>
      </c>
    </row>
    <row r="2439">
      <c r="G2439" s="16" t="str">
        <f>IFERROR(__xludf.DUMMYFUNCTION("""COMPUTED_VALUE"""),"")</f>
        <v/>
      </c>
    </row>
    <row r="2440">
      <c r="G2440" s="16" t="str">
        <f>IFERROR(__xludf.DUMMYFUNCTION("""COMPUTED_VALUE"""),"")</f>
        <v/>
      </c>
    </row>
    <row r="2441">
      <c r="G2441" s="16" t="str">
        <f>IFERROR(__xludf.DUMMYFUNCTION("""COMPUTED_VALUE"""),"")</f>
        <v/>
      </c>
    </row>
    <row r="2442">
      <c r="G2442" s="16" t="str">
        <f>IFERROR(__xludf.DUMMYFUNCTION("""COMPUTED_VALUE"""),"")</f>
        <v/>
      </c>
    </row>
    <row r="2443">
      <c r="G2443" s="16" t="str">
        <f>IFERROR(__xludf.DUMMYFUNCTION("""COMPUTED_VALUE"""),"")</f>
        <v/>
      </c>
    </row>
    <row r="2444">
      <c r="G2444" s="16" t="str">
        <f>IFERROR(__xludf.DUMMYFUNCTION("""COMPUTED_VALUE"""),"")</f>
        <v/>
      </c>
    </row>
    <row r="2445">
      <c r="G2445" s="16" t="str">
        <f>IFERROR(__xludf.DUMMYFUNCTION("""COMPUTED_VALUE"""),"")</f>
        <v/>
      </c>
    </row>
    <row r="2446">
      <c r="G2446" s="16" t="str">
        <f>IFERROR(__xludf.DUMMYFUNCTION("""COMPUTED_VALUE"""),"")</f>
        <v/>
      </c>
    </row>
    <row r="2447">
      <c r="G2447" s="16" t="str">
        <f>IFERROR(__xludf.DUMMYFUNCTION("""COMPUTED_VALUE"""),"")</f>
        <v/>
      </c>
    </row>
    <row r="2448">
      <c r="G2448" s="16" t="str">
        <f>IFERROR(__xludf.DUMMYFUNCTION("""COMPUTED_VALUE"""),"")</f>
        <v/>
      </c>
    </row>
    <row r="2449">
      <c r="G2449" s="16" t="str">
        <f>IFERROR(__xludf.DUMMYFUNCTION("""COMPUTED_VALUE"""),"")</f>
        <v/>
      </c>
    </row>
    <row r="2450">
      <c r="G2450" s="16" t="str">
        <f>IFERROR(__xludf.DUMMYFUNCTION("""COMPUTED_VALUE"""),"")</f>
        <v/>
      </c>
    </row>
    <row r="2451">
      <c r="G2451" s="16" t="str">
        <f>IFERROR(__xludf.DUMMYFUNCTION("""COMPUTED_VALUE"""),"")</f>
        <v/>
      </c>
    </row>
    <row r="2452">
      <c r="G2452" s="16" t="str">
        <f>IFERROR(__xludf.DUMMYFUNCTION("""COMPUTED_VALUE"""),"")</f>
        <v/>
      </c>
    </row>
    <row r="2453">
      <c r="G2453" s="16" t="str">
        <f>IFERROR(__xludf.DUMMYFUNCTION("""COMPUTED_VALUE"""),"")</f>
        <v/>
      </c>
    </row>
    <row r="2454">
      <c r="G2454" s="16" t="str">
        <f>IFERROR(__xludf.DUMMYFUNCTION("""COMPUTED_VALUE"""),"")</f>
        <v/>
      </c>
    </row>
    <row r="2455">
      <c r="G2455" s="16" t="str">
        <f>IFERROR(__xludf.DUMMYFUNCTION("""COMPUTED_VALUE"""),"")</f>
        <v/>
      </c>
    </row>
    <row r="2456">
      <c r="G2456" s="16" t="str">
        <f>IFERROR(__xludf.DUMMYFUNCTION("""COMPUTED_VALUE"""),"")</f>
        <v/>
      </c>
    </row>
    <row r="2457">
      <c r="G2457" s="16" t="str">
        <f>IFERROR(__xludf.DUMMYFUNCTION("""COMPUTED_VALUE"""),"")</f>
        <v/>
      </c>
    </row>
    <row r="2458">
      <c r="G2458" s="16" t="str">
        <f>IFERROR(__xludf.DUMMYFUNCTION("""COMPUTED_VALUE"""),"")</f>
        <v/>
      </c>
    </row>
    <row r="2459">
      <c r="G2459" s="16" t="str">
        <f>IFERROR(__xludf.DUMMYFUNCTION("""COMPUTED_VALUE"""),"")</f>
        <v/>
      </c>
    </row>
    <row r="2460">
      <c r="G2460" s="16" t="str">
        <f>IFERROR(__xludf.DUMMYFUNCTION("""COMPUTED_VALUE"""),"")</f>
        <v/>
      </c>
    </row>
    <row r="2461">
      <c r="G2461" s="16" t="str">
        <f>IFERROR(__xludf.DUMMYFUNCTION("""COMPUTED_VALUE"""),"")</f>
        <v/>
      </c>
    </row>
    <row r="2462">
      <c r="G2462" s="16" t="str">
        <f>IFERROR(__xludf.DUMMYFUNCTION("""COMPUTED_VALUE"""),"")</f>
        <v/>
      </c>
    </row>
    <row r="2463">
      <c r="G2463" s="16" t="str">
        <f>IFERROR(__xludf.DUMMYFUNCTION("""COMPUTED_VALUE"""),"")</f>
        <v/>
      </c>
    </row>
    <row r="2464">
      <c r="G2464" s="16" t="str">
        <f>IFERROR(__xludf.DUMMYFUNCTION("""COMPUTED_VALUE"""),"")</f>
        <v/>
      </c>
    </row>
    <row r="2465">
      <c r="G2465" s="16" t="str">
        <f>IFERROR(__xludf.DUMMYFUNCTION("""COMPUTED_VALUE"""),"")</f>
        <v/>
      </c>
    </row>
    <row r="2466">
      <c r="G2466" s="16" t="str">
        <f>IFERROR(__xludf.DUMMYFUNCTION("""COMPUTED_VALUE"""),"")</f>
        <v/>
      </c>
    </row>
    <row r="2467">
      <c r="G2467" s="16" t="str">
        <f>IFERROR(__xludf.DUMMYFUNCTION("""COMPUTED_VALUE"""),"")</f>
        <v/>
      </c>
    </row>
    <row r="2468">
      <c r="G2468" s="16" t="str">
        <f>IFERROR(__xludf.DUMMYFUNCTION("""COMPUTED_VALUE"""),"")</f>
        <v/>
      </c>
    </row>
    <row r="2469">
      <c r="G2469" s="16" t="str">
        <f>IFERROR(__xludf.DUMMYFUNCTION("""COMPUTED_VALUE"""),"")</f>
        <v/>
      </c>
    </row>
    <row r="2470">
      <c r="G2470" s="16" t="str">
        <f>IFERROR(__xludf.DUMMYFUNCTION("""COMPUTED_VALUE"""),"")</f>
        <v/>
      </c>
    </row>
    <row r="2471">
      <c r="G2471" s="16" t="str">
        <f>IFERROR(__xludf.DUMMYFUNCTION("""COMPUTED_VALUE"""),"")</f>
        <v/>
      </c>
    </row>
    <row r="2472">
      <c r="G2472" s="16" t="str">
        <f>IFERROR(__xludf.DUMMYFUNCTION("""COMPUTED_VALUE"""),"")</f>
        <v/>
      </c>
    </row>
    <row r="2473">
      <c r="G2473" s="16" t="str">
        <f>IFERROR(__xludf.DUMMYFUNCTION("""COMPUTED_VALUE"""),"")</f>
        <v/>
      </c>
    </row>
    <row r="2474">
      <c r="G2474" s="16" t="str">
        <f>IFERROR(__xludf.DUMMYFUNCTION("""COMPUTED_VALUE"""),"")</f>
        <v/>
      </c>
    </row>
    <row r="2475">
      <c r="G2475" s="16" t="str">
        <f>IFERROR(__xludf.DUMMYFUNCTION("""COMPUTED_VALUE"""),"")</f>
        <v/>
      </c>
    </row>
    <row r="2476">
      <c r="G2476" s="16" t="str">
        <f>IFERROR(__xludf.DUMMYFUNCTION("""COMPUTED_VALUE"""),"")</f>
        <v/>
      </c>
    </row>
    <row r="2477">
      <c r="G2477" s="16" t="str">
        <f>IFERROR(__xludf.DUMMYFUNCTION("""COMPUTED_VALUE"""),"")</f>
        <v/>
      </c>
    </row>
    <row r="2478">
      <c r="G2478" s="16" t="str">
        <f>IFERROR(__xludf.DUMMYFUNCTION("""COMPUTED_VALUE"""),"")</f>
        <v/>
      </c>
    </row>
    <row r="2479">
      <c r="G2479" s="16" t="str">
        <f>IFERROR(__xludf.DUMMYFUNCTION("""COMPUTED_VALUE"""),"")</f>
        <v/>
      </c>
    </row>
    <row r="2480">
      <c r="G2480" s="16" t="str">
        <f>IFERROR(__xludf.DUMMYFUNCTION("""COMPUTED_VALUE"""),"")</f>
        <v/>
      </c>
    </row>
    <row r="2481">
      <c r="G2481" s="16" t="str">
        <f>IFERROR(__xludf.DUMMYFUNCTION("""COMPUTED_VALUE"""),"")</f>
        <v/>
      </c>
    </row>
    <row r="2482">
      <c r="G2482" s="16" t="str">
        <f>IFERROR(__xludf.DUMMYFUNCTION("""COMPUTED_VALUE"""),"")</f>
        <v/>
      </c>
    </row>
    <row r="2483">
      <c r="G2483" s="16" t="str">
        <f>IFERROR(__xludf.DUMMYFUNCTION("""COMPUTED_VALUE"""),"")</f>
        <v/>
      </c>
    </row>
    <row r="2484">
      <c r="G2484" s="16" t="str">
        <f>IFERROR(__xludf.DUMMYFUNCTION("""COMPUTED_VALUE"""),"")</f>
        <v/>
      </c>
    </row>
    <row r="2485">
      <c r="G2485" s="16" t="str">
        <f>IFERROR(__xludf.DUMMYFUNCTION("""COMPUTED_VALUE"""),"")</f>
        <v/>
      </c>
    </row>
    <row r="2486">
      <c r="G2486" s="16" t="str">
        <f>IFERROR(__xludf.DUMMYFUNCTION("""COMPUTED_VALUE"""),"")</f>
        <v/>
      </c>
    </row>
    <row r="2487">
      <c r="G2487" s="16" t="str">
        <f>IFERROR(__xludf.DUMMYFUNCTION("""COMPUTED_VALUE"""),"")</f>
        <v/>
      </c>
    </row>
    <row r="2488">
      <c r="G2488" s="16" t="str">
        <f>IFERROR(__xludf.DUMMYFUNCTION("""COMPUTED_VALUE"""),"")</f>
        <v/>
      </c>
    </row>
    <row r="2489">
      <c r="G2489" s="16" t="str">
        <f>IFERROR(__xludf.DUMMYFUNCTION("""COMPUTED_VALUE"""),"")</f>
        <v/>
      </c>
    </row>
    <row r="2490">
      <c r="G2490" s="16" t="str">
        <f>IFERROR(__xludf.DUMMYFUNCTION("""COMPUTED_VALUE"""),"")</f>
        <v/>
      </c>
    </row>
    <row r="2491">
      <c r="G2491" s="16" t="str">
        <f>IFERROR(__xludf.DUMMYFUNCTION("""COMPUTED_VALUE"""),"")</f>
        <v/>
      </c>
    </row>
    <row r="2492">
      <c r="G2492" s="16" t="str">
        <f>IFERROR(__xludf.DUMMYFUNCTION("""COMPUTED_VALUE"""),"")</f>
        <v/>
      </c>
    </row>
    <row r="2493">
      <c r="G2493" s="16" t="str">
        <f>IFERROR(__xludf.DUMMYFUNCTION("""COMPUTED_VALUE"""),"")</f>
        <v/>
      </c>
    </row>
    <row r="2494">
      <c r="G2494" s="16" t="str">
        <f>IFERROR(__xludf.DUMMYFUNCTION("""COMPUTED_VALUE"""),"")</f>
        <v/>
      </c>
    </row>
    <row r="2495">
      <c r="G2495" s="16" t="str">
        <f>IFERROR(__xludf.DUMMYFUNCTION("""COMPUTED_VALUE"""),"")</f>
        <v/>
      </c>
    </row>
    <row r="2496">
      <c r="G2496" s="16" t="str">
        <f>IFERROR(__xludf.DUMMYFUNCTION("""COMPUTED_VALUE"""),"")</f>
        <v/>
      </c>
    </row>
    <row r="2497">
      <c r="G2497" s="16" t="str">
        <f>IFERROR(__xludf.DUMMYFUNCTION("""COMPUTED_VALUE"""),"")</f>
        <v/>
      </c>
    </row>
    <row r="2498">
      <c r="G2498" s="16" t="str">
        <f>IFERROR(__xludf.DUMMYFUNCTION("""COMPUTED_VALUE"""),"")</f>
        <v/>
      </c>
    </row>
    <row r="2499">
      <c r="G2499" s="16" t="str">
        <f>IFERROR(__xludf.DUMMYFUNCTION("""COMPUTED_VALUE"""),"")</f>
        <v/>
      </c>
    </row>
    <row r="2500">
      <c r="G2500" s="16" t="str">
        <f>IFERROR(__xludf.DUMMYFUNCTION("""COMPUTED_VALUE"""),"")</f>
        <v/>
      </c>
    </row>
    <row r="2501">
      <c r="G2501" s="16" t="str">
        <f>IFERROR(__xludf.DUMMYFUNCTION("""COMPUTED_VALUE"""),"")</f>
        <v/>
      </c>
    </row>
    <row r="2502">
      <c r="G2502" s="16" t="str">
        <f>IFERROR(__xludf.DUMMYFUNCTION("""COMPUTED_VALUE"""),"")</f>
        <v/>
      </c>
    </row>
    <row r="2503">
      <c r="G2503" s="16" t="str">
        <f>IFERROR(__xludf.DUMMYFUNCTION("""COMPUTED_VALUE"""),"")</f>
        <v/>
      </c>
    </row>
    <row r="2504">
      <c r="G2504" s="16" t="str">
        <f>IFERROR(__xludf.DUMMYFUNCTION("""COMPUTED_VALUE"""),"")</f>
        <v/>
      </c>
    </row>
    <row r="2505">
      <c r="G2505" s="16" t="str">
        <f>IFERROR(__xludf.DUMMYFUNCTION("""COMPUTED_VALUE"""),"")</f>
        <v/>
      </c>
    </row>
    <row r="2506">
      <c r="G2506" s="16" t="str">
        <f>IFERROR(__xludf.DUMMYFUNCTION("""COMPUTED_VALUE"""),"")</f>
        <v/>
      </c>
    </row>
    <row r="2507">
      <c r="G2507" s="16" t="str">
        <f>IFERROR(__xludf.DUMMYFUNCTION("""COMPUTED_VALUE"""),"")</f>
        <v/>
      </c>
    </row>
    <row r="2508">
      <c r="G2508" s="16" t="str">
        <f>IFERROR(__xludf.DUMMYFUNCTION("""COMPUTED_VALUE"""),"")</f>
        <v/>
      </c>
    </row>
    <row r="2509">
      <c r="G2509" s="16" t="str">
        <f>IFERROR(__xludf.DUMMYFUNCTION("""COMPUTED_VALUE"""),"")</f>
        <v/>
      </c>
    </row>
    <row r="2510">
      <c r="G2510" s="16" t="str">
        <f>IFERROR(__xludf.DUMMYFUNCTION("""COMPUTED_VALUE"""),"")</f>
        <v/>
      </c>
    </row>
    <row r="2511">
      <c r="G2511" s="16" t="str">
        <f>IFERROR(__xludf.DUMMYFUNCTION("""COMPUTED_VALUE"""),"")</f>
        <v/>
      </c>
    </row>
    <row r="2512">
      <c r="G2512" s="16" t="str">
        <f>IFERROR(__xludf.DUMMYFUNCTION("""COMPUTED_VALUE"""),"")</f>
        <v/>
      </c>
    </row>
    <row r="2513">
      <c r="G2513" s="16" t="str">
        <f>IFERROR(__xludf.DUMMYFUNCTION("""COMPUTED_VALUE"""),"")</f>
        <v/>
      </c>
    </row>
    <row r="2514">
      <c r="G2514" s="16" t="str">
        <f>IFERROR(__xludf.DUMMYFUNCTION("""COMPUTED_VALUE"""),"")</f>
        <v/>
      </c>
    </row>
    <row r="2515">
      <c r="G2515" s="16" t="str">
        <f>IFERROR(__xludf.DUMMYFUNCTION("""COMPUTED_VALUE"""),"")</f>
        <v/>
      </c>
    </row>
    <row r="2516">
      <c r="G2516" s="16" t="str">
        <f>IFERROR(__xludf.DUMMYFUNCTION("""COMPUTED_VALUE"""),"")</f>
        <v/>
      </c>
    </row>
    <row r="2517">
      <c r="G2517" s="16" t="str">
        <f>IFERROR(__xludf.DUMMYFUNCTION("""COMPUTED_VALUE"""),"")</f>
        <v/>
      </c>
    </row>
    <row r="2518">
      <c r="G2518" s="16" t="str">
        <f>IFERROR(__xludf.DUMMYFUNCTION("""COMPUTED_VALUE"""),"")</f>
        <v/>
      </c>
    </row>
    <row r="2519">
      <c r="G2519" s="16" t="str">
        <f>IFERROR(__xludf.DUMMYFUNCTION("""COMPUTED_VALUE"""),"")</f>
        <v/>
      </c>
    </row>
    <row r="2520">
      <c r="G2520" s="16" t="str">
        <f>IFERROR(__xludf.DUMMYFUNCTION("""COMPUTED_VALUE"""),"")</f>
        <v/>
      </c>
    </row>
    <row r="2521">
      <c r="G2521" s="16" t="str">
        <f>IFERROR(__xludf.DUMMYFUNCTION("""COMPUTED_VALUE"""),"")</f>
        <v/>
      </c>
    </row>
    <row r="2522">
      <c r="G2522" s="16" t="str">
        <f>IFERROR(__xludf.DUMMYFUNCTION("""COMPUTED_VALUE"""),"")</f>
        <v/>
      </c>
    </row>
    <row r="2523">
      <c r="G2523" s="16" t="str">
        <f>IFERROR(__xludf.DUMMYFUNCTION("""COMPUTED_VALUE"""),"")</f>
        <v/>
      </c>
    </row>
    <row r="2524">
      <c r="G2524" s="16" t="str">
        <f>IFERROR(__xludf.DUMMYFUNCTION("""COMPUTED_VALUE"""),"")</f>
        <v/>
      </c>
    </row>
    <row r="2525">
      <c r="G2525" s="16" t="str">
        <f>IFERROR(__xludf.DUMMYFUNCTION("""COMPUTED_VALUE"""),"")</f>
        <v/>
      </c>
    </row>
    <row r="2526">
      <c r="G2526" s="16" t="str">
        <f>IFERROR(__xludf.DUMMYFUNCTION("""COMPUTED_VALUE"""),"")</f>
        <v/>
      </c>
    </row>
    <row r="2527">
      <c r="G2527" s="16" t="str">
        <f>IFERROR(__xludf.DUMMYFUNCTION("""COMPUTED_VALUE"""),"")</f>
        <v/>
      </c>
    </row>
    <row r="2528">
      <c r="G2528" s="16" t="str">
        <f>IFERROR(__xludf.DUMMYFUNCTION("""COMPUTED_VALUE"""),"")</f>
        <v/>
      </c>
    </row>
    <row r="2529">
      <c r="G2529" s="16" t="str">
        <f>IFERROR(__xludf.DUMMYFUNCTION("""COMPUTED_VALUE"""),"")</f>
        <v/>
      </c>
    </row>
    <row r="2530">
      <c r="G2530" s="16" t="str">
        <f>IFERROR(__xludf.DUMMYFUNCTION("""COMPUTED_VALUE"""),"")</f>
        <v/>
      </c>
    </row>
    <row r="2531">
      <c r="G2531" s="16" t="str">
        <f>IFERROR(__xludf.DUMMYFUNCTION("""COMPUTED_VALUE"""),"")</f>
        <v/>
      </c>
    </row>
    <row r="2532">
      <c r="G2532" s="16" t="str">
        <f>IFERROR(__xludf.DUMMYFUNCTION("""COMPUTED_VALUE"""),"")</f>
        <v/>
      </c>
    </row>
    <row r="2533">
      <c r="G2533" s="16" t="str">
        <f>IFERROR(__xludf.DUMMYFUNCTION("""COMPUTED_VALUE"""),"")</f>
        <v/>
      </c>
    </row>
    <row r="2534">
      <c r="G2534" s="16" t="str">
        <f>IFERROR(__xludf.DUMMYFUNCTION("""COMPUTED_VALUE"""),"")</f>
        <v/>
      </c>
    </row>
    <row r="2535">
      <c r="G2535" s="16" t="str">
        <f>IFERROR(__xludf.DUMMYFUNCTION("""COMPUTED_VALUE"""),"")</f>
        <v/>
      </c>
    </row>
    <row r="2536">
      <c r="G2536" s="16" t="str">
        <f>IFERROR(__xludf.DUMMYFUNCTION("""COMPUTED_VALUE"""),"")</f>
        <v/>
      </c>
    </row>
    <row r="2537">
      <c r="G2537" s="16" t="str">
        <f>IFERROR(__xludf.DUMMYFUNCTION("""COMPUTED_VALUE"""),"")</f>
        <v/>
      </c>
    </row>
    <row r="2538">
      <c r="G2538" s="16" t="str">
        <f>IFERROR(__xludf.DUMMYFUNCTION("""COMPUTED_VALUE"""),"")</f>
        <v/>
      </c>
    </row>
    <row r="2539">
      <c r="G2539" s="16" t="str">
        <f>IFERROR(__xludf.DUMMYFUNCTION("""COMPUTED_VALUE"""),"")</f>
        <v/>
      </c>
    </row>
    <row r="2540">
      <c r="G2540" s="16" t="str">
        <f>IFERROR(__xludf.DUMMYFUNCTION("""COMPUTED_VALUE"""),"")</f>
        <v/>
      </c>
    </row>
    <row r="2541">
      <c r="G2541" s="16" t="str">
        <f>IFERROR(__xludf.DUMMYFUNCTION("""COMPUTED_VALUE"""),"")</f>
        <v/>
      </c>
    </row>
    <row r="2542">
      <c r="G2542" s="16" t="str">
        <f>IFERROR(__xludf.DUMMYFUNCTION("""COMPUTED_VALUE"""),"")</f>
        <v/>
      </c>
    </row>
    <row r="2543">
      <c r="G2543" s="16" t="str">
        <f>IFERROR(__xludf.DUMMYFUNCTION("""COMPUTED_VALUE"""),"")</f>
        <v/>
      </c>
    </row>
    <row r="2544">
      <c r="G2544" s="16" t="str">
        <f>IFERROR(__xludf.DUMMYFUNCTION("""COMPUTED_VALUE"""),"")</f>
        <v/>
      </c>
    </row>
    <row r="2545">
      <c r="G2545" s="16" t="str">
        <f>IFERROR(__xludf.DUMMYFUNCTION("""COMPUTED_VALUE"""),"")</f>
        <v/>
      </c>
    </row>
    <row r="2546">
      <c r="G2546" s="16" t="str">
        <f>IFERROR(__xludf.DUMMYFUNCTION("""COMPUTED_VALUE"""),"")</f>
        <v/>
      </c>
    </row>
    <row r="2547">
      <c r="G2547" s="16" t="str">
        <f>IFERROR(__xludf.DUMMYFUNCTION("""COMPUTED_VALUE"""),"")</f>
        <v/>
      </c>
    </row>
    <row r="2548">
      <c r="G2548" s="16" t="str">
        <f>IFERROR(__xludf.DUMMYFUNCTION("""COMPUTED_VALUE"""),"")</f>
        <v/>
      </c>
    </row>
    <row r="2549">
      <c r="G2549" s="16" t="str">
        <f>IFERROR(__xludf.DUMMYFUNCTION("""COMPUTED_VALUE"""),"")</f>
        <v/>
      </c>
    </row>
    <row r="2550">
      <c r="G2550" s="16" t="str">
        <f>IFERROR(__xludf.DUMMYFUNCTION("""COMPUTED_VALUE"""),"")</f>
        <v/>
      </c>
    </row>
    <row r="2551">
      <c r="G2551" s="16" t="str">
        <f>IFERROR(__xludf.DUMMYFUNCTION("""COMPUTED_VALUE"""),"")</f>
        <v/>
      </c>
    </row>
    <row r="2552">
      <c r="G2552" s="16" t="str">
        <f>IFERROR(__xludf.DUMMYFUNCTION("""COMPUTED_VALUE"""),"")</f>
        <v/>
      </c>
    </row>
    <row r="2553">
      <c r="G2553" s="16" t="str">
        <f>IFERROR(__xludf.DUMMYFUNCTION("""COMPUTED_VALUE"""),"")</f>
        <v/>
      </c>
    </row>
    <row r="2554">
      <c r="G2554" s="16" t="str">
        <f>IFERROR(__xludf.DUMMYFUNCTION("""COMPUTED_VALUE"""),"")</f>
        <v/>
      </c>
    </row>
    <row r="2555">
      <c r="G2555" s="16" t="str">
        <f>IFERROR(__xludf.DUMMYFUNCTION("""COMPUTED_VALUE"""),"")</f>
        <v/>
      </c>
    </row>
    <row r="2556">
      <c r="G2556" s="16" t="str">
        <f>IFERROR(__xludf.DUMMYFUNCTION("""COMPUTED_VALUE"""),"")</f>
        <v/>
      </c>
    </row>
    <row r="2557">
      <c r="G2557" s="16" t="str">
        <f>IFERROR(__xludf.DUMMYFUNCTION("""COMPUTED_VALUE"""),"")</f>
        <v/>
      </c>
    </row>
    <row r="2558">
      <c r="G2558" s="16" t="str">
        <f>IFERROR(__xludf.DUMMYFUNCTION("""COMPUTED_VALUE"""),"")</f>
        <v/>
      </c>
    </row>
    <row r="2559">
      <c r="G2559" s="16" t="str">
        <f>IFERROR(__xludf.DUMMYFUNCTION("""COMPUTED_VALUE"""),"")</f>
        <v/>
      </c>
    </row>
    <row r="2560">
      <c r="G2560" s="16" t="str">
        <f>IFERROR(__xludf.DUMMYFUNCTION("""COMPUTED_VALUE"""),"")</f>
        <v/>
      </c>
    </row>
    <row r="2561">
      <c r="G2561" s="16" t="str">
        <f>IFERROR(__xludf.DUMMYFUNCTION("""COMPUTED_VALUE"""),"")</f>
        <v/>
      </c>
    </row>
    <row r="2562">
      <c r="G2562" s="16" t="str">
        <f>IFERROR(__xludf.DUMMYFUNCTION("""COMPUTED_VALUE"""),"")</f>
        <v/>
      </c>
    </row>
    <row r="2563">
      <c r="G2563" s="16" t="str">
        <f>IFERROR(__xludf.DUMMYFUNCTION("""COMPUTED_VALUE"""),"")</f>
        <v/>
      </c>
    </row>
    <row r="2564">
      <c r="G2564" s="16" t="str">
        <f>IFERROR(__xludf.DUMMYFUNCTION("""COMPUTED_VALUE"""),"")</f>
        <v/>
      </c>
    </row>
    <row r="2565">
      <c r="G2565" s="16" t="str">
        <f>IFERROR(__xludf.DUMMYFUNCTION("""COMPUTED_VALUE"""),"")</f>
        <v/>
      </c>
    </row>
    <row r="2566">
      <c r="G2566" s="16" t="str">
        <f>IFERROR(__xludf.DUMMYFUNCTION("""COMPUTED_VALUE"""),"")</f>
        <v/>
      </c>
    </row>
    <row r="2567">
      <c r="G2567" s="16" t="str">
        <f>IFERROR(__xludf.DUMMYFUNCTION("""COMPUTED_VALUE"""),"")</f>
        <v/>
      </c>
    </row>
    <row r="2568">
      <c r="G2568" s="16" t="str">
        <f>IFERROR(__xludf.DUMMYFUNCTION("""COMPUTED_VALUE"""),"")</f>
        <v/>
      </c>
    </row>
    <row r="2569">
      <c r="G2569" s="16" t="str">
        <f>IFERROR(__xludf.DUMMYFUNCTION("""COMPUTED_VALUE"""),"")</f>
        <v/>
      </c>
    </row>
    <row r="2570">
      <c r="G2570" s="16" t="str">
        <f>IFERROR(__xludf.DUMMYFUNCTION("""COMPUTED_VALUE"""),"")</f>
        <v/>
      </c>
    </row>
    <row r="2571">
      <c r="G2571" s="16" t="str">
        <f>IFERROR(__xludf.DUMMYFUNCTION("""COMPUTED_VALUE"""),"")</f>
        <v/>
      </c>
    </row>
    <row r="2572">
      <c r="G2572" s="16" t="str">
        <f>IFERROR(__xludf.DUMMYFUNCTION("""COMPUTED_VALUE"""),"")</f>
        <v/>
      </c>
    </row>
    <row r="2573">
      <c r="G2573" s="16" t="str">
        <f>IFERROR(__xludf.DUMMYFUNCTION("""COMPUTED_VALUE"""),"")</f>
        <v/>
      </c>
    </row>
    <row r="2574">
      <c r="G2574" s="16" t="str">
        <f>IFERROR(__xludf.DUMMYFUNCTION("""COMPUTED_VALUE"""),"")</f>
        <v/>
      </c>
    </row>
    <row r="2575">
      <c r="G2575" s="16" t="str">
        <f>IFERROR(__xludf.DUMMYFUNCTION("""COMPUTED_VALUE"""),"")</f>
        <v/>
      </c>
    </row>
    <row r="2576">
      <c r="G2576" s="16" t="str">
        <f>IFERROR(__xludf.DUMMYFUNCTION("""COMPUTED_VALUE"""),"")</f>
        <v/>
      </c>
    </row>
    <row r="2577">
      <c r="G2577" s="16" t="str">
        <f>IFERROR(__xludf.DUMMYFUNCTION("""COMPUTED_VALUE"""),"")</f>
        <v/>
      </c>
    </row>
    <row r="2578">
      <c r="G2578" s="16" t="str">
        <f>IFERROR(__xludf.DUMMYFUNCTION("""COMPUTED_VALUE"""),"")</f>
        <v/>
      </c>
    </row>
    <row r="2579">
      <c r="G2579" s="16" t="str">
        <f>IFERROR(__xludf.DUMMYFUNCTION("""COMPUTED_VALUE"""),"")</f>
        <v/>
      </c>
    </row>
    <row r="2580">
      <c r="G2580" s="16" t="str">
        <f>IFERROR(__xludf.DUMMYFUNCTION("""COMPUTED_VALUE"""),"")</f>
        <v/>
      </c>
    </row>
    <row r="2581">
      <c r="G2581" s="16" t="str">
        <f>IFERROR(__xludf.DUMMYFUNCTION("""COMPUTED_VALUE"""),"")</f>
        <v/>
      </c>
    </row>
    <row r="2582">
      <c r="G2582" s="16" t="str">
        <f>IFERROR(__xludf.DUMMYFUNCTION("""COMPUTED_VALUE"""),"")</f>
        <v/>
      </c>
    </row>
    <row r="2583">
      <c r="G2583" s="16" t="str">
        <f>IFERROR(__xludf.DUMMYFUNCTION("""COMPUTED_VALUE"""),"")</f>
        <v/>
      </c>
    </row>
    <row r="2584">
      <c r="G2584" s="16" t="str">
        <f>IFERROR(__xludf.DUMMYFUNCTION("""COMPUTED_VALUE"""),"")</f>
        <v/>
      </c>
    </row>
    <row r="2585">
      <c r="G2585" s="16" t="str">
        <f>IFERROR(__xludf.DUMMYFUNCTION("""COMPUTED_VALUE"""),"")</f>
        <v/>
      </c>
    </row>
    <row r="2586">
      <c r="G2586" s="16" t="str">
        <f>IFERROR(__xludf.DUMMYFUNCTION("""COMPUTED_VALUE"""),"")</f>
        <v/>
      </c>
    </row>
    <row r="2587">
      <c r="G2587" s="16" t="str">
        <f>IFERROR(__xludf.DUMMYFUNCTION("""COMPUTED_VALUE"""),"")</f>
        <v/>
      </c>
    </row>
    <row r="2588">
      <c r="G2588" s="16" t="str">
        <f>IFERROR(__xludf.DUMMYFUNCTION("""COMPUTED_VALUE"""),"")</f>
        <v/>
      </c>
    </row>
    <row r="2589">
      <c r="G2589" s="16" t="str">
        <f>IFERROR(__xludf.DUMMYFUNCTION("""COMPUTED_VALUE"""),"")</f>
        <v/>
      </c>
    </row>
    <row r="2590">
      <c r="G2590" s="16" t="str">
        <f>IFERROR(__xludf.DUMMYFUNCTION("""COMPUTED_VALUE"""),"")</f>
        <v/>
      </c>
    </row>
    <row r="2591">
      <c r="G2591" s="16" t="str">
        <f>IFERROR(__xludf.DUMMYFUNCTION("""COMPUTED_VALUE"""),"")</f>
        <v/>
      </c>
    </row>
    <row r="2592">
      <c r="G2592" s="16" t="str">
        <f>IFERROR(__xludf.DUMMYFUNCTION("""COMPUTED_VALUE"""),"")</f>
        <v/>
      </c>
    </row>
    <row r="2593">
      <c r="G2593" s="16" t="str">
        <f>IFERROR(__xludf.DUMMYFUNCTION("""COMPUTED_VALUE"""),"")</f>
        <v/>
      </c>
    </row>
    <row r="2594">
      <c r="G2594" s="16" t="str">
        <f>IFERROR(__xludf.DUMMYFUNCTION("""COMPUTED_VALUE"""),"")</f>
        <v/>
      </c>
    </row>
    <row r="2595">
      <c r="G2595" s="16" t="str">
        <f>IFERROR(__xludf.DUMMYFUNCTION("""COMPUTED_VALUE"""),"")</f>
        <v/>
      </c>
    </row>
    <row r="2596">
      <c r="G2596" s="16" t="str">
        <f>IFERROR(__xludf.DUMMYFUNCTION("""COMPUTED_VALUE"""),"")</f>
        <v/>
      </c>
    </row>
    <row r="2597">
      <c r="G2597" s="16" t="str">
        <f>IFERROR(__xludf.DUMMYFUNCTION("""COMPUTED_VALUE"""),"")</f>
        <v/>
      </c>
    </row>
    <row r="2598">
      <c r="G2598" s="16" t="str">
        <f>IFERROR(__xludf.DUMMYFUNCTION("""COMPUTED_VALUE"""),"")</f>
        <v/>
      </c>
    </row>
    <row r="2599">
      <c r="G2599" s="16" t="str">
        <f>IFERROR(__xludf.DUMMYFUNCTION("""COMPUTED_VALUE"""),"")</f>
        <v/>
      </c>
    </row>
    <row r="2600">
      <c r="G2600" s="16" t="str">
        <f>IFERROR(__xludf.DUMMYFUNCTION("""COMPUTED_VALUE"""),"")</f>
        <v/>
      </c>
    </row>
    <row r="2601">
      <c r="G2601" s="16" t="str">
        <f>IFERROR(__xludf.DUMMYFUNCTION("""COMPUTED_VALUE"""),"")</f>
        <v/>
      </c>
    </row>
    <row r="2602">
      <c r="G2602" s="16" t="str">
        <f>IFERROR(__xludf.DUMMYFUNCTION("""COMPUTED_VALUE"""),"")</f>
        <v/>
      </c>
    </row>
    <row r="2603">
      <c r="G2603" s="16" t="str">
        <f>IFERROR(__xludf.DUMMYFUNCTION("""COMPUTED_VALUE"""),"")</f>
        <v/>
      </c>
    </row>
    <row r="2604">
      <c r="G2604" s="16" t="str">
        <f>IFERROR(__xludf.DUMMYFUNCTION("""COMPUTED_VALUE"""),"")</f>
        <v/>
      </c>
    </row>
    <row r="2605">
      <c r="G2605" s="16" t="str">
        <f>IFERROR(__xludf.DUMMYFUNCTION("""COMPUTED_VALUE"""),"")</f>
        <v/>
      </c>
    </row>
    <row r="2606">
      <c r="G2606" s="16" t="str">
        <f>IFERROR(__xludf.DUMMYFUNCTION("""COMPUTED_VALUE"""),"")</f>
        <v/>
      </c>
    </row>
    <row r="2607">
      <c r="G2607" s="16" t="str">
        <f>IFERROR(__xludf.DUMMYFUNCTION("""COMPUTED_VALUE"""),"")</f>
        <v/>
      </c>
    </row>
    <row r="2608">
      <c r="G2608" s="16" t="str">
        <f>IFERROR(__xludf.DUMMYFUNCTION("""COMPUTED_VALUE"""),"")</f>
        <v/>
      </c>
    </row>
    <row r="2609">
      <c r="G2609" s="16" t="str">
        <f>IFERROR(__xludf.DUMMYFUNCTION("""COMPUTED_VALUE"""),"")</f>
        <v/>
      </c>
    </row>
    <row r="2610">
      <c r="G2610" s="16" t="str">
        <f>IFERROR(__xludf.DUMMYFUNCTION("""COMPUTED_VALUE"""),"")</f>
        <v/>
      </c>
    </row>
    <row r="2611">
      <c r="G2611" s="16" t="str">
        <f>IFERROR(__xludf.DUMMYFUNCTION("""COMPUTED_VALUE"""),"")</f>
        <v/>
      </c>
    </row>
    <row r="2612">
      <c r="G2612" s="16" t="str">
        <f>IFERROR(__xludf.DUMMYFUNCTION("""COMPUTED_VALUE"""),"")</f>
        <v/>
      </c>
    </row>
    <row r="2613">
      <c r="G2613" s="16" t="str">
        <f>IFERROR(__xludf.DUMMYFUNCTION("""COMPUTED_VALUE"""),"")</f>
        <v/>
      </c>
    </row>
    <row r="2614">
      <c r="G2614" s="16" t="str">
        <f>IFERROR(__xludf.DUMMYFUNCTION("""COMPUTED_VALUE"""),"")</f>
        <v/>
      </c>
    </row>
    <row r="2615">
      <c r="G2615" s="16" t="str">
        <f>IFERROR(__xludf.DUMMYFUNCTION("""COMPUTED_VALUE"""),"")</f>
        <v/>
      </c>
    </row>
    <row r="2616">
      <c r="G2616" s="16" t="str">
        <f>IFERROR(__xludf.DUMMYFUNCTION("""COMPUTED_VALUE"""),"")</f>
        <v/>
      </c>
    </row>
    <row r="2617">
      <c r="G2617" s="16" t="str">
        <f>IFERROR(__xludf.DUMMYFUNCTION("""COMPUTED_VALUE"""),"")</f>
        <v/>
      </c>
    </row>
    <row r="2618">
      <c r="G2618" s="16" t="str">
        <f>IFERROR(__xludf.DUMMYFUNCTION("""COMPUTED_VALUE"""),"")</f>
        <v/>
      </c>
    </row>
    <row r="2619">
      <c r="G2619" s="16" t="str">
        <f>IFERROR(__xludf.DUMMYFUNCTION("""COMPUTED_VALUE"""),"")</f>
        <v/>
      </c>
    </row>
    <row r="2620">
      <c r="G2620" s="16" t="str">
        <f>IFERROR(__xludf.DUMMYFUNCTION("""COMPUTED_VALUE"""),"")</f>
        <v/>
      </c>
    </row>
    <row r="2621">
      <c r="G2621" s="16" t="str">
        <f>IFERROR(__xludf.DUMMYFUNCTION("""COMPUTED_VALUE"""),"")</f>
        <v/>
      </c>
    </row>
    <row r="2622">
      <c r="G2622" s="16" t="str">
        <f>IFERROR(__xludf.DUMMYFUNCTION("""COMPUTED_VALUE"""),"")</f>
        <v/>
      </c>
    </row>
    <row r="2623">
      <c r="G2623" s="16" t="str">
        <f>IFERROR(__xludf.DUMMYFUNCTION("""COMPUTED_VALUE"""),"")</f>
        <v/>
      </c>
    </row>
    <row r="2624">
      <c r="G2624" s="16" t="str">
        <f>IFERROR(__xludf.DUMMYFUNCTION("""COMPUTED_VALUE"""),"")</f>
        <v/>
      </c>
    </row>
    <row r="2625">
      <c r="G2625" s="16" t="str">
        <f>IFERROR(__xludf.DUMMYFUNCTION("""COMPUTED_VALUE"""),"")</f>
        <v/>
      </c>
    </row>
    <row r="2626">
      <c r="G2626" s="16" t="str">
        <f>IFERROR(__xludf.DUMMYFUNCTION("""COMPUTED_VALUE"""),"")</f>
        <v/>
      </c>
    </row>
    <row r="2627">
      <c r="G2627" s="16" t="str">
        <f>IFERROR(__xludf.DUMMYFUNCTION("""COMPUTED_VALUE"""),"")</f>
        <v/>
      </c>
    </row>
    <row r="2628">
      <c r="G2628" s="16" t="str">
        <f>IFERROR(__xludf.DUMMYFUNCTION("""COMPUTED_VALUE"""),"")</f>
        <v/>
      </c>
    </row>
    <row r="2629">
      <c r="G2629" s="16" t="str">
        <f>IFERROR(__xludf.DUMMYFUNCTION("""COMPUTED_VALUE"""),"")</f>
        <v/>
      </c>
    </row>
    <row r="2630">
      <c r="G2630" s="16" t="str">
        <f>IFERROR(__xludf.DUMMYFUNCTION("""COMPUTED_VALUE"""),"")</f>
        <v/>
      </c>
    </row>
    <row r="2631">
      <c r="G2631" s="16" t="str">
        <f>IFERROR(__xludf.DUMMYFUNCTION("""COMPUTED_VALUE"""),"")</f>
        <v/>
      </c>
    </row>
    <row r="2632">
      <c r="G2632" s="16" t="str">
        <f>IFERROR(__xludf.DUMMYFUNCTION("""COMPUTED_VALUE"""),"")</f>
        <v/>
      </c>
    </row>
    <row r="2633">
      <c r="G2633" s="16" t="str">
        <f>IFERROR(__xludf.DUMMYFUNCTION("""COMPUTED_VALUE"""),"")</f>
        <v/>
      </c>
    </row>
    <row r="2634">
      <c r="G2634" s="16" t="str">
        <f>IFERROR(__xludf.DUMMYFUNCTION("""COMPUTED_VALUE"""),"")</f>
        <v/>
      </c>
    </row>
    <row r="2635">
      <c r="G2635" s="16" t="str">
        <f>IFERROR(__xludf.DUMMYFUNCTION("""COMPUTED_VALUE"""),"")</f>
        <v/>
      </c>
    </row>
    <row r="2636">
      <c r="G2636" s="16" t="str">
        <f>IFERROR(__xludf.DUMMYFUNCTION("""COMPUTED_VALUE"""),"")</f>
        <v/>
      </c>
    </row>
    <row r="2637">
      <c r="G2637" s="16" t="str">
        <f>IFERROR(__xludf.DUMMYFUNCTION("""COMPUTED_VALUE"""),"")</f>
        <v/>
      </c>
    </row>
    <row r="2638">
      <c r="G2638" s="16" t="str">
        <f>IFERROR(__xludf.DUMMYFUNCTION("""COMPUTED_VALUE"""),"")</f>
        <v/>
      </c>
    </row>
    <row r="2639">
      <c r="G2639" s="16" t="str">
        <f>IFERROR(__xludf.DUMMYFUNCTION("""COMPUTED_VALUE"""),"")</f>
        <v/>
      </c>
    </row>
    <row r="2640">
      <c r="G2640" s="16" t="str">
        <f>IFERROR(__xludf.DUMMYFUNCTION("""COMPUTED_VALUE"""),"")</f>
        <v/>
      </c>
    </row>
    <row r="2641">
      <c r="G2641" s="16" t="str">
        <f>IFERROR(__xludf.DUMMYFUNCTION("""COMPUTED_VALUE"""),"")</f>
        <v/>
      </c>
    </row>
    <row r="2642">
      <c r="G2642" s="16" t="str">
        <f>IFERROR(__xludf.DUMMYFUNCTION("""COMPUTED_VALUE"""),"")</f>
        <v/>
      </c>
    </row>
    <row r="2643">
      <c r="G2643" s="16" t="str">
        <f>IFERROR(__xludf.DUMMYFUNCTION("""COMPUTED_VALUE"""),"")</f>
        <v/>
      </c>
    </row>
    <row r="2644">
      <c r="G2644" s="16" t="str">
        <f>IFERROR(__xludf.DUMMYFUNCTION("""COMPUTED_VALUE"""),"")</f>
        <v/>
      </c>
    </row>
    <row r="2645">
      <c r="G2645" s="16" t="str">
        <f>IFERROR(__xludf.DUMMYFUNCTION("""COMPUTED_VALUE"""),"")</f>
        <v/>
      </c>
    </row>
    <row r="2646">
      <c r="G2646" s="16" t="str">
        <f>IFERROR(__xludf.DUMMYFUNCTION("""COMPUTED_VALUE"""),"")</f>
        <v/>
      </c>
    </row>
    <row r="2647">
      <c r="G2647" s="16" t="str">
        <f>IFERROR(__xludf.DUMMYFUNCTION("""COMPUTED_VALUE"""),"")</f>
        <v/>
      </c>
    </row>
    <row r="2648">
      <c r="G2648" s="16" t="str">
        <f>IFERROR(__xludf.DUMMYFUNCTION("""COMPUTED_VALUE"""),"")</f>
        <v/>
      </c>
    </row>
    <row r="2649">
      <c r="G2649" s="16" t="str">
        <f>IFERROR(__xludf.DUMMYFUNCTION("""COMPUTED_VALUE"""),"")</f>
        <v/>
      </c>
    </row>
    <row r="2650">
      <c r="G2650" s="16" t="str">
        <f>IFERROR(__xludf.DUMMYFUNCTION("""COMPUTED_VALUE"""),"")</f>
        <v/>
      </c>
    </row>
    <row r="2651">
      <c r="G2651" s="16" t="str">
        <f>IFERROR(__xludf.DUMMYFUNCTION("""COMPUTED_VALUE"""),"")</f>
        <v/>
      </c>
    </row>
    <row r="2652">
      <c r="G2652" s="16" t="str">
        <f>IFERROR(__xludf.DUMMYFUNCTION("""COMPUTED_VALUE"""),"")</f>
        <v/>
      </c>
    </row>
    <row r="2653">
      <c r="G2653" s="16" t="str">
        <f>IFERROR(__xludf.DUMMYFUNCTION("""COMPUTED_VALUE"""),"")</f>
        <v/>
      </c>
    </row>
    <row r="2654">
      <c r="G2654" s="16" t="str">
        <f>IFERROR(__xludf.DUMMYFUNCTION("""COMPUTED_VALUE"""),"")</f>
        <v/>
      </c>
    </row>
    <row r="2655">
      <c r="G2655" s="16" t="str">
        <f>IFERROR(__xludf.DUMMYFUNCTION("""COMPUTED_VALUE"""),"")</f>
        <v/>
      </c>
    </row>
    <row r="2656">
      <c r="G2656" s="16" t="str">
        <f>IFERROR(__xludf.DUMMYFUNCTION("""COMPUTED_VALUE"""),"")</f>
        <v/>
      </c>
    </row>
    <row r="2657">
      <c r="G2657" s="16" t="str">
        <f>IFERROR(__xludf.DUMMYFUNCTION("""COMPUTED_VALUE"""),"")</f>
        <v/>
      </c>
    </row>
    <row r="2658">
      <c r="G2658" s="16" t="str">
        <f>IFERROR(__xludf.DUMMYFUNCTION("""COMPUTED_VALUE"""),"")</f>
        <v/>
      </c>
    </row>
    <row r="2659">
      <c r="G2659" s="16" t="str">
        <f>IFERROR(__xludf.DUMMYFUNCTION("""COMPUTED_VALUE"""),"")</f>
        <v/>
      </c>
    </row>
    <row r="2660">
      <c r="G2660" s="16" t="str">
        <f>IFERROR(__xludf.DUMMYFUNCTION("""COMPUTED_VALUE"""),"")</f>
        <v/>
      </c>
    </row>
    <row r="2661">
      <c r="G2661" s="16" t="str">
        <f>IFERROR(__xludf.DUMMYFUNCTION("""COMPUTED_VALUE"""),"")</f>
        <v/>
      </c>
    </row>
    <row r="2662">
      <c r="G2662" s="16" t="str">
        <f>IFERROR(__xludf.DUMMYFUNCTION("""COMPUTED_VALUE"""),"")</f>
        <v/>
      </c>
    </row>
    <row r="2663">
      <c r="G2663" s="16" t="str">
        <f>IFERROR(__xludf.DUMMYFUNCTION("""COMPUTED_VALUE"""),"")</f>
        <v/>
      </c>
    </row>
    <row r="2664">
      <c r="G2664" s="16" t="str">
        <f>IFERROR(__xludf.DUMMYFUNCTION("""COMPUTED_VALUE"""),"")</f>
        <v/>
      </c>
    </row>
    <row r="2665">
      <c r="G2665" s="16" t="str">
        <f>IFERROR(__xludf.DUMMYFUNCTION("""COMPUTED_VALUE"""),"")</f>
        <v/>
      </c>
    </row>
    <row r="2666">
      <c r="G2666" s="16" t="str">
        <f>IFERROR(__xludf.DUMMYFUNCTION("""COMPUTED_VALUE"""),"")</f>
        <v/>
      </c>
    </row>
    <row r="2667">
      <c r="G2667" s="16" t="str">
        <f>IFERROR(__xludf.DUMMYFUNCTION("""COMPUTED_VALUE"""),"")</f>
        <v/>
      </c>
    </row>
    <row r="2668">
      <c r="G2668" s="16" t="str">
        <f>IFERROR(__xludf.DUMMYFUNCTION("""COMPUTED_VALUE"""),"")</f>
        <v/>
      </c>
    </row>
    <row r="2669">
      <c r="G2669" s="16" t="str">
        <f>IFERROR(__xludf.DUMMYFUNCTION("""COMPUTED_VALUE"""),"")</f>
        <v/>
      </c>
    </row>
    <row r="2670">
      <c r="G2670" s="16" t="str">
        <f>IFERROR(__xludf.DUMMYFUNCTION("""COMPUTED_VALUE"""),"")</f>
        <v/>
      </c>
    </row>
    <row r="2671">
      <c r="G2671" s="16" t="str">
        <f>IFERROR(__xludf.DUMMYFUNCTION("""COMPUTED_VALUE"""),"")</f>
        <v/>
      </c>
    </row>
    <row r="2672">
      <c r="G2672" s="16" t="str">
        <f>IFERROR(__xludf.DUMMYFUNCTION("""COMPUTED_VALUE"""),"")</f>
        <v/>
      </c>
    </row>
    <row r="2673">
      <c r="G2673" s="16" t="str">
        <f>IFERROR(__xludf.DUMMYFUNCTION("""COMPUTED_VALUE"""),"")</f>
        <v/>
      </c>
    </row>
    <row r="2674">
      <c r="G2674" s="16" t="str">
        <f>IFERROR(__xludf.DUMMYFUNCTION("""COMPUTED_VALUE"""),"")</f>
        <v/>
      </c>
    </row>
    <row r="2675">
      <c r="G2675" s="16" t="str">
        <f>IFERROR(__xludf.DUMMYFUNCTION("""COMPUTED_VALUE"""),"")</f>
        <v/>
      </c>
    </row>
    <row r="2676">
      <c r="G2676" s="16" t="str">
        <f>IFERROR(__xludf.DUMMYFUNCTION("""COMPUTED_VALUE"""),"")</f>
        <v/>
      </c>
    </row>
    <row r="2677">
      <c r="G2677" s="16" t="str">
        <f>IFERROR(__xludf.DUMMYFUNCTION("""COMPUTED_VALUE"""),"")</f>
        <v/>
      </c>
    </row>
    <row r="2678">
      <c r="G2678" s="16" t="str">
        <f>IFERROR(__xludf.DUMMYFUNCTION("""COMPUTED_VALUE"""),"")</f>
        <v/>
      </c>
    </row>
    <row r="2679">
      <c r="G2679" s="16" t="str">
        <f>IFERROR(__xludf.DUMMYFUNCTION("""COMPUTED_VALUE"""),"")</f>
        <v/>
      </c>
    </row>
    <row r="2680">
      <c r="G2680" s="16" t="str">
        <f>IFERROR(__xludf.DUMMYFUNCTION("""COMPUTED_VALUE"""),"")</f>
        <v/>
      </c>
    </row>
    <row r="2681">
      <c r="G2681" s="16" t="str">
        <f>IFERROR(__xludf.DUMMYFUNCTION("""COMPUTED_VALUE"""),"")</f>
        <v/>
      </c>
    </row>
    <row r="2682">
      <c r="G2682" s="16" t="str">
        <f>IFERROR(__xludf.DUMMYFUNCTION("""COMPUTED_VALUE"""),"")</f>
        <v/>
      </c>
    </row>
    <row r="2683">
      <c r="G2683" s="16" t="str">
        <f>IFERROR(__xludf.DUMMYFUNCTION("""COMPUTED_VALUE"""),"")</f>
        <v/>
      </c>
    </row>
    <row r="2684">
      <c r="G2684" s="16" t="str">
        <f>IFERROR(__xludf.DUMMYFUNCTION("""COMPUTED_VALUE"""),"")</f>
        <v/>
      </c>
    </row>
    <row r="2685">
      <c r="G2685" s="16" t="str">
        <f>IFERROR(__xludf.DUMMYFUNCTION("""COMPUTED_VALUE"""),"")</f>
        <v/>
      </c>
    </row>
    <row r="2686">
      <c r="G2686" s="16" t="str">
        <f>IFERROR(__xludf.DUMMYFUNCTION("""COMPUTED_VALUE"""),"")</f>
        <v/>
      </c>
    </row>
    <row r="2687">
      <c r="G2687" s="16" t="str">
        <f>IFERROR(__xludf.DUMMYFUNCTION("""COMPUTED_VALUE"""),"")</f>
        <v/>
      </c>
    </row>
    <row r="2688">
      <c r="G2688" s="16" t="str">
        <f>IFERROR(__xludf.DUMMYFUNCTION("""COMPUTED_VALUE"""),"")</f>
        <v/>
      </c>
    </row>
    <row r="2689">
      <c r="G2689" s="16" t="str">
        <f>IFERROR(__xludf.DUMMYFUNCTION("""COMPUTED_VALUE"""),"")</f>
        <v/>
      </c>
    </row>
    <row r="2690">
      <c r="G2690" s="16" t="str">
        <f>IFERROR(__xludf.DUMMYFUNCTION("""COMPUTED_VALUE"""),"")</f>
        <v/>
      </c>
    </row>
    <row r="2691">
      <c r="G2691" s="16" t="str">
        <f>IFERROR(__xludf.DUMMYFUNCTION("""COMPUTED_VALUE"""),"")</f>
        <v/>
      </c>
    </row>
    <row r="2692">
      <c r="G2692" s="16" t="str">
        <f>IFERROR(__xludf.DUMMYFUNCTION("""COMPUTED_VALUE"""),"")</f>
        <v/>
      </c>
    </row>
    <row r="2693">
      <c r="G2693" s="16" t="str">
        <f>IFERROR(__xludf.DUMMYFUNCTION("""COMPUTED_VALUE"""),"")</f>
        <v/>
      </c>
    </row>
    <row r="2694">
      <c r="G2694" s="16" t="str">
        <f>IFERROR(__xludf.DUMMYFUNCTION("""COMPUTED_VALUE"""),"")</f>
        <v/>
      </c>
    </row>
    <row r="2695">
      <c r="G2695" s="16" t="str">
        <f>IFERROR(__xludf.DUMMYFUNCTION("""COMPUTED_VALUE"""),"")</f>
        <v/>
      </c>
    </row>
    <row r="2696">
      <c r="G2696" s="16" t="str">
        <f>IFERROR(__xludf.DUMMYFUNCTION("""COMPUTED_VALUE"""),"")</f>
        <v/>
      </c>
    </row>
    <row r="2697">
      <c r="G2697" s="16" t="str">
        <f>IFERROR(__xludf.DUMMYFUNCTION("""COMPUTED_VALUE"""),"")</f>
        <v/>
      </c>
    </row>
    <row r="2698">
      <c r="G2698" s="16" t="str">
        <f>IFERROR(__xludf.DUMMYFUNCTION("""COMPUTED_VALUE"""),"")</f>
        <v/>
      </c>
    </row>
    <row r="2699">
      <c r="G2699" s="16" t="str">
        <f>IFERROR(__xludf.DUMMYFUNCTION("""COMPUTED_VALUE"""),"")</f>
        <v/>
      </c>
    </row>
    <row r="2700">
      <c r="G2700" s="16" t="str">
        <f>IFERROR(__xludf.DUMMYFUNCTION("""COMPUTED_VALUE"""),"")</f>
        <v/>
      </c>
    </row>
    <row r="2701">
      <c r="G2701" s="16" t="str">
        <f>IFERROR(__xludf.DUMMYFUNCTION("""COMPUTED_VALUE"""),"")</f>
        <v/>
      </c>
    </row>
    <row r="2702">
      <c r="G2702" s="16" t="str">
        <f>IFERROR(__xludf.DUMMYFUNCTION("""COMPUTED_VALUE"""),"")</f>
        <v/>
      </c>
    </row>
    <row r="2703">
      <c r="G2703" s="16" t="str">
        <f>IFERROR(__xludf.DUMMYFUNCTION("""COMPUTED_VALUE"""),"")</f>
        <v/>
      </c>
    </row>
    <row r="2704">
      <c r="G2704" s="16" t="str">
        <f>IFERROR(__xludf.DUMMYFUNCTION("""COMPUTED_VALUE"""),"")</f>
        <v/>
      </c>
    </row>
    <row r="2705">
      <c r="G2705" s="16" t="str">
        <f>IFERROR(__xludf.DUMMYFUNCTION("""COMPUTED_VALUE"""),"")</f>
        <v/>
      </c>
    </row>
    <row r="2706">
      <c r="G2706" s="16" t="str">
        <f>IFERROR(__xludf.DUMMYFUNCTION("""COMPUTED_VALUE"""),"")</f>
        <v/>
      </c>
    </row>
    <row r="2707">
      <c r="G2707" s="16" t="str">
        <f>IFERROR(__xludf.DUMMYFUNCTION("""COMPUTED_VALUE"""),"")</f>
        <v/>
      </c>
    </row>
    <row r="2708">
      <c r="G2708" s="16" t="str">
        <f>IFERROR(__xludf.DUMMYFUNCTION("""COMPUTED_VALUE"""),"")</f>
        <v/>
      </c>
    </row>
    <row r="2709">
      <c r="G2709" s="16" t="str">
        <f>IFERROR(__xludf.DUMMYFUNCTION("""COMPUTED_VALUE"""),"")</f>
        <v/>
      </c>
    </row>
    <row r="2710">
      <c r="G2710" s="16" t="str">
        <f>IFERROR(__xludf.DUMMYFUNCTION("""COMPUTED_VALUE"""),"")</f>
        <v/>
      </c>
    </row>
    <row r="2711">
      <c r="G2711" s="16" t="str">
        <f>IFERROR(__xludf.DUMMYFUNCTION("""COMPUTED_VALUE"""),"")</f>
        <v/>
      </c>
    </row>
    <row r="2712">
      <c r="G2712" s="16" t="str">
        <f>IFERROR(__xludf.DUMMYFUNCTION("""COMPUTED_VALUE"""),"")</f>
        <v/>
      </c>
    </row>
    <row r="2713">
      <c r="G2713" s="16" t="str">
        <f>IFERROR(__xludf.DUMMYFUNCTION("""COMPUTED_VALUE"""),"")</f>
        <v/>
      </c>
    </row>
    <row r="2714">
      <c r="G2714" s="16" t="str">
        <f>IFERROR(__xludf.DUMMYFUNCTION("""COMPUTED_VALUE"""),"")</f>
        <v/>
      </c>
    </row>
    <row r="2715">
      <c r="G2715" s="16" t="str">
        <f>IFERROR(__xludf.DUMMYFUNCTION("""COMPUTED_VALUE"""),"")</f>
        <v/>
      </c>
    </row>
    <row r="2716">
      <c r="G2716" s="16" t="str">
        <f>IFERROR(__xludf.DUMMYFUNCTION("""COMPUTED_VALUE"""),"")</f>
        <v/>
      </c>
    </row>
    <row r="2717">
      <c r="G2717" s="16" t="str">
        <f>IFERROR(__xludf.DUMMYFUNCTION("""COMPUTED_VALUE"""),"")</f>
        <v/>
      </c>
    </row>
    <row r="2718">
      <c r="G2718" s="16" t="str">
        <f>IFERROR(__xludf.DUMMYFUNCTION("""COMPUTED_VALUE"""),"")</f>
        <v/>
      </c>
    </row>
    <row r="2719">
      <c r="G2719" s="16" t="str">
        <f>IFERROR(__xludf.DUMMYFUNCTION("""COMPUTED_VALUE"""),"")</f>
        <v/>
      </c>
    </row>
    <row r="2720">
      <c r="G2720" s="16" t="str">
        <f>IFERROR(__xludf.DUMMYFUNCTION("""COMPUTED_VALUE"""),"")</f>
        <v/>
      </c>
    </row>
    <row r="2721">
      <c r="G2721" s="16" t="str">
        <f>IFERROR(__xludf.DUMMYFUNCTION("""COMPUTED_VALUE"""),"")</f>
        <v/>
      </c>
    </row>
    <row r="2722">
      <c r="G2722" s="16" t="str">
        <f>IFERROR(__xludf.DUMMYFUNCTION("""COMPUTED_VALUE"""),"")</f>
        <v/>
      </c>
    </row>
    <row r="2723">
      <c r="G2723" s="16" t="str">
        <f>IFERROR(__xludf.DUMMYFUNCTION("""COMPUTED_VALUE"""),"")</f>
        <v/>
      </c>
    </row>
    <row r="2724">
      <c r="G2724" s="16" t="str">
        <f>IFERROR(__xludf.DUMMYFUNCTION("""COMPUTED_VALUE"""),"")</f>
        <v/>
      </c>
    </row>
    <row r="2725">
      <c r="G2725" s="16" t="str">
        <f>IFERROR(__xludf.DUMMYFUNCTION("""COMPUTED_VALUE"""),"")</f>
        <v/>
      </c>
    </row>
    <row r="2726">
      <c r="G2726" s="16" t="str">
        <f>IFERROR(__xludf.DUMMYFUNCTION("""COMPUTED_VALUE"""),"")</f>
        <v/>
      </c>
    </row>
    <row r="2727">
      <c r="G2727" s="16" t="str">
        <f>IFERROR(__xludf.DUMMYFUNCTION("""COMPUTED_VALUE"""),"")</f>
        <v/>
      </c>
    </row>
    <row r="2728">
      <c r="G2728" s="16" t="str">
        <f>IFERROR(__xludf.DUMMYFUNCTION("""COMPUTED_VALUE"""),"")</f>
        <v/>
      </c>
    </row>
    <row r="2729">
      <c r="G2729" s="16" t="str">
        <f>IFERROR(__xludf.DUMMYFUNCTION("""COMPUTED_VALUE"""),"")</f>
        <v/>
      </c>
    </row>
    <row r="2730">
      <c r="G2730" s="16" t="str">
        <f>IFERROR(__xludf.DUMMYFUNCTION("""COMPUTED_VALUE"""),"")</f>
        <v/>
      </c>
    </row>
    <row r="2731">
      <c r="G2731" s="16" t="str">
        <f>IFERROR(__xludf.DUMMYFUNCTION("""COMPUTED_VALUE"""),"")</f>
        <v/>
      </c>
    </row>
    <row r="2732">
      <c r="G2732" s="16" t="str">
        <f>IFERROR(__xludf.DUMMYFUNCTION("""COMPUTED_VALUE"""),"")</f>
        <v/>
      </c>
    </row>
    <row r="2733">
      <c r="G2733" s="16" t="str">
        <f>IFERROR(__xludf.DUMMYFUNCTION("""COMPUTED_VALUE"""),"")</f>
        <v/>
      </c>
    </row>
    <row r="2734">
      <c r="G2734" s="16" t="str">
        <f>IFERROR(__xludf.DUMMYFUNCTION("""COMPUTED_VALUE"""),"")</f>
        <v/>
      </c>
    </row>
    <row r="2735">
      <c r="G2735" s="16" t="str">
        <f>IFERROR(__xludf.DUMMYFUNCTION("""COMPUTED_VALUE"""),"")</f>
        <v/>
      </c>
    </row>
    <row r="2736">
      <c r="G2736" s="16" t="str">
        <f>IFERROR(__xludf.DUMMYFUNCTION("""COMPUTED_VALUE"""),"")</f>
        <v/>
      </c>
    </row>
    <row r="2737">
      <c r="G2737" s="16" t="str">
        <f>IFERROR(__xludf.DUMMYFUNCTION("""COMPUTED_VALUE"""),"")</f>
        <v/>
      </c>
    </row>
    <row r="2738">
      <c r="G2738" s="16" t="str">
        <f>IFERROR(__xludf.DUMMYFUNCTION("""COMPUTED_VALUE"""),"")</f>
        <v/>
      </c>
    </row>
    <row r="2739">
      <c r="G2739" s="16" t="str">
        <f>IFERROR(__xludf.DUMMYFUNCTION("""COMPUTED_VALUE"""),"")</f>
        <v/>
      </c>
    </row>
    <row r="2740">
      <c r="G2740" s="16" t="str">
        <f>IFERROR(__xludf.DUMMYFUNCTION("""COMPUTED_VALUE"""),"")</f>
        <v/>
      </c>
    </row>
    <row r="2741">
      <c r="G2741" s="16" t="str">
        <f>IFERROR(__xludf.DUMMYFUNCTION("""COMPUTED_VALUE"""),"")</f>
        <v/>
      </c>
    </row>
    <row r="2742">
      <c r="G2742" s="16" t="str">
        <f>IFERROR(__xludf.DUMMYFUNCTION("""COMPUTED_VALUE"""),"")</f>
        <v/>
      </c>
    </row>
    <row r="2743">
      <c r="G2743" s="16" t="str">
        <f>IFERROR(__xludf.DUMMYFUNCTION("""COMPUTED_VALUE"""),"")</f>
        <v/>
      </c>
    </row>
    <row r="2744">
      <c r="G2744" s="16" t="str">
        <f>IFERROR(__xludf.DUMMYFUNCTION("""COMPUTED_VALUE"""),"")</f>
        <v/>
      </c>
    </row>
    <row r="2745">
      <c r="G2745" s="16" t="str">
        <f>IFERROR(__xludf.DUMMYFUNCTION("""COMPUTED_VALUE"""),"")</f>
        <v/>
      </c>
    </row>
    <row r="2746">
      <c r="G2746" s="16" t="str">
        <f>IFERROR(__xludf.DUMMYFUNCTION("""COMPUTED_VALUE"""),"")</f>
        <v/>
      </c>
    </row>
    <row r="2747">
      <c r="G2747" s="16" t="str">
        <f>IFERROR(__xludf.DUMMYFUNCTION("""COMPUTED_VALUE"""),"")</f>
        <v/>
      </c>
    </row>
    <row r="2748">
      <c r="G2748" s="16" t="str">
        <f>IFERROR(__xludf.DUMMYFUNCTION("""COMPUTED_VALUE"""),"")</f>
        <v/>
      </c>
    </row>
    <row r="2749">
      <c r="G2749" s="16" t="str">
        <f>IFERROR(__xludf.DUMMYFUNCTION("""COMPUTED_VALUE"""),"")</f>
        <v/>
      </c>
    </row>
    <row r="2750">
      <c r="G2750" s="16" t="str">
        <f>IFERROR(__xludf.DUMMYFUNCTION("""COMPUTED_VALUE"""),"")</f>
        <v/>
      </c>
    </row>
    <row r="2751">
      <c r="G2751" s="16" t="str">
        <f>IFERROR(__xludf.DUMMYFUNCTION("""COMPUTED_VALUE"""),"")</f>
        <v/>
      </c>
    </row>
    <row r="2752">
      <c r="G2752" s="16" t="str">
        <f>IFERROR(__xludf.DUMMYFUNCTION("""COMPUTED_VALUE"""),"")</f>
        <v/>
      </c>
    </row>
    <row r="2753">
      <c r="G2753" s="16" t="str">
        <f>IFERROR(__xludf.DUMMYFUNCTION("""COMPUTED_VALUE"""),"")</f>
        <v/>
      </c>
    </row>
    <row r="2754">
      <c r="G2754" s="16" t="str">
        <f>IFERROR(__xludf.DUMMYFUNCTION("""COMPUTED_VALUE"""),"")</f>
        <v/>
      </c>
    </row>
    <row r="2755">
      <c r="G2755" s="16" t="str">
        <f>IFERROR(__xludf.DUMMYFUNCTION("""COMPUTED_VALUE"""),"")</f>
        <v/>
      </c>
    </row>
    <row r="2756">
      <c r="G2756" s="16" t="str">
        <f>IFERROR(__xludf.DUMMYFUNCTION("""COMPUTED_VALUE"""),"")</f>
        <v/>
      </c>
    </row>
    <row r="2757">
      <c r="G2757" s="16" t="str">
        <f>IFERROR(__xludf.DUMMYFUNCTION("""COMPUTED_VALUE"""),"")</f>
        <v/>
      </c>
    </row>
    <row r="2758">
      <c r="G2758" s="16" t="str">
        <f>IFERROR(__xludf.DUMMYFUNCTION("""COMPUTED_VALUE"""),"")</f>
        <v/>
      </c>
    </row>
    <row r="2759">
      <c r="G2759" s="16" t="str">
        <f>IFERROR(__xludf.DUMMYFUNCTION("""COMPUTED_VALUE"""),"")</f>
        <v/>
      </c>
    </row>
    <row r="2760">
      <c r="G2760" s="16" t="str">
        <f>IFERROR(__xludf.DUMMYFUNCTION("""COMPUTED_VALUE"""),"")</f>
        <v/>
      </c>
    </row>
    <row r="2761">
      <c r="G2761" s="16" t="str">
        <f>IFERROR(__xludf.DUMMYFUNCTION("""COMPUTED_VALUE"""),"")</f>
        <v/>
      </c>
    </row>
    <row r="2762">
      <c r="G2762" s="16" t="str">
        <f>IFERROR(__xludf.DUMMYFUNCTION("""COMPUTED_VALUE"""),"")</f>
        <v/>
      </c>
    </row>
    <row r="2763">
      <c r="G2763" s="16" t="str">
        <f>IFERROR(__xludf.DUMMYFUNCTION("""COMPUTED_VALUE"""),"")</f>
        <v/>
      </c>
    </row>
    <row r="2764">
      <c r="G2764" s="16" t="str">
        <f>IFERROR(__xludf.DUMMYFUNCTION("""COMPUTED_VALUE"""),"")</f>
        <v/>
      </c>
    </row>
    <row r="2765">
      <c r="G2765" s="16" t="str">
        <f>IFERROR(__xludf.DUMMYFUNCTION("""COMPUTED_VALUE"""),"")</f>
        <v/>
      </c>
    </row>
    <row r="2766">
      <c r="G2766" s="16" t="str">
        <f>IFERROR(__xludf.DUMMYFUNCTION("""COMPUTED_VALUE"""),"")</f>
        <v/>
      </c>
    </row>
    <row r="2767">
      <c r="G2767" s="16" t="str">
        <f>IFERROR(__xludf.DUMMYFUNCTION("""COMPUTED_VALUE"""),"")</f>
        <v/>
      </c>
    </row>
    <row r="2768">
      <c r="G2768" s="16" t="str">
        <f>IFERROR(__xludf.DUMMYFUNCTION("""COMPUTED_VALUE"""),"")</f>
        <v/>
      </c>
    </row>
    <row r="2769">
      <c r="G2769" s="16" t="str">
        <f>IFERROR(__xludf.DUMMYFUNCTION("""COMPUTED_VALUE"""),"")</f>
        <v/>
      </c>
    </row>
    <row r="2770">
      <c r="G2770" s="16" t="str">
        <f>IFERROR(__xludf.DUMMYFUNCTION("""COMPUTED_VALUE"""),"")</f>
        <v/>
      </c>
    </row>
    <row r="2771">
      <c r="G2771" s="16" t="str">
        <f>IFERROR(__xludf.DUMMYFUNCTION("""COMPUTED_VALUE"""),"")</f>
        <v/>
      </c>
    </row>
    <row r="2772">
      <c r="G2772" s="16" t="str">
        <f>IFERROR(__xludf.DUMMYFUNCTION("""COMPUTED_VALUE"""),"")</f>
        <v/>
      </c>
    </row>
    <row r="2773">
      <c r="G2773" s="16" t="str">
        <f>IFERROR(__xludf.DUMMYFUNCTION("""COMPUTED_VALUE"""),"")</f>
        <v/>
      </c>
    </row>
    <row r="2774">
      <c r="G2774" s="16" t="str">
        <f>IFERROR(__xludf.DUMMYFUNCTION("""COMPUTED_VALUE"""),"")</f>
        <v/>
      </c>
    </row>
    <row r="2775">
      <c r="G2775" s="16" t="str">
        <f>IFERROR(__xludf.DUMMYFUNCTION("""COMPUTED_VALUE"""),"")</f>
        <v/>
      </c>
    </row>
    <row r="2776">
      <c r="G2776" s="16" t="str">
        <f>IFERROR(__xludf.DUMMYFUNCTION("""COMPUTED_VALUE"""),"")</f>
        <v/>
      </c>
    </row>
    <row r="2777">
      <c r="G2777" s="16" t="str">
        <f>IFERROR(__xludf.DUMMYFUNCTION("""COMPUTED_VALUE"""),"")</f>
        <v/>
      </c>
    </row>
    <row r="2778">
      <c r="G2778" s="16" t="str">
        <f>IFERROR(__xludf.DUMMYFUNCTION("""COMPUTED_VALUE"""),"")</f>
        <v/>
      </c>
    </row>
    <row r="2779">
      <c r="G2779" s="16" t="str">
        <f>IFERROR(__xludf.DUMMYFUNCTION("""COMPUTED_VALUE"""),"")</f>
        <v/>
      </c>
    </row>
    <row r="2780">
      <c r="G2780" s="16" t="str">
        <f>IFERROR(__xludf.DUMMYFUNCTION("""COMPUTED_VALUE"""),"")</f>
        <v/>
      </c>
    </row>
    <row r="2781">
      <c r="G2781" s="16" t="str">
        <f>IFERROR(__xludf.DUMMYFUNCTION("""COMPUTED_VALUE"""),"")</f>
        <v/>
      </c>
    </row>
    <row r="2782">
      <c r="G2782" s="16" t="str">
        <f>IFERROR(__xludf.DUMMYFUNCTION("""COMPUTED_VALUE"""),"")</f>
        <v/>
      </c>
    </row>
    <row r="2783">
      <c r="G2783" s="16" t="str">
        <f>IFERROR(__xludf.DUMMYFUNCTION("""COMPUTED_VALUE"""),"")</f>
        <v/>
      </c>
    </row>
    <row r="2784">
      <c r="G2784" s="16" t="str">
        <f>IFERROR(__xludf.DUMMYFUNCTION("""COMPUTED_VALUE"""),"")</f>
        <v/>
      </c>
    </row>
    <row r="2785">
      <c r="G2785" s="16" t="str">
        <f>IFERROR(__xludf.DUMMYFUNCTION("""COMPUTED_VALUE"""),"")</f>
        <v/>
      </c>
    </row>
    <row r="2786">
      <c r="G2786" s="16" t="str">
        <f>IFERROR(__xludf.DUMMYFUNCTION("""COMPUTED_VALUE"""),"")</f>
        <v/>
      </c>
    </row>
    <row r="2787">
      <c r="G2787" s="16" t="str">
        <f>IFERROR(__xludf.DUMMYFUNCTION("""COMPUTED_VALUE"""),"")</f>
        <v/>
      </c>
    </row>
    <row r="2788">
      <c r="G2788" s="16" t="str">
        <f>IFERROR(__xludf.DUMMYFUNCTION("""COMPUTED_VALUE"""),"")</f>
        <v/>
      </c>
    </row>
    <row r="2789">
      <c r="G2789" s="16" t="str">
        <f>IFERROR(__xludf.DUMMYFUNCTION("""COMPUTED_VALUE"""),"")</f>
        <v/>
      </c>
    </row>
    <row r="2790">
      <c r="G2790" s="16" t="str">
        <f>IFERROR(__xludf.DUMMYFUNCTION("""COMPUTED_VALUE"""),"")</f>
        <v/>
      </c>
    </row>
    <row r="2791">
      <c r="G2791" s="16" t="str">
        <f>IFERROR(__xludf.DUMMYFUNCTION("""COMPUTED_VALUE"""),"")</f>
        <v/>
      </c>
    </row>
    <row r="2792">
      <c r="G2792" s="16" t="str">
        <f>IFERROR(__xludf.DUMMYFUNCTION("""COMPUTED_VALUE"""),"")</f>
        <v/>
      </c>
    </row>
    <row r="2793">
      <c r="G2793" s="16" t="str">
        <f>IFERROR(__xludf.DUMMYFUNCTION("""COMPUTED_VALUE"""),"")</f>
        <v/>
      </c>
    </row>
    <row r="2794">
      <c r="G2794" s="16" t="str">
        <f>IFERROR(__xludf.DUMMYFUNCTION("""COMPUTED_VALUE"""),"")</f>
        <v/>
      </c>
    </row>
    <row r="2795">
      <c r="G2795" s="16" t="str">
        <f>IFERROR(__xludf.DUMMYFUNCTION("""COMPUTED_VALUE"""),"")</f>
        <v/>
      </c>
    </row>
    <row r="2796">
      <c r="G2796" s="16" t="str">
        <f>IFERROR(__xludf.DUMMYFUNCTION("""COMPUTED_VALUE"""),"")</f>
        <v/>
      </c>
    </row>
    <row r="2797">
      <c r="G2797" s="16" t="str">
        <f>IFERROR(__xludf.DUMMYFUNCTION("""COMPUTED_VALUE"""),"")</f>
        <v/>
      </c>
    </row>
    <row r="2798">
      <c r="G2798" s="16" t="str">
        <f>IFERROR(__xludf.DUMMYFUNCTION("""COMPUTED_VALUE"""),"")</f>
        <v/>
      </c>
    </row>
    <row r="2799">
      <c r="G2799" s="16" t="str">
        <f>IFERROR(__xludf.DUMMYFUNCTION("""COMPUTED_VALUE"""),"")</f>
        <v/>
      </c>
    </row>
    <row r="2800">
      <c r="G2800" s="16" t="str">
        <f>IFERROR(__xludf.DUMMYFUNCTION("""COMPUTED_VALUE"""),"")</f>
        <v/>
      </c>
    </row>
    <row r="2801">
      <c r="G2801" s="16" t="str">
        <f>IFERROR(__xludf.DUMMYFUNCTION("""COMPUTED_VALUE"""),"")</f>
        <v/>
      </c>
    </row>
    <row r="2802">
      <c r="G2802" s="16" t="str">
        <f>IFERROR(__xludf.DUMMYFUNCTION("""COMPUTED_VALUE"""),"")</f>
        <v/>
      </c>
    </row>
    <row r="2803">
      <c r="G2803" s="16" t="str">
        <f>IFERROR(__xludf.DUMMYFUNCTION("""COMPUTED_VALUE"""),"")</f>
        <v/>
      </c>
    </row>
    <row r="2804">
      <c r="G2804" s="16" t="str">
        <f>IFERROR(__xludf.DUMMYFUNCTION("""COMPUTED_VALUE"""),"")</f>
        <v/>
      </c>
    </row>
    <row r="2805">
      <c r="G2805" s="16" t="str">
        <f>IFERROR(__xludf.DUMMYFUNCTION("""COMPUTED_VALUE"""),"")</f>
        <v/>
      </c>
    </row>
    <row r="2806">
      <c r="G2806" s="16" t="str">
        <f>IFERROR(__xludf.DUMMYFUNCTION("""COMPUTED_VALUE"""),"")</f>
        <v/>
      </c>
    </row>
    <row r="2807">
      <c r="G2807" s="16" t="str">
        <f>IFERROR(__xludf.DUMMYFUNCTION("""COMPUTED_VALUE"""),"")</f>
        <v/>
      </c>
    </row>
    <row r="2808">
      <c r="G2808" s="16" t="str">
        <f>IFERROR(__xludf.DUMMYFUNCTION("""COMPUTED_VALUE"""),"")</f>
        <v/>
      </c>
    </row>
    <row r="2809">
      <c r="G2809" s="16" t="str">
        <f>IFERROR(__xludf.DUMMYFUNCTION("""COMPUTED_VALUE"""),"")</f>
        <v/>
      </c>
    </row>
    <row r="2810">
      <c r="G2810" s="16" t="str">
        <f>IFERROR(__xludf.DUMMYFUNCTION("""COMPUTED_VALUE"""),"")</f>
        <v/>
      </c>
    </row>
    <row r="2811">
      <c r="G2811" s="16" t="str">
        <f>IFERROR(__xludf.DUMMYFUNCTION("""COMPUTED_VALUE"""),"")</f>
        <v/>
      </c>
    </row>
    <row r="2812">
      <c r="G2812" s="16" t="str">
        <f>IFERROR(__xludf.DUMMYFUNCTION("""COMPUTED_VALUE"""),"")</f>
        <v/>
      </c>
    </row>
    <row r="2813">
      <c r="G2813" s="16" t="str">
        <f>IFERROR(__xludf.DUMMYFUNCTION("""COMPUTED_VALUE"""),"")</f>
        <v/>
      </c>
    </row>
    <row r="2814">
      <c r="G2814" s="16" t="str">
        <f>IFERROR(__xludf.DUMMYFUNCTION("""COMPUTED_VALUE"""),"")</f>
        <v/>
      </c>
    </row>
    <row r="2815">
      <c r="G2815" s="16" t="str">
        <f>IFERROR(__xludf.DUMMYFUNCTION("""COMPUTED_VALUE"""),"")</f>
        <v/>
      </c>
    </row>
    <row r="2816">
      <c r="G2816" s="16" t="str">
        <f>IFERROR(__xludf.DUMMYFUNCTION("""COMPUTED_VALUE"""),"")</f>
        <v/>
      </c>
    </row>
    <row r="2817">
      <c r="G2817" s="16" t="str">
        <f>IFERROR(__xludf.DUMMYFUNCTION("""COMPUTED_VALUE"""),"")</f>
        <v/>
      </c>
    </row>
    <row r="2818">
      <c r="G2818" s="16" t="str">
        <f>IFERROR(__xludf.DUMMYFUNCTION("""COMPUTED_VALUE"""),"")</f>
        <v/>
      </c>
    </row>
    <row r="2819">
      <c r="G2819" s="16" t="str">
        <f>IFERROR(__xludf.DUMMYFUNCTION("""COMPUTED_VALUE"""),"")</f>
        <v/>
      </c>
    </row>
    <row r="2820">
      <c r="G2820" s="16" t="str">
        <f>IFERROR(__xludf.DUMMYFUNCTION("""COMPUTED_VALUE"""),"")</f>
        <v/>
      </c>
    </row>
    <row r="2821">
      <c r="G2821" s="16" t="str">
        <f>IFERROR(__xludf.DUMMYFUNCTION("""COMPUTED_VALUE"""),"")</f>
        <v/>
      </c>
    </row>
    <row r="2822">
      <c r="G2822" s="16" t="str">
        <f>IFERROR(__xludf.DUMMYFUNCTION("""COMPUTED_VALUE"""),"")</f>
        <v/>
      </c>
    </row>
    <row r="2823">
      <c r="G2823" s="16" t="str">
        <f>IFERROR(__xludf.DUMMYFUNCTION("""COMPUTED_VALUE"""),"")</f>
        <v/>
      </c>
    </row>
    <row r="2824">
      <c r="G2824" s="16" t="str">
        <f>IFERROR(__xludf.DUMMYFUNCTION("""COMPUTED_VALUE"""),"")</f>
        <v/>
      </c>
    </row>
    <row r="2825">
      <c r="G2825" s="16" t="str">
        <f>IFERROR(__xludf.DUMMYFUNCTION("""COMPUTED_VALUE"""),"")</f>
        <v/>
      </c>
    </row>
    <row r="2826">
      <c r="G2826" s="16" t="str">
        <f>IFERROR(__xludf.DUMMYFUNCTION("""COMPUTED_VALUE"""),"")</f>
        <v/>
      </c>
    </row>
    <row r="2827">
      <c r="G2827" s="16" t="str">
        <f>IFERROR(__xludf.DUMMYFUNCTION("""COMPUTED_VALUE"""),"")</f>
        <v/>
      </c>
    </row>
    <row r="2828">
      <c r="G2828" s="16" t="str">
        <f>IFERROR(__xludf.DUMMYFUNCTION("""COMPUTED_VALUE"""),"")</f>
        <v/>
      </c>
    </row>
    <row r="2829">
      <c r="G2829" s="16" t="str">
        <f>IFERROR(__xludf.DUMMYFUNCTION("""COMPUTED_VALUE"""),"")</f>
        <v/>
      </c>
    </row>
    <row r="2830">
      <c r="G2830" s="16" t="str">
        <f>IFERROR(__xludf.DUMMYFUNCTION("""COMPUTED_VALUE"""),"")</f>
        <v/>
      </c>
    </row>
    <row r="2831">
      <c r="G2831" s="16" t="str">
        <f>IFERROR(__xludf.DUMMYFUNCTION("""COMPUTED_VALUE"""),"")</f>
        <v/>
      </c>
    </row>
    <row r="2832">
      <c r="G2832" s="16" t="str">
        <f>IFERROR(__xludf.DUMMYFUNCTION("""COMPUTED_VALUE"""),"")</f>
        <v/>
      </c>
    </row>
    <row r="2833">
      <c r="G2833" s="16" t="str">
        <f>IFERROR(__xludf.DUMMYFUNCTION("""COMPUTED_VALUE"""),"")</f>
        <v/>
      </c>
    </row>
    <row r="2834">
      <c r="G2834" s="16" t="str">
        <f>IFERROR(__xludf.DUMMYFUNCTION("""COMPUTED_VALUE"""),"")</f>
        <v/>
      </c>
    </row>
    <row r="2835">
      <c r="G2835" s="16" t="str">
        <f>IFERROR(__xludf.DUMMYFUNCTION("""COMPUTED_VALUE"""),"")</f>
        <v/>
      </c>
    </row>
    <row r="2836">
      <c r="G2836" s="16" t="str">
        <f>IFERROR(__xludf.DUMMYFUNCTION("""COMPUTED_VALUE"""),"")</f>
        <v/>
      </c>
    </row>
    <row r="2837">
      <c r="G2837" s="16" t="str">
        <f>IFERROR(__xludf.DUMMYFUNCTION("""COMPUTED_VALUE"""),"")</f>
        <v/>
      </c>
    </row>
    <row r="2838">
      <c r="G2838" s="16" t="str">
        <f>IFERROR(__xludf.DUMMYFUNCTION("""COMPUTED_VALUE"""),"")</f>
        <v/>
      </c>
    </row>
    <row r="2839">
      <c r="G2839" s="16" t="str">
        <f>IFERROR(__xludf.DUMMYFUNCTION("""COMPUTED_VALUE"""),"")</f>
        <v/>
      </c>
    </row>
    <row r="2840">
      <c r="G2840" s="16" t="str">
        <f>IFERROR(__xludf.DUMMYFUNCTION("""COMPUTED_VALUE"""),"")</f>
        <v/>
      </c>
    </row>
    <row r="2841">
      <c r="G2841" s="16" t="str">
        <f>IFERROR(__xludf.DUMMYFUNCTION("""COMPUTED_VALUE"""),"")</f>
        <v/>
      </c>
    </row>
    <row r="2842">
      <c r="G2842" s="16" t="str">
        <f>IFERROR(__xludf.DUMMYFUNCTION("""COMPUTED_VALUE"""),"")</f>
        <v/>
      </c>
    </row>
    <row r="2843">
      <c r="G2843" s="16" t="str">
        <f>IFERROR(__xludf.DUMMYFUNCTION("""COMPUTED_VALUE"""),"")</f>
        <v/>
      </c>
    </row>
    <row r="2844">
      <c r="G2844" s="16" t="str">
        <f>IFERROR(__xludf.DUMMYFUNCTION("""COMPUTED_VALUE"""),"")</f>
        <v/>
      </c>
    </row>
    <row r="2845">
      <c r="G2845" s="16" t="str">
        <f>IFERROR(__xludf.DUMMYFUNCTION("""COMPUTED_VALUE"""),"")</f>
        <v/>
      </c>
    </row>
    <row r="2846">
      <c r="G2846" s="16" t="str">
        <f>IFERROR(__xludf.DUMMYFUNCTION("""COMPUTED_VALUE"""),"")</f>
        <v/>
      </c>
    </row>
    <row r="2847">
      <c r="G2847" s="16" t="str">
        <f>IFERROR(__xludf.DUMMYFUNCTION("""COMPUTED_VALUE"""),"")</f>
        <v/>
      </c>
    </row>
    <row r="2848">
      <c r="G2848" s="16" t="str">
        <f>IFERROR(__xludf.DUMMYFUNCTION("""COMPUTED_VALUE"""),"")</f>
        <v/>
      </c>
    </row>
    <row r="2849">
      <c r="G2849" s="16" t="str">
        <f>IFERROR(__xludf.DUMMYFUNCTION("""COMPUTED_VALUE"""),"")</f>
        <v/>
      </c>
    </row>
    <row r="2850">
      <c r="G2850" s="16" t="str">
        <f>IFERROR(__xludf.DUMMYFUNCTION("""COMPUTED_VALUE"""),"")</f>
        <v/>
      </c>
    </row>
    <row r="2851">
      <c r="G2851" s="16" t="str">
        <f>IFERROR(__xludf.DUMMYFUNCTION("""COMPUTED_VALUE"""),"")</f>
        <v/>
      </c>
    </row>
    <row r="2852">
      <c r="G2852" s="16" t="str">
        <f>IFERROR(__xludf.DUMMYFUNCTION("""COMPUTED_VALUE"""),"")</f>
        <v/>
      </c>
    </row>
    <row r="2853">
      <c r="G2853" s="16" t="str">
        <f>IFERROR(__xludf.DUMMYFUNCTION("""COMPUTED_VALUE"""),"")</f>
        <v/>
      </c>
    </row>
    <row r="2854">
      <c r="G2854" s="16" t="str">
        <f>IFERROR(__xludf.DUMMYFUNCTION("""COMPUTED_VALUE"""),"")</f>
        <v/>
      </c>
    </row>
    <row r="2855">
      <c r="G2855" s="16" t="str">
        <f>IFERROR(__xludf.DUMMYFUNCTION("""COMPUTED_VALUE"""),"")</f>
        <v/>
      </c>
    </row>
    <row r="2856">
      <c r="G2856" s="16" t="str">
        <f>IFERROR(__xludf.DUMMYFUNCTION("""COMPUTED_VALUE"""),"")</f>
        <v/>
      </c>
    </row>
    <row r="2857">
      <c r="G2857" s="16" t="str">
        <f>IFERROR(__xludf.DUMMYFUNCTION("""COMPUTED_VALUE"""),"")</f>
        <v/>
      </c>
    </row>
    <row r="2858">
      <c r="G2858" s="16" t="str">
        <f>IFERROR(__xludf.DUMMYFUNCTION("""COMPUTED_VALUE"""),"")</f>
        <v/>
      </c>
    </row>
    <row r="2859">
      <c r="G2859" s="16" t="str">
        <f>IFERROR(__xludf.DUMMYFUNCTION("""COMPUTED_VALUE"""),"")</f>
        <v/>
      </c>
    </row>
    <row r="2860">
      <c r="G2860" s="16" t="str">
        <f>IFERROR(__xludf.DUMMYFUNCTION("""COMPUTED_VALUE"""),"")</f>
        <v/>
      </c>
    </row>
    <row r="2861">
      <c r="G2861" s="16" t="str">
        <f>IFERROR(__xludf.DUMMYFUNCTION("""COMPUTED_VALUE"""),"")</f>
        <v/>
      </c>
    </row>
    <row r="2862">
      <c r="G2862" s="16" t="str">
        <f>IFERROR(__xludf.DUMMYFUNCTION("""COMPUTED_VALUE"""),"")</f>
        <v/>
      </c>
    </row>
    <row r="2863">
      <c r="G2863" s="16" t="str">
        <f>IFERROR(__xludf.DUMMYFUNCTION("""COMPUTED_VALUE"""),"")</f>
        <v/>
      </c>
    </row>
    <row r="2864">
      <c r="G2864" s="16" t="str">
        <f>IFERROR(__xludf.DUMMYFUNCTION("""COMPUTED_VALUE"""),"")</f>
        <v/>
      </c>
    </row>
    <row r="2865">
      <c r="G2865" s="16" t="str">
        <f>IFERROR(__xludf.DUMMYFUNCTION("""COMPUTED_VALUE"""),"")</f>
        <v/>
      </c>
    </row>
    <row r="2866">
      <c r="G2866" s="16" t="str">
        <f>IFERROR(__xludf.DUMMYFUNCTION("""COMPUTED_VALUE"""),"")</f>
        <v/>
      </c>
    </row>
    <row r="2867">
      <c r="G2867" s="16" t="str">
        <f>IFERROR(__xludf.DUMMYFUNCTION("""COMPUTED_VALUE"""),"")</f>
        <v/>
      </c>
    </row>
    <row r="2868">
      <c r="G2868" s="16" t="str">
        <f>IFERROR(__xludf.DUMMYFUNCTION("""COMPUTED_VALUE"""),"")</f>
        <v/>
      </c>
    </row>
    <row r="2869">
      <c r="G2869" s="16" t="str">
        <f>IFERROR(__xludf.DUMMYFUNCTION("""COMPUTED_VALUE"""),"")</f>
        <v/>
      </c>
    </row>
    <row r="2870">
      <c r="G2870" s="16" t="str">
        <f>IFERROR(__xludf.DUMMYFUNCTION("""COMPUTED_VALUE"""),"")</f>
        <v/>
      </c>
    </row>
    <row r="2871">
      <c r="G2871" s="16" t="str">
        <f>IFERROR(__xludf.DUMMYFUNCTION("""COMPUTED_VALUE"""),"")</f>
        <v/>
      </c>
    </row>
    <row r="2872">
      <c r="G2872" s="16" t="str">
        <f>IFERROR(__xludf.DUMMYFUNCTION("""COMPUTED_VALUE"""),"")</f>
        <v/>
      </c>
    </row>
    <row r="2873">
      <c r="G2873" s="16" t="str">
        <f>IFERROR(__xludf.DUMMYFUNCTION("""COMPUTED_VALUE"""),"")</f>
        <v/>
      </c>
    </row>
    <row r="2874">
      <c r="G2874" s="16" t="str">
        <f>IFERROR(__xludf.DUMMYFUNCTION("""COMPUTED_VALUE"""),"")</f>
        <v/>
      </c>
    </row>
    <row r="2875">
      <c r="G2875" s="16" t="str">
        <f>IFERROR(__xludf.DUMMYFUNCTION("""COMPUTED_VALUE"""),"")</f>
        <v/>
      </c>
    </row>
    <row r="2876">
      <c r="G2876" s="16" t="str">
        <f>IFERROR(__xludf.DUMMYFUNCTION("""COMPUTED_VALUE"""),"")</f>
        <v/>
      </c>
    </row>
    <row r="2877">
      <c r="G2877" s="16" t="str">
        <f>IFERROR(__xludf.DUMMYFUNCTION("""COMPUTED_VALUE"""),"")</f>
        <v/>
      </c>
    </row>
    <row r="2878">
      <c r="G2878" s="16" t="str">
        <f>IFERROR(__xludf.DUMMYFUNCTION("""COMPUTED_VALUE"""),"")</f>
        <v/>
      </c>
    </row>
    <row r="2879">
      <c r="G2879" s="16" t="str">
        <f>IFERROR(__xludf.DUMMYFUNCTION("""COMPUTED_VALUE"""),"")</f>
        <v/>
      </c>
    </row>
    <row r="2880">
      <c r="G2880" s="16" t="str">
        <f>IFERROR(__xludf.DUMMYFUNCTION("""COMPUTED_VALUE"""),"")</f>
        <v/>
      </c>
    </row>
    <row r="2881">
      <c r="G2881" s="16" t="str">
        <f>IFERROR(__xludf.DUMMYFUNCTION("""COMPUTED_VALUE"""),"")</f>
        <v/>
      </c>
    </row>
    <row r="2882">
      <c r="G2882" s="16" t="str">
        <f>IFERROR(__xludf.DUMMYFUNCTION("""COMPUTED_VALUE"""),"")</f>
        <v/>
      </c>
    </row>
    <row r="2883">
      <c r="G2883" s="16" t="str">
        <f>IFERROR(__xludf.DUMMYFUNCTION("""COMPUTED_VALUE"""),"")</f>
        <v/>
      </c>
    </row>
    <row r="2884">
      <c r="G2884" s="16" t="str">
        <f>IFERROR(__xludf.DUMMYFUNCTION("""COMPUTED_VALUE"""),"")</f>
        <v/>
      </c>
    </row>
    <row r="2885">
      <c r="G2885" s="16" t="str">
        <f>IFERROR(__xludf.DUMMYFUNCTION("""COMPUTED_VALUE"""),"")</f>
        <v/>
      </c>
    </row>
    <row r="2886">
      <c r="G2886" s="16" t="str">
        <f>IFERROR(__xludf.DUMMYFUNCTION("""COMPUTED_VALUE"""),"")</f>
        <v/>
      </c>
    </row>
    <row r="2887">
      <c r="G2887" s="16" t="str">
        <f>IFERROR(__xludf.DUMMYFUNCTION("""COMPUTED_VALUE"""),"")</f>
        <v/>
      </c>
    </row>
    <row r="2888">
      <c r="G2888" s="16" t="str">
        <f>IFERROR(__xludf.DUMMYFUNCTION("""COMPUTED_VALUE"""),"")</f>
        <v/>
      </c>
    </row>
    <row r="2889">
      <c r="G2889" s="16" t="str">
        <f>IFERROR(__xludf.DUMMYFUNCTION("""COMPUTED_VALUE"""),"")</f>
        <v/>
      </c>
    </row>
    <row r="2890">
      <c r="G2890" s="16" t="str">
        <f>IFERROR(__xludf.DUMMYFUNCTION("""COMPUTED_VALUE"""),"")</f>
        <v/>
      </c>
    </row>
    <row r="2891">
      <c r="G2891" s="16" t="str">
        <f>IFERROR(__xludf.DUMMYFUNCTION("""COMPUTED_VALUE"""),"")</f>
        <v/>
      </c>
    </row>
    <row r="2892">
      <c r="G2892" s="16" t="str">
        <f>IFERROR(__xludf.DUMMYFUNCTION("""COMPUTED_VALUE"""),"")</f>
        <v/>
      </c>
    </row>
    <row r="2893">
      <c r="G2893" s="16" t="str">
        <f>IFERROR(__xludf.DUMMYFUNCTION("""COMPUTED_VALUE"""),"")</f>
        <v/>
      </c>
    </row>
    <row r="2894">
      <c r="G2894" s="16" t="str">
        <f>IFERROR(__xludf.DUMMYFUNCTION("""COMPUTED_VALUE"""),"")</f>
        <v/>
      </c>
    </row>
    <row r="2895">
      <c r="G2895" s="16" t="str">
        <f>IFERROR(__xludf.DUMMYFUNCTION("""COMPUTED_VALUE"""),"")</f>
        <v/>
      </c>
    </row>
    <row r="2896">
      <c r="G2896" s="16" t="str">
        <f>IFERROR(__xludf.DUMMYFUNCTION("""COMPUTED_VALUE"""),"")</f>
        <v/>
      </c>
    </row>
    <row r="2897">
      <c r="G2897" s="16" t="str">
        <f>IFERROR(__xludf.DUMMYFUNCTION("""COMPUTED_VALUE"""),"")</f>
        <v/>
      </c>
    </row>
    <row r="2898">
      <c r="G2898" s="16" t="str">
        <f>IFERROR(__xludf.DUMMYFUNCTION("""COMPUTED_VALUE"""),"")</f>
        <v/>
      </c>
    </row>
    <row r="2899">
      <c r="G2899" s="16" t="str">
        <f>IFERROR(__xludf.DUMMYFUNCTION("""COMPUTED_VALUE"""),"")</f>
        <v/>
      </c>
    </row>
    <row r="2900">
      <c r="G2900" s="16" t="str">
        <f>IFERROR(__xludf.DUMMYFUNCTION("""COMPUTED_VALUE"""),"")</f>
        <v/>
      </c>
    </row>
    <row r="2901">
      <c r="G2901" s="16" t="str">
        <f>IFERROR(__xludf.DUMMYFUNCTION("""COMPUTED_VALUE"""),"")</f>
        <v/>
      </c>
    </row>
    <row r="2902">
      <c r="G2902" s="16" t="str">
        <f>IFERROR(__xludf.DUMMYFUNCTION("""COMPUTED_VALUE"""),"")</f>
        <v/>
      </c>
    </row>
    <row r="2903">
      <c r="G2903" s="16" t="str">
        <f>IFERROR(__xludf.DUMMYFUNCTION("""COMPUTED_VALUE"""),"")</f>
        <v/>
      </c>
    </row>
    <row r="2904">
      <c r="G2904" s="16" t="str">
        <f>IFERROR(__xludf.DUMMYFUNCTION("""COMPUTED_VALUE"""),"")</f>
        <v/>
      </c>
    </row>
    <row r="2905">
      <c r="G2905" s="16" t="str">
        <f>IFERROR(__xludf.DUMMYFUNCTION("""COMPUTED_VALUE"""),"")</f>
        <v/>
      </c>
    </row>
    <row r="2906">
      <c r="G2906" s="16" t="str">
        <f>IFERROR(__xludf.DUMMYFUNCTION("""COMPUTED_VALUE"""),"")</f>
        <v/>
      </c>
    </row>
    <row r="2907">
      <c r="G2907" s="16" t="str">
        <f>IFERROR(__xludf.DUMMYFUNCTION("""COMPUTED_VALUE"""),"")</f>
        <v/>
      </c>
    </row>
    <row r="2908">
      <c r="G2908" s="16" t="str">
        <f>IFERROR(__xludf.DUMMYFUNCTION("""COMPUTED_VALUE"""),"")</f>
        <v/>
      </c>
    </row>
    <row r="2909">
      <c r="G2909" s="16" t="str">
        <f>IFERROR(__xludf.DUMMYFUNCTION("""COMPUTED_VALUE"""),"")</f>
        <v/>
      </c>
    </row>
    <row r="2910">
      <c r="G2910" s="16" t="str">
        <f>IFERROR(__xludf.DUMMYFUNCTION("""COMPUTED_VALUE"""),"")</f>
        <v/>
      </c>
    </row>
    <row r="2911">
      <c r="G2911" s="16" t="str">
        <f>IFERROR(__xludf.DUMMYFUNCTION("""COMPUTED_VALUE"""),"")</f>
        <v/>
      </c>
    </row>
    <row r="2912">
      <c r="G2912" s="16" t="str">
        <f>IFERROR(__xludf.DUMMYFUNCTION("""COMPUTED_VALUE"""),"")</f>
        <v/>
      </c>
    </row>
    <row r="2913">
      <c r="G2913" s="16" t="str">
        <f>IFERROR(__xludf.DUMMYFUNCTION("""COMPUTED_VALUE"""),"")</f>
        <v/>
      </c>
    </row>
    <row r="2914">
      <c r="G2914" s="16" t="str">
        <f>IFERROR(__xludf.DUMMYFUNCTION("""COMPUTED_VALUE"""),"")</f>
        <v/>
      </c>
    </row>
    <row r="2915">
      <c r="G2915" s="16" t="str">
        <f>IFERROR(__xludf.DUMMYFUNCTION("""COMPUTED_VALUE"""),"")</f>
        <v/>
      </c>
    </row>
    <row r="2916">
      <c r="G2916" s="16" t="str">
        <f>IFERROR(__xludf.DUMMYFUNCTION("""COMPUTED_VALUE"""),"")</f>
        <v/>
      </c>
    </row>
    <row r="2917">
      <c r="G2917" s="16" t="str">
        <f>IFERROR(__xludf.DUMMYFUNCTION("""COMPUTED_VALUE"""),"")</f>
        <v/>
      </c>
    </row>
    <row r="2918">
      <c r="G2918" s="16" t="str">
        <f>IFERROR(__xludf.DUMMYFUNCTION("""COMPUTED_VALUE"""),"")</f>
        <v/>
      </c>
    </row>
    <row r="2919">
      <c r="G2919" s="16" t="str">
        <f>IFERROR(__xludf.DUMMYFUNCTION("""COMPUTED_VALUE"""),"")</f>
        <v/>
      </c>
    </row>
    <row r="2920">
      <c r="G2920" s="16" t="str">
        <f>IFERROR(__xludf.DUMMYFUNCTION("""COMPUTED_VALUE"""),"")</f>
        <v/>
      </c>
    </row>
    <row r="2921">
      <c r="G2921" s="16" t="str">
        <f>IFERROR(__xludf.DUMMYFUNCTION("""COMPUTED_VALUE"""),"")</f>
        <v/>
      </c>
    </row>
    <row r="2922">
      <c r="G2922" s="16" t="str">
        <f>IFERROR(__xludf.DUMMYFUNCTION("""COMPUTED_VALUE"""),"")</f>
        <v/>
      </c>
    </row>
    <row r="2923">
      <c r="G2923" s="16" t="str">
        <f>IFERROR(__xludf.DUMMYFUNCTION("""COMPUTED_VALUE"""),"")</f>
        <v/>
      </c>
    </row>
    <row r="2924">
      <c r="G2924" s="16" t="str">
        <f>IFERROR(__xludf.DUMMYFUNCTION("""COMPUTED_VALUE"""),"")</f>
        <v/>
      </c>
    </row>
    <row r="2925">
      <c r="G2925" s="16" t="str">
        <f>IFERROR(__xludf.DUMMYFUNCTION("""COMPUTED_VALUE"""),"")</f>
        <v/>
      </c>
    </row>
    <row r="2926">
      <c r="G2926" s="16" t="str">
        <f>IFERROR(__xludf.DUMMYFUNCTION("""COMPUTED_VALUE"""),"")</f>
        <v/>
      </c>
    </row>
    <row r="2927">
      <c r="G2927" s="16" t="str">
        <f>IFERROR(__xludf.DUMMYFUNCTION("""COMPUTED_VALUE"""),"")</f>
        <v/>
      </c>
    </row>
    <row r="2928">
      <c r="G2928" s="16" t="str">
        <f>IFERROR(__xludf.DUMMYFUNCTION("""COMPUTED_VALUE"""),"")</f>
        <v/>
      </c>
    </row>
    <row r="2929">
      <c r="G2929" s="16" t="str">
        <f>IFERROR(__xludf.DUMMYFUNCTION("""COMPUTED_VALUE"""),"")</f>
        <v/>
      </c>
    </row>
    <row r="2930">
      <c r="G2930" s="16" t="str">
        <f>IFERROR(__xludf.DUMMYFUNCTION("""COMPUTED_VALUE"""),"")</f>
        <v/>
      </c>
    </row>
    <row r="2931">
      <c r="G2931" s="16" t="str">
        <f>IFERROR(__xludf.DUMMYFUNCTION("""COMPUTED_VALUE"""),"")</f>
        <v/>
      </c>
    </row>
    <row r="2932">
      <c r="G2932" s="16" t="str">
        <f>IFERROR(__xludf.DUMMYFUNCTION("""COMPUTED_VALUE"""),"")</f>
        <v/>
      </c>
    </row>
    <row r="2933">
      <c r="G2933" s="16" t="str">
        <f>IFERROR(__xludf.DUMMYFUNCTION("""COMPUTED_VALUE"""),"")</f>
        <v/>
      </c>
    </row>
    <row r="2934">
      <c r="G2934" s="16" t="str">
        <f>IFERROR(__xludf.DUMMYFUNCTION("""COMPUTED_VALUE"""),"")</f>
        <v/>
      </c>
    </row>
    <row r="2935">
      <c r="G2935" s="16" t="str">
        <f>IFERROR(__xludf.DUMMYFUNCTION("""COMPUTED_VALUE"""),"")</f>
        <v/>
      </c>
    </row>
    <row r="2936">
      <c r="G2936" s="16" t="str">
        <f>IFERROR(__xludf.DUMMYFUNCTION("""COMPUTED_VALUE"""),"")</f>
        <v/>
      </c>
    </row>
    <row r="2937">
      <c r="G2937" s="16" t="str">
        <f>IFERROR(__xludf.DUMMYFUNCTION("""COMPUTED_VALUE"""),"")</f>
        <v/>
      </c>
    </row>
    <row r="2938">
      <c r="G2938" s="16" t="str">
        <f>IFERROR(__xludf.DUMMYFUNCTION("""COMPUTED_VALUE"""),"")</f>
        <v/>
      </c>
    </row>
    <row r="2939">
      <c r="G2939" s="16" t="str">
        <f>IFERROR(__xludf.DUMMYFUNCTION("""COMPUTED_VALUE"""),"")</f>
        <v/>
      </c>
    </row>
    <row r="2940">
      <c r="G2940" s="16" t="str">
        <f>IFERROR(__xludf.DUMMYFUNCTION("""COMPUTED_VALUE"""),"")</f>
        <v/>
      </c>
    </row>
    <row r="2941">
      <c r="G2941" s="16" t="str">
        <f>IFERROR(__xludf.DUMMYFUNCTION("""COMPUTED_VALUE"""),"")</f>
        <v/>
      </c>
    </row>
    <row r="2942">
      <c r="G2942" s="16" t="str">
        <f>IFERROR(__xludf.DUMMYFUNCTION("""COMPUTED_VALUE"""),"")</f>
        <v/>
      </c>
    </row>
    <row r="2943">
      <c r="G2943" s="16" t="str">
        <f>IFERROR(__xludf.DUMMYFUNCTION("""COMPUTED_VALUE"""),"")</f>
        <v/>
      </c>
    </row>
    <row r="2944">
      <c r="G2944" s="16" t="str">
        <f>IFERROR(__xludf.DUMMYFUNCTION("""COMPUTED_VALUE"""),"")</f>
        <v/>
      </c>
    </row>
    <row r="2945">
      <c r="G2945" s="16" t="str">
        <f>IFERROR(__xludf.DUMMYFUNCTION("""COMPUTED_VALUE"""),"")</f>
        <v/>
      </c>
    </row>
    <row r="2946">
      <c r="G2946" s="16" t="str">
        <f>IFERROR(__xludf.DUMMYFUNCTION("""COMPUTED_VALUE"""),"")</f>
        <v/>
      </c>
    </row>
    <row r="2947">
      <c r="G2947" s="16" t="str">
        <f>IFERROR(__xludf.DUMMYFUNCTION("""COMPUTED_VALUE"""),"")</f>
        <v/>
      </c>
    </row>
    <row r="2948">
      <c r="G2948" s="16" t="str">
        <f>IFERROR(__xludf.DUMMYFUNCTION("""COMPUTED_VALUE"""),"")</f>
        <v/>
      </c>
    </row>
    <row r="2949">
      <c r="G2949" s="16" t="str">
        <f>IFERROR(__xludf.DUMMYFUNCTION("""COMPUTED_VALUE"""),"")</f>
        <v/>
      </c>
    </row>
    <row r="2950">
      <c r="G2950" s="16" t="str">
        <f>IFERROR(__xludf.DUMMYFUNCTION("""COMPUTED_VALUE"""),"")</f>
        <v/>
      </c>
    </row>
    <row r="2951">
      <c r="G2951" s="16" t="str">
        <f>IFERROR(__xludf.DUMMYFUNCTION("""COMPUTED_VALUE"""),"")</f>
        <v/>
      </c>
    </row>
    <row r="2952">
      <c r="G2952" s="16" t="str">
        <f>IFERROR(__xludf.DUMMYFUNCTION("""COMPUTED_VALUE"""),"")</f>
        <v/>
      </c>
    </row>
    <row r="2953">
      <c r="G2953" s="16" t="str">
        <f>IFERROR(__xludf.DUMMYFUNCTION("""COMPUTED_VALUE"""),"")</f>
        <v/>
      </c>
    </row>
    <row r="2954">
      <c r="G2954" s="16" t="str">
        <f>IFERROR(__xludf.DUMMYFUNCTION("""COMPUTED_VALUE"""),"")</f>
        <v/>
      </c>
    </row>
    <row r="2955">
      <c r="G2955" s="16" t="str">
        <f>IFERROR(__xludf.DUMMYFUNCTION("""COMPUTED_VALUE"""),"")</f>
        <v/>
      </c>
    </row>
    <row r="2956">
      <c r="G2956" s="16" t="str">
        <f>IFERROR(__xludf.DUMMYFUNCTION("""COMPUTED_VALUE"""),"")</f>
        <v/>
      </c>
    </row>
    <row r="2957">
      <c r="G2957" s="16" t="str">
        <f>IFERROR(__xludf.DUMMYFUNCTION("""COMPUTED_VALUE"""),"")</f>
        <v/>
      </c>
    </row>
    <row r="2958">
      <c r="G2958" s="16" t="str">
        <f>IFERROR(__xludf.DUMMYFUNCTION("""COMPUTED_VALUE"""),"")</f>
        <v/>
      </c>
    </row>
    <row r="2959">
      <c r="G2959" s="16" t="str">
        <f>IFERROR(__xludf.DUMMYFUNCTION("""COMPUTED_VALUE"""),"")</f>
        <v/>
      </c>
    </row>
    <row r="2960">
      <c r="G2960" s="16" t="str">
        <f>IFERROR(__xludf.DUMMYFUNCTION("""COMPUTED_VALUE"""),"")</f>
        <v/>
      </c>
    </row>
    <row r="2961">
      <c r="G2961" s="16" t="str">
        <f>IFERROR(__xludf.DUMMYFUNCTION("""COMPUTED_VALUE"""),"")</f>
        <v/>
      </c>
    </row>
    <row r="2962">
      <c r="G2962" s="16" t="str">
        <f>IFERROR(__xludf.DUMMYFUNCTION("""COMPUTED_VALUE"""),"")</f>
        <v/>
      </c>
    </row>
    <row r="2963">
      <c r="G2963" s="16" t="str">
        <f>IFERROR(__xludf.DUMMYFUNCTION("""COMPUTED_VALUE"""),"")</f>
        <v/>
      </c>
    </row>
    <row r="2964">
      <c r="G2964" s="16" t="str">
        <f>IFERROR(__xludf.DUMMYFUNCTION("""COMPUTED_VALUE"""),"")</f>
        <v/>
      </c>
    </row>
    <row r="2965">
      <c r="G2965" s="16" t="str">
        <f>IFERROR(__xludf.DUMMYFUNCTION("""COMPUTED_VALUE"""),"")</f>
        <v/>
      </c>
    </row>
    <row r="2966">
      <c r="G2966" s="16" t="str">
        <f>IFERROR(__xludf.DUMMYFUNCTION("""COMPUTED_VALUE"""),"")</f>
        <v/>
      </c>
    </row>
    <row r="2967">
      <c r="G2967" s="16" t="str">
        <f>IFERROR(__xludf.DUMMYFUNCTION("""COMPUTED_VALUE"""),"")</f>
        <v/>
      </c>
    </row>
    <row r="2968">
      <c r="G2968" s="16" t="str">
        <f>IFERROR(__xludf.DUMMYFUNCTION("""COMPUTED_VALUE"""),"")</f>
        <v/>
      </c>
    </row>
    <row r="2969">
      <c r="G2969" s="16" t="str">
        <f>IFERROR(__xludf.DUMMYFUNCTION("""COMPUTED_VALUE"""),"")</f>
        <v/>
      </c>
    </row>
    <row r="2970">
      <c r="G2970" s="16" t="str">
        <f>IFERROR(__xludf.DUMMYFUNCTION("""COMPUTED_VALUE"""),"")</f>
        <v/>
      </c>
    </row>
    <row r="2971">
      <c r="G2971" s="16" t="str">
        <f>IFERROR(__xludf.DUMMYFUNCTION("""COMPUTED_VALUE"""),"")</f>
        <v/>
      </c>
    </row>
    <row r="2972">
      <c r="G2972" s="16" t="str">
        <f>IFERROR(__xludf.DUMMYFUNCTION("""COMPUTED_VALUE"""),"")</f>
        <v/>
      </c>
    </row>
    <row r="2973">
      <c r="G2973" s="16" t="str">
        <f>IFERROR(__xludf.DUMMYFUNCTION("""COMPUTED_VALUE"""),"")</f>
        <v/>
      </c>
    </row>
    <row r="2974">
      <c r="G2974" s="16" t="str">
        <f>IFERROR(__xludf.DUMMYFUNCTION("""COMPUTED_VALUE"""),"")</f>
        <v/>
      </c>
    </row>
    <row r="2975">
      <c r="G2975" s="16" t="str">
        <f>IFERROR(__xludf.DUMMYFUNCTION("""COMPUTED_VALUE"""),"")</f>
        <v/>
      </c>
    </row>
    <row r="2976">
      <c r="G2976" s="16" t="str">
        <f>IFERROR(__xludf.DUMMYFUNCTION("""COMPUTED_VALUE"""),"")</f>
        <v/>
      </c>
    </row>
    <row r="2977">
      <c r="G2977" s="16" t="str">
        <f>IFERROR(__xludf.DUMMYFUNCTION("""COMPUTED_VALUE"""),"")</f>
        <v/>
      </c>
    </row>
    <row r="2978">
      <c r="G2978" s="16" t="str">
        <f>IFERROR(__xludf.DUMMYFUNCTION("""COMPUTED_VALUE"""),"")</f>
        <v/>
      </c>
    </row>
    <row r="2979">
      <c r="G2979" s="16" t="str">
        <f>IFERROR(__xludf.DUMMYFUNCTION("""COMPUTED_VALUE"""),"")</f>
        <v/>
      </c>
    </row>
    <row r="2980">
      <c r="G2980" s="16" t="str">
        <f>IFERROR(__xludf.DUMMYFUNCTION("""COMPUTED_VALUE"""),"")</f>
        <v/>
      </c>
    </row>
    <row r="2981">
      <c r="G2981" s="16" t="str">
        <f>IFERROR(__xludf.DUMMYFUNCTION("""COMPUTED_VALUE"""),"")</f>
        <v/>
      </c>
    </row>
    <row r="2982">
      <c r="G2982" s="16" t="str">
        <f>IFERROR(__xludf.DUMMYFUNCTION("""COMPUTED_VALUE"""),"")</f>
        <v/>
      </c>
    </row>
    <row r="2983">
      <c r="G2983" s="16" t="str">
        <f>IFERROR(__xludf.DUMMYFUNCTION("""COMPUTED_VALUE"""),"")</f>
        <v/>
      </c>
    </row>
    <row r="2984">
      <c r="G2984" s="16" t="str">
        <f>IFERROR(__xludf.DUMMYFUNCTION("""COMPUTED_VALUE"""),"")</f>
        <v/>
      </c>
    </row>
    <row r="2985">
      <c r="G2985" s="16" t="str">
        <f>IFERROR(__xludf.DUMMYFUNCTION("""COMPUTED_VALUE"""),"")</f>
        <v/>
      </c>
    </row>
    <row r="2986">
      <c r="G2986" s="16" t="str">
        <f>IFERROR(__xludf.DUMMYFUNCTION("""COMPUTED_VALUE"""),"")</f>
        <v/>
      </c>
    </row>
    <row r="2987">
      <c r="G2987" s="16" t="str">
        <f>IFERROR(__xludf.DUMMYFUNCTION("""COMPUTED_VALUE"""),"")</f>
        <v/>
      </c>
    </row>
    <row r="2988">
      <c r="G2988" s="16" t="str">
        <f>IFERROR(__xludf.DUMMYFUNCTION("""COMPUTED_VALUE"""),"")</f>
        <v/>
      </c>
    </row>
    <row r="2989">
      <c r="G2989" s="16" t="str">
        <f>IFERROR(__xludf.DUMMYFUNCTION("""COMPUTED_VALUE"""),"")</f>
        <v/>
      </c>
    </row>
    <row r="2990">
      <c r="G2990" s="16" t="str">
        <f>IFERROR(__xludf.DUMMYFUNCTION("""COMPUTED_VALUE"""),"")</f>
        <v/>
      </c>
    </row>
    <row r="2991">
      <c r="G2991" s="16" t="str">
        <f>IFERROR(__xludf.DUMMYFUNCTION("""COMPUTED_VALUE"""),"")</f>
        <v/>
      </c>
    </row>
    <row r="2992">
      <c r="G2992" s="16" t="str">
        <f>IFERROR(__xludf.DUMMYFUNCTION("""COMPUTED_VALUE"""),"")</f>
        <v/>
      </c>
    </row>
    <row r="2993">
      <c r="G2993" s="16" t="str">
        <f>IFERROR(__xludf.DUMMYFUNCTION("""COMPUTED_VALUE"""),"")</f>
        <v/>
      </c>
    </row>
    <row r="2994">
      <c r="G2994" s="16" t="str">
        <f>IFERROR(__xludf.DUMMYFUNCTION("""COMPUTED_VALUE"""),"")</f>
        <v/>
      </c>
    </row>
    <row r="2995">
      <c r="G2995" s="16" t="str">
        <f>IFERROR(__xludf.DUMMYFUNCTION("""COMPUTED_VALUE"""),"")</f>
        <v/>
      </c>
    </row>
    <row r="2996">
      <c r="G2996" s="16" t="str">
        <f>IFERROR(__xludf.DUMMYFUNCTION("""COMPUTED_VALUE"""),"")</f>
        <v/>
      </c>
    </row>
    <row r="2997">
      <c r="G2997" s="16" t="str">
        <f>IFERROR(__xludf.DUMMYFUNCTION("""COMPUTED_VALUE"""),"")</f>
        <v/>
      </c>
    </row>
    <row r="2998">
      <c r="G2998" s="16" t="str">
        <f>IFERROR(__xludf.DUMMYFUNCTION("""COMPUTED_VALUE"""),"")</f>
        <v/>
      </c>
    </row>
    <row r="2999">
      <c r="G2999" s="16" t="str">
        <f>IFERROR(__xludf.DUMMYFUNCTION("""COMPUTED_VALUE"""),"")</f>
        <v/>
      </c>
    </row>
    <row r="3000">
      <c r="G3000" s="16" t="str">
        <f>IFERROR(__xludf.DUMMYFUNCTION("""COMPUTED_VALUE"""),"")</f>
        <v/>
      </c>
    </row>
    <row r="3001">
      <c r="G3001" s="16" t="str">
        <f>IFERROR(__xludf.DUMMYFUNCTION("""COMPUTED_VALUE"""),"")</f>
        <v/>
      </c>
    </row>
    <row r="3002">
      <c r="G3002" s="16" t="str">
        <f>IFERROR(__xludf.DUMMYFUNCTION("""COMPUTED_VALUE"""),"")</f>
        <v/>
      </c>
    </row>
    <row r="3003">
      <c r="G3003" s="16" t="str">
        <f>IFERROR(__xludf.DUMMYFUNCTION("""COMPUTED_VALUE"""),"")</f>
        <v/>
      </c>
    </row>
    <row r="3004">
      <c r="G3004" s="16" t="str">
        <f>IFERROR(__xludf.DUMMYFUNCTION("""COMPUTED_VALUE"""),"")</f>
        <v/>
      </c>
    </row>
    <row r="3005">
      <c r="G3005" s="16" t="str">
        <f>IFERROR(__xludf.DUMMYFUNCTION("""COMPUTED_VALUE"""),"")</f>
        <v/>
      </c>
    </row>
    <row r="3006">
      <c r="G3006" s="16" t="str">
        <f>IFERROR(__xludf.DUMMYFUNCTION("""COMPUTED_VALUE"""),"")</f>
        <v/>
      </c>
    </row>
    <row r="3007">
      <c r="G3007" s="16" t="str">
        <f>IFERROR(__xludf.DUMMYFUNCTION("""COMPUTED_VALUE"""),"")</f>
        <v/>
      </c>
    </row>
    <row r="3008">
      <c r="G3008" s="16" t="str">
        <f>IFERROR(__xludf.DUMMYFUNCTION("""COMPUTED_VALUE"""),"")</f>
        <v/>
      </c>
    </row>
    <row r="3009">
      <c r="G3009" s="16" t="str">
        <f>IFERROR(__xludf.DUMMYFUNCTION("""COMPUTED_VALUE"""),"")</f>
        <v/>
      </c>
    </row>
    <row r="3010">
      <c r="G3010" s="16" t="str">
        <f>IFERROR(__xludf.DUMMYFUNCTION("""COMPUTED_VALUE"""),"")</f>
        <v/>
      </c>
    </row>
    <row r="3011">
      <c r="G3011" s="16" t="str">
        <f>IFERROR(__xludf.DUMMYFUNCTION("""COMPUTED_VALUE"""),"")</f>
        <v/>
      </c>
    </row>
    <row r="3012">
      <c r="G3012" s="16" t="str">
        <f>IFERROR(__xludf.DUMMYFUNCTION("""COMPUTED_VALUE"""),"")</f>
        <v/>
      </c>
    </row>
    <row r="3013">
      <c r="G3013" s="16" t="str">
        <f>IFERROR(__xludf.DUMMYFUNCTION("""COMPUTED_VALUE"""),"")</f>
        <v/>
      </c>
    </row>
    <row r="3014">
      <c r="G3014" s="16" t="str">
        <f>IFERROR(__xludf.DUMMYFUNCTION("""COMPUTED_VALUE"""),"")</f>
        <v/>
      </c>
    </row>
    <row r="3015">
      <c r="G3015" s="16" t="str">
        <f>IFERROR(__xludf.DUMMYFUNCTION("""COMPUTED_VALUE"""),"")</f>
        <v/>
      </c>
    </row>
    <row r="3016">
      <c r="G3016" s="16" t="str">
        <f>IFERROR(__xludf.DUMMYFUNCTION("""COMPUTED_VALUE"""),"")</f>
        <v/>
      </c>
    </row>
    <row r="3017">
      <c r="G3017" s="16" t="str">
        <f>IFERROR(__xludf.DUMMYFUNCTION("""COMPUTED_VALUE"""),"")</f>
        <v/>
      </c>
    </row>
    <row r="3018">
      <c r="G3018" s="16" t="str">
        <f>IFERROR(__xludf.DUMMYFUNCTION("""COMPUTED_VALUE"""),"")</f>
        <v/>
      </c>
    </row>
    <row r="3019">
      <c r="G3019" s="16" t="str">
        <f>IFERROR(__xludf.DUMMYFUNCTION("""COMPUTED_VALUE"""),"")</f>
        <v/>
      </c>
    </row>
    <row r="3020">
      <c r="G3020" s="16" t="str">
        <f>IFERROR(__xludf.DUMMYFUNCTION("""COMPUTED_VALUE"""),"")</f>
        <v/>
      </c>
    </row>
    <row r="3021">
      <c r="G3021" s="16" t="str">
        <f>IFERROR(__xludf.DUMMYFUNCTION("""COMPUTED_VALUE"""),"")</f>
        <v/>
      </c>
    </row>
    <row r="3022">
      <c r="G3022" s="16" t="str">
        <f>IFERROR(__xludf.DUMMYFUNCTION("""COMPUTED_VALUE"""),"")</f>
        <v/>
      </c>
    </row>
    <row r="3023">
      <c r="G3023" s="16" t="str">
        <f>IFERROR(__xludf.DUMMYFUNCTION("""COMPUTED_VALUE"""),"")</f>
        <v/>
      </c>
    </row>
    <row r="3024">
      <c r="G3024" s="16" t="str">
        <f>IFERROR(__xludf.DUMMYFUNCTION("""COMPUTED_VALUE"""),"")</f>
        <v/>
      </c>
    </row>
    <row r="3025">
      <c r="G3025" s="16" t="str">
        <f>IFERROR(__xludf.DUMMYFUNCTION("""COMPUTED_VALUE"""),"")</f>
        <v/>
      </c>
    </row>
    <row r="3026">
      <c r="G3026" s="16" t="str">
        <f>IFERROR(__xludf.DUMMYFUNCTION("""COMPUTED_VALUE"""),"")</f>
        <v/>
      </c>
    </row>
    <row r="3027">
      <c r="G3027" s="16" t="str">
        <f>IFERROR(__xludf.DUMMYFUNCTION("""COMPUTED_VALUE"""),"")</f>
        <v/>
      </c>
    </row>
    <row r="3028">
      <c r="G3028" s="16" t="str">
        <f>IFERROR(__xludf.DUMMYFUNCTION("""COMPUTED_VALUE"""),"")</f>
        <v/>
      </c>
    </row>
    <row r="3029">
      <c r="G3029" s="16" t="str">
        <f>IFERROR(__xludf.DUMMYFUNCTION("""COMPUTED_VALUE"""),"")</f>
        <v/>
      </c>
    </row>
    <row r="3030">
      <c r="G3030" s="16" t="str">
        <f>IFERROR(__xludf.DUMMYFUNCTION("""COMPUTED_VALUE"""),"")</f>
        <v/>
      </c>
    </row>
    <row r="3031">
      <c r="G3031" s="16" t="str">
        <f>IFERROR(__xludf.DUMMYFUNCTION("""COMPUTED_VALUE"""),"")</f>
        <v/>
      </c>
    </row>
    <row r="3032">
      <c r="G3032" s="16" t="str">
        <f>IFERROR(__xludf.DUMMYFUNCTION("""COMPUTED_VALUE"""),"")</f>
        <v/>
      </c>
    </row>
    <row r="3033">
      <c r="G3033" s="16" t="str">
        <f>IFERROR(__xludf.DUMMYFUNCTION("""COMPUTED_VALUE"""),"")</f>
        <v/>
      </c>
    </row>
    <row r="3034">
      <c r="G3034" s="16" t="str">
        <f>IFERROR(__xludf.DUMMYFUNCTION("""COMPUTED_VALUE"""),"")</f>
        <v/>
      </c>
    </row>
    <row r="3035">
      <c r="G3035" s="16" t="str">
        <f>IFERROR(__xludf.DUMMYFUNCTION("""COMPUTED_VALUE"""),"")</f>
        <v/>
      </c>
    </row>
    <row r="3036">
      <c r="G3036" s="16" t="str">
        <f>IFERROR(__xludf.DUMMYFUNCTION("""COMPUTED_VALUE"""),"")</f>
        <v/>
      </c>
    </row>
    <row r="3037">
      <c r="G3037" s="16" t="str">
        <f>IFERROR(__xludf.DUMMYFUNCTION("""COMPUTED_VALUE"""),"")</f>
        <v/>
      </c>
    </row>
    <row r="3038">
      <c r="G3038" s="16" t="str">
        <f>IFERROR(__xludf.DUMMYFUNCTION("""COMPUTED_VALUE"""),"")</f>
        <v/>
      </c>
    </row>
    <row r="3039">
      <c r="G3039" s="16" t="str">
        <f>IFERROR(__xludf.DUMMYFUNCTION("""COMPUTED_VALUE"""),"")</f>
        <v/>
      </c>
    </row>
    <row r="3040">
      <c r="G3040" s="16" t="str">
        <f>IFERROR(__xludf.DUMMYFUNCTION("""COMPUTED_VALUE"""),"")</f>
        <v/>
      </c>
    </row>
    <row r="3041">
      <c r="G3041" s="16" t="str">
        <f>IFERROR(__xludf.DUMMYFUNCTION("""COMPUTED_VALUE"""),"")</f>
        <v/>
      </c>
    </row>
    <row r="3042">
      <c r="G3042" s="16" t="str">
        <f>IFERROR(__xludf.DUMMYFUNCTION("""COMPUTED_VALUE"""),"")</f>
        <v/>
      </c>
    </row>
    <row r="3043">
      <c r="G3043" s="16" t="str">
        <f>IFERROR(__xludf.DUMMYFUNCTION("""COMPUTED_VALUE"""),"")</f>
        <v/>
      </c>
    </row>
    <row r="3044">
      <c r="G3044" s="16" t="str">
        <f>IFERROR(__xludf.DUMMYFUNCTION("""COMPUTED_VALUE"""),"")</f>
        <v/>
      </c>
    </row>
    <row r="3045">
      <c r="G3045" s="16" t="str">
        <f>IFERROR(__xludf.DUMMYFUNCTION("""COMPUTED_VALUE"""),"")</f>
        <v/>
      </c>
    </row>
    <row r="3046">
      <c r="G3046" s="16" t="str">
        <f>IFERROR(__xludf.DUMMYFUNCTION("""COMPUTED_VALUE"""),"")</f>
        <v/>
      </c>
    </row>
    <row r="3047">
      <c r="G3047" s="16" t="str">
        <f>IFERROR(__xludf.DUMMYFUNCTION("""COMPUTED_VALUE"""),"")</f>
        <v/>
      </c>
    </row>
    <row r="3048">
      <c r="G3048" s="16" t="str">
        <f>IFERROR(__xludf.DUMMYFUNCTION("""COMPUTED_VALUE"""),"")</f>
        <v/>
      </c>
    </row>
    <row r="3049">
      <c r="G3049" s="16" t="str">
        <f>IFERROR(__xludf.DUMMYFUNCTION("""COMPUTED_VALUE"""),"")</f>
        <v/>
      </c>
    </row>
    <row r="3050">
      <c r="G3050" s="16" t="str">
        <f>IFERROR(__xludf.DUMMYFUNCTION("""COMPUTED_VALUE"""),"")</f>
        <v/>
      </c>
    </row>
    <row r="3051">
      <c r="G3051" s="16" t="str">
        <f>IFERROR(__xludf.DUMMYFUNCTION("""COMPUTED_VALUE"""),"")</f>
        <v/>
      </c>
    </row>
    <row r="3052">
      <c r="G3052" s="16" t="str">
        <f>IFERROR(__xludf.DUMMYFUNCTION("""COMPUTED_VALUE"""),"")</f>
        <v/>
      </c>
    </row>
    <row r="3053">
      <c r="G3053" s="16" t="str">
        <f>IFERROR(__xludf.DUMMYFUNCTION("""COMPUTED_VALUE"""),"")</f>
        <v/>
      </c>
    </row>
    <row r="3054">
      <c r="G3054" s="16" t="str">
        <f>IFERROR(__xludf.DUMMYFUNCTION("""COMPUTED_VALUE"""),"")</f>
        <v/>
      </c>
    </row>
    <row r="3055">
      <c r="G3055" s="16" t="str">
        <f>IFERROR(__xludf.DUMMYFUNCTION("""COMPUTED_VALUE"""),"")</f>
        <v/>
      </c>
    </row>
    <row r="3056">
      <c r="G3056" s="16" t="str">
        <f>IFERROR(__xludf.DUMMYFUNCTION("""COMPUTED_VALUE"""),"")</f>
        <v/>
      </c>
    </row>
    <row r="3057">
      <c r="G3057" s="16" t="str">
        <f>IFERROR(__xludf.DUMMYFUNCTION("""COMPUTED_VALUE"""),"")</f>
        <v/>
      </c>
    </row>
    <row r="3058">
      <c r="G3058" s="16" t="str">
        <f>IFERROR(__xludf.DUMMYFUNCTION("""COMPUTED_VALUE"""),"")</f>
        <v/>
      </c>
    </row>
    <row r="3059">
      <c r="G3059" s="16" t="str">
        <f>IFERROR(__xludf.DUMMYFUNCTION("""COMPUTED_VALUE"""),"")</f>
        <v/>
      </c>
    </row>
    <row r="3060">
      <c r="G3060" s="16" t="str">
        <f>IFERROR(__xludf.DUMMYFUNCTION("""COMPUTED_VALUE"""),"")</f>
        <v/>
      </c>
    </row>
    <row r="3061">
      <c r="G3061" s="16" t="str">
        <f>IFERROR(__xludf.DUMMYFUNCTION("""COMPUTED_VALUE"""),"")</f>
        <v/>
      </c>
    </row>
    <row r="3062">
      <c r="G3062" s="16" t="str">
        <f>IFERROR(__xludf.DUMMYFUNCTION("""COMPUTED_VALUE"""),"")</f>
        <v/>
      </c>
    </row>
    <row r="3063">
      <c r="G3063" s="16" t="str">
        <f>IFERROR(__xludf.DUMMYFUNCTION("""COMPUTED_VALUE"""),"")</f>
        <v/>
      </c>
    </row>
    <row r="3064">
      <c r="G3064" s="16" t="str">
        <f>IFERROR(__xludf.DUMMYFUNCTION("""COMPUTED_VALUE"""),"")</f>
        <v/>
      </c>
    </row>
    <row r="3065">
      <c r="G3065" s="16" t="str">
        <f>IFERROR(__xludf.DUMMYFUNCTION("""COMPUTED_VALUE"""),"")</f>
        <v/>
      </c>
    </row>
    <row r="3066">
      <c r="G3066" s="16" t="str">
        <f>IFERROR(__xludf.DUMMYFUNCTION("""COMPUTED_VALUE"""),"")</f>
        <v/>
      </c>
    </row>
    <row r="3067">
      <c r="G3067" s="16" t="str">
        <f>IFERROR(__xludf.DUMMYFUNCTION("""COMPUTED_VALUE"""),"")</f>
        <v/>
      </c>
    </row>
    <row r="3068">
      <c r="G3068" s="16" t="str">
        <f>IFERROR(__xludf.DUMMYFUNCTION("""COMPUTED_VALUE"""),"")</f>
        <v/>
      </c>
    </row>
    <row r="3069">
      <c r="G3069" s="16" t="str">
        <f>IFERROR(__xludf.DUMMYFUNCTION("""COMPUTED_VALUE"""),"")</f>
        <v/>
      </c>
    </row>
    <row r="3070">
      <c r="G3070" s="16" t="str">
        <f>IFERROR(__xludf.DUMMYFUNCTION("""COMPUTED_VALUE"""),"")</f>
        <v/>
      </c>
    </row>
    <row r="3071">
      <c r="G3071" s="16" t="str">
        <f>IFERROR(__xludf.DUMMYFUNCTION("""COMPUTED_VALUE"""),"")</f>
        <v/>
      </c>
    </row>
    <row r="3072">
      <c r="G3072" s="16" t="str">
        <f>IFERROR(__xludf.DUMMYFUNCTION("""COMPUTED_VALUE"""),"")</f>
        <v/>
      </c>
    </row>
    <row r="3073">
      <c r="G3073" s="16" t="str">
        <f>IFERROR(__xludf.DUMMYFUNCTION("""COMPUTED_VALUE"""),"")</f>
        <v/>
      </c>
    </row>
    <row r="3074">
      <c r="G3074" s="16" t="str">
        <f>IFERROR(__xludf.DUMMYFUNCTION("""COMPUTED_VALUE"""),"")</f>
        <v/>
      </c>
    </row>
    <row r="3075">
      <c r="G3075" s="16" t="str">
        <f>IFERROR(__xludf.DUMMYFUNCTION("""COMPUTED_VALUE"""),"")</f>
        <v/>
      </c>
    </row>
    <row r="3076">
      <c r="G3076" s="16" t="str">
        <f>IFERROR(__xludf.DUMMYFUNCTION("""COMPUTED_VALUE"""),"")</f>
        <v/>
      </c>
    </row>
    <row r="3077">
      <c r="G3077" s="16" t="str">
        <f>IFERROR(__xludf.DUMMYFUNCTION("""COMPUTED_VALUE"""),"")</f>
        <v/>
      </c>
    </row>
    <row r="3078">
      <c r="G3078" s="16" t="str">
        <f>IFERROR(__xludf.DUMMYFUNCTION("""COMPUTED_VALUE"""),"")</f>
        <v/>
      </c>
    </row>
    <row r="3079">
      <c r="G3079" s="16" t="str">
        <f>IFERROR(__xludf.DUMMYFUNCTION("""COMPUTED_VALUE"""),"")</f>
        <v/>
      </c>
    </row>
    <row r="3080">
      <c r="G3080" s="16" t="str">
        <f>IFERROR(__xludf.DUMMYFUNCTION("""COMPUTED_VALUE"""),"")</f>
        <v/>
      </c>
    </row>
    <row r="3081">
      <c r="G3081" s="16" t="str">
        <f>IFERROR(__xludf.DUMMYFUNCTION("""COMPUTED_VALUE"""),"")</f>
        <v/>
      </c>
    </row>
    <row r="3082">
      <c r="G3082" s="16" t="str">
        <f>IFERROR(__xludf.DUMMYFUNCTION("""COMPUTED_VALUE"""),"")</f>
        <v/>
      </c>
    </row>
    <row r="3083">
      <c r="G3083" s="16" t="str">
        <f>IFERROR(__xludf.DUMMYFUNCTION("""COMPUTED_VALUE"""),"")</f>
        <v/>
      </c>
    </row>
    <row r="3084">
      <c r="G3084" s="16" t="str">
        <f>IFERROR(__xludf.DUMMYFUNCTION("""COMPUTED_VALUE"""),"")</f>
        <v/>
      </c>
    </row>
    <row r="3085">
      <c r="G3085" s="16" t="str">
        <f>IFERROR(__xludf.DUMMYFUNCTION("""COMPUTED_VALUE"""),"")</f>
        <v/>
      </c>
    </row>
    <row r="3086">
      <c r="G3086" s="16" t="str">
        <f>IFERROR(__xludf.DUMMYFUNCTION("""COMPUTED_VALUE"""),"")</f>
        <v/>
      </c>
    </row>
    <row r="3087">
      <c r="G3087" s="16" t="str">
        <f>IFERROR(__xludf.DUMMYFUNCTION("""COMPUTED_VALUE"""),"")</f>
        <v/>
      </c>
    </row>
    <row r="3088">
      <c r="G3088" s="16" t="str">
        <f>IFERROR(__xludf.DUMMYFUNCTION("""COMPUTED_VALUE"""),"")</f>
        <v/>
      </c>
    </row>
    <row r="3089">
      <c r="G3089" s="16" t="str">
        <f>IFERROR(__xludf.DUMMYFUNCTION("""COMPUTED_VALUE"""),"")</f>
        <v/>
      </c>
    </row>
    <row r="3090">
      <c r="G3090" s="16" t="str">
        <f>IFERROR(__xludf.DUMMYFUNCTION("""COMPUTED_VALUE"""),"")</f>
        <v/>
      </c>
    </row>
    <row r="3091">
      <c r="G3091" s="16" t="str">
        <f>IFERROR(__xludf.DUMMYFUNCTION("""COMPUTED_VALUE"""),"")</f>
        <v/>
      </c>
    </row>
    <row r="3092">
      <c r="G3092" s="16" t="str">
        <f>IFERROR(__xludf.DUMMYFUNCTION("""COMPUTED_VALUE"""),"")</f>
        <v/>
      </c>
    </row>
    <row r="3093">
      <c r="G3093" s="16" t="str">
        <f>IFERROR(__xludf.DUMMYFUNCTION("""COMPUTED_VALUE"""),"")</f>
        <v/>
      </c>
    </row>
    <row r="3094">
      <c r="G3094" s="16" t="str">
        <f>IFERROR(__xludf.DUMMYFUNCTION("""COMPUTED_VALUE"""),"")</f>
        <v/>
      </c>
    </row>
    <row r="3095">
      <c r="G3095" s="16" t="str">
        <f>IFERROR(__xludf.DUMMYFUNCTION("""COMPUTED_VALUE"""),"")</f>
        <v/>
      </c>
    </row>
    <row r="3096">
      <c r="G3096" s="16" t="str">
        <f>IFERROR(__xludf.DUMMYFUNCTION("""COMPUTED_VALUE"""),"")</f>
        <v/>
      </c>
    </row>
    <row r="3097">
      <c r="G3097" s="16" t="str">
        <f>IFERROR(__xludf.DUMMYFUNCTION("""COMPUTED_VALUE"""),"")</f>
        <v/>
      </c>
    </row>
    <row r="3098">
      <c r="G3098" s="16" t="str">
        <f>IFERROR(__xludf.DUMMYFUNCTION("""COMPUTED_VALUE"""),"")</f>
        <v/>
      </c>
    </row>
    <row r="3099">
      <c r="G3099" s="16" t="str">
        <f>IFERROR(__xludf.DUMMYFUNCTION("""COMPUTED_VALUE"""),"")</f>
        <v/>
      </c>
    </row>
    <row r="3100">
      <c r="G3100" s="16" t="str">
        <f>IFERROR(__xludf.DUMMYFUNCTION("""COMPUTED_VALUE"""),"")</f>
        <v/>
      </c>
    </row>
    <row r="3101">
      <c r="G3101" s="16" t="str">
        <f>IFERROR(__xludf.DUMMYFUNCTION("""COMPUTED_VALUE"""),"")</f>
        <v/>
      </c>
    </row>
    <row r="3102">
      <c r="G3102" s="16" t="str">
        <f>IFERROR(__xludf.DUMMYFUNCTION("""COMPUTED_VALUE"""),"")</f>
        <v/>
      </c>
    </row>
    <row r="3103">
      <c r="G3103" s="16" t="str">
        <f>IFERROR(__xludf.DUMMYFUNCTION("""COMPUTED_VALUE"""),"")</f>
        <v/>
      </c>
    </row>
    <row r="3104">
      <c r="G3104" s="16" t="str">
        <f>IFERROR(__xludf.DUMMYFUNCTION("""COMPUTED_VALUE"""),"")</f>
        <v/>
      </c>
    </row>
    <row r="3105">
      <c r="G3105" s="16" t="str">
        <f>IFERROR(__xludf.DUMMYFUNCTION("""COMPUTED_VALUE"""),"")</f>
        <v/>
      </c>
    </row>
    <row r="3106">
      <c r="G3106" s="16" t="str">
        <f>IFERROR(__xludf.DUMMYFUNCTION("""COMPUTED_VALUE"""),"")</f>
        <v/>
      </c>
    </row>
    <row r="3107">
      <c r="G3107" s="16" t="str">
        <f>IFERROR(__xludf.DUMMYFUNCTION("""COMPUTED_VALUE"""),"")</f>
        <v/>
      </c>
    </row>
    <row r="3108">
      <c r="G3108" s="16" t="str">
        <f>IFERROR(__xludf.DUMMYFUNCTION("""COMPUTED_VALUE"""),"")</f>
        <v/>
      </c>
    </row>
    <row r="3109">
      <c r="G3109" s="16" t="str">
        <f>IFERROR(__xludf.DUMMYFUNCTION("""COMPUTED_VALUE"""),"")</f>
        <v/>
      </c>
    </row>
    <row r="3110">
      <c r="G3110" s="16" t="str">
        <f>IFERROR(__xludf.DUMMYFUNCTION("""COMPUTED_VALUE"""),"")</f>
        <v/>
      </c>
    </row>
    <row r="3111">
      <c r="G3111" s="16" t="str">
        <f>IFERROR(__xludf.DUMMYFUNCTION("""COMPUTED_VALUE"""),"")</f>
        <v/>
      </c>
    </row>
    <row r="3112">
      <c r="G3112" s="16" t="str">
        <f>IFERROR(__xludf.DUMMYFUNCTION("""COMPUTED_VALUE"""),"")</f>
        <v/>
      </c>
    </row>
    <row r="3113">
      <c r="G3113" s="16" t="str">
        <f>IFERROR(__xludf.DUMMYFUNCTION("""COMPUTED_VALUE"""),"")</f>
        <v/>
      </c>
    </row>
    <row r="3114">
      <c r="G3114" s="16" t="str">
        <f>IFERROR(__xludf.DUMMYFUNCTION("""COMPUTED_VALUE"""),"")</f>
        <v/>
      </c>
    </row>
    <row r="3115">
      <c r="G3115" s="16" t="str">
        <f>IFERROR(__xludf.DUMMYFUNCTION("""COMPUTED_VALUE"""),"")</f>
        <v/>
      </c>
    </row>
    <row r="3116">
      <c r="G3116" s="16" t="str">
        <f>IFERROR(__xludf.DUMMYFUNCTION("""COMPUTED_VALUE"""),"")</f>
        <v/>
      </c>
    </row>
    <row r="3117">
      <c r="G3117" s="16" t="str">
        <f>IFERROR(__xludf.DUMMYFUNCTION("""COMPUTED_VALUE"""),"")</f>
        <v/>
      </c>
    </row>
    <row r="3118">
      <c r="G3118" s="16" t="str">
        <f>IFERROR(__xludf.DUMMYFUNCTION("""COMPUTED_VALUE"""),"")</f>
        <v/>
      </c>
    </row>
    <row r="3119">
      <c r="G3119" s="16" t="str">
        <f>IFERROR(__xludf.DUMMYFUNCTION("""COMPUTED_VALUE"""),"")</f>
        <v/>
      </c>
    </row>
    <row r="3120">
      <c r="G3120" s="16" t="str">
        <f>IFERROR(__xludf.DUMMYFUNCTION("""COMPUTED_VALUE"""),"")</f>
        <v/>
      </c>
    </row>
    <row r="3121">
      <c r="G3121" s="16" t="str">
        <f>IFERROR(__xludf.DUMMYFUNCTION("""COMPUTED_VALUE"""),"")</f>
        <v/>
      </c>
    </row>
    <row r="3122">
      <c r="G3122" s="16" t="str">
        <f>IFERROR(__xludf.DUMMYFUNCTION("""COMPUTED_VALUE"""),"")</f>
        <v/>
      </c>
    </row>
    <row r="3123">
      <c r="G3123" s="16" t="str">
        <f>IFERROR(__xludf.DUMMYFUNCTION("""COMPUTED_VALUE"""),"")</f>
        <v/>
      </c>
    </row>
    <row r="3124">
      <c r="G3124" s="16" t="str">
        <f>IFERROR(__xludf.DUMMYFUNCTION("""COMPUTED_VALUE"""),"")</f>
        <v/>
      </c>
    </row>
    <row r="3125">
      <c r="G3125" s="16" t="str">
        <f>IFERROR(__xludf.DUMMYFUNCTION("""COMPUTED_VALUE"""),"")</f>
        <v/>
      </c>
    </row>
    <row r="3126">
      <c r="G3126" s="16" t="str">
        <f>IFERROR(__xludf.DUMMYFUNCTION("""COMPUTED_VALUE"""),"")</f>
        <v/>
      </c>
    </row>
    <row r="3127">
      <c r="G3127" s="16" t="str">
        <f>IFERROR(__xludf.DUMMYFUNCTION("""COMPUTED_VALUE"""),"")</f>
        <v/>
      </c>
    </row>
    <row r="3128">
      <c r="G3128" s="16" t="str">
        <f>IFERROR(__xludf.DUMMYFUNCTION("""COMPUTED_VALUE"""),"")</f>
        <v/>
      </c>
    </row>
    <row r="3129">
      <c r="G3129" s="16" t="str">
        <f>IFERROR(__xludf.DUMMYFUNCTION("""COMPUTED_VALUE"""),"")</f>
        <v/>
      </c>
    </row>
    <row r="3130">
      <c r="G3130" s="16" t="str">
        <f>IFERROR(__xludf.DUMMYFUNCTION("""COMPUTED_VALUE"""),"")</f>
        <v/>
      </c>
    </row>
    <row r="3131">
      <c r="G3131" s="16" t="str">
        <f>IFERROR(__xludf.DUMMYFUNCTION("""COMPUTED_VALUE"""),"")</f>
        <v/>
      </c>
    </row>
    <row r="3132">
      <c r="G3132" s="16" t="str">
        <f>IFERROR(__xludf.DUMMYFUNCTION("""COMPUTED_VALUE"""),"")</f>
        <v/>
      </c>
    </row>
    <row r="3133">
      <c r="G3133" s="16" t="str">
        <f>IFERROR(__xludf.DUMMYFUNCTION("""COMPUTED_VALUE"""),"")</f>
        <v/>
      </c>
    </row>
    <row r="3134">
      <c r="G3134" s="16" t="str">
        <f>IFERROR(__xludf.DUMMYFUNCTION("""COMPUTED_VALUE"""),"")</f>
        <v/>
      </c>
    </row>
    <row r="3135">
      <c r="G3135" s="16" t="str">
        <f>IFERROR(__xludf.DUMMYFUNCTION("""COMPUTED_VALUE"""),"")</f>
        <v/>
      </c>
    </row>
    <row r="3136">
      <c r="G3136" s="16" t="str">
        <f>IFERROR(__xludf.DUMMYFUNCTION("""COMPUTED_VALUE"""),"")</f>
        <v/>
      </c>
    </row>
    <row r="3137">
      <c r="G3137" s="16" t="str">
        <f>IFERROR(__xludf.DUMMYFUNCTION("""COMPUTED_VALUE"""),"")</f>
        <v/>
      </c>
    </row>
    <row r="3138">
      <c r="G3138" s="16" t="str">
        <f>IFERROR(__xludf.DUMMYFUNCTION("""COMPUTED_VALUE"""),"")</f>
        <v/>
      </c>
    </row>
    <row r="3139">
      <c r="G3139" s="16" t="str">
        <f>IFERROR(__xludf.DUMMYFUNCTION("""COMPUTED_VALUE"""),"")</f>
        <v/>
      </c>
    </row>
    <row r="3140">
      <c r="G3140" s="16" t="str">
        <f>IFERROR(__xludf.DUMMYFUNCTION("""COMPUTED_VALUE"""),"")</f>
        <v/>
      </c>
    </row>
    <row r="3141">
      <c r="G3141" s="16" t="str">
        <f>IFERROR(__xludf.DUMMYFUNCTION("""COMPUTED_VALUE"""),"")</f>
        <v/>
      </c>
    </row>
    <row r="3142">
      <c r="G3142" s="16" t="str">
        <f>IFERROR(__xludf.DUMMYFUNCTION("""COMPUTED_VALUE"""),"")</f>
        <v/>
      </c>
    </row>
    <row r="3143">
      <c r="G3143" s="16" t="str">
        <f>IFERROR(__xludf.DUMMYFUNCTION("""COMPUTED_VALUE"""),"")</f>
        <v/>
      </c>
    </row>
    <row r="3144">
      <c r="G3144" s="16" t="str">
        <f>IFERROR(__xludf.DUMMYFUNCTION("""COMPUTED_VALUE"""),"")</f>
        <v/>
      </c>
    </row>
    <row r="3145">
      <c r="G3145" s="16" t="str">
        <f>IFERROR(__xludf.DUMMYFUNCTION("""COMPUTED_VALUE"""),"")</f>
        <v/>
      </c>
    </row>
    <row r="3146">
      <c r="G3146" s="16" t="str">
        <f>IFERROR(__xludf.DUMMYFUNCTION("""COMPUTED_VALUE"""),"")</f>
        <v/>
      </c>
    </row>
    <row r="3147">
      <c r="G3147" s="16" t="str">
        <f>IFERROR(__xludf.DUMMYFUNCTION("""COMPUTED_VALUE"""),"")</f>
        <v/>
      </c>
    </row>
    <row r="3148">
      <c r="G3148" s="16" t="str">
        <f>IFERROR(__xludf.DUMMYFUNCTION("""COMPUTED_VALUE"""),"")</f>
        <v/>
      </c>
    </row>
    <row r="3149">
      <c r="G3149" s="16" t="str">
        <f>IFERROR(__xludf.DUMMYFUNCTION("""COMPUTED_VALUE"""),"")</f>
        <v/>
      </c>
    </row>
    <row r="3150">
      <c r="G3150" s="16" t="str">
        <f>IFERROR(__xludf.DUMMYFUNCTION("""COMPUTED_VALUE"""),"")</f>
        <v/>
      </c>
    </row>
    <row r="3151">
      <c r="G3151" s="16" t="str">
        <f>IFERROR(__xludf.DUMMYFUNCTION("""COMPUTED_VALUE"""),"")</f>
        <v/>
      </c>
    </row>
    <row r="3152">
      <c r="G3152" s="16" t="str">
        <f>IFERROR(__xludf.DUMMYFUNCTION("""COMPUTED_VALUE"""),"")</f>
        <v/>
      </c>
    </row>
    <row r="3153">
      <c r="G3153" s="16" t="str">
        <f>IFERROR(__xludf.DUMMYFUNCTION("""COMPUTED_VALUE"""),"")</f>
        <v/>
      </c>
    </row>
    <row r="3154">
      <c r="G3154" s="16" t="str">
        <f>IFERROR(__xludf.DUMMYFUNCTION("""COMPUTED_VALUE"""),"")</f>
        <v/>
      </c>
    </row>
    <row r="3155">
      <c r="G3155" s="16" t="str">
        <f>IFERROR(__xludf.DUMMYFUNCTION("""COMPUTED_VALUE"""),"")</f>
        <v/>
      </c>
    </row>
    <row r="3156">
      <c r="G3156" s="16" t="str">
        <f>IFERROR(__xludf.DUMMYFUNCTION("""COMPUTED_VALUE"""),"")</f>
        <v/>
      </c>
    </row>
    <row r="3157">
      <c r="G3157" s="16" t="str">
        <f>IFERROR(__xludf.DUMMYFUNCTION("""COMPUTED_VALUE"""),"")</f>
        <v/>
      </c>
    </row>
    <row r="3158">
      <c r="G3158" s="16" t="str">
        <f>IFERROR(__xludf.DUMMYFUNCTION("""COMPUTED_VALUE"""),"")</f>
        <v/>
      </c>
    </row>
    <row r="3159">
      <c r="G3159" s="16" t="str">
        <f>IFERROR(__xludf.DUMMYFUNCTION("""COMPUTED_VALUE"""),"")</f>
        <v/>
      </c>
    </row>
    <row r="3160">
      <c r="G3160" s="16" t="str">
        <f>IFERROR(__xludf.DUMMYFUNCTION("""COMPUTED_VALUE"""),"")</f>
        <v/>
      </c>
    </row>
    <row r="3161">
      <c r="G3161" s="16" t="str">
        <f>IFERROR(__xludf.DUMMYFUNCTION("""COMPUTED_VALUE"""),"")</f>
        <v/>
      </c>
    </row>
    <row r="3162">
      <c r="G3162" s="16" t="str">
        <f>IFERROR(__xludf.DUMMYFUNCTION("""COMPUTED_VALUE"""),"")</f>
        <v/>
      </c>
    </row>
    <row r="3163">
      <c r="G3163" s="16" t="str">
        <f>IFERROR(__xludf.DUMMYFUNCTION("""COMPUTED_VALUE"""),"")</f>
        <v/>
      </c>
    </row>
    <row r="3164">
      <c r="G3164" s="16" t="str">
        <f>IFERROR(__xludf.DUMMYFUNCTION("""COMPUTED_VALUE"""),"")</f>
        <v/>
      </c>
    </row>
    <row r="3165">
      <c r="G3165" s="16" t="str">
        <f>IFERROR(__xludf.DUMMYFUNCTION("""COMPUTED_VALUE"""),"")</f>
        <v/>
      </c>
    </row>
    <row r="3166">
      <c r="G3166" s="16" t="str">
        <f>IFERROR(__xludf.DUMMYFUNCTION("""COMPUTED_VALUE"""),"")</f>
        <v/>
      </c>
    </row>
    <row r="3167">
      <c r="G3167" s="16" t="str">
        <f>IFERROR(__xludf.DUMMYFUNCTION("""COMPUTED_VALUE"""),"")</f>
        <v/>
      </c>
    </row>
    <row r="3168">
      <c r="G3168" s="16" t="str">
        <f>IFERROR(__xludf.DUMMYFUNCTION("""COMPUTED_VALUE"""),"")</f>
        <v/>
      </c>
    </row>
    <row r="3169">
      <c r="G3169" s="16" t="str">
        <f>IFERROR(__xludf.DUMMYFUNCTION("""COMPUTED_VALUE"""),"")</f>
        <v/>
      </c>
    </row>
    <row r="3170">
      <c r="G3170" s="16" t="str">
        <f>IFERROR(__xludf.DUMMYFUNCTION("""COMPUTED_VALUE"""),"")</f>
        <v/>
      </c>
    </row>
    <row r="3171">
      <c r="G3171" s="16" t="str">
        <f>IFERROR(__xludf.DUMMYFUNCTION("""COMPUTED_VALUE"""),"")</f>
        <v/>
      </c>
    </row>
    <row r="3172">
      <c r="G3172" s="16" t="str">
        <f>IFERROR(__xludf.DUMMYFUNCTION("""COMPUTED_VALUE"""),"")</f>
        <v/>
      </c>
    </row>
    <row r="3173">
      <c r="G3173" s="16" t="str">
        <f>IFERROR(__xludf.DUMMYFUNCTION("""COMPUTED_VALUE"""),"")</f>
        <v/>
      </c>
    </row>
    <row r="3174">
      <c r="G3174" s="16" t="str">
        <f>IFERROR(__xludf.DUMMYFUNCTION("""COMPUTED_VALUE"""),"")</f>
        <v/>
      </c>
    </row>
    <row r="3175">
      <c r="G3175" s="16" t="str">
        <f>IFERROR(__xludf.DUMMYFUNCTION("""COMPUTED_VALUE"""),"")</f>
        <v/>
      </c>
    </row>
    <row r="3176">
      <c r="G3176" s="16" t="str">
        <f>IFERROR(__xludf.DUMMYFUNCTION("""COMPUTED_VALUE"""),"")</f>
        <v/>
      </c>
    </row>
    <row r="3177">
      <c r="G3177" s="16" t="str">
        <f>IFERROR(__xludf.DUMMYFUNCTION("""COMPUTED_VALUE"""),"")</f>
        <v/>
      </c>
    </row>
    <row r="3178">
      <c r="G3178" s="16" t="str">
        <f>IFERROR(__xludf.DUMMYFUNCTION("""COMPUTED_VALUE"""),"")</f>
        <v/>
      </c>
    </row>
    <row r="3179">
      <c r="G3179" s="16" t="str">
        <f>IFERROR(__xludf.DUMMYFUNCTION("""COMPUTED_VALUE"""),"")</f>
        <v/>
      </c>
    </row>
    <row r="3180">
      <c r="G3180" s="16" t="str">
        <f>IFERROR(__xludf.DUMMYFUNCTION("""COMPUTED_VALUE"""),"")</f>
        <v/>
      </c>
    </row>
    <row r="3181">
      <c r="G3181" s="16" t="str">
        <f>IFERROR(__xludf.DUMMYFUNCTION("""COMPUTED_VALUE"""),"")</f>
        <v/>
      </c>
    </row>
    <row r="3182">
      <c r="G3182" s="16" t="str">
        <f>IFERROR(__xludf.DUMMYFUNCTION("""COMPUTED_VALUE"""),"")</f>
        <v/>
      </c>
    </row>
    <row r="3183">
      <c r="G3183" s="16" t="str">
        <f>IFERROR(__xludf.DUMMYFUNCTION("""COMPUTED_VALUE"""),"")</f>
        <v/>
      </c>
    </row>
    <row r="3184">
      <c r="G3184" s="16" t="str">
        <f>IFERROR(__xludf.DUMMYFUNCTION("""COMPUTED_VALUE"""),"")</f>
        <v/>
      </c>
    </row>
    <row r="3185">
      <c r="G3185" s="16" t="str">
        <f>IFERROR(__xludf.DUMMYFUNCTION("""COMPUTED_VALUE"""),"")</f>
        <v/>
      </c>
    </row>
    <row r="3186">
      <c r="G3186" s="16" t="str">
        <f>IFERROR(__xludf.DUMMYFUNCTION("""COMPUTED_VALUE"""),"")</f>
        <v/>
      </c>
    </row>
    <row r="3187">
      <c r="G3187" s="16" t="str">
        <f>IFERROR(__xludf.DUMMYFUNCTION("""COMPUTED_VALUE"""),"")</f>
        <v/>
      </c>
    </row>
    <row r="3188">
      <c r="G3188" s="16" t="str">
        <f>IFERROR(__xludf.DUMMYFUNCTION("""COMPUTED_VALUE"""),"")</f>
        <v/>
      </c>
    </row>
    <row r="3189">
      <c r="G3189" s="16" t="str">
        <f>IFERROR(__xludf.DUMMYFUNCTION("""COMPUTED_VALUE"""),"")</f>
        <v/>
      </c>
    </row>
    <row r="3190">
      <c r="G3190" s="16" t="str">
        <f>IFERROR(__xludf.DUMMYFUNCTION("""COMPUTED_VALUE"""),"")</f>
        <v/>
      </c>
    </row>
    <row r="3191">
      <c r="G3191" s="16" t="str">
        <f>IFERROR(__xludf.DUMMYFUNCTION("""COMPUTED_VALUE"""),"")</f>
        <v/>
      </c>
    </row>
    <row r="3192">
      <c r="G3192" s="16" t="str">
        <f>IFERROR(__xludf.DUMMYFUNCTION("""COMPUTED_VALUE"""),"")</f>
        <v/>
      </c>
    </row>
    <row r="3193">
      <c r="G3193" s="16" t="str">
        <f>IFERROR(__xludf.DUMMYFUNCTION("""COMPUTED_VALUE"""),"")</f>
        <v/>
      </c>
    </row>
    <row r="3194">
      <c r="G3194" s="16" t="str">
        <f>IFERROR(__xludf.DUMMYFUNCTION("""COMPUTED_VALUE"""),"")</f>
        <v/>
      </c>
    </row>
    <row r="3195">
      <c r="G3195" s="16" t="str">
        <f>IFERROR(__xludf.DUMMYFUNCTION("""COMPUTED_VALUE"""),"")</f>
        <v/>
      </c>
    </row>
    <row r="3196">
      <c r="G3196" s="16" t="str">
        <f>IFERROR(__xludf.DUMMYFUNCTION("""COMPUTED_VALUE"""),"")</f>
        <v/>
      </c>
    </row>
    <row r="3197">
      <c r="G3197" s="16" t="str">
        <f>IFERROR(__xludf.DUMMYFUNCTION("""COMPUTED_VALUE"""),"")</f>
        <v/>
      </c>
    </row>
    <row r="3198">
      <c r="G3198" s="16" t="str">
        <f>IFERROR(__xludf.DUMMYFUNCTION("""COMPUTED_VALUE"""),"")</f>
        <v/>
      </c>
    </row>
    <row r="3199">
      <c r="G3199" s="16" t="str">
        <f>IFERROR(__xludf.DUMMYFUNCTION("""COMPUTED_VALUE"""),"")</f>
        <v/>
      </c>
    </row>
    <row r="3200">
      <c r="G3200" s="16" t="str">
        <f>IFERROR(__xludf.DUMMYFUNCTION("""COMPUTED_VALUE"""),"")</f>
        <v/>
      </c>
    </row>
    <row r="3201">
      <c r="G3201" s="16" t="str">
        <f>IFERROR(__xludf.DUMMYFUNCTION("""COMPUTED_VALUE"""),"")</f>
        <v/>
      </c>
    </row>
    <row r="3202">
      <c r="G3202" s="16" t="str">
        <f>IFERROR(__xludf.DUMMYFUNCTION("""COMPUTED_VALUE"""),"")</f>
        <v/>
      </c>
    </row>
    <row r="3203">
      <c r="G3203" s="16" t="str">
        <f>IFERROR(__xludf.DUMMYFUNCTION("""COMPUTED_VALUE"""),"")</f>
        <v/>
      </c>
    </row>
    <row r="3204">
      <c r="G3204" s="16" t="str">
        <f>IFERROR(__xludf.DUMMYFUNCTION("""COMPUTED_VALUE"""),"")</f>
        <v/>
      </c>
    </row>
    <row r="3205">
      <c r="G3205" s="16" t="str">
        <f>IFERROR(__xludf.DUMMYFUNCTION("""COMPUTED_VALUE"""),"")</f>
        <v/>
      </c>
    </row>
    <row r="3206">
      <c r="G3206" s="16" t="str">
        <f>IFERROR(__xludf.DUMMYFUNCTION("""COMPUTED_VALUE"""),"")</f>
        <v/>
      </c>
    </row>
    <row r="3207">
      <c r="G3207" s="16" t="str">
        <f>IFERROR(__xludf.DUMMYFUNCTION("""COMPUTED_VALUE"""),"")</f>
        <v/>
      </c>
    </row>
    <row r="3208">
      <c r="G3208" s="16" t="str">
        <f>IFERROR(__xludf.DUMMYFUNCTION("""COMPUTED_VALUE"""),"")</f>
        <v/>
      </c>
    </row>
    <row r="3209">
      <c r="G3209" s="16" t="str">
        <f>IFERROR(__xludf.DUMMYFUNCTION("""COMPUTED_VALUE"""),"")</f>
        <v/>
      </c>
    </row>
    <row r="3210">
      <c r="G3210" s="16" t="str">
        <f>IFERROR(__xludf.DUMMYFUNCTION("""COMPUTED_VALUE"""),"")</f>
        <v/>
      </c>
    </row>
    <row r="3211">
      <c r="G3211" s="16" t="str">
        <f>IFERROR(__xludf.DUMMYFUNCTION("""COMPUTED_VALUE"""),"")</f>
        <v/>
      </c>
    </row>
    <row r="3212">
      <c r="G3212" s="16" t="str">
        <f>IFERROR(__xludf.DUMMYFUNCTION("""COMPUTED_VALUE"""),"")</f>
        <v/>
      </c>
    </row>
    <row r="3213">
      <c r="G3213" s="16" t="str">
        <f>IFERROR(__xludf.DUMMYFUNCTION("""COMPUTED_VALUE"""),"")</f>
        <v/>
      </c>
    </row>
    <row r="3214">
      <c r="G3214" s="16" t="str">
        <f>IFERROR(__xludf.DUMMYFUNCTION("""COMPUTED_VALUE"""),"")</f>
        <v/>
      </c>
    </row>
    <row r="3215">
      <c r="G3215" s="16" t="str">
        <f>IFERROR(__xludf.DUMMYFUNCTION("""COMPUTED_VALUE"""),"")</f>
        <v/>
      </c>
    </row>
    <row r="3216">
      <c r="G3216" s="16" t="str">
        <f>IFERROR(__xludf.DUMMYFUNCTION("""COMPUTED_VALUE"""),"")</f>
        <v/>
      </c>
    </row>
    <row r="3217">
      <c r="G3217" s="16" t="str">
        <f>IFERROR(__xludf.DUMMYFUNCTION("""COMPUTED_VALUE"""),"")</f>
        <v/>
      </c>
    </row>
    <row r="3218">
      <c r="G3218" s="16" t="str">
        <f>IFERROR(__xludf.DUMMYFUNCTION("""COMPUTED_VALUE"""),"")</f>
        <v/>
      </c>
    </row>
    <row r="3219">
      <c r="G3219" s="16" t="str">
        <f>IFERROR(__xludf.DUMMYFUNCTION("""COMPUTED_VALUE"""),"")</f>
        <v/>
      </c>
    </row>
    <row r="3220">
      <c r="G3220" s="16" t="str">
        <f>IFERROR(__xludf.DUMMYFUNCTION("""COMPUTED_VALUE"""),"")</f>
        <v/>
      </c>
    </row>
    <row r="3221">
      <c r="G3221" s="16" t="str">
        <f>IFERROR(__xludf.DUMMYFUNCTION("""COMPUTED_VALUE"""),"")</f>
        <v/>
      </c>
    </row>
    <row r="3222">
      <c r="G3222" s="16" t="str">
        <f>IFERROR(__xludf.DUMMYFUNCTION("""COMPUTED_VALUE"""),"")</f>
        <v/>
      </c>
    </row>
    <row r="3223">
      <c r="G3223" s="16" t="str">
        <f>IFERROR(__xludf.DUMMYFUNCTION("""COMPUTED_VALUE"""),"")</f>
        <v/>
      </c>
    </row>
    <row r="3224">
      <c r="G3224" s="16" t="str">
        <f>IFERROR(__xludf.DUMMYFUNCTION("""COMPUTED_VALUE"""),"")</f>
        <v/>
      </c>
    </row>
    <row r="3225">
      <c r="G3225" s="16" t="str">
        <f>IFERROR(__xludf.DUMMYFUNCTION("""COMPUTED_VALUE"""),"")</f>
        <v/>
      </c>
    </row>
    <row r="3226">
      <c r="G3226" s="16" t="str">
        <f>IFERROR(__xludf.DUMMYFUNCTION("""COMPUTED_VALUE"""),"")</f>
        <v/>
      </c>
    </row>
    <row r="3227">
      <c r="G3227" s="16" t="str">
        <f>IFERROR(__xludf.DUMMYFUNCTION("""COMPUTED_VALUE"""),"")</f>
        <v/>
      </c>
    </row>
    <row r="3228">
      <c r="G3228" s="16" t="str">
        <f>IFERROR(__xludf.DUMMYFUNCTION("""COMPUTED_VALUE"""),"")</f>
        <v/>
      </c>
    </row>
    <row r="3229">
      <c r="G3229" s="16" t="str">
        <f>IFERROR(__xludf.DUMMYFUNCTION("""COMPUTED_VALUE"""),"")</f>
        <v/>
      </c>
    </row>
    <row r="3230">
      <c r="G3230" s="16" t="str">
        <f>IFERROR(__xludf.DUMMYFUNCTION("""COMPUTED_VALUE"""),"")</f>
        <v/>
      </c>
    </row>
    <row r="3231">
      <c r="G3231" s="16" t="str">
        <f>IFERROR(__xludf.DUMMYFUNCTION("""COMPUTED_VALUE"""),"")</f>
        <v/>
      </c>
    </row>
    <row r="3232">
      <c r="G3232" s="16" t="str">
        <f>IFERROR(__xludf.DUMMYFUNCTION("""COMPUTED_VALUE"""),"")</f>
        <v/>
      </c>
    </row>
    <row r="3233">
      <c r="G3233" s="16" t="str">
        <f>IFERROR(__xludf.DUMMYFUNCTION("""COMPUTED_VALUE"""),"")</f>
        <v/>
      </c>
    </row>
    <row r="3234">
      <c r="G3234" s="16" t="str">
        <f>IFERROR(__xludf.DUMMYFUNCTION("""COMPUTED_VALUE"""),"")</f>
        <v/>
      </c>
    </row>
    <row r="3235">
      <c r="G3235" s="16" t="str">
        <f>IFERROR(__xludf.DUMMYFUNCTION("""COMPUTED_VALUE"""),"")</f>
        <v/>
      </c>
    </row>
    <row r="3236">
      <c r="G3236" s="16" t="str">
        <f>IFERROR(__xludf.DUMMYFUNCTION("""COMPUTED_VALUE"""),"")</f>
        <v/>
      </c>
    </row>
    <row r="3237">
      <c r="G3237" s="16" t="str">
        <f>IFERROR(__xludf.DUMMYFUNCTION("""COMPUTED_VALUE"""),"")</f>
        <v/>
      </c>
    </row>
    <row r="3238">
      <c r="G3238" s="16" t="str">
        <f>IFERROR(__xludf.DUMMYFUNCTION("""COMPUTED_VALUE"""),"")</f>
        <v/>
      </c>
    </row>
    <row r="3239">
      <c r="G3239" s="16" t="str">
        <f>IFERROR(__xludf.DUMMYFUNCTION("""COMPUTED_VALUE"""),"")</f>
        <v/>
      </c>
    </row>
    <row r="3240">
      <c r="G3240" s="16" t="str">
        <f>IFERROR(__xludf.DUMMYFUNCTION("""COMPUTED_VALUE"""),"")</f>
        <v/>
      </c>
    </row>
    <row r="3241">
      <c r="G3241" s="16" t="str">
        <f>IFERROR(__xludf.DUMMYFUNCTION("""COMPUTED_VALUE"""),"")</f>
        <v/>
      </c>
    </row>
    <row r="3242">
      <c r="G3242" s="16" t="str">
        <f>IFERROR(__xludf.DUMMYFUNCTION("""COMPUTED_VALUE"""),"")</f>
        <v/>
      </c>
    </row>
    <row r="3243">
      <c r="G3243" s="16" t="str">
        <f>IFERROR(__xludf.DUMMYFUNCTION("""COMPUTED_VALUE"""),"")</f>
        <v/>
      </c>
    </row>
    <row r="3244">
      <c r="G3244" s="16" t="str">
        <f>IFERROR(__xludf.DUMMYFUNCTION("""COMPUTED_VALUE"""),"")</f>
        <v/>
      </c>
    </row>
    <row r="3245">
      <c r="G3245" s="16" t="str">
        <f>IFERROR(__xludf.DUMMYFUNCTION("""COMPUTED_VALUE"""),"")</f>
        <v/>
      </c>
    </row>
    <row r="3246">
      <c r="G3246" s="16" t="str">
        <f>IFERROR(__xludf.DUMMYFUNCTION("""COMPUTED_VALUE"""),"")</f>
        <v/>
      </c>
    </row>
    <row r="3247">
      <c r="G3247" s="16" t="str">
        <f>IFERROR(__xludf.DUMMYFUNCTION("""COMPUTED_VALUE"""),"")</f>
        <v/>
      </c>
    </row>
    <row r="3248">
      <c r="G3248" s="16" t="str">
        <f>IFERROR(__xludf.DUMMYFUNCTION("""COMPUTED_VALUE"""),"")</f>
        <v/>
      </c>
    </row>
    <row r="3249">
      <c r="G3249" s="16" t="str">
        <f>IFERROR(__xludf.DUMMYFUNCTION("""COMPUTED_VALUE"""),"")</f>
        <v/>
      </c>
    </row>
    <row r="3250">
      <c r="G3250" s="16" t="str">
        <f>IFERROR(__xludf.DUMMYFUNCTION("""COMPUTED_VALUE"""),"")</f>
        <v/>
      </c>
    </row>
    <row r="3251">
      <c r="G3251" s="16" t="str">
        <f>IFERROR(__xludf.DUMMYFUNCTION("""COMPUTED_VALUE"""),"")</f>
        <v/>
      </c>
    </row>
    <row r="3252">
      <c r="G3252" s="16" t="str">
        <f>IFERROR(__xludf.DUMMYFUNCTION("""COMPUTED_VALUE"""),"")</f>
        <v/>
      </c>
    </row>
    <row r="3253">
      <c r="G3253" s="16" t="str">
        <f>IFERROR(__xludf.DUMMYFUNCTION("""COMPUTED_VALUE"""),"")</f>
        <v/>
      </c>
    </row>
    <row r="3254">
      <c r="G3254" s="16" t="str">
        <f>IFERROR(__xludf.DUMMYFUNCTION("""COMPUTED_VALUE"""),"")</f>
        <v/>
      </c>
    </row>
    <row r="3255">
      <c r="G3255" s="16" t="str">
        <f>IFERROR(__xludf.DUMMYFUNCTION("""COMPUTED_VALUE"""),"")</f>
        <v/>
      </c>
    </row>
    <row r="3256">
      <c r="G3256" s="16" t="str">
        <f>IFERROR(__xludf.DUMMYFUNCTION("""COMPUTED_VALUE"""),"")</f>
        <v/>
      </c>
    </row>
    <row r="3257">
      <c r="G3257" s="16" t="str">
        <f>IFERROR(__xludf.DUMMYFUNCTION("""COMPUTED_VALUE"""),"")</f>
        <v/>
      </c>
    </row>
    <row r="3258">
      <c r="G3258" s="16" t="str">
        <f>IFERROR(__xludf.DUMMYFUNCTION("""COMPUTED_VALUE"""),"")</f>
        <v/>
      </c>
    </row>
    <row r="3259">
      <c r="G3259" s="16" t="str">
        <f>IFERROR(__xludf.DUMMYFUNCTION("""COMPUTED_VALUE"""),"")</f>
        <v/>
      </c>
    </row>
    <row r="3260">
      <c r="G3260" s="16" t="str">
        <f>IFERROR(__xludf.DUMMYFUNCTION("""COMPUTED_VALUE"""),"")</f>
        <v/>
      </c>
    </row>
    <row r="3261">
      <c r="G3261" s="16" t="str">
        <f>IFERROR(__xludf.DUMMYFUNCTION("""COMPUTED_VALUE"""),"")</f>
        <v/>
      </c>
    </row>
    <row r="3262">
      <c r="G3262" s="16" t="str">
        <f>IFERROR(__xludf.DUMMYFUNCTION("""COMPUTED_VALUE"""),"")</f>
        <v/>
      </c>
    </row>
    <row r="3263">
      <c r="G3263" s="16" t="str">
        <f>IFERROR(__xludf.DUMMYFUNCTION("""COMPUTED_VALUE"""),"")</f>
        <v/>
      </c>
    </row>
    <row r="3264">
      <c r="G3264" s="16" t="str">
        <f>IFERROR(__xludf.DUMMYFUNCTION("""COMPUTED_VALUE"""),"")</f>
        <v/>
      </c>
    </row>
    <row r="3265">
      <c r="G3265" s="16" t="str">
        <f>IFERROR(__xludf.DUMMYFUNCTION("""COMPUTED_VALUE"""),"")</f>
        <v/>
      </c>
    </row>
    <row r="3266">
      <c r="G3266" s="16" t="str">
        <f>IFERROR(__xludf.DUMMYFUNCTION("""COMPUTED_VALUE"""),"")</f>
        <v/>
      </c>
    </row>
    <row r="3267">
      <c r="G3267" s="16" t="str">
        <f>IFERROR(__xludf.DUMMYFUNCTION("""COMPUTED_VALUE"""),"")</f>
        <v/>
      </c>
    </row>
    <row r="3268">
      <c r="G3268" s="16" t="str">
        <f>IFERROR(__xludf.DUMMYFUNCTION("""COMPUTED_VALUE"""),"")</f>
        <v/>
      </c>
    </row>
    <row r="3269">
      <c r="G3269" s="16" t="str">
        <f>IFERROR(__xludf.DUMMYFUNCTION("""COMPUTED_VALUE"""),"")</f>
        <v/>
      </c>
    </row>
    <row r="3270">
      <c r="G3270" s="16" t="str">
        <f>IFERROR(__xludf.DUMMYFUNCTION("""COMPUTED_VALUE"""),"")</f>
        <v/>
      </c>
    </row>
    <row r="3271">
      <c r="G3271" s="16" t="str">
        <f>IFERROR(__xludf.DUMMYFUNCTION("""COMPUTED_VALUE"""),"")</f>
        <v/>
      </c>
    </row>
    <row r="3272">
      <c r="G3272" s="16" t="str">
        <f>IFERROR(__xludf.DUMMYFUNCTION("""COMPUTED_VALUE"""),"")</f>
        <v/>
      </c>
    </row>
    <row r="3273">
      <c r="G3273" s="16" t="str">
        <f>IFERROR(__xludf.DUMMYFUNCTION("""COMPUTED_VALUE"""),"")</f>
        <v/>
      </c>
    </row>
    <row r="3274">
      <c r="G3274" s="16" t="str">
        <f>IFERROR(__xludf.DUMMYFUNCTION("""COMPUTED_VALUE"""),"")</f>
        <v/>
      </c>
    </row>
    <row r="3275">
      <c r="G3275" s="16" t="str">
        <f>IFERROR(__xludf.DUMMYFUNCTION("""COMPUTED_VALUE"""),"")</f>
        <v/>
      </c>
    </row>
    <row r="3276">
      <c r="G3276" s="16" t="str">
        <f>IFERROR(__xludf.DUMMYFUNCTION("""COMPUTED_VALUE"""),"")</f>
        <v/>
      </c>
    </row>
    <row r="3277">
      <c r="G3277" s="16" t="str">
        <f>IFERROR(__xludf.DUMMYFUNCTION("""COMPUTED_VALUE"""),"")</f>
        <v/>
      </c>
    </row>
    <row r="3278">
      <c r="G3278" s="16" t="str">
        <f>IFERROR(__xludf.DUMMYFUNCTION("""COMPUTED_VALUE"""),"")</f>
        <v/>
      </c>
    </row>
    <row r="3279">
      <c r="G3279" s="16" t="str">
        <f>IFERROR(__xludf.DUMMYFUNCTION("""COMPUTED_VALUE"""),"")</f>
        <v/>
      </c>
    </row>
    <row r="3280">
      <c r="G3280" s="16" t="str">
        <f>IFERROR(__xludf.DUMMYFUNCTION("""COMPUTED_VALUE"""),"")</f>
        <v/>
      </c>
    </row>
    <row r="3281">
      <c r="G3281" s="16" t="str">
        <f>IFERROR(__xludf.DUMMYFUNCTION("""COMPUTED_VALUE"""),"")</f>
        <v/>
      </c>
    </row>
    <row r="3282">
      <c r="G3282" s="16" t="str">
        <f>IFERROR(__xludf.DUMMYFUNCTION("""COMPUTED_VALUE"""),"")</f>
        <v/>
      </c>
    </row>
    <row r="3283">
      <c r="G3283" s="16" t="str">
        <f>IFERROR(__xludf.DUMMYFUNCTION("""COMPUTED_VALUE"""),"")</f>
        <v/>
      </c>
    </row>
    <row r="3284">
      <c r="G3284" s="16" t="str">
        <f>IFERROR(__xludf.DUMMYFUNCTION("""COMPUTED_VALUE"""),"")</f>
        <v/>
      </c>
    </row>
    <row r="3285">
      <c r="G3285" s="16" t="str">
        <f>IFERROR(__xludf.DUMMYFUNCTION("""COMPUTED_VALUE"""),"")</f>
        <v/>
      </c>
    </row>
    <row r="3286">
      <c r="G3286" s="16" t="str">
        <f>IFERROR(__xludf.DUMMYFUNCTION("""COMPUTED_VALUE"""),"")</f>
        <v/>
      </c>
    </row>
    <row r="3287">
      <c r="G3287" s="16" t="str">
        <f>IFERROR(__xludf.DUMMYFUNCTION("""COMPUTED_VALUE"""),"")</f>
        <v/>
      </c>
    </row>
    <row r="3288">
      <c r="G3288" s="16" t="str">
        <f>IFERROR(__xludf.DUMMYFUNCTION("""COMPUTED_VALUE"""),"")</f>
        <v/>
      </c>
    </row>
    <row r="3289">
      <c r="G3289" s="16" t="str">
        <f>IFERROR(__xludf.DUMMYFUNCTION("""COMPUTED_VALUE"""),"")</f>
        <v/>
      </c>
    </row>
    <row r="3290">
      <c r="G3290" s="16" t="str">
        <f>IFERROR(__xludf.DUMMYFUNCTION("""COMPUTED_VALUE"""),"")</f>
        <v/>
      </c>
    </row>
    <row r="3291">
      <c r="G3291" s="16" t="str">
        <f>IFERROR(__xludf.DUMMYFUNCTION("""COMPUTED_VALUE"""),"")</f>
        <v/>
      </c>
    </row>
    <row r="3292">
      <c r="G3292" s="16" t="str">
        <f>IFERROR(__xludf.DUMMYFUNCTION("""COMPUTED_VALUE"""),"")</f>
        <v/>
      </c>
    </row>
    <row r="3293">
      <c r="G3293" s="16" t="str">
        <f>IFERROR(__xludf.DUMMYFUNCTION("""COMPUTED_VALUE"""),"")</f>
        <v/>
      </c>
    </row>
    <row r="3294">
      <c r="G3294" s="16" t="str">
        <f>IFERROR(__xludf.DUMMYFUNCTION("""COMPUTED_VALUE"""),"")</f>
        <v/>
      </c>
    </row>
    <row r="3295">
      <c r="G3295" s="16" t="str">
        <f>IFERROR(__xludf.DUMMYFUNCTION("""COMPUTED_VALUE"""),"")</f>
        <v/>
      </c>
    </row>
    <row r="3296">
      <c r="G3296" s="16" t="str">
        <f>IFERROR(__xludf.DUMMYFUNCTION("""COMPUTED_VALUE"""),"")</f>
        <v/>
      </c>
    </row>
    <row r="3297">
      <c r="G3297" s="16" t="str">
        <f>IFERROR(__xludf.DUMMYFUNCTION("""COMPUTED_VALUE"""),"")</f>
        <v/>
      </c>
    </row>
    <row r="3298">
      <c r="G3298" s="16" t="str">
        <f>IFERROR(__xludf.DUMMYFUNCTION("""COMPUTED_VALUE"""),"")</f>
        <v/>
      </c>
    </row>
    <row r="3299">
      <c r="G3299" s="16" t="str">
        <f>IFERROR(__xludf.DUMMYFUNCTION("""COMPUTED_VALUE"""),"")</f>
        <v/>
      </c>
    </row>
    <row r="3300">
      <c r="G3300" s="16" t="str">
        <f>IFERROR(__xludf.DUMMYFUNCTION("""COMPUTED_VALUE"""),"")</f>
        <v/>
      </c>
    </row>
    <row r="3301">
      <c r="G3301" s="16" t="str">
        <f>IFERROR(__xludf.DUMMYFUNCTION("""COMPUTED_VALUE"""),"")</f>
        <v/>
      </c>
    </row>
    <row r="3302">
      <c r="G3302" s="16" t="str">
        <f>IFERROR(__xludf.DUMMYFUNCTION("""COMPUTED_VALUE"""),"")</f>
        <v/>
      </c>
    </row>
    <row r="3303">
      <c r="G3303" s="16" t="str">
        <f>IFERROR(__xludf.DUMMYFUNCTION("""COMPUTED_VALUE"""),"")</f>
        <v/>
      </c>
    </row>
    <row r="3304">
      <c r="G3304" s="16" t="str">
        <f>IFERROR(__xludf.DUMMYFUNCTION("""COMPUTED_VALUE"""),"")</f>
        <v/>
      </c>
    </row>
    <row r="3305">
      <c r="G3305" s="16" t="str">
        <f>IFERROR(__xludf.DUMMYFUNCTION("""COMPUTED_VALUE"""),"")</f>
        <v/>
      </c>
    </row>
    <row r="3306">
      <c r="G3306" s="16" t="str">
        <f>IFERROR(__xludf.DUMMYFUNCTION("""COMPUTED_VALUE"""),"")</f>
        <v/>
      </c>
    </row>
    <row r="3307">
      <c r="G3307" s="16" t="str">
        <f>IFERROR(__xludf.DUMMYFUNCTION("""COMPUTED_VALUE"""),"")</f>
        <v/>
      </c>
    </row>
    <row r="3308">
      <c r="G3308" s="16" t="str">
        <f>IFERROR(__xludf.DUMMYFUNCTION("""COMPUTED_VALUE"""),"")</f>
        <v/>
      </c>
    </row>
    <row r="3309">
      <c r="G3309" s="16" t="str">
        <f>IFERROR(__xludf.DUMMYFUNCTION("""COMPUTED_VALUE"""),"")</f>
        <v/>
      </c>
    </row>
    <row r="3310">
      <c r="G3310" s="16" t="str">
        <f>IFERROR(__xludf.DUMMYFUNCTION("""COMPUTED_VALUE"""),"")</f>
        <v/>
      </c>
    </row>
    <row r="3311">
      <c r="G3311" s="16" t="str">
        <f>IFERROR(__xludf.DUMMYFUNCTION("""COMPUTED_VALUE"""),"")</f>
        <v/>
      </c>
    </row>
    <row r="3312">
      <c r="G3312" s="16" t="str">
        <f>IFERROR(__xludf.DUMMYFUNCTION("""COMPUTED_VALUE"""),"")</f>
        <v/>
      </c>
    </row>
    <row r="3313">
      <c r="G3313" s="16" t="str">
        <f>IFERROR(__xludf.DUMMYFUNCTION("""COMPUTED_VALUE"""),"")</f>
        <v/>
      </c>
    </row>
    <row r="3314">
      <c r="G3314" s="16" t="str">
        <f>IFERROR(__xludf.DUMMYFUNCTION("""COMPUTED_VALUE"""),"")</f>
        <v/>
      </c>
    </row>
    <row r="3315">
      <c r="G3315" s="16" t="str">
        <f>IFERROR(__xludf.DUMMYFUNCTION("""COMPUTED_VALUE"""),"")</f>
        <v/>
      </c>
    </row>
    <row r="3316">
      <c r="G3316" s="16" t="str">
        <f>IFERROR(__xludf.DUMMYFUNCTION("""COMPUTED_VALUE"""),"")</f>
        <v/>
      </c>
    </row>
    <row r="3317">
      <c r="G3317" s="16" t="str">
        <f>IFERROR(__xludf.DUMMYFUNCTION("""COMPUTED_VALUE"""),"")</f>
        <v/>
      </c>
    </row>
    <row r="3318">
      <c r="G3318" s="16" t="str">
        <f>IFERROR(__xludf.DUMMYFUNCTION("""COMPUTED_VALUE"""),"")</f>
        <v/>
      </c>
    </row>
    <row r="3319">
      <c r="G3319" s="16" t="str">
        <f>IFERROR(__xludf.DUMMYFUNCTION("""COMPUTED_VALUE"""),"")</f>
        <v/>
      </c>
    </row>
    <row r="3320">
      <c r="G3320" s="16" t="str">
        <f>IFERROR(__xludf.DUMMYFUNCTION("""COMPUTED_VALUE"""),"")</f>
        <v/>
      </c>
    </row>
    <row r="3321">
      <c r="G3321" s="16" t="str">
        <f>IFERROR(__xludf.DUMMYFUNCTION("""COMPUTED_VALUE"""),"")</f>
        <v/>
      </c>
    </row>
    <row r="3322">
      <c r="G3322" s="16" t="str">
        <f>IFERROR(__xludf.DUMMYFUNCTION("""COMPUTED_VALUE"""),"")</f>
        <v/>
      </c>
    </row>
    <row r="3323">
      <c r="G3323" s="16" t="str">
        <f>IFERROR(__xludf.DUMMYFUNCTION("""COMPUTED_VALUE"""),"")</f>
        <v/>
      </c>
    </row>
    <row r="3324">
      <c r="G3324" s="16" t="str">
        <f>IFERROR(__xludf.DUMMYFUNCTION("""COMPUTED_VALUE"""),"")</f>
        <v/>
      </c>
    </row>
    <row r="3325">
      <c r="G3325" s="16" t="str">
        <f>IFERROR(__xludf.DUMMYFUNCTION("""COMPUTED_VALUE"""),"")</f>
        <v/>
      </c>
    </row>
    <row r="3326">
      <c r="G3326" s="16" t="str">
        <f>IFERROR(__xludf.DUMMYFUNCTION("""COMPUTED_VALUE"""),"")</f>
        <v/>
      </c>
    </row>
    <row r="3327">
      <c r="G3327" s="16" t="str">
        <f>IFERROR(__xludf.DUMMYFUNCTION("""COMPUTED_VALUE"""),"")</f>
        <v/>
      </c>
    </row>
    <row r="3328">
      <c r="G3328" s="16" t="str">
        <f>IFERROR(__xludf.DUMMYFUNCTION("""COMPUTED_VALUE"""),"")</f>
        <v/>
      </c>
    </row>
    <row r="3329">
      <c r="G3329" s="16" t="str">
        <f>IFERROR(__xludf.DUMMYFUNCTION("""COMPUTED_VALUE"""),"")</f>
        <v/>
      </c>
    </row>
    <row r="3330">
      <c r="G3330" s="16" t="str">
        <f>IFERROR(__xludf.DUMMYFUNCTION("""COMPUTED_VALUE"""),"")</f>
        <v/>
      </c>
    </row>
    <row r="3331">
      <c r="G3331" s="16" t="str">
        <f>IFERROR(__xludf.DUMMYFUNCTION("""COMPUTED_VALUE"""),"")</f>
        <v/>
      </c>
    </row>
    <row r="3332">
      <c r="G3332" s="16" t="str">
        <f>IFERROR(__xludf.DUMMYFUNCTION("""COMPUTED_VALUE"""),"")</f>
        <v/>
      </c>
    </row>
    <row r="3333">
      <c r="G3333" s="16" t="str">
        <f>IFERROR(__xludf.DUMMYFUNCTION("""COMPUTED_VALUE"""),"")</f>
        <v/>
      </c>
    </row>
    <row r="3334">
      <c r="G3334" s="16" t="str">
        <f>IFERROR(__xludf.DUMMYFUNCTION("""COMPUTED_VALUE"""),"")</f>
        <v/>
      </c>
    </row>
    <row r="3335">
      <c r="G3335" s="16" t="str">
        <f>IFERROR(__xludf.DUMMYFUNCTION("""COMPUTED_VALUE"""),"")</f>
        <v/>
      </c>
    </row>
    <row r="3336">
      <c r="G3336" s="16" t="str">
        <f>IFERROR(__xludf.DUMMYFUNCTION("""COMPUTED_VALUE"""),"")</f>
        <v/>
      </c>
    </row>
    <row r="3337">
      <c r="G3337" s="16" t="str">
        <f>IFERROR(__xludf.DUMMYFUNCTION("""COMPUTED_VALUE"""),"")</f>
        <v/>
      </c>
    </row>
    <row r="3338">
      <c r="G3338" s="16" t="str">
        <f>IFERROR(__xludf.DUMMYFUNCTION("""COMPUTED_VALUE"""),"")</f>
        <v/>
      </c>
    </row>
    <row r="3339">
      <c r="G3339" s="16" t="str">
        <f>IFERROR(__xludf.DUMMYFUNCTION("""COMPUTED_VALUE"""),"")</f>
        <v/>
      </c>
    </row>
    <row r="3340">
      <c r="G3340" s="16" t="str">
        <f>IFERROR(__xludf.DUMMYFUNCTION("""COMPUTED_VALUE"""),"")</f>
        <v/>
      </c>
    </row>
    <row r="3341">
      <c r="G3341" s="16" t="str">
        <f>IFERROR(__xludf.DUMMYFUNCTION("""COMPUTED_VALUE"""),"")</f>
        <v/>
      </c>
    </row>
    <row r="3342">
      <c r="G3342" s="16" t="str">
        <f>IFERROR(__xludf.DUMMYFUNCTION("""COMPUTED_VALUE"""),"")</f>
        <v/>
      </c>
    </row>
    <row r="3343">
      <c r="G3343" s="16" t="str">
        <f>IFERROR(__xludf.DUMMYFUNCTION("""COMPUTED_VALUE"""),"")</f>
        <v/>
      </c>
    </row>
    <row r="3344">
      <c r="G3344" s="16" t="str">
        <f>IFERROR(__xludf.DUMMYFUNCTION("""COMPUTED_VALUE"""),"")</f>
        <v/>
      </c>
    </row>
    <row r="3345">
      <c r="G3345" s="16" t="str">
        <f>IFERROR(__xludf.DUMMYFUNCTION("""COMPUTED_VALUE"""),"")</f>
        <v/>
      </c>
    </row>
    <row r="3346">
      <c r="G3346" s="16" t="str">
        <f>IFERROR(__xludf.DUMMYFUNCTION("""COMPUTED_VALUE"""),"")</f>
        <v/>
      </c>
    </row>
    <row r="3347">
      <c r="G3347" s="16" t="str">
        <f>IFERROR(__xludf.DUMMYFUNCTION("""COMPUTED_VALUE"""),"")</f>
        <v/>
      </c>
    </row>
    <row r="3348">
      <c r="G3348" s="16" t="str">
        <f>IFERROR(__xludf.DUMMYFUNCTION("""COMPUTED_VALUE"""),"")</f>
        <v/>
      </c>
    </row>
    <row r="3349">
      <c r="G3349" s="16" t="str">
        <f>IFERROR(__xludf.DUMMYFUNCTION("""COMPUTED_VALUE"""),"")</f>
        <v/>
      </c>
    </row>
    <row r="3350">
      <c r="G3350" s="16" t="str">
        <f>IFERROR(__xludf.DUMMYFUNCTION("""COMPUTED_VALUE"""),"")</f>
        <v/>
      </c>
    </row>
    <row r="3351">
      <c r="G3351" s="16" t="str">
        <f>IFERROR(__xludf.DUMMYFUNCTION("""COMPUTED_VALUE"""),"")</f>
        <v/>
      </c>
    </row>
    <row r="3352">
      <c r="G3352" s="16" t="str">
        <f>IFERROR(__xludf.DUMMYFUNCTION("""COMPUTED_VALUE"""),"")</f>
        <v/>
      </c>
    </row>
    <row r="3353">
      <c r="G3353" s="16" t="str">
        <f>IFERROR(__xludf.DUMMYFUNCTION("""COMPUTED_VALUE"""),"")</f>
        <v/>
      </c>
    </row>
    <row r="3354">
      <c r="G3354" s="16" t="str">
        <f>IFERROR(__xludf.DUMMYFUNCTION("""COMPUTED_VALUE"""),"")</f>
        <v/>
      </c>
    </row>
    <row r="3355">
      <c r="G3355" s="16" t="str">
        <f>IFERROR(__xludf.DUMMYFUNCTION("""COMPUTED_VALUE"""),"")</f>
        <v/>
      </c>
    </row>
    <row r="3356">
      <c r="G3356" s="16" t="str">
        <f>IFERROR(__xludf.DUMMYFUNCTION("""COMPUTED_VALUE"""),"")</f>
        <v/>
      </c>
    </row>
    <row r="3357">
      <c r="G3357" s="16" t="str">
        <f>IFERROR(__xludf.DUMMYFUNCTION("""COMPUTED_VALUE"""),"")</f>
        <v/>
      </c>
    </row>
    <row r="3358">
      <c r="G3358" s="16" t="str">
        <f>IFERROR(__xludf.DUMMYFUNCTION("""COMPUTED_VALUE"""),"")</f>
        <v/>
      </c>
    </row>
    <row r="3359">
      <c r="G3359" s="16" t="str">
        <f>IFERROR(__xludf.DUMMYFUNCTION("""COMPUTED_VALUE"""),"")</f>
        <v/>
      </c>
    </row>
    <row r="3360">
      <c r="G3360" s="16" t="str">
        <f>IFERROR(__xludf.DUMMYFUNCTION("""COMPUTED_VALUE"""),"")</f>
        <v/>
      </c>
    </row>
    <row r="3361">
      <c r="G3361" s="16" t="str">
        <f>IFERROR(__xludf.DUMMYFUNCTION("""COMPUTED_VALUE"""),"")</f>
        <v/>
      </c>
    </row>
    <row r="3362">
      <c r="G3362" s="16" t="str">
        <f>IFERROR(__xludf.DUMMYFUNCTION("""COMPUTED_VALUE"""),"")</f>
        <v/>
      </c>
    </row>
    <row r="3363">
      <c r="G3363" s="16" t="str">
        <f>IFERROR(__xludf.DUMMYFUNCTION("""COMPUTED_VALUE"""),"")</f>
        <v/>
      </c>
    </row>
    <row r="3364">
      <c r="G3364" s="16" t="str">
        <f>IFERROR(__xludf.DUMMYFUNCTION("""COMPUTED_VALUE"""),"")</f>
        <v/>
      </c>
    </row>
    <row r="3365">
      <c r="G3365" s="16" t="str">
        <f>IFERROR(__xludf.DUMMYFUNCTION("""COMPUTED_VALUE"""),"")</f>
        <v/>
      </c>
    </row>
    <row r="3366">
      <c r="G3366" s="16" t="str">
        <f>IFERROR(__xludf.DUMMYFUNCTION("""COMPUTED_VALUE"""),"")</f>
        <v/>
      </c>
    </row>
    <row r="3367">
      <c r="G3367" s="16" t="str">
        <f>IFERROR(__xludf.DUMMYFUNCTION("""COMPUTED_VALUE"""),"")</f>
        <v/>
      </c>
    </row>
    <row r="3368">
      <c r="G3368" s="16" t="str">
        <f>IFERROR(__xludf.DUMMYFUNCTION("""COMPUTED_VALUE"""),"")</f>
        <v/>
      </c>
    </row>
    <row r="3369">
      <c r="G3369" s="16" t="str">
        <f>IFERROR(__xludf.DUMMYFUNCTION("""COMPUTED_VALUE"""),"")</f>
        <v/>
      </c>
    </row>
    <row r="3370">
      <c r="G3370" s="16" t="str">
        <f>IFERROR(__xludf.DUMMYFUNCTION("""COMPUTED_VALUE"""),"")</f>
        <v/>
      </c>
    </row>
    <row r="3371">
      <c r="G3371" s="16" t="str">
        <f>IFERROR(__xludf.DUMMYFUNCTION("""COMPUTED_VALUE"""),"")</f>
        <v/>
      </c>
    </row>
    <row r="3372">
      <c r="G3372" s="16" t="str">
        <f>IFERROR(__xludf.DUMMYFUNCTION("""COMPUTED_VALUE"""),"")</f>
        <v/>
      </c>
    </row>
    <row r="3373">
      <c r="G3373" s="16" t="str">
        <f>IFERROR(__xludf.DUMMYFUNCTION("""COMPUTED_VALUE"""),"")</f>
        <v/>
      </c>
    </row>
    <row r="3374">
      <c r="G3374" s="16" t="str">
        <f>IFERROR(__xludf.DUMMYFUNCTION("""COMPUTED_VALUE"""),"")</f>
        <v/>
      </c>
    </row>
    <row r="3375">
      <c r="G3375" s="16" t="str">
        <f>IFERROR(__xludf.DUMMYFUNCTION("""COMPUTED_VALUE"""),"")</f>
        <v/>
      </c>
    </row>
    <row r="3376">
      <c r="G3376" s="16" t="str">
        <f>IFERROR(__xludf.DUMMYFUNCTION("""COMPUTED_VALUE"""),"")</f>
        <v/>
      </c>
    </row>
    <row r="3377">
      <c r="G3377" s="16" t="str">
        <f>IFERROR(__xludf.DUMMYFUNCTION("""COMPUTED_VALUE"""),"")</f>
        <v/>
      </c>
    </row>
    <row r="3378">
      <c r="G3378" s="16" t="str">
        <f>IFERROR(__xludf.DUMMYFUNCTION("""COMPUTED_VALUE"""),"")</f>
        <v/>
      </c>
    </row>
    <row r="3379">
      <c r="G3379" s="16" t="str">
        <f>IFERROR(__xludf.DUMMYFUNCTION("""COMPUTED_VALUE"""),"")</f>
        <v/>
      </c>
    </row>
    <row r="3380">
      <c r="G3380" s="16" t="str">
        <f>IFERROR(__xludf.DUMMYFUNCTION("""COMPUTED_VALUE"""),"")</f>
        <v/>
      </c>
    </row>
    <row r="3381">
      <c r="G3381" s="16" t="str">
        <f>IFERROR(__xludf.DUMMYFUNCTION("""COMPUTED_VALUE"""),"")</f>
        <v/>
      </c>
    </row>
    <row r="3382">
      <c r="G3382" s="16" t="str">
        <f>IFERROR(__xludf.DUMMYFUNCTION("""COMPUTED_VALUE"""),"")</f>
        <v/>
      </c>
    </row>
    <row r="3383">
      <c r="G3383" s="16" t="str">
        <f>IFERROR(__xludf.DUMMYFUNCTION("""COMPUTED_VALUE"""),"")</f>
        <v/>
      </c>
    </row>
    <row r="3384">
      <c r="G3384" s="16" t="str">
        <f>IFERROR(__xludf.DUMMYFUNCTION("""COMPUTED_VALUE"""),"")</f>
        <v/>
      </c>
    </row>
    <row r="3385">
      <c r="G3385" s="16" t="str">
        <f>IFERROR(__xludf.DUMMYFUNCTION("""COMPUTED_VALUE"""),"")</f>
        <v/>
      </c>
    </row>
    <row r="3386">
      <c r="G3386" s="16" t="str">
        <f>IFERROR(__xludf.DUMMYFUNCTION("""COMPUTED_VALUE"""),"")</f>
        <v/>
      </c>
    </row>
    <row r="3387">
      <c r="G3387" s="16" t="str">
        <f>IFERROR(__xludf.DUMMYFUNCTION("""COMPUTED_VALUE"""),"")</f>
        <v/>
      </c>
    </row>
    <row r="3388">
      <c r="G3388" s="16" t="str">
        <f>IFERROR(__xludf.DUMMYFUNCTION("""COMPUTED_VALUE"""),"")</f>
        <v/>
      </c>
    </row>
    <row r="3389">
      <c r="G3389" s="16" t="str">
        <f>IFERROR(__xludf.DUMMYFUNCTION("""COMPUTED_VALUE"""),"")</f>
        <v/>
      </c>
    </row>
    <row r="3390">
      <c r="G3390" s="16" t="str">
        <f>IFERROR(__xludf.DUMMYFUNCTION("""COMPUTED_VALUE"""),"")</f>
        <v/>
      </c>
    </row>
    <row r="3391">
      <c r="G3391" s="16" t="str">
        <f>IFERROR(__xludf.DUMMYFUNCTION("""COMPUTED_VALUE"""),"")</f>
        <v/>
      </c>
    </row>
    <row r="3392">
      <c r="G3392" s="16" t="str">
        <f>IFERROR(__xludf.DUMMYFUNCTION("""COMPUTED_VALUE"""),"")</f>
        <v/>
      </c>
    </row>
    <row r="3393">
      <c r="G3393" s="16" t="str">
        <f>IFERROR(__xludf.DUMMYFUNCTION("""COMPUTED_VALUE"""),"")</f>
        <v/>
      </c>
    </row>
    <row r="3394">
      <c r="G3394" s="16" t="str">
        <f>IFERROR(__xludf.DUMMYFUNCTION("""COMPUTED_VALUE"""),"")</f>
        <v/>
      </c>
    </row>
    <row r="3395">
      <c r="G3395" s="16" t="str">
        <f>IFERROR(__xludf.DUMMYFUNCTION("""COMPUTED_VALUE"""),"")</f>
        <v/>
      </c>
    </row>
    <row r="3396">
      <c r="G3396" s="16" t="str">
        <f>IFERROR(__xludf.DUMMYFUNCTION("""COMPUTED_VALUE"""),"")</f>
        <v/>
      </c>
    </row>
    <row r="3397">
      <c r="G3397" s="16" t="str">
        <f>IFERROR(__xludf.DUMMYFUNCTION("""COMPUTED_VALUE"""),"")</f>
        <v/>
      </c>
    </row>
    <row r="3398">
      <c r="G3398" s="16" t="str">
        <f>IFERROR(__xludf.DUMMYFUNCTION("""COMPUTED_VALUE"""),"")</f>
        <v/>
      </c>
    </row>
    <row r="3399">
      <c r="G3399" s="16" t="str">
        <f>IFERROR(__xludf.DUMMYFUNCTION("""COMPUTED_VALUE"""),"")</f>
        <v/>
      </c>
    </row>
    <row r="3400">
      <c r="G3400" s="16" t="str">
        <f>IFERROR(__xludf.DUMMYFUNCTION("""COMPUTED_VALUE"""),"")</f>
        <v/>
      </c>
    </row>
    <row r="3401">
      <c r="G3401" s="16" t="str">
        <f>IFERROR(__xludf.DUMMYFUNCTION("""COMPUTED_VALUE"""),"")</f>
        <v/>
      </c>
    </row>
    <row r="3402">
      <c r="G3402" s="16" t="str">
        <f>IFERROR(__xludf.DUMMYFUNCTION("""COMPUTED_VALUE"""),"")</f>
        <v/>
      </c>
    </row>
    <row r="3403">
      <c r="G3403" s="16" t="str">
        <f>IFERROR(__xludf.DUMMYFUNCTION("""COMPUTED_VALUE"""),"")</f>
        <v/>
      </c>
    </row>
    <row r="3404">
      <c r="G3404" s="16" t="str">
        <f>IFERROR(__xludf.DUMMYFUNCTION("""COMPUTED_VALUE"""),"")</f>
        <v/>
      </c>
    </row>
    <row r="3405">
      <c r="G3405" s="16" t="str">
        <f>IFERROR(__xludf.DUMMYFUNCTION("""COMPUTED_VALUE"""),"")</f>
        <v/>
      </c>
    </row>
    <row r="3406">
      <c r="G3406" s="16" t="str">
        <f>IFERROR(__xludf.DUMMYFUNCTION("""COMPUTED_VALUE"""),"")</f>
        <v/>
      </c>
    </row>
    <row r="3407">
      <c r="G3407" s="16" t="str">
        <f>IFERROR(__xludf.DUMMYFUNCTION("""COMPUTED_VALUE"""),"")</f>
        <v/>
      </c>
    </row>
    <row r="3408">
      <c r="G3408" s="16" t="str">
        <f>IFERROR(__xludf.DUMMYFUNCTION("""COMPUTED_VALUE"""),"")</f>
        <v/>
      </c>
    </row>
    <row r="3409">
      <c r="G3409" s="16" t="str">
        <f>IFERROR(__xludf.DUMMYFUNCTION("""COMPUTED_VALUE"""),"")</f>
        <v/>
      </c>
    </row>
    <row r="3410">
      <c r="G3410" s="16" t="str">
        <f>IFERROR(__xludf.DUMMYFUNCTION("""COMPUTED_VALUE"""),"")</f>
        <v/>
      </c>
    </row>
    <row r="3411">
      <c r="G3411" s="16" t="str">
        <f>IFERROR(__xludf.DUMMYFUNCTION("""COMPUTED_VALUE"""),"")</f>
        <v/>
      </c>
    </row>
    <row r="3412">
      <c r="G3412" s="16" t="str">
        <f>IFERROR(__xludf.DUMMYFUNCTION("""COMPUTED_VALUE"""),"")</f>
        <v/>
      </c>
    </row>
    <row r="3413">
      <c r="G3413" s="16" t="str">
        <f>IFERROR(__xludf.DUMMYFUNCTION("""COMPUTED_VALUE"""),"")</f>
        <v/>
      </c>
    </row>
    <row r="3414">
      <c r="G3414" s="16" t="str">
        <f>IFERROR(__xludf.DUMMYFUNCTION("""COMPUTED_VALUE"""),"")</f>
        <v/>
      </c>
    </row>
    <row r="3415">
      <c r="G3415" s="16" t="str">
        <f>IFERROR(__xludf.DUMMYFUNCTION("""COMPUTED_VALUE"""),"")</f>
        <v/>
      </c>
    </row>
    <row r="3416">
      <c r="G3416" s="16" t="str">
        <f>IFERROR(__xludf.DUMMYFUNCTION("""COMPUTED_VALUE"""),"")</f>
        <v/>
      </c>
    </row>
    <row r="3417">
      <c r="G3417" s="16" t="str">
        <f>IFERROR(__xludf.DUMMYFUNCTION("""COMPUTED_VALUE"""),"")</f>
        <v/>
      </c>
    </row>
    <row r="3418">
      <c r="G3418" s="16" t="str">
        <f>IFERROR(__xludf.DUMMYFUNCTION("""COMPUTED_VALUE"""),"")</f>
        <v/>
      </c>
    </row>
    <row r="3419">
      <c r="G3419" s="16" t="str">
        <f>IFERROR(__xludf.DUMMYFUNCTION("""COMPUTED_VALUE"""),"")</f>
        <v/>
      </c>
    </row>
    <row r="3420">
      <c r="G3420" s="16" t="str">
        <f>IFERROR(__xludf.DUMMYFUNCTION("""COMPUTED_VALUE"""),"")</f>
        <v/>
      </c>
    </row>
    <row r="3421">
      <c r="G3421" s="16" t="str">
        <f>IFERROR(__xludf.DUMMYFUNCTION("""COMPUTED_VALUE"""),"")</f>
        <v/>
      </c>
    </row>
    <row r="3422">
      <c r="G3422" s="16" t="str">
        <f>IFERROR(__xludf.DUMMYFUNCTION("""COMPUTED_VALUE"""),"")</f>
        <v/>
      </c>
    </row>
    <row r="3423">
      <c r="G3423" s="16" t="str">
        <f>IFERROR(__xludf.DUMMYFUNCTION("""COMPUTED_VALUE"""),"")</f>
        <v/>
      </c>
    </row>
    <row r="3424">
      <c r="G3424" s="16" t="str">
        <f>IFERROR(__xludf.DUMMYFUNCTION("""COMPUTED_VALUE"""),"")</f>
        <v/>
      </c>
    </row>
    <row r="3425">
      <c r="G3425" s="16" t="str">
        <f>IFERROR(__xludf.DUMMYFUNCTION("""COMPUTED_VALUE"""),"")</f>
        <v/>
      </c>
    </row>
    <row r="3426">
      <c r="G3426" s="16" t="str">
        <f>IFERROR(__xludf.DUMMYFUNCTION("""COMPUTED_VALUE"""),"")</f>
        <v/>
      </c>
    </row>
    <row r="3427">
      <c r="G3427" s="16" t="str">
        <f>IFERROR(__xludf.DUMMYFUNCTION("""COMPUTED_VALUE"""),"")</f>
        <v/>
      </c>
    </row>
    <row r="3428">
      <c r="G3428" s="16" t="str">
        <f>IFERROR(__xludf.DUMMYFUNCTION("""COMPUTED_VALUE"""),"")</f>
        <v/>
      </c>
    </row>
    <row r="3429">
      <c r="G3429" s="16" t="str">
        <f>IFERROR(__xludf.DUMMYFUNCTION("""COMPUTED_VALUE"""),"")</f>
        <v/>
      </c>
    </row>
    <row r="3430">
      <c r="G3430" s="16" t="str">
        <f>IFERROR(__xludf.DUMMYFUNCTION("""COMPUTED_VALUE"""),"")</f>
        <v/>
      </c>
    </row>
    <row r="3431">
      <c r="G3431" s="16" t="str">
        <f>IFERROR(__xludf.DUMMYFUNCTION("""COMPUTED_VALUE"""),"")</f>
        <v/>
      </c>
    </row>
    <row r="3432">
      <c r="G3432" s="16" t="str">
        <f>IFERROR(__xludf.DUMMYFUNCTION("""COMPUTED_VALUE"""),"")</f>
        <v/>
      </c>
    </row>
    <row r="3433">
      <c r="G3433" s="16" t="str">
        <f>IFERROR(__xludf.DUMMYFUNCTION("""COMPUTED_VALUE"""),"")</f>
        <v/>
      </c>
    </row>
    <row r="3434">
      <c r="G3434" s="16" t="str">
        <f>IFERROR(__xludf.DUMMYFUNCTION("""COMPUTED_VALUE"""),"")</f>
        <v/>
      </c>
    </row>
    <row r="3435">
      <c r="G3435" s="16" t="str">
        <f>IFERROR(__xludf.DUMMYFUNCTION("""COMPUTED_VALUE"""),"")</f>
        <v/>
      </c>
    </row>
    <row r="3436">
      <c r="G3436" s="16" t="str">
        <f>IFERROR(__xludf.DUMMYFUNCTION("""COMPUTED_VALUE"""),"")</f>
        <v/>
      </c>
    </row>
    <row r="3437">
      <c r="G3437" s="16" t="str">
        <f>IFERROR(__xludf.DUMMYFUNCTION("""COMPUTED_VALUE"""),"")</f>
        <v/>
      </c>
    </row>
    <row r="3438">
      <c r="G3438" s="16" t="str">
        <f>IFERROR(__xludf.DUMMYFUNCTION("""COMPUTED_VALUE"""),"")</f>
        <v/>
      </c>
    </row>
    <row r="3439">
      <c r="G3439" s="16" t="str">
        <f>IFERROR(__xludf.DUMMYFUNCTION("""COMPUTED_VALUE"""),"")</f>
        <v/>
      </c>
    </row>
    <row r="3440">
      <c r="G3440" s="16" t="str">
        <f>IFERROR(__xludf.DUMMYFUNCTION("""COMPUTED_VALUE"""),"")</f>
        <v/>
      </c>
    </row>
    <row r="3441">
      <c r="G3441" s="16" t="str">
        <f>IFERROR(__xludf.DUMMYFUNCTION("""COMPUTED_VALUE"""),"")</f>
        <v/>
      </c>
    </row>
    <row r="3442">
      <c r="G3442" s="16" t="str">
        <f>IFERROR(__xludf.DUMMYFUNCTION("""COMPUTED_VALUE"""),"")</f>
        <v/>
      </c>
    </row>
    <row r="3443">
      <c r="G3443" s="16" t="str">
        <f>IFERROR(__xludf.DUMMYFUNCTION("""COMPUTED_VALUE"""),"")</f>
        <v/>
      </c>
    </row>
    <row r="3444">
      <c r="G3444" s="16" t="str">
        <f>IFERROR(__xludf.DUMMYFUNCTION("""COMPUTED_VALUE"""),"")</f>
        <v/>
      </c>
    </row>
    <row r="3445">
      <c r="G3445" s="16" t="str">
        <f>IFERROR(__xludf.DUMMYFUNCTION("""COMPUTED_VALUE"""),"")</f>
        <v/>
      </c>
    </row>
    <row r="3446">
      <c r="G3446" s="16" t="str">
        <f>IFERROR(__xludf.DUMMYFUNCTION("""COMPUTED_VALUE"""),"")</f>
        <v/>
      </c>
    </row>
    <row r="3447">
      <c r="G3447" s="16" t="str">
        <f>IFERROR(__xludf.DUMMYFUNCTION("""COMPUTED_VALUE"""),"")</f>
        <v/>
      </c>
    </row>
    <row r="3448">
      <c r="G3448" s="16" t="str">
        <f>IFERROR(__xludf.DUMMYFUNCTION("""COMPUTED_VALUE"""),"")</f>
        <v/>
      </c>
    </row>
    <row r="3449">
      <c r="G3449" s="16" t="str">
        <f>IFERROR(__xludf.DUMMYFUNCTION("""COMPUTED_VALUE"""),"")</f>
        <v/>
      </c>
    </row>
    <row r="3450">
      <c r="G3450" s="16" t="str">
        <f>IFERROR(__xludf.DUMMYFUNCTION("""COMPUTED_VALUE"""),"")</f>
        <v/>
      </c>
    </row>
    <row r="3451">
      <c r="G3451" s="16" t="str">
        <f>IFERROR(__xludf.DUMMYFUNCTION("""COMPUTED_VALUE"""),"")</f>
        <v/>
      </c>
    </row>
    <row r="3452">
      <c r="G3452" s="16" t="str">
        <f>IFERROR(__xludf.DUMMYFUNCTION("""COMPUTED_VALUE"""),"")</f>
        <v/>
      </c>
    </row>
    <row r="3453">
      <c r="G3453" s="16" t="str">
        <f>IFERROR(__xludf.DUMMYFUNCTION("""COMPUTED_VALUE"""),"")</f>
        <v/>
      </c>
    </row>
    <row r="3454">
      <c r="G3454" s="16" t="str">
        <f>IFERROR(__xludf.DUMMYFUNCTION("""COMPUTED_VALUE"""),"")</f>
        <v/>
      </c>
    </row>
    <row r="3455">
      <c r="G3455" s="16" t="str">
        <f>IFERROR(__xludf.DUMMYFUNCTION("""COMPUTED_VALUE"""),"")</f>
        <v/>
      </c>
    </row>
    <row r="3456">
      <c r="G3456" s="16" t="str">
        <f>IFERROR(__xludf.DUMMYFUNCTION("""COMPUTED_VALUE"""),"")</f>
        <v/>
      </c>
    </row>
    <row r="3457">
      <c r="G3457" s="16" t="str">
        <f>IFERROR(__xludf.DUMMYFUNCTION("""COMPUTED_VALUE"""),"")</f>
        <v/>
      </c>
    </row>
    <row r="3458">
      <c r="G3458" s="16" t="str">
        <f>IFERROR(__xludf.DUMMYFUNCTION("""COMPUTED_VALUE"""),"")</f>
        <v/>
      </c>
    </row>
    <row r="3459">
      <c r="G3459" s="16" t="str">
        <f>IFERROR(__xludf.DUMMYFUNCTION("""COMPUTED_VALUE"""),"")</f>
        <v/>
      </c>
    </row>
    <row r="3460">
      <c r="G3460" s="16" t="str">
        <f>IFERROR(__xludf.DUMMYFUNCTION("""COMPUTED_VALUE"""),"")</f>
        <v/>
      </c>
    </row>
    <row r="3461">
      <c r="G3461" s="16" t="str">
        <f>IFERROR(__xludf.DUMMYFUNCTION("""COMPUTED_VALUE"""),"")</f>
        <v/>
      </c>
    </row>
    <row r="3462">
      <c r="G3462" s="16" t="str">
        <f>IFERROR(__xludf.DUMMYFUNCTION("""COMPUTED_VALUE"""),"")</f>
        <v/>
      </c>
    </row>
    <row r="3463">
      <c r="G3463" s="16" t="str">
        <f>IFERROR(__xludf.DUMMYFUNCTION("""COMPUTED_VALUE"""),"")</f>
        <v/>
      </c>
    </row>
    <row r="3464">
      <c r="G3464" s="16" t="str">
        <f>IFERROR(__xludf.DUMMYFUNCTION("""COMPUTED_VALUE"""),"")</f>
        <v/>
      </c>
    </row>
    <row r="3465">
      <c r="G3465" s="16" t="str">
        <f>IFERROR(__xludf.DUMMYFUNCTION("""COMPUTED_VALUE"""),"")</f>
        <v/>
      </c>
    </row>
    <row r="3466">
      <c r="G3466" s="16" t="str">
        <f>IFERROR(__xludf.DUMMYFUNCTION("""COMPUTED_VALUE"""),"")</f>
        <v/>
      </c>
    </row>
    <row r="3467">
      <c r="G3467" s="16" t="str">
        <f>IFERROR(__xludf.DUMMYFUNCTION("""COMPUTED_VALUE"""),"")</f>
        <v/>
      </c>
    </row>
    <row r="3468">
      <c r="G3468" s="16" t="str">
        <f>IFERROR(__xludf.DUMMYFUNCTION("""COMPUTED_VALUE"""),"")</f>
        <v/>
      </c>
    </row>
    <row r="3469">
      <c r="G3469" s="16" t="str">
        <f>IFERROR(__xludf.DUMMYFUNCTION("""COMPUTED_VALUE"""),"")</f>
        <v/>
      </c>
    </row>
    <row r="3470">
      <c r="G3470" s="16" t="str">
        <f>IFERROR(__xludf.DUMMYFUNCTION("""COMPUTED_VALUE"""),"")</f>
        <v/>
      </c>
    </row>
    <row r="3471">
      <c r="G3471" s="16" t="str">
        <f>IFERROR(__xludf.DUMMYFUNCTION("""COMPUTED_VALUE"""),"")</f>
        <v/>
      </c>
    </row>
    <row r="3472">
      <c r="G3472" s="16" t="str">
        <f>IFERROR(__xludf.DUMMYFUNCTION("""COMPUTED_VALUE"""),"")</f>
        <v/>
      </c>
    </row>
    <row r="3473">
      <c r="G3473" s="16" t="str">
        <f>IFERROR(__xludf.DUMMYFUNCTION("""COMPUTED_VALUE"""),"")</f>
        <v/>
      </c>
    </row>
    <row r="3474">
      <c r="G3474" s="16" t="str">
        <f>IFERROR(__xludf.DUMMYFUNCTION("""COMPUTED_VALUE"""),"")</f>
        <v/>
      </c>
    </row>
    <row r="3475">
      <c r="G3475" s="16" t="str">
        <f>IFERROR(__xludf.DUMMYFUNCTION("""COMPUTED_VALUE"""),"")</f>
        <v/>
      </c>
    </row>
    <row r="3476">
      <c r="G3476" s="16" t="str">
        <f>IFERROR(__xludf.DUMMYFUNCTION("""COMPUTED_VALUE"""),"")</f>
        <v/>
      </c>
    </row>
    <row r="3477">
      <c r="G3477" s="16" t="str">
        <f>IFERROR(__xludf.DUMMYFUNCTION("""COMPUTED_VALUE"""),"")</f>
        <v/>
      </c>
    </row>
    <row r="3478">
      <c r="G3478" s="16" t="str">
        <f>IFERROR(__xludf.DUMMYFUNCTION("""COMPUTED_VALUE"""),"")</f>
        <v/>
      </c>
    </row>
    <row r="3479">
      <c r="G3479" s="16" t="str">
        <f>IFERROR(__xludf.DUMMYFUNCTION("""COMPUTED_VALUE"""),"")</f>
        <v/>
      </c>
    </row>
    <row r="3480">
      <c r="G3480" s="16" t="str">
        <f>IFERROR(__xludf.DUMMYFUNCTION("""COMPUTED_VALUE"""),"")</f>
        <v/>
      </c>
    </row>
    <row r="3481">
      <c r="G3481" s="16" t="str">
        <f>IFERROR(__xludf.DUMMYFUNCTION("""COMPUTED_VALUE"""),"")</f>
        <v/>
      </c>
    </row>
    <row r="3482">
      <c r="G3482" s="16" t="str">
        <f>IFERROR(__xludf.DUMMYFUNCTION("""COMPUTED_VALUE"""),"")</f>
        <v/>
      </c>
    </row>
    <row r="3483">
      <c r="G3483" s="16" t="str">
        <f>IFERROR(__xludf.DUMMYFUNCTION("""COMPUTED_VALUE"""),"")</f>
        <v/>
      </c>
    </row>
    <row r="3484">
      <c r="G3484" s="16" t="str">
        <f>IFERROR(__xludf.DUMMYFUNCTION("""COMPUTED_VALUE"""),"")</f>
        <v/>
      </c>
    </row>
    <row r="3485">
      <c r="G3485" s="16" t="str">
        <f>IFERROR(__xludf.DUMMYFUNCTION("""COMPUTED_VALUE"""),"")</f>
        <v/>
      </c>
    </row>
    <row r="3486">
      <c r="G3486" s="16" t="str">
        <f>IFERROR(__xludf.DUMMYFUNCTION("""COMPUTED_VALUE"""),"")</f>
        <v/>
      </c>
    </row>
    <row r="3487">
      <c r="G3487" s="16" t="str">
        <f>IFERROR(__xludf.DUMMYFUNCTION("""COMPUTED_VALUE"""),"")</f>
        <v/>
      </c>
    </row>
    <row r="3488">
      <c r="G3488" s="16" t="str">
        <f>IFERROR(__xludf.DUMMYFUNCTION("""COMPUTED_VALUE"""),"")</f>
        <v/>
      </c>
    </row>
    <row r="3489">
      <c r="G3489" s="16" t="str">
        <f>IFERROR(__xludf.DUMMYFUNCTION("""COMPUTED_VALUE"""),"")</f>
        <v/>
      </c>
    </row>
    <row r="3490">
      <c r="G3490" s="16" t="str">
        <f>IFERROR(__xludf.DUMMYFUNCTION("""COMPUTED_VALUE"""),"")</f>
        <v/>
      </c>
    </row>
    <row r="3491">
      <c r="G3491" s="16" t="str">
        <f>IFERROR(__xludf.DUMMYFUNCTION("""COMPUTED_VALUE"""),"")</f>
        <v/>
      </c>
    </row>
    <row r="3492">
      <c r="G3492" s="16" t="str">
        <f>IFERROR(__xludf.DUMMYFUNCTION("""COMPUTED_VALUE"""),"")</f>
        <v/>
      </c>
    </row>
    <row r="3493">
      <c r="G3493" s="16" t="str">
        <f>IFERROR(__xludf.DUMMYFUNCTION("""COMPUTED_VALUE"""),"")</f>
        <v/>
      </c>
    </row>
    <row r="3494">
      <c r="G3494" s="16" t="str">
        <f>IFERROR(__xludf.DUMMYFUNCTION("""COMPUTED_VALUE"""),"")</f>
        <v/>
      </c>
    </row>
    <row r="3495">
      <c r="G3495" s="16" t="str">
        <f>IFERROR(__xludf.DUMMYFUNCTION("""COMPUTED_VALUE"""),"")</f>
        <v/>
      </c>
    </row>
    <row r="3496">
      <c r="G3496" s="16" t="str">
        <f>IFERROR(__xludf.DUMMYFUNCTION("""COMPUTED_VALUE"""),"")</f>
        <v/>
      </c>
    </row>
    <row r="3497">
      <c r="G3497" s="16" t="str">
        <f>IFERROR(__xludf.DUMMYFUNCTION("""COMPUTED_VALUE"""),"")</f>
        <v/>
      </c>
    </row>
    <row r="3498">
      <c r="G3498" s="16" t="str">
        <f>IFERROR(__xludf.DUMMYFUNCTION("""COMPUTED_VALUE"""),"")</f>
        <v/>
      </c>
    </row>
    <row r="3499">
      <c r="G3499" s="16" t="str">
        <f>IFERROR(__xludf.DUMMYFUNCTION("""COMPUTED_VALUE"""),"")</f>
        <v/>
      </c>
    </row>
    <row r="3500">
      <c r="G3500" s="16" t="str">
        <f>IFERROR(__xludf.DUMMYFUNCTION("""COMPUTED_VALUE"""),"")</f>
        <v/>
      </c>
    </row>
    <row r="3501">
      <c r="G3501" s="16" t="str">
        <f>IFERROR(__xludf.DUMMYFUNCTION("""COMPUTED_VALUE"""),"")</f>
        <v/>
      </c>
    </row>
    <row r="3502">
      <c r="G3502" s="16" t="str">
        <f>IFERROR(__xludf.DUMMYFUNCTION("""COMPUTED_VALUE"""),"")</f>
        <v/>
      </c>
    </row>
    <row r="3503">
      <c r="G3503" s="16" t="str">
        <f>IFERROR(__xludf.DUMMYFUNCTION("""COMPUTED_VALUE"""),"")</f>
        <v/>
      </c>
    </row>
    <row r="3504">
      <c r="G3504" s="16" t="str">
        <f>IFERROR(__xludf.DUMMYFUNCTION("""COMPUTED_VALUE"""),"")</f>
        <v/>
      </c>
    </row>
    <row r="3505">
      <c r="G3505" s="16" t="str">
        <f>IFERROR(__xludf.DUMMYFUNCTION("""COMPUTED_VALUE"""),"")</f>
        <v/>
      </c>
    </row>
    <row r="3506">
      <c r="G3506" s="16" t="str">
        <f>IFERROR(__xludf.DUMMYFUNCTION("""COMPUTED_VALUE"""),"")</f>
        <v/>
      </c>
    </row>
    <row r="3507">
      <c r="G3507" s="16" t="str">
        <f>IFERROR(__xludf.DUMMYFUNCTION("""COMPUTED_VALUE"""),"")</f>
        <v/>
      </c>
    </row>
    <row r="3508">
      <c r="G3508" s="16" t="str">
        <f>IFERROR(__xludf.DUMMYFUNCTION("""COMPUTED_VALUE"""),"")</f>
        <v/>
      </c>
    </row>
    <row r="3509">
      <c r="G3509" s="16" t="str">
        <f>IFERROR(__xludf.DUMMYFUNCTION("""COMPUTED_VALUE"""),"")</f>
        <v/>
      </c>
    </row>
    <row r="3510">
      <c r="G3510" s="16" t="str">
        <f>IFERROR(__xludf.DUMMYFUNCTION("""COMPUTED_VALUE"""),"")</f>
        <v/>
      </c>
    </row>
    <row r="3511">
      <c r="G3511" s="16" t="str">
        <f>IFERROR(__xludf.DUMMYFUNCTION("""COMPUTED_VALUE"""),"")</f>
        <v/>
      </c>
    </row>
    <row r="3512">
      <c r="G3512" s="16" t="str">
        <f>IFERROR(__xludf.DUMMYFUNCTION("""COMPUTED_VALUE"""),"")</f>
        <v/>
      </c>
    </row>
    <row r="3513">
      <c r="G3513" s="16" t="str">
        <f>IFERROR(__xludf.DUMMYFUNCTION("""COMPUTED_VALUE"""),"")</f>
        <v/>
      </c>
    </row>
    <row r="3514">
      <c r="G3514" s="16" t="str">
        <f>IFERROR(__xludf.DUMMYFUNCTION("""COMPUTED_VALUE"""),"")</f>
        <v/>
      </c>
    </row>
    <row r="3515">
      <c r="G3515" s="16" t="str">
        <f>IFERROR(__xludf.DUMMYFUNCTION("""COMPUTED_VALUE"""),"")</f>
        <v/>
      </c>
    </row>
    <row r="3516">
      <c r="G3516" s="16" t="str">
        <f>IFERROR(__xludf.DUMMYFUNCTION("""COMPUTED_VALUE"""),"")</f>
        <v/>
      </c>
    </row>
    <row r="3517">
      <c r="G3517" s="16" t="str">
        <f>IFERROR(__xludf.DUMMYFUNCTION("""COMPUTED_VALUE"""),"")</f>
        <v/>
      </c>
    </row>
    <row r="3518">
      <c r="G3518" s="16" t="str">
        <f>IFERROR(__xludf.DUMMYFUNCTION("""COMPUTED_VALUE"""),"")</f>
        <v/>
      </c>
    </row>
    <row r="3519">
      <c r="G3519" s="16" t="str">
        <f>IFERROR(__xludf.DUMMYFUNCTION("""COMPUTED_VALUE"""),"")</f>
        <v/>
      </c>
    </row>
    <row r="3520">
      <c r="G3520" s="16" t="str">
        <f>IFERROR(__xludf.DUMMYFUNCTION("""COMPUTED_VALUE"""),"")</f>
        <v/>
      </c>
    </row>
    <row r="3521">
      <c r="G3521" s="16" t="str">
        <f>IFERROR(__xludf.DUMMYFUNCTION("""COMPUTED_VALUE"""),"")</f>
        <v/>
      </c>
    </row>
    <row r="3522">
      <c r="G3522" s="16" t="str">
        <f>IFERROR(__xludf.DUMMYFUNCTION("""COMPUTED_VALUE"""),"")</f>
        <v/>
      </c>
    </row>
    <row r="3523">
      <c r="G3523" s="16" t="str">
        <f>IFERROR(__xludf.DUMMYFUNCTION("""COMPUTED_VALUE"""),"")</f>
        <v/>
      </c>
    </row>
    <row r="3524">
      <c r="G3524" s="16" t="str">
        <f>IFERROR(__xludf.DUMMYFUNCTION("""COMPUTED_VALUE"""),"")</f>
        <v/>
      </c>
    </row>
    <row r="3525">
      <c r="G3525" s="16" t="str">
        <f>IFERROR(__xludf.DUMMYFUNCTION("""COMPUTED_VALUE"""),"")</f>
        <v/>
      </c>
    </row>
    <row r="3526">
      <c r="G3526" s="16" t="str">
        <f>IFERROR(__xludf.DUMMYFUNCTION("""COMPUTED_VALUE"""),"")</f>
        <v/>
      </c>
    </row>
    <row r="3527">
      <c r="G3527" s="16" t="str">
        <f>IFERROR(__xludf.DUMMYFUNCTION("""COMPUTED_VALUE"""),"")</f>
        <v/>
      </c>
    </row>
    <row r="3528">
      <c r="G3528" s="16" t="str">
        <f>IFERROR(__xludf.DUMMYFUNCTION("""COMPUTED_VALUE"""),"")</f>
        <v/>
      </c>
    </row>
    <row r="3529">
      <c r="G3529" s="16" t="str">
        <f>IFERROR(__xludf.DUMMYFUNCTION("""COMPUTED_VALUE"""),"")</f>
        <v/>
      </c>
    </row>
    <row r="3530">
      <c r="G3530" s="16" t="str">
        <f>IFERROR(__xludf.DUMMYFUNCTION("""COMPUTED_VALUE"""),"")</f>
        <v/>
      </c>
    </row>
    <row r="3531">
      <c r="G3531" s="16" t="str">
        <f>IFERROR(__xludf.DUMMYFUNCTION("""COMPUTED_VALUE"""),"")</f>
        <v/>
      </c>
    </row>
    <row r="3532">
      <c r="G3532" s="16" t="str">
        <f>IFERROR(__xludf.DUMMYFUNCTION("""COMPUTED_VALUE"""),"")</f>
        <v/>
      </c>
    </row>
    <row r="3533">
      <c r="G3533" s="16" t="str">
        <f>IFERROR(__xludf.DUMMYFUNCTION("""COMPUTED_VALUE"""),"")</f>
        <v/>
      </c>
    </row>
    <row r="3534">
      <c r="G3534" s="16" t="str">
        <f>IFERROR(__xludf.DUMMYFUNCTION("""COMPUTED_VALUE"""),"")</f>
        <v/>
      </c>
    </row>
    <row r="3535">
      <c r="G3535" s="16" t="str">
        <f>IFERROR(__xludf.DUMMYFUNCTION("""COMPUTED_VALUE"""),"")</f>
        <v/>
      </c>
    </row>
    <row r="3536">
      <c r="G3536" s="16" t="str">
        <f>IFERROR(__xludf.DUMMYFUNCTION("""COMPUTED_VALUE"""),"")</f>
        <v/>
      </c>
    </row>
    <row r="3537">
      <c r="G3537" s="16" t="str">
        <f>IFERROR(__xludf.DUMMYFUNCTION("""COMPUTED_VALUE"""),"")</f>
        <v/>
      </c>
    </row>
    <row r="3538">
      <c r="G3538" s="16" t="str">
        <f>IFERROR(__xludf.DUMMYFUNCTION("""COMPUTED_VALUE"""),"")</f>
        <v/>
      </c>
    </row>
    <row r="3539">
      <c r="G3539" s="16" t="str">
        <f>IFERROR(__xludf.DUMMYFUNCTION("""COMPUTED_VALUE"""),"")</f>
        <v/>
      </c>
    </row>
    <row r="3540">
      <c r="G3540" s="16" t="str">
        <f>IFERROR(__xludf.DUMMYFUNCTION("""COMPUTED_VALUE"""),"")</f>
        <v/>
      </c>
    </row>
    <row r="3541">
      <c r="G3541" s="16" t="str">
        <f>IFERROR(__xludf.DUMMYFUNCTION("""COMPUTED_VALUE"""),"")</f>
        <v/>
      </c>
    </row>
    <row r="3542">
      <c r="G3542" s="16" t="str">
        <f>IFERROR(__xludf.DUMMYFUNCTION("""COMPUTED_VALUE"""),"")</f>
        <v/>
      </c>
    </row>
    <row r="3543">
      <c r="G3543" s="16" t="str">
        <f>IFERROR(__xludf.DUMMYFUNCTION("""COMPUTED_VALUE"""),"")</f>
        <v/>
      </c>
    </row>
    <row r="3544">
      <c r="G3544" s="16" t="str">
        <f>IFERROR(__xludf.DUMMYFUNCTION("""COMPUTED_VALUE"""),"")</f>
        <v/>
      </c>
    </row>
    <row r="3545">
      <c r="G3545" s="16" t="str">
        <f>IFERROR(__xludf.DUMMYFUNCTION("""COMPUTED_VALUE"""),"")</f>
        <v/>
      </c>
    </row>
    <row r="3546">
      <c r="G3546" s="16" t="str">
        <f>IFERROR(__xludf.DUMMYFUNCTION("""COMPUTED_VALUE"""),"")</f>
        <v/>
      </c>
    </row>
    <row r="3547">
      <c r="G3547" s="16" t="str">
        <f>IFERROR(__xludf.DUMMYFUNCTION("""COMPUTED_VALUE"""),"")</f>
        <v/>
      </c>
    </row>
    <row r="3548">
      <c r="G3548" s="16" t="str">
        <f>IFERROR(__xludf.DUMMYFUNCTION("""COMPUTED_VALUE"""),"")</f>
        <v/>
      </c>
    </row>
    <row r="3549">
      <c r="G3549" s="16" t="str">
        <f>IFERROR(__xludf.DUMMYFUNCTION("""COMPUTED_VALUE"""),"")</f>
        <v/>
      </c>
    </row>
    <row r="3550">
      <c r="G3550" s="16" t="str">
        <f>IFERROR(__xludf.DUMMYFUNCTION("""COMPUTED_VALUE"""),"")</f>
        <v/>
      </c>
    </row>
    <row r="3551">
      <c r="G3551" s="16" t="str">
        <f>IFERROR(__xludf.DUMMYFUNCTION("""COMPUTED_VALUE"""),"")</f>
        <v/>
      </c>
    </row>
    <row r="3552">
      <c r="G3552" s="16" t="str">
        <f>IFERROR(__xludf.DUMMYFUNCTION("""COMPUTED_VALUE"""),"")</f>
        <v/>
      </c>
    </row>
    <row r="3553">
      <c r="G3553" s="16" t="str">
        <f>IFERROR(__xludf.DUMMYFUNCTION("""COMPUTED_VALUE"""),"")</f>
        <v/>
      </c>
    </row>
    <row r="3554">
      <c r="G3554" s="16" t="str">
        <f>IFERROR(__xludf.DUMMYFUNCTION("""COMPUTED_VALUE"""),"")</f>
        <v/>
      </c>
    </row>
    <row r="3555">
      <c r="G3555" s="16" t="str">
        <f>IFERROR(__xludf.DUMMYFUNCTION("""COMPUTED_VALUE"""),"")</f>
        <v/>
      </c>
    </row>
    <row r="3556">
      <c r="G3556" s="16" t="str">
        <f>IFERROR(__xludf.DUMMYFUNCTION("""COMPUTED_VALUE"""),"")</f>
        <v/>
      </c>
    </row>
    <row r="3557">
      <c r="G3557" s="16" t="str">
        <f>IFERROR(__xludf.DUMMYFUNCTION("""COMPUTED_VALUE"""),"")</f>
        <v/>
      </c>
    </row>
    <row r="3558">
      <c r="G3558" s="16" t="str">
        <f>IFERROR(__xludf.DUMMYFUNCTION("""COMPUTED_VALUE"""),"")</f>
        <v/>
      </c>
    </row>
    <row r="3559">
      <c r="G3559" s="16" t="str">
        <f>IFERROR(__xludf.DUMMYFUNCTION("""COMPUTED_VALUE"""),"")</f>
        <v/>
      </c>
    </row>
    <row r="3560">
      <c r="G3560" s="16" t="str">
        <f>IFERROR(__xludf.DUMMYFUNCTION("""COMPUTED_VALUE"""),"")</f>
        <v/>
      </c>
    </row>
    <row r="3561">
      <c r="G3561" s="16" t="str">
        <f>IFERROR(__xludf.DUMMYFUNCTION("""COMPUTED_VALUE"""),"")</f>
        <v/>
      </c>
    </row>
    <row r="3562">
      <c r="G3562" s="16" t="str">
        <f>IFERROR(__xludf.DUMMYFUNCTION("""COMPUTED_VALUE"""),"")</f>
        <v/>
      </c>
    </row>
    <row r="3563">
      <c r="G3563" s="16" t="str">
        <f>IFERROR(__xludf.DUMMYFUNCTION("""COMPUTED_VALUE"""),"")</f>
        <v/>
      </c>
    </row>
    <row r="3564">
      <c r="G3564" s="16" t="str">
        <f>IFERROR(__xludf.DUMMYFUNCTION("""COMPUTED_VALUE"""),"")</f>
        <v/>
      </c>
    </row>
    <row r="3565">
      <c r="G3565" s="16" t="str">
        <f>IFERROR(__xludf.DUMMYFUNCTION("""COMPUTED_VALUE"""),"")</f>
        <v/>
      </c>
    </row>
    <row r="3566">
      <c r="G3566" s="16" t="str">
        <f>IFERROR(__xludf.DUMMYFUNCTION("""COMPUTED_VALUE"""),"")</f>
        <v/>
      </c>
    </row>
    <row r="3567">
      <c r="G3567" s="16" t="str">
        <f>IFERROR(__xludf.DUMMYFUNCTION("""COMPUTED_VALUE"""),"")</f>
        <v/>
      </c>
    </row>
    <row r="3568">
      <c r="G3568" s="16" t="str">
        <f>IFERROR(__xludf.DUMMYFUNCTION("""COMPUTED_VALUE"""),"")</f>
        <v/>
      </c>
    </row>
    <row r="3569">
      <c r="G3569" s="16" t="str">
        <f>IFERROR(__xludf.DUMMYFUNCTION("""COMPUTED_VALUE"""),"")</f>
        <v/>
      </c>
    </row>
    <row r="3570">
      <c r="G3570" s="16" t="str">
        <f>IFERROR(__xludf.DUMMYFUNCTION("""COMPUTED_VALUE"""),"")</f>
        <v/>
      </c>
    </row>
    <row r="3571">
      <c r="G3571" s="16" t="str">
        <f>IFERROR(__xludf.DUMMYFUNCTION("""COMPUTED_VALUE"""),"")</f>
        <v/>
      </c>
    </row>
    <row r="3572">
      <c r="G3572" s="16" t="str">
        <f>IFERROR(__xludf.DUMMYFUNCTION("""COMPUTED_VALUE"""),"")</f>
        <v/>
      </c>
    </row>
    <row r="3573">
      <c r="G3573" s="16" t="str">
        <f>IFERROR(__xludf.DUMMYFUNCTION("""COMPUTED_VALUE"""),"")</f>
        <v/>
      </c>
    </row>
    <row r="3574">
      <c r="G3574" s="16" t="str">
        <f>IFERROR(__xludf.DUMMYFUNCTION("""COMPUTED_VALUE"""),"")</f>
        <v/>
      </c>
    </row>
    <row r="3575">
      <c r="G3575" s="16" t="str">
        <f>IFERROR(__xludf.DUMMYFUNCTION("""COMPUTED_VALUE"""),"")</f>
        <v/>
      </c>
    </row>
    <row r="3576">
      <c r="G3576" s="16" t="str">
        <f>IFERROR(__xludf.DUMMYFUNCTION("""COMPUTED_VALUE"""),"")</f>
        <v/>
      </c>
    </row>
    <row r="3577">
      <c r="G3577" s="16" t="str">
        <f>IFERROR(__xludf.DUMMYFUNCTION("""COMPUTED_VALUE"""),"")</f>
        <v/>
      </c>
    </row>
    <row r="3578">
      <c r="G3578" s="16" t="str">
        <f>IFERROR(__xludf.DUMMYFUNCTION("""COMPUTED_VALUE"""),"")</f>
        <v/>
      </c>
    </row>
    <row r="3579">
      <c r="G3579" s="16" t="str">
        <f>IFERROR(__xludf.DUMMYFUNCTION("""COMPUTED_VALUE"""),"")</f>
        <v/>
      </c>
    </row>
    <row r="3580">
      <c r="G3580" s="16" t="str">
        <f>IFERROR(__xludf.DUMMYFUNCTION("""COMPUTED_VALUE"""),"")</f>
        <v/>
      </c>
    </row>
    <row r="3581">
      <c r="G3581" s="16" t="str">
        <f>IFERROR(__xludf.DUMMYFUNCTION("""COMPUTED_VALUE"""),"")</f>
        <v/>
      </c>
    </row>
    <row r="3582">
      <c r="G3582" s="16" t="str">
        <f>IFERROR(__xludf.DUMMYFUNCTION("""COMPUTED_VALUE"""),"")</f>
        <v/>
      </c>
    </row>
    <row r="3583">
      <c r="G3583" s="16" t="str">
        <f>IFERROR(__xludf.DUMMYFUNCTION("""COMPUTED_VALUE"""),"")</f>
        <v/>
      </c>
    </row>
    <row r="3584">
      <c r="G3584" s="16" t="str">
        <f>IFERROR(__xludf.DUMMYFUNCTION("""COMPUTED_VALUE"""),"")</f>
        <v/>
      </c>
    </row>
    <row r="3585">
      <c r="G3585" s="16" t="str">
        <f>IFERROR(__xludf.DUMMYFUNCTION("""COMPUTED_VALUE"""),"")</f>
        <v/>
      </c>
    </row>
    <row r="3586">
      <c r="G3586" s="16" t="str">
        <f>IFERROR(__xludf.DUMMYFUNCTION("""COMPUTED_VALUE"""),"")</f>
        <v/>
      </c>
    </row>
    <row r="3587">
      <c r="G3587" s="16" t="str">
        <f>IFERROR(__xludf.DUMMYFUNCTION("""COMPUTED_VALUE"""),"")</f>
        <v/>
      </c>
    </row>
    <row r="3588">
      <c r="G3588" s="16" t="str">
        <f>IFERROR(__xludf.DUMMYFUNCTION("""COMPUTED_VALUE"""),"")</f>
        <v/>
      </c>
    </row>
    <row r="3589">
      <c r="G3589" s="16" t="str">
        <f>IFERROR(__xludf.DUMMYFUNCTION("""COMPUTED_VALUE"""),"")</f>
        <v/>
      </c>
    </row>
    <row r="3590">
      <c r="G3590" s="16" t="str">
        <f>IFERROR(__xludf.DUMMYFUNCTION("""COMPUTED_VALUE"""),"")</f>
        <v/>
      </c>
    </row>
    <row r="3591">
      <c r="G3591" s="16" t="str">
        <f>IFERROR(__xludf.DUMMYFUNCTION("""COMPUTED_VALUE"""),"")</f>
        <v/>
      </c>
    </row>
    <row r="3592">
      <c r="G3592" s="16" t="str">
        <f>IFERROR(__xludf.DUMMYFUNCTION("""COMPUTED_VALUE"""),"")</f>
        <v/>
      </c>
    </row>
    <row r="3593">
      <c r="G3593" s="16" t="str">
        <f>IFERROR(__xludf.DUMMYFUNCTION("""COMPUTED_VALUE"""),"")</f>
        <v/>
      </c>
    </row>
    <row r="3594">
      <c r="G3594" s="16" t="str">
        <f>IFERROR(__xludf.DUMMYFUNCTION("""COMPUTED_VALUE"""),"")</f>
        <v/>
      </c>
    </row>
    <row r="3595">
      <c r="G3595" s="16" t="str">
        <f>IFERROR(__xludf.DUMMYFUNCTION("""COMPUTED_VALUE"""),"")</f>
        <v/>
      </c>
    </row>
    <row r="3596">
      <c r="G3596" s="16" t="str">
        <f>IFERROR(__xludf.DUMMYFUNCTION("""COMPUTED_VALUE"""),"")</f>
        <v/>
      </c>
    </row>
    <row r="3597">
      <c r="G3597" s="16" t="str">
        <f>IFERROR(__xludf.DUMMYFUNCTION("""COMPUTED_VALUE"""),"")</f>
        <v/>
      </c>
    </row>
    <row r="3598">
      <c r="G3598" s="16" t="str">
        <f>IFERROR(__xludf.DUMMYFUNCTION("""COMPUTED_VALUE"""),"")</f>
        <v/>
      </c>
    </row>
    <row r="3599">
      <c r="G3599" s="16" t="str">
        <f>IFERROR(__xludf.DUMMYFUNCTION("""COMPUTED_VALUE"""),"")</f>
        <v/>
      </c>
    </row>
    <row r="3600">
      <c r="G3600" s="16" t="str">
        <f>IFERROR(__xludf.DUMMYFUNCTION("""COMPUTED_VALUE"""),"")</f>
        <v/>
      </c>
    </row>
    <row r="3601">
      <c r="G3601" s="16" t="str">
        <f>IFERROR(__xludf.DUMMYFUNCTION("""COMPUTED_VALUE"""),"")</f>
        <v/>
      </c>
    </row>
    <row r="3602">
      <c r="G3602" s="16" t="str">
        <f>IFERROR(__xludf.DUMMYFUNCTION("""COMPUTED_VALUE"""),"")</f>
        <v/>
      </c>
    </row>
    <row r="3603">
      <c r="G3603" s="16" t="str">
        <f>IFERROR(__xludf.DUMMYFUNCTION("""COMPUTED_VALUE"""),"")</f>
        <v/>
      </c>
    </row>
    <row r="3604">
      <c r="G3604" s="16" t="str">
        <f>IFERROR(__xludf.DUMMYFUNCTION("""COMPUTED_VALUE"""),"")</f>
        <v/>
      </c>
    </row>
    <row r="3605">
      <c r="G3605" s="16" t="str">
        <f>IFERROR(__xludf.DUMMYFUNCTION("""COMPUTED_VALUE"""),"")</f>
        <v/>
      </c>
    </row>
    <row r="3606">
      <c r="G3606" s="16" t="str">
        <f>IFERROR(__xludf.DUMMYFUNCTION("""COMPUTED_VALUE"""),"")</f>
        <v/>
      </c>
    </row>
    <row r="3607">
      <c r="G3607" s="16" t="str">
        <f>IFERROR(__xludf.DUMMYFUNCTION("""COMPUTED_VALUE"""),"")</f>
        <v/>
      </c>
    </row>
    <row r="3608">
      <c r="G3608" s="16" t="str">
        <f>IFERROR(__xludf.DUMMYFUNCTION("""COMPUTED_VALUE"""),"")</f>
        <v/>
      </c>
    </row>
    <row r="3609">
      <c r="G3609" s="16" t="str">
        <f>IFERROR(__xludf.DUMMYFUNCTION("""COMPUTED_VALUE"""),"")</f>
        <v/>
      </c>
    </row>
    <row r="3610">
      <c r="G3610" s="16" t="str">
        <f>IFERROR(__xludf.DUMMYFUNCTION("""COMPUTED_VALUE"""),"")</f>
        <v/>
      </c>
    </row>
    <row r="3611">
      <c r="G3611" s="16" t="str">
        <f>IFERROR(__xludf.DUMMYFUNCTION("""COMPUTED_VALUE"""),"")</f>
        <v/>
      </c>
    </row>
    <row r="3612">
      <c r="G3612" s="16" t="str">
        <f>IFERROR(__xludf.DUMMYFUNCTION("""COMPUTED_VALUE"""),"")</f>
        <v/>
      </c>
    </row>
    <row r="3613">
      <c r="G3613" s="16" t="str">
        <f>IFERROR(__xludf.DUMMYFUNCTION("""COMPUTED_VALUE"""),"")</f>
        <v/>
      </c>
    </row>
    <row r="3614">
      <c r="G3614" s="16" t="str">
        <f>IFERROR(__xludf.DUMMYFUNCTION("""COMPUTED_VALUE"""),"")</f>
        <v/>
      </c>
    </row>
    <row r="3615">
      <c r="G3615" s="16" t="str">
        <f>IFERROR(__xludf.DUMMYFUNCTION("""COMPUTED_VALUE"""),"")</f>
        <v/>
      </c>
    </row>
    <row r="3616">
      <c r="G3616" s="16" t="str">
        <f>IFERROR(__xludf.DUMMYFUNCTION("""COMPUTED_VALUE"""),"")</f>
        <v/>
      </c>
    </row>
    <row r="3617">
      <c r="G3617" s="16" t="str">
        <f>IFERROR(__xludf.DUMMYFUNCTION("""COMPUTED_VALUE"""),"")</f>
        <v/>
      </c>
    </row>
    <row r="3618">
      <c r="G3618" s="16" t="str">
        <f>IFERROR(__xludf.DUMMYFUNCTION("""COMPUTED_VALUE"""),"")</f>
        <v/>
      </c>
    </row>
    <row r="3619">
      <c r="G3619" s="16" t="str">
        <f>IFERROR(__xludf.DUMMYFUNCTION("""COMPUTED_VALUE"""),"")</f>
        <v/>
      </c>
    </row>
    <row r="3620">
      <c r="G3620" s="16" t="str">
        <f>IFERROR(__xludf.DUMMYFUNCTION("""COMPUTED_VALUE"""),"")</f>
        <v/>
      </c>
    </row>
    <row r="3621">
      <c r="G3621" s="16" t="str">
        <f>IFERROR(__xludf.DUMMYFUNCTION("""COMPUTED_VALUE"""),"")</f>
        <v/>
      </c>
    </row>
    <row r="3622">
      <c r="G3622" s="16" t="str">
        <f>IFERROR(__xludf.DUMMYFUNCTION("""COMPUTED_VALUE"""),"")</f>
        <v/>
      </c>
    </row>
    <row r="3623">
      <c r="G3623" s="16" t="str">
        <f>IFERROR(__xludf.DUMMYFUNCTION("""COMPUTED_VALUE"""),"")</f>
        <v/>
      </c>
    </row>
    <row r="3624">
      <c r="G3624" s="16" t="str">
        <f>IFERROR(__xludf.DUMMYFUNCTION("""COMPUTED_VALUE"""),"")</f>
        <v/>
      </c>
    </row>
    <row r="3625">
      <c r="G3625" s="16" t="str">
        <f>IFERROR(__xludf.DUMMYFUNCTION("""COMPUTED_VALUE"""),"")</f>
        <v/>
      </c>
    </row>
    <row r="3626">
      <c r="G3626" s="16" t="str">
        <f>IFERROR(__xludf.DUMMYFUNCTION("""COMPUTED_VALUE"""),"")</f>
        <v/>
      </c>
    </row>
    <row r="3627">
      <c r="G3627" s="16" t="str">
        <f>IFERROR(__xludf.DUMMYFUNCTION("""COMPUTED_VALUE"""),"")</f>
        <v/>
      </c>
    </row>
    <row r="3628">
      <c r="G3628" s="16" t="str">
        <f>IFERROR(__xludf.DUMMYFUNCTION("""COMPUTED_VALUE"""),"")</f>
        <v/>
      </c>
    </row>
    <row r="3629">
      <c r="G3629" s="16" t="str">
        <f>IFERROR(__xludf.DUMMYFUNCTION("""COMPUTED_VALUE"""),"")</f>
        <v/>
      </c>
    </row>
    <row r="3630">
      <c r="G3630" s="16" t="str">
        <f>IFERROR(__xludf.DUMMYFUNCTION("""COMPUTED_VALUE"""),"")</f>
        <v/>
      </c>
    </row>
    <row r="3631">
      <c r="G3631" s="16" t="str">
        <f>IFERROR(__xludf.DUMMYFUNCTION("""COMPUTED_VALUE"""),"")</f>
        <v/>
      </c>
    </row>
    <row r="3632">
      <c r="G3632" s="16" t="str">
        <f>IFERROR(__xludf.DUMMYFUNCTION("""COMPUTED_VALUE"""),"")</f>
        <v/>
      </c>
    </row>
    <row r="3633">
      <c r="G3633" s="16" t="str">
        <f>IFERROR(__xludf.DUMMYFUNCTION("""COMPUTED_VALUE"""),"")</f>
        <v/>
      </c>
    </row>
    <row r="3634">
      <c r="G3634" s="16" t="str">
        <f>IFERROR(__xludf.DUMMYFUNCTION("""COMPUTED_VALUE"""),"")</f>
        <v/>
      </c>
    </row>
    <row r="3635">
      <c r="G3635" s="16" t="str">
        <f>IFERROR(__xludf.DUMMYFUNCTION("""COMPUTED_VALUE"""),"")</f>
        <v/>
      </c>
    </row>
    <row r="3636">
      <c r="G3636" s="16" t="str">
        <f>IFERROR(__xludf.DUMMYFUNCTION("""COMPUTED_VALUE"""),"")</f>
        <v/>
      </c>
    </row>
    <row r="3637">
      <c r="G3637" s="16" t="str">
        <f>IFERROR(__xludf.DUMMYFUNCTION("""COMPUTED_VALUE"""),"")</f>
        <v/>
      </c>
    </row>
    <row r="3638">
      <c r="G3638" s="16" t="str">
        <f>IFERROR(__xludf.DUMMYFUNCTION("""COMPUTED_VALUE"""),"")</f>
        <v/>
      </c>
    </row>
    <row r="3639">
      <c r="G3639" s="16" t="str">
        <f>IFERROR(__xludf.DUMMYFUNCTION("""COMPUTED_VALUE"""),"")</f>
        <v/>
      </c>
    </row>
    <row r="3640">
      <c r="G3640" s="16" t="str">
        <f>IFERROR(__xludf.DUMMYFUNCTION("""COMPUTED_VALUE"""),"")</f>
        <v/>
      </c>
    </row>
    <row r="3641">
      <c r="G3641" s="16" t="str">
        <f>IFERROR(__xludf.DUMMYFUNCTION("""COMPUTED_VALUE"""),"")</f>
        <v/>
      </c>
    </row>
    <row r="3642">
      <c r="G3642" s="16" t="str">
        <f>IFERROR(__xludf.DUMMYFUNCTION("""COMPUTED_VALUE"""),"")</f>
        <v/>
      </c>
    </row>
    <row r="3643">
      <c r="G3643" s="16" t="str">
        <f>IFERROR(__xludf.DUMMYFUNCTION("""COMPUTED_VALUE"""),"")</f>
        <v/>
      </c>
    </row>
    <row r="3644">
      <c r="G3644" s="16" t="str">
        <f>IFERROR(__xludf.DUMMYFUNCTION("""COMPUTED_VALUE"""),"")</f>
        <v/>
      </c>
    </row>
    <row r="3645">
      <c r="G3645" s="16" t="str">
        <f>IFERROR(__xludf.DUMMYFUNCTION("""COMPUTED_VALUE"""),"")</f>
        <v/>
      </c>
    </row>
    <row r="3646">
      <c r="G3646" s="16" t="str">
        <f>IFERROR(__xludf.DUMMYFUNCTION("""COMPUTED_VALUE"""),"")</f>
        <v/>
      </c>
    </row>
    <row r="3647">
      <c r="G3647" s="16" t="str">
        <f>IFERROR(__xludf.DUMMYFUNCTION("""COMPUTED_VALUE"""),"")</f>
        <v/>
      </c>
    </row>
    <row r="3648">
      <c r="G3648" s="16" t="str">
        <f>IFERROR(__xludf.DUMMYFUNCTION("""COMPUTED_VALUE"""),"")</f>
        <v/>
      </c>
    </row>
    <row r="3649">
      <c r="G3649" s="16" t="str">
        <f>IFERROR(__xludf.DUMMYFUNCTION("""COMPUTED_VALUE"""),"")</f>
        <v/>
      </c>
    </row>
    <row r="3650">
      <c r="G3650" s="16" t="str">
        <f>IFERROR(__xludf.DUMMYFUNCTION("""COMPUTED_VALUE"""),"")</f>
        <v/>
      </c>
    </row>
    <row r="3651">
      <c r="G3651" s="16" t="str">
        <f>IFERROR(__xludf.DUMMYFUNCTION("""COMPUTED_VALUE"""),"")</f>
        <v/>
      </c>
    </row>
    <row r="3652">
      <c r="G3652" s="16" t="str">
        <f>IFERROR(__xludf.DUMMYFUNCTION("""COMPUTED_VALUE"""),"")</f>
        <v/>
      </c>
    </row>
    <row r="3653">
      <c r="G3653" s="16" t="str">
        <f>IFERROR(__xludf.DUMMYFUNCTION("""COMPUTED_VALUE"""),"")</f>
        <v/>
      </c>
    </row>
    <row r="3654">
      <c r="G3654" s="16" t="str">
        <f>IFERROR(__xludf.DUMMYFUNCTION("""COMPUTED_VALUE"""),"")</f>
        <v/>
      </c>
    </row>
    <row r="3655">
      <c r="G3655" s="16" t="str">
        <f>IFERROR(__xludf.DUMMYFUNCTION("""COMPUTED_VALUE"""),"")</f>
        <v/>
      </c>
    </row>
    <row r="3656">
      <c r="G3656" s="16" t="str">
        <f>IFERROR(__xludf.DUMMYFUNCTION("""COMPUTED_VALUE"""),"")</f>
        <v/>
      </c>
    </row>
    <row r="3657">
      <c r="G3657" s="16" t="str">
        <f>IFERROR(__xludf.DUMMYFUNCTION("""COMPUTED_VALUE"""),"")</f>
        <v/>
      </c>
    </row>
    <row r="3658">
      <c r="G3658" s="16" t="str">
        <f>IFERROR(__xludf.DUMMYFUNCTION("""COMPUTED_VALUE"""),"")</f>
        <v/>
      </c>
    </row>
    <row r="3659">
      <c r="G3659" s="16" t="str">
        <f>IFERROR(__xludf.DUMMYFUNCTION("""COMPUTED_VALUE"""),"")</f>
        <v/>
      </c>
    </row>
    <row r="3660">
      <c r="G3660" s="16" t="str">
        <f>IFERROR(__xludf.DUMMYFUNCTION("""COMPUTED_VALUE"""),"")</f>
        <v/>
      </c>
    </row>
    <row r="3661">
      <c r="G3661" s="16" t="str">
        <f>IFERROR(__xludf.DUMMYFUNCTION("""COMPUTED_VALUE"""),"")</f>
        <v/>
      </c>
    </row>
    <row r="3662">
      <c r="G3662" s="16" t="str">
        <f>IFERROR(__xludf.DUMMYFUNCTION("""COMPUTED_VALUE"""),"")</f>
        <v/>
      </c>
    </row>
    <row r="3663">
      <c r="G3663" s="16" t="str">
        <f>IFERROR(__xludf.DUMMYFUNCTION("""COMPUTED_VALUE"""),"")</f>
        <v/>
      </c>
    </row>
    <row r="3664">
      <c r="G3664" s="16" t="str">
        <f>IFERROR(__xludf.DUMMYFUNCTION("""COMPUTED_VALUE"""),"")</f>
        <v/>
      </c>
    </row>
    <row r="3665">
      <c r="G3665" s="16" t="str">
        <f>IFERROR(__xludf.DUMMYFUNCTION("""COMPUTED_VALUE"""),"")</f>
        <v/>
      </c>
    </row>
    <row r="3666">
      <c r="G3666" s="16" t="str">
        <f>IFERROR(__xludf.DUMMYFUNCTION("""COMPUTED_VALUE"""),"")</f>
        <v/>
      </c>
    </row>
    <row r="3667">
      <c r="G3667" s="16" t="str">
        <f>IFERROR(__xludf.DUMMYFUNCTION("""COMPUTED_VALUE"""),"")</f>
        <v/>
      </c>
    </row>
    <row r="3668">
      <c r="G3668" s="16" t="str">
        <f>IFERROR(__xludf.DUMMYFUNCTION("""COMPUTED_VALUE"""),"")</f>
        <v/>
      </c>
    </row>
    <row r="3669">
      <c r="G3669" s="16" t="str">
        <f>IFERROR(__xludf.DUMMYFUNCTION("""COMPUTED_VALUE"""),"")</f>
        <v/>
      </c>
    </row>
    <row r="3670">
      <c r="G3670" s="16" t="str">
        <f>IFERROR(__xludf.DUMMYFUNCTION("""COMPUTED_VALUE"""),"")</f>
        <v/>
      </c>
    </row>
    <row r="3671">
      <c r="G3671" s="16" t="str">
        <f>IFERROR(__xludf.DUMMYFUNCTION("""COMPUTED_VALUE"""),"")</f>
        <v/>
      </c>
    </row>
    <row r="3672">
      <c r="G3672" s="16" t="str">
        <f>IFERROR(__xludf.DUMMYFUNCTION("""COMPUTED_VALUE"""),"")</f>
        <v/>
      </c>
    </row>
    <row r="3673">
      <c r="G3673" s="16" t="str">
        <f>IFERROR(__xludf.DUMMYFUNCTION("""COMPUTED_VALUE"""),"")</f>
        <v/>
      </c>
    </row>
    <row r="3674">
      <c r="G3674" s="16" t="str">
        <f>IFERROR(__xludf.DUMMYFUNCTION("""COMPUTED_VALUE"""),"")</f>
        <v/>
      </c>
    </row>
    <row r="3675">
      <c r="G3675" s="16" t="str">
        <f>IFERROR(__xludf.DUMMYFUNCTION("""COMPUTED_VALUE"""),"")</f>
        <v/>
      </c>
    </row>
    <row r="3676">
      <c r="G3676" s="16" t="str">
        <f>IFERROR(__xludf.DUMMYFUNCTION("""COMPUTED_VALUE"""),"")</f>
        <v/>
      </c>
    </row>
    <row r="3677">
      <c r="G3677" s="16" t="str">
        <f>IFERROR(__xludf.DUMMYFUNCTION("""COMPUTED_VALUE"""),"")</f>
        <v/>
      </c>
    </row>
    <row r="3678">
      <c r="G3678" s="16" t="str">
        <f>IFERROR(__xludf.DUMMYFUNCTION("""COMPUTED_VALUE"""),"")</f>
        <v/>
      </c>
    </row>
    <row r="3679">
      <c r="G3679" s="16" t="str">
        <f>IFERROR(__xludf.DUMMYFUNCTION("""COMPUTED_VALUE"""),"")</f>
        <v/>
      </c>
    </row>
    <row r="3680">
      <c r="G3680" s="16" t="str">
        <f>IFERROR(__xludf.DUMMYFUNCTION("""COMPUTED_VALUE"""),"")</f>
        <v/>
      </c>
    </row>
    <row r="3681">
      <c r="G3681" s="16" t="str">
        <f>IFERROR(__xludf.DUMMYFUNCTION("""COMPUTED_VALUE"""),"")</f>
        <v/>
      </c>
    </row>
    <row r="3682">
      <c r="G3682" s="16" t="str">
        <f>IFERROR(__xludf.DUMMYFUNCTION("""COMPUTED_VALUE"""),"")</f>
        <v/>
      </c>
    </row>
    <row r="3683">
      <c r="G3683" s="16" t="str">
        <f>IFERROR(__xludf.DUMMYFUNCTION("""COMPUTED_VALUE"""),"")</f>
        <v/>
      </c>
    </row>
    <row r="3684">
      <c r="G3684" s="16" t="str">
        <f>IFERROR(__xludf.DUMMYFUNCTION("""COMPUTED_VALUE"""),"")</f>
        <v/>
      </c>
    </row>
    <row r="3685">
      <c r="G3685" s="16" t="str">
        <f>IFERROR(__xludf.DUMMYFUNCTION("""COMPUTED_VALUE"""),"")</f>
        <v/>
      </c>
    </row>
    <row r="3686">
      <c r="G3686" s="16" t="str">
        <f>IFERROR(__xludf.DUMMYFUNCTION("""COMPUTED_VALUE"""),"")</f>
        <v/>
      </c>
    </row>
    <row r="3687">
      <c r="G3687" s="16" t="str">
        <f>IFERROR(__xludf.DUMMYFUNCTION("""COMPUTED_VALUE"""),"")</f>
        <v/>
      </c>
    </row>
    <row r="3688">
      <c r="G3688" s="16" t="str">
        <f>IFERROR(__xludf.DUMMYFUNCTION("""COMPUTED_VALUE"""),"")</f>
        <v/>
      </c>
    </row>
    <row r="3689">
      <c r="G3689" s="16" t="str">
        <f>IFERROR(__xludf.DUMMYFUNCTION("""COMPUTED_VALUE"""),"")</f>
        <v/>
      </c>
    </row>
    <row r="3690">
      <c r="G3690" s="16" t="str">
        <f>IFERROR(__xludf.DUMMYFUNCTION("""COMPUTED_VALUE"""),"")</f>
        <v/>
      </c>
    </row>
    <row r="3691">
      <c r="G3691" s="16" t="str">
        <f>IFERROR(__xludf.DUMMYFUNCTION("""COMPUTED_VALUE"""),"")</f>
        <v/>
      </c>
    </row>
    <row r="3692">
      <c r="G3692" s="16" t="str">
        <f>IFERROR(__xludf.DUMMYFUNCTION("""COMPUTED_VALUE"""),"")</f>
        <v/>
      </c>
    </row>
    <row r="3693">
      <c r="G3693" s="16" t="str">
        <f>IFERROR(__xludf.DUMMYFUNCTION("""COMPUTED_VALUE"""),"")</f>
        <v/>
      </c>
    </row>
    <row r="3694">
      <c r="G3694" s="16" t="str">
        <f>IFERROR(__xludf.DUMMYFUNCTION("""COMPUTED_VALUE"""),"")</f>
        <v/>
      </c>
    </row>
    <row r="3695">
      <c r="G3695" s="16" t="str">
        <f>IFERROR(__xludf.DUMMYFUNCTION("""COMPUTED_VALUE"""),"")</f>
        <v/>
      </c>
    </row>
    <row r="3696">
      <c r="G3696" s="16" t="str">
        <f>IFERROR(__xludf.DUMMYFUNCTION("""COMPUTED_VALUE"""),"")</f>
        <v/>
      </c>
    </row>
    <row r="3697">
      <c r="G3697" s="16" t="str">
        <f>IFERROR(__xludf.DUMMYFUNCTION("""COMPUTED_VALUE"""),"")</f>
        <v/>
      </c>
    </row>
    <row r="3698">
      <c r="G3698" s="16" t="str">
        <f>IFERROR(__xludf.DUMMYFUNCTION("""COMPUTED_VALUE"""),"")</f>
        <v/>
      </c>
    </row>
    <row r="3699">
      <c r="G3699" s="16" t="str">
        <f>IFERROR(__xludf.DUMMYFUNCTION("""COMPUTED_VALUE"""),"")</f>
        <v/>
      </c>
    </row>
    <row r="3700">
      <c r="G3700" s="16" t="str">
        <f>IFERROR(__xludf.DUMMYFUNCTION("""COMPUTED_VALUE"""),"")</f>
        <v/>
      </c>
    </row>
    <row r="3701">
      <c r="G3701" s="16" t="str">
        <f>IFERROR(__xludf.DUMMYFUNCTION("""COMPUTED_VALUE"""),"")</f>
        <v/>
      </c>
    </row>
    <row r="3702">
      <c r="G3702" s="16" t="str">
        <f>IFERROR(__xludf.DUMMYFUNCTION("""COMPUTED_VALUE"""),"")</f>
        <v/>
      </c>
    </row>
    <row r="3703">
      <c r="G3703" s="16" t="str">
        <f>IFERROR(__xludf.DUMMYFUNCTION("""COMPUTED_VALUE"""),"")</f>
        <v/>
      </c>
    </row>
    <row r="3704">
      <c r="G3704" s="16" t="str">
        <f>IFERROR(__xludf.DUMMYFUNCTION("""COMPUTED_VALUE"""),"")</f>
        <v/>
      </c>
    </row>
    <row r="3705">
      <c r="G3705" s="16" t="str">
        <f>IFERROR(__xludf.DUMMYFUNCTION("""COMPUTED_VALUE"""),"")</f>
        <v/>
      </c>
    </row>
    <row r="3706">
      <c r="G3706" s="16" t="str">
        <f>IFERROR(__xludf.DUMMYFUNCTION("""COMPUTED_VALUE"""),"")</f>
        <v/>
      </c>
    </row>
    <row r="3707">
      <c r="G3707" s="16" t="str">
        <f>IFERROR(__xludf.DUMMYFUNCTION("""COMPUTED_VALUE"""),"")</f>
        <v/>
      </c>
    </row>
    <row r="3708">
      <c r="G3708" s="16" t="str">
        <f>IFERROR(__xludf.DUMMYFUNCTION("""COMPUTED_VALUE"""),"")</f>
        <v/>
      </c>
    </row>
    <row r="3709">
      <c r="G3709" s="16" t="str">
        <f>IFERROR(__xludf.DUMMYFUNCTION("""COMPUTED_VALUE"""),"")</f>
        <v/>
      </c>
    </row>
    <row r="3710">
      <c r="G3710" s="16" t="str">
        <f>IFERROR(__xludf.DUMMYFUNCTION("""COMPUTED_VALUE"""),"")</f>
        <v/>
      </c>
    </row>
    <row r="3711">
      <c r="G3711" s="16" t="str">
        <f>IFERROR(__xludf.DUMMYFUNCTION("""COMPUTED_VALUE"""),"")</f>
        <v/>
      </c>
    </row>
    <row r="3712">
      <c r="G3712" s="16" t="str">
        <f>IFERROR(__xludf.DUMMYFUNCTION("""COMPUTED_VALUE"""),"")</f>
        <v/>
      </c>
    </row>
    <row r="3713">
      <c r="G3713" s="16" t="str">
        <f>IFERROR(__xludf.DUMMYFUNCTION("""COMPUTED_VALUE"""),"")</f>
        <v/>
      </c>
    </row>
    <row r="3714">
      <c r="G3714" s="16" t="str">
        <f>IFERROR(__xludf.DUMMYFUNCTION("""COMPUTED_VALUE"""),"")</f>
        <v/>
      </c>
    </row>
    <row r="3715">
      <c r="G3715" s="16" t="str">
        <f>IFERROR(__xludf.DUMMYFUNCTION("""COMPUTED_VALUE"""),"")</f>
        <v/>
      </c>
    </row>
    <row r="3716">
      <c r="G3716" s="16" t="str">
        <f>IFERROR(__xludf.DUMMYFUNCTION("""COMPUTED_VALUE"""),"")</f>
        <v/>
      </c>
    </row>
    <row r="3717">
      <c r="G3717" s="16" t="str">
        <f>IFERROR(__xludf.DUMMYFUNCTION("""COMPUTED_VALUE"""),"")</f>
        <v/>
      </c>
    </row>
    <row r="3718">
      <c r="G3718" s="16" t="str">
        <f>IFERROR(__xludf.DUMMYFUNCTION("""COMPUTED_VALUE"""),"")</f>
        <v/>
      </c>
    </row>
    <row r="3719">
      <c r="G3719" s="16" t="str">
        <f>IFERROR(__xludf.DUMMYFUNCTION("""COMPUTED_VALUE"""),"")</f>
        <v/>
      </c>
    </row>
    <row r="3720">
      <c r="G3720" s="16" t="str">
        <f>IFERROR(__xludf.DUMMYFUNCTION("""COMPUTED_VALUE"""),"")</f>
        <v/>
      </c>
    </row>
    <row r="3721">
      <c r="G3721" s="16" t="str">
        <f>IFERROR(__xludf.DUMMYFUNCTION("""COMPUTED_VALUE"""),"")</f>
        <v/>
      </c>
    </row>
    <row r="3722">
      <c r="G3722" s="16" t="str">
        <f>IFERROR(__xludf.DUMMYFUNCTION("""COMPUTED_VALUE"""),"")</f>
        <v/>
      </c>
    </row>
    <row r="3723">
      <c r="G3723" s="16" t="str">
        <f>IFERROR(__xludf.DUMMYFUNCTION("""COMPUTED_VALUE"""),"")</f>
        <v/>
      </c>
    </row>
    <row r="3724">
      <c r="G3724" s="16" t="str">
        <f>IFERROR(__xludf.DUMMYFUNCTION("""COMPUTED_VALUE"""),"")</f>
        <v/>
      </c>
    </row>
    <row r="3725">
      <c r="G3725" s="16" t="str">
        <f>IFERROR(__xludf.DUMMYFUNCTION("""COMPUTED_VALUE"""),"")</f>
        <v/>
      </c>
    </row>
    <row r="3726">
      <c r="G3726" s="16" t="str">
        <f>IFERROR(__xludf.DUMMYFUNCTION("""COMPUTED_VALUE"""),"")</f>
        <v/>
      </c>
    </row>
    <row r="3727">
      <c r="G3727" s="16" t="str">
        <f>IFERROR(__xludf.DUMMYFUNCTION("""COMPUTED_VALUE"""),"")</f>
        <v/>
      </c>
    </row>
    <row r="3728">
      <c r="G3728" s="16" t="str">
        <f>IFERROR(__xludf.DUMMYFUNCTION("""COMPUTED_VALUE"""),"")</f>
        <v/>
      </c>
    </row>
    <row r="3729">
      <c r="G3729" s="16" t="str">
        <f>IFERROR(__xludf.DUMMYFUNCTION("""COMPUTED_VALUE"""),"")</f>
        <v/>
      </c>
    </row>
    <row r="3730">
      <c r="G3730" s="16" t="str">
        <f>IFERROR(__xludf.DUMMYFUNCTION("""COMPUTED_VALUE"""),"")</f>
        <v/>
      </c>
    </row>
    <row r="3731">
      <c r="G3731" s="16" t="str">
        <f>IFERROR(__xludf.DUMMYFUNCTION("""COMPUTED_VALUE"""),"")</f>
        <v/>
      </c>
    </row>
    <row r="3732">
      <c r="G3732" s="16" t="str">
        <f>IFERROR(__xludf.DUMMYFUNCTION("""COMPUTED_VALUE"""),"")</f>
        <v/>
      </c>
    </row>
    <row r="3733">
      <c r="G3733" s="16" t="str">
        <f>IFERROR(__xludf.DUMMYFUNCTION("""COMPUTED_VALUE"""),"")</f>
        <v/>
      </c>
    </row>
    <row r="3734">
      <c r="G3734" s="16" t="str">
        <f>IFERROR(__xludf.DUMMYFUNCTION("""COMPUTED_VALUE"""),"")</f>
        <v/>
      </c>
    </row>
    <row r="3735">
      <c r="G3735" s="16" t="str">
        <f>IFERROR(__xludf.DUMMYFUNCTION("""COMPUTED_VALUE"""),"")</f>
        <v/>
      </c>
    </row>
    <row r="3736">
      <c r="G3736" s="16" t="str">
        <f>IFERROR(__xludf.DUMMYFUNCTION("""COMPUTED_VALUE"""),"")</f>
        <v/>
      </c>
    </row>
    <row r="3737">
      <c r="G3737" s="16" t="str">
        <f>IFERROR(__xludf.DUMMYFUNCTION("""COMPUTED_VALUE"""),"")</f>
        <v/>
      </c>
    </row>
    <row r="3738">
      <c r="G3738" s="16" t="str">
        <f>IFERROR(__xludf.DUMMYFUNCTION("""COMPUTED_VALUE"""),"")</f>
        <v/>
      </c>
    </row>
    <row r="3739">
      <c r="G3739" s="16" t="str">
        <f>IFERROR(__xludf.DUMMYFUNCTION("""COMPUTED_VALUE"""),"")</f>
        <v/>
      </c>
    </row>
    <row r="3740">
      <c r="G3740" s="16" t="str">
        <f>IFERROR(__xludf.DUMMYFUNCTION("""COMPUTED_VALUE"""),"")</f>
        <v/>
      </c>
    </row>
    <row r="3741">
      <c r="G3741" s="16" t="str">
        <f>IFERROR(__xludf.DUMMYFUNCTION("""COMPUTED_VALUE"""),"")</f>
        <v/>
      </c>
    </row>
    <row r="3742">
      <c r="G3742" s="16" t="str">
        <f>IFERROR(__xludf.DUMMYFUNCTION("""COMPUTED_VALUE"""),"")</f>
        <v/>
      </c>
    </row>
    <row r="3743">
      <c r="G3743" s="16" t="str">
        <f>IFERROR(__xludf.DUMMYFUNCTION("""COMPUTED_VALUE"""),"")</f>
        <v/>
      </c>
    </row>
    <row r="3744">
      <c r="G3744" s="16" t="str">
        <f>IFERROR(__xludf.DUMMYFUNCTION("""COMPUTED_VALUE"""),"")</f>
        <v/>
      </c>
    </row>
    <row r="3745">
      <c r="G3745" s="16" t="str">
        <f>IFERROR(__xludf.DUMMYFUNCTION("""COMPUTED_VALUE"""),"")</f>
        <v/>
      </c>
    </row>
    <row r="3746">
      <c r="G3746" s="16" t="str">
        <f>IFERROR(__xludf.DUMMYFUNCTION("""COMPUTED_VALUE"""),"")</f>
        <v/>
      </c>
    </row>
    <row r="3747">
      <c r="G3747" s="16" t="str">
        <f>IFERROR(__xludf.DUMMYFUNCTION("""COMPUTED_VALUE"""),"")</f>
        <v/>
      </c>
    </row>
    <row r="3748">
      <c r="G3748" s="16" t="str">
        <f>IFERROR(__xludf.DUMMYFUNCTION("""COMPUTED_VALUE"""),"")</f>
        <v/>
      </c>
    </row>
    <row r="3749">
      <c r="G3749" s="16" t="str">
        <f>IFERROR(__xludf.DUMMYFUNCTION("""COMPUTED_VALUE"""),"")</f>
        <v/>
      </c>
    </row>
    <row r="3750">
      <c r="G3750" s="16" t="str">
        <f>IFERROR(__xludf.DUMMYFUNCTION("""COMPUTED_VALUE"""),"")</f>
        <v/>
      </c>
    </row>
    <row r="3751">
      <c r="G3751" s="16" t="str">
        <f>IFERROR(__xludf.DUMMYFUNCTION("""COMPUTED_VALUE"""),"")</f>
        <v/>
      </c>
    </row>
    <row r="3752">
      <c r="G3752" s="16" t="str">
        <f>IFERROR(__xludf.DUMMYFUNCTION("""COMPUTED_VALUE"""),"")</f>
        <v/>
      </c>
    </row>
    <row r="3753">
      <c r="G3753" s="16" t="str">
        <f>IFERROR(__xludf.DUMMYFUNCTION("""COMPUTED_VALUE"""),"")</f>
        <v/>
      </c>
    </row>
    <row r="3754">
      <c r="G3754" s="16" t="str">
        <f>IFERROR(__xludf.DUMMYFUNCTION("""COMPUTED_VALUE"""),"")</f>
        <v/>
      </c>
    </row>
    <row r="3755">
      <c r="G3755" s="16" t="str">
        <f>IFERROR(__xludf.DUMMYFUNCTION("""COMPUTED_VALUE"""),"")</f>
        <v/>
      </c>
    </row>
    <row r="3756">
      <c r="G3756" s="16" t="str">
        <f>IFERROR(__xludf.DUMMYFUNCTION("""COMPUTED_VALUE"""),"")</f>
        <v/>
      </c>
    </row>
    <row r="3757">
      <c r="G3757" s="16" t="str">
        <f>IFERROR(__xludf.DUMMYFUNCTION("""COMPUTED_VALUE"""),"")</f>
        <v/>
      </c>
    </row>
    <row r="3758">
      <c r="G3758" s="16" t="str">
        <f>IFERROR(__xludf.DUMMYFUNCTION("""COMPUTED_VALUE"""),"")</f>
        <v/>
      </c>
    </row>
    <row r="3759">
      <c r="G3759" s="16" t="str">
        <f>IFERROR(__xludf.DUMMYFUNCTION("""COMPUTED_VALUE"""),"")</f>
        <v/>
      </c>
    </row>
    <row r="3760">
      <c r="G3760" s="16" t="str">
        <f>IFERROR(__xludf.DUMMYFUNCTION("""COMPUTED_VALUE"""),"")</f>
        <v/>
      </c>
    </row>
    <row r="3761">
      <c r="G3761" s="16" t="str">
        <f>IFERROR(__xludf.DUMMYFUNCTION("""COMPUTED_VALUE"""),"")</f>
        <v/>
      </c>
    </row>
    <row r="3762">
      <c r="G3762" s="16" t="str">
        <f>IFERROR(__xludf.DUMMYFUNCTION("""COMPUTED_VALUE"""),"")</f>
        <v/>
      </c>
    </row>
    <row r="3763">
      <c r="G3763" s="16" t="str">
        <f>IFERROR(__xludf.DUMMYFUNCTION("""COMPUTED_VALUE"""),"")</f>
        <v/>
      </c>
    </row>
    <row r="3764">
      <c r="G3764" s="16" t="str">
        <f>IFERROR(__xludf.DUMMYFUNCTION("""COMPUTED_VALUE"""),"")</f>
        <v/>
      </c>
    </row>
    <row r="3765">
      <c r="G3765" s="16" t="str">
        <f>IFERROR(__xludf.DUMMYFUNCTION("""COMPUTED_VALUE"""),"")</f>
        <v/>
      </c>
    </row>
    <row r="3766">
      <c r="G3766" s="16" t="str">
        <f>IFERROR(__xludf.DUMMYFUNCTION("""COMPUTED_VALUE"""),"")</f>
        <v/>
      </c>
    </row>
    <row r="3767">
      <c r="G3767" s="16" t="str">
        <f>IFERROR(__xludf.DUMMYFUNCTION("""COMPUTED_VALUE"""),"")</f>
        <v/>
      </c>
    </row>
    <row r="3768">
      <c r="G3768" s="16" t="str">
        <f>IFERROR(__xludf.DUMMYFUNCTION("""COMPUTED_VALUE"""),"")</f>
        <v/>
      </c>
    </row>
    <row r="3769">
      <c r="G3769" s="16" t="str">
        <f>IFERROR(__xludf.DUMMYFUNCTION("""COMPUTED_VALUE"""),"")</f>
        <v/>
      </c>
    </row>
    <row r="3770">
      <c r="G3770" s="16" t="str">
        <f>IFERROR(__xludf.DUMMYFUNCTION("""COMPUTED_VALUE"""),"")</f>
        <v/>
      </c>
    </row>
    <row r="3771">
      <c r="G3771" s="16" t="str">
        <f>IFERROR(__xludf.DUMMYFUNCTION("""COMPUTED_VALUE"""),"")</f>
        <v/>
      </c>
    </row>
    <row r="3772">
      <c r="G3772" s="16" t="str">
        <f>IFERROR(__xludf.DUMMYFUNCTION("""COMPUTED_VALUE"""),"")</f>
        <v/>
      </c>
    </row>
    <row r="3773">
      <c r="G3773" s="16" t="str">
        <f>IFERROR(__xludf.DUMMYFUNCTION("""COMPUTED_VALUE"""),"")</f>
        <v/>
      </c>
    </row>
    <row r="3774">
      <c r="G3774" s="16" t="str">
        <f>IFERROR(__xludf.DUMMYFUNCTION("""COMPUTED_VALUE"""),"")</f>
        <v/>
      </c>
    </row>
    <row r="3775">
      <c r="G3775" s="16" t="str">
        <f>IFERROR(__xludf.DUMMYFUNCTION("""COMPUTED_VALUE"""),"")</f>
        <v/>
      </c>
    </row>
    <row r="3776">
      <c r="G3776" s="16" t="str">
        <f>IFERROR(__xludf.DUMMYFUNCTION("""COMPUTED_VALUE"""),"")</f>
        <v/>
      </c>
    </row>
    <row r="3777">
      <c r="G3777" s="16" t="str">
        <f>IFERROR(__xludf.DUMMYFUNCTION("""COMPUTED_VALUE"""),"")</f>
        <v/>
      </c>
    </row>
    <row r="3778">
      <c r="G3778" s="16" t="str">
        <f>IFERROR(__xludf.DUMMYFUNCTION("""COMPUTED_VALUE"""),"")</f>
        <v/>
      </c>
    </row>
    <row r="3779">
      <c r="G3779" s="16" t="str">
        <f>IFERROR(__xludf.DUMMYFUNCTION("""COMPUTED_VALUE"""),"")</f>
        <v/>
      </c>
    </row>
    <row r="3780">
      <c r="G3780" s="16" t="str">
        <f>IFERROR(__xludf.DUMMYFUNCTION("""COMPUTED_VALUE"""),"")</f>
        <v/>
      </c>
    </row>
    <row r="3781">
      <c r="G3781" s="16" t="str">
        <f>IFERROR(__xludf.DUMMYFUNCTION("""COMPUTED_VALUE"""),"")</f>
        <v/>
      </c>
    </row>
    <row r="3782">
      <c r="G3782" s="16" t="str">
        <f>IFERROR(__xludf.DUMMYFUNCTION("""COMPUTED_VALUE"""),"")</f>
        <v/>
      </c>
    </row>
    <row r="3783">
      <c r="G3783" s="16" t="str">
        <f>IFERROR(__xludf.DUMMYFUNCTION("""COMPUTED_VALUE"""),"")</f>
        <v/>
      </c>
    </row>
    <row r="3784">
      <c r="G3784" s="16" t="str">
        <f>IFERROR(__xludf.DUMMYFUNCTION("""COMPUTED_VALUE"""),"")</f>
        <v/>
      </c>
    </row>
    <row r="3785">
      <c r="G3785" s="16" t="str">
        <f>IFERROR(__xludf.DUMMYFUNCTION("""COMPUTED_VALUE"""),"")</f>
        <v/>
      </c>
    </row>
    <row r="3786">
      <c r="G3786" s="16" t="str">
        <f>IFERROR(__xludf.DUMMYFUNCTION("""COMPUTED_VALUE"""),"")</f>
        <v/>
      </c>
    </row>
    <row r="3787">
      <c r="G3787" s="16" t="str">
        <f>IFERROR(__xludf.DUMMYFUNCTION("""COMPUTED_VALUE"""),"")</f>
        <v/>
      </c>
    </row>
    <row r="3788">
      <c r="G3788" s="16" t="str">
        <f>IFERROR(__xludf.DUMMYFUNCTION("""COMPUTED_VALUE"""),"")</f>
        <v/>
      </c>
    </row>
    <row r="3789">
      <c r="G3789" s="16" t="str">
        <f>IFERROR(__xludf.DUMMYFUNCTION("""COMPUTED_VALUE"""),"")</f>
        <v/>
      </c>
    </row>
    <row r="3790">
      <c r="G3790" s="16" t="str">
        <f>IFERROR(__xludf.DUMMYFUNCTION("""COMPUTED_VALUE"""),"")</f>
        <v/>
      </c>
    </row>
    <row r="3791">
      <c r="G3791" s="16" t="str">
        <f>IFERROR(__xludf.DUMMYFUNCTION("""COMPUTED_VALUE"""),"")</f>
        <v/>
      </c>
    </row>
    <row r="3792">
      <c r="G3792" s="16" t="str">
        <f>IFERROR(__xludf.DUMMYFUNCTION("""COMPUTED_VALUE"""),"")</f>
        <v/>
      </c>
    </row>
    <row r="3793">
      <c r="G3793" s="16" t="str">
        <f>IFERROR(__xludf.DUMMYFUNCTION("""COMPUTED_VALUE"""),"")</f>
        <v/>
      </c>
    </row>
    <row r="3794">
      <c r="G3794" s="16" t="str">
        <f>IFERROR(__xludf.DUMMYFUNCTION("""COMPUTED_VALUE"""),"")</f>
        <v/>
      </c>
    </row>
    <row r="3795">
      <c r="G3795" s="16" t="str">
        <f>IFERROR(__xludf.DUMMYFUNCTION("""COMPUTED_VALUE"""),"")</f>
        <v/>
      </c>
    </row>
    <row r="3796">
      <c r="G3796" s="16" t="str">
        <f>IFERROR(__xludf.DUMMYFUNCTION("""COMPUTED_VALUE"""),"")</f>
        <v/>
      </c>
    </row>
    <row r="3797">
      <c r="G3797" s="16" t="str">
        <f>IFERROR(__xludf.DUMMYFUNCTION("""COMPUTED_VALUE"""),"")</f>
        <v/>
      </c>
    </row>
    <row r="3798">
      <c r="G3798" s="16" t="str">
        <f>IFERROR(__xludf.DUMMYFUNCTION("""COMPUTED_VALUE"""),"")</f>
        <v/>
      </c>
    </row>
    <row r="3799">
      <c r="G3799" s="16" t="str">
        <f>IFERROR(__xludf.DUMMYFUNCTION("""COMPUTED_VALUE"""),"")</f>
        <v/>
      </c>
    </row>
    <row r="3800">
      <c r="G3800" s="16" t="str">
        <f>IFERROR(__xludf.DUMMYFUNCTION("""COMPUTED_VALUE"""),"")</f>
        <v/>
      </c>
    </row>
    <row r="3801">
      <c r="G3801" s="16" t="str">
        <f>IFERROR(__xludf.DUMMYFUNCTION("""COMPUTED_VALUE"""),"")</f>
        <v/>
      </c>
    </row>
    <row r="3802">
      <c r="G3802" s="16" t="str">
        <f>IFERROR(__xludf.DUMMYFUNCTION("""COMPUTED_VALUE"""),"")</f>
        <v/>
      </c>
    </row>
    <row r="3803">
      <c r="G3803" s="16" t="str">
        <f>IFERROR(__xludf.DUMMYFUNCTION("""COMPUTED_VALUE"""),"")</f>
        <v/>
      </c>
    </row>
    <row r="3804">
      <c r="G3804" s="16" t="str">
        <f>IFERROR(__xludf.DUMMYFUNCTION("""COMPUTED_VALUE"""),"")</f>
        <v/>
      </c>
    </row>
    <row r="3805">
      <c r="G3805" s="16" t="str">
        <f>IFERROR(__xludf.DUMMYFUNCTION("""COMPUTED_VALUE"""),"")</f>
        <v/>
      </c>
    </row>
    <row r="3806">
      <c r="G3806" s="16" t="str">
        <f>IFERROR(__xludf.DUMMYFUNCTION("""COMPUTED_VALUE"""),"")</f>
        <v/>
      </c>
    </row>
    <row r="3807">
      <c r="G3807" s="16" t="str">
        <f>IFERROR(__xludf.DUMMYFUNCTION("""COMPUTED_VALUE"""),"")</f>
        <v/>
      </c>
    </row>
    <row r="3808">
      <c r="G3808" s="16" t="str">
        <f>IFERROR(__xludf.DUMMYFUNCTION("""COMPUTED_VALUE"""),"")</f>
        <v/>
      </c>
    </row>
    <row r="3809">
      <c r="G3809" s="16" t="str">
        <f>IFERROR(__xludf.DUMMYFUNCTION("""COMPUTED_VALUE"""),"")</f>
        <v/>
      </c>
    </row>
    <row r="3810">
      <c r="G3810" s="16" t="str">
        <f>IFERROR(__xludf.DUMMYFUNCTION("""COMPUTED_VALUE"""),"")</f>
        <v/>
      </c>
    </row>
    <row r="3811">
      <c r="G3811" s="16" t="str">
        <f>IFERROR(__xludf.DUMMYFUNCTION("""COMPUTED_VALUE"""),"")</f>
        <v/>
      </c>
    </row>
    <row r="3812">
      <c r="G3812" s="16" t="str">
        <f>IFERROR(__xludf.DUMMYFUNCTION("""COMPUTED_VALUE"""),"")</f>
        <v/>
      </c>
    </row>
    <row r="3813">
      <c r="G3813" s="16" t="str">
        <f>IFERROR(__xludf.DUMMYFUNCTION("""COMPUTED_VALUE"""),"")</f>
        <v/>
      </c>
    </row>
    <row r="3814">
      <c r="G3814" s="16" t="str">
        <f>IFERROR(__xludf.DUMMYFUNCTION("""COMPUTED_VALUE"""),"")</f>
        <v/>
      </c>
    </row>
    <row r="3815">
      <c r="G3815" s="16" t="str">
        <f>IFERROR(__xludf.DUMMYFUNCTION("""COMPUTED_VALUE"""),"")</f>
        <v/>
      </c>
    </row>
    <row r="3816">
      <c r="G3816" s="16" t="str">
        <f>IFERROR(__xludf.DUMMYFUNCTION("""COMPUTED_VALUE"""),"")</f>
        <v/>
      </c>
    </row>
    <row r="3817">
      <c r="G3817" s="16" t="str">
        <f>IFERROR(__xludf.DUMMYFUNCTION("""COMPUTED_VALUE"""),"")</f>
        <v/>
      </c>
    </row>
    <row r="3818">
      <c r="G3818" s="16" t="str">
        <f>IFERROR(__xludf.DUMMYFUNCTION("""COMPUTED_VALUE"""),"")</f>
        <v/>
      </c>
    </row>
    <row r="3819">
      <c r="G3819" s="16" t="str">
        <f>IFERROR(__xludf.DUMMYFUNCTION("""COMPUTED_VALUE"""),"")</f>
        <v/>
      </c>
    </row>
    <row r="3820">
      <c r="G3820" s="16" t="str">
        <f>IFERROR(__xludf.DUMMYFUNCTION("""COMPUTED_VALUE"""),"")</f>
        <v/>
      </c>
    </row>
    <row r="3821">
      <c r="G3821" s="16" t="str">
        <f>IFERROR(__xludf.DUMMYFUNCTION("""COMPUTED_VALUE"""),"")</f>
        <v/>
      </c>
    </row>
    <row r="3822">
      <c r="G3822" s="16" t="str">
        <f>IFERROR(__xludf.DUMMYFUNCTION("""COMPUTED_VALUE"""),"")</f>
        <v/>
      </c>
    </row>
    <row r="3823">
      <c r="G3823" s="16" t="str">
        <f>IFERROR(__xludf.DUMMYFUNCTION("""COMPUTED_VALUE"""),"")</f>
        <v/>
      </c>
    </row>
    <row r="3824">
      <c r="G3824" s="16" t="str">
        <f>IFERROR(__xludf.DUMMYFUNCTION("""COMPUTED_VALUE"""),"")</f>
        <v/>
      </c>
    </row>
    <row r="3825">
      <c r="G3825" s="16" t="str">
        <f>IFERROR(__xludf.DUMMYFUNCTION("""COMPUTED_VALUE"""),"")</f>
        <v/>
      </c>
    </row>
    <row r="3826">
      <c r="G3826" s="16" t="str">
        <f>IFERROR(__xludf.DUMMYFUNCTION("""COMPUTED_VALUE"""),"")</f>
        <v/>
      </c>
    </row>
    <row r="3827">
      <c r="G3827" s="16" t="str">
        <f>IFERROR(__xludf.DUMMYFUNCTION("""COMPUTED_VALUE"""),"")</f>
        <v/>
      </c>
    </row>
    <row r="3828">
      <c r="G3828" s="16" t="str">
        <f>IFERROR(__xludf.DUMMYFUNCTION("""COMPUTED_VALUE"""),"")</f>
        <v/>
      </c>
    </row>
    <row r="3829">
      <c r="G3829" s="16" t="str">
        <f>IFERROR(__xludf.DUMMYFUNCTION("""COMPUTED_VALUE"""),"")</f>
        <v/>
      </c>
    </row>
    <row r="3830">
      <c r="G3830" s="16" t="str">
        <f>IFERROR(__xludf.DUMMYFUNCTION("""COMPUTED_VALUE"""),"")</f>
        <v/>
      </c>
    </row>
    <row r="3831">
      <c r="G3831" s="16" t="str">
        <f>IFERROR(__xludf.DUMMYFUNCTION("""COMPUTED_VALUE"""),"")</f>
        <v/>
      </c>
    </row>
    <row r="3832">
      <c r="G3832" s="16" t="str">
        <f>IFERROR(__xludf.DUMMYFUNCTION("""COMPUTED_VALUE"""),"")</f>
        <v/>
      </c>
    </row>
    <row r="3833">
      <c r="G3833" s="16" t="str">
        <f>IFERROR(__xludf.DUMMYFUNCTION("""COMPUTED_VALUE"""),"")</f>
        <v/>
      </c>
    </row>
    <row r="3834">
      <c r="G3834" s="16" t="str">
        <f>IFERROR(__xludf.DUMMYFUNCTION("""COMPUTED_VALUE"""),"")</f>
        <v/>
      </c>
    </row>
    <row r="3835">
      <c r="G3835" s="16" t="str">
        <f>IFERROR(__xludf.DUMMYFUNCTION("""COMPUTED_VALUE"""),"")</f>
        <v/>
      </c>
    </row>
    <row r="3836">
      <c r="G3836" s="16" t="str">
        <f>IFERROR(__xludf.DUMMYFUNCTION("""COMPUTED_VALUE"""),"")</f>
        <v/>
      </c>
    </row>
    <row r="3837">
      <c r="G3837" s="16" t="str">
        <f>IFERROR(__xludf.DUMMYFUNCTION("""COMPUTED_VALUE"""),"")</f>
        <v/>
      </c>
    </row>
    <row r="3838">
      <c r="G3838" s="16" t="str">
        <f>IFERROR(__xludf.DUMMYFUNCTION("""COMPUTED_VALUE"""),"")</f>
        <v/>
      </c>
    </row>
    <row r="3839">
      <c r="G3839" s="16" t="str">
        <f>IFERROR(__xludf.DUMMYFUNCTION("""COMPUTED_VALUE"""),"")</f>
        <v/>
      </c>
    </row>
    <row r="3840">
      <c r="G3840" s="16" t="str">
        <f>IFERROR(__xludf.DUMMYFUNCTION("""COMPUTED_VALUE"""),"")</f>
        <v/>
      </c>
    </row>
    <row r="3841">
      <c r="G3841" s="16" t="str">
        <f>IFERROR(__xludf.DUMMYFUNCTION("""COMPUTED_VALUE"""),"")</f>
        <v/>
      </c>
    </row>
    <row r="3842">
      <c r="G3842" s="16" t="str">
        <f>IFERROR(__xludf.DUMMYFUNCTION("""COMPUTED_VALUE"""),"")</f>
        <v/>
      </c>
    </row>
    <row r="3843">
      <c r="G3843" s="16" t="str">
        <f>IFERROR(__xludf.DUMMYFUNCTION("""COMPUTED_VALUE"""),"")</f>
        <v/>
      </c>
    </row>
    <row r="3844">
      <c r="G3844" s="16" t="str">
        <f>IFERROR(__xludf.DUMMYFUNCTION("""COMPUTED_VALUE"""),"")</f>
        <v/>
      </c>
    </row>
    <row r="3845">
      <c r="G3845" s="16" t="str">
        <f>IFERROR(__xludf.DUMMYFUNCTION("""COMPUTED_VALUE"""),"")</f>
        <v/>
      </c>
    </row>
    <row r="3846">
      <c r="G3846" s="16" t="str">
        <f>IFERROR(__xludf.DUMMYFUNCTION("""COMPUTED_VALUE"""),"")</f>
        <v/>
      </c>
    </row>
    <row r="3847">
      <c r="G3847" s="16" t="str">
        <f>IFERROR(__xludf.DUMMYFUNCTION("""COMPUTED_VALUE"""),"")</f>
        <v/>
      </c>
    </row>
    <row r="3848">
      <c r="G3848" s="16" t="str">
        <f>IFERROR(__xludf.DUMMYFUNCTION("""COMPUTED_VALUE"""),"")</f>
        <v/>
      </c>
    </row>
    <row r="3849">
      <c r="G3849" s="16" t="str">
        <f>IFERROR(__xludf.DUMMYFUNCTION("""COMPUTED_VALUE"""),"")</f>
        <v/>
      </c>
    </row>
    <row r="3850">
      <c r="G3850" s="16" t="str">
        <f>IFERROR(__xludf.DUMMYFUNCTION("""COMPUTED_VALUE"""),"")</f>
        <v/>
      </c>
    </row>
    <row r="3851">
      <c r="G3851" s="16" t="str">
        <f>IFERROR(__xludf.DUMMYFUNCTION("""COMPUTED_VALUE"""),"")</f>
        <v/>
      </c>
    </row>
    <row r="3852">
      <c r="G3852" s="16" t="str">
        <f>IFERROR(__xludf.DUMMYFUNCTION("""COMPUTED_VALUE"""),"")</f>
        <v/>
      </c>
    </row>
    <row r="3853">
      <c r="G3853" s="16" t="str">
        <f>IFERROR(__xludf.DUMMYFUNCTION("""COMPUTED_VALUE"""),"")</f>
        <v/>
      </c>
    </row>
    <row r="3854">
      <c r="G3854" s="16" t="str">
        <f>IFERROR(__xludf.DUMMYFUNCTION("""COMPUTED_VALUE"""),"")</f>
        <v/>
      </c>
    </row>
    <row r="3855">
      <c r="G3855" s="16" t="str">
        <f>IFERROR(__xludf.DUMMYFUNCTION("""COMPUTED_VALUE"""),"")</f>
        <v/>
      </c>
    </row>
    <row r="3856">
      <c r="G3856" s="16" t="str">
        <f>IFERROR(__xludf.DUMMYFUNCTION("""COMPUTED_VALUE"""),"")</f>
        <v/>
      </c>
    </row>
    <row r="3857">
      <c r="G3857" s="16" t="str">
        <f>IFERROR(__xludf.DUMMYFUNCTION("""COMPUTED_VALUE"""),"")</f>
        <v/>
      </c>
    </row>
    <row r="3858">
      <c r="G3858" s="16" t="str">
        <f>IFERROR(__xludf.DUMMYFUNCTION("""COMPUTED_VALUE"""),"")</f>
        <v/>
      </c>
    </row>
    <row r="3859">
      <c r="G3859" s="16" t="str">
        <f>IFERROR(__xludf.DUMMYFUNCTION("""COMPUTED_VALUE"""),"")</f>
        <v/>
      </c>
    </row>
    <row r="3860">
      <c r="G3860" s="16" t="str">
        <f>IFERROR(__xludf.DUMMYFUNCTION("""COMPUTED_VALUE"""),"")</f>
        <v/>
      </c>
    </row>
    <row r="3861">
      <c r="G3861" s="16" t="str">
        <f>IFERROR(__xludf.DUMMYFUNCTION("""COMPUTED_VALUE"""),"")</f>
        <v/>
      </c>
    </row>
    <row r="3862">
      <c r="G3862" s="16" t="str">
        <f>IFERROR(__xludf.DUMMYFUNCTION("""COMPUTED_VALUE"""),"")</f>
        <v/>
      </c>
    </row>
    <row r="3863">
      <c r="G3863" s="16" t="str">
        <f>IFERROR(__xludf.DUMMYFUNCTION("""COMPUTED_VALUE"""),"")</f>
        <v/>
      </c>
    </row>
    <row r="3864">
      <c r="G3864" s="16" t="str">
        <f>IFERROR(__xludf.DUMMYFUNCTION("""COMPUTED_VALUE"""),"")</f>
        <v/>
      </c>
    </row>
    <row r="3865">
      <c r="G3865" s="16" t="str">
        <f>IFERROR(__xludf.DUMMYFUNCTION("""COMPUTED_VALUE"""),"")</f>
        <v/>
      </c>
    </row>
    <row r="3866">
      <c r="G3866" s="16" t="str">
        <f>IFERROR(__xludf.DUMMYFUNCTION("""COMPUTED_VALUE"""),"")</f>
        <v/>
      </c>
    </row>
    <row r="3867">
      <c r="G3867" s="16" t="str">
        <f>IFERROR(__xludf.DUMMYFUNCTION("""COMPUTED_VALUE"""),"")</f>
        <v/>
      </c>
    </row>
    <row r="3868">
      <c r="G3868" s="16" t="str">
        <f>IFERROR(__xludf.DUMMYFUNCTION("""COMPUTED_VALUE"""),"")</f>
        <v/>
      </c>
    </row>
    <row r="3869">
      <c r="G3869" s="16" t="str">
        <f>IFERROR(__xludf.DUMMYFUNCTION("""COMPUTED_VALUE"""),"")</f>
        <v/>
      </c>
    </row>
    <row r="3870">
      <c r="G3870" s="16" t="str">
        <f>IFERROR(__xludf.DUMMYFUNCTION("""COMPUTED_VALUE"""),"")</f>
        <v/>
      </c>
    </row>
    <row r="3871">
      <c r="G3871" s="16" t="str">
        <f>IFERROR(__xludf.DUMMYFUNCTION("""COMPUTED_VALUE"""),"")</f>
        <v/>
      </c>
    </row>
    <row r="3872">
      <c r="G3872" s="16" t="str">
        <f>IFERROR(__xludf.DUMMYFUNCTION("""COMPUTED_VALUE"""),"")</f>
        <v/>
      </c>
    </row>
    <row r="3873">
      <c r="G3873" s="16" t="str">
        <f>IFERROR(__xludf.DUMMYFUNCTION("""COMPUTED_VALUE"""),"")</f>
        <v/>
      </c>
    </row>
    <row r="3874">
      <c r="G3874" s="16" t="str">
        <f>IFERROR(__xludf.DUMMYFUNCTION("""COMPUTED_VALUE"""),"")</f>
        <v/>
      </c>
    </row>
    <row r="3875">
      <c r="G3875" s="16" t="str">
        <f>IFERROR(__xludf.DUMMYFUNCTION("""COMPUTED_VALUE"""),"")</f>
        <v/>
      </c>
    </row>
    <row r="3876">
      <c r="G3876" s="16" t="str">
        <f>IFERROR(__xludf.DUMMYFUNCTION("""COMPUTED_VALUE"""),"")</f>
        <v/>
      </c>
    </row>
    <row r="3877">
      <c r="G3877" s="16" t="str">
        <f>IFERROR(__xludf.DUMMYFUNCTION("""COMPUTED_VALUE"""),"")</f>
        <v/>
      </c>
    </row>
    <row r="3878">
      <c r="G3878" s="16" t="str">
        <f>IFERROR(__xludf.DUMMYFUNCTION("""COMPUTED_VALUE"""),"")</f>
        <v/>
      </c>
    </row>
    <row r="3879">
      <c r="G3879" s="16" t="str">
        <f>IFERROR(__xludf.DUMMYFUNCTION("""COMPUTED_VALUE"""),"")</f>
        <v/>
      </c>
    </row>
    <row r="3880">
      <c r="G3880" s="16" t="str">
        <f>IFERROR(__xludf.DUMMYFUNCTION("""COMPUTED_VALUE"""),"")</f>
        <v/>
      </c>
    </row>
    <row r="3881">
      <c r="G3881" s="16" t="str">
        <f>IFERROR(__xludf.DUMMYFUNCTION("""COMPUTED_VALUE"""),"")</f>
        <v/>
      </c>
    </row>
    <row r="3882">
      <c r="G3882" s="16" t="str">
        <f>IFERROR(__xludf.DUMMYFUNCTION("""COMPUTED_VALUE"""),"")</f>
        <v/>
      </c>
    </row>
    <row r="3883">
      <c r="G3883" s="16" t="str">
        <f>IFERROR(__xludf.DUMMYFUNCTION("""COMPUTED_VALUE"""),"")</f>
        <v/>
      </c>
    </row>
    <row r="3884">
      <c r="G3884" s="16" t="str">
        <f>IFERROR(__xludf.DUMMYFUNCTION("""COMPUTED_VALUE"""),"")</f>
        <v/>
      </c>
    </row>
    <row r="3885">
      <c r="G3885" s="16" t="str">
        <f>IFERROR(__xludf.DUMMYFUNCTION("""COMPUTED_VALUE"""),"")</f>
        <v/>
      </c>
    </row>
    <row r="3886">
      <c r="G3886" s="16" t="str">
        <f>IFERROR(__xludf.DUMMYFUNCTION("""COMPUTED_VALUE"""),"")</f>
        <v/>
      </c>
    </row>
    <row r="3887">
      <c r="G3887" s="16" t="str">
        <f>IFERROR(__xludf.DUMMYFUNCTION("""COMPUTED_VALUE"""),"")</f>
        <v/>
      </c>
    </row>
    <row r="3888">
      <c r="G3888" s="16" t="str">
        <f>IFERROR(__xludf.DUMMYFUNCTION("""COMPUTED_VALUE"""),"")</f>
        <v/>
      </c>
    </row>
    <row r="3889">
      <c r="G3889" s="16" t="str">
        <f>IFERROR(__xludf.DUMMYFUNCTION("""COMPUTED_VALUE"""),"")</f>
        <v/>
      </c>
    </row>
    <row r="3890">
      <c r="G3890" s="16" t="str">
        <f>IFERROR(__xludf.DUMMYFUNCTION("""COMPUTED_VALUE"""),"")</f>
        <v/>
      </c>
    </row>
    <row r="3891">
      <c r="G3891" s="16" t="str">
        <f>IFERROR(__xludf.DUMMYFUNCTION("""COMPUTED_VALUE"""),"")</f>
        <v/>
      </c>
    </row>
    <row r="3892">
      <c r="G3892" s="16" t="str">
        <f>IFERROR(__xludf.DUMMYFUNCTION("""COMPUTED_VALUE"""),"")</f>
        <v/>
      </c>
    </row>
    <row r="3893">
      <c r="G3893" s="16" t="str">
        <f>IFERROR(__xludf.DUMMYFUNCTION("""COMPUTED_VALUE"""),"")</f>
        <v/>
      </c>
    </row>
    <row r="3894">
      <c r="G3894" s="16" t="str">
        <f>IFERROR(__xludf.DUMMYFUNCTION("""COMPUTED_VALUE"""),"")</f>
        <v/>
      </c>
    </row>
    <row r="3895">
      <c r="G3895" s="16" t="str">
        <f>IFERROR(__xludf.DUMMYFUNCTION("""COMPUTED_VALUE"""),"")</f>
        <v/>
      </c>
    </row>
    <row r="3896">
      <c r="G3896" s="16" t="str">
        <f>IFERROR(__xludf.DUMMYFUNCTION("""COMPUTED_VALUE"""),"")</f>
        <v/>
      </c>
    </row>
    <row r="3897">
      <c r="G3897" s="16" t="str">
        <f>IFERROR(__xludf.DUMMYFUNCTION("""COMPUTED_VALUE"""),"")</f>
        <v/>
      </c>
    </row>
    <row r="3898">
      <c r="G3898" s="16" t="str">
        <f>IFERROR(__xludf.DUMMYFUNCTION("""COMPUTED_VALUE"""),"")</f>
        <v/>
      </c>
    </row>
    <row r="3899">
      <c r="G3899" s="16" t="str">
        <f>IFERROR(__xludf.DUMMYFUNCTION("""COMPUTED_VALUE"""),"")</f>
        <v/>
      </c>
    </row>
    <row r="3900">
      <c r="G3900" s="16" t="str">
        <f>IFERROR(__xludf.DUMMYFUNCTION("""COMPUTED_VALUE"""),"")</f>
        <v/>
      </c>
    </row>
    <row r="3901">
      <c r="G3901" s="16" t="str">
        <f>IFERROR(__xludf.DUMMYFUNCTION("""COMPUTED_VALUE"""),"")</f>
        <v/>
      </c>
    </row>
    <row r="3902">
      <c r="G3902" s="16" t="str">
        <f>IFERROR(__xludf.DUMMYFUNCTION("""COMPUTED_VALUE"""),"")</f>
        <v/>
      </c>
    </row>
    <row r="3903">
      <c r="G3903" s="16" t="str">
        <f>IFERROR(__xludf.DUMMYFUNCTION("""COMPUTED_VALUE"""),"")</f>
        <v/>
      </c>
    </row>
    <row r="3904">
      <c r="G3904" s="16" t="str">
        <f>IFERROR(__xludf.DUMMYFUNCTION("""COMPUTED_VALUE"""),"")</f>
        <v/>
      </c>
    </row>
    <row r="3905">
      <c r="G3905" s="16" t="str">
        <f>IFERROR(__xludf.DUMMYFUNCTION("""COMPUTED_VALUE"""),"")</f>
        <v/>
      </c>
    </row>
    <row r="3906">
      <c r="G3906" s="16" t="str">
        <f>IFERROR(__xludf.DUMMYFUNCTION("""COMPUTED_VALUE"""),"")</f>
        <v/>
      </c>
    </row>
    <row r="3907">
      <c r="G3907" s="16" t="str">
        <f>IFERROR(__xludf.DUMMYFUNCTION("""COMPUTED_VALUE"""),"")</f>
        <v/>
      </c>
    </row>
    <row r="3908">
      <c r="G3908" s="16" t="str">
        <f>IFERROR(__xludf.DUMMYFUNCTION("""COMPUTED_VALUE"""),"")</f>
        <v/>
      </c>
    </row>
    <row r="3909">
      <c r="G3909" s="16" t="str">
        <f>IFERROR(__xludf.DUMMYFUNCTION("""COMPUTED_VALUE"""),"")</f>
        <v/>
      </c>
    </row>
    <row r="3910">
      <c r="G3910" s="16" t="str">
        <f>IFERROR(__xludf.DUMMYFUNCTION("""COMPUTED_VALUE"""),"")</f>
        <v/>
      </c>
    </row>
    <row r="3911">
      <c r="G3911" s="16" t="str">
        <f>IFERROR(__xludf.DUMMYFUNCTION("""COMPUTED_VALUE"""),"")</f>
        <v/>
      </c>
    </row>
    <row r="3912">
      <c r="G3912" s="16" t="str">
        <f>IFERROR(__xludf.DUMMYFUNCTION("""COMPUTED_VALUE"""),"")</f>
        <v/>
      </c>
    </row>
    <row r="3913">
      <c r="G3913" s="16" t="str">
        <f>IFERROR(__xludf.DUMMYFUNCTION("""COMPUTED_VALUE"""),"")</f>
        <v/>
      </c>
    </row>
    <row r="3914">
      <c r="G3914" s="16" t="str">
        <f>IFERROR(__xludf.DUMMYFUNCTION("""COMPUTED_VALUE"""),"")</f>
        <v/>
      </c>
    </row>
    <row r="3915">
      <c r="G3915" s="16" t="str">
        <f>IFERROR(__xludf.DUMMYFUNCTION("""COMPUTED_VALUE"""),"")</f>
        <v/>
      </c>
    </row>
    <row r="3916">
      <c r="G3916" s="16" t="str">
        <f>IFERROR(__xludf.DUMMYFUNCTION("""COMPUTED_VALUE"""),"")</f>
        <v/>
      </c>
    </row>
    <row r="3917">
      <c r="G3917" s="16" t="str">
        <f>IFERROR(__xludf.DUMMYFUNCTION("""COMPUTED_VALUE"""),"")</f>
        <v/>
      </c>
    </row>
    <row r="3918">
      <c r="G3918" s="16" t="str">
        <f>IFERROR(__xludf.DUMMYFUNCTION("""COMPUTED_VALUE"""),"")</f>
        <v/>
      </c>
    </row>
    <row r="3919">
      <c r="G3919" s="16" t="str">
        <f>IFERROR(__xludf.DUMMYFUNCTION("""COMPUTED_VALUE"""),"")</f>
        <v/>
      </c>
    </row>
    <row r="3920">
      <c r="G3920" s="16" t="str">
        <f>IFERROR(__xludf.DUMMYFUNCTION("""COMPUTED_VALUE"""),"")</f>
        <v/>
      </c>
    </row>
    <row r="3921">
      <c r="G3921" s="16" t="str">
        <f>IFERROR(__xludf.DUMMYFUNCTION("""COMPUTED_VALUE"""),"")</f>
        <v/>
      </c>
    </row>
    <row r="3922">
      <c r="G3922" s="16" t="str">
        <f>IFERROR(__xludf.DUMMYFUNCTION("""COMPUTED_VALUE"""),"")</f>
        <v/>
      </c>
    </row>
    <row r="3923">
      <c r="G3923" s="16" t="str">
        <f>IFERROR(__xludf.DUMMYFUNCTION("""COMPUTED_VALUE"""),"")</f>
        <v/>
      </c>
    </row>
    <row r="3924">
      <c r="G3924" s="16" t="str">
        <f>IFERROR(__xludf.DUMMYFUNCTION("""COMPUTED_VALUE"""),"")</f>
        <v/>
      </c>
    </row>
    <row r="3925">
      <c r="G3925" s="16" t="str">
        <f>IFERROR(__xludf.DUMMYFUNCTION("""COMPUTED_VALUE"""),"")</f>
        <v/>
      </c>
    </row>
    <row r="3926">
      <c r="G3926" s="16" t="str">
        <f>IFERROR(__xludf.DUMMYFUNCTION("""COMPUTED_VALUE"""),"")</f>
        <v/>
      </c>
    </row>
    <row r="3927">
      <c r="G3927" s="16" t="str">
        <f>IFERROR(__xludf.DUMMYFUNCTION("""COMPUTED_VALUE"""),"")</f>
        <v/>
      </c>
    </row>
    <row r="3928">
      <c r="G3928" s="16" t="str">
        <f>IFERROR(__xludf.DUMMYFUNCTION("""COMPUTED_VALUE"""),"")</f>
        <v/>
      </c>
    </row>
    <row r="3929">
      <c r="G3929" s="16" t="str">
        <f>IFERROR(__xludf.DUMMYFUNCTION("""COMPUTED_VALUE"""),"")</f>
        <v/>
      </c>
    </row>
    <row r="3930">
      <c r="G3930" s="16" t="str">
        <f>IFERROR(__xludf.DUMMYFUNCTION("""COMPUTED_VALUE"""),"")</f>
        <v/>
      </c>
    </row>
    <row r="3931">
      <c r="G3931" s="16" t="str">
        <f>IFERROR(__xludf.DUMMYFUNCTION("""COMPUTED_VALUE"""),"")</f>
        <v/>
      </c>
    </row>
    <row r="3932">
      <c r="G3932" s="16" t="str">
        <f>IFERROR(__xludf.DUMMYFUNCTION("""COMPUTED_VALUE"""),"")</f>
        <v/>
      </c>
    </row>
    <row r="3933">
      <c r="G3933" s="16" t="str">
        <f>IFERROR(__xludf.DUMMYFUNCTION("""COMPUTED_VALUE"""),"")</f>
        <v/>
      </c>
    </row>
    <row r="3934">
      <c r="G3934" s="16" t="str">
        <f>IFERROR(__xludf.DUMMYFUNCTION("""COMPUTED_VALUE"""),"")</f>
        <v/>
      </c>
    </row>
    <row r="3935">
      <c r="G3935" s="16" t="str">
        <f>IFERROR(__xludf.DUMMYFUNCTION("""COMPUTED_VALUE"""),"")</f>
        <v/>
      </c>
    </row>
    <row r="3936">
      <c r="G3936" s="16" t="str">
        <f>IFERROR(__xludf.DUMMYFUNCTION("""COMPUTED_VALUE"""),"")</f>
        <v/>
      </c>
    </row>
    <row r="3937">
      <c r="G3937" s="16" t="str">
        <f>IFERROR(__xludf.DUMMYFUNCTION("""COMPUTED_VALUE"""),"")</f>
        <v/>
      </c>
    </row>
    <row r="3938">
      <c r="G3938" s="16" t="str">
        <f>IFERROR(__xludf.DUMMYFUNCTION("""COMPUTED_VALUE"""),"")</f>
        <v/>
      </c>
    </row>
    <row r="3939">
      <c r="G3939" s="16" t="str">
        <f>IFERROR(__xludf.DUMMYFUNCTION("""COMPUTED_VALUE"""),"")</f>
        <v/>
      </c>
    </row>
    <row r="3940">
      <c r="G3940" s="16" t="str">
        <f>IFERROR(__xludf.DUMMYFUNCTION("""COMPUTED_VALUE"""),"")</f>
        <v/>
      </c>
    </row>
    <row r="3941">
      <c r="G3941" s="16" t="str">
        <f>IFERROR(__xludf.DUMMYFUNCTION("""COMPUTED_VALUE"""),"")</f>
        <v/>
      </c>
    </row>
    <row r="3942">
      <c r="G3942" s="16" t="str">
        <f>IFERROR(__xludf.DUMMYFUNCTION("""COMPUTED_VALUE"""),"")</f>
        <v/>
      </c>
    </row>
    <row r="3943">
      <c r="G3943" s="16" t="str">
        <f>IFERROR(__xludf.DUMMYFUNCTION("""COMPUTED_VALUE"""),"")</f>
        <v/>
      </c>
    </row>
    <row r="3944">
      <c r="G3944" s="16" t="str">
        <f>IFERROR(__xludf.DUMMYFUNCTION("""COMPUTED_VALUE"""),"")</f>
        <v/>
      </c>
    </row>
    <row r="3945">
      <c r="G3945" s="16" t="str">
        <f>IFERROR(__xludf.DUMMYFUNCTION("""COMPUTED_VALUE"""),"")</f>
        <v/>
      </c>
    </row>
    <row r="3946">
      <c r="G3946" s="16" t="str">
        <f>IFERROR(__xludf.DUMMYFUNCTION("""COMPUTED_VALUE"""),"")</f>
        <v/>
      </c>
    </row>
    <row r="3947">
      <c r="G3947" s="16" t="str">
        <f>IFERROR(__xludf.DUMMYFUNCTION("""COMPUTED_VALUE"""),"")</f>
        <v/>
      </c>
    </row>
    <row r="3948">
      <c r="G3948" s="16" t="str">
        <f>IFERROR(__xludf.DUMMYFUNCTION("""COMPUTED_VALUE"""),"")</f>
        <v/>
      </c>
    </row>
    <row r="3949">
      <c r="G3949" s="16" t="str">
        <f>IFERROR(__xludf.DUMMYFUNCTION("""COMPUTED_VALUE"""),"")</f>
        <v/>
      </c>
    </row>
    <row r="3950">
      <c r="G3950" s="16" t="str">
        <f>IFERROR(__xludf.DUMMYFUNCTION("""COMPUTED_VALUE"""),"")</f>
        <v/>
      </c>
    </row>
    <row r="3951">
      <c r="G3951" s="16" t="str">
        <f>IFERROR(__xludf.DUMMYFUNCTION("""COMPUTED_VALUE"""),"")</f>
        <v/>
      </c>
    </row>
    <row r="3952">
      <c r="G3952" s="16" t="str">
        <f>IFERROR(__xludf.DUMMYFUNCTION("""COMPUTED_VALUE"""),"")</f>
        <v/>
      </c>
    </row>
    <row r="3953">
      <c r="G3953" s="16" t="str">
        <f>IFERROR(__xludf.DUMMYFUNCTION("""COMPUTED_VALUE"""),"")</f>
        <v/>
      </c>
    </row>
    <row r="3954">
      <c r="G3954" s="16" t="str">
        <f>IFERROR(__xludf.DUMMYFUNCTION("""COMPUTED_VALUE"""),"")</f>
        <v/>
      </c>
    </row>
    <row r="3955">
      <c r="G3955" s="16" t="str">
        <f>IFERROR(__xludf.DUMMYFUNCTION("""COMPUTED_VALUE"""),"")</f>
        <v/>
      </c>
    </row>
    <row r="3956">
      <c r="G3956" s="16" t="str">
        <f>IFERROR(__xludf.DUMMYFUNCTION("""COMPUTED_VALUE"""),"")</f>
        <v/>
      </c>
    </row>
    <row r="3957">
      <c r="G3957" s="16" t="str">
        <f>IFERROR(__xludf.DUMMYFUNCTION("""COMPUTED_VALUE"""),"")</f>
        <v/>
      </c>
    </row>
    <row r="3958">
      <c r="G3958" s="16" t="str">
        <f>IFERROR(__xludf.DUMMYFUNCTION("""COMPUTED_VALUE"""),"")</f>
        <v/>
      </c>
    </row>
    <row r="3959">
      <c r="G3959" s="16" t="str">
        <f>IFERROR(__xludf.DUMMYFUNCTION("""COMPUTED_VALUE"""),"")</f>
        <v/>
      </c>
    </row>
    <row r="3960">
      <c r="G3960" s="16" t="str">
        <f>IFERROR(__xludf.DUMMYFUNCTION("""COMPUTED_VALUE"""),"")</f>
        <v/>
      </c>
    </row>
    <row r="3961">
      <c r="G3961" s="16" t="str">
        <f>IFERROR(__xludf.DUMMYFUNCTION("""COMPUTED_VALUE"""),"")</f>
        <v/>
      </c>
    </row>
    <row r="3962">
      <c r="G3962" s="16" t="str">
        <f>IFERROR(__xludf.DUMMYFUNCTION("""COMPUTED_VALUE"""),"")</f>
        <v/>
      </c>
    </row>
    <row r="3963">
      <c r="G3963" s="16" t="str">
        <f>IFERROR(__xludf.DUMMYFUNCTION("""COMPUTED_VALUE"""),"")</f>
        <v/>
      </c>
    </row>
    <row r="3964">
      <c r="G3964" s="16" t="str">
        <f>IFERROR(__xludf.DUMMYFUNCTION("""COMPUTED_VALUE"""),"")</f>
        <v/>
      </c>
    </row>
    <row r="3965">
      <c r="G3965" s="16" t="str">
        <f>IFERROR(__xludf.DUMMYFUNCTION("""COMPUTED_VALUE"""),"")</f>
        <v/>
      </c>
    </row>
    <row r="3966">
      <c r="G3966" s="16" t="str">
        <f>IFERROR(__xludf.DUMMYFUNCTION("""COMPUTED_VALUE"""),"")</f>
        <v/>
      </c>
    </row>
    <row r="3967">
      <c r="G3967" s="16" t="str">
        <f>IFERROR(__xludf.DUMMYFUNCTION("""COMPUTED_VALUE"""),"")</f>
        <v/>
      </c>
    </row>
    <row r="3968">
      <c r="G3968" s="16" t="str">
        <f>IFERROR(__xludf.DUMMYFUNCTION("""COMPUTED_VALUE"""),"")</f>
        <v/>
      </c>
    </row>
    <row r="3969">
      <c r="G3969" s="16" t="str">
        <f>IFERROR(__xludf.DUMMYFUNCTION("""COMPUTED_VALUE"""),"")</f>
        <v/>
      </c>
    </row>
    <row r="3970">
      <c r="G3970" s="16" t="str">
        <f>IFERROR(__xludf.DUMMYFUNCTION("""COMPUTED_VALUE"""),"")</f>
        <v/>
      </c>
    </row>
    <row r="3971">
      <c r="G3971" s="16" t="str">
        <f>IFERROR(__xludf.DUMMYFUNCTION("""COMPUTED_VALUE"""),"")</f>
        <v/>
      </c>
    </row>
    <row r="3972">
      <c r="G3972" s="16" t="str">
        <f>IFERROR(__xludf.DUMMYFUNCTION("""COMPUTED_VALUE"""),"")</f>
        <v/>
      </c>
    </row>
    <row r="3973">
      <c r="G3973" s="16" t="str">
        <f>IFERROR(__xludf.DUMMYFUNCTION("""COMPUTED_VALUE"""),"")</f>
        <v/>
      </c>
    </row>
    <row r="3974">
      <c r="G3974" s="16" t="str">
        <f>IFERROR(__xludf.DUMMYFUNCTION("""COMPUTED_VALUE"""),"")</f>
        <v/>
      </c>
    </row>
    <row r="3975">
      <c r="G3975" s="16" t="str">
        <f>IFERROR(__xludf.DUMMYFUNCTION("""COMPUTED_VALUE"""),"")</f>
        <v/>
      </c>
    </row>
    <row r="3976">
      <c r="G3976" s="16" t="str">
        <f>IFERROR(__xludf.DUMMYFUNCTION("""COMPUTED_VALUE"""),"")</f>
        <v/>
      </c>
    </row>
    <row r="3977">
      <c r="G3977" s="16" t="str">
        <f>IFERROR(__xludf.DUMMYFUNCTION("""COMPUTED_VALUE"""),"")</f>
        <v/>
      </c>
    </row>
    <row r="3978">
      <c r="G3978" s="16" t="str">
        <f>IFERROR(__xludf.DUMMYFUNCTION("""COMPUTED_VALUE"""),"")</f>
        <v/>
      </c>
    </row>
    <row r="3979">
      <c r="G3979" s="16" t="str">
        <f>IFERROR(__xludf.DUMMYFUNCTION("""COMPUTED_VALUE"""),"")</f>
        <v/>
      </c>
    </row>
    <row r="3980">
      <c r="G3980" s="16" t="str">
        <f>IFERROR(__xludf.DUMMYFUNCTION("""COMPUTED_VALUE"""),"")</f>
        <v/>
      </c>
    </row>
    <row r="3981">
      <c r="G3981" s="16" t="str">
        <f>IFERROR(__xludf.DUMMYFUNCTION("""COMPUTED_VALUE"""),"")</f>
        <v/>
      </c>
    </row>
    <row r="3982">
      <c r="G3982" s="16" t="str">
        <f>IFERROR(__xludf.DUMMYFUNCTION("""COMPUTED_VALUE"""),"")</f>
        <v/>
      </c>
    </row>
    <row r="3983">
      <c r="G3983" s="16" t="str">
        <f>IFERROR(__xludf.DUMMYFUNCTION("""COMPUTED_VALUE"""),"")</f>
        <v/>
      </c>
    </row>
    <row r="3984">
      <c r="G3984" s="16" t="str">
        <f>IFERROR(__xludf.DUMMYFUNCTION("""COMPUTED_VALUE"""),"")</f>
        <v/>
      </c>
    </row>
    <row r="3985">
      <c r="G3985" s="16" t="str">
        <f>IFERROR(__xludf.DUMMYFUNCTION("""COMPUTED_VALUE"""),"")</f>
        <v/>
      </c>
    </row>
    <row r="3986">
      <c r="G3986" s="16" t="str">
        <f>IFERROR(__xludf.DUMMYFUNCTION("""COMPUTED_VALUE"""),"")</f>
        <v/>
      </c>
    </row>
    <row r="3987">
      <c r="G3987" s="16" t="str">
        <f>IFERROR(__xludf.DUMMYFUNCTION("""COMPUTED_VALUE"""),"")</f>
        <v/>
      </c>
    </row>
    <row r="3988">
      <c r="G3988" s="16" t="str">
        <f>IFERROR(__xludf.DUMMYFUNCTION("""COMPUTED_VALUE"""),"")</f>
        <v/>
      </c>
    </row>
    <row r="3989">
      <c r="G3989" s="16" t="str">
        <f>IFERROR(__xludf.DUMMYFUNCTION("""COMPUTED_VALUE"""),"")</f>
        <v/>
      </c>
    </row>
    <row r="3990">
      <c r="G3990" s="16" t="str">
        <f>IFERROR(__xludf.DUMMYFUNCTION("""COMPUTED_VALUE"""),"")</f>
        <v/>
      </c>
    </row>
    <row r="3991">
      <c r="G3991" s="16" t="str">
        <f>IFERROR(__xludf.DUMMYFUNCTION("""COMPUTED_VALUE"""),"")</f>
        <v/>
      </c>
    </row>
    <row r="3992">
      <c r="G3992" s="16" t="str">
        <f>IFERROR(__xludf.DUMMYFUNCTION("""COMPUTED_VALUE"""),"")</f>
        <v/>
      </c>
    </row>
    <row r="3993">
      <c r="G3993" s="16" t="str">
        <f>IFERROR(__xludf.DUMMYFUNCTION("""COMPUTED_VALUE"""),"")</f>
        <v/>
      </c>
    </row>
    <row r="3994">
      <c r="G3994" s="16" t="str">
        <f>IFERROR(__xludf.DUMMYFUNCTION("""COMPUTED_VALUE"""),"")</f>
        <v/>
      </c>
    </row>
    <row r="3995">
      <c r="G3995" s="16" t="str">
        <f>IFERROR(__xludf.DUMMYFUNCTION("""COMPUTED_VALUE"""),"")</f>
        <v/>
      </c>
    </row>
    <row r="3996">
      <c r="G3996" s="16" t="str">
        <f>IFERROR(__xludf.DUMMYFUNCTION("""COMPUTED_VALUE"""),"")</f>
        <v/>
      </c>
    </row>
    <row r="3997">
      <c r="G3997" s="16" t="str">
        <f>IFERROR(__xludf.DUMMYFUNCTION("""COMPUTED_VALUE"""),"")</f>
        <v/>
      </c>
    </row>
    <row r="3998">
      <c r="G3998" s="16" t="str">
        <f>IFERROR(__xludf.DUMMYFUNCTION("""COMPUTED_VALUE"""),"")</f>
        <v/>
      </c>
    </row>
    <row r="3999">
      <c r="G3999" s="16" t="str">
        <f>IFERROR(__xludf.DUMMYFUNCTION("""COMPUTED_VALUE"""),"")</f>
        <v/>
      </c>
    </row>
    <row r="4000">
      <c r="G4000" s="16" t="str">
        <f>IFERROR(__xludf.DUMMYFUNCTION("""COMPUTED_VALUE"""),"")</f>
        <v/>
      </c>
    </row>
    <row r="4001">
      <c r="G4001" s="16" t="str">
        <f>IFERROR(__xludf.DUMMYFUNCTION("""COMPUTED_VALUE"""),"")</f>
        <v/>
      </c>
    </row>
    <row r="4002">
      <c r="G4002" s="16" t="str">
        <f>IFERROR(__xludf.DUMMYFUNCTION("""COMPUTED_VALUE"""),"")</f>
        <v/>
      </c>
    </row>
    <row r="4003">
      <c r="G4003" s="16" t="str">
        <f>IFERROR(__xludf.DUMMYFUNCTION("""COMPUTED_VALUE"""),"")</f>
        <v/>
      </c>
    </row>
    <row r="4004">
      <c r="G4004" s="16" t="str">
        <f>IFERROR(__xludf.DUMMYFUNCTION("""COMPUTED_VALUE"""),"")</f>
        <v/>
      </c>
    </row>
    <row r="4005">
      <c r="G4005" s="16" t="str">
        <f>IFERROR(__xludf.DUMMYFUNCTION("""COMPUTED_VALUE"""),"")</f>
        <v/>
      </c>
    </row>
    <row r="4006">
      <c r="G4006" s="16" t="str">
        <f>IFERROR(__xludf.DUMMYFUNCTION("""COMPUTED_VALUE"""),"")</f>
        <v/>
      </c>
    </row>
    <row r="4007">
      <c r="G4007" s="16" t="str">
        <f>IFERROR(__xludf.DUMMYFUNCTION("""COMPUTED_VALUE"""),"")</f>
        <v/>
      </c>
    </row>
    <row r="4008">
      <c r="G4008" s="16" t="str">
        <f>IFERROR(__xludf.DUMMYFUNCTION("""COMPUTED_VALUE"""),"")</f>
        <v/>
      </c>
    </row>
    <row r="4009">
      <c r="G4009" s="16" t="str">
        <f>IFERROR(__xludf.DUMMYFUNCTION("""COMPUTED_VALUE"""),"")</f>
        <v/>
      </c>
    </row>
    <row r="4010">
      <c r="G4010" s="16" t="str">
        <f>IFERROR(__xludf.DUMMYFUNCTION("""COMPUTED_VALUE"""),"")</f>
        <v/>
      </c>
    </row>
    <row r="4011">
      <c r="G4011" s="16" t="str">
        <f>IFERROR(__xludf.DUMMYFUNCTION("""COMPUTED_VALUE"""),"")</f>
        <v/>
      </c>
    </row>
    <row r="4012">
      <c r="G4012" s="16" t="str">
        <f>IFERROR(__xludf.DUMMYFUNCTION("""COMPUTED_VALUE"""),"")</f>
        <v/>
      </c>
    </row>
    <row r="4013">
      <c r="G4013" s="16" t="str">
        <f>IFERROR(__xludf.DUMMYFUNCTION("""COMPUTED_VALUE"""),"")</f>
        <v/>
      </c>
    </row>
    <row r="4014">
      <c r="G4014" s="16" t="str">
        <f>IFERROR(__xludf.DUMMYFUNCTION("""COMPUTED_VALUE"""),"")</f>
        <v/>
      </c>
    </row>
    <row r="4015">
      <c r="G4015" s="16" t="str">
        <f>IFERROR(__xludf.DUMMYFUNCTION("""COMPUTED_VALUE"""),"")</f>
        <v/>
      </c>
    </row>
    <row r="4016">
      <c r="G4016" s="16" t="str">
        <f>IFERROR(__xludf.DUMMYFUNCTION("""COMPUTED_VALUE"""),"")</f>
        <v/>
      </c>
    </row>
    <row r="4017">
      <c r="G4017" s="16" t="str">
        <f>IFERROR(__xludf.DUMMYFUNCTION("""COMPUTED_VALUE"""),"")</f>
        <v/>
      </c>
    </row>
    <row r="4018">
      <c r="G4018" s="16" t="str">
        <f>IFERROR(__xludf.DUMMYFUNCTION("""COMPUTED_VALUE"""),"")</f>
        <v/>
      </c>
    </row>
    <row r="4019">
      <c r="G4019" s="16" t="str">
        <f>IFERROR(__xludf.DUMMYFUNCTION("""COMPUTED_VALUE"""),"")</f>
        <v/>
      </c>
    </row>
    <row r="4020">
      <c r="G4020" s="16" t="str">
        <f>IFERROR(__xludf.DUMMYFUNCTION("""COMPUTED_VALUE"""),"")</f>
        <v/>
      </c>
    </row>
    <row r="4021">
      <c r="G4021" s="16" t="str">
        <f>IFERROR(__xludf.DUMMYFUNCTION("""COMPUTED_VALUE"""),"")</f>
        <v/>
      </c>
    </row>
    <row r="4022">
      <c r="G4022" s="16" t="str">
        <f>IFERROR(__xludf.DUMMYFUNCTION("""COMPUTED_VALUE"""),"")</f>
        <v/>
      </c>
    </row>
    <row r="4023">
      <c r="G4023" s="16" t="str">
        <f>IFERROR(__xludf.DUMMYFUNCTION("""COMPUTED_VALUE"""),"")</f>
        <v/>
      </c>
    </row>
    <row r="4024">
      <c r="G4024" s="16" t="str">
        <f>IFERROR(__xludf.DUMMYFUNCTION("""COMPUTED_VALUE"""),"")</f>
        <v/>
      </c>
    </row>
    <row r="4025">
      <c r="G4025" s="16" t="str">
        <f>IFERROR(__xludf.DUMMYFUNCTION("""COMPUTED_VALUE"""),"")</f>
        <v/>
      </c>
    </row>
    <row r="4026">
      <c r="G4026" s="16" t="str">
        <f>IFERROR(__xludf.DUMMYFUNCTION("""COMPUTED_VALUE"""),"")</f>
        <v/>
      </c>
    </row>
    <row r="4027">
      <c r="G4027" s="16" t="str">
        <f>IFERROR(__xludf.DUMMYFUNCTION("""COMPUTED_VALUE"""),"")</f>
        <v/>
      </c>
    </row>
    <row r="4028">
      <c r="G4028" s="16" t="str">
        <f>IFERROR(__xludf.DUMMYFUNCTION("""COMPUTED_VALUE"""),"")</f>
        <v/>
      </c>
    </row>
    <row r="4029">
      <c r="G4029" s="16" t="str">
        <f>IFERROR(__xludf.DUMMYFUNCTION("""COMPUTED_VALUE"""),"")</f>
        <v/>
      </c>
    </row>
    <row r="4030">
      <c r="G4030" s="16" t="str">
        <f>IFERROR(__xludf.DUMMYFUNCTION("""COMPUTED_VALUE"""),"")</f>
        <v/>
      </c>
    </row>
    <row r="4031">
      <c r="G4031" s="16" t="str">
        <f>IFERROR(__xludf.DUMMYFUNCTION("""COMPUTED_VALUE"""),"")</f>
        <v/>
      </c>
    </row>
    <row r="4032">
      <c r="G4032" s="16" t="str">
        <f>IFERROR(__xludf.DUMMYFUNCTION("""COMPUTED_VALUE"""),"")</f>
        <v/>
      </c>
    </row>
    <row r="4033">
      <c r="G4033" s="16" t="str">
        <f>IFERROR(__xludf.DUMMYFUNCTION("""COMPUTED_VALUE"""),"")</f>
        <v/>
      </c>
    </row>
    <row r="4034">
      <c r="G4034" s="16" t="str">
        <f>IFERROR(__xludf.DUMMYFUNCTION("""COMPUTED_VALUE"""),"")</f>
        <v/>
      </c>
    </row>
    <row r="4035">
      <c r="G4035" s="16" t="str">
        <f>IFERROR(__xludf.DUMMYFUNCTION("""COMPUTED_VALUE"""),"")</f>
        <v/>
      </c>
    </row>
    <row r="4036">
      <c r="G4036" s="16" t="str">
        <f>IFERROR(__xludf.DUMMYFUNCTION("""COMPUTED_VALUE"""),"")</f>
        <v/>
      </c>
    </row>
    <row r="4037">
      <c r="G4037" s="16" t="str">
        <f>IFERROR(__xludf.DUMMYFUNCTION("""COMPUTED_VALUE"""),"")</f>
        <v/>
      </c>
    </row>
    <row r="4038">
      <c r="G4038" s="16" t="str">
        <f>IFERROR(__xludf.DUMMYFUNCTION("""COMPUTED_VALUE"""),"")</f>
        <v/>
      </c>
    </row>
    <row r="4039">
      <c r="G4039" s="16" t="str">
        <f>IFERROR(__xludf.DUMMYFUNCTION("""COMPUTED_VALUE"""),"")</f>
        <v/>
      </c>
    </row>
    <row r="4040">
      <c r="G4040" s="16" t="str">
        <f>IFERROR(__xludf.DUMMYFUNCTION("""COMPUTED_VALUE"""),"")</f>
        <v/>
      </c>
    </row>
    <row r="4041">
      <c r="G4041" s="16" t="str">
        <f>IFERROR(__xludf.DUMMYFUNCTION("""COMPUTED_VALUE"""),"")</f>
        <v/>
      </c>
    </row>
    <row r="4042">
      <c r="G4042" s="16" t="str">
        <f>IFERROR(__xludf.DUMMYFUNCTION("""COMPUTED_VALUE"""),"")</f>
        <v/>
      </c>
    </row>
    <row r="4043">
      <c r="G4043" s="16" t="str">
        <f>IFERROR(__xludf.DUMMYFUNCTION("""COMPUTED_VALUE"""),"")</f>
        <v/>
      </c>
    </row>
    <row r="4044">
      <c r="G4044" s="16" t="str">
        <f>IFERROR(__xludf.DUMMYFUNCTION("""COMPUTED_VALUE"""),"")</f>
        <v/>
      </c>
    </row>
    <row r="4045">
      <c r="G4045" s="16" t="str">
        <f>IFERROR(__xludf.DUMMYFUNCTION("""COMPUTED_VALUE"""),"")</f>
        <v/>
      </c>
    </row>
    <row r="4046">
      <c r="G4046" s="16" t="str">
        <f>IFERROR(__xludf.DUMMYFUNCTION("""COMPUTED_VALUE"""),"")</f>
        <v/>
      </c>
    </row>
    <row r="4047">
      <c r="G4047" s="16" t="str">
        <f>IFERROR(__xludf.DUMMYFUNCTION("""COMPUTED_VALUE"""),"")</f>
        <v/>
      </c>
    </row>
    <row r="4048">
      <c r="G4048" s="16" t="str">
        <f>IFERROR(__xludf.DUMMYFUNCTION("""COMPUTED_VALUE"""),"")</f>
        <v/>
      </c>
    </row>
    <row r="4049">
      <c r="G4049" s="16" t="str">
        <f>IFERROR(__xludf.DUMMYFUNCTION("""COMPUTED_VALUE"""),"")</f>
        <v/>
      </c>
    </row>
    <row r="4050">
      <c r="G4050" s="16" t="str">
        <f>IFERROR(__xludf.DUMMYFUNCTION("""COMPUTED_VALUE"""),"")</f>
        <v/>
      </c>
    </row>
    <row r="4051">
      <c r="G4051" s="16" t="str">
        <f>IFERROR(__xludf.DUMMYFUNCTION("""COMPUTED_VALUE"""),"")</f>
        <v/>
      </c>
    </row>
    <row r="4052">
      <c r="G4052" s="16" t="str">
        <f>IFERROR(__xludf.DUMMYFUNCTION("""COMPUTED_VALUE"""),"")</f>
        <v/>
      </c>
    </row>
    <row r="4053">
      <c r="G4053" s="16" t="str">
        <f>IFERROR(__xludf.DUMMYFUNCTION("""COMPUTED_VALUE"""),"")</f>
        <v/>
      </c>
    </row>
    <row r="4054">
      <c r="G4054" s="16" t="str">
        <f>IFERROR(__xludf.DUMMYFUNCTION("""COMPUTED_VALUE"""),"")</f>
        <v/>
      </c>
    </row>
    <row r="4055">
      <c r="G4055" s="16" t="str">
        <f>IFERROR(__xludf.DUMMYFUNCTION("""COMPUTED_VALUE"""),"")</f>
        <v/>
      </c>
    </row>
    <row r="4056">
      <c r="G4056" s="16" t="str">
        <f>IFERROR(__xludf.DUMMYFUNCTION("""COMPUTED_VALUE"""),"")</f>
        <v/>
      </c>
    </row>
    <row r="4057">
      <c r="G4057" s="16" t="str">
        <f>IFERROR(__xludf.DUMMYFUNCTION("""COMPUTED_VALUE"""),"")</f>
        <v/>
      </c>
    </row>
    <row r="4058">
      <c r="G4058" s="16" t="str">
        <f>IFERROR(__xludf.DUMMYFUNCTION("""COMPUTED_VALUE"""),"")</f>
        <v/>
      </c>
    </row>
    <row r="4059">
      <c r="G4059" s="16" t="str">
        <f>IFERROR(__xludf.DUMMYFUNCTION("""COMPUTED_VALUE"""),"")</f>
        <v/>
      </c>
    </row>
    <row r="4060">
      <c r="G4060" s="16" t="str">
        <f>IFERROR(__xludf.DUMMYFUNCTION("""COMPUTED_VALUE"""),"")</f>
        <v/>
      </c>
    </row>
    <row r="4061">
      <c r="G4061" s="16" t="str">
        <f>IFERROR(__xludf.DUMMYFUNCTION("""COMPUTED_VALUE"""),"")</f>
        <v/>
      </c>
    </row>
    <row r="4062">
      <c r="G4062" s="16" t="str">
        <f>IFERROR(__xludf.DUMMYFUNCTION("""COMPUTED_VALUE"""),"")</f>
        <v/>
      </c>
    </row>
    <row r="4063">
      <c r="G4063" s="16" t="str">
        <f>IFERROR(__xludf.DUMMYFUNCTION("""COMPUTED_VALUE"""),"")</f>
        <v/>
      </c>
    </row>
    <row r="4064">
      <c r="G4064" s="16" t="str">
        <f>IFERROR(__xludf.DUMMYFUNCTION("""COMPUTED_VALUE"""),"")</f>
        <v/>
      </c>
    </row>
    <row r="4065">
      <c r="G4065" s="16" t="str">
        <f>IFERROR(__xludf.DUMMYFUNCTION("""COMPUTED_VALUE"""),"")</f>
        <v/>
      </c>
    </row>
    <row r="4066">
      <c r="G4066" s="16" t="str">
        <f>IFERROR(__xludf.DUMMYFUNCTION("""COMPUTED_VALUE"""),"")</f>
        <v/>
      </c>
    </row>
    <row r="4067">
      <c r="G4067" s="16" t="str">
        <f>IFERROR(__xludf.DUMMYFUNCTION("""COMPUTED_VALUE"""),"")</f>
        <v/>
      </c>
    </row>
    <row r="4068">
      <c r="G4068" s="16" t="str">
        <f>IFERROR(__xludf.DUMMYFUNCTION("""COMPUTED_VALUE"""),"")</f>
        <v/>
      </c>
    </row>
    <row r="4069">
      <c r="G4069" s="16" t="str">
        <f>IFERROR(__xludf.DUMMYFUNCTION("""COMPUTED_VALUE"""),"")</f>
        <v/>
      </c>
    </row>
    <row r="4070">
      <c r="G4070" s="16" t="str">
        <f>IFERROR(__xludf.DUMMYFUNCTION("""COMPUTED_VALUE"""),"")</f>
        <v/>
      </c>
    </row>
    <row r="4071">
      <c r="G4071" s="16" t="str">
        <f>IFERROR(__xludf.DUMMYFUNCTION("""COMPUTED_VALUE"""),"")</f>
        <v/>
      </c>
    </row>
    <row r="4072">
      <c r="G4072" s="16" t="str">
        <f>IFERROR(__xludf.DUMMYFUNCTION("""COMPUTED_VALUE"""),"")</f>
        <v/>
      </c>
    </row>
    <row r="4073">
      <c r="G4073" s="16" t="str">
        <f>IFERROR(__xludf.DUMMYFUNCTION("""COMPUTED_VALUE"""),"")</f>
        <v/>
      </c>
    </row>
    <row r="4074">
      <c r="G4074" s="16" t="str">
        <f>IFERROR(__xludf.DUMMYFUNCTION("""COMPUTED_VALUE"""),"")</f>
        <v/>
      </c>
    </row>
    <row r="4075">
      <c r="G4075" s="16" t="str">
        <f>IFERROR(__xludf.DUMMYFUNCTION("""COMPUTED_VALUE"""),"")</f>
        <v/>
      </c>
    </row>
    <row r="4076">
      <c r="G4076" s="16" t="str">
        <f>IFERROR(__xludf.DUMMYFUNCTION("""COMPUTED_VALUE"""),"")</f>
        <v/>
      </c>
    </row>
    <row r="4077">
      <c r="G4077" s="16" t="str">
        <f>IFERROR(__xludf.DUMMYFUNCTION("""COMPUTED_VALUE"""),"")</f>
        <v/>
      </c>
    </row>
    <row r="4078">
      <c r="G4078" s="16" t="str">
        <f>IFERROR(__xludf.DUMMYFUNCTION("""COMPUTED_VALUE"""),"")</f>
        <v/>
      </c>
    </row>
    <row r="4079">
      <c r="G4079" s="16" t="str">
        <f>IFERROR(__xludf.DUMMYFUNCTION("""COMPUTED_VALUE"""),"")</f>
        <v/>
      </c>
    </row>
    <row r="4080">
      <c r="G4080" s="16" t="str">
        <f>IFERROR(__xludf.DUMMYFUNCTION("""COMPUTED_VALUE"""),"")</f>
        <v/>
      </c>
    </row>
    <row r="4081">
      <c r="G4081" s="16" t="str">
        <f>IFERROR(__xludf.DUMMYFUNCTION("""COMPUTED_VALUE"""),"")</f>
        <v/>
      </c>
    </row>
    <row r="4082">
      <c r="G4082" s="16" t="str">
        <f>IFERROR(__xludf.DUMMYFUNCTION("""COMPUTED_VALUE"""),"")</f>
        <v/>
      </c>
    </row>
    <row r="4083">
      <c r="G4083" s="16" t="str">
        <f>IFERROR(__xludf.DUMMYFUNCTION("""COMPUTED_VALUE"""),"")</f>
        <v/>
      </c>
    </row>
    <row r="4084">
      <c r="G4084" s="16" t="str">
        <f>IFERROR(__xludf.DUMMYFUNCTION("""COMPUTED_VALUE"""),"")</f>
        <v/>
      </c>
    </row>
    <row r="4085">
      <c r="G4085" s="16" t="str">
        <f>IFERROR(__xludf.DUMMYFUNCTION("""COMPUTED_VALUE"""),"")</f>
        <v/>
      </c>
    </row>
    <row r="4086">
      <c r="G4086" s="16" t="str">
        <f>IFERROR(__xludf.DUMMYFUNCTION("""COMPUTED_VALUE"""),"")</f>
        <v/>
      </c>
    </row>
    <row r="4087">
      <c r="G4087" s="16" t="str">
        <f>IFERROR(__xludf.DUMMYFUNCTION("""COMPUTED_VALUE"""),"")</f>
        <v/>
      </c>
    </row>
    <row r="4088">
      <c r="G4088" s="16" t="str">
        <f>IFERROR(__xludf.DUMMYFUNCTION("""COMPUTED_VALUE"""),"")</f>
        <v/>
      </c>
    </row>
    <row r="4089">
      <c r="G4089" s="16" t="str">
        <f>IFERROR(__xludf.DUMMYFUNCTION("""COMPUTED_VALUE"""),"")</f>
        <v/>
      </c>
    </row>
    <row r="4090">
      <c r="G4090" s="16" t="str">
        <f>IFERROR(__xludf.DUMMYFUNCTION("""COMPUTED_VALUE"""),"")</f>
        <v/>
      </c>
    </row>
    <row r="4091">
      <c r="G4091" s="16" t="str">
        <f>IFERROR(__xludf.DUMMYFUNCTION("""COMPUTED_VALUE"""),"")</f>
        <v/>
      </c>
    </row>
    <row r="4092">
      <c r="G4092" s="16" t="str">
        <f>IFERROR(__xludf.DUMMYFUNCTION("""COMPUTED_VALUE"""),"")</f>
        <v/>
      </c>
    </row>
    <row r="4093">
      <c r="G4093" s="16" t="str">
        <f>IFERROR(__xludf.DUMMYFUNCTION("""COMPUTED_VALUE"""),"")</f>
        <v/>
      </c>
    </row>
    <row r="4094">
      <c r="G4094" s="16" t="str">
        <f>IFERROR(__xludf.DUMMYFUNCTION("""COMPUTED_VALUE"""),"")</f>
        <v/>
      </c>
    </row>
    <row r="4095">
      <c r="G4095" s="16" t="str">
        <f>IFERROR(__xludf.DUMMYFUNCTION("""COMPUTED_VALUE"""),"")</f>
        <v/>
      </c>
    </row>
    <row r="4096">
      <c r="G4096" s="16" t="str">
        <f>IFERROR(__xludf.DUMMYFUNCTION("""COMPUTED_VALUE"""),"")</f>
        <v/>
      </c>
    </row>
    <row r="4097">
      <c r="G4097" s="16" t="str">
        <f>IFERROR(__xludf.DUMMYFUNCTION("""COMPUTED_VALUE"""),"")</f>
        <v/>
      </c>
    </row>
    <row r="4098">
      <c r="G4098" s="16" t="str">
        <f>IFERROR(__xludf.DUMMYFUNCTION("""COMPUTED_VALUE"""),"")</f>
        <v/>
      </c>
    </row>
    <row r="4099">
      <c r="G4099" s="16" t="str">
        <f>IFERROR(__xludf.DUMMYFUNCTION("""COMPUTED_VALUE"""),"")</f>
        <v/>
      </c>
    </row>
    <row r="4100">
      <c r="G4100" s="16" t="str">
        <f>IFERROR(__xludf.DUMMYFUNCTION("""COMPUTED_VALUE"""),"")</f>
        <v/>
      </c>
    </row>
    <row r="4101">
      <c r="G4101" s="16" t="str">
        <f>IFERROR(__xludf.DUMMYFUNCTION("""COMPUTED_VALUE"""),"")</f>
        <v/>
      </c>
    </row>
    <row r="4102">
      <c r="G4102" s="16" t="str">
        <f>IFERROR(__xludf.DUMMYFUNCTION("""COMPUTED_VALUE"""),"")</f>
        <v/>
      </c>
    </row>
    <row r="4103">
      <c r="G4103" s="16" t="str">
        <f>IFERROR(__xludf.DUMMYFUNCTION("""COMPUTED_VALUE"""),"")</f>
        <v/>
      </c>
    </row>
    <row r="4104">
      <c r="G4104" s="16" t="str">
        <f>IFERROR(__xludf.DUMMYFUNCTION("""COMPUTED_VALUE"""),"")</f>
        <v/>
      </c>
    </row>
    <row r="4105">
      <c r="G4105" s="16" t="str">
        <f>IFERROR(__xludf.DUMMYFUNCTION("""COMPUTED_VALUE"""),"")</f>
        <v/>
      </c>
    </row>
    <row r="4106">
      <c r="G4106" s="16" t="str">
        <f>IFERROR(__xludf.DUMMYFUNCTION("""COMPUTED_VALUE"""),"")</f>
        <v/>
      </c>
    </row>
    <row r="4107">
      <c r="G4107" s="16" t="str">
        <f>IFERROR(__xludf.DUMMYFUNCTION("""COMPUTED_VALUE"""),"")</f>
        <v/>
      </c>
    </row>
    <row r="4108">
      <c r="G4108" s="16" t="str">
        <f>IFERROR(__xludf.DUMMYFUNCTION("""COMPUTED_VALUE"""),"")</f>
        <v/>
      </c>
    </row>
    <row r="4109">
      <c r="G4109" s="16" t="str">
        <f>IFERROR(__xludf.DUMMYFUNCTION("""COMPUTED_VALUE"""),"")</f>
        <v/>
      </c>
    </row>
    <row r="4110">
      <c r="G4110" s="16" t="str">
        <f>IFERROR(__xludf.DUMMYFUNCTION("""COMPUTED_VALUE"""),"")</f>
        <v/>
      </c>
    </row>
    <row r="4111">
      <c r="G4111" s="16" t="str">
        <f>IFERROR(__xludf.DUMMYFUNCTION("""COMPUTED_VALUE"""),"")</f>
        <v/>
      </c>
    </row>
    <row r="4112">
      <c r="G4112" s="16" t="str">
        <f>IFERROR(__xludf.DUMMYFUNCTION("""COMPUTED_VALUE"""),"")</f>
        <v/>
      </c>
    </row>
    <row r="4113">
      <c r="G4113" s="16" t="str">
        <f>IFERROR(__xludf.DUMMYFUNCTION("""COMPUTED_VALUE"""),"")</f>
        <v/>
      </c>
    </row>
    <row r="4114">
      <c r="G4114" s="16" t="str">
        <f>IFERROR(__xludf.DUMMYFUNCTION("""COMPUTED_VALUE"""),"")</f>
        <v/>
      </c>
    </row>
    <row r="4115">
      <c r="G4115" s="16" t="str">
        <f>IFERROR(__xludf.DUMMYFUNCTION("""COMPUTED_VALUE"""),"")</f>
        <v/>
      </c>
    </row>
    <row r="4116">
      <c r="G4116" s="16" t="str">
        <f>IFERROR(__xludf.DUMMYFUNCTION("""COMPUTED_VALUE"""),"")</f>
        <v/>
      </c>
    </row>
    <row r="4117">
      <c r="G4117" s="16" t="str">
        <f>IFERROR(__xludf.DUMMYFUNCTION("""COMPUTED_VALUE"""),"")</f>
        <v/>
      </c>
    </row>
    <row r="4118">
      <c r="G4118" s="16" t="str">
        <f>IFERROR(__xludf.DUMMYFUNCTION("""COMPUTED_VALUE"""),"")</f>
        <v/>
      </c>
    </row>
    <row r="4119">
      <c r="G4119" s="16" t="str">
        <f>IFERROR(__xludf.DUMMYFUNCTION("""COMPUTED_VALUE"""),"")</f>
        <v/>
      </c>
    </row>
    <row r="4120">
      <c r="G4120" s="16" t="str">
        <f>IFERROR(__xludf.DUMMYFUNCTION("""COMPUTED_VALUE"""),"")</f>
        <v/>
      </c>
    </row>
    <row r="4121">
      <c r="G4121" s="16" t="str">
        <f>IFERROR(__xludf.DUMMYFUNCTION("""COMPUTED_VALUE"""),"")</f>
        <v/>
      </c>
    </row>
    <row r="4122">
      <c r="G4122" s="16" t="str">
        <f>IFERROR(__xludf.DUMMYFUNCTION("""COMPUTED_VALUE"""),"")</f>
        <v/>
      </c>
    </row>
    <row r="4123">
      <c r="G4123" s="16" t="str">
        <f>IFERROR(__xludf.DUMMYFUNCTION("""COMPUTED_VALUE"""),"")</f>
        <v/>
      </c>
    </row>
    <row r="4124">
      <c r="G4124" s="16" t="str">
        <f>IFERROR(__xludf.DUMMYFUNCTION("""COMPUTED_VALUE"""),"")</f>
        <v/>
      </c>
    </row>
    <row r="4125">
      <c r="G4125" s="16" t="str">
        <f>IFERROR(__xludf.DUMMYFUNCTION("""COMPUTED_VALUE"""),"")</f>
        <v/>
      </c>
    </row>
    <row r="4126">
      <c r="G4126" s="16" t="str">
        <f>IFERROR(__xludf.DUMMYFUNCTION("""COMPUTED_VALUE"""),"")</f>
        <v/>
      </c>
    </row>
    <row r="4127">
      <c r="G4127" s="16" t="str">
        <f>IFERROR(__xludf.DUMMYFUNCTION("""COMPUTED_VALUE"""),"")</f>
        <v/>
      </c>
    </row>
    <row r="4128">
      <c r="G4128" s="16" t="str">
        <f>IFERROR(__xludf.DUMMYFUNCTION("""COMPUTED_VALUE"""),"")</f>
        <v/>
      </c>
    </row>
    <row r="4129">
      <c r="G4129" s="16" t="str">
        <f>IFERROR(__xludf.DUMMYFUNCTION("""COMPUTED_VALUE"""),"")</f>
        <v/>
      </c>
    </row>
    <row r="4130">
      <c r="G4130" s="16" t="str">
        <f>IFERROR(__xludf.DUMMYFUNCTION("""COMPUTED_VALUE"""),"")</f>
        <v/>
      </c>
    </row>
    <row r="4131">
      <c r="G4131" s="16" t="str">
        <f>IFERROR(__xludf.DUMMYFUNCTION("""COMPUTED_VALUE"""),"")</f>
        <v/>
      </c>
    </row>
    <row r="4132">
      <c r="G4132" s="16" t="str">
        <f>IFERROR(__xludf.DUMMYFUNCTION("""COMPUTED_VALUE"""),"")</f>
        <v/>
      </c>
    </row>
    <row r="4133">
      <c r="G4133" s="16" t="str">
        <f>IFERROR(__xludf.DUMMYFUNCTION("""COMPUTED_VALUE"""),"")</f>
        <v/>
      </c>
    </row>
    <row r="4134">
      <c r="G4134" s="16" t="str">
        <f>IFERROR(__xludf.DUMMYFUNCTION("""COMPUTED_VALUE"""),"")</f>
        <v/>
      </c>
    </row>
    <row r="4135">
      <c r="G4135" s="16" t="str">
        <f>IFERROR(__xludf.DUMMYFUNCTION("""COMPUTED_VALUE"""),"")</f>
        <v/>
      </c>
    </row>
    <row r="4136">
      <c r="G4136" s="16" t="str">
        <f>IFERROR(__xludf.DUMMYFUNCTION("""COMPUTED_VALUE"""),"")</f>
        <v/>
      </c>
    </row>
    <row r="4137">
      <c r="G4137" s="16" t="str">
        <f>IFERROR(__xludf.DUMMYFUNCTION("""COMPUTED_VALUE"""),"")</f>
        <v/>
      </c>
    </row>
    <row r="4138">
      <c r="G4138" s="16" t="str">
        <f>IFERROR(__xludf.DUMMYFUNCTION("""COMPUTED_VALUE"""),"")</f>
        <v/>
      </c>
    </row>
    <row r="4139">
      <c r="G4139" s="16" t="str">
        <f>IFERROR(__xludf.DUMMYFUNCTION("""COMPUTED_VALUE"""),"")</f>
        <v/>
      </c>
    </row>
    <row r="4140">
      <c r="G4140" s="16" t="str">
        <f>IFERROR(__xludf.DUMMYFUNCTION("""COMPUTED_VALUE"""),"")</f>
        <v/>
      </c>
    </row>
    <row r="4141">
      <c r="G4141" s="16" t="str">
        <f>IFERROR(__xludf.DUMMYFUNCTION("""COMPUTED_VALUE"""),"")</f>
        <v/>
      </c>
    </row>
    <row r="4142">
      <c r="G4142" s="16" t="str">
        <f>IFERROR(__xludf.DUMMYFUNCTION("""COMPUTED_VALUE"""),"")</f>
        <v/>
      </c>
    </row>
    <row r="4143">
      <c r="G4143" s="16" t="str">
        <f>IFERROR(__xludf.DUMMYFUNCTION("""COMPUTED_VALUE"""),"")</f>
        <v/>
      </c>
    </row>
    <row r="4144">
      <c r="G4144" s="16" t="str">
        <f>IFERROR(__xludf.DUMMYFUNCTION("""COMPUTED_VALUE"""),"")</f>
        <v/>
      </c>
    </row>
    <row r="4145">
      <c r="G4145" s="16" t="str">
        <f>IFERROR(__xludf.DUMMYFUNCTION("""COMPUTED_VALUE"""),"")</f>
        <v/>
      </c>
    </row>
    <row r="4146">
      <c r="G4146" s="16" t="str">
        <f>IFERROR(__xludf.DUMMYFUNCTION("""COMPUTED_VALUE"""),"")</f>
        <v/>
      </c>
    </row>
    <row r="4147">
      <c r="G4147" s="16" t="str">
        <f>IFERROR(__xludf.DUMMYFUNCTION("""COMPUTED_VALUE"""),"")</f>
        <v/>
      </c>
    </row>
    <row r="4148">
      <c r="G4148" s="16" t="str">
        <f>IFERROR(__xludf.DUMMYFUNCTION("""COMPUTED_VALUE"""),"")</f>
        <v/>
      </c>
    </row>
    <row r="4149">
      <c r="G4149" s="16" t="str">
        <f>IFERROR(__xludf.DUMMYFUNCTION("""COMPUTED_VALUE"""),"")</f>
        <v/>
      </c>
    </row>
    <row r="4150">
      <c r="G4150" s="16" t="str">
        <f>IFERROR(__xludf.DUMMYFUNCTION("""COMPUTED_VALUE"""),"")</f>
        <v/>
      </c>
    </row>
    <row r="4151">
      <c r="G4151" s="16" t="str">
        <f>IFERROR(__xludf.DUMMYFUNCTION("""COMPUTED_VALUE"""),"")</f>
        <v/>
      </c>
    </row>
    <row r="4152">
      <c r="G4152" s="16" t="str">
        <f>IFERROR(__xludf.DUMMYFUNCTION("""COMPUTED_VALUE"""),"")</f>
        <v/>
      </c>
    </row>
    <row r="4153">
      <c r="G4153" s="16" t="str">
        <f>IFERROR(__xludf.DUMMYFUNCTION("""COMPUTED_VALUE"""),"")</f>
        <v/>
      </c>
    </row>
    <row r="4154">
      <c r="G4154" s="16" t="str">
        <f>IFERROR(__xludf.DUMMYFUNCTION("""COMPUTED_VALUE"""),"")</f>
        <v/>
      </c>
    </row>
    <row r="4155">
      <c r="G4155" s="16" t="str">
        <f>IFERROR(__xludf.DUMMYFUNCTION("""COMPUTED_VALUE"""),"")</f>
        <v/>
      </c>
    </row>
    <row r="4156">
      <c r="G4156" s="16" t="str">
        <f>IFERROR(__xludf.DUMMYFUNCTION("""COMPUTED_VALUE"""),"")</f>
        <v/>
      </c>
    </row>
    <row r="4157">
      <c r="G4157" s="16" t="str">
        <f>IFERROR(__xludf.DUMMYFUNCTION("""COMPUTED_VALUE"""),"")</f>
        <v/>
      </c>
    </row>
    <row r="4158">
      <c r="G4158" s="16" t="str">
        <f>IFERROR(__xludf.DUMMYFUNCTION("""COMPUTED_VALUE"""),"")</f>
        <v/>
      </c>
    </row>
    <row r="4159">
      <c r="G4159" s="16" t="str">
        <f>IFERROR(__xludf.DUMMYFUNCTION("""COMPUTED_VALUE"""),"")</f>
        <v/>
      </c>
    </row>
    <row r="4160">
      <c r="G4160" s="16" t="str">
        <f>IFERROR(__xludf.DUMMYFUNCTION("""COMPUTED_VALUE"""),"")</f>
        <v/>
      </c>
    </row>
    <row r="4161">
      <c r="G4161" s="16" t="str">
        <f>IFERROR(__xludf.DUMMYFUNCTION("""COMPUTED_VALUE"""),"")</f>
        <v/>
      </c>
    </row>
    <row r="4162">
      <c r="G4162" s="16" t="str">
        <f>IFERROR(__xludf.DUMMYFUNCTION("""COMPUTED_VALUE"""),"")</f>
        <v/>
      </c>
    </row>
    <row r="4163">
      <c r="G4163" s="16" t="str">
        <f>IFERROR(__xludf.DUMMYFUNCTION("""COMPUTED_VALUE"""),"")</f>
        <v/>
      </c>
    </row>
    <row r="4164">
      <c r="G4164" s="16" t="str">
        <f>IFERROR(__xludf.DUMMYFUNCTION("""COMPUTED_VALUE"""),"")</f>
        <v/>
      </c>
    </row>
    <row r="4165">
      <c r="G4165" s="16" t="str">
        <f>IFERROR(__xludf.DUMMYFUNCTION("""COMPUTED_VALUE"""),"")</f>
        <v/>
      </c>
    </row>
    <row r="4166">
      <c r="G4166" s="16" t="str">
        <f>IFERROR(__xludf.DUMMYFUNCTION("""COMPUTED_VALUE"""),"")</f>
        <v/>
      </c>
    </row>
    <row r="4167">
      <c r="G4167" s="16" t="str">
        <f>IFERROR(__xludf.DUMMYFUNCTION("""COMPUTED_VALUE"""),"")</f>
        <v/>
      </c>
    </row>
    <row r="4168">
      <c r="G4168" s="16" t="str">
        <f>IFERROR(__xludf.DUMMYFUNCTION("""COMPUTED_VALUE"""),"")</f>
        <v/>
      </c>
    </row>
    <row r="4169">
      <c r="G4169" s="16" t="str">
        <f>IFERROR(__xludf.DUMMYFUNCTION("""COMPUTED_VALUE"""),"")</f>
        <v/>
      </c>
    </row>
    <row r="4170">
      <c r="G4170" s="16" t="str">
        <f>IFERROR(__xludf.DUMMYFUNCTION("""COMPUTED_VALUE"""),"")</f>
        <v/>
      </c>
    </row>
    <row r="4171">
      <c r="G4171" s="16" t="str">
        <f>IFERROR(__xludf.DUMMYFUNCTION("""COMPUTED_VALUE"""),"")</f>
        <v/>
      </c>
    </row>
    <row r="4172">
      <c r="G4172" s="16" t="str">
        <f>IFERROR(__xludf.DUMMYFUNCTION("""COMPUTED_VALUE"""),"")</f>
        <v/>
      </c>
    </row>
    <row r="4173">
      <c r="G4173" s="16" t="str">
        <f>IFERROR(__xludf.DUMMYFUNCTION("""COMPUTED_VALUE"""),"")</f>
        <v/>
      </c>
    </row>
    <row r="4174">
      <c r="G4174" s="16" t="str">
        <f>IFERROR(__xludf.DUMMYFUNCTION("""COMPUTED_VALUE"""),"")</f>
        <v/>
      </c>
    </row>
    <row r="4175">
      <c r="G4175" s="16" t="str">
        <f>IFERROR(__xludf.DUMMYFUNCTION("""COMPUTED_VALUE"""),"")</f>
        <v/>
      </c>
    </row>
    <row r="4176">
      <c r="G4176" s="16" t="str">
        <f>IFERROR(__xludf.DUMMYFUNCTION("""COMPUTED_VALUE"""),"")</f>
        <v/>
      </c>
    </row>
    <row r="4177">
      <c r="G4177" s="16" t="str">
        <f>IFERROR(__xludf.DUMMYFUNCTION("""COMPUTED_VALUE"""),"")</f>
        <v/>
      </c>
    </row>
    <row r="4178">
      <c r="G4178" s="16" t="str">
        <f>IFERROR(__xludf.DUMMYFUNCTION("""COMPUTED_VALUE"""),"")</f>
        <v/>
      </c>
    </row>
    <row r="4179">
      <c r="G4179" s="16" t="str">
        <f>IFERROR(__xludf.DUMMYFUNCTION("""COMPUTED_VALUE"""),"")</f>
        <v/>
      </c>
    </row>
    <row r="4180">
      <c r="G4180" s="16" t="str">
        <f>IFERROR(__xludf.DUMMYFUNCTION("""COMPUTED_VALUE"""),"")</f>
        <v/>
      </c>
    </row>
    <row r="4181">
      <c r="G4181" s="16" t="str">
        <f>IFERROR(__xludf.DUMMYFUNCTION("""COMPUTED_VALUE"""),"")</f>
        <v/>
      </c>
    </row>
    <row r="4182">
      <c r="G4182" s="16" t="str">
        <f>IFERROR(__xludf.DUMMYFUNCTION("""COMPUTED_VALUE"""),"")</f>
        <v/>
      </c>
    </row>
    <row r="4183">
      <c r="G4183" s="16" t="str">
        <f>IFERROR(__xludf.DUMMYFUNCTION("""COMPUTED_VALUE"""),"")</f>
        <v/>
      </c>
    </row>
    <row r="4184">
      <c r="G4184" s="16" t="str">
        <f>IFERROR(__xludf.DUMMYFUNCTION("""COMPUTED_VALUE"""),"")</f>
        <v/>
      </c>
    </row>
    <row r="4185">
      <c r="G4185" s="16" t="str">
        <f>IFERROR(__xludf.DUMMYFUNCTION("""COMPUTED_VALUE"""),"")</f>
        <v/>
      </c>
    </row>
    <row r="4186">
      <c r="G4186" s="16" t="str">
        <f>IFERROR(__xludf.DUMMYFUNCTION("""COMPUTED_VALUE"""),"")</f>
        <v/>
      </c>
    </row>
    <row r="4187">
      <c r="G4187" s="16" t="str">
        <f>IFERROR(__xludf.DUMMYFUNCTION("""COMPUTED_VALUE"""),"")</f>
        <v/>
      </c>
    </row>
    <row r="4188">
      <c r="G4188" s="16" t="str">
        <f>IFERROR(__xludf.DUMMYFUNCTION("""COMPUTED_VALUE"""),"")</f>
        <v/>
      </c>
    </row>
    <row r="4189">
      <c r="G4189" s="16" t="str">
        <f>IFERROR(__xludf.DUMMYFUNCTION("""COMPUTED_VALUE"""),"")</f>
        <v/>
      </c>
    </row>
    <row r="4190">
      <c r="G4190" s="16" t="str">
        <f>IFERROR(__xludf.DUMMYFUNCTION("""COMPUTED_VALUE"""),"")</f>
        <v/>
      </c>
    </row>
    <row r="4191">
      <c r="G4191" s="16" t="str">
        <f>IFERROR(__xludf.DUMMYFUNCTION("""COMPUTED_VALUE"""),"")</f>
        <v/>
      </c>
    </row>
    <row r="4192">
      <c r="G4192" s="16" t="str">
        <f>IFERROR(__xludf.DUMMYFUNCTION("""COMPUTED_VALUE"""),"")</f>
        <v/>
      </c>
    </row>
    <row r="4193">
      <c r="G4193" s="16" t="str">
        <f>IFERROR(__xludf.DUMMYFUNCTION("""COMPUTED_VALUE"""),"")</f>
        <v/>
      </c>
    </row>
    <row r="4194">
      <c r="G4194" s="16" t="str">
        <f>IFERROR(__xludf.DUMMYFUNCTION("""COMPUTED_VALUE"""),"")</f>
        <v/>
      </c>
    </row>
    <row r="4195">
      <c r="G4195" s="16" t="str">
        <f>IFERROR(__xludf.DUMMYFUNCTION("""COMPUTED_VALUE"""),"")</f>
        <v/>
      </c>
    </row>
    <row r="4196">
      <c r="G4196" s="16" t="str">
        <f>IFERROR(__xludf.DUMMYFUNCTION("""COMPUTED_VALUE"""),"")</f>
        <v/>
      </c>
    </row>
    <row r="4197">
      <c r="G4197" s="16" t="str">
        <f>IFERROR(__xludf.DUMMYFUNCTION("""COMPUTED_VALUE"""),"")</f>
        <v/>
      </c>
    </row>
    <row r="4198">
      <c r="G4198" s="16" t="str">
        <f>IFERROR(__xludf.DUMMYFUNCTION("""COMPUTED_VALUE"""),"")</f>
        <v/>
      </c>
    </row>
    <row r="4199">
      <c r="G4199" s="16" t="str">
        <f>IFERROR(__xludf.DUMMYFUNCTION("""COMPUTED_VALUE"""),"")</f>
        <v/>
      </c>
    </row>
    <row r="4200">
      <c r="G4200" s="16" t="str">
        <f>IFERROR(__xludf.DUMMYFUNCTION("""COMPUTED_VALUE"""),"")</f>
        <v/>
      </c>
    </row>
    <row r="4201">
      <c r="G4201" s="16" t="str">
        <f>IFERROR(__xludf.DUMMYFUNCTION("""COMPUTED_VALUE"""),"")</f>
        <v/>
      </c>
    </row>
    <row r="4202">
      <c r="G4202" s="16" t="str">
        <f>IFERROR(__xludf.DUMMYFUNCTION("""COMPUTED_VALUE"""),"")</f>
        <v/>
      </c>
    </row>
    <row r="4203">
      <c r="G4203" s="16" t="str">
        <f>IFERROR(__xludf.DUMMYFUNCTION("""COMPUTED_VALUE"""),"")</f>
        <v/>
      </c>
    </row>
    <row r="4204">
      <c r="G4204" s="16" t="str">
        <f>IFERROR(__xludf.DUMMYFUNCTION("""COMPUTED_VALUE"""),"")</f>
        <v/>
      </c>
    </row>
    <row r="4205">
      <c r="G4205" s="16" t="str">
        <f>IFERROR(__xludf.DUMMYFUNCTION("""COMPUTED_VALUE"""),"")</f>
        <v/>
      </c>
    </row>
    <row r="4206">
      <c r="G4206" s="16" t="str">
        <f>IFERROR(__xludf.DUMMYFUNCTION("""COMPUTED_VALUE"""),"")</f>
        <v/>
      </c>
    </row>
    <row r="4207">
      <c r="G4207" s="16" t="str">
        <f>IFERROR(__xludf.DUMMYFUNCTION("""COMPUTED_VALUE"""),"")</f>
        <v/>
      </c>
    </row>
    <row r="4208">
      <c r="G4208" s="16" t="str">
        <f>IFERROR(__xludf.DUMMYFUNCTION("""COMPUTED_VALUE"""),"")</f>
        <v/>
      </c>
    </row>
    <row r="4209">
      <c r="G4209" s="16" t="str">
        <f>IFERROR(__xludf.DUMMYFUNCTION("""COMPUTED_VALUE"""),"")</f>
        <v/>
      </c>
    </row>
    <row r="4210">
      <c r="G4210" s="16" t="str">
        <f>IFERROR(__xludf.DUMMYFUNCTION("""COMPUTED_VALUE"""),"")</f>
        <v/>
      </c>
    </row>
    <row r="4211">
      <c r="G4211" s="16" t="str">
        <f>IFERROR(__xludf.DUMMYFUNCTION("""COMPUTED_VALUE"""),"")</f>
        <v/>
      </c>
    </row>
    <row r="4212">
      <c r="G4212" s="16" t="str">
        <f>IFERROR(__xludf.DUMMYFUNCTION("""COMPUTED_VALUE"""),"")</f>
        <v/>
      </c>
    </row>
    <row r="4213">
      <c r="G4213" s="16" t="str">
        <f>IFERROR(__xludf.DUMMYFUNCTION("""COMPUTED_VALUE"""),"")</f>
        <v/>
      </c>
    </row>
    <row r="4214">
      <c r="G4214" s="16" t="str">
        <f>IFERROR(__xludf.DUMMYFUNCTION("""COMPUTED_VALUE"""),"")</f>
        <v/>
      </c>
    </row>
    <row r="4215">
      <c r="G4215" s="16" t="str">
        <f>IFERROR(__xludf.DUMMYFUNCTION("""COMPUTED_VALUE"""),"")</f>
        <v/>
      </c>
    </row>
    <row r="4216">
      <c r="G4216" s="16" t="str">
        <f>IFERROR(__xludf.DUMMYFUNCTION("""COMPUTED_VALUE"""),"")</f>
        <v/>
      </c>
    </row>
    <row r="4217">
      <c r="G4217" s="16" t="str">
        <f>IFERROR(__xludf.DUMMYFUNCTION("""COMPUTED_VALUE"""),"")</f>
        <v/>
      </c>
    </row>
    <row r="4218">
      <c r="G4218" s="16" t="str">
        <f>IFERROR(__xludf.DUMMYFUNCTION("""COMPUTED_VALUE"""),"")</f>
        <v/>
      </c>
    </row>
    <row r="4219">
      <c r="G4219" s="16" t="str">
        <f>IFERROR(__xludf.DUMMYFUNCTION("""COMPUTED_VALUE"""),"")</f>
        <v/>
      </c>
    </row>
    <row r="4220">
      <c r="G4220" s="16" t="str">
        <f>IFERROR(__xludf.DUMMYFUNCTION("""COMPUTED_VALUE"""),"")</f>
        <v/>
      </c>
    </row>
    <row r="4221">
      <c r="G4221" s="16" t="str">
        <f>IFERROR(__xludf.DUMMYFUNCTION("""COMPUTED_VALUE"""),"")</f>
        <v/>
      </c>
    </row>
    <row r="4222">
      <c r="G4222" s="16" t="str">
        <f>IFERROR(__xludf.DUMMYFUNCTION("""COMPUTED_VALUE"""),"")</f>
        <v/>
      </c>
    </row>
    <row r="4223">
      <c r="G4223" s="16" t="str">
        <f>IFERROR(__xludf.DUMMYFUNCTION("""COMPUTED_VALUE"""),"")</f>
        <v/>
      </c>
    </row>
    <row r="4224">
      <c r="G4224" s="16" t="str">
        <f>IFERROR(__xludf.DUMMYFUNCTION("""COMPUTED_VALUE"""),"")</f>
        <v/>
      </c>
    </row>
    <row r="4225">
      <c r="G4225" s="16" t="str">
        <f>IFERROR(__xludf.DUMMYFUNCTION("""COMPUTED_VALUE"""),"")</f>
        <v/>
      </c>
    </row>
    <row r="4226">
      <c r="G4226" s="16" t="str">
        <f>IFERROR(__xludf.DUMMYFUNCTION("""COMPUTED_VALUE"""),"")</f>
        <v/>
      </c>
    </row>
    <row r="4227">
      <c r="G4227" s="16" t="str">
        <f>IFERROR(__xludf.DUMMYFUNCTION("""COMPUTED_VALUE"""),"")</f>
        <v/>
      </c>
    </row>
    <row r="4228">
      <c r="G4228" s="16" t="str">
        <f>IFERROR(__xludf.DUMMYFUNCTION("""COMPUTED_VALUE"""),"")</f>
        <v/>
      </c>
    </row>
    <row r="4229">
      <c r="G4229" s="16" t="str">
        <f>IFERROR(__xludf.DUMMYFUNCTION("""COMPUTED_VALUE"""),"")</f>
        <v/>
      </c>
    </row>
    <row r="4230">
      <c r="G4230" s="16" t="str">
        <f>IFERROR(__xludf.DUMMYFUNCTION("""COMPUTED_VALUE"""),"")</f>
        <v/>
      </c>
    </row>
    <row r="4231">
      <c r="G4231" s="16" t="str">
        <f>IFERROR(__xludf.DUMMYFUNCTION("""COMPUTED_VALUE"""),"")</f>
        <v/>
      </c>
    </row>
    <row r="4232">
      <c r="G4232" s="16" t="str">
        <f>IFERROR(__xludf.DUMMYFUNCTION("""COMPUTED_VALUE"""),"")</f>
        <v/>
      </c>
    </row>
    <row r="4233">
      <c r="G4233" s="16" t="str">
        <f>IFERROR(__xludf.DUMMYFUNCTION("""COMPUTED_VALUE"""),"")</f>
        <v/>
      </c>
    </row>
    <row r="4234">
      <c r="G4234" s="16" t="str">
        <f>IFERROR(__xludf.DUMMYFUNCTION("""COMPUTED_VALUE"""),"")</f>
        <v/>
      </c>
    </row>
    <row r="4235">
      <c r="G4235" s="16" t="str">
        <f>IFERROR(__xludf.DUMMYFUNCTION("""COMPUTED_VALUE"""),"")</f>
        <v/>
      </c>
    </row>
    <row r="4236">
      <c r="G4236" s="16" t="str">
        <f>IFERROR(__xludf.DUMMYFUNCTION("""COMPUTED_VALUE"""),"")</f>
        <v/>
      </c>
    </row>
    <row r="4237">
      <c r="G4237" s="16" t="str">
        <f>IFERROR(__xludf.DUMMYFUNCTION("""COMPUTED_VALUE"""),"")</f>
        <v/>
      </c>
    </row>
    <row r="4238">
      <c r="G4238" s="16" t="str">
        <f>IFERROR(__xludf.DUMMYFUNCTION("""COMPUTED_VALUE"""),"")</f>
        <v/>
      </c>
    </row>
    <row r="4239">
      <c r="G4239" s="16" t="str">
        <f>IFERROR(__xludf.DUMMYFUNCTION("""COMPUTED_VALUE"""),"")</f>
        <v/>
      </c>
    </row>
    <row r="4240">
      <c r="G4240" s="16" t="str">
        <f>IFERROR(__xludf.DUMMYFUNCTION("""COMPUTED_VALUE"""),"")</f>
        <v/>
      </c>
    </row>
    <row r="4241">
      <c r="G4241" s="16" t="str">
        <f>IFERROR(__xludf.DUMMYFUNCTION("""COMPUTED_VALUE"""),"")</f>
        <v/>
      </c>
    </row>
    <row r="4242">
      <c r="G4242" s="16" t="str">
        <f>IFERROR(__xludf.DUMMYFUNCTION("""COMPUTED_VALUE"""),"")</f>
        <v/>
      </c>
    </row>
    <row r="4243">
      <c r="G4243" s="16" t="str">
        <f>IFERROR(__xludf.DUMMYFUNCTION("""COMPUTED_VALUE"""),"")</f>
        <v/>
      </c>
    </row>
    <row r="4244">
      <c r="G4244" s="16" t="str">
        <f>IFERROR(__xludf.DUMMYFUNCTION("""COMPUTED_VALUE"""),"")</f>
        <v/>
      </c>
    </row>
    <row r="4245">
      <c r="G4245" s="16" t="str">
        <f>IFERROR(__xludf.DUMMYFUNCTION("""COMPUTED_VALUE"""),"")</f>
        <v/>
      </c>
    </row>
    <row r="4246">
      <c r="G4246" s="16" t="str">
        <f>IFERROR(__xludf.DUMMYFUNCTION("""COMPUTED_VALUE"""),"")</f>
        <v/>
      </c>
    </row>
    <row r="4247">
      <c r="G4247" s="16" t="str">
        <f>IFERROR(__xludf.DUMMYFUNCTION("""COMPUTED_VALUE"""),"")</f>
        <v/>
      </c>
    </row>
    <row r="4248">
      <c r="G4248" s="16" t="str">
        <f>IFERROR(__xludf.DUMMYFUNCTION("""COMPUTED_VALUE"""),"")</f>
        <v/>
      </c>
    </row>
    <row r="4249">
      <c r="G4249" s="16" t="str">
        <f>IFERROR(__xludf.DUMMYFUNCTION("""COMPUTED_VALUE"""),"")</f>
        <v/>
      </c>
    </row>
    <row r="4250">
      <c r="G4250" s="16" t="str">
        <f>IFERROR(__xludf.DUMMYFUNCTION("""COMPUTED_VALUE"""),"")</f>
        <v/>
      </c>
    </row>
    <row r="4251">
      <c r="G4251" s="16" t="str">
        <f>IFERROR(__xludf.DUMMYFUNCTION("""COMPUTED_VALUE"""),"")</f>
        <v/>
      </c>
    </row>
    <row r="4252">
      <c r="G4252" s="16" t="str">
        <f>IFERROR(__xludf.DUMMYFUNCTION("""COMPUTED_VALUE"""),"")</f>
        <v/>
      </c>
    </row>
    <row r="4253">
      <c r="G4253" s="16" t="str">
        <f>IFERROR(__xludf.DUMMYFUNCTION("""COMPUTED_VALUE"""),"")</f>
        <v/>
      </c>
    </row>
    <row r="4254">
      <c r="G4254" s="16" t="str">
        <f>IFERROR(__xludf.DUMMYFUNCTION("""COMPUTED_VALUE"""),"")</f>
        <v/>
      </c>
    </row>
    <row r="4255">
      <c r="G4255" s="16" t="str">
        <f>IFERROR(__xludf.DUMMYFUNCTION("""COMPUTED_VALUE"""),"")</f>
        <v/>
      </c>
    </row>
    <row r="4256">
      <c r="G4256" s="16" t="str">
        <f>IFERROR(__xludf.DUMMYFUNCTION("""COMPUTED_VALUE"""),"")</f>
        <v/>
      </c>
    </row>
    <row r="4257">
      <c r="G4257" s="16" t="str">
        <f>IFERROR(__xludf.DUMMYFUNCTION("""COMPUTED_VALUE"""),"")</f>
        <v/>
      </c>
    </row>
    <row r="4258">
      <c r="G4258" s="16" t="str">
        <f>IFERROR(__xludf.DUMMYFUNCTION("""COMPUTED_VALUE"""),"")</f>
        <v/>
      </c>
    </row>
    <row r="4259">
      <c r="G4259" s="16" t="str">
        <f>IFERROR(__xludf.DUMMYFUNCTION("""COMPUTED_VALUE"""),"")</f>
        <v/>
      </c>
    </row>
    <row r="4260">
      <c r="G4260" s="16" t="str">
        <f>IFERROR(__xludf.DUMMYFUNCTION("""COMPUTED_VALUE"""),"")</f>
        <v/>
      </c>
    </row>
    <row r="4261">
      <c r="G4261" s="16" t="str">
        <f>IFERROR(__xludf.DUMMYFUNCTION("""COMPUTED_VALUE"""),"")</f>
        <v/>
      </c>
    </row>
    <row r="4262">
      <c r="G4262" s="16" t="str">
        <f>IFERROR(__xludf.DUMMYFUNCTION("""COMPUTED_VALUE"""),"")</f>
        <v/>
      </c>
    </row>
    <row r="4263">
      <c r="G4263" s="16" t="str">
        <f>IFERROR(__xludf.DUMMYFUNCTION("""COMPUTED_VALUE"""),"")</f>
        <v/>
      </c>
    </row>
    <row r="4264">
      <c r="G4264" s="16" t="str">
        <f>IFERROR(__xludf.DUMMYFUNCTION("""COMPUTED_VALUE"""),"")</f>
        <v/>
      </c>
    </row>
    <row r="4265">
      <c r="G4265" s="16" t="str">
        <f>IFERROR(__xludf.DUMMYFUNCTION("""COMPUTED_VALUE"""),"")</f>
        <v/>
      </c>
    </row>
    <row r="4266">
      <c r="G4266" s="16" t="str">
        <f>IFERROR(__xludf.DUMMYFUNCTION("""COMPUTED_VALUE"""),"")</f>
        <v/>
      </c>
    </row>
    <row r="4267">
      <c r="G4267" s="16" t="str">
        <f>IFERROR(__xludf.DUMMYFUNCTION("""COMPUTED_VALUE"""),"")</f>
        <v/>
      </c>
    </row>
    <row r="4268">
      <c r="G4268" s="16" t="str">
        <f>IFERROR(__xludf.DUMMYFUNCTION("""COMPUTED_VALUE"""),"")</f>
        <v/>
      </c>
    </row>
    <row r="4269">
      <c r="G4269" s="16" t="str">
        <f>IFERROR(__xludf.DUMMYFUNCTION("""COMPUTED_VALUE"""),"")</f>
        <v/>
      </c>
    </row>
    <row r="4270">
      <c r="G4270" s="16" t="str">
        <f>IFERROR(__xludf.DUMMYFUNCTION("""COMPUTED_VALUE"""),"")</f>
        <v/>
      </c>
    </row>
    <row r="4271">
      <c r="G4271" s="16" t="str">
        <f>IFERROR(__xludf.DUMMYFUNCTION("""COMPUTED_VALUE"""),"")</f>
        <v/>
      </c>
    </row>
    <row r="4272">
      <c r="G4272" s="16" t="str">
        <f>IFERROR(__xludf.DUMMYFUNCTION("""COMPUTED_VALUE"""),"")</f>
        <v/>
      </c>
    </row>
    <row r="4273">
      <c r="G4273" s="16" t="str">
        <f>IFERROR(__xludf.DUMMYFUNCTION("""COMPUTED_VALUE"""),"")</f>
        <v/>
      </c>
    </row>
    <row r="4274">
      <c r="G4274" s="16" t="str">
        <f>IFERROR(__xludf.DUMMYFUNCTION("""COMPUTED_VALUE"""),"")</f>
        <v/>
      </c>
    </row>
    <row r="4275">
      <c r="G4275" s="16" t="str">
        <f>IFERROR(__xludf.DUMMYFUNCTION("""COMPUTED_VALUE"""),"")</f>
        <v/>
      </c>
    </row>
    <row r="4276">
      <c r="G4276" s="16" t="str">
        <f>IFERROR(__xludf.DUMMYFUNCTION("""COMPUTED_VALUE"""),"")</f>
        <v/>
      </c>
    </row>
    <row r="4277">
      <c r="G4277" s="16" t="str">
        <f>IFERROR(__xludf.DUMMYFUNCTION("""COMPUTED_VALUE"""),"")</f>
        <v/>
      </c>
    </row>
    <row r="4278">
      <c r="G4278" s="16" t="str">
        <f>IFERROR(__xludf.DUMMYFUNCTION("""COMPUTED_VALUE"""),"")</f>
        <v/>
      </c>
    </row>
    <row r="4279">
      <c r="G4279" s="16" t="str">
        <f>IFERROR(__xludf.DUMMYFUNCTION("""COMPUTED_VALUE"""),"")</f>
        <v/>
      </c>
    </row>
    <row r="4280">
      <c r="G4280" s="16" t="str">
        <f>IFERROR(__xludf.DUMMYFUNCTION("""COMPUTED_VALUE"""),"")</f>
        <v/>
      </c>
    </row>
    <row r="4281">
      <c r="G4281" s="16" t="str">
        <f>IFERROR(__xludf.DUMMYFUNCTION("""COMPUTED_VALUE"""),"")</f>
        <v/>
      </c>
    </row>
    <row r="4282">
      <c r="G4282" s="16" t="str">
        <f>IFERROR(__xludf.DUMMYFUNCTION("""COMPUTED_VALUE"""),"")</f>
        <v/>
      </c>
    </row>
    <row r="4283">
      <c r="G4283" s="16" t="str">
        <f>IFERROR(__xludf.DUMMYFUNCTION("""COMPUTED_VALUE"""),"")</f>
        <v/>
      </c>
    </row>
    <row r="4284">
      <c r="G4284" s="16" t="str">
        <f>IFERROR(__xludf.DUMMYFUNCTION("""COMPUTED_VALUE"""),"")</f>
        <v/>
      </c>
    </row>
    <row r="4285">
      <c r="G4285" s="16" t="str">
        <f>IFERROR(__xludf.DUMMYFUNCTION("""COMPUTED_VALUE"""),"")</f>
        <v/>
      </c>
    </row>
    <row r="4286">
      <c r="G4286" s="16" t="str">
        <f>IFERROR(__xludf.DUMMYFUNCTION("""COMPUTED_VALUE"""),"")</f>
        <v/>
      </c>
    </row>
    <row r="4287">
      <c r="G4287" s="16" t="str">
        <f>IFERROR(__xludf.DUMMYFUNCTION("""COMPUTED_VALUE"""),"")</f>
        <v/>
      </c>
    </row>
    <row r="4288">
      <c r="G4288" s="16" t="str">
        <f>IFERROR(__xludf.DUMMYFUNCTION("""COMPUTED_VALUE"""),"")</f>
        <v/>
      </c>
    </row>
    <row r="4289">
      <c r="G4289" s="16" t="str">
        <f>IFERROR(__xludf.DUMMYFUNCTION("""COMPUTED_VALUE"""),"")</f>
        <v/>
      </c>
    </row>
    <row r="4290">
      <c r="G4290" s="16" t="str">
        <f>IFERROR(__xludf.DUMMYFUNCTION("""COMPUTED_VALUE"""),"")</f>
        <v/>
      </c>
    </row>
    <row r="4291">
      <c r="G4291" s="16" t="str">
        <f>IFERROR(__xludf.DUMMYFUNCTION("""COMPUTED_VALUE"""),"")</f>
        <v/>
      </c>
    </row>
    <row r="4292">
      <c r="G4292" s="16" t="str">
        <f>IFERROR(__xludf.DUMMYFUNCTION("""COMPUTED_VALUE"""),"")</f>
        <v/>
      </c>
    </row>
    <row r="4293">
      <c r="G4293" s="16" t="str">
        <f>IFERROR(__xludf.DUMMYFUNCTION("""COMPUTED_VALUE"""),"")</f>
        <v/>
      </c>
    </row>
    <row r="4294">
      <c r="G4294" s="16" t="str">
        <f>IFERROR(__xludf.DUMMYFUNCTION("""COMPUTED_VALUE"""),"")</f>
        <v/>
      </c>
    </row>
    <row r="4295">
      <c r="G4295" s="16" t="str">
        <f>IFERROR(__xludf.DUMMYFUNCTION("""COMPUTED_VALUE"""),"")</f>
        <v/>
      </c>
    </row>
    <row r="4296">
      <c r="G4296" s="16" t="str">
        <f>IFERROR(__xludf.DUMMYFUNCTION("""COMPUTED_VALUE"""),"")</f>
        <v/>
      </c>
    </row>
    <row r="4297">
      <c r="G4297" s="16" t="str">
        <f>IFERROR(__xludf.DUMMYFUNCTION("""COMPUTED_VALUE"""),"")</f>
        <v/>
      </c>
    </row>
    <row r="4298">
      <c r="G4298" s="16" t="str">
        <f>IFERROR(__xludf.DUMMYFUNCTION("""COMPUTED_VALUE"""),"")</f>
        <v/>
      </c>
    </row>
    <row r="4299">
      <c r="G4299" s="16" t="str">
        <f>IFERROR(__xludf.DUMMYFUNCTION("""COMPUTED_VALUE"""),"")</f>
        <v/>
      </c>
    </row>
    <row r="4300">
      <c r="G4300" s="16" t="str">
        <f>IFERROR(__xludf.DUMMYFUNCTION("""COMPUTED_VALUE"""),"")</f>
        <v/>
      </c>
    </row>
    <row r="4301">
      <c r="G4301" s="16" t="str">
        <f>IFERROR(__xludf.DUMMYFUNCTION("""COMPUTED_VALUE"""),"")</f>
        <v/>
      </c>
    </row>
    <row r="4302">
      <c r="G4302" s="16" t="str">
        <f>IFERROR(__xludf.DUMMYFUNCTION("""COMPUTED_VALUE"""),"")</f>
        <v/>
      </c>
    </row>
    <row r="4303">
      <c r="G4303" s="16" t="str">
        <f>IFERROR(__xludf.DUMMYFUNCTION("""COMPUTED_VALUE"""),"")</f>
        <v/>
      </c>
    </row>
    <row r="4304">
      <c r="G4304" s="16" t="str">
        <f>IFERROR(__xludf.DUMMYFUNCTION("""COMPUTED_VALUE"""),"")</f>
        <v/>
      </c>
    </row>
    <row r="4305">
      <c r="G4305" s="16" t="str">
        <f>IFERROR(__xludf.DUMMYFUNCTION("""COMPUTED_VALUE"""),"")</f>
        <v/>
      </c>
    </row>
    <row r="4306">
      <c r="G4306" s="16" t="str">
        <f>IFERROR(__xludf.DUMMYFUNCTION("""COMPUTED_VALUE"""),"")</f>
        <v/>
      </c>
    </row>
    <row r="4307">
      <c r="G4307" s="16" t="str">
        <f>IFERROR(__xludf.DUMMYFUNCTION("""COMPUTED_VALUE"""),"")</f>
        <v/>
      </c>
    </row>
    <row r="4308">
      <c r="G4308" s="16" t="str">
        <f>IFERROR(__xludf.DUMMYFUNCTION("""COMPUTED_VALUE"""),"")</f>
        <v/>
      </c>
    </row>
    <row r="4309">
      <c r="G4309" s="16" t="str">
        <f>IFERROR(__xludf.DUMMYFUNCTION("""COMPUTED_VALUE"""),"")</f>
        <v/>
      </c>
    </row>
    <row r="4310">
      <c r="G4310" s="16" t="str">
        <f>IFERROR(__xludf.DUMMYFUNCTION("""COMPUTED_VALUE"""),"")</f>
        <v/>
      </c>
    </row>
    <row r="4311">
      <c r="G4311" s="16" t="str">
        <f>IFERROR(__xludf.DUMMYFUNCTION("""COMPUTED_VALUE"""),"")</f>
        <v/>
      </c>
    </row>
    <row r="4312">
      <c r="G4312" s="16" t="str">
        <f>IFERROR(__xludf.DUMMYFUNCTION("""COMPUTED_VALUE"""),"")</f>
        <v/>
      </c>
    </row>
    <row r="4313">
      <c r="G4313" s="16" t="str">
        <f>IFERROR(__xludf.DUMMYFUNCTION("""COMPUTED_VALUE"""),"")</f>
        <v/>
      </c>
    </row>
    <row r="4314">
      <c r="G4314" s="16" t="str">
        <f>IFERROR(__xludf.DUMMYFUNCTION("""COMPUTED_VALUE"""),"")</f>
        <v/>
      </c>
    </row>
    <row r="4315">
      <c r="G4315" s="16" t="str">
        <f>IFERROR(__xludf.DUMMYFUNCTION("""COMPUTED_VALUE"""),"")</f>
        <v/>
      </c>
    </row>
    <row r="4316">
      <c r="G4316" s="16" t="str">
        <f>IFERROR(__xludf.DUMMYFUNCTION("""COMPUTED_VALUE"""),"")</f>
        <v/>
      </c>
    </row>
    <row r="4317">
      <c r="G4317" s="16" t="str">
        <f>IFERROR(__xludf.DUMMYFUNCTION("""COMPUTED_VALUE"""),"")</f>
        <v/>
      </c>
    </row>
    <row r="4318">
      <c r="G4318" s="16" t="str">
        <f>IFERROR(__xludf.DUMMYFUNCTION("""COMPUTED_VALUE"""),"")</f>
        <v/>
      </c>
    </row>
    <row r="4319">
      <c r="G4319" s="16" t="str">
        <f>IFERROR(__xludf.DUMMYFUNCTION("""COMPUTED_VALUE"""),"")</f>
        <v/>
      </c>
    </row>
    <row r="4320">
      <c r="G4320" s="16" t="str">
        <f>IFERROR(__xludf.DUMMYFUNCTION("""COMPUTED_VALUE"""),"")</f>
        <v/>
      </c>
    </row>
    <row r="4321">
      <c r="G4321" s="16" t="str">
        <f>IFERROR(__xludf.DUMMYFUNCTION("""COMPUTED_VALUE"""),"")</f>
        <v/>
      </c>
    </row>
    <row r="4322">
      <c r="G4322" s="16" t="str">
        <f>IFERROR(__xludf.DUMMYFUNCTION("""COMPUTED_VALUE"""),"")</f>
        <v/>
      </c>
    </row>
    <row r="4323">
      <c r="G4323" s="16" t="str">
        <f>IFERROR(__xludf.DUMMYFUNCTION("""COMPUTED_VALUE"""),"")</f>
        <v/>
      </c>
    </row>
    <row r="4324">
      <c r="G4324" s="16" t="str">
        <f>IFERROR(__xludf.DUMMYFUNCTION("""COMPUTED_VALUE"""),"")</f>
        <v/>
      </c>
    </row>
    <row r="4325">
      <c r="G4325" s="16" t="str">
        <f>IFERROR(__xludf.DUMMYFUNCTION("""COMPUTED_VALUE"""),"")</f>
        <v/>
      </c>
    </row>
    <row r="4326">
      <c r="G4326" s="16" t="str">
        <f>IFERROR(__xludf.DUMMYFUNCTION("""COMPUTED_VALUE"""),"")</f>
        <v/>
      </c>
    </row>
    <row r="4327">
      <c r="G4327" s="16" t="str">
        <f>IFERROR(__xludf.DUMMYFUNCTION("""COMPUTED_VALUE"""),"")</f>
        <v/>
      </c>
    </row>
    <row r="4328">
      <c r="G4328" s="16" t="str">
        <f>IFERROR(__xludf.DUMMYFUNCTION("""COMPUTED_VALUE"""),"")</f>
        <v/>
      </c>
    </row>
    <row r="4329">
      <c r="G4329" s="16" t="str">
        <f>IFERROR(__xludf.DUMMYFUNCTION("""COMPUTED_VALUE"""),"")</f>
        <v/>
      </c>
    </row>
    <row r="4330">
      <c r="G4330" s="16" t="str">
        <f>IFERROR(__xludf.DUMMYFUNCTION("""COMPUTED_VALUE"""),"")</f>
        <v/>
      </c>
    </row>
    <row r="4331">
      <c r="G4331" s="16" t="str">
        <f>IFERROR(__xludf.DUMMYFUNCTION("""COMPUTED_VALUE"""),"")</f>
        <v/>
      </c>
    </row>
    <row r="4332">
      <c r="G4332" s="16" t="str">
        <f>IFERROR(__xludf.DUMMYFUNCTION("""COMPUTED_VALUE"""),"")</f>
        <v/>
      </c>
    </row>
    <row r="4333">
      <c r="G4333" s="16" t="str">
        <f>IFERROR(__xludf.DUMMYFUNCTION("""COMPUTED_VALUE"""),"")</f>
        <v/>
      </c>
    </row>
    <row r="4334">
      <c r="G4334" s="16" t="str">
        <f>IFERROR(__xludf.DUMMYFUNCTION("""COMPUTED_VALUE"""),"")</f>
        <v/>
      </c>
    </row>
    <row r="4335">
      <c r="G4335" s="16" t="str">
        <f>IFERROR(__xludf.DUMMYFUNCTION("""COMPUTED_VALUE"""),"")</f>
        <v/>
      </c>
    </row>
    <row r="4336">
      <c r="G4336" s="16" t="str">
        <f>IFERROR(__xludf.DUMMYFUNCTION("""COMPUTED_VALUE"""),"")</f>
        <v/>
      </c>
    </row>
    <row r="4337">
      <c r="G4337" s="16" t="str">
        <f>IFERROR(__xludf.DUMMYFUNCTION("""COMPUTED_VALUE"""),"")</f>
        <v/>
      </c>
    </row>
    <row r="4338">
      <c r="G4338" s="16" t="str">
        <f>IFERROR(__xludf.DUMMYFUNCTION("""COMPUTED_VALUE"""),"")</f>
        <v/>
      </c>
    </row>
    <row r="4339">
      <c r="G4339" s="16" t="str">
        <f>IFERROR(__xludf.DUMMYFUNCTION("""COMPUTED_VALUE"""),"")</f>
        <v/>
      </c>
    </row>
    <row r="4340">
      <c r="G4340" s="16" t="str">
        <f>IFERROR(__xludf.DUMMYFUNCTION("""COMPUTED_VALUE"""),"")</f>
        <v/>
      </c>
    </row>
    <row r="4341">
      <c r="G4341" s="16" t="str">
        <f>IFERROR(__xludf.DUMMYFUNCTION("""COMPUTED_VALUE"""),"")</f>
        <v/>
      </c>
    </row>
    <row r="4342">
      <c r="G4342" s="16" t="str">
        <f>IFERROR(__xludf.DUMMYFUNCTION("""COMPUTED_VALUE"""),"")</f>
        <v/>
      </c>
    </row>
    <row r="4343">
      <c r="G4343" s="16" t="str">
        <f>IFERROR(__xludf.DUMMYFUNCTION("""COMPUTED_VALUE"""),"")</f>
        <v/>
      </c>
    </row>
    <row r="4344">
      <c r="G4344" s="16" t="str">
        <f>IFERROR(__xludf.DUMMYFUNCTION("""COMPUTED_VALUE"""),"")</f>
        <v/>
      </c>
    </row>
    <row r="4345">
      <c r="G4345" s="16" t="str">
        <f>IFERROR(__xludf.DUMMYFUNCTION("""COMPUTED_VALUE"""),"")</f>
        <v/>
      </c>
    </row>
    <row r="4346">
      <c r="G4346" s="16" t="str">
        <f>IFERROR(__xludf.DUMMYFUNCTION("""COMPUTED_VALUE"""),"")</f>
        <v/>
      </c>
    </row>
    <row r="4347">
      <c r="G4347" s="16" t="str">
        <f>IFERROR(__xludf.DUMMYFUNCTION("""COMPUTED_VALUE"""),"")</f>
        <v/>
      </c>
    </row>
    <row r="4348">
      <c r="G4348" s="16" t="str">
        <f>IFERROR(__xludf.DUMMYFUNCTION("""COMPUTED_VALUE"""),"")</f>
        <v/>
      </c>
    </row>
    <row r="4349">
      <c r="G4349" s="16" t="str">
        <f>IFERROR(__xludf.DUMMYFUNCTION("""COMPUTED_VALUE"""),"")</f>
        <v/>
      </c>
    </row>
    <row r="4350">
      <c r="G4350" s="16" t="str">
        <f>IFERROR(__xludf.DUMMYFUNCTION("""COMPUTED_VALUE"""),"")</f>
        <v/>
      </c>
    </row>
    <row r="4351">
      <c r="G4351" s="16" t="str">
        <f>IFERROR(__xludf.DUMMYFUNCTION("""COMPUTED_VALUE"""),"")</f>
        <v/>
      </c>
    </row>
    <row r="4352">
      <c r="G4352" s="16" t="str">
        <f>IFERROR(__xludf.DUMMYFUNCTION("""COMPUTED_VALUE"""),"")</f>
        <v/>
      </c>
    </row>
    <row r="4353">
      <c r="G4353" s="16" t="str">
        <f>IFERROR(__xludf.DUMMYFUNCTION("""COMPUTED_VALUE"""),"")</f>
        <v/>
      </c>
    </row>
    <row r="4354">
      <c r="G4354" s="16" t="str">
        <f>IFERROR(__xludf.DUMMYFUNCTION("""COMPUTED_VALUE"""),"")</f>
        <v/>
      </c>
    </row>
    <row r="4355">
      <c r="G4355" s="16" t="str">
        <f>IFERROR(__xludf.DUMMYFUNCTION("""COMPUTED_VALUE"""),"")</f>
        <v/>
      </c>
    </row>
    <row r="4356">
      <c r="G4356" s="16" t="str">
        <f>IFERROR(__xludf.DUMMYFUNCTION("""COMPUTED_VALUE"""),"")</f>
        <v/>
      </c>
    </row>
    <row r="4357">
      <c r="G4357" s="16" t="str">
        <f>IFERROR(__xludf.DUMMYFUNCTION("""COMPUTED_VALUE"""),"")</f>
        <v/>
      </c>
    </row>
    <row r="4358">
      <c r="G4358" s="16" t="str">
        <f>IFERROR(__xludf.DUMMYFUNCTION("""COMPUTED_VALUE"""),"")</f>
        <v/>
      </c>
    </row>
    <row r="4359">
      <c r="G4359" s="16" t="str">
        <f>IFERROR(__xludf.DUMMYFUNCTION("""COMPUTED_VALUE"""),"")</f>
        <v/>
      </c>
    </row>
    <row r="4360">
      <c r="G4360" s="16" t="str">
        <f>IFERROR(__xludf.DUMMYFUNCTION("""COMPUTED_VALUE"""),"")</f>
        <v/>
      </c>
    </row>
    <row r="4361">
      <c r="G4361" s="16" t="str">
        <f>IFERROR(__xludf.DUMMYFUNCTION("""COMPUTED_VALUE"""),"")</f>
        <v/>
      </c>
    </row>
    <row r="4362">
      <c r="G4362" s="16" t="str">
        <f>IFERROR(__xludf.DUMMYFUNCTION("""COMPUTED_VALUE"""),"")</f>
        <v/>
      </c>
    </row>
    <row r="4363">
      <c r="G4363" s="16" t="str">
        <f>IFERROR(__xludf.DUMMYFUNCTION("""COMPUTED_VALUE"""),"")</f>
        <v/>
      </c>
    </row>
    <row r="4364">
      <c r="G4364" s="16" t="str">
        <f>IFERROR(__xludf.DUMMYFUNCTION("""COMPUTED_VALUE"""),"")</f>
        <v/>
      </c>
    </row>
    <row r="4365">
      <c r="G4365" s="16" t="str">
        <f>IFERROR(__xludf.DUMMYFUNCTION("""COMPUTED_VALUE"""),"")</f>
        <v/>
      </c>
    </row>
    <row r="4366">
      <c r="G4366" s="16" t="str">
        <f>IFERROR(__xludf.DUMMYFUNCTION("""COMPUTED_VALUE"""),"")</f>
        <v/>
      </c>
    </row>
    <row r="4367">
      <c r="G4367" s="16" t="str">
        <f>IFERROR(__xludf.DUMMYFUNCTION("""COMPUTED_VALUE"""),"")</f>
        <v/>
      </c>
    </row>
    <row r="4368">
      <c r="G4368" s="16" t="str">
        <f>IFERROR(__xludf.DUMMYFUNCTION("""COMPUTED_VALUE"""),"")</f>
        <v/>
      </c>
    </row>
    <row r="4369">
      <c r="G4369" s="16" t="str">
        <f>IFERROR(__xludf.DUMMYFUNCTION("""COMPUTED_VALUE"""),"")</f>
        <v/>
      </c>
    </row>
    <row r="4370">
      <c r="G4370" s="16" t="str">
        <f>IFERROR(__xludf.DUMMYFUNCTION("""COMPUTED_VALUE"""),"")</f>
        <v/>
      </c>
    </row>
    <row r="4371">
      <c r="G4371" s="16" t="str">
        <f>IFERROR(__xludf.DUMMYFUNCTION("""COMPUTED_VALUE"""),"")</f>
        <v/>
      </c>
    </row>
    <row r="4372">
      <c r="G4372" s="16" t="str">
        <f>IFERROR(__xludf.DUMMYFUNCTION("""COMPUTED_VALUE"""),"")</f>
        <v/>
      </c>
    </row>
    <row r="4373">
      <c r="G4373" s="16" t="str">
        <f>IFERROR(__xludf.DUMMYFUNCTION("""COMPUTED_VALUE"""),"")</f>
        <v/>
      </c>
    </row>
    <row r="4374">
      <c r="G4374" s="16" t="str">
        <f>IFERROR(__xludf.DUMMYFUNCTION("""COMPUTED_VALUE"""),"")</f>
        <v/>
      </c>
    </row>
    <row r="4375">
      <c r="G4375" s="16" t="str">
        <f>IFERROR(__xludf.DUMMYFUNCTION("""COMPUTED_VALUE"""),"")</f>
        <v/>
      </c>
    </row>
    <row r="4376">
      <c r="G4376" s="16" t="str">
        <f>IFERROR(__xludf.DUMMYFUNCTION("""COMPUTED_VALUE"""),"")</f>
        <v/>
      </c>
    </row>
    <row r="4377">
      <c r="G4377" s="16" t="str">
        <f>IFERROR(__xludf.DUMMYFUNCTION("""COMPUTED_VALUE"""),"")</f>
        <v/>
      </c>
    </row>
    <row r="4378">
      <c r="G4378" s="16" t="str">
        <f>IFERROR(__xludf.DUMMYFUNCTION("""COMPUTED_VALUE"""),"")</f>
        <v/>
      </c>
    </row>
    <row r="4379">
      <c r="G4379" s="16" t="str">
        <f>IFERROR(__xludf.DUMMYFUNCTION("""COMPUTED_VALUE"""),"")</f>
        <v/>
      </c>
    </row>
    <row r="4380">
      <c r="G4380" s="16" t="str">
        <f>IFERROR(__xludf.DUMMYFUNCTION("""COMPUTED_VALUE"""),"")</f>
        <v/>
      </c>
    </row>
    <row r="4381">
      <c r="G4381" s="16" t="str">
        <f>IFERROR(__xludf.DUMMYFUNCTION("""COMPUTED_VALUE"""),"")</f>
        <v/>
      </c>
    </row>
    <row r="4382">
      <c r="G4382" s="16" t="str">
        <f>IFERROR(__xludf.DUMMYFUNCTION("""COMPUTED_VALUE"""),"")</f>
        <v/>
      </c>
    </row>
    <row r="4383">
      <c r="G4383" s="16" t="str">
        <f>IFERROR(__xludf.DUMMYFUNCTION("""COMPUTED_VALUE"""),"")</f>
        <v/>
      </c>
    </row>
    <row r="4384">
      <c r="G4384" s="16" t="str">
        <f>IFERROR(__xludf.DUMMYFUNCTION("""COMPUTED_VALUE"""),"")</f>
        <v/>
      </c>
    </row>
    <row r="4385">
      <c r="G4385" s="16" t="str">
        <f>IFERROR(__xludf.DUMMYFUNCTION("""COMPUTED_VALUE"""),"")</f>
        <v/>
      </c>
    </row>
    <row r="4386">
      <c r="G4386" s="16" t="str">
        <f>IFERROR(__xludf.DUMMYFUNCTION("""COMPUTED_VALUE"""),"")</f>
        <v/>
      </c>
    </row>
    <row r="4387">
      <c r="G4387" s="16" t="str">
        <f>IFERROR(__xludf.DUMMYFUNCTION("""COMPUTED_VALUE"""),"")</f>
        <v/>
      </c>
    </row>
    <row r="4388">
      <c r="G4388" s="16" t="str">
        <f>IFERROR(__xludf.DUMMYFUNCTION("""COMPUTED_VALUE"""),"")</f>
        <v/>
      </c>
    </row>
    <row r="4389">
      <c r="G4389" s="16" t="str">
        <f>IFERROR(__xludf.DUMMYFUNCTION("""COMPUTED_VALUE"""),"")</f>
        <v/>
      </c>
    </row>
    <row r="4390">
      <c r="G4390" s="16" t="str">
        <f>IFERROR(__xludf.DUMMYFUNCTION("""COMPUTED_VALUE"""),"")</f>
        <v/>
      </c>
    </row>
    <row r="4391">
      <c r="G4391" s="16" t="str">
        <f>IFERROR(__xludf.DUMMYFUNCTION("""COMPUTED_VALUE"""),"")</f>
        <v/>
      </c>
    </row>
    <row r="4392">
      <c r="G4392" s="16" t="str">
        <f>IFERROR(__xludf.DUMMYFUNCTION("""COMPUTED_VALUE"""),"")</f>
        <v/>
      </c>
    </row>
    <row r="4393">
      <c r="G4393" s="16" t="str">
        <f>IFERROR(__xludf.DUMMYFUNCTION("""COMPUTED_VALUE"""),"")</f>
        <v/>
      </c>
    </row>
    <row r="4394">
      <c r="G4394" s="16" t="str">
        <f>IFERROR(__xludf.DUMMYFUNCTION("""COMPUTED_VALUE"""),"")</f>
        <v/>
      </c>
    </row>
    <row r="4395">
      <c r="G4395" s="16" t="str">
        <f>IFERROR(__xludf.DUMMYFUNCTION("""COMPUTED_VALUE"""),"")</f>
        <v/>
      </c>
    </row>
    <row r="4396">
      <c r="G4396" s="16" t="str">
        <f>IFERROR(__xludf.DUMMYFUNCTION("""COMPUTED_VALUE"""),"")</f>
        <v/>
      </c>
    </row>
    <row r="4397">
      <c r="G4397" s="16" t="str">
        <f>IFERROR(__xludf.DUMMYFUNCTION("""COMPUTED_VALUE"""),"")</f>
        <v/>
      </c>
    </row>
    <row r="4398">
      <c r="G4398" s="16" t="str">
        <f>IFERROR(__xludf.DUMMYFUNCTION("""COMPUTED_VALUE"""),"")</f>
        <v/>
      </c>
    </row>
    <row r="4399">
      <c r="G4399" s="16" t="str">
        <f>IFERROR(__xludf.DUMMYFUNCTION("""COMPUTED_VALUE"""),"")</f>
        <v/>
      </c>
    </row>
    <row r="4400">
      <c r="G4400" s="16" t="str">
        <f>IFERROR(__xludf.DUMMYFUNCTION("""COMPUTED_VALUE"""),"")</f>
        <v/>
      </c>
    </row>
    <row r="4401">
      <c r="G4401" s="16" t="str">
        <f>IFERROR(__xludf.DUMMYFUNCTION("""COMPUTED_VALUE"""),"")</f>
        <v/>
      </c>
    </row>
    <row r="4402">
      <c r="G4402" s="16" t="str">
        <f>IFERROR(__xludf.DUMMYFUNCTION("""COMPUTED_VALUE"""),"")</f>
        <v/>
      </c>
    </row>
    <row r="4403">
      <c r="G4403" s="16" t="str">
        <f>IFERROR(__xludf.DUMMYFUNCTION("""COMPUTED_VALUE"""),"")</f>
        <v/>
      </c>
    </row>
    <row r="4404">
      <c r="G4404" s="16" t="str">
        <f>IFERROR(__xludf.DUMMYFUNCTION("""COMPUTED_VALUE"""),"")</f>
        <v/>
      </c>
    </row>
    <row r="4405">
      <c r="G4405" s="16" t="str">
        <f>IFERROR(__xludf.DUMMYFUNCTION("""COMPUTED_VALUE"""),"")</f>
        <v/>
      </c>
    </row>
    <row r="4406">
      <c r="G4406" s="16" t="str">
        <f>IFERROR(__xludf.DUMMYFUNCTION("""COMPUTED_VALUE"""),"")</f>
        <v/>
      </c>
    </row>
    <row r="4407">
      <c r="G4407" s="16" t="str">
        <f>IFERROR(__xludf.DUMMYFUNCTION("""COMPUTED_VALUE"""),"")</f>
        <v/>
      </c>
    </row>
    <row r="4408">
      <c r="G4408" s="16" t="str">
        <f>IFERROR(__xludf.DUMMYFUNCTION("""COMPUTED_VALUE"""),"")</f>
        <v/>
      </c>
    </row>
    <row r="4409">
      <c r="G4409" s="16" t="str">
        <f>IFERROR(__xludf.DUMMYFUNCTION("""COMPUTED_VALUE"""),"")</f>
        <v/>
      </c>
    </row>
    <row r="4410">
      <c r="G4410" s="16" t="str">
        <f>IFERROR(__xludf.DUMMYFUNCTION("""COMPUTED_VALUE"""),"")</f>
        <v/>
      </c>
    </row>
    <row r="4411">
      <c r="G4411" s="16" t="str">
        <f>IFERROR(__xludf.DUMMYFUNCTION("""COMPUTED_VALUE"""),"")</f>
        <v/>
      </c>
    </row>
    <row r="4412">
      <c r="G4412" s="16" t="str">
        <f>IFERROR(__xludf.DUMMYFUNCTION("""COMPUTED_VALUE"""),"")</f>
        <v/>
      </c>
    </row>
    <row r="4413">
      <c r="G4413" s="16" t="str">
        <f>IFERROR(__xludf.DUMMYFUNCTION("""COMPUTED_VALUE"""),"")</f>
        <v/>
      </c>
    </row>
    <row r="4414">
      <c r="G4414" s="16" t="str">
        <f>IFERROR(__xludf.DUMMYFUNCTION("""COMPUTED_VALUE"""),"")</f>
        <v/>
      </c>
    </row>
    <row r="4415">
      <c r="G4415" s="16" t="str">
        <f>IFERROR(__xludf.DUMMYFUNCTION("""COMPUTED_VALUE"""),"")</f>
        <v/>
      </c>
    </row>
    <row r="4416">
      <c r="G4416" s="16" t="str">
        <f>IFERROR(__xludf.DUMMYFUNCTION("""COMPUTED_VALUE"""),"")</f>
        <v/>
      </c>
    </row>
    <row r="4417">
      <c r="G4417" s="16" t="str">
        <f>IFERROR(__xludf.DUMMYFUNCTION("""COMPUTED_VALUE"""),"")</f>
        <v/>
      </c>
    </row>
    <row r="4418">
      <c r="G4418" s="16" t="str">
        <f>IFERROR(__xludf.DUMMYFUNCTION("""COMPUTED_VALUE"""),"")</f>
        <v/>
      </c>
    </row>
    <row r="4419">
      <c r="G4419" s="16" t="str">
        <f>IFERROR(__xludf.DUMMYFUNCTION("""COMPUTED_VALUE"""),"")</f>
        <v/>
      </c>
    </row>
    <row r="4420">
      <c r="G4420" s="16" t="str">
        <f>IFERROR(__xludf.DUMMYFUNCTION("""COMPUTED_VALUE"""),"")</f>
        <v/>
      </c>
    </row>
    <row r="4421">
      <c r="G4421" s="16" t="str">
        <f>IFERROR(__xludf.DUMMYFUNCTION("""COMPUTED_VALUE"""),"")</f>
        <v/>
      </c>
    </row>
    <row r="4422">
      <c r="G4422" s="16" t="str">
        <f>IFERROR(__xludf.DUMMYFUNCTION("""COMPUTED_VALUE"""),"")</f>
        <v/>
      </c>
    </row>
    <row r="4423">
      <c r="G4423" s="16" t="str">
        <f>IFERROR(__xludf.DUMMYFUNCTION("""COMPUTED_VALUE"""),"")</f>
        <v/>
      </c>
    </row>
    <row r="4424">
      <c r="G4424" s="16" t="str">
        <f>IFERROR(__xludf.DUMMYFUNCTION("""COMPUTED_VALUE"""),"")</f>
        <v/>
      </c>
    </row>
    <row r="4425">
      <c r="G4425" s="16" t="str">
        <f>IFERROR(__xludf.DUMMYFUNCTION("""COMPUTED_VALUE"""),"")</f>
        <v/>
      </c>
    </row>
    <row r="4426">
      <c r="G4426" s="16" t="str">
        <f>IFERROR(__xludf.DUMMYFUNCTION("""COMPUTED_VALUE"""),"")</f>
        <v/>
      </c>
    </row>
    <row r="4427">
      <c r="G4427" s="16" t="str">
        <f>IFERROR(__xludf.DUMMYFUNCTION("""COMPUTED_VALUE"""),"")</f>
        <v/>
      </c>
    </row>
    <row r="4428">
      <c r="G4428" s="16" t="str">
        <f>IFERROR(__xludf.DUMMYFUNCTION("""COMPUTED_VALUE"""),"")</f>
        <v/>
      </c>
    </row>
    <row r="4429">
      <c r="G4429" s="16" t="str">
        <f>IFERROR(__xludf.DUMMYFUNCTION("""COMPUTED_VALUE"""),"")</f>
        <v/>
      </c>
    </row>
    <row r="4430">
      <c r="G4430" s="16" t="str">
        <f>IFERROR(__xludf.DUMMYFUNCTION("""COMPUTED_VALUE"""),"")</f>
        <v/>
      </c>
    </row>
    <row r="4431">
      <c r="G4431" s="16" t="str">
        <f>IFERROR(__xludf.DUMMYFUNCTION("""COMPUTED_VALUE"""),"")</f>
        <v/>
      </c>
    </row>
    <row r="4432">
      <c r="G4432" s="16" t="str">
        <f>IFERROR(__xludf.DUMMYFUNCTION("""COMPUTED_VALUE"""),"")</f>
        <v/>
      </c>
    </row>
    <row r="4433">
      <c r="G4433" s="16" t="str">
        <f>IFERROR(__xludf.DUMMYFUNCTION("""COMPUTED_VALUE"""),"")</f>
        <v/>
      </c>
    </row>
    <row r="4434">
      <c r="G4434" s="16" t="str">
        <f>IFERROR(__xludf.DUMMYFUNCTION("""COMPUTED_VALUE"""),"")</f>
        <v/>
      </c>
    </row>
    <row r="4435">
      <c r="G4435" s="16" t="str">
        <f>IFERROR(__xludf.DUMMYFUNCTION("""COMPUTED_VALUE"""),"")</f>
        <v/>
      </c>
    </row>
    <row r="4436">
      <c r="G4436" s="16" t="str">
        <f>IFERROR(__xludf.DUMMYFUNCTION("""COMPUTED_VALUE"""),"")</f>
        <v/>
      </c>
    </row>
    <row r="4437">
      <c r="G4437" s="16" t="str">
        <f>IFERROR(__xludf.DUMMYFUNCTION("""COMPUTED_VALUE"""),"")</f>
        <v/>
      </c>
    </row>
    <row r="4438">
      <c r="G4438" s="16" t="str">
        <f>IFERROR(__xludf.DUMMYFUNCTION("""COMPUTED_VALUE"""),"")</f>
        <v/>
      </c>
    </row>
    <row r="4439">
      <c r="G4439" s="16" t="str">
        <f>IFERROR(__xludf.DUMMYFUNCTION("""COMPUTED_VALUE"""),"")</f>
        <v/>
      </c>
    </row>
    <row r="4440">
      <c r="G4440" s="16" t="str">
        <f>IFERROR(__xludf.DUMMYFUNCTION("""COMPUTED_VALUE"""),"")</f>
        <v/>
      </c>
    </row>
    <row r="4441">
      <c r="G4441" s="16" t="str">
        <f>IFERROR(__xludf.DUMMYFUNCTION("""COMPUTED_VALUE"""),"")</f>
        <v/>
      </c>
    </row>
    <row r="4442">
      <c r="G4442" s="16" t="str">
        <f>IFERROR(__xludf.DUMMYFUNCTION("""COMPUTED_VALUE"""),"")</f>
        <v/>
      </c>
    </row>
    <row r="4443">
      <c r="G4443" s="16" t="str">
        <f>IFERROR(__xludf.DUMMYFUNCTION("""COMPUTED_VALUE"""),"")</f>
        <v/>
      </c>
    </row>
    <row r="4444">
      <c r="G4444" s="16" t="str">
        <f>IFERROR(__xludf.DUMMYFUNCTION("""COMPUTED_VALUE"""),"")</f>
        <v/>
      </c>
    </row>
    <row r="4445">
      <c r="G4445" s="16" t="str">
        <f>IFERROR(__xludf.DUMMYFUNCTION("""COMPUTED_VALUE"""),"")</f>
        <v/>
      </c>
    </row>
    <row r="4446">
      <c r="G4446" s="16" t="str">
        <f>IFERROR(__xludf.DUMMYFUNCTION("""COMPUTED_VALUE"""),"")</f>
        <v/>
      </c>
    </row>
    <row r="4447">
      <c r="G4447" s="16" t="str">
        <f>IFERROR(__xludf.DUMMYFUNCTION("""COMPUTED_VALUE"""),"")</f>
        <v/>
      </c>
    </row>
    <row r="4448">
      <c r="G4448" s="16" t="str">
        <f>IFERROR(__xludf.DUMMYFUNCTION("""COMPUTED_VALUE"""),"")</f>
        <v/>
      </c>
    </row>
    <row r="4449">
      <c r="G4449" s="16" t="str">
        <f>IFERROR(__xludf.DUMMYFUNCTION("""COMPUTED_VALUE"""),"")</f>
        <v/>
      </c>
    </row>
    <row r="4450">
      <c r="G4450" s="16" t="str">
        <f>IFERROR(__xludf.DUMMYFUNCTION("""COMPUTED_VALUE"""),"")</f>
        <v/>
      </c>
    </row>
    <row r="4451">
      <c r="G4451" s="16" t="str">
        <f>IFERROR(__xludf.DUMMYFUNCTION("""COMPUTED_VALUE"""),"")</f>
        <v/>
      </c>
    </row>
    <row r="4452">
      <c r="G4452" s="16" t="str">
        <f>IFERROR(__xludf.DUMMYFUNCTION("""COMPUTED_VALUE"""),"")</f>
        <v/>
      </c>
    </row>
    <row r="4453">
      <c r="G4453" s="16" t="str">
        <f>IFERROR(__xludf.DUMMYFUNCTION("""COMPUTED_VALUE"""),"")</f>
        <v/>
      </c>
    </row>
    <row r="4454">
      <c r="G4454" s="16" t="str">
        <f>IFERROR(__xludf.DUMMYFUNCTION("""COMPUTED_VALUE"""),"")</f>
        <v/>
      </c>
    </row>
    <row r="4455">
      <c r="G4455" s="16" t="str">
        <f>IFERROR(__xludf.DUMMYFUNCTION("""COMPUTED_VALUE"""),"")</f>
        <v/>
      </c>
    </row>
    <row r="4456">
      <c r="G4456" s="16" t="str">
        <f>IFERROR(__xludf.DUMMYFUNCTION("""COMPUTED_VALUE"""),"")</f>
        <v/>
      </c>
    </row>
    <row r="4457">
      <c r="G4457" s="16" t="str">
        <f>IFERROR(__xludf.DUMMYFUNCTION("""COMPUTED_VALUE"""),"")</f>
        <v/>
      </c>
    </row>
    <row r="4458">
      <c r="G4458" s="16" t="str">
        <f>IFERROR(__xludf.DUMMYFUNCTION("""COMPUTED_VALUE"""),"")</f>
        <v/>
      </c>
    </row>
    <row r="4459">
      <c r="G4459" s="16" t="str">
        <f>IFERROR(__xludf.DUMMYFUNCTION("""COMPUTED_VALUE"""),"")</f>
        <v/>
      </c>
    </row>
    <row r="4460">
      <c r="G4460" s="16" t="str">
        <f>IFERROR(__xludf.DUMMYFUNCTION("""COMPUTED_VALUE"""),"")</f>
        <v/>
      </c>
    </row>
    <row r="4461">
      <c r="G4461" s="16" t="str">
        <f>IFERROR(__xludf.DUMMYFUNCTION("""COMPUTED_VALUE"""),"")</f>
        <v/>
      </c>
    </row>
    <row r="4462">
      <c r="G4462" s="16" t="str">
        <f>IFERROR(__xludf.DUMMYFUNCTION("""COMPUTED_VALUE"""),"")</f>
        <v/>
      </c>
    </row>
    <row r="4463">
      <c r="G4463" s="16" t="str">
        <f>IFERROR(__xludf.DUMMYFUNCTION("""COMPUTED_VALUE"""),"")</f>
        <v/>
      </c>
    </row>
    <row r="4464">
      <c r="G4464" s="16" t="str">
        <f>IFERROR(__xludf.DUMMYFUNCTION("""COMPUTED_VALUE"""),"")</f>
        <v/>
      </c>
    </row>
    <row r="4465">
      <c r="G4465" s="16" t="str">
        <f>IFERROR(__xludf.DUMMYFUNCTION("""COMPUTED_VALUE"""),"")</f>
        <v/>
      </c>
    </row>
    <row r="4466">
      <c r="G4466" s="16" t="str">
        <f>IFERROR(__xludf.DUMMYFUNCTION("""COMPUTED_VALUE"""),"")</f>
        <v/>
      </c>
    </row>
    <row r="4467">
      <c r="G4467" s="16" t="str">
        <f>IFERROR(__xludf.DUMMYFUNCTION("""COMPUTED_VALUE"""),"")</f>
        <v/>
      </c>
    </row>
    <row r="4468">
      <c r="G4468" s="16" t="str">
        <f>IFERROR(__xludf.DUMMYFUNCTION("""COMPUTED_VALUE"""),"")</f>
        <v/>
      </c>
    </row>
    <row r="4469">
      <c r="G4469" s="16" t="str">
        <f>IFERROR(__xludf.DUMMYFUNCTION("""COMPUTED_VALUE"""),"")</f>
        <v/>
      </c>
    </row>
    <row r="4470">
      <c r="G4470" s="16" t="str">
        <f>IFERROR(__xludf.DUMMYFUNCTION("""COMPUTED_VALUE"""),"")</f>
        <v/>
      </c>
    </row>
    <row r="4471">
      <c r="G4471" s="16" t="str">
        <f>IFERROR(__xludf.DUMMYFUNCTION("""COMPUTED_VALUE"""),"")</f>
        <v/>
      </c>
    </row>
    <row r="4472">
      <c r="G4472" s="16" t="str">
        <f>IFERROR(__xludf.DUMMYFUNCTION("""COMPUTED_VALUE"""),"")</f>
        <v/>
      </c>
    </row>
    <row r="4473">
      <c r="G4473" s="16" t="str">
        <f>IFERROR(__xludf.DUMMYFUNCTION("""COMPUTED_VALUE"""),"")</f>
        <v/>
      </c>
    </row>
    <row r="4474">
      <c r="G4474" s="16" t="str">
        <f>IFERROR(__xludf.DUMMYFUNCTION("""COMPUTED_VALUE"""),"")</f>
        <v/>
      </c>
    </row>
    <row r="4475">
      <c r="G4475" s="16" t="str">
        <f>IFERROR(__xludf.DUMMYFUNCTION("""COMPUTED_VALUE"""),"")</f>
        <v/>
      </c>
    </row>
    <row r="4476">
      <c r="G4476" s="16" t="str">
        <f>IFERROR(__xludf.DUMMYFUNCTION("""COMPUTED_VALUE"""),"")</f>
        <v/>
      </c>
    </row>
    <row r="4477">
      <c r="G4477" s="16" t="str">
        <f>IFERROR(__xludf.DUMMYFUNCTION("""COMPUTED_VALUE"""),"")</f>
        <v/>
      </c>
    </row>
    <row r="4478">
      <c r="G4478" s="16" t="str">
        <f>IFERROR(__xludf.DUMMYFUNCTION("""COMPUTED_VALUE"""),"")</f>
        <v/>
      </c>
    </row>
    <row r="4479">
      <c r="G4479" s="16" t="str">
        <f>IFERROR(__xludf.DUMMYFUNCTION("""COMPUTED_VALUE"""),"")</f>
        <v/>
      </c>
    </row>
    <row r="4480">
      <c r="G4480" s="16" t="str">
        <f>IFERROR(__xludf.DUMMYFUNCTION("""COMPUTED_VALUE"""),"")</f>
        <v/>
      </c>
    </row>
    <row r="4481">
      <c r="G4481" s="16" t="str">
        <f>IFERROR(__xludf.DUMMYFUNCTION("""COMPUTED_VALUE"""),"")</f>
        <v/>
      </c>
    </row>
    <row r="4482">
      <c r="G4482" s="16" t="str">
        <f>IFERROR(__xludf.DUMMYFUNCTION("""COMPUTED_VALUE"""),"")</f>
        <v/>
      </c>
    </row>
    <row r="4483">
      <c r="G4483" s="16" t="str">
        <f>IFERROR(__xludf.DUMMYFUNCTION("""COMPUTED_VALUE"""),"")</f>
        <v/>
      </c>
    </row>
    <row r="4484">
      <c r="G4484" s="16" t="str">
        <f>IFERROR(__xludf.DUMMYFUNCTION("""COMPUTED_VALUE"""),"")</f>
        <v/>
      </c>
    </row>
    <row r="4485">
      <c r="G4485" s="16" t="str">
        <f>IFERROR(__xludf.DUMMYFUNCTION("""COMPUTED_VALUE"""),"")</f>
        <v/>
      </c>
    </row>
    <row r="4486">
      <c r="G4486" s="16" t="str">
        <f>IFERROR(__xludf.DUMMYFUNCTION("""COMPUTED_VALUE"""),"")</f>
        <v/>
      </c>
    </row>
    <row r="4487">
      <c r="G4487" s="16" t="str">
        <f>IFERROR(__xludf.DUMMYFUNCTION("""COMPUTED_VALUE"""),"")</f>
        <v/>
      </c>
    </row>
    <row r="4488">
      <c r="G4488" s="16" t="str">
        <f>IFERROR(__xludf.DUMMYFUNCTION("""COMPUTED_VALUE"""),"")</f>
        <v/>
      </c>
    </row>
    <row r="4489">
      <c r="G4489" s="16" t="str">
        <f>IFERROR(__xludf.DUMMYFUNCTION("""COMPUTED_VALUE"""),"")</f>
        <v/>
      </c>
    </row>
    <row r="4490">
      <c r="G4490" s="16" t="str">
        <f>IFERROR(__xludf.DUMMYFUNCTION("""COMPUTED_VALUE"""),"")</f>
        <v/>
      </c>
    </row>
    <row r="4491">
      <c r="G4491" s="16" t="str">
        <f>IFERROR(__xludf.DUMMYFUNCTION("""COMPUTED_VALUE"""),"")</f>
        <v/>
      </c>
    </row>
    <row r="4492">
      <c r="G4492" s="16" t="str">
        <f>IFERROR(__xludf.DUMMYFUNCTION("""COMPUTED_VALUE"""),"")</f>
        <v/>
      </c>
    </row>
    <row r="4493">
      <c r="G4493" s="16" t="str">
        <f>IFERROR(__xludf.DUMMYFUNCTION("""COMPUTED_VALUE"""),"")</f>
        <v/>
      </c>
    </row>
    <row r="4494">
      <c r="G4494" s="16" t="str">
        <f>IFERROR(__xludf.DUMMYFUNCTION("""COMPUTED_VALUE"""),"")</f>
        <v/>
      </c>
    </row>
    <row r="4495">
      <c r="G4495" s="16" t="str">
        <f>IFERROR(__xludf.DUMMYFUNCTION("""COMPUTED_VALUE"""),"")</f>
        <v/>
      </c>
    </row>
    <row r="4496">
      <c r="G4496" s="16" t="str">
        <f>IFERROR(__xludf.DUMMYFUNCTION("""COMPUTED_VALUE"""),"")</f>
        <v/>
      </c>
    </row>
    <row r="4497">
      <c r="G4497" s="16" t="str">
        <f>IFERROR(__xludf.DUMMYFUNCTION("""COMPUTED_VALUE"""),"")</f>
        <v/>
      </c>
    </row>
    <row r="4498">
      <c r="G4498" s="16" t="str">
        <f>IFERROR(__xludf.DUMMYFUNCTION("""COMPUTED_VALUE"""),"")</f>
        <v/>
      </c>
    </row>
    <row r="4499">
      <c r="G4499" s="16" t="str">
        <f>IFERROR(__xludf.DUMMYFUNCTION("""COMPUTED_VALUE"""),"")</f>
        <v/>
      </c>
    </row>
    <row r="4500">
      <c r="G4500" s="16" t="str">
        <f>IFERROR(__xludf.DUMMYFUNCTION("""COMPUTED_VALUE"""),"")</f>
        <v/>
      </c>
    </row>
    <row r="4501">
      <c r="G4501" s="16" t="str">
        <f>IFERROR(__xludf.DUMMYFUNCTION("""COMPUTED_VALUE"""),"")</f>
        <v/>
      </c>
    </row>
    <row r="4502">
      <c r="G4502" s="16" t="str">
        <f>IFERROR(__xludf.DUMMYFUNCTION("""COMPUTED_VALUE"""),"")</f>
        <v/>
      </c>
    </row>
    <row r="4503">
      <c r="G4503" s="16" t="str">
        <f>IFERROR(__xludf.DUMMYFUNCTION("""COMPUTED_VALUE"""),"")</f>
        <v/>
      </c>
    </row>
    <row r="4504">
      <c r="G4504" s="16" t="str">
        <f>IFERROR(__xludf.DUMMYFUNCTION("""COMPUTED_VALUE"""),"")</f>
        <v/>
      </c>
    </row>
    <row r="4505">
      <c r="G4505" s="16" t="str">
        <f>IFERROR(__xludf.DUMMYFUNCTION("""COMPUTED_VALUE"""),"")</f>
        <v/>
      </c>
    </row>
    <row r="4506">
      <c r="G4506" s="16" t="str">
        <f>IFERROR(__xludf.DUMMYFUNCTION("""COMPUTED_VALUE"""),"")</f>
        <v/>
      </c>
    </row>
    <row r="4507">
      <c r="G4507" s="16" t="str">
        <f>IFERROR(__xludf.DUMMYFUNCTION("""COMPUTED_VALUE"""),"")</f>
        <v/>
      </c>
    </row>
    <row r="4508">
      <c r="G4508" s="16" t="str">
        <f>IFERROR(__xludf.DUMMYFUNCTION("""COMPUTED_VALUE"""),"")</f>
        <v/>
      </c>
    </row>
    <row r="4509">
      <c r="G4509" s="16" t="str">
        <f>IFERROR(__xludf.DUMMYFUNCTION("""COMPUTED_VALUE"""),"")</f>
        <v/>
      </c>
    </row>
    <row r="4510">
      <c r="G4510" s="16" t="str">
        <f>IFERROR(__xludf.DUMMYFUNCTION("""COMPUTED_VALUE"""),"")</f>
        <v/>
      </c>
    </row>
    <row r="4511">
      <c r="G4511" s="16" t="str">
        <f>IFERROR(__xludf.DUMMYFUNCTION("""COMPUTED_VALUE"""),"")</f>
        <v/>
      </c>
    </row>
    <row r="4512">
      <c r="G4512" s="16" t="str">
        <f>IFERROR(__xludf.DUMMYFUNCTION("""COMPUTED_VALUE"""),"")</f>
        <v/>
      </c>
    </row>
    <row r="4513">
      <c r="G4513" s="16" t="str">
        <f>IFERROR(__xludf.DUMMYFUNCTION("""COMPUTED_VALUE"""),"")</f>
        <v/>
      </c>
    </row>
    <row r="4514">
      <c r="G4514" s="16" t="str">
        <f>IFERROR(__xludf.DUMMYFUNCTION("""COMPUTED_VALUE"""),"")</f>
        <v/>
      </c>
    </row>
    <row r="4515">
      <c r="G4515" s="16" t="str">
        <f>IFERROR(__xludf.DUMMYFUNCTION("""COMPUTED_VALUE"""),"")</f>
        <v/>
      </c>
    </row>
    <row r="4516">
      <c r="G4516" s="16" t="str">
        <f>IFERROR(__xludf.DUMMYFUNCTION("""COMPUTED_VALUE"""),"")</f>
        <v/>
      </c>
    </row>
    <row r="4517">
      <c r="G4517" s="16" t="str">
        <f>IFERROR(__xludf.DUMMYFUNCTION("""COMPUTED_VALUE"""),"")</f>
        <v/>
      </c>
    </row>
    <row r="4518">
      <c r="G4518" s="16" t="str">
        <f>IFERROR(__xludf.DUMMYFUNCTION("""COMPUTED_VALUE"""),"")</f>
        <v/>
      </c>
    </row>
    <row r="4519">
      <c r="G4519" s="16" t="str">
        <f>IFERROR(__xludf.DUMMYFUNCTION("""COMPUTED_VALUE"""),"")</f>
        <v/>
      </c>
    </row>
    <row r="4520">
      <c r="G4520" s="16" t="str">
        <f>IFERROR(__xludf.DUMMYFUNCTION("""COMPUTED_VALUE"""),"")</f>
        <v/>
      </c>
    </row>
    <row r="4521">
      <c r="G4521" s="16" t="str">
        <f>IFERROR(__xludf.DUMMYFUNCTION("""COMPUTED_VALUE"""),"")</f>
        <v/>
      </c>
    </row>
    <row r="4522">
      <c r="G4522" s="16" t="str">
        <f>IFERROR(__xludf.DUMMYFUNCTION("""COMPUTED_VALUE"""),"")</f>
        <v/>
      </c>
    </row>
    <row r="4523">
      <c r="G4523" s="16" t="str">
        <f>IFERROR(__xludf.DUMMYFUNCTION("""COMPUTED_VALUE"""),"")</f>
        <v/>
      </c>
    </row>
    <row r="4524">
      <c r="G4524" s="16" t="str">
        <f>IFERROR(__xludf.DUMMYFUNCTION("""COMPUTED_VALUE"""),"")</f>
        <v/>
      </c>
    </row>
    <row r="4525">
      <c r="G4525" s="16" t="str">
        <f>IFERROR(__xludf.DUMMYFUNCTION("""COMPUTED_VALUE"""),"")</f>
        <v/>
      </c>
    </row>
    <row r="4526">
      <c r="G4526" s="16" t="str">
        <f>IFERROR(__xludf.DUMMYFUNCTION("""COMPUTED_VALUE"""),"")</f>
        <v/>
      </c>
    </row>
    <row r="4527">
      <c r="G4527" s="16" t="str">
        <f>IFERROR(__xludf.DUMMYFUNCTION("""COMPUTED_VALUE"""),"")</f>
        <v/>
      </c>
    </row>
    <row r="4528">
      <c r="G4528" s="16" t="str">
        <f>IFERROR(__xludf.DUMMYFUNCTION("""COMPUTED_VALUE"""),"")</f>
        <v/>
      </c>
    </row>
    <row r="4529">
      <c r="G4529" s="16" t="str">
        <f>IFERROR(__xludf.DUMMYFUNCTION("""COMPUTED_VALUE"""),"")</f>
        <v/>
      </c>
    </row>
    <row r="4530">
      <c r="G4530" s="16" t="str">
        <f>IFERROR(__xludf.DUMMYFUNCTION("""COMPUTED_VALUE"""),"")</f>
        <v/>
      </c>
    </row>
    <row r="4531">
      <c r="G4531" s="16" t="str">
        <f>IFERROR(__xludf.DUMMYFUNCTION("""COMPUTED_VALUE"""),"")</f>
        <v/>
      </c>
    </row>
    <row r="4532">
      <c r="G4532" s="16" t="str">
        <f>IFERROR(__xludf.DUMMYFUNCTION("""COMPUTED_VALUE"""),"")</f>
        <v/>
      </c>
    </row>
    <row r="4533">
      <c r="G4533" s="16" t="str">
        <f>IFERROR(__xludf.DUMMYFUNCTION("""COMPUTED_VALUE"""),"")</f>
        <v/>
      </c>
    </row>
    <row r="4534">
      <c r="G4534" s="16" t="str">
        <f>IFERROR(__xludf.DUMMYFUNCTION("""COMPUTED_VALUE"""),"")</f>
        <v/>
      </c>
    </row>
    <row r="4535">
      <c r="G4535" s="16" t="str">
        <f>IFERROR(__xludf.DUMMYFUNCTION("""COMPUTED_VALUE"""),"")</f>
        <v/>
      </c>
    </row>
    <row r="4536">
      <c r="G4536" s="16" t="str">
        <f>IFERROR(__xludf.DUMMYFUNCTION("""COMPUTED_VALUE"""),"")</f>
        <v/>
      </c>
    </row>
    <row r="4537">
      <c r="G4537" s="16" t="str">
        <f>IFERROR(__xludf.DUMMYFUNCTION("""COMPUTED_VALUE"""),"")</f>
        <v/>
      </c>
    </row>
    <row r="4538">
      <c r="G4538" s="16" t="str">
        <f>IFERROR(__xludf.DUMMYFUNCTION("""COMPUTED_VALUE"""),"")</f>
        <v/>
      </c>
    </row>
    <row r="4539">
      <c r="G4539" s="16" t="str">
        <f>IFERROR(__xludf.DUMMYFUNCTION("""COMPUTED_VALUE"""),"")</f>
        <v/>
      </c>
    </row>
    <row r="4540">
      <c r="G4540" s="16" t="str">
        <f>IFERROR(__xludf.DUMMYFUNCTION("""COMPUTED_VALUE"""),"")</f>
        <v/>
      </c>
    </row>
    <row r="4541">
      <c r="G4541" s="16" t="str">
        <f>IFERROR(__xludf.DUMMYFUNCTION("""COMPUTED_VALUE"""),"")</f>
        <v/>
      </c>
    </row>
    <row r="4542">
      <c r="G4542" s="16" t="str">
        <f>IFERROR(__xludf.DUMMYFUNCTION("""COMPUTED_VALUE"""),"")</f>
        <v/>
      </c>
    </row>
    <row r="4543">
      <c r="G4543" s="16" t="str">
        <f>IFERROR(__xludf.DUMMYFUNCTION("""COMPUTED_VALUE"""),"")</f>
        <v/>
      </c>
    </row>
    <row r="4544">
      <c r="G4544" s="16" t="str">
        <f>IFERROR(__xludf.DUMMYFUNCTION("""COMPUTED_VALUE"""),"")</f>
        <v/>
      </c>
    </row>
    <row r="4545">
      <c r="G4545" s="16" t="str">
        <f>IFERROR(__xludf.DUMMYFUNCTION("""COMPUTED_VALUE"""),"")</f>
        <v/>
      </c>
    </row>
    <row r="4546">
      <c r="G4546" s="16" t="str">
        <f>IFERROR(__xludf.DUMMYFUNCTION("""COMPUTED_VALUE"""),"")</f>
        <v/>
      </c>
    </row>
    <row r="4547">
      <c r="G4547" s="16" t="str">
        <f>IFERROR(__xludf.DUMMYFUNCTION("""COMPUTED_VALUE"""),"")</f>
        <v/>
      </c>
    </row>
    <row r="4548">
      <c r="G4548" s="16" t="str">
        <f>IFERROR(__xludf.DUMMYFUNCTION("""COMPUTED_VALUE"""),"")</f>
        <v/>
      </c>
    </row>
    <row r="4549">
      <c r="G4549" s="16" t="str">
        <f>IFERROR(__xludf.DUMMYFUNCTION("""COMPUTED_VALUE"""),"")</f>
        <v/>
      </c>
    </row>
    <row r="4550">
      <c r="G4550" s="16" t="str">
        <f>IFERROR(__xludf.DUMMYFUNCTION("""COMPUTED_VALUE"""),"")</f>
        <v/>
      </c>
    </row>
    <row r="4551">
      <c r="G4551" s="16" t="str">
        <f>IFERROR(__xludf.DUMMYFUNCTION("""COMPUTED_VALUE"""),"")</f>
        <v/>
      </c>
    </row>
    <row r="4552">
      <c r="G4552" s="16" t="str">
        <f>IFERROR(__xludf.DUMMYFUNCTION("""COMPUTED_VALUE"""),"")</f>
        <v/>
      </c>
    </row>
    <row r="4553">
      <c r="G4553" s="16" t="str">
        <f>IFERROR(__xludf.DUMMYFUNCTION("""COMPUTED_VALUE"""),"")</f>
        <v/>
      </c>
    </row>
    <row r="4554">
      <c r="G4554" s="16" t="str">
        <f>IFERROR(__xludf.DUMMYFUNCTION("""COMPUTED_VALUE"""),"")</f>
        <v/>
      </c>
    </row>
    <row r="4555">
      <c r="G4555" s="16" t="str">
        <f>IFERROR(__xludf.DUMMYFUNCTION("""COMPUTED_VALUE"""),"")</f>
        <v/>
      </c>
    </row>
    <row r="4556">
      <c r="G4556" s="16" t="str">
        <f>IFERROR(__xludf.DUMMYFUNCTION("""COMPUTED_VALUE"""),"")</f>
        <v/>
      </c>
    </row>
    <row r="4557">
      <c r="G4557" s="16" t="str">
        <f>IFERROR(__xludf.DUMMYFUNCTION("""COMPUTED_VALUE"""),"")</f>
        <v/>
      </c>
    </row>
    <row r="4558">
      <c r="G4558" s="16" t="str">
        <f>IFERROR(__xludf.DUMMYFUNCTION("""COMPUTED_VALUE"""),"")</f>
        <v/>
      </c>
    </row>
    <row r="4559">
      <c r="G4559" s="16" t="str">
        <f>IFERROR(__xludf.DUMMYFUNCTION("""COMPUTED_VALUE"""),"")</f>
        <v/>
      </c>
    </row>
    <row r="4560">
      <c r="G4560" s="16" t="str">
        <f>IFERROR(__xludf.DUMMYFUNCTION("""COMPUTED_VALUE"""),"")</f>
        <v/>
      </c>
    </row>
    <row r="4561">
      <c r="G4561" s="16" t="str">
        <f>IFERROR(__xludf.DUMMYFUNCTION("""COMPUTED_VALUE"""),"")</f>
        <v/>
      </c>
    </row>
    <row r="4562">
      <c r="G4562" s="16" t="str">
        <f>IFERROR(__xludf.DUMMYFUNCTION("""COMPUTED_VALUE"""),"")</f>
        <v/>
      </c>
    </row>
    <row r="4563">
      <c r="G4563" s="16" t="str">
        <f>IFERROR(__xludf.DUMMYFUNCTION("""COMPUTED_VALUE"""),"")</f>
        <v/>
      </c>
    </row>
    <row r="4564">
      <c r="G4564" s="16" t="str">
        <f>IFERROR(__xludf.DUMMYFUNCTION("""COMPUTED_VALUE"""),"")</f>
        <v/>
      </c>
    </row>
    <row r="4565">
      <c r="G4565" s="16" t="str">
        <f>IFERROR(__xludf.DUMMYFUNCTION("""COMPUTED_VALUE"""),"")</f>
        <v/>
      </c>
    </row>
    <row r="4566">
      <c r="G4566" s="16" t="str">
        <f>IFERROR(__xludf.DUMMYFUNCTION("""COMPUTED_VALUE"""),"")</f>
        <v/>
      </c>
    </row>
    <row r="4567">
      <c r="G4567" s="16" t="str">
        <f>IFERROR(__xludf.DUMMYFUNCTION("""COMPUTED_VALUE"""),"")</f>
        <v/>
      </c>
    </row>
    <row r="4568">
      <c r="G4568" s="16" t="str">
        <f>IFERROR(__xludf.DUMMYFUNCTION("""COMPUTED_VALUE"""),"")</f>
        <v/>
      </c>
    </row>
    <row r="4569">
      <c r="G4569" s="16" t="str">
        <f>IFERROR(__xludf.DUMMYFUNCTION("""COMPUTED_VALUE"""),"")</f>
        <v/>
      </c>
    </row>
    <row r="4570">
      <c r="G4570" s="16" t="str">
        <f>IFERROR(__xludf.DUMMYFUNCTION("""COMPUTED_VALUE"""),"")</f>
        <v/>
      </c>
    </row>
    <row r="4571">
      <c r="G4571" s="16" t="str">
        <f>IFERROR(__xludf.DUMMYFUNCTION("""COMPUTED_VALUE"""),"")</f>
        <v/>
      </c>
    </row>
    <row r="4572">
      <c r="G4572" s="16" t="str">
        <f>IFERROR(__xludf.DUMMYFUNCTION("""COMPUTED_VALUE"""),"")</f>
        <v/>
      </c>
    </row>
    <row r="4573">
      <c r="G4573" s="16" t="str">
        <f>IFERROR(__xludf.DUMMYFUNCTION("""COMPUTED_VALUE"""),"")</f>
        <v/>
      </c>
    </row>
    <row r="4574">
      <c r="G4574" s="16" t="str">
        <f>IFERROR(__xludf.DUMMYFUNCTION("""COMPUTED_VALUE"""),"")</f>
        <v/>
      </c>
    </row>
    <row r="4575">
      <c r="G4575" s="16" t="str">
        <f>IFERROR(__xludf.DUMMYFUNCTION("""COMPUTED_VALUE"""),"")</f>
        <v/>
      </c>
    </row>
    <row r="4576">
      <c r="G4576" s="16" t="str">
        <f>IFERROR(__xludf.DUMMYFUNCTION("""COMPUTED_VALUE"""),"")</f>
        <v/>
      </c>
    </row>
    <row r="4577">
      <c r="G4577" s="16" t="str">
        <f>IFERROR(__xludf.DUMMYFUNCTION("""COMPUTED_VALUE"""),"")</f>
        <v/>
      </c>
    </row>
    <row r="4578">
      <c r="G4578" s="16" t="str">
        <f>IFERROR(__xludf.DUMMYFUNCTION("""COMPUTED_VALUE"""),"")</f>
        <v/>
      </c>
    </row>
    <row r="4579">
      <c r="G4579" s="16" t="str">
        <f>IFERROR(__xludf.DUMMYFUNCTION("""COMPUTED_VALUE"""),"")</f>
        <v/>
      </c>
    </row>
    <row r="4580">
      <c r="G4580" s="16" t="str">
        <f>IFERROR(__xludf.DUMMYFUNCTION("""COMPUTED_VALUE"""),"")</f>
        <v/>
      </c>
    </row>
    <row r="4581">
      <c r="G4581" s="16" t="str">
        <f>IFERROR(__xludf.DUMMYFUNCTION("""COMPUTED_VALUE"""),"")</f>
        <v/>
      </c>
    </row>
    <row r="4582">
      <c r="G4582" s="16" t="str">
        <f>IFERROR(__xludf.DUMMYFUNCTION("""COMPUTED_VALUE"""),"")</f>
        <v/>
      </c>
    </row>
    <row r="4583">
      <c r="G4583" s="16" t="str">
        <f>IFERROR(__xludf.DUMMYFUNCTION("""COMPUTED_VALUE"""),"")</f>
        <v/>
      </c>
    </row>
    <row r="4584">
      <c r="G4584" s="16" t="str">
        <f>IFERROR(__xludf.DUMMYFUNCTION("""COMPUTED_VALUE"""),"")</f>
        <v/>
      </c>
    </row>
    <row r="4585">
      <c r="G4585" s="16" t="str">
        <f>IFERROR(__xludf.DUMMYFUNCTION("""COMPUTED_VALUE"""),"")</f>
        <v/>
      </c>
    </row>
    <row r="4586">
      <c r="G4586" s="16" t="str">
        <f>IFERROR(__xludf.DUMMYFUNCTION("""COMPUTED_VALUE"""),"")</f>
        <v/>
      </c>
    </row>
    <row r="4587">
      <c r="G4587" s="16" t="str">
        <f>IFERROR(__xludf.DUMMYFUNCTION("""COMPUTED_VALUE"""),"")</f>
        <v/>
      </c>
    </row>
    <row r="4588">
      <c r="G4588" s="16" t="str">
        <f>IFERROR(__xludf.DUMMYFUNCTION("""COMPUTED_VALUE"""),"")</f>
        <v/>
      </c>
    </row>
    <row r="4589">
      <c r="G4589" s="16" t="str">
        <f>IFERROR(__xludf.DUMMYFUNCTION("""COMPUTED_VALUE"""),"")</f>
        <v/>
      </c>
    </row>
    <row r="4590">
      <c r="G4590" s="16" t="str">
        <f>IFERROR(__xludf.DUMMYFUNCTION("""COMPUTED_VALUE"""),"")</f>
        <v/>
      </c>
    </row>
    <row r="4591">
      <c r="G4591" s="16" t="str">
        <f>IFERROR(__xludf.DUMMYFUNCTION("""COMPUTED_VALUE"""),"")</f>
        <v/>
      </c>
    </row>
    <row r="4592">
      <c r="G4592" s="16" t="str">
        <f>IFERROR(__xludf.DUMMYFUNCTION("""COMPUTED_VALUE"""),"")</f>
        <v/>
      </c>
    </row>
    <row r="4593">
      <c r="G4593" s="16" t="str">
        <f>IFERROR(__xludf.DUMMYFUNCTION("""COMPUTED_VALUE"""),"")</f>
        <v/>
      </c>
    </row>
    <row r="4594">
      <c r="G4594" s="16" t="str">
        <f>IFERROR(__xludf.DUMMYFUNCTION("""COMPUTED_VALUE"""),"")</f>
        <v/>
      </c>
    </row>
    <row r="4595">
      <c r="G4595" s="16" t="str">
        <f>IFERROR(__xludf.DUMMYFUNCTION("""COMPUTED_VALUE"""),"")</f>
        <v/>
      </c>
    </row>
    <row r="4596">
      <c r="G4596" s="16" t="str">
        <f>IFERROR(__xludf.DUMMYFUNCTION("""COMPUTED_VALUE"""),"")</f>
        <v/>
      </c>
    </row>
    <row r="4597">
      <c r="G4597" s="16" t="str">
        <f>IFERROR(__xludf.DUMMYFUNCTION("""COMPUTED_VALUE"""),"")</f>
        <v/>
      </c>
    </row>
    <row r="4598">
      <c r="G4598" s="16" t="str">
        <f>IFERROR(__xludf.DUMMYFUNCTION("""COMPUTED_VALUE"""),"")</f>
        <v/>
      </c>
    </row>
    <row r="4599">
      <c r="G4599" s="16" t="str">
        <f>IFERROR(__xludf.DUMMYFUNCTION("""COMPUTED_VALUE"""),"")</f>
        <v/>
      </c>
    </row>
    <row r="4600">
      <c r="G4600" s="16" t="str">
        <f>IFERROR(__xludf.DUMMYFUNCTION("""COMPUTED_VALUE"""),"")</f>
        <v/>
      </c>
    </row>
    <row r="4601">
      <c r="G4601" s="16" t="str">
        <f>IFERROR(__xludf.DUMMYFUNCTION("""COMPUTED_VALUE"""),"")</f>
        <v/>
      </c>
    </row>
    <row r="4602">
      <c r="G4602" s="16" t="str">
        <f>IFERROR(__xludf.DUMMYFUNCTION("""COMPUTED_VALUE"""),"")</f>
        <v/>
      </c>
    </row>
    <row r="4603">
      <c r="G4603" s="16" t="str">
        <f>IFERROR(__xludf.DUMMYFUNCTION("""COMPUTED_VALUE"""),"")</f>
        <v/>
      </c>
    </row>
    <row r="4604">
      <c r="G4604" s="16" t="str">
        <f>IFERROR(__xludf.DUMMYFUNCTION("""COMPUTED_VALUE"""),"")</f>
        <v/>
      </c>
    </row>
    <row r="4605">
      <c r="G4605" s="16" t="str">
        <f>IFERROR(__xludf.DUMMYFUNCTION("""COMPUTED_VALUE"""),"")</f>
        <v/>
      </c>
    </row>
    <row r="4606">
      <c r="G4606" s="16" t="str">
        <f>IFERROR(__xludf.DUMMYFUNCTION("""COMPUTED_VALUE"""),"")</f>
        <v/>
      </c>
    </row>
    <row r="4607">
      <c r="G4607" s="16" t="str">
        <f>IFERROR(__xludf.DUMMYFUNCTION("""COMPUTED_VALUE"""),"")</f>
        <v/>
      </c>
    </row>
    <row r="4608">
      <c r="G4608" s="16" t="str">
        <f>IFERROR(__xludf.DUMMYFUNCTION("""COMPUTED_VALUE"""),"")</f>
        <v/>
      </c>
    </row>
    <row r="4609">
      <c r="G4609" s="16" t="str">
        <f>IFERROR(__xludf.DUMMYFUNCTION("""COMPUTED_VALUE"""),"")</f>
        <v/>
      </c>
    </row>
    <row r="4610">
      <c r="G4610" s="16" t="str">
        <f>IFERROR(__xludf.DUMMYFUNCTION("""COMPUTED_VALUE"""),"")</f>
        <v/>
      </c>
    </row>
    <row r="4611">
      <c r="G4611" s="16" t="str">
        <f>IFERROR(__xludf.DUMMYFUNCTION("""COMPUTED_VALUE"""),"")</f>
        <v/>
      </c>
    </row>
    <row r="4612">
      <c r="G4612" s="16" t="str">
        <f>IFERROR(__xludf.DUMMYFUNCTION("""COMPUTED_VALUE"""),"")</f>
        <v/>
      </c>
    </row>
    <row r="4613">
      <c r="G4613" s="16" t="str">
        <f>IFERROR(__xludf.DUMMYFUNCTION("""COMPUTED_VALUE"""),"")</f>
        <v/>
      </c>
    </row>
    <row r="4614">
      <c r="G4614" s="16" t="str">
        <f>IFERROR(__xludf.DUMMYFUNCTION("""COMPUTED_VALUE"""),"")</f>
        <v/>
      </c>
    </row>
    <row r="4615">
      <c r="G4615" s="16" t="str">
        <f>IFERROR(__xludf.DUMMYFUNCTION("""COMPUTED_VALUE"""),"")</f>
        <v/>
      </c>
    </row>
    <row r="4616">
      <c r="G4616" s="16" t="str">
        <f>IFERROR(__xludf.DUMMYFUNCTION("""COMPUTED_VALUE"""),"")</f>
        <v/>
      </c>
    </row>
    <row r="4617">
      <c r="G4617" s="16" t="str">
        <f>IFERROR(__xludf.DUMMYFUNCTION("""COMPUTED_VALUE"""),"")</f>
        <v/>
      </c>
    </row>
    <row r="4618">
      <c r="G4618" s="16" t="str">
        <f>IFERROR(__xludf.DUMMYFUNCTION("""COMPUTED_VALUE"""),"")</f>
        <v/>
      </c>
    </row>
    <row r="4619">
      <c r="G4619" s="16" t="str">
        <f>IFERROR(__xludf.DUMMYFUNCTION("""COMPUTED_VALUE"""),"")</f>
        <v/>
      </c>
    </row>
    <row r="4620">
      <c r="G4620" s="16" t="str">
        <f>IFERROR(__xludf.DUMMYFUNCTION("""COMPUTED_VALUE"""),"")</f>
        <v/>
      </c>
    </row>
    <row r="4621">
      <c r="G4621" s="16" t="str">
        <f>IFERROR(__xludf.DUMMYFUNCTION("""COMPUTED_VALUE"""),"")</f>
        <v/>
      </c>
    </row>
    <row r="4622">
      <c r="G4622" s="16" t="str">
        <f>IFERROR(__xludf.DUMMYFUNCTION("""COMPUTED_VALUE"""),"")</f>
        <v/>
      </c>
    </row>
    <row r="4623">
      <c r="G4623" s="16" t="str">
        <f>IFERROR(__xludf.DUMMYFUNCTION("""COMPUTED_VALUE"""),"")</f>
        <v/>
      </c>
    </row>
    <row r="4624">
      <c r="G4624" s="16" t="str">
        <f>IFERROR(__xludf.DUMMYFUNCTION("""COMPUTED_VALUE"""),"")</f>
        <v/>
      </c>
    </row>
    <row r="4625">
      <c r="G4625" s="16" t="str">
        <f>IFERROR(__xludf.DUMMYFUNCTION("""COMPUTED_VALUE"""),"")</f>
        <v/>
      </c>
    </row>
    <row r="4626">
      <c r="G4626" s="16" t="str">
        <f>IFERROR(__xludf.DUMMYFUNCTION("""COMPUTED_VALUE"""),"")</f>
        <v/>
      </c>
    </row>
    <row r="4627">
      <c r="G4627" s="16" t="str">
        <f>IFERROR(__xludf.DUMMYFUNCTION("""COMPUTED_VALUE"""),"")</f>
        <v/>
      </c>
    </row>
    <row r="4628">
      <c r="G4628" s="16" t="str">
        <f>IFERROR(__xludf.DUMMYFUNCTION("""COMPUTED_VALUE"""),"")</f>
        <v/>
      </c>
    </row>
    <row r="4629">
      <c r="G4629" s="16" t="str">
        <f>IFERROR(__xludf.DUMMYFUNCTION("""COMPUTED_VALUE"""),"")</f>
        <v/>
      </c>
    </row>
    <row r="4630">
      <c r="G4630" s="16" t="str">
        <f>IFERROR(__xludf.DUMMYFUNCTION("""COMPUTED_VALUE"""),"")</f>
        <v/>
      </c>
    </row>
    <row r="4631">
      <c r="G4631" s="16" t="str">
        <f>IFERROR(__xludf.DUMMYFUNCTION("""COMPUTED_VALUE"""),"")</f>
        <v/>
      </c>
    </row>
    <row r="4632">
      <c r="G4632" s="16" t="str">
        <f>IFERROR(__xludf.DUMMYFUNCTION("""COMPUTED_VALUE"""),"")</f>
        <v/>
      </c>
    </row>
    <row r="4633">
      <c r="G4633" s="16" t="str">
        <f>IFERROR(__xludf.DUMMYFUNCTION("""COMPUTED_VALUE"""),"")</f>
        <v/>
      </c>
    </row>
    <row r="4634">
      <c r="G4634" s="16" t="str">
        <f>IFERROR(__xludf.DUMMYFUNCTION("""COMPUTED_VALUE"""),"")</f>
        <v/>
      </c>
    </row>
    <row r="4635">
      <c r="G4635" s="16" t="str">
        <f>IFERROR(__xludf.DUMMYFUNCTION("""COMPUTED_VALUE"""),"")</f>
        <v/>
      </c>
    </row>
    <row r="4636">
      <c r="G4636" s="16" t="str">
        <f>IFERROR(__xludf.DUMMYFUNCTION("""COMPUTED_VALUE"""),"")</f>
        <v/>
      </c>
    </row>
    <row r="4637">
      <c r="G4637" s="16" t="str">
        <f>IFERROR(__xludf.DUMMYFUNCTION("""COMPUTED_VALUE"""),"")</f>
        <v/>
      </c>
    </row>
    <row r="4638">
      <c r="G4638" s="16" t="str">
        <f>IFERROR(__xludf.DUMMYFUNCTION("""COMPUTED_VALUE"""),"")</f>
        <v/>
      </c>
    </row>
    <row r="4639">
      <c r="G4639" s="16" t="str">
        <f>IFERROR(__xludf.DUMMYFUNCTION("""COMPUTED_VALUE"""),"")</f>
        <v/>
      </c>
    </row>
    <row r="4640">
      <c r="G4640" s="16" t="str">
        <f>IFERROR(__xludf.DUMMYFUNCTION("""COMPUTED_VALUE"""),"")</f>
        <v/>
      </c>
    </row>
    <row r="4641">
      <c r="G4641" s="16" t="str">
        <f>IFERROR(__xludf.DUMMYFUNCTION("""COMPUTED_VALUE"""),"")</f>
        <v/>
      </c>
    </row>
    <row r="4642">
      <c r="G4642" s="16" t="str">
        <f>IFERROR(__xludf.DUMMYFUNCTION("""COMPUTED_VALUE"""),"")</f>
        <v/>
      </c>
    </row>
    <row r="4643">
      <c r="G4643" s="16" t="str">
        <f>IFERROR(__xludf.DUMMYFUNCTION("""COMPUTED_VALUE"""),"")</f>
        <v/>
      </c>
    </row>
    <row r="4644">
      <c r="G4644" s="16" t="str">
        <f>IFERROR(__xludf.DUMMYFUNCTION("""COMPUTED_VALUE"""),"")</f>
        <v/>
      </c>
    </row>
    <row r="4645">
      <c r="G4645" s="16" t="str">
        <f>IFERROR(__xludf.DUMMYFUNCTION("""COMPUTED_VALUE"""),"")</f>
        <v/>
      </c>
    </row>
    <row r="4646">
      <c r="G4646" s="16" t="str">
        <f>IFERROR(__xludf.DUMMYFUNCTION("""COMPUTED_VALUE"""),"")</f>
        <v/>
      </c>
    </row>
    <row r="4647">
      <c r="G4647" s="16" t="str">
        <f>IFERROR(__xludf.DUMMYFUNCTION("""COMPUTED_VALUE"""),"")</f>
        <v/>
      </c>
    </row>
    <row r="4648">
      <c r="G4648" s="16" t="str">
        <f>IFERROR(__xludf.DUMMYFUNCTION("""COMPUTED_VALUE"""),"")</f>
        <v/>
      </c>
    </row>
    <row r="4649">
      <c r="G4649" s="16" t="str">
        <f>IFERROR(__xludf.DUMMYFUNCTION("""COMPUTED_VALUE"""),"")</f>
        <v/>
      </c>
    </row>
    <row r="4650">
      <c r="G4650" s="16" t="str">
        <f>IFERROR(__xludf.DUMMYFUNCTION("""COMPUTED_VALUE"""),"")</f>
        <v/>
      </c>
    </row>
    <row r="4651">
      <c r="G4651" s="16" t="str">
        <f>IFERROR(__xludf.DUMMYFUNCTION("""COMPUTED_VALUE"""),"")</f>
        <v/>
      </c>
    </row>
    <row r="4652">
      <c r="G4652" s="16" t="str">
        <f>IFERROR(__xludf.DUMMYFUNCTION("""COMPUTED_VALUE"""),"")</f>
        <v/>
      </c>
    </row>
    <row r="4653">
      <c r="G4653" s="16" t="str">
        <f>IFERROR(__xludf.DUMMYFUNCTION("""COMPUTED_VALUE"""),"")</f>
        <v/>
      </c>
    </row>
    <row r="4654">
      <c r="G4654" s="16" t="str">
        <f>IFERROR(__xludf.DUMMYFUNCTION("""COMPUTED_VALUE"""),"")</f>
        <v/>
      </c>
    </row>
    <row r="4655">
      <c r="G4655" s="16" t="str">
        <f>IFERROR(__xludf.DUMMYFUNCTION("""COMPUTED_VALUE"""),"")</f>
        <v/>
      </c>
    </row>
    <row r="4656">
      <c r="G4656" s="16" t="str">
        <f>IFERROR(__xludf.DUMMYFUNCTION("""COMPUTED_VALUE"""),"")</f>
        <v/>
      </c>
    </row>
    <row r="4657">
      <c r="G4657" s="16" t="str">
        <f>IFERROR(__xludf.DUMMYFUNCTION("""COMPUTED_VALUE"""),"")</f>
        <v/>
      </c>
    </row>
    <row r="4658">
      <c r="G4658" s="16" t="str">
        <f>IFERROR(__xludf.DUMMYFUNCTION("""COMPUTED_VALUE"""),"")</f>
        <v/>
      </c>
    </row>
    <row r="4659">
      <c r="G4659" s="16" t="str">
        <f>IFERROR(__xludf.DUMMYFUNCTION("""COMPUTED_VALUE"""),"")</f>
        <v/>
      </c>
    </row>
    <row r="4660">
      <c r="G4660" s="16" t="str">
        <f>IFERROR(__xludf.DUMMYFUNCTION("""COMPUTED_VALUE"""),"")</f>
        <v/>
      </c>
    </row>
    <row r="4661">
      <c r="G4661" s="16" t="str">
        <f>IFERROR(__xludf.DUMMYFUNCTION("""COMPUTED_VALUE"""),"")</f>
        <v/>
      </c>
    </row>
    <row r="4662">
      <c r="G4662" s="16" t="str">
        <f>IFERROR(__xludf.DUMMYFUNCTION("""COMPUTED_VALUE"""),"")</f>
        <v/>
      </c>
    </row>
    <row r="4663">
      <c r="G4663" s="16" t="str">
        <f>IFERROR(__xludf.DUMMYFUNCTION("""COMPUTED_VALUE"""),"")</f>
        <v/>
      </c>
    </row>
    <row r="4664">
      <c r="G4664" s="16" t="str">
        <f>IFERROR(__xludf.DUMMYFUNCTION("""COMPUTED_VALUE"""),"")</f>
        <v/>
      </c>
    </row>
    <row r="4665">
      <c r="G4665" s="16" t="str">
        <f>IFERROR(__xludf.DUMMYFUNCTION("""COMPUTED_VALUE"""),"")</f>
        <v/>
      </c>
    </row>
    <row r="4666">
      <c r="G4666" s="16" t="str">
        <f>IFERROR(__xludf.DUMMYFUNCTION("""COMPUTED_VALUE"""),"")</f>
        <v/>
      </c>
    </row>
    <row r="4667">
      <c r="G4667" s="16" t="str">
        <f>IFERROR(__xludf.DUMMYFUNCTION("""COMPUTED_VALUE"""),"")</f>
        <v/>
      </c>
    </row>
    <row r="4668">
      <c r="G4668" s="16" t="str">
        <f>IFERROR(__xludf.DUMMYFUNCTION("""COMPUTED_VALUE"""),"")</f>
        <v/>
      </c>
    </row>
    <row r="4669">
      <c r="G4669" s="16" t="str">
        <f>IFERROR(__xludf.DUMMYFUNCTION("""COMPUTED_VALUE"""),"")</f>
        <v/>
      </c>
    </row>
    <row r="4670">
      <c r="G4670" s="16" t="str">
        <f>IFERROR(__xludf.DUMMYFUNCTION("""COMPUTED_VALUE"""),"")</f>
        <v/>
      </c>
    </row>
    <row r="4671">
      <c r="G4671" s="16" t="str">
        <f>IFERROR(__xludf.DUMMYFUNCTION("""COMPUTED_VALUE"""),"")</f>
        <v/>
      </c>
    </row>
    <row r="4672">
      <c r="G4672" s="16" t="str">
        <f>IFERROR(__xludf.DUMMYFUNCTION("""COMPUTED_VALUE"""),"")</f>
        <v/>
      </c>
    </row>
    <row r="4673">
      <c r="G4673" s="16" t="str">
        <f>IFERROR(__xludf.DUMMYFUNCTION("""COMPUTED_VALUE"""),"")</f>
        <v/>
      </c>
    </row>
    <row r="4674">
      <c r="G4674" s="16" t="str">
        <f>IFERROR(__xludf.DUMMYFUNCTION("""COMPUTED_VALUE"""),"")</f>
        <v/>
      </c>
    </row>
    <row r="4675">
      <c r="G4675" s="16" t="str">
        <f>IFERROR(__xludf.DUMMYFUNCTION("""COMPUTED_VALUE"""),"")</f>
        <v/>
      </c>
    </row>
    <row r="4676">
      <c r="G4676" s="16" t="str">
        <f>IFERROR(__xludf.DUMMYFUNCTION("""COMPUTED_VALUE"""),"")</f>
        <v/>
      </c>
    </row>
    <row r="4677">
      <c r="G4677" s="16" t="str">
        <f>IFERROR(__xludf.DUMMYFUNCTION("""COMPUTED_VALUE"""),"")</f>
        <v/>
      </c>
    </row>
    <row r="4678">
      <c r="G4678" s="16" t="str">
        <f>IFERROR(__xludf.DUMMYFUNCTION("""COMPUTED_VALUE"""),"")</f>
        <v/>
      </c>
    </row>
    <row r="4679">
      <c r="G4679" s="16" t="str">
        <f>IFERROR(__xludf.DUMMYFUNCTION("""COMPUTED_VALUE"""),"")</f>
        <v/>
      </c>
    </row>
    <row r="4680">
      <c r="G4680" s="16" t="str">
        <f>IFERROR(__xludf.DUMMYFUNCTION("""COMPUTED_VALUE"""),"")</f>
        <v/>
      </c>
    </row>
    <row r="4681">
      <c r="G4681" s="16" t="str">
        <f>IFERROR(__xludf.DUMMYFUNCTION("""COMPUTED_VALUE"""),"")</f>
        <v/>
      </c>
    </row>
    <row r="4682">
      <c r="G4682" s="16" t="str">
        <f>IFERROR(__xludf.DUMMYFUNCTION("""COMPUTED_VALUE"""),"")</f>
        <v/>
      </c>
    </row>
    <row r="4683">
      <c r="G4683" s="16" t="str">
        <f>IFERROR(__xludf.DUMMYFUNCTION("""COMPUTED_VALUE"""),"")</f>
        <v/>
      </c>
    </row>
    <row r="4684">
      <c r="G4684" s="16" t="str">
        <f>IFERROR(__xludf.DUMMYFUNCTION("""COMPUTED_VALUE"""),"")</f>
        <v/>
      </c>
    </row>
    <row r="4685">
      <c r="G4685" s="16" t="str">
        <f>IFERROR(__xludf.DUMMYFUNCTION("""COMPUTED_VALUE"""),"")</f>
        <v/>
      </c>
    </row>
    <row r="4686">
      <c r="G4686" s="16" t="str">
        <f>IFERROR(__xludf.DUMMYFUNCTION("""COMPUTED_VALUE"""),"")</f>
        <v/>
      </c>
    </row>
    <row r="4687">
      <c r="G4687" s="16" t="str">
        <f>IFERROR(__xludf.DUMMYFUNCTION("""COMPUTED_VALUE"""),"")</f>
        <v/>
      </c>
    </row>
    <row r="4688">
      <c r="G4688" s="16" t="str">
        <f>IFERROR(__xludf.DUMMYFUNCTION("""COMPUTED_VALUE"""),"")</f>
        <v/>
      </c>
    </row>
    <row r="4689">
      <c r="G4689" s="16" t="str">
        <f>IFERROR(__xludf.DUMMYFUNCTION("""COMPUTED_VALUE"""),"")</f>
        <v/>
      </c>
    </row>
    <row r="4690">
      <c r="G4690" s="16" t="str">
        <f>IFERROR(__xludf.DUMMYFUNCTION("""COMPUTED_VALUE"""),"")</f>
        <v/>
      </c>
    </row>
    <row r="4691">
      <c r="G4691" s="16" t="str">
        <f>IFERROR(__xludf.DUMMYFUNCTION("""COMPUTED_VALUE"""),"")</f>
        <v/>
      </c>
    </row>
    <row r="4692">
      <c r="G4692" s="16" t="str">
        <f>IFERROR(__xludf.DUMMYFUNCTION("""COMPUTED_VALUE"""),"")</f>
        <v/>
      </c>
    </row>
    <row r="4693">
      <c r="G4693" s="16" t="str">
        <f>IFERROR(__xludf.DUMMYFUNCTION("""COMPUTED_VALUE"""),"")</f>
        <v/>
      </c>
    </row>
    <row r="4694">
      <c r="G4694" s="16" t="str">
        <f>IFERROR(__xludf.DUMMYFUNCTION("""COMPUTED_VALUE"""),"")</f>
        <v/>
      </c>
    </row>
    <row r="4695">
      <c r="G4695" s="16" t="str">
        <f>IFERROR(__xludf.DUMMYFUNCTION("""COMPUTED_VALUE"""),"")</f>
        <v/>
      </c>
    </row>
    <row r="4696">
      <c r="G4696" s="16" t="str">
        <f>IFERROR(__xludf.DUMMYFUNCTION("""COMPUTED_VALUE"""),"")</f>
        <v/>
      </c>
    </row>
    <row r="4697">
      <c r="G4697" s="16" t="str">
        <f>IFERROR(__xludf.DUMMYFUNCTION("""COMPUTED_VALUE"""),"")</f>
        <v/>
      </c>
    </row>
    <row r="4698">
      <c r="G4698" s="16" t="str">
        <f>IFERROR(__xludf.DUMMYFUNCTION("""COMPUTED_VALUE"""),"")</f>
        <v/>
      </c>
    </row>
    <row r="4699">
      <c r="G4699" s="16" t="str">
        <f>IFERROR(__xludf.DUMMYFUNCTION("""COMPUTED_VALUE"""),"")</f>
        <v/>
      </c>
    </row>
    <row r="4700">
      <c r="G4700" s="16" t="str">
        <f>IFERROR(__xludf.DUMMYFUNCTION("""COMPUTED_VALUE"""),"")</f>
        <v/>
      </c>
    </row>
    <row r="4701">
      <c r="G4701" s="16" t="str">
        <f>IFERROR(__xludf.DUMMYFUNCTION("""COMPUTED_VALUE"""),"")</f>
        <v/>
      </c>
    </row>
    <row r="4702">
      <c r="G4702" s="16" t="str">
        <f>IFERROR(__xludf.DUMMYFUNCTION("""COMPUTED_VALUE"""),"")</f>
        <v/>
      </c>
    </row>
    <row r="4703">
      <c r="G4703" s="16" t="str">
        <f>IFERROR(__xludf.DUMMYFUNCTION("""COMPUTED_VALUE"""),"")</f>
        <v/>
      </c>
    </row>
    <row r="4704">
      <c r="G4704" s="16" t="str">
        <f>IFERROR(__xludf.DUMMYFUNCTION("""COMPUTED_VALUE"""),"")</f>
        <v/>
      </c>
    </row>
    <row r="4705">
      <c r="G4705" s="16" t="str">
        <f>IFERROR(__xludf.DUMMYFUNCTION("""COMPUTED_VALUE"""),"")</f>
        <v/>
      </c>
    </row>
    <row r="4706">
      <c r="G4706" s="16" t="str">
        <f>IFERROR(__xludf.DUMMYFUNCTION("""COMPUTED_VALUE"""),"")</f>
        <v/>
      </c>
    </row>
    <row r="4707">
      <c r="G4707" s="16" t="str">
        <f>IFERROR(__xludf.DUMMYFUNCTION("""COMPUTED_VALUE"""),"")</f>
        <v/>
      </c>
    </row>
    <row r="4708">
      <c r="G4708" s="16" t="str">
        <f>IFERROR(__xludf.DUMMYFUNCTION("""COMPUTED_VALUE"""),"")</f>
        <v/>
      </c>
    </row>
    <row r="4709">
      <c r="G4709" s="16" t="str">
        <f>IFERROR(__xludf.DUMMYFUNCTION("""COMPUTED_VALUE"""),"")</f>
        <v/>
      </c>
    </row>
    <row r="4710">
      <c r="G4710" s="16" t="str">
        <f>IFERROR(__xludf.DUMMYFUNCTION("""COMPUTED_VALUE"""),"")</f>
        <v/>
      </c>
    </row>
    <row r="4711">
      <c r="G4711" s="16" t="str">
        <f>IFERROR(__xludf.DUMMYFUNCTION("""COMPUTED_VALUE"""),"")</f>
        <v/>
      </c>
    </row>
    <row r="4712">
      <c r="G4712" s="16" t="str">
        <f>IFERROR(__xludf.DUMMYFUNCTION("""COMPUTED_VALUE"""),"")</f>
        <v/>
      </c>
    </row>
    <row r="4713">
      <c r="G4713" s="16" t="str">
        <f>IFERROR(__xludf.DUMMYFUNCTION("""COMPUTED_VALUE"""),"")</f>
        <v/>
      </c>
    </row>
    <row r="4714">
      <c r="G4714" s="16" t="str">
        <f>IFERROR(__xludf.DUMMYFUNCTION("""COMPUTED_VALUE"""),"")</f>
        <v/>
      </c>
    </row>
    <row r="4715">
      <c r="G4715" s="16" t="str">
        <f>IFERROR(__xludf.DUMMYFUNCTION("""COMPUTED_VALUE"""),"")</f>
        <v/>
      </c>
    </row>
    <row r="4716">
      <c r="G4716" s="16" t="str">
        <f>IFERROR(__xludf.DUMMYFUNCTION("""COMPUTED_VALUE"""),"")</f>
        <v/>
      </c>
    </row>
    <row r="4717">
      <c r="G4717" s="16" t="str">
        <f>IFERROR(__xludf.DUMMYFUNCTION("""COMPUTED_VALUE"""),"")</f>
        <v/>
      </c>
    </row>
    <row r="4718">
      <c r="G4718" s="16" t="str">
        <f>IFERROR(__xludf.DUMMYFUNCTION("""COMPUTED_VALUE"""),"")</f>
        <v/>
      </c>
    </row>
    <row r="4719">
      <c r="G4719" s="16" t="str">
        <f>IFERROR(__xludf.DUMMYFUNCTION("""COMPUTED_VALUE"""),"")</f>
        <v/>
      </c>
    </row>
    <row r="4720">
      <c r="G4720" s="16" t="str">
        <f>IFERROR(__xludf.DUMMYFUNCTION("""COMPUTED_VALUE"""),"")</f>
        <v/>
      </c>
    </row>
    <row r="4721">
      <c r="G4721" s="16" t="str">
        <f>IFERROR(__xludf.DUMMYFUNCTION("""COMPUTED_VALUE"""),"")</f>
        <v/>
      </c>
    </row>
    <row r="4722">
      <c r="G4722" s="16" t="str">
        <f>IFERROR(__xludf.DUMMYFUNCTION("""COMPUTED_VALUE"""),"")</f>
        <v/>
      </c>
    </row>
    <row r="4723">
      <c r="G4723" s="16" t="str">
        <f>IFERROR(__xludf.DUMMYFUNCTION("""COMPUTED_VALUE"""),"")</f>
        <v/>
      </c>
    </row>
    <row r="4724">
      <c r="G4724" s="16" t="str">
        <f>IFERROR(__xludf.DUMMYFUNCTION("""COMPUTED_VALUE"""),"")</f>
        <v/>
      </c>
    </row>
    <row r="4725">
      <c r="G4725" s="16" t="str">
        <f>IFERROR(__xludf.DUMMYFUNCTION("""COMPUTED_VALUE"""),"")</f>
        <v/>
      </c>
    </row>
    <row r="4726">
      <c r="G4726" s="16" t="str">
        <f>IFERROR(__xludf.DUMMYFUNCTION("""COMPUTED_VALUE"""),"")</f>
        <v/>
      </c>
    </row>
    <row r="4727">
      <c r="G4727" s="16" t="str">
        <f>IFERROR(__xludf.DUMMYFUNCTION("""COMPUTED_VALUE"""),"")</f>
        <v/>
      </c>
    </row>
    <row r="4728">
      <c r="G4728" s="16" t="str">
        <f>IFERROR(__xludf.DUMMYFUNCTION("""COMPUTED_VALUE"""),"")</f>
        <v/>
      </c>
    </row>
    <row r="4729">
      <c r="G4729" s="16" t="str">
        <f>IFERROR(__xludf.DUMMYFUNCTION("""COMPUTED_VALUE"""),"")</f>
        <v/>
      </c>
    </row>
    <row r="4730">
      <c r="G4730" s="16" t="str">
        <f>IFERROR(__xludf.DUMMYFUNCTION("""COMPUTED_VALUE"""),"")</f>
        <v/>
      </c>
    </row>
    <row r="4731">
      <c r="G4731" s="16" t="str">
        <f>IFERROR(__xludf.DUMMYFUNCTION("""COMPUTED_VALUE"""),"")</f>
        <v/>
      </c>
    </row>
    <row r="4732">
      <c r="G4732" s="16" t="str">
        <f>IFERROR(__xludf.DUMMYFUNCTION("""COMPUTED_VALUE"""),"")</f>
        <v/>
      </c>
    </row>
    <row r="4733">
      <c r="G4733" s="16" t="str">
        <f>IFERROR(__xludf.DUMMYFUNCTION("""COMPUTED_VALUE"""),"")</f>
        <v/>
      </c>
    </row>
    <row r="4734">
      <c r="G4734" s="16" t="str">
        <f>IFERROR(__xludf.DUMMYFUNCTION("""COMPUTED_VALUE"""),"")</f>
        <v/>
      </c>
    </row>
    <row r="4735">
      <c r="G4735" s="16" t="str">
        <f>IFERROR(__xludf.DUMMYFUNCTION("""COMPUTED_VALUE"""),"")</f>
        <v/>
      </c>
    </row>
    <row r="4736">
      <c r="G4736" s="16" t="str">
        <f>IFERROR(__xludf.DUMMYFUNCTION("""COMPUTED_VALUE"""),"")</f>
        <v/>
      </c>
    </row>
    <row r="4737">
      <c r="G4737" s="16" t="str">
        <f>IFERROR(__xludf.DUMMYFUNCTION("""COMPUTED_VALUE"""),"")</f>
        <v/>
      </c>
    </row>
    <row r="4738">
      <c r="G4738" s="16" t="str">
        <f>IFERROR(__xludf.DUMMYFUNCTION("""COMPUTED_VALUE"""),"")</f>
        <v/>
      </c>
    </row>
    <row r="4739">
      <c r="G4739" s="16" t="str">
        <f>IFERROR(__xludf.DUMMYFUNCTION("""COMPUTED_VALUE"""),"")</f>
        <v/>
      </c>
    </row>
    <row r="4740">
      <c r="G4740" s="16" t="str">
        <f>IFERROR(__xludf.DUMMYFUNCTION("""COMPUTED_VALUE"""),"")</f>
        <v/>
      </c>
    </row>
    <row r="4741">
      <c r="G4741" s="16" t="str">
        <f>IFERROR(__xludf.DUMMYFUNCTION("""COMPUTED_VALUE"""),"")</f>
        <v/>
      </c>
    </row>
    <row r="4742">
      <c r="G4742" s="16" t="str">
        <f>IFERROR(__xludf.DUMMYFUNCTION("""COMPUTED_VALUE"""),"")</f>
        <v/>
      </c>
    </row>
    <row r="4743">
      <c r="G4743" s="16" t="str">
        <f>IFERROR(__xludf.DUMMYFUNCTION("""COMPUTED_VALUE"""),"")</f>
        <v/>
      </c>
    </row>
    <row r="4744">
      <c r="G4744" s="16" t="str">
        <f>IFERROR(__xludf.DUMMYFUNCTION("""COMPUTED_VALUE"""),"")</f>
        <v/>
      </c>
    </row>
    <row r="4745">
      <c r="G4745" s="16" t="str">
        <f>IFERROR(__xludf.DUMMYFUNCTION("""COMPUTED_VALUE"""),"")</f>
        <v/>
      </c>
    </row>
    <row r="4746">
      <c r="G4746" s="16" t="str">
        <f>IFERROR(__xludf.DUMMYFUNCTION("""COMPUTED_VALUE"""),"")</f>
        <v/>
      </c>
    </row>
    <row r="4747">
      <c r="G4747" s="16" t="str">
        <f>IFERROR(__xludf.DUMMYFUNCTION("""COMPUTED_VALUE"""),"")</f>
        <v/>
      </c>
    </row>
    <row r="4748">
      <c r="G4748" s="16" t="str">
        <f>IFERROR(__xludf.DUMMYFUNCTION("""COMPUTED_VALUE"""),"")</f>
        <v/>
      </c>
    </row>
    <row r="4749">
      <c r="G4749" s="16" t="str">
        <f>IFERROR(__xludf.DUMMYFUNCTION("""COMPUTED_VALUE"""),"")</f>
        <v/>
      </c>
    </row>
    <row r="4750">
      <c r="G4750" s="16" t="str">
        <f>IFERROR(__xludf.DUMMYFUNCTION("""COMPUTED_VALUE"""),"")</f>
        <v/>
      </c>
    </row>
    <row r="4751">
      <c r="G4751" s="16" t="str">
        <f>IFERROR(__xludf.DUMMYFUNCTION("""COMPUTED_VALUE"""),"")</f>
        <v/>
      </c>
    </row>
    <row r="4752">
      <c r="G4752" s="16" t="str">
        <f>IFERROR(__xludf.DUMMYFUNCTION("""COMPUTED_VALUE"""),"")</f>
        <v/>
      </c>
    </row>
    <row r="4753">
      <c r="G4753" s="16" t="str">
        <f>IFERROR(__xludf.DUMMYFUNCTION("""COMPUTED_VALUE"""),"")</f>
        <v/>
      </c>
    </row>
    <row r="4754">
      <c r="G4754" s="16" t="str">
        <f>IFERROR(__xludf.DUMMYFUNCTION("""COMPUTED_VALUE"""),"")</f>
        <v/>
      </c>
    </row>
    <row r="4755">
      <c r="G4755" s="16" t="str">
        <f>IFERROR(__xludf.DUMMYFUNCTION("""COMPUTED_VALUE"""),"")</f>
        <v/>
      </c>
    </row>
    <row r="4756">
      <c r="G4756" s="16" t="str">
        <f>IFERROR(__xludf.DUMMYFUNCTION("""COMPUTED_VALUE"""),"")</f>
        <v/>
      </c>
    </row>
    <row r="4757">
      <c r="G4757" s="16" t="str">
        <f>IFERROR(__xludf.DUMMYFUNCTION("""COMPUTED_VALUE"""),"")</f>
        <v/>
      </c>
    </row>
    <row r="4758">
      <c r="G4758" s="16" t="str">
        <f>IFERROR(__xludf.DUMMYFUNCTION("""COMPUTED_VALUE"""),"")</f>
        <v/>
      </c>
    </row>
    <row r="4759">
      <c r="G4759" s="16" t="str">
        <f>IFERROR(__xludf.DUMMYFUNCTION("""COMPUTED_VALUE"""),"")</f>
        <v/>
      </c>
    </row>
    <row r="4760">
      <c r="G4760" s="16" t="str">
        <f>IFERROR(__xludf.DUMMYFUNCTION("""COMPUTED_VALUE"""),"")</f>
        <v/>
      </c>
    </row>
    <row r="4761">
      <c r="G4761" s="16" t="str">
        <f>IFERROR(__xludf.DUMMYFUNCTION("""COMPUTED_VALUE"""),"")</f>
        <v/>
      </c>
    </row>
    <row r="4762">
      <c r="G4762" s="16" t="str">
        <f>IFERROR(__xludf.DUMMYFUNCTION("""COMPUTED_VALUE"""),"")</f>
        <v/>
      </c>
    </row>
    <row r="4763">
      <c r="G4763" s="16" t="str">
        <f>IFERROR(__xludf.DUMMYFUNCTION("""COMPUTED_VALUE"""),"")</f>
        <v/>
      </c>
    </row>
    <row r="4764">
      <c r="G4764" s="16" t="str">
        <f>IFERROR(__xludf.DUMMYFUNCTION("""COMPUTED_VALUE"""),"")</f>
        <v/>
      </c>
    </row>
    <row r="4765">
      <c r="G4765" s="16" t="str">
        <f>IFERROR(__xludf.DUMMYFUNCTION("""COMPUTED_VALUE"""),"")</f>
        <v/>
      </c>
    </row>
    <row r="4766">
      <c r="G4766" s="16" t="str">
        <f>IFERROR(__xludf.DUMMYFUNCTION("""COMPUTED_VALUE"""),"")</f>
        <v/>
      </c>
    </row>
    <row r="4767">
      <c r="G4767" s="16" t="str">
        <f>IFERROR(__xludf.DUMMYFUNCTION("""COMPUTED_VALUE"""),"")</f>
        <v/>
      </c>
    </row>
    <row r="4768">
      <c r="G4768" s="16" t="str">
        <f>IFERROR(__xludf.DUMMYFUNCTION("""COMPUTED_VALUE"""),"")</f>
        <v/>
      </c>
    </row>
    <row r="4769">
      <c r="G4769" s="16" t="str">
        <f>IFERROR(__xludf.DUMMYFUNCTION("""COMPUTED_VALUE"""),"")</f>
        <v/>
      </c>
    </row>
    <row r="4770">
      <c r="G4770" s="16" t="str">
        <f>IFERROR(__xludf.DUMMYFUNCTION("""COMPUTED_VALUE"""),"")</f>
        <v/>
      </c>
    </row>
    <row r="4771">
      <c r="G4771" s="16" t="str">
        <f>IFERROR(__xludf.DUMMYFUNCTION("""COMPUTED_VALUE"""),"")</f>
        <v/>
      </c>
    </row>
    <row r="4772">
      <c r="G4772" s="16" t="str">
        <f>IFERROR(__xludf.DUMMYFUNCTION("""COMPUTED_VALUE"""),"")</f>
        <v/>
      </c>
    </row>
    <row r="4773">
      <c r="G4773" s="16" t="str">
        <f>IFERROR(__xludf.DUMMYFUNCTION("""COMPUTED_VALUE"""),"")</f>
        <v/>
      </c>
    </row>
    <row r="4774">
      <c r="G4774" s="16" t="str">
        <f>IFERROR(__xludf.DUMMYFUNCTION("""COMPUTED_VALUE"""),"")</f>
        <v/>
      </c>
    </row>
    <row r="4775">
      <c r="G4775" s="16" t="str">
        <f>IFERROR(__xludf.DUMMYFUNCTION("""COMPUTED_VALUE"""),"")</f>
        <v/>
      </c>
    </row>
    <row r="4776">
      <c r="G4776" s="16" t="str">
        <f>IFERROR(__xludf.DUMMYFUNCTION("""COMPUTED_VALUE"""),"")</f>
        <v/>
      </c>
    </row>
    <row r="4777">
      <c r="G4777" s="16" t="str">
        <f>IFERROR(__xludf.DUMMYFUNCTION("""COMPUTED_VALUE"""),"")</f>
        <v/>
      </c>
    </row>
    <row r="4778">
      <c r="G4778" s="16" t="str">
        <f>IFERROR(__xludf.DUMMYFUNCTION("""COMPUTED_VALUE"""),"")</f>
        <v/>
      </c>
    </row>
    <row r="4779">
      <c r="G4779" s="16" t="str">
        <f>IFERROR(__xludf.DUMMYFUNCTION("""COMPUTED_VALUE"""),"")</f>
        <v/>
      </c>
    </row>
    <row r="4780">
      <c r="G4780" s="16" t="str">
        <f>IFERROR(__xludf.DUMMYFUNCTION("""COMPUTED_VALUE"""),"")</f>
        <v/>
      </c>
    </row>
    <row r="4781">
      <c r="G4781" s="16" t="str">
        <f>IFERROR(__xludf.DUMMYFUNCTION("""COMPUTED_VALUE"""),"")</f>
        <v/>
      </c>
    </row>
    <row r="4782">
      <c r="G4782" s="16" t="str">
        <f>IFERROR(__xludf.DUMMYFUNCTION("""COMPUTED_VALUE"""),"")</f>
        <v/>
      </c>
    </row>
    <row r="4783">
      <c r="G4783" s="16" t="str">
        <f>IFERROR(__xludf.DUMMYFUNCTION("""COMPUTED_VALUE"""),"")</f>
        <v/>
      </c>
    </row>
    <row r="4784">
      <c r="G4784" s="16" t="str">
        <f>IFERROR(__xludf.DUMMYFUNCTION("""COMPUTED_VALUE"""),"")</f>
        <v/>
      </c>
    </row>
    <row r="4785">
      <c r="G4785" s="16" t="str">
        <f>IFERROR(__xludf.DUMMYFUNCTION("""COMPUTED_VALUE"""),"")</f>
        <v/>
      </c>
    </row>
    <row r="4786">
      <c r="G4786" s="16" t="str">
        <f>IFERROR(__xludf.DUMMYFUNCTION("""COMPUTED_VALUE"""),"")</f>
        <v/>
      </c>
    </row>
    <row r="4787">
      <c r="G4787" s="16" t="str">
        <f>IFERROR(__xludf.DUMMYFUNCTION("""COMPUTED_VALUE"""),"")</f>
        <v/>
      </c>
    </row>
    <row r="4788">
      <c r="G4788" s="16" t="str">
        <f>IFERROR(__xludf.DUMMYFUNCTION("""COMPUTED_VALUE"""),"")</f>
        <v/>
      </c>
    </row>
    <row r="4789">
      <c r="G4789" s="16" t="str">
        <f>IFERROR(__xludf.DUMMYFUNCTION("""COMPUTED_VALUE"""),"")</f>
        <v/>
      </c>
    </row>
    <row r="4790">
      <c r="G4790" s="16" t="str">
        <f>IFERROR(__xludf.DUMMYFUNCTION("""COMPUTED_VALUE"""),"")</f>
        <v/>
      </c>
    </row>
    <row r="4791">
      <c r="G4791" s="16" t="str">
        <f>IFERROR(__xludf.DUMMYFUNCTION("""COMPUTED_VALUE"""),"")</f>
        <v/>
      </c>
    </row>
    <row r="4792">
      <c r="G4792" s="16" t="str">
        <f>IFERROR(__xludf.DUMMYFUNCTION("""COMPUTED_VALUE"""),"")</f>
        <v/>
      </c>
    </row>
    <row r="4793">
      <c r="G4793" s="16" t="str">
        <f>IFERROR(__xludf.DUMMYFUNCTION("""COMPUTED_VALUE"""),"")</f>
        <v/>
      </c>
    </row>
    <row r="4794">
      <c r="G4794" s="16" t="str">
        <f>IFERROR(__xludf.DUMMYFUNCTION("""COMPUTED_VALUE"""),"")</f>
        <v/>
      </c>
    </row>
    <row r="4795">
      <c r="G4795" s="16" t="str">
        <f>IFERROR(__xludf.DUMMYFUNCTION("""COMPUTED_VALUE"""),"")</f>
        <v/>
      </c>
    </row>
    <row r="4796">
      <c r="G4796" s="16" t="str">
        <f>IFERROR(__xludf.DUMMYFUNCTION("""COMPUTED_VALUE"""),"")</f>
        <v/>
      </c>
    </row>
    <row r="4797">
      <c r="G4797" s="16" t="str">
        <f>IFERROR(__xludf.DUMMYFUNCTION("""COMPUTED_VALUE"""),"")</f>
        <v/>
      </c>
    </row>
    <row r="4798">
      <c r="G4798" s="16" t="str">
        <f>IFERROR(__xludf.DUMMYFUNCTION("""COMPUTED_VALUE"""),"")</f>
        <v/>
      </c>
    </row>
    <row r="4799">
      <c r="G4799" s="16" t="str">
        <f>IFERROR(__xludf.DUMMYFUNCTION("""COMPUTED_VALUE"""),"")</f>
        <v/>
      </c>
    </row>
    <row r="4800">
      <c r="G4800" s="16" t="str">
        <f>IFERROR(__xludf.DUMMYFUNCTION("""COMPUTED_VALUE"""),"")</f>
        <v/>
      </c>
    </row>
    <row r="4801">
      <c r="G4801" s="16" t="str">
        <f>IFERROR(__xludf.DUMMYFUNCTION("""COMPUTED_VALUE"""),"")</f>
        <v/>
      </c>
    </row>
    <row r="4802">
      <c r="G4802" s="16" t="str">
        <f>IFERROR(__xludf.DUMMYFUNCTION("""COMPUTED_VALUE"""),"")</f>
        <v/>
      </c>
    </row>
    <row r="4803">
      <c r="G4803" s="16" t="str">
        <f>IFERROR(__xludf.DUMMYFUNCTION("""COMPUTED_VALUE"""),"")</f>
        <v/>
      </c>
    </row>
    <row r="4804">
      <c r="G4804" s="16" t="str">
        <f>IFERROR(__xludf.DUMMYFUNCTION("""COMPUTED_VALUE"""),"")</f>
        <v/>
      </c>
    </row>
    <row r="4805">
      <c r="G4805" s="16" t="str">
        <f>IFERROR(__xludf.DUMMYFUNCTION("""COMPUTED_VALUE"""),"")</f>
        <v/>
      </c>
    </row>
    <row r="4806">
      <c r="G4806" s="16" t="str">
        <f>IFERROR(__xludf.DUMMYFUNCTION("""COMPUTED_VALUE"""),"")</f>
        <v/>
      </c>
    </row>
    <row r="4807">
      <c r="G4807" s="16" t="str">
        <f>IFERROR(__xludf.DUMMYFUNCTION("""COMPUTED_VALUE"""),"")</f>
        <v/>
      </c>
    </row>
    <row r="4808">
      <c r="G4808" s="16" t="str">
        <f>IFERROR(__xludf.DUMMYFUNCTION("""COMPUTED_VALUE"""),"")</f>
        <v/>
      </c>
    </row>
    <row r="4809">
      <c r="G4809" s="16" t="str">
        <f>IFERROR(__xludf.DUMMYFUNCTION("""COMPUTED_VALUE"""),"")</f>
        <v/>
      </c>
    </row>
    <row r="4810">
      <c r="G4810" s="16" t="str">
        <f>IFERROR(__xludf.DUMMYFUNCTION("""COMPUTED_VALUE"""),"")</f>
        <v/>
      </c>
    </row>
    <row r="4811">
      <c r="G4811" s="16" t="str">
        <f>IFERROR(__xludf.DUMMYFUNCTION("""COMPUTED_VALUE"""),"")</f>
        <v/>
      </c>
    </row>
    <row r="4812">
      <c r="G4812" s="16" t="str">
        <f>IFERROR(__xludf.DUMMYFUNCTION("""COMPUTED_VALUE"""),"")</f>
        <v/>
      </c>
    </row>
    <row r="4813">
      <c r="G4813" s="16" t="str">
        <f>IFERROR(__xludf.DUMMYFUNCTION("""COMPUTED_VALUE"""),"")</f>
        <v/>
      </c>
    </row>
    <row r="4814">
      <c r="G4814" s="16" t="str">
        <f>IFERROR(__xludf.DUMMYFUNCTION("""COMPUTED_VALUE"""),"")</f>
        <v/>
      </c>
    </row>
    <row r="4815">
      <c r="G4815" s="16" t="str">
        <f>IFERROR(__xludf.DUMMYFUNCTION("""COMPUTED_VALUE"""),"")</f>
        <v/>
      </c>
    </row>
    <row r="4816">
      <c r="G4816" s="16" t="str">
        <f>IFERROR(__xludf.DUMMYFUNCTION("""COMPUTED_VALUE"""),"")</f>
        <v/>
      </c>
    </row>
    <row r="4817">
      <c r="G4817" s="16" t="str">
        <f>IFERROR(__xludf.DUMMYFUNCTION("""COMPUTED_VALUE"""),"")</f>
        <v/>
      </c>
    </row>
    <row r="4818">
      <c r="G4818" s="16" t="str">
        <f>IFERROR(__xludf.DUMMYFUNCTION("""COMPUTED_VALUE"""),"")</f>
        <v/>
      </c>
    </row>
    <row r="4819">
      <c r="G4819" s="16" t="str">
        <f>IFERROR(__xludf.DUMMYFUNCTION("""COMPUTED_VALUE"""),"")</f>
        <v/>
      </c>
    </row>
    <row r="4820">
      <c r="G4820" s="16" t="str">
        <f>IFERROR(__xludf.DUMMYFUNCTION("""COMPUTED_VALUE"""),"")</f>
        <v/>
      </c>
    </row>
    <row r="4821">
      <c r="G4821" s="16" t="str">
        <f>IFERROR(__xludf.DUMMYFUNCTION("""COMPUTED_VALUE"""),"")</f>
        <v/>
      </c>
    </row>
    <row r="4822">
      <c r="G4822" s="16" t="str">
        <f>IFERROR(__xludf.DUMMYFUNCTION("""COMPUTED_VALUE"""),"")</f>
        <v/>
      </c>
    </row>
    <row r="4823">
      <c r="G4823" s="16" t="str">
        <f>IFERROR(__xludf.DUMMYFUNCTION("""COMPUTED_VALUE"""),"")</f>
        <v/>
      </c>
    </row>
    <row r="4824">
      <c r="G4824" s="16" t="str">
        <f>IFERROR(__xludf.DUMMYFUNCTION("""COMPUTED_VALUE"""),"")</f>
        <v/>
      </c>
    </row>
    <row r="4825">
      <c r="G4825" s="16" t="str">
        <f>IFERROR(__xludf.DUMMYFUNCTION("""COMPUTED_VALUE"""),"")</f>
        <v/>
      </c>
    </row>
    <row r="4826">
      <c r="G4826" s="16" t="str">
        <f>IFERROR(__xludf.DUMMYFUNCTION("""COMPUTED_VALUE"""),"")</f>
        <v/>
      </c>
    </row>
    <row r="4827">
      <c r="G4827" s="16" t="str">
        <f>IFERROR(__xludf.DUMMYFUNCTION("""COMPUTED_VALUE"""),"")</f>
        <v/>
      </c>
    </row>
    <row r="4828">
      <c r="G4828" s="16" t="str">
        <f>IFERROR(__xludf.DUMMYFUNCTION("""COMPUTED_VALUE"""),"")</f>
        <v/>
      </c>
    </row>
    <row r="4829">
      <c r="G4829" s="16" t="str">
        <f>IFERROR(__xludf.DUMMYFUNCTION("""COMPUTED_VALUE"""),"")</f>
        <v/>
      </c>
    </row>
    <row r="4830">
      <c r="G4830" s="16" t="str">
        <f>IFERROR(__xludf.DUMMYFUNCTION("""COMPUTED_VALUE"""),"")</f>
        <v/>
      </c>
    </row>
    <row r="4831">
      <c r="G4831" s="16" t="str">
        <f>IFERROR(__xludf.DUMMYFUNCTION("""COMPUTED_VALUE"""),"")</f>
        <v/>
      </c>
    </row>
    <row r="4832">
      <c r="G4832" s="16" t="str">
        <f>IFERROR(__xludf.DUMMYFUNCTION("""COMPUTED_VALUE"""),"")</f>
        <v/>
      </c>
    </row>
    <row r="4833">
      <c r="G4833" s="16" t="str">
        <f>IFERROR(__xludf.DUMMYFUNCTION("""COMPUTED_VALUE"""),"")</f>
        <v/>
      </c>
    </row>
    <row r="4834">
      <c r="G4834" s="16" t="str">
        <f>IFERROR(__xludf.DUMMYFUNCTION("""COMPUTED_VALUE"""),"")</f>
        <v/>
      </c>
    </row>
    <row r="4835">
      <c r="G4835" s="16" t="str">
        <f>IFERROR(__xludf.DUMMYFUNCTION("""COMPUTED_VALUE"""),"")</f>
        <v/>
      </c>
    </row>
    <row r="4836">
      <c r="G4836" s="16" t="str">
        <f>IFERROR(__xludf.DUMMYFUNCTION("""COMPUTED_VALUE"""),"")</f>
        <v/>
      </c>
    </row>
    <row r="4837">
      <c r="G4837" s="16" t="str">
        <f>IFERROR(__xludf.DUMMYFUNCTION("""COMPUTED_VALUE"""),"")</f>
        <v/>
      </c>
    </row>
    <row r="4838">
      <c r="G4838" s="16" t="str">
        <f>IFERROR(__xludf.DUMMYFUNCTION("""COMPUTED_VALUE"""),"")</f>
        <v/>
      </c>
    </row>
    <row r="4839">
      <c r="G4839" s="16" t="str">
        <f>IFERROR(__xludf.DUMMYFUNCTION("""COMPUTED_VALUE"""),"")</f>
        <v/>
      </c>
    </row>
    <row r="4840">
      <c r="G4840" s="16" t="str">
        <f>IFERROR(__xludf.DUMMYFUNCTION("""COMPUTED_VALUE"""),"")</f>
        <v/>
      </c>
    </row>
    <row r="4841">
      <c r="G4841" s="16" t="str">
        <f>IFERROR(__xludf.DUMMYFUNCTION("""COMPUTED_VALUE"""),"")</f>
        <v/>
      </c>
    </row>
    <row r="4842">
      <c r="G4842" s="16" t="str">
        <f>IFERROR(__xludf.DUMMYFUNCTION("""COMPUTED_VALUE"""),"")</f>
        <v/>
      </c>
    </row>
    <row r="4843">
      <c r="G4843" s="16" t="str">
        <f>IFERROR(__xludf.DUMMYFUNCTION("""COMPUTED_VALUE"""),"")</f>
        <v/>
      </c>
    </row>
    <row r="4844">
      <c r="G4844" s="16" t="str">
        <f>IFERROR(__xludf.DUMMYFUNCTION("""COMPUTED_VALUE"""),"")</f>
        <v/>
      </c>
    </row>
    <row r="4845">
      <c r="G4845" s="16" t="str">
        <f>IFERROR(__xludf.DUMMYFUNCTION("""COMPUTED_VALUE"""),"")</f>
        <v/>
      </c>
    </row>
    <row r="4846">
      <c r="G4846" s="16" t="str">
        <f>IFERROR(__xludf.DUMMYFUNCTION("""COMPUTED_VALUE"""),"")</f>
        <v/>
      </c>
    </row>
    <row r="4847">
      <c r="G4847" s="16" t="str">
        <f>IFERROR(__xludf.DUMMYFUNCTION("""COMPUTED_VALUE"""),"")</f>
        <v/>
      </c>
    </row>
    <row r="4848">
      <c r="G4848" s="16" t="str">
        <f>IFERROR(__xludf.DUMMYFUNCTION("""COMPUTED_VALUE"""),"")</f>
        <v/>
      </c>
    </row>
    <row r="4849">
      <c r="G4849" s="16" t="str">
        <f>IFERROR(__xludf.DUMMYFUNCTION("""COMPUTED_VALUE"""),"")</f>
        <v/>
      </c>
    </row>
    <row r="4850">
      <c r="G4850" s="16" t="str">
        <f>IFERROR(__xludf.DUMMYFUNCTION("""COMPUTED_VALUE"""),"")</f>
        <v/>
      </c>
    </row>
    <row r="4851">
      <c r="G4851" s="16" t="str">
        <f>IFERROR(__xludf.DUMMYFUNCTION("""COMPUTED_VALUE"""),"")</f>
        <v/>
      </c>
    </row>
    <row r="4852">
      <c r="G4852" s="16" t="str">
        <f>IFERROR(__xludf.DUMMYFUNCTION("""COMPUTED_VALUE"""),"")</f>
        <v/>
      </c>
    </row>
    <row r="4853">
      <c r="G4853" s="16" t="str">
        <f>IFERROR(__xludf.DUMMYFUNCTION("""COMPUTED_VALUE"""),"")</f>
        <v/>
      </c>
    </row>
    <row r="4854">
      <c r="G4854" s="16" t="str">
        <f>IFERROR(__xludf.DUMMYFUNCTION("""COMPUTED_VALUE"""),"")</f>
        <v/>
      </c>
    </row>
    <row r="4855">
      <c r="G4855" s="16" t="str">
        <f>IFERROR(__xludf.DUMMYFUNCTION("""COMPUTED_VALUE"""),"")</f>
        <v/>
      </c>
    </row>
    <row r="4856">
      <c r="G4856" s="16" t="str">
        <f>IFERROR(__xludf.DUMMYFUNCTION("""COMPUTED_VALUE"""),"")</f>
        <v/>
      </c>
    </row>
    <row r="4857">
      <c r="G4857" s="16" t="str">
        <f>IFERROR(__xludf.DUMMYFUNCTION("""COMPUTED_VALUE"""),"")</f>
        <v/>
      </c>
    </row>
    <row r="4858">
      <c r="G4858" s="16" t="str">
        <f>IFERROR(__xludf.DUMMYFUNCTION("""COMPUTED_VALUE"""),"")</f>
        <v/>
      </c>
    </row>
    <row r="4859">
      <c r="G4859" s="16" t="str">
        <f>IFERROR(__xludf.DUMMYFUNCTION("""COMPUTED_VALUE"""),"")</f>
        <v/>
      </c>
    </row>
    <row r="4860">
      <c r="G4860" s="16" t="str">
        <f>IFERROR(__xludf.DUMMYFUNCTION("""COMPUTED_VALUE"""),"")</f>
        <v/>
      </c>
    </row>
    <row r="4861">
      <c r="G4861" s="16" t="str">
        <f>IFERROR(__xludf.DUMMYFUNCTION("""COMPUTED_VALUE"""),"")</f>
        <v/>
      </c>
    </row>
    <row r="4862">
      <c r="G4862" s="16" t="str">
        <f>IFERROR(__xludf.DUMMYFUNCTION("""COMPUTED_VALUE"""),"")</f>
        <v/>
      </c>
    </row>
    <row r="4863">
      <c r="G4863" s="16" t="str">
        <f>IFERROR(__xludf.DUMMYFUNCTION("""COMPUTED_VALUE"""),"")</f>
        <v/>
      </c>
    </row>
    <row r="4864">
      <c r="G4864" s="16" t="str">
        <f>IFERROR(__xludf.DUMMYFUNCTION("""COMPUTED_VALUE"""),"")</f>
        <v/>
      </c>
    </row>
    <row r="4865">
      <c r="G4865" s="16" t="str">
        <f>IFERROR(__xludf.DUMMYFUNCTION("""COMPUTED_VALUE"""),"")</f>
        <v/>
      </c>
    </row>
    <row r="4866">
      <c r="G4866" s="16" t="str">
        <f>IFERROR(__xludf.DUMMYFUNCTION("""COMPUTED_VALUE"""),"")</f>
        <v/>
      </c>
    </row>
    <row r="4867">
      <c r="G4867" s="16" t="str">
        <f>IFERROR(__xludf.DUMMYFUNCTION("""COMPUTED_VALUE"""),"")</f>
        <v/>
      </c>
    </row>
    <row r="4868">
      <c r="G4868" s="16" t="str">
        <f>IFERROR(__xludf.DUMMYFUNCTION("""COMPUTED_VALUE"""),"")</f>
        <v/>
      </c>
    </row>
    <row r="4869">
      <c r="G4869" s="16" t="str">
        <f>IFERROR(__xludf.DUMMYFUNCTION("""COMPUTED_VALUE"""),"")</f>
        <v/>
      </c>
    </row>
    <row r="4870">
      <c r="G4870" s="16" t="str">
        <f>IFERROR(__xludf.DUMMYFUNCTION("""COMPUTED_VALUE"""),"")</f>
        <v/>
      </c>
    </row>
    <row r="4871">
      <c r="G4871" s="16" t="str">
        <f>IFERROR(__xludf.DUMMYFUNCTION("""COMPUTED_VALUE"""),"")</f>
        <v/>
      </c>
    </row>
    <row r="4872">
      <c r="G4872" s="16" t="str">
        <f>IFERROR(__xludf.DUMMYFUNCTION("""COMPUTED_VALUE"""),"")</f>
        <v/>
      </c>
    </row>
    <row r="4873">
      <c r="G4873" s="16" t="str">
        <f>IFERROR(__xludf.DUMMYFUNCTION("""COMPUTED_VALUE"""),"")</f>
        <v/>
      </c>
    </row>
    <row r="4874">
      <c r="G4874" s="16" t="str">
        <f>IFERROR(__xludf.DUMMYFUNCTION("""COMPUTED_VALUE"""),"")</f>
        <v/>
      </c>
    </row>
    <row r="4875">
      <c r="G4875" s="16" t="str">
        <f>IFERROR(__xludf.DUMMYFUNCTION("""COMPUTED_VALUE"""),"")</f>
        <v/>
      </c>
    </row>
    <row r="4876">
      <c r="G4876" s="16" t="str">
        <f>IFERROR(__xludf.DUMMYFUNCTION("""COMPUTED_VALUE"""),"")</f>
        <v/>
      </c>
    </row>
    <row r="4877">
      <c r="G4877" s="16" t="str">
        <f>IFERROR(__xludf.DUMMYFUNCTION("""COMPUTED_VALUE"""),"")</f>
        <v/>
      </c>
    </row>
    <row r="4878">
      <c r="G4878" s="16" t="str">
        <f>IFERROR(__xludf.DUMMYFUNCTION("""COMPUTED_VALUE"""),"")</f>
        <v/>
      </c>
    </row>
    <row r="4879">
      <c r="G4879" s="16" t="str">
        <f>IFERROR(__xludf.DUMMYFUNCTION("""COMPUTED_VALUE"""),"")</f>
        <v/>
      </c>
    </row>
    <row r="4880">
      <c r="G4880" s="16" t="str">
        <f>IFERROR(__xludf.DUMMYFUNCTION("""COMPUTED_VALUE"""),"")</f>
        <v/>
      </c>
    </row>
    <row r="4881">
      <c r="G4881" s="16" t="str">
        <f>IFERROR(__xludf.DUMMYFUNCTION("""COMPUTED_VALUE"""),"")</f>
        <v/>
      </c>
    </row>
    <row r="4882">
      <c r="G4882" s="16" t="str">
        <f>IFERROR(__xludf.DUMMYFUNCTION("""COMPUTED_VALUE"""),"")</f>
        <v/>
      </c>
    </row>
    <row r="4883">
      <c r="G4883" s="16" t="str">
        <f>IFERROR(__xludf.DUMMYFUNCTION("""COMPUTED_VALUE"""),"")</f>
        <v/>
      </c>
    </row>
    <row r="4884">
      <c r="G4884" s="16" t="str">
        <f>IFERROR(__xludf.DUMMYFUNCTION("""COMPUTED_VALUE"""),"")</f>
        <v/>
      </c>
    </row>
    <row r="4885">
      <c r="G4885" s="16" t="str">
        <f>IFERROR(__xludf.DUMMYFUNCTION("""COMPUTED_VALUE"""),"")</f>
        <v/>
      </c>
    </row>
    <row r="4886">
      <c r="G4886" s="16" t="str">
        <f>IFERROR(__xludf.DUMMYFUNCTION("""COMPUTED_VALUE"""),"")</f>
        <v/>
      </c>
    </row>
    <row r="4887">
      <c r="G4887" s="16" t="str">
        <f>IFERROR(__xludf.DUMMYFUNCTION("""COMPUTED_VALUE"""),"")</f>
        <v/>
      </c>
    </row>
    <row r="4888">
      <c r="G4888" s="16" t="str">
        <f>IFERROR(__xludf.DUMMYFUNCTION("""COMPUTED_VALUE"""),"")</f>
        <v/>
      </c>
    </row>
    <row r="4889">
      <c r="G4889" s="16" t="str">
        <f>IFERROR(__xludf.DUMMYFUNCTION("""COMPUTED_VALUE"""),"")</f>
        <v/>
      </c>
    </row>
    <row r="4890">
      <c r="G4890" s="16" t="str">
        <f>IFERROR(__xludf.DUMMYFUNCTION("""COMPUTED_VALUE"""),"")</f>
        <v/>
      </c>
    </row>
    <row r="4891">
      <c r="G4891" s="16" t="str">
        <f>IFERROR(__xludf.DUMMYFUNCTION("""COMPUTED_VALUE"""),"")</f>
        <v/>
      </c>
    </row>
    <row r="4892">
      <c r="G4892" s="16" t="str">
        <f>IFERROR(__xludf.DUMMYFUNCTION("""COMPUTED_VALUE"""),"")</f>
        <v/>
      </c>
    </row>
    <row r="4893">
      <c r="G4893" s="16" t="str">
        <f>IFERROR(__xludf.DUMMYFUNCTION("""COMPUTED_VALUE"""),"")</f>
        <v/>
      </c>
    </row>
    <row r="4894">
      <c r="G4894" s="16" t="str">
        <f>IFERROR(__xludf.DUMMYFUNCTION("""COMPUTED_VALUE"""),"")</f>
        <v/>
      </c>
    </row>
    <row r="4895">
      <c r="G4895" s="16" t="str">
        <f>IFERROR(__xludf.DUMMYFUNCTION("""COMPUTED_VALUE"""),"")</f>
        <v/>
      </c>
    </row>
    <row r="4896">
      <c r="G4896" s="16" t="str">
        <f>IFERROR(__xludf.DUMMYFUNCTION("""COMPUTED_VALUE"""),"")</f>
        <v/>
      </c>
    </row>
    <row r="4897">
      <c r="G4897" s="16" t="str">
        <f>IFERROR(__xludf.DUMMYFUNCTION("""COMPUTED_VALUE"""),"")</f>
        <v/>
      </c>
    </row>
    <row r="4898">
      <c r="G4898" s="16" t="str">
        <f>IFERROR(__xludf.DUMMYFUNCTION("""COMPUTED_VALUE"""),"")</f>
        <v/>
      </c>
    </row>
    <row r="4899">
      <c r="G4899" s="16" t="str">
        <f>IFERROR(__xludf.DUMMYFUNCTION("""COMPUTED_VALUE"""),"")</f>
        <v/>
      </c>
    </row>
    <row r="4900">
      <c r="G4900" s="16" t="str">
        <f>IFERROR(__xludf.DUMMYFUNCTION("""COMPUTED_VALUE"""),"")</f>
        <v/>
      </c>
    </row>
    <row r="4901">
      <c r="G4901" s="16" t="str">
        <f>IFERROR(__xludf.DUMMYFUNCTION("""COMPUTED_VALUE"""),"")</f>
        <v/>
      </c>
    </row>
    <row r="4902">
      <c r="G4902" s="16" t="str">
        <f>IFERROR(__xludf.DUMMYFUNCTION("""COMPUTED_VALUE"""),"")</f>
        <v/>
      </c>
    </row>
    <row r="4903">
      <c r="G4903" s="16" t="str">
        <f>IFERROR(__xludf.DUMMYFUNCTION("""COMPUTED_VALUE"""),"")</f>
        <v/>
      </c>
    </row>
    <row r="4904">
      <c r="G4904" s="16" t="str">
        <f>IFERROR(__xludf.DUMMYFUNCTION("""COMPUTED_VALUE"""),"")</f>
        <v/>
      </c>
    </row>
    <row r="4905">
      <c r="G4905" s="16" t="str">
        <f>IFERROR(__xludf.DUMMYFUNCTION("""COMPUTED_VALUE"""),"")</f>
        <v/>
      </c>
    </row>
    <row r="4906">
      <c r="G4906" s="16" t="str">
        <f>IFERROR(__xludf.DUMMYFUNCTION("""COMPUTED_VALUE"""),"")</f>
        <v/>
      </c>
    </row>
    <row r="4907">
      <c r="G4907" s="16" t="str">
        <f>IFERROR(__xludf.DUMMYFUNCTION("""COMPUTED_VALUE"""),"")</f>
        <v/>
      </c>
    </row>
    <row r="4908">
      <c r="G4908" s="16" t="str">
        <f>IFERROR(__xludf.DUMMYFUNCTION("""COMPUTED_VALUE"""),"")</f>
        <v/>
      </c>
    </row>
    <row r="4909">
      <c r="G4909" s="16" t="str">
        <f>IFERROR(__xludf.DUMMYFUNCTION("""COMPUTED_VALUE"""),"")</f>
        <v/>
      </c>
    </row>
    <row r="4910">
      <c r="G4910" s="16" t="str">
        <f>IFERROR(__xludf.DUMMYFUNCTION("""COMPUTED_VALUE"""),"")</f>
        <v/>
      </c>
    </row>
    <row r="4911">
      <c r="G4911" s="16" t="str">
        <f>IFERROR(__xludf.DUMMYFUNCTION("""COMPUTED_VALUE"""),"")</f>
        <v/>
      </c>
    </row>
    <row r="4912">
      <c r="G4912" s="16" t="str">
        <f>IFERROR(__xludf.DUMMYFUNCTION("""COMPUTED_VALUE"""),"")</f>
        <v/>
      </c>
    </row>
    <row r="4913">
      <c r="G4913" s="16" t="str">
        <f>IFERROR(__xludf.DUMMYFUNCTION("""COMPUTED_VALUE"""),"")</f>
        <v/>
      </c>
    </row>
    <row r="4914">
      <c r="G4914" s="16" t="str">
        <f>IFERROR(__xludf.DUMMYFUNCTION("""COMPUTED_VALUE"""),"")</f>
        <v/>
      </c>
    </row>
    <row r="4915">
      <c r="G4915" s="16" t="str">
        <f>IFERROR(__xludf.DUMMYFUNCTION("""COMPUTED_VALUE"""),"")</f>
        <v/>
      </c>
    </row>
    <row r="4916">
      <c r="G4916" s="16" t="str">
        <f>IFERROR(__xludf.DUMMYFUNCTION("""COMPUTED_VALUE"""),"")</f>
        <v/>
      </c>
    </row>
    <row r="4917">
      <c r="G4917" s="16" t="str">
        <f>IFERROR(__xludf.DUMMYFUNCTION("""COMPUTED_VALUE"""),"")</f>
        <v/>
      </c>
    </row>
    <row r="4918">
      <c r="G4918" s="16" t="str">
        <f>IFERROR(__xludf.DUMMYFUNCTION("""COMPUTED_VALUE"""),"")</f>
        <v/>
      </c>
    </row>
    <row r="4919">
      <c r="G4919" s="16" t="str">
        <f>IFERROR(__xludf.DUMMYFUNCTION("""COMPUTED_VALUE"""),"")</f>
        <v/>
      </c>
    </row>
    <row r="4920">
      <c r="G4920" s="16" t="str">
        <f>IFERROR(__xludf.DUMMYFUNCTION("""COMPUTED_VALUE"""),"")</f>
        <v/>
      </c>
    </row>
    <row r="4921">
      <c r="G4921" s="16" t="str">
        <f>IFERROR(__xludf.DUMMYFUNCTION("""COMPUTED_VALUE"""),"")</f>
        <v/>
      </c>
    </row>
    <row r="4922">
      <c r="G4922" s="16" t="str">
        <f>IFERROR(__xludf.DUMMYFUNCTION("""COMPUTED_VALUE"""),"")</f>
        <v/>
      </c>
    </row>
    <row r="4923">
      <c r="G4923" s="16" t="str">
        <f>IFERROR(__xludf.DUMMYFUNCTION("""COMPUTED_VALUE"""),"")</f>
        <v/>
      </c>
    </row>
    <row r="4924">
      <c r="G4924" s="16" t="str">
        <f>IFERROR(__xludf.DUMMYFUNCTION("""COMPUTED_VALUE"""),"")</f>
        <v/>
      </c>
    </row>
    <row r="4925">
      <c r="G4925" s="16" t="str">
        <f>IFERROR(__xludf.DUMMYFUNCTION("""COMPUTED_VALUE"""),"")</f>
        <v/>
      </c>
    </row>
    <row r="4926">
      <c r="G4926" s="16" t="str">
        <f>IFERROR(__xludf.DUMMYFUNCTION("""COMPUTED_VALUE"""),"")</f>
        <v/>
      </c>
    </row>
    <row r="4927">
      <c r="G4927" s="16" t="str">
        <f>IFERROR(__xludf.DUMMYFUNCTION("""COMPUTED_VALUE"""),"")</f>
        <v/>
      </c>
    </row>
    <row r="4928">
      <c r="G4928" s="16" t="str">
        <f>IFERROR(__xludf.DUMMYFUNCTION("""COMPUTED_VALUE"""),"")</f>
        <v/>
      </c>
    </row>
    <row r="4929">
      <c r="G4929" s="16" t="str">
        <f>IFERROR(__xludf.DUMMYFUNCTION("""COMPUTED_VALUE"""),"")</f>
        <v/>
      </c>
    </row>
    <row r="4930">
      <c r="G4930" s="16" t="str">
        <f>IFERROR(__xludf.DUMMYFUNCTION("""COMPUTED_VALUE"""),"")</f>
        <v/>
      </c>
    </row>
    <row r="4931">
      <c r="G4931" s="16" t="str">
        <f>IFERROR(__xludf.DUMMYFUNCTION("""COMPUTED_VALUE"""),"")</f>
        <v/>
      </c>
    </row>
    <row r="4932">
      <c r="G4932" s="16" t="str">
        <f>IFERROR(__xludf.DUMMYFUNCTION("""COMPUTED_VALUE"""),"")</f>
        <v/>
      </c>
    </row>
    <row r="4933">
      <c r="G4933" s="16" t="str">
        <f>IFERROR(__xludf.DUMMYFUNCTION("""COMPUTED_VALUE"""),"")</f>
        <v/>
      </c>
    </row>
    <row r="4934">
      <c r="G4934" s="16" t="str">
        <f>IFERROR(__xludf.DUMMYFUNCTION("""COMPUTED_VALUE"""),"")</f>
        <v/>
      </c>
    </row>
    <row r="4935">
      <c r="G4935" s="16" t="str">
        <f>IFERROR(__xludf.DUMMYFUNCTION("""COMPUTED_VALUE"""),"")</f>
        <v/>
      </c>
    </row>
    <row r="4936">
      <c r="G4936" s="16" t="str">
        <f>IFERROR(__xludf.DUMMYFUNCTION("""COMPUTED_VALUE"""),"")</f>
        <v/>
      </c>
    </row>
    <row r="4937">
      <c r="G4937" s="16" t="str">
        <f>IFERROR(__xludf.DUMMYFUNCTION("""COMPUTED_VALUE"""),"")</f>
        <v/>
      </c>
    </row>
    <row r="4938">
      <c r="G4938" s="16" t="str">
        <f>IFERROR(__xludf.DUMMYFUNCTION("""COMPUTED_VALUE"""),"")</f>
        <v/>
      </c>
    </row>
    <row r="4939">
      <c r="G4939" s="16" t="str">
        <f>IFERROR(__xludf.DUMMYFUNCTION("""COMPUTED_VALUE"""),"")</f>
        <v/>
      </c>
    </row>
    <row r="4940">
      <c r="G4940" s="16" t="str">
        <f>IFERROR(__xludf.DUMMYFUNCTION("""COMPUTED_VALUE"""),"")</f>
        <v/>
      </c>
    </row>
    <row r="4941">
      <c r="G4941" s="16" t="str">
        <f>IFERROR(__xludf.DUMMYFUNCTION("""COMPUTED_VALUE"""),"")</f>
        <v/>
      </c>
    </row>
    <row r="4942">
      <c r="G4942" s="16" t="str">
        <f>IFERROR(__xludf.DUMMYFUNCTION("""COMPUTED_VALUE"""),"")</f>
        <v/>
      </c>
    </row>
    <row r="4943">
      <c r="G4943" s="16" t="str">
        <f>IFERROR(__xludf.DUMMYFUNCTION("""COMPUTED_VALUE"""),"")</f>
        <v/>
      </c>
    </row>
    <row r="4944">
      <c r="G4944" s="16" t="str">
        <f>IFERROR(__xludf.DUMMYFUNCTION("""COMPUTED_VALUE"""),"")</f>
        <v/>
      </c>
    </row>
    <row r="4945">
      <c r="G4945" s="16" t="str">
        <f>IFERROR(__xludf.DUMMYFUNCTION("""COMPUTED_VALUE"""),"")</f>
        <v/>
      </c>
    </row>
    <row r="4946">
      <c r="G4946" s="16" t="str">
        <f>IFERROR(__xludf.DUMMYFUNCTION("""COMPUTED_VALUE"""),"")</f>
        <v/>
      </c>
    </row>
    <row r="4947">
      <c r="G4947" s="16" t="str">
        <f>IFERROR(__xludf.DUMMYFUNCTION("""COMPUTED_VALUE"""),"")</f>
        <v/>
      </c>
    </row>
    <row r="4948">
      <c r="G4948" s="16" t="str">
        <f>IFERROR(__xludf.DUMMYFUNCTION("""COMPUTED_VALUE"""),"")</f>
        <v/>
      </c>
    </row>
    <row r="4949">
      <c r="G4949" s="16" t="str">
        <f>IFERROR(__xludf.DUMMYFUNCTION("""COMPUTED_VALUE"""),"")</f>
        <v/>
      </c>
    </row>
    <row r="4950">
      <c r="G4950" s="16" t="str">
        <f>IFERROR(__xludf.DUMMYFUNCTION("""COMPUTED_VALUE"""),"")</f>
        <v/>
      </c>
    </row>
    <row r="4951">
      <c r="G4951" s="16" t="str">
        <f>IFERROR(__xludf.DUMMYFUNCTION("""COMPUTED_VALUE"""),"")</f>
        <v/>
      </c>
    </row>
    <row r="4952">
      <c r="G4952" s="16" t="str">
        <f>IFERROR(__xludf.DUMMYFUNCTION("""COMPUTED_VALUE"""),"")</f>
        <v/>
      </c>
    </row>
    <row r="4953">
      <c r="G4953" s="16" t="str">
        <f>IFERROR(__xludf.DUMMYFUNCTION("""COMPUTED_VALUE"""),"")</f>
        <v/>
      </c>
    </row>
    <row r="4954">
      <c r="G4954" s="16" t="str">
        <f>IFERROR(__xludf.DUMMYFUNCTION("""COMPUTED_VALUE"""),"")</f>
        <v/>
      </c>
    </row>
    <row r="4955">
      <c r="G4955" s="16" t="str">
        <f>IFERROR(__xludf.DUMMYFUNCTION("""COMPUTED_VALUE"""),"")</f>
        <v/>
      </c>
    </row>
    <row r="4956">
      <c r="G4956" s="16" t="str">
        <f>IFERROR(__xludf.DUMMYFUNCTION("""COMPUTED_VALUE"""),"")</f>
        <v/>
      </c>
    </row>
    <row r="4957">
      <c r="G4957" s="16" t="str">
        <f>IFERROR(__xludf.DUMMYFUNCTION("""COMPUTED_VALUE"""),"")</f>
        <v/>
      </c>
    </row>
    <row r="4958">
      <c r="G4958" s="16" t="str">
        <f>IFERROR(__xludf.DUMMYFUNCTION("""COMPUTED_VALUE"""),"")</f>
        <v/>
      </c>
    </row>
    <row r="4959">
      <c r="G4959" s="16" t="str">
        <f>IFERROR(__xludf.DUMMYFUNCTION("""COMPUTED_VALUE"""),"")</f>
        <v/>
      </c>
    </row>
    <row r="4960">
      <c r="G4960" s="16" t="str">
        <f>IFERROR(__xludf.DUMMYFUNCTION("""COMPUTED_VALUE"""),"")</f>
        <v/>
      </c>
    </row>
    <row r="4961">
      <c r="G4961" s="16" t="str">
        <f>IFERROR(__xludf.DUMMYFUNCTION("""COMPUTED_VALUE"""),"")</f>
        <v/>
      </c>
    </row>
    <row r="4962">
      <c r="G4962" s="16" t="str">
        <f>IFERROR(__xludf.DUMMYFUNCTION("""COMPUTED_VALUE"""),"")</f>
        <v/>
      </c>
    </row>
    <row r="4963">
      <c r="G4963" s="16" t="str">
        <f>IFERROR(__xludf.DUMMYFUNCTION("""COMPUTED_VALUE"""),"")</f>
        <v/>
      </c>
    </row>
    <row r="4964">
      <c r="G4964" s="16" t="str">
        <f>IFERROR(__xludf.DUMMYFUNCTION("""COMPUTED_VALUE"""),"")</f>
        <v/>
      </c>
    </row>
    <row r="4965">
      <c r="G4965" s="16" t="str">
        <f>IFERROR(__xludf.DUMMYFUNCTION("""COMPUTED_VALUE"""),"")</f>
        <v/>
      </c>
    </row>
    <row r="4966">
      <c r="G4966" s="16" t="str">
        <f>IFERROR(__xludf.DUMMYFUNCTION("""COMPUTED_VALUE"""),"")</f>
        <v/>
      </c>
    </row>
    <row r="4967">
      <c r="G4967" s="16" t="str">
        <f>IFERROR(__xludf.DUMMYFUNCTION("""COMPUTED_VALUE"""),"")</f>
        <v/>
      </c>
    </row>
    <row r="4968">
      <c r="G4968" s="16" t="str">
        <f>IFERROR(__xludf.DUMMYFUNCTION("""COMPUTED_VALUE"""),"")</f>
        <v/>
      </c>
    </row>
    <row r="4969">
      <c r="G4969" s="16" t="str">
        <f>IFERROR(__xludf.DUMMYFUNCTION("""COMPUTED_VALUE"""),"")</f>
        <v/>
      </c>
    </row>
    <row r="4970">
      <c r="G4970" s="16" t="str">
        <f>IFERROR(__xludf.DUMMYFUNCTION("""COMPUTED_VALUE"""),"")</f>
        <v/>
      </c>
    </row>
    <row r="4971">
      <c r="G4971" s="16" t="str">
        <f>IFERROR(__xludf.DUMMYFUNCTION("""COMPUTED_VALUE"""),"")</f>
        <v/>
      </c>
    </row>
    <row r="4972">
      <c r="G4972" s="16" t="str">
        <f>IFERROR(__xludf.DUMMYFUNCTION("""COMPUTED_VALUE"""),"")</f>
        <v/>
      </c>
    </row>
    <row r="4973">
      <c r="G4973" s="16" t="str">
        <f>IFERROR(__xludf.DUMMYFUNCTION("""COMPUTED_VALUE"""),"")</f>
        <v/>
      </c>
    </row>
    <row r="4974">
      <c r="G4974" s="16" t="str">
        <f>IFERROR(__xludf.DUMMYFUNCTION("""COMPUTED_VALUE"""),"")</f>
        <v/>
      </c>
    </row>
    <row r="4975">
      <c r="G4975" s="16" t="str">
        <f>IFERROR(__xludf.DUMMYFUNCTION("""COMPUTED_VALUE"""),"")</f>
        <v/>
      </c>
    </row>
    <row r="4976">
      <c r="G4976" s="16" t="str">
        <f>IFERROR(__xludf.DUMMYFUNCTION("""COMPUTED_VALUE"""),"")</f>
        <v/>
      </c>
    </row>
    <row r="4977">
      <c r="G4977" s="16" t="str">
        <f>IFERROR(__xludf.DUMMYFUNCTION("""COMPUTED_VALUE"""),"")</f>
        <v/>
      </c>
    </row>
    <row r="4978">
      <c r="G4978" s="16" t="str">
        <f>IFERROR(__xludf.DUMMYFUNCTION("""COMPUTED_VALUE"""),"")</f>
        <v/>
      </c>
    </row>
    <row r="4979">
      <c r="G4979" s="16" t="str">
        <f>IFERROR(__xludf.DUMMYFUNCTION("""COMPUTED_VALUE"""),"")</f>
        <v/>
      </c>
    </row>
    <row r="4980">
      <c r="G4980" s="16" t="str">
        <f>IFERROR(__xludf.DUMMYFUNCTION("""COMPUTED_VALUE"""),"")</f>
        <v/>
      </c>
    </row>
    <row r="4981">
      <c r="G4981" s="16" t="str">
        <f>IFERROR(__xludf.DUMMYFUNCTION("""COMPUTED_VALUE"""),"")</f>
        <v/>
      </c>
    </row>
    <row r="4982">
      <c r="G4982" s="16" t="str">
        <f>IFERROR(__xludf.DUMMYFUNCTION("""COMPUTED_VALUE"""),"")</f>
        <v/>
      </c>
    </row>
    <row r="4983">
      <c r="G4983" s="16" t="str">
        <f>IFERROR(__xludf.DUMMYFUNCTION("""COMPUTED_VALUE"""),"")</f>
        <v/>
      </c>
    </row>
    <row r="4984">
      <c r="G4984" s="16" t="str">
        <f>IFERROR(__xludf.DUMMYFUNCTION("""COMPUTED_VALUE"""),"")</f>
        <v/>
      </c>
    </row>
    <row r="4985">
      <c r="G4985" s="16" t="str">
        <f>IFERROR(__xludf.DUMMYFUNCTION("""COMPUTED_VALUE"""),"")</f>
        <v/>
      </c>
    </row>
    <row r="4986">
      <c r="G4986" s="16" t="str">
        <f>IFERROR(__xludf.DUMMYFUNCTION("""COMPUTED_VALUE"""),"")</f>
        <v/>
      </c>
    </row>
    <row r="4987">
      <c r="G4987" s="16" t="str">
        <f>IFERROR(__xludf.DUMMYFUNCTION("""COMPUTED_VALUE"""),"")</f>
        <v/>
      </c>
    </row>
    <row r="4988">
      <c r="G4988" s="16" t="str">
        <f>IFERROR(__xludf.DUMMYFUNCTION("""COMPUTED_VALUE"""),"")</f>
        <v/>
      </c>
    </row>
    <row r="4989">
      <c r="G4989" s="16" t="str">
        <f>IFERROR(__xludf.DUMMYFUNCTION("""COMPUTED_VALUE"""),"")</f>
        <v/>
      </c>
    </row>
    <row r="4990">
      <c r="G4990" s="16" t="str">
        <f>IFERROR(__xludf.DUMMYFUNCTION("""COMPUTED_VALUE"""),"")</f>
        <v/>
      </c>
    </row>
    <row r="4991">
      <c r="G4991" s="16" t="str">
        <f>IFERROR(__xludf.DUMMYFUNCTION("""COMPUTED_VALUE"""),"")</f>
        <v/>
      </c>
    </row>
    <row r="4992">
      <c r="G4992" s="16" t="str">
        <f>IFERROR(__xludf.DUMMYFUNCTION("""COMPUTED_VALUE"""),"")</f>
        <v/>
      </c>
    </row>
    <row r="4993">
      <c r="G4993" s="16" t="str">
        <f>IFERROR(__xludf.DUMMYFUNCTION("""COMPUTED_VALUE"""),"")</f>
        <v/>
      </c>
    </row>
    <row r="4994">
      <c r="G4994" s="16" t="str">
        <f>IFERROR(__xludf.DUMMYFUNCTION("""COMPUTED_VALUE"""),"")</f>
        <v/>
      </c>
    </row>
    <row r="4995">
      <c r="G4995" s="16" t="str">
        <f>IFERROR(__xludf.DUMMYFUNCTION("""COMPUTED_VALUE"""),"")</f>
        <v/>
      </c>
    </row>
    <row r="4996">
      <c r="G4996" s="16" t="str">
        <f>IFERROR(__xludf.DUMMYFUNCTION("""COMPUTED_VALUE"""),"")</f>
        <v/>
      </c>
    </row>
    <row r="4997">
      <c r="G4997" s="16" t="str">
        <f>IFERROR(__xludf.DUMMYFUNCTION("""COMPUTED_VALUE"""),"")</f>
        <v/>
      </c>
    </row>
    <row r="4998">
      <c r="G4998" s="16" t="str">
        <f>IFERROR(__xludf.DUMMYFUNCTION("""COMPUTED_VALUE"""),"")</f>
        <v/>
      </c>
    </row>
    <row r="4999">
      <c r="G4999" s="16" t="str">
        <f>IFERROR(__xludf.DUMMYFUNCTION("""COMPUTED_VALUE"""),"")</f>
        <v/>
      </c>
    </row>
    <row r="5000">
      <c r="G5000" s="16" t="str">
        <f>IFERROR(__xludf.DUMMYFUNCTION("""COMPUTED_VALUE"""),"")</f>
        <v/>
      </c>
    </row>
    <row r="5001">
      <c r="G5001" s="16" t="str">
        <f>IFERROR(__xludf.DUMMYFUNCTION("""COMPUTED_VALUE"""),"")</f>
        <v/>
      </c>
    </row>
    <row r="5002">
      <c r="G5002" s="16" t="str">
        <f>IFERROR(__xludf.DUMMYFUNCTION("""COMPUTED_VALUE"""),"")</f>
        <v/>
      </c>
    </row>
    <row r="5003">
      <c r="G5003" s="16" t="str">
        <f>IFERROR(__xludf.DUMMYFUNCTION("""COMPUTED_VALUE"""),"")</f>
        <v/>
      </c>
    </row>
    <row r="5004">
      <c r="G5004" s="16" t="str">
        <f>IFERROR(__xludf.DUMMYFUNCTION("""COMPUTED_VALUE"""),"")</f>
        <v/>
      </c>
    </row>
    <row r="5005">
      <c r="G5005" s="16" t="str">
        <f>IFERROR(__xludf.DUMMYFUNCTION("""COMPUTED_VALUE"""),"")</f>
        <v/>
      </c>
    </row>
    <row r="5006">
      <c r="G5006" s="16" t="str">
        <f>IFERROR(__xludf.DUMMYFUNCTION("""COMPUTED_VALUE"""),"")</f>
        <v/>
      </c>
    </row>
    <row r="5007">
      <c r="G5007" s="16" t="str">
        <f>IFERROR(__xludf.DUMMYFUNCTION("""COMPUTED_VALUE"""),"")</f>
        <v/>
      </c>
    </row>
    <row r="5008">
      <c r="G5008" s="16" t="str">
        <f>IFERROR(__xludf.DUMMYFUNCTION("""COMPUTED_VALUE"""),"")</f>
        <v/>
      </c>
    </row>
    <row r="5009">
      <c r="G5009" s="16" t="str">
        <f>IFERROR(__xludf.DUMMYFUNCTION("""COMPUTED_VALUE"""),"")</f>
        <v/>
      </c>
    </row>
    <row r="5010">
      <c r="G5010" s="16" t="str">
        <f>IFERROR(__xludf.DUMMYFUNCTION("""COMPUTED_VALUE"""),"")</f>
        <v/>
      </c>
    </row>
    <row r="5011">
      <c r="G5011" s="16" t="str">
        <f>IFERROR(__xludf.DUMMYFUNCTION("""COMPUTED_VALUE"""),"")</f>
        <v/>
      </c>
    </row>
    <row r="5012">
      <c r="G5012" s="16" t="str">
        <f>IFERROR(__xludf.DUMMYFUNCTION("""COMPUTED_VALUE"""),"")</f>
        <v/>
      </c>
    </row>
    <row r="5013">
      <c r="G5013" s="16" t="str">
        <f>IFERROR(__xludf.DUMMYFUNCTION("""COMPUTED_VALUE"""),"")</f>
        <v/>
      </c>
    </row>
    <row r="5014">
      <c r="G5014" s="16" t="str">
        <f>IFERROR(__xludf.DUMMYFUNCTION("""COMPUTED_VALUE"""),"")</f>
        <v/>
      </c>
    </row>
    <row r="5015">
      <c r="G5015" s="16" t="str">
        <f>IFERROR(__xludf.DUMMYFUNCTION("""COMPUTED_VALUE"""),"")</f>
        <v/>
      </c>
    </row>
    <row r="5016">
      <c r="G5016" s="16" t="str">
        <f>IFERROR(__xludf.DUMMYFUNCTION("""COMPUTED_VALUE"""),"")</f>
        <v/>
      </c>
    </row>
    <row r="5017">
      <c r="G5017" s="16" t="str">
        <f>IFERROR(__xludf.DUMMYFUNCTION("""COMPUTED_VALUE"""),"")</f>
        <v/>
      </c>
    </row>
    <row r="5018">
      <c r="G5018" s="16" t="str">
        <f>IFERROR(__xludf.DUMMYFUNCTION("""COMPUTED_VALUE"""),"")</f>
        <v/>
      </c>
    </row>
    <row r="5019">
      <c r="G5019" s="16" t="str">
        <f>IFERROR(__xludf.DUMMYFUNCTION("""COMPUTED_VALUE"""),"")</f>
        <v/>
      </c>
    </row>
    <row r="5020">
      <c r="G5020" s="16" t="str">
        <f>IFERROR(__xludf.DUMMYFUNCTION("""COMPUTED_VALUE"""),"")</f>
        <v/>
      </c>
    </row>
    <row r="5021">
      <c r="G5021" s="16" t="str">
        <f>IFERROR(__xludf.DUMMYFUNCTION("""COMPUTED_VALUE"""),"")</f>
        <v/>
      </c>
    </row>
    <row r="5022">
      <c r="G5022" s="16" t="str">
        <f>IFERROR(__xludf.DUMMYFUNCTION("""COMPUTED_VALUE"""),"")</f>
        <v/>
      </c>
    </row>
    <row r="5023">
      <c r="G5023" s="16" t="str">
        <f>IFERROR(__xludf.DUMMYFUNCTION("""COMPUTED_VALUE"""),"")</f>
        <v/>
      </c>
    </row>
    <row r="5024">
      <c r="G5024" s="16" t="str">
        <f>IFERROR(__xludf.DUMMYFUNCTION("""COMPUTED_VALUE"""),"")</f>
        <v/>
      </c>
    </row>
    <row r="5025">
      <c r="G5025" s="16" t="str">
        <f>IFERROR(__xludf.DUMMYFUNCTION("""COMPUTED_VALUE"""),"")</f>
        <v/>
      </c>
    </row>
    <row r="5026">
      <c r="G5026" s="16" t="str">
        <f>IFERROR(__xludf.DUMMYFUNCTION("""COMPUTED_VALUE"""),"")</f>
        <v/>
      </c>
    </row>
    <row r="5027">
      <c r="G5027" s="16" t="str">
        <f>IFERROR(__xludf.DUMMYFUNCTION("""COMPUTED_VALUE"""),"")</f>
        <v/>
      </c>
    </row>
    <row r="5028">
      <c r="G5028" s="16" t="str">
        <f>IFERROR(__xludf.DUMMYFUNCTION("""COMPUTED_VALUE"""),"")</f>
        <v/>
      </c>
    </row>
    <row r="5029">
      <c r="G5029" s="16" t="str">
        <f>IFERROR(__xludf.DUMMYFUNCTION("""COMPUTED_VALUE"""),"")</f>
        <v/>
      </c>
    </row>
    <row r="5030">
      <c r="G5030" s="16" t="str">
        <f>IFERROR(__xludf.DUMMYFUNCTION("""COMPUTED_VALUE"""),"")</f>
        <v/>
      </c>
    </row>
    <row r="5031">
      <c r="G5031" s="16" t="str">
        <f>IFERROR(__xludf.DUMMYFUNCTION("""COMPUTED_VALUE"""),"")</f>
        <v/>
      </c>
    </row>
    <row r="5032">
      <c r="G5032" s="16" t="str">
        <f>IFERROR(__xludf.DUMMYFUNCTION("""COMPUTED_VALUE"""),"")</f>
        <v/>
      </c>
    </row>
    <row r="5033">
      <c r="G5033" s="16" t="str">
        <f>IFERROR(__xludf.DUMMYFUNCTION("""COMPUTED_VALUE"""),"")</f>
        <v/>
      </c>
    </row>
    <row r="5034">
      <c r="G5034" s="16" t="str">
        <f>IFERROR(__xludf.DUMMYFUNCTION("""COMPUTED_VALUE"""),"")</f>
        <v/>
      </c>
    </row>
    <row r="5035">
      <c r="G5035" s="16" t="str">
        <f>IFERROR(__xludf.DUMMYFUNCTION("""COMPUTED_VALUE"""),"")</f>
        <v/>
      </c>
    </row>
    <row r="5036">
      <c r="G5036" s="16" t="str">
        <f>IFERROR(__xludf.DUMMYFUNCTION("""COMPUTED_VALUE"""),"")</f>
        <v/>
      </c>
    </row>
    <row r="5037">
      <c r="G5037" s="16" t="str">
        <f>IFERROR(__xludf.DUMMYFUNCTION("""COMPUTED_VALUE"""),"")</f>
        <v/>
      </c>
    </row>
    <row r="5038">
      <c r="G5038" s="16" t="str">
        <f>IFERROR(__xludf.DUMMYFUNCTION("""COMPUTED_VALUE"""),"")</f>
        <v/>
      </c>
    </row>
    <row r="5039">
      <c r="G5039" s="16" t="str">
        <f>IFERROR(__xludf.DUMMYFUNCTION("""COMPUTED_VALUE"""),"")</f>
        <v/>
      </c>
    </row>
    <row r="5040">
      <c r="G5040" s="16" t="str">
        <f>IFERROR(__xludf.DUMMYFUNCTION("""COMPUTED_VALUE"""),"")</f>
        <v/>
      </c>
    </row>
    <row r="5041">
      <c r="G5041" s="16" t="str">
        <f>IFERROR(__xludf.DUMMYFUNCTION("""COMPUTED_VALUE"""),"")</f>
        <v/>
      </c>
    </row>
    <row r="5042">
      <c r="G5042" s="16" t="str">
        <f>IFERROR(__xludf.DUMMYFUNCTION("""COMPUTED_VALUE"""),"")</f>
        <v/>
      </c>
    </row>
    <row r="5043">
      <c r="G5043" s="16" t="str">
        <f>IFERROR(__xludf.DUMMYFUNCTION("""COMPUTED_VALUE"""),"")</f>
        <v/>
      </c>
    </row>
    <row r="5044">
      <c r="G5044" s="16" t="str">
        <f>IFERROR(__xludf.DUMMYFUNCTION("""COMPUTED_VALUE"""),"")</f>
        <v/>
      </c>
    </row>
    <row r="5045">
      <c r="G5045" s="16" t="str">
        <f>IFERROR(__xludf.DUMMYFUNCTION("""COMPUTED_VALUE"""),"")</f>
        <v/>
      </c>
    </row>
    <row r="5046">
      <c r="G5046" s="16" t="str">
        <f>IFERROR(__xludf.DUMMYFUNCTION("""COMPUTED_VALUE"""),"")</f>
        <v/>
      </c>
    </row>
    <row r="5047">
      <c r="G5047" s="16" t="str">
        <f>IFERROR(__xludf.DUMMYFUNCTION("""COMPUTED_VALUE"""),"")</f>
        <v/>
      </c>
    </row>
    <row r="5048">
      <c r="G5048" s="16" t="str">
        <f>IFERROR(__xludf.DUMMYFUNCTION("""COMPUTED_VALUE"""),"")</f>
        <v/>
      </c>
    </row>
    <row r="5049">
      <c r="G5049" s="16" t="str">
        <f>IFERROR(__xludf.DUMMYFUNCTION("""COMPUTED_VALUE"""),"")</f>
        <v/>
      </c>
    </row>
    <row r="5050">
      <c r="G5050" s="16" t="str">
        <f>IFERROR(__xludf.DUMMYFUNCTION("""COMPUTED_VALUE"""),"")</f>
        <v/>
      </c>
    </row>
    <row r="5051">
      <c r="G5051" s="16" t="str">
        <f>IFERROR(__xludf.DUMMYFUNCTION("""COMPUTED_VALUE"""),"")</f>
        <v/>
      </c>
    </row>
    <row r="5052">
      <c r="G5052" s="16" t="str">
        <f>IFERROR(__xludf.DUMMYFUNCTION("""COMPUTED_VALUE"""),"")</f>
        <v/>
      </c>
    </row>
    <row r="5053">
      <c r="G5053" s="16" t="str">
        <f>IFERROR(__xludf.DUMMYFUNCTION("""COMPUTED_VALUE"""),"")</f>
        <v/>
      </c>
    </row>
    <row r="5054">
      <c r="G5054" s="16" t="str">
        <f>IFERROR(__xludf.DUMMYFUNCTION("""COMPUTED_VALUE"""),"")</f>
        <v/>
      </c>
    </row>
    <row r="5055">
      <c r="G5055" s="16" t="str">
        <f>IFERROR(__xludf.DUMMYFUNCTION("""COMPUTED_VALUE"""),"")</f>
        <v/>
      </c>
    </row>
    <row r="5056">
      <c r="G5056" s="16" t="str">
        <f>IFERROR(__xludf.DUMMYFUNCTION("""COMPUTED_VALUE"""),"")</f>
        <v/>
      </c>
    </row>
    <row r="5057">
      <c r="G5057" s="16" t="str">
        <f>IFERROR(__xludf.DUMMYFUNCTION("""COMPUTED_VALUE"""),"")</f>
        <v/>
      </c>
    </row>
    <row r="5058">
      <c r="G5058" s="16" t="str">
        <f>IFERROR(__xludf.DUMMYFUNCTION("""COMPUTED_VALUE"""),"")</f>
        <v/>
      </c>
    </row>
    <row r="5059">
      <c r="G5059" s="16" t="str">
        <f>IFERROR(__xludf.DUMMYFUNCTION("""COMPUTED_VALUE"""),"")</f>
        <v/>
      </c>
    </row>
    <row r="5060">
      <c r="G5060" s="16" t="str">
        <f>IFERROR(__xludf.DUMMYFUNCTION("""COMPUTED_VALUE"""),"")</f>
        <v/>
      </c>
    </row>
    <row r="5061">
      <c r="G5061" s="16" t="str">
        <f>IFERROR(__xludf.DUMMYFUNCTION("""COMPUTED_VALUE"""),"")</f>
        <v/>
      </c>
    </row>
    <row r="5062">
      <c r="G5062" s="16" t="str">
        <f>IFERROR(__xludf.DUMMYFUNCTION("""COMPUTED_VALUE"""),"")</f>
        <v/>
      </c>
    </row>
    <row r="5063">
      <c r="G5063" s="16" t="str">
        <f>IFERROR(__xludf.DUMMYFUNCTION("""COMPUTED_VALUE"""),"")</f>
        <v/>
      </c>
    </row>
    <row r="5064">
      <c r="G5064" s="16" t="str">
        <f>IFERROR(__xludf.DUMMYFUNCTION("""COMPUTED_VALUE"""),"")</f>
        <v/>
      </c>
    </row>
    <row r="5065">
      <c r="G5065" s="16" t="str">
        <f>IFERROR(__xludf.DUMMYFUNCTION("""COMPUTED_VALUE"""),"")</f>
        <v/>
      </c>
    </row>
    <row r="5066">
      <c r="G5066" s="16" t="str">
        <f>IFERROR(__xludf.DUMMYFUNCTION("""COMPUTED_VALUE"""),"")</f>
        <v/>
      </c>
    </row>
    <row r="5067">
      <c r="G5067" s="16" t="str">
        <f>IFERROR(__xludf.DUMMYFUNCTION("""COMPUTED_VALUE"""),"")</f>
        <v/>
      </c>
    </row>
    <row r="5068">
      <c r="G5068" s="16" t="str">
        <f>IFERROR(__xludf.DUMMYFUNCTION("""COMPUTED_VALUE"""),"")</f>
        <v/>
      </c>
    </row>
    <row r="5069">
      <c r="G5069" s="16" t="str">
        <f>IFERROR(__xludf.DUMMYFUNCTION("""COMPUTED_VALUE"""),"")</f>
        <v/>
      </c>
    </row>
    <row r="5070">
      <c r="G5070" s="16" t="str">
        <f>IFERROR(__xludf.DUMMYFUNCTION("""COMPUTED_VALUE"""),"")</f>
        <v/>
      </c>
    </row>
    <row r="5071">
      <c r="G5071" s="16" t="str">
        <f>IFERROR(__xludf.DUMMYFUNCTION("""COMPUTED_VALUE"""),"")</f>
        <v/>
      </c>
    </row>
    <row r="5072">
      <c r="G5072" s="16" t="str">
        <f>IFERROR(__xludf.DUMMYFUNCTION("""COMPUTED_VALUE"""),"")</f>
        <v/>
      </c>
    </row>
    <row r="5073">
      <c r="G5073" s="16" t="str">
        <f>IFERROR(__xludf.DUMMYFUNCTION("""COMPUTED_VALUE"""),"")</f>
        <v/>
      </c>
    </row>
    <row r="5074">
      <c r="G5074" s="16" t="str">
        <f>IFERROR(__xludf.DUMMYFUNCTION("""COMPUTED_VALUE"""),"")</f>
        <v/>
      </c>
    </row>
    <row r="5075">
      <c r="G5075" s="16" t="str">
        <f>IFERROR(__xludf.DUMMYFUNCTION("""COMPUTED_VALUE"""),"")</f>
        <v/>
      </c>
    </row>
    <row r="5076">
      <c r="G5076" s="16" t="str">
        <f>IFERROR(__xludf.DUMMYFUNCTION("""COMPUTED_VALUE"""),"")</f>
        <v/>
      </c>
    </row>
    <row r="5077">
      <c r="G5077" s="16" t="str">
        <f>IFERROR(__xludf.DUMMYFUNCTION("""COMPUTED_VALUE"""),"")</f>
        <v/>
      </c>
    </row>
    <row r="5078">
      <c r="G5078" s="16" t="str">
        <f>IFERROR(__xludf.DUMMYFUNCTION("""COMPUTED_VALUE"""),"")</f>
        <v/>
      </c>
    </row>
    <row r="5079">
      <c r="G5079" s="16" t="str">
        <f>IFERROR(__xludf.DUMMYFUNCTION("""COMPUTED_VALUE"""),"")</f>
        <v/>
      </c>
    </row>
    <row r="5080">
      <c r="G5080" s="16" t="str">
        <f>IFERROR(__xludf.DUMMYFUNCTION("""COMPUTED_VALUE"""),"")</f>
        <v/>
      </c>
    </row>
    <row r="5081">
      <c r="G5081" s="16" t="str">
        <f>IFERROR(__xludf.DUMMYFUNCTION("""COMPUTED_VALUE"""),"")</f>
        <v/>
      </c>
    </row>
    <row r="5082">
      <c r="G5082" s="16" t="str">
        <f>IFERROR(__xludf.DUMMYFUNCTION("""COMPUTED_VALUE"""),"")</f>
        <v/>
      </c>
    </row>
    <row r="5083">
      <c r="G5083" s="16" t="str">
        <f>IFERROR(__xludf.DUMMYFUNCTION("""COMPUTED_VALUE"""),"")</f>
        <v/>
      </c>
    </row>
    <row r="5084">
      <c r="G5084" s="16" t="str">
        <f>IFERROR(__xludf.DUMMYFUNCTION("""COMPUTED_VALUE"""),"")</f>
        <v/>
      </c>
    </row>
    <row r="5085">
      <c r="G5085" s="16" t="str">
        <f>IFERROR(__xludf.DUMMYFUNCTION("""COMPUTED_VALUE"""),"")</f>
        <v/>
      </c>
    </row>
    <row r="5086">
      <c r="G5086" s="16" t="str">
        <f>IFERROR(__xludf.DUMMYFUNCTION("""COMPUTED_VALUE"""),"")</f>
        <v/>
      </c>
    </row>
    <row r="5087">
      <c r="G5087" s="16" t="str">
        <f>IFERROR(__xludf.DUMMYFUNCTION("""COMPUTED_VALUE"""),"")</f>
        <v/>
      </c>
    </row>
    <row r="5088">
      <c r="G5088" s="16" t="str">
        <f>IFERROR(__xludf.DUMMYFUNCTION("""COMPUTED_VALUE"""),"")</f>
        <v/>
      </c>
    </row>
    <row r="5089">
      <c r="G5089" s="16" t="str">
        <f>IFERROR(__xludf.DUMMYFUNCTION("""COMPUTED_VALUE"""),"")</f>
        <v/>
      </c>
    </row>
    <row r="5090">
      <c r="G5090" s="16" t="str">
        <f>IFERROR(__xludf.DUMMYFUNCTION("""COMPUTED_VALUE"""),"")</f>
        <v/>
      </c>
    </row>
    <row r="5091">
      <c r="G5091" s="16" t="str">
        <f>IFERROR(__xludf.DUMMYFUNCTION("""COMPUTED_VALUE"""),"")</f>
        <v/>
      </c>
    </row>
    <row r="5092">
      <c r="G5092" s="16" t="str">
        <f>IFERROR(__xludf.DUMMYFUNCTION("""COMPUTED_VALUE"""),"")</f>
        <v/>
      </c>
    </row>
    <row r="5093">
      <c r="G5093" s="16" t="str">
        <f>IFERROR(__xludf.DUMMYFUNCTION("""COMPUTED_VALUE"""),"")</f>
        <v/>
      </c>
    </row>
    <row r="5094">
      <c r="G5094" s="16" t="str">
        <f>IFERROR(__xludf.DUMMYFUNCTION("""COMPUTED_VALUE"""),"")</f>
        <v/>
      </c>
    </row>
    <row r="5095">
      <c r="G5095" s="16" t="str">
        <f>IFERROR(__xludf.DUMMYFUNCTION("""COMPUTED_VALUE"""),"")</f>
        <v/>
      </c>
    </row>
    <row r="5096">
      <c r="G5096" s="16" t="str">
        <f>IFERROR(__xludf.DUMMYFUNCTION("""COMPUTED_VALUE"""),"")</f>
        <v/>
      </c>
    </row>
    <row r="5097">
      <c r="G5097" s="16" t="str">
        <f>IFERROR(__xludf.DUMMYFUNCTION("""COMPUTED_VALUE"""),"")</f>
        <v/>
      </c>
    </row>
    <row r="5098">
      <c r="G5098" s="16" t="str">
        <f>IFERROR(__xludf.DUMMYFUNCTION("""COMPUTED_VALUE"""),"")</f>
        <v/>
      </c>
    </row>
    <row r="5099">
      <c r="G5099" s="16" t="str">
        <f>IFERROR(__xludf.DUMMYFUNCTION("""COMPUTED_VALUE"""),"")</f>
        <v/>
      </c>
    </row>
    <row r="5100">
      <c r="G5100" s="16" t="str">
        <f>IFERROR(__xludf.DUMMYFUNCTION("""COMPUTED_VALUE"""),"")</f>
        <v/>
      </c>
    </row>
    <row r="5101">
      <c r="G5101" s="16" t="str">
        <f>IFERROR(__xludf.DUMMYFUNCTION("""COMPUTED_VALUE"""),"")</f>
        <v/>
      </c>
    </row>
    <row r="5102">
      <c r="G5102" s="16" t="str">
        <f>IFERROR(__xludf.DUMMYFUNCTION("""COMPUTED_VALUE"""),"")</f>
        <v/>
      </c>
    </row>
    <row r="5103">
      <c r="G5103" s="16" t="str">
        <f>IFERROR(__xludf.DUMMYFUNCTION("""COMPUTED_VALUE"""),"")</f>
        <v/>
      </c>
    </row>
    <row r="5104">
      <c r="G5104" s="16" t="str">
        <f>IFERROR(__xludf.DUMMYFUNCTION("""COMPUTED_VALUE"""),"")</f>
        <v/>
      </c>
    </row>
    <row r="5105">
      <c r="G5105" s="16" t="str">
        <f>IFERROR(__xludf.DUMMYFUNCTION("""COMPUTED_VALUE"""),"")</f>
        <v/>
      </c>
    </row>
    <row r="5106">
      <c r="G5106" s="16" t="str">
        <f>IFERROR(__xludf.DUMMYFUNCTION("""COMPUTED_VALUE"""),"")</f>
        <v/>
      </c>
    </row>
    <row r="5107">
      <c r="G5107" s="16" t="str">
        <f>IFERROR(__xludf.DUMMYFUNCTION("""COMPUTED_VALUE"""),"")</f>
        <v/>
      </c>
    </row>
    <row r="5108">
      <c r="G5108" s="16" t="str">
        <f>IFERROR(__xludf.DUMMYFUNCTION("""COMPUTED_VALUE"""),"")</f>
        <v/>
      </c>
    </row>
    <row r="5109">
      <c r="G5109" s="16" t="str">
        <f>IFERROR(__xludf.DUMMYFUNCTION("""COMPUTED_VALUE"""),"")</f>
        <v/>
      </c>
    </row>
    <row r="5110">
      <c r="G5110" s="16" t="str">
        <f>IFERROR(__xludf.DUMMYFUNCTION("""COMPUTED_VALUE"""),"")</f>
        <v/>
      </c>
    </row>
    <row r="5111">
      <c r="G5111" s="16" t="str">
        <f>IFERROR(__xludf.DUMMYFUNCTION("""COMPUTED_VALUE"""),"")</f>
        <v/>
      </c>
    </row>
    <row r="5112">
      <c r="G5112" s="16" t="str">
        <f>IFERROR(__xludf.DUMMYFUNCTION("""COMPUTED_VALUE"""),"")</f>
        <v/>
      </c>
    </row>
    <row r="5113">
      <c r="G5113" s="16" t="str">
        <f>IFERROR(__xludf.DUMMYFUNCTION("""COMPUTED_VALUE"""),"")</f>
        <v/>
      </c>
    </row>
    <row r="5114">
      <c r="G5114" s="16" t="str">
        <f>IFERROR(__xludf.DUMMYFUNCTION("""COMPUTED_VALUE"""),"")</f>
        <v/>
      </c>
    </row>
    <row r="5115">
      <c r="G5115" s="16" t="str">
        <f>IFERROR(__xludf.DUMMYFUNCTION("""COMPUTED_VALUE"""),"")</f>
        <v/>
      </c>
    </row>
    <row r="5116">
      <c r="G5116" s="16" t="str">
        <f>IFERROR(__xludf.DUMMYFUNCTION("""COMPUTED_VALUE"""),"")</f>
        <v/>
      </c>
    </row>
    <row r="5117">
      <c r="G5117" s="16" t="str">
        <f>IFERROR(__xludf.DUMMYFUNCTION("""COMPUTED_VALUE"""),"")</f>
        <v/>
      </c>
    </row>
    <row r="5118">
      <c r="G5118" s="16" t="str">
        <f>IFERROR(__xludf.DUMMYFUNCTION("""COMPUTED_VALUE"""),"")</f>
        <v/>
      </c>
    </row>
    <row r="5119">
      <c r="G5119" s="16" t="str">
        <f>IFERROR(__xludf.DUMMYFUNCTION("""COMPUTED_VALUE"""),"")</f>
        <v/>
      </c>
    </row>
    <row r="5120">
      <c r="G5120" s="16" t="str">
        <f>IFERROR(__xludf.DUMMYFUNCTION("""COMPUTED_VALUE"""),"")</f>
        <v/>
      </c>
    </row>
    <row r="5121">
      <c r="G5121" s="16" t="str">
        <f>IFERROR(__xludf.DUMMYFUNCTION("""COMPUTED_VALUE"""),"")</f>
        <v/>
      </c>
    </row>
    <row r="5122">
      <c r="G5122" s="16" t="str">
        <f>IFERROR(__xludf.DUMMYFUNCTION("""COMPUTED_VALUE"""),"")</f>
        <v/>
      </c>
    </row>
    <row r="5123">
      <c r="G5123" s="16" t="str">
        <f>IFERROR(__xludf.DUMMYFUNCTION("""COMPUTED_VALUE"""),"")</f>
        <v/>
      </c>
    </row>
    <row r="5124">
      <c r="G5124" s="16" t="str">
        <f>IFERROR(__xludf.DUMMYFUNCTION("""COMPUTED_VALUE"""),"")</f>
        <v/>
      </c>
    </row>
    <row r="5125">
      <c r="G5125" s="16" t="str">
        <f>IFERROR(__xludf.DUMMYFUNCTION("""COMPUTED_VALUE"""),"")</f>
        <v/>
      </c>
    </row>
    <row r="5126">
      <c r="G5126" s="16" t="str">
        <f>IFERROR(__xludf.DUMMYFUNCTION("""COMPUTED_VALUE"""),"")</f>
        <v/>
      </c>
    </row>
    <row r="5127">
      <c r="G5127" s="16" t="str">
        <f>IFERROR(__xludf.DUMMYFUNCTION("""COMPUTED_VALUE"""),"")</f>
        <v/>
      </c>
    </row>
    <row r="5128">
      <c r="G5128" s="16" t="str">
        <f>IFERROR(__xludf.DUMMYFUNCTION("""COMPUTED_VALUE"""),"")</f>
        <v/>
      </c>
    </row>
    <row r="5129">
      <c r="G5129" s="16" t="str">
        <f>IFERROR(__xludf.DUMMYFUNCTION("""COMPUTED_VALUE"""),"")</f>
        <v/>
      </c>
    </row>
    <row r="5130">
      <c r="G5130" s="16" t="str">
        <f>IFERROR(__xludf.DUMMYFUNCTION("""COMPUTED_VALUE"""),"")</f>
        <v/>
      </c>
    </row>
    <row r="5131">
      <c r="G5131" s="16" t="str">
        <f>IFERROR(__xludf.DUMMYFUNCTION("""COMPUTED_VALUE"""),"")</f>
        <v/>
      </c>
    </row>
    <row r="5132">
      <c r="G5132" s="16" t="str">
        <f>IFERROR(__xludf.DUMMYFUNCTION("""COMPUTED_VALUE"""),"")</f>
        <v/>
      </c>
    </row>
    <row r="5133">
      <c r="G5133" s="16" t="str">
        <f>IFERROR(__xludf.DUMMYFUNCTION("""COMPUTED_VALUE"""),"")</f>
        <v/>
      </c>
    </row>
    <row r="5134">
      <c r="G5134" s="16" t="str">
        <f>IFERROR(__xludf.DUMMYFUNCTION("""COMPUTED_VALUE"""),"")</f>
        <v/>
      </c>
    </row>
    <row r="5135">
      <c r="G5135" s="16" t="str">
        <f>IFERROR(__xludf.DUMMYFUNCTION("""COMPUTED_VALUE"""),"")</f>
        <v/>
      </c>
    </row>
    <row r="5136">
      <c r="G5136" s="16" t="str">
        <f>IFERROR(__xludf.DUMMYFUNCTION("""COMPUTED_VALUE"""),"")</f>
        <v/>
      </c>
    </row>
    <row r="5137">
      <c r="G5137" s="16" t="str">
        <f>IFERROR(__xludf.DUMMYFUNCTION("""COMPUTED_VALUE"""),"")</f>
        <v/>
      </c>
    </row>
    <row r="5138">
      <c r="G5138" s="16" t="str">
        <f>IFERROR(__xludf.DUMMYFUNCTION("""COMPUTED_VALUE"""),"")</f>
        <v/>
      </c>
    </row>
    <row r="5139">
      <c r="G5139" s="16" t="str">
        <f>IFERROR(__xludf.DUMMYFUNCTION("""COMPUTED_VALUE"""),"")</f>
        <v/>
      </c>
    </row>
    <row r="5140">
      <c r="G5140" s="16" t="str">
        <f>IFERROR(__xludf.DUMMYFUNCTION("""COMPUTED_VALUE"""),"")</f>
        <v/>
      </c>
    </row>
    <row r="5141">
      <c r="G5141" s="16" t="str">
        <f>IFERROR(__xludf.DUMMYFUNCTION("""COMPUTED_VALUE"""),"")</f>
        <v/>
      </c>
    </row>
    <row r="5142">
      <c r="G5142" s="16" t="str">
        <f>IFERROR(__xludf.DUMMYFUNCTION("""COMPUTED_VALUE"""),"")</f>
        <v/>
      </c>
    </row>
    <row r="5143">
      <c r="G5143" s="16" t="str">
        <f>IFERROR(__xludf.DUMMYFUNCTION("""COMPUTED_VALUE"""),"")</f>
        <v/>
      </c>
    </row>
    <row r="5144">
      <c r="G5144" s="16" t="str">
        <f>IFERROR(__xludf.DUMMYFUNCTION("""COMPUTED_VALUE"""),"")</f>
        <v/>
      </c>
    </row>
    <row r="5145">
      <c r="G5145" s="16" t="str">
        <f>IFERROR(__xludf.DUMMYFUNCTION("""COMPUTED_VALUE"""),"")</f>
        <v/>
      </c>
    </row>
    <row r="5146">
      <c r="G5146" s="16" t="str">
        <f>IFERROR(__xludf.DUMMYFUNCTION("""COMPUTED_VALUE"""),"")</f>
        <v/>
      </c>
    </row>
    <row r="5147">
      <c r="G5147" s="16" t="str">
        <f>IFERROR(__xludf.DUMMYFUNCTION("""COMPUTED_VALUE"""),"")</f>
        <v/>
      </c>
    </row>
    <row r="5148">
      <c r="G5148" s="16" t="str">
        <f>IFERROR(__xludf.DUMMYFUNCTION("""COMPUTED_VALUE"""),"")</f>
        <v/>
      </c>
    </row>
    <row r="5149">
      <c r="G5149" s="16" t="str">
        <f>IFERROR(__xludf.DUMMYFUNCTION("""COMPUTED_VALUE"""),"")</f>
        <v/>
      </c>
    </row>
    <row r="5150">
      <c r="G5150" s="16" t="str">
        <f>IFERROR(__xludf.DUMMYFUNCTION("""COMPUTED_VALUE"""),"")</f>
        <v/>
      </c>
    </row>
    <row r="5151">
      <c r="G5151" s="16" t="str">
        <f>IFERROR(__xludf.DUMMYFUNCTION("""COMPUTED_VALUE"""),"")</f>
        <v/>
      </c>
    </row>
    <row r="5152">
      <c r="G5152" s="16" t="str">
        <f>IFERROR(__xludf.DUMMYFUNCTION("""COMPUTED_VALUE"""),"")</f>
        <v/>
      </c>
    </row>
    <row r="5153">
      <c r="G5153" s="16" t="str">
        <f>IFERROR(__xludf.DUMMYFUNCTION("""COMPUTED_VALUE"""),"")</f>
        <v/>
      </c>
    </row>
    <row r="5154">
      <c r="G5154" s="16" t="str">
        <f>IFERROR(__xludf.DUMMYFUNCTION("""COMPUTED_VALUE"""),"")</f>
        <v/>
      </c>
    </row>
    <row r="5155">
      <c r="G5155" s="16" t="str">
        <f>IFERROR(__xludf.DUMMYFUNCTION("""COMPUTED_VALUE"""),"")</f>
        <v/>
      </c>
    </row>
    <row r="5156">
      <c r="G5156" s="16" t="str">
        <f>IFERROR(__xludf.DUMMYFUNCTION("""COMPUTED_VALUE"""),"")</f>
        <v/>
      </c>
    </row>
    <row r="5157">
      <c r="G5157" s="16" t="str">
        <f>IFERROR(__xludf.DUMMYFUNCTION("""COMPUTED_VALUE"""),"")</f>
        <v/>
      </c>
    </row>
    <row r="5158">
      <c r="G5158" s="16" t="str">
        <f>IFERROR(__xludf.DUMMYFUNCTION("""COMPUTED_VALUE"""),"")</f>
        <v/>
      </c>
    </row>
    <row r="5159">
      <c r="G5159" s="16" t="str">
        <f>IFERROR(__xludf.DUMMYFUNCTION("""COMPUTED_VALUE"""),"")</f>
        <v/>
      </c>
    </row>
    <row r="5160">
      <c r="G5160" s="16" t="str">
        <f>IFERROR(__xludf.DUMMYFUNCTION("""COMPUTED_VALUE"""),"")</f>
        <v/>
      </c>
    </row>
    <row r="5161">
      <c r="G5161" s="16" t="str">
        <f>IFERROR(__xludf.DUMMYFUNCTION("""COMPUTED_VALUE"""),"")</f>
        <v/>
      </c>
    </row>
    <row r="5162">
      <c r="G5162" s="16" t="str">
        <f>IFERROR(__xludf.DUMMYFUNCTION("""COMPUTED_VALUE"""),"")</f>
        <v/>
      </c>
    </row>
    <row r="5163">
      <c r="G5163" s="16" t="str">
        <f>IFERROR(__xludf.DUMMYFUNCTION("""COMPUTED_VALUE"""),"")</f>
        <v/>
      </c>
    </row>
    <row r="5164">
      <c r="G5164" s="16" t="str">
        <f>IFERROR(__xludf.DUMMYFUNCTION("""COMPUTED_VALUE"""),"")</f>
        <v/>
      </c>
    </row>
    <row r="5165">
      <c r="G5165" s="16" t="str">
        <f>IFERROR(__xludf.DUMMYFUNCTION("""COMPUTED_VALUE"""),"")</f>
        <v/>
      </c>
    </row>
    <row r="5166">
      <c r="G5166" s="16" t="str">
        <f>IFERROR(__xludf.DUMMYFUNCTION("""COMPUTED_VALUE"""),"")</f>
        <v/>
      </c>
    </row>
    <row r="5167">
      <c r="G5167" s="16" t="str">
        <f>IFERROR(__xludf.DUMMYFUNCTION("""COMPUTED_VALUE"""),"")</f>
        <v/>
      </c>
    </row>
    <row r="5168">
      <c r="G5168" s="16" t="str">
        <f>IFERROR(__xludf.DUMMYFUNCTION("""COMPUTED_VALUE"""),"")</f>
        <v/>
      </c>
    </row>
    <row r="5169">
      <c r="G5169" s="16" t="str">
        <f>IFERROR(__xludf.DUMMYFUNCTION("""COMPUTED_VALUE"""),"")</f>
        <v/>
      </c>
    </row>
    <row r="5170">
      <c r="G5170" s="16" t="str">
        <f>IFERROR(__xludf.DUMMYFUNCTION("""COMPUTED_VALUE"""),"")</f>
        <v/>
      </c>
    </row>
    <row r="5171">
      <c r="G5171" s="16" t="str">
        <f>IFERROR(__xludf.DUMMYFUNCTION("""COMPUTED_VALUE"""),"")</f>
        <v/>
      </c>
    </row>
    <row r="5172">
      <c r="G5172" s="16" t="str">
        <f>IFERROR(__xludf.DUMMYFUNCTION("""COMPUTED_VALUE"""),"")</f>
        <v/>
      </c>
    </row>
    <row r="5173">
      <c r="G5173" s="16" t="str">
        <f>IFERROR(__xludf.DUMMYFUNCTION("""COMPUTED_VALUE"""),"")</f>
        <v/>
      </c>
    </row>
    <row r="5174">
      <c r="G5174" s="16" t="str">
        <f>IFERROR(__xludf.DUMMYFUNCTION("""COMPUTED_VALUE"""),"")</f>
        <v/>
      </c>
    </row>
    <row r="5175">
      <c r="G5175" s="16" t="str">
        <f>IFERROR(__xludf.DUMMYFUNCTION("""COMPUTED_VALUE"""),"")</f>
        <v/>
      </c>
    </row>
    <row r="5176">
      <c r="G5176" s="16" t="str">
        <f>IFERROR(__xludf.DUMMYFUNCTION("""COMPUTED_VALUE"""),"")</f>
        <v/>
      </c>
    </row>
    <row r="5177">
      <c r="G5177" s="16" t="str">
        <f>IFERROR(__xludf.DUMMYFUNCTION("""COMPUTED_VALUE"""),"")</f>
        <v/>
      </c>
    </row>
    <row r="5178">
      <c r="G5178" s="16" t="str">
        <f>IFERROR(__xludf.DUMMYFUNCTION("""COMPUTED_VALUE"""),"")</f>
        <v/>
      </c>
    </row>
    <row r="5179">
      <c r="G5179" s="16" t="str">
        <f>IFERROR(__xludf.DUMMYFUNCTION("""COMPUTED_VALUE"""),"")</f>
        <v/>
      </c>
    </row>
    <row r="5180">
      <c r="G5180" s="16" t="str">
        <f>IFERROR(__xludf.DUMMYFUNCTION("""COMPUTED_VALUE"""),"")</f>
        <v/>
      </c>
    </row>
    <row r="5181">
      <c r="G5181" s="16" t="str">
        <f>IFERROR(__xludf.DUMMYFUNCTION("""COMPUTED_VALUE"""),"")</f>
        <v/>
      </c>
    </row>
    <row r="5182">
      <c r="G5182" s="16" t="str">
        <f>IFERROR(__xludf.DUMMYFUNCTION("""COMPUTED_VALUE"""),"")</f>
        <v/>
      </c>
    </row>
    <row r="5183">
      <c r="G5183" s="16" t="str">
        <f>IFERROR(__xludf.DUMMYFUNCTION("""COMPUTED_VALUE"""),"")</f>
        <v/>
      </c>
    </row>
    <row r="5184">
      <c r="G5184" s="16" t="str">
        <f>IFERROR(__xludf.DUMMYFUNCTION("""COMPUTED_VALUE"""),"")</f>
        <v/>
      </c>
    </row>
    <row r="5185">
      <c r="G5185" s="16" t="str">
        <f>IFERROR(__xludf.DUMMYFUNCTION("""COMPUTED_VALUE"""),"")</f>
        <v/>
      </c>
    </row>
    <row r="5186">
      <c r="G5186" s="16" t="str">
        <f>IFERROR(__xludf.DUMMYFUNCTION("""COMPUTED_VALUE"""),"")</f>
        <v/>
      </c>
    </row>
    <row r="5187">
      <c r="G5187" s="16" t="str">
        <f>IFERROR(__xludf.DUMMYFUNCTION("""COMPUTED_VALUE"""),"")</f>
        <v/>
      </c>
    </row>
    <row r="5188">
      <c r="G5188" s="16" t="str">
        <f>IFERROR(__xludf.DUMMYFUNCTION("""COMPUTED_VALUE"""),"")</f>
        <v/>
      </c>
    </row>
    <row r="5189">
      <c r="G5189" s="16" t="str">
        <f>IFERROR(__xludf.DUMMYFUNCTION("""COMPUTED_VALUE"""),"")</f>
        <v/>
      </c>
    </row>
    <row r="5190">
      <c r="G5190" s="16" t="str">
        <f>IFERROR(__xludf.DUMMYFUNCTION("""COMPUTED_VALUE"""),"")</f>
        <v/>
      </c>
    </row>
    <row r="5191">
      <c r="G5191" s="16" t="str">
        <f>IFERROR(__xludf.DUMMYFUNCTION("""COMPUTED_VALUE"""),"")</f>
        <v/>
      </c>
    </row>
    <row r="5192">
      <c r="G5192" s="16" t="str">
        <f>IFERROR(__xludf.DUMMYFUNCTION("""COMPUTED_VALUE"""),"")</f>
        <v/>
      </c>
    </row>
    <row r="5193">
      <c r="G5193" s="16" t="str">
        <f>IFERROR(__xludf.DUMMYFUNCTION("""COMPUTED_VALUE"""),"")</f>
        <v/>
      </c>
    </row>
    <row r="5194">
      <c r="G5194" s="16" t="str">
        <f>IFERROR(__xludf.DUMMYFUNCTION("""COMPUTED_VALUE"""),"")</f>
        <v/>
      </c>
    </row>
    <row r="5195">
      <c r="G5195" s="16" t="str">
        <f>IFERROR(__xludf.DUMMYFUNCTION("""COMPUTED_VALUE"""),"")</f>
        <v/>
      </c>
    </row>
    <row r="5196">
      <c r="G5196" s="16" t="str">
        <f>IFERROR(__xludf.DUMMYFUNCTION("""COMPUTED_VALUE"""),"")</f>
        <v/>
      </c>
    </row>
    <row r="5197">
      <c r="G5197" s="16" t="str">
        <f>IFERROR(__xludf.DUMMYFUNCTION("""COMPUTED_VALUE"""),"")</f>
        <v/>
      </c>
    </row>
    <row r="5198">
      <c r="G5198" s="16" t="str">
        <f>IFERROR(__xludf.DUMMYFUNCTION("""COMPUTED_VALUE"""),"")</f>
        <v/>
      </c>
    </row>
    <row r="5199">
      <c r="G5199" s="16" t="str">
        <f>IFERROR(__xludf.DUMMYFUNCTION("""COMPUTED_VALUE"""),"")</f>
        <v/>
      </c>
    </row>
    <row r="5200">
      <c r="G5200" s="16" t="str">
        <f>IFERROR(__xludf.DUMMYFUNCTION("""COMPUTED_VALUE"""),"")</f>
        <v/>
      </c>
    </row>
    <row r="5201">
      <c r="G5201" s="16" t="str">
        <f>IFERROR(__xludf.DUMMYFUNCTION("""COMPUTED_VALUE"""),"")</f>
        <v/>
      </c>
    </row>
    <row r="5202">
      <c r="G5202" s="16" t="str">
        <f>IFERROR(__xludf.DUMMYFUNCTION("""COMPUTED_VALUE"""),"")</f>
        <v/>
      </c>
    </row>
    <row r="5203">
      <c r="G5203" s="16" t="str">
        <f>IFERROR(__xludf.DUMMYFUNCTION("""COMPUTED_VALUE"""),"")</f>
        <v/>
      </c>
    </row>
    <row r="5204">
      <c r="G5204" s="16" t="str">
        <f>IFERROR(__xludf.DUMMYFUNCTION("""COMPUTED_VALUE"""),"")</f>
        <v/>
      </c>
    </row>
    <row r="5205">
      <c r="G5205" s="16" t="str">
        <f>IFERROR(__xludf.DUMMYFUNCTION("""COMPUTED_VALUE"""),"")</f>
        <v/>
      </c>
    </row>
    <row r="5206">
      <c r="G5206" s="16" t="str">
        <f>IFERROR(__xludf.DUMMYFUNCTION("""COMPUTED_VALUE"""),"")</f>
        <v/>
      </c>
    </row>
    <row r="5207">
      <c r="G5207" s="16" t="str">
        <f>IFERROR(__xludf.DUMMYFUNCTION("""COMPUTED_VALUE"""),"")</f>
        <v/>
      </c>
    </row>
    <row r="5208">
      <c r="G5208" s="16" t="str">
        <f>IFERROR(__xludf.DUMMYFUNCTION("""COMPUTED_VALUE"""),"")</f>
        <v/>
      </c>
    </row>
    <row r="5209">
      <c r="G5209" s="16" t="str">
        <f>IFERROR(__xludf.DUMMYFUNCTION("""COMPUTED_VALUE"""),"")</f>
        <v/>
      </c>
    </row>
    <row r="5210">
      <c r="G5210" s="16" t="str">
        <f>IFERROR(__xludf.DUMMYFUNCTION("""COMPUTED_VALUE"""),"")</f>
        <v/>
      </c>
    </row>
    <row r="5211">
      <c r="G5211" s="16" t="str">
        <f>IFERROR(__xludf.DUMMYFUNCTION("""COMPUTED_VALUE"""),"")</f>
        <v/>
      </c>
    </row>
    <row r="5212">
      <c r="G5212" s="16" t="str">
        <f>IFERROR(__xludf.DUMMYFUNCTION("""COMPUTED_VALUE"""),"")</f>
        <v/>
      </c>
    </row>
    <row r="5213">
      <c r="G5213" s="16" t="str">
        <f>IFERROR(__xludf.DUMMYFUNCTION("""COMPUTED_VALUE"""),"")</f>
        <v/>
      </c>
    </row>
    <row r="5214">
      <c r="G5214" s="16" t="str">
        <f>IFERROR(__xludf.DUMMYFUNCTION("""COMPUTED_VALUE"""),"")</f>
        <v/>
      </c>
    </row>
    <row r="5215">
      <c r="G5215" s="16" t="str">
        <f>IFERROR(__xludf.DUMMYFUNCTION("""COMPUTED_VALUE"""),"")</f>
        <v/>
      </c>
    </row>
    <row r="5216">
      <c r="G5216" s="16" t="str">
        <f>IFERROR(__xludf.DUMMYFUNCTION("""COMPUTED_VALUE"""),"")</f>
        <v/>
      </c>
    </row>
    <row r="5217">
      <c r="G5217" s="16" t="str">
        <f>IFERROR(__xludf.DUMMYFUNCTION("""COMPUTED_VALUE"""),"")</f>
        <v/>
      </c>
    </row>
    <row r="5218">
      <c r="G5218" s="16" t="str">
        <f>IFERROR(__xludf.DUMMYFUNCTION("""COMPUTED_VALUE"""),"")</f>
        <v/>
      </c>
    </row>
    <row r="5219">
      <c r="G5219" s="16" t="str">
        <f>IFERROR(__xludf.DUMMYFUNCTION("""COMPUTED_VALUE"""),"")</f>
        <v/>
      </c>
    </row>
    <row r="5220">
      <c r="G5220" s="16" t="str">
        <f>IFERROR(__xludf.DUMMYFUNCTION("""COMPUTED_VALUE"""),"")</f>
        <v/>
      </c>
    </row>
    <row r="5221">
      <c r="G5221" s="16" t="str">
        <f>IFERROR(__xludf.DUMMYFUNCTION("""COMPUTED_VALUE"""),"")</f>
        <v/>
      </c>
    </row>
    <row r="5222">
      <c r="G5222" s="16" t="str">
        <f>IFERROR(__xludf.DUMMYFUNCTION("""COMPUTED_VALUE"""),"")</f>
        <v/>
      </c>
    </row>
    <row r="5223">
      <c r="G5223" s="16" t="str">
        <f>IFERROR(__xludf.DUMMYFUNCTION("""COMPUTED_VALUE"""),"")</f>
        <v/>
      </c>
    </row>
    <row r="5224">
      <c r="G5224" s="16" t="str">
        <f>IFERROR(__xludf.DUMMYFUNCTION("""COMPUTED_VALUE"""),"")</f>
        <v/>
      </c>
    </row>
    <row r="5225">
      <c r="G5225" s="16" t="str">
        <f>IFERROR(__xludf.DUMMYFUNCTION("""COMPUTED_VALUE"""),"")</f>
        <v/>
      </c>
    </row>
    <row r="5226">
      <c r="G5226" s="16" t="str">
        <f>IFERROR(__xludf.DUMMYFUNCTION("""COMPUTED_VALUE"""),"")</f>
        <v/>
      </c>
    </row>
    <row r="5227">
      <c r="G5227" s="16" t="str">
        <f>IFERROR(__xludf.DUMMYFUNCTION("""COMPUTED_VALUE"""),"")</f>
        <v/>
      </c>
    </row>
    <row r="5228">
      <c r="G5228" s="16" t="str">
        <f>IFERROR(__xludf.DUMMYFUNCTION("""COMPUTED_VALUE"""),"")</f>
        <v/>
      </c>
    </row>
    <row r="5229">
      <c r="G5229" s="16" t="str">
        <f>IFERROR(__xludf.DUMMYFUNCTION("""COMPUTED_VALUE"""),"")</f>
        <v/>
      </c>
    </row>
    <row r="5230">
      <c r="G5230" s="16" t="str">
        <f>IFERROR(__xludf.DUMMYFUNCTION("""COMPUTED_VALUE"""),"")</f>
        <v/>
      </c>
    </row>
    <row r="5231">
      <c r="G5231" s="16" t="str">
        <f>IFERROR(__xludf.DUMMYFUNCTION("""COMPUTED_VALUE"""),"")</f>
        <v/>
      </c>
    </row>
    <row r="5232">
      <c r="G5232" s="16" t="str">
        <f>IFERROR(__xludf.DUMMYFUNCTION("""COMPUTED_VALUE"""),"")</f>
        <v/>
      </c>
    </row>
    <row r="5233">
      <c r="G5233" s="16" t="str">
        <f>IFERROR(__xludf.DUMMYFUNCTION("""COMPUTED_VALUE"""),"")</f>
        <v/>
      </c>
    </row>
    <row r="5234">
      <c r="G5234" s="16" t="str">
        <f>IFERROR(__xludf.DUMMYFUNCTION("""COMPUTED_VALUE"""),"")</f>
        <v/>
      </c>
    </row>
    <row r="5235">
      <c r="G5235" s="16" t="str">
        <f>IFERROR(__xludf.DUMMYFUNCTION("""COMPUTED_VALUE"""),"")</f>
        <v/>
      </c>
    </row>
    <row r="5236">
      <c r="G5236" s="16" t="str">
        <f>IFERROR(__xludf.DUMMYFUNCTION("""COMPUTED_VALUE"""),"")</f>
        <v/>
      </c>
    </row>
    <row r="5237">
      <c r="G5237" s="16" t="str">
        <f>IFERROR(__xludf.DUMMYFUNCTION("""COMPUTED_VALUE"""),"")</f>
        <v/>
      </c>
    </row>
    <row r="5238">
      <c r="G5238" s="16" t="str">
        <f>IFERROR(__xludf.DUMMYFUNCTION("""COMPUTED_VALUE"""),"")</f>
        <v/>
      </c>
    </row>
    <row r="5239">
      <c r="G5239" s="16" t="str">
        <f>IFERROR(__xludf.DUMMYFUNCTION("""COMPUTED_VALUE"""),"")</f>
        <v/>
      </c>
    </row>
    <row r="5240">
      <c r="G5240" s="16" t="str">
        <f>IFERROR(__xludf.DUMMYFUNCTION("""COMPUTED_VALUE"""),"")</f>
        <v/>
      </c>
    </row>
    <row r="5241">
      <c r="G5241" s="16" t="str">
        <f>IFERROR(__xludf.DUMMYFUNCTION("""COMPUTED_VALUE"""),"")</f>
        <v/>
      </c>
    </row>
    <row r="5242">
      <c r="G5242" s="16" t="str">
        <f>IFERROR(__xludf.DUMMYFUNCTION("""COMPUTED_VALUE"""),"")</f>
        <v/>
      </c>
    </row>
    <row r="5243">
      <c r="G5243" s="16" t="str">
        <f>IFERROR(__xludf.DUMMYFUNCTION("""COMPUTED_VALUE"""),"")</f>
        <v/>
      </c>
    </row>
    <row r="5244">
      <c r="G5244" s="16" t="str">
        <f>IFERROR(__xludf.DUMMYFUNCTION("""COMPUTED_VALUE"""),"")</f>
        <v/>
      </c>
    </row>
    <row r="5245">
      <c r="G5245" s="16" t="str">
        <f>IFERROR(__xludf.DUMMYFUNCTION("""COMPUTED_VALUE"""),"")</f>
        <v/>
      </c>
    </row>
    <row r="5246">
      <c r="G5246" s="16" t="str">
        <f>IFERROR(__xludf.DUMMYFUNCTION("""COMPUTED_VALUE"""),"")</f>
        <v/>
      </c>
    </row>
    <row r="5247">
      <c r="G5247" s="16" t="str">
        <f>IFERROR(__xludf.DUMMYFUNCTION("""COMPUTED_VALUE"""),"")</f>
        <v/>
      </c>
    </row>
    <row r="5248">
      <c r="G5248" s="16" t="str">
        <f>IFERROR(__xludf.DUMMYFUNCTION("""COMPUTED_VALUE"""),"")</f>
        <v/>
      </c>
    </row>
    <row r="5249">
      <c r="G5249" s="16" t="str">
        <f>IFERROR(__xludf.DUMMYFUNCTION("""COMPUTED_VALUE"""),"")</f>
        <v/>
      </c>
    </row>
    <row r="5250">
      <c r="G5250" s="16" t="str">
        <f>IFERROR(__xludf.DUMMYFUNCTION("""COMPUTED_VALUE"""),"")</f>
        <v/>
      </c>
    </row>
    <row r="5251">
      <c r="G5251" s="16" t="str">
        <f>IFERROR(__xludf.DUMMYFUNCTION("""COMPUTED_VALUE"""),"")</f>
        <v/>
      </c>
    </row>
    <row r="5252">
      <c r="G5252" s="16" t="str">
        <f>IFERROR(__xludf.DUMMYFUNCTION("""COMPUTED_VALUE"""),"")</f>
        <v/>
      </c>
    </row>
    <row r="5253">
      <c r="G5253" s="16" t="str">
        <f>IFERROR(__xludf.DUMMYFUNCTION("""COMPUTED_VALUE"""),"")</f>
        <v/>
      </c>
    </row>
    <row r="5254">
      <c r="G5254" s="16" t="str">
        <f>IFERROR(__xludf.DUMMYFUNCTION("""COMPUTED_VALUE"""),"")</f>
        <v/>
      </c>
    </row>
    <row r="5255">
      <c r="G5255" s="16" t="str">
        <f>IFERROR(__xludf.DUMMYFUNCTION("""COMPUTED_VALUE"""),"")</f>
        <v/>
      </c>
    </row>
    <row r="5256">
      <c r="G5256" s="16" t="str">
        <f>IFERROR(__xludf.DUMMYFUNCTION("""COMPUTED_VALUE"""),"")</f>
        <v/>
      </c>
    </row>
    <row r="5257">
      <c r="G5257" s="16" t="str">
        <f>IFERROR(__xludf.DUMMYFUNCTION("""COMPUTED_VALUE"""),"")</f>
        <v/>
      </c>
    </row>
    <row r="5258">
      <c r="G5258" s="16" t="str">
        <f>IFERROR(__xludf.DUMMYFUNCTION("""COMPUTED_VALUE"""),"")</f>
        <v/>
      </c>
    </row>
    <row r="5259">
      <c r="G5259" s="16" t="str">
        <f>IFERROR(__xludf.DUMMYFUNCTION("""COMPUTED_VALUE"""),"")</f>
        <v/>
      </c>
    </row>
    <row r="5260">
      <c r="G5260" s="16" t="str">
        <f>IFERROR(__xludf.DUMMYFUNCTION("""COMPUTED_VALUE"""),"")</f>
        <v/>
      </c>
    </row>
    <row r="5261">
      <c r="G5261" s="16" t="str">
        <f>IFERROR(__xludf.DUMMYFUNCTION("""COMPUTED_VALUE"""),"")</f>
        <v/>
      </c>
    </row>
    <row r="5262">
      <c r="G5262" s="16" t="str">
        <f>IFERROR(__xludf.DUMMYFUNCTION("""COMPUTED_VALUE"""),"")</f>
        <v/>
      </c>
    </row>
    <row r="5263">
      <c r="G5263" s="16" t="str">
        <f>IFERROR(__xludf.DUMMYFUNCTION("""COMPUTED_VALUE"""),"")</f>
        <v/>
      </c>
    </row>
    <row r="5264">
      <c r="G5264" s="16" t="str">
        <f>IFERROR(__xludf.DUMMYFUNCTION("""COMPUTED_VALUE"""),"")</f>
        <v/>
      </c>
    </row>
    <row r="5265">
      <c r="G5265" s="16" t="str">
        <f>IFERROR(__xludf.DUMMYFUNCTION("""COMPUTED_VALUE"""),"")</f>
        <v/>
      </c>
    </row>
    <row r="5266">
      <c r="G5266" s="16" t="str">
        <f>IFERROR(__xludf.DUMMYFUNCTION("""COMPUTED_VALUE"""),"")</f>
        <v/>
      </c>
    </row>
    <row r="5267">
      <c r="G5267" s="16" t="str">
        <f>IFERROR(__xludf.DUMMYFUNCTION("""COMPUTED_VALUE"""),"")</f>
        <v/>
      </c>
    </row>
    <row r="5268">
      <c r="G5268" s="16" t="str">
        <f>IFERROR(__xludf.DUMMYFUNCTION("""COMPUTED_VALUE"""),"")</f>
        <v/>
      </c>
    </row>
    <row r="5269">
      <c r="G5269" s="16" t="str">
        <f>IFERROR(__xludf.DUMMYFUNCTION("""COMPUTED_VALUE"""),"")</f>
        <v/>
      </c>
    </row>
    <row r="5270">
      <c r="G5270" s="16" t="str">
        <f>IFERROR(__xludf.DUMMYFUNCTION("""COMPUTED_VALUE"""),"")</f>
        <v/>
      </c>
    </row>
    <row r="5271">
      <c r="G5271" s="16" t="str">
        <f>IFERROR(__xludf.DUMMYFUNCTION("""COMPUTED_VALUE"""),"")</f>
        <v/>
      </c>
    </row>
    <row r="5272">
      <c r="G5272" s="16" t="str">
        <f>IFERROR(__xludf.DUMMYFUNCTION("""COMPUTED_VALUE"""),"")</f>
        <v/>
      </c>
    </row>
    <row r="5273">
      <c r="G5273" s="16" t="str">
        <f>IFERROR(__xludf.DUMMYFUNCTION("""COMPUTED_VALUE"""),"")</f>
        <v/>
      </c>
    </row>
    <row r="5274">
      <c r="G5274" s="16" t="str">
        <f>IFERROR(__xludf.DUMMYFUNCTION("""COMPUTED_VALUE"""),"")</f>
        <v/>
      </c>
    </row>
    <row r="5275">
      <c r="G5275" s="16" t="str">
        <f>IFERROR(__xludf.DUMMYFUNCTION("""COMPUTED_VALUE"""),"")</f>
        <v/>
      </c>
    </row>
    <row r="5276">
      <c r="G5276" s="16" t="str">
        <f>IFERROR(__xludf.DUMMYFUNCTION("""COMPUTED_VALUE"""),"")</f>
        <v/>
      </c>
    </row>
    <row r="5277">
      <c r="G5277" s="16" t="str">
        <f>IFERROR(__xludf.DUMMYFUNCTION("""COMPUTED_VALUE"""),"")</f>
        <v/>
      </c>
    </row>
    <row r="5278">
      <c r="G5278" s="16" t="str">
        <f>IFERROR(__xludf.DUMMYFUNCTION("""COMPUTED_VALUE"""),"")</f>
        <v/>
      </c>
    </row>
    <row r="5279">
      <c r="G5279" s="16" t="str">
        <f>IFERROR(__xludf.DUMMYFUNCTION("""COMPUTED_VALUE"""),"")</f>
        <v/>
      </c>
    </row>
    <row r="5280">
      <c r="G5280" s="16" t="str">
        <f>IFERROR(__xludf.DUMMYFUNCTION("""COMPUTED_VALUE"""),"")</f>
        <v/>
      </c>
    </row>
    <row r="5281">
      <c r="G5281" s="16" t="str">
        <f>IFERROR(__xludf.DUMMYFUNCTION("""COMPUTED_VALUE"""),"")</f>
        <v/>
      </c>
    </row>
    <row r="5282">
      <c r="G5282" s="16" t="str">
        <f>IFERROR(__xludf.DUMMYFUNCTION("""COMPUTED_VALUE"""),"")</f>
        <v/>
      </c>
    </row>
    <row r="5283">
      <c r="G5283" s="16" t="str">
        <f>IFERROR(__xludf.DUMMYFUNCTION("""COMPUTED_VALUE"""),"")</f>
        <v/>
      </c>
    </row>
    <row r="5284">
      <c r="G5284" s="16" t="str">
        <f>IFERROR(__xludf.DUMMYFUNCTION("""COMPUTED_VALUE"""),"")</f>
        <v/>
      </c>
    </row>
    <row r="5285">
      <c r="G5285" s="16" t="str">
        <f>IFERROR(__xludf.DUMMYFUNCTION("""COMPUTED_VALUE"""),"")</f>
        <v/>
      </c>
    </row>
    <row r="5286">
      <c r="G5286" s="16" t="str">
        <f>IFERROR(__xludf.DUMMYFUNCTION("""COMPUTED_VALUE"""),"")</f>
        <v/>
      </c>
    </row>
    <row r="5287">
      <c r="G5287" s="16" t="str">
        <f>IFERROR(__xludf.DUMMYFUNCTION("""COMPUTED_VALUE"""),"")</f>
        <v/>
      </c>
    </row>
    <row r="5288">
      <c r="G5288" s="16" t="str">
        <f>IFERROR(__xludf.DUMMYFUNCTION("""COMPUTED_VALUE"""),"")</f>
        <v/>
      </c>
    </row>
    <row r="5289">
      <c r="G5289" s="16" t="str">
        <f>IFERROR(__xludf.DUMMYFUNCTION("""COMPUTED_VALUE"""),"")</f>
        <v/>
      </c>
    </row>
    <row r="5290">
      <c r="G5290" s="16" t="str">
        <f>IFERROR(__xludf.DUMMYFUNCTION("""COMPUTED_VALUE"""),"")</f>
        <v/>
      </c>
    </row>
    <row r="5291">
      <c r="G5291" s="16" t="str">
        <f>IFERROR(__xludf.DUMMYFUNCTION("""COMPUTED_VALUE"""),"")</f>
        <v/>
      </c>
    </row>
    <row r="5292">
      <c r="G5292" s="16" t="str">
        <f>IFERROR(__xludf.DUMMYFUNCTION("""COMPUTED_VALUE"""),"")</f>
        <v/>
      </c>
    </row>
    <row r="5293">
      <c r="G5293" s="16" t="str">
        <f>IFERROR(__xludf.DUMMYFUNCTION("""COMPUTED_VALUE"""),"")</f>
        <v/>
      </c>
    </row>
    <row r="5294">
      <c r="G5294" s="16" t="str">
        <f>IFERROR(__xludf.DUMMYFUNCTION("""COMPUTED_VALUE"""),"")</f>
        <v/>
      </c>
    </row>
    <row r="5295">
      <c r="G5295" s="16" t="str">
        <f>IFERROR(__xludf.DUMMYFUNCTION("""COMPUTED_VALUE"""),"")</f>
        <v/>
      </c>
    </row>
    <row r="5296">
      <c r="G5296" s="16" t="str">
        <f>IFERROR(__xludf.DUMMYFUNCTION("""COMPUTED_VALUE"""),"")</f>
        <v/>
      </c>
    </row>
    <row r="5297">
      <c r="G5297" s="16" t="str">
        <f>IFERROR(__xludf.DUMMYFUNCTION("""COMPUTED_VALUE"""),"")</f>
        <v/>
      </c>
    </row>
    <row r="5298">
      <c r="G5298" s="16" t="str">
        <f>IFERROR(__xludf.DUMMYFUNCTION("""COMPUTED_VALUE"""),"")</f>
        <v/>
      </c>
    </row>
    <row r="5299">
      <c r="G5299" s="16" t="str">
        <f>IFERROR(__xludf.DUMMYFUNCTION("""COMPUTED_VALUE"""),"")</f>
        <v/>
      </c>
    </row>
    <row r="5300">
      <c r="G5300" s="16" t="str">
        <f>IFERROR(__xludf.DUMMYFUNCTION("""COMPUTED_VALUE"""),"")</f>
        <v/>
      </c>
    </row>
    <row r="5301">
      <c r="G5301" s="16" t="str">
        <f>IFERROR(__xludf.DUMMYFUNCTION("""COMPUTED_VALUE"""),"")</f>
        <v/>
      </c>
    </row>
    <row r="5302">
      <c r="G5302" s="16" t="str">
        <f>IFERROR(__xludf.DUMMYFUNCTION("""COMPUTED_VALUE"""),"")</f>
        <v/>
      </c>
    </row>
    <row r="5303">
      <c r="G5303" s="16" t="str">
        <f>IFERROR(__xludf.DUMMYFUNCTION("""COMPUTED_VALUE"""),"")</f>
        <v/>
      </c>
    </row>
    <row r="5304">
      <c r="G5304" s="16" t="str">
        <f>IFERROR(__xludf.DUMMYFUNCTION("""COMPUTED_VALUE"""),"")</f>
        <v/>
      </c>
    </row>
    <row r="5305">
      <c r="G5305" s="16" t="str">
        <f>IFERROR(__xludf.DUMMYFUNCTION("""COMPUTED_VALUE"""),"")</f>
        <v/>
      </c>
    </row>
    <row r="5306">
      <c r="G5306" s="16" t="str">
        <f>IFERROR(__xludf.DUMMYFUNCTION("""COMPUTED_VALUE"""),"")</f>
        <v/>
      </c>
    </row>
    <row r="5307">
      <c r="G5307" s="16" t="str">
        <f>IFERROR(__xludf.DUMMYFUNCTION("""COMPUTED_VALUE"""),"")</f>
        <v/>
      </c>
    </row>
    <row r="5308">
      <c r="G5308" s="16" t="str">
        <f>IFERROR(__xludf.DUMMYFUNCTION("""COMPUTED_VALUE"""),"")</f>
        <v/>
      </c>
    </row>
    <row r="5309">
      <c r="G5309" s="16" t="str">
        <f>IFERROR(__xludf.DUMMYFUNCTION("""COMPUTED_VALUE"""),"")</f>
        <v/>
      </c>
    </row>
    <row r="5310">
      <c r="G5310" s="16" t="str">
        <f>IFERROR(__xludf.DUMMYFUNCTION("""COMPUTED_VALUE"""),"")</f>
        <v/>
      </c>
    </row>
    <row r="5311">
      <c r="G5311" s="16" t="str">
        <f>IFERROR(__xludf.DUMMYFUNCTION("""COMPUTED_VALUE"""),"")</f>
        <v/>
      </c>
    </row>
    <row r="5312">
      <c r="G5312" s="16" t="str">
        <f>IFERROR(__xludf.DUMMYFUNCTION("""COMPUTED_VALUE"""),"")</f>
        <v/>
      </c>
    </row>
    <row r="5313">
      <c r="G5313" s="16" t="str">
        <f>IFERROR(__xludf.DUMMYFUNCTION("""COMPUTED_VALUE"""),"")</f>
        <v/>
      </c>
    </row>
    <row r="5314">
      <c r="G5314" s="16" t="str">
        <f>IFERROR(__xludf.DUMMYFUNCTION("""COMPUTED_VALUE"""),"")</f>
        <v/>
      </c>
    </row>
    <row r="5315">
      <c r="G5315" s="16" t="str">
        <f>IFERROR(__xludf.DUMMYFUNCTION("""COMPUTED_VALUE"""),"")</f>
        <v/>
      </c>
    </row>
    <row r="5316">
      <c r="G5316" s="16" t="str">
        <f>IFERROR(__xludf.DUMMYFUNCTION("""COMPUTED_VALUE"""),"")</f>
        <v/>
      </c>
    </row>
    <row r="5317">
      <c r="G5317" s="16" t="str">
        <f>IFERROR(__xludf.DUMMYFUNCTION("""COMPUTED_VALUE"""),"")</f>
        <v/>
      </c>
    </row>
    <row r="5318">
      <c r="G5318" s="16" t="str">
        <f>IFERROR(__xludf.DUMMYFUNCTION("""COMPUTED_VALUE"""),"")</f>
        <v/>
      </c>
    </row>
    <row r="5319">
      <c r="G5319" s="16" t="str">
        <f>IFERROR(__xludf.DUMMYFUNCTION("""COMPUTED_VALUE"""),"")</f>
        <v/>
      </c>
    </row>
    <row r="5320">
      <c r="G5320" s="16" t="str">
        <f>IFERROR(__xludf.DUMMYFUNCTION("""COMPUTED_VALUE"""),"")</f>
        <v/>
      </c>
    </row>
    <row r="5321">
      <c r="G5321" s="16" t="str">
        <f>IFERROR(__xludf.DUMMYFUNCTION("""COMPUTED_VALUE"""),"")</f>
        <v/>
      </c>
    </row>
    <row r="5322">
      <c r="G5322" s="16" t="str">
        <f>IFERROR(__xludf.DUMMYFUNCTION("""COMPUTED_VALUE"""),"")</f>
        <v/>
      </c>
    </row>
    <row r="5323">
      <c r="G5323" s="16" t="str">
        <f>IFERROR(__xludf.DUMMYFUNCTION("""COMPUTED_VALUE"""),"")</f>
        <v/>
      </c>
    </row>
    <row r="5324">
      <c r="G5324" s="16" t="str">
        <f>IFERROR(__xludf.DUMMYFUNCTION("""COMPUTED_VALUE"""),"")</f>
        <v/>
      </c>
    </row>
    <row r="5325">
      <c r="G5325" s="16" t="str">
        <f>IFERROR(__xludf.DUMMYFUNCTION("""COMPUTED_VALUE"""),"")</f>
        <v/>
      </c>
    </row>
    <row r="5326">
      <c r="G5326" s="16" t="str">
        <f>IFERROR(__xludf.DUMMYFUNCTION("""COMPUTED_VALUE"""),"")</f>
        <v/>
      </c>
    </row>
    <row r="5327">
      <c r="G5327" s="16" t="str">
        <f>IFERROR(__xludf.DUMMYFUNCTION("""COMPUTED_VALUE"""),"")</f>
        <v/>
      </c>
    </row>
    <row r="5328">
      <c r="G5328" s="16" t="str">
        <f>IFERROR(__xludf.DUMMYFUNCTION("""COMPUTED_VALUE"""),"")</f>
        <v/>
      </c>
    </row>
    <row r="5329">
      <c r="G5329" s="16" t="str">
        <f>IFERROR(__xludf.DUMMYFUNCTION("""COMPUTED_VALUE"""),"")</f>
        <v/>
      </c>
    </row>
    <row r="5330">
      <c r="G5330" s="16" t="str">
        <f>IFERROR(__xludf.DUMMYFUNCTION("""COMPUTED_VALUE"""),"")</f>
        <v/>
      </c>
    </row>
    <row r="5331">
      <c r="G5331" s="16" t="str">
        <f>IFERROR(__xludf.DUMMYFUNCTION("""COMPUTED_VALUE"""),"")</f>
        <v/>
      </c>
    </row>
    <row r="5332">
      <c r="G5332" s="16" t="str">
        <f>IFERROR(__xludf.DUMMYFUNCTION("""COMPUTED_VALUE"""),"")</f>
        <v/>
      </c>
    </row>
    <row r="5333">
      <c r="G5333" s="16" t="str">
        <f>IFERROR(__xludf.DUMMYFUNCTION("""COMPUTED_VALUE"""),"")</f>
        <v/>
      </c>
    </row>
    <row r="5334">
      <c r="G5334" s="16" t="str">
        <f>IFERROR(__xludf.DUMMYFUNCTION("""COMPUTED_VALUE"""),"")</f>
        <v/>
      </c>
    </row>
    <row r="5335">
      <c r="G5335" s="16" t="str">
        <f>IFERROR(__xludf.DUMMYFUNCTION("""COMPUTED_VALUE"""),"")</f>
        <v/>
      </c>
    </row>
    <row r="5336">
      <c r="G5336" s="16" t="str">
        <f>IFERROR(__xludf.DUMMYFUNCTION("""COMPUTED_VALUE"""),"")</f>
        <v/>
      </c>
    </row>
    <row r="5337">
      <c r="G5337" s="16" t="str">
        <f>IFERROR(__xludf.DUMMYFUNCTION("""COMPUTED_VALUE"""),"")</f>
        <v/>
      </c>
    </row>
    <row r="5338">
      <c r="G5338" s="16" t="str">
        <f>IFERROR(__xludf.DUMMYFUNCTION("""COMPUTED_VALUE"""),"")</f>
        <v/>
      </c>
    </row>
    <row r="5339">
      <c r="G5339" s="16" t="str">
        <f>IFERROR(__xludf.DUMMYFUNCTION("""COMPUTED_VALUE"""),"")</f>
        <v/>
      </c>
    </row>
    <row r="5340">
      <c r="G5340" s="16" t="str">
        <f>IFERROR(__xludf.DUMMYFUNCTION("""COMPUTED_VALUE"""),"")</f>
        <v/>
      </c>
    </row>
    <row r="5341">
      <c r="G5341" s="16" t="str">
        <f>IFERROR(__xludf.DUMMYFUNCTION("""COMPUTED_VALUE"""),"")</f>
        <v/>
      </c>
    </row>
    <row r="5342">
      <c r="G5342" s="16" t="str">
        <f>IFERROR(__xludf.DUMMYFUNCTION("""COMPUTED_VALUE"""),"")</f>
        <v/>
      </c>
    </row>
    <row r="5343">
      <c r="G5343" s="16" t="str">
        <f>IFERROR(__xludf.DUMMYFUNCTION("""COMPUTED_VALUE"""),"")</f>
        <v/>
      </c>
    </row>
    <row r="5344">
      <c r="G5344" s="16" t="str">
        <f>IFERROR(__xludf.DUMMYFUNCTION("""COMPUTED_VALUE"""),"")</f>
        <v/>
      </c>
    </row>
    <row r="5345">
      <c r="G5345" s="16" t="str">
        <f>IFERROR(__xludf.DUMMYFUNCTION("""COMPUTED_VALUE"""),"")</f>
        <v/>
      </c>
    </row>
    <row r="5346">
      <c r="G5346" s="16" t="str">
        <f>IFERROR(__xludf.DUMMYFUNCTION("""COMPUTED_VALUE"""),"")</f>
        <v/>
      </c>
    </row>
    <row r="5347">
      <c r="G5347" s="16" t="str">
        <f>IFERROR(__xludf.DUMMYFUNCTION("""COMPUTED_VALUE"""),"")</f>
        <v/>
      </c>
    </row>
    <row r="5348">
      <c r="G5348" s="16" t="str">
        <f>IFERROR(__xludf.DUMMYFUNCTION("""COMPUTED_VALUE"""),"")</f>
        <v/>
      </c>
    </row>
    <row r="5349">
      <c r="G5349" s="16" t="str">
        <f>IFERROR(__xludf.DUMMYFUNCTION("""COMPUTED_VALUE"""),"")</f>
        <v/>
      </c>
    </row>
    <row r="5350">
      <c r="G5350" s="16" t="str">
        <f>IFERROR(__xludf.DUMMYFUNCTION("""COMPUTED_VALUE"""),"")</f>
        <v/>
      </c>
    </row>
    <row r="5351">
      <c r="G5351" s="16" t="str">
        <f>IFERROR(__xludf.DUMMYFUNCTION("""COMPUTED_VALUE"""),"")</f>
        <v/>
      </c>
    </row>
    <row r="5352">
      <c r="G5352" s="16" t="str">
        <f>IFERROR(__xludf.DUMMYFUNCTION("""COMPUTED_VALUE"""),"")</f>
        <v/>
      </c>
    </row>
    <row r="5353">
      <c r="G5353" s="16" t="str">
        <f>IFERROR(__xludf.DUMMYFUNCTION("""COMPUTED_VALUE"""),"")</f>
        <v/>
      </c>
    </row>
    <row r="5354">
      <c r="G5354" s="16" t="str">
        <f>IFERROR(__xludf.DUMMYFUNCTION("""COMPUTED_VALUE"""),"")</f>
        <v/>
      </c>
    </row>
    <row r="5355">
      <c r="G5355" s="16" t="str">
        <f>IFERROR(__xludf.DUMMYFUNCTION("""COMPUTED_VALUE"""),"")</f>
        <v/>
      </c>
    </row>
    <row r="5356">
      <c r="G5356" s="16" t="str">
        <f>IFERROR(__xludf.DUMMYFUNCTION("""COMPUTED_VALUE"""),"")</f>
        <v/>
      </c>
    </row>
    <row r="5357">
      <c r="G5357" s="16" t="str">
        <f>IFERROR(__xludf.DUMMYFUNCTION("""COMPUTED_VALUE"""),"")</f>
        <v/>
      </c>
    </row>
    <row r="5358">
      <c r="G5358" s="16" t="str">
        <f>IFERROR(__xludf.DUMMYFUNCTION("""COMPUTED_VALUE"""),"")</f>
        <v/>
      </c>
    </row>
    <row r="5359">
      <c r="G5359" s="16" t="str">
        <f>IFERROR(__xludf.DUMMYFUNCTION("""COMPUTED_VALUE"""),"")</f>
        <v/>
      </c>
    </row>
    <row r="5360">
      <c r="G5360" s="16" t="str">
        <f>IFERROR(__xludf.DUMMYFUNCTION("""COMPUTED_VALUE"""),"")</f>
        <v/>
      </c>
    </row>
    <row r="5361">
      <c r="G5361" s="16" t="str">
        <f>IFERROR(__xludf.DUMMYFUNCTION("""COMPUTED_VALUE"""),"")</f>
        <v/>
      </c>
    </row>
    <row r="5362">
      <c r="G5362" s="16" t="str">
        <f>IFERROR(__xludf.DUMMYFUNCTION("""COMPUTED_VALUE"""),"")</f>
        <v/>
      </c>
    </row>
    <row r="5363">
      <c r="G5363" s="16" t="str">
        <f>IFERROR(__xludf.DUMMYFUNCTION("""COMPUTED_VALUE"""),"")</f>
        <v/>
      </c>
    </row>
    <row r="5364">
      <c r="G5364" s="16" t="str">
        <f>IFERROR(__xludf.DUMMYFUNCTION("""COMPUTED_VALUE"""),"")</f>
        <v/>
      </c>
    </row>
    <row r="5365">
      <c r="G5365" s="16" t="str">
        <f>IFERROR(__xludf.DUMMYFUNCTION("""COMPUTED_VALUE"""),"")</f>
        <v/>
      </c>
    </row>
    <row r="5366">
      <c r="G5366" s="16" t="str">
        <f>IFERROR(__xludf.DUMMYFUNCTION("""COMPUTED_VALUE"""),"")</f>
        <v/>
      </c>
    </row>
    <row r="5367">
      <c r="G5367" s="16" t="str">
        <f>IFERROR(__xludf.DUMMYFUNCTION("""COMPUTED_VALUE"""),"")</f>
        <v/>
      </c>
    </row>
    <row r="5368">
      <c r="G5368" s="16" t="str">
        <f>IFERROR(__xludf.DUMMYFUNCTION("""COMPUTED_VALUE"""),"")</f>
        <v/>
      </c>
    </row>
    <row r="5369">
      <c r="G5369" s="16" t="str">
        <f>IFERROR(__xludf.DUMMYFUNCTION("""COMPUTED_VALUE"""),"")</f>
        <v/>
      </c>
    </row>
    <row r="5370">
      <c r="G5370" s="16" t="str">
        <f>IFERROR(__xludf.DUMMYFUNCTION("""COMPUTED_VALUE"""),"")</f>
        <v/>
      </c>
    </row>
    <row r="5371">
      <c r="G5371" s="16" t="str">
        <f>IFERROR(__xludf.DUMMYFUNCTION("""COMPUTED_VALUE"""),"")</f>
        <v/>
      </c>
    </row>
    <row r="5372">
      <c r="G5372" s="16" t="str">
        <f>IFERROR(__xludf.DUMMYFUNCTION("""COMPUTED_VALUE"""),"")</f>
        <v/>
      </c>
    </row>
    <row r="5373">
      <c r="G5373" s="16" t="str">
        <f>IFERROR(__xludf.DUMMYFUNCTION("""COMPUTED_VALUE"""),"")</f>
        <v/>
      </c>
    </row>
    <row r="5374">
      <c r="G5374" s="16" t="str">
        <f>IFERROR(__xludf.DUMMYFUNCTION("""COMPUTED_VALUE"""),"")</f>
        <v/>
      </c>
    </row>
    <row r="5375">
      <c r="G5375" s="16" t="str">
        <f>IFERROR(__xludf.DUMMYFUNCTION("""COMPUTED_VALUE"""),"")</f>
        <v/>
      </c>
    </row>
    <row r="5376">
      <c r="G5376" s="16" t="str">
        <f>IFERROR(__xludf.DUMMYFUNCTION("""COMPUTED_VALUE"""),"")</f>
        <v/>
      </c>
    </row>
    <row r="5377">
      <c r="G5377" s="16" t="str">
        <f>IFERROR(__xludf.DUMMYFUNCTION("""COMPUTED_VALUE"""),"")</f>
        <v/>
      </c>
    </row>
    <row r="5378">
      <c r="G5378" s="16" t="str">
        <f>IFERROR(__xludf.DUMMYFUNCTION("""COMPUTED_VALUE"""),"")</f>
        <v/>
      </c>
    </row>
    <row r="5379">
      <c r="G5379" s="16" t="str">
        <f>IFERROR(__xludf.DUMMYFUNCTION("""COMPUTED_VALUE"""),"")</f>
        <v/>
      </c>
    </row>
    <row r="5380">
      <c r="G5380" s="16" t="str">
        <f>IFERROR(__xludf.DUMMYFUNCTION("""COMPUTED_VALUE"""),"")</f>
        <v/>
      </c>
    </row>
    <row r="5381">
      <c r="G5381" s="16" t="str">
        <f>IFERROR(__xludf.DUMMYFUNCTION("""COMPUTED_VALUE"""),"")</f>
        <v/>
      </c>
    </row>
    <row r="5382">
      <c r="G5382" s="16" t="str">
        <f>IFERROR(__xludf.DUMMYFUNCTION("""COMPUTED_VALUE"""),"")</f>
        <v/>
      </c>
    </row>
    <row r="5383">
      <c r="G5383" s="16" t="str">
        <f>IFERROR(__xludf.DUMMYFUNCTION("""COMPUTED_VALUE"""),"")</f>
        <v/>
      </c>
    </row>
    <row r="5384">
      <c r="G5384" s="16" t="str">
        <f>IFERROR(__xludf.DUMMYFUNCTION("""COMPUTED_VALUE"""),"")</f>
        <v/>
      </c>
    </row>
    <row r="5385">
      <c r="G5385" s="16" t="str">
        <f>IFERROR(__xludf.DUMMYFUNCTION("""COMPUTED_VALUE"""),"")</f>
        <v/>
      </c>
    </row>
    <row r="5386">
      <c r="G5386" s="16" t="str">
        <f>IFERROR(__xludf.DUMMYFUNCTION("""COMPUTED_VALUE"""),"")</f>
        <v/>
      </c>
    </row>
    <row r="5387">
      <c r="G5387" s="16" t="str">
        <f>IFERROR(__xludf.DUMMYFUNCTION("""COMPUTED_VALUE"""),"")</f>
        <v/>
      </c>
    </row>
    <row r="5388">
      <c r="G5388" s="16" t="str">
        <f>IFERROR(__xludf.DUMMYFUNCTION("""COMPUTED_VALUE"""),"")</f>
        <v/>
      </c>
    </row>
    <row r="5389">
      <c r="G5389" s="16" t="str">
        <f>IFERROR(__xludf.DUMMYFUNCTION("""COMPUTED_VALUE"""),"")</f>
        <v/>
      </c>
    </row>
    <row r="5390">
      <c r="G5390" s="16" t="str">
        <f>IFERROR(__xludf.DUMMYFUNCTION("""COMPUTED_VALUE"""),"")</f>
        <v/>
      </c>
    </row>
    <row r="5391">
      <c r="G5391" s="16" t="str">
        <f>IFERROR(__xludf.DUMMYFUNCTION("""COMPUTED_VALUE"""),"")</f>
        <v/>
      </c>
    </row>
    <row r="5392">
      <c r="G5392" s="16" t="str">
        <f>IFERROR(__xludf.DUMMYFUNCTION("""COMPUTED_VALUE"""),"")</f>
        <v/>
      </c>
    </row>
    <row r="5393">
      <c r="G5393" s="16" t="str">
        <f>IFERROR(__xludf.DUMMYFUNCTION("""COMPUTED_VALUE"""),"")</f>
        <v/>
      </c>
    </row>
    <row r="5394">
      <c r="G5394" s="16" t="str">
        <f>IFERROR(__xludf.DUMMYFUNCTION("""COMPUTED_VALUE"""),"")</f>
        <v/>
      </c>
    </row>
    <row r="5395">
      <c r="G5395" s="16" t="str">
        <f>IFERROR(__xludf.DUMMYFUNCTION("""COMPUTED_VALUE"""),"")</f>
        <v/>
      </c>
    </row>
    <row r="5396">
      <c r="G5396" s="16" t="str">
        <f>IFERROR(__xludf.DUMMYFUNCTION("""COMPUTED_VALUE"""),"")</f>
        <v/>
      </c>
    </row>
    <row r="5397">
      <c r="G5397" s="16" t="str">
        <f>IFERROR(__xludf.DUMMYFUNCTION("""COMPUTED_VALUE"""),"")</f>
        <v/>
      </c>
    </row>
    <row r="5398">
      <c r="G5398" s="16" t="str">
        <f>IFERROR(__xludf.DUMMYFUNCTION("""COMPUTED_VALUE"""),"")</f>
        <v/>
      </c>
    </row>
    <row r="5399">
      <c r="G5399" s="16" t="str">
        <f>IFERROR(__xludf.DUMMYFUNCTION("""COMPUTED_VALUE"""),"")</f>
        <v/>
      </c>
    </row>
    <row r="5400">
      <c r="G5400" s="16" t="str">
        <f>IFERROR(__xludf.DUMMYFUNCTION("""COMPUTED_VALUE"""),"")</f>
        <v/>
      </c>
    </row>
    <row r="5401">
      <c r="G5401" s="16" t="str">
        <f>IFERROR(__xludf.DUMMYFUNCTION("""COMPUTED_VALUE"""),"")</f>
        <v/>
      </c>
    </row>
    <row r="5402">
      <c r="G5402" s="16" t="str">
        <f>IFERROR(__xludf.DUMMYFUNCTION("""COMPUTED_VALUE"""),"")</f>
        <v/>
      </c>
    </row>
    <row r="5403">
      <c r="G5403" s="16" t="str">
        <f>IFERROR(__xludf.DUMMYFUNCTION("""COMPUTED_VALUE"""),"")</f>
        <v/>
      </c>
    </row>
    <row r="5404">
      <c r="G5404" s="16" t="str">
        <f>IFERROR(__xludf.DUMMYFUNCTION("""COMPUTED_VALUE"""),"")</f>
        <v/>
      </c>
    </row>
    <row r="5405">
      <c r="G5405" s="16" t="str">
        <f>IFERROR(__xludf.DUMMYFUNCTION("""COMPUTED_VALUE"""),"")</f>
        <v/>
      </c>
    </row>
    <row r="5406">
      <c r="G5406" s="16" t="str">
        <f>IFERROR(__xludf.DUMMYFUNCTION("""COMPUTED_VALUE"""),"")</f>
        <v/>
      </c>
    </row>
    <row r="5407">
      <c r="G5407" s="16" t="str">
        <f>IFERROR(__xludf.DUMMYFUNCTION("""COMPUTED_VALUE"""),"")</f>
        <v/>
      </c>
    </row>
    <row r="5408">
      <c r="G5408" s="16" t="str">
        <f>IFERROR(__xludf.DUMMYFUNCTION("""COMPUTED_VALUE"""),"")</f>
        <v/>
      </c>
    </row>
    <row r="5409">
      <c r="G5409" s="16" t="str">
        <f>IFERROR(__xludf.DUMMYFUNCTION("""COMPUTED_VALUE"""),"")</f>
        <v/>
      </c>
    </row>
    <row r="5410">
      <c r="G5410" s="16" t="str">
        <f>IFERROR(__xludf.DUMMYFUNCTION("""COMPUTED_VALUE"""),"")</f>
        <v/>
      </c>
    </row>
    <row r="5411">
      <c r="G5411" s="16" t="str">
        <f>IFERROR(__xludf.DUMMYFUNCTION("""COMPUTED_VALUE"""),"")</f>
        <v/>
      </c>
    </row>
    <row r="5412">
      <c r="G5412" s="16" t="str">
        <f>IFERROR(__xludf.DUMMYFUNCTION("""COMPUTED_VALUE"""),"")</f>
        <v/>
      </c>
    </row>
    <row r="5413">
      <c r="G5413" s="16" t="str">
        <f>IFERROR(__xludf.DUMMYFUNCTION("""COMPUTED_VALUE"""),"")</f>
        <v/>
      </c>
    </row>
    <row r="5414">
      <c r="G5414" s="16" t="str">
        <f>IFERROR(__xludf.DUMMYFUNCTION("""COMPUTED_VALUE"""),"")</f>
        <v/>
      </c>
    </row>
    <row r="5415">
      <c r="G5415" s="16" t="str">
        <f>IFERROR(__xludf.DUMMYFUNCTION("""COMPUTED_VALUE"""),"")</f>
        <v/>
      </c>
    </row>
    <row r="5416">
      <c r="G5416" s="16" t="str">
        <f>IFERROR(__xludf.DUMMYFUNCTION("""COMPUTED_VALUE"""),"")</f>
        <v/>
      </c>
    </row>
    <row r="5417">
      <c r="G5417" s="16" t="str">
        <f>IFERROR(__xludf.DUMMYFUNCTION("""COMPUTED_VALUE"""),"")</f>
        <v/>
      </c>
    </row>
    <row r="5418">
      <c r="G5418" s="16" t="str">
        <f>IFERROR(__xludf.DUMMYFUNCTION("""COMPUTED_VALUE"""),"")</f>
        <v/>
      </c>
    </row>
    <row r="5419">
      <c r="G5419" s="16" t="str">
        <f>IFERROR(__xludf.DUMMYFUNCTION("""COMPUTED_VALUE"""),"")</f>
        <v/>
      </c>
    </row>
    <row r="5420">
      <c r="G5420" s="16" t="str">
        <f>IFERROR(__xludf.DUMMYFUNCTION("""COMPUTED_VALUE"""),"")</f>
        <v/>
      </c>
    </row>
    <row r="5421">
      <c r="G5421" s="16" t="str">
        <f>IFERROR(__xludf.DUMMYFUNCTION("""COMPUTED_VALUE"""),"")</f>
        <v/>
      </c>
    </row>
    <row r="5422">
      <c r="G5422" s="16" t="str">
        <f>IFERROR(__xludf.DUMMYFUNCTION("""COMPUTED_VALUE"""),"")</f>
        <v/>
      </c>
    </row>
    <row r="5423">
      <c r="G5423" s="16" t="str">
        <f>IFERROR(__xludf.DUMMYFUNCTION("""COMPUTED_VALUE"""),"")</f>
        <v/>
      </c>
    </row>
    <row r="5424">
      <c r="G5424" s="16" t="str">
        <f>IFERROR(__xludf.DUMMYFUNCTION("""COMPUTED_VALUE"""),"")</f>
        <v/>
      </c>
    </row>
    <row r="5425">
      <c r="G5425" s="16" t="str">
        <f>IFERROR(__xludf.DUMMYFUNCTION("""COMPUTED_VALUE"""),"")</f>
        <v/>
      </c>
    </row>
    <row r="5426">
      <c r="G5426" s="16" t="str">
        <f>IFERROR(__xludf.DUMMYFUNCTION("""COMPUTED_VALUE"""),"")</f>
        <v/>
      </c>
    </row>
    <row r="5427">
      <c r="G5427" s="16" t="str">
        <f>IFERROR(__xludf.DUMMYFUNCTION("""COMPUTED_VALUE"""),"")</f>
        <v/>
      </c>
    </row>
    <row r="5428">
      <c r="G5428" s="16" t="str">
        <f>IFERROR(__xludf.DUMMYFUNCTION("""COMPUTED_VALUE"""),"")</f>
        <v/>
      </c>
    </row>
    <row r="5429">
      <c r="G5429" s="16" t="str">
        <f>IFERROR(__xludf.DUMMYFUNCTION("""COMPUTED_VALUE"""),"")</f>
        <v/>
      </c>
    </row>
    <row r="5430">
      <c r="G5430" s="16" t="str">
        <f>IFERROR(__xludf.DUMMYFUNCTION("""COMPUTED_VALUE"""),"")</f>
        <v/>
      </c>
    </row>
    <row r="5431">
      <c r="G5431" s="16" t="str">
        <f>IFERROR(__xludf.DUMMYFUNCTION("""COMPUTED_VALUE"""),"")</f>
        <v/>
      </c>
    </row>
    <row r="5432">
      <c r="G5432" s="16" t="str">
        <f>IFERROR(__xludf.DUMMYFUNCTION("""COMPUTED_VALUE"""),"")</f>
        <v/>
      </c>
    </row>
    <row r="5433">
      <c r="G5433" s="16" t="str">
        <f>IFERROR(__xludf.DUMMYFUNCTION("""COMPUTED_VALUE"""),"")</f>
        <v/>
      </c>
    </row>
    <row r="5434">
      <c r="G5434" s="16" t="str">
        <f>IFERROR(__xludf.DUMMYFUNCTION("""COMPUTED_VALUE"""),"")</f>
        <v/>
      </c>
    </row>
    <row r="5435">
      <c r="G5435" s="16" t="str">
        <f>IFERROR(__xludf.DUMMYFUNCTION("""COMPUTED_VALUE"""),"")</f>
        <v/>
      </c>
    </row>
    <row r="5436">
      <c r="G5436" s="16" t="str">
        <f>IFERROR(__xludf.DUMMYFUNCTION("""COMPUTED_VALUE"""),"")</f>
        <v/>
      </c>
    </row>
    <row r="5437">
      <c r="G5437" s="16" t="str">
        <f>IFERROR(__xludf.DUMMYFUNCTION("""COMPUTED_VALUE"""),"")</f>
        <v/>
      </c>
    </row>
    <row r="5438">
      <c r="G5438" s="16" t="str">
        <f>IFERROR(__xludf.DUMMYFUNCTION("""COMPUTED_VALUE"""),"")</f>
        <v/>
      </c>
    </row>
    <row r="5439">
      <c r="G5439" s="16" t="str">
        <f>IFERROR(__xludf.DUMMYFUNCTION("""COMPUTED_VALUE"""),"")</f>
        <v/>
      </c>
    </row>
    <row r="5440">
      <c r="G5440" s="16" t="str">
        <f>IFERROR(__xludf.DUMMYFUNCTION("""COMPUTED_VALUE"""),"")</f>
        <v/>
      </c>
    </row>
    <row r="5441">
      <c r="G5441" s="16" t="str">
        <f>IFERROR(__xludf.DUMMYFUNCTION("""COMPUTED_VALUE"""),"")</f>
        <v/>
      </c>
    </row>
    <row r="5442">
      <c r="G5442" s="16" t="str">
        <f>IFERROR(__xludf.DUMMYFUNCTION("""COMPUTED_VALUE"""),"")</f>
        <v/>
      </c>
    </row>
    <row r="5443">
      <c r="G5443" s="16" t="str">
        <f>IFERROR(__xludf.DUMMYFUNCTION("""COMPUTED_VALUE"""),"")</f>
        <v/>
      </c>
    </row>
    <row r="5444">
      <c r="G5444" s="16" t="str">
        <f>IFERROR(__xludf.DUMMYFUNCTION("""COMPUTED_VALUE"""),"")</f>
        <v/>
      </c>
    </row>
    <row r="5445">
      <c r="G5445" s="16" t="str">
        <f>IFERROR(__xludf.DUMMYFUNCTION("""COMPUTED_VALUE"""),"")</f>
        <v/>
      </c>
    </row>
    <row r="5446">
      <c r="G5446" s="16" t="str">
        <f>IFERROR(__xludf.DUMMYFUNCTION("""COMPUTED_VALUE"""),"")</f>
        <v/>
      </c>
    </row>
    <row r="5447">
      <c r="G5447" s="16" t="str">
        <f>IFERROR(__xludf.DUMMYFUNCTION("""COMPUTED_VALUE"""),"")</f>
        <v/>
      </c>
    </row>
    <row r="5448">
      <c r="G5448" s="16" t="str">
        <f>IFERROR(__xludf.DUMMYFUNCTION("""COMPUTED_VALUE"""),"")</f>
        <v/>
      </c>
    </row>
    <row r="5449">
      <c r="G5449" s="16" t="str">
        <f>IFERROR(__xludf.DUMMYFUNCTION("""COMPUTED_VALUE"""),"")</f>
        <v/>
      </c>
    </row>
    <row r="5450">
      <c r="G5450" s="16" t="str">
        <f>IFERROR(__xludf.DUMMYFUNCTION("""COMPUTED_VALUE"""),"")</f>
        <v/>
      </c>
    </row>
    <row r="5451">
      <c r="G5451" s="16" t="str">
        <f>IFERROR(__xludf.DUMMYFUNCTION("""COMPUTED_VALUE"""),"")</f>
        <v/>
      </c>
    </row>
    <row r="5452">
      <c r="G5452" s="16" t="str">
        <f>IFERROR(__xludf.DUMMYFUNCTION("""COMPUTED_VALUE"""),"")</f>
        <v/>
      </c>
    </row>
    <row r="5453">
      <c r="G5453" s="16" t="str">
        <f>IFERROR(__xludf.DUMMYFUNCTION("""COMPUTED_VALUE"""),"")</f>
        <v/>
      </c>
    </row>
    <row r="5454">
      <c r="G5454" s="16" t="str">
        <f>IFERROR(__xludf.DUMMYFUNCTION("""COMPUTED_VALUE"""),"")</f>
        <v/>
      </c>
    </row>
    <row r="5455">
      <c r="G5455" s="16" t="str">
        <f>IFERROR(__xludf.DUMMYFUNCTION("""COMPUTED_VALUE"""),"")</f>
        <v/>
      </c>
    </row>
    <row r="5456">
      <c r="G5456" s="16" t="str">
        <f>IFERROR(__xludf.DUMMYFUNCTION("""COMPUTED_VALUE"""),"")</f>
        <v/>
      </c>
    </row>
    <row r="5457">
      <c r="G5457" s="16" t="str">
        <f>IFERROR(__xludf.DUMMYFUNCTION("""COMPUTED_VALUE"""),"")</f>
        <v/>
      </c>
    </row>
    <row r="5458">
      <c r="G5458" s="16" t="str">
        <f>IFERROR(__xludf.DUMMYFUNCTION("""COMPUTED_VALUE"""),"")</f>
        <v/>
      </c>
    </row>
    <row r="5459">
      <c r="G5459" s="16" t="str">
        <f>IFERROR(__xludf.DUMMYFUNCTION("""COMPUTED_VALUE"""),"")</f>
        <v/>
      </c>
    </row>
    <row r="5460">
      <c r="G5460" s="16" t="str">
        <f>IFERROR(__xludf.DUMMYFUNCTION("""COMPUTED_VALUE"""),"")</f>
        <v/>
      </c>
    </row>
    <row r="5461">
      <c r="G5461" s="16" t="str">
        <f>IFERROR(__xludf.DUMMYFUNCTION("""COMPUTED_VALUE"""),"")</f>
        <v/>
      </c>
    </row>
    <row r="5462">
      <c r="G5462" s="16" t="str">
        <f>IFERROR(__xludf.DUMMYFUNCTION("""COMPUTED_VALUE"""),"")</f>
        <v/>
      </c>
    </row>
    <row r="5463">
      <c r="G5463" s="16" t="str">
        <f>IFERROR(__xludf.DUMMYFUNCTION("""COMPUTED_VALUE"""),"")</f>
        <v/>
      </c>
    </row>
    <row r="5464">
      <c r="G5464" s="16" t="str">
        <f>IFERROR(__xludf.DUMMYFUNCTION("""COMPUTED_VALUE"""),"")</f>
        <v/>
      </c>
    </row>
    <row r="5465">
      <c r="G5465" s="16" t="str">
        <f>IFERROR(__xludf.DUMMYFUNCTION("""COMPUTED_VALUE"""),"")</f>
        <v/>
      </c>
    </row>
    <row r="5466">
      <c r="G5466" s="16" t="str">
        <f>IFERROR(__xludf.DUMMYFUNCTION("""COMPUTED_VALUE"""),"")</f>
        <v/>
      </c>
    </row>
    <row r="5467">
      <c r="G5467" s="16" t="str">
        <f>IFERROR(__xludf.DUMMYFUNCTION("""COMPUTED_VALUE"""),"")</f>
        <v/>
      </c>
    </row>
    <row r="5468">
      <c r="G5468" s="16" t="str">
        <f>IFERROR(__xludf.DUMMYFUNCTION("""COMPUTED_VALUE"""),"")</f>
        <v/>
      </c>
    </row>
    <row r="5469">
      <c r="G5469" s="16" t="str">
        <f>IFERROR(__xludf.DUMMYFUNCTION("""COMPUTED_VALUE"""),"")</f>
        <v/>
      </c>
    </row>
    <row r="5470">
      <c r="G5470" s="16" t="str">
        <f>IFERROR(__xludf.DUMMYFUNCTION("""COMPUTED_VALUE"""),"")</f>
        <v/>
      </c>
    </row>
    <row r="5471">
      <c r="G5471" s="16" t="str">
        <f>IFERROR(__xludf.DUMMYFUNCTION("""COMPUTED_VALUE"""),"")</f>
        <v/>
      </c>
    </row>
    <row r="5472">
      <c r="G5472" s="16" t="str">
        <f>IFERROR(__xludf.DUMMYFUNCTION("""COMPUTED_VALUE"""),"")</f>
        <v/>
      </c>
    </row>
    <row r="5473">
      <c r="G5473" s="16" t="str">
        <f>IFERROR(__xludf.DUMMYFUNCTION("""COMPUTED_VALUE"""),"")</f>
        <v/>
      </c>
    </row>
    <row r="5474">
      <c r="G5474" s="16" t="str">
        <f>IFERROR(__xludf.DUMMYFUNCTION("""COMPUTED_VALUE"""),"")</f>
        <v/>
      </c>
    </row>
    <row r="5475">
      <c r="G5475" s="16" t="str">
        <f>IFERROR(__xludf.DUMMYFUNCTION("""COMPUTED_VALUE"""),"")</f>
        <v/>
      </c>
    </row>
    <row r="5476">
      <c r="G5476" s="16" t="str">
        <f>IFERROR(__xludf.DUMMYFUNCTION("""COMPUTED_VALUE"""),"")</f>
        <v/>
      </c>
    </row>
    <row r="5477">
      <c r="G5477" s="16" t="str">
        <f>IFERROR(__xludf.DUMMYFUNCTION("""COMPUTED_VALUE"""),"")</f>
        <v/>
      </c>
    </row>
    <row r="5478">
      <c r="G5478" s="16" t="str">
        <f>IFERROR(__xludf.DUMMYFUNCTION("""COMPUTED_VALUE"""),"")</f>
        <v/>
      </c>
    </row>
    <row r="5479">
      <c r="G5479" s="16" t="str">
        <f>IFERROR(__xludf.DUMMYFUNCTION("""COMPUTED_VALUE"""),"")</f>
        <v/>
      </c>
    </row>
    <row r="5480">
      <c r="G5480" s="16" t="str">
        <f>IFERROR(__xludf.DUMMYFUNCTION("""COMPUTED_VALUE"""),"")</f>
        <v/>
      </c>
    </row>
    <row r="5481">
      <c r="G5481" s="16" t="str">
        <f>IFERROR(__xludf.DUMMYFUNCTION("""COMPUTED_VALUE"""),"")</f>
        <v/>
      </c>
    </row>
    <row r="5482">
      <c r="G5482" s="16" t="str">
        <f>IFERROR(__xludf.DUMMYFUNCTION("""COMPUTED_VALUE"""),"")</f>
        <v/>
      </c>
    </row>
    <row r="5483">
      <c r="G5483" s="16" t="str">
        <f>IFERROR(__xludf.DUMMYFUNCTION("""COMPUTED_VALUE"""),"")</f>
        <v/>
      </c>
    </row>
    <row r="5484">
      <c r="G5484" s="16" t="str">
        <f>IFERROR(__xludf.DUMMYFUNCTION("""COMPUTED_VALUE"""),"")</f>
        <v/>
      </c>
    </row>
    <row r="5485">
      <c r="G5485" s="16" t="str">
        <f>IFERROR(__xludf.DUMMYFUNCTION("""COMPUTED_VALUE"""),"")</f>
        <v/>
      </c>
    </row>
    <row r="5486">
      <c r="G5486" s="16" t="str">
        <f>IFERROR(__xludf.DUMMYFUNCTION("""COMPUTED_VALUE"""),"")</f>
        <v/>
      </c>
    </row>
    <row r="5487">
      <c r="G5487" s="16" t="str">
        <f>IFERROR(__xludf.DUMMYFUNCTION("""COMPUTED_VALUE"""),"")</f>
        <v/>
      </c>
    </row>
    <row r="5488">
      <c r="G5488" s="16" t="str">
        <f>IFERROR(__xludf.DUMMYFUNCTION("""COMPUTED_VALUE"""),"")</f>
        <v/>
      </c>
    </row>
    <row r="5489">
      <c r="G5489" s="16" t="str">
        <f>IFERROR(__xludf.DUMMYFUNCTION("""COMPUTED_VALUE"""),"")</f>
        <v/>
      </c>
    </row>
    <row r="5490">
      <c r="G5490" s="16" t="str">
        <f>IFERROR(__xludf.DUMMYFUNCTION("""COMPUTED_VALUE"""),"")</f>
        <v/>
      </c>
    </row>
    <row r="5491">
      <c r="G5491" s="16" t="str">
        <f>IFERROR(__xludf.DUMMYFUNCTION("""COMPUTED_VALUE"""),"")</f>
        <v/>
      </c>
    </row>
    <row r="5492">
      <c r="G5492" s="16" t="str">
        <f>IFERROR(__xludf.DUMMYFUNCTION("""COMPUTED_VALUE"""),"")</f>
        <v/>
      </c>
    </row>
    <row r="5493">
      <c r="G5493" s="16" t="str">
        <f>IFERROR(__xludf.DUMMYFUNCTION("""COMPUTED_VALUE"""),"")</f>
        <v/>
      </c>
    </row>
    <row r="5494">
      <c r="G5494" s="16" t="str">
        <f>IFERROR(__xludf.DUMMYFUNCTION("""COMPUTED_VALUE"""),"")</f>
        <v/>
      </c>
    </row>
    <row r="5495">
      <c r="G5495" s="16" t="str">
        <f>IFERROR(__xludf.DUMMYFUNCTION("""COMPUTED_VALUE"""),"")</f>
        <v/>
      </c>
    </row>
    <row r="5496">
      <c r="G5496" s="16" t="str">
        <f>IFERROR(__xludf.DUMMYFUNCTION("""COMPUTED_VALUE"""),"")</f>
        <v/>
      </c>
    </row>
    <row r="5497">
      <c r="G5497" s="16" t="str">
        <f>IFERROR(__xludf.DUMMYFUNCTION("""COMPUTED_VALUE"""),"")</f>
        <v/>
      </c>
    </row>
    <row r="5498">
      <c r="G5498" s="16" t="str">
        <f>IFERROR(__xludf.DUMMYFUNCTION("""COMPUTED_VALUE"""),"")</f>
        <v/>
      </c>
    </row>
    <row r="5499">
      <c r="G5499" s="16" t="str">
        <f>IFERROR(__xludf.DUMMYFUNCTION("""COMPUTED_VALUE"""),"")</f>
        <v/>
      </c>
    </row>
    <row r="5500">
      <c r="G5500" s="16" t="str">
        <f>IFERROR(__xludf.DUMMYFUNCTION("""COMPUTED_VALUE"""),"")</f>
        <v/>
      </c>
    </row>
    <row r="5501">
      <c r="G5501" s="16" t="str">
        <f>IFERROR(__xludf.DUMMYFUNCTION("""COMPUTED_VALUE"""),"")</f>
        <v/>
      </c>
    </row>
    <row r="5502">
      <c r="G5502" s="16" t="str">
        <f>IFERROR(__xludf.DUMMYFUNCTION("""COMPUTED_VALUE"""),"")</f>
        <v/>
      </c>
    </row>
    <row r="5503">
      <c r="G5503" s="16" t="str">
        <f>IFERROR(__xludf.DUMMYFUNCTION("""COMPUTED_VALUE"""),"")</f>
        <v/>
      </c>
    </row>
    <row r="5504">
      <c r="G5504" s="16" t="str">
        <f>IFERROR(__xludf.DUMMYFUNCTION("""COMPUTED_VALUE"""),"")</f>
        <v/>
      </c>
    </row>
    <row r="5505">
      <c r="G5505" s="16" t="str">
        <f>IFERROR(__xludf.DUMMYFUNCTION("""COMPUTED_VALUE"""),"")</f>
        <v/>
      </c>
    </row>
    <row r="5506">
      <c r="G5506" s="16" t="str">
        <f>IFERROR(__xludf.DUMMYFUNCTION("""COMPUTED_VALUE"""),"")</f>
        <v/>
      </c>
    </row>
    <row r="5507">
      <c r="G5507" s="16" t="str">
        <f>IFERROR(__xludf.DUMMYFUNCTION("""COMPUTED_VALUE"""),"")</f>
        <v/>
      </c>
    </row>
    <row r="5508">
      <c r="G5508" s="16" t="str">
        <f>IFERROR(__xludf.DUMMYFUNCTION("""COMPUTED_VALUE"""),"")</f>
        <v/>
      </c>
    </row>
    <row r="5509">
      <c r="G5509" s="16" t="str">
        <f>IFERROR(__xludf.DUMMYFUNCTION("""COMPUTED_VALUE"""),"")</f>
        <v/>
      </c>
    </row>
    <row r="5510">
      <c r="G5510" s="16" t="str">
        <f>IFERROR(__xludf.DUMMYFUNCTION("""COMPUTED_VALUE"""),"")</f>
        <v/>
      </c>
    </row>
    <row r="5511">
      <c r="G5511" s="16" t="str">
        <f>IFERROR(__xludf.DUMMYFUNCTION("""COMPUTED_VALUE"""),"")</f>
        <v/>
      </c>
    </row>
    <row r="5512">
      <c r="G5512" s="16" t="str">
        <f>IFERROR(__xludf.DUMMYFUNCTION("""COMPUTED_VALUE"""),"")</f>
        <v/>
      </c>
    </row>
    <row r="5513">
      <c r="G5513" s="16" t="str">
        <f>IFERROR(__xludf.DUMMYFUNCTION("""COMPUTED_VALUE"""),"")</f>
        <v/>
      </c>
    </row>
    <row r="5514">
      <c r="G5514" s="16" t="str">
        <f>IFERROR(__xludf.DUMMYFUNCTION("""COMPUTED_VALUE"""),"")</f>
        <v/>
      </c>
    </row>
    <row r="5515">
      <c r="G5515" s="16" t="str">
        <f>IFERROR(__xludf.DUMMYFUNCTION("""COMPUTED_VALUE"""),"")</f>
        <v/>
      </c>
    </row>
    <row r="5516">
      <c r="G5516" s="16" t="str">
        <f>IFERROR(__xludf.DUMMYFUNCTION("""COMPUTED_VALUE"""),"")</f>
        <v/>
      </c>
    </row>
    <row r="5517">
      <c r="G5517" s="16" t="str">
        <f>IFERROR(__xludf.DUMMYFUNCTION("""COMPUTED_VALUE"""),"")</f>
        <v/>
      </c>
    </row>
    <row r="5518">
      <c r="G5518" s="16" t="str">
        <f>IFERROR(__xludf.DUMMYFUNCTION("""COMPUTED_VALUE"""),"")</f>
        <v/>
      </c>
    </row>
    <row r="5519">
      <c r="G5519" s="16" t="str">
        <f>IFERROR(__xludf.DUMMYFUNCTION("""COMPUTED_VALUE"""),"")</f>
        <v/>
      </c>
    </row>
    <row r="5520">
      <c r="G5520" s="16" t="str">
        <f>IFERROR(__xludf.DUMMYFUNCTION("""COMPUTED_VALUE"""),"")</f>
        <v/>
      </c>
    </row>
    <row r="5521">
      <c r="G5521" s="16" t="str">
        <f>IFERROR(__xludf.DUMMYFUNCTION("""COMPUTED_VALUE"""),"")</f>
        <v/>
      </c>
    </row>
    <row r="5522">
      <c r="G5522" s="16" t="str">
        <f>IFERROR(__xludf.DUMMYFUNCTION("""COMPUTED_VALUE"""),"")</f>
        <v/>
      </c>
    </row>
    <row r="5523">
      <c r="G5523" s="16" t="str">
        <f>IFERROR(__xludf.DUMMYFUNCTION("""COMPUTED_VALUE"""),"")</f>
        <v/>
      </c>
    </row>
    <row r="5524">
      <c r="G5524" s="16" t="str">
        <f>IFERROR(__xludf.DUMMYFUNCTION("""COMPUTED_VALUE"""),"")</f>
        <v/>
      </c>
    </row>
    <row r="5525">
      <c r="G5525" s="16" t="str">
        <f>IFERROR(__xludf.DUMMYFUNCTION("""COMPUTED_VALUE"""),"")</f>
        <v/>
      </c>
    </row>
    <row r="5526">
      <c r="G5526" s="16" t="str">
        <f>IFERROR(__xludf.DUMMYFUNCTION("""COMPUTED_VALUE"""),"")</f>
        <v/>
      </c>
    </row>
    <row r="5527">
      <c r="G5527" s="16" t="str">
        <f>IFERROR(__xludf.DUMMYFUNCTION("""COMPUTED_VALUE"""),"")</f>
        <v/>
      </c>
    </row>
    <row r="5528">
      <c r="G5528" s="16" t="str">
        <f>IFERROR(__xludf.DUMMYFUNCTION("""COMPUTED_VALUE"""),"")</f>
        <v/>
      </c>
    </row>
    <row r="5529">
      <c r="G5529" s="16" t="str">
        <f>IFERROR(__xludf.DUMMYFUNCTION("""COMPUTED_VALUE"""),"")</f>
        <v/>
      </c>
    </row>
    <row r="5530">
      <c r="G5530" s="16" t="str">
        <f>IFERROR(__xludf.DUMMYFUNCTION("""COMPUTED_VALUE"""),"")</f>
        <v/>
      </c>
    </row>
    <row r="5531">
      <c r="G5531" s="16" t="str">
        <f>IFERROR(__xludf.DUMMYFUNCTION("""COMPUTED_VALUE"""),"")</f>
        <v/>
      </c>
    </row>
    <row r="5532">
      <c r="G5532" s="16" t="str">
        <f>IFERROR(__xludf.DUMMYFUNCTION("""COMPUTED_VALUE"""),"")</f>
        <v/>
      </c>
    </row>
    <row r="5533">
      <c r="G5533" s="16" t="str">
        <f>IFERROR(__xludf.DUMMYFUNCTION("""COMPUTED_VALUE"""),"")</f>
        <v/>
      </c>
    </row>
    <row r="5534">
      <c r="G5534" s="16" t="str">
        <f>IFERROR(__xludf.DUMMYFUNCTION("""COMPUTED_VALUE"""),"")</f>
        <v/>
      </c>
    </row>
    <row r="5535">
      <c r="G5535" s="16" t="str">
        <f>IFERROR(__xludf.DUMMYFUNCTION("""COMPUTED_VALUE"""),"")</f>
        <v/>
      </c>
    </row>
    <row r="5536">
      <c r="G5536" s="16" t="str">
        <f>IFERROR(__xludf.DUMMYFUNCTION("""COMPUTED_VALUE"""),"")</f>
        <v/>
      </c>
    </row>
    <row r="5537">
      <c r="G5537" s="16" t="str">
        <f>IFERROR(__xludf.DUMMYFUNCTION("""COMPUTED_VALUE"""),"")</f>
        <v/>
      </c>
    </row>
    <row r="5538">
      <c r="G5538" s="16" t="str">
        <f>IFERROR(__xludf.DUMMYFUNCTION("""COMPUTED_VALUE"""),"")</f>
        <v/>
      </c>
    </row>
    <row r="5539">
      <c r="G5539" s="16" t="str">
        <f>IFERROR(__xludf.DUMMYFUNCTION("""COMPUTED_VALUE"""),"")</f>
        <v/>
      </c>
    </row>
    <row r="5540">
      <c r="G5540" s="16" t="str">
        <f>IFERROR(__xludf.DUMMYFUNCTION("""COMPUTED_VALUE"""),"")</f>
        <v/>
      </c>
    </row>
    <row r="5541">
      <c r="G5541" s="16" t="str">
        <f>IFERROR(__xludf.DUMMYFUNCTION("""COMPUTED_VALUE"""),"")</f>
        <v/>
      </c>
    </row>
    <row r="5542">
      <c r="G5542" s="16" t="str">
        <f>IFERROR(__xludf.DUMMYFUNCTION("""COMPUTED_VALUE"""),"")</f>
        <v/>
      </c>
    </row>
    <row r="5543">
      <c r="G5543" s="16" t="str">
        <f>IFERROR(__xludf.DUMMYFUNCTION("""COMPUTED_VALUE"""),"")</f>
        <v/>
      </c>
    </row>
    <row r="5544">
      <c r="G5544" s="16" t="str">
        <f>IFERROR(__xludf.DUMMYFUNCTION("""COMPUTED_VALUE"""),"")</f>
        <v/>
      </c>
    </row>
    <row r="5545">
      <c r="G5545" s="16" t="str">
        <f>IFERROR(__xludf.DUMMYFUNCTION("""COMPUTED_VALUE"""),"")</f>
        <v/>
      </c>
    </row>
    <row r="5546">
      <c r="G5546" s="16" t="str">
        <f>IFERROR(__xludf.DUMMYFUNCTION("""COMPUTED_VALUE"""),"")</f>
        <v/>
      </c>
    </row>
    <row r="5547">
      <c r="G5547" s="16" t="str">
        <f>IFERROR(__xludf.DUMMYFUNCTION("""COMPUTED_VALUE"""),"")</f>
        <v/>
      </c>
    </row>
    <row r="5548">
      <c r="G5548" s="16" t="str">
        <f>IFERROR(__xludf.DUMMYFUNCTION("""COMPUTED_VALUE"""),"")</f>
        <v/>
      </c>
    </row>
    <row r="5549">
      <c r="G5549" s="16" t="str">
        <f>IFERROR(__xludf.DUMMYFUNCTION("""COMPUTED_VALUE"""),"")</f>
        <v/>
      </c>
    </row>
    <row r="5550">
      <c r="G5550" s="16" t="str">
        <f>IFERROR(__xludf.DUMMYFUNCTION("""COMPUTED_VALUE"""),"")</f>
        <v/>
      </c>
    </row>
    <row r="5551">
      <c r="G5551" s="16" t="str">
        <f>IFERROR(__xludf.DUMMYFUNCTION("""COMPUTED_VALUE"""),"")</f>
        <v/>
      </c>
    </row>
    <row r="5552">
      <c r="G5552" s="16" t="str">
        <f>IFERROR(__xludf.DUMMYFUNCTION("""COMPUTED_VALUE"""),"")</f>
        <v/>
      </c>
    </row>
    <row r="5553">
      <c r="G5553" s="16" t="str">
        <f>IFERROR(__xludf.DUMMYFUNCTION("""COMPUTED_VALUE"""),"")</f>
        <v/>
      </c>
    </row>
    <row r="5554">
      <c r="G5554" s="16" t="str">
        <f>IFERROR(__xludf.DUMMYFUNCTION("""COMPUTED_VALUE"""),"")</f>
        <v/>
      </c>
    </row>
    <row r="5555">
      <c r="G5555" s="16" t="str">
        <f>IFERROR(__xludf.DUMMYFUNCTION("""COMPUTED_VALUE"""),"")</f>
        <v/>
      </c>
    </row>
    <row r="5556">
      <c r="G5556" s="16" t="str">
        <f>IFERROR(__xludf.DUMMYFUNCTION("""COMPUTED_VALUE"""),"")</f>
        <v/>
      </c>
    </row>
    <row r="5557">
      <c r="G5557" s="16" t="str">
        <f>IFERROR(__xludf.DUMMYFUNCTION("""COMPUTED_VALUE"""),"")</f>
        <v/>
      </c>
    </row>
    <row r="5558">
      <c r="G5558" s="16" t="str">
        <f>IFERROR(__xludf.DUMMYFUNCTION("""COMPUTED_VALUE"""),"")</f>
        <v/>
      </c>
    </row>
    <row r="5559">
      <c r="G5559" s="16" t="str">
        <f>IFERROR(__xludf.DUMMYFUNCTION("""COMPUTED_VALUE"""),"")</f>
        <v/>
      </c>
    </row>
    <row r="5560">
      <c r="G5560" s="16" t="str">
        <f>IFERROR(__xludf.DUMMYFUNCTION("""COMPUTED_VALUE"""),"")</f>
        <v/>
      </c>
    </row>
    <row r="5561">
      <c r="G5561" s="16" t="str">
        <f>IFERROR(__xludf.DUMMYFUNCTION("""COMPUTED_VALUE"""),"")</f>
        <v/>
      </c>
    </row>
    <row r="5562">
      <c r="G5562" s="16" t="str">
        <f>IFERROR(__xludf.DUMMYFUNCTION("""COMPUTED_VALUE"""),"")</f>
        <v/>
      </c>
    </row>
    <row r="5563">
      <c r="G5563" s="16" t="str">
        <f>IFERROR(__xludf.DUMMYFUNCTION("""COMPUTED_VALUE"""),"")</f>
        <v/>
      </c>
    </row>
    <row r="5564">
      <c r="G5564" s="16" t="str">
        <f>IFERROR(__xludf.DUMMYFUNCTION("""COMPUTED_VALUE"""),"")</f>
        <v/>
      </c>
    </row>
    <row r="5565">
      <c r="G5565" s="16" t="str">
        <f>IFERROR(__xludf.DUMMYFUNCTION("""COMPUTED_VALUE"""),"")</f>
        <v/>
      </c>
    </row>
    <row r="5566">
      <c r="G5566" s="16" t="str">
        <f>IFERROR(__xludf.DUMMYFUNCTION("""COMPUTED_VALUE"""),"")</f>
        <v/>
      </c>
    </row>
    <row r="5567">
      <c r="G5567" s="16" t="str">
        <f>IFERROR(__xludf.DUMMYFUNCTION("""COMPUTED_VALUE"""),"")</f>
        <v/>
      </c>
    </row>
    <row r="5568">
      <c r="G5568" s="16" t="str">
        <f>IFERROR(__xludf.DUMMYFUNCTION("""COMPUTED_VALUE"""),"")</f>
        <v/>
      </c>
    </row>
    <row r="5569">
      <c r="G5569" s="16" t="str">
        <f>IFERROR(__xludf.DUMMYFUNCTION("""COMPUTED_VALUE"""),"")</f>
        <v/>
      </c>
    </row>
    <row r="5570">
      <c r="G5570" s="16" t="str">
        <f>IFERROR(__xludf.DUMMYFUNCTION("""COMPUTED_VALUE"""),"")</f>
        <v/>
      </c>
    </row>
    <row r="5571">
      <c r="G5571" s="16" t="str">
        <f>IFERROR(__xludf.DUMMYFUNCTION("""COMPUTED_VALUE"""),"")</f>
        <v/>
      </c>
    </row>
    <row r="5572">
      <c r="G5572" s="16" t="str">
        <f>IFERROR(__xludf.DUMMYFUNCTION("""COMPUTED_VALUE"""),"")</f>
        <v/>
      </c>
    </row>
    <row r="5573">
      <c r="G5573" s="16" t="str">
        <f>IFERROR(__xludf.DUMMYFUNCTION("""COMPUTED_VALUE"""),"")</f>
        <v/>
      </c>
    </row>
    <row r="5574">
      <c r="G5574" s="16" t="str">
        <f>IFERROR(__xludf.DUMMYFUNCTION("""COMPUTED_VALUE"""),"")</f>
        <v/>
      </c>
    </row>
    <row r="5575">
      <c r="G5575" s="16" t="str">
        <f>IFERROR(__xludf.DUMMYFUNCTION("""COMPUTED_VALUE"""),"")</f>
        <v/>
      </c>
    </row>
    <row r="5576">
      <c r="G5576" s="16" t="str">
        <f>IFERROR(__xludf.DUMMYFUNCTION("""COMPUTED_VALUE"""),"")</f>
        <v/>
      </c>
    </row>
    <row r="5577">
      <c r="G5577" s="16" t="str">
        <f>IFERROR(__xludf.DUMMYFUNCTION("""COMPUTED_VALUE"""),"")</f>
        <v/>
      </c>
    </row>
    <row r="5578">
      <c r="G5578" s="16" t="str">
        <f>IFERROR(__xludf.DUMMYFUNCTION("""COMPUTED_VALUE"""),"")</f>
        <v/>
      </c>
    </row>
    <row r="5579">
      <c r="G5579" s="16" t="str">
        <f>IFERROR(__xludf.DUMMYFUNCTION("""COMPUTED_VALUE"""),"")</f>
        <v/>
      </c>
    </row>
    <row r="5580">
      <c r="G5580" s="16" t="str">
        <f>IFERROR(__xludf.DUMMYFUNCTION("""COMPUTED_VALUE"""),"")</f>
        <v/>
      </c>
    </row>
    <row r="5581">
      <c r="G5581" s="16" t="str">
        <f>IFERROR(__xludf.DUMMYFUNCTION("""COMPUTED_VALUE"""),"")</f>
        <v/>
      </c>
    </row>
    <row r="5582">
      <c r="G5582" s="16" t="str">
        <f>IFERROR(__xludf.DUMMYFUNCTION("""COMPUTED_VALUE"""),"")</f>
        <v/>
      </c>
    </row>
    <row r="5583">
      <c r="G5583" s="16" t="str">
        <f>IFERROR(__xludf.DUMMYFUNCTION("""COMPUTED_VALUE"""),"")</f>
        <v/>
      </c>
    </row>
    <row r="5584">
      <c r="G5584" s="16" t="str">
        <f>IFERROR(__xludf.DUMMYFUNCTION("""COMPUTED_VALUE"""),"")</f>
        <v/>
      </c>
    </row>
    <row r="5585">
      <c r="G5585" s="16" t="str">
        <f>IFERROR(__xludf.DUMMYFUNCTION("""COMPUTED_VALUE"""),"")</f>
        <v/>
      </c>
    </row>
    <row r="5586">
      <c r="G5586" s="16" t="str">
        <f>IFERROR(__xludf.DUMMYFUNCTION("""COMPUTED_VALUE"""),"")</f>
        <v/>
      </c>
    </row>
    <row r="5587">
      <c r="G5587" s="16" t="str">
        <f>IFERROR(__xludf.DUMMYFUNCTION("""COMPUTED_VALUE"""),"")</f>
        <v/>
      </c>
    </row>
    <row r="5588">
      <c r="G5588" s="16" t="str">
        <f>IFERROR(__xludf.DUMMYFUNCTION("""COMPUTED_VALUE"""),"")</f>
        <v/>
      </c>
    </row>
    <row r="5589">
      <c r="G5589" s="16" t="str">
        <f>IFERROR(__xludf.DUMMYFUNCTION("""COMPUTED_VALUE"""),"")</f>
        <v/>
      </c>
    </row>
    <row r="5590">
      <c r="G5590" s="16" t="str">
        <f>IFERROR(__xludf.DUMMYFUNCTION("""COMPUTED_VALUE"""),"")</f>
        <v/>
      </c>
    </row>
    <row r="5591">
      <c r="G5591" s="16" t="str">
        <f>IFERROR(__xludf.DUMMYFUNCTION("""COMPUTED_VALUE"""),"")</f>
        <v/>
      </c>
    </row>
    <row r="5592">
      <c r="G5592" s="16" t="str">
        <f>IFERROR(__xludf.DUMMYFUNCTION("""COMPUTED_VALUE"""),"")</f>
        <v/>
      </c>
    </row>
    <row r="5593">
      <c r="G5593" s="16" t="str">
        <f>IFERROR(__xludf.DUMMYFUNCTION("""COMPUTED_VALUE"""),"")</f>
        <v/>
      </c>
    </row>
    <row r="5594">
      <c r="G5594" s="16" t="str">
        <f>IFERROR(__xludf.DUMMYFUNCTION("""COMPUTED_VALUE"""),"")</f>
        <v/>
      </c>
    </row>
    <row r="5595">
      <c r="G5595" s="16" t="str">
        <f>IFERROR(__xludf.DUMMYFUNCTION("""COMPUTED_VALUE"""),"")</f>
        <v/>
      </c>
    </row>
    <row r="5596">
      <c r="G5596" s="16" t="str">
        <f>IFERROR(__xludf.DUMMYFUNCTION("""COMPUTED_VALUE"""),"")</f>
        <v/>
      </c>
    </row>
    <row r="5597">
      <c r="G5597" s="16" t="str">
        <f>IFERROR(__xludf.DUMMYFUNCTION("""COMPUTED_VALUE"""),"")</f>
        <v/>
      </c>
    </row>
    <row r="5598">
      <c r="G5598" s="16" t="str">
        <f>IFERROR(__xludf.DUMMYFUNCTION("""COMPUTED_VALUE"""),"")</f>
        <v/>
      </c>
    </row>
    <row r="5599">
      <c r="G5599" s="16" t="str">
        <f>IFERROR(__xludf.DUMMYFUNCTION("""COMPUTED_VALUE"""),"")</f>
        <v/>
      </c>
    </row>
    <row r="5600">
      <c r="G5600" s="16" t="str">
        <f>IFERROR(__xludf.DUMMYFUNCTION("""COMPUTED_VALUE"""),"")</f>
        <v/>
      </c>
    </row>
    <row r="5601">
      <c r="G5601" s="16" t="str">
        <f>IFERROR(__xludf.DUMMYFUNCTION("""COMPUTED_VALUE"""),"")</f>
        <v/>
      </c>
    </row>
    <row r="5602">
      <c r="G5602" s="16" t="str">
        <f>IFERROR(__xludf.DUMMYFUNCTION("""COMPUTED_VALUE"""),"")</f>
        <v/>
      </c>
    </row>
    <row r="5603">
      <c r="G5603" s="16" t="str">
        <f>IFERROR(__xludf.DUMMYFUNCTION("""COMPUTED_VALUE"""),"")</f>
        <v/>
      </c>
    </row>
    <row r="5604">
      <c r="G5604" s="16" t="str">
        <f>IFERROR(__xludf.DUMMYFUNCTION("""COMPUTED_VALUE"""),"")</f>
        <v/>
      </c>
    </row>
    <row r="5605">
      <c r="G5605" s="16" t="str">
        <f>IFERROR(__xludf.DUMMYFUNCTION("""COMPUTED_VALUE"""),"")</f>
        <v/>
      </c>
    </row>
    <row r="5606">
      <c r="G5606" s="16" t="str">
        <f>IFERROR(__xludf.DUMMYFUNCTION("""COMPUTED_VALUE"""),"")</f>
        <v/>
      </c>
    </row>
    <row r="5607">
      <c r="G5607" s="16" t="str">
        <f>IFERROR(__xludf.DUMMYFUNCTION("""COMPUTED_VALUE"""),"")</f>
        <v/>
      </c>
    </row>
    <row r="5608">
      <c r="G5608" s="16" t="str">
        <f>IFERROR(__xludf.DUMMYFUNCTION("""COMPUTED_VALUE"""),"")</f>
        <v/>
      </c>
    </row>
    <row r="5609">
      <c r="G5609" s="16" t="str">
        <f>IFERROR(__xludf.DUMMYFUNCTION("""COMPUTED_VALUE"""),"")</f>
        <v/>
      </c>
    </row>
    <row r="5610">
      <c r="G5610" s="16" t="str">
        <f>IFERROR(__xludf.DUMMYFUNCTION("""COMPUTED_VALUE"""),"")</f>
        <v/>
      </c>
    </row>
    <row r="5611">
      <c r="G5611" s="16" t="str">
        <f>IFERROR(__xludf.DUMMYFUNCTION("""COMPUTED_VALUE"""),"")</f>
        <v/>
      </c>
    </row>
    <row r="5612">
      <c r="G5612" s="16" t="str">
        <f>IFERROR(__xludf.DUMMYFUNCTION("""COMPUTED_VALUE"""),"")</f>
        <v/>
      </c>
    </row>
    <row r="5613">
      <c r="G5613" s="16" t="str">
        <f>IFERROR(__xludf.DUMMYFUNCTION("""COMPUTED_VALUE"""),"")</f>
        <v/>
      </c>
    </row>
    <row r="5614">
      <c r="G5614" s="16" t="str">
        <f>IFERROR(__xludf.DUMMYFUNCTION("""COMPUTED_VALUE"""),"")</f>
        <v/>
      </c>
    </row>
    <row r="5615">
      <c r="G5615" s="16" t="str">
        <f>IFERROR(__xludf.DUMMYFUNCTION("""COMPUTED_VALUE"""),"")</f>
        <v/>
      </c>
    </row>
    <row r="5616">
      <c r="G5616" s="16" t="str">
        <f>IFERROR(__xludf.DUMMYFUNCTION("""COMPUTED_VALUE"""),"")</f>
        <v/>
      </c>
    </row>
    <row r="5617">
      <c r="G5617" s="16" t="str">
        <f>IFERROR(__xludf.DUMMYFUNCTION("""COMPUTED_VALUE"""),"")</f>
        <v/>
      </c>
    </row>
    <row r="5618">
      <c r="G5618" s="16" t="str">
        <f>IFERROR(__xludf.DUMMYFUNCTION("""COMPUTED_VALUE"""),"")</f>
        <v/>
      </c>
    </row>
    <row r="5619">
      <c r="G5619" s="16" t="str">
        <f>IFERROR(__xludf.DUMMYFUNCTION("""COMPUTED_VALUE"""),"")</f>
        <v/>
      </c>
    </row>
    <row r="5620">
      <c r="G5620" s="16" t="str">
        <f>IFERROR(__xludf.DUMMYFUNCTION("""COMPUTED_VALUE"""),"")</f>
        <v/>
      </c>
    </row>
    <row r="5621">
      <c r="G5621" s="16" t="str">
        <f>IFERROR(__xludf.DUMMYFUNCTION("""COMPUTED_VALUE"""),"")</f>
        <v/>
      </c>
    </row>
    <row r="5622">
      <c r="G5622" s="16" t="str">
        <f>IFERROR(__xludf.DUMMYFUNCTION("""COMPUTED_VALUE"""),"")</f>
        <v/>
      </c>
    </row>
    <row r="5623">
      <c r="G5623" s="16" t="str">
        <f>IFERROR(__xludf.DUMMYFUNCTION("""COMPUTED_VALUE"""),"")</f>
        <v/>
      </c>
    </row>
    <row r="5624">
      <c r="G5624" s="16" t="str">
        <f>IFERROR(__xludf.DUMMYFUNCTION("""COMPUTED_VALUE"""),"")</f>
        <v/>
      </c>
    </row>
    <row r="5625">
      <c r="G5625" s="16" t="str">
        <f>IFERROR(__xludf.DUMMYFUNCTION("""COMPUTED_VALUE"""),"")</f>
        <v/>
      </c>
    </row>
    <row r="5626">
      <c r="G5626" s="16" t="str">
        <f>IFERROR(__xludf.DUMMYFUNCTION("""COMPUTED_VALUE"""),"")</f>
        <v/>
      </c>
    </row>
    <row r="5627">
      <c r="G5627" s="16" t="str">
        <f>IFERROR(__xludf.DUMMYFUNCTION("""COMPUTED_VALUE"""),"")</f>
        <v/>
      </c>
    </row>
    <row r="5628">
      <c r="G5628" s="16" t="str">
        <f>IFERROR(__xludf.DUMMYFUNCTION("""COMPUTED_VALUE"""),"")</f>
        <v/>
      </c>
    </row>
    <row r="5629">
      <c r="G5629" s="16" t="str">
        <f>IFERROR(__xludf.DUMMYFUNCTION("""COMPUTED_VALUE"""),"")</f>
        <v/>
      </c>
    </row>
    <row r="5630">
      <c r="G5630" s="16" t="str">
        <f>IFERROR(__xludf.DUMMYFUNCTION("""COMPUTED_VALUE"""),"")</f>
        <v/>
      </c>
    </row>
    <row r="5631">
      <c r="G5631" s="16" t="str">
        <f>IFERROR(__xludf.DUMMYFUNCTION("""COMPUTED_VALUE"""),"")</f>
        <v/>
      </c>
    </row>
    <row r="5632">
      <c r="G5632" s="16" t="str">
        <f>IFERROR(__xludf.DUMMYFUNCTION("""COMPUTED_VALUE"""),"")</f>
        <v/>
      </c>
    </row>
    <row r="5633">
      <c r="G5633" s="16" t="str">
        <f>IFERROR(__xludf.DUMMYFUNCTION("""COMPUTED_VALUE"""),"")</f>
        <v/>
      </c>
    </row>
    <row r="5634">
      <c r="G5634" s="16" t="str">
        <f>IFERROR(__xludf.DUMMYFUNCTION("""COMPUTED_VALUE"""),"")</f>
        <v/>
      </c>
    </row>
    <row r="5635">
      <c r="G5635" s="16" t="str">
        <f>IFERROR(__xludf.DUMMYFUNCTION("""COMPUTED_VALUE"""),"")</f>
        <v/>
      </c>
    </row>
    <row r="5636">
      <c r="G5636" s="16" t="str">
        <f>IFERROR(__xludf.DUMMYFUNCTION("""COMPUTED_VALUE"""),"")</f>
        <v/>
      </c>
    </row>
    <row r="5637">
      <c r="G5637" s="16" t="str">
        <f>IFERROR(__xludf.DUMMYFUNCTION("""COMPUTED_VALUE"""),"")</f>
        <v/>
      </c>
    </row>
    <row r="5638">
      <c r="G5638" s="16" t="str">
        <f>IFERROR(__xludf.DUMMYFUNCTION("""COMPUTED_VALUE"""),"")</f>
        <v/>
      </c>
    </row>
    <row r="5639">
      <c r="G5639" s="16" t="str">
        <f>IFERROR(__xludf.DUMMYFUNCTION("""COMPUTED_VALUE"""),"")</f>
        <v/>
      </c>
    </row>
    <row r="5640">
      <c r="G5640" s="16" t="str">
        <f>IFERROR(__xludf.DUMMYFUNCTION("""COMPUTED_VALUE"""),"")</f>
        <v/>
      </c>
    </row>
    <row r="5641">
      <c r="G5641" s="16" t="str">
        <f>IFERROR(__xludf.DUMMYFUNCTION("""COMPUTED_VALUE"""),"")</f>
        <v/>
      </c>
    </row>
    <row r="5642">
      <c r="G5642" s="16" t="str">
        <f>IFERROR(__xludf.DUMMYFUNCTION("""COMPUTED_VALUE"""),"")</f>
        <v/>
      </c>
    </row>
    <row r="5643">
      <c r="G5643" s="16" t="str">
        <f>IFERROR(__xludf.DUMMYFUNCTION("""COMPUTED_VALUE"""),"")</f>
        <v/>
      </c>
    </row>
    <row r="5644">
      <c r="G5644" s="16" t="str">
        <f>IFERROR(__xludf.DUMMYFUNCTION("""COMPUTED_VALUE"""),"")</f>
        <v/>
      </c>
    </row>
    <row r="5645">
      <c r="G5645" s="16" t="str">
        <f>IFERROR(__xludf.DUMMYFUNCTION("""COMPUTED_VALUE"""),"")</f>
        <v/>
      </c>
    </row>
    <row r="5646">
      <c r="G5646" s="16" t="str">
        <f>IFERROR(__xludf.DUMMYFUNCTION("""COMPUTED_VALUE"""),"")</f>
        <v/>
      </c>
    </row>
    <row r="5647">
      <c r="G5647" s="16" t="str">
        <f>IFERROR(__xludf.DUMMYFUNCTION("""COMPUTED_VALUE"""),"")</f>
        <v/>
      </c>
    </row>
    <row r="5648">
      <c r="G5648" s="16" t="str">
        <f>IFERROR(__xludf.DUMMYFUNCTION("""COMPUTED_VALUE"""),"")</f>
        <v/>
      </c>
    </row>
    <row r="5649">
      <c r="G5649" s="16" t="str">
        <f>IFERROR(__xludf.DUMMYFUNCTION("""COMPUTED_VALUE"""),"")</f>
        <v/>
      </c>
    </row>
    <row r="5650">
      <c r="G5650" s="16" t="str">
        <f>IFERROR(__xludf.DUMMYFUNCTION("""COMPUTED_VALUE"""),"")</f>
        <v/>
      </c>
    </row>
    <row r="5651">
      <c r="G5651" s="16" t="str">
        <f>IFERROR(__xludf.DUMMYFUNCTION("""COMPUTED_VALUE"""),"")</f>
        <v/>
      </c>
    </row>
    <row r="5652">
      <c r="G5652" s="16" t="str">
        <f>IFERROR(__xludf.DUMMYFUNCTION("""COMPUTED_VALUE"""),"")</f>
        <v/>
      </c>
    </row>
    <row r="5653">
      <c r="G5653" s="16" t="str">
        <f>IFERROR(__xludf.DUMMYFUNCTION("""COMPUTED_VALUE"""),"")</f>
        <v/>
      </c>
    </row>
    <row r="5654">
      <c r="G5654" s="16" t="str">
        <f>IFERROR(__xludf.DUMMYFUNCTION("""COMPUTED_VALUE"""),"")</f>
        <v/>
      </c>
    </row>
    <row r="5655">
      <c r="G5655" s="16" t="str">
        <f>IFERROR(__xludf.DUMMYFUNCTION("""COMPUTED_VALUE"""),"")</f>
        <v/>
      </c>
    </row>
    <row r="5656">
      <c r="G5656" s="16" t="str">
        <f>IFERROR(__xludf.DUMMYFUNCTION("""COMPUTED_VALUE"""),"")</f>
        <v/>
      </c>
    </row>
    <row r="5657">
      <c r="G5657" s="16" t="str">
        <f>IFERROR(__xludf.DUMMYFUNCTION("""COMPUTED_VALUE"""),"")</f>
        <v/>
      </c>
    </row>
    <row r="5658">
      <c r="G5658" s="16" t="str">
        <f>IFERROR(__xludf.DUMMYFUNCTION("""COMPUTED_VALUE"""),"")</f>
        <v/>
      </c>
    </row>
    <row r="5659">
      <c r="G5659" s="16" t="str">
        <f>IFERROR(__xludf.DUMMYFUNCTION("""COMPUTED_VALUE"""),"")</f>
        <v/>
      </c>
    </row>
    <row r="5660">
      <c r="G5660" s="16" t="str">
        <f>IFERROR(__xludf.DUMMYFUNCTION("""COMPUTED_VALUE"""),"")</f>
        <v/>
      </c>
    </row>
    <row r="5661">
      <c r="G5661" s="16" t="str">
        <f>IFERROR(__xludf.DUMMYFUNCTION("""COMPUTED_VALUE"""),"")</f>
        <v/>
      </c>
    </row>
    <row r="5662">
      <c r="G5662" s="16" t="str">
        <f>IFERROR(__xludf.DUMMYFUNCTION("""COMPUTED_VALUE"""),"")</f>
        <v/>
      </c>
    </row>
    <row r="5663">
      <c r="G5663" s="16" t="str">
        <f>IFERROR(__xludf.DUMMYFUNCTION("""COMPUTED_VALUE"""),"")</f>
        <v/>
      </c>
    </row>
    <row r="5664">
      <c r="G5664" s="16" t="str">
        <f>IFERROR(__xludf.DUMMYFUNCTION("""COMPUTED_VALUE"""),"")</f>
        <v/>
      </c>
    </row>
    <row r="5665">
      <c r="G5665" s="16" t="str">
        <f>IFERROR(__xludf.DUMMYFUNCTION("""COMPUTED_VALUE"""),"")</f>
        <v/>
      </c>
    </row>
    <row r="5666">
      <c r="G5666" s="16" t="str">
        <f>IFERROR(__xludf.DUMMYFUNCTION("""COMPUTED_VALUE"""),"")</f>
        <v/>
      </c>
    </row>
    <row r="5667">
      <c r="G5667" s="16" t="str">
        <f>IFERROR(__xludf.DUMMYFUNCTION("""COMPUTED_VALUE"""),"")</f>
        <v/>
      </c>
    </row>
    <row r="5668">
      <c r="G5668" s="16" t="str">
        <f>IFERROR(__xludf.DUMMYFUNCTION("""COMPUTED_VALUE"""),"")</f>
        <v/>
      </c>
    </row>
    <row r="5669">
      <c r="G5669" s="16" t="str">
        <f>IFERROR(__xludf.DUMMYFUNCTION("""COMPUTED_VALUE"""),"")</f>
        <v/>
      </c>
    </row>
    <row r="5670">
      <c r="G5670" s="16" t="str">
        <f>IFERROR(__xludf.DUMMYFUNCTION("""COMPUTED_VALUE"""),"")</f>
        <v/>
      </c>
    </row>
    <row r="5671">
      <c r="G5671" s="16" t="str">
        <f>IFERROR(__xludf.DUMMYFUNCTION("""COMPUTED_VALUE"""),"")</f>
        <v/>
      </c>
    </row>
    <row r="5672">
      <c r="G5672" s="16" t="str">
        <f>IFERROR(__xludf.DUMMYFUNCTION("""COMPUTED_VALUE"""),"")</f>
        <v/>
      </c>
    </row>
    <row r="5673">
      <c r="G5673" s="16" t="str">
        <f>IFERROR(__xludf.DUMMYFUNCTION("""COMPUTED_VALUE"""),"")</f>
        <v/>
      </c>
    </row>
    <row r="5674">
      <c r="G5674" s="16" t="str">
        <f>IFERROR(__xludf.DUMMYFUNCTION("""COMPUTED_VALUE"""),"")</f>
        <v/>
      </c>
    </row>
    <row r="5675">
      <c r="G5675" s="16" t="str">
        <f>IFERROR(__xludf.DUMMYFUNCTION("""COMPUTED_VALUE"""),"")</f>
        <v/>
      </c>
    </row>
    <row r="5676">
      <c r="G5676" s="16" t="str">
        <f>IFERROR(__xludf.DUMMYFUNCTION("""COMPUTED_VALUE"""),"")</f>
        <v/>
      </c>
    </row>
    <row r="5677">
      <c r="G5677" s="16" t="str">
        <f>IFERROR(__xludf.DUMMYFUNCTION("""COMPUTED_VALUE"""),"")</f>
        <v/>
      </c>
    </row>
    <row r="5678">
      <c r="G5678" s="16" t="str">
        <f>IFERROR(__xludf.DUMMYFUNCTION("""COMPUTED_VALUE"""),"")</f>
        <v/>
      </c>
    </row>
    <row r="5679">
      <c r="G5679" s="16" t="str">
        <f>IFERROR(__xludf.DUMMYFUNCTION("""COMPUTED_VALUE"""),"")</f>
        <v/>
      </c>
    </row>
    <row r="5680">
      <c r="G5680" s="16" t="str">
        <f>IFERROR(__xludf.DUMMYFUNCTION("""COMPUTED_VALUE"""),"")</f>
        <v/>
      </c>
    </row>
    <row r="5681">
      <c r="G5681" s="16" t="str">
        <f>IFERROR(__xludf.DUMMYFUNCTION("""COMPUTED_VALUE"""),"")</f>
        <v/>
      </c>
    </row>
    <row r="5682">
      <c r="G5682" s="16" t="str">
        <f>IFERROR(__xludf.DUMMYFUNCTION("""COMPUTED_VALUE"""),"")</f>
        <v/>
      </c>
    </row>
    <row r="5683">
      <c r="G5683" s="16" t="str">
        <f>IFERROR(__xludf.DUMMYFUNCTION("""COMPUTED_VALUE"""),"")</f>
        <v/>
      </c>
    </row>
    <row r="5684">
      <c r="G5684" s="16" t="str">
        <f>IFERROR(__xludf.DUMMYFUNCTION("""COMPUTED_VALUE"""),"")</f>
        <v/>
      </c>
    </row>
    <row r="5685">
      <c r="G5685" s="16" t="str">
        <f>IFERROR(__xludf.DUMMYFUNCTION("""COMPUTED_VALUE"""),"")</f>
        <v/>
      </c>
    </row>
    <row r="5686">
      <c r="G5686" s="16" t="str">
        <f>IFERROR(__xludf.DUMMYFUNCTION("""COMPUTED_VALUE"""),"")</f>
        <v/>
      </c>
    </row>
    <row r="5687">
      <c r="G5687" s="16" t="str">
        <f>IFERROR(__xludf.DUMMYFUNCTION("""COMPUTED_VALUE"""),"")</f>
        <v/>
      </c>
    </row>
    <row r="5688">
      <c r="G5688" s="16" t="str">
        <f>IFERROR(__xludf.DUMMYFUNCTION("""COMPUTED_VALUE"""),"")</f>
        <v/>
      </c>
    </row>
    <row r="5689">
      <c r="G5689" s="16" t="str">
        <f>IFERROR(__xludf.DUMMYFUNCTION("""COMPUTED_VALUE"""),"")</f>
        <v/>
      </c>
    </row>
    <row r="5690">
      <c r="G5690" s="16" t="str">
        <f>IFERROR(__xludf.DUMMYFUNCTION("""COMPUTED_VALUE"""),"")</f>
        <v/>
      </c>
    </row>
    <row r="5691">
      <c r="G5691" s="16" t="str">
        <f>IFERROR(__xludf.DUMMYFUNCTION("""COMPUTED_VALUE"""),"")</f>
        <v/>
      </c>
    </row>
    <row r="5692">
      <c r="G5692" s="16" t="str">
        <f>IFERROR(__xludf.DUMMYFUNCTION("""COMPUTED_VALUE"""),"")</f>
        <v/>
      </c>
    </row>
    <row r="5693">
      <c r="G5693" s="16" t="str">
        <f>IFERROR(__xludf.DUMMYFUNCTION("""COMPUTED_VALUE"""),"")</f>
        <v/>
      </c>
    </row>
    <row r="5694">
      <c r="G5694" s="16" t="str">
        <f>IFERROR(__xludf.DUMMYFUNCTION("""COMPUTED_VALUE"""),"")</f>
        <v/>
      </c>
    </row>
    <row r="5695">
      <c r="G5695" s="16" t="str">
        <f>IFERROR(__xludf.DUMMYFUNCTION("""COMPUTED_VALUE"""),"")</f>
        <v/>
      </c>
    </row>
    <row r="5696">
      <c r="G5696" s="16" t="str">
        <f>IFERROR(__xludf.DUMMYFUNCTION("""COMPUTED_VALUE"""),"")</f>
        <v/>
      </c>
    </row>
    <row r="5697">
      <c r="G5697" s="16" t="str">
        <f>IFERROR(__xludf.DUMMYFUNCTION("""COMPUTED_VALUE"""),"")</f>
        <v/>
      </c>
    </row>
    <row r="5698">
      <c r="G5698" s="16" t="str">
        <f>IFERROR(__xludf.DUMMYFUNCTION("""COMPUTED_VALUE"""),"")</f>
        <v/>
      </c>
    </row>
    <row r="5699">
      <c r="G5699" s="16" t="str">
        <f>IFERROR(__xludf.DUMMYFUNCTION("""COMPUTED_VALUE"""),"")</f>
        <v/>
      </c>
    </row>
    <row r="5700">
      <c r="G5700" s="16" t="str">
        <f>IFERROR(__xludf.DUMMYFUNCTION("""COMPUTED_VALUE"""),"")</f>
        <v/>
      </c>
    </row>
    <row r="5701">
      <c r="G5701" s="16" t="str">
        <f>IFERROR(__xludf.DUMMYFUNCTION("""COMPUTED_VALUE"""),"")</f>
        <v/>
      </c>
    </row>
    <row r="5702">
      <c r="G5702" s="16" t="str">
        <f>IFERROR(__xludf.DUMMYFUNCTION("""COMPUTED_VALUE"""),"")</f>
        <v/>
      </c>
    </row>
    <row r="5703">
      <c r="G5703" s="16" t="str">
        <f>IFERROR(__xludf.DUMMYFUNCTION("""COMPUTED_VALUE"""),"")</f>
        <v/>
      </c>
    </row>
    <row r="5704">
      <c r="G5704" s="16" t="str">
        <f>IFERROR(__xludf.DUMMYFUNCTION("""COMPUTED_VALUE"""),"")</f>
        <v/>
      </c>
    </row>
    <row r="5705">
      <c r="G5705" s="16" t="str">
        <f>IFERROR(__xludf.DUMMYFUNCTION("""COMPUTED_VALUE"""),"")</f>
        <v/>
      </c>
    </row>
    <row r="5706">
      <c r="G5706" s="16" t="str">
        <f>IFERROR(__xludf.DUMMYFUNCTION("""COMPUTED_VALUE"""),"")</f>
        <v/>
      </c>
    </row>
    <row r="5707">
      <c r="G5707" s="16" t="str">
        <f>IFERROR(__xludf.DUMMYFUNCTION("""COMPUTED_VALUE"""),"")</f>
        <v/>
      </c>
    </row>
    <row r="5708">
      <c r="G5708" s="16" t="str">
        <f>IFERROR(__xludf.DUMMYFUNCTION("""COMPUTED_VALUE"""),"")</f>
        <v/>
      </c>
    </row>
    <row r="5709">
      <c r="G5709" s="16" t="str">
        <f>IFERROR(__xludf.DUMMYFUNCTION("""COMPUTED_VALUE"""),"")</f>
        <v/>
      </c>
    </row>
    <row r="5710">
      <c r="G5710" s="16" t="str">
        <f>IFERROR(__xludf.DUMMYFUNCTION("""COMPUTED_VALUE"""),"")</f>
        <v/>
      </c>
    </row>
    <row r="5711">
      <c r="G5711" s="16" t="str">
        <f>IFERROR(__xludf.DUMMYFUNCTION("""COMPUTED_VALUE"""),"")</f>
        <v/>
      </c>
    </row>
    <row r="5712">
      <c r="G5712" s="16" t="str">
        <f>IFERROR(__xludf.DUMMYFUNCTION("""COMPUTED_VALUE"""),"")</f>
        <v/>
      </c>
    </row>
    <row r="5713">
      <c r="G5713" s="16" t="str">
        <f>IFERROR(__xludf.DUMMYFUNCTION("""COMPUTED_VALUE"""),"")</f>
        <v/>
      </c>
    </row>
    <row r="5714">
      <c r="G5714" s="16" t="str">
        <f>IFERROR(__xludf.DUMMYFUNCTION("""COMPUTED_VALUE"""),"")</f>
        <v/>
      </c>
    </row>
    <row r="5715">
      <c r="G5715" s="16" t="str">
        <f>IFERROR(__xludf.DUMMYFUNCTION("""COMPUTED_VALUE"""),"")</f>
        <v/>
      </c>
    </row>
    <row r="5716">
      <c r="G5716" s="16" t="str">
        <f>IFERROR(__xludf.DUMMYFUNCTION("""COMPUTED_VALUE"""),"")</f>
        <v/>
      </c>
    </row>
    <row r="5717">
      <c r="G5717" s="16" t="str">
        <f>IFERROR(__xludf.DUMMYFUNCTION("""COMPUTED_VALUE"""),"")</f>
        <v/>
      </c>
    </row>
    <row r="5718">
      <c r="G5718" s="16" t="str">
        <f>IFERROR(__xludf.DUMMYFUNCTION("""COMPUTED_VALUE"""),"")</f>
        <v/>
      </c>
    </row>
    <row r="5719">
      <c r="G5719" s="16" t="str">
        <f>IFERROR(__xludf.DUMMYFUNCTION("""COMPUTED_VALUE"""),"")</f>
        <v/>
      </c>
    </row>
    <row r="5720">
      <c r="G5720" s="16" t="str">
        <f>IFERROR(__xludf.DUMMYFUNCTION("""COMPUTED_VALUE"""),"")</f>
        <v/>
      </c>
    </row>
    <row r="5721">
      <c r="G5721" s="16" t="str">
        <f>IFERROR(__xludf.DUMMYFUNCTION("""COMPUTED_VALUE"""),"")</f>
        <v/>
      </c>
    </row>
    <row r="5722">
      <c r="G5722" s="16" t="str">
        <f>IFERROR(__xludf.DUMMYFUNCTION("""COMPUTED_VALUE"""),"")</f>
        <v/>
      </c>
    </row>
    <row r="5723">
      <c r="G5723" s="16" t="str">
        <f>IFERROR(__xludf.DUMMYFUNCTION("""COMPUTED_VALUE"""),"")</f>
        <v/>
      </c>
    </row>
    <row r="5724">
      <c r="G5724" s="16" t="str">
        <f>IFERROR(__xludf.DUMMYFUNCTION("""COMPUTED_VALUE"""),"")</f>
        <v/>
      </c>
    </row>
    <row r="5725">
      <c r="G5725" s="16" t="str">
        <f>IFERROR(__xludf.DUMMYFUNCTION("""COMPUTED_VALUE"""),"")</f>
        <v/>
      </c>
    </row>
    <row r="5726">
      <c r="G5726" s="16" t="str">
        <f>IFERROR(__xludf.DUMMYFUNCTION("""COMPUTED_VALUE"""),"")</f>
        <v/>
      </c>
    </row>
    <row r="5727">
      <c r="G5727" s="16" t="str">
        <f>IFERROR(__xludf.DUMMYFUNCTION("""COMPUTED_VALUE"""),"")</f>
        <v/>
      </c>
    </row>
    <row r="5728">
      <c r="G5728" s="16" t="str">
        <f>IFERROR(__xludf.DUMMYFUNCTION("""COMPUTED_VALUE"""),"")</f>
        <v/>
      </c>
    </row>
    <row r="5729">
      <c r="G5729" s="16" t="str">
        <f>IFERROR(__xludf.DUMMYFUNCTION("""COMPUTED_VALUE"""),"")</f>
        <v/>
      </c>
    </row>
    <row r="5730">
      <c r="G5730" s="16" t="str">
        <f>IFERROR(__xludf.DUMMYFUNCTION("""COMPUTED_VALUE"""),"")</f>
        <v/>
      </c>
    </row>
    <row r="5731">
      <c r="G5731" s="16" t="str">
        <f>IFERROR(__xludf.DUMMYFUNCTION("""COMPUTED_VALUE"""),"")</f>
        <v/>
      </c>
    </row>
    <row r="5732">
      <c r="G5732" s="16" t="str">
        <f>IFERROR(__xludf.DUMMYFUNCTION("""COMPUTED_VALUE"""),"")</f>
        <v/>
      </c>
    </row>
    <row r="5733">
      <c r="G5733" s="16" t="str">
        <f>IFERROR(__xludf.DUMMYFUNCTION("""COMPUTED_VALUE"""),"")</f>
        <v/>
      </c>
    </row>
    <row r="5734">
      <c r="G5734" s="16" t="str">
        <f>IFERROR(__xludf.DUMMYFUNCTION("""COMPUTED_VALUE"""),"")</f>
        <v/>
      </c>
    </row>
    <row r="5735">
      <c r="G5735" s="16" t="str">
        <f>IFERROR(__xludf.DUMMYFUNCTION("""COMPUTED_VALUE"""),"")</f>
        <v/>
      </c>
    </row>
    <row r="5736">
      <c r="G5736" s="16" t="str">
        <f>IFERROR(__xludf.DUMMYFUNCTION("""COMPUTED_VALUE"""),"")</f>
        <v/>
      </c>
    </row>
    <row r="5737">
      <c r="G5737" s="16" t="str">
        <f>IFERROR(__xludf.DUMMYFUNCTION("""COMPUTED_VALUE"""),"")</f>
        <v/>
      </c>
    </row>
    <row r="5738">
      <c r="G5738" s="16" t="str">
        <f>IFERROR(__xludf.DUMMYFUNCTION("""COMPUTED_VALUE"""),"")</f>
        <v/>
      </c>
    </row>
    <row r="5739">
      <c r="G5739" s="16" t="str">
        <f>IFERROR(__xludf.DUMMYFUNCTION("""COMPUTED_VALUE"""),"")</f>
        <v/>
      </c>
    </row>
    <row r="5740">
      <c r="G5740" s="16" t="str">
        <f>IFERROR(__xludf.DUMMYFUNCTION("""COMPUTED_VALUE"""),"")</f>
        <v/>
      </c>
    </row>
    <row r="5741">
      <c r="G5741" s="16" t="str">
        <f>IFERROR(__xludf.DUMMYFUNCTION("""COMPUTED_VALUE"""),"")</f>
        <v/>
      </c>
    </row>
    <row r="5742">
      <c r="G5742" s="16" t="str">
        <f>IFERROR(__xludf.DUMMYFUNCTION("""COMPUTED_VALUE"""),"")</f>
        <v/>
      </c>
    </row>
    <row r="5743">
      <c r="G5743" s="16" t="str">
        <f>IFERROR(__xludf.DUMMYFUNCTION("""COMPUTED_VALUE"""),"")</f>
        <v/>
      </c>
    </row>
    <row r="5744">
      <c r="G5744" s="16" t="str">
        <f>IFERROR(__xludf.DUMMYFUNCTION("""COMPUTED_VALUE"""),"")</f>
        <v/>
      </c>
    </row>
    <row r="5745">
      <c r="G5745" s="16" t="str">
        <f>IFERROR(__xludf.DUMMYFUNCTION("""COMPUTED_VALUE"""),"")</f>
        <v/>
      </c>
    </row>
    <row r="5746">
      <c r="G5746" s="16" t="str">
        <f>IFERROR(__xludf.DUMMYFUNCTION("""COMPUTED_VALUE"""),"")</f>
        <v/>
      </c>
    </row>
    <row r="5747">
      <c r="G5747" s="16" t="str">
        <f>IFERROR(__xludf.DUMMYFUNCTION("""COMPUTED_VALUE"""),"")</f>
        <v/>
      </c>
    </row>
    <row r="5748">
      <c r="G5748" s="16" t="str">
        <f>IFERROR(__xludf.DUMMYFUNCTION("""COMPUTED_VALUE"""),"")</f>
        <v/>
      </c>
    </row>
    <row r="5749">
      <c r="G5749" s="16" t="str">
        <f>IFERROR(__xludf.DUMMYFUNCTION("""COMPUTED_VALUE"""),"")</f>
        <v/>
      </c>
    </row>
    <row r="5750">
      <c r="G5750" s="16" t="str">
        <f>IFERROR(__xludf.DUMMYFUNCTION("""COMPUTED_VALUE"""),"")</f>
        <v/>
      </c>
    </row>
    <row r="5751">
      <c r="G5751" s="16" t="str">
        <f>IFERROR(__xludf.DUMMYFUNCTION("""COMPUTED_VALUE"""),"")</f>
        <v/>
      </c>
    </row>
    <row r="5752">
      <c r="G5752" s="16" t="str">
        <f>IFERROR(__xludf.DUMMYFUNCTION("""COMPUTED_VALUE"""),"")</f>
        <v/>
      </c>
    </row>
    <row r="5753">
      <c r="G5753" s="16" t="str">
        <f>IFERROR(__xludf.DUMMYFUNCTION("""COMPUTED_VALUE"""),"")</f>
        <v/>
      </c>
    </row>
    <row r="5754">
      <c r="G5754" s="16" t="str">
        <f>IFERROR(__xludf.DUMMYFUNCTION("""COMPUTED_VALUE"""),"")</f>
        <v/>
      </c>
    </row>
    <row r="5755">
      <c r="G5755" s="16" t="str">
        <f>IFERROR(__xludf.DUMMYFUNCTION("""COMPUTED_VALUE"""),"")</f>
        <v/>
      </c>
    </row>
    <row r="5756">
      <c r="G5756" s="16" t="str">
        <f>IFERROR(__xludf.DUMMYFUNCTION("""COMPUTED_VALUE"""),"")</f>
        <v/>
      </c>
    </row>
    <row r="5757">
      <c r="G5757" s="16" t="str">
        <f>IFERROR(__xludf.DUMMYFUNCTION("""COMPUTED_VALUE"""),"")</f>
        <v/>
      </c>
    </row>
    <row r="5758">
      <c r="G5758" s="16" t="str">
        <f>IFERROR(__xludf.DUMMYFUNCTION("""COMPUTED_VALUE"""),"")</f>
        <v/>
      </c>
    </row>
    <row r="5759">
      <c r="G5759" s="16" t="str">
        <f>IFERROR(__xludf.DUMMYFUNCTION("""COMPUTED_VALUE"""),"")</f>
        <v/>
      </c>
    </row>
    <row r="5760">
      <c r="G5760" s="16" t="str">
        <f>IFERROR(__xludf.DUMMYFUNCTION("""COMPUTED_VALUE"""),"")</f>
        <v/>
      </c>
    </row>
    <row r="5761">
      <c r="G5761" s="16" t="str">
        <f>IFERROR(__xludf.DUMMYFUNCTION("""COMPUTED_VALUE"""),"")</f>
        <v/>
      </c>
    </row>
    <row r="5762">
      <c r="G5762" s="16" t="str">
        <f>IFERROR(__xludf.DUMMYFUNCTION("""COMPUTED_VALUE"""),"")</f>
        <v/>
      </c>
    </row>
    <row r="5763">
      <c r="G5763" s="16" t="str">
        <f>IFERROR(__xludf.DUMMYFUNCTION("""COMPUTED_VALUE"""),"")</f>
        <v/>
      </c>
    </row>
    <row r="5764">
      <c r="G5764" s="16" t="str">
        <f>IFERROR(__xludf.DUMMYFUNCTION("""COMPUTED_VALUE"""),"")</f>
        <v/>
      </c>
    </row>
    <row r="5765">
      <c r="G5765" s="16" t="str">
        <f>IFERROR(__xludf.DUMMYFUNCTION("""COMPUTED_VALUE"""),"")</f>
        <v/>
      </c>
    </row>
    <row r="5766">
      <c r="G5766" s="16" t="str">
        <f>IFERROR(__xludf.DUMMYFUNCTION("""COMPUTED_VALUE"""),"")</f>
        <v/>
      </c>
    </row>
    <row r="5767">
      <c r="G5767" s="16" t="str">
        <f>IFERROR(__xludf.DUMMYFUNCTION("""COMPUTED_VALUE"""),"")</f>
        <v/>
      </c>
    </row>
    <row r="5768">
      <c r="G5768" s="16" t="str">
        <f>IFERROR(__xludf.DUMMYFUNCTION("""COMPUTED_VALUE"""),"")</f>
        <v/>
      </c>
    </row>
    <row r="5769">
      <c r="G5769" s="16" t="str">
        <f>IFERROR(__xludf.DUMMYFUNCTION("""COMPUTED_VALUE"""),"")</f>
        <v/>
      </c>
    </row>
    <row r="5770">
      <c r="G5770" s="16" t="str">
        <f>IFERROR(__xludf.DUMMYFUNCTION("""COMPUTED_VALUE"""),"")</f>
        <v/>
      </c>
    </row>
    <row r="5771">
      <c r="G5771" s="16" t="str">
        <f>IFERROR(__xludf.DUMMYFUNCTION("""COMPUTED_VALUE"""),"")</f>
        <v/>
      </c>
    </row>
    <row r="5772">
      <c r="G5772" s="16" t="str">
        <f>IFERROR(__xludf.DUMMYFUNCTION("""COMPUTED_VALUE"""),"")</f>
        <v/>
      </c>
    </row>
    <row r="5773">
      <c r="G5773" s="16" t="str">
        <f>IFERROR(__xludf.DUMMYFUNCTION("""COMPUTED_VALUE"""),"")</f>
        <v/>
      </c>
    </row>
    <row r="5774">
      <c r="G5774" s="16" t="str">
        <f>IFERROR(__xludf.DUMMYFUNCTION("""COMPUTED_VALUE"""),"")</f>
        <v/>
      </c>
    </row>
    <row r="5775">
      <c r="G5775" s="16" t="str">
        <f>IFERROR(__xludf.DUMMYFUNCTION("""COMPUTED_VALUE"""),"")</f>
        <v/>
      </c>
    </row>
    <row r="5776">
      <c r="G5776" s="16" t="str">
        <f>IFERROR(__xludf.DUMMYFUNCTION("""COMPUTED_VALUE"""),"")</f>
        <v/>
      </c>
    </row>
    <row r="5777">
      <c r="G5777" s="16" t="str">
        <f>IFERROR(__xludf.DUMMYFUNCTION("""COMPUTED_VALUE"""),"")</f>
        <v/>
      </c>
    </row>
    <row r="5778">
      <c r="G5778" s="16" t="str">
        <f>IFERROR(__xludf.DUMMYFUNCTION("""COMPUTED_VALUE"""),"")</f>
        <v/>
      </c>
    </row>
    <row r="5779">
      <c r="G5779" s="16" t="str">
        <f>IFERROR(__xludf.DUMMYFUNCTION("""COMPUTED_VALUE"""),"")</f>
        <v/>
      </c>
    </row>
    <row r="5780">
      <c r="G5780" s="16" t="str">
        <f>IFERROR(__xludf.DUMMYFUNCTION("""COMPUTED_VALUE"""),"")</f>
        <v/>
      </c>
    </row>
    <row r="5781">
      <c r="G5781" s="16" t="str">
        <f>IFERROR(__xludf.DUMMYFUNCTION("""COMPUTED_VALUE"""),"")</f>
        <v/>
      </c>
    </row>
    <row r="5782">
      <c r="G5782" s="16" t="str">
        <f>IFERROR(__xludf.DUMMYFUNCTION("""COMPUTED_VALUE"""),"")</f>
        <v/>
      </c>
    </row>
    <row r="5783">
      <c r="G5783" s="16" t="str">
        <f>IFERROR(__xludf.DUMMYFUNCTION("""COMPUTED_VALUE"""),"")</f>
        <v/>
      </c>
    </row>
    <row r="5784">
      <c r="G5784" s="16" t="str">
        <f>IFERROR(__xludf.DUMMYFUNCTION("""COMPUTED_VALUE"""),"")</f>
        <v/>
      </c>
    </row>
    <row r="5785">
      <c r="G5785" s="16" t="str">
        <f>IFERROR(__xludf.DUMMYFUNCTION("""COMPUTED_VALUE"""),"")</f>
        <v/>
      </c>
    </row>
    <row r="5786">
      <c r="G5786" s="16" t="str">
        <f>IFERROR(__xludf.DUMMYFUNCTION("""COMPUTED_VALUE"""),"")</f>
        <v/>
      </c>
    </row>
    <row r="5787">
      <c r="G5787" s="16" t="str">
        <f>IFERROR(__xludf.DUMMYFUNCTION("""COMPUTED_VALUE"""),"")</f>
        <v/>
      </c>
    </row>
    <row r="5788">
      <c r="G5788" s="16" t="str">
        <f>IFERROR(__xludf.DUMMYFUNCTION("""COMPUTED_VALUE"""),"")</f>
        <v/>
      </c>
    </row>
    <row r="5789">
      <c r="G5789" s="16" t="str">
        <f>IFERROR(__xludf.DUMMYFUNCTION("""COMPUTED_VALUE"""),"")</f>
        <v/>
      </c>
    </row>
    <row r="5790">
      <c r="G5790" s="16" t="str">
        <f>IFERROR(__xludf.DUMMYFUNCTION("""COMPUTED_VALUE"""),"")</f>
        <v/>
      </c>
    </row>
    <row r="5791">
      <c r="G5791" s="16" t="str">
        <f>IFERROR(__xludf.DUMMYFUNCTION("""COMPUTED_VALUE"""),"")</f>
        <v/>
      </c>
    </row>
    <row r="5792">
      <c r="G5792" s="16" t="str">
        <f>IFERROR(__xludf.DUMMYFUNCTION("""COMPUTED_VALUE"""),"")</f>
        <v/>
      </c>
    </row>
    <row r="5793">
      <c r="G5793" s="16" t="str">
        <f>IFERROR(__xludf.DUMMYFUNCTION("""COMPUTED_VALUE"""),"")</f>
        <v/>
      </c>
    </row>
    <row r="5794">
      <c r="G5794" s="16" t="str">
        <f>IFERROR(__xludf.DUMMYFUNCTION("""COMPUTED_VALUE"""),"")</f>
        <v/>
      </c>
    </row>
    <row r="5795">
      <c r="G5795" s="16" t="str">
        <f>IFERROR(__xludf.DUMMYFUNCTION("""COMPUTED_VALUE"""),"")</f>
        <v/>
      </c>
    </row>
    <row r="5796">
      <c r="G5796" s="16" t="str">
        <f>IFERROR(__xludf.DUMMYFUNCTION("""COMPUTED_VALUE"""),"")</f>
        <v/>
      </c>
    </row>
    <row r="5797">
      <c r="G5797" s="16" t="str">
        <f>IFERROR(__xludf.DUMMYFUNCTION("""COMPUTED_VALUE"""),"")</f>
        <v/>
      </c>
    </row>
    <row r="5798">
      <c r="G5798" s="16" t="str">
        <f>IFERROR(__xludf.DUMMYFUNCTION("""COMPUTED_VALUE"""),"")</f>
        <v/>
      </c>
    </row>
    <row r="5799">
      <c r="G5799" s="16" t="str">
        <f>IFERROR(__xludf.DUMMYFUNCTION("""COMPUTED_VALUE"""),"")</f>
        <v/>
      </c>
    </row>
    <row r="5800">
      <c r="G5800" s="16" t="str">
        <f>IFERROR(__xludf.DUMMYFUNCTION("""COMPUTED_VALUE"""),"")</f>
        <v/>
      </c>
    </row>
    <row r="5801">
      <c r="G5801" s="16" t="str">
        <f>IFERROR(__xludf.DUMMYFUNCTION("""COMPUTED_VALUE"""),"")</f>
        <v/>
      </c>
    </row>
    <row r="5802">
      <c r="G5802" s="16" t="str">
        <f>IFERROR(__xludf.DUMMYFUNCTION("""COMPUTED_VALUE"""),"")</f>
        <v/>
      </c>
    </row>
    <row r="5803">
      <c r="G5803" s="16" t="str">
        <f>IFERROR(__xludf.DUMMYFUNCTION("""COMPUTED_VALUE"""),"")</f>
        <v/>
      </c>
    </row>
    <row r="5804">
      <c r="G5804" s="16" t="str">
        <f>IFERROR(__xludf.DUMMYFUNCTION("""COMPUTED_VALUE"""),"")</f>
        <v/>
      </c>
    </row>
    <row r="5805">
      <c r="G5805" s="16" t="str">
        <f>IFERROR(__xludf.DUMMYFUNCTION("""COMPUTED_VALUE"""),"")</f>
        <v/>
      </c>
    </row>
    <row r="5806">
      <c r="G5806" s="16" t="str">
        <f>IFERROR(__xludf.DUMMYFUNCTION("""COMPUTED_VALUE"""),"")</f>
        <v/>
      </c>
    </row>
    <row r="5807">
      <c r="G5807" s="16" t="str">
        <f>IFERROR(__xludf.DUMMYFUNCTION("""COMPUTED_VALUE"""),"")</f>
        <v/>
      </c>
    </row>
    <row r="5808">
      <c r="G5808" s="16" t="str">
        <f>IFERROR(__xludf.DUMMYFUNCTION("""COMPUTED_VALUE"""),"")</f>
        <v/>
      </c>
    </row>
    <row r="5809">
      <c r="G5809" s="16" t="str">
        <f>IFERROR(__xludf.DUMMYFUNCTION("""COMPUTED_VALUE"""),"")</f>
        <v/>
      </c>
    </row>
    <row r="5810">
      <c r="G5810" s="16" t="str">
        <f>IFERROR(__xludf.DUMMYFUNCTION("""COMPUTED_VALUE"""),"")</f>
        <v/>
      </c>
    </row>
    <row r="5811">
      <c r="G5811" s="16" t="str">
        <f>IFERROR(__xludf.DUMMYFUNCTION("""COMPUTED_VALUE"""),"")</f>
        <v/>
      </c>
    </row>
    <row r="5812">
      <c r="G5812" s="16" t="str">
        <f>IFERROR(__xludf.DUMMYFUNCTION("""COMPUTED_VALUE"""),"")</f>
        <v/>
      </c>
    </row>
    <row r="5813">
      <c r="G5813" s="16" t="str">
        <f>IFERROR(__xludf.DUMMYFUNCTION("""COMPUTED_VALUE"""),"")</f>
        <v/>
      </c>
    </row>
    <row r="5814">
      <c r="G5814" s="16" t="str">
        <f>IFERROR(__xludf.DUMMYFUNCTION("""COMPUTED_VALUE"""),"")</f>
        <v/>
      </c>
    </row>
    <row r="5815">
      <c r="G5815" s="16" t="str">
        <f>IFERROR(__xludf.DUMMYFUNCTION("""COMPUTED_VALUE"""),"")</f>
        <v/>
      </c>
    </row>
    <row r="5816">
      <c r="G5816" s="16" t="str">
        <f>IFERROR(__xludf.DUMMYFUNCTION("""COMPUTED_VALUE"""),"")</f>
        <v/>
      </c>
    </row>
    <row r="5817">
      <c r="G5817" s="16" t="str">
        <f>IFERROR(__xludf.DUMMYFUNCTION("""COMPUTED_VALUE"""),"")</f>
        <v/>
      </c>
    </row>
    <row r="5818">
      <c r="G5818" s="16" t="str">
        <f>IFERROR(__xludf.DUMMYFUNCTION("""COMPUTED_VALUE"""),"")</f>
        <v/>
      </c>
    </row>
    <row r="5819">
      <c r="G5819" s="16" t="str">
        <f>IFERROR(__xludf.DUMMYFUNCTION("""COMPUTED_VALUE"""),"")</f>
        <v/>
      </c>
    </row>
    <row r="5820">
      <c r="G5820" s="16" t="str">
        <f>IFERROR(__xludf.DUMMYFUNCTION("""COMPUTED_VALUE"""),"")</f>
        <v/>
      </c>
    </row>
    <row r="5821">
      <c r="G5821" s="16" t="str">
        <f>IFERROR(__xludf.DUMMYFUNCTION("""COMPUTED_VALUE"""),"")</f>
        <v/>
      </c>
    </row>
    <row r="5822">
      <c r="G5822" s="16" t="str">
        <f>IFERROR(__xludf.DUMMYFUNCTION("""COMPUTED_VALUE"""),"")</f>
        <v/>
      </c>
    </row>
    <row r="5823">
      <c r="G5823" s="16" t="str">
        <f>IFERROR(__xludf.DUMMYFUNCTION("""COMPUTED_VALUE"""),"")</f>
        <v/>
      </c>
    </row>
    <row r="5824">
      <c r="G5824" s="16" t="str">
        <f>IFERROR(__xludf.DUMMYFUNCTION("""COMPUTED_VALUE"""),"")</f>
        <v/>
      </c>
    </row>
    <row r="5825">
      <c r="G5825" s="16" t="str">
        <f>IFERROR(__xludf.DUMMYFUNCTION("""COMPUTED_VALUE"""),"")</f>
        <v/>
      </c>
    </row>
    <row r="5826">
      <c r="G5826" s="16" t="str">
        <f>IFERROR(__xludf.DUMMYFUNCTION("""COMPUTED_VALUE"""),"")</f>
        <v/>
      </c>
    </row>
    <row r="5827">
      <c r="G5827" s="16" t="str">
        <f>IFERROR(__xludf.DUMMYFUNCTION("""COMPUTED_VALUE"""),"")</f>
        <v/>
      </c>
    </row>
    <row r="5828">
      <c r="G5828" s="16" t="str">
        <f>IFERROR(__xludf.DUMMYFUNCTION("""COMPUTED_VALUE"""),"")</f>
        <v/>
      </c>
    </row>
    <row r="5829">
      <c r="G5829" s="16" t="str">
        <f>IFERROR(__xludf.DUMMYFUNCTION("""COMPUTED_VALUE"""),"")</f>
        <v/>
      </c>
    </row>
    <row r="5830">
      <c r="G5830" s="16" t="str">
        <f>IFERROR(__xludf.DUMMYFUNCTION("""COMPUTED_VALUE"""),"")</f>
        <v/>
      </c>
    </row>
    <row r="5831">
      <c r="G5831" s="16" t="str">
        <f>IFERROR(__xludf.DUMMYFUNCTION("""COMPUTED_VALUE"""),"")</f>
        <v/>
      </c>
    </row>
    <row r="5832">
      <c r="G5832" s="16" t="str">
        <f>IFERROR(__xludf.DUMMYFUNCTION("""COMPUTED_VALUE"""),"")</f>
        <v/>
      </c>
    </row>
    <row r="5833">
      <c r="G5833" s="16" t="str">
        <f>IFERROR(__xludf.DUMMYFUNCTION("""COMPUTED_VALUE"""),"")</f>
        <v/>
      </c>
    </row>
    <row r="5834">
      <c r="G5834" s="16" t="str">
        <f>IFERROR(__xludf.DUMMYFUNCTION("""COMPUTED_VALUE"""),"")</f>
        <v/>
      </c>
    </row>
    <row r="5835">
      <c r="G5835" s="16" t="str">
        <f>IFERROR(__xludf.DUMMYFUNCTION("""COMPUTED_VALUE"""),"")</f>
        <v/>
      </c>
    </row>
    <row r="5836">
      <c r="G5836" s="16" t="str">
        <f>IFERROR(__xludf.DUMMYFUNCTION("""COMPUTED_VALUE"""),"")</f>
        <v/>
      </c>
    </row>
    <row r="5837">
      <c r="G5837" s="16" t="str">
        <f>IFERROR(__xludf.DUMMYFUNCTION("""COMPUTED_VALUE"""),"")</f>
        <v/>
      </c>
    </row>
    <row r="5838">
      <c r="G5838" s="16" t="str">
        <f>IFERROR(__xludf.DUMMYFUNCTION("""COMPUTED_VALUE"""),"")</f>
        <v/>
      </c>
    </row>
    <row r="5839">
      <c r="G5839" s="16" t="str">
        <f>IFERROR(__xludf.DUMMYFUNCTION("""COMPUTED_VALUE"""),"")</f>
        <v/>
      </c>
    </row>
    <row r="5840">
      <c r="G5840" s="16" t="str">
        <f>IFERROR(__xludf.DUMMYFUNCTION("""COMPUTED_VALUE"""),"")</f>
        <v/>
      </c>
    </row>
    <row r="5841">
      <c r="G5841" s="16" t="str">
        <f>IFERROR(__xludf.DUMMYFUNCTION("""COMPUTED_VALUE"""),"")</f>
        <v/>
      </c>
    </row>
    <row r="5842">
      <c r="G5842" s="16" t="str">
        <f>IFERROR(__xludf.DUMMYFUNCTION("""COMPUTED_VALUE"""),"")</f>
        <v/>
      </c>
    </row>
    <row r="5843">
      <c r="G5843" s="16" t="str">
        <f>IFERROR(__xludf.DUMMYFUNCTION("""COMPUTED_VALUE"""),"")</f>
        <v/>
      </c>
    </row>
    <row r="5844">
      <c r="G5844" s="16" t="str">
        <f>IFERROR(__xludf.DUMMYFUNCTION("""COMPUTED_VALUE"""),"")</f>
        <v/>
      </c>
    </row>
    <row r="5845">
      <c r="G5845" s="16" t="str">
        <f>IFERROR(__xludf.DUMMYFUNCTION("""COMPUTED_VALUE"""),"")</f>
        <v/>
      </c>
    </row>
    <row r="5846">
      <c r="G5846" s="16" t="str">
        <f>IFERROR(__xludf.DUMMYFUNCTION("""COMPUTED_VALUE"""),"")</f>
        <v/>
      </c>
    </row>
    <row r="5847">
      <c r="G5847" s="16" t="str">
        <f>IFERROR(__xludf.DUMMYFUNCTION("""COMPUTED_VALUE"""),"")</f>
        <v/>
      </c>
    </row>
    <row r="5848">
      <c r="G5848" s="16" t="str">
        <f>IFERROR(__xludf.DUMMYFUNCTION("""COMPUTED_VALUE"""),"")</f>
        <v/>
      </c>
    </row>
    <row r="5849">
      <c r="G5849" s="16" t="str">
        <f>IFERROR(__xludf.DUMMYFUNCTION("""COMPUTED_VALUE"""),"")</f>
        <v/>
      </c>
    </row>
    <row r="5850">
      <c r="G5850" s="16" t="str">
        <f>IFERROR(__xludf.DUMMYFUNCTION("""COMPUTED_VALUE"""),"")</f>
        <v/>
      </c>
    </row>
    <row r="5851">
      <c r="G5851" s="16" t="str">
        <f>IFERROR(__xludf.DUMMYFUNCTION("""COMPUTED_VALUE"""),"")</f>
        <v/>
      </c>
    </row>
    <row r="5852">
      <c r="G5852" s="16" t="str">
        <f>IFERROR(__xludf.DUMMYFUNCTION("""COMPUTED_VALUE"""),"")</f>
        <v/>
      </c>
    </row>
    <row r="5853">
      <c r="G5853" s="16" t="str">
        <f>IFERROR(__xludf.DUMMYFUNCTION("""COMPUTED_VALUE"""),"")</f>
        <v/>
      </c>
    </row>
    <row r="5854">
      <c r="G5854" s="16" t="str">
        <f>IFERROR(__xludf.DUMMYFUNCTION("""COMPUTED_VALUE"""),"")</f>
        <v/>
      </c>
    </row>
    <row r="5855">
      <c r="G5855" s="16" t="str">
        <f>IFERROR(__xludf.DUMMYFUNCTION("""COMPUTED_VALUE"""),"")</f>
        <v/>
      </c>
    </row>
    <row r="5856">
      <c r="G5856" s="16" t="str">
        <f>IFERROR(__xludf.DUMMYFUNCTION("""COMPUTED_VALUE"""),"")</f>
        <v/>
      </c>
    </row>
    <row r="5857">
      <c r="G5857" s="16" t="str">
        <f>IFERROR(__xludf.DUMMYFUNCTION("""COMPUTED_VALUE"""),"")</f>
        <v/>
      </c>
    </row>
    <row r="5858">
      <c r="G5858" s="16" t="str">
        <f>IFERROR(__xludf.DUMMYFUNCTION("""COMPUTED_VALUE"""),"")</f>
        <v/>
      </c>
    </row>
    <row r="5859">
      <c r="G5859" s="16" t="str">
        <f>IFERROR(__xludf.DUMMYFUNCTION("""COMPUTED_VALUE"""),"")</f>
        <v/>
      </c>
    </row>
    <row r="5860">
      <c r="G5860" s="16" t="str">
        <f>IFERROR(__xludf.DUMMYFUNCTION("""COMPUTED_VALUE"""),"")</f>
        <v/>
      </c>
    </row>
    <row r="5861">
      <c r="G5861" s="16" t="str">
        <f>IFERROR(__xludf.DUMMYFUNCTION("""COMPUTED_VALUE"""),"")</f>
        <v/>
      </c>
    </row>
    <row r="5862">
      <c r="G5862" s="16" t="str">
        <f>IFERROR(__xludf.DUMMYFUNCTION("""COMPUTED_VALUE"""),"")</f>
        <v/>
      </c>
    </row>
    <row r="5863">
      <c r="G5863" s="16" t="str">
        <f>IFERROR(__xludf.DUMMYFUNCTION("""COMPUTED_VALUE"""),"")</f>
        <v/>
      </c>
    </row>
    <row r="5864">
      <c r="G5864" s="16" t="str">
        <f>IFERROR(__xludf.DUMMYFUNCTION("""COMPUTED_VALUE"""),"")</f>
        <v/>
      </c>
    </row>
    <row r="5865">
      <c r="G5865" s="16" t="str">
        <f>IFERROR(__xludf.DUMMYFUNCTION("""COMPUTED_VALUE"""),"")</f>
        <v/>
      </c>
    </row>
    <row r="5866">
      <c r="G5866" s="16" t="str">
        <f>IFERROR(__xludf.DUMMYFUNCTION("""COMPUTED_VALUE"""),"")</f>
        <v/>
      </c>
    </row>
    <row r="5867">
      <c r="G5867" s="16" t="str">
        <f>IFERROR(__xludf.DUMMYFUNCTION("""COMPUTED_VALUE"""),"")</f>
        <v/>
      </c>
    </row>
    <row r="5868">
      <c r="G5868" s="16" t="str">
        <f>IFERROR(__xludf.DUMMYFUNCTION("""COMPUTED_VALUE"""),"")</f>
        <v/>
      </c>
    </row>
    <row r="5869">
      <c r="G5869" s="16" t="str">
        <f>IFERROR(__xludf.DUMMYFUNCTION("""COMPUTED_VALUE"""),"")</f>
        <v/>
      </c>
    </row>
    <row r="5870">
      <c r="G5870" s="16" t="str">
        <f>IFERROR(__xludf.DUMMYFUNCTION("""COMPUTED_VALUE"""),"")</f>
        <v/>
      </c>
    </row>
    <row r="5871">
      <c r="G5871" s="16" t="str">
        <f>IFERROR(__xludf.DUMMYFUNCTION("""COMPUTED_VALUE"""),"")</f>
        <v/>
      </c>
    </row>
    <row r="5872">
      <c r="G5872" s="16" t="str">
        <f>IFERROR(__xludf.DUMMYFUNCTION("""COMPUTED_VALUE"""),"")</f>
        <v/>
      </c>
    </row>
    <row r="5873">
      <c r="G5873" s="16" t="str">
        <f>IFERROR(__xludf.DUMMYFUNCTION("""COMPUTED_VALUE"""),"")</f>
        <v/>
      </c>
    </row>
    <row r="5874">
      <c r="G5874" s="16" t="str">
        <f>IFERROR(__xludf.DUMMYFUNCTION("""COMPUTED_VALUE"""),"")</f>
        <v/>
      </c>
    </row>
    <row r="5875">
      <c r="G5875" s="16" t="str">
        <f>IFERROR(__xludf.DUMMYFUNCTION("""COMPUTED_VALUE"""),"")</f>
        <v/>
      </c>
    </row>
    <row r="5876">
      <c r="G5876" s="16" t="str">
        <f>IFERROR(__xludf.DUMMYFUNCTION("""COMPUTED_VALUE"""),"")</f>
        <v/>
      </c>
    </row>
    <row r="5877">
      <c r="G5877" s="16" t="str">
        <f>IFERROR(__xludf.DUMMYFUNCTION("""COMPUTED_VALUE"""),"")</f>
        <v/>
      </c>
    </row>
    <row r="5878">
      <c r="G5878" s="16" t="str">
        <f>IFERROR(__xludf.DUMMYFUNCTION("""COMPUTED_VALUE"""),"")</f>
        <v/>
      </c>
    </row>
    <row r="5879">
      <c r="G5879" s="16" t="str">
        <f>IFERROR(__xludf.DUMMYFUNCTION("""COMPUTED_VALUE"""),"")</f>
        <v/>
      </c>
    </row>
    <row r="5880">
      <c r="G5880" s="16" t="str">
        <f>IFERROR(__xludf.DUMMYFUNCTION("""COMPUTED_VALUE"""),"")</f>
        <v/>
      </c>
    </row>
    <row r="5881">
      <c r="G5881" s="16" t="str">
        <f>IFERROR(__xludf.DUMMYFUNCTION("""COMPUTED_VALUE"""),"")</f>
        <v/>
      </c>
    </row>
    <row r="5882">
      <c r="G5882" s="16" t="str">
        <f>IFERROR(__xludf.DUMMYFUNCTION("""COMPUTED_VALUE"""),"")</f>
        <v/>
      </c>
    </row>
    <row r="5883">
      <c r="G5883" s="16" t="str">
        <f>IFERROR(__xludf.DUMMYFUNCTION("""COMPUTED_VALUE"""),"")</f>
        <v/>
      </c>
    </row>
    <row r="5884">
      <c r="G5884" s="16" t="str">
        <f>IFERROR(__xludf.DUMMYFUNCTION("""COMPUTED_VALUE"""),"")</f>
        <v/>
      </c>
    </row>
    <row r="5885">
      <c r="G5885" s="16" t="str">
        <f>IFERROR(__xludf.DUMMYFUNCTION("""COMPUTED_VALUE"""),"")</f>
        <v/>
      </c>
    </row>
    <row r="5886">
      <c r="G5886" s="16" t="str">
        <f>IFERROR(__xludf.DUMMYFUNCTION("""COMPUTED_VALUE"""),"")</f>
        <v/>
      </c>
    </row>
    <row r="5887">
      <c r="G5887" s="16" t="str">
        <f>IFERROR(__xludf.DUMMYFUNCTION("""COMPUTED_VALUE"""),"")</f>
        <v/>
      </c>
    </row>
    <row r="5888">
      <c r="G5888" s="16" t="str">
        <f>IFERROR(__xludf.DUMMYFUNCTION("""COMPUTED_VALUE"""),"")</f>
        <v/>
      </c>
    </row>
    <row r="5889">
      <c r="G5889" s="16" t="str">
        <f>IFERROR(__xludf.DUMMYFUNCTION("""COMPUTED_VALUE"""),"")</f>
        <v/>
      </c>
    </row>
    <row r="5890">
      <c r="G5890" s="16" t="str">
        <f>IFERROR(__xludf.DUMMYFUNCTION("""COMPUTED_VALUE"""),"")</f>
        <v/>
      </c>
    </row>
    <row r="5891">
      <c r="G5891" s="16" t="str">
        <f>IFERROR(__xludf.DUMMYFUNCTION("""COMPUTED_VALUE"""),"")</f>
        <v/>
      </c>
    </row>
    <row r="5892">
      <c r="G5892" s="16" t="str">
        <f>IFERROR(__xludf.DUMMYFUNCTION("""COMPUTED_VALUE"""),"")</f>
        <v/>
      </c>
    </row>
    <row r="5893">
      <c r="G5893" s="16" t="str">
        <f>IFERROR(__xludf.DUMMYFUNCTION("""COMPUTED_VALUE"""),"")</f>
        <v/>
      </c>
    </row>
    <row r="5894">
      <c r="G5894" s="16" t="str">
        <f>IFERROR(__xludf.DUMMYFUNCTION("""COMPUTED_VALUE"""),"")</f>
        <v/>
      </c>
    </row>
    <row r="5895">
      <c r="G5895" s="16" t="str">
        <f>IFERROR(__xludf.DUMMYFUNCTION("""COMPUTED_VALUE"""),"")</f>
        <v/>
      </c>
    </row>
    <row r="5896">
      <c r="G5896" s="16" t="str">
        <f>IFERROR(__xludf.DUMMYFUNCTION("""COMPUTED_VALUE"""),"")</f>
        <v/>
      </c>
    </row>
    <row r="5897">
      <c r="G5897" s="16" t="str">
        <f>IFERROR(__xludf.DUMMYFUNCTION("""COMPUTED_VALUE"""),"")</f>
        <v/>
      </c>
    </row>
    <row r="5898">
      <c r="G5898" s="16" t="str">
        <f>IFERROR(__xludf.DUMMYFUNCTION("""COMPUTED_VALUE"""),"")</f>
        <v/>
      </c>
    </row>
    <row r="5899">
      <c r="G5899" s="16" t="str">
        <f>IFERROR(__xludf.DUMMYFUNCTION("""COMPUTED_VALUE"""),"")</f>
        <v/>
      </c>
    </row>
    <row r="5900">
      <c r="G5900" s="16" t="str">
        <f>IFERROR(__xludf.DUMMYFUNCTION("""COMPUTED_VALUE"""),"")</f>
        <v/>
      </c>
    </row>
    <row r="5901">
      <c r="G5901" s="16" t="str">
        <f>IFERROR(__xludf.DUMMYFUNCTION("""COMPUTED_VALUE"""),"")</f>
        <v/>
      </c>
    </row>
    <row r="5902">
      <c r="G5902" s="16" t="str">
        <f>IFERROR(__xludf.DUMMYFUNCTION("""COMPUTED_VALUE"""),"")</f>
        <v/>
      </c>
    </row>
    <row r="5903">
      <c r="G5903" s="16" t="str">
        <f>IFERROR(__xludf.DUMMYFUNCTION("""COMPUTED_VALUE"""),"")</f>
        <v/>
      </c>
    </row>
    <row r="5904">
      <c r="G5904" s="16" t="str">
        <f>IFERROR(__xludf.DUMMYFUNCTION("""COMPUTED_VALUE"""),"")</f>
        <v/>
      </c>
    </row>
    <row r="5905">
      <c r="G5905" s="16" t="str">
        <f>IFERROR(__xludf.DUMMYFUNCTION("""COMPUTED_VALUE"""),"")</f>
        <v/>
      </c>
    </row>
    <row r="5906">
      <c r="G5906" s="16" t="str">
        <f>IFERROR(__xludf.DUMMYFUNCTION("""COMPUTED_VALUE"""),"")</f>
        <v/>
      </c>
    </row>
    <row r="5907">
      <c r="G5907" s="16" t="str">
        <f>IFERROR(__xludf.DUMMYFUNCTION("""COMPUTED_VALUE"""),"")</f>
        <v/>
      </c>
    </row>
    <row r="5908">
      <c r="G5908" s="16" t="str">
        <f>IFERROR(__xludf.DUMMYFUNCTION("""COMPUTED_VALUE"""),"")</f>
        <v/>
      </c>
    </row>
    <row r="5909">
      <c r="G5909" s="16" t="str">
        <f>IFERROR(__xludf.DUMMYFUNCTION("""COMPUTED_VALUE"""),"")</f>
        <v/>
      </c>
    </row>
    <row r="5910">
      <c r="G5910" s="16" t="str">
        <f>IFERROR(__xludf.DUMMYFUNCTION("""COMPUTED_VALUE"""),"")</f>
        <v/>
      </c>
    </row>
    <row r="5911">
      <c r="G5911" s="16" t="str">
        <f>IFERROR(__xludf.DUMMYFUNCTION("""COMPUTED_VALUE"""),"")</f>
        <v/>
      </c>
    </row>
    <row r="5912">
      <c r="G5912" s="16" t="str">
        <f>IFERROR(__xludf.DUMMYFUNCTION("""COMPUTED_VALUE"""),"")</f>
        <v/>
      </c>
    </row>
    <row r="5913">
      <c r="G5913" s="16" t="str">
        <f>IFERROR(__xludf.DUMMYFUNCTION("""COMPUTED_VALUE"""),"")</f>
        <v/>
      </c>
    </row>
    <row r="5914">
      <c r="G5914" s="16" t="str">
        <f>IFERROR(__xludf.DUMMYFUNCTION("""COMPUTED_VALUE"""),"")</f>
        <v/>
      </c>
    </row>
    <row r="5915">
      <c r="G5915" s="16" t="str">
        <f>IFERROR(__xludf.DUMMYFUNCTION("""COMPUTED_VALUE"""),"")</f>
        <v/>
      </c>
    </row>
    <row r="5916">
      <c r="G5916" s="16" t="str">
        <f>IFERROR(__xludf.DUMMYFUNCTION("""COMPUTED_VALUE"""),"")</f>
        <v/>
      </c>
    </row>
    <row r="5917">
      <c r="G5917" s="16" t="str">
        <f>IFERROR(__xludf.DUMMYFUNCTION("""COMPUTED_VALUE"""),"")</f>
        <v/>
      </c>
    </row>
    <row r="5918">
      <c r="G5918" s="16" t="str">
        <f>IFERROR(__xludf.DUMMYFUNCTION("""COMPUTED_VALUE"""),"")</f>
        <v/>
      </c>
    </row>
    <row r="5919">
      <c r="G5919" s="16" t="str">
        <f>IFERROR(__xludf.DUMMYFUNCTION("""COMPUTED_VALUE"""),"")</f>
        <v/>
      </c>
    </row>
    <row r="5920">
      <c r="G5920" s="16" t="str">
        <f>IFERROR(__xludf.DUMMYFUNCTION("""COMPUTED_VALUE"""),"")</f>
        <v/>
      </c>
    </row>
    <row r="5921">
      <c r="G5921" s="16" t="str">
        <f>IFERROR(__xludf.DUMMYFUNCTION("""COMPUTED_VALUE"""),"")</f>
        <v/>
      </c>
    </row>
    <row r="5922">
      <c r="G5922" s="16" t="str">
        <f>IFERROR(__xludf.DUMMYFUNCTION("""COMPUTED_VALUE"""),"")</f>
        <v/>
      </c>
    </row>
    <row r="5923">
      <c r="G5923" s="16" t="str">
        <f>IFERROR(__xludf.DUMMYFUNCTION("""COMPUTED_VALUE"""),"")</f>
        <v/>
      </c>
    </row>
    <row r="5924">
      <c r="G5924" s="16" t="str">
        <f>IFERROR(__xludf.DUMMYFUNCTION("""COMPUTED_VALUE"""),"")</f>
        <v/>
      </c>
    </row>
    <row r="5925">
      <c r="G5925" s="16" t="str">
        <f>IFERROR(__xludf.DUMMYFUNCTION("""COMPUTED_VALUE"""),"")</f>
        <v/>
      </c>
    </row>
    <row r="5926">
      <c r="G5926" s="16" t="str">
        <f>IFERROR(__xludf.DUMMYFUNCTION("""COMPUTED_VALUE"""),"")</f>
        <v/>
      </c>
    </row>
    <row r="5927">
      <c r="G5927" s="16" t="str">
        <f>IFERROR(__xludf.DUMMYFUNCTION("""COMPUTED_VALUE"""),"")</f>
        <v/>
      </c>
    </row>
    <row r="5928">
      <c r="G5928" s="16" t="str">
        <f>IFERROR(__xludf.DUMMYFUNCTION("""COMPUTED_VALUE"""),"")</f>
        <v/>
      </c>
    </row>
    <row r="5929">
      <c r="G5929" s="16" t="str">
        <f>IFERROR(__xludf.DUMMYFUNCTION("""COMPUTED_VALUE"""),"")</f>
        <v/>
      </c>
    </row>
    <row r="5930">
      <c r="G5930" s="16" t="str">
        <f>IFERROR(__xludf.DUMMYFUNCTION("""COMPUTED_VALUE"""),"")</f>
        <v/>
      </c>
    </row>
    <row r="5931">
      <c r="G5931" s="16" t="str">
        <f>IFERROR(__xludf.DUMMYFUNCTION("""COMPUTED_VALUE"""),"")</f>
        <v/>
      </c>
    </row>
    <row r="5932">
      <c r="G5932" s="16" t="str">
        <f>IFERROR(__xludf.DUMMYFUNCTION("""COMPUTED_VALUE"""),"")</f>
        <v/>
      </c>
    </row>
    <row r="5933">
      <c r="G5933" s="16" t="str">
        <f>IFERROR(__xludf.DUMMYFUNCTION("""COMPUTED_VALUE"""),"")</f>
        <v/>
      </c>
    </row>
    <row r="5934">
      <c r="G5934" s="16" t="str">
        <f>IFERROR(__xludf.DUMMYFUNCTION("""COMPUTED_VALUE"""),"")</f>
        <v/>
      </c>
    </row>
    <row r="5935">
      <c r="G5935" s="16" t="str">
        <f>IFERROR(__xludf.DUMMYFUNCTION("""COMPUTED_VALUE"""),"")</f>
        <v/>
      </c>
    </row>
    <row r="5936">
      <c r="G5936" s="16" t="str">
        <f>IFERROR(__xludf.DUMMYFUNCTION("""COMPUTED_VALUE"""),"")</f>
        <v/>
      </c>
    </row>
    <row r="5937">
      <c r="G5937" s="16" t="str">
        <f>IFERROR(__xludf.DUMMYFUNCTION("""COMPUTED_VALUE"""),"")</f>
        <v/>
      </c>
    </row>
    <row r="5938">
      <c r="G5938" s="16" t="str">
        <f>IFERROR(__xludf.DUMMYFUNCTION("""COMPUTED_VALUE"""),"")</f>
        <v/>
      </c>
    </row>
    <row r="5939">
      <c r="G5939" s="16" t="str">
        <f>IFERROR(__xludf.DUMMYFUNCTION("""COMPUTED_VALUE"""),"")</f>
        <v/>
      </c>
    </row>
    <row r="5940">
      <c r="G5940" s="16" t="str">
        <f>IFERROR(__xludf.DUMMYFUNCTION("""COMPUTED_VALUE"""),"")</f>
        <v/>
      </c>
    </row>
    <row r="5941">
      <c r="G5941" s="16" t="str">
        <f>IFERROR(__xludf.DUMMYFUNCTION("""COMPUTED_VALUE"""),"")</f>
        <v/>
      </c>
    </row>
    <row r="5942">
      <c r="G5942" s="16" t="str">
        <f>IFERROR(__xludf.DUMMYFUNCTION("""COMPUTED_VALUE"""),"")</f>
        <v/>
      </c>
    </row>
    <row r="5943">
      <c r="G5943" s="16" t="str">
        <f>IFERROR(__xludf.DUMMYFUNCTION("""COMPUTED_VALUE"""),"")</f>
        <v/>
      </c>
    </row>
    <row r="5944">
      <c r="G5944" s="16" t="str">
        <f>IFERROR(__xludf.DUMMYFUNCTION("""COMPUTED_VALUE"""),"")</f>
        <v/>
      </c>
    </row>
    <row r="5945">
      <c r="G5945" s="16" t="str">
        <f>IFERROR(__xludf.DUMMYFUNCTION("""COMPUTED_VALUE"""),"")</f>
        <v/>
      </c>
    </row>
    <row r="5946">
      <c r="G5946" s="16" t="str">
        <f>IFERROR(__xludf.DUMMYFUNCTION("""COMPUTED_VALUE"""),"")</f>
        <v/>
      </c>
    </row>
    <row r="5947">
      <c r="G5947" s="16" t="str">
        <f>IFERROR(__xludf.DUMMYFUNCTION("""COMPUTED_VALUE"""),"")</f>
        <v/>
      </c>
    </row>
    <row r="5948">
      <c r="G5948" s="16" t="str">
        <f>IFERROR(__xludf.DUMMYFUNCTION("""COMPUTED_VALUE"""),"")</f>
        <v/>
      </c>
    </row>
    <row r="5949">
      <c r="G5949" s="16" t="str">
        <f>IFERROR(__xludf.DUMMYFUNCTION("""COMPUTED_VALUE"""),"")</f>
        <v/>
      </c>
    </row>
    <row r="5950">
      <c r="G5950" s="16" t="str">
        <f>IFERROR(__xludf.DUMMYFUNCTION("""COMPUTED_VALUE"""),"")</f>
        <v/>
      </c>
    </row>
    <row r="5951">
      <c r="G5951" s="16" t="str">
        <f>IFERROR(__xludf.DUMMYFUNCTION("""COMPUTED_VALUE"""),"")</f>
        <v/>
      </c>
    </row>
    <row r="5952">
      <c r="G5952" s="16" t="str">
        <f>IFERROR(__xludf.DUMMYFUNCTION("""COMPUTED_VALUE"""),"")</f>
        <v/>
      </c>
    </row>
    <row r="5953">
      <c r="G5953" s="16" t="str">
        <f>IFERROR(__xludf.DUMMYFUNCTION("""COMPUTED_VALUE"""),"")</f>
        <v/>
      </c>
    </row>
    <row r="5954">
      <c r="G5954" s="16" t="str">
        <f>IFERROR(__xludf.DUMMYFUNCTION("""COMPUTED_VALUE"""),"")</f>
        <v/>
      </c>
    </row>
    <row r="5955">
      <c r="G5955" s="16" t="str">
        <f>IFERROR(__xludf.DUMMYFUNCTION("""COMPUTED_VALUE"""),"")</f>
        <v/>
      </c>
    </row>
    <row r="5956">
      <c r="G5956" s="16" t="str">
        <f>IFERROR(__xludf.DUMMYFUNCTION("""COMPUTED_VALUE"""),"")</f>
        <v/>
      </c>
    </row>
    <row r="5957">
      <c r="G5957" s="16" t="str">
        <f>IFERROR(__xludf.DUMMYFUNCTION("""COMPUTED_VALUE"""),"")</f>
        <v/>
      </c>
    </row>
    <row r="5958">
      <c r="G5958" s="16" t="str">
        <f>IFERROR(__xludf.DUMMYFUNCTION("""COMPUTED_VALUE"""),"")</f>
        <v/>
      </c>
    </row>
    <row r="5959">
      <c r="G5959" s="16" t="str">
        <f>IFERROR(__xludf.DUMMYFUNCTION("""COMPUTED_VALUE"""),"")</f>
        <v/>
      </c>
    </row>
    <row r="5960">
      <c r="G5960" s="16" t="str">
        <f>IFERROR(__xludf.DUMMYFUNCTION("""COMPUTED_VALUE"""),"")</f>
        <v/>
      </c>
    </row>
    <row r="5961">
      <c r="G5961" s="16" t="str">
        <f>IFERROR(__xludf.DUMMYFUNCTION("""COMPUTED_VALUE"""),"")</f>
        <v/>
      </c>
    </row>
    <row r="5962">
      <c r="G5962" s="16" t="str">
        <f>IFERROR(__xludf.DUMMYFUNCTION("""COMPUTED_VALUE"""),"")</f>
        <v/>
      </c>
    </row>
    <row r="5963">
      <c r="G5963" s="16" t="str">
        <f>IFERROR(__xludf.DUMMYFUNCTION("""COMPUTED_VALUE"""),"")</f>
        <v/>
      </c>
    </row>
    <row r="5964">
      <c r="G5964" s="16" t="str">
        <f>IFERROR(__xludf.DUMMYFUNCTION("""COMPUTED_VALUE"""),"")</f>
        <v/>
      </c>
    </row>
    <row r="5965">
      <c r="G5965" s="16" t="str">
        <f>IFERROR(__xludf.DUMMYFUNCTION("""COMPUTED_VALUE"""),"")</f>
        <v/>
      </c>
    </row>
    <row r="5966">
      <c r="G5966" s="16" t="str">
        <f>IFERROR(__xludf.DUMMYFUNCTION("""COMPUTED_VALUE"""),"")</f>
        <v/>
      </c>
    </row>
    <row r="5967">
      <c r="G5967" s="16" t="str">
        <f>IFERROR(__xludf.DUMMYFUNCTION("""COMPUTED_VALUE"""),"")</f>
        <v/>
      </c>
    </row>
    <row r="5968">
      <c r="G5968" s="16" t="str">
        <f>IFERROR(__xludf.DUMMYFUNCTION("""COMPUTED_VALUE"""),"")</f>
        <v/>
      </c>
    </row>
    <row r="5969">
      <c r="G5969" s="16" t="str">
        <f>IFERROR(__xludf.DUMMYFUNCTION("""COMPUTED_VALUE"""),"")</f>
        <v/>
      </c>
    </row>
    <row r="5970">
      <c r="G5970" s="16" t="str">
        <f>IFERROR(__xludf.DUMMYFUNCTION("""COMPUTED_VALUE"""),"")</f>
        <v/>
      </c>
    </row>
    <row r="5971">
      <c r="G5971" s="16" t="str">
        <f>IFERROR(__xludf.DUMMYFUNCTION("""COMPUTED_VALUE"""),"")</f>
        <v/>
      </c>
    </row>
    <row r="5972">
      <c r="G5972" s="16" t="str">
        <f>IFERROR(__xludf.DUMMYFUNCTION("""COMPUTED_VALUE"""),"")</f>
        <v/>
      </c>
    </row>
    <row r="5973">
      <c r="G5973" s="16" t="str">
        <f>IFERROR(__xludf.DUMMYFUNCTION("""COMPUTED_VALUE"""),"")</f>
        <v/>
      </c>
    </row>
    <row r="5974">
      <c r="G5974" s="16" t="str">
        <f>IFERROR(__xludf.DUMMYFUNCTION("""COMPUTED_VALUE"""),"")</f>
        <v/>
      </c>
    </row>
    <row r="5975">
      <c r="G5975" s="16" t="str">
        <f>IFERROR(__xludf.DUMMYFUNCTION("""COMPUTED_VALUE"""),"")</f>
        <v/>
      </c>
    </row>
    <row r="5976">
      <c r="G5976" s="16" t="str">
        <f>IFERROR(__xludf.DUMMYFUNCTION("""COMPUTED_VALUE"""),"")</f>
        <v/>
      </c>
    </row>
    <row r="5977">
      <c r="G5977" s="16" t="str">
        <f>IFERROR(__xludf.DUMMYFUNCTION("""COMPUTED_VALUE"""),"")</f>
        <v/>
      </c>
    </row>
    <row r="5978">
      <c r="G5978" s="16" t="str">
        <f>IFERROR(__xludf.DUMMYFUNCTION("""COMPUTED_VALUE"""),"")</f>
        <v/>
      </c>
    </row>
    <row r="5979">
      <c r="G5979" s="16" t="str">
        <f>IFERROR(__xludf.DUMMYFUNCTION("""COMPUTED_VALUE"""),"")</f>
        <v/>
      </c>
    </row>
    <row r="5980">
      <c r="G5980" s="16" t="str">
        <f>IFERROR(__xludf.DUMMYFUNCTION("""COMPUTED_VALUE"""),"")</f>
        <v/>
      </c>
    </row>
    <row r="5981">
      <c r="G5981" s="16" t="str">
        <f>IFERROR(__xludf.DUMMYFUNCTION("""COMPUTED_VALUE"""),"")</f>
        <v/>
      </c>
    </row>
    <row r="5982">
      <c r="G5982" s="16" t="str">
        <f>IFERROR(__xludf.DUMMYFUNCTION("""COMPUTED_VALUE"""),"")</f>
        <v/>
      </c>
    </row>
    <row r="5983">
      <c r="G5983" s="16" t="str">
        <f>IFERROR(__xludf.DUMMYFUNCTION("""COMPUTED_VALUE"""),"")</f>
        <v/>
      </c>
    </row>
    <row r="5984">
      <c r="G5984" s="16" t="str">
        <f>IFERROR(__xludf.DUMMYFUNCTION("""COMPUTED_VALUE"""),"")</f>
        <v/>
      </c>
    </row>
    <row r="5985">
      <c r="G5985" s="16" t="str">
        <f>IFERROR(__xludf.DUMMYFUNCTION("""COMPUTED_VALUE"""),"")</f>
        <v/>
      </c>
    </row>
    <row r="5986">
      <c r="G5986" s="16" t="str">
        <f>IFERROR(__xludf.DUMMYFUNCTION("""COMPUTED_VALUE"""),"")</f>
        <v/>
      </c>
    </row>
    <row r="5987">
      <c r="G5987" s="16" t="str">
        <f>IFERROR(__xludf.DUMMYFUNCTION("""COMPUTED_VALUE"""),"")</f>
        <v/>
      </c>
    </row>
    <row r="5988">
      <c r="G5988" s="16" t="str">
        <f>IFERROR(__xludf.DUMMYFUNCTION("""COMPUTED_VALUE"""),"")</f>
        <v/>
      </c>
    </row>
    <row r="5989">
      <c r="G5989" s="16" t="str">
        <f>IFERROR(__xludf.DUMMYFUNCTION("""COMPUTED_VALUE"""),"")</f>
        <v/>
      </c>
    </row>
    <row r="5990">
      <c r="G5990" s="16" t="str">
        <f>IFERROR(__xludf.DUMMYFUNCTION("""COMPUTED_VALUE"""),"")</f>
        <v/>
      </c>
    </row>
    <row r="5991">
      <c r="G5991" s="16" t="str">
        <f>IFERROR(__xludf.DUMMYFUNCTION("""COMPUTED_VALUE"""),"")</f>
        <v/>
      </c>
    </row>
    <row r="5992">
      <c r="G5992" s="16" t="str">
        <f>IFERROR(__xludf.DUMMYFUNCTION("""COMPUTED_VALUE"""),"")</f>
        <v/>
      </c>
    </row>
    <row r="5993">
      <c r="G5993" s="16" t="str">
        <f>IFERROR(__xludf.DUMMYFUNCTION("""COMPUTED_VALUE"""),"")</f>
        <v/>
      </c>
    </row>
    <row r="5994">
      <c r="G5994" s="16" t="str">
        <f>IFERROR(__xludf.DUMMYFUNCTION("""COMPUTED_VALUE"""),"")</f>
        <v/>
      </c>
    </row>
    <row r="5995">
      <c r="G5995" s="16" t="str">
        <f>IFERROR(__xludf.DUMMYFUNCTION("""COMPUTED_VALUE"""),"")</f>
        <v/>
      </c>
    </row>
    <row r="5996">
      <c r="G5996" s="16" t="str">
        <f>IFERROR(__xludf.DUMMYFUNCTION("""COMPUTED_VALUE"""),"")</f>
        <v/>
      </c>
    </row>
    <row r="5997">
      <c r="G5997" s="16" t="str">
        <f>IFERROR(__xludf.DUMMYFUNCTION("""COMPUTED_VALUE"""),"")</f>
        <v/>
      </c>
    </row>
    <row r="5998">
      <c r="G5998" s="16" t="str">
        <f>IFERROR(__xludf.DUMMYFUNCTION("""COMPUTED_VALUE"""),"")</f>
        <v/>
      </c>
    </row>
    <row r="5999">
      <c r="G5999" s="16" t="str">
        <f>IFERROR(__xludf.DUMMYFUNCTION("""COMPUTED_VALUE"""),"")</f>
        <v/>
      </c>
    </row>
    <row r="6000">
      <c r="G6000" s="16" t="str">
        <f>IFERROR(__xludf.DUMMYFUNCTION("""COMPUTED_VALUE"""),"")</f>
        <v/>
      </c>
    </row>
    <row r="6001">
      <c r="G6001" s="16" t="str">
        <f>IFERROR(__xludf.DUMMYFUNCTION("""COMPUTED_VALUE"""),"")</f>
        <v/>
      </c>
    </row>
    <row r="6002">
      <c r="G6002" s="16" t="str">
        <f>IFERROR(__xludf.DUMMYFUNCTION("""COMPUTED_VALUE"""),"")</f>
        <v/>
      </c>
    </row>
    <row r="6003">
      <c r="G6003" s="16" t="str">
        <f>IFERROR(__xludf.DUMMYFUNCTION("""COMPUTED_VALUE"""),"")</f>
        <v/>
      </c>
    </row>
    <row r="6004">
      <c r="G6004" s="16" t="str">
        <f>IFERROR(__xludf.DUMMYFUNCTION("""COMPUTED_VALUE"""),"")</f>
        <v/>
      </c>
    </row>
    <row r="6005">
      <c r="G6005" s="16" t="str">
        <f>IFERROR(__xludf.DUMMYFUNCTION("""COMPUTED_VALUE"""),"")</f>
        <v/>
      </c>
    </row>
    <row r="6006">
      <c r="G6006" s="16" t="str">
        <f>IFERROR(__xludf.DUMMYFUNCTION("""COMPUTED_VALUE"""),"")</f>
        <v/>
      </c>
    </row>
    <row r="6007">
      <c r="G6007" s="16" t="str">
        <f>IFERROR(__xludf.DUMMYFUNCTION("""COMPUTED_VALUE"""),"")</f>
        <v/>
      </c>
    </row>
    <row r="6008">
      <c r="G6008" s="16" t="str">
        <f>IFERROR(__xludf.DUMMYFUNCTION("""COMPUTED_VALUE"""),"")</f>
        <v/>
      </c>
    </row>
    <row r="6009">
      <c r="G6009" s="16" t="str">
        <f>IFERROR(__xludf.DUMMYFUNCTION("""COMPUTED_VALUE"""),"")</f>
        <v/>
      </c>
    </row>
    <row r="6010">
      <c r="G6010" s="16" t="str">
        <f>IFERROR(__xludf.DUMMYFUNCTION("""COMPUTED_VALUE"""),"")</f>
        <v/>
      </c>
    </row>
    <row r="6011">
      <c r="G6011" s="16" t="str">
        <f>IFERROR(__xludf.DUMMYFUNCTION("""COMPUTED_VALUE"""),"")</f>
        <v/>
      </c>
    </row>
    <row r="6012">
      <c r="G6012" s="16" t="str">
        <f>IFERROR(__xludf.DUMMYFUNCTION("""COMPUTED_VALUE"""),"")</f>
        <v/>
      </c>
    </row>
    <row r="6013">
      <c r="G6013" s="16" t="str">
        <f>IFERROR(__xludf.DUMMYFUNCTION("""COMPUTED_VALUE"""),"")</f>
        <v/>
      </c>
    </row>
    <row r="6014">
      <c r="G6014" s="16" t="str">
        <f>IFERROR(__xludf.DUMMYFUNCTION("""COMPUTED_VALUE"""),"")</f>
        <v/>
      </c>
    </row>
    <row r="6015">
      <c r="G6015" s="16" t="str">
        <f>IFERROR(__xludf.DUMMYFUNCTION("""COMPUTED_VALUE"""),"")</f>
        <v/>
      </c>
    </row>
    <row r="6016">
      <c r="G6016" s="16" t="str">
        <f>IFERROR(__xludf.DUMMYFUNCTION("""COMPUTED_VALUE"""),"")</f>
        <v/>
      </c>
    </row>
    <row r="6017">
      <c r="G6017" s="16" t="str">
        <f>IFERROR(__xludf.DUMMYFUNCTION("""COMPUTED_VALUE"""),"")</f>
        <v/>
      </c>
    </row>
    <row r="6018">
      <c r="G6018" s="16" t="str">
        <f>IFERROR(__xludf.DUMMYFUNCTION("""COMPUTED_VALUE"""),"")</f>
        <v/>
      </c>
    </row>
    <row r="6019">
      <c r="G6019" s="16" t="str">
        <f>IFERROR(__xludf.DUMMYFUNCTION("""COMPUTED_VALUE"""),"")</f>
        <v/>
      </c>
    </row>
    <row r="6020">
      <c r="G6020" s="16" t="str">
        <f>IFERROR(__xludf.DUMMYFUNCTION("""COMPUTED_VALUE"""),"")</f>
        <v/>
      </c>
    </row>
    <row r="6021">
      <c r="G6021" s="16" t="str">
        <f>IFERROR(__xludf.DUMMYFUNCTION("""COMPUTED_VALUE"""),"")</f>
        <v/>
      </c>
    </row>
    <row r="6022">
      <c r="G6022" s="16" t="str">
        <f>IFERROR(__xludf.DUMMYFUNCTION("""COMPUTED_VALUE"""),"")</f>
        <v/>
      </c>
    </row>
    <row r="6023">
      <c r="G6023" s="16" t="str">
        <f>IFERROR(__xludf.DUMMYFUNCTION("""COMPUTED_VALUE"""),"")</f>
        <v/>
      </c>
    </row>
    <row r="6024">
      <c r="G6024" s="16" t="str">
        <f>IFERROR(__xludf.DUMMYFUNCTION("""COMPUTED_VALUE"""),"")</f>
        <v/>
      </c>
    </row>
    <row r="6025">
      <c r="G6025" s="16" t="str">
        <f>IFERROR(__xludf.DUMMYFUNCTION("""COMPUTED_VALUE"""),"")</f>
        <v/>
      </c>
    </row>
    <row r="6026">
      <c r="G6026" s="16" t="str">
        <f>IFERROR(__xludf.DUMMYFUNCTION("""COMPUTED_VALUE"""),"")</f>
        <v/>
      </c>
    </row>
    <row r="6027">
      <c r="G6027" s="16" t="str">
        <f>IFERROR(__xludf.DUMMYFUNCTION("""COMPUTED_VALUE"""),"")</f>
        <v/>
      </c>
    </row>
    <row r="6028">
      <c r="G6028" s="16" t="str">
        <f>IFERROR(__xludf.DUMMYFUNCTION("""COMPUTED_VALUE"""),"")</f>
        <v/>
      </c>
    </row>
    <row r="6029">
      <c r="G6029" s="16" t="str">
        <f>IFERROR(__xludf.DUMMYFUNCTION("""COMPUTED_VALUE"""),"")</f>
        <v/>
      </c>
    </row>
    <row r="6030">
      <c r="G6030" s="16" t="str">
        <f>IFERROR(__xludf.DUMMYFUNCTION("""COMPUTED_VALUE"""),"")</f>
        <v/>
      </c>
    </row>
    <row r="6031">
      <c r="G6031" s="16" t="str">
        <f>IFERROR(__xludf.DUMMYFUNCTION("""COMPUTED_VALUE"""),"")</f>
        <v/>
      </c>
    </row>
    <row r="6032">
      <c r="G6032" s="16" t="str">
        <f>IFERROR(__xludf.DUMMYFUNCTION("""COMPUTED_VALUE"""),"")</f>
        <v/>
      </c>
    </row>
    <row r="6033">
      <c r="G6033" s="16" t="str">
        <f>IFERROR(__xludf.DUMMYFUNCTION("""COMPUTED_VALUE"""),"")</f>
        <v/>
      </c>
    </row>
    <row r="6034">
      <c r="G6034" s="16" t="str">
        <f>IFERROR(__xludf.DUMMYFUNCTION("""COMPUTED_VALUE"""),"")</f>
        <v/>
      </c>
    </row>
    <row r="6035">
      <c r="G6035" s="16" t="str">
        <f>IFERROR(__xludf.DUMMYFUNCTION("""COMPUTED_VALUE"""),"")</f>
        <v/>
      </c>
    </row>
    <row r="6036">
      <c r="G6036" s="16" t="str">
        <f>IFERROR(__xludf.DUMMYFUNCTION("""COMPUTED_VALUE"""),"")</f>
        <v/>
      </c>
    </row>
    <row r="6037">
      <c r="G6037" s="16" t="str">
        <f>IFERROR(__xludf.DUMMYFUNCTION("""COMPUTED_VALUE"""),"")</f>
        <v/>
      </c>
    </row>
    <row r="6038">
      <c r="G6038" s="16" t="str">
        <f>IFERROR(__xludf.DUMMYFUNCTION("""COMPUTED_VALUE"""),"")</f>
        <v/>
      </c>
    </row>
    <row r="6039">
      <c r="G6039" s="16" t="str">
        <f>IFERROR(__xludf.DUMMYFUNCTION("""COMPUTED_VALUE"""),"")</f>
        <v/>
      </c>
    </row>
    <row r="6040">
      <c r="G6040" s="16" t="str">
        <f>IFERROR(__xludf.DUMMYFUNCTION("""COMPUTED_VALUE"""),"")</f>
        <v/>
      </c>
    </row>
    <row r="6041">
      <c r="G6041" s="16" t="str">
        <f>IFERROR(__xludf.DUMMYFUNCTION("""COMPUTED_VALUE"""),"")</f>
        <v/>
      </c>
    </row>
    <row r="6042">
      <c r="G6042" s="16" t="str">
        <f>IFERROR(__xludf.DUMMYFUNCTION("""COMPUTED_VALUE"""),"")</f>
        <v/>
      </c>
    </row>
    <row r="6043">
      <c r="G6043" s="16" t="str">
        <f>IFERROR(__xludf.DUMMYFUNCTION("""COMPUTED_VALUE"""),"")</f>
        <v/>
      </c>
    </row>
    <row r="6044">
      <c r="G6044" s="16" t="str">
        <f>IFERROR(__xludf.DUMMYFUNCTION("""COMPUTED_VALUE"""),"")</f>
        <v/>
      </c>
    </row>
    <row r="6045">
      <c r="G6045" s="16" t="str">
        <f>IFERROR(__xludf.DUMMYFUNCTION("""COMPUTED_VALUE"""),"")</f>
        <v/>
      </c>
    </row>
    <row r="6046">
      <c r="G6046" s="16" t="str">
        <f>IFERROR(__xludf.DUMMYFUNCTION("""COMPUTED_VALUE"""),"")</f>
        <v/>
      </c>
    </row>
    <row r="6047">
      <c r="G6047" s="16" t="str">
        <f>IFERROR(__xludf.DUMMYFUNCTION("""COMPUTED_VALUE"""),"")</f>
        <v/>
      </c>
    </row>
    <row r="6048">
      <c r="G6048" s="16" t="str">
        <f>IFERROR(__xludf.DUMMYFUNCTION("""COMPUTED_VALUE"""),"")</f>
        <v/>
      </c>
    </row>
    <row r="6049">
      <c r="G6049" s="16" t="str">
        <f>IFERROR(__xludf.DUMMYFUNCTION("""COMPUTED_VALUE"""),"")</f>
        <v/>
      </c>
    </row>
    <row r="6050">
      <c r="G6050" s="16" t="str">
        <f>IFERROR(__xludf.DUMMYFUNCTION("""COMPUTED_VALUE"""),"")</f>
        <v/>
      </c>
    </row>
    <row r="6051">
      <c r="G6051" s="16" t="str">
        <f>IFERROR(__xludf.DUMMYFUNCTION("""COMPUTED_VALUE"""),"")</f>
        <v/>
      </c>
    </row>
    <row r="6052">
      <c r="G6052" s="16" t="str">
        <f>IFERROR(__xludf.DUMMYFUNCTION("""COMPUTED_VALUE"""),"")</f>
        <v/>
      </c>
    </row>
    <row r="6053">
      <c r="G6053" s="16" t="str">
        <f>IFERROR(__xludf.DUMMYFUNCTION("""COMPUTED_VALUE"""),"")</f>
        <v/>
      </c>
    </row>
    <row r="6054">
      <c r="G6054" s="16" t="str">
        <f>IFERROR(__xludf.DUMMYFUNCTION("""COMPUTED_VALUE"""),"")</f>
        <v/>
      </c>
    </row>
    <row r="6055">
      <c r="G6055" s="16" t="str">
        <f>IFERROR(__xludf.DUMMYFUNCTION("""COMPUTED_VALUE"""),"")</f>
        <v/>
      </c>
    </row>
    <row r="6056">
      <c r="G6056" s="16" t="str">
        <f>IFERROR(__xludf.DUMMYFUNCTION("""COMPUTED_VALUE"""),"")</f>
        <v/>
      </c>
    </row>
    <row r="6057">
      <c r="G6057" s="16" t="str">
        <f>IFERROR(__xludf.DUMMYFUNCTION("""COMPUTED_VALUE"""),"")</f>
        <v/>
      </c>
    </row>
    <row r="6058">
      <c r="G6058" s="16" t="str">
        <f>IFERROR(__xludf.DUMMYFUNCTION("""COMPUTED_VALUE"""),"")</f>
        <v/>
      </c>
    </row>
    <row r="6059">
      <c r="G6059" s="16" t="str">
        <f>IFERROR(__xludf.DUMMYFUNCTION("""COMPUTED_VALUE"""),"")</f>
        <v/>
      </c>
    </row>
    <row r="6060">
      <c r="G6060" s="16" t="str">
        <f>IFERROR(__xludf.DUMMYFUNCTION("""COMPUTED_VALUE"""),"")</f>
        <v/>
      </c>
    </row>
    <row r="6061">
      <c r="G6061" s="16" t="str">
        <f>IFERROR(__xludf.DUMMYFUNCTION("""COMPUTED_VALUE"""),"")</f>
        <v/>
      </c>
    </row>
    <row r="6062">
      <c r="G6062" s="16" t="str">
        <f>IFERROR(__xludf.DUMMYFUNCTION("""COMPUTED_VALUE"""),"")</f>
        <v/>
      </c>
    </row>
    <row r="6063">
      <c r="G6063" s="16" t="str">
        <f>IFERROR(__xludf.DUMMYFUNCTION("""COMPUTED_VALUE"""),"")</f>
        <v/>
      </c>
    </row>
    <row r="6064">
      <c r="G6064" s="16" t="str">
        <f>IFERROR(__xludf.DUMMYFUNCTION("""COMPUTED_VALUE"""),"")</f>
        <v/>
      </c>
    </row>
    <row r="6065">
      <c r="G6065" s="16" t="str">
        <f>IFERROR(__xludf.DUMMYFUNCTION("""COMPUTED_VALUE"""),"")</f>
        <v/>
      </c>
    </row>
    <row r="6066">
      <c r="G6066" s="16" t="str">
        <f>IFERROR(__xludf.DUMMYFUNCTION("""COMPUTED_VALUE"""),"")</f>
        <v/>
      </c>
    </row>
    <row r="6067">
      <c r="G6067" s="16" t="str">
        <f>IFERROR(__xludf.DUMMYFUNCTION("""COMPUTED_VALUE"""),"")</f>
        <v/>
      </c>
    </row>
    <row r="6068">
      <c r="G6068" s="16" t="str">
        <f>IFERROR(__xludf.DUMMYFUNCTION("""COMPUTED_VALUE"""),"")</f>
        <v/>
      </c>
    </row>
    <row r="6069">
      <c r="G6069" s="16" t="str">
        <f>IFERROR(__xludf.DUMMYFUNCTION("""COMPUTED_VALUE"""),"")</f>
        <v/>
      </c>
    </row>
    <row r="6070">
      <c r="G6070" s="16" t="str">
        <f>IFERROR(__xludf.DUMMYFUNCTION("""COMPUTED_VALUE"""),"")</f>
        <v/>
      </c>
    </row>
    <row r="6071">
      <c r="G6071" s="16" t="str">
        <f>IFERROR(__xludf.DUMMYFUNCTION("""COMPUTED_VALUE"""),"")</f>
        <v/>
      </c>
    </row>
    <row r="6072">
      <c r="G6072" s="16" t="str">
        <f>IFERROR(__xludf.DUMMYFUNCTION("""COMPUTED_VALUE"""),"")</f>
        <v/>
      </c>
    </row>
    <row r="6073">
      <c r="G6073" s="16" t="str">
        <f>IFERROR(__xludf.DUMMYFUNCTION("""COMPUTED_VALUE"""),"")</f>
        <v/>
      </c>
    </row>
    <row r="6074">
      <c r="G6074" s="16" t="str">
        <f>IFERROR(__xludf.DUMMYFUNCTION("""COMPUTED_VALUE"""),"")</f>
        <v/>
      </c>
    </row>
    <row r="6075">
      <c r="G6075" s="16" t="str">
        <f>IFERROR(__xludf.DUMMYFUNCTION("""COMPUTED_VALUE"""),"")</f>
        <v/>
      </c>
    </row>
    <row r="6076">
      <c r="G6076" s="16" t="str">
        <f>IFERROR(__xludf.DUMMYFUNCTION("""COMPUTED_VALUE"""),"")</f>
        <v/>
      </c>
    </row>
    <row r="6077">
      <c r="G6077" s="16" t="str">
        <f>IFERROR(__xludf.DUMMYFUNCTION("""COMPUTED_VALUE"""),"")</f>
        <v/>
      </c>
    </row>
    <row r="6078">
      <c r="G6078" s="16" t="str">
        <f>IFERROR(__xludf.DUMMYFUNCTION("""COMPUTED_VALUE"""),"")</f>
        <v/>
      </c>
    </row>
    <row r="6079">
      <c r="G6079" s="16" t="str">
        <f>IFERROR(__xludf.DUMMYFUNCTION("""COMPUTED_VALUE"""),"")</f>
        <v/>
      </c>
    </row>
    <row r="6080">
      <c r="G6080" s="16" t="str">
        <f>IFERROR(__xludf.DUMMYFUNCTION("""COMPUTED_VALUE"""),"")</f>
        <v/>
      </c>
    </row>
    <row r="6081">
      <c r="G6081" s="16" t="str">
        <f>IFERROR(__xludf.DUMMYFUNCTION("""COMPUTED_VALUE"""),"")</f>
        <v/>
      </c>
    </row>
    <row r="6082">
      <c r="G6082" s="16" t="str">
        <f>IFERROR(__xludf.DUMMYFUNCTION("""COMPUTED_VALUE"""),"")</f>
        <v/>
      </c>
    </row>
    <row r="6083">
      <c r="G6083" s="16" t="str">
        <f>IFERROR(__xludf.DUMMYFUNCTION("""COMPUTED_VALUE"""),"")</f>
        <v/>
      </c>
    </row>
    <row r="6084">
      <c r="G6084" s="16" t="str">
        <f>IFERROR(__xludf.DUMMYFUNCTION("""COMPUTED_VALUE"""),"")</f>
        <v/>
      </c>
    </row>
    <row r="6085">
      <c r="G6085" s="16" t="str">
        <f>IFERROR(__xludf.DUMMYFUNCTION("""COMPUTED_VALUE"""),"")</f>
        <v/>
      </c>
    </row>
    <row r="6086">
      <c r="G6086" s="16" t="str">
        <f>IFERROR(__xludf.DUMMYFUNCTION("""COMPUTED_VALUE"""),"")</f>
        <v/>
      </c>
    </row>
    <row r="6087">
      <c r="G6087" s="16" t="str">
        <f>IFERROR(__xludf.DUMMYFUNCTION("""COMPUTED_VALUE"""),"")</f>
        <v/>
      </c>
    </row>
    <row r="6088">
      <c r="G6088" s="16" t="str">
        <f>IFERROR(__xludf.DUMMYFUNCTION("""COMPUTED_VALUE"""),"")</f>
        <v/>
      </c>
    </row>
    <row r="6089">
      <c r="G6089" s="16" t="str">
        <f>IFERROR(__xludf.DUMMYFUNCTION("""COMPUTED_VALUE"""),"")</f>
        <v/>
      </c>
    </row>
    <row r="6090">
      <c r="G6090" s="16" t="str">
        <f>IFERROR(__xludf.DUMMYFUNCTION("""COMPUTED_VALUE"""),"")</f>
        <v/>
      </c>
    </row>
    <row r="6091">
      <c r="G6091" s="16" t="str">
        <f>IFERROR(__xludf.DUMMYFUNCTION("""COMPUTED_VALUE"""),"")</f>
        <v/>
      </c>
    </row>
    <row r="6092">
      <c r="G6092" s="16" t="str">
        <f>IFERROR(__xludf.DUMMYFUNCTION("""COMPUTED_VALUE"""),"")</f>
        <v/>
      </c>
    </row>
    <row r="6093">
      <c r="G6093" s="16" t="str">
        <f>IFERROR(__xludf.DUMMYFUNCTION("""COMPUTED_VALUE"""),"")</f>
        <v/>
      </c>
    </row>
    <row r="6094">
      <c r="G6094" s="16" t="str">
        <f>IFERROR(__xludf.DUMMYFUNCTION("""COMPUTED_VALUE"""),"")</f>
        <v/>
      </c>
    </row>
    <row r="6095">
      <c r="G6095" s="16" t="str">
        <f>IFERROR(__xludf.DUMMYFUNCTION("""COMPUTED_VALUE"""),"")</f>
        <v/>
      </c>
    </row>
    <row r="6096">
      <c r="G6096" s="16" t="str">
        <f>IFERROR(__xludf.DUMMYFUNCTION("""COMPUTED_VALUE"""),"")</f>
        <v/>
      </c>
    </row>
    <row r="6097">
      <c r="G6097" s="16" t="str">
        <f>IFERROR(__xludf.DUMMYFUNCTION("""COMPUTED_VALUE"""),"")</f>
        <v/>
      </c>
    </row>
    <row r="6098">
      <c r="G6098" s="16" t="str">
        <f>IFERROR(__xludf.DUMMYFUNCTION("""COMPUTED_VALUE"""),"")</f>
        <v/>
      </c>
    </row>
    <row r="6099">
      <c r="G6099" s="16" t="str">
        <f>IFERROR(__xludf.DUMMYFUNCTION("""COMPUTED_VALUE"""),"")</f>
        <v/>
      </c>
    </row>
    <row r="6100">
      <c r="G6100" s="16" t="str">
        <f>IFERROR(__xludf.DUMMYFUNCTION("""COMPUTED_VALUE"""),"")</f>
        <v/>
      </c>
    </row>
    <row r="6101">
      <c r="G6101" s="16" t="str">
        <f>IFERROR(__xludf.DUMMYFUNCTION("""COMPUTED_VALUE"""),"")</f>
        <v/>
      </c>
    </row>
    <row r="6102">
      <c r="G6102" s="16" t="str">
        <f>IFERROR(__xludf.DUMMYFUNCTION("""COMPUTED_VALUE"""),"")</f>
        <v/>
      </c>
    </row>
    <row r="6103">
      <c r="G6103" s="16" t="str">
        <f>IFERROR(__xludf.DUMMYFUNCTION("""COMPUTED_VALUE"""),"")</f>
        <v/>
      </c>
    </row>
    <row r="6104">
      <c r="G6104" s="16" t="str">
        <f>IFERROR(__xludf.DUMMYFUNCTION("""COMPUTED_VALUE"""),"")</f>
        <v/>
      </c>
    </row>
    <row r="6105">
      <c r="G6105" s="16" t="str">
        <f>IFERROR(__xludf.DUMMYFUNCTION("""COMPUTED_VALUE"""),"")</f>
        <v/>
      </c>
    </row>
    <row r="6106">
      <c r="G6106" s="16" t="str">
        <f>IFERROR(__xludf.DUMMYFUNCTION("""COMPUTED_VALUE"""),"")</f>
        <v/>
      </c>
    </row>
    <row r="6107">
      <c r="G6107" s="16" t="str">
        <f>IFERROR(__xludf.DUMMYFUNCTION("""COMPUTED_VALUE"""),"")</f>
        <v/>
      </c>
    </row>
    <row r="6108">
      <c r="G6108" s="16" t="str">
        <f>IFERROR(__xludf.DUMMYFUNCTION("""COMPUTED_VALUE"""),"")</f>
        <v/>
      </c>
    </row>
    <row r="6109">
      <c r="G6109" s="16" t="str">
        <f>IFERROR(__xludf.DUMMYFUNCTION("""COMPUTED_VALUE"""),"")</f>
        <v/>
      </c>
    </row>
    <row r="6110">
      <c r="G6110" s="16" t="str">
        <f>IFERROR(__xludf.DUMMYFUNCTION("""COMPUTED_VALUE"""),"")</f>
        <v/>
      </c>
    </row>
    <row r="6111">
      <c r="G6111" s="16" t="str">
        <f>IFERROR(__xludf.DUMMYFUNCTION("""COMPUTED_VALUE"""),"")</f>
        <v/>
      </c>
    </row>
    <row r="6112">
      <c r="G6112" s="16" t="str">
        <f>IFERROR(__xludf.DUMMYFUNCTION("""COMPUTED_VALUE"""),"")</f>
        <v/>
      </c>
    </row>
    <row r="6113">
      <c r="G6113" s="16" t="str">
        <f>IFERROR(__xludf.DUMMYFUNCTION("""COMPUTED_VALUE"""),"")</f>
        <v/>
      </c>
    </row>
    <row r="6114">
      <c r="G6114" s="16" t="str">
        <f>IFERROR(__xludf.DUMMYFUNCTION("""COMPUTED_VALUE"""),"")</f>
        <v/>
      </c>
    </row>
    <row r="6115">
      <c r="G6115" s="16" t="str">
        <f>IFERROR(__xludf.DUMMYFUNCTION("""COMPUTED_VALUE"""),"")</f>
        <v/>
      </c>
    </row>
    <row r="6116">
      <c r="G6116" s="16" t="str">
        <f>IFERROR(__xludf.DUMMYFUNCTION("""COMPUTED_VALUE"""),"")</f>
        <v/>
      </c>
    </row>
    <row r="6117">
      <c r="G6117" s="16" t="str">
        <f>IFERROR(__xludf.DUMMYFUNCTION("""COMPUTED_VALUE"""),"")</f>
        <v/>
      </c>
    </row>
    <row r="6118">
      <c r="G6118" s="16" t="str">
        <f>IFERROR(__xludf.DUMMYFUNCTION("""COMPUTED_VALUE"""),"")</f>
        <v/>
      </c>
    </row>
    <row r="6119">
      <c r="G6119" s="16" t="str">
        <f>IFERROR(__xludf.DUMMYFUNCTION("""COMPUTED_VALUE"""),"")</f>
        <v/>
      </c>
    </row>
    <row r="6120">
      <c r="G6120" s="16" t="str">
        <f>IFERROR(__xludf.DUMMYFUNCTION("""COMPUTED_VALUE"""),"")</f>
        <v/>
      </c>
    </row>
    <row r="6121">
      <c r="G6121" s="16" t="str">
        <f>IFERROR(__xludf.DUMMYFUNCTION("""COMPUTED_VALUE"""),"")</f>
        <v/>
      </c>
    </row>
    <row r="6122">
      <c r="G6122" s="16" t="str">
        <f>IFERROR(__xludf.DUMMYFUNCTION("""COMPUTED_VALUE"""),"")</f>
        <v/>
      </c>
    </row>
    <row r="6123">
      <c r="G6123" s="16" t="str">
        <f>IFERROR(__xludf.DUMMYFUNCTION("""COMPUTED_VALUE"""),"")</f>
        <v/>
      </c>
    </row>
    <row r="6124">
      <c r="G6124" s="16" t="str">
        <f>IFERROR(__xludf.DUMMYFUNCTION("""COMPUTED_VALUE"""),"")</f>
        <v/>
      </c>
    </row>
    <row r="6125">
      <c r="G6125" s="16" t="str">
        <f>IFERROR(__xludf.DUMMYFUNCTION("""COMPUTED_VALUE"""),"")</f>
        <v/>
      </c>
    </row>
    <row r="6126">
      <c r="G6126" s="16" t="str">
        <f>IFERROR(__xludf.DUMMYFUNCTION("""COMPUTED_VALUE"""),"")</f>
        <v/>
      </c>
    </row>
    <row r="6127">
      <c r="G6127" s="16" t="str">
        <f>IFERROR(__xludf.DUMMYFUNCTION("""COMPUTED_VALUE"""),"")</f>
        <v/>
      </c>
    </row>
    <row r="6128">
      <c r="G6128" s="16" t="str">
        <f>IFERROR(__xludf.DUMMYFUNCTION("""COMPUTED_VALUE"""),"")</f>
        <v/>
      </c>
    </row>
    <row r="6129">
      <c r="G6129" s="16" t="str">
        <f>IFERROR(__xludf.DUMMYFUNCTION("""COMPUTED_VALUE"""),"")</f>
        <v/>
      </c>
    </row>
    <row r="6130">
      <c r="G6130" s="16" t="str">
        <f>IFERROR(__xludf.DUMMYFUNCTION("""COMPUTED_VALUE"""),"")</f>
        <v/>
      </c>
    </row>
    <row r="6131">
      <c r="G6131" s="16" t="str">
        <f>IFERROR(__xludf.DUMMYFUNCTION("""COMPUTED_VALUE"""),"")</f>
        <v/>
      </c>
    </row>
    <row r="6132">
      <c r="G6132" s="16" t="str">
        <f>IFERROR(__xludf.DUMMYFUNCTION("""COMPUTED_VALUE"""),"")</f>
        <v/>
      </c>
    </row>
    <row r="6133">
      <c r="G6133" s="16" t="str">
        <f>IFERROR(__xludf.DUMMYFUNCTION("""COMPUTED_VALUE"""),"")</f>
        <v/>
      </c>
    </row>
    <row r="6134">
      <c r="G6134" s="16" t="str">
        <f>IFERROR(__xludf.DUMMYFUNCTION("""COMPUTED_VALUE"""),"")</f>
        <v/>
      </c>
    </row>
    <row r="6135">
      <c r="G6135" s="16" t="str">
        <f>IFERROR(__xludf.DUMMYFUNCTION("""COMPUTED_VALUE"""),"")</f>
        <v/>
      </c>
    </row>
    <row r="6136">
      <c r="G6136" s="16" t="str">
        <f>IFERROR(__xludf.DUMMYFUNCTION("""COMPUTED_VALUE"""),"")</f>
        <v/>
      </c>
    </row>
    <row r="6137">
      <c r="G6137" s="16" t="str">
        <f>IFERROR(__xludf.DUMMYFUNCTION("""COMPUTED_VALUE"""),"")</f>
        <v/>
      </c>
    </row>
    <row r="6138">
      <c r="G6138" s="16" t="str">
        <f>IFERROR(__xludf.DUMMYFUNCTION("""COMPUTED_VALUE"""),"")</f>
        <v/>
      </c>
    </row>
    <row r="6139">
      <c r="G6139" s="16" t="str">
        <f>IFERROR(__xludf.DUMMYFUNCTION("""COMPUTED_VALUE"""),"")</f>
        <v/>
      </c>
    </row>
    <row r="6140">
      <c r="G6140" s="16" t="str">
        <f>IFERROR(__xludf.DUMMYFUNCTION("""COMPUTED_VALUE"""),"")</f>
        <v/>
      </c>
    </row>
    <row r="6141">
      <c r="G6141" s="16" t="str">
        <f>IFERROR(__xludf.DUMMYFUNCTION("""COMPUTED_VALUE"""),"")</f>
        <v/>
      </c>
    </row>
    <row r="6142">
      <c r="G6142" s="16" t="str">
        <f>IFERROR(__xludf.DUMMYFUNCTION("""COMPUTED_VALUE"""),"")</f>
        <v/>
      </c>
    </row>
    <row r="6143">
      <c r="G6143" s="16" t="str">
        <f>IFERROR(__xludf.DUMMYFUNCTION("""COMPUTED_VALUE"""),"")</f>
        <v/>
      </c>
    </row>
    <row r="6144">
      <c r="G6144" s="16" t="str">
        <f>IFERROR(__xludf.DUMMYFUNCTION("""COMPUTED_VALUE"""),"")</f>
        <v/>
      </c>
    </row>
    <row r="6145">
      <c r="G6145" s="16" t="str">
        <f>IFERROR(__xludf.DUMMYFUNCTION("""COMPUTED_VALUE"""),"")</f>
        <v/>
      </c>
    </row>
    <row r="6146">
      <c r="G6146" s="16" t="str">
        <f>IFERROR(__xludf.DUMMYFUNCTION("""COMPUTED_VALUE"""),"")</f>
        <v/>
      </c>
    </row>
    <row r="6147">
      <c r="G6147" s="16" t="str">
        <f>IFERROR(__xludf.DUMMYFUNCTION("""COMPUTED_VALUE"""),"")</f>
        <v/>
      </c>
    </row>
    <row r="6148">
      <c r="G6148" s="16" t="str">
        <f>IFERROR(__xludf.DUMMYFUNCTION("""COMPUTED_VALUE"""),"")</f>
        <v/>
      </c>
    </row>
    <row r="6149">
      <c r="G6149" s="16" t="str">
        <f>IFERROR(__xludf.DUMMYFUNCTION("""COMPUTED_VALUE"""),"")</f>
        <v/>
      </c>
    </row>
    <row r="6150">
      <c r="G6150" s="16" t="str">
        <f>IFERROR(__xludf.DUMMYFUNCTION("""COMPUTED_VALUE"""),"")</f>
        <v/>
      </c>
    </row>
    <row r="6151">
      <c r="G6151" s="16" t="str">
        <f>IFERROR(__xludf.DUMMYFUNCTION("""COMPUTED_VALUE"""),"")</f>
        <v/>
      </c>
    </row>
    <row r="6152">
      <c r="G6152" s="16" t="str">
        <f>IFERROR(__xludf.DUMMYFUNCTION("""COMPUTED_VALUE"""),"")</f>
        <v/>
      </c>
    </row>
    <row r="6153">
      <c r="G6153" s="16" t="str">
        <f>IFERROR(__xludf.DUMMYFUNCTION("""COMPUTED_VALUE"""),"")</f>
        <v/>
      </c>
    </row>
    <row r="6154">
      <c r="G6154" s="16" t="str">
        <f>IFERROR(__xludf.DUMMYFUNCTION("""COMPUTED_VALUE"""),"")</f>
        <v/>
      </c>
    </row>
    <row r="6155">
      <c r="G6155" s="16" t="str">
        <f>IFERROR(__xludf.DUMMYFUNCTION("""COMPUTED_VALUE"""),"")</f>
        <v/>
      </c>
    </row>
    <row r="6156">
      <c r="G6156" s="16" t="str">
        <f>IFERROR(__xludf.DUMMYFUNCTION("""COMPUTED_VALUE"""),"")</f>
        <v/>
      </c>
    </row>
    <row r="6157">
      <c r="G6157" s="16" t="str">
        <f>IFERROR(__xludf.DUMMYFUNCTION("""COMPUTED_VALUE"""),"")</f>
        <v/>
      </c>
    </row>
    <row r="6158">
      <c r="G6158" s="16" t="str">
        <f>IFERROR(__xludf.DUMMYFUNCTION("""COMPUTED_VALUE"""),"")</f>
        <v/>
      </c>
    </row>
    <row r="6159">
      <c r="G6159" s="16" t="str">
        <f>IFERROR(__xludf.DUMMYFUNCTION("""COMPUTED_VALUE"""),"")</f>
        <v/>
      </c>
    </row>
    <row r="6160">
      <c r="G6160" s="16" t="str">
        <f>IFERROR(__xludf.DUMMYFUNCTION("""COMPUTED_VALUE"""),"")</f>
        <v/>
      </c>
    </row>
    <row r="6161">
      <c r="G6161" s="16" t="str">
        <f>IFERROR(__xludf.DUMMYFUNCTION("""COMPUTED_VALUE"""),"")</f>
        <v/>
      </c>
    </row>
    <row r="6162">
      <c r="G6162" s="16" t="str">
        <f>IFERROR(__xludf.DUMMYFUNCTION("""COMPUTED_VALUE"""),"")</f>
        <v/>
      </c>
    </row>
    <row r="6163">
      <c r="G6163" s="16" t="str">
        <f>IFERROR(__xludf.DUMMYFUNCTION("""COMPUTED_VALUE"""),"")</f>
        <v/>
      </c>
    </row>
    <row r="6164">
      <c r="G6164" s="16" t="str">
        <f>IFERROR(__xludf.DUMMYFUNCTION("""COMPUTED_VALUE"""),"")</f>
        <v/>
      </c>
    </row>
    <row r="6165">
      <c r="G6165" s="16" t="str">
        <f>IFERROR(__xludf.DUMMYFUNCTION("""COMPUTED_VALUE"""),"")</f>
        <v/>
      </c>
    </row>
    <row r="6166">
      <c r="G6166" s="16" t="str">
        <f>IFERROR(__xludf.DUMMYFUNCTION("""COMPUTED_VALUE"""),"")</f>
        <v/>
      </c>
    </row>
    <row r="6167">
      <c r="G6167" s="16" t="str">
        <f>IFERROR(__xludf.DUMMYFUNCTION("""COMPUTED_VALUE"""),"")</f>
        <v/>
      </c>
    </row>
    <row r="6168">
      <c r="G6168" s="16" t="str">
        <f>IFERROR(__xludf.DUMMYFUNCTION("""COMPUTED_VALUE"""),"")</f>
        <v/>
      </c>
    </row>
    <row r="6169">
      <c r="G6169" s="16" t="str">
        <f>IFERROR(__xludf.DUMMYFUNCTION("""COMPUTED_VALUE"""),"")</f>
        <v/>
      </c>
    </row>
    <row r="6170">
      <c r="G6170" s="16" t="str">
        <f>IFERROR(__xludf.DUMMYFUNCTION("""COMPUTED_VALUE"""),"")</f>
        <v/>
      </c>
    </row>
    <row r="6171">
      <c r="G6171" s="16" t="str">
        <f>IFERROR(__xludf.DUMMYFUNCTION("""COMPUTED_VALUE"""),"")</f>
        <v/>
      </c>
    </row>
    <row r="6172">
      <c r="G6172" s="16" t="str">
        <f>IFERROR(__xludf.DUMMYFUNCTION("""COMPUTED_VALUE"""),"")</f>
        <v/>
      </c>
    </row>
    <row r="6173">
      <c r="G6173" s="16" t="str">
        <f>IFERROR(__xludf.DUMMYFUNCTION("""COMPUTED_VALUE"""),"")</f>
        <v/>
      </c>
    </row>
    <row r="6174">
      <c r="G6174" s="16" t="str">
        <f>IFERROR(__xludf.DUMMYFUNCTION("""COMPUTED_VALUE"""),"")</f>
        <v/>
      </c>
    </row>
    <row r="6175">
      <c r="G6175" s="16" t="str">
        <f>IFERROR(__xludf.DUMMYFUNCTION("""COMPUTED_VALUE"""),"")</f>
        <v/>
      </c>
    </row>
    <row r="6176">
      <c r="G6176" s="16" t="str">
        <f>IFERROR(__xludf.DUMMYFUNCTION("""COMPUTED_VALUE"""),"")</f>
        <v/>
      </c>
    </row>
    <row r="6177">
      <c r="G6177" s="16" t="str">
        <f>IFERROR(__xludf.DUMMYFUNCTION("""COMPUTED_VALUE"""),"")</f>
        <v/>
      </c>
    </row>
    <row r="6178">
      <c r="G6178" s="16" t="str">
        <f>IFERROR(__xludf.DUMMYFUNCTION("""COMPUTED_VALUE"""),"")</f>
        <v/>
      </c>
    </row>
    <row r="6179">
      <c r="G6179" s="16" t="str">
        <f>IFERROR(__xludf.DUMMYFUNCTION("""COMPUTED_VALUE"""),"")</f>
        <v/>
      </c>
    </row>
    <row r="6180">
      <c r="G6180" s="16" t="str">
        <f>IFERROR(__xludf.DUMMYFUNCTION("""COMPUTED_VALUE"""),"")</f>
        <v/>
      </c>
    </row>
    <row r="6181">
      <c r="G6181" s="16" t="str">
        <f>IFERROR(__xludf.DUMMYFUNCTION("""COMPUTED_VALUE"""),"")</f>
        <v/>
      </c>
    </row>
    <row r="6182">
      <c r="G6182" s="16" t="str">
        <f>IFERROR(__xludf.DUMMYFUNCTION("""COMPUTED_VALUE"""),"")</f>
        <v/>
      </c>
    </row>
    <row r="6183">
      <c r="G6183" s="16" t="str">
        <f>IFERROR(__xludf.DUMMYFUNCTION("""COMPUTED_VALUE"""),"")</f>
        <v/>
      </c>
    </row>
    <row r="6184">
      <c r="G6184" s="16" t="str">
        <f>IFERROR(__xludf.DUMMYFUNCTION("""COMPUTED_VALUE"""),"")</f>
        <v/>
      </c>
    </row>
    <row r="6185">
      <c r="G6185" s="16" t="str">
        <f>IFERROR(__xludf.DUMMYFUNCTION("""COMPUTED_VALUE"""),"")</f>
        <v/>
      </c>
    </row>
    <row r="6186">
      <c r="G6186" s="16" t="str">
        <f>IFERROR(__xludf.DUMMYFUNCTION("""COMPUTED_VALUE"""),"")</f>
        <v/>
      </c>
    </row>
    <row r="6187">
      <c r="G6187" s="16" t="str">
        <f>IFERROR(__xludf.DUMMYFUNCTION("""COMPUTED_VALUE"""),"")</f>
        <v/>
      </c>
    </row>
    <row r="6188">
      <c r="G6188" s="16" t="str">
        <f>IFERROR(__xludf.DUMMYFUNCTION("""COMPUTED_VALUE"""),"")</f>
        <v/>
      </c>
    </row>
    <row r="6189">
      <c r="G6189" s="16" t="str">
        <f>IFERROR(__xludf.DUMMYFUNCTION("""COMPUTED_VALUE"""),"")</f>
        <v/>
      </c>
    </row>
    <row r="6190">
      <c r="G6190" s="16" t="str">
        <f>IFERROR(__xludf.DUMMYFUNCTION("""COMPUTED_VALUE"""),"")</f>
        <v/>
      </c>
    </row>
    <row r="6191">
      <c r="G6191" s="16" t="str">
        <f>IFERROR(__xludf.DUMMYFUNCTION("""COMPUTED_VALUE"""),"")</f>
        <v/>
      </c>
    </row>
    <row r="6192">
      <c r="G6192" s="16" t="str">
        <f>IFERROR(__xludf.DUMMYFUNCTION("""COMPUTED_VALUE"""),"")</f>
        <v/>
      </c>
    </row>
    <row r="6193">
      <c r="G6193" s="16" t="str">
        <f>IFERROR(__xludf.DUMMYFUNCTION("""COMPUTED_VALUE"""),"")</f>
        <v/>
      </c>
    </row>
    <row r="6194">
      <c r="G6194" s="16" t="str">
        <f>IFERROR(__xludf.DUMMYFUNCTION("""COMPUTED_VALUE"""),"")</f>
        <v/>
      </c>
    </row>
    <row r="6195">
      <c r="G6195" s="16" t="str">
        <f>IFERROR(__xludf.DUMMYFUNCTION("""COMPUTED_VALUE"""),"")</f>
        <v/>
      </c>
    </row>
    <row r="6196">
      <c r="G6196" s="16" t="str">
        <f>IFERROR(__xludf.DUMMYFUNCTION("""COMPUTED_VALUE"""),"")</f>
        <v/>
      </c>
    </row>
    <row r="6197">
      <c r="G6197" s="16" t="str">
        <f>IFERROR(__xludf.DUMMYFUNCTION("""COMPUTED_VALUE"""),"")</f>
        <v/>
      </c>
    </row>
    <row r="6198">
      <c r="G6198" s="16" t="str">
        <f>IFERROR(__xludf.DUMMYFUNCTION("""COMPUTED_VALUE"""),"")</f>
        <v/>
      </c>
    </row>
    <row r="6199">
      <c r="G6199" s="16" t="str">
        <f>IFERROR(__xludf.DUMMYFUNCTION("""COMPUTED_VALUE"""),"")</f>
        <v/>
      </c>
    </row>
    <row r="6200">
      <c r="G6200" s="16" t="str">
        <f>IFERROR(__xludf.DUMMYFUNCTION("""COMPUTED_VALUE"""),"")</f>
        <v/>
      </c>
    </row>
    <row r="6201">
      <c r="G6201" s="16" t="str">
        <f>IFERROR(__xludf.DUMMYFUNCTION("""COMPUTED_VALUE"""),"")</f>
        <v/>
      </c>
    </row>
    <row r="6202">
      <c r="G6202" s="16" t="str">
        <f>IFERROR(__xludf.DUMMYFUNCTION("""COMPUTED_VALUE"""),"")</f>
        <v/>
      </c>
    </row>
    <row r="6203">
      <c r="G6203" s="16" t="str">
        <f>IFERROR(__xludf.DUMMYFUNCTION("""COMPUTED_VALUE"""),"")</f>
        <v/>
      </c>
    </row>
    <row r="6204">
      <c r="G6204" s="16" t="str">
        <f>IFERROR(__xludf.DUMMYFUNCTION("""COMPUTED_VALUE"""),"")</f>
        <v/>
      </c>
    </row>
    <row r="6205">
      <c r="G6205" s="16" t="str">
        <f>IFERROR(__xludf.DUMMYFUNCTION("""COMPUTED_VALUE"""),"")</f>
        <v/>
      </c>
    </row>
    <row r="6206">
      <c r="G6206" s="16" t="str">
        <f>IFERROR(__xludf.DUMMYFUNCTION("""COMPUTED_VALUE"""),"")</f>
        <v/>
      </c>
    </row>
    <row r="6207">
      <c r="G6207" s="16" t="str">
        <f>IFERROR(__xludf.DUMMYFUNCTION("""COMPUTED_VALUE"""),"")</f>
        <v/>
      </c>
    </row>
    <row r="6208">
      <c r="G6208" s="16" t="str">
        <f>IFERROR(__xludf.DUMMYFUNCTION("""COMPUTED_VALUE"""),"")</f>
        <v/>
      </c>
    </row>
    <row r="6209">
      <c r="G6209" s="16" t="str">
        <f>IFERROR(__xludf.DUMMYFUNCTION("""COMPUTED_VALUE"""),"")</f>
        <v/>
      </c>
    </row>
    <row r="6210">
      <c r="G6210" s="16" t="str">
        <f>IFERROR(__xludf.DUMMYFUNCTION("""COMPUTED_VALUE"""),"")</f>
        <v/>
      </c>
    </row>
    <row r="6211">
      <c r="G6211" s="16" t="str">
        <f>IFERROR(__xludf.DUMMYFUNCTION("""COMPUTED_VALUE"""),"")</f>
        <v/>
      </c>
    </row>
    <row r="6212">
      <c r="G6212" s="16" t="str">
        <f>IFERROR(__xludf.DUMMYFUNCTION("""COMPUTED_VALUE"""),"")</f>
        <v/>
      </c>
    </row>
    <row r="6213">
      <c r="G6213" s="16" t="str">
        <f>IFERROR(__xludf.DUMMYFUNCTION("""COMPUTED_VALUE"""),"")</f>
        <v/>
      </c>
    </row>
    <row r="6214">
      <c r="G6214" s="16" t="str">
        <f>IFERROR(__xludf.DUMMYFUNCTION("""COMPUTED_VALUE"""),"")</f>
        <v/>
      </c>
    </row>
    <row r="6215">
      <c r="G6215" s="16" t="str">
        <f>IFERROR(__xludf.DUMMYFUNCTION("""COMPUTED_VALUE"""),"")</f>
        <v/>
      </c>
    </row>
    <row r="6216">
      <c r="G6216" s="16" t="str">
        <f>IFERROR(__xludf.DUMMYFUNCTION("""COMPUTED_VALUE"""),"")</f>
        <v/>
      </c>
    </row>
    <row r="6217">
      <c r="G6217" s="16" t="str">
        <f>IFERROR(__xludf.DUMMYFUNCTION("""COMPUTED_VALUE"""),"")</f>
        <v/>
      </c>
    </row>
    <row r="6218">
      <c r="G6218" s="16" t="str">
        <f>IFERROR(__xludf.DUMMYFUNCTION("""COMPUTED_VALUE"""),"")</f>
        <v/>
      </c>
    </row>
    <row r="6219">
      <c r="G6219" s="16" t="str">
        <f>IFERROR(__xludf.DUMMYFUNCTION("""COMPUTED_VALUE"""),"")</f>
        <v/>
      </c>
    </row>
    <row r="6220">
      <c r="G6220" s="16" t="str">
        <f>IFERROR(__xludf.DUMMYFUNCTION("""COMPUTED_VALUE"""),"")</f>
        <v/>
      </c>
    </row>
    <row r="6221">
      <c r="G6221" s="16" t="str">
        <f>IFERROR(__xludf.DUMMYFUNCTION("""COMPUTED_VALUE"""),"")</f>
        <v/>
      </c>
    </row>
    <row r="6222">
      <c r="G6222" s="16" t="str">
        <f>IFERROR(__xludf.DUMMYFUNCTION("""COMPUTED_VALUE"""),"")</f>
        <v/>
      </c>
    </row>
    <row r="6223">
      <c r="G6223" s="16" t="str">
        <f>IFERROR(__xludf.DUMMYFUNCTION("""COMPUTED_VALUE"""),"")</f>
        <v/>
      </c>
    </row>
    <row r="6224">
      <c r="G6224" s="16" t="str">
        <f>IFERROR(__xludf.DUMMYFUNCTION("""COMPUTED_VALUE"""),"")</f>
        <v/>
      </c>
    </row>
    <row r="6225">
      <c r="G6225" s="16" t="str">
        <f>IFERROR(__xludf.DUMMYFUNCTION("""COMPUTED_VALUE"""),"")</f>
        <v/>
      </c>
    </row>
    <row r="6226">
      <c r="G6226" s="16" t="str">
        <f>IFERROR(__xludf.DUMMYFUNCTION("""COMPUTED_VALUE"""),"")</f>
        <v/>
      </c>
    </row>
    <row r="6227">
      <c r="G6227" s="16" t="str">
        <f>IFERROR(__xludf.DUMMYFUNCTION("""COMPUTED_VALUE"""),"")</f>
        <v/>
      </c>
    </row>
    <row r="6228">
      <c r="G6228" s="16" t="str">
        <f>IFERROR(__xludf.DUMMYFUNCTION("""COMPUTED_VALUE"""),"")</f>
        <v/>
      </c>
    </row>
    <row r="6229">
      <c r="G6229" s="16" t="str">
        <f>IFERROR(__xludf.DUMMYFUNCTION("""COMPUTED_VALUE"""),"")</f>
        <v/>
      </c>
    </row>
    <row r="6230">
      <c r="G6230" s="16" t="str">
        <f>IFERROR(__xludf.DUMMYFUNCTION("""COMPUTED_VALUE"""),"")</f>
        <v/>
      </c>
    </row>
    <row r="6231">
      <c r="G6231" s="16" t="str">
        <f>IFERROR(__xludf.DUMMYFUNCTION("""COMPUTED_VALUE"""),"")</f>
        <v/>
      </c>
    </row>
    <row r="6232">
      <c r="G6232" s="16" t="str">
        <f>IFERROR(__xludf.DUMMYFUNCTION("""COMPUTED_VALUE"""),"")</f>
        <v/>
      </c>
    </row>
    <row r="6233">
      <c r="G6233" s="16" t="str">
        <f>IFERROR(__xludf.DUMMYFUNCTION("""COMPUTED_VALUE"""),"")</f>
        <v/>
      </c>
    </row>
    <row r="6234">
      <c r="G6234" s="16" t="str">
        <f>IFERROR(__xludf.DUMMYFUNCTION("""COMPUTED_VALUE"""),"")</f>
        <v/>
      </c>
    </row>
    <row r="6235">
      <c r="G6235" s="16" t="str">
        <f>IFERROR(__xludf.DUMMYFUNCTION("""COMPUTED_VALUE"""),"")</f>
        <v/>
      </c>
    </row>
    <row r="6236">
      <c r="G6236" s="16" t="str">
        <f>IFERROR(__xludf.DUMMYFUNCTION("""COMPUTED_VALUE"""),"")</f>
        <v/>
      </c>
    </row>
    <row r="6237">
      <c r="G6237" s="16" t="str">
        <f>IFERROR(__xludf.DUMMYFUNCTION("""COMPUTED_VALUE"""),"")</f>
        <v/>
      </c>
    </row>
    <row r="6238">
      <c r="G6238" s="16" t="str">
        <f>IFERROR(__xludf.DUMMYFUNCTION("""COMPUTED_VALUE"""),"")</f>
        <v/>
      </c>
    </row>
    <row r="6239">
      <c r="G6239" s="16" t="str">
        <f>IFERROR(__xludf.DUMMYFUNCTION("""COMPUTED_VALUE"""),"")</f>
        <v/>
      </c>
    </row>
    <row r="6240">
      <c r="G6240" s="16" t="str">
        <f>IFERROR(__xludf.DUMMYFUNCTION("""COMPUTED_VALUE"""),"")</f>
        <v/>
      </c>
    </row>
    <row r="6241">
      <c r="G6241" s="16" t="str">
        <f>IFERROR(__xludf.DUMMYFUNCTION("""COMPUTED_VALUE"""),"")</f>
        <v/>
      </c>
    </row>
    <row r="6242">
      <c r="G6242" s="16" t="str">
        <f>IFERROR(__xludf.DUMMYFUNCTION("""COMPUTED_VALUE"""),"")</f>
        <v/>
      </c>
    </row>
    <row r="6243">
      <c r="G6243" s="16" t="str">
        <f>IFERROR(__xludf.DUMMYFUNCTION("""COMPUTED_VALUE"""),"")</f>
        <v/>
      </c>
    </row>
    <row r="6244">
      <c r="G6244" s="16" t="str">
        <f>IFERROR(__xludf.DUMMYFUNCTION("""COMPUTED_VALUE"""),"")</f>
        <v/>
      </c>
    </row>
    <row r="6245">
      <c r="G6245" s="16" t="str">
        <f>IFERROR(__xludf.DUMMYFUNCTION("""COMPUTED_VALUE"""),"")</f>
        <v/>
      </c>
    </row>
    <row r="6246">
      <c r="G6246" s="16" t="str">
        <f>IFERROR(__xludf.DUMMYFUNCTION("""COMPUTED_VALUE"""),"")</f>
        <v/>
      </c>
    </row>
    <row r="6247">
      <c r="G6247" s="16" t="str">
        <f>IFERROR(__xludf.DUMMYFUNCTION("""COMPUTED_VALUE"""),"")</f>
        <v/>
      </c>
    </row>
    <row r="6248">
      <c r="G6248" s="16" t="str">
        <f>IFERROR(__xludf.DUMMYFUNCTION("""COMPUTED_VALUE"""),"")</f>
        <v/>
      </c>
    </row>
    <row r="6249">
      <c r="G6249" s="16" t="str">
        <f>IFERROR(__xludf.DUMMYFUNCTION("""COMPUTED_VALUE"""),"")</f>
        <v/>
      </c>
    </row>
    <row r="6250">
      <c r="G6250" s="16" t="str">
        <f>IFERROR(__xludf.DUMMYFUNCTION("""COMPUTED_VALUE"""),"")</f>
        <v/>
      </c>
    </row>
    <row r="6251">
      <c r="G6251" s="16" t="str">
        <f>IFERROR(__xludf.DUMMYFUNCTION("""COMPUTED_VALUE"""),"")</f>
        <v/>
      </c>
    </row>
    <row r="6252">
      <c r="G6252" s="16" t="str">
        <f>IFERROR(__xludf.DUMMYFUNCTION("""COMPUTED_VALUE"""),"")</f>
        <v/>
      </c>
    </row>
    <row r="6253">
      <c r="G6253" s="16" t="str">
        <f>IFERROR(__xludf.DUMMYFUNCTION("""COMPUTED_VALUE"""),"")</f>
        <v/>
      </c>
    </row>
    <row r="6254">
      <c r="G6254" s="16" t="str">
        <f>IFERROR(__xludf.DUMMYFUNCTION("""COMPUTED_VALUE"""),"")</f>
        <v/>
      </c>
    </row>
    <row r="6255">
      <c r="G6255" s="16" t="str">
        <f>IFERROR(__xludf.DUMMYFUNCTION("""COMPUTED_VALUE"""),"")</f>
        <v/>
      </c>
    </row>
    <row r="6256">
      <c r="G6256" s="16" t="str">
        <f>IFERROR(__xludf.DUMMYFUNCTION("""COMPUTED_VALUE"""),"")</f>
        <v/>
      </c>
    </row>
    <row r="6257">
      <c r="G6257" s="16" t="str">
        <f>IFERROR(__xludf.DUMMYFUNCTION("""COMPUTED_VALUE"""),"")</f>
        <v/>
      </c>
    </row>
    <row r="6258">
      <c r="G6258" s="16" t="str">
        <f>IFERROR(__xludf.DUMMYFUNCTION("""COMPUTED_VALUE"""),"")</f>
        <v/>
      </c>
    </row>
    <row r="6259">
      <c r="G6259" s="16" t="str">
        <f>IFERROR(__xludf.DUMMYFUNCTION("""COMPUTED_VALUE"""),"")</f>
        <v/>
      </c>
    </row>
    <row r="6260">
      <c r="G6260" s="16" t="str">
        <f>IFERROR(__xludf.DUMMYFUNCTION("""COMPUTED_VALUE"""),"")</f>
        <v/>
      </c>
    </row>
    <row r="6261">
      <c r="G6261" s="16" t="str">
        <f>IFERROR(__xludf.DUMMYFUNCTION("""COMPUTED_VALUE"""),"")</f>
        <v/>
      </c>
    </row>
    <row r="6262">
      <c r="G6262" s="16" t="str">
        <f>IFERROR(__xludf.DUMMYFUNCTION("""COMPUTED_VALUE"""),"")</f>
        <v/>
      </c>
    </row>
    <row r="6263">
      <c r="G6263" s="16" t="str">
        <f>IFERROR(__xludf.DUMMYFUNCTION("""COMPUTED_VALUE"""),"")</f>
        <v/>
      </c>
    </row>
    <row r="6264">
      <c r="G6264" s="16" t="str">
        <f>IFERROR(__xludf.DUMMYFUNCTION("""COMPUTED_VALUE"""),"")</f>
        <v/>
      </c>
    </row>
    <row r="6265">
      <c r="G6265" s="16" t="str">
        <f>IFERROR(__xludf.DUMMYFUNCTION("""COMPUTED_VALUE"""),"")</f>
        <v/>
      </c>
    </row>
    <row r="6266">
      <c r="G6266" s="16" t="str">
        <f>IFERROR(__xludf.DUMMYFUNCTION("""COMPUTED_VALUE"""),"")</f>
        <v/>
      </c>
    </row>
    <row r="6267">
      <c r="G6267" s="16" t="str">
        <f>IFERROR(__xludf.DUMMYFUNCTION("""COMPUTED_VALUE"""),"")</f>
        <v/>
      </c>
    </row>
    <row r="6268">
      <c r="G6268" s="16" t="str">
        <f>IFERROR(__xludf.DUMMYFUNCTION("""COMPUTED_VALUE"""),"")</f>
        <v/>
      </c>
    </row>
    <row r="6269">
      <c r="G6269" s="16" t="str">
        <f>IFERROR(__xludf.DUMMYFUNCTION("""COMPUTED_VALUE"""),"")</f>
        <v/>
      </c>
    </row>
    <row r="6270">
      <c r="G6270" s="16" t="str">
        <f>IFERROR(__xludf.DUMMYFUNCTION("""COMPUTED_VALUE"""),"")</f>
        <v/>
      </c>
    </row>
    <row r="6271">
      <c r="G6271" s="16" t="str">
        <f>IFERROR(__xludf.DUMMYFUNCTION("""COMPUTED_VALUE"""),"")</f>
        <v/>
      </c>
    </row>
    <row r="6272">
      <c r="G6272" s="16" t="str">
        <f>IFERROR(__xludf.DUMMYFUNCTION("""COMPUTED_VALUE"""),"")</f>
        <v/>
      </c>
    </row>
    <row r="6273">
      <c r="G6273" s="16" t="str">
        <f>IFERROR(__xludf.DUMMYFUNCTION("""COMPUTED_VALUE"""),"")</f>
        <v/>
      </c>
    </row>
    <row r="6274">
      <c r="G6274" s="16" t="str">
        <f>IFERROR(__xludf.DUMMYFUNCTION("""COMPUTED_VALUE"""),"")</f>
        <v/>
      </c>
    </row>
    <row r="6275">
      <c r="G6275" s="16" t="str">
        <f>IFERROR(__xludf.DUMMYFUNCTION("""COMPUTED_VALUE"""),"")</f>
        <v/>
      </c>
    </row>
    <row r="6276">
      <c r="G6276" s="16" t="str">
        <f>IFERROR(__xludf.DUMMYFUNCTION("""COMPUTED_VALUE"""),"")</f>
        <v/>
      </c>
    </row>
    <row r="6277">
      <c r="G6277" s="16" t="str">
        <f>IFERROR(__xludf.DUMMYFUNCTION("""COMPUTED_VALUE"""),"")</f>
        <v/>
      </c>
    </row>
    <row r="6278">
      <c r="G6278" s="16" t="str">
        <f>IFERROR(__xludf.DUMMYFUNCTION("""COMPUTED_VALUE"""),"")</f>
        <v/>
      </c>
    </row>
    <row r="6279">
      <c r="G6279" s="16" t="str">
        <f>IFERROR(__xludf.DUMMYFUNCTION("""COMPUTED_VALUE"""),"")</f>
        <v/>
      </c>
    </row>
    <row r="6280">
      <c r="G6280" s="16" t="str">
        <f>IFERROR(__xludf.DUMMYFUNCTION("""COMPUTED_VALUE"""),"")</f>
        <v/>
      </c>
    </row>
    <row r="6281">
      <c r="G6281" s="16" t="str">
        <f>IFERROR(__xludf.DUMMYFUNCTION("""COMPUTED_VALUE"""),"")</f>
        <v/>
      </c>
    </row>
    <row r="6282">
      <c r="G6282" s="16" t="str">
        <f>IFERROR(__xludf.DUMMYFUNCTION("""COMPUTED_VALUE"""),"")</f>
        <v/>
      </c>
    </row>
    <row r="6283">
      <c r="G6283" s="16" t="str">
        <f>IFERROR(__xludf.DUMMYFUNCTION("""COMPUTED_VALUE"""),"")</f>
        <v/>
      </c>
    </row>
    <row r="6284">
      <c r="G6284" s="16" t="str">
        <f>IFERROR(__xludf.DUMMYFUNCTION("""COMPUTED_VALUE"""),"")</f>
        <v/>
      </c>
    </row>
    <row r="6285">
      <c r="G6285" s="16" t="str">
        <f>IFERROR(__xludf.DUMMYFUNCTION("""COMPUTED_VALUE"""),"")</f>
        <v/>
      </c>
    </row>
    <row r="6286">
      <c r="G6286" s="16" t="str">
        <f>IFERROR(__xludf.DUMMYFUNCTION("""COMPUTED_VALUE"""),"")</f>
        <v/>
      </c>
    </row>
    <row r="6287">
      <c r="G6287" s="16" t="str">
        <f>IFERROR(__xludf.DUMMYFUNCTION("""COMPUTED_VALUE"""),"")</f>
        <v/>
      </c>
    </row>
    <row r="6288">
      <c r="G6288" s="16" t="str">
        <f>IFERROR(__xludf.DUMMYFUNCTION("""COMPUTED_VALUE"""),"")</f>
        <v/>
      </c>
    </row>
    <row r="6289">
      <c r="G6289" s="16" t="str">
        <f>IFERROR(__xludf.DUMMYFUNCTION("""COMPUTED_VALUE"""),"")</f>
        <v/>
      </c>
    </row>
    <row r="6290">
      <c r="G6290" s="16" t="str">
        <f>IFERROR(__xludf.DUMMYFUNCTION("""COMPUTED_VALUE"""),"")</f>
        <v/>
      </c>
    </row>
    <row r="6291">
      <c r="G6291" s="16" t="str">
        <f>IFERROR(__xludf.DUMMYFUNCTION("""COMPUTED_VALUE"""),"")</f>
        <v/>
      </c>
    </row>
    <row r="6292">
      <c r="G6292" s="16" t="str">
        <f>IFERROR(__xludf.DUMMYFUNCTION("""COMPUTED_VALUE"""),"")</f>
        <v/>
      </c>
    </row>
    <row r="6293">
      <c r="G6293" s="16" t="str">
        <f>IFERROR(__xludf.DUMMYFUNCTION("""COMPUTED_VALUE"""),"")</f>
        <v/>
      </c>
    </row>
    <row r="6294">
      <c r="G6294" s="16" t="str">
        <f>IFERROR(__xludf.DUMMYFUNCTION("""COMPUTED_VALUE"""),"")</f>
        <v/>
      </c>
    </row>
    <row r="6295">
      <c r="G6295" s="16" t="str">
        <f>IFERROR(__xludf.DUMMYFUNCTION("""COMPUTED_VALUE"""),"")</f>
        <v/>
      </c>
    </row>
    <row r="6296">
      <c r="G6296" s="16" t="str">
        <f>IFERROR(__xludf.DUMMYFUNCTION("""COMPUTED_VALUE"""),"")</f>
        <v/>
      </c>
    </row>
    <row r="6297">
      <c r="G6297" s="16" t="str">
        <f>IFERROR(__xludf.DUMMYFUNCTION("""COMPUTED_VALUE"""),"")</f>
        <v/>
      </c>
    </row>
    <row r="6298">
      <c r="G6298" s="16" t="str">
        <f>IFERROR(__xludf.DUMMYFUNCTION("""COMPUTED_VALUE"""),"")</f>
        <v/>
      </c>
    </row>
    <row r="6299">
      <c r="G6299" s="16" t="str">
        <f>IFERROR(__xludf.DUMMYFUNCTION("""COMPUTED_VALUE"""),"")</f>
        <v/>
      </c>
    </row>
    <row r="6300">
      <c r="G6300" s="16" t="str">
        <f>IFERROR(__xludf.DUMMYFUNCTION("""COMPUTED_VALUE"""),"")</f>
        <v/>
      </c>
    </row>
    <row r="6301">
      <c r="G6301" s="16" t="str">
        <f>IFERROR(__xludf.DUMMYFUNCTION("""COMPUTED_VALUE"""),"")</f>
        <v/>
      </c>
    </row>
    <row r="6302">
      <c r="G6302" s="16" t="str">
        <f>IFERROR(__xludf.DUMMYFUNCTION("""COMPUTED_VALUE"""),"")</f>
        <v/>
      </c>
    </row>
    <row r="6303">
      <c r="G6303" s="16" t="str">
        <f>IFERROR(__xludf.DUMMYFUNCTION("""COMPUTED_VALUE"""),"")</f>
        <v/>
      </c>
    </row>
    <row r="6304">
      <c r="G6304" s="16" t="str">
        <f>IFERROR(__xludf.DUMMYFUNCTION("""COMPUTED_VALUE"""),"")</f>
        <v/>
      </c>
    </row>
    <row r="6305">
      <c r="G6305" s="16" t="str">
        <f>IFERROR(__xludf.DUMMYFUNCTION("""COMPUTED_VALUE"""),"")</f>
        <v/>
      </c>
    </row>
    <row r="6306">
      <c r="G6306" s="16" t="str">
        <f>IFERROR(__xludf.DUMMYFUNCTION("""COMPUTED_VALUE"""),"")</f>
        <v/>
      </c>
    </row>
    <row r="6307">
      <c r="G6307" s="16" t="str">
        <f>IFERROR(__xludf.DUMMYFUNCTION("""COMPUTED_VALUE"""),"")</f>
        <v/>
      </c>
    </row>
    <row r="6308">
      <c r="G6308" s="16" t="str">
        <f>IFERROR(__xludf.DUMMYFUNCTION("""COMPUTED_VALUE"""),"")</f>
        <v/>
      </c>
    </row>
    <row r="6309">
      <c r="G6309" s="16" t="str">
        <f>IFERROR(__xludf.DUMMYFUNCTION("""COMPUTED_VALUE"""),"")</f>
        <v/>
      </c>
    </row>
    <row r="6310">
      <c r="G6310" s="16" t="str">
        <f>IFERROR(__xludf.DUMMYFUNCTION("""COMPUTED_VALUE"""),"")</f>
        <v/>
      </c>
    </row>
    <row r="6311">
      <c r="G6311" s="16" t="str">
        <f>IFERROR(__xludf.DUMMYFUNCTION("""COMPUTED_VALUE"""),"")</f>
        <v/>
      </c>
    </row>
    <row r="6312">
      <c r="G6312" s="16" t="str">
        <f>IFERROR(__xludf.DUMMYFUNCTION("""COMPUTED_VALUE"""),"")</f>
        <v/>
      </c>
    </row>
    <row r="6313">
      <c r="G6313" s="16" t="str">
        <f>IFERROR(__xludf.DUMMYFUNCTION("""COMPUTED_VALUE"""),"")</f>
        <v/>
      </c>
    </row>
    <row r="6314">
      <c r="G6314" s="16" t="str">
        <f>IFERROR(__xludf.DUMMYFUNCTION("""COMPUTED_VALUE"""),"")</f>
        <v/>
      </c>
    </row>
    <row r="6315">
      <c r="G6315" s="16" t="str">
        <f>IFERROR(__xludf.DUMMYFUNCTION("""COMPUTED_VALUE"""),"")</f>
        <v/>
      </c>
    </row>
    <row r="6316">
      <c r="G6316" s="16" t="str">
        <f>IFERROR(__xludf.DUMMYFUNCTION("""COMPUTED_VALUE"""),"")</f>
        <v/>
      </c>
    </row>
    <row r="6317">
      <c r="G6317" s="16" t="str">
        <f>IFERROR(__xludf.DUMMYFUNCTION("""COMPUTED_VALUE"""),"")</f>
        <v/>
      </c>
    </row>
    <row r="6318">
      <c r="G6318" s="16" t="str">
        <f>IFERROR(__xludf.DUMMYFUNCTION("""COMPUTED_VALUE"""),"")</f>
        <v/>
      </c>
    </row>
    <row r="6319">
      <c r="G6319" s="16" t="str">
        <f>IFERROR(__xludf.DUMMYFUNCTION("""COMPUTED_VALUE"""),"")</f>
        <v/>
      </c>
    </row>
    <row r="6320">
      <c r="G6320" s="16" t="str">
        <f>IFERROR(__xludf.DUMMYFUNCTION("""COMPUTED_VALUE"""),"")</f>
        <v/>
      </c>
    </row>
    <row r="6321">
      <c r="G6321" s="16" t="str">
        <f>IFERROR(__xludf.DUMMYFUNCTION("""COMPUTED_VALUE"""),"")</f>
        <v/>
      </c>
    </row>
    <row r="6322">
      <c r="G6322" s="16" t="str">
        <f>IFERROR(__xludf.DUMMYFUNCTION("""COMPUTED_VALUE"""),"")</f>
        <v/>
      </c>
    </row>
    <row r="6323">
      <c r="G6323" s="16" t="str">
        <f>IFERROR(__xludf.DUMMYFUNCTION("""COMPUTED_VALUE"""),"")</f>
        <v/>
      </c>
    </row>
    <row r="6324">
      <c r="G6324" s="16" t="str">
        <f>IFERROR(__xludf.DUMMYFUNCTION("""COMPUTED_VALUE"""),"")</f>
        <v/>
      </c>
    </row>
    <row r="6325">
      <c r="G6325" s="16" t="str">
        <f>IFERROR(__xludf.DUMMYFUNCTION("""COMPUTED_VALUE"""),"")</f>
        <v/>
      </c>
    </row>
    <row r="6326">
      <c r="G6326" s="16" t="str">
        <f>IFERROR(__xludf.DUMMYFUNCTION("""COMPUTED_VALUE"""),"")</f>
        <v/>
      </c>
    </row>
    <row r="6327">
      <c r="G6327" s="16" t="str">
        <f>IFERROR(__xludf.DUMMYFUNCTION("""COMPUTED_VALUE"""),"")</f>
        <v/>
      </c>
    </row>
    <row r="6328">
      <c r="G6328" s="16" t="str">
        <f>IFERROR(__xludf.DUMMYFUNCTION("""COMPUTED_VALUE"""),"")</f>
        <v/>
      </c>
    </row>
    <row r="6329">
      <c r="G6329" s="16" t="str">
        <f>IFERROR(__xludf.DUMMYFUNCTION("""COMPUTED_VALUE"""),"")</f>
        <v/>
      </c>
    </row>
    <row r="6330">
      <c r="G6330" s="16" t="str">
        <f>IFERROR(__xludf.DUMMYFUNCTION("""COMPUTED_VALUE"""),"")</f>
        <v/>
      </c>
    </row>
    <row r="6331">
      <c r="G6331" s="16" t="str">
        <f>IFERROR(__xludf.DUMMYFUNCTION("""COMPUTED_VALUE"""),"")</f>
        <v/>
      </c>
    </row>
    <row r="6332">
      <c r="G6332" s="16" t="str">
        <f>IFERROR(__xludf.DUMMYFUNCTION("""COMPUTED_VALUE"""),"")</f>
        <v/>
      </c>
    </row>
    <row r="6333">
      <c r="G6333" s="16" t="str">
        <f>IFERROR(__xludf.DUMMYFUNCTION("""COMPUTED_VALUE"""),"")</f>
        <v/>
      </c>
    </row>
    <row r="6334">
      <c r="G6334" s="16" t="str">
        <f>IFERROR(__xludf.DUMMYFUNCTION("""COMPUTED_VALUE"""),"")</f>
        <v/>
      </c>
    </row>
    <row r="6335">
      <c r="G6335" s="16" t="str">
        <f>IFERROR(__xludf.DUMMYFUNCTION("""COMPUTED_VALUE"""),"")</f>
        <v/>
      </c>
    </row>
    <row r="6336">
      <c r="G6336" s="16" t="str">
        <f>IFERROR(__xludf.DUMMYFUNCTION("""COMPUTED_VALUE"""),"")</f>
        <v/>
      </c>
    </row>
    <row r="6337">
      <c r="G6337" s="16" t="str">
        <f>IFERROR(__xludf.DUMMYFUNCTION("""COMPUTED_VALUE"""),"")</f>
        <v/>
      </c>
    </row>
    <row r="6338">
      <c r="G6338" s="16" t="str">
        <f>IFERROR(__xludf.DUMMYFUNCTION("""COMPUTED_VALUE"""),"")</f>
        <v/>
      </c>
    </row>
    <row r="6339">
      <c r="G6339" s="16" t="str">
        <f>IFERROR(__xludf.DUMMYFUNCTION("""COMPUTED_VALUE"""),"")</f>
        <v/>
      </c>
    </row>
    <row r="6340">
      <c r="G6340" s="16" t="str">
        <f>IFERROR(__xludf.DUMMYFUNCTION("""COMPUTED_VALUE"""),"")</f>
        <v/>
      </c>
    </row>
    <row r="6341">
      <c r="G6341" s="16" t="str">
        <f>IFERROR(__xludf.DUMMYFUNCTION("""COMPUTED_VALUE"""),"")</f>
        <v/>
      </c>
    </row>
    <row r="6342">
      <c r="G6342" s="16" t="str">
        <f>IFERROR(__xludf.DUMMYFUNCTION("""COMPUTED_VALUE"""),"")</f>
        <v/>
      </c>
    </row>
    <row r="6343">
      <c r="G6343" s="16" t="str">
        <f>IFERROR(__xludf.DUMMYFUNCTION("""COMPUTED_VALUE"""),"")</f>
        <v/>
      </c>
    </row>
    <row r="6344">
      <c r="G6344" s="16" t="str">
        <f>IFERROR(__xludf.DUMMYFUNCTION("""COMPUTED_VALUE"""),"")</f>
        <v/>
      </c>
    </row>
    <row r="6345">
      <c r="G6345" s="16" t="str">
        <f>IFERROR(__xludf.DUMMYFUNCTION("""COMPUTED_VALUE"""),"")</f>
        <v/>
      </c>
    </row>
    <row r="6346">
      <c r="G6346" s="16" t="str">
        <f>IFERROR(__xludf.DUMMYFUNCTION("""COMPUTED_VALUE"""),"")</f>
        <v/>
      </c>
    </row>
    <row r="6347">
      <c r="G6347" s="16" t="str">
        <f>IFERROR(__xludf.DUMMYFUNCTION("""COMPUTED_VALUE"""),"")</f>
        <v/>
      </c>
    </row>
    <row r="6348">
      <c r="G6348" s="16" t="str">
        <f>IFERROR(__xludf.DUMMYFUNCTION("""COMPUTED_VALUE"""),"")</f>
        <v/>
      </c>
    </row>
    <row r="6349">
      <c r="G6349" s="16" t="str">
        <f>IFERROR(__xludf.DUMMYFUNCTION("""COMPUTED_VALUE"""),"")</f>
        <v/>
      </c>
    </row>
    <row r="6350">
      <c r="G6350" s="16" t="str">
        <f>IFERROR(__xludf.DUMMYFUNCTION("""COMPUTED_VALUE"""),"")</f>
        <v/>
      </c>
    </row>
    <row r="6351">
      <c r="G6351" s="16" t="str">
        <f>IFERROR(__xludf.DUMMYFUNCTION("""COMPUTED_VALUE"""),"")</f>
        <v/>
      </c>
    </row>
    <row r="6352">
      <c r="G6352" s="16" t="str">
        <f>IFERROR(__xludf.DUMMYFUNCTION("""COMPUTED_VALUE"""),"")</f>
        <v/>
      </c>
    </row>
    <row r="6353">
      <c r="G6353" s="16" t="str">
        <f>IFERROR(__xludf.DUMMYFUNCTION("""COMPUTED_VALUE"""),"")</f>
        <v/>
      </c>
    </row>
    <row r="6354">
      <c r="G6354" s="16" t="str">
        <f>IFERROR(__xludf.DUMMYFUNCTION("""COMPUTED_VALUE"""),"")</f>
        <v/>
      </c>
    </row>
    <row r="6355">
      <c r="G6355" s="16" t="str">
        <f>IFERROR(__xludf.DUMMYFUNCTION("""COMPUTED_VALUE"""),"")</f>
        <v/>
      </c>
    </row>
    <row r="6356">
      <c r="G6356" s="16" t="str">
        <f>IFERROR(__xludf.DUMMYFUNCTION("""COMPUTED_VALUE"""),"")</f>
        <v/>
      </c>
    </row>
    <row r="6357">
      <c r="G6357" s="16" t="str">
        <f>IFERROR(__xludf.DUMMYFUNCTION("""COMPUTED_VALUE"""),"")</f>
        <v/>
      </c>
    </row>
    <row r="6358">
      <c r="G6358" s="16" t="str">
        <f>IFERROR(__xludf.DUMMYFUNCTION("""COMPUTED_VALUE"""),"")</f>
        <v/>
      </c>
    </row>
    <row r="6359">
      <c r="G6359" s="16" t="str">
        <f>IFERROR(__xludf.DUMMYFUNCTION("""COMPUTED_VALUE"""),"")</f>
        <v/>
      </c>
    </row>
    <row r="6360">
      <c r="G6360" s="16" t="str">
        <f>IFERROR(__xludf.DUMMYFUNCTION("""COMPUTED_VALUE"""),"")</f>
        <v/>
      </c>
    </row>
    <row r="6361">
      <c r="G6361" s="16" t="str">
        <f>IFERROR(__xludf.DUMMYFUNCTION("""COMPUTED_VALUE"""),"")</f>
        <v/>
      </c>
    </row>
    <row r="6362">
      <c r="G6362" s="16" t="str">
        <f>IFERROR(__xludf.DUMMYFUNCTION("""COMPUTED_VALUE"""),"")</f>
        <v/>
      </c>
    </row>
    <row r="6363">
      <c r="G6363" s="16" t="str">
        <f>IFERROR(__xludf.DUMMYFUNCTION("""COMPUTED_VALUE"""),"")</f>
        <v/>
      </c>
    </row>
    <row r="6364">
      <c r="G6364" s="16" t="str">
        <f>IFERROR(__xludf.DUMMYFUNCTION("""COMPUTED_VALUE"""),"")</f>
        <v/>
      </c>
    </row>
    <row r="6365">
      <c r="G6365" s="16" t="str">
        <f>IFERROR(__xludf.DUMMYFUNCTION("""COMPUTED_VALUE"""),"")</f>
        <v/>
      </c>
    </row>
    <row r="6366">
      <c r="G6366" s="16" t="str">
        <f>IFERROR(__xludf.DUMMYFUNCTION("""COMPUTED_VALUE"""),"")</f>
        <v/>
      </c>
    </row>
    <row r="6367">
      <c r="G6367" s="16" t="str">
        <f>IFERROR(__xludf.DUMMYFUNCTION("""COMPUTED_VALUE"""),"")</f>
        <v/>
      </c>
    </row>
    <row r="6368">
      <c r="G6368" s="16" t="str">
        <f>IFERROR(__xludf.DUMMYFUNCTION("""COMPUTED_VALUE"""),"")</f>
        <v/>
      </c>
    </row>
    <row r="6369">
      <c r="G6369" s="16" t="str">
        <f>IFERROR(__xludf.DUMMYFUNCTION("""COMPUTED_VALUE"""),"")</f>
        <v/>
      </c>
    </row>
    <row r="6370">
      <c r="G6370" s="16" t="str">
        <f>IFERROR(__xludf.DUMMYFUNCTION("""COMPUTED_VALUE"""),"")</f>
        <v/>
      </c>
    </row>
    <row r="6371">
      <c r="G6371" s="16" t="str">
        <f>IFERROR(__xludf.DUMMYFUNCTION("""COMPUTED_VALUE"""),"")</f>
        <v/>
      </c>
    </row>
    <row r="6372">
      <c r="G6372" s="16" t="str">
        <f>IFERROR(__xludf.DUMMYFUNCTION("""COMPUTED_VALUE"""),"")</f>
        <v/>
      </c>
    </row>
    <row r="6373">
      <c r="G6373" s="16" t="str">
        <f>IFERROR(__xludf.DUMMYFUNCTION("""COMPUTED_VALUE"""),"")</f>
        <v/>
      </c>
    </row>
    <row r="6374">
      <c r="G6374" s="16" t="str">
        <f>IFERROR(__xludf.DUMMYFUNCTION("""COMPUTED_VALUE"""),"")</f>
        <v/>
      </c>
    </row>
    <row r="6375">
      <c r="G6375" s="16" t="str">
        <f>IFERROR(__xludf.DUMMYFUNCTION("""COMPUTED_VALUE"""),"")</f>
        <v/>
      </c>
    </row>
    <row r="6376">
      <c r="G6376" s="16" t="str">
        <f>IFERROR(__xludf.DUMMYFUNCTION("""COMPUTED_VALUE"""),"")</f>
        <v/>
      </c>
    </row>
    <row r="6377">
      <c r="G6377" s="16" t="str">
        <f>IFERROR(__xludf.DUMMYFUNCTION("""COMPUTED_VALUE"""),"")</f>
        <v/>
      </c>
    </row>
    <row r="6378">
      <c r="G6378" s="16" t="str">
        <f>IFERROR(__xludf.DUMMYFUNCTION("""COMPUTED_VALUE"""),"")</f>
        <v/>
      </c>
    </row>
    <row r="6379">
      <c r="G6379" s="16" t="str">
        <f>IFERROR(__xludf.DUMMYFUNCTION("""COMPUTED_VALUE"""),"")</f>
        <v/>
      </c>
    </row>
    <row r="6380">
      <c r="G6380" s="16" t="str">
        <f>IFERROR(__xludf.DUMMYFUNCTION("""COMPUTED_VALUE"""),"")</f>
        <v/>
      </c>
    </row>
    <row r="6381">
      <c r="G6381" s="16" t="str">
        <f>IFERROR(__xludf.DUMMYFUNCTION("""COMPUTED_VALUE"""),"")</f>
        <v/>
      </c>
    </row>
    <row r="6382">
      <c r="G6382" s="16" t="str">
        <f>IFERROR(__xludf.DUMMYFUNCTION("""COMPUTED_VALUE"""),"")</f>
        <v/>
      </c>
    </row>
    <row r="6383">
      <c r="G6383" s="16" t="str">
        <f>IFERROR(__xludf.DUMMYFUNCTION("""COMPUTED_VALUE"""),"")</f>
        <v/>
      </c>
    </row>
    <row r="6384">
      <c r="G6384" s="16" t="str">
        <f>IFERROR(__xludf.DUMMYFUNCTION("""COMPUTED_VALUE"""),"")</f>
        <v/>
      </c>
    </row>
    <row r="6385">
      <c r="G6385" s="16" t="str">
        <f>IFERROR(__xludf.DUMMYFUNCTION("""COMPUTED_VALUE"""),"")</f>
        <v/>
      </c>
    </row>
    <row r="6386">
      <c r="G6386" s="16" t="str">
        <f>IFERROR(__xludf.DUMMYFUNCTION("""COMPUTED_VALUE"""),"")</f>
        <v/>
      </c>
    </row>
    <row r="6387">
      <c r="G6387" s="16" t="str">
        <f>IFERROR(__xludf.DUMMYFUNCTION("""COMPUTED_VALUE"""),"")</f>
        <v/>
      </c>
    </row>
    <row r="6388">
      <c r="G6388" s="16" t="str">
        <f>IFERROR(__xludf.DUMMYFUNCTION("""COMPUTED_VALUE"""),"")</f>
        <v/>
      </c>
    </row>
    <row r="6389">
      <c r="G6389" s="16" t="str">
        <f>IFERROR(__xludf.DUMMYFUNCTION("""COMPUTED_VALUE"""),"")</f>
        <v/>
      </c>
    </row>
    <row r="6390">
      <c r="G6390" s="16" t="str">
        <f>IFERROR(__xludf.DUMMYFUNCTION("""COMPUTED_VALUE"""),"")</f>
        <v/>
      </c>
    </row>
    <row r="6391">
      <c r="G6391" s="16" t="str">
        <f>IFERROR(__xludf.DUMMYFUNCTION("""COMPUTED_VALUE"""),"")</f>
        <v/>
      </c>
    </row>
    <row r="6392">
      <c r="G6392" s="16" t="str">
        <f>IFERROR(__xludf.DUMMYFUNCTION("""COMPUTED_VALUE"""),"")</f>
        <v/>
      </c>
    </row>
    <row r="6393">
      <c r="G6393" s="16" t="str">
        <f>IFERROR(__xludf.DUMMYFUNCTION("""COMPUTED_VALUE"""),"")</f>
        <v/>
      </c>
    </row>
    <row r="6394">
      <c r="G6394" s="16" t="str">
        <f>IFERROR(__xludf.DUMMYFUNCTION("""COMPUTED_VALUE"""),"")</f>
        <v/>
      </c>
    </row>
    <row r="6395">
      <c r="G6395" s="16" t="str">
        <f>IFERROR(__xludf.DUMMYFUNCTION("""COMPUTED_VALUE"""),"")</f>
        <v/>
      </c>
    </row>
    <row r="6396">
      <c r="G6396" s="16" t="str">
        <f>IFERROR(__xludf.DUMMYFUNCTION("""COMPUTED_VALUE"""),"")</f>
        <v/>
      </c>
    </row>
    <row r="6397">
      <c r="G6397" s="16" t="str">
        <f>IFERROR(__xludf.DUMMYFUNCTION("""COMPUTED_VALUE"""),"")</f>
        <v/>
      </c>
    </row>
    <row r="6398">
      <c r="G6398" s="16" t="str">
        <f>IFERROR(__xludf.DUMMYFUNCTION("""COMPUTED_VALUE"""),"")</f>
        <v/>
      </c>
    </row>
    <row r="6399">
      <c r="G6399" s="16" t="str">
        <f>IFERROR(__xludf.DUMMYFUNCTION("""COMPUTED_VALUE"""),"")</f>
        <v/>
      </c>
    </row>
    <row r="6400">
      <c r="G6400" s="16" t="str">
        <f>IFERROR(__xludf.DUMMYFUNCTION("""COMPUTED_VALUE"""),"")</f>
        <v/>
      </c>
    </row>
    <row r="6401">
      <c r="G6401" s="16" t="str">
        <f>IFERROR(__xludf.DUMMYFUNCTION("""COMPUTED_VALUE"""),"")</f>
        <v/>
      </c>
    </row>
    <row r="6402">
      <c r="G6402" s="16" t="str">
        <f>IFERROR(__xludf.DUMMYFUNCTION("""COMPUTED_VALUE"""),"")</f>
        <v/>
      </c>
    </row>
    <row r="6403">
      <c r="G6403" s="16" t="str">
        <f>IFERROR(__xludf.DUMMYFUNCTION("""COMPUTED_VALUE"""),"")</f>
        <v/>
      </c>
    </row>
    <row r="6404">
      <c r="G6404" s="16" t="str">
        <f>IFERROR(__xludf.DUMMYFUNCTION("""COMPUTED_VALUE"""),"")</f>
        <v/>
      </c>
    </row>
    <row r="6405">
      <c r="G6405" s="16" t="str">
        <f>IFERROR(__xludf.DUMMYFUNCTION("""COMPUTED_VALUE"""),"")</f>
        <v/>
      </c>
    </row>
    <row r="6406">
      <c r="G6406" s="16" t="str">
        <f>IFERROR(__xludf.DUMMYFUNCTION("""COMPUTED_VALUE"""),"")</f>
        <v/>
      </c>
    </row>
    <row r="6407">
      <c r="G6407" s="16" t="str">
        <f>IFERROR(__xludf.DUMMYFUNCTION("""COMPUTED_VALUE"""),"")</f>
        <v/>
      </c>
    </row>
    <row r="6408">
      <c r="G6408" s="16" t="str">
        <f>IFERROR(__xludf.DUMMYFUNCTION("""COMPUTED_VALUE"""),"")</f>
        <v/>
      </c>
    </row>
    <row r="6409">
      <c r="G6409" s="16" t="str">
        <f>IFERROR(__xludf.DUMMYFUNCTION("""COMPUTED_VALUE"""),"")</f>
        <v/>
      </c>
    </row>
    <row r="6410">
      <c r="G6410" s="16" t="str">
        <f>IFERROR(__xludf.DUMMYFUNCTION("""COMPUTED_VALUE"""),"")</f>
        <v/>
      </c>
    </row>
    <row r="6411">
      <c r="G6411" s="16" t="str">
        <f>IFERROR(__xludf.DUMMYFUNCTION("""COMPUTED_VALUE"""),"")</f>
        <v/>
      </c>
    </row>
    <row r="6412">
      <c r="G6412" s="16" t="str">
        <f>IFERROR(__xludf.DUMMYFUNCTION("""COMPUTED_VALUE"""),"")</f>
        <v/>
      </c>
    </row>
    <row r="6413">
      <c r="G6413" s="16" t="str">
        <f>IFERROR(__xludf.DUMMYFUNCTION("""COMPUTED_VALUE"""),"")</f>
        <v/>
      </c>
    </row>
    <row r="6414">
      <c r="G6414" s="16" t="str">
        <f>IFERROR(__xludf.DUMMYFUNCTION("""COMPUTED_VALUE"""),"")</f>
        <v/>
      </c>
    </row>
    <row r="6415">
      <c r="G6415" s="16" t="str">
        <f>IFERROR(__xludf.DUMMYFUNCTION("""COMPUTED_VALUE"""),"")</f>
        <v/>
      </c>
    </row>
    <row r="6416">
      <c r="G6416" s="16" t="str">
        <f>IFERROR(__xludf.DUMMYFUNCTION("""COMPUTED_VALUE"""),"")</f>
        <v/>
      </c>
    </row>
    <row r="6417">
      <c r="G6417" s="16" t="str">
        <f>IFERROR(__xludf.DUMMYFUNCTION("""COMPUTED_VALUE"""),"")</f>
        <v/>
      </c>
    </row>
    <row r="6418">
      <c r="G6418" s="16" t="str">
        <f>IFERROR(__xludf.DUMMYFUNCTION("""COMPUTED_VALUE"""),"")</f>
        <v/>
      </c>
    </row>
    <row r="6419">
      <c r="G6419" s="16" t="str">
        <f>IFERROR(__xludf.DUMMYFUNCTION("""COMPUTED_VALUE"""),"")</f>
        <v/>
      </c>
    </row>
    <row r="6420">
      <c r="G6420" s="16" t="str">
        <f>IFERROR(__xludf.DUMMYFUNCTION("""COMPUTED_VALUE"""),"")</f>
        <v/>
      </c>
    </row>
    <row r="6421">
      <c r="G6421" s="16" t="str">
        <f>IFERROR(__xludf.DUMMYFUNCTION("""COMPUTED_VALUE"""),"")</f>
        <v/>
      </c>
    </row>
    <row r="6422">
      <c r="G6422" s="16" t="str">
        <f>IFERROR(__xludf.DUMMYFUNCTION("""COMPUTED_VALUE"""),"")</f>
        <v/>
      </c>
    </row>
    <row r="6423">
      <c r="G6423" s="16" t="str">
        <f>IFERROR(__xludf.DUMMYFUNCTION("""COMPUTED_VALUE"""),"")</f>
        <v/>
      </c>
    </row>
    <row r="6424">
      <c r="G6424" s="16" t="str">
        <f>IFERROR(__xludf.DUMMYFUNCTION("""COMPUTED_VALUE"""),"")</f>
        <v/>
      </c>
    </row>
    <row r="6425">
      <c r="G6425" s="16" t="str">
        <f>IFERROR(__xludf.DUMMYFUNCTION("""COMPUTED_VALUE"""),"")</f>
        <v/>
      </c>
    </row>
    <row r="6426">
      <c r="G6426" s="16" t="str">
        <f>IFERROR(__xludf.DUMMYFUNCTION("""COMPUTED_VALUE"""),"")</f>
        <v/>
      </c>
    </row>
    <row r="6427">
      <c r="G6427" s="16" t="str">
        <f>IFERROR(__xludf.DUMMYFUNCTION("""COMPUTED_VALUE"""),"")</f>
        <v/>
      </c>
    </row>
    <row r="6428">
      <c r="G6428" s="16" t="str">
        <f>IFERROR(__xludf.DUMMYFUNCTION("""COMPUTED_VALUE"""),"")</f>
        <v/>
      </c>
    </row>
    <row r="6429">
      <c r="G6429" s="16" t="str">
        <f>IFERROR(__xludf.DUMMYFUNCTION("""COMPUTED_VALUE"""),"")</f>
        <v/>
      </c>
    </row>
    <row r="6430">
      <c r="G6430" s="16" t="str">
        <f>IFERROR(__xludf.DUMMYFUNCTION("""COMPUTED_VALUE"""),"")</f>
        <v/>
      </c>
    </row>
    <row r="6431">
      <c r="G6431" s="16" t="str">
        <f>IFERROR(__xludf.DUMMYFUNCTION("""COMPUTED_VALUE"""),"")</f>
        <v/>
      </c>
    </row>
    <row r="6432">
      <c r="G6432" s="16" t="str">
        <f>IFERROR(__xludf.DUMMYFUNCTION("""COMPUTED_VALUE"""),"")</f>
        <v/>
      </c>
    </row>
    <row r="6433">
      <c r="G6433" s="16" t="str">
        <f>IFERROR(__xludf.DUMMYFUNCTION("""COMPUTED_VALUE"""),"")</f>
        <v/>
      </c>
    </row>
    <row r="6434">
      <c r="G6434" s="16" t="str">
        <f>IFERROR(__xludf.DUMMYFUNCTION("""COMPUTED_VALUE"""),"")</f>
        <v/>
      </c>
    </row>
    <row r="6435">
      <c r="G6435" s="16" t="str">
        <f>IFERROR(__xludf.DUMMYFUNCTION("""COMPUTED_VALUE"""),"")</f>
        <v/>
      </c>
    </row>
    <row r="6436">
      <c r="G6436" s="16" t="str">
        <f>IFERROR(__xludf.DUMMYFUNCTION("""COMPUTED_VALUE"""),"")</f>
        <v/>
      </c>
    </row>
    <row r="6437">
      <c r="G6437" s="16" t="str">
        <f>IFERROR(__xludf.DUMMYFUNCTION("""COMPUTED_VALUE"""),"")</f>
        <v/>
      </c>
    </row>
    <row r="6438">
      <c r="G6438" s="16" t="str">
        <f>IFERROR(__xludf.DUMMYFUNCTION("""COMPUTED_VALUE"""),"")</f>
        <v/>
      </c>
    </row>
    <row r="6439">
      <c r="G6439" s="16" t="str">
        <f>IFERROR(__xludf.DUMMYFUNCTION("""COMPUTED_VALUE"""),"")</f>
        <v/>
      </c>
    </row>
    <row r="6440">
      <c r="G6440" s="16" t="str">
        <f>IFERROR(__xludf.DUMMYFUNCTION("""COMPUTED_VALUE"""),"")</f>
        <v/>
      </c>
    </row>
    <row r="6441">
      <c r="G6441" s="16" t="str">
        <f>IFERROR(__xludf.DUMMYFUNCTION("""COMPUTED_VALUE"""),"")</f>
        <v/>
      </c>
    </row>
    <row r="6442">
      <c r="G6442" s="16" t="str">
        <f>IFERROR(__xludf.DUMMYFUNCTION("""COMPUTED_VALUE"""),"")</f>
        <v/>
      </c>
    </row>
    <row r="6443">
      <c r="G6443" s="16" t="str">
        <f>IFERROR(__xludf.DUMMYFUNCTION("""COMPUTED_VALUE"""),"")</f>
        <v/>
      </c>
    </row>
    <row r="6444">
      <c r="G6444" s="16" t="str">
        <f>IFERROR(__xludf.DUMMYFUNCTION("""COMPUTED_VALUE"""),"")</f>
        <v/>
      </c>
    </row>
    <row r="6445">
      <c r="G6445" s="16" t="str">
        <f>IFERROR(__xludf.DUMMYFUNCTION("""COMPUTED_VALUE"""),"")</f>
        <v/>
      </c>
    </row>
    <row r="6446">
      <c r="G6446" s="16" t="str">
        <f>IFERROR(__xludf.DUMMYFUNCTION("""COMPUTED_VALUE"""),"")</f>
        <v/>
      </c>
    </row>
    <row r="6447">
      <c r="G6447" s="16" t="str">
        <f>IFERROR(__xludf.DUMMYFUNCTION("""COMPUTED_VALUE"""),"")</f>
        <v/>
      </c>
    </row>
    <row r="6448">
      <c r="G6448" s="16" t="str">
        <f>IFERROR(__xludf.DUMMYFUNCTION("""COMPUTED_VALUE"""),"")</f>
        <v/>
      </c>
    </row>
    <row r="6449">
      <c r="G6449" s="16" t="str">
        <f>IFERROR(__xludf.DUMMYFUNCTION("""COMPUTED_VALUE"""),"")</f>
        <v/>
      </c>
    </row>
    <row r="6450">
      <c r="G6450" s="16" t="str">
        <f>IFERROR(__xludf.DUMMYFUNCTION("""COMPUTED_VALUE"""),"")</f>
        <v/>
      </c>
    </row>
    <row r="6451">
      <c r="G6451" s="16" t="str">
        <f>IFERROR(__xludf.DUMMYFUNCTION("""COMPUTED_VALUE"""),"")</f>
        <v/>
      </c>
    </row>
    <row r="6452">
      <c r="G6452" s="16" t="str">
        <f>IFERROR(__xludf.DUMMYFUNCTION("""COMPUTED_VALUE"""),"")</f>
        <v/>
      </c>
    </row>
    <row r="6453">
      <c r="G6453" s="16" t="str">
        <f>IFERROR(__xludf.DUMMYFUNCTION("""COMPUTED_VALUE"""),"")</f>
        <v/>
      </c>
    </row>
    <row r="6454">
      <c r="G6454" s="16" t="str">
        <f>IFERROR(__xludf.DUMMYFUNCTION("""COMPUTED_VALUE"""),"")</f>
        <v/>
      </c>
    </row>
    <row r="6455">
      <c r="G6455" s="16" t="str">
        <f>IFERROR(__xludf.DUMMYFUNCTION("""COMPUTED_VALUE"""),"")</f>
        <v/>
      </c>
    </row>
    <row r="6456">
      <c r="G6456" s="16" t="str">
        <f>IFERROR(__xludf.DUMMYFUNCTION("""COMPUTED_VALUE"""),"")</f>
        <v/>
      </c>
    </row>
    <row r="6457">
      <c r="G6457" s="16" t="str">
        <f>IFERROR(__xludf.DUMMYFUNCTION("""COMPUTED_VALUE"""),"")</f>
        <v/>
      </c>
    </row>
    <row r="6458">
      <c r="G6458" s="16" t="str">
        <f>IFERROR(__xludf.DUMMYFUNCTION("""COMPUTED_VALUE"""),"")</f>
        <v/>
      </c>
    </row>
    <row r="6459">
      <c r="G6459" s="16" t="str">
        <f>IFERROR(__xludf.DUMMYFUNCTION("""COMPUTED_VALUE"""),"")</f>
        <v/>
      </c>
    </row>
    <row r="6460">
      <c r="G6460" s="16" t="str">
        <f>IFERROR(__xludf.DUMMYFUNCTION("""COMPUTED_VALUE"""),"")</f>
        <v/>
      </c>
    </row>
    <row r="6461">
      <c r="G6461" s="16" t="str">
        <f>IFERROR(__xludf.DUMMYFUNCTION("""COMPUTED_VALUE"""),"")</f>
        <v/>
      </c>
    </row>
    <row r="6462">
      <c r="G6462" s="16" t="str">
        <f>IFERROR(__xludf.DUMMYFUNCTION("""COMPUTED_VALUE"""),"")</f>
        <v/>
      </c>
    </row>
    <row r="6463">
      <c r="G6463" s="16" t="str">
        <f>IFERROR(__xludf.DUMMYFUNCTION("""COMPUTED_VALUE"""),"")</f>
        <v/>
      </c>
    </row>
    <row r="6464">
      <c r="G6464" s="16" t="str">
        <f>IFERROR(__xludf.DUMMYFUNCTION("""COMPUTED_VALUE"""),"")</f>
        <v/>
      </c>
    </row>
    <row r="6465">
      <c r="G6465" s="16" t="str">
        <f>IFERROR(__xludf.DUMMYFUNCTION("""COMPUTED_VALUE"""),"")</f>
        <v/>
      </c>
    </row>
    <row r="6466">
      <c r="G6466" s="16" t="str">
        <f>IFERROR(__xludf.DUMMYFUNCTION("""COMPUTED_VALUE"""),"")</f>
        <v/>
      </c>
    </row>
    <row r="6467">
      <c r="G6467" s="16" t="str">
        <f>IFERROR(__xludf.DUMMYFUNCTION("""COMPUTED_VALUE"""),"")</f>
        <v/>
      </c>
    </row>
    <row r="6468">
      <c r="G6468" s="16" t="str">
        <f>IFERROR(__xludf.DUMMYFUNCTION("""COMPUTED_VALUE"""),"")</f>
        <v/>
      </c>
    </row>
    <row r="6469">
      <c r="G6469" s="16" t="str">
        <f>IFERROR(__xludf.DUMMYFUNCTION("""COMPUTED_VALUE"""),"")</f>
        <v/>
      </c>
    </row>
    <row r="6470">
      <c r="G6470" s="16" t="str">
        <f>IFERROR(__xludf.DUMMYFUNCTION("""COMPUTED_VALUE"""),"")</f>
        <v/>
      </c>
    </row>
    <row r="6471">
      <c r="G6471" s="16" t="str">
        <f>IFERROR(__xludf.DUMMYFUNCTION("""COMPUTED_VALUE"""),"")</f>
        <v/>
      </c>
    </row>
    <row r="6472">
      <c r="G6472" s="16" t="str">
        <f>IFERROR(__xludf.DUMMYFUNCTION("""COMPUTED_VALUE"""),"")</f>
        <v/>
      </c>
    </row>
    <row r="6473">
      <c r="G6473" s="16" t="str">
        <f>IFERROR(__xludf.DUMMYFUNCTION("""COMPUTED_VALUE"""),"")</f>
        <v/>
      </c>
    </row>
    <row r="6474">
      <c r="G6474" s="16" t="str">
        <f>IFERROR(__xludf.DUMMYFUNCTION("""COMPUTED_VALUE"""),"")</f>
        <v/>
      </c>
    </row>
    <row r="6475">
      <c r="G6475" s="16" t="str">
        <f>IFERROR(__xludf.DUMMYFUNCTION("""COMPUTED_VALUE"""),"")</f>
        <v/>
      </c>
    </row>
    <row r="6476">
      <c r="G6476" s="16" t="str">
        <f>IFERROR(__xludf.DUMMYFUNCTION("""COMPUTED_VALUE"""),"")</f>
        <v/>
      </c>
    </row>
    <row r="6477">
      <c r="G6477" s="16" t="str">
        <f>IFERROR(__xludf.DUMMYFUNCTION("""COMPUTED_VALUE"""),"")</f>
        <v/>
      </c>
    </row>
    <row r="6478">
      <c r="G6478" s="16" t="str">
        <f>IFERROR(__xludf.DUMMYFUNCTION("""COMPUTED_VALUE"""),"")</f>
        <v/>
      </c>
    </row>
    <row r="6479">
      <c r="G6479" s="16" t="str">
        <f>IFERROR(__xludf.DUMMYFUNCTION("""COMPUTED_VALUE"""),"")</f>
        <v/>
      </c>
    </row>
    <row r="6480">
      <c r="G6480" s="16" t="str">
        <f>IFERROR(__xludf.DUMMYFUNCTION("""COMPUTED_VALUE"""),"")</f>
        <v/>
      </c>
    </row>
    <row r="6481">
      <c r="G6481" s="16" t="str">
        <f>IFERROR(__xludf.DUMMYFUNCTION("""COMPUTED_VALUE"""),"")</f>
        <v/>
      </c>
    </row>
    <row r="6482">
      <c r="G6482" s="16" t="str">
        <f>IFERROR(__xludf.DUMMYFUNCTION("""COMPUTED_VALUE"""),"")</f>
        <v/>
      </c>
    </row>
    <row r="6483">
      <c r="G6483" s="16" t="str">
        <f>IFERROR(__xludf.DUMMYFUNCTION("""COMPUTED_VALUE"""),"")</f>
        <v/>
      </c>
    </row>
    <row r="6484">
      <c r="G6484" s="16" t="str">
        <f>IFERROR(__xludf.DUMMYFUNCTION("""COMPUTED_VALUE"""),"")</f>
        <v/>
      </c>
    </row>
    <row r="6485">
      <c r="G6485" s="16" t="str">
        <f>IFERROR(__xludf.DUMMYFUNCTION("""COMPUTED_VALUE"""),"")</f>
        <v/>
      </c>
    </row>
    <row r="6486">
      <c r="G6486" s="16" t="str">
        <f>IFERROR(__xludf.DUMMYFUNCTION("""COMPUTED_VALUE"""),"")</f>
        <v/>
      </c>
    </row>
    <row r="6487">
      <c r="G6487" s="16" t="str">
        <f>IFERROR(__xludf.DUMMYFUNCTION("""COMPUTED_VALUE"""),"")</f>
        <v/>
      </c>
    </row>
    <row r="6488">
      <c r="G6488" s="16" t="str">
        <f>IFERROR(__xludf.DUMMYFUNCTION("""COMPUTED_VALUE"""),"")</f>
        <v/>
      </c>
    </row>
    <row r="6489">
      <c r="G6489" s="16" t="str">
        <f>IFERROR(__xludf.DUMMYFUNCTION("""COMPUTED_VALUE"""),"")</f>
        <v/>
      </c>
    </row>
    <row r="6490">
      <c r="G6490" s="16" t="str">
        <f>IFERROR(__xludf.DUMMYFUNCTION("""COMPUTED_VALUE"""),"")</f>
        <v/>
      </c>
    </row>
    <row r="6491">
      <c r="G6491" s="16" t="str">
        <f>IFERROR(__xludf.DUMMYFUNCTION("""COMPUTED_VALUE"""),"")</f>
        <v/>
      </c>
    </row>
    <row r="6492">
      <c r="G6492" s="16" t="str">
        <f>IFERROR(__xludf.DUMMYFUNCTION("""COMPUTED_VALUE"""),"")</f>
        <v/>
      </c>
    </row>
    <row r="6493">
      <c r="G6493" s="16" t="str">
        <f>IFERROR(__xludf.DUMMYFUNCTION("""COMPUTED_VALUE"""),"")</f>
        <v/>
      </c>
    </row>
    <row r="6494">
      <c r="G6494" s="16" t="str">
        <f>IFERROR(__xludf.DUMMYFUNCTION("""COMPUTED_VALUE"""),"")</f>
        <v/>
      </c>
    </row>
    <row r="6495">
      <c r="G6495" s="16" t="str">
        <f>IFERROR(__xludf.DUMMYFUNCTION("""COMPUTED_VALUE"""),"")</f>
        <v/>
      </c>
    </row>
    <row r="6496">
      <c r="G6496" s="16" t="str">
        <f>IFERROR(__xludf.DUMMYFUNCTION("""COMPUTED_VALUE"""),"")</f>
        <v/>
      </c>
    </row>
    <row r="6497">
      <c r="G6497" s="16" t="str">
        <f>IFERROR(__xludf.DUMMYFUNCTION("""COMPUTED_VALUE"""),"")</f>
        <v/>
      </c>
    </row>
    <row r="6498">
      <c r="G6498" s="16" t="str">
        <f>IFERROR(__xludf.DUMMYFUNCTION("""COMPUTED_VALUE"""),"")</f>
        <v/>
      </c>
    </row>
    <row r="6499">
      <c r="G6499" s="16" t="str">
        <f>IFERROR(__xludf.DUMMYFUNCTION("""COMPUTED_VALUE"""),"")</f>
        <v/>
      </c>
    </row>
    <row r="6500">
      <c r="G6500" s="16" t="str">
        <f>IFERROR(__xludf.DUMMYFUNCTION("""COMPUTED_VALUE"""),"")</f>
        <v/>
      </c>
    </row>
    <row r="6501">
      <c r="G6501" s="16" t="str">
        <f>IFERROR(__xludf.DUMMYFUNCTION("""COMPUTED_VALUE"""),"")</f>
        <v/>
      </c>
    </row>
    <row r="6502">
      <c r="G6502" s="16" t="str">
        <f>IFERROR(__xludf.DUMMYFUNCTION("""COMPUTED_VALUE"""),"")</f>
        <v/>
      </c>
    </row>
    <row r="6503">
      <c r="G6503" s="16" t="str">
        <f>IFERROR(__xludf.DUMMYFUNCTION("""COMPUTED_VALUE"""),"")</f>
        <v/>
      </c>
    </row>
    <row r="6504">
      <c r="G6504" s="16" t="str">
        <f>IFERROR(__xludf.DUMMYFUNCTION("""COMPUTED_VALUE"""),"")</f>
        <v/>
      </c>
    </row>
    <row r="6505">
      <c r="G6505" s="16" t="str">
        <f>IFERROR(__xludf.DUMMYFUNCTION("""COMPUTED_VALUE"""),"")</f>
        <v/>
      </c>
    </row>
    <row r="6506">
      <c r="G6506" s="16" t="str">
        <f>IFERROR(__xludf.DUMMYFUNCTION("""COMPUTED_VALUE"""),"")</f>
        <v/>
      </c>
    </row>
    <row r="6507">
      <c r="G6507" s="16" t="str">
        <f>IFERROR(__xludf.DUMMYFUNCTION("""COMPUTED_VALUE"""),"")</f>
        <v/>
      </c>
    </row>
    <row r="6508">
      <c r="G6508" s="16" t="str">
        <f>IFERROR(__xludf.DUMMYFUNCTION("""COMPUTED_VALUE"""),"")</f>
        <v/>
      </c>
    </row>
    <row r="6509">
      <c r="G6509" s="16" t="str">
        <f>IFERROR(__xludf.DUMMYFUNCTION("""COMPUTED_VALUE"""),"")</f>
        <v/>
      </c>
    </row>
    <row r="6510">
      <c r="G6510" s="16" t="str">
        <f>IFERROR(__xludf.DUMMYFUNCTION("""COMPUTED_VALUE"""),"")</f>
        <v/>
      </c>
    </row>
    <row r="6511">
      <c r="G6511" s="16" t="str">
        <f>IFERROR(__xludf.DUMMYFUNCTION("""COMPUTED_VALUE"""),"")</f>
        <v/>
      </c>
    </row>
    <row r="6512">
      <c r="G6512" s="16" t="str">
        <f>IFERROR(__xludf.DUMMYFUNCTION("""COMPUTED_VALUE"""),"")</f>
        <v/>
      </c>
    </row>
    <row r="6513">
      <c r="G6513" s="16" t="str">
        <f>IFERROR(__xludf.DUMMYFUNCTION("""COMPUTED_VALUE"""),"")</f>
        <v/>
      </c>
    </row>
    <row r="6514">
      <c r="G6514" s="16" t="str">
        <f>IFERROR(__xludf.DUMMYFUNCTION("""COMPUTED_VALUE"""),"")</f>
        <v/>
      </c>
    </row>
    <row r="6515">
      <c r="G6515" s="16" t="str">
        <f>IFERROR(__xludf.DUMMYFUNCTION("""COMPUTED_VALUE"""),"")</f>
        <v/>
      </c>
    </row>
    <row r="6516">
      <c r="G6516" s="16" t="str">
        <f>IFERROR(__xludf.DUMMYFUNCTION("""COMPUTED_VALUE"""),"")</f>
        <v/>
      </c>
    </row>
    <row r="6517">
      <c r="G6517" s="16" t="str">
        <f>IFERROR(__xludf.DUMMYFUNCTION("""COMPUTED_VALUE"""),"")</f>
        <v/>
      </c>
    </row>
    <row r="6518">
      <c r="G6518" s="16" t="str">
        <f>IFERROR(__xludf.DUMMYFUNCTION("""COMPUTED_VALUE"""),"")</f>
        <v/>
      </c>
    </row>
    <row r="6519">
      <c r="G6519" s="16" t="str">
        <f>IFERROR(__xludf.DUMMYFUNCTION("""COMPUTED_VALUE"""),"")</f>
        <v/>
      </c>
    </row>
    <row r="6520">
      <c r="G6520" s="16" t="str">
        <f>IFERROR(__xludf.DUMMYFUNCTION("""COMPUTED_VALUE"""),"")</f>
        <v/>
      </c>
    </row>
    <row r="6521">
      <c r="G6521" s="16" t="str">
        <f>IFERROR(__xludf.DUMMYFUNCTION("""COMPUTED_VALUE"""),"")</f>
        <v/>
      </c>
    </row>
    <row r="6522">
      <c r="G6522" s="16" t="str">
        <f>IFERROR(__xludf.DUMMYFUNCTION("""COMPUTED_VALUE"""),"")</f>
        <v/>
      </c>
    </row>
    <row r="6523">
      <c r="G6523" s="16" t="str">
        <f>IFERROR(__xludf.DUMMYFUNCTION("""COMPUTED_VALUE"""),"")</f>
        <v/>
      </c>
    </row>
    <row r="6524">
      <c r="G6524" s="16" t="str">
        <f>IFERROR(__xludf.DUMMYFUNCTION("""COMPUTED_VALUE"""),"")</f>
        <v/>
      </c>
    </row>
    <row r="6525">
      <c r="G6525" s="16" t="str">
        <f>IFERROR(__xludf.DUMMYFUNCTION("""COMPUTED_VALUE"""),"")</f>
        <v/>
      </c>
    </row>
    <row r="6526">
      <c r="G6526" s="16" t="str">
        <f>IFERROR(__xludf.DUMMYFUNCTION("""COMPUTED_VALUE"""),"")</f>
        <v/>
      </c>
    </row>
    <row r="6527">
      <c r="G6527" s="16" t="str">
        <f>IFERROR(__xludf.DUMMYFUNCTION("""COMPUTED_VALUE"""),"")</f>
        <v/>
      </c>
    </row>
    <row r="6528">
      <c r="G6528" s="16" t="str">
        <f>IFERROR(__xludf.DUMMYFUNCTION("""COMPUTED_VALUE"""),"")</f>
        <v/>
      </c>
    </row>
    <row r="6529">
      <c r="G6529" s="16" t="str">
        <f>IFERROR(__xludf.DUMMYFUNCTION("""COMPUTED_VALUE"""),"")</f>
        <v/>
      </c>
    </row>
    <row r="6530">
      <c r="G6530" s="16" t="str">
        <f>IFERROR(__xludf.DUMMYFUNCTION("""COMPUTED_VALUE"""),"")</f>
        <v/>
      </c>
    </row>
    <row r="6531">
      <c r="G6531" s="16" t="str">
        <f>IFERROR(__xludf.DUMMYFUNCTION("""COMPUTED_VALUE"""),"")</f>
        <v/>
      </c>
    </row>
    <row r="6532">
      <c r="G6532" s="16" t="str">
        <f>IFERROR(__xludf.DUMMYFUNCTION("""COMPUTED_VALUE"""),"")</f>
        <v/>
      </c>
    </row>
    <row r="6533">
      <c r="G6533" s="16" t="str">
        <f>IFERROR(__xludf.DUMMYFUNCTION("""COMPUTED_VALUE"""),"")</f>
        <v/>
      </c>
    </row>
    <row r="6534">
      <c r="G6534" s="16" t="str">
        <f>IFERROR(__xludf.DUMMYFUNCTION("""COMPUTED_VALUE"""),"")</f>
        <v/>
      </c>
    </row>
    <row r="6535">
      <c r="G6535" s="16" t="str">
        <f>IFERROR(__xludf.DUMMYFUNCTION("""COMPUTED_VALUE"""),"")</f>
        <v/>
      </c>
    </row>
    <row r="6536">
      <c r="G6536" s="16" t="str">
        <f>IFERROR(__xludf.DUMMYFUNCTION("""COMPUTED_VALUE"""),"")</f>
        <v/>
      </c>
    </row>
    <row r="6537">
      <c r="G6537" s="16" t="str">
        <f>IFERROR(__xludf.DUMMYFUNCTION("""COMPUTED_VALUE"""),"")</f>
        <v/>
      </c>
    </row>
    <row r="6538">
      <c r="G6538" s="16" t="str">
        <f>IFERROR(__xludf.DUMMYFUNCTION("""COMPUTED_VALUE"""),"")</f>
        <v/>
      </c>
    </row>
    <row r="6539">
      <c r="G6539" s="16" t="str">
        <f>IFERROR(__xludf.DUMMYFUNCTION("""COMPUTED_VALUE"""),"")</f>
        <v/>
      </c>
    </row>
    <row r="6540">
      <c r="G6540" s="16" t="str">
        <f>IFERROR(__xludf.DUMMYFUNCTION("""COMPUTED_VALUE"""),"")</f>
        <v/>
      </c>
    </row>
    <row r="6541">
      <c r="G6541" s="16" t="str">
        <f>IFERROR(__xludf.DUMMYFUNCTION("""COMPUTED_VALUE"""),"")</f>
        <v/>
      </c>
    </row>
    <row r="6542">
      <c r="G6542" s="16" t="str">
        <f>IFERROR(__xludf.DUMMYFUNCTION("""COMPUTED_VALUE"""),"")</f>
        <v/>
      </c>
    </row>
    <row r="6543">
      <c r="G6543" s="16" t="str">
        <f>IFERROR(__xludf.DUMMYFUNCTION("""COMPUTED_VALUE"""),"")</f>
        <v/>
      </c>
    </row>
    <row r="6544">
      <c r="G6544" s="16" t="str">
        <f>IFERROR(__xludf.DUMMYFUNCTION("""COMPUTED_VALUE"""),"")</f>
        <v/>
      </c>
    </row>
    <row r="6545">
      <c r="G6545" s="16" t="str">
        <f>IFERROR(__xludf.DUMMYFUNCTION("""COMPUTED_VALUE"""),"")</f>
        <v/>
      </c>
    </row>
    <row r="6546">
      <c r="G6546" s="16" t="str">
        <f>IFERROR(__xludf.DUMMYFUNCTION("""COMPUTED_VALUE"""),"")</f>
        <v/>
      </c>
    </row>
    <row r="6547">
      <c r="G6547" s="16" t="str">
        <f>IFERROR(__xludf.DUMMYFUNCTION("""COMPUTED_VALUE"""),"")</f>
        <v/>
      </c>
    </row>
    <row r="6548">
      <c r="G6548" s="16" t="str">
        <f>IFERROR(__xludf.DUMMYFUNCTION("""COMPUTED_VALUE"""),"")</f>
        <v/>
      </c>
    </row>
    <row r="6549">
      <c r="G6549" s="16" t="str">
        <f>IFERROR(__xludf.DUMMYFUNCTION("""COMPUTED_VALUE"""),"")</f>
        <v/>
      </c>
    </row>
    <row r="6550">
      <c r="G6550" s="16" t="str">
        <f>IFERROR(__xludf.DUMMYFUNCTION("""COMPUTED_VALUE"""),"")</f>
        <v/>
      </c>
    </row>
    <row r="6551">
      <c r="G6551" s="16" t="str">
        <f>IFERROR(__xludf.DUMMYFUNCTION("""COMPUTED_VALUE"""),"")</f>
        <v/>
      </c>
    </row>
    <row r="6552">
      <c r="G6552" s="16" t="str">
        <f>IFERROR(__xludf.DUMMYFUNCTION("""COMPUTED_VALUE"""),"")</f>
        <v/>
      </c>
    </row>
    <row r="6553">
      <c r="G6553" s="16" t="str">
        <f>IFERROR(__xludf.DUMMYFUNCTION("""COMPUTED_VALUE"""),"")</f>
        <v/>
      </c>
    </row>
    <row r="6554">
      <c r="G6554" s="16" t="str">
        <f>IFERROR(__xludf.DUMMYFUNCTION("""COMPUTED_VALUE"""),"")</f>
        <v/>
      </c>
    </row>
    <row r="6555">
      <c r="G6555" s="16" t="str">
        <f>IFERROR(__xludf.DUMMYFUNCTION("""COMPUTED_VALUE"""),"")</f>
        <v/>
      </c>
    </row>
    <row r="6556">
      <c r="G6556" s="16" t="str">
        <f>IFERROR(__xludf.DUMMYFUNCTION("""COMPUTED_VALUE"""),"")</f>
        <v/>
      </c>
    </row>
    <row r="6557">
      <c r="G6557" s="16" t="str">
        <f>IFERROR(__xludf.DUMMYFUNCTION("""COMPUTED_VALUE"""),"")</f>
        <v/>
      </c>
    </row>
    <row r="6558">
      <c r="G6558" s="16" t="str">
        <f>IFERROR(__xludf.DUMMYFUNCTION("""COMPUTED_VALUE"""),"")</f>
        <v/>
      </c>
    </row>
    <row r="6559">
      <c r="G6559" s="16" t="str">
        <f>IFERROR(__xludf.DUMMYFUNCTION("""COMPUTED_VALUE"""),"")</f>
        <v/>
      </c>
    </row>
    <row r="6560">
      <c r="G6560" s="16" t="str">
        <f>IFERROR(__xludf.DUMMYFUNCTION("""COMPUTED_VALUE"""),"")</f>
        <v/>
      </c>
    </row>
    <row r="6561">
      <c r="G6561" s="16" t="str">
        <f>IFERROR(__xludf.DUMMYFUNCTION("""COMPUTED_VALUE"""),"")</f>
        <v/>
      </c>
    </row>
    <row r="6562">
      <c r="G6562" s="16" t="str">
        <f>IFERROR(__xludf.DUMMYFUNCTION("""COMPUTED_VALUE"""),"")</f>
        <v/>
      </c>
    </row>
    <row r="6563">
      <c r="G6563" s="16" t="str">
        <f>IFERROR(__xludf.DUMMYFUNCTION("""COMPUTED_VALUE"""),"")</f>
        <v/>
      </c>
    </row>
    <row r="6564">
      <c r="G6564" s="16" t="str">
        <f>IFERROR(__xludf.DUMMYFUNCTION("""COMPUTED_VALUE"""),"")</f>
        <v/>
      </c>
    </row>
    <row r="6565">
      <c r="G6565" s="16" t="str">
        <f>IFERROR(__xludf.DUMMYFUNCTION("""COMPUTED_VALUE"""),"")</f>
        <v/>
      </c>
    </row>
    <row r="6566">
      <c r="G6566" s="16" t="str">
        <f>IFERROR(__xludf.DUMMYFUNCTION("""COMPUTED_VALUE"""),"")</f>
        <v/>
      </c>
    </row>
    <row r="6567">
      <c r="G6567" s="16" t="str">
        <f>IFERROR(__xludf.DUMMYFUNCTION("""COMPUTED_VALUE"""),"")</f>
        <v/>
      </c>
    </row>
    <row r="6568">
      <c r="G6568" s="16" t="str">
        <f>IFERROR(__xludf.DUMMYFUNCTION("""COMPUTED_VALUE"""),"")</f>
        <v/>
      </c>
    </row>
    <row r="6569">
      <c r="G6569" s="16" t="str">
        <f>IFERROR(__xludf.DUMMYFUNCTION("""COMPUTED_VALUE"""),"")</f>
        <v/>
      </c>
    </row>
    <row r="6570">
      <c r="G6570" s="16" t="str">
        <f>IFERROR(__xludf.DUMMYFUNCTION("""COMPUTED_VALUE"""),"")</f>
        <v/>
      </c>
    </row>
    <row r="6571">
      <c r="G6571" s="16" t="str">
        <f>IFERROR(__xludf.DUMMYFUNCTION("""COMPUTED_VALUE"""),"")</f>
        <v/>
      </c>
    </row>
    <row r="6572">
      <c r="G6572" s="16" t="str">
        <f>IFERROR(__xludf.DUMMYFUNCTION("""COMPUTED_VALUE"""),"")</f>
        <v/>
      </c>
    </row>
    <row r="6573">
      <c r="G6573" s="16" t="str">
        <f>IFERROR(__xludf.DUMMYFUNCTION("""COMPUTED_VALUE"""),"")</f>
        <v/>
      </c>
    </row>
    <row r="6574">
      <c r="G6574" s="16" t="str">
        <f>IFERROR(__xludf.DUMMYFUNCTION("""COMPUTED_VALUE"""),"")</f>
        <v/>
      </c>
    </row>
    <row r="6575">
      <c r="G6575" s="16" t="str">
        <f>IFERROR(__xludf.DUMMYFUNCTION("""COMPUTED_VALUE"""),"")</f>
        <v/>
      </c>
    </row>
    <row r="6576">
      <c r="G6576" s="16" t="str">
        <f>IFERROR(__xludf.DUMMYFUNCTION("""COMPUTED_VALUE"""),"")</f>
        <v/>
      </c>
    </row>
    <row r="6577">
      <c r="G6577" s="16" t="str">
        <f>IFERROR(__xludf.DUMMYFUNCTION("""COMPUTED_VALUE"""),"")</f>
        <v/>
      </c>
    </row>
    <row r="6578">
      <c r="G6578" s="16" t="str">
        <f>IFERROR(__xludf.DUMMYFUNCTION("""COMPUTED_VALUE"""),"")</f>
        <v/>
      </c>
    </row>
    <row r="6579">
      <c r="G6579" s="16" t="str">
        <f>IFERROR(__xludf.DUMMYFUNCTION("""COMPUTED_VALUE"""),"")</f>
        <v/>
      </c>
    </row>
    <row r="6580">
      <c r="G6580" s="16" t="str">
        <f>IFERROR(__xludf.DUMMYFUNCTION("""COMPUTED_VALUE"""),"")</f>
        <v/>
      </c>
    </row>
    <row r="6581">
      <c r="G6581" s="16" t="str">
        <f>IFERROR(__xludf.DUMMYFUNCTION("""COMPUTED_VALUE"""),"")</f>
        <v/>
      </c>
    </row>
    <row r="6582">
      <c r="G6582" s="16" t="str">
        <f>IFERROR(__xludf.DUMMYFUNCTION("""COMPUTED_VALUE"""),"")</f>
        <v/>
      </c>
    </row>
    <row r="6583">
      <c r="G6583" s="16" t="str">
        <f>IFERROR(__xludf.DUMMYFUNCTION("""COMPUTED_VALUE"""),"")</f>
        <v/>
      </c>
    </row>
    <row r="6584">
      <c r="G6584" s="16" t="str">
        <f>IFERROR(__xludf.DUMMYFUNCTION("""COMPUTED_VALUE"""),"")</f>
        <v/>
      </c>
    </row>
    <row r="6585">
      <c r="G6585" s="16" t="str">
        <f>IFERROR(__xludf.DUMMYFUNCTION("""COMPUTED_VALUE"""),"")</f>
        <v/>
      </c>
    </row>
    <row r="6586">
      <c r="G6586" s="16" t="str">
        <f>IFERROR(__xludf.DUMMYFUNCTION("""COMPUTED_VALUE"""),"")</f>
        <v/>
      </c>
    </row>
    <row r="6587">
      <c r="G6587" s="16" t="str">
        <f>IFERROR(__xludf.DUMMYFUNCTION("""COMPUTED_VALUE"""),"")</f>
        <v/>
      </c>
    </row>
    <row r="6588">
      <c r="G6588" s="16" t="str">
        <f>IFERROR(__xludf.DUMMYFUNCTION("""COMPUTED_VALUE"""),"")</f>
        <v/>
      </c>
    </row>
    <row r="6589">
      <c r="G6589" s="16" t="str">
        <f>IFERROR(__xludf.DUMMYFUNCTION("""COMPUTED_VALUE"""),"")</f>
        <v/>
      </c>
    </row>
    <row r="6590">
      <c r="G6590" s="16" t="str">
        <f>IFERROR(__xludf.DUMMYFUNCTION("""COMPUTED_VALUE"""),"")</f>
        <v/>
      </c>
    </row>
    <row r="6591">
      <c r="G6591" s="16" t="str">
        <f>IFERROR(__xludf.DUMMYFUNCTION("""COMPUTED_VALUE"""),"")</f>
        <v/>
      </c>
    </row>
    <row r="6592">
      <c r="G6592" s="16" t="str">
        <f>IFERROR(__xludf.DUMMYFUNCTION("""COMPUTED_VALUE"""),"")</f>
        <v/>
      </c>
    </row>
    <row r="6593">
      <c r="G6593" s="16" t="str">
        <f>IFERROR(__xludf.DUMMYFUNCTION("""COMPUTED_VALUE"""),"")</f>
        <v/>
      </c>
    </row>
    <row r="6594">
      <c r="G6594" s="16" t="str">
        <f>IFERROR(__xludf.DUMMYFUNCTION("""COMPUTED_VALUE"""),"")</f>
        <v/>
      </c>
    </row>
    <row r="6595">
      <c r="G6595" s="16" t="str">
        <f>IFERROR(__xludf.DUMMYFUNCTION("""COMPUTED_VALUE"""),"")</f>
        <v/>
      </c>
    </row>
    <row r="6596">
      <c r="G6596" s="16" t="str">
        <f>IFERROR(__xludf.DUMMYFUNCTION("""COMPUTED_VALUE"""),"")</f>
        <v/>
      </c>
    </row>
    <row r="6597">
      <c r="G6597" s="16" t="str">
        <f>IFERROR(__xludf.DUMMYFUNCTION("""COMPUTED_VALUE"""),"")</f>
        <v/>
      </c>
    </row>
    <row r="6598">
      <c r="G6598" s="16" t="str">
        <f>IFERROR(__xludf.DUMMYFUNCTION("""COMPUTED_VALUE"""),"")</f>
        <v/>
      </c>
    </row>
    <row r="6599">
      <c r="G6599" s="16" t="str">
        <f>IFERROR(__xludf.DUMMYFUNCTION("""COMPUTED_VALUE"""),"")</f>
        <v/>
      </c>
    </row>
    <row r="6600">
      <c r="G6600" s="16" t="str">
        <f>IFERROR(__xludf.DUMMYFUNCTION("""COMPUTED_VALUE"""),"")</f>
        <v/>
      </c>
    </row>
    <row r="6601">
      <c r="G6601" s="16" t="str">
        <f>IFERROR(__xludf.DUMMYFUNCTION("""COMPUTED_VALUE"""),"")</f>
        <v/>
      </c>
    </row>
    <row r="6602">
      <c r="G6602" s="16" t="str">
        <f>IFERROR(__xludf.DUMMYFUNCTION("""COMPUTED_VALUE"""),"")</f>
        <v/>
      </c>
    </row>
    <row r="6603">
      <c r="G6603" s="16" t="str">
        <f>IFERROR(__xludf.DUMMYFUNCTION("""COMPUTED_VALUE"""),"")</f>
        <v/>
      </c>
    </row>
    <row r="6604">
      <c r="G6604" s="16" t="str">
        <f>IFERROR(__xludf.DUMMYFUNCTION("""COMPUTED_VALUE"""),"")</f>
        <v/>
      </c>
    </row>
    <row r="6605">
      <c r="G6605" s="16" t="str">
        <f>IFERROR(__xludf.DUMMYFUNCTION("""COMPUTED_VALUE"""),"")</f>
        <v/>
      </c>
    </row>
    <row r="6606">
      <c r="G6606" s="16" t="str">
        <f>IFERROR(__xludf.DUMMYFUNCTION("""COMPUTED_VALUE"""),"")</f>
        <v/>
      </c>
    </row>
    <row r="6607">
      <c r="G6607" s="16" t="str">
        <f>IFERROR(__xludf.DUMMYFUNCTION("""COMPUTED_VALUE"""),"")</f>
        <v/>
      </c>
    </row>
    <row r="6608">
      <c r="G6608" s="16" t="str">
        <f>IFERROR(__xludf.DUMMYFUNCTION("""COMPUTED_VALUE"""),"")</f>
        <v/>
      </c>
    </row>
    <row r="6609">
      <c r="G6609" s="16" t="str">
        <f>IFERROR(__xludf.DUMMYFUNCTION("""COMPUTED_VALUE"""),"")</f>
        <v/>
      </c>
    </row>
    <row r="6610">
      <c r="G6610" s="16" t="str">
        <f>IFERROR(__xludf.DUMMYFUNCTION("""COMPUTED_VALUE"""),"")</f>
        <v/>
      </c>
    </row>
    <row r="6611">
      <c r="G6611" s="16" t="str">
        <f>IFERROR(__xludf.DUMMYFUNCTION("""COMPUTED_VALUE"""),"")</f>
        <v/>
      </c>
    </row>
    <row r="6612">
      <c r="G6612" s="16" t="str">
        <f>IFERROR(__xludf.DUMMYFUNCTION("""COMPUTED_VALUE"""),"")</f>
        <v/>
      </c>
    </row>
    <row r="6613">
      <c r="G6613" s="16" t="str">
        <f>IFERROR(__xludf.DUMMYFUNCTION("""COMPUTED_VALUE"""),"")</f>
        <v/>
      </c>
    </row>
    <row r="6614">
      <c r="G6614" s="16" t="str">
        <f>IFERROR(__xludf.DUMMYFUNCTION("""COMPUTED_VALUE"""),"")</f>
        <v/>
      </c>
    </row>
    <row r="6615">
      <c r="G6615" s="16" t="str">
        <f>IFERROR(__xludf.DUMMYFUNCTION("""COMPUTED_VALUE"""),"")</f>
        <v/>
      </c>
    </row>
    <row r="6616">
      <c r="G6616" s="16" t="str">
        <f>IFERROR(__xludf.DUMMYFUNCTION("""COMPUTED_VALUE"""),"")</f>
        <v/>
      </c>
    </row>
    <row r="6617">
      <c r="G6617" s="16" t="str">
        <f>IFERROR(__xludf.DUMMYFUNCTION("""COMPUTED_VALUE"""),"")</f>
        <v/>
      </c>
    </row>
    <row r="6618">
      <c r="G6618" s="16" t="str">
        <f>IFERROR(__xludf.DUMMYFUNCTION("""COMPUTED_VALUE"""),"")</f>
        <v/>
      </c>
    </row>
    <row r="6619">
      <c r="G6619" s="16" t="str">
        <f>IFERROR(__xludf.DUMMYFUNCTION("""COMPUTED_VALUE"""),"")</f>
        <v/>
      </c>
    </row>
    <row r="6620">
      <c r="G6620" s="16" t="str">
        <f>IFERROR(__xludf.DUMMYFUNCTION("""COMPUTED_VALUE"""),"")</f>
        <v/>
      </c>
    </row>
    <row r="6621">
      <c r="G6621" s="16" t="str">
        <f>IFERROR(__xludf.DUMMYFUNCTION("""COMPUTED_VALUE"""),"")</f>
        <v/>
      </c>
    </row>
    <row r="6622">
      <c r="G6622" s="16" t="str">
        <f>IFERROR(__xludf.DUMMYFUNCTION("""COMPUTED_VALUE"""),"")</f>
        <v/>
      </c>
    </row>
    <row r="6623">
      <c r="G6623" s="16" t="str">
        <f>IFERROR(__xludf.DUMMYFUNCTION("""COMPUTED_VALUE"""),"")</f>
        <v/>
      </c>
    </row>
    <row r="6624">
      <c r="G6624" s="16" t="str">
        <f>IFERROR(__xludf.DUMMYFUNCTION("""COMPUTED_VALUE"""),"")</f>
        <v/>
      </c>
    </row>
    <row r="6625">
      <c r="G6625" s="16" t="str">
        <f>IFERROR(__xludf.DUMMYFUNCTION("""COMPUTED_VALUE"""),"")</f>
        <v/>
      </c>
    </row>
    <row r="6626">
      <c r="G6626" s="16" t="str">
        <f>IFERROR(__xludf.DUMMYFUNCTION("""COMPUTED_VALUE"""),"")</f>
        <v/>
      </c>
    </row>
    <row r="6627">
      <c r="G6627" s="16" t="str">
        <f>IFERROR(__xludf.DUMMYFUNCTION("""COMPUTED_VALUE"""),"")</f>
        <v/>
      </c>
    </row>
    <row r="6628">
      <c r="G6628" s="16" t="str">
        <f>IFERROR(__xludf.DUMMYFUNCTION("""COMPUTED_VALUE"""),"")</f>
        <v/>
      </c>
    </row>
    <row r="6629">
      <c r="G6629" s="16" t="str">
        <f>IFERROR(__xludf.DUMMYFUNCTION("""COMPUTED_VALUE"""),"")</f>
        <v/>
      </c>
    </row>
    <row r="6630">
      <c r="G6630" s="16" t="str">
        <f>IFERROR(__xludf.DUMMYFUNCTION("""COMPUTED_VALUE"""),"")</f>
        <v/>
      </c>
    </row>
    <row r="6631">
      <c r="G6631" s="16" t="str">
        <f>IFERROR(__xludf.DUMMYFUNCTION("""COMPUTED_VALUE"""),"")</f>
        <v/>
      </c>
    </row>
    <row r="6632">
      <c r="G6632" s="16" t="str">
        <f>IFERROR(__xludf.DUMMYFUNCTION("""COMPUTED_VALUE"""),"")</f>
        <v/>
      </c>
    </row>
    <row r="6633">
      <c r="G6633" s="16" t="str">
        <f>IFERROR(__xludf.DUMMYFUNCTION("""COMPUTED_VALUE"""),"")</f>
        <v/>
      </c>
    </row>
    <row r="6634">
      <c r="G6634" s="16" t="str">
        <f>IFERROR(__xludf.DUMMYFUNCTION("""COMPUTED_VALUE"""),"")</f>
        <v/>
      </c>
    </row>
    <row r="6635">
      <c r="G6635" s="16" t="str">
        <f>IFERROR(__xludf.DUMMYFUNCTION("""COMPUTED_VALUE"""),"")</f>
        <v/>
      </c>
    </row>
    <row r="6636">
      <c r="G6636" s="16" t="str">
        <f>IFERROR(__xludf.DUMMYFUNCTION("""COMPUTED_VALUE"""),"")</f>
        <v/>
      </c>
    </row>
    <row r="6637">
      <c r="G6637" s="16" t="str">
        <f>IFERROR(__xludf.DUMMYFUNCTION("""COMPUTED_VALUE"""),"")</f>
        <v/>
      </c>
    </row>
    <row r="6638">
      <c r="G6638" s="16" t="str">
        <f>IFERROR(__xludf.DUMMYFUNCTION("""COMPUTED_VALUE"""),"")</f>
        <v/>
      </c>
    </row>
    <row r="6639">
      <c r="G6639" s="16" t="str">
        <f>IFERROR(__xludf.DUMMYFUNCTION("""COMPUTED_VALUE"""),"")</f>
        <v/>
      </c>
    </row>
    <row r="6640">
      <c r="G6640" s="16" t="str">
        <f>IFERROR(__xludf.DUMMYFUNCTION("""COMPUTED_VALUE"""),"")</f>
        <v/>
      </c>
    </row>
    <row r="6641">
      <c r="G6641" s="16" t="str">
        <f>IFERROR(__xludf.DUMMYFUNCTION("""COMPUTED_VALUE"""),"")</f>
        <v/>
      </c>
    </row>
    <row r="6642">
      <c r="G6642" s="16" t="str">
        <f>IFERROR(__xludf.DUMMYFUNCTION("""COMPUTED_VALUE"""),"")</f>
        <v/>
      </c>
    </row>
    <row r="6643">
      <c r="G6643" s="16" t="str">
        <f>IFERROR(__xludf.DUMMYFUNCTION("""COMPUTED_VALUE"""),"")</f>
        <v/>
      </c>
    </row>
    <row r="6644">
      <c r="G6644" s="16" t="str">
        <f>IFERROR(__xludf.DUMMYFUNCTION("""COMPUTED_VALUE"""),"")</f>
        <v/>
      </c>
    </row>
    <row r="6645">
      <c r="G6645" s="16" t="str">
        <f>IFERROR(__xludf.DUMMYFUNCTION("""COMPUTED_VALUE"""),"")</f>
        <v/>
      </c>
    </row>
    <row r="6646">
      <c r="G6646" s="16" t="str">
        <f>IFERROR(__xludf.DUMMYFUNCTION("""COMPUTED_VALUE"""),"")</f>
        <v/>
      </c>
    </row>
    <row r="6647">
      <c r="G6647" s="16" t="str">
        <f>IFERROR(__xludf.DUMMYFUNCTION("""COMPUTED_VALUE"""),"")</f>
        <v/>
      </c>
    </row>
    <row r="6648">
      <c r="G6648" s="16" t="str">
        <f>IFERROR(__xludf.DUMMYFUNCTION("""COMPUTED_VALUE"""),"")</f>
        <v/>
      </c>
    </row>
    <row r="6649">
      <c r="G6649" s="16" t="str">
        <f>IFERROR(__xludf.DUMMYFUNCTION("""COMPUTED_VALUE"""),"")</f>
        <v/>
      </c>
    </row>
    <row r="6650">
      <c r="G6650" s="16" t="str">
        <f>IFERROR(__xludf.DUMMYFUNCTION("""COMPUTED_VALUE"""),"")</f>
        <v/>
      </c>
    </row>
    <row r="6651">
      <c r="G6651" s="16" t="str">
        <f>IFERROR(__xludf.DUMMYFUNCTION("""COMPUTED_VALUE"""),"")</f>
        <v/>
      </c>
    </row>
    <row r="6652">
      <c r="G6652" s="16" t="str">
        <f>IFERROR(__xludf.DUMMYFUNCTION("""COMPUTED_VALUE"""),"")</f>
        <v/>
      </c>
    </row>
    <row r="6653">
      <c r="G6653" s="16" t="str">
        <f>IFERROR(__xludf.DUMMYFUNCTION("""COMPUTED_VALUE"""),"")</f>
        <v/>
      </c>
    </row>
    <row r="6654">
      <c r="G6654" s="16" t="str">
        <f>IFERROR(__xludf.DUMMYFUNCTION("""COMPUTED_VALUE"""),"")</f>
        <v/>
      </c>
    </row>
    <row r="6655">
      <c r="G6655" s="16" t="str">
        <f>IFERROR(__xludf.DUMMYFUNCTION("""COMPUTED_VALUE"""),"")</f>
        <v/>
      </c>
    </row>
    <row r="6656">
      <c r="G6656" s="16" t="str">
        <f>IFERROR(__xludf.DUMMYFUNCTION("""COMPUTED_VALUE"""),"")</f>
        <v/>
      </c>
    </row>
    <row r="6657">
      <c r="G6657" s="16" t="str">
        <f>IFERROR(__xludf.DUMMYFUNCTION("""COMPUTED_VALUE"""),"")</f>
        <v/>
      </c>
    </row>
    <row r="6658">
      <c r="G6658" s="16" t="str">
        <f>IFERROR(__xludf.DUMMYFUNCTION("""COMPUTED_VALUE"""),"")</f>
        <v/>
      </c>
    </row>
    <row r="6659">
      <c r="G6659" s="16" t="str">
        <f>IFERROR(__xludf.DUMMYFUNCTION("""COMPUTED_VALUE"""),"")</f>
        <v/>
      </c>
    </row>
    <row r="6660">
      <c r="G6660" s="16" t="str">
        <f>IFERROR(__xludf.DUMMYFUNCTION("""COMPUTED_VALUE"""),"")</f>
        <v/>
      </c>
    </row>
    <row r="6661">
      <c r="G6661" s="16" t="str">
        <f>IFERROR(__xludf.DUMMYFUNCTION("""COMPUTED_VALUE"""),"")</f>
        <v/>
      </c>
    </row>
    <row r="6662">
      <c r="G6662" s="16" t="str">
        <f>IFERROR(__xludf.DUMMYFUNCTION("""COMPUTED_VALUE"""),"")</f>
        <v/>
      </c>
    </row>
    <row r="6663">
      <c r="G6663" s="16" t="str">
        <f>IFERROR(__xludf.DUMMYFUNCTION("""COMPUTED_VALUE"""),"")</f>
        <v/>
      </c>
    </row>
    <row r="6664">
      <c r="G6664" s="16" t="str">
        <f>IFERROR(__xludf.DUMMYFUNCTION("""COMPUTED_VALUE"""),"")</f>
        <v/>
      </c>
    </row>
    <row r="6665">
      <c r="G6665" s="16" t="str">
        <f>IFERROR(__xludf.DUMMYFUNCTION("""COMPUTED_VALUE"""),"")</f>
        <v/>
      </c>
    </row>
    <row r="6666">
      <c r="G6666" s="16" t="str">
        <f>IFERROR(__xludf.DUMMYFUNCTION("""COMPUTED_VALUE"""),"")</f>
        <v/>
      </c>
    </row>
    <row r="6667">
      <c r="G6667" s="16" t="str">
        <f>IFERROR(__xludf.DUMMYFUNCTION("""COMPUTED_VALUE"""),"")</f>
        <v/>
      </c>
    </row>
    <row r="6668">
      <c r="G6668" s="16" t="str">
        <f>IFERROR(__xludf.DUMMYFUNCTION("""COMPUTED_VALUE"""),"")</f>
        <v/>
      </c>
    </row>
    <row r="6669">
      <c r="G6669" s="16" t="str">
        <f>IFERROR(__xludf.DUMMYFUNCTION("""COMPUTED_VALUE"""),"")</f>
        <v/>
      </c>
    </row>
    <row r="6670">
      <c r="G6670" s="16" t="str">
        <f>IFERROR(__xludf.DUMMYFUNCTION("""COMPUTED_VALUE"""),"")</f>
        <v/>
      </c>
    </row>
    <row r="6671">
      <c r="G6671" s="16" t="str">
        <f>IFERROR(__xludf.DUMMYFUNCTION("""COMPUTED_VALUE"""),"")</f>
        <v/>
      </c>
    </row>
    <row r="6672">
      <c r="G6672" s="16" t="str">
        <f>IFERROR(__xludf.DUMMYFUNCTION("""COMPUTED_VALUE"""),"")</f>
        <v/>
      </c>
    </row>
    <row r="6673">
      <c r="G6673" s="16" t="str">
        <f>IFERROR(__xludf.DUMMYFUNCTION("""COMPUTED_VALUE"""),"")</f>
        <v/>
      </c>
    </row>
    <row r="6674">
      <c r="G6674" s="16" t="str">
        <f>IFERROR(__xludf.DUMMYFUNCTION("""COMPUTED_VALUE"""),"")</f>
        <v/>
      </c>
    </row>
    <row r="6675">
      <c r="G6675" s="16" t="str">
        <f>IFERROR(__xludf.DUMMYFUNCTION("""COMPUTED_VALUE"""),"")</f>
        <v/>
      </c>
    </row>
    <row r="6676">
      <c r="G6676" s="16" t="str">
        <f>IFERROR(__xludf.DUMMYFUNCTION("""COMPUTED_VALUE"""),"")</f>
        <v/>
      </c>
    </row>
    <row r="6677">
      <c r="G6677" s="16" t="str">
        <f>IFERROR(__xludf.DUMMYFUNCTION("""COMPUTED_VALUE"""),"")</f>
        <v/>
      </c>
    </row>
    <row r="6678">
      <c r="G6678" s="16" t="str">
        <f>IFERROR(__xludf.DUMMYFUNCTION("""COMPUTED_VALUE"""),"")</f>
        <v/>
      </c>
    </row>
    <row r="6679">
      <c r="G6679" s="16" t="str">
        <f>IFERROR(__xludf.DUMMYFUNCTION("""COMPUTED_VALUE"""),"")</f>
        <v/>
      </c>
    </row>
    <row r="6680">
      <c r="G6680" s="16" t="str">
        <f>IFERROR(__xludf.DUMMYFUNCTION("""COMPUTED_VALUE"""),"")</f>
        <v/>
      </c>
    </row>
    <row r="6681">
      <c r="G6681" s="16" t="str">
        <f>IFERROR(__xludf.DUMMYFUNCTION("""COMPUTED_VALUE"""),"")</f>
        <v/>
      </c>
    </row>
    <row r="6682">
      <c r="G6682" s="16" t="str">
        <f>IFERROR(__xludf.DUMMYFUNCTION("""COMPUTED_VALUE"""),"")</f>
        <v/>
      </c>
    </row>
    <row r="6683">
      <c r="G6683" s="16" t="str">
        <f>IFERROR(__xludf.DUMMYFUNCTION("""COMPUTED_VALUE"""),"")</f>
        <v/>
      </c>
    </row>
    <row r="6684">
      <c r="G6684" s="16" t="str">
        <f>IFERROR(__xludf.DUMMYFUNCTION("""COMPUTED_VALUE"""),"")</f>
        <v/>
      </c>
    </row>
    <row r="6685">
      <c r="G6685" s="16" t="str">
        <f>IFERROR(__xludf.DUMMYFUNCTION("""COMPUTED_VALUE"""),"")</f>
        <v/>
      </c>
    </row>
    <row r="6686">
      <c r="G6686" s="16" t="str">
        <f>IFERROR(__xludf.DUMMYFUNCTION("""COMPUTED_VALUE"""),"")</f>
        <v/>
      </c>
    </row>
    <row r="6687">
      <c r="G6687" s="16" t="str">
        <f>IFERROR(__xludf.DUMMYFUNCTION("""COMPUTED_VALUE"""),"")</f>
        <v/>
      </c>
    </row>
    <row r="6688">
      <c r="G6688" s="16" t="str">
        <f>IFERROR(__xludf.DUMMYFUNCTION("""COMPUTED_VALUE"""),"")</f>
        <v/>
      </c>
    </row>
    <row r="6689">
      <c r="G6689" s="16" t="str">
        <f>IFERROR(__xludf.DUMMYFUNCTION("""COMPUTED_VALUE"""),"")</f>
        <v/>
      </c>
    </row>
    <row r="6690">
      <c r="G6690" s="16" t="str">
        <f>IFERROR(__xludf.DUMMYFUNCTION("""COMPUTED_VALUE"""),"")</f>
        <v/>
      </c>
    </row>
    <row r="6691">
      <c r="G6691" s="16" t="str">
        <f>IFERROR(__xludf.DUMMYFUNCTION("""COMPUTED_VALUE"""),"")</f>
        <v/>
      </c>
    </row>
    <row r="6692">
      <c r="G6692" s="16" t="str">
        <f>IFERROR(__xludf.DUMMYFUNCTION("""COMPUTED_VALUE"""),"")</f>
        <v/>
      </c>
    </row>
    <row r="6693">
      <c r="G6693" s="16" t="str">
        <f>IFERROR(__xludf.DUMMYFUNCTION("""COMPUTED_VALUE"""),"")</f>
        <v/>
      </c>
    </row>
    <row r="6694">
      <c r="G6694" s="16" t="str">
        <f>IFERROR(__xludf.DUMMYFUNCTION("""COMPUTED_VALUE"""),"")</f>
        <v/>
      </c>
    </row>
    <row r="6695">
      <c r="G6695" s="16" t="str">
        <f>IFERROR(__xludf.DUMMYFUNCTION("""COMPUTED_VALUE"""),"")</f>
        <v/>
      </c>
    </row>
    <row r="6696">
      <c r="G6696" s="16" t="str">
        <f>IFERROR(__xludf.DUMMYFUNCTION("""COMPUTED_VALUE"""),"")</f>
        <v/>
      </c>
    </row>
    <row r="6697">
      <c r="G6697" s="16" t="str">
        <f>IFERROR(__xludf.DUMMYFUNCTION("""COMPUTED_VALUE"""),"")</f>
        <v/>
      </c>
    </row>
    <row r="6698">
      <c r="G6698" s="16" t="str">
        <f>IFERROR(__xludf.DUMMYFUNCTION("""COMPUTED_VALUE"""),"")</f>
        <v/>
      </c>
    </row>
    <row r="6699">
      <c r="G6699" s="16" t="str">
        <f>IFERROR(__xludf.DUMMYFUNCTION("""COMPUTED_VALUE"""),"")</f>
        <v/>
      </c>
    </row>
    <row r="6700">
      <c r="G6700" s="16" t="str">
        <f>IFERROR(__xludf.DUMMYFUNCTION("""COMPUTED_VALUE"""),"")</f>
        <v/>
      </c>
    </row>
    <row r="6701">
      <c r="G6701" s="16" t="str">
        <f>IFERROR(__xludf.DUMMYFUNCTION("""COMPUTED_VALUE"""),"")</f>
        <v/>
      </c>
    </row>
    <row r="6702">
      <c r="G6702" s="16" t="str">
        <f>IFERROR(__xludf.DUMMYFUNCTION("""COMPUTED_VALUE"""),"")</f>
        <v/>
      </c>
    </row>
    <row r="6703">
      <c r="G6703" s="16" t="str">
        <f>IFERROR(__xludf.DUMMYFUNCTION("""COMPUTED_VALUE"""),"")</f>
        <v/>
      </c>
    </row>
    <row r="6704">
      <c r="G6704" s="16" t="str">
        <f>IFERROR(__xludf.DUMMYFUNCTION("""COMPUTED_VALUE"""),"")</f>
        <v/>
      </c>
    </row>
    <row r="6705">
      <c r="G6705" s="16" t="str">
        <f>IFERROR(__xludf.DUMMYFUNCTION("""COMPUTED_VALUE"""),"")</f>
        <v/>
      </c>
    </row>
    <row r="6706">
      <c r="G6706" s="16" t="str">
        <f>IFERROR(__xludf.DUMMYFUNCTION("""COMPUTED_VALUE"""),"")</f>
        <v/>
      </c>
    </row>
    <row r="6707">
      <c r="G6707" s="16" t="str">
        <f>IFERROR(__xludf.DUMMYFUNCTION("""COMPUTED_VALUE"""),"")</f>
        <v/>
      </c>
    </row>
    <row r="6708">
      <c r="G6708" s="16" t="str">
        <f>IFERROR(__xludf.DUMMYFUNCTION("""COMPUTED_VALUE"""),"")</f>
        <v/>
      </c>
    </row>
    <row r="6709">
      <c r="G6709" s="16" t="str">
        <f>IFERROR(__xludf.DUMMYFUNCTION("""COMPUTED_VALUE"""),"")</f>
        <v/>
      </c>
    </row>
    <row r="6710">
      <c r="G6710" s="16" t="str">
        <f>IFERROR(__xludf.DUMMYFUNCTION("""COMPUTED_VALUE"""),"")</f>
        <v/>
      </c>
    </row>
    <row r="6711">
      <c r="G6711" s="16" t="str">
        <f>IFERROR(__xludf.DUMMYFUNCTION("""COMPUTED_VALUE"""),"")</f>
        <v/>
      </c>
    </row>
    <row r="6712">
      <c r="G6712" s="16" t="str">
        <f>IFERROR(__xludf.DUMMYFUNCTION("""COMPUTED_VALUE"""),"")</f>
        <v/>
      </c>
    </row>
    <row r="6713">
      <c r="G6713" s="16" t="str">
        <f>IFERROR(__xludf.DUMMYFUNCTION("""COMPUTED_VALUE"""),"")</f>
        <v/>
      </c>
    </row>
    <row r="6714">
      <c r="G6714" s="16" t="str">
        <f>IFERROR(__xludf.DUMMYFUNCTION("""COMPUTED_VALUE"""),"")</f>
        <v/>
      </c>
    </row>
    <row r="6715">
      <c r="G6715" s="16" t="str">
        <f>IFERROR(__xludf.DUMMYFUNCTION("""COMPUTED_VALUE"""),"")</f>
        <v/>
      </c>
    </row>
    <row r="6716">
      <c r="G6716" s="16" t="str">
        <f>IFERROR(__xludf.DUMMYFUNCTION("""COMPUTED_VALUE"""),"")</f>
        <v/>
      </c>
    </row>
    <row r="6717">
      <c r="G6717" s="16" t="str">
        <f>IFERROR(__xludf.DUMMYFUNCTION("""COMPUTED_VALUE"""),"")</f>
        <v/>
      </c>
    </row>
    <row r="6718">
      <c r="G6718" s="16" t="str">
        <f>IFERROR(__xludf.DUMMYFUNCTION("""COMPUTED_VALUE"""),"")</f>
        <v/>
      </c>
    </row>
    <row r="6719">
      <c r="G6719" s="16" t="str">
        <f>IFERROR(__xludf.DUMMYFUNCTION("""COMPUTED_VALUE"""),"")</f>
        <v/>
      </c>
    </row>
    <row r="6720">
      <c r="G6720" s="16" t="str">
        <f>IFERROR(__xludf.DUMMYFUNCTION("""COMPUTED_VALUE"""),"")</f>
        <v/>
      </c>
    </row>
    <row r="6721">
      <c r="G6721" s="16" t="str">
        <f>IFERROR(__xludf.DUMMYFUNCTION("""COMPUTED_VALUE"""),"")</f>
        <v/>
      </c>
    </row>
    <row r="6722">
      <c r="G6722" s="16" t="str">
        <f>IFERROR(__xludf.DUMMYFUNCTION("""COMPUTED_VALUE"""),"")</f>
        <v/>
      </c>
    </row>
    <row r="6723">
      <c r="G6723" s="16" t="str">
        <f>IFERROR(__xludf.DUMMYFUNCTION("""COMPUTED_VALUE"""),"")</f>
        <v/>
      </c>
    </row>
    <row r="6724">
      <c r="G6724" s="16" t="str">
        <f>IFERROR(__xludf.DUMMYFUNCTION("""COMPUTED_VALUE"""),"")</f>
        <v/>
      </c>
    </row>
    <row r="6725">
      <c r="G6725" s="16" t="str">
        <f>IFERROR(__xludf.DUMMYFUNCTION("""COMPUTED_VALUE"""),"")</f>
        <v/>
      </c>
    </row>
    <row r="6726">
      <c r="G6726" s="16" t="str">
        <f>IFERROR(__xludf.DUMMYFUNCTION("""COMPUTED_VALUE"""),"")</f>
        <v/>
      </c>
    </row>
    <row r="6727">
      <c r="G6727" s="16" t="str">
        <f>IFERROR(__xludf.DUMMYFUNCTION("""COMPUTED_VALUE"""),"")</f>
        <v/>
      </c>
    </row>
    <row r="6728">
      <c r="G6728" s="16" t="str">
        <f>IFERROR(__xludf.DUMMYFUNCTION("""COMPUTED_VALUE"""),"")</f>
        <v/>
      </c>
    </row>
    <row r="6729">
      <c r="G6729" s="16" t="str">
        <f>IFERROR(__xludf.DUMMYFUNCTION("""COMPUTED_VALUE"""),"")</f>
        <v/>
      </c>
    </row>
    <row r="6730">
      <c r="G6730" s="16" t="str">
        <f>IFERROR(__xludf.DUMMYFUNCTION("""COMPUTED_VALUE"""),"")</f>
        <v/>
      </c>
    </row>
    <row r="6731">
      <c r="G6731" s="16" t="str">
        <f>IFERROR(__xludf.DUMMYFUNCTION("""COMPUTED_VALUE"""),"")</f>
        <v/>
      </c>
    </row>
    <row r="6732">
      <c r="G6732" s="16" t="str">
        <f>IFERROR(__xludf.DUMMYFUNCTION("""COMPUTED_VALUE"""),"")</f>
        <v/>
      </c>
    </row>
    <row r="6733">
      <c r="G6733" s="16" t="str">
        <f>IFERROR(__xludf.DUMMYFUNCTION("""COMPUTED_VALUE"""),"")</f>
        <v/>
      </c>
    </row>
    <row r="6734">
      <c r="G6734" s="16" t="str">
        <f>IFERROR(__xludf.DUMMYFUNCTION("""COMPUTED_VALUE"""),"")</f>
        <v/>
      </c>
    </row>
    <row r="6735">
      <c r="G6735" s="16" t="str">
        <f>IFERROR(__xludf.DUMMYFUNCTION("""COMPUTED_VALUE"""),"")</f>
        <v/>
      </c>
    </row>
    <row r="6736">
      <c r="G6736" s="16" t="str">
        <f>IFERROR(__xludf.DUMMYFUNCTION("""COMPUTED_VALUE"""),"")</f>
        <v/>
      </c>
    </row>
    <row r="6737">
      <c r="G6737" s="16" t="str">
        <f>IFERROR(__xludf.DUMMYFUNCTION("""COMPUTED_VALUE"""),"")</f>
        <v/>
      </c>
    </row>
    <row r="6738">
      <c r="G6738" s="16" t="str">
        <f>IFERROR(__xludf.DUMMYFUNCTION("""COMPUTED_VALUE"""),"")</f>
        <v/>
      </c>
    </row>
    <row r="6739">
      <c r="G6739" s="16" t="str">
        <f>IFERROR(__xludf.DUMMYFUNCTION("""COMPUTED_VALUE"""),"")</f>
        <v/>
      </c>
    </row>
    <row r="6740">
      <c r="G6740" s="16" t="str">
        <f>IFERROR(__xludf.DUMMYFUNCTION("""COMPUTED_VALUE"""),"")</f>
        <v/>
      </c>
    </row>
    <row r="6741">
      <c r="G6741" s="16" t="str">
        <f>IFERROR(__xludf.DUMMYFUNCTION("""COMPUTED_VALUE"""),"")</f>
        <v/>
      </c>
    </row>
    <row r="6742">
      <c r="G6742" s="16" t="str">
        <f>IFERROR(__xludf.DUMMYFUNCTION("""COMPUTED_VALUE"""),"")</f>
        <v/>
      </c>
    </row>
    <row r="6743">
      <c r="G6743" s="16" t="str">
        <f>IFERROR(__xludf.DUMMYFUNCTION("""COMPUTED_VALUE"""),"")</f>
        <v/>
      </c>
    </row>
    <row r="6744">
      <c r="G6744" s="16" t="str">
        <f>IFERROR(__xludf.DUMMYFUNCTION("""COMPUTED_VALUE"""),"")</f>
        <v/>
      </c>
    </row>
    <row r="6745">
      <c r="G6745" s="16" t="str">
        <f>IFERROR(__xludf.DUMMYFUNCTION("""COMPUTED_VALUE"""),"")</f>
        <v/>
      </c>
    </row>
    <row r="6746">
      <c r="G6746" s="16" t="str">
        <f>IFERROR(__xludf.DUMMYFUNCTION("""COMPUTED_VALUE"""),"")</f>
        <v/>
      </c>
    </row>
    <row r="6747">
      <c r="G6747" s="16" t="str">
        <f>IFERROR(__xludf.DUMMYFUNCTION("""COMPUTED_VALUE"""),"")</f>
        <v/>
      </c>
    </row>
    <row r="6748">
      <c r="G6748" s="16" t="str">
        <f>IFERROR(__xludf.DUMMYFUNCTION("""COMPUTED_VALUE"""),"")</f>
        <v/>
      </c>
    </row>
    <row r="6749">
      <c r="G6749" s="16" t="str">
        <f>IFERROR(__xludf.DUMMYFUNCTION("""COMPUTED_VALUE"""),"")</f>
        <v/>
      </c>
    </row>
    <row r="6750">
      <c r="G6750" s="16" t="str">
        <f>IFERROR(__xludf.DUMMYFUNCTION("""COMPUTED_VALUE"""),"")</f>
        <v/>
      </c>
    </row>
    <row r="6751">
      <c r="G6751" s="16" t="str">
        <f>IFERROR(__xludf.DUMMYFUNCTION("""COMPUTED_VALUE"""),"")</f>
        <v/>
      </c>
    </row>
    <row r="6752">
      <c r="G6752" s="16" t="str">
        <f>IFERROR(__xludf.DUMMYFUNCTION("""COMPUTED_VALUE"""),"")</f>
        <v/>
      </c>
    </row>
    <row r="6753">
      <c r="G6753" s="16" t="str">
        <f>IFERROR(__xludf.DUMMYFUNCTION("""COMPUTED_VALUE"""),"")</f>
        <v/>
      </c>
    </row>
    <row r="6754">
      <c r="G6754" s="16" t="str">
        <f>IFERROR(__xludf.DUMMYFUNCTION("""COMPUTED_VALUE"""),"")</f>
        <v/>
      </c>
    </row>
    <row r="6755">
      <c r="G6755" s="16" t="str">
        <f>IFERROR(__xludf.DUMMYFUNCTION("""COMPUTED_VALUE"""),"")</f>
        <v/>
      </c>
    </row>
    <row r="6756">
      <c r="G6756" s="16" t="str">
        <f>IFERROR(__xludf.DUMMYFUNCTION("""COMPUTED_VALUE"""),"")</f>
        <v/>
      </c>
    </row>
    <row r="6757">
      <c r="G6757" s="16" t="str">
        <f>IFERROR(__xludf.DUMMYFUNCTION("""COMPUTED_VALUE"""),"")</f>
        <v/>
      </c>
    </row>
    <row r="6758">
      <c r="G6758" s="16" t="str">
        <f>IFERROR(__xludf.DUMMYFUNCTION("""COMPUTED_VALUE"""),"")</f>
        <v/>
      </c>
    </row>
    <row r="6759">
      <c r="G6759" s="16" t="str">
        <f>IFERROR(__xludf.DUMMYFUNCTION("""COMPUTED_VALUE"""),"")</f>
        <v/>
      </c>
    </row>
    <row r="6760">
      <c r="G6760" s="16" t="str">
        <f>IFERROR(__xludf.DUMMYFUNCTION("""COMPUTED_VALUE"""),"")</f>
        <v/>
      </c>
    </row>
    <row r="6761">
      <c r="G6761" s="16" t="str">
        <f>IFERROR(__xludf.DUMMYFUNCTION("""COMPUTED_VALUE"""),"")</f>
        <v/>
      </c>
    </row>
    <row r="6762">
      <c r="G6762" s="16" t="str">
        <f>IFERROR(__xludf.DUMMYFUNCTION("""COMPUTED_VALUE"""),"")</f>
        <v/>
      </c>
    </row>
    <row r="6763">
      <c r="G6763" s="16" t="str">
        <f>IFERROR(__xludf.DUMMYFUNCTION("""COMPUTED_VALUE"""),"")</f>
        <v/>
      </c>
    </row>
    <row r="6764">
      <c r="G6764" s="16" t="str">
        <f>IFERROR(__xludf.DUMMYFUNCTION("""COMPUTED_VALUE"""),"")</f>
        <v/>
      </c>
    </row>
    <row r="6765">
      <c r="G6765" s="16" t="str">
        <f>IFERROR(__xludf.DUMMYFUNCTION("""COMPUTED_VALUE"""),"")</f>
        <v/>
      </c>
    </row>
    <row r="6766">
      <c r="G6766" s="16" t="str">
        <f>IFERROR(__xludf.DUMMYFUNCTION("""COMPUTED_VALUE"""),"")</f>
        <v/>
      </c>
    </row>
    <row r="6767">
      <c r="G6767" s="16" t="str">
        <f>IFERROR(__xludf.DUMMYFUNCTION("""COMPUTED_VALUE"""),"")</f>
        <v/>
      </c>
    </row>
    <row r="6768">
      <c r="G6768" s="16" t="str">
        <f>IFERROR(__xludf.DUMMYFUNCTION("""COMPUTED_VALUE"""),"")</f>
        <v/>
      </c>
    </row>
    <row r="6769">
      <c r="G6769" s="16" t="str">
        <f>IFERROR(__xludf.DUMMYFUNCTION("""COMPUTED_VALUE"""),"")</f>
        <v/>
      </c>
    </row>
    <row r="6770">
      <c r="G6770" s="16" t="str">
        <f>IFERROR(__xludf.DUMMYFUNCTION("""COMPUTED_VALUE"""),"")</f>
        <v/>
      </c>
    </row>
    <row r="6771">
      <c r="G6771" s="16" t="str">
        <f>IFERROR(__xludf.DUMMYFUNCTION("""COMPUTED_VALUE"""),"")</f>
        <v/>
      </c>
    </row>
    <row r="6772">
      <c r="G6772" s="16" t="str">
        <f>IFERROR(__xludf.DUMMYFUNCTION("""COMPUTED_VALUE"""),"")</f>
        <v/>
      </c>
    </row>
    <row r="6773">
      <c r="G6773" s="16" t="str">
        <f>IFERROR(__xludf.DUMMYFUNCTION("""COMPUTED_VALUE"""),"")</f>
        <v/>
      </c>
    </row>
    <row r="6774">
      <c r="G6774" s="16" t="str">
        <f>IFERROR(__xludf.DUMMYFUNCTION("""COMPUTED_VALUE"""),"")</f>
        <v/>
      </c>
    </row>
    <row r="6775">
      <c r="G6775" s="16" t="str">
        <f>IFERROR(__xludf.DUMMYFUNCTION("""COMPUTED_VALUE"""),"")</f>
        <v/>
      </c>
    </row>
    <row r="6776">
      <c r="G6776" s="16" t="str">
        <f>IFERROR(__xludf.DUMMYFUNCTION("""COMPUTED_VALUE"""),"")</f>
        <v/>
      </c>
    </row>
    <row r="6777">
      <c r="G6777" s="16" t="str">
        <f>IFERROR(__xludf.DUMMYFUNCTION("""COMPUTED_VALUE"""),"")</f>
        <v/>
      </c>
    </row>
    <row r="6778">
      <c r="G6778" s="16" t="str">
        <f>IFERROR(__xludf.DUMMYFUNCTION("""COMPUTED_VALUE"""),"")</f>
        <v/>
      </c>
    </row>
    <row r="6779">
      <c r="G6779" s="16" t="str">
        <f>IFERROR(__xludf.DUMMYFUNCTION("""COMPUTED_VALUE"""),"")</f>
        <v/>
      </c>
    </row>
    <row r="6780">
      <c r="G6780" s="16" t="str">
        <f>IFERROR(__xludf.DUMMYFUNCTION("""COMPUTED_VALUE"""),"")</f>
        <v/>
      </c>
    </row>
    <row r="6781">
      <c r="G6781" s="16" t="str">
        <f>IFERROR(__xludf.DUMMYFUNCTION("""COMPUTED_VALUE"""),"")</f>
        <v/>
      </c>
    </row>
    <row r="6782">
      <c r="G6782" s="16" t="str">
        <f>IFERROR(__xludf.DUMMYFUNCTION("""COMPUTED_VALUE"""),"")</f>
        <v/>
      </c>
    </row>
    <row r="6783">
      <c r="G6783" s="16" t="str">
        <f>IFERROR(__xludf.DUMMYFUNCTION("""COMPUTED_VALUE"""),"")</f>
        <v/>
      </c>
    </row>
    <row r="6784">
      <c r="G6784" s="16" t="str">
        <f>IFERROR(__xludf.DUMMYFUNCTION("""COMPUTED_VALUE"""),"")</f>
        <v/>
      </c>
    </row>
    <row r="6785">
      <c r="G6785" s="16" t="str">
        <f>IFERROR(__xludf.DUMMYFUNCTION("""COMPUTED_VALUE"""),"")</f>
        <v/>
      </c>
    </row>
    <row r="6786">
      <c r="G6786" s="16" t="str">
        <f>IFERROR(__xludf.DUMMYFUNCTION("""COMPUTED_VALUE"""),"")</f>
        <v/>
      </c>
    </row>
    <row r="6787">
      <c r="G6787" s="16" t="str">
        <f>IFERROR(__xludf.DUMMYFUNCTION("""COMPUTED_VALUE"""),"")</f>
        <v/>
      </c>
    </row>
    <row r="6788">
      <c r="G6788" s="16" t="str">
        <f>IFERROR(__xludf.DUMMYFUNCTION("""COMPUTED_VALUE"""),"")</f>
        <v/>
      </c>
    </row>
    <row r="6789">
      <c r="G6789" s="16" t="str">
        <f>IFERROR(__xludf.DUMMYFUNCTION("""COMPUTED_VALUE"""),"")</f>
        <v/>
      </c>
    </row>
    <row r="6790">
      <c r="G6790" s="16" t="str">
        <f>IFERROR(__xludf.DUMMYFUNCTION("""COMPUTED_VALUE"""),"")</f>
        <v/>
      </c>
    </row>
    <row r="6791">
      <c r="G6791" s="16" t="str">
        <f>IFERROR(__xludf.DUMMYFUNCTION("""COMPUTED_VALUE"""),"")</f>
        <v/>
      </c>
    </row>
    <row r="6792">
      <c r="G6792" s="16" t="str">
        <f>IFERROR(__xludf.DUMMYFUNCTION("""COMPUTED_VALUE"""),"")</f>
        <v/>
      </c>
    </row>
    <row r="6793">
      <c r="G6793" s="16" t="str">
        <f>IFERROR(__xludf.DUMMYFUNCTION("""COMPUTED_VALUE"""),"")</f>
        <v/>
      </c>
    </row>
    <row r="6794">
      <c r="G6794" s="16" t="str">
        <f>IFERROR(__xludf.DUMMYFUNCTION("""COMPUTED_VALUE"""),"")</f>
        <v/>
      </c>
    </row>
    <row r="6795">
      <c r="G6795" s="16" t="str">
        <f>IFERROR(__xludf.DUMMYFUNCTION("""COMPUTED_VALUE"""),"")</f>
        <v/>
      </c>
    </row>
    <row r="6796">
      <c r="G6796" s="16" t="str">
        <f>IFERROR(__xludf.DUMMYFUNCTION("""COMPUTED_VALUE"""),"")</f>
        <v/>
      </c>
    </row>
    <row r="6797">
      <c r="G6797" s="16" t="str">
        <f>IFERROR(__xludf.DUMMYFUNCTION("""COMPUTED_VALUE"""),"")</f>
        <v/>
      </c>
    </row>
    <row r="6798">
      <c r="G6798" s="16" t="str">
        <f>IFERROR(__xludf.DUMMYFUNCTION("""COMPUTED_VALUE"""),"")</f>
        <v/>
      </c>
    </row>
    <row r="6799">
      <c r="G6799" s="16" t="str">
        <f>IFERROR(__xludf.DUMMYFUNCTION("""COMPUTED_VALUE"""),"")</f>
        <v/>
      </c>
    </row>
    <row r="6800">
      <c r="G6800" s="16" t="str">
        <f>IFERROR(__xludf.DUMMYFUNCTION("""COMPUTED_VALUE"""),"")</f>
        <v/>
      </c>
    </row>
    <row r="6801">
      <c r="G6801" s="16" t="str">
        <f>IFERROR(__xludf.DUMMYFUNCTION("""COMPUTED_VALUE"""),"")</f>
        <v/>
      </c>
    </row>
    <row r="6802">
      <c r="G6802" s="16" t="str">
        <f>IFERROR(__xludf.DUMMYFUNCTION("""COMPUTED_VALUE"""),"")</f>
        <v/>
      </c>
    </row>
    <row r="6803">
      <c r="G6803" s="16" t="str">
        <f>IFERROR(__xludf.DUMMYFUNCTION("""COMPUTED_VALUE"""),"")</f>
        <v/>
      </c>
    </row>
    <row r="6804">
      <c r="G6804" s="16" t="str">
        <f>IFERROR(__xludf.DUMMYFUNCTION("""COMPUTED_VALUE"""),"")</f>
        <v/>
      </c>
    </row>
    <row r="6805">
      <c r="G6805" s="16" t="str">
        <f>IFERROR(__xludf.DUMMYFUNCTION("""COMPUTED_VALUE"""),"")</f>
        <v/>
      </c>
    </row>
    <row r="6806">
      <c r="G6806" s="16" t="str">
        <f>IFERROR(__xludf.DUMMYFUNCTION("""COMPUTED_VALUE"""),"")</f>
        <v/>
      </c>
    </row>
    <row r="6807">
      <c r="G6807" s="16" t="str">
        <f>IFERROR(__xludf.DUMMYFUNCTION("""COMPUTED_VALUE"""),"")</f>
        <v/>
      </c>
    </row>
    <row r="6808">
      <c r="G6808" s="16" t="str">
        <f>IFERROR(__xludf.DUMMYFUNCTION("""COMPUTED_VALUE"""),"")</f>
        <v/>
      </c>
    </row>
    <row r="6809">
      <c r="G6809" s="16" t="str">
        <f>IFERROR(__xludf.DUMMYFUNCTION("""COMPUTED_VALUE"""),"")</f>
        <v/>
      </c>
    </row>
    <row r="6810">
      <c r="G6810" s="16" t="str">
        <f>IFERROR(__xludf.DUMMYFUNCTION("""COMPUTED_VALUE"""),"")</f>
        <v/>
      </c>
    </row>
    <row r="6811">
      <c r="G6811" s="16" t="str">
        <f>IFERROR(__xludf.DUMMYFUNCTION("""COMPUTED_VALUE"""),"")</f>
        <v/>
      </c>
    </row>
    <row r="6812">
      <c r="G6812" s="16" t="str">
        <f>IFERROR(__xludf.DUMMYFUNCTION("""COMPUTED_VALUE"""),"")</f>
        <v/>
      </c>
    </row>
    <row r="6813">
      <c r="G6813" s="16" t="str">
        <f>IFERROR(__xludf.DUMMYFUNCTION("""COMPUTED_VALUE"""),"")</f>
        <v/>
      </c>
    </row>
    <row r="6814">
      <c r="G6814" s="16" t="str">
        <f>IFERROR(__xludf.DUMMYFUNCTION("""COMPUTED_VALUE"""),"")</f>
        <v/>
      </c>
    </row>
    <row r="6815">
      <c r="G6815" s="16" t="str">
        <f>IFERROR(__xludf.DUMMYFUNCTION("""COMPUTED_VALUE"""),"")</f>
        <v/>
      </c>
    </row>
    <row r="6816">
      <c r="G6816" s="16" t="str">
        <f>IFERROR(__xludf.DUMMYFUNCTION("""COMPUTED_VALUE"""),"")</f>
        <v/>
      </c>
    </row>
    <row r="6817">
      <c r="G6817" s="16" t="str">
        <f>IFERROR(__xludf.DUMMYFUNCTION("""COMPUTED_VALUE"""),"")</f>
        <v/>
      </c>
    </row>
    <row r="6818">
      <c r="G6818" s="16" t="str">
        <f>IFERROR(__xludf.DUMMYFUNCTION("""COMPUTED_VALUE"""),"")</f>
        <v/>
      </c>
    </row>
    <row r="6819">
      <c r="G6819" s="16" t="str">
        <f>IFERROR(__xludf.DUMMYFUNCTION("""COMPUTED_VALUE"""),"")</f>
        <v/>
      </c>
    </row>
    <row r="6820">
      <c r="G6820" s="16" t="str">
        <f>IFERROR(__xludf.DUMMYFUNCTION("""COMPUTED_VALUE"""),"")</f>
        <v/>
      </c>
    </row>
    <row r="6821">
      <c r="G6821" s="16" t="str">
        <f>IFERROR(__xludf.DUMMYFUNCTION("""COMPUTED_VALUE"""),"")</f>
        <v/>
      </c>
    </row>
    <row r="6822">
      <c r="G6822" s="16" t="str">
        <f>IFERROR(__xludf.DUMMYFUNCTION("""COMPUTED_VALUE"""),"")</f>
        <v/>
      </c>
    </row>
    <row r="6823">
      <c r="G6823" s="16" t="str">
        <f>IFERROR(__xludf.DUMMYFUNCTION("""COMPUTED_VALUE"""),"")</f>
        <v/>
      </c>
    </row>
    <row r="6824">
      <c r="G6824" s="16" t="str">
        <f>IFERROR(__xludf.DUMMYFUNCTION("""COMPUTED_VALUE"""),"")</f>
        <v/>
      </c>
    </row>
    <row r="6825">
      <c r="G6825" s="16" t="str">
        <f>IFERROR(__xludf.DUMMYFUNCTION("""COMPUTED_VALUE"""),"")</f>
        <v/>
      </c>
    </row>
    <row r="6826">
      <c r="G6826" s="16" t="str">
        <f>IFERROR(__xludf.DUMMYFUNCTION("""COMPUTED_VALUE"""),"")</f>
        <v/>
      </c>
    </row>
    <row r="6827">
      <c r="G6827" s="16" t="str">
        <f>IFERROR(__xludf.DUMMYFUNCTION("""COMPUTED_VALUE"""),"")</f>
        <v/>
      </c>
    </row>
    <row r="6828">
      <c r="G6828" s="16" t="str">
        <f>IFERROR(__xludf.DUMMYFUNCTION("""COMPUTED_VALUE"""),"")</f>
        <v/>
      </c>
    </row>
    <row r="6829">
      <c r="G6829" s="16" t="str">
        <f>IFERROR(__xludf.DUMMYFUNCTION("""COMPUTED_VALUE"""),"")</f>
        <v/>
      </c>
    </row>
    <row r="6830">
      <c r="G6830" s="16" t="str">
        <f>IFERROR(__xludf.DUMMYFUNCTION("""COMPUTED_VALUE"""),"")</f>
        <v/>
      </c>
    </row>
    <row r="6831">
      <c r="G6831" s="16" t="str">
        <f>IFERROR(__xludf.DUMMYFUNCTION("""COMPUTED_VALUE"""),"")</f>
        <v/>
      </c>
    </row>
    <row r="6832">
      <c r="G6832" s="16" t="str">
        <f>IFERROR(__xludf.DUMMYFUNCTION("""COMPUTED_VALUE"""),"")</f>
        <v/>
      </c>
    </row>
    <row r="6833">
      <c r="G6833" s="16" t="str">
        <f>IFERROR(__xludf.DUMMYFUNCTION("""COMPUTED_VALUE"""),"")</f>
        <v/>
      </c>
    </row>
    <row r="6834">
      <c r="G6834" s="16" t="str">
        <f>IFERROR(__xludf.DUMMYFUNCTION("""COMPUTED_VALUE"""),"")</f>
        <v/>
      </c>
    </row>
    <row r="6835">
      <c r="G6835" s="16" t="str">
        <f>IFERROR(__xludf.DUMMYFUNCTION("""COMPUTED_VALUE"""),"")</f>
        <v/>
      </c>
    </row>
    <row r="6836">
      <c r="G6836" s="16" t="str">
        <f>IFERROR(__xludf.DUMMYFUNCTION("""COMPUTED_VALUE"""),"")</f>
        <v/>
      </c>
    </row>
    <row r="6837">
      <c r="G6837" s="16" t="str">
        <f>IFERROR(__xludf.DUMMYFUNCTION("""COMPUTED_VALUE"""),"")</f>
        <v/>
      </c>
    </row>
    <row r="6838">
      <c r="G6838" s="16" t="str">
        <f>IFERROR(__xludf.DUMMYFUNCTION("""COMPUTED_VALUE"""),"")</f>
        <v/>
      </c>
    </row>
    <row r="6839">
      <c r="G6839" s="16" t="str">
        <f>IFERROR(__xludf.DUMMYFUNCTION("""COMPUTED_VALUE"""),"")</f>
        <v/>
      </c>
    </row>
    <row r="6840">
      <c r="G6840" s="16" t="str">
        <f>IFERROR(__xludf.DUMMYFUNCTION("""COMPUTED_VALUE"""),"")</f>
        <v/>
      </c>
    </row>
    <row r="6841">
      <c r="G6841" s="16" t="str">
        <f>IFERROR(__xludf.DUMMYFUNCTION("""COMPUTED_VALUE"""),"")</f>
        <v/>
      </c>
    </row>
    <row r="6842">
      <c r="G6842" s="16" t="str">
        <f>IFERROR(__xludf.DUMMYFUNCTION("""COMPUTED_VALUE"""),"")</f>
        <v/>
      </c>
    </row>
    <row r="6843">
      <c r="G6843" s="16" t="str">
        <f>IFERROR(__xludf.DUMMYFUNCTION("""COMPUTED_VALUE"""),"")</f>
        <v/>
      </c>
    </row>
    <row r="6844">
      <c r="G6844" s="16" t="str">
        <f>IFERROR(__xludf.DUMMYFUNCTION("""COMPUTED_VALUE"""),"")</f>
        <v/>
      </c>
    </row>
    <row r="6845">
      <c r="G6845" s="16" t="str">
        <f>IFERROR(__xludf.DUMMYFUNCTION("""COMPUTED_VALUE"""),"")</f>
        <v/>
      </c>
    </row>
    <row r="6846">
      <c r="G6846" s="16" t="str">
        <f>IFERROR(__xludf.DUMMYFUNCTION("""COMPUTED_VALUE"""),"")</f>
        <v/>
      </c>
    </row>
    <row r="6847">
      <c r="G6847" s="16" t="str">
        <f>IFERROR(__xludf.DUMMYFUNCTION("""COMPUTED_VALUE"""),"")</f>
        <v/>
      </c>
    </row>
    <row r="6848">
      <c r="G6848" s="16" t="str">
        <f>IFERROR(__xludf.DUMMYFUNCTION("""COMPUTED_VALUE"""),"")</f>
        <v/>
      </c>
    </row>
    <row r="6849">
      <c r="G6849" s="16" t="str">
        <f>IFERROR(__xludf.DUMMYFUNCTION("""COMPUTED_VALUE"""),"")</f>
        <v/>
      </c>
    </row>
    <row r="6850">
      <c r="G6850" s="16" t="str">
        <f>IFERROR(__xludf.DUMMYFUNCTION("""COMPUTED_VALUE"""),"")</f>
        <v/>
      </c>
    </row>
    <row r="6851">
      <c r="G6851" s="16" t="str">
        <f>IFERROR(__xludf.DUMMYFUNCTION("""COMPUTED_VALUE"""),"")</f>
        <v/>
      </c>
    </row>
    <row r="6852">
      <c r="G6852" s="16" t="str">
        <f>IFERROR(__xludf.DUMMYFUNCTION("""COMPUTED_VALUE"""),"")</f>
        <v/>
      </c>
    </row>
    <row r="6853">
      <c r="G6853" s="16" t="str">
        <f>IFERROR(__xludf.DUMMYFUNCTION("""COMPUTED_VALUE"""),"")</f>
        <v/>
      </c>
    </row>
    <row r="6854">
      <c r="G6854" s="16" t="str">
        <f>IFERROR(__xludf.DUMMYFUNCTION("""COMPUTED_VALUE"""),"")</f>
        <v/>
      </c>
    </row>
    <row r="6855">
      <c r="G6855" s="16" t="str">
        <f>IFERROR(__xludf.DUMMYFUNCTION("""COMPUTED_VALUE"""),"")</f>
        <v/>
      </c>
    </row>
    <row r="6856">
      <c r="G6856" s="16" t="str">
        <f>IFERROR(__xludf.DUMMYFUNCTION("""COMPUTED_VALUE"""),"")</f>
        <v/>
      </c>
    </row>
    <row r="6857">
      <c r="G6857" s="16" t="str">
        <f>IFERROR(__xludf.DUMMYFUNCTION("""COMPUTED_VALUE"""),"")</f>
        <v/>
      </c>
    </row>
    <row r="6858">
      <c r="G6858" s="16" t="str">
        <f>IFERROR(__xludf.DUMMYFUNCTION("""COMPUTED_VALUE"""),"")</f>
        <v/>
      </c>
    </row>
    <row r="6859">
      <c r="G6859" s="16" t="str">
        <f>IFERROR(__xludf.DUMMYFUNCTION("""COMPUTED_VALUE"""),"")</f>
        <v/>
      </c>
    </row>
    <row r="6860">
      <c r="G6860" s="16" t="str">
        <f>IFERROR(__xludf.DUMMYFUNCTION("""COMPUTED_VALUE"""),"")</f>
        <v/>
      </c>
    </row>
    <row r="6861">
      <c r="G6861" s="16" t="str">
        <f>IFERROR(__xludf.DUMMYFUNCTION("""COMPUTED_VALUE"""),"")</f>
        <v/>
      </c>
    </row>
    <row r="6862">
      <c r="G6862" s="16" t="str">
        <f>IFERROR(__xludf.DUMMYFUNCTION("""COMPUTED_VALUE"""),"")</f>
        <v/>
      </c>
    </row>
    <row r="6863">
      <c r="G6863" s="16" t="str">
        <f>IFERROR(__xludf.DUMMYFUNCTION("""COMPUTED_VALUE"""),"")</f>
        <v/>
      </c>
    </row>
    <row r="6864">
      <c r="G6864" s="16" t="str">
        <f>IFERROR(__xludf.DUMMYFUNCTION("""COMPUTED_VALUE"""),"")</f>
        <v/>
      </c>
    </row>
    <row r="6865">
      <c r="G6865" s="16" t="str">
        <f>IFERROR(__xludf.DUMMYFUNCTION("""COMPUTED_VALUE"""),"")</f>
        <v/>
      </c>
    </row>
    <row r="6866">
      <c r="G6866" s="16" t="str">
        <f>IFERROR(__xludf.DUMMYFUNCTION("""COMPUTED_VALUE"""),"")</f>
        <v/>
      </c>
    </row>
    <row r="6867">
      <c r="G6867" s="16" t="str">
        <f>IFERROR(__xludf.DUMMYFUNCTION("""COMPUTED_VALUE"""),"")</f>
        <v/>
      </c>
    </row>
    <row r="6868">
      <c r="G6868" s="16" t="str">
        <f>IFERROR(__xludf.DUMMYFUNCTION("""COMPUTED_VALUE"""),"")</f>
        <v/>
      </c>
    </row>
    <row r="6869">
      <c r="G6869" s="16" t="str">
        <f>IFERROR(__xludf.DUMMYFUNCTION("""COMPUTED_VALUE"""),"")</f>
        <v/>
      </c>
    </row>
    <row r="6870">
      <c r="G6870" s="16" t="str">
        <f>IFERROR(__xludf.DUMMYFUNCTION("""COMPUTED_VALUE"""),"")</f>
        <v/>
      </c>
    </row>
    <row r="6871">
      <c r="G6871" s="16" t="str">
        <f>IFERROR(__xludf.DUMMYFUNCTION("""COMPUTED_VALUE"""),"")</f>
        <v/>
      </c>
    </row>
    <row r="6872">
      <c r="G6872" s="16" t="str">
        <f>IFERROR(__xludf.DUMMYFUNCTION("""COMPUTED_VALUE"""),"")</f>
        <v/>
      </c>
    </row>
    <row r="6873">
      <c r="G6873" s="16" t="str">
        <f>IFERROR(__xludf.DUMMYFUNCTION("""COMPUTED_VALUE"""),"")</f>
        <v/>
      </c>
    </row>
    <row r="6874">
      <c r="G6874" s="16" t="str">
        <f>IFERROR(__xludf.DUMMYFUNCTION("""COMPUTED_VALUE"""),"")</f>
        <v/>
      </c>
    </row>
    <row r="6875">
      <c r="G6875" s="16" t="str">
        <f>IFERROR(__xludf.DUMMYFUNCTION("""COMPUTED_VALUE"""),"")</f>
        <v/>
      </c>
    </row>
    <row r="6876">
      <c r="G6876" s="16" t="str">
        <f>IFERROR(__xludf.DUMMYFUNCTION("""COMPUTED_VALUE"""),"")</f>
        <v/>
      </c>
    </row>
    <row r="6877">
      <c r="G6877" s="16" t="str">
        <f>IFERROR(__xludf.DUMMYFUNCTION("""COMPUTED_VALUE"""),"")</f>
        <v/>
      </c>
    </row>
    <row r="6878">
      <c r="G6878" s="16" t="str">
        <f>IFERROR(__xludf.DUMMYFUNCTION("""COMPUTED_VALUE"""),"")</f>
        <v/>
      </c>
    </row>
    <row r="6879">
      <c r="G6879" s="16" t="str">
        <f>IFERROR(__xludf.DUMMYFUNCTION("""COMPUTED_VALUE"""),"")</f>
        <v/>
      </c>
    </row>
    <row r="6880">
      <c r="G6880" s="16" t="str">
        <f>IFERROR(__xludf.DUMMYFUNCTION("""COMPUTED_VALUE"""),"")</f>
        <v/>
      </c>
    </row>
    <row r="6881">
      <c r="G6881" s="16" t="str">
        <f>IFERROR(__xludf.DUMMYFUNCTION("""COMPUTED_VALUE"""),"")</f>
        <v/>
      </c>
    </row>
    <row r="6882">
      <c r="G6882" s="16" t="str">
        <f>IFERROR(__xludf.DUMMYFUNCTION("""COMPUTED_VALUE"""),"")</f>
        <v/>
      </c>
    </row>
    <row r="6883">
      <c r="G6883" s="16" t="str">
        <f>IFERROR(__xludf.DUMMYFUNCTION("""COMPUTED_VALUE"""),"")</f>
        <v/>
      </c>
    </row>
    <row r="6884">
      <c r="G6884" s="16" t="str">
        <f>IFERROR(__xludf.DUMMYFUNCTION("""COMPUTED_VALUE"""),"")</f>
        <v/>
      </c>
    </row>
    <row r="6885">
      <c r="G6885" s="16" t="str">
        <f>IFERROR(__xludf.DUMMYFUNCTION("""COMPUTED_VALUE"""),"")</f>
        <v/>
      </c>
    </row>
    <row r="6886">
      <c r="G6886" s="16" t="str">
        <f>IFERROR(__xludf.DUMMYFUNCTION("""COMPUTED_VALUE"""),"")</f>
        <v/>
      </c>
    </row>
    <row r="6887">
      <c r="G6887" s="16" t="str">
        <f>IFERROR(__xludf.DUMMYFUNCTION("""COMPUTED_VALUE"""),"")</f>
        <v/>
      </c>
    </row>
    <row r="6888">
      <c r="G6888" s="16" t="str">
        <f>IFERROR(__xludf.DUMMYFUNCTION("""COMPUTED_VALUE"""),"")</f>
        <v/>
      </c>
    </row>
    <row r="6889">
      <c r="G6889" s="16" t="str">
        <f>IFERROR(__xludf.DUMMYFUNCTION("""COMPUTED_VALUE"""),"")</f>
        <v/>
      </c>
    </row>
    <row r="6890">
      <c r="G6890" s="16" t="str">
        <f>IFERROR(__xludf.DUMMYFUNCTION("""COMPUTED_VALUE"""),"")</f>
        <v/>
      </c>
    </row>
    <row r="6891">
      <c r="G6891" s="16" t="str">
        <f>IFERROR(__xludf.DUMMYFUNCTION("""COMPUTED_VALUE"""),"")</f>
        <v/>
      </c>
    </row>
    <row r="6892">
      <c r="G6892" s="16" t="str">
        <f>IFERROR(__xludf.DUMMYFUNCTION("""COMPUTED_VALUE"""),"")</f>
        <v/>
      </c>
    </row>
    <row r="6893">
      <c r="G6893" s="16" t="str">
        <f>IFERROR(__xludf.DUMMYFUNCTION("""COMPUTED_VALUE"""),"")</f>
        <v/>
      </c>
    </row>
    <row r="6894">
      <c r="G6894" s="16" t="str">
        <f>IFERROR(__xludf.DUMMYFUNCTION("""COMPUTED_VALUE"""),"")</f>
        <v/>
      </c>
    </row>
    <row r="6895">
      <c r="G6895" s="16" t="str">
        <f>IFERROR(__xludf.DUMMYFUNCTION("""COMPUTED_VALUE"""),"")</f>
        <v/>
      </c>
    </row>
    <row r="6896">
      <c r="G6896" s="16" t="str">
        <f>IFERROR(__xludf.DUMMYFUNCTION("""COMPUTED_VALUE"""),"")</f>
        <v/>
      </c>
    </row>
    <row r="6897">
      <c r="G6897" s="16" t="str">
        <f>IFERROR(__xludf.DUMMYFUNCTION("""COMPUTED_VALUE"""),"")</f>
        <v/>
      </c>
    </row>
    <row r="6898">
      <c r="G6898" s="16" t="str">
        <f>IFERROR(__xludf.DUMMYFUNCTION("""COMPUTED_VALUE"""),"")</f>
        <v/>
      </c>
    </row>
    <row r="6899">
      <c r="G6899" s="16" t="str">
        <f>IFERROR(__xludf.DUMMYFUNCTION("""COMPUTED_VALUE"""),"")</f>
        <v/>
      </c>
    </row>
    <row r="6900">
      <c r="G6900" s="16" t="str">
        <f>IFERROR(__xludf.DUMMYFUNCTION("""COMPUTED_VALUE"""),"")</f>
        <v/>
      </c>
    </row>
    <row r="6901">
      <c r="G6901" s="16" t="str">
        <f>IFERROR(__xludf.DUMMYFUNCTION("""COMPUTED_VALUE"""),"")</f>
        <v/>
      </c>
    </row>
    <row r="6902">
      <c r="G6902" s="16" t="str">
        <f>IFERROR(__xludf.DUMMYFUNCTION("""COMPUTED_VALUE"""),"")</f>
        <v/>
      </c>
    </row>
    <row r="6903">
      <c r="G6903" s="16" t="str">
        <f>IFERROR(__xludf.DUMMYFUNCTION("""COMPUTED_VALUE"""),"")</f>
        <v/>
      </c>
    </row>
    <row r="6904">
      <c r="G6904" s="16" t="str">
        <f>IFERROR(__xludf.DUMMYFUNCTION("""COMPUTED_VALUE"""),"")</f>
        <v/>
      </c>
    </row>
    <row r="6905">
      <c r="G6905" s="16" t="str">
        <f>IFERROR(__xludf.DUMMYFUNCTION("""COMPUTED_VALUE"""),"")</f>
        <v/>
      </c>
    </row>
    <row r="6906">
      <c r="G6906" s="16" t="str">
        <f>IFERROR(__xludf.DUMMYFUNCTION("""COMPUTED_VALUE"""),"")</f>
        <v/>
      </c>
    </row>
    <row r="6907">
      <c r="G6907" s="16" t="str">
        <f>IFERROR(__xludf.DUMMYFUNCTION("""COMPUTED_VALUE"""),"")</f>
        <v/>
      </c>
    </row>
    <row r="6908">
      <c r="G6908" s="16" t="str">
        <f>IFERROR(__xludf.DUMMYFUNCTION("""COMPUTED_VALUE"""),"")</f>
        <v/>
      </c>
    </row>
    <row r="6909">
      <c r="G6909" s="16" t="str">
        <f>IFERROR(__xludf.DUMMYFUNCTION("""COMPUTED_VALUE"""),"")</f>
        <v/>
      </c>
    </row>
    <row r="6910">
      <c r="G6910" s="16" t="str">
        <f>IFERROR(__xludf.DUMMYFUNCTION("""COMPUTED_VALUE"""),"")</f>
        <v/>
      </c>
    </row>
    <row r="6911">
      <c r="G6911" s="16" t="str">
        <f>IFERROR(__xludf.DUMMYFUNCTION("""COMPUTED_VALUE"""),"")</f>
        <v/>
      </c>
    </row>
    <row r="6912">
      <c r="G6912" s="16" t="str">
        <f>IFERROR(__xludf.DUMMYFUNCTION("""COMPUTED_VALUE"""),"")</f>
        <v/>
      </c>
    </row>
    <row r="6913">
      <c r="G6913" s="16" t="str">
        <f>IFERROR(__xludf.DUMMYFUNCTION("""COMPUTED_VALUE"""),"")</f>
        <v/>
      </c>
    </row>
    <row r="6914">
      <c r="G6914" s="16" t="str">
        <f>IFERROR(__xludf.DUMMYFUNCTION("""COMPUTED_VALUE"""),"")</f>
        <v/>
      </c>
    </row>
    <row r="6915">
      <c r="G6915" s="16" t="str">
        <f>IFERROR(__xludf.DUMMYFUNCTION("""COMPUTED_VALUE"""),"")</f>
        <v/>
      </c>
    </row>
    <row r="6916">
      <c r="G6916" s="16" t="str">
        <f>IFERROR(__xludf.DUMMYFUNCTION("""COMPUTED_VALUE"""),"")</f>
        <v/>
      </c>
    </row>
    <row r="6917">
      <c r="G6917" s="16" t="str">
        <f>IFERROR(__xludf.DUMMYFUNCTION("""COMPUTED_VALUE"""),"")</f>
        <v/>
      </c>
    </row>
    <row r="6918">
      <c r="G6918" s="16" t="str">
        <f>IFERROR(__xludf.DUMMYFUNCTION("""COMPUTED_VALUE"""),"")</f>
        <v/>
      </c>
    </row>
    <row r="6919">
      <c r="G6919" s="16" t="str">
        <f>IFERROR(__xludf.DUMMYFUNCTION("""COMPUTED_VALUE"""),"")</f>
        <v/>
      </c>
    </row>
    <row r="6920">
      <c r="G6920" s="16" t="str">
        <f>IFERROR(__xludf.DUMMYFUNCTION("""COMPUTED_VALUE"""),"")</f>
        <v/>
      </c>
    </row>
    <row r="6921">
      <c r="G6921" s="16" t="str">
        <f>IFERROR(__xludf.DUMMYFUNCTION("""COMPUTED_VALUE"""),"")</f>
        <v/>
      </c>
    </row>
    <row r="6922">
      <c r="G6922" s="16" t="str">
        <f>IFERROR(__xludf.DUMMYFUNCTION("""COMPUTED_VALUE"""),"")</f>
        <v/>
      </c>
    </row>
    <row r="6923">
      <c r="G6923" s="16" t="str">
        <f>IFERROR(__xludf.DUMMYFUNCTION("""COMPUTED_VALUE"""),"")</f>
        <v/>
      </c>
    </row>
    <row r="6924">
      <c r="G6924" s="16" t="str">
        <f>IFERROR(__xludf.DUMMYFUNCTION("""COMPUTED_VALUE"""),"")</f>
        <v/>
      </c>
    </row>
    <row r="6925">
      <c r="G6925" s="16" t="str">
        <f>IFERROR(__xludf.DUMMYFUNCTION("""COMPUTED_VALUE"""),"")</f>
        <v/>
      </c>
    </row>
    <row r="6926">
      <c r="G6926" s="16" t="str">
        <f>IFERROR(__xludf.DUMMYFUNCTION("""COMPUTED_VALUE"""),"")</f>
        <v/>
      </c>
    </row>
    <row r="6927">
      <c r="G6927" s="16" t="str">
        <f>IFERROR(__xludf.DUMMYFUNCTION("""COMPUTED_VALUE"""),"")</f>
        <v/>
      </c>
    </row>
    <row r="6928">
      <c r="G6928" s="16" t="str">
        <f>IFERROR(__xludf.DUMMYFUNCTION("""COMPUTED_VALUE"""),"")</f>
        <v/>
      </c>
    </row>
    <row r="6929">
      <c r="G6929" s="16" t="str">
        <f>IFERROR(__xludf.DUMMYFUNCTION("""COMPUTED_VALUE"""),"")</f>
        <v/>
      </c>
    </row>
    <row r="6930">
      <c r="G6930" s="16" t="str">
        <f>IFERROR(__xludf.DUMMYFUNCTION("""COMPUTED_VALUE"""),"")</f>
        <v/>
      </c>
    </row>
    <row r="6931">
      <c r="G6931" s="16" t="str">
        <f>IFERROR(__xludf.DUMMYFUNCTION("""COMPUTED_VALUE"""),"")</f>
        <v/>
      </c>
    </row>
    <row r="6932">
      <c r="G6932" s="16" t="str">
        <f>IFERROR(__xludf.DUMMYFUNCTION("""COMPUTED_VALUE"""),"")</f>
        <v/>
      </c>
    </row>
    <row r="6933">
      <c r="G6933" s="16" t="str">
        <f>IFERROR(__xludf.DUMMYFUNCTION("""COMPUTED_VALUE"""),"")</f>
        <v/>
      </c>
    </row>
    <row r="6934">
      <c r="G6934" s="16" t="str">
        <f>IFERROR(__xludf.DUMMYFUNCTION("""COMPUTED_VALUE"""),"")</f>
        <v/>
      </c>
    </row>
    <row r="6935">
      <c r="G6935" s="16" t="str">
        <f>IFERROR(__xludf.DUMMYFUNCTION("""COMPUTED_VALUE"""),"")</f>
        <v/>
      </c>
    </row>
    <row r="6936">
      <c r="G6936" s="16" t="str">
        <f>IFERROR(__xludf.DUMMYFUNCTION("""COMPUTED_VALUE"""),"")</f>
        <v/>
      </c>
    </row>
    <row r="6937">
      <c r="G6937" s="16" t="str">
        <f>IFERROR(__xludf.DUMMYFUNCTION("""COMPUTED_VALUE"""),"")</f>
        <v/>
      </c>
    </row>
    <row r="6938">
      <c r="G6938" s="16" t="str">
        <f>IFERROR(__xludf.DUMMYFUNCTION("""COMPUTED_VALUE"""),"")</f>
        <v/>
      </c>
    </row>
    <row r="6939">
      <c r="G6939" s="16" t="str">
        <f>IFERROR(__xludf.DUMMYFUNCTION("""COMPUTED_VALUE"""),"")</f>
        <v/>
      </c>
    </row>
    <row r="6940">
      <c r="G6940" s="16" t="str">
        <f>IFERROR(__xludf.DUMMYFUNCTION("""COMPUTED_VALUE"""),"")</f>
        <v/>
      </c>
    </row>
    <row r="6941">
      <c r="G6941" s="16" t="str">
        <f>IFERROR(__xludf.DUMMYFUNCTION("""COMPUTED_VALUE"""),"")</f>
        <v/>
      </c>
    </row>
    <row r="6942">
      <c r="G6942" s="16" t="str">
        <f>IFERROR(__xludf.DUMMYFUNCTION("""COMPUTED_VALUE"""),"")</f>
        <v/>
      </c>
    </row>
    <row r="6943">
      <c r="G6943" s="16" t="str">
        <f>IFERROR(__xludf.DUMMYFUNCTION("""COMPUTED_VALUE"""),"")</f>
        <v/>
      </c>
    </row>
    <row r="6944">
      <c r="G6944" s="16" t="str">
        <f>IFERROR(__xludf.DUMMYFUNCTION("""COMPUTED_VALUE"""),"")</f>
        <v/>
      </c>
    </row>
    <row r="6945">
      <c r="G6945" s="16" t="str">
        <f>IFERROR(__xludf.DUMMYFUNCTION("""COMPUTED_VALUE"""),"")</f>
        <v/>
      </c>
    </row>
    <row r="6946">
      <c r="G6946" s="16" t="str">
        <f>IFERROR(__xludf.DUMMYFUNCTION("""COMPUTED_VALUE"""),"")</f>
        <v/>
      </c>
    </row>
    <row r="6947">
      <c r="G6947" s="16" t="str">
        <f>IFERROR(__xludf.DUMMYFUNCTION("""COMPUTED_VALUE"""),"")</f>
        <v/>
      </c>
    </row>
    <row r="6948">
      <c r="G6948" s="16" t="str">
        <f>IFERROR(__xludf.DUMMYFUNCTION("""COMPUTED_VALUE"""),"")</f>
        <v/>
      </c>
    </row>
    <row r="6949">
      <c r="G6949" s="16" t="str">
        <f>IFERROR(__xludf.DUMMYFUNCTION("""COMPUTED_VALUE"""),"")</f>
        <v/>
      </c>
    </row>
    <row r="6950">
      <c r="G6950" s="16" t="str">
        <f>IFERROR(__xludf.DUMMYFUNCTION("""COMPUTED_VALUE"""),"")</f>
        <v/>
      </c>
    </row>
    <row r="6951">
      <c r="G6951" s="16" t="str">
        <f>IFERROR(__xludf.DUMMYFUNCTION("""COMPUTED_VALUE"""),"")</f>
        <v/>
      </c>
    </row>
    <row r="6952">
      <c r="G6952" s="16" t="str">
        <f>IFERROR(__xludf.DUMMYFUNCTION("""COMPUTED_VALUE"""),"")</f>
        <v/>
      </c>
    </row>
    <row r="6953">
      <c r="G6953" s="16" t="str">
        <f>IFERROR(__xludf.DUMMYFUNCTION("""COMPUTED_VALUE"""),"")</f>
        <v/>
      </c>
    </row>
    <row r="6954">
      <c r="G6954" s="16" t="str">
        <f>IFERROR(__xludf.DUMMYFUNCTION("""COMPUTED_VALUE"""),"")</f>
        <v/>
      </c>
    </row>
    <row r="6955">
      <c r="G6955" s="16" t="str">
        <f>IFERROR(__xludf.DUMMYFUNCTION("""COMPUTED_VALUE"""),"")</f>
        <v/>
      </c>
    </row>
    <row r="6956">
      <c r="G6956" s="16" t="str">
        <f>IFERROR(__xludf.DUMMYFUNCTION("""COMPUTED_VALUE"""),"")</f>
        <v/>
      </c>
    </row>
    <row r="6957">
      <c r="G6957" s="16" t="str">
        <f>IFERROR(__xludf.DUMMYFUNCTION("""COMPUTED_VALUE"""),"")</f>
        <v/>
      </c>
    </row>
    <row r="6958">
      <c r="G6958" s="16" t="str">
        <f>IFERROR(__xludf.DUMMYFUNCTION("""COMPUTED_VALUE"""),"")</f>
        <v/>
      </c>
    </row>
    <row r="6959">
      <c r="G6959" s="16" t="str">
        <f>IFERROR(__xludf.DUMMYFUNCTION("""COMPUTED_VALUE"""),"")</f>
        <v/>
      </c>
    </row>
    <row r="6960">
      <c r="G6960" s="16" t="str">
        <f>IFERROR(__xludf.DUMMYFUNCTION("""COMPUTED_VALUE"""),"")</f>
        <v/>
      </c>
    </row>
    <row r="6961">
      <c r="G6961" s="16" t="str">
        <f>IFERROR(__xludf.DUMMYFUNCTION("""COMPUTED_VALUE"""),"")</f>
        <v/>
      </c>
    </row>
    <row r="6962">
      <c r="G6962" s="16" t="str">
        <f>IFERROR(__xludf.DUMMYFUNCTION("""COMPUTED_VALUE"""),"")</f>
        <v/>
      </c>
    </row>
    <row r="6963">
      <c r="G6963" s="16" t="str">
        <f>IFERROR(__xludf.DUMMYFUNCTION("""COMPUTED_VALUE"""),"")</f>
        <v/>
      </c>
    </row>
    <row r="6964">
      <c r="G6964" s="16" t="str">
        <f>IFERROR(__xludf.DUMMYFUNCTION("""COMPUTED_VALUE"""),"")</f>
        <v/>
      </c>
    </row>
    <row r="6965">
      <c r="G6965" s="16" t="str">
        <f>IFERROR(__xludf.DUMMYFUNCTION("""COMPUTED_VALUE"""),"")</f>
        <v/>
      </c>
    </row>
    <row r="6966">
      <c r="G6966" s="16" t="str">
        <f>IFERROR(__xludf.DUMMYFUNCTION("""COMPUTED_VALUE"""),"")</f>
        <v/>
      </c>
    </row>
    <row r="6967">
      <c r="G6967" s="16" t="str">
        <f>IFERROR(__xludf.DUMMYFUNCTION("""COMPUTED_VALUE"""),"")</f>
        <v/>
      </c>
    </row>
    <row r="6968">
      <c r="G6968" s="16" t="str">
        <f>IFERROR(__xludf.DUMMYFUNCTION("""COMPUTED_VALUE"""),"")</f>
        <v/>
      </c>
    </row>
    <row r="6969">
      <c r="G6969" s="16" t="str">
        <f>IFERROR(__xludf.DUMMYFUNCTION("""COMPUTED_VALUE"""),"")</f>
        <v/>
      </c>
    </row>
    <row r="6970">
      <c r="G6970" s="16" t="str">
        <f>IFERROR(__xludf.DUMMYFUNCTION("""COMPUTED_VALUE"""),"")</f>
        <v/>
      </c>
    </row>
    <row r="6971">
      <c r="G6971" s="16" t="str">
        <f>IFERROR(__xludf.DUMMYFUNCTION("""COMPUTED_VALUE"""),"")</f>
        <v/>
      </c>
    </row>
    <row r="6972">
      <c r="G6972" s="16" t="str">
        <f>IFERROR(__xludf.DUMMYFUNCTION("""COMPUTED_VALUE"""),"")</f>
        <v/>
      </c>
    </row>
    <row r="6973">
      <c r="G6973" s="16" t="str">
        <f>IFERROR(__xludf.DUMMYFUNCTION("""COMPUTED_VALUE"""),"")</f>
        <v/>
      </c>
    </row>
    <row r="6974">
      <c r="G6974" s="16" t="str">
        <f>IFERROR(__xludf.DUMMYFUNCTION("""COMPUTED_VALUE"""),"")</f>
        <v/>
      </c>
    </row>
    <row r="6975">
      <c r="G6975" s="16" t="str">
        <f>IFERROR(__xludf.DUMMYFUNCTION("""COMPUTED_VALUE"""),"")</f>
        <v/>
      </c>
    </row>
    <row r="6976">
      <c r="G6976" s="16" t="str">
        <f>IFERROR(__xludf.DUMMYFUNCTION("""COMPUTED_VALUE"""),"")</f>
        <v/>
      </c>
    </row>
    <row r="6977">
      <c r="G6977" s="16" t="str">
        <f>IFERROR(__xludf.DUMMYFUNCTION("""COMPUTED_VALUE"""),"")</f>
        <v/>
      </c>
    </row>
    <row r="6978">
      <c r="G6978" s="16" t="str">
        <f>IFERROR(__xludf.DUMMYFUNCTION("""COMPUTED_VALUE"""),"")</f>
        <v/>
      </c>
    </row>
    <row r="6979">
      <c r="G6979" s="16" t="str">
        <f>IFERROR(__xludf.DUMMYFUNCTION("""COMPUTED_VALUE"""),"")</f>
        <v/>
      </c>
    </row>
    <row r="6980">
      <c r="G6980" s="16" t="str">
        <f>IFERROR(__xludf.DUMMYFUNCTION("""COMPUTED_VALUE"""),"")</f>
        <v/>
      </c>
    </row>
    <row r="6981">
      <c r="G6981" s="16" t="str">
        <f>IFERROR(__xludf.DUMMYFUNCTION("""COMPUTED_VALUE"""),"")</f>
        <v/>
      </c>
    </row>
    <row r="6982">
      <c r="G6982" s="16" t="str">
        <f>IFERROR(__xludf.DUMMYFUNCTION("""COMPUTED_VALUE"""),"")</f>
        <v/>
      </c>
    </row>
    <row r="6983">
      <c r="G6983" s="16" t="str">
        <f>IFERROR(__xludf.DUMMYFUNCTION("""COMPUTED_VALUE"""),"")</f>
        <v/>
      </c>
    </row>
    <row r="6984">
      <c r="G6984" s="16" t="str">
        <f>IFERROR(__xludf.DUMMYFUNCTION("""COMPUTED_VALUE"""),"")</f>
        <v/>
      </c>
    </row>
    <row r="6985">
      <c r="G6985" s="16" t="str">
        <f>IFERROR(__xludf.DUMMYFUNCTION("""COMPUTED_VALUE"""),"")</f>
        <v/>
      </c>
    </row>
    <row r="6986">
      <c r="G6986" s="16" t="str">
        <f>IFERROR(__xludf.DUMMYFUNCTION("""COMPUTED_VALUE"""),"")</f>
        <v/>
      </c>
    </row>
    <row r="6987">
      <c r="G6987" s="16" t="str">
        <f>IFERROR(__xludf.DUMMYFUNCTION("""COMPUTED_VALUE"""),"")</f>
        <v/>
      </c>
    </row>
    <row r="6988">
      <c r="G6988" s="16" t="str">
        <f>IFERROR(__xludf.DUMMYFUNCTION("""COMPUTED_VALUE"""),"")</f>
        <v/>
      </c>
    </row>
    <row r="6989">
      <c r="G6989" s="16" t="str">
        <f>IFERROR(__xludf.DUMMYFUNCTION("""COMPUTED_VALUE"""),"")</f>
        <v/>
      </c>
    </row>
    <row r="6990">
      <c r="G6990" s="16" t="str">
        <f>IFERROR(__xludf.DUMMYFUNCTION("""COMPUTED_VALUE"""),"")</f>
        <v/>
      </c>
    </row>
    <row r="6991">
      <c r="G6991" s="16" t="str">
        <f>IFERROR(__xludf.DUMMYFUNCTION("""COMPUTED_VALUE"""),"")</f>
        <v/>
      </c>
    </row>
    <row r="6992">
      <c r="G6992" s="16" t="str">
        <f>IFERROR(__xludf.DUMMYFUNCTION("""COMPUTED_VALUE"""),"")</f>
        <v/>
      </c>
    </row>
    <row r="6993">
      <c r="G6993" s="16" t="str">
        <f>IFERROR(__xludf.DUMMYFUNCTION("""COMPUTED_VALUE"""),"")</f>
        <v/>
      </c>
    </row>
    <row r="6994">
      <c r="G6994" s="16" t="str">
        <f>IFERROR(__xludf.DUMMYFUNCTION("""COMPUTED_VALUE"""),"")</f>
        <v/>
      </c>
    </row>
    <row r="6995">
      <c r="G6995" s="16" t="str">
        <f>IFERROR(__xludf.DUMMYFUNCTION("""COMPUTED_VALUE"""),"")</f>
        <v/>
      </c>
    </row>
    <row r="6996">
      <c r="G6996" s="16" t="str">
        <f>IFERROR(__xludf.DUMMYFUNCTION("""COMPUTED_VALUE"""),"")</f>
        <v/>
      </c>
    </row>
    <row r="6997">
      <c r="G6997" s="16" t="str">
        <f>IFERROR(__xludf.DUMMYFUNCTION("""COMPUTED_VALUE"""),"")</f>
        <v/>
      </c>
    </row>
    <row r="6998">
      <c r="G6998" s="16" t="str">
        <f>IFERROR(__xludf.DUMMYFUNCTION("""COMPUTED_VALUE"""),"")</f>
        <v/>
      </c>
    </row>
    <row r="6999">
      <c r="G6999" s="16" t="str">
        <f>IFERROR(__xludf.DUMMYFUNCTION("""COMPUTED_VALUE"""),"")</f>
        <v/>
      </c>
    </row>
    <row r="7000">
      <c r="G7000" s="16" t="str">
        <f>IFERROR(__xludf.DUMMYFUNCTION("""COMPUTED_VALUE"""),"")</f>
        <v/>
      </c>
    </row>
    <row r="7001">
      <c r="G7001" s="16" t="str">
        <f>IFERROR(__xludf.DUMMYFUNCTION("""COMPUTED_VALUE"""),"")</f>
        <v/>
      </c>
    </row>
    <row r="7002">
      <c r="G7002" s="16" t="str">
        <f>IFERROR(__xludf.DUMMYFUNCTION("""COMPUTED_VALUE"""),"")</f>
        <v/>
      </c>
    </row>
    <row r="7003">
      <c r="G7003" s="16" t="str">
        <f>IFERROR(__xludf.DUMMYFUNCTION("""COMPUTED_VALUE"""),"")</f>
        <v/>
      </c>
    </row>
    <row r="7004">
      <c r="G7004" s="16" t="str">
        <f>IFERROR(__xludf.DUMMYFUNCTION("""COMPUTED_VALUE"""),"")</f>
        <v/>
      </c>
    </row>
    <row r="7005">
      <c r="G7005" s="16" t="str">
        <f>IFERROR(__xludf.DUMMYFUNCTION("""COMPUTED_VALUE"""),"")</f>
        <v/>
      </c>
    </row>
    <row r="7006">
      <c r="G7006" s="16" t="str">
        <f>IFERROR(__xludf.DUMMYFUNCTION("""COMPUTED_VALUE"""),"")</f>
        <v/>
      </c>
    </row>
    <row r="7007">
      <c r="G7007" s="16" t="str">
        <f>IFERROR(__xludf.DUMMYFUNCTION("""COMPUTED_VALUE"""),"")</f>
        <v/>
      </c>
    </row>
    <row r="7008">
      <c r="G7008" s="16" t="str">
        <f>IFERROR(__xludf.DUMMYFUNCTION("""COMPUTED_VALUE"""),"")</f>
        <v/>
      </c>
    </row>
    <row r="7009">
      <c r="G7009" s="16" t="str">
        <f>IFERROR(__xludf.DUMMYFUNCTION("""COMPUTED_VALUE"""),"")</f>
        <v/>
      </c>
    </row>
    <row r="7010">
      <c r="G7010" s="16" t="str">
        <f>IFERROR(__xludf.DUMMYFUNCTION("""COMPUTED_VALUE"""),"")</f>
        <v/>
      </c>
    </row>
    <row r="7011">
      <c r="G7011" s="16" t="str">
        <f>IFERROR(__xludf.DUMMYFUNCTION("""COMPUTED_VALUE"""),"")</f>
        <v/>
      </c>
    </row>
    <row r="7012">
      <c r="G7012" s="16" t="str">
        <f>IFERROR(__xludf.DUMMYFUNCTION("""COMPUTED_VALUE"""),"")</f>
        <v/>
      </c>
    </row>
    <row r="7013">
      <c r="G7013" s="16" t="str">
        <f>IFERROR(__xludf.DUMMYFUNCTION("""COMPUTED_VALUE"""),"")</f>
        <v/>
      </c>
    </row>
    <row r="7014">
      <c r="G7014" s="16" t="str">
        <f>IFERROR(__xludf.DUMMYFUNCTION("""COMPUTED_VALUE"""),"")</f>
        <v/>
      </c>
    </row>
    <row r="7015">
      <c r="G7015" s="16" t="str">
        <f>IFERROR(__xludf.DUMMYFUNCTION("""COMPUTED_VALUE"""),"")</f>
        <v/>
      </c>
    </row>
    <row r="7016">
      <c r="G7016" s="16" t="str">
        <f>IFERROR(__xludf.DUMMYFUNCTION("""COMPUTED_VALUE"""),"")</f>
        <v/>
      </c>
    </row>
    <row r="7017">
      <c r="G7017" s="16" t="str">
        <f>IFERROR(__xludf.DUMMYFUNCTION("""COMPUTED_VALUE"""),"")</f>
        <v/>
      </c>
    </row>
    <row r="7018">
      <c r="G7018" s="16" t="str">
        <f>IFERROR(__xludf.DUMMYFUNCTION("""COMPUTED_VALUE"""),"")</f>
        <v/>
      </c>
    </row>
    <row r="7019">
      <c r="G7019" s="16" t="str">
        <f>IFERROR(__xludf.DUMMYFUNCTION("""COMPUTED_VALUE"""),"")</f>
        <v/>
      </c>
    </row>
    <row r="7020">
      <c r="G7020" s="16" t="str">
        <f>IFERROR(__xludf.DUMMYFUNCTION("""COMPUTED_VALUE"""),"")</f>
        <v/>
      </c>
    </row>
    <row r="7021">
      <c r="G7021" s="16" t="str">
        <f>IFERROR(__xludf.DUMMYFUNCTION("""COMPUTED_VALUE"""),"")</f>
        <v/>
      </c>
    </row>
    <row r="7022">
      <c r="G7022" s="16" t="str">
        <f>IFERROR(__xludf.DUMMYFUNCTION("""COMPUTED_VALUE"""),"")</f>
        <v/>
      </c>
    </row>
    <row r="7023">
      <c r="G7023" s="16" t="str">
        <f>IFERROR(__xludf.DUMMYFUNCTION("""COMPUTED_VALUE"""),"")</f>
        <v/>
      </c>
    </row>
    <row r="7024">
      <c r="G7024" s="16" t="str">
        <f>IFERROR(__xludf.DUMMYFUNCTION("""COMPUTED_VALUE"""),"")</f>
        <v/>
      </c>
    </row>
    <row r="7025">
      <c r="G7025" s="16" t="str">
        <f>IFERROR(__xludf.DUMMYFUNCTION("""COMPUTED_VALUE"""),"")</f>
        <v/>
      </c>
    </row>
    <row r="7026">
      <c r="G7026" s="16" t="str">
        <f>IFERROR(__xludf.DUMMYFUNCTION("""COMPUTED_VALUE"""),"")</f>
        <v/>
      </c>
    </row>
    <row r="7027">
      <c r="G7027" s="16" t="str">
        <f>IFERROR(__xludf.DUMMYFUNCTION("""COMPUTED_VALUE"""),"")</f>
        <v/>
      </c>
    </row>
    <row r="7028">
      <c r="G7028" s="16" t="str">
        <f>IFERROR(__xludf.DUMMYFUNCTION("""COMPUTED_VALUE"""),"")</f>
        <v/>
      </c>
    </row>
    <row r="7029">
      <c r="G7029" s="16" t="str">
        <f>IFERROR(__xludf.DUMMYFUNCTION("""COMPUTED_VALUE"""),"")</f>
        <v/>
      </c>
    </row>
    <row r="7030">
      <c r="G7030" s="16" t="str">
        <f>IFERROR(__xludf.DUMMYFUNCTION("""COMPUTED_VALUE"""),"")</f>
        <v/>
      </c>
    </row>
    <row r="7031">
      <c r="G7031" s="16" t="str">
        <f>IFERROR(__xludf.DUMMYFUNCTION("""COMPUTED_VALUE"""),"")</f>
        <v/>
      </c>
    </row>
    <row r="7032">
      <c r="G7032" s="16" t="str">
        <f>IFERROR(__xludf.DUMMYFUNCTION("""COMPUTED_VALUE"""),"")</f>
        <v/>
      </c>
    </row>
    <row r="7033">
      <c r="G7033" s="16" t="str">
        <f>IFERROR(__xludf.DUMMYFUNCTION("""COMPUTED_VALUE"""),"")</f>
        <v/>
      </c>
    </row>
    <row r="7034">
      <c r="G7034" s="16" t="str">
        <f>IFERROR(__xludf.DUMMYFUNCTION("""COMPUTED_VALUE"""),"")</f>
        <v/>
      </c>
    </row>
    <row r="7035">
      <c r="G7035" s="16" t="str">
        <f>IFERROR(__xludf.DUMMYFUNCTION("""COMPUTED_VALUE"""),"")</f>
        <v/>
      </c>
    </row>
    <row r="7036">
      <c r="G7036" s="16" t="str">
        <f>IFERROR(__xludf.DUMMYFUNCTION("""COMPUTED_VALUE"""),"")</f>
        <v/>
      </c>
    </row>
    <row r="7037">
      <c r="G7037" s="16" t="str">
        <f>IFERROR(__xludf.DUMMYFUNCTION("""COMPUTED_VALUE"""),"")</f>
        <v/>
      </c>
    </row>
    <row r="7038">
      <c r="G7038" s="16" t="str">
        <f>IFERROR(__xludf.DUMMYFUNCTION("""COMPUTED_VALUE"""),"")</f>
        <v/>
      </c>
    </row>
    <row r="7039">
      <c r="G7039" s="16" t="str">
        <f>IFERROR(__xludf.DUMMYFUNCTION("""COMPUTED_VALUE"""),"")</f>
        <v/>
      </c>
    </row>
    <row r="7040">
      <c r="G7040" s="16" t="str">
        <f>IFERROR(__xludf.DUMMYFUNCTION("""COMPUTED_VALUE"""),"")</f>
        <v/>
      </c>
    </row>
    <row r="7041">
      <c r="G7041" s="16" t="str">
        <f>IFERROR(__xludf.DUMMYFUNCTION("""COMPUTED_VALUE"""),"")</f>
        <v/>
      </c>
    </row>
    <row r="7042">
      <c r="G7042" s="16" t="str">
        <f>IFERROR(__xludf.DUMMYFUNCTION("""COMPUTED_VALUE"""),"")</f>
        <v/>
      </c>
    </row>
    <row r="7043">
      <c r="G7043" s="16" t="str">
        <f>IFERROR(__xludf.DUMMYFUNCTION("""COMPUTED_VALUE"""),"")</f>
        <v/>
      </c>
    </row>
    <row r="7044">
      <c r="G7044" s="16" t="str">
        <f>IFERROR(__xludf.DUMMYFUNCTION("""COMPUTED_VALUE"""),"")</f>
        <v/>
      </c>
    </row>
    <row r="7045">
      <c r="G7045" s="16" t="str">
        <f>IFERROR(__xludf.DUMMYFUNCTION("""COMPUTED_VALUE"""),"")</f>
        <v/>
      </c>
    </row>
    <row r="7046">
      <c r="G7046" s="16" t="str">
        <f>IFERROR(__xludf.DUMMYFUNCTION("""COMPUTED_VALUE"""),"")</f>
        <v/>
      </c>
    </row>
    <row r="7047">
      <c r="G7047" s="16" t="str">
        <f>IFERROR(__xludf.DUMMYFUNCTION("""COMPUTED_VALUE"""),"")</f>
        <v/>
      </c>
    </row>
    <row r="7048">
      <c r="G7048" s="16" t="str">
        <f>IFERROR(__xludf.DUMMYFUNCTION("""COMPUTED_VALUE"""),"")</f>
        <v/>
      </c>
    </row>
    <row r="7049">
      <c r="G7049" s="16" t="str">
        <f>IFERROR(__xludf.DUMMYFUNCTION("""COMPUTED_VALUE"""),"")</f>
        <v/>
      </c>
    </row>
    <row r="7050">
      <c r="G7050" s="16" t="str">
        <f>IFERROR(__xludf.DUMMYFUNCTION("""COMPUTED_VALUE"""),"")</f>
        <v/>
      </c>
    </row>
    <row r="7051">
      <c r="G7051" s="16" t="str">
        <f>IFERROR(__xludf.DUMMYFUNCTION("""COMPUTED_VALUE"""),"")</f>
        <v/>
      </c>
    </row>
    <row r="7052">
      <c r="G7052" s="16" t="str">
        <f>IFERROR(__xludf.DUMMYFUNCTION("""COMPUTED_VALUE"""),"")</f>
        <v/>
      </c>
    </row>
    <row r="7053">
      <c r="G7053" s="16" t="str">
        <f>IFERROR(__xludf.DUMMYFUNCTION("""COMPUTED_VALUE"""),"")</f>
        <v/>
      </c>
    </row>
    <row r="7054">
      <c r="G7054" s="16" t="str">
        <f>IFERROR(__xludf.DUMMYFUNCTION("""COMPUTED_VALUE"""),"")</f>
        <v/>
      </c>
    </row>
    <row r="7055">
      <c r="G7055" s="16" t="str">
        <f>IFERROR(__xludf.DUMMYFUNCTION("""COMPUTED_VALUE"""),"")</f>
        <v/>
      </c>
    </row>
    <row r="7056">
      <c r="G7056" s="16" t="str">
        <f>IFERROR(__xludf.DUMMYFUNCTION("""COMPUTED_VALUE"""),"")</f>
        <v/>
      </c>
    </row>
    <row r="7057">
      <c r="G7057" s="16" t="str">
        <f>IFERROR(__xludf.DUMMYFUNCTION("""COMPUTED_VALUE"""),"")</f>
        <v/>
      </c>
    </row>
    <row r="7058">
      <c r="G7058" s="16" t="str">
        <f>IFERROR(__xludf.DUMMYFUNCTION("""COMPUTED_VALUE"""),"")</f>
        <v/>
      </c>
    </row>
    <row r="7059">
      <c r="G7059" s="16" t="str">
        <f>IFERROR(__xludf.DUMMYFUNCTION("""COMPUTED_VALUE"""),"")</f>
        <v/>
      </c>
    </row>
    <row r="7060">
      <c r="G7060" s="16" t="str">
        <f>IFERROR(__xludf.DUMMYFUNCTION("""COMPUTED_VALUE"""),"")</f>
        <v/>
      </c>
    </row>
    <row r="7061">
      <c r="G7061" s="16" t="str">
        <f>IFERROR(__xludf.DUMMYFUNCTION("""COMPUTED_VALUE"""),"")</f>
        <v/>
      </c>
    </row>
    <row r="7062">
      <c r="G7062" s="16" t="str">
        <f>IFERROR(__xludf.DUMMYFUNCTION("""COMPUTED_VALUE"""),"")</f>
        <v/>
      </c>
    </row>
    <row r="7063">
      <c r="G7063" s="16" t="str">
        <f>IFERROR(__xludf.DUMMYFUNCTION("""COMPUTED_VALUE"""),"")</f>
        <v/>
      </c>
    </row>
    <row r="7064">
      <c r="G7064" s="16" t="str">
        <f>IFERROR(__xludf.DUMMYFUNCTION("""COMPUTED_VALUE"""),"")</f>
        <v/>
      </c>
    </row>
    <row r="7065">
      <c r="G7065" s="16" t="str">
        <f>IFERROR(__xludf.DUMMYFUNCTION("""COMPUTED_VALUE"""),"")</f>
        <v/>
      </c>
    </row>
    <row r="7066">
      <c r="G7066" s="16" t="str">
        <f>IFERROR(__xludf.DUMMYFUNCTION("""COMPUTED_VALUE"""),"")</f>
        <v/>
      </c>
    </row>
    <row r="7067">
      <c r="G7067" s="16" t="str">
        <f>IFERROR(__xludf.DUMMYFUNCTION("""COMPUTED_VALUE"""),"")</f>
        <v/>
      </c>
    </row>
    <row r="7068">
      <c r="G7068" s="16" t="str">
        <f>IFERROR(__xludf.DUMMYFUNCTION("""COMPUTED_VALUE"""),"")</f>
        <v/>
      </c>
    </row>
    <row r="7069">
      <c r="G7069" s="16" t="str">
        <f>IFERROR(__xludf.DUMMYFUNCTION("""COMPUTED_VALUE"""),"")</f>
        <v/>
      </c>
    </row>
    <row r="7070">
      <c r="G7070" s="16" t="str">
        <f>IFERROR(__xludf.DUMMYFUNCTION("""COMPUTED_VALUE"""),"")</f>
        <v/>
      </c>
    </row>
    <row r="7071">
      <c r="G7071" s="16" t="str">
        <f>IFERROR(__xludf.DUMMYFUNCTION("""COMPUTED_VALUE"""),"")</f>
        <v/>
      </c>
    </row>
    <row r="7072">
      <c r="G7072" s="16" t="str">
        <f>IFERROR(__xludf.DUMMYFUNCTION("""COMPUTED_VALUE"""),"")</f>
        <v/>
      </c>
    </row>
    <row r="7073">
      <c r="G7073" s="16" t="str">
        <f>IFERROR(__xludf.DUMMYFUNCTION("""COMPUTED_VALUE"""),"")</f>
        <v/>
      </c>
    </row>
    <row r="7074">
      <c r="G7074" s="16" t="str">
        <f>IFERROR(__xludf.DUMMYFUNCTION("""COMPUTED_VALUE"""),"")</f>
        <v/>
      </c>
    </row>
    <row r="7075">
      <c r="G7075" s="16" t="str">
        <f>IFERROR(__xludf.DUMMYFUNCTION("""COMPUTED_VALUE"""),"")</f>
        <v/>
      </c>
    </row>
    <row r="7076">
      <c r="G7076" s="16" t="str">
        <f>IFERROR(__xludf.DUMMYFUNCTION("""COMPUTED_VALUE"""),"")</f>
        <v/>
      </c>
    </row>
    <row r="7077">
      <c r="G7077" s="16" t="str">
        <f>IFERROR(__xludf.DUMMYFUNCTION("""COMPUTED_VALUE"""),"")</f>
        <v/>
      </c>
    </row>
    <row r="7078">
      <c r="G7078" s="16" t="str">
        <f>IFERROR(__xludf.DUMMYFUNCTION("""COMPUTED_VALUE"""),"")</f>
        <v/>
      </c>
    </row>
    <row r="7079">
      <c r="G7079" s="16" t="str">
        <f>IFERROR(__xludf.DUMMYFUNCTION("""COMPUTED_VALUE"""),"")</f>
        <v/>
      </c>
    </row>
    <row r="7080">
      <c r="G7080" s="16" t="str">
        <f>IFERROR(__xludf.DUMMYFUNCTION("""COMPUTED_VALUE"""),"")</f>
        <v/>
      </c>
    </row>
    <row r="7081">
      <c r="G7081" s="16" t="str">
        <f>IFERROR(__xludf.DUMMYFUNCTION("""COMPUTED_VALUE"""),"")</f>
        <v/>
      </c>
    </row>
    <row r="7082">
      <c r="G7082" s="16" t="str">
        <f>IFERROR(__xludf.DUMMYFUNCTION("""COMPUTED_VALUE"""),"")</f>
        <v/>
      </c>
    </row>
    <row r="7083">
      <c r="G7083" s="16" t="str">
        <f>IFERROR(__xludf.DUMMYFUNCTION("""COMPUTED_VALUE"""),"")</f>
        <v/>
      </c>
    </row>
    <row r="7084">
      <c r="G7084" s="16" t="str">
        <f>IFERROR(__xludf.DUMMYFUNCTION("""COMPUTED_VALUE"""),"")</f>
        <v/>
      </c>
    </row>
    <row r="7085">
      <c r="G7085" s="16" t="str">
        <f>IFERROR(__xludf.DUMMYFUNCTION("""COMPUTED_VALUE"""),"")</f>
        <v/>
      </c>
    </row>
    <row r="7086">
      <c r="G7086" s="16" t="str">
        <f>IFERROR(__xludf.DUMMYFUNCTION("""COMPUTED_VALUE"""),"")</f>
        <v/>
      </c>
    </row>
    <row r="7087">
      <c r="G7087" s="16" t="str">
        <f>IFERROR(__xludf.DUMMYFUNCTION("""COMPUTED_VALUE"""),"")</f>
        <v/>
      </c>
    </row>
    <row r="7088">
      <c r="G7088" s="16" t="str">
        <f>IFERROR(__xludf.DUMMYFUNCTION("""COMPUTED_VALUE"""),"")</f>
        <v/>
      </c>
    </row>
    <row r="7089">
      <c r="G7089" s="16" t="str">
        <f>IFERROR(__xludf.DUMMYFUNCTION("""COMPUTED_VALUE"""),"")</f>
        <v/>
      </c>
    </row>
    <row r="7090">
      <c r="G7090" s="16" t="str">
        <f>IFERROR(__xludf.DUMMYFUNCTION("""COMPUTED_VALUE"""),"")</f>
        <v/>
      </c>
    </row>
    <row r="7091">
      <c r="G7091" s="16" t="str">
        <f>IFERROR(__xludf.DUMMYFUNCTION("""COMPUTED_VALUE"""),"")</f>
        <v/>
      </c>
    </row>
    <row r="7092">
      <c r="G7092" s="16" t="str">
        <f>IFERROR(__xludf.DUMMYFUNCTION("""COMPUTED_VALUE"""),"")</f>
        <v/>
      </c>
    </row>
    <row r="7093">
      <c r="G7093" s="16" t="str">
        <f>IFERROR(__xludf.DUMMYFUNCTION("""COMPUTED_VALUE"""),"")</f>
        <v/>
      </c>
    </row>
    <row r="7094">
      <c r="G7094" s="16" t="str">
        <f>IFERROR(__xludf.DUMMYFUNCTION("""COMPUTED_VALUE"""),"")</f>
        <v/>
      </c>
    </row>
    <row r="7095">
      <c r="G7095" s="16" t="str">
        <f>IFERROR(__xludf.DUMMYFUNCTION("""COMPUTED_VALUE"""),"")</f>
        <v/>
      </c>
    </row>
    <row r="7096">
      <c r="G7096" s="16" t="str">
        <f>IFERROR(__xludf.DUMMYFUNCTION("""COMPUTED_VALUE"""),"")</f>
        <v/>
      </c>
    </row>
    <row r="7097">
      <c r="G7097" s="16" t="str">
        <f>IFERROR(__xludf.DUMMYFUNCTION("""COMPUTED_VALUE"""),"")</f>
        <v/>
      </c>
    </row>
    <row r="7098">
      <c r="G7098" s="16" t="str">
        <f>IFERROR(__xludf.DUMMYFUNCTION("""COMPUTED_VALUE"""),"")</f>
        <v/>
      </c>
    </row>
    <row r="7099">
      <c r="G7099" s="16" t="str">
        <f>IFERROR(__xludf.DUMMYFUNCTION("""COMPUTED_VALUE"""),"")</f>
        <v/>
      </c>
    </row>
    <row r="7100">
      <c r="G7100" s="16" t="str">
        <f>IFERROR(__xludf.DUMMYFUNCTION("""COMPUTED_VALUE"""),"")</f>
        <v/>
      </c>
    </row>
    <row r="7101">
      <c r="G7101" s="16" t="str">
        <f>IFERROR(__xludf.DUMMYFUNCTION("""COMPUTED_VALUE"""),"")</f>
        <v/>
      </c>
    </row>
    <row r="7102">
      <c r="G7102" s="16" t="str">
        <f>IFERROR(__xludf.DUMMYFUNCTION("""COMPUTED_VALUE"""),"")</f>
        <v/>
      </c>
    </row>
    <row r="7103">
      <c r="G7103" s="16" t="str">
        <f>IFERROR(__xludf.DUMMYFUNCTION("""COMPUTED_VALUE"""),"")</f>
        <v/>
      </c>
    </row>
    <row r="7104">
      <c r="G7104" s="16" t="str">
        <f>IFERROR(__xludf.DUMMYFUNCTION("""COMPUTED_VALUE"""),"")</f>
        <v/>
      </c>
    </row>
    <row r="7105">
      <c r="G7105" s="16" t="str">
        <f>IFERROR(__xludf.DUMMYFUNCTION("""COMPUTED_VALUE"""),"")</f>
        <v/>
      </c>
    </row>
    <row r="7106">
      <c r="G7106" s="16" t="str">
        <f>IFERROR(__xludf.DUMMYFUNCTION("""COMPUTED_VALUE"""),"")</f>
        <v/>
      </c>
    </row>
    <row r="7107">
      <c r="G7107" s="16" t="str">
        <f>IFERROR(__xludf.DUMMYFUNCTION("""COMPUTED_VALUE"""),"")</f>
        <v/>
      </c>
    </row>
    <row r="7108">
      <c r="G7108" s="16" t="str">
        <f>IFERROR(__xludf.DUMMYFUNCTION("""COMPUTED_VALUE"""),"")</f>
        <v/>
      </c>
    </row>
    <row r="7109">
      <c r="G7109" s="16" t="str">
        <f>IFERROR(__xludf.DUMMYFUNCTION("""COMPUTED_VALUE"""),"")</f>
        <v/>
      </c>
    </row>
    <row r="7110">
      <c r="G7110" s="16" t="str">
        <f>IFERROR(__xludf.DUMMYFUNCTION("""COMPUTED_VALUE"""),"")</f>
        <v/>
      </c>
    </row>
    <row r="7111">
      <c r="G7111" s="16" t="str">
        <f>IFERROR(__xludf.DUMMYFUNCTION("""COMPUTED_VALUE"""),"")</f>
        <v/>
      </c>
    </row>
    <row r="7112">
      <c r="G7112" s="16" t="str">
        <f>IFERROR(__xludf.DUMMYFUNCTION("""COMPUTED_VALUE"""),"")</f>
        <v/>
      </c>
    </row>
    <row r="7113">
      <c r="G7113" s="16" t="str">
        <f>IFERROR(__xludf.DUMMYFUNCTION("""COMPUTED_VALUE"""),"")</f>
        <v/>
      </c>
    </row>
    <row r="7114">
      <c r="G7114" s="16" t="str">
        <f>IFERROR(__xludf.DUMMYFUNCTION("""COMPUTED_VALUE"""),"")</f>
        <v/>
      </c>
    </row>
    <row r="7115">
      <c r="G7115" s="16" t="str">
        <f>IFERROR(__xludf.DUMMYFUNCTION("""COMPUTED_VALUE"""),"")</f>
        <v/>
      </c>
    </row>
    <row r="7116">
      <c r="G7116" s="16" t="str">
        <f>IFERROR(__xludf.DUMMYFUNCTION("""COMPUTED_VALUE"""),"")</f>
        <v/>
      </c>
    </row>
    <row r="7117">
      <c r="G7117" s="16" t="str">
        <f>IFERROR(__xludf.DUMMYFUNCTION("""COMPUTED_VALUE"""),"")</f>
        <v/>
      </c>
    </row>
    <row r="7118">
      <c r="G7118" s="16" t="str">
        <f>IFERROR(__xludf.DUMMYFUNCTION("""COMPUTED_VALUE"""),"")</f>
        <v/>
      </c>
    </row>
    <row r="7119">
      <c r="G7119" s="16" t="str">
        <f>IFERROR(__xludf.DUMMYFUNCTION("""COMPUTED_VALUE"""),"")</f>
        <v/>
      </c>
    </row>
    <row r="7120">
      <c r="G7120" s="16" t="str">
        <f>IFERROR(__xludf.DUMMYFUNCTION("""COMPUTED_VALUE"""),"")</f>
        <v/>
      </c>
    </row>
    <row r="7121">
      <c r="G7121" s="16" t="str">
        <f>IFERROR(__xludf.DUMMYFUNCTION("""COMPUTED_VALUE"""),"")</f>
        <v/>
      </c>
    </row>
    <row r="7122">
      <c r="G7122" s="16" t="str">
        <f>IFERROR(__xludf.DUMMYFUNCTION("""COMPUTED_VALUE"""),"")</f>
        <v/>
      </c>
    </row>
    <row r="7123">
      <c r="G7123" s="16" t="str">
        <f>IFERROR(__xludf.DUMMYFUNCTION("""COMPUTED_VALUE"""),"")</f>
        <v/>
      </c>
    </row>
    <row r="7124">
      <c r="G7124" s="16" t="str">
        <f>IFERROR(__xludf.DUMMYFUNCTION("""COMPUTED_VALUE"""),"")</f>
        <v/>
      </c>
    </row>
    <row r="7125">
      <c r="G7125" s="16" t="str">
        <f>IFERROR(__xludf.DUMMYFUNCTION("""COMPUTED_VALUE"""),"")</f>
        <v/>
      </c>
    </row>
    <row r="7126">
      <c r="G7126" s="16" t="str">
        <f>IFERROR(__xludf.DUMMYFUNCTION("""COMPUTED_VALUE"""),"")</f>
        <v/>
      </c>
    </row>
    <row r="7127">
      <c r="G7127" s="16" t="str">
        <f>IFERROR(__xludf.DUMMYFUNCTION("""COMPUTED_VALUE"""),"")</f>
        <v/>
      </c>
    </row>
    <row r="7128">
      <c r="G7128" s="16" t="str">
        <f>IFERROR(__xludf.DUMMYFUNCTION("""COMPUTED_VALUE"""),"")</f>
        <v/>
      </c>
    </row>
    <row r="7129">
      <c r="G7129" s="16" t="str">
        <f>IFERROR(__xludf.DUMMYFUNCTION("""COMPUTED_VALUE"""),"")</f>
        <v/>
      </c>
    </row>
    <row r="7130">
      <c r="G7130" s="16" t="str">
        <f>IFERROR(__xludf.DUMMYFUNCTION("""COMPUTED_VALUE"""),"")</f>
        <v/>
      </c>
    </row>
    <row r="7131">
      <c r="G7131" s="16" t="str">
        <f>IFERROR(__xludf.DUMMYFUNCTION("""COMPUTED_VALUE"""),"")</f>
        <v/>
      </c>
    </row>
    <row r="7132">
      <c r="G7132" s="16" t="str">
        <f>IFERROR(__xludf.DUMMYFUNCTION("""COMPUTED_VALUE"""),"")</f>
        <v/>
      </c>
    </row>
    <row r="7133">
      <c r="G7133" s="16" t="str">
        <f>IFERROR(__xludf.DUMMYFUNCTION("""COMPUTED_VALUE"""),"")</f>
        <v/>
      </c>
    </row>
    <row r="7134">
      <c r="G7134" s="16" t="str">
        <f>IFERROR(__xludf.DUMMYFUNCTION("""COMPUTED_VALUE"""),"")</f>
        <v/>
      </c>
    </row>
    <row r="7135">
      <c r="G7135" s="16" t="str">
        <f>IFERROR(__xludf.DUMMYFUNCTION("""COMPUTED_VALUE"""),"")</f>
        <v/>
      </c>
    </row>
    <row r="7136">
      <c r="G7136" s="16" t="str">
        <f>IFERROR(__xludf.DUMMYFUNCTION("""COMPUTED_VALUE"""),"")</f>
        <v/>
      </c>
    </row>
    <row r="7137">
      <c r="G7137" s="16" t="str">
        <f>IFERROR(__xludf.DUMMYFUNCTION("""COMPUTED_VALUE"""),"")</f>
        <v/>
      </c>
    </row>
    <row r="7138">
      <c r="G7138" s="16" t="str">
        <f>IFERROR(__xludf.DUMMYFUNCTION("""COMPUTED_VALUE"""),"")</f>
        <v/>
      </c>
    </row>
    <row r="7139">
      <c r="G7139" s="16" t="str">
        <f>IFERROR(__xludf.DUMMYFUNCTION("""COMPUTED_VALUE"""),"")</f>
        <v/>
      </c>
    </row>
    <row r="7140">
      <c r="G7140" s="16" t="str">
        <f>IFERROR(__xludf.DUMMYFUNCTION("""COMPUTED_VALUE"""),"")</f>
        <v/>
      </c>
    </row>
    <row r="7141">
      <c r="G7141" s="16" t="str">
        <f>IFERROR(__xludf.DUMMYFUNCTION("""COMPUTED_VALUE"""),"")</f>
        <v/>
      </c>
    </row>
    <row r="7142">
      <c r="G7142" s="16" t="str">
        <f>IFERROR(__xludf.DUMMYFUNCTION("""COMPUTED_VALUE"""),"")</f>
        <v/>
      </c>
    </row>
    <row r="7143">
      <c r="G7143" s="16" t="str">
        <f>IFERROR(__xludf.DUMMYFUNCTION("""COMPUTED_VALUE"""),"")</f>
        <v/>
      </c>
    </row>
    <row r="7144">
      <c r="G7144" s="16" t="str">
        <f>IFERROR(__xludf.DUMMYFUNCTION("""COMPUTED_VALUE"""),"")</f>
        <v/>
      </c>
    </row>
    <row r="7145">
      <c r="G7145" s="16" t="str">
        <f>IFERROR(__xludf.DUMMYFUNCTION("""COMPUTED_VALUE"""),"")</f>
        <v/>
      </c>
    </row>
    <row r="7146">
      <c r="G7146" s="16" t="str">
        <f>IFERROR(__xludf.DUMMYFUNCTION("""COMPUTED_VALUE"""),"")</f>
        <v/>
      </c>
    </row>
    <row r="7147">
      <c r="G7147" s="16" t="str">
        <f>IFERROR(__xludf.DUMMYFUNCTION("""COMPUTED_VALUE"""),"")</f>
        <v/>
      </c>
    </row>
    <row r="7148">
      <c r="G7148" s="16" t="str">
        <f>IFERROR(__xludf.DUMMYFUNCTION("""COMPUTED_VALUE"""),"")</f>
        <v/>
      </c>
    </row>
    <row r="7149">
      <c r="G7149" s="16" t="str">
        <f>IFERROR(__xludf.DUMMYFUNCTION("""COMPUTED_VALUE"""),"")</f>
        <v/>
      </c>
    </row>
    <row r="7150">
      <c r="G7150" s="16" t="str">
        <f>IFERROR(__xludf.DUMMYFUNCTION("""COMPUTED_VALUE"""),"")</f>
        <v/>
      </c>
    </row>
    <row r="7151">
      <c r="G7151" s="16" t="str">
        <f>IFERROR(__xludf.DUMMYFUNCTION("""COMPUTED_VALUE"""),"")</f>
        <v/>
      </c>
    </row>
    <row r="7152">
      <c r="G7152" s="16" t="str">
        <f>IFERROR(__xludf.DUMMYFUNCTION("""COMPUTED_VALUE"""),"")</f>
        <v/>
      </c>
    </row>
    <row r="7153">
      <c r="G7153" s="16" t="str">
        <f>IFERROR(__xludf.DUMMYFUNCTION("""COMPUTED_VALUE"""),"")</f>
        <v/>
      </c>
    </row>
    <row r="7154">
      <c r="G7154" s="16" t="str">
        <f>IFERROR(__xludf.DUMMYFUNCTION("""COMPUTED_VALUE"""),"")</f>
        <v/>
      </c>
    </row>
    <row r="7155">
      <c r="G7155" s="16" t="str">
        <f>IFERROR(__xludf.DUMMYFUNCTION("""COMPUTED_VALUE"""),"")</f>
        <v/>
      </c>
    </row>
    <row r="7156">
      <c r="G7156" s="16" t="str">
        <f>IFERROR(__xludf.DUMMYFUNCTION("""COMPUTED_VALUE"""),"")</f>
        <v/>
      </c>
    </row>
    <row r="7157">
      <c r="G7157" s="16" t="str">
        <f>IFERROR(__xludf.DUMMYFUNCTION("""COMPUTED_VALUE"""),"")</f>
        <v/>
      </c>
    </row>
    <row r="7158">
      <c r="G7158" s="16" t="str">
        <f>IFERROR(__xludf.DUMMYFUNCTION("""COMPUTED_VALUE"""),"")</f>
        <v/>
      </c>
    </row>
    <row r="7159">
      <c r="G7159" s="16" t="str">
        <f>IFERROR(__xludf.DUMMYFUNCTION("""COMPUTED_VALUE"""),"")</f>
        <v/>
      </c>
    </row>
    <row r="7160">
      <c r="G7160" s="16" t="str">
        <f>IFERROR(__xludf.DUMMYFUNCTION("""COMPUTED_VALUE"""),"")</f>
        <v/>
      </c>
    </row>
    <row r="7161">
      <c r="G7161" s="16" t="str">
        <f>IFERROR(__xludf.DUMMYFUNCTION("""COMPUTED_VALUE"""),"")</f>
        <v/>
      </c>
    </row>
    <row r="7162">
      <c r="G7162" s="16" t="str">
        <f>IFERROR(__xludf.DUMMYFUNCTION("""COMPUTED_VALUE"""),"")</f>
        <v/>
      </c>
    </row>
    <row r="7163">
      <c r="G7163" s="16" t="str">
        <f>IFERROR(__xludf.DUMMYFUNCTION("""COMPUTED_VALUE"""),"")</f>
        <v/>
      </c>
    </row>
    <row r="7164">
      <c r="G7164" s="16" t="str">
        <f>IFERROR(__xludf.DUMMYFUNCTION("""COMPUTED_VALUE"""),"")</f>
        <v/>
      </c>
    </row>
    <row r="7165">
      <c r="G7165" s="16" t="str">
        <f>IFERROR(__xludf.DUMMYFUNCTION("""COMPUTED_VALUE"""),"")</f>
        <v/>
      </c>
    </row>
    <row r="7166">
      <c r="G7166" s="16" t="str">
        <f>IFERROR(__xludf.DUMMYFUNCTION("""COMPUTED_VALUE"""),"")</f>
        <v/>
      </c>
    </row>
    <row r="7167">
      <c r="G7167" s="16" t="str">
        <f>IFERROR(__xludf.DUMMYFUNCTION("""COMPUTED_VALUE"""),"")</f>
        <v/>
      </c>
    </row>
    <row r="7168">
      <c r="G7168" s="16" t="str">
        <f>IFERROR(__xludf.DUMMYFUNCTION("""COMPUTED_VALUE"""),"")</f>
        <v/>
      </c>
    </row>
    <row r="7169">
      <c r="G7169" s="16" t="str">
        <f>IFERROR(__xludf.DUMMYFUNCTION("""COMPUTED_VALUE"""),"")</f>
        <v/>
      </c>
    </row>
    <row r="7170">
      <c r="G7170" s="16" t="str">
        <f>IFERROR(__xludf.DUMMYFUNCTION("""COMPUTED_VALUE"""),"")</f>
        <v/>
      </c>
    </row>
    <row r="7171">
      <c r="G7171" s="16" t="str">
        <f>IFERROR(__xludf.DUMMYFUNCTION("""COMPUTED_VALUE"""),"")</f>
        <v/>
      </c>
    </row>
    <row r="7172">
      <c r="G7172" s="16" t="str">
        <f>IFERROR(__xludf.DUMMYFUNCTION("""COMPUTED_VALUE"""),"")</f>
        <v/>
      </c>
    </row>
    <row r="7173">
      <c r="G7173" s="16" t="str">
        <f>IFERROR(__xludf.DUMMYFUNCTION("""COMPUTED_VALUE"""),"")</f>
        <v/>
      </c>
    </row>
    <row r="7174">
      <c r="G7174" s="16" t="str">
        <f>IFERROR(__xludf.DUMMYFUNCTION("""COMPUTED_VALUE"""),"")</f>
        <v/>
      </c>
    </row>
    <row r="7175">
      <c r="G7175" s="16" t="str">
        <f>IFERROR(__xludf.DUMMYFUNCTION("""COMPUTED_VALUE"""),"")</f>
        <v/>
      </c>
    </row>
    <row r="7176">
      <c r="G7176" s="16" t="str">
        <f>IFERROR(__xludf.DUMMYFUNCTION("""COMPUTED_VALUE"""),"")</f>
        <v/>
      </c>
    </row>
    <row r="7177">
      <c r="G7177" s="16" t="str">
        <f>IFERROR(__xludf.DUMMYFUNCTION("""COMPUTED_VALUE"""),"")</f>
        <v/>
      </c>
    </row>
    <row r="7178">
      <c r="G7178" s="16" t="str">
        <f>IFERROR(__xludf.DUMMYFUNCTION("""COMPUTED_VALUE"""),"")</f>
        <v/>
      </c>
    </row>
    <row r="7179">
      <c r="G7179" s="16" t="str">
        <f>IFERROR(__xludf.DUMMYFUNCTION("""COMPUTED_VALUE"""),"")</f>
        <v/>
      </c>
    </row>
    <row r="7180">
      <c r="G7180" s="16" t="str">
        <f>IFERROR(__xludf.DUMMYFUNCTION("""COMPUTED_VALUE"""),"")</f>
        <v/>
      </c>
    </row>
    <row r="7181">
      <c r="G7181" s="16" t="str">
        <f>IFERROR(__xludf.DUMMYFUNCTION("""COMPUTED_VALUE"""),"")</f>
        <v/>
      </c>
    </row>
    <row r="7182">
      <c r="G7182" s="16" t="str">
        <f>IFERROR(__xludf.DUMMYFUNCTION("""COMPUTED_VALUE"""),"")</f>
        <v/>
      </c>
    </row>
    <row r="7183">
      <c r="G7183" s="16" t="str">
        <f>IFERROR(__xludf.DUMMYFUNCTION("""COMPUTED_VALUE"""),"")</f>
        <v/>
      </c>
    </row>
    <row r="7184">
      <c r="G7184" s="16" t="str">
        <f>IFERROR(__xludf.DUMMYFUNCTION("""COMPUTED_VALUE"""),"")</f>
        <v/>
      </c>
    </row>
    <row r="7185">
      <c r="G7185" s="16" t="str">
        <f>IFERROR(__xludf.DUMMYFUNCTION("""COMPUTED_VALUE"""),"")</f>
        <v/>
      </c>
    </row>
    <row r="7186">
      <c r="G7186" s="16" t="str">
        <f>IFERROR(__xludf.DUMMYFUNCTION("""COMPUTED_VALUE"""),"")</f>
        <v/>
      </c>
    </row>
    <row r="7187">
      <c r="G7187" s="16" t="str">
        <f>IFERROR(__xludf.DUMMYFUNCTION("""COMPUTED_VALUE"""),"")</f>
        <v/>
      </c>
    </row>
    <row r="7188">
      <c r="G7188" s="16" t="str">
        <f>IFERROR(__xludf.DUMMYFUNCTION("""COMPUTED_VALUE"""),"")</f>
        <v/>
      </c>
    </row>
    <row r="7189">
      <c r="G7189" s="16" t="str">
        <f>IFERROR(__xludf.DUMMYFUNCTION("""COMPUTED_VALUE"""),"")</f>
        <v/>
      </c>
    </row>
    <row r="7190">
      <c r="G7190" s="16" t="str">
        <f>IFERROR(__xludf.DUMMYFUNCTION("""COMPUTED_VALUE"""),"")</f>
        <v/>
      </c>
    </row>
    <row r="7191">
      <c r="G7191" s="16" t="str">
        <f>IFERROR(__xludf.DUMMYFUNCTION("""COMPUTED_VALUE"""),"")</f>
        <v/>
      </c>
    </row>
    <row r="7192">
      <c r="G7192" s="16" t="str">
        <f>IFERROR(__xludf.DUMMYFUNCTION("""COMPUTED_VALUE"""),"")</f>
        <v/>
      </c>
    </row>
    <row r="7193">
      <c r="G7193" s="16" t="str">
        <f>IFERROR(__xludf.DUMMYFUNCTION("""COMPUTED_VALUE"""),"")</f>
        <v/>
      </c>
    </row>
    <row r="7194">
      <c r="G7194" s="16" t="str">
        <f>IFERROR(__xludf.DUMMYFUNCTION("""COMPUTED_VALUE"""),"")</f>
        <v/>
      </c>
    </row>
    <row r="7195">
      <c r="G7195" s="16" t="str">
        <f>IFERROR(__xludf.DUMMYFUNCTION("""COMPUTED_VALUE"""),"")</f>
        <v/>
      </c>
    </row>
    <row r="7196">
      <c r="G7196" s="16" t="str">
        <f>IFERROR(__xludf.DUMMYFUNCTION("""COMPUTED_VALUE"""),"")</f>
        <v/>
      </c>
    </row>
    <row r="7197">
      <c r="G7197" s="16" t="str">
        <f>IFERROR(__xludf.DUMMYFUNCTION("""COMPUTED_VALUE"""),"")</f>
        <v/>
      </c>
    </row>
    <row r="7198">
      <c r="G7198" s="16" t="str">
        <f>IFERROR(__xludf.DUMMYFUNCTION("""COMPUTED_VALUE"""),"")</f>
        <v/>
      </c>
    </row>
    <row r="7199">
      <c r="G7199" s="16" t="str">
        <f>IFERROR(__xludf.DUMMYFUNCTION("""COMPUTED_VALUE"""),"")</f>
        <v/>
      </c>
    </row>
    <row r="7200">
      <c r="G7200" s="16" t="str">
        <f>IFERROR(__xludf.DUMMYFUNCTION("""COMPUTED_VALUE"""),"")</f>
        <v/>
      </c>
    </row>
    <row r="7201">
      <c r="G7201" s="16" t="str">
        <f>IFERROR(__xludf.DUMMYFUNCTION("""COMPUTED_VALUE"""),"")</f>
        <v/>
      </c>
    </row>
    <row r="7202">
      <c r="G7202" s="16" t="str">
        <f>IFERROR(__xludf.DUMMYFUNCTION("""COMPUTED_VALUE"""),"")</f>
        <v/>
      </c>
    </row>
    <row r="7203">
      <c r="G7203" s="16" t="str">
        <f>IFERROR(__xludf.DUMMYFUNCTION("""COMPUTED_VALUE"""),"")</f>
        <v/>
      </c>
    </row>
    <row r="7204">
      <c r="G7204" s="16" t="str">
        <f>IFERROR(__xludf.DUMMYFUNCTION("""COMPUTED_VALUE"""),"")</f>
        <v/>
      </c>
    </row>
    <row r="7205">
      <c r="G7205" s="16" t="str">
        <f>IFERROR(__xludf.DUMMYFUNCTION("""COMPUTED_VALUE"""),"")</f>
        <v/>
      </c>
    </row>
    <row r="7206">
      <c r="G7206" s="16" t="str">
        <f>IFERROR(__xludf.DUMMYFUNCTION("""COMPUTED_VALUE"""),"")</f>
        <v/>
      </c>
    </row>
    <row r="7207">
      <c r="G7207" s="16" t="str">
        <f>IFERROR(__xludf.DUMMYFUNCTION("""COMPUTED_VALUE"""),"")</f>
        <v/>
      </c>
    </row>
    <row r="7208">
      <c r="G7208" s="16" t="str">
        <f>IFERROR(__xludf.DUMMYFUNCTION("""COMPUTED_VALUE"""),"")</f>
        <v/>
      </c>
    </row>
    <row r="7209">
      <c r="G7209" s="16" t="str">
        <f>IFERROR(__xludf.DUMMYFUNCTION("""COMPUTED_VALUE"""),"")</f>
        <v/>
      </c>
    </row>
    <row r="7210">
      <c r="G7210" s="16" t="str">
        <f>IFERROR(__xludf.DUMMYFUNCTION("""COMPUTED_VALUE"""),"")</f>
        <v/>
      </c>
    </row>
    <row r="7211">
      <c r="G7211" s="16" t="str">
        <f>IFERROR(__xludf.DUMMYFUNCTION("""COMPUTED_VALUE"""),"")</f>
        <v/>
      </c>
    </row>
    <row r="7212">
      <c r="G7212" s="16" t="str">
        <f>IFERROR(__xludf.DUMMYFUNCTION("""COMPUTED_VALUE"""),"")</f>
        <v/>
      </c>
    </row>
    <row r="7213">
      <c r="G7213" s="16" t="str">
        <f>IFERROR(__xludf.DUMMYFUNCTION("""COMPUTED_VALUE"""),"")</f>
        <v/>
      </c>
    </row>
    <row r="7214">
      <c r="G7214" s="16" t="str">
        <f>IFERROR(__xludf.DUMMYFUNCTION("""COMPUTED_VALUE"""),"")</f>
        <v/>
      </c>
    </row>
    <row r="7215">
      <c r="G7215" s="16" t="str">
        <f>IFERROR(__xludf.DUMMYFUNCTION("""COMPUTED_VALUE"""),"")</f>
        <v/>
      </c>
    </row>
    <row r="7216">
      <c r="G7216" s="16" t="str">
        <f>IFERROR(__xludf.DUMMYFUNCTION("""COMPUTED_VALUE"""),"")</f>
        <v/>
      </c>
    </row>
    <row r="7217">
      <c r="G7217" s="16" t="str">
        <f>IFERROR(__xludf.DUMMYFUNCTION("""COMPUTED_VALUE"""),"")</f>
        <v/>
      </c>
    </row>
    <row r="7218">
      <c r="G7218" s="16" t="str">
        <f>IFERROR(__xludf.DUMMYFUNCTION("""COMPUTED_VALUE"""),"")</f>
        <v/>
      </c>
    </row>
    <row r="7219">
      <c r="G7219" s="16" t="str">
        <f>IFERROR(__xludf.DUMMYFUNCTION("""COMPUTED_VALUE"""),"")</f>
        <v/>
      </c>
    </row>
    <row r="7220">
      <c r="G7220" s="16" t="str">
        <f>IFERROR(__xludf.DUMMYFUNCTION("""COMPUTED_VALUE"""),"")</f>
        <v/>
      </c>
    </row>
    <row r="7221">
      <c r="G7221" s="16" t="str">
        <f>IFERROR(__xludf.DUMMYFUNCTION("""COMPUTED_VALUE"""),"")</f>
        <v/>
      </c>
    </row>
    <row r="7222">
      <c r="G7222" s="16" t="str">
        <f>IFERROR(__xludf.DUMMYFUNCTION("""COMPUTED_VALUE"""),"")</f>
        <v/>
      </c>
    </row>
    <row r="7223">
      <c r="G7223" s="16" t="str">
        <f>IFERROR(__xludf.DUMMYFUNCTION("""COMPUTED_VALUE"""),"")</f>
        <v/>
      </c>
    </row>
    <row r="7224">
      <c r="G7224" s="16" t="str">
        <f>IFERROR(__xludf.DUMMYFUNCTION("""COMPUTED_VALUE"""),"")</f>
        <v/>
      </c>
    </row>
    <row r="7225">
      <c r="G7225" s="16" t="str">
        <f>IFERROR(__xludf.DUMMYFUNCTION("""COMPUTED_VALUE"""),"")</f>
        <v/>
      </c>
    </row>
    <row r="7226">
      <c r="G7226" s="16" t="str">
        <f>IFERROR(__xludf.DUMMYFUNCTION("""COMPUTED_VALUE"""),"")</f>
        <v/>
      </c>
    </row>
    <row r="7227">
      <c r="G7227" s="16" t="str">
        <f>IFERROR(__xludf.DUMMYFUNCTION("""COMPUTED_VALUE"""),"")</f>
        <v/>
      </c>
    </row>
    <row r="7228">
      <c r="G7228" s="16" t="str">
        <f>IFERROR(__xludf.DUMMYFUNCTION("""COMPUTED_VALUE"""),"")</f>
        <v/>
      </c>
    </row>
    <row r="7229">
      <c r="G7229" s="16" t="str">
        <f>IFERROR(__xludf.DUMMYFUNCTION("""COMPUTED_VALUE"""),"")</f>
        <v/>
      </c>
    </row>
    <row r="7230">
      <c r="G7230" s="16" t="str">
        <f>IFERROR(__xludf.DUMMYFUNCTION("""COMPUTED_VALUE"""),"")</f>
        <v/>
      </c>
    </row>
    <row r="7231">
      <c r="G7231" s="16" t="str">
        <f>IFERROR(__xludf.DUMMYFUNCTION("""COMPUTED_VALUE"""),"")</f>
        <v/>
      </c>
    </row>
    <row r="7232">
      <c r="G7232" s="16" t="str">
        <f>IFERROR(__xludf.DUMMYFUNCTION("""COMPUTED_VALUE"""),"")</f>
        <v/>
      </c>
    </row>
    <row r="7233">
      <c r="G7233" s="16" t="str">
        <f>IFERROR(__xludf.DUMMYFUNCTION("""COMPUTED_VALUE"""),"")</f>
        <v/>
      </c>
    </row>
    <row r="7234">
      <c r="G7234" s="16" t="str">
        <f>IFERROR(__xludf.DUMMYFUNCTION("""COMPUTED_VALUE"""),"")</f>
        <v/>
      </c>
    </row>
    <row r="7235">
      <c r="G7235" s="16" t="str">
        <f>IFERROR(__xludf.DUMMYFUNCTION("""COMPUTED_VALUE"""),"")</f>
        <v/>
      </c>
    </row>
    <row r="7236">
      <c r="G7236" s="16" t="str">
        <f>IFERROR(__xludf.DUMMYFUNCTION("""COMPUTED_VALUE"""),"")</f>
        <v/>
      </c>
    </row>
    <row r="7237">
      <c r="G7237" s="16" t="str">
        <f>IFERROR(__xludf.DUMMYFUNCTION("""COMPUTED_VALUE"""),"")</f>
        <v/>
      </c>
    </row>
    <row r="7238">
      <c r="G7238" s="16" t="str">
        <f>IFERROR(__xludf.DUMMYFUNCTION("""COMPUTED_VALUE"""),"")</f>
        <v/>
      </c>
    </row>
    <row r="7239">
      <c r="G7239" s="16" t="str">
        <f>IFERROR(__xludf.DUMMYFUNCTION("""COMPUTED_VALUE"""),"")</f>
        <v/>
      </c>
    </row>
    <row r="7240">
      <c r="G7240" s="16" t="str">
        <f>IFERROR(__xludf.DUMMYFUNCTION("""COMPUTED_VALUE"""),"")</f>
        <v/>
      </c>
    </row>
    <row r="7241">
      <c r="G7241" s="16" t="str">
        <f>IFERROR(__xludf.DUMMYFUNCTION("""COMPUTED_VALUE"""),"")</f>
        <v/>
      </c>
    </row>
    <row r="7242">
      <c r="G7242" s="16" t="str">
        <f>IFERROR(__xludf.DUMMYFUNCTION("""COMPUTED_VALUE"""),"")</f>
        <v/>
      </c>
    </row>
    <row r="7243">
      <c r="G7243" s="16" t="str">
        <f>IFERROR(__xludf.DUMMYFUNCTION("""COMPUTED_VALUE"""),"")</f>
        <v/>
      </c>
    </row>
    <row r="7244">
      <c r="G7244" s="16" t="str">
        <f>IFERROR(__xludf.DUMMYFUNCTION("""COMPUTED_VALUE"""),"")</f>
        <v/>
      </c>
    </row>
    <row r="7245">
      <c r="G7245" s="16" t="str">
        <f>IFERROR(__xludf.DUMMYFUNCTION("""COMPUTED_VALUE"""),"")</f>
        <v/>
      </c>
    </row>
    <row r="7246">
      <c r="G7246" s="16" t="str">
        <f>IFERROR(__xludf.DUMMYFUNCTION("""COMPUTED_VALUE"""),"")</f>
        <v/>
      </c>
    </row>
    <row r="7247">
      <c r="G7247" s="16" t="str">
        <f>IFERROR(__xludf.DUMMYFUNCTION("""COMPUTED_VALUE"""),"")</f>
        <v/>
      </c>
    </row>
    <row r="7248">
      <c r="G7248" s="16" t="str">
        <f>IFERROR(__xludf.DUMMYFUNCTION("""COMPUTED_VALUE"""),"")</f>
        <v/>
      </c>
    </row>
    <row r="7249">
      <c r="G7249" s="16" t="str">
        <f>IFERROR(__xludf.DUMMYFUNCTION("""COMPUTED_VALUE"""),"")</f>
        <v/>
      </c>
    </row>
    <row r="7250">
      <c r="G7250" s="16" t="str">
        <f>IFERROR(__xludf.DUMMYFUNCTION("""COMPUTED_VALUE"""),"")</f>
        <v/>
      </c>
    </row>
    <row r="7251">
      <c r="G7251" s="16" t="str">
        <f>IFERROR(__xludf.DUMMYFUNCTION("""COMPUTED_VALUE"""),"")</f>
        <v/>
      </c>
    </row>
    <row r="7252">
      <c r="G7252" s="16" t="str">
        <f>IFERROR(__xludf.DUMMYFUNCTION("""COMPUTED_VALUE"""),"")</f>
        <v/>
      </c>
    </row>
    <row r="7253">
      <c r="G7253" s="16" t="str">
        <f>IFERROR(__xludf.DUMMYFUNCTION("""COMPUTED_VALUE"""),"")</f>
        <v/>
      </c>
    </row>
    <row r="7254">
      <c r="G7254" s="16" t="str">
        <f>IFERROR(__xludf.DUMMYFUNCTION("""COMPUTED_VALUE"""),"")</f>
        <v/>
      </c>
    </row>
    <row r="7255">
      <c r="G7255" s="16" t="str">
        <f>IFERROR(__xludf.DUMMYFUNCTION("""COMPUTED_VALUE"""),"")</f>
        <v/>
      </c>
    </row>
    <row r="7256">
      <c r="G7256" s="16" t="str">
        <f>IFERROR(__xludf.DUMMYFUNCTION("""COMPUTED_VALUE"""),"")</f>
        <v/>
      </c>
    </row>
    <row r="7257">
      <c r="G7257" s="16" t="str">
        <f>IFERROR(__xludf.DUMMYFUNCTION("""COMPUTED_VALUE"""),"")</f>
        <v/>
      </c>
    </row>
    <row r="7258">
      <c r="G7258" s="16" t="str">
        <f>IFERROR(__xludf.DUMMYFUNCTION("""COMPUTED_VALUE"""),"")</f>
        <v/>
      </c>
    </row>
    <row r="7259">
      <c r="G7259" s="16" t="str">
        <f>IFERROR(__xludf.DUMMYFUNCTION("""COMPUTED_VALUE"""),"")</f>
        <v/>
      </c>
    </row>
    <row r="7260">
      <c r="G7260" s="16" t="str">
        <f>IFERROR(__xludf.DUMMYFUNCTION("""COMPUTED_VALUE"""),"")</f>
        <v/>
      </c>
    </row>
    <row r="7261">
      <c r="G7261" s="16" t="str">
        <f>IFERROR(__xludf.DUMMYFUNCTION("""COMPUTED_VALUE"""),"")</f>
        <v/>
      </c>
    </row>
    <row r="7262">
      <c r="G7262" s="16" t="str">
        <f>IFERROR(__xludf.DUMMYFUNCTION("""COMPUTED_VALUE"""),"")</f>
        <v/>
      </c>
    </row>
    <row r="7263">
      <c r="G7263" s="16" t="str">
        <f>IFERROR(__xludf.DUMMYFUNCTION("""COMPUTED_VALUE"""),"")</f>
        <v/>
      </c>
    </row>
    <row r="7264">
      <c r="G7264" s="16" t="str">
        <f>IFERROR(__xludf.DUMMYFUNCTION("""COMPUTED_VALUE"""),"")</f>
        <v/>
      </c>
    </row>
    <row r="7265">
      <c r="G7265" s="16" t="str">
        <f>IFERROR(__xludf.DUMMYFUNCTION("""COMPUTED_VALUE"""),"")</f>
        <v/>
      </c>
    </row>
    <row r="7266">
      <c r="G7266" s="16" t="str">
        <f>IFERROR(__xludf.DUMMYFUNCTION("""COMPUTED_VALUE"""),"")</f>
        <v/>
      </c>
    </row>
    <row r="7267">
      <c r="G7267" s="16" t="str">
        <f>IFERROR(__xludf.DUMMYFUNCTION("""COMPUTED_VALUE"""),"")</f>
        <v/>
      </c>
    </row>
    <row r="7268">
      <c r="G7268" s="16" t="str">
        <f>IFERROR(__xludf.DUMMYFUNCTION("""COMPUTED_VALUE"""),"")</f>
        <v/>
      </c>
    </row>
    <row r="7269">
      <c r="G7269" s="16" t="str">
        <f>IFERROR(__xludf.DUMMYFUNCTION("""COMPUTED_VALUE"""),"")</f>
        <v/>
      </c>
    </row>
    <row r="7270">
      <c r="G7270" s="16" t="str">
        <f>IFERROR(__xludf.DUMMYFUNCTION("""COMPUTED_VALUE"""),"")</f>
        <v/>
      </c>
    </row>
    <row r="7271">
      <c r="G7271" s="16" t="str">
        <f>IFERROR(__xludf.DUMMYFUNCTION("""COMPUTED_VALUE"""),"")</f>
        <v/>
      </c>
    </row>
    <row r="7272">
      <c r="G7272" s="16" t="str">
        <f>IFERROR(__xludf.DUMMYFUNCTION("""COMPUTED_VALUE"""),"")</f>
        <v/>
      </c>
    </row>
    <row r="7273">
      <c r="G7273" s="16" t="str">
        <f>IFERROR(__xludf.DUMMYFUNCTION("""COMPUTED_VALUE"""),"")</f>
        <v/>
      </c>
    </row>
    <row r="7274">
      <c r="G7274" s="16" t="str">
        <f>IFERROR(__xludf.DUMMYFUNCTION("""COMPUTED_VALUE"""),"")</f>
        <v/>
      </c>
    </row>
    <row r="7275">
      <c r="G7275" s="16" t="str">
        <f>IFERROR(__xludf.DUMMYFUNCTION("""COMPUTED_VALUE"""),"")</f>
        <v/>
      </c>
    </row>
    <row r="7276">
      <c r="G7276" s="16" t="str">
        <f>IFERROR(__xludf.DUMMYFUNCTION("""COMPUTED_VALUE"""),"")</f>
        <v/>
      </c>
    </row>
    <row r="7277">
      <c r="G7277" s="16" t="str">
        <f>IFERROR(__xludf.DUMMYFUNCTION("""COMPUTED_VALUE"""),"")</f>
        <v/>
      </c>
    </row>
    <row r="7278">
      <c r="G7278" s="16" t="str">
        <f>IFERROR(__xludf.DUMMYFUNCTION("""COMPUTED_VALUE"""),"")</f>
        <v/>
      </c>
    </row>
    <row r="7279">
      <c r="G7279" s="16" t="str">
        <f>IFERROR(__xludf.DUMMYFUNCTION("""COMPUTED_VALUE"""),"")</f>
        <v/>
      </c>
    </row>
    <row r="7280">
      <c r="G7280" s="16" t="str">
        <f>IFERROR(__xludf.DUMMYFUNCTION("""COMPUTED_VALUE"""),"")</f>
        <v/>
      </c>
    </row>
    <row r="7281">
      <c r="G7281" s="16" t="str">
        <f>IFERROR(__xludf.DUMMYFUNCTION("""COMPUTED_VALUE"""),"")</f>
        <v/>
      </c>
    </row>
    <row r="7282">
      <c r="G7282" s="16" t="str">
        <f>IFERROR(__xludf.DUMMYFUNCTION("""COMPUTED_VALUE"""),"")</f>
        <v/>
      </c>
    </row>
    <row r="7283">
      <c r="G7283" s="16" t="str">
        <f>IFERROR(__xludf.DUMMYFUNCTION("""COMPUTED_VALUE"""),"")</f>
        <v/>
      </c>
    </row>
    <row r="7284">
      <c r="G7284" s="16" t="str">
        <f>IFERROR(__xludf.DUMMYFUNCTION("""COMPUTED_VALUE"""),"")</f>
        <v/>
      </c>
    </row>
    <row r="7285">
      <c r="G7285" s="16" t="str">
        <f>IFERROR(__xludf.DUMMYFUNCTION("""COMPUTED_VALUE"""),"")</f>
        <v/>
      </c>
    </row>
    <row r="7286">
      <c r="G7286" s="16" t="str">
        <f>IFERROR(__xludf.DUMMYFUNCTION("""COMPUTED_VALUE"""),"")</f>
        <v/>
      </c>
    </row>
    <row r="7287">
      <c r="G7287" s="16" t="str">
        <f>IFERROR(__xludf.DUMMYFUNCTION("""COMPUTED_VALUE"""),"")</f>
        <v/>
      </c>
    </row>
    <row r="7288">
      <c r="G7288" s="16" t="str">
        <f>IFERROR(__xludf.DUMMYFUNCTION("""COMPUTED_VALUE"""),"")</f>
        <v/>
      </c>
    </row>
    <row r="7289">
      <c r="G7289" s="16" t="str">
        <f>IFERROR(__xludf.DUMMYFUNCTION("""COMPUTED_VALUE"""),"")</f>
        <v/>
      </c>
    </row>
    <row r="7290">
      <c r="G7290" s="16" t="str">
        <f>IFERROR(__xludf.DUMMYFUNCTION("""COMPUTED_VALUE"""),"")</f>
        <v/>
      </c>
    </row>
    <row r="7291">
      <c r="G7291" s="16" t="str">
        <f>IFERROR(__xludf.DUMMYFUNCTION("""COMPUTED_VALUE"""),"")</f>
        <v/>
      </c>
    </row>
    <row r="7292">
      <c r="G7292" s="16" t="str">
        <f>IFERROR(__xludf.DUMMYFUNCTION("""COMPUTED_VALUE"""),"")</f>
        <v/>
      </c>
    </row>
    <row r="7293">
      <c r="G7293" s="16" t="str">
        <f>IFERROR(__xludf.DUMMYFUNCTION("""COMPUTED_VALUE"""),"")</f>
        <v/>
      </c>
    </row>
    <row r="7294">
      <c r="G7294" s="16" t="str">
        <f>IFERROR(__xludf.DUMMYFUNCTION("""COMPUTED_VALUE"""),"")</f>
        <v/>
      </c>
    </row>
    <row r="7295">
      <c r="G7295" s="16" t="str">
        <f>IFERROR(__xludf.DUMMYFUNCTION("""COMPUTED_VALUE"""),"")</f>
        <v/>
      </c>
    </row>
    <row r="7296">
      <c r="G7296" s="16" t="str">
        <f>IFERROR(__xludf.DUMMYFUNCTION("""COMPUTED_VALUE"""),"")</f>
        <v/>
      </c>
    </row>
    <row r="7297">
      <c r="G7297" s="16" t="str">
        <f>IFERROR(__xludf.DUMMYFUNCTION("""COMPUTED_VALUE"""),"")</f>
        <v/>
      </c>
    </row>
    <row r="7298">
      <c r="G7298" s="16" t="str">
        <f>IFERROR(__xludf.DUMMYFUNCTION("""COMPUTED_VALUE"""),"")</f>
        <v/>
      </c>
    </row>
    <row r="7299">
      <c r="G7299" s="16" t="str">
        <f>IFERROR(__xludf.DUMMYFUNCTION("""COMPUTED_VALUE"""),"")</f>
        <v/>
      </c>
    </row>
    <row r="7300">
      <c r="G7300" s="16" t="str">
        <f>IFERROR(__xludf.DUMMYFUNCTION("""COMPUTED_VALUE"""),"")</f>
        <v/>
      </c>
    </row>
    <row r="7301">
      <c r="G7301" s="16" t="str">
        <f>IFERROR(__xludf.DUMMYFUNCTION("""COMPUTED_VALUE"""),"")</f>
        <v/>
      </c>
    </row>
    <row r="7302">
      <c r="G7302" s="16" t="str">
        <f>IFERROR(__xludf.DUMMYFUNCTION("""COMPUTED_VALUE"""),"")</f>
        <v/>
      </c>
    </row>
    <row r="7303">
      <c r="G7303" s="16" t="str">
        <f>IFERROR(__xludf.DUMMYFUNCTION("""COMPUTED_VALUE"""),"")</f>
        <v/>
      </c>
    </row>
    <row r="7304">
      <c r="G7304" s="16" t="str">
        <f>IFERROR(__xludf.DUMMYFUNCTION("""COMPUTED_VALUE"""),"")</f>
        <v/>
      </c>
    </row>
    <row r="7305">
      <c r="G7305" s="16" t="str">
        <f>IFERROR(__xludf.DUMMYFUNCTION("""COMPUTED_VALUE"""),"")</f>
        <v/>
      </c>
    </row>
    <row r="7306">
      <c r="G7306" s="16" t="str">
        <f>IFERROR(__xludf.DUMMYFUNCTION("""COMPUTED_VALUE"""),"")</f>
        <v/>
      </c>
    </row>
    <row r="7307">
      <c r="G7307" s="16" t="str">
        <f>IFERROR(__xludf.DUMMYFUNCTION("""COMPUTED_VALUE"""),"")</f>
        <v/>
      </c>
    </row>
    <row r="7308">
      <c r="G7308" s="16" t="str">
        <f>IFERROR(__xludf.DUMMYFUNCTION("""COMPUTED_VALUE"""),"")</f>
        <v/>
      </c>
    </row>
    <row r="7309">
      <c r="G7309" s="16" t="str">
        <f>IFERROR(__xludf.DUMMYFUNCTION("""COMPUTED_VALUE"""),"")</f>
        <v/>
      </c>
    </row>
    <row r="7310">
      <c r="G7310" s="16" t="str">
        <f>IFERROR(__xludf.DUMMYFUNCTION("""COMPUTED_VALUE"""),"")</f>
        <v/>
      </c>
    </row>
    <row r="7311">
      <c r="G7311" s="16" t="str">
        <f>IFERROR(__xludf.DUMMYFUNCTION("""COMPUTED_VALUE"""),"")</f>
        <v/>
      </c>
    </row>
    <row r="7312">
      <c r="G7312" s="16" t="str">
        <f>IFERROR(__xludf.DUMMYFUNCTION("""COMPUTED_VALUE"""),"")</f>
        <v/>
      </c>
    </row>
    <row r="7313">
      <c r="G7313" s="16" t="str">
        <f>IFERROR(__xludf.DUMMYFUNCTION("""COMPUTED_VALUE"""),"")</f>
        <v/>
      </c>
    </row>
    <row r="7314">
      <c r="G7314" s="16" t="str">
        <f>IFERROR(__xludf.DUMMYFUNCTION("""COMPUTED_VALUE"""),"")</f>
        <v/>
      </c>
    </row>
    <row r="7315">
      <c r="G7315" s="16" t="str">
        <f>IFERROR(__xludf.DUMMYFUNCTION("""COMPUTED_VALUE"""),"")</f>
        <v/>
      </c>
    </row>
    <row r="7316">
      <c r="G7316" s="16" t="str">
        <f>IFERROR(__xludf.DUMMYFUNCTION("""COMPUTED_VALUE"""),"")</f>
        <v/>
      </c>
    </row>
    <row r="7317">
      <c r="G7317" s="16" t="str">
        <f>IFERROR(__xludf.DUMMYFUNCTION("""COMPUTED_VALUE"""),"")</f>
        <v/>
      </c>
    </row>
    <row r="7318">
      <c r="G7318" s="16" t="str">
        <f>IFERROR(__xludf.DUMMYFUNCTION("""COMPUTED_VALUE"""),"")</f>
        <v/>
      </c>
    </row>
    <row r="7319">
      <c r="G7319" s="16" t="str">
        <f>IFERROR(__xludf.DUMMYFUNCTION("""COMPUTED_VALUE"""),"")</f>
        <v/>
      </c>
    </row>
    <row r="7320">
      <c r="G7320" s="16" t="str">
        <f>IFERROR(__xludf.DUMMYFUNCTION("""COMPUTED_VALUE"""),"")</f>
        <v/>
      </c>
    </row>
    <row r="7321">
      <c r="G7321" s="16" t="str">
        <f>IFERROR(__xludf.DUMMYFUNCTION("""COMPUTED_VALUE"""),"")</f>
        <v/>
      </c>
    </row>
    <row r="7322">
      <c r="G7322" s="16" t="str">
        <f>IFERROR(__xludf.DUMMYFUNCTION("""COMPUTED_VALUE"""),"")</f>
        <v/>
      </c>
    </row>
    <row r="7323">
      <c r="G7323" s="16" t="str">
        <f>IFERROR(__xludf.DUMMYFUNCTION("""COMPUTED_VALUE"""),"")</f>
        <v/>
      </c>
    </row>
    <row r="7324">
      <c r="G7324" s="16" t="str">
        <f>IFERROR(__xludf.DUMMYFUNCTION("""COMPUTED_VALUE"""),"")</f>
        <v/>
      </c>
    </row>
    <row r="7325">
      <c r="G7325" s="16" t="str">
        <f>IFERROR(__xludf.DUMMYFUNCTION("""COMPUTED_VALUE"""),"")</f>
        <v/>
      </c>
    </row>
    <row r="7326">
      <c r="G7326" s="16" t="str">
        <f>IFERROR(__xludf.DUMMYFUNCTION("""COMPUTED_VALUE"""),"")</f>
        <v/>
      </c>
    </row>
    <row r="7327">
      <c r="G7327" s="16" t="str">
        <f>IFERROR(__xludf.DUMMYFUNCTION("""COMPUTED_VALUE"""),"")</f>
        <v/>
      </c>
    </row>
    <row r="7328">
      <c r="G7328" s="16" t="str">
        <f>IFERROR(__xludf.DUMMYFUNCTION("""COMPUTED_VALUE"""),"")</f>
        <v/>
      </c>
    </row>
    <row r="7329">
      <c r="G7329" s="16" t="str">
        <f>IFERROR(__xludf.DUMMYFUNCTION("""COMPUTED_VALUE"""),"")</f>
        <v/>
      </c>
    </row>
    <row r="7330">
      <c r="G7330" s="16" t="str">
        <f>IFERROR(__xludf.DUMMYFUNCTION("""COMPUTED_VALUE"""),"")</f>
        <v/>
      </c>
    </row>
    <row r="7331">
      <c r="G7331" s="16" t="str">
        <f>IFERROR(__xludf.DUMMYFUNCTION("""COMPUTED_VALUE"""),"")</f>
        <v/>
      </c>
    </row>
    <row r="7332">
      <c r="G7332" s="16" t="str">
        <f>IFERROR(__xludf.DUMMYFUNCTION("""COMPUTED_VALUE"""),"")</f>
        <v/>
      </c>
    </row>
    <row r="7333">
      <c r="G7333" s="16" t="str">
        <f>IFERROR(__xludf.DUMMYFUNCTION("""COMPUTED_VALUE"""),"")</f>
        <v/>
      </c>
    </row>
    <row r="7334">
      <c r="G7334" s="16" t="str">
        <f>IFERROR(__xludf.DUMMYFUNCTION("""COMPUTED_VALUE"""),"")</f>
        <v/>
      </c>
    </row>
    <row r="7335">
      <c r="G7335" s="16" t="str">
        <f>IFERROR(__xludf.DUMMYFUNCTION("""COMPUTED_VALUE"""),"")</f>
        <v/>
      </c>
    </row>
    <row r="7336">
      <c r="G7336" s="16" t="str">
        <f>IFERROR(__xludf.DUMMYFUNCTION("""COMPUTED_VALUE"""),"")</f>
        <v/>
      </c>
    </row>
    <row r="7337">
      <c r="G7337" s="16" t="str">
        <f>IFERROR(__xludf.DUMMYFUNCTION("""COMPUTED_VALUE"""),"")</f>
        <v/>
      </c>
    </row>
    <row r="7338">
      <c r="G7338" s="16" t="str">
        <f>IFERROR(__xludf.DUMMYFUNCTION("""COMPUTED_VALUE"""),"")</f>
        <v/>
      </c>
    </row>
    <row r="7339">
      <c r="G7339" s="16" t="str">
        <f>IFERROR(__xludf.DUMMYFUNCTION("""COMPUTED_VALUE"""),"")</f>
        <v/>
      </c>
    </row>
    <row r="7340">
      <c r="G7340" s="16" t="str">
        <f>IFERROR(__xludf.DUMMYFUNCTION("""COMPUTED_VALUE"""),"")</f>
        <v/>
      </c>
    </row>
    <row r="7341">
      <c r="G7341" s="16" t="str">
        <f>IFERROR(__xludf.DUMMYFUNCTION("""COMPUTED_VALUE"""),"")</f>
        <v/>
      </c>
    </row>
    <row r="7342">
      <c r="G7342" s="16" t="str">
        <f>IFERROR(__xludf.DUMMYFUNCTION("""COMPUTED_VALUE"""),"")</f>
        <v/>
      </c>
    </row>
    <row r="7343">
      <c r="G7343" s="16" t="str">
        <f>IFERROR(__xludf.DUMMYFUNCTION("""COMPUTED_VALUE"""),"")</f>
        <v/>
      </c>
    </row>
    <row r="7344">
      <c r="G7344" s="16" t="str">
        <f>IFERROR(__xludf.DUMMYFUNCTION("""COMPUTED_VALUE"""),"")</f>
        <v/>
      </c>
    </row>
    <row r="7345">
      <c r="G7345" s="16" t="str">
        <f>IFERROR(__xludf.DUMMYFUNCTION("""COMPUTED_VALUE"""),"")</f>
        <v/>
      </c>
    </row>
    <row r="7346">
      <c r="G7346" s="16" t="str">
        <f>IFERROR(__xludf.DUMMYFUNCTION("""COMPUTED_VALUE"""),"")</f>
        <v/>
      </c>
    </row>
    <row r="7347">
      <c r="G7347" s="16" t="str">
        <f>IFERROR(__xludf.DUMMYFUNCTION("""COMPUTED_VALUE"""),"")</f>
        <v/>
      </c>
    </row>
    <row r="7348">
      <c r="G7348" s="16" t="str">
        <f>IFERROR(__xludf.DUMMYFUNCTION("""COMPUTED_VALUE"""),"")</f>
        <v/>
      </c>
    </row>
    <row r="7349">
      <c r="G7349" s="16" t="str">
        <f>IFERROR(__xludf.DUMMYFUNCTION("""COMPUTED_VALUE"""),"")</f>
        <v/>
      </c>
    </row>
    <row r="7350">
      <c r="G7350" s="16" t="str">
        <f>IFERROR(__xludf.DUMMYFUNCTION("""COMPUTED_VALUE"""),"")</f>
        <v/>
      </c>
    </row>
    <row r="7351">
      <c r="G7351" s="16" t="str">
        <f>IFERROR(__xludf.DUMMYFUNCTION("""COMPUTED_VALUE"""),"")</f>
        <v/>
      </c>
    </row>
    <row r="7352">
      <c r="G7352" s="16" t="str">
        <f>IFERROR(__xludf.DUMMYFUNCTION("""COMPUTED_VALUE"""),"")</f>
        <v/>
      </c>
    </row>
    <row r="7353">
      <c r="G7353" s="16" t="str">
        <f>IFERROR(__xludf.DUMMYFUNCTION("""COMPUTED_VALUE"""),"")</f>
        <v/>
      </c>
    </row>
    <row r="7354">
      <c r="G7354" s="16" t="str">
        <f>IFERROR(__xludf.DUMMYFUNCTION("""COMPUTED_VALUE"""),"")</f>
        <v/>
      </c>
    </row>
    <row r="7355">
      <c r="G7355" s="16" t="str">
        <f>IFERROR(__xludf.DUMMYFUNCTION("""COMPUTED_VALUE"""),"")</f>
        <v/>
      </c>
    </row>
    <row r="7356">
      <c r="G7356" s="16" t="str">
        <f>IFERROR(__xludf.DUMMYFUNCTION("""COMPUTED_VALUE"""),"")</f>
        <v/>
      </c>
    </row>
    <row r="7357">
      <c r="G7357" s="16" t="str">
        <f>IFERROR(__xludf.DUMMYFUNCTION("""COMPUTED_VALUE"""),"")</f>
        <v/>
      </c>
    </row>
    <row r="7358">
      <c r="G7358" s="16" t="str">
        <f>IFERROR(__xludf.DUMMYFUNCTION("""COMPUTED_VALUE"""),"")</f>
        <v/>
      </c>
    </row>
    <row r="7359">
      <c r="G7359" s="16" t="str">
        <f>IFERROR(__xludf.DUMMYFUNCTION("""COMPUTED_VALUE"""),"")</f>
        <v/>
      </c>
    </row>
    <row r="7360">
      <c r="G7360" s="16" t="str">
        <f>IFERROR(__xludf.DUMMYFUNCTION("""COMPUTED_VALUE"""),"")</f>
        <v/>
      </c>
    </row>
    <row r="7361">
      <c r="G7361" s="16" t="str">
        <f>IFERROR(__xludf.DUMMYFUNCTION("""COMPUTED_VALUE"""),"")</f>
        <v/>
      </c>
    </row>
    <row r="7362">
      <c r="G7362" s="16" t="str">
        <f>IFERROR(__xludf.DUMMYFUNCTION("""COMPUTED_VALUE"""),"")</f>
        <v/>
      </c>
    </row>
    <row r="7363">
      <c r="G7363" s="16" t="str">
        <f>IFERROR(__xludf.DUMMYFUNCTION("""COMPUTED_VALUE"""),"")</f>
        <v/>
      </c>
    </row>
    <row r="7364">
      <c r="G7364" s="16" t="str">
        <f>IFERROR(__xludf.DUMMYFUNCTION("""COMPUTED_VALUE"""),"")</f>
        <v/>
      </c>
    </row>
    <row r="7365">
      <c r="G7365" s="16" t="str">
        <f>IFERROR(__xludf.DUMMYFUNCTION("""COMPUTED_VALUE"""),"")</f>
        <v/>
      </c>
    </row>
    <row r="7366">
      <c r="G7366" s="16" t="str">
        <f>IFERROR(__xludf.DUMMYFUNCTION("""COMPUTED_VALUE"""),"")</f>
        <v/>
      </c>
    </row>
    <row r="7367">
      <c r="G7367" s="16" t="str">
        <f>IFERROR(__xludf.DUMMYFUNCTION("""COMPUTED_VALUE"""),"")</f>
        <v/>
      </c>
    </row>
    <row r="7368">
      <c r="G7368" s="16" t="str">
        <f>IFERROR(__xludf.DUMMYFUNCTION("""COMPUTED_VALUE"""),"")</f>
        <v/>
      </c>
    </row>
    <row r="7369">
      <c r="G7369" s="16" t="str">
        <f>IFERROR(__xludf.DUMMYFUNCTION("""COMPUTED_VALUE"""),"")</f>
        <v/>
      </c>
    </row>
    <row r="7370">
      <c r="G7370" s="16" t="str">
        <f>IFERROR(__xludf.DUMMYFUNCTION("""COMPUTED_VALUE"""),"")</f>
        <v/>
      </c>
    </row>
    <row r="7371">
      <c r="G7371" s="16" t="str">
        <f>IFERROR(__xludf.DUMMYFUNCTION("""COMPUTED_VALUE"""),"")</f>
        <v/>
      </c>
    </row>
    <row r="7372">
      <c r="G7372" s="16" t="str">
        <f>IFERROR(__xludf.DUMMYFUNCTION("""COMPUTED_VALUE"""),"")</f>
        <v/>
      </c>
    </row>
    <row r="7373">
      <c r="G7373" s="16" t="str">
        <f>IFERROR(__xludf.DUMMYFUNCTION("""COMPUTED_VALUE"""),"")</f>
        <v/>
      </c>
    </row>
    <row r="7374">
      <c r="G7374" s="16" t="str">
        <f>IFERROR(__xludf.DUMMYFUNCTION("""COMPUTED_VALUE"""),"")</f>
        <v/>
      </c>
    </row>
    <row r="7375">
      <c r="G7375" s="16" t="str">
        <f>IFERROR(__xludf.DUMMYFUNCTION("""COMPUTED_VALUE"""),"")</f>
        <v/>
      </c>
    </row>
    <row r="7376">
      <c r="G7376" s="16" t="str">
        <f>IFERROR(__xludf.DUMMYFUNCTION("""COMPUTED_VALUE"""),"")</f>
        <v/>
      </c>
    </row>
    <row r="7377">
      <c r="G7377" s="16" t="str">
        <f>IFERROR(__xludf.DUMMYFUNCTION("""COMPUTED_VALUE"""),"")</f>
        <v/>
      </c>
    </row>
    <row r="7378">
      <c r="G7378" s="16" t="str">
        <f>IFERROR(__xludf.DUMMYFUNCTION("""COMPUTED_VALUE"""),"")</f>
        <v/>
      </c>
    </row>
    <row r="7379">
      <c r="G7379" s="16" t="str">
        <f>IFERROR(__xludf.DUMMYFUNCTION("""COMPUTED_VALUE"""),"")</f>
        <v/>
      </c>
    </row>
    <row r="7380">
      <c r="G7380" s="16" t="str">
        <f>IFERROR(__xludf.DUMMYFUNCTION("""COMPUTED_VALUE"""),"")</f>
        <v/>
      </c>
    </row>
    <row r="7381">
      <c r="G7381" s="16" t="str">
        <f>IFERROR(__xludf.DUMMYFUNCTION("""COMPUTED_VALUE"""),"")</f>
        <v/>
      </c>
    </row>
    <row r="7382">
      <c r="G7382" s="16" t="str">
        <f>IFERROR(__xludf.DUMMYFUNCTION("""COMPUTED_VALUE"""),"")</f>
        <v/>
      </c>
    </row>
    <row r="7383">
      <c r="G7383" s="16" t="str">
        <f>IFERROR(__xludf.DUMMYFUNCTION("""COMPUTED_VALUE"""),"")</f>
        <v/>
      </c>
    </row>
    <row r="7384">
      <c r="G7384" s="16" t="str">
        <f>IFERROR(__xludf.DUMMYFUNCTION("""COMPUTED_VALUE"""),"")</f>
        <v/>
      </c>
    </row>
    <row r="7385">
      <c r="G7385" s="16" t="str">
        <f>IFERROR(__xludf.DUMMYFUNCTION("""COMPUTED_VALUE"""),"")</f>
        <v/>
      </c>
    </row>
    <row r="7386">
      <c r="G7386" s="16" t="str">
        <f>IFERROR(__xludf.DUMMYFUNCTION("""COMPUTED_VALUE"""),"")</f>
        <v/>
      </c>
    </row>
    <row r="7387">
      <c r="G7387" s="16" t="str">
        <f>IFERROR(__xludf.DUMMYFUNCTION("""COMPUTED_VALUE"""),"")</f>
        <v/>
      </c>
    </row>
    <row r="7388">
      <c r="G7388" s="16" t="str">
        <f>IFERROR(__xludf.DUMMYFUNCTION("""COMPUTED_VALUE"""),"")</f>
        <v/>
      </c>
    </row>
    <row r="7389">
      <c r="G7389" s="16" t="str">
        <f>IFERROR(__xludf.DUMMYFUNCTION("""COMPUTED_VALUE"""),"")</f>
        <v/>
      </c>
    </row>
    <row r="7390">
      <c r="G7390" s="16" t="str">
        <f>IFERROR(__xludf.DUMMYFUNCTION("""COMPUTED_VALUE"""),"")</f>
        <v/>
      </c>
    </row>
    <row r="7391">
      <c r="G7391" s="16" t="str">
        <f>IFERROR(__xludf.DUMMYFUNCTION("""COMPUTED_VALUE"""),"")</f>
        <v/>
      </c>
    </row>
    <row r="7392">
      <c r="G7392" s="16" t="str">
        <f>IFERROR(__xludf.DUMMYFUNCTION("""COMPUTED_VALUE"""),"")</f>
        <v/>
      </c>
    </row>
    <row r="7393">
      <c r="G7393" s="16" t="str">
        <f>IFERROR(__xludf.DUMMYFUNCTION("""COMPUTED_VALUE"""),"")</f>
        <v/>
      </c>
    </row>
    <row r="7394">
      <c r="G7394" s="16" t="str">
        <f>IFERROR(__xludf.DUMMYFUNCTION("""COMPUTED_VALUE"""),"")</f>
        <v/>
      </c>
    </row>
    <row r="7395">
      <c r="G7395" s="16" t="str">
        <f>IFERROR(__xludf.DUMMYFUNCTION("""COMPUTED_VALUE"""),"")</f>
        <v/>
      </c>
    </row>
    <row r="7396">
      <c r="G7396" s="16" t="str">
        <f>IFERROR(__xludf.DUMMYFUNCTION("""COMPUTED_VALUE"""),"")</f>
        <v/>
      </c>
    </row>
    <row r="7397">
      <c r="G7397" s="16" t="str">
        <f>IFERROR(__xludf.DUMMYFUNCTION("""COMPUTED_VALUE"""),"")</f>
        <v/>
      </c>
    </row>
    <row r="7398">
      <c r="G7398" s="16" t="str">
        <f>IFERROR(__xludf.DUMMYFUNCTION("""COMPUTED_VALUE"""),"")</f>
        <v/>
      </c>
    </row>
    <row r="7399">
      <c r="G7399" s="16" t="str">
        <f>IFERROR(__xludf.DUMMYFUNCTION("""COMPUTED_VALUE"""),"")</f>
        <v/>
      </c>
    </row>
    <row r="7400">
      <c r="G7400" s="16" t="str">
        <f>IFERROR(__xludf.DUMMYFUNCTION("""COMPUTED_VALUE"""),"")</f>
        <v/>
      </c>
    </row>
    <row r="7401">
      <c r="G7401" s="16" t="str">
        <f>IFERROR(__xludf.DUMMYFUNCTION("""COMPUTED_VALUE"""),"")</f>
        <v/>
      </c>
    </row>
    <row r="7402">
      <c r="G7402" s="16" t="str">
        <f>IFERROR(__xludf.DUMMYFUNCTION("""COMPUTED_VALUE"""),"")</f>
        <v/>
      </c>
    </row>
    <row r="7403">
      <c r="G7403" s="16" t="str">
        <f>IFERROR(__xludf.DUMMYFUNCTION("""COMPUTED_VALUE"""),"")</f>
        <v/>
      </c>
    </row>
    <row r="7404">
      <c r="G7404" s="16" t="str">
        <f>IFERROR(__xludf.DUMMYFUNCTION("""COMPUTED_VALUE"""),"")</f>
        <v/>
      </c>
    </row>
    <row r="7405">
      <c r="G7405" s="16" t="str">
        <f>IFERROR(__xludf.DUMMYFUNCTION("""COMPUTED_VALUE"""),"")</f>
        <v/>
      </c>
    </row>
    <row r="7406">
      <c r="G7406" s="16" t="str">
        <f>IFERROR(__xludf.DUMMYFUNCTION("""COMPUTED_VALUE"""),"")</f>
        <v/>
      </c>
    </row>
    <row r="7407">
      <c r="G7407" s="16" t="str">
        <f>IFERROR(__xludf.DUMMYFUNCTION("""COMPUTED_VALUE"""),"")</f>
        <v/>
      </c>
    </row>
    <row r="7408">
      <c r="G7408" s="16" t="str">
        <f>IFERROR(__xludf.DUMMYFUNCTION("""COMPUTED_VALUE"""),"")</f>
        <v/>
      </c>
    </row>
    <row r="7409">
      <c r="G7409" s="16" t="str">
        <f>IFERROR(__xludf.DUMMYFUNCTION("""COMPUTED_VALUE"""),"")</f>
        <v/>
      </c>
    </row>
    <row r="7410">
      <c r="G7410" s="16" t="str">
        <f>IFERROR(__xludf.DUMMYFUNCTION("""COMPUTED_VALUE"""),"")</f>
        <v/>
      </c>
    </row>
    <row r="7411">
      <c r="G7411" s="16" t="str">
        <f>IFERROR(__xludf.DUMMYFUNCTION("""COMPUTED_VALUE"""),"")</f>
        <v/>
      </c>
    </row>
    <row r="7412">
      <c r="G7412" s="16" t="str">
        <f>IFERROR(__xludf.DUMMYFUNCTION("""COMPUTED_VALUE"""),"")</f>
        <v/>
      </c>
    </row>
    <row r="7413">
      <c r="G7413" s="16" t="str">
        <f>IFERROR(__xludf.DUMMYFUNCTION("""COMPUTED_VALUE"""),"")</f>
        <v/>
      </c>
    </row>
    <row r="7414">
      <c r="G7414" s="16" t="str">
        <f>IFERROR(__xludf.DUMMYFUNCTION("""COMPUTED_VALUE"""),"")</f>
        <v/>
      </c>
    </row>
    <row r="7415">
      <c r="G7415" s="16" t="str">
        <f>IFERROR(__xludf.DUMMYFUNCTION("""COMPUTED_VALUE"""),"")</f>
        <v/>
      </c>
    </row>
    <row r="7416">
      <c r="G7416" s="16" t="str">
        <f>IFERROR(__xludf.DUMMYFUNCTION("""COMPUTED_VALUE"""),"")</f>
        <v/>
      </c>
    </row>
    <row r="7417">
      <c r="G7417" s="16" t="str">
        <f>IFERROR(__xludf.DUMMYFUNCTION("""COMPUTED_VALUE"""),"")</f>
        <v/>
      </c>
    </row>
    <row r="7418">
      <c r="G7418" s="16" t="str">
        <f>IFERROR(__xludf.DUMMYFUNCTION("""COMPUTED_VALUE"""),"")</f>
        <v/>
      </c>
    </row>
    <row r="7419">
      <c r="G7419" s="16" t="str">
        <f>IFERROR(__xludf.DUMMYFUNCTION("""COMPUTED_VALUE"""),"")</f>
        <v/>
      </c>
    </row>
    <row r="7420">
      <c r="G7420" s="16" t="str">
        <f>IFERROR(__xludf.DUMMYFUNCTION("""COMPUTED_VALUE"""),"")</f>
        <v/>
      </c>
    </row>
    <row r="7421">
      <c r="G7421" s="16" t="str">
        <f>IFERROR(__xludf.DUMMYFUNCTION("""COMPUTED_VALUE"""),"")</f>
        <v/>
      </c>
    </row>
    <row r="7422">
      <c r="G7422" s="16" t="str">
        <f>IFERROR(__xludf.DUMMYFUNCTION("""COMPUTED_VALUE"""),"")</f>
        <v/>
      </c>
    </row>
    <row r="7423">
      <c r="G7423" s="16" t="str">
        <f>IFERROR(__xludf.DUMMYFUNCTION("""COMPUTED_VALUE"""),"")</f>
        <v/>
      </c>
    </row>
    <row r="7424">
      <c r="G7424" s="16" t="str">
        <f>IFERROR(__xludf.DUMMYFUNCTION("""COMPUTED_VALUE"""),"")</f>
        <v/>
      </c>
    </row>
    <row r="7425">
      <c r="G7425" s="16" t="str">
        <f>IFERROR(__xludf.DUMMYFUNCTION("""COMPUTED_VALUE"""),"")</f>
        <v/>
      </c>
    </row>
    <row r="7426">
      <c r="G7426" s="16" t="str">
        <f>IFERROR(__xludf.DUMMYFUNCTION("""COMPUTED_VALUE"""),"")</f>
        <v/>
      </c>
    </row>
    <row r="7427">
      <c r="G7427" s="16" t="str">
        <f>IFERROR(__xludf.DUMMYFUNCTION("""COMPUTED_VALUE"""),"")</f>
        <v/>
      </c>
    </row>
    <row r="7428">
      <c r="G7428" s="16" t="str">
        <f>IFERROR(__xludf.DUMMYFUNCTION("""COMPUTED_VALUE"""),"")</f>
        <v/>
      </c>
    </row>
    <row r="7429">
      <c r="G7429" s="16" t="str">
        <f>IFERROR(__xludf.DUMMYFUNCTION("""COMPUTED_VALUE"""),"")</f>
        <v/>
      </c>
    </row>
    <row r="7430">
      <c r="G7430" s="16" t="str">
        <f>IFERROR(__xludf.DUMMYFUNCTION("""COMPUTED_VALUE"""),"")</f>
        <v/>
      </c>
    </row>
    <row r="7431">
      <c r="G7431" s="16" t="str">
        <f>IFERROR(__xludf.DUMMYFUNCTION("""COMPUTED_VALUE"""),"")</f>
        <v/>
      </c>
    </row>
    <row r="7432">
      <c r="G7432" s="16" t="str">
        <f>IFERROR(__xludf.DUMMYFUNCTION("""COMPUTED_VALUE"""),"")</f>
        <v/>
      </c>
    </row>
    <row r="7433">
      <c r="G7433" s="16" t="str">
        <f>IFERROR(__xludf.DUMMYFUNCTION("""COMPUTED_VALUE"""),"")</f>
        <v/>
      </c>
    </row>
    <row r="7434">
      <c r="G7434" s="16" t="str">
        <f>IFERROR(__xludf.DUMMYFUNCTION("""COMPUTED_VALUE"""),"")</f>
        <v/>
      </c>
    </row>
    <row r="7435">
      <c r="G7435" s="16" t="str">
        <f>IFERROR(__xludf.DUMMYFUNCTION("""COMPUTED_VALUE"""),"")</f>
        <v/>
      </c>
    </row>
    <row r="7436">
      <c r="G7436" s="16" t="str">
        <f>IFERROR(__xludf.DUMMYFUNCTION("""COMPUTED_VALUE"""),"")</f>
        <v/>
      </c>
    </row>
    <row r="7437">
      <c r="G7437" s="16" t="str">
        <f>IFERROR(__xludf.DUMMYFUNCTION("""COMPUTED_VALUE"""),"")</f>
        <v/>
      </c>
    </row>
    <row r="7438">
      <c r="G7438" s="16" t="str">
        <f>IFERROR(__xludf.DUMMYFUNCTION("""COMPUTED_VALUE"""),"")</f>
        <v/>
      </c>
    </row>
    <row r="7439">
      <c r="G7439" s="16" t="str">
        <f>IFERROR(__xludf.DUMMYFUNCTION("""COMPUTED_VALUE"""),"")</f>
        <v/>
      </c>
    </row>
    <row r="7440">
      <c r="G7440" s="16" t="str">
        <f>IFERROR(__xludf.DUMMYFUNCTION("""COMPUTED_VALUE"""),"")</f>
        <v/>
      </c>
    </row>
    <row r="7441">
      <c r="G7441" s="16" t="str">
        <f>IFERROR(__xludf.DUMMYFUNCTION("""COMPUTED_VALUE"""),"")</f>
        <v/>
      </c>
    </row>
    <row r="7442">
      <c r="G7442" s="16" t="str">
        <f>IFERROR(__xludf.DUMMYFUNCTION("""COMPUTED_VALUE"""),"")</f>
        <v/>
      </c>
    </row>
    <row r="7443">
      <c r="G7443" s="16" t="str">
        <f>IFERROR(__xludf.DUMMYFUNCTION("""COMPUTED_VALUE"""),"")</f>
        <v/>
      </c>
    </row>
    <row r="7444">
      <c r="G7444" s="16" t="str">
        <f>IFERROR(__xludf.DUMMYFUNCTION("""COMPUTED_VALUE"""),"")</f>
        <v/>
      </c>
    </row>
    <row r="7445">
      <c r="G7445" s="16" t="str">
        <f>IFERROR(__xludf.DUMMYFUNCTION("""COMPUTED_VALUE"""),"")</f>
        <v/>
      </c>
    </row>
    <row r="7446">
      <c r="G7446" s="16" t="str">
        <f>IFERROR(__xludf.DUMMYFUNCTION("""COMPUTED_VALUE"""),"")</f>
        <v/>
      </c>
    </row>
    <row r="7447">
      <c r="G7447" s="16" t="str">
        <f>IFERROR(__xludf.DUMMYFUNCTION("""COMPUTED_VALUE"""),"")</f>
        <v/>
      </c>
    </row>
    <row r="7448">
      <c r="G7448" s="16" t="str">
        <f>IFERROR(__xludf.DUMMYFUNCTION("""COMPUTED_VALUE"""),"")</f>
        <v/>
      </c>
    </row>
    <row r="7449">
      <c r="G7449" s="16" t="str">
        <f>IFERROR(__xludf.DUMMYFUNCTION("""COMPUTED_VALUE"""),"")</f>
        <v/>
      </c>
    </row>
    <row r="7450">
      <c r="G7450" s="16" t="str">
        <f>IFERROR(__xludf.DUMMYFUNCTION("""COMPUTED_VALUE"""),"")</f>
        <v/>
      </c>
    </row>
    <row r="7451">
      <c r="G7451" s="16" t="str">
        <f>IFERROR(__xludf.DUMMYFUNCTION("""COMPUTED_VALUE"""),"")</f>
        <v/>
      </c>
    </row>
    <row r="7452">
      <c r="G7452" s="16" t="str">
        <f>IFERROR(__xludf.DUMMYFUNCTION("""COMPUTED_VALUE"""),"")</f>
        <v/>
      </c>
    </row>
    <row r="7453">
      <c r="G7453" s="16" t="str">
        <f>IFERROR(__xludf.DUMMYFUNCTION("""COMPUTED_VALUE"""),"")</f>
        <v/>
      </c>
    </row>
    <row r="7454">
      <c r="G7454" s="16" t="str">
        <f>IFERROR(__xludf.DUMMYFUNCTION("""COMPUTED_VALUE"""),"")</f>
        <v/>
      </c>
    </row>
    <row r="7455">
      <c r="G7455" s="16" t="str">
        <f>IFERROR(__xludf.DUMMYFUNCTION("""COMPUTED_VALUE"""),"")</f>
        <v/>
      </c>
    </row>
    <row r="7456">
      <c r="G7456" s="16" t="str">
        <f>IFERROR(__xludf.DUMMYFUNCTION("""COMPUTED_VALUE"""),"")</f>
        <v/>
      </c>
    </row>
    <row r="7457">
      <c r="G7457" s="16" t="str">
        <f>IFERROR(__xludf.DUMMYFUNCTION("""COMPUTED_VALUE"""),"")</f>
        <v/>
      </c>
    </row>
    <row r="7458">
      <c r="G7458" s="16" t="str">
        <f>IFERROR(__xludf.DUMMYFUNCTION("""COMPUTED_VALUE"""),"")</f>
        <v/>
      </c>
    </row>
    <row r="7459">
      <c r="G7459" s="16" t="str">
        <f>IFERROR(__xludf.DUMMYFUNCTION("""COMPUTED_VALUE"""),"")</f>
        <v/>
      </c>
    </row>
    <row r="7460">
      <c r="G7460" s="16" t="str">
        <f>IFERROR(__xludf.DUMMYFUNCTION("""COMPUTED_VALUE"""),"")</f>
        <v/>
      </c>
    </row>
    <row r="7461">
      <c r="G7461" s="16" t="str">
        <f>IFERROR(__xludf.DUMMYFUNCTION("""COMPUTED_VALUE"""),"")</f>
        <v/>
      </c>
    </row>
    <row r="7462">
      <c r="G7462" s="16" t="str">
        <f>IFERROR(__xludf.DUMMYFUNCTION("""COMPUTED_VALUE"""),"")</f>
        <v/>
      </c>
    </row>
    <row r="7463">
      <c r="G7463" s="16" t="str">
        <f>IFERROR(__xludf.DUMMYFUNCTION("""COMPUTED_VALUE"""),"")</f>
        <v/>
      </c>
    </row>
    <row r="7464">
      <c r="G7464" s="16" t="str">
        <f>IFERROR(__xludf.DUMMYFUNCTION("""COMPUTED_VALUE"""),"")</f>
        <v/>
      </c>
    </row>
    <row r="7465">
      <c r="G7465" s="16" t="str">
        <f>IFERROR(__xludf.DUMMYFUNCTION("""COMPUTED_VALUE"""),"")</f>
        <v/>
      </c>
    </row>
    <row r="7466">
      <c r="G7466" s="16" t="str">
        <f>IFERROR(__xludf.DUMMYFUNCTION("""COMPUTED_VALUE"""),"")</f>
        <v/>
      </c>
    </row>
    <row r="7467">
      <c r="G7467" s="16" t="str">
        <f>IFERROR(__xludf.DUMMYFUNCTION("""COMPUTED_VALUE"""),"")</f>
        <v/>
      </c>
    </row>
    <row r="7468">
      <c r="G7468" s="16" t="str">
        <f>IFERROR(__xludf.DUMMYFUNCTION("""COMPUTED_VALUE"""),"")</f>
        <v/>
      </c>
    </row>
    <row r="7469">
      <c r="G7469" s="16" t="str">
        <f>IFERROR(__xludf.DUMMYFUNCTION("""COMPUTED_VALUE"""),"")</f>
        <v/>
      </c>
    </row>
    <row r="7470">
      <c r="G7470" s="16" t="str">
        <f>IFERROR(__xludf.DUMMYFUNCTION("""COMPUTED_VALUE"""),"")</f>
        <v/>
      </c>
    </row>
    <row r="7471">
      <c r="G7471" s="16" t="str">
        <f>IFERROR(__xludf.DUMMYFUNCTION("""COMPUTED_VALUE"""),"")</f>
        <v/>
      </c>
    </row>
    <row r="7472">
      <c r="G7472" s="16" t="str">
        <f>IFERROR(__xludf.DUMMYFUNCTION("""COMPUTED_VALUE"""),"")</f>
        <v/>
      </c>
    </row>
    <row r="7473">
      <c r="G7473" s="16" t="str">
        <f>IFERROR(__xludf.DUMMYFUNCTION("""COMPUTED_VALUE"""),"")</f>
        <v/>
      </c>
    </row>
    <row r="7474">
      <c r="G7474" s="16" t="str">
        <f>IFERROR(__xludf.DUMMYFUNCTION("""COMPUTED_VALUE"""),"")</f>
        <v/>
      </c>
    </row>
    <row r="7475">
      <c r="G7475" s="16" t="str">
        <f>IFERROR(__xludf.DUMMYFUNCTION("""COMPUTED_VALUE"""),"")</f>
        <v/>
      </c>
    </row>
    <row r="7476">
      <c r="G7476" s="16" t="str">
        <f>IFERROR(__xludf.DUMMYFUNCTION("""COMPUTED_VALUE"""),"")</f>
        <v/>
      </c>
    </row>
    <row r="7477">
      <c r="G7477" s="16" t="str">
        <f>IFERROR(__xludf.DUMMYFUNCTION("""COMPUTED_VALUE"""),"")</f>
        <v/>
      </c>
    </row>
    <row r="7478">
      <c r="G7478" s="16" t="str">
        <f>IFERROR(__xludf.DUMMYFUNCTION("""COMPUTED_VALUE"""),"")</f>
        <v/>
      </c>
    </row>
    <row r="7479">
      <c r="G7479" s="16" t="str">
        <f>IFERROR(__xludf.DUMMYFUNCTION("""COMPUTED_VALUE"""),"")</f>
        <v/>
      </c>
    </row>
    <row r="7480">
      <c r="G7480" s="16" t="str">
        <f>IFERROR(__xludf.DUMMYFUNCTION("""COMPUTED_VALUE"""),"")</f>
        <v/>
      </c>
    </row>
    <row r="7481">
      <c r="G7481" s="16" t="str">
        <f>IFERROR(__xludf.DUMMYFUNCTION("""COMPUTED_VALUE"""),"")</f>
        <v/>
      </c>
    </row>
    <row r="7482">
      <c r="G7482" s="16" t="str">
        <f>IFERROR(__xludf.DUMMYFUNCTION("""COMPUTED_VALUE"""),"")</f>
        <v/>
      </c>
    </row>
    <row r="7483">
      <c r="G7483" s="16" t="str">
        <f>IFERROR(__xludf.DUMMYFUNCTION("""COMPUTED_VALUE"""),"")</f>
        <v/>
      </c>
    </row>
    <row r="7484">
      <c r="G7484" s="16" t="str">
        <f>IFERROR(__xludf.DUMMYFUNCTION("""COMPUTED_VALUE"""),"")</f>
        <v/>
      </c>
    </row>
    <row r="7485">
      <c r="G7485" s="16" t="str">
        <f>IFERROR(__xludf.DUMMYFUNCTION("""COMPUTED_VALUE"""),"")</f>
        <v/>
      </c>
    </row>
    <row r="7486">
      <c r="G7486" s="16" t="str">
        <f>IFERROR(__xludf.DUMMYFUNCTION("""COMPUTED_VALUE"""),"")</f>
        <v/>
      </c>
    </row>
    <row r="7487">
      <c r="G7487" s="16" t="str">
        <f>IFERROR(__xludf.DUMMYFUNCTION("""COMPUTED_VALUE"""),"")</f>
        <v/>
      </c>
    </row>
    <row r="7488">
      <c r="G7488" s="16" t="str">
        <f>IFERROR(__xludf.DUMMYFUNCTION("""COMPUTED_VALUE"""),"")</f>
        <v/>
      </c>
    </row>
    <row r="7489">
      <c r="G7489" s="16" t="str">
        <f>IFERROR(__xludf.DUMMYFUNCTION("""COMPUTED_VALUE"""),"")</f>
        <v/>
      </c>
    </row>
    <row r="7490">
      <c r="G7490" s="16" t="str">
        <f>IFERROR(__xludf.DUMMYFUNCTION("""COMPUTED_VALUE"""),"")</f>
        <v/>
      </c>
    </row>
    <row r="7491">
      <c r="G7491" s="16" t="str">
        <f>IFERROR(__xludf.DUMMYFUNCTION("""COMPUTED_VALUE"""),"")</f>
        <v/>
      </c>
    </row>
    <row r="7492">
      <c r="G7492" s="16" t="str">
        <f>IFERROR(__xludf.DUMMYFUNCTION("""COMPUTED_VALUE"""),"")</f>
        <v/>
      </c>
    </row>
    <row r="7493">
      <c r="G7493" s="16" t="str">
        <f>IFERROR(__xludf.DUMMYFUNCTION("""COMPUTED_VALUE"""),"")</f>
        <v/>
      </c>
    </row>
    <row r="7494">
      <c r="G7494" s="16" t="str">
        <f>IFERROR(__xludf.DUMMYFUNCTION("""COMPUTED_VALUE"""),"")</f>
        <v/>
      </c>
    </row>
    <row r="7495">
      <c r="G7495" s="16" t="str">
        <f>IFERROR(__xludf.DUMMYFUNCTION("""COMPUTED_VALUE"""),"")</f>
        <v/>
      </c>
    </row>
    <row r="7496">
      <c r="G7496" s="16" t="str">
        <f>IFERROR(__xludf.DUMMYFUNCTION("""COMPUTED_VALUE"""),"")</f>
        <v/>
      </c>
    </row>
    <row r="7497">
      <c r="G7497" s="16" t="str">
        <f>IFERROR(__xludf.DUMMYFUNCTION("""COMPUTED_VALUE"""),"")</f>
        <v/>
      </c>
    </row>
    <row r="7498">
      <c r="G7498" s="16" t="str">
        <f>IFERROR(__xludf.DUMMYFUNCTION("""COMPUTED_VALUE"""),"")</f>
        <v/>
      </c>
    </row>
    <row r="7499">
      <c r="G7499" s="16" t="str">
        <f>IFERROR(__xludf.DUMMYFUNCTION("""COMPUTED_VALUE"""),"")</f>
        <v/>
      </c>
    </row>
    <row r="7500">
      <c r="G7500" s="16" t="str">
        <f>IFERROR(__xludf.DUMMYFUNCTION("""COMPUTED_VALUE"""),"")</f>
        <v/>
      </c>
    </row>
    <row r="7501">
      <c r="G7501" s="16" t="str">
        <f>IFERROR(__xludf.DUMMYFUNCTION("""COMPUTED_VALUE"""),"")</f>
        <v/>
      </c>
    </row>
    <row r="7502">
      <c r="G7502" s="16" t="str">
        <f>IFERROR(__xludf.DUMMYFUNCTION("""COMPUTED_VALUE"""),"")</f>
        <v/>
      </c>
    </row>
    <row r="7503">
      <c r="G7503" s="16" t="str">
        <f>IFERROR(__xludf.DUMMYFUNCTION("""COMPUTED_VALUE"""),"")</f>
        <v/>
      </c>
    </row>
    <row r="7504">
      <c r="G7504" s="16" t="str">
        <f>IFERROR(__xludf.DUMMYFUNCTION("""COMPUTED_VALUE"""),"")</f>
        <v/>
      </c>
    </row>
    <row r="7505">
      <c r="G7505" s="16" t="str">
        <f>IFERROR(__xludf.DUMMYFUNCTION("""COMPUTED_VALUE"""),"")</f>
        <v/>
      </c>
    </row>
    <row r="7506">
      <c r="G7506" s="16" t="str">
        <f>IFERROR(__xludf.DUMMYFUNCTION("""COMPUTED_VALUE"""),"")</f>
        <v/>
      </c>
    </row>
    <row r="7507">
      <c r="G7507" s="16" t="str">
        <f>IFERROR(__xludf.DUMMYFUNCTION("""COMPUTED_VALUE"""),"")</f>
        <v/>
      </c>
    </row>
    <row r="7508">
      <c r="G7508" s="16" t="str">
        <f>IFERROR(__xludf.DUMMYFUNCTION("""COMPUTED_VALUE"""),"")</f>
        <v/>
      </c>
    </row>
    <row r="7509">
      <c r="G7509" s="16" t="str">
        <f>IFERROR(__xludf.DUMMYFUNCTION("""COMPUTED_VALUE"""),"")</f>
        <v/>
      </c>
    </row>
    <row r="7510">
      <c r="G7510" s="16" t="str">
        <f>IFERROR(__xludf.DUMMYFUNCTION("""COMPUTED_VALUE"""),"")</f>
        <v/>
      </c>
    </row>
    <row r="7511">
      <c r="G7511" s="16" t="str">
        <f>IFERROR(__xludf.DUMMYFUNCTION("""COMPUTED_VALUE"""),"")</f>
        <v/>
      </c>
    </row>
    <row r="7512">
      <c r="G7512" s="16" t="str">
        <f>IFERROR(__xludf.DUMMYFUNCTION("""COMPUTED_VALUE"""),"")</f>
        <v/>
      </c>
    </row>
    <row r="7513">
      <c r="G7513" s="16" t="str">
        <f>IFERROR(__xludf.DUMMYFUNCTION("""COMPUTED_VALUE"""),"")</f>
        <v/>
      </c>
    </row>
    <row r="7514">
      <c r="G7514" s="16" t="str">
        <f>IFERROR(__xludf.DUMMYFUNCTION("""COMPUTED_VALUE"""),"")</f>
        <v/>
      </c>
    </row>
    <row r="7515">
      <c r="G7515" s="16" t="str">
        <f>IFERROR(__xludf.DUMMYFUNCTION("""COMPUTED_VALUE"""),"")</f>
        <v/>
      </c>
    </row>
    <row r="7516">
      <c r="G7516" s="16" t="str">
        <f>IFERROR(__xludf.DUMMYFUNCTION("""COMPUTED_VALUE"""),"")</f>
        <v/>
      </c>
    </row>
    <row r="7517">
      <c r="G7517" s="16" t="str">
        <f>IFERROR(__xludf.DUMMYFUNCTION("""COMPUTED_VALUE"""),"")</f>
        <v/>
      </c>
    </row>
    <row r="7518">
      <c r="G7518" s="16" t="str">
        <f>IFERROR(__xludf.DUMMYFUNCTION("""COMPUTED_VALUE"""),"")</f>
        <v/>
      </c>
    </row>
    <row r="7519">
      <c r="G7519" s="16" t="str">
        <f>IFERROR(__xludf.DUMMYFUNCTION("""COMPUTED_VALUE"""),"")</f>
        <v/>
      </c>
    </row>
    <row r="7520">
      <c r="G7520" s="16" t="str">
        <f>IFERROR(__xludf.DUMMYFUNCTION("""COMPUTED_VALUE"""),"")</f>
        <v/>
      </c>
    </row>
    <row r="7521">
      <c r="G7521" s="16" t="str">
        <f>IFERROR(__xludf.DUMMYFUNCTION("""COMPUTED_VALUE"""),"")</f>
        <v/>
      </c>
    </row>
    <row r="7522">
      <c r="G7522" s="16" t="str">
        <f>IFERROR(__xludf.DUMMYFUNCTION("""COMPUTED_VALUE"""),"")</f>
        <v/>
      </c>
    </row>
    <row r="7523">
      <c r="G7523" s="16" t="str">
        <f>IFERROR(__xludf.DUMMYFUNCTION("""COMPUTED_VALUE"""),"")</f>
        <v/>
      </c>
    </row>
    <row r="7524">
      <c r="G7524" s="16" t="str">
        <f>IFERROR(__xludf.DUMMYFUNCTION("""COMPUTED_VALUE"""),"")</f>
        <v/>
      </c>
    </row>
    <row r="7525">
      <c r="G7525" s="16" t="str">
        <f>IFERROR(__xludf.DUMMYFUNCTION("""COMPUTED_VALUE"""),"")</f>
        <v/>
      </c>
    </row>
    <row r="7526">
      <c r="G7526" s="16" t="str">
        <f>IFERROR(__xludf.DUMMYFUNCTION("""COMPUTED_VALUE"""),"")</f>
        <v/>
      </c>
    </row>
    <row r="7527">
      <c r="G7527" s="16" t="str">
        <f>IFERROR(__xludf.DUMMYFUNCTION("""COMPUTED_VALUE"""),"")</f>
        <v/>
      </c>
    </row>
    <row r="7528">
      <c r="G7528" s="16" t="str">
        <f>IFERROR(__xludf.DUMMYFUNCTION("""COMPUTED_VALUE"""),"")</f>
        <v/>
      </c>
    </row>
    <row r="7529">
      <c r="G7529" s="16" t="str">
        <f>IFERROR(__xludf.DUMMYFUNCTION("""COMPUTED_VALUE"""),"")</f>
        <v/>
      </c>
    </row>
    <row r="7530">
      <c r="G7530" s="16" t="str">
        <f>IFERROR(__xludf.DUMMYFUNCTION("""COMPUTED_VALUE"""),"")</f>
        <v/>
      </c>
    </row>
    <row r="7531">
      <c r="G7531" s="16" t="str">
        <f>IFERROR(__xludf.DUMMYFUNCTION("""COMPUTED_VALUE"""),"")</f>
        <v/>
      </c>
    </row>
    <row r="7532">
      <c r="G7532" s="16" t="str">
        <f>IFERROR(__xludf.DUMMYFUNCTION("""COMPUTED_VALUE"""),"")</f>
        <v/>
      </c>
    </row>
    <row r="7533">
      <c r="G7533" s="16" t="str">
        <f>IFERROR(__xludf.DUMMYFUNCTION("""COMPUTED_VALUE"""),"")</f>
        <v/>
      </c>
    </row>
    <row r="7534">
      <c r="G7534" s="16" t="str">
        <f>IFERROR(__xludf.DUMMYFUNCTION("""COMPUTED_VALUE"""),"")</f>
        <v/>
      </c>
    </row>
    <row r="7535">
      <c r="G7535" s="16" t="str">
        <f>IFERROR(__xludf.DUMMYFUNCTION("""COMPUTED_VALUE"""),"")</f>
        <v/>
      </c>
    </row>
    <row r="7536">
      <c r="G7536" s="16" t="str">
        <f>IFERROR(__xludf.DUMMYFUNCTION("""COMPUTED_VALUE"""),"")</f>
        <v/>
      </c>
    </row>
    <row r="7537">
      <c r="G7537" s="16" t="str">
        <f>IFERROR(__xludf.DUMMYFUNCTION("""COMPUTED_VALUE"""),"")</f>
        <v/>
      </c>
    </row>
    <row r="7538">
      <c r="G7538" s="16" t="str">
        <f>IFERROR(__xludf.DUMMYFUNCTION("""COMPUTED_VALUE"""),"")</f>
        <v/>
      </c>
    </row>
    <row r="7539">
      <c r="G7539" s="16" t="str">
        <f>IFERROR(__xludf.DUMMYFUNCTION("""COMPUTED_VALUE"""),"")</f>
        <v/>
      </c>
    </row>
    <row r="7540">
      <c r="G7540" s="16" t="str">
        <f>IFERROR(__xludf.DUMMYFUNCTION("""COMPUTED_VALUE"""),"")</f>
        <v/>
      </c>
    </row>
    <row r="7541">
      <c r="G7541" s="16" t="str">
        <f>IFERROR(__xludf.DUMMYFUNCTION("""COMPUTED_VALUE"""),"")</f>
        <v/>
      </c>
    </row>
    <row r="7542">
      <c r="G7542" s="16" t="str">
        <f>IFERROR(__xludf.DUMMYFUNCTION("""COMPUTED_VALUE"""),"")</f>
        <v/>
      </c>
    </row>
    <row r="7543">
      <c r="G7543" s="16" t="str">
        <f>IFERROR(__xludf.DUMMYFUNCTION("""COMPUTED_VALUE"""),"")</f>
        <v/>
      </c>
    </row>
    <row r="7544">
      <c r="G7544" s="16" t="str">
        <f>IFERROR(__xludf.DUMMYFUNCTION("""COMPUTED_VALUE"""),"")</f>
        <v/>
      </c>
    </row>
    <row r="7545">
      <c r="G7545" s="16" t="str">
        <f>IFERROR(__xludf.DUMMYFUNCTION("""COMPUTED_VALUE"""),"")</f>
        <v/>
      </c>
    </row>
    <row r="7546">
      <c r="G7546" s="16" t="str">
        <f>IFERROR(__xludf.DUMMYFUNCTION("""COMPUTED_VALUE"""),"")</f>
        <v/>
      </c>
    </row>
    <row r="7547">
      <c r="G7547" s="16" t="str">
        <f>IFERROR(__xludf.DUMMYFUNCTION("""COMPUTED_VALUE"""),"")</f>
        <v/>
      </c>
    </row>
    <row r="7548">
      <c r="G7548" s="16" t="str">
        <f>IFERROR(__xludf.DUMMYFUNCTION("""COMPUTED_VALUE"""),"")</f>
        <v/>
      </c>
    </row>
    <row r="7549">
      <c r="G7549" s="16" t="str">
        <f>IFERROR(__xludf.DUMMYFUNCTION("""COMPUTED_VALUE"""),"")</f>
        <v/>
      </c>
    </row>
    <row r="7550">
      <c r="G7550" s="16" t="str">
        <f>IFERROR(__xludf.DUMMYFUNCTION("""COMPUTED_VALUE"""),"")</f>
        <v/>
      </c>
    </row>
    <row r="7551">
      <c r="G7551" s="16" t="str">
        <f>IFERROR(__xludf.DUMMYFUNCTION("""COMPUTED_VALUE"""),"")</f>
        <v/>
      </c>
    </row>
    <row r="7552">
      <c r="G7552" s="16" t="str">
        <f>IFERROR(__xludf.DUMMYFUNCTION("""COMPUTED_VALUE"""),"")</f>
        <v/>
      </c>
    </row>
    <row r="7553">
      <c r="G7553" s="16" t="str">
        <f>IFERROR(__xludf.DUMMYFUNCTION("""COMPUTED_VALUE"""),"")</f>
        <v/>
      </c>
    </row>
    <row r="7554">
      <c r="G7554" s="16" t="str">
        <f>IFERROR(__xludf.DUMMYFUNCTION("""COMPUTED_VALUE"""),"")</f>
        <v/>
      </c>
    </row>
    <row r="7555">
      <c r="G7555" s="16" t="str">
        <f>IFERROR(__xludf.DUMMYFUNCTION("""COMPUTED_VALUE"""),"")</f>
        <v/>
      </c>
    </row>
    <row r="7556">
      <c r="G7556" s="16" t="str">
        <f>IFERROR(__xludf.DUMMYFUNCTION("""COMPUTED_VALUE"""),"")</f>
        <v/>
      </c>
    </row>
    <row r="7557">
      <c r="G7557" s="16" t="str">
        <f>IFERROR(__xludf.DUMMYFUNCTION("""COMPUTED_VALUE"""),"")</f>
        <v/>
      </c>
    </row>
    <row r="7558">
      <c r="G7558" s="16" t="str">
        <f>IFERROR(__xludf.DUMMYFUNCTION("""COMPUTED_VALUE"""),"")</f>
        <v/>
      </c>
    </row>
    <row r="7559">
      <c r="G7559" s="16" t="str">
        <f>IFERROR(__xludf.DUMMYFUNCTION("""COMPUTED_VALUE"""),"")</f>
        <v/>
      </c>
    </row>
    <row r="7560">
      <c r="G7560" s="16" t="str">
        <f>IFERROR(__xludf.DUMMYFUNCTION("""COMPUTED_VALUE"""),"")</f>
        <v/>
      </c>
    </row>
    <row r="7561">
      <c r="G7561" s="16" t="str">
        <f>IFERROR(__xludf.DUMMYFUNCTION("""COMPUTED_VALUE"""),"")</f>
        <v/>
      </c>
    </row>
    <row r="7562">
      <c r="G7562" s="16" t="str">
        <f>IFERROR(__xludf.DUMMYFUNCTION("""COMPUTED_VALUE"""),"")</f>
        <v/>
      </c>
    </row>
    <row r="7563">
      <c r="G7563" s="16" t="str">
        <f>IFERROR(__xludf.DUMMYFUNCTION("""COMPUTED_VALUE"""),"")</f>
        <v/>
      </c>
    </row>
    <row r="7564">
      <c r="G7564" s="16" t="str">
        <f>IFERROR(__xludf.DUMMYFUNCTION("""COMPUTED_VALUE"""),"")</f>
        <v/>
      </c>
    </row>
    <row r="7565">
      <c r="G7565" s="16" t="str">
        <f>IFERROR(__xludf.DUMMYFUNCTION("""COMPUTED_VALUE"""),"")</f>
        <v/>
      </c>
    </row>
    <row r="7566">
      <c r="G7566" s="16" t="str">
        <f>IFERROR(__xludf.DUMMYFUNCTION("""COMPUTED_VALUE"""),"")</f>
        <v/>
      </c>
    </row>
    <row r="7567">
      <c r="G7567" s="16" t="str">
        <f>IFERROR(__xludf.DUMMYFUNCTION("""COMPUTED_VALUE"""),"")</f>
        <v/>
      </c>
    </row>
    <row r="7568">
      <c r="G7568" s="16" t="str">
        <f>IFERROR(__xludf.DUMMYFUNCTION("""COMPUTED_VALUE"""),"")</f>
        <v/>
      </c>
    </row>
    <row r="7569">
      <c r="G7569" s="16" t="str">
        <f>IFERROR(__xludf.DUMMYFUNCTION("""COMPUTED_VALUE"""),"")</f>
        <v/>
      </c>
    </row>
    <row r="7570">
      <c r="G7570" s="16" t="str">
        <f>IFERROR(__xludf.DUMMYFUNCTION("""COMPUTED_VALUE"""),"")</f>
        <v/>
      </c>
    </row>
    <row r="7571">
      <c r="G7571" s="16" t="str">
        <f>IFERROR(__xludf.DUMMYFUNCTION("""COMPUTED_VALUE"""),"")</f>
        <v/>
      </c>
    </row>
    <row r="7572">
      <c r="G7572" s="16" t="str">
        <f>IFERROR(__xludf.DUMMYFUNCTION("""COMPUTED_VALUE"""),"")</f>
        <v/>
      </c>
    </row>
    <row r="7573">
      <c r="G7573" s="16" t="str">
        <f>IFERROR(__xludf.DUMMYFUNCTION("""COMPUTED_VALUE"""),"")</f>
        <v/>
      </c>
    </row>
    <row r="7574">
      <c r="G7574" s="16" t="str">
        <f>IFERROR(__xludf.DUMMYFUNCTION("""COMPUTED_VALUE"""),"")</f>
        <v/>
      </c>
    </row>
    <row r="7575">
      <c r="G7575" s="16" t="str">
        <f>IFERROR(__xludf.DUMMYFUNCTION("""COMPUTED_VALUE"""),"")</f>
        <v/>
      </c>
    </row>
    <row r="7576">
      <c r="G7576" s="16" t="str">
        <f>IFERROR(__xludf.DUMMYFUNCTION("""COMPUTED_VALUE"""),"")</f>
        <v/>
      </c>
    </row>
    <row r="7577">
      <c r="G7577" s="16" t="str">
        <f>IFERROR(__xludf.DUMMYFUNCTION("""COMPUTED_VALUE"""),"")</f>
        <v/>
      </c>
    </row>
    <row r="7578">
      <c r="G7578" s="16" t="str">
        <f>IFERROR(__xludf.DUMMYFUNCTION("""COMPUTED_VALUE"""),"")</f>
        <v/>
      </c>
    </row>
    <row r="7579">
      <c r="G7579" s="16" t="str">
        <f>IFERROR(__xludf.DUMMYFUNCTION("""COMPUTED_VALUE"""),"")</f>
        <v/>
      </c>
    </row>
    <row r="7580">
      <c r="G7580" s="16" t="str">
        <f>IFERROR(__xludf.DUMMYFUNCTION("""COMPUTED_VALUE"""),"")</f>
        <v/>
      </c>
    </row>
    <row r="7581">
      <c r="G7581" s="16" t="str">
        <f>IFERROR(__xludf.DUMMYFUNCTION("""COMPUTED_VALUE"""),"")</f>
        <v/>
      </c>
    </row>
    <row r="7582">
      <c r="G7582" s="16" t="str">
        <f>IFERROR(__xludf.DUMMYFUNCTION("""COMPUTED_VALUE"""),"")</f>
        <v/>
      </c>
    </row>
    <row r="7583">
      <c r="G7583" s="16" t="str">
        <f>IFERROR(__xludf.DUMMYFUNCTION("""COMPUTED_VALUE"""),"")</f>
        <v/>
      </c>
    </row>
    <row r="7584">
      <c r="G7584" s="16" t="str">
        <f>IFERROR(__xludf.DUMMYFUNCTION("""COMPUTED_VALUE"""),"")</f>
        <v/>
      </c>
    </row>
    <row r="7585">
      <c r="G7585" s="16" t="str">
        <f>IFERROR(__xludf.DUMMYFUNCTION("""COMPUTED_VALUE"""),"")</f>
        <v/>
      </c>
    </row>
    <row r="7586">
      <c r="G7586" s="16" t="str">
        <f>IFERROR(__xludf.DUMMYFUNCTION("""COMPUTED_VALUE"""),"")</f>
        <v/>
      </c>
    </row>
    <row r="7587">
      <c r="G7587" s="16" t="str">
        <f>IFERROR(__xludf.DUMMYFUNCTION("""COMPUTED_VALUE"""),"")</f>
        <v/>
      </c>
    </row>
    <row r="7588">
      <c r="G7588" s="16" t="str">
        <f>IFERROR(__xludf.DUMMYFUNCTION("""COMPUTED_VALUE"""),"")</f>
        <v/>
      </c>
    </row>
    <row r="7589">
      <c r="G7589" s="16" t="str">
        <f>IFERROR(__xludf.DUMMYFUNCTION("""COMPUTED_VALUE"""),"")</f>
        <v/>
      </c>
    </row>
    <row r="7590">
      <c r="G7590" s="16" t="str">
        <f>IFERROR(__xludf.DUMMYFUNCTION("""COMPUTED_VALUE"""),"")</f>
        <v/>
      </c>
    </row>
    <row r="7591">
      <c r="G7591" s="16" t="str">
        <f>IFERROR(__xludf.DUMMYFUNCTION("""COMPUTED_VALUE"""),"")</f>
        <v/>
      </c>
    </row>
    <row r="7592">
      <c r="G7592" s="16" t="str">
        <f>IFERROR(__xludf.DUMMYFUNCTION("""COMPUTED_VALUE"""),"")</f>
        <v/>
      </c>
    </row>
    <row r="7593">
      <c r="G7593" s="16" t="str">
        <f>IFERROR(__xludf.DUMMYFUNCTION("""COMPUTED_VALUE"""),"")</f>
        <v/>
      </c>
    </row>
    <row r="7594">
      <c r="G7594" s="16" t="str">
        <f>IFERROR(__xludf.DUMMYFUNCTION("""COMPUTED_VALUE"""),"")</f>
        <v/>
      </c>
    </row>
    <row r="7595">
      <c r="G7595" s="16" t="str">
        <f>IFERROR(__xludf.DUMMYFUNCTION("""COMPUTED_VALUE"""),"")</f>
        <v/>
      </c>
    </row>
    <row r="7596">
      <c r="G7596" s="16" t="str">
        <f>IFERROR(__xludf.DUMMYFUNCTION("""COMPUTED_VALUE"""),"")</f>
        <v/>
      </c>
    </row>
    <row r="7597">
      <c r="G7597" s="16" t="str">
        <f>IFERROR(__xludf.DUMMYFUNCTION("""COMPUTED_VALUE"""),"")</f>
        <v/>
      </c>
    </row>
    <row r="7598">
      <c r="G7598" s="16" t="str">
        <f>IFERROR(__xludf.DUMMYFUNCTION("""COMPUTED_VALUE"""),"")</f>
        <v/>
      </c>
    </row>
    <row r="7599">
      <c r="G7599" s="16" t="str">
        <f>IFERROR(__xludf.DUMMYFUNCTION("""COMPUTED_VALUE"""),"")</f>
        <v/>
      </c>
    </row>
    <row r="7600">
      <c r="G7600" s="16" t="str">
        <f>IFERROR(__xludf.DUMMYFUNCTION("""COMPUTED_VALUE"""),"")</f>
        <v/>
      </c>
    </row>
    <row r="7601">
      <c r="G7601" s="16" t="str">
        <f>IFERROR(__xludf.DUMMYFUNCTION("""COMPUTED_VALUE"""),"")</f>
        <v/>
      </c>
    </row>
    <row r="7602">
      <c r="G7602" s="16" t="str">
        <f>IFERROR(__xludf.DUMMYFUNCTION("""COMPUTED_VALUE"""),"")</f>
        <v/>
      </c>
    </row>
    <row r="7603">
      <c r="G7603" s="16" t="str">
        <f>IFERROR(__xludf.DUMMYFUNCTION("""COMPUTED_VALUE"""),"")</f>
        <v/>
      </c>
    </row>
    <row r="7604">
      <c r="G7604" s="16" t="str">
        <f>IFERROR(__xludf.DUMMYFUNCTION("""COMPUTED_VALUE"""),"")</f>
        <v/>
      </c>
    </row>
    <row r="7605">
      <c r="G7605" s="16" t="str">
        <f>IFERROR(__xludf.DUMMYFUNCTION("""COMPUTED_VALUE"""),"")</f>
        <v/>
      </c>
    </row>
    <row r="7606">
      <c r="G7606" s="16" t="str">
        <f>IFERROR(__xludf.DUMMYFUNCTION("""COMPUTED_VALUE"""),"")</f>
        <v/>
      </c>
    </row>
    <row r="7607">
      <c r="G7607" s="16" t="str">
        <f>IFERROR(__xludf.DUMMYFUNCTION("""COMPUTED_VALUE"""),"")</f>
        <v/>
      </c>
    </row>
    <row r="7608">
      <c r="G7608" s="16" t="str">
        <f>IFERROR(__xludf.DUMMYFUNCTION("""COMPUTED_VALUE"""),"")</f>
        <v/>
      </c>
    </row>
    <row r="7609">
      <c r="G7609" s="16" t="str">
        <f>IFERROR(__xludf.DUMMYFUNCTION("""COMPUTED_VALUE"""),"")</f>
        <v/>
      </c>
    </row>
    <row r="7610">
      <c r="G7610" s="16" t="str">
        <f>IFERROR(__xludf.DUMMYFUNCTION("""COMPUTED_VALUE"""),"")</f>
        <v/>
      </c>
    </row>
    <row r="7611">
      <c r="G7611" s="16" t="str">
        <f>IFERROR(__xludf.DUMMYFUNCTION("""COMPUTED_VALUE"""),"")</f>
        <v/>
      </c>
    </row>
    <row r="7612">
      <c r="G7612" s="16" t="str">
        <f>IFERROR(__xludf.DUMMYFUNCTION("""COMPUTED_VALUE"""),"")</f>
        <v/>
      </c>
    </row>
    <row r="7613">
      <c r="G7613" s="16" t="str">
        <f>IFERROR(__xludf.DUMMYFUNCTION("""COMPUTED_VALUE"""),"")</f>
        <v/>
      </c>
    </row>
    <row r="7614">
      <c r="G7614" s="16" t="str">
        <f>IFERROR(__xludf.DUMMYFUNCTION("""COMPUTED_VALUE"""),"")</f>
        <v/>
      </c>
    </row>
    <row r="7615">
      <c r="G7615" s="16" t="str">
        <f>IFERROR(__xludf.DUMMYFUNCTION("""COMPUTED_VALUE"""),"")</f>
        <v/>
      </c>
    </row>
    <row r="7616">
      <c r="G7616" s="16" t="str">
        <f>IFERROR(__xludf.DUMMYFUNCTION("""COMPUTED_VALUE"""),"")</f>
        <v/>
      </c>
    </row>
    <row r="7617">
      <c r="G7617" s="16" t="str">
        <f>IFERROR(__xludf.DUMMYFUNCTION("""COMPUTED_VALUE"""),"")</f>
        <v/>
      </c>
    </row>
    <row r="7618">
      <c r="G7618" s="16" t="str">
        <f>IFERROR(__xludf.DUMMYFUNCTION("""COMPUTED_VALUE"""),"")</f>
        <v/>
      </c>
    </row>
    <row r="7619">
      <c r="G7619" s="16" t="str">
        <f>IFERROR(__xludf.DUMMYFUNCTION("""COMPUTED_VALUE"""),"")</f>
        <v/>
      </c>
    </row>
    <row r="7620">
      <c r="G7620" s="16" t="str">
        <f>IFERROR(__xludf.DUMMYFUNCTION("""COMPUTED_VALUE"""),"")</f>
        <v/>
      </c>
    </row>
    <row r="7621">
      <c r="G7621" s="16" t="str">
        <f>IFERROR(__xludf.DUMMYFUNCTION("""COMPUTED_VALUE"""),"")</f>
        <v/>
      </c>
    </row>
    <row r="7622">
      <c r="G7622" s="16" t="str">
        <f>IFERROR(__xludf.DUMMYFUNCTION("""COMPUTED_VALUE"""),"")</f>
        <v/>
      </c>
    </row>
    <row r="7623">
      <c r="G7623" s="16" t="str">
        <f>IFERROR(__xludf.DUMMYFUNCTION("""COMPUTED_VALUE"""),"")</f>
        <v/>
      </c>
    </row>
    <row r="7624">
      <c r="G7624" s="16" t="str">
        <f>IFERROR(__xludf.DUMMYFUNCTION("""COMPUTED_VALUE"""),"")</f>
        <v/>
      </c>
    </row>
    <row r="7625">
      <c r="G7625" s="16" t="str">
        <f>IFERROR(__xludf.DUMMYFUNCTION("""COMPUTED_VALUE"""),"")</f>
        <v/>
      </c>
    </row>
    <row r="7626">
      <c r="G7626" s="16" t="str">
        <f>IFERROR(__xludf.DUMMYFUNCTION("""COMPUTED_VALUE"""),"")</f>
        <v/>
      </c>
    </row>
    <row r="7627">
      <c r="G7627" s="16" t="str">
        <f>IFERROR(__xludf.DUMMYFUNCTION("""COMPUTED_VALUE"""),"")</f>
        <v/>
      </c>
    </row>
    <row r="7628">
      <c r="G7628" s="16" t="str">
        <f>IFERROR(__xludf.DUMMYFUNCTION("""COMPUTED_VALUE"""),"")</f>
        <v/>
      </c>
    </row>
    <row r="7629">
      <c r="G7629" s="16" t="str">
        <f>IFERROR(__xludf.DUMMYFUNCTION("""COMPUTED_VALUE"""),"")</f>
        <v/>
      </c>
    </row>
    <row r="7630">
      <c r="G7630" s="16" t="str">
        <f>IFERROR(__xludf.DUMMYFUNCTION("""COMPUTED_VALUE"""),"")</f>
        <v/>
      </c>
    </row>
    <row r="7631">
      <c r="G7631" s="16" t="str">
        <f>IFERROR(__xludf.DUMMYFUNCTION("""COMPUTED_VALUE"""),"")</f>
        <v/>
      </c>
    </row>
    <row r="7632">
      <c r="G7632" s="16" t="str">
        <f>IFERROR(__xludf.DUMMYFUNCTION("""COMPUTED_VALUE"""),"")</f>
        <v/>
      </c>
    </row>
    <row r="7633">
      <c r="G7633" s="16" t="str">
        <f>IFERROR(__xludf.DUMMYFUNCTION("""COMPUTED_VALUE"""),"")</f>
        <v/>
      </c>
    </row>
    <row r="7634">
      <c r="G7634" s="16" t="str">
        <f>IFERROR(__xludf.DUMMYFUNCTION("""COMPUTED_VALUE"""),"")</f>
        <v/>
      </c>
    </row>
    <row r="7635">
      <c r="G7635" s="16" t="str">
        <f>IFERROR(__xludf.DUMMYFUNCTION("""COMPUTED_VALUE"""),"")</f>
        <v/>
      </c>
    </row>
    <row r="7636">
      <c r="G7636" s="16" t="str">
        <f>IFERROR(__xludf.DUMMYFUNCTION("""COMPUTED_VALUE"""),"")</f>
        <v/>
      </c>
    </row>
    <row r="7637">
      <c r="G7637" s="16" t="str">
        <f>IFERROR(__xludf.DUMMYFUNCTION("""COMPUTED_VALUE"""),"")</f>
        <v/>
      </c>
    </row>
    <row r="7638">
      <c r="G7638" s="16" t="str">
        <f>IFERROR(__xludf.DUMMYFUNCTION("""COMPUTED_VALUE"""),"")</f>
        <v/>
      </c>
    </row>
    <row r="7639">
      <c r="G7639" s="16" t="str">
        <f>IFERROR(__xludf.DUMMYFUNCTION("""COMPUTED_VALUE"""),"")</f>
        <v/>
      </c>
    </row>
    <row r="7640">
      <c r="G7640" s="16" t="str">
        <f>IFERROR(__xludf.DUMMYFUNCTION("""COMPUTED_VALUE"""),"")</f>
        <v/>
      </c>
    </row>
    <row r="7641">
      <c r="G7641" s="16" t="str">
        <f>IFERROR(__xludf.DUMMYFUNCTION("""COMPUTED_VALUE"""),"")</f>
        <v/>
      </c>
    </row>
    <row r="7642">
      <c r="G7642" s="16" t="str">
        <f>IFERROR(__xludf.DUMMYFUNCTION("""COMPUTED_VALUE"""),"")</f>
        <v/>
      </c>
    </row>
    <row r="7643">
      <c r="G7643" s="16" t="str">
        <f>IFERROR(__xludf.DUMMYFUNCTION("""COMPUTED_VALUE"""),"")</f>
        <v/>
      </c>
    </row>
    <row r="7644">
      <c r="G7644" s="16" t="str">
        <f>IFERROR(__xludf.DUMMYFUNCTION("""COMPUTED_VALUE"""),"")</f>
        <v/>
      </c>
    </row>
    <row r="7645">
      <c r="G7645" s="16" t="str">
        <f>IFERROR(__xludf.DUMMYFUNCTION("""COMPUTED_VALUE"""),"")</f>
        <v/>
      </c>
    </row>
    <row r="7646">
      <c r="G7646" s="16" t="str">
        <f>IFERROR(__xludf.DUMMYFUNCTION("""COMPUTED_VALUE"""),"")</f>
        <v/>
      </c>
    </row>
    <row r="7647">
      <c r="G7647" s="16" t="str">
        <f>IFERROR(__xludf.DUMMYFUNCTION("""COMPUTED_VALUE"""),"")</f>
        <v/>
      </c>
    </row>
    <row r="7648">
      <c r="G7648" s="16" t="str">
        <f>IFERROR(__xludf.DUMMYFUNCTION("""COMPUTED_VALUE"""),"")</f>
        <v/>
      </c>
    </row>
    <row r="7649">
      <c r="G7649" s="16" t="str">
        <f>IFERROR(__xludf.DUMMYFUNCTION("""COMPUTED_VALUE"""),"")</f>
        <v/>
      </c>
    </row>
    <row r="7650">
      <c r="G7650" s="16" t="str">
        <f>IFERROR(__xludf.DUMMYFUNCTION("""COMPUTED_VALUE"""),"")</f>
        <v/>
      </c>
    </row>
    <row r="7651">
      <c r="G7651" s="16" t="str">
        <f>IFERROR(__xludf.DUMMYFUNCTION("""COMPUTED_VALUE"""),"")</f>
        <v/>
      </c>
    </row>
    <row r="7652">
      <c r="G7652" s="16" t="str">
        <f>IFERROR(__xludf.DUMMYFUNCTION("""COMPUTED_VALUE"""),"")</f>
        <v/>
      </c>
    </row>
    <row r="7653">
      <c r="G7653" s="16" t="str">
        <f>IFERROR(__xludf.DUMMYFUNCTION("""COMPUTED_VALUE"""),"")</f>
        <v/>
      </c>
    </row>
    <row r="7654">
      <c r="G7654" s="16" t="str">
        <f>IFERROR(__xludf.DUMMYFUNCTION("""COMPUTED_VALUE"""),"")</f>
        <v/>
      </c>
    </row>
    <row r="7655">
      <c r="G7655" s="16" t="str">
        <f>IFERROR(__xludf.DUMMYFUNCTION("""COMPUTED_VALUE"""),"")</f>
        <v/>
      </c>
    </row>
    <row r="7656">
      <c r="G7656" s="16" t="str">
        <f>IFERROR(__xludf.DUMMYFUNCTION("""COMPUTED_VALUE"""),"")</f>
        <v/>
      </c>
    </row>
    <row r="7657">
      <c r="G7657" s="16" t="str">
        <f>IFERROR(__xludf.DUMMYFUNCTION("""COMPUTED_VALUE"""),"")</f>
        <v/>
      </c>
    </row>
    <row r="7658">
      <c r="G7658" s="16" t="str">
        <f>IFERROR(__xludf.DUMMYFUNCTION("""COMPUTED_VALUE"""),"")</f>
        <v/>
      </c>
    </row>
    <row r="7659">
      <c r="G7659" s="16" t="str">
        <f>IFERROR(__xludf.DUMMYFUNCTION("""COMPUTED_VALUE"""),"")</f>
        <v/>
      </c>
    </row>
    <row r="7660">
      <c r="G7660" s="16" t="str">
        <f>IFERROR(__xludf.DUMMYFUNCTION("""COMPUTED_VALUE"""),"")</f>
        <v/>
      </c>
    </row>
    <row r="7661">
      <c r="G7661" s="16" t="str">
        <f>IFERROR(__xludf.DUMMYFUNCTION("""COMPUTED_VALUE"""),"")</f>
        <v/>
      </c>
    </row>
    <row r="7662">
      <c r="G7662" s="16" t="str">
        <f>IFERROR(__xludf.DUMMYFUNCTION("""COMPUTED_VALUE"""),"")</f>
        <v/>
      </c>
    </row>
    <row r="7663">
      <c r="G7663" s="16" t="str">
        <f>IFERROR(__xludf.DUMMYFUNCTION("""COMPUTED_VALUE"""),"")</f>
        <v/>
      </c>
    </row>
    <row r="7664">
      <c r="G7664" s="16" t="str">
        <f>IFERROR(__xludf.DUMMYFUNCTION("""COMPUTED_VALUE"""),"")</f>
        <v/>
      </c>
    </row>
    <row r="7665">
      <c r="G7665" s="16" t="str">
        <f>IFERROR(__xludf.DUMMYFUNCTION("""COMPUTED_VALUE"""),"")</f>
        <v/>
      </c>
    </row>
    <row r="7666">
      <c r="G7666" s="16" t="str">
        <f>IFERROR(__xludf.DUMMYFUNCTION("""COMPUTED_VALUE"""),"")</f>
        <v/>
      </c>
    </row>
    <row r="7667">
      <c r="G7667" s="16" t="str">
        <f>IFERROR(__xludf.DUMMYFUNCTION("""COMPUTED_VALUE"""),"")</f>
        <v/>
      </c>
    </row>
    <row r="7668">
      <c r="G7668" s="16" t="str">
        <f>IFERROR(__xludf.DUMMYFUNCTION("""COMPUTED_VALUE"""),"")</f>
        <v/>
      </c>
    </row>
    <row r="7669">
      <c r="G7669" s="16" t="str">
        <f>IFERROR(__xludf.DUMMYFUNCTION("""COMPUTED_VALUE"""),"")</f>
        <v/>
      </c>
    </row>
    <row r="7670">
      <c r="G7670" s="16" t="str">
        <f>IFERROR(__xludf.DUMMYFUNCTION("""COMPUTED_VALUE"""),"")</f>
        <v/>
      </c>
    </row>
    <row r="7671">
      <c r="G7671" s="16" t="str">
        <f>IFERROR(__xludf.DUMMYFUNCTION("""COMPUTED_VALUE"""),"")</f>
        <v/>
      </c>
    </row>
    <row r="7672">
      <c r="G7672" s="16" t="str">
        <f>IFERROR(__xludf.DUMMYFUNCTION("""COMPUTED_VALUE"""),"")</f>
        <v/>
      </c>
    </row>
    <row r="7673">
      <c r="G7673" s="16" t="str">
        <f>IFERROR(__xludf.DUMMYFUNCTION("""COMPUTED_VALUE"""),"")</f>
        <v/>
      </c>
    </row>
    <row r="7674">
      <c r="G7674" s="16" t="str">
        <f>IFERROR(__xludf.DUMMYFUNCTION("""COMPUTED_VALUE"""),"")</f>
        <v/>
      </c>
    </row>
    <row r="7675">
      <c r="G7675" s="16" t="str">
        <f>IFERROR(__xludf.DUMMYFUNCTION("""COMPUTED_VALUE"""),"")</f>
        <v/>
      </c>
    </row>
    <row r="7676">
      <c r="G7676" s="16" t="str">
        <f>IFERROR(__xludf.DUMMYFUNCTION("""COMPUTED_VALUE"""),"")</f>
        <v/>
      </c>
    </row>
    <row r="7677">
      <c r="G7677" s="16" t="str">
        <f>IFERROR(__xludf.DUMMYFUNCTION("""COMPUTED_VALUE"""),"")</f>
        <v/>
      </c>
    </row>
    <row r="7678">
      <c r="G7678" s="16" t="str">
        <f>IFERROR(__xludf.DUMMYFUNCTION("""COMPUTED_VALUE"""),"")</f>
        <v/>
      </c>
    </row>
    <row r="7679">
      <c r="G7679" s="16" t="str">
        <f>IFERROR(__xludf.DUMMYFUNCTION("""COMPUTED_VALUE"""),"")</f>
        <v/>
      </c>
    </row>
    <row r="7680">
      <c r="G7680" s="16" t="str">
        <f>IFERROR(__xludf.DUMMYFUNCTION("""COMPUTED_VALUE"""),"")</f>
        <v/>
      </c>
    </row>
    <row r="7681">
      <c r="G7681" s="16" t="str">
        <f>IFERROR(__xludf.DUMMYFUNCTION("""COMPUTED_VALUE"""),"")</f>
        <v/>
      </c>
    </row>
    <row r="7682">
      <c r="G7682" s="16" t="str">
        <f>IFERROR(__xludf.DUMMYFUNCTION("""COMPUTED_VALUE"""),"")</f>
        <v/>
      </c>
    </row>
    <row r="7683">
      <c r="G7683" s="16" t="str">
        <f>IFERROR(__xludf.DUMMYFUNCTION("""COMPUTED_VALUE"""),"")</f>
        <v/>
      </c>
    </row>
    <row r="7684">
      <c r="G7684" s="16" t="str">
        <f>IFERROR(__xludf.DUMMYFUNCTION("""COMPUTED_VALUE"""),"")</f>
        <v/>
      </c>
    </row>
    <row r="7685">
      <c r="G7685" s="16" t="str">
        <f>IFERROR(__xludf.DUMMYFUNCTION("""COMPUTED_VALUE"""),"")</f>
        <v/>
      </c>
    </row>
    <row r="7686">
      <c r="G7686" s="16" t="str">
        <f>IFERROR(__xludf.DUMMYFUNCTION("""COMPUTED_VALUE"""),"")</f>
        <v/>
      </c>
    </row>
    <row r="7687">
      <c r="G7687" s="16" t="str">
        <f>IFERROR(__xludf.DUMMYFUNCTION("""COMPUTED_VALUE"""),"")</f>
        <v/>
      </c>
    </row>
    <row r="7688">
      <c r="G7688" s="16" t="str">
        <f>IFERROR(__xludf.DUMMYFUNCTION("""COMPUTED_VALUE"""),"")</f>
        <v/>
      </c>
    </row>
    <row r="7689">
      <c r="G7689" s="16" t="str">
        <f>IFERROR(__xludf.DUMMYFUNCTION("""COMPUTED_VALUE"""),"")</f>
        <v/>
      </c>
    </row>
    <row r="7690">
      <c r="G7690" s="16" t="str">
        <f>IFERROR(__xludf.DUMMYFUNCTION("""COMPUTED_VALUE"""),"")</f>
        <v/>
      </c>
    </row>
    <row r="7691">
      <c r="G7691" s="16" t="str">
        <f>IFERROR(__xludf.DUMMYFUNCTION("""COMPUTED_VALUE"""),"")</f>
        <v/>
      </c>
    </row>
    <row r="7692">
      <c r="G7692" s="16" t="str">
        <f>IFERROR(__xludf.DUMMYFUNCTION("""COMPUTED_VALUE"""),"")</f>
        <v/>
      </c>
    </row>
    <row r="7693">
      <c r="G7693" s="16" t="str">
        <f>IFERROR(__xludf.DUMMYFUNCTION("""COMPUTED_VALUE"""),"")</f>
        <v/>
      </c>
    </row>
    <row r="7694">
      <c r="G7694" s="16" t="str">
        <f>IFERROR(__xludf.DUMMYFUNCTION("""COMPUTED_VALUE"""),"")</f>
        <v/>
      </c>
    </row>
    <row r="7695">
      <c r="G7695" s="16" t="str">
        <f>IFERROR(__xludf.DUMMYFUNCTION("""COMPUTED_VALUE"""),"")</f>
        <v/>
      </c>
    </row>
    <row r="7696">
      <c r="G7696" s="16" t="str">
        <f>IFERROR(__xludf.DUMMYFUNCTION("""COMPUTED_VALUE"""),"")</f>
        <v/>
      </c>
    </row>
    <row r="7697">
      <c r="G7697" s="16" t="str">
        <f>IFERROR(__xludf.DUMMYFUNCTION("""COMPUTED_VALUE"""),"")</f>
        <v/>
      </c>
    </row>
    <row r="7698">
      <c r="G7698" s="16" t="str">
        <f>IFERROR(__xludf.DUMMYFUNCTION("""COMPUTED_VALUE"""),"")</f>
        <v/>
      </c>
    </row>
    <row r="7699">
      <c r="G7699" s="16" t="str">
        <f>IFERROR(__xludf.DUMMYFUNCTION("""COMPUTED_VALUE"""),"")</f>
        <v/>
      </c>
    </row>
    <row r="7700">
      <c r="G7700" s="16" t="str">
        <f>IFERROR(__xludf.DUMMYFUNCTION("""COMPUTED_VALUE"""),"")</f>
        <v/>
      </c>
    </row>
    <row r="7701">
      <c r="G7701" s="16" t="str">
        <f>IFERROR(__xludf.DUMMYFUNCTION("""COMPUTED_VALUE"""),"")</f>
        <v/>
      </c>
    </row>
    <row r="7702">
      <c r="G7702" s="16" t="str">
        <f>IFERROR(__xludf.DUMMYFUNCTION("""COMPUTED_VALUE"""),"")</f>
        <v/>
      </c>
    </row>
    <row r="7703">
      <c r="G7703" s="16" t="str">
        <f>IFERROR(__xludf.DUMMYFUNCTION("""COMPUTED_VALUE"""),"")</f>
        <v/>
      </c>
    </row>
    <row r="7704">
      <c r="G7704" s="16" t="str">
        <f>IFERROR(__xludf.DUMMYFUNCTION("""COMPUTED_VALUE"""),"")</f>
        <v/>
      </c>
    </row>
    <row r="7705">
      <c r="G7705" s="16" t="str">
        <f>IFERROR(__xludf.DUMMYFUNCTION("""COMPUTED_VALUE"""),"")</f>
        <v/>
      </c>
    </row>
    <row r="7706">
      <c r="G7706" s="16" t="str">
        <f>IFERROR(__xludf.DUMMYFUNCTION("""COMPUTED_VALUE"""),"")</f>
        <v/>
      </c>
    </row>
    <row r="7707">
      <c r="G7707" s="16" t="str">
        <f>IFERROR(__xludf.DUMMYFUNCTION("""COMPUTED_VALUE"""),"")</f>
        <v/>
      </c>
    </row>
    <row r="7708">
      <c r="G7708" s="16" t="str">
        <f>IFERROR(__xludf.DUMMYFUNCTION("""COMPUTED_VALUE"""),"")</f>
        <v/>
      </c>
    </row>
    <row r="7709">
      <c r="G7709" s="16" t="str">
        <f>IFERROR(__xludf.DUMMYFUNCTION("""COMPUTED_VALUE"""),"")</f>
        <v/>
      </c>
    </row>
    <row r="7710">
      <c r="G7710" s="16" t="str">
        <f>IFERROR(__xludf.DUMMYFUNCTION("""COMPUTED_VALUE"""),"")</f>
        <v/>
      </c>
    </row>
    <row r="7711">
      <c r="G7711" s="16" t="str">
        <f>IFERROR(__xludf.DUMMYFUNCTION("""COMPUTED_VALUE"""),"")</f>
        <v/>
      </c>
    </row>
    <row r="7712">
      <c r="G7712" s="16" t="str">
        <f>IFERROR(__xludf.DUMMYFUNCTION("""COMPUTED_VALUE"""),"")</f>
        <v/>
      </c>
    </row>
    <row r="7713">
      <c r="G7713" s="16" t="str">
        <f>IFERROR(__xludf.DUMMYFUNCTION("""COMPUTED_VALUE"""),"")</f>
        <v/>
      </c>
    </row>
    <row r="7714">
      <c r="G7714" s="16" t="str">
        <f>IFERROR(__xludf.DUMMYFUNCTION("""COMPUTED_VALUE"""),"")</f>
        <v/>
      </c>
    </row>
    <row r="7715">
      <c r="G7715" s="16" t="str">
        <f>IFERROR(__xludf.DUMMYFUNCTION("""COMPUTED_VALUE"""),"")</f>
        <v/>
      </c>
    </row>
    <row r="7716">
      <c r="G7716" s="16" t="str">
        <f>IFERROR(__xludf.DUMMYFUNCTION("""COMPUTED_VALUE"""),"")</f>
        <v/>
      </c>
    </row>
    <row r="7717">
      <c r="G7717" s="16" t="str">
        <f>IFERROR(__xludf.DUMMYFUNCTION("""COMPUTED_VALUE"""),"")</f>
        <v/>
      </c>
    </row>
    <row r="7718">
      <c r="G7718" s="16" t="str">
        <f>IFERROR(__xludf.DUMMYFUNCTION("""COMPUTED_VALUE"""),"")</f>
        <v/>
      </c>
    </row>
    <row r="7719">
      <c r="G7719" s="16" t="str">
        <f>IFERROR(__xludf.DUMMYFUNCTION("""COMPUTED_VALUE"""),"")</f>
        <v/>
      </c>
    </row>
    <row r="7720">
      <c r="G7720" s="16" t="str">
        <f>IFERROR(__xludf.DUMMYFUNCTION("""COMPUTED_VALUE"""),"")</f>
        <v/>
      </c>
    </row>
    <row r="7721">
      <c r="G7721" s="16" t="str">
        <f>IFERROR(__xludf.DUMMYFUNCTION("""COMPUTED_VALUE"""),"")</f>
        <v/>
      </c>
    </row>
    <row r="7722">
      <c r="G7722" s="16" t="str">
        <f>IFERROR(__xludf.DUMMYFUNCTION("""COMPUTED_VALUE"""),"")</f>
        <v/>
      </c>
    </row>
    <row r="7723">
      <c r="G7723" s="16" t="str">
        <f>IFERROR(__xludf.DUMMYFUNCTION("""COMPUTED_VALUE"""),"")</f>
        <v/>
      </c>
    </row>
    <row r="7724">
      <c r="G7724" s="16" t="str">
        <f>IFERROR(__xludf.DUMMYFUNCTION("""COMPUTED_VALUE"""),"")</f>
        <v/>
      </c>
    </row>
    <row r="7725">
      <c r="G7725" s="16" t="str">
        <f>IFERROR(__xludf.DUMMYFUNCTION("""COMPUTED_VALUE"""),"")</f>
        <v/>
      </c>
    </row>
    <row r="7726">
      <c r="G7726" s="16" t="str">
        <f>IFERROR(__xludf.DUMMYFUNCTION("""COMPUTED_VALUE"""),"")</f>
        <v/>
      </c>
    </row>
    <row r="7727">
      <c r="G7727" s="16" t="str">
        <f>IFERROR(__xludf.DUMMYFUNCTION("""COMPUTED_VALUE"""),"")</f>
        <v/>
      </c>
    </row>
    <row r="7728">
      <c r="G7728" s="16" t="str">
        <f>IFERROR(__xludf.DUMMYFUNCTION("""COMPUTED_VALUE"""),"")</f>
        <v/>
      </c>
    </row>
    <row r="7729">
      <c r="G7729" s="16" t="str">
        <f>IFERROR(__xludf.DUMMYFUNCTION("""COMPUTED_VALUE"""),"")</f>
        <v/>
      </c>
    </row>
    <row r="7730">
      <c r="G7730" s="16" t="str">
        <f>IFERROR(__xludf.DUMMYFUNCTION("""COMPUTED_VALUE"""),"")</f>
        <v/>
      </c>
    </row>
    <row r="7731">
      <c r="G7731" s="16" t="str">
        <f>IFERROR(__xludf.DUMMYFUNCTION("""COMPUTED_VALUE"""),"")</f>
        <v/>
      </c>
    </row>
    <row r="7732">
      <c r="G7732" s="16" t="str">
        <f>IFERROR(__xludf.DUMMYFUNCTION("""COMPUTED_VALUE"""),"")</f>
        <v/>
      </c>
    </row>
    <row r="7733">
      <c r="G7733" s="16" t="str">
        <f>IFERROR(__xludf.DUMMYFUNCTION("""COMPUTED_VALUE"""),"")</f>
        <v/>
      </c>
    </row>
    <row r="7734">
      <c r="G7734" s="16" t="str">
        <f>IFERROR(__xludf.DUMMYFUNCTION("""COMPUTED_VALUE"""),"")</f>
        <v/>
      </c>
    </row>
    <row r="7735">
      <c r="G7735" s="16" t="str">
        <f>IFERROR(__xludf.DUMMYFUNCTION("""COMPUTED_VALUE"""),"")</f>
        <v/>
      </c>
    </row>
    <row r="7736">
      <c r="G7736" s="16" t="str">
        <f>IFERROR(__xludf.DUMMYFUNCTION("""COMPUTED_VALUE"""),"")</f>
        <v/>
      </c>
    </row>
    <row r="7737">
      <c r="G7737" s="16" t="str">
        <f>IFERROR(__xludf.DUMMYFUNCTION("""COMPUTED_VALUE"""),"")</f>
        <v/>
      </c>
    </row>
    <row r="7738">
      <c r="G7738" s="16" t="str">
        <f>IFERROR(__xludf.DUMMYFUNCTION("""COMPUTED_VALUE"""),"")</f>
        <v/>
      </c>
    </row>
    <row r="7739">
      <c r="G7739" s="16" t="str">
        <f>IFERROR(__xludf.DUMMYFUNCTION("""COMPUTED_VALUE"""),"")</f>
        <v/>
      </c>
    </row>
    <row r="7740">
      <c r="G7740" s="16" t="str">
        <f>IFERROR(__xludf.DUMMYFUNCTION("""COMPUTED_VALUE"""),"")</f>
        <v/>
      </c>
    </row>
    <row r="7741">
      <c r="G7741" s="16" t="str">
        <f>IFERROR(__xludf.DUMMYFUNCTION("""COMPUTED_VALUE"""),"")</f>
        <v/>
      </c>
    </row>
    <row r="7742">
      <c r="G7742" s="16" t="str">
        <f>IFERROR(__xludf.DUMMYFUNCTION("""COMPUTED_VALUE"""),"")</f>
        <v/>
      </c>
    </row>
    <row r="7743">
      <c r="G7743" s="16" t="str">
        <f>IFERROR(__xludf.DUMMYFUNCTION("""COMPUTED_VALUE"""),"")</f>
        <v/>
      </c>
    </row>
    <row r="7744">
      <c r="G7744" s="16" t="str">
        <f>IFERROR(__xludf.DUMMYFUNCTION("""COMPUTED_VALUE"""),"")</f>
        <v/>
      </c>
    </row>
    <row r="7745">
      <c r="G7745" s="16" t="str">
        <f>IFERROR(__xludf.DUMMYFUNCTION("""COMPUTED_VALUE"""),"")</f>
        <v/>
      </c>
    </row>
    <row r="7746">
      <c r="G7746" s="16" t="str">
        <f>IFERROR(__xludf.DUMMYFUNCTION("""COMPUTED_VALUE"""),"")</f>
        <v/>
      </c>
    </row>
    <row r="7747">
      <c r="G7747" s="16" t="str">
        <f>IFERROR(__xludf.DUMMYFUNCTION("""COMPUTED_VALUE"""),"")</f>
        <v/>
      </c>
    </row>
    <row r="7748">
      <c r="G7748" s="16" t="str">
        <f>IFERROR(__xludf.DUMMYFUNCTION("""COMPUTED_VALUE"""),"")</f>
        <v/>
      </c>
    </row>
    <row r="7749">
      <c r="G7749" s="16" t="str">
        <f>IFERROR(__xludf.DUMMYFUNCTION("""COMPUTED_VALUE"""),"")</f>
        <v/>
      </c>
    </row>
    <row r="7750">
      <c r="G7750" s="16" t="str">
        <f>IFERROR(__xludf.DUMMYFUNCTION("""COMPUTED_VALUE"""),"")</f>
        <v/>
      </c>
    </row>
    <row r="7751">
      <c r="G7751" s="16" t="str">
        <f>IFERROR(__xludf.DUMMYFUNCTION("""COMPUTED_VALUE"""),"")</f>
        <v/>
      </c>
    </row>
    <row r="7752">
      <c r="G7752" s="16" t="str">
        <f>IFERROR(__xludf.DUMMYFUNCTION("""COMPUTED_VALUE"""),"")</f>
        <v/>
      </c>
    </row>
    <row r="7753">
      <c r="G7753" s="16" t="str">
        <f>IFERROR(__xludf.DUMMYFUNCTION("""COMPUTED_VALUE"""),"")</f>
        <v/>
      </c>
    </row>
    <row r="7754">
      <c r="G7754" s="16" t="str">
        <f>IFERROR(__xludf.DUMMYFUNCTION("""COMPUTED_VALUE"""),"")</f>
        <v/>
      </c>
    </row>
    <row r="7755">
      <c r="G7755" s="16" t="str">
        <f>IFERROR(__xludf.DUMMYFUNCTION("""COMPUTED_VALUE"""),"")</f>
        <v/>
      </c>
    </row>
    <row r="7756">
      <c r="G7756" s="16" t="str">
        <f>IFERROR(__xludf.DUMMYFUNCTION("""COMPUTED_VALUE"""),"")</f>
        <v/>
      </c>
    </row>
    <row r="7757">
      <c r="G7757" s="16" t="str">
        <f>IFERROR(__xludf.DUMMYFUNCTION("""COMPUTED_VALUE"""),"")</f>
        <v/>
      </c>
    </row>
    <row r="7758">
      <c r="G7758" s="16" t="str">
        <f>IFERROR(__xludf.DUMMYFUNCTION("""COMPUTED_VALUE"""),"")</f>
        <v/>
      </c>
    </row>
    <row r="7759">
      <c r="G7759" s="16" t="str">
        <f>IFERROR(__xludf.DUMMYFUNCTION("""COMPUTED_VALUE"""),"")</f>
        <v/>
      </c>
    </row>
    <row r="7760">
      <c r="G7760" s="16" t="str">
        <f>IFERROR(__xludf.DUMMYFUNCTION("""COMPUTED_VALUE"""),"")</f>
        <v/>
      </c>
    </row>
    <row r="7761">
      <c r="G7761" s="16" t="str">
        <f>IFERROR(__xludf.DUMMYFUNCTION("""COMPUTED_VALUE"""),"")</f>
        <v/>
      </c>
    </row>
    <row r="7762">
      <c r="G7762" s="16" t="str">
        <f>IFERROR(__xludf.DUMMYFUNCTION("""COMPUTED_VALUE"""),"")</f>
        <v/>
      </c>
    </row>
    <row r="7763">
      <c r="G7763" s="16" t="str">
        <f>IFERROR(__xludf.DUMMYFUNCTION("""COMPUTED_VALUE"""),"")</f>
        <v/>
      </c>
    </row>
    <row r="7764">
      <c r="G7764" s="16" t="str">
        <f>IFERROR(__xludf.DUMMYFUNCTION("""COMPUTED_VALUE"""),"")</f>
        <v/>
      </c>
    </row>
    <row r="7765">
      <c r="G7765" s="16" t="str">
        <f>IFERROR(__xludf.DUMMYFUNCTION("""COMPUTED_VALUE"""),"")</f>
        <v/>
      </c>
    </row>
    <row r="7766">
      <c r="G7766" s="16" t="str">
        <f>IFERROR(__xludf.DUMMYFUNCTION("""COMPUTED_VALUE"""),"")</f>
        <v/>
      </c>
    </row>
    <row r="7767">
      <c r="G7767" s="16" t="str">
        <f>IFERROR(__xludf.DUMMYFUNCTION("""COMPUTED_VALUE"""),"")</f>
        <v/>
      </c>
    </row>
    <row r="7768">
      <c r="G7768" s="16" t="str">
        <f>IFERROR(__xludf.DUMMYFUNCTION("""COMPUTED_VALUE"""),"")</f>
        <v/>
      </c>
    </row>
    <row r="7769">
      <c r="G7769" s="16" t="str">
        <f>IFERROR(__xludf.DUMMYFUNCTION("""COMPUTED_VALUE"""),"")</f>
        <v/>
      </c>
    </row>
    <row r="7770">
      <c r="G7770" s="16" t="str">
        <f>IFERROR(__xludf.DUMMYFUNCTION("""COMPUTED_VALUE"""),"")</f>
        <v/>
      </c>
    </row>
    <row r="7771">
      <c r="G7771" s="16" t="str">
        <f>IFERROR(__xludf.DUMMYFUNCTION("""COMPUTED_VALUE"""),"")</f>
        <v/>
      </c>
    </row>
    <row r="7772">
      <c r="G7772" s="16" t="str">
        <f>IFERROR(__xludf.DUMMYFUNCTION("""COMPUTED_VALUE"""),"")</f>
        <v/>
      </c>
    </row>
    <row r="7773">
      <c r="G7773" s="16" t="str">
        <f>IFERROR(__xludf.DUMMYFUNCTION("""COMPUTED_VALUE"""),"")</f>
        <v/>
      </c>
    </row>
    <row r="7774">
      <c r="G7774" s="16" t="str">
        <f>IFERROR(__xludf.DUMMYFUNCTION("""COMPUTED_VALUE"""),"")</f>
        <v/>
      </c>
    </row>
    <row r="7775">
      <c r="G7775" s="16" t="str">
        <f>IFERROR(__xludf.DUMMYFUNCTION("""COMPUTED_VALUE"""),"")</f>
        <v/>
      </c>
    </row>
    <row r="7776">
      <c r="G7776" s="16" t="str">
        <f>IFERROR(__xludf.DUMMYFUNCTION("""COMPUTED_VALUE"""),"")</f>
        <v/>
      </c>
    </row>
    <row r="7777">
      <c r="G7777" s="16" t="str">
        <f>IFERROR(__xludf.DUMMYFUNCTION("""COMPUTED_VALUE"""),"")</f>
        <v/>
      </c>
    </row>
    <row r="7778">
      <c r="G7778" s="16" t="str">
        <f>IFERROR(__xludf.DUMMYFUNCTION("""COMPUTED_VALUE"""),"")</f>
        <v/>
      </c>
    </row>
    <row r="7779">
      <c r="G7779" s="16" t="str">
        <f>IFERROR(__xludf.DUMMYFUNCTION("""COMPUTED_VALUE"""),"")</f>
        <v/>
      </c>
    </row>
    <row r="7780">
      <c r="G7780" s="16" t="str">
        <f>IFERROR(__xludf.DUMMYFUNCTION("""COMPUTED_VALUE"""),"")</f>
        <v/>
      </c>
    </row>
    <row r="7781">
      <c r="G7781" s="16" t="str">
        <f>IFERROR(__xludf.DUMMYFUNCTION("""COMPUTED_VALUE"""),"")</f>
        <v/>
      </c>
    </row>
    <row r="7782">
      <c r="G7782" s="16" t="str">
        <f>IFERROR(__xludf.DUMMYFUNCTION("""COMPUTED_VALUE"""),"")</f>
        <v/>
      </c>
    </row>
    <row r="7783">
      <c r="G7783" s="16" t="str">
        <f>IFERROR(__xludf.DUMMYFUNCTION("""COMPUTED_VALUE"""),"")</f>
        <v/>
      </c>
    </row>
    <row r="7784">
      <c r="G7784" s="16" t="str">
        <f>IFERROR(__xludf.DUMMYFUNCTION("""COMPUTED_VALUE"""),"")</f>
        <v/>
      </c>
    </row>
    <row r="7785">
      <c r="G7785" s="16" t="str">
        <f>IFERROR(__xludf.DUMMYFUNCTION("""COMPUTED_VALUE"""),"")</f>
        <v/>
      </c>
    </row>
    <row r="7786">
      <c r="G7786" s="16" t="str">
        <f>IFERROR(__xludf.DUMMYFUNCTION("""COMPUTED_VALUE"""),"")</f>
        <v/>
      </c>
    </row>
    <row r="7787">
      <c r="G7787" s="16" t="str">
        <f>IFERROR(__xludf.DUMMYFUNCTION("""COMPUTED_VALUE"""),"")</f>
        <v/>
      </c>
    </row>
    <row r="7788">
      <c r="G7788" s="16" t="str">
        <f>IFERROR(__xludf.DUMMYFUNCTION("""COMPUTED_VALUE"""),"")</f>
        <v/>
      </c>
    </row>
    <row r="7789">
      <c r="G7789" s="16" t="str">
        <f>IFERROR(__xludf.DUMMYFUNCTION("""COMPUTED_VALUE"""),"")</f>
        <v/>
      </c>
    </row>
    <row r="7790">
      <c r="G7790" s="16" t="str">
        <f>IFERROR(__xludf.DUMMYFUNCTION("""COMPUTED_VALUE"""),"")</f>
        <v/>
      </c>
    </row>
    <row r="7791">
      <c r="G7791" s="16" t="str">
        <f>IFERROR(__xludf.DUMMYFUNCTION("""COMPUTED_VALUE"""),"")</f>
        <v/>
      </c>
    </row>
    <row r="7792">
      <c r="G7792" s="16" t="str">
        <f>IFERROR(__xludf.DUMMYFUNCTION("""COMPUTED_VALUE"""),"")</f>
        <v/>
      </c>
    </row>
    <row r="7793">
      <c r="G7793" s="16" t="str">
        <f>IFERROR(__xludf.DUMMYFUNCTION("""COMPUTED_VALUE"""),"")</f>
        <v/>
      </c>
    </row>
    <row r="7794">
      <c r="G7794" s="16" t="str">
        <f>IFERROR(__xludf.DUMMYFUNCTION("""COMPUTED_VALUE"""),"")</f>
        <v/>
      </c>
    </row>
    <row r="7795">
      <c r="G7795" s="16" t="str">
        <f>IFERROR(__xludf.DUMMYFUNCTION("""COMPUTED_VALUE"""),"")</f>
        <v/>
      </c>
    </row>
    <row r="7796">
      <c r="G7796" s="16" t="str">
        <f>IFERROR(__xludf.DUMMYFUNCTION("""COMPUTED_VALUE"""),"")</f>
        <v/>
      </c>
    </row>
    <row r="7797">
      <c r="G7797" s="16" t="str">
        <f>IFERROR(__xludf.DUMMYFUNCTION("""COMPUTED_VALUE"""),"")</f>
        <v/>
      </c>
    </row>
    <row r="7798">
      <c r="G7798" s="16" t="str">
        <f>IFERROR(__xludf.DUMMYFUNCTION("""COMPUTED_VALUE"""),"")</f>
        <v/>
      </c>
    </row>
    <row r="7799">
      <c r="G7799" s="16" t="str">
        <f>IFERROR(__xludf.DUMMYFUNCTION("""COMPUTED_VALUE"""),"")</f>
        <v/>
      </c>
    </row>
    <row r="7800">
      <c r="G7800" s="16" t="str">
        <f>IFERROR(__xludf.DUMMYFUNCTION("""COMPUTED_VALUE"""),"")</f>
        <v/>
      </c>
    </row>
    <row r="7801">
      <c r="G7801" s="16" t="str">
        <f>IFERROR(__xludf.DUMMYFUNCTION("""COMPUTED_VALUE"""),"")</f>
        <v/>
      </c>
    </row>
    <row r="7802">
      <c r="G7802" s="16" t="str">
        <f>IFERROR(__xludf.DUMMYFUNCTION("""COMPUTED_VALUE"""),"")</f>
        <v/>
      </c>
    </row>
    <row r="7803">
      <c r="G7803" s="16" t="str">
        <f>IFERROR(__xludf.DUMMYFUNCTION("""COMPUTED_VALUE"""),"")</f>
        <v/>
      </c>
    </row>
    <row r="7804">
      <c r="G7804" s="16" t="str">
        <f>IFERROR(__xludf.DUMMYFUNCTION("""COMPUTED_VALUE"""),"")</f>
        <v/>
      </c>
    </row>
    <row r="7805">
      <c r="G7805" s="16" t="str">
        <f>IFERROR(__xludf.DUMMYFUNCTION("""COMPUTED_VALUE"""),"")</f>
        <v/>
      </c>
    </row>
    <row r="7806">
      <c r="G7806" s="16" t="str">
        <f>IFERROR(__xludf.DUMMYFUNCTION("""COMPUTED_VALUE"""),"")</f>
        <v/>
      </c>
    </row>
    <row r="7807">
      <c r="G7807" s="16" t="str">
        <f>IFERROR(__xludf.DUMMYFUNCTION("""COMPUTED_VALUE"""),"")</f>
        <v/>
      </c>
    </row>
    <row r="7808">
      <c r="G7808" s="16" t="str">
        <f>IFERROR(__xludf.DUMMYFUNCTION("""COMPUTED_VALUE"""),"")</f>
        <v/>
      </c>
    </row>
    <row r="7809">
      <c r="G7809" s="16" t="str">
        <f>IFERROR(__xludf.DUMMYFUNCTION("""COMPUTED_VALUE"""),"")</f>
        <v/>
      </c>
    </row>
    <row r="7810">
      <c r="G7810" s="16" t="str">
        <f>IFERROR(__xludf.DUMMYFUNCTION("""COMPUTED_VALUE"""),"")</f>
        <v/>
      </c>
    </row>
    <row r="7811">
      <c r="G7811" s="16" t="str">
        <f>IFERROR(__xludf.DUMMYFUNCTION("""COMPUTED_VALUE"""),"")</f>
        <v/>
      </c>
    </row>
    <row r="7812">
      <c r="G7812" s="16" t="str">
        <f>IFERROR(__xludf.DUMMYFUNCTION("""COMPUTED_VALUE"""),"")</f>
        <v/>
      </c>
    </row>
    <row r="7813">
      <c r="G7813" s="16" t="str">
        <f>IFERROR(__xludf.DUMMYFUNCTION("""COMPUTED_VALUE"""),"")</f>
        <v/>
      </c>
    </row>
    <row r="7814">
      <c r="G7814" s="16" t="str">
        <f>IFERROR(__xludf.DUMMYFUNCTION("""COMPUTED_VALUE"""),"")</f>
        <v/>
      </c>
    </row>
    <row r="7815">
      <c r="G7815" s="16" t="str">
        <f>IFERROR(__xludf.DUMMYFUNCTION("""COMPUTED_VALUE"""),"")</f>
        <v/>
      </c>
    </row>
    <row r="7816">
      <c r="G7816" s="16" t="str">
        <f>IFERROR(__xludf.DUMMYFUNCTION("""COMPUTED_VALUE"""),"")</f>
        <v/>
      </c>
    </row>
    <row r="7817">
      <c r="G7817" s="16" t="str">
        <f>IFERROR(__xludf.DUMMYFUNCTION("""COMPUTED_VALUE"""),"")</f>
        <v/>
      </c>
    </row>
    <row r="7818">
      <c r="G7818" s="16" t="str">
        <f>IFERROR(__xludf.DUMMYFUNCTION("""COMPUTED_VALUE"""),"")</f>
        <v/>
      </c>
    </row>
    <row r="7819">
      <c r="G7819" s="16" t="str">
        <f>IFERROR(__xludf.DUMMYFUNCTION("""COMPUTED_VALUE"""),"")</f>
        <v/>
      </c>
    </row>
    <row r="7820">
      <c r="G7820" s="16" t="str">
        <f>IFERROR(__xludf.DUMMYFUNCTION("""COMPUTED_VALUE"""),"")</f>
        <v/>
      </c>
    </row>
    <row r="7821">
      <c r="G7821" s="16" t="str">
        <f>IFERROR(__xludf.DUMMYFUNCTION("""COMPUTED_VALUE"""),"")</f>
        <v/>
      </c>
    </row>
    <row r="7822">
      <c r="G7822" s="16" t="str">
        <f>IFERROR(__xludf.DUMMYFUNCTION("""COMPUTED_VALUE"""),"")</f>
        <v/>
      </c>
    </row>
    <row r="7823">
      <c r="G7823" s="16" t="str">
        <f>IFERROR(__xludf.DUMMYFUNCTION("""COMPUTED_VALUE"""),"")</f>
        <v/>
      </c>
    </row>
    <row r="7824">
      <c r="G7824" s="16" t="str">
        <f>IFERROR(__xludf.DUMMYFUNCTION("""COMPUTED_VALUE"""),"")</f>
        <v/>
      </c>
    </row>
    <row r="7825">
      <c r="G7825" s="16" t="str">
        <f>IFERROR(__xludf.DUMMYFUNCTION("""COMPUTED_VALUE"""),"")</f>
        <v/>
      </c>
    </row>
    <row r="7826">
      <c r="G7826" s="16" t="str">
        <f>IFERROR(__xludf.DUMMYFUNCTION("""COMPUTED_VALUE"""),"")</f>
        <v/>
      </c>
    </row>
    <row r="7827">
      <c r="G7827" s="16" t="str">
        <f>IFERROR(__xludf.DUMMYFUNCTION("""COMPUTED_VALUE"""),"")</f>
        <v/>
      </c>
    </row>
    <row r="7828">
      <c r="G7828" s="16" t="str">
        <f>IFERROR(__xludf.DUMMYFUNCTION("""COMPUTED_VALUE"""),"")</f>
        <v/>
      </c>
    </row>
    <row r="7829">
      <c r="G7829" s="16" t="str">
        <f>IFERROR(__xludf.DUMMYFUNCTION("""COMPUTED_VALUE"""),"")</f>
        <v/>
      </c>
    </row>
    <row r="7830">
      <c r="G7830" s="16" t="str">
        <f>IFERROR(__xludf.DUMMYFUNCTION("""COMPUTED_VALUE"""),"")</f>
        <v/>
      </c>
    </row>
    <row r="7831">
      <c r="G7831" s="16" t="str">
        <f>IFERROR(__xludf.DUMMYFUNCTION("""COMPUTED_VALUE"""),"")</f>
        <v/>
      </c>
    </row>
    <row r="7832">
      <c r="G7832" s="16" t="str">
        <f>IFERROR(__xludf.DUMMYFUNCTION("""COMPUTED_VALUE"""),"")</f>
        <v/>
      </c>
    </row>
    <row r="7833">
      <c r="G7833" s="16" t="str">
        <f>IFERROR(__xludf.DUMMYFUNCTION("""COMPUTED_VALUE"""),"")</f>
        <v/>
      </c>
    </row>
    <row r="7834">
      <c r="G7834" s="16" t="str">
        <f>IFERROR(__xludf.DUMMYFUNCTION("""COMPUTED_VALUE"""),"")</f>
        <v/>
      </c>
    </row>
    <row r="7835">
      <c r="G7835" s="16" t="str">
        <f>IFERROR(__xludf.DUMMYFUNCTION("""COMPUTED_VALUE"""),"")</f>
        <v/>
      </c>
    </row>
    <row r="7836">
      <c r="G7836" s="16" t="str">
        <f>IFERROR(__xludf.DUMMYFUNCTION("""COMPUTED_VALUE"""),"")</f>
        <v/>
      </c>
    </row>
    <row r="7837">
      <c r="G7837" s="16" t="str">
        <f>IFERROR(__xludf.DUMMYFUNCTION("""COMPUTED_VALUE"""),"")</f>
        <v/>
      </c>
    </row>
    <row r="7838">
      <c r="G7838" s="16" t="str">
        <f>IFERROR(__xludf.DUMMYFUNCTION("""COMPUTED_VALUE"""),"")</f>
        <v/>
      </c>
    </row>
    <row r="7839">
      <c r="G7839" s="16" t="str">
        <f>IFERROR(__xludf.DUMMYFUNCTION("""COMPUTED_VALUE"""),"")</f>
        <v/>
      </c>
    </row>
    <row r="7840">
      <c r="G7840" s="16" t="str">
        <f>IFERROR(__xludf.DUMMYFUNCTION("""COMPUTED_VALUE"""),"")</f>
        <v/>
      </c>
    </row>
    <row r="7841">
      <c r="G7841" s="16" t="str">
        <f>IFERROR(__xludf.DUMMYFUNCTION("""COMPUTED_VALUE"""),"")</f>
        <v/>
      </c>
    </row>
    <row r="7842">
      <c r="G7842" s="16" t="str">
        <f>IFERROR(__xludf.DUMMYFUNCTION("""COMPUTED_VALUE"""),"")</f>
        <v/>
      </c>
    </row>
    <row r="7843">
      <c r="G7843" s="16" t="str">
        <f>IFERROR(__xludf.DUMMYFUNCTION("""COMPUTED_VALUE"""),"")</f>
        <v/>
      </c>
    </row>
    <row r="7844">
      <c r="G7844" s="16" t="str">
        <f>IFERROR(__xludf.DUMMYFUNCTION("""COMPUTED_VALUE"""),"")</f>
        <v/>
      </c>
    </row>
    <row r="7845">
      <c r="G7845" s="16" t="str">
        <f>IFERROR(__xludf.DUMMYFUNCTION("""COMPUTED_VALUE"""),"")</f>
        <v/>
      </c>
    </row>
    <row r="7846">
      <c r="G7846" s="16" t="str">
        <f>IFERROR(__xludf.DUMMYFUNCTION("""COMPUTED_VALUE"""),"")</f>
        <v/>
      </c>
    </row>
    <row r="7847">
      <c r="G7847" s="16" t="str">
        <f>IFERROR(__xludf.DUMMYFUNCTION("""COMPUTED_VALUE"""),"")</f>
        <v/>
      </c>
    </row>
    <row r="7848">
      <c r="G7848" s="16" t="str">
        <f>IFERROR(__xludf.DUMMYFUNCTION("""COMPUTED_VALUE"""),"")</f>
        <v/>
      </c>
    </row>
    <row r="7849">
      <c r="G7849" s="16" t="str">
        <f>IFERROR(__xludf.DUMMYFUNCTION("""COMPUTED_VALUE"""),"")</f>
        <v/>
      </c>
    </row>
    <row r="7850">
      <c r="G7850" s="16" t="str">
        <f>IFERROR(__xludf.DUMMYFUNCTION("""COMPUTED_VALUE"""),"")</f>
        <v/>
      </c>
    </row>
    <row r="7851">
      <c r="G7851" s="16" t="str">
        <f>IFERROR(__xludf.DUMMYFUNCTION("""COMPUTED_VALUE"""),"")</f>
        <v/>
      </c>
    </row>
    <row r="7852">
      <c r="G7852" s="16" t="str">
        <f>IFERROR(__xludf.DUMMYFUNCTION("""COMPUTED_VALUE"""),"")</f>
        <v/>
      </c>
    </row>
    <row r="7853">
      <c r="G7853" s="16" t="str">
        <f>IFERROR(__xludf.DUMMYFUNCTION("""COMPUTED_VALUE"""),"")</f>
        <v/>
      </c>
    </row>
    <row r="7854">
      <c r="G7854" s="16" t="str">
        <f>IFERROR(__xludf.DUMMYFUNCTION("""COMPUTED_VALUE"""),"")</f>
        <v/>
      </c>
    </row>
    <row r="7855">
      <c r="G7855" s="16" t="str">
        <f>IFERROR(__xludf.DUMMYFUNCTION("""COMPUTED_VALUE"""),"")</f>
        <v/>
      </c>
    </row>
    <row r="7856">
      <c r="G7856" s="16" t="str">
        <f>IFERROR(__xludf.DUMMYFUNCTION("""COMPUTED_VALUE"""),"")</f>
        <v/>
      </c>
    </row>
    <row r="7857">
      <c r="G7857" s="16" t="str">
        <f>IFERROR(__xludf.DUMMYFUNCTION("""COMPUTED_VALUE"""),"")</f>
        <v/>
      </c>
    </row>
    <row r="7858">
      <c r="G7858" s="16" t="str">
        <f>IFERROR(__xludf.DUMMYFUNCTION("""COMPUTED_VALUE"""),"")</f>
        <v/>
      </c>
    </row>
    <row r="7859">
      <c r="G7859" s="16" t="str">
        <f>IFERROR(__xludf.DUMMYFUNCTION("""COMPUTED_VALUE"""),"")</f>
        <v/>
      </c>
    </row>
    <row r="7860">
      <c r="G7860" s="16" t="str">
        <f>IFERROR(__xludf.DUMMYFUNCTION("""COMPUTED_VALUE"""),"")</f>
        <v/>
      </c>
    </row>
    <row r="7861">
      <c r="G7861" s="16" t="str">
        <f>IFERROR(__xludf.DUMMYFUNCTION("""COMPUTED_VALUE"""),"")</f>
        <v/>
      </c>
    </row>
    <row r="7862">
      <c r="G7862" s="16" t="str">
        <f>IFERROR(__xludf.DUMMYFUNCTION("""COMPUTED_VALUE"""),"")</f>
        <v/>
      </c>
    </row>
    <row r="7863">
      <c r="G7863" s="16" t="str">
        <f>IFERROR(__xludf.DUMMYFUNCTION("""COMPUTED_VALUE"""),"")</f>
        <v/>
      </c>
    </row>
    <row r="7864">
      <c r="G7864" s="16" t="str">
        <f>IFERROR(__xludf.DUMMYFUNCTION("""COMPUTED_VALUE"""),"")</f>
        <v/>
      </c>
    </row>
    <row r="7865">
      <c r="G7865" s="16" t="str">
        <f>IFERROR(__xludf.DUMMYFUNCTION("""COMPUTED_VALUE"""),"")</f>
        <v/>
      </c>
    </row>
    <row r="7866">
      <c r="G7866" s="16" t="str">
        <f>IFERROR(__xludf.DUMMYFUNCTION("""COMPUTED_VALUE"""),"")</f>
        <v/>
      </c>
    </row>
    <row r="7867">
      <c r="G7867" s="16" t="str">
        <f>IFERROR(__xludf.DUMMYFUNCTION("""COMPUTED_VALUE"""),"")</f>
        <v/>
      </c>
    </row>
    <row r="7868">
      <c r="G7868" s="16" t="str">
        <f>IFERROR(__xludf.DUMMYFUNCTION("""COMPUTED_VALUE"""),"")</f>
        <v/>
      </c>
    </row>
    <row r="7869">
      <c r="G7869" s="16" t="str">
        <f>IFERROR(__xludf.DUMMYFUNCTION("""COMPUTED_VALUE"""),"")</f>
        <v/>
      </c>
    </row>
    <row r="7870">
      <c r="G7870" s="16" t="str">
        <f>IFERROR(__xludf.DUMMYFUNCTION("""COMPUTED_VALUE"""),"")</f>
        <v/>
      </c>
    </row>
    <row r="7871">
      <c r="G7871" s="16" t="str">
        <f>IFERROR(__xludf.DUMMYFUNCTION("""COMPUTED_VALUE"""),"")</f>
        <v/>
      </c>
    </row>
    <row r="7872">
      <c r="G7872" s="16" t="str">
        <f>IFERROR(__xludf.DUMMYFUNCTION("""COMPUTED_VALUE"""),"")</f>
        <v/>
      </c>
    </row>
    <row r="7873">
      <c r="G7873" s="16" t="str">
        <f>IFERROR(__xludf.DUMMYFUNCTION("""COMPUTED_VALUE"""),"")</f>
        <v/>
      </c>
    </row>
    <row r="7874">
      <c r="G7874" s="16" t="str">
        <f>IFERROR(__xludf.DUMMYFUNCTION("""COMPUTED_VALUE"""),"")</f>
        <v/>
      </c>
    </row>
    <row r="7875">
      <c r="G7875" s="16" t="str">
        <f>IFERROR(__xludf.DUMMYFUNCTION("""COMPUTED_VALUE"""),"")</f>
        <v/>
      </c>
    </row>
    <row r="7876">
      <c r="G7876" s="16" t="str">
        <f>IFERROR(__xludf.DUMMYFUNCTION("""COMPUTED_VALUE"""),"")</f>
        <v/>
      </c>
    </row>
    <row r="7877">
      <c r="G7877" s="16" t="str">
        <f>IFERROR(__xludf.DUMMYFUNCTION("""COMPUTED_VALUE"""),"")</f>
        <v/>
      </c>
    </row>
    <row r="7878">
      <c r="G7878" s="16" t="str">
        <f>IFERROR(__xludf.DUMMYFUNCTION("""COMPUTED_VALUE"""),"")</f>
        <v/>
      </c>
    </row>
    <row r="7879">
      <c r="G7879" s="16" t="str">
        <f>IFERROR(__xludf.DUMMYFUNCTION("""COMPUTED_VALUE"""),"")</f>
        <v/>
      </c>
    </row>
    <row r="7880">
      <c r="G7880" s="16" t="str">
        <f>IFERROR(__xludf.DUMMYFUNCTION("""COMPUTED_VALUE"""),"")</f>
        <v/>
      </c>
    </row>
    <row r="7881">
      <c r="G7881" s="16" t="str">
        <f>IFERROR(__xludf.DUMMYFUNCTION("""COMPUTED_VALUE"""),"")</f>
        <v/>
      </c>
    </row>
    <row r="7882">
      <c r="G7882" s="16" t="str">
        <f>IFERROR(__xludf.DUMMYFUNCTION("""COMPUTED_VALUE"""),"")</f>
        <v/>
      </c>
    </row>
    <row r="7883">
      <c r="G7883" s="16" t="str">
        <f>IFERROR(__xludf.DUMMYFUNCTION("""COMPUTED_VALUE"""),"")</f>
        <v/>
      </c>
    </row>
    <row r="7884">
      <c r="G7884" s="16" t="str">
        <f>IFERROR(__xludf.DUMMYFUNCTION("""COMPUTED_VALUE"""),"")</f>
        <v/>
      </c>
    </row>
    <row r="7885">
      <c r="G7885" s="16" t="str">
        <f>IFERROR(__xludf.DUMMYFUNCTION("""COMPUTED_VALUE"""),"")</f>
        <v/>
      </c>
    </row>
    <row r="7886">
      <c r="G7886" s="16" t="str">
        <f>IFERROR(__xludf.DUMMYFUNCTION("""COMPUTED_VALUE"""),"")</f>
        <v/>
      </c>
    </row>
    <row r="7887">
      <c r="G7887" s="16" t="str">
        <f>IFERROR(__xludf.DUMMYFUNCTION("""COMPUTED_VALUE"""),"")</f>
        <v/>
      </c>
    </row>
    <row r="7888">
      <c r="G7888" s="16" t="str">
        <f>IFERROR(__xludf.DUMMYFUNCTION("""COMPUTED_VALUE"""),"")</f>
        <v/>
      </c>
    </row>
    <row r="7889">
      <c r="G7889" s="16" t="str">
        <f>IFERROR(__xludf.DUMMYFUNCTION("""COMPUTED_VALUE"""),"")</f>
        <v/>
      </c>
    </row>
    <row r="7890">
      <c r="G7890" s="16" t="str">
        <f>IFERROR(__xludf.DUMMYFUNCTION("""COMPUTED_VALUE"""),"")</f>
        <v/>
      </c>
    </row>
    <row r="7891">
      <c r="G7891" s="16" t="str">
        <f>IFERROR(__xludf.DUMMYFUNCTION("""COMPUTED_VALUE"""),"")</f>
        <v/>
      </c>
    </row>
    <row r="7892">
      <c r="G7892" s="16" t="str">
        <f>IFERROR(__xludf.DUMMYFUNCTION("""COMPUTED_VALUE"""),"")</f>
        <v/>
      </c>
    </row>
    <row r="7893">
      <c r="G7893" s="16" t="str">
        <f>IFERROR(__xludf.DUMMYFUNCTION("""COMPUTED_VALUE"""),"")</f>
        <v/>
      </c>
    </row>
    <row r="7894">
      <c r="G7894" s="16" t="str">
        <f>IFERROR(__xludf.DUMMYFUNCTION("""COMPUTED_VALUE"""),"")</f>
        <v/>
      </c>
    </row>
    <row r="7895">
      <c r="G7895" s="16" t="str">
        <f>IFERROR(__xludf.DUMMYFUNCTION("""COMPUTED_VALUE"""),"")</f>
        <v/>
      </c>
    </row>
    <row r="7896">
      <c r="G7896" s="16" t="str">
        <f>IFERROR(__xludf.DUMMYFUNCTION("""COMPUTED_VALUE"""),"")</f>
        <v/>
      </c>
    </row>
    <row r="7897">
      <c r="G7897" s="16" t="str">
        <f>IFERROR(__xludf.DUMMYFUNCTION("""COMPUTED_VALUE"""),"")</f>
        <v/>
      </c>
    </row>
    <row r="7898">
      <c r="G7898" s="16" t="str">
        <f>IFERROR(__xludf.DUMMYFUNCTION("""COMPUTED_VALUE"""),"")</f>
        <v/>
      </c>
    </row>
    <row r="7899">
      <c r="G7899" s="16" t="str">
        <f>IFERROR(__xludf.DUMMYFUNCTION("""COMPUTED_VALUE"""),"")</f>
        <v/>
      </c>
    </row>
    <row r="7900">
      <c r="G7900" s="16" t="str">
        <f>IFERROR(__xludf.DUMMYFUNCTION("""COMPUTED_VALUE"""),"")</f>
        <v/>
      </c>
    </row>
    <row r="7901">
      <c r="G7901" s="16" t="str">
        <f>IFERROR(__xludf.DUMMYFUNCTION("""COMPUTED_VALUE"""),"")</f>
        <v/>
      </c>
    </row>
    <row r="7902">
      <c r="G7902" s="16" t="str">
        <f>IFERROR(__xludf.DUMMYFUNCTION("""COMPUTED_VALUE"""),"")</f>
        <v/>
      </c>
    </row>
    <row r="7903">
      <c r="G7903" s="16" t="str">
        <f>IFERROR(__xludf.DUMMYFUNCTION("""COMPUTED_VALUE"""),"")</f>
        <v/>
      </c>
    </row>
    <row r="7904">
      <c r="G7904" s="16" t="str">
        <f>IFERROR(__xludf.DUMMYFUNCTION("""COMPUTED_VALUE"""),"")</f>
        <v/>
      </c>
    </row>
    <row r="7905">
      <c r="G7905" s="16" t="str">
        <f>IFERROR(__xludf.DUMMYFUNCTION("""COMPUTED_VALUE"""),"")</f>
        <v/>
      </c>
    </row>
    <row r="7906">
      <c r="G7906" s="16" t="str">
        <f>IFERROR(__xludf.DUMMYFUNCTION("""COMPUTED_VALUE"""),"")</f>
        <v/>
      </c>
    </row>
    <row r="7907">
      <c r="G7907" s="16" t="str">
        <f>IFERROR(__xludf.DUMMYFUNCTION("""COMPUTED_VALUE"""),"")</f>
        <v/>
      </c>
    </row>
    <row r="7908">
      <c r="G7908" s="16" t="str">
        <f>IFERROR(__xludf.DUMMYFUNCTION("""COMPUTED_VALUE"""),"")</f>
        <v/>
      </c>
    </row>
    <row r="7909">
      <c r="G7909" s="16" t="str">
        <f>IFERROR(__xludf.DUMMYFUNCTION("""COMPUTED_VALUE"""),"")</f>
        <v/>
      </c>
    </row>
    <row r="7910">
      <c r="G7910" s="16" t="str">
        <f>IFERROR(__xludf.DUMMYFUNCTION("""COMPUTED_VALUE"""),"")</f>
        <v/>
      </c>
    </row>
    <row r="7911">
      <c r="G7911" s="16" t="str">
        <f>IFERROR(__xludf.DUMMYFUNCTION("""COMPUTED_VALUE"""),"")</f>
        <v/>
      </c>
    </row>
    <row r="7912">
      <c r="G7912" s="16" t="str">
        <f>IFERROR(__xludf.DUMMYFUNCTION("""COMPUTED_VALUE"""),"")</f>
        <v/>
      </c>
    </row>
    <row r="7913">
      <c r="G7913" s="16" t="str">
        <f>IFERROR(__xludf.DUMMYFUNCTION("""COMPUTED_VALUE"""),"")</f>
        <v/>
      </c>
    </row>
    <row r="7914">
      <c r="G7914" s="16" t="str">
        <f>IFERROR(__xludf.DUMMYFUNCTION("""COMPUTED_VALUE"""),"")</f>
        <v/>
      </c>
    </row>
    <row r="7915">
      <c r="G7915" s="16" t="str">
        <f>IFERROR(__xludf.DUMMYFUNCTION("""COMPUTED_VALUE"""),"")</f>
        <v/>
      </c>
    </row>
    <row r="7916">
      <c r="G7916" s="16" t="str">
        <f>IFERROR(__xludf.DUMMYFUNCTION("""COMPUTED_VALUE"""),"")</f>
        <v/>
      </c>
    </row>
    <row r="7917">
      <c r="G7917" s="16" t="str">
        <f>IFERROR(__xludf.DUMMYFUNCTION("""COMPUTED_VALUE"""),"")</f>
        <v/>
      </c>
    </row>
    <row r="7918">
      <c r="G7918" s="16" t="str">
        <f>IFERROR(__xludf.DUMMYFUNCTION("""COMPUTED_VALUE"""),"")</f>
        <v/>
      </c>
    </row>
    <row r="7919">
      <c r="G7919" s="16" t="str">
        <f>IFERROR(__xludf.DUMMYFUNCTION("""COMPUTED_VALUE"""),"")</f>
        <v/>
      </c>
    </row>
    <row r="7920">
      <c r="G7920" s="16" t="str">
        <f>IFERROR(__xludf.DUMMYFUNCTION("""COMPUTED_VALUE"""),"")</f>
        <v/>
      </c>
    </row>
    <row r="7921">
      <c r="G7921" s="16" t="str">
        <f>IFERROR(__xludf.DUMMYFUNCTION("""COMPUTED_VALUE"""),"")</f>
        <v/>
      </c>
    </row>
    <row r="7922">
      <c r="G7922" s="16" t="str">
        <f>IFERROR(__xludf.DUMMYFUNCTION("""COMPUTED_VALUE"""),"")</f>
        <v/>
      </c>
    </row>
    <row r="7923">
      <c r="G7923" s="16" t="str">
        <f>IFERROR(__xludf.DUMMYFUNCTION("""COMPUTED_VALUE"""),"")</f>
        <v/>
      </c>
    </row>
    <row r="7924">
      <c r="G7924" s="16" t="str">
        <f>IFERROR(__xludf.DUMMYFUNCTION("""COMPUTED_VALUE"""),"")</f>
        <v/>
      </c>
    </row>
    <row r="7925">
      <c r="G7925" s="16" t="str">
        <f>IFERROR(__xludf.DUMMYFUNCTION("""COMPUTED_VALUE"""),"")</f>
        <v/>
      </c>
    </row>
    <row r="7926">
      <c r="G7926" s="16" t="str">
        <f>IFERROR(__xludf.DUMMYFUNCTION("""COMPUTED_VALUE"""),"")</f>
        <v/>
      </c>
    </row>
    <row r="7927">
      <c r="G7927" s="16" t="str">
        <f>IFERROR(__xludf.DUMMYFUNCTION("""COMPUTED_VALUE"""),"")</f>
        <v/>
      </c>
    </row>
    <row r="7928">
      <c r="G7928" s="16" t="str">
        <f>IFERROR(__xludf.DUMMYFUNCTION("""COMPUTED_VALUE"""),"")</f>
        <v/>
      </c>
    </row>
    <row r="7929">
      <c r="G7929" s="16" t="str">
        <f>IFERROR(__xludf.DUMMYFUNCTION("""COMPUTED_VALUE"""),"")</f>
        <v/>
      </c>
    </row>
    <row r="7930">
      <c r="G7930" s="16" t="str">
        <f>IFERROR(__xludf.DUMMYFUNCTION("""COMPUTED_VALUE"""),"")</f>
        <v/>
      </c>
    </row>
    <row r="7931">
      <c r="G7931" s="16" t="str">
        <f>IFERROR(__xludf.DUMMYFUNCTION("""COMPUTED_VALUE"""),"")</f>
        <v/>
      </c>
    </row>
    <row r="7932">
      <c r="G7932" s="16" t="str">
        <f>IFERROR(__xludf.DUMMYFUNCTION("""COMPUTED_VALUE"""),"")</f>
        <v/>
      </c>
    </row>
    <row r="7933">
      <c r="G7933" s="16" t="str">
        <f>IFERROR(__xludf.DUMMYFUNCTION("""COMPUTED_VALUE"""),"")</f>
        <v/>
      </c>
    </row>
    <row r="7934">
      <c r="G7934" s="16" t="str">
        <f>IFERROR(__xludf.DUMMYFUNCTION("""COMPUTED_VALUE"""),"")</f>
        <v/>
      </c>
    </row>
    <row r="7935">
      <c r="G7935" s="16" t="str">
        <f>IFERROR(__xludf.DUMMYFUNCTION("""COMPUTED_VALUE"""),"")</f>
        <v/>
      </c>
    </row>
    <row r="7936">
      <c r="G7936" s="16" t="str">
        <f>IFERROR(__xludf.DUMMYFUNCTION("""COMPUTED_VALUE"""),"")</f>
        <v/>
      </c>
    </row>
    <row r="7937">
      <c r="G7937" s="16" t="str">
        <f>IFERROR(__xludf.DUMMYFUNCTION("""COMPUTED_VALUE"""),"")</f>
        <v/>
      </c>
    </row>
    <row r="7938">
      <c r="G7938" s="16" t="str">
        <f>IFERROR(__xludf.DUMMYFUNCTION("""COMPUTED_VALUE"""),"")</f>
        <v/>
      </c>
    </row>
    <row r="7939">
      <c r="G7939" s="16" t="str">
        <f>IFERROR(__xludf.DUMMYFUNCTION("""COMPUTED_VALUE"""),"")</f>
        <v/>
      </c>
    </row>
    <row r="7940">
      <c r="G7940" s="16" t="str">
        <f>IFERROR(__xludf.DUMMYFUNCTION("""COMPUTED_VALUE"""),"")</f>
        <v/>
      </c>
    </row>
    <row r="7941">
      <c r="G7941" s="16" t="str">
        <f>IFERROR(__xludf.DUMMYFUNCTION("""COMPUTED_VALUE"""),"")</f>
        <v/>
      </c>
    </row>
    <row r="7942">
      <c r="G7942" s="16" t="str">
        <f>IFERROR(__xludf.DUMMYFUNCTION("""COMPUTED_VALUE"""),"")</f>
        <v/>
      </c>
    </row>
    <row r="7943">
      <c r="G7943" s="16" t="str">
        <f>IFERROR(__xludf.DUMMYFUNCTION("""COMPUTED_VALUE"""),"")</f>
        <v/>
      </c>
    </row>
    <row r="7944">
      <c r="G7944" s="16" t="str">
        <f>IFERROR(__xludf.DUMMYFUNCTION("""COMPUTED_VALUE"""),"")</f>
        <v/>
      </c>
    </row>
    <row r="7945">
      <c r="G7945" s="16" t="str">
        <f>IFERROR(__xludf.DUMMYFUNCTION("""COMPUTED_VALUE"""),"")</f>
        <v/>
      </c>
    </row>
    <row r="7946">
      <c r="G7946" s="16" t="str">
        <f>IFERROR(__xludf.DUMMYFUNCTION("""COMPUTED_VALUE"""),"")</f>
        <v/>
      </c>
    </row>
    <row r="7947">
      <c r="G7947" s="16" t="str">
        <f>IFERROR(__xludf.DUMMYFUNCTION("""COMPUTED_VALUE"""),"")</f>
        <v/>
      </c>
    </row>
    <row r="7948">
      <c r="G7948" s="16" t="str">
        <f>IFERROR(__xludf.DUMMYFUNCTION("""COMPUTED_VALUE"""),"")</f>
        <v/>
      </c>
    </row>
    <row r="7949">
      <c r="G7949" s="16" t="str">
        <f>IFERROR(__xludf.DUMMYFUNCTION("""COMPUTED_VALUE"""),"")</f>
        <v/>
      </c>
    </row>
    <row r="7950">
      <c r="G7950" s="16" t="str">
        <f>IFERROR(__xludf.DUMMYFUNCTION("""COMPUTED_VALUE"""),"")</f>
        <v/>
      </c>
    </row>
    <row r="7951">
      <c r="G7951" s="16" t="str">
        <f>IFERROR(__xludf.DUMMYFUNCTION("""COMPUTED_VALUE"""),"")</f>
        <v/>
      </c>
    </row>
    <row r="7952">
      <c r="G7952" s="16" t="str">
        <f>IFERROR(__xludf.DUMMYFUNCTION("""COMPUTED_VALUE"""),"")</f>
        <v/>
      </c>
    </row>
    <row r="7953">
      <c r="G7953" s="16" t="str">
        <f>IFERROR(__xludf.DUMMYFUNCTION("""COMPUTED_VALUE"""),"")</f>
        <v/>
      </c>
    </row>
    <row r="7954">
      <c r="G7954" s="16" t="str">
        <f>IFERROR(__xludf.DUMMYFUNCTION("""COMPUTED_VALUE"""),"")</f>
        <v/>
      </c>
    </row>
    <row r="7955">
      <c r="G7955" s="16" t="str">
        <f>IFERROR(__xludf.DUMMYFUNCTION("""COMPUTED_VALUE"""),"")</f>
        <v/>
      </c>
    </row>
    <row r="7956">
      <c r="G7956" s="16" t="str">
        <f>IFERROR(__xludf.DUMMYFUNCTION("""COMPUTED_VALUE"""),"")</f>
        <v/>
      </c>
    </row>
    <row r="7957">
      <c r="G7957" s="16" t="str">
        <f>IFERROR(__xludf.DUMMYFUNCTION("""COMPUTED_VALUE"""),"")</f>
        <v/>
      </c>
    </row>
    <row r="7958">
      <c r="G7958" s="16" t="str">
        <f>IFERROR(__xludf.DUMMYFUNCTION("""COMPUTED_VALUE"""),"")</f>
        <v/>
      </c>
    </row>
    <row r="7959">
      <c r="G7959" s="16" t="str">
        <f>IFERROR(__xludf.DUMMYFUNCTION("""COMPUTED_VALUE"""),"")</f>
        <v/>
      </c>
    </row>
    <row r="7960">
      <c r="G7960" s="16" t="str">
        <f>IFERROR(__xludf.DUMMYFUNCTION("""COMPUTED_VALUE"""),"")</f>
        <v/>
      </c>
    </row>
    <row r="7961">
      <c r="G7961" s="16" t="str">
        <f>IFERROR(__xludf.DUMMYFUNCTION("""COMPUTED_VALUE"""),"")</f>
        <v/>
      </c>
    </row>
    <row r="7962">
      <c r="G7962" s="16" t="str">
        <f>IFERROR(__xludf.DUMMYFUNCTION("""COMPUTED_VALUE"""),"")</f>
        <v/>
      </c>
    </row>
    <row r="7963">
      <c r="G7963" s="16" t="str">
        <f>IFERROR(__xludf.DUMMYFUNCTION("""COMPUTED_VALUE"""),"")</f>
        <v/>
      </c>
    </row>
    <row r="7964">
      <c r="G7964" s="16" t="str">
        <f>IFERROR(__xludf.DUMMYFUNCTION("""COMPUTED_VALUE"""),"")</f>
        <v/>
      </c>
    </row>
    <row r="7965">
      <c r="G7965" s="16" t="str">
        <f>IFERROR(__xludf.DUMMYFUNCTION("""COMPUTED_VALUE"""),"")</f>
        <v/>
      </c>
    </row>
    <row r="7966">
      <c r="G7966" s="16" t="str">
        <f>IFERROR(__xludf.DUMMYFUNCTION("""COMPUTED_VALUE"""),"")</f>
        <v/>
      </c>
    </row>
    <row r="7967">
      <c r="G7967" s="16" t="str">
        <f>IFERROR(__xludf.DUMMYFUNCTION("""COMPUTED_VALUE"""),"")</f>
        <v/>
      </c>
    </row>
    <row r="7968">
      <c r="G7968" s="16" t="str">
        <f>IFERROR(__xludf.DUMMYFUNCTION("""COMPUTED_VALUE"""),"")</f>
        <v/>
      </c>
    </row>
    <row r="7969">
      <c r="G7969" s="16" t="str">
        <f>IFERROR(__xludf.DUMMYFUNCTION("""COMPUTED_VALUE"""),"")</f>
        <v/>
      </c>
    </row>
    <row r="7970">
      <c r="G7970" s="16" t="str">
        <f>IFERROR(__xludf.DUMMYFUNCTION("""COMPUTED_VALUE"""),"")</f>
        <v/>
      </c>
    </row>
    <row r="7971">
      <c r="G7971" s="16" t="str">
        <f>IFERROR(__xludf.DUMMYFUNCTION("""COMPUTED_VALUE"""),"")</f>
        <v/>
      </c>
    </row>
    <row r="7972">
      <c r="G7972" s="16" t="str">
        <f>IFERROR(__xludf.DUMMYFUNCTION("""COMPUTED_VALUE"""),"")</f>
        <v/>
      </c>
    </row>
    <row r="7973">
      <c r="G7973" s="16" t="str">
        <f>IFERROR(__xludf.DUMMYFUNCTION("""COMPUTED_VALUE"""),"")</f>
        <v/>
      </c>
    </row>
    <row r="7974">
      <c r="G7974" s="16" t="str">
        <f>IFERROR(__xludf.DUMMYFUNCTION("""COMPUTED_VALUE"""),"")</f>
        <v/>
      </c>
    </row>
    <row r="7975">
      <c r="G7975" s="16" t="str">
        <f>IFERROR(__xludf.DUMMYFUNCTION("""COMPUTED_VALUE"""),"")</f>
        <v/>
      </c>
    </row>
    <row r="7976">
      <c r="G7976" s="16" t="str">
        <f>IFERROR(__xludf.DUMMYFUNCTION("""COMPUTED_VALUE"""),"")</f>
        <v/>
      </c>
    </row>
    <row r="7977">
      <c r="G7977" s="16" t="str">
        <f>IFERROR(__xludf.DUMMYFUNCTION("""COMPUTED_VALUE"""),"")</f>
        <v/>
      </c>
    </row>
    <row r="7978">
      <c r="G7978" s="16" t="str">
        <f>IFERROR(__xludf.DUMMYFUNCTION("""COMPUTED_VALUE"""),"")</f>
        <v/>
      </c>
    </row>
    <row r="7979">
      <c r="G7979" s="16" t="str">
        <f>IFERROR(__xludf.DUMMYFUNCTION("""COMPUTED_VALUE"""),"")</f>
        <v/>
      </c>
    </row>
    <row r="7980">
      <c r="G7980" s="16" t="str">
        <f>IFERROR(__xludf.DUMMYFUNCTION("""COMPUTED_VALUE"""),"")</f>
        <v/>
      </c>
    </row>
    <row r="7981">
      <c r="G7981" s="16" t="str">
        <f>IFERROR(__xludf.DUMMYFUNCTION("""COMPUTED_VALUE"""),"")</f>
        <v/>
      </c>
    </row>
    <row r="7982">
      <c r="G7982" s="16" t="str">
        <f>IFERROR(__xludf.DUMMYFUNCTION("""COMPUTED_VALUE"""),"")</f>
        <v/>
      </c>
    </row>
    <row r="7983">
      <c r="G7983" s="16" t="str">
        <f>IFERROR(__xludf.DUMMYFUNCTION("""COMPUTED_VALUE"""),"")</f>
        <v/>
      </c>
    </row>
    <row r="7984">
      <c r="G7984" s="16" t="str">
        <f>IFERROR(__xludf.DUMMYFUNCTION("""COMPUTED_VALUE"""),"")</f>
        <v/>
      </c>
    </row>
    <row r="7985">
      <c r="G7985" s="16" t="str">
        <f>IFERROR(__xludf.DUMMYFUNCTION("""COMPUTED_VALUE"""),"")</f>
        <v/>
      </c>
    </row>
    <row r="7986">
      <c r="G7986" s="16" t="str">
        <f>IFERROR(__xludf.DUMMYFUNCTION("""COMPUTED_VALUE"""),"")</f>
        <v/>
      </c>
    </row>
    <row r="7987">
      <c r="G7987" s="16" t="str">
        <f>IFERROR(__xludf.DUMMYFUNCTION("""COMPUTED_VALUE"""),"")</f>
        <v/>
      </c>
    </row>
    <row r="7988">
      <c r="G7988" s="16" t="str">
        <f>IFERROR(__xludf.DUMMYFUNCTION("""COMPUTED_VALUE"""),"")</f>
        <v/>
      </c>
    </row>
    <row r="7989">
      <c r="G7989" s="16" t="str">
        <f>IFERROR(__xludf.DUMMYFUNCTION("""COMPUTED_VALUE"""),"")</f>
        <v/>
      </c>
    </row>
    <row r="7990">
      <c r="G7990" s="16" t="str">
        <f>IFERROR(__xludf.DUMMYFUNCTION("""COMPUTED_VALUE"""),"")</f>
        <v/>
      </c>
    </row>
    <row r="7991">
      <c r="G7991" s="16" t="str">
        <f>IFERROR(__xludf.DUMMYFUNCTION("""COMPUTED_VALUE"""),"")</f>
        <v/>
      </c>
    </row>
    <row r="7992">
      <c r="G7992" s="16" t="str">
        <f>IFERROR(__xludf.DUMMYFUNCTION("""COMPUTED_VALUE"""),"")</f>
        <v/>
      </c>
    </row>
    <row r="7993">
      <c r="G7993" s="16" t="str">
        <f>IFERROR(__xludf.DUMMYFUNCTION("""COMPUTED_VALUE"""),"")</f>
        <v/>
      </c>
    </row>
    <row r="7994">
      <c r="G7994" s="16" t="str">
        <f>IFERROR(__xludf.DUMMYFUNCTION("""COMPUTED_VALUE"""),"")</f>
        <v/>
      </c>
    </row>
    <row r="7995">
      <c r="G7995" s="16" t="str">
        <f>IFERROR(__xludf.DUMMYFUNCTION("""COMPUTED_VALUE"""),"")</f>
        <v/>
      </c>
    </row>
    <row r="7996">
      <c r="G7996" s="16" t="str">
        <f>IFERROR(__xludf.DUMMYFUNCTION("""COMPUTED_VALUE"""),"")</f>
        <v/>
      </c>
    </row>
    <row r="7997">
      <c r="G7997" s="16" t="str">
        <f>IFERROR(__xludf.DUMMYFUNCTION("""COMPUTED_VALUE"""),"")</f>
        <v/>
      </c>
    </row>
    <row r="7998">
      <c r="G7998" s="16" t="str">
        <f>IFERROR(__xludf.DUMMYFUNCTION("""COMPUTED_VALUE"""),"")</f>
        <v/>
      </c>
    </row>
    <row r="7999">
      <c r="G7999" s="16" t="str">
        <f>IFERROR(__xludf.DUMMYFUNCTION("""COMPUTED_VALUE"""),"")</f>
        <v/>
      </c>
    </row>
    <row r="8000">
      <c r="G8000" s="16" t="str">
        <f>IFERROR(__xludf.DUMMYFUNCTION("""COMPUTED_VALUE"""),"")</f>
        <v/>
      </c>
    </row>
    <row r="8001">
      <c r="G8001" s="16" t="str">
        <f>IFERROR(__xludf.DUMMYFUNCTION("""COMPUTED_VALUE"""),"")</f>
        <v/>
      </c>
    </row>
    <row r="8002">
      <c r="G8002" s="16" t="str">
        <f>IFERROR(__xludf.DUMMYFUNCTION("""COMPUTED_VALUE"""),"")</f>
        <v/>
      </c>
    </row>
    <row r="8003">
      <c r="G8003" s="16" t="str">
        <f>IFERROR(__xludf.DUMMYFUNCTION("""COMPUTED_VALUE"""),"")</f>
        <v/>
      </c>
    </row>
    <row r="8004">
      <c r="G8004" s="16" t="str">
        <f>IFERROR(__xludf.DUMMYFUNCTION("""COMPUTED_VALUE"""),"")</f>
        <v/>
      </c>
    </row>
    <row r="8005">
      <c r="G8005" s="16" t="str">
        <f>IFERROR(__xludf.DUMMYFUNCTION("""COMPUTED_VALUE"""),"")</f>
        <v/>
      </c>
    </row>
    <row r="8006">
      <c r="G8006" s="16" t="str">
        <f>IFERROR(__xludf.DUMMYFUNCTION("""COMPUTED_VALUE"""),"")</f>
        <v/>
      </c>
    </row>
    <row r="8007">
      <c r="G8007" s="16" t="str">
        <f>IFERROR(__xludf.DUMMYFUNCTION("""COMPUTED_VALUE"""),"")</f>
        <v/>
      </c>
    </row>
    <row r="8008">
      <c r="G8008" s="16" t="str">
        <f>IFERROR(__xludf.DUMMYFUNCTION("""COMPUTED_VALUE"""),"")</f>
        <v/>
      </c>
    </row>
    <row r="8009">
      <c r="G8009" s="16" t="str">
        <f>IFERROR(__xludf.DUMMYFUNCTION("""COMPUTED_VALUE"""),"")</f>
        <v/>
      </c>
    </row>
    <row r="8010">
      <c r="G8010" s="16" t="str">
        <f>IFERROR(__xludf.DUMMYFUNCTION("""COMPUTED_VALUE"""),"")</f>
        <v/>
      </c>
    </row>
    <row r="8011">
      <c r="G8011" s="16" t="str">
        <f>IFERROR(__xludf.DUMMYFUNCTION("""COMPUTED_VALUE"""),"")</f>
        <v/>
      </c>
    </row>
    <row r="8012">
      <c r="G8012" s="16" t="str">
        <f>IFERROR(__xludf.DUMMYFUNCTION("""COMPUTED_VALUE"""),"")</f>
        <v/>
      </c>
    </row>
    <row r="8013">
      <c r="G8013" s="16" t="str">
        <f>IFERROR(__xludf.DUMMYFUNCTION("""COMPUTED_VALUE"""),"")</f>
        <v/>
      </c>
    </row>
    <row r="8014">
      <c r="G8014" s="16" t="str">
        <f>IFERROR(__xludf.DUMMYFUNCTION("""COMPUTED_VALUE"""),"")</f>
        <v/>
      </c>
    </row>
    <row r="8015">
      <c r="G8015" s="16" t="str">
        <f>IFERROR(__xludf.DUMMYFUNCTION("""COMPUTED_VALUE"""),"")</f>
        <v/>
      </c>
    </row>
    <row r="8016">
      <c r="G8016" s="16" t="str">
        <f>IFERROR(__xludf.DUMMYFUNCTION("""COMPUTED_VALUE"""),"")</f>
        <v/>
      </c>
    </row>
    <row r="8017">
      <c r="G8017" s="16" t="str">
        <f>IFERROR(__xludf.DUMMYFUNCTION("""COMPUTED_VALUE"""),"")</f>
        <v/>
      </c>
    </row>
    <row r="8018">
      <c r="G8018" s="16" t="str">
        <f>IFERROR(__xludf.DUMMYFUNCTION("""COMPUTED_VALUE"""),"")</f>
        <v/>
      </c>
    </row>
    <row r="8019">
      <c r="G8019" s="16" t="str">
        <f>IFERROR(__xludf.DUMMYFUNCTION("""COMPUTED_VALUE"""),"")</f>
        <v/>
      </c>
    </row>
    <row r="8020">
      <c r="G8020" s="16" t="str">
        <f>IFERROR(__xludf.DUMMYFUNCTION("""COMPUTED_VALUE"""),"")</f>
        <v/>
      </c>
    </row>
    <row r="8021">
      <c r="G8021" s="16" t="str">
        <f>IFERROR(__xludf.DUMMYFUNCTION("""COMPUTED_VALUE"""),"")</f>
        <v/>
      </c>
    </row>
    <row r="8022">
      <c r="G8022" s="16" t="str">
        <f>IFERROR(__xludf.DUMMYFUNCTION("""COMPUTED_VALUE"""),"")</f>
        <v/>
      </c>
    </row>
    <row r="8023">
      <c r="G8023" s="16" t="str">
        <f>IFERROR(__xludf.DUMMYFUNCTION("""COMPUTED_VALUE"""),"")</f>
        <v/>
      </c>
    </row>
    <row r="8024">
      <c r="G8024" s="16" t="str">
        <f>IFERROR(__xludf.DUMMYFUNCTION("""COMPUTED_VALUE"""),"")</f>
        <v/>
      </c>
    </row>
    <row r="8025">
      <c r="G8025" s="16" t="str">
        <f>IFERROR(__xludf.DUMMYFUNCTION("""COMPUTED_VALUE"""),"")</f>
        <v/>
      </c>
    </row>
    <row r="8026">
      <c r="G8026" s="16" t="str">
        <f>IFERROR(__xludf.DUMMYFUNCTION("""COMPUTED_VALUE"""),"")</f>
        <v/>
      </c>
    </row>
    <row r="8027">
      <c r="G8027" s="16" t="str">
        <f>IFERROR(__xludf.DUMMYFUNCTION("""COMPUTED_VALUE"""),"")</f>
        <v/>
      </c>
    </row>
    <row r="8028">
      <c r="G8028" s="16" t="str">
        <f>IFERROR(__xludf.DUMMYFUNCTION("""COMPUTED_VALUE"""),"")</f>
        <v/>
      </c>
    </row>
    <row r="8029">
      <c r="G8029" s="16" t="str">
        <f>IFERROR(__xludf.DUMMYFUNCTION("""COMPUTED_VALUE"""),"")</f>
        <v/>
      </c>
    </row>
    <row r="8030">
      <c r="G8030" s="16" t="str">
        <f>IFERROR(__xludf.DUMMYFUNCTION("""COMPUTED_VALUE"""),"")</f>
        <v/>
      </c>
    </row>
    <row r="8031">
      <c r="G8031" s="16" t="str">
        <f>IFERROR(__xludf.DUMMYFUNCTION("""COMPUTED_VALUE"""),"")</f>
        <v/>
      </c>
    </row>
    <row r="8032">
      <c r="G8032" s="16" t="str">
        <f>IFERROR(__xludf.DUMMYFUNCTION("""COMPUTED_VALUE"""),"")</f>
        <v/>
      </c>
    </row>
    <row r="8033">
      <c r="G8033" s="16" t="str">
        <f>IFERROR(__xludf.DUMMYFUNCTION("""COMPUTED_VALUE"""),"")</f>
        <v/>
      </c>
    </row>
    <row r="8034">
      <c r="G8034" s="16" t="str">
        <f>IFERROR(__xludf.DUMMYFUNCTION("""COMPUTED_VALUE"""),"")</f>
        <v/>
      </c>
    </row>
    <row r="8035">
      <c r="G8035" s="16" t="str">
        <f>IFERROR(__xludf.DUMMYFUNCTION("""COMPUTED_VALUE"""),"")</f>
        <v/>
      </c>
    </row>
    <row r="8036">
      <c r="G8036" s="16" t="str">
        <f>IFERROR(__xludf.DUMMYFUNCTION("""COMPUTED_VALUE"""),"")</f>
        <v/>
      </c>
    </row>
    <row r="8037">
      <c r="G8037" s="16" t="str">
        <f>IFERROR(__xludf.DUMMYFUNCTION("""COMPUTED_VALUE"""),"")</f>
        <v/>
      </c>
    </row>
    <row r="8038">
      <c r="G8038" s="16" t="str">
        <f>IFERROR(__xludf.DUMMYFUNCTION("""COMPUTED_VALUE"""),"")</f>
        <v/>
      </c>
    </row>
    <row r="8039">
      <c r="G8039" s="16" t="str">
        <f>IFERROR(__xludf.DUMMYFUNCTION("""COMPUTED_VALUE"""),"")</f>
        <v/>
      </c>
    </row>
    <row r="8040">
      <c r="G8040" s="16" t="str">
        <f>IFERROR(__xludf.DUMMYFUNCTION("""COMPUTED_VALUE"""),"")</f>
        <v/>
      </c>
    </row>
    <row r="8041">
      <c r="G8041" s="16" t="str">
        <f>IFERROR(__xludf.DUMMYFUNCTION("""COMPUTED_VALUE"""),"")</f>
        <v/>
      </c>
    </row>
    <row r="8042">
      <c r="G8042" s="16" t="str">
        <f>IFERROR(__xludf.DUMMYFUNCTION("""COMPUTED_VALUE"""),"")</f>
        <v/>
      </c>
    </row>
    <row r="8043">
      <c r="G8043" s="16" t="str">
        <f>IFERROR(__xludf.DUMMYFUNCTION("""COMPUTED_VALUE"""),"")</f>
        <v/>
      </c>
    </row>
    <row r="8044">
      <c r="G8044" s="16" t="str">
        <f>IFERROR(__xludf.DUMMYFUNCTION("""COMPUTED_VALUE"""),"")</f>
        <v/>
      </c>
    </row>
    <row r="8045">
      <c r="G8045" s="16" t="str">
        <f>IFERROR(__xludf.DUMMYFUNCTION("""COMPUTED_VALUE"""),"")</f>
        <v/>
      </c>
    </row>
    <row r="8046">
      <c r="G8046" s="16" t="str">
        <f>IFERROR(__xludf.DUMMYFUNCTION("""COMPUTED_VALUE"""),"")</f>
        <v/>
      </c>
    </row>
    <row r="8047">
      <c r="G8047" s="16" t="str">
        <f>IFERROR(__xludf.DUMMYFUNCTION("""COMPUTED_VALUE"""),"")</f>
        <v/>
      </c>
    </row>
    <row r="8048">
      <c r="G8048" s="16" t="str">
        <f>IFERROR(__xludf.DUMMYFUNCTION("""COMPUTED_VALUE"""),"")</f>
        <v/>
      </c>
    </row>
    <row r="8049">
      <c r="G8049" s="16" t="str">
        <f>IFERROR(__xludf.DUMMYFUNCTION("""COMPUTED_VALUE"""),"")</f>
        <v/>
      </c>
    </row>
    <row r="8050">
      <c r="G8050" s="16" t="str">
        <f>IFERROR(__xludf.DUMMYFUNCTION("""COMPUTED_VALUE"""),"")</f>
        <v/>
      </c>
    </row>
    <row r="8051">
      <c r="G8051" s="16" t="str">
        <f>IFERROR(__xludf.DUMMYFUNCTION("""COMPUTED_VALUE"""),"")</f>
        <v/>
      </c>
    </row>
    <row r="8052">
      <c r="G8052" s="16" t="str">
        <f>IFERROR(__xludf.DUMMYFUNCTION("""COMPUTED_VALUE"""),"")</f>
        <v/>
      </c>
    </row>
    <row r="8053">
      <c r="G8053" s="16" t="str">
        <f>IFERROR(__xludf.DUMMYFUNCTION("""COMPUTED_VALUE"""),"")</f>
        <v/>
      </c>
    </row>
    <row r="8054">
      <c r="G8054" s="16" t="str">
        <f>IFERROR(__xludf.DUMMYFUNCTION("""COMPUTED_VALUE"""),"")</f>
        <v/>
      </c>
    </row>
    <row r="8055">
      <c r="G8055" s="16" t="str">
        <f>IFERROR(__xludf.DUMMYFUNCTION("""COMPUTED_VALUE"""),"")</f>
        <v/>
      </c>
    </row>
    <row r="8056">
      <c r="G8056" s="16" t="str">
        <f>IFERROR(__xludf.DUMMYFUNCTION("""COMPUTED_VALUE"""),"")</f>
        <v/>
      </c>
    </row>
    <row r="8057">
      <c r="G8057" s="16" t="str">
        <f>IFERROR(__xludf.DUMMYFUNCTION("""COMPUTED_VALUE"""),"")</f>
        <v/>
      </c>
    </row>
    <row r="8058">
      <c r="G8058" s="16" t="str">
        <f>IFERROR(__xludf.DUMMYFUNCTION("""COMPUTED_VALUE"""),"")</f>
        <v/>
      </c>
    </row>
    <row r="8059">
      <c r="G8059" s="16" t="str">
        <f>IFERROR(__xludf.DUMMYFUNCTION("""COMPUTED_VALUE"""),"")</f>
        <v/>
      </c>
    </row>
    <row r="8060">
      <c r="G8060" s="16" t="str">
        <f>IFERROR(__xludf.DUMMYFUNCTION("""COMPUTED_VALUE"""),"")</f>
        <v/>
      </c>
    </row>
    <row r="8061">
      <c r="G8061" s="16" t="str">
        <f>IFERROR(__xludf.DUMMYFUNCTION("""COMPUTED_VALUE"""),"")</f>
        <v/>
      </c>
    </row>
    <row r="8062">
      <c r="G8062" s="16" t="str">
        <f>IFERROR(__xludf.DUMMYFUNCTION("""COMPUTED_VALUE"""),"")</f>
        <v/>
      </c>
    </row>
    <row r="8063">
      <c r="G8063" s="16" t="str">
        <f>IFERROR(__xludf.DUMMYFUNCTION("""COMPUTED_VALUE"""),"")</f>
        <v/>
      </c>
    </row>
    <row r="8064">
      <c r="G8064" s="16" t="str">
        <f>IFERROR(__xludf.DUMMYFUNCTION("""COMPUTED_VALUE"""),"")</f>
        <v/>
      </c>
    </row>
    <row r="8065">
      <c r="G8065" s="16" t="str">
        <f>IFERROR(__xludf.DUMMYFUNCTION("""COMPUTED_VALUE"""),"")</f>
        <v/>
      </c>
    </row>
    <row r="8066">
      <c r="G8066" s="16" t="str">
        <f>IFERROR(__xludf.DUMMYFUNCTION("""COMPUTED_VALUE"""),"")</f>
        <v/>
      </c>
    </row>
    <row r="8067">
      <c r="G8067" s="16" t="str">
        <f>IFERROR(__xludf.DUMMYFUNCTION("""COMPUTED_VALUE"""),"")</f>
        <v/>
      </c>
    </row>
    <row r="8068">
      <c r="G8068" s="16" t="str">
        <f>IFERROR(__xludf.DUMMYFUNCTION("""COMPUTED_VALUE"""),"")</f>
        <v/>
      </c>
    </row>
    <row r="8069">
      <c r="G8069" s="16" t="str">
        <f>IFERROR(__xludf.DUMMYFUNCTION("""COMPUTED_VALUE"""),"")</f>
        <v/>
      </c>
    </row>
    <row r="8070">
      <c r="G8070" s="16" t="str">
        <f>IFERROR(__xludf.DUMMYFUNCTION("""COMPUTED_VALUE"""),"")</f>
        <v/>
      </c>
    </row>
    <row r="8071">
      <c r="G8071" s="16" t="str">
        <f>IFERROR(__xludf.DUMMYFUNCTION("""COMPUTED_VALUE"""),"")</f>
        <v/>
      </c>
    </row>
    <row r="8072">
      <c r="G8072" s="16" t="str">
        <f>IFERROR(__xludf.DUMMYFUNCTION("""COMPUTED_VALUE"""),"")</f>
        <v/>
      </c>
    </row>
    <row r="8073">
      <c r="G8073" s="16" t="str">
        <f>IFERROR(__xludf.DUMMYFUNCTION("""COMPUTED_VALUE"""),"")</f>
        <v/>
      </c>
    </row>
    <row r="8074">
      <c r="G8074" s="16" t="str">
        <f>IFERROR(__xludf.DUMMYFUNCTION("""COMPUTED_VALUE"""),"")</f>
        <v/>
      </c>
    </row>
    <row r="8075">
      <c r="G8075" s="16" t="str">
        <f>IFERROR(__xludf.DUMMYFUNCTION("""COMPUTED_VALUE"""),"")</f>
        <v/>
      </c>
    </row>
    <row r="8076">
      <c r="G8076" s="16" t="str">
        <f>IFERROR(__xludf.DUMMYFUNCTION("""COMPUTED_VALUE"""),"")</f>
        <v/>
      </c>
    </row>
    <row r="8077">
      <c r="G8077" s="16" t="str">
        <f>IFERROR(__xludf.DUMMYFUNCTION("""COMPUTED_VALUE"""),"")</f>
        <v/>
      </c>
    </row>
    <row r="8078">
      <c r="G8078" s="16" t="str">
        <f>IFERROR(__xludf.DUMMYFUNCTION("""COMPUTED_VALUE"""),"")</f>
        <v/>
      </c>
    </row>
    <row r="8079">
      <c r="G8079" s="16" t="str">
        <f>IFERROR(__xludf.DUMMYFUNCTION("""COMPUTED_VALUE"""),"")</f>
        <v/>
      </c>
    </row>
    <row r="8080">
      <c r="G8080" s="16" t="str">
        <f>IFERROR(__xludf.DUMMYFUNCTION("""COMPUTED_VALUE"""),"")</f>
        <v/>
      </c>
    </row>
    <row r="8081">
      <c r="G8081" s="16" t="str">
        <f>IFERROR(__xludf.DUMMYFUNCTION("""COMPUTED_VALUE"""),"")</f>
        <v/>
      </c>
    </row>
    <row r="8082">
      <c r="G8082" s="16" t="str">
        <f>IFERROR(__xludf.DUMMYFUNCTION("""COMPUTED_VALUE"""),"")</f>
        <v/>
      </c>
    </row>
    <row r="8083">
      <c r="G8083" s="16" t="str">
        <f>IFERROR(__xludf.DUMMYFUNCTION("""COMPUTED_VALUE"""),"")</f>
        <v/>
      </c>
    </row>
    <row r="8084">
      <c r="G8084" s="16" t="str">
        <f>IFERROR(__xludf.DUMMYFUNCTION("""COMPUTED_VALUE"""),"")</f>
        <v/>
      </c>
    </row>
    <row r="8085">
      <c r="G8085" s="16" t="str">
        <f>IFERROR(__xludf.DUMMYFUNCTION("""COMPUTED_VALUE"""),"")</f>
        <v/>
      </c>
    </row>
    <row r="8086">
      <c r="G8086" s="16" t="str">
        <f>IFERROR(__xludf.DUMMYFUNCTION("""COMPUTED_VALUE"""),"")</f>
        <v/>
      </c>
    </row>
    <row r="8087">
      <c r="G8087" s="16" t="str">
        <f>IFERROR(__xludf.DUMMYFUNCTION("""COMPUTED_VALUE"""),"")</f>
        <v/>
      </c>
    </row>
    <row r="8088">
      <c r="G8088" s="16" t="str">
        <f>IFERROR(__xludf.DUMMYFUNCTION("""COMPUTED_VALUE"""),"")</f>
        <v/>
      </c>
    </row>
    <row r="8089">
      <c r="G8089" s="16" t="str">
        <f>IFERROR(__xludf.DUMMYFUNCTION("""COMPUTED_VALUE"""),"")</f>
        <v/>
      </c>
    </row>
    <row r="8090">
      <c r="G8090" s="16" t="str">
        <f>IFERROR(__xludf.DUMMYFUNCTION("""COMPUTED_VALUE"""),"")</f>
        <v/>
      </c>
    </row>
    <row r="8091">
      <c r="G8091" s="16" t="str">
        <f>IFERROR(__xludf.DUMMYFUNCTION("""COMPUTED_VALUE"""),"")</f>
        <v/>
      </c>
    </row>
    <row r="8092">
      <c r="G8092" s="16" t="str">
        <f>IFERROR(__xludf.DUMMYFUNCTION("""COMPUTED_VALUE"""),"")</f>
        <v/>
      </c>
    </row>
    <row r="8093">
      <c r="G8093" s="16" t="str">
        <f>IFERROR(__xludf.DUMMYFUNCTION("""COMPUTED_VALUE"""),"")</f>
        <v/>
      </c>
    </row>
    <row r="8094">
      <c r="G8094" s="16" t="str">
        <f>IFERROR(__xludf.DUMMYFUNCTION("""COMPUTED_VALUE"""),"")</f>
        <v/>
      </c>
    </row>
    <row r="8095">
      <c r="G8095" s="16" t="str">
        <f>IFERROR(__xludf.DUMMYFUNCTION("""COMPUTED_VALUE"""),"")</f>
        <v/>
      </c>
    </row>
    <row r="8096">
      <c r="G8096" s="16" t="str">
        <f>IFERROR(__xludf.DUMMYFUNCTION("""COMPUTED_VALUE"""),"")</f>
        <v/>
      </c>
    </row>
    <row r="8097">
      <c r="G8097" s="16" t="str">
        <f>IFERROR(__xludf.DUMMYFUNCTION("""COMPUTED_VALUE"""),"")</f>
        <v/>
      </c>
    </row>
    <row r="8098">
      <c r="G8098" s="16" t="str">
        <f>IFERROR(__xludf.DUMMYFUNCTION("""COMPUTED_VALUE"""),"")</f>
        <v/>
      </c>
    </row>
    <row r="8099">
      <c r="G8099" s="16" t="str">
        <f>IFERROR(__xludf.DUMMYFUNCTION("""COMPUTED_VALUE"""),"")</f>
        <v/>
      </c>
    </row>
    <row r="8100">
      <c r="G8100" s="16" t="str">
        <f>IFERROR(__xludf.DUMMYFUNCTION("""COMPUTED_VALUE"""),"")</f>
        <v/>
      </c>
    </row>
    <row r="8101">
      <c r="G8101" s="16" t="str">
        <f>IFERROR(__xludf.DUMMYFUNCTION("""COMPUTED_VALUE"""),"")</f>
        <v/>
      </c>
    </row>
    <row r="8102">
      <c r="G8102" s="16" t="str">
        <f>IFERROR(__xludf.DUMMYFUNCTION("""COMPUTED_VALUE"""),"")</f>
        <v/>
      </c>
    </row>
    <row r="8103">
      <c r="G8103" s="16" t="str">
        <f>IFERROR(__xludf.DUMMYFUNCTION("""COMPUTED_VALUE"""),"")</f>
        <v/>
      </c>
    </row>
    <row r="8104">
      <c r="G8104" s="16" t="str">
        <f>IFERROR(__xludf.DUMMYFUNCTION("""COMPUTED_VALUE"""),"")</f>
        <v/>
      </c>
    </row>
    <row r="8105">
      <c r="G8105" s="16" t="str">
        <f>IFERROR(__xludf.DUMMYFUNCTION("""COMPUTED_VALUE"""),"")</f>
        <v/>
      </c>
    </row>
    <row r="8106">
      <c r="G8106" s="16" t="str">
        <f>IFERROR(__xludf.DUMMYFUNCTION("""COMPUTED_VALUE"""),"")</f>
        <v/>
      </c>
    </row>
    <row r="8107">
      <c r="G8107" s="16" t="str">
        <f>IFERROR(__xludf.DUMMYFUNCTION("""COMPUTED_VALUE"""),"")</f>
        <v/>
      </c>
    </row>
    <row r="8108">
      <c r="G8108" s="16" t="str">
        <f>IFERROR(__xludf.DUMMYFUNCTION("""COMPUTED_VALUE"""),"")</f>
        <v/>
      </c>
    </row>
    <row r="8109">
      <c r="G8109" s="16" t="str">
        <f>IFERROR(__xludf.DUMMYFUNCTION("""COMPUTED_VALUE"""),"")</f>
        <v/>
      </c>
    </row>
    <row r="8110">
      <c r="G8110" s="16" t="str">
        <f>IFERROR(__xludf.DUMMYFUNCTION("""COMPUTED_VALUE"""),"")</f>
        <v/>
      </c>
    </row>
    <row r="8111">
      <c r="G8111" s="16" t="str">
        <f>IFERROR(__xludf.DUMMYFUNCTION("""COMPUTED_VALUE"""),"")</f>
        <v/>
      </c>
    </row>
    <row r="8112">
      <c r="G8112" s="16" t="str">
        <f>IFERROR(__xludf.DUMMYFUNCTION("""COMPUTED_VALUE"""),"")</f>
        <v/>
      </c>
    </row>
    <row r="8113">
      <c r="G8113" s="16" t="str">
        <f>IFERROR(__xludf.DUMMYFUNCTION("""COMPUTED_VALUE"""),"")</f>
        <v/>
      </c>
    </row>
    <row r="8114">
      <c r="G8114" s="16" t="str">
        <f>IFERROR(__xludf.DUMMYFUNCTION("""COMPUTED_VALUE"""),"")</f>
        <v/>
      </c>
    </row>
    <row r="8115">
      <c r="G8115" s="16" t="str">
        <f>IFERROR(__xludf.DUMMYFUNCTION("""COMPUTED_VALUE"""),"")</f>
        <v/>
      </c>
    </row>
    <row r="8116">
      <c r="G8116" s="16" t="str">
        <f>IFERROR(__xludf.DUMMYFUNCTION("""COMPUTED_VALUE"""),"")</f>
        <v/>
      </c>
    </row>
    <row r="8117">
      <c r="G8117" s="16" t="str">
        <f>IFERROR(__xludf.DUMMYFUNCTION("""COMPUTED_VALUE"""),"")</f>
        <v/>
      </c>
    </row>
    <row r="8118">
      <c r="G8118" s="16" t="str">
        <f>IFERROR(__xludf.DUMMYFUNCTION("""COMPUTED_VALUE"""),"")</f>
        <v/>
      </c>
    </row>
    <row r="8119">
      <c r="G8119" s="16" t="str">
        <f>IFERROR(__xludf.DUMMYFUNCTION("""COMPUTED_VALUE"""),"")</f>
        <v/>
      </c>
    </row>
    <row r="8120">
      <c r="G8120" s="16" t="str">
        <f>IFERROR(__xludf.DUMMYFUNCTION("""COMPUTED_VALUE"""),"")</f>
        <v/>
      </c>
    </row>
    <row r="8121">
      <c r="G8121" s="16" t="str">
        <f>IFERROR(__xludf.DUMMYFUNCTION("""COMPUTED_VALUE"""),"")</f>
        <v/>
      </c>
    </row>
    <row r="8122">
      <c r="G8122" s="16" t="str">
        <f>IFERROR(__xludf.DUMMYFUNCTION("""COMPUTED_VALUE"""),"")</f>
        <v/>
      </c>
    </row>
    <row r="8123">
      <c r="G8123" s="16" t="str">
        <f>IFERROR(__xludf.DUMMYFUNCTION("""COMPUTED_VALUE"""),"")</f>
        <v/>
      </c>
    </row>
    <row r="8124">
      <c r="G8124" s="16" t="str">
        <f>IFERROR(__xludf.DUMMYFUNCTION("""COMPUTED_VALUE"""),"")</f>
        <v/>
      </c>
    </row>
    <row r="8125">
      <c r="G8125" s="16" t="str">
        <f>IFERROR(__xludf.DUMMYFUNCTION("""COMPUTED_VALUE"""),"")</f>
        <v/>
      </c>
    </row>
    <row r="8126">
      <c r="G8126" s="16" t="str">
        <f>IFERROR(__xludf.DUMMYFUNCTION("""COMPUTED_VALUE"""),"")</f>
        <v/>
      </c>
    </row>
    <row r="8127">
      <c r="G8127" s="16" t="str">
        <f>IFERROR(__xludf.DUMMYFUNCTION("""COMPUTED_VALUE"""),"")</f>
        <v/>
      </c>
    </row>
    <row r="8128">
      <c r="G8128" s="16" t="str">
        <f>IFERROR(__xludf.DUMMYFUNCTION("""COMPUTED_VALUE"""),"")</f>
        <v/>
      </c>
    </row>
    <row r="8129">
      <c r="G8129" s="16" t="str">
        <f>IFERROR(__xludf.DUMMYFUNCTION("""COMPUTED_VALUE"""),"")</f>
        <v/>
      </c>
    </row>
    <row r="8130">
      <c r="G8130" s="16" t="str">
        <f>IFERROR(__xludf.DUMMYFUNCTION("""COMPUTED_VALUE"""),"")</f>
        <v/>
      </c>
    </row>
    <row r="8131">
      <c r="G8131" s="16" t="str">
        <f>IFERROR(__xludf.DUMMYFUNCTION("""COMPUTED_VALUE"""),"")</f>
        <v/>
      </c>
    </row>
    <row r="8132">
      <c r="G8132" s="16" t="str">
        <f>IFERROR(__xludf.DUMMYFUNCTION("""COMPUTED_VALUE"""),"")</f>
        <v/>
      </c>
    </row>
    <row r="8133">
      <c r="G8133" s="16" t="str">
        <f>IFERROR(__xludf.DUMMYFUNCTION("""COMPUTED_VALUE"""),"")</f>
        <v/>
      </c>
    </row>
    <row r="8134">
      <c r="G8134" s="16" t="str">
        <f>IFERROR(__xludf.DUMMYFUNCTION("""COMPUTED_VALUE"""),"")</f>
        <v/>
      </c>
    </row>
    <row r="8135">
      <c r="G8135" s="16" t="str">
        <f>IFERROR(__xludf.DUMMYFUNCTION("""COMPUTED_VALUE"""),"")</f>
        <v/>
      </c>
    </row>
    <row r="8136">
      <c r="G8136" s="16" t="str">
        <f>IFERROR(__xludf.DUMMYFUNCTION("""COMPUTED_VALUE"""),"")</f>
        <v/>
      </c>
    </row>
    <row r="8137">
      <c r="G8137" s="16" t="str">
        <f>IFERROR(__xludf.DUMMYFUNCTION("""COMPUTED_VALUE"""),"")</f>
        <v/>
      </c>
    </row>
    <row r="8138">
      <c r="G8138" s="16" t="str">
        <f>IFERROR(__xludf.DUMMYFUNCTION("""COMPUTED_VALUE"""),"")</f>
        <v/>
      </c>
    </row>
    <row r="8139">
      <c r="G8139" s="16" t="str">
        <f>IFERROR(__xludf.DUMMYFUNCTION("""COMPUTED_VALUE"""),"")</f>
        <v/>
      </c>
    </row>
    <row r="8140">
      <c r="G8140" s="16" t="str">
        <f>IFERROR(__xludf.DUMMYFUNCTION("""COMPUTED_VALUE"""),"")</f>
        <v/>
      </c>
    </row>
    <row r="8141">
      <c r="G8141" s="16" t="str">
        <f>IFERROR(__xludf.DUMMYFUNCTION("""COMPUTED_VALUE"""),"")</f>
        <v/>
      </c>
    </row>
    <row r="8142">
      <c r="G8142" s="16" t="str">
        <f>IFERROR(__xludf.DUMMYFUNCTION("""COMPUTED_VALUE"""),"")</f>
        <v/>
      </c>
    </row>
    <row r="8143">
      <c r="G8143" s="16" t="str">
        <f>IFERROR(__xludf.DUMMYFUNCTION("""COMPUTED_VALUE"""),"")</f>
        <v/>
      </c>
    </row>
    <row r="8144">
      <c r="G8144" s="16" t="str">
        <f>IFERROR(__xludf.DUMMYFUNCTION("""COMPUTED_VALUE"""),"")</f>
        <v/>
      </c>
    </row>
    <row r="8145">
      <c r="G8145" s="16" t="str">
        <f>IFERROR(__xludf.DUMMYFUNCTION("""COMPUTED_VALUE"""),"")</f>
        <v/>
      </c>
    </row>
    <row r="8146">
      <c r="G8146" s="16" t="str">
        <f>IFERROR(__xludf.DUMMYFUNCTION("""COMPUTED_VALUE"""),"")</f>
        <v/>
      </c>
    </row>
    <row r="8147">
      <c r="G8147" s="16" t="str">
        <f>IFERROR(__xludf.DUMMYFUNCTION("""COMPUTED_VALUE"""),"")</f>
        <v/>
      </c>
    </row>
    <row r="8148">
      <c r="G8148" s="16" t="str">
        <f>IFERROR(__xludf.DUMMYFUNCTION("""COMPUTED_VALUE"""),"")</f>
        <v/>
      </c>
    </row>
    <row r="8149">
      <c r="G8149" s="16" t="str">
        <f>IFERROR(__xludf.DUMMYFUNCTION("""COMPUTED_VALUE"""),"")</f>
        <v/>
      </c>
    </row>
    <row r="8150">
      <c r="G8150" s="16" t="str">
        <f>IFERROR(__xludf.DUMMYFUNCTION("""COMPUTED_VALUE"""),"")</f>
        <v/>
      </c>
    </row>
    <row r="8151">
      <c r="G8151" s="16" t="str">
        <f>IFERROR(__xludf.DUMMYFUNCTION("""COMPUTED_VALUE"""),"")</f>
        <v/>
      </c>
    </row>
    <row r="8152">
      <c r="G8152" s="16" t="str">
        <f>IFERROR(__xludf.DUMMYFUNCTION("""COMPUTED_VALUE"""),"")</f>
        <v/>
      </c>
    </row>
    <row r="8153">
      <c r="G8153" s="16" t="str">
        <f>IFERROR(__xludf.DUMMYFUNCTION("""COMPUTED_VALUE"""),"")</f>
        <v/>
      </c>
    </row>
    <row r="8154">
      <c r="G8154" s="16" t="str">
        <f>IFERROR(__xludf.DUMMYFUNCTION("""COMPUTED_VALUE"""),"")</f>
        <v/>
      </c>
    </row>
    <row r="8155">
      <c r="G8155" s="16" t="str">
        <f>IFERROR(__xludf.DUMMYFUNCTION("""COMPUTED_VALUE"""),"")</f>
        <v/>
      </c>
    </row>
    <row r="8156">
      <c r="G8156" s="16" t="str">
        <f>IFERROR(__xludf.DUMMYFUNCTION("""COMPUTED_VALUE"""),"")</f>
        <v/>
      </c>
    </row>
    <row r="8157">
      <c r="G8157" s="16" t="str">
        <f>IFERROR(__xludf.DUMMYFUNCTION("""COMPUTED_VALUE"""),"")</f>
        <v/>
      </c>
    </row>
    <row r="8158">
      <c r="G8158" s="16" t="str">
        <f>IFERROR(__xludf.DUMMYFUNCTION("""COMPUTED_VALUE"""),"")</f>
        <v/>
      </c>
    </row>
    <row r="8159">
      <c r="G8159" s="16" t="str">
        <f>IFERROR(__xludf.DUMMYFUNCTION("""COMPUTED_VALUE"""),"")</f>
        <v/>
      </c>
    </row>
    <row r="8160">
      <c r="G8160" s="16" t="str">
        <f>IFERROR(__xludf.DUMMYFUNCTION("""COMPUTED_VALUE"""),"")</f>
        <v/>
      </c>
    </row>
    <row r="8161">
      <c r="G8161" s="16" t="str">
        <f>IFERROR(__xludf.DUMMYFUNCTION("""COMPUTED_VALUE"""),"")</f>
        <v/>
      </c>
    </row>
    <row r="8162">
      <c r="G8162" s="16" t="str">
        <f>IFERROR(__xludf.DUMMYFUNCTION("""COMPUTED_VALUE"""),"")</f>
        <v/>
      </c>
    </row>
    <row r="8163">
      <c r="G8163" s="16" t="str">
        <f>IFERROR(__xludf.DUMMYFUNCTION("""COMPUTED_VALUE"""),"")</f>
        <v/>
      </c>
    </row>
    <row r="8164">
      <c r="G8164" s="16" t="str">
        <f>IFERROR(__xludf.DUMMYFUNCTION("""COMPUTED_VALUE"""),"")</f>
        <v/>
      </c>
    </row>
    <row r="8165">
      <c r="G8165" s="16" t="str">
        <f>IFERROR(__xludf.DUMMYFUNCTION("""COMPUTED_VALUE"""),"")</f>
        <v/>
      </c>
    </row>
    <row r="8166">
      <c r="G8166" s="16" t="str">
        <f>IFERROR(__xludf.DUMMYFUNCTION("""COMPUTED_VALUE"""),"")</f>
        <v/>
      </c>
    </row>
    <row r="8167">
      <c r="G8167" s="16" t="str">
        <f>IFERROR(__xludf.DUMMYFUNCTION("""COMPUTED_VALUE"""),"")</f>
        <v/>
      </c>
    </row>
    <row r="8168">
      <c r="G8168" s="16" t="str">
        <f>IFERROR(__xludf.DUMMYFUNCTION("""COMPUTED_VALUE"""),"")</f>
        <v/>
      </c>
    </row>
    <row r="8169">
      <c r="G8169" s="16" t="str">
        <f>IFERROR(__xludf.DUMMYFUNCTION("""COMPUTED_VALUE"""),"")</f>
        <v/>
      </c>
    </row>
    <row r="8170">
      <c r="G8170" s="16" t="str">
        <f>IFERROR(__xludf.DUMMYFUNCTION("""COMPUTED_VALUE"""),"")</f>
        <v/>
      </c>
    </row>
    <row r="8171">
      <c r="G8171" s="16" t="str">
        <f>IFERROR(__xludf.DUMMYFUNCTION("""COMPUTED_VALUE"""),"")</f>
        <v/>
      </c>
    </row>
    <row r="8172">
      <c r="G8172" s="16" t="str">
        <f>IFERROR(__xludf.DUMMYFUNCTION("""COMPUTED_VALUE"""),"")</f>
        <v/>
      </c>
    </row>
    <row r="8173">
      <c r="G8173" s="16" t="str">
        <f>IFERROR(__xludf.DUMMYFUNCTION("""COMPUTED_VALUE"""),"")</f>
        <v/>
      </c>
    </row>
    <row r="8174">
      <c r="G8174" s="16" t="str">
        <f>IFERROR(__xludf.DUMMYFUNCTION("""COMPUTED_VALUE"""),"")</f>
        <v/>
      </c>
    </row>
    <row r="8175">
      <c r="G8175" s="16" t="str">
        <f>IFERROR(__xludf.DUMMYFUNCTION("""COMPUTED_VALUE"""),"")</f>
        <v/>
      </c>
    </row>
    <row r="8176">
      <c r="G8176" s="16" t="str">
        <f>IFERROR(__xludf.DUMMYFUNCTION("""COMPUTED_VALUE"""),"")</f>
        <v/>
      </c>
    </row>
    <row r="8177">
      <c r="G8177" s="16" t="str">
        <f>IFERROR(__xludf.DUMMYFUNCTION("""COMPUTED_VALUE"""),"")</f>
        <v/>
      </c>
    </row>
    <row r="8178">
      <c r="G8178" s="16" t="str">
        <f>IFERROR(__xludf.DUMMYFUNCTION("""COMPUTED_VALUE"""),"")</f>
        <v/>
      </c>
    </row>
    <row r="8179">
      <c r="G8179" s="16" t="str">
        <f>IFERROR(__xludf.DUMMYFUNCTION("""COMPUTED_VALUE"""),"")</f>
        <v/>
      </c>
    </row>
    <row r="8180">
      <c r="G8180" s="16" t="str">
        <f>IFERROR(__xludf.DUMMYFUNCTION("""COMPUTED_VALUE"""),"")</f>
        <v/>
      </c>
    </row>
    <row r="8181">
      <c r="G8181" s="16" t="str">
        <f>IFERROR(__xludf.DUMMYFUNCTION("""COMPUTED_VALUE"""),"")</f>
        <v/>
      </c>
    </row>
    <row r="8182">
      <c r="G8182" s="16" t="str">
        <f>IFERROR(__xludf.DUMMYFUNCTION("""COMPUTED_VALUE"""),"")</f>
        <v/>
      </c>
    </row>
    <row r="8183">
      <c r="G8183" s="16" t="str">
        <f>IFERROR(__xludf.DUMMYFUNCTION("""COMPUTED_VALUE"""),"")</f>
        <v/>
      </c>
    </row>
    <row r="8184">
      <c r="G8184" s="16" t="str">
        <f>IFERROR(__xludf.DUMMYFUNCTION("""COMPUTED_VALUE"""),"")</f>
        <v/>
      </c>
    </row>
    <row r="8185">
      <c r="G8185" s="16" t="str">
        <f>IFERROR(__xludf.DUMMYFUNCTION("""COMPUTED_VALUE"""),"")</f>
        <v/>
      </c>
    </row>
    <row r="8186">
      <c r="G8186" s="16" t="str">
        <f>IFERROR(__xludf.DUMMYFUNCTION("""COMPUTED_VALUE"""),"")</f>
        <v/>
      </c>
    </row>
    <row r="8187">
      <c r="G8187" s="16" t="str">
        <f>IFERROR(__xludf.DUMMYFUNCTION("""COMPUTED_VALUE"""),"")</f>
        <v/>
      </c>
    </row>
    <row r="8188">
      <c r="G8188" s="16" t="str">
        <f>IFERROR(__xludf.DUMMYFUNCTION("""COMPUTED_VALUE"""),"")</f>
        <v/>
      </c>
    </row>
    <row r="8189">
      <c r="G8189" s="16" t="str">
        <f>IFERROR(__xludf.DUMMYFUNCTION("""COMPUTED_VALUE"""),"")</f>
        <v/>
      </c>
    </row>
    <row r="8190">
      <c r="G8190" s="16" t="str">
        <f>IFERROR(__xludf.DUMMYFUNCTION("""COMPUTED_VALUE"""),"")</f>
        <v/>
      </c>
    </row>
    <row r="8191">
      <c r="G8191" s="16" t="str">
        <f>IFERROR(__xludf.DUMMYFUNCTION("""COMPUTED_VALUE"""),"")</f>
        <v/>
      </c>
    </row>
    <row r="8192">
      <c r="G8192" s="16" t="str">
        <f>IFERROR(__xludf.DUMMYFUNCTION("""COMPUTED_VALUE"""),"")</f>
        <v/>
      </c>
    </row>
    <row r="8193">
      <c r="G8193" s="16" t="str">
        <f>IFERROR(__xludf.DUMMYFUNCTION("""COMPUTED_VALUE"""),"")</f>
        <v/>
      </c>
    </row>
    <row r="8194">
      <c r="G8194" s="16" t="str">
        <f>IFERROR(__xludf.DUMMYFUNCTION("""COMPUTED_VALUE"""),"")</f>
        <v/>
      </c>
    </row>
    <row r="8195">
      <c r="G8195" s="16" t="str">
        <f>IFERROR(__xludf.DUMMYFUNCTION("""COMPUTED_VALUE"""),"")</f>
        <v/>
      </c>
    </row>
    <row r="8196">
      <c r="G8196" s="16" t="str">
        <f>IFERROR(__xludf.DUMMYFUNCTION("""COMPUTED_VALUE"""),"")</f>
        <v/>
      </c>
    </row>
    <row r="8197">
      <c r="G8197" s="16" t="str">
        <f>IFERROR(__xludf.DUMMYFUNCTION("""COMPUTED_VALUE"""),"")</f>
        <v/>
      </c>
    </row>
    <row r="8198">
      <c r="G8198" s="16" t="str">
        <f>IFERROR(__xludf.DUMMYFUNCTION("""COMPUTED_VALUE"""),"")</f>
        <v/>
      </c>
    </row>
    <row r="8199">
      <c r="G8199" s="16" t="str">
        <f>IFERROR(__xludf.DUMMYFUNCTION("""COMPUTED_VALUE"""),"")</f>
        <v/>
      </c>
    </row>
    <row r="8200">
      <c r="G8200" s="16" t="str">
        <f>IFERROR(__xludf.DUMMYFUNCTION("""COMPUTED_VALUE"""),"")</f>
        <v/>
      </c>
    </row>
    <row r="8201">
      <c r="G8201" s="16" t="str">
        <f>IFERROR(__xludf.DUMMYFUNCTION("""COMPUTED_VALUE"""),"")</f>
        <v/>
      </c>
    </row>
    <row r="8202">
      <c r="G8202" s="16" t="str">
        <f>IFERROR(__xludf.DUMMYFUNCTION("""COMPUTED_VALUE"""),"")</f>
        <v/>
      </c>
    </row>
    <row r="8203">
      <c r="G8203" s="16" t="str">
        <f>IFERROR(__xludf.DUMMYFUNCTION("""COMPUTED_VALUE"""),"")</f>
        <v/>
      </c>
    </row>
    <row r="8204">
      <c r="G8204" s="16" t="str">
        <f>IFERROR(__xludf.DUMMYFUNCTION("""COMPUTED_VALUE"""),"")</f>
        <v/>
      </c>
    </row>
    <row r="8205">
      <c r="G8205" s="16" t="str">
        <f>IFERROR(__xludf.DUMMYFUNCTION("""COMPUTED_VALUE"""),"")</f>
        <v/>
      </c>
    </row>
    <row r="8206">
      <c r="G8206" s="16" t="str">
        <f>IFERROR(__xludf.DUMMYFUNCTION("""COMPUTED_VALUE"""),"")</f>
        <v/>
      </c>
    </row>
    <row r="8207">
      <c r="G8207" s="16" t="str">
        <f>IFERROR(__xludf.DUMMYFUNCTION("""COMPUTED_VALUE"""),"")</f>
        <v/>
      </c>
    </row>
    <row r="8208">
      <c r="G8208" s="16" t="str">
        <f>IFERROR(__xludf.DUMMYFUNCTION("""COMPUTED_VALUE"""),"")</f>
        <v/>
      </c>
    </row>
    <row r="8209">
      <c r="G8209" s="16" t="str">
        <f>IFERROR(__xludf.DUMMYFUNCTION("""COMPUTED_VALUE"""),"")</f>
        <v/>
      </c>
    </row>
    <row r="8210">
      <c r="G8210" s="16" t="str">
        <f>IFERROR(__xludf.DUMMYFUNCTION("""COMPUTED_VALUE"""),"")</f>
        <v/>
      </c>
    </row>
    <row r="8211">
      <c r="G8211" s="16" t="str">
        <f>IFERROR(__xludf.DUMMYFUNCTION("""COMPUTED_VALUE"""),"")</f>
        <v/>
      </c>
    </row>
    <row r="8212">
      <c r="G8212" s="16" t="str">
        <f>IFERROR(__xludf.DUMMYFUNCTION("""COMPUTED_VALUE"""),"")</f>
        <v/>
      </c>
    </row>
    <row r="8213">
      <c r="G8213" s="16" t="str">
        <f>IFERROR(__xludf.DUMMYFUNCTION("""COMPUTED_VALUE"""),"")</f>
        <v/>
      </c>
    </row>
    <row r="8214">
      <c r="G8214" s="16" t="str">
        <f>IFERROR(__xludf.DUMMYFUNCTION("""COMPUTED_VALUE"""),"")</f>
        <v/>
      </c>
    </row>
    <row r="8215">
      <c r="G8215" s="16" t="str">
        <f>IFERROR(__xludf.DUMMYFUNCTION("""COMPUTED_VALUE"""),"")</f>
        <v/>
      </c>
    </row>
    <row r="8216">
      <c r="G8216" s="16" t="str">
        <f>IFERROR(__xludf.DUMMYFUNCTION("""COMPUTED_VALUE"""),"")</f>
        <v/>
      </c>
    </row>
    <row r="8217">
      <c r="G8217" s="16" t="str">
        <f>IFERROR(__xludf.DUMMYFUNCTION("""COMPUTED_VALUE"""),"")</f>
        <v/>
      </c>
    </row>
    <row r="8218">
      <c r="G8218" s="16" t="str">
        <f>IFERROR(__xludf.DUMMYFUNCTION("""COMPUTED_VALUE"""),"")</f>
        <v/>
      </c>
    </row>
    <row r="8219">
      <c r="G8219" s="16" t="str">
        <f>IFERROR(__xludf.DUMMYFUNCTION("""COMPUTED_VALUE"""),"")</f>
        <v/>
      </c>
    </row>
    <row r="8220">
      <c r="G8220" s="16" t="str">
        <f>IFERROR(__xludf.DUMMYFUNCTION("""COMPUTED_VALUE"""),"")</f>
        <v/>
      </c>
    </row>
    <row r="8221">
      <c r="G8221" s="16" t="str">
        <f>IFERROR(__xludf.DUMMYFUNCTION("""COMPUTED_VALUE"""),"")</f>
        <v/>
      </c>
    </row>
    <row r="8222">
      <c r="G8222" s="16" t="str">
        <f>IFERROR(__xludf.DUMMYFUNCTION("""COMPUTED_VALUE"""),"")</f>
        <v/>
      </c>
    </row>
    <row r="8223">
      <c r="G8223" s="16" t="str">
        <f>IFERROR(__xludf.DUMMYFUNCTION("""COMPUTED_VALUE"""),"")</f>
        <v/>
      </c>
    </row>
    <row r="8224">
      <c r="G8224" s="16" t="str">
        <f>IFERROR(__xludf.DUMMYFUNCTION("""COMPUTED_VALUE"""),"")</f>
        <v/>
      </c>
    </row>
    <row r="8225">
      <c r="G8225" s="16" t="str">
        <f>IFERROR(__xludf.DUMMYFUNCTION("""COMPUTED_VALUE"""),"")</f>
        <v/>
      </c>
    </row>
    <row r="8226">
      <c r="G8226" s="16" t="str">
        <f>IFERROR(__xludf.DUMMYFUNCTION("""COMPUTED_VALUE"""),"")</f>
        <v/>
      </c>
    </row>
    <row r="8227">
      <c r="G8227" s="16" t="str">
        <f>IFERROR(__xludf.DUMMYFUNCTION("""COMPUTED_VALUE"""),"")</f>
        <v/>
      </c>
    </row>
    <row r="8228">
      <c r="G8228" s="16" t="str">
        <f>IFERROR(__xludf.DUMMYFUNCTION("""COMPUTED_VALUE"""),"")</f>
        <v/>
      </c>
    </row>
    <row r="8229">
      <c r="G8229" s="16" t="str">
        <f>IFERROR(__xludf.DUMMYFUNCTION("""COMPUTED_VALUE"""),"")</f>
        <v/>
      </c>
    </row>
    <row r="8230">
      <c r="G8230" s="16" t="str">
        <f>IFERROR(__xludf.DUMMYFUNCTION("""COMPUTED_VALUE"""),"")</f>
        <v/>
      </c>
    </row>
    <row r="8231">
      <c r="G8231" s="16" t="str">
        <f>IFERROR(__xludf.DUMMYFUNCTION("""COMPUTED_VALUE"""),"")</f>
        <v/>
      </c>
    </row>
    <row r="8232">
      <c r="G8232" s="16" t="str">
        <f>IFERROR(__xludf.DUMMYFUNCTION("""COMPUTED_VALUE"""),"")</f>
        <v/>
      </c>
    </row>
    <row r="8233">
      <c r="G8233" s="16" t="str">
        <f>IFERROR(__xludf.DUMMYFUNCTION("""COMPUTED_VALUE"""),"")</f>
        <v/>
      </c>
    </row>
    <row r="8234">
      <c r="G8234" s="16" t="str">
        <f>IFERROR(__xludf.DUMMYFUNCTION("""COMPUTED_VALUE"""),"")</f>
        <v/>
      </c>
    </row>
    <row r="8235">
      <c r="G8235" s="16" t="str">
        <f>IFERROR(__xludf.DUMMYFUNCTION("""COMPUTED_VALUE"""),"")</f>
        <v/>
      </c>
    </row>
    <row r="8236">
      <c r="G8236" s="16" t="str">
        <f>IFERROR(__xludf.DUMMYFUNCTION("""COMPUTED_VALUE"""),"")</f>
        <v/>
      </c>
    </row>
    <row r="8237">
      <c r="G8237" s="16" t="str">
        <f>IFERROR(__xludf.DUMMYFUNCTION("""COMPUTED_VALUE"""),"")</f>
        <v/>
      </c>
    </row>
    <row r="8238">
      <c r="G8238" s="16" t="str">
        <f>IFERROR(__xludf.DUMMYFUNCTION("""COMPUTED_VALUE"""),"")</f>
        <v/>
      </c>
    </row>
    <row r="8239">
      <c r="G8239" s="16" t="str">
        <f>IFERROR(__xludf.DUMMYFUNCTION("""COMPUTED_VALUE"""),"")</f>
        <v/>
      </c>
    </row>
    <row r="8240">
      <c r="G8240" s="16" t="str">
        <f>IFERROR(__xludf.DUMMYFUNCTION("""COMPUTED_VALUE"""),"")</f>
        <v/>
      </c>
    </row>
    <row r="8241">
      <c r="G8241" s="16" t="str">
        <f>IFERROR(__xludf.DUMMYFUNCTION("""COMPUTED_VALUE"""),"")</f>
        <v/>
      </c>
    </row>
    <row r="8242">
      <c r="G8242" s="16" t="str">
        <f>IFERROR(__xludf.DUMMYFUNCTION("""COMPUTED_VALUE"""),"")</f>
        <v/>
      </c>
    </row>
    <row r="8243">
      <c r="G8243" s="16" t="str">
        <f>IFERROR(__xludf.DUMMYFUNCTION("""COMPUTED_VALUE"""),"")</f>
        <v/>
      </c>
    </row>
    <row r="8244">
      <c r="G8244" s="16" t="str">
        <f>IFERROR(__xludf.DUMMYFUNCTION("""COMPUTED_VALUE"""),"")</f>
        <v/>
      </c>
    </row>
    <row r="8245">
      <c r="G8245" s="16" t="str">
        <f>IFERROR(__xludf.DUMMYFUNCTION("""COMPUTED_VALUE"""),"")</f>
        <v/>
      </c>
    </row>
    <row r="8246">
      <c r="G8246" s="16" t="str">
        <f>IFERROR(__xludf.DUMMYFUNCTION("""COMPUTED_VALUE"""),"")</f>
        <v/>
      </c>
    </row>
    <row r="8247">
      <c r="G8247" s="16" t="str">
        <f>IFERROR(__xludf.DUMMYFUNCTION("""COMPUTED_VALUE"""),"")</f>
        <v/>
      </c>
    </row>
    <row r="8248">
      <c r="G8248" s="16" t="str">
        <f>IFERROR(__xludf.DUMMYFUNCTION("""COMPUTED_VALUE"""),"")</f>
        <v/>
      </c>
    </row>
    <row r="8249">
      <c r="G8249" s="16" t="str">
        <f>IFERROR(__xludf.DUMMYFUNCTION("""COMPUTED_VALUE"""),"")</f>
        <v/>
      </c>
    </row>
    <row r="8250">
      <c r="G8250" s="16" t="str">
        <f>IFERROR(__xludf.DUMMYFUNCTION("""COMPUTED_VALUE"""),"")</f>
        <v/>
      </c>
    </row>
    <row r="8251">
      <c r="G8251" s="16" t="str">
        <f>IFERROR(__xludf.DUMMYFUNCTION("""COMPUTED_VALUE"""),"")</f>
        <v/>
      </c>
    </row>
    <row r="8252">
      <c r="G8252" s="16" t="str">
        <f>IFERROR(__xludf.DUMMYFUNCTION("""COMPUTED_VALUE"""),"")</f>
        <v/>
      </c>
    </row>
    <row r="8253">
      <c r="G8253" s="16" t="str">
        <f>IFERROR(__xludf.DUMMYFUNCTION("""COMPUTED_VALUE"""),"")</f>
        <v/>
      </c>
    </row>
    <row r="8254">
      <c r="G8254" s="16" t="str">
        <f>IFERROR(__xludf.DUMMYFUNCTION("""COMPUTED_VALUE"""),"")</f>
        <v/>
      </c>
    </row>
    <row r="8255">
      <c r="G8255" s="16" t="str">
        <f>IFERROR(__xludf.DUMMYFUNCTION("""COMPUTED_VALUE"""),"")</f>
        <v/>
      </c>
    </row>
    <row r="8256">
      <c r="G8256" s="16" t="str">
        <f>IFERROR(__xludf.DUMMYFUNCTION("""COMPUTED_VALUE"""),"")</f>
        <v/>
      </c>
    </row>
    <row r="8257">
      <c r="G8257" s="16" t="str">
        <f>IFERROR(__xludf.DUMMYFUNCTION("""COMPUTED_VALUE"""),"")</f>
        <v/>
      </c>
    </row>
    <row r="8258">
      <c r="G8258" s="16" t="str">
        <f>IFERROR(__xludf.DUMMYFUNCTION("""COMPUTED_VALUE"""),"")</f>
        <v/>
      </c>
    </row>
    <row r="8259">
      <c r="G8259" s="16" t="str">
        <f>IFERROR(__xludf.DUMMYFUNCTION("""COMPUTED_VALUE"""),"")</f>
        <v/>
      </c>
    </row>
    <row r="8260">
      <c r="G8260" s="16" t="str">
        <f>IFERROR(__xludf.DUMMYFUNCTION("""COMPUTED_VALUE"""),"")</f>
        <v/>
      </c>
    </row>
    <row r="8261">
      <c r="G8261" s="16" t="str">
        <f>IFERROR(__xludf.DUMMYFUNCTION("""COMPUTED_VALUE"""),"")</f>
        <v/>
      </c>
    </row>
    <row r="8262">
      <c r="G8262" s="16" t="str">
        <f>IFERROR(__xludf.DUMMYFUNCTION("""COMPUTED_VALUE"""),"")</f>
        <v/>
      </c>
    </row>
    <row r="8263">
      <c r="G8263" s="16" t="str">
        <f>IFERROR(__xludf.DUMMYFUNCTION("""COMPUTED_VALUE"""),"")</f>
        <v/>
      </c>
    </row>
    <row r="8264">
      <c r="G8264" s="16" t="str">
        <f>IFERROR(__xludf.DUMMYFUNCTION("""COMPUTED_VALUE"""),"")</f>
        <v/>
      </c>
    </row>
    <row r="8265">
      <c r="G8265" s="16" t="str">
        <f>IFERROR(__xludf.DUMMYFUNCTION("""COMPUTED_VALUE"""),"")</f>
        <v/>
      </c>
    </row>
    <row r="8266">
      <c r="G8266" s="16" t="str">
        <f>IFERROR(__xludf.DUMMYFUNCTION("""COMPUTED_VALUE"""),"")</f>
        <v/>
      </c>
    </row>
    <row r="8267">
      <c r="G8267" s="16" t="str">
        <f>IFERROR(__xludf.DUMMYFUNCTION("""COMPUTED_VALUE"""),"")</f>
        <v/>
      </c>
    </row>
    <row r="8268">
      <c r="G8268" s="16" t="str">
        <f>IFERROR(__xludf.DUMMYFUNCTION("""COMPUTED_VALUE"""),"")</f>
        <v/>
      </c>
    </row>
    <row r="8269">
      <c r="G8269" s="16" t="str">
        <f>IFERROR(__xludf.DUMMYFUNCTION("""COMPUTED_VALUE"""),"")</f>
        <v/>
      </c>
    </row>
    <row r="8270">
      <c r="G8270" s="16" t="str">
        <f>IFERROR(__xludf.DUMMYFUNCTION("""COMPUTED_VALUE"""),"")</f>
        <v/>
      </c>
    </row>
    <row r="8271">
      <c r="G8271" s="16" t="str">
        <f>IFERROR(__xludf.DUMMYFUNCTION("""COMPUTED_VALUE"""),"")</f>
        <v/>
      </c>
    </row>
    <row r="8272">
      <c r="G8272" s="16" t="str">
        <f>IFERROR(__xludf.DUMMYFUNCTION("""COMPUTED_VALUE"""),"")</f>
        <v/>
      </c>
    </row>
    <row r="8273">
      <c r="G8273" s="16" t="str">
        <f>IFERROR(__xludf.DUMMYFUNCTION("""COMPUTED_VALUE"""),"")</f>
        <v/>
      </c>
    </row>
    <row r="8274">
      <c r="G8274" s="16" t="str">
        <f>IFERROR(__xludf.DUMMYFUNCTION("""COMPUTED_VALUE"""),"")</f>
        <v/>
      </c>
    </row>
    <row r="8275">
      <c r="G8275" s="16" t="str">
        <f>IFERROR(__xludf.DUMMYFUNCTION("""COMPUTED_VALUE"""),"")</f>
        <v/>
      </c>
    </row>
    <row r="8276">
      <c r="G8276" s="16" t="str">
        <f>IFERROR(__xludf.DUMMYFUNCTION("""COMPUTED_VALUE"""),"")</f>
        <v/>
      </c>
    </row>
    <row r="8277">
      <c r="G8277" s="16" t="str">
        <f>IFERROR(__xludf.DUMMYFUNCTION("""COMPUTED_VALUE"""),"")</f>
        <v/>
      </c>
    </row>
    <row r="8278">
      <c r="G8278" s="16" t="str">
        <f>IFERROR(__xludf.DUMMYFUNCTION("""COMPUTED_VALUE"""),"")</f>
        <v/>
      </c>
    </row>
    <row r="8279">
      <c r="G8279" s="16" t="str">
        <f>IFERROR(__xludf.DUMMYFUNCTION("""COMPUTED_VALUE"""),"")</f>
        <v/>
      </c>
    </row>
    <row r="8280">
      <c r="G8280" s="16" t="str">
        <f>IFERROR(__xludf.DUMMYFUNCTION("""COMPUTED_VALUE"""),"")</f>
        <v/>
      </c>
    </row>
    <row r="8281">
      <c r="G8281" s="16" t="str">
        <f>IFERROR(__xludf.DUMMYFUNCTION("""COMPUTED_VALUE"""),"")</f>
        <v/>
      </c>
    </row>
    <row r="8282">
      <c r="G8282" s="16" t="str">
        <f>IFERROR(__xludf.DUMMYFUNCTION("""COMPUTED_VALUE"""),"")</f>
        <v/>
      </c>
    </row>
    <row r="8283">
      <c r="G8283" s="16" t="str">
        <f>IFERROR(__xludf.DUMMYFUNCTION("""COMPUTED_VALUE"""),"")</f>
        <v/>
      </c>
    </row>
    <row r="8284">
      <c r="G8284" s="16" t="str">
        <f>IFERROR(__xludf.DUMMYFUNCTION("""COMPUTED_VALUE"""),"")</f>
        <v/>
      </c>
    </row>
    <row r="8285">
      <c r="G8285" s="16" t="str">
        <f>IFERROR(__xludf.DUMMYFUNCTION("""COMPUTED_VALUE"""),"")</f>
        <v/>
      </c>
    </row>
    <row r="8286">
      <c r="G8286" s="16" t="str">
        <f>IFERROR(__xludf.DUMMYFUNCTION("""COMPUTED_VALUE"""),"")</f>
        <v/>
      </c>
    </row>
    <row r="8287">
      <c r="G8287" s="16" t="str">
        <f>IFERROR(__xludf.DUMMYFUNCTION("""COMPUTED_VALUE"""),"")</f>
        <v/>
      </c>
    </row>
    <row r="8288">
      <c r="G8288" s="16" t="str">
        <f>IFERROR(__xludf.DUMMYFUNCTION("""COMPUTED_VALUE"""),"")</f>
        <v/>
      </c>
    </row>
    <row r="8289">
      <c r="G8289" s="16" t="str">
        <f>IFERROR(__xludf.DUMMYFUNCTION("""COMPUTED_VALUE"""),"")</f>
        <v/>
      </c>
    </row>
    <row r="8290">
      <c r="G8290" s="16" t="str">
        <f>IFERROR(__xludf.DUMMYFUNCTION("""COMPUTED_VALUE"""),"")</f>
        <v/>
      </c>
    </row>
    <row r="8291">
      <c r="G8291" s="16" t="str">
        <f>IFERROR(__xludf.DUMMYFUNCTION("""COMPUTED_VALUE"""),"")</f>
        <v/>
      </c>
    </row>
    <row r="8292">
      <c r="G8292" s="16" t="str">
        <f>IFERROR(__xludf.DUMMYFUNCTION("""COMPUTED_VALUE"""),"")</f>
        <v/>
      </c>
    </row>
    <row r="8293">
      <c r="G8293" s="16" t="str">
        <f>IFERROR(__xludf.DUMMYFUNCTION("""COMPUTED_VALUE"""),"")</f>
        <v/>
      </c>
    </row>
    <row r="8294">
      <c r="G8294" s="16" t="str">
        <f>IFERROR(__xludf.DUMMYFUNCTION("""COMPUTED_VALUE"""),"")</f>
        <v/>
      </c>
    </row>
    <row r="8295">
      <c r="G8295" s="16" t="str">
        <f>IFERROR(__xludf.DUMMYFUNCTION("""COMPUTED_VALUE"""),"")</f>
        <v/>
      </c>
    </row>
    <row r="8296">
      <c r="G8296" s="16" t="str">
        <f>IFERROR(__xludf.DUMMYFUNCTION("""COMPUTED_VALUE"""),"")</f>
        <v/>
      </c>
    </row>
    <row r="8297">
      <c r="G8297" s="16" t="str">
        <f>IFERROR(__xludf.DUMMYFUNCTION("""COMPUTED_VALUE"""),"")</f>
        <v/>
      </c>
    </row>
    <row r="8298">
      <c r="G8298" s="16" t="str">
        <f>IFERROR(__xludf.DUMMYFUNCTION("""COMPUTED_VALUE"""),"")</f>
        <v/>
      </c>
    </row>
    <row r="8299">
      <c r="G8299" s="16" t="str">
        <f>IFERROR(__xludf.DUMMYFUNCTION("""COMPUTED_VALUE"""),"")</f>
        <v/>
      </c>
    </row>
    <row r="8300">
      <c r="G8300" s="16" t="str">
        <f>IFERROR(__xludf.DUMMYFUNCTION("""COMPUTED_VALUE"""),"")</f>
        <v/>
      </c>
    </row>
    <row r="8301">
      <c r="G8301" s="16" t="str">
        <f>IFERROR(__xludf.DUMMYFUNCTION("""COMPUTED_VALUE"""),"")</f>
        <v/>
      </c>
    </row>
    <row r="8302">
      <c r="G8302" s="16" t="str">
        <f>IFERROR(__xludf.DUMMYFUNCTION("""COMPUTED_VALUE"""),"")</f>
        <v/>
      </c>
    </row>
    <row r="8303">
      <c r="G8303" s="16" t="str">
        <f>IFERROR(__xludf.DUMMYFUNCTION("""COMPUTED_VALUE"""),"")</f>
        <v/>
      </c>
    </row>
    <row r="8304">
      <c r="G8304" s="16" t="str">
        <f>IFERROR(__xludf.DUMMYFUNCTION("""COMPUTED_VALUE"""),"")</f>
        <v/>
      </c>
    </row>
    <row r="8305">
      <c r="G8305" s="16" t="str">
        <f>IFERROR(__xludf.DUMMYFUNCTION("""COMPUTED_VALUE"""),"")</f>
        <v/>
      </c>
    </row>
    <row r="8306">
      <c r="G8306" s="16" t="str">
        <f>IFERROR(__xludf.DUMMYFUNCTION("""COMPUTED_VALUE"""),"")</f>
        <v/>
      </c>
    </row>
    <row r="8307">
      <c r="G8307" s="16" t="str">
        <f>IFERROR(__xludf.DUMMYFUNCTION("""COMPUTED_VALUE"""),"")</f>
        <v/>
      </c>
    </row>
    <row r="8308">
      <c r="G8308" s="16" t="str">
        <f>IFERROR(__xludf.DUMMYFUNCTION("""COMPUTED_VALUE"""),"")</f>
        <v/>
      </c>
    </row>
    <row r="8309">
      <c r="G8309" s="16" t="str">
        <f>IFERROR(__xludf.DUMMYFUNCTION("""COMPUTED_VALUE"""),"")</f>
        <v/>
      </c>
    </row>
    <row r="8310">
      <c r="G8310" s="16" t="str">
        <f>IFERROR(__xludf.DUMMYFUNCTION("""COMPUTED_VALUE"""),"")</f>
        <v/>
      </c>
    </row>
    <row r="8311">
      <c r="G8311" s="16" t="str">
        <f>IFERROR(__xludf.DUMMYFUNCTION("""COMPUTED_VALUE"""),"")</f>
        <v/>
      </c>
    </row>
    <row r="8312">
      <c r="G8312" s="16" t="str">
        <f>IFERROR(__xludf.DUMMYFUNCTION("""COMPUTED_VALUE"""),"")</f>
        <v/>
      </c>
    </row>
    <row r="8313">
      <c r="G8313" s="16" t="str">
        <f>IFERROR(__xludf.DUMMYFUNCTION("""COMPUTED_VALUE"""),"")</f>
        <v/>
      </c>
    </row>
    <row r="8314">
      <c r="G8314" s="16" t="str">
        <f>IFERROR(__xludf.DUMMYFUNCTION("""COMPUTED_VALUE"""),"")</f>
        <v/>
      </c>
    </row>
    <row r="8315">
      <c r="G8315" s="16" t="str">
        <f>IFERROR(__xludf.DUMMYFUNCTION("""COMPUTED_VALUE"""),"")</f>
        <v/>
      </c>
    </row>
    <row r="8316">
      <c r="G8316" s="16" t="str">
        <f>IFERROR(__xludf.DUMMYFUNCTION("""COMPUTED_VALUE"""),"")</f>
        <v/>
      </c>
    </row>
    <row r="8317">
      <c r="G8317" s="16" t="str">
        <f>IFERROR(__xludf.DUMMYFUNCTION("""COMPUTED_VALUE"""),"")</f>
        <v/>
      </c>
    </row>
    <row r="8318">
      <c r="G8318" s="16" t="str">
        <f>IFERROR(__xludf.DUMMYFUNCTION("""COMPUTED_VALUE"""),"")</f>
        <v/>
      </c>
    </row>
    <row r="8319">
      <c r="G8319" s="16" t="str">
        <f>IFERROR(__xludf.DUMMYFUNCTION("""COMPUTED_VALUE"""),"")</f>
        <v/>
      </c>
    </row>
    <row r="8320">
      <c r="G8320" s="16" t="str">
        <f>IFERROR(__xludf.DUMMYFUNCTION("""COMPUTED_VALUE"""),"")</f>
        <v/>
      </c>
    </row>
    <row r="8321">
      <c r="G8321" s="16" t="str">
        <f>IFERROR(__xludf.DUMMYFUNCTION("""COMPUTED_VALUE"""),"")</f>
        <v/>
      </c>
    </row>
    <row r="8322">
      <c r="G8322" s="16" t="str">
        <f>IFERROR(__xludf.DUMMYFUNCTION("""COMPUTED_VALUE"""),"")</f>
        <v/>
      </c>
    </row>
    <row r="8323">
      <c r="G8323" s="16" t="str">
        <f>IFERROR(__xludf.DUMMYFUNCTION("""COMPUTED_VALUE"""),"")</f>
        <v/>
      </c>
    </row>
    <row r="8324">
      <c r="G8324" s="16" t="str">
        <f>IFERROR(__xludf.DUMMYFUNCTION("""COMPUTED_VALUE"""),"")</f>
        <v/>
      </c>
    </row>
    <row r="8325">
      <c r="G8325" s="16" t="str">
        <f>IFERROR(__xludf.DUMMYFUNCTION("""COMPUTED_VALUE"""),"")</f>
        <v/>
      </c>
    </row>
    <row r="8326">
      <c r="G8326" s="16" t="str">
        <f>IFERROR(__xludf.DUMMYFUNCTION("""COMPUTED_VALUE"""),"")</f>
        <v/>
      </c>
    </row>
    <row r="8327">
      <c r="G8327" s="16" t="str">
        <f>IFERROR(__xludf.DUMMYFUNCTION("""COMPUTED_VALUE"""),"")</f>
        <v/>
      </c>
    </row>
    <row r="8328">
      <c r="G8328" s="16" t="str">
        <f>IFERROR(__xludf.DUMMYFUNCTION("""COMPUTED_VALUE"""),"")</f>
        <v/>
      </c>
    </row>
    <row r="8329">
      <c r="G8329" s="16" t="str">
        <f>IFERROR(__xludf.DUMMYFUNCTION("""COMPUTED_VALUE"""),"")</f>
        <v/>
      </c>
    </row>
    <row r="8330">
      <c r="G8330" s="16" t="str">
        <f>IFERROR(__xludf.DUMMYFUNCTION("""COMPUTED_VALUE"""),"")</f>
        <v/>
      </c>
    </row>
    <row r="8331">
      <c r="G8331" s="16" t="str">
        <f>IFERROR(__xludf.DUMMYFUNCTION("""COMPUTED_VALUE"""),"")</f>
        <v/>
      </c>
    </row>
    <row r="8332">
      <c r="G8332" s="16" t="str">
        <f>IFERROR(__xludf.DUMMYFUNCTION("""COMPUTED_VALUE"""),"")</f>
        <v/>
      </c>
    </row>
    <row r="8333">
      <c r="G8333" s="16" t="str">
        <f>IFERROR(__xludf.DUMMYFUNCTION("""COMPUTED_VALUE"""),"")</f>
        <v/>
      </c>
    </row>
    <row r="8334">
      <c r="G8334" s="16" t="str">
        <f>IFERROR(__xludf.DUMMYFUNCTION("""COMPUTED_VALUE"""),"")</f>
        <v/>
      </c>
    </row>
    <row r="8335">
      <c r="G8335" s="16" t="str">
        <f>IFERROR(__xludf.DUMMYFUNCTION("""COMPUTED_VALUE"""),"")</f>
        <v/>
      </c>
    </row>
    <row r="8336">
      <c r="G8336" s="16" t="str">
        <f>IFERROR(__xludf.DUMMYFUNCTION("""COMPUTED_VALUE"""),"")</f>
        <v/>
      </c>
    </row>
    <row r="8337">
      <c r="G8337" s="16" t="str">
        <f>IFERROR(__xludf.DUMMYFUNCTION("""COMPUTED_VALUE"""),"")</f>
        <v/>
      </c>
    </row>
    <row r="8338">
      <c r="G8338" s="16" t="str">
        <f>IFERROR(__xludf.DUMMYFUNCTION("""COMPUTED_VALUE"""),"")</f>
        <v/>
      </c>
    </row>
    <row r="8339">
      <c r="G8339" s="16" t="str">
        <f>IFERROR(__xludf.DUMMYFUNCTION("""COMPUTED_VALUE"""),"")</f>
        <v/>
      </c>
    </row>
    <row r="8340">
      <c r="G8340" s="16" t="str">
        <f>IFERROR(__xludf.DUMMYFUNCTION("""COMPUTED_VALUE"""),"")</f>
        <v/>
      </c>
    </row>
    <row r="8341">
      <c r="G8341" s="16" t="str">
        <f>IFERROR(__xludf.DUMMYFUNCTION("""COMPUTED_VALUE"""),"")</f>
        <v/>
      </c>
    </row>
    <row r="8342">
      <c r="G8342" s="16" t="str">
        <f>IFERROR(__xludf.DUMMYFUNCTION("""COMPUTED_VALUE"""),"")</f>
        <v/>
      </c>
    </row>
    <row r="8343">
      <c r="G8343" s="16" t="str">
        <f>IFERROR(__xludf.DUMMYFUNCTION("""COMPUTED_VALUE"""),"")</f>
        <v/>
      </c>
    </row>
    <row r="8344">
      <c r="G8344" s="16" t="str">
        <f>IFERROR(__xludf.DUMMYFUNCTION("""COMPUTED_VALUE"""),"")</f>
        <v/>
      </c>
    </row>
    <row r="8345">
      <c r="G8345" s="16" t="str">
        <f>IFERROR(__xludf.DUMMYFUNCTION("""COMPUTED_VALUE"""),"")</f>
        <v/>
      </c>
    </row>
    <row r="8346">
      <c r="G8346" s="16" t="str">
        <f>IFERROR(__xludf.DUMMYFUNCTION("""COMPUTED_VALUE"""),"")</f>
        <v/>
      </c>
    </row>
    <row r="8347">
      <c r="G8347" s="16" t="str">
        <f>IFERROR(__xludf.DUMMYFUNCTION("""COMPUTED_VALUE"""),"")</f>
        <v/>
      </c>
    </row>
    <row r="8348">
      <c r="G8348" s="16" t="str">
        <f>IFERROR(__xludf.DUMMYFUNCTION("""COMPUTED_VALUE"""),"")</f>
        <v/>
      </c>
    </row>
    <row r="8349">
      <c r="G8349" s="16" t="str">
        <f>IFERROR(__xludf.DUMMYFUNCTION("""COMPUTED_VALUE"""),"")</f>
        <v/>
      </c>
    </row>
    <row r="8350">
      <c r="G8350" s="16" t="str">
        <f>IFERROR(__xludf.DUMMYFUNCTION("""COMPUTED_VALUE"""),"")</f>
        <v/>
      </c>
    </row>
    <row r="8351">
      <c r="G8351" s="16" t="str">
        <f>IFERROR(__xludf.DUMMYFUNCTION("""COMPUTED_VALUE"""),"")</f>
        <v/>
      </c>
    </row>
    <row r="8352">
      <c r="G8352" s="16" t="str">
        <f>IFERROR(__xludf.DUMMYFUNCTION("""COMPUTED_VALUE"""),"")</f>
        <v/>
      </c>
    </row>
    <row r="8353">
      <c r="G8353" s="16" t="str">
        <f>IFERROR(__xludf.DUMMYFUNCTION("""COMPUTED_VALUE"""),"")</f>
        <v/>
      </c>
    </row>
    <row r="8354">
      <c r="G8354" s="16" t="str">
        <f>IFERROR(__xludf.DUMMYFUNCTION("""COMPUTED_VALUE"""),"")</f>
        <v/>
      </c>
    </row>
    <row r="8355">
      <c r="G8355" s="16" t="str">
        <f>IFERROR(__xludf.DUMMYFUNCTION("""COMPUTED_VALUE"""),"")</f>
        <v/>
      </c>
    </row>
    <row r="8356">
      <c r="G8356" s="16" t="str">
        <f>IFERROR(__xludf.DUMMYFUNCTION("""COMPUTED_VALUE"""),"")</f>
        <v/>
      </c>
    </row>
    <row r="8357">
      <c r="G8357" s="16" t="str">
        <f>IFERROR(__xludf.DUMMYFUNCTION("""COMPUTED_VALUE"""),"")</f>
        <v/>
      </c>
    </row>
    <row r="8358">
      <c r="G8358" s="16" t="str">
        <f>IFERROR(__xludf.DUMMYFUNCTION("""COMPUTED_VALUE"""),"")</f>
        <v/>
      </c>
    </row>
    <row r="8359">
      <c r="G8359" s="16" t="str">
        <f>IFERROR(__xludf.DUMMYFUNCTION("""COMPUTED_VALUE"""),"")</f>
        <v/>
      </c>
    </row>
    <row r="8360">
      <c r="G8360" s="16" t="str">
        <f>IFERROR(__xludf.DUMMYFUNCTION("""COMPUTED_VALUE"""),"")</f>
        <v/>
      </c>
    </row>
    <row r="8361">
      <c r="G8361" s="16" t="str">
        <f>IFERROR(__xludf.DUMMYFUNCTION("""COMPUTED_VALUE"""),"")</f>
        <v/>
      </c>
    </row>
    <row r="8362">
      <c r="G8362" s="16" t="str">
        <f>IFERROR(__xludf.DUMMYFUNCTION("""COMPUTED_VALUE"""),"")</f>
        <v/>
      </c>
    </row>
    <row r="8363">
      <c r="G8363" s="16" t="str">
        <f>IFERROR(__xludf.DUMMYFUNCTION("""COMPUTED_VALUE"""),"")</f>
        <v/>
      </c>
    </row>
    <row r="8364">
      <c r="G8364" s="16" t="str">
        <f>IFERROR(__xludf.DUMMYFUNCTION("""COMPUTED_VALUE"""),"")</f>
        <v/>
      </c>
    </row>
    <row r="8365">
      <c r="G8365" s="16" t="str">
        <f>IFERROR(__xludf.DUMMYFUNCTION("""COMPUTED_VALUE"""),"")</f>
        <v/>
      </c>
    </row>
    <row r="8366">
      <c r="G8366" s="16" t="str">
        <f>IFERROR(__xludf.DUMMYFUNCTION("""COMPUTED_VALUE"""),"")</f>
        <v/>
      </c>
    </row>
    <row r="8367">
      <c r="G8367" s="16" t="str">
        <f>IFERROR(__xludf.DUMMYFUNCTION("""COMPUTED_VALUE"""),"")</f>
        <v/>
      </c>
    </row>
    <row r="8368">
      <c r="G8368" s="16" t="str">
        <f>IFERROR(__xludf.DUMMYFUNCTION("""COMPUTED_VALUE"""),"")</f>
        <v/>
      </c>
    </row>
    <row r="8369">
      <c r="G8369" s="16" t="str">
        <f>IFERROR(__xludf.DUMMYFUNCTION("""COMPUTED_VALUE"""),"")</f>
        <v/>
      </c>
    </row>
    <row r="8370">
      <c r="G8370" s="16" t="str">
        <f>IFERROR(__xludf.DUMMYFUNCTION("""COMPUTED_VALUE"""),"")</f>
        <v/>
      </c>
    </row>
    <row r="8371">
      <c r="G8371" s="16" t="str">
        <f>IFERROR(__xludf.DUMMYFUNCTION("""COMPUTED_VALUE"""),"")</f>
        <v/>
      </c>
    </row>
    <row r="8372">
      <c r="G8372" s="16" t="str">
        <f>IFERROR(__xludf.DUMMYFUNCTION("""COMPUTED_VALUE"""),"")</f>
        <v/>
      </c>
    </row>
    <row r="8373">
      <c r="G8373" s="16" t="str">
        <f>IFERROR(__xludf.DUMMYFUNCTION("""COMPUTED_VALUE"""),"")</f>
        <v/>
      </c>
    </row>
    <row r="8374">
      <c r="G8374" s="16" t="str">
        <f>IFERROR(__xludf.DUMMYFUNCTION("""COMPUTED_VALUE"""),"")</f>
        <v/>
      </c>
    </row>
    <row r="8375">
      <c r="G8375" s="16" t="str">
        <f>IFERROR(__xludf.DUMMYFUNCTION("""COMPUTED_VALUE"""),"")</f>
        <v/>
      </c>
    </row>
    <row r="8376">
      <c r="G8376" s="16" t="str">
        <f>IFERROR(__xludf.DUMMYFUNCTION("""COMPUTED_VALUE"""),"")</f>
        <v/>
      </c>
    </row>
    <row r="8377">
      <c r="G8377" s="16" t="str">
        <f>IFERROR(__xludf.DUMMYFUNCTION("""COMPUTED_VALUE"""),"")</f>
        <v/>
      </c>
    </row>
    <row r="8378">
      <c r="G8378" s="16" t="str">
        <f>IFERROR(__xludf.DUMMYFUNCTION("""COMPUTED_VALUE"""),"")</f>
        <v/>
      </c>
    </row>
    <row r="8379">
      <c r="G8379" s="16" t="str">
        <f>IFERROR(__xludf.DUMMYFUNCTION("""COMPUTED_VALUE"""),"")</f>
        <v/>
      </c>
    </row>
    <row r="8380">
      <c r="G8380" s="16" t="str">
        <f>IFERROR(__xludf.DUMMYFUNCTION("""COMPUTED_VALUE"""),"")</f>
        <v/>
      </c>
    </row>
    <row r="8381">
      <c r="G8381" s="16" t="str">
        <f>IFERROR(__xludf.DUMMYFUNCTION("""COMPUTED_VALUE"""),"")</f>
        <v/>
      </c>
    </row>
    <row r="8382">
      <c r="G8382" s="16" t="str">
        <f>IFERROR(__xludf.DUMMYFUNCTION("""COMPUTED_VALUE"""),"")</f>
        <v/>
      </c>
    </row>
    <row r="8383">
      <c r="G8383" s="16" t="str">
        <f>IFERROR(__xludf.DUMMYFUNCTION("""COMPUTED_VALUE"""),"")</f>
        <v/>
      </c>
    </row>
    <row r="8384">
      <c r="G8384" s="16" t="str">
        <f>IFERROR(__xludf.DUMMYFUNCTION("""COMPUTED_VALUE"""),"")</f>
        <v/>
      </c>
    </row>
    <row r="8385">
      <c r="G8385" s="16" t="str">
        <f>IFERROR(__xludf.DUMMYFUNCTION("""COMPUTED_VALUE"""),"")</f>
        <v/>
      </c>
    </row>
    <row r="8386">
      <c r="G8386" s="16" t="str">
        <f>IFERROR(__xludf.DUMMYFUNCTION("""COMPUTED_VALUE"""),"")</f>
        <v/>
      </c>
    </row>
    <row r="8387">
      <c r="G8387" s="16" t="str">
        <f>IFERROR(__xludf.DUMMYFUNCTION("""COMPUTED_VALUE"""),"")</f>
        <v/>
      </c>
    </row>
    <row r="8388">
      <c r="G8388" s="16" t="str">
        <f>IFERROR(__xludf.DUMMYFUNCTION("""COMPUTED_VALUE"""),"")</f>
        <v/>
      </c>
    </row>
    <row r="8389">
      <c r="G8389" s="16" t="str">
        <f>IFERROR(__xludf.DUMMYFUNCTION("""COMPUTED_VALUE"""),"")</f>
        <v/>
      </c>
    </row>
    <row r="8390">
      <c r="G8390" s="16" t="str">
        <f>IFERROR(__xludf.DUMMYFUNCTION("""COMPUTED_VALUE"""),"")</f>
        <v/>
      </c>
    </row>
    <row r="8391">
      <c r="G8391" s="16" t="str">
        <f>IFERROR(__xludf.DUMMYFUNCTION("""COMPUTED_VALUE"""),"")</f>
        <v/>
      </c>
    </row>
    <row r="8392">
      <c r="G8392" s="16" t="str">
        <f>IFERROR(__xludf.DUMMYFUNCTION("""COMPUTED_VALUE"""),"")</f>
        <v/>
      </c>
    </row>
    <row r="8393">
      <c r="G8393" s="16" t="str">
        <f>IFERROR(__xludf.DUMMYFUNCTION("""COMPUTED_VALUE"""),"")</f>
        <v/>
      </c>
    </row>
    <row r="8394">
      <c r="G8394" s="16" t="str">
        <f>IFERROR(__xludf.DUMMYFUNCTION("""COMPUTED_VALUE"""),"")</f>
        <v/>
      </c>
    </row>
    <row r="8395">
      <c r="G8395" s="16" t="str">
        <f>IFERROR(__xludf.DUMMYFUNCTION("""COMPUTED_VALUE"""),"")</f>
        <v/>
      </c>
    </row>
    <row r="8396">
      <c r="G8396" s="16" t="str">
        <f>IFERROR(__xludf.DUMMYFUNCTION("""COMPUTED_VALUE"""),"")</f>
        <v/>
      </c>
    </row>
    <row r="8397">
      <c r="G8397" s="16" t="str">
        <f>IFERROR(__xludf.DUMMYFUNCTION("""COMPUTED_VALUE"""),"")</f>
        <v/>
      </c>
    </row>
    <row r="8398">
      <c r="G8398" s="16" t="str">
        <f>IFERROR(__xludf.DUMMYFUNCTION("""COMPUTED_VALUE"""),"")</f>
        <v/>
      </c>
    </row>
    <row r="8399">
      <c r="G8399" s="16" t="str">
        <f>IFERROR(__xludf.DUMMYFUNCTION("""COMPUTED_VALUE"""),"")</f>
        <v/>
      </c>
    </row>
    <row r="8400">
      <c r="G8400" s="16" t="str">
        <f>IFERROR(__xludf.DUMMYFUNCTION("""COMPUTED_VALUE"""),"")</f>
        <v/>
      </c>
    </row>
    <row r="8401">
      <c r="G8401" s="16" t="str">
        <f>IFERROR(__xludf.DUMMYFUNCTION("""COMPUTED_VALUE"""),"")</f>
        <v/>
      </c>
    </row>
    <row r="8402">
      <c r="G8402" s="16" t="str">
        <f>IFERROR(__xludf.DUMMYFUNCTION("""COMPUTED_VALUE"""),"")</f>
        <v/>
      </c>
    </row>
    <row r="8403">
      <c r="G8403" s="16" t="str">
        <f>IFERROR(__xludf.DUMMYFUNCTION("""COMPUTED_VALUE"""),"")</f>
        <v/>
      </c>
    </row>
    <row r="8404">
      <c r="G8404" s="16" t="str">
        <f>IFERROR(__xludf.DUMMYFUNCTION("""COMPUTED_VALUE"""),"")</f>
        <v/>
      </c>
    </row>
    <row r="8405">
      <c r="G8405" s="16" t="str">
        <f>IFERROR(__xludf.DUMMYFUNCTION("""COMPUTED_VALUE"""),"")</f>
        <v/>
      </c>
    </row>
    <row r="8406">
      <c r="G8406" s="16" t="str">
        <f>IFERROR(__xludf.DUMMYFUNCTION("""COMPUTED_VALUE"""),"")</f>
        <v/>
      </c>
    </row>
    <row r="8407">
      <c r="G8407" s="16" t="str">
        <f>IFERROR(__xludf.DUMMYFUNCTION("""COMPUTED_VALUE"""),"")</f>
        <v/>
      </c>
    </row>
    <row r="8408">
      <c r="G8408" s="16" t="str">
        <f>IFERROR(__xludf.DUMMYFUNCTION("""COMPUTED_VALUE"""),"")</f>
        <v/>
      </c>
    </row>
    <row r="8409">
      <c r="G8409" s="16" t="str">
        <f>IFERROR(__xludf.DUMMYFUNCTION("""COMPUTED_VALUE"""),"")</f>
        <v/>
      </c>
    </row>
    <row r="8410">
      <c r="G8410" s="16" t="str">
        <f>IFERROR(__xludf.DUMMYFUNCTION("""COMPUTED_VALUE"""),"")</f>
        <v/>
      </c>
    </row>
    <row r="8411">
      <c r="G8411" s="16" t="str">
        <f>IFERROR(__xludf.DUMMYFUNCTION("""COMPUTED_VALUE"""),"")</f>
        <v/>
      </c>
    </row>
    <row r="8412">
      <c r="G8412" s="16" t="str">
        <f>IFERROR(__xludf.DUMMYFUNCTION("""COMPUTED_VALUE"""),"")</f>
        <v/>
      </c>
    </row>
    <row r="8413">
      <c r="G8413" s="16" t="str">
        <f>IFERROR(__xludf.DUMMYFUNCTION("""COMPUTED_VALUE"""),"")</f>
        <v/>
      </c>
    </row>
    <row r="8414">
      <c r="G8414" s="16" t="str">
        <f>IFERROR(__xludf.DUMMYFUNCTION("""COMPUTED_VALUE"""),"")</f>
        <v/>
      </c>
    </row>
    <row r="8415">
      <c r="G8415" s="16" t="str">
        <f>IFERROR(__xludf.DUMMYFUNCTION("""COMPUTED_VALUE"""),"")</f>
        <v/>
      </c>
    </row>
    <row r="8416">
      <c r="G8416" s="16" t="str">
        <f>IFERROR(__xludf.DUMMYFUNCTION("""COMPUTED_VALUE"""),"")</f>
        <v/>
      </c>
    </row>
    <row r="8417">
      <c r="G8417" s="16" t="str">
        <f>IFERROR(__xludf.DUMMYFUNCTION("""COMPUTED_VALUE"""),"")</f>
        <v/>
      </c>
    </row>
    <row r="8418">
      <c r="G8418" s="16" t="str">
        <f>IFERROR(__xludf.DUMMYFUNCTION("""COMPUTED_VALUE"""),"")</f>
        <v/>
      </c>
    </row>
    <row r="8419">
      <c r="G8419" s="16" t="str">
        <f>IFERROR(__xludf.DUMMYFUNCTION("""COMPUTED_VALUE"""),"")</f>
        <v/>
      </c>
    </row>
    <row r="8420">
      <c r="G8420" s="16" t="str">
        <f>IFERROR(__xludf.DUMMYFUNCTION("""COMPUTED_VALUE"""),"")</f>
        <v/>
      </c>
    </row>
    <row r="8421">
      <c r="G8421" s="16" t="str">
        <f>IFERROR(__xludf.DUMMYFUNCTION("""COMPUTED_VALUE"""),"")</f>
        <v/>
      </c>
    </row>
    <row r="8422">
      <c r="G8422" s="16" t="str">
        <f>IFERROR(__xludf.DUMMYFUNCTION("""COMPUTED_VALUE"""),"")</f>
        <v/>
      </c>
    </row>
    <row r="8423">
      <c r="G8423" s="16" t="str">
        <f>IFERROR(__xludf.DUMMYFUNCTION("""COMPUTED_VALUE"""),"")</f>
        <v/>
      </c>
    </row>
    <row r="8424">
      <c r="G8424" s="16" t="str">
        <f>IFERROR(__xludf.DUMMYFUNCTION("""COMPUTED_VALUE"""),"")</f>
        <v/>
      </c>
    </row>
    <row r="8425">
      <c r="G8425" s="16" t="str">
        <f>IFERROR(__xludf.DUMMYFUNCTION("""COMPUTED_VALUE"""),"")</f>
        <v/>
      </c>
    </row>
    <row r="8426">
      <c r="G8426" s="16" t="str">
        <f>IFERROR(__xludf.DUMMYFUNCTION("""COMPUTED_VALUE"""),"")</f>
        <v/>
      </c>
    </row>
    <row r="8427">
      <c r="G8427" s="16" t="str">
        <f>IFERROR(__xludf.DUMMYFUNCTION("""COMPUTED_VALUE"""),"")</f>
        <v/>
      </c>
    </row>
    <row r="8428">
      <c r="G8428" s="16" t="str">
        <f>IFERROR(__xludf.DUMMYFUNCTION("""COMPUTED_VALUE"""),"")</f>
        <v/>
      </c>
    </row>
    <row r="8429">
      <c r="G8429" s="16" t="str">
        <f>IFERROR(__xludf.DUMMYFUNCTION("""COMPUTED_VALUE"""),"")</f>
        <v/>
      </c>
    </row>
    <row r="8430">
      <c r="G8430" s="16" t="str">
        <f>IFERROR(__xludf.DUMMYFUNCTION("""COMPUTED_VALUE"""),"")</f>
        <v/>
      </c>
    </row>
    <row r="8431">
      <c r="G8431" s="16" t="str">
        <f>IFERROR(__xludf.DUMMYFUNCTION("""COMPUTED_VALUE"""),"")</f>
        <v/>
      </c>
    </row>
    <row r="8432">
      <c r="G8432" s="16" t="str">
        <f>IFERROR(__xludf.DUMMYFUNCTION("""COMPUTED_VALUE"""),"")</f>
        <v/>
      </c>
    </row>
    <row r="8433">
      <c r="G8433" s="16" t="str">
        <f>IFERROR(__xludf.DUMMYFUNCTION("""COMPUTED_VALUE"""),"")</f>
        <v/>
      </c>
    </row>
    <row r="8434">
      <c r="G8434" s="16" t="str">
        <f>IFERROR(__xludf.DUMMYFUNCTION("""COMPUTED_VALUE"""),"")</f>
        <v/>
      </c>
    </row>
    <row r="8435">
      <c r="G8435" s="16" t="str">
        <f>IFERROR(__xludf.DUMMYFUNCTION("""COMPUTED_VALUE"""),"")</f>
        <v/>
      </c>
    </row>
    <row r="8436">
      <c r="G8436" s="16" t="str">
        <f>IFERROR(__xludf.DUMMYFUNCTION("""COMPUTED_VALUE"""),"")</f>
        <v/>
      </c>
    </row>
    <row r="8437">
      <c r="G8437" s="16" t="str">
        <f>IFERROR(__xludf.DUMMYFUNCTION("""COMPUTED_VALUE"""),"")</f>
        <v/>
      </c>
    </row>
    <row r="8438">
      <c r="G8438" s="16" t="str">
        <f>IFERROR(__xludf.DUMMYFUNCTION("""COMPUTED_VALUE"""),"")</f>
        <v/>
      </c>
    </row>
    <row r="8439">
      <c r="G8439" s="16" t="str">
        <f>IFERROR(__xludf.DUMMYFUNCTION("""COMPUTED_VALUE"""),"")</f>
        <v/>
      </c>
    </row>
    <row r="8440">
      <c r="G8440" s="16" t="str">
        <f>IFERROR(__xludf.DUMMYFUNCTION("""COMPUTED_VALUE"""),"")</f>
        <v/>
      </c>
    </row>
    <row r="8441">
      <c r="G8441" s="16" t="str">
        <f>IFERROR(__xludf.DUMMYFUNCTION("""COMPUTED_VALUE"""),"")</f>
        <v/>
      </c>
    </row>
    <row r="8442">
      <c r="G8442" s="16" t="str">
        <f>IFERROR(__xludf.DUMMYFUNCTION("""COMPUTED_VALUE"""),"")</f>
        <v/>
      </c>
    </row>
    <row r="8443">
      <c r="G8443" s="16" t="str">
        <f>IFERROR(__xludf.DUMMYFUNCTION("""COMPUTED_VALUE"""),"")</f>
        <v/>
      </c>
    </row>
    <row r="8444">
      <c r="G8444" s="16" t="str">
        <f>IFERROR(__xludf.DUMMYFUNCTION("""COMPUTED_VALUE"""),"")</f>
        <v/>
      </c>
    </row>
    <row r="8445">
      <c r="G8445" s="16" t="str">
        <f>IFERROR(__xludf.DUMMYFUNCTION("""COMPUTED_VALUE"""),"")</f>
        <v/>
      </c>
    </row>
    <row r="8446">
      <c r="G8446" s="16" t="str">
        <f>IFERROR(__xludf.DUMMYFUNCTION("""COMPUTED_VALUE"""),"")</f>
        <v/>
      </c>
    </row>
    <row r="8447">
      <c r="G8447" s="16" t="str">
        <f>IFERROR(__xludf.DUMMYFUNCTION("""COMPUTED_VALUE"""),"")</f>
        <v/>
      </c>
    </row>
    <row r="8448">
      <c r="G8448" s="16" t="str">
        <f>IFERROR(__xludf.DUMMYFUNCTION("""COMPUTED_VALUE"""),"")</f>
        <v/>
      </c>
    </row>
    <row r="8449">
      <c r="G8449" s="16" t="str">
        <f>IFERROR(__xludf.DUMMYFUNCTION("""COMPUTED_VALUE"""),"")</f>
        <v/>
      </c>
    </row>
    <row r="8450">
      <c r="G8450" s="16" t="str">
        <f>IFERROR(__xludf.DUMMYFUNCTION("""COMPUTED_VALUE"""),"")</f>
        <v/>
      </c>
    </row>
    <row r="8451">
      <c r="G8451" s="16" t="str">
        <f>IFERROR(__xludf.DUMMYFUNCTION("""COMPUTED_VALUE"""),"")</f>
        <v/>
      </c>
    </row>
    <row r="8452">
      <c r="G8452" s="16" t="str">
        <f>IFERROR(__xludf.DUMMYFUNCTION("""COMPUTED_VALUE"""),"")</f>
        <v/>
      </c>
    </row>
    <row r="8453">
      <c r="G8453" s="16" t="str">
        <f>IFERROR(__xludf.DUMMYFUNCTION("""COMPUTED_VALUE"""),"")</f>
        <v/>
      </c>
    </row>
    <row r="8454">
      <c r="G8454" s="16" t="str">
        <f>IFERROR(__xludf.DUMMYFUNCTION("""COMPUTED_VALUE"""),"")</f>
        <v/>
      </c>
    </row>
    <row r="8455">
      <c r="G8455" s="16" t="str">
        <f>IFERROR(__xludf.DUMMYFUNCTION("""COMPUTED_VALUE"""),"")</f>
        <v/>
      </c>
    </row>
    <row r="8456">
      <c r="G8456" s="16" t="str">
        <f>IFERROR(__xludf.DUMMYFUNCTION("""COMPUTED_VALUE"""),"")</f>
        <v/>
      </c>
    </row>
    <row r="8457">
      <c r="G8457" s="16" t="str">
        <f>IFERROR(__xludf.DUMMYFUNCTION("""COMPUTED_VALUE"""),"")</f>
        <v/>
      </c>
    </row>
    <row r="8458">
      <c r="G8458" s="16" t="str">
        <f>IFERROR(__xludf.DUMMYFUNCTION("""COMPUTED_VALUE"""),"")</f>
        <v/>
      </c>
    </row>
    <row r="8459">
      <c r="G8459" s="16" t="str">
        <f>IFERROR(__xludf.DUMMYFUNCTION("""COMPUTED_VALUE"""),"")</f>
        <v/>
      </c>
    </row>
    <row r="8460">
      <c r="G8460" s="16" t="str">
        <f>IFERROR(__xludf.DUMMYFUNCTION("""COMPUTED_VALUE"""),"")</f>
        <v/>
      </c>
    </row>
    <row r="8461">
      <c r="G8461" s="16" t="str">
        <f>IFERROR(__xludf.DUMMYFUNCTION("""COMPUTED_VALUE"""),"")</f>
        <v/>
      </c>
    </row>
    <row r="8462">
      <c r="G8462" s="16" t="str">
        <f>IFERROR(__xludf.DUMMYFUNCTION("""COMPUTED_VALUE"""),"")</f>
        <v/>
      </c>
    </row>
    <row r="8463">
      <c r="G8463" s="16" t="str">
        <f>IFERROR(__xludf.DUMMYFUNCTION("""COMPUTED_VALUE"""),"")</f>
        <v/>
      </c>
    </row>
    <row r="8464">
      <c r="G8464" s="16" t="str">
        <f>IFERROR(__xludf.DUMMYFUNCTION("""COMPUTED_VALUE"""),"")</f>
        <v/>
      </c>
    </row>
    <row r="8465">
      <c r="G8465" s="16" t="str">
        <f>IFERROR(__xludf.DUMMYFUNCTION("""COMPUTED_VALUE"""),"")</f>
        <v/>
      </c>
    </row>
    <row r="8466">
      <c r="G8466" s="16" t="str">
        <f>IFERROR(__xludf.DUMMYFUNCTION("""COMPUTED_VALUE"""),"")</f>
        <v/>
      </c>
    </row>
    <row r="8467">
      <c r="G8467" s="16" t="str">
        <f>IFERROR(__xludf.DUMMYFUNCTION("""COMPUTED_VALUE"""),"")</f>
        <v/>
      </c>
    </row>
    <row r="8468">
      <c r="G8468" s="16" t="str">
        <f>IFERROR(__xludf.DUMMYFUNCTION("""COMPUTED_VALUE"""),"")</f>
        <v/>
      </c>
    </row>
    <row r="8469">
      <c r="G8469" s="16" t="str">
        <f>IFERROR(__xludf.DUMMYFUNCTION("""COMPUTED_VALUE"""),"")</f>
        <v/>
      </c>
    </row>
    <row r="8470">
      <c r="G8470" s="16" t="str">
        <f>IFERROR(__xludf.DUMMYFUNCTION("""COMPUTED_VALUE"""),"")</f>
        <v/>
      </c>
    </row>
    <row r="8471">
      <c r="G8471" s="16" t="str">
        <f>IFERROR(__xludf.DUMMYFUNCTION("""COMPUTED_VALUE"""),"")</f>
        <v/>
      </c>
    </row>
    <row r="8472">
      <c r="G8472" s="16" t="str">
        <f>IFERROR(__xludf.DUMMYFUNCTION("""COMPUTED_VALUE"""),"")</f>
        <v/>
      </c>
    </row>
    <row r="8473">
      <c r="G8473" s="16" t="str">
        <f>IFERROR(__xludf.DUMMYFUNCTION("""COMPUTED_VALUE"""),"")</f>
        <v/>
      </c>
    </row>
    <row r="8474">
      <c r="G8474" s="16" t="str">
        <f>IFERROR(__xludf.DUMMYFUNCTION("""COMPUTED_VALUE"""),"")</f>
        <v/>
      </c>
    </row>
    <row r="8475">
      <c r="G8475" s="16" t="str">
        <f>IFERROR(__xludf.DUMMYFUNCTION("""COMPUTED_VALUE"""),"")</f>
        <v/>
      </c>
    </row>
    <row r="8476">
      <c r="G8476" s="16" t="str">
        <f>IFERROR(__xludf.DUMMYFUNCTION("""COMPUTED_VALUE"""),"")</f>
        <v/>
      </c>
    </row>
    <row r="8477">
      <c r="G8477" s="16" t="str">
        <f>IFERROR(__xludf.DUMMYFUNCTION("""COMPUTED_VALUE"""),"")</f>
        <v/>
      </c>
    </row>
    <row r="8478">
      <c r="G8478" s="16" t="str">
        <f>IFERROR(__xludf.DUMMYFUNCTION("""COMPUTED_VALUE"""),"")</f>
        <v/>
      </c>
    </row>
    <row r="8479">
      <c r="G8479" s="16" t="str">
        <f>IFERROR(__xludf.DUMMYFUNCTION("""COMPUTED_VALUE"""),"")</f>
        <v/>
      </c>
    </row>
    <row r="8480">
      <c r="G8480" s="16" t="str">
        <f>IFERROR(__xludf.DUMMYFUNCTION("""COMPUTED_VALUE"""),"")</f>
        <v/>
      </c>
    </row>
    <row r="8481">
      <c r="G8481" s="16" t="str">
        <f>IFERROR(__xludf.DUMMYFUNCTION("""COMPUTED_VALUE"""),"")</f>
        <v/>
      </c>
    </row>
    <row r="8482">
      <c r="G8482" s="16" t="str">
        <f>IFERROR(__xludf.DUMMYFUNCTION("""COMPUTED_VALUE"""),"")</f>
        <v/>
      </c>
    </row>
    <row r="8483">
      <c r="G8483" s="16" t="str">
        <f>IFERROR(__xludf.DUMMYFUNCTION("""COMPUTED_VALUE"""),"")</f>
        <v/>
      </c>
    </row>
    <row r="8484">
      <c r="G8484" s="16" t="str">
        <f>IFERROR(__xludf.DUMMYFUNCTION("""COMPUTED_VALUE"""),"")</f>
        <v/>
      </c>
    </row>
    <row r="8485">
      <c r="G8485" s="16" t="str">
        <f>IFERROR(__xludf.DUMMYFUNCTION("""COMPUTED_VALUE"""),"")</f>
        <v/>
      </c>
    </row>
    <row r="8486">
      <c r="G8486" s="16" t="str">
        <f>IFERROR(__xludf.DUMMYFUNCTION("""COMPUTED_VALUE"""),"")</f>
        <v/>
      </c>
    </row>
    <row r="8487">
      <c r="G8487" s="16" t="str">
        <f>IFERROR(__xludf.DUMMYFUNCTION("""COMPUTED_VALUE"""),"")</f>
        <v/>
      </c>
    </row>
    <row r="8488">
      <c r="G8488" s="16" t="str">
        <f>IFERROR(__xludf.DUMMYFUNCTION("""COMPUTED_VALUE"""),"")</f>
        <v/>
      </c>
    </row>
    <row r="8489">
      <c r="G8489" s="16" t="str">
        <f>IFERROR(__xludf.DUMMYFUNCTION("""COMPUTED_VALUE"""),"")</f>
        <v/>
      </c>
    </row>
    <row r="8490">
      <c r="G8490" s="16" t="str">
        <f>IFERROR(__xludf.DUMMYFUNCTION("""COMPUTED_VALUE"""),"")</f>
        <v/>
      </c>
    </row>
    <row r="8491">
      <c r="G8491" s="16" t="str">
        <f>IFERROR(__xludf.DUMMYFUNCTION("""COMPUTED_VALUE"""),"")</f>
        <v/>
      </c>
    </row>
    <row r="8492">
      <c r="G8492" s="16" t="str">
        <f>IFERROR(__xludf.DUMMYFUNCTION("""COMPUTED_VALUE"""),"")</f>
        <v/>
      </c>
    </row>
    <row r="8493">
      <c r="G8493" s="16" t="str">
        <f>IFERROR(__xludf.DUMMYFUNCTION("""COMPUTED_VALUE"""),"")</f>
        <v/>
      </c>
    </row>
    <row r="8494">
      <c r="G8494" s="16" t="str">
        <f>IFERROR(__xludf.DUMMYFUNCTION("""COMPUTED_VALUE"""),"")</f>
        <v/>
      </c>
    </row>
    <row r="8495">
      <c r="G8495" s="16" t="str">
        <f>IFERROR(__xludf.DUMMYFUNCTION("""COMPUTED_VALUE"""),"")</f>
        <v/>
      </c>
    </row>
    <row r="8496">
      <c r="G8496" s="16" t="str">
        <f>IFERROR(__xludf.DUMMYFUNCTION("""COMPUTED_VALUE"""),"")</f>
        <v/>
      </c>
    </row>
    <row r="8497">
      <c r="G8497" s="16" t="str">
        <f>IFERROR(__xludf.DUMMYFUNCTION("""COMPUTED_VALUE"""),"")</f>
        <v/>
      </c>
    </row>
    <row r="8498">
      <c r="G8498" s="16" t="str">
        <f>IFERROR(__xludf.DUMMYFUNCTION("""COMPUTED_VALUE"""),"")</f>
        <v/>
      </c>
    </row>
    <row r="8499">
      <c r="G8499" s="16" t="str">
        <f>IFERROR(__xludf.DUMMYFUNCTION("""COMPUTED_VALUE"""),"")</f>
        <v/>
      </c>
    </row>
    <row r="8500">
      <c r="G8500" s="16" t="str">
        <f>IFERROR(__xludf.DUMMYFUNCTION("""COMPUTED_VALUE"""),"")</f>
        <v/>
      </c>
    </row>
    <row r="8501">
      <c r="G8501" s="16" t="str">
        <f>IFERROR(__xludf.DUMMYFUNCTION("""COMPUTED_VALUE"""),"")</f>
        <v/>
      </c>
    </row>
    <row r="8502">
      <c r="G8502" s="16" t="str">
        <f>IFERROR(__xludf.DUMMYFUNCTION("""COMPUTED_VALUE"""),"")</f>
        <v/>
      </c>
    </row>
    <row r="8503">
      <c r="G8503" s="16" t="str">
        <f>IFERROR(__xludf.DUMMYFUNCTION("""COMPUTED_VALUE"""),"")</f>
        <v/>
      </c>
    </row>
    <row r="8504">
      <c r="G8504" s="16" t="str">
        <f>IFERROR(__xludf.DUMMYFUNCTION("""COMPUTED_VALUE"""),"")</f>
        <v/>
      </c>
    </row>
    <row r="8505">
      <c r="G8505" s="16" t="str">
        <f>IFERROR(__xludf.DUMMYFUNCTION("""COMPUTED_VALUE"""),"")</f>
        <v/>
      </c>
    </row>
    <row r="8506">
      <c r="G8506" s="16" t="str">
        <f>IFERROR(__xludf.DUMMYFUNCTION("""COMPUTED_VALUE"""),"")</f>
        <v/>
      </c>
    </row>
    <row r="8507">
      <c r="G8507" s="16" t="str">
        <f>IFERROR(__xludf.DUMMYFUNCTION("""COMPUTED_VALUE"""),"")</f>
        <v/>
      </c>
    </row>
    <row r="8508">
      <c r="G8508" s="16" t="str">
        <f>IFERROR(__xludf.DUMMYFUNCTION("""COMPUTED_VALUE"""),"")</f>
        <v/>
      </c>
    </row>
    <row r="8509">
      <c r="G8509" s="16" t="str">
        <f>IFERROR(__xludf.DUMMYFUNCTION("""COMPUTED_VALUE"""),"")</f>
        <v/>
      </c>
    </row>
    <row r="8510">
      <c r="G8510" s="16" t="str">
        <f>IFERROR(__xludf.DUMMYFUNCTION("""COMPUTED_VALUE"""),"")</f>
        <v/>
      </c>
    </row>
    <row r="8511">
      <c r="G8511" s="16" t="str">
        <f>IFERROR(__xludf.DUMMYFUNCTION("""COMPUTED_VALUE"""),"")</f>
        <v/>
      </c>
    </row>
    <row r="8512">
      <c r="G8512" s="16" t="str">
        <f>IFERROR(__xludf.DUMMYFUNCTION("""COMPUTED_VALUE"""),"")</f>
        <v/>
      </c>
    </row>
    <row r="8513">
      <c r="G8513" s="16" t="str">
        <f>IFERROR(__xludf.DUMMYFUNCTION("""COMPUTED_VALUE"""),"")</f>
        <v/>
      </c>
    </row>
    <row r="8514">
      <c r="G8514" s="16" t="str">
        <f>IFERROR(__xludf.DUMMYFUNCTION("""COMPUTED_VALUE"""),"")</f>
        <v/>
      </c>
    </row>
    <row r="8515">
      <c r="G8515" s="16" t="str">
        <f>IFERROR(__xludf.DUMMYFUNCTION("""COMPUTED_VALUE"""),"")</f>
        <v/>
      </c>
    </row>
    <row r="8516">
      <c r="G8516" s="16" t="str">
        <f>IFERROR(__xludf.DUMMYFUNCTION("""COMPUTED_VALUE"""),"")</f>
        <v/>
      </c>
    </row>
    <row r="8517">
      <c r="G8517" s="16" t="str">
        <f>IFERROR(__xludf.DUMMYFUNCTION("""COMPUTED_VALUE"""),"")</f>
        <v/>
      </c>
    </row>
    <row r="8518">
      <c r="G8518" s="16" t="str">
        <f>IFERROR(__xludf.DUMMYFUNCTION("""COMPUTED_VALUE"""),"")</f>
        <v/>
      </c>
    </row>
    <row r="8519">
      <c r="G8519" s="16" t="str">
        <f>IFERROR(__xludf.DUMMYFUNCTION("""COMPUTED_VALUE"""),"")</f>
        <v/>
      </c>
    </row>
    <row r="8520">
      <c r="G8520" s="16" t="str">
        <f>IFERROR(__xludf.DUMMYFUNCTION("""COMPUTED_VALUE"""),"")</f>
        <v/>
      </c>
    </row>
    <row r="8521">
      <c r="G8521" s="16" t="str">
        <f>IFERROR(__xludf.DUMMYFUNCTION("""COMPUTED_VALUE"""),"")</f>
        <v/>
      </c>
    </row>
    <row r="8522">
      <c r="G8522" s="16" t="str">
        <f>IFERROR(__xludf.DUMMYFUNCTION("""COMPUTED_VALUE"""),"")</f>
        <v/>
      </c>
    </row>
    <row r="8523">
      <c r="G8523" s="16" t="str">
        <f>IFERROR(__xludf.DUMMYFUNCTION("""COMPUTED_VALUE"""),"")</f>
        <v/>
      </c>
    </row>
    <row r="8524">
      <c r="G8524" s="16" t="str">
        <f>IFERROR(__xludf.DUMMYFUNCTION("""COMPUTED_VALUE"""),"")</f>
        <v/>
      </c>
    </row>
    <row r="8525">
      <c r="G8525" s="16" t="str">
        <f>IFERROR(__xludf.DUMMYFUNCTION("""COMPUTED_VALUE"""),"")</f>
        <v/>
      </c>
    </row>
    <row r="8526">
      <c r="G8526" s="16" t="str">
        <f>IFERROR(__xludf.DUMMYFUNCTION("""COMPUTED_VALUE"""),"")</f>
        <v/>
      </c>
    </row>
    <row r="8527">
      <c r="G8527" s="16" t="str">
        <f>IFERROR(__xludf.DUMMYFUNCTION("""COMPUTED_VALUE"""),"")</f>
        <v/>
      </c>
    </row>
    <row r="8528">
      <c r="G8528" s="16" t="str">
        <f>IFERROR(__xludf.DUMMYFUNCTION("""COMPUTED_VALUE"""),"")</f>
        <v/>
      </c>
    </row>
    <row r="8529">
      <c r="G8529" s="16" t="str">
        <f>IFERROR(__xludf.DUMMYFUNCTION("""COMPUTED_VALUE"""),"")</f>
        <v/>
      </c>
    </row>
    <row r="8530">
      <c r="G8530" s="16" t="str">
        <f>IFERROR(__xludf.DUMMYFUNCTION("""COMPUTED_VALUE"""),"")</f>
        <v/>
      </c>
    </row>
    <row r="8531">
      <c r="G8531" s="16" t="str">
        <f>IFERROR(__xludf.DUMMYFUNCTION("""COMPUTED_VALUE"""),"")</f>
        <v/>
      </c>
    </row>
    <row r="8532">
      <c r="G8532" s="16" t="str">
        <f>IFERROR(__xludf.DUMMYFUNCTION("""COMPUTED_VALUE"""),"")</f>
        <v/>
      </c>
    </row>
    <row r="8533">
      <c r="G8533" s="16" t="str">
        <f>IFERROR(__xludf.DUMMYFUNCTION("""COMPUTED_VALUE"""),"")</f>
        <v/>
      </c>
    </row>
    <row r="8534">
      <c r="G8534" s="16" t="str">
        <f>IFERROR(__xludf.DUMMYFUNCTION("""COMPUTED_VALUE"""),"")</f>
        <v/>
      </c>
    </row>
    <row r="8535">
      <c r="G8535" s="16" t="str">
        <f>IFERROR(__xludf.DUMMYFUNCTION("""COMPUTED_VALUE"""),"")</f>
        <v/>
      </c>
    </row>
    <row r="8536">
      <c r="G8536" s="16" t="str">
        <f>IFERROR(__xludf.DUMMYFUNCTION("""COMPUTED_VALUE"""),"")</f>
        <v/>
      </c>
    </row>
    <row r="8537">
      <c r="G8537" s="16" t="str">
        <f>IFERROR(__xludf.DUMMYFUNCTION("""COMPUTED_VALUE"""),"")</f>
        <v/>
      </c>
    </row>
    <row r="8538">
      <c r="G8538" s="16" t="str">
        <f>IFERROR(__xludf.DUMMYFUNCTION("""COMPUTED_VALUE"""),"")</f>
        <v/>
      </c>
    </row>
    <row r="8539">
      <c r="G8539" s="16" t="str">
        <f>IFERROR(__xludf.DUMMYFUNCTION("""COMPUTED_VALUE"""),"")</f>
        <v/>
      </c>
    </row>
    <row r="8540">
      <c r="G8540" s="16" t="str">
        <f>IFERROR(__xludf.DUMMYFUNCTION("""COMPUTED_VALUE"""),"")</f>
        <v/>
      </c>
    </row>
    <row r="8541">
      <c r="G8541" s="16" t="str">
        <f>IFERROR(__xludf.DUMMYFUNCTION("""COMPUTED_VALUE"""),"")</f>
        <v/>
      </c>
    </row>
    <row r="8542">
      <c r="G8542" s="16" t="str">
        <f>IFERROR(__xludf.DUMMYFUNCTION("""COMPUTED_VALUE"""),"")</f>
        <v/>
      </c>
    </row>
    <row r="8543">
      <c r="G8543" s="16" t="str">
        <f>IFERROR(__xludf.DUMMYFUNCTION("""COMPUTED_VALUE"""),"")</f>
        <v/>
      </c>
    </row>
    <row r="8544">
      <c r="G8544" s="16" t="str">
        <f>IFERROR(__xludf.DUMMYFUNCTION("""COMPUTED_VALUE"""),"")</f>
        <v/>
      </c>
    </row>
    <row r="8545">
      <c r="G8545" s="16" t="str">
        <f>IFERROR(__xludf.DUMMYFUNCTION("""COMPUTED_VALUE"""),"")</f>
        <v/>
      </c>
    </row>
    <row r="8546">
      <c r="G8546" s="16" t="str">
        <f>IFERROR(__xludf.DUMMYFUNCTION("""COMPUTED_VALUE"""),"")</f>
        <v/>
      </c>
    </row>
    <row r="8547">
      <c r="G8547" s="16" t="str">
        <f>IFERROR(__xludf.DUMMYFUNCTION("""COMPUTED_VALUE"""),"")</f>
        <v/>
      </c>
    </row>
    <row r="8548">
      <c r="G8548" s="16" t="str">
        <f>IFERROR(__xludf.DUMMYFUNCTION("""COMPUTED_VALUE"""),"")</f>
        <v/>
      </c>
    </row>
    <row r="8549">
      <c r="G8549" s="16" t="str">
        <f>IFERROR(__xludf.DUMMYFUNCTION("""COMPUTED_VALUE"""),"")</f>
        <v/>
      </c>
    </row>
    <row r="8550">
      <c r="G8550" s="16" t="str">
        <f>IFERROR(__xludf.DUMMYFUNCTION("""COMPUTED_VALUE"""),"")</f>
        <v/>
      </c>
    </row>
    <row r="8551">
      <c r="G8551" s="16" t="str">
        <f>IFERROR(__xludf.DUMMYFUNCTION("""COMPUTED_VALUE"""),"")</f>
        <v/>
      </c>
    </row>
    <row r="8552">
      <c r="G8552" s="16" t="str">
        <f>IFERROR(__xludf.DUMMYFUNCTION("""COMPUTED_VALUE"""),"")</f>
        <v/>
      </c>
    </row>
    <row r="8553">
      <c r="G8553" s="16" t="str">
        <f>IFERROR(__xludf.DUMMYFUNCTION("""COMPUTED_VALUE"""),"")</f>
        <v/>
      </c>
    </row>
    <row r="8554">
      <c r="G8554" s="16" t="str">
        <f>IFERROR(__xludf.DUMMYFUNCTION("""COMPUTED_VALUE"""),"")</f>
        <v/>
      </c>
    </row>
    <row r="8555">
      <c r="G8555" s="16" t="str">
        <f>IFERROR(__xludf.DUMMYFUNCTION("""COMPUTED_VALUE"""),"")</f>
        <v/>
      </c>
    </row>
    <row r="8556">
      <c r="G8556" s="16" t="str">
        <f>IFERROR(__xludf.DUMMYFUNCTION("""COMPUTED_VALUE"""),"")</f>
        <v/>
      </c>
    </row>
    <row r="8557">
      <c r="G8557" s="16" t="str">
        <f>IFERROR(__xludf.DUMMYFUNCTION("""COMPUTED_VALUE"""),"")</f>
        <v/>
      </c>
    </row>
    <row r="8558">
      <c r="G8558" s="16" t="str">
        <f>IFERROR(__xludf.DUMMYFUNCTION("""COMPUTED_VALUE"""),"")</f>
        <v/>
      </c>
    </row>
    <row r="8559">
      <c r="G8559" s="16" t="str">
        <f>IFERROR(__xludf.DUMMYFUNCTION("""COMPUTED_VALUE"""),"")</f>
        <v/>
      </c>
    </row>
    <row r="8560">
      <c r="G8560" s="16" t="str">
        <f>IFERROR(__xludf.DUMMYFUNCTION("""COMPUTED_VALUE"""),"")</f>
        <v/>
      </c>
    </row>
    <row r="8561">
      <c r="G8561" s="16" t="str">
        <f>IFERROR(__xludf.DUMMYFUNCTION("""COMPUTED_VALUE"""),"")</f>
        <v/>
      </c>
    </row>
    <row r="8562">
      <c r="G8562" s="16" t="str">
        <f>IFERROR(__xludf.DUMMYFUNCTION("""COMPUTED_VALUE"""),"")</f>
        <v/>
      </c>
    </row>
    <row r="8563">
      <c r="G8563" s="16" t="str">
        <f>IFERROR(__xludf.DUMMYFUNCTION("""COMPUTED_VALUE"""),"")</f>
        <v/>
      </c>
    </row>
    <row r="8564">
      <c r="G8564" s="16" t="str">
        <f>IFERROR(__xludf.DUMMYFUNCTION("""COMPUTED_VALUE"""),"")</f>
        <v/>
      </c>
    </row>
    <row r="8565">
      <c r="G8565" s="16" t="str">
        <f>IFERROR(__xludf.DUMMYFUNCTION("""COMPUTED_VALUE"""),"")</f>
        <v/>
      </c>
    </row>
    <row r="8566">
      <c r="G8566" s="16" t="str">
        <f>IFERROR(__xludf.DUMMYFUNCTION("""COMPUTED_VALUE"""),"")</f>
        <v/>
      </c>
    </row>
    <row r="8567">
      <c r="G8567" s="16" t="str">
        <f>IFERROR(__xludf.DUMMYFUNCTION("""COMPUTED_VALUE"""),"")</f>
        <v/>
      </c>
    </row>
    <row r="8568">
      <c r="G8568" s="16" t="str">
        <f>IFERROR(__xludf.DUMMYFUNCTION("""COMPUTED_VALUE"""),"")</f>
        <v/>
      </c>
    </row>
    <row r="8569">
      <c r="G8569" s="16" t="str">
        <f>IFERROR(__xludf.DUMMYFUNCTION("""COMPUTED_VALUE"""),"")</f>
        <v/>
      </c>
    </row>
    <row r="8570">
      <c r="G8570" s="16" t="str">
        <f>IFERROR(__xludf.DUMMYFUNCTION("""COMPUTED_VALUE"""),"")</f>
        <v/>
      </c>
    </row>
    <row r="8571">
      <c r="G8571" s="16" t="str">
        <f>IFERROR(__xludf.DUMMYFUNCTION("""COMPUTED_VALUE"""),"")</f>
        <v/>
      </c>
    </row>
    <row r="8572">
      <c r="G8572" s="16" t="str">
        <f>IFERROR(__xludf.DUMMYFUNCTION("""COMPUTED_VALUE"""),"")</f>
        <v/>
      </c>
    </row>
    <row r="8573">
      <c r="G8573" s="16" t="str">
        <f>IFERROR(__xludf.DUMMYFUNCTION("""COMPUTED_VALUE"""),"")</f>
        <v/>
      </c>
    </row>
    <row r="8574">
      <c r="G8574" s="16" t="str">
        <f>IFERROR(__xludf.DUMMYFUNCTION("""COMPUTED_VALUE"""),"")</f>
        <v/>
      </c>
    </row>
    <row r="8575">
      <c r="G8575" s="16" t="str">
        <f>IFERROR(__xludf.DUMMYFUNCTION("""COMPUTED_VALUE"""),"")</f>
        <v/>
      </c>
    </row>
    <row r="8576">
      <c r="G8576" s="16" t="str">
        <f>IFERROR(__xludf.DUMMYFUNCTION("""COMPUTED_VALUE"""),"")</f>
        <v/>
      </c>
    </row>
    <row r="8577">
      <c r="G8577" s="16" t="str">
        <f>IFERROR(__xludf.DUMMYFUNCTION("""COMPUTED_VALUE"""),"")</f>
        <v/>
      </c>
    </row>
    <row r="8578">
      <c r="G8578" s="16" t="str">
        <f>IFERROR(__xludf.DUMMYFUNCTION("""COMPUTED_VALUE"""),"")</f>
        <v/>
      </c>
    </row>
    <row r="8579">
      <c r="G8579" s="16" t="str">
        <f>IFERROR(__xludf.DUMMYFUNCTION("""COMPUTED_VALUE"""),"")</f>
        <v/>
      </c>
    </row>
    <row r="8580">
      <c r="G8580" s="16" t="str">
        <f>IFERROR(__xludf.DUMMYFUNCTION("""COMPUTED_VALUE"""),"")</f>
        <v/>
      </c>
    </row>
    <row r="8581">
      <c r="G8581" s="16" t="str">
        <f>IFERROR(__xludf.DUMMYFUNCTION("""COMPUTED_VALUE"""),"")</f>
        <v/>
      </c>
    </row>
    <row r="8582">
      <c r="G8582" s="16" t="str">
        <f>IFERROR(__xludf.DUMMYFUNCTION("""COMPUTED_VALUE"""),"")</f>
        <v/>
      </c>
    </row>
    <row r="8583">
      <c r="G8583" s="16" t="str">
        <f>IFERROR(__xludf.DUMMYFUNCTION("""COMPUTED_VALUE"""),"")</f>
        <v/>
      </c>
    </row>
    <row r="8584">
      <c r="G8584" s="16" t="str">
        <f>IFERROR(__xludf.DUMMYFUNCTION("""COMPUTED_VALUE"""),"")</f>
        <v/>
      </c>
    </row>
    <row r="8585">
      <c r="G8585" s="16" t="str">
        <f>IFERROR(__xludf.DUMMYFUNCTION("""COMPUTED_VALUE"""),"")</f>
        <v/>
      </c>
    </row>
    <row r="8586">
      <c r="G8586" s="16" t="str">
        <f>IFERROR(__xludf.DUMMYFUNCTION("""COMPUTED_VALUE"""),"")</f>
        <v/>
      </c>
    </row>
    <row r="8587">
      <c r="G8587" s="16" t="str">
        <f>IFERROR(__xludf.DUMMYFUNCTION("""COMPUTED_VALUE"""),"")</f>
        <v/>
      </c>
    </row>
    <row r="8588">
      <c r="G8588" s="16" t="str">
        <f>IFERROR(__xludf.DUMMYFUNCTION("""COMPUTED_VALUE"""),"")</f>
        <v/>
      </c>
    </row>
    <row r="8589">
      <c r="G8589" s="16" t="str">
        <f>IFERROR(__xludf.DUMMYFUNCTION("""COMPUTED_VALUE"""),"")</f>
        <v/>
      </c>
    </row>
    <row r="8590">
      <c r="G8590" s="16" t="str">
        <f>IFERROR(__xludf.DUMMYFUNCTION("""COMPUTED_VALUE"""),"")</f>
        <v/>
      </c>
    </row>
    <row r="8591">
      <c r="G8591" s="16" t="str">
        <f>IFERROR(__xludf.DUMMYFUNCTION("""COMPUTED_VALUE"""),"")</f>
        <v/>
      </c>
    </row>
    <row r="8592">
      <c r="G8592" s="16" t="str">
        <f>IFERROR(__xludf.DUMMYFUNCTION("""COMPUTED_VALUE"""),"")</f>
        <v/>
      </c>
    </row>
    <row r="8593">
      <c r="G8593" s="16" t="str">
        <f>IFERROR(__xludf.DUMMYFUNCTION("""COMPUTED_VALUE"""),"")</f>
        <v/>
      </c>
    </row>
    <row r="8594">
      <c r="G8594" s="16" t="str">
        <f>IFERROR(__xludf.DUMMYFUNCTION("""COMPUTED_VALUE"""),"")</f>
        <v/>
      </c>
    </row>
    <row r="8595">
      <c r="G8595" s="16" t="str">
        <f>IFERROR(__xludf.DUMMYFUNCTION("""COMPUTED_VALUE"""),"")</f>
        <v/>
      </c>
    </row>
    <row r="8596">
      <c r="G8596" s="16" t="str">
        <f>IFERROR(__xludf.DUMMYFUNCTION("""COMPUTED_VALUE"""),"")</f>
        <v/>
      </c>
    </row>
    <row r="8597">
      <c r="G8597" s="16" t="str">
        <f>IFERROR(__xludf.DUMMYFUNCTION("""COMPUTED_VALUE"""),"")</f>
        <v/>
      </c>
    </row>
    <row r="8598">
      <c r="G8598" s="16" t="str">
        <f>IFERROR(__xludf.DUMMYFUNCTION("""COMPUTED_VALUE"""),"")</f>
        <v/>
      </c>
    </row>
    <row r="8599">
      <c r="G8599" s="16" t="str">
        <f>IFERROR(__xludf.DUMMYFUNCTION("""COMPUTED_VALUE"""),"")</f>
        <v/>
      </c>
    </row>
    <row r="8600">
      <c r="G8600" s="16" t="str">
        <f>IFERROR(__xludf.DUMMYFUNCTION("""COMPUTED_VALUE"""),"")</f>
        <v/>
      </c>
    </row>
    <row r="8601">
      <c r="G8601" s="16" t="str">
        <f>IFERROR(__xludf.DUMMYFUNCTION("""COMPUTED_VALUE"""),"")</f>
        <v/>
      </c>
    </row>
    <row r="8602">
      <c r="G8602" s="16" t="str">
        <f>IFERROR(__xludf.DUMMYFUNCTION("""COMPUTED_VALUE"""),"")</f>
        <v/>
      </c>
    </row>
    <row r="8603">
      <c r="G8603" s="16" t="str">
        <f>IFERROR(__xludf.DUMMYFUNCTION("""COMPUTED_VALUE"""),"")</f>
        <v/>
      </c>
    </row>
    <row r="8604">
      <c r="G8604" s="16" t="str">
        <f>IFERROR(__xludf.DUMMYFUNCTION("""COMPUTED_VALUE"""),"")</f>
        <v/>
      </c>
    </row>
    <row r="8605">
      <c r="G8605" s="16" t="str">
        <f>IFERROR(__xludf.DUMMYFUNCTION("""COMPUTED_VALUE"""),"")</f>
        <v/>
      </c>
    </row>
    <row r="8606">
      <c r="G8606" s="16" t="str">
        <f>IFERROR(__xludf.DUMMYFUNCTION("""COMPUTED_VALUE"""),"")</f>
        <v/>
      </c>
    </row>
    <row r="8607">
      <c r="G8607" s="16" t="str">
        <f>IFERROR(__xludf.DUMMYFUNCTION("""COMPUTED_VALUE"""),"")</f>
        <v/>
      </c>
    </row>
    <row r="8608">
      <c r="G8608" s="16" t="str">
        <f>IFERROR(__xludf.DUMMYFUNCTION("""COMPUTED_VALUE"""),"")</f>
        <v/>
      </c>
    </row>
    <row r="8609">
      <c r="G8609" s="16" t="str">
        <f>IFERROR(__xludf.DUMMYFUNCTION("""COMPUTED_VALUE"""),"")</f>
        <v/>
      </c>
    </row>
    <row r="8610">
      <c r="G8610" s="16" t="str">
        <f>IFERROR(__xludf.DUMMYFUNCTION("""COMPUTED_VALUE"""),"")</f>
        <v/>
      </c>
    </row>
    <row r="8611">
      <c r="G8611" s="16" t="str">
        <f>IFERROR(__xludf.DUMMYFUNCTION("""COMPUTED_VALUE"""),"")</f>
        <v/>
      </c>
    </row>
    <row r="8612">
      <c r="G8612" s="16" t="str">
        <f>IFERROR(__xludf.DUMMYFUNCTION("""COMPUTED_VALUE"""),"")</f>
        <v/>
      </c>
    </row>
    <row r="8613">
      <c r="G8613" s="16" t="str">
        <f>IFERROR(__xludf.DUMMYFUNCTION("""COMPUTED_VALUE"""),"")</f>
        <v/>
      </c>
    </row>
    <row r="8614">
      <c r="G8614" s="16" t="str">
        <f>IFERROR(__xludf.DUMMYFUNCTION("""COMPUTED_VALUE"""),"")</f>
        <v/>
      </c>
    </row>
    <row r="8615">
      <c r="G8615" s="16" t="str">
        <f>IFERROR(__xludf.DUMMYFUNCTION("""COMPUTED_VALUE"""),"")</f>
        <v/>
      </c>
    </row>
    <row r="8616">
      <c r="G8616" s="16" t="str">
        <f>IFERROR(__xludf.DUMMYFUNCTION("""COMPUTED_VALUE"""),"")</f>
        <v/>
      </c>
    </row>
    <row r="8617">
      <c r="G8617" s="16" t="str">
        <f>IFERROR(__xludf.DUMMYFUNCTION("""COMPUTED_VALUE"""),"")</f>
        <v/>
      </c>
    </row>
    <row r="8618">
      <c r="G8618" s="16" t="str">
        <f>IFERROR(__xludf.DUMMYFUNCTION("""COMPUTED_VALUE"""),"")</f>
        <v/>
      </c>
    </row>
    <row r="8619">
      <c r="G8619" s="16" t="str">
        <f>IFERROR(__xludf.DUMMYFUNCTION("""COMPUTED_VALUE"""),"")</f>
        <v/>
      </c>
    </row>
    <row r="8620">
      <c r="G8620" s="16" t="str">
        <f>IFERROR(__xludf.DUMMYFUNCTION("""COMPUTED_VALUE"""),"")</f>
        <v/>
      </c>
    </row>
    <row r="8621">
      <c r="G8621" s="16" t="str">
        <f>IFERROR(__xludf.DUMMYFUNCTION("""COMPUTED_VALUE"""),"")</f>
        <v/>
      </c>
    </row>
    <row r="8622">
      <c r="G8622" s="16" t="str">
        <f>IFERROR(__xludf.DUMMYFUNCTION("""COMPUTED_VALUE"""),"")</f>
        <v/>
      </c>
    </row>
    <row r="8623">
      <c r="G8623" s="16" t="str">
        <f>IFERROR(__xludf.DUMMYFUNCTION("""COMPUTED_VALUE"""),"")</f>
        <v/>
      </c>
    </row>
    <row r="8624">
      <c r="G8624" s="16" t="str">
        <f>IFERROR(__xludf.DUMMYFUNCTION("""COMPUTED_VALUE"""),"")</f>
        <v/>
      </c>
    </row>
    <row r="8625">
      <c r="G8625" s="16" t="str">
        <f>IFERROR(__xludf.DUMMYFUNCTION("""COMPUTED_VALUE"""),"")</f>
        <v/>
      </c>
    </row>
    <row r="8626">
      <c r="G8626" s="16" t="str">
        <f>IFERROR(__xludf.DUMMYFUNCTION("""COMPUTED_VALUE"""),"")</f>
        <v/>
      </c>
    </row>
    <row r="8627">
      <c r="G8627" s="16" t="str">
        <f>IFERROR(__xludf.DUMMYFUNCTION("""COMPUTED_VALUE"""),"")</f>
        <v/>
      </c>
    </row>
    <row r="8628">
      <c r="G8628" s="16" t="str">
        <f>IFERROR(__xludf.DUMMYFUNCTION("""COMPUTED_VALUE"""),"")</f>
        <v/>
      </c>
    </row>
    <row r="8629">
      <c r="G8629" s="16" t="str">
        <f>IFERROR(__xludf.DUMMYFUNCTION("""COMPUTED_VALUE"""),"")</f>
        <v/>
      </c>
    </row>
    <row r="8630">
      <c r="G8630" s="16" t="str">
        <f>IFERROR(__xludf.DUMMYFUNCTION("""COMPUTED_VALUE"""),"")</f>
        <v/>
      </c>
    </row>
    <row r="8631">
      <c r="G8631" s="16" t="str">
        <f>IFERROR(__xludf.DUMMYFUNCTION("""COMPUTED_VALUE"""),"")</f>
        <v/>
      </c>
    </row>
    <row r="8632">
      <c r="G8632" s="16" t="str">
        <f>IFERROR(__xludf.DUMMYFUNCTION("""COMPUTED_VALUE"""),"")</f>
        <v/>
      </c>
    </row>
    <row r="8633">
      <c r="G8633" s="16" t="str">
        <f>IFERROR(__xludf.DUMMYFUNCTION("""COMPUTED_VALUE"""),"")</f>
        <v/>
      </c>
    </row>
    <row r="8634">
      <c r="G8634" s="16" t="str">
        <f>IFERROR(__xludf.DUMMYFUNCTION("""COMPUTED_VALUE"""),"")</f>
        <v/>
      </c>
    </row>
    <row r="8635">
      <c r="G8635" s="16" t="str">
        <f>IFERROR(__xludf.DUMMYFUNCTION("""COMPUTED_VALUE"""),"")</f>
        <v/>
      </c>
    </row>
    <row r="8636">
      <c r="G8636" s="16" t="str">
        <f>IFERROR(__xludf.DUMMYFUNCTION("""COMPUTED_VALUE"""),"")</f>
        <v/>
      </c>
    </row>
    <row r="8637">
      <c r="G8637" s="16" t="str">
        <f>IFERROR(__xludf.DUMMYFUNCTION("""COMPUTED_VALUE"""),"")</f>
        <v/>
      </c>
    </row>
    <row r="8638">
      <c r="G8638" s="16" t="str">
        <f>IFERROR(__xludf.DUMMYFUNCTION("""COMPUTED_VALUE"""),"")</f>
        <v/>
      </c>
    </row>
    <row r="8639">
      <c r="G8639" s="16" t="str">
        <f>IFERROR(__xludf.DUMMYFUNCTION("""COMPUTED_VALUE"""),"")</f>
        <v/>
      </c>
    </row>
    <row r="8640">
      <c r="G8640" s="16" t="str">
        <f>IFERROR(__xludf.DUMMYFUNCTION("""COMPUTED_VALUE"""),"")</f>
        <v/>
      </c>
    </row>
    <row r="8641">
      <c r="G8641" s="16" t="str">
        <f>IFERROR(__xludf.DUMMYFUNCTION("""COMPUTED_VALUE"""),"")</f>
        <v/>
      </c>
    </row>
    <row r="8642">
      <c r="G8642" s="16" t="str">
        <f>IFERROR(__xludf.DUMMYFUNCTION("""COMPUTED_VALUE"""),"")</f>
        <v/>
      </c>
    </row>
    <row r="8643">
      <c r="G8643" s="16" t="str">
        <f>IFERROR(__xludf.DUMMYFUNCTION("""COMPUTED_VALUE"""),"")</f>
        <v/>
      </c>
    </row>
    <row r="8644">
      <c r="G8644" s="16" t="str">
        <f>IFERROR(__xludf.DUMMYFUNCTION("""COMPUTED_VALUE"""),"")</f>
        <v/>
      </c>
    </row>
    <row r="8645">
      <c r="G8645" s="16" t="str">
        <f>IFERROR(__xludf.DUMMYFUNCTION("""COMPUTED_VALUE"""),"")</f>
        <v/>
      </c>
    </row>
    <row r="8646">
      <c r="G8646" s="16" t="str">
        <f>IFERROR(__xludf.DUMMYFUNCTION("""COMPUTED_VALUE"""),"")</f>
        <v/>
      </c>
    </row>
    <row r="8647">
      <c r="G8647" s="16" t="str">
        <f>IFERROR(__xludf.DUMMYFUNCTION("""COMPUTED_VALUE"""),"")</f>
        <v/>
      </c>
    </row>
    <row r="8648">
      <c r="G8648" s="16" t="str">
        <f>IFERROR(__xludf.DUMMYFUNCTION("""COMPUTED_VALUE"""),"")</f>
        <v/>
      </c>
    </row>
    <row r="8649">
      <c r="G8649" s="16" t="str">
        <f>IFERROR(__xludf.DUMMYFUNCTION("""COMPUTED_VALUE"""),"")</f>
        <v/>
      </c>
    </row>
    <row r="8650">
      <c r="G8650" s="16" t="str">
        <f>IFERROR(__xludf.DUMMYFUNCTION("""COMPUTED_VALUE"""),"")</f>
        <v/>
      </c>
    </row>
    <row r="8651">
      <c r="G8651" s="16" t="str">
        <f>IFERROR(__xludf.DUMMYFUNCTION("""COMPUTED_VALUE"""),"")</f>
        <v/>
      </c>
    </row>
    <row r="8652">
      <c r="G8652" s="16" t="str">
        <f>IFERROR(__xludf.DUMMYFUNCTION("""COMPUTED_VALUE"""),"")</f>
        <v/>
      </c>
    </row>
    <row r="8653">
      <c r="G8653" s="16" t="str">
        <f>IFERROR(__xludf.DUMMYFUNCTION("""COMPUTED_VALUE"""),"")</f>
        <v/>
      </c>
    </row>
    <row r="8654">
      <c r="G8654" s="16" t="str">
        <f>IFERROR(__xludf.DUMMYFUNCTION("""COMPUTED_VALUE"""),"")</f>
        <v/>
      </c>
    </row>
    <row r="8655">
      <c r="G8655" s="16" t="str">
        <f>IFERROR(__xludf.DUMMYFUNCTION("""COMPUTED_VALUE"""),"")</f>
        <v/>
      </c>
    </row>
    <row r="8656">
      <c r="G8656" s="16" t="str">
        <f>IFERROR(__xludf.DUMMYFUNCTION("""COMPUTED_VALUE"""),"")</f>
        <v/>
      </c>
    </row>
    <row r="8657">
      <c r="G8657" s="16" t="str">
        <f>IFERROR(__xludf.DUMMYFUNCTION("""COMPUTED_VALUE"""),"")</f>
        <v/>
      </c>
    </row>
    <row r="8658">
      <c r="G8658" s="16" t="str">
        <f>IFERROR(__xludf.DUMMYFUNCTION("""COMPUTED_VALUE"""),"")</f>
        <v/>
      </c>
    </row>
    <row r="8659">
      <c r="G8659" s="16" t="str">
        <f>IFERROR(__xludf.DUMMYFUNCTION("""COMPUTED_VALUE"""),"")</f>
        <v/>
      </c>
    </row>
    <row r="8660">
      <c r="G8660" s="16" t="str">
        <f>IFERROR(__xludf.DUMMYFUNCTION("""COMPUTED_VALUE"""),"")</f>
        <v/>
      </c>
    </row>
    <row r="8661">
      <c r="G8661" s="16" t="str">
        <f>IFERROR(__xludf.DUMMYFUNCTION("""COMPUTED_VALUE"""),"")</f>
        <v/>
      </c>
    </row>
    <row r="8662">
      <c r="G8662" s="16" t="str">
        <f>IFERROR(__xludf.DUMMYFUNCTION("""COMPUTED_VALUE"""),"")</f>
        <v/>
      </c>
    </row>
    <row r="8663">
      <c r="G8663" s="16" t="str">
        <f>IFERROR(__xludf.DUMMYFUNCTION("""COMPUTED_VALUE"""),"")</f>
        <v/>
      </c>
    </row>
    <row r="8664">
      <c r="G8664" s="16" t="str">
        <f>IFERROR(__xludf.DUMMYFUNCTION("""COMPUTED_VALUE"""),"")</f>
        <v/>
      </c>
    </row>
    <row r="8665">
      <c r="G8665" s="16" t="str">
        <f>IFERROR(__xludf.DUMMYFUNCTION("""COMPUTED_VALUE"""),"")</f>
        <v/>
      </c>
    </row>
    <row r="8666">
      <c r="G8666" s="16" t="str">
        <f>IFERROR(__xludf.DUMMYFUNCTION("""COMPUTED_VALUE"""),"")</f>
        <v/>
      </c>
    </row>
    <row r="8667">
      <c r="G8667" s="16" t="str">
        <f>IFERROR(__xludf.DUMMYFUNCTION("""COMPUTED_VALUE"""),"")</f>
        <v/>
      </c>
    </row>
    <row r="8668">
      <c r="G8668" s="16" t="str">
        <f>IFERROR(__xludf.DUMMYFUNCTION("""COMPUTED_VALUE"""),"")</f>
        <v/>
      </c>
    </row>
    <row r="8669">
      <c r="G8669" s="16" t="str">
        <f>IFERROR(__xludf.DUMMYFUNCTION("""COMPUTED_VALUE"""),"")</f>
        <v/>
      </c>
    </row>
    <row r="8670">
      <c r="G8670" s="16" t="str">
        <f>IFERROR(__xludf.DUMMYFUNCTION("""COMPUTED_VALUE"""),"")</f>
        <v/>
      </c>
    </row>
    <row r="8671">
      <c r="G8671" s="16" t="str">
        <f>IFERROR(__xludf.DUMMYFUNCTION("""COMPUTED_VALUE"""),"")</f>
        <v/>
      </c>
    </row>
    <row r="8672">
      <c r="G8672" s="16" t="str">
        <f>IFERROR(__xludf.DUMMYFUNCTION("""COMPUTED_VALUE"""),"")</f>
        <v/>
      </c>
    </row>
    <row r="8673">
      <c r="G8673" s="16" t="str">
        <f>IFERROR(__xludf.DUMMYFUNCTION("""COMPUTED_VALUE"""),"")</f>
        <v/>
      </c>
    </row>
    <row r="8674">
      <c r="G8674" s="16" t="str">
        <f>IFERROR(__xludf.DUMMYFUNCTION("""COMPUTED_VALUE"""),"")</f>
        <v/>
      </c>
    </row>
    <row r="8675">
      <c r="G8675" s="16" t="str">
        <f>IFERROR(__xludf.DUMMYFUNCTION("""COMPUTED_VALUE"""),"")</f>
        <v/>
      </c>
    </row>
    <row r="8676">
      <c r="G8676" s="16" t="str">
        <f>IFERROR(__xludf.DUMMYFUNCTION("""COMPUTED_VALUE"""),"")</f>
        <v/>
      </c>
    </row>
    <row r="8677">
      <c r="G8677" s="16" t="str">
        <f>IFERROR(__xludf.DUMMYFUNCTION("""COMPUTED_VALUE"""),"")</f>
        <v/>
      </c>
    </row>
    <row r="8678">
      <c r="G8678" s="16" t="str">
        <f>IFERROR(__xludf.DUMMYFUNCTION("""COMPUTED_VALUE"""),"")</f>
        <v/>
      </c>
    </row>
    <row r="8679">
      <c r="G8679" s="16" t="str">
        <f>IFERROR(__xludf.DUMMYFUNCTION("""COMPUTED_VALUE"""),"")</f>
        <v/>
      </c>
    </row>
    <row r="8680">
      <c r="G8680" s="16" t="str">
        <f>IFERROR(__xludf.DUMMYFUNCTION("""COMPUTED_VALUE"""),"")</f>
        <v/>
      </c>
    </row>
    <row r="8681">
      <c r="G8681" s="16" t="str">
        <f>IFERROR(__xludf.DUMMYFUNCTION("""COMPUTED_VALUE"""),"")</f>
        <v/>
      </c>
    </row>
    <row r="8682">
      <c r="G8682" s="16" t="str">
        <f>IFERROR(__xludf.DUMMYFUNCTION("""COMPUTED_VALUE"""),"")</f>
        <v/>
      </c>
    </row>
    <row r="8683">
      <c r="G8683" s="16" t="str">
        <f>IFERROR(__xludf.DUMMYFUNCTION("""COMPUTED_VALUE"""),"")</f>
        <v/>
      </c>
    </row>
    <row r="8684">
      <c r="G8684" s="16" t="str">
        <f>IFERROR(__xludf.DUMMYFUNCTION("""COMPUTED_VALUE"""),"")</f>
        <v/>
      </c>
    </row>
    <row r="8685">
      <c r="G8685" s="16" t="str">
        <f>IFERROR(__xludf.DUMMYFUNCTION("""COMPUTED_VALUE"""),"")</f>
        <v/>
      </c>
    </row>
    <row r="8686">
      <c r="G8686" s="16" t="str">
        <f>IFERROR(__xludf.DUMMYFUNCTION("""COMPUTED_VALUE"""),"")</f>
        <v/>
      </c>
    </row>
    <row r="8687">
      <c r="G8687" s="16" t="str">
        <f>IFERROR(__xludf.DUMMYFUNCTION("""COMPUTED_VALUE"""),"")</f>
        <v/>
      </c>
    </row>
    <row r="8688">
      <c r="G8688" s="16" t="str">
        <f>IFERROR(__xludf.DUMMYFUNCTION("""COMPUTED_VALUE"""),"")</f>
        <v/>
      </c>
    </row>
    <row r="8689">
      <c r="G8689" s="16" t="str">
        <f>IFERROR(__xludf.DUMMYFUNCTION("""COMPUTED_VALUE"""),"")</f>
        <v/>
      </c>
    </row>
    <row r="8690">
      <c r="G8690" s="16" t="str">
        <f>IFERROR(__xludf.DUMMYFUNCTION("""COMPUTED_VALUE"""),"")</f>
        <v/>
      </c>
    </row>
    <row r="8691">
      <c r="G8691" s="16" t="str">
        <f>IFERROR(__xludf.DUMMYFUNCTION("""COMPUTED_VALUE"""),"")</f>
        <v/>
      </c>
    </row>
    <row r="8692">
      <c r="G8692" s="16" t="str">
        <f>IFERROR(__xludf.DUMMYFUNCTION("""COMPUTED_VALUE"""),"")</f>
        <v/>
      </c>
    </row>
    <row r="8693">
      <c r="G8693" s="16" t="str">
        <f>IFERROR(__xludf.DUMMYFUNCTION("""COMPUTED_VALUE"""),"")</f>
        <v/>
      </c>
    </row>
    <row r="8694">
      <c r="G8694" s="16" t="str">
        <f>IFERROR(__xludf.DUMMYFUNCTION("""COMPUTED_VALUE"""),"")</f>
        <v/>
      </c>
    </row>
    <row r="8695">
      <c r="G8695" s="16" t="str">
        <f>IFERROR(__xludf.DUMMYFUNCTION("""COMPUTED_VALUE"""),"")</f>
        <v/>
      </c>
    </row>
    <row r="8696">
      <c r="G8696" s="16" t="str">
        <f>IFERROR(__xludf.DUMMYFUNCTION("""COMPUTED_VALUE"""),"")</f>
        <v/>
      </c>
    </row>
    <row r="8697">
      <c r="G8697" s="16" t="str">
        <f>IFERROR(__xludf.DUMMYFUNCTION("""COMPUTED_VALUE"""),"")</f>
        <v/>
      </c>
    </row>
    <row r="8698">
      <c r="G8698" s="16" t="str">
        <f>IFERROR(__xludf.DUMMYFUNCTION("""COMPUTED_VALUE"""),"")</f>
        <v/>
      </c>
    </row>
    <row r="8699">
      <c r="G8699" s="16" t="str">
        <f>IFERROR(__xludf.DUMMYFUNCTION("""COMPUTED_VALUE"""),"")</f>
        <v/>
      </c>
    </row>
    <row r="8700">
      <c r="G8700" s="16" t="str">
        <f>IFERROR(__xludf.DUMMYFUNCTION("""COMPUTED_VALUE"""),"")</f>
        <v/>
      </c>
    </row>
    <row r="8701">
      <c r="G8701" s="16" t="str">
        <f>IFERROR(__xludf.DUMMYFUNCTION("""COMPUTED_VALUE"""),"")</f>
        <v/>
      </c>
    </row>
    <row r="8702">
      <c r="G8702" s="16" t="str">
        <f>IFERROR(__xludf.DUMMYFUNCTION("""COMPUTED_VALUE"""),"")</f>
        <v/>
      </c>
    </row>
    <row r="8703">
      <c r="G8703" s="16" t="str">
        <f>IFERROR(__xludf.DUMMYFUNCTION("""COMPUTED_VALUE"""),"")</f>
        <v/>
      </c>
    </row>
    <row r="8704">
      <c r="G8704" s="16" t="str">
        <f>IFERROR(__xludf.DUMMYFUNCTION("""COMPUTED_VALUE"""),"")</f>
        <v/>
      </c>
    </row>
    <row r="8705">
      <c r="G8705" s="16" t="str">
        <f>IFERROR(__xludf.DUMMYFUNCTION("""COMPUTED_VALUE"""),"")</f>
        <v/>
      </c>
    </row>
    <row r="8706">
      <c r="G8706" s="16" t="str">
        <f>IFERROR(__xludf.DUMMYFUNCTION("""COMPUTED_VALUE"""),"")</f>
        <v/>
      </c>
    </row>
    <row r="8707">
      <c r="G8707" s="16" t="str">
        <f>IFERROR(__xludf.DUMMYFUNCTION("""COMPUTED_VALUE"""),"")</f>
        <v/>
      </c>
    </row>
    <row r="8708">
      <c r="G8708" s="16" t="str">
        <f>IFERROR(__xludf.DUMMYFUNCTION("""COMPUTED_VALUE"""),"")</f>
        <v/>
      </c>
    </row>
    <row r="8709">
      <c r="G8709" s="16" t="str">
        <f>IFERROR(__xludf.DUMMYFUNCTION("""COMPUTED_VALUE"""),"")</f>
        <v/>
      </c>
    </row>
    <row r="8710">
      <c r="G8710" s="16" t="str">
        <f>IFERROR(__xludf.DUMMYFUNCTION("""COMPUTED_VALUE"""),"")</f>
        <v/>
      </c>
    </row>
    <row r="8711">
      <c r="G8711" s="16" t="str">
        <f>IFERROR(__xludf.DUMMYFUNCTION("""COMPUTED_VALUE"""),"")</f>
        <v/>
      </c>
    </row>
    <row r="8712">
      <c r="G8712" s="16" t="str">
        <f>IFERROR(__xludf.DUMMYFUNCTION("""COMPUTED_VALUE"""),"")</f>
        <v/>
      </c>
    </row>
    <row r="8713">
      <c r="G8713" s="16" t="str">
        <f>IFERROR(__xludf.DUMMYFUNCTION("""COMPUTED_VALUE"""),"")</f>
        <v/>
      </c>
    </row>
    <row r="8714">
      <c r="G8714" s="16" t="str">
        <f>IFERROR(__xludf.DUMMYFUNCTION("""COMPUTED_VALUE"""),"")</f>
        <v/>
      </c>
    </row>
    <row r="8715">
      <c r="G8715" s="16" t="str">
        <f>IFERROR(__xludf.DUMMYFUNCTION("""COMPUTED_VALUE"""),"")</f>
        <v/>
      </c>
    </row>
    <row r="8716">
      <c r="G8716" s="16" t="str">
        <f>IFERROR(__xludf.DUMMYFUNCTION("""COMPUTED_VALUE"""),"")</f>
        <v/>
      </c>
    </row>
    <row r="8717">
      <c r="G8717" s="16" t="str">
        <f>IFERROR(__xludf.DUMMYFUNCTION("""COMPUTED_VALUE"""),"")</f>
        <v/>
      </c>
    </row>
    <row r="8718">
      <c r="G8718" s="16" t="str">
        <f>IFERROR(__xludf.DUMMYFUNCTION("""COMPUTED_VALUE"""),"")</f>
        <v/>
      </c>
    </row>
    <row r="8719">
      <c r="G8719" s="16" t="str">
        <f>IFERROR(__xludf.DUMMYFUNCTION("""COMPUTED_VALUE"""),"")</f>
        <v/>
      </c>
    </row>
    <row r="8720">
      <c r="G8720" s="16" t="str">
        <f>IFERROR(__xludf.DUMMYFUNCTION("""COMPUTED_VALUE"""),"")</f>
        <v/>
      </c>
    </row>
    <row r="8721">
      <c r="G8721" s="16" t="str">
        <f>IFERROR(__xludf.DUMMYFUNCTION("""COMPUTED_VALUE"""),"")</f>
        <v/>
      </c>
    </row>
    <row r="8722">
      <c r="G8722" s="16" t="str">
        <f>IFERROR(__xludf.DUMMYFUNCTION("""COMPUTED_VALUE"""),"")</f>
        <v/>
      </c>
    </row>
    <row r="8723">
      <c r="G8723" s="16" t="str">
        <f>IFERROR(__xludf.DUMMYFUNCTION("""COMPUTED_VALUE"""),"")</f>
        <v/>
      </c>
    </row>
    <row r="8724">
      <c r="G8724" s="16" t="str">
        <f>IFERROR(__xludf.DUMMYFUNCTION("""COMPUTED_VALUE"""),"")</f>
        <v/>
      </c>
    </row>
    <row r="8725">
      <c r="G8725" s="16" t="str">
        <f>IFERROR(__xludf.DUMMYFUNCTION("""COMPUTED_VALUE"""),"")</f>
        <v/>
      </c>
    </row>
    <row r="8726">
      <c r="G8726" s="16" t="str">
        <f>IFERROR(__xludf.DUMMYFUNCTION("""COMPUTED_VALUE"""),"")</f>
        <v/>
      </c>
    </row>
    <row r="8727">
      <c r="G8727" s="16" t="str">
        <f>IFERROR(__xludf.DUMMYFUNCTION("""COMPUTED_VALUE"""),"")</f>
        <v/>
      </c>
    </row>
    <row r="8728">
      <c r="G8728" s="16" t="str">
        <f>IFERROR(__xludf.DUMMYFUNCTION("""COMPUTED_VALUE"""),"")</f>
        <v/>
      </c>
    </row>
    <row r="8729">
      <c r="G8729" s="16" t="str">
        <f>IFERROR(__xludf.DUMMYFUNCTION("""COMPUTED_VALUE"""),"")</f>
        <v/>
      </c>
    </row>
    <row r="8730">
      <c r="G8730" s="16" t="str">
        <f>IFERROR(__xludf.DUMMYFUNCTION("""COMPUTED_VALUE"""),"")</f>
        <v/>
      </c>
    </row>
    <row r="8731">
      <c r="G8731" s="16" t="str">
        <f>IFERROR(__xludf.DUMMYFUNCTION("""COMPUTED_VALUE"""),"")</f>
        <v/>
      </c>
    </row>
    <row r="8732">
      <c r="G8732" s="16" t="str">
        <f>IFERROR(__xludf.DUMMYFUNCTION("""COMPUTED_VALUE"""),"")</f>
        <v/>
      </c>
    </row>
    <row r="8733">
      <c r="G8733" s="16" t="str">
        <f>IFERROR(__xludf.DUMMYFUNCTION("""COMPUTED_VALUE"""),"")</f>
        <v/>
      </c>
    </row>
    <row r="8734">
      <c r="G8734" s="16" t="str">
        <f>IFERROR(__xludf.DUMMYFUNCTION("""COMPUTED_VALUE"""),"")</f>
        <v/>
      </c>
    </row>
    <row r="8735">
      <c r="G8735" s="16" t="str">
        <f>IFERROR(__xludf.DUMMYFUNCTION("""COMPUTED_VALUE"""),"")</f>
        <v/>
      </c>
    </row>
    <row r="8736">
      <c r="G8736" s="16" t="str">
        <f>IFERROR(__xludf.DUMMYFUNCTION("""COMPUTED_VALUE"""),"")</f>
        <v/>
      </c>
    </row>
    <row r="8737">
      <c r="G8737" s="16" t="str">
        <f>IFERROR(__xludf.DUMMYFUNCTION("""COMPUTED_VALUE"""),"")</f>
        <v/>
      </c>
    </row>
    <row r="8738">
      <c r="G8738" s="16" t="str">
        <f>IFERROR(__xludf.DUMMYFUNCTION("""COMPUTED_VALUE"""),"")</f>
        <v/>
      </c>
    </row>
    <row r="8739">
      <c r="G8739" s="16" t="str">
        <f>IFERROR(__xludf.DUMMYFUNCTION("""COMPUTED_VALUE"""),"")</f>
        <v/>
      </c>
    </row>
    <row r="8740">
      <c r="G8740" s="16" t="str">
        <f>IFERROR(__xludf.DUMMYFUNCTION("""COMPUTED_VALUE"""),"")</f>
        <v/>
      </c>
    </row>
    <row r="8741">
      <c r="G8741" s="16" t="str">
        <f>IFERROR(__xludf.DUMMYFUNCTION("""COMPUTED_VALUE"""),"")</f>
        <v/>
      </c>
    </row>
    <row r="8742">
      <c r="G8742" s="16" t="str">
        <f>IFERROR(__xludf.DUMMYFUNCTION("""COMPUTED_VALUE"""),"")</f>
        <v/>
      </c>
    </row>
    <row r="8743">
      <c r="G8743" s="16" t="str">
        <f>IFERROR(__xludf.DUMMYFUNCTION("""COMPUTED_VALUE"""),"")</f>
        <v/>
      </c>
    </row>
    <row r="8744">
      <c r="G8744" s="16" t="str">
        <f>IFERROR(__xludf.DUMMYFUNCTION("""COMPUTED_VALUE"""),"")</f>
        <v/>
      </c>
    </row>
    <row r="8745">
      <c r="G8745" s="16" t="str">
        <f>IFERROR(__xludf.DUMMYFUNCTION("""COMPUTED_VALUE"""),"")</f>
        <v/>
      </c>
    </row>
    <row r="8746">
      <c r="G8746" s="16" t="str">
        <f>IFERROR(__xludf.DUMMYFUNCTION("""COMPUTED_VALUE"""),"")</f>
        <v/>
      </c>
    </row>
    <row r="8747">
      <c r="G8747" s="16" t="str">
        <f>IFERROR(__xludf.DUMMYFUNCTION("""COMPUTED_VALUE"""),"")</f>
        <v/>
      </c>
    </row>
    <row r="8748">
      <c r="G8748" s="16" t="str">
        <f>IFERROR(__xludf.DUMMYFUNCTION("""COMPUTED_VALUE"""),"")</f>
        <v/>
      </c>
    </row>
    <row r="8749">
      <c r="G8749" s="16" t="str">
        <f>IFERROR(__xludf.DUMMYFUNCTION("""COMPUTED_VALUE"""),"")</f>
        <v/>
      </c>
    </row>
    <row r="8750">
      <c r="G8750" s="16" t="str">
        <f>IFERROR(__xludf.DUMMYFUNCTION("""COMPUTED_VALUE"""),"")</f>
        <v/>
      </c>
    </row>
    <row r="8751">
      <c r="G8751" s="16" t="str">
        <f>IFERROR(__xludf.DUMMYFUNCTION("""COMPUTED_VALUE"""),"")</f>
        <v/>
      </c>
    </row>
    <row r="8752">
      <c r="G8752" s="16" t="str">
        <f>IFERROR(__xludf.DUMMYFUNCTION("""COMPUTED_VALUE"""),"")</f>
        <v/>
      </c>
    </row>
    <row r="8753">
      <c r="G8753" s="16" t="str">
        <f>IFERROR(__xludf.DUMMYFUNCTION("""COMPUTED_VALUE"""),"")</f>
        <v/>
      </c>
    </row>
    <row r="8754">
      <c r="G8754" s="16" t="str">
        <f>IFERROR(__xludf.DUMMYFUNCTION("""COMPUTED_VALUE"""),"")</f>
        <v/>
      </c>
    </row>
    <row r="8755">
      <c r="G8755" s="16" t="str">
        <f>IFERROR(__xludf.DUMMYFUNCTION("""COMPUTED_VALUE"""),"")</f>
        <v/>
      </c>
    </row>
    <row r="8756">
      <c r="G8756" s="16" t="str">
        <f>IFERROR(__xludf.DUMMYFUNCTION("""COMPUTED_VALUE"""),"")</f>
        <v/>
      </c>
    </row>
    <row r="8757">
      <c r="G8757" s="16" t="str">
        <f>IFERROR(__xludf.DUMMYFUNCTION("""COMPUTED_VALUE"""),"")</f>
        <v/>
      </c>
    </row>
    <row r="8758">
      <c r="G8758" s="16" t="str">
        <f>IFERROR(__xludf.DUMMYFUNCTION("""COMPUTED_VALUE"""),"")</f>
        <v/>
      </c>
    </row>
    <row r="8759">
      <c r="G8759" s="16" t="str">
        <f>IFERROR(__xludf.DUMMYFUNCTION("""COMPUTED_VALUE"""),"")</f>
        <v/>
      </c>
    </row>
    <row r="8760">
      <c r="G8760" s="16" t="str">
        <f>IFERROR(__xludf.DUMMYFUNCTION("""COMPUTED_VALUE"""),"")</f>
        <v/>
      </c>
    </row>
    <row r="8761">
      <c r="G8761" s="16" t="str">
        <f>IFERROR(__xludf.DUMMYFUNCTION("""COMPUTED_VALUE"""),"")</f>
        <v/>
      </c>
    </row>
    <row r="8762">
      <c r="G8762" s="16" t="str">
        <f>IFERROR(__xludf.DUMMYFUNCTION("""COMPUTED_VALUE"""),"")</f>
        <v/>
      </c>
    </row>
    <row r="8763">
      <c r="G8763" s="16" t="str">
        <f>IFERROR(__xludf.DUMMYFUNCTION("""COMPUTED_VALUE"""),"")</f>
        <v/>
      </c>
    </row>
    <row r="8764">
      <c r="G8764" s="16" t="str">
        <f>IFERROR(__xludf.DUMMYFUNCTION("""COMPUTED_VALUE"""),"")</f>
        <v/>
      </c>
    </row>
    <row r="8765">
      <c r="G8765" s="16" t="str">
        <f>IFERROR(__xludf.DUMMYFUNCTION("""COMPUTED_VALUE"""),"")</f>
        <v/>
      </c>
    </row>
    <row r="8766">
      <c r="G8766" s="16" t="str">
        <f>IFERROR(__xludf.DUMMYFUNCTION("""COMPUTED_VALUE"""),"")</f>
        <v/>
      </c>
    </row>
    <row r="8767">
      <c r="G8767" s="16" t="str">
        <f>IFERROR(__xludf.DUMMYFUNCTION("""COMPUTED_VALUE"""),"")</f>
        <v/>
      </c>
    </row>
    <row r="8768">
      <c r="G8768" s="16" t="str">
        <f>IFERROR(__xludf.DUMMYFUNCTION("""COMPUTED_VALUE"""),"")</f>
        <v/>
      </c>
    </row>
    <row r="8769">
      <c r="G8769" s="16" t="str">
        <f>IFERROR(__xludf.DUMMYFUNCTION("""COMPUTED_VALUE"""),"")</f>
        <v/>
      </c>
    </row>
    <row r="8770">
      <c r="G8770" s="16" t="str">
        <f>IFERROR(__xludf.DUMMYFUNCTION("""COMPUTED_VALUE"""),"")</f>
        <v/>
      </c>
    </row>
    <row r="8771">
      <c r="G8771" s="16" t="str">
        <f>IFERROR(__xludf.DUMMYFUNCTION("""COMPUTED_VALUE"""),"")</f>
        <v/>
      </c>
    </row>
    <row r="8772">
      <c r="G8772" s="16" t="str">
        <f>IFERROR(__xludf.DUMMYFUNCTION("""COMPUTED_VALUE"""),"")</f>
        <v/>
      </c>
    </row>
    <row r="8773">
      <c r="G8773" s="16" t="str">
        <f>IFERROR(__xludf.DUMMYFUNCTION("""COMPUTED_VALUE"""),"")</f>
        <v/>
      </c>
    </row>
    <row r="8774">
      <c r="G8774" s="16" t="str">
        <f>IFERROR(__xludf.DUMMYFUNCTION("""COMPUTED_VALUE"""),"")</f>
        <v/>
      </c>
    </row>
    <row r="8775">
      <c r="G8775" s="16" t="str">
        <f>IFERROR(__xludf.DUMMYFUNCTION("""COMPUTED_VALUE"""),"")</f>
        <v/>
      </c>
    </row>
    <row r="8776">
      <c r="G8776" s="16" t="str">
        <f>IFERROR(__xludf.DUMMYFUNCTION("""COMPUTED_VALUE"""),"")</f>
        <v/>
      </c>
    </row>
    <row r="8777">
      <c r="G8777" s="16" t="str">
        <f>IFERROR(__xludf.DUMMYFUNCTION("""COMPUTED_VALUE"""),"")</f>
        <v/>
      </c>
    </row>
    <row r="8778">
      <c r="G8778" s="16" t="str">
        <f>IFERROR(__xludf.DUMMYFUNCTION("""COMPUTED_VALUE"""),"")</f>
        <v/>
      </c>
    </row>
    <row r="8779">
      <c r="G8779" s="16" t="str">
        <f>IFERROR(__xludf.DUMMYFUNCTION("""COMPUTED_VALUE"""),"")</f>
        <v/>
      </c>
    </row>
    <row r="8780">
      <c r="G8780" s="16" t="str">
        <f>IFERROR(__xludf.DUMMYFUNCTION("""COMPUTED_VALUE"""),"")</f>
        <v/>
      </c>
    </row>
    <row r="8781">
      <c r="G8781" s="16" t="str">
        <f>IFERROR(__xludf.DUMMYFUNCTION("""COMPUTED_VALUE"""),"")</f>
        <v/>
      </c>
    </row>
    <row r="8782">
      <c r="G8782" s="16" t="str">
        <f>IFERROR(__xludf.DUMMYFUNCTION("""COMPUTED_VALUE"""),"")</f>
        <v/>
      </c>
    </row>
    <row r="8783">
      <c r="G8783" s="16" t="str">
        <f>IFERROR(__xludf.DUMMYFUNCTION("""COMPUTED_VALUE"""),"")</f>
        <v/>
      </c>
    </row>
    <row r="8784">
      <c r="G8784" s="16" t="str">
        <f>IFERROR(__xludf.DUMMYFUNCTION("""COMPUTED_VALUE"""),"")</f>
        <v/>
      </c>
    </row>
    <row r="8785">
      <c r="G8785" s="16" t="str">
        <f>IFERROR(__xludf.DUMMYFUNCTION("""COMPUTED_VALUE"""),"")</f>
        <v/>
      </c>
    </row>
    <row r="8786">
      <c r="G8786" s="16" t="str">
        <f>IFERROR(__xludf.DUMMYFUNCTION("""COMPUTED_VALUE"""),"")</f>
        <v/>
      </c>
    </row>
    <row r="8787">
      <c r="G8787" s="16" t="str">
        <f>IFERROR(__xludf.DUMMYFUNCTION("""COMPUTED_VALUE"""),"")</f>
        <v/>
      </c>
    </row>
    <row r="8788">
      <c r="G8788" s="16" t="str">
        <f>IFERROR(__xludf.DUMMYFUNCTION("""COMPUTED_VALUE"""),"")</f>
        <v/>
      </c>
    </row>
    <row r="8789">
      <c r="G8789" s="16" t="str">
        <f>IFERROR(__xludf.DUMMYFUNCTION("""COMPUTED_VALUE"""),"")</f>
        <v/>
      </c>
    </row>
    <row r="8790">
      <c r="G8790" s="16" t="str">
        <f>IFERROR(__xludf.DUMMYFUNCTION("""COMPUTED_VALUE"""),"")</f>
        <v/>
      </c>
    </row>
    <row r="8791">
      <c r="G8791" s="16" t="str">
        <f>IFERROR(__xludf.DUMMYFUNCTION("""COMPUTED_VALUE"""),"")</f>
        <v/>
      </c>
    </row>
    <row r="8792">
      <c r="G8792" s="16" t="str">
        <f>IFERROR(__xludf.DUMMYFUNCTION("""COMPUTED_VALUE"""),"")</f>
        <v/>
      </c>
    </row>
    <row r="8793">
      <c r="G8793" s="16" t="str">
        <f>IFERROR(__xludf.DUMMYFUNCTION("""COMPUTED_VALUE"""),"")</f>
        <v/>
      </c>
    </row>
    <row r="8794">
      <c r="G8794" s="16" t="str">
        <f>IFERROR(__xludf.DUMMYFUNCTION("""COMPUTED_VALUE"""),"")</f>
        <v/>
      </c>
    </row>
    <row r="8795">
      <c r="G8795" s="16" t="str">
        <f>IFERROR(__xludf.DUMMYFUNCTION("""COMPUTED_VALUE"""),"")</f>
        <v/>
      </c>
    </row>
    <row r="8796">
      <c r="G8796" s="16" t="str">
        <f>IFERROR(__xludf.DUMMYFUNCTION("""COMPUTED_VALUE"""),"")</f>
        <v/>
      </c>
    </row>
    <row r="8797">
      <c r="G8797" s="16" t="str">
        <f>IFERROR(__xludf.DUMMYFUNCTION("""COMPUTED_VALUE"""),"")</f>
        <v/>
      </c>
    </row>
    <row r="8798">
      <c r="G8798" s="16" t="str">
        <f>IFERROR(__xludf.DUMMYFUNCTION("""COMPUTED_VALUE"""),"")</f>
        <v/>
      </c>
    </row>
    <row r="8799">
      <c r="G8799" s="16" t="str">
        <f>IFERROR(__xludf.DUMMYFUNCTION("""COMPUTED_VALUE"""),"")</f>
        <v/>
      </c>
    </row>
    <row r="8800">
      <c r="G8800" s="16" t="str">
        <f>IFERROR(__xludf.DUMMYFUNCTION("""COMPUTED_VALUE"""),"")</f>
        <v/>
      </c>
    </row>
    <row r="8801">
      <c r="G8801" s="16" t="str">
        <f>IFERROR(__xludf.DUMMYFUNCTION("""COMPUTED_VALUE"""),"")</f>
        <v/>
      </c>
    </row>
    <row r="8802">
      <c r="G8802" s="16" t="str">
        <f>IFERROR(__xludf.DUMMYFUNCTION("""COMPUTED_VALUE"""),"")</f>
        <v/>
      </c>
    </row>
    <row r="8803">
      <c r="G8803" s="16" t="str">
        <f>IFERROR(__xludf.DUMMYFUNCTION("""COMPUTED_VALUE"""),"")</f>
        <v/>
      </c>
    </row>
    <row r="8804">
      <c r="G8804" s="16" t="str">
        <f>IFERROR(__xludf.DUMMYFUNCTION("""COMPUTED_VALUE"""),"")</f>
        <v/>
      </c>
    </row>
    <row r="8805">
      <c r="G8805" s="16" t="str">
        <f>IFERROR(__xludf.DUMMYFUNCTION("""COMPUTED_VALUE"""),"")</f>
        <v/>
      </c>
    </row>
    <row r="8806">
      <c r="G8806" s="16" t="str">
        <f>IFERROR(__xludf.DUMMYFUNCTION("""COMPUTED_VALUE"""),"")</f>
        <v/>
      </c>
    </row>
    <row r="8807">
      <c r="G8807" s="16" t="str">
        <f>IFERROR(__xludf.DUMMYFUNCTION("""COMPUTED_VALUE"""),"")</f>
        <v/>
      </c>
    </row>
    <row r="8808">
      <c r="G8808" s="16" t="str">
        <f>IFERROR(__xludf.DUMMYFUNCTION("""COMPUTED_VALUE"""),"")</f>
        <v/>
      </c>
    </row>
    <row r="8809">
      <c r="G8809" s="16" t="str">
        <f>IFERROR(__xludf.DUMMYFUNCTION("""COMPUTED_VALUE"""),"")</f>
        <v/>
      </c>
    </row>
    <row r="8810">
      <c r="G8810" s="16" t="str">
        <f>IFERROR(__xludf.DUMMYFUNCTION("""COMPUTED_VALUE"""),"")</f>
        <v/>
      </c>
    </row>
    <row r="8811">
      <c r="G8811" s="16" t="str">
        <f>IFERROR(__xludf.DUMMYFUNCTION("""COMPUTED_VALUE"""),"")</f>
        <v/>
      </c>
    </row>
    <row r="8812">
      <c r="G8812" s="16" t="str">
        <f>IFERROR(__xludf.DUMMYFUNCTION("""COMPUTED_VALUE"""),"")</f>
        <v/>
      </c>
    </row>
    <row r="8813">
      <c r="G8813" s="16" t="str">
        <f>IFERROR(__xludf.DUMMYFUNCTION("""COMPUTED_VALUE"""),"")</f>
        <v/>
      </c>
    </row>
    <row r="8814">
      <c r="G8814" s="16" t="str">
        <f>IFERROR(__xludf.DUMMYFUNCTION("""COMPUTED_VALUE"""),"")</f>
        <v/>
      </c>
    </row>
    <row r="8815">
      <c r="G8815" s="16" t="str">
        <f>IFERROR(__xludf.DUMMYFUNCTION("""COMPUTED_VALUE"""),"")</f>
        <v/>
      </c>
    </row>
    <row r="8816">
      <c r="G8816" s="16" t="str">
        <f>IFERROR(__xludf.DUMMYFUNCTION("""COMPUTED_VALUE"""),"")</f>
        <v/>
      </c>
    </row>
    <row r="8817">
      <c r="G8817" s="16" t="str">
        <f>IFERROR(__xludf.DUMMYFUNCTION("""COMPUTED_VALUE"""),"")</f>
        <v/>
      </c>
    </row>
    <row r="8818">
      <c r="G8818" s="16" t="str">
        <f>IFERROR(__xludf.DUMMYFUNCTION("""COMPUTED_VALUE"""),"")</f>
        <v/>
      </c>
    </row>
    <row r="8819">
      <c r="G8819" s="16" t="str">
        <f>IFERROR(__xludf.DUMMYFUNCTION("""COMPUTED_VALUE"""),"")</f>
        <v/>
      </c>
    </row>
    <row r="8820">
      <c r="G8820" s="16" t="str">
        <f>IFERROR(__xludf.DUMMYFUNCTION("""COMPUTED_VALUE"""),"")</f>
        <v/>
      </c>
    </row>
    <row r="8821">
      <c r="G8821" s="16" t="str">
        <f>IFERROR(__xludf.DUMMYFUNCTION("""COMPUTED_VALUE"""),"")</f>
        <v/>
      </c>
    </row>
    <row r="8822">
      <c r="G8822" s="16" t="str">
        <f>IFERROR(__xludf.DUMMYFUNCTION("""COMPUTED_VALUE"""),"")</f>
        <v/>
      </c>
    </row>
    <row r="8823">
      <c r="G8823" s="16" t="str">
        <f>IFERROR(__xludf.DUMMYFUNCTION("""COMPUTED_VALUE"""),"")</f>
        <v/>
      </c>
    </row>
    <row r="8824">
      <c r="G8824" s="16" t="str">
        <f>IFERROR(__xludf.DUMMYFUNCTION("""COMPUTED_VALUE"""),"")</f>
        <v/>
      </c>
    </row>
    <row r="8825">
      <c r="G8825" s="16" t="str">
        <f>IFERROR(__xludf.DUMMYFUNCTION("""COMPUTED_VALUE"""),"")</f>
        <v/>
      </c>
    </row>
    <row r="8826">
      <c r="G8826" s="16" t="str">
        <f>IFERROR(__xludf.DUMMYFUNCTION("""COMPUTED_VALUE"""),"")</f>
        <v/>
      </c>
    </row>
    <row r="8827">
      <c r="G8827" s="16" t="str">
        <f>IFERROR(__xludf.DUMMYFUNCTION("""COMPUTED_VALUE"""),"")</f>
        <v/>
      </c>
    </row>
    <row r="8828">
      <c r="G8828" s="16" t="str">
        <f>IFERROR(__xludf.DUMMYFUNCTION("""COMPUTED_VALUE"""),"")</f>
        <v/>
      </c>
    </row>
    <row r="8829">
      <c r="G8829" s="16" t="str">
        <f>IFERROR(__xludf.DUMMYFUNCTION("""COMPUTED_VALUE"""),"")</f>
        <v/>
      </c>
    </row>
    <row r="8830">
      <c r="G8830" s="16" t="str">
        <f>IFERROR(__xludf.DUMMYFUNCTION("""COMPUTED_VALUE"""),"")</f>
        <v/>
      </c>
    </row>
    <row r="8831">
      <c r="G8831" s="16" t="str">
        <f>IFERROR(__xludf.DUMMYFUNCTION("""COMPUTED_VALUE"""),"")</f>
        <v/>
      </c>
    </row>
    <row r="8832">
      <c r="G8832" s="16" t="str">
        <f>IFERROR(__xludf.DUMMYFUNCTION("""COMPUTED_VALUE"""),"")</f>
        <v/>
      </c>
    </row>
    <row r="8833">
      <c r="G8833" s="16" t="str">
        <f>IFERROR(__xludf.DUMMYFUNCTION("""COMPUTED_VALUE"""),"")</f>
        <v/>
      </c>
    </row>
    <row r="8834">
      <c r="G8834" s="16" t="str">
        <f>IFERROR(__xludf.DUMMYFUNCTION("""COMPUTED_VALUE"""),"")</f>
        <v/>
      </c>
    </row>
    <row r="8835">
      <c r="G8835" s="16" t="str">
        <f>IFERROR(__xludf.DUMMYFUNCTION("""COMPUTED_VALUE"""),"")</f>
        <v/>
      </c>
    </row>
    <row r="8836">
      <c r="G8836" s="16" t="str">
        <f>IFERROR(__xludf.DUMMYFUNCTION("""COMPUTED_VALUE"""),"")</f>
        <v/>
      </c>
    </row>
    <row r="8837">
      <c r="G8837" s="16" t="str">
        <f>IFERROR(__xludf.DUMMYFUNCTION("""COMPUTED_VALUE"""),"")</f>
        <v/>
      </c>
    </row>
    <row r="8838">
      <c r="G8838" s="16" t="str">
        <f>IFERROR(__xludf.DUMMYFUNCTION("""COMPUTED_VALUE"""),"")</f>
        <v/>
      </c>
    </row>
    <row r="8839">
      <c r="G8839" s="16" t="str">
        <f>IFERROR(__xludf.DUMMYFUNCTION("""COMPUTED_VALUE"""),"")</f>
        <v/>
      </c>
    </row>
    <row r="8840">
      <c r="G8840" s="16" t="str">
        <f>IFERROR(__xludf.DUMMYFUNCTION("""COMPUTED_VALUE"""),"")</f>
        <v/>
      </c>
    </row>
    <row r="8841">
      <c r="G8841" s="16" t="str">
        <f>IFERROR(__xludf.DUMMYFUNCTION("""COMPUTED_VALUE"""),"")</f>
        <v/>
      </c>
    </row>
    <row r="8842">
      <c r="G8842" s="16" t="str">
        <f>IFERROR(__xludf.DUMMYFUNCTION("""COMPUTED_VALUE"""),"")</f>
        <v/>
      </c>
    </row>
    <row r="8843">
      <c r="G8843" s="16" t="str">
        <f>IFERROR(__xludf.DUMMYFUNCTION("""COMPUTED_VALUE"""),"")</f>
        <v/>
      </c>
    </row>
    <row r="8844">
      <c r="G8844" s="16" t="str">
        <f>IFERROR(__xludf.DUMMYFUNCTION("""COMPUTED_VALUE"""),"")</f>
        <v/>
      </c>
    </row>
    <row r="8845">
      <c r="G8845" s="16" t="str">
        <f>IFERROR(__xludf.DUMMYFUNCTION("""COMPUTED_VALUE"""),"")</f>
        <v/>
      </c>
    </row>
    <row r="8846">
      <c r="G8846" s="16" t="str">
        <f>IFERROR(__xludf.DUMMYFUNCTION("""COMPUTED_VALUE"""),"")</f>
        <v/>
      </c>
    </row>
    <row r="8847">
      <c r="G8847" s="16" t="str">
        <f>IFERROR(__xludf.DUMMYFUNCTION("""COMPUTED_VALUE"""),"")</f>
        <v/>
      </c>
    </row>
    <row r="8848">
      <c r="G8848" s="16" t="str">
        <f>IFERROR(__xludf.DUMMYFUNCTION("""COMPUTED_VALUE"""),"")</f>
        <v/>
      </c>
    </row>
    <row r="8849">
      <c r="G8849" s="16" t="str">
        <f>IFERROR(__xludf.DUMMYFUNCTION("""COMPUTED_VALUE"""),"")</f>
        <v/>
      </c>
    </row>
    <row r="8850">
      <c r="G8850" s="16" t="str">
        <f>IFERROR(__xludf.DUMMYFUNCTION("""COMPUTED_VALUE"""),"")</f>
        <v/>
      </c>
    </row>
    <row r="8851">
      <c r="G8851" s="16" t="str">
        <f>IFERROR(__xludf.DUMMYFUNCTION("""COMPUTED_VALUE"""),"")</f>
        <v/>
      </c>
    </row>
    <row r="8852">
      <c r="G8852" s="16" t="str">
        <f>IFERROR(__xludf.DUMMYFUNCTION("""COMPUTED_VALUE"""),"")</f>
        <v/>
      </c>
    </row>
    <row r="8853">
      <c r="G8853" s="16" t="str">
        <f>IFERROR(__xludf.DUMMYFUNCTION("""COMPUTED_VALUE"""),"")</f>
        <v/>
      </c>
    </row>
    <row r="8854">
      <c r="G8854" s="16" t="str">
        <f>IFERROR(__xludf.DUMMYFUNCTION("""COMPUTED_VALUE"""),"")</f>
        <v/>
      </c>
    </row>
    <row r="8855">
      <c r="G8855" s="16" t="str">
        <f>IFERROR(__xludf.DUMMYFUNCTION("""COMPUTED_VALUE"""),"")</f>
        <v/>
      </c>
    </row>
    <row r="8856">
      <c r="G8856" s="16" t="str">
        <f>IFERROR(__xludf.DUMMYFUNCTION("""COMPUTED_VALUE"""),"")</f>
        <v/>
      </c>
    </row>
    <row r="8857">
      <c r="G8857" s="16" t="str">
        <f>IFERROR(__xludf.DUMMYFUNCTION("""COMPUTED_VALUE"""),"")</f>
        <v/>
      </c>
    </row>
    <row r="8858">
      <c r="G8858" s="16" t="str">
        <f>IFERROR(__xludf.DUMMYFUNCTION("""COMPUTED_VALUE"""),"")</f>
        <v/>
      </c>
    </row>
    <row r="8859">
      <c r="G8859" s="16" t="str">
        <f>IFERROR(__xludf.DUMMYFUNCTION("""COMPUTED_VALUE"""),"")</f>
        <v/>
      </c>
    </row>
    <row r="8860">
      <c r="G8860" s="16" t="str">
        <f>IFERROR(__xludf.DUMMYFUNCTION("""COMPUTED_VALUE"""),"")</f>
        <v/>
      </c>
    </row>
    <row r="8861">
      <c r="G8861" s="16" t="str">
        <f>IFERROR(__xludf.DUMMYFUNCTION("""COMPUTED_VALUE"""),"")</f>
        <v/>
      </c>
    </row>
    <row r="8862">
      <c r="G8862" s="16" t="str">
        <f>IFERROR(__xludf.DUMMYFUNCTION("""COMPUTED_VALUE"""),"")</f>
        <v/>
      </c>
    </row>
    <row r="8863">
      <c r="G8863" s="16" t="str">
        <f>IFERROR(__xludf.DUMMYFUNCTION("""COMPUTED_VALUE"""),"")</f>
        <v/>
      </c>
    </row>
    <row r="8864">
      <c r="G8864" s="16" t="str">
        <f>IFERROR(__xludf.DUMMYFUNCTION("""COMPUTED_VALUE"""),"")</f>
        <v/>
      </c>
    </row>
    <row r="8865">
      <c r="G8865" s="16" t="str">
        <f>IFERROR(__xludf.DUMMYFUNCTION("""COMPUTED_VALUE"""),"")</f>
        <v/>
      </c>
    </row>
    <row r="8866">
      <c r="G8866" s="16" t="str">
        <f>IFERROR(__xludf.DUMMYFUNCTION("""COMPUTED_VALUE"""),"")</f>
        <v/>
      </c>
    </row>
    <row r="8867">
      <c r="G8867" s="16" t="str">
        <f>IFERROR(__xludf.DUMMYFUNCTION("""COMPUTED_VALUE"""),"")</f>
        <v/>
      </c>
    </row>
    <row r="8868">
      <c r="G8868" s="16" t="str">
        <f>IFERROR(__xludf.DUMMYFUNCTION("""COMPUTED_VALUE"""),"")</f>
        <v/>
      </c>
    </row>
    <row r="8869">
      <c r="G8869" s="16" t="str">
        <f>IFERROR(__xludf.DUMMYFUNCTION("""COMPUTED_VALUE"""),"")</f>
        <v/>
      </c>
    </row>
    <row r="8870">
      <c r="G8870" s="16" t="str">
        <f>IFERROR(__xludf.DUMMYFUNCTION("""COMPUTED_VALUE"""),"")</f>
        <v/>
      </c>
    </row>
    <row r="8871">
      <c r="G8871" s="16" t="str">
        <f>IFERROR(__xludf.DUMMYFUNCTION("""COMPUTED_VALUE"""),"")</f>
        <v/>
      </c>
    </row>
    <row r="8872">
      <c r="G8872" s="16" t="str">
        <f>IFERROR(__xludf.DUMMYFUNCTION("""COMPUTED_VALUE"""),"")</f>
        <v/>
      </c>
    </row>
    <row r="8873">
      <c r="G8873" s="16" t="str">
        <f>IFERROR(__xludf.DUMMYFUNCTION("""COMPUTED_VALUE"""),"")</f>
        <v/>
      </c>
    </row>
    <row r="8874">
      <c r="G8874" s="16" t="str">
        <f>IFERROR(__xludf.DUMMYFUNCTION("""COMPUTED_VALUE"""),"")</f>
        <v/>
      </c>
    </row>
    <row r="8875">
      <c r="G8875" s="16" t="str">
        <f>IFERROR(__xludf.DUMMYFUNCTION("""COMPUTED_VALUE"""),"")</f>
        <v/>
      </c>
    </row>
    <row r="8876">
      <c r="G8876" s="16" t="str">
        <f>IFERROR(__xludf.DUMMYFUNCTION("""COMPUTED_VALUE"""),"")</f>
        <v/>
      </c>
    </row>
    <row r="8877">
      <c r="G8877" s="16" t="str">
        <f>IFERROR(__xludf.DUMMYFUNCTION("""COMPUTED_VALUE"""),"")</f>
        <v/>
      </c>
    </row>
    <row r="8878">
      <c r="G8878" s="16" t="str">
        <f>IFERROR(__xludf.DUMMYFUNCTION("""COMPUTED_VALUE"""),"")</f>
        <v/>
      </c>
    </row>
    <row r="8879">
      <c r="G8879" s="16" t="str">
        <f>IFERROR(__xludf.DUMMYFUNCTION("""COMPUTED_VALUE"""),"")</f>
        <v/>
      </c>
    </row>
    <row r="8880">
      <c r="G8880" s="16" t="str">
        <f>IFERROR(__xludf.DUMMYFUNCTION("""COMPUTED_VALUE"""),"")</f>
        <v/>
      </c>
    </row>
    <row r="8881">
      <c r="G8881" s="16" t="str">
        <f>IFERROR(__xludf.DUMMYFUNCTION("""COMPUTED_VALUE"""),"")</f>
        <v/>
      </c>
    </row>
    <row r="8882">
      <c r="G8882" s="16" t="str">
        <f>IFERROR(__xludf.DUMMYFUNCTION("""COMPUTED_VALUE"""),"")</f>
        <v/>
      </c>
    </row>
    <row r="8883">
      <c r="G8883" s="16" t="str">
        <f>IFERROR(__xludf.DUMMYFUNCTION("""COMPUTED_VALUE"""),"")</f>
        <v/>
      </c>
    </row>
    <row r="8884">
      <c r="G8884" s="16" t="str">
        <f>IFERROR(__xludf.DUMMYFUNCTION("""COMPUTED_VALUE"""),"")</f>
        <v/>
      </c>
    </row>
    <row r="8885">
      <c r="G8885" s="16" t="str">
        <f>IFERROR(__xludf.DUMMYFUNCTION("""COMPUTED_VALUE"""),"")</f>
        <v/>
      </c>
    </row>
    <row r="8886">
      <c r="G8886" s="16" t="str">
        <f>IFERROR(__xludf.DUMMYFUNCTION("""COMPUTED_VALUE"""),"")</f>
        <v/>
      </c>
    </row>
    <row r="8887">
      <c r="G8887" s="16" t="str">
        <f>IFERROR(__xludf.DUMMYFUNCTION("""COMPUTED_VALUE"""),"")</f>
        <v/>
      </c>
    </row>
    <row r="8888">
      <c r="G8888" s="16" t="str">
        <f>IFERROR(__xludf.DUMMYFUNCTION("""COMPUTED_VALUE"""),"")</f>
        <v/>
      </c>
    </row>
    <row r="8889">
      <c r="G8889" s="16" t="str">
        <f>IFERROR(__xludf.DUMMYFUNCTION("""COMPUTED_VALUE"""),"")</f>
        <v/>
      </c>
    </row>
    <row r="8890">
      <c r="G8890" s="16" t="str">
        <f>IFERROR(__xludf.DUMMYFUNCTION("""COMPUTED_VALUE"""),"")</f>
        <v/>
      </c>
    </row>
    <row r="8891">
      <c r="G8891" s="16" t="str">
        <f>IFERROR(__xludf.DUMMYFUNCTION("""COMPUTED_VALUE"""),"")</f>
        <v/>
      </c>
    </row>
    <row r="8892">
      <c r="G8892" s="16" t="str">
        <f>IFERROR(__xludf.DUMMYFUNCTION("""COMPUTED_VALUE"""),"")</f>
        <v/>
      </c>
    </row>
    <row r="8893">
      <c r="G8893" s="16" t="str">
        <f>IFERROR(__xludf.DUMMYFUNCTION("""COMPUTED_VALUE"""),"")</f>
        <v/>
      </c>
    </row>
    <row r="8894">
      <c r="G8894" s="16" t="str">
        <f>IFERROR(__xludf.DUMMYFUNCTION("""COMPUTED_VALUE"""),"")</f>
        <v/>
      </c>
    </row>
    <row r="8895">
      <c r="G8895" s="16" t="str">
        <f>IFERROR(__xludf.DUMMYFUNCTION("""COMPUTED_VALUE"""),"")</f>
        <v/>
      </c>
    </row>
    <row r="8896">
      <c r="G8896" s="16" t="str">
        <f>IFERROR(__xludf.DUMMYFUNCTION("""COMPUTED_VALUE"""),"")</f>
        <v/>
      </c>
    </row>
    <row r="8897">
      <c r="G8897" s="16" t="str">
        <f>IFERROR(__xludf.DUMMYFUNCTION("""COMPUTED_VALUE"""),"")</f>
        <v/>
      </c>
    </row>
    <row r="8898">
      <c r="G8898" s="16" t="str">
        <f>IFERROR(__xludf.DUMMYFUNCTION("""COMPUTED_VALUE"""),"")</f>
        <v/>
      </c>
    </row>
    <row r="8899">
      <c r="G8899" s="16" t="str">
        <f>IFERROR(__xludf.DUMMYFUNCTION("""COMPUTED_VALUE"""),"")</f>
        <v/>
      </c>
    </row>
    <row r="8900">
      <c r="G8900" s="16" t="str">
        <f>IFERROR(__xludf.DUMMYFUNCTION("""COMPUTED_VALUE"""),"")</f>
        <v/>
      </c>
    </row>
    <row r="8901">
      <c r="G8901" s="16" t="str">
        <f>IFERROR(__xludf.DUMMYFUNCTION("""COMPUTED_VALUE"""),"")</f>
        <v/>
      </c>
    </row>
    <row r="8902">
      <c r="G8902" s="16" t="str">
        <f>IFERROR(__xludf.DUMMYFUNCTION("""COMPUTED_VALUE"""),"")</f>
        <v/>
      </c>
    </row>
    <row r="8903">
      <c r="G8903" s="16" t="str">
        <f>IFERROR(__xludf.DUMMYFUNCTION("""COMPUTED_VALUE"""),"")</f>
        <v/>
      </c>
    </row>
    <row r="8904">
      <c r="G8904" s="16" t="str">
        <f>IFERROR(__xludf.DUMMYFUNCTION("""COMPUTED_VALUE"""),"")</f>
        <v/>
      </c>
    </row>
    <row r="8905">
      <c r="G8905" s="16" t="str">
        <f>IFERROR(__xludf.DUMMYFUNCTION("""COMPUTED_VALUE"""),"")</f>
        <v/>
      </c>
    </row>
    <row r="8906">
      <c r="G8906" s="16" t="str">
        <f>IFERROR(__xludf.DUMMYFUNCTION("""COMPUTED_VALUE"""),"")</f>
        <v/>
      </c>
    </row>
    <row r="8907">
      <c r="G8907" s="16" t="str">
        <f>IFERROR(__xludf.DUMMYFUNCTION("""COMPUTED_VALUE"""),"")</f>
        <v/>
      </c>
    </row>
    <row r="8908">
      <c r="G8908" s="16" t="str">
        <f>IFERROR(__xludf.DUMMYFUNCTION("""COMPUTED_VALUE"""),"")</f>
        <v/>
      </c>
    </row>
    <row r="8909">
      <c r="G8909" s="16" t="str">
        <f>IFERROR(__xludf.DUMMYFUNCTION("""COMPUTED_VALUE"""),"")</f>
        <v/>
      </c>
    </row>
    <row r="8910">
      <c r="G8910" s="16" t="str">
        <f>IFERROR(__xludf.DUMMYFUNCTION("""COMPUTED_VALUE"""),"")</f>
        <v/>
      </c>
    </row>
    <row r="8911">
      <c r="G8911" s="16" t="str">
        <f>IFERROR(__xludf.DUMMYFUNCTION("""COMPUTED_VALUE"""),"")</f>
        <v/>
      </c>
    </row>
    <row r="8912">
      <c r="G8912" s="16" t="str">
        <f>IFERROR(__xludf.DUMMYFUNCTION("""COMPUTED_VALUE"""),"")</f>
        <v/>
      </c>
    </row>
    <row r="8913">
      <c r="G8913" s="16" t="str">
        <f>IFERROR(__xludf.DUMMYFUNCTION("""COMPUTED_VALUE"""),"")</f>
        <v/>
      </c>
    </row>
    <row r="8914">
      <c r="G8914" s="16" t="str">
        <f>IFERROR(__xludf.DUMMYFUNCTION("""COMPUTED_VALUE"""),"")</f>
        <v/>
      </c>
    </row>
    <row r="8915">
      <c r="G8915" s="16" t="str">
        <f>IFERROR(__xludf.DUMMYFUNCTION("""COMPUTED_VALUE"""),"")</f>
        <v/>
      </c>
    </row>
    <row r="8916">
      <c r="G8916" s="16" t="str">
        <f>IFERROR(__xludf.DUMMYFUNCTION("""COMPUTED_VALUE"""),"")</f>
        <v/>
      </c>
    </row>
    <row r="8917">
      <c r="G8917" s="16" t="str">
        <f>IFERROR(__xludf.DUMMYFUNCTION("""COMPUTED_VALUE"""),"")</f>
        <v/>
      </c>
    </row>
    <row r="8918">
      <c r="G8918" s="16" t="str">
        <f>IFERROR(__xludf.DUMMYFUNCTION("""COMPUTED_VALUE"""),"")</f>
        <v/>
      </c>
    </row>
    <row r="8919">
      <c r="G8919" s="16" t="str">
        <f>IFERROR(__xludf.DUMMYFUNCTION("""COMPUTED_VALUE"""),"")</f>
        <v/>
      </c>
    </row>
    <row r="8920">
      <c r="G8920" s="16" t="str">
        <f>IFERROR(__xludf.DUMMYFUNCTION("""COMPUTED_VALUE"""),"")</f>
        <v/>
      </c>
    </row>
    <row r="8921">
      <c r="G8921" s="16" t="str">
        <f>IFERROR(__xludf.DUMMYFUNCTION("""COMPUTED_VALUE"""),"")</f>
        <v/>
      </c>
    </row>
    <row r="8922">
      <c r="G8922" s="16" t="str">
        <f>IFERROR(__xludf.DUMMYFUNCTION("""COMPUTED_VALUE"""),"")</f>
        <v/>
      </c>
    </row>
    <row r="8923">
      <c r="G8923" s="16" t="str">
        <f>IFERROR(__xludf.DUMMYFUNCTION("""COMPUTED_VALUE"""),"")</f>
        <v/>
      </c>
    </row>
    <row r="8924">
      <c r="G8924" s="16" t="str">
        <f>IFERROR(__xludf.DUMMYFUNCTION("""COMPUTED_VALUE"""),"")</f>
        <v/>
      </c>
    </row>
    <row r="8925">
      <c r="G8925" s="16" t="str">
        <f>IFERROR(__xludf.DUMMYFUNCTION("""COMPUTED_VALUE"""),"")</f>
        <v/>
      </c>
    </row>
    <row r="8926">
      <c r="G8926" s="16" t="str">
        <f>IFERROR(__xludf.DUMMYFUNCTION("""COMPUTED_VALUE"""),"")</f>
        <v/>
      </c>
    </row>
    <row r="8927">
      <c r="G8927" s="16" t="str">
        <f>IFERROR(__xludf.DUMMYFUNCTION("""COMPUTED_VALUE"""),"")</f>
        <v/>
      </c>
    </row>
    <row r="8928">
      <c r="G8928" s="16" t="str">
        <f>IFERROR(__xludf.DUMMYFUNCTION("""COMPUTED_VALUE"""),"")</f>
        <v/>
      </c>
    </row>
    <row r="8929">
      <c r="G8929" s="16" t="str">
        <f>IFERROR(__xludf.DUMMYFUNCTION("""COMPUTED_VALUE"""),"")</f>
        <v/>
      </c>
    </row>
    <row r="8930">
      <c r="G8930" s="16" t="str">
        <f>IFERROR(__xludf.DUMMYFUNCTION("""COMPUTED_VALUE"""),"")</f>
        <v/>
      </c>
    </row>
    <row r="8931">
      <c r="G8931" s="16" t="str">
        <f>IFERROR(__xludf.DUMMYFUNCTION("""COMPUTED_VALUE"""),"")</f>
        <v/>
      </c>
    </row>
    <row r="8932">
      <c r="G8932" s="16" t="str">
        <f>IFERROR(__xludf.DUMMYFUNCTION("""COMPUTED_VALUE"""),"")</f>
        <v/>
      </c>
    </row>
    <row r="8933">
      <c r="G8933" s="16" t="str">
        <f>IFERROR(__xludf.DUMMYFUNCTION("""COMPUTED_VALUE"""),"")</f>
        <v/>
      </c>
    </row>
    <row r="8934">
      <c r="G8934" s="16" t="str">
        <f>IFERROR(__xludf.DUMMYFUNCTION("""COMPUTED_VALUE"""),"")</f>
        <v/>
      </c>
    </row>
    <row r="8935">
      <c r="G8935" s="16" t="str">
        <f>IFERROR(__xludf.DUMMYFUNCTION("""COMPUTED_VALUE"""),"")</f>
        <v/>
      </c>
    </row>
    <row r="8936">
      <c r="G8936" s="16" t="str">
        <f>IFERROR(__xludf.DUMMYFUNCTION("""COMPUTED_VALUE"""),"")</f>
        <v/>
      </c>
    </row>
    <row r="8937">
      <c r="G8937" s="16" t="str">
        <f>IFERROR(__xludf.DUMMYFUNCTION("""COMPUTED_VALUE"""),"")</f>
        <v/>
      </c>
    </row>
    <row r="8938">
      <c r="G8938" s="16" t="str">
        <f>IFERROR(__xludf.DUMMYFUNCTION("""COMPUTED_VALUE"""),"")</f>
        <v/>
      </c>
    </row>
    <row r="8939">
      <c r="G8939" s="16" t="str">
        <f>IFERROR(__xludf.DUMMYFUNCTION("""COMPUTED_VALUE"""),"")</f>
        <v/>
      </c>
    </row>
    <row r="8940">
      <c r="G8940" s="16" t="str">
        <f>IFERROR(__xludf.DUMMYFUNCTION("""COMPUTED_VALUE"""),"")</f>
        <v/>
      </c>
    </row>
    <row r="8941">
      <c r="G8941" s="16" t="str">
        <f>IFERROR(__xludf.DUMMYFUNCTION("""COMPUTED_VALUE"""),"")</f>
        <v/>
      </c>
    </row>
    <row r="8942">
      <c r="G8942" s="16" t="str">
        <f>IFERROR(__xludf.DUMMYFUNCTION("""COMPUTED_VALUE"""),"")</f>
        <v/>
      </c>
    </row>
    <row r="8943">
      <c r="G8943" s="16" t="str">
        <f>IFERROR(__xludf.DUMMYFUNCTION("""COMPUTED_VALUE"""),"")</f>
        <v/>
      </c>
    </row>
    <row r="8944">
      <c r="G8944" s="16" t="str">
        <f>IFERROR(__xludf.DUMMYFUNCTION("""COMPUTED_VALUE"""),"")</f>
        <v/>
      </c>
    </row>
    <row r="8945">
      <c r="G8945" s="16" t="str">
        <f>IFERROR(__xludf.DUMMYFUNCTION("""COMPUTED_VALUE"""),"")</f>
        <v/>
      </c>
    </row>
    <row r="8946">
      <c r="G8946" s="16" t="str">
        <f>IFERROR(__xludf.DUMMYFUNCTION("""COMPUTED_VALUE"""),"")</f>
        <v/>
      </c>
    </row>
    <row r="8947">
      <c r="G8947" s="16" t="str">
        <f>IFERROR(__xludf.DUMMYFUNCTION("""COMPUTED_VALUE"""),"")</f>
        <v/>
      </c>
    </row>
    <row r="8948">
      <c r="G8948" s="16" t="str">
        <f>IFERROR(__xludf.DUMMYFUNCTION("""COMPUTED_VALUE"""),"")</f>
        <v/>
      </c>
    </row>
    <row r="8949">
      <c r="G8949" s="16" t="str">
        <f>IFERROR(__xludf.DUMMYFUNCTION("""COMPUTED_VALUE"""),"")</f>
        <v/>
      </c>
    </row>
    <row r="8950">
      <c r="G8950" s="16" t="str">
        <f>IFERROR(__xludf.DUMMYFUNCTION("""COMPUTED_VALUE"""),"")</f>
        <v/>
      </c>
    </row>
    <row r="8951">
      <c r="G8951" s="16" t="str">
        <f>IFERROR(__xludf.DUMMYFUNCTION("""COMPUTED_VALUE"""),"")</f>
        <v/>
      </c>
    </row>
    <row r="8952">
      <c r="G8952" s="16" t="str">
        <f>IFERROR(__xludf.DUMMYFUNCTION("""COMPUTED_VALUE"""),"")</f>
        <v/>
      </c>
    </row>
    <row r="8953">
      <c r="G8953" s="16" t="str">
        <f>IFERROR(__xludf.DUMMYFUNCTION("""COMPUTED_VALUE"""),"")</f>
        <v/>
      </c>
    </row>
    <row r="8954">
      <c r="G8954" s="16" t="str">
        <f>IFERROR(__xludf.DUMMYFUNCTION("""COMPUTED_VALUE"""),"")</f>
        <v/>
      </c>
    </row>
    <row r="8955">
      <c r="G8955" s="16" t="str">
        <f>IFERROR(__xludf.DUMMYFUNCTION("""COMPUTED_VALUE"""),"")</f>
        <v/>
      </c>
    </row>
    <row r="8956">
      <c r="G8956" s="16" t="str">
        <f>IFERROR(__xludf.DUMMYFUNCTION("""COMPUTED_VALUE"""),"")</f>
        <v/>
      </c>
    </row>
    <row r="8957">
      <c r="G8957" s="16" t="str">
        <f>IFERROR(__xludf.DUMMYFUNCTION("""COMPUTED_VALUE"""),"")</f>
        <v/>
      </c>
    </row>
    <row r="8958">
      <c r="G8958" s="16" t="str">
        <f>IFERROR(__xludf.DUMMYFUNCTION("""COMPUTED_VALUE"""),"")</f>
        <v/>
      </c>
    </row>
    <row r="8959">
      <c r="G8959" s="16" t="str">
        <f>IFERROR(__xludf.DUMMYFUNCTION("""COMPUTED_VALUE"""),"")</f>
        <v/>
      </c>
    </row>
    <row r="8960">
      <c r="G8960" s="16" t="str">
        <f>IFERROR(__xludf.DUMMYFUNCTION("""COMPUTED_VALUE"""),"")</f>
        <v/>
      </c>
    </row>
    <row r="8961">
      <c r="G8961" s="16" t="str">
        <f>IFERROR(__xludf.DUMMYFUNCTION("""COMPUTED_VALUE"""),"")</f>
        <v/>
      </c>
    </row>
    <row r="8962">
      <c r="G8962" s="16" t="str">
        <f>IFERROR(__xludf.DUMMYFUNCTION("""COMPUTED_VALUE"""),"")</f>
        <v/>
      </c>
    </row>
    <row r="8963">
      <c r="G8963" s="16" t="str">
        <f>IFERROR(__xludf.DUMMYFUNCTION("""COMPUTED_VALUE"""),"")</f>
        <v/>
      </c>
    </row>
    <row r="8964">
      <c r="G8964" s="16" t="str">
        <f>IFERROR(__xludf.DUMMYFUNCTION("""COMPUTED_VALUE"""),"")</f>
        <v/>
      </c>
    </row>
    <row r="8965">
      <c r="G8965" s="16" t="str">
        <f>IFERROR(__xludf.DUMMYFUNCTION("""COMPUTED_VALUE"""),"")</f>
        <v/>
      </c>
    </row>
    <row r="8966">
      <c r="G8966" s="16" t="str">
        <f>IFERROR(__xludf.DUMMYFUNCTION("""COMPUTED_VALUE"""),"")</f>
        <v/>
      </c>
    </row>
    <row r="8967">
      <c r="G8967" s="16" t="str">
        <f>IFERROR(__xludf.DUMMYFUNCTION("""COMPUTED_VALUE"""),"")</f>
        <v/>
      </c>
    </row>
    <row r="8968">
      <c r="G8968" s="16" t="str">
        <f>IFERROR(__xludf.DUMMYFUNCTION("""COMPUTED_VALUE"""),"")</f>
        <v/>
      </c>
    </row>
    <row r="8969">
      <c r="G8969" s="16" t="str">
        <f>IFERROR(__xludf.DUMMYFUNCTION("""COMPUTED_VALUE"""),"")</f>
        <v/>
      </c>
    </row>
    <row r="8970">
      <c r="G8970" s="16" t="str">
        <f>IFERROR(__xludf.DUMMYFUNCTION("""COMPUTED_VALUE"""),"")</f>
        <v/>
      </c>
    </row>
    <row r="8971">
      <c r="G8971" s="16" t="str">
        <f>IFERROR(__xludf.DUMMYFUNCTION("""COMPUTED_VALUE"""),"")</f>
        <v/>
      </c>
    </row>
    <row r="8972">
      <c r="G8972" s="16" t="str">
        <f>IFERROR(__xludf.DUMMYFUNCTION("""COMPUTED_VALUE"""),"")</f>
        <v/>
      </c>
    </row>
    <row r="8973">
      <c r="G8973" s="16" t="str">
        <f>IFERROR(__xludf.DUMMYFUNCTION("""COMPUTED_VALUE"""),"")</f>
        <v/>
      </c>
    </row>
    <row r="8974">
      <c r="G8974" s="16" t="str">
        <f>IFERROR(__xludf.DUMMYFUNCTION("""COMPUTED_VALUE"""),"")</f>
        <v/>
      </c>
    </row>
    <row r="8975">
      <c r="G8975" s="16" t="str">
        <f>IFERROR(__xludf.DUMMYFUNCTION("""COMPUTED_VALUE"""),"")</f>
        <v/>
      </c>
    </row>
    <row r="8976">
      <c r="G8976" s="16" t="str">
        <f>IFERROR(__xludf.DUMMYFUNCTION("""COMPUTED_VALUE"""),"")</f>
        <v/>
      </c>
    </row>
    <row r="8977">
      <c r="G8977" s="16" t="str">
        <f>IFERROR(__xludf.DUMMYFUNCTION("""COMPUTED_VALUE"""),"")</f>
        <v/>
      </c>
    </row>
    <row r="8978">
      <c r="G8978" s="16" t="str">
        <f>IFERROR(__xludf.DUMMYFUNCTION("""COMPUTED_VALUE"""),"")</f>
        <v/>
      </c>
    </row>
    <row r="8979">
      <c r="G8979" s="16" t="str">
        <f>IFERROR(__xludf.DUMMYFUNCTION("""COMPUTED_VALUE"""),"")</f>
        <v/>
      </c>
    </row>
    <row r="8980">
      <c r="G8980" s="16" t="str">
        <f>IFERROR(__xludf.DUMMYFUNCTION("""COMPUTED_VALUE"""),"")</f>
        <v/>
      </c>
    </row>
    <row r="8981">
      <c r="G8981" s="16" t="str">
        <f>IFERROR(__xludf.DUMMYFUNCTION("""COMPUTED_VALUE"""),"")</f>
        <v/>
      </c>
    </row>
    <row r="8982">
      <c r="G8982" s="16" t="str">
        <f>IFERROR(__xludf.DUMMYFUNCTION("""COMPUTED_VALUE"""),"")</f>
        <v/>
      </c>
    </row>
    <row r="8983">
      <c r="G8983" s="16" t="str">
        <f>IFERROR(__xludf.DUMMYFUNCTION("""COMPUTED_VALUE"""),"")</f>
        <v/>
      </c>
    </row>
    <row r="8984">
      <c r="G8984" s="16" t="str">
        <f>IFERROR(__xludf.DUMMYFUNCTION("""COMPUTED_VALUE"""),"")</f>
        <v/>
      </c>
    </row>
    <row r="8985">
      <c r="G8985" s="16" t="str">
        <f>IFERROR(__xludf.DUMMYFUNCTION("""COMPUTED_VALUE"""),"")</f>
        <v/>
      </c>
    </row>
    <row r="8986">
      <c r="G8986" s="16" t="str">
        <f>IFERROR(__xludf.DUMMYFUNCTION("""COMPUTED_VALUE"""),"")</f>
        <v/>
      </c>
    </row>
    <row r="8987">
      <c r="G8987" s="16" t="str">
        <f>IFERROR(__xludf.DUMMYFUNCTION("""COMPUTED_VALUE"""),"")</f>
        <v/>
      </c>
    </row>
    <row r="8988">
      <c r="G8988" s="16" t="str">
        <f>IFERROR(__xludf.DUMMYFUNCTION("""COMPUTED_VALUE"""),"")</f>
        <v/>
      </c>
    </row>
    <row r="8989">
      <c r="G8989" s="16" t="str">
        <f>IFERROR(__xludf.DUMMYFUNCTION("""COMPUTED_VALUE"""),"")</f>
        <v/>
      </c>
    </row>
    <row r="8990">
      <c r="G8990" s="16" t="str">
        <f>IFERROR(__xludf.DUMMYFUNCTION("""COMPUTED_VALUE"""),"")</f>
        <v/>
      </c>
    </row>
    <row r="8991">
      <c r="G8991" s="16" t="str">
        <f>IFERROR(__xludf.DUMMYFUNCTION("""COMPUTED_VALUE"""),"")</f>
        <v/>
      </c>
    </row>
    <row r="8992">
      <c r="G8992" s="16" t="str">
        <f>IFERROR(__xludf.DUMMYFUNCTION("""COMPUTED_VALUE"""),"")</f>
        <v/>
      </c>
    </row>
    <row r="8993">
      <c r="G8993" s="16" t="str">
        <f>IFERROR(__xludf.DUMMYFUNCTION("""COMPUTED_VALUE"""),"")</f>
        <v/>
      </c>
    </row>
    <row r="8994">
      <c r="G8994" s="16" t="str">
        <f>IFERROR(__xludf.DUMMYFUNCTION("""COMPUTED_VALUE"""),"")</f>
        <v/>
      </c>
    </row>
    <row r="8995">
      <c r="G8995" s="16" t="str">
        <f>IFERROR(__xludf.DUMMYFUNCTION("""COMPUTED_VALUE"""),"")</f>
        <v/>
      </c>
    </row>
    <row r="8996">
      <c r="G8996" s="16" t="str">
        <f>IFERROR(__xludf.DUMMYFUNCTION("""COMPUTED_VALUE"""),"")</f>
        <v/>
      </c>
    </row>
    <row r="8997">
      <c r="G8997" s="16" t="str">
        <f>IFERROR(__xludf.DUMMYFUNCTION("""COMPUTED_VALUE"""),"")</f>
        <v/>
      </c>
    </row>
    <row r="8998">
      <c r="G8998" s="16" t="str">
        <f>IFERROR(__xludf.DUMMYFUNCTION("""COMPUTED_VALUE"""),"")</f>
        <v/>
      </c>
    </row>
    <row r="8999">
      <c r="G8999" s="16" t="str">
        <f>IFERROR(__xludf.DUMMYFUNCTION("""COMPUTED_VALUE"""),"")</f>
        <v/>
      </c>
    </row>
    <row r="9000">
      <c r="G9000" s="16" t="str">
        <f>IFERROR(__xludf.DUMMYFUNCTION("""COMPUTED_VALUE"""),"")</f>
        <v/>
      </c>
    </row>
    <row r="9001">
      <c r="G9001" s="16" t="str">
        <f>IFERROR(__xludf.DUMMYFUNCTION("""COMPUTED_VALUE"""),"")</f>
        <v/>
      </c>
    </row>
    <row r="9002">
      <c r="G9002" s="16" t="str">
        <f>IFERROR(__xludf.DUMMYFUNCTION("""COMPUTED_VALUE"""),"")</f>
        <v/>
      </c>
    </row>
    <row r="9003">
      <c r="G9003" s="16" t="str">
        <f>IFERROR(__xludf.DUMMYFUNCTION("""COMPUTED_VALUE"""),"")</f>
        <v/>
      </c>
    </row>
    <row r="9004">
      <c r="G9004" s="16" t="str">
        <f>IFERROR(__xludf.DUMMYFUNCTION("""COMPUTED_VALUE"""),"")</f>
        <v/>
      </c>
    </row>
    <row r="9005">
      <c r="G9005" s="16" t="str">
        <f>IFERROR(__xludf.DUMMYFUNCTION("""COMPUTED_VALUE"""),"")</f>
        <v/>
      </c>
    </row>
    <row r="9006">
      <c r="G9006" s="16" t="str">
        <f>IFERROR(__xludf.DUMMYFUNCTION("""COMPUTED_VALUE"""),"")</f>
        <v/>
      </c>
    </row>
    <row r="9007">
      <c r="G9007" s="16" t="str">
        <f>IFERROR(__xludf.DUMMYFUNCTION("""COMPUTED_VALUE"""),"")</f>
        <v/>
      </c>
    </row>
    <row r="9008">
      <c r="G9008" s="16" t="str">
        <f>IFERROR(__xludf.DUMMYFUNCTION("""COMPUTED_VALUE"""),"")</f>
        <v/>
      </c>
    </row>
    <row r="9009">
      <c r="G9009" s="16" t="str">
        <f>IFERROR(__xludf.DUMMYFUNCTION("""COMPUTED_VALUE"""),"")</f>
        <v/>
      </c>
    </row>
    <row r="9010">
      <c r="G9010" s="16" t="str">
        <f>IFERROR(__xludf.DUMMYFUNCTION("""COMPUTED_VALUE"""),"")</f>
        <v/>
      </c>
    </row>
    <row r="9011">
      <c r="G9011" s="16" t="str">
        <f>IFERROR(__xludf.DUMMYFUNCTION("""COMPUTED_VALUE"""),"")</f>
        <v/>
      </c>
    </row>
    <row r="9012">
      <c r="G9012" s="16" t="str">
        <f>IFERROR(__xludf.DUMMYFUNCTION("""COMPUTED_VALUE"""),"")</f>
        <v/>
      </c>
    </row>
    <row r="9013">
      <c r="G9013" s="16" t="str">
        <f>IFERROR(__xludf.DUMMYFUNCTION("""COMPUTED_VALUE"""),"")</f>
        <v/>
      </c>
    </row>
    <row r="9014">
      <c r="G9014" s="16" t="str">
        <f>IFERROR(__xludf.DUMMYFUNCTION("""COMPUTED_VALUE"""),"")</f>
        <v/>
      </c>
    </row>
    <row r="9015">
      <c r="G9015" s="16" t="str">
        <f>IFERROR(__xludf.DUMMYFUNCTION("""COMPUTED_VALUE"""),"")</f>
        <v/>
      </c>
    </row>
    <row r="9016">
      <c r="G9016" s="16" t="str">
        <f>IFERROR(__xludf.DUMMYFUNCTION("""COMPUTED_VALUE"""),"")</f>
        <v/>
      </c>
    </row>
    <row r="9017">
      <c r="G9017" s="16" t="str">
        <f>IFERROR(__xludf.DUMMYFUNCTION("""COMPUTED_VALUE"""),"")</f>
        <v/>
      </c>
    </row>
    <row r="9018">
      <c r="G9018" s="16" t="str">
        <f>IFERROR(__xludf.DUMMYFUNCTION("""COMPUTED_VALUE"""),"")</f>
        <v/>
      </c>
    </row>
    <row r="9019">
      <c r="G9019" s="16" t="str">
        <f>IFERROR(__xludf.DUMMYFUNCTION("""COMPUTED_VALUE"""),"")</f>
        <v/>
      </c>
    </row>
    <row r="9020">
      <c r="G9020" s="16" t="str">
        <f>IFERROR(__xludf.DUMMYFUNCTION("""COMPUTED_VALUE"""),"")</f>
        <v/>
      </c>
    </row>
    <row r="9021">
      <c r="G9021" s="16" t="str">
        <f>IFERROR(__xludf.DUMMYFUNCTION("""COMPUTED_VALUE"""),"")</f>
        <v/>
      </c>
    </row>
    <row r="9022">
      <c r="G9022" s="16" t="str">
        <f>IFERROR(__xludf.DUMMYFUNCTION("""COMPUTED_VALUE"""),"")</f>
        <v/>
      </c>
    </row>
    <row r="9023">
      <c r="G9023" s="16" t="str">
        <f>IFERROR(__xludf.DUMMYFUNCTION("""COMPUTED_VALUE"""),"")</f>
        <v/>
      </c>
    </row>
    <row r="9024">
      <c r="G9024" s="16" t="str">
        <f>IFERROR(__xludf.DUMMYFUNCTION("""COMPUTED_VALUE"""),"")</f>
        <v/>
      </c>
    </row>
    <row r="9025">
      <c r="G9025" s="16" t="str">
        <f>IFERROR(__xludf.DUMMYFUNCTION("""COMPUTED_VALUE"""),"")</f>
        <v/>
      </c>
    </row>
    <row r="9026">
      <c r="G9026" s="16" t="str">
        <f>IFERROR(__xludf.DUMMYFUNCTION("""COMPUTED_VALUE"""),"")</f>
        <v/>
      </c>
    </row>
    <row r="9027">
      <c r="G9027" s="16" t="str">
        <f>IFERROR(__xludf.DUMMYFUNCTION("""COMPUTED_VALUE"""),"")</f>
        <v/>
      </c>
    </row>
    <row r="9028">
      <c r="G9028" s="16" t="str">
        <f>IFERROR(__xludf.DUMMYFUNCTION("""COMPUTED_VALUE"""),"")</f>
        <v/>
      </c>
    </row>
    <row r="9029">
      <c r="G9029" s="16" t="str">
        <f>IFERROR(__xludf.DUMMYFUNCTION("""COMPUTED_VALUE"""),"")</f>
        <v/>
      </c>
    </row>
    <row r="9030">
      <c r="G9030" s="16" t="str">
        <f>IFERROR(__xludf.DUMMYFUNCTION("""COMPUTED_VALUE"""),"")</f>
        <v/>
      </c>
    </row>
    <row r="9031">
      <c r="G9031" s="16" t="str">
        <f>IFERROR(__xludf.DUMMYFUNCTION("""COMPUTED_VALUE"""),"")</f>
        <v/>
      </c>
    </row>
    <row r="9032">
      <c r="G9032" s="16" t="str">
        <f>IFERROR(__xludf.DUMMYFUNCTION("""COMPUTED_VALUE"""),"")</f>
        <v/>
      </c>
    </row>
    <row r="9033">
      <c r="G9033" s="16" t="str">
        <f>IFERROR(__xludf.DUMMYFUNCTION("""COMPUTED_VALUE"""),"")</f>
        <v/>
      </c>
    </row>
    <row r="9034">
      <c r="G9034" s="16" t="str">
        <f>IFERROR(__xludf.DUMMYFUNCTION("""COMPUTED_VALUE"""),"")</f>
        <v/>
      </c>
    </row>
    <row r="9035">
      <c r="G9035" s="16" t="str">
        <f>IFERROR(__xludf.DUMMYFUNCTION("""COMPUTED_VALUE"""),"")</f>
        <v/>
      </c>
    </row>
    <row r="9036">
      <c r="G9036" s="16" t="str">
        <f>IFERROR(__xludf.DUMMYFUNCTION("""COMPUTED_VALUE"""),"")</f>
        <v/>
      </c>
    </row>
    <row r="9037">
      <c r="G9037" s="16" t="str">
        <f>IFERROR(__xludf.DUMMYFUNCTION("""COMPUTED_VALUE"""),"")</f>
        <v/>
      </c>
    </row>
    <row r="9038">
      <c r="G9038" s="16" t="str">
        <f>IFERROR(__xludf.DUMMYFUNCTION("""COMPUTED_VALUE"""),"")</f>
        <v/>
      </c>
    </row>
    <row r="9039">
      <c r="G9039" s="16" t="str">
        <f>IFERROR(__xludf.DUMMYFUNCTION("""COMPUTED_VALUE"""),"")</f>
        <v/>
      </c>
    </row>
    <row r="9040">
      <c r="G9040" s="16" t="str">
        <f>IFERROR(__xludf.DUMMYFUNCTION("""COMPUTED_VALUE"""),"")</f>
        <v/>
      </c>
    </row>
    <row r="9041">
      <c r="G9041" s="16" t="str">
        <f>IFERROR(__xludf.DUMMYFUNCTION("""COMPUTED_VALUE"""),"")</f>
        <v/>
      </c>
    </row>
    <row r="9042">
      <c r="G9042" s="16" t="str">
        <f>IFERROR(__xludf.DUMMYFUNCTION("""COMPUTED_VALUE"""),"")</f>
        <v/>
      </c>
    </row>
    <row r="9043">
      <c r="G9043" s="16" t="str">
        <f>IFERROR(__xludf.DUMMYFUNCTION("""COMPUTED_VALUE"""),"")</f>
        <v/>
      </c>
    </row>
    <row r="9044">
      <c r="G9044" s="16" t="str">
        <f>IFERROR(__xludf.DUMMYFUNCTION("""COMPUTED_VALUE"""),"")</f>
        <v/>
      </c>
    </row>
    <row r="9045">
      <c r="G9045" s="16" t="str">
        <f>IFERROR(__xludf.DUMMYFUNCTION("""COMPUTED_VALUE"""),"")</f>
        <v/>
      </c>
    </row>
    <row r="9046">
      <c r="G9046" s="16" t="str">
        <f>IFERROR(__xludf.DUMMYFUNCTION("""COMPUTED_VALUE"""),"")</f>
        <v/>
      </c>
    </row>
    <row r="9047">
      <c r="G9047" s="16" t="str">
        <f>IFERROR(__xludf.DUMMYFUNCTION("""COMPUTED_VALUE"""),"")</f>
        <v/>
      </c>
    </row>
    <row r="9048">
      <c r="G9048" s="16" t="str">
        <f>IFERROR(__xludf.DUMMYFUNCTION("""COMPUTED_VALUE"""),"")</f>
        <v/>
      </c>
    </row>
    <row r="9049">
      <c r="G9049" s="16" t="str">
        <f>IFERROR(__xludf.DUMMYFUNCTION("""COMPUTED_VALUE"""),"")</f>
        <v/>
      </c>
    </row>
    <row r="9050">
      <c r="G9050" s="16" t="str">
        <f>IFERROR(__xludf.DUMMYFUNCTION("""COMPUTED_VALUE"""),"")</f>
        <v/>
      </c>
    </row>
    <row r="9051">
      <c r="G9051" s="16" t="str">
        <f>IFERROR(__xludf.DUMMYFUNCTION("""COMPUTED_VALUE"""),"")</f>
        <v/>
      </c>
    </row>
    <row r="9052">
      <c r="G9052" s="16" t="str">
        <f>IFERROR(__xludf.DUMMYFUNCTION("""COMPUTED_VALUE"""),"")</f>
        <v/>
      </c>
    </row>
    <row r="9053">
      <c r="G9053" s="16" t="str">
        <f>IFERROR(__xludf.DUMMYFUNCTION("""COMPUTED_VALUE"""),"")</f>
        <v/>
      </c>
    </row>
    <row r="9054">
      <c r="G9054" s="16" t="str">
        <f>IFERROR(__xludf.DUMMYFUNCTION("""COMPUTED_VALUE"""),"")</f>
        <v/>
      </c>
    </row>
    <row r="9055">
      <c r="G9055" s="16" t="str">
        <f>IFERROR(__xludf.DUMMYFUNCTION("""COMPUTED_VALUE"""),"")</f>
        <v/>
      </c>
    </row>
    <row r="9056">
      <c r="G9056" s="16" t="str">
        <f>IFERROR(__xludf.DUMMYFUNCTION("""COMPUTED_VALUE"""),"")</f>
        <v/>
      </c>
    </row>
    <row r="9057">
      <c r="G9057" s="16" t="str">
        <f>IFERROR(__xludf.DUMMYFUNCTION("""COMPUTED_VALUE"""),"")</f>
        <v/>
      </c>
    </row>
    <row r="9058">
      <c r="G9058" s="16" t="str">
        <f>IFERROR(__xludf.DUMMYFUNCTION("""COMPUTED_VALUE"""),"")</f>
        <v/>
      </c>
    </row>
    <row r="9059">
      <c r="G9059" s="16" t="str">
        <f>IFERROR(__xludf.DUMMYFUNCTION("""COMPUTED_VALUE"""),"")</f>
        <v/>
      </c>
    </row>
    <row r="9060">
      <c r="G9060" s="16" t="str">
        <f>IFERROR(__xludf.DUMMYFUNCTION("""COMPUTED_VALUE"""),"")</f>
        <v/>
      </c>
    </row>
    <row r="9061">
      <c r="G9061" s="16" t="str">
        <f>IFERROR(__xludf.DUMMYFUNCTION("""COMPUTED_VALUE"""),"")</f>
        <v/>
      </c>
    </row>
    <row r="9062">
      <c r="G9062" s="16" t="str">
        <f>IFERROR(__xludf.DUMMYFUNCTION("""COMPUTED_VALUE"""),"")</f>
        <v/>
      </c>
    </row>
    <row r="9063">
      <c r="G9063" s="16" t="str">
        <f>IFERROR(__xludf.DUMMYFUNCTION("""COMPUTED_VALUE"""),"")</f>
        <v/>
      </c>
    </row>
    <row r="9064">
      <c r="G9064" s="16" t="str">
        <f>IFERROR(__xludf.DUMMYFUNCTION("""COMPUTED_VALUE"""),"")</f>
        <v/>
      </c>
    </row>
    <row r="9065">
      <c r="G9065" s="16" t="str">
        <f>IFERROR(__xludf.DUMMYFUNCTION("""COMPUTED_VALUE"""),"")</f>
        <v/>
      </c>
    </row>
    <row r="9066">
      <c r="G9066" s="16" t="str">
        <f>IFERROR(__xludf.DUMMYFUNCTION("""COMPUTED_VALUE"""),"")</f>
        <v/>
      </c>
    </row>
    <row r="9067">
      <c r="G9067" s="16" t="str">
        <f>IFERROR(__xludf.DUMMYFUNCTION("""COMPUTED_VALUE"""),"")</f>
        <v/>
      </c>
    </row>
    <row r="9068">
      <c r="G9068" s="16" t="str">
        <f>IFERROR(__xludf.DUMMYFUNCTION("""COMPUTED_VALUE"""),"")</f>
        <v/>
      </c>
    </row>
    <row r="9069">
      <c r="G9069" s="16" t="str">
        <f>IFERROR(__xludf.DUMMYFUNCTION("""COMPUTED_VALUE"""),"")</f>
        <v/>
      </c>
    </row>
    <row r="9070">
      <c r="G9070" s="16" t="str">
        <f>IFERROR(__xludf.DUMMYFUNCTION("""COMPUTED_VALUE"""),"")</f>
        <v/>
      </c>
    </row>
    <row r="9071">
      <c r="G9071" s="16" t="str">
        <f>IFERROR(__xludf.DUMMYFUNCTION("""COMPUTED_VALUE"""),"")</f>
        <v/>
      </c>
    </row>
    <row r="9072">
      <c r="G9072" s="16" t="str">
        <f>IFERROR(__xludf.DUMMYFUNCTION("""COMPUTED_VALUE"""),"")</f>
        <v/>
      </c>
    </row>
    <row r="9073">
      <c r="G9073" s="16" t="str">
        <f>IFERROR(__xludf.DUMMYFUNCTION("""COMPUTED_VALUE"""),"")</f>
        <v/>
      </c>
    </row>
    <row r="9074">
      <c r="G9074" s="16" t="str">
        <f>IFERROR(__xludf.DUMMYFUNCTION("""COMPUTED_VALUE"""),"")</f>
        <v/>
      </c>
    </row>
    <row r="9075">
      <c r="G9075" s="16" t="str">
        <f>IFERROR(__xludf.DUMMYFUNCTION("""COMPUTED_VALUE"""),"")</f>
        <v/>
      </c>
    </row>
    <row r="9076">
      <c r="G9076" s="16" t="str">
        <f>IFERROR(__xludf.DUMMYFUNCTION("""COMPUTED_VALUE"""),"")</f>
        <v/>
      </c>
    </row>
    <row r="9077">
      <c r="G9077" s="16" t="str">
        <f>IFERROR(__xludf.DUMMYFUNCTION("""COMPUTED_VALUE"""),"")</f>
        <v/>
      </c>
    </row>
    <row r="9078">
      <c r="G9078" s="16" t="str">
        <f>IFERROR(__xludf.DUMMYFUNCTION("""COMPUTED_VALUE"""),"")</f>
        <v/>
      </c>
    </row>
    <row r="9079">
      <c r="G9079" s="16" t="str">
        <f>IFERROR(__xludf.DUMMYFUNCTION("""COMPUTED_VALUE"""),"")</f>
        <v/>
      </c>
    </row>
    <row r="9080">
      <c r="G9080" s="16" t="str">
        <f>IFERROR(__xludf.DUMMYFUNCTION("""COMPUTED_VALUE"""),"")</f>
        <v/>
      </c>
    </row>
    <row r="9081">
      <c r="G9081" s="16" t="str">
        <f>IFERROR(__xludf.DUMMYFUNCTION("""COMPUTED_VALUE"""),"")</f>
        <v/>
      </c>
    </row>
    <row r="9082">
      <c r="G9082" s="16" t="str">
        <f>IFERROR(__xludf.DUMMYFUNCTION("""COMPUTED_VALUE"""),"")</f>
        <v/>
      </c>
    </row>
    <row r="9083">
      <c r="G9083" s="16" t="str">
        <f>IFERROR(__xludf.DUMMYFUNCTION("""COMPUTED_VALUE"""),"")</f>
        <v/>
      </c>
    </row>
    <row r="9084">
      <c r="G9084" s="16" t="str">
        <f>IFERROR(__xludf.DUMMYFUNCTION("""COMPUTED_VALUE"""),"")</f>
        <v/>
      </c>
    </row>
    <row r="9085">
      <c r="G9085" s="16" t="str">
        <f>IFERROR(__xludf.DUMMYFUNCTION("""COMPUTED_VALUE"""),"")</f>
        <v/>
      </c>
    </row>
    <row r="9086">
      <c r="G9086" s="16" t="str">
        <f>IFERROR(__xludf.DUMMYFUNCTION("""COMPUTED_VALUE"""),"")</f>
        <v/>
      </c>
    </row>
    <row r="9087">
      <c r="G9087" s="16" t="str">
        <f>IFERROR(__xludf.DUMMYFUNCTION("""COMPUTED_VALUE"""),"")</f>
        <v/>
      </c>
    </row>
    <row r="9088">
      <c r="G9088" s="16" t="str">
        <f>IFERROR(__xludf.DUMMYFUNCTION("""COMPUTED_VALUE"""),"")</f>
        <v/>
      </c>
    </row>
    <row r="9089">
      <c r="G9089" s="16" t="str">
        <f>IFERROR(__xludf.DUMMYFUNCTION("""COMPUTED_VALUE"""),"")</f>
        <v/>
      </c>
    </row>
    <row r="9090">
      <c r="G9090" s="16" t="str">
        <f>IFERROR(__xludf.DUMMYFUNCTION("""COMPUTED_VALUE"""),"")</f>
        <v/>
      </c>
    </row>
    <row r="9091">
      <c r="G9091" s="16" t="str">
        <f>IFERROR(__xludf.DUMMYFUNCTION("""COMPUTED_VALUE"""),"")</f>
        <v/>
      </c>
    </row>
    <row r="9092">
      <c r="G9092" s="16" t="str">
        <f>IFERROR(__xludf.DUMMYFUNCTION("""COMPUTED_VALUE"""),"")</f>
        <v/>
      </c>
    </row>
    <row r="9093">
      <c r="G9093" s="16" t="str">
        <f>IFERROR(__xludf.DUMMYFUNCTION("""COMPUTED_VALUE"""),"")</f>
        <v/>
      </c>
    </row>
    <row r="9094">
      <c r="G9094" s="16" t="str">
        <f>IFERROR(__xludf.DUMMYFUNCTION("""COMPUTED_VALUE"""),"")</f>
        <v/>
      </c>
    </row>
    <row r="9095">
      <c r="G9095" s="16" t="str">
        <f>IFERROR(__xludf.DUMMYFUNCTION("""COMPUTED_VALUE"""),"")</f>
        <v/>
      </c>
    </row>
    <row r="9096">
      <c r="G9096" s="16" t="str">
        <f>IFERROR(__xludf.DUMMYFUNCTION("""COMPUTED_VALUE"""),"")</f>
        <v/>
      </c>
    </row>
    <row r="9097">
      <c r="G9097" s="16" t="str">
        <f>IFERROR(__xludf.DUMMYFUNCTION("""COMPUTED_VALUE"""),"")</f>
        <v/>
      </c>
    </row>
    <row r="9098">
      <c r="G9098" s="16" t="str">
        <f>IFERROR(__xludf.DUMMYFUNCTION("""COMPUTED_VALUE"""),"")</f>
        <v/>
      </c>
    </row>
    <row r="9099">
      <c r="G9099" s="16" t="str">
        <f>IFERROR(__xludf.DUMMYFUNCTION("""COMPUTED_VALUE"""),"")</f>
        <v/>
      </c>
    </row>
    <row r="9100">
      <c r="G9100" s="16" t="str">
        <f>IFERROR(__xludf.DUMMYFUNCTION("""COMPUTED_VALUE"""),"")</f>
        <v/>
      </c>
    </row>
    <row r="9101">
      <c r="G9101" s="16" t="str">
        <f>IFERROR(__xludf.DUMMYFUNCTION("""COMPUTED_VALUE"""),"")</f>
        <v/>
      </c>
    </row>
    <row r="9102">
      <c r="G9102" s="16" t="str">
        <f>IFERROR(__xludf.DUMMYFUNCTION("""COMPUTED_VALUE"""),"")</f>
        <v/>
      </c>
    </row>
    <row r="9103">
      <c r="G9103" s="16" t="str">
        <f>IFERROR(__xludf.DUMMYFUNCTION("""COMPUTED_VALUE"""),"")</f>
        <v/>
      </c>
    </row>
    <row r="9104">
      <c r="G9104" s="16" t="str">
        <f>IFERROR(__xludf.DUMMYFUNCTION("""COMPUTED_VALUE"""),"")</f>
        <v/>
      </c>
    </row>
    <row r="9105">
      <c r="G9105" s="16" t="str">
        <f>IFERROR(__xludf.DUMMYFUNCTION("""COMPUTED_VALUE"""),"")</f>
        <v/>
      </c>
    </row>
    <row r="9106">
      <c r="G9106" s="16" t="str">
        <f>IFERROR(__xludf.DUMMYFUNCTION("""COMPUTED_VALUE"""),"")</f>
        <v/>
      </c>
    </row>
    <row r="9107">
      <c r="G9107" s="16" t="str">
        <f>IFERROR(__xludf.DUMMYFUNCTION("""COMPUTED_VALUE"""),"")</f>
        <v/>
      </c>
    </row>
    <row r="9108">
      <c r="G9108" s="16" t="str">
        <f>IFERROR(__xludf.DUMMYFUNCTION("""COMPUTED_VALUE"""),"")</f>
        <v/>
      </c>
    </row>
    <row r="9109">
      <c r="G9109" s="16" t="str">
        <f>IFERROR(__xludf.DUMMYFUNCTION("""COMPUTED_VALUE"""),"")</f>
        <v/>
      </c>
    </row>
    <row r="9110">
      <c r="G9110" s="16" t="str">
        <f>IFERROR(__xludf.DUMMYFUNCTION("""COMPUTED_VALUE"""),"")</f>
        <v/>
      </c>
    </row>
    <row r="9111">
      <c r="G9111" s="16" t="str">
        <f>IFERROR(__xludf.DUMMYFUNCTION("""COMPUTED_VALUE"""),"")</f>
        <v/>
      </c>
    </row>
    <row r="9112">
      <c r="G9112" s="16" t="str">
        <f>IFERROR(__xludf.DUMMYFUNCTION("""COMPUTED_VALUE"""),"")</f>
        <v/>
      </c>
    </row>
    <row r="9113">
      <c r="G9113" s="16" t="str">
        <f>IFERROR(__xludf.DUMMYFUNCTION("""COMPUTED_VALUE"""),"")</f>
        <v/>
      </c>
    </row>
    <row r="9114">
      <c r="G9114" s="16" t="str">
        <f>IFERROR(__xludf.DUMMYFUNCTION("""COMPUTED_VALUE"""),"")</f>
        <v/>
      </c>
    </row>
    <row r="9115">
      <c r="G9115" s="16" t="str">
        <f>IFERROR(__xludf.DUMMYFUNCTION("""COMPUTED_VALUE"""),"")</f>
        <v/>
      </c>
    </row>
    <row r="9116">
      <c r="G9116" s="16" t="str">
        <f>IFERROR(__xludf.DUMMYFUNCTION("""COMPUTED_VALUE"""),"")</f>
        <v/>
      </c>
    </row>
    <row r="9117">
      <c r="G9117" s="16" t="str">
        <f>IFERROR(__xludf.DUMMYFUNCTION("""COMPUTED_VALUE"""),"")</f>
        <v/>
      </c>
    </row>
    <row r="9118">
      <c r="G9118" s="16" t="str">
        <f>IFERROR(__xludf.DUMMYFUNCTION("""COMPUTED_VALUE"""),"")</f>
        <v/>
      </c>
    </row>
    <row r="9119">
      <c r="G9119" s="16" t="str">
        <f>IFERROR(__xludf.DUMMYFUNCTION("""COMPUTED_VALUE"""),"")</f>
        <v/>
      </c>
    </row>
    <row r="9120">
      <c r="G9120" s="16" t="str">
        <f>IFERROR(__xludf.DUMMYFUNCTION("""COMPUTED_VALUE"""),"")</f>
        <v/>
      </c>
    </row>
    <row r="9121">
      <c r="G9121" s="16" t="str">
        <f>IFERROR(__xludf.DUMMYFUNCTION("""COMPUTED_VALUE"""),"")</f>
        <v/>
      </c>
    </row>
    <row r="9122">
      <c r="G9122" s="16" t="str">
        <f>IFERROR(__xludf.DUMMYFUNCTION("""COMPUTED_VALUE"""),"")</f>
        <v/>
      </c>
    </row>
    <row r="9123">
      <c r="G9123" s="16" t="str">
        <f>IFERROR(__xludf.DUMMYFUNCTION("""COMPUTED_VALUE"""),"")</f>
        <v/>
      </c>
    </row>
    <row r="9124">
      <c r="G9124" s="16" t="str">
        <f>IFERROR(__xludf.DUMMYFUNCTION("""COMPUTED_VALUE"""),"")</f>
        <v/>
      </c>
    </row>
    <row r="9125">
      <c r="G9125" s="16" t="str">
        <f>IFERROR(__xludf.DUMMYFUNCTION("""COMPUTED_VALUE"""),"")</f>
        <v/>
      </c>
    </row>
    <row r="9126">
      <c r="G9126" s="16" t="str">
        <f>IFERROR(__xludf.DUMMYFUNCTION("""COMPUTED_VALUE"""),"")</f>
        <v/>
      </c>
    </row>
    <row r="9127">
      <c r="G9127" s="16" t="str">
        <f>IFERROR(__xludf.DUMMYFUNCTION("""COMPUTED_VALUE"""),"")</f>
        <v/>
      </c>
    </row>
    <row r="9128">
      <c r="G9128" s="16" t="str">
        <f>IFERROR(__xludf.DUMMYFUNCTION("""COMPUTED_VALUE"""),"")</f>
        <v/>
      </c>
    </row>
    <row r="9129">
      <c r="G9129" s="16" t="str">
        <f>IFERROR(__xludf.DUMMYFUNCTION("""COMPUTED_VALUE"""),"")</f>
        <v/>
      </c>
    </row>
    <row r="9130">
      <c r="G9130" s="16" t="str">
        <f>IFERROR(__xludf.DUMMYFUNCTION("""COMPUTED_VALUE"""),"")</f>
        <v/>
      </c>
    </row>
    <row r="9131">
      <c r="G9131" s="16" t="str">
        <f>IFERROR(__xludf.DUMMYFUNCTION("""COMPUTED_VALUE"""),"")</f>
        <v/>
      </c>
    </row>
    <row r="9132">
      <c r="G9132" s="16" t="str">
        <f>IFERROR(__xludf.DUMMYFUNCTION("""COMPUTED_VALUE"""),"")</f>
        <v/>
      </c>
    </row>
    <row r="9133">
      <c r="G9133" s="16" t="str">
        <f>IFERROR(__xludf.DUMMYFUNCTION("""COMPUTED_VALUE"""),"")</f>
        <v/>
      </c>
    </row>
    <row r="9134">
      <c r="G9134" s="16" t="str">
        <f>IFERROR(__xludf.DUMMYFUNCTION("""COMPUTED_VALUE"""),"")</f>
        <v/>
      </c>
    </row>
    <row r="9135">
      <c r="G9135" s="16" t="str">
        <f>IFERROR(__xludf.DUMMYFUNCTION("""COMPUTED_VALUE"""),"")</f>
        <v/>
      </c>
    </row>
    <row r="9136">
      <c r="G9136" s="16" t="str">
        <f>IFERROR(__xludf.DUMMYFUNCTION("""COMPUTED_VALUE"""),"")</f>
        <v/>
      </c>
    </row>
    <row r="9137">
      <c r="G9137" s="16" t="str">
        <f>IFERROR(__xludf.DUMMYFUNCTION("""COMPUTED_VALUE"""),"")</f>
        <v/>
      </c>
    </row>
    <row r="9138">
      <c r="G9138" s="16" t="str">
        <f>IFERROR(__xludf.DUMMYFUNCTION("""COMPUTED_VALUE"""),"")</f>
        <v/>
      </c>
    </row>
    <row r="9139">
      <c r="G9139" s="16" t="str">
        <f>IFERROR(__xludf.DUMMYFUNCTION("""COMPUTED_VALUE"""),"")</f>
        <v/>
      </c>
    </row>
    <row r="9140">
      <c r="G9140" s="16" t="str">
        <f>IFERROR(__xludf.DUMMYFUNCTION("""COMPUTED_VALUE"""),"")</f>
        <v/>
      </c>
    </row>
    <row r="9141">
      <c r="G9141" s="16" t="str">
        <f>IFERROR(__xludf.DUMMYFUNCTION("""COMPUTED_VALUE"""),"")</f>
        <v/>
      </c>
    </row>
    <row r="9142">
      <c r="G9142" s="16" t="str">
        <f>IFERROR(__xludf.DUMMYFUNCTION("""COMPUTED_VALUE"""),"")</f>
        <v/>
      </c>
    </row>
    <row r="9143">
      <c r="G9143" s="16" t="str">
        <f>IFERROR(__xludf.DUMMYFUNCTION("""COMPUTED_VALUE"""),"")</f>
        <v/>
      </c>
    </row>
    <row r="9144">
      <c r="G9144" s="16" t="str">
        <f>IFERROR(__xludf.DUMMYFUNCTION("""COMPUTED_VALUE"""),"")</f>
        <v/>
      </c>
    </row>
    <row r="9145">
      <c r="G9145" s="16" t="str">
        <f>IFERROR(__xludf.DUMMYFUNCTION("""COMPUTED_VALUE"""),"")</f>
        <v/>
      </c>
    </row>
    <row r="9146">
      <c r="G9146" s="16" t="str">
        <f>IFERROR(__xludf.DUMMYFUNCTION("""COMPUTED_VALUE"""),"")</f>
        <v/>
      </c>
    </row>
    <row r="9147">
      <c r="G9147" s="16" t="str">
        <f>IFERROR(__xludf.DUMMYFUNCTION("""COMPUTED_VALUE"""),"")</f>
        <v/>
      </c>
    </row>
    <row r="9148">
      <c r="G9148" s="16" t="str">
        <f>IFERROR(__xludf.DUMMYFUNCTION("""COMPUTED_VALUE"""),"")</f>
        <v/>
      </c>
    </row>
    <row r="9149">
      <c r="G9149" s="16" t="str">
        <f>IFERROR(__xludf.DUMMYFUNCTION("""COMPUTED_VALUE"""),"")</f>
        <v/>
      </c>
    </row>
    <row r="9150">
      <c r="G9150" s="16" t="str">
        <f>IFERROR(__xludf.DUMMYFUNCTION("""COMPUTED_VALUE"""),"")</f>
        <v/>
      </c>
    </row>
    <row r="9151">
      <c r="G9151" s="16" t="str">
        <f>IFERROR(__xludf.DUMMYFUNCTION("""COMPUTED_VALUE"""),"")</f>
        <v/>
      </c>
    </row>
    <row r="9152">
      <c r="G9152" s="16" t="str">
        <f>IFERROR(__xludf.DUMMYFUNCTION("""COMPUTED_VALUE"""),"")</f>
        <v/>
      </c>
    </row>
    <row r="9153">
      <c r="G9153" s="16" t="str">
        <f>IFERROR(__xludf.DUMMYFUNCTION("""COMPUTED_VALUE"""),"")</f>
        <v/>
      </c>
    </row>
    <row r="9154">
      <c r="G9154" s="16" t="str">
        <f>IFERROR(__xludf.DUMMYFUNCTION("""COMPUTED_VALUE"""),"")</f>
        <v/>
      </c>
    </row>
    <row r="9155">
      <c r="G9155" s="16" t="str">
        <f>IFERROR(__xludf.DUMMYFUNCTION("""COMPUTED_VALUE"""),"")</f>
        <v/>
      </c>
    </row>
    <row r="9156">
      <c r="G9156" s="16" t="str">
        <f>IFERROR(__xludf.DUMMYFUNCTION("""COMPUTED_VALUE"""),"")</f>
        <v/>
      </c>
    </row>
    <row r="9157">
      <c r="G9157" s="16" t="str">
        <f>IFERROR(__xludf.DUMMYFUNCTION("""COMPUTED_VALUE"""),"")</f>
        <v/>
      </c>
    </row>
    <row r="9158">
      <c r="G9158" s="16" t="str">
        <f>IFERROR(__xludf.DUMMYFUNCTION("""COMPUTED_VALUE"""),"")</f>
        <v/>
      </c>
    </row>
    <row r="9159">
      <c r="G9159" s="16" t="str">
        <f>IFERROR(__xludf.DUMMYFUNCTION("""COMPUTED_VALUE"""),"")</f>
        <v/>
      </c>
    </row>
    <row r="9160">
      <c r="G9160" s="16" t="str">
        <f>IFERROR(__xludf.DUMMYFUNCTION("""COMPUTED_VALUE"""),"")</f>
        <v/>
      </c>
    </row>
    <row r="9161">
      <c r="G9161" s="16" t="str">
        <f>IFERROR(__xludf.DUMMYFUNCTION("""COMPUTED_VALUE"""),"")</f>
        <v/>
      </c>
    </row>
    <row r="9162">
      <c r="G9162" s="16" t="str">
        <f>IFERROR(__xludf.DUMMYFUNCTION("""COMPUTED_VALUE"""),"")</f>
        <v/>
      </c>
    </row>
    <row r="9163">
      <c r="G9163" s="16" t="str">
        <f>IFERROR(__xludf.DUMMYFUNCTION("""COMPUTED_VALUE"""),"")</f>
        <v/>
      </c>
    </row>
    <row r="9164">
      <c r="G9164" s="16" t="str">
        <f>IFERROR(__xludf.DUMMYFUNCTION("""COMPUTED_VALUE"""),"")</f>
        <v/>
      </c>
    </row>
    <row r="9165">
      <c r="G9165" s="16" t="str">
        <f>IFERROR(__xludf.DUMMYFUNCTION("""COMPUTED_VALUE"""),"")</f>
        <v/>
      </c>
    </row>
    <row r="9166">
      <c r="G9166" s="16" t="str">
        <f>IFERROR(__xludf.DUMMYFUNCTION("""COMPUTED_VALUE"""),"")</f>
        <v/>
      </c>
    </row>
    <row r="9167">
      <c r="G9167" s="16" t="str">
        <f>IFERROR(__xludf.DUMMYFUNCTION("""COMPUTED_VALUE"""),"")</f>
        <v/>
      </c>
    </row>
    <row r="9168">
      <c r="G9168" s="16" t="str">
        <f>IFERROR(__xludf.DUMMYFUNCTION("""COMPUTED_VALUE"""),"")</f>
        <v/>
      </c>
    </row>
    <row r="9169">
      <c r="G9169" s="16" t="str">
        <f>IFERROR(__xludf.DUMMYFUNCTION("""COMPUTED_VALUE"""),"")</f>
        <v/>
      </c>
    </row>
    <row r="9170">
      <c r="G9170" s="16" t="str">
        <f>IFERROR(__xludf.DUMMYFUNCTION("""COMPUTED_VALUE"""),"")</f>
        <v/>
      </c>
    </row>
    <row r="9171">
      <c r="G9171" s="16" t="str">
        <f>IFERROR(__xludf.DUMMYFUNCTION("""COMPUTED_VALUE"""),"")</f>
        <v/>
      </c>
    </row>
    <row r="9172">
      <c r="G9172" s="16" t="str">
        <f>IFERROR(__xludf.DUMMYFUNCTION("""COMPUTED_VALUE"""),"")</f>
        <v/>
      </c>
    </row>
    <row r="9173">
      <c r="G9173" s="16" t="str">
        <f>IFERROR(__xludf.DUMMYFUNCTION("""COMPUTED_VALUE"""),"")</f>
        <v/>
      </c>
    </row>
    <row r="9174">
      <c r="G9174" s="16" t="str">
        <f>IFERROR(__xludf.DUMMYFUNCTION("""COMPUTED_VALUE"""),"")</f>
        <v/>
      </c>
    </row>
    <row r="9175">
      <c r="G9175" s="16" t="str">
        <f>IFERROR(__xludf.DUMMYFUNCTION("""COMPUTED_VALUE"""),"")</f>
        <v/>
      </c>
    </row>
    <row r="9176">
      <c r="G9176" s="16" t="str">
        <f>IFERROR(__xludf.DUMMYFUNCTION("""COMPUTED_VALUE"""),"")</f>
        <v/>
      </c>
    </row>
    <row r="9177">
      <c r="G9177" s="16" t="str">
        <f>IFERROR(__xludf.DUMMYFUNCTION("""COMPUTED_VALUE"""),"")</f>
        <v/>
      </c>
    </row>
    <row r="9178">
      <c r="G9178" s="16" t="str">
        <f>IFERROR(__xludf.DUMMYFUNCTION("""COMPUTED_VALUE"""),"")</f>
        <v/>
      </c>
    </row>
    <row r="9179">
      <c r="G9179" s="16" t="str">
        <f>IFERROR(__xludf.DUMMYFUNCTION("""COMPUTED_VALUE"""),"")</f>
        <v/>
      </c>
    </row>
    <row r="9180">
      <c r="G9180" s="16" t="str">
        <f>IFERROR(__xludf.DUMMYFUNCTION("""COMPUTED_VALUE"""),"")</f>
        <v/>
      </c>
    </row>
    <row r="9181">
      <c r="G9181" s="16" t="str">
        <f>IFERROR(__xludf.DUMMYFUNCTION("""COMPUTED_VALUE"""),"")</f>
        <v/>
      </c>
    </row>
    <row r="9182">
      <c r="G9182" s="16" t="str">
        <f>IFERROR(__xludf.DUMMYFUNCTION("""COMPUTED_VALUE"""),"")</f>
        <v/>
      </c>
    </row>
    <row r="9183">
      <c r="G9183" s="16" t="str">
        <f>IFERROR(__xludf.DUMMYFUNCTION("""COMPUTED_VALUE"""),"")</f>
        <v/>
      </c>
    </row>
    <row r="9184">
      <c r="G9184" s="16" t="str">
        <f>IFERROR(__xludf.DUMMYFUNCTION("""COMPUTED_VALUE"""),"")</f>
        <v/>
      </c>
    </row>
    <row r="9185">
      <c r="G9185" s="16" t="str">
        <f>IFERROR(__xludf.DUMMYFUNCTION("""COMPUTED_VALUE"""),"")</f>
        <v/>
      </c>
    </row>
    <row r="9186">
      <c r="G9186" s="16" t="str">
        <f>IFERROR(__xludf.DUMMYFUNCTION("""COMPUTED_VALUE"""),"")</f>
        <v/>
      </c>
    </row>
    <row r="9187">
      <c r="G9187" s="16" t="str">
        <f>IFERROR(__xludf.DUMMYFUNCTION("""COMPUTED_VALUE"""),"")</f>
        <v/>
      </c>
    </row>
    <row r="9188">
      <c r="G9188" s="16" t="str">
        <f>IFERROR(__xludf.DUMMYFUNCTION("""COMPUTED_VALUE"""),"")</f>
        <v/>
      </c>
    </row>
    <row r="9189">
      <c r="G9189" s="16" t="str">
        <f>IFERROR(__xludf.DUMMYFUNCTION("""COMPUTED_VALUE"""),"")</f>
        <v/>
      </c>
    </row>
    <row r="9190">
      <c r="G9190" s="16" t="str">
        <f>IFERROR(__xludf.DUMMYFUNCTION("""COMPUTED_VALUE"""),"")</f>
        <v/>
      </c>
    </row>
    <row r="9191">
      <c r="G9191" s="16" t="str">
        <f>IFERROR(__xludf.DUMMYFUNCTION("""COMPUTED_VALUE"""),"")</f>
        <v/>
      </c>
    </row>
    <row r="9192">
      <c r="G9192" s="16" t="str">
        <f>IFERROR(__xludf.DUMMYFUNCTION("""COMPUTED_VALUE"""),"")</f>
        <v/>
      </c>
    </row>
    <row r="9193">
      <c r="G9193" s="16" t="str">
        <f>IFERROR(__xludf.DUMMYFUNCTION("""COMPUTED_VALUE"""),"")</f>
        <v/>
      </c>
    </row>
    <row r="9194">
      <c r="G9194" s="16" t="str">
        <f>IFERROR(__xludf.DUMMYFUNCTION("""COMPUTED_VALUE"""),"")</f>
        <v/>
      </c>
    </row>
    <row r="9195">
      <c r="G9195" s="16" t="str">
        <f>IFERROR(__xludf.DUMMYFUNCTION("""COMPUTED_VALUE"""),"")</f>
        <v/>
      </c>
    </row>
    <row r="9196">
      <c r="G9196" s="16" t="str">
        <f>IFERROR(__xludf.DUMMYFUNCTION("""COMPUTED_VALUE"""),"")</f>
        <v/>
      </c>
    </row>
    <row r="9197">
      <c r="G9197" s="16" t="str">
        <f>IFERROR(__xludf.DUMMYFUNCTION("""COMPUTED_VALUE"""),"")</f>
        <v/>
      </c>
    </row>
    <row r="9198">
      <c r="G9198" s="16" t="str">
        <f>IFERROR(__xludf.DUMMYFUNCTION("""COMPUTED_VALUE"""),"")</f>
        <v/>
      </c>
    </row>
    <row r="9199">
      <c r="G9199" s="16" t="str">
        <f>IFERROR(__xludf.DUMMYFUNCTION("""COMPUTED_VALUE"""),"")</f>
        <v/>
      </c>
    </row>
    <row r="9200">
      <c r="G9200" s="16" t="str">
        <f>IFERROR(__xludf.DUMMYFUNCTION("""COMPUTED_VALUE"""),"")</f>
        <v/>
      </c>
    </row>
    <row r="9201">
      <c r="G9201" s="16" t="str">
        <f>IFERROR(__xludf.DUMMYFUNCTION("""COMPUTED_VALUE"""),"")</f>
        <v/>
      </c>
    </row>
    <row r="9202">
      <c r="G9202" s="16" t="str">
        <f>IFERROR(__xludf.DUMMYFUNCTION("""COMPUTED_VALUE"""),"")</f>
        <v/>
      </c>
    </row>
    <row r="9203">
      <c r="G9203" s="16" t="str">
        <f>IFERROR(__xludf.DUMMYFUNCTION("""COMPUTED_VALUE"""),"")</f>
        <v/>
      </c>
    </row>
    <row r="9204">
      <c r="G9204" s="16" t="str">
        <f>IFERROR(__xludf.DUMMYFUNCTION("""COMPUTED_VALUE"""),"")</f>
        <v/>
      </c>
    </row>
    <row r="9205">
      <c r="G9205" s="16" t="str">
        <f>IFERROR(__xludf.DUMMYFUNCTION("""COMPUTED_VALUE"""),"")</f>
        <v/>
      </c>
    </row>
    <row r="9206">
      <c r="G9206" s="16" t="str">
        <f>IFERROR(__xludf.DUMMYFUNCTION("""COMPUTED_VALUE"""),"")</f>
        <v/>
      </c>
    </row>
    <row r="9207">
      <c r="G9207" s="16" t="str">
        <f>IFERROR(__xludf.DUMMYFUNCTION("""COMPUTED_VALUE"""),"")</f>
        <v/>
      </c>
    </row>
    <row r="9208">
      <c r="G9208" s="16" t="str">
        <f>IFERROR(__xludf.DUMMYFUNCTION("""COMPUTED_VALUE"""),"")</f>
        <v/>
      </c>
    </row>
    <row r="9209">
      <c r="G9209" s="16" t="str">
        <f>IFERROR(__xludf.DUMMYFUNCTION("""COMPUTED_VALUE"""),"")</f>
        <v/>
      </c>
    </row>
    <row r="9210">
      <c r="G9210" s="16" t="str">
        <f>IFERROR(__xludf.DUMMYFUNCTION("""COMPUTED_VALUE"""),"")</f>
        <v/>
      </c>
    </row>
    <row r="9211">
      <c r="G9211" s="16" t="str">
        <f>IFERROR(__xludf.DUMMYFUNCTION("""COMPUTED_VALUE"""),"")</f>
        <v/>
      </c>
    </row>
    <row r="9212">
      <c r="G9212" s="16" t="str">
        <f>IFERROR(__xludf.DUMMYFUNCTION("""COMPUTED_VALUE"""),"")</f>
        <v/>
      </c>
    </row>
    <row r="9213">
      <c r="G9213" s="16" t="str">
        <f>IFERROR(__xludf.DUMMYFUNCTION("""COMPUTED_VALUE"""),"")</f>
        <v/>
      </c>
    </row>
    <row r="9214">
      <c r="G9214" s="16" t="str">
        <f>IFERROR(__xludf.DUMMYFUNCTION("""COMPUTED_VALUE"""),"")</f>
        <v/>
      </c>
    </row>
    <row r="9215">
      <c r="G9215" s="16" t="str">
        <f>IFERROR(__xludf.DUMMYFUNCTION("""COMPUTED_VALUE"""),"")</f>
        <v/>
      </c>
    </row>
    <row r="9216">
      <c r="G9216" s="16" t="str">
        <f>IFERROR(__xludf.DUMMYFUNCTION("""COMPUTED_VALUE"""),"")</f>
        <v/>
      </c>
    </row>
    <row r="9217">
      <c r="G9217" s="16" t="str">
        <f>IFERROR(__xludf.DUMMYFUNCTION("""COMPUTED_VALUE"""),"")</f>
        <v/>
      </c>
    </row>
    <row r="9218">
      <c r="G9218" s="16" t="str">
        <f>IFERROR(__xludf.DUMMYFUNCTION("""COMPUTED_VALUE"""),"")</f>
        <v/>
      </c>
    </row>
    <row r="9219">
      <c r="G9219" s="16" t="str">
        <f>IFERROR(__xludf.DUMMYFUNCTION("""COMPUTED_VALUE"""),"")</f>
        <v/>
      </c>
    </row>
    <row r="9220">
      <c r="G9220" s="16" t="str">
        <f>IFERROR(__xludf.DUMMYFUNCTION("""COMPUTED_VALUE"""),"")</f>
        <v/>
      </c>
    </row>
    <row r="9221">
      <c r="G9221" s="16" t="str">
        <f>IFERROR(__xludf.DUMMYFUNCTION("""COMPUTED_VALUE"""),"")</f>
        <v/>
      </c>
    </row>
    <row r="9222">
      <c r="G9222" s="16" t="str">
        <f>IFERROR(__xludf.DUMMYFUNCTION("""COMPUTED_VALUE"""),"")</f>
        <v/>
      </c>
    </row>
    <row r="9223">
      <c r="G9223" s="16" t="str">
        <f>IFERROR(__xludf.DUMMYFUNCTION("""COMPUTED_VALUE"""),"")</f>
        <v/>
      </c>
    </row>
    <row r="9224">
      <c r="G9224" s="16" t="str">
        <f>IFERROR(__xludf.DUMMYFUNCTION("""COMPUTED_VALUE"""),"")</f>
        <v/>
      </c>
    </row>
    <row r="9225">
      <c r="G9225" s="16" t="str">
        <f>IFERROR(__xludf.DUMMYFUNCTION("""COMPUTED_VALUE"""),"")</f>
        <v/>
      </c>
    </row>
    <row r="9226">
      <c r="G9226" s="16" t="str">
        <f>IFERROR(__xludf.DUMMYFUNCTION("""COMPUTED_VALUE"""),"")</f>
        <v/>
      </c>
    </row>
    <row r="9227">
      <c r="G9227" s="16" t="str">
        <f>IFERROR(__xludf.DUMMYFUNCTION("""COMPUTED_VALUE"""),"")</f>
        <v/>
      </c>
    </row>
    <row r="9228">
      <c r="G9228" s="16" t="str">
        <f>IFERROR(__xludf.DUMMYFUNCTION("""COMPUTED_VALUE"""),"")</f>
        <v/>
      </c>
    </row>
    <row r="9229">
      <c r="G9229" s="16" t="str">
        <f>IFERROR(__xludf.DUMMYFUNCTION("""COMPUTED_VALUE"""),"")</f>
        <v/>
      </c>
    </row>
    <row r="9230">
      <c r="G9230" s="16" t="str">
        <f>IFERROR(__xludf.DUMMYFUNCTION("""COMPUTED_VALUE"""),"")</f>
        <v/>
      </c>
    </row>
    <row r="9231">
      <c r="G9231" s="16" t="str">
        <f>IFERROR(__xludf.DUMMYFUNCTION("""COMPUTED_VALUE"""),"")</f>
        <v/>
      </c>
    </row>
    <row r="9232">
      <c r="G9232" s="16" t="str">
        <f>IFERROR(__xludf.DUMMYFUNCTION("""COMPUTED_VALUE"""),"")</f>
        <v/>
      </c>
    </row>
    <row r="9233">
      <c r="G9233" s="16" t="str">
        <f>IFERROR(__xludf.DUMMYFUNCTION("""COMPUTED_VALUE"""),"")</f>
        <v/>
      </c>
    </row>
    <row r="9234">
      <c r="G9234" s="16" t="str">
        <f>IFERROR(__xludf.DUMMYFUNCTION("""COMPUTED_VALUE"""),"")</f>
        <v/>
      </c>
    </row>
    <row r="9235">
      <c r="G9235" s="16" t="str">
        <f>IFERROR(__xludf.DUMMYFUNCTION("""COMPUTED_VALUE"""),"")</f>
        <v/>
      </c>
    </row>
    <row r="9236">
      <c r="G9236" s="16" t="str">
        <f>IFERROR(__xludf.DUMMYFUNCTION("""COMPUTED_VALUE"""),"")</f>
        <v/>
      </c>
    </row>
    <row r="9237">
      <c r="G9237" s="16" t="str">
        <f>IFERROR(__xludf.DUMMYFUNCTION("""COMPUTED_VALUE"""),"")</f>
        <v/>
      </c>
    </row>
    <row r="9238">
      <c r="G9238" s="16" t="str">
        <f>IFERROR(__xludf.DUMMYFUNCTION("""COMPUTED_VALUE"""),"")</f>
        <v/>
      </c>
    </row>
    <row r="9239">
      <c r="G9239" s="16" t="str">
        <f>IFERROR(__xludf.DUMMYFUNCTION("""COMPUTED_VALUE"""),"")</f>
        <v/>
      </c>
    </row>
    <row r="9240">
      <c r="G9240" s="16" t="str">
        <f>IFERROR(__xludf.DUMMYFUNCTION("""COMPUTED_VALUE"""),"")</f>
        <v/>
      </c>
    </row>
    <row r="9241">
      <c r="G9241" s="16" t="str">
        <f>IFERROR(__xludf.DUMMYFUNCTION("""COMPUTED_VALUE"""),"")</f>
        <v/>
      </c>
    </row>
    <row r="9242">
      <c r="G9242" s="16" t="str">
        <f>IFERROR(__xludf.DUMMYFUNCTION("""COMPUTED_VALUE"""),"")</f>
        <v/>
      </c>
    </row>
    <row r="9243">
      <c r="G9243" s="16" t="str">
        <f>IFERROR(__xludf.DUMMYFUNCTION("""COMPUTED_VALUE"""),"")</f>
        <v/>
      </c>
    </row>
    <row r="9244">
      <c r="G9244" s="16" t="str">
        <f>IFERROR(__xludf.DUMMYFUNCTION("""COMPUTED_VALUE"""),"")</f>
        <v/>
      </c>
    </row>
    <row r="9245">
      <c r="G9245" s="16" t="str">
        <f>IFERROR(__xludf.DUMMYFUNCTION("""COMPUTED_VALUE"""),"")</f>
        <v/>
      </c>
    </row>
    <row r="9246">
      <c r="G9246" s="16" t="str">
        <f>IFERROR(__xludf.DUMMYFUNCTION("""COMPUTED_VALUE"""),"")</f>
        <v/>
      </c>
    </row>
    <row r="9247">
      <c r="G9247" s="16" t="str">
        <f>IFERROR(__xludf.DUMMYFUNCTION("""COMPUTED_VALUE"""),"")</f>
        <v/>
      </c>
    </row>
    <row r="9248">
      <c r="G9248" s="16" t="str">
        <f>IFERROR(__xludf.DUMMYFUNCTION("""COMPUTED_VALUE"""),"")</f>
        <v/>
      </c>
    </row>
    <row r="9249">
      <c r="G9249" s="16" t="str">
        <f>IFERROR(__xludf.DUMMYFUNCTION("""COMPUTED_VALUE"""),"")</f>
        <v/>
      </c>
    </row>
    <row r="9250">
      <c r="G9250" s="16" t="str">
        <f>IFERROR(__xludf.DUMMYFUNCTION("""COMPUTED_VALUE"""),"")</f>
        <v/>
      </c>
    </row>
    <row r="9251">
      <c r="G9251" s="16" t="str">
        <f>IFERROR(__xludf.DUMMYFUNCTION("""COMPUTED_VALUE"""),"")</f>
        <v/>
      </c>
    </row>
    <row r="9252">
      <c r="G9252" s="16" t="str">
        <f>IFERROR(__xludf.DUMMYFUNCTION("""COMPUTED_VALUE"""),"")</f>
        <v/>
      </c>
    </row>
    <row r="9253">
      <c r="G9253" s="16" t="str">
        <f>IFERROR(__xludf.DUMMYFUNCTION("""COMPUTED_VALUE"""),"")</f>
        <v/>
      </c>
    </row>
    <row r="9254">
      <c r="G9254" s="16" t="str">
        <f>IFERROR(__xludf.DUMMYFUNCTION("""COMPUTED_VALUE"""),"")</f>
        <v/>
      </c>
    </row>
    <row r="9255">
      <c r="G9255" s="16" t="str">
        <f>IFERROR(__xludf.DUMMYFUNCTION("""COMPUTED_VALUE"""),"")</f>
        <v/>
      </c>
    </row>
    <row r="9256">
      <c r="G9256" s="16" t="str">
        <f>IFERROR(__xludf.DUMMYFUNCTION("""COMPUTED_VALUE"""),"")</f>
        <v/>
      </c>
    </row>
    <row r="9257">
      <c r="G9257" s="16" t="str">
        <f>IFERROR(__xludf.DUMMYFUNCTION("""COMPUTED_VALUE"""),"")</f>
        <v/>
      </c>
    </row>
    <row r="9258">
      <c r="G9258" s="16" t="str">
        <f>IFERROR(__xludf.DUMMYFUNCTION("""COMPUTED_VALUE"""),"")</f>
        <v/>
      </c>
    </row>
    <row r="9259">
      <c r="G9259" s="16" t="str">
        <f>IFERROR(__xludf.DUMMYFUNCTION("""COMPUTED_VALUE"""),"")</f>
        <v/>
      </c>
    </row>
    <row r="9260">
      <c r="G9260" s="16" t="str">
        <f>IFERROR(__xludf.DUMMYFUNCTION("""COMPUTED_VALUE"""),"")</f>
        <v/>
      </c>
    </row>
    <row r="9261">
      <c r="G9261" s="16" t="str">
        <f>IFERROR(__xludf.DUMMYFUNCTION("""COMPUTED_VALUE"""),"")</f>
        <v/>
      </c>
    </row>
    <row r="9262">
      <c r="G9262" s="16" t="str">
        <f>IFERROR(__xludf.DUMMYFUNCTION("""COMPUTED_VALUE"""),"")</f>
        <v/>
      </c>
    </row>
    <row r="9263">
      <c r="G9263" s="16" t="str">
        <f>IFERROR(__xludf.DUMMYFUNCTION("""COMPUTED_VALUE"""),"")</f>
        <v/>
      </c>
    </row>
    <row r="9264">
      <c r="G9264" s="16" t="str">
        <f>IFERROR(__xludf.DUMMYFUNCTION("""COMPUTED_VALUE"""),"")</f>
        <v/>
      </c>
    </row>
    <row r="9265">
      <c r="G9265" s="16" t="str">
        <f>IFERROR(__xludf.DUMMYFUNCTION("""COMPUTED_VALUE"""),"")</f>
        <v/>
      </c>
    </row>
    <row r="9266">
      <c r="G9266" s="16" t="str">
        <f>IFERROR(__xludf.DUMMYFUNCTION("""COMPUTED_VALUE"""),"")</f>
        <v/>
      </c>
    </row>
    <row r="9267">
      <c r="G9267" s="16" t="str">
        <f>IFERROR(__xludf.DUMMYFUNCTION("""COMPUTED_VALUE"""),"")</f>
        <v/>
      </c>
    </row>
    <row r="9268">
      <c r="G9268" s="16" t="str">
        <f>IFERROR(__xludf.DUMMYFUNCTION("""COMPUTED_VALUE"""),"")</f>
        <v/>
      </c>
    </row>
    <row r="9269">
      <c r="G9269" s="16" t="str">
        <f>IFERROR(__xludf.DUMMYFUNCTION("""COMPUTED_VALUE"""),"")</f>
        <v/>
      </c>
    </row>
    <row r="9270">
      <c r="G9270" s="16" t="str">
        <f>IFERROR(__xludf.DUMMYFUNCTION("""COMPUTED_VALUE"""),"")</f>
        <v/>
      </c>
    </row>
    <row r="9271">
      <c r="G9271" s="16" t="str">
        <f>IFERROR(__xludf.DUMMYFUNCTION("""COMPUTED_VALUE"""),"")</f>
        <v/>
      </c>
    </row>
    <row r="9272">
      <c r="G9272" s="16" t="str">
        <f>IFERROR(__xludf.DUMMYFUNCTION("""COMPUTED_VALUE"""),"")</f>
        <v/>
      </c>
    </row>
    <row r="9273">
      <c r="G9273" s="16" t="str">
        <f>IFERROR(__xludf.DUMMYFUNCTION("""COMPUTED_VALUE"""),"")</f>
        <v/>
      </c>
    </row>
    <row r="9274">
      <c r="G9274" s="16" t="str">
        <f>IFERROR(__xludf.DUMMYFUNCTION("""COMPUTED_VALUE"""),"")</f>
        <v/>
      </c>
    </row>
    <row r="9275">
      <c r="G9275" s="16" t="str">
        <f>IFERROR(__xludf.DUMMYFUNCTION("""COMPUTED_VALUE"""),"")</f>
        <v/>
      </c>
    </row>
    <row r="9276">
      <c r="G9276" s="16" t="str">
        <f>IFERROR(__xludf.DUMMYFUNCTION("""COMPUTED_VALUE"""),"")</f>
        <v/>
      </c>
    </row>
    <row r="9277">
      <c r="G9277" s="16" t="str">
        <f>IFERROR(__xludf.DUMMYFUNCTION("""COMPUTED_VALUE"""),"")</f>
        <v/>
      </c>
    </row>
    <row r="9278">
      <c r="G9278" s="16" t="str">
        <f>IFERROR(__xludf.DUMMYFUNCTION("""COMPUTED_VALUE"""),"")</f>
        <v/>
      </c>
    </row>
    <row r="9279">
      <c r="G9279" s="16" t="str">
        <f>IFERROR(__xludf.DUMMYFUNCTION("""COMPUTED_VALUE"""),"")</f>
        <v/>
      </c>
    </row>
    <row r="9280">
      <c r="G9280" s="16" t="str">
        <f>IFERROR(__xludf.DUMMYFUNCTION("""COMPUTED_VALUE"""),"")</f>
        <v/>
      </c>
    </row>
    <row r="9281">
      <c r="G9281" s="16" t="str">
        <f>IFERROR(__xludf.DUMMYFUNCTION("""COMPUTED_VALUE"""),"")</f>
        <v/>
      </c>
    </row>
    <row r="9282">
      <c r="G9282" s="16" t="str">
        <f>IFERROR(__xludf.DUMMYFUNCTION("""COMPUTED_VALUE"""),"")</f>
        <v/>
      </c>
    </row>
    <row r="9283">
      <c r="G9283" s="16" t="str">
        <f>IFERROR(__xludf.DUMMYFUNCTION("""COMPUTED_VALUE"""),"")</f>
        <v/>
      </c>
    </row>
    <row r="9284">
      <c r="G9284" s="16" t="str">
        <f>IFERROR(__xludf.DUMMYFUNCTION("""COMPUTED_VALUE"""),"")</f>
        <v/>
      </c>
    </row>
    <row r="9285">
      <c r="G9285" s="16" t="str">
        <f>IFERROR(__xludf.DUMMYFUNCTION("""COMPUTED_VALUE"""),"")</f>
        <v/>
      </c>
    </row>
    <row r="9286">
      <c r="G9286" s="16" t="str">
        <f>IFERROR(__xludf.DUMMYFUNCTION("""COMPUTED_VALUE"""),"")</f>
        <v/>
      </c>
    </row>
    <row r="9287">
      <c r="G9287" s="16" t="str">
        <f>IFERROR(__xludf.DUMMYFUNCTION("""COMPUTED_VALUE"""),"")</f>
        <v/>
      </c>
    </row>
    <row r="9288">
      <c r="G9288" s="16" t="str">
        <f>IFERROR(__xludf.DUMMYFUNCTION("""COMPUTED_VALUE"""),"")</f>
        <v/>
      </c>
    </row>
    <row r="9289">
      <c r="G9289" s="16" t="str">
        <f>IFERROR(__xludf.DUMMYFUNCTION("""COMPUTED_VALUE"""),"")</f>
        <v/>
      </c>
    </row>
    <row r="9290">
      <c r="G9290" s="16" t="str">
        <f>IFERROR(__xludf.DUMMYFUNCTION("""COMPUTED_VALUE"""),"")</f>
        <v/>
      </c>
    </row>
    <row r="9291">
      <c r="G9291" s="16" t="str">
        <f>IFERROR(__xludf.DUMMYFUNCTION("""COMPUTED_VALUE"""),"")</f>
        <v/>
      </c>
    </row>
    <row r="9292">
      <c r="G9292" s="16" t="str">
        <f>IFERROR(__xludf.DUMMYFUNCTION("""COMPUTED_VALUE"""),"")</f>
        <v/>
      </c>
    </row>
    <row r="9293">
      <c r="G9293" s="16" t="str">
        <f>IFERROR(__xludf.DUMMYFUNCTION("""COMPUTED_VALUE"""),"")</f>
        <v/>
      </c>
    </row>
    <row r="9294">
      <c r="G9294" s="16" t="str">
        <f>IFERROR(__xludf.DUMMYFUNCTION("""COMPUTED_VALUE"""),"")</f>
        <v/>
      </c>
    </row>
    <row r="9295">
      <c r="G9295" s="16" t="str">
        <f>IFERROR(__xludf.DUMMYFUNCTION("""COMPUTED_VALUE"""),"")</f>
        <v/>
      </c>
    </row>
    <row r="9296">
      <c r="G9296" s="16" t="str">
        <f>IFERROR(__xludf.DUMMYFUNCTION("""COMPUTED_VALUE"""),"")</f>
        <v/>
      </c>
    </row>
    <row r="9297">
      <c r="G9297" s="16" t="str">
        <f>IFERROR(__xludf.DUMMYFUNCTION("""COMPUTED_VALUE"""),"")</f>
        <v/>
      </c>
    </row>
    <row r="9298">
      <c r="G9298" s="16" t="str">
        <f>IFERROR(__xludf.DUMMYFUNCTION("""COMPUTED_VALUE"""),"")</f>
        <v/>
      </c>
    </row>
    <row r="9299">
      <c r="G9299" s="16" t="str">
        <f>IFERROR(__xludf.DUMMYFUNCTION("""COMPUTED_VALUE"""),"")</f>
        <v/>
      </c>
    </row>
    <row r="9300">
      <c r="G9300" s="16" t="str">
        <f>IFERROR(__xludf.DUMMYFUNCTION("""COMPUTED_VALUE"""),"")</f>
        <v/>
      </c>
    </row>
    <row r="9301">
      <c r="G9301" s="16" t="str">
        <f>IFERROR(__xludf.DUMMYFUNCTION("""COMPUTED_VALUE"""),"")</f>
        <v/>
      </c>
    </row>
    <row r="9302">
      <c r="G9302" s="16" t="str">
        <f>IFERROR(__xludf.DUMMYFUNCTION("""COMPUTED_VALUE"""),"")</f>
        <v/>
      </c>
    </row>
    <row r="9303">
      <c r="G9303" s="16" t="str">
        <f>IFERROR(__xludf.DUMMYFUNCTION("""COMPUTED_VALUE"""),"")</f>
        <v/>
      </c>
    </row>
    <row r="9304">
      <c r="G9304" s="16" t="str">
        <f>IFERROR(__xludf.DUMMYFUNCTION("""COMPUTED_VALUE"""),"")</f>
        <v/>
      </c>
    </row>
    <row r="9305">
      <c r="G9305" s="16" t="str">
        <f>IFERROR(__xludf.DUMMYFUNCTION("""COMPUTED_VALUE"""),"")</f>
        <v/>
      </c>
    </row>
    <row r="9306">
      <c r="G9306" s="16" t="str">
        <f>IFERROR(__xludf.DUMMYFUNCTION("""COMPUTED_VALUE"""),"")</f>
        <v/>
      </c>
    </row>
    <row r="9307">
      <c r="G9307" s="16" t="str">
        <f>IFERROR(__xludf.DUMMYFUNCTION("""COMPUTED_VALUE"""),"")</f>
        <v/>
      </c>
    </row>
    <row r="9308">
      <c r="G9308" s="16" t="str">
        <f>IFERROR(__xludf.DUMMYFUNCTION("""COMPUTED_VALUE"""),"")</f>
        <v/>
      </c>
    </row>
    <row r="9309">
      <c r="G9309" s="16" t="str">
        <f>IFERROR(__xludf.DUMMYFUNCTION("""COMPUTED_VALUE"""),"")</f>
        <v/>
      </c>
    </row>
    <row r="9310">
      <c r="G9310" s="16" t="str">
        <f>IFERROR(__xludf.DUMMYFUNCTION("""COMPUTED_VALUE"""),"")</f>
        <v/>
      </c>
    </row>
    <row r="9311">
      <c r="G9311" s="16" t="str">
        <f>IFERROR(__xludf.DUMMYFUNCTION("""COMPUTED_VALUE"""),"")</f>
        <v/>
      </c>
    </row>
    <row r="9312">
      <c r="G9312" s="16" t="str">
        <f>IFERROR(__xludf.DUMMYFUNCTION("""COMPUTED_VALUE"""),"")</f>
        <v/>
      </c>
    </row>
    <row r="9313">
      <c r="G9313" s="16" t="str">
        <f>IFERROR(__xludf.DUMMYFUNCTION("""COMPUTED_VALUE"""),"")</f>
        <v/>
      </c>
    </row>
    <row r="9314">
      <c r="G9314" s="16" t="str">
        <f>IFERROR(__xludf.DUMMYFUNCTION("""COMPUTED_VALUE"""),"")</f>
        <v/>
      </c>
    </row>
    <row r="9315">
      <c r="G9315" s="16" t="str">
        <f>IFERROR(__xludf.DUMMYFUNCTION("""COMPUTED_VALUE"""),"")</f>
        <v/>
      </c>
    </row>
    <row r="9316">
      <c r="G9316" s="16" t="str">
        <f>IFERROR(__xludf.DUMMYFUNCTION("""COMPUTED_VALUE"""),"")</f>
        <v/>
      </c>
    </row>
    <row r="9317">
      <c r="G9317" s="16" t="str">
        <f>IFERROR(__xludf.DUMMYFUNCTION("""COMPUTED_VALUE"""),"")</f>
        <v/>
      </c>
    </row>
    <row r="9318">
      <c r="G9318" s="16" t="str">
        <f>IFERROR(__xludf.DUMMYFUNCTION("""COMPUTED_VALUE"""),"")</f>
        <v/>
      </c>
    </row>
    <row r="9319">
      <c r="G9319" s="16" t="str">
        <f>IFERROR(__xludf.DUMMYFUNCTION("""COMPUTED_VALUE"""),"")</f>
        <v/>
      </c>
    </row>
    <row r="9320">
      <c r="G9320" s="16" t="str">
        <f>IFERROR(__xludf.DUMMYFUNCTION("""COMPUTED_VALUE"""),"")</f>
        <v/>
      </c>
    </row>
    <row r="9321">
      <c r="G9321" s="16" t="str">
        <f>IFERROR(__xludf.DUMMYFUNCTION("""COMPUTED_VALUE"""),"")</f>
        <v/>
      </c>
    </row>
    <row r="9322">
      <c r="G9322" s="16" t="str">
        <f>IFERROR(__xludf.DUMMYFUNCTION("""COMPUTED_VALUE"""),"")</f>
        <v/>
      </c>
    </row>
    <row r="9323">
      <c r="G9323" s="16" t="str">
        <f>IFERROR(__xludf.DUMMYFUNCTION("""COMPUTED_VALUE"""),"")</f>
        <v/>
      </c>
    </row>
    <row r="9324">
      <c r="G9324" s="16" t="str">
        <f>IFERROR(__xludf.DUMMYFUNCTION("""COMPUTED_VALUE"""),"")</f>
        <v/>
      </c>
    </row>
    <row r="9325">
      <c r="G9325" s="16" t="str">
        <f>IFERROR(__xludf.DUMMYFUNCTION("""COMPUTED_VALUE"""),"")</f>
        <v/>
      </c>
    </row>
    <row r="9326">
      <c r="G9326" s="16" t="str">
        <f>IFERROR(__xludf.DUMMYFUNCTION("""COMPUTED_VALUE"""),"")</f>
        <v/>
      </c>
    </row>
    <row r="9327">
      <c r="G9327" s="16" t="str">
        <f>IFERROR(__xludf.DUMMYFUNCTION("""COMPUTED_VALUE"""),"")</f>
        <v/>
      </c>
    </row>
    <row r="9328">
      <c r="G9328" s="16" t="str">
        <f>IFERROR(__xludf.DUMMYFUNCTION("""COMPUTED_VALUE"""),"")</f>
        <v/>
      </c>
    </row>
    <row r="9329">
      <c r="G9329" s="16" t="str">
        <f>IFERROR(__xludf.DUMMYFUNCTION("""COMPUTED_VALUE"""),"")</f>
        <v/>
      </c>
    </row>
    <row r="9330">
      <c r="G9330" s="16" t="str">
        <f>IFERROR(__xludf.DUMMYFUNCTION("""COMPUTED_VALUE"""),"")</f>
        <v/>
      </c>
    </row>
    <row r="9331">
      <c r="G9331" s="16" t="str">
        <f>IFERROR(__xludf.DUMMYFUNCTION("""COMPUTED_VALUE"""),"")</f>
        <v/>
      </c>
    </row>
    <row r="9332">
      <c r="G9332" s="16" t="str">
        <f>IFERROR(__xludf.DUMMYFUNCTION("""COMPUTED_VALUE"""),"")</f>
        <v/>
      </c>
    </row>
    <row r="9333">
      <c r="G9333" s="16" t="str">
        <f>IFERROR(__xludf.DUMMYFUNCTION("""COMPUTED_VALUE"""),"")</f>
        <v/>
      </c>
    </row>
    <row r="9334">
      <c r="G9334" s="16" t="str">
        <f>IFERROR(__xludf.DUMMYFUNCTION("""COMPUTED_VALUE"""),"")</f>
        <v/>
      </c>
    </row>
    <row r="9335">
      <c r="G9335" s="16" t="str">
        <f>IFERROR(__xludf.DUMMYFUNCTION("""COMPUTED_VALUE"""),"")</f>
        <v/>
      </c>
    </row>
    <row r="9336">
      <c r="G9336" s="16" t="str">
        <f>IFERROR(__xludf.DUMMYFUNCTION("""COMPUTED_VALUE"""),"")</f>
        <v/>
      </c>
    </row>
    <row r="9337">
      <c r="G9337" s="16" t="str">
        <f>IFERROR(__xludf.DUMMYFUNCTION("""COMPUTED_VALUE"""),"")</f>
        <v/>
      </c>
    </row>
    <row r="9338">
      <c r="G9338" s="16" t="str">
        <f>IFERROR(__xludf.DUMMYFUNCTION("""COMPUTED_VALUE"""),"")</f>
        <v/>
      </c>
    </row>
    <row r="9339">
      <c r="G9339" s="16" t="str">
        <f>IFERROR(__xludf.DUMMYFUNCTION("""COMPUTED_VALUE"""),"")</f>
        <v/>
      </c>
    </row>
    <row r="9340">
      <c r="G9340" s="16" t="str">
        <f>IFERROR(__xludf.DUMMYFUNCTION("""COMPUTED_VALUE"""),"")</f>
        <v/>
      </c>
    </row>
    <row r="9341">
      <c r="G9341" s="16" t="str">
        <f>IFERROR(__xludf.DUMMYFUNCTION("""COMPUTED_VALUE"""),"")</f>
        <v/>
      </c>
    </row>
    <row r="9342">
      <c r="G9342" s="16" t="str">
        <f>IFERROR(__xludf.DUMMYFUNCTION("""COMPUTED_VALUE"""),"")</f>
        <v/>
      </c>
    </row>
    <row r="9343">
      <c r="G9343" s="16" t="str">
        <f>IFERROR(__xludf.DUMMYFUNCTION("""COMPUTED_VALUE"""),"")</f>
        <v/>
      </c>
    </row>
    <row r="9344">
      <c r="G9344" s="16" t="str">
        <f>IFERROR(__xludf.DUMMYFUNCTION("""COMPUTED_VALUE"""),"")</f>
        <v/>
      </c>
    </row>
    <row r="9345">
      <c r="G9345" s="16" t="str">
        <f>IFERROR(__xludf.DUMMYFUNCTION("""COMPUTED_VALUE"""),"")</f>
        <v/>
      </c>
    </row>
    <row r="9346">
      <c r="G9346" s="16" t="str">
        <f>IFERROR(__xludf.DUMMYFUNCTION("""COMPUTED_VALUE"""),"")</f>
        <v/>
      </c>
    </row>
    <row r="9347">
      <c r="G9347" s="16" t="str">
        <f>IFERROR(__xludf.DUMMYFUNCTION("""COMPUTED_VALUE"""),"")</f>
        <v/>
      </c>
    </row>
    <row r="9348">
      <c r="G9348" s="16" t="str">
        <f>IFERROR(__xludf.DUMMYFUNCTION("""COMPUTED_VALUE"""),"")</f>
        <v/>
      </c>
    </row>
    <row r="9349">
      <c r="G9349" s="16" t="str">
        <f>IFERROR(__xludf.DUMMYFUNCTION("""COMPUTED_VALUE"""),"")</f>
        <v/>
      </c>
    </row>
    <row r="9350">
      <c r="G9350" s="16" t="str">
        <f>IFERROR(__xludf.DUMMYFUNCTION("""COMPUTED_VALUE"""),"")</f>
        <v/>
      </c>
    </row>
    <row r="9351">
      <c r="G9351" s="16" t="str">
        <f>IFERROR(__xludf.DUMMYFUNCTION("""COMPUTED_VALUE"""),"")</f>
        <v/>
      </c>
    </row>
    <row r="9352">
      <c r="G9352" s="16" t="str">
        <f>IFERROR(__xludf.DUMMYFUNCTION("""COMPUTED_VALUE"""),"")</f>
        <v/>
      </c>
    </row>
    <row r="9353">
      <c r="G9353" s="16" t="str">
        <f>IFERROR(__xludf.DUMMYFUNCTION("""COMPUTED_VALUE"""),"")</f>
        <v/>
      </c>
    </row>
    <row r="9354">
      <c r="G9354" s="16" t="str">
        <f>IFERROR(__xludf.DUMMYFUNCTION("""COMPUTED_VALUE"""),"")</f>
        <v/>
      </c>
    </row>
    <row r="9355">
      <c r="G9355" s="16" t="str">
        <f>IFERROR(__xludf.DUMMYFUNCTION("""COMPUTED_VALUE"""),"")</f>
        <v/>
      </c>
    </row>
    <row r="9356">
      <c r="G9356" s="16" t="str">
        <f>IFERROR(__xludf.DUMMYFUNCTION("""COMPUTED_VALUE"""),"")</f>
        <v/>
      </c>
    </row>
    <row r="9357">
      <c r="G9357" s="16" t="str">
        <f>IFERROR(__xludf.DUMMYFUNCTION("""COMPUTED_VALUE"""),"")</f>
        <v/>
      </c>
    </row>
    <row r="9358">
      <c r="G9358" s="16" t="str">
        <f>IFERROR(__xludf.DUMMYFUNCTION("""COMPUTED_VALUE"""),"")</f>
        <v/>
      </c>
    </row>
    <row r="9359">
      <c r="G9359" s="16" t="str">
        <f>IFERROR(__xludf.DUMMYFUNCTION("""COMPUTED_VALUE"""),"")</f>
        <v/>
      </c>
    </row>
    <row r="9360">
      <c r="G9360" s="16" t="str">
        <f>IFERROR(__xludf.DUMMYFUNCTION("""COMPUTED_VALUE"""),"")</f>
        <v/>
      </c>
    </row>
    <row r="9361">
      <c r="G9361" s="16" t="str">
        <f>IFERROR(__xludf.DUMMYFUNCTION("""COMPUTED_VALUE"""),"")</f>
        <v/>
      </c>
    </row>
    <row r="9362">
      <c r="G9362" s="16" t="str">
        <f>IFERROR(__xludf.DUMMYFUNCTION("""COMPUTED_VALUE"""),"")</f>
        <v/>
      </c>
    </row>
    <row r="9363">
      <c r="G9363" s="16" t="str">
        <f>IFERROR(__xludf.DUMMYFUNCTION("""COMPUTED_VALUE"""),"")</f>
        <v/>
      </c>
    </row>
    <row r="9364">
      <c r="G9364" s="16" t="str">
        <f>IFERROR(__xludf.DUMMYFUNCTION("""COMPUTED_VALUE"""),"")</f>
        <v/>
      </c>
    </row>
    <row r="9365">
      <c r="G9365" s="16" t="str">
        <f>IFERROR(__xludf.DUMMYFUNCTION("""COMPUTED_VALUE"""),"")</f>
        <v/>
      </c>
    </row>
    <row r="9366">
      <c r="G9366" s="16" t="str">
        <f>IFERROR(__xludf.DUMMYFUNCTION("""COMPUTED_VALUE"""),"")</f>
        <v/>
      </c>
    </row>
    <row r="9367">
      <c r="G9367" s="16" t="str">
        <f>IFERROR(__xludf.DUMMYFUNCTION("""COMPUTED_VALUE"""),"")</f>
        <v/>
      </c>
    </row>
    <row r="9368">
      <c r="G9368" s="16" t="str">
        <f>IFERROR(__xludf.DUMMYFUNCTION("""COMPUTED_VALUE"""),"")</f>
        <v/>
      </c>
    </row>
    <row r="9369">
      <c r="G9369" s="16" t="str">
        <f>IFERROR(__xludf.DUMMYFUNCTION("""COMPUTED_VALUE"""),"")</f>
        <v/>
      </c>
    </row>
    <row r="9370">
      <c r="G9370" s="16" t="str">
        <f>IFERROR(__xludf.DUMMYFUNCTION("""COMPUTED_VALUE"""),"")</f>
        <v/>
      </c>
    </row>
    <row r="9371">
      <c r="G9371" s="16" t="str">
        <f>IFERROR(__xludf.DUMMYFUNCTION("""COMPUTED_VALUE"""),"")</f>
        <v/>
      </c>
    </row>
    <row r="9372">
      <c r="G9372" s="16" t="str">
        <f>IFERROR(__xludf.DUMMYFUNCTION("""COMPUTED_VALUE"""),"")</f>
        <v/>
      </c>
    </row>
    <row r="9373">
      <c r="G9373" s="16" t="str">
        <f>IFERROR(__xludf.DUMMYFUNCTION("""COMPUTED_VALUE"""),"")</f>
        <v/>
      </c>
    </row>
    <row r="9374">
      <c r="G9374" s="16" t="str">
        <f>IFERROR(__xludf.DUMMYFUNCTION("""COMPUTED_VALUE"""),"")</f>
        <v/>
      </c>
    </row>
    <row r="9375">
      <c r="G9375" s="16" t="str">
        <f>IFERROR(__xludf.DUMMYFUNCTION("""COMPUTED_VALUE"""),"")</f>
        <v/>
      </c>
    </row>
    <row r="9376">
      <c r="G9376" s="16" t="str">
        <f>IFERROR(__xludf.DUMMYFUNCTION("""COMPUTED_VALUE"""),"")</f>
        <v/>
      </c>
    </row>
    <row r="9377">
      <c r="G9377" s="16" t="str">
        <f>IFERROR(__xludf.DUMMYFUNCTION("""COMPUTED_VALUE"""),"")</f>
        <v/>
      </c>
    </row>
    <row r="9378">
      <c r="G9378" s="16" t="str">
        <f>IFERROR(__xludf.DUMMYFUNCTION("""COMPUTED_VALUE"""),"")</f>
        <v/>
      </c>
    </row>
    <row r="9379">
      <c r="G9379" s="16" t="str">
        <f>IFERROR(__xludf.DUMMYFUNCTION("""COMPUTED_VALUE"""),"")</f>
        <v/>
      </c>
    </row>
    <row r="9380">
      <c r="G9380" s="16" t="str">
        <f>IFERROR(__xludf.DUMMYFUNCTION("""COMPUTED_VALUE"""),"")</f>
        <v/>
      </c>
    </row>
    <row r="9381">
      <c r="G9381" s="16" t="str">
        <f>IFERROR(__xludf.DUMMYFUNCTION("""COMPUTED_VALUE"""),"")</f>
        <v/>
      </c>
    </row>
    <row r="9382">
      <c r="G9382" s="16" t="str">
        <f>IFERROR(__xludf.DUMMYFUNCTION("""COMPUTED_VALUE"""),"")</f>
        <v/>
      </c>
    </row>
    <row r="9383">
      <c r="G9383" s="16" t="str">
        <f>IFERROR(__xludf.DUMMYFUNCTION("""COMPUTED_VALUE"""),"")</f>
        <v/>
      </c>
    </row>
    <row r="9384">
      <c r="G9384" s="16" t="str">
        <f>IFERROR(__xludf.DUMMYFUNCTION("""COMPUTED_VALUE"""),"")</f>
        <v/>
      </c>
    </row>
    <row r="9385">
      <c r="G9385" s="16" t="str">
        <f>IFERROR(__xludf.DUMMYFUNCTION("""COMPUTED_VALUE"""),"")</f>
        <v/>
      </c>
    </row>
    <row r="9386">
      <c r="G9386" s="16" t="str">
        <f>IFERROR(__xludf.DUMMYFUNCTION("""COMPUTED_VALUE"""),"")</f>
        <v/>
      </c>
    </row>
    <row r="9387">
      <c r="G9387" s="16" t="str">
        <f>IFERROR(__xludf.DUMMYFUNCTION("""COMPUTED_VALUE"""),"")</f>
        <v/>
      </c>
    </row>
    <row r="9388">
      <c r="G9388" s="16" t="str">
        <f>IFERROR(__xludf.DUMMYFUNCTION("""COMPUTED_VALUE"""),"")</f>
        <v/>
      </c>
    </row>
    <row r="9389">
      <c r="G9389" s="16" t="str">
        <f>IFERROR(__xludf.DUMMYFUNCTION("""COMPUTED_VALUE"""),"")</f>
        <v/>
      </c>
    </row>
    <row r="9390">
      <c r="G9390" s="16" t="str">
        <f>IFERROR(__xludf.DUMMYFUNCTION("""COMPUTED_VALUE"""),"")</f>
        <v/>
      </c>
    </row>
    <row r="9391">
      <c r="G9391" s="16" t="str">
        <f>IFERROR(__xludf.DUMMYFUNCTION("""COMPUTED_VALUE"""),"")</f>
        <v/>
      </c>
    </row>
    <row r="9392">
      <c r="G9392" s="16" t="str">
        <f>IFERROR(__xludf.DUMMYFUNCTION("""COMPUTED_VALUE"""),"")</f>
        <v/>
      </c>
    </row>
    <row r="9393">
      <c r="G9393" s="16" t="str">
        <f>IFERROR(__xludf.DUMMYFUNCTION("""COMPUTED_VALUE"""),"")</f>
        <v/>
      </c>
    </row>
    <row r="9394">
      <c r="G9394" s="16" t="str">
        <f>IFERROR(__xludf.DUMMYFUNCTION("""COMPUTED_VALUE"""),"")</f>
        <v/>
      </c>
    </row>
    <row r="9395">
      <c r="G9395" s="16" t="str">
        <f>IFERROR(__xludf.DUMMYFUNCTION("""COMPUTED_VALUE"""),"")</f>
        <v/>
      </c>
    </row>
    <row r="9396">
      <c r="G9396" s="16" t="str">
        <f>IFERROR(__xludf.DUMMYFUNCTION("""COMPUTED_VALUE"""),"")</f>
        <v/>
      </c>
    </row>
    <row r="9397">
      <c r="G9397" s="16" t="str">
        <f>IFERROR(__xludf.DUMMYFUNCTION("""COMPUTED_VALUE"""),"")</f>
        <v/>
      </c>
    </row>
    <row r="9398">
      <c r="G9398" s="16" t="str">
        <f>IFERROR(__xludf.DUMMYFUNCTION("""COMPUTED_VALUE"""),"")</f>
        <v/>
      </c>
    </row>
    <row r="9399">
      <c r="G9399" s="16" t="str">
        <f>IFERROR(__xludf.DUMMYFUNCTION("""COMPUTED_VALUE"""),"")</f>
        <v/>
      </c>
    </row>
    <row r="9400">
      <c r="G9400" s="16" t="str">
        <f>IFERROR(__xludf.DUMMYFUNCTION("""COMPUTED_VALUE"""),"")</f>
        <v/>
      </c>
    </row>
    <row r="9401">
      <c r="G9401" s="16" t="str">
        <f>IFERROR(__xludf.DUMMYFUNCTION("""COMPUTED_VALUE"""),"")</f>
        <v/>
      </c>
    </row>
    <row r="9402">
      <c r="G9402" s="16" t="str">
        <f>IFERROR(__xludf.DUMMYFUNCTION("""COMPUTED_VALUE"""),"")</f>
        <v/>
      </c>
    </row>
    <row r="9403">
      <c r="G9403" s="16" t="str">
        <f>IFERROR(__xludf.DUMMYFUNCTION("""COMPUTED_VALUE"""),"")</f>
        <v/>
      </c>
    </row>
    <row r="9404">
      <c r="G9404" s="16" t="str">
        <f>IFERROR(__xludf.DUMMYFUNCTION("""COMPUTED_VALUE"""),"")</f>
        <v/>
      </c>
    </row>
    <row r="9405">
      <c r="G9405" s="16" t="str">
        <f>IFERROR(__xludf.DUMMYFUNCTION("""COMPUTED_VALUE"""),"")</f>
        <v/>
      </c>
    </row>
    <row r="9406">
      <c r="G9406" s="16" t="str">
        <f>IFERROR(__xludf.DUMMYFUNCTION("""COMPUTED_VALUE"""),"")</f>
        <v/>
      </c>
    </row>
    <row r="9407">
      <c r="G9407" s="16" t="str">
        <f>IFERROR(__xludf.DUMMYFUNCTION("""COMPUTED_VALUE"""),"")</f>
        <v/>
      </c>
    </row>
    <row r="9408">
      <c r="G9408" s="16" t="str">
        <f>IFERROR(__xludf.DUMMYFUNCTION("""COMPUTED_VALUE"""),"")</f>
        <v/>
      </c>
    </row>
    <row r="9409">
      <c r="G9409" s="16" t="str">
        <f>IFERROR(__xludf.DUMMYFUNCTION("""COMPUTED_VALUE"""),"")</f>
        <v/>
      </c>
    </row>
    <row r="9410">
      <c r="G9410" s="16" t="str">
        <f>IFERROR(__xludf.DUMMYFUNCTION("""COMPUTED_VALUE"""),"")</f>
        <v/>
      </c>
    </row>
    <row r="9411">
      <c r="G9411" s="16" t="str">
        <f>IFERROR(__xludf.DUMMYFUNCTION("""COMPUTED_VALUE"""),"")</f>
        <v/>
      </c>
    </row>
    <row r="9412">
      <c r="G9412" s="16" t="str">
        <f>IFERROR(__xludf.DUMMYFUNCTION("""COMPUTED_VALUE"""),"")</f>
        <v/>
      </c>
    </row>
    <row r="9413">
      <c r="G9413" s="16" t="str">
        <f>IFERROR(__xludf.DUMMYFUNCTION("""COMPUTED_VALUE"""),"")</f>
        <v/>
      </c>
    </row>
    <row r="9414">
      <c r="G9414" s="16" t="str">
        <f>IFERROR(__xludf.DUMMYFUNCTION("""COMPUTED_VALUE"""),"")</f>
        <v/>
      </c>
    </row>
    <row r="9415">
      <c r="G9415" s="16" t="str">
        <f>IFERROR(__xludf.DUMMYFUNCTION("""COMPUTED_VALUE"""),"")</f>
        <v/>
      </c>
    </row>
    <row r="9416">
      <c r="G9416" s="16" t="str">
        <f>IFERROR(__xludf.DUMMYFUNCTION("""COMPUTED_VALUE"""),"")</f>
        <v/>
      </c>
    </row>
    <row r="9417">
      <c r="G9417" s="16" t="str">
        <f>IFERROR(__xludf.DUMMYFUNCTION("""COMPUTED_VALUE"""),"")</f>
        <v/>
      </c>
    </row>
    <row r="9418">
      <c r="G9418" s="16" t="str">
        <f>IFERROR(__xludf.DUMMYFUNCTION("""COMPUTED_VALUE"""),"")</f>
        <v/>
      </c>
    </row>
    <row r="9419">
      <c r="G9419" s="16" t="str">
        <f>IFERROR(__xludf.DUMMYFUNCTION("""COMPUTED_VALUE"""),"")</f>
        <v/>
      </c>
    </row>
    <row r="9420">
      <c r="G9420" s="16" t="str">
        <f>IFERROR(__xludf.DUMMYFUNCTION("""COMPUTED_VALUE"""),"")</f>
        <v/>
      </c>
    </row>
    <row r="9421">
      <c r="G9421" s="16" t="str">
        <f>IFERROR(__xludf.DUMMYFUNCTION("""COMPUTED_VALUE"""),"")</f>
        <v/>
      </c>
    </row>
    <row r="9422">
      <c r="G9422" s="16" t="str">
        <f>IFERROR(__xludf.DUMMYFUNCTION("""COMPUTED_VALUE"""),"")</f>
        <v/>
      </c>
    </row>
    <row r="9423">
      <c r="G9423" s="16" t="str">
        <f>IFERROR(__xludf.DUMMYFUNCTION("""COMPUTED_VALUE"""),"")</f>
        <v/>
      </c>
    </row>
    <row r="9424">
      <c r="G9424" s="16" t="str">
        <f>IFERROR(__xludf.DUMMYFUNCTION("""COMPUTED_VALUE"""),"")</f>
        <v/>
      </c>
    </row>
    <row r="9425">
      <c r="G9425" s="16" t="str">
        <f>IFERROR(__xludf.DUMMYFUNCTION("""COMPUTED_VALUE"""),"")</f>
        <v/>
      </c>
    </row>
    <row r="9426">
      <c r="G9426" s="16" t="str">
        <f>IFERROR(__xludf.DUMMYFUNCTION("""COMPUTED_VALUE"""),"")</f>
        <v/>
      </c>
    </row>
    <row r="9427">
      <c r="G9427" s="16" t="str">
        <f>IFERROR(__xludf.DUMMYFUNCTION("""COMPUTED_VALUE"""),"")</f>
        <v/>
      </c>
    </row>
    <row r="9428">
      <c r="G9428" s="16" t="str">
        <f>IFERROR(__xludf.DUMMYFUNCTION("""COMPUTED_VALUE"""),"")</f>
        <v/>
      </c>
    </row>
    <row r="9429">
      <c r="G9429" s="16" t="str">
        <f>IFERROR(__xludf.DUMMYFUNCTION("""COMPUTED_VALUE"""),"")</f>
        <v/>
      </c>
    </row>
    <row r="9430">
      <c r="G9430" s="16" t="str">
        <f>IFERROR(__xludf.DUMMYFUNCTION("""COMPUTED_VALUE"""),"")</f>
        <v/>
      </c>
    </row>
    <row r="9431">
      <c r="G9431" s="16" t="str">
        <f>IFERROR(__xludf.DUMMYFUNCTION("""COMPUTED_VALUE"""),"")</f>
        <v/>
      </c>
    </row>
    <row r="9432">
      <c r="G9432" s="16" t="str">
        <f>IFERROR(__xludf.DUMMYFUNCTION("""COMPUTED_VALUE"""),"")</f>
        <v/>
      </c>
    </row>
    <row r="9433">
      <c r="G9433" s="16" t="str">
        <f>IFERROR(__xludf.DUMMYFUNCTION("""COMPUTED_VALUE"""),"")</f>
        <v/>
      </c>
    </row>
    <row r="9434">
      <c r="G9434" s="16" t="str">
        <f>IFERROR(__xludf.DUMMYFUNCTION("""COMPUTED_VALUE"""),"")</f>
        <v/>
      </c>
    </row>
    <row r="9435">
      <c r="G9435" s="16" t="str">
        <f>IFERROR(__xludf.DUMMYFUNCTION("""COMPUTED_VALUE"""),"")</f>
        <v/>
      </c>
    </row>
    <row r="9436">
      <c r="G9436" s="16" t="str">
        <f>IFERROR(__xludf.DUMMYFUNCTION("""COMPUTED_VALUE"""),"")</f>
        <v/>
      </c>
    </row>
    <row r="9437">
      <c r="G9437" s="16" t="str">
        <f>IFERROR(__xludf.DUMMYFUNCTION("""COMPUTED_VALUE"""),"")</f>
        <v/>
      </c>
    </row>
    <row r="9438">
      <c r="G9438" s="16" t="str">
        <f>IFERROR(__xludf.DUMMYFUNCTION("""COMPUTED_VALUE"""),"")</f>
        <v/>
      </c>
    </row>
    <row r="9439">
      <c r="G9439" s="16" t="str">
        <f>IFERROR(__xludf.DUMMYFUNCTION("""COMPUTED_VALUE"""),"")</f>
        <v/>
      </c>
    </row>
    <row r="9440">
      <c r="G9440" s="16" t="str">
        <f>IFERROR(__xludf.DUMMYFUNCTION("""COMPUTED_VALUE"""),"")</f>
        <v/>
      </c>
    </row>
    <row r="9441">
      <c r="G9441" s="16" t="str">
        <f>IFERROR(__xludf.DUMMYFUNCTION("""COMPUTED_VALUE"""),"")</f>
        <v/>
      </c>
    </row>
    <row r="9442">
      <c r="G9442" s="16" t="str">
        <f>IFERROR(__xludf.DUMMYFUNCTION("""COMPUTED_VALUE"""),"")</f>
        <v/>
      </c>
    </row>
    <row r="9443">
      <c r="G9443" s="16" t="str">
        <f>IFERROR(__xludf.DUMMYFUNCTION("""COMPUTED_VALUE"""),"")</f>
        <v/>
      </c>
    </row>
    <row r="9444">
      <c r="G9444" s="16" t="str">
        <f>IFERROR(__xludf.DUMMYFUNCTION("""COMPUTED_VALUE"""),"")</f>
        <v/>
      </c>
    </row>
    <row r="9445">
      <c r="G9445" s="16" t="str">
        <f>IFERROR(__xludf.DUMMYFUNCTION("""COMPUTED_VALUE"""),"")</f>
        <v/>
      </c>
    </row>
    <row r="9446">
      <c r="G9446" s="16" t="str">
        <f>IFERROR(__xludf.DUMMYFUNCTION("""COMPUTED_VALUE"""),"")</f>
        <v/>
      </c>
    </row>
    <row r="9447">
      <c r="G9447" s="16" t="str">
        <f>IFERROR(__xludf.DUMMYFUNCTION("""COMPUTED_VALUE"""),"")</f>
        <v/>
      </c>
    </row>
    <row r="9448">
      <c r="G9448" s="16" t="str">
        <f>IFERROR(__xludf.DUMMYFUNCTION("""COMPUTED_VALUE"""),"")</f>
        <v/>
      </c>
    </row>
    <row r="9449">
      <c r="G9449" s="16" t="str">
        <f>IFERROR(__xludf.DUMMYFUNCTION("""COMPUTED_VALUE"""),"")</f>
        <v/>
      </c>
    </row>
    <row r="9450">
      <c r="G9450" s="16" t="str">
        <f>IFERROR(__xludf.DUMMYFUNCTION("""COMPUTED_VALUE"""),"")</f>
        <v/>
      </c>
    </row>
    <row r="9451">
      <c r="G9451" s="16" t="str">
        <f>IFERROR(__xludf.DUMMYFUNCTION("""COMPUTED_VALUE"""),"")</f>
        <v/>
      </c>
    </row>
    <row r="9452">
      <c r="G9452" s="16" t="str">
        <f>IFERROR(__xludf.DUMMYFUNCTION("""COMPUTED_VALUE"""),"")</f>
        <v/>
      </c>
    </row>
    <row r="9453">
      <c r="G9453" s="16" t="str">
        <f>IFERROR(__xludf.DUMMYFUNCTION("""COMPUTED_VALUE"""),"")</f>
        <v/>
      </c>
    </row>
    <row r="9454">
      <c r="G9454" s="16" t="str">
        <f>IFERROR(__xludf.DUMMYFUNCTION("""COMPUTED_VALUE"""),"")</f>
        <v/>
      </c>
    </row>
    <row r="9455">
      <c r="G9455" s="16" t="str">
        <f>IFERROR(__xludf.DUMMYFUNCTION("""COMPUTED_VALUE"""),"")</f>
        <v/>
      </c>
    </row>
    <row r="9456">
      <c r="G9456" s="16" t="str">
        <f>IFERROR(__xludf.DUMMYFUNCTION("""COMPUTED_VALUE"""),"")</f>
        <v/>
      </c>
    </row>
    <row r="9457">
      <c r="G9457" s="16" t="str">
        <f>IFERROR(__xludf.DUMMYFUNCTION("""COMPUTED_VALUE"""),"")</f>
        <v/>
      </c>
    </row>
    <row r="9458">
      <c r="G9458" s="16" t="str">
        <f>IFERROR(__xludf.DUMMYFUNCTION("""COMPUTED_VALUE"""),"")</f>
        <v/>
      </c>
    </row>
    <row r="9459">
      <c r="G9459" s="16" t="str">
        <f>IFERROR(__xludf.DUMMYFUNCTION("""COMPUTED_VALUE"""),"")</f>
        <v/>
      </c>
    </row>
    <row r="9460">
      <c r="G9460" s="16" t="str">
        <f>IFERROR(__xludf.DUMMYFUNCTION("""COMPUTED_VALUE"""),"")</f>
        <v/>
      </c>
    </row>
    <row r="9461">
      <c r="G9461" s="16" t="str">
        <f>IFERROR(__xludf.DUMMYFUNCTION("""COMPUTED_VALUE"""),"")</f>
        <v/>
      </c>
    </row>
    <row r="9462">
      <c r="G9462" s="16" t="str">
        <f>IFERROR(__xludf.DUMMYFUNCTION("""COMPUTED_VALUE"""),"")</f>
        <v/>
      </c>
    </row>
    <row r="9463">
      <c r="G9463" s="16" t="str">
        <f>IFERROR(__xludf.DUMMYFUNCTION("""COMPUTED_VALUE"""),"")</f>
        <v/>
      </c>
    </row>
    <row r="9464">
      <c r="G9464" s="16" t="str">
        <f>IFERROR(__xludf.DUMMYFUNCTION("""COMPUTED_VALUE"""),"")</f>
        <v/>
      </c>
    </row>
    <row r="9465">
      <c r="G9465" s="16" t="str">
        <f>IFERROR(__xludf.DUMMYFUNCTION("""COMPUTED_VALUE"""),"")</f>
        <v/>
      </c>
    </row>
    <row r="9466">
      <c r="G9466" s="16" t="str">
        <f>IFERROR(__xludf.DUMMYFUNCTION("""COMPUTED_VALUE"""),"")</f>
        <v/>
      </c>
    </row>
    <row r="9467">
      <c r="G9467" s="16" t="str">
        <f>IFERROR(__xludf.DUMMYFUNCTION("""COMPUTED_VALUE"""),"")</f>
        <v/>
      </c>
    </row>
    <row r="9468">
      <c r="G9468" s="16" t="str">
        <f>IFERROR(__xludf.DUMMYFUNCTION("""COMPUTED_VALUE"""),"")</f>
        <v/>
      </c>
    </row>
    <row r="9469">
      <c r="G9469" s="16" t="str">
        <f>IFERROR(__xludf.DUMMYFUNCTION("""COMPUTED_VALUE"""),"")</f>
        <v/>
      </c>
    </row>
    <row r="9470">
      <c r="G9470" s="16" t="str">
        <f>IFERROR(__xludf.DUMMYFUNCTION("""COMPUTED_VALUE"""),"")</f>
        <v/>
      </c>
    </row>
    <row r="9471">
      <c r="G9471" s="16" t="str">
        <f>IFERROR(__xludf.DUMMYFUNCTION("""COMPUTED_VALUE"""),"")</f>
        <v/>
      </c>
    </row>
    <row r="9472">
      <c r="G9472" s="16" t="str">
        <f>IFERROR(__xludf.DUMMYFUNCTION("""COMPUTED_VALUE"""),"")</f>
        <v/>
      </c>
    </row>
    <row r="9473">
      <c r="G9473" s="16" t="str">
        <f>IFERROR(__xludf.DUMMYFUNCTION("""COMPUTED_VALUE"""),"")</f>
        <v/>
      </c>
    </row>
    <row r="9474">
      <c r="G9474" s="16" t="str">
        <f>IFERROR(__xludf.DUMMYFUNCTION("""COMPUTED_VALUE"""),"")</f>
        <v/>
      </c>
    </row>
    <row r="9475">
      <c r="G9475" s="16" t="str">
        <f>IFERROR(__xludf.DUMMYFUNCTION("""COMPUTED_VALUE"""),"")</f>
        <v/>
      </c>
    </row>
    <row r="9476">
      <c r="G9476" s="16" t="str">
        <f>IFERROR(__xludf.DUMMYFUNCTION("""COMPUTED_VALUE"""),"")</f>
        <v/>
      </c>
    </row>
    <row r="9477">
      <c r="G9477" s="16" t="str">
        <f>IFERROR(__xludf.DUMMYFUNCTION("""COMPUTED_VALUE"""),"")</f>
        <v/>
      </c>
    </row>
    <row r="9478">
      <c r="G9478" s="16" t="str">
        <f>IFERROR(__xludf.DUMMYFUNCTION("""COMPUTED_VALUE"""),"")</f>
        <v/>
      </c>
    </row>
    <row r="9479">
      <c r="G9479" s="16" t="str">
        <f>IFERROR(__xludf.DUMMYFUNCTION("""COMPUTED_VALUE"""),"")</f>
        <v/>
      </c>
    </row>
    <row r="9480">
      <c r="G9480" s="16" t="str">
        <f>IFERROR(__xludf.DUMMYFUNCTION("""COMPUTED_VALUE"""),"")</f>
        <v/>
      </c>
    </row>
    <row r="9481">
      <c r="G9481" s="16" t="str">
        <f>IFERROR(__xludf.DUMMYFUNCTION("""COMPUTED_VALUE"""),"")</f>
        <v/>
      </c>
    </row>
    <row r="9482">
      <c r="G9482" s="16" t="str">
        <f>IFERROR(__xludf.DUMMYFUNCTION("""COMPUTED_VALUE"""),"")</f>
        <v/>
      </c>
    </row>
    <row r="9483">
      <c r="G9483" s="16" t="str">
        <f>IFERROR(__xludf.DUMMYFUNCTION("""COMPUTED_VALUE"""),"")</f>
        <v/>
      </c>
    </row>
    <row r="9484">
      <c r="G9484" s="16" t="str">
        <f>IFERROR(__xludf.DUMMYFUNCTION("""COMPUTED_VALUE"""),"")</f>
        <v/>
      </c>
    </row>
    <row r="9485">
      <c r="G9485" s="16" t="str">
        <f>IFERROR(__xludf.DUMMYFUNCTION("""COMPUTED_VALUE"""),"")</f>
        <v/>
      </c>
    </row>
    <row r="9486">
      <c r="G9486" s="16" t="str">
        <f>IFERROR(__xludf.DUMMYFUNCTION("""COMPUTED_VALUE"""),"")</f>
        <v/>
      </c>
    </row>
    <row r="9487">
      <c r="G9487" s="16" t="str">
        <f>IFERROR(__xludf.DUMMYFUNCTION("""COMPUTED_VALUE"""),"")</f>
        <v/>
      </c>
    </row>
    <row r="9488">
      <c r="G9488" s="16" t="str">
        <f>IFERROR(__xludf.DUMMYFUNCTION("""COMPUTED_VALUE"""),"")</f>
        <v/>
      </c>
    </row>
    <row r="9489">
      <c r="G9489" s="16" t="str">
        <f>IFERROR(__xludf.DUMMYFUNCTION("""COMPUTED_VALUE"""),"")</f>
        <v/>
      </c>
    </row>
    <row r="9490">
      <c r="G9490" s="16" t="str">
        <f>IFERROR(__xludf.DUMMYFUNCTION("""COMPUTED_VALUE"""),"")</f>
        <v/>
      </c>
    </row>
    <row r="9491">
      <c r="G9491" s="16" t="str">
        <f>IFERROR(__xludf.DUMMYFUNCTION("""COMPUTED_VALUE"""),"")</f>
        <v/>
      </c>
    </row>
    <row r="9492">
      <c r="G9492" s="16" t="str">
        <f>IFERROR(__xludf.DUMMYFUNCTION("""COMPUTED_VALUE"""),"")</f>
        <v/>
      </c>
    </row>
    <row r="9493">
      <c r="G9493" s="16" t="str">
        <f>IFERROR(__xludf.DUMMYFUNCTION("""COMPUTED_VALUE"""),"")</f>
        <v/>
      </c>
    </row>
    <row r="9494">
      <c r="G9494" s="16" t="str">
        <f>IFERROR(__xludf.DUMMYFUNCTION("""COMPUTED_VALUE"""),"")</f>
        <v/>
      </c>
    </row>
    <row r="9495">
      <c r="G9495" s="16" t="str">
        <f>IFERROR(__xludf.DUMMYFUNCTION("""COMPUTED_VALUE"""),"")</f>
        <v/>
      </c>
    </row>
    <row r="9496">
      <c r="G9496" s="16" t="str">
        <f>IFERROR(__xludf.DUMMYFUNCTION("""COMPUTED_VALUE"""),"")</f>
        <v/>
      </c>
    </row>
    <row r="9497">
      <c r="G9497" s="16" t="str">
        <f>IFERROR(__xludf.DUMMYFUNCTION("""COMPUTED_VALUE"""),"")</f>
        <v/>
      </c>
    </row>
    <row r="9498">
      <c r="G9498" s="16" t="str">
        <f>IFERROR(__xludf.DUMMYFUNCTION("""COMPUTED_VALUE"""),"")</f>
        <v/>
      </c>
    </row>
    <row r="9499">
      <c r="G9499" s="16" t="str">
        <f>IFERROR(__xludf.DUMMYFUNCTION("""COMPUTED_VALUE"""),"")</f>
        <v/>
      </c>
    </row>
    <row r="9500">
      <c r="G9500" s="16" t="str">
        <f>IFERROR(__xludf.DUMMYFUNCTION("""COMPUTED_VALUE"""),"")</f>
        <v/>
      </c>
    </row>
    <row r="9501">
      <c r="G9501" s="16" t="str">
        <f>IFERROR(__xludf.DUMMYFUNCTION("""COMPUTED_VALUE"""),"")</f>
        <v/>
      </c>
    </row>
    <row r="9502">
      <c r="G9502" s="16" t="str">
        <f>IFERROR(__xludf.DUMMYFUNCTION("""COMPUTED_VALUE"""),"")</f>
        <v/>
      </c>
    </row>
    <row r="9503">
      <c r="G9503" s="16" t="str">
        <f>IFERROR(__xludf.DUMMYFUNCTION("""COMPUTED_VALUE"""),"")</f>
        <v/>
      </c>
    </row>
    <row r="9504">
      <c r="G9504" s="16" t="str">
        <f>IFERROR(__xludf.DUMMYFUNCTION("""COMPUTED_VALUE"""),"")</f>
        <v/>
      </c>
    </row>
    <row r="9505">
      <c r="G9505" s="16" t="str">
        <f>IFERROR(__xludf.DUMMYFUNCTION("""COMPUTED_VALUE"""),"")</f>
        <v/>
      </c>
    </row>
    <row r="9506">
      <c r="G9506" s="16" t="str">
        <f>IFERROR(__xludf.DUMMYFUNCTION("""COMPUTED_VALUE"""),"")</f>
        <v/>
      </c>
    </row>
    <row r="9507">
      <c r="G9507" s="16" t="str">
        <f>IFERROR(__xludf.DUMMYFUNCTION("""COMPUTED_VALUE"""),"")</f>
        <v/>
      </c>
    </row>
    <row r="9508">
      <c r="G9508" s="16" t="str">
        <f>IFERROR(__xludf.DUMMYFUNCTION("""COMPUTED_VALUE"""),"")</f>
        <v/>
      </c>
    </row>
    <row r="9509">
      <c r="G9509" s="16" t="str">
        <f>IFERROR(__xludf.DUMMYFUNCTION("""COMPUTED_VALUE"""),"")</f>
        <v/>
      </c>
    </row>
    <row r="9510">
      <c r="G9510" s="16" t="str">
        <f>IFERROR(__xludf.DUMMYFUNCTION("""COMPUTED_VALUE"""),"")</f>
        <v/>
      </c>
    </row>
    <row r="9511">
      <c r="G9511" s="16" t="str">
        <f>IFERROR(__xludf.DUMMYFUNCTION("""COMPUTED_VALUE"""),"")</f>
        <v/>
      </c>
    </row>
    <row r="9512">
      <c r="G9512" s="16" t="str">
        <f>IFERROR(__xludf.DUMMYFUNCTION("""COMPUTED_VALUE"""),"")</f>
        <v/>
      </c>
    </row>
    <row r="9513">
      <c r="G9513" s="16" t="str">
        <f>IFERROR(__xludf.DUMMYFUNCTION("""COMPUTED_VALUE"""),"")</f>
        <v/>
      </c>
    </row>
    <row r="9514">
      <c r="G9514" s="16" t="str">
        <f>IFERROR(__xludf.DUMMYFUNCTION("""COMPUTED_VALUE"""),"")</f>
        <v/>
      </c>
    </row>
    <row r="9515">
      <c r="G9515" s="16" t="str">
        <f>IFERROR(__xludf.DUMMYFUNCTION("""COMPUTED_VALUE"""),"")</f>
        <v/>
      </c>
    </row>
    <row r="9516">
      <c r="G9516" s="16" t="str">
        <f>IFERROR(__xludf.DUMMYFUNCTION("""COMPUTED_VALUE"""),"")</f>
        <v/>
      </c>
    </row>
    <row r="9517">
      <c r="G9517" s="16" t="str">
        <f>IFERROR(__xludf.DUMMYFUNCTION("""COMPUTED_VALUE"""),"")</f>
        <v/>
      </c>
    </row>
    <row r="9518">
      <c r="G9518" s="16" t="str">
        <f>IFERROR(__xludf.DUMMYFUNCTION("""COMPUTED_VALUE"""),"")</f>
        <v/>
      </c>
    </row>
    <row r="9519">
      <c r="G9519" s="16" t="str">
        <f>IFERROR(__xludf.DUMMYFUNCTION("""COMPUTED_VALUE"""),"")</f>
        <v/>
      </c>
    </row>
    <row r="9520">
      <c r="G9520" s="16" t="str">
        <f>IFERROR(__xludf.DUMMYFUNCTION("""COMPUTED_VALUE"""),"")</f>
        <v/>
      </c>
    </row>
    <row r="9521">
      <c r="G9521" s="16" t="str">
        <f>IFERROR(__xludf.DUMMYFUNCTION("""COMPUTED_VALUE"""),"")</f>
        <v/>
      </c>
    </row>
    <row r="9522">
      <c r="G9522" s="16" t="str">
        <f>IFERROR(__xludf.DUMMYFUNCTION("""COMPUTED_VALUE"""),"")</f>
        <v/>
      </c>
    </row>
    <row r="9523">
      <c r="G9523" s="16" t="str">
        <f>IFERROR(__xludf.DUMMYFUNCTION("""COMPUTED_VALUE"""),"")</f>
        <v/>
      </c>
    </row>
    <row r="9524">
      <c r="G9524" s="16" t="str">
        <f>IFERROR(__xludf.DUMMYFUNCTION("""COMPUTED_VALUE"""),"")</f>
        <v/>
      </c>
    </row>
    <row r="9525">
      <c r="G9525" s="16" t="str">
        <f>IFERROR(__xludf.DUMMYFUNCTION("""COMPUTED_VALUE"""),"")</f>
        <v/>
      </c>
    </row>
    <row r="9526">
      <c r="G9526" s="16" t="str">
        <f>IFERROR(__xludf.DUMMYFUNCTION("""COMPUTED_VALUE"""),"")</f>
        <v/>
      </c>
    </row>
    <row r="9527">
      <c r="G9527" s="16" t="str">
        <f>IFERROR(__xludf.DUMMYFUNCTION("""COMPUTED_VALUE"""),"")</f>
        <v/>
      </c>
    </row>
    <row r="9528">
      <c r="G9528" s="16" t="str">
        <f>IFERROR(__xludf.DUMMYFUNCTION("""COMPUTED_VALUE"""),"")</f>
        <v/>
      </c>
    </row>
    <row r="9529">
      <c r="G9529" s="16" t="str">
        <f>IFERROR(__xludf.DUMMYFUNCTION("""COMPUTED_VALUE"""),"")</f>
        <v/>
      </c>
    </row>
    <row r="9530">
      <c r="G9530" s="16" t="str">
        <f>IFERROR(__xludf.DUMMYFUNCTION("""COMPUTED_VALUE"""),"")</f>
        <v/>
      </c>
    </row>
    <row r="9531">
      <c r="G9531" s="16" t="str">
        <f>IFERROR(__xludf.DUMMYFUNCTION("""COMPUTED_VALUE"""),"")</f>
        <v/>
      </c>
    </row>
    <row r="9532">
      <c r="G9532" s="16" t="str">
        <f>IFERROR(__xludf.DUMMYFUNCTION("""COMPUTED_VALUE"""),"")</f>
        <v/>
      </c>
    </row>
    <row r="9533">
      <c r="G9533" s="16" t="str">
        <f>IFERROR(__xludf.DUMMYFUNCTION("""COMPUTED_VALUE"""),"")</f>
        <v/>
      </c>
    </row>
    <row r="9534">
      <c r="G9534" s="16" t="str">
        <f>IFERROR(__xludf.DUMMYFUNCTION("""COMPUTED_VALUE"""),"")</f>
        <v/>
      </c>
    </row>
    <row r="9535">
      <c r="G9535" s="16" t="str">
        <f>IFERROR(__xludf.DUMMYFUNCTION("""COMPUTED_VALUE"""),"")</f>
        <v/>
      </c>
    </row>
    <row r="9536">
      <c r="G9536" s="16" t="str">
        <f>IFERROR(__xludf.DUMMYFUNCTION("""COMPUTED_VALUE"""),"")</f>
        <v/>
      </c>
    </row>
    <row r="9537">
      <c r="G9537" s="16" t="str">
        <f>IFERROR(__xludf.DUMMYFUNCTION("""COMPUTED_VALUE"""),"")</f>
        <v/>
      </c>
    </row>
    <row r="9538">
      <c r="G9538" s="16" t="str">
        <f>IFERROR(__xludf.DUMMYFUNCTION("""COMPUTED_VALUE"""),"")</f>
        <v/>
      </c>
    </row>
    <row r="9539">
      <c r="G9539" s="16" t="str">
        <f>IFERROR(__xludf.DUMMYFUNCTION("""COMPUTED_VALUE"""),"")</f>
        <v/>
      </c>
    </row>
    <row r="9540">
      <c r="G9540" s="16" t="str">
        <f>IFERROR(__xludf.DUMMYFUNCTION("""COMPUTED_VALUE"""),"")</f>
        <v/>
      </c>
    </row>
    <row r="9541">
      <c r="G9541" s="16" t="str">
        <f>IFERROR(__xludf.DUMMYFUNCTION("""COMPUTED_VALUE"""),"")</f>
        <v/>
      </c>
    </row>
    <row r="9542">
      <c r="G9542" s="16" t="str">
        <f>IFERROR(__xludf.DUMMYFUNCTION("""COMPUTED_VALUE"""),"")</f>
        <v/>
      </c>
    </row>
    <row r="9543">
      <c r="G9543" s="16" t="str">
        <f>IFERROR(__xludf.DUMMYFUNCTION("""COMPUTED_VALUE"""),"")</f>
        <v/>
      </c>
    </row>
    <row r="9544">
      <c r="G9544" s="16" t="str">
        <f>IFERROR(__xludf.DUMMYFUNCTION("""COMPUTED_VALUE"""),"")</f>
        <v/>
      </c>
    </row>
    <row r="9545">
      <c r="G9545" s="16" t="str">
        <f>IFERROR(__xludf.DUMMYFUNCTION("""COMPUTED_VALUE"""),"")</f>
        <v/>
      </c>
    </row>
    <row r="9546">
      <c r="G9546" s="16" t="str">
        <f>IFERROR(__xludf.DUMMYFUNCTION("""COMPUTED_VALUE"""),"")</f>
        <v/>
      </c>
    </row>
    <row r="9547">
      <c r="G9547" s="16" t="str">
        <f>IFERROR(__xludf.DUMMYFUNCTION("""COMPUTED_VALUE"""),"")</f>
        <v/>
      </c>
    </row>
    <row r="9548">
      <c r="G9548" s="16" t="str">
        <f>IFERROR(__xludf.DUMMYFUNCTION("""COMPUTED_VALUE"""),"")</f>
        <v/>
      </c>
    </row>
    <row r="9549">
      <c r="G9549" s="16" t="str">
        <f>IFERROR(__xludf.DUMMYFUNCTION("""COMPUTED_VALUE"""),"")</f>
        <v/>
      </c>
    </row>
    <row r="9550">
      <c r="G9550" s="16" t="str">
        <f>IFERROR(__xludf.DUMMYFUNCTION("""COMPUTED_VALUE"""),"")</f>
        <v/>
      </c>
    </row>
    <row r="9551">
      <c r="G9551" s="16" t="str">
        <f>IFERROR(__xludf.DUMMYFUNCTION("""COMPUTED_VALUE"""),"")</f>
        <v/>
      </c>
    </row>
    <row r="9552">
      <c r="G9552" s="16" t="str">
        <f>IFERROR(__xludf.DUMMYFUNCTION("""COMPUTED_VALUE"""),"")</f>
        <v/>
      </c>
    </row>
    <row r="9553">
      <c r="G9553" s="16" t="str">
        <f>IFERROR(__xludf.DUMMYFUNCTION("""COMPUTED_VALUE"""),"")</f>
        <v/>
      </c>
    </row>
    <row r="9554">
      <c r="G9554" s="16" t="str">
        <f>IFERROR(__xludf.DUMMYFUNCTION("""COMPUTED_VALUE"""),"")</f>
        <v/>
      </c>
    </row>
    <row r="9555">
      <c r="G9555" s="16" t="str">
        <f>IFERROR(__xludf.DUMMYFUNCTION("""COMPUTED_VALUE"""),"")</f>
        <v/>
      </c>
    </row>
    <row r="9556">
      <c r="G9556" s="16" t="str">
        <f>IFERROR(__xludf.DUMMYFUNCTION("""COMPUTED_VALUE"""),"")</f>
        <v/>
      </c>
    </row>
    <row r="9557">
      <c r="G9557" s="16" t="str">
        <f>IFERROR(__xludf.DUMMYFUNCTION("""COMPUTED_VALUE"""),"")</f>
        <v/>
      </c>
    </row>
    <row r="9558">
      <c r="G9558" s="16" t="str">
        <f>IFERROR(__xludf.DUMMYFUNCTION("""COMPUTED_VALUE"""),"")</f>
        <v/>
      </c>
    </row>
    <row r="9559">
      <c r="G9559" s="16" t="str">
        <f>IFERROR(__xludf.DUMMYFUNCTION("""COMPUTED_VALUE"""),"")</f>
        <v/>
      </c>
    </row>
    <row r="9560">
      <c r="G9560" s="16" t="str">
        <f>IFERROR(__xludf.DUMMYFUNCTION("""COMPUTED_VALUE"""),"")</f>
        <v/>
      </c>
    </row>
    <row r="9561">
      <c r="G9561" s="16" t="str">
        <f>IFERROR(__xludf.DUMMYFUNCTION("""COMPUTED_VALUE"""),"")</f>
        <v/>
      </c>
    </row>
    <row r="9562">
      <c r="G9562" s="16" t="str">
        <f>IFERROR(__xludf.DUMMYFUNCTION("""COMPUTED_VALUE"""),"")</f>
        <v/>
      </c>
    </row>
    <row r="9563">
      <c r="G9563" s="16" t="str">
        <f>IFERROR(__xludf.DUMMYFUNCTION("""COMPUTED_VALUE"""),"")</f>
        <v/>
      </c>
    </row>
    <row r="9564">
      <c r="G9564" s="16" t="str">
        <f>IFERROR(__xludf.DUMMYFUNCTION("""COMPUTED_VALUE"""),"")</f>
        <v/>
      </c>
    </row>
    <row r="9565">
      <c r="G9565" s="16" t="str">
        <f>IFERROR(__xludf.DUMMYFUNCTION("""COMPUTED_VALUE"""),"")</f>
        <v/>
      </c>
    </row>
    <row r="9566">
      <c r="G9566" s="16" t="str">
        <f>IFERROR(__xludf.DUMMYFUNCTION("""COMPUTED_VALUE"""),"")</f>
        <v/>
      </c>
    </row>
    <row r="9567">
      <c r="G9567" s="16" t="str">
        <f>IFERROR(__xludf.DUMMYFUNCTION("""COMPUTED_VALUE"""),"")</f>
        <v/>
      </c>
    </row>
    <row r="9568">
      <c r="G9568" s="16" t="str">
        <f>IFERROR(__xludf.DUMMYFUNCTION("""COMPUTED_VALUE"""),"")</f>
        <v/>
      </c>
    </row>
    <row r="9569">
      <c r="G9569" s="16" t="str">
        <f>IFERROR(__xludf.DUMMYFUNCTION("""COMPUTED_VALUE"""),"")</f>
        <v/>
      </c>
    </row>
    <row r="9570">
      <c r="G9570" s="16" t="str">
        <f>IFERROR(__xludf.DUMMYFUNCTION("""COMPUTED_VALUE"""),"")</f>
        <v/>
      </c>
    </row>
    <row r="9571">
      <c r="G9571" s="16" t="str">
        <f>IFERROR(__xludf.DUMMYFUNCTION("""COMPUTED_VALUE"""),"")</f>
        <v/>
      </c>
    </row>
    <row r="9572">
      <c r="G9572" s="16" t="str">
        <f>IFERROR(__xludf.DUMMYFUNCTION("""COMPUTED_VALUE"""),"")</f>
        <v/>
      </c>
    </row>
    <row r="9573">
      <c r="G9573" s="16" t="str">
        <f>IFERROR(__xludf.DUMMYFUNCTION("""COMPUTED_VALUE"""),"")</f>
        <v/>
      </c>
    </row>
    <row r="9574">
      <c r="G9574" s="16" t="str">
        <f>IFERROR(__xludf.DUMMYFUNCTION("""COMPUTED_VALUE"""),"")</f>
        <v/>
      </c>
    </row>
    <row r="9575">
      <c r="G9575" s="16" t="str">
        <f>IFERROR(__xludf.DUMMYFUNCTION("""COMPUTED_VALUE"""),"")</f>
        <v/>
      </c>
    </row>
    <row r="9576">
      <c r="G9576" s="16" t="str">
        <f>IFERROR(__xludf.DUMMYFUNCTION("""COMPUTED_VALUE"""),"")</f>
        <v/>
      </c>
    </row>
    <row r="9577">
      <c r="G9577" s="16" t="str">
        <f>IFERROR(__xludf.DUMMYFUNCTION("""COMPUTED_VALUE"""),"")</f>
        <v/>
      </c>
    </row>
    <row r="9578">
      <c r="G9578" s="16" t="str">
        <f>IFERROR(__xludf.DUMMYFUNCTION("""COMPUTED_VALUE"""),"")</f>
        <v/>
      </c>
    </row>
    <row r="9579">
      <c r="G9579" s="16" t="str">
        <f>IFERROR(__xludf.DUMMYFUNCTION("""COMPUTED_VALUE"""),"")</f>
        <v/>
      </c>
    </row>
    <row r="9580">
      <c r="G9580" s="16" t="str">
        <f>IFERROR(__xludf.DUMMYFUNCTION("""COMPUTED_VALUE"""),"")</f>
        <v/>
      </c>
    </row>
    <row r="9581">
      <c r="G9581" s="16" t="str">
        <f>IFERROR(__xludf.DUMMYFUNCTION("""COMPUTED_VALUE"""),"")</f>
        <v/>
      </c>
    </row>
    <row r="9582">
      <c r="G9582" s="16" t="str">
        <f>IFERROR(__xludf.DUMMYFUNCTION("""COMPUTED_VALUE"""),"")</f>
        <v/>
      </c>
    </row>
    <row r="9583">
      <c r="G9583" s="16" t="str">
        <f>IFERROR(__xludf.DUMMYFUNCTION("""COMPUTED_VALUE"""),"")</f>
        <v/>
      </c>
    </row>
    <row r="9584">
      <c r="G9584" s="16" t="str">
        <f>IFERROR(__xludf.DUMMYFUNCTION("""COMPUTED_VALUE"""),"")</f>
        <v/>
      </c>
    </row>
    <row r="9585">
      <c r="G9585" s="16" t="str">
        <f>IFERROR(__xludf.DUMMYFUNCTION("""COMPUTED_VALUE"""),"")</f>
        <v/>
      </c>
    </row>
    <row r="9586">
      <c r="G9586" s="16" t="str">
        <f>IFERROR(__xludf.DUMMYFUNCTION("""COMPUTED_VALUE"""),"")</f>
        <v/>
      </c>
    </row>
    <row r="9587">
      <c r="G9587" s="16" t="str">
        <f>IFERROR(__xludf.DUMMYFUNCTION("""COMPUTED_VALUE"""),"")</f>
        <v/>
      </c>
    </row>
    <row r="9588">
      <c r="G9588" s="16" t="str">
        <f>IFERROR(__xludf.DUMMYFUNCTION("""COMPUTED_VALUE"""),"")</f>
        <v/>
      </c>
    </row>
    <row r="9589">
      <c r="G9589" s="16" t="str">
        <f>IFERROR(__xludf.DUMMYFUNCTION("""COMPUTED_VALUE"""),"")</f>
        <v/>
      </c>
    </row>
    <row r="9590">
      <c r="G9590" s="16" t="str">
        <f>IFERROR(__xludf.DUMMYFUNCTION("""COMPUTED_VALUE"""),"")</f>
        <v/>
      </c>
    </row>
    <row r="9591">
      <c r="G9591" s="16" t="str">
        <f>IFERROR(__xludf.DUMMYFUNCTION("""COMPUTED_VALUE"""),"")</f>
        <v/>
      </c>
    </row>
    <row r="9592">
      <c r="G9592" s="16" t="str">
        <f>IFERROR(__xludf.DUMMYFUNCTION("""COMPUTED_VALUE"""),"")</f>
        <v/>
      </c>
    </row>
    <row r="9593">
      <c r="G9593" s="16" t="str">
        <f>IFERROR(__xludf.DUMMYFUNCTION("""COMPUTED_VALUE"""),"")</f>
        <v/>
      </c>
    </row>
    <row r="9594">
      <c r="G9594" s="16" t="str">
        <f>IFERROR(__xludf.DUMMYFUNCTION("""COMPUTED_VALUE"""),"")</f>
        <v/>
      </c>
    </row>
    <row r="9595">
      <c r="G9595" s="16" t="str">
        <f>IFERROR(__xludf.DUMMYFUNCTION("""COMPUTED_VALUE"""),"")</f>
        <v/>
      </c>
    </row>
    <row r="9596">
      <c r="G9596" s="16" t="str">
        <f>IFERROR(__xludf.DUMMYFUNCTION("""COMPUTED_VALUE"""),"")</f>
        <v/>
      </c>
    </row>
    <row r="9597">
      <c r="G9597" s="16" t="str">
        <f>IFERROR(__xludf.DUMMYFUNCTION("""COMPUTED_VALUE"""),"")</f>
        <v/>
      </c>
    </row>
    <row r="9598">
      <c r="G9598" s="16" t="str">
        <f>IFERROR(__xludf.DUMMYFUNCTION("""COMPUTED_VALUE"""),"")</f>
        <v/>
      </c>
    </row>
    <row r="9599">
      <c r="G9599" s="16" t="str">
        <f>IFERROR(__xludf.DUMMYFUNCTION("""COMPUTED_VALUE"""),"")</f>
        <v/>
      </c>
    </row>
    <row r="9600">
      <c r="G9600" s="16" t="str">
        <f>IFERROR(__xludf.DUMMYFUNCTION("""COMPUTED_VALUE"""),"")</f>
        <v/>
      </c>
    </row>
    <row r="9601">
      <c r="G9601" s="16" t="str">
        <f>IFERROR(__xludf.DUMMYFUNCTION("""COMPUTED_VALUE"""),"")</f>
        <v/>
      </c>
    </row>
    <row r="9602">
      <c r="G9602" s="16" t="str">
        <f>IFERROR(__xludf.DUMMYFUNCTION("""COMPUTED_VALUE"""),"")</f>
        <v/>
      </c>
    </row>
    <row r="9603">
      <c r="G9603" s="16" t="str">
        <f>IFERROR(__xludf.DUMMYFUNCTION("""COMPUTED_VALUE"""),"")</f>
        <v/>
      </c>
    </row>
    <row r="9604">
      <c r="G9604" s="16" t="str">
        <f>IFERROR(__xludf.DUMMYFUNCTION("""COMPUTED_VALUE"""),"")</f>
        <v/>
      </c>
    </row>
    <row r="9605">
      <c r="G9605" s="16" t="str">
        <f>IFERROR(__xludf.DUMMYFUNCTION("""COMPUTED_VALUE"""),"")</f>
        <v/>
      </c>
    </row>
    <row r="9606">
      <c r="G9606" s="16" t="str">
        <f>IFERROR(__xludf.DUMMYFUNCTION("""COMPUTED_VALUE"""),"")</f>
        <v/>
      </c>
    </row>
    <row r="9607">
      <c r="G9607" s="16" t="str">
        <f>IFERROR(__xludf.DUMMYFUNCTION("""COMPUTED_VALUE"""),"")</f>
        <v/>
      </c>
    </row>
    <row r="9608">
      <c r="G9608" s="16" t="str">
        <f>IFERROR(__xludf.DUMMYFUNCTION("""COMPUTED_VALUE"""),"")</f>
        <v/>
      </c>
    </row>
    <row r="9609">
      <c r="G9609" s="16" t="str">
        <f>IFERROR(__xludf.DUMMYFUNCTION("""COMPUTED_VALUE"""),"")</f>
        <v/>
      </c>
    </row>
    <row r="9610">
      <c r="G9610" s="16" t="str">
        <f>IFERROR(__xludf.DUMMYFUNCTION("""COMPUTED_VALUE"""),"")</f>
        <v/>
      </c>
    </row>
    <row r="9611">
      <c r="G9611" s="16" t="str">
        <f>IFERROR(__xludf.DUMMYFUNCTION("""COMPUTED_VALUE"""),"")</f>
        <v/>
      </c>
    </row>
    <row r="9612">
      <c r="G9612" s="16" t="str">
        <f>IFERROR(__xludf.DUMMYFUNCTION("""COMPUTED_VALUE"""),"")</f>
        <v/>
      </c>
    </row>
    <row r="9613">
      <c r="G9613" s="16" t="str">
        <f>IFERROR(__xludf.DUMMYFUNCTION("""COMPUTED_VALUE"""),"")</f>
        <v/>
      </c>
    </row>
    <row r="9614">
      <c r="G9614" s="16" t="str">
        <f>IFERROR(__xludf.DUMMYFUNCTION("""COMPUTED_VALUE"""),"")</f>
        <v/>
      </c>
    </row>
    <row r="9615">
      <c r="G9615" s="16" t="str">
        <f>IFERROR(__xludf.DUMMYFUNCTION("""COMPUTED_VALUE"""),"")</f>
        <v/>
      </c>
    </row>
    <row r="9616">
      <c r="G9616" s="16" t="str">
        <f>IFERROR(__xludf.DUMMYFUNCTION("""COMPUTED_VALUE"""),"")</f>
        <v/>
      </c>
    </row>
    <row r="9617">
      <c r="G9617" s="16" t="str">
        <f>IFERROR(__xludf.DUMMYFUNCTION("""COMPUTED_VALUE"""),"")</f>
        <v/>
      </c>
    </row>
    <row r="9618">
      <c r="G9618" s="16" t="str">
        <f>IFERROR(__xludf.DUMMYFUNCTION("""COMPUTED_VALUE"""),"")</f>
        <v/>
      </c>
    </row>
    <row r="9619">
      <c r="G9619" s="16" t="str">
        <f>IFERROR(__xludf.DUMMYFUNCTION("""COMPUTED_VALUE"""),"")</f>
        <v/>
      </c>
    </row>
    <row r="9620">
      <c r="G9620" s="16" t="str">
        <f>IFERROR(__xludf.DUMMYFUNCTION("""COMPUTED_VALUE"""),"")</f>
        <v/>
      </c>
    </row>
    <row r="9621">
      <c r="G9621" s="16" t="str">
        <f>IFERROR(__xludf.DUMMYFUNCTION("""COMPUTED_VALUE"""),"")</f>
        <v/>
      </c>
    </row>
    <row r="9622">
      <c r="G9622" s="16" t="str">
        <f>IFERROR(__xludf.DUMMYFUNCTION("""COMPUTED_VALUE"""),"")</f>
        <v/>
      </c>
    </row>
    <row r="9623">
      <c r="G9623" s="16" t="str">
        <f>IFERROR(__xludf.DUMMYFUNCTION("""COMPUTED_VALUE"""),"")</f>
        <v/>
      </c>
    </row>
    <row r="9624">
      <c r="G9624" s="16" t="str">
        <f>IFERROR(__xludf.DUMMYFUNCTION("""COMPUTED_VALUE"""),"")</f>
        <v/>
      </c>
    </row>
    <row r="9625">
      <c r="G9625" s="16" t="str">
        <f>IFERROR(__xludf.DUMMYFUNCTION("""COMPUTED_VALUE"""),"")</f>
        <v/>
      </c>
    </row>
    <row r="9626">
      <c r="G9626" s="16" t="str">
        <f>IFERROR(__xludf.DUMMYFUNCTION("""COMPUTED_VALUE"""),"")</f>
        <v/>
      </c>
    </row>
    <row r="9627">
      <c r="G9627" s="16" t="str">
        <f>IFERROR(__xludf.DUMMYFUNCTION("""COMPUTED_VALUE"""),"")</f>
        <v/>
      </c>
    </row>
    <row r="9628">
      <c r="G9628" s="16" t="str">
        <f>IFERROR(__xludf.DUMMYFUNCTION("""COMPUTED_VALUE"""),"")</f>
        <v/>
      </c>
    </row>
    <row r="9629">
      <c r="G9629" s="16" t="str">
        <f>IFERROR(__xludf.DUMMYFUNCTION("""COMPUTED_VALUE"""),"")</f>
        <v/>
      </c>
    </row>
    <row r="9630">
      <c r="G9630" s="16" t="str">
        <f>IFERROR(__xludf.DUMMYFUNCTION("""COMPUTED_VALUE"""),"")</f>
        <v/>
      </c>
    </row>
    <row r="9631">
      <c r="G9631" s="16" t="str">
        <f>IFERROR(__xludf.DUMMYFUNCTION("""COMPUTED_VALUE"""),"")</f>
        <v/>
      </c>
    </row>
    <row r="9632">
      <c r="G9632" s="16" t="str">
        <f>IFERROR(__xludf.DUMMYFUNCTION("""COMPUTED_VALUE"""),"")</f>
        <v/>
      </c>
    </row>
    <row r="9633">
      <c r="G9633" s="16" t="str">
        <f>IFERROR(__xludf.DUMMYFUNCTION("""COMPUTED_VALUE"""),"")</f>
        <v/>
      </c>
    </row>
    <row r="9634">
      <c r="G9634" s="16" t="str">
        <f>IFERROR(__xludf.DUMMYFUNCTION("""COMPUTED_VALUE"""),"")</f>
        <v/>
      </c>
    </row>
    <row r="9635">
      <c r="G9635" s="16" t="str">
        <f>IFERROR(__xludf.DUMMYFUNCTION("""COMPUTED_VALUE"""),"")</f>
        <v/>
      </c>
    </row>
    <row r="9636">
      <c r="G9636" s="16" t="str">
        <f>IFERROR(__xludf.DUMMYFUNCTION("""COMPUTED_VALUE"""),"")</f>
        <v/>
      </c>
    </row>
    <row r="9637">
      <c r="G9637" s="16" t="str">
        <f>IFERROR(__xludf.DUMMYFUNCTION("""COMPUTED_VALUE"""),"")</f>
        <v/>
      </c>
    </row>
    <row r="9638">
      <c r="G9638" s="16" t="str">
        <f>IFERROR(__xludf.DUMMYFUNCTION("""COMPUTED_VALUE"""),"")</f>
        <v/>
      </c>
    </row>
    <row r="9639">
      <c r="G9639" s="16" t="str">
        <f>IFERROR(__xludf.DUMMYFUNCTION("""COMPUTED_VALUE"""),"")</f>
        <v/>
      </c>
    </row>
    <row r="9640">
      <c r="G9640" s="16" t="str">
        <f>IFERROR(__xludf.DUMMYFUNCTION("""COMPUTED_VALUE"""),"")</f>
        <v/>
      </c>
    </row>
    <row r="9641">
      <c r="G9641" s="16" t="str">
        <f>IFERROR(__xludf.DUMMYFUNCTION("""COMPUTED_VALUE"""),"")</f>
        <v/>
      </c>
    </row>
    <row r="9642">
      <c r="G9642" s="16" t="str">
        <f>IFERROR(__xludf.DUMMYFUNCTION("""COMPUTED_VALUE"""),"")</f>
        <v/>
      </c>
    </row>
    <row r="9643">
      <c r="G9643" s="16" t="str">
        <f>IFERROR(__xludf.DUMMYFUNCTION("""COMPUTED_VALUE"""),"")</f>
        <v/>
      </c>
    </row>
    <row r="9644">
      <c r="G9644" s="16" t="str">
        <f>IFERROR(__xludf.DUMMYFUNCTION("""COMPUTED_VALUE"""),"")</f>
        <v/>
      </c>
    </row>
    <row r="9645">
      <c r="G9645" s="16" t="str">
        <f>IFERROR(__xludf.DUMMYFUNCTION("""COMPUTED_VALUE"""),"")</f>
        <v/>
      </c>
    </row>
    <row r="9646">
      <c r="G9646" s="16" t="str">
        <f>IFERROR(__xludf.DUMMYFUNCTION("""COMPUTED_VALUE"""),"")</f>
        <v/>
      </c>
    </row>
    <row r="9647">
      <c r="G9647" s="16" t="str">
        <f>IFERROR(__xludf.DUMMYFUNCTION("""COMPUTED_VALUE"""),"")</f>
        <v/>
      </c>
    </row>
    <row r="9648">
      <c r="G9648" s="16" t="str">
        <f>IFERROR(__xludf.DUMMYFUNCTION("""COMPUTED_VALUE"""),"")</f>
        <v/>
      </c>
    </row>
    <row r="9649">
      <c r="G9649" s="16" t="str">
        <f>IFERROR(__xludf.DUMMYFUNCTION("""COMPUTED_VALUE"""),"")</f>
        <v/>
      </c>
    </row>
    <row r="9650">
      <c r="G9650" s="16" t="str">
        <f>IFERROR(__xludf.DUMMYFUNCTION("""COMPUTED_VALUE"""),"")</f>
        <v/>
      </c>
    </row>
    <row r="9651">
      <c r="G9651" s="16" t="str">
        <f>IFERROR(__xludf.DUMMYFUNCTION("""COMPUTED_VALUE"""),"")</f>
        <v/>
      </c>
    </row>
    <row r="9652">
      <c r="G9652" s="16" t="str">
        <f>IFERROR(__xludf.DUMMYFUNCTION("""COMPUTED_VALUE"""),"")</f>
        <v/>
      </c>
    </row>
    <row r="9653">
      <c r="G9653" s="16" t="str">
        <f>IFERROR(__xludf.DUMMYFUNCTION("""COMPUTED_VALUE"""),"")</f>
        <v/>
      </c>
    </row>
    <row r="9654">
      <c r="G9654" s="16" t="str">
        <f>IFERROR(__xludf.DUMMYFUNCTION("""COMPUTED_VALUE"""),"")</f>
        <v/>
      </c>
    </row>
    <row r="9655">
      <c r="G9655" s="16" t="str">
        <f>IFERROR(__xludf.DUMMYFUNCTION("""COMPUTED_VALUE"""),"")</f>
        <v/>
      </c>
    </row>
    <row r="9656">
      <c r="G9656" s="16" t="str">
        <f>IFERROR(__xludf.DUMMYFUNCTION("""COMPUTED_VALUE"""),"")</f>
        <v/>
      </c>
    </row>
    <row r="9657">
      <c r="G9657" s="16" t="str">
        <f>IFERROR(__xludf.DUMMYFUNCTION("""COMPUTED_VALUE"""),"")</f>
        <v/>
      </c>
    </row>
    <row r="9658">
      <c r="G9658" s="16" t="str">
        <f>IFERROR(__xludf.DUMMYFUNCTION("""COMPUTED_VALUE"""),"")</f>
        <v/>
      </c>
    </row>
    <row r="9659">
      <c r="G9659" s="16" t="str">
        <f>IFERROR(__xludf.DUMMYFUNCTION("""COMPUTED_VALUE"""),"")</f>
        <v/>
      </c>
    </row>
    <row r="9660">
      <c r="G9660" s="16" t="str">
        <f>IFERROR(__xludf.DUMMYFUNCTION("""COMPUTED_VALUE"""),"")</f>
        <v/>
      </c>
    </row>
    <row r="9661">
      <c r="G9661" s="16" t="str">
        <f>IFERROR(__xludf.DUMMYFUNCTION("""COMPUTED_VALUE"""),"")</f>
        <v/>
      </c>
    </row>
    <row r="9662">
      <c r="G9662" s="16" t="str">
        <f>IFERROR(__xludf.DUMMYFUNCTION("""COMPUTED_VALUE"""),"")</f>
        <v/>
      </c>
    </row>
    <row r="9663">
      <c r="G9663" s="16" t="str">
        <f>IFERROR(__xludf.DUMMYFUNCTION("""COMPUTED_VALUE"""),"")</f>
        <v/>
      </c>
    </row>
    <row r="9664">
      <c r="G9664" s="16" t="str">
        <f>IFERROR(__xludf.DUMMYFUNCTION("""COMPUTED_VALUE"""),"")</f>
        <v/>
      </c>
    </row>
    <row r="9665">
      <c r="G9665" s="16" t="str">
        <f>IFERROR(__xludf.DUMMYFUNCTION("""COMPUTED_VALUE"""),"")</f>
        <v/>
      </c>
    </row>
    <row r="9666">
      <c r="G9666" s="16" t="str">
        <f>IFERROR(__xludf.DUMMYFUNCTION("""COMPUTED_VALUE"""),"")</f>
        <v/>
      </c>
    </row>
    <row r="9667">
      <c r="G9667" s="16" t="str">
        <f>IFERROR(__xludf.DUMMYFUNCTION("""COMPUTED_VALUE"""),"")</f>
        <v/>
      </c>
    </row>
    <row r="9668">
      <c r="G9668" s="16" t="str">
        <f>IFERROR(__xludf.DUMMYFUNCTION("""COMPUTED_VALUE"""),"")</f>
        <v/>
      </c>
    </row>
    <row r="9669">
      <c r="G9669" s="16" t="str">
        <f>IFERROR(__xludf.DUMMYFUNCTION("""COMPUTED_VALUE"""),"")</f>
        <v/>
      </c>
    </row>
    <row r="9670">
      <c r="G9670" s="16" t="str">
        <f>IFERROR(__xludf.DUMMYFUNCTION("""COMPUTED_VALUE"""),"")</f>
        <v/>
      </c>
    </row>
    <row r="9671">
      <c r="G9671" s="16" t="str">
        <f>IFERROR(__xludf.DUMMYFUNCTION("""COMPUTED_VALUE"""),"")</f>
        <v/>
      </c>
    </row>
    <row r="9672">
      <c r="G9672" s="16" t="str">
        <f>IFERROR(__xludf.DUMMYFUNCTION("""COMPUTED_VALUE"""),"")</f>
        <v/>
      </c>
    </row>
    <row r="9673">
      <c r="G9673" s="16" t="str">
        <f>IFERROR(__xludf.DUMMYFUNCTION("""COMPUTED_VALUE"""),"")</f>
        <v/>
      </c>
    </row>
    <row r="9674">
      <c r="G9674" s="16" t="str">
        <f>IFERROR(__xludf.DUMMYFUNCTION("""COMPUTED_VALUE"""),"")</f>
        <v/>
      </c>
    </row>
    <row r="9675">
      <c r="G9675" s="16" t="str">
        <f>IFERROR(__xludf.DUMMYFUNCTION("""COMPUTED_VALUE"""),"")</f>
        <v/>
      </c>
    </row>
    <row r="9676">
      <c r="G9676" s="16" t="str">
        <f>IFERROR(__xludf.DUMMYFUNCTION("""COMPUTED_VALUE"""),"")</f>
        <v/>
      </c>
    </row>
    <row r="9677">
      <c r="G9677" s="16" t="str">
        <f>IFERROR(__xludf.DUMMYFUNCTION("""COMPUTED_VALUE"""),"")</f>
        <v/>
      </c>
    </row>
    <row r="9678">
      <c r="G9678" s="16" t="str">
        <f>IFERROR(__xludf.DUMMYFUNCTION("""COMPUTED_VALUE"""),"")</f>
        <v/>
      </c>
    </row>
    <row r="9679">
      <c r="G9679" s="16" t="str">
        <f>IFERROR(__xludf.DUMMYFUNCTION("""COMPUTED_VALUE"""),"")</f>
        <v/>
      </c>
    </row>
    <row r="9680">
      <c r="G9680" s="16" t="str">
        <f>IFERROR(__xludf.DUMMYFUNCTION("""COMPUTED_VALUE"""),"")</f>
        <v/>
      </c>
    </row>
    <row r="9681">
      <c r="G9681" s="16" t="str">
        <f>IFERROR(__xludf.DUMMYFUNCTION("""COMPUTED_VALUE"""),"")</f>
        <v/>
      </c>
    </row>
    <row r="9682">
      <c r="G9682" s="16" t="str">
        <f>IFERROR(__xludf.DUMMYFUNCTION("""COMPUTED_VALUE"""),"")</f>
        <v/>
      </c>
    </row>
    <row r="9683">
      <c r="G9683" s="16" t="str">
        <f>IFERROR(__xludf.DUMMYFUNCTION("""COMPUTED_VALUE"""),"")</f>
        <v/>
      </c>
    </row>
    <row r="9684">
      <c r="G9684" s="16" t="str">
        <f>IFERROR(__xludf.DUMMYFUNCTION("""COMPUTED_VALUE"""),"")</f>
        <v/>
      </c>
    </row>
    <row r="9685">
      <c r="G9685" s="16" t="str">
        <f>IFERROR(__xludf.DUMMYFUNCTION("""COMPUTED_VALUE"""),"")</f>
        <v/>
      </c>
    </row>
    <row r="9686">
      <c r="G9686" s="16" t="str">
        <f>IFERROR(__xludf.DUMMYFUNCTION("""COMPUTED_VALUE"""),"")</f>
        <v/>
      </c>
    </row>
    <row r="9687">
      <c r="G9687" s="16" t="str">
        <f>IFERROR(__xludf.DUMMYFUNCTION("""COMPUTED_VALUE"""),"")</f>
        <v/>
      </c>
    </row>
    <row r="9688">
      <c r="G9688" s="16" t="str">
        <f>IFERROR(__xludf.DUMMYFUNCTION("""COMPUTED_VALUE"""),"")</f>
        <v/>
      </c>
    </row>
    <row r="9689">
      <c r="G9689" s="16" t="str">
        <f>IFERROR(__xludf.DUMMYFUNCTION("""COMPUTED_VALUE"""),"")</f>
        <v/>
      </c>
    </row>
    <row r="9690">
      <c r="G9690" s="16" t="str">
        <f>IFERROR(__xludf.DUMMYFUNCTION("""COMPUTED_VALUE"""),"")</f>
        <v/>
      </c>
    </row>
    <row r="9691">
      <c r="G9691" s="16" t="str">
        <f>IFERROR(__xludf.DUMMYFUNCTION("""COMPUTED_VALUE"""),"")</f>
        <v/>
      </c>
    </row>
    <row r="9692">
      <c r="G9692" s="16" t="str">
        <f>IFERROR(__xludf.DUMMYFUNCTION("""COMPUTED_VALUE"""),"")</f>
        <v/>
      </c>
    </row>
    <row r="9693">
      <c r="G9693" s="16" t="str">
        <f>IFERROR(__xludf.DUMMYFUNCTION("""COMPUTED_VALUE"""),"")</f>
        <v/>
      </c>
    </row>
    <row r="9694">
      <c r="G9694" s="16" t="str">
        <f>IFERROR(__xludf.DUMMYFUNCTION("""COMPUTED_VALUE"""),"")</f>
        <v/>
      </c>
    </row>
    <row r="9695">
      <c r="G9695" s="16" t="str">
        <f>IFERROR(__xludf.DUMMYFUNCTION("""COMPUTED_VALUE"""),"")</f>
        <v/>
      </c>
    </row>
    <row r="9696">
      <c r="G9696" s="16" t="str">
        <f>IFERROR(__xludf.DUMMYFUNCTION("""COMPUTED_VALUE"""),"")</f>
        <v/>
      </c>
    </row>
    <row r="9697">
      <c r="G9697" s="16" t="str">
        <f>IFERROR(__xludf.DUMMYFUNCTION("""COMPUTED_VALUE"""),"")</f>
        <v/>
      </c>
    </row>
    <row r="9698">
      <c r="G9698" s="16" t="str">
        <f>IFERROR(__xludf.DUMMYFUNCTION("""COMPUTED_VALUE"""),"")</f>
        <v/>
      </c>
    </row>
    <row r="9699">
      <c r="G9699" s="16" t="str">
        <f>IFERROR(__xludf.DUMMYFUNCTION("""COMPUTED_VALUE"""),"")</f>
        <v/>
      </c>
    </row>
    <row r="9700">
      <c r="G9700" s="16" t="str">
        <f>IFERROR(__xludf.DUMMYFUNCTION("""COMPUTED_VALUE"""),"")</f>
        <v/>
      </c>
    </row>
    <row r="9701">
      <c r="G9701" s="16" t="str">
        <f>IFERROR(__xludf.DUMMYFUNCTION("""COMPUTED_VALUE"""),"")</f>
        <v/>
      </c>
    </row>
    <row r="9702">
      <c r="G9702" s="16" t="str">
        <f>IFERROR(__xludf.DUMMYFUNCTION("""COMPUTED_VALUE"""),"")</f>
        <v/>
      </c>
    </row>
    <row r="9703">
      <c r="G9703" s="16" t="str">
        <f>IFERROR(__xludf.DUMMYFUNCTION("""COMPUTED_VALUE"""),"")</f>
        <v/>
      </c>
    </row>
    <row r="9704">
      <c r="G9704" s="16" t="str">
        <f>IFERROR(__xludf.DUMMYFUNCTION("""COMPUTED_VALUE"""),"")</f>
        <v/>
      </c>
    </row>
    <row r="9705">
      <c r="G9705" s="16" t="str">
        <f>IFERROR(__xludf.DUMMYFUNCTION("""COMPUTED_VALUE"""),"")</f>
        <v/>
      </c>
    </row>
    <row r="9706">
      <c r="G9706" s="16" t="str">
        <f>IFERROR(__xludf.DUMMYFUNCTION("""COMPUTED_VALUE"""),"")</f>
        <v/>
      </c>
    </row>
    <row r="9707">
      <c r="G9707" s="16" t="str">
        <f>IFERROR(__xludf.DUMMYFUNCTION("""COMPUTED_VALUE"""),"")</f>
        <v/>
      </c>
    </row>
    <row r="9708">
      <c r="G9708" s="16" t="str">
        <f>IFERROR(__xludf.DUMMYFUNCTION("""COMPUTED_VALUE"""),"")</f>
        <v/>
      </c>
    </row>
    <row r="9709">
      <c r="G9709" s="16" t="str">
        <f>IFERROR(__xludf.DUMMYFUNCTION("""COMPUTED_VALUE"""),"")</f>
        <v/>
      </c>
    </row>
    <row r="9710">
      <c r="G9710" s="16" t="str">
        <f>IFERROR(__xludf.DUMMYFUNCTION("""COMPUTED_VALUE"""),"")</f>
        <v/>
      </c>
    </row>
    <row r="9711">
      <c r="G9711" s="16" t="str">
        <f>IFERROR(__xludf.DUMMYFUNCTION("""COMPUTED_VALUE"""),"")</f>
        <v/>
      </c>
    </row>
    <row r="9712">
      <c r="G9712" s="16" t="str">
        <f>IFERROR(__xludf.DUMMYFUNCTION("""COMPUTED_VALUE"""),"")</f>
        <v/>
      </c>
    </row>
    <row r="9713">
      <c r="G9713" s="16" t="str">
        <f>IFERROR(__xludf.DUMMYFUNCTION("""COMPUTED_VALUE"""),"")</f>
        <v/>
      </c>
    </row>
    <row r="9714">
      <c r="G9714" s="16" t="str">
        <f>IFERROR(__xludf.DUMMYFUNCTION("""COMPUTED_VALUE"""),"")</f>
        <v/>
      </c>
    </row>
    <row r="9715">
      <c r="G9715" s="16" t="str">
        <f>IFERROR(__xludf.DUMMYFUNCTION("""COMPUTED_VALUE"""),"")</f>
        <v/>
      </c>
    </row>
    <row r="9716">
      <c r="G9716" s="16" t="str">
        <f>IFERROR(__xludf.DUMMYFUNCTION("""COMPUTED_VALUE"""),"")</f>
        <v/>
      </c>
    </row>
    <row r="9717">
      <c r="G9717" s="16" t="str">
        <f>IFERROR(__xludf.DUMMYFUNCTION("""COMPUTED_VALUE"""),"")</f>
        <v/>
      </c>
    </row>
    <row r="9718">
      <c r="G9718" s="16" t="str">
        <f>IFERROR(__xludf.DUMMYFUNCTION("""COMPUTED_VALUE"""),"")</f>
        <v/>
      </c>
    </row>
    <row r="9719">
      <c r="G9719" s="16" t="str">
        <f>IFERROR(__xludf.DUMMYFUNCTION("""COMPUTED_VALUE"""),"")</f>
        <v/>
      </c>
    </row>
    <row r="9720">
      <c r="G9720" s="16" t="str">
        <f>IFERROR(__xludf.DUMMYFUNCTION("""COMPUTED_VALUE"""),"")</f>
        <v/>
      </c>
    </row>
    <row r="9721">
      <c r="G9721" s="16" t="str">
        <f>IFERROR(__xludf.DUMMYFUNCTION("""COMPUTED_VALUE"""),"")</f>
        <v/>
      </c>
    </row>
    <row r="9722">
      <c r="G9722" s="16" t="str">
        <f>IFERROR(__xludf.DUMMYFUNCTION("""COMPUTED_VALUE"""),"")</f>
        <v/>
      </c>
    </row>
    <row r="9723">
      <c r="G9723" s="16" t="str">
        <f>IFERROR(__xludf.DUMMYFUNCTION("""COMPUTED_VALUE"""),"")</f>
        <v/>
      </c>
    </row>
    <row r="9724">
      <c r="G9724" s="16" t="str">
        <f>IFERROR(__xludf.DUMMYFUNCTION("""COMPUTED_VALUE"""),"")</f>
        <v/>
      </c>
    </row>
    <row r="9725">
      <c r="G9725" s="16" t="str">
        <f>IFERROR(__xludf.DUMMYFUNCTION("""COMPUTED_VALUE"""),"")</f>
        <v/>
      </c>
    </row>
    <row r="9726">
      <c r="G9726" s="16" t="str">
        <f>IFERROR(__xludf.DUMMYFUNCTION("""COMPUTED_VALUE"""),"")</f>
        <v/>
      </c>
    </row>
    <row r="9727">
      <c r="G9727" s="16" t="str">
        <f>IFERROR(__xludf.DUMMYFUNCTION("""COMPUTED_VALUE"""),"")</f>
        <v/>
      </c>
    </row>
    <row r="9728">
      <c r="G9728" s="16" t="str">
        <f>IFERROR(__xludf.DUMMYFUNCTION("""COMPUTED_VALUE"""),"")</f>
        <v/>
      </c>
    </row>
    <row r="9729">
      <c r="G9729" s="16" t="str">
        <f>IFERROR(__xludf.DUMMYFUNCTION("""COMPUTED_VALUE"""),"")</f>
        <v/>
      </c>
    </row>
    <row r="9730">
      <c r="G9730" s="16" t="str">
        <f>IFERROR(__xludf.DUMMYFUNCTION("""COMPUTED_VALUE"""),"")</f>
        <v/>
      </c>
    </row>
    <row r="9731">
      <c r="G9731" s="16" t="str">
        <f>IFERROR(__xludf.DUMMYFUNCTION("""COMPUTED_VALUE"""),"")</f>
        <v/>
      </c>
    </row>
    <row r="9732">
      <c r="G9732" s="16" t="str">
        <f>IFERROR(__xludf.DUMMYFUNCTION("""COMPUTED_VALUE"""),"")</f>
        <v/>
      </c>
    </row>
    <row r="9733">
      <c r="G9733" s="16" t="str">
        <f>IFERROR(__xludf.DUMMYFUNCTION("""COMPUTED_VALUE"""),"")</f>
        <v/>
      </c>
    </row>
    <row r="9734">
      <c r="G9734" s="16" t="str">
        <f>IFERROR(__xludf.DUMMYFUNCTION("""COMPUTED_VALUE"""),"")</f>
        <v/>
      </c>
    </row>
    <row r="9735">
      <c r="G9735" s="16" t="str">
        <f>IFERROR(__xludf.DUMMYFUNCTION("""COMPUTED_VALUE"""),"")</f>
        <v/>
      </c>
    </row>
    <row r="9736">
      <c r="G9736" s="16" t="str">
        <f>IFERROR(__xludf.DUMMYFUNCTION("""COMPUTED_VALUE"""),"")</f>
        <v/>
      </c>
    </row>
    <row r="9737">
      <c r="G9737" s="16" t="str">
        <f>IFERROR(__xludf.DUMMYFUNCTION("""COMPUTED_VALUE"""),"")</f>
        <v/>
      </c>
    </row>
    <row r="9738">
      <c r="G9738" s="16" t="str">
        <f>IFERROR(__xludf.DUMMYFUNCTION("""COMPUTED_VALUE"""),"")</f>
        <v/>
      </c>
    </row>
    <row r="9739">
      <c r="G9739" s="16" t="str">
        <f>IFERROR(__xludf.DUMMYFUNCTION("""COMPUTED_VALUE"""),"")</f>
        <v/>
      </c>
    </row>
    <row r="9740">
      <c r="G9740" s="16" t="str">
        <f>IFERROR(__xludf.DUMMYFUNCTION("""COMPUTED_VALUE"""),"")</f>
        <v/>
      </c>
    </row>
    <row r="9741">
      <c r="G9741" s="16" t="str">
        <f>IFERROR(__xludf.DUMMYFUNCTION("""COMPUTED_VALUE"""),"")</f>
        <v/>
      </c>
    </row>
    <row r="9742">
      <c r="G9742" s="16" t="str">
        <f>IFERROR(__xludf.DUMMYFUNCTION("""COMPUTED_VALUE"""),"")</f>
        <v/>
      </c>
    </row>
    <row r="9743">
      <c r="G9743" s="16" t="str">
        <f>IFERROR(__xludf.DUMMYFUNCTION("""COMPUTED_VALUE"""),"")</f>
        <v/>
      </c>
    </row>
    <row r="9744">
      <c r="G9744" s="16" t="str">
        <f>IFERROR(__xludf.DUMMYFUNCTION("""COMPUTED_VALUE"""),"")</f>
        <v/>
      </c>
    </row>
    <row r="9745">
      <c r="G9745" s="16" t="str">
        <f>IFERROR(__xludf.DUMMYFUNCTION("""COMPUTED_VALUE"""),"")</f>
        <v/>
      </c>
    </row>
    <row r="9746">
      <c r="G9746" s="16" t="str">
        <f>IFERROR(__xludf.DUMMYFUNCTION("""COMPUTED_VALUE"""),"")</f>
        <v/>
      </c>
    </row>
    <row r="9747">
      <c r="G9747" s="16" t="str">
        <f>IFERROR(__xludf.DUMMYFUNCTION("""COMPUTED_VALUE"""),"")</f>
        <v/>
      </c>
    </row>
    <row r="9748">
      <c r="G9748" s="16" t="str">
        <f>IFERROR(__xludf.DUMMYFUNCTION("""COMPUTED_VALUE"""),"")</f>
        <v/>
      </c>
    </row>
    <row r="9749">
      <c r="G9749" s="16" t="str">
        <f>IFERROR(__xludf.DUMMYFUNCTION("""COMPUTED_VALUE"""),"")</f>
        <v/>
      </c>
    </row>
    <row r="9750">
      <c r="G9750" s="16" t="str">
        <f>IFERROR(__xludf.DUMMYFUNCTION("""COMPUTED_VALUE"""),"")</f>
        <v/>
      </c>
    </row>
    <row r="9751">
      <c r="G9751" s="16" t="str">
        <f>IFERROR(__xludf.DUMMYFUNCTION("""COMPUTED_VALUE"""),"")</f>
        <v/>
      </c>
    </row>
    <row r="9752">
      <c r="G9752" s="16" t="str">
        <f>IFERROR(__xludf.DUMMYFUNCTION("""COMPUTED_VALUE"""),"")</f>
        <v/>
      </c>
    </row>
    <row r="9753">
      <c r="G9753" s="16" t="str">
        <f>IFERROR(__xludf.DUMMYFUNCTION("""COMPUTED_VALUE"""),"")</f>
        <v/>
      </c>
    </row>
    <row r="9754">
      <c r="G9754" s="16" t="str">
        <f>IFERROR(__xludf.DUMMYFUNCTION("""COMPUTED_VALUE"""),"")</f>
        <v/>
      </c>
    </row>
    <row r="9755">
      <c r="G9755" s="16" t="str">
        <f>IFERROR(__xludf.DUMMYFUNCTION("""COMPUTED_VALUE"""),"")</f>
        <v/>
      </c>
    </row>
    <row r="9756">
      <c r="G9756" s="16" t="str">
        <f>IFERROR(__xludf.DUMMYFUNCTION("""COMPUTED_VALUE"""),"")</f>
        <v/>
      </c>
    </row>
    <row r="9757">
      <c r="G9757" s="16" t="str">
        <f>IFERROR(__xludf.DUMMYFUNCTION("""COMPUTED_VALUE"""),"")</f>
        <v/>
      </c>
    </row>
    <row r="9758">
      <c r="G9758" s="16" t="str">
        <f>IFERROR(__xludf.DUMMYFUNCTION("""COMPUTED_VALUE"""),"")</f>
        <v/>
      </c>
    </row>
    <row r="9759">
      <c r="G9759" s="16" t="str">
        <f>IFERROR(__xludf.DUMMYFUNCTION("""COMPUTED_VALUE"""),"")</f>
        <v/>
      </c>
    </row>
    <row r="9760">
      <c r="G9760" s="16" t="str">
        <f>IFERROR(__xludf.DUMMYFUNCTION("""COMPUTED_VALUE"""),"")</f>
        <v/>
      </c>
    </row>
    <row r="9761">
      <c r="G9761" s="16" t="str">
        <f>IFERROR(__xludf.DUMMYFUNCTION("""COMPUTED_VALUE"""),"")</f>
        <v/>
      </c>
    </row>
    <row r="9762">
      <c r="G9762" s="16" t="str">
        <f>IFERROR(__xludf.DUMMYFUNCTION("""COMPUTED_VALUE"""),"")</f>
        <v/>
      </c>
    </row>
    <row r="9763">
      <c r="G9763" s="16" t="str">
        <f>IFERROR(__xludf.DUMMYFUNCTION("""COMPUTED_VALUE"""),"")</f>
        <v/>
      </c>
    </row>
    <row r="9764">
      <c r="G9764" s="16" t="str">
        <f>IFERROR(__xludf.DUMMYFUNCTION("""COMPUTED_VALUE"""),"")</f>
        <v/>
      </c>
    </row>
    <row r="9765">
      <c r="G9765" s="16" t="str">
        <f>IFERROR(__xludf.DUMMYFUNCTION("""COMPUTED_VALUE"""),"")</f>
        <v/>
      </c>
    </row>
    <row r="9766">
      <c r="G9766" s="16" t="str">
        <f>IFERROR(__xludf.DUMMYFUNCTION("""COMPUTED_VALUE"""),"")</f>
        <v/>
      </c>
    </row>
    <row r="9767">
      <c r="G9767" s="16" t="str">
        <f>IFERROR(__xludf.DUMMYFUNCTION("""COMPUTED_VALUE"""),"")</f>
        <v/>
      </c>
    </row>
    <row r="9768">
      <c r="G9768" s="16" t="str">
        <f>IFERROR(__xludf.DUMMYFUNCTION("""COMPUTED_VALUE"""),"")</f>
        <v/>
      </c>
    </row>
    <row r="9769">
      <c r="G9769" s="16" t="str">
        <f>IFERROR(__xludf.DUMMYFUNCTION("""COMPUTED_VALUE"""),"")</f>
        <v/>
      </c>
    </row>
    <row r="9770">
      <c r="G9770" s="16" t="str">
        <f>IFERROR(__xludf.DUMMYFUNCTION("""COMPUTED_VALUE"""),"")</f>
        <v/>
      </c>
    </row>
    <row r="9771">
      <c r="G9771" s="16" t="str">
        <f>IFERROR(__xludf.DUMMYFUNCTION("""COMPUTED_VALUE"""),"")</f>
        <v/>
      </c>
    </row>
    <row r="9772">
      <c r="G9772" s="16" t="str">
        <f>IFERROR(__xludf.DUMMYFUNCTION("""COMPUTED_VALUE"""),"")</f>
        <v/>
      </c>
    </row>
    <row r="9773">
      <c r="G9773" s="16" t="str">
        <f>IFERROR(__xludf.DUMMYFUNCTION("""COMPUTED_VALUE"""),"")</f>
        <v/>
      </c>
    </row>
    <row r="9774">
      <c r="G9774" s="16" t="str">
        <f>IFERROR(__xludf.DUMMYFUNCTION("""COMPUTED_VALUE"""),"")</f>
        <v/>
      </c>
    </row>
    <row r="9775">
      <c r="G9775" s="16" t="str">
        <f>IFERROR(__xludf.DUMMYFUNCTION("""COMPUTED_VALUE"""),"")</f>
        <v/>
      </c>
    </row>
    <row r="9776">
      <c r="G9776" s="16" t="str">
        <f>IFERROR(__xludf.DUMMYFUNCTION("""COMPUTED_VALUE"""),"")</f>
        <v/>
      </c>
    </row>
    <row r="9777">
      <c r="G9777" s="16" t="str">
        <f>IFERROR(__xludf.DUMMYFUNCTION("""COMPUTED_VALUE"""),"")</f>
        <v/>
      </c>
    </row>
    <row r="9778">
      <c r="G9778" s="16" t="str">
        <f>IFERROR(__xludf.DUMMYFUNCTION("""COMPUTED_VALUE"""),"")</f>
        <v/>
      </c>
    </row>
    <row r="9779">
      <c r="G9779" s="16" t="str">
        <f>IFERROR(__xludf.DUMMYFUNCTION("""COMPUTED_VALUE"""),"")</f>
        <v/>
      </c>
    </row>
    <row r="9780">
      <c r="G9780" s="16" t="str">
        <f>IFERROR(__xludf.DUMMYFUNCTION("""COMPUTED_VALUE"""),"")</f>
        <v/>
      </c>
    </row>
    <row r="9781">
      <c r="G9781" s="16" t="str">
        <f>IFERROR(__xludf.DUMMYFUNCTION("""COMPUTED_VALUE"""),"")</f>
        <v/>
      </c>
    </row>
    <row r="9782">
      <c r="G9782" s="16" t="str">
        <f>IFERROR(__xludf.DUMMYFUNCTION("""COMPUTED_VALUE"""),"")</f>
        <v/>
      </c>
    </row>
    <row r="9783">
      <c r="G9783" s="16" t="str">
        <f>IFERROR(__xludf.DUMMYFUNCTION("""COMPUTED_VALUE"""),"")</f>
        <v/>
      </c>
    </row>
    <row r="9784">
      <c r="G9784" s="16" t="str">
        <f>IFERROR(__xludf.DUMMYFUNCTION("""COMPUTED_VALUE"""),"")</f>
        <v/>
      </c>
    </row>
    <row r="9785">
      <c r="G9785" s="16" t="str">
        <f>IFERROR(__xludf.DUMMYFUNCTION("""COMPUTED_VALUE"""),"")</f>
        <v/>
      </c>
    </row>
    <row r="9786">
      <c r="G9786" s="16" t="str">
        <f>IFERROR(__xludf.DUMMYFUNCTION("""COMPUTED_VALUE"""),"")</f>
        <v/>
      </c>
    </row>
    <row r="9787">
      <c r="G9787" s="16" t="str">
        <f>IFERROR(__xludf.DUMMYFUNCTION("""COMPUTED_VALUE"""),"")</f>
        <v/>
      </c>
    </row>
    <row r="9788">
      <c r="G9788" s="16" t="str">
        <f>IFERROR(__xludf.DUMMYFUNCTION("""COMPUTED_VALUE"""),"")</f>
        <v/>
      </c>
    </row>
    <row r="9789">
      <c r="G9789" s="16" t="str">
        <f>IFERROR(__xludf.DUMMYFUNCTION("""COMPUTED_VALUE"""),"")</f>
        <v/>
      </c>
    </row>
    <row r="9790">
      <c r="G9790" s="16" t="str">
        <f>IFERROR(__xludf.DUMMYFUNCTION("""COMPUTED_VALUE"""),"")</f>
        <v/>
      </c>
    </row>
    <row r="9791">
      <c r="G9791" s="16" t="str">
        <f>IFERROR(__xludf.DUMMYFUNCTION("""COMPUTED_VALUE"""),"")</f>
        <v/>
      </c>
    </row>
    <row r="9792">
      <c r="G9792" s="16" t="str">
        <f>IFERROR(__xludf.DUMMYFUNCTION("""COMPUTED_VALUE"""),"")</f>
        <v/>
      </c>
    </row>
    <row r="9793">
      <c r="G9793" s="16" t="str">
        <f>IFERROR(__xludf.DUMMYFUNCTION("""COMPUTED_VALUE"""),"")</f>
        <v/>
      </c>
    </row>
    <row r="9794">
      <c r="G9794" s="16" t="str">
        <f>IFERROR(__xludf.DUMMYFUNCTION("""COMPUTED_VALUE"""),"")</f>
        <v/>
      </c>
    </row>
    <row r="9795">
      <c r="G9795" s="16" t="str">
        <f>IFERROR(__xludf.DUMMYFUNCTION("""COMPUTED_VALUE"""),"")</f>
        <v/>
      </c>
    </row>
    <row r="9796">
      <c r="G9796" s="16" t="str">
        <f>IFERROR(__xludf.DUMMYFUNCTION("""COMPUTED_VALUE"""),"")</f>
        <v/>
      </c>
    </row>
    <row r="9797">
      <c r="G9797" s="16" t="str">
        <f>IFERROR(__xludf.DUMMYFUNCTION("""COMPUTED_VALUE"""),"")</f>
        <v/>
      </c>
    </row>
    <row r="9798">
      <c r="G9798" s="16" t="str">
        <f>IFERROR(__xludf.DUMMYFUNCTION("""COMPUTED_VALUE"""),"")</f>
        <v/>
      </c>
    </row>
    <row r="9799">
      <c r="G9799" s="16" t="str">
        <f>IFERROR(__xludf.DUMMYFUNCTION("""COMPUTED_VALUE"""),"")</f>
        <v/>
      </c>
    </row>
    <row r="9800">
      <c r="G9800" s="16" t="str">
        <f>IFERROR(__xludf.DUMMYFUNCTION("""COMPUTED_VALUE"""),"")</f>
        <v/>
      </c>
    </row>
    <row r="9801">
      <c r="G9801" s="16" t="str">
        <f>IFERROR(__xludf.DUMMYFUNCTION("""COMPUTED_VALUE"""),"")</f>
        <v/>
      </c>
    </row>
    <row r="9802">
      <c r="G9802" s="16" t="str">
        <f>IFERROR(__xludf.DUMMYFUNCTION("""COMPUTED_VALUE"""),"")</f>
        <v/>
      </c>
    </row>
    <row r="9803">
      <c r="G9803" s="16" t="str">
        <f>IFERROR(__xludf.DUMMYFUNCTION("""COMPUTED_VALUE"""),"")</f>
        <v/>
      </c>
    </row>
    <row r="9804">
      <c r="G9804" s="16" t="str">
        <f>IFERROR(__xludf.DUMMYFUNCTION("""COMPUTED_VALUE"""),"")</f>
        <v/>
      </c>
    </row>
    <row r="9805">
      <c r="G9805" s="16" t="str">
        <f>IFERROR(__xludf.DUMMYFUNCTION("""COMPUTED_VALUE"""),"")</f>
        <v/>
      </c>
    </row>
    <row r="9806">
      <c r="G9806" s="16" t="str">
        <f>IFERROR(__xludf.DUMMYFUNCTION("""COMPUTED_VALUE"""),"")</f>
        <v/>
      </c>
    </row>
    <row r="9807">
      <c r="G9807" s="16" t="str">
        <f>IFERROR(__xludf.DUMMYFUNCTION("""COMPUTED_VALUE"""),"")</f>
        <v/>
      </c>
    </row>
    <row r="9808">
      <c r="G9808" s="16" t="str">
        <f>IFERROR(__xludf.DUMMYFUNCTION("""COMPUTED_VALUE"""),"")</f>
        <v/>
      </c>
    </row>
    <row r="9809">
      <c r="G9809" s="16" t="str">
        <f>IFERROR(__xludf.DUMMYFUNCTION("""COMPUTED_VALUE"""),"")</f>
        <v/>
      </c>
    </row>
    <row r="9810">
      <c r="G9810" s="16" t="str">
        <f>IFERROR(__xludf.DUMMYFUNCTION("""COMPUTED_VALUE"""),"")</f>
        <v/>
      </c>
    </row>
    <row r="9811">
      <c r="G9811" s="16" t="str">
        <f>IFERROR(__xludf.DUMMYFUNCTION("""COMPUTED_VALUE"""),"")</f>
        <v/>
      </c>
    </row>
    <row r="9812">
      <c r="G9812" s="16" t="str">
        <f>IFERROR(__xludf.DUMMYFUNCTION("""COMPUTED_VALUE"""),"")</f>
        <v/>
      </c>
    </row>
    <row r="9813">
      <c r="G9813" s="16" t="str">
        <f>IFERROR(__xludf.DUMMYFUNCTION("""COMPUTED_VALUE"""),"")</f>
        <v/>
      </c>
    </row>
    <row r="9814">
      <c r="G9814" s="16" t="str">
        <f>IFERROR(__xludf.DUMMYFUNCTION("""COMPUTED_VALUE"""),"")</f>
        <v/>
      </c>
    </row>
    <row r="9815">
      <c r="G9815" s="16" t="str">
        <f>IFERROR(__xludf.DUMMYFUNCTION("""COMPUTED_VALUE"""),"")</f>
        <v/>
      </c>
    </row>
    <row r="9816">
      <c r="G9816" s="16" t="str">
        <f>IFERROR(__xludf.DUMMYFUNCTION("""COMPUTED_VALUE"""),"")</f>
        <v/>
      </c>
    </row>
    <row r="9817">
      <c r="G9817" s="16" t="str">
        <f>IFERROR(__xludf.DUMMYFUNCTION("""COMPUTED_VALUE"""),"")</f>
        <v/>
      </c>
    </row>
    <row r="9818">
      <c r="G9818" s="16" t="str">
        <f>IFERROR(__xludf.DUMMYFUNCTION("""COMPUTED_VALUE"""),"")</f>
        <v/>
      </c>
    </row>
    <row r="9819">
      <c r="G9819" s="16" t="str">
        <f>IFERROR(__xludf.DUMMYFUNCTION("""COMPUTED_VALUE"""),"")</f>
        <v/>
      </c>
    </row>
    <row r="9820">
      <c r="G9820" s="16" t="str">
        <f>IFERROR(__xludf.DUMMYFUNCTION("""COMPUTED_VALUE"""),"")</f>
        <v/>
      </c>
    </row>
    <row r="9821">
      <c r="G9821" s="16" t="str">
        <f>IFERROR(__xludf.DUMMYFUNCTION("""COMPUTED_VALUE"""),"")</f>
        <v/>
      </c>
    </row>
    <row r="9822">
      <c r="G9822" s="16" t="str">
        <f>IFERROR(__xludf.DUMMYFUNCTION("""COMPUTED_VALUE"""),"")</f>
        <v/>
      </c>
    </row>
    <row r="9823">
      <c r="G9823" s="16" t="str">
        <f>IFERROR(__xludf.DUMMYFUNCTION("""COMPUTED_VALUE"""),"")</f>
        <v/>
      </c>
    </row>
    <row r="9824">
      <c r="G9824" s="16" t="str">
        <f>IFERROR(__xludf.DUMMYFUNCTION("""COMPUTED_VALUE"""),"")</f>
        <v/>
      </c>
    </row>
    <row r="9825">
      <c r="G9825" s="16" t="str">
        <f>IFERROR(__xludf.DUMMYFUNCTION("""COMPUTED_VALUE"""),"")</f>
        <v/>
      </c>
    </row>
    <row r="9826">
      <c r="G9826" s="16" t="str">
        <f>IFERROR(__xludf.DUMMYFUNCTION("""COMPUTED_VALUE"""),"")</f>
        <v/>
      </c>
    </row>
    <row r="9827">
      <c r="G9827" s="16" t="str">
        <f>IFERROR(__xludf.DUMMYFUNCTION("""COMPUTED_VALUE"""),"")</f>
        <v/>
      </c>
    </row>
    <row r="9828">
      <c r="G9828" s="16" t="str">
        <f>IFERROR(__xludf.DUMMYFUNCTION("""COMPUTED_VALUE"""),"")</f>
        <v/>
      </c>
    </row>
    <row r="9829">
      <c r="G9829" s="16" t="str">
        <f>IFERROR(__xludf.DUMMYFUNCTION("""COMPUTED_VALUE"""),"")</f>
        <v/>
      </c>
    </row>
    <row r="9830">
      <c r="G9830" s="16" t="str">
        <f>IFERROR(__xludf.DUMMYFUNCTION("""COMPUTED_VALUE"""),"")</f>
        <v/>
      </c>
    </row>
    <row r="9831">
      <c r="G9831" s="16" t="str">
        <f>IFERROR(__xludf.DUMMYFUNCTION("""COMPUTED_VALUE"""),"")</f>
        <v/>
      </c>
    </row>
    <row r="9832">
      <c r="G9832" s="16" t="str">
        <f>IFERROR(__xludf.DUMMYFUNCTION("""COMPUTED_VALUE"""),"")</f>
        <v/>
      </c>
    </row>
    <row r="9833">
      <c r="G9833" s="16" t="str">
        <f>IFERROR(__xludf.DUMMYFUNCTION("""COMPUTED_VALUE"""),"")</f>
        <v/>
      </c>
    </row>
    <row r="9834">
      <c r="G9834" s="16" t="str">
        <f>IFERROR(__xludf.DUMMYFUNCTION("""COMPUTED_VALUE"""),"")</f>
        <v/>
      </c>
    </row>
    <row r="9835">
      <c r="G9835" s="16" t="str">
        <f>IFERROR(__xludf.DUMMYFUNCTION("""COMPUTED_VALUE"""),"")</f>
        <v/>
      </c>
    </row>
    <row r="9836">
      <c r="G9836" s="16" t="str">
        <f>IFERROR(__xludf.DUMMYFUNCTION("""COMPUTED_VALUE"""),"")</f>
        <v/>
      </c>
    </row>
    <row r="9837">
      <c r="G9837" s="16" t="str">
        <f>IFERROR(__xludf.DUMMYFUNCTION("""COMPUTED_VALUE"""),"")</f>
        <v/>
      </c>
    </row>
    <row r="9838">
      <c r="G9838" s="16" t="str">
        <f>IFERROR(__xludf.DUMMYFUNCTION("""COMPUTED_VALUE"""),"")</f>
        <v/>
      </c>
    </row>
    <row r="9839">
      <c r="G9839" s="16" t="str">
        <f>IFERROR(__xludf.DUMMYFUNCTION("""COMPUTED_VALUE"""),"")</f>
        <v/>
      </c>
    </row>
    <row r="9840">
      <c r="G9840" s="16" t="str">
        <f>IFERROR(__xludf.DUMMYFUNCTION("""COMPUTED_VALUE"""),"")</f>
        <v/>
      </c>
    </row>
    <row r="9841">
      <c r="G9841" s="16" t="str">
        <f>IFERROR(__xludf.DUMMYFUNCTION("""COMPUTED_VALUE"""),"")</f>
        <v/>
      </c>
    </row>
    <row r="9842">
      <c r="G9842" s="16" t="str">
        <f>IFERROR(__xludf.DUMMYFUNCTION("""COMPUTED_VALUE"""),"")</f>
        <v/>
      </c>
    </row>
    <row r="9843">
      <c r="G9843" s="16" t="str">
        <f>IFERROR(__xludf.DUMMYFUNCTION("""COMPUTED_VALUE"""),"")</f>
        <v/>
      </c>
    </row>
    <row r="9844">
      <c r="G9844" s="16" t="str">
        <f>IFERROR(__xludf.DUMMYFUNCTION("""COMPUTED_VALUE"""),"")</f>
        <v/>
      </c>
    </row>
    <row r="9845">
      <c r="G9845" s="16" t="str">
        <f>IFERROR(__xludf.DUMMYFUNCTION("""COMPUTED_VALUE"""),"")</f>
        <v/>
      </c>
    </row>
    <row r="9846">
      <c r="G9846" s="16" t="str">
        <f>IFERROR(__xludf.DUMMYFUNCTION("""COMPUTED_VALUE"""),"")</f>
        <v/>
      </c>
    </row>
    <row r="9847">
      <c r="G9847" s="16" t="str">
        <f>IFERROR(__xludf.DUMMYFUNCTION("""COMPUTED_VALUE"""),"")</f>
        <v/>
      </c>
    </row>
    <row r="9848">
      <c r="G9848" s="16" t="str">
        <f>IFERROR(__xludf.DUMMYFUNCTION("""COMPUTED_VALUE"""),"")</f>
        <v/>
      </c>
    </row>
    <row r="9849">
      <c r="G9849" s="16" t="str">
        <f>IFERROR(__xludf.DUMMYFUNCTION("""COMPUTED_VALUE"""),"")</f>
        <v/>
      </c>
    </row>
    <row r="9850">
      <c r="G9850" s="16" t="str">
        <f>IFERROR(__xludf.DUMMYFUNCTION("""COMPUTED_VALUE"""),"")</f>
        <v/>
      </c>
    </row>
    <row r="9851">
      <c r="G9851" s="16" t="str">
        <f>IFERROR(__xludf.DUMMYFUNCTION("""COMPUTED_VALUE"""),"")</f>
        <v/>
      </c>
    </row>
    <row r="9852">
      <c r="G9852" s="16" t="str">
        <f>IFERROR(__xludf.DUMMYFUNCTION("""COMPUTED_VALUE"""),"")</f>
        <v/>
      </c>
    </row>
    <row r="9853">
      <c r="G9853" s="16" t="str">
        <f>IFERROR(__xludf.DUMMYFUNCTION("""COMPUTED_VALUE"""),"")</f>
        <v/>
      </c>
    </row>
    <row r="9854">
      <c r="G9854" s="16" t="str">
        <f>IFERROR(__xludf.DUMMYFUNCTION("""COMPUTED_VALUE"""),"")</f>
        <v/>
      </c>
    </row>
    <row r="9855">
      <c r="G9855" s="16" t="str">
        <f>IFERROR(__xludf.DUMMYFUNCTION("""COMPUTED_VALUE"""),"")</f>
        <v/>
      </c>
    </row>
    <row r="9856">
      <c r="G9856" s="16" t="str">
        <f>IFERROR(__xludf.DUMMYFUNCTION("""COMPUTED_VALUE"""),"")</f>
        <v/>
      </c>
    </row>
    <row r="9857">
      <c r="G9857" s="16" t="str">
        <f>IFERROR(__xludf.DUMMYFUNCTION("""COMPUTED_VALUE"""),"")</f>
        <v/>
      </c>
    </row>
    <row r="9858">
      <c r="G9858" s="16" t="str">
        <f>IFERROR(__xludf.DUMMYFUNCTION("""COMPUTED_VALUE"""),"")</f>
        <v/>
      </c>
    </row>
    <row r="9859">
      <c r="G9859" s="16" t="str">
        <f>IFERROR(__xludf.DUMMYFUNCTION("""COMPUTED_VALUE"""),"")</f>
        <v/>
      </c>
    </row>
    <row r="9860">
      <c r="G9860" s="16" t="str">
        <f>IFERROR(__xludf.DUMMYFUNCTION("""COMPUTED_VALUE"""),"")</f>
        <v/>
      </c>
    </row>
    <row r="9861">
      <c r="G9861" s="16" t="str">
        <f>IFERROR(__xludf.DUMMYFUNCTION("""COMPUTED_VALUE"""),"")</f>
        <v/>
      </c>
    </row>
    <row r="9862">
      <c r="G9862" s="16" t="str">
        <f>IFERROR(__xludf.DUMMYFUNCTION("""COMPUTED_VALUE"""),"")</f>
        <v/>
      </c>
    </row>
    <row r="9863">
      <c r="G9863" s="16" t="str">
        <f>IFERROR(__xludf.DUMMYFUNCTION("""COMPUTED_VALUE"""),"")</f>
        <v/>
      </c>
    </row>
    <row r="9864">
      <c r="G9864" s="16" t="str">
        <f>IFERROR(__xludf.DUMMYFUNCTION("""COMPUTED_VALUE"""),"")</f>
        <v/>
      </c>
    </row>
    <row r="9865">
      <c r="G9865" s="16" t="str">
        <f>IFERROR(__xludf.DUMMYFUNCTION("""COMPUTED_VALUE"""),"")</f>
        <v/>
      </c>
    </row>
    <row r="9866">
      <c r="G9866" s="16" t="str">
        <f>IFERROR(__xludf.DUMMYFUNCTION("""COMPUTED_VALUE"""),"")</f>
        <v/>
      </c>
    </row>
    <row r="9867">
      <c r="G9867" s="16" t="str">
        <f>IFERROR(__xludf.DUMMYFUNCTION("""COMPUTED_VALUE"""),"")</f>
        <v/>
      </c>
    </row>
    <row r="9868">
      <c r="G9868" s="16" t="str">
        <f>IFERROR(__xludf.DUMMYFUNCTION("""COMPUTED_VALUE"""),"")</f>
        <v/>
      </c>
    </row>
    <row r="9869">
      <c r="G9869" s="16" t="str">
        <f>IFERROR(__xludf.DUMMYFUNCTION("""COMPUTED_VALUE"""),"")</f>
        <v/>
      </c>
    </row>
    <row r="9870">
      <c r="G9870" s="16" t="str">
        <f>IFERROR(__xludf.DUMMYFUNCTION("""COMPUTED_VALUE"""),"")</f>
        <v/>
      </c>
    </row>
    <row r="9871">
      <c r="G9871" s="16" t="str">
        <f>IFERROR(__xludf.DUMMYFUNCTION("""COMPUTED_VALUE"""),"")</f>
        <v/>
      </c>
    </row>
    <row r="9872">
      <c r="G9872" s="16" t="str">
        <f>IFERROR(__xludf.DUMMYFUNCTION("""COMPUTED_VALUE"""),"")</f>
        <v/>
      </c>
    </row>
    <row r="9873">
      <c r="G9873" s="16" t="str">
        <f>IFERROR(__xludf.DUMMYFUNCTION("""COMPUTED_VALUE"""),"")</f>
        <v/>
      </c>
    </row>
    <row r="9874">
      <c r="G9874" s="16" t="str">
        <f>IFERROR(__xludf.DUMMYFUNCTION("""COMPUTED_VALUE"""),"")</f>
        <v/>
      </c>
    </row>
    <row r="9875">
      <c r="G9875" s="16" t="str">
        <f>IFERROR(__xludf.DUMMYFUNCTION("""COMPUTED_VALUE"""),"")</f>
        <v/>
      </c>
    </row>
    <row r="9876">
      <c r="G9876" s="16" t="str">
        <f>IFERROR(__xludf.DUMMYFUNCTION("""COMPUTED_VALUE"""),"")</f>
        <v/>
      </c>
    </row>
    <row r="9877">
      <c r="G9877" s="16" t="str">
        <f>IFERROR(__xludf.DUMMYFUNCTION("""COMPUTED_VALUE"""),"")</f>
        <v/>
      </c>
    </row>
    <row r="9878">
      <c r="G9878" s="16" t="str">
        <f>IFERROR(__xludf.DUMMYFUNCTION("""COMPUTED_VALUE"""),"")</f>
        <v/>
      </c>
    </row>
    <row r="9879">
      <c r="G9879" s="16" t="str">
        <f>IFERROR(__xludf.DUMMYFUNCTION("""COMPUTED_VALUE"""),"")</f>
        <v/>
      </c>
    </row>
    <row r="9880">
      <c r="G9880" s="16" t="str">
        <f>IFERROR(__xludf.DUMMYFUNCTION("""COMPUTED_VALUE"""),"")</f>
        <v/>
      </c>
    </row>
    <row r="9881">
      <c r="G9881" s="16" t="str">
        <f>IFERROR(__xludf.DUMMYFUNCTION("""COMPUTED_VALUE"""),"")</f>
        <v/>
      </c>
    </row>
    <row r="9882">
      <c r="G9882" s="16" t="str">
        <f>IFERROR(__xludf.DUMMYFUNCTION("""COMPUTED_VALUE"""),"")</f>
        <v/>
      </c>
    </row>
    <row r="9883">
      <c r="G9883" s="16" t="str">
        <f>IFERROR(__xludf.DUMMYFUNCTION("""COMPUTED_VALUE"""),"")</f>
        <v/>
      </c>
    </row>
    <row r="9884">
      <c r="G9884" s="16" t="str">
        <f>IFERROR(__xludf.DUMMYFUNCTION("""COMPUTED_VALUE"""),"")</f>
        <v/>
      </c>
    </row>
    <row r="9885">
      <c r="G9885" s="16" t="str">
        <f>IFERROR(__xludf.DUMMYFUNCTION("""COMPUTED_VALUE"""),"")</f>
        <v/>
      </c>
    </row>
    <row r="9886">
      <c r="G9886" s="16" t="str">
        <f>IFERROR(__xludf.DUMMYFUNCTION("""COMPUTED_VALUE"""),"")</f>
        <v/>
      </c>
    </row>
    <row r="9887">
      <c r="G9887" s="16" t="str">
        <f>IFERROR(__xludf.DUMMYFUNCTION("""COMPUTED_VALUE"""),"")</f>
        <v/>
      </c>
    </row>
    <row r="9888">
      <c r="G9888" s="16" t="str">
        <f>IFERROR(__xludf.DUMMYFUNCTION("""COMPUTED_VALUE"""),"")</f>
        <v/>
      </c>
    </row>
    <row r="9889">
      <c r="G9889" s="16" t="str">
        <f>IFERROR(__xludf.DUMMYFUNCTION("""COMPUTED_VALUE"""),"")</f>
        <v/>
      </c>
    </row>
    <row r="9890">
      <c r="G9890" s="16" t="str">
        <f>IFERROR(__xludf.DUMMYFUNCTION("""COMPUTED_VALUE"""),"")</f>
        <v/>
      </c>
    </row>
    <row r="9891">
      <c r="G9891" s="16" t="str">
        <f>IFERROR(__xludf.DUMMYFUNCTION("""COMPUTED_VALUE"""),"")</f>
        <v/>
      </c>
    </row>
    <row r="9892">
      <c r="G9892" s="16" t="str">
        <f>IFERROR(__xludf.DUMMYFUNCTION("""COMPUTED_VALUE"""),"")</f>
        <v/>
      </c>
    </row>
    <row r="9893">
      <c r="G9893" s="16" t="str">
        <f>IFERROR(__xludf.DUMMYFUNCTION("""COMPUTED_VALUE"""),"")</f>
        <v/>
      </c>
    </row>
    <row r="9894">
      <c r="G9894" s="16" t="str">
        <f>IFERROR(__xludf.DUMMYFUNCTION("""COMPUTED_VALUE"""),"")</f>
        <v/>
      </c>
    </row>
    <row r="9895">
      <c r="G9895" s="16" t="str">
        <f>IFERROR(__xludf.DUMMYFUNCTION("""COMPUTED_VALUE"""),"")</f>
        <v/>
      </c>
    </row>
    <row r="9896">
      <c r="G9896" s="16" t="str">
        <f>IFERROR(__xludf.DUMMYFUNCTION("""COMPUTED_VALUE"""),"")</f>
        <v/>
      </c>
    </row>
    <row r="9897">
      <c r="G9897" s="16" t="str">
        <f>IFERROR(__xludf.DUMMYFUNCTION("""COMPUTED_VALUE"""),"")</f>
        <v/>
      </c>
    </row>
    <row r="9898">
      <c r="G9898" s="16" t="str">
        <f>IFERROR(__xludf.DUMMYFUNCTION("""COMPUTED_VALUE"""),"")</f>
        <v/>
      </c>
    </row>
    <row r="9899">
      <c r="G9899" s="16" t="str">
        <f>IFERROR(__xludf.DUMMYFUNCTION("""COMPUTED_VALUE"""),"")</f>
        <v/>
      </c>
    </row>
    <row r="9900">
      <c r="G9900" s="16" t="str">
        <f>IFERROR(__xludf.DUMMYFUNCTION("""COMPUTED_VALUE"""),"")</f>
        <v/>
      </c>
    </row>
    <row r="9901">
      <c r="G9901" s="16" t="str">
        <f>IFERROR(__xludf.DUMMYFUNCTION("""COMPUTED_VALUE"""),"")</f>
        <v/>
      </c>
    </row>
    <row r="9902">
      <c r="G9902" s="16" t="str">
        <f>IFERROR(__xludf.DUMMYFUNCTION("""COMPUTED_VALUE"""),"")</f>
        <v/>
      </c>
    </row>
    <row r="9903">
      <c r="G9903" s="16" t="str">
        <f>IFERROR(__xludf.DUMMYFUNCTION("""COMPUTED_VALUE"""),"")</f>
        <v/>
      </c>
    </row>
    <row r="9904">
      <c r="G9904" s="16" t="str">
        <f>IFERROR(__xludf.DUMMYFUNCTION("""COMPUTED_VALUE"""),"")</f>
        <v/>
      </c>
    </row>
    <row r="9905">
      <c r="G9905" s="16" t="str">
        <f>IFERROR(__xludf.DUMMYFUNCTION("""COMPUTED_VALUE"""),"")</f>
        <v/>
      </c>
    </row>
    <row r="9906">
      <c r="G9906" s="16" t="str">
        <f>IFERROR(__xludf.DUMMYFUNCTION("""COMPUTED_VALUE"""),"")</f>
        <v/>
      </c>
    </row>
    <row r="9907">
      <c r="G9907" s="16" t="str">
        <f>IFERROR(__xludf.DUMMYFUNCTION("""COMPUTED_VALUE"""),"")</f>
        <v/>
      </c>
    </row>
    <row r="9908">
      <c r="G9908" s="16" t="str">
        <f>IFERROR(__xludf.DUMMYFUNCTION("""COMPUTED_VALUE"""),"")</f>
        <v/>
      </c>
    </row>
    <row r="9909">
      <c r="G9909" s="16" t="str">
        <f>IFERROR(__xludf.DUMMYFUNCTION("""COMPUTED_VALUE"""),"")</f>
        <v/>
      </c>
    </row>
    <row r="9910">
      <c r="G9910" s="16" t="str">
        <f>IFERROR(__xludf.DUMMYFUNCTION("""COMPUTED_VALUE"""),"")</f>
        <v/>
      </c>
    </row>
    <row r="9911">
      <c r="G9911" s="16" t="str">
        <f>IFERROR(__xludf.DUMMYFUNCTION("""COMPUTED_VALUE"""),"")</f>
        <v/>
      </c>
    </row>
    <row r="9912">
      <c r="G9912" s="16" t="str">
        <f>IFERROR(__xludf.DUMMYFUNCTION("""COMPUTED_VALUE"""),"")</f>
        <v/>
      </c>
    </row>
    <row r="9913">
      <c r="G9913" s="16" t="str">
        <f>IFERROR(__xludf.DUMMYFUNCTION("""COMPUTED_VALUE"""),"")</f>
        <v/>
      </c>
    </row>
    <row r="9914">
      <c r="G9914" s="16" t="str">
        <f>IFERROR(__xludf.DUMMYFUNCTION("""COMPUTED_VALUE"""),"")</f>
        <v/>
      </c>
    </row>
    <row r="9915">
      <c r="G9915" s="16" t="str">
        <f>IFERROR(__xludf.DUMMYFUNCTION("""COMPUTED_VALUE"""),"")</f>
        <v/>
      </c>
    </row>
    <row r="9916">
      <c r="G9916" s="16" t="str">
        <f>IFERROR(__xludf.DUMMYFUNCTION("""COMPUTED_VALUE"""),"")</f>
        <v/>
      </c>
    </row>
    <row r="9917">
      <c r="G9917" s="16" t="str">
        <f>IFERROR(__xludf.DUMMYFUNCTION("""COMPUTED_VALUE"""),"")</f>
        <v/>
      </c>
    </row>
    <row r="9918">
      <c r="G9918" s="16" t="str">
        <f>IFERROR(__xludf.DUMMYFUNCTION("""COMPUTED_VALUE"""),"")</f>
        <v/>
      </c>
    </row>
    <row r="9919">
      <c r="G9919" s="16" t="str">
        <f>IFERROR(__xludf.DUMMYFUNCTION("""COMPUTED_VALUE"""),"")</f>
        <v/>
      </c>
    </row>
    <row r="9920">
      <c r="G9920" s="16" t="str">
        <f>IFERROR(__xludf.DUMMYFUNCTION("""COMPUTED_VALUE"""),"")</f>
        <v/>
      </c>
    </row>
    <row r="9921">
      <c r="G9921" s="16" t="str">
        <f>IFERROR(__xludf.DUMMYFUNCTION("""COMPUTED_VALUE"""),"")</f>
        <v/>
      </c>
    </row>
    <row r="9922">
      <c r="G9922" s="16" t="str">
        <f>IFERROR(__xludf.DUMMYFUNCTION("""COMPUTED_VALUE"""),"")</f>
        <v/>
      </c>
    </row>
    <row r="9923">
      <c r="G9923" s="16" t="str">
        <f>IFERROR(__xludf.DUMMYFUNCTION("""COMPUTED_VALUE"""),"")</f>
        <v/>
      </c>
    </row>
    <row r="9924">
      <c r="G9924" s="16" t="str">
        <f>IFERROR(__xludf.DUMMYFUNCTION("""COMPUTED_VALUE"""),"")</f>
        <v/>
      </c>
    </row>
    <row r="9925">
      <c r="G9925" s="16" t="str">
        <f>IFERROR(__xludf.DUMMYFUNCTION("""COMPUTED_VALUE"""),"")</f>
        <v/>
      </c>
    </row>
    <row r="9926">
      <c r="G9926" s="16" t="str">
        <f>IFERROR(__xludf.DUMMYFUNCTION("""COMPUTED_VALUE"""),"")</f>
        <v/>
      </c>
    </row>
    <row r="9927">
      <c r="G9927" s="16" t="str">
        <f>IFERROR(__xludf.DUMMYFUNCTION("""COMPUTED_VALUE"""),"")</f>
        <v/>
      </c>
    </row>
    <row r="9928">
      <c r="G9928" s="16" t="str">
        <f>IFERROR(__xludf.DUMMYFUNCTION("""COMPUTED_VALUE"""),"")</f>
        <v/>
      </c>
    </row>
    <row r="9929">
      <c r="G9929" s="16" t="str">
        <f>IFERROR(__xludf.DUMMYFUNCTION("""COMPUTED_VALUE"""),"")</f>
        <v/>
      </c>
    </row>
    <row r="9930">
      <c r="G9930" s="16" t="str">
        <f>IFERROR(__xludf.DUMMYFUNCTION("""COMPUTED_VALUE"""),"")</f>
        <v/>
      </c>
    </row>
    <row r="9931">
      <c r="G9931" s="16" t="str">
        <f>IFERROR(__xludf.DUMMYFUNCTION("""COMPUTED_VALUE"""),"")</f>
        <v/>
      </c>
    </row>
    <row r="9932">
      <c r="G9932" s="16" t="str">
        <f>IFERROR(__xludf.DUMMYFUNCTION("""COMPUTED_VALUE"""),"")</f>
        <v/>
      </c>
    </row>
    <row r="9933">
      <c r="G9933" s="16" t="str">
        <f>IFERROR(__xludf.DUMMYFUNCTION("""COMPUTED_VALUE"""),"")</f>
        <v/>
      </c>
    </row>
    <row r="9934">
      <c r="G9934" s="16" t="str">
        <f>IFERROR(__xludf.DUMMYFUNCTION("""COMPUTED_VALUE"""),"")</f>
        <v/>
      </c>
    </row>
    <row r="9935">
      <c r="G9935" s="16" t="str">
        <f>IFERROR(__xludf.DUMMYFUNCTION("""COMPUTED_VALUE"""),"")</f>
        <v/>
      </c>
    </row>
    <row r="9936">
      <c r="G9936" s="16" t="str">
        <f>IFERROR(__xludf.DUMMYFUNCTION("""COMPUTED_VALUE"""),"")</f>
        <v/>
      </c>
    </row>
    <row r="9937">
      <c r="G9937" s="16" t="str">
        <f>IFERROR(__xludf.DUMMYFUNCTION("""COMPUTED_VALUE"""),"")</f>
        <v/>
      </c>
    </row>
    <row r="9938">
      <c r="G9938" s="16" t="str">
        <f>IFERROR(__xludf.DUMMYFUNCTION("""COMPUTED_VALUE"""),"")</f>
        <v/>
      </c>
    </row>
    <row r="9939">
      <c r="G9939" s="16" t="str">
        <f>IFERROR(__xludf.DUMMYFUNCTION("""COMPUTED_VALUE"""),"")</f>
        <v/>
      </c>
    </row>
    <row r="9940">
      <c r="G9940" s="16" t="str">
        <f>IFERROR(__xludf.DUMMYFUNCTION("""COMPUTED_VALUE"""),"")</f>
        <v/>
      </c>
    </row>
    <row r="9941">
      <c r="G9941" s="16" t="str">
        <f>IFERROR(__xludf.DUMMYFUNCTION("""COMPUTED_VALUE"""),"")</f>
        <v/>
      </c>
    </row>
    <row r="9942">
      <c r="G9942" s="16" t="str">
        <f>IFERROR(__xludf.DUMMYFUNCTION("""COMPUTED_VALUE"""),"")</f>
        <v/>
      </c>
    </row>
    <row r="9943">
      <c r="G9943" s="16" t="str">
        <f>IFERROR(__xludf.DUMMYFUNCTION("""COMPUTED_VALUE"""),"")</f>
        <v/>
      </c>
    </row>
    <row r="9944">
      <c r="G9944" s="16" t="str">
        <f>IFERROR(__xludf.DUMMYFUNCTION("""COMPUTED_VALUE"""),"")</f>
        <v/>
      </c>
    </row>
    <row r="9945">
      <c r="G9945" s="16" t="str">
        <f>IFERROR(__xludf.DUMMYFUNCTION("""COMPUTED_VALUE"""),"")</f>
        <v/>
      </c>
    </row>
    <row r="9946">
      <c r="G9946" s="16" t="str">
        <f>IFERROR(__xludf.DUMMYFUNCTION("""COMPUTED_VALUE"""),"")</f>
        <v/>
      </c>
    </row>
    <row r="9947">
      <c r="G9947" s="16" t="str">
        <f>IFERROR(__xludf.DUMMYFUNCTION("""COMPUTED_VALUE"""),"")</f>
        <v/>
      </c>
    </row>
    <row r="9948">
      <c r="G9948" s="16" t="str">
        <f>IFERROR(__xludf.DUMMYFUNCTION("""COMPUTED_VALUE"""),"")</f>
        <v/>
      </c>
    </row>
    <row r="9949">
      <c r="G9949" s="16" t="str">
        <f>IFERROR(__xludf.DUMMYFUNCTION("""COMPUTED_VALUE"""),"")</f>
        <v/>
      </c>
    </row>
    <row r="9950">
      <c r="G9950" s="16" t="str">
        <f>IFERROR(__xludf.DUMMYFUNCTION("""COMPUTED_VALUE"""),"")</f>
        <v/>
      </c>
    </row>
    <row r="9951">
      <c r="G9951" s="16" t="str">
        <f>IFERROR(__xludf.DUMMYFUNCTION("""COMPUTED_VALUE"""),"")</f>
        <v/>
      </c>
    </row>
    <row r="9952">
      <c r="G9952" s="16" t="str">
        <f>IFERROR(__xludf.DUMMYFUNCTION("""COMPUTED_VALUE"""),"")</f>
        <v/>
      </c>
    </row>
    <row r="9953">
      <c r="G9953" s="16" t="str">
        <f>IFERROR(__xludf.DUMMYFUNCTION("""COMPUTED_VALUE"""),"")</f>
        <v/>
      </c>
    </row>
    <row r="9954">
      <c r="G9954" s="16" t="str">
        <f>IFERROR(__xludf.DUMMYFUNCTION("""COMPUTED_VALUE"""),"")</f>
        <v/>
      </c>
    </row>
    <row r="9955">
      <c r="G9955" s="16" t="str">
        <f>IFERROR(__xludf.DUMMYFUNCTION("""COMPUTED_VALUE"""),"")</f>
        <v/>
      </c>
    </row>
    <row r="9956">
      <c r="G9956" s="16" t="str">
        <f>IFERROR(__xludf.DUMMYFUNCTION("""COMPUTED_VALUE"""),"")</f>
        <v/>
      </c>
    </row>
    <row r="9957">
      <c r="G9957" s="16" t="str">
        <f>IFERROR(__xludf.DUMMYFUNCTION("""COMPUTED_VALUE"""),"")</f>
        <v/>
      </c>
    </row>
    <row r="9958">
      <c r="G9958" s="16" t="str">
        <f>IFERROR(__xludf.DUMMYFUNCTION("""COMPUTED_VALUE"""),"")</f>
        <v/>
      </c>
    </row>
    <row r="9959">
      <c r="G9959" s="16" t="str">
        <f>IFERROR(__xludf.DUMMYFUNCTION("""COMPUTED_VALUE"""),"")</f>
        <v/>
      </c>
    </row>
    <row r="9960">
      <c r="G9960" s="16" t="str">
        <f>IFERROR(__xludf.DUMMYFUNCTION("""COMPUTED_VALUE"""),"")</f>
        <v/>
      </c>
    </row>
    <row r="9961">
      <c r="G9961" s="16" t="str">
        <f>IFERROR(__xludf.DUMMYFUNCTION("""COMPUTED_VALUE"""),"")</f>
        <v/>
      </c>
    </row>
    <row r="9962">
      <c r="G9962" s="16" t="str">
        <f>IFERROR(__xludf.DUMMYFUNCTION("""COMPUTED_VALUE"""),"")</f>
        <v/>
      </c>
    </row>
    <row r="9963">
      <c r="G9963" s="16" t="str">
        <f>IFERROR(__xludf.DUMMYFUNCTION("""COMPUTED_VALUE"""),"")</f>
        <v/>
      </c>
    </row>
    <row r="9964">
      <c r="G9964" s="16" t="str">
        <f>IFERROR(__xludf.DUMMYFUNCTION("""COMPUTED_VALUE"""),"")</f>
        <v/>
      </c>
    </row>
    <row r="9965">
      <c r="G9965" s="16" t="str">
        <f>IFERROR(__xludf.DUMMYFUNCTION("""COMPUTED_VALUE"""),"")</f>
        <v/>
      </c>
    </row>
    <row r="9966">
      <c r="G9966" s="16" t="str">
        <f>IFERROR(__xludf.DUMMYFUNCTION("""COMPUTED_VALUE"""),"")</f>
        <v/>
      </c>
    </row>
    <row r="9967">
      <c r="G9967" s="16" t="str">
        <f>IFERROR(__xludf.DUMMYFUNCTION("""COMPUTED_VALUE"""),"")</f>
        <v/>
      </c>
    </row>
    <row r="9968">
      <c r="G9968" s="16" t="str">
        <f>IFERROR(__xludf.DUMMYFUNCTION("""COMPUTED_VALUE"""),"")</f>
        <v/>
      </c>
    </row>
    <row r="9969">
      <c r="G9969" s="16" t="str">
        <f>IFERROR(__xludf.DUMMYFUNCTION("""COMPUTED_VALUE"""),"")</f>
        <v/>
      </c>
    </row>
    <row r="9970">
      <c r="G9970" s="16" t="str">
        <f>IFERROR(__xludf.DUMMYFUNCTION("""COMPUTED_VALUE"""),"")</f>
        <v/>
      </c>
    </row>
    <row r="9971">
      <c r="G9971" s="16" t="str">
        <f>IFERROR(__xludf.DUMMYFUNCTION("""COMPUTED_VALUE"""),"")</f>
        <v/>
      </c>
    </row>
    <row r="9972">
      <c r="G9972" s="16" t="str">
        <f>IFERROR(__xludf.DUMMYFUNCTION("""COMPUTED_VALUE"""),"")</f>
        <v/>
      </c>
    </row>
    <row r="9973">
      <c r="G9973" s="16" t="str">
        <f>IFERROR(__xludf.DUMMYFUNCTION("""COMPUTED_VALUE"""),"")</f>
        <v/>
      </c>
    </row>
    <row r="9974">
      <c r="G9974" s="16" t="str">
        <f>IFERROR(__xludf.DUMMYFUNCTION("""COMPUTED_VALUE"""),"")</f>
        <v/>
      </c>
    </row>
    <row r="9975">
      <c r="G9975" s="16" t="str">
        <f>IFERROR(__xludf.DUMMYFUNCTION("""COMPUTED_VALUE"""),"")</f>
        <v/>
      </c>
    </row>
    <row r="9976">
      <c r="G9976" s="16" t="str">
        <f>IFERROR(__xludf.DUMMYFUNCTION("""COMPUTED_VALUE"""),"")</f>
        <v/>
      </c>
    </row>
    <row r="9977">
      <c r="G9977" s="16" t="str">
        <f>IFERROR(__xludf.DUMMYFUNCTION("""COMPUTED_VALUE"""),"")</f>
        <v/>
      </c>
    </row>
    <row r="9978">
      <c r="G9978" s="16" t="str">
        <f>IFERROR(__xludf.DUMMYFUNCTION("""COMPUTED_VALUE"""),"")</f>
        <v/>
      </c>
    </row>
    <row r="9979">
      <c r="G9979" s="16" t="str">
        <f>IFERROR(__xludf.DUMMYFUNCTION("""COMPUTED_VALUE"""),"")</f>
        <v/>
      </c>
    </row>
    <row r="9980">
      <c r="G9980" s="16" t="str">
        <f>IFERROR(__xludf.DUMMYFUNCTION("""COMPUTED_VALUE"""),"")</f>
        <v/>
      </c>
    </row>
    <row r="9981">
      <c r="G9981" s="16" t="str">
        <f>IFERROR(__xludf.DUMMYFUNCTION("""COMPUTED_VALUE"""),"")</f>
        <v/>
      </c>
    </row>
    <row r="9982">
      <c r="G9982" s="16" t="str">
        <f>IFERROR(__xludf.DUMMYFUNCTION("""COMPUTED_VALUE"""),"")</f>
        <v/>
      </c>
    </row>
    <row r="9983">
      <c r="G9983" s="16" t="str">
        <f>IFERROR(__xludf.DUMMYFUNCTION("""COMPUTED_VALUE"""),"")</f>
        <v/>
      </c>
    </row>
    <row r="9984">
      <c r="G9984" s="16" t="str">
        <f>IFERROR(__xludf.DUMMYFUNCTION("""COMPUTED_VALUE"""),"")</f>
        <v/>
      </c>
    </row>
    <row r="9985">
      <c r="G9985" s="16" t="str">
        <f>IFERROR(__xludf.DUMMYFUNCTION("""COMPUTED_VALUE"""),"")</f>
        <v/>
      </c>
    </row>
    <row r="9986">
      <c r="G9986" s="16" t="str">
        <f>IFERROR(__xludf.DUMMYFUNCTION("""COMPUTED_VALUE"""),"")</f>
        <v/>
      </c>
    </row>
    <row r="9987">
      <c r="G9987" s="16" t="str">
        <f>IFERROR(__xludf.DUMMYFUNCTION("""COMPUTED_VALUE"""),"")</f>
        <v/>
      </c>
    </row>
    <row r="9988">
      <c r="G9988" s="16" t="str">
        <f>IFERROR(__xludf.DUMMYFUNCTION("""COMPUTED_VALUE"""),"")</f>
        <v/>
      </c>
    </row>
    <row r="9989">
      <c r="G9989" s="16" t="str">
        <f>IFERROR(__xludf.DUMMYFUNCTION("""COMPUTED_VALUE"""),"")</f>
        <v/>
      </c>
    </row>
    <row r="9990">
      <c r="G9990" s="16" t="str">
        <f>IFERROR(__xludf.DUMMYFUNCTION("""COMPUTED_VALUE"""),"")</f>
        <v/>
      </c>
    </row>
    <row r="9991">
      <c r="G9991" s="16" t="str">
        <f>IFERROR(__xludf.DUMMYFUNCTION("""COMPUTED_VALUE"""),"")</f>
        <v/>
      </c>
    </row>
    <row r="9992">
      <c r="G9992" s="16" t="str">
        <f>IFERROR(__xludf.DUMMYFUNCTION("""COMPUTED_VALUE"""),"")</f>
        <v/>
      </c>
    </row>
    <row r="9993">
      <c r="G9993" s="16" t="str">
        <f>IFERROR(__xludf.DUMMYFUNCTION("""COMPUTED_VALUE"""),"")</f>
        <v/>
      </c>
    </row>
    <row r="9994">
      <c r="G9994" s="16" t="str">
        <f>IFERROR(__xludf.DUMMYFUNCTION("""COMPUTED_VALUE"""),"")</f>
        <v/>
      </c>
    </row>
    <row r="9995">
      <c r="G9995" s="16" t="str">
        <f>IFERROR(__xludf.DUMMYFUNCTION("""COMPUTED_VALUE"""),"")</f>
        <v/>
      </c>
    </row>
    <row r="9996">
      <c r="G9996" s="16" t="str">
        <f>IFERROR(__xludf.DUMMYFUNCTION("""COMPUTED_VALUE"""),"")</f>
        <v/>
      </c>
    </row>
    <row r="9997">
      <c r="G9997" s="16" t="str">
        <f>IFERROR(__xludf.DUMMYFUNCTION("""COMPUTED_VALUE"""),"")</f>
        <v/>
      </c>
    </row>
    <row r="9998">
      <c r="G9998" s="16" t="str">
        <f>IFERROR(__xludf.DUMMYFUNCTION("""COMPUTED_VALUE"""),"")</f>
        <v/>
      </c>
    </row>
    <row r="9999">
      <c r="G9999" s="16" t="str">
        <f>IFERROR(__xludf.DUMMYFUNCTION("""COMPUTED_VALUE"""),"")</f>
        <v/>
      </c>
    </row>
    <row r="10000">
      <c r="G10000" s="16" t="str">
        <f>IFERROR(__xludf.DUMMYFUNCTION("""COMPUTED_VALUE"""),"")</f>
        <v/>
      </c>
    </row>
    <row r="10001">
      <c r="G10001" s="16" t="str">
        <f>IFERROR(__xludf.DUMMYFUNCTION("""COMPUTED_VALUE"""),"")</f>
        <v/>
      </c>
    </row>
    <row r="10002">
      <c r="G10002" s="16" t="str">
        <f>IFERROR(__xludf.DUMMYFUNCTION("""COMPUTED_VALUE"""),"")</f>
        <v/>
      </c>
    </row>
    <row r="10003">
      <c r="G10003" s="16" t="str">
        <f>IFERROR(__xludf.DUMMYFUNCTION("""COMPUTED_VALUE"""),"")</f>
        <v/>
      </c>
    </row>
    <row r="10004">
      <c r="G10004" s="16" t="str">
        <f>IFERROR(__xludf.DUMMYFUNCTION("""COMPUTED_VALUE"""),"")</f>
        <v/>
      </c>
    </row>
    <row r="10005">
      <c r="G10005" s="16" t="str">
        <f>IFERROR(__xludf.DUMMYFUNCTION("""COMPUTED_VALUE"""),"")</f>
        <v/>
      </c>
    </row>
    <row r="10006">
      <c r="G10006" s="16" t="str">
        <f>IFERROR(__xludf.DUMMYFUNCTION("""COMPUTED_VALUE"""),"")</f>
        <v/>
      </c>
    </row>
    <row r="10007">
      <c r="G10007" s="16" t="str">
        <f>IFERROR(__xludf.DUMMYFUNCTION("""COMPUTED_VALUE"""),"")</f>
        <v/>
      </c>
    </row>
    <row r="10008">
      <c r="G10008" s="16" t="str">
        <f>IFERROR(__xludf.DUMMYFUNCTION("""COMPUTED_VALUE"""),"")</f>
        <v/>
      </c>
    </row>
    <row r="10009">
      <c r="G10009" s="16" t="str">
        <f>IFERROR(__xludf.DUMMYFUNCTION("""COMPUTED_VALUE"""),"")</f>
        <v/>
      </c>
    </row>
    <row r="10010">
      <c r="G10010" s="16" t="str">
        <f>IFERROR(__xludf.DUMMYFUNCTION("""COMPUTED_VALUE"""),"")</f>
        <v/>
      </c>
    </row>
    <row r="10011">
      <c r="G10011" s="16" t="str">
        <f>IFERROR(__xludf.DUMMYFUNCTION("""COMPUTED_VALUE"""),"")</f>
        <v/>
      </c>
    </row>
    <row r="10012">
      <c r="G10012" s="16" t="str">
        <f>IFERROR(__xludf.DUMMYFUNCTION("""COMPUTED_VALUE"""),"")</f>
        <v/>
      </c>
    </row>
    <row r="10013">
      <c r="G10013" s="16" t="str">
        <f>IFERROR(__xludf.DUMMYFUNCTION("""COMPUTED_VALUE"""),"")</f>
        <v/>
      </c>
    </row>
    <row r="10014">
      <c r="G10014" s="16" t="str">
        <f>IFERROR(__xludf.DUMMYFUNCTION("""COMPUTED_VALUE"""),"")</f>
        <v/>
      </c>
    </row>
    <row r="10015">
      <c r="G10015" s="16" t="str">
        <f>IFERROR(__xludf.DUMMYFUNCTION("""COMPUTED_VALUE"""),"")</f>
        <v/>
      </c>
    </row>
    <row r="10016">
      <c r="G10016" s="16" t="str">
        <f>IFERROR(__xludf.DUMMYFUNCTION("""COMPUTED_VALUE"""),"")</f>
        <v/>
      </c>
    </row>
    <row r="10017">
      <c r="G10017" s="16" t="str">
        <f>IFERROR(__xludf.DUMMYFUNCTION("""COMPUTED_VALUE"""),"")</f>
        <v/>
      </c>
    </row>
    <row r="10018">
      <c r="G10018" s="16" t="str">
        <f>IFERROR(__xludf.DUMMYFUNCTION("""COMPUTED_VALUE"""),"")</f>
        <v/>
      </c>
    </row>
    <row r="10019">
      <c r="G10019" s="16" t="str">
        <f>IFERROR(__xludf.DUMMYFUNCTION("""COMPUTED_VALUE"""),"")</f>
        <v/>
      </c>
    </row>
    <row r="10020">
      <c r="G10020" s="16" t="str">
        <f>IFERROR(__xludf.DUMMYFUNCTION("""COMPUTED_VALUE"""),"")</f>
        <v/>
      </c>
    </row>
    <row r="10021">
      <c r="G10021" s="16" t="str">
        <f>IFERROR(__xludf.DUMMYFUNCTION("""COMPUTED_VALUE"""),"")</f>
        <v/>
      </c>
    </row>
    <row r="10022">
      <c r="G10022" s="16" t="str">
        <f>IFERROR(__xludf.DUMMYFUNCTION("""COMPUTED_VALUE"""),"")</f>
        <v/>
      </c>
    </row>
    <row r="10023">
      <c r="G10023" s="16" t="str">
        <f>IFERROR(__xludf.DUMMYFUNCTION("""COMPUTED_VALUE"""),"")</f>
        <v/>
      </c>
    </row>
    <row r="10024">
      <c r="G10024" s="16" t="str">
        <f>IFERROR(__xludf.DUMMYFUNCTION("""COMPUTED_VALUE"""),"")</f>
        <v/>
      </c>
    </row>
    <row r="10025">
      <c r="G10025" s="16" t="str">
        <f>IFERROR(__xludf.DUMMYFUNCTION("""COMPUTED_VALUE"""),"")</f>
        <v/>
      </c>
    </row>
    <row r="10026">
      <c r="G10026" s="16" t="str">
        <f>IFERROR(__xludf.DUMMYFUNCTION("""COMPUTED_VALUE"""),"")</f>
        <v/>
      </c>
    </row>
    <row r="10027">
      <c r="G10027" s="16" t="str">
        <f>IFERROR(__xludf.DUMMYFUNCTION("""COMPUTED_VALUE"""),"")</f>
        <v/>
      </c>
    </row>
    <row r="10028">
      <c r="G10028" s="16" t="str">
        <f>IFERROR(__xludf.DUMMYFUNCTION("""COMPUTED_VALUE"""),"")</f>
        <v/>
      </c>
    </row>
    <row r="10029">
      <c r="G10029" s="16" t="str">
        <f>IFERROR(__xludf.DUMMYFUNCTION("""COMPUTED_VALUE"""),"")</f>
        <v/>
      </c>
    </row>
    <row r="10030">
      <c r="G10030" s="16" t="str">
        <f>IFERROR(__xludf.DUMMYFUNCTION("""COMPUTED_VALUE"""),"")</f>
        <v/>
      </c>
    </row>
    <row r="10031">
      <c r="G10031" s="16" t="str">
        <f>IFERROR(__xludf.DUMMYFUNCTION("""COMPUTED_VALUE"""),"")</f>
        <v/>
      </c>
    </row>
    <row r="10032">
      <c r="G10032" s="16" t="str">
        <f>IFERROR(__xludf.DUMMYFUNCTION("""COMPUTED_VALUE"""),"")</f>
        <v/>
      </c>
    </row>
    <row r="10033">
      <c r="G10033" s="16" t="str">
        <f>IFERROR(__xludf.DUMMYFUNCTION("""COMPUTED_VALUE"""),"")</f>
        <v/>
      </c>
    </row>
    <row r="10034">
      <c r="G10034" s="16" t="str">
        <f>IFERROR(__xludf.DUMMYFUNCTION("""COMPUTED_VALUE"""),"")</f>
        <v/>
      </c>
    </row>
    <row r="10035">
      <c r="G10035" s="16" t="str">
        <f>IFERROR(__xludf.DUMMYFUNCTION("""COMPUTED_VALUE"""),"")</f>
        <v/>
      </c>
    </row>
    <row r="10036">
      <c r="G10036" s="16" t="str">
        <f>IFERROR(__xludf.DUMMYFUNCTION("""COMPUTED_VALUE"""),"")</f>
        <v/>
      </c>
    </row>
    <row r="10037">
      <c r="G10037" s="16" t="str">
        <f>IFERROR(__xludf.DUMMYFUNCTION("""COMPUTED_VALUE"""),"")</f>
        <v/>
      </c>
    </row>
    <row r="10038">
      <c r="G10038" s="16" t="str">
        <f>IFERROR(__xludf.DUMMYFUNCTION("""COMPUTED_VALUE"""),"")</f>
        <v/>
      </c>
    </row>
    <row r="10039">
      <c r="G10039" s="16" t="str">
        <f>IFERROR(__xludf.DUMMYFUNCTION("""COMPUTED_VALUE"""),"")</f>
        <v/>
      </c>
    </row>
    <row r="10040">
      <c r="G10040" s="16" t="str">
        <f>IFERROR(__xludf.DUMMYFUNCTION("""COMPUTED_VALUE"""),"")</f>
        <v/>
      </c>
    </row>
    <row r="10041">
      <c r="G10041" s="16" t="str">
        <f>IFERROR(__xludf.DUMMYFUNCTION("""COMPUTED_VALUE"""),"")</f>
        <v/>
      </c>
    </row>
    <row r="10042">
      <c r="G10042" s="16" t="str">
        <f>IFERROR(__xludf.DUMMYFUNCTION("""COMPUTED_VALUE"""),"")</f>
        <v/>
      </c>
    </row>
    <row r="10043">
      <c r="G10043" s="16" t="str">
        <f>IFERROR(__xludf.DUMMYFUNCTION("""COMPUTED_VALUE"""),"")</f>
        <v/>
      </c>
    </row>
    <row r="10044">
      <c r="G10044" s="16" t="str">
        <f>IFERROR(__xludf.DUMMYFUNCTION("""COMPUTED_VALUE"""),"")</f>
        <v/>
      </c>
    </row>
    <row r="10045">
      <c r="G10045" s="16" t="str">
        <f>IFERROR(__xludf.DUMMYFUNCTION("""COMPUTED_VALUE"""),"")</f>
        <v/>
      </c>
    </row>
    <row r="10046">
      <c r="G10046" s="16" t="str">
        <f>IFERROR(__xludf.DUMMYFUNCTION("""COMPUTED_VALUE"""),"")</f>
        <v/>
      </c>
    </row>
    <row r="10047">
      <c r="G10047" s="16" t="str">
        <f>IFERROR(__xludf.DUMMYFUNCTION("""COMPUTED_VALUE"""),"")</f>
        <v/>
      </c>
    </row>
    <row r="10048">
      <c r="G10048" s="16" t="str">
        <f>IFERROR(__xludf.DUMMYFUNCTION("""COMPUTED_VALUE"""),"")</f>
        <v/>
      </c>
    </row>
    <row r="10049">
      <c r="G10049" s="16" t="str">
        <f>IFERROR(__xludf.DUMMYFUNCTION("""COMPUTED_VALUE"""),"")</f>
        <v/>
      </c>
    </row>
    <row r="10050">
      <c r="G10050" s="16" t="str">
        <f>IFERROR(__xludf.DUMMYFUNCTION("""COMPUTED_VALUE"""),"")</f>
        <v/>
      </c>
    </row>
    <row r="10051">
      <c r="G10051" s="16" t="str">
        <f>IFERROR(__xludf.DUMMYFUNCTION("""COMPUTED_VALUE"""),"")</f>
        <v/>
      </c>
    </row>
    <row r="10052">
      <c r="G10052" s="16" t="str">
        <f>IFERROR(__xludf.DUMMYFUNCTION("""COMPUTED_VALUE"""),"")</f>
        <v/>
      </c>
    </row>
    <row r="10053">
      <c r="G10053" s="16" t="str">
        <f>IFERROR(__xludf.DUMMYFUNCTION("""COMPUTED_VALUE"""),"")</f>
        <v/>
      </c>
    </row>
    <row r="10054">
      <c r="G10054" s="16" t="str">
        <f>IFERROR(__xludf.DUMMYFUNCTION("""COMPUTED_VALUE"""),"")</f>
        <v/>
      </c>
    </row>
    <row r="10055">
      <c r="G10055" s="16" t="str">
        <f>IFERROR(__xludf.DUMMYFUNCTION("""COMPUTED_VALUE"""),"")</f>
        <v/>
      </c>
    </row>
    <row r="10056">
      <c r="G10056" s="16" t="str">
        <f>IFERROR(__xludf.DUMMYFUNCTION("""COMPUTED_VALUE"""),"")</f>
        <v/>
      </c>
    </row>
    <row r="10057">
      <c r="G10057" s="16" t="str">
        <f>IFERROR(__xludf.DUMMYFUNCTION("""COMPUTED_VALUE"""),"")</f>
        <v/>
      </c>
    </row>
    <row r="10058">
      <c r="G10058" s="16" t="str">
        <f>IFERROR(__xludf.DUMMYFUNCTION("""COMPUTED_VALUE"""),"")</f>
        <v/>
      </c>
    </row>
    <row r="10059">
      <c r="G10059" s="16" t="str">
        <f>IFERROR(__xludf.DUMMYFUNCTION("""COMPUTED_VALUE"""),"")</f>
        <v/>
      </c>
    </row>
    <row r="10060">
      <c r="G10060" s="16" t="str">
        <f>IFERROR(__xludf.DUMMYFUNCTION("""COMPUTED_VALUE"""),"")</f>
        <v/>
      </c>
    </row>
    <row r="10061">
      <c r="G10061" s="16" t="str">
        <f>IFERROR(__xludf.DUMMYFUNCTION("""COMPUTED_VALUE"""),"")</f>
        <v/>
      </c>
    </row>
    <row r="10062">
      <c r="G10062" s="16" t="str">
        <f>IFERROR(__xludf.DUMMYFUNCTION("""COMPUTED_VALUE"""),"")</f>
        <v/>
      </c>
    </row>
    <row r="10063">
      <c r="G10063" s="16" t="str">
        <f>IFERROR(__xludf.DUMMYFUNCTION("""COMPUTED_VALUE"""),"")</f>
        <v/>
      </c>
    </row>
    <row r="10064">
      <c r="G10064" s="16" t="str">
        <f>IFERROR(__xludf.DUMMYFUNCTION("""COMPUTED_VALUE"""),"")</f>
        <v/>
      </c>
    </row>
    <row r="10065">
      <c r="G10065" s="16" t="str">
        <f>IFERROR(__xludf.DUMMYFUNCTION("""COMPUTED_VALUE"""),"")</f>
        <v/>
      </c>
    </row>
    <row r="10066">
      <c r="G10066" s="16" t="str">
        <f>IFERROR(__xludf.DUMMYFUNCTION("""COMPUTED_VALUE"""),"")</f>
        <v/>
      </c>
    </row>
    <row r="10067">
      <c r="G10067" s="16" t="str">
        <f>IFERROR(__xludf.DUMMYFUNCTION("""COMPUTED_VALUE"""),"")</f>
        <v/>
      </c>
    </row>
    <row r="10068">
      <c r="G10068" s="16" t="str">
        <f>IFERROR(__xludf.DUMMYFUNCTION("""COMPUTED_VALUE"""),"")</f>
        <v/>
      </c>
    </row>
    <row r="10069">
      <c r="G10069" s="16" t="str">
        <f>IFERROR(__xludf.DUMMYFUNCTION("""COMPUTED_VALUE"""),"")</f>
        <v/>
      </c>
    </row>
    <row r="10070">
      <c r="G10070" s="16" t="str">
        <f>IFERROR(__xludf.DUMMYFUNCTION("""COMPUTED_VALUE"""),"")</f>
        <v/>
      </c>
    </row>
    <row r="10071">
      <c r="G10071" s="16" t="str">
        <f>IFERROR(__xludf.DUMMYFUNCTION("""COMPUTED_VALUE"""),"")</f>
        <v/>
      </c>
    </row>
    <row r="10072">
      <c r="G10072" s="16" t="str">
        <f>IFERROR(__xludf.DUMMYFUNCTION("""COMPUTED_VALUE"""),"")</f>
        <v/>
      </c>
    </row>
    <row r="10073">
      <c r="G10073" s="16" t="str">
        <f>IFERROR(__xludf.DUMMYFUNCTION("""COMPUTED_VALUE"""),"")</f>
        <v/>
      </c>
    </row>
    <row r="10074">
      <c r="G10074" s="16" t="str">
        <f>IFERROR(__xludf.DUMMYFUNCTION("""COMPUTED_VALUE"""),"")</f>
        <v/>
      </c>
    </row>
    <row r="10075">
      <c r="G10075" s="16" t="str">
        <f>IFERROR(__xludf.DUMMYFUNCTION("""COMPUTED_VALUE"""),"")</f>
        <v/>
      </c>
    </row>
    <row r="10076">
      <c r="G10076" s="16" t="str">
        <f>IFERROR(__xludf.DUMMYFUNCTION("""COMPUTED_VALUE"""),"")</f>
        <v/>
      </c>
    </row>
    <row r="10077">
      <c r="G10077" s="16" t="str">
        <f>IFERROR(__xludf.DUMMYFUNCTION("""COMPUTED_VALUE"""),"")</f>
        <v/>
      </c>
    </row>
    <row r="10078">
      <c r="G10078" s="16" t="str">
        <f>IFERROR(__xludf.DUMMYFUNCTION("""COMPUTED_VALUE"""),"")</f>
        <v/>
      </c>
    </row>
    <row r="10079">
      <c r="G10079" s="16" t="str">
        <f>IFERROR(__xludf.DUMMYFUNCTION("""COMPUTED_VALUE"""),"")</f>
        <v/>
      </c>
    </row>
    <row r="10080">
      <c r="G10080" s="16" t="str">
        <f>IFERROR(__xludf.DUMMYFUNCTION("""COMPUTED_VALUE"""),"")</f>
        <v/>
      </c>
    </row>
    <row r="10081">
      <c r="G10081" s="16" t="str">
        <f>IFERROR(__xludf.DUMMYFUNCTION("""COMPUTED_VALUE"""),"")</f>
        <v/>
      </c>
    </row>
    <row r="10082">
      <c r="G10082" s="16" t="str">
        <f>IFERROR(__xludf.DUMMYFUNCTION("""COMPUTED_VALUE"""),"")</f>
        <v/>
      </c>
    </row>
    <row r="10083">
      <c r="G10083" s="16" t="str">
        <f>IFERROR(__xludf.DUMMYFUNCTION("""COMPUTED_VALUE"""),"")</f>
        <v/>
      </c>
    </row>
    <row r="10084">
      <c r="G10084" s="16" t="str">
        <f>IFERROR(__xludf.DUMMYFUNCTION("""COMPUTED_VALUE"""),"")</f>
        <v/>
      </c>
    </row>
    <row r="10085">
      <c r="G10085" s="16" t="str">
        <f>IFERROR(__xludf.DUMMYFUNCTION("""COMPUTED_VALUE"""),"")</f>
        <v/>
      </c>
    </row>
    <row r="10086">
      <c r="G10086" s="16" t="str">
        <f>IFERROR(__xludf.DUMMYFUNCTION("""COMPUTED_VALUE"""),"")</f>
        <v/>
      </c>
    </row>
    <row r="10087">
      <c r="G10087" s="16" t="str">
        <f>IFERROR(__xludf.DUMMYFUNCTION("""COMPUTED_VALUE"""),"")</f>
        <v/>
      </c>
    </row>
    <row r="10088">
      <c r="G10088" s="16" t="str">
        <f>IFERROR(__xludf.DUMMYFUNCTION("""COMPUTED_VALUE"""),"")</f>
        <v/>
      </c>
    </row>
    <row r="10089">
      <c r="G10089" s="16" t="str">
        <f>IFERROR(__xludf.DUMMYFUNCTION("""COMPUTED_VALUE"""),"")</f>
        <v/>
      </c>
    </row>
    <row r="10090">
      <c r="G10090" s="16" t="str">
        <f>IFERROR(__xludf.DUMMYFUNCTION("""COMPUTED_VALUE"""),"")</f>
        <v/>
      </c>
    </row>
    <row r="10091">
      <c r="G10091" s="16" t="str">
        <f>IFERROR(__xludf.DUMMYFUNCTION("""COMPUTED_VALUE"""),"")</f>
        <v/>
      </c>
    </row>
    <row r="10092">
      <c r="G10092" s="16" t="str">
        <f>IFERROR(__xludf.DUMMYFUNCTION("""COMPUTED_VALUE"""),"")</f>
        <v/>
      </c>
    </row>
    <row r="10093">
      <c r="G10093" s="16" t="str">
        <f>IFERROR(__xludf.DUMMYFUNCTION("""COMPUTED_VALUE"""),"")</f>
        <v/>
      </c>
    </row>
    <row r="10094">
      <c r="G10094" s="16" t="str">
        <f>IFERROR(__xludf.DUMMYFUNCTION("""COMPUTED_VALUE"""),"")</f>
        <v/>
      </c>
    </row>
    <row r="10095">
      <c r="G10095" s="16" t="str">
        <f>IFERROR(__xludf.DUMMYFUNCTION("""COMPUTED_VALUE"""),"")</f>
        <v/>
      </c>
    </row>
    <row r="10096">
      <c r="G10096" s="16" t="str">
        <f>IFERROR(__xludf.DUMMYFUNCTION("""COMPUTED_VALUE"""),"")</f>
        <v/>
      </c>
    </row>
    <row r="10097">
      <c r="G10097" s="16" t="str">
        <f>IFERROR(__xludf.DUMMYFUNCTION("""COMPUTED_VALUE"""),"")</f>
        <v/>
      </c>
    </row>
    <row r="10098">
      <c r="G10098" s="16" t="str">
        <f>IFERROR(__xludf.DUMMYFUNCTION("""COMPUTED_VALUE"""),"")</f>
        <v/>
      </c>
    </row>
    <row r="10099">
      <c r="G10099" s="16" t="str">
        <f>IFERROR(__xludf.DUMMYFUNCTION("""COMPUTED_VALUE"""),"")</f>
        <v/>
      </c>
    </row>
    <row r="10100">
      <c r="G10100" s="16" t="str">
        <f>IFERROR(__xludf.DUMMYFUNCTION("""COMPUTED_VALUE"""),"")</f>
        <v/>
      </c>
    </row>
    <row r="10101">
      <c r="G10101" s="16" t="str">
        <f>IFERROR(__xludf.DUMMYFUNCTION("""COMPUTED_VALUE"""),"")</f>
        <v/>
      </c>
    </row>
    <row r="10102">
      <c r="G10102" s="16" t="str">
        <f>IFERROR(__xludf.DUMMYFUNCTION("""COMPUTED_VALUE"""),"")</f>
        <v/>
      </c>
    </row>
    <row r="10103">
      <c r="G10103" s="16" t="str">
        <f>IFERROR(__xludf.DUMMYFUNCTION("""COMPUTED_VALUE"""),"")</f>
        <v/>
      </c>
    </row>
    <row r="10104">
      <c r="G10104" s="16" t="str">
        <f>IFERROR(__xludf.DUMMYFUNCTION("""COMPUTED_VALUE"""),"")</f>
        <v/>
      </c>
    </row>
    <row r="10105">
      <c r="G10105" s="16" t="str">
        <f>IFERROR(__xludf.DUMMYFUNCTION("""COMPUTED_VALUE"""),"")</f>
        <v/>
      </c>
    </row>
    <row r="10106">
      <c r="G10106" s="16" t="str">
        <f>IFERROR(__xludf.DUMMYFUNCTION("""COMPUTED_VALUE"""),"")</f>
        <v/>
      </c>
    </row>
    <row r="10107">
      <c r="G10107" s="16" t="str">
        <f>IFERROR(__xludf.DUMMYFUNCTION("""COMPUTED_VALUE"""),"")</f>
        <v/>
      </c>
    </row>
    <row r="10108">
      <c r="G10108" s="16" t="str">
        <f>IFERROR(__xludf.DUMMYFUNCTION("""COMPUTED_VALUE"""),"")</f>
        <v/>
      </c>
    </row>
    <row r="10109">
      <c r="G10109" s="16" t="str">
        <f>IFERROR(__xludf.DUMMYFUNCTION("""COMPUTED_VALUE"""),"")</f>
        <v/>
      </c>
    </row>
    <row r="10110">
      <c r="G10110" s="16" t="str">
        <f>IFERROR(__xludf.DUMMYFUNCTION("""COMPUTED_VALUE"""),"")</f>
        <v/>
      </c>
    </row>
    <row r="10111">
      <c r="G10111" s="16" t="str">
        <f>IFERROR(__xludf.DUMMYFUNCTION("""COMPUTED_VALUE"""),"")</f>
        <v/>
      </c>
    </row>
    <row r="10112">
      <c r="G10112" s="16" t="str">
        <f>IFERROR(__xludf.DUMMYFUNCTION("""COMPUTED_VALUE"""),"")</f>
        <v/>
      </c>
    </row>
    <row r="10113">
      <c r="G10113" s="16" t="str">
        <f>IFERROR(__xludf.DUMMYFUNCTION("""COMPUTED_VALUE"""),"")</f>
        <v/>
      </c>
    </row>
    <row r="10114">
      <c r="G10114" s="16" t="str">
        <f>IFERROR(__xludf.DUMMYFUNCTION("""COMPUTED_VALUE"""),"")</f>
        <v/>
      </c>
    </row>
    <row r="10115">
      <c r="G10115" s="16" t="str">
        <f>IFERROR(__xludf.DUMMYFUNCTION("""COMPUTED_VALUE"""),"")</f>
        <v/>
      </c>
    </row>
    <row r="10116">
      <c r="G10116" s="16" t="str">
        <f>IFERROR(__xludf.DUMMYFUNCTION("""COMPUTED_VALUE"""),"")</f>
        <v/>
      </c>
    </row>
    <row r="10117">
      <c r="G10117" s="16" t="str">
        <f>IFERROR(__xludf.DUMMYFUNCTION("""COMPUTED_VALUE"""),"")</f>
        <v/>
      </c>
    </row>
    <row r="10118">
      <c r="G10118" s="16" t="str">
        <f>IFERROR(__xludf.DUMMYFUNCTION("""COMPUTED_VALUE"""),"")</f>
        <v/>
      </c>
    </row>
    <row r="10119">
      <c r="G10119" s="16" t="str">
        <f>IFERROR(__xludf.DUMMYFUNCTION("""COMPUTED_VALUE"""),"")</f>
        <v/>
      </c>
    </row>
    <row r="10120">
      <c r="G10120" s="16" t="str">
        <f>IFERROR(__xludf.DUMMYFUNCTION("""COMPUTED_VALUE"""),"")</f>
        <v/>
      </c>
    </row>
    <row r="10121">
      <c r="G10121" s="16" t="str">
        <f>IFERROR(__xludf.DUMMYFUNCTION("""COMPUTED_VALUE"""),"")</f>
        <v/>
      </c>
    </row>
    <row r="10122">
      <c r="G10122" s="16" t="str">
        <f>IFERROR(__xludf.DUMMYFUNCTION("""COMPUTED_VALUE"""),"")</f>
        <v/>
      </c>
    </row>
    <row r="10123">
      <c r="G10123" s="16" t="str">
        <f>IFERROR(__xludf.DUMMYFUNCTION("""COMPUTED_VALUE"""),"")</f>
        <v/>
      </c>
    </row>
    <row r="10124">
      <c r="G10124" s="16" t="str">
        <f>IFERROR(__xludf.DUMMYFUNCTION("""COMPUTED_VALUE"""),"")</f>
        <v/>
      </c>
    </row>
    <row r="10125">
      <c r="G10125" s="16" t="str">
        <f>IFERROR(__xludf.DUMMYFUNCTION("""COMPUTED_VALUE"""),"")</f>
        <v/>
      </c>
    </row>
    <row r="10126">
      <c r="G10126" s="16" t="str">
        <f>IFERROR(__xludf.DUMMYFUNCTION("""COMPUTED_VALUE"""),"")</f>
        <v/>
      </c>
    </row>
    <row r="10127">
      <c r="G10127" s="16" t="str">
        <f>IFERROR(__xludf.DUMMYFUNCTION("""COMPUTED_VALUE"""),"")</f>
        <v/>
      </c>
    </row>
    <row r="10128">
      <c r="G10128" s="16" t="str">
        <f>IFERROR(__xludf.DUMMYFUNCTION("""COMPUTED_VALUE"""),"")</f>
        <v/>
      </c>
    </row>
    <row r="10129">
      <c r="G10129" s="16" t="str">
        <f>IFERROR(__xludf.DUMMYFUNCTION("""COMPUTED_VALUE"""),"")</f>
        <v/>
      </c>
    </row>
    <row r="10130">
      <c r="G10130" s="16" t="str">
        <f>IFERROR(__xludf.DUMMYFUNCTION("""COMPUTED_VALUE"""),"")</f>
        <v/>
      </c>
    </row>
    <row r="10131">
      <c r="G10131" s="16" t="str">
        <f>IFERROR(__xludf.DUMMYFUNCTION("""COMPUTED_VALUE"""),"")</f>
        <v/>
      </c>
    </row>
    <row r="10132">
      <c r="G10132" s="16" t="str">
        <f>IFERROR(__xludf.DUMMYFUNCTION("""COMPUTED_VALUE"""),"")</f>
        <v/>
      </c>
    </row>
    <row r="10133">
      <c r="G10133" s="16" t="str">
        <f>IFERROR(__xludf.DUMMYFUNCTION("""COMPUTED_VALUE"""),"")</f>
        <v/>
      </c>
    </row>
    <row r="10134">
      <c r="G10134" s="16" t="str">
        <f>IFERROR(__xludf.DUMMYFUNCTION("""COMPUTED_VALUE"""),"")</f>
        <v/>
      </c>
    </row>
    <row r="10135">
      <c r="G10135" s="16" t="str">
        <f>IFERROR(__xludf.DUMMYFUNCTION("""COMPUTED_VALUE"""),"")</f>
        <v/>
      </c>
    </row>
    <row r="10136">
      <c r="G10136" s="16" t="str">
        <f>IFERROR(__xludf.DUMMYFUNCTION("""COMPUTED_VALUE"""),"")</f>
        <v/>
      </c>
    </row>
    <row r="10137">
      <c r="G10137" s="16" t="str">
        <f>IFERROR(__xludf.DUMMYFUNCTION("""COMPUTED_VALUE"""),"")</f>
        <v/>
      </c>
    </row>
    <row r="10138">
      <c r="G10138" s="16" t="str">
        <f>IFERROR(__xludf.DUMMYFUNCTION("""COMPUTED_VALUE"""),"")</f>
        <v/>
      </c>
    </row>
    <row r="10139">
      <c r="G10139" s="16" t="str">
        <f>IFERROR(__xludf.DUMMYFUNCTION("""COMPUTED_VALUE"""),"")</f>
        <v/>
      </c>
    </row>
    <row r="10140">
      <c r="G10140" s="16" t="str">
        <f>IFERROR(__xludf.DUMMYFUNCTION("""COMPUTED_VALUE"""),"")</f>
        <v/>
      </c>
    </row>
    <row r="10141">
      <c r="G10141" s="16" t="str">
        <f>IFERROR(__xludf.DUMMYFUNCTION("""COMPUTED_VALUE"""),"")</f>
        <v/>
      </c>
    </row>
    <row r="10142">
      <c r="G10142" s="16" t="str">
        <f>IFERROR(__xludf.DUMMYFUNCTION("""COMPUTED_VALUE"""),"")</f>
        <v/>
      </c>
    </row>
    <row r="10143">
      <c r="G10143" s="16" t="str">
        <f>IFERROR(__xludf.DUMMYFUNCTION("""COMPUTED_VALUE"""),"")</f>
        <v/>
      </c>
    </row>
    <row r="10144">
      <c r="G10144" s="16" t="str">
        <f>IFERROR(__xludf.DUMMYFUNCTION("""COMPUTED_VALUE"""),"")</f>
        <v/>
      </c>
    </row>
    <row r="10145">
      <c r="G10145" s="16" t="str">
        <f>IFERROR(__xludf.DUMMYFUNCTION("""COMPUTED_VALUE"""),"")</f>
        <v/>
      </c>
    </row>
    <row r="10146">
      <c r="G10146" s="16" t="str">
        <f>IFERROR(__xludf.DUMMYFUNCTION("""COMPUTED_VALUE"""),"")</f>
        <v/>
      </c>
    </row>
    <row r="10147">
      <c r="G10147" s="16" t="str">
        <f>IFERROR(__xludf.DUMMYFUNCTION("""COMPUTED_VALUE"""),"")</f>
        <v/>
      </c>
    </row>
    <row r="10148">
      <c r="G10148" s="16" t="str">
        <f>IFERROR(__xludf.DUMMYFUNCTION("""COMPUTED_VALUE"""),"")</f>
        <v/>
      </c>
    </row>
    <row r="10149">
      <c r="G10149" s="16" t="str">
        <f>IFERROR(__xludf.DUMMYFUNCTION("""COMPUTED_VALUE"""),"")</f>
        <v/>
      </c>
    </row>
    <row r="10150">
      <c r="G10150" s="16" t="str">
        <f>IFERROR(__xludf.DUMMYFUNCTION("""COMPUTED_VALUE"""),"")</f>
        <v/>
      </c>
    </row>
    <row r="10151">
      <c r="G10151" s="16" t="str">
        <f>IFERROR(__xludf.DUMMYFUNCTION("""COMPUTED_VALUE"""),"")</f>
        <v/>
      </c>
    </row>
    <row r="10152">
      <c r="G10152" s="16" t="str">
        <f>IFERROR(__xludf.DUMMYFUNCTION("""COMPUTED_VALUE"""),"")</f>
        <v/>
      </c>
    </row>
    <row r="10153">
      <c r="G10153" s="16" t="str">
        <f>IFERROR(__xludf.DUMMYFUNCTION("""COMPUTED_VALUE"""),"")</f>
        <v/>
      </c>
    </row>
    <row r="10154">
      <c r="G10154" s="16" t="str">
        <f>IFERROR(__xludf.DUMMYFUNCTION("""COMPUTED_VALUE"""),"")</f>
        <v/>
      </c>
    </row>
    <row r="10155">
      <c r="G10155" s="16" t="str">
        <f>IFERROR(__xludf.DUMMYFUNCTION("""COMPUTED_VALUE"""),"")</f>
        <v/>
      </c>
    </row>
    <row r="10156">
      <c r="G10156" s="16" t="str">
        <f>IFERROR(__xludf.DUMMYFUNCTION("""COMPUTED_VALUE"""),"")</f>
        <v/>
      </c>
    </row>
    <row r="10157">
      <c r="G10157" s="16" t="str">
        <f>IFERROR(__xludf.DUMMYFUNCTION("""COMPUTED_VALUE"""),"")</f>
        <v/>
      </c>
    </row>
    <row r="10158">
      <c r="G10158" s="16" t="str">
        <f>IFERROR(__xludf.DUMMYFUNCTION("""COMPUTED_VALUE"""),"")</f>
        <v/>
      </c>
    </row>
    <row r="10159">
      <c r="G10159" s="16" t="str">
        <f>IFERROR(__xludf.DUMMYFUNCTION("""COMPUTED_VALUE"""),"")</f>
        <v/>
      </c>
    </row>
    <row r="10160">
      <c r="G10160" s="16" t="str">
        <f>IFERROR(__xludf.DUMMYFUNCTION("""COMPUTED_VALUE"""),"")</f>
        <v/>
      </c>
    </row>
    <row r="10161">
      <c r="G10161" s="16" t="str">
        <f>IFERROR(__xludf.DUMMYFUNCTION("""COMPUTED_VALUE"""),"")</f>
        <v/>
      </c>
    </row>
    <row r="10162">
      <c r="G10162" s="16" t="str">
        <f>IFERROR(__xludf.DUMMYFUNCTION("""COMPUTED_VALUE"""),"")</f>
        <v/>
      </c>
    </row>
    <row r="10163">
      <c r="G10163" s="16" t="str">
        <f>IFERROR(__xludf.DUMMYFUNCTION("""COMPUTED_VALUE"""),"")</f>
        <v/>
      </c>
    </row>
    <row r="10164">
      <c r="G10164" s="16" t="str">
        <f>IFERROR(__xludf.DUMMYFUNCTION("""COMPUTED_VALUE"""),"")</f>
        <v/>
      </c>
    </row>
    <row r="10165">
      <c r="G10165" s="16" t="str">
        <f>IFERROR(__xludf.DUMMYFUNCTION("""COMPUTED_VALUE"""),"")</f>
        <v/>
      </c>
    </row>
    <row r="10166">
      <c r="G10166" s="16" t="str">
        <f>IFERROR(__xludf.DUMMYFUNCTION("""COMPUTED_VALUE"""),"")</f>
        <v/>
      </c>
    </row>
    <row r="10167">
      <c r="G10167" s="16" t="str">
        <f>IFERROR(__xludf.DUMMYFUNCTION("""COMPUTED_VALUE"""),"")</f>
        <v/>
      </c>
    </row>
    <row r="10168">
      <c r="G10168" s="16" t="str">
        <f>IFERROR(__xludf.DUMMYFUNCTION("""COMPUTED_VALUE"""),"")</f>
        <v/>
      </c>
    </row>
    <row r="10169">
      <c r="G10169" s="16" t="str">
        <f>IFERROR(__xludf.DUMMYFUNCTION("""COMPUTED_VALUE"""),"")</f>
        <v/>
      </c>
    </row>
    <row r="10170">
      <c r="G10170" s="16" t="str">
        <f>IFERROR(__xludf.DUMMYFUNCTION("""COMPUTED_VALUE"""),"")</f>
        <v/>
      </c>
    </row>
    <row r="10171">
      <c r="G10171" s="16" t="str">
        <f>IFERROR(__xludf.DUMMYFUNCTION("""COMPUTED_VALUE"""),"")</f>
        <v/>
      </c>
    </row>
    <row r="10172">
      <c r="G10172" s="16" t="str">
        <f>IFERROR(__xludf.DUMMYFUNCTION("""COMPUTED_VALUE"""),"")</f>
        <v/>
      </c>
    </row>
    <row r="10173">
      <c r="G10173" s="16" t="str">
        <f>IFERROR(__xludf.DUMMYFUNCTION("""COMPUTED_VALUE"""),"")</f>
        <v/>
      </c>
    </row>
    <row r="10174">
      <c r="G10174" s="16" t="str">
        <f>IFERROR(__xludf.DUMMYFUNCTION("""COMPUTED_VALUE"""),"")</f>
        <v/>
      </c>
    </row>
    <row r="10175">
      <c r="G10175" s="16" t="str">
        <f>IFERROR(__xludf.DUMMYFUNCTION("""COMPUTED_VALUE"""),"")</f>
        <v/>
      </c>
    </row>
    <row r="10176">
      <c r="G10176" s="16" t="str">
        <f>IFERROR(__xludf.DUMMYFUNCTION("""COMPUTED_VALUE"""),"")</f>
        <v/>
      </c>
    </row>
    <row r="10177">
      <c r="G10177" s="16" t="str">
        <f>IFERROR(__xludf.DUMMYFUNCTION("""COMPUTED_VALUE"""),"")</f>
        <v/>
      </c>
    </row>
    <row r="10178">
      <c r="G10178" s="16" t="str">
        <f>IFERROR(__xludf.DUMMYFUNCTION("""COMPUTED_VALUE"""),"")</f>
        <v/>
      </c>
    </row>
    <row r="10179">
      <c r="G10179" s="16" t="str">
        <f>IFERROR(__xludf.DUMMYFUNCTION("""COMPUTED_VALUE"""),"")</f>
        <v/>
      </c>
    </row>
    <row r="10180">
      <c r="G10180" s="16" t="str">
        <f>IFERROR(__xludf.DUMMYFUNCTION("""COMPUTED_VALUE"""),"")</f>
        <v/>
      </c>
    </row>
    <row r="10181">
      <c r="G10181" s="16" t="str">
        <f>IFERROR(__xludf.DUMMYFUNCTION("""COMPUTED_VALUE"""),"")</f>
        <v/>
      </c>
    </row>
    <row r="10182">
      <c r="G10182" s="16" t="str">
        <f>IFERROR(__xludf.DUMMYFUNCTION("""COMPUTED_VALUE"""),"")</f>
        <v/>
      </c>
    </row>
    <row r="10183">
      <c r="G10183" s="16" t="str">
        <f>IFERROR(__xludf.DUMMYFUNCTION("""COMPUTED_VALUE"""),"")</f>
        <v/>
      </c>
    </row>
    <row r="10184">
      <c r="G10184" s="16" t="str">
        <f>IFERROR(__xludf.DUMMYFUNCTION("""COMPUTED_VALUE"""),"")</f>
        <v/>
      </c>
    </row>
    <row r="10185">
      <c r="G10185" s="16" t="str">
        <f>IFERROR(__xludf.DUMMYFUNCTION("""COMPUTED_VALUE"""),"")</f>
        <v/>
      </c>
    </row>
    <row r="10186">
      <c r="G10186" s="16" t="str">
        <f>IFERROR(__xludf.DUMMYFUNCTION("""COMPUTED_VALUE"""),"")</f>
        <v/>
      </c>
    </row>
    <row r="10187">
      <c r="G10187" s="16" t="str">
        <f>IFERROR(__xludf.DUMMYFUNCTION("""COMPUTED_VALUE"""),"")</f>
        <v/>
      </c>
    </row>
    <row r="10188">
      <c r="G10188" s="16" t="str">
        <f>IFERROR(__xludf.DUMMYFUNCTION("""COMPUTED_VALUE"""),"")</f>
        <v/>
      </c>
    </row>
    <row r="10189">
      <c r="G10189" s="16" t="str">
        <f>IFERROR(__xludf.DUMMYFUNCTION("""COMPUTED_VALUE"""),"")</f>
        <v/>
      </c>
    </row>
    <row r="10190">
      <c r="G10190" s="16" t="str">
        <f>IFERROR(__xludf.DUMMYFUNCTION("""COMPUTED_VALUE"""),"")</f>
        <v/>
      </c>
    </row>
    <row r="10191">
      <c r="G10191" s="16" t="str">
        <f>IFERROR(__xludf.DUMMYFUNCTION("""COMPUTED_VALUE"""),"")</f>
        <v/>
      </c>
    </row>
    <row r="10192">
      <c r="G10192" s="16" t="str">
        <f>IFERROR(__xludf.DUMMYFUNCTION("""COMPUTED_VALUE"""),"")</f>
        <v/>
      </c>
    </row>
    <row r="10193">
      <c r="G10193" s="16" t="str">
        <f>IFERROR(__xludf.DUMMYFUNCTION("""COMPUTED_VALUE"""),"")</f>
        <v/>
      </c>
    </row>
    <row r="10194">
      <c r="G10194" s="16" t="str">
        <f>IFERROR(__xludf.DUMMYFUNCTION("""COMPUTED_VALUE"""),"")</f>
        <v/>
      </c>
    </row>
    <row r="10195">
      <c r="G10195" s="16" t="str">
        <f>IFERROR(__xludf.DUMMYFUNCTION("""COMPUTED_VALUE"""),"")</f>
        <v/>
      </c>
    </row>
    <row r="10196">
      <c r="G10196" s="16" t="str">
        <f>IFERROR(__xludf.DUMMYFUNCTION("""COMPUTED_VALUE"""),"")</f>
        <v/>
      </c>
    </row>
    <row r="10197">
      <c r="G10197" s="16" t="str">
        <f>IFERROR(__xludf.DUMMYFUNCTION("""COMPUTED_VALUE"""),"")</f>
        <v/>
      </c>
    </row>
    <row r="10198">
      <c r="G10198" s="16" t="str">
        <f>IFERROR(__xludf.DUMMYFUNCTION("""COMPUTED_VALUE"""),"")</f>
        <v/>
      </c>
    </row>
    <row r="10199">
      <c r="G10199" s="16" t="str">
        <f>IFERROR(__xludf.DUMMYFUNCTION("""COMPUTED_VALUE"""),"")</f>
        <v/>
      </c>
    </row>
    <row r="10200">
      <c r="G10200" s="16" t="str">
        <f>IFERROR(__xludf.DUMMYFUNCTION("""COMPUTED_VALUE"""),"")</f>
        <v/>
      </c>
    </row>
    <row r="10201">
      <c r="G10201" s="16" t="str">
        <f>IFERROR(__xludf.DUMMYFUNCTION("""COMPUTED_VALUE"""),"")</f>
        <v/>
      </c>
    </row>
    <row r="10202">
      <c r="G10202" s="16" t="str">
        <f>IFERROR(__xludf.DUMMYFUNCTION("""COMPUTED_VALUE"""),"")</f>
        <v/>
      </c>
    </row>
    <row r="10203">
      <c r="G10203" s="16" t="str">
        <f>IFERROR(__xludf.DUMMYFUNCTION("""COMPUTED_VALUE"""),"")</f>
        <v/>
      </c>
    </row>
    <row r="10204">
      <c r="G10204" s="16" t="str">
        <f>IFERROR(__xludf.DUMMYFUNCTION("""COMPUTED_VALUE"""),"")</f>
        <v/>
      </c>
    </row>
    <row r="10205">
      <c r="G10205" s="16" t="str">
        <f>IFERROR(__xludf.DUMMYFUNCTION("""COMPUTED_VALUE"""),"")</f>
        <v/>
      </c>
    </row>
    <row r="10206">
      <c r="G10206" s="16" t="str">
        <f>IFERROR(__xludf.DUMMYFUNCTION("""COMPUTED_VALUE"""),"")</f>
        <v/>
      </c>
    </row>
    <row r="10207">
      <c r="G10207" s="16" t="str">
        <f>IFERROR(__xludf.DUMMYFUNCTION("""COMPUTED_VALUE"""),"")</f>
        <v/>
      </c>
    </row>
    <row r="10208">
      <c r="G10208" s="16" t="str">
        <f>IFERROR(__xludf.DUMMYFUNCTION("""COMPUTED_VALUE"""),"")</f>
        <v/>
      </c>
    </row>
    <row r="10209">
      <c r="G10209" s="16" t="str">
        <f>IFERROR(__xludf.DUMMYFUNCTION("""COMPUTED_VALUE"""),"")</f>
        <v/>
      </c>
    </row>
    <row r="10210">
      <c r="G10210" s="16" t="str">
        <f>IFERROR(__xludf.DUMMYFUNCTION("""COMPUTED_VALUE"""),"")</f>
        <v/>
      </c>
    </row>
    <row r="10211">
      <c r="G10211" s="16" t="str">
        <f>IFERROR(__xludf.DUMMYFUNCTION("""COMPUTED_VALUE"""),"")</f>
        <v/>
      </c>
    </row>
    <row r="10212">
      <c r="G10212" s="16" t="str">
        <f>IFERROR(__xludf.DUMMYFUNCTION("""COMPUTED_VALUE"""),"")</f>
        <v/>
      </c>
    </row>
    <row r="10213">
      <c r="G10213" s="16" t="str">
        <f>IFERROR(__xludf.DUMMYFUNCTION("""COMPUTED_VALUE"""),"")</f>
        <v/>
      </c>
    </row>
    <row r="10214">
      <c r="G10214" s="16" t="str">
        <f>IFERROR(__xludf.DUMMYFUNCTION("""COMPUTED_VALUE"""),"")</f>
        <v/>
      </c>
    </row>
    <row r="10215">
      <c r="G10215" s="16" t="str">
        <f>IFERROR(__xludf.DUMMYFUNCTION("""COMPUTED_VALUE"""),"")</f>
        <v/>
      </c>
    </row>
    <row r="10216">
      <c r="G10216" s="16" t="str">
        <f>IFERROR(__xludf.DUMMYFUNCTION("""COMPUTED_VALUE"""),"")</f>
        <v/>
      </c>
    </row>
    <row r="10217">
      <c r="G10217" s="16" t="str">
        <f>IFERROR(__xludf.DUMMYFUNCTION("""COMPUTED_VALUE"""),"")</f>
        <v/>
      </c>
    </row>
    <row r="10218">
      <c r="G10218" s="16" t="str">
        <f>IFERROR(__xludf.DUMMYFUNCTION("""COMPUTED_VALUE"""),"")</f>
        <v/>
      </c>
    </row>
    <row r="10219">
      <c r="G10219" s="16" t="str">
        <f>IFERROR(__xludf.DUMMYFUNCTION("""COMPUTED_VALUE"""),"")</f>
        <v/>
      </c>
    </row>
    <row r="10220">
      <c r="G10220" s="16" t="str">
        <f>IFERROR(__xludf.DUMMYFUNCTION("""COMPUTED_VALUE"""),"")</f>
        <v/>
      </c>
    </row>
    <row r="10221">
      <c r="G10221" s="16" t="str">
        <f>IFERROR(__xludf.DUMMYFUNCTION("""COMPUTED_VALUE"""),"")</f>
        <v/>
      </c>
    </row>
    <row r="10222">
      <c r="G10222" s="16" t="str">
        <f>IFERROR(__xludf.DUMMYFUNCTION("""COMPUTED_VALUE"""),"")</f>
        <v/>
      </c>
    </row>
    <row r="10223">
      <c r="G10223" s="16" t="str">
        <f>IFERROR(__xludf.DUMMYFUNCTION("""COMPUTED_VALUE"""),"")</f>
        <v/>
      </c>
    </row>
    <row r="10224">
      <c r="G10224" s="16" t="str">
        <f>IFERROR(__xludf.DUMMYFUNCTION("""COMPUTED_VALUE"""),"")</f>
        <v/>
      </c>
    </row>
    <row r="10225">
      <c r="G10225" s="16" t="str">
        <f>IFERROR(__xludf.DUMMYFUNCTION("""COMPUTED_VALUE"""),"")</f>
        <v/>
      </c>
    </row>
    <row r="10226">
      <c r="G10226" s="16" t="str">
        <f>IFERROR(__xludf.DUMMYFUNCTION("""COMPUTED_VALUE"""),"")</f>
        <v/>
      </c>
    </row>
    <row r="10227">
      <c r="G10227" s="16" t="str">
        <f>IFERROR(__xludf.DUMMYFUNCTION("""COMPUTED_VALUE"""),"")</f>
        <v/>
      </c>
    </row>
    <row r="10228">
      <c r="G10228" s="16" t="str">
        <f>IFERROR(__xludf.DUMMYFUNCTION("""COMPUTED_VALUE"""),"")</f>
        <v/>
      </c>
    </row>
    <row r="10229">
      <c r="G10229" s="16" t="str">
        <f>IFERROR(__xludf.DUMMYFUNCTION("""COMPUTED_VALUE"""),"")</f>
        <v/>
      </c>
    </row>
    <row r="10230">
      <c r="G10230" s="16" t="str">
        <f>IFERROR(__xludf.DUMMYFUNCTION("""COMPUTED_VALUE"""),"")</f>
        <v/>
      </c>
    </row>
    <row r="10231">
      <c r="G10231" s="16" t="str">
        <f>IFERROR(__xludf.DUMMYFUNCTION("""COMPUTED_VALUE"""),"")</f>
        <v/>
      </c>
    </row>
    <row r="10232">
      <c r="G10232" s="16" t="str">
        <f>IFERROR(__xludf.DUMMYFUNCTION("""COMPUTED_VALUE"""),"")</f>
        <v/>
      </c>
    </row>
    <row r="10233">
      <c r="G10233" s="16" t="str">
        <f>IFERROR(__xludf.DUMMYFUNCTION("""COMPUTED_VALUE"""),"")</f>
        <v/>
      </c>
    </row>
    <row r="10234">
      <c r="G10234" s="16" t="str">
        <f>IFERROR(__xludf.DUMMYFUNCTION("""COMPUTED_VALUE"""),"")</f>
        <v/>
      </c>
    </row>
    <row r="10235">
      <c r="G10235" s="16" t="str">
        <f>IFERROR(__xludf.DUMMYFUNCTION("""COMPUTED_VALUE"""),"")</f>
        <v/>
      </c>
    </row>
    <row r="10236">
      <c r="G10236" s="16" t="str">
        <f>IFERROR(__xludf.DUMMYFUNCTION("""COMPUTED_VALUE"""),"")</f>
        <v/>
      </c>
    </row>
    <row r="10237">
      <c r="G10237" s="16" t="str">
        <f>IFERROR(__xludf.DUMMYFUNCTION("""COMPUTED_VALUE"""),"")</f>
        <v/>
      </c>
    </row>
    <row r="10238">
      <c r="G10238" s="16" t="str">
        <f>IFERROR(__xludf.DUMMYFUNCTION("""COMPUTED_VALUE"""),"")</f>
        <v/>
      </c>
    </row>
    <row r="10239">
      <c r="G10239" s="16" t="str">
        <f>IFERROR(__xludf.DUMMYFUNCTION("""COMPUTED_VALUE"""),"")</f>
        <v/>
      </c>
    </row>
    <row r="10240">
      <c r="G10240" s="16" t="str">
        <f>IFERROR(__xludf.DUMMYFUNCTION("""COMPUTED_VALUE"""),"")</f>
        <v/>
      </c>
    </row>
    <row r="10241">
      <c r="G10241" s="16" t="str">
        <f>IFERROR(__xludf.DUMMYFUNCTION("""COMPUTED_VALUE"""),"")</f>
        <v/>
      </c>
    </row>
    <row r="10242">
      <c r="G10242" s="16" t="str">
        <f>IFERROR(__xludf.DUMMYFUNCTION("""COMPUTED_VALUE"""),"")</f>
        <v/>
      </c>
    </row>
    <row r="10243">
      <c r="G10243" s="16" t="str">
        <f>IFERROR(__xludf.DUMMYFUNCTION("""COMPUTED_VALUE"""),"")</f>
        <v/>
      </c>
    </row>
    <row r="10244">
      <c r="G10244" s="16" t="str">
        <f>IFERROR(__xludf.DUMMYFUNCTION("""COMPUTED_VALUE"""),"")</f>
        <v/>
      </c>
    </row>
    <row r="10245">
      <c r="G10245" s="16" t="str">
        <f>IFERROR(__xludf.DUMMYFUNCTION("""COMPUTED_VALUE"""),"")</f>
        <v/>
      </c>
    </row>
    <row r="10246">
      <c r="G10246" s="16" t="str">
        <f>IFERROR(__xludf.DUMMYFUNCTION("""COMPUTED_VALUE"""),"")</f>
        <v/>
      </c>
    </row>
    <row r="10247">
      <c r="G10247" s="16" t="str">
        <f>IFERROR(__xludf.DUMMYFUNCTION("""COMPUTED_VALUE"""),"")</f>
        <v/>
      </c>
    </row>
    <row r="10248">
      <c r="G10248" s="16" t="str">
        <f>IFERROR(__xludf.DUMMYFUNCTION("""COMPUTED_VALUE"""),"")</f>
        <v/>
      </c>
    </row>
    <row r="10249">
      <c r="G10249" s="16" t="str">
        <f>IFERROR(__xludf.DUMMYFUNCTION("""COMPUTED_VALUE"""),"")</f>
        <v/>
      </c>
    </row>
    <row r="10250">
      <c r="G10250" s="16" t="str">
        <f>IFERROR(__xludf.DUMMYFUNCTION("""COMPUTED_VALUE"""),"")</f>
        <v/>
      </c>
    </row>
    <row r="10251">
      <c r="G10251" s="16" t="str">
        <f>IFERROR(__xludf.DUMMYFUNCTION("""COMPUTED_VALUE"""),"")</f>
        <v/>
      </c>
    </row>
    <row r="10252">
      <c r="G10252" s="16" t="str">
        <f>IFERROR(__xludf.DUMMYFUNCTION("""COMPUTED_VALUE"""),"")</f>
        <v/>
      </c>
    </row>
    <row r="10253">
      <c r="G10253" s="16" t="str">
        <f>IFERROR(__xludf.DUMMYFUNCTION("""COMPUTED_VALUE"""),"")</f>
        <v/>
      </c>
    </row>
    <row r="10254">
      <c r="G10254" s="16" t="str">
        <f>IFERROR(__xludf.DUMMYFUNCTION("""COMPUTED_VALUE"""),"")</f>
        <v/>
      </c>
    </row>
    <row r="10255">
      <c r="G10255" s="16" t="str">
        <f>IFERROR(__xludf.DUMMYFUNCTION("""COMPUTED_VALUE"""),"")</f>
        <v/>
      </c>
    </row>
    <row r="10256">
      <c r="G10256" s="16" t="str">
        <f>IFERROR(__xludf.DUMMYFUNCTION("""COMPUTED_VALUE"""),"")</f>
        <v/>
      </c>
    </row>
    <row r="10257">
      <c r="G10257" s="16" t="str">
        <f>IFERROR(__xludf.DUMMYFUNCTION("""COMPUTED_VALUE"""),"")</f>
        <v/>
      </c>
    </row>
    <row r="10258">
      <c r="G10258" s="16" t="str">
        <f>IFERROR(__xludf.DUMMYFUNCTION("""COMPUTED_VALUE"""),"")</f>
        <v/>
      </c>
    </row>
    <row r="10259">
      <c r="G10259" s="16" t="str">
        <f>IFERROR(__xludf.DUMMYFUNCTION("""COMPUTED_VALUE"""),"")</f>
        <v/>
      </c>
    </row>
    <row r="10260">
      <c r="G10260" s="16" t="str">
        <f>IFERROR(__xludf.DUMMYFUNCTION("""COMPUTED_VALUE"""),"")</f>
        <v/>
      </c>
    </row>
    <row r="10261">
      <c r="G10261" s="16" t="str">
        <f>IFERROR(__xludf.DUMMYFUNCTION("""COMPUTED_VALUE"""),"")</f>
        <v/>
      </c>
    </row>
    <row r="10262">
      <c r="G10262" s="16" t="str">
        <f>IFERROR(__xludf.DUMMYFUNCTION("""COMPUTED_VALUE"""),"")</f>
        <v/>
      </c>
    </row>
    <row r="10263">
      <c r="G10263" s="16" t="str">
        <f>IFERROR(__xludf.DUMMYFUNCTION("""COMPUTED_VALUE"""),"")</f>
        <v/>
      </c>
    </row>
    <row r="10264">
      <c r="G10264" s="16" t="str">
        <f>IFERROR(__xludf.DUMMYFUNCTION("""COMPUTED_VALUE"""),"")</f>
        <v/>
      </c>
    </row>
    <row r="10265">
      <c r="G10265" s="16" t="str">
        <f>IFERROR(__xludf.DUMMYFUNCTION("""COMPUTED_VALUE"""),"")</f>
        <v/>
      </c>
    </row>
    <row r="10266">
      <c r="G10266" s="16" t="str">
        <f>IFERROR(__xludf.DUMMYFUNCTION("""COMPUTED_VALUE"""),"")</f>
        <v/>
      </c>
    </row>
    <row r="10267">
      <c r="G10267" s="16" t="str">
        <f>IFERROR(__xludf.DUMMYFUNCTION("""COMPUTED_VALUE"""),"")</f>
        <v/>
      </c>
    </row>
    <row r="10268">
      <c r="G10268" s="16" t="str">
        <f>IFERROR(__xludf.DUMMYFUNCTION("""COMPUTED_VALUE"""),"")</f>
        <v/>
      </c>
    </row>
    <row r="10269">
      <c r="G10269" s="16" t="str">
        <f>IFERROR(__xludf.DUMMYFUNCTION("""COMPUTED_VALUE"""),"")</f>
        <v/>
      </c>
    </row>
    <row r="10270">
      <c r="G10270" s="16" t="str">
        <f>IFERROR(__xludf.DUMMYFUNCTION("""COMPUTED_VALUE"""),"")</f>
        <v/>
      </c>
    </row>
    <row r="10271">
      <c r="G10271" s="16" t="str">
        <f>IFERROR(__xludf.DUMMYFUNCTION("""COMPUTED_VALUE"""),"")</f>
        <v/>
      </c>
    </row>
    <row r="10272">
      <c r="G10272" s="16" t="str">
        <f>IFERROR(__xludf.DUMMYFUNCTION("""COMPUTED_VALUE"""),"")</f>
        <v/>
      </c>
    </row>
    <row r="10273">
      <c r="G10273" s="16" t="str">
        <f>IFERROR(__xludf.DUMMYFUNCTION("""COMPUTED_VALUE"""),"")</f>
        <v/>
      </c>
    </row>
    <row r="10274">
      <c r="G10274" s="16" t="str">
        <f>IFERROR(__xludf.DUMMYFUNCTION("""COMPUTED_VALUE"""),"")</f>
        <v/>
      </c>
    </row>
    <row r="10275">
      <c r="G10275" s="16" t="str">
        <f>IFERROR(__xludf.DUMMYFUNCTION("""COMPUTED_VALUE"""),"")</f>
        <v/>
      </c>
    </row>
    <row r="10276">
      <c r="G10276" s="16" t="str">
        <f>IFERROR(__xludf.DUMMYFUNCTION("""COMPUTED_VALUE"""),"")</f>
        <v/>
      </c>
    </row>
    <row r="10277">
      <c r="G10277" s="16" t="str">
        <f>IFERROR(__xludf.DUMMYFUNCTION("""COMPUTED_VALUE"""),"")</f>
        <v/>
      </c>
    </row>
    <row r="10278">
      <c r="G10278" s="16" t="str">
        <f>IFERROR(__xludf.DUMMYFUNCTION("""COMPUTED_VALUE"""),"")</f>
        <v/>
      </c>
    </row>
    <row r="10279">
      <c r="G10279" s="16" t="str">
        <f>IFERROR(__xludf.DUMMYFUNCTION("""COMPUTED_VALUE"""),"")</f>
        <v/>
      </c>
    </row>
    <row r="10280">
      <c r="G10280" s="16" t="str">
        <f>IFERROR(__xludf.DUMMYFUNCTION("""COMPUTED_VALUE"""),"")</f>
        <v/>
      </c>
    </row>
    <row r="10281">
      <c r="G10281" s="16" t="str">
        <f>IFERROR(__xludf.DUMMYFUNCTION("""COMPUTED_VALUE"""),"")</f>
        <v/>
      </c>
    </row>
    <row r="10282">
      <c r="G10282" s="16" t="str">
        <f>IFERROR(__xludf.DUMMYFUNCTION("""COMPUTED_VALUE"""),"")</f>
        <v/>
      </c>
    </row>
    <row r="10283">
      <c r="G10283" s="16" t="str">
        <f>IFERROR(__xludf.DUMMYFUNCTION("""COMPUTED_VALUE"""),"")</f>
        <v/>
      </c>
    </row>
    <row r="10284">
      <c r="G10284" s="16" t="str">
        <f>IFERROR(__xludf.DUMMYFUNCTION("""COMPUTED_VALUE"""),"")</f>
        <v/>
      </c>
    </row>
    <row r="10285">
      <c r="G10285" s="16" t="str">
        <f>IFERROR(__xludf.DUMMYFUNCTION("""COMPUTED_VALUE"""),"")</f>
        <v/>
      </c>
    </row>
    <row r="10286">
      <c r="G10286" s="16" t="str">
        <f>IFERROR(__xludf.DUMMYFUNCTION("""COMPUTED_VALUE"""),"")</f>
        <v/>
      </c>
    </row>
    <row r="10287">
      <c r="G10287" s="16" t="str">
        <f>IFERROR(__xludf.DUMMYFUNCTION("""COMPUTED_VALUE"""),"")</f>
        <v/>
      </c>
    </row>
    <row r="10288">
      <c r="G10288" s="16" t="str">
        <f>IFERROR(__xludf.DUMMYFUNCTION("""COMPUTED_VALUE"""),"")</f>
        <v/>
      </c>
    </row>
    <row r="10289">
      <c r="G10289" s="16" t="str">
        <f>IFERROR(__xludf.DUMMYFUNCTION("""COMPUTED_VALUE"""),"")</f>
        <v/>
      </c>
    </row>
    <row r="10290">
      <c r="G10290" s="16" t="str">
        <f>IFERROR(__xludf.DUMMYFUNCTION("""COMPUTED_VALUE"""),"")</f>
        <v/>
      </c>
    </row>
    <row r="10291">
      <c r="G10291" s="16" t="str">
        <f>IFERROR(__xludf.DUMMYFUNCTION("""COMPUTED_VALUE"""),"")</f>
        <v/>
      </c>
    </row>
    <row r="10292">
      <c r="G10292" s="16" t="str">
        <f>IFERROR(__xludf.DUMMYFUNCTION("""COMPUTED_VALUE"""),"")</f>
        <v/>
      </c>
    </row>
    <row r="10293">
      <c r="G10293" s="16" t="str">
        <f>IFERROR(__xludf.DUMMYFUNCTION("""COMPUTED_VALUE"""),"")</f>
        <v/>
      </c>
    </row>
    <row r="10294">
      <c r="G10294" s="16" t="str">
        <f>IFERROR(__xludf.DUMMYFUNCTION("""COMPUTED_VALUE"""),"")</f>
        <v/>
      </c>
    </row>
    <row r="10295">
      <c r="G10295" s="16" t="str">
        <f>IFERROR(__xludf.DUMMYFUNCTION("""COMPUTED_VALUE"""),"")</f>
        <v/>
      </c>
    </row>
    <row r="10296">
      <c r="G10296" s="16" t="str">
        <f>IFERROR(__xludf.DUMMYFUNCTION("""COMPUTED_VALUE"""),"")</f>
        <v/>
      </c>
    </row>
    <row r="10297">
      <c r="G10297" s="16" t="str">
        <f>IFERROR(__xludf.DUMMYFUNCTION("""COMPUTED_VALUE"""),"")</f>
        <v/>
      </c>
    </row>
    <row r="10298">
      <c r="G10298" s="16" t="str">
        <f>IFERROR(__xludf.DUMMYFUNCTION("""COMPUTED_VALUE"""),"")</f>
        <v/>
      </c>
    </row>
    <row r="10299">
      <c r="G10299" s="16" t="str">
        <f>IFERROR(__xludf.DUMMYFUNCTION("""COMPUTED_VALUE"""),"")</f>
        <v/>
      </c>
    </row>
    <row r="10300">
      <c r="G10300" s="16" t="str">
        <f>IFERROR(__xludf.DUMMYFUNCTION("""COMPUTED_VALUE"""),"")</f>
        <v/>
      </c>
    </row>
    <row r="10301">
      <c r="G10301" s="16" t="str">
        <f>IFERROR(__xludf.DUMMYFUNCTION("""COMPUTED_VALUE"""),"")</f>
        <v/>
      </c>
    </row>
    <row r="10302">
      <c r="G10302" s="16" t="str">
        <f>IFERROR(__xludf.DUMMYFUNCTION("""COMPUTED_VALUE"""),"")</f>
        <v/>
      </c>
    </row>
    <row r="10303">
      <c r="G10303" s="16" t="str">
        <f>IFERROR(__xludf.DUMMYFUNCTION("""COMPUTED_VALUE"""),"")</f>
        <v/>
      </c>
    </row>
    <row r="10304">
      <c r="G10304" s="16" t="str">
        <f>IFERROR(__xludf.DUMMYFUNCTION("""COMPUTED_VALUE"""),"")</f>
        <v/>
      </c>
    </row>
    <row r="10305">
      <c r="G10305" s="16" t="str">
        <f>IFERROR(__xludf.DUMMYFUNCTION("""COMPUTED_VALUE"""),"")</f>
        <v/>
      </c>
    </row>
    <row r="10306">
      <c r="G10306" s="16" t="str">
        <f>IFERROR(__xludf.DUMMYFUNCTION("""COMPUTED_VALUE"""),"")</f>
        <v/>
      </c>
    </row>
    <row r="10307">
      <c r="G10307" s="16" t="str">
        <f>IFERROR(__xludf.DUMMYFUNCTION("""COMPUTED_VALUE"""),"")</f>
        <v/>
      </c>
    </row>
    <row r="10308">
      <c r="G10308" s="16" t="str">
        <f>IFERROR(__xludf.DUMMYFUNCTION("""COMPUTED_VALUE"""),"")</f>
        <v/>
      </c>
    </row>
    <row r="10309">
      <c r="G10309" s="16" t="str">
        <f>IFERROR(__xludf.DUMMYFUNCTION("""COMPUTED_VALUE"""),"")</f>
        <v/>
      </c>
    </row>
    <row r="10310">
      <c r="G10310" s="16" t="str">
        <f>IFERROR(__xludf.DUMMYFUNCTION("""COMPUTED_VALUE"""),"")</f>
        <v/>
      </c>
    </row>
    <row r="10311">
      <c r="G10311" s="16" t="str">
        <f>IFERROR(__xludf.DUMMYFUNCTION("""COMPUTED_VALUE"""),"")</f>
        <v/>
      </c>
    </row>
    <row r="10312">
      <c r="G10312" s="16" t="str">
        <f>IFERROR(__xludf.DUMMYFUNCTION("""COMPUTED_VALUE"""),"")</f>
        <v/>
      </c>
    </row>
    <row r="10313">
      <c r="G10313" s="16" t="str">
        <f>IFERROR(__xludf.DUMMYFUNCTION("""COMPUTED_VALUE"""),"")</f>
        <v/>
      </c>
    </row>
    <row r="10314">
      <c r="G10314" s="16" t="str">
        <f>IFERROR(__xludf.DUMMYFUNCTION("""COMPUTED_VALUE"""),"")</f>
        <v/>
      </c>
    </row>
    <row r="10315">
      <c r="G10315" s="16" t="str">
        <f>IFERROR(__xludf.DUMMYFUNCTION("""COMPUTED_VALUE"""),"")</f>
        <v/>
      </c>
    </row>
    <row r="10316">
      <c r="G10316" s="16" t="str">
        <f>IFERROR(__xludf.DUMMYFUNCTION("""COMPUTED_VALUE"""),"")</f>
        <v/>
      </c>
    </row>
    <row r="10317">
      <c r="G10317" s="16" t="str">
        <f>IFERROR(__xludf.DUMMYFUNCTION("""COMPUTED_VALUE"""),"")</f>
        <v/>
      </c>
    </row>
    <row r="10318">
      <c r="G10318" s="16" t="str">
        <f>IFERROR(__xludf.DUMMYFUNCTION("""COMPUTED_VALUE"""),"")</f>
        <v/>
      </c>
    </row>
    <row r="10319">
      <c r="G10319" s="16" t="str">
        <f>IFERROR(__xludf.DUMMYFUNCTION("""COMPUTED_VALUE"""),"")</f>
        <v/>
      </c>
    </row>
    <row r="10320">
      <c r="G10320" s="16" t="str">
        <f>IFERROR(__xludf.DUMMYFUNCTION("""COMPUTED_VALUE"""),"")</f>
        <v/>
      </c>
    </row>
    <row r="10321">
      <c r="G10321" s="16" t="str">
        <f>IFERROR(__xludf.DUMMYFUNCTION("""COMPUTED_VALUE"""),"")</f>
        <v/>
      </c>
    </row>
    <row r="10322">
      <c r="G10322" s="16" t="str">
        <f>IFERROR(__xludf.DUMMYFUNCTION("""COMPUTED_VALUE"""),"")</f>
        <v/>
      </c>
    </row>
    <row r="10323">
      <c r="G10323" s="16" t="str">
        <f>IFERROR(__xludf.DUMMYFUNCTION("""COMPUTED_VALUE"""),"")</f>
        <v/>
      </c>
    </row>
    <row r="10324">
      <c r="G10324" s="16" t="str">
        <f>IFERROR(__xludf.DUMMYFUNCTION("""COMPUTED_VALUE"""),"")</f>
        <v/>
      </c>
    </row>
    <row r="10325">
      <c r="G10325" s="16" t="str">
        <f>IFERROR(__xludf.DUMMYFUNCTION("""COMPUTED_VALUE"""),"")</f>
        <v/>
      </c>
    </row>
    <row r="10326">
      <c r="G10326" s="16" t="str">
        <f>IFERROR(__xludf.DUMMYFUNCTION("""COMPUTED_VALUE"""),"")</f>
        <v/>
      </c>
    </row>
    <row r="10327">
      <c r="G10327" s="16" t="str">
        <f>IFERROR(__xludf.DUMMYFUNCTION("""COMPUTED_VALUE"""),"")</f>
        <v/>
      </c>
    </row>
    <row r="10328">
      <c r="G10328" s="16" t="str">
        <f>IFERROR(__xludf.DUMMYFUNCTION("""COMPUTED_VALUE"""),"")</f>
        <v/>
      </c>
    </row>
    <row r="10329">
      <c r="G10329" s="16" t="str">
        <f>IFERROR(__xludf.DUMMYFUNCTION("""COMPUTED_VALUE"""),"")</f>
        <v/>
      </c>
    </row>
    <row r="10330">
      <c r="G10330" s="16" t="str">
        <f>IFERROR(__xludf.DUMMYFUNCTION("""COMPUTED_VALUE"""),"")</f>
        <v/>
      </c>
    </row>
    <row r="10331">
      <c r="G10331" s="16" t="str">
        <f>IFERROR(__xludf.DUMMYFUNCTION("""COMPUTED_VALUE"""),"")</f>
        <v/>
      </c>
    </row>
    <row r="10332">
      <c r="G10332" s="16" t="str">
        <f>IFERROR(__xludf.DUMMYFUNCTION("""COMPUTED_VALUE"""),"")</f>
        <v/>
      </c>
    </row>
    <row r="10333">
      <c r="G10333" s="16" t="str">
        <f>IFERROR(__xludf.DUMMYFUNCTION("""COMPUTED_VALUE"""),"")</f>
        <v/>
      </c>
    </row>
    <row r="10334">
      <c r="G10334" s="16" t="str">
        <f>IFERROR(__xludf.DUMMYFUNCTION("""COMPUTED_VALUE"""),"")</f>
        <v/>
      </c>
    </row>
    <row r="10335">
      <c r="G10335" s="16" t="str">
        <f>IFERROR(__xludf.DUMMYFUNCTION("""COMPUTED_VALUE"""),"")</f>
        <v/>
      </c>
    </row>
    <row r="10336">
      <c r="G10336" s="16" t="str">
        <f>IFERROR(__xludf.DUMMYFUNCTION("""COMPUTED_VALUE"""),"")</f>
        <v/>
      </c>
    </row>
    <row r="10337">
      <c r="G10337" s="16" t="str">
        <f>IFERROR(__xludf.DUMMYFUNCTION("""COMPUTED_VALUE"""),"")</f>
        <v/>
      </c>
    </row>
    <row r="10338">
      <c r="G10338" s="16" t="str">
        <f>IFERROR(__xludf.DUMMYFUNCTION("""COMPUTED_VALUE"""),"")</f>
        <v/>
      </c>
    </row>
    <row r="10339">
      <c r="G10339" s="16" t="str">
        <f>IFERROR(__xludf.DUMMYFUNCTION("""COMPUTED_VALUE"""),"")</f>
        <v/>
      </c>
    </row>
    <row r="10340">
      <c r="G10340" s="16" t="str">
        <f>IFERROR(__xludf.DUMMYFUNCTION("""COMPUTED_VALUE"""),"")</f>
        <v/>
      </c>
    </row>
    <row r="10341">
      <c r="G10341" s="16" t="str">
        <f>IFERROR(__xludf.DUMMYFUNCTION("""COMPUTED_VALUE"""),"")</f>
        <v/>
      </c>
    </row>
    <row r="10342">
      <c r="G10342" s="16" t="str">
        <f>IFERROR(__xludf.DUMMYFUNCTION("""COMPUTED_VALUE"""),"")</f>
        <v/>
      </c>
    </row>
    <row r="10343">
      <c r="G10343" s="16" t="str">
        <f>IFERROR(__xludf.DUMMYFUNCTION("""COMPUTED_VALUE"""),"")</f>
        <v/>
      </c>
    </row>
    <row r="10344">
      <c r="G10344" s="16" t="str">
        <f>IFERROR(__xludf.DUMMYFUNCTION("""COMPUTED_VALUE"""),"")</f>
        <v/>
      </c>
    </row>
    <row r="10345">
      <c r="G10345" s="16" t="str">
        <f>IFERROR(__xludf.DUMMYFUNCTION("""COMPUTED_VALUE"""),"")</f>
        <v/>
      </c>
    </row>
    <row r="10346">
      <c r="G10346" s="16" t="str">
        <f>IFERROR(__xludf.DUMMYFUNCTION("""COMPUTED_VALUE"""),"")</f>
        <v/>
      </c>
    </row>
    <row r="10347">
      <c r="G10347" s="16" t="str">
        <f>IFERROR(__xludf.DUMMYFUNCTION("""COMPUTED_VALUE"""),"")</f>
        <v/>
      </c>
    </row>
    <row r="10348">
      <c r="G10348" s="16" t="str">
        <f>IFERROR(__xludf.DUMMYFUNCTION("""COMPUTED_VALUE"""),"")</f>
        <v/>
      </c>
    </row>
    <row r="10349">
      <c r="G10349" s="16" t="str">
        <f>IFERROR(__xludf.DUMMYFUNCTION("""COMPUTED_VALUE"""),"")</f>
        <v/>
      </c>
    </row>
    <row r="10350">
      <c r="G10350" s="16" t="str">
        <f>IFERROR(__xludf.DUMMYFUNCTION("""COMPUTED_VALUE"""),"")</f>
        <v/>
      </c>
    </row>
    <row r="10351">
      <c r="G10351" s="16" t="str">
        <f>IFERROR(__xludf.DUMMYFUNCTION("""COMPUTED_VALUE"""),"")</f>
        <v/>
      </c>
    </row>
    <row r="10352">
      <c r="G10352" s="16" t="str">
        <f>IFERROR(__xludf.DUMMYFUNCTION("""COMPUTED_VALUE"""),"")</f>
        <v/>
      </c>
    </row>
    <row r="10353">
      <c r="G10353" s="16" t="str">
        <f>IFERROR(__xludf.DUMMYFUNCTION("""COMPUTED_VALUE"""),"")</f>
        <v/>
      </c>
    </row>
    <row r="10354">
      <c r="G10354" s="16" t="str">
        <f>IFERROR(__xludf.DUMMYFUNCTION("""COMPUTED_VALUE"""),"")</f>
        <v/>
      </c>
    </row>
    <row r="10355">
      <c r="G10355" s="16" t="str">
        <f>IFERROR(__xludf.DUMMYFUNCTION("""COMPUTED_VALUE"""),"")</f>
        <v/>
      </c>
    </row>
    <row r="10356">
      <c r="G10356" s="16" t="str">
        <f>IFERROR(__xludf.DUMMYFUNCTION("""COMPUTED_VALUE"""),"")</f>
        <v/>
      </c>
    </row>
    <row r="10357">
      <c r="G10357" s="16" t="str">
        <f>IFERROR(__xludf.DUMMYFUNCTION("""COMPUTED_VALUE"""),"")</f>
        <v/>
      </c>
    </row>
    <row r="10358">
      <c r="G10358" s="16" t="str">
        <f>IFERROR(__xludf.DUMMYFUNCTION("""COMPUTED_VALUE"""),"")</f>
        <v/>
      </c>
    </row>
    <row r="10359">
      <c r="G10359" s="16" t="str">
        <f>IFERROR(__xludf.DUMMYFUNCTION("""COMPUTED_VALUE"""),"")</f>
        <v/>
      </c>
    </row>
    <row r="10360">
      <c r="G10360" s="16" t="str">
        <f>IFERROR(__xludf.DUMMYFUNCTION("""COMPUTED_VALUE"""),"")</f>
        <v/>
      </c>
    </row>
    <row r="10361">
      <c r="G10361" s="16" t="str">
        <f>IFERROR(__xludf.DUMMYFUNCTION("""COMPUTED_VALUE"""),"")</f>
        <v/>
      </c>
    </row>
    <row r="10362">
      <c r="G10362" s="16" t="str">
        <f>IFERROR(__xludf.DUMMYFUNCTION("""COMPUTED_VALUE"""),"")</f>
        <v/>
      </c>
    </row>
    <row r="10363">
      <c r="G10363" s="16" t="str">
        <f>IFERROR(__xludf.DUMMYFUNCTION("""COMPUTED_VALUE"""),"")</f>
        <v/>
      </c>
    </row>
    <row r="10364">
      <c r="G10364" s="16" t="str">
        <f>IFERROR(__xludf.DUMMYFUNCTION("""COMPUTED_VALUE"""),"")</f>
        <v/>
      </c>
    </row>
    <row r="10365">
      <c r="G10365" s="16" t="str">
        <f>IFERROR(__xludf.DUMMYFUNCTION("""COMPUTED_VALUE"""),"")</f>
        <v/>
      </c>
    </row>
    <row r="10366">
      <c r="G10366" s="16" t="str">
        <f>IFERROR(__xludf.DUMMYFUNCTION("""COMPUTED_VALUE"""),"")</f>
        <v/>
      </c>
    </row>
    <row r="10367">
      <c r="G10367" s="16" t="str">
        <f>IFERROR(__xludf.DUMMYFUNCTION("""COMPUTED_VALUE"""),"")</f>
        <v/>
      </c>
    </row>
    <row r="10368">
      <c r="G10368" s="16" t="str">
        <f>IFERROR(__xludf.DUMMYFUNCTION("""COMPUTED_VALUE"""),"")</f>
        <v/>
      </c>
    </row>
    <row r="10369">
      <c r="G10369" s="16" t="str">
        <f>IFERROR(__xludf.DUMMYFUNCTION("""COMPUTED_VALUE"""),"")</f>
        <v/>
      </c>
    </row>
    <row r="10370">
      <c r="G10370" s="16" t="str">
        <f>IFERROR(__xludf.DUMMYFUNCTION("""COMPUTED_VALUE"""),"")</f>
        <v/>
      </c>
    </row>
    <row r="10371">
      <c r="G10371" s="16" t="str">
        <f>IFERROR(__xludf.DUMMYFUNCTION("""COMPUTED_VALUE"""),"")</f>
        <v/>
      </c>
    </row>
    <row r="10372">
      <c r="G10372" s="16" t="str">
        <f>IFERROR(__xludf.DUMMYFUNCTION("""COMPUTED_VALUE"""),"")</f>
        <v/>
      </c>
    </row>
    <row r="10373">
      <c r="G10373" s="16" t="str">
        <f>IFERROR(__xludf.DUMMYFUNCTION("""COMPUTED_VALUE"""),"")</f>
        <v/>
      </c>
    </row>
    <row r="10374">
      <c r="G10374" s="16" t="str">
        <f>IFERROR(__xludf.DUMMYFUNCTION("""COMPUTED_VALUE"""),"")</f>
        <v/>
      </c>
    </row>
    <row r="10375">
      <c r="G10375" s="16" t="str">
        <f>IFERROR(__xludf.DUMMYFUNCTION("""COMPUTED_VALUE"""),"")</f>
        <v/>
      </c>
    </row>
    <row r="10376">
      <c r="G10376" s="16" t="str">
        <f>IFERROR(__xludf.DUMMYFUNCTION("""COMPUTED_VALUE"""),"")</f>
        <v/>
      </c>
    </row>
    <row r="10377">
      <c r="G10377" s="16" t="str">
        <f>IFERROR(__xludf.DUMMYFUNCTION("""COMPUTED_VALUE"""),"")</f>
        <v/>
      </c>
    </row>
    <row r="10378">
      <c r="G10378" s="16" t="str">
        <f>IFERROR(__xludf.DUMMYFUNCTION("""COMPUTED_VALUE"""),"")</f>
        <v/>
      </c>
    </row>
    <row r="10379">
      <c r="G10379" s="16" t="str">
        <f>IFERROR(__xludf.DUMMYFUNCTION("""COMPUTED_VALUE"""),"")</f>
        <v/>
      </c>
    </row>
    <row r="10380">
      <c r="G10380" s="16" t="str">
        <f>IFERROR(__xludf.DUMMYFUNCTION("""COMPUTED_VALUE"""),"")</f>
        <v/>
      </c>
    </row>
    <row r="10381">
      <c r="G10381" s="16" t="str">
        <f>IFERROR(__xludf.DUMMYFUNCTION("""COMPUTED_VALUE"""),"")</f>
        <v/>
      </c>
    </row>
    <row r="10382">
      <c r="G10382" s="16" t="str">
        <f>IFERROR(__xludf.DUMMYFUNCTION("""COMPUTED_VALUE"""),"")</f>
        <v/>
      </c>
    </row>
    <row r="10383">
      <c r="G10383" s="16" t="str">
        <f>IFERROR(__xludf.DUMMYFUNCTION("""COMPUTED_VALUE"""),"")</f>
        <v/>
      </c>
    </row>
    <row r="10384">
      <c r="G10384" s="16" t="str">
        <f>IFERROR(__xludf.DUMMYFUNCTION("""COMPUTED_VALUE"""),"")</f>
        <v/>
      </c>
    </row>
    <row r="10385">
      <c r="G10385" s="16" t="str">
        <f>IFERROR(__xludf.DUMMYFUNCTION("""COMPUTED_VALUE"""),"")</f>
        <v/>
      </c>
    </row>
    <row r="10386">
      <c r="G10386" s="16" t="str">
        <f>IFERROR(__xludf.DUMMYFUNCTION("""COMPUTED_VALUE"""),"")</f>
        <v/>
      </c>
    </row>
    <row r="10387">
      <c r="G10387" s="16" t="str">
        <f>IFERROR(__xludf.DUMMYFUNCTION("""COMPUTED_VALUE"""),"")</f>
        <v/>
      </c>
    </row>
    <row r="10388">
      <c r="G10388" s="16" t="str">
        <f>IFERROR(__xludf.DUMMYFUNCTION("""COMPUTED_VALUE"""),"")</f>
        <v/>
      </c>
    </row>
    <row r="10389">
      <c r="G10389" s="16" t="str">
        <f>IFERROR(__xludf.DUMMYFUNCTION("""COMPUTED_VALUE"""),"")</f>
        <v/>
      </c>
    </row>
    <row r="10390">
      <c r="G10390" s="16" t="str">
        <f>IFERROR(__xludf.DUMMYFUNCTION("""COMPUTED_VALUE"""),"")</f>
        <v/>
      </c>
    </row>
    <row r="10391">
      <c r="G10391" s="16" t="str">
        <f>IFERROR(__xludf.DUMMYFUNCTION("""COMPUTED_VALUE"""),"")</f>
        <v/>
      </c>
    </row>
    <row r="10392">
      <c r="G10392" s="16" t="str">
        <f>IFERROR(__xludf.DUMMYFUNCTION("""COMPUTED_VALUE"""),"")</f>
        <v/>
      </c>
    </row>
    <row r="10393">
      <c r="G10393" s="16" t="str">
        <f>IFERROR(__xludf.DUMMYFUNCTION("""COMPUTED_VALUE"""),"")</f>
        <v/>
      </c>
    </row>
    <row r="10394">
      <c r="G10394" s="16" t="str">
        <f>IFERROR(__xludf.DUMMYFUNCTION("""COMPUTED_VALUE"""),"")</f>
        <v/>
      </c>
    </row>
    <row r="10395">
      <c r="G10395" s="16" t="str">
        <f>IFERROR(__xludf.DUMMYFUNCTION("""COMPUTED_VALUE"""),"")</f>
        <v/>
      </c>
    </row>
    <row r="10396">
      <c r="G10396" s="16" t="str">
        <f>IFERROR(__xludf.DUMMYFUNCTION("""COMPUTED_VALUE"""),"")</f>
        <v/>
      </c>
    </row>
    <row r="10397">
      <c r="G10397" s="16" t="str">
        <f>IFERROR(__xludf.DUMMYFUNCTION("""COMPUTED_VALUE"""),"")</f>
        <v/>
      </c>
    </row>
    <row r="10398">
      <c r="G10398" s="16" t="str">
        <f>IFERROR(__xludf.DUMMYFUNCTION("""COMPUTED_VALUE"""),"")</f>
        <v/>
      </c>
    </row>
    <row r="10399">
      <c r="G10399" s="16" t="str">
        <f>IFERROR(__xludf.DUMMYFUNCTION("""COMPUTED_VALUE"""),"")</f>
        <v/>
      </c>
    </row>
    <row r="10400">
      <c r="G10400" s="16" t="str">
        <f>IFERROR(__xludf.DUMMYFUNCTION("""COMPUTED_VALUE"""),"")</f>
        <v/>
      </c>
    </row>
    <row r="10401">
      <c r="G10401" s="16" t="str">
        <f>IFERROR(__xludf.DUMMYFUNCTION("""COMPUTED_VALUE"""),"")</f>
        <v/>
      </c>
    </row>
    <row r="10402">
      <c r="G10402" s="16" t="str">
        <f>IFERROR(__xludf.DUMMYFUNCTION("""COMPUTED_VALUE"""),"")</f>
        <v/>
      </c>
    </row>
    <row r="10403">
      <c r="G10403" s="16" t="str">
        <f>IFERROR(__xludf.DUMMYFUNCTION("""COMPUTED_VALUE"""),"")</f>
        <v/>
      </c>
    </row>
    <row r="10404">
      <c r="G10404" s="16" t="str">
        <f>IFERROR(__xludf.DUMMYFUNCTION("""COMPUTED_VALUE"""),"")</f>
        <v/>
      </c>
    </row>
    <row r="10405">
      <c r="G10405" s="16" t="str">
        <f>IFERROR(__xludf.DUMMYFUNCTION("""COMPUTED_VALUE"""),"")</f>
        <v/>
      </c>
    </row>
    <row r="10406">
      <c r="G10406" s="16" t="str">
        <f>IFERROR(__xludf.DUMMYFUNCTION("""COMPUTED_VALUE"""),"")</f>
        <v/>
      </c>
    </row>
    <row r="10407">
      <c r="G10407" s="16" t="str">
        <f>IFERROR(__xludf.DUMMYFUNCTION("""COMPUTED_VALUE"""),"")</f>
        <v/>
      </c>
    </row>
    <row r="10408">
      <c r="G10408" s="16" t="str">
        <f>IFERROR(__xludf.DUMMYFUNCTION("""COMPUTED_VALUE"""),"")</f>
        <v/>
      </c>
    </row>
    <row r="10409">
      <c r="G10409" s="16" t="str">
        <f>IFERROR(__xludf.DUMMYFUNCTION("""COMPUTED_VALUE"""),"")</f>
        <v/>
      </c>
    </row>
    <row r="10410">
      <c r="G10410" s="16" t="str">
        <f>IFERROR(__xludf.DUMMYFUNCTION("""COMPUTED_VALUE"""),"")</f>
        <v/>
      </c>
    </row>
    <row r="10411">
      <c r="G10411" s="16" t="str">
        <f>IFERROR(__xludf.DUMMYFUNCTION("""COMPUTED_VALUE"""),"")</f>
        <v/>
      </c>
    </row>
    <row r="10412">
      <c r="G10412" s="16" t="str">
        <f>IFERROR(__xludf.DUMMYFUNCTION("""COMPUTED_VALUE"""),"")</f>
        <v/>
      </c>
    </row>
    <row r="10413">
      <c r="G10413" s="16" t="str">
        <f>IFERROR(__xludf.DUMMYFUNCTION("""COMPUTED_VALUE"""),"")</f>
        <v/>
      </c>
    </row>
    <row r="10414">
      <c r="G10414" s="16" t="str">
        <f>IFERROR(__xludf.DUMMYFUNCTION("""COMPUTED_VALUE"""),"")</f>
        <v/>
      </c>
    </row>
    <row r="10415">
      <c r="G10415" s="16" t="str">
        <f>IFERROR(__xludf.DUMMYFUNCTION("""COMPUTED_VALUE"""),"")</f>
        <v/>
      </c>
    </row>
    <row r="10416">
      <c r="G10416" s="16" t="str">
        <f>IFERROR(__xludf.DUMMYFUNCTION("""COMPUTED_VALUE"""),"")</f>
        <v/>
      </c>
    </row>
    <row r="10417">
      <c r="G10417" s="16" t="str">
        <f>IFERROR(__xludf.DUMMYFUNCTION("""COMPUTED_VALUE"""),"")</f>
        <v/>
      </c>
    </row>
    <row r="10418">
      <c r="G10418" s="16" t="str">
        <f>IFERROR(__xludf.DUMMYFUNCTION("""COMPUTED_VALUE"""),"")</f>
        <v/>
      </c>
    </row>
    <row r="10419">
      <c r="G10419" s="16" t="str">
        <f>IFERROR(__xludf.DUMMYFUNCTION("""COMPUTED_VALUE"""),"")</f>
        <v/>
      </c>
    </row>
    <row r="10420">
      <c r="G10420" s="16" t="str">
        <f>IFERROR(__xludf.DUMMYFUNCTION("""COMPUTED_VALUE"""),"")</f>
        <v/>
      </c>
    </row>
    <row r="10421">
      <c r="G10421" s="16" t="str">
        <f>IFERROR(__xludf.DUMMYFUNCTION("""COMPUTED_VALUE"""),"")</f>
        <v/>
      </c>
    </row>
    <row r="10422">
      <c r="G10422" s="16" t="str">
        <f>IFERROR(__xludf.DUMMYFUNCTION("""COMPUTED_VALUE"""),"")</f>
        <v/>
      </c>
    </row>
    <row r="10423">
      <c r="G10423" s="16" t="str">
        <f>IFERROR(__xludf.DUMMYFUNCTION("""COMPUTED_VALUE"""),"")</f>
        <v/>
      </c>
    </row>
    <row r="10424">
      <c r="G10424" s="16" t="str">
        <f>IFERROR(__xludf.DUMMYFUNCTION("""COMPUTED_VALUE"""),"")</f>
        <v/>
      </c>
    </row>
    <row r="10425">
      <c r="G10425" s="16" t="str">
        <f>IFERROR(__xludf.DUMMYFUNCTION("""COMPUTED_VALUE"""),"")</f>
        <v/>
      </c>
    </row>
    <row r="10426">
      <c r="G10426" s="16" t="str">
        <f>IFERROR(__xludf.DUMMYFUNCTION("""COMPUTED_VALUE"""),"")</f>
        <v/>
      </c>
    </row>
    <row r="10427">
      <c r="G10427" s="16" t="str">
        <f>IFERROR(__xludf.DUMMYFUNCTION("""COMPUTED_VALUE"""),"")</f>
        <v/>
      </c>
    </row>
    <row r="10428">
      <c r="G10428" s="16" t="str">
        <f>IFERROR(__xludf.DUMMYFUNCTION("""COMPUTED_VALUE"""),"")</f>
        <v/>
      </c>
    </row>
    <row r="10429">
      <c r="G10429" s="16" t="str">
        <f>IFERROR(__xludf.DUMMYFUNCTION("""COMPUTED_VALUE"""),"")</f>
        <v/>
      </c>
    </row>
    <row r="10430">
      <c r="G10430" s="16" t="str">
        <f>IFERROR(__xludf.DUMMYFUNCTION("""COMPUTED_VALUE"""),"")</f>
        <v/>
      </c>
    </row>
    <row r="10431">
      <c r="G10431" s="16" t="str">
        <f>IFERROR(__xludf.DUMMYFUNCTION("""COMPUTED_VALUE"""),"")</f>
        <v/>
      </c>
    </row>
    <row r="10432">
      <c r="G10432" s="16" t="str">
        <f>IFERROR(__xludf.DUMMYFUNCTION("""COMPUTED_VALUE"""),"")</f>
        <v/>
      </c>
    </row>
    <row r="10433">
      <c r="G10433" s="16" t="str">
        <f>IFERROR(__xludf.DUMMYFUNCTION("""COMPUTED_VALUE"""),"")</f>
        <v/>
      </c>
    </row>
    <row r="10434">
      <c r="G10434" s="16" t="str">
        <f>IFERROR(__xludf.DUMMYFUNCTION("""COMPUTED_VALUE"""),"")</f>
        <v/>
      </c>
    </row>
    <row r="10435">
      <c r="G10435" s="16" t="str">
        <f>IFERROR(__xludf.DUMMYFUNCTION("""COMPUTED_VALUE"""),"")</f>
        <v/>
      </c>
    </row>
    <row r="10436">
      <c r="G10436" s="16" t="str">
        <f>IFERROR(__xludf.DUMMYFUNCTION("""COMPUTED_VALUE"""),"")</f>
        <v/>
      </c>
    </row>
    <row r="10437">
      <c r="G10437" s="16" t="str">
        <f>IFERROR(__xludf.DUMMYFUNCTION("""COMPUTED_VALUE"""),"")</f>
        <v/>
      </c>
    </row>
    <row r="10438">
      <c r="G10438" s="16" t="str">
        <f>IFERROR(__xludf.DUMMYFUNCTION("""COMPUTED_VALUE"""),"")</f>
        <v/>
      </c>
    </row>
    <row r="10439">
      <c r="G10439" s="16" t="str">
        <f>IFERROR(__xludf.DUMMYFUNCTION("""COMPUTED_VALUE"""),"")</f>
        <v/>
      </c>
    </row>
    <row r="10440">
      <c r="G10440" s="16" t="str">
        <f>IFERROR(__xludf.DUMMYFUNCTION("""COMPUTED_VALUE"""),"")</f>
        <v/>
      </c>
    </row>
    <row r="10441">
      <c r="G10441" s="16" t="str">
        <f>IFERROR(__xludf.DUMMYFUNCTION("""COMPUTED_VALUE"""),"")</f>
        <v/>
      </c>
    </row>
    <row r="10442">
      <c r="G10442" s="16" t="str">
        <f>IFERROR(__xludf.DUMMYFUNCTION("""COMPUTED_VALUE"""),"")</f>
        <v/>
      </c>
    </row>
    <row r="10443">
      <c r="G10443" s="16" t="str">
        <f>IFERROR(__xludf.DUMMYFUNCTION("""COMPUTED_VALUE"""),"")</f>
        <v/>
      </c>
    </row>
    <row r="10444">
      <c r="G10444" s="16" t="str">
        <f>IFERROR(__xludf.DUMMYFUNCTION("""COMPUTED_VALUE"""),"")</f>
        <v/>
      </c>
    </row>
    <row r="10445">
      <c r="G10445" s="16" t="str">
        <f>IFERROR(__xludf.DUMMYFUNCTION("""COMPUTED_VALUE"""),"")</f>
        <v/>
      </c>
    </row>
    <row r="10446">
      <c r="G10446" s="16" t="str">
        <f>IFERROR(__xludf.DUMMYFUNCTION("""COMPUTED_VALUE"""),"")</f>
        <v/>
      </c>
    </row>
    <row r="10447">
      <c r="G10447" s="16" t="str">
        <f>IFERROR(__xludf.DUMMYFUNCTION("""COMPUTED_VALUE"""),"")</f>
        <v/>
      </c>
    </row>
    <row r="10448">
      <c r="G10448" s="16" t="str">
        <f>IFERROR(__xludf.DUMMYFUNCTION("""COMPUTED_VALUE"""),"")</f>
        <v/>
      </c>
    </row>
    <row r="10449">
      <c r="G10449" s="16" t="str">
        <f>IFERROR(__xludf.DUMMYFUNCTION("""COMPUTED_VALUE"""),"")</f>
        <v/>
      </c>
    </row>
    <row r="10450">
      <c r="G10450" s="16" t="str">
        <f>IFERROR(__xludf.DUMMYFUNCTION("""COMPUTED_VALUE"""),"")</f>
        <v/>
      </c>
    </row>
    <row r="10451">
      <c r="G10451" s="16" t="str">
        <f>IFERROR(__xludf.DUMMYFUNCTION("""COMPUTED_VALUE"""),"")</f>
        <v/>
      </c>
    </row>
    <row r="10452">
      <c r="G10452" s="16" t="str">
        <f>IFERROR(__xludf.DUMMYFUNCTION("""COMPUTED_VALUE"""),"")</f>
        <v/>
      </c>
    </row>
    <row r="10453">
      <c r="G10453" s="16" t="str">
        <f>IFERROR(__xludf.DUMMYFUNCTION("""COMPUTED_VALUE"""),"")</f>
        <v/>
      </c>
    </row>
    <row r="10454">
      <c r="G10454" s="16" t="str">
        <f>IFERROR(__xludf.DUMMYFUNCTION("""COMPUTED_VALUE"""),"")</f>
        <v/>
      </c>
    </row>
    <row r="10455">
      <c r="G10455" s="16" t="str">
        <f>IFERROR(__xludf.DUMMYFUNCTION("""COMPUTED_VALUE"""),"")</f>
        <v/>
      </c>
    </row>
    <row r="10456">
      <c r="G10456" s="16" t="str">
        <f>IFERROR(__xludf.DUMMYFUNCTION("""COMPUTED_VALUE"""),"")</f>
        <v/>
      </c>
    </row>
    <row r="10457">
      <c r="G10457" s="16" t="str">
        <f>IFERROR(__xludf.DUMMYFUNCTION("""COMPUTED_VALUE"""),"")</f>
        <v/>
      </c>
    </row>
    <row r="10458">
      <c r="G10458" s="16" t="str">
        <f>IFERROR(__xludf.DUMMYFUNCTION("""COMPUTED_VALUE"""),"")</f>
        <v/>
      </c>
    </row>
    <row r="10459">
      <c r="G10459" s="16" t="str">
        <f>IFERROR(__xludf.DUMMYFUNCTION("""COMPUTED_VALUE"""),"")</f>
        <v/>
      </c>
    </row>
    <row r="10460">
      <c r="G10460" s="16" t="str">
        <f>IFERROR(__xludf.DUMMYFUNCTION("""COMPUTED_VALUE"""),"")</f>
        <v/>
      </c>
    </row>
    <row r="10461">
      <c r="G10461" s="16" t="str">
        <f>IFERROR(__xludf.DUMMYFUNCTION("""COMPUTED_VALUE"""),"")</f>
        <v/>
      </c>
    </row>
    <row r="10462">
      <c r="G10462" s="16" t="str">
        <f>IFERROR(__xludf.DUMMYFUNCTION("""COMPUTED_VALUE"""),"")</f>
        <v/>
      </c>
    </row>
    <row r="10463">
      <c r="G10463" s="16" t="str">
        <f>IFERROR(__xludf.DUMMYFUNCTION("""COMPUTED_VALUE"""),"")</f>
        <v/>
      </c>
    </row>
    <row r="10464">
      <c r="G10464" s="16" t="str">
        <f>IFERROR(__xludf.DUMMYFUNCTION("""COMPUTED_VALUE"""),"")</f>
        <v/>
      </c>
    </row>
    <row r="10465">
      <c r="G10465" s="16" t="str">
        <f>IFERROR(__xludf.DUMMYFUNCTION("""COMPUTED_VALUE"""),"")</f>
        <v/>
      </c>
    </row>
    <row r="10466">
      <c r="G10466" s="16" t="str">
        <f>IFERROR(__xludf.DUMMYFUNCTION("""COMPUTED_VALUE"""),"")</f>
        <v/>
      </c>
    </row>
    <row r="10467">
      <c r="G10467" s="16" t="str">
        <f>IFERROR(__xludf.DUMMYFUNCTION("""COMPUTED_VALUE"""),"")</f>
        <v/>
      </c>
    </row>
    <row r="10468">
      <c r="G10468" s="16" t="str">
        <f>IFERROR(__xludf.DUMMYFUNCTION("""COMPUTED_VALUE"""),"")</f>
        <v/>
      </c>
    </row>
    <row r="10469">
      <c r="G10469" s="16" t="str">
        <f>IFERROR(__xludf.DUMMYFUNCTION("""COMPUTED_VALUE"""),"")</f>
        <v/>
      </c>
    </row>
    <row r="10470">
      <c r="G10470" s="16" t="str">
        <f>IFERROR(__xludf.DUMMYFUNCTION("""COMPUTED_VALUE"""),"")</f>
        <v/>
      </c>
    </row>
    <row r="10471">
      <c r="G10471" s="16" t="str">
        <f>IFERROR(__xludf.DUMMYFUNCTION("""COMPUTED_VALUE"""),"")</f>
        <v/>
      </c>
    </row>
    <row r="10472">
      <c r="G10472" s="16" t="str">
        <f>IFERROR(__xludf.DUMMYFUNCTION("""COMPUTED_VALUE"""),"")</f>
        <v/>
      </c>
    </row>
    <row r="10473">
      <c r="G10473" s="16" t="str">
        <f>IFERROR(__xludf.DUMMYFUNCTION("""COMPUTED_VALUE"""),"")</f>
        <v/>
      </c>
    </row>
    <row r="10474">
      <c r="G10474" s="16" t="str">
        <f>IFERROR(__xludf.DUMMYFUNCTION("""COMPUTED_VALUE"""),"")</f>
        <v/>
      </c>
    </row>
    <row r="10475">
      <c r="G10475" s="16" t="str">
        <f>IFERROR(__xludf.DUMMYFUNCTION("""COMPUTED_VALUE"""),"")</f>
        <v/>
      </c>
    </row>
    <row r="10476">
      <c r="G10476" s="16" t="str">
        <f>IFERROR(__xludf.DUMMYFUNCTION("""COMPUTED_VALUE"""),"")</f>
        <v/>
      </c>
    </row>
    <row r="10477">
      <c r="G10477" s="16" t="str">
        <f>IFERROR(__xludf.DUMMYFUNCTION("""COMPUTED_VALUE"""),"")</f>
        <v/>
      </c>
    </row>
    <row r="10478">
      <c r="G10478" s="16" t="str">
        <f>IFERROR(__xludf.DUMMYFUNCTION("""COMPUTED_VALUE"""),"")</f>
        <v/>
      </c>
    </row>
    <row r="10479">
      <c r="G10479" s="16" t="str">
        <f>IFERROR(__xludf.DUMMYFUNCTION("""COMPUTED_VALUE"""),"")</f>
        <v/>
      </c>
    </row>
    <row r="10480">
      <c r="G10480" s="16" t="str">
        <f>IFERROR(__xludf.DUMMYFUNCTION("""COMPUTED_VALUE"""),"")</f>
        <v/>
      </c>
    </row>
    <row r="10481">
      <c r="G10481" s="16" t="str">
        <f>IFERROR(__xludf.DUMMYFUNCTION("""COMPUTED_VALUE"""),"")</f>
        <v/>
      </c>
    </row>
    <row r="10482">
      <c r="G10482" s="16" t="str">
        <f>IFERROR(__xludf.DUMMYFUNCTION("""COMPUTED_VALUE"""),"")</f>
        <v/>
      </c>
    </row>
    <row r="10483">
      <c r="G10483" s="16" t="str">
        <f>IFERROR(__xludf.DUMMYFUNCTION("""COMPUTED_VALUE"""),"")</f>
        <v/>
      </c>
    </row>
    <row r="10484">
      <c r="G10484" s="16" t="str">
        <f>IFERROR(__xludf.DUMMYFUNCTION("""COMPUTED_VALUE"""),"")</f>
        <v/>
      </c>
    </row>
    <row r="10485">
      <c r="G10485" s="16" t="str">
        <f>IFERROR(__xludf.DUMMYFUNCTION("""COMPUTED_VALUE"""),"")</f>
        <v/>
      </c>
    </row>
    <row r="10486">
      <c r="G10486" s="16" t="str">
        <f>IFERROR(__xludf.DUMMYFUNCTION("""COMPUTED_VALUE"""),"")</f>
        <v/>
      </c>
    </row>
    <row r="10487">
      <c r="G10487" s="16" t="str">
        <f>IFERROR(__xludf.DUMMYFUNCTION("""COMPUTED_VALUE"""),"")</f>
        <v/>
      </c>
    </row>
    <row r="10488">
      <c r="G10488" s="16" t="str">
        <f>IFERROR(__xludf.DUMMYFUNCTION("""COMPUTED_VALUE"""),"")</f>
        <v/>
      </c>
    </row>
    <row r="10489">
      <c r="G10489" s="16" t="str">
        <f>IFERROR(__xludf.DUMMYFUNCTION("""COMPUTED_VALUE"""),"")</f>
        <v/>
      </c>
    </row>
    <row r="10490">
      <c r="G10490" s="16" t="str">
        <f>IFERROR(__xludf.DUMMYFUNCTION("""COMPUTED_VALUE"""),"")</f>
        <v/>
      </c>
    </row>
    <row r="10491">
      <c r="G10491" s="16" t="str">
        <f>IFERROR(__xludf.DUMMYFUNCTION("""COMPUTED_VALUE"""),"")</f>
        <v/>
      </c>
    </row>
    <row r="10492">
      <c r="G10492" s="16" t="str">
        <f>IFERROR(__xludf.DUMMYFUNCTION("""COMPUTED_VALUE"""),"")</f>
        <v/>
      </c>
    </row>
    <row r="10493">
      <c r="G10493" s="16" t="str">
        <f>IFERROR(__xludf.DUMMYFUNCTION("""COMPUTED_VALUE"""),"")</f>
        <v/>
      </c>
    </row>
    <row r="10494">
      <c r="G10494" s="16" t="str">
        <f>IFERROR(__xludf.DUMMYFUNCTION("""COMPUTED_VALUE"""),"")</f>
        <v/>
      </c>
    </row>
    <row r="10495">
      <c r="G10495" s="16" t="str">
        <f>IFERROR(__xludf.DUMMYFUNCTION("""COMPUTED_VALUE"""),"")</f>
        <v/>
      </c>
    </row>
    <row r="10496">
      <c r="G10496" s="16" t="str">
        <f>IFERROR(__xludf.DUMMYFUNCTION("""COMPUTED_VALUE"""),"")</f>
        <v/>
      </c>
    </row>
    <row r="10497">
      <c r="G10497" s="16" t="str">
        <f>IFERROR(__xludf.DUMMYFUNCTION("""COMPUTED_VALUE"""),"")</f>
        <v/>
      </c>
    </row>
    <row r="10498">
      <c r="G10498" s="16" t="str">
        <f>IFERROR(__xludf.DUMMYFUNCTION("""COMPUTED_VALUE"""),"")</f>
        <v/>
      </c>
    </row>
    <row r="10499">
      <c r="G10499" s="16" t="str">
        <f>IFERROR(__xludf.DUMMYFUNCTION("""COMPUTED_VALUE"""),"")</f>
        <v/>
      </c>
    </row>
    <row r="10500">
      <c r="G10500" s="16" t="str">
        <f>IFERROR(__xludf.DUMMYFUNCTION("""COMPUTED_VALUE"""),"")</f>
        <v/>
      </c>
    </row>
    <row r="10501">
      <c r="G10501" s="16" t="str">
        <f>IFERROR(__xludf.DUMMYFUNCTION("""COMPUTED_VALUE"""),"")</f>
        <v/>
      </c>
    </row>
    <row r="10502">
      <c r="G10502" s="16" t="str">
        <f>IFERROR(__xludf.DUMMYFUNCTION("""COMPUTED_VALUE"""),"")</f>
        <v/>
      </c>
    </row>
    <row r="10503">
      <c r="G10503" s="16" t="str">
        <f>IFERROR(__xludf.DUMMYFUNCTION("""COMPUTED_VALUE"""),"")</f>
        <v/>
      </c>
    </row>
    <row r="10504">
      <c r="G10504" s="16" t="str">
        <f>IFERROR(__xludf.DUMMYFUNCTION("""COMPUTED_VALUE"""),"")</f>
        <v/>
      </c>
    </row>
    <row r="10505">
      <c r="G10505" s="16" t="str">
        <f>IFERROR(__xludf.DUMMYFUNCTION("""COMPUTED_VALUE"""),"")</f>
        <v/>
      </c>
    </row>
    <row r="10506">
      <c r="G10506" s="16" t="str">
        <f>IFERROR(__xludf.DUMMYFUNCTION("""COMPUTED_VALUE"""),"")</f>
        <v/>
      </c>
    </row>
    <row r="10507">
      <c r="G10507" s="16" t="str">
        <f>IFERROR(__xludf.DUMMYFUNCTION("""COMPUTED_VALUE"""),"")</f>
        <v/>
      </c>
    </row>
    <row r="10508">
      <c r="G10508" s="16" t="str">
        <f>IFERROR(__xludf.DUMMYFUNCTION("""COMPUTED_VALUE"""),"")</f>
        <v/>
      </c>
    </row>
    <row r="10509">
      <c r="G10509" s="16" t="str">
        <f>IFERROR(__xludf.DUMMYFUNCTION("""COMPUTED_VALUE"""),"")</f>
        <v/>
      </c>
    </row>
    <row r="10510">
      <c r="G10510" s="16" t="str">
        <f>IFERROR(__xludf.DUMMYFUNCTION("""COMPUTED_VALUE"""),"")</f>
        <v/>
      </c>
    </row>
    <row r="10511">
      <c r="G10511" s="16" t="str">
        <f>IFERROR(__xludf.DUMMYFUNCTION("""COMPUTED_VALUE"""),"")</f>
        <v/>
      </c>
    </row>
    <row r="10512">
      <c r="G10512" s="16" t="str">
        <f>IFERROR(__xludf.DUMMYFUNCTION("""COMPUTED_VALUE"""),"")</f>
        <v/>
      </c>
    </row>
    <row r="10513">
      <c r="G10513" s="16" t="str">
        <f>IFERROR(__xludf.DUMMYFUNCTION("""COMPUTED_VALUE"""),"")</f>
        <v/>
      </c>
    </row>
    <row r="10514">
      <c r="G10514" s="16" t="str">
        <f>IFERROR(__xludf.DUMMYFUNCTION("""COMPUTED_VALUE"""),"")</f>
        <v/>
      </c>
    </row>
    <row r="10515">
      <c r="G10515" s="16" t="str">
        <f>IFERROR(__xludf.DUMMYFUNCTION("""COMPUTED_VALUE"""),"")</f>
        <v/>
      </c>
    </row>
    <row r="10516">
      <c r="G10516" s="16" t="str">
        <f>IFERROR(__xludf.DUMMYFUNCTION("""COMPUTED_VALUE"""),"")</f>
        <v/>
      </c>
    </row>
    <row r="10517">
      <c r="G10517" s="16" t="str">
        <f>IFERROR(__xludf.DUMMYFUNCTION("""COMPUTED_VALUE"""),"")</f>
        <v/>
      </c>
    </row>
    <row r="10518">
      <c r="G10518" s="16" t="str">
        <f>IFERROR(__xludf.DUMMYFUNCTION("""COMPUTED_VALUE"""),"")</f>
        <v/>
      </c>
    </row>
    <row r="10519">
      <c r="G10519" s="16" t="str">
        <f>IFERROR(__xludf.DUMMYFUNCTION("""COMPUTED_VALUE"""),"")</f>
        <v/>
      </c>
    </row>
    <row r="10520">
      <c r="G10520" s="16" t="str">
        <f>IFERROR(__xludf.DUMMYFUNCTION("""COMPUTED_VALUE"""),"")</f>
        <v/>
      </c>
    </row>
    <row r="10521">
      <c r="G10521" s="16" t="str">
        <f>IFERROR(__xludf.DUMMYFUNCTION("""COMPUTED_VALUE"""),"")</f>
        <v/>
      </c>
    </row>
    <row r="10522">
      <c r="G10522" s="16" t="str">
        <f>IFERROR(__xludf.DUMMYFUNCTION("""COMPUTED_VALUE"""),"")</f>
        <v/>
      </c>
    </row>
    <row r="10523">
      <c r="G10523" s="16" t="str">
        <f>IFERROR(__xludf.DUMMYFUNCTION("""COMPUTED_VALUE"""),"")</f>
        <v/>
      </c>
    </row>
    <row r="10524">
      <c r="G10524" s="16" t="str">
        <f>IFERROR(__xludf.DUMMYFUNCTION("""COMPUTED_VALUE"""),"")</f>
        <v/>
      </c>
    </row>
    <row r="10525">
      <c r="G10525" s="16" t="str">
        <f>IFERROR(__xludf.DUMMYFUNCTION("""COMPUTED_VALUE"""),"")</f>
        <v/>
      </c>
    </row>
    <row r="10526">
      <c r="G10526" s="16" t="str">
        <f>IFERROR(__xludf.DUMMYFUNCTION("""COMPUTED_VALUE"""),"")</f>
        <v/>
      </c>
    </row>
    <row r="10527">
      <c r="G10527" s="16" t="str">
        <f>IFERROR(__xludf.DUMMYFUNCTION("""COMPUTED_VALUE"""),"")</f>
        <v/>
      </c>
    </row>
    <row r="10528">
      <c r="G10528" s="16" t="str">
        <f>IFERROR(__xludf.DUMMYFUNCTION("""COMPUTED_VALUE"""),"")</f>
        <v/>
      </c>
    </row>
    <row r="10529">
      <c r="G10529" s="16" t="str">
        <f>IFERROR(__xludf.DUMMYFUNCTION("""COMPUTED_VALUE"""),"")</f>
        <v/>
      </c>
    </row>
    <row r="10530">
      <c r="G10530" s="16" t="str">
        <f>IFERROR(__xludf.DUMMYFUNCTION("""COMPUTED_VALUE"""),"")</f>
        <v/>
      </c>
    </row>
    <row r="10531">
      <c r="G10531" s="16" t="str">
        <f>IFERROR(__xludf.DUMMYFUNCTION("""COMPUTED_VALUE"""),"")</f>
        <v/>
      </c>
    </row>
    <row r="10532">
      <c r="G10532" s="16" t="str">
        <f>IFERROR(__xludf.DUMMYFUNCTION("""COMPUTED_VALUE"""),"")</f>
        <v/>
      </c>
    </row>
    <row r="10533">
      <c r="G10533" s="16" t="str">
        <f>IFERROR(__xludf.DUMMYFUNCTION("""COMPUTED_VALUE"""),"")</f>
        <v/>
      </c>
    </row>
    <row r="10534">
      <c r="G10534" s="16" t="str">
        <f>IFERROR(__xludf.DUMMYFUNCTION("""COMPUTED_VALUE"""),"")</f>
        <v/>
      </c>
    </row>
    <row r="10535">
      <c r="G10535" s="16" t="str">
        <f>IFERROR(__xludf.DUMMYFUNCTION("""COMPUTED_VALUE"""),"")</f>
        <v/>
      </c>
    </row>
    <row r="10536">
      <c r="G10536" s="16" t="str">
        <f>IFERROR(__xludf.DUMMYFUNCTION("""COMPUTED_VALUE"""),"")</f>
        <v/>
      </c>
    </row>
    <row r="10537">
      <c r="G10537" s="16" t="str">
        <f>IFERROR(__xludf.DUMMYFUNCTION("""COMPUTED_VALUE"""),"")</f>
        <v/>
      </c>
    </row>
    <row r="10538">
      <c r="G10538" s="16" t="str">
        <f>IFERROR(__xludf.DUMMYFUNCTION("""COMPUTED_VALUE"""),"")</f>
        <v/>
      </c>
    </row>
    <row r="10539">
      <c r="G10539" s="16" t="str">
        <f>IFERROR(__xludf.DUMMYFUNCTION("""COMPUTED_VALUE"""),"")</f>
        <v/>
      </c>
    </row>
    <row r="10540">
      <c r="G10540" s="16" t="str">
        <f>IFERROR(__xludf.DUMMYFUNCTION("""COMPUTED_VALUE"""),"")</f>
        <v/>
      </c>
    </row>
    <row r="10541">
      <c r="G10541" s="16" t="str">
        <f>IFERROR(__xludf.DUMMYFUNCTION("""COMPUTED_VALUE"""),"")</f>
        <v/>
      </c>
    </row>
    <row r="10542">
      <c r="G10542" s="16" t="str">
        <f>IFERROR(__xludf.DUMMYFUNCTION("""COMPUTED_VALUE"""),"")</f>
        <v/>
      </c>
    </row>
    <row r="10543">
      <c r="G10543" s="16" t="str">
        <f>IFERROR(__xludf.DUMMYFUNCTION("""COMPUTED_VALUE"""),"")</f>
        <v/>
      </c>
    </row>
    <row r="10544">
      <c r="G10544" s="16" t="str">
        <f>IFERROR(__xludf.DUMMYFUNCTION("""COMPUTED_VALUE"""),"")</f>
        <v/>
      </c>
    </row>
    <row r="10545">
      <c r="G10545" s="16" t="str">
        <f>IFERROR(__xludf.DUMMYFUNCTION("""COMPUTED_VALUE"""),"")</f>
        <v/>
      </c>
    </row>
    <row r="10546">
      <c r="G10546" s="16" t="str">
        <f>IFERROR(__xludf.DUMMYFUNCTION("""COMPUTED_VALUE"""),"")</f>
        <v/>
      </c>
    </row>
    <row r="10547">
      <c r="G10547" s="16" t="str">
        <f>IFERROR(__xludf.DUMMYFUNCTION("""COMPUTED_VALUE"""),"")</f>
        <v/>
      </c>
    </row>
    <row r="10548">
      <c r="G10548" s="16" t="str">
        <f>IFERROR(__xludf.DUMMYFUNCTION("""COMPUTED_VALUE"""),"")</f>
        <v/>
      </c>
    </row>
    <row r="10549">
      <c r="G10549" s="16" t="str">
        <f>IFERROR(__xludf.DUMMYFUNCTION("""COMPUTED_VALUE"""),"")</f>
        <v/>
      </c>
    </row>
    <row r="10550">
      <c r="G10550" s="16" t="str">
        <f>IFERROR(__xludf.DUMMYFUNCTION("""COMPUTED_VALUE"""),"")</f>
        <v/>
      </c>
    </row>
    <row r="10551">
      <c r="G10551" s="16" t="str">
        <f>IFERROR(__xludf.DUMMYFUNCTION("""COMPUTED_VALUE"""),"")</f>
        <v/>
      </c>
    </row>
    <row r="10552">
      <c r="G10552" s="16" t="str">
        <f>IFERROR(__xludf.DUMMYFUNCTION("""COMPUTED_VALUE"""),"")</f>
        <v/>
      </c>
    </row>
    <row r="10553">
      <c r="G10553" s="16" t="str">
        <f>IFERROR(__xludf.DUMMYFUNCTION("""COMPUTED_VALUE"""),"")</f>
        <v/>
      </c>
    </row>
    <row r="10554">
      <c r="G10554" s="16" t="str">
        <f>IFERROR(__xludf.DUMMYFUNCTION("""COMPUTED_VALUE"""),"")</f>
        <v/>
      </c>
    </row>
    <row r="10555">
      <c r="G10555" s="16" t="str">
        <f>IFERROR(__xludf.DUMMYFUNCTION("""COMPUTED_VALUE"""),"")</f>
        <v/>
      </c>
    </row>
    <row r="10556">
      <c r="G10556" s="16" t="str">
        <f>IFERROR(__xludf.DUMMYFUNCTION("""COMPUTED_VALUE"""),"")</f>
        <v/>
      </c>
    </row>
    <row r="10557">
      <c r="G10557" s="16" t="str">
        <f>IFERROR(__xludf.DUMMYFUNCTION("""COMPUTED_VALUE"""),"")</f>
        <v/>
      </c>
    </row>
    <row r="10558">
      <c r="G10558" s="16" t="str">
        <f>IFERROR(__xludf.DUMMYFUNCTION("""COMPUTED_VALUE"""),"")</f>
        <v/>
      </c>
    </row>
    <row r="10559">
      <c r="G10559" s="16" t="str">
        <f>IFERROR(__xludf.DUMMYFUNCTION("""COMPUTED_VALUE"""),"")</f>
        <v/>
      </c>
    </row>
    <row r="10560">
      <c r="G10560" s="16" t="str">
        <f>IFERROR(__xludf.DUMMYFUNCTION("""COMPUTED_VALUE"""),"")</f>
        <v/>
      </c>
    </row>
    <row r="10561">
      <c r="G10561" s="16" t="str">
        <f>IFERROR(__xludf.DUMMYFUNCTION("""COMPUTED_VALUE"""),"")</f>
        <v/>
      </c>
    </row>
    <row r="10562">
      <c r="G10562" s="16" t="str">
        <f>IFERROR(__xludf.DUMMYFUNCTION("""COMPUTED_VALUE"""),"")</f>
        <v/>
      </c>
    </row>
    <row r="10563">
      <c r="G10563" s="16" t="str">
        <f>IFERROR(__xludf.DUMMYFUNCTION("""COMPUTED_VALUE"""),"")</f>
        <v/>
      </c>
    </row>
    <row r="10564">
      <c r="G10564" s="16" t="str">
        <f>IFERROR(__xludf.DUMMYFUNCTION("""COMPUTED_VALUE"""),"")</f>
        <v/>
      </c>
    </row>
    <row r="10565">
      <c r="G10565" s="16" t="str">
        <f>IFERROR(__xludf.DUMMYFUNCTION("""COMPUTED_VALUE"""),"")</f>
        <v/>
      </c>
    </row>
    <row r="10566">
      <c r="G10566" s="16" t="str">
        <f>IFERROR(__xludf.DUMMYFUNCTION("""COMPUTED_VALUE"""),"")</f>
        <v/>
      </c>
    </row>
    <row r="10567">
      <c r="G10567" s="16" t="str">
        <f>IFERROR(__xludf.DUMMYFUNCTION("""COMPUTED_VALUE"""),"")</f>
        <v/>
      </c>
    </row>
    <row r="10568">
      <c r="G10568" s="16" t="str">
        <f>IFERROR(__xludf.DUMMYFUNCTION("""COMPUTED_VALUE"""),"")</f>
        <v/>
      </c>
    </row>
    <row r="10569">
      <c r="G10569" s="16" t="str">
        <f>IFERROR(__xludf.DUMMYFUNCTION("""COMPUTED_VALUE"""),"")</f>
        <v/>
      </c>
    </row>
    <row r="10570">
      <c r="G10570" s="16" t="str">
        <f>IFERROR(__xludf.DUMMYFUNCTION("""COMPUTED_VALUE"""),"")</f>
        <v/>
      </c>
    </row>
    <row r="10571">
      <c r="G10571" s="16" t="str">
        <f>IFERROR(__xludf.DUMMYFUNCTION("""COMPUTED_VALUE"""),"")</f>
        <v/>
      </c>
    </row>
    <row r="10572">
      <c r="G10572" s="16" t="str">
        <f>IFERROR(__xludf.DUMMYFUNCTION("""COMPUTED_VALUE"""),"")</f>
        <v/>
      </c>
    </row>
    <row r="10573">
      <c r="G10573" s="16" t="str">
        <f>IFERROR(__xludf.DUMMYFUNCTION("""COMPUTED_VALUE"""),"")</f>
        <v/>
      </c>
    </row>
    <row r="10574">
      <c r="G10574" s="16" t="str">
        <f>IFERROR(__xludf.DUMMYFUNCTION("""COMPUTED_VALUE"""),"")</f>
        <v/>
      </c>
    </row>
    <row r="10575">
      <c r="G10575" s="16" t="str">
        <f>IFERROR(__xludf.DUMMYFUNCTION("""COMPUTED_VALUE"""),"")</f>
        <v/>
      </c>
    </row>
    <row r="10576">
      <c r="G10576" s="16" t="str">
        <f>IFERROR(__xludf.DUMMYFUNCTION("""COMPUTED_VALUE"""),"")</f>
        <v/>
      </c>
    </row>
    <row r="10577">
      <c r="G10577" s="16" t="str">
        <f>IFERROR(__xludf.DUMMYFUNCTION("""COMPUTED_VALUE"""),"")</f>
        <v/>
      </c>
    </row>
    <row r="10578">
      <c r="G10578" s="16" t="str">
        <f>IFERROR(__xludf.DUMMYFUNCTION("""COMPUTED_VALUE"""),"")</f>
        <v/>
      </c>
    </row>
    <row r="10579">
      <c r="G10579" s="16" t="str">
        <f>IFERROR(__xludf.DUMMYFUNCTION("""COMPUTED_VALUE"""),"")</f>
        <v/>
      </c>
    </row>
    <row r="10580">
      <c r="G10580" s="16" t="str">
        <f>IFERROR(__xludf.DUMMYFUNCTION("""COMPUTED_VALUE"""),"")</f>
        <v/>
      </c>
    </row>
    <row r="10581">
      <c r="G10581" s="16" t="str">
        <f>IFERROR(__xludf.DUMMYFUNCTION("""COMPUTED_VALUE"""),"")</f>
        <v/>
      </c>
    </row>
    <row r="10582">
      <c r="G10582" s="16" t="str">
        <f>IFERROR(__xludf.DUMMYFUNCTION("""COMPUTED_VALUE"""),"")</f>
        <v/>
      </c>
    </row>
    <row r="10583">
      <c r="G10583" s="16" t="str">
        <f>IFERROR(__xludf.DUMMYFUNCTION("""COMPUTED_VALUE"""),"")</f>
        <v/>
      </c>
    </row>
    <row r="10584">
      <c r="G10584" s="16" t="str">
        <f>IFERROR(__xludf.DUMMYFUNCTION("""COMPUTED_VALUE"""),"")</f>
        <v/>
      </c>
    </row>
    <row r="10585">
      <c r="G10585" s="16" t="str">
        <f>IFERROR(__xludf.DUMMYFUNCTION("""COMPUTED_VALUE"""),"")</f>
        <v/>
      </c>
    </row>
    <row r="10586">
      <c r="G10586" s="16" t="str">
        <f>IFERROR(__xludf.DUMMYFUNCTION("""COMPUTED_VALUE"""),"")</f>
        <v/>
      </c>
    </row>
    <row r="10587">
      <c r="G10587" s="16" t="str">
        <f>IFERROR(__xludf.DUMMYFUNCTION("""COMPUTED_VALUE"""),"")</f>
        <v/>
      </c>
    </row>
    <row r="10588">
      <c r="G10588" s="16" t="str">
        <f>IFERROR(__xludf.DUMMYFUNCTION("""COMPUTED_VALUE"""),"")</f>
        <v/>
      </c>
    </row>
    <row r="10589">
      <c r="G10589" s="16" t="str">
        <f>IFERROR(__xludf.DUMMYFUNCTION("""COMPUTED_VALUE"""),"")</f>
        <v/>
      </c>
    </row>
    <row r="10590">
      <c r="G10590" s="16" t="str">
        <f>IFERROR(__xludf.DUMMYFUNCTION("""COMPUTED_VALUE"""),"")</f>
        <v/>
      </c>
    </row>
    <row r="10591">
      <c r="G10591" s="16" t="str">
        <f>IFERROR(__xludf.DUMMYFUNCTION("""COMPUTED_VALUE"""),"")</f>
        <v/>
      </c>
    </row>
    <row r="10592">
      <c r="G10592" s="16" t="str">
        <f>IFERROR(__xludf.DUMMYFUNCTION("""COMPUTED_VALUE"""),"")</f>
        <v/>
      </c>
    </row>
    <row r="10593">
      <c r="G10593" s="16" t="str">
        <f>IFERROR(__xludf.DUMMYFUNCTION("""COMPUTED_VALUE"""),"")</f>
        <v/>
      </c>
    </row>
    <row r="10594">
      <c r="G10594" s="16" t="str">
        <f>IFERROR(__xludf.DUMMYFUNCTION("""COMPUTED_VALUE"""),"")</f>
        <v/>
      </c>
    </row>
    <row r="10595">
      <c r="G10595" s="16" t="str">
        <f>IFERROR(__xludf.DUMMYFUNCTION("""COMPUTED_VALUE"""),"")</f>
        <v/>
      </c>
    </row>
    <row r="10596">
      <c r="G10596" s="16" t="str">
        <f>IFERROR(__xludf.DUMMYFUNCTION("""COMPUTED_VALUE"""),"")</f>
        <v/>
      </c>
    </row>
    <row r="10597">
      <c r="G10597" s="16" t="str">
        <f>IFERROR(__xludf.DUMMYFUNCTION("""COMPUTED_VALUE"""),"")</f>
        <v/>
      </c>
    </row>
    <row r="10598">
      <c r="G10598" s="16" t="str">
        <f>IFERROR(__xludf.DUMMYFUNCTION("""COMPUTED_VALUE"""),"")</f>
        <v/>
      </c>
    </row>
    <row r="10599">
      <c r="G10599" s="16" t="str">
        <f>IFERROR(__xludf.DUMMYFUNCTION("""COMPUTED_VALUE"""),"")</f>
        <v/>
      </c>
    </row>
    <row r="10600">
      <c r="G10600" s="16" t="str">
        <f>IFERROR(__xludf.DUMMYFUNCTION("""COMPUTED_VALUE"""),"")</f>
        <v/>
      </c>
    </row>
    <row r="10601">
      <c r="G10601" s="16" t="str">
        <f>IFERROR(__xludf.DUMMYFUNCTION("""COMPUTED_VALUE"""),"")</f>
        <v/>
      </c>
    </row>
    <row r="10602">
      <c r="G10602" s="16" t="str">
        <f>IFERROR(__xludf.DUMMYFUNCTION("""COMPUTED_VALUE"""),"")</f>
        <v/>
      </c>
    </row>
    <row r="10603">
      <c r="G10603" s="16" t="str">
        <f>IFERROR(__xludf.DUMMYFUNCTION("""COMPUTED_VALUE"""),"")</f>
        <v/>
      </c>
    </row>
    <row r="10604">
      <c r="G10604" s="16" t="str">
        <f>IFERROR(__xludf.DUMMYFUNCTION("""COMPUTED_VALUE"""),"")</f>
        <v/>
      </c>
    </row>
    <row r="10605">
      <c r="G10605" s="16" t="str">
        <f>IFERROR(__xludf.DUMMYFUNCTION("""COMPUTED_VALUE"""),"")</f>
        <v/>
      </c>
    </row>
    <row r="10606">
      <c r="G10606" s="16" t="str">
        <f>IFERROR(__xludf.DUMMYFUNCTION("""COMPUTED_VALUE"""),"")</f>
        <v/>
      </c>
    </row>
    <row r="10607">
      <c r="G10607" s="16" t="str">
        <f>IFERROR(__xludf.DUMMYFUNCTION("""COMPUTED_VALUE"""),"")</f>
        <v/>
      </c>
    </row>
    <row r="10608">
      <c r="G10608" s="16" t="str">
        <f>IFERROR(__xludf.DUMMYFUNCTION("""COMPUTED_VALUE"""),"")</f>
        <v/>
      </c>
    </row>
    <row r="10609">
      <c r="G10609" s="16" t="str">
        <f>IFERROR(__xludf.DUMMYFUNCTION("""COMPUTED_VALUE"""),"")</f>
        <v/>
      </c>
    </row>
    <row r="10610">
      <c r="G10610" s="16" t="str">
        <f>IFERROR(__xludf.DUMMYFUNCTION("""COMPUTED_VALUE"""),"")</f>
        <v/>
      </c>
    </row>
    <row r="10611">
      <c r="G10611" s="16" t="str">
        <f>IFERROR(__xludf.DUMMYFUNCTION("""COMPUTED_VALUE"""),"")</f>
        <v/>
      </c>
    </row>
    <row r="10612">
      <c r="G10612" s="16" t="str">
        <f>IFERROR(__xludf.DUMMYFUNCTION("""COMPUTED_VALUE"""),"")</f>
        <v/>
      </c>
    </row>
    <row r="10613">
      <c r="G10613" s="16" t="str">
        <f>IFERROR(__xludf.DUMMYFUNCTION("""COMPUTED_VALUE"""),"")</f>
        <v/>
      </c>
    </row>
    <row r="10614">
      <c r="G10614" s="16" t="str">
        <f>IFERROR(__xludf.DUMMYFUNCTION("""COMPUTED_VALUE"""),"")</f>
        <v/>
      </c>
    </row>
    <row r="10615">
      <c r="G10615" s="16" t="str">
        <f>IFERROR(__xludf.DUMMYFUNCTION("""COMPUTED_VALUE"""),"")</f>
        <v/>
      </c>
    </row>
    <row r="10616">
      <c r="G10616" s="16" t="str">
        <f>IFERROR(__xludf.DUMMYFUNCTION("""COMPUTED_VALUE"""),"")</f>
        <v/>
      </c>
    </row>
    <row r="10617">
      <c r="G10617" s="16" t="str">
        <f>IFERROR(__xludf.DUMMYFUNCTION("""COMPUTED_VALUE"""),"")</f>
        <v/>
      </c>
    </row>
    <row r="10618">
      <c r="G10618" s="16" t="str">
        <f>IFERROR(__xludf.DUMMYFUNCTION("""COMPUTED_VALUE"""),"")</f>
        <v/>
      </c>
    </row>
    <row r="10619">
      <c r="G10619" s="16" t="str">
        <f>IFERROR(__xludf.DUMMYFUNCTION("""COMPUTED_VALUE"""),"")</f>
        <v/>
      </c>
    </row>
    <row r="10620">
      <c r="G10620" s="16" t="str">
        <f>IFERROR(__xludf.DUMMYFUNCTION("""COMPUTED_VALUE"""),"")</f>
        <v/>
      </c>
    </row>
    <row r="10621">
      <c r="G10621" s="16" t="str">
        <f>IFERROR(__xludf.DUMMYFUNCTION("""COMPUTED_VALUE"""),"")</f>
        <v/>
      </c>
    </row>
    <row r="10622">
      <c r="G10622" s="16" t="str">
        <f>IFERROR(__xludf.DUMMYFUNCTION("""COMPUTED_VALUE"""),"")</f>
        <v/>
      </c>
    </row>
    <row r="10623">
      <c r="G10623" s="16" t="str">
        <f>IFERROR(__xludf.DUMMYFUNCTION("""COMPUTED_VALUE"""),"")</f>
        <v/>
      </c>
    </row>
    <row r="10624">
      <c r="G10624" s="16" t="str">
        <f>IFERROR(__xludf.DUMMYFUNCTION("""COMPUTED_VALUE"""),"")</f>
        <v/>
      </c>
    </row>
    <row r="10625">
      <c r="G10625" s="16" t="str">
        <f>IFERROR(__xludf.DUMMYFUNCTION("""COMPUTED_VALUE"""),"")</f>
        <v/>
      </c>
    </row>
    <row r="10626">
      <c r="G10626" s="16" t="str">
        <f>IFERROR(__xludf.DUMMYFUNCTION("""COMPUTED_VALUE"""),"")</f>
        <v/>
      </c>
    </row>
    <row r="10627">
      <c r="G10627" s="16" t="str">
        <f>IFERROR(__xludf.DUMMYFUNCTION("""COMPUTED_VALUE"""),"")</f>
        <v/>
      </c>
    </row>
    <row r="10628">
      <c r="G10628" s="16" t="str">
        <f>IFERROR(__xludf.DUMMYFUNCTION("""COMPUTED_VALUE"""),"")</f>
        <v/>
      </c>
    </row>
    <row r="10629">
      <c r="G10629" s="16" t="str">
        <f>IFERROR(__xludf.DUMMYFUNCTION("""COMPUTED_VALUE"""),"")</f>
        <v/>
      </c>
    </row>
    <row r="10630">
      <c r="G10630" s="16" t="str">
        <f>IFERROR(__xludf.DUMMYFUNCTION("""COMPUTED_VALUE"""),"")</f>
        <v/>
      </c>
    </row>
    <row r="10631">
      <c r="G10631" s="16" t="str">
        <f>IFERROR(__xludf.DUMMYFUNCTION("""COMPUTED_VALUE"""),"")</f>
        <v/>
      </c>
    </row>
    <row r="10632">
      <c r="G10632" s="16" t="str">
        <f>IFERROR(__xludf.DUMMYFUNCTION("""COMPUTED_VALUE"""),"")</f>
        <v/>
      </c>
    </row>
    <row r="10633">
      <c r="G10633" s="16" t="str">
        <f>IFERROR(__xludf.DUMMYFUNCTION("""COMPUTED_VALUE"""),"")</f>
        <v/>
      </c>
    </row>
    <row r="10634">
      <c r="G10634" s="16" t="str">
        <f>IFERROR(__xludf.DUMMYFUNCTION("""COMPUTED_VALUE"""),"")</f>
        <v/>
      </c>
    </row>
    <row r="10635">
      <c r="G10635" s="16" t="str">
        <f>IFERROR(__xludf.DUMMYFUNCTION("""COMPUTED_VALUE"""),"")</f>
        <v/>
      </c>
    </row>
    <row r="10636">
      <c r="G10636" s="16" t="str">
        <f>IFERROR(__xludf.DUMMYFUNCTION("""COMPUTED_VALUE"""),"")</f>
        <v/>
      </c>
    </row>
    <row r="10637">
      <c r="G10637" s="16" t="str">
        <f>IFERROR(__xludf.DUMMYFUNCTION("""COMPUTED_VALUE"""),"")</f>
        <v/>
      </c>
    </row>
    <row r="10638">
      <c r="G10638" s="16" t="str">
        <f>IFERROR(__xludf.DUMMYFUNCTION("""COMPUTED_VALUE"""),"")</f>
        <v/>
      </c>
    </row>
    <row r="10639">
      <c r="G10639" s="16" t="str">
        <f>IFERROR(__xludf.DUMMYFUNCTION("""COMPUTED_VALUE"""),"")</f>
        <v/>
      </c>
    </row>
    <row r="10640">
      <c r="G10640" s="16" t="str">
        <f>IFERROR(__xludf.DUMMYFUNCTION("""COMPUTED_VALUE"""),"")</f>
        <v/>
      </c>
    </row>
    <row r="10641">
      <c r="G10641" s="16" t="str">
        <f>IFERROR(__xludf.DUMMYFUNCTION("""COMPUTED_VALUE"""),"")</f>
        <v/>
      </c>
    </row>
    <row r="10642">
      <c r="G10642" s="16" t="str">
        <f>IFERROR(__xludf.DUMMYFUNCTION("""COMPUTED_VALUE"""),"")</f>
        <v/>
      </c>
    </row>
    <row r="10643">
      <c r="G10643" s="16" t="str">
        <f>IFERROR(__xludf.DUMMYFUNCTION("""COMPUTED_VALUE"""),"")</f>
        <v/>
      </c>
    </row>
    <row r="10644">
      <c r="G10644" s="16" t="str">
        <f>IFERROR(__xludf.DUMMYFUNCTION("""COMPUTED_VALUE"""),"")</f>
        <v/>
      </c>
    </row>
    <row r="10645">
      <c r="G10645" s="16" t="str">
        <f>IFERROR(__xludf.DUMMYFUNCTION("""COMPUTED_VALUE"""),"")</f>
        <v/>
      </c>
    </row>
    <row r="10646">
      <c r="G10646" s="16" t="str">
        <f>IFERROR(__xludf.DUMMYFUNCTION("""COMPUTED_VALUE"""),"")</f>
        <v/>
      </c>
    </row>
    <row r="10647">
      <c r="G10647" s="16" t="str">
        <f>IFERROR(__xludf.DUMMYFUNCTION("""COMPUTED_VALUE"""),"")</f>
        <v/>
      </c>
    </row>
    <row r="10648">
      <c r="G10648" s="16" t="str">
        <f>IFERROR(__xludf.DUMMYFUNCTION("""COMPUTED_VALUE"""),"")</f>
        <v/>
      </c>
    </row>
    <row r="10649">
      <c r="G10649" s="16" t="str">
        <f>IFERROR(__xludf.DUMMYFUNCTION("""COMPUTED_VALUE"""),"")</f>
        <v/>
      </c>
    </row>
    <row r="10650">
      <c r="G10650" s="16" t="str">
        <f>IFERROR(__xludf.DUMMYFUNCTION("""COMPUTED_VALUE"""),"")</f>
        <v/>
      </c>
    </row>
    <row r="10651">
      <c r="G10651" s="16" t="str">
        <f>IFERROR(__xludf.DUMMYFUNCTION("""COMPUTED_VALUE"""),"")</f>
        <v/>
      </c>
    </row>
    <row r="10652">
      <c r="G10652" s="16" t="str">
        <f>IFERROR(__xludf.DUMMYFUNCTION("""COMPUTED_VALUE"""),"")</f>
        <v/>
      </c>
    </row>
    <row r="10653">
      <c r="G10653" s="16" t="str">
        <f>IFERROR(__xludf.DUMMYFUNCTION("""COMPUTED_VALUE"""),"")</f>
        <v/>
      </c>
    </row>
    <row r="10654">
      <c r="G10654" s="16" t="str">
        <f>IFERROR(__xludf.DUMMYFUNCTION("""COMPUTED_VALUE"""),"")</f>
        <v/>
      </c>
    </row>
    <row r="10655">
      <c r="G10655" s="16" t="str">
        <f>IFERROR(__xludf.DUMMYFUNCTION("""COMPUTED_VALUE"""),"")</f>
        <v/>
      </c>
    </row>
    <row r="10656">
      <c r="G10656" s="16" t="str">
        <f>IFERROR(__xludf.DUMMYFUNCTION("""COMPUTED_VALUE"""),"")</f>
        <v/>
      </c>
    </row>
    <row r="10657">
      <c r="G10657" s="16" t="str">
        <f>IFERROR(__xludf.DUMMYFUNCTION("""COMPUTED_VALUE"""),"")</f>
        <v/>
      </c>
    </row>
    <row r="10658">
      <c r="G10658" s="16" t="str">
        <f>IFERROR(__xludf.DUMMYFUNCTION("""COMPUTED_VALUE"""),"")</f>
        <v/>
      </c>
    </row>
    <row r="10659">
      <c r="G10659" s="16" t="str">
        <f>IFERROR(__xludf.DUMMYFUNCTION("""COMPUTED_VALUE"""),"")</f>
        <v/>
      </c>
    </row>
    <row r="10660">
      <c r="G10660" s="16" t="str">
        <f>IFERROR(__xludf.DUMMYFUNCTION("""COMPUTED_VALUE"""),"")</f>
        <v/>
      </c>
    </row>
    <row r="10661">
      <c r="G10661" s="16" t="str">
        <f>IFERROR(__xludf.DUMMYFUNCTION("""COMPUTED_VALUE"""),"")</f>
        <v/>
      </c>
    </row>
    <row r="10662">
      <c r="G10662" s="16" t="str">
        <f>IFERROR(__xludf.DUMMYFUNCTION("""COMPUTED_VALUE"""),"")</f>
        <v/>
      </c>
    </row>
    <row r="10663">
      <c r="G10663" s="16" t="str">
        <f>IFERROR(__xludf.DUMMYFUNCTION("""COMPUTED_VALUE"""),"")</f>
        <v/>
      </c>
    </row>
    <row r="10664">
      <c r="G10664" s="16" t="str">
        <f>IFERROR(__xludf.DUMMYFUNCTION("""COMPUTED_VALUE"""),"")</f>
        <v/>
      </c>
    </row>
    <row r="10665">
      <c r="G10665" s="16" t="str">
        <f>IFERROR(__xludf.DUMMYFUNCTION("""COMPUTED_VALUE"""),"")</f>
        <v/>
      </c>
    </row>
    <row r="10666">
      <c r="G10666" s="16" t="str">
        <f>IFERROR(__xludf.DUMMYFUNCTION("""COMPUTED_VALUE"""),"")</f>
        <v/>
      </c>
    </row>
    <row r="10667">
      <c r="G10667" s="16" t="str">
        <f>IFERROR(__xludf.DUMMYFUNCTION("""COMPUTED_VALUE"""),"")</f>
        <v/>
      </c>
    </row>
    <row r="10668">
      <c r="G10668" s="16" t="str">
        <f>IFERROR(__xludf.DUMMYFUNCTION("""COMPUTED_VALUE"""),"")</f>
        <v/>
      </c>
    </row>
    <row r="10669">
      <c r="G10669" s="16" t="str">
        <f>IFERROR(__xludf.DUMMYFUNCTION("""COMPUTED_VALUE"""),"")</f>
        <v/>
      </c>
    </row>
    <row r="10670">
      <c r="G10670" s="16" t="str">
        <f>IFERROR(__xludf.DUMMYFUNCTION("""COMPUTED_VALUE"""),"")</f>
        <v/>
      </c>
    </row>
    <row r="10671">
      <c r="G10671" s="16" t="str">
        <f>IFERROR(__xludf.DUMMYFUNCTION("""COMPUTED_VALUE"""),"")</f>
        <v/>
      </c>
    </row>
    <row r="10672">
      <c r="G10672" s="16" t="str">
        <f>IFERROR(__xludf.DUMMYFUNCTION("""COMPUTED_VALUE"""),"")</f>
        <v/>
      </c>
    </row>
    <row r="10673">
      <c r="G10673" s="16" t="str">
        <f>IFERROR(__xludf.DUMMYFUNCTION("""COMPUTED_VALUE"""),"")</f>
        <v/>
      </c>
    </row>
    <row r="10674">
      <c r="G10674" s="16" t="str">
        <f>IFERROR(__xludf.DUMMYFUNCTION("""COMPUTED_VALUE"""),"")</f>
        <v/>
      </c>
    </row>
    <row r="10675">
      <c r="G10675" s="16" t="str">
        <f>IFERROR(__xludf.DUMMYFUNCTION("""COMPUTED_VALUE"""),"")</f>
        <v/>
      </c>
    </row>
    <row r="10676">
      <c r="G10676" s="16" t="str">
        <f>IFERROR(__xludf.DUMMYFUNCTION("""COMPUTED_VALUE"""),"")</f>
        <v/>
      </c>
    </row>
    <row r="10677">
      <c r="G10677" s="16" t="str">
        <f>IFERROR(__xludf.DUMMYFUNCTION("""COMPUTED_VALUE"""),"")</f>
        <v/>
      </c>
    </row>
    <row r="10678">
      <c r="G10678" s="16" t="str">
        <f>IFERROR(__xludf.DUMMYFUNCTION("""COMPUTED_VALUE"""),"")</f>
        <v/>
      </c>
    </row>
    <row r="10679">
      <c r="G10679" s="16" t="str">
        <f>IFERROR(__xludf.DUMMYFUNCTION("""COMPUTED_VALUE"""),"")</f>
        <v/>
      </c>
    </row>
    <row r="10680">
      <c r="G10680" s="16" t="str">
        <f>IFERROR(__xludf.DUMMYFUNCTION("""COMPUTED_VALUE"""),"")</f>
        <v/>
      </c>
    </row>
    <row r="10681">
      <c r="G10681" s="16" t="str">
        <f>IFERROR(__xludf.DUMMYFUNCTION("""COMPUTED_VALUE"""),"")</f>
        <v/>
      </c>
    </row>
    <row r="10682">
      <c r="G10682" s="16" t="str">
        <f>IFERROR(__xludf.DUMMYFUNCTION("""COMPUTED_VALUE"""),"")</f>
        <v/>
      </c>
    </row>
    <row r="10683">
      <c r="G10683" s="16" t="str">
        <f>IFERROR(__xludf.DUMMYFUNCTION("""COMPUTED_VALUE"""),"")</f>
        <v/>
      </c>
    </row>
    <row r="10684">
      <c r="G10684" s="16" t="str">
        <f>IFERROR(__xludf.DUMMYFUNCTION("""COMPUTED_VALUE"""),"")</f>
        <v/>
      </c>
    </row>
    <row r="10685">
      <c r="G10685" s="16" t="str">
        <f>IFERROR(__xludf.DUMMYFUNCTION("""COMPUTED_VALUE"""),"")</f>
        <v/>
      </c>
    </row>
    <row r="10686">
      <c r="G10686" s="16" t="str">
        <f>IFERROR(__xludf.DUMMYFUNCTION("""COMPUTED_VALUE"""),"")</f>
        <v/>
      </c>
    </row>
    <row r="10687">
      <c r="G10687" s="16" t="str">
        <f>IFERROR(__xludf.DUMMYFUNCTION("""COMPUTED_VALUE"""),"")</f>
        <v/>
      </c>
    </row>
    <row r="10688">
      <c r="G10688" s="16" t="str">
        <f>IFERROR(__xludf.DUMMYFUNCTION("""COMPUTED_VALUE"""),"")</f>
        <v/>
      </c>
    </row>
    <row r="10689">
      <c r="G10689" s="16" t="str">
        <f>IFERROR(__xludf.DUMMYFUNCTION("""COMPUTED_VALUE"""),"")</f>
        <v/>
      </c>
    </row>
    <row r="10690">
      <c r="G10690" s="16" t="str">
        <f>IFERROR(__xludf.DUMMYFUNCTION("""COMPUTED_VALUE"""),"")</f>
        <v/>
      </c>
    </row>
    <row r="10691">
      <c r="G10691" s="16" t="str">
        <f>IFERROR(__xludf.DUMMYFUNCTION("""COMPUTED_VALUE"""),"")</f>
        <v/>
      </c>
    </row>
    <row r="10692">
      <c r="G10692" s="16" t="str">
        <f>IFERROR(__xludf.DUMMYFUNCTION("""COMPUTED_VALUE"""),"")</f>
        <v/>
      </c>
    </row>
    <row r="10693">
      <c r="G10693" s="16" t="str">
        <f>IFERROR(__xludf.DUMMYFUNCTION("""COMPUTED_VALUE"""),"")</f>
        <v/>
      </c>
    </row>
    <row r="10694">
      <c r="G10694" s="16" t="str">
        <f>IFERROR(__xludf.DUMMYFUNCTION("""COMPUTED_VALUE"""),"")</f>
        <v/>
      </c>
    </row>
    <row r="10695">
      <c r="G10695" s="16" t="str">
        <f>IFERROR(__xludf.DUMMYFUNCTION("""COMPUTED_VALUE"""),"")</f>
        <v/>
      </c>
    </row>
    <row r="10696">
      <c r="G10696" s="16" t="str">
        <f>IFERROR(__xludf.DUMMYFUNCTION("""COMPUTED_VALUE"""),"")</f>
        <v/>
      </c>
    </row>
    <row r="10697">
      <c r="G10697" s="16" t="str">
        <f>IFERROR(__xludf.DUMMYFUNCTION("""COMPUTED_VALUE"""),"")</f>
        <v/>
      </c>
    </row>
    <row r="10698">
      <c r="G10698" s="16" t="str">
        <f>IFERROR(__xludf.DUMMYFUNCTION("""COMPUTED_VALUE"""),"")</f>
        <v/>
      </c>
    </row>
    <row r="10699">
      <c r="G10699" s="16" t="str">
        <f>IFERROR(__xludf.DUMMYFUNCTION("""COMPUTED_VALUE"""),"")</f>
        <v/>
      </c>
    </row>
    <row r="10700">
      <c r="G10700" s="16" t="str">
        <f>IFERROR(__xludf.DUMMYFUNCTION("""COMPUTED_VALUE"""),"")</f>
        <v/>
      </c>
    </row>
    <row r="10701">
      <c r="G10701" s="16" t="str">
        <f>IFERROR(__xludf.DUMMYFUNCTION("""COMPUTED_VALUE"""),"")</f>
        <v/>
      </c>
    </row>
    <row r="10702">
      <c r="G10702" s="16" t="str">
        <f>IFERROR(__xludf.DUMMYFUNCTION("""COMPUTED_VALUE"""),"")</f>
        <v/>
      </c>
    </row>
    <row r="10703">
      <c r="G10703" s="16" t="str">
        <f>IFERROR(__xludf.DUMMYFUNCTION("""COMPUTED_VALUE"""),"")</f>
        <v/>
      </c>
    </row>
    <row r="10704">
      <c r="G10704" s="16" t="str">
        <f>IFERROR(__xludf.DUMMYFUNCTION("""COMPUTED_VALUE"""),"")</f>
        <v/>
      </c>
    </row>
    <row r="10705">
      <c r="G10705" s="16" t="str">
        <f>IFERROR(__xludf.DUMMYFUNCTION("""COMPUTED_VALUE"""),"")</f>
        <v/>
      </c>
    </row>
    <row r="10706">
      <c r="G10706" s="16" t="str">
        <f>IFERROR(__xludf.DUMMYFUNCTION("""COMPUTED_VALUE"""),"")</f>
        <v/>
      </c>
    </row>
    <row r="10707">
      <c r="G10707" s="16" t="str">
        <f>IFERROR(__xludf.DUMMYFUNCTION("""COMPUTED_VALUE"""),"")</f>
        <v/>
      </c>
    </row>
    <row r="10708">
      <c r="G10708" s="16" t="str">
        <f>IFERROR(__xludf.DUMMYFUNCTION("""COMPUTED_VALUE"""),"")</f>
        <v/>
      </c>
    </row>
    <row r="10709">
      <c r="G10709" s="16" t="str">
        <f>IFERROR(__xludf.DUMMYFUNCTION("""COMPUTED_VALUE"""),"")</f>
        <v/>
      </c>
    </row>
    <row r="10710">
      <c r="G10710" s="16" t="str">
        <f>IFERROR(__xludf.DUMMYFUNCTION("""COMPUTED_VALUE"""),"")</f>
        <v/>
      </c>
    </row>
    <row r="10711">
      <c r="G10711" s="16" t="str">
        <f>IFERROR(__xludf.DUMMYFUNCTION("""COMPUTED_VALUE"""),"")</f>
        <v/>
      </c>
    </row>
    <row r="10712">
      <c r="G10712" s="16" t="str">
        <f>IFERROR(__xludf.DUMMYFUNCTION("""COMPUTED_VALUE"""),"")</f>
        <v/>
      </c>
    </row>
    <row r="10713">
      <c r="G10713" s="16" t="str">
        <f>IFERROR(__xludf.DUMMYFUNCTION("""COMPUTED_VALUE"""),"")</f>
        <v/>
      </c>
    </row>
    <row r="10714">
      <c r="G10714" s="16" t="str">
        <f>IFERROR(__xludf.DUMMYFUNCTION("""COMPUTED_VALUE"""),"")</f>
        <v/>
      </c>
    </row>
    <row r="10715">
      <c r="G10715" s="16" t="str">
        <f>IFERROR(__xludf.DUMMYFUNCTION("""COMPUTED_VALUE"""),"")</f>
        <v/>
      </c>
    </row>
    <row r="10716">
      <c r="G10716" s="16" t="str">
        <f>IFERROR(__xludf.DUMMYFUNCTION("""COMPUTED_VALUE"""),"")</f>
        <v/>
      </c>
    </row>
    <row r="10717">
      <c r="G10717" s="16" t="str">
        <f>IFERROR(__xludf.DUMMYFUNCTION("""COMPUTED_VALUE"""),"")</f>
        <v/>
      </c>
    </row>
    <row r="10718">
      <c r="G10718" s="16" t="str">
        <f>IFERROR(__xludf.DUMMYFUNCTION("""COMPUTED_VALUE"""),"")</f>
        <v/>
      </c>
    </row>
    <row r="10719">
      <c r="G10719" s="16" t="str">
        <f>IFERROR(__xludf.DUMMYFUNCTION("""COMPUTED_VALUE"""),"")</f>
        <v/>
      </c>
    </row>
    <row r="10720">
      <c r="G10720" s="16" t="str">
        <f>IFERROR(__xludf.DUMMYFUNCTION("""COMPUTED_VALUE"""),"")</f>
        <v/>
      </c>
    </row>
    <row r="10721">
      <c r="G10721" s="16" t="str">
        <f>IFERROR(__xludf.DUMMYFUNCTION("""COMPUTED_VALUE"""),"")</f>
        <v/>
      </c>
    </row>
    <row r="10722">
      <c r="G10722" s="16" t="str">
        <f>IFERROR(__xludf.DUMMYFUNCTION("""COMPUTED_VALUE"""),"")</f>
        <v/>
      </c>
    </row>
    <row r="10723">
      <c r="G10723" s="16" t="str">
        <f>IFERROR(__xludf.DUMMYFUNCTION("""COMPUTED_VALUE"""),"")</f>
        <v/>
      </c>
    </row>
    <row r="10724">
      <c r="G10724" s="16" t="str">
        <f>IFERROR(__xludf.DUMMYFUNCTION("""COMPUTED_VALUE"""),"")</f>
        <v/>
      </c>
    </row>
    <row r="10725">
      <c r="G10725" s="16" t="str">
        <f>IFERROR(__xludf.DUMMYFUNCTION("""COMPUTED_VALUE"""),"")</f>
        <v/>
      </c>
    </row>
    <row r="10726">
      <c r="G10726" s="16" t="str">
        <f>IFERROR(__xludf.DUMMYFUNCTION("""COMPUTED_VALUE"""),"")</f>
        <v/>
      </c>
    </row>
    <row r="10727">
      <c r="G10727" s="16" t="str">
        <f>IFERROR(__xludf.DUMMYFUNCTION("""COMPUTED_VALUE"""),"")</f>
        <v/>
      </c>
    </row>
    <row r="10728">
      <c r="G10728" s="16" t="str">
        <f>IFERROR(__xludf.DUMMYFUNCTION("""COMPUTED_VALUE"""),"")</f>
        <v/>
      </c>
    </row>
    <row r="10729">
      <c r="G10729" s="16" t="str">
        <f>IFERROR(__xludf.DUMMYFUNCTION("""COMPUTED_VALUE"""),"")</f>
        <v/>
      </c>
    </row>
    <row r="10730">
      <c r="G10730" s="16" t="str">
        <f>IFERROR(__xludf.DUMMYFUNCTION("""COMPUTED_VALUE"""),"")</f>
        <v/>
      </c>
    </row>
    <row r="10731">
      <c r="G10731" s="16" t="str">
        <f>IFERROR(__xludf.DUMMYFUNCTION("""COMPUTED_VALUE"""),"")</f>
        <v/>
      </c>
    </row>
    <row r="10732">
      <c r="G10732" s="16" t="str">
        <f>IFERROR(__xludf.DUMMYFUNCTION("""COMPUTED_VALUE"""),"")</f>
        <v/>
      </c>
    </row>
    <row r="10733">
      <c r="G10733" s="16" t="str">
        <f>IFERROR(__xludf.DUMMYFUNCTION("""COMPUTED_VALUE"""),"")</f>
        <v/>
      </c>
    </row>
    <row r="10734">
      <c r="G10734" s="16" t="str">
        <f>IFERROR(__xludf.DUMMYFUNCTION("""COMPUTED_VALUE"""),"")</f>
        <v/>
      </c>
    </row>
    <row r="10735">
      <c r="G10735" s="16" t="str">
        <f>IFERROR(__xludf.DUMMYFUNCTION("""COMPUTED_VALUE"""),"")</f>
        <v/>
      </c>
    </row>
    <row r="10736">
      <c r="G10736" s="16" t="str">
        <f>IFERROR(__xludf.DUMMYFUNCTION("""COMPUTED_VALUE"""),"")</f>
        <v/>
      </c>
    </row>
    <row r="10737">
      <c r="G10737" s="16" t="str">
        <f>IFERROR(__xludf.DUMMYFUNCTION("""COMPUTED_VALUE"""),"")</f>
        <v/>
      </c>
    </row>
    <row r="10738">
      <c r="G10738" s="16" t="str">
        <f>IFERROR(__xludf.DUMMYFUNCTION("""COMPUTED_VALUE"""),"")</f>
        <v/>
      </c>
    </row>
    <row r="10739">
      <c r="G10739" s="16" t="str">
        <f>IFERROR(__xludf.DUMMYFUNCTION("""COMPUTED_VALUE"""),"")</f>
        <v/>
      </c>
    </row>
    <row r="10740">
      <c r="G10740" s="16" t="str">
        <f>IFERROR(__xludf.DUMMYFUNCTION("""COMPUTED_VALUE"""),"")</f>
        <v/>
      </c>
    </row>
    <row r="10741">
      <c r="G10741" s="16" t="str">
        <f>IFERROR(__xludf.DUMMYFUNCTION("""COMPUTED_VALUE"""),"")</f>
        <v/>
      </c>
    </row>
    <row r="10742">
      <c r="G10742" s="16" t="str">
        <f>IFERROR(__xludf.DUMMYFUNCTION("""COMPUTED_VALUE"""),"")</f>
        <v/>
      </c>
    </row>
    <row r="10743">
      <c r="G10743" s="16" t="str">
        <f>IFERROR(__xludf.DUMMYFUNCTION("""COMPUTED_VALUE"""),"")</f>
        <v/>
      </c>
    </row>
    <row r="10744">
      <c r="G10744" s="16" t="str">
        <f>IFERROR(__xludf.DUMMYFUNCTION("""COMPUTED_VALUE"""),"")</f>
        <v/>
      </c>
    </row>
    <row r="10745">
      <c r="G10745" s="16" t="str">
        <f>IFERROR(__xludf.DUMMYFUNCTION("""COMPUTED_VALUE"""),"")</f>
        <v/>
      </c>
    </row>
    <row r="10746">
      <c r="G10746" s="16" t="str">
        <f>IFERROR(__xludf.DUMMYFUNCTION("""COMPUTED_VALUE"""),"")</f>
        <v/>
      </c>
    </row>
    <row r="10747">
      <c r="G10747" s="16" t="str">
        <f>IFERROR(__xludf.DUMMYFUNCTION("""COMPUTED_VALUE"""),"")</f>
        <v/>
      </c>
    </row>
    <row r="10748">
      <c r="G10748" s="16" t="str">
        <f>IFERROR(__xludf.DUMMYFUNCTION("""COMPUTED_VALUE"""),"")</f>
        <v/>
      </c>
    </row>
    <row r="10749">
      <c r="G10749" s="16" t="str">
        <f>IFERROR(__xludf.DUMMYFUNCTION("""COMPUTED_VALUE"""),"")</f>
        <v/>
      </c>
    </row>
    <row r="10750">
      <c r="G10750" s="16" t="str">
        <f>IFERROR(__xludf.DUMMYFUNCTION("""COMPUTED_VALUE"""),"")</f>
        <v/>
      </c>
    </row>
    <row r="10751">
      <c r="G10751" s="16" t="str">
        <f>IFERROR(__xludf.DUMMYFUNCTION("""COMPUTED_VALUE"""),"")</f>
        <v/>
      </c>
    </row>
    <row r="10752">
      <c r="G10752" s="16" t="str">
        <f>IFERROR(__xludf.DUMMYFUNCTION("""COMPUTED_VALUE"""),"")</f>
        <v/>
      </c>
    </row>
    <row r="10753">
      <c r="G10753" s="16" t="str">
        <f>IFERROR(__xludf.DUMMYFUNCTION("""COMPUTED_VALUE"""),"")</f>
        <v/>
      </c>
    </row>
    <row r="10754">
      <c r="G10754" s="16" t="str">
        <f>IFERROR(__xludf.DUMMYFUNCTION("""COMPUTED_VALUE"""),"")</f>
        <v/>
      </c>
    </row>
    <row r="10755">
      <c r="G10755" s="16" t="str">
        <f>IFERROR(__xludf.DUMMYFUNCTION("""COMPUTED_VALUE"""),"")</f>
        <v/>
      </c>
    </row>
    <row r="10756">
      <c r="G10756" s="16" t="str">
        <f>IFERROR(__xludf.DUMMYFUNCTION("""COMPUTED_VALUE"""),"")</f>
        <v/>
      </c>
    </row>
    <row r="10757">
      <c r="G10757" s="16" t="str">
        <f>IFERROR(__xludf.DUMMYFUNCTION("""COMPUTED_VALUE"""),"")</f>
        <v/>
      </c>
    </row>
    <row r="10758">
      <c r="G10758" s="16" t="str">
        <f>IFERROR(__xludf.DUMMYFUNCTION("""COMPUTED_VALUE"""),"")</f>
        <v/>
      </c>
    </row>
    <row r="10759">
      <c r="G10759" s="16" t="str">
        <f>IFERROR(__xludf.DUMMYFUNCTION("""COMPUTED_VALUE"""),"")</f>
        <v/>
      </c>
    </row>
    <row r="10760">
      <c r="G10760" s="16" t="str">
        <f>IFERROR(__xludf.DUMMYFUNCTION("""COMPUTED_VALUE"""),"")</f>
        <v/>
      </c>
    </row>
    <row r="10761">
      <c r="G10761" s="16" t="str">
        <f>IFERROR(__xludf.DUMMYFUNCTION("""COMPUTED_VALUE"""),"")</f>
        <v/>
      </c>
    </row>
    <row r="10762">
      <c r="G10762" s="16" t="str">
        <f>IFERROR(__xludf.DUMMYFUNCTION("""COMPUTED_VALUE"""),"")</f>
        <v/>
      </c>
    </row>
    <row r="10763">
      <c r="G10763" s="16" t="str">
        <f>IFERROR(__xludf.DUMMYFUNCTION("""COMPUTED_VALUE"""),"")</f>
        <v/>
      </c>
    </row>
    <row r="10764">
      <c r="G10764" s="16" t="str">
        <f>IFERROR(__xludf.DUMMYFUNCTION("""COMPUTED_VALUE"""),"")</f>
        <v/>
      </c>
    </row>
    <row r="10765">
      <c r="G10765" s="16" t="str">
        <f>IFERROR(__xludf.DUMMYFUNCTION("""COMPUTED_VALUE"""),"")</f>
        <v/>
      </c>
    </row>
    <row r="10766">
      <c r="G10766" s="16" t="str">
        <f>IFERROR(__xludf.DUMMYFUNCTION("""COMPUTED_VALUE"""),"")</f>
        <v/>
      </c>
    </row>
    <row r="10767">
      <c r="G10767" s="16" t="str">
        <f>IFERROR(__xludf.DUMMYFUNCTION("""COMPUTED_VALUE"""),"")</f>
        <v/>
      </c>
    </row>
    <row r="10768">
      <c r="G10768" s="16" t="str">
        <f>IFERROR(__xludf.DUMMYFUNCTION("""COMPUTED_VALUE"""),"")</f>
        <v/>
      </c>
    </row>
    <row r="10769">
      <c r="G10769" s="16" t="str">
        <f>IFERROR(__xludf.DUMMYFUNCTION("""COMPUTED_VALUE"""),"")</f>
        <v/>
      </c>
    </row>
    <row r="10770">
      <c r="G10770" s="16" t="str">
        <f>IFERROR(__xludf.DUMMYFUNCTION("""COMPUTED_VALUE"""),"")</f>
        <v/>
      </c>
    </row>
    <row r="10771">
      <c r="G10771" s="16" t="str">
        <f>IFERROR(__xludf.DUMMYFUNCTION("""COMPUTED_VALUE"""),"")</f>
        <v/>
      </c>
    </row>
    <row r="10772">
      <c r="G10772" s="16" t="str">
        <f>IFERROR(__xludf.DUMMYFUNCTION("""COMPUTED_VALUE"""),"")</f>
        <v/>
      </c>
    </row>
    <row r="10773">
      <c r="G10773" s="16" t="str">
        <f>IFERROR(__xludf.DUMMYFUNCTION("""COMPUTED_VALUE"""),"")</f>
        <v/>
      </c>
    </row>
    <row r="10774">
      <c r="G10774" s="16" t="str">
        <f>IFERROR(__xludf.DUMMYFUNCTION("""COMPUTED_VALUE"""),"")</f>
        <v/>
      </c>
    </row>
    <row r="10775">
      <c r="G10775" s="16" t="str">
        <f>IFERROR(__xludf.DUMMYFUNCTION("""COMPUTED_VALUE"""),"")</f>
        <v/>
      </c>
    </row>
    <row r="10776">
      <c r="G10776" s="16" t="str">
        <f>IFERROR(__xludf.DUMMYFUNCTION("""COMPUTED_VALUE"""),"")</f>
        <v/>
      </c>
    </row>
    <row r="10777">
      <c r="G10777" s="16" t="str">
        <f>IFERROR(__xludf.DUMMYFUNCTION("""COMPUTED_VALUE"""),"")</f>
        <v/>
      </c>
    </row>
    <row r="10778">
      <c r="G10778" s="16" t="str">
        <f>IFERROR(__xludf.DUMMYFUNCTION("""COMPUTED_VALUE"""),"")</f>
        <v/>
      </c>
    </row>
    <row r="10779">
      <c r="G10779" s="16" t="str">
        <f>IFERROR(__xludf.DUMMYFUNCTION("""COMPUTED_VALUE"""),"")</f>
        <v/>
      </c>
    </row>
    <row r="10780">
      <c r="G10780" s="16" t="str">
        <f>IFERROR(__xludf.DUMMYFUNCTION("""COMPUTED_VALUE"""),"")</f>
        <v/>
      </c>
    </row>
    <row r="10781">
      <c r="G10781" s="16" t="str">
        <f>IFERROR(__xludf.DUMMYFUNCTION("""COMPUTED_VALUE"""),"")</f>
        <v/>
      </c>
    </row>
    <row r="10782">
      <c r="G10782" s="16" t="str">
        <f>IFERROR(__xludf.DUMMYFUNCTION("""COMPUTED_VALUE"""),"")</f>
        <v/>
      </c>
    </row>
    <row r="10783">
      <c r="G10783" s="16" t="str">
        <f>IFERROR(__xludf.DUMMYFUNCTION("""COMPUTED_VALUE"""),"")</f>
        <v/>
      </c>
    </row>
    <row r="10784">
      <c r="G10784" s="16" t="str">
        <f>IFERROR(__xludf.DUMMYFUNCTION("""COMPUTED_VALUE"""),"")</f>
        <v/>
      </c>
    </row>
    <row r="10785">
      <c r="G10785" s="16" t="str">
        <f>IFERROR(__xludf.DUMMYFUNCTION("""COMPUTED_VALUE"""),"")</f>
        <v/>
      </c>
    </row>
    <row r="10786">
      <c r="G10786" s="16" t="str">
        <f>IFERROR(__xludf.DUMMYFUNCTION("""COMPUTED_VALUE"""),"")</f>
        <v/>
      </c>
    </row>
    <row r="10787">
      <c r="G10787" s="16" t="str">
        <f>IFERROR(__xludf.DUMMYFUNCTION("""COMPUTED_VALUE"""),"")</f>
        <v/>
      </c>
    </row>
    <row r="10788">
      <c r="G10788" s="16" t="str">
        <f>IFERROR(__xludf.DUMMYFUNCTION("""COMPUTED_VALUE"""),"")</f>
        <v/>
      </c>
    </row>
    <row r="10789">
      <c r="G10789" s="16" t="str">
        <f>IFERROR(__xludf.DUMMYFUNCTION("""COMPUTED_VALUE"""),"")</f>
        <v/>
      </c>
    </row>
    <row r="10790">
      <c r="G10790" s="16" t="str">
        <f>IFERROR(__xludf.DUMMYFUNCTION("""COMPUTED_VALUE"""),"")</f>
        <v/>
      </c>
    </row>
    <row r="10791">
      <c r="G10791" s="16" t="str">
        <f>IFERROR(__xludf.DUMMYFUNCTION("""COMPUTED_VALUE"""),"")</f>
        <v/>
      </c>
    </row>
    <row r="10792">
      <c r="G10792" s="16" t="str">
        <f>IFERROR(__xludf.DUMMYFUNCTION("""COMPUTED_VALUE"""),"")</f>
        <v/>
      </c>
    </row>
    <row r="10793">
      <c r="G10793" s="16" t="str">
        <f>IFERROR(__xludf.DUMMYFUNCTION("""COMPUTED_VALUE"""),"")</f>
        <v/>
      </c>
    </row>
    <row r="10794">
      <c r="G10794" s="16" t="str">
        <f>IFERROR(__xludf.DUMMYFUNCTION("""COMPUTED_VALUE"""),"")</f>
        <v/>
      </c>
    </row>
    <row r="10795">
      <c r="G10795" s="16" t="str">
        <f>IFERROR(__xludf.DUMMYFUNCTION("""COMPUTED_VALUE"""),"")</f>
        <v/>
      </c>
    </row>
    <row r="10796">
      <c r="G10796" s="16" t="str">
        <f>IFERROR(__xludf.DUMMYFUNCTION("""COMPUTED_VALUE"""),"")</f>
        <v/>
      </c>
    </row>
    <row r="10797">
      <c r="G10797" s="16" t="str">
        <f>IFERROR(__xludf.DUMMYFUNCTION("""COMPUTED_VALUE"""),"")</f>
        <v/>
      </c>
    </row>
    <row r="10798">
      <c r="G10798" s="16" t="str">
        <f>IFERROR(__xludf.DUMMYFUNCTION("""COMPUTED_VALUE"""),"")</f>
        <v/>
      </c>
    </row>
    <row r="10799">
      <c r="G10799" s="16" t="str">
        <f>IFERROR(__xludf.DUMMYFUNCTION("""COMPUTED_VALUE"""),"")</f>
        <v/>
      </c>
    </row>
    <row r="10800">
      <c r="G10800" s="16" t="str">
        <f>IFERROR(__xludf.DUMMYFUNCTION("""COMPUTED_VALUE"""),"")</f>
        <v/>
      </c>
    </row>
    <row r="10801">
      <c r="G10801" s="16" t="str">
        <f>IFERROR(__xludf.DUMMYFUNCTION("""COMPUTED_VALUE"""),"")</f>
        <v/>
      </c>
    </row>
    <row r="10802">
      <c r="G10802" s="16" t="str">
        <f>IFERROR(__xludf.DUMMYFUNCTION("""COMPUTED_VALUE"""),"")</f>
        <v/>
      </c>
    </row>
    <row r="10803">
      <c r="G10803" s="16" t="str">
        <f>IFERROR(__xludf.DUMMYFUNCTION("""COMPUTED_VALUE"""),"")</f>
        <v/>
      </c>
    </row>
    <row r="10804">
      <c r="G10804" s="16" t="str">
        <f>IFERROR(__xludf.DUMMYFUNCTION("""COMPUTED_VALUE"""),"")</f>
        <v/>
      </c>
    </row>
    <row r="10805">
      <c r="G10805" s="16" t="str">
        <f>IFERROR(__xludf.DUMMYFUNCTION("""COMPUTED_VALUE"""),"")</f>
        <v/>
      </c>
    </row>
    <row r="10806">
      <c r="G10806" s="16" t="str">
        <f>IFERROR(__xludf.DUMMYFUNCTION("""COMPUTED_VALUE"""),"")</f>
        <v/>
      </c>
    </row>
    <row r="10807">
      <c r="G10807" s="16" t="str">
        <f>IFERROR(__xludf.DUMMYFUNCTION("""COMPUTED_VALUE"""),"")</f>
        <v/>
      </c>
    </row>
    <row r="10808">
      <c r="G10808" s="16" t="str">
        <f>IFERROR(__xludf.DUMMYFUNCTION("""COMPUTED_VALUE"""),"")</f>
        <v/>
      </c>
    </row>
    <row r="10809">
      <c r="G10809" s="16" t="str">
        <f>IFERROR(__xludf.DUMMYFUNCTION("""COMPUTED_VALUE"""),"")</f>
        <v/>
      </c>
    </row>
    <row r="10810">
      <c r="G10810" s="16" t="str">
        <f>IFERROR(__xludf.DUMMYFUNCTION("""COMPUTED_VALUE"""),"")</f>
        <v/>
      </c>
    </row>
    <row r="10811">
      <c r="G10811" s="16" t="str">
        <f>IFERROR(__xludf.DUMMYFUNCTION("""COMPUTED_VALUE"""),"")</f>
        <v/>
      </c>
    </row>
    <row r="10812">
      <c r="G10812" s="16" t="str">
        <f>IFERROR(__xludf.DUMMYFUNCTION("""COMPUTED_VALUE"""),"")</f>
        <v/>
      </c>
    </row>
    <row r="10813">
      <c r="G10813" s="16" t="str">
        <f>IFERROR(__xludf.DUMMYFUNCTION("""COMPUTED_VALUE"""),"")</f>
        <v/>
      </c>
    </row>
    <row r="10814">
      <c r="G10814" s="16" t="str">
        <f>IFERROR(__xludf.DUMMYFUNCTION("""COMPUTED_VALUE"""),"")</f>
        <v/>
      </c>
    </row>
    <row r="10815">
      <c r="G10815" s="16" t="str">
        <f>IFERROR(__xludf.DUMMYFUNCTION("""COMPUTED_VALUE"""),"")</f>
        <v/>
      </c>
    </row>
    <row r="10816">
      <c r="G10816" s="16" t="str">
        <f>IFERROR(__xludf.DUMMYFUNCTION("""COMPUTED_VALUE"""),"")</f>
        <v/>
      </c>
    </row>
    <row r="10817">
      <c r="G10817" s="16" t="str">
        <f>IFERROR(__xludf.DUMMYFUNCTION("""COMPUTED_VALUE"""),"")</f>
        <v/>
      </c>
    </row>
    <row r="10818">
      <c r="G10818" s="16" t="str">
        <f>IFERROR(__xludf.DUMMYFUNCTION("""COMPUTED_VALUE"""),"")</f>
        <v/>
      </c>
    </row>
    <row r="10819">
      <c r="G10819" s="16" t="str">
        <f>IFERROR(__xludf.DUMMYFUNCTION("""COMPUTED_VALUE"""),"")</f>
        <v/>
      </c>
    </row>
    <row r="10820">
      <c r="G10820" s="16" t="str">
        <f>IFERROR(__xludf.DUMMYFUNCTION("""COMPUTED_VALUE"""),"")</f>
        <v/>
      </c>
    </row>
    <row r="10821">
      <c r="G10821" s="16" t="str">
        <f>IFERROR(__xludf.DUMMYFUNCTION("""COMPUTED_VALUE"""),"")</f>
        <v/>
      </c>
    </row>
    <row r="10822">
      <c r="G10822" s="16" t="str">
        <f>IFERROR(__xludf.DUMMYFUNCTION("""COMPUTED_VALUE"""),"")</f>
        <v/>
      </c>
    </row>
    <row r="10823">
      <c r="G10823" s="16" t="str">
        <f>IFERROR(__xludf.DUMMYFUNCTION("""COMPUTED_VALUE"""),"")</f>
        <v/>
      </c>
    </row>
    <row r="10824">
      <c r="G10824" s="16" t="str">
        <f>IFERROR(__xludf.DUMMYFUNCTION("""COMPUTED_VALUE"""),"")</f>
        <v/>
      </c>
    </row>
    <row r="10825">
      <c r="G10825" s="16" t="str">
        <f>IFERROR(__xludf.DUMMYFUNCTION("""COMPUTED_VALUE"""),"")</f>
        <v/>
      </c>
    </row>
    <row r="10826">
      <c r="G10826" s="16" t="str">
        <f>IFERROR(__xludf.DUMMYFUNCTION("""COMPUTED_VALUE"""),"")</f>
        <v/>
      </c>
    </row>
    <row r="10827">
      <c r="G10827" s="16" t="str">
        <f>IFERROR(__xludf.DUMMYFUNCTION("""COMPUTED_VALUE"""),"")</f>
        <v/>
      </c>
    </row>
    <row r="10828">
      <c r="G10828" s="16" t="str">
        <f>IFERROR(__xludf.DUMMYFUNCTION("""COMPUTED_VALUE"""),"")</f>
        <v/>
      </c>
    </row>
    <row r="10829">
      <c r="G10829" s="16" t="str">
        <f>IFERROR(__xludf.DUMMYFUNCTION("""COMPUTED_VALUE"""),"")</f>
        <v/>
      </c>
    </row>
    <row r="10830">
      <c r="G10830" s="16" t="str">
        <f>IFERROR(__xludf.DUMMYFUNCTION("""COMPUTED_VALUE"""),"")</f>
        <v/>
      </c>
    </row>
    <row r="10831">
      <c r="G10831" s="16" t="str">
        <f>IFERROR(__xludf.DUMMYFUNCTION("""COMPUTED_VALUE"""),"")</f>
        <v/>
      </c>
    </row>
    <row r="10832">
      <c r="G10832" s="16" t="str">
        <f>IFERROR(__xludf.DUMMYFUNCTION("""COMPUTED_VALUE"""),"")</f>
        <v/>
      </c>
    </row>
    <row r="10833">
      <c r="G10833" s="16" t="str">
        <f>IFERROR(__xludf.DUMMYFUNCTION("""COMPUTED_VALUE"""),"")</f>
        <v/>
      </c>
    </row>
    <row r="10834">
      <c r="G10834" s="16" t="str">
        <f>IFERROR(__xludf.DUMMYFUNCTION("""COMPUTED_VALUE"""),"")</f>
        <v/>
      </c>
    </row>
    <row r="10835">
      <c r="G10835" s="16" t="str">
        <f>IFERROR(__xludf.DUMMYFUNCTION("""COMPUTED_VALUE"""),"")</f>
        <v/>
      </c>
    </row>
    <row r="10836">
      <c r="G10836" s="16" t="str">
        <f>IFERROR(__xludf.DUMMYFUNCTION("""COMPUTED_VALUE"""),"")</f>
        <v/>
      </c>
    </row>
    <row r="10837">
      <c r="G10837" s="16" t="str">
        <f>IFERROR(__xludf.DUMMYFUNCTION("""COMPUTED_VALUE"""),"")</f>
        <v/>
      </c>
    </row>
    <row r="10838">
      <c r="G10838" s="16" t="str">
        <f>IFERROR(__xludf.DUMMYFUNCTION("""COMPUTED_VALUE"""),"")</f>
        <v/>
      </c>
    </row>
    <row r="10839">
      <c r="G10839" s="16" t="str">
        <f>IFERROR(__xludf.DUMMYFUNCTION("""COMPUTED_VALUE"""),"")</f>
        <v/>
      </c>
    </row>
    <row r="10840">
      <c r="G10840" s="16" t="str">
        <f>IFERROR(__xludf.DUMMYFUNCTION("""COMPUTED_VALUE"""),"")</f>
        <v/>
      </c>
    </row>
    <row r="10841">
      <c r="G10841" s="16" t="str">
        <f>IFERROR(__xludf.DUMMYFUNCTION("""COMPUTED_VALUE"""),"")</f>
        <v/>
      </c>
    </row>
    <row r="10842">
      <c r="G10842" s="16" t="str">
        <f>IFERROR(__xludf.DUMMYFUNCTION("""COMPUTED_VALUE"""),"")</f>
        <v/>
      </c>
    </row>
    <row r="10843">
      <c r="G10843" s="16" t="str">
        <f>IFERROR(__xludf.DUMMYFUNCTION("""COMPUTED_VALUE"""),"")</f>
        <v/>
      </c>
    </row>
    <row r="10844">
      <c r="G10844" s="16" t="str">
        <f>IFERROR(__xludf.DUMMYFUNCTION("""COMPUTED_VALUE"""),"")</f>
        <v/>
      </c>
    </row>
    <row r="10845">
      <c r="G10845" s="16" t="str">
        <f>IFERROR(__xludf.DUMMYFUNCTION("""COMPUTED_VALUE"""),"")</f>
        <v/>
      </c>
    </row>
    <row r="10846">
      <c r="G10846" s="16" t="str">
        <f>IFERROR(__xludf.DUMMYFUNCTION("""COMPUTED_VALUE"""),"")</f>
        <v/>
      </c>
    </row>
    <row r="10847">
      <c r="G10847" s="16" t="str">
        <f>IFERROR(__xludf.DUMMYFUNCTION("""COMPUTED_VALUE"""),"")</f>
        <v/>
      </c>
    </row>
    <row r="10848">
      <c r="G10848" s="16" t="str">
        <f>IFERROR(__xludf.DUMMYFUNCTION("""COMPUTED_VALUE"""),"")</f>
        <v/>
      </c>
    </row>
    <row r="10849">
      <c r="G10849" s="16" t="str">
        <f>IFERROR(__xludf.DUMMYFUNCTION("""COMPUTED_VALUE"""),"")</f>
        <v/>
      </c>
    </row>
    <row r="10850">
      <c r="G10850" s="16" t="str">
        <f>IFERROR(__xludf.DUMMYFUNCTION("""COMPUTED_VALUE"""),"")</f>
        <v/>
      </c>
    </row>
    <row r="10851">
      <c r="G10851" s="16" t="str">
        <f>IFERROR(__xludf.DUMMYFUNCTION("""COMPUTED_VALUE"""),"")</f>
        <v/>
      </c>
    </row>
    <row r="10852">
      <c r="G10852" s="16" t="str">
        <f>IFERROR(__xludf.DUMMYFUNCTION("""COMPUTED_VALUE"""),"")</f>
        <v/>
      </c>
    </row>
    <row r="10853">
      <c r="G10853" s="16" t="str">
        <f>IFERROR(__xludf.DUMMYFUNCTION("""COMPUTED_VALUE"""),"")</f>
        <v/>
      </c>
    </row>
    <row r="10854">
      <c r="G10854" s="16" t="str">
        <f>IFERROR(__xludf.DUMMYFUNCTION("""COMPUTED_VALUE"""),"")</f>
        <v/>
      </c>
    </row>
    <row r="10855">
      <c r="G10855" s="16" t="str">
        <f>IFERROR(__xludf.DUMMYFUNCTION("""COMPUTED_VALUE"""),"")</f>
        <v/>
      </c>
    </row>
    <row r="10856">
      <c r="G10856" s="16" t="str">
        <f>IFERROR(__xludf.DUMMYFUNCTION("""COMPUTED_VALUE"""),"")</f>
        <v/>
      </c>
    </row>
    <row r="10857">
      <c r="G10857" s="16" t="str">
        <f>IFERROR(__xludf.DUMMYFUNCTION("""COMPUTED_VALUE"""),"")</f>
        <v/>
      </c>
    </row>
    <row r="10858">
      <c r="G10858" s="16" t="str">
        <f>IFERROR(__xludf.DUMMYFUNCTION("""COMPUTED_VALUE"""),"")</f>
        <v/>
      </c>
    </row>
    <row r="10859">
      <c r="G10859" s="16" t="str">
        <f>IFERROR(__xludf.DUMMYFUNCTION("""COMPUTED_VALUE"""),"")</f>
        <v/>
      </c>
    </row>
    <row r="10860">
      <c r="G10860" s="16" t="str">
        <f>IFERROR(__xludf.DUMMYFUNCTION("""COMPUTED_VALUE"""),"")</f>
        <v/>
      </c>
    </row>
    <row r="10861">
      <c r="G10861" s="16" t="str">
        <f>IFERROR(__xludf.DUMMYFUNCTION("""COMPUTED_VALUE"""),"")</f>
        <v/>
      </c>
    </row>
    <row r="10862">
      <c r="G10862" s="16" t="str">
        <f>IFERROR(__xludf.DUMMYFUNCTION("""COMPUTED_VALUE"""),"")</f>
        <v/>
      </c>
    </row>
    <row r="10863">
      <c r="G10863" s="16" t="str">
        <f>IFERROR(__xludf.DUMMYFUNCTION("""COMPUTED_VALUE"""),"")</f>
        <v/>
      </c>
    </row>
    <row r="10864">
      <c r="G10864" s="16" t="str">
        <f>IFERROR(__xludf.DUMMYFUNCTION("""COMPUTED_VALUE"""),"")</f>
        <v/>
      </c>
    </row>
    <row r="10865">
      <c r="G10865" s="16" t="str">
        <f>IFERROR(__xludf.DUMMYFUNCTION("""COMPUTED_VALUE"""),"")</f>
        <v/>
      </c>
    </row>
    <row r="10866">
      <c r="G10866" s="16" t="str">
        <f>IFERROR(__xludf.DUMMYFUNCTION("""COMPUTED_VALUE"""),"")</f>
        <v/>
      </c>
    </row>
    <row r="10867">
      <c r="G10867" s="16" t="str">
        <f>IFERROR(__xludf.DUMMYFUNCTION("""COMPUTED_VALUE"""),"")</f>
        <v/>
      </c>
    </row>
    <row r="10868">
      <c r="G10868" s="16" t="str">
        <f>IFERROR(__xludf.DUMMYFUNCTION("""COMPUTED_VALUE"""),"")</f>
        <v/>
      </c>
    </row>
    <row r="10869">
      <c r="G10869" s="16" t="str">
        <f>IFERROR(__xludf.DUMMYFUNCTION("""COMPUTED_VALUE"""),"")</f>
        <v/>
      </c>
    </row>
    <row r="10870">
      <c r="G10870" s="16" t="str">
        <f>IFERROR(__xludf.DUMMYFUNCTION("""COMPUTED_VALUE"""),"")</f>
        <v/>
      </c>
    </row>
    <row r="10871">
      <c r="G10871" s="16" t="str">
        <f>IFERROR(__xludf.DUMMYFUNCTION("""COMPUTED_VALUE"""),"")</f>
        <v/>
      </c>
    </row>
    <row r="10872">
      <c r="G10872" s="16" t="str">
        <f>IFERROR(__xludf.DUMMYFUNCTION("""COMPUTED_VALUE"""),"")</f>
        <v/>
      </c>
    </row>
    <row r="10873">
      <c r="G10873" s="16" t="str">
        <f>IFERROR(__xludf.DUMMYFUNCTION("""COMPUTED_VALUE"""),"")</f>
        <v/>
      </c>
    </row>
    <row r="10874">
      <c r="G10874" s="16" t="str">
        <f>IFERROR(__xludf.DUMMYFUNCTION("""COMPUTED_VALUE"""),"")</f>
        <v/>
      </c>
    </row>
    <row r="10875">
      <c r="G10875" s="16" t="str">
        <f>IFERROR(__xludf.DUMMYFUNCTION("""COMPUTED_VALUE"""),"")</f>
        <v/>
      </c>
    </row>
    <row r="10876">
      <c r="G10876" s="16" t="str">
        <f>IFERROR(__xludf.DUMMYFUNCTION("""COMPUTED_VALUE"""),"")</f>
        <v/>
      </c>
    </row>
    <row r="10877">
      <c r="G10877" s="16" t="str">
        <f>IFERROR(__xludf.DUMMYFUNCTION("""COMPUTED_VALUE"""),"")</f>
        <v/>
      </c>
    </row>
    <row r="10878">
      <c r="G10878" s="16" t="str">
        <f>IFERROR(__xludf.DUMMYFUNCTION("""COMPUTED_VALUE"""),"")</f>
        <v/>
      </c>
    </row>
    <row r="10879">
      <c r="G10879" s="16" t="str">
        <f>IFERROR(__xludf.DUMMYFUNCTION("""COMPUTED_VALUE"""),"")</f>
        <v/>
      </c>
    </row>
    <row r="10880">
      <c r="G10880" s="16" t="str">
        <f>IFERROR(__xludf.DUMMYFUNCTION("""COMPUTED_VALUE"""),"")</f>
        <v/>
      </c>
    </row>
    <row r="10881">
      <c r="G10881" s="16" t="str">
        <f>IFERROR(__xludf.DUMMYFUNCTION("""COMPUTED_VALUE"""),"")</f>
        <v/>
      </c>
    </row>
    <row r="10882">
      <c r="G10882" s="16" t="str">
        <f>IFERROR(__xludf.DUMMYFUNCTION("""COMPUTED_VALUE"""),"")</f>
        <v/>
      </c>
    </row>
    <row r="10883">
      <c r="G10883" s="16" t="str">
        <f>IFERROR(__xludf.DUMMYFUNCTION("""COMPUTED_VALUE"""),"")</f>
        <v/>
      </c>
    </row>
    <row r="10884">
      <c r="G10884" s="16" t="str">
        <f>IFERROR(__xludf.DUMMYFUNCTION("""COMPUTED_VALUE"""),"")</f>
        <v/>
      </c>
    </row>
    <row r="10885">
      <c r="G10885" s="16" t="str">
        <f>IFERROR(__xludf.DUMMYFUNCTION("""COMPUTED_VALUE"""),"")</f>
        <v/>
      </c>
    </row>
    <row r="10886">
      <c r="G10886" s="16" t="str">
        <f>IFERROR(__xludf.DUMMYFUNCTION("""COMPUTED_VALUE"""),"")</f>
        <v/>
      </c>
    </row>
    <row r="10887">
      <c r="G10887" s="16" t="str">
        <f>IFERROR(__xludf.DUMMYFUNCTION("""COMPUTED_VALUE"""),"")</f>
        <v/>
      </c>
    </row>
    <row r="10888">
      <c r="G10888" s="16" t="str">
        <f>IFERROR(__xludf.DUMMYFUNCTION("""COMPUTED_VALUE"""),"")</f>
        <v/>
      </c>
    </row>
    <row r="10889">
      <c r="G10889" s="16" t="str">
        <f>IFERROR(__xludf.DUMMYFUNCTION("""COMPUTED_VALUE"""),"")</f>
        <v/>
      </c>
    </row>
    <row r="10890">
      <c r="G10890" s="16" t="str">
        <f>IFERROR(__xludf.DUMMYFUNCTION("""COMPUTED_VALUE"""),"")</f>
        <v/>
      </c>
    </row>
    <row r="10891">
      <c r="G10891" s="16" t="str">
        <f>IFERROR(__xludf.DUMMYFUNCTION("""COMPUTED_VALUE"""),"")</f>
        <v/>
      </c>
    </row>
    <row r="10892">
      <c r="G10892" s="16" t="str">
        <f>IFERROR(__xludf.DUMMYFUNCTION("""COMPUTED_VALUE"""),"")</f>
        <v/>
      </c>
    </row>
    <row r="10893">
      <c r="G10893" s="16" t="str">
        <f>IFERROR(__xludf.DUMMYFUNCTION("""COMPUTED_VALUE"""),"")</f>
        <v/>
      </c>
    </row>
    <row r="10894">
      <c r="G10894" s="16" t="str">
        <f>IFERROR(__xludf.DUMMYFUNCTION("""COMPUTED_VALUE"""),"")</f>
        <v/>
      </c>
    </row>
    <row r="10895">
      <c r="G10895" s="16" t="str">
        <f>IFERROR(__xludf.DUMMYFUNCTION("""COMPUTED_VALUE"""),"")</f>
        <v/>
      </c>
    </row>
    <row r="10896">
      <c r="G10896" s="16" t="str">
        <f>IFERROR(__xludf.DUMMYFUNCTION("""COMPUTED_VALUE"""),"")</f>
        <v/>
      </c>
    </row>
    <row r="10897">
      <c r="G10897" s="16" t="str">
        <f>IFERROR(__xludf.DUMMYFUNCTION("""COMPUTED_VALUE"""),"")</f>
        <v/>
      </c>
    </row>
    <row r="10898">
      <c r="G10898" s="16" t="str">
        <f>IFERROR(__xludf.DUMMYFUNCTION("""COMPUTED_VALUE"""),"")</f>
        <v/>
      </c>
    </row>
    <row r="10899">
      <c r="G10899" s="16" t="str">
        <f>IFERROR(__xludf.DUMMYFUNCTION("""COMPUTED_VALUE"""),"")</f>
        <v/>
      </c>
    </row>
    <row r="10900">
      <c r="G10900" s="16" t="str">
        <f>IFERROR(__xludf.DUMMYFUNCTION("""COMPUTED_VALUE"""),"")</f>
        <v/>
      </c>
    </row>
    <row r="10901">
      <c r="G10901" s="16" t="str">
        <f>IFERROR(__xludf.DUMMYFUNCTION("""COMPUTED_VALUE"""),"")</f>
        <v/>
      </c>
    </row>
    <row r="10902">
      <c r="G10902" s="16" t="str">
        <f>IFERROR(__xludf.DUMMYFUNCTION("""COMPUTED_VALUE"""),"")</f>
        <v/>
      </c>
    </row>
    <row r="10903">
      <c r="G10903" s="16" t="str">
        <f>IFERROR(__xludf.DUMMYFUNCTION("""COMPUTED_VALUE"""),"")</f>
        <v/>
      </c>
    </row>
    <row r="10904">
      <c r="G10904" s="16" t="str">
        <f>IFERROR(__xludf.DUMMYFUNCTION("""COMPUTED_VALUE"""),"")</f>
        <v/>
      </c>
    </row>
    <row r="10905">
      <c r="G10905" s="16" t="str">
        <f>IFERROR(__xludf.DUMMYFUNCTION("""COMPUTED_VALUE"""),"")</f>
        <v/>
      </c>
    </row>
    <row r="10906">
      <c r="G10906" s="16" t="str">
        <f>IFERROR(__xludf.DUMMYFUNCTION("""COMPUTED_VALUE"""),"")</f>
        <v/>
      </c>
    </row>
    <row r="10907">
      <c r="G10907" s="16" t="str">
        <f>IFERROR(__xludf.DUMMYFUNCTION("""COMPUTED_VALUE"""),"")</f>
        <v/>
      </c>
    </row>
    <row r="10908">
      <c r="G10908" s="16" t="str">
        <f>IFERROR(__xludf.DUMMYFUNCTION("""COMPUTED_VALUE"""),"")</f>
        <v/>
      </c>
    </row>
    <row r="10909">
      <c r="G10909" s="16" t="str">
        <f>IFERROR(__xludf.DUMMYFUNCTION("""COMPUTED_VALUE"""),"")</f>
        <v/>
      </c>
    </row>
    <row r="10910">
      <c r="G10910" s="16" t="str">
        <f>IFERROR(__xludf.DUMMYFUNCTION("""COMPUTED_VALUE"""),"")</f>
        <v/>
      </c>
    </row>
    <row r="10911">
      <c r="G10911" s="16" t="str">
        <f>IFERROR(__xludf.DUMMYFUNCTION("""COMPUTED_VALUE"""),"")</f>
        <v/>
      </c>
    </row>
    <row r="10912">
      <c r="G10912" s="16" t="str">
        <f>IFERROR(__xludf.DUMMYFUNCTION("""COMPUTED_VALUE"""),"")</f>
        <v/>
      </c>
    </row>
    <row r="10913">
      <c r="G10913" s="16" t="str">
        <f>IFERROR(__xludf.DUMMYFUNCTION("""COMPUTED_VALUE"""),"")</f>
        <v/>
      </c>
    </row>
    <row r="10914">
      <c r="G10914" s="16" t="str">
        <f>IFERROR(__xludf.DUMMYFUNCTION("""COMPUTED_VALUE"""),"")</f>
        <v/>
      </c>
    </row>
    <row r="10915">
      <c r="G10915" s="16" t="str">
        <f>IFERROR(__xludf.DUMMYFUNCTION("""COMPUTED_VALUE"""),"")</f>
        <v/>
      </c>
    </row>
    <row r="10916">
      <c r="G10916" s="16" t="str">
        <f>IFERROR(__xludf.DUMMYFUNCTION("""COMPUTED_VALUE"""),"")</f>
        <v/>
      </c>
    </row>
    <row r="10917">
      <c r="G10917" s="16" t="str">
        <f>IFERROR(__xludf.DUMMYFUNCTION("""COMPUTED_VALUE"""),"")</f>
        <v/>
      </c>
    </row>
    <row r="10918">
      <c r="G10918" s="16" t="str">
        <f>IFERROR(__xludf.DUMMYFUNCTION("""COMPUTED_VALUE"""),"")</f>
        <v/>
      </c>
    </row>
    <row r="10919">
      <c r="G10919" s="16" t="str">
        <f>IFERROR(__xludf.DUMMYFUNCTION("""COMPUTED_VALUE"""),"")</f>
        <v/>
      </c>
    </row>
    <row r="10920">
      <c r="G10920" s="16" t="str">
        <f>IFERROR(__xludf.DUMMYFUNCTION("""COMPUTED_VALUE"""),"")</f>
        <v/>
      </c>
    </row>
    <row r="10921">
      <c r="G10921" s="16" t="str">
        <f>IFERROR(__xludf.DUMMYFUNCTION("""COMPUTED_VALUE"""),"")</f>
        <v/>
      </c>
    </row>
    <row r="10922">
      <c r="G10922" s="16" t="str">
        <f>IFERROR(__xludf.DUMMYFUNCTION("""COMPUTED_VALUE"""),"")</f>
        <v/>
      </c>
    </row>
    <row r="10923">
      <c r="G10923" s="16" t="str">
        <f>IFERROR(__xludf.DUMMYFUNCTION("""COMPUTED_VALUE"""),"")</f>
        <v/>
      </c>
    </row>
    <row r="10924">
      <c r="G10924" s="16" t="str">
        <f>IFERROR(__xludf.DUMMYFUNCTION("""COMPUTED_VALUE"""),"")</f>
        <v/>
      </c>
    </row>
    <row r="10925">
      <c r="G10925" s="16" t="str">
        <f>IFERROR(__xludf.DUMMYFUNCTION("""COMPUTED_VALUE"""),"")</f>
        <v/>
      </c>
    </row>
    <row r="10926">
      <c r="G10926" s="16" t="str">
        <f>IFERROR(__xludf.DUMMYFUNCTION("""COMPUTED_VALUE"""),"")</f>
        <v/>
      </c>
    </row>
    <row r="10927">
      <c r="G10927" s="16" t="str">
        <f>IFERROR(__xludf.DUMMYFUNCTION("""COMPUTED_VALUE"""),"")</f>
        <v/>
      </c>
    </row>
    <row r="10928">
      <c r="G10928" s="16" t="str">
        <f>IFERROR(__xludf.DUMMYFUNCTION("""COMPUTED_VALUE"""),"")</f>
        <v/>
      </c>
    </row>
    <row r="10929">
      <c r="G10929" s="16" t="str">
        <f>IFERROR(__xludf.DUMMYFUNCTION("""COMPUTED_VALUE"""),"")</f>
        <v/>
      </c>
    </row>
    <row r="10930">
      <c r="G10930" s="16" t="str">
        <f>IFERROR(__xludf.DUMMYFUNCTION("""COMPUTED_VALUE"""),"")</f>
        <v/>
      </c>
    </row>
    <row r="10931">
      <c r="G10931" s="16" t="str">
        <f>IFERROR(__xludf.DUMMYFUNCTION("""COMPUTED_VALUE"""),"")</f>
        <v/>
      </c>
    </row>
    <row r="10932">
      <c r="G10932" s="16" t="str">
        <f>IFERROR(__xludf.DUMMYFUNCTION("""COMPUTED_VALUE"""),"")</f>
        <v/>
      </c>
    </row>
    <row r="10933">
      <c r="G10933" s="16" t="str">
        <f>IFERROR(__xludf.DUMMYFUNCTION("""COMPUTED_VALUE"""),"")</f>
        <v/>
      </c>
    </row>
    <row r="10934">
      <c r="G10934" s="16" t="str">
        <f>IFERROR(__xludf.DUMMYFUNCTION("""COMPUTED_VALUE"""),"")</f>
        <v/>
      </c>
    </row>
    <row r="10935">
      <c r="G10935" s="16" t="str">
        <f>IFERROR(__xludf.DUMMYFUNCTION("""COMPUTED_VALUE"""),"")</f>
        <v/>
      </c>
    </row>
    <row r="10936">
      <c r="G10936" s="16" t="str">
        <f>IFERROR(__xludf.DUMMYFUNCTION("""COMPUTED_VALUE"""),"")</f>
        <v/>
      </c>
    </row>
    <row r="10937">
      <c r="G10937" s="16" t="str">
        <f>IFERROR(__xludf.DUMMYFUNCTION("""COMPUTED_VALUE"""),"")</f>
        <v/>
      </c>
    </row>
    <row r="10938">
      <c r="G10938" s="16" t="str">
        <f>IFERROR(__xludf.DUMMYFUNCTION("""COMPUTED_VALUE"""),"")</f>
        <v/>
      </c>
    </row>
    <row r="10939">
      <c r="G10939" s="16" t="str">
        <f>IFERROR(__xludf.DUMMYFUNCTION("""COMPUTED_VALUE"""),"")</f>
        <v/>
      </c>
    </row>
    <row r="10940">
      <c r="G10940" s="16" t="str">
        <f>IFERROR(__xludf.DUMMYFUNCTION("""COMPUTED_VALUE"""),"")</f>
        <v/>
      </c>
    </row>
    <row r="10941">
      <c r="G10941" s="16" t="str">
        <f>IFERROR(__xludf.DUMMYFUNCTION("""COMPUTED_VALUE"""),"")</f>
        <v/>
      </c>
    </row>
    <row r="10942">
      <c r="G10942" s="16" t="str">
        <f>IFERROR(__xludf.DUMMYFUNCTION("""COMPUTED_VALUE"""),"")</f>
        <v/>
      </c>
    </row>
    <row r="10943">
      <c r="G10943" s="16" t="str">
        <f>IFERROR(__xludf.DUMMYFUNCTION("""COMPUTED_VALUE"""),"")</f>
        <v/>
      </c>
    </row>
    <row r="10944">
      <c r="G10944" s="16" t="str">
        <f>IFERROR(__xludf.DUMMYFUNCTION("""COMPUTED_VALUE"""),"")</f>
        <v/>
      </c>
    </row>
    <row r="10945">
      <c r="G10945" s="16" t="str">
        <f>IFERROR(__xludf.DUMMYFUNCTION("""COMPUTED_VALUE"""),"")</f>
        <v/>
      </c>
    </row>
    <row r="10946">
      <c r="G10946" s="16" t="str">
        <f>IFERROR(__xludf.DUMMYFUNCTION("""COMPUTED_VALUE"""),"")</f>
        <v/>
      </c>
    </row>
    <row r="10947">
      <c r="G10947" s="16" t="str">
        <f>IFERROR(__xludf.DUMMYFUNCTION("""COMPUTED_VALUE"""),"")</f>
        <v/>
      </c>
    </row>
    <row r="10948">
      <c r="G10948" s="16" t="str">
        <f>IFERROR(__xludf.DUMMYFUNCTION("""COMPUTED_VALUE"""),"")</f>
        <v/>
      </c>
    </row>
    <row r="10949">
      <c r="G10949" s="16" t="str">
        <f>IFERROR(__xludf.DUMMYFUNCTION("""COMPUTED_VALUE"""),"")</f>
        <v/>
      </c>
    </row>
    <row r="10950">
      <c r="G10950" s="16" t="str">
        <f>IFERROR(__xludf.DUMMYFUNCTION("""COMPUTED_VALUE"""),"")</f>
        <v/>
      </c>
    </row>
    <row r="10951">
      <c r="G10951" s="16" t="str">
        <f>IFERROR(__xludf.DUMMYFUNCTION("""COMPUTED_VALUE"""),"")</f>
        <v/>
      </c>
    </row>
    <row r="10952">
      <c r="G10952" s="16" t="str">
        <f>IFERROR(__xludf.DUMMYFUNCTION("""COMPUTED_VALUE"""),"")</f>
        <v/>
      </c>
    </row>
    <row r="10953">
      <c r="G10953" s="16" t="str">
        <f>IFERROR(__xludf.DUMMYFUNCTION("""COMPUTED_VALUE"""),"")</f>
        <v/>
      </c>
    </row>
    <row r="10954">
      <c r="G10954" s="16" t="str">
        <f>IFERROR(__xludf.DUMMYFUNCTION("""COMPUTED_VALUE"""),"")</f>
        <v/>
      </c>
    </row>
    <row r="10955">
      <c r="G10955" s="16" t="str">
        <f>IFERROR(__xludf.DUMMYFUNCTION("""COMPUTED_VALUE"""),"")</f>
        <v/>
      </c>
    </row>
    <row r="10956">
      <c r="G10956" s="16" t="str">
        <f>IFERROR(__xludf.DUMMYFUNCTION("""COMPUTED_VALUE"""),"")</f>
        <v/>
      </c>
    </row>
    <row r="10957">
      <c r="G10957" s="16" t="str">
        <f>IFERROR(__xludf.DUMMYFUNCTION("""COMPUTED_VALUE"""),"")</f>
        <v/>
      </c>
    </row>
    <row r="10958">
      <c r="G10958" s="16" t="str">
        <f>IFERROR(__xludf.DUMMYFUNCTION("""COMPUTED_VALUE"""),"")</f>
        <v/>
      </c>
    </row>
    <row r="10959">
      <c r="G10959" s="16" t="str">
        <f>IFERROR(__xludf.DUMMYFUNCTION("""COMPUTED_VALUE"""),"")</f>
        <v/>
      </c>
    </row>
    <row r="10960">
      <c r="G10960" s="16" t="str">
        <f>IFERROR(__xludf.DUMMYFUNCTION("""COMPUTED_VALUE"""),"")</f>
        <v/>
      </c>
    </row>
    <row r="10961">
      <c r="G10961" s="16" t="str">
        <f>IFERROR(__xludf.DUMMYFUNCTION("""COMPUTED_VALUE"""),"")</f>
        <v/>
      </c>
    </row>
    <row r="10962">
      <c r="G10962" s="16" t="str">
        <f>IFERROR(__xludf.DUMMYFUNCTION("""COMPUTED_VALUE"""),"")</f>
        <v/>
      </c>
    </row>
    <row r="10963">
      <c r="G10963" s="16" t="str">
        <f>IFERROR(__xludf.DUMMYFUNCTION("""COMPUTED_VALUE"""),"")</f>
        <v/>
      </c>
    </row>
    <row r="10964">
      <c r="G10964" s="16" t="str">
        <f>IFERROR(__xludf.DUMMYFUNCTION("""COMPUTED_VALUE"""),"")</f>
        <v/>
      </c>
    </row>
    <row r="10965">
      <c r="G10965" s="16" t="str">
        <f>IFERROR(__xludf.DUMMYFUNCTION("""COMPUTED_VALUE"""),"")</f>
        <v/>
      </c>
    </row>
    <row r="10966">
      <c r="G10966" s="16" t="str">
        <f>IFERROR(__xludf.DUMMYFUNCTION("""COMPUTED_VALUE"""),"")</f>
        <v/>
      </c>
    </row>
    <row r="10967">
      <c r="G10967" s="16" t="str">
        <f>IFERROR(__xludf.DUMMYFUNCTION("""COMPUTED_VALUE"""),"")</f>
        <v/>
      </c>
    </row>
    <row r="10968">
      <c r="G10968" s="16" t="str">
        <f>IFERROR(__xludf.DUMMYFUNCTION("""COMPUTED_VALUE"""),"")</f>
        <v/>
      </c>
    </row>
    <row r="10969">
      <c r="G10969" s="16" t="str">
        <f>IFERROR(__xludf.DUMMYFUNCTION("""COMPUTED_VALUE"""),"")</f>
        <v/>
      </c>
    </row>
    <row r="10970">
      <c r="G10970" s="16" t="str">
        <f>IFERROR(__xludf.DUMMYFUNCTION("""COMPUTED_VALUE"""),"")</f>
        <v/>
      </c>
    </row>
    <row r="10971">
      <c r="G10971" s="16" t="str">
        <f>IFERROR(__xludf.DUMMYFUNCTION("""COMPUTED_VALUE"""),"")</f>
        <v/>
      </c>
    </row>
    <row r="10972">
      <c r="G10972" s="16" t="str">
        <f>IFERROR(__xludf.DUMMYFUNCTION("""COMPUTED_VALUE"""),"")</f>
        <v/>
      </c>
    </row>
    <row r="10973">
      <c r="G10973" s="16" t="str">
        <f>IFERROR(__xludf.DUMMYFUNCTION("""COMPUTED_VALUE"""),"")</f>
        <v/>
      </c>
    </row>
    <row r="10974">
      <c r="G10974" s="16" t="str">
        <f>IFERROR(__xludf.DUMMYFUNCTION("""COMPUTED_VALUE"""),"")</f>
        <v/>
      </c>
    </row>
    <row r="10975">
      <c r="G10975" s="16" t="str">
        <f>IFERROR(__xludf.DUMMYFUNCTION("""COMPUTED_VALUE"""),"")</f>
        <v/>
      </c>
    </row>
    <row r="10976">
      <c r="G10976" s="16" t="str">
        <f>IFERROR(__xludf.DUMMYFUNCTION("""COMPUTED_VALUE"""),"")</f>
        <v/>
      </c>
    </row>
    <row r="10977">
      <c r="G10977" s="16" t="str">
        <f>IFERROR(__xludf.DUMMYFUNCTION("""COMPUTED_VALUE"""),"")</f>
        <v/>
      </c>
    </row>
    <row r="10978">
      <c r="G10978" s="16" t="str">
        <f>IFERROR(__xludf.DUMMYFUNCTION("""COMPUTED_VALUE"""),"")</f>
        <v/>
      </c>
    </row>
    <row r="10979">
      <c r="G10979" s="16" t="str">
        <f>IFERROR(__xludf.DUMMYFUNCTION("""COMPUTED_VALUE"""),"")</f>
        <v/>
      </c>
    </row>
    <row r="10980">
      <c r="G10980" s="16" t="str">
        <f>IFERROR(__xludf.DUMMYFUNCTION("""COMPUTED_VALUE"""),"")</f>
        <v/>
      </c>
    </row>
    <row r="10981">
      <c r="G10981" s="16" t="str">
        <f>IFERROR(__xludf.DUMMYFUNCTION("""COMPUTED_VALUE"""),"")</f>
        <v/>
      </c>
    </row>
    <row r="10982">
      <c r="G10982" s="16" t="str">
        <f>IFERROR(__xludf.DUMMYFUNCTION("""COMPUTED_VALUE"""),"")</f>
        <v/>
      </c>
    </row>
    <row r="10983">
      <c r="G10983" s="16" t="str">
        <f>IFERROR(__xludf.DUMMYFUNCTION("""COMPUTED_VALUE"""),"")</f>
        <v/>
      </c>
    </row>
    <row r="10984">
      <c r="G10984" s="16" t="str">
        <f>IFERROR(__xludf.DUMMYFUNCTION("""COMPUTED_VALUE"""),"")</f>
        <v/>
      </c>
    </row>
    <row r="10985">
      <c r="G10985" s="16" t="str">
        <f>IFERROR(__xludf.DUMMYFUNCTION("""COMPUTED_VALUE"""),"")</f>
        <v/>
      </c>
    </row>
    <row r="10986">
      <c r="G10986" s="16" t="str">
        <f>IFERROR(__xludf.DUMMYFUNCTION("""COMPUTED_VALUE"""),"")</f>
        <v/>
      </c>
    </row>
    <row r="10987">
      <c r="G10987" s="16" t="str">
        <f>IFERROR(__xludf.DUMMYFUNCTION("""COMPUTED_VALUE"""),"")</f>
        <v/>
      </c>
    </row>
    <row r="10988">
      <c r="G10988" s="16" t="str">
        <f>IFERROR(__xludf.DUMMYFUNCTION("""COMPUTED_VALUE"""),"")</f>
        <v/>
      </c>
    </row>
    <row r="10989">
      <c r="G10989" s="16" t="str">
        <f>IFERROR(__xludf.DUMMYFUNCTION("""COMPUTED_VALUE"""),"")</f>
        <v/>
      </c>
    </row>
    <row r="10990">
      <c r="G10990" s="16" t="str">
        <f>IFERROR(__xludf.DUMMYFUNCTION("""COMPUTED_VALUE"""),"")</f>
        <v/>
      </c>
    </row>
    <row r="10991">
      <c r="G10991" s="16" t="str">
        <f>IFERROR(__xludf.DUMMYFUNCTION("""COMPUTED_VALUE"""),"")</f>
        <v/>
      </c>
    </row>
    <row r="10992">
      <c r="G10992" s="16" t="str">
        <f>IFERROR(__xludf.DUMMYFUNCTION("""COMPUTED_VALUE"""),"")</f>
        <v/>
      </c>
    </row>
    <row r="10993">
      <c r="G10993" s="16" t="str">
        <f>IFERROR(__xludf.DUMMYFUNCTION("""COMPUTED_VALUE"""),"")</f>
        <v/>
      </c>
    </row>
    <row r="10994">
      <c r="G10994" s="16" t="str">
        <f>IFERROR(__xludf.DUMMYFUNCTION("""COMPUTED_VALUE"""),"")</f>
        <v/>
      </c>
    </row>
    <row r="10995">
      <c r="G10995" s="16" t="str">
        <f>IFERROR(__xludf.DUMMYFUNCTION("""COMPUTED_VALUE"""),"")</f>
        <v/>
      </c>
    </row>
    <row r="10996">
      <c r="G10996" s="16" t="str">
        <f>IFERROR(__xludf.DUMMYFUNCTION("""COMPUTED_VALUE"""),"")</f>
        <v/>
      </c>
    </row>
    <row r="10997">
      <c r="G10997" s="16" t="str">
        <f>IFERROR(__xludf.DUMMYFUNCTION("""COMPUTED_VALUE"""),"")</f>
        <v/>
      </c>
    </row>
    <row r="10998">
      <c r="G10998" s="16" t="str">
        <f>IFERROR(__xludf.DUMMYFUNCTION("""COMPUTED_VALUE"""),"")</f>
        <v/>
      </c>
    </row>
    <row r="10999">
      <c r="G10999" s="16" t="str">
        <f>IFERROR(__xludf.DUMMYFUNCTION("""COMPUTED_VALUE"""),"")</f>
        <v/>
      </c>
    </row>
    <row r="11000">
      <c r="G11000" s="16" t="str">
        <f>IFERROR(__xludf.DUMMYFUNCTION("""COMPUTED_VALUE"""),"")</f>
        <v/>
      </c>
    </row>
    <row r="11001">
      <c r="G11001" s="16" t="str">
        <f>IFERROR(__xludf.DUMMYFUNCTION("""COMPUTED_VALUE"""),"")</f>
        <v/>
      </c>
    </row>
    <row r="11002">
      <c r="G11002" s="16" t="str">
        <f>IFERROR(__xludf.DUMMYFUNCTION("""COMPUTED_VALUE"""),"")</f>
        <v/>
      </c>
    </row>
    <row r="11003">
      <c r="G11003" s="16" t="str">
        <f>IFERROR(__xludf.DUMMYFUNCTION("""COMPUTED_VALUE"""),"")</f>
        <v/>
      </c>
    </row>
    <row r="11004">
      <c r="G11004" s="16" t="str">
        <f>IFERROR(__xludf.DUMMYFUNCTION("""COMPUTED_VALUE"""),"")</f>
        <v/>
      </c>
    </row>
    <row r="11005">
      <c r="G11005" s="16" t="str">
        <f>IFERROR(__xludf.DUMMYFUNCTION("""COMPUTED_VALUE"""),"")</f>
        <v/>
      </c>
    </row>
    <row r="11006">
      <c r="G11006" s="16" t="str">
        <f>IFERROR(__xludf.DUMMYFUNCTION("""COMPUTED_VALUE"""),"")</f>
        <v/>
      </c>
    </row>
    <row r="11007">
      <c r="G11007" s="16" t="str">
        <f>IFERROR(__xludf.DUMMYFUNCTION("""COMPUTED_VALUE"""),"")</f>
        <v/>
      </c>
    </row>
    <row r="11008">
      <c r="G11008" s="16" t="str">
        <f>IFERROR(__xludf.DUMMYFUNCTION("""COMPUTED_VALUE"""),"")</f>
        <v/>
      </c>
    </row>
    <row r="11009">
      <c r="G11009" s="16" t="str">
        <f>IFERROR(__xludf.DUMMYFUNCTION("""COMPUTED_VALUE"""),"")</f>
        <v/>
      </c>
    </row>
    <row r="11010">
      <c r="G11010" s="16" t="str">
        <f>IFERROR(__xludf.DUMMYFUNCTION("""COMPUTED_VALUE"""),"")</f>
        <v/>
      </c>
    </row>
    <row r="11011">
      <c r="G11011" s="16" t="str">
        <f>IFERROR(__xludf.DUMMYFUNCTION("""COMPUTED_VALUE"""),"")</f>
        <v/>
      </c>
    </row>
    <row r="11012">
      <c r="G11012" s="16" t="str">
        <f>IFERROR(__xludf.DUMMYFUNCTION("""COMPUTED_VALUE"""),"")</f>
        <v/>
      </c>
    </row>
    <row r="11013">
      <c r="G11013" s="16" t="str">
        <f>IFERROR(__xludf.DUMMYFUNCTION("""COMPUTED_VALUE"""),"")</f>
        <v/>
      </c>
    </row>
    <row r="11014">
      <c r="G11014" s="16" t="str">
        <f>IFERROR(__xludf.DUMMYFUNCTION("""COMPUTED_VALUE"""),"")</f>
        <v/>
      </c>
    </row>
    <row r="11015">
      <c r="G11015" s="16" t="str">
        <f>IFERROR(__xludf.DUMMYFUNCTION("""COMPUTED_VALUE"""),"")</f>
        <v/>
      </c>
    </row>
    <row r="11016">
      <c r="G11016" s="16" t="str">
        <f>IFERROR(__xludf.DUMMYFUNCTION("""COMPUTED_VALUE"""),"")</f>
        <v/>
      </c>
    </row>
    <row r="11017">
      <c r="G11017" s="16" t="str">
        <f>IFERROR(__xludf.DUMMYFUNCTION("""COMPUTED_VALUE"""),"")</f>
        <v/>
      </c>
    </row>
    <row r="11018">
      <c r="G11018" s="16" t="str">
        <f>IFERROR(__xludf.DUMMYFUNCTION("""COMPUTED_VALUE"""),"")</f>
        <v/>
      </c>
    </row>
    <row r="11019">
      <c r="G11019" s="16" t="str">
        <f>IFERROR(__xludf.DUMMYFUNCTION("""COMPUTED_VALUE"""),"")</f>
        <v/>
      </c>
    </row>
    <row r="11020">
      <c r="G11020" s="16" t="str">
        <f>IFERROR(__xludf.DUMMYFUNCTION("""COMPUTED_VALUE"""),"")</f>
        <v/>
      </c>
    </row>
    <row r="11021">
      <c r="G11021" s="16" t="str">
        <f>IFERROR(__xludf.DUMMYFUNCTION("""COMPUTED_VALUE"""),"")</f>
        <v/>
      </c>
    </row>
    <row r="11022">
      <c r="G11022" s="16" t="str">
        <f>IFERROR(__xludf.DUMMYFUNCTION("""COMPUTED_VALUE"""),"")</f>
        <v/>
      </c>
    </row>
    <row r="11023">
      <c r="G11023" s="16" t="str">
        <f>IFERROR(__xludf.DUMMYFUNCTION("""COMPUTED_VALUE"""),"")</f>
        <v/>
      </c>
    </row>
    <row r="11024">
      <c r="G11024" s="16" t="str">
        <f>IFERROR(__xludf.DUMMYFUNCTION("""COMPUTED_VALUE"""),"")</f>
        <v/>
      </c>
    </row>
    <row r="11025">
      <c r="G11025" s="16" t="str">
        <f>IFERROR(__xludf.DUMMYFUNCTION("""COMPUTED_VALUE"""),"")</f>
        <v/>
      </c>
    </row>
    <row r="11026">
      <c r="G11026" s="16" t="str">
        <f>IFERROR(__xludf.DUMMYFUNCTION("""COMPUTED_VALUE"""),"")</f>
        <v/>
      </c>
    </row>
    <row r="11027">
      <c r="G11027" s="16" t="str">
        <f>IFERROR(__xludf.DUMMYFUNCTION("""COMPUTED_VALUE"""),"")</f>
        <v/>
      </c>
    </row>
    <row r="11028">
      <c r="G11028" s="16" t="str">
        <f>IFERROR(__xludf.DUMMYFUNCTION("""COMPUTED_VALUE"""),"")</f>
        <v/>
      </c>
    </row>
    <row r="11029">
      <c r="G11029" s="16" t="str">
        <f>IFERROR(__xludf.DUMMYFUNCTION("""COMPUTED_VALUE"""),"")</f>
        <v/>
      </c>
    </row>
    <row r="11030">
      <c r="G11030" s="16" t="str">
        <f>IFERROR(__xludf.DUMMYFUNCTION("""COMPUTED_VALUE"""),"")</f>
        <v/>
      </c>
    </row>
    <row r="11031">
      <c r="G11031" s="16" t="str">
        <f>IFERROR(__xludf.DUMMYFUNCTION("""COMPUTED_VALUE"""),"")</f>
        <v/>
      </c>
    </row>
    <row r="11032">
      <c r="G11032" s="16" t="str">
        <f>IFERROR(__xludf.DUMMYFUNCTION("""COMPUTED_VALUE"""),"")</f>
        <v/>
      </c>
    </row>
    <row r="11033">
      <c r="G11033" s="16" t="str">
        <f>IFERROR(__xludf.DUMMYFUNCTION("""COMPUTED_VALUE"""),"")</f>
        <v/>
      </c>
    </row>
    <row r="11034">
      <c r="G11034" s="16" t="str">
        <f>IFERROR(__xludf.DUMMYFUNCTION("""COMPUTED_VALUE"""),"")</f>
        <v/>
      </c>
    </row>
    <row r="11035">
      <c r="G11035" s="16" t="str">
        <f>IFERROR(__xludf.DUMMYFUNCTION("""COMPUTED_VALUE"""),"")</f>
        <v/>
      </c>
    </row>
    <row r="11036">
      <c r="G11036" s="16" t="str">
        <f>IFERROR(__xludf.DUMMYFUNCTION("""COMPUTED_VALUE"""),"")</f>
        <v/>
      </c>
    </row>
    <row r="11037">
      <c r="G11037" s="16" t="str">
        <f>IFERROR(__xludf.DUMMYFUNCTION("""COMPUTED_VALUE"""),"")</f>
        <v/>
      </c>
    </row>
    <row r="11038">
      <c r="G11038" s="16" t="str">
        <f>IFERROR(__xludf.DUMMYFUNCTION("""COMPUTED_VALUE"""),"")</f>
        <v/>
      </c>
    </row>
    <row r="11039">
      <c r="G11039" s="16" t="str">
        <f>IFERROR(__xludf.DUMMYFUNCTION("""COMPUTED_VALUE"""),"")</f>
        <v/>
      </c>
    </row>
    <row r="11040">
      <c r="G11040" s="16" t="str">
        <f>IFERROR(__xludf.DUMMYFUNCTION("""COMPUTED_VALUE"""),"")</f>
        <v/>
      </c>
    </row>
    <row r="11041">
      <c r="G11041" s="16" t="str">
        <f>IFERROR(__xludf.DUMMYFUNCTION("""COMPUTED_VALUE"""),"")</f>
        <v/>
      </c>
    </row>
    <row r="11042">
      <c r="G11042" s="16" t="str">
        <f>IFERROR(__xludf.DUMMYFUNCTION("""COMPUTED_VALUE"""),"")</f>
        <v/>
      </c>
    </row>
    <row r="11043">
      <c r="G11043" s="16" t="str">
        <f>IFERROR(__xludf.DUMMYFUNCTION("""COMPUTED_VALUE"""),"")</f>
        <v/>
      </c>
    </row>
    <row r="11044">
      <c r="G11044" s="16" t="str">
        <f>IFERROR(__xludf.DUMMYFUNCTION("""COMPUTED_VALUE"""),"")</f>
        <v/>
      </c>
    </row>
    <row r="11045">
      <c r="G11045" s="16" t="str">
        <f>IFERROR(__xludf.DUMMYFUNCTION("""COMPUTED_VALUE"""),"")</f>
        <v/>
      </c>
    </row>
    <row r="11046">
      <c r="G11046" s="16" t="str">
        <f>IFERROR(__xludf.DUMMYFUNCTION("""COMPUTED_VALUE"""),"")</f>
        <v/>
      </c>
    </row>
    <row r="11047">
      <c r="G11047" s="16" t="str">
        <f>IFERROR(__xludf.DUMMYFUNCTION("""COMPUTED_VALUE"""),"")</f>
        <v/>
      </c>
    </row>
    <row r="11048">
      <c r="G11048" s="16" t="str">
        <f>IFERROR(__xludf.DUMMYFUNCTION("""COMPUTED_VALUE"""),"")</f>
        <v/>
      </c>
    </row>
    <row r="11049">
      <c r="G11049" s="16" t="str">
        <f>IFERROR(__xludf.DUMMYFUNCTION("""COMPUTED_VALUE"""),"")</f>
        <v/>
      </c>
    </row>
    <row r="11050">
      <c r="G11050" s="16" t="str">
        <f>IFERROR(__xludf.DUMMYFUNCTION("""COMPUTED_VALUE"""),"")</f>
        <v/>
      </c>
    </row>
    <row r="11051">
      <c r="G11051" s="16" t="str">
        <f>IFERROR(__xludf.DUMMYFUNCTION("""COMPUTED_VALUE"""),"")</f>
        <v/>
      </c>
    </row>
    <row r="11052">
      <c r="G11052" s="16" t="str">
        <f>IFERROR(__xludf.DUMMYFUNCTION("""COMPUTED_VALUE"""),"")</f>
        <v/>
      </c>
    </row>
    <row r="11053">
      <c r="G11053" s="16" t="str">
        <f>IFERROR(__xludf.DUMMYFUNCTION("""COMPUTED_VALUE"""),"")</f>
        <v/>
      </c>
    </row>
    <row r="11054">
      <c r="G11054" s="16" t="str">
        <f>IFERROR(__xludf.DUMMYFUNCTION("""COMPUTED_VALUE"""),"")</f>
        <v/>
      </c>
    </row>
    <row r="11055">
      <c r="G11055" s="16" t="str">
        <f>IFERROR(__xludf.DUMMYFUNCTION("""COMPUTED_VALUE"""),"")</f>
        <v/>
      </c>
    </row>
    <row r="11056">
      <c r="G11056" s="16" t="str">
        <f>IFERROR(__xludf.DUMMYFUNCTION("""COMPUTED_VALUE"""),"")</f>
        <v/>
      </c>
    </row>
    <row r="11057">
      <c r="G11057" s="16" t="str">
        <f>IFERROR(__xludf.DUMMYFUNCTION("""COMPUTED_VALUE"""),"")</f>
        <v/>
      </c>
    </row>
    <row r="11058">
      <c r="G11058" s="16" t="str">
        <f>IFERROR(__xludf.DUMMYFUNCTION("""COMPUTED_VALUE"""),"")</f>
        <v/>
      </c>
    </row>
    <row r="11059">
      <c r="G11059" s="16" t="str">
        <f>IFERROR(__xludf.DUMMYFUNCTION("""COMPUTED_VALUE"""),"")</f>
        <v/>
      </c>
    </row>
    <row r="11060">
      <c r="G11060" s="16" t="str">
        <f>IFERROR(__xludf.DUMMYFUNCTION("""COMPUTED_VALUE"""),"")</f>
        <v/>
      </c>
    </row>
    <row r="11061">
      <c r="G11061" s="16" t="str">
        <f>IFERROR(__xludf.DUMMYFUNCTION("""COMPUTED_VALUE"""),"")</f>
        <v/>
      </c>
    </row>
    <row r="11062">
      <c r="G11062" s="16" t="str">
        <f>IFERROR(__xludf.DUMMYFUNCTION("""COMPUTED_VALUE"""),"")</f>
        <v/>
      </c>
    </row>
    <row r="11063">
      <c r="G11063" s="16" t="str">
        <f>IFERROR(__xludf.DUMMYFUNCTION("""COMPUTED_VALUE"""),"")</f>
        <v/>
      </c>
    </row>
    <row r="11064">
      <c r="G11064" s="16" t="str">
        <f>IFERROR(__xludf.DUMMYFUNCTION("""COMPUTED_VALUE"""),"")</f>
        <v/>
      </c>
    </row>
    <row r="11065">
      <c r="G11065" s="16" t="str">
        <f>IFERROR(__xludf.DUMMYFUNCTION("""COMPUTED_VALUE"""),"")</f>
        <v/>
      </c>
    </row>
    <row r="11066">
      <c r="G11066" s="16" t="str">
        <f>IFERROR(__xludf.DUMMYFUNCTION("""COMPUTED_VALUE"""),"")</f>
        <v/>
      </c>
    </row>
    <row r="11067">
      <c r="G11067" s="16" t="str">
        <f>IFERROR(__xludf.DUMMYFUNCTION("""COMPUTED_VALUE"""),"")</f>
        <v/>
      </c>
    </row>
    <row r="11068">
      <c r="G11068" s="16" t="str">
        <f>IFERROR(__xludf.DUMMYFUNCTION("""COMPUTED_VALUE"""),"")</f>
        <v/>
      </c>
    </row>
    <row r="11069">
      <c r="G11069" s="16" t="str">
        <f>IFERROR(__xludf.DUMMYFUNCTION("""COMPUTED_VALUE"""),"")</f>
        <v/>
      </c>
    </row>
    <row r="11070">
      <c r="G11070" s="16" t="str">
        <f>IFERROR(__xludf.DUMMYFUNCTION("""COMPUTED_VALUE"""),"")</f>
        <v/>
      </c>
    </row>
    <row r="11071">
      <c r="G11071" s="16" t="str">
        <f>IFERROR(__xludf.DUMMYFUNCTION("""COMPUTED_VALUE"""),"")</f>
        <v/>
      </c>
    </row>
    <row r="11072">
      <c r="G11072" s="16" t="str">
        <f>IFERROR(__xludf.DUMMYFUNCTION("""COMPUTED_VALUE"""),"")</f>
        <v/>
      </c>
    </row>
    <row r="11073">
      <c r="G11073" s="16" t="str">
        <f>IFERROR(__xludf.DUMMYFUNCTION("""COMPUTED_VALUE"""),"")</f>
        <v/>
      </c>
    </row>
    <row r="11074">
      <c r="G11074" s="16" t="str">
        <f>IFERROR(__xludf.DUMMYFUNCTION("""COMPUTED_VALUE"""),"")</f>
        <v/>
      </c>
    </row>
    <row r="11075">
      <c r="G11075" s="16" t="str">
        <f>IFERROR(__xludf.DUMMYFUNCTION("""COMPUTED_VALUE"""),"")</f>
        <v/>
      </c>
    </row>
    <row r="11076">
      <c r="G11076" s="16" t="str">
        <f>IFERROR(__xludf.DUMMYFUNCTION("""COMPUTED_VALUE"""),"")</f>
        <v/>
      </c>
    </row>
    <row r="11077">
      <c r="G11077" s="16" t="str">
        <f>IFERROR(__xludf.DUMMYFUNCTION("""COMPUTED_VALUE"""),"")</f>
        <v/>
      </c>
    </row>
    <row r="11078">
      <c r="G11078" s="16" t="str">
        <f>IFERROR(__xludf.DUMMYFUNCTION("""COMPUTED_VALUE"""),"")</f>
        <v/>
      </c>
    </row>
    <row r="11079">
      <c r="G11079" s="16" t="str">
        <f>IFERROR(__xludf.DUMMYFUNCTION("""COMPUTED_VALUE"""),"")</f>
        <v/>
      </c>
    </row>
    <row r="11080">
      <c r="G11080" s="16" t="str">
        <f>IFERROR(__xludf.DUMMYFUNCTION("""COMPUTED_VALUE"""),"")</f>
        <v/>
      </c>
    </row>
    <row r="11081">
      <c r="G11081" s="16" t="str">
        <f>IFERROR(__xludf.DUMMYFUNCTION("""COMPUTED_VALUE"""),"")</f>
        <v/>
      </c>
    </row>
    <row r="11082">
      <c r="G11082" s="16" t="str">
        <f>IFERROR(__xludf.DUMMYFUNCTION("""COMPUTED_VALUE"""),"")</f>
        <v/>
      </c>
    </row>
    <row r="11083">
      <c r="G11083" s="16" t="str">
        <f>IFERROR(__xludf.DUMMYFUNCTION("""COMPUTED_VALUE"""),"")</f>
        <v/>
      </c>
    </row>
    <row r="11084">
      <c r="G11084" s="16" t="str">
        <f>IFERROR(__xludf.DUMMYFUNCTION("""COMPUTED_VALUE"""),"")</f>
        <v/>
      </c>
    </row>
    <row r="11085">
      <c r="G11085" s="16" t="str">
        <f>IFERROR(__xludf.DUMMYFUNCTION("""COMPUTED_VALUE"""),"")</f>
        <v/>
      </c>
    </row>
    <row r="11086">
      <c r="G11086" s="16" t="str">
        <f>IFERROR(__xludf.DUMMYFUNCTION("""COMPUTED_VALUE"""),"")</f>
        <v/>
      </c>
    </row>
    <row r="11087">
      <c r="G11087" s="16" t="str">
        <f>IFERROR(__xludf.DUMMYFUNCTION("""COMPUTED_VALUE"""),"")</f>
        <v/>
      </c>
    </row>
    <row r="11088">
      <c r="G11088" s="16" t="str">
        <f>IFERROR(__xludf.DUMMYFUNCTION("""COMPUTED_VALUE"""),"")</f>
        <v/>
      </c>
    </row>
    <row r="11089">
      <c r="G11089" s="16" t="str">
        <f>IFERROR(__xludf.DUMMYFUNCTION("""COMPUTED_VALUE"""),"")</f>
        <v/>
      </c>
    </row>
    <row r="11090">
      <c r="G11090" s="16" t="str">
        <f>IFERROR(__xludf.DUMMYFUNCTION("""COMPUTED_VALUE"""),"")</f>
        <v/>
      </c>
    </row>
    <row r="11091">
      <c r="G11091" s="16" t="str">
        <f>IFERROR(__xludf.DUMMYFUNCTION("""COMPUTED_VALUE"""),"")</f>
        <v/>
      </c>
    </row>
    <row r="11092">
      <c r="G11092" s="16" t="str">
        <f>IFERROR(__xludf.DUMMYFUNCTION("""COMPUTED_VALUE"""),"")</f>
        <v/>
      </c>
    </row>
    <row r="11093">
      <c r="G11093" s="16" t="str">
        <f>IFERROR(__xludf.DUMMYFUNCTION("""COMPUTED_VALUE"""),"")</f>
        <v/>
      </c>
    </row>
    <row r="11094">
      <c r="G11094" s="16" t="str">
        <f>IFERROR(__xludf.DUMMYFUNCTION("""COMPUTED_VALUE"""),"")</f>
        <v/>
      </c>
    </row>
    <row r="11095">
      <c r="G11095" s="16" t="str">
        <f>IFERROR(__xludf.DUMMYFUNCTION("""COMPUTED_VALUE"""),"")</f>
        <v/>
      </c>
    </row>
    <row r="11096">
      <c r="G11096" s="16" t="str">
        <f>IFERROR(__xludf.DUMMYFUNCTION("""COMPUTED_VALUE"""),"")</f>
        <v/>
      </c>
    </row>
    <row r="11097">
      <c r="G11097" s="16" t="str">
        <f>IFERROR(__xludf.DUMMYFUNCTION("""COMPUTED_VALUE"""),"")</f>
        <v/>
      </c>
    </row>
    <row r="11098">
      <c r="G11098" s="16" t="str">
        <f>IFERROR(__xludf.DUMMYFUNCTION("""COMPUTED_VALUE"""),"")</f>
        <v/>
      </c>
    </row>
    <row r="11099">
      <c r="G11099" s="16" t="str">
        <f>IFERROR(__xludf.DUMMYFUNCTION("""COMPUTED_VALUE"""),"")</f>
        <v/>
      </c>
    </row>
    <row r="11100">
      <c r="G11100" s="16" t="str">
        <f>IFERROR(__xludf.DUMMYFUNCTION("""COMPUTED_VALUE"""),"")</f>
        <v/>
      </c>
    </row>
    <row r="11101">
      <c r="G11101" s="16" t="str">
        <f>IFERROR(__xludf.DUMMYFUNCTION("""COMPUTED_VALUE"""),"")</f>
        <v/>
      </c>
    </row>
    <row r="11102">
      <c r="G11102" s="16" t="str">
        <f>IFERROR(__xludf.DUMMYFUNCTION("""COMPUTED_VALUE"""),"")</f>
        <v/>
      </c>
    </row>
    <row r="11103">
      <c r="G11103" s="16" t="str">
        <f>IFERROR(__xludf.DUMMYFUNCTION("""COMPUTED_VALUE"""),"")</f>
        <v/>
      </c>
    </row>
    <row r="11104">
      <c r="G11104" s="16" t="str">
        <f>IFERROR(__xludf.DUMMYFUNCTION("""COMPUTED_VALUE"""),"")</f>
        <v/>
      </c>
    </row>
    <row r="11105">
      <c r="G11105" s="16" t="str">
        <f>IFERROR(__xludf.DUMMYFUNCTION("""COMPUTED_VALUE"""),"")</f>
        <v/>
      </c>
    </row>
    <row r="11106">
      <c r="G11106" s="16" t="str">
        <f>IFERROR(__xludf.DUMMYFUNCTION("""COMPUTED_VALUE"""),"")</f>
        <v/>
      </c>
    </row>
    <row r="11107">
      <c r="G11107" s="16" t="str">
        <f>IFERROR(__xludf.DUMMYFUNCTION("""COMPUTED_VALUE"""),"")</f>
        <v/>
      </c>
    </row>
    <row r="11108">
      <c r="G11108" s="16" t="str">
        <f>IFERROR(__xludf.DUMMYFUNCTION("""COMPUTED_VALUE"""),"")</f>
        <v/>
      </c>
    </row>
    <row r="11109">
      <c r="G11109" s="16" t="str">
        <f>IFERROR(__xludf.DUMMYFUNCTION("""COMPUTED_VALUE"""),"")</f>
        <v/>
      </c>
    </row>
    <row r="11110">
      <c r="G11110" s="16" t="str">
        <f>IFERROR(__xludf.DUMMYFUNCTION("""COMPUTED_VALUE"""),"")</f>
        <v/>
      </c>
    </row>
    <row r="11111">
      <c r="G11111" s="16" t="str">
        <f>IFERROR(__xludf.DUMMYFUNCTION("""COMPUTED_VALUE"""),"")</f>
        <v/>
      </c>
    </row>
    <row r="11112">
      <c r="G11112" s="16" t="str">
        <f>IFERROR(__xludf.DUMMYFUNCTION("""COMPUTED_VALUE"""),"")</f>
        <v/>
      </c>
    </row>
    <row r="11113">
      <c r="G11113" s="16" t="str">
        <f>IFERROR(__xludf.DUMMYFUNCTION("""COMPUTED_VALUE"""),"")</f>
        <v/>
      </c>
    </row>
    <row r="11114">
      <c r="G11114" s="16" t="str">
        <f>IFERROR(__xludf.DUMMYFUNCTION("""COMPUTED_VALUE"""),"")</f>
        <v/>
      </c>
    </row>
    <row r="11115">
      <c r="G11115" s="16" t="str">
        <f>IFERROR(__xludf.DUMMYFUNCTION("""COMPUTED_VALUE"""),"")</f>
        <v/>
      </c>
    </row>
    <row r="11116">
      <c r="G11116" s="16" t="str">
        <f>IFERROR(__xludf.DUMMYFUNCTION("""COMPUTED_VALUE"""),"")</f>
        <v/>
      </c>
    </row>
    <row r="11117">
      <c r="G11117" s="16" t="str">
        <f>IFERROR(__xludf.DUMMYFUNCTION("""COMPUTED_VALUE"""),"")</f>
        <v/>
      </c>
    </row>
    <row r="11118">
      <c r="G11118" s="16" t="str">
        <f>IFERROR(__xludf.DUMMYFUNCTION("""COMPUTED_VALUE"""),"")</f>
        <v/>
      </c>
    </row>
    <row r="11119">
      <c r="G11119" s="16" t="str">
        <f>IFERROR(__xludf.DUMMYFUNCTION("""COMPUTED_VALUE"""),"")</f>
        <v/>
      </c>
    </row>
    <row r="11120">
      <c r="G11120" s="16" t="str">
        <f>IFERROR(__xludf.DUMMYFUNCTION("""COMPUTED_VALUE"""),"")</f>
        <v/>
      </c>
    </row>
    <row r="11121">
      <c r="G11121" s="16" t="str">
        <f>IFERROR(__xludf.DUMMYFUNCTION("""COMPUTED_VALUE"""),"")</f>
        <v/>
      </c>
    </row>
    <row r="11122">
      <c r="G11122" s="16" t="str">
        <f>IFERROR(__xludf.DUMMYFUNCTION("""COMPUTED_VALUE"""),"")</f>
        <v/>
      </c>
    </row>
    <row r="11123">
      <c r="G11123" s="16" t="str">
        <f>IFERROR(__xludf.DUMMYFUNCTION("""COMPUTED_VALUE"""),"")</f>
        <v/>
      </c>
    </row>
    <row r="11124">
      <c r="G11124" s="16" t="str">
        <f>IFERROR(__xludf.DUMMYFUNCTION("""COMPUTED_VALUE"""),"")</f>
        <v/>
      </c>
    </row>
    <row r="11125">
      <c r="G11125" s="16" t="str">
        <f>IFERROR(__xludf.DUMMYFUNCTION("""COMPUTED_VALUE"""),"")</f>
        <v/>
      </c>
    </row>
    <row r="11126">
      <c r="G11126" s="16" t="str">
        <f>IFERROR(__xludf.DUMMYFUNCTION("""COMPUTED_VALUE"""),"")</f>
        <v/>
      </c>
    </row>
    <row r="11127">
      <c r="G11127" s="16" t="str">
        <f>IFERROR(__xludf.DUMMYFUNCTION("""COMPUTED_VALUE"""),"")</f>
        <v/>
      </c>
    </row>
    <row r="11128">
      <c r="G11128" s="16" t="str">
        <f>IFERROR(__xludf.DUMMYFUNCTION("""COMPUTED_VALUE"""),"")</f>
        <v/>
      </c>
    </row>
    <row r="11129">
      <c r="G11129" s="16" t="str">
        <f>IFERROR(__xludf.DUMMYFUNCTION("""COMPUTED_VALUE"""),"")</f>
        <v/>
      </c>
    </row>
    <row r="11130">
      <c r="G11130" s="16" t="str">
        <f>IFERROR(__xludf.DUMMYFUNCTION("""COMPUTED_VALUE"""),"")</f>
        <v/>
      </c>
    </row>
    <row r="11131">
      <c r="G11131" s="16" t="str">
        <f>IFERROR(__xludf.DUMMYFUNCTION("""COMPUTED_VALUE"""),"")</f>
        <v/>
      </c>
    </row>
    <row r="11132">
      <c r="G11132" s="16" t="str">
        <f>IFERROR(__xludf.DUMMYFUNCTION("""COMPUTED_VALUE"""),"")</f>
        <v/>
      </c>
    </row>
    <row r="11133">
      <c r="G11133" s="16" t="str">
        <f>IFERROR(__xludf.DUMMYFUNCTION("""COMPUTED_VALUE"""),"")</f>
        <v/>
      </c>
    </row>
    <row r="11134">
      <c r="G11134" s="16" t="str">
        <f>IFERROR(__xludf.DUMMYFUNCTION("""COMPUTED_VALUE"""),"")</f>
        <v/>
      </c>
    </row>
    <row r="11135">
      <c r="G11135" s="16" t="str">
        <f>IFERROR(__xludf.DUMMYFUNCTION("""COMPUTED_VALUE"""),"")</f>
        <v/>
      </c>
    </row>
    <row r="11136">
      <c r="G11136" s="16" t="str">
        <f>IFERROR(__xludf.DUMMYFUNCTION("""COMPUTED_VALUE"""),"")</f>
        <v/>
      </c>
    </row>
    <row r="11137">
      <c r="G11137" s="16" t="str">
        <f>IFERROR(__xludf.DUMMYFUNCTION("""COMPUTED_VALUE"""),"")</f>
        <v/>
      </c>
    </row>
    <row r="11138">
      <c r="G11138" s="16" t="str">
        <f>IFERROR(__xludf.DUMMYFUNCTION("""COMPUTED_VALUE"""),"")</f>
        <v/>
      </c>
    </row>
    <row r="11139">
      <c r="G11139" s="16" t="str">
        <f>IFERROR(__xludf.DUMMYFUNCTION("""COMPUTED_VALUE"""),"")</f>
        <v/>
      </c>
    </row>
    <row r="11140">
      <c r="G11140" s="16" t="str">
        <f>IFERROR(__xludf.DUMMYFUNCTION("""COMPUTED_VALUE"""),"")</f>
        <v/>
      </c>
    </row>
    <row r="11141">
      <c r="G11141" s="16" t="str">
        <f>IFERROR(__xludf.DUMMYFUNCTION("""COMPUTED_VALUE"""),"")</f>
        <v/>
      </c>
    </row>
    <row r="11142">
      <c r="G11142" s="16" t="str">
        <f>IFERROR(__xludf.DUMMYFUNCTION("""COMPUTED_VALUE"""),"")</f>
        <v/>
      </c>
    </row>
    <row r="11143">
      <c r="G11143" s="16" t="str">
        <f>IFERROR(__xludf.DUMMYFUNCTION("""COMPUTED_VALUE"""),"")</f>
        <v/>
      </c>
    </row>
    <row r="11144">
      <c r="G11144" s="16" t="str">
        <f>IFERROR(__xludf.DUMMYFUNCTION("""COMPUTED_VALUE"""),"")</f>
        <v/>
      </c>
    </row>
    <row r="11145">
      <c r="G11145" s="16" t="str">
        <f>IFERROR(__xludf.DUMMYFUNCTION("""COMPUTED_VALUE"""),"")</f>
        <v/>
      </c>
    </row>
    <row r="11146">
      <c r="G11146" s="16" t="str">
        <f>IFERROR(__xludf.DUMMYFUNCTION("""COMPUTED_VALUE"""),"")</f>
        <v/>
      </c>
    </row>
    <row r="11147">
      <c r="G11147" s="16" t="str">
        <f>IFERROR(__xludf.DUMMYFUNCTION("""COMPUTED_VALUE"""),"")</f>
        <v/>
      </c>
    </row>
    <row r="11148">
      <c r="G11148" s="16" t="str">
        <f>IFERROR(__xludf.DUMMYFUNCTION("""COMPUTED_VALUE"""),"")</f>
        <v/>
      </c>
    </row>
    <row r="11149">
      <c r="G11149" s="16" t="str">
        <f>IFERROR(__xludf.DUMMYFUNCTION("""COMPUTED_VALUE"""),"")</f>
        <v/>
      </c>
    </row>
    <row r="11150">
      <c r="G11150" s="16" t="str">
        <f>IFERROR(__xludf.DUMMYFUNCTION("""COMPUTED_VALUE"""),"")</f>
        <v/>
      </c>
    </row>
    <row r="11151">
      <c r="G11151" s="16" t="str">
        <f>IFERROR(__xludf.DUMMYFUNCTION("""COMPUTED_VALUE"""),"")</f>
        <v/>
      </c>
    </row>
    <row r="11152">
      <c r="G11152" s="16" t="str">
        <f>IFERROR(__xludf.DUMMYFUNCTION("""COMPUTED_VALUE"""),"")</f>
        <v/>
      </c>
    </row>
    <row r="11153">
      <c r="G11153" s="16" t="str">
        <f>IFERROR(__xludf.DUMMYFUNCTION("""COMPUTED_VALUE"""),"")</f>
        <v/>
      </c>
    </row>
    <row r="11154">
      <c r="G11154" s="16" t="str">
        <f>IFERROR(__xludf.DUMMYFUNCTION("""COMPUTED_VALUE"""),"")</f>
        <v/>
      </c>
    </row>
    <row r="11155">
      <c r="G11155" s="16" t="str">
        <f>IFERROR(__xludf.DUMMYFUNCTION("""COMPUTED_VALUE"""),"")</f>
        <v/>
      </c>
    </row>
    <row r="11156">
      <c r="G11156" s="16" t="str">
        <f>IFERROR(__xludf.DUMMYFUNCTION("""COMPUTED_VALUE"""),"")</f>
        <v/>
      </c>
    </row>
    <row r="11157">
      <c r="G11157" s="16" t="str">
        <f>IFERROR(__xludf.DUMMYFUNCTION("""COMPUTED_VALUE"""),"")</f>
        <v/>
      </c>
    </row>
    <row r="11158">
      <c r="G11158" s="16" t="str">
        <f>IFERROR(__xludf.DUMMYFUNCTION("""COMPUTED_VALUE"""),"")</f>
        <v/>
      </c>
    </row>
    <row r="11159">
      <c r="G11159" s="16" t="str">
        <f>IFERROR(__xludf.DUMMYFUNCTION("""COMPUTED_VALUE"""),"")</f>
        <v/>
      </c>
    </row>
    <row r="11160">
      <c r="G11160" s="16" t="str">
        <f>IFERROR(__xludf.DUMMYFUNCTION("""COMPUTED_VALUE"""),"")</f>
        <v/>
      </c>
    </row>
    <row r="11161">
      <c r="G11161" s="16" t="str">
        <f>IFERROR(__xludf.DUMMYFUNCTION("""COMPUTED_VALUE"""),"")</f>
        <v/>
      </c>
    </row>
    <row r="11162">
      <c r="G11162" s="16" t="str">
        <f>IFERROR(__xludf.DUMMYFUNCTION("""COMPUTED_VALUE"""),"")</f>
        <v/>
      </c>
    </row>
    <row r="11163">
      <c r="G11163" s="16" t="str">
        <f>IFERROR(__xludf.DUMMYFUNCTION("""COMPUTED_VALUE"""),"")</f>
        <v/>
      </c>
    </row>
    <row r="11164">
      <c r="G11164" s="16" t="str">
        <f>IFERROR(__xludf.DUMMYFUNCTION("""COMPUTED_VALUE"""),"")</f>
        <v/>
      </c>
    </row>
    <row r="11165">
      <c r="G11165" s="16" t="str">
        <f>IFERROR(__xludf.DUMMYFUNCTION("""COMPUTED_VALUE"""),"")</f>
        <v/>
      </c>
    </row>
    <row r="11166">
      <c r="G11166" s="16" t="str">
        <f>IFERROR(__xludf.DUMMYFUNCTION("""COMPUTED_VALUE"""),"")</f>
        <v/>
      </c>
    </row>
    <row r="11167">
      <c r="G11167" s="16" t="str">
        <f>IFERROR(__xludf.DUMMYFUNCTION("""COMPUTED_VALUE"""),"")</f>
        <v/>
      </c>
    </row>
    <row r="11168">
      <c r="G11168" s="16" t="str">
        <f>IFERROR(__xludf.DUMMYFUNCTION("""COMPUTED_VALUE"""),"")</f>
        <v/>
      </c>
    </row>
    <row r="11169">
      <c r="G11169" s="16" t="str">
        <f>IFERROR(__xludf.DUMMYFUNCTION("""COMPUTED_VALUE"""),"")</f>
        <v/>
      </c>
    </row>
    <row r="11170">
      <c r="G11170" s="16" t="str">
        <f>IFERROR(__xludf.DUMMYFUNCTION("""COMPUTED_VALUE"""),"")</f>
        <v/>
      </c>
    </row>
    <row r="11171">
      <c r="G11171" s="16" t="str">
        <f>IFERROR(__xludf.DUMMYFUNCTION("""COMPUTED_VALUE"""),"")</f>
        <v/>
      </c>
    </row>
    <row r="11172">
      <c r="G11172" s="16" t="str">
        <f>IFERROR(__xludf.DUMMYFUNCTION("""COMPUTED_VALUE"""),"")</f>
        <v/>
      </c>
    </row>
    <row r="11173">
      <c r="G11173" s="16" t="str">
        <f>IFERROR(__xludf.DUMMYFUNCTION("""COMPUTED_VALUE"""),"")</f>
        <v/>
      </c>
    </row>
    <row r="11174">
      <c r="G11174" s="16" t="str">
        <f>IFERROR(__xludf.DUMMYFUNCTION("""COMPUTED_VALUE"""),"")</f>
        <v/>
      </c>
    </row>
    <row r="11175">
      <c r="G11175" s="16" t="str">
        <f>IFERROR(__xludf.DUMMYFUNCTION("""COMPUTED_VALUE"""),"")</f>
        <v/>
      </c>
    </row>
    <row r="11176">
      <c r="G11176" s="16" t="str">
        <f>IFERROR(__xludf.DUMMYFUNCTION("""COMPUTED_VALUE"""),"")</f>
        <v/>
      </c>
    </row>
    <row r="11177">
      <c r="G11177" s="16" t="str">
        <f>IFERROR(__xludf.DUMMYFUNCTION("""COMPUTED_VALUE"""),"")</f>
        <v/>
      </c>
    </row>
    <row r="11178">
      <c r="G11178" s="16" t="str">
        <f>IFERROR(__xludf.DUMMYFUNCTION("""COMPUTED_VALUE"""),"")</f>
        <v/>
      </c>
    </row>
    <row r="11179">
      <c r="G11179" s="16" t="str">
        <f>IFERROR(__xludf.DUMMYFUNCTION("""COMPUTED_VALUE"""),"")</f>
        <v/>
      </c>
    </row>
    <row r="11180">
      <c r="G11180" s="16" t="str">
        <f>IFERROR(__xludf.DUMMYFUNCTION("""COMPUTED_VALUE"""),"")</f>
        <v/>
      </c>
    </row>
    <row r="11181">
      <c r="G11181" s="16" t="str">
        <f>IFERROR(__xludf.DUMMYFUNCTION("""COMPUTED_VALUE"""),"")</f>
        <v/>
      </c>
    </row>
    <row r="11182">
      <c r="G11182" s="16" t="str">
        <f>IFERROR(__xludf.DUMMYFUNCTION("""COMPUTED_VALUE"""),"")</f>
        <v/>
      </c>
    </row>
    <row r="11183">
      <c r="G11183" s="16" t="str">
        <f>IFERROR(__xludf.DUMMYFUNCTION("""COMPUTED_VALUE"""),"")</f>
        <v/>
      </c>
    </row>
    <row r="11184">
      <c r="G11184" s="16" t="str">
        <f>IFERROR(__xludf.DUMMYFUNCTION("""COMPUTED_VALUE"""),"")</f>
        <v/>
      </c>
    </row>
    <row r="11185">
      <c r="G11185" s="16" t="str">
        <f>IFERROR(__xludf.DUMMYFUNCTION("""COMPUTED_VALUE"""),"")</f>
        <v/>
      </c>
    </row>
    <row r="11186">
      <c r="G11186" s="16" t="str">
        <f>IFERROR(__xludf.DUMMYFUNCTION("""COMPUTED_VALUE"""),"")</f>
        <v/>
      </c>
    </row>
    <row r="11187">
      <c r="G11187" s="16" t="str">
        <f>IFERROR(__xludf.DUMMYFUNCTION("""COMPUTED_VALUE"""),"")</f>
        <v/>
      </c>
    </row>
    <row r="11188">
      <c r="G11188" s="16" t="str">
        <f>IFERROR(__xludf.DUMMYFUNCTION("""COMPUTED_VALUE"""),"")</f>
        <v/>
      </c>
    </row>
    <row r="11189">
      <c r="G11189" s="16" t="str">
        <f>IFERROR(__xludf.DUMMYFUNCTION("""COMPUTED_VALUE"""),"")</f>
        <v/>
      </c>
    </row>
    <row r="11190">
      <c r="G11190" s="16" t="str">
        <f>IFERROR(__xludf.DUMMYFUNCTION("""COMPUTED_VALUE"""),"")</f>
        <v/>
      </c>
    </row>
    <row r="11191">
      <c r="G11191" s="16" t="str">
        <f>IFERROR(__xludf.DUMMYFUNCTION("""COMPUTED_VALUE"""),"")</f>
        <v/>
      </c>
    </row>
    <row r="11192">
      <c r="G11192" s="16" t="str">
        <f>IFERROR(__xludf.DUMMYFUNCTION("""COMPUTED_VALUE"""),"")</f>
        <v/>
      </c>
    </row>
    <row r="11193">
      <c r="G11193" s="16" t="str">
        <f>IFERROR(__xludf.DUMMYFUNCTION("""COMPUTED_VALUE"""),"")</f>
        <v/>
      </c>
    </row>
    <row r="11194">
      <c r="G11194" s="16" t="str">
        <f>IFERROR(__xludf.DUMMYFUNCTION("""COMPUTED_VALUE"""),"")</f>
        <v/>
      </c>
    </row>
    <row r="11195">
      <c r="G11195" s="16" t="str">
        <f>IFERROR(__xludf.DUMMYFUNCTION("""COMPUTED_VALUE"""),"")</f>
        <v/>
      </c>
    </row>
    <row r="11196">
      <c r="G11196" s="16" t="str">
        <f>IFERROR(__xludf.DUMMYFUNCTION("""COMPUTED_VALUE"""),"")</f>
        <v/>
      </c>
    </row>
    <row r="11197">
      <c r="G11197" s="16" t="str">
        <f>IFERROR(__xludf.DUMMYFUNCTION("""COMPUTED_VALUE"""),"")</f>
        <v/>
      </c>
    </row>
    <row r="11198">
      <c r="G11198" s="16" t="str">
        <f>IFERROR(__xludf.DUMMYFUNCTION("""COMPUTED_VALUE"""),"")</f>
        <v/>
      </c>
    </row>
    <row r="11199">
      <c r="G11199" s="16" t="str">
        <f>IFERROR(__xludf.DUMMYFUNCTION("""COMPUTED_VALUE"""),"")</f>
        <v/>
      </c>
    </row>
    <row r="11200">
      <c r="G11200" s="16" t="str">
        <f>IFERROR(__xludf.DUMMYFUNCTION("""COMPUTED_VALUE"""),"")</f>
        <v/>
      </c>
    </row>
    <row r="11201">
      <c r="G11201" s="16" t="str">
        <f>IFERROR(__xludf.DUMMYFUNCTION("""COMPUTED_VALUE"""),"")</f>
        <v/>
      </c>
    </row>
    <row r="11202">
      <c r="G11202" s="16" t="str">
        <f>IFERROR(__xludf.DUMMYFUNCTION("""COMPUTED_VALUE"""),"")</f>
        <v/>
      </c>
    </row>
    <row r="11203">
      <c r="G11203" s="16" t="str">
        <f>IFERROR(__xludf.DUMMYFUNCTION("""COMPUTED_VALUE"""),"")</f>
        <v/>
      </c>
    </row>
    <row r="11204">
      <c r="G11204" s="16" t="str">
        <f>IFERROR(__xludf.DUMMYFUNCTION("""COMPUTED_VALUE"""),"")</f>
        <v/>
      </c>
    </row>
    <row r="11205">
      <c r="G11205" s="16" t="str">
        <f>IFERROR(__xludf.DUMMYFUNCTION("""COMPUTED_VALUE"""),"")</f>
        <v/>
      </c>
    </row>
    <row r="11206">
      <c r="G11206" s="16" t="str">
        <f>IFERROR(__xludf.DUMMYFUNCTION("""COMPUTED_VALUE"""),"")</f>
        <v/>
      </c>
    </row>
    <row r="11207">
      <c r="G11207" s="16" t="str">
        <f>IFERROR(__xludf.DUMMYFUNCTION("""COMPUTED_VALUE"""),"")</f>
        <v/>
      </c>
    </row>
    <row r="11208">
      <c r="G11208" s="16" t="str">
        <f>IFERROR(__xludf.DUMMYFUNCTION("""COMPUTED_VALUE"""),"")</f>
        <v/>
      </c>
    </row>
    <row r="11209">
      <c r="G11209" s="16" t="str">
        <f>IFERROR(__xludf.DUMMYFUNCTION("""COMPUTED_VALUE"""),"")</f>
        <v/>
      </c>
    </row>
    <row r="11210">
      <c r="G11210" s="16" t="str">
        <f>IFERROR(__xludf.DUMMYFUNCTION("""COMPUTED_VALUE"""),"")</f>
        <v/>
      </c>
    </row>
    <row r="11211">
      <c r="G11211" s="16" t="str">
        <f>IFERROR(__xludf.DUMMYFUNCTION("""COMPUTED_VALUE"""),"")</f>
        <v/>
      </c>
    </row>
    <row r="11212">
      <c r="G11212" s="16" t="str">
        <f>IFERROR(__xludf.DUMMYFUNCTION("""COMPUTED_VALUE"""),"")</f>
        <v/>
      </c>
    </row>
    <row r="11213">
      <c r="G11213" s="16" t="str">
        <f>IFERROR(__xludf.DUMMYFUNCTION("""COMPUTED_VALUE"""),"")</f>
        <v/>
      </c>
    </row>
    <row r="11214">
      <c r="G11214" s="16" t="str">
        <f>IFERROR(__xludf.DUMMYFUNCTION("""COMPUTED_VALUE"""),"")</f>
        <v/>
      </c>
    </row>
    <row r="11215">
      <c r="G11215" s="16" t="str">
        <f>IFERROR(__xludf.DUMMYFUNCTION("""COMPUTED_VALUE"""),"")</f>
        <v/>
      </c>
    </row>
    <row r="11216">
      <c r="G11216" s="16" t="str">
        <f>IFERROR(__xludf.DUMMYFUNCTION("""COMPUTED_VALUE"""),"")</f>
        <v/>
      </c>
    </row>
    <row r="11217">
      <c r="G11217" s="16" t="str">
        <f>IFERROR(__xludf.DUMMYFUNCTION("""COMPUTED_VALUE"""),"")</f>
        <v/>
      </c>
    </row>
    <row r="11218">
      <c r="G11218" s="16" t="str">
        <f>IFERROR(__xludf.DUMMYFUNCTION("""COMPUTED_VALUE"""),"")</f>
        <v/>
      </c>
    </row>
    <row r="11219">
      <c r="G11219" s="16" t="str">
        <f>IFERROR(__xludf.DUMMYFUNCTION("""COMPUTED_VALUE"""),"")</f>
        <v/>
      </c>
    </row>
    <row r="11220">
      <c r="G11220" s="16" t="str">
        <f>IFERROR(__xludf.DUMMYFUNCTION("""COMPUTED_VALUE"""),"")</f>
        <v/>
      </c>
    </row>
    <row r="11221">
      <c r="G11221" s="16" t="str">
        <f>IFERROR(__xludf.DUMMYFUNCTION("""COMPUTED_VALUE"""),"")</f>
        <v/>
      </c>
    </row>
    <row r="11222">
      <c r="G11222" s="16" t="str">
        <f>IFERROR(__xludf.DUMMYFUNCTION("""COMPUTED_VALUE"""),"")</f>
        <v/>
      </c>
    </row>
    <row r="11223">
      <c r="G11223" s="16" t="str">
        <f>IFERROR(__xludf.DUMMYFUNCTION("""COMPUTED_VALUE"""),"")</f>
        <v/>
      </c>
    </row>
    <row r="11224">
      <c r="G11224" s="16" t="str">
        <f>IFERROR(__xludf.DUMMYFUNCTION("""COMPUTED_VALUE"""),"")</f>
        <v/>
      </c>
    </row>
    <row r="11225">
      <c r="G11225" s="16" t="str">
        <f>IFERROR(__xludf.DUMMYFUNCTION("""COMPUTED_VALUE"""),"")</f>
        <v/>
      </c>
    </row>
    <row r="11226">
      <c r="G11226" s="16" t="str">
        <f>IFERROR(__xludf.DUMMYFUNCTION("""COMPUTED_VALUE"""),"")</f>
        <v/>
      </c>
    </row>
    <row r="11227">
      <c r="G11227" s="16" t="str">
        <f>IFERROR(__xludf.DUMMYFUNCTION("""COMPUTED_VALUE"""),"")</f>
        <v/>
      </c>
    </row>
    <row r="11228">
      <c r="G11228" s="16" t="str">
        <f>IFERROR(__xludf.DUMMYFUNCTION("""COMPUTED_VALUE"""),"")</f>
        <v/>
      </c>
    </row>
    <row r="11229">
      <c r="G11229" s="16" t="str">
        <f>IFERROR(__xludf.DUMMYFUNCTION("""COMPUTED_VALUE"""),"")</f>
        <v/>
      </c>
    </row>
    <row r="11230">
      <c r="G11230" s="16" t="str">
        <f>IFERROR(__xludf.DUMMYFUNCTION("""COMPUTED_VALUE"""),"")</f>
        <v/>
      </c>
    </row>
    <row r="11231">
      <c r="G11231" s="16" t="str">
        <f>IFERROR(__xludf.DUMMYFUNCTION("""COMPUTED_VALUE"""),"")</f>
        <v/>
      </c>
    </row>
    <row r="11232">
      <c r="G11232" s="16" t="str">
        <f>IFERROR(__xludf.DUMMYFUNCTION("""COMPUTED_VALUE"""),"")</f>
        <v/>
      </c>
    </row>
    <row r="11233">
      <c r="G11233" s="16" t="str">
        <f>IFERROR(__xludf.DUMMYFUNCTION("""COMPUTED_VALUE"""),"")</f>
        <v/>
      </c>
    </row>
    <row r="11234">
      <c r="G11234" s="16" t="str">
        <f>IFERROR(__xludf.DUMMYFUNCTION("""COMPUTED_VALUE"""),"")</f>
        <v/>
      </c>
    </row>
    <row r="11235">
      <c r="G11235" s="16" t="str">
        <f>IFERROR(__xludf.DUMMYFUNCTION("""COMPUTED_VALUE"""),"")</f>
        <v/>
      </c>
    </row>
    <row r="11236">
      <c r="G11236" s="16" t="str">
        <f>IFERROR(__xludf.DUMMYFUNCTION("""COMPUTED_VALUE"""),"")</f>
        <v/>
      </c>
    </row>
    <row r="11237">
      <c r="G11237" s="16" t="str">
        <f>IFERROR(__xludf.DUMMYFUNCTION("""COMPUTED_VALUE"""),"")</f>
        <v/>
      </c>
    </row>
    <row r="11238">
      <c r="G11238" s="16" t="str">
        <f>IFERROR(__xludf.DUMMYFUNCTION("""COMPUTED_VALUE"""),"")</f>
        <v/>
      </c>
    </row>
    <row r="11239">
      <c r="G11239" s="16" t="str">
        <f>IFERROR(__xludf.DUMMYFUNCTION("""COMPUTED_VALUE"""),"")</f>
        <v/>
      </c>
    </row>
    <row r="11240">
      <c r="G11240" s="16" t="str">
        <f>IFERROR(__xludf.DUMMYFUNCTION("""COMPUTED_VALUE"""),"")</f>
        <v/>
      </c>
    </row>
    <row r="11241">
      <c r="G11241" s="16" t="str">
        <f>IFERROR(__xludf.DUMMYFUNCTION("""COMPUTED_VALUE"""),"")</f>
        <v/>
      </c>
    </row>
    <row r="11242">
      <c r="G11242" s="16" t="str">
        <f>IFERROR(__xludf.DUMMYFUNCTION("""COMPUTED_VALUE"""),"")</f>
        <v/>
      </c>
    </row>
    <row r="11243">
      <c r="G11243" s="16" t="str">
        <f>IFERROR(__xludf.DUMMYFUNCTION("""COMPUTED_VALUE"""),"")</f>
        <v/>
      </c>
    </row>
    <row r="11244">
      <c r="G11244" s="16" t="str">
        <f>IFERROR(__xludf.DUMMYFUNCTION("""COMPUTED_VALUE"""),"")</f>
        <v/>
      </c>
    </row>
    <row r="11245">
      <c r="G11245" s="16" t="str">
        <f>IFERROR(__xludf.DUMMYFUNCTION("""COMPUTED_VALUE"""),"")</f>
        <v/>
      </c>
    </row>
    <row r="11246">
      <c r="G11246" s="16" t="str">
        <f>IFERROR(__xludf.DUMMYFUNCTION("""COMPUTED_VALUE"""),"")</f>
        <v/>
      </c>
    </row>
    <row r="11247">
      <c r="G11247" s="16" t="str">
        <f>IFERROR(__xludf.DUMMYFUNCTION("""COMPUTED_VALUE"""),"")</f>
        <v/>
      </c>
    </row>
    <row r="11248">
      <c r="G11248" s="16" t="str">
        <f>IFERROR(__xludf.DUMMYFUNCTION("""COMPUTED_VALUE"""),"")</f>
        <v/>
      </c>
    </row>
    <row r="11249">
      <c r="G11249" s="16" t="str">
        <f>IFERROR(__xludf.DUMMYFUNCTION("""COMPUTED_VALUE"""),"")</f>
        <v/>
      </c>
    </row>
    <row r="11250">
      <c r="G11250" s="16" t="str">
        <f>IFERROR(__xludf.DUMMYFUNCTION("""COMPUTED_VALUE"""),"")</f>
        <v/>
      </c>
    </row>
    <row r="11251">
      <c r="G11251" s="16" t="str">
        <f>IFERROR(__xludf.DUMMYFUNCTION("""COMPUTED_VALUE"""),"")</f>
        <v/>
      </c>
    </row>
    <row r="11252">
      <c r="G11252" s="16" t="str">
        <f>IFERROR(__xludf.DUMMYFUNCTION("""COMPUTED_VALUE"""),"")</f>
        <v/>
      </c>
    </row>
    <row r="11253">
      <c r="G11253" s="16" t="str">
        <f>IFERROR(__xludf.DUMMYFUNCTION("""COMPUTED_VALUE"""),"")</f>
        <v/>
      </c>
    </row>
    <row r="11254">
      <c r="G11254" s="16" t="str">
        <f>IFERROR(__xludf.DUMMYFUNCTION("""COMPUTED_VALUE"""),"")</f>
        <v/>
      </c>
    </row>
    <row r="11255">
      <c r="G11255" s="16" t="str">
        <f>IFERROR(__xludf.DUMMYFUNCTION("""COMPUTED_VALUE"""),"")</f>
        <v/>
      </c>
    </row>
    <row r="11256">
      <c r="G11256" s="16" t="str">
        <f>IFERROR(__xludf.DUMMYFUNCTION("""COMPUTED_VALUE"""),"")</f>
        <v/>
      </c>
    </row>
    <row r="11257">
      <c r="G11257" s="16" t="str">
        <f>IFERROR(__xludf.DUMMYFUNCTION("""COMPUTED_VALUE"""),"")</f>
        <v/>
      </c>
    </row>
    <row r="11258">
      <c r="G11258" s="16" t="str">
        <f>IFERROR(__xludf.DUMMYFUNCTION("""COMPUTED_VALUE"""),"")</f>
        <v/>
      </c>
    </row>
    <row r="11259">
      <c r="G11259" s="16" t="str">
        <f>IFERROR(__xludf.DUMMYFUNCTION("""COMPUTED_VALUE"""),"")</f>
        <v/>
      </c>
    </row>
    <row r="11260">
      <c r="G11260" s="16" t="str">
        <f>IFERROR(__xludf.DUMMYFUNCTION("""COMPUTED_VALUE"""),"")</f>
        <v/>
      </c>
    </row>
    <row r="11261">
      <c r="G11261" s="16" t="str">
        <f>IFERROR(__xludf.DUMMYFUNCTION("""COMPUTED_VALUE"""),"")</f>
        <v/>
      </c>
    </row>
    <row r="11262">
      <c r="G11262" s="16" t="str">
        <f>IFERROR(__xludf.DUMMYFUNCTION("""COMPUTED_VALUE"""),"")</f>
        <v/>
      </c>
    </row>
    <row r="11263">
      <c r="G11263" s="16" t="str">
        <f>IFERROR(__xludf.DUMMYFUNCTION("""COMPUTED_VALUE"""),"")</f>
        <v/>
      </c>
    </row>
    <row r="11264">
      <c r="G11264" s="16" t="str">
        <f>IFERROR(__xludf.DUMMYFUNCTION("""COMPUTED_VALUE"""),"")</f>
        <v/>
      </c>
    </row>
    <row r="11265">
      <c r="G11265" s="16" t="str">
        <f>IFERROR(__xludf.DUMMYFUNCTION("""COMPUTED_VALUE"""),"")</f>
        <v/>
      </c>
    </row>
    <row r="11266">
      <c r="G11266" s="16" t="str">
        <f>IFERROR(__xludf.DUMMYFUNCTION("""COMPUTED_VALUE"""),"")</f>
        <v/>
      </c>
    </row>
    <row r="11267">
      <c r="G11267" s="16" t="str">
        <f>IFERROR(__xludf.DUMMYFUNCTION("""COMPUTED_VALUE"""),"")</f>
        <v/>
      </c>
    </row>
    <row r="11268">
      <c r="G11268" s="16" t="str">
        <f>IFERROR(__xludf.DUMMYFUNCTION("""COMPUTED_VALUE"""),"")</f>
        <v/>
      </c>
    </row>
    <row r="11269">
      <c r="G11269" s="16" t="str">
        <f>IFERROR(__xludf.DUMMYFUNCTION("""COMPUTED_VALUE"""),"")</f>
        <v/>
      </c>
    </row>
    <row r="11270">
      <c r="G11270" s="16" t="str">
        <f>IFERROR(__xludf.DUMMYFUNCTION("""COMPUTED_VALUE"""),"")</f>
        <v/>
      </c>
    </row>
    <row r="11271">
      <c r="G11271" s="16" t="str">
        <f>IFERROR(__xludf.DUMMYFUNCTION("""COMPUTED_VALUE"""),"")</f>
        <v/>
      </c>
    </row>
    <row r="11272">
      <c r="G11272" s="16" t="str">
        <f>IFERROR(__xludf.DUMMYFUNCTION("""COMPUTED_VALUE"""),"")</f>
        <v/>
      </c>
    </row>
    <row r="11273">
      <c r="G11273" s="16" t="str">
        <f>IFERROR(__xludf.DUMMYFUNCTION("""COMPUTED_VALUE"""),"")</f>
        <v/>
      </c>
    </row>
    <row r="11274">
      <c r="G11274" s="16" t="str">
        <f>IFERROR(__xludf.DUMMYFUNCTION("""COMPUTED_VALUE"""),"")</f>
        <v/>
      </c>
    </row>
    <row r="11275">
      <c r="G11275" s="16" t="str">
        <f>IFERROR(__xludf.DUMMYFUNCTION("""COMPUTED_VALUE"""),"")</f>
        <v/>
      </c>
    </row>
    <row r="11276">
      <c r="G11276" s="16" t="str">
        <f>IFERROR(__xludf.DUMMYFUNCTION("""COMPUTED_VALUE"""),"")</f>
        <v/>
      </c>
    </row>
    <row r="11277">
      <c r="G11277" s="16" t="str">
        <f>IFERROR(__xludf.DUMMYFUNCTION("""COMPUTED_VALUE"""),"")</f>
        <v/>
      </c>
    </row>
    <row r="11278">
      <c r="G11278" s="16" t="str">
        <f>IFERROR(__xludf.DUMMYFUNCTION("""COMPUTED_VALUE"""),"")</f>
        <v/>
      </c>
    </row>
    <row r="11279">
      <c r="G11279" s="16" t="str">
        <f>IFERROR(__xludf.DUMMYFUNCTION("""COMPUTED_VALUE"""),"")</f>
        <v/>
      </c>
    </row>
    <row r="11280">
      <c r="G11280" s="16" t="str">
        <f>IFERROR(__xludf.DUMMYFUNCTION("""COMPUTED_VALUE"""),"")</f>
        <v/>
      </c>
    </row>
    <row r="11281">
      <c r="G11281" s="16" t="str">
        <f>IFERROR(__xludf.DUMMYFUNCTION("""COMPUTED_VALUE"""),"")</f>
        <v/>
      </c>
    </row>
    <row r="11282">
      <c r="G11282" s="16" t="str">
        <f>IFERROR(__xludf.DUMMYFUNCTION("""COMPUTED_VALUE"""),"")</f>
        <v/>
      </c>
    </row>
    <row r="11283">
      <c r="G11283" s="16" t="str">
        <f>IFERROR(__xludf.DUMMYFUNCTION("""COMPUTED_VALUE"""),"")</f>
        <v/>
      </c>
    </row>
    <row r="11284">
      <c r="G11284" s="16" t="str">
        <f>IFERROR(__xludf.DUMMYFUNCTION("""COMPUTED_VALUE"""),"")</f>
        <v/>
      </c>
    </row>
    <row r="11285">
      <c r="G11285" s="16" t="str">
        <f>IFERROR(__xludf.DUMMYFUNCTION("""COMPUTED_VALUE"""),"")</f>
        <v/>
      </c>
    </row>
    <row r="11286">
      <c r="G11286" s="16" t="str">
        <f>IFERROR(__xludf.DUMMYFUNCTION("""COMPUTED_VALUE"""),"")</f>
        <v/>
      </c>
    </row>
    <row r="11287">
      <c r="G11287" s="16" t="str">
        <f>IFERROR(__xludf.DUMMYFUNCTION("""COMPUTED_VALUE"""),"")</f>
        <v/>
      </c>
    </row>
    <row r="11288">
      <c r="G11288" s="16" t="str">
        <f>IFERROR(__xludf.DUMMYFUNCTION("""COMPUTED_VALUE"""),"")</f>
        <v/>
      </c>
    </row>
    <row r="11289">
      <c r="G11289" s="16" t="str">
        <f>IFERROR(__xludf.DUMMYFUNCTION("""COMPUTED_VALUE"""),"")</f>
        <v/>
      </c>
    </row>
    <row r="11290">
      <c r="G11290" s="16" t="str">
        <f>IFERROR(__xludf.DUMMYFUNCTION("""COMPUTED_VALUE"""),"")</f>
        <v/>
      </c>
    </row>
    <row r="11291">
      <c r="G11291" s="16" t="str">
        <f>IFERROR(__xludf.DUMMYFUNCTION("""COMPUTED_VALUE"""),"")</f>
        <v/>
      </c>
    </row>
    <row r="11292">
      <c r="G11292" s="16" t="str">
        <f>IFERROR(__xludf.DUMMYFUNCTION("""COMPUTED_VALUE"""),"")</f>
        <v/>
      </c>
    </row>
    <row r="11293">
      <c r="G11293" s="16" t="str">
        <f>IFERROR(__xludf.DUMMYFUNCTION("""COMPUTED_VALUE"""),"")</f>
        <v/>
      </c>
    </row>
    <row r="11294">
      <c r="G11294" s="16" t="str">
        <f>IFERROR(__xludf.DUMMYFUNCTION("""COMPUTED_VALUE"""),"")</f>
        <v/>
      </c>
    </row>
    <row r="11295">
      <c r="G11295" s="16" t="str">
        <f>IFERROR(__xludf.DUMMYFUNCTION("""COMPUTED_VALUE"""),"")</f>
        <v/>
      </c>
    </row>
    <row r="11296">
      <c r="G11296" s="16" t="str">
        <f>IFERROR(__xludf.DUMMYFUNCTION("""COMPUTED_VALUE"""),"")</f>
        <v/>
      </c>
    </row>
    <row r="11297">
      <c r="G11297" s="16" t="str">
        <f>IFERROR(__xludf.DUMMYFUNCTION("""COMPUTED_VALUE"""),"")</f>
        <v/>
      </c>
    </row>
    <row r="11298">
      <c r="G11298" s="16" t="str">
        <f>IFERROR(__xludf.DUMMYFUNCTION("""COMPUTED_VALUE"""),"")</f>
        <v/>
      </c>
    </row>
    <row r="11299">
      <c r="G11299" s="16" t="str">
        <f>IFERROR(__xludf.DUMMYFUNCTION("""COMPUTED_VALUE"""),"")</f>
        <v/>
      </c>
    </row>
    <row r="11300">
      <c r="G11300" s="16" t="str">
        <f>IFERROR(__xludf.DUMMYFUNCTION("""COMPUTED_VALUE"""),"")</f>
        <v/>
      </c>
    </row>
    <row r="11301">
      <c r="G11301" s="16" t="str">
        <f>IFERROR(__xludf.DUMMYFUNCTION("""COMPUTED_VALUE"""),"")</f>
        <v/>
      </c>
    </row>
    <row r="11302">
      <c r="G11302" s="16" t="str">
        <f>IFERROR(__xludf.DUMMYFUNCTION("""COMPUTED_VALUE"""),"")</f>
        <v/>
      </c>
    </row>
    <row r="11303">
      <c r="G11303" s="16" t="str">
        <f>IFERROR(__xludf.DUMMYFUNCTION("""COMPUTED_VALUE"""),"")</f>
        <v/>
      </c>
    </row>
    <row r="11304">
      <c r="G11304" s="16" t="str">
        <f>IFERROR(__xludf.DUMMYFUNCTION("""COMPUTED_VALUE"""),"")</f>
        <v/>
      </c>
    </row>
    <row r="11305">
      <c r="G11305" s="16" t="str">
        <f>IFERROR(__xludf.DUMMYFUNCTION("""COMPUTED_VALUE"""),"")</f>
        <v/>
      </c>
    </row>
    <row r="11306">
      <c r="G11306" s="16" t="str">
        <f>IFERROR(__xludf.DUMMYFUNCTION("""COMPUTED_VALUE"""),"")</f>
        <v/>
      </c>
    </row>
    <row r="11307">
      <c r="G11307" s="16" t="str">
        <f>IFERROR(__xludf.DUMMYFUNCTION("""COMPUTED_VALUE"""),"")</f>
        <v/>
      </c>
    </row>
    <row r="11308">
      <c r="G11308" s="16" t="str">
        <f>IFERROR(__xludf.DUMMYFUNCTION("""COMPUTED_VALUE"""),"")</f>
        <v/>
      </c>
    </row>
    <row r="11309">
      <c r="G11309" s="16" t="str">
        <f>IFERROR(__xludf.DUMMYFUNCTION("""COMPUTED_VALUE"""),"")</f>
        <v/>
      </c>
    </row>
    <row r="11310">
      <c r="G11310" s="16" t="str">
        <f>IFERROR(__xludf.DUMMYFUNCTION("""COMPUTED_VALUE"""),"")</f>
        <v/>
      </c>
    </row>
    <row r="11311">
      <c r="G11311" s="16" t="str">
        <f>IFERROR(__xludf.DUMMYFUNCTION("""COMPUTED_VALUE"""),"")</f>
        <v/>
      </c>
    </row>
    <row r="11312">
      <c r="G11312" s="16" t="str">
        <f>IFERROR(__xludf.DUMMYFUNCTION("""COMPUTED_VALUE"""),"")</f>
        <v/>
      </c>
    </row>
    <row r="11313">
      <c r="G11313" s="16" t="str">
        <f>IFERROR(__xludf.DUMMYFUNCTION("""COMPUTED_VALUE"""),"")</f>
        <v/>
      </c>
    </row>
    <row r="11314">
      <c r="G11314" s="16" t="str">
        <f>IFERROR(__xludf.DUMMYFUNCTION("""COMPUTED_VALUE"""),"")</f>
        <v/>
      </c>
    </row>
    <row r="11315">
      <c r="G11315" s="16" t="str">
        <f>IFERROR(__xludf.DUMMYFUNCTION("""COMPUTED_VALUE"""),"")</f>
        <v/>
      </c>
    </row>
    <row r="11316">
      <c r="G11316" s="16" t="str">
        <f>IFERROR(__xludf.DUMMYFUNCTION("""COMPUTED_VALUE"""),"")</f>
        <v/>
      </c>
    </row>
    <row r="11317">
      <c r="G11317" s="16" t="str">
        <f>IFERROR(__xludf.DUMMYFUNCTION("""COMPUTED_VALUE"""),"")</f>
        <v/>
      </c>
    </row>
    <row r="11318">
      <c r="G11318" s="16" t="str">
        <f>IFERROR(__xludf.DUMMYFUNCTION("""COMPUTED_VALUE"""),"")</f>
        <v/>
      </c>
    </row>
    <row r="11319">
      <c r="G11319" s="16" t="str">
        <f>IFERROR(__xludf.DUMMYFUNCTION("""COMPUTED_VALUE"""),"")</f>
        <v/>
      </c>
    </row>
    <row r="11320">
      <c r="G11320" s="16" t="str">
        <f>IFERROR(__xludf.DUMMYFUNCTION("""COMPUTED_VALUE"""),"")</f>
        <v/>
      </c>
    </row>
    <row r="11321">
      <c r="G11321" s="16" t="str">
        <f>IFERROR(__xludf.DUMMYFUNCTION("""COMPUTED_VALUE"""),"")</f>
        <v/>
      </c>
    </row>
    <row r="11322">
      <c r="G11322" s="16" t="str">
        <f>IFERROR(__xludf.DUMMYFUNCTION("""COMPUTED_VALUE"""),"")</f>
        <v/>
      </c>
    </row>
    <row r="11323">
      <c r="G11323" s="16" t="str">
        <f>IFERROR(__xludf.DUMMYFUNCTION("""COMPUTED_VALUE"""),"")</f>
        <v/>
      </c>
    </row>
    <row r="11324">
      <c r="G11324" s="16" t="str">
        <f>IFERROR(__xludf.DUMMYFUNCTION("""COMPUTED_VALUE"""),"")</f>
        <v/>
      </c>
    </row>
    <row r="11325">
      <c r="G11325" s="16" t="str">
        <f>IFERROR(__xludf.DUMMYFUNCTION("""COMPUTED_VALUE"""),"")</f>
        <v/>
      </c>
    </row>
    <row r="11326">
      <c r="G11326" s="16" t="str">
        <f>IFERROR(__xludf.DUMMYFUNCTION("""COMPUTED_VALUE"""),"")</f>
        <v/>
      </c>
    </row>
    <row r="11327">
      <c r="G11327" s="16" t="str">
        <f>IFERROR(__xludf.DUMMYFUNCTION("""COMPUTED_VALUE"""),"")</f>
        <v/>
      </c>
    </row>
    <row r="11328">
      <c r="G11328" s="16" t="str">
        <f>IFERROR(__xludf.DUMMYFUNCTION("""COMPUTED_VALUE"""),"")</f>
        <v/>
      </c>
    </row>
    <row r="11329">
      <c r="G11329" s="16" t="str">
        <f>IFERROR(__xludf.DUMMYFUNCTION("""COMPUTED_VALUE"""),"")</f>
        <v/>
      </c>
    </row>
    <row r="11330">
      <c r="G11330" s="16" t="str">
        <f>IFERROR(__xludf.DUMMYFUNCTION("""COMPUTED_VALUE"""),"")</f>
        <v/>
      </c>
    </row>
    <row r="11331">
      <c r="G11331" s="16" t="str">
        <f>IFERROR(__xludf.DUMMYFUNCTION("""COMPUTED_VALUE"""),"")</f>
        <v/>
      </c>
    </row>
    <row r="11332">
      <c r="G11332" s="16" t="str">
        <f>IFERROR(__xludf.DUMMYFUNCTION("""COMPUTED_VALUE"""),"")</f>
        <v/>
      </c>
    </row>
    <row r="11333">
      <c r="G11333" s="16" t="str">
        <f>IFERROR(__xludf.DUMMYFUNCTION("""COMPUTED_VALUE"""),"")</f>
        <v/>
      </c>
    </row>
    <row r="11334">
      <c r="G11334" s="16" t="str">
        <f>IFERROR(__xludf.DUMMYFUNCTION("""COMPUTED_VALUE"""),"")</f>
        <v/>
      </c>
    </row>
    <row r="11335">
      <c r="G11335" s="16" t="str">
        <f>IFERROR(__xludf.DUMMYFUNCTION("""COMPUTED_VALUE"""),"")</f>
        <v/>
      </c>
    </row>
    <row r="11336">
      <c r="G11336" s="16" t="str">
        <f>IFERROR(__xludf.DUMMYFUNCTION("""COMPUTED_VALUE"""),"")</f>
        <v/>
      </c>
    </row>
    <row r="11337">
      <c r="G11337" s="16" t="str">
        <f>IFERROR(__xludf.DUMMYFUNCTION("""COMPUTED_VALUE"""),"")</f>
        <v/>
      </c>
    </row>
    <row r="11338">
      <c r="G11338" s="16" t="str">
        <f>IFERROR(__xludf.DUMMYFUNCTION("""COMPUTED_VALUE"""),"")</f>
        <v/>
      </c>
    </row>
    <row r="11339">
      <c r="G11339" s="16" t="str">
        <f>IFERROR(__xludf.DUMMYFUNCTION("""COMPUTED_VALUE"""),"")</f>
        <v/>
      </c>
    </row>
    <row r="11340">
      <c r="G11340" s="16" t="str">
        <f>IFERROR(__xludf.DUMMYFUNCTION("""COMPUTED_VALUE"""),"")</f>
        <v/>
      </c>
    </row>
    <row r="11341">
      <c r="G11341" s="16" t="str">
        <f>IFERROR(__xludf.DUMMYFUNCTION("""COMPUTED_VALUE"""),"")</f>
        <v/>
      </c>
    </row>
    <row r="11342">
      <c r="G11342" s="16" t="str">
        <f>IFERROR(__xludf.DUMMYFUNCTION("""COMPUTED_VALUE"""),"")</f>
        <v/>
      </c>
    </row>
    <row r="11343">
      <c r="G11343" s="16" t="str">
        <f>IFERROR(__xludf.DUMMYFUNCTION("""COMPUTED_VALUE"""),"")</f>
        <v/>
      </c>
    </row>
    <row r="11344">
      <c r="G11344" s="16" t="str">
        <f>IFERROR(__xludf.DUMMYFUNCTION("""COMPUTED_VALUE"""),"")</f>
        <v/>
      </c>
    </row>
    <row r="11345">
      <c r="G11345" s="16" t="str">
        <f>IFERROR(__xludf.DUMMYFUNCTION("""COMPUTED_VALUE"""),"")</f>
        <v/>
      </c>
    </row>
    <row r="11346">
      <c r="G11346" s="16" t="str">
        <f>IFERROR(__xludf.DUMMYFUNCTION("""COMPUTED_VALUE"""),"")</f>
        <v/>
      </c>
    </row>
    <row r="11347">
      <c r="G11347" s="16" t="str">
        <f>IFERROR(__xludf.DUMMYFUNCTION("""COMPUTED_VALUE"""),"")</f>
        <v/>
      </c>
    </row>
    <row r="11348">
      <c r="G11348" s="16" t="str">
        <f>IFERROR(__xludf.DUMMYFUNCTION("""COMPUTED_VALUE"""),"")</f>
        <v/>
      </c>
    </row>
    <row r="11349">
      <c r="G11349" s="16" t="str">
        <f>IFERROR(__xludf.DUMMYFUNCTION("""COMPUTED_VALUE"""),"")</f>
        <v/>
      </c>
    </row>
    <row r="11350">
      <c r="G11350" s="16" t="str">
        <f>IFERROR(__xludf.DUMMYFUNCTION("""COMPUTED_VALUE"""),"")</f>
        <v/>
      </c>
    </row>
    <row r="11351">
      <c r="G11351" s="16" t="str">
        <f>IFERROR(__xludf.DUMMYFUNCTION("""COMPUTED_VALUE"""),"")</f>
        <v/>
      </c>
    </row>
    <row r="11352">
      <c r="G11352" s="16" t="str">
        <f>IFERROR(__xludf.DUMMYFUNCTION("""COMPUTED_VALUE"""),"")</f>
        <v/>
      </c>
    </row>
    <row r="11353">
      <c r="G11353" s="16" t="str">
        <f>IFERROR(__xludf.DUMMYFUNCTION("""COMPUTED_VALUE"""),"")</f>
        <v/>
      </c>
    </row>
    <row r="11354">
      <c r="G11354" s="16" t="str">
        <f>IFERROR(__xludf.DUMMYFUNCTION("""COMPUTED_VALUE"""),"")</f>
        <v/>
      </c>
    </row>
    <row r="11355">
      <c r="G11355" s="16" t="str">
        <f>IFERROR(__xludf.DUMMYFUNCTION("""COMPUTED_VALUE"""),"")</f>
        <v/>
      </c>
    </row>
    <row r="11356">
      <c r="G11356" s="16" t="str">
        <f>IFERROR(__xludf.DUMMYFUNCTION("""COMPUTED_VALUE"""),"")</f>
        <v/>
      </c>
    </row>
    <row r="11357">
      <c r="G11357" s="16" t="str">
        <f>IFERROR(__xludf.DUMMYFUNCTION("""COMPUTED_VALUE"""),"")</f>
        <v/>
      </c>
    </row>
    <row r="11358">
      <c r="G11358" s="16" t="str">
        <f>IFERROR(__xludf.DUMMYFUNCTION("""COMPUTED_VALUE"""),"")</f>
        <v/>
      </c>
    </row>
    <row r="11359">
      <c r="G11359" s="16" t="str">
        <f>IFERROR(__xludf.DUMMYFUNCTION("""COMPUTED_VALUE"""),"")</f>
        <v/>
      </c>
    </row>
    <row r="11360">
      <c r="G11360" s="16" t="str">
        <f>IFERROR(__xludf.DUMMYFUNCTION("""COMPUTED_VALUE"""),"")</f>
        <v/>
      </c>
    </row>
    <row r="11361">
      <c r="G11361" s="16" t="str">
        <f>IFERROR(__xludf.DUMMYFUNCTION("""COMPUTED_VALUE"""),"")</f>
        <v/>
      </c>
    </row>
    <row r="11362">
      <c r="G11362" s="16" t="str">
        <f>IFERROR(__xludf.DUMMYFUNCTION("""COMPUTED_VALUE"""),"")</f>
        <v/>
      </c>
    </row>
    <row r="11363">
      <c r="G11363" s="16" t="str">
        <f>IFERROR(__xludf.DUMMYFUNCTION("""COMPUTED_VALUE"""),"")</f>
        <v/>
      </c>
    </row>
    <row r="11364">
      <c r="G11364" s="16" t="str">
        <f>IFERROR(__xludf.DUMMYFUNCTION("""COMPUTED_VALUE"""),"")</f>
        <v/>
      </c>
    </row>
    <row r="11365">
      <c r="G11365" s="16" t="str">
        <f>IFERROR(__xludf.DUMMYFUNCTION("""COMPUTED_VALUE"""),"")</f>
        <v/>
      </c>
    </row>
    <row r="11366">
      <c r="G11366" s="16" t="str">
        <f>IFERROR(__xludf.DUMMYFUNCTION("""COMPUTED_VALUE"""),"")</f>
        <v/>
      </c>
    </row>
    <row r="11367">
      <c r="G11367" s="16" t="str">
        <f>IFERROR(__xludf.DUMMYFUNCTION("""COMPUTED_VALUE"""),"")</f>
        <v/>
      </c>
    </row>
    <row r="11368">
      <c r="G11368" s="16" t="str">
        <f>IFERROR(__xludf.DUMMYFUNCTION("""COMPUTED_VALUE"""),"")</f>
        <v/>
      </c>
    </row>
    <row r="11369">
      <c r="G11369" s="16" t="str">
        <f>IFERROR(__xludf.DUMMYFUNCTION("""COMPUTED_VALUE"""),"")</f>
        <v/>
      </c>
    </row>
    <row r="11370">
      <c r="G11370" s="16" t="str">
        <f>IFERROR(__xludf.DUMMYFUNCTION("""COMPUTED_VALUE"""),"")</f>
        <v/>
      </c>
    </row>
    <row r="11371">
      <c r="G11371" s="16" t="str">
        <f>IFERROR(__xludf.DUMMYFUNCTION("""COMPUTED_VALUE"""),"")</f>
        <v/>
      </c>
    </row>
    <row r="11372">
      <c r="G11372" s="16" t="str">
        <f>IFERROR(__xludf.DUMMYFUNCTION("""COMPUTED_VALUE"""),"")</f>
        <v/>
      </c>
    </row>
    <row r="11373">
      <c r="G11373" s="16" t="str">
        <f>IFERROR(__xludf.DUMMYFUNCTION("""COMPUTED_VALUE"""),"")</f>
        <v/>
      </c>
    </row>
    <row r="11374">
      <c r="G11374" s="16" t="str">
        <f>IFERROR(__xludf.DUMMYFUNCTION("""COMPUTED_VALUE"""),"")</f>
        <v/>
      </c>
    </row>
    <row r="11375">
      <c r="G11375" s="16" t="str">
        <f>IFERROR(__xludf.DUMMYFUNCTION("""COMPUTED_VALUE"""),"")</f>
        <v/>
      </c>
    </row>
    <row r="11376">
      <c r="G11376" s="16" t="str">
        <f>IFERROR(__xludf.DUMMYFUNCTION("""COMPUTED_VALUE"""),"")</f>
        <v/>
      </c>
    </row>
    <row r="11377">
      <c r="G11377" s="16" t="str">
        <f>IFERROR(__xludf.DUMMYFUNCTION("""COMPUTED_VALUE"""),"")</f>
        <v/>
      </c>
    </row>
    <row r="11378">
      <c r="G11378" s="16" t="str">
        <f>IFERROR(__xludf.DUMMYFUNCTION("""COMPUTED_VALUE"""),"")</f>
        <v/>
      </c>
    </row>
    <row r="11379">
      <c r="G11379" s="16" t="str">
        <f>IFERROR(__xludf.DUMMYFUNCTION("""COMPUTED_VALUE"""),"")</f>
        <v/>
      </c>
    </row>
    <row r="11380">
      <c r="G11380" s="16" t="str">
        <f>IFERROR(__xludf.DUMMYFUNCTION("""COMPUTED_VALUE"""),"")</f>
        <v/>
      </c>
    </row>
    <row r="11381">
      <c r="G11381" s="16" t="str">
        <f>IFERROR(__xludf.DUMMYFUNCTION("""COMPUTED_VALUE"""),"")</f>
        <v/>
      </c>
    </row>
    <row r="11382">
      <c r="G11382" s="16" t="str">
        <f>IFERROR(__xludf.DUMMYFUNCTION("""COMPUTED_VALUE"""),"")</f>
        <v/>
      </c>
    </row>
    <row r="11383">
      <c r="G11383" s="16" t="str">
        <f>IFERROR(__xludf.DUMMYFUNCTION("""COMPUTED_VALUE"""),"")</f>
        <v/>
      </c>
    </row>
    <row r="11384">
      <c r="G11384" s="16" t="str">
        <f>IFERROR(__xludf.DUMMYFUNCTION("""COMPUTED_VALUE"""),"")</f>
        <v/>
      </c>
    </row>
    <row r="11385">
      <c r="G11385" s="16" t="str">
        <f>IFERROR(__xludf.DUMMYFUNCTION("""COMPUTED_VALUE"""),"")</f>
        <v/>
      </c>
    </row>
    <row r="11386">
      <c r="G11386" s="16" t="str">
        <f>IFERROR(__xludf.DUMMYFUNCTION("""COMPUTED_VALUE"""),"")</f>
        <v/>
      </c>
    </row>
    <row r="11387">
      <c r="G11387" s="16" t="str">
        <f>IFERROR(__xludf.DUMMYFUNCTION("""COMPUTED_VALUE"""),"")</f>
        <v/>
      </c>
    </row>
    <row r="11388">
      <c r="G11388" s="16" t="str">
        <f>IFERROR(__xludf.DUMMYFUNCTION("""COMPUTED_VALUE"""),"")</f>
        <v/>
      </c>
    </row>
    <row r="11389">
      <c r="G11389" s="16" t="str">
        <f>IFERROR(__xludf.DUMMYFUNCTION("""COMPUTED_VALUE"""),"")</f>
        <v/>
      </c>
    </row>
    <row r="11390">
      <c r="G11390" s="16" t="str">
        <f>IFERROR(__xludf.DUMMYFUNCTION("""COMPUTED_VALUE"""),"")</f>
        <v/>
      </c>
    </row>
    <row r="11391">
      <c r="G11391" s="16" t="str">
        <f>IFERROR(__xludf.DUMMYFUNCTION("""COMPUTED_VALUE"""),"")</f>
        <v/>
      </c>
    </row>
    <row r="11392">
      <c r="G11392" s="16" t="str">
        <f>IFERROR(__xludf.DUMMYFUNCTION("""COMPUTED_VALUE"""),"")</f>
        <v/>
      </c>
    </row>
    <row r="11393">
      <c r="G11393" s="16" t="str">
        <f>IFERROR(__xludf.DUMMYFUNCTION("""COMPUTED_VALUE"""),"")</f>
        <v/>
      </c>
    </row>
    <row r="11394">
      <c r="G11394" s="16" t="str">
        <f>IFERROR(__xludf.DUMMYFUNCTION("""COMPUTED_VALUE"""),"")</f>
        <v/>
      </c>
    </row>
    <row r="11395">
      <c r="G11395" s="16" t="str">
        <f>IFERROR(__xludf.DUMMYFUNCTION("""COMPUTED_VALUE"""),"")</f>
        <v/>
      </c>
    </row>
    <row r="11396">
      <c r="G11396" s="16" t="str">
        <f>IFERROR(__xludf.DUMMYFUNCTION("""COMPUTED_VALUE"""),"")</f>
        <v/>
      </c>
    </row>
    <row r="11397">
      <c r="G11397" s="16" t="str">
        <f>IFERROR(__xludf.DUMMYFUNCTION("""COMPUTED_VALUE"""),"")</f>
        <v/>
      </c>
    </row>
    <row r="11398">
      <c r="G11398" s="16" t="str">
        <f>IFERROR(__xludf.DUMMYFUNCTION("""COMPUTED_VALUE"""),"")</f>
        <v/>
      </c>
    </row>
    <row r="11399">
      <c r="G11399" s="16" t="str">
        <f>IFERROR(__xludf.DUMMYFUNCTION("""COMPUTED_VALUE"""),"")</f>
        <v/>
      </c>
    </row>
    <row r="11400">
      <c r="G11400" s="16" t="str">
        <f>IFERROR(__xludf.DUMMYFUNCTION("""COMPUTED_VALUE"""),"")</f>
        <v/>
      </c>
    </row>
    <row r="11401">
      <c r="G11401" s="16" t="str">
        <f>IFERROR(__xludf.DUMMYFUNCTION("""COMPUTED_VALUE"""),"")</f>
        <v/>
      </c>
    </row>
    <row r="11402">
      <c r="G11402" s="16" t="str">
        <f>IFERROR(__xludf.DUMMYFUNCTION("""COMPUTED_VALUE"""),"")</f>
        <v/>
      </c>
    </row>
    <row r="11403">
      <c r="G11403" s="16" t="str">
        <f>IFERROR(__xludf.DUMMYFUNCTION("""COMPUTED_VALUE"""),"")</f>
        <v/>
      </c>
    </row>
    <row r="11404">
      <c r="G11404" s="16" t="str">
        <f>IFERROR(__xludf.DUMMYFUNCTION("""COMPUTED_VALUE"""),"")</f>
        <v/>
      </c>
    </row>
    <row r="11405">
      <c r="G11405" s="16" t="str">
        <f>IFERROR(__xludf.DUMMYFUNCTION("""COMPUTED_VALUE"""),"")</f>
        <v/>
      </c>
    </row>
    <row r="11406">
      <c r="G11406" s="16" t="str">
        <f>IFERROR(__xludf.DUMMYFUNCTION("""COMPUTED_VALUE"""),"")</f>
        <v/>
      </c>
    </row>
    <row r="11407">
      <c r="G11407" s="16" t="str">
        <f>IFERROR(__xludf.DUMMYFUNCTION("""COMPUTED_VALUE"""),"")</f>
        <v/>
      </c>
    </row>
    <row r="11408">
      <c r="G11408" s="16" t="str">
        <f>IFERROR(__xludf.DUMMYFUNCTION("""COMPUTED_VALUE"""),"")</f>
        <v/>
      </c>
    </row>
    <row r="11409">
      <c r="G11409" s="16" t="str">
        <f>IFERROR(__xludf.DUMMYFUNCTION("""COMPUTED_VALUE"""),"")</f>
        <v/>
      </c>
    </row>
    <row r="11410">
      <c r="G11410" s="16" t="str">
        <f>IFERROR(__xludf.DUMMYFUNCTION("""COMPUTED_VALUE"""),"")</f>
        <v/>
      </c>
    </row>
    <row r="11411">
      <c r="G11411" s="16" t="str">
        <f>IFERROR(__xludf.DUMMYFUNCTION("""COMPUTED_VALUE"""),"")</f>
        <v/>
      </c>
    </row>
    <row r="11412">
      <c r="G11412" s="16" t="str">
        <f>IFERROR(__xludf.DUMMYFUNCTION("""COMPUTED_VALUE"""),"")</f>
        <v/>
      </c>
    </row>
    <row r="11413">
      <c r="G11413" s="16" t="str">
        <f>IFERROR(__xludf.DUMMYFUNCTION("""COMPUTED_VALUE"""),"")</f>
        <v/>
      </c>
    </row>
    <row r="11414">
      <c r="G11414" s="16" t="str">
        <f>IFERROR(__xludf.DUMMYFUNCTION("""COMPUTED_VALUE"""),"")</f>
        <v/>
      </c>
    </row>
    <row r="11415">
      <c r="G11415" s="16" t="str">
        <f>IFERROR(__xludf.DUMMYFUNCTION("""COMPUTED_VALUE"""),"")</f>
        <v/>
      </c>
    </row>
    <row r="11416">
      <c r="G11416" s="16" t="str">
        <f>IFERROR(__xludf.DUMMYFUNCTION("""COMPUTED_VALUE"""),"")</f>
        <v/>
      </c>
    </row>
    <row r="11417">
      <c r="G11417" s="16" t="str">
        <f>IFERROR(__xludf.DUMMYFUNCTION("""COMPUTED_VALUE"""),"")</f>
        <v/>
      </c>
    </row>
    <row r="11418">
      <c r="G11418" s="16" t="str">
        <f>IFERROR(__xludf.DUMMYFUNCTION("""COMPUTED_VALUE"""),"")</f>
        <v/>
      </c>
    </row>
    <row r="11419">
      <c r="G11419" s="16" t="str">
        <f>IFERROR(__xludf.DUMMYFUNCTION("""COMPUTED_VALUE"""),"")</f>
        <v/>
      </c>
    </row>
    <row r="11420">
      <c r="G11420" s="16" t="str">
        <f>IFERROR(__xludf.DUMMYFUNCTION("""COMPUTED_VALUE"""),"")</f>
        <v/>
      </c>
    </row>
    <row r="11421">
      <c r="G11421" s="16" t="str">
        <f>IFERROR(__xludf.DUMMYFUNCTION("""COMPUTED_VALUE"""),"")</f>
        <v/>
      </c>
    </row>
    <row r="11422">
      <c r="G11422" s="16" t="str">
        <f>IFERROR(__xludf.DUMMYFUNCTION("""COMPUTED_VALUE"""),"")</f>
        <v/>
      </c>
    </row>
    <row r="11423">
      <c r="G11423" s="16" t="str">
        <f>IFERROR(__xludf.DUMMYFUNCTION("""COMPUTED_VALUE"""),"")</f>
        <v/>
      </c>
    </row>
    <row r="11424">
      <c r="G11424" s="16" t="str">
        <f>IFERROR(__xludf.DUMMYFUNCTION("""COMPUTED_VALUE"""),"")</f>
        <v/>
      </c>
    </row>
    <row r="11425">
      <c r="G11425" s="16" t="str">
        <f>IFERROR(__xludf.DUMMYFUNCTION("""COMPUTED_VALUE"""),"")</f>
        <v/>
      </c>
    </row>
    <row r="11426">
      <c r="G11426" s="16" t="str">
        <f>IFERROR(__xludf.DUMMYFUNCTION("""COMPUTED_VALUE"""),"")</f>
        <v/>
      </c>
    </row>
    <row r="11427">
      <c r="G11427" s="16" t="str">
        <f>IFERROR(__xludf.DUMMYFUNCTION("""COMPUTED_VALUE"""),"")</f>
        <v/>
      </c>
    </row>
    <row r="11428">
      <c r="G11428" s="16" t="str">
        <f>IFERROR(__xludf.DUMMYFUNCTION("""COMPUTED_VALUE"""),"")</f>
        <v/>
      </c>
    </row>
    <row r="11429">
      <c r="G11429" s="16" t="str">
        <f>IFERROR(__xludf.DUMMYFUNCTION("""COMPUTED_VALUE"""),"")</f>
        <v/>
      </c>
    </row>
    <row r="11430">
      <c r="G11430" s="16" t="str">
        <f>IFERROR(__xludf.DUMMYFUNCTION("""COMPUTED_VALUE"""),"")</f>
        <v/>
      </c>
    </row>
    <row r="11431">
      <c r="G11431" s="16" t="str">
        <f>IFERROR(__xludf.DUMMYFUNCTION("""COMPUTED_VALUE"""),"")</f>
        <v/>
      </c>
    </row>
    <row r="11432">
      <c r="G11432" s="16" t="str">
        <f>IFERROR(__xludf.DUMMYFUNCTION("""COMPUTED_VALUE"""),"")</f>
        <v/>
      </c>
    </row>
    <row r="11433">
      <c r="G11433" s="16" t="str">
        <f>IFERROR(__xludf.DUMMYFUNCTION("""COMPUTED_VALUE"""),"")</f>
        <v/>
      </c>
    </row>
    <row r="11434">
      <c r="G11434" s="16" t="str">
        <f>IFERROR(__xludf.DUMMYFUNCTION("""COMPUTED_VALUE"""),"")</f>
        <v/>
      </c>
    </row>
    <row r="11435">
      <c r="G11435" s="16" t="str">
        <f>IFERROR(__xludf.DUMMYFUNCTION("""COMPUTED_VALUE"""),"")</f>
        <v/>
      </c>
    </row>
    <row r="11436">
      <c r="G11436" s="16" t="str">
        <f>IFERROR(__xludf.DUMMYFUNCTION("""COMPUTED_VALUE"""),"")</f>
        <v/>
      </c>
    </row>
    <row r="11437">
      <c r="G11437" s="16" t="str">
        <f>IFERROR(__xludf.DUMMYFUNCTION("""COMPUTED_VALUE"""),"")</f>
        <v/>
      </c>
    </row>
    <row r="11438">
      <c r="G11438" s="16" t="str">
        <f>IFERROR(__xludf.DUMMYFUNCTION("""COMPUTED_VALUE"""),"")</f>
        <v/>
      </c>
    </row>
    <row r="11439">
      <c r="G11439" s="16" t="str">
        <f>IFERROR(__xludf.DUMMYFUNCTION("""COMPUTED_VALUE"""),"")</f>
        <v/>
      </c>
    </row>
    <row r="11440">
      <c r="G11440" s="16" t="str">
        <f>IFERROR(__xludf.DUMMYFUNCTION("""COMPUTED_VALUE"""),"")</f>
        <v/>
      </c>
    </row>
    <row r="11441">
      <c r="G11441" s="16" t="str">
        <f>IFERROR(__xludf.DUMMYFUNCTION("""COMPUTED_VALUE"""),"")</f>
        <v/>
      </c>
    </row>
    <row r="11442">
      <c r="G11442" s="16" t="str">
        <f>IFERROR(__xludf.DUMMYFUNCTION("""COMPUTED_VALUE"""),"")</f>
        <v/>
      </c>
    </row>
    <row r="11443">
      <c r="G11443" s="16" t="str">
        <f>IFERROR(__xludf.DUMMYFUNCTION("""COMPUTED_VALUE"""),"")</f>
        <v/>
      </c>
    </row>
    <row r="11444">
      <c r="G11444" s="16" t="str">
        <f>IFERROR(__xludf.DUMMYFUNCTION("""COMPUTED_VALUE"""),"")</f>
        <v/>
      </c>
    </row>
    <row r="11445">
      <c r="G11445" s="16" t="str">
        <f>IFERROR(__xludf.DUMMYFUNCTION("""COMPUTED_VALUE"""),"")</f>
        <v/>
      </c>
    </row>
    <row r="11446">
      <c r="G11446" s="16" t="str">
        <f>IFERROR(__xludf.DUMMYFUNCTION("""COMPUTED_VALUE"""),"")</f>
        <v/>
      </c>
    </row>
    <row r="11447">
      <c r="G11447" s="16" t="str">
        <f>IFERROR(__xludf.DUMMYFUNCTION("""COMPUTED_VALUE"""),"")</f>
        <v/>
      </c>
    </row>
    <row r="11448">
      <c r="G11448" s="16" t="str">
        <f>IFERROR(__xludf.DUMMYFUNCTION("""COMPUTED_VALUE"""),"")</f>
        <v/>
      </c>
    </row>
    <row r="11449">
      <c r="G11449" s="16" t="str">
        <f>IFERROR(__xludf.DUMMYFUNCTION("""COMPUTED_VALUE"""),"")</f>
        <v/>
      </c>
    </row>
    <row r="11450">
      <c r="G11450" s="16" t="str">
        <f>IFERROR(__xludf.DUMMYFUNCTION("""COMPUTED_VALUE"""),"")</f>
        <v/>
      </c>
    </row>
    <row r="11451">
      <c r="G11451" s="16" t="str">
        <f>IFERROR(__xludf.DUMMYFUNCTION("""COMPUTED_VALUE"""),"")</f>
        <v/>
      </c>
    </row>
    <row r="11452">
      <c r="G11452" s="16" t="str">
        <f>IFERROR(__xludf.DUMMYFUNCTION("""COMPUTED_VALUE"""),"")</f>
        <v/>
      </c>
    </row>
    <row r="11453">
      <c r="G11453" s="16" t="str">
        <f>IFERROR(__xludf.DUMMYFUNCTION("""COMPUTED_VALUE"""),"")</f>
        <v/>
      </c>
    </row>
    <row r="11454">
      <c r="G11454" s="16" t="str">
        <f>IFERROR(__xludf.DUMMYFUNCTION("""COMPUTED_VALUE"""),"")</f>
        <v/>
      </c>
    </row>
    <row r="11455">
      <c r="G11455" s="16" t="str">
        <f>IFERROR(__xludf.DUMMYFUNCTION("""COMPUTED_VALUE"""),"")</f>
        <v/>
      </c>
    </row>
    <row r="11456">
      <c r="G11456" s="16" t="str">
        <f>IFERROR(__xludf.DUMMYFUNCTION("""COMPUTED_VALUE"""),"")</f>
        <v/>
      </c>
    </row>
    <row r="11457">
      <c r="G11457" s="16" t="str">
        <f>IFERROR(__xludf.DUMMYFUNCTION("""COMPUTED_VALUE"""),"")</f>
        <v/>
      </c>
    </row>
    <row r="11458">
      <c r="G11458" s="16" t="str">
        <f>IFERROR(__xludf.DUMMYFUNCTION("""COMPUTED_VALUE"""),"")</f>
        <v/>
      </c>
    </row>
    <row r="11459">
      <c r="G11459" s="16" t="str">
        <f>IFERROR(__xludf.DUMMYFUNCTION("""COMPUTED_VALUE"""),"")</f>
        <v/>
      </c>
    </row>
    <row r="11460">
      <c r="G11460" s="16" t="str">
        <f>IFERROR(__xludf.DUMMYFUNCTION("""COMPUTED_VALUE"""),"")</f>
        <v/>
      </c>
    </row>
    <row r="11461">
      <c r="G11461" s="16" t="str">
        <f>IFERROR(__xludf.DUMMYFUNCTION("""COMPUTED_VALUE"""),"")</f>
        <v/>
      </c>
    </row>
    <row r="11462">
      <c r="G11462" s="16" t="str">
        <f>IFERROR(__xludf.DUMMYFUNCTION("""COMPUTED_VALUE"""),"")</f>
        <v/>
      </c>
    </row>
    <row r="11463">
      <c r="G11463" s="16" t="str">
        <f>IFERROR(__xludf.DUMMYFUNCTION("""COMPUTED_VALUE"""),"")</f>
        <v/>
      </c>
    </row>
    <row r="11464">
      <c r="G11464" s="16" t="str">
        <f>IFERROR(__xludf.DUMMYFUNCTION("""COMPUTED_VALUE"""),"")</f>
        <v/>
      </c>
    </row>
    <row r="11465">
      <c r="G11465" s="16" t="str">
        <f>IFERROR(__xludf.DUMMYFUNCTION("""COMPUTED_VALUE"""),"")</f>
        <v/>
      </c>
    </row>
    <row r="11466">
      <c r="G11466" s="16" t="str">
        <f>IFERROR(__xludf.DUMMYFUNCTION("""COMPUTED_VALUE"""),"")</f>
        <v/>
      </c>
    </row>
    <row r="11467">
      <c r="G11467" s="16" t="str">
        <f>IFERROR(__xludf.DUMMYFUNCTION("""COMPUTED_VALUE"""),"")</f>
        <v/>
      </c>
    </row>
    <row r="11468">
      <c r="G11468" s="16" t="str">
        <f>IFERROR(__xludf.DUMMYFUNCTION("""COMPUTED_VALUE"""),"")</f>
        <v/>
      </c>
    </row>
    <row r="11469">
      <c r="G11469" s="16" t="str">
        <f>IFERROR(__xludf.DUMMYFUNCTION("""COMPUTED_VALUE"""),"")</f>
        <v/>
      </c>
    </row>
    <row r="11470">
      <c r="G11470" s="16" t="str">
        <f>IFERROR(__xludf.DUMMYFUNCTION("""COMPUTED_VALUE"""),"")</f>
        <v/>
      </c>
    </row>
    <row r="11471">
      <c r="G11471" s="16" t="str">
        <f>IFERROR(__xludf.DUMMYFUNCTION("""COMPUTED_VALUE"""),"")</f>
        <v/>
      </c>
    </row>
    <row r="11472">
      <c r="G11472" s="16" t="str">
        <f>IFERROR(__xludf.DUMMYFUNCTION("""COMPUTED_VALUE"""),"")</f>
        <v/>
      </c>
    </row>
    <row r="11473">
      <c r="G11473" s="16" t="str">
        <f>IFERROR(__xludf.DUMMYFUNCTION("""COMPUTED_VALUE"""),"")</f>
        <v/>
      </c>
    </row>
    <row r="11474">
      <c r="G11474" s="16" t="str">
        <f>IFERROR(__xludf.DUMMYFUNCTION("""COMPUTED_VALUE"""),"")</f>
        <v/>
      </c>
    </row>
    <row r="11475">
      <c r="G11475" s="16" t="str">
        <f>IFERROR(__xludf.DUMMYFUNCTION("""COMPUTED_VALUE"""),"")</f>
        <v/>
      </c>
    </row>
    <row r="11476">
      <c r="G11476" s="16" t="str">
        <f>IFERROR(__xludf.DUMMYFUNCTION("""COMPUTED_VALUE"""),"")</f>
        <v/>
      </c>
    </row>
    <row r="11477">
      <c r="G11477" s="16" t="str">
        <f>IFERROR(__xludf.DUMMYFUNCTION("""COMPUTED_VALUE"""),"")</f>
        <v/>
      </c>
    </row>
    <row r="11478">
      <c r="G11478" s="16" t="str">
        <f>IFERROR(__xludf.DUMMYFUNCTION("""COMPUTED_VALUE"""),"")</f>
        <v/>
      </c>
    </row>
    <row r="11479">
      <c r="G11479" s="16" t="str">
        <f>IFERROR(__xludf.DUMMYFUNCTION("""COMPUTED_VALUE"""),"")</f>
        <v/>
      </c>
    </row>
    <row r="11480">
      <c r="G11480" s="16" t="str">
        <f>IFERROR(__xludf.DUMMYFUNCTION("""COMPUTED_VALUE"""),"")</f>
        <v/>
      </c>
    </row>
    <row r="11481">
      <c r="G11481" s="16" t="str">
        <f>IFERROR(__xludf.DUMMYFUNCTION("""COMPUTED_VALUE"""),"")</f>
        <v/>
      </c>
    </row>
    <row r="11482">
      <c r="G11482" s="16" t="str">
        <f>IFERROR(__xludf.DUMMYFUNCTION("""COMPUTED_VALUE"""),"")</f>
        <v/>
      </c>
    </row>
    <row r="11483">
      <c r="G11483" s="16" t="str">
        <f>IFERROR(__xludf.DUMMYFUNCTION("""COMPUTED_VALUE"""),"")</f>
        <v/>
      </c>
    </row>
    <row r="11484">
      <c r="G11484" s="16" t="str">
        <f>IFERROR(__xludf.DUMMYFUNCTION("""COMPUTED_VALUE"""),"")</f>
        <v/>
      </c>
    </row>
    <row r="11485">
      <c r="G11485" s="16" t="str">
        <f>IFERROR(__xludf.DUMMYFUNCTION("""COMPUTED_VALUE"""),"")</f>
        <v/>
      </c>
    </row>
    <row r="11486">
      <c r="G11486" s="16" t="str">
        <f>IFERROR(__xludf.DUMMYFUNCTION("""COMPUTED_VALUE"""),"")</f>
        <v/>
      </c>
    </row>
    <row r="11487">
      <c r="G11487" s="16" t="str">
        <f>IFERROR(__xludf.DUMMYFUNCTION("""COMPUTED_VALUE"""),"")</f>
        <v/>
      </c>
    </row>
    <row r="11488">
      <c r="G11488" s="16" t="str">
        <f>IFERROR(__xludf.DUMMYFUNCTION("""COMPUTED_VALUE"""),"")</f>
        <v/>
      </c>
    </row>
    <row r="11489">
      <c r="G11489" s="16" t="str">
        <f>IFERROR(__xludf.DUMMYFUNCTION("""COMPUTED_VALUE"""),"")</f>
        <v/>
      </c>
    </row>
    <row r="11490">
      <c r="G11490" s="16" t="str">
        <f>IFERROR(__xludf.DUMMYFUNCTION("""COMPUTED_VALUE"""),"")</f>
        <v/>
      </c>
    </row>
    <row r="11491">
      <c r="G11491" s="16" t="str">
        <f>IFERROR(__xludf.DUMMYFUNCTION("""COMPUTED_VALUE"""),"")</f>
        <v/>
      </c>
    </row>
    <row r="11492">
      <c r="G11492" s="16" t="str">
        <f>IFERROR(__xludf.DUMMYFUNCTION("""COMPUTED_VALUE"""),"")</f>
        <v/>
      </c>
    </row>
    <row r="11493">
      <c r="G11493" s="16" t="str">
        <f>IFERROR(__xludf.DUMMYFUNCTION("""COMPUTED_VALUE"""),"")</f>
        <v/>
      </c>
    </row>
    <row r="11494">
      <c r="G11494" s="16" t="str">
        <f>IFERROR(__xludf.DUMMYFUNCTION("""COMPUTED_VALUE"""),"")</f>
        <v/>
      </c>
    </row>
    <row r="11495">
      <c r="G11495" s="16" t="str">
        <f>IFERROR(__xludf.DUMMYFUNCTION("""COMPUTED_VALUE"""),"")</f>
        <v/>
      </c>
    </row>
    <row r="11496">
      <c r="G11496" s="16" t="str">
        <f>IFERROR(__xludf.DUMMYFUNCTION("""COMPUTED_VALUE"""),"")</f>
        <v/>
      </c>
    </row>
    <row r="11497">
      <c r="G11497" s="16" t="str">
        <f>IFERROR(__xludf.DUMMYFUNCTION("""COMPUTED_VALUE"""),"")</f>
        <v/>
      </c>
    </row>
    <row r="11498">
      <c r="G11498" s="16" t="str">
        <f>IFERROR(__xludf.DUMMYFUNCTION("""COMPUTED_VALUE"""),"")</f>
        <v/>
      </c>
    </row>
    <row r="11499">
      <c r="G11499" s="16" t="str">
        <f>IFERROR(__xludf.DUMMYFUNCTION("""COMPUTED_VALUE"""),"")</f>
        <v/>
      </c>
    </row>
    <row r="11500">
      <c r="G11500" s="16" t="str">
        <f>IFERROR(__xludf.DUMMYFUNCTION("""COMPUTED_VALUE"""),"")</f>
        <v/>
      </c>
    </row>
    <row r="11501">
      <c r="G11501" s="16" t="str">
        <f>IFERROR(__xludf.DUMMYFUNCTION("""COMPUTED_VALUE"""),"")</f>
        <v/>
      </c>
    </row>
    <row r="11502">
      <c r="G11502" s="16" t="str">
        <f>IFERROR(__xludf.DUMMYFUNCTION("""COMPUTED_VALUE"""),"")</f>
        <v/>
      </c>
    </row>
    <row r="11503">
      <c r="G11503" s="16" t="str">
        <f>IFERROR(__xludf.DUMMYFUNCTION("""COMPUTED_VALUE"""),"")</f>
        <v/>
      </c>
    </row>
    <row r="11504">
      <c r="G11504" s="16" t="str">
        <f>IFERROR(__xludf.DUMMYFUNCTION("""COMPUTED_VALUE"""),"")</f>
        <v/>
      </c>
    </row>
    <row r="11505">
      <c r="G11505" s="16" t="str">
        <f>IFERROR(__xludf.DUMMYFUNCTION("""COMPUTED_VALUE"""),"")</f>
        <v/>
      </c>
    </row>
    <row r="11506">
      <c r="G11506" s="16" t="str">
        <f>IFERROR(__xludf.DUMMYFUNCTION("""COMPUTED_VALUE"""),"")</f>
        <v/>
      </c>
    </row>
    <row r="11507">
      <c r="G11507" s="16" t="str">
        <f>IFERROR(__xludf.DUMMYFUNCTION("""COMPUTED_VALUE"""),"")</f>
        <v/>
      </c>
    </row>
    <row r="11508">
      <c r="G11508" s="16" t="str">
        <f>IFERROR(__xludf.DUMMYFUNCTION("""COMPUTED_VALUE"""),"")</f>
        <v/>
      </c>
    </row>
    <row r="11509">
      <c r="G11509" s="16" t="str">
        <f>IFERROR(__xludf.DUMMYFUNCTION("""COMPUTED_VALUE"""),"")</f>
        <v/>
      </c>
    </row>
    <row r="11510">
      <c r="G11510" s="16" t="str">
        <f>IFERROR(__xludf.DUMMYFUNCTION("""COMPUTED_VALUE"""),"")</f>
        <v/>
      </c>
    </row>
    <row r="11511">
      <c r="G11511" s="16" t="str">
        <f>IFERROR(__xludf.DUMMYFUNCTION("""COMPUTED_VALUE"""),"")</f>
        <v/>
      </c>
    </row>
    <row r="11512">
      <c r="G11512" s="16" t="str">
        <f>IFERROR(__xludf.DUMMYFUNCTION("""COMPUTED_VALUE"""),"")</f>
        <v/>
      </c>
    </row>
    <row r="11513">
      <c r="G11513" s="16" t="str">
        <f>IFERROR(__xludf.DUMMYFUNCTION("""COMPUTED_VALUE"""),"")</f>
        <v/>
      </c>
    </row>
    <row r="11514">
      <c r="G11514" s="16" t="str">
        <f>IFERROR(__xludf.DUMMYFUNCTION("""COMPUTED_VALUE"""),"")</f>
        <v/>
      </c>
    </row>
    <row r="11515">
      <c r="G11515" s="16" t="str">
        <f>IFERROR(__xludf.DUMMYFUNCTION("""COMPUTED_VALUE"""),"")</f>
        <v/>
      </c>
    </row>
    <row r="11516">
      <c r="G11516" s="16" t="str">
        <f>IFERROR(__xludf.DUMMYFUNCTION("""COMPUTED_VALUE"""),"")</f>
        <v/>
      </c>
    </row>
    <row r="11517">
      <c r="G11517" s="16" t="str">
        <f>IFERROR(__xludf.DUMMYFUNCTION("""COMPUTED_VALUE"""),"")</f>
        <v/>
      </c>
    </row>
    <row r="11518">
      <c r="G11518" s="16" t="str">
        <f>IFERROR(__xludf.DUMMYFUNCTION("""COMPUTED_VALUE"""),"")</f>
        <v/>
      </c>
    </row>
    <row r="11519">
      <c r="G11519" s="16" t="str">
        <f>IFERROR(__xludf.DUMMYFUNCTION("""COMPUTED_VALUE"""),"")</f>
        <v/>
      </c>
    </row>
    <row r="11520">
      <c r="G11520" s="16" t="str">
        <f>IFERROR(__xludf.DUMMYFUNCTION("""COMPUTED_VALUE"""),"")</f>
        <v/>
      </c>
    </row>
    <row r="11521">
      <c r="G11521" s="16" t="str">
        <f>IFERROR(__xludf.DUMMYFUNCTION("""COMPUTED_VALUE"""),"")</f>
        <v/>
      </c>
    </row>
    <row r="11522">
      <c r="G11522" s="16" t="str">
        <f>IFERROR(__xludf.DUMMYFUNCTION("""COMPUTED_VALUE"""),"")</f>
        <v/>
      </c>
    </row>
    <row r="11523">
      <c r="G11523" s="16" t="str">
        <f>IFERROR(__xludf.DUMMYFUNCTION("""COMPUTED_VALUE"""),"")</f>
        <v/>
      </c>
    </row>
    <row r="11524">
      <c r="G11524" s="16" t="str">
        <f>IFERROR(__xludf.DUMMYFUNCTION("""COMPUTED_VALUE"""),"")</f>
        <v/>
      </c>
    </row>
    <row r="11525">
      <c r="G11525" s="16" t="str">
        <f>IFERROR(__xludf.DUMMYFUNCTION("""COMPUTED_VALUE"""),"")</f>
        <v/>
      </c>
    </row>
    <row r="11526">
      <c r="G11526" s="16" t="str">
        <f>IFERROR(__xludf.DUMMYFUNCTION("""COMPUTED_VALUE"""),"")</f>
        <v/>
      </c>
    </row>
    <row r="11527">
      <c r="G11527" s="16" t="str">
        <f>IFERROR(__xludf.DUMMYFUNCTION("""COMPUTED_VALUE"""),"")</f>
        <v/>
      </c>
    </row>
    <row r="11528">
      <c r="G11528" s="16" t="str">
        <f>IFERROR(__xludf.DUMMYFUNCTION("""COMPUTED_VALUE"""),"")</f>
        <v/>
      </c>
    </row>
    <row r="11529">
      <c r="G11529" s="16" t="str">
        <f>IFERROR(__xludf.DUMMYFUNCTION("""COMPUTED_VALUE"""),"")</f>
        <v/>
      </c>
    </row>
    <row r="11530">
      <c r="G11530" s="16" t="str">
        <f>IFERROR(__xludf.DUMMYFUNCTION("""COMPUTED_VALUE"""),"")</f>
        <v/>
      </c>
    </row>
    <row r="11531">
      <c r="G11531" s="16" t="str">
        <f>IFERROR(__xludf.DUMMYFUNCTION("""COMPUTED_VALUE"""),"")</f>
        <v/>
      </c>
    </row>
    <row r="11532">
      <c r="G11532" s="16" t="str">
        <f>IFERROR(__xludf.DUMMYFUNCTION("""COMPUTED_VALUE"""),"")</f>
        <v/>
      </c>
    </row>
    <row r="11533">
      <c r="G11533" s="16" t="str">
        <f>IFERROR(__xludf.DUMMYFUNCTION("""COMPUTED_VALUE"""),"")</f>
        <v/>
      </c>
    </row>
    <row r="11534">
      <c r="G11534" s="16" t="str">
        <f>IFERROR(__xludf.DUMMYFUNCTION("""COMPUTED_VALUE"""),"")</f>
        <v/>
      </c>
    </row>
    <row r="11535">
      <c r="G11535" s="16" t="str">
        <f>IFERROR(__xludf.DUMMYFUNCTION("""COMPUTED_VALUE"""),"")</f>
        <v/>
      </c>
    </row>
    <row r="11536">
      <c r="G11536" s="16" t="str">
        <f>IFERROR(__xludf.DUMMYFUNCTION("""COMPUTED_VALUE"""),"")</f>
        <v/>
      </c>
    </row>
    <row r="11537">
      <c r="G11537" s="16" t="str">
        <f>IFERROR(__xludf.DUMMYFUNCTION("""COMPUTED_VALUE"""),"")</f>
        <v/>
      </c>
    </row>
    <row r="11538">
      <c r="G11538" s="16" t="str">
        <f>IFERROR(__xludf.DUMMYFUNCTION("""COMPUTED_VALUE"""),"")</f>
        <v/>
      </c>
    </row>
    <row r="11539">
      <c r="G11539" s="16" t="str">
        <f>IFERROR(__xludf.DUMMYFUNCTION("""COMPUTED_VALUE"""),"")</f>
        <v/>
      </c>
    </row>
    <row r="11540">
      <c r="G11540" s="16" t="str">
        <f>IFERROR(__xludf.DUMMYFUNCTION("""COMPUTED_VALUE"""),"")</f>
        <v/>
      </c>
    </row>
    <row r="11541">
      <c r="G11541" s="16" t="str">
        <f>IFERROR(__xludf.DUMMYFUNCTION("""COMPUTED_VALUE"""),"")</f>
        <v/>
      </c>
    </row>
    <row r="11542">
      <c r="G11542" s="16" t="str">
        <f>IFERROR(__xludf.DUMMYFUNCTION("""COMPUTED_VALUE"""),"")</f>
        <v/>
      </c>
    </row>
    <row r="11543">
      <c r="G11543" s="16" t="str">
        <f>IFERROR(__xludf.DUMMYFUNCTION("""COMPUTED_VALUE"""),"")</f>
        <v/>
      </c>
    </row>
    <row r="11544">
      <c r="G11544" s="16" t="str">
        <f>IFERROR(__xludf.DUMMYFUNCTION("""COMPUTED_VALUE"""),"")</f>
        <v/>
      </c>
    </row>
    <row r="11545">
      <c r="G11545" s="16" t="str">
        <f>IFERROR(__xludf.DUMMYFUNCTION("""COMPUTED_VALUE"""),"")</f>
        <v/>
      </c>
    </row>
    <row r="11546">
      <c r="G11546" s="16" t="str">
        <f>IFERROR(__xludf.DUMMYFUNCTION("""COMPUTED_VALUE"""),"")</f>
        <v/>
      </c>
    </row>
    <row r="11547">
      <c r="G11547" s="16" t="str">
        <f>IFERROR(__xludf.DUMMYFUNCTION("""COMPUTED_VALUE"""),"")</f>
        <v/>
      </c>
    </row>
    <row r="11548">
      <c r="G11548" s="16" t="str">
        <f>IFERROR(__xludf.DUMMYFUNCTION("""COMPUTED_VALUE"""),"")</f>
        <v/>
      </c>
    </row>
    <row r="11549">
      <c r="G11549" s="16" t="str">
        <f>IFERROR(__xludf.DUMMYFUNCTION("""COMPUTED_VALUE"""),"")</f>
        <v/>
      </c>
    </row>
    <row r="11550">
      <c r="G11550" s="16" t="str">
        <f>IFERROR(__xludf.DUMMYFUNCTION("""COMPUTED_VALUE"""),"")</f>
        <v/>
      </c>
    </row>
    <row r="11551">
      <c r="G11551" s="16" t="str">
        <f>IFERROR(__xludf.DUMMYFUNCTION("""COMPUTED_VALUE"""),"")</f>
        <v/>
      </c>
    </row>
    <row r="11552">
      <c r="G11552" s="16" t="str">
        <f>IFERROR(__xludf.DUMMYFUNCTION("""COMPUTED_VALUE"""),"")</f>
        <v/>
      </c>
    </row>
    <row r="11553">
      <c r="G11553" s="16" t="str">
        <f>IFERROR(__xludf.DUMMYFUNCTION("""COMPUTED_VALUE"""),"")</f>
        <v/>
      </c>
    </row>
    <row r="11554">
      <c r="G11554" s="16" t="str">
        <f>IFERROR(__xludf.DUMMYFUNCTION("""COMPUTED_VALUE"""),"")</f>
        <v/>
      </c>
    </row>
    <row r="11555">
      <c r="G11555" s="16" t="str">
        <f>IFERROR(__xludf.DUMMYFUNCTION("""COMPUTED_VALUE"""),"")</f>
        <v/>
      </c>
    </row>
    <row r="11556">
      <c r="G11556" s="16" t="str">
        <f>IFERROR(__xludf.DUMMYFUNCTION("""COMPUTED_VALUE"""),"")</f>
        <v/>
      </c>
    </row>
    <row r="11557">
      <c r="G11557" s="16" t="str">
        <f>IFERROR(__xludf.DUMMYFUNCTION("""COMPUTED_VALUE"""),"")</f>
        <v/>
      </c>
    </row>
    <row r="11558">
      <c r="G11558" s="16" t="str">
        <f>IFERROR(__xludf.DUMMYFUNCTION("""COMPUTED_VALUE"""),"")</f>
        <v/>
      </c>
    </row>
    <row r="11559">
      <c r="G11559" s="16" t="str">
        <f>IFERROR(__xludf.DUMMYFUNCTION("""COMPUTED_VALUE"""),"")</f>
        <v/>
      </c>
    </row>
    <row r="11560">
      <c r="G11560" s="16" t="str">
        <f>IFERROR(__xludf.DUMMYFUNCTION("""COMPUTED_VALUE"""),"")</f>
        <v/>
      </c>
    </row>
    <row r="11561">
      <c r="G11561" s="16" t="str">
        <f>IFERROR(__xludf.DUMMYFUNCTION("""COMPUTED_VALUE"""),"")</f>
        <v/>
      </c>
    </row>
    <row r="11562">
      <c r="G11562" s="16" t="str">
        <f>IFERROR(__xludf.DUMMYFUNCTION("""COMPUTED_VALUE"""),"")</f>
        <v/>
      </c>
    </row>
    <row r="11563">
      <c r="G11563" s="16" t="str">
        <f>IFERROR(__xludf.DUMMYFUNCTION("""COMPUTED_VALUE"""),"")</f>
        <v/>
      </c>
    </row>
    <row r="11564">
      <c r="G11564" s="16" t="str">
        <f>IFERROR(__xludf.DUMMYFUNCTION("""COMPUTED_VALUE"""),"")</f>
        <v/>
      </c>
    </row>
    <row r="11565">
      <c r="G11565" s="16" t="str">
        <f>IFERROR(__xludf.DUMMYFUNCTION("""COMPUTED_VALUE"""),"")</f>
        <v/>
      </c>
    </row>
    <row r="11566">
      <c r="G11566" s="16" t="str">
        <f>IFERROR(__xludf.DUMMYFUNCTION("""COMPUTED_VALUE"""),"")</f>
        <v/>
      </c>
    </row>
    <row r="11567">
      <c r="G11567" s="16" t="str">
        <f>IFERROR(__xludf.DUMMYFUNCTION("""COMPUTED_VALUE"""),"")</f>
        <v/>
      </c>
    </row>
    <row r="11568">
      <c r="G11568" s="16" t="str">
        <f>IFERROR(__xludf.DUMMYFUNCTION("""COMPUTED_VALUE"""),"")</f>
        <v/>
      </c>
    </row>
    <row r="11569">
      <c r="G11569" s="16" t="str">
        <f>IFERROR(__xludf.DUMMYFUNCTION("""COMPUTED_VALUE"""),"")</f>
        <v/>
      </c>
    </row>
    <row r="11570">
      <c r="G11570" s="16" t="str">
        <f>IFERROR(__xludf.DUMMYFUNCTION("""COMPUTED_VALUE"""),"")</f>
        <v/>
      </c>
    </row>
    <row r="11571">
      <c r="G11571" s="16" t="str">
        <f>IFERROR(__xludf.DUMMYFUNCTION("""COMPUTED_VALUE"""),"")</f>
        <v/>
      </c>
    </row>
    <row r="11572">
      <c r="G11572" s="16" t="str">
        <f>IFERROR(__xludf.DUMMYFUNCTION("""COMPUTED_VALUE"""),"")</f>
        <v/>
      </c>
    </row>
    <row r="11573">
      <c r="G11573" s="16" t="str">
        <f>IFERROR(__xludf.DUMMYFUNCTION("""COMPUTED_VALUE"""),"")</f>
        <v/>
      </c>
    </row>
    <row r="11574">
      <c r="G11574" s="16" t="str">
        <f>IFERROR(__xludf.DUMMYFUNCTION("""COMPUTED_VALUE"""),"")</f>
        <v/>
      </c>
    </row>
    <row r="11575">
      <c r="G11575" s="16" t="str">
        <f>IFERROR(__xludf.DUMMYFUNCTION("""COMPUTED_VALUE"""),"")</f>
        <v/>
      </c>
    </row>
    <row r="11576">
      <c r="G11576" s="16" t="str">
        <f>IFERROR(__xludf.DUMMYFUNCTION("""COMPUTED_VALUE"""),"")</f>
        <v/>
      </c>
    </row>
    <row r="11577">
      <c r="G11577" s="16" t="str">
        <f>IFERROR(__xludf.DUMMYFUNCTION("""COMPUTED_VALUE"""),"")</f>
        <v/>
      </c>
    </row>
    <row r="11578">
      <c r="G11578" s="16" t="str">
        <f>IFERROR(__xludf.DUMMYFUNCTION("""COMPUTED_VALUE"""),"")</f>
        <v/>
      </c>
    </row>
    <row r="11579">
      <c r="G11579" s="16" t="str">
        <f>IFERROR(__xludf.DUMMYFUNCTION("""COMPUTED_VALUE"""),"")</f>
        <v/>
      </c>
    </row>
    <row r="11580">
      <c r="G11580" s="16" t="str">
        <f>IFERROR(__xludf.DUMMYFUNCTION("""COMPUTED_VALUE"""),"")</f>
        <v/>
      </c>
    </row>
    <row r="11581">
      <c r="G11581" s="16" t="str">
        <f>IFERROR(__xludf.DUMMYFUNCTION("""COMPUTED_VALUE"""),"")</f>
        <v/>
      </c>
    </row>
    <row r="11582">
      <c r="G11582" s="16" t="str">
        <f>IFERROR(__xludf.DUMMYFUNCTION("""COMPUTED_VALUE"""),"")</f>
        <v/>
      </c>
    </row>
    <row r="11583">
      <c r="G11583" s="16" t="str">
        <f>IFERROR(__xludf.DUMMYFUNCTION("""COMPUTED_VALUE"""),"")</f>
        <v/>
      </c>
    </row>
    <row r="11584">
      <c r="G11584" s="16" t="str">
        <f>IFERROR(__xludf.DUMMYFUNCTION("""COMPUTED_VALUE"""),"")</f>
        <v/>
      </c>
    </row>
    <row r="11585">
      <c r="G11585" s="16" t="str">
        <f>IFERROR(__xludf.DUMMYFUNCTION("""COMPUTED_VALUE"""),"")</f>
        <v/>
      </c>
    </row>
    <row r="11586">
      <c r="G11586" s="16" t="str">
        <f>IFERROR(__xludf.DUMMYFUNCTION("""COMPUTED_VALUE"""),"")</f>
        <v/>
      </c>
    </row>
    <row r="11587">
      <c r="G11587" s="16" t="str">
        <f>IFERROR(__xludf.DUMMYFUNCTION("""COMPUTED_VALUE"""),"")</f>
        <v/>
      </c>
    </row>
    <row r="11588">
      <c r="G11588" s="16" t="str">
        <f>IFERROR(__xludf.DUMMYFUNCTION("""COMPUTED_VALUE"""),"")</f>
        <v/>
      </c>
    </row>
    <row r="11589">
      <c r="G11589" s="16" t="str">
        <f>IFERROR(__xludf.DUMMYFUNCTION("""COMPUTED_VALUE"""),"")</f>
        <v/>
      </c>
    </row>
    <row r="11590">
      <c r="G11590" s="16" t="str">
        <f>IFERROR(__xludf.DUMMYFUNCTION("""COMPUTED_VALUE"""),"")</f>
        <v/>
      </c>
    </row>
    <row r="11591">
      <c r="G11591" s="16" t="str">
        <f>IFERROR(__xludf.DUMMYFUNCTION("""COMPUTED_VALUE"""),"")</f>
        <v/>
      </c>
    </row>
    <row r="11592">
      <c r="G11592" s="16" t="str">
        <f>IFERROR(__xludf.DUMMYFUNCTION("""COMPUTED_VALUE"""),"")</f>
        <v/>
      </c>
    </row>
    <row r="11593">
      <c r="G11593" s="16" t="str">
        <f>IFERROR(__xludf.DUMMYFUNCTION("""COMPUTED_VALUE"""),"")</f>
        <v/>
      </c>
    </row>
    <row r="11594">
      <c r="G11594" s="16" t="str">
        <f>IFERROR(__xludf.DUMMYFUNCTION("""COMPUTED_VALUE"""),"")</f>
        <v/>
      </c>
    </row>
    <row r="11595">
      <c r="G11595" s="16" t="str">
        <f>IFERROR(__xludf.DUMMYFUNCTION("""COMPUTED_VALUE"""),"")</f>
        <v/>
      </c>
    </row>
    <row r="11596">
      <c r="G11596" s="16" t="str">
        <f>IFERROR(__xludf.DUMMYFUNCTION("""COMPUTED_VALUE"""),"")</f>
        <v/>
      </c>
    </row>
    <row r="11597">
      <c r="G11597" s="16" t="str">
        <f>IFERROR(__xludf.DUMMYFUNCTION("""COMPUTED_VALUE"""),"")</f>
        <v/>
      </c>
    </row>
    <row r="11598">
      <c r="G11598" s="16" t="str">
        <f>IFERROR(__xludf.DUMMYFUNCTION("""COMPUTED_VALUE"""),"")</f>
        <v/>
      </c>
    </row>
    <row r="11599">
      <c r="G11599" s="16" t="str">
        <f>IFERROR(__xludf.DUMMYFUNCTION("""COMPUTED_VALUE"""),"")</f>
        <v/>
      </c>
    </row>
    <row r="11600">
      <c r="G11600" s="16" t="str">
        <f>IFERROR(__xludf.DUMMYFUNCTION("""COMPUTED_VALUE"""),"")</f>
        <v/>
      </c>
    </row>
    <row r="11601">
      <c r="G11601" s="16" t="str">
        <f>IFERROR(__xludf.DUMMYFUNCTION("""COMPUTED_VALUE"""),"")</f>
        <v/>
      </c>
    </row>
    <row r="11602">
      <c r="G11602" s="16" t="str">
        <f>IFERROR(__xludf.DUMMYFUNCTION("""COMPUTED_VALUE"""),"")</f>
        <v/>
      </c>
    </row>
    <row r="11603">
      <c r="G11603" s="16" t="str">
        <f>IFERROR(__xludf.DUMMYFUNCTION("""COMPUTED_VALUE"""),"")</f>
        <v/>
      </c>
    </row>
    <row r="11604">
      <c r="G11604" s="16" t="str">
        <f>IFERROR(__xludf.DUMMYFUNCTION("""COMPUTED_VALUE"""),"")</f>
        <v/>
      </c>
    </row>
    <row r="11605">
      <c r="G11605" s="16" t="str">
        <f>IFERROR(__xludf.DUMMYFUNCTION("""COMPUTED_VALUE"""),"")</f>
        <v/>
      </c>
    </row>
    <row r="11606">
      <c r="G11606" s="16" t="str">
        <f>IFERROR(__xludf.DUMMYFUNCTION("""COMPUTED_VALUE"""),"")</f>
        <v/>
      </c>
    </row>
    <row r="11607">
      <c r="G11607" s="16" t="str">
        <f>IFERROR(__xludf.DUMMYFUNCTION("""COMPUTED_VALUE"""),"")</f>
        <v/>
      </c>
    </row>
    <row r="11608">
      <c r="G11608" s="16" t="str">
        <f>IFERROR(__xludf.DUMMYFUNCTION("""COMPUTED_VALUE"""),"")</f>
        <v/>
      </c>
    </row>
    <row r="11609">
      <c r="G11609" s="16" t="str">
        <f>IFERROR(__xludf.DUMMYFUNCTION("""COMPUTED_VALUE"""),"")</f>
        <v/>
      </c>
    </row>
    <row r="11610">
      <c r="G11610" s="16" t="str">
        <f>IFERROR(__xludf.DUMMYFUNCTION("""COMPUTED_VALUE"""),"")</f>
        <v/>
      </c>
    </row>
    <row r="11611">
      <c r="G11611" s="16" t="str">
        <f>IFERROR(__xludf.DUMMYFUNCTION("""COMPUTED_VALUE"""),"")</f>
        <v/>
      </c>
    </row>
    <row r="11612">
      <c r="G11612" s="16" t="str">
        <f>IFERROR(__xludf.DUMMYFUNCTION("""COMPUTED_VALUE"""),"")</f>
        <v/>
      </c>
    </row>
    <row r="11613">
      <c r="G11613" s="16" t="str">
        <f>IFERROR(__xludf.DUMMYFUNCTION("""COMPUTED_VALUE"""),"")</f>
        <v/>
      </c>
    </row>
    <row r="11614">
      <c r="G11614" s="16" t="str">
        <f>IFERROR(__xludf.DUMMYFUNCTION("""COMPUTED_VALUE"""),"")</f>
        <v/>
      </c>
    </row>
    <row r="11615">
      <c r="G11615" s="16" t="str">
        <f>IFERROR(__xludf.DUMMYFUNCTION("""COMPUTED_VALUE"""),"")</f>
        <v/>
      </c>
    </row>
    <row r="11616">
      <c r="G11616" s="16" t="str">
        <f>IFERROR(__xludf.DUMMYFUNCTION("""COMPUTED_VALUE"""),"")</f>
        <v/>
      </c>
    </row>
    <row r="11617">
      <c r="G11617" s="16" t="str">
        <f>IFERROR(__xludf.DUMMYFUNCTION("""COMPUTED_VALUE"""),"")</f>
        <v/>
      </c>
    </row>
    <row r="11618">
      <c r="G11618" s="16" t="str">
        <f>IFERROR(__xludf.DUMMYFUNCTION("""COMPUTED_VALUE"""),"")</f>
        <v/>
      </c>
    </row>
    <row r="11619">
      <c r="G11619" s="16" t="str">
        <f>IFERROR(__xludf.DUMMYFUNCTION("""COMPUTED_VALUE"""),"")</f>
        <v/>
      </c>
    </row>
    <row r="11620">
      <c r="G11620" s="16" t="str">
        <f>IFERROR(__xludf.DUMMYFUNCTION("""COMPUTED_VALUE"""),"")</f>
        <v/>
      </c>
    </row>
    <row r="11621">
      <c r="G11621" s="16" t="str">
        <f>IFERROR(__xludf.DUMMYFUNCTION("""COMPUTED_VALUE"""),"")</f>
        <v/>
      </c>
    </row>
    <row r="11622">
      <c r="G11622" s="16" t="str">
        <f>IFERROR(__xludf.DUMMYFUNCTION("""COMPUTED_VALUE"""),"")</f>
        <v/>
      </c>
    </row>
    <row r="11623">
      <c r="G11623" s="16" t="str">
        <f>IFERROR(__xludf.DUMMYFUNCTION("""COMPUTED_VALUE"""),"")</f>
        <v/>
      </c>
    </row>
    <row r="11624">
      <c r="G11624" s="16" t="str">
        <f>IFERROR(__xludf.DUMMYFUNCTION("""COMPUTED_VALUE"""),"")</f>
        <v/>
      </c>
    </row>
    <row r="11625">
      <c r="G11625" s="16" t="str">
        <f>IFERROR(__xludf.DUMMYFUNCTION("""COMPUTED_VALUE"""),"")</f>
        <v/>
      </c>
    </row>
    <row r="11626">
      <c r="G11626" s="16" t="str">
        <f>IFERROR(__xludf.DUMMYFUNCTION("""COMPUTED_VALUE"""),"")</f>
        <v/>
      </c>
    </row>
    <row r="11627">
      <c r="G11627" s="16" t="str">
        <f>IFERROR(__xludf.DUMMYFUNCTION("""COMPUTED_VALUE"""),"")</f>
        <v/>
      </c>
    </row>
    <row r="11628">
      <c r="G11628" s="16" t="str">
        <f>IFERROR(__xludf.DUMMYFUNCTION("""COMPUTED_VALUE"""),"")</f>
        <v/>
      </c>
    </row>
    <row r="11629">
      <c r="G11629" s="16" t="str">
        <f>IFERROR(__xludf.DUMMYFUNCTION("""COMPUTED_VALUE"""),"")</f>
        <v/>
      </c>
    </row>
    <row r="11630">
      <c r="G11630" s="16" t="str">
        <f>IFERROR(__xludf.DUMMYFUNCTION("""COMPUTED_VALUE"""),"")</f>
        <v/>
      </c>
    </row>
    <row r="11631">
      <c r="G11631" s="16" t="str">
        <f>IFERROR(__xludf.DUMMYFUNCTION("""COMPUTED_VALUE"""),"")</f>
        <v/>
      </c>
    </row>
    <row r="11632">
      <c r="G11632" s="16" t="str">
        <f>IFERROR(__xludf.DUMMYFUNCTION("""COMPUTED_VALUE"""),"")</f>
        <v/>
      </c>
    </row>
    <row r="11633">
      <c r="G11633" s="16" t="str">
        <f>IFERROR(__xludf.DUMMYFUNCTION("""COMPUTED_VALUE"""),"")</f>
        <v/>
      </c>
    </row>
    <row r="11634">
      <c r="G11634" s="16" t="str">
        <f>IFERROR(__xludf.DUMMYFUNCTION("""COMPUTED_VALUE"""),"")</f>
        <v/>
      </c>
    </row>
    <row r="11635">
      <c r="G11635" s="16" t="str">
        <f>IFERROR(__xludf.DUMMYFUNCTION("""COMPUTED_VALUE"""),"")</f>
        <v/>
      </c>
    </row>
    <row r="11636">
      <c r="G11636" s="16" t="str">
        <f>IFERROR(__xludf.DUMMYFUNCTION("""COMPUTED_VALUE"""),"")</f>
        <v/>
      </c>
    </row>
    <row r="11637">
      <c r="G11637" s="16" t="str">
        <f>IFERROR(__xludf.DUMMYFUNCTION("""COMPUTED_VALUE"""),"")</f>
        <v/>
      </c>
    </row>
    <row r="11638">
      <c r="G11638" s="16" t="str">
        <f>IFERROR(__xludf.DUMMYFUNCTION("""COMPUTED_VALUE"""),"")</f>
        <v/>
      </c>
    </row>
    <row r="11639">
      <c r="G11639" s="16" t="str">
        <f>IFERROR(__xludf.DUMMYFUNCTION("""COMPUTED_VALUE"""),"")</f>
        <v/>
      </c>
    </row>
    <row r="11640">
      <c r="G11640" s="16" t="str">
        <f>IFERROR(__xludf.DUMMYFUNCTION("""COMPUTED_VALUE"""),"")</f>
        <v/>
      </c>
    </row>
    <row r="11641">
      <c r="G11641" s="16" t="str">
        <f>IFERROR(__xludf.DUMMYFUNCTION("""COMPUTED_VALUE"""),"")</f>
        <v/>
      </c>
    </row>
    <row r="11642">
      <c r="G11642" s="16" t="str">
        <f>IFERROR(__xludf.DUMMYFUNCTION("""COMPUTED_VALUE"""),"")</f>
        <v/>
      </c>
    </row>
    <row r="11643">
      <c r="G11643" s="16" t="str">
        <f>IFERROR(__xludf.DUMMYFUNCTION("""COMPUTED_VALUE"""),"")</f>
        <v/>
      </c>
    </row>
    <row r="11644">
      <c r="G11644" s="16" t="str">
        <f>IFERROR(__xludf.DUMMYFUNCTION("""COMPUTED_VALUE"""),"")</f>
        <v/>
      </c>
    </row>
    <row r="11645">
      <c r="G11645" s="16" t="str">
        <f>IFERROR(__xludf.DUMMYFUNCTION("""COMPUTED_VALUE"""),"")</f>
        <v/>
      </c>
    </row>
    <row r="11646">
      <c r="G11646" s="16" t="str">
        <f>IFERROR(__xludf.DUMMYFUNCTION("""COMPUTED_VALUE"""),"")</f>
        <v/>
      </c>
    </row>
    <row r="11647">
      <c r="G11647" s="16" t="str">
        <f>IFERROR(__xludf.DUMMYFUNCTION("""COMPUTED_VALUE"""),"")</f>
        <v/>
      </c>
    </row>
    <row r="11648">
      <c r="G11648" s="16" t="str">
        <f>IFERROR(__xludf.DUMMYFUNCTION("""COMPUTED_VALUE"""),"")</f>
        <v/>
      </c>
    </row>
    <row r="11649">
      <c r="G11649" s="16" t="str">
        <f>IFERROR(__xludf.DUMMYFUNCTION("""COMPUTED_VALUE"""),"")</f>
        <v/>
      </c>
    </row>
    <row r="11650">
      <c r="G11650" s="16" t="str">
        <f>IFERROR(__xludf.DUMMYFUNCTION("""COMPUTED_VALUE"""),"")</f>
        <v/>
      </c>
    </row>
    <row r="11651">
      <c r="G11651" s="16" t="str">
        <f>IFERROR(__xludf.DUMMYFUNCTION("""COMPUTED_VALUE"""),"")</f>
        <v/>
      </c>
    </row>
    <row r="11652">
      <c r="G11652" s="16" t="str">
        <f>IFERROR(__xludf.DUMMYFUNCTION("""COMPUTED_VALUE"""),"")</f>
        <v/>
      </c>
    </row>
    <row r="11653">
      <c r="G11653" s="16" t="str">
        <f>IFERROR(__xludf.DUMMYFUNCTION("""COMPUTED_VALUE"""),"")</f>
        <v/>
      </c>
    </row>
    <row r="11654">
      <c r="G11654" s="16" t="str">
        <f>IFERROR(__xludf.DUMMYFUNCTION("""COMPUTED_VALUE"""),"")</f>
        <v/>
      </c>
    </row>
    <row r="11655">
      <c r="G11655" s="16" t="str">
        <f>IFERROR(__xludf.DUMMYFUNCTION("""COMPUTED_VALUE"""),"")</f>
        <v/>
      </c>
    </row>
    <row r="11656">
      <c r="G11656" s="16" t="str">
        <f>IFERROR(__xludf.DUMMYFUNCTION("""COMPUTED_VALUE"""),"")</f>
        <v/>
      </c>
    </row>
    <row r="11657">
      <c r="G11657" s="16" t="str">
        <f>IFERROR(__xludf.DUMMYFUNCTION("""COMPUTED_VALUE"""),"")</f>
        <v/>
      </c>
    </row>
    <row r="11658">
      <c r="G11658" s="16" t="str">
        <f>IFERROR(__xludf.DUMMYFUNCTION("""COMPUTED_VALUE"""),"")</f>
        <v/>
      </c>
    </row>
    <row r="11659">
      <c r="G11659" s="16" t="str">
        <f>IFERROR(__xludf.DUMMYFUNCTION("""COMPUTED_VALUE"""),"")</f>
        <v/>
      </c>
    </row>
    <row r="11660">
      <c r="G11660" s="16" t="str">
        <f>IFERROR(__xludf.DUMMYFUNCTION("""COMPUTED_VALUE"""),"")</f>
        <v/>
      </c>
    </row>
    <row r="11661">
      <c r="G11661" s="16" t="str">
        <f>IFERROR(__xludf.DUMMYFUNCTION("""COMPUTED_VALUE"""),"")</f>
        <v/>
      </c>
    </row>
    <row r="11662">
      <c r="G11662" s="16" t="str">
        <f>IFERROR(__xludf.DUMMYFUNCTION("""COMPUTED_VALUE"""),"")</f>
        <v/>
      </c>
    </row>
    <row r="11663">
      <c r="G11663" s="16" t="str">
        <f>IFERROR(__xludf.DUMMYFUNCTION("""COMPUTED_VALUE"""),"")</f>
        <v/>
      </c>
    </row>
    <row r="11664">
      <c r="G11664" s="16" t="str">
        <f>IFERROR(__xludf.DUMMYFUNCTION("""COMPUTED_VALUE"""),"")</f>
        <v/>
      </c>
    </row>
    <row r="11665">
      <c r="G11665" s="16" t="str">
        <f>IFERROR(__xludf.DUMMYFUNCTION("""COMPUTED_VALUE"""),"")</f>
        <v/>
      </c>
    </row>
    <row r="11666">
      <c r="G11666" s="16" t="str">
        <f>IFERROR(__xludf.DUMMYFUNCTION("""COMPUTED_VALUE"""),"")</f>
        <v/>
      </c>
    </row>
    <row r="11667">
      <c r="G11667" s="16" t="str">
        <f>IFERROR(__xludf.DUMMYFUNCTION("""COMPUTED_VALUE"""),"")</f>
        <v/>
      </c>
    </row>
    <row r="11668">
      <c r="G11668" s="16" t="str">
        <f>IFERROR(__xludf.DUMMYFUNCTION("""COMPUTED_VALUE"""),"")</f>
        <v/>
      </c>
    </row>
    <row r="11669">
      <c r="G11669" s="16" t="str">
        <f>IFERROR(__xludf.DUMMYFUNCTION("""COMPUTED_VALUE"""),"")</f>
        <v/>
      </c>
    </row>
    <row r="11670">
      <c r="G11670" s="16" t="str">
        <f>IFERROR(__xludf.DUMMYFUNCTION("""COMPUTED_VALUE"""),"")</f>
        <v/>
      </c>
    </row>
    <row r="11671">
      <c r="G11671" s="16" t="str">
        <f>IFERROR(__xludf.DUMMYFUNCTION("""COMPUTED_VALUE"""),"")</f>
        <v/>
      </c>
    </row>
    <row r="11672">
      <c r="G11672" s="16" t="str">
        <f>IFERROR(__xludf.DUMMYFUNCTION("""COMPUTED_VALUE"""),"")</f>
        <v/>
      </c>
    </row>
    <row r="11673">
      <c r="G11673" s="16" t="str">
        <f>IFERROR(__xludf.DUMMYFUNCTION("""COMPUTED_VALUE"""),"")</f>
        <v/>
      </c>
    </row>
    <row r="11674">
      <c r="G11674" s="16" t="str">
        <f>IFERROR(__xludf.DUMMYFUNCTION("""COMPUTED_VALUE"""),"")</f>
        <v/>
      </c>
    </row>
    <row r="11675">
      <c r="G11675" s="16" t="str">
        <f>IFERROR(__xludf.DUMMYFUNCTION("""COMPUTED_VALUE"""),"")</f>
        <v/>
      </c>
    </row>
    <row r="11676">
      <c r="G11676" s="16" t="str">
        <f>IFERROR(__xludf.DUMMYFUNCTION("""COMPUTED_VALUE"""),"")</f>
        <v/>
      </c>
    </row>
    <row r="11677">
      <c r="G11677" s="16" t="str">
        <f>IFERROR(__xludf.DUMMYFUNCTION("""COMPUTED_VALUE"""),"")</f>
        <v/>
      </c>
    </row>
    <row r="11678">
      <c r="G11678" s="16" t="str">
        <f>IFERROR(__xludf.DUMMYFUNCTION("""COMPUTED_VALUE"""),"")</f>
        <v/>
      </c>
    </row>
    <row r="11679">
      <c r="G11679" s="16" t="str">
        <f>IFERROR(__xludf.DUMMYFUNCTION("""COMPUTED_VALUE"""),"")</f>
        <v/>
      </c>
    </row>
    <row r="11680">
      <c r="G11680" s="16" t="str">
        <f>IFERROR(__xludf.DUMMYFUNCTION("""COMPUTED_VALUE"""),"")</f>
        <v/>
      </c>
    </row>
    <row r="11681">
      <c r="G11681" s="16" t="str">
        <f>IFERROR(__xludf.DUMMYFUNCTION("""COMPUTED_VALUE"""),"")</f>
        <v/>
      </c>
    </row>
    <row r="11682">
      <c r="G11682" s="16" t="str">
        <f>IFERROR(__xludf.DUMMYFUNCTION("""COMPUTED_VALUE"""),"")</f>
        <v/>
      </c>
    </row>
    <row r="11683">
      <c r="G11683" s="16" t="str">
        <f>IFERROR(__xludf.DUMMYFUNCTION("""COMPUTED_VALUE"""),"")</f>
        <v/>
      </c>
    </row>
    <row r="11684">
      <c r="G11684" s="16" t="str">
        <f>IFERROR(__xludf.DUMMYFUNCTION("""COMPUTED_VALUE"""),"")</f>
        <v/>
      </c>
    </row>
    <row r="11685">
      <c r="G11685" s="16" t="str">
        <f>IFERROR(__xludf.DUMMYFUNCTION("""COMPUTED_VALUE"""),"")</f>
        <v/>
      </c>
    </row>
    <row r="11686">
      <c r="G11686" s="16" t="str">
        <f>IFERROR(__xludf.DUMMYFUNCTION("""COMPUTED_VALUE"""),"")</f>
        <v/>
      </c>
    </row>
    <row r="11687">
      <c r="G11687" s="16" t="str">
        <f>IFERROR(__xludf.DUMMYFUNCTION("""COMPUTED_VALUE"""),"")</f>
        <v/>
      </c>
    </row>
    <row r="11688">
      <c r="G11688" s="16" t="str">
        <f>IFERROR(__xludf.DUMMYFUNCTION("""COMPUTED_VALUE"""),"")</f>
        <v/>
      </c>
    </row>
    <row r="11689">
      <c r="G11689" s="16" t="str">
        <f>IFERROR(__xludf.DUMMYFUNCTION("""COMPUTED_VALUE"""),"")</f>
        <v/>
      </c>
    </row>
    <row r="11690">
      <c r="G11690" s="16" t="str">
        <f>IFERROR(__xludf.DUMMYFUNCTION("""COMPUTED_VALUE"""),"")</f>
        <v/>
      </c>
    </row>
    <row r="11691">
      <c r="G11691" s="16" t="str">
        <f>IFERROR(__xludf.DUMMYFUNCTION("""COMPUTED_VALUE"""),"")</f>
        <v/>
      </c>
    </row>
    <row r="11692">
      <c r="G11692" s="16" t="str">
        <f>IFERROR(__xludf.DUMMYFUNCTION("""COMPUTED_VALUE"""),"")</f>
        <v/>
      </c>
    </row>
    <row r="11693">
      <c r="G11693" s="16" t="str">
        <f>IFERROR(__xludf.DUMMYFUNCTION("""COMPUTED_VALUE"""),"")</f>
        <v/>
      </c>
    </row>
    <row r="11694">
      <c r="G11694" s="16" t="str">
        <f>IFERROR(__xludf.DUMMYFUNCTION("""COMPUTED_VALUE"""),"")</f>
        <v/>
      </c>
    </row>
    <row r="11695">
      <c r="G11695" s="16" t="str">
        <f>IFERROR(__xludf.DUMMYFUNCTION("""COMPUTED_VALUE"""),"")</f>
        <v/>
      </c>
    </row>
    <row r="11696">
      <c r="G11696" s="16" t="str">
        <f>IFERROR(__xludf.DUMMYFUNCTION("""COMPUTED_VALUE"""),"")</f>
        <v/>
      </c>
    </row>
    <row r="11697">
      <c r="G11697" s="16" t="str">
        <f>IFERROR(__xludf.DUMMYFUNCTION("""COMPUTED_VALUE"""),"")</f>
        <v/>
      </c>
    </row>
    <row r="11698">
      <c r="G11698" s="16" t="str">
        <f>IFERROR(__xludf.DUMMYFUNCTION("""COMPUTED_VALUE"""),"")</f>
        <v/>
      </c>
    </row>
    <row r="11699">
      <c r="G11699" s="16" t="str">
        <f>IFERROR(__xludf.DUMMYFUNCTION("""COMPUTED_VALUE"""),"")</f>
        <v/>
      </c>
    </row>
    <row r="11700">
      <c r="G11700" s="16" t="str">
        <f>IFERROR(__xludf.DUMMYFUNCTION("""COMPUTED_VALUE"""),"")</f>
        <v/>
      </c>
    </row>
    <row r="11701">
      <c r="G11701" s="16" t="str">
        <f>IFERROR(__xludf.DUMMYFUNCTION("""COMPUTED_VALUE"""),"")</f>
        <v/>
      </c>
    </row>
    <row r="11702">
      <c r="G11702" s="16" t="str">
        <f>IFERROR(__xludf.DUMMYFUNCTION("""COMPUTED_VALUE"""),"")</f>
        <v/>
      </c>
    </row>
    <row r="11703">
      <c r="G11703" s="16" t="str">
        <f>IFERROR(__xludf.DUMMYFUNCTION("""COMPUTED_VALUE"""),"")</f>
        <v/>
      </c>
    </row>
    <row r="11704">
      <c r="G11704" s="16" t="str">
        <f>IFERROR(__xludf.DUMMYFUNCTION("""COMPUTED_VALUE"""),"")</f>
        <v/>
      </c>
    </row>
    <row r="11705">
      <c r="G11705" s="16" t="str">
        <f>IFERROR(__xludf.DUMMYFUNCTION("""COMPUTED_VALUE"""),"")</f>
        <v/>
      </c>
    </row>
    <row r="11706">
      <c r="G11706" s="16" t="str">
        <f>IFERROR(__xludf.DUMMYFUNCTION("""COMPUTED_VALUE"""),"")</f>
        <v/>
      </c>
    </row>
    <row r="11707">
      <c r="G11707" s="16" t="str">
        <f>IFERROR(__xludf.DUMMYFUNCTION("""COMPUTED_VALUE"""),"")</f>
        <v/>
      </c>
    </row>
    <row r="11708">
      <c r="G11708" s="16" t="str">
        <f>IFERROR(__xludf.DUMMYFUNCTION("""COMPUTED_VALUE"""),"")</f>
        <v/>
      </c>
    </row>
    <row r="11709">
      <c r="G11709" s="16" t="str">
        <f>IFERROR(__xludf.DUMMYFUNCTION("""COMPUTED_VALUE"""),"")</f>
        <v/>
      </c>
    </row>
    <row r="11710">
      <c r="G11710" s="16" t="str">
        <f>IFERROR(__xludf.DUMMYFUNCTION("""COMPUTED_VALUE"""),"")</f>
        <v/>
      </c>
    </row>
    <row r="11711">
      <c r="G11711" s="16" t="str">
        <f>IFERROR(__xludf.DUMMYFUNCTION("""COMPUTED_VALUE"""),"")</f>
        <v/>
      </c>
    </row>
    <row r="11712">
      <c r="G11712" s="16" t="str">
        <f>IFERROR(__xludf.DUMMYFUNCTION("""COMPUTED_VALUE"""),"")</f>
        <v/>
      </c>
    </row>
    <row r="11713">
      <c r="G11713" s="16" t="str">
        <f>IFERROR(__xludf.DUMMYFUNCTION("""COMPUTED_VALUE"""),"")</f>
        <v/>
      </c>
    </row>
    <row r="11714">
      <c r="G11714" s="16" t="str">
        <f>IFERROR(__xludf.DUMMYFUNCTION("""COMPUTED_VALUE"""),"")</f>
        <v/>
      </c>
    </row>
    <row r="11715">
      <c r="G11715" s="16" t="str">
        <f>IFERROR(__xludf.DUMMYFUNCTION("""COMPUTED_VALUE"""),"")</f>
        <v/>
      </c>
    </row>
    <row r="11716">
      <c r="G11716" s="16" t="str">
        <f>IFERROR(__xludf.DUMMYFUNCTION("""COMPUTED_VALUE"""),"")</f>
        <v/>
      </c>
    </row>
    <row r="11717">
      <c r="G11717" s="16" t="str">
        <f>IFERROR(__xludf.DUMMYFUNCTION("""COMPUTED_VALUE"""),"")</f>
        <v/>
      </c>
    </row>
    <row r="11718">
      <c r="G11718" s="16" t="str">
        <f>IFERROR(__xludf.DUMMYFUNCTION("""COMPUTED_VALUE"""),"")</f>
        <v/>
      </c>
    </row>
    <row r="11719">
      <c r="G11719" s="16" t="str">
        <f>IFERROR(__xludf.DUMMYFUNCTION("""COMPUTED_VALUE"""),"")</f>
        <v/>
      </c>
    </row>
    <row r="11720">
      <c r="G11720" s="16" t="str">
        <f>IFERROR(__xludf.DUMMYFUNCTION("""COMPUTED_VALUE"""),"")</f>
        <v/>
      </c>
    </row>
    <row r="11721">
      <c r="G11721" s="16" t="str">
        <f>IFERROR(__xludf.DUMMYFUNCTION("""COMPUTED_VALUE"""),"")</f>
        <v/>
      </c>
    </row>
    <row r="11722">
      <c r="G11722" s="16" t="str">
        <f>IFERROR(__xludf.DUMMYFUNCTION("""COMPUTED_VALUE"""),"")</f>
        <v/>
      </c>
    </row>
    <row r="11723">
      <c r="G11723" s="16" t="str">
        <f>IFERROR(__xludf.DUMMYFUNCTION("""COMPUTED_VALUE"""),"")</f>
        <v/>
      </c>
    </row>
    <row r="11724">
      <c r="G11724" s="16" t="str">
        <f>IFERROR(__xludf.DUMMYFUNCTION("""COMPUTED_VALUE"""),"")</f>
        <v/>
      </c>
    </row>
    <row r="11725">
      <c r="G11725" s="16" t="str">
        <f>IFERROR(__xludf.DUMMYFUNCTION("""COMPUTED_VALUE"""),"")</f>
        <v/>
      </c>
    </row>
    <row r="11726">
      <c r="G11726" s="16" t="str">
        <f>IFERROR(__xludf.DUMMYFUNCTION("""COMPUTED_VALUE"""),"")</f>
        <v/>
      </c>
    </row>
    <row r="11727">
      <c r="G11727" s="16" t="str">
        <f>IFERROR(__xludf.DUMMYFUNCTION("""COMPUTED_VALUE"""),"")</f>
        <v/>
      </c>
    </row>
    <row r="11728">
      <c r="G11728" s="16" t="str">
        <f>IFERROR(__xludf.DUMMYFUNCTION("""COMPUTED_VALUE"""),"")</f>
        <v/>
      </c>
    </row>
    <row r="11729">
      <c r="G11729" s="16" t="str">
        <f>IFERROR(__xludf.DUMMYFUNCTION("""COMPUTED_VALUE"""),"")</f>
        <v/>
      </c>
    </row>
    <row r="11730">
      <c r="G11730" s="16" t="str">
        <f>IFERROR(__xludf.DUMMYFUNCTION("""COMPUTED_VALUE"""),"")</f>
        <v/>
      </c>
    </row>
    <row r="11731">
      <c r="G11731" s="16" t="str">
        <f>IFERROR(__xludf.DUMMYFUNCTION("""COMPUTED_VALUE"""),"")</f>
        <v/>
      </c>
    </row>
    <row r="11732">
      <c r="G11732" s="16" t="str">
        <f>IFERROR(__xludf.DUMMYFUNCTION("""COMPUTED_VALUE"""),"")</f>
        <v/>
      </c>
    </row>
    <row r="11733">
      <c r="G11733" s="16" t="str">
        <f>IFERROR(__xludf.DUMMYFUNCTION("""COMPUTED_VALUE"""),"")</f>
        <v/>
      </c>
    </row>
    <row r="11734">
      <c r="G11734" s="16" t="str">
        <f>IFERROR(__xludf.DUMMYFUNCTION("""COMPUTED_VALUE"""),"")</f>
        <v/>
      </c>
    </row>
    <row r="11735">
      <c r="G11735" s="16" t="str">
        <f>IFERROR(__xludf.DUMMYFUNCTION("""COMPUTED_VALUE"""),"")</f>
        <v/>
      </c>
    </row>
    <row r="11736">
      <c r="G11736" s="16" t="str">
        <f>IFERROR(__xludf.DUMMYFUNCTION("""COMPUTED_VALUE"""),"")</f>
        <v/>
      </c>
    </row>
    <row r="11737">
      <c r="G11737" s="16" t="str">
        <f>IFERROR(__xludf.DUMMYFUNCTION("""COMPUTED_VALUE"""),"")</f>
        <v/>
      </c>
    </row>
    <row r="11738">
      <c r="G11738" s="16" t="str">
        <f>IFERROR(__xludf.DUMMYFUNCTION("""COMPUTED_VALUE"""),"")</f>
        <v/>
      </c>
    </row>
    <row r="11739">
      <c r="G11739" s="16" t="str">
        <f>IFERROR(__xludf.DUMMYFUNCTION("""COMPUTED_VALUE"""),"")</f>
        <v/>
      </c>
    </row>
    <row r="11740">
      <c r="G11740" s="16" t="str">
        <f>IFERROR(__xludf.DUMMYFUNCTION("""COMPUTED_VALUE"""),"")</f>
        <v/>
      </c>
    </row>
    <row r="11741">
      <c r="G11741" s="16" t="str">
        <f>IFERROR(__xludf.DUMMYFUNCTION("""COMPUTED_VALUE"""),"")</f>
        <v/>
      </c>
    </row>
    <row r="11742">
      <c r="G11742" s="16" t="str">
        <f>IFERROR(__xludf.DUMMYFUNCTION("""COMPUTED_VALUE"""),"")</f>
        <v/>
      </c>
    </row>
    <row r="11743">
      <c r="G11743" s="16" t="str">
        <f>IFERROR(__xludf.DUMMYFUNCTION("""COMPUTED_VALUE"""),"")</f>
        <v/>
      </c>
    </row>
    <row r="11744">
      <c r="G11744" s="16" t="str">
        <f>IFERROR(__xludf.DUMMYFUNCTION("""COMPUTED_VALUE"""),"")</f>
        <v/>
      </c>
    </row>
    <row r="11745">
      <c r="G11745" s="16" t="str">
        <f>IFERROR(__xludf.DUMMYFUNCTION("""COMPUTED_VALUE"""),"")</f>
        <v/>
      </c>
    </row>
    <row r="11746">
      <c r="G11746" s="16" t="str">
        <f>IFERROR(__xludf.DUMMYFUNCTION("""COMPUTED_VALUE"""),"")</f>
        <v/>
      </c>
    </row>
    <row r="11747">
      <c r="G11747" s="16" t="str">
        <f>IFERROR(__xludf.DUMMYFUNCTION("""COMPUTED_VALUE"""),"")</f>
        <v/>
      </c>
    </row>
    <row r="11748">
      <c r="G11748" s="16" t="str">
        <f>IFERROR(__xludf.DUMMYFUNCTION("""COMPUTED_VALUE"""),"")</f>
        <v/>
      </c>
    </row>
    <row r="11749">
      <c r="G11749" s="16" t="str">
        <f>IFERROR(__xludf.DUMMYFUNCTION("""COMPUTED_VALUE"""),"")</f>
        <v/>
      </c>
    </row>
    <row r="11750">
      <c r="G11750" s="16" t="str">
        <f>IFERROR(__xludf.DUMMYFUNCTION("""COMPUTED_VALUE"""),"")</f>
        <v/>
      </c>
    </row>
    <row r="11751">
      <c r="G11751" s="16" t="str">
        <f>IFERROR(__xludf.DUMMYFUNCTION("""COMPUTED_VALUE"""),"")</f>
        <v/>
      </c>
    </row>
    <row r="11752">
      <c r="G11752" s="16" t="str">
        <f>IFERROR(__xludf.DUMMYFUNCTION("""COMPUTED_VALUE"""),"")</f>
        <v/>
      </c>
    </row>
    <row r="11753">
      <c r="G11753" s="16" t="str">
        <f>IFERROR(__xludf.DUMMYFUNCTION("""COMPUTED_VALUE"""),"")</f>
        <v/>
      </c>
    </row>
    <row r="11754">
      <c r="G11754" s="16" t="str">
        <f>IFERROR(__xludf.DUMMYFUNCTION("""COMPUTED_VALUE"""),"")</f>
        <v/>
      </c>
    </row>
    <row r="11755">
      <c r="G11755" s="16" t="str">
        <f>IFERROR(__xludf.DUMMYFUNCTION("""COMPUTED_VALUE"""),"")</f>
        <v/>
      </c>
    </row>
    <row r="11756">
      <c r="G11756" s="16" t="str">
        <f>IFERROR(__xludf.DUMMYFUNCTION("""COMPUTED_VALUE"""),"")</f>
        <v/>
      </c>
    </row>
    <row r="11757">
      <c r="G11757" s="16" t="str">
        <f>IFERROR(__xludf.DUMMYFUNCTION("""COMPUTED_VALUE"""),"")</f>
        <v/>
      </c>
    </row>
    <row r="11758">
      <c r="G11758" s="16" t="str">
        <f>IFERROR(__xludf.DUMMYFUNCTION("""COMPUTED_VALUE"""),"")</f>
        <v/>
      </c>
    </row>
    <row r="11759">
      <c r="G11759" s="16" t="str">
        <f>IFERROR(__xludf.DUMMYFUNCTION("""COMPUTED_VALUE"""),"")</f>
        <v/>
      </c>
    </row>
    <row r="11760">
      <c r="G11760" s="16" t="str">
        <f>IFERROR(__xludf.DUMMYFUNCTION("""COMPUTED_VALUE"""),"")</f>
        <v/>
      </c>
    </row>
    <row r="11761">
      <c r="G11761" s="16" t="str">
        <f>IFERROR(__xludf.DUMMYFUNCTION("""COMPUTED_VALUE"""),"")</f>
        <v/>
      </c>
    </row>
    <row r="11762">
      <c r="G11762" s="16" t="str">
        <f>IFERROR(__xludf.DUMMYFUNCTION("""COMPUTED_VALUE"""),"")</f>
        <v/>
      </c>
    </row>
    <row r="11763">
      <c r="G11763" s="16" t="str">
        <f>IFERROR(__xludf.DUMMYFUNCTION("""COMPUTED_VALUE"""),"")</f>
        <v/>
      </c>
    </row>
    <row r="11764">
      <c r="G11764" s="16" t="str">
        <f>IFERROR(__xludf.DUMMYFUNCTION("""COMPUTED_VALUE"""),"")</f>
        <v/>
      </c>
    </row>
    <row r="11765">
      <c r="G11765" s="16" t="str">
        <f>IFERROR(__xludf.DUMMYFUNCTION("""COMPUTED_VALUE"""),"")</f>
        <v/>
      </c>
    </row>
    <row r="11766">
      <c r="G11766" s="16" t="str">
        <f>IFERROR(__xludf.DUMMYFUNCTION("""COMPUTED_VALUE"""),"")</f>
        <v/>
      </c>
    </row>
    <row r="11767">
      <c r="G11767" s="16" t="str">
        <f>IFERROR(__xludf.DUMMYFUNCTION("""COMPUTED_VALUE"""),"")</f>
        <v/>
      </c>
    </row>
    <row r="11768">
      <c r="G11768" s="16" t="str">
        <f>IFERROR(__xludf.DUMMYFUNCTION("""COMPUTED_VALUE"""),"")</f>
        <v/>
      </c>
    </row>
    <row r="11769">
      <c r="G11769" s="16" t="str">
        <f>IFERROR(__xludf.DUMMYFUNCTION("""COMPUTED_VALUE"""),"")</f>
        <v/>
      </c>
    </row>
    <row r="11770">
      <c r="G11770" s="16" t="str">
        <f>IFERROR(__xludf.DUMMYFUNCTION("""COMPUTED_VALUE"""),"")</f>
        <v/>
      </c>
    </row>
    <row r="11771">
      <c r="G11771" s="16" t="str">
        <f>IFERROR(__xludf.DUMMYFUNCTION("""COMPUTED_VALUE"""),"")</f>
        <v/>
      </c>
    </row>
    <row r="11772">
      <c r="G11772" s="16" t="str">
        <f>IFERROR(__xludf.DUMMYFUNCTION("""COMPUTED_VALUE"""),"")</f>
        <v/>
      </c>
    </row>
    <row r="11773">
      <c r="G11773" s="16" t="str">
        <f>IFERROR(__xludf.DUMMYFUNCTION("""COMPUTED_VALUE"""),"")</f>
        <v/>
      </c>
    </row>
    <row r="11774">
      <c r="G11774" s="16" t="str">
        <f>IFERROR(__xludf.DUMMYFUNCTION("""COMPUTED_VALUE"""),"")</f>
        <v/>
      </c>
    </row>
    <row r="11775">
      <c r="G11775" s="16" t="str">
        <f>IFERROR(__xludf.DUMMYFUNCTION("""COMPUTED_VALUE"""),"")</f>
        <v/>
      </c>
    </row>
    <row r="11776">
      <c r="G11776" s="16" t="str">
        <f>IFERROR(__xludf.DUMMYFUNCTION("""COMPUTED_VALUE"""),"")</f>
        <v/>
      </c>
    </row>
    <row r="11777">
      <c r="G11777" s="16" t="str">
        <f>IFERROR(__xludf.DUMMYFUNCTION("""COMPUTED_VALUE"""),"")</f>
        <v/>
      </c>
    </row>
    <row r="11778">
      <c r="G11778" s="16" t="str">
        <f>IFERROR(__xludf.DUMMYFUNCTION("""COMPUTED_VALUE"""),"")</f>
        <v/>
      </c>
    </row>
    <row r="11779">
      <c r="G11779" s="16" t="str">
        <f>IFERROR(__xludf.DUMMYFUNCTION("""COMPUTED_VALUE"""),"")</f>
        <v/>
      </c>
    </row>
    <row r="11780">
      <c r="G11780" s="16" t="str">
        <f>IFERROR(__xludf.DUMMYFUNCTION("""COMPUTED_VALUE"""),"")</f>
        <v/>
      </c>
    </row>
    <row r="11781">
      <c r="G11781" s="16" t="str">
        <f>IFERROR(__xludf.DUMMYFUNCTION("""COMPUTED_VALUE"""),"")</f>
        <v/>
      </c>
    </row>
    <row r="11782">
      <c r="G11782" s="16" t="str">
        <f>IFERROR(__xludf.DUMMYFUNCTION("""COMPUTED_VALUE"""),"")</f>
        <v/>
      </c>
    </row>
    <row r="11783">
      <c r="G11783" s="16" t="str">
        <f>IFERROR(__xludf.DUMMYFUNCTION("""COMPUTED_VALUE"""),"")</f>
        <v/>
      </c>
    </row>
    <row r="11784">
      <c r="G11784" s="16" t="str">
        <f>IFERROR(__xludf.DUMMYFUNCTION("""COMPUTED_VALUE"""),"")</f>
        <v/>
      </c>
    </row>
    <row r="11785">
      <c r="G11785" s="16" t="str">
        <f>IFERROR(__xludf.DUMMYFUNCTION("""COMPUTED_VALUE"""),"")</f>
        <v/>
      </c>
    </row>
    <row r="11786">
      <c r="G11786" s="16" t="str">
        <f>IFERROR(__xludf.DUMMYFUNCTION("""COMPUTED_VALUE"""),"")</f>
        <v/>
      </c>
    </row>
    <row r="11787">
      <c r="G11787" s="16" t="str">
        <f>IFERROR(__xludf.DUMMYFUNCTION("""COMPUTED_VALUE"""),"")</f>
        <v/>
      </c>
    </row>
    <row r="11788">
      <c r="G11788" s="16" t="str">
        <f>IFERROR(__xludf.DUMMYFUNCTION("""COMPUTED_VALUE"""),"")</f>
        <v/>
      </c>
    </row>
    <row r="11789">
      <c r="G11789" s="16" t="str">
        <f>IFERROR(__xludf.DUMMYFUNCTION("""COMPUTED_VALUE"""),"")</f>
        <v/>
      </c>
    </row>
    <row r="11790">
      <c r="G11790" s="16" t="str">
        <f>IFERROR(__xludf.DUMMYFUNCTION("""COMPUTED_VALUE"""),"")</f>
        <v/>
      </c>
    </row>
    <row r="11791">
      <c r="G11791" s="16" t="str">
        <f>IFERROR(__xludf.DUMMYFUNCTION("""COMPUTED_VALUE"""),"")</f>
        <v/>
      </c>
    </row>
    <row r="11792">
      <c r="G11792" s="16" t="str">
        <f>IFERROR(__xludf.DUMMYFUNCTION("""COMPUTED_VALUE"""),"")</f>
        <v/>
      </c>
    </row>
    <row r="11793">
      <c r="G11793" s="16" t="str">
        <f>IFERROR(__xludf.DUMMYFUNCTION("""COMPUTED_VALUE"""),"")</f>
        <v/>
      </c>
    </row>
    <row r="11794">
      <c r="G11794" s="16" t="str">
        <f>IFERROR(__xludf.DUMMYFUNCTION("""COMPUTED_VALUE"""),"")</f>
        <v/>
      </c>
    </row>
    <row r="11795">
      <c r="G11795" s="16" t="str">
        <f>IFERROR(__xludf.DUMMYFUNCTION("""COMPUTED_VALUE"""),"")</f>
        <v/>
      </c>
    </row>
    <row r="11796">
      <c r="G11796" s="16" t="str">
        <f>IFERROR(__xludf.DUMMYFUNCTION("""COMPUTED_VALUE"""),"")</f>
        <v/>
      </c>
    </row>
    <row r="11797">
      <c r="G11797" s="16" t="str">
        <f>IFERROR(__xludf.DUMMYFUNCTION("""COMPUTED_VALUE"""),"")</f>
        <v/>
      </c>
    </row>
    <row r="11798">
      <c r="G11798" s="16" t="str">
        <f>IFERROR(__xludf.DUMMYFUNCTION("""COMPUTED_VALUE"""),"")</f>
        <v/>
      </c>
    </row>
    <row r="11799">
      <c r="G11799" s="16" t="str">
        <f>IFERROR(__xludf.DUMMYFUNCTION("""COMPUTED_VALUE"""),"")</f>
        <v/>
      </c>
    </row>
    <row r="11800">
      <c r="G11800" s="16" t="str">
        <f>IFERROR(__xludf.DUMMYFUNCTION("""COMPUTED_VALUE"""),"")</f>
        <v/>
      </c>
    </row>
    <row r="11801">
      <c r="G11801" s="16" t="str">
        <f>IFERROR(__xludf.DUMMYFUNCTION("""COMPUTED_VALUE"""),"")</f>
        <v/>
      </c>
    </row>
    <row r="11802">
      <c r="G11802" s="16" t="str">
        <f>IFERROR(__xludf.DUMMYFUNCTION("""COMPUTED_VALUE"""),"")</f>
        <v/>
      </c>
    </row>
    <row r="11803">
      <c r="G11803" s="16" t="str">
        <f>IFERROR(__xludf.DUMMYFUNCTION("""COMPUTED_VALUE"""),"")</f>
        <v/>
      </c>
    </row>
    <row r="11804">
      <c r="G11804" s="16" t="str">
        <f>IFERROR(__xludf.DUMMYFUNCTION("""COMPUTED_VALUE"""),"")</f>
        <v/>
      </c>
    </row>
    <row r="11805">
      <c r="G11805" s="16" t="str">
        <f>IFERROR(__xludf.DUMMYFUNCTION("""COMPUTED_VALUE"""),"")</f>
        <v/>
      </c>
    </row>
    <row r="11806">
      <c r="G11806" s="16" t="str">
        <f>IFERROR(__xludf.DUMMYFUNCTION("""COMPUTED_VALUE"""),"")</f>
        <v/>
      </c>
    </row>
    <row r="11807">
      <c r="G11807" s="16" t="str">
        <f>IFERROR(__xludf.DUMMYFUNCTION("""COMPUTED_VALUE"""),"")</f>
        <v/>
      </c>
    </row>
    <row r="11808">
      <c r="G11808" s="16" t="str">
        <f>IFERROR(__xludf.DUMMYFUNCTION("""COMPUTED_VALUE"""),"")</f>
        <v/>
      </c>
    </row>
    <row r="11809">
      <c r="G11809" s="16" t="str">
        <f>IFERROR(__xludf.DUMMYFUNCTION("""COMPUTED_VALUE"""),"")</f>
        <v/>
      </c>
    </row>
    <row r="11810">
      <c r="G11810" s="16" t="str">
        <f>IFERROR(__xludf.DUMMYFUNCTION("""COMPUTED_VALUE"""),"")</f>
        <v/>
      </c>
    </row>
    <row r="11811">
      <c r="G11811" s="16" t="str">
        <f>IFERROR(__xludf.DUMMYFUNCTION("""COMPUTED_VALUE"""),"")</f>
        <v/>
      </c>
    </row>
    <row r="11812">
      <c r="G11812" s="16" t="str">
        <f>IFERROR(__xludf.DUMMYFUNCTION("""COMPUTED_VALUE"""),"")</f>
        <v/>
      </c>
    </row>
    <row r="11813">
      <c r="G11813" s="16" t="str">
        <f>IFERROR(__xludf.DUMMYFUNCTION("""COMPUTED_VALUE"""),"")</f>
        <v/>
      </c>
    </row>
    <row r="11814">
      <c r="G11814" s="16" t="str">
        <f>IFERROR(__xludf.DUMMYFUNCTION("""COMPUTED_VALUE"""),"")</f>
        <v/>
      </c>
    </row>
    <row r="11815">
      <c r="G11815" s="16" t="str">
        <f>IFERROR(__xludf.DUMMYFUNCTION("""COMPUTED_VALUE"""),"")</f>
        <v/>
      </c>
    </row>
    <row r="11816">
      <c r="G11816" s="16" t="str">
        <f>IFERROR(__xludf.DUMMYFUNCTION("""COMPUTED_VALUE"""),"")</f>
        <v/>
      </c>
    </row>
    <row r="11817">
      <c r="G11817" s="16" t="str">
        <f>IFERROR(__xludf.DUMMYFUNCTION("""COMPUTED_VALUE"""),"")</f>
        <v/>
      </c>
    </row>
    <row r="11818">
      <c r="G11818" s="16" t="str">
        <f>IFERROR(__xludf.DUMMYFUNCTION("""COMPUTED_VALUE"""),"")</f>
        <v/>
      </c>
    </row>
    <row r="11819">
      <c r="G11819" s="16" t="str">
        <f>IFERROR(__xludf.DUMMYFUNCTION("""COMPUTED_VALUE"""),"")</f>
        <v/>
      </c>
    </row>
    <row r="11820">
      <c r="G11820" s="16" t="str">
        <f>IFERROR(__xludf.DUMMYFUNCTION("""COMPUTED_VALUE"""),"")</f>
        <v/>
      </c>
    </row>
    <row r="11821">
      <c r="G11821" s="16" t="str">
        <f>IFERROR(__xludf.DUMMYFUNCTION("""COMPUTED_VALUE"""),"")</f>
        <v/>
      </c>
    </row>
    <row r="11822">
      <c r="G11822" s="16" t="str">
        <f>IFERROR(__xludf.DUMMYFUNCTION("""COMPUTED_VALUE"""),"")</f>
        <v/>
      </c>
    </row>
    <row r="11823">
      <c r="G11823" s="16" t="str">
        <f>IFERROR(__xludf.DUMMYFUNCTION("""COMPUTED_VALUE"""),"")</f>
        <v/>
      </c>
    </row>
    <row r="11824">
      <c r="G11824" s="16" t="str">
        <f>IFERROR(__xludf.DUMMYFUNCTION("""COMPUTED_VALUE"""),"")</f>
        <v/>
      </c>
    </row>
    <row r="11825">
      <c r="G11825" s="16" t="str">
        <f>IFERROR(__xludf.DUMMYFUNCTION("""COMPUTED_VALUE"""),"")</f>
        <v/>
      </c>
    </row>
    <row r="11826">
      <c r="G11826" s="16" t="str">
        <f>IFERROR(__xludf.DUMMYFUNCTION("""COMPUTED_VALUE"""),"")</f>
        <v/>
      </c>
    </row>
    <row r="11827">
      <c r="G11827" s="16" t="str">
        <f>IFERROR(__xludf.DUMMYFUNCTION("""COMPUTED_VALUE"""),"")</f>
        <v/>
      </c>
    </row>
    <row r="11828">
      <c r="G11828" s="16" t="str">
        <f>IFERROR(__xludf.DUMMYFUNCTION("""COMPUTED_VALUE"""),"")</f>
        <v/>
      </c>
    </row>
    <row r="11829">
      <c r="G11829" s="16" t="str">
        <f>IFERROR(__xludf.DUMMYFUNCTION("""COMPUTED_VALUE"""),"")</f>
        <v/>
      </c>
    </row>
    <row r="11830">
      <c r="G11830" s="16" t="str">
        <f>IFERROR(__xludf.DUMMYFUNCTION("""COMPUTED_VALUE"""),"")</f>
        <v/>
      </c>
    </row>
    <row r="11831">
      <c r="G11831" s="16" t="str">
        <f>IFERROR(__xludf.DUMMYFUNCTION("""COMPUTED_VALUE"""),"")</f>
        <v/>
      </c>
    </row>
    <row r="11832">
      <c r="G11832" s="16" t="str">
        <f>IFERROR(__xludf.DUMMYFUNCTION("""COMPUTED_VALUE"""),"")</f>
        <v/>
      </c>
    </row>
    <row r="11833">
      <c r="G11833" s="16" t="str">
        <f>IFERROR(__xludf.DUMMYFUNCTION("""COMPUTED_VALUE"""),"")</f>
        <v/>
      </c>
    </row>
    <row r="11834">
      <c r="G11834" s="16" t="str">
        <f>IFERROR(__xludf.DUMMYFUNCTION("""COMPUTED_VALUE"""),"")</f>
        <v/>
      </c>
    </row>
    <row r="11835">
      <c r="G11835" s="16" t="str">
        <f>IFERROR(__xludf.DUMMYFUNCTION("""COMPUTED_VALUE"""),"")</f>
        <v/>
      </c>
    </row>
    <row r="11836">
      <c r="G11836" s="16" t="str">
        <f>IFERROR(__xludf.DUMMYFUNCTION("""COMPUTED_VALUE"""),"")</f>
        <v/>
      </c>
    </row>
    <row r="11837">
      <c r="G11837" s="16" t="str">
        <f>IFERROR(__xludf.DUMMYFUNCTION("""COMPUTED_VALUE"""),"")</f>
        <v/>
      </c>
    </row>
    <row r="11838">
      <c r="G11838" s="16" t="str">
        <f>IFERROR(__xludf.DUMMYFUNCTION("""COMPUTED_VALUE"""),"")</f>
        <v/>
      </c>
    </row>
    <row r="11839">
      <c r="G11839" s="16" t="str">
        <f>IFERROR(__xludf.DUMMYFUNCTION("""COMPUTED_VALUE"""),"")</f>
        <v/>
      </c>
    </row>
    <row r="11840">
      <c r="G11840" s="16" t="str">
        <f>IFERROR(__xludf.DUMMYFUNCTION("""COMPUTED_VALUE"""),"")</f>
        <v/>
      </c>
    </row>
    <row r="11841">
      <c r="G11841" s="16" t="str">
        <f>IFERROR(__xludf.DUMMYFUNCTION("""COMPUTED_VALUE"""),"")</f>
        <v/>
      </c>
    </row>
    <row r="11842">
      <c r="G11842" s="16" t="str">
        <f>IFERROR(__xludf.DUMMYFUNCTION("""COMPUTED_VALUE"""),"")</f>
        <v/>
      </c>
    </row>
    <row r="11843">
      <c r="G11843" s="16" t="str">
        <f>IFERROR(__xludf.DUMMYFUNCTION("""COMPUTED_VALUE"""),"")</f>
        <v/>
      </c>
    </row>
    <row r="11844">
      <c r="G11844" s="16" t="str">
        <f>IFERROR(__xludf.DUMMYFUNCTION("""COMPUTED_VALUE"""),"")</f>
        <v/>
      </c>
    </row>
    <row r="11845">
      <c r="G11845" s="16" t="str">
        <f>IFERROR(__xludf.DUMMYFUNCTION("""COMPUTED_VALUE"""),"")</f>
        <v/>
      </c>
    </row>
    <row r="11846">
      <c r="G11846" s="16" t="str">
        <f>IFERROR(__xludf.DUMMYFUNCTION("""COMPUTED_VALUE"""),"")</f>
        <v/>
      </c>
    </row>
    <row r="11847">
      <c r="G11847" s="16" t="str">
        <f>IFERROR(__xludf.DUMMYFUNCTION("""COMPUTED_VALUE"""),"")</f>
        <v/>
      </c>
    </row>
    <row r="11848">
      <c r="G11848" s="16" t="str">
        <f>IFERROR(__xludf.DUMMYFUNCTION("""COMPUTED_VALUE"""),"")</f>
        <v/>
      </c>
    </row>
    <row r="11849">
      <c r="G11849" s="16" t="str">
        <f>IFERROR(__xludf.DUMMYFUNCTION("""COMPUTED_VALUE"""),"")</f>
        <v/>
      </c>
    </row>
    <row r="11850">
      <c r="G11850" s="16" t="str">
        <f>IFERROR(__xludf.DUMMYFUNCTION("""COMPUTED_VALUE"""),"")</f>
        <v/>
      </c>
    </row>
    <row r="11851">
      <c r="G11851" s="16" t="str">
        <f>IFERROR(__xludf.DUMMYFUNCTION("""COMPUTED_VALUE"""),"")</f>
        <v/>
      </c>
    </row>
    <row r="11852">
      <c r="G11852" s="16" t="str">
        <f>IFERROR(__xludf.DUMMYFUNCTION("""COMPUTED_VALUE"""),"")</f>
        <v/>
      </c>
    </row>
    <row r="11853">
      <c r="G11853" s="16" t="str">
        <f>IFERROR(__xludf.DUMMYFUNCTION("""COMPUTED_VALUE"""),"")</f>
        <v/>
      </c>
    </row>
    <row r="11854">
      <c r="G11854" s="16" t="str">
        <f>IFERROR(__xludf.DUMMYFUNCTION("""COMPUTED_VALUE"""),"")</f>
        <v/>
      </c>
    </row>
    <row r="11855">
      <c r="G11855" s="16" t="str">
        <f>IFERROR(__xludf.DUMMYFUNCTION("""COMPUTED_VALUE"""),"")</f>
        <v/>
      </c>
    </row>
    <row r="11856">
      <c r="G11856" s="16" t="str">
        <f>IFERROR(__xludf.DUMMYFUNCTION("""COMPUTED_VALUE"""),"")</f>
        <v/>
      </c>
    </row>
    <row r="11857">
      <c r="G11857" s="16" t="str">
        <f>IFERROR(__xludf.DUMMYFUNCTION("""COMPUTED_VALUE"""),"")</f>
        <v/>
      </c>
    </row>
    <row r="11858">
      <c r="G11858" s="16" t="str">
        <f>IFERROR(__xludf.DUMMYFUNCTION("""COMPUTED_VALUE"""),"")</f>
        <v/>
      </c>
    </row>
    <row r="11859">
      <c r="G11859" s="16" t="str">
        <f>IFERROR(__xludf.DUMMYFUNCTION("""COMPUTED_VALUE"""),"")</f>
        <v/>
      </c>
    </row>
    <row r="11860">
      <c r="G11860" s="16" t="str">
        <f>IFERROR(__xludf.DUMMYFUNCTION("""COMPUTED_VALUE"""),"")</f>
        <v/>
      </c>
    </row>
    <row r="11861">
      <c r="G11861" s="16" t="str">
        <f>IFERROR(__xludf.DUMMYFUNCTION("""COMPUTED_VALUE"""),"")</f>
        <v/>
      </c>
    </row>
    <row r="11862">
      <c r="G11862" s="16" t="str">
        <f>IFERROR(__xludf.DUMMYFUNCTION("""COMPUTED_VALUE"""),"")</f>
        <v/>
      </c>
    </row>
    <row r="11863">
      <c r="G11863" s="16" t="str">
        <f>IFERROR(__xludf.DUMMYFUNCTION("""COMPUTED_VALUE"""),"")</f>
        <v/>
      </c>
    </row>
    <row r="11864">
      <c r="G11864" s="16" t="str">
        <f>IFERROR(__xludf.DUMMYFUNCTION("""COMPUTED_VALUE"""),"")</f>
        <v/>
      </c>
    </row>
    <row r="11865">
      <c r="G11865" s="16" t="str">
        <f>IFERROR(__xludf.DUMMYFUNCTION("""COMPUTED_VALUE"""),"")</f>
        <v/>
      </c>
    </row>
    <row r="11866">
      <c r="G11866" s="16" t="str">
        <f>IFERROR(__xludf.DUMMYFUNCTION("""COMPUTED_VALUE"""),"")</f>
        <v/>
      </c>
    </row>
    <row r="11867">
      <c r="G11867" s="16" t="str">
        <f>IFERROR(__xludf.DUMMYFUNCTION("""COMPUTED_VALUE"""),"")</f>
        <v/>
      </c>
    </row>
    <row r="11868">
      <c r="G11868" s="16" t="str">
        <f>IFERROR(__xludf.DUMMYFUNCTION("""COMPUTED_VALUE"""),"")</f>
        <v/>
      </c>
    </row>
    <row r="11869">
      <c r="G11869" s="16" t="str">
        <f>IFERROR(__xludf.DUMMYFUNCTION("""COMPUTED_VALUE"""),"")</f>
        <v/>
      </c>
    </row>
    <row r="11870">
      <c r="G11870" s="16" t="str">
        <f>IFERROR(__xludf.DUMMYFUNCTION("""COMPUTED_VALUE"""),"")</f>
        <v/>
      </c>
    </row>
    <row r="11871">
      <c r="G11871" s="16" t="str">
        <f>IFERROR(__xludf.DUMMYFUNCTION("""COMPUTED_VALUE"""),"")</f>
        <v/>
      </c>
    </row>
    <row r="11872">
      <c r="G11872" s="16" t="str">
        <f>IFERROR(__xludf.DUMMYFUNCTION("""COMPUTED_VALUE"""),"")</f>
        <v/>
      </c>
    </row>
    <row r="11873">
      <c r="G11873" s="16" t="str">
        <f>IFERROR(__xludf.DUMMYFUNCTION("""COMPUTED_VALUE"""),"")</f>
        <v/>
      </c>
    </row>
    <row r="11874">
      <c r="G11874" s="16" t="str">
        <f>IFERROR(__xludf.DUMMYFUNCTION("""COMPUTED_VALUE"""),"")</f>
        <v/>
      </c>
    </row>
    <row r="11875">
      <c r="G11875" s="16" t="str">
        <f>IFERROR(__xludf.DUMMYFUNCTION("""COMPUTED_VALUE"""),"")</f>
        <v/>
      </c>
    </row>
    <row r="11876">
      <c r="G11876" s="16" t="str">
        <f>IFERROR(__xludf.DUMMYFUNCTION("""COMPUTED_VALUE"""),"")</f>
        <v/>
      </c>
    </row>
    <row r="11877">
      <c r="G11877" s="16" t="str">
        <f>IFERROR(__xludf.DUMMYFUNCTION("""COMPUTED_VALUE"""),"")</f>
        <v/>
      </c>
    </row>
    <row r="11878">
      <c r="G11878" s="16" t="str">
        <f>IFERROR(__xludf.DUMMYFUNCTION("""COMPUTED_VALUE"""),"")</f>
        <v/>
      </c>
    </row>
    <row r="11879">
      <c r="G11879" s="16" t="str">
        <f>IFERROR(__xludf.DUMMYFUNCTION("""COMPUTED_VALUE"""),"")</f>
        <v/>
      </c>
    </row>
    <row r="11880">
      <c r="G11880" s="16" t="str">
        <f>IFERROR(__xludf.DUMMYFUNCTION("""COMPUTED_VALUE"""),"")</f>
        <v/>
      </c>
    </row>
    <row r="11881">
      <c r="G11881" s="16" t="str">
        <f>IFERROR(__xludf.DUMMYFUNCTION("""COMPUTED_VALUE"""),"")</f>
        <v/>
      </c>
    </row>
    <row r="11882">
      <c r="G11882" s="16" t="str">
        <f>IFERROR(__xludf.DUMMYFUNCTION("""COMPUTED_VALUE"""),"")</f>
        <v/>
      </c>
    </row>
    <row r="11883">
      <c r="G11883" s="16" t="str">
        <f>IFERROR(__xludf.DUMMYFUNCTION("""COMPUTED_VALUE"""),"")</f>
        <v/>
      </c>
    </row>
    <row r="11884">
      <c r="G11884" s="16" t="str">
        <f>IFERROR(__xludf.DUMMYFUNCTION("""COMPUTED_VALUE"""),"")</f>
        <v/>
      </c>
    </row>
    <row r="11885">
      <c r="G11885" s="16" t="str">
        <f>IFERROR(__xludf.DUMMYFUNCTION("""COMPUTED_VALUE"""),"")</f>
        <v/>
      </c>
    </row>
    <row r="11886">
      <c r="G11886" s="16" t="str">
        <f>IFERROR(__xludf.DUMMYFUNCTION("""COMPUTED_VALUE"""),"")</f>
        <v/>
      </c>
    </row>
    <row r="11887">
      <c r="G11887" s="16" t="str">
        <f>IFERROR(__xludf.DUMMYFUNCTION("""COMPUTED_VALUE"""),"")</f>
        <v/>
      </c>
    </row>
    <row r="11888">
      <c r="G11888" s="16" t="str">
        <f>IFERROR(__xludf.DUMMYFUNCTION("""COMPUTED_VALUE"""),"")</f>
        <v/>
      </c>
    </row>
    <row r="11889">
      <c r="G11889" s="16" t="str">
        <f>IFERROR(__xludf.DUMMYFUNCTION("""COMPUTED_VALUE"""),"")</f>
        <v/>
      </c>
    </row>
    <row r="11890">
      <c r="G11890" s="16" t="str">
        <f>IFERROR(__xludf.DUMMYFUNCTION("""COMPUTED_VALUE"""),"")</f>
        <v/>
      </c>
    </row>
    <row r="11891">
      <c r="G11891" s="16" t="str">
        <f>IFERROR(__xludf.DUMMYFUNCTION("""COMPUTED_VALUE"""),"")</f>
        <v/>
      </c>
    </row>
    <row r="11892">
      <c r="G11892" s="16" t="str">
        <f>IFERROR(__xludf.DUMMYFUNCTION("""COMPUTED_VALUE"""),"")</f>
        <v/>
      </c>
    </row>
    <row r="11893">
      <c r="G11893" s="16" t="str">
        <f>IFERROR(__xludf.DUMMYFUNCTION("""COMPUTED_VALUE"""),"")</f>
        <v/>
      </c>
    </row>
    <row r="11894">
      <c r="G11894" s="16" t="str">
        <f>IFERROR(__xludf.DUMMYFUNCTION("""COMPUTED_VALUE"""),"")</f>
        <v/>
      </c>
    </row>
    <row r="11895">
      <c r="G11895" s="16" t="str">
        <f>IFERROR(__xludf.DUMMYFUNCTION("""COMPUTED_VALUE"""),"")</f>
        <v/>
      </c>
    </row>
    <row r="11896">
      <c r="G11896" s="16" t="str">
        <f>IFERROR(__xludf.DUMMYFUNCTION("""COMPUTED_VALUE"""),"")</f>
        <v/>
      </c>
    </row>
    <row r="11897">
      <c r="G11897" s="16" t="str">
        <f>IFERROR(__xludf.DUMMYFUNCTION("""COMPUTED_VALUE"""),"")</f>
        <v/>
      </c>
    </row>
    <row r="11898">
      <c r="G11898" s="16" t="str">
        <f>IFERROR(__xludf.DUMMYFUNCTION("""COMPUTED_VALUE"""),"")</f>
        <v/>
      </c>
    </row>
    <row r="11899">
      <c r="G11899" s="16" t="str">
        <f>IFERROR(__xludf.DUMMYFUNCTION("""COMPUTED_VALUE"""),"")</f>
        <v/>
      </c>
    </row>
    <row r="11900">
      <c r="G11900" s="16" t="str">
        <f>IFERROR(__xludf.DUMMYFUNCTION("""COMPUTED_VALUE"""),"")</f>
        <v/>
      </c>
    </row>
    <row r="11901">
      <c r="G11901" s="16" t="str">
        <f>IFERROR(__xludf.DUMMYFUNCTION("""COMPUTED_VALUE"""),"")</f>
        <v/>
      </c>
    </row>
    <row r="11902">
      <c r="G11902" s="16" t="str">
        <f>IFERROR(__xludf.DUMMYFUNCTION("""COMPUTED_VALUE"""),"")</f>
        <v/>
      </c>
    </row>
    <row r="11903">
      <c r="G11903" s="16" t="str">
        <f>IFERROR(__xludf.DUMMYFUNCTION("""COMPUTED_VALUE"""),"")</f>
        <v/>
      </c>
    </row>
    <row r="11904">
      <c r="G11904" s="16" t="str">
        <f>IFERROR(__xludf.DUMMYFUNCTION("""COMPUTED_VALUE"""),"")</f>
        <v/>
      </c>
    </row>
    <row r="11905">
      <c r="G11905" s="16" t="str">
        <f>IFERROR(__xludf.DUMMYFUNCTION("""COMPUTED_VALUE"""),"")</f>
        <v/>
      </c>
    </row>
    <row r="11906">
      <c r="G11906" s="16" t="str">
        <f>IFERROR(__xludf.DUMMYFUNCTION("""COMPUTED_VALUE"""),"")</f>
        <v/>
      </c>
    </row>
    <row r="11907">
      <c r="G11907" s="16" t="str">
        <f>IFERROR(__xludf.DUMMYFUNCTION("""COMPUTED_VALUE"""),"")</f>
        <v/>
      </c>
    </row>
    <row r="11908">
      <c r="G11908" s="16" t="str">
        <f>IFERROR(__xludf.DUMMYFUNCTION("""COMPUTED_VALUE"""),"")</f>
        <v/>
      </c>
    </row>
    <row r="11909">
      <c r="G11909" s="16" t="str">
        <f>IFERROR(__xludf.DUMMYFUNCTION("""COMPUTED_VALUE"""),"")</f>
        <v/>
      </c>
    </row>
    <row r="11910">
      <c r="G11910" s="16" t="str">
        <f>IFERROR(__xludf.DUMMYFUNCTION("""COMPUTED_VALUE"""),"")</f>
        <v/>
      </c>
    </row>
    <row r="11911">
      <c r="G11911" s="16" t="str">
        <f>IFERROR(__xludf.DUMMYFUNCTION("""COMPUTED_VALUE"""),"")</f>
        <v/>
      </c>
    </row>
    <row r="11912">
      <c r="G11912" s="16" t="str">
        <f>IFERROR(__xludf.DUMMYFUNCTION("""COMPUTED_VALUE"""),"")</f>
        <v/>
      </c>
    </row>
    <row r="11913">
      <c r="G11913" s="16" t="str">
        <f>IFERROR(__xludf.DUMMYFUNCTION("""COMPUTED_VALUE"""),"")</f>
        <v/>
      </c>
    </row>
    <row r="11914">
      <c r="G11914" s="16" t="str">
        <f>IFERROR(__xludf.DUMMYFUNCTION("""COMPUTED_VALUE"""),"")</f>
        <v/>
      </c>
    </row>
    <row r="11915">
      <c r="G11915" s="16" t="str">
        <f>IFERROR(__xludf.DUMMYFUNCTION("""COMPUTED_VALUE"""),"")</f>
        <v/>
      </c>
    </row>
    <row r="11916">
      <c r="G11916" s="16" t="str">
        <f>IFERROR(__xludf.DUMMYFUNCTION("""COMPUTED_VALUE"""),"")</f>
        <v/>
      </c>
    </row>
    <row r="11917">
      <c r="G11917" s="16" t="str">
        <f>IFERROR(__xludf.DUMMYFUNCTION("""COMPUTED_VALUE"""),"")</f>
        <v/>
      </c>
    </row>
    <row r="11918">
      <c r="G11918" s="16" t="str">
        <f>IFERROR(__xludf.DUMMYFUNCTION("""COMPUTED_VALUE"""),"")</f>
        <v/>
      </c>
    </row>
    <row r="11919">
      <c r="G11919" s="16" t="str">
        <f>IFERROR(__xludf.DUMMYFUNCTION("""COMPUTED_VALUE"""),"")</f>
        <v/>
      </c>
    </row>
    <row r="11920">
      <c r="G11920" s="16" t="str">
        <f>IFERROR(__xludf.DUMMYFUNCTION("""COMPUTED_VALUE"""),"")</f>
        <v/>
      </c>
    </row>
    <row r="11921">
      <c r="G11921" s="16" t="str">
        <f>IFERROR(__xludf.DUMMYFUNCTION("""COMPUTED_VALUE"""),"")</f>
        <v/>
      </c>
    </row>
    <row r="11922">
      <c r="G11922" s="16" t="str">
        <f>IFERROR(__xludf.DUMMYFUNCTION("""COMPUTED_VALUE"""),"")</f>
        <v/>
      </c>
    </row>
    <row r="11923">
      <c r="G11923" s="16" t="str">
        <f>IFERROR(__xludf.DUMMYFUNCTION("""COMPUTED_VALUE"""),"")</f>
        <v/>
      </c>
    </row>
    <row r="11924">
      <c r="G11924" s="16" t="str">
        <f>IFERROR(__xludf.DUMMYFUNCTION("""COMPUTED_VALUE"""),"")</f>
        <v/>
      </c>
    </row>
    <row r="11925">
      <c r="G11925" s="16" t="str">
        <f>IFERROR(__xludf.DUMMYFUNCTION("""COMPUTED_VALUE"""),"")</f>
        <v/>
      </c>
    </row>
    <row r="11926">
      <c r="G11926" s="16" t="str">
        <f>IFERROR(__xludf.DUMMYFUNCTION("""COMPUTED_VALUE"""),"")</f>
        <v/>
      </c>
    </row>
    <row r="11927">
      <c r="G11927" s="16" t="str">
        <f>IFERROR(__xludf.DUMMYFUNCTION("""COMPUTED_VALUE"""),"")</f>
        <v/>
      </c>
    </row>
    <row r="11928">
      <c r="G11928" s="16" t="str">
        <f>IFERROR(__xludf.DUMMYFUNCTION("""COMPUTED_VALUE"""),"")</f>
        <v/>
      </c>
    </row>
    <row r="11929">
      <c r="G11929" s="16" t="str">
        <f>IFERROR(__xludf.DUMMYFUNCTION("""COMPUTED_VALUE"""),"")</f>
        <v/>
      </c>
    </row>
    <row r="11930">
      <c r="G11930" s="16" t="str">
        <f>IFERROR(__xludf.DUMMYFUNCTION("""COMPUTED_VALUE"""),"")</f>
        <v/>
      </c>
    </row>
    <row r="11931">
      <c r="G11931" s="16" t="str">
        <f>IFERROR(__xludf.DUMMYFUNCTION("""COMPUTED_VALUE"""),"")</f>
        <v/>
      </c>
    </row>
    <row r="11932">
      <c r="G11932" s="16" t="str">
        <f>IFERROR(__xludf.DUMMYFUNCTION("""COMPUTED_VALUE"""),"")</f>
        <v/>
      </c>
    </row>
    <row r="11933">
      <c r="G11933" s="16" t="str">
        <f>IFERROR(__xludf.DUMMYFUNCTION("""COMPUTED_VALUE"""),"")</f>
        <v/>
      </c>
    </row>
    <row r="11934">
      <c r="G11934" s="16" t="str">
        <f>IFERROR(__xludf.DUMMYFUNCTION("""COMPUTED_VALUE"""),"")</f>
        <v/>
      </c>
    </row>
    <row r="11935">
      <c r="G11935" s="16" t="str">
        <f>IFERROR(__xludf.DUMMYFUNCTION("""COMPUTED_VALUE"""),"")</f>
        <v/>
      </c>
    </row>
    <row r="11936">
      <c r="G11936" s="16" t="str">
        <f>IFERROR(__xludf.DUMMYFUNCTION("""COMPUTED_VALUE"""),"")</f>
        <v/>
      </c>
    </row>
    <row r="11937">
      <c r="G11937" s="16" t="str">
        <f>IFERROR(__xludf.DUMMYFUNCTION("""COMPUTED_VALUE"""),"")</f>
        <v/>
      </c>
    </row>
    <row r="11938">
      <c r="G11938" s="16" t="str">
        <f>IFERROR(__xludf.DUMMYFUNCTION("""COMPUTED_VALUE"""),"")</f>
        <v/>
      </c>
    </row>
    <row r="11939">
      <c r="G11939" s="16" t="str">
        <f>IFERROR(__xludf.DUMMYFUNCTION("""COMPUTED_VALUE"""),"")</f>
        <v/>
      </c>
    </row>
    <row r="11940">
      <c r="G11940" s="16" t="str">
        <f>IFERROR(__xludf.DUMMYFUNCTION("""COMPUTED_VALUE"""),"")</f>
        <v/>
      </c>
    </row>
    <row r="11941">
      <c r="G11941" s="16" t="str">
        <f>IFERROR(__xludf.DUMMYFUNCTION("""COMPUTED_VALUE"""),"")</f>
        <v/>
      </c>
    </row>
    <row r="11942">
      <c r="G11942" s="16" t="str">
        <f>IFERROR(__xludf.DUMMYFUNCTION("""COMPUTED_VALUE"""),"")</f>
        <v/>
      </c>
    </row>
    <row r="11943">
      <c r="G11943" s="16" t="str">
        <f>IFERROR(__xludf.DUMMYFUNCTION("""COMPUTED_VALUE"""),"")</f>
        <v/>
      </c>
    </row>
    <row r="11944">
      <c r="G11944" s="16" t="str">
        <f>IFERROR(__xludf.DUMMYFUNCTION("""COMPUTED_VALUE"""),"")</f>
        <v/>
      </c>
    </row>
    <row r="11945">
      <c r="G11945" s="16" t="str">
        <f>IFERROR(__xludf.DUMMYFUNCTION("""COMPUTED_VALUE"""),"")</f>
        <v/>
      </c>
    </row>
    <row r="11946">
      <c r="G11946" s="16" t="str">
        <f>IFERROR(__xludf.DUMMYFUNCTION("""COMPUTED_VALUE"""),"")</f>
        <v/>
      </c>
    </row>
    <row r="11947">
      <c r="G11947" s="16" t="str">
        <f>IFERROR(__xludf.DUMMYFUNCTION("""COMPUTED_VALUE"""),"")</f>
        <v/>
      </c>
    </row>
    <row r="11948">
      <c r="G11948" s="16" t="str">
        <f>IFERROR(__xludf.DUMMYFUNCTION("""COMPUTED_VALUE"""),"")</f>
        <v/>
      </c>
    </row>
    <row r="11949">
      <c r="G11949" s="16" t="str">
        <f>IFERROR(__xludf.DUMMYFUNCTION("""COMPUTED_VALUE"""),"")</f>
        <v/>
      </c>
    </row>
    <row r="11950">
      <c r="G11950" s="16" t="str">
        <f>IFERROR(__xludf.DUMMYFUNCTION("""COMPUTED_VALUE"""),"")</f>
        <v/>
      </c>
    </row>
    <row r="11951">
      <c r="G11951" s="16" t="str">
        <f>IFERROR(__xludf.DUMMYFUNCTION("""COMPUTED_VALUE"""),"")</f>
        <v/>
      </c>
    </row>
    <row r="11952">
      <c r="G11952" s="16" t="str">
        <f>IFERROR(__xludf.DUMMYFUNCTION("""COMPUTED_VALUE"""),"")</f>
        <v/>
      </c>
    </row>
    <row r="11953">
      <c r="G11953" s="16" t="str">
        <f>IFERROR(__xludf.DUMMYFUNCTION("""COMPUTED_VALUE"""),"")</f>
        <v/>
      </c>
    </row>
    <row r="11954">
      <c r="G11954" s="16" t="str">
        <f>IFERROR(__xludf.DUMMYFUNCTION("""COMPUTED_VALUE"""),"")</f>
        <v/>
      </c>
    </row>
    <row r="11955">
      <c r="G11955" s="16" t="str">
        <f>IFERROR(__xludf.DUMMYFUNCTION("""COMPUTED_VALUE"""),"")</f>
        <v/>
      </c>
    </row>
    <row r="11956">
      <c r="G11956" s="16" t="str">
        <f>IFERROR(__xludf.DUMMYFUNCTION("""COMPUTED_VALUE"""),"")</f>
        <v/>
      </c>
    </row>
    <row r="11957">
      <c r="G11957" s="16" t="str">
        <f>IFERROR(__xludf.DUMMYFUNCTION("""COMPUTED_VALUE"""),"")</f>
        <v/>
      </c>
    </row>
    <row r="11958">
      <c r="G11958" s="16" t="str">
        <f>IFERROR(__xludf.DUMMYFUNCTION("""COMPUTED_VALUE"""),"")</f>
        <v/>
      </c>
    </row>
    <row r="11959">
      <c r="G11959" s="16" t="str">
        <f>IFERROR(__xludf.DUMMYFUNCTION("""COMPUTED_VALUE"""),"")</f>
        <v/>
      </c>
    </row>
    <row r="11960">
      <c r="G11960" s="16" t="str">
        <f>IFERROR(__xludf.DUMMYFUNCTION("""COMPUTED_VALUE"""),"")</f>
        <v/>
      </c>
    </row>
    <row r="11961">
      <c r="G11961" s="16" t="str">
        <f>IFERROR(__xludf.DUMMYFUNCTION("""COMPUTED_VALUE"""),"")</f>
        <v/>
      </c>
    </row>
    <row r="11962">
      <c r="G11962" s="16" t="str">
        <f>IFERROR(__xludf.DUMMYFUNCTION("""COMPUTED_VALUE"""),"")</f>
        <v/>
      </c>
    </row>
    <row r="11963">
      <c r="G11963" s="16" t="str">
        <f>IFERROR(__xludf.DUMMYFUNCTION("""COMPUTED_VALUE"""),"")</f>
        <v/>
      </c>
    </row>
    <row r="11964">
      <c r="G11964" s="16" t="str">
        <f>IFERROR(__xludf.DUMMYFUNCTION("""COMPUTED_VALUE"""),"")</f>
        <v/>
      </c>
    </row>
    <row r="11965">
      <c r="G11965" s="16" t="str">
        <f>IFERROR(__xludf.DUMMYFUNCTION("""COMPUTED_VALUE"""),"")</f>
        <v/>
      </c>
    </row>
    <row r="11966">
      <c r="G11966" s="16" t="str">
        <f>IFERROR(__xludf.DUMMYFUNCTION("""COMPUTED_VALUE"""),"")</f>
        <v/>
      </c>
    </row>
    <row r="11967">
      <c r="G11967" s="16" t="str">
        <f>IFERROR(__xludf.DUMMYFUNCTION("""COMPUTED_VALUE"""),"")</f>
        <v/>
      </c>
    </row>
    <row r="11968">
      <c r="G11968" s="16" t="str">
        <f>IFERROR(__xludf.DUMMYFUNCTION("""COMPUTED_VALUE"""),"")</f>
        <v/>
      </c>
    </row>
    <row r="11969">
      <c r="G11969" s="16" t="str">
        <f>IFERROR(__xludf.DUMMYFUNCTION("""COMPUTED_VALUE"""),"")</f>
        <v/>
      </c>
    </row>
    <row r="11970">
      <c r="G11970" s="16" t="str">
        <f>IFERROR(__xludf.DUMMYFUNCTION("""COMPUTED_VALUE"""),"")</f>
        <v/>
      </c>
    </row>
    <row r="11971">
      <c r="G11971" s="16" t="str">
        <f>IFERROR(__xludf.DUMMYFUNCTION("""COMPUTED_VALUE"""),"")</f>
        <v/>
      </c>
    </row>
    <row r="11972">
      <c r="G11972" s="16" t="str">
        <f>IFERROR(__xludf.DUMMYFUNCTION("""COMPUTED_VALUE"""),"")</f>
        <v/>
      </c>
    </row>
    <row r="11973">
      <c r="G11973" s="16" t="str">
        <f>IFERROR(__xludf.DUMMYFUNCTION("""COMPUTED_VALUE"""),"")</f>
        <v/>
      </c>
    </row>
    <row r="11974">
      <c r="G11974" s="16" t="str">
        <f>IFERROR(__xludf.DUMMYFUNCTION("""COMPUTED_VALUE"""),"")</f>
        <v/>
      </c>
    </row>
    <row r="11975">
      <c r="G11975" s="16" t="str">
        <f>IFERROR(__xludf.DUMMYFUNCTION("""COMPUTED_VALUE"""),"")</f>
        <v/>
      </c>
    </row>
    <row r="11976">
      <c r="G11976" s="16" t="str">
        <f>IFERROR(__xludf.DUMMYFUNCTION("""COMPUTED_VALUE"""),"")</f>
        <v/>
      </c>
    </row>
    <row r="11977">
      <c r="G11977" s="16" t="str">
        <f>IFERROR(__xludf.DUMMYFUNCTION("""COMPUTED_VALUE"""),"")</f>
        <v/>
      </c>
    </row>
    <row r="11978">
      <c r="G11978" s="16" t="str">
        <f>IFERROR(__xludf.DUMMYFUNCTION("""COMPUTED_VALUE"""),"")</f>
        <v/>
      </c>
    </row>
    <row r="11979">
      <c r="G11979" s="16" t="str">
        <f>IFERROR(__xludf.DUMMYFUNCTION("""COMPUTED_VALUE"""),"")</f>
        <v/>
      </c>
    </row>
    <row r="11980">
      <c r="G11980" s="16" t="str">
        <f>IFERROR(__xludf.DUMMYFUNCTION("""COMPUTED_VALUE"""),"")</f>
        <v/>
      </c>
    </row>
    <row r="11981">
      <c r="G11981" s="16" t="str">
        <f>IFERROR(__xludf.DUMMYFUNCTION("""COMPUTED_VALUE"""),"")</f>
        <v/>
      </c>
    </row>
    <row r="11982">
      <c r="G11982" s="16" t="str">
        <f>IFERROR(__xludf.DUMMYFUNCTION("""COMPUTED_VALUE"""),"")</f>
        <v/>
      </c>
    </row>
    <row r="11983">
      <c r="G11983" s="16" t="str">
        <f>IFERROR(__xludf.DUMMYFUNCTION("""COMPUTED_VALUE"""),"")</f>
        <v/>
      </c>
    </row>
    <row r="11984">
      <c r="G11984" s="16" t="str">
        <f>IFERROR(__xludf.DUMMYFUNCTION("""COMPUTED_VALUE"""),"")</f>
        <v/>
      </c>
    </row>
    <row r="11985">
      <c r="G11985" s="16" t="str">
        <f>IFERROR(__xludf.DUMMYFUNCTION("""COMPUTED_VALUE"""),"")</f>
        <v/>
      </c>
    </row>
    <row r="11986">
      <c r="G11986" s="16" t="str">
        <f>IFERROR(__xludf.DUMMYFUNCTION("""COMPUTED_VALUE"""),"")</f>
        <v/>
      </c>
    </row>
    <row r="11987">
      <c r="G11987" s="16" t="str">
        <f>IFERROR(__xludf.DUMMYFUNCTION("""COMPUTED_VALUE"""),"")</f>
        <v/>
      </c>
    </row>
    <row r="11988">
      <c r="G11988" s="16" t="str">
        <f>IFERROR(__xludf.DUMMYFUNCTION("""COMPUTED_VALUE"""),"")</f>
        <v/>
      </c>
    </row>
    <row r="11989">
      <c r="G11989" s="16" t="str">
        <f>IFERROR(__xludf.DUMMYFUNCTION("""COMPUTED_VALUE"""),"")</f>
        <v/>
      </c>
    </row>
    <row r="11990">
      <c r="G11990" s="16" t="str">
        <f>IFERROR(__xludf.DUMMYFUNCTION("""COMPUTED_VALUE"""),"")</f>
        <v/>
      </c>
    </row>
    <row r="11991">
      <c r="G11991" s="16" t="str">
        <f>IFERROR(__xludf.DUMMYFUNCTION("""COMPUTED_VALUE"""),"")</f>
        <v/>
      </c>
    </row>
    <row r="11992">
      <c r="G11992" s="16" t="str">
        <f>IFERROR(__xludf.DUMMYFUNCTION("""COMPUTED_VALUE"""),"")</f>
        <v/>
      </c>
    </row>
    <row r="11993">
      <c r="G11993" s="16" t="str">
        <f>IFERROR(__xludf.DUMMYFUNCTION("""COMPUTED_VALUE"""),"")</f>
        <v/>
      </c>
    </row>
    <row r="11994">
      <c r="G11994" s="16" t="str">
        <f>IFERROR(__xludf.DUMMYFUNCTION("""COMPUTED_VALUE"""),"")</f>
        <v/>
      </c>
    </row>
    <row r="11995">
      <c r="G11995" s="16" t="str">
        <f>IFERROR(__xludf.DUMMYFUNCTION("""COMPUTED_VALUE"""),"")</f>
        <v/>
      </c>
    </row>
    <row r="11996">
      <c r="G11996" s="16" t="str">
        <f>IFERROR(__xludf.DUMMYFUNCTION("""COMPUTED_VALUE"""),"")</f>
        <v/>
      </c>
    </row>
    <row r="11997">
      <c r="G11997" s="16" t="str">
        <f>IFERROR(__xludf.DUMMYFUNCTION("""COMPUTED_VALUE"""),"")</f>
        <v/>
      </c>
    </row>
    <row r="11998">
      <c r="G11998" s="16" t="str">
        <f>IFERROR(__xludf.DUMMYFUNCTION("""COMPUTED_VALUE"""),"")</f>
        <v/>
      </c>
    </row>
    <row r="11999">
      <c r="G11999" s="16" t="str">
        <f>IFERROR(__xludf.DUMMYFUNCTION("""COMPUTED_VALUE"""),"")</f>
        <v/>
      </c>
    </row>
    <row r="12000">
      <c r="G12000" s="16" t="str">
        <f>IFERROR(__xludf.DUMMYFUNCTION("""COMPUTED_VALUE"""),"")</f>
        <v/>
      </c>
    </row>
    <row r="12001">
      <c r="G12001" s="16" t="str">
        <f>IFERROR(__xludf.DUMMYFUNCTION("""COMPUTED_VALUE"""),"")</f>
        <v/>
      </c>
    </row>
    <row r="12002">
      <c r="G12002" s="16" t="str">
        <f>IFERROR(__xludf.DUMMYFUNCTION("""COMPUTED_VALUE"""),"")</f>
        <v/>
      </c>
    </row>
    <row r="12003">
      <c r="G12003" s="16" t="str">
        <f>IFERROR(__xludf.DUMMYFUNCTION("""COMPUTED_VALUE"""),"")</f>
        <v/>
      </c>
    </row>
    <row r="12004">
      <c r="G12004" s="16" t="str">
        <f>IFERROR(__xludf.DUMMYFUNCTION("""COMPUTED_VALUE"""),"")</f>
        <v/>
      </c>
    </row>
    <row r="12005">
      <c r="G12005" s="16" t="str">
        <f>IFERROR(__xludf.DUMMYFUNCTION("""COMPUTED_VALUE"""),"")</f>
        <v/>
      </c>
    </row>
    <row r="12006">
      <c r="G12006" s="16" t="str">
        <f>IFERROR(__xludf.DUMMYFUNCTION("""COMPUTED_VALUE"""),"")</f>
        <v/>
      </c>
    </row>
    <row r="12007">
      <c r="G12007" s="16" t="str">
        <f>IFERROR(__xludf.DUMMYFUNCTION("""COMPUTED_VALUE"""),"")</f>
        <v/>
      </c>
    </row>
    <row r="12008">
      <c r="G12008" s="16" t="str">
        <f>IFERROR(__xludf.DUMMYFUNCTION("""COMPUTED_VALUE"""),"")</f>
        <v/>
      </c>
    </row>
    <row r="12009">
      <c r="G12009" s="16" t="str">
        <f>IFERROR(__xludf.DUMMYFUNCTION("""COMPUTED_VALUE"""),"")</f>
        <v/>
      </c>
    </row>
    <row r="12010">
      <c r="G12010" s="16" t="str">
        <f>IFERROR(__xludf.DUMMYFUNCTION("""COMPUTED_VALUE"""),"")</f>
        <v/>
      </c>
    </row>
    <row r="12011">
      <c r="G12011" s="16" t="str">
        <f>IFERROR(__xludf.DUMMYFUNCTION("""COMPUTED_VALUE"""),"")</f>
        <v/>
      </c>
    </row>
    <row r="12012">
      <c r="G12012" s="16" t="str">
        <f>IFERROR(__xludf.DUMMYFUNCTION("""COMPUTED_VALUE"""),"")</f>
        <v/>
      </c>
    </row>
    <row r="12013">
      <c r="G12013" s="16" t="str">
        <f>IFERROR(__xludf.DUMMYFUNCTION("""COMPUTED_VALUE"""),"")</f>
        <v/>
      </c>
    </row>
    <row r="12014">
      <c r="G12014" s="16" t="str">
        <f>IFERROR(__xludf.DUMMYFUNCTION("""COMPUTED_VALUE"""),"")</f>
        <v/>
      </c>
    </row>
    <row r="12015">
      <c r="G12015" s="16" t="str">
        <f>IFERROR(__xludf.DUMMYFUNCTION("""COMPUTED_VALUE"""),"")</f>
        <v/>
      </c>
    </row>
    <row r="12016">
      <c r="G12016" s="16" t="str">
        <f>IFERROR(__xludf.DUMMYFUNCTION("""COMPUTED_VALUE"""),"")</f>
        <v/>
      </c>
    </row>
    <row r="12017">
      <c r="G12017" s="16" t="str">
        <f>IFERROR(__xludf.DUMMYFUNCTION("""COMPUTED_VALUE"""),"")</f>
        <v/>
      </c>
    </row>
    <row r="12018">
      <c r="G12018" s="16" t="str">
        <f>IFERROR(__xludf.DUMMYFUNCTION("""COMPUTED_VALUE"""),"")</f>
        <v/>
      </c>
    </row>
    <row r="12019">
      <c r="G12019" s="16" t="str">
        <f>IFERROR(__xludf.DUMMYFUNCTION("""COMPUTED_VALUE"""),"")</f>
        <v/>
      </c>
    </row>
    <row r="12020">
      <c r="G12020" s="16" t="str">
        <f>IFERROR(__xludf.DUMMYFUNCTION("""COMPUTED_VALUE"""),"")</f>
        <v/>
      </c>
    </row>
    <row r="12021">
      <c r="G12021" s="16" t="str">
        <f>IFERROR(__xludf.DUMMYFUNCTION("""COMPUTED_VALUE"""),"")</f>
        <v/>
      </c>
    </row>
    <row r="12022">
      <c r="G12022" s="16" t="str">
        <f>IFERROR(__xludf.DUMMYFUNCTION("""COMPUTED_VALUE"""),"")</f>
        <v/>
      </c>
    </row>
    <row r="12023">
      <c r="G12023" s="16" t="str">
        <f>IFERROR(__xludf.DUMMYFUNCTION("""COMPUTED_VALUE"""),"")</f>
        <v/>
      </c>
    </row>
    <row r="12024">
      <c r="G12024" s="16" t="str">
        <f>IFERROR(__xludf.DUMMYFUNCTION("""COMPUTED_VALUE"""),"")</f>
        <v/>
      </c>
    </row>
    <row r="12025">
      <c r="G12025" s="16" t="str">
        <f>IFERROR(__xludf.DUMMYFUNCTION("""COMPUTED_VALUE"""),"")</f>
        <v/>
      </c>
    </row>
    <row r="12026">
      <c r="G12026" s="16" t="str">
        <f>IFERROR(__xludf.DUMMYFUNCTION("""COMPUTED_VALUE"""),"")</f>
        <v/>
      </c>
    </row>
    <row r="12027">
      <c r="G12027" s="16" t="str">
        <f>IFERROR(__xludf.DUMMYFUNCTION("""COMPUTED_VALUE"""),"")</f>
        <v/>
      </c>
    </row>
    <row r="12028">
      <c r="G12028" s="16" t="str">
        <f>IFERROR(__xludf.DUMMYFUNCTION("""COMPUTED_VALUE"""),"")</f>
        <v/>
      </c>
    </row>
    <row r="12029">
      <c r="G12029" s="16" t="str">
        <f>IFERROR(__xludf.DUMMYFUNCTION("""COMPUTED_VALUE"""),"")</f>
        <v/>
      </c>
    </row>
    <row r="12030">
      <c r="G12030" s="16" t="str">
        <f>IFERROR(__xludf.DUMMYFUNCTION("""COMPUTED_VALUE"""),"")</f>
        <v/>
      </c>
    </row>
    <row r="12031">
      <c r="G12031" s="16" t="str">
        <f>IFERROR(__xludf.DUMMYFUNCTION("""COMPUTED_VALUE"""),"")</f>
        <v/>
      </c>
    </row>
    <row r="12032">
      <c r="G12032" s="16" t="str">
        <f>IFERROR(__xludf.DUMMYFUNCTION("""COMPUTED_VALUE"""),"")</f>
        <v/>
      </c>
    </row>
    <row r="12033">
      <c r="G12033" s="16" t="str">
        <f>IFERROR(__xludf.DUMMYFUNCTION("""COMPUTED_VALUE"""),"")</f>
        <v/>
      </c>
    </row>
    <row r="12034">
      <c r="G12034" s="16" t="str">
        <f>IFERROR(__xludf.DUMMYFUNCTION("""COMPUTED_VALUE"""),"")</f>
        <v/>
      </c>
    </row>
    <row r="12035">
      <c r="G12035" s="16" t="str">
        <f>IFERROR(__xludf.DUMMYFUNCTION("""COMPUTED_VALUE"""),"")</f>
        <v/>
      </c>
    </row>
    <row r="12036">
      <c r="G12036" s="16" t="str">
        <f>IFERROR(__xludf.DUMMYFUNCTION("""COMPUTED_VALUE"""),"")</f>
        <v/>
      </c>
    </row>
    <row r="12037">
      <c r="G12037" s="16" t="str">
        <f>IFERROR(__xludf.DUMMYFUNCTION("""COMPUTED_VALUE"""),"")</f>
        <v/>
      </c>
    </row>
    <row r="12038">
      <c r="G12038" s="16" t="str">
        <f>IFERROR(__xludf.DUMMYFUNCTION("""COMPUTED_VALUE"""),"")</f>
        <v/>
      </c>
    </row>
    <row r="12039">
      <c r="G12039" s="16" t="str">
        <f>IFERROR(__xludf.DUMMYFUNCTION("""COMPUTED_VALUE"""),"")</f>
        <v/>
      </c>
    </row>
    <row r="12040">
      <c r="G12040" s="16" t="str">
        <f>IFERROR(__xludf.DUMMYFUNCTION("""COMPUTED_VALUE"""),"")</f>
        <v/>
      </c>
    </row>
    <row r="12041">
      <c r="G12041" s="16" t="str">
        <f>IFERROR(__xludf.DUMMYFUNCTION("""COMPUTED_VALUE"""),"")</f>
        <v/>
      </c>
    </row>
    <row r="12042">
      <c r="G12042" s="16" t="str">
        <f>IFERROR(__xludf.DUMMYFUNCTION("""COMPUTED_VALUE"""),"")</f>
        <v/>
      </c>
    </row>
    <row r="12043">
      <c r="G12043" s="16" t="str">
        <f>IFERROR(__xludf.DUMMYFUNCTION("""COMPUTED_VALUE"""),"")</f>
        <v/>
      </c>
    </row>
    <row r="12044">
      <c r="G12044" s="16" t="str">
        <f>IFERROR(__xludf.DUMMYFUNCTION("""COMPUTED_VALUE"""),"")</f>
        <v/>
      </c>
    </row>
    <row r="12045">
      <c r="G12045" s="16" t="str">
        <f>IFERROR(__xludf.DUMMYFUNCTION("""COMPUTED_VALUE"""),"")</f>
        <v/>
      </c>
    </row>
    <row r="12046">
      <c r="G12046" s="16" t="str">
        <f>IFERROR(__xludf.DUMMYFUNCTION("""COMPUTED_VALUE"""),"")</f>
        <v/>
      </c>
    </row>
    <row r="12047">
      <c r="G12047" s="16" t="str">
        <f>IFERROR(__xludf.DUMMYFUNCTION("""COMPUTED_VALUE"""),"")</f>
        <v/>
      </c>
    </row>
    <row r="12048">
      <c r="G12048" s="16" t="str">
        <f>IFERROR(__xludf.DUMMYFUNCTION("""COMPUTED_VALUE"""),"")</f>
        <v/>
      </c>
    </row>
    <row r="12049">
      <c r="G12049" s="16" t="str">
        <f>IFERROR(__xludf.DUMMYFUNCTION("""COMPUTED_VALUE"""),"")</f>
        <v/>
      </c>
    </row>
    <row r="12050">
      <c r="G12050" s="16" t="str">
        <f>IFERROR(__xludf.DUMMYFUNCTION("""COMPUTED_VALUE"""),"")</f>
        <v/>
      </c>
    </row>
    <row r="12051">
      <c r="G12051" s="16" t="str">
        <f>IFERROR(__xludf.DUMMYFUNCTION("""COMPUTED_VALUE"""),"")</f>
        <v/>
      </c>
    </row>
    <row r="12052">
      <c r="G12052" s="16" t="str">
        <f>IFERROR(__xludf.DUMMYFUNCTION("""COMPUTED_VALUE"""),"")</f>
        <v/>
      </c>
    </row>
    <row r="12053">
      <c r="G12053" s="16" t="str">
        <f>IFERROR(__xludf.DUMMYFUNCTION("""COMPUTED_VALUE"""),"")</f>
        <v/>
      </c>
    </row>
    <row r="12054">
      <c r="G12054" s="16" t="str">
        <f>IFERROR(__xludf.DUMMYFUNCTION("""COMPUTED_VALUE"""),"")</f>
        <v/>
      </c>
    </row>
    <row r="12055">
      <c r="G12055" s="16" t="str">
        <f>IFERROR(__xludf.DUMMYFUNCTION("""COMPUTED_VALUE"""),"")</f>
        <v/>
      </c>
    </row>
    <row r="12056">
      <c r="G12056" s="16" t="str">
        <f>IFERROR(__xludf.DUMMYFUNCTION("""COMPUTED_VALUE"""),"")</f>
        <v/>
      </c>
    </row>
    <row r="12057">
      <c r="G12057" s="16" t="str">
        <f>IFERROR(__xludf.DUMMYFUNCTION("""COMPUTED_VALUE"""),"")</f>
        <v/>
      </c>
    </row>
    <row r="12058">
      <c r="G12058" s="16" t="str">
        <f>IFERROR(__xludf.DUMMYFUNCTION("""COMPUTED_VALUE"""),"")</f>
        <v/>
      </c>
    </row>
    <row r="12059">
      <c r="G12059" s="16" t="str">
        <f>IFERROR(__xludf.DUMMYFUNCTION("""COMPUTED_VALUE"""),"")</f>
        <v/>
      </c>
    </row>
    <row r="12060">
      <c r="G12060" s="16" t="str">
        <f>IFERROR(__xludf.DUMMYFUNCTION("""COMPUTED_VALUE"""),"")</f>
        <v/>
      </c>
    </row>
    <row r="12061">
      <c r="G12061" s="16" t="str">
        <f>IFERROR(__xludf.DUMMYFUNCTION("""COMPUTED_VALUE"""),"")</f>
        <v/>
      </c>
    </row>
    <row r="12062">
      <c r="G12062" s="16" t="str">
        <f>IFERROR(__xludf.DUMMYFUNCTION("""COMPUTED_VALUE"""),"")</f>
        <v/>
      </c>
    </row>
    <row r="12063">
      <c r="G12063" s="16" t="str">
        <f>IFERROR(__xludf.DUMMYFUNCTION("""COMPUTED_VALUE"""),"")</f>
        <v/>
      </c>
    </row>
    <row r="12064">
      <c r="G12064" s="16" t="str">
        <f>IFERROR(__xludf.DUMMYFUNCTION("""COMPUTED_VALUE"""),"")</f>
        <v/>
      </c>
    </row>
    <row r="12065">
      <c r="G12065" s="16" t="str">
        <f>IFERROR(__xludf.DUMMYFUNCTION("""COMPUTED_VALUE"""),"")</f>
        <v/>
      </c>
    </row>
    <row r="12066">
      <c r="G12066" s="16" t="str">
        <f>IFERROR(__xludf.DUMMYFUNCTION("""COMPUTED_VALUE"""),"")</f>
        <v/>
      </c>
    </row>
    <row r="12067">
      <c r="G12067" s="16" t="str">
        <f>IFERROR(__xludf.DUMMYFUNCTION("""COMPUTED_VALUE"""),"")</f>
        <v/>
      </c>
    </row>
    <row r="12068">
      <c r="G12068" s="16" t="str">
        <f>IFERROR(__xludf.DUMMYFUNCTION("""COMPUTED_VALUE"""),"")</f>
        <v/>
      </c>
    </row>
    <row r="12069">
      <c r="G12069" s="16" t="str">
        <f>IFERROR(__xludf.DUMMYFUNCTION("""COMPUTED_VALUE"""),"")</f>
        <v/>
      </c>
    </row>
    <row r="12070">
      <c r="G12070" s="16" t="str">
        <f>IFERROR(__xludf.DUMMYFUNCTION("""COMPUTED_VALUE"""),"")</f>
        <v/>
      </c>
    </row>
    <row r="12071">
      <c r="G12071" s="16" t="str">
        <f>IFERROR(__xludf.DUMMYFUNCTION("""COMPUTED_VALUE"""),"")</f>
        <v/>
      </c>
    </row>
    <row r="12072">
      <c r="G12072" s="16" t="str">
        <f>IFERROR(__xludf.DUMMYFUNCTION("""COMPUTED_VALUE"""),"")</f>
        <v/>
      </c>
    </row>
    <row r="12073">
      <c r="G12073" s="16" t="str">
        <f>IFERROR(__xludf.DUMMYFUNCTION("""COMPUTED_VALUE"""),"")</f>
        <v/>
      </c>
    </row>
    <row r="12074">
      <c r="G12074" s="16" t="str">
        <f>IFERROR(__xludf.DUMMYFUNCTION("""COMPUTED_VALUE"""),"")</f>
        <v/>
      </c>
    </row>
    <row r="12075">
      <c r="G12075" s="16" t="str">
        <f>IFERROR(__xludf.DUMMYFUNCTION("""COMPUTED_VALUE"""),"")</f>
        <v/>
      </c>
    </row>
    <row r="12076">
      <c r="G12076" s="16" t="str">
        <f>IFERROR(__xludf.DUMMYFUNCTION("""COMPUTED_VALUE"""),"")</f>
        <v/>
      </c>
    </row>
    <row r="12077">
      <c r="G12077" s="16" t="str">
        <f>IFERROR(__xludf.DUMMYFUNCTION("""COMPUTED_VALUE"""),"")</f>
        <v/>
      </c>
    </row>
    <row r="12078">
      <c r="G12078" s="16" t="str">
        <f>IFERROR(__xludf.DUMMYFUNCTION("""COMPUTED_VALUE"""),"")</f>
        <v/>
      </c>
    </row>
    <row r="12079">
      <c r="G12079" s="16" t="str">
        <f>IFERROR(__xludf.DUMMYFUNCTION("""COMPUTED_VALUE"""),"")</f>
        <v/>
      </c>
    </row>
    <row r="12080">
      <c r="G12080" s="16" t="str">
        <f>IFERROR(__xludf.DUMMYFUNCTION("""COMPUTED_VALUE"""),"")</f>
        <v/>
      </c>
    </row>
    <row r="12081">
      <c r="G12081" s="16" t="str">
        <f>IFERROR(__xludf.DUMMYFUNCTION("""COMPUTED_VALUE"""),"")</f>
        <v/>
      </c>
    </row>
    <row r="12082">
      <c r="G12082" s="16" t="str">
        <f>IFERROR(__xludf.DUMMYFUNCTION("""COMPUTED_VALUE"""),"")</f>
        <v/>
      </c>
    </row>
    <row r="12083">
      <c r="G12083" s="16" t="str">
        <f>IFERROR(__xludf.DUMMYFUNCTION("""COMPUTED_VALUE"""),"")</f>
        <v/>
      </c>
    </row>
    <row r="12084">
      <c r="G12084" s="16" t="str">
        <f>IFERROR(__xludf.DUMMYFUNCTION("""COMPUTED_VALUE"""),"")</f>
        <v/>
      </c>
    </row>
    <row r="12085">
      <c r="G12085" s="16" t="str">
        <f>IFERROR(__xludf.DUMMYFUNCTION("""COMPUTED_VALUE"""),"")</f>
        <v/>
      </c>
    </row>
    <row r="12086">
      <c r="G12086" s="16" t="str">
        <f>IFERROR(__xludf.DUMMYFUNCTION("""COMPUTED_VALUE"""),"")</f>
        <v/>
      </c>
    </row>
    <row r="12087">
      <c r="G12087" s="16" t="str">
        <f>IFERROR(__xludf.DUMMYFUNCTION("""COMPUTED_VALUE"""),"")</f>
        <v/>
      </c>
    </row>
    <row r="12088">
      <c r="G12088" s="16" t="str">
        <f>IFERROR(__xludf.DUMMYFUNCTION("""COMPUTED_VALUE"""),"")</f>
        <v/>
      </c>
    </row>
    <row r="12089">
      <c r="G12089" s="16" t="str">
        <f>IFERROR(__xludf.DUMMYFUNCTION("""COMPUTED_VALUE"""),"")</f>
        <v/>
      </c>
    </row>
    <row r="12090">
      <c r="G12090" s="16" t="str">
        <f>IFERROR(__xludf.DUMMYFUNCTION("""COMPUTED_VALUE"""),"")</f>
        <v/>
      </c>
    </row>
    <row r="12091">
      <c r="G12091" s="16" t="str">
        <f>IFERROR(__xludf.DUMMYFUNCTION("""COMPUTED_VALUE"""),"")</f>
        <v/>
      </c>
    </row>
    <row r="12092">
      <c r="G12092" s="16" t="str">
        <f>IFERROR(__xludf.DUMMYFUNCTION("""COMPUTED_VALUE"""),"")</f>
        <v/>
      </c>
    </row>
    <row r="12093">
      <c r="G12093" s="16" t="str">
        <f>IFERROR(__xludf.DUMMYFUNCTION("""COMPUTED_VALUE"""),"")</f>
        <v/>
      </c>
    </row>
    <row r="12094">
      <c r="G12094" s="16" t="str">
        <f>IFERROR(__xludf.DUMMYFUNCTION("""COMPUTED_VALUE"""),"")</f>
        <v/>
      </c>
    </row>
    <row r="12095">
      <c r="G12095" s="16" t="str">
        <f>IFERROR(__xludf.DUMMYFUNCTION("""COMPUTED_VALUE"""),"")</f>
        <v/>
      </c>
    </row>
    <row r="12096">
      <c r="G12096" s="16" t="str">
        <f>IFERROR(__xludf.DUMMYFUNCTION("""COMPUTED_VALUE"""),"")</f>
        <v/>
      </c>
    </row>
    <row r="12097">
      <c r="G12097" s="16" t="str">
        <f>IFERROR(__xludf.DUMMYFUNCTION("""COMPUTED_VALUE"""),"")</f>
        <v/>
      </c>
    </row>
    <row r="12098">
      <c r="G12098" s="16" t="str">
        <f>IFERROR(__xludf.DUMMYFUNCTION("""COMPUTED_VALUE"""),"")</f>
        <v/>
      </c>
    </row>
    <row r="12099">
      <c r="G12099" s="16" t="str">
        <f>IFERROR(__xludf.DUMMYFUNCTION("""COMPUTED_VALUE"""),"")</f>
        <v/>
      </c>
    </row>
    <row r="12100">
      <c r="G12100" s="16" t="str">
        <f>IFERROR(__xludf.DUMMYFUNCTION("""COMPUTED_VALUE"""),"")</f>
        <v/>
      </c>
    </row>
    <row r="12101">
      <c r="G12101" s="16" t="str">
        <f>IFERROR(__xludf.DUMMYFUNCTION("""COMPUTED_VALUE"""),"")</f>
        <v/>
      </c>
    </row>
    <row r="12102">
      <c r="G12102" s="16" t="str">
        <f>IFERROR(__xludf.DUMMYFUNCTION("""COMPUTED_VALUE"""),"")</f>
        <v/>
      </c>
    </row>
    <row r="12103">
      <c r="G12103" s="16" t="str">
        <f>IFERROR(__xludf.DUMMYFUNCTION("""COMPUTED_VALUE"""),"")</f>
        <v/>
      </c>
    </row>
    <row r="12104">
      <c r="G12104" s="16" t="str">
        <f>IFERROR(__xludf.DUMMYFUNCTION("""COMPUTED_VALUE"""),"")</f>
        <v/>
      </c>
    </row>
    <row r="12105">
      <c r="G12105" s="16" t="str">
        <f>IFERROR(__xludf.DUMMYFUNCTION("""COMPUTED_VALUE"""),"")</f>
        <v/>
      </c>
    </row>
    <row r="12106">
      <c r="G12106" s="16" t="str">
        <f>IFERROR(__xludf.DUMMYFUNCTION("""COMPUTED_VALUE"""),"")</f>
        <v/>
      </c>
    </row>
    <row r="12107">
      <c r="G12107" s="16" t="str">
        <f>IFERROR(__xludf.DUMMYFUNCTION("""COMPUTED_VALUE"""),"")</f>
        <v/>
      </c>
    </row>
    <row r="12108">
      <c r="G12108" s="16" t="str">
        <f>IFERROR(__xludf.DUMMYFUNCTION("""COMPUTED_VALUE"""),"")</f>
        <v/>
      </c>
    </row>
    <row r="12109">
      <c r="G12109" s="16" t="str">
        <f>IFERROR(__xludf.DUMMYFUNCTION("""COMPUTED_VALUE"""),"")</f>
        <v/>
      </c>
    </row>
    <row r="12110">
      <c r="G12110" s="16" t="str">
        <f>IFERROR(__xludf.DUMMYFUNCTION("""COMPUTED_VALUE"""),"")</f>
        <v/>
      </c>
    </row>
    <row r="12111">
      <c r="G12111" s="16" t="str">
        <f>IFERROR(__xludf.DUMMYFUNCTION("""COMPUTED_VALUE"""),"")</f>
        <v/>
      </c>
    </row>
    <row r="12112">
      <c r="G12112" s="16" t="str">
        <f>IFERROR(__xludf.DUMMYFUNCTION("""COMPUTED_VALUE"""),"")</f>
        <v/>
      </c>
    </row>
    <row r="12113">
      <c r="G12113" s="16" t="str">
        <f>IFERROR(__xludf.DUMMYFUNCTION("""COMPUTED_VALUE"""),"")</f>
        <v/>
      </c>
    </row>
    <row r="12114">
      <c r="G12114" s="16" t="str">
        <f>IFERROR(__xludf.DUMMYFUNCTION("""COMPUTED_VALUE"""),"")</f>
        <v/>
      </c>
    </row>
    <row r="12115">
      <c r="G12115" s="16" t="str">
        <f>IFERROR(__xludf.DUMMYFUNCTION("""COMPUTED_VALUE"""),"")</f>
        <v/>
      </c>
    </row>
    <row r="12116">
      <c r="G12116" s="16" t="str">
        <f>IFERROR(__xludf.DUMMYFUNCTION("""COMPUTED_VALUE"""),"")</f>
        <v/>
      </c>
    </row>
    <row r="12117">
      <c r="G12117" s="16" t="str">
        <f>IFERROR(__xludf.DUMMYFUNCTION("""COMPUTED_VALUE"""),"")</f>
        <v/>
      </c>
    </row>
    <row r="12118">
      <c r="G12118" s="16" t="str">
        <f>IFERROR(__xludf.DUMMYFUNCTION("""COMPUTED_VALUE"""),"")</f>
        <v/>
      </c>
    </row>
    <row r="12119">
      <c r="G12119" s="16" t="str">
        <f>IFERROR(__xludf.DUMMYFUNCTION("""COMPUTED_VALUE"""),"")</f>
        <v/>
      </c>
    </row>
    <row r="12120">
      <c r="G12120" s="16" t="str">
        <f>IFERROR(__xludf.DUMMYFUNCTION("""COMPUTED_VALUE"""),"")</f>
        <v/>
      </c>
    </row>
    <row r="12121">
      <c r="G12121" s="16" t="str">
        <f>IFERROR(__xludf.DUMMYFUNCTION("""COMPUTED_VALUE"""),"")</f>
        <v/>
      </c>
    </row>
    <row r="12122">
      <c r="G12122" s="16" t="str">
        <f>IFERROR(__xludf.DUMMYFUNCTION("""COMPUTED_VALUE"""),"")</f>
        <v/>
      </c>
    </row>
    <row r="12123">
      <c r="G12123" s="16" t="str">
        <f>IFERROR(__xludf.DUMMYFUNCTION("""COMPUTED_VALUE"""),"")</f>
        <v/>
      </c>
    </row>
    <row r="12124">
      <c r="G12124" s="16" t="str">
        <f>IFERROR(__xludf.DUMMYFUNCTION("""COMPUTED_VALUE"""),"")</f>
        <v/>
      </c>
    </row>
    <row r="12125">
      <c r="G12125" s="16" t="str">
        <f>IFERROR(__xludf.DUMMYFUNCTION("""COMPUTED_VALUE"""),"")</f>
        <v/>
      </c>
    </row>
    <row r="12126">
      <c r="G12126" s="16" t="str">
        <f>IFERROR(__xludf.DUMMYFUNCTION("""COMPUTED_VALUE"""),"")</f>
        <v/>
      </c>
    </row>
    <row r="12127">
      <c r="G12127" s="16" t="str">
        <f>IFERROR(__xludf.DUMMYFUNCTION("""COMPUTED_VALUE"""),"")</f>
        <v/>
      </c>
    </row>
    <row r="12128">
      <c r="G12128" s="16" t="str">
        <f>IFERROR(__xludf.DUMMYFUNCTION("""COMPUTED_VALUE"""),"")</f>
        <v/>
      </c>
    </row>
    <row r="12129">
      <c r="G12129" s="16" t="str">
        <f>IFERROR(__xludf.DUMMYFUNCTION("""COMPUTED_VALUE"""),"")</f>
        <v/>
      </c>
    </row>
    <row r="12130">
      <c r="G12130" s="16" t="str">
        <f>IFERROR(__xludf.DUMMYFUNCTION("""COMPUTED_VALUE"""),"")</f>
        <v/>
      </c>
    </row>
    <row r="12131">
      <c r="G12131" s="16" t="str">
        <f>IFERROR(__xludf.DUMMYFUNCTION("""COMPUTED_VALUE"""),"")</f>
        <v/>
      </c>
    </row>
    <row r="12132">
      <c r="G12132" s="16" t="str">
        <f>IFERROR(__xludf.DUMMYFUNCTION("""COMPUTED_VALUE"""),"")</f>
        <v/>
      </c>
    </row>
    <row r="12133">
      <c r="G12133" s="16" t="str">
        <f>IFERROR(__xludf.DUMMYFUNCTION("""COMPUTED_VALUE"""),"")</f>
        <v/>
      </c>
    </row>
    <row r="12134">
      <c r="G12134" s="16" t="str">
        <f>IFERROR(__xludf.DUMMYFUNCTION("""COMPUTED_VALUE"""),"")</f>
        <v/>
      </c>
    </row>
    <row r="12135">
      <c r="G12135" s="16" t="str">
        <f>IFERROR(__xludf.DUMMYFUNCTION("""COMPUTED_VALUE"""),"")</f>
        <v/>
      </c>
    </row>
    <row r="12136">
      <c r="G12136" s="16" t="str">
        <f>IFERROR(__xludf.DUMMYFUNCTION("""COMPUTED_VALUE"""),"")</f>
        <v/>
      </c>
    </row>
    <row r="12137">
      <c r="G12137" s="16" t="str">
        <f>IFERROR(__xludf.DUMMYFUNCTION("""COMPUTED_VALUE"""),"")</f>
        <v/>
      </c>
    </row>
    <row r="12138">
      <c r="G12138" s="16" t="str">
        <f>IFERROR(__xludf.DUMMYFUNCTION("""COMPUTED_VALUE"""),"")</f>
        <v/>
      </c>
    </row>
    <row r="12139">
      <c r="G12139" s="16" t="str">
        <f>IFERROR(__xludf.DUMMYFUNCTION("""COMPUTED_VALUE"""),"")</f>
        <v/>
      </c>
    </row>
    <row r="12140">
      <c r="G12140" s="16" t="str">
        <f>IFERROR(__xludf.DUMMYFUNCTION("""COMPUTED_VALUE"""),"")</f>
        <v/>
      </c>
    </row>
    <row r="12141">
      <c r="G12141" s="16" t="str">
        <f>IFERROR(__xludf.DUMMYFUNCTION("""COMPUTED_VALUE"""),"")</f>
        <v/>
      </c>
    </row>
    <row r="12142">
      <c r="G12142" s="16" t="str">
        <f>IFERROR(__xludf.DUMMYFUNCTION("""COMPUTED_VALUE"""),"")</f>
        <v/>
      </c>
    </row>
    <row r="12143">
      <c r="G12143" s="16" t="str">
        <f>IFERROR(__xludf.DUMMYFUNCTION("""COMPUTED_VALUE"""),"")</f>
        <v/>
      </c>
    </row>
    <row r="12144">
      <c r="G12144" s="16" t="str">
        <f>IFERROR(__xludf.DUMMYFUNCTION("""COMPUTED_VALUE"""),"")</f>
        <v/>
      </c>
    </row>
    <row r="12145">
      <c r="G12145" s="16" t="str">
        <f>IFERROR(__xludf.DUMMYFUNCTION("""COMPUTED_VALUE"""),"")</f>
        <v/>
      </c>
    </row>
    <row r="12146">
      <c r="G12146" s="16" t="str">
        <f>IFERROR(__xludf.DUMMYFUNCTION("""COMPUTED_VALUE"""),"")</f>
        <v/>
      </c>
    </row>
    <row r="12147">
      <c r="G12147" s="16" t="str">
        <f>IFERROR(__xludf.DUMMYFUNCTION("""COMPUTED_VALUE"""),"")</f>
        <v/>
      </c>
    </row>
    <row r="12148">
      <c r="G12148" s="16" t="str">
        <f>IFERROR(__xludf.DUMMYFUNCTION("""COMPUTED_VALUE"""),"")</f>
        <v/>
      </c>
    </row>
    <row r="12149">
      <c r="G12149" s="16" t="str">
        <f>IFERROR(__xludf.DUMMYFUNCTION("""COMPUTED_VALUE"""),"")</f>
        <v/>
      </c>
    </row>
    <row r="12150">
      <c r="G12150" s="16" t="str">
        <f>IFERROR(__xludf.DUMMYFUNCTION("""COMPUTED_VALUE"""),"")</f>
        <v/>
      </c>
    </row>
    <row r="12151">
      <c r="G12151" s="16" t="str">
        <f>IFERROR(__xludf.DUMMYFUNCTION("""COMPUTED_VALUE"""),"")</f>
        <v/>
      </c>
    </row>
    <row r="12152">
      <c r="G12152" s="16" t="str">
        <f>IFERROR(__xludf.DUMMYFUNCTION("""COMPUTED_VALUE"""),"")</f>
        <v/>
      </c>
    </row>
    <row r="12153">
      <c r="G12153" s="16" t="str">
        <f>IFERROR(__xludf.DUMMYFUNCTION("""COMPUTED_VALUE"""),"")</f>
        <v/>
      </c>
    </row>
    <row r="12154">
      <c r="G12154" s="16" t="str">
        <f>IFERROR(__xludf.DUMMYFUNCTION("""COMPUTED_VALUE"""),"")</f>
        <v/>
      </c>
    </row>
    <row r="12155">
      <c r="G12155" s="16" t="str">
        <f>IFERROR(__xludf.DUMMYFUNCTION("""COMPUTED_VALUE"""),"")</f>
        <v/>
      </c>
    </row>
    <row r="12156">
      <c r="G12156" s="16" t="str">
        <f>IFERROR(__xludf.DUMMYFUNCTION("""COMPUTED_VALUE"""),"")</f>
        <v/>
      </c>
    </row>
    <row r="12157">
      <c r="G12157" s="16" t="str">
        <f>IFERROR(__xludf.DUMMYFUNCTION("""COMPUTED_VALUE"""),"")</f>
        <v/>
      </c>
    </row>
    <row r="12158">
      <c r="G12158" s="16" t="str">
        <f>IFERROR(__xludf.DUMMYFUNCTION("""COMPUTED_VALUE"""),"")</f>
        <v/>
      </c>
    </row>
    <row r="12159">
      <c r="G12159" s="16" t="str">
        <f>IFERROR(__xludf.DUMMYFUNCTION("""COMPUTED_VALUE"""),"")</f>
        <v/>
      </c>
    </row>
    <row r="12160">
      <c r="G12160" s="16" t="str">
        <f>IFERROR(__xludf.DUMMYFUNCTION("""COMPUTED_VALUE"""),"")</f>
        <v/>
      </c>
    </row>
    <row r="12161">
      <c r="G12161" s="16" t="str">
        <f>IFERROR(__xludf.DUMMYFUNCTION("""COMPUTED_VALUE"""),"")</f>
        <v/>
      </c>
    </row>
    <row r="12162">
      <c r="G12162" s="16" t="str">
        <f>IFERROR(__xludf.DUMMYFUNCTION("""COMPUTED_VALUE"""),"")</f>
        <v/>
      </c>
    </row>
    <row r="12163">
      <c r="G12163" s="16" t="str">
        <f>IFERROR(__xludf.DUMMYFUNCTION("""COMPUTED_VALUE"""),"")</f>
        <v/>
      </c>
    </row>
    <row r="12164">
      <c r="G12164" s="16" t="str">
        <f>IFERROR(__xludf.DUMMYFUNCTION("""COMPUTED_VALUE"""),"")</f>
        <v/>
      </c>
    </row>
    <row r="12165">
      <c r="G12165" s="16" t="str">
        <f>IFERROR(__xludf.DUMMYFUNCTION("""COMPUTED_VALUE"""),"")</f>
        <v/>
      </c>
    </row>
    <row r="12166">
      <c r="G12166" s="16" t="str">
        <f>IFERROR(__xludf.DUMMYFUNCTION("""COMPUTED_VALUE"""),"")</f>
        <v/>
      </c>
    </row>
    <row r="12167">
      <c r="G12167" s="16" t="str">
        <f>IFERROR(__xludf.DUMMYFUNCTION("""COMPUTED_VALUE"""),"")</f>
        <v/>
      </c>
    </row>
    <row r="12168">
      <c r="G12168" s="16" t="str">
        <f>IFERROR(__xludf.DUMMYFUNCTION("""COMPUTED_VALUE"""),"")</f>
        <v/>
      </c>
    </row>
    <row r="12169">
      <c r="G12169" s="16" t="str">
        <f>IFERROR(__xludf.DUMMYFUNCTION("""COMPUTED_VALUE"""),"")</f>
        <v/>
      </c>
    </row>
    <row r="12170">
      <c r="G12170" s="16" t="str">
        <f>IFERROR(__xludf.DUMMYFUNCTION("""COMPUTED_VALUE"""),"")</f>
        <v/>
      </c>
    </row>
    <row r="12171">
      <c r="G12171" s="16" t="str">
        <f>IFERROR(__xludf.DUMMYFUNCTION("""COMPUTED_VALUE"""),"")</f>
        <v/>
      </c>
    </row>
    <row r="12172">
      <c r="G12172" s="16" t="str">
        <f>IFERROR(__xludf.DUMMYFUNCTION("""COMPUTED_VALUE"""),"")</f>
        <v/>
      </c>
    </row>
    <row r="12173">
      <c r="G12173" s="16" t="str">
        <f>IFERROR(__xludf.DUMMYFUNCTION("""COMPUTED_VALUE"""),"")</f>
        <v/>
      </c>
    </row>
    <row r="12174">
      <c r="G12174" s="16" t="str">
        <f>IFERROR(__xludf.DUMMYFUNCTION("""COMPUTED_VALUE"""),"")</f>
        <v/>
      </c>
    </row>
    <row r="12175">
      <c r="G12175" s="16" t="str">
        <f>IFERROR(__xludf.DUMMYFUNCTION("""COMPUTED_VALUE"""),"")</f>
        <v/>
      </c>
    </row>
    <row r="12176">
      <c r="G12176" s="16" t="str">
        <f>IFERROR(__xludf.DUMMYFUNCTION("""COMPUTED_VALUE"""),"")</f>
        <v/>
      </c>
    </row>
    <row r="12177">
      <c r="G12177" s="16" t="str">
        <f>IFERROR(__xludf.DUMMYFUNCTION("""COMPUTED_VALUE"""),"")</f>
        <v/>
      </c>
    </row>
    <row r="12178">
      <c r="G12178" s="16" t="str">
        <f>IFERROR(__xludf.DUMMYFUNCTION("""COMPUTED_VALUE"""),"")</f>
        <v/>
      </c>
    </row>
    <row r="12179">
      <c r="G12179" s="16" t="str">
        <f>IFERROR(__xludf.DUMMYFUNCTION("""COMPUTED_VALUE"""),"")</f>
        <v/>
      </c>
    </row>
    <row r="12180">
      <c r="G12180" s="16" t="str">
        <f>IFERROR(__xludf.DUMMYFUNCTION("""COMPUTED_VALUE"""),"")</f>
        <v/>
      </c>
    </row>
    <row r="12181">
      <c r="G12181" s="16" t="str">
        <f>IFERROR(__xludf.DUMMYFUNCTION("""COMPUTED_VALUE"""),"")</f>
        <v/>
      </c>
    </row>
    <row r="12182">
      <c r="G12182" s="16" t="str">
        <f>IFERROR(__xludf.DUMMYFUNCTION("""COMPUTED_VALUE"""),"")</f>
        <v/>
      </c>
    </row>
    <row r="12183">
      <c r="G12183" s="16" t="str">
        <f>IFERROR(__xludf.DUMMYFUNCTION("""COMPUTED_VALUE"""),"")</f>
        <v/>
      </c>
    </row>
    <row r="12184">
      <c r="G12184" s="16" t="str">
        <f>IFERROR(__xludf.DUMMYFUNCTION("""COMPUTED_VALUE"""),"")</f>
        <v/>
      </c>
    </row>
    <row r="12185">
      <c r="G12185" s="16" t="str">
        <f>IFERROR(__xludf.DUMMYFUNCTION("""COMPUTED_VALUE"""),"")</f>
        <v/>
      </c>
    </row>
    <row r="12186">
      <c r="G12186" s="16" t="str">
        <f>IFERROR(__xludf.DUMMYFUNCTION("""COMPUTED_VALUE"""),"")</f>
        <v/>
      </c>
    </row>
    <row r="12187">
      <c r="G12187" s="16" t="str">
        <f>IFERROR(__xludf.DUMMYFUNCTION("""COMPUTED_VALUE"""),"")</f>
        <v/>
      </c>
    </row>
    <row r="12188">
      <c r="G12188" s="16" t="str">
        <f>IFERROR(__xludf.DUMMYFUNCTION("""COMPUTED_VALUE"""),"")</f>
        <v/>
      </c>
    </row>
    <row r="12189">
      <c r="G12189" s="16" t="str">
        <f>IFERROR(__xludf.DUMMYFUNCTION("""COMPUTED_VALUE"""),"")</f>
        <v/>
      </c>
    </row>
    <row r="12190">
      <c r="G12190" s="16" t="str">
        <f>IFERROR(__xludf.DUMMYFUNCTION("""COMPUTED_VALUE"""),"")</f>
        <v/>
      </c>
    </row>
    <row r="12191">
      <c r="G12191" s="16" t="str">
        <f>IFERROR(__xludf.DUMMYFUNCTION("""COMPUTED_VALUE"""),"")</f>
        <v/>
      </c>
    </row>
    <row r="12192">
      <c r="G12192" s="16" t="str">
        <f>IFERROR(__xludf.DUMMYFUNCTION("""COMPUTED_VALUE"""),"")</f>
        <v/>
      </c>
    </row>
    <row r="12193">
      <c r="G12193" s="16" t="str">
        <f>IFERROR(__xludf.DUMMYFUNCTION("""COMPUTED_VALUE"""),"")</f>
        <v/>
      </c>
    </row>
    <row r="12194">
      <c r="G12194" s="16" t="str">
        <f>IFERROR(__xludf.DUMMYFUNCTION("""COMPUTED_VALUE"""),"")</f>
        <v/>
      </c>
    </row>
    <row r="12195">
      <c r="G12195" s="16" t="str">
        <f>IFERROR(__xludf.DUMMYFUNCTION("""COMPUTED_VALUE"""),"")</f>
        <v/>
      </c>
    </row>
    <row r="12196">
      <c r="G12196" s="16" t="str">
        <f>IFERROR(__xludf.DUMMYFUNCTION("""COMPUTED_VALUE"""),"")</f>
        <v/>
      </c>
    </row>
    <row r="12197">
      <c r="G12197" s="16" t="str">
        <f>IFERROR(__xludf.DUMMYFUNCTION("""COMPUTED_VALUE"""),"")</f>
        <v/>
      </c>
    </row>
    <row r="12198">
      <c r="G12198" s="16" t="str">
        <f>IFERROR(__xludf.DUMMYFUNCTION("""COMPUTED_VALUE"""),"")</f>
        <v/>
      </c>
    </row>
    <row r="12199">
      <c r="G12199" s="16" t="str">
        <f>IFERROR(__xludf.DUMMYFUNCTION("""COMPUTED_VALUE"""),"")</f>
        <v/>
      </c>
    </row>
    <row r="12200">
      <c r="G12200" s="16" t="str">
        <f>IFERROR(__xludf.DUMMYFUNCTION("""COMPUTED_VALUE"""),"")</f>
        <v/>
      </c>
    </row>
    <row r="12201">
      <c r="G12201" s="16" t="str">
        <f>IFERROR(__xludf.DUMMYFUNCTION("""COMPUTED_VALUE"""),"")</f>
        <v/>
      </c>
    </row>
    <row r="12202">
      <c r="G12202" s="16" t="str">
        <f>IFERROR(__xludf.DUMMYFUNCTION("""COMPUTED_VALUE"""),"")</f>
        <v/>
      </c>
    </row>
    <row r="12203">
      <c r="G12203" s="16" t="str">
        <f>IFERROR(__xludf.DUMMYFUNCTION("""COMPUTED_VALUE"""),"")</f>
        <v/>
      </c>
    </row>
    <row r="12204">
      <c r="G12204" s="16" t="str">
        <f>IFERROR(__xludf.DUMMYFUNCTION("""COMPUTED_VALUE"""),"")</f>
        <v/>
      </c>
    </row>
    <row r="12205">
      <c r="G12205" s="16" t="str">
        <f>IFERROR(__xludf.DUMMYFUNCTION("""COMPUTED_VALUE"""),"")</f>
        <v/>
      </c>
    </row>
    <row r="12206">
      <c r="G12206" s="16" t="str">
        <f>IFERROR(__xludf.DUMMYFUNCTION("""COMPUTED_VALUE"""),"")</f>
        <v/>
      </c>
    </row>
    <row r="12207">
      <c r="G12207" s="16" t="str">
        <f>IFERROR(__xludf.DUMMYFUNCTION("""COMPUTED_VALUE"""),"")</f>
        <v/>
      </c>
    </row>
    <row r="12208">
      <c r="G12208" s="16" t="str">
        <f>IFERROR(__xludf.DUMMYFUNCTION("""COMPUTED_VALUE"""),"")</f>
        <v/>
      </c>
    </row>
    <row r="12209">
      <c r="G12209" s="16" t="str">
        <f>IFERROR(__xludf.DUMMYFUNCTION("""COMPUTED_VALUE"""),"")</f>
        <v/>
      </c>
    </row>
    <row r="12210">
      <c r="G12210" s="16" t="str">
        <f>IFERROR(__xludf.DUMMYFUNCTION("""COMPUTED_VALUE"""),"")</f>
        <v/>
      </c>
    </row>
    <row r="12211">
      <c r="G12211" s="16" t="str">
        <f>IFERROR(__xludf.DUMMYFUNCTION("""COMPUTED_VALUE"""),"")</f>
        <v/>
      </c>
    </row>
    <row r="12212">
      <c r="G12212" s="16" t="str">
        <f>IFERROR(__xludf.DUMMYFUNCTION("""COMPUTED_VALUE"""),"")</f>
        <v/>
      </c>
    </row>
    <row r="12213">
      <c r="G12213" s="16" t="str">
        <f>IFERROR(__xludf.DUMMYFUNCTION("""COMPUTED_VALUE"""),"")</f>
        <v/>
      </c>
    </row>
    <row r="12214">
      <c r="G12214" s="16" t="str">
        <f>IFERROR(__xludf.DUMMYFUNCTION("""COMPUTED_VALUE"""),"")</f>
        <v/>
      </c>
    </row>
    <row r="12215">
      <c r="G12215" s="16" t="str">
        <f>IFERROR(__xludf.DUMMYFUNCTION("""COMPUTED_VALUE"""),"")</f>
        <v/>
      </c>
    </row>
    <row r="12216">
      <c r="G12216" s="16" t="str">
        <f>IFERROR(__xludf.DUMMYFUNCTION("""COMPUTED_VALUE"""),"")</f>
        <v/>
      </c>
    </row>
    <row r="12217">
      <c r="G12217" s="16" t="str">
        <f>IFERROR(__xludf.DUMMYFUNCTION("""COMPUTED_VALUE"""),"")</f>
        <v/>
      </c>
    </row>
    <row r="12218">
      <c r="G12218" s="16" t="str">
        <f>IFERROR(__xludf.DUMMYFUNCTION("""COMPUTED_VALUE"""),"")</f>
        <v/>
      </c>
    </row>
    <row r="12219">
      <c r="G12219" s="16" t="str">
        <f>IFERROR(__xludf.DUMMYFUNCTION("""COMPUTED_VALUE"""),"")</f>
        <v/>
      </c>
    </row>
    <row r="12220">
      <c r="G12220" s="16" t="str">
        <f>IFERROR(__xludf.DUMMYFUNCTION("""COMPUTED_VALUE"""),"")</f>
        <v/>
      </c>
    </row>
    <row r="12221">
      <c r="G12221" s="16" t="str">
        <f>IFERROR(__xludf.DUMMYFUNCTION("""COMPUTED_VALUE"""),"")</f>
        <v/>
      </c>
    </row>
    <row r="12222">
      <c r="G12222" s="16" t="str">
        <f>IFERROR(__xludf.DUMMYFUNCTION("""COMPUTED_VALUE"""),"")</f>
        <v/>
      </c>
    </row>
    <row r="12223">
      <c r="G12223" s="16" t="str">
        <f>IFERROR(__xludf.DUMMYFUNCTION("""COMPUTED_VALUE"""),"")</f>
        <v/>
      </c>
    </row>
    <row r="12224">
      <c r="G12224" s="16" t="str">
        <f>IFERROR(__xludf.DUMMYFUNCTION("""COMPUTED_VALUE"""),"")</f>
        <v/>
      </c>
    </row>
    <row r="12225">
      <c r="G12225" s="16" t="str">
        <f>IFERROR(__xludf.DUMMYFUNCTION("""COMPUTED_VALUE"""),"")</f>
        <v/>
      </c>
    </row>
    <row r="12226">
      <c r="G12226" s="16" t="str">
        <f>IFERROR(__xludf.DUMMYFUNCTION("""COMPUTED_VALUE"""),"")</f>
        <v/>
      </c>
    </row>
    <row r="12227">
      <c r="G12227" s="16" t="str">
        <f>IFERROR(__xludf.DUMMYFUNCTION("""COMPUTED_VALUE"""),"")</f>
        <v/>
      </c>
    </row>
    <row r="12228">
      <c r="G12228" s="16" t="str">
        <f>IFERROR(__xludf.DUMMYFUNCTION("""COMPUTED_VALUE"""),"")</f>
        <v/>
      </c>
    </row>
    <row r="12229">
      <c r="G12229" s="16" t="str">
        <f>IFERROR(__xludf.DUMMYFUNCTION("""COMPUTED_VALUE"""),"")</f>
        <v/>
      </c>
    </row>
    <row r="12230">
      <c r="G12230" s="16" t="str">
        <f>IFERROR(__xludf.DUMMYFUNCTION("""COMPUTED_VALUE"""),"")</f>
        <v/>
      </c>
    </row>
    <row r="12231">
      <c r="G12231" s="16" t="str">
        <f>IFERROR(__xludf.DUMMYFUNCTION("""COMPUTED_VALUE"""),"")</f>
        <v/>
      </c>
    </row>
    <row r="12232">
      <c r="G12232" s="16" t="str">
        <f>IFERROR(__xludf.DUMMYFUNCTION("""COMPUTED_VALUE"""),"")</f>
        <v/>
      </c>
    </row>
    <row r="12233">
      <c r="G12233" s="16" t="str">
        <f>IFERROR(__xludf.DUMMYFUNCTION("""COMPUTED_VALUE"""),"")</f>
        <v/>
      </c>
    </row>
    <row r="12234">
      <c r="G12234" s="16" t="str">
        <f>IFERROR(__xludf.DUMMYFUNCTION("""COMPUTED_VALUE"""),"")</f>
        <v/>
      </c>
    </row>
    <row r="12235">
      <c r="G12235" s="16" t="str">
        <f>IFERROR(__xludf.DUMMYFUNCTION("""COMPUTED_VALUE"""),"")</f>
        <v/>
      </c>
    </row>
    <row r="12236">
      <c r="G12236" s="16" t="str">
        <f>IFERROR(__xludf.DUMMYFUNCTION("""COMPUTED_VALUE"""),"")</f>
        <v/>
      </c>
    </row>
    <row r="12237">
      <c r="G12237" s="16" t="str">
        <f>IFERROR(__xludf.DUMMYFUNCTION("""COMPUTED_VALUE"""),"")</f>
        <v/>
      </c>
    </row>
    <row r="12238">
      <c r="G12238" s="16" t="str">
        <f>IFERROR(__xludf.DUMMYFUNCTION("""COMPUTED_VALUE"""),"")</f>
        <v/>
      </c>
    </row>
    <row r="12239">
      <c r="G12239" s="16" t="str">
        <f>IFERROR(__xludf.DUMMYFUNCTION("""COMPUTED_VALUE"""),"")</f>
        <v/>
      </c>
    </row>
    <row r="12240">
      <c r="G12240" s="16" t="str">
        <f>IFERROR(__xludf.DUMMYFUNCTION("""COMPUTED_VALUE"""),"")</f>
        <v/>
      </c>
    </row>
    <row r="12241">
      <c r="G12241" s="16" t="str">
        <f>IFERROR(__xludf.DUMMYFUNCTION("""COMPUTED_VALUE"""),"")</f>
        <v/>
      </c>
    </row>
    <row r="12242">
      <c r="G12242" s="16" t="str">
        <f>IFERROR(__xludf.DUMMYFUNCTION("""COMPUTED_VALUE"""),"")</f>
        <v/>
      </c>
    </row>
    <row r="12243">
      <c r="G12243" s="16" t="str">
        <f>IFERROR(__xludf.DUMMYFUNCTION("""COMPUTED_VALUE"""),"")</f>
        <v/>
      </c>
    </row>
    <row r="12244">
      <c r="G12244" s="16" t="str">
        <f>IFERROR(__xludf.DUMMYFUNCTION("""COMPUTED_VALUE"""),"")</f>
        <v/>
      </c>
    </row>
    <row r="12245">
      <c r="G12245" s="16" t="str">
        <f>IFERROR(__xludf.DUMMYFUNCTION("""COMPUTED_VALUE"""),"")</f>
        <v/>
      </c>
    </row>
    <row r="12246">
      <c r="G12246" s="16" t="str">
        <f>IFERROR(__xludf.DUMMYFUNCTION("""COMPUTED_VALUE"""),"")</f>
        <v/>
      </c>
    </row>
    <row r="12247">
      <c r="G12247" s="16" t="str">
        <f>IFERROR(__xludf.DUMMYFUNCTION("""COMPUTED_VALUE"""),"")</f>
        <v/>
      </c>
    </row>
    <row r="12248">
      <c r="G12248" s="16" t="str">
        <f>IFERROR(__xludf.DUMMYFUNCTION("""COMPUTED_VALUE"""),"")</f>
        <v/>
      </c>
    </row>
    <row r="12249">
      <c r="G12249" s="16" t="str">
        <f>IFERROR(__xludf.DUMMYFUNCTION("""COMPUTED_VALUE"""),"")</f>
        <v/>
      </c>
    </row>
    <row r="12250">
      <c r="G12250" s="16" t="str">
        <f>IFERROR(__xludf.DUMMYFUNCTION("""COMPUTED_VALUE"""),"")</f>
        <v/>
      </c>
    </row>
    <row r="12251">
      <c r="G12251" s="16" t="str">
        <f>IFERROR(__xludf.DUMMYFUNCTION("""COMPUTED_VALUE"""),"")</f>
        <v/>
      </c>
    </row>
    <row r="12252">
      <c r="G12252" s="16" t="str">
        <f>IFERROR(__xludf.DUMMYFUNCTION("""COMPUTED_VALUE"""),"")</f>
        <v/>
      </c>
    </row>
    <row r="12253">
      <c r="G12253" s="16" t="str">
        <f>IFERROR(__xludf.DUMMYFUNCTION("""COMPUTED_VALUE"""),"")</f>
        <v/>
      </c>
    </row>
    <row r="12254">
      <c r="G12254" s="16" t="str">
        <f>IFERROR(__xludf.DUMMYFUNCTION("""COMPUTED_VALUE"""),"")</f>
        <v/>
      </c>
    </row>
    <row r="12255">
      <c r="G12255" s="16" t="str">
        <f>IFERROR(__xludf.DUMMYFUNCTION("""COMPUTED_VALUE"""),"")</f>
        <v/>
      </c>
    </row>
    <row r="12256">
      <c r="G12256" s="16" t="str">
        <f>IFERROR(__xludf.DUMMYFUNCTION("""COMPUTED_VALUE"""),"")</f>
        <v/>
      </c>
    </row>
    <row r="12257">
      <c r="G12257" s="16" t="str">
        <f>IFERROR(__xludf.DUMMYFUNCTION("""COMPUTED_VALUE"""),"")</f>
        <v/>
      </c>
    </row>
    <row r="12258">
      <c r="G12258" s="16" t="str">
        <f>IFERROR(__xludf.DUMMYFUNCTION("""COMPUTED_VALUE"""),"")</f>
        <v/>
      </c>
    </row>
    <row r="12259">
      <c r="G12259" s="16" t="str">
        <f>IFERROR(__xludf.DUMMYFUNCTION("""COMPUTED_VALUE"""),"")</f>
        <v/>
      </c>
    </row>
    <row r="12260">
      <c r="G12260" s="16" t="str">
        <f>IFERROR(__xludf.DUMMYFUNCTION("""COMPUTED_VALUE"""),"")</f>
        <v/>
      </c>
    </row>
    <row r="12261">
      <c r="G12261" s="16" t="str">
        <f>IFERROR(__xludf.DUMMYFUNCTION("""COMPUTED_VALUE"""),"")</f>
        <v/>
      </c>
    </row>
    <row r="12262">
      <c r="G12262" s="16" t="str">
        <f>IFERROR(__xludf.DUMMYFUNCTION("""COMPUTED_VALUE"""),"")</f>
        <v/>
      </c>
    </row>
    <row r="12263">
      <c r="G12263" s="16" t="str">
        <f>IFERROR(__xludf.DUMMYFUNCTION("""COMPUTED_VALUE"""),"")</f>
        <v/>
      </c>
    </row>
    <row r="12264">
      <c r="G12264" s="16" t="str">
        <f>IFERROR(__xludf.DUMMYFUNCTION("""COMPUTED_VALUE"""),"")</f>
        <v/>
      </c>
    </row>
    <row r="12265">
      <c r="G12265" s="16" t="str">
        <f>IFERROR(__xludf.DUMMYFUNCTION("""COMPUTED_VALUE"""),"")</f>
        <v/>
      </c>
    </row>
    <row r="12266">
      <c r="G12266" s="16" t="str">
        <f>IFERROR(__xludf.DUMMYFUNCTION("""COMPUTED_VALUE"""),"")</f>
        <v/>
      </c>
    </row>
    <row r="12267">
      <c r="G12267" s="16" t="str">
        <f>IFERROR(__xludf.DUMMYFUNCTION("""COMPUTED_VALUE"""),"")</f>
        <v/>
      </c>
    </row>
    <row r="12268">
      <c r="G12268" s="16" t="str">
        <f>IFERROR(__xludf.DUMMYFUNCTION("""COMPUTED_VALUE"""),"")</f>
        <v/>
      </c>
    </row>
    <row r="12269">
      <c r="G12269" s="16" t="str">
        <f>IFERROR(__xludf.DUMMYFUNCTION("""COMPUTED_VALUE"""),"")</f>
        <v/>
      </c>
    </row>
    <row r="12270">
      <c r="G12270" s="16" t="str">
        <f>IFERROR(__xludf.DUMMYFUNCTION("""COMPUTED_VALUE"""),"")</f>
        <v/>
      </c>
    </row>
    <row r="12271">
      <c r="G12271" s="16" t="str">
        <f>IFERROR(__xludf.DUMMYFUNCTION("""COMPUTED_VALUE"""),"")</f>
        <v/>
      </c>
    </row>
    <row r="12272">
      <c r="G12272" s="16" t="str">
        <f>IFERROR(__xludf.DUMMYFUNCTION("""COMPUTED_VALUE"""),"")</f>
        <v/>
      </c>
    </row>
    <row r="12273">
      <c r="G12273" s="16" t="str">
        <f>IFERROR(__xludf.DUMMYFUNCTION("""COMPUTED_VALUE"""),"")</f>
        <v/>
      </c>
    </row>
    <row r="12274">
      <c r="G12274" s="16" t="str">
        <f>IFERROR(__xludf.DUMMYFUNCTION("""COMPUTED_VALUE"""),"")</f>
        <v/>
      </c>
    </row>
    <row r="12275">
      <c r="G12275" s="16" t="str">
        <f>IFERROR(__xludf.DUMMYFUNCTION("""COMPUTED_VALUE"""),"")</f>
        <v/>
      </c>
    </row>
    <row r="12276">
      <c r="G12276" s="16" t="str">
        <f>IFERROR(__xludf.DUMMYFUNCTION("""COMPUTED_VALUE"""),"")</f>
        <v/>
      </c>
    </row>
    <row r="12277">
      <c r="G12277" s="16" t="str">
        <f>IFERROR(__xludf.DUMMYFUNCTION("""COMPUTED_VALUE"""),"")</f>
        <v/>
      </c>
    </row>
    <row r="12278">
      <c r="G12278" s="16" t="str">
        <f>IFERROR(__xludf.DUMMYFUNCTION("""COMPUTED_VALUE"""),"")</f>
        <v/>
      </c>
    </row>
    <row r="12279">
      <c r="G12279" s="16" t="str">
        <f>IFERROR(__xludf.DUMMYFUNCTION("""COMPUTED_VALUE"""),"")</f>
        <v/>
      </c>
    </row>
    <row r="12280">
      <c r="G12280" s="16" t="str">
        <f>IFERROR(__xludf.DUMMYFUNCTION("""COMPUTED_VALUE"""),"")</f>
        <v/>
      </c>
    </row>
    <row r="12281">
      <c r="G12281" s="16" t="str">
        <f>IFERROR(__xludf.DUMMYFUNCTION("""COMPUTED_VALUE"""),"")</f>
        <v/>
      </c>
    </row>
    <row r="12282">
      <c r="G12282" s="16" t="str">
        <f>IFERROR(__xludf.DUMMYFUNCTION("""COMPUTED_VALUE"""),"")</f>
        <v/>
      </c>
    </row>
    <row r="12283">
      <c r="G12283" s="16" t="str">
        <f>IFERROR(__xludf.DUMMYFUNCTION("""COMPUTED_VALUE"""),"")</f>
        <v/>
      </c>
    </row>
    <row r="12284">
      <c r="G12284" s="16" t="str">
        <f>IFERROR(__xludf.DUMMYFUNCTION("""COMPUTED_VALUE"""),"")</f>
        <v/>
      </c>
    </row>
    <row r="12285">
      <c r="G12285" s="16" t="str">
        <f>IFERROR(__xludf.DUMMYFUNCTION("""COMPUTED_VALUE"""),"")</f>
        <v/>
      </c>
    </row>
    <row r="12286">
      <c r="G12286" s="16" t="str">
        <f>IFERROR(__xludf.DUMMYFUNCTION("""COMPUTED_VALUE"""),"")</f>
        <v/>
      </c>
    </row>
    <row r="12287">
      <c r="G12287" s="16" t="str">
        <f>IFERROR(__xludf.DUMMYFUNCTION("""COMPUTED_VALUE"""),"")</f>
        <v/>
      </c>
    </row>
    <row r="12288">
      <c r="G12288" s="16" t="str">
        <f>IFERROR(__xludf.DUMMYFUNCTION("""COMPUTED_VALUE"""),"")</f>
        <v/>
      </c>
    </row>
    <row r="12289">
      <c r="G12289" s="16" t="str">
        <f>IFERROR(__xludf.DUMMYFUNCTION("""COMPUTED_VALUE"""),"")</f>
        <v/>
      </c>
    </row>
    <row r="12290">
      <c r="G12290" s="16" t="str">
        <f>IFERROR(__xludf.DUMMYFUNCTION("""COMPUTED_VALUE"""),"")</f>
        <v/>
      </c>
    </row>
    <row r="12291">
      <c r="G12291" s="16" t="str">
        <f>IFERROR(__xludf.DUMMYFUNCTION("""COMPUTED_VALUE"""),"")</f>
        <v/>
      </c>
    </row>
    <row r="12292">
      <c r="G12292" s="16" t="str">
        <f>IFERROR(__xludf.DUMMYFUNCTION("""COMPUTED_VALUE"""),"")</f>
        <v/>
      </c>
    </row>
    <row r="12293">
      <c r="G12293" s="16" t="str">
        <f>IFERROR(__xludf.DUMMYFUNCTION("""COMPUTED_VALUE"""),"")</f>
        <v/>
      </c>
    </row>
    <row r="12294">
      <c r="G12294" s="16" t="str">
        <f>IFERROR(__xludf.DUMMYFUNCTION("""COMPUTED_VALUE"""),"")</f>
        <v/>
      </c>
    </row>
    <row r="12295">
      <c r="G12295" s="16" t="str">
        <f>IFERROR(__xludf.DUMMYFUNCTION("""COMPUTED_VALUE"""),"")</f>
        <v/>
      </c>
    </row>
    <row r="12296">
      <c r="G12296" s="16" t="str">
        <f>IFERROR(__xludf.DUMMYFUNCTION("""COMPUTED_VALUE"""),"")</f>
        <v/>
      </c>
    </row>
    <row r="12297">
      <c r="G12297" s="16" t="str">
        <f>IFERROR(__xludf.DUMMYFUNCTION("""COMPUTED_VALUE"""),"")</f>
        <v/>
      </c>
    </row>
    <row r="12298">
      <c r="G12298" s="16" t="str">
        <f>IFERROR(__xludf.DUMMYFUNCTION("""COMPUTED_VALUE"""),"")</f>
        <v/>
      </c>
    </row>
    <row r="12299">
      <c r="G12299" s="16" t="str">
        <f>IFERROR(__xludf.DUMMYFUNCTION("""COMPUTED_VALUE"""),"")</f>
        <v/>
      </c>
    </row>
    <row r="12300">
      <c r="G12300" s="16" t="str">
        <f>IFERROR(__xludf.DUMMYFUNCTION("""COMPUTED_VALUE"""),"")</f>
        <v/>
      </c>
    </row>
    <row r="12301">
      <c r="G12301" s="16" t="str">
        <f>IFERROR(__xludf.DUMMYFUNCTION("""COMPUTED_VALUE"""),"")</f>
        <v/>
      </c>
    </row>
    <row r="12302">
      <c r="G12302" s="16" t="str">
        <f>IFERROR(__xludf.DUMMYFUNCTION("""COMPUTED_VALUE"""),"")</f>
        <v/>
      </c>
    </row>
    <row r="12303">
      <c r="G12303" s="16" t="str">
        <f>IFERROR(__xludf.DUMMYFUNCTION("""COMPUTED_VALUE"""),"")</f>
        <v/>
      </c>
    </row>
    <row r="12304">
      <c r="G12304" s="16" t="str">
        <f>IFERROR(__xludf.DUMMYFUNCTION("""COMPUTED_VALUE"""),"")</f>
        <v/>
      </c>
    </row>
    <row r="12305">
      <c r="G12305" s="16" t="str">
        <f>IFERROR(__xludf.DUMMYFUNCTION("""COMPUTED_VALUE"""),"")</f>
        <v/>
      </c>
    </row>
    <row r="12306">
      <c r="G12306" s="16" t="str">
        <f>IFERROR(__xludf.DUMMYFUNCTION("""COMPUTED_VALUE"""),"")</f>
        <v/>
      </c>
    </row>
    <row r="12307">
      <c r="G12307" s="16" t="str">
        <f>IFERROR(__xludf.DUMMYFUNCTION("""COMPUTED_VALUE"""),"")</f>
        <v/>
      </c>
    </row>
    <row r="12308">
      <c r="G12308" s="16" t="str">
        <f>IFERROR(__xludf.DUMMYFUNCTION("""COMPUTED_VALUE"""),"")</f>
        <v/>
      </c>
    </row>
    <row r="12309">
      <c r="G12309" s="16" t="str">
        <f>IFERROR(__xludf.DUMMYFUNCTION("""COMPUTED_VALUE"""),"")</f>
        <v/>
      </c>
    </row>
    <row r="12310">
      <c r="G12310" s="16" t="str">
        <f>IFERROR(__xludf.DUMMYFUNCTION("""COMPUTED_VALUE"""),"")</f>
        <v/>
      </c>
    </row>
    <row r="12311">
      <c r="G12311" s="16" t="str">
        <f>IFERROR(__xludf.DUMMYFUNCTION("""COMPUTED_VALUE"""),"")</f>
        <v/>
      </c>
    </row>
    <row r="12312">
      <c r="G12312" s="16" t="str">
        <f>IFERROR(__xludf.DUMMYFUNCTION("""COMPUTED_VALUE"""),"")</f>
        <v/>
      </c>
    </row>
    <row r="12313">
      <c r="G12313" s="16" t="str">
        <f>IFERROR(__xludf.DUMMYFUNCTION("""COMPUTED_VALUE"""),"")</f>
        <v/>
      </c>
    </row>
    <row r="12314">
      <c r="G12314" s="16" t="str">
        <f>IFERROR(__xludf.DUMMYFUNCTION("""COMPUTED_VALUE"""),"")</f>
        <v/>
      </c>
    </row>
    <row r="12315">
      <c r="G12315" s="16" t="str">
        <f>IFERROR(__xludf.DUMMYFUNCTION("""COMPUTED_VALUE"""),"")</f>
        <v/>
      </c>
    </row>
    <row r="12316">
      <c r="G12316" s="16" t="str">
        <f>IFERROR(__xludf.DUMMYFUNCTION("""COMPUTED_VALUE"""),"")</f>
        <v/>
      </c>
    </row>
    <row r="12317">
      <c r="G12317" s="16" t="str">
        <f>IFERROR(__xludf.DUMMYFUNCTION("""COMPUTED_VALUE"""),"")</f>
        <v/>
      </c>
    </row>
    <row r="12318">
      <c r="G12318" s="16" t="str">
        <f>IFERROR(__xludf.DUMMYFUNCTION("""COMPUTED_VALUE"""),"")</f>
        <v/>
      </c>
    </row>
    <row r="12319">
      <c r="G12319" s="16" t="str">
        <f>IFERROR(__xludf.DUMMYFUNCTION("""COMPUTED_VALUE"""),"")</f>
        <v/>
      </c>
    </row>
    <row r="12320">
      <c r="G12320" s="16" t="str">
        <f>IFERROR(__xludf.DUMMYFUNCTION("""COMPUTED_VALUE"""),"")</f>
        <v/>
      </c>
    </row>
    <row r="12321">
      <c r="G12321" s="16" t="str">
        <f>IFERROR(__xludf.DUMMYFUNCTION("""COMPUTED_VALUE"""),"")</f>
        <v/>
      </c>
    </row>
    <row r="12322">
      <c r="G12322" s="16" t="str">
        <f>IFERROR(__xludf.DUMMYFUNCTION("""COMPUTED_VALUE"""),"")</f>
        <v/>
      </c>
    </row>
    <row r="12323">
      <c r="G12323" s="16" t="str">
        <f>IFERROR(__xludf.DUMMYFUNCTION("""COMPUTED_VALUE"""),"")</f>
        <v/>
      </c>
    </row>
    <row r="12324">
      <c r="G12324" s="16" t="str">
        <f>IFERROR(__xludf.DUMMYFUNCTION("""COMPUTED_VALUE"""),"")</f>
        <v/>
      </c>
    </row>
    <row r="12325">
      <c r="G12325" s="16" t="str">
        <f>IFERROR(__xludf.DUMMYFUNCTION("""COMPUTED_VALUE"""),"")</f>
        <v/>
      </c>
    </row>
    <row r="12326">
      <c r="G12326" s="16" t="str">
        <f>IFERROR(__xludf.DUMMYFUNCTION("""COMPUTED_VALUE"""),"")</f>
        <v/>
      </c>
    </row>
    <row r="12327">
      <c r="G12327" s="16" t="str">
        <f>IFERROR(__xludf.DUMMYFUNCTION("""COMPUTED_VALUE"""),"")</f>
        <v/>
      </c>
    </row>
    <row r="12328">
      <c r="G12328" s="16" t="str">
        <f>IFERROR(__xludf.DUMMYFUNCTION("""COMPUTED_VALUE"""),"")</f>
        <v/>
      </c>
    </row>
    <row r="12329">
      <c r="G12329" s="16" t="str">
        <f>IFERROR(__xludf.DUMMYFUNCTION("""COMPUTED_VALUE"""),"")</f>
        <v/>
      </c>
    </row>
    <row r="12330">
      <c r="G12330" s="16" t="str">
        <f>IFERROR(__xludf.DUMMYFUNCTION("""COMPUTED_VALUE"""),"")</f>
        <v/>
      </c>
    </row>
    <row r="12331">
      <c r="G12331" s="16" t="str">
        <f>IFERROR(__xludf.DUMMYFUNCTION("""COMPUTED_VALUE"""),"")</f>
        <v/>
      </c>
    </row>
    <row r="12332">
      <c r="G12332" s="16" t="str">
        <f>IFERROR(__xludf.DUMMYFUNCTION("""COMPUTED_VALUE"""),"")</f>
        <v/>
      </c>
    </row>
    <row r="12333">
      <c r="G12333" s="16" t="str">
        <f>IFERROR(__xludf.DUMMYFUNCTION("""COMPUTED_VALUE"""),"")</f>
        <v/>
      </c>
    </row>
    <row r="12334">
      <c r="G12334" s="16" t="str">
        <f>IFERROR(__xludf.DUMMYFUNCTION("""COMPUTED_VALUE"""),"")</f>
        <v/>
      </c>
    </row>
    <row r="12335">
      <c r="G12335" s="16" t="str">
        <f>IFERROR(__xludf.DUMMYFUNCTION("""COMPUTED_VALUE"""),"")</f>
        <v/>
      </c>
    </row>
    <row r="12336">
      <c r="G12336" s="16" t="str">
        <f>IFERROR(__xludf.DUMMYFUNCTION("""COMPUTED_VALUE"""),"")</f>
        <v/>
      </c>
    </row>
    <row r="12337">
      <c r="G12337" s="16" t="str">
        <f>IFERROR(__xludf.DUMMYFUNCTION("""COMPUTED_VALUE"""),"")</f>
        <v/>
      </c>
    </row>
    <row r="12338">
      <c r="G12338" s="16" t="str">
        <f>IFERROR(__xludf.DUMMYFUNCTION("""COMPUTED_VALUE"""),"")</f>
        <v/>
      </c>
    </row>
    <row r="12339">
      <c r="G12339" s="16" t="str">
        <f>IFERROR(__xludf.DUMMYFUNCTION("""COMPUTED_VALUE"""),"")</f>
        <v/>
      </c>
    </row>
    <row r="12340">
      <c r="G12340" s="16" t="str">
        <f>IFERROR(__xludf.DUMMYFUNCTION("""COMPUTED_VALUE"""),"")</f>
        <v/>
      </c>
    </row>
    <row r="12341">
      <c r="G12341" s="16" t="str">
        <f>IFERROR(__xludf.DUMMYFUNCTION("""COMPUTED_VALUE"""),"")</f>
        <v/>
      </c>
    </row>
    <row r="12342">
      <c r="G12342" s="16" t="str">
        <f>IFERROR(__xludf.DUMMYFUNCTION("""COMPUTED_VALUE"""),"")</f>
        <v/>
      </c>
    </row>
    <row r="12343">
      <c r="G12343" s="16" t="str">
        <f>IFERROR(__xludf.DUMMYFUNCTION("""COMPUTED_VALUE"""),"")</f>
        <v/>
      </c>
    </row>
    <row r="12344">
      <c r="G12344" s="16" t="str">
        <f>IFERROR(__xludf.DUMMYFUNCTION("""COMPUTED_VALUE"""),"")</f>
        <v/>
      </c>
    </row>
    <row r="12345">
      <c r="G12345" s="16" t="str">
        <f>IFERROR(__xludf.DUMMYFUNCTION("""COMPUTED_VALUE"""),"")</f>
        <v/>
      </c>
    </row>
    <row r="12346">
      <c r="G12346" s="16" t="str">
        <f>IFERROR(__xludf.DUMMYFUNCTION("""COMPUTED_VALUE"""),"")</f>
        <v/>
      </c>
    </row>
    <row r="12347">
      <c r="G12347" s="16" t="str">
        <f>IFERROR(__xludf.DUMMYFUNCTION("""COMPUTED_VALUE"""),"")</f>
        <v/>
      </c>
    </row>
    <row r="12348">
      <c r="G12348" s="16" t="str">
        <f>IFERROR(__xludf.DUMMYFUNCTION("""COMPUTED_VALUE"""),"")</f>
        <v/>
      </c>
    </row>
    <row r="12349">
      <c r="G12349" s="16" t="str">
        <f>IFERROR(__xludf.DUMMYFUNCTION("""COMPUTED_VALUE"""),"")</f>
        <v/>
      </c>
    </row>
    <row r="12350">
      <c r="G12350" s="16" t="str">
        <f>IFERROR(__xludf.DUMMYFUNCTION("""COMPUTED_VALUE"""),"")</f>
        <v/>
      </c>
    </row>
    <row r="12351">
      <c r="G12351" s="16" t="str">
        <f>IFERROR(__xludf.DUMMYFUNCTION("""COMPUTED_VALUE"""),"")</f>
        <v/>
      </c>
    </row>
    <row r="12352">
      <c r="G12352" s="16" t="str">
        <f>IFERROR(__xludf.DUMMYFUNCTION("""COMPUTED_VALUE"""),"")</f>
        <v/>
      </c>
    </row>
    <row r="12353">
      <c r="G12353" s="16" t="str">
        <f>IFERROR(__xludf.DUMMYFUNCTION("""COMPUTED_VALUE"""),"")</f>
        <v/>
      </c>
    </row>
    <row r="12354">
      <c r="G12354" s="16" t="str">
        <f>IFERROR(__xludf.DUMMYFUNCTION("""COMPUTED_VALUE"""),"")</f>
        <v/>
      </c>
    </row>
    <row r="12355">
      <c r="G12355" s="16" t="str">
        <f>IFERROR(__xludf.DUMMYFUNCTION("""COMPUTED_VALUE"""),"")</f>
        <v/>
      </c>
    </row>
    <row r="12356">
      <c r="G12356" s="16" t="str">
        <f>IFERROR(__xludf.DUMMYFUNCTION("""COMPUTED_VALUE"""),"")</f>
        <v/>
      </c>
    </row>
    <row r="12357">
      <c r="G12357" s="16" t="str">
        <f>IFERROR(__xludf.DUMMYFUNCTION("""COMPUTED_VALUE"""),"")</f>
        <v/>
      </c>
    </row>
    <row r="12358">
      <c r="G12358" s="16" t="str">
        <f>IFERROR(__xludf.DUMMYFUNCTION("""COMPUTED_VALUE"""),"")</f>
        <v/>
      </c>
    </row>
    <row r="12359">
      <c r="G12359" s="16" t="str">
        <f>IFERROR(__xludf.DUMMYFUNCTION("""COMPUTED_VALUE"""),"")</f>
        <v/>
      </c>
    </row>
    <row r="12360">
      <c r="G12360" s="16" t="str">
        <f>IFERROR(__xludf.DUMMYFUNCTION("""COMPUTED_VALUE"""),"")</f>
        <v/>
      </c>
    </row>
    <row r="12361">
      <c r="G12361" s="16" t="str">
        <f>IFERROR(__xludf.DUMMYFUNCTION("""COMPUTED_VALUE"""),"")</f>
        <v/>
      </c>
    </row>
    <row r="12362">
      <c r="G12362" s="16" t="str">
        <f>IFERROR(__xludf.DUMMYFUNCTION("""COMPUTED_VALUE"""),"")</f>
        <v/>
      </c>
    </row>
    <row r="12363">
      <c r="G12363" s="16" t="str">
        <f>IFERROR(__xludf.DUMMYFUNCTION("""COMPUTED_VALUE"""),"")</f>
        <v/>
      </c>
    </row>
    <row r="12364">
      <c r="G12364" s="16" t="str">
        <f>IFERROR(__xludf.DUMMYFUNCTION("""COMPUTED_VALUE"""),"")</f>
        <v/>
      </c>
    </row>
    <row r="12365">
      <c r="G12365" s="16" t="str">
        <f>IFERROR(__xludf.DUMMYFUNCTION("""COMPUTED_VALUE"""),"")</f>
        <v/>
      </c>
    </row>
    <row r="12366">
      <c r="G12366" s="16" t="str">
        <f>IFERROR(__xludf.DUMMYFUNCTION("""COMPUTED_VALUE"""),"")</f>
        <v/>
      </c>
    </row>
    <row r="12367">
      <c r="G12367" s="16" t="str">
        <f>IFERROR(__xludf.DUMMYFUNCTION("""COMPUTED_VALUE"""),"")</f>
        <v/>
      </c>
    </row>
    <row r="12368">
      <c r="G12368" s="16" t="str">
        <f>IFERROR(__xludf.DUMMYFUNCTION("""COMPUTED_VALUE"""),"")</f>
        <v/>
      </c>
    </row>
    <row r="12369">
      <c r="G12369" s="16" t="str">
        <f>IFERROR(__xludf.DUMMYFUNCTION("""COMPUTED_VALUE"""),"")</f>
        <v/>
      </c>
    </row>
    <row r="12370">
      <c r="G12370" s="16" t="str">
        <f>IFERROR(__xludf.DUMMYFUNCTION("""COMPUTED_VALUE"""),"")</f>
        <v/>
      </c>
    </row>
    <row r="12371">
      <c r="G12371" s="16" t="str">
        <f>IFERROR(__xludf.DUMMYFUNCTION("""COMPUTED_VALUE"""),"")</f>
        <v/>
      </c>
    </row>
    <row r="12372">
      <c r="G12372" s="16" t="str">
        <f>IFERROR(__xludf.DUMMYFUNCTION("""COMPUTED_VALUE"""),"")</f>
        <v/>
      </c>
    </row>
    <row r="12373">
      <c r="G12373" s="16" t="str">
        <f>IFERROR(__xludf.DUMMYFUNCTION("""COMPUTED_VALUE"""),"")</f>
        <v/>
      </c>
    </row>
    <row r="12374">
      <c r="G12374" s="16" t="str">
        <f>IFERROR(__xludf.DUMMYFUNCTION("""COMPUTED_VALUE"""),"")</f>
        <v/>
      </c>
    </row>
    <row r="12375">
      <c r="G12375" s="16" t="str">
        <f>IFERROR(__xludf.DUMMYFUNCTION("""COMPUTED_VALUE"""),"")</f>
        <v/>
      </c>
    </row>
    <row r="12376">
      <c r="G12376" s="16" t="str">
        <f>IFERROR(__xludf.DUMMYFUNCTION("""COMPUTED_VALUE"""),"")</f>
        <v/>
      </c>
    </row>
    <row r="12377">
      <c r="G12377" s="16" t="str">
        <f>IFERROR(__xludf.DUMMYFUNCTION("""COMPUTED_VALUE"""),"")</f>
        <v/>
      </c>
    </row>
    <row r="12378">
      <c r="G12378" s="16" t="str">
        <f>IFERROR(__xludf.DUMMYFUNCTION("""COMPUTED_VALUE"""),"")</f>
        <v/>
      </c>
    </row>
    <row r="12379">
      <c r="G12379" s="16" t="str">
        <f>IFERROR(__xludf.DUMMYFUNCTION("""COMPUTED_VALUE"""),"")</f>
        <v/>
      </c>
    </row>
    <row r="12380">
      <c r="G12380" s="16" t="str">
        <f>IFERROR(__xludf.DUMMYFUNCTION("""COMPUTED_VALUE"""),"")</f>
        <v/>
      </c>
    </row>
    <row r="12381">
      <c r="G12381" s="16" t="str">
        <f>IFERROR(__xludf.DUMMYFUNCTION("""COMPUTED_VALUE"""),"")</f>
        <v/>
      </c>
    </row>
    <row r="12382">
      <c r="G12382" s="16" t="str">
        <f>IFERROR(__xludf.DUMMYFUNCTION("""COMPUTED_VALUE"""),"")</f>
        <v/>
      </c>
    </row>
    <row r="12383">
      <c r="G12383" s="16" t="str">
        <f>IFERROR(__xludf.DUMMYFUNCTION("""COMPUTED_VALUE"""),"")</f>
        <v/>
      </c>
    </row>
    <row r="12384">
      <c r="G12384" s="16" t="str">
        <f>IFERROR(__xludf.DUMMYFUNCTION("""COMPUTED_VALUE"""),"")</f>
        <v/>
      </c>
    </row>
    <row r="12385">
      <c r="G12385" s="16" t="str">
        <f>IFERROR(__xludf.DUMMYFUNCTION("""COMPUTED_VALUE"""),"")</f>
        <v/>
      </c>
    </row>
    <row r="12386">
      <c r="G12386" s="16" t="str">
        <f>IFERROR(__xludf.DUMMYFUNCTION("""COMPUTED_VALUE"""),"")</f>
        <v/>
      </c>
    </row>
    <row r="12387">
      <c r="G12387" s="16" t="str">
        <f>IFERROR(__xludf.DUMMYFUNCTION("""COMPUTED_VALUE"""),"")</f>
        <v/>
      </c>
    </row>
    <row r="12388">
      <c r="G12388" s="16" t="str">
        <f>IFERROR(__xludf.DUMMYFUNCTION("""COMPUTED_VALUE"""),"")</f>
        <v/>
      </c>
    </row>
    <row r="12389">
      <c r="G12389" s="16" t="str">
        <f>IFERROR(__xludf.DUMMYFUNCTION("""COMPUTED_VALUE"""),"")</f>
        <v/>
      </c>
    </row>
    <row r="12390">
      <c r="G12390" s="16" t="str">
        <f>IFERROR(__xludf.DUMMYFUNCTION("""COMPUTED_VALUE"""),"")</f>
        <v/>
      </c>
    </row>
    <row r="12391">
      <c r="G12391" s="16" t="str">
        <f>IFERROR(__xludf.DUMMYFUNCTION("""COMPUTED_VALUE"""),"")</f>
        <v/>
      </c>
    </row>
    <row r="12392">
      <c r="G12392" s="16" t="str">
        <f>IFERROR(__xludf.DUMMYFUNCTION("""COMPUTED_VALUE"""),"")</f>
        <v/>
      </c>
    </row>
    <row r="12393">
      <c r="G12393" s="16" t="str">
        <f>IFERROR(__xludf.DUMMYFUNCTION("""COMPUTED_VALUE"""),"")</f>
        <v/>
      </c>
    </row>
    <row r="12394">
      <c r="G12394" s="16" t="str">
        <f>IFERROR(__xludf.DUMMYFUNCTION("""COMPUTED_VALUE"""),"")</f>
        <v/>
      </c>
    </row>
    <row r="12395">
      <c r="G12395" s="16" t="str">
        <f>IFERROR(__xludf.DUMMYFUNCTION("""COMPUTED_VALUE"""),"")</f>
        <v/>
      </c>
    </row>
    <row r="12396">
      <c r="G12396" s="16" t="str">
        <f>IFERROR(__xludf.DUMMYFUNCTION("""COMPUTED_VALUE"""),"")</f>
        <v/>
      </c>
    </row>
    <row r="12397">
      <c r="G12397" s="16" t="str">
        <f>IFERROR(__xludf.DUMMYFUNCTION("""COMPUTED_VALUE"""),"")</f>
        <v/>
      </c>
    </row>
    <row r="12398">
      <c r="G12398" s="16" t="str">
        <f>IFERROR(__xludf.DUMMYFUNCTION("""COMPUTED_VALUE"""),"")</f>
        <v/>
      </c>
    </row>
    <row r="12399">
      <c r="G12399" s="16" t="str">
        <f>IFERROR(__xludf.DUMMYFUNCTION("""COMPUTED_VALUE"""),"")</f>
        <v/>
      </c>
    </row>
    <row r="12400">
      <c r="G12400" s="16" t="str">
        <f>IFERROR(__xludf.DUMMYFUNCTION("""COMPUTED_VALUE"""),"")</f>
        <v/>
      </c>
    </row>
    <row r="12401">
      <c r="G12401" s="16" t="str">
        <f>IFERROR(__xludf.DUMMYFUNCTION("""COMPUTED_VALUE"""),"")</f>
        <v/>
      </c>
    </row>
    <row r="12402">
      <c r="G12402" s="16" t="str">
        <f>IFERROR(__xludf.DUMMYFUNCTION("""COMPUTED_VALUE"""),"")</f>
        <v/>
      </c>
    </row>
    <row r="12403">
      <c r="G12403" s="16" t="str">
        <f>IFERROR(__xludf.DUMMYFUNCTION("""COMPUTED_VALUE"""),"")</f>
        <v/>
      </c>
    </row>
    <row r="12404">
      <c r="G12404" s="16" t="str">
        <f>IFERROR(__xludf.DUMMYFUNCTION("""COMPUTED_VALUE"""),"")</f>
        <v/>
      </c>
    </row>
    <row r="12405">
      <c r="G12405" s="16" t="str">
        <f>IFERROR(__xludf.DUMMYFUNCTION("""COMPUTED_VALUE"""),"")</f>
        <v/>
      </c>
    </row>
    <row r="12406">
      <c r="G12406" s="16" t="str">
        <f>IFERROR(__xludf.DUMMYFUNCTION("""COMPUTED_VALUE"""),"")</f>
        <v/>
      </c>
    </row>
    <row r="12407">
      <c r="G12407" s="16" t="str">
        <f>IFERROR(__xludf.DUMMYFUNCTION("""COMPUTED_VALUE"""),"")</f>
        <v/>
      </c>
    </row>
    <row r="12408">
      <c r="G12408" s="16" t="str">
        <f>IFERROR(__xludf.DUMMYFUNCTION("""COMPUTED_VALUE"""),"")</f>
        <v/>
      </c>
    </row>
    <row r="12409">
      <c r="G12409" s="16" t="str">
        <f>IFERROR(__xludf.DUMMYFUNCTION("""COMPUTED_VALUE"""),"")</f>
        <v/>
      </c>
    </row>
    <row r="12410">
      <c r="G12410" s="16" t="str">
        <f>IFERROR(__xludf.DUMMYFUNCTION("""COMPUTED_VALUE"""),"")</f>
        <v/>
      </c>
    </row>
    <row r="12411">
      <c r="G12411" s="16" t="str">
        <f>IFERROR(__xludf.DUMMYFUNCTION("""COMPUTED_VALUE"""),"")</f>
        <v/>
      </c>
    </row>
    <row r="12412">
      <c r="G12412" s="16" t="str">
        <f>IFERROR(__xludf.DUMMYFUNCTION("""COMPUTED_VALUE"""),"")</f>
        <v/>
      </c>
    </row>
    <row r="12413">
      <c r="G12413" s="16" t="str">
        <f>IFERROR(__xludf.DUMMYFUNCTION("""COMPUTED_VALUE"""),"")</f>
        <v/>
      </c>
    </row>
    <row r="12414">
      <c r="G12414" s="16" t="str">
        <f>IFERROR(__xludf.DUMMYFUNCTION("""COMPUTED_VALUE"""),"")</f>
        <v/>
      </c>
    </row>
    <row r="12415">
      <c r="G12415" s="16" t="str">
        <f>IFERROR(__xludf.DUMMYFUNCTION("""COMPUTED_VALUE"""),"")</f>
        <v/>
      </c>
    </row>
    <row r="12416">
      <c r="G12416" s="16" t="str">
        <f>IFERROR(__xludf.DUMMYFUNCTION("""COMPUTED_VALUE"""),"")</f>
        <v/>
      </c>
    </row>
    <row r="12417">
      <c r="G12417" s="16" t="str">
        <f>IFERROR(__xludf.DUMMYFUNCTION("""COMPUTED_VALUE"""),"")</f>
        <v/>
      </c>
    </row>
    <row r="12418">
      <c r="G12418" s="16" t="str">
        <f>IFERROR(__xludf.DUMMYFUNCTION("""COMPUTED_VALUE"""),"")</f>
        <v/>
      </c>
    </row>
    <row r="12419">
      <c r="G12419" s="16" t="str">
        <f>IFERROR(__xludf.DUMMYFUNCTION("""COMPUTED_VALUE"""),"")</f>
        <v/>
      </c>
    </row>
    <row r="12420">
      <c r="G12420" s="16" t="str">
        <f>IFERROR(__xludf.DUMMYFUNCTION("""COMPUTED_VALUE"""),"")</f>
        <v/>
      </c>
    </row>
    <row r="12421">
      <c r="G12421" s="16" t="str">
        <f>IFERROR(__xludf.DUMMYFUNCTION("""COMPUTED_VALUE"""),"")</f>
        <v/>
      </c>
    </row>
    <row r="12422">
      <c r="G12422" s="16" t="str">
        <f>IFERROR(__xludf.DUMMYFUNCTION("""COMPUTED_VALUE"""),"")</f>
        <v/>
      </c>
    </row>
    <row r="12423">
      <c r="G12423" s="16" t="str">
        <f>IFERROR(__xludf.DUMMYFUNCTION("""COMPUTED_VALUE"""),"")</f>
        <v/>
      </c>
    </row>
    <row r="12424">
      <c r="G12424" s="16" t="str">
        <f>IFERROR(__xludf.DUMMYFUNCTION("""COMPUTED_VALUE"""),"")</f>
        <v/>
      </c>
    </row>
    <row r="12425">
      <c r="G12425" s="16" t="str">
        <f>IFERROR(__xludf.DUMMYFUNCTION("""COMPUTED_VALUE"""),"")</f>
        <v/>
      </c>
    </row>
    <row r="12426">
      <c r="G12426" s="16" t="str">
        <f>IFERROR(__xludf.DUMMYFUNCTION("""COMPUTED_VALUE"""),"")</f>
        <v/>
      </c>
    </row>
    <row r="12427">
      <c r="G12427" s="16" t="str">
        <f>IFERROR(__xludf.DUMMYFUNCTION("""COMPUTED_VALUE"""),"")</f>
        <v/>
      </c>
    </row>
    <row r="12428">
      <c r="G12428" s="16" t="str">
        <f>IFERROR(__xludf.DUMMYFUNCTION("""COMPUTED_VALUE"""),"")</f>
        <v/>
      </c>
    </row>
    <row r="12429">
      <c r="G12429" s="16" t="str">
        <f>IFERROR(__xludf.DUMMYFUNCTION("""COMPUTED_VALUE"""),"")</f>
        <v/>
      </c>
    </row>
    <row r="12430">
      <c r="G12430" s="16" t="str">
        <f>IFERROR(__xludf.DUMMYFUNCTION("""COMPUTED_VALUE"""),"")</f>
        <v/>
      </c>
    </row>
    <row r="12431">
      <c r="G12431" s="16" t="str">
        <f>IFERROR(__xludf.DUMMYFUNCTION("""COMPUTED_VALUE"""),"")</f>
        <v/>
      </c>
    </row>
    <row r="12432">
      <c r="G12432" s="16" t="str">
        <f>IFERROR(__xludf.DUMMYFUNCTION("""COMPUTED_VALUE"""),"")</f>
        <v/>
      </c>
    </row>
    <row r="12433">
      <c r="G12433" s="16" t="str">
        <f>IFERROR(__xludf.DUMMYFUNCTION("""COMPUTED_VALUE"""),"")</f>
        <v/>
      </c>
    </row>
    <row r="12434">
      <c r="G12434" s="16" t="str">
        <f>IFERROR(__xludf.DUMMYFUNCTION("""COMPUTED_VALUE"""),"")</f>
        <v/>
      </c>
    </row>
    <row r="12435">
      <c r="G12435" s="16" t="str">
        <f>IFERROR(__xludf.DUMMYFUNCTION("""COMPUTED_VALUE"""),"")</f>
        <v/>
      </c>
    </row>
    <row r="12436">
      <c r="G12436" s="16" t="str">
        <f>IFERROR(__xludf.DUMMYFUNCTION("""COMPUTED_VALUE"""),"")</f>
        <v/>
      </c>
    </row>
    <row r="12437">
      <c r="G12437" s="16" t="str">
        <f>IFERROR(__xludf.DUMMYFUNCTION("""COMPUTED_VALUE"""),"")</f>
        <v/>
      </c>
    </row>
    <row r="12438">
      <c r="G12438" s="16" t="str">
        <f>IFERROR(__xludf.DUMMYFUNCTION("""COMPUTED_VALUE"""),"")</f>
        <v/>
      </c>
    </row>
    <row r="12439">
      <c r="G12439" s="16" t="str">
        <f>IFERROR(__xludf.DUMMYFUNCTION("""COMPUTED_VALUE"""),"")</f>
        <v/>
      </c>
    </row>
    <row r="12440">
      <c r="G12440" s="16" t="str">
        <f>IFERROR(__xludf.DUMMYFUNCTION("""COMPUTED_VALUE"""),"")</f>
        <v/>
      </c>
    </row>
    <row r="12441">
      <c r="G12441" s="16" t="str">
        <f>IFERROR(__xludf.DUMMYFUNCTION("""COMPUTED_VALUE"""),"")</f>
        <v/>
      </c>
    </row>
    <row r="12442">
      <c r="G12442" s="16" t="str">
        <f>IFERROR(__xludf.DUMMYFUNCTION("""COMPUTED_VALUE"""),"")</f>
        <v/>
      </c>
    </row>
    <row r="12443">
      <c r="G12443" s="16" t="str">
        <f>IFERROR(__xludf.DUMMYFUNCTION("""COMPUTED_VALUE"""),"")</f>
        <v/>
      </c>
    </row>
    <row r="12444">
      <c r="G12444" s="16" t="str">
        <f>IFERROR(__xludf.DUMMYFUNCTION("""COMPUTED_VALUE"""),"")</f>
        <v/>
      </c>
    </row>
    <row r="12445">
      <c r="G12445" s="16" t="str">
        <f>IFERROR(__xludf.DUMMYFUNCTION("""COMPUTED_VALUE"""),"")</f>
        <v/>
      </c>
    </row>
    <row r="12446">
      <c r="G12446" s="16" t="str">
        <f>IFERROR(__xludf.DUMMYFUNCTION("""COMPUTED_VALUE"""),"")</f>
        <v/>
      </c>
    </row>
    <row r="12447">
      <c r="G12447" s="16" t="str">
        <f>IFERROR(__xludf.DUMMYFUNCTION("""COMPUTED_VALUE"""),"")</f>
        <v/>
      </c>
    </row>
    <row r="12448">
      <c r="G12448" s="16" t="str">
        <f>IFERROR(__xludf.DUMMYFUNCTION("""COMPUTED_VALUE"""),"")</f>
        <v/>
      </c>
    </row>
    <row r="12449">
      <c r="G12449" s="16" t="str">
        <f>IFERROR(__xludf.DUMMYFUNCTION("""COMPUTED_VALUE"""),"")</f>
        <v/>
      </c>
    </row>
    <row r="12450">
      <c r="G12450" s="16" t="str">
        <f>IFERROR(__xludf.DUMMYFUNCTION("""COMPUTED_VALUE"""),"")</f>
        <v/>
      </c>
    </row>
    <row r="12451">
      <c r="G12451" s="16" t="str">
        <f>IFERROR(__xludf.DUMMYFUNCTION("""COMPUTED_VALUE"""),"")</f>
        <v/>
      </c>
    </row>
    <row r="12452">
      <c r="G12452" s="16" t="str">
        <f>IFERROR(__xludf.DUMMYFUNCTION("""COMPUTED_VALUE"""),"")</f>
        <v/>
      </c>
    </row>
    <row r="12453">
      <c r="G12453" s="16" t="str">
        <f>IFERROR(__xludf.DUMMYFUNCTION("""COMPUTED_VALUE"""),"")</f>
        <v/>
      </c>
    </row>
    <row r="12454">
      <c r="G12454" s="16" t="str">
        <f>IFERROR(__xludf.DUMMYFUNCTION("""COMPUTED_VALUE"""),"")</f>
        <v/>
      </c>
    </row>
    <row r="12455">
      <c r="G12455" s="16" t="str">
        <f>IFERROR(__xludf.DUMMYFUNCTION("""COMPUTED_VALUE"""),"")</f>
        <v/>
      </c>
    </row>
    <row r="12456">
      <c r="G12456" s="16" t="str">
        <f>IFERROR(__xludf.DUMMYFUNCTION("""COMPUTED_VALUE"""),"")</f>
        <v/>
      </c>
    </row>
    <row r="12457">
      <c r="G12457" s="16" t="str">
        <f>IFERROR(__xludf.DUMMYFUNCTION("""COMPUTED_VALUE"""),"")</f>
        <v/>
      </c>
    </row>
    <row r="12458">
      <c r="G12458" s="16" t="str">
        <f>IFERROR(__xludf.DUMMYFUNCTION("""COMPUTED_VALUE"""),"")</f>
        <v/>
      </c>
    </row>
    <row r="12459">
      <c r="G12459" s="16" t="str">
        <f>IFERROR(__xludf.DUMMYFUNCTION("""COMPUTED_VALUE"""),"")</f>
        <v/>
      </c>
    </row>
    <row r="12460">
      <c r="G12460" s="16" t="str">
        <f>IFERROR(__xludf.DUMMYFUNCTION("""COMPUTED_VALUE"""),"")</f>
        <v/>
      </c>
    </row>
    <row r="12461">
      <c r="G12461" s="16" t="str">
        <f>IFERROR(__xludf.DUMMYFUNCTION("""COMPUTED_VALUE"""),"")</f>
        <v/>
      </c>
    </row>
    <row r="12462">
      <c r="G12462" s="16" t="str">
        <f>IFERROR(__xludf.DUMMYFUNCTION("""COMPUTED_VALUE"""),"")</f>
        <v/>
      </c>
    </row>
    <row r="12463">
      <c r="G12463" s="16" t="str">
        <f>IFERROR(__xludf.DUMMYFUNCTION("""COMPUTED_VALUE"""),"")</f>
        <v/>
      </c>
    </row>
    <row r="12464">
      <c r="G12464" s="16" t="str">
        <f>IFERROR(__xludf.DUMMYFUNCTION("""COMPUTED_VALUE"""),"")</f>
        <v/>
      </c>
    </row>
    <row r="12465">
      <c r="G12465" s="16" t="str">
        <f>IFERROR(__xludf.DUMMYFUNCTION("""COMPUTED_VALUE"""),"")</f>
        <v/>
      </c>
    </row>
    <row r="12466">
      <c r="G12466" s="16" t="str">
        <f>IFERROR(__xludf.DUMMYFUNCTION("""COMPUTED_VALUE"""),"")</f>
        <v/>
      </c>
    </row>
    <row r="12467">
      <c r="G12467" s="16" t="str">
        <f>IFERROR(__xludf.DUMMYFUNCTION("""COMPUTED_VALUE"""),"")</f>
        <v/>
      </c>
    </row>
    <row r="12468">
      <c r="G12468" s="16" t="str">
        <f>IFERROR(__xludf.DUMMYFUNCTION("""COMPUTED_VALUE"""),"")</f>
        <v/>
      </c>
    </row>
    <row r="12469">
      <c r="G12469" s="16" t="str">
        <f>IFERROR(__xludf.DUMMYFUNCTION("""COMPUTED_VALUE"""),"")</f>
        <v/>
      </c>
    </row>
    <row r="12470">
      <c r="G12470" s="16" t="str">
        <f>IFERROR(__xludf.DUMMYFUNCTION("""COMPUTED_VALUE"""),"")</f>
        <v/>
      </c>
    </row>
    <row r="12471">
      <c r="G12471" s="16" t="str">
        <f>IFERROR(__xludf.DUMMYFUNCTION("""COMPUTED_VALUE"""),"")</f>
        <v/>
      </c>
    </row>
    <row r="12472">
      <c r="G12472" s="16" t="str">
        <f>IFERROR(__xludf.DUMMYFUNCTION("""COMPUTED_VALUE"""),"")</f>
        <v/>
      </c>
    </row>
    <row r="12473">
      <c r="G12473" s="16" t="str">
        <f>IFERROR(__xludf.DUMMYFUNCTION("""COMPUTED_VALUE"""),"")</f>
        <v/>
      </c>
    </row>
    <row r="12474">
      <c r="G12474" s="16" t="str">
        <f>IFERROR(__xludf.DUMMYFUNCTION("""COMPUTED_VALUE"""),"")</f>
        <v/>
      </c>
    </row>
    <row r="12475">
      <c r="G12475" s="16" t="str">
        <f>IFERROR(__xludf.DUMMYFUNCTION("""COMPUTED_VALUE"""),"")</f>
        <v/>
      </c>
    </row>
    <row r="12476">
      <c r="G12476" s="16" t="str">
        <f>IFERROR(__xludf.DUMMYFUNCTION("""COMPUTED_VALUE"""),"")</f>
        <v/>
      </c>
    </row>
    <row r="12477">
      <c r="G12477" s="16" t="str">
        <f>IFERROR(__xludf.DUMMYFUNCTION("""COMPUTED_VALUE"""),"")</f>
        <v/>
      </c>
    </row>
    <row r="12478">
      <c r="G12478" s="16" t="str">
        <f>IFERROR(__xludf.DUMMYFUNCTION("""COMPUTED_VALUE"""),"")</f>
        <v/>
      </c>
    </row>
    <row r="12479">
      <c r="G12479" s="16" t="str">
        <f>IFERROR(__xludf.DUMMYFUNCTION("""COMPUTED_VALUE"""),"")</f>
        <v/>
      </c>
    </row>
    <row r="12480">
      <c r="G12480" s="16" t="str">
        <f>IFERROR(__xludf.DUMMYFUNCTION("""COMPUTED_VALUE"""),"")</f>
        <v/>
      </c>
    </row>
    <row r="12481">
      <c r="G12481" s="16" t="str">
        <f>IFERROR(__xludf.DUMMYFUNCTION("""COMPUTED_VALUE"""),"")</f>
        <v/>
      </c>
    </row>
    <row r="12482">
      <c r="G12482" s="16" t="str">
        <f>IFERROR(__xludf.DUMMYFUNCTION("""COMPUTED_VALUE"""),"")</f>
        <v/>
      </c>
    </row>
    <row r="12483">
      <c r="G12483" s="16" t="str">
        <f>IFERROR(__xludf.DUMMYFUNCTION("""COMPUTED_VALUE"""),"")</f>
        <v/>
      </c>
    </row>
    <row r="12484">
      <c r="G12484" s="16" t="str">
        <f>IFERROR(__xludf.DUMMYFUNCTION("""COMPUTED_VALUE"""),"")</f>
        <v/>
      </c>
    </row>
    <row r="12485">
      <c r="G12485" s="16" t="str">
        <f>IFERROR(__xludf.DUMMYFUNCTION("""COMPUTED_VALUE"""),"")</f>
        <v/>
      </c>
    </row>
    <row r="12486">
      <c r="G12486" s="16" t="str">
        <f>IFERROR(__xludf.DUMMYFUNCTION("""COMPUTED_VALUE"""),"")</f>
        <v/>
      </c>
    </row>
    <row r="12487">
      <c r="G12487" s="16" t="str">
        <f>IFERROR(__xludf.DUMMYFUNCTION("""COMPUTED_VALUE"""),"")</f>
        <v/>
      </c>
    </row>
    <row r="12488">
      <c r="G12488" s="16" t="str">
        <f>IFERROR(__xludf.DUMMYFUNCTION("""COMPUTED_VALUE"""),"")</f>
        <v/>
      </c>
    </row>
    <row r="12489">
      <c r="G12489" s="16" t="str">
        <f>IFERROR(__xludf.DUMMYFUNCTION("""COMPUTED_VALUE"""),"")</f>
        <v/>
      </c>
    </row>
    <row r="12490">
      <c r="G12490" s="16" t="str">
        <f>IFERROR(__xludf.DUMMYFUNCTION("""COMPUTED_VALUE"""),"")</f>
        <v/>
      </c>
    </row>
    <row r="12491">
      <c r="G12491" s="16" t="str">
        <f>IFERROR(__xludf.DUMMYFUNCTION("""COMPUTED_VALUE"""),"")</f>
        <v/>
      </c>
    </row>
    <row r="12492">
      <c r="G12492" s="16" t="str">
        <f>IFERROR(__xludf.DUMMYFUNCTION("""COMPUTED_VALUE"""),"")</f>
        <v/>
      </c>
    </row>
    <row r="12493">
      <c r="G12493" s="16" t="str">
        <f>IFERROR(__xludf.DUMMYFUNCTION("""COMPUTED_VALUE"""),"")</f>
        <v/>
      </c>
    </row>
    <row r="12494">
      <c r="G12494" s="16" t="str">
        <f>IFERROR(__xludf.DUMMYFUNCTION("""COMPUTED_VALUE"""),"")</f>
        <v/>
      </c>
    </row>
    <row r="12495">
      <c r="G12495" s="16" t="str">
        <f>IFERROR(__xludf.DUMMYFUNCTION("""COMPUTED_VALUE"""),"")</f>
        <v/>
      </c>
    </row>
    <row r="12496">
      <c r="G12496" s="16" t="str">
        <f>IFERROR(__xludf.DUMMYFUNCTION("""COMPUTED_VALUE"""),"")</f>
        <v/>
      </c>
    </row>
    <row r="12497">
      <c r="G12497" s="16" t="str">
        <f>IFERROR(__xludf.DUMMYFUNCTION("""COMPUTED_VALUE"""),"")</f>
        <v/>
      </c>
    </row>
    <row r="12498">
      <c r="G12498" s="16" t="str">
        <f>IFERROR(__xludf.DUMMYFUNCTION("""COMPUTED_VALUE"""),"")</f>
        <v/>
      </c>
    </row>
    <row r="12499">
      <c r="G12499" s="16" t="str">
        <f>IFERROR(__xludf.DUMMYFUNCTION("""COMPUTED_VALUE"""),"")</f>
        <v/>
      </c>
    </row>
    <row r="12500">
      <c r="G12500" s="16" t="str">
        <f>IFERROR(__xludf.DUMMYFUNCTION("""COMPUTED_VALUE"""),"")</f>
        <v/>
      </c>
    </row>
    <row r="12501">
      <c r="G12501" s="16" t="str">
        <f>IFERROR(__xludf.DUMMYFUNCTION("""COMPUTED_VALUE"""),"")</f>
        <v/>
      </c>
    </row>
    <row r="12502">
      <c r="G12502" s="16" t="str">
        <f>IFERROR(__xludf.DUMMYFUNCTION("""COMPUTED_VALUE"""),"")</f>
        <v/>
      </c>
    </row>
    <row r="12503">
      <c r="G12503" s="16" t="str">
        <f>IFERROR(__xludf.DUMMYFUNCTION("""COMPUTED_VALUE"""),"")</f>
        <v/>
      </c>
    </row>
    <row r="12504">
      <c r="G12504" s="16" t="str">
        <f>IFERROR(__xludf.DUMMYFUNCTION("""COMPUTED_VALUE"""),"")</f>
        <v/>
      </c>
    </row>
    <row r="12505">
      <c r="G12505" s="16" t="str">
        <f>IFERROR(__xludf.DUMMYFUNCTION("""COMPUTED_VALUE"""),"")</f>
        <v/>
      </c>
    </row>
    <row r="12506">
      <c r="G12506" s="16" t="str">
        <f>IFERROR(__xludf.DUMMYFUNCTION("""COMPUTED_VALUE"""),"")</f>
        <v/>
      </c>
    </row>
    <row r="12507">
      <c r="G12507" s="16" t="str">
        <f>IFERROR(__xludf.DUMMYFUNCTION("""COMPUTED_VALUE"""),"")</f>
        <v/>
      </c>
    </row>
    <row r="12508">
      <c r="G12508" s="16" t="str">
        <f>IFERROR(__xludf.DUMMYFUNCTION("""COMPUTED_VALUE"""),"")</f>
        <v/>
      </c>
    </row>
    <row r="12509">
      <c r="G12509" s="16" t="str">
        <f>IFERROR(__xludf.DUMMYFUNCTION("""COMPUTED_VALUE"""),"")</f>
        <v/>
      </c>
    </row>
    <row r="12510">
      <c r="G12510" s="16" t="str">
        <f>IFERROR(__xludf.DUMMYFUNCTION("""COMPUTED_VALUE"""),"")</f>
        <v/>
      </c>
    </row>
    <row r="12511">
      <c r="G12511" s="16" t="str">
        <f>IFERROR(__xludf.DUMMYFUNCTION("""COMPUTED_VALUE"""),"")</f>
        <v/>
      </c>
    </row>
    <row r="12512">
      <c r="G12512" s="16" t="str">
        <f>IFERROR(__xludf.DUMMYFUNCTION("""COMPUTED_VALUE"""),"")</f>
        <v/>
      </c>
    </row>
    <row r="12513">
      <c r="G12513" s="16" t="str">
        <f>IFERROR(__xludf.DUMMYFUNCTION("""COMPUTED_VALUE"""),"")</f>
        <v/>
      </c>
    </row>
    <row r="12514">
      <c r="G12514" s="16" t="str">
        <f>IFERROR(__xludf.DUMMYFUNCTION("""COMPUTED_VALUE"""),"")</f>
        <v/>
      </c>
    </row>
    <row r="12515">
      <c r="G12515" s="16" t="str">
        <f>IFERROR(__xludf.DUMMYFUNCTION("""COMPUTED_VALUE"""),"")</f>
        <v/>
      </c>
    </row>
    <row r="12516">
      <c r="G12516" s="16" t="str">
        <f>IFERROR(__xludf.DUMMYFUNCTION("""COMPUTED_VALUE"""),"")</f>
        <v/>
      </c>
    </row>
    <row r="12517">
      <c r="G12517" s="16" t="str">
        <f>IFERROR(__xludf.DUMMYFUNCTION("""COMPUTED_VALUE"""),"")</f>
        <v/>
      </c>
    </row>
    <row r="12518">
      <c r="G12518" s="16" t="str">
        <f>IFERROR(__xludf.DUMMYFUNCTION("""COMPUTED_VALUE"""),"")</f>
        <v/>
      </c>
    </row>
    <row r="12519">
      <c r="G12519" s="16" t="str">
        <f>IFERROR(__xludf.DUMMYFUNCTION("""COMPUTED_VALUE"""),"")</f>
        <v/>
      </c>
    </row>
    <row r="12520">
      <c r="G12520" s="16" t="str">
        <f>IFERROR(__xludf.DUMMYFUNCTION("""COMPUTED_VALUE"""),"")</f>
        <v/>
      </c>
    </row>
    <row r="12521">
      <c r="G12521" s="16" t="str">
        <f>IFERROR(__xludf.DUMMYFUNCTION("""COMPUTED_VALUE"""),"")</f>
        <v/>
      </c>
    </row>
    <row r="12522">
      <c r="G12522" s="16" t="str">
        <f>IFERROR(__xludf.DUMMYFUNCTION("""COMPUTED_VALUE"""),"")</f>
        <v/>
      </c>
    </row>
    <row r="12523">
      <c r="G12523" s="16" t="str">
        <f>IFERROR(__xludf.DUMMYFUNCTION("""COMPUTED_VALUE"""),"")</f>
        <v/>
      </c>
    </row>
    <row r="12524">
      <c r="G12524" s="16" t="str">
        <f>IFERROR(__xludf.DUMMYFUNCTION("""COMPUTED_VALUE"""),"")</f>
        <v/>
      </c>
    </row>
    <row r="12525">
      <c r="G12525" s="16" t="str">
        <f>IFERROR(__xludf.DUMMYFUNCTION("""COMPUTED_VALUE"""),"")</f>
        <v/>
      </c>
    </row>
    <row r="12526">
      <c r="G12526" s="16" t="str">
        <f>IFERROR(__xludf.DUMMYFUNCTION("""COMPUTED_VALUE"""),"")</f>
        <v/>
      </c>
    </row>
    <row r="12527">
      <c r="G12527" s="16" t="str">
        <f>IFERROR(__xludf.DUMMYFUNCTION("""COMPUTED_VALUE"""),"")</f>
        <v/>
      </c>
    </row>
    <row r="12528">
      <c r="G12528" s="16" t="str">
        <f>IFERROR(__xludf.DUMMYFUNCTION("""COMPUTED_VALUE"""),"")</f>
        <v/>
      </c>
    </row>
    <row r="12529">
      <c r="G12529" s="16" t="str">
        <f>IFERROR(__xludf.DUMMYFUNCTION("""COMPUTED_VALUE"""),"")</f>
        <v/>
      </c>
    </row>
    <row r="12530">
      <c r="G12530" s="16" t="str">
        <f>IFERROR(__xludf.DUMMYFUNCTION("""COMPUTED_VALUE"""),"")</f>
        <v/>
      </c>
    </row>
    <row r="12531">
      <c r="G12531" s="16" t="str">
        <f>IFERROR(__xludf.DUMMYFUNCTION("""COMPUTED_VALUE"""),"")</f>
        <v/>
      </c>
    </row>
    <row r="12532">
      <c r="G12532" s="16" t="str">
        <f>IFERROR(__xludf.DUMMYFUNCTION("""COMPUTED_VALUE"""),"")</f>
        <v/>
      </c>
    </row>
    <row r="12533">
      <c r="G12533" s="16" t="str">
        <f>IFERROR(__xludf.DUMMYFUNCTION("""COMPUTED_VALUE"""),"")</f>
        <v/>
      </c>
    </row>
    <row r="12534">
      <c r="G12534" s="16" t="str">
        <f>IFERROR(__xludf.DUMMYFUNCTION("""COMPUTED_VALUE"""),"")</f>
        <v/>
      </c>
    </row>
    <row r="12535">
      <c r="G12535" s="16" t="str">
        <f>IFERROR(__xludf.DUMMYFUNCTION("""COMPUTED_VALUE"""),"")</f>
        <v/>
      </c>
    </row>
    <row r="12536">
      <c r="G12536" s="16" t="str">
        <f>IFERROR(__xludf.DUMMYFUNCTION("""COMPUTED_VALUE"""),"")</f>
        <v/>
      </c>
    </row>
    <row r="12537">
      <c r="G12537" s="16" t="str">
        <f>IFERROR(__xludf.DUMMYFUNCTION("""COMPUTED_VALUE"""),"")</f>
        <v/>
      </c>
    </row>
    <row r="12538">
      <c r="G12538" s="16" t="str">
        <f>IFERROR(__xludf.DUMMYFUNCTION("""COMPUTED_VALUE"""),"")</f>
        <v/>
      </c>
    </row>
    <row r="12539">
      <c r="G12539" s="16" t="str">
        <f>IFERROR(__xludf.DUMMYFUNCTION("""COMPUTED_VALUE"""),"")</f>
        <v/>
      </c>
    </row>
    <row r="12540">
      <c r="G12540" s="16" t="str">
        <f>IFERROR(__xludf.DUMMYFUNCTION("""COMPUTED_VALUE"""),"")</f>
        <v/>
      </c>
    </row>
    <row r="12541">
      <c r="G12541" s="16" t="str">
        <f>IFERROR(__xludf.DUMMYFUNCTION("""COMPUTED_VALUE"""),"")</f>
        <v/>
      </c>
    </row>
    <row r="12542">
      <c r="G12542" s="16" t="str">
        <f>IFERROR(__xludf.DUMMYFUNCTION("""COMPUTED_VALUE"""),"")</f>
        <v/>
      </c>
    </row>
    <row r="12543">
      <c r="G12543" s="16" t="str">
        <f>IFERROR(__xludf.DUMMYFUNCTION("""COMPUTED_VALUE"""),"")</f>
        <v/>
      </c>
    </row>
    <row r="12544">
      <c r="G12544" s="16" t="str">
        <f>IFERROR(__xludf.DUMMYFUNCTION("""COMPUTED_VALUE"""),"")</f>
        <v/>
      </c>
    </row>
    <row r="12545">
      <c r="G12545" s="16" t="str">
        <f>IFERROR(__xludf.DUMMYFUNCTION("""COMPUTED_VALUE"""),"")</f>
        <v/>
      </c>
    </row>
    <row r="12546">
      <c r="G12546" s="16" t="str">
        <f>IFERROR(__xludf.DUMMYFUNCTION("""COMPUTED_VALUE"""),"")</f>
        <v/>
      </c>
    </row>
    <row r="12547">
      <c r="G12547" s="16" t="str">
        <f>IFERROR(__xludf.DUMMYFUNCTION("""COMPUTED_VALUE"""),"")</f>
        <v/>
      </c>
    </row>
    <row r="12548">
      <c r="G12548" s="16" t="str">
        <f>IFERROR(__xludf.DUMMYFUNCTION("""COMPUTED_VALUE"""),"")</f>
        <v/>
      </c>
    </row>
    <row r="12549">
      <c r="G12549" s="16" t="str">
        <f>IFERROR(__xludf.DUMMYFUNCTION("""COMPUTED_VALUE"""),"")</f>
        <v/>
      </c>
    </row>
    <row r="12550">
      <c r="G12550" s="16" t="str">
        <f>IFERROR(__xludf.DUMMYFUNCTION("""COMPUTED_VALUE"""),"")</f>
        <v/>
      </c>
    </row>
    <row r="12551">
      <c r="G12551" s="16" t="str">
        <f>IFERROR(__xludf.DUMMYFUNCTION("""COMPUTED_VALUE"""),"")</f>
        <v/>
      </c>
    </row>
    <row r="12552">
      <c r="G12552" s="16" t="str">
        <f>IFERROR(__xludf.DUMMYFUNCTION("""COMPUTED_VALUE"""),"")</f>
        <v/>
      </c>
    </row>
    <row r="12553">
      <c r="G12553" s="16" t="str">
        <f>IFERROR(__xludf.DUMMYFUNCTION("""COMPUTED_VALUE"""),"")</f>
        <v/>
      </c>
    </row>
    <row r="12554">
      <c r="G12554" s="16" t="str">
        <f>IFERROR(__xludf.DUMMYFUNCTION("""COMPUTED_VALUE"""),"")</f>
        <v/>
      </c>
    </row>
    <row r="12555">
      <c r="G12555" s="16" t="str">
        <f>IFERROR(__xludf.DUMMYFUNCTION("""COMPUTED_VALUE"""),"")</f>
        <v/>
      </c>
    </row>
    <row r="12556">
      <c r="G12556" s="16" t="str">
        <f>IFERROR(__xludf.DUMMYFUNCTION("""COMPUTED_VALUE"""),"")</f>
        <v/>
      </c>
    </row>
    <row r="12557">
      <c r="G12557" s="16" t="str">
        <f>IFERROR(__xludf.DUMMYFUNCTION("""COMPUTED_VALUE"""),"")</f>
        <v/>
      </c>
    </row>
    <row r="12558">
      <c r="G12558" s="16" t="str">
        <f>IFERROR(__xludf.DUMMYFUNCTION("""COMPUTED_VALUE"""),"")</f>
        <v/>
      </c>
    </row>
    <row r="12559">
      <c r="G12559" s="16" t="str">
        <f>IFERROR(__xludf.DUMMYFUNCTION("""COMPUTED_VALUE"""),"")</f>
        <v/>
      </c>
    </row>
    <row r="12560">
      <c r="G12560" s="16" t="str">
        <f>IFERROR(__xludf.DUMMYFUNCTION("""COMPUTED_VALUE"""),"")</f>
        <v/>
      </c>
    </row>
    <row r="12561">
      <c r="G12561" s="16" t="str">
        <f>IFERROR(__xludf.DUMMYFUNCTION("""COMPUTED_VALUE"""),"")</f>
        <v/>
      </c>
    </row>
    <row r="12562">
      <c r="G12562" s="16" t="str">
        <f>IFERROR(__xludf.DUMMYFUNCTION("""COMPUTED_VALUE"""),"")</f>
        <v/>
      </c>
    </row>
    <row r="12563">
      <c r="G12563" s="16" t="str">
        <f>IFERROR(__xludf.DUMMYFUNCTION("""COMPUTED_VALUE"""),"")</f>
        <v/>
      </c>
    </row>
    <row r="12564">
      <c r="G12564" s="16" t="str">
        <f>IFERROR(__xludf.DUMMYFUNCTION("""COMPUTED_VALUE"""),"")</f>
        <v/>
      </c>
    </row>
    <row r="12565">
      <c r="G12565" s="16" t="str">
        <f>IFERROR(__xludf.DUMMYFUNCTION("""COMPUTED_VALUE"""),"")</f>
        <v/>
      </c>
    </row>
    <row r="12566">
      <c r="G12566" s="16" t="str">
        <f>IFERROR(__xludf.DUMMYFUNCTION("""COMPUTED_VALUE"""),"")</f>
        <v/>
      </c>
    </row>
    <row r="12567">
      <c r="G12567" s="16" t="str">
        <f>IFERROR(__xludf.DUMMYFUNCTION("""COMPUTED_VALUE"""),"")</f>
        <v/>
      </c>
    </row>
    <row r="12568">
      <c r="G12568" s="16" t="str">
        <f>IFERROR(__xludf.DUMMYFUNCTION("""COMPUTED_VALUE"""),"")</f>
        <v/>
      </c>
    </row>
    <row r="12569">
      <c r="G12569" s="16" t="str">
        <f>IFERROR(__xludf.DUMMYFUNCTION("""COMPUTED_VALUE"""),"")</f>
        <v/>
      </c>
    </row>
    <row r="12570">
      <c r="G12570" s="16" t="str">
        <f>IFERROR(__xludf.DUMMYFUNCTION("""COMPUTED_VALUE"""),"")</f>
        <v/>
      </c>
    </row>
    <row r="12571">
      <c r="G12571" s="16" t="str">
        <f>IFERROR(__xludf.DUMMYFUNCTION("""COMPUTED_VALUE"""),"")</f>
        <v/>
      </c>
    </row>
    <row r="12572">
      <c r="G12572" s="16" t="str">
        <f>IFERROR(__xludf.DUMMYFUNCTION("""COMPUTED_VALUE"""),"")</f>
        <v/>
      </c>
    </row>
    <row r="12573">
      <c r="G12573" s="16" t="str">
        <f>IFERROR(__xludf.DUMMYFUNCTION("""COMPUTED_VALUE"""),"")</f>
        <v/>
      </c>
    </row>
    <row r="12574">
      <c r="G12574" s="16" t="str">
        <f>IFERROR(__xludf.DUMMYFUNCTION("""COMPUTED_VALUE"""),"")</f>
        <v/>
      </c>
    </row>
    <row r="12575">
      <c r="G12575" s="16" t="str">
        <f>IFERROR(__xludf.DUMMYFUNCTION("""COMPUTED_VALUE"""),"")</f>
        <v/>
      </c>
    </row>
    <row r="12576">
      <c r="G12576" s="16" t="str">
        <f>IFERROR(__xludf.DUMMYFUNCTION("""COMPUTED_VALUE"""),"")</f>
        <v/>
      </c>
    </row>
    <row r="12577">
      <c r="G12577" s="16" t="str">
        <f>IFERROR(__xludf.DUMMYFUNCTION("""COMPUTED_VALUE"""),"")</f>
        <v/>
      </c>
    </row>
    <row r="12578">
      <c r="G12578" s="16" t="str">
        <f>IFERROR(__xludf.DUMMYFUNCTION("""COMPUTED_VALUE"""),"")</f>
        <v/>
      </c>
    </row>
    <row r="12579">
      <c r="G12579" s="16" t="str">
        <f>IFERROR(__xludf.DUMMYFUNCTION("""COMPUTED_VALUE"""),"")</f>
        <v/>
      </c>
    </row>
    <row r="12580">
      <c r="G12580" s="16" t="str">
        <f>IFERROR(__xludf.DUMMYFUNCTION("""COMPUTED_VALUE"""),"")</f>
        <v/>
      </c>
    </row>
    <row r="12581">
      <c r="G12581" s="16" t="str">
        <f>IFERROR(__xludf.DUMMYFUNCTION("""COMPUTED_VALUE"""),"")</f>
        <v/>
      </c>
    </row>
    <row r="12582">
      <c r="G12582" s="16" t="str">
        <f>IFERROR(__xludf.DUMMYFUNCTION("""COMPUTED_VALUE"""),"")</f>
        <v/>
      </c>
    </row>
    <row r="12583">
      <c r="G12583" s="16" t="str">
        <f>IFERROR(__xludf.DUMMYFUNCTION("""COMPUTED_VALUE"""),"")</f>
        <v/>
      </c>
    </row>
    <row r="12584">
      <c r="G12584" s="16" t="str">
        <f>IFERROR(__xludf.DUMMYFUNCTION("""COMPUTED_VALUE"""),"")</f>
        <v/>
      </c>
    </row>
    <row r="12585">
      <c r="G12585" s="16" t="str">
        <f>IFERROR(__xludf.DUMMYFUNCTION("""COMPUTED_VALUE"""),"")</f>
        <v/>
      </c>
    </row>
    <row r="12586">
      <c r="G12586" s="16" t="str">
        <f>IFERROR(__xludf.DUMMYFUNCTION("""COMPUTED_VALUE"""),"")</f>
        <v/>
      </c>
    </row>
    <row r="12587">
      <c r="G12587" s="16" t="str">
        <f>IFERROR(__xludf.DUMMYFUNCTION("""COMPUTED_VALUE"""),"")</f>
        <v/>
      </c>
    </row>
    <row r="12588">
      <c r="G12588" s="16" t="str">
        <f>IFERROR(__xludf.DUMMYFUNCTION("""COMPUTED_VALUE"""),"")</f>
        <v/>
      </c>
    </row>
    <row r="12589">
      <c r="G12589" s="16" t="str">
        <f>IFERROR(__xludf.DUMMYFUNCTION("""COMPUTED_VALUE"""),"")</f>
        <v/>
      </c>
    </row>
    <row r="12590">
      <c r="G12590" s="16" t="str">
        <f>IFERROR(__xludf.DUMMYFUNCTION("""COMPUTED_VALUE"""),"")</f>
        <v/>
      </c>
    </row>
    <row r="12591">
      <c r="G12591" s="16" t="str">
        <f>IFERROR(__xludf.DUMMYFUNCTION("""COMPUTED_VALUE"""),"")</f>
        <v/>
      </c>
    </row>
    <row r="12592">
      <c r="G12592" s="16" t="str">
        <f>IFERROR(__xludf.DUMMYFUNCTION("""COMPUTED_VALUE"""),"")</f>
        <v/>
      </c>
    </row>
    <row r="12593">
      <c r="G12593" s="16" t="str">
        <f>IFERROR(__xludf.DUMMYFUNCTION("""COMPUTED_VALUE"""),"")</f>
        <v/>
      </c>
    </row>
    <row r="12594">
      <c r="G12594" s="16" t="str">
        <f>IFERROR(__xludf.DUMMYFUNCTION("""COMPUTED_VALUE"""),"")</f>
        <v/>
      </c>
    </row>
    <row r="12595">
      <c r="G12595" s="16" t="str">
        <f>IFERROR(__xludf.DUMMYFUNCTION("""COMPUTED_VALUE"""),"")</f>
        <v/>
      </c>
    </row>
    <row r="12596">
      <c r="G12596" s="16" t="str">
        <f>IFERROR(__xludf.DUMMYFUNCTION("""COMPUTED_VALUE"""),"")</f>
        <v/>
      </c>
    </row>
    <row r="12597">
      <c r="G12597" s="16" t="str">
        <f>IFERROR(__xludf.DUMMYFUNCTION("""COMPUTED_VALUE"""),"")</f>
        <v/>
      </c>
    </row>
    <row r="12598">
      <c r="G12598" s="16" t="str">
        <f>IFERROR(__xludf.DUMMYFUNCTION("""COMPUTED_VALUE"""),"")</f>
        <v/>
      </c>
    </row>
    <row r="12599">
      <c r="G12599" s="16" t="str">
        <f>IFERROR(__xludf.DUMMYFUNCTION("""COMPUTED_VALUE"""),"")</f>
        <v/>
      </c>
    </row>
    <row r="12600">
      <c r="G12600" s="16" t="str">
        <f>IFERROR(__xludf.DUMMYFUNCTION("""COMPUTED_VALUE"""),"")</f>
        <v/>
      </c>
    </row>
    <row r="12601">
      <c r="G12601" s="16" t="str">
        <f>IFERROR(__xludf.DUMMYFUNCTION("""COMPUTED_VALUE"""),"")</f>
        <v/>
      </c>
    </row>
    <row r="12602">
      <c r="G12602" s="16" t="str">
        <f>IFERROR(__xludf.DUMMYFUNCTION("""COMPUTED_VALUE"""),"")</f>
        <v/>
      </c>
    </row>
    <row r="12603">
      <c r="G12603" s="16" t="str">
        <f>IFERROR(__xludf.DUMMYFUNCTION("""COMPUTED_VALUE"""),"")</f>
        <v/>
      </c>
    </row>
    <row r="12604">
      <c r="G12604" s="16" t="str">
        <f>IFERROR(__xludf.DUMMYFUNCTION("""COMPUTED_VALUE"""),"")</f>
        <v/>
      </c>
    </row>
    <row r="12605">
      <c r="G12605" s="16" t="str">
        <f>IFERROR(__xludf.DUMMYFUNCTION("""COMPUTED_VALUE"""),"")</f>
        <v/>
      </c>
    </row>
    <row r="12606">
      <c r="G12606" s="16" t="str">
        <f>IFERROR(__xludf.DUMMYFUNCTION("""COMPUTED_VALUE"""),"")</f>
        <v/>
      </c>
    </row>
    <row r="12607">
      <c r="G12607" s="16" t="str">
        <f>IFERROR(__xludf.DUMMYFUNCTION("""COMPUTED_VALUE"""),"")</f>
        <v/>
      </c>
    </row>
    <row r="12608">
      <c r="G12608" s="16" t="str">
        <f>IFERROR(__xludf.DUMMYFUNCTION("""COMPUTED_VALUE"""),"")</f>
        <v/>
      </c>
    </row>
    <row r="12609">
      <c r="G12609" s="16" t="str">
        <f>IFERROR(__xludf.DUMMYFUNCTION("""COMPUTED_VALUE"""),"")</f>
        <v/>
      </c>
    </row>
    <row r="12610">
      <c r="G12610" s="16" t="str">
        <f>IFERROR(__xludf.DUMMYFUNCTION("""COMPUTED_VALUE"""),"")</f>
        <v/>
      </c>
    </row>
    <row r="12611">
      <c r="G12611" s="16" t="str">
        <f>IFERROR(__xludf.DUMMYFUNCTION("""COMPUTED_VALUE"""),"")</f>
        <v/>
      </c>
    </row>
    <row r="12612">
      <c r="G12612" s="16" t="str">
        <f>IFERROR(__xludf.DUMMYFUNCTION("""COMPUTED_VALUE"""),"")</f>
        <v/>
      </c>
    </row>
    <row r="12613">
      <c r="G12613" s="16" t="str">
        <f>IFERROR(__xludf.DUMMYFUNCTION("""COMPUTED_VALUE"""),"")</f>
        <v/>
      </c>
    </row>
    <row r="12614">
      <c r="G12614" s="16" t="str">
        <f>IFERROR(__xludf.DUMMYFUNCTION("""COMPUTED_VALUE"""),"")</f>
        <v/>
      </c>
    </row>
    <row r="12615">
      <c r="G12615" s="16" t="str">
        <f>IFERROR(__xludf.DUMMYFUNCTION("""COMPUTED_VALUE"""),"")</f>
        <v/>
      </c>
    </row>
    <row r="12616">
      <c r="G12616" s="16" t="str">
        <f>IFERROR(__xludf.DUMMYFUNCTION("""COMPUTED_VALUE"""),"")</f>
        <v/>
      </c>
    </row>
    <row r="12617">
      <c r="G12617" s="16" t="str">
        <f>IFERROR(__xludf.DUMMYFUNCTION("""COMPUTED_VALUE"""),"")</f>
        <v/>
      </c>
    </row>
    <row r="12618">
      <c r="G12618" s="16" t="str">
        <f>IFERROR(__xludf.DUMMYFUNCTION("""COMPUTED_VALUE"""),"")</f>
        <v/>
      </c>
    </row>
    <row r="12619">
      <c r="G12619" s="16" t="str">
        <f>IFERROR(__xludf.DUMMYFUNCTION("""COMPUTED_VALUE"""),"")</f>
        <v/>
      </c>
    </row>
    <row r="12620">
      <c r="G12620" s="16" t="str">
        <f>IFERROR(__xludf.DUMMYFUNCTION("""COMPUTED_VALUE"""),"")</f>
        <v/>
      </c>
    </row>
    <row r="12621">
      <c r="G12621" s="16" t="str">
        <f>IFERROR(__xludf.DUMMYFUNCTION("""COMPUTED_VALUE"""),"")</f>
        <v/>
      </c>
    </row>
    <row r="12622">
      <c r="G12622" s="16" t="str">
        <f>IFERROR(__xludf.DUMMYFUNCTION("""COMPUTED_VALUE"""),"")</f>
        <v/>
      </c>
    </row>
    <row r="12623">
      <c r="G12623" s="16" t="str">
        <f>IFERROR(__xludf.DUMMYFUNCTION("""COMPUTED_VALUE"""),"")</f>
        <v/>
      </c>
    </row>
    <row r="12624">
      <c r="G12624" s="16" t="str">
        <f>IFERROR(__xludf.DUMMYFUNCTION("""COMPUTED_VALUE"""),"")</f>
        <v/>
      </c>
    </row>
    <row r="12625">
      <c r="G12625" s="16" t="str">
        <f>IFERROR(__xludf.DUMMYFUNCTION("""COMPUTED_VALUE"""),"")</f>
        <v/>
      </c>
    </row>
    <row r="12626">
      <c r="G12626" s="16" t="str">
        <f>IFERROR(__xludf.DUMMYFUNCTION("""COMPUTED_VALUE"""),"")</f>
        <v/>
      </c>
    </row>
    <row r="12627">
      <c r="G12627" s="16" t="str">
        <f>IFERROR(__xludf.DUMMYFUNCTION("""COMPUTED_VALUE"""),"")</f>
        <v/>
      </c>
    </row>
    <row r="12628">
      <c r="G12628" s="16" t="str">
        <f>IFERROR(__xludf.DUMMYFUNCTION("""COMPUTED_VALUE"""),"")</f>
        <v/>
      </c>
    </row>
    <row r="12629">
      <c r="G12629" s="16" t="str">
        <f>IFERROR(__xludf.DUMMYFUNCTION("""COMPUTED_VALUE"""),"")</f>
        <v/>
      </c>
    </row>
    <row r="12630">
      <c r="G12630" s="16" t="str">
        <f>IFERROR(__xludf.DUMMYFUNCTION("""COMPUTED_VALUE"""),"")</f>
        <v/>
      </c>
    </row>
    <row r="12631">
      <c r="G12631" s="16" t="str">
        <f>IFERROR(__xludf.DUMMYFUNCTION("""COMPUTED_VALUE"""),"")</f>
        <v/>
      </c>
    </row>
    <row r="12632">
      <c r="G12632" s="16" t="str">
        <f>IFERROR(__xludf.DUMMYFUNCTION("""COMPUTED_VALUE"""),"")</f>
        <v/>
      </c>
    </row>
    <row r="12633">
      <c r="G12633" s="16" t="str">
        <f>IFERROR(__xludf.DUMMYFUNCTION("""COMPUTED_VALUE"""),"")</f>
        <v/>
      </c>
    </row>
    <row r="12634">
      <c r="G12634" s="16" t="str">
        <f>IFERROR(__xludf.DUMMYFUNCTION("""COMPUTED_VALUE"""),"")</f>
        <v/>
      </c>
    </row>
    <row r="12635">
      <c r="G12635" s="16" t="str">
        <f>IFERROR(__xludf.DUMMYFUNCTION("""COMPUTED_VALUE"""),"")</f>
        <v/>
      </c>
    </row>
    <row r="12636">
      <c r="G12636" s="16" t="str">
        <f>IFERROR(__xludf.DUMMYFUNCTION("""COMPUTED_VALUE"""),"")</f>
        <v/>
      </c>
    </row>
    <row r="12637">
      <c r="G12637" s="16" t="str">
        <f>IFERROR(__xludf.DUMMYFUNCTION("""COMPUTED_VALUE"""),"")</f>
        <v/>
      </c>
    </row>
    <row r="12638">
      <c r="G12638" s="16" t="str">
        <f>IFERROR(__xludf.DUMMYFUNCTION("""COMPUTED_VALUE"""),"")</f>
        <v/>
      </c>
    </row>
    <row r="12639">
      <c r="G12639" s="16" t="str">
        <f>IFERROR(__xludf.DUMMYFUNCTION("""COMPUTED_VALUE"""),"")</f>
        <v/>
      </c>
    </row>
    <row r="12640">
      <c r="G12640" s="16" t="str">
        <f>IFERROR(__xludf.DUMMYFUNCTION("""COMPUTED_VALUE"""),"")</f>
        <v/>
      </c>
    </row>
    <row r="12641">
      <c r="G12641" s="16" t="str">
        <f>IFERROR(__xludf.DUMMYFUNCTION("""COMPUTED_VALUE"""),"")</f>
        <v/>
      </c>
    </row>
    <row r="12642">
      <c r="G12642" s="16" t="str">
        <f>IFERROR(__xludf.DUMMYFUNCTION("""COMPUTED_VALUE"""),"")</f>
        <v/>
      </c>
    </row>
    <row r="12643">
      <c r="G12643" s="16" t="str">
        <f>IFERROR(__xludf.DUMMYFUNCTION("""COMPUTED_VALUE"""),"")</f>
        <v/>
      </c>
    </row>
    <row r="12644">
      <c r="G12644" s="16" t="str">
        <f>IFERROR(__xludf.DUMMYFUNCTION("""COMPUTED_VALUE"""),"")</f>
        <v/>
      </c>
    </row>
    <row r="12645">
      <c r="G12645" s="16" t="str">
        <f>IFERROR(__xludf.DUMMYFUNCTION("""COMPUTED_VALUE"""),"")</f>
        <v/>
      </c>
    </row>
    <row r="12646">
      <c r="G12646" s="16" t="str">
        <f>IFERROR(__xludf.DUMMYFUNCTION("""COMPUTED_VALUE"""),"")</f>
        <v/>
      </c>
    </row>
    <row r="12647">
      <c r="G12647" s="16" t="str">
        <f>IFERROR(__xludf.DUMMYFUNCTION("""COMPUTED_VALUE"""),"")</f>
        <v/>
      </c>
    </row>
    <row r="12648">
      <c r="G12648" s="16" t="str">
        <f>IFERROR(__xludf.DUMMYFUNCTION("""COMPUTED_VALUE"""),"")</f>
        <v/>
      </c>
    </row>
    <row r="12649">
      <c r="G12649" s="16" t="str">
        <f>IFERROR(__xludf.DUMMYFUNCTION("""COMPUTED_VALUE"""),"")</f>
        <v/>
      </c>
    </row>
    <row r="12650">
      <c r="G12650" s="16" t="str">
        <f>IFERROR(__xludf.DUMMYFUNCTION("""COMPUTED_VALUE"""),"")</f>
        <v/>
      </c>
    </row>
    <row r="12651">
      <c r="G12651" s="16" t="str">
        <f>IFERROR(__xludf.DUMMYFUNCTION("""COMPUTED_VALUE"""),"")</f>
        <v/>
      </c>
    </row>
    <row r="12652">
      <c r="G12652" s="16" t="str">
        <f>IFERROR(__xludf.DUMMYFUNCTION("""COMPUTED_VALUE"""),"")</f>
        <v/>
      </c>
    </row>
    <row r="12653">
      <c r="G12653" s="16" t="str">
        <f>IFERROR(__xludf.DUMMYFUNCTION("""COMPUTED_VALUE"""),"")</f>
        <v/>
      </c>
    </row>
    <row r="12654">
      <c r="G12654" s="16" t="str">
        <f>IFERROR(__xludf.DUMMYFUNCTION("""COMPUTED_VALUE"""),"")</f>
        <v/>
      </c>
    </row>
    <row r="12655">
      <c r="G12655" s="16" t="str">
        <f>IFERROR(__xludf.DUMMYFUNCTION("""COMPUTED_VALUE"""),"")</f>
        <v/>
      </c>
    </row>
    <row r="12656">
      <c r="G12656" s="16" t="str">
        <f>IFERROR(__xludf.DUMMYFUNCTION("""COMPUTED_VALUE"""),"")</f>
        <v/>
      </c>
    </row>
    <row r="12657">
      <c r="G12657" s="16" t="str">
        <f>IFERROR(__xludf.DUMMYFUNCTION("""COMPUTED_VALUE"""),"")</f>
        <v/>
      </c>
    </row>
    <row r="12658">
      <c r="G12658" s="16" t="str">
        <f>IFERROR(__xludf.DUMMYFUNCTION("""COMPUTED_VALUE"""),"")</f>
        <v/>
      </c>
    </row>
    <row r="12659">
      <c r="G12659" s="16" t="str">
        <f>IFERROR(__xludf.DUMMYFUNCTION("""COMPUTED_VALUE"""),"")</f>
        <v/>
      </c>
    </row>
    <row r="12660">
      <c r="G12660" s="16" t="str">
        <f>IFERROR(__xludf.DUMMYFUNCTION("""COMPUTED_VALUE"""),"")</f>
        <v/>
      </c>
    </row>
    <row r="12661">
      <c r="G12661" s="16" t="str">
        <f>IFERROR(__xludf.DUMMYFUNCTION("""COMPUTED_VALUE"""),"")</f>
        <v/>
      </c>
    </row>
    <row r="12662">
      <c r="G12662" s="16" t="str">
        <f>IFERROR(__xludf.DUMMYFUNCTION("""COMPUTED_VALUE"""),"")</f>
        <v/>
      </c>
    </row>
    <row r="12663">
      <c r="G12663" s="16" t="str">
        <f>IFERROR(__xludf.DUMMYFUNCTION("""COMPUTED_VALUE"""),"")</f>
        <v/>
      </c>
    </row>
    <row r="12664">
      <c r="G12664" s="16" t="str">
        <f>IFERROR(__xludf.DUMMYFUNCTION("""COMPUTED_VALUE"""),"")</f>
        <v/>
      </c>
    </row>
    <row r="12665">
      <c r="G12665" s="16" t="str">
        <f>IFERROR(__xludf.DUMMYFUNCTION("""COMPUTED_VALUE"""),"")</f>
        <v/>
      </c>
    </row>
    <row r="12666">
      <c r="G12666" s="16" t="str">
        <f>IFERROR(__xludf.DUMMYFUNCTION("""COMPUTED_VALUE"""),"")</f>
        <v/>
      </c>
    </row>
    <row r="12667">
      <c r="G12667" s="16" t="str">
        <f>IFERROR(__xludf.DUMMYFUNCTION("""COMPUTED_VALUE"""),"")</f>
        <v/>
      </c>
    </row>
    <row r="12668">
      <c r="G12668" s="16" t="str">
        <f>IFERROR(__xludf.DUMMYFUNCTION("""COMPUTED_VALUE"""),"")</f>
        <v/>
      </c>
    </row>
    <row r="12669">
      <c r="G12669" s="16" t="str">
        <f>IFERROR(__xludf.DUMMYFUNCTION("""COMPUTED_VALUE"""),"")</f>
        <v/>
      </c>
    </row>
    <row r="12670">
      <c r="G12670" s="16" t="str">
        <f>IFERROR(__xludf.DUMMYFUNCTION("""COMPUTED_VALUE"""),"")</f>
        <v/>
      </c>
    </row>
    <row r="12671">
      <c r="G12671" s="16" t="str">
        <f>IFERROR(__xludf.DUMMYFUNCTION("""COMPUTED_VALUE"""),"")</f>
        <v/>
      </c>
    </row>
    <row r="12672">
      <c r="G12672" s="16" t="str">
        <f>IFERROR(__xludf.DUMMYFUNCTION("""COMPUTED_VALUE"""),"")</f>
        <v/>
      </c>
    </row>
    <row r="12673">
      <c r="G12673" s="16" t="str">
        <f>IFERROR(__xludf.DUMMYFUNCTION("""COMPUTED_VALUE"""),"")</f>
        <v/>
      </c>
    </row>
    <row r="12674">
      <c r="G12674" s="16" t="str">
        <f>IFERROR(__xludf.DUMMYFUNCTION("""COMPUTED_VALUE"""),"")</f>
        <v/>
      </c>
    </row>
    <row r="12675">
      <c r="G12675" s="16" t="str">
        <f>IFERROR(__xludf.DUMMYFUNCTION("""COMPUTED_VALUE"""),"")</f>
        <v/>
      </c>
    </row>
    <row r="12676">
      <c r="G12676" s="16" t="str">
        <f>IFERROR(__xludf.DUMMYFUNCTION("""COMPUTED_VALUE"""),"")</f>
        <v/>
      </c>
    </row>
    <row r="12677">
      <c r="G12677" s="16" t="str">
        <f>IFERROR(__xludf.DUMMYFUNCTION("""COMPUTED_VALUE"""),"")</f>
        <v/>
      </c>
    </row>
    <row r="12678">
      <c r="G12678" s="16" t="str">
        <f>IFERROR(__xludf.DUMMYFUNCTION("""COMPUTED_VALUE"""),"")</f>
        <v/>
      </c>
    </row>
    <row r="12679">
      <c r="G12679" s="16" t="str">
        <f>IFERROR(__xludf.DUMMYFUNCTION("""COMPUTED_VALUE"""),"")</f>
        <v/>
      </c>
    </row>
    <row r="12680">
      <c r="G12680" s="16" t="str">
        <f>IFERROR(__xludf.DUMMYFUNCTION("""COMPUTED_VALUE"""),"")</f>
        <v/>
      </c>
    </row>
    <row r="12681">
      <c r="G12681" s="16" t="str">
        <f>IFERROR(__xludf.DUMMYFUNCTION("""COMPUTED_VALUE"""),"")</f>
        <v/>
      </c>
    </row>
    <row r="12682">
      <c r="G12682" s="16" t="str">
        <f>IFERROR(__xludf.DUMMYFUNCTION("""COMPUTED_VALUE"""),"")</f>
        <v/>
      </c>
    </row>
    <row r="12683">
      <c r="G12683" s="16" t="str">
        <f>IFERROR(__xludf.DUMMYFUNCTION("""COMPUTED_VALUE"""),"")</f>
        <v/>
      </c>
    </row>
    <row r="12684">
      <c r="G12684" s="16" t="str">
        <f>IFERROR(__xludf.DUMMYFUNCTION("""COMPUTED_VALUE"""),"")</f>
        <v/>
      </c>
    </row>
    <row r="12685">
      <c r="G12685" s="16" t="str">
        <f>IFERROR(__xludf.DUMMYFUNCTION("""COMPUTED_VALUE"""),"")</f>
        <v/>
      </c>
    </row>
    <row r="12686">
      <c r="G12686" s="16" t="str">
        <f>IFERROR(__xludf.DUMMYFUNCTION("""COMPUTED_VALUE"""),"")</f>
        <v/>
      </c>
    </row>
    <row r="12687">
      <c r="G12687" s="16" t="str">
        <f>IFERROR(__xludf.DUMMYFUNCTION("""COMPUTED_VALUE"""),"")</f>
        <v/>
      </c>
    </row>
    <row r="12688">
      <c r="G12688" s="16" t="str">
        <f>IFERROR(__xludf.DUMMYFUNCTION("""COMPUTED_VALUE"""),"")</f>
        <v/>
      </c>
    </row>
    <row r="12689">
      <c r="G12689" s="16" t="str">
        <f>IFERROR(__xludf.DUMMYFUNCTION("""COMPUTED_VALUE"""),"")</f>
        <v/>
      </c>
    </row>
    <row r="12690">
      <c r="G12690" s="16" t="str">
        <f>IFERROR(__xludf.DUMMYFUNCTION("""COMPUTED_VALUE"""),"")</f>
        <v/>
      </c>
    </row>
    <row r="12691">
      <c r="G12691" s="16" t="str">
        <f>IFERROR(__xludf.DUMMYFUNCTION("""COMPUTED_VALUE"""),"")</f>
        <v/>
      </c>
    </row>
    <row r="12692">
      <c r="G12692" s="16" t="str">
        <f>IFERROR(__xludf.DUMMYFUNCTION("""COMPUTED_VALUE"""),"")</f>
        <v/>
      </c>
    </row>
    <row r="12693">
      <c r="G12693" s="16" t="str">
        <f>IFERROR(__xludf.DUMMYFUNCTION("""COMPUTED_VALUE"""),"")</f>
        <v/>
      </c>
    </row>
    <row r="12694">
      <c r="G12694" s="16" t="str">
        <f>IFERROR(__xludf.DUMMYFUNCTION("""COMPUTED_VALUE"""),"")</f>
        <v/>
      </c>
    </row>
    <row r="12695">
      <c r="G12695" s="16" t="str">
        <f>IFERROR(__xludf.DUMMYFUNCTION("""COMPUTED_VALUE"""),"")</f>
        <v/>
      </c>
    </row>
    <row r="12696">
      <c r="G12696" s="16" t="str">
        <f>IFERROR(__xludf.DUMMYFUNCTION("""COMPUTED_VALUE"""),"")</f>
        <v/>
      </c>
    </row>
    <row r="12697">
      <c r="G12697" s="16" t="str">
        <f>IFERROR(__xludf.DUMMYFUNCTION("""COMPUTED_VALUE"""),"")</f>
        <v/>
      </c>
    </row>
    <row r="12698">
      <c r="G12698" s="16" t="str">
        <f>IFERROR(__xludf.DUMMYFUNCTION("""COMPUTED_VALUE"""),"")</f>
        <v/>
      </c>
    </row>
    <row r="12699">
      <c r="G12699" s="16" t="str">
        <f>IFERROR(__xludf.DUMMYFUNCTION("""COMPUTED_VALUE"""),"")</f>
        <v/>
      </c>
    </row>
    <row r="12700">
      <c r="G12700" s="16" t="str">
        <f>IFERROR(__xludf.DUMMYFUNCTION("""COMPUTED_VALUE"""),"")</f>
        <v/>
      </c>
    </row>
    <row r="12701">
      <c r="G12701" s="16" t="str">
        <f>IFERROR(__xludf.DUMMYFUNCTION("""COMPUTED_VALUE"""),"")</f>
        <v/>
      </c>
    </row>
    <row r="12702">
      <c r="G12702" s="16" t="str">
        <f>IFERROR(__xludf.DUMMYFUNCTION("""COMPUTED_VALUE"""),"")</f>
        <v/>
      </c>
    </row>
    <row r="12703">
      <c r="G12703" s="16" t="str">
        <f>IFERROR(__xludf.DUMMYFUNCTION("""COMPUTED_VALUE"""),"")</f>
        <v/>
      </c>
    </row>
    <row r="12704">
      <c r="G12704" s="16" t="str">
        <f>IFERROR(__xludf.DUMMYFUNCTION("""COMPUTED_VALUE"""),"")</f>
        <v/>
      </c>
    </row>
    <row r="12705">
      <c r="G12705" s="16" t="str">
        <f>IFERROR(__xludf.DUMMYFUNCTION("""COMPUTED_VALUE"""),"")</f>
        <v/>
      </c>
    </row>
    <row r="12706">
      <c r="G12706" s="16" t="str">
        <f>IFERROR(__xludf.DUMMYFUNCTION("""COMPUTED_VALUE"""),"")</f>
        <v/>
      </c>
    </row>
    <row r="12707">
      <c r="G12707" s="16" t="str">
        <f>IFERROR(__xludf.DUMMYFUNCTION("""COMPUTED_VALUE"""),"")</f>
        <v/>
      </c>
    </row>
    <row r="12708">
      <c r="G12708" s="16" t="str">
        <f>IFERROR(__xludf.DUMMYFUNCTION("""COMPUTED_VALUE"""),"")</f>
        <v/>
      </c>
    </row>
    <row r="12709">
      <c r="G12709" s="16" t="str">
        <f>IFERROR(__xludf.DUMMYFUNCTION("""COMPUTED_VALUE"""),"")</f>
        <v/>
      </c>
    </row>
    <row r="12710">
      <c r="G12710" s="16" t="str">
        <f>IFERROR(__xludf.DUMMYFUNCTION("""COMPUTED_VALUE"""),"")</f>
        <v/>
      </c>
    </row>
    <row r="12711">
      <c r="G12711" s="16" t="str">
        <f>IFERROR(__xludf.DUMMYFUNCTION("""COMPUTED_VALUE"""),"")</f>
        <v/>
      </c>
    </row>
    <row r="12712">
      <c r="G12712" s="16" t="str">
        <f>IFERROR(__xludf.DUMMYFUNCTION("""COMPUTED_VALUE"""),"")</f>
        <v/>
      </c>
    </row>
    <row r="12713">
      <c r="G12713" s="16" t="str">
        <f>IFERROR(__xludf.DUMMYFUNCTION("""COMPUTED_VALUE"""),"")</f>
        <v/>
      </c>
    </row>
    <row r="12714">
      <c r="G12714" s="16" t="str">
        <f>IFERROR(__xludf.DUMMYFUNCTION("""COMPUTED_VALUE"""),"")</f>
        <v/>
      </c>
    </row>
    <row r="12715">
      <c r="G12715" s="16" t="str">
        <f>IFERROR(__xludf.DUMMYFUNCTION("""COMPUTED_VALUE"""),"")</f>
        <v/>
      </c>
    </row>
    <row r="12716">
      <c r="G12716" s="16" t="str">
        <f>IFERROR(__xludf.DUMMYFUNCTION("""COMPUTED_VALUE"""),"")</f>
        <v/>
      </c>
    </row>
    <row r="12717">
      <c r="G12717" s="16" t="str">
        <f>IFERROR(__xludf.DUMMYFUNCTION("""COMPUTED_VALUE"""),"")</f>
        <v/>
      </c>
    </row>
    <row r="12718">
      <c r="G12718" s="16" t="str">
        <f>IFERROR(__xludf.DUMMYFUNCTION("""COMPUTED_VALUE"""),"")</f>
        <v/>
      </c>
    </row>
    <row r="12719">
      <c r="G12719" s="16" t="str">
        <f>IFERROR(__xludf.DUMMYFUNCTION("""COMPUTED_VALUE"""),"")</f>
        <v/>
      </c>
    </row>
    <row r="12720">
      <c r="G12720" s="16" t="str">
        <f>IFERROR(__xludf.DUMMYFUNCTION("""COMPUTED_VALUE"""),"")</f>
        <v/>
      </c>
    </row>
    <row r="12721">
      <c r="G12721" s="16" t="str">
        <f>IFERROR(__xludf.DUMMYFUNCTION("""COMPUTED_VALUE"""),"")</f>
        <v/>
      </c>
    </row>
    <row r="12722">
      <c r="G12722" s="16" t="str">
        <f>IFERROR(__xludf.DUMMYFUNCTION("""COMPUTED_VALUE"""),"")</f>
        <v/>
      </c>
    </row>
    <row r="12723">
      <c r="G12723" s="16" t="str">
        <f>IFERROR(__xludf.DUMMYFUNCTION("""COMPUTED_VALUE"""),"")</f>
        <v/>
      </c>
    </row>
    <row r="12724">
      <c r="G12724" s="16" t="str">
        <f>IFERROR(__xludf.DUMMYFUNCTION("""COMPUTED_VALUE"""),"")</f>
        <v/>
      </c>
    </row>
    <row r="12725">
      <c r="G12725" s="16" t="str">
        <f>IFERROR(__xludf.DUMMYFUNCTION("""COMPUTED_VALUE"""),"")</f>
        <v/>
      </c>
    </row>
    <row r="12726">
      <c r="G12726" s="16" t="str">
        <f>IFERROR(__xludf.DUMMYFUNCTION("""COMPUTED_VALUE"""),"")</f>
        <v/>
      </c>
    </row>
    <row r="12727">
      <c r="G12727" s="16" t="str">
        <f>IFERROR(__xludf.DUMMYFUNCTION("""COMPUTED_VALUE"""),"")</f>
        <v/>
      </c>
    </row>
    <row r="12728">
      <c r="G12728" s="16" t="str">
        <f>IFERROR(__xludf.DUMMYFUNCTION("""COMPUTED_VALUE"""),"")</f>
        <v/>
      </c>
    </row>
    <row r="12729">
      <c r="G12729" s="16" t="str">
        <f>IFERROR(__xludf.DUMMYFUNCTION("""COMPUTED_VALUE"""),"")</f>
        <v/>
      </c>
    </row>
    <row r="12730">
      <c r="G12730" s="16" t="str">
        <f>IFERROR(__xludf.DUMMYFUNCTION("""COMPUTED_VALUE"""),"")</f>
        <v/>
      </c>
    </row>
    <row r="12731">
      <c r="G12731" s="16" t="str">
        <f>IFERROR(__xludf.DUMMYFUNCTION("""COMPUTED_VALUE"""),"")</f>
        <v/>
      </c>
    </row>
    <row r="12732">
      <c r="G12732" s="16" t="str">
        <f>IFERROR(__xludf.DUMMYFUNCTION("""COMPUTED_VALUE"""),"")</f>
        <v/>
      </c>
    </row>
    <row r="12733">
      <c r="G12733" s="16" t="str">
        <f>IFERROR(__xludf.DUMMYFUNCTION("""COMPUTED_VALUE"""),"")</f>
        <v/>
      </c>
    </row>
    <row r="12734">
      <c r="G12734" s="16" t="str">
        <f>IFERROR(__xludf.DUMMYFUNCTION("""COMPUTED_VALUE"""),"")</f>
        <v/>
      </c>
    </row>
    <row r="12735">
      <c r="G12735" s="16" t="str">
        <f>IFERROR(__xludf.DUMMYFUNCTION("""COMPUTED_VALUE"""),"")</f>
        <v/>
      </c>
    </row>
    <row r="12736">
      <c r="G12736" s="16" t="str">
        <f>IFERROR(__xludf.DUMMYFUNCTION("""COMPUTED_VALUE"""),"")</f>
        <v/>
      </c>
    </row>
    <row r="12737">
      <c r="G12737" s="16" t="str">
        <f>IFERROR(__xludf.DUMMYFUNCTION("""COMPUTED_VALUE"""),"")</f>
        <v/>
      </c>
    </row>
    <row r="12738">
      <c r="G12738" s="16" t="str">
        <f>IFERROR(__xludf.DUMMYFUNCTION("""COMPUTED_VALUE"""),"")</f>
        <v/>
      </c>
    </row>
    <row r="12739">
      <c r="G12739" s="16" t="str">
        <f>IFERROR(__xludf.DUMMYFUNCTION("""COMPUTED_VALUE"""),"")</f>
        <v/>
      </c>
    </row>
    <row r="12740">
      <c r="G12740" s="16" t="str">
        <f>IFERROR(__xludf.DUMMYFUNCTION("""COMPUTED_VALUE"""),"")</f>
        <v/>
      </c>
    </row>
    <row r="12741">
      <c r="G12741" s="16" t="str">
        <f>IFERROR(__xludf.DUMMYFUNCTION("""COMPUTED_VALUE"""),"")</f>
        <v/>
      </c>
    </row>
    <row r="12742">
      <c r="G12742" s="16" t="str">
        <f>IFERROR(__xludf.DUMMYFUNCTION("""COMPUTED_VALUE"""),"")</f>
        <v/>
      </c>
    </row>
    <row r="12743">
      <c r="G12743" s="16" t="str">
        <f>IFERROR(__xludf.DUMMYFUNCTION("""COMPUTED_VALUE"""),"")</f>
        <v/>
      </c>
    </row>
    <row r="12744">
      <c r="G12744" s="16" t="str">
        <f>IFERROR(__xludf.DUMMYFUNCTION("""COMPUTED_VALUE"""),"")</f>
        <v/>
      </c>
    </row>
    <row r="12745">
      <c r="G12745" s="16" t="str">
        <f>IFERROR(__xludf.DUMMYFUNCTION("""COMPUTED_VALUE"""),"")</f>
        <v/>
      </c>
    </row>
    <row r="12746">
      <c r="G12746" s="16" t="str">
        <f>IFERROR(__xludf.DUMMYFUNCTION("""COMPUTED_VALUE"""),"")</f>
        <v/>
      </c>
    </row>
    <row r="12747">
      <c r="G12747" s="16" t="str">
        <f>IFERROR(__xludf.DUMMYFUNCTION("""COMPUTED_VALUE"""),"")</f>
        <v/>
      </c>
    </row>
    <row r="12748">
      <c r="G12748" s="16" t="str">
        <f>IFERROR(__xludf.DUMMYFUNCTION("""COMPUTED_VALUE"""),"")</f>
        <v/>
      </c>
    </row>
    <row r="12749">
      <c r="G12749" s="16" t="str">
        <f>IFERROR(__xludf.DUMMYFUNCTION("""COMPUTED_VALUE"""),"")</f>
        <v/>
      </c>
    </row>
    <row r="12750">
      <c r="G12750" s="16" t="str">
        <f>IFERROR(__xludf.DUMMYFUNCTION("""COMPUTED_VALUE"""),"")</f>
        <v/>
      </c>
    </row>
    <row r="12751">
      <c r="G12751" s="16" t="str">
        <f>IFERROR(__xludf.DUMMYFUNCTION("""COMPUTED_VALUE"""),"")</f>
        <v/>
      </c>
    </row>
    <row r="12752">
      <c r="G12752" s="16" t="str">
        <f>IFERROR(__xludf.DUMMYFUNCTION("""COMPUTED_VALUE"""),"")</f>
        <v/>
      </c>
    </row>
    <row r="12753">
      <c r="G12753" s="16" t="str">
        <f>IFERROR(__xludf.DUMMYFUNCTION("""COMPUTED_VALUE"""),"")</f>
        <v/>
      </c>
    </row>
    <row r="12754">
      <c r="G12754" s="16" t="str">
        <f>IFERROR(__xludf.DUMMYFUNCTION("""COMPUTED_VALUE"""),"")</f>
        <v/>
      </c>
    </row>
    <row r="12755">
      <c r="G12755" s="16" t="str">
        <f>IFERROR(__xludf.DUMMYFUNCTION("""COMPUTED_VALUE"""),"")</f>
        <v/>
      </c>
    </row>
    <row r="12756">
      <c r="G12756" s="16" t="str">
        <f>IFERROR(__xludf.DUMMYFUNCTION("""COMPUTED_VALUE"""),"")</f>
        <v/>
      </c>
    </row>
    <row r="12757">
      <c r="G12757" s="16" t="str">
        <f>IFERROR(__xludf.DUMMYFUNCTION("""COMPUTED_VALUE"""),"")</f>
        <v/>
      </c>
    </row>
    <row r="12758">
      <c r="G12758" s="16" t="str">
        <f>IFERROR(__xludf.DUMMYFUNCTION("""COMPUTED_VALUE"""),"")</f>
        <v/>
      </c>
    </row>
    <row r="12759">
      <c r="G12759" s="16" t="str">
        <f>IFERROR(__xludf.DUMMYFUNCTION("""COMPUTED_VALUE"""),"")</f>
        <v/>
      </c>
    </row>
    <row r="12760">
      <c r="G12760" s="16" t="str">
        <f>IFERROR(__xludf.DUMMYFUNCTION("""COMPUTED_VALUE"""),"")</f>
        <v/>
      </c>
    </row>
    <row r="12761">
      <c r="G12761" s="16" t="str">
        <f>IFERROR(__xludf.DUMMYFUNCTION("""COMPUTED_VALUE"""),"")</f>
        <v/>
      </c>
    </row>
    <row r="12762">
      <c r="G12762" s="16" t="str">
        <f>IFERROR(__xludf.DUMMYFUNCTION("""COMPUTED_VALUE"""),"")</f>
        <v/>
      </c>
    </row>
    <row r="12763">
      <c r="G12763" s="16" t="str">
        <f>IFERROR(__xludf.DUMMYFUNCTION("""COMPUTED_VALUE"""),"")</f>
        <v/>
      </c>
    </row>
    <row r="12764">
      <c r="G12764" s="16" t="str">
        <f>IFERROR(__xludf.DUMMYFUNCTION("""COMPUTED_VALUE"""),"")</f>
        <v/>
      </c>
    </row>
    <row r="12765">
      <c r="G12765" s="16" t="str">
        <f>IFERROR(__xludf.DUMMYFUNCTION("""COMPUTED_VALUE"""),"")</f>
        <v/>
      </c>
    </row>
    <row r="12766">
      <c r="G12766" s="16" t="str">
        <f>IFERROR(__xludf.DUMMYFUNCTION("""COMPUTED_VALUE"""),"")</f>
        <v/>
      </c>
    </row>
    <row r="12767">
      <c r="G12767" s="16" t="str">
        <f>IFERROR(__xludf.DUMMYFUNCTION("""COMPUTED_VALUE"""),"")</f>
        <v/>
      </c>
    </row>
    <row r="12768">
      <c r="G12768" s="16" t="str">
        <f>IFERROR(__xludf.DUMMYFUNCTION("""COMPUTED_VALUE"""),"")</f>
        <v/>
      </c>
    </row>
    <row r="12769">
      <c r="G12769" s="16" t="str">
        <f>IFERROR(__xludf.DUMMYFUNCTION("""COMPUTED_VALUE"""),"")</f>
        <v/>
      </c>
    </row>
    <row r="12770">
      <c r="G12770" s="16" t="str">
        <f>IFERROR(__xludf.DUMMYFUNCTION("""COMPUTED_VALUE"""),"")</f>
        <v/>
      </c>
    </row>
    <row r="12771">
      <c r="G12771" s="16" t="str">
        <f>IFERROR(__xludf.DUMMYFUNCTION("""COMPUTED_VALUE"""),"")</f>
        <v/>
      </c>
    </row>
    <row r="12772">
      <c r="G12772" s="16" t="str">
        <f>IFERROR(__xludf.DUMMYFUNCTION("""COMPUTED_VALUE"""),"")</f>
        <v/>
      </c>
    </row>
    <row r="12773">
      <c r="G12773" s="16" t="str">
        <f>IFERROR(__xludf.DUMMYFUNCTION("""COMPUTED_VALUE"""),"")</f>
        <v/>
      </c>
    </row>
    <row r="12774">
      <c r="G12774" s="16" t="str">
        <f>IFERROR(__xludf.DUMMYFUNCTION("""COMPUTED_VALUE"""),"")</f>
        <v/>
      </c>
    </row>
    <row r="12775">
      <c r="G12775" s="16" t="str">
        <f>IFERROR(__xludf.DUMMYFUNCTION("""COMPUTED_VALUE"""),"")</f>
        <v/>
      </c>
    </row>
    <row r="12776">
      <c r="G12776" s="16" t="str">
        <f>IFERROR(__xludf.DUMMYFUNCTION("""COMPUTED_VALUE"""),"")</f>
        <v/>
      </c>
    </row>
    <row r="12777">
      <c r="G12777" s="16" t="str">
        <f>IFERROR(__xludf.DUMMYFUNCTION("""COMPUTED_VALUE"""),"")</f>
        <v/>
      </c>
    </row>
    <row r="12778">
      <c r="G12778" s="16" t="str">
        <f>IFERROR(__xludf.DUMMYFUNCTION("""COMPUTED_VALUE"""),"")</f>
        <v/>
      </c>
    </row>
    <row r="12779">
      <c r="G12779" s="16" t="str">
        <f>IFERROR(__xludf.DUMMYFUNCTION("""COMPUTED_VALUE"""),"")</f>
        <v/>
      </c>
    </row>
    <row r="12780">
      <c r="G12780" s="16" t="str">
        <f>IFERROR(__xludf.DUMMYFUNCTION("""COMPUTED_VALUE"""),"")</f>
        <v/>
      </c>
    </row>
    <row r="12781">
      <c r="G12781" s="16" t="str">
        <f>IFERROR(__xludf.DUMMYFUNCTION("""COMPUTED_VALUE"""),"")</f>
        <v/>
      </c>
    </row>
    <row r="12782">
      <c r="G12782" s="16" t="str">
        <f>IFERROR(__xludf.DUMMYFUNCTION("""COMPUTED_VALUE"""),"")</f>
        <v/>
      </c>
    </row>
    <row r="12783">
      <c r="G12783" s="16" t="str">
        <f>IFERROR(__xludf.DUMMYFUNCTION("""COMPUTED_VALUE"""),"")</f>
        <v/>
      </c>
    </row>
    <row r="12784">
      <c r="G12784" s="16" t="str">
        <f>IFERROR(__xludf.DUMMYFUNCTION("""COMPUTED_VALUE"""),"")</f>
        <v/>
      </c>
    </row>
    <row r="12785">
      <c r="G12785" s="16" t="str">
        <f>IFERROR(__xludf.DUMMYFUNCTION("""COMPUTED_VALUE"""),"")</f>
        <v/>
      </c>
    </row>
    <row r="12786">
      <c r="G12786" s="16" t="str">
        <f>IFERROR(__xludf.DUMMYFUNCTION("""COMPUTED_VALUE"""),"")</f>
        <v/>
      </c>
    </row>
    <row r="12787">
      <c r="G12787" s="16" t="str">
        <f>IFERROR(__xludf.DUMMYFUNCTION("""COMPUTED_VALUE"""),"")</f>
        <v/>
      </c>
    </row>
    <row r="12788">
      <c r="G12788" s="16" t="str">
        <f>IFERROR(__xludf.DUMMYFUNCTION("""COMPUTED_VALUE"""),"")</f>
        <v/>
      </c>
    </row>
    <row r="12789">
      <c r="G12789" s="16" t="str">
        <f>IFERROR(__xludf.DUMMYFUNCTION("""COMPUTED_VALUE"""),"")</f>
        <v/>
      </c>
    </row>
    <row r="12790">
      <c r="G12790" s="16" t="str">
        <f>IFERROR(__xludf.DUMMYFUNCTION("""COMPUTED_VALUE"""),"")</f>
        <v/>
      </c>
    </row>
    <row r="12791">
      <c r="G12791" s="16" t="str">
        <f>IFERROR(__xludf.DUMMYFUNCTION("""COMPUTED_VALUE"""),"")</f>
        <v/>
      </c>
    </row>
    <row r="12792">
      <c r="G12792" s="16" t="str">
        <f>IFERROR(__xludf.DUMMYFUNCTION("""COMPUTED_VALUE"""),"")</f>
        <v/>
      </c>
    </row>
    <row r="12793">
      <c r="G12793" s="16" t="str">
        <f>IFERROR(__xludf.DUMMYFUNCTION("""COMPUTED_VALUE"""),"")</f>
        <v/>
      </c>
    </row>
    <row r="12794">
      <c r="G12794" s="16" t="str">
        <f>IFERROR(__xludf.DUMMYFUNCTION("""COMPUTED_VALUE"""),"")</f>
        <v/>
      </c>
    </row>
    <row r="12795">
      <c r="G12795" s="16" t="str">
        <f>IFERROR(__xludf.DUMMYFUNCTION("""COMPUTED_VALUE"""),"")</f>
        <v/>
      </c>
    </row>
    <row r="12796">
      <c r="G12796" s="16" t="str">
        <f>IFERROR(__xludf.DUMMYFUNCTION("""COMPUTED_VALUE"""),"")</f>
        <v/>
      </c>
    </row>
    <row r="12797">
      <c r="G12797" s="16" t="str">
        <f>IFERROR(__xludf.DUMMYFUNCTION("""COMPUTED_VALUE"""),"")</f>
        <v/>
      </c>
    </row>
    <row r="12798">
      <c r="G12798" s="16" t="str">
        <f>IFERROR(__xludf.DUMMYFUNCTION("""COMPUTED_VALUE"""),"")</f>
        <v/>
      </c>
    </row>
    <row r="12799">
      <c r="G12799" s="16" t="str">
        <f>IFERROR(__xludf.DUMMYFUNCTION("""COMPUTED_VALUE"""),"")</f>
        <v/>
      </c>
    </row>
    <row r="12800">
      <c r="G12800" s="16" t="str">
        <f>IFERROR(__xludf.DUMMYFUNCTION("""COMPUTED_VALUE"""),"")</f>
        <v/>
      </c>
    </row>
    <row r="12801">
      <c r="G12801" s="16" t="str">
        <f>IFERROR(__xludf.DUMMYFUNCTION("""COMPUTED_VALUE"""),"")</f>
        <v/>
      </c>
    </row>
    <row r="12802">
      <c r="G12802" s="16" t="str">
        <f>IFERROR(__xludf.DUMMYFUNCTION("""COMPUTED_VALUE"""),"")</f>
        <v/>
      </c>
    </row>
    <row r="12803">
      <c r="G12803" s="16" t="str">
        <f>IFERROR(__xludf.DUMMYFUNCTION("""COMPUTED_VALUE"""),"")</f>
        <v/>
      </c>
    </row>
    <row r="12804">
      <c r="G12804" s="16" t="str">
        <f>IFERROR(__xludf.DUMMYFUNCTION("""COMPUTED_VALUE"""),"")</f>
        <v/>
      </c>
    </row>
    <row r="12805">
      <c r="G12805" s="16" t="str">
        <f>IFERROR(__xludf.DUMMYFUNCTION("""COMPUTED_VALUE"""),"")</f>
        <v/>
      </c>
    </row>
    <row r="12806">
      <c r="G12806" s="16" t="str">
        <f>IFERROR(__xludf.DUMMYFUNCTION("""COMPUTED_VALUE"""),"")</f>
        <v/>
      </c>
    </row>
    <row r="12807">
      <c r="G12807" s="16" t="str">
        <f>IFERROR(__xludf.DUMMYFUNCTION("""COMPUTED_VALUE"""),"")</f>
        <v/>
      </c>
    </row>
    <row r="12808">
      <c r="G12808" s="16" t="str">
        <f>IFERROR(__xludf.DUMMYFUNCTION("""COMPUTED_VALUE"""),"")</f>
        <v/>
      </c>
    </row>
    <row r="12809">
      <c r="G12809" s="16" t="str">
        <f>IFERROR(__xludf.DUMMYFUNCTION("""COMPUTED_VALUE"""),"")</f>
        <v/>
      </c>
    </row>
    <row r="12810">
      <c r="G12810" s="16" t="str">
        <f>IFERROR(__xludf.DUMMYFUNCTION("""COMPUTED_VALUE"""),"")</f>
        <v/>
      </c>
    </row>
    <row r="12811">
      <c r="G12811" s="16" t="str">
        <f>IFERROR(__xludf.DUMMYFUNCTION("""COMPUTED_VALUE"""),"")</f>
        <v/>
      </c>
    </row>
    <row r="12812">
      <c r="G12812" s="16" t="str">
        <f>IFERROR(__xludf.DUMMYFUNCTION("""COMPUTED_VALUE"""),"")</f>
        <v/>
      </c>
    </row>
    <row r="12813">
      <c r="G12813" s="16" t="str">
        <f>IFERROR(__xludf.DUMMYFUNCTION("""COMPUTED_VALUE"""),"")</f>
        <v/>
      </c>
    </row>
    <row r="12814">
      <c r="G12814" s="16" t="str">
        <f>IFERROR(__xludf.DUMMYFUNCTION("""COMPUTED_VALUE"""),"")</f>
        <v/>
      </c>
    </row>
    <row r="12815">
      <c r="G12815" s="16" t="str">
        <f>IFERROR(__xludf.DUMMYFUNCTION("""COMPUTED_VALUE"""),"")</f>
        <v/>
      </c>
    </row>
    <row r="12816">
      <c r="G12816" s="16" t="str">
        <f>IFERROR(__xludf.DUMMYFUNCTION("""COMPUTED_VALUE"""),"")</f>
        <v/>
      </c>
    </row>
    <row r="12817">
      <c r="G12817" s="16" t="str">
        <f>IFERROR(__xludf.DUMMYFUNCTION("""COMPUTED_VALUE"""),"")</f>
        <v/>
      </c>
    </row>
    <row r="12818">
      <c r="G12818" s="16" t="str">
        <f>IFERROR(__xludf.DUMMYFUNCTION("""COMPUTED_VALUE"""),"")</f>
        <v/>
      </c>
    </row>
    <row r="12819">
      <c r="G12819" s="16" t="str">
        <f>IFERROR(__xludf.DUMMYFUNCTION("""COMPUTED_VALUE"""),"")</f>
        <v/>
      </c>
    </row>
    <row r="12820">
      <c r="G12820" s="16" t="str">
        <f>IFERROR(__xludf.DUMMYFUNCTION("""COMPUTED_VALUE"""),"")</f>
        <v/>
      </c>
    </row>
    <row r="12821">
      <c r="G12821" s="16" t="str">
        <f>IFERROR(__xludf.DUMMYFUNCTION("""COMPUTED_VALUE"""),"")</f>
        <v/>
      </c>
    </row>
    <row r="12822">
      <c r="G12822" s="16" t="str">
        <f>IFERROR(__xludf.DUMMYFUNCTION("""COMPUTED_VALUE"""),"")</f>
        <v/>
      </c>
    </row>
    <row r="12823">
      <c r="G12823" s="16" t="str">
        <f>IFERROR(__xludf.DUMMYFUNCTION("""COMPUTED_VALUE"""),"")</f>
        <v/>
      </c>
    </row>
    <row r="12824">
      <c r="G12824" s="16" t="str">
        <f>IFERROR(__xludf.DUMMYFUNCTION("""COMPUTED_VALUE"""),"")</f>
        <v/>
      </c>
    </row>
    <row r="12825">
      <c r="G12825" s="16" t="str">
        <f>IFERROR(__xludf.DUMMYFUNCTION("""COMPUTED_VALUE"""),"")</f>
        <v/>
      </c>
    </row>
    <row r="12826">
      <c r="G12826" s="16" t="str">
        <f>IFERROR(__xludf.DUMMYFUNCTION("""COMPUTED_VALUE"""),"")</f>
        <v/>
      </c>
    </row>
    <row r="12827">
      <c r="G12827" s="16" t="str">
        <f>IFERROR(__xludf.DUMMYFUNCTION("""COMPUTED_VALUE"""),"")</f>
        <v/>
      </c>
    </row>
    <row r="12828">
      <c r="G12828" s="16" t="str">
        <f>IFERROR(__xludf.DUMMYFUNCTION("""COMPUTED_VALUE"""),"")</f>
        <v/>
      </c>
    </row>
    <row r="12829">
      <c r="G12829" s="16" t="str">
        <f>IFERROR(__xludf.DUMMYFUNCTION("""COMPUTED_VALUE"""),"")</f>
        <v/>
      </c>
    </row>
    <row r="12830">
      <c r="G12830" s="16" t="str">
        <f>IFERROR(__xludf.DUMMYFUNCTION("""COMPUTED_VALUE"""),"")</f>
        <v/>
      </c>
    </row>
    <row r="12831">
      <c r="G12831" s="16" t="str">
        <f>IFERROR(__xludf.DUMMYFUNCTION("""COMPUTED_VALUE"""),"")</f>
        <v/>
      </c>
    </row>
    <row r="12832">
      <c r="G12832" s="16" t="str">
        <f>IFERROR(__xludf.DUMMYFUNCTION("""COMPUTED_VALUE"""),"")</f>
        <v/>
      </c>
    </row>
    <row r="12833">
      <c r="G12833" s="16" t="str">
        <f>IFERROR(__xludf.DUMMYFUNCTION("""COMPUTED_VALUE"""),"")</f>
        <v/>
      </c>
    </row>
    <row r="12834">
      <c r="G12834" s="16" t="str">
        <f>IFERROR(__xludf.DUMMYFUNCTION("""COMPUTED_VALUE"""),"")</f>
        <v/>
      </c>
    </row>
    <row r="12835">
      <c r="G12835" s="16" t="str">
        <f>IFERROR(__xludf.DUMMYFUNCTION("""COMPUTED_VALUE"""),"")</f>
        <v/>
      </c>
    </row>
    <row r="12836">
      <c r="G12836" s="16" t="str">
        <f>IFERROR(__xludf.DUMMYFUNCTION("""COMPUTED_VALUE"""),"")</f>
        <v/>
      </c>
    </row>
    <row r="12837">
      <c r="G12837" s="16" t="str">
        <f>IFERROR(__xludf.DUMMYFUNCTION("""COMPUTED_VALUE"""),"")</f>
        <v/>
      </c>
    </row>
    <row r="12838">
      <c r="G12838" s="16" t="str">
        <f>IFERROR(__xludf.DUMMYFUNCTION("""COMPUTED_VALUE"""),"")</f>
        <v/>
      </c>
    </row>
    <row r="12839">
      <c r="G12839" s="16" t="str">
        <f>IFERROR(__xludf.DUMMYFUNCTION("""COMPUTED_VALUE"""),"")</f>
        <v/>
      </c>
    </row>
    <row r="12840">
      <c r="G12840" s="16" t="str">
        <f>IFERROR(__xludf.DUMMYFUNCTION("""COMPUTED_VALUE"""),"")</f>
        <v/>
      </c>
    </row>
    <row r="12841">
      <c r="G12841" s="16" t="str">
        <f>IFERROR(__xludf.DUMMYFUNCTION("""COMPUTED_VALUE"""),"")</f>
        <v/>
      </c>
    </row>
    <row r="12842">
      <c r="G12842" s="16" t="str">
        <f>IFERROR(__xludf.DUMMYFUNCTION("""COMPUTED_VALUE"""),"")</f>
        <v/>
      </c>
    </row>
    <row r="12843">
      <c r="G12843" s="16" t="str">
        <f>IFERROR(__xludf.DUMMYFUNCTION("""COMPUTED_VALUE"""),"")</f>
        <v/>
      </c>
    </row>
    <row r="12844">
      <c r="G12844" s="16" t="str">
        <f>IFERROR(__xludf.DUMMYFUNCTION("""COMPUTED_VALUE"""),"")</f>
        <v/>
      </c>
    </row>
    <row r="12845">
      <c r="G12845" s="16" t="str">
        <f>IFERROR(__xludf.DUMMYFUNCTION("""COMPUTED_VALUE"""),"")</f>
        <v/>
      </c>
    </row>
    <row r="12846">
      <c r="G12846" s="16" t="str">
        <f>IFERROR(__xludf.DUMMYFUNCTION("""COMPUTED_VALUE"""),"")</f>
        <v/>
      </c>
    </row>
    <row r="12847">
      <c r="G12847" s="16" t="str">
        <f>IFERROR(__xludf.DUMMYFUNCTION("""COMPUTED_VALUE"""),"")</f>
        <v/>
      </c>
    </row>
    <row r="12848">
      <c r="G12848" s="16" t="str">
        <f>IFERROR(__xludf.DUMMYFUNCTION("""COMPUTED_VALUE"""),"")</f>
        <v/>
      </c>
    </row>
    <row r="12849">
      <c r="G12849" s="16" t="str">
        <f>IFERROR(__xludf.DUMMYFUNCTION("""COMPUTED_VALUE"""),"")</f>
        <v/>
      </c>
    </row>
    <row r="12850">
      <c r="G12850" s="16" t="str">
        <f>IFERROR(__xludf.DUMMYFUNCTION("""COMPUTED_VALUE"""),"")</f>
        <v/>
      </c>
    </row>
    <row r="12851">
      <c r="G12851" s="16" t="str">
        <f>IFERROR(__xludf.DUMMYFUNCTION("""COMPUTED_VALUE"""),"")</f>
        <v/>
      </c>
    </row>
    <row r="12852">
      <c r="G12852" s="16" t="str">
        <f>IFERROR(__xludf.DUMMYFUNCTION("""COMPUTED_VALUE"""),"")</f>
        <v/>
      </c>
    </row>
    <row r="12853">
      <c r="G12853" s="16" t="str">
        <f>IFERROR(__xludf.DUMMYFUNCTION("""COMPUTED_VALUE"""),"")</f>
        <v/>
      </c>
    </row>
    <row r="12854">
      <c r="G12854" s="16" t="str">
        <f>IFERROR(__xludf.DUMMYFUNCTION("""COMPUTED_VALUE"""),"")</f>
        <v/>
      </c>
    </row>
    <row r="12855">
      <c r="G12855" s="16" t="str">
        <f>IFERROR(__xludf.DUMMYFUNCTION("""COMPUTED_VALUE"""),"")</f>
        <v/>
      </c>
    </row>
    <row r="12856">
      <c r="G12856" s="16" t="str">
        <f>IFERROR(__xludf.DUMMYFUNCTION("""COMPUTED_VALUE"""),"")</f>
        <v/>
      </c>
    </row>
    <row r="12857">
      <c r="G12857" s="16" t="str">
        <f>IFERROR(__xludf.DUMMYFUNCTION("""COMPUTED_VALUE"""),"")</f>
        <v/>
      </c>
    </row>
    <row r="12858">
      <c r="G12858" s="16" t="str">
        <f>IFERROR(__xludf.DUMMYFUNCTION("""COMPUTED_VALUE"""),"")</f>
        <v/>
      </c>
    </row>
    <row r="12859">
      <c r="G12859" s="16" t="str">
        <f>IFERROR(__xludf.DUMMYFUNCTION("""COMPUTED_VALUE"""),"")</f>
        <v/>
      </c>
    </row>
    <row r="12860">
      <c r="G12860" s="16" t="str">
        <f>IFERROR(__xludf.DUMMYFUNCTION("""COMPUTED_VALUE"""),"")</f>
        <v/>
      </c>
    </row>
    <row r="12861">
      <c r="G12861" s="16" t="str">
        <f>IFERROR(__xludf.DUMMYFUNCTION("""COMPUTED_VALUE"""),"")</f>
        <v/>
      </c>
    </row>
    <row r="12862">
      <c r="G12862" s="16" t="str">
        <f>IFERROR(__xludf.DUMMYFUNCTION("""COMPUTED_VALUE"""),"")</f>
        <v/>
      </c>
    </row>
    <row r="12863">
      <c r="G12863" s="16" t="str">
        <f>IFERROR(__xludf.DUMMYFUNCTION("""COMPUTED_VALUE"""),"")</f>
        <v/>
      </c>
    </row>
    <row r="12864">
      <c r="G12864" s="16" t="str">
        <f>IFERROR(__xludf.DUMMYFUNCTION("""COMPUTED_VALUE"""),"")</f>
        <v/>
      </c>
    </row>
    <row r="12865">
      <c r="G12865" s="16" t="str">
        <f>IFERROR(__xludf.DUMMYFUNCTION("""COMPUTED_VALUE"""),"")</f>
        <v/>
      </c>
    </row>
    <row r="12866">
      <c r="G12866" s="16" t="str">
        <f>IFERROR(__xludf.DUMMYFUNCTION("""COMPUTED_VALUE"""),"")</f>
        <v/>
      </c>
    </row>
    <row r="12867">
      <c r="G12867" s="16" t="str">
        <f>IFERROR(__xludf.DUMMYFUNCTION("""COMPUTED_VALUE"""),"")</f>
        <v/>
      </c>
    </row>
    <row r="12868">
      <c r="G12868" s="16" t="str">
        <f>IFERROR(__xludf.DUMMYFUNCTION("""COMPUTED_VALUE"""),"")</f>
        <v/>
      </c>
    </row>
    <row r="12869">
      <c r="G12869" s="16" t="str">
        <f>IFERROR(__xludf.DUMMYFUNCTION("""COMPUTED_VALUE"""),"")</f>
        <v/>
      </c>
    </row>
    <row r="12870">
      <c r="G12870" s="16" t="str">
        <f>IFERROR(__xludf.DUMMYFUNCTION("""COMPUTED_VALUE"""),"")</f>
        <v/>
      </c>
    </row>
    <row r="12871">
      <c r="G12871" s="16" t="str">
        <f>IFERROR(__xludf.DUMMYFUNCTION("""COMPUTED_VALUE"""),"")</f>
        <v/>
      </c>
    </row>
    <row r="12872">
      <c r="G12872" s="16" t="str">
        <f>IFERROR(__xludf.DUMMYFUNCTION("""COMPUTED_VALUE"""),"")</f>
        <v/>
      </c>
    </row>
    <row r="12873">
      <c r="G12873" s="16" t="str">
        <f>IFERROR(__xludf.DUMMYFUNCTION("""COMPUTED_VALUE"""),"")</f>
        <v/>
      </c>
    </row>
    <row r="12874">
      <c r="G12874" s="16" t="str">
        <f>IFERROR(__xludf.DUMMYFUNCTION("""COMPUTED_VALUE"""),"")</f>
        <v/>
      </c>
    </row>
    <row r="12875">
      <c r="G12875" s="16" t="str">
        <f>IFERROR(__xludf.DUMMYFUNCTION("""COMPUTED_VALUE"""),"")</f>
        <v/>
      </c>
    </row>
    <row r="12876">
      <c r="G12876" s="16" t="str">
        <f>IFERROR(__xludf.DUMMYFUNCTION("""COMPUTED_VALUE"""),"")</f>
        <v/>
      </c>
    </row>
    <row r="12877">
      <c r="G12877" s="16" t="str">
        <f>IFERROR(__xludf.DUMMYFUNCTION("""COMPUTED_VALUE"""),"")</f>
        <v/>
      </c>
    </row>
    <row r="12878">
      <c r="G12878" s="16" t="str">
        <f>IFERROR(__xludf.DUMMYFUNCTION("""COMPUTED_VALUE"""),"")</f>
        <v/>
      </c>
    </row>
    <row r="12879">
      <c r="G12879" s="16" t="str">
        <f>IFERROR(__xludf.DUMMYFUNCTION("""COMPUTED_VALUE"""),"")</f>
        <v/>
      </c>
    </row>
    <row r="12880">
      <c r="G12880" s="16" t="str">
        <f>IFERROR(__xludf.DUMMYFUNCTION("""COMPUTED_VALUE"""),"")</f>
        <v/>
      </c>
    </row>
    <row r="12881">
      <c r="G12881" s="16" t="str">
        <f>IFERROR(__xludf.DUMMYFUNCTION("""COMPUTED_VALUE"""),"")</f>
        <v/>
      </c>
    </row>
    <row r="12882">
      <c r="G12882" s="16" t="str">
        <f>IFERROR(__xludf.DUMMYFUNCTION("""COMPUTED_VALUE"""),"")</f>
        <v/>
      </c>
    </row>
    <row r="12883">
      <c r="G12883" s="16" t="str">
        <f>IFERROR(__xludf.DUMMYFUNCTION("""COMPUTED_VALUE"""),"")</f>
        <v/>
      </c>
    </row>
    <row r="12884">
      <c r="G12884" s="16" t="str">
        <f>IFERROR(__xludf.DUMMYFUNCTION("""COMPUTED_VALUE"""),"")</f>
        <v/>
      </c>
    </row>
    <row r="12885">
      <c r="G12885" s="16" t="str">
        <f>IFERROR(__xludf.DUMMYFUNCTION("""COMPUTED_VALUE"""),"")</f>
        <v/>
      </c>
    </row>
    <row r="12886">
      <c r="G12886" s="16" t="str">
        <f>IFERROR(__xludf.DUMMYFUNCTION("""COMPUTED_VALUE"""),"")</f>
        <v/>
      </c>
    </row>
    <row r="12887">
      <c r="G12887" s="16" t="str">
        <f>IFERROR(__xludf.DUMMYFUNCTION("""COMPUTED_VALUE"""),"")</f>
        <v/>
      </c>
    </row>
    <row r="12888">
      <c r="G12888" s="16" t="str">
        <f>IFERROR(__xludf.DUMMYFUNCTION("""COMPUTED_VALUE"""),"")</f>
        <v/>
      </c>
    </row>
    <row r="12889">
      <c r="G12889" s="16" t="str">
        <f>IFERROR(__xludf.DUMMYFUNCTION("""COMPUTED_VALUE"""),"")</f>
        <v/>
      </c>
    </row>
    <row r="12890">
      <c r="G12890" s="16" t="str">
        <f>IFERROR(__xludf.DUMMYFUNCTION("""COMPUTED_VALUE"""),"")</f>
        <v/>
      </c>
    </row>
    <row r="12891">
      <c r="G12891" s="16" t="str">
        <f>IFERROR(__xludf.DUMMYFUNCTION("""COMPUTED_VALUE"""),"")</f>
        <v/>
      </c>
    </row>
    <row r="12892">
      <c r="G12892" s="16" t="str">
        <f>IFERROR(__xludf.DUMMYFUNCTION("""COMPUTED_VALUE"""),"")</f>
        <v/>
      </c>
    </row>
    <row r="12893">
      <c r="G12893" s="16" t="str">
        <f>IFERROR(__xludf.DUMMYFUNCTION("""COMPUTED_VALUE"""),"")</f>
        <v/>
      </c>
    </row>
    <row r="12894">
      <c r="G12894" s="16" t="str">
        <f>IFERROR(__xludf.DUMMYFUNCTION("""COMPUTED_VALUE"""),"")</f>
        <v/>
      </c>
    </row>
    <row r="12895">
      <c r="G12895" s="16" t="str">
        <f>IFERROR(__xludf.DUMMYFUNCTION("""COMPUTED_VALUE"""),"")</f>
        <v/>
      </c>
    </row>
    <row r="12896">
      <c r="G12896" s="16" t="str">
        <f>IFERROR(__xludf.DUMMYFUNCTION("""COMPUTED_VALUE"""),"")</f>
        <v/>
      </c>
    </row>
    <row r="12897">
      <c r="G12897" s="16" t="str">
        <f>IFERROR(__xludf.DUMMYFUNCTION("""COMPUTED_VALUE"""),"")</f>
        <v/>
      </c>
    </row>
    <row r="12898">
      <c r="G12898" s="16" t="str">
        <f>IFERROR(__xludf.DUMMYFUNCTION("""COMPUTED_VALUE"""),"")</f>
        <v/>
      </c>
    </row>
    <row r="12899">
      <c r="G12899" s="16" t="str">
        <f>IFERROR(__xludf.DUMMYFUNCTION("""COMPUTED_VALUE"""),"")</f>
        <v/>
      </c>
    </row>
    <row r="12900">
      <c r="G12900" s="16" t="str">
        <f>IFERROR(__xludf.DUMMYFUNCTION("""COMPUTED_VALUE"""),"")</f>
        <v/>
      </c>
    </row>
    <row r="12901">
      <c r="G12901" s="16" t="str">
        <f>IFERROR(__xludf.DUMMYFUNCTION("""COMPUTED_VALUE"""),"")</f>
        <v/>
      </c>
    </row>
    <row r="12902">
      <c r="G12902" s="16" t="str">
        <f>IFERROR(__xludf.DUMMYFUNCTION("""COMPUTED_VALUE"""),"")</f>
        <v/>
      </c>
    </row>
    <row r="12903">
      <c r="G12903" s="16" t="str">
        <f>IFERROR(__xludf.DUMMYFUNCTION("""COMPUTED_VALUE"""),"")</f>
        <v/>
      </c>
    </row>
    <row r="12904">
      <c r="G12904" s="16" t="str">
        <f>IFERROR(__xludf.DUMMYFUNCTION("""COMPUTED_VALUE"""),"")</f>
        <v/>
      </c>
    </row>
    <row r="12905">
      <c r="G12905" s="16" t="str">
        <f>IFERROR(__xludf.DUMMYFUNCTION("""COMPUTED_VALUE"""),"")</f>
        <v/>
      </c>
    </row>
    <row r="12906">
      <c r="G12906" s="16" t="str">
        <f>IFERROR(__xludf.DUMMYFUNCTION("""COMPUTED_VALUE"""),"")</f>
        <v/>
      </c>
    </row>
    <row r="12907">
      <c r="G12907" s="16" t="str">
        <f>IFERROR(__xludf.DUMMYFUNCTION("""COMPUTED_VALUE"""),"")</f>
        <v/>
      </c>
    </row>
    <row r="12908">
      <c r="G12908" s="16" t="str">
        <f>IFERROR(__xludf.DUMMYFUNCTION("""COMPUTED_VALUE"""),"")</f>
        <v/>
      </c>
    </row>
    <row r="12909">
      <c r="G12909" s="16" t="str">
        <f>IFERROR(__xludf.DUMMYFUNCTION("""COMPUTED_VALUE"""),"")</f>
        <v/>
      </c>
    </row>
    <row r="12910">
      <c r="G12910" s="16" t="str">
        <f>IFERROR(__xludf.DUMMYFUNCTION("""COMPUTED_VALUE"""),"")</f>
        <v/>
      </c>
    </row>
    <row r="12911">
      <c r="G12911" s="16" t="str">
        <f>IFERROR(__xludf.DUMMYFUNCTION("""COMPUTED_VALUE"""),"")</f>
        <v/>
      </c>
    </row>
    <row r="12912">
      <c r="G12912" s="16" t="str">
        <f>IFERROR(__xludf.DUMMYFUNCTION("""COMPUTED_VALUE"""),"")</f>
        <v/>
      </c>
    </row>
    <row r="12913">
      <c r="G12913" s="16" t="str">
        <f>IFERROR(__xludf.DUMMYFUNCTION("""COMPUTED_VALUE"""),"")</f>
        <v/>
      </c>
    </row>
    <row r="12914">
      <c r="G12914" s="16" t="str">
        <f>IFERROR(__xludf.DUMMYFUNCTION("""COMPUTED_VALUE"""),"")</f>
        <v/>
      </c>
    </row>
    <row r="12915">
      <c r="G12915" s="16" t="str">
        <f>IFERROR(__xludf.DUMMYFUNCTION("""COMPUTED_VALUE"""),"")</f>
        <v/>
      </c>
    </row>
    <row r="12916">
      <c r="G12916" s="16" t="str">
        <f>IFERROR(__xludf.DUMMYFUNCTION("""COMPUTED_VALUE"""),"")</f>
        <v/>
      </c>
    </row>
    <row r="12917">
      <c r="G12917" s="16" t="str">
        <f>IFERROR(__xludf.DUMMYFUNCTION("""COMPUTED_VALUE"""),"")</f>
        <v/>
      </c>
    </row>
    <row r="12918">
      <c r="G12918" s="16" t="str">
        <f>IFERROR(__xludf.DUMMYFUNCTION("""COMPUTED_VALUE"""),"")</f>
        <v/>
      </c>
    </row>
    <row r="12919">
      <c r="G12919" s="16" t="str">
        <f>IFERROR(__xludf.DUMMYFUNCTION("""COMPUTED_VALUE"""),"")</f>
        <v/>
      </c>
    </row>
    <row r="12920">
      <c r="G12920" s="16" t="str">
        <f>IFERROR(__xludf.DUMMYFUNCTION("""COMPUTED_VALUE"""),"")</f>
        <v/>
      </c>
    </row>
    <row r="12921">
      <c r="G12921" s="16" t="str">
        <f>IFERROR(__xludf.DUMMYFUNCTION("""COMPUTED_VALUE"""),"")</f>
        <v/>
      </c>
    </row>
    <row r="12922">
      <c r="G12922" s="16" t="str">
        <f>IFERROR(__xludf.DUMMYFUNCTION("""COMPUTED_VALUE"""),"")</f>
        <v/>
      </c>
    </row>
    <row r="12923">
      <c r="G12923" s="16" t="str">
        <f>IFERROR(__xludf.DUMMYFUNCTION("""COMPUTED_VALUE"""),"")</f>
        <v/>
      </c>
    </row>
    <row r="12924">
      <c r="G12924" s="16" t="str">
        <f>IFERROR(__xludf.DUMMYFUNCTION("""COMPUTED_VALUE"""),"")</f>
        <v/>
      </c>
    </row>
    <row r="12925">
      <c r="G12925" s="16" t="str">
        <f>IFERROR(__xludf.DUMMYFUNCTION("""COMPUTED_VALUE"""),"")</f>
        <v/>
      </c>
    </row>
    <row r="12926">
      <c r="G12926" s="16" t="str">
        <f>IFERROR(__xludf.DUMMYFUNCTION("""COMPUTED_VALUE"""),"")</f>
        <v/>
      </c>
    </row>
    <row r="12927">
      <c r="G12927" s="16" t="str">
        <f>IFERROR(__xludf.DUMMYFUNCTION("""COMPUTED_VALUE"""),"")</f>
        <v/>
      </c>
    </row>
    <row r="12928">
      <c r="G12928" s="16" t="str">
        <f>IFERROR(__xludf.DUMMYFUNCTION("""COMPUTED_VALUE"""),"")</f>
        <v/>
      </c>
    </row>
    <row r="12929">
      <c r="G12929" s="16" t="str">
        <f>IFERROR(__xludf.DUMMYFUNCTION("""COMPUTED_VALUE"""),"")</f>
        <v/>
      </c>
    </row>
    <row r="12930">
      <c r="G12930" s="16" t="str">
        <f>IFERROR(__xludf.DUMMYFUNCTION("""COMPUTED_VALUE"""),"")</f>
        <v/>
      </c>
    </row>
    <row r="12931">
      <c r="G12931" s="16" t="str">
        <f>IFERROR(__xludf.DUMMYFUNCTION("""COMPUTED_VALUE"""),"")</f>
        <v/>
      </c>
    </row>
    <row r="12932">
      <c r="G12932" s="16" t="str">
        <f>IFERROR(__xludf.DUMMYFUNCTION("""COMPUTED_VALUE"""),"")</f>
        <v/>
      </c>
    </row>
    <row r="12933">
      <c r="G12933" s="16" t="str">
        <f>IFERROR(__xludf.DUMMYFUNCTION("""COMPUTED_VALUE"""),"")</f>
        <v/>
      </c>
    </row>
    <row r="12934">
      <c r="G12934" s="16" t="str">
        <f>IFERROR(__xludf.DUMMYFUNCTION("""COMPUTED_VALUE"""),"")</f>
        <v/>
      </c>
    </row>
    <row r="12935">
      <c r="G12935" s="16" t="str">
        <f>IFERROR(__xludf.DUMMYFUNCTION("""COMPUTED_VALUE"""),"")</f>
        <v/>
      </c>
    </row>
    <row r="12936">
      <c r="G12936" s="16" t="str">
        <f>IFERROR(__xludf.DUMMYFUNCTION("""COMPUTED_VALUE"""),"")</f>
        <v/>
      </c>
    </row>
    <row r="12937">
      <c r="G12937" s="16" t="str">
        <f>IFERROR(__xludf.DUMMYFUNCTION("""COMPUTED_VALUE"""),"")</f>
        <v/>
      </c>
    </row>
    <row r="12938">
      <c r="G12938" s="16" t="str">
        <f>IFERROR(__xludf.DUMMYFUNCTION("""COMPUTED_VALUE"""),"")</f>
        <v/>
      </c>
    </row>
    <row r="12939">
      <c r="G12939" s="16" t="str">
        <f>IFERROR(__xludf.DUMMYFUNCTION("""COMPUTED_VALUE"""),"")</f>
        <v/>
      </c>
    </row>
    <row r="12940">
      <c r="G12940" s="16" t="str">
        <f>IFERROR(__xludf.DUMMYFUNCTION("""COMPUTED_VALUE"""),"")</f>
        <v/>
      </c>
    </row>
    <row r="12941">
      <c r="G12941" s="16" t="str">
        <f>IFERROR(__xludf.DUMMYFUNCTION("""COMPUTED_VALUE"""),"")</f>
        <v/>
      </c>
    </row>
    <row r="12942">
      <c r="G12942" s="16" t="str">
        <f>IFERROR(__xludf.DUMMYFUNCTION("""COMPUTED_VALUE"""),"")</f>
        <v/>
      </c>
    </row>
    <row r="12943">
      <c r="G12943" s="16" t="str">
        <f>IFERROR(__xludf.DUMMYFUNCTION("""COMPUTED_VALUE"""),"")</f>
        <v/>
      </c>
    </row>
    <row r="12944">
      <c r="G12944" s="16" t="str">
        <f>IFERROR(__xludf.DUMMYFUNCTION("""COMPUTED_VALUE"""),"")</f>
        <v/>
      </c>
    </row>
    <row r="12945">
      <c r="G12945" s="16" t="str">
        <f>IFERROR(__xludf.DUMMYFUNCTION("""COMPUTED_VALUE"""),"")</f>
        <v/>
      </c>
    </row>
    <row r="12946">
      <c r="G12946" s="16" t="str">
        <f>IFERROR(__xludf.DUMMYFUNCTION("""COMPUTED_VALUE"""),"")</f>
        <v/>
      </c>
    </row>
    <row r="12947">
      <c r="G12947" s="16" t="str">
        <f>IFERROR(__xludf.DUMMYFUNCTION("""COMPUTED_VALUE"""),"")</f>
        <v/>
      </c>
    </row>
    <row r="12948">
      <c r="G12948" s="16" t="str">
        <f>IFERROR(__xludf.DUMMYFUNCTION("""COMPUTED_VALUE"""),"")</f>
        <v/>
      </c>
    </row>
    <row r="12949">
      <c r="G12949" s="16" t="str">
        <f>IFERROR(__xludf.DUMMYFUNCTION("""COMPUTED_VALUE"""),"")</f>
        <v/>
      </c>
    </row>
    <row r="12950">
      <c r="G12950" s="16" t="str">
        <f>IFERROR(__xludf.DUMMYFUNCTION("""COMPUTED_VALUE"""),"")</f>
        <v/>
      </c>
    </row>
    <row r="12951">
      <c r="G12951" s="16" t="str">
        <f>IFERROR(__xludf.DUMMYFUNCTION("""COMPUTED_VALUE"""),"")</f>
        <v/>
      </c>
    </row>
    <row r="12952">
      <c r="G12952" s="16" t="str">
        <f>IFERROR(__xludf.DUMMYFUNCTION("""COMPUTED_VALUE"""),"")</f>
        <v/>
      </c>
    </row>
    <row r="12953">
      <c r="G12953" s="16" t="str">
        <f>IFERROR(__xludf.DUMMYFUNCTION("""COMPUTED_VALUE"""),"")</f>
        <v/>
      </c>
    </row>
    <row r="12954">
      <c r="G12954" s="16" t="str">
        <f>IFERROR(__xludf.DUMMYFUNCTION("""COMPUTED_VALUE"""),"")</f>
        <v/>
      </c>
    </row>
    <row r="12955">
      <c r="G12955" s="16" t="str">
        <f>IFERROR(__xludf.DUMMYFUNCTION("""COMPUTED_VALUE"""),"")</f>
        <v/>
      </c>
    </row>
    <row r="12956">
      <c r="G12956" s="16" t="str">
        <f>IFERROR(__xludf.DUMMYFUNCTION("""COMPUTED_VALUE"""),"")</f>
        <v/>
      </c>
    </row>
    <row r="12957">
      <c r="G12957" s="16" t="str">
        <f>IFERROR(__xludf.DUMMYFUNCTION("""COMPUTED_VALUE"""),"")</f>
        <v/>
      </c>
    </row>
    <row r="12958">
      <c r="G12958" s="16" t="str">
        <f>IFERROR(__xludf.DUMMYFUNCTION("""COMPUTED_VALUE"""),"")</f>
        <v/>
      </c>
    </row>
    <row r="12959">
      <c r="G12959" s="16" t="str">
        <f>IFERROR(__xludf.DUMMYFUNCTION("""COMPUTED_VALUE"""),"")</f>
        <v/>
      </c>
    </row>
    <row r="12960">
      <c r="G12960" s="16" t="str">
        <f>IFERROR(__xludf.DUMMYFUNCTION("""COMPUTED_VALUE"""),"")</f>
        <v/>
      </c>
    </row>
    <row r="12961">
      <c r="G12961" s="16" t="str">
        <f>IFERROR(__xludf.DUMMYFUNCTION("""COMPUTED_VALUE"""),"")</f>
        <v/>
      </c>
    </row>
    <row r="12962">
      <c r="G12962" s="16" t="str">
        <f>IFERROR(__xludf.DUMMYFUNCTION("""COMPUTED_VALUE"""),"")</f>
        <v/>
      </c>
    </row>
    <row r="12963">
      <c r="G12963" s="16" t="str">
        <f>IFERROR(__xludf.DUMMYFUNCTION("""COMPUTED_VALUE"""),"")</f>
        <v/>
      </c>
    </row>
    <row r="12964">
      <c r="G12964" s="16" t="str">
        <f>IFERROR(__xludf.DUMMYFUNCTION("""COMPUTED_VALUE"""),"")</f>
        <v/>
      </c>
    </row>
    <row r="12965">
      <c r="G12965" s="16" t="str">
        <f>IFERROR(__xludf.DUMMYFUNCTION("""COMPUTED_VALUE"""),"")</f>
        <v/>
      </c>
    </row>
    <row r="12966">
      <c r="G12966" s="16" t="str">
        <f>IFERROR(__xludf.DUMMYFUNCTION("""COMPUTED_VALUE"""),"")</f>
        <v/>
      </c>
    </row>
    <row r="12967">
      <c r="G12967" s="16" t="str">
        <f>IFERROR(__xludf.DUMMYFUNCTION("""COMPUTED_VALUE"""),"")</f>
        <v/>
      </c>
    </row>
    <row r="12968">
      <c r="G12968" s="16" t="str">
        <f>IFERROR(__xludf.DUMMYFUNCTION("""COMPUTED_VALUE"""),"")</f>
        <v/>
      </c>
    </row>
    <row r="12969">
      <c r="G12969" s="16" t="str">
        <f>IFERROR(__xludf.DUMMYFUNCTION("""COMPUTED_VALUE"""),"")</f>
        <v/>
      </c>
    </row>
    <row r="12970">
      <c r="G12970" s="16" t="str">
        <f>IFERROR(__xludf.DUMMYFUNCTION("""COMPUTED_VALUE"""),"")</f>
        <v/>
      </c>
    </row>
    <row r="12971">
      <c r="G12971" s="16" t="str">
        <f>IFERROR(__xludf.DUMMYFUNCTION("""COMPUTED_VALUE"""),"")</f>
        <v/>
      </c>
    </row>
    <row r="12972">
      <c r="G12972" s="16" t="str">
        <f>IFERROR(__xludf.DUMMYFUNCTION("""COMPUTED_VALUE"""),"")</f>
        <v/>
      </c>
    </row>
    <row r="12973">
      <c r="G12973" s="16" t="str">
        <f>IFERROR(__xludf.DUMMYFUNCTION("""COMPUTED_VALUE"""),"")</f>
        <v/>
      </c>
    </row>
    <row r="12974">
      <c r="G12974" s="16" t="str">
        <f>IFERROR(__xludf.DUMMYFUNCTION("""COMPUTED_VALUE"""),"")</f>
        <v/>
      </c>
    </row>
    <row r="12975">
      <c r="G12975" s="16" t="str">
        <f>IFERROR(__xludf.DUMMYFUNCTION("""COMPUTED_VALUE"""),"")</f>
        <v/>
      </c>
    </row>
    <row r="12976">
      <c r="G12976" s="16" t="str">
        <f>IFERROR(__xludf.DUMMYFUNCTION("""COMPUTED_VALUE"""),"")</f>
        <v/>
      </c>
    </row>
    <row r="12977">
      <c r="G12977" s="16" t="str">
        <f>IFERROR(__xludf.DUMMYFUNCTION("""COMPUTED_VALUE"""),"")</f>
        <v/>
      </c>
    </row>
    <row r="12978">
      <c r="G12978" s="16" t="str">
        <f>IFERROR(__xludf.DUMMYFUNCTION("""COMPUTED_VALUE"""),"")</f>
        <v/>
      </c>
    </row>
    <row r="12979">
      <c r="G12979" s="16" t="str">
        <f>IFERROR(__xludf.DUMMYFUNCTION("""COMPUTED_VALUE"""),"")</f>
        <v/>
      </c>
    </row>
    <row r="12980">
      <c r="G12980" s="16" t="str">
        <f>IFERROR(__xludf.DUMMYFUNCTION("""COMPUTED_VALUE"""),"")</f>
        <v/>
      </c>
    </row>
    <row r="12981">
      <c r="G12981" s="16" t="str">
        <f>IFERROR(__xludf.DUMMYFUNCTION("""COMPUTED_VALUE"""),"")</f>
        <v/>
      </c>
    </row>
    <row r="12982">
      <c r="G12982" s="16" t="str">
        <f>IFERROR(__xludf.DUMMYFUNCTION("""COMPUTED_VALUE"""),"")</f>
        <v/>
      </c>
    </row>
    <row r="12983">
      <c r="G12983" s="16" t="str">
        <f>IFERROR(__xludf.DUMMYFUNCTION("""COMPUTED_VALUE"""),"")</f>
        <v/>
      </c>
    </row>
    <row r="12984">
      <c r="G12984" s="16" t="str">
        <f>IFERROR(__xludf.DUMMYFUNCTION("""COMPUTED_VALUE"""),"")</f>
        <v/>
      </c>
    </row>
    <row r="12985">
      <c r="G12985" s="16" t="str">
        <f>IFERROR(__xludf.DUMMYFUNCTION("""COMPUTED_VALUE"""),"")</f>
        <v/>
      </c>
    </row>
    <row r="12986">
      <c r="G12986" s="16" t="str">
        <f>IFERROR(__xludf.DUMMYFUNCTION("""COMPUTED_VALUE"""),"")</f>
        <v/>
      </c>
    </row>
    <row r="12987">
      <c r="G12987" s="16" t="str">
        <f>IFERROR(__xludf.DUMMYFUNCTION("""COMPUTED_VALUE"""),"")</f>
        <v/>
      </c>
    </row>
    <row r="12988">
      <c r="G12988" s="16" t="str">
        <f>IFERROR(__xludf.DUMMYFUNCTION("""COMPUTED_VALUE"""),"")</f>
        <v/>
      </c>
    </row>
    <row r="12989">
      <c r="G12989" s="16" t="str">
        <f>IFERROR(__xludf.DUMMYFUNCTION("""COMPUTED_VALUE"""),"")</f>
        <v/>
      </c>
    </row>
    <row r="12990">
      <c r="G12990" s="16" t="str">
        <f>IFERROR(__xludf.DUMMYFUNCTION("""COMPUTED_VALUE"""),"")</f>
        <v/>
      </c>
    </row>
    <row r="12991">
      <c r="G12991" s="16" t="str">
        <f>IFERROR(__xludf.DUMMYFUNCTION("""COMPUTED_VALUE"""),"")</f>
        <v/>
      </c>
    </row>
    <row r="12992">
      <c r="G12992" s="16" t="str">
        <f>IFERROR(__xludf.DUMMYFUNCTION("""COMPUTED_VALUE"""),"")</f>
        <v/>
      </c>
    </row>
    <row r="12993">
      <c r="G12993" s="16" t="str">
        <f>IFERROR(__xludf.DUMMYFUNCTION("""COMPUTED_VALUE"""),"")</f>
        <v/>
      </c>
    </row>
    <row r="12994">
      <c r="G12994" s="16" t="str">
        <f>IFERROR(__xludf.DUMMYFUNCTION("""COMPUTED_VALUE"""),"")</f>
        <v/>
      </c>
    </row>
    <row r="12995">
      <c r="G12995" s="16" t="str">
        <f>IFERROR(__xludf.DUMMYFUNCTION("""COMPUTED_VALUE"""),"")</f>
        <v/>
      </c>
    </row>
    <row r="12996">
      <c r="G12996" s="16" t="str">
        <f>IFERROR(__xludf.DUMMYFUNCTION("""COMPUTED_VALUE"""),"")</f>
        <v/>
      </c>
    </row>
    <row r="12997">
      <c r="G12997" s="16" t="str">
        <f>IFERROR(__xludf.DUMMYFUNCTION("""COMPUTED_VALUE"""),"")</f>
        <v/>
      </c>
    </row>
    <row r="12998">
      <c r="G12998" s="16" t="str">
        <f>IFERROR(__xludf.DUMMYFUNCTION("""COMPUTED_VALUE"""),"")</f>
        <v/>
      </c>
    </row>
    <row r="12999">
      <c r="G12999" s="16" t="str">
        <f>IFERROR(__xludf.DUMMYFUNCTION("""COMPUTED_VALUE"""),"")</f>
        <v/>
      </c>
    </row>
    <row r="13000">
      <c r="G13000" s="16" t="str">
        <f>IFERROR(__xludf.DUMMYFUNCTION("""COMPUTED_VALUE"""),"")</f>
        <v/>
      </c>
    </row>
    <row r="13001">
      <c r="G13001" s="16" t="str">
        <f>IFERROR(__xludf.DUMMYFUNCTION("""COMPUTED_VALUE"""),"")</f>
        <v/>
      </c>
    </row>
    <row r="13002">
      <c r="G13002" s="16" t="str">
        <f>IFERROR(__xludf.DUMMYFUNCTION("""COMPUTED_VALUE"""),"")</f>
        <v/>
      </c>
    </row>
    <row r="13003">
      <c r="G13003" s="16" t="str">
        <f>IFERROR(__xludf.DUMMYFUNCTION("""COMPUTED_VALUE"""),"")</f>
        <v/>
      </c>
    </row>
    <row r="13004">
      <c r="G13004" s="16" t="str">
        <f>IFERROR(__xludf.DUMMYFUNCTION("""COMPUTED_VALUE"""),"")</f>
        <v/>
      </c>
    </row>
    <row r="13005">
      <c r="G13005" s="16" t="str">
        <f>IFERROR(__xludf.DUMMYFUNCTION("""COMPUTED_VALUE"""),"")</f>
        <v/>
      </c>
    </row>
    <row r="13006">
      <c r="G13006" s="16" t="str">
        <f>IFERROR(__xludf.DUMMYFUNCTION("""COMPUTED_VALUE"""),"")</f>
        <v/>
      </c>
    </row>
    <row r="13007">
      <c r="G13007" s="16" t="str">
        <f>IFERROR(__xludf.DUMMYFUNCTION("""COMPUTED_VALUE"""),"")</f>
        <v/>
      </c>
    </row>
    <row r="13008">
      <c r="G13008" s="16" t="str">
        <f>IFERROR(__xludf.DUMMYFUNCTION("""COMPUTED_VALUE"""),"")</f>
        <v/>
      </c>
    </row>
    <row r="13009">
      <c r="G13009" s="16" t="str">
        <f>IFERROR(__xludf.DUMMYFUNCTION("""COMPUTED_VALUE"""),"")</f>
        <v/>
      </c>
    </row>
    <row r="13010">
      <c r="G13010" s="16" t="str">
        <f>IFERROR(__xludf.DUMMYFUNCTION("""COMPUTED_VALUE"""),"")</f>
        <v/>
      </c>
    </row>
    <row r="13011">
      <c r="G13011" s="16" t="str">
        <f>IFERROR(__xludf.DUMMYFUNCTION("""COMPUTED_VALUE"""),"")</f>
        <v/>
      </c>
    </row>
    <row r="13012">
      <c r="G13012" s="16" t="str">
        <f>IFERROR(__xludf.DUMMYFUNCTION("""COMPUTED_VALUE"""),"")</f>
        <v/>
      </c>
    </row>
    <row r="13013">
      <c r="G13013" s="16" t="str">
        <f>IFERROR(__xludf.DUMMYFUNCTION("""COMPUTED_VALUE"""),"")</f>
        <v/>
      </c>
    </row>
    <row r="13014">
      <c r="G13014" s="16" t="str">
        <f>IFERROR(__xludf.DUMMYFUNCTION("""COMPUTED_VALUE"""),"")</f>
        <v/>
      </c>
    </row>
    <row r="13015">
      <c r="G13015" s="16" t="str">
        <f>IFERROR(__xludf.DUMMYFUNCTION("""COMPUTED_VALUE"""),"")</f>
        <v/>
      </c>
    </row>
    <row r="13016">
      <c r="G13016" s="16" t="str">
        <f>IFERROR(__xludf.DUMMYFUNCTION("""COMPUTED_VALUE"""),"")</f>
        <v/>
      </c>
    </row>
    <row r="13017">
      <c r="G13017" s="16" t="str">
        <f>IFERROR(__xludf.DUMMYFUNCTION("""COMPUTED_VALUE"""),"")</f>
        <v/>
      </c>
    </row>
    <row r="13018">
      <c r="G13018" s="16" t="str">
        <f>IFERROR(__xludf.DUMMYFUNCTION("""COMPUTED_VALUE"""),"")</f>
        <v/>
      </c>
    </row>
    <row r="13019">
      <c r="G13019" s="16" t="str">
        <f>IFERROR(__xludf.DUMMYFUNCTION("""COMPUTED_VALUE"""),"")</f>
        <v/>
      </c>
    </row>
    <row r="13020">
      <c r="G13020" s="16" t="str">
        <f>IFERROR(__xludf.DUMMYFUNCTION("""COMPUTED_VALUE"""),"")</f>
        <v/>
      </c>
    </row>
    <row r="13021">
      <c r="G13021" s="16" t="str">
        <f>IFERROR(__xludf.DUMMYFUNCTION("""COMPUTED_VALUE"""),"")</f>
        <v/>
      </c>
    </row>
    <row r="13022">
      <c r="G13022" s="16" t="str">
        <f>IFERROR(__xludf.DUMMYFUNCTION("""COMPUTED_VALUE"""),"")</f>
        <v/>
      </c>
    </row>
    <row r="13023">
      <c r="G13023" s="16" t="str">
        <f>IFERROR(__xludf.DUMMYFUNCTION("""COMPUTED_VALUE"""),"")</f>
        <v/>
      </c>
    </row>
    <row r="13024">
      <c r="G13024" s="16" t="str">
        <f>IFERROR(__xludf.DUMMYFUNCTION("""COMPUTED_VALUE"""),"")</f>
        <v/>
      </c>
    </row>
    <row r="13025">
      <c r="G13025" s="16" t="str">
        <f>IFERROR(__xludf.DUMMYFUNCTION("""COMPUTED_VALUE"""),"")</f>
        <v/>
      </c>
    </row>
    <row r="13026">
      <c r="G13026" s="16" t="str">
        <f>IFERROR(__xludf.DUMMYFUNCTION("""COMPUTED_VALUE"""),"")</f>
        <v/>
      </c>
    </row>
    <row r="13027">
      <c r="G13027" s="16" t="str">
        <f>IFERROR(__xludf.DUMMYFUNCTION("""COMPUTED_VALUE"""),"")</f>
        <v/>
      </c>
    </row>
    <row r="13028">
      <c r="G13028" s="16" t="str">
        <f>IFERROR(__xludf.DUMMYFUNCTION("""COMPUTED_VALUE"""),"")</f>
        <v/>
      </c>
    </row>
    <row r="13029">
      <c r="G13029" s="16" t="str">
        <f>IFERROR(__xludf.DUMMYFUNCTION("""COMPUTED_VALUE"""),"")</f>
        <v/>
      </c>
    </row>
    <row r="13030">
      <c r="G13030" s="16" t="str">
        <f>IFERROR(__xludf.DUMMYFUNCTION("""COMPUTED_VALUE"""),"")</f>
        <v/>
      </c>
    </row>
    <row r="13031">
      <c r="G13031" s="16" t="str">
        <f>IFERROR(__xludf.DUMMYFUNCTION("""COMPUTED_VALUE"""),"")</f>
        <v/>
      </c>
    </row>
    <row r="13032">
      <c r="G13032" s="16" t="str">
        <f>IFERROR(__xludf.DUMMYFUNCTION("""COMPUTED_VALUE"""),"")</f>
        <v/>
      </c>
    </row>
    <row r="13033">
      <c r="G13033" s="16" t="str">
        <f>IFERROR(__xludf.DUMMYFUNCTION("""COMPUTED_VALUE"""),"")</f>
        <v/>
      </c>
    </row>
    <row r="13034">
      <c r="G13034" s="16" t="str">
        <f>IFERROR(__xludf.DUMMYFUNCTION("""COMPUTED_VALUE"""),"")</f>
        <v/>
      </c>
    </row>
    <row r="13035">
      <c r="G13035" s="16" t="str">
        <f>IFERROR(__xludf.DUMMYFUNCTION("""COMPUTED_VALUE"""),"")</f>
        <v/>
      </c>
    </row>
    <row r="13036">
      <c r="G13036" s="16" t="str">
        <f>IFERROR(__xludf.DUMMYFUNCTION("""COMPUTED_VALUE"""),"")</f>
        <v/>
      </c>
    </row>
    <row r="13037">
      <c r="G13037" s="16" t="str">
        <f>IFERROR(__xludf.DUMMYFUNCTION("""COMPUTED_VALUE"""),"")</f>
        <v/>
      </c>
    </row>
    <row r="13038">
      <c r="G13038" s="16" t="str">
        <f>IFERROR(__xludf.DUMMYFUNCTION("""COMPUTED_VALUE"""),"")</f>
        <v/>
      </c>
    </row>
    <row r="13039">
      <c r="G13039" s="16" t="str">
        <f>IFERROR(__xludf.DUMMYFUNCTION("""COMPUTED_VALUE"""),"")</f>
        <v/>
      </c>
    </row>
    <row r="13040">
      <c r="G13040" s="16" t="str">
        <f>IFERROR(__xludf.DUMMYFUNCTION("""COMPUTED_VALUE"""),"")</f>
        <v/>
      </c>
    </row>
    <row r="13041">
      <c r="G13041" s="16" t="str">
        <f>IFERROR(__xludf.DUMMYFUNCTION("""COMPUTED_VALUE"""),"")</f>
        <v/>
      </c>
    </row>
    <row r="13042">
      <c r="G13042" s="16" t="str">
        <f>IFERROR(__xludf.DUMMYFUNCTION("""COMPUTED_VALUE"""),"")</f>
        <v/>
      </c>
    </row>
    <row r="13043">
      <c r="G13043" s="16" t="str">
        <f>IFERROR(__xludf.DUMMYFUNCTION("""COMPUTED_VALUE"""),"")</f>
        <v/>
      </c>
    </row>
    <row r="13044">
      <c r="G13044" s="16" t="str">
        <f>IFERROR(__xludf.DUMMYFUNCTION("""COMPUTED_VALUE"""),"")</f>
        <v/>
      </c>
    </row>
    <row r="13045">
      <c r="G13045" s="16" t="str">
        <f>IFERROR(__xludf.DUMMYFUNCTION("""COMPUTED_VALUE"""),"")</f>
        <v/>
      </c>
    </row>
    <row r="13046">
      <c r="G13046" s="16" t="str">
        <f>IFERROR(__xludf.DUMMYFUNCTION("""COMPUTED_VALUE"""),"")</f>
        <v/>
      </c>
    </row>
    <row r="13047">
      <c r="G13047" s="16" t="str">
        <f>IFERROR(__xludf.DUMMYFUNCTION("""COMPUTED_VALUE"""),"")</f>
        <v/>
      </c>
    </row>
    <row r="13048">
      <c r="G13048" s="16" t="str">
        <f>IFERROR(__xludf.DUMMYFUNCTION("""COMPUTED_VALUE"""),"")</f>
        <v/>
      </c>
    </row>
    <row r="13049">
      <c r="G13049" s="16" t="str">
        <f>IFERROR(__xludf.DUMMYFUNCTION("""COMPUTED_VALUE"""),"")</f>
        <v/>
      </c>
    </row>
    <row r="13050">
      <c r="G13050" s="16" t="str">
        <f>IFERROR(__xludf.DUMMYFUNCTION("""COMPUTED_VALUE"""),"")</f>
        <v/>
      </c>
    </row>
    <row r="13051">
      <c r="G13051" s="16" t="str">
        <f>IFERROR(__xludf.DUMMYFUNCTION("""COMPUTED_VALUE"""),"")</f>
        <v/>
      </c>
    </row>
    <row r="13052">
      <c r="G13052" s="16" t="str">
        <f>IFERROR(__xludf.DUMMYFUNCTION("""COMPUTED_VALUE"""),"")</f>
        <v/>
      </c>
    </row>
    <row r="13053">
      <c r="G13053" s="16" t="str">
        <f>IFERROR(__xludf.DUMMYFUNCTION("""COMPUTED_VALUE"""),"")</f>
        <v/>
      </c>
    </row>
    <row r="13054">
      <c r="G13054" s="16" t="str">
        <f>IFERROR(__xludf.DUMMYFUNCTION("""COMPUTED_VALUE"""),"")</f>
        <v/>
      </c>
    </row>
    <row r="13055">
      <c r="G13055" s="16" t="str">
        <f>IFERROR(__xludf.DUMMYFUNCTION("""COMPUTED_VALUE"""),"")</f>
        <v/>
      </c>
    </row>
    <row r="13056">
      <c r="G13056" s="16" t="str">
        <f>IFERROR(__xludf.DUMMYFUNCTION("""COMPUTED_VALUE"""),"")</f>
        <v/>
      </c>
    </row>
    <row r="13057">
      <c r="G13057" s="16" t="str">
        <f>IFERROR(__xludf.DUMMYFUNCTION("""COMPUTED_VALUE"""),"")</f>
        <v/>
      </c>
    </row>
    <row r="13058">
      <c r="G13058" s="16" t="str">
        <f>IFERROR(__xludf.DUMMYFUNCTION("""COMPUTED_VALUE"""),"")</f>
        <v/>
      </c>
    </row>
    <row r="13059">
      <c r="G13059" s="16" t="str">
        <f>IFERROR(__xludf.DUMMYFUNCTION("""COMPUTED_VALUE"""),"")</f>
        <v/>
      </c>
    </row>
    <row r="13060">
      <c r="G13060" s="16" t="str">
        <f>IFERROR(__xludf.DUMMYFUNCTION("""COMPUTED_VALUE"""),"")</f>
        <v/>
      </c>
    </row>
    <row r="13061">
      <c r="G13061" s="16" t="str">
        <f>IFERROR(__xludf.DUMMYFUNCTION("""COMPUTED_VALUE"""),"")</f>
        <v/>
      </c>
    </row>
    <row r="13062">
      <c r="G13062" s="16" t="str">
        <f>IFERROR(__xludf.DUMMYFUNCTION("""COMPUTED_VALUE"""),"")</f>
        <v/>
      </c>
    </row>
    <row r="13063">
      <c r="G13063" s="16" t="str">
        <f>IFERROR(__xludf.DUMMYFUNCTION("""COMPUTED_VALUE"""),"")</f>
        <v/>
      </c>
    </row>
    <row r="13064">
      <c r="G13064" s="16" t="str">
        <f>IFERROR(__xludf.DUMMYFUNCTION("""COMPUTED_VALUE"""),"")</f>
        <v/>
      </c>
    </row>
    <row r="13065">
      <c r="G13065" s="16" t="str">
        <f>IFERROR(__xludf.DUMMYFUNCTION("""COMPUTED_VALUE"""),"")</f>
        <v/>
      </c>
    </row>
    <row r="13066">
      <c r="G13066" s="16" t="str">
        <f>IFERROR(__xludf.DUMMYFUNCTION("""COMPUTED_VALUE"""),"")</f>
        <v/>
      </c>
    </row>
    <row r="13067">
      <c r="G13067" s="16" t="str">
        <f>IFERROR(__xludf.DUMMYFUNCTION("""COMPUTED_VALUE"""),"")</f>
        <v/>
      </c>
    </row>
    <row r="13068">
      <c r="G13068" s="16" t="str">
        <f>IFERROR(__xludf.DUMMYFUNCTION("""COMPUTED_VALUE"""),"")</f>
        <v/>
      </c>
    </row>
    <row r="13069">
      <c r="G13069" s="16" t="str">
        <f>IFERROR(__xludf.DUMMYFUNCTION("""COMPUTED_VALUE"""),"")</f>
        <v/>
      </c>
    </row>
    <row r="13070">
      <c r="G13070" s="16" t="str">
        <f>IFERROR(__xludf.DUMMYFUNCTION("""COMPUTED_VALUE"""),"")</f>
        <v/>
      </c>
    </row>
    <row r="13071">
      <c r="G13071" s="16" t="str">
        <f>IFERROR(__xludf.DUMMYFUNCTION("""COMPUTED_VALUE"""),"")</f>
        <v/>
      </c>
    </row>
    <row r="13072">
      <c r="G13072" s="16" t="str">
        <f>IFERROR(__xludf.DUMMYFUNCTION("""COMPUTED_VALUE"""),"")</f>
        <v/>
      </c>
    </row>
    <row r="13073">
      <c r="G13073" s="16" t="str">
        <f>IFERROR(__xludf.DUMMYFUNCTION("""COMPUTED_VALUE"""),"")</f>
        <v/>
      </c>
    </row>
    <row r="13074">
      <c r="G13074" s="16" t="str">
        <f>IFERROR(__xludf.DUMMYFUNCTION("""COMPUTED_VALUE"""),"")</f>
        <v/>
      </c>
    </row>
    <row r="13075">
      <c r="G13075" s="16" t="str">
        <f>IFERROR(__xludf.DUMMYFUNCTION("""COMPUTED_VALUE"""),"")</f>
        <v/>
      </c>
    </row>
    <row r="13076">
      <c r="G13076" s="16" t="str">
        <f>IFERROR(__xludf.DUMMYFUNCTION("""COMPUTED_VALUE"""),"")</f>
        <v/>
      </c>
    </row>
    <row r="13077">
      <c r="G13077" s="16" t="str">
        <f>IFERROR(__xludf.DUMMYFUNCTION("""COMPUTED_VALUE"""),"")</f>
        <v/>
      </c>
    </row>
    <row r="13078">
      <c r="G13078" s="16" t="str">
        <f>IFERROR(__xludf.DUMMYFUNCTION("""COMPUTED_VALUE"""),"")</f>
        <v/>
      </c>
    </row>
    <row r="13079">
      <c r="G13079" s="16" t="str">
        <f>IFERROR(__xludf.DUMMYFUNCTION("""COMPUTED_VALUE"""),"")</f>
        <v/>
      </c>
    </row>
    <row r="13080">
      <c r="G13080" s="16" t="str">
        <f>IFERROR(__xludf.DUMMYFUNCTION("""COMPUTED_VALUE"""),"")</f>
        <v/>
      </c>
    </row>
    <row r="13081">
      <c r="G13081" s="16" t="str">
        <f>IFERROR(__xludf.DUMMYFUNCTION("""COMPUTED_VALUE"""),"")</f>
        <v/>
      </c>
    </row>
    <row r="13082">
      <c r="G13082" s="16" t="str">
        <f>IFERROR(__xludf.DUMMYFUNCTION("""COMPUTED_VALUE"""),"")</f>
        <v/>
      </c>
    </row>
    <row r="13083">
      <c r="G13083" s="16" t="str">
        <f>IFERROR(__xludf.DUMMYFUNCTION("""COMPUTED_VALUE"""),"")</f>
        <v/>
      </c>
    </row>
    <row r="13084">
      <c r="G13084" s="16" t="str">
        <f>IFERROR(__xludf.DUMMYFUNCTION("""COMPUTED_VALUE"""),"")</f>
        <v/>
      </c>
    </row>
    <row r="13085">
      <c r="G13085" s="16" t="str">
        <f>IFERROR(__xludf.DUMMYFUNCTION("""COMPUTED_VALUE"""),"")</f>
        <v/>
      </c>
    </row>
    <row r="13086">
      <c r="G13086" s="16" t="str">
        <f>IFERROR(__xludf.DUMMYFUNCTION("""COMPUTED_VALUE"""),"")</f>
        <v/>
      </c>
    </row>
    <row r="13087">
      <c r="G13087" s="16" t="str">
        <f>IFERROR(__xludf.DUMMYFUNCTION("""COMPUTED_VALUE"""),"")</f>
        <v/>
      </c>
    </row>
    <row r="13088">
      <c r="G13088" s="16" t="str">
        <f>IFERROR(__xludf.DUMMYFUNCTION("""COMPUTED_VALUE"""),"")</f>
        <v/>
      </c>
    </row>
    <row r="13089">
      <c r="G13089" s="16" t="str">
        <f>IFERROR(__xludf.DUMMYFUNCTION("""COMPUTED_VALUE"""),"")</f>
        <v/>
      </c>
    </row>
    <row r="13090">
      <c r="G13090" s="16" t="str">
        <f>IFERROR(__xludf.DUMMYFUNCTION("""COMPUTED_VALUE"""),"")</f>
        <v/>
      </c>
    </row>
    <row r="13091">
      <c r="G13091" s="16" t="str">
        <f>IFERROR(__xludf.DUMMYFUNCTION("""COMPUTED_VALUE"""),"")</f>
        <v/>
      </c>
    </row>
    <row r="13092">
      <c r="G13092" s="16" t="str">
        <f>IFERROR(__xludf.DUMMYFUNCTION("""COMPUTED_VALUE"""),"")</f>
        <v/>
      </c>
    </row>
    <row r="13093">
      <c r="G13093" s="16" t="str">
        <f>IFERROR(__xludf.DUMMYFUNCTION("""COMPUTED_VALUE"""),"")</f>
        <v/>
      </c>
    </row>
    <row r="13094">
      <c r="G13094" s="16" t="str">
        <f>IFERROR(__xludf.DUMMYFUNCTION("""COMPUTED_VALUE"""),"")</f>
        <v/>
      </c>
    </row>
    <row r="13095">
      <c r="G13095" s="16" t="str">
        <f>IFERROR(__xludf.DUMMYFUNCTION("""COMPUTED_VALUE"""),"")</f>
        <v/>
      </c>
    </row>
    <row r="13096">
      <c r="G13096" s="16" t="str">
        <f>IFERROR(__xludf.DUMMYFUNCTION("""COMPUTED_VALUE"""),"")</f>
        <v/>
      </c>
    </row>
    <row r="13097">
      <c r="G13097" s="16" t="str">
        <f>IFERROR(__xludf.DUMMYFUNCTION("""COMPUTED_VALUE"""),"")</f>
        <v/>
      </c>
    </row>
    <row r="13098">
      <c r="G13098" s="16" t="str">
        <f>IFERROR(__xludf.DUMMYFUNCTION("""COMPUTED_VALUE"""),"")</f>
        <v/>
      </c>
    </row>
    <row r="13099">
      <c r="G13099" s="16" t="str">
        <f>IFERROR(__xludf.DUMMYFUNCTION("""COMPUTED_VALUE"""),"")</f>
        <v/>
      </c>
    </row>
    <row r="13100">
      <c r="G13100" s="16" t="str">
        <f>IFERROR(__xludf.DUMMYFUNCTION("""COMPUTED_VALUE"""),"")</f>
        <v/>
      </c>
    </row>
    <row r="13101">
      <c r="G13101" s="16" t="str">
        <f>IFERROR(__xludf.DUMMYFUNCTION("""COMPUTED_VALUE"""),"")</f>
        <v/>
      </c>
    </row>
    <row r="13102">
      <c r="G13102" s="16" t="str">
        <f>IFERROR(__xludf.DUMMYFUNCTION("""COMPUTED_VALUE"""),"")</f>
        <v/>
      </c>
    </row>
    <row r="13103">
      <c r="G13103" s="16" t="str">
        <f>IFERROR(__xludf.DUMMYFUNCTION("""COMPUTED_VALUE"""),"")</f>
        <v/>
      </c>
    </row>
    <row r="13104">
      <c r="G13104" s="16" t="str">
        <f>IFERROR(__xludf.DUMMYFUNCTION("""COMPUTED_VALUE"""),"")</f>
        <v/>
      </c>
    </row>
    <row r="13105">
      <c r="G13105" s="16" t="str">
        <f>IFERROR(__xludf.DUMMYFUNCTION("""COMPUTED_VALUE"""),"")</f>
        <v/>
      </c>
    </row>
    <row r="13106">
      <c r="G13106" s="16" t="str">
        <f>IFERROR(__xludf.DUMMYFUNCTION("""COMPUTED_VALUE"""),"")</f>
        <v/>
      </c>
    </row>
    <row r="13107">
      <c r="G13107" s="16" t="str">
        <f>IFERROR(__xludf.DUMMYFUNCTION("""COMPUTED_VALUE"""),"")</f>
        <v/>
      </c>
    </row>
    <row r="13108">
      <c r="G13108" s="16" t="str">
        <f>IFERROR(__xludf.DUMMYFUNCTION("""COMPUTED_VALUE"""),"")</f>
        <v/>
      </c>
    </row>
    <row r="13109">
      <c r="G13109" s="16" t="str">
        <f>IFERROR(__xludf.DUMMYFUNCTION("""COMPUTED_VALUE"""),"")</f>
        <v/>
      </c>
    </row>
    <row r="13110">
      <c r="G13110" s="16" t="str">
        <f>IFERROR(__xludf.DUMMYFUNCTION("""COMPUTED_VALUE"""),"")</f>
        <v/>
      </c>
    </row>
    <row r="13111">
      <c r="G13111" s="16" t="str">
        <f>IFERROR(__xludf.DUMMYFUNCTION("""COMPUTED_VALUE"""),"")</f>
        <v/>
      </c>
    </row>
    <row r="13112">
      <c r="G13112" s="16" t="str">
        <f>IFERROR(__xludf.DUMMYFUNCTION("""COMPUTED_VALUE"""),"")</f>
        <v/>
      </c>
    </row>
    <row r="13113">
      <c r="G13113" s="16" t="str">
        <f>IFERROR(__xludf.DUMMYFUNCTION("""COMPUTED_VALUE"""),"")</f>
        <v/>
      </c>
    </row>
    <row r="13114">
      <c r="G13114" s="16" t="str">
        <f>IFERROR(__xludf.DUMMYFUNCTION("""COMPUTED_VALUE"""),"")</f>
        <v/>
      </c>
    </row>
    <row r="13115">
      <c r="G13115" s="16" t="str">
        <f>IFERROR(__xludf.DUMMYFUNCTION("""COMPUTED_VALUE"""),"")</f>
        <v/>
      </c>
    </row>
    <row r="13116">
      <c r="G13116" s="16" t="str">
        <f>IFERROR(__xludf.DUMMYFUNCTION("""COMPUTED_VALUE"""),"")</f>
        <v/>
      </c>
    </row>
    <row r="13117">
      <c r="G13117" s="16" t="str">
        <f>IFERROR(__xludf.DUMMYFUNCTION("""COMPUTED_VALUE"""),"")</f>
        <v/>
      </c>
    </row>
    <row r="13118">
      <c r="G13118" s="16" t="str">
        <f>IFERROR(__xludf.DUMMYFUNCTION("""COMPUTED_VALUE"""),"")</f>
        <v/>
      </c>
    </row>
    <row r="13119">
      <c r="G13119" s="16" t="str">
        <f>IFERROR(__xludf.DUMMYFUNCTION("""COMPUTED_VALUE"""),"")</f>
        <v/>
      </c>
    </row>
    <row r="13120">
      <c r="G13120" s="16" t="str">
        <f>IFERROR(__xludf.DUMMYFUNCTION("""COMPUTED_VALUE"""),"")</f>
        <v/>
      </c>
    </row>
    <row r="13121">
      <c r="G13121" s="16" t="str">
        <f>IFERROR(__xludf.DUMMYFUNCTION("""COMPUTED_VALUE"""),"")</f>
        <v/>
      </c>
    </row>
    <row r="13122">
      <c r="G13122" s="16" t="str">
        <f>IFERROR(__xludf.DUMMYFUNCTION("""COMPUTED_VALUE"""),"")</f>
        <v/>
      </c>
    </row>
    <row r="13123">
      <c r="G13123" s="16" t="str">
        <f>IFERROR(__xludf.DUMMYFUNCTION("""COMPUTED_VALUE"""),"")</f>
        <v/>
      </c>
    </row>
    <row r="13124">
      <c r="G13124" s="16" t="str">
        <f>IFERROR(__xludf.DUMMYFUNCTION("""COMPUTED_VALUE"""),"")</f>
        <v/>
      </c>
    </row>
    <row r="13125">
      <c r="G13125" s="16" t="str">
        <f>IFERROR(__xludf.DUMMYFUNCTION("""COMPUTED_VALUE"""),"")</f>
        <v/>
      </c>
    </row>
    <row r="13126">
      <c r="G13126" s="16" t="str">
        <f>IFERROR(__xludf.DUMMYFUNCTION("""COMPUTED_VALUE"""),"")</f>
        <v/>
      </c>
    </row>
    <row r="13127">
      <c r="G13127" s="16" t="str">
        <f>IFERROR(__xludf.DUMMYFUNCTION("""COMPUTED_VALUE"""),"")</f>
        <v/>
      </c>
    </row>
    <row r="13128">
      <c r="G13128" s="16" t="str">
        <f>IFERROR(__xludf.DUMMYFUNCTION("""COMPUTED_VALUE"""),"")</f>
        <v/>
      </c>
    </row>
    <row r="13129">
      <c r="G13129" s="16" t="str">
        <f>IFERROR(__xludf.DUMMYFUNCTION("""COMPUTED_VALUE"""),"")</f>
        <v/>
      </c>
    </row>
    <row r="13130">
      <c r="G13130" s="16" t="str">
        <f>IFERROR(__xludf.DUMMYFUNCTION("""COMPUTED_VALUE"""),"")</f>
        <v/>
      </c>
    </row>
    <row r="13131">
      <c r="G13131" s="16" t="str">
        <f>IFERROR(__xludf.DUMMYFUNCTION("""COMPUTED_VALUE"""),"")</f>
        <v/>
      </c>
    </row>
    <row r="13132">
      <c r="G13132" s="16" t="str">
        <f>IFERROR(__xludf.DUMMYFUNCTION("""COMPUTED_VALUE"""),"")</f>
        <v/>
      </c>
    </row>
    <row r="13133">
      <c r="G13133" s="16" t="str">
        <f>IFERROR(__xludf.DUMMYFUNCTION("""COMPUTED_VALUE"""),"")</f>
        <v/>
      </c>
    </row>
    <row r="13134">
      <c r="G13134" s="16" t="str">
        <f>IFERROR(__xludf.DUMMYFUNCTION("""COMPUTED_VALUE"""),"")</f>
        <v/>
      </c>
    </row>
    <row r="13135">
      <c r="G13135" s="16" t="str">
        <f>IFERROR(__xludf.DUMMYFUNCTION("""COMPUTED_VALUE"""),"")</f>
        <v/>
      </c>
    </row>
    <row r="13136">
      <c r="G13136" s="16" t="str">
        <f>IFERROR(__xludf.DUMMYFUNCTION("""COMPUTED_VALUE"""),"")</f>
        <v/>
      </c>
    </row>
    <row r="13137">
      <c r="G13137" s="16" t="str">
        <f>IFERROR(__xludf.DUMMYFUNCTION("""COMPUTED_VALUE"""),"")</f>
        <v/>
      </c>
    </row>
    <row r="13138">
      <c r="G13138" s="16" t="str">
        <f>IFERROR(__xludf.DUMMYFUNCTION("""COMPUTED_VALUE"""),"")</f>
        <v/>
      </c>
    </row>
    <row r="13139">
      <c r="G13139" s="16" t="str">
        <f>IFERROR(__xludf.DUMMYFUNCTION("""COMPUTED_VALUE"""),"")</f>
        <v/>
      </c>
    </row>
    <row r="13140">
      <c r="G13140" s="16" t="str">
        <f>IFERROR(__xludf.DUMMYFUNCTION("""COMPUTED_VALUE"""),"")</f>
        <v/>
      </c>
    </row>
    <row r="13141">
      <c r="G13141" s="16" t="str">
        <f>IFERROR(__xludf.DUMMYFUNCTION("""COMPUTED_VALUE"""),"")</f>
        <v/>
      </c>
    </row>
    <row r="13142">
      <c r="G13142" s="16" t="str">
        <f>IFERROR(__xludf.DUMMYFUNCTION("""COMPUTED_VALUE"""),"")</f>
        <v/>
      </c>
    </row>
    <row r="13143">
      <c r="G13143" s="16" t="str">
        <f>IFERROR(__xludf.DUMMYFUNCTION("""COMPUTED_VALUE"""),"")</f>
        <v/>
      </c>
    </row>
    <row r="13144">
      <c r="G13144" s="16" t="str">
        <f>IFERROR(__xludf.DUMMYFUNCTION("""COMPUTED_VALUE"""),"")</f>
        <v/>
      </c>
    </row>
    <row r="13145">
      <c r="G13145" s="16" t="str">
        <f>IFERROR(__xludf.DUMMYFUNCTION("""COMPUTED_VALUE"""),"")</f>
        <v/>
      </c>
    </row>
    <row r="13146">
      <c r="G13146" s="16" t="str">
        <f>IFERROR(__xludf.DUMMYFUNCTION("""COMPUTED_VALUE"""),"")</f>
        <v/>
      </c>
    </row>
    <row r="13147">
      <c r="G13147" s="16" t="str">
        <f>IFERROR(__xludf.DUMMYFUNCTION("""COMPUTED_VALUE"""),"")</f>
        <v/>
      </c>
    </row>
    <row r="13148">
      <c r="G13148" s="16" t="str">
        <f>IFERROR(__xludf.DUMMYFUNCTION("""COMPUTED_VALUE"""),"")</f>
        <v/>
      </c>
    </row>
    <row r="13149">
      <c r="G13149" s="16" t="str">
        <f>IFERROR(__xludf.DUMMYFUNCTION("""COMPUTED_VALUE"""),"")</f>
        <v/>
      </c>
    </row>
    <row r="13150">
      <c r="G13150" s="16" t="str">
        <f>IFERROR(__xludf.DUMMYFUNCTION("""COMPUTED_VALUE"""),"")</f>
        <v/>
      </c>
    </row>
    <row r="13151">
      <c r="G13151" s="16" t="str">
        <f>IFERROR(__xludf.DUMMYFUNCTION("""COMPUTED_VALUE"""),"")</f>
        <v/>
      </c>
    </row>
    <row r="13152">
      <c r="G13152" s="16" t="str">
        <f>IFERROR(__xludf.DUMMYFUNCTION("""COMPUTED_VALUE"""),"")</f>
        <v/>
      </c>
    </row>
    <row r="13153">
      <c r="G13153" s="16" t="str">
        <f>IFERROR(__xludf.DUMMYFUNCTION("""COMPUTED_VALUE"""),"")</f>
        <v/>
      </c>
    </row>
    <row r="13154">
      <c r="G13154" s="16" t="str">
        <f>IFERROR(__xludf.DUMMYFUNCTION("""COMPUTED_VALUE"""),"")</f>
        <v/>
      </c>
    </row>
    <row r="13155">
      <c r="G13155" s="16" t="str">
        <f>IFERROR(__xludf.DUMMYFUNCTION("""COMPUTED_VALUE"""),"")</f>
        <v/>
      </c>
    </row>
    <row r="13156">
      <c r="G13156" s="16" t="str">
        <f>IFERROR(__xludf.DUMMYFUNCTION("""COMPUTED_VALUE"""),"")</f>
        <v/>
      </c>
    </row>
    <row r="13157">
      <c r="G13157" s="16" t="str">
        <f>IFERROR(__xludf.DUMMYFUNCTION("""COMPUTED_VALUE"""),"")</f>
        <v/>
      </c>
    </row>
    <row r="13158">
      <c r="G13158" s="16" t="str">
        <f>IFERROR(__xludf.DUMMYFUNCTION("""COMPUTED_VALUE"""),"")</f>
        <v/>
      </c>
    </row>
    <row r="13159">
      <c r="G13159" s="16" t="str">
        <f>IFERROR(__xludf.DUMMYFUNCTION("""COMPUTED_VALUE"""),"")</f>
        <v/>
      </c>
    </row>
    <row r="13160">
      <c r="G13160" s="16" t="str">
        <f>IFERROR(__xludf.DUMMYFUNCTION("""COMPUTED_VALUE"""),"")</f>
        <v/>
      </c>
    </row>
    <row r="13161">
      <c r="G13161" s="16" t="str">
        <f>IFERROR(__xludf.DUMMYFUNCTION("""COMPUTED_VALUE"""),"")</f>
        <v/>
      </c>
    </row>
    <row r="13162">
      <c r="G13162" s="16" t="str">
        <f>IFERROR(__xludf.DUMMYFUNCTION("""COMPUTED_VALUE"""),"")</f>
        <v/>
      </c>
    </row>
    <row r="13163">
      <c r="G13163" s="16" t="str">
        <f>IFERROR(__xludf.DUMMYFUNCTION("""COMPUTED_VALUE"""),"")</f>
        <v/>
      </c>
    </row>
    <row r="13164">
      <c r="G13164" s="16" t="str">
        <f>IFERROR(__xludf.DUMMYFUNCTION("""COMPUTED_VALUE"""),"")</f>
        <v/>
      </c>
    </row>
    <row r="13165">
      <c r="G13165" s="16" t="str">
        <f>IFERROR(__xludf.DUMMYFUNCTION("""COMPUTED_VALUE"""),"")</f>
        <v/>
      </c>
    </row>
    <row r="13166">
      <c r="G13166" s="16" t="str">
        <f>IFERROR(__xludf.DUMMYFUNCTION("""COMPUTED_VALUE"""),"")</f>
        <v/>
      </c>
    </row>
    <row r="13167">
      <c r="G13167" s="16" t="str">
        <f>IFERROR(__xludf.DUMMYFUNCTION("""COMPUTED_VALUE"""),"")</f>
        <v/>
      </c>
    </row>
    <row r="13168">
      <c r="G13168" s="16" t="str">
        <f>IFERROR(__xludf.DUMMYFUNCTION("""COMPUTED_VALUE"""),"")</f>
        <v/>
      </c>
    </row>
    <row r="13169">
      <c r="G13169" s="16" t="str">
        <f>IFERROR(__xludf.DUMMYFUNCTION("""COMPUTED_VALUE"""),"")</f>
        <v/>
      </c>
    </row>
    <row r="13170">
      <c r="G13170" s="16" t="str">
        <f>IFERROR(__xludf.DUMMYFUNCTION("""COMPUTED_VALUE"""),"")</f>
        <v/>
      </c>
    </row>
    <row r="13171">
      <c r="G13171" s="16" t="str">
        <f>IFERROR(__xludf.DUMMYFUNCTION("""COMPUTED_VALUE"""),"")</f>
        <v/>
      </c>
    </row>
    <row r="13172">
      <c r="G13172" s="16" t="str">
        <f>IFERROR(__xludf.DUMMYFUNCTION("""COMPUTED_VALUE"""),"")</f>
        <v/>
      </c>
    </row>
    <row r="13173">
      <c r="G13173" s="16" t="str">
        <f>IFERROR(__xludf.DUMMYFUNCTION("""COMPUTED_VALUE"""),"")</f>
        <v/>
      </c>
    </row>
    <row r="13174">
      <c r="G13174" s="16" t="str">
        <f>IFERROR(__xludf.DUMMYFUNCTION("""COMPUTED_VALUE"""),"")</f>
        <v/>
      </c>
    </row>
    <row r="13175">
      <c r="G13175" s="16" t="str">
        <f>IFERROR(__xludf.DUMMYFUNCTION("""COMPUTED_VALUE"""),"")</f>
        <v/>
      </c>
    </row>
    <row r="13176">
      <c r="G13176" s="16" t="str">
        <f>IFERROR(__xludf.DUMMYFUNCTION("""COMPUTED_VALUE"""),"")</f>
        <v/>
      </c>
    </row>
    <row r="13177">
      <c r="G13177" s="16" t="str">
        <f>IFERROR(__xludf.DUMMYFUNCTION("""COMPUTED_VALUE"""),"")</f>
        <v/>
      </c>
    </row>
    <row r="13178">
      <c r="G13178" s="16" t="str">
        <f>IFERROR(__xludf.DUMMYFUNCTION("""COMPUTED_VALUE"""),"")</f>
        <v/>
      </c>
    </row>
    <row r="13179">
      <c r="G13179" s="16" t="str">
        <f>IFERROR(__xludf.DUMMYFUNCTION("""COMPUTED_VALUE"""),"")</f>
        <v/>
      </c>
    </row>
    <row r="13180">
      <c r="G13180" s="16" t="str">
        <f>IFERROR(__xludf.DUMMYFUNCTION("""COMPUTED_VALUE"""),"")</f>
        <v/>
      </c>
    </row>
    <row r="13181">
      <c r="G13181" s="16" t="str">
        <f>IFERROR(__xludf.DUMMYFUNCTION("""COMPUTED_VALUE"""),"")</f>
        <v/>
      </c>
    </row>
    <row r="13182">
      <c r="G13182" s="16" t="str">
        <f>IFERROR(__xludf.DUMMYFUNCTION("""COMPUTED_VALUE"""),"")</f>
        <v/>
      </c>
    </row>
    <row r="13183">
      <c r="G13183" s="16" t="str">
        <f>IFERROR(__xludf.DUMMYFUNCTION("""COMPUTED_VALUE"""),"")</f>
        <v/>
      </c>
    </row>
    <row r="13184">
      <c r="G13184" s="16" t="str">
        <f>IFERROR(__xludf.DUMMYFUNCTION("""COMPUTED_VALUE"""),"")</f>
        <v/>
      </c>
    </row>
    <row r="13185">
      <c r="G13185" s="16" t="str">
        <f>IFERROR(__xludf.DUMMYFUNCTION("""COMPUTED_VALUE"""),"")</f>
        <v/>
      </c>
    </row>
    <row r="13186">
      <c r="G13186" s="16" t="str">
        <f>IFERROR(__xludf.DUMMYFUNCTION("""COMPUTED_VALUE"""),"")</f>
        <v/>
      </c>
    </row>
    <row r="13187">
      <c r="G13187" s="16" t="str">
        <f>IFERROR(__xludf.DUMMYFUNCTION("""COMPUTED_VALUE"""),"")</f>
        <v/>
      </c>
    </row>
    <row r="13188">
      <c r="G13188" s="16" t="str">
        <f>IFERROR(__xludf.DUMMYFUNCTION("""COMPUTED_VALUE"""),"")</f>
        <v/>
      </c>
    </row>
    <row r="13189">
      <c r="G13189" s="16" t="str">
        <f>IFERROR(__xludf.DUMMYFUNCTION("""COMPUTED_VALUE"""),"")</f>
        <v/>
      </c>
    </row>
    <row r="13190">
      <c r="G13190" s="16" t="str">
        <f>IFERROR(__xludf.DUMMYFUNCTION("""COMPUTED_VALUE"""),"")</f>
        <v/>
      </c>
    </row>
    <row r="13191">
      <c r="G13191" s="16" t="str">
        <f>IFERROR(__xludf.DUMMYFUNCTION("""COMPUTED_VALUE"""),"")</f>
        <v/>
      </c>
    </row>
    <row r="13192">
      <c r="G13192" s="16" t="str">
        <f>IFERROR(__xludf.DUMMYFUNCTION("""COMPUTED_VALUE"""),"")</f>
        <v/>
      </c>
    </row>
    <row r="13193">
      <c r="G13193" s="16" t="str">
        <f>IFERROR(__xludf.DUMMYFUNCTION("""COMPUTED_VALUE"""),"")</f>
        <v/>
      </c>
    </row>
    <row r="13194">
      <c r="G13194" s="16" t="str">
        <f>IFERROR(__xludf.DUMMYFUNCTION("""COMPUTED_VALUE"""),"")</f>
        <v/>
      </c>
    </row>
    <row r="13195">
      <c r="G13195" s="16" t="str">
        <f>IFERROR(__xludf.DUMMYFUNCTION("""COMPUTED_VALUE"""),"")</f>
        <v/>
      </c>
    </row>
    <row r="13196">
      <c r="G13196" s="16" t="str">
        <f>IFERROR(__xludf.DUMMYFUNCTION("""COMPUTED_VALUE"""),"")</f>
        <v/>
      </c>
    </row>
    <row r="13197">
      <c r="G13197" s="16" t="str">
        <f>IFERROR(__xludf.DUMMYFUNCTION("""COMPUTED_VALUE"""),"")</f>
        <v/>
      </c>
    </row>
    <row r="13198">
      <c r="G13198" s="16" t="str">
        <f>IFERROR(__xludf.DUMMYFUNCTION("""COMPUTED_VALUE"""),"")</f>
        <v/>
      </c>
    </row>
    <row r="13199">
      <c r="G13199" s="16" t="str">
        <f>IFERROR(__xludf.DUMMYFUNCTION("""COMPUTED_VALUE"""),"")</f>
        <v/>
      </c>
    </row>
    <row r="13200">
      <c r="G13200" s="16" t="str">
        <f>IFERROR(__xludf.DUMMYFUNCTION("""COMPUTED_VALUE"""),"")</f>
        <v/>
      </c>
    </row>
    <row r="13201">
      <c r="G13201" s="16" t="str">
        <f>IFERROR(__xludf.DUMMYFUNCTION("""COMPUTED_VALUE"""),"")</f>
        <v/>
      </c>
    </row>
    <row r="13202">
      <c r="G13202" s="16" t="str">
        <f>IFERROR(__xludf.DUMMYFUNCTION("""COMPUTED_VALUE"""),"")</f>
        <v/>
      </c>
    </row>
    <row r="13203">
      <c r="G13203" s="16" t="str">
        <f>IFERROR(__xludf.DUMMYFUNCTION("""COMPUTED_VALUE"""),"")</f>
        <v/>
      </c>
    </row>
    <row r="13204">
      <c r="G13204" s="16" t="str">
        <f>IFERROR(__xludf.DUMMYFUNCTION("""COMPUTED_VALUE"""),"")</f>
        <v/>
      </c>
    </row>
    <row r="13205">
      <c r="G13205" s="16" t="str">
        <f>IFERROR(__xludf.DUMMYFUNCTION("""COMPUTED_VALUE"""),"")</f>
        <v/>
      </c>
    </row>
    <row r="13206">
      <c r="G13206" s="16" t="str">
        <f>IFERROR(__xludf.DUMMYFUNCTION("""COMPUTED_VALUE"""),"")</f>
        <v/>
      </c>
    </row>
    <row r="13207">
      <c r="G13207" s="16" t="str">
        <f>IFERROR(__xludf.DUMMYFUNCTION("""COMPUTED_VALUE"""),"")</f>
        <v/>
      </c>
    </row>
    <row r="13208">
      <c r="G13208" s="16" t="str">
        <f>IFERROR(__xludf.DUMMYFUNCTION("""COMPUTED_VALUE"""),"")</f>
        <v/>
      </c>
    </row>
    <row r="13209">
      <c r="G13209" s="16" t="str">
        <f>IFERROR(__xludf.DUMMYFUNCTION("""COMPUTED_VALUE"""),"")</f>
        <v/>
      </c>
    </row>
    <row r="13210">
      <c r="G13210" s="16" t="str">
        <f>IFERROR(__xludf.DUMMYFUNCTION("""COMPUTED_VALUE"""),"")</f>
        <v/>
      </c>
    </row>
    <row r="13211">
      <c r="G13211" s="16" t="str">
        <f>IFERROR(__xludf.DUMMYFUNCTION("""COMPUTED_VALUE"""),"")</f>
        <v/>
      </c>
    </row>
    <row r="13212">
      <c r="G13212" s="16" t="str">
        <f>IFERROR(__xludf.DUMMYFUNCTION("""COMPUTED_VALUE"""),"")</f>
        <v/>
      </c>
    </row>
    <row r="13213">
      <c r="G13213" s="16" t="str">
        <f>IFERROR(__xludf.DUMMYFUNCTION("""COMPUTED_VALUE"""),"")</f>
        <v/>
      </c>
    </row>
    <row r="13214">
      <c r="G13214" s="16" t="str">
        <f>IFERROR(__xludf.DUMMYFUNCTION("""COMPUTED_VALUE"""),"")</f>
        <v/>
      </c>
    </row>
    <row r="13215">
      <c r="G13215" s="16" t="str">
        <f>IFERROR(__xludf.DUMMYFUNCTION("""COMPUTED_VALUE"""),"")</f>
        <v/>
      </c>
    </row>
    <row r="13216">
      <c r="G13216" s="16" t="str">
        <f>IFERROR(__xludf.DUMMYFUNCTION("""COMPUTED_VALUE"""),"")</f>
        <v/>
      </c>
    </row>
    <row r="13217">
      <c r="G13217" s="16" t="str">
        <f>IFERROR(__xludf.DUMMYFUNCTION("""COMPUTED_VALUE"""),"")</f>
        <v/>
      </c>
    </row>
    <row r="13218">
      <c r="G13218" s="16" t="str">
        <f>IFERROR(__xludf.DUMMYFUNCTION("""COMPUTED_VALUE"""),"")</f>
        <v/>
      </c>
    </row>
    <row r="13219">
      <c r="G13219" s="16" t="str">
        <f>IFERROR(__xludf.DUMMYFUNCTION("""COMPUTED_VALUE"""),"")</f>
        <v/>
      </c>
    </row>
    <row r="13220">
      <c r="G13220" s="16" t="str">
        <f>IFERROR(__xludf.DUMMYFUNCTION("""COMPUTED_VALUE"""),"")</f>
        <v/>
      </c>
    </row>
    <row r="13221">
      <c r="G13221" s="16" t="str">
        <f>IFERROR(__xludf.DUMMYFUNCTION("""COMPUTED_VALUE"""),"")</f>
        <v/>
      </c>
    </row>
    <row r="13222">
      <c r="G13222" s="16" t="str">
        <f>IFERROR(__xludf.DUMMYFUNCTION("""COMPUTED_VALUE"""),"")</f>
        <v/>
      </c>
    </row>
    <row r="13223">
      <c r="G13223" s="16" t="str">
        <f>IFERROR(__xludf.DUMMYFUNCTION("""COMPUTED_VALUE"""),"")</f>
        <v/>
      </c>
    </row>
    <row r="13224">
      <c r="G13224" s="16" t="str">
        <f>IFERROR(__xludf.DUMMYFUNCTION("""COMPUTED_VALUE"""),"")</f>
        <v/>
      </c>
    </row>
    <row r="13225">
      <c r="G13225" s="16" t="str">
        <f>IFERROR(__xludf.DUMMYFUNCTION("""COMPUTED_VALUE"""),"")</f>
        <v/>
      </c>
    </row>
    <row r="13226">
      <c r="G13226" s="16" t="str">
        <f>IFERROR(__xludf.DUMMYFUNCTION("""COMPUTED_VALUE"""),"")</f>
        <v/>
      </c>
    </row>
    <row r="13227">
      <c r="G13227" s="16" t="str">
        <f>IFERROR(__xludf.DUMMYFUNCTION("""COMPUTED_VALUE"""),"")</f>
        <v/>
      </c>
    </row>
    <row r="13228">
      <c r="G13228" s="16" t="str">
        <f>IFERROR(__xludf.DUMMYFUNCTION("""COMPUTED_VALUE"""),"")</f>
        <v/>
      </c>
    </row>
    <row r="13229">
      <c r="G13229" s="16" t="str">
        <f>IFERROR(__xludf.DUMMYFUNCTION("""COMPUTED_VALUE"""),"")</f>
        <v/>
      </c>
    </row>
    <row r="13230">
      <c r="G13230" s="16" t="str">
        <f>IFERROR(__xludf.DUMMYFUNCTION("""COMPUTED_VALUE"""),"")</f>
        <v/>
      </c>
    </row>
    <row r="13231">
      <c r="G13231" s="16" t="str">
        <f>IFERROR(__xludf.DUMMYFUNCTION("""COMPUTED_VALUE"""),"")</f>
        <v/>
      </c>
    </row>
    <row r="13232">
      <c r="G13232" s="16" t="str">
        <f>IFERROR(__xludf.DUMMYFUNCTION("""COMPUTED_VALUE"""),"")</f>
        <v/>
      </c>
    </row>
    <row r="13233">
      <c r="G13233" s="16" t="str">
        <f>IFERROR(__xludf.DUMMYFUNCTION("""COMPUTED_VALUE"""),"")</f>
        <v/>
      </c>
    </row>
    <row r="13234">
      <c r="G13234" s="16" t="str">
        <f>IFERROR(__xludf.DUMMYFUNCTION("""COMPUTED_VALUE"""),"")</f>
        <v/>
      </c>
    </row>
    <row r="13235">
      <c r="G13235" s="16" t="str">
        <f>IFERROR(__xludf.DUMMYFUNCTION("""COMPUTED_VALUE"""),"")</f>
        <v/>
      </c>
    </row>
    <row r="13236">
      <c r="G13236" s="16" t="str">
        <f>IFERROR(__xludf.DUMMYFUNCTION("""COMPUTED_VALUE"""),"")</f>
        <v/>
      </c>
    </row>
    <row r="13237">
      <c r="G13237" s="16" t="str">
        <f>IFERROR(__xludf.DUMMYFUNCTION("""COMPUTED_VALUE"""),"")</f>
        <v/>
      </c>
    </row>
    <row r="13238">
      <c r="G13238" s="16" t="str">
        <f>IFERROR(__xludf.DUMMYFUNCTION("""COMPUTED_VALUE"""),"")</f>
        <v/>
      </c>
    </row>
    <row r="13239">
      <c r="G13239" s="16" t="str">
        <f>IFERROR(__xludf.DUMMYFUNCTION("""COMPUTED_VALUE"""),"")</f>
        <v/>
      </c>
    </row>
    <row r="13240">
      <c r="G13240" s="16" t="str">
        <f>IFERROR(__xludf.DUMMYFUNCTION("""COMPUTED_VALUE"""),"")</f>
        <v/>
      </c>
    </row>
    <row r="13241">
      <c r="G13241" s="16" t="str">
        <f>IFERROR(__xludf.DUMMYFUNCTION("""COMPUTED_VALUE"""),"")</f>
        <v/>
      </c>
    </row>
    <row r="13242">
      <c r="G13242" s="16" t="str">
        <f>IFERROR(__xludf.DUMMYFUNCTION("""COMPUTED_VALUE"""),"")</f>
        <v/>
      </c>
    </row>
    <row r="13243">
      <c r="G13243" s="16" t="str">
        <f>IFERROR(__xludf.DUMMYFUNCTION("""COMPUTED_VALUE"""),"")</f>
        <v/>
      </c>
    </row>
    <row r="13244">
      <c r="G13244" s="16" t="str">
        <f>IFERROR(__xludf.DUMMYFUNCTION("""COMPUTED_VALUE"""),"")</f>
        <v/>
      </c>
    </row>
    <row r="13245">
      <c r="G13245" s="16" t="str">
        <f>IFERROR(__xludf.DUMMYFUNCTION("""COMPUTED_VALUE"""),"")</f>
        <v/>
      </c>
    </row>
    <row r="13246">
      <c r="G13246" s="16" t="str">
        <f>IFERROR(__xludf.DUMMYFUNCTION("""COMPUTED_VALUE"""),"")</f>
        <v/>
      </c>
    </row>
    <row r="13247">
      <c r="G13247" s="16" t="str">
        <f>IFERROR(__xludf.DUMMYFUNCTION("""COMPUTED_VALUE"""),"")</f>
        <v/>
      </c>
    </row>
    <row r="13248">
      <c r="G13248" s="16" t="str">
        <f>IFERROR(__xludf.DUMMYFUNCTION("""COMPUTED_VALUE"""),"")</f>
        <v/>
      </c>
    </row>
    <row r="13249">
      <c r="G13249" s="16" t="str">
        <f>IFERROR(__xludf.DUMMYFUNCTION("""COMPUTED_VALUE"""),"")</f>
        <v/>
      </c>
    </row>
    <row r="13250">
      <c r="G13250" s="16" t="str">
        <f>IFERROR(__xludf.DUMMYFUNCTION("""COMPUTED_VALUE"""),"")</f>
        <v/>
      </c>
    </row>
    <row r="13251">
      <c r="G13251" s="16" t="str">
        <f>IFERROR(__xludf.DUMMYFUNCTION("""COMPUTED_VALUE"""),"")</f>
        <v/>
      </c>
    </row>
    <row r="13252">
      <c r="G13252" s="16" t="str">
        <f>IFERROR(__xludf.DUMMYFUNCTION("""COMPUTED_VALUE"""),"")</f>
        <v/>
      </c>
    </row>
    <row r="13253">
      <c r="G13253" s="16" t="str">
        <f>IFERROR(__xludf.DUMMYFUNCTION("""COMPUTED_VALUE"""),"")</f>
        <v/>
      </c>
    </row>
    <row r="13254">
      <c r="G13254" s="16" t="str">
        <f>IFERROR(__xludf.DUMMYFUNCTION("""COMPUTED_VALUE"""),"")</f>
        <v/>
      </c>
    </row>
    <row r="13255">
      <c r="G13255" s="16" t="str">
        <f>IFERROR(__xludf.DUMMYFUNCTION("""COMPUTED_VALUE"""),"")</f>
        <v/>
      </c>
    </row>
    <row r="13256">
      <c r="G13256" s="16" t="str">
        <f>IFERROR(__xludf.DUMMYFUNCTION("""COMPUTED_VALUE"""),"")</f>
        <v/>
      </c>
    </row>
    <row r="13257">
      <c r="G13257" s="16" t="str">
        <f>IFERROR(__xludf.DUMMYFUNCTION("""COMPUTED_VALUE"""),"")</f>
        <v/>
      </c>
    </row>
    <row r="13258">
      <c r="G13258" s="16" t="str">
        <f>IFERROR(__xludf.DUMMYFUNCTION("""COMPUTED_VALUE"""),"")</f>
        <v/>
      </c>
    </row>
    <row r="13259">
      <c r="G13259" s="16" t="str">
        <f>IFERROR(__xludf.DUMMYFUNCTION("""COMPUTED_VALUE"""),"")</f>
        <v/>
      </c>
    </row>
    <row r="13260">
      <c r="G13260" s="16" t="str">
        <f>IFERROR(__xludf.DUMMYFUNCTION("""COMPUTED_VALUE"""),"")</f>
        <v/>
      </c>
    </row>
    <row r="13261">
      <c r="G13261" s="16" t="str">
        <f>IFERROR(__xludf.DUMMYFUNCTION("""COMPUTED_VALUE"""),"")</f>
        <v/>
      </c>
    </row>
    <row r="13262">
      <c r="G13262" s="16" t="str">
        <f>IFERROR(__xludf.DUMMYFUNCTION("""COMPUTED_VALUE"""),"")</f>
        <v/>
      </c>
    </row>
    <row r="13263">
      <c r="G13263" s="16" t="str">
        <f>IFERROR(__xludf.DUMMYFUNCTION("""COMPUTED_VALUE"""),"")</f>
        <v/>
      </c>
    </row>
    <row r="13264">
      <c r="G13264" s="16" t="str">
        <f>IFERROR(__xludf.DUMMYFUNCTION("""COMPUTED_VALUE"""),"")</f>
        <v/>
      </c>
    </row>
    <row r="13265">
      <c r="G13265" s="16" t="str">
        <f>IFERROR(__xludf.DUMMYFUNCTION("""COMPUTED_VALUE"""),"")</f>
        <v/>
      </c>
    </row>
    <row r="13266">
      <c r="G13266" s="16" t="str">
        <f>IFERROR(__xludf.DUMMYFUNCTION("""COMPUTED_VALUE"""),"")</f>
        <v/>
      </c>
    </row>
    <row r="13267">
      <c r="G13267" s="16" t="str">
        <f>IFERROR(__xludf.DUMMYFUNCTION("""COMPUTED_VALUE"""),"")</f>
        <v/>
      </c>
    </row>
    <row r="13268">
      <c r="G13268" s="16" t="str">
        <f>IFERROR(__xludf.DUMMYFUNCTION("""COMPUTED_VALUE"""),"")</f>
        <v/>
      </c>
    </row>
    <row r="13269">
      <c r="G13269" s="16" t="str">
        <f>IFERROR(__xludf.DUMMYFUNCTION("""COMPUTED_VALUE"""),"")</f>
        <v/>
      </c>
    </row>
    <row r="13270">
      <c r="G13270" s="16" t="str">
        <f>IFERROR(__xludf.DUMMYFUNCTION("""COMPUTED_VALUE"""),"")</f>
        <v/>
      </c>
    </row>
    <row r="13271">
      <c r="G13271" s="16" t="str">
        <f>IFERROR(__xludf.DUMMYFUNCTION("""COMPUTED_VALUE"""),"")</f>
        <v/>
      </c>
    </row>
    <row r="13272">
      <c r="G13272" s="16" t="str">
        <f>IFERROR(__xludf.DUMMYFUNCTION("""COMPUTED_VALUE"""),"")</f>
        <v/>
      </c>
    </row>
    <row r="13273">
      <c r="G13273" s="16" t="str">
        <f>IFERROR(__xludf.DUMMYFUNCTION("""COMPUTED_VALUE"""),"")</f>
        <v/>
      </c>
    </row>
    <row r="13274">
      <c r="G13274" s="16" t="str">
        <f>IFERROR(__xludf.DUMMYFUNCTION("""COMPUTED_VALUE"""),"")</f>
        <v/>
      </c>
    </row>
    <row r="13275">
      <c r="G13275" s="16" t="str">
        <f>IFERROR(__xludf.DUMMYFUNCTION("""COMPUTED_VALUE"""),"")</f>
        <v/>
      </c>
    </row>
    <row r="13276">
      <c r="G13276" s="16" t="str">
        <f>IFERROR(__xludf.DUMMYFUNCTION("""COMPUTED_VALUE"""),"")</f>
        <v/>
      </c>
    </row>
    <row r="13277">
      <c r="G13277" s="16" t="str">
        <f>IFERROR(__xludf.DUMMYFUNCTION("""COMPUTED_VALUE"""),"")</f>
        <v/>
      </c>
    </row>
    <row r="13278">
      <c r="G13278" s="16" t="str">
        <f>IFERROR(__xludf.DUMMYFUNCTION("""COMPUTED_VALUE"""),"")</f>
        <v/>
      </c>
    </row>
    <row r="13279">
      <c r="G13279" s="16" t="str">
        <f>IFERROR(__xludf.DUMMYFUNCTION("""COMPUTED_VALUE"""),"")</f>
        <v/>
      </c>
    </row>
    <row r="13280">
      <c r="G13280" s="16" t="str">
        <f>IFERROR(__xludf.DUMMYFUNCTION("""COMPUTED_VALUE"""),"")</f>
        <v/>
      </c>
    </row>
    <row r="13281">
      <c r="G13281" s="16" t="str">
        <f>IFERROR(__xludf.DUMMYFUNCTION("""COMPUTED_VALUE"""),"")</f>
        <v/>
      </c>
    </row>
    <row r="13282">
      <c r="G13282" s="16" t="str">
        <f>IFERROR(__xludf.DUMMYFUNCTION("""COMPUTED_VALUE"""),"")</f>
        <v/>
      </c>
    </row>
    <row r="13283">
      <c r="G13283" s="16" t="str">
        <f>IFERROR(__xludf.DUMMYFUNCTION("""COMPUTED_VALUE"""),"")</f>
        <v/>
      </c>
    </row>
    <row r="13284">
      <c r="G13284" s="16" t="str">
        <f>IFERROR(__xludf.DUMMYFUNCTION("""COMPUTED_VALUE"""),"")</f>
        <v/>
      </c>
    </row>
    <row r="13285">
      <c r="G13285" s="16" t="str">
        <f>IFERROR(__xludf.DUMMYFUNCTION("""COMPUTED_VALUE"""),"")</f>
        <v/>
      </c>
    </row>
    <row r="13286">
      <c r="G13286" s="16" t="str">
        <f>IFERROR(__xludf.DUMMYFUNCTION("""COMPUTED_VALUE"""),"")</f>
        <v/>
      </c>
    </row>
    <row r="13287">
      <c r="G13287" s="16" t="str">
        <f>IFERROR(__xludf.DUMMYFUNCTION("""COMPUTED_VALUE"""),"")</f>
        <v/>
      </c>
    </row>
    <row r="13288">
      <c r="G13288" s="16" t="str">
        <f>IFERROR(__xludf.DUMMYFUNCTION("""COMPUTED_VALUE"""),"")</f>
        <v/>
      </c>
    </row>
    <row r="13289">
      <c r="G13289" s="16" t="str">
        <f>IFERROR(__xludf.DUMMYFUNCTION("""COMPUTED_VALUE"""),"")</f>
        <v/>
      </c>
    </row>
    <row r="13290">
      <c r="G13290" s="16" t="str">
        <f>IFERROR(__xludf.DUMMYFUNCTION("""COMPUTED_VALUE"""),"")</f>
        <v/>
      </c>
    </row>
    <row r="13291">
      <c r="G13291" s="16" t="str">
        <f>IFERROR(__xludf.DUMMYFUNCTION("""COMPUTED_VALUE"""),"")</f>
        <v/>
      </c>
    </row>
    <row r="13292">
      <c r="G13292" s="16" t="str">
        <f>IFERROR(__xludf.DUMMYFUNCTION("""COMPUTED_VALUE"""),"")</f>
        <v/>
      </c>
    </row>
    <row r="13293">
      <c r="G13293" s="16" t="str">
        <f>IFERROR(__xludf.DUMMYFUNCTION("""COMPUTED_VALUE"""),"")</f>
        <v/>
      </c>
    </row>
    <row r="13294">
      <c r="G13294" s="16" t="str">
        <f>IFERROR(__xludf.DUMMYFUNCTION("""COMPUTED_VALUE"""),"")</f>
        <v/>
      </c>
    </row>
    <row r="13295">
      <c r="G13295" s="16" t="str">
        <f>IFERROR(__xludf.DUMMYFUNCTION("""COMPUTED_VALUE"""),"")</f>
        <v/>
      </c>
    </row>
    <row r="13296">
      <c r="G13296" s="16" t="str">
        <f>IFERROR(__xludf.DUMMYFUNCTION("""COMPUTED_VALUE"""),"")</f>
        <v/>
      </c>
    </row>
    <row r="13297">
      <c r="G13297" s="16" t="str">
        <f>IFERROR(__xludf.DUMMYFUNCTION("""COMPUTED_VALUE"""),"")</f>
        <v/>
      </c>
    </row>
    <row r="13298">
      <c r="G13298" s="16" t="str">
        <f>IFERROR(__xludf.DUMMYFUNCTION("""COMPUTED_VALUE"""),"")</f>
        <v/>
      </c>
    </row>
    <row r="13299">
      <c r="G13299" s="16" t="str">
        <f>IFERROR(__xludf.DUMMYFUNCTION("""COMPUTED_VALUE"""),"")</f>
        <v/>
      </c>
    </row>
    <row r="13300">
      <c r="G13300" s="16" t="str">
        <f>IFERROR(__xludf.DUMMYFUNCTION("""COMPUTED_VALUE"""),"")</f>
        <v/>
      </c>
    </row>
    <row r="13301">
      <c r="G13301" s="16" t="str">
        <f>IFERROR(__xludf.DUMMYFUNCTION("""COMPUTED_VALUE"""),"")</f>
        <v/>
      </c>
    </row>
    <row r="13302">
      <c r="G13302" s="16" t="str">
        <f>IFERROR(__xludf.DUMMYFUNCTION("""COMPUTED_VALUE"""),"")</f>
        <v/>
      </c>
    </row>
    <row r="13303">
      <c r="G13303" s="16" t="str">
        <f>IFERROR(__xludf.DUMMYFUNCTION("""COMPUTED_VALUE"""),"")</f>
        <v/>
      </c>
    </row>
    <row r="13304">
      <c r="G13304" s="16" t="str">
        <f>IFERROR(__xludf.DUMMYFUNCTION("""COMPUTED_VALUE"""),"")</f>
        <v/>
      </c>
    </row>
    <row r="13305">
      <c r="G13305" s="16" t="str">
        <f>IFERROR(__xludf.DUMMYFUNCTION("""COMPUTED_VALUE"""),"")</f>
        <v/>
      </c>
    </row>
    <row r="13306">
      <c r="G13306" s="16" t="str">
        <f>IFERROR(__xludf.DUMMYFUNCTION("""COMPUTED_VALUE"""),"")</f>
        <v/>
      </c>
    </row>
    <row r="13307">
      <c r="G13307" s="16" t="str">
        <f>IFERROR(__xludf.DUMMYFUNCTION("""COMPUTED_VALUE"""),"")</f>
        <v/>
      </c>
    </row>
    <row r="13308">
      <c r="G13308" s="16" t="str">
        <f>IFERROR(__xludf.DUMMYFUNCTION("""COMPUTED_VALUE"""),"")</f>
        <v/>
      </c>
    </row>
    <row r="13309">
      <c r="G13309" s="16" t="str">
        <f>IFERROR(__xludf.DUMMYFUNCTION("""COMPUTED_VALUE"""),"")</f>
        <v/>
      </c>
    </row>
    <row r="13310">
      <c r="G13310" s="16" t="str">
        <f>IFERROR(__xludf.DUMMYFUNCTION("""COMPUTED_VALUE"""),"")</f>
        <v/>
      </c>
    </row>
    <row r="13311">
      <c r="G13311" s="16" t="str">
        <f>IFERROR(__xludf.DUMMYFUNCTION("""COMPUTED_VALUE"""),"")</f>
        <v/>
      </c>
    </row>
    <row r="13312">
      <c r="G13312" s="16" t="str">
        <f>IFERROR(__xludf.DUMMYFUNCTION("""COMPUTED_VALUE"""),"")</f>
        <v/>
      </c>
    </row>
    <row r="13313">
      <c r="G13313" s="16" t="str">
        <f>IFERROR(__xludf.DUMMYFUNCTION("""COMPUTED_VALUE"""),"")</f>
        <v/>
      </c>
    </row>
    <row r="13314">
      <c r="G13314" s="16" t="str">
        <f>IFERROR(__xludf.DUMMYFUNCTION("""COMPUTED_VALUE"""),"")</f>
        <v/>
      </c>
    </row>
    <row r="13315">
      <c r="G13315" s="16" t="str">
        <f>IFERROR(__xludf.DUMMYFUNCTION("""COMPUTED_VALUE"""),"")</f>
        <v/>
      </c>
    </row>
    <row r="13316">
      <c r="G13316" s="16" t="str">
        <f>IFERROR(__xludf.DUMMYFUNCTION("""COMPUTED_VALUE"""),"")</f>
        <v/>
      </c>
    </row>
    <row r="13317">
      <c r="G13317" s="16" t="str">
        <f>IFERROR(__xludf.DUMMYFUNCTION("""COMPUTED_VALUE"""),"")</f>
        <v/>
      </c>
    </row>
    <row r="13318">
      <c r="G13318" s="16" t="str">
        <f>IFERROR(__xludf.DUMMYFUNCTION("""COMPUTED_VALUE"""),"")</f>
        <v/>
      </c>
    </row>
    <row r="13319">
      <c r="G13319" s="16" t="str">
        <f>IFERROR(__xludf.DUMMYFUNCTION("""COMPUTED_VALUE"""),"")</f>
        <v/>
      </c>
    </row>
    <row r="13320">
      <c r="G13320" s="16" t="str">
        <f>IFERROR(__xludf.DUMMYFUNCTION("""COMPUTED_VALUE"""),"")</f>
        <v/>
      </c>
    </row>
    <row r="13321">
      <c r="G13321" s="16" t="str">
        <f>IFERROR(__xludf.DUMMYFUNCTION("""COMPUTED_VALUE"""),"")</f>
        <v/>
      </c>
    </row>
    <row r="13322">
      <c r="G13322" s="16" t="str">
        <f>IFERROR(__xludf.DUMMYFUNCTION("""COMPUTED_VALUE"""),"")</f>
        <v/>
      </c>
    </row>
    <row r="13323">
      <c r="G13323" s="16" t="str">
        <f>IFERROR(__xludf.DUMMYFUNCTION("""COMPUTED_VALUE"""),"")</f>
        <v/>
      </c>
    </row>
    <row r="13324">
      <c r="G13324" s="16" t="str">
        <f>IFERROR(__xludf.DUMMYFUNCTION("""COMPUTED_VALUE"""),"")</f>
        <v/>
      </c>
    </row>
    <row r="13325">
      <c r="G13325" s="16" t="str">
        <f>IFERROR(__xludf.DUMMYFUNCTION("""COMPUTED_VALUE"""),"")</f>
        <v/>
      </c>
    </row>
    <row r="13326">
      <c r="G13326" s="16" t="str">
        <f>IFERROR(__xludf.DUMMYFUNCTION("""COMPUTED_VALUE"""),"")</f>
        <v/>
      </c>
    </row>
    <row r="13327">
      <c r="G13327" s="16" t="str">
        <f>IFERROR(__xludf.DUMMYFUNCTION("""COMPUTED_VALUE"""),"")</f>
        <v/>
      </c>
    </row>
    <row r="13328">
      <c r="G13328" s="16" t="str">
        <f>IFERROR(__xludf.DUMMYFUNCTION("""COMPUTED_VALUE"""),"")</f>
        <v/>
      </c>
    </row>
    <row r="13329">
      <c r="G13329" s="16" t="str">
        <f>IFERROR(__xludf.DUMMYFUNCTION("""COMPUTED_VALUE"""),"")</f>
        <v/>
      </c>
    </row>
    <row r="13330">
      <c r="G13330" s="16" t="str">
        <f>IFERROR(__xludf.DUMMYFUNCTION("""COMPUTED_VALUE"""),"")</f>
        <v/>
      </c>
    </row>
    <row r="13331">
      <c r="G13331" s="16" t="str">
        <f>IFERROR(__xludf.DUMMYFUNCTION("""COMPUTED_VALUE"""),"")</f>
        <v/>
      </c>
    </row>
    <row r="13332">
      <c r="G13332" s="16" t="str">
        <f>IFERROR(__xludf.DUMMYFUNCTION("""COMPUTED_VALUE"""),"")</f>
        <v/>
      </c>
    </row>
    <row r="13333">
      <c r="G13333" s="16" t="str">
        <f>IFERROR(__xludf.DUMMYFUNCTION("""COMPUTED_VALUE"""),"")</f>
        <v/>
      </c>
    </row>
    <row r="13334">
      <c r="G13334" s="16" t="str">
        <f>IFERROR(__xludf.DUMMYFUNCTION("""COMPUTED_VALUE"""),"")</f>
        <v/>
      </c>
    </row>
    <row r="13335">
      <c r="G13335" s="16" t="str">
        <f>IFERROR(__xludf.DUMMYFUNCTION("""COMPUTED_VALUE"""),"")</f>
        <v/>
      </c>
    </row>
    <row r="13336">
      <c r="G13336" s="16" t="str">
        <f>IFERROR(__xludf.DUMMYFUNCTION("""COMPUTED_VALUE"""),"")</f>
        <v/>
      </c>
    </row>
    <row r="13337">
      <c r="G13337" s="16" t="str">
        <f>IFERROR(__xludf.DUMMYFUNCTION("""COMPUTED_VALUE"""),"")</f>
        <v/>
      </c>
    </row>
    <row r="13338">
      <c r="G13338" s="16" t="str">
        <f>IFERROR(__xludf.DUMMYFUNCTION("""COMPUTED_VALUE"""),"")</f>
        <v/>
      </c>
    </row>
    <row r="13339">
      <c r="G13339" s="16" t="str">
        <f>IFERROR(__xludf.DUMMYFUNCTION("""COMPUTED_VALUE"""),"")</f>
        <v/>
      </c>
    </row>
    <row r="13340">
      <c r="G13340" s="16" t="str">
        <f>IFERROR(__xludf.DUMMYFUNCTION("""COMPUTED_VALUE"""),"")</f>
        <v/>
      </c>
    </row>
    <row r="13341">
      <c r="G13341" s="16" t="str">
        <f>IFERROR(__xludf.DUMMYFUNCTION("""COMPUTED_VALUE"""),"")</f>
        <v/>
      </c>
    </row>
    <row r="13342">
      <c r="G13342" s="16" t="str">
        <f>IFERROR(__xludf.DUMMYFUNCTION("""COMPUTED_VALUE"""),"")</f>
        <v/>
      </c>
    </row>
    <row r="13343">
      <c r="G13343" s="16" t="str">
        <f>IFERROR(__xludf.DUMMYFUNCTION("""COMPUTED_VALUE"""),"")</f>
        <v/>
      </c>
    </row>
    <row r="13344">
      <c r="G13344" s="16" t="str">
        <f>IFERROR(__xludf.DUMMYFUNCTION("""COMPUTED_VALUE"""),"")</f>
        <v/>
      </c>
    </row>
    <row r="13345">
      <c r="G13345" s="16" t="str">
        <f>IFERROR(__xludf.DUMMYFUNCTION("""COMPUTED_VALUE"""),"")</f>
        <v/>
      </c>
    </row>
    <row r="13346">
      <c r="G13346" s="16" t="str">
        <f>IFERROR(__xludf.DUMMYFUNCTION("""COMPUTED_VALUE"""),"")</f>
        <v/>
      </c>
    </row>
    <row r="13347">
      <c r="G13347" s="16" t="str">
        <f>IFERROR(__xludf.DUMMYFUNCTION("""COMPUTED_VALUE"""),"")</f>
        <v/>
      </c>
    </row>
    <row r="13348">
      <c r="G13348" s="16" t="str">
        <f>IFERROR(__xludf.DUMMYFUNCTION("""COMPUTED_VALUE"""),"")</f>
        <v/>
      </c>
    </row>
    <row r="13349">
      <c r="G13349" s="16" t="str">
        <f>IFERROR(__xludf.DUMMYFUNCTION("""COMPUTED_VALUE"""),"")</f>
        <v/>
      </c>
    </row>
    <row r="13350">
      <c r="G13350" s="16" t="str">
        <f>IFERROR(__xludf.DUMMYFUNCTION("""COMPUTED_VALUE"""),"")</f>
        <v/>
      </c>
    </row>
    <row r="13351">
      <c r="G13351" s="16" t="str">
        <f>IFERROR(__xludf.DUMMYFUNCTION("""COMPUTED_VALUE"""),"")</f>
        <v/>
      </c>
    </row>
    <row r="13352">
      <c r="G13352" s="16" t="str">
        <f>IFERROR(__xludf.DUMMYFUNCTION("""COMPUTED_VALUE"""),"")</f>
        <v/>
      </c>
    </row>
    <row r="13353">
      <c r="G13353" s="16" t="str">
        <f>IFERROR(__xludf.DUMMYFUNCTION("""COMPUTED_VALUE"""),"")</f>
        <v/>
      </c>
    </row>
    <row r="13354">
      <c r="G13354" s="16" t="str">
        <f>IFERROR(__xludf.DUMMYFUNCTION("""COMPUTED_VALUE"""),"")</f>
        <v/>
      </c>
    </row>
    <row r="13355">
      <c r="G13355" s="16" t="str">
        <f>IFERROR(__xludf.DUMMYFUNCTION("""COMPUTED_VALUE"""),"")</f>
        <v/>
      </c>
    </row>
    <row r="13356">
      <c r="G13356" s="16" t="str">
        <f>IFERROR(__xludf.DUMMYFUNCTION("""COMPUTED_VALUE"""),"")</f>
        <v/>
      </c>
    </row>
    <row r="13357">
      <c r="G13357" s="16" t="str">
        <f>IFERROR(__xludf.DUMMYFUNCTION("""COMPUTED_VALUE"""),"")</f>
        <v/>
      </c>
    </row>
    <row r="13358">
      <c r="G13358" s="16" t="str">
        <f>IFERROR(__xludf.DUMMYFUNCTION("""COMPUTED_VALUE"""),"")</f>
        <v/>
      </c>
    </row>
    <row r="13359">
      <c r="G13359" s="16" t="str">
        <f>IFERROR(__xludf.DUMMYFUNCTION("""COMPUTED_VALUE"""),"")</f>
        <v/>
      </c>
    </row>
    <row r="13360">
      <c r="G13360" s="16" t="str">
        <f>IFERROR(__xludf.DUMMYFUNCTION("""COMPUTED_VALUE"""),"")</f>
        <v/>
      </c>
    </row>
    <row r="13361">
      <c r="G13361" s="16" t="str">
        <f>IFERROR(__xludf.DUMMYFUNCTION("""COMPUTED_VALUE"""),"")</f>
        <v/>
      </c>
    </row>
    <row r="13362">
      <c r="G13362" s="16" t="str">
        <f>IFERROR(__xludf.DUMMYFUNCTION("""COMPUTED_VALUE"""),"")</f>
        <v/>
      </c>
    </row>
    <row r="13363">
      <c r="G13363" s="16" t="str">
        <f>IFERROR(__xludf.DUMMYFUNCTION("""COMPUTED_VALUE"""),"")</f>
        <v/>
      </c>
    </row>
    <row r="13364">
      <c r="G13364" s="16" t="str">
        <f>IFERROR(__xludf.DUMMYFUNCTION("""COMPUTED_VALUE"""),"")</f>
        <v/>
      </c>
    </row>
    <row r="13365">
      <c r="G13365" s="16" t="str">
        <f>IFERROR(__xludf.DUMMYFUNCTION("""COMPUTED_VALUE"""),"")</f>
        <v/>
      </c>
    </row>
    <row r="13366">
      <c r="G13366" s="16" t="str">
        <f>IFERROR(__xludf.DUMMYFUNCTION("""COMPUTED_VALUE"""),"")</f>
        <v/>
      </c>
    </row>
    <row r="13367">
      <c r="G13367" s="16" t="str">
        <f>IFERROR(__xludf.DUMMYFUNCTION("""COMPUTED_VALUE"""),"")</f>
        <v/>
      </c>
    </row>
    <row r="13368">
      <c r="G13368" s="16" t="str">
        <f>IFERROR(__xludf.DUMMYFUNCTION("""COMPUTED_VALUE"""),"")</f>
        <v/>
      </c>
    </row>
    <row r="13369">
      <c r="G13369" s="16" t="str">
        <f>IFERROR(__xludf.DUMMYFUNCTION("""COMPUTED_VALUE"""),"")</f>
        <v/>
      </c>
    </row>
    <row r="13370">
      <c r="G13370" s="16" t="str">
        <f>IFERROR(__xludf.DUMMYFUNCTION("""COMPUTED_VALUE"""),"")</f>
        <v/>
      </c>
    </row>
    <row r="13371">
      <c r="G13371" s="16" t="str">
        <f>IFERROR(__xludf.DUMMYFUNCTION("""COMPUTED_VALUE"""),"")</f>
        <v/>
      </c>
    </row>
    <row r="13372">
      <c r="G13372" s="16" t="str">
        <f>IFERROR(__xludf.DUMMYFUNCTION("""COMPUTED_VALUE"""),"")</f>
        <v/>
      </c>
    </row>
    <row r="13373">
      <c r="G13373" s="16" t="str">
        <f>IFERROR(__xludf.DUMMYFUNCTION("""COMPUTED_VALUE"""),"")</f>
        <v/>
      </c>
    </row>
    <row r="13374">
      <c r="G13374" s="16" t="str">
        <f>IFERROR(__xludf.DUMMYFUNCTION("""COMPUTED_VALUE"""),"")</f>
        <v/>
      </c>
    </row>
    <row r="13375">
      <c r="G13375" s="16" t="str">
        <f>IFERROR(__xludf.DUMMYFUNCTION("""COMPUTED_VALUE"""),"")</f>
        <v/>
      </c>
    </row>
    <row r="13376">
      <c r="G13376" s="16" t="str">
        <f>IFERROR(__xludf.DUMMYFUNCTION("""COMPUTED_VALUE"""),"")</f>
        <v/>
      </c>
    </row>
    <row r="13377">
      <c r="G13377" s="16" t="str">
        <f>IFERROR(__xludf.DUMMYFUNCTION("""COMPUTED_VALUE"""),"")</f>
        <v/>
      </c>
    </row>
    <row r="13378">
      <c r="G13378" s="16" t="str">
        <f>IFERROR(__xludf.DUMMYFUNCTION("""COMPUTED_VALUE"""),"")</f>
        <v/>
      </c>
    </row>
    <row r="13379">
      <c r="G13379" s="16" t="str">
        <f>IFERROR(__xludf.DUMMYFUNCTION("""COMPUTED_VALUE"""),"")</f>
        <v/>
      </c>
    </row>
    <row r="13380">
      <c r="G13380" s="16" t="str">
        <f>IFERROR(__xludf.DUMMYFUNCTION("""COMPUTED_VALUE"""),"")</f>
        <v/>
      </c>
    </row>
    <row r="13381">
      <c r="G13381" s="16" t="str">
        <f>IFERROR(__xludf.DUMMYFUNCTION("""COMPUTED_VALUE"""),"")</f>
        <v/>
      </c>
    </row>
    <row r="13382">
      <c r="G13382" s="16" t="str">
        <f>IFERROR(__xludf.DUMMYFUNCTION("""COMPUTED_VALUE"""),"")</f>
        <v/>
      </c>
    </row>
    <row r="13383">
      <c r="G13383" s="16" t="str">
        <f>IFERROR(__xludf.DUMMYFUNCTION("""COMPUTED_VALUE"""),"")</f>
        <v/>
      </c>
    </row>
    <row r="13384">
      <c r="G13384" s="16" t="str">
        <f>IFERROR(__xludf.DUMMYFUNCTION("""COMPUTED_VALUE"""),"")</f>
        <v/>
      </c>
    </row>
    <row r="13385">
      <c r="G13385" s="16" t="str">
        <f>IFERROR(__xludf.DUMMYFUNCTION("""COMPUTED_VALUE"""),"")</f>
        <v/>
      </c>
    </row>
    <row r="13386">
      <c r="G13386" s="16" t="str">
        <f>IFERROR(__xludf.DUMMYFUNCTION("""COMPUTED_VALUE"""),"")</f>
        <v/>
      </c>
    </row>
    <row r="13387">
      <c r="G13387" s="16" t="str">
        <f>IFERROR(__xludf.DUMMYFUNCTION("""COMPUTED_VALUE"""),"")</f>
        <v/>
      </c>
    </row>
    <row r="13388">
      <c r="G13388" s="16" t="str">
        <f>IFERROR(__xludf.DUMMYFUNCTION("""COMPUTED_VALUE"""),"")</f>
        <v/>
      </c>
    </row>
    <row r="13389">
      <c r="G13389" s="16" t="str">
        <f>IFERROR(__xludf.DUMMYFUNCTION("""COMPUTED_VALUE"""),"")</f>
        <v/>
      </c>
    </row>
    <row r="13390">
      <c r="G13390" s="16" t="str">
        <f>IFERROR(__xludf.DUMMYFUNCTION("""COMPUTED_VALUE"""),"")</f>
        <v/>
      </c>
    </row>
    <row r="13391">
      <c r="G13391" s="16" t="str">
        <f>IFERROR(__xludf.DUMMYFUNCTION("""COMPUTED_VALUE"""),"")</f>
        <v/>
      </c>
    </row>
    <row r="13392">
      <c r="G13392" s="16" t="str">
        <f>IFERROR(__xludf.DUMMYFUNCTION("""COMPUTED_VALUE"""),"")</f>
        <v/>
      </c>
    </row>
    <row r="13393">
      <c r="G13393" s="16" t="str">
        <f>IFERROR(__xludf.DUMMYFUNCTION("""COMPUTED_VALUE"""),"")</f>
        <v/>
      </c>
    </row>
    <row r="13394">
      <c r="G13394" s="16" t="str">
        <f>IFERROR(__xludf.DUMMYFUNCTION("""COMPUTED_VALUE"""),"")</f>
        <v/>
      </c>
    </row>
    <row r="13395">
      <c r="G13395" s="16" t="str">
        <f>IFERROR(__xludf.DUMMYFUNCTION("""COMPUTED_VALUE"""),"")</f>
        <v/>
      </c>
    </row>
    <row r="13396">
      <c r="G13396" s="16" t="str">
        <f>IFERROR(__xludf.DUMMYFUNCTION("""COMPUTED_VALUE"""),"")</f>
        <v/>
      </c>
    </row>
    <row r="13397">
      <c r="G13397" s="16" t="str">
        <f>IFERROR(__xludf.DUMMYFUNCTION("""COMPUTED_VALUE"""),"")</f>
        <v/>
      </c>
    </row>
    <row r="13398">
      <c r="G13398" s="16" t="str">
        <f>IFERROR(__xludf.DUMMYFUNCTION("""COMPUTED_VALUE"""),"")</f>
        <v/>
      </c>
    </row>
    <row r="13399">
      <c r="G13399" s="16" t="str">
        <f>IFERROR(__xludf.DUMMYFUNCTION("""COMPUTED_VALUE"""),"")</f>
        <v/>
      </c>
    </row>
    <row r="13400">
      <c r="G13400" s="16" t="str">
        <f>IFERROR(__xludf.DUMMYFUNCTION("""COMPUTED_VALUE"""),"")</f>
        <v/>
      </c>
    </row>
    <row r="13401">
      <c r="G13401" s="16" t="str">
        <f>IFERROR(__xludf.DUMMYFUNCTION("""COMPUTED_VALUE"""),"")</f>
        <v/>
      </c>
    </row>
    <row r="13402">
      <c r="G13402" s="16" t="str">
        <f>IFERROR(__xludf.DUMMYFUNCTION("""COMPUTED_VALUE"""),"")</f>
        <v/>
      </c>
    </row>
    <row r="13403">
      <c r="G13403" s="16" t="str">
        <f>IFERROR(__xludf.DUMMYFUNCTION("""COMPUTED_VALUE"""),"")</f>
        <v/>
      </c>
    </row>
    <row r="13404">
      <c r="G13404" s="16" t="str">
        <f>IFERROR(__xludf.DUMMYFUNCTION("""COMPUTED_VALUE"""),"")</f>
        <v/>
      </c>
    </row>
    <row r="13405">
      <c r="G13405" s="16" t="str">
        <f>IFERROR(__xludf.DUMMYFUNCTION("""COMPUTED_VALUE"""),"")</f>
        <v/>
      </c>
    </row>
    <row r="13406">
      <c r="G13406" s="16" t="str">
        <f>IFERROR(__xludf.DUMMYFUNCTION("""COMPUTED_VALUE"""),"")</f>
        <v/>
      </c>
    </row>
    <row r="13407">
      <c r="G13407" s="16" t="str">
        <f>IFERROR(__xludf.DUMMYFUNCTION("""COMPUTED_VALUE"""),"")</f>
        <v/>
      </c>
    </row>
    <row r="13408">
      <c r="G13408" s="16" t="str">
        <f>IFERROR(__xludf.DUMMYFUNCTION("""COMPUTED_VALUE"""),"")</f>
        <v/>
      </c>
    </row>
    <row r="13409">
      <c r="G13409" s="16" t="str">
        <f>IFERROR(__xludf.DUMMYFUNCTION("""COMPUTED_VALUE"""),"")</f>
        <v/>
      </c>
    </row>
    <row r="13410">
      <c r="G13410" s="16" t="str">
        <f>IFERROR(__xludf.DUMMYFUNCTION("""COMPUTED_VALUE"""),"")</f>
        <v/>
      </c>
    </row>
    <row r="13411">
      <c r="G13411" s="16" t="str">
        <f>IFERROR(__xludf.DUMMYFUNCTION("""COMPUTED_VALUE"""),"")</f>
        <v/>
      </c>
    </row>
    <row r="13412">
      <c r="G13412" s="16" t="str">
        <f>IFERROR(__xludf.DUMMYFUNCTION("""COMPUTED_VALUE"""),"")</f>
        <v/>
      </c>
    </row>
    <row r="13413">
      <c r="G13413" s="16" t="str">
        <f>IFERROR(__xludf.DUMMYFUNCTION("""COMPUTED_VALUE"""),"")</f>
        <v/>
      </c>
    </row>
    <row r="13414">
      <c r="G13414" s="16" t="str">
        <f>IFERROR(__xludf.DUMMYFUNCTION("""COMPUTED_VALUE"""),"")</f>
        <v/>
      </c>
    </row>
    <row r="13415">
      <c r="G13415" s="16" t="str">
        <f>IFERROR(__xludf.DUMMYFUNCTION("""COMPUTED_VALUE"""),"")</f>
        <v/>
      </c>
    </row>
    <row r="13416">
      <c r="G13416" s="16" t="str">
        <f>IFERROR(__xludf.DUMMYFUNCTION("""COMPUTED_VALUE"""),"")</f>
        <v/>
      </c>
    </row>
    <row r="13417">
      <c r="G13417" s="16" t="str">
        <f>IFERROR(__xludf.DUMMYFUNCTION("""COMPUTED_VALUE"""),"")</f>
        <v/>
      </c>
    </row>
    <row r="13418">
      <c r="G13418" s="16" t="str">
        <f>IFERROR(__xludf.DUMMYFUNCTION("""COMPUTED_VALUE"""),"")</f>
        <v/>
      </c>
    </row>
    <row r="13419">
      <c r="G13419" s="16" t="str">
        <f>IFERROR(__xludf.DUMMYFUNCTION("""COMPUTED_VALUE"""),"")</f>
        <v/>
      </c>
    </row>
    <row r="13420">
      <c r="G13420" s="16" t="str">
        <f>IFERROR(__xludf.DUMMYFUNCTION("""COMPUTED_VALUE"""),"")</f>
        <v/>
      </c>
    </row>
    <row r="13421">
      <c r="G13421" s="16" t="str">
        <f>IFERROR(__xludf.DUMMYFUNCTION("""COMPUTED_VALUE"""),"")</f>
        <v/>
      </c>
    </row>
    <row r="13422">
      <c r="G13422" s="16" t="str">
        <f>IFERROR(__xludf.DUMMYFUNCTION("""COMPUTED_VALUE"""),"")</f>
        <v/>
      </c>
    </row>
    <row r="13423">
      <c r="G13423" s="16" t="str">
        <f>IFERROR(__xludf.DUMMYFUNCTION("""COMPUTED_VALUE"""),"")</f>
        <v/>
      </c>
    </row>
    <row r="13424">
      <c r="G13424" s="16" t="str">
        <f>IFERROR(__xludf.DUMMYFUNCTION("""COMPUTED_VALUE"""),"")</f>
        <v/>
      </c>
    </row>
    <row r="13425">
      <c r="G13425" s="16" t="str">
        <f>IFERROR(__xludf.DUMMYFUNCTION("""COMPUTED_VALUE"""),"")</f>
        <v/>
      </c>
    </row>
    <row r="13426">
      <c r="G13426" s="16" t="str">
        <f>IFERROR(__xludf.DUMMYFUNCTION("""COMPUTED_VALUE"""),"")</f>
        <v/>
      </c>
    </row>
    <row r="13427">
      <c r="G13427" s="16" t="str">
        <f>IFERROR(__xludf.DUMMYFUNCTION("""COMPUTED_VALUE"""),"")</f>
        <v/>
      </c>
    </row>
    <row r="13428">
      <c r="G13428" s="16" t="str">
        <f>IFERROR(__xludf.DUMMYFUNCTION("""COMPUTED_VALUE"""),"")</f>
        <v/>
      </c>
    </row>
    <row r="13429">
      <c r="G13429" s="16" t="str">
        <f>IFERROR(__xludf.DUMMYFUNCTION("""COMPUTED_VALUE"""),"")</f>
        <v/>
      </c>
    </row>
    <row r="13430">
      <c r="G13430" s="16" t="str">
        <f>IFERROR(__xludf.DUMMYFUNCTION("""COMPUTED_VALUE"""),"")</f>
        <v/>
      </c>
    </row>
    <row r="13431">
      <c r="G13431" s="16" t="str">
        <f>IFERROR(__xludf.DUMMYFUNCTION("""COMPUTED_VALUE"""),"")</f>
        <v/>
      </c>
    </row>
    <row r="13432">
      <c r="G13432" s="16" t="str">
        <f>IFERROR(__xludf.DUMMYFUNCTION("""COMPUTED_VALUE"""),"")</f>
        <v/>
      </c>
    </row>
    <row r="13433">
      <c r="G13433" s="16" t="str">
        <f>IFERROR(__xludf.DUMMYFUNCTION("""COMPUTED_VALUE"""),"")</f>
        <v/>
      </c>
    </row>
    <row r="13434">
      <c r="G13434" s="16" t="str">
        <f>IFERROR(__xludf.DUMMYFUNCTION("""COMPUTED_VALUE"""),"")</f>
        <v/>
      </c>
    </row>
    <row r="13435">
      <c r="G13435" s="16" t="str">
        <f>IFERROR(__xludf.DUMMYFUNCTION("""COMPUTED_VALUE"""),"")</f>
        <v/>
      </c>
    </row>
    <row r="13436">
      <c r="G13436" s="16" t="str">
        <f>IFERROR(__xludf.DUMMYFUNCTION("""COMPUTED_VALUE"""),"")</f>
        <v/>
      </c>
    </row>
    <row r="13437">
      <c r="G13437" s="16" t="str">
        <f>IFERROR(__xludf.DUMMYFUNCTION("""COMPUTED_VALUE"""),"")</f>
        <v/>
      </c>
    </row>
    <row r="13438">
      <c r="G13438" s="16" t="str">
        <f>IFERROR(__xludf.DUMMYFUNCTION("""COMPUTED_VALUE"""),"")</f>
        <v/>
      </c>
    </row>
    <row r="13439">
      <c r="G13439" s="16" t="str">
        <f>IFERROR(__xludf.DUMMYFUNCTION("""COMPUTED_VALUE"""),"")</f>
        <v/>
      </c>
    </row>
    <row r="13440">
      <c r="G13440" s="16" t="str">
        <f>IFERROR(__xludf.DUMMYFUNCTION("""COMPUTED_VALUE"""),"")</f>
        <v/>
      </c>
    </row>
    <row r="13441">
      <c r="G13441" s="16" t="str">
        <f>IFERROR(__xludf.DUMMYFUNCTION("""COMPUTED_VALUE"""),"")</f>
        <v/>
      </c>
    </row>
    <row r="13442">
      <c r="G13442" s="16" t="str">
        <f>IFERROR(__xludf.DUMMYFUNCTION("""COMPUTED_VALUE"""),"")</f>
        <v/>
      </c>
    </row>
    <row r="13443">
      <c r="G13443" s="16" t="str">
        <f>IFERROR(__xludf.DUMMYFUNCTION("""COMPUTED_VALUE"""),"")</f>
        <v/>
      </c>
    </row>
    <row r="13444">
      <c r="G13444" s="16" t="str">
        <f>IFERROR(__xludf.DUMMYFUNCTION("""COMPUTED_VALUE"""),"")</f>
        <v/>
      </c>
    </row>
    <row r="13445">
      <c r="G13445" s="16" t="str">
        <f>IFERROR(__xludf.DUMMYFUNCTION("""COMPUTED_VALUE"""),"")</f>
        <v/>
      </c>
    </row>
    <row r="13446">
      <c r="G13446" s="16" t="str">
        <f>IFERROR(__xludf.DUMMYFUNCTION("""COMPUTED_VALUE"""),"")</f>
        <v/>
      </c>
    </row>
    <row r="13447">
      <c r="G13447" s="16" t="str">
        <f>IFERROR(__xludf.DUMMYFUNCTION("""COMPUTED_VALUE"""),"")</f>
        <v/>
      </c>
    </row>
    <row r="13448">
      <c r="G13448" s="16" t="str">
        <f>IFERROR(__xludf.DUMMYFUNCTION("""COMPUTED_VALUE"""),"")</f>
        <v/>
      </c>
    </row>
    <row r="13449">
      <c r="G13449" s="16" t="str">
        <f>IFERROR(__xludf.DUMMYFUNCTION("""COMPUTED_VALUE"""),"")</f>
        <v/>
      </c>
    </row>
    <row r="13450">
      <c r="G13450" s="16" t="str">
        <f>IFERROR(__xludf.DUMMYFUNCTION("""COMPUTED_VALUE"""),"")</f>
        <v/>
      </c>
    </row>
    <row r="13451">
      <c r="G13451" s="16" t="str">
        <f>IFERROR(__xludf.DUMMYFUNCTION("""COMPUTED_VALUE"""),"")</f>
        <v/>
      </c>
    </row>
    <row r="13452">
      <c r="G13452" s="16" t="str">
        <f>IFERROR(__xludf.DUMMYFUNCTION("""COMPUTED_VALUE"""),"")</f>
        <v/>
      </c>
    </row>
    <row r="13453">
      <c r="G13453" s="16" t="str">
        <f>IFERROR(__xludf.DUMMYFUNCTION("""COMPUTED_VALUE"""),"")</f>
        <v/>
      </c>
    </row>
    <row r="13454">
      <c r="G13454" s="16" t="str">
        <f>IFERROR(__xludf.DUMMYFUNCTION("""COMPUTED_VALUE"""),"")</f>
        <v/>
      </c>
    </row>
    <row r="13455">
      <c r="G13455" s="16" t="str">
        <f>IFERROR(__xludf.DUMMYFUNCTION("""COMPUTED_VALUE"""),"")</f>
        <v/>
      </c>
    </row>
    <row r="13456">
      <c r="G13456" s="16" t="str">
        <f>IFERROR(__xludf.DUMMYFUNCTION("""COMPUTED_VALUE"""),"")</f>
        <v/>
      </c>
    </row>
    <row r="13457">
      <c r="G13457" s="16" t="str">
        <f>IFERROR(__xludf.DUMMYFUNCTION("""COMPUTED_VALUE"""),"")</f>
        <v/>
      </c>
    </row>
    <row r="13458">
      <c r="G13458" s="16" t="str">
        <f>IFERROR(__xludf.DUMMYFUNCTION("""COMPUTED_VALUE"""),"")</f>
        <v/>
      </c>
    </row>
    <row r="13459">
      <c r="G13459" s="16" t="str">
        <f>IFERROR(__xludf.DUMMYFUNCTION("""COMPUTED_VALUE"""),"")</f>
        <v/>
      </c>
    </row>
    <row r="13460">
      <c r="G13460" s="16" t="str">
        <f>IFERROR(__xludf.DUMMYFUNCTION("""COMPUTED_VALUE"""),"")</f>
        <v/>
      </c>
    </row>
    <row r="13461">
      <c r="G13461" s="16" t="str">
        <f>IFERROR(__xludf.DUMMYFUNCTION("""COMPUTED_VALUE"""),"")</f>
        <v/>
      </c>
    </row>
    <row r="13462">
      <c r="G13462" s="16" t="str">
        <f>IFERROR(__xludf.DUMMYFUNCTION("""COMPUTED_VALUE"""),"")</f>
        <v/>
      </c>
    </row>
    <row r="13463">
      <c r="G13463" s="16" t="str">
        <f>IFERROR(__xludf.DUMMYFUNCTION("""COMPUTED_VALUE"""),"")</f>
        <v/>
      </c>
    </row>
    <row r="13464">
      <c r="G13464" s="16" t="str">
        <f>IFERROR(__xludf.DUMMYFUNCTION("""COMPUTED_VALUE"""),"")</f>
        <v/>
      </c>
    </row>
    <row r="13465">
      <c r="G13465" s="16" t="str">
        <f>IFERROR(__xludf.DUMMYFUNCTION("""COMPUTED_VALUE"""),"")</f>
        <v/>
      </c>
    </row>
    <row r="13466">
      <c r="G13466" s="16" t="str">
        <f>IFERROR(__xludf.DUMMYFUNCTION("""COMPUTED_VALUE"""),"")</f>
        <v/>
      </c>
    </row>
    <row r="13467">
      <c r="G13467" s="16" t="str">
        <f>IFERROR(__xludf.DUMMYFUNCTION("""COMPUTED_VALUE"""),"")</f>
        <v/>
      </c>
    </row>
    <row r="13468">
      <c r="G13468" s="16" t="str">
        <f>IFERROR(__xludf.DUMMYFUNCTION("""COMPUTED_VALUE"""),"")</f>
        <v/>
      </c>
    </row>
    <row r="13469">
      <c r="G13469" s="16" t="str">
        <f>IFERROR(__xludf.DUMMYFUNCTION("""COMPUTED_VALUE"""),"")</f>
        <v/>
      </c>
    </row>
    <row r="13470">
      <c r="G13470" s="16" t="str">
        <f>IFERROR(__xludf.DUMMYFUNCTION("""COMPUTED_VALUE"""),"")</f>
        <v/>
      </c>
    </row>
    <row r="13471">
      <c r="G13471" s="16" t="str">
        <f>IFERROR(__xludf.DUMMYFUNCTION("""COMPUTED_VALUE"""),"")</f>
        <v/>
      </c>
    </row>
    <row r="13472">
      <c r="G13472" s="16" t="str">
        <f>IFERROR(__xludf.DUMMYFUNCTION("""COMPUTED_VALUE"""),"")</f>
        <v/>
      </c>
    </row>
    <row r="13473">
      <c r="G13473" s="16" t="str">
        <f>IFERROR(__xludf.DUMMYFUNCTION("""COMPUTED_VALUE"""),"")</f>
        <v/>
      </c>
    </row>
    <row r="13474">
      <c r="G13474" s="16" t="str">
        <f>IFERROR(__xludf.DUMMYFUNCTION("""COMPUTED_VALUE"""),"")</f>
        <v/>
      </c>
    </row>
    <row r="13475">
      <c r="G13475" s="16" t="str">
        <f>IFERROR(__xludf.DUMMYFUNCTION("""COMPUTED_VALUE"""),"")</f>
        <v/>
      </c>
    </row>
    <row r="13476">
      <c r="G13476" s="16" t="str">
        <f>IFERROR(__xludf.DUMMYFUNCTION("""COMPUTED_VALUE"""),"")</f>
        <v/>
      </c>
    </row>
    <row r="13477">
      <c r="G13477" s="16" t="str">
        <f>IFERROR(__xludf.DUMMYFUNCTION("""COMPUTED_VALUE"""),"")</f>
        <v/>
      </c>
    </row>
    <row r="13478">
      <c r="G13478" s="16" t="str">
        <f>IFERROR(__xludf.DUMMYFUNCTION("""COMPUTED_VALUE"""),"")</f>
        <v/>
      </c>
    </row>
    <row r="13479">
      <c r="G13479" s="16" t="str">
        <f>IFERROR(__xludf.DUMMYFUNCTION("""COMPUTED_VALUE"""),"")</f>
        <v/>
      </c>
    </row>
    <row r="13480">
      <c r="G13480" s="16" t="str">
        <f>IFERROR(__xludf.DUMMYFUNCTION("""COMPUTED_VALUE"""),"")</f>
        <v/>
      </c>
    </row>
    <row r="13481">
      <c r="G13481" s="16" t="str">
        <f>IFERROR(__xludf.DUMMYFUNCTION("""COMPUTED_VALUE"""),"")</f>
        <v/>
      </c>
    </row>
    <row r="13482">
      <c r="G13482" s="16" t="str">
        <f>IFERROR(__xludf.DUMMYFUNCTION("""COMPUTED_VALUE"""),"")</f>
        <v/>
      </c>
    </row>
    <row r="13483">
      <c r="G13483" s="16" t="str">
        <f>IFERROR(__xludf.DUMMYFUNCTION("""COMPUTED_VALUE"""),"")</f>
        <v/>
      </c>
    </row>
    <row r="13484">
      <c r="G13484" s="16" t="str">
        <f>IFERROR(__xludf.DUMMYFUNCTION("""COMPUTED_VALUE"""),"")</f>
        <v/>
      </c>
    </row>
    <row r="13485">
      <c r="G13485" s="16" t="str">
        <f>IFERROR(__xludf.DUMMYFUNCTION("""COMPUTED_VALUE"""),"")</f>
        <v/>
      </c>
    </row>
    <row r="13486">
      <c r="G13486" s="16" t="str">
        <f>IFERROR(__xludf.DUMMYFUNCTION("""COMPUTED_VALUE"""),"")</f>
        <v/>
      </c>
    </row>
    <row r="13487">
      <c r="G13487" s="16" t="str">
        <f>IFERROR(__xludf.DUMMYFUNCTION("""COMPUTED_VALUE"""),"")</f>
        <v/>
      </c>
    </row>
    <row r="13488">
      <c r="G13488" s="16" t="str">
        <f>IFERROR(__xludf.DUMMYFUNCTION("""COMPUTED_VALUE"""),"")</f>
        <v/>
      </c>
    </row>
    <row r="13489">
      <c r="G13489" s="16" t="str">
        <f>IFERROR(__xludf.DUMMYFUNCTION("""COMPUTED_VALUE"""),"")</f>
        <v/>
      </c>
    </row>
    <row r="13490">
      <c r="G13490" s="16" t="str">
        <f>IFERROR(__xludf.DUMMYFUNCTION("""COMPUTED_VALUE"""),"")</f>
        <v/>
      </c>
    </row>
    <row r="13491">
      <c r="G13491" s="16" t="str">
        <f>IFERROR(__xludf.DUMMYFUNCTION("""COMPUTED_VALUE"""),"")</f>
        <v/>
      </c>
    </row>
    <row r="13492">
      <c r="G13492" s="16" t="str">
        <f>IFERROR(__xludf.DUMMYFUNCTION("""COMPUTED_VALUE"""),"")</f>
        <v/>
      </c>
    </row>
    <row r="13493">
      <c r="G13493" s="16" t="str">
        <f>IFERROR(__xludf.DUMMYFUNCTION("""COMPUTED_VALUE"""),"")</f>
        <v/>
      </c>
    </row>
    <row r="13494">
      <c r="G13494" s="16" t="str">
        <f>IFERROR(__xludf.DUMMYFUNCTION("""COMPUTED_VALUE"""),"")</f>
        <v/>
      </c>
    </row>
    <row r="13495">
      <c r="G13495" s="16" t="str">
        <f>IFERROR(__xludf.DUMMYFUNCTION("""COMPUTED_VALUE"""),"")</f>
        <v/>
      </c>
    </row>
    <row r="13496">
      <c r="G13496" s="16" t="str">
        <f>IFERROR(__xludf.DUMMYFUNCTION("""COMPUTED_VALUE"""),"")</f>
        <v/>
      </c>
    </row>
    <row r="13497">
      <c r="G13497" s="16" t="str">
        <f>IFERROR(__xludf.DUMMYFUNCTION("""COMPUTED_VALUE"""),"")</f>
        <v/>
      </c>
    </row>
    <row r="13498">
      <c r="G13498" s="16" t="str">
        <f>IFERROR(__xludf.DUMMYFUNCTION("""COMPUTED_VALUE"""),"")</f>
        <v/>
      </c>
    </row>
    <row r="13499">
      <c r="G13499" s="16" t="str">
        <f>IFERROR(__xludf.DUMMYFUNCTION("""COMPUTED_VALUE"""),"")</f>
        <v/>
      </c>
    </row>
    <row r="13500">
      <c r="G13500" s="16" t="str">
        <f>IFERROR(__xludf.DUMMYFUNCTION("""COMPUTED_VALUE"""),"")</f>
        <v/>
      </c>
    </row>
    <row r="13501">
      <c r="G13501" s="16" t="str">
        <f>IFERROR(__xludf.DUMMYFUNCTION("""COMPUTED_VALUE"""),"")</f>
        <v/>
      </c>
    </row>
    <row r="13502">
      <c r="G13502" s="16" t="str">
        <f>IFERROR(__xludf.DUMMYFUNCTION("""COMPUTED_VALUE"""),"")</f>
        <v/>
      </c>
    </row>
    <row r="13503">
      <c r="G13503" s="16" t="str">
        <f>IFERROR(__xludf.DUMMYFUNCTION("""COMPUTED_VALUE"""),"")</f>
        <v/>
      </c>
    </row>
    <row r="13504">
      <c r="G13504" s="16" t="str">
        <f>IFERROR(__xludf.DUMMYFUNCTION("""COMPUTED_VALUE"""),"")</f>
        <v/>
      </c>
    </row>
    <row r="13505">
      <c r="G13505" s="16" t="str">
        <f>IFERROR(__xludf.DUMMYFUNCTION("""COMPUTED_VALUE"""),"")</f>
        <v/>
      </c>
    </row>
    <row r="13506">
      <c r="G13506" s="16" t="str">
        <f>IFERROR(__xludf.DUMMYFUNCTION("""COMPUTED_VALUE"""),"")</f>
        <v/>
      </c>
    </row>
    <row r="13507">
      <c r="G13507" s="16" t="str">
        <f>IFERROR(__xludf.DUMMYFUNCTION("""COMPUTED_VALUE"""),"")</f>
        <v/>
      </c>
    </row>
    <row r="13508">
      <c r="G13508" s="16" t="str">
        <f>IFERROR(__xludf.DUMMYFUNCTION("""COMPUTED_VALUE"""),"")</f>
        <v/>
      </c>
    </row>
    <row r="13509">
      <c r="G13509" s="16" t="str">
        <f>IFERROR(__xludf.DUMMYFUNCTION("""COMPUTED_VALUE"""),"")</f>
        <v/>
      </c>
    </row>
    <row r="13510">
      <c r="G13510" s="16" t="str">
        <f>IFERROR(__xludf.DUMMYFUNCTION("""COMPUTED_VALUE"""),"")</f>
        <v/>
      </c>
    </row>
    <row r="13511">
      <c r="G13511" s="16" t="str">
        <f>IFERROR(__xludf.DUMMYFUNCTION("""COMPUTED_VALUE"""),"")</f>
        <v/>
      </c>
    </row>
    <row r="13512">
      <c r="G13512" s="16" t="str">
        <f>IFERROR(__xludf.DUMMYFUNCTION("""COMPUTED_VALUE"""),"")</f>
        <v/>
      </c>
    </row>
    <row r="13513">
      <c r="G13513" s="16" t="str">
        <f>IFERROR(__xludf.DUMMYFUNCTION("""COMPUTED_VALUE"""),"")</f>
        <v/>
      </c>
    </row>
    <row r="13514">
      <c r="G13514" s="16" t="str">
        <f>IFERROR(__xludf.DUMMYFUNCTION("""COMPUTED_VALUE"""),"")</f>
        <v/>
      </c>
    </row>
    <row r="13515">
      <c r="G13515" s="16" t="str">
        <f>IFERROR(__xludf.DUMMYFUNCTION("""COMPUTED_VALUE"""),"")</f>
        <v/>
      </c>
    </row>
    <row r="13516">
      <c r="G13516" s="16" t="str">
        <f>IFERROR(__xludf.DUMMYFUNCTION("""COMPUTED_VALUE"""),"")</f>
        <v/>
      </c>
    </row>
    <row r="13517">
      <c r="G13517" s="16" t="str">
        <f>IFERROR(__xludf.DUMMYFUNCTION("""COMPUTED_VALUE"""),"")</f>
        <v/>
      </c>
    </row>
    <row r="13518">
      <c r="G13518" s="16" t="str">
        <f>IFERROR(__xludf.DUMMYFUNCTION("""COMPUTED_VALUE"""),"")</f>
        <v/>
      </c>
    </row>
    <row r="13519">
      <c r="G13519" s="16" t="str">
        <f>IFERROR(__xludf.DUMMYFUNCTION("""COMPUTED_VALUE"""),"")</f>
        <v/>
      </c>
    </row>
    <row r="13520">
      <c r="G13520" s="16" t="str">
        <f>IFERROR(__xludf.DUMMYFUNCTION("""COMPUTED_VALUE"""),"")</f>
        <v/>
      </c>
    </row>
    <row r="13521">
      <c r="G13521" s="16" t="str">
        <f>IFERROR(__xludf.DUMMYFUNCTION("""COMPUTED_VALUE"""),"")</f>
        <v/>
      </c>
    </row>
    <row r="13522">
      <c r="G13522" s="16" t="str">
        <f>IFERROR(__xludf.DUMMYFUNCTION("""COMPUTED_VALUE"""),"")</f>
        <v/>
      </c>
    </row>
    <row r="13523">
      <c r="G13523" s="16" t="str">
        <f>IFERROR(__xludf.DUMMYFUNCTION("""COMPUTED_VALUE"""),"")</f>
        <v/>
      </c>
    </row>
    <row r="13524">
      <c r="G13524" s="16" t="str">
        <f>IFERROR(__xludf.DUMMYFUNCTION("""COMPUTED_VALUE"""),"")</f>
        <v/>
      </c>
    </row>
    <row r="13525">
      <c r="G13525" s="16" t="str">
        <f>IFERROR(__xludf.DUMMYFUNCTION("""COMPUTED_VALUE"""),"")</f>
        <v/>
      </c>
    </row>
    <row r="13526">
      <c r="G13526" s="16" t="str">
        <f>IFERROR(__xludf.DUMMYFUNCTION("""COMPUTED_VALUE"""),"")</f>
        <v/>
      </c>
    </row>
    <row r="13527">
      <c r="G13527" s="16" t="str">
        <f>IFERROR(__xludf.DUMMYFUNCTION("""COMPUTED_VALUE"""),"")</f>
        <v/>
      </c>
    </row>
    <row r="13528">
      <c r="G13528" s="16" t="str">
        <f>IFERROR(__xludf.DUMMYFUNCTION("""COMPUTED_VALUE"""),"")</f>
        <v/>
      </c>
    </row>
    <row r="13529">
      <c r="G13529" s="16" t="str">
        <f>IFERROR(__xludf.DUMMYFUNCTION("""COMPUTED_VALUE"""),"")</f>
        <v/>
      </c>
    </row>
    <row r="13530">
      <c r="G13530" s="16" t="str">
        <f>IFERROR(__xludf.DUMMYFUNCTION("""COMPUTED_VALUE"""),"")</f>
        <v/>
      </c>
    </row>
    <row r="13531">
      <c r="G13531" s="16" t="str">
        <f>IFERROR(__xludf.DUMMYFUNCTION("""COMPUTED_VALUE"""),"")</f>
        <v/>
      </c>
    </row>
    <row r="13532">
      <c r="G13532" s="16" t="str">
        <f>IFERROR(__xludf.DUMMYFUNCTION("""COMPUTED_VALUE"""),"")</f>
        <v/>
      </c>
    </row>
    <row r="13533">
      <c r="G13533" s="16" t="str">
        <f>IFERROR(__xludf.DUMMYFUNCTION("""COMPUTED_VALUE"""),"")</f>
        <v/>
      </c>
    </row>
    <row r="13534">
      <c r="G13534" s="16" t="str">
        <f>IFERROR(__xludf.DUMMYFUNCTION("""COMPUTED_VALUE"""),"")</f>
        <v/>
      </c>
    </row>
    <row r="13535">
      <c r="G13535" s="16" t="str">
        <f>IFERROR(__xludf.DUMMYFUNCTION("""COMPUTED_VALUE"""),"")</f>
        <v/>
      </c>
    </row>
    <row r="13536">
      <c r="G13536" s="16" t="str">
        <f>IFERROR(__xludf.DUMMYFUNCTION("""COMPUTED_VALUE"""),"")</f>
        <v/>
      </c>
    </row>
    <row r="13537">
      <c r="G13537" s="16" t="str">
        <f>IFERROR(__xludf.DUMMYFUNCTION("""COMPUTED_VALUE"""),"")</f>
        <v/>
      </c>
    </row>
    <row r="13538">
      <c r="G13538" s="16" t="str">
        <f>IFERROR(__xludf.DUMMYFUNCTION("""COMPUTED_VALUE"""),"")</f>
        <v/>
      </c>
    </row>
    <row r="13539">
      <c r="G13539" s="16" t="str">
        <f>IFERROR(__xludf.DUMMYFUNCTION("""COMPUTED_VALUE"""),"")</f>
        <v/>
      </c>
    </row>
    <row r="13540">
      <c r="G13540" s="16" t="str">
        <f>IFERROR(__xludf.DUMMYFUNCTION("""COMPUTED_VALUE"""),"")</f>
        <v/>
      </c>
    </row>
    <row r="13541">
      <c r="G13541" s="16" t="str">
        <f>IFERROR(__xludf.DUMMYFUNCTION("""COMPUTED_VALUE"""),"")</f>
        <v/>
      </c>
    </row>
    <row r="13542">
      <c r="G13542" s="16" t="str">
        <f>IFERROR(__xludf.DUMMYFUNCTION("""COMPUTED_VALUE"""),"")</f>
        <v/>
      </c>
    </row>
    <row r="13543">
      <c r="G13543" s="16" t="str">
        <f>IFERROR(__xludf.DUMMYFUNCTION("""COMPUTED_VALUE"""),"")</f>
        <v/>
      </c>
    </row>
    <row r="13544">
      <c r="G13544" s="16" t="str">
        <f>IFERROR(__xludf.DUMMYFUNCTION("""COMPUTED_VALUE"""),"")</f>
        <v/>
      </c>
    </row>
    <row r="13545">
      <c r="G13545" s="16" t="str">
        <f>IFERROR(__xludf.DUMMYFUNCTION("""COMPUTED_VALUE"""),"")</f>
        <v/>
      </c>
    </row>
    <row r="13546">
      <c r="G13546" s="16" t="str">
        <f>IFERROR(__xludf.DUMMYFUNCTION("""COMPUTED_VALUE"""),"")</f>
        <v/>
      </c>
    </row>
    <row r="13547">
      <c r="G13547" s="16" t="str">
        <f>IFERROR(__xludf.DUMMYFUNCTION("""COMPUTED_VALUE"""),"")</f>
        <v/>
      </c>
    </row>
    <row r="13548">
      <c r="G13548" s="16" t="str">
        <f>IFERROR(__xludf.DUMMYFUNCTION("""COMPUTED_VALUE"""),"")</f>
        <v/>
      </c>
    </row>
    <row r="13549">
      <c r="G13549" s="16" t="str">
        <f>IFERROR(__xludf.DUMMYFUNCTION("""COMPUTED_VALUE"""),"")</f>
        <v/>
      </c>
    </row>
    <row r="13550">
      <c r="G13550" s="16" t="str">
        <f>IFERROR(__xludf.DUMMYFUNCTION("""COMPUTED_VALUE"""),"")</f>
        <v/>
      </c>
    </row>
    <row r="13551">
      <c r="G13551" s="16" t="str">
        <f>IFERROR(__xludf.DUMMYFUNCTION("""COMPUTED_VALUE"""),"")</f>
        <v/>
      </c>
    </row>
    <row r="13552">
      <c r="G13552" s="16" t="str">
        <f>IFERROR(__xludf.DUMMYFUNCTION("""COMPUTED_VALUE"""),"")</f>
        <v/>
      </c>
    </row>
    <row r="13553">
      <c r="G13553" s="16" t="str">
        <f>IFERROR(__xludf.DUMMYFUNCTION("""COMPUTED_VALUE"""),"")</f>
        <v/>
      </c>
    </row>
    <row r="13554">
      <c r="G13554" s="16" t="str">
        <f>IFERROR(__xludf.DUMMYFUNCTION("""COMPUTED_VALUE"""),"")</f>
        <v/>
      </c>
    </row>
    <row r="13555">
      <c r="G13555" s="16" t="str">
        <f>IFERROR(__xludf.DUMMYFUNCTION("""COMPUTED_VALUE"""),"")</f>
        <v/>
      </c>
    </row>
    <row r="13556">
      <c r="G13556" s="16" t="str">
        <f>IFERROR(__xludf.DUMMYFUNCTION("""COMPUTED_VALUE"""),"")</f>
        <v/>
      </c>
    </row>
    <row r="13557">
      <c r="G13557" s="16" t="str">
        <f>IFERROR(__xludf.DUMMYFUNCTION("""COMPUTED_VALUE"""),"")</f>
        <v/>
      </c>
    </row>
    <row r="13558">
      <c r="G13558" s="16" t="str">
        <f>IFERROR(__xludf.DUMMYFUNCTION("""COMPUTED_VALUE"""),"")</f>
        <v/>
      </c>
    </row>
    <row r="13559">
      <c r="G13559" s="16" t="str">
        <f>IFERROR(__xludf.DUMMYFUNCTION("""COMPUTED_VALUE"""),"")</f>
        <v/>
      </c>
    </row>
    <row r="13560">
      <c r="G13560" s="16" t="str">
        <f>IFERROR(__xludf.DUMMYFUNCTION("""COMPUTED_VALUE"""),"")</f>
        <v/>
      </c>
    </row>
    <row r="13561">
      <c r="G13561" s="16" t="str">
        <f>IFERROR(__xludf.DUMMYFUNCTION("""COMPUTED_VALUE"""),"")</f>
        <v/>
      </c>
    </row>
    <row r="13562">
      <c r="G13562" s="16" t="str">
        <f>IFERROR(__xludf.DUMMYFUNCTION("""COMPUTED_VALUE"""),"")</f>
        <v/>
      </c>
    </row>
    <row r="13563">
      <c r="G13563" s="16" t="str">
        <f>IFERROR(__xludf.DUMMYFUNCTION("""COMPUTED_VALUE"""),"")</f>
        <v/>
      </c>
    </row>
    <row r="13564">
      <c r="G13564" s="16" t="str">
        <f>IFERROR(__xludf.DUMMYFUNCTION("""COMPUTED_VALUE"""),"")</f>
        <v/>
      </c>
    </row>
    <row r="13565">
      <c r="G13565" s="16" t="str">
        <f>IFERROR(__xludf.DUMMYFUNCTION("""COMPUTED_VALUE"""),"")</f>
        <v/>
      </c>
    </row>
    <row r="13566">
      <c r="G13566" s="16" t="str">
        <f>IFERROR(__xludf.DUMMYFUNCTION("""COMPUTED_VALUE"""),"")</f>
        <v/>
      </c>
    </row>
    <row r="13567">
      <c r="G13567" s="16" t="str">
        <f>IFERROR(__xludf.DUMMYFUNCTION("""COMPUTED_VALUE"""),"")</f>
        <v/>
      </c>
    </row>
    <row r="13568">
      <c r="G13568" s="16" t="str">
        <f>IFERROR(__xludf.DUMMYFUNCTION("""COMPUTED_VALUE"""),"")</f>
        <v/>
      </c>
    </row>
    <row r="13569">
      <c r="G13569" s="16" t="str">
        <f>IFERROR(__xludf.DUMMYFUNCTION("""COMPUTED_VALUE"""),"")</f>
        <v/>
      </c>
    </row>
    <row r="13570">
      <c r="G13570" s="16" t="str">
        <f>IFERROR(__xludf.DUMMYFUNCTION("""COMPUTED_VALUE"""),"")</f>
        <v/>
      </c>
    </row>
    <row r="13571">
      <c r="G13571" s="16" t="str">
        <f>IFERROR(__xludf.DUMMYFUNCTION("""COMPUTED_VALUE"""),"")</f>
        <v/>
      </c>
    </row>
    <row r="13572">
      <c r="G13572" s="16" t="str">
        <f>IFERROR(__xludf.DUMMYFUNCTION("""COMPUTED_VALUE"""),"")</f>
        <v/>
      </c>
    </row>
    <row r="13573">
      <c r="G13573" s="16" t="str">
        <f>IFERROR(__xludf.DUMMYFUNCTION("""COMPUTED_VALUE"""),"")</f>
        <v/>
      </c>
    </row>
    <row r="13574">
      <c r="G13574" s="16" t="str">
        <f>IFERROR(__xludf.DUMMYFUNCTION("""COMPUTED_VALUE"""),"")</f>
        <v/>
      </c>
    </row>
    <row r="13575">
      <c r="G13575" s="16" t="str">
        <f>IFERROR(__xludf.DUMMYFUNCTION("""COMPUTED_VALUE"""),"")</f>
        <v/>
      </c>
    </row>
    <row r="13576">
      <c r="G13576" s="16" t="str">
        <f>IFERROR(__xludf.DUMMYFUNCTION("""COMPUTED_VALUE"""),"")</f>
        <v/>
      </c>
    </row>
    <row r="13577">
      <c r="G13577" s="16" t="str">
        <f>IFERROR(__xludf.DUMMYFUNCTION("""COMPUTED_VALUE"""),"")</f>
        <v/>
      </c>
    </row>
    <row r="13578">
      <c r="G13578" s="16" t="str">
        <f>IFERROR(__xludf.DUMMYFUNCTION("""COMPUTED_VALUE"""),"")</f>
        <v/>
      </c>
    </row>
    <row r="13579">
      <c r="G13579" s="16" t="str">
        <f>IFERROR(__xludf.DUMMYFUNCTION("""COMPUTED_VALUE"""),"")</f>
        <v/>
      </c>
    </row>
    <row r="13580">
      <c r="G13580" s="16" t="str">
        <f>IFERROR(__xludf.DUMMYFUNCTION("""COMPUTED_VALUE"""),"")</f>
        <v/>
      </c>
    </row>
    <row r="13581">
      <c r="G13581" s="16" t="str">
        <f>IFERROR(__xludf.DUMMYFUNCTION("""COMPUTED_VALUE"""),"")</f>
        <v/>
      </c>
    </row>
    <row r="13582">
      <c r="G13582" s="16" t="str">
        <f>IFERROR(__xludf.DUMMYFUNCTION("""COMPUTED_VALUE"""),"")</f>
        <v/>
      </c>
    </row>
    <row r="13583">
      <c r="G13583" s="16" t="str">
        <f>IFERROR(__xludf.DUMMYFUNCTION("""COMPUTED_VALUE"""),"")</f>
        <v/>
      </c>
    </row>
    <row r="13584">
      <c r="G13584" s="16" t="str">
        <f>IFERROR(__xludf.DUMMYFUNCTION("""COMPUTED_VALUE"""),"")</f>
        <v/>
      </c>
    </row>
    <row r="13585">
      <c r="G13585" s="16" t="str">
        <f>IFERROR(__xludf.DUMMYFUNCTION("""COMPUTED_VALUE"""),"")</f>
        <v/>
      </c>
    </row>
    <row r="13586">
      <c r="G13586" s="16" t="str">
        <f>IFERROR(__xludf.DUMMYFUNCTION("""COMPUTED_VALUE"""),"")</f>
        <v/>
      </c>
    </row>
    <row r="13587">
      <c r="G13587" s="16" t="str">
        <f>IFERROR(__xludf.DUMMYFUNCTION("""COMPUTED_VALUE"""),"")</f>
        <v/>
      </c>
    </row>
    <row r="13588">
      <c r="G13588" s="16" t="str">
        <f>IFERROR(__xludf.DUMMYFUNCTION("""COMPUTED_VALUE"""),"")</f>
        <v/>
      </c>
    </row>
    <row r="13589">
      <c r="G13589" s="16" t="str">
        <f>IFERROR(__xludf.DUMMYFUNCTION("""COMPUTED_VALUE"""),"")</f>
        <v/>
      </c>
    </row>
    <row r="13590">
      <c r="G13590" s="16" t="str">
        <f>IFERROR(__xludf.DUMMYFUNCTION("""COMPUTED_VALUE"""),"")</f>
        <v/>
      </c>
    </row>
    <row r="13591">
      <c r="G13591" s="16" t="str">
        <f>IFERROR(__xludf.DUMMYFUNCTION("""COMPUTED_VALUE"""),"")</f>
        <v/>
      </c>
    </row>
    <row r="13592">
      <c r="G13592" s="16" t="str">
        <f>IFERROR(__xludf.DUMMYFUNCTION("""COMPUTED_VALUE"""),"")</f>
        <v/>
      </c>
    </row>
    <row r="13593">
      <c r="G13593" s="16" t="str">
        <f>IFERROR(__xludf.DUMMYFUNCTION("""COMPUTED_VALUE"""),"")</f>
        <v/>
      </c>
    </row>
    <row r="13594">
      <c r="G13594" s="16" t="str">
        <f>IFERROR(__xludf.DUMMYFUNCTION("""COMPUTED_VALUE"""),"")</f>
        <v/>
      </c>
    </row>
    <row r="13595">
      <c r="G13595" s="16" t="str">
        <f>IFERROR(__xludf.DUMMYFUNCTION("""COMPUTED_VALUE"""),"")</f>
        <v/>
      </c>
    </row>
    <row r="13596">
      <c r="G13596" s="16" t="str">
        <f>IFERROR(__xludf.DUMMYFUNCTION("""COMPUTED_VALUE"""),"")</f>
        <v/>
      </c>
    </row>
    <row r="13597">
      <c r="G13597" s="16" t="str">
        <f>IFERROR(__xludf.DUMMYFUNCTION("""COMPUTED_VALUE"""),"")</f>
        <v/>
      </c>
    </row>
    <row r="13598">
      <c r="G13598" s="16" t="str">
        <f>IFERROR(__xludf.DUMMYFUNCTION("""COMPUTED_VALUE"""),"")</f>
        <v/>
      </c>
    </row>
    <row r="13599">
      <c r="G13599" s="16" t="str">
        <f>IFERROR(__xludf.DUMMYFUNCTION("""COMPUTED_VALUE"""),"")</f>
        <v/>
      </c>
    </row>
    <row r="13600">
      <c r="G13600" s="16" t="str">
        <f>IFERROR(__xludf.DUMMYFUNCTION("""COMPUTED_VALUE"""),"")</f>
        <v/>
      </c>
    </row>
    <row r="13601">
      <c r="G13601" s="16" t="str">
        <f>IFERROR(__xludf.DUMMYFUNCTION("""COMPUTED_VALUE"""),"")</f>
        <v/>
      </c>
    </row>
    <row r="13602">
      <c r="G13602" s="16" t="str">
        <f>IFERROR(__xludf.DUMMYFUNCTION("""COMPUTED_VALUE"""),"")</f>
        <v/>
      </c>
    </row>
    <row r="13603">
      <c r="G13603" s="16" t="str">
        <f>IFERROR(__xludf.DUMMYFUNCTION("""COMPUTED_VALUE"""),"")</f>
        <v/>
      </c>
    </row>
    <row r="13604">
      <c r="G13604" s="16" t="str">
        <f>IFERROR(__xludf.DUMMYFUNCTION("""COMPUTED_VALUE"""),"")</f>
        <v/>
      </c>
    </row>
    <row r="13605">
      <c r="G13605" s="16" t="str">
        <f>IFERROR(__xludf.DUMMYFUNCTION("""COMPUTED_VALUE"""),"")</f>
        <v/>
      </c>
    </row>
    <row r="13606">
      <c r="G13606" s="16" t="str">
        <f>IFERROR(__xludf.DUMMYFUNCTION("""COMPUTED_VALUE"""),"")</f>
        <v/>
      </c>
    </row>
    <row r="13607">
      <c r="G13607" s="16" t="str">
        <f>IFERROR(__xludf.DUMMYFUNCTION("""COMPUTED_VALUE"""),"")</f>
        <v/>
      </c>
    </row>
    <row r="13608">
      <c r="G13608" s="16" t="str">
        <f>IFERROR(__xludf.DUMMYFUNCTION("""COMPUTED_VALUE"""),"")</f>
        <v/>
      </c>
    </row>
    <row r="13609">
      <c r="G13609" s="16" t="str">
        <f>IFERROR(__xludf.DUMMYFUNCTION("""COMPUTED_VALUE"""),"")</f>
        <v/>
      </c>
    </row>
    <row r="13610">
      <c r="G13610" s="16" t="str">
        <f>IFERROR(__xludf.DUMMYFUNCTION("""COMPUTED_VALUE"""),"")</f>
        <v/>
      </c>
    </row>
    <row r="13611">
      <c r="G13611" s="16" t="str">
        <f>IFERROR(__xludf.DUMMYFUNCTION("""COMPUTED_VALUE"""),"")</f>
        <v/>
      </c>
    </row>
    <row r="13612">
      <c r="G13612" s="16" t="str">
        <f>IFERROR(__xludf.DUMMYFUNCTION("""COMPUTED_VALUE"""),"")</f>
        <v/>
      </c>
    </row>
    <row r="13613">
      <c r="G13613" s="16" t="str">
        <f>IFERROR(__xludf.DUMMYFUNCTION("""COMPUTED_VALUE"""),"")</f>
        <v/>
      </c>
    </row>
    <row r="13614">
      <c r="G13614" s="16" t="str">
        <f>IFERROR(__xludf.DUMMYFUNCTION("""COMPUTED_VALUE"""),"")</f>
        <v/>
      </c>
    </row>
    <row r="13615">
      <c r="G13615" s="16" t="str">
        <f>IFERROR(__xludf.DUMMYFUNCTION("""COMPUTED_VALUE"""),"")</f>
        <v/>
      </c>
    </row>
    <row r="13616">
      <c r="G13616" s="16" t="str">
        <f>IFERROR(__xludf.DUMMYFUNCTION("""COMPUTED_VALUE"""),"")</f>
        <v/>
      </c>
    </row>
    <row r="13617">
      <c r="G13617" s="16" t="str">
        <f>IFERROR(__xludf.DUMMYFUNCTION("""COMPUTED_VALUE"""),"")</f>
        <v/>
      </c>
    </row>
    <row r="13618">
      <c r="G13618" s="16" t="str">
        <f>IFERROR(__xludf.DUMMYFUNCTION("""COMPUTED_VALUE"""),"")</f>
        <v/>
      </c>
    </row>
    <row r="13619">
      <c r="G13619" s="16" t="str">
        <f>IFERROR(__xludf.DUMMYFUNCTION("""COMPUTED_VALUE"""),"")</f>
        <v/>
      </c>
    </row>
    <row r="13620">
      <c r="G13620" s="16" t="str">
        <f>IFERROR(__xludf.DUMMYFUNCTION("""COMPUTED_VALUE"""),"")</f>
        <v/>
      </c>
    </row>
    <row r="13621">
      <c r="G13621" s="16" t="str">
        <f>IFERROR(__xludf.DUMMYFUNCTION("""COMPUTED_VALUE"""),"")</f>
        <v/>
      </c>
    </row>
    <row r="13622">
      <c r="G13622" s="16" t="str">
        <f>IFERROR(__xludf.DUMMYFUNCTION("""COMPUTED_VALUE"""),"")</f>
        <v/>
      </c>
    </row>
    <row r="13623">
      <c r="G13623" s="16" t="str">
        <f>IFERROR(__xludf.DUMMYFUNCTION("""COMPUTED_VALUE"""),"")</f>
        <v/>
      </c>
    </row>
    <row r="13624">
      <c r="G13624" s="16" t="str">
        <f>IFERROR(__xludf.DUMMYFUNCTION("""COMPUTED_VALUE"""),"")</f>
        <v/>
      </c>
    </row>
    <row r="13625">
      <c r="G13625" s="16" t="str">
        <f>IFERROR(__xludf.DUMMYFUNCTION("""COMPUTED_VALUE"""),"")</f>
        <v/>
      </c>
    </row>
    <row r="13626">
      <c r="G13626" s="16" t="str">
        <f>IFERROR(__xludf.DUMMYFUNCTION("""COMPUTED_VALUE"""),"")</f>
        <v/>
      </c>
    </row>
    <row r="13627">
      <c r="G13627" s="16" t="str">
        <f>IFERROR(__xludf.DUMMYFUNCTION("""COMPUTED_VALUE"""),"")</f>
        <v/>
      </c>
    </row>
    <row r="13628">
      <c r="G13628" s="16" t="str">
        <f>IFERROR(__xludf.DUMMYFUNCTION("""COMPUTED_VALUE"""),"")</f>
        <v/>
      </c>
    </row>
    <row r="13629">
      <c r="G13629" s="16" t="str">
        <f>IFERROR(__xludf.DUMMYFUNCTION("""COMPUTED_VALUE"""),"")</f>
        <v/>
      </c>
    </row>
    <row r="13630">
      <c r="G13630" s="16" t="str">
        <f>IFERROR(__xludf.DUMMYFUNCTION("""COMPUTED_VALUE"""),"")</f>
        <v/>
      </c>
    </row>
    <row r="13631">
      <c r="G13631" s="16" t="str">
        <f>IFERROR(__xludf.DUMMYFUNCTION("""COMPUTED_VALUE"""),"")</f>
        <v/>
      </c>
    </row>
    <row r="13632">
      <c r="G13632" s="16" t="str">
        <f>IFERROR(__xludf.DUMMYFUNCTION("""COMPUTED_VALUE"""),"")</f>
        <v/>
      </c>
    </row>
    <row r="13633">
      <c r="G13633" s="16" t="str">
        <f>IFERROR(__xludf.DUMMYFUNCTION("""COMPUTED_VALUE"""),"")</f>
        <v/>
      </c>
    </row>
    <row r="13634">
      <c r="G13634" s="16" t="str">
        <f>IFERROR(__xludf.DUMMYFUNCTION("""COMPUTED_VALUE"""),"")</f>
        <v/>
      </c>
    </row>
    <row r="13635">
      <c r="G13635" s="16" t="str">
        <f>IFERROR(__xludf.DUMMYFUNCTION("""COMPUTED_VALUE"""),"")</f>
        <v/>
      </c>
    </row>
    <row r="13636">
      <c r="G13636" s="16" t="str">
        <f>IFERROR(__xludf.DUMMYFUNCTION("""COMPUTED_VALUE"""),"")</f>
        <v/>
      </c>
    </row>
    <row r="13637">
      <c r="G13637" s="16" t="str">
        <f>IFERROR(__xludf.DUMMYFUNCTION("""COMPUTED_VALUE"""),"")</f>
        <v/>
      </c>
    </row>
    <row r="13638">
      <c r="G13638" s="16" t="str">
        <f>IFERROR(__xludf.DUMMYFUNCTION("""COMPUTED_VALUE"""),"")</f>
        <v/>
      </c>
    </row>
    <row r="13639">
      <c r="G13639" s="16" t="str">
        <f>IFERROR(__xludf.DUMMYFUNCTION("""COMPUTED_VALUE"""),"")</f>
        <v/>
      </c>
    </row>
    <row r="13640">
      <c r="G13640" s="16" t="str">
        <f>IFERROR(__xludf.DUMMYFUNCTION("""COMPUTED_VALUE"""),"")</f>
        <v/>
      </c>
    </row>
    <row r="13641">
      <c r="G13641" s="16" t="str">
        <f>IFERROR(__xludf.DUMMYFUNCTION("""COMPUTED_VALUE"""),"")</f>
        <v/>
      </c>
    </row>
    <row r="13642">
      <c r="G13642" s="16" t="str">
        <f>IFERROR(__xludf.DUMMYFUNCTION("""COMPUTED_VALUE"""),"")</f>
        <v/>
      </c>
    </row>
    <row r="13643">
      <c r="G13643" s="16" t="str">
        <f>IFERROR(__xludf.DUMMYFUNCTION("""COMPUTED_VALUE"""),"")</f>
        <v/>
      </c>
    </row>
    <row r="13644">
      <c r="G13644" s="16" t="str">
        <f>IFERROR(__xludf.DUMMYFUNCTION("""COMPUTED_VALUE"""),"")</f>
        <v/>
      </c>
    </row>
    <row r="13645">
      <c r="G13645" s="16" t="str">
        <f>IFERROR(__xludf.DUMMYFUNCTION("""COMPUTED_VALUE"""),"")</f>
        <v/>
      </c>
    </row>
    <row r="13646">
      <c r="G13646" s="16" t="str">
        <f>IFERROR(__xludf.DUMMYFUNCTION("""COMPUTED_VALUE"""),"")</f>
        <v/>
      </c>
    </row>
    <row r="13647">
      <c r="G13647" s="16" t="str">
        <f>IFERROR(__xludf.DUMMYFUNCTION("""COMPUTED_VALUE"""),"")</f>
        <v/>
      </c>
    </row>
    <row r="13648">
      <c r="G13648" s="16" t="str">
        <f>IFERROR(__xludf.DUMMYFUNCTION("""COMPUTED_VALUE"""),"")</f>
        <v/>
      </c>
    </row>
    <row r="13649">
      <c r="G13649" s="16" t="str">
        <f>IFERROR(__xludf.DUMMYFUNCTION("""COMPUTED_VALUE"""),"")</f>
        <v/>
      </c>
    </row>
    <row r="13650">
      <c r="G13650" s="16" t="str">
        <f>IFERROR(__xludf.DUMMYFUNCTION("""COMPUTED_VALUE"""),"")</f>
        <v/>
      </c>
    </row>
    <row r="13651">
      <c r="G13651" s="16" t="str">
        <f>IFERROR(__xludf.DUMMYFUNCTION("""COMPUTED_VALUE"""),"")</f>
        <v/>
      </c>
    </row>
    <row r="13652">
      <c r="G13652" s="16" t="str">
        <f>IFERROR(__xludf.DUMMYFUNCTION("""COMPUTED_VALUE"""),"")</f>
        <v/>
      </c>
    </row>
    <row r="13653">
      <c r="G13653" s="16" t="str">
        <f>IFERROR(__xludf.DUMMYFUNCTION("""COMPUTED_VALUE"""),"")</f>
        <v/>
      </c>
    </row>
    <row r="13654">
      <c r="G13654" s="16" t="str">
        <f>IFERROR(__xludf.DUMMYFUNCTION("""COMPUTED_VALUE"""),"")</f>
        <v/>
      </c>
    </row>
    <row r="13655">
      <c r="G13655" s="16" t="str">
        <f>IFERROR(__xludf.DUMMYFUNCTION("""COMPUTED_VALUE"""),"")</f>
        <v/>
      </c>
    </row>
    <row r="13656">
      <c r="G13656" s="16" t="str">
        <f>IFERROR(__xludf.DUMMYFUNCTION("""COMPUTED_VALUE"""),"")</f>
        <v/>
      </c>
    </row>
    <row r="13657">
      <c r="G13657" s="16" t="str">
        <f>IFERROR(__xludf.DUMMYFUNCTION("""COMPUTED_VALUE"""),"")</f>
        <v/>
      </c>
    </row>
    <row r="13658">
      <c r="G13658" s="16" t="str">
        <f>IFERROR(__xludf.DUMMYFUNCTION("""COMPUTED_VALUE"""),"")</f>
        <v/>
      </c>
    </row>
    <row r="13659">
      <c r="G13659" s="16" t="str">
        <f>IFERROR(__xludf.DUMMYFUNCTION("""COMPUTED_VALUE"""),"")</f>
        <v/>
      </c>
    </row>
    <row r="13660">
      <c r="G13660" s="16" t="str">
        <f>IFERROR(__xludf.DUMMYFUNCTION("""COMPUTED_VALUE"""),"")</f>
        <v/>
      </c>
    </row>
    <row r="13661">
      <c r="G13661" s="16" t="str">
        <f>IFERROR(__xludf.DUMMYFUNCTION("""COMPUTED_VALUE"""),"")</f>
        <v/>
      </c>
    </row>
    <row r="13662">
      <c r="G13662" s="16" t="str">
        <f>IFERROR(__xludf.DUMMYFUNCTION("""COMPUTED_VALUE"""),"")</f>
        <v/>
      </c>
    </row>
    <row r="13663">
      <c r="G13663" s="16" t="str">
        <f>IFERROR(__xludf.DUMMYFUNCTION("""COMPUTED_VALUE"""),"")</f>
        <v/>
      </c>
    </row>
    <row r="13664">
      <c r="G13664" s="16" t="str">
        <f>IFERROR(__xludf.DUMMYFUNCTION("""COMPUTED_VALUE"""),"")</f>
        <v/>
      </c>
    </row>
    <row r="13665">
      <c r="G13665" s="16" t="str">
        <f>IFERROR(__xludf.DUMMYFUNCTION("""COMPUTED_VALUE"""),"")</f>
        <v/>
      </c>
    </row>
    <row r="13666">
      <c r="G13666" s="16" t="str">
        <f>IFERROR(__xludf.DUMMYFUNCTION("""COMPUTED_VALUE"""),"")</f>
        <v/>
      </c>
    </row>
    <row r="13667">
      <c r="G13667" s="16" t="str">
        <f>IFERROR(__xludf.DUMMYFUNCTION("""COMPUTED_VALUE"""),"")</f>
        <v/>
      </c>
    </row>
    <row r="13668">
      <c r="G13668" s="16" t="str">
        <f>IFERROR(__xludf.DUMMYFUNCTION("""COMPUTED_VALUE"""),"")</f>
        <v/>
      </c>
    </row>
    <row r="13669">
      <c r="G13669" s="16" t="str">
        <f>IFERROR(__xludf.DUMMYFUNCTION("""COMPUTED_VALUE"""),"")</f>
        <v/>
      </c>
    </row>
    <row r="13670">
      <c r="G13670" s="16" t="str">
        <f>IFERROR(__xludf.DUMMYFUNCTION("""COMPUTED_VALUE"""),"")</f>
        <v/>
      </c>
    </row>
    <row r="13671">
      <c r="G13671" s="16" t="str">
        <f>IFERROR(__xludf.DUMMYFUNCTION("""COMPUTED_VALUE"""),"")</f>
        <v/>
      </c>
    </row>
    <row r="13672">
      <c r="G13672" s="16" t="str">
        <f>IFERROR(__xludf.DUMMYFUNCTION("""COMPUTED_VALUE"""),"")</f>
        <v/>
      </c>
    </row>
    <row r="13673">
      <c r="G13673" s="16" t="str">
        <f>IFERROR(__xludf.DUMMYFUNCTION("""COMPUTED_VALUE"""),"")</f>
        <v/>
      </c>
    </row>
    <row r="13674">
      <c r="G13674" s="16" t="str">
        <f>IFERROR(__xludf.DUMMYFUNCTION("""COMPUTED_VALUE"""),"")</f>
        <v/>
      </c>
    </row>
    <row r="13675">
      <c r="G13675" s="16" t="str">
        <f>IFERROR(__xludf.DUMMYFUNCTION("""COMPUTED_VALUE"""),"")</f>
        <v/>
      </c>
    </row>
    <row r="13676">
      <c r="G13676" s="16" t="str">
        <f>IFERROR(__xludf.DUMMYFUNCTION("""COMPUTED_VALUE"""),"")</f>
        <v/>
      </c>
    </row>
    <row r="13677">
      <c r="G13677" s="16" t="str">
        <f>IFERROR(__xludf.DUMMYFUNCTION("""COMPUTED_VALUE"""),"")</f>
        <v/>
      </c>
    </row>
    <row r="13678">
      <c r="G13678" s="16" t="str">
        <f>IFERROR(__xludf.DUMMYFUNCTION("""COMPUTED_VALUE"""),"")</f>
        <v/>
      </c>
    </row>
    <row r="13679">
      <c r="G13679" s="16" t="str">
        <f>IFERROR(__xludf.DUMMYFUNCTION("""COMPUTED_VALUE"""),"")</f>
        <v/>
      </c>
    </row>
    <row r="13680">
      <c r="G13680" s="16" t="str">
        <f>IFERROR(__xludf.DUMMYFUNCTION("""COMPUTED_VALUE"""),"")</f>
        <v/>
      </c>
    </row>
    <row r="13681">
      <c r="G13681" s="16" t="str">
        <f>IFERROR(__xludf.DUMMYFUNCTION("""COMPUTED_VALUE"""),"")</f>
        <v/>
      </c>
    </row>
    <row r="13682">
      <c r="G13682" s="16" t="str">
        <f>IFERROR(__xludf.DUMMYFUNCTION("""COMPUTED_VALUE"""),"")</f>
        <v/>
      </c>
    </row>
    <row r="13683">
      <c r="G13683" s="16" t="str">
        <f>IFERROR(__xludf.DUMMYFUNCTION("""COMPUTED_VALUE"""),"")</f>
        <v/>
      </c>
    </row>
    <row r="13684">
      <c r="G13684" s="16" t="str">
        <f>IFERROR(__xludf.DUMMYFUNCTION("""COMPUTED_VALUE"""),"")</f>
        <v/>
      </c>
    </row>
    <row r="13685">
      <c r="G13685" s="16" t="str">
        <f>IFERROR(__xludf.DUMMYFUNCTION("""COMPUTED_VALUE"""),"")</f>
        <v/>
      </c>
    </row>
    <row r="13686">
      <c r="G13686" s="16" t="str">
        <f>IFERROR(__xludf.DUMMYFUNCTION("""COMPUTED_VALUE"""),"")</f>
        <v/>
      </c>
    </row>
    <row r="13687">
      <c r="G13687" s="16" t="str">
        <f>IFERROR(__xludf.DUMMYFUNCTION("""COMPUTED_VALUE"""),"")</f>
        <v/>
      </c>
    </row>
    <row r="13688">
      <c r="G13688" s="16" t="str">
        <f>IFERROR(__xludf.DUMMYFUNCTION("""COMPUTED_VALUE"""),"")</f>
        <v/>
      </c>
    </row>
    <row r="13689">
      <c r="G13689" s="16" t="str">
        <f>IFERROR(__xludf.DUMMYFUNCTION("""COMPUTED_VALUE"""),"")</f>
        <v/>
      </c>
    </row>
    <row r="13690">
      <c r="G13690" s="16" t="str">
        <f>IFERROR(__xludf.DUMMYFUNCTION("""COMPUTED_VALUE"""),"")</f>
        <v/>
      </c>
    </row>
    <row r="13691">
      <c r="G13691" s="16" t="str">
        <f>IFERROR(__xludf.DUMMYFUNCTION("""COMPUTED_VALUE"""),"")</f>
        <v/>
      </c>
    </row>
    <row r="13692">
      <c r="G13692" s="16" t="str">
        <f>IFERROR(__xludf.DUMMYFUNCTION("""COMPUTED_VALUE"""),"")</f>
        <v/>
      </c>
    </row>
    <row r="13693">
      <c r="G13693" s="16" t="str">
        <f>IFERROR(__xludf.DUMMYFUNCTION("""COMPUTED_VALUE"""),"")</f>
        <v/>
      </c>
    </row>
    <row r="13694">
      <c r="G13694" s="16" t="str">
        <f>IFERROR(__xludf.DUMMYFUNCTION("""COMPUTED_VALUE"""),"")</f>
        <v/>
      </c>
    </row>
    <row r="13695">
      <c r="G13695" s="16" t="str">
        <f>IFERROR(__xludf.DUMMYFUNCTION("""COMPUTED_VALUE"""),"")</f>
        <v/>
      </c>
    </row>
    <row r="13696">
      <c r="G13696" s="16" t="str">
        <f>IFERROR(__xludf.DUMMYFUNCTION("""COMPUTED_VALUE"""),"")</f>
        <v/>
      </c>
    </row>
    <row r="13697">
      <c r="G13697" s="16" t="str">
        <f>IFERROR(__xludf.DUMMYFUNCTION("""COMPUTED_VALUE"""),"")</f>
        <v/>
      </c>
    </row>
    <row r="13698">
      <c r="G13698" s="16" t="str">
        <f>IFERROR(__xludf.DUMMYFUNCTION("""COMPUTED_VALUE"""),"")</f>
        <v/>
      </c>
    </row>
    <row r="13699">
      <c r="G13699" s="16" t="str">
        <f>IFERROR(__xludf.DUMMYFUNCTION("""COMPUTED_VALUE"""),"")</f>
        <v/>
      </c>
    </row>
    <row r="13700">
      <c r="G13700" s="16" t="str">
        <f>IFERROR(__xludf.DUMMYFUNCTION("""COMPUTED_VALUE"""),"")</f>
        <v/>
      </c>
    </row>
    <row r="13701">
      <c r="G13701" s="16" t="str">
        <f>IFERROR(__xludf.DUMMYFUNCTION("""COMPUTED_VALUE"""),"")</f>
        <v/>
      </c>
    </row>
    <row r="13702">
      <c r="G13702" s="16" t="str">
        <f>IFERROR(__xludf.DUMMYFUNCTION("""COMPUTED_VALUE"""),"")</f>
        <v/>
      </c>
    </row>
    <row r="13703">
      <c r="G13703" s="16" t="str">
        <f>IFERROR(__xludf.DUMMYFUNCTION("""COMPUTED_VALUE"""),"")</f>
        <v/>
      </c>
    </row>
    <row r="13704">
      <c r="G13704" s="16" t="str">
        <f>IFERROR(__xludf.DUMMYFUNCTION("""COMPUTED_VALUE"""),"")</f>
        <v/>
      </c>
    </row>
    <row r="13705">
      <c r="G13705" s="16" t="str">
        <f>IFERROR(__xludf.DUMMYFUNCTION("""COMPUTED_VALUE"""),"")</f>
        <v/>
      </c>
    </row>
    <row r="13706">
      <c r="G13706" s="16" t="str">
        <f>IFERROR(__xludf.DUMMYFUNCTION("""COMPUTED_VALUE"""),"")</f>
        <v/>
      </c>
    </row>
    <row r="13707">
      <c r="G13707" s="16" t="str">
        <f>IFERROR(__xludf.DUMMYFUNCTION("""COMPUTED_VALUE"""),"")</f>
        <v/>
      </c>
    </row>
    <row r="13708">
      <c r="G13708" s="16" t="str">
        <f>IFERROR(__xludf.DUMMYFUNCTION("""COMPUTED_VALUE"""),"")</f>
        <v/>
      </c>
    </row>
    <row r="13709">
      <c r="G13709" s="16" t="str">
        <f>IFERROR(__xludf.DUMMYFUNCTION("""COMPUTED_VALUE"""),"")</f>
        <v/>
      </c>
    </row>
    <row r="13710">
      <c r="G13710" s="16" t="str">
        <f>IFERROR(__xludf.DUMMYFUNCTION("""COMPUTED_VALUE"""),"")</f>
        <v/>
      </c>
    </row>
    <row r="13711">
      <c r="G13711" s="16" t="str">
        <f>IFERROR(__xludf.DUMMYFUNCTION("""COMPUTED_VALUE"""),"")</f>
        <v/>
      </c>
    </row>
    <row r="13712">
      <c r="G13712" s="16" t="str">
        <f>IFERROR(__xludf.DUMMYFUNCTION("""COMPUTED_VALUE"""),"")</f>
        <v/>
      </c>
    </row>
    <row r="13713">
      <c r="G13713" s="16" t="str">
        <f>IFERROR(__xludf.DUMMYFUNCTION("""COMPUTED_VALUE"""),"")</f>
        <v/>
      </c>
    </row>
    <row r="13714">
      <c r="G13714" s="16" t="str">
        <f>IFERROR(__xludf.DUMMYFUNCTION("""COMPUTED_VALUE"""),"")</f>
        <v/>
      </c>
    </row>
    <row r="13715">
      <c r="G13715" s="16" t="str">
        <f>IFERROR(__xludf.DUMMYFUNCTION("""COMPUTED_VALUE"""),"")</f>
        <v/>
      </c>
    </row>
    <row r="13716">
      <c r="G13716" s="16" t="str">
        <f>IFERROR(__xludf.DUMMYFUNCTION("""COMPUTED_VALUE"""),"")</f>
        <v/>
      </c>
    </row>
    <row r="13717">
      <c r="G13717" s="16" t="str">
        <f>IFERROR(__xludf.DUMMYFUNCTION("""COMPUTED_VALUE"""),"")</f>
        <v/>
      </c>
    </row>
    <row r="13718">
      <c r="G13718" s="16" t="str">
        <f>IFERROR(__xludf.DUMMYFUNCTION("""COMPUTED_VALUE"""),"")</f>
        <v/>
      </c>
    </row>
    <row r="13719">
      <c r="G13719" s="16" t="str">
        <f>IFERROR(__xludf.DUMMYFUNCTION("""COMPUTED_VALUE"""),"")</f>
        <v/>
      </c>
    </row>
    <row r="13720">
      <c r="G13720" s="16" t="str">
        <f>IFERROR(__xludf.DUMMYFUNCTION("""COMPUTED_VALUE"""),"")</f>
        <v/>
      </c>
    </row>
    <row r="13721">
      <c r="G13721" s="16" t="str">
        <f>IFERROR(__xludf.DUMMYFUNCTION("""COMPUTED_VALUE"""),"")</f>
        <v/>
      </c>
    </row>
    <row r="13722">
      <c r="G13722" s="16" t="str">
        <f>IFERROR(__xludf.DUMMYFUNCTION("""COMPUTED_VALUE"""),"")</f>
        <v/>
      </c>
    </row>
    <row r="13723">
      <c r="G13723" s="16" t="str">
        <f>IFERROR(__xludf.DUMMYFUNCTION("""COMPUTED_VALUE"""),"")</f>
        <v/>
      </c>
    </row>
    <row r="13724">
      <c r="G13724" s="16" t="str">
        <f>IFERROR(__xludf.DUMMYFUNCTION("""COMPUTED_VALUE"""),"")</f>
        <v/>
      </c>
    </row>
    <row r="13725">
      <c r="G13725" s="16" t="str">
        <f>IFERROR(__xludf.DUMMYFUNCTION("""COMPUTED_VALUE"""),"")</f>
        <v/>
      </c>
    </row>
    <row r="13726">
      <c r="G13726" s="16" t="str">
        <f>IFERROR(__xludf.DUMMYFUNCTION("""COMPUTED_VALUE"""),"")</f>
        <v/>
      </c>
    </row>
    <row r="13727">
      <c r="G13727" s="16" t="str">
        <f>IFERROR(__xludf.DUMMYFUNCTION("""COMPUTED_VALUE"""),"")</f>
        <v/>
      </c>
    </row>
    <row r="13728">
      <c r="G13728" s="16" t="str">
        <f>IFERROR(__xludf.DUMMYFUNCTION("""COMPUTED_VALUE"""),"")</f>
        <v/>
      </c>
    </row>
    <row r="13729">
      <c r="G13729" s="16" t="str">
        <f>IFERROR(__xludf.DUMMYFUNCTION("""COMPUTED_VALUE"""),"")</f>
        <v/>
      </c>
    </row>
    <row r="13730">
      <c r="G13730" s="16" t="str">
        <f>IFERROR(__xludf.DUMMYFUNCTION("""COMPUTED_VALUE"""),"")</f>
        <v/>
      </c>
    </row>
    <row r="13731">
      <c r="G13731" s="16" t="str">
        <f>IFERROR(__xludf.DUMMYFUNCTION("""COMPUTED_VALUE"""),"")</f>
        <v/>
      </c>
    </row>
    <row r="13732">
      <c r="G13732" s="16" t="str">
        <f>IFERROR(__xludf.DUMMYFUNCTION("""COMPUTED_VALUE"""),"")</f>
        <v/>
      </c>
    </row>
    <row r="13733">
      <c r="G13733" s="16" t="str">
        <f>IFERROR(__xludf.DUMMYFUNCTION("""COMPUTED_VALUE"""),"")</f>
        <v/>
      </c>
    </row>
    <row r="13734">
      <c r="G13734" s="16" t="str">
        <f>IFERROR(__xludf.DUMMYFUNCTION("""COMPUTED_VALUE"""),"")</f>
        <v/>
      </c>
    </row>
    <row r="13735">
      <c r="G13735" s="16" t="str">
        <f>IFERROR(__xludf.DUMMYFUNCTION("""COMPUTED_VALUE"""),"")</f>
        <v/>
      </c>
    </row>
    <row r="13736">
      <c r="G13736" s="16" t="str">
        <f>IFERROR(__xludf.DUMMYFUNCTION("""COMPUTED_VALUE"""),"")</f>
        <v/>
      </c>
    </row>
    <row r="13737">
      <c r="G13737" s="16" t="str">
        <f>IFERROR(__xludf.DUMMYFUNCTION("""COMPUTED_VALUE"""),"")</f>
        <v/>
      </c>
    </row>
    <row r="13738">
      <c r="G13738" s="16" t="str">
        <f>IFERROR(__xludf.DUMMYFUNCTION("""COMPUTED_VALUE"""),"")</f>
        <v/>
      </c>
    </row>
    <row r="13739">
      <c r="G13739" s="16" t="str">
        <f>IFERROR(__xludf.DUMMYFUNCTION("""COMPUTED_VALUE"""),"")</f>
        <v/>
      </c>
    </row>
    <row r="13740">
      <c r="G13740" s="16" t="str">
        <f>IFERROR(__xludf.DUMMYFUNCTION("""COMPUTED_VALUE"""),"")</f>
        <v/>
      </c>
    </row>
    <row r="13741">
      <c r="G13741" s="16" t="str">
        <f>IFERROR(__xludf.DUMMYFUNCTION("""COMPUTED_VALUE"""),"")</f>
        <v/>
      </c>
    </row>
    <row r="13742">
      <c r="G13742" s="16" t="str">
        <f>IFERROR(__xludf.DUMMYFUNCTION("""COMPUTED_VALUE"""),"")</f>
        <v/>
      </c>
    </row>
    <row r="13743">
      <c r="G13743" s="16" t="str">
        <f>IFERROR(__xludf.DUMMYFUNCTION("""COMPUTED_VALUE"""),"")</f>
        <v/>
      </c>
    </row>
    <row r="13744">
      <c r="G13744" s="16" t="str">
        <f>IFERROR(__xludf.DUMMYFUNCTION("""COMPUTED_VALUE"""),"")</f>
        <v/>
      </c>
    </row>
    <row r="13745">
      <c r="G13745" s="16" t="str">
        <f>IFERROR(__xludf.DUMMYFUNCTION("""COMPUTED_VALUE"""),"")</f>
        <v/>
      </c>
    </row>
    <row r="13746">
      <c r="G13746" s="16" t="str">
        <f>IFERROR(__xludf.DUMMYFUNCTION("""COMPUTED_VALUE"""),"")</f>
        <v/>
      </c>
    </row>
    <row r="13747">
      <c r="G13747" s="16" t="str">
        <f>IFERROR(__xludf.DUMMYFUNCTION("""COMPUTED_VALUE"""),"")</f>
        <v/>
      </c>
    </row>
    <row r="13748">
      <c r="G13748" s="16" t="str">
        <f>IFERROR(__xludf.DUMMYFUNCTION("""COMPUTED_VALUE"""),"")</f>
        <v/>
      </c>
    </row>
    <row r="13749">
      <c r="G13749" s="16" t="str">
        <f>IFERROR(__xludf.DUMMYFUNCTION("""COMPUTED_VALUE"""),"")</f>
        <v/>
      </c>
    </row>
    <row r="13750">
      <c r="G13750" s="16" t="str">
        <f>IFERROR(__xludf.DUMMYFUNCTION("""COMPUTED_VALUE"""),"")</f>
        <v/>
      </c>
    </row>
    <row r="13751">
      <c r="G13751" s="16" t="str">
        <f>IFERROR(__xludf.DUMMYFUNCTION("""COMPUTED_VALUE"""),"")</f>
        <v/>
      </c>
    </row>
    <row r="13752">
      <c r="G13752" s="16" t="str">
        <f>IFERROR(__xludf.DUMMYFUNCTION("""COMPUTED_VALUE"""),"")</f>
        <v/>
      </c>
    </row>
    <row r="13753">
      <c r="G13753" s="16" t="str">
        <f>IFERROR(__xludf.DUMMYFUNCTION("""COMPUTED_VALUE"""),"")</f>
        <v/>
      </c>
    </row>
    <row r="13754">
      <c r="G13754" s="16" t="str">
        <f>IFERROR(__xludf.DUMMYFUNCTION("""COMPUTED_VALUE"""),"")</f>
        <v/>
      </c>
    </row>
    <row r="13755">
      <c r="G13755" s="16" t="str">
        <f>IFERROR(__xludf.DUMMYFUNCTION("""COMPUTED_VALUE"""),"")</f>
        <v/>
      </c>
    </row>
    <row r="13756">
      <c r="G13756" s="16" t="str">
        <f>IFERROR(__xludf.DUMMYFUNCTION("""COMPUTED_VALUE"""),"")</f>
        <v/>
      </c>
    </row>
    <row r="13757">
      <c r="G13757" s="16" t="str">
        <f>IFERROR(__xludf.DUMMYFUNCTION("""COMPUTED_VALUE"""),"")</f>
        <v/>
      </c>
    </row>
    <row r="13758">
      <c r="G13758" s="16" t="str">
        <f>IFERROR(__xludf.DUMMYFUNCTION("""COMPUTED_VALUE"""),"")</f>
        <v/>
      </c>
    </row>
    <row r="13759">
      <c r="G13759" s="16" t="str">
        <f>IFERROR(__xludf.DUMMYFUNCTION("""COMPUTED_VALUE"""),"")</f>
        <v/>
      </c>
    </row>
    <row r="13760">
      <c r="G13760" s="16" t="str">
        <f>IFERROR(__xludf.DUMMYFUNCTION("""COMPUTED_VALUE"""),"")</f>
        <v/>
      </c>
    </row>
    <row r="13761">
      <c r="G13761" s="16" t="str">
        <f>IFERROR(__xludf.DUMMYFUNCTION("""COMPUTED_VALUE"""),"")</f>
        <v/>
      </c>
    </row>
    <row r="13762">
      <c r="G13762" s="16" t="str">
        <f>IFERROR(__xludf.DUMMYFUNCTION("""COMPUTED_VALUE"""),"")</f>
        <v/>
      </c>
    </row>
    <row r="13763">
      <c r="G13763" s="16" t="str">
        <f>IFERROR(__xludf.DUMMYFUNCTION("""COMPUTED_VALUE"""),"")</f>
        <v/>
      </c>
    </row>
    <row r="13764">
      <c r="G13764" s="16" t="str">
        <f>IFERROR(__xludf.DUMMYFUNCTION("""COMPUTED_VALUE"""),"")</f>
        <v/>
      </c>
    </row>
    <row r="13765">
      <c r="G13765" s="16" t="str">
        <f>IFERROR(__xludf.DUMMYFUNCTION("""COMPUTED_VALUE"""),"")</f>
        <v/>
      </c>
    </row>
    <row r="13766">
      <c r="G13766" s="16" t="str">
        <f>IFERROR(__xludf.DUMMYFUNCTION("""COMPUTED_VALUE"""),"")</f>
        <v/>
      </c>
    </row>
    <row r="13767">
      <c r="G13767" s="16" t="str">
        <f>IFERROR(__xludf.DUMMYFUNCTION("""COMPUTED_VALUE"""),"")</f>
        <v/>
      </c>
    </row>
    <row r="13768">
      <c r="G13768" s="16" t="str">
        <f>IFERROR(__xludf.DUMMYFUNCTION("""COMPUTED_VALUE"""),"")</f>
        <v/>
      </c>
    </row>
    <row r="13769">
      <c r="G13769" s="16" t="str">
        <f>IFERROR(__xludf.DUMMYFUNCTION("""COMPUTED_VALUE"""),"")</f>
        <v/>
      </c>
    </row>
    <row r="13770">
      <c r="G13770" s="16" t="str">
        <f>IFERROR(__xludf.DUMMYFUNCTION("""COMPUTED_VALUE"""),"")</f>
        <v/>
      </c>
    </row>
    <row r="13771">
      <c r="G13771" s="16" t="str">
        <f>IFERROR(__xludf.DUMMYFUNCTION("""COMPUTED_VALUE"""),"")</f>
        <v/>
      </c>
    </row>
    <row r="13772">
      <c r="G13772" s="16" t="str">
        <f>IFERROR(__xludf.DUMMYFUNCTION("""COMPUTED_VALUE"""),"")</f>
        <v/>
      </c>
    </row>
    <row r="13773">
      <c r="G13773" s="16" t="str">
        <f>IFERROR(__xludf.DUMMYFUNCTION("""COMPUTED_VALUE"""),"")</f>
        <v/>
      </c>
    </row>
    <row r="13774">
      <c r="G13774" s="16" t="str">
        <f>IFERROR(__xludf.DUMMYFUNCTION("""COMPUTED_VALUE"""),"")</f>
        <v/>
      </c>
    </row>
    <row r="13775">
      <c r="G13775" s="16" t="str">
        <f>IFERROR(__xludf.DUMMYFUNCTION("""COMPUTED_VALUE"""),"")</f>
        <v/>
      </c>
    </row>
    <row r="13776">
      <c r="G13776" s="16" t="str">
        <f>IFERROR(__xludf.DUMMYFUNCTION("""COMPUTED_VALUE"""),"")</f>
        <v/>
      </c>
    </row>
    <row r="13777">
      <c r="G13777" s="16" t="str">
        <f>IFERROR(__xludf.DUMMYFUNCTION("""COMPUTED_VALUE"""),"")</f>
        <v/>
      </c>
    </row>
    <row r="13778">
      <c r="G13778" s="16" t="str">
        <f>IFERROR(__xludf.DUMMYFUNCTION("""COMPUTED_VALUE"""),"")</f>
        <v/>
      </c>
    </row>
    <row r="13779">
      <c r="G13779" s="16" t="str">
        <f>IFERROR(__xludf.DUMMYFUNCTION("""COMPUTED_VALUE"""),"")</f>
        <v/>
      </c>
    </row>
    <row r="13780">
      <c r="G13780" s="16" t="str">
        <f>IFERROR(__xludf.DUMMYFUNCTION("""COMPUTED_VALUE"""),"")</f>
        <v/>
      </c>
    </row>
    <row r="13781">
      <c r="G13781" s="16" t="str">
        <f>IFERROR(__xludf.DUMMYFUNCTION("""COMPUTED_VALUE"""),"")</f>
        <v/>
      </c>
    </row>
    <row r="13782">
      <c r="G13782" s="16" t="str">
        <f>IFERROR(__xludf.DUMMYFUNCTION("""COMPUTED_VALUE"""),"")</f>
        <v/>
      </c>
    </row>
    <row r="13783">
      <c r="G13783" s="16" t="str">
        <f>IFERROR(__xludf.DUMMYFUNCTION("""COMPUTED_VALUE"""),"")</f>
        <v/>
      </c>
    </row>
    <row r="13784">
      <c r="G13784" s="16" t="str">
        <f>IFERROR(__xludf.DUMMYFUNCTION("""COMPUTED_VALUE"""),"")</f>
        <v/>
      </c>
    </row>
    <row r="13785">
      <c r="G13785" s="16" t="str">
        <f>IFERROR(__xludf.DUMMYFUNCTION("""COMPUTED_VALUE"""),"")</f>
        <v/>
      </c>
    </row>
    <row r="13786">
      <c r="G13786" s="16" t="str">
        <f>IFERROR(__xludf.DUMMYFUNCTION("""COMPUTED_VALUE"""),"")</f>
        <v/>
      </c>
    </row>
    <row r="13787">
      <c r="G13787" s="16" t="str">
        <f>IFERROR(__xludf.DUMMYFUNCTION("""COMPUTED_VALUE"""),"")</f>
        <v/>
      </c>
    </row>
    <row r="13788">
      <c r="G13788" s="16" t="str">
        <f>IFERROR(__xludf.DUMMYFUNCTION("""COMPUTED_VALUE"""),"")</f>
        <v/>
      </c>
    </row>
    <row r="13789">
      <c r="G13789" s="16" t="str">
        <f>IFERROR(__xludf.DUMMYFUNCTION("""COMPUTED_VALUE"""),"")</f>
        <v/>
      </c>
    </row>
    <row r="13790">
      <c r="G13790" s="16" t="str">
        <f>IFERROR(__xludf.DUMMYFUNCTION("""COMPUTED_VALUE"""),"")</f>
        <v/>
      </c>
    </row>
    <row r="13791">
      <c r="G13791" s="16" t="str">
        <f>IFERROR(__xludf.DUMMYFUNCTION("""COMPUTED_VALUE"""),"")</f>
        <v/>
      </c>
    </row>
    <row r="13792">
      <c r="G13792" s="16" t="str">
        <f>IFERROR(__xludf.DUMMYFUNCTION("""COMPUTED_VALUE"""),"")</f>
        <v/>
      </c>
    </row>
    <row r="13793">
      <c r="G13793" s="16" t="str">
        <f>IFERROR(__xludf.DUMMYFUNCTION("""COMPUTED_VALUE"""),"")</f>
        <v/>
      </c>
    </row>
    <row r="13794">
      <c r="G13794" s="16" t="str">
        <f>IFERROR(__xludf.DUMMYFUNCTION("""COMPUTED_VALUE"""),"")</f>
        <v/>
      </c>
    </row>
    <row r="13795">
      <c r="G13795" s="16" t="str">
        <f>IFERROR(__xludf.DUMMYFUNCTION("""COMPUTED_VALUE"""),"")</f>
        <v/>
      </c>
    </row>
    <row r="13796">
      <c r="G13796" s="16" t="str">
        <f>IFERROR(__xludf.DUMMYFUNCTION("""COMPUTED_VALUE"""),"")</f>
        <v/>
      </c>
    </row>
    <row r="13797">
      <c r="G13797" s="16" t="str">
        <f>IFERROR(__xludf.DUMMYFUNCTION("""COMPUTED_VALUE"""),"")</f>
        <v/>
      </c>
    </row>
    <row r="13798">
      <c r="G13798" s="16" t="str">
        <f>IFERROR(__xludf.DUMMYFUNCTION("""COMPUTED_VALUE"""),"")</f>
        <v/>
      </c>
    </row>
    <row r="13799">
      <c r="G13799" s="16" t="str">
        <f>IFERROR(__xludf.DUMMYFUNCTION("""COMPUTED_VALUE"""),"")</f>
        <v/>
      </c>
    </row>
    <row r="13800">
      <c r="G13800" s="16" t="str">
        <f>IFERROR(__xludf.DUMMYFUNCTION("""COMPUTED_VALUE"""),"")</f>
        <v/>
      </c>
    </row>
    <row r="13801">
      <c r="G13801" s="16" t="str">
        <f>IFERROR(__xludf.DUMMYFUNCTION("""COMPUTED_VALUE"""),"")</f>
        <v/>
      </c>
    </row>
    <row r="13802">
      <c r="G13802" s="16" t="str">
        <f>IFERROR(__xludf.DUMMYFUNCTION("""COMPUTED_VALUE"""),"")</f>
        <v/>
      </c>
    </row>
    <row r="13803">
      <c r="G13803" s="16" t="str">
        <f>IFERROR(__xludf.DUMMYFUNCTION("""COMPUTED_VALUE"""),"")</f>
        <v/>
      </c>
    </row>
    <row r="13804">
      <c r="G13804" s="16" t="str">
        <f>IFERROR(__xludf.DUMMYFUNCTION("""COMPUTED_VALUE"""),"")</f>
        <v/>
      </c>
    </row>
    <row r="13805">
      <c r="G13805" s="16" t="str">
        <f>IFERROR(__xludf.DUMMYFUNCTION("""COMPUTED_VALUE"""),"")</f>
        <v/>
      </c>
    </row>
    <row r="13806">
      <c r="G13806" s="16" t="str">
        <f>IFERROR(__xludf.DUMMYFUNCTION("""COMPUTED_VALUE"""),"")</f>
        <v/>
      </c>
    </row>
    <row r="13807">
      <c r="G13807" s="16" t="str">
        <f>IFERROR(__xludf.DUMMYFUNCTION("""COMPUTED_VALUE"""),"")</f>
        <v/>
      </c>
    </row>
    <row r="13808">
      <c r="G13808" s="16" t="str">
        <f>IFERROR(__xludf.DUMMYFUNCTION("""COMPUTED_VALUE"""),"")</f>
        <v/>
      </c>
    </row>
    <row r="13809">
      <c r="G13809" s="16" t="str">
        <f>IFERROR(__xludf.DUMMYFUNCTION("""COMPUTED_VALUE"""),"")</f>
        <v/>
      </c>
    </row>
    <row r="13810">
      <c r="G13810" s="16" t="str">
        <f>IFERROR(__xludf.DUMMYFUNCTION("""COMPUTED_VALUE"""),"")</f>
        <v/>
      </c>
    </row>
    <row r="13811">
      <c r="G13811" s="16" t="str">
        <f>IFERROR(__xludf.DUMMYFUNCTION("""COMPUTED_VALUE"""),"")</f>
        <v/>
      </c>
    </row>
    <row r="13812">
      <c r="G13812" s="16" t="str">
        <f>IFERROR(__xludf.DUMMYFUNCTION("""COMPUTED_VALUE"""),"")</f>
        <v/>
      </c>
    </row>
    <row r="13813">
      <c r="G13813" s="16" t="str">
        <f>IFERROR(__xludf.DUMMYFUNCTION("""COMPUTED_VALUE"""),"")</f>
        <v/>
      </c>
    </row>
    <row r="13814">
      <c r="G13814" s="16" t="str">
        <f>IFERROR(__xludf.DUMMYFUNCTION("""COMPUTED_VALUE"""),"")</f>
        <v/>
      </c>
    </row>
    <row r="13815">
      <c r="G13815" s="16" t="str">
        <f>IFERROR(__xludf.DUMMYFUNCTION("""COMPUTED_VALUE"""),"")</f>
        <v/>
      </c>
    </row>
    <row r="13816">
      <c r="G13816" s="16" t="str">
        <f>IFERROR(__xludf.DUMMYFUNCTION("""COMPUTED_VALUE"""),"")</f>
        <v/>
      </c>
    </row>
    <row r="13817">
      <c r="G13817" s="16" t="str">
        <f>IFERROR(__xludf.DUMMYFUNCTION("""COMPUTED_VALUE"""),"")</f>
        <v/>
      </c>
    </row>
    <row r="13818">
      <c r="G13818" s="16" t="str">
        <f>IFERROR(__xludf.DUMMYFUNCTION("""COMPUTED_VALUE"""),"")</f>
        <v/>
      </c>
    </row>
    <row r="13819">
      <c r="G13819" s="16" t="str">
        <f>IFERROR(__xludf.DUMMYFUNCTION("""COMPUTED_VALUE"""),"")</f>
        <v/>
      </c>
    </row>
    <row r="13820">
      <c r="G13820" s="16" t="str">
        <f>IFERROR(__xludf.DUMMYFUNCTION("""COMPUTED_VALUE"""),"")</f>
        <v/>
      </c>
    </row>
    <row r="13821">
      <c r="G13821" s="16" t="str">
        <f>IFERROR(__xludf.DUMMYFUNCTION("""COMPUTED_VALUE"""),"")</f>
        <v/>
      </c>
    </row>
    <row r="13822">
      <c r="G13822" s="16" t="str">
        <f>IFERROR(__xludf.DUMMYFUNCTION("""COMPUTED_VALUE"""),"")</f>
        <v/>
      </c>
    </row>
    <row r="13823">
      <c r="G13823" s="16" t="str">
        <f>IFERROR(__xludf.DUMMYFUNCTION("""COMPUTED_VALUE"""),"")</f>
        <v/>
      </c>
    </row>
    <row r="13824">
      <c r="G13824" s="16" t="str">
        <f>IFERROR(__xludf.DUMMYFUNCTION("""COMPUTED_VALUE"""),"")</f>
        <v/>
      </c>
    </row>
    <row r="13825">
      <c r="G13825" s="16" t="str">
        <f>IFERROR(__xludf.DUMMYFUNCTION("""COMPUTED_VALUE"""),"")</f>
        <v/>
      </c>
    </row>
    <row r="13826">
      <c r="G13826" s="16" t="str">
        <f>IFERROR(__xludf.DUMMYFUNCTION("""COMPUTED_VALUE"""),"")</f>
        <v/>
      </c>
    </row>
    <row r="13827">
      <c r="G13827" s="16" t="str">
        <f>IFERROR(__xludf.DUMMYFUNCTION("""COMPUTED_VALUE"""),"")</f>
        <v/>
      </c>
    </row>
    <row r="13828">
      <c r="G13828" s="16" t="str">
        <f>IFERROR(__xludf.DUMMYFUNCTION("""COMPUTED_VALUE"""),"")</f>
        <v/>
      </c>
    </row>
    <row r="13829">
      <c r="G13829" s="16" t="str">
        <f>IFERROR(__xludf.DUMMYFUNCTION("""COMPUTED_VALUE"""),"")</f>
        <v/>
      </c>
    </row>
    <row r="13830">
      <c r="G13830" s="16" t="str">
        <f>IFERROR(__xludf.DUMMYFUNCTION("""COMPUTED_VALUE"""),"")</f>
        <v/>
      </c>
    </row>
    <row r="13831">
      <c r="G13831" s="16" t="str">
        <f>IFERROR(__xludf.DUMMYFUNCTION("""COMPUTED_VALUE"""),"")</f>
        <v/>
      </c>
    </row>
    <row r="13832">
      <c r="G13832" s="16" t="str">
        <f>IFERROR(__xludf.DUMMYFUNCTION("""COMPUTED_VALUE"""),"")</f>
        <v/>
      </c>
    </row>
    <row r="13833">
      <c r="G13833" s="16" t="str">
        <f>IFERROR(__xludf.DUMMYFUNCTION("""COMPUTED_VALUE"""),"")</f>
        <v/>
      </c>
    </row>
    <row r="13834">
      <c r="G13834" s="16" t="str">
        <f>IFERROR(__xludf.DUMMYFUNCTION("""COMPUTED_VALUE"""),"")</f>
        <v/>
      </c>
    </row>
    <row r="13835">
      <c r="G13835" s="16" t="str">
        <f>IFERROR(__xludf.DUMMYFUNCTION("""COMPUTED_VALUE"""),"")</f>
        <v/>
      </c>
    </row>
    <row r="13836">
      <c r="G13836" s="16" t="str">
        <f>IFERROR(__xludf.DUMMYFUNCTION("""COMPUTED_VALUE"""),"")</f>
        <v/>
      </c>
    </row>
    <row r="13837">
      <c r="G13837" s="16" t="str">
        <f>IFERROR(__xludf.DUMMYFUNCTION("""COMPUTED_VALUE"""),"")</f>
        <v/>
      </c>
    </row>
    <row r="13838">
      <c r="G13838" s="16" t="str">
        <f>IFERROR(__xludf.DUMMYFUNCTION("""COMPUTED_VALUE"""),"")</f>
        <v/>
      </c>
    </row>
    <row r="13839">
      <c r="G13839" s="16" t="str">
        <f>IFERROR(__xludf.DUMMYFUNCTION("""COMPUTED_VALUE"""),"")</f>
        <v/>
      </c>
    </row>
    <row r="13840">
      <c r="G13840" s="16" t="str">
        <f>IFERROR(__xludf.DUMMYFUNCTION("""COMPUTED_VALUE"""),"")</f>
        <v/>
      </c>
    </row>
    <row r="13841">
      <c r="G13841" s="16" t="str">
        <f>IFERROR(__xludf.DUMMYFUNCTION("""COMPUTED_VALUE"""),"")</f>
        <v/>
      </c>
    </row>
    <row r="13842">
      <c r="G13842" s="16" t="str">
        <f>IFERROR(__xludf.DUMMYFUNCTION("""COMPUTED_VALUE"""),"")</f>
        <v/>
      </c>
    </row>
    <row r="13843">
      <c r="G13843" s="16" t="str">
        <f>IFERROR(__xludf.DUMMYFUNCTION("""COMPUTED_VALUE"""),"")</f>
        <v/>
      </c>
    </row>
    <row r="13844">
      <c r="G13844" s="16" t="str">
        <f>IFERROR(__xludf.DUMMYFUNCTION("""COMPUTED_VALUE"""),"")</f>
        <v/>
      </c>
    </row>
    <row r="13845">
      <c r="G13845" s="16" t="str">
        <f>IFERROR(__xludf.DUMMYFUNCTION("""COMPUTED_VALUE"""),"")</f>
        <v/>
      </c>
    </row>
    <row r="13846">
      <c r="G13846" s="16" t="str">
        <f>IFERROR(__xludf.DUMMYFUNCTION("""COMPUTED_VALUE"""),"")</f>
        <v/>
      </c>
    </row>
    <row r="13847">
      <c r="G13847" s="16" t="str">
        <f>IFERROR(__xludf.DUMMYFUNCTION("""COMPUTED_VALUE"""),"")</f>
        <v/>
      </c>
    </row>
    <row r="13848">
      <c r="G13848" s="16" t="str">
        <f>IFERROR(__xludf.DUMMYFUNCTION("""COMPUTED_VALUE"""),"")</f>
        <v/>
      </c>
    </row>
    <row r="13849">
      <c r="G13849" s="16" t="str">
        <f>IFERROR(__xludf.DUMMYFUNCTION("""COMPUTED_VALUE"""),"")</f>
        <v/>
      </c>
    </row>
    <row r="13850">
      <c r="G13850" s="16" t="str">
        <f>IFERROR(__xludf.DUMMYFUNCTION("""COMPUTED_VALUE"""),"")</f>
        <v/>
      </c>
    </row>
    <row r="13851">
      <c r="G13851" s="16" t="str">
        <f>IFERROR(__xludf.DUMMYFUNCTION("""COMPUTED_VALUE"""),"")</f>
        <v/>
      </c>
    </row>
    <row r="13852">
      <c r="G13852" s="16" t="str">
        <f>IFERROR(__xludf.DUMMYFUNCTION("""COMPUTED_VALUE"""),"")</f>
        <v/>
      </c>
    </row>
    <row r="13853">
      <c r="G13853" s="16" t="str">
        <f>IFERROR(__xludf.DUMMYFUNCTION("""COMPUTED_VALUE"""),"")</f>
        <v/>
      </c>
    </row>
    <row r="13854">
      <c r="G13854" s="16" t="str">
        <f>IFERROR(__xludf.DUMMYFUNCTION("""COMPUTED_VALUE"""),"")</f>
        <v/>
      </c>
    </row>
    <row r="13855">
      <c r="G13855" s="16" t="str">
        <f>IFERROR(__xludf.DUMMYFUNCTION("""COMPUTED_VALUE"""),"")</f>
        <v/>
      </c>
    </row>
    <row r="13856">
      <c r="G13856" s="16" t="str">
        <f>IFERROR(__xludf.DUMMYFUNCTION("""COMPUTED_VALUE"""),"")</f>
        <v/>
      </c>
    </row>
    <row r="13857">
      <c r="G13857" s="16" t="str">
        <f>IFERROR(__xludf.DUMMYFUNCTION("""COMPUTED_VALUE"""),"")</f>
        <v/>
      </c>
    </row>
    <row r="13858">
      <c r="G13858" s="16" t="str">
        <f>IFERROR(__xludf.DUMMYFUNCTION("""COMPUTED_VALUE"""),"")</f>
        <v/>
      </c>
    </row>
    <row r="13859">
      <c r="G13859" s="16" t="str">
        <f>IFERROR(__xludf.DUMMYFUNCTION("""COMPUTED_VALUE"""),"")</f>
        <v/>
      </c>
    </row>
    <row r="13860">
      <c r="G13860" s="16" t="str">
        <f>IFERROR(__xludf.DUMMYFUNCTION("""COMPUTED_VALUE"""),"")</f>
        <v/>
      </c>
    </row>
    <row r="13861">
      <c r="G13861" s="16" t="str">
        <f>IFERROR(__xludf.DUMMYFUNCTION("""COMPUTED_VALUE"""),"")</f>
        <v/>
      </c>
    </row>
    <row r="13862">
      <c r="G13862" s="16" t="str">
        <f>IFERROR(__xludf.DUMMYFUNCTION("""COMPUTED_VALUE"""),"")</f>
        <v/>
      </c>
    </row>
    <row r="13863">
      <c r="G13863" s="16" t="str">
        <f>IFERROR(__xludf.DUMMYFUNCTION("""COMPUTED_VALUE"""),"")</f>
        <v/>
      </c>
    </row>
    <row r="13864">
      <c r="G13864" s="16" t="str">
        <f>IFERROR(__xludf.DUMMYFUNCTION("""COMPUTED_VALUE"""),"")</f>
        <v/>
      </c>
    </row>
    <row r="13865">
      <c r="G13865" s="16" t="str">
        <f>IFERROR(__xludf.DUMMYFUNCTION("""COMPUTED_VALUE"""),"")</f>
        <v/>
      </c>
    </row>
    <row r="13866">
      <c r="G13866" s="16" t="str">
        <f>IFERROR(__xludf.DUMMYFUNCTION("""COMPUTED_VALUE"""),"")</f>
        <v/>
      </c>
    </row>
    <row r="13867">
      <c r="G13867" s="16" t="str">
        <f>IFERROR(__xludf.DUMMYFUNCTION("""COMPUTED_VALUE"""),"")</f>
        <v/>
      </c>
    </row>
    <row r="13868">
      <c r="G13868" s="16" t="str">
        <f>IFERROR(__xludf.DUMMYFUNCTION("""COMPUTED_VALUE"""),"")</f>
        <v/>
      </c>
    </row>
    <row r="13869">
      <c r="G13869" s="16" t="str">
        <f>IFERROR(__xludf.DUMMYFUNCTION("""COMPUTED_VALUE"""),"")</f>
        <v/>
      </c>
    </row>
    <row r="13870">
      <c r="G13870" s="16" t="str">
        <f>IFERROR(__xludf.DUMMYFUNCTION("""COMPUTED_VALUE"""),"")</f>
        <v/>
      </c>
    </row>
    <row r="13871">
      <c r="G13871" s="16" t="str">
        <f>IFERROR(__xludf.DUMMYFUNCTION("""COMPUTED_VALUE"""),"")</f>
        <v/>
      </c>
    </row>
    <row r="13872">
      <c r="G13872" s="16" t="str">
        <f>IFERROR(__xludf.DUMMYFUNCTION("""COMPUTED_VALUE"""),"")</f>
        <v/>
      </c>
    </row>
    <row r="13873">
      <c r="G13873" s="16" t="str">
        <f>IFERROR(__xludf.DUMMYFUNCTION("""COMPUTED_VALUE"""),"")</f>
        <v/>
      </c>
    </row>
    <row r="13874">
      <c r="G13874" s="16" t="str">
        <f>IFERROR(__xludf.DUMMYFUNCTION("""COMPUTED_VALUE"""),"")</f>
        <v/>
      </c>
    </row>
    <row r="13875">
      <c r="G13875" s="16" t="str">
        <f>IFERROR(__xludf.DUMMYFUNCTION("""COMPUTED_VALUE"""),"")</f>
        <v/>
      </c>
    </row>
    <row r="13876">
      <c r="G13876" s="16" t="str">
        <f>IFERROR(__xludf.DUMMYFUNCTION("""COMPUTED_VALUE"""),"")</f>
        <v/>
      </c>
    </row>
    <row r="13877">
      <c r="G13877" s="16" t="str">
        <f>IFERROR(__xludf.DUMMYFUNCTION("""COMPUTED_VALUE"""),"")</f>
        <v/>
      </c>
    </row>
    <row r="13878">
      <c r="G13878" s="16" t="str">
        <f>IFERROR(__xludf.DUMMYFUNCTION("""COMPUTED_VALUE"""),"")</f>
        <v/>
      </c>
    </row>
    <row r="13879">
      <c r="G13879" s="16" t="str">
        <f>IFERROR(__xludf.DUMMYFUNCTION("""COMPUTED_VALUE"""),"")</f>
        <v/>
      </c>
    </row>
    <row r="13880">
      <c r="G13880" s="16" t="str">
        <f>IFERROR(__xludf.DUMMYFUNCTION("""COMPUTED_VALUE"""),"")</f>
        <v/>
      </c>
    </row>
    <row r="13881">
      <c r="G13881" s="16" t="str">
        <f>IFERROR(__xludf.DUMMYFUNCTION("""COMPUTED_VALUE"""),"")</f>
        <v/>
      </c>
    </row>
    <row r="13882">
      <c r="G13882" s="16" t="str">
        <f>IFERROR(__xludf.DUMMYFUNCTION("""COMPUTED_VALUE"""),"")</f>
        <v/>
      </c>
    </row>
    <row r="13883">
      <c r="G13883" s="16" t="str">
        <f>IFERROR(__xludf.DUMMYFUNCTION("""COMPUTED_VALUE"""),"")</f>
        <v/>
      </c>
    </row>
    <row r="13884">
      <c r="G13884" s="16" t="str">
        <f>IFERROR(__xludf.DUMMYFUNCTION("""COMPUTED_VALUE"""),"")</f>
        <v/>
      </c>
    </row>
    <row r="13885">
      <c r="G13885" s="16" t="str">
        <f>IFERROR(__xludf.DUMMYFUNCTION("""COMPUTED_VALUE"""),"")</f>
        <v/>
      </c>
    </row>
    <row r="13886">
      <c r="G13886" s="16" t="str">
        <f>IFERROR(__xludf.DUMMYFUNCTION("""COMPUTED_VALUE"""),"")</f>
        <v/>
      </c>
    </row>
    <row r="13887">
      <c r="G13887" s="16" t="str">
        <f>IFERROR(__xludf.DUMMYFUNCTION("""COMPUTED_VALUE"""),"")</f>
        <v/>
      </c>
    </row>
    <row r="13888">
      <c r="G13888" s="16" t="str">
        <f>IFERROR(__xludf.DUMMYFUNCTION("""COMPUTED_VALUE"""),"")</f>
        <v/>
      </c>
    </row>
    <row r="13889">
      <c r="G13889" s="16" t="str">
        <f>IFERROR(__xludf.DUMMYFUNCTION("""COMPUTED_VALUE"""),"")</f>
        <v/>
      </c>
    </row>
    <row r="13890">
      <c r="G13890" s="16" t="str">
        <f>IFERROR(__xludf.DUMMYFUNCTION("""COMPUTED_VALUE"""),"")</f>
        <v/>
      </c>
    </row>
    <row r="13891">
      <c r="G13891" s="16" t="str">
        <f>IFERROR(__xludf.DUMMYFUNCTION("""COMPUTED_VALUE"""),"")</f>
        <v/>
      </c>
    </row>
    <row r="13892">
      <c r="G13892" s="16" t="str">
        <f>IFERROR(__xludf.DUMMYFUNCTION("""COMPUTED_VALUE"""),"")</f>
        <v/>
      </c>
    </row>
    <row r="13893">
      <c r="G13893" s="16" t="str">
        <f>IFERROR(__xludf.DUMMYFUNCTION("""COMPUTED_VALUE"""),"")</f>
        <v/>
      </c>
    </row>
    <row r="13894">
      <c r="G13894" s="16" t="str">
        <f>IFERROR(__xludf.DUMMYFUNCTION("""COMPUTED_VALUE"""),"")</f>
        <v/>
      </c>
    </row>
    <row r="13895">
      <c r="G13895" s="16" t="str">
        <f>IFERROR(__xludf.DUMMYFUNCTION("""COMPUTED_VALUE"""),"")</f>
        <v/>
      </c>
    </row>
    <row r="13896">
      <c r="G13896" s="16" t="str">
        <f>IFERROR(__xludf.DUMMYFUNCTION("""COMPUTED_VALUE"""),"")</f>
        <v/>
      </c>
    </row>
    <row r="13897">
      <c r="G13897" s="16" t="str">
        <f>IFERROR(__xludf.DUMMYFUNCTION("""COMPUTED_VALUE"""),"")</f>
        <v/>
      </c>
    </row>
    <row r="13898">
      <c r="G13898" s="16" t="str">
        <f>IFERROR(__xludf.DUMMYFUNCTION("""COMPUTED_VALUE"""),"")</f>
        <v/>
      </c>
    </row>
    <row r="13899">
      <c r="G13899" s="16" t="str">
        <f>IFERROR(__xludf.DUMMYFUNCTION("""COMPUTED_VALUE"""),"")</f>
        <v/>
      </c>
    </row>
    <row r="13900">
      <c r="G13900" s="16" t="str">
        <f>IFERROR(__xludf.DUMMYFUNCTION("""COMPUTED_VALUE"""),"")</f>
        <v/>
      </c>
    </row>
    <row r="13901">
      <c r="G13901" s="16" t="str">
        <f>IFERROR(__xludf.DUMMYFUNCTION("""COMPUTED_VALUE"""),"")</f>
        <v/>
      </c>
    </row>
    <row r="13902">
      <c r="G13902" s="16" t="str">
        <f>IFERROR(__xludf.DUMMYFUNCTION("""COMPUTED_VALUE"""),"")</f>
        <v/>
      </c>
    </row>
    <row r="13903">
      <c r="G13903" s="16" t="str">
        <f>IFERROR(__xludf.DUMMYFUNCTION("""COMPUTED_VALUE"""),"")</f>
        <v/>
      </c>
    </row>
    <row r="13904">
      <c r="G13904" s="16" t="str">
        <f>IFERROR(__xludf.DUMMYFUNCTION("""COMPUTED_VALUE"""),"")</f>
        <v/>
      </c>
    </row>
    <row r="13905">
      <c r="G13905" s="16" t="str">
        <f>IFERROR(__xludf.DUMMYFUNCTION("""COMPUTED_VALUE"""),"")</f>
        <v/>
      </c>
    </row>
    <row r="13906">
      <c r="G13906" s="16" t="str">
        <f>IFERROR(__xludf.DUMMYFUNCTION("""COMPUTED_VALUE"""),"")</f>
        <v/>
      </c>
    </row>
    <row r="13907">
      <c r="G13907" s="16" t="str">
        <f>IFERROR(__xludf.DUMMYFUNCTION("""COMPUTED_VALUE"""),"")</f>
        <v/>
      </c>
    </row>
    <row r="13908">
      <c r="G13908" s="16" t="str">
        <f>IFERROR(__xludf.DUMMYFUNCTION("""COMPUTED_VALUE"""),"")</f>
        <v/>
      </c>
    </row>
    <row r="13909">
      <c r="G13909" s="16" t="str">
        <f>IFERROR(__xludf.DUMMYFUNCTION("""COMPUTED_VALUE"""),"")</f>
        <v/>
      </c>
    </row>
    <row r="13910">
      <c r="G13910" s="16" t="str">
        <f>IFERROR(__xludf.DUMMYFUNCTION("""COMPUTED_VALUE"""),"")</f>
        <v/>
      </c>
    </row>
    <row r="13911">
      <c r="G13911" s="16" t="str">
        <f>IFERROR(__xludf.DUMMYFUNCTION("""COMPUTED_VALUE"""),"")</f>
        <v/>
      </c>
    </row>
    <row r="13912">
      <c r="G13912" s="16" t="str">
        <f>IFERROR(__xludf.DUMMYFUNCTION("""COMPUTED_VALUE"""),"")</f>
        <v/>
      </c>
    </row>
    <row r="13913">
      <c r="G13913" s="16" t="str">
        <f>IFERROR(__xludf.DUMMYFUNCTION("""COMPUTED_VALUE"""),"")</f>
        <v/>
      </c>
    </row>
    <row r="13914">
      <c r="G13914" s="16" t="str">
        <f>IFERROR(__xludf.DUMMYFUNCTION("""COMPUTED_VALUE"""),"")</f>
        <v/>
      </c>
    </row>
    <row r="13915">
      <c r="G13915" s="16" t="str">
        <f>IFERROR(__xludf.DUMMYFUNCTION("""COMPUTED_VALUE"""),"")</f>
        <v/>
      </c>
    </row>
    <row r="13916">
      <c r="G13916" s="16" t="str">
        <f>IFERROR(__xludf.DUMMYFUNCTION("""COMPUTED_VALUE"""),"")</f>
        <v/>
      </c>
    </row>
    <row r="13917">
      <c r="G13917" s="16" t="str">
        <f>IFERROR(__xludf.DUMMYFUNCTION("""COMPUTED_VALUE"""),"")</f>
        <v/>
      </c>
    </row>
    <row r="13918">
      <c r="G13918" s="16" t="str">
        <f>IFERROR(__xludf.DUMMYFUNCTION("""COMPUTED_VALUE"""),"")</f>
        <v/>
      </c>
    </row>
    <row r="13919">
      <c r="G13919" s="16" t="str">
        <f>IFERROR(__xludf.DUMMYFUNCTION("""COMPUTED_VALUE"""),"")</f>
        <v/>
      </c>
    </row>
    <row r="13920">
      <c r="G13920" s="16" t="str">
        <f>IFERROR(__xludf.DUMMYFUNCTION("""COMPUTED_VALUE"""),"")</f>
        <v/>
      </c>
    </row>
    <row r="13921">
      <c r="G13921" s="16" t="str">
        <f>IFERROR(__xludf.DUMMYFUNCTION("""COMPUTED_VALUE"""),"")</f>
        <v/>
      </c>
    </row>
    <row r="13922">
      <c r="G13922" s="16" t="str">
        <f>IFERROR(__xludf.DUMMYFUNCTION("""COMPUTED_VALUE"""),"")</f>
        <v/>
      </c>
    </row>
    <row r="13923">
      <c r="G13923" s="16" t="str">
        <f>IFERROR(__xludf.DUMMYFUNCTION("""COMPUTED_VALUE"""),"")</f>
        <v/>
      </c>
    </row>
    <row r="13924">
      <c r="G13924" s="16" t="str">
        <f>IFERROR(__xludf.DUMMYFUNCTION("""COMPUTED_VALUE"""),"")</f>
        <v/>
      </c>
    </row>
    <row r="13925">
      <c r="G13925" s="16" t="str">
        <f>IFERROR(__xludf.DUMMYFUNCTION("""COMPUTED_VALUE"""),"")</f>
        <v/>
      </c>
    </row>
    <row r="13926">
      <c r="G13926" s="16" t="str">
        <f>IFERROR(__xludf.DUMMYFUNCTION("""COMPUTED_VALUE"""),"")</f>
        <v/>
      </c>
    </row>
    <row r="13927">
      <c r="G13927" s="16" t="str">
        <f>IFERROR(__xludf.DUMMYFUNCTION("""COMPUTED_VALUE"""),"")</f>
        <v/>
      </c>
    </row>
    <row r="13928">
      <c r="G13928" s="16" t="str">
        <f>IFERROR(__xludf.DUMMYFUNCTION("""COMPUTED_VALUE"""),"")</f>
        <v/>
      </c>
    </row>
    <row r="13929">
      <c r="G13929" s="16" t="str">
        <f>IFERROR(__xludf.DUMMYFUNCTION("""COMPUTED_VALUE"""),"")</f>
        <v/>
      </c>
    </row>
    <row r="13930">
      <c r="G13930" s="16" t="str">
        <f>IFERROR(__xludf.DUMMYFUNCTION("""COMPUTED_VALUE"""),"")</f>
        <v/>
      </c>
    </row>
    <row r="13931">
      <c r="G13931" s="16" t="str">
        <f>IFERROR(__xludf.DUMMYFUNCTION("""COMPUTED_VALUE"""),"")</f>
        <v/>
      </c>
    </row>
    <row r="13932">
      <c r="G13932" s="16" t="str">
        <f>IFERROR(__xludf.DUMMYFUNCTION("""COMPUTED_VALUE"""),"")</f>
        <v/>
      </c>
    </row>
    <row r="13933">
      <c r="G13933" s="16" t="str">
        <f>IFERROR(__xludf.DUMMYFUNCTION("""COMPUTED_VALUE"""),"")</f>
        <v/>
      </c>
    </row>
    <row r="13934">
      <c r="G13934" s="16" t="str">
        <f>IFERROR(__xludf.DUMMYFUNCTION("""COMPUTED_VALUE"""),"")</f>
        <v/>
      </c>
    </row>
    <row r="13935">
      <c r="G13935" s="16" t="str">
        <f>IFERROR(__xludf.DUMMYFUNCTION("""COMPUTED_VALUE"""),"")</f>
        <v/>
      </c>
    </row>
    <row r="13936">
      <c r="G13936" s="16" t="str">
        <f>IFERROR(__xludf.DUMMYFUNCTION("""COMPUTED_VALUE"""),"")</f>
        <v/>
      </c>
    </row>
    <row r="13937">
      <c r="G13937" s="16" t="str">
        <f>IFERROR(__xludf.DUMMYFUNCTION("""COMPUTED_VALUE"""),"")</f>
        <v/>
      </c>
    </row>
    <row r="13938">
      <c r="G13938" s="16" t="str">
        <f>IFERROR(__xludf.DUMMYFUNCTION("""COMPUTED_VALUE"""),"")</f>
        <v/>
      </c>
    </row>
    <row r="13939">
      <c r="G13939" s="16" t="str">
        <f>IFERROR(__xludf.DUMMYFUNCTION("""COMPUTED_VALUE"""),"")</f>
        <v/>
      </c>
    </row>
    <row r="13940">
      <c r="G13940" s="16" t="str">
        <f>IFERROR(__xludf.DUMMYFUNCTION("""COMPUTED_VALUE"""),"")</f>
        <v/>
      </c>
    </row>
    <row r="13941">
      <c r="G13941" s="16" t="str">
        <f>IFERROR(__xludf.DUMMYFUNCTION("""COMPUTED_VALUE"""),"")</f>
        <v/>
      </c>
    </row>
    <row r="13942">
      <c r="G13942" s="16" t="str">
        <f>IFERROR(__xludf.DUMMYFUNCTION("""COMPUTED_VALUE"""),"")</f>
        <v/>
      </c>
    </row>
    <row r="13943">
      <c r="G13943" s="16" t="str">
        <f>IFERROR(__xludf.DUMMYFUNCTION("""COMPUTED_VALUE"""),"")</f>
        <v/>
      </c>
    </row>
    <row r="13944">
      <c r="G13944" s="16" t="str">
        <f>IFERROR(__xludf.DUMMYFUNCTION("""COMPUTED_VALUE"""),"")</f>
        <v/>
      </c>
    </row>
    <row r="13945">
      <c r="G13945" s="16" t="str">
        <f>IFERROR(__xludf.DUMMYFUNCTION("""COMPUTED_VALUE"""),"")</f>
        <v/>
      </c>
    </row>
    <row r="13946">
      <c r="G13946" s="16" t="str">
        <f>IFERROR(__xludf.DUMMYFUNCTION("""COMPUTED_VALUE"""),"")</f>
        <v/>
      </c>
    </row>
    <row r="13947">
      <c r="G13947" s="16" t="str">
        <f>IFERROR(__xludf.DUMMYFUNCTION("""COMPUTED_VALUE"""),"")</f>
        <v/>
      </c>
    </row>
    <row r="13948">
      <c r="G13948" s="16" t="str">
        <f>IFERROR(__xludf.DUMMYFUNCTION("""COMPUTED_VALUE"""),"")</f>
        <v/>
      </c>
    </row>
    <row r="13949">
      <c r="G13949" s="16" t="str">
        <f>IFERROR(__xludf.DUMMYFUNCTION("""COMPUTED_VALUE"""),"")</f>
        <v/>
      </c>
    </row>
    <row r="13950">
      <c r="G13950" s="16" t="str">
        <f>IFERROR(__xludf.DUMMYFUNCTION("""COMPUTED_VALUE"""),"")</f>
        <v/>
      </c>
    </row>
    <row r="13951">
      <c r="G13951" s="16" t="str">
        <f>IFERROR(__xludf.DUMMYFUNCTION("""COMPUTED_VALUE"""),"")</f>
        <v/>
      </c>
    </row>
    <row r="13952">
      <c r="G13952" s="16" t="str">
        <f>IFERROR(__xludf.DUMMYFUNCTION("""COMPUTED_VALUE"""),"")</f>
        <v/>
      </c>
    </row>
    <row r="13953">
      <c r="G13953" s="16" t="str">
        <f>IFERROR(__xludf.DUMMYFUNCTION("""COMPUTED_VALUE"""),"")</f>
        <v/>
      </c>
    </row>
    <row r="13954">
      <c r="G13954" s="16" t="str">
        <f>IFERROR(__xludf.DUMMYFUNCTION("""COMPUTED_VALUE"""),"")</f>
        <v/>
      </c>
    </row>
    <row r="13955">
      <c r="G13955" s="16" t="str">
        <f>IFERROR(__xludf.DUMMYFUNCTION("""COMPUTED_VALUE"""),"")</f>
        <v/>
      </c>
    </row>
    <row r="13956">
      <c r="G13956" s="16" t="str">
        <f>IFERROR(__xludf.DUMMYFUNCTION("""COMPUTED_VALUE"""),"")</f>
        <v/>
      </c>
    </row>
    <row r="13957">
      <c r="G13957" s="16" t="str">
        <f>IFERROR(__xludf.DUMMYFUNCTION("""COMPUTED_VALUE"""),"")</f>
        <v/>
      </c>
    </row>
    <row r="13958">
      <c r="G13958" s="16" t="str">
        <f>IFERROR(__xludf.DUMMYFUNCTION("""COMPUTED_VALUE"""),"")</f>
        <v/>
      </c>
    </row>
    <row r="13959">
      <c r="G13959" s="16" t="str">
        <f>IFERROR(__xludf.DUMMYFUNCTION("""COMPUTED_VALUE"""),"")</f>
        <v/>
      </c>
    </row>
    <row r="13960">
      <c r="G13960" s="16" t="str">
        <f>IFERROR(__xludf.DUMMYFUNCTION("""COMPUTED_VALUE"""),"")</f>
        <v/>
      </c>
    </row>
    <row r="13961">
      <c r="G13961" s="16" t="str">
        <f>IFERROR(__xludf.DUMMYFUNCTION("""COMPUTED_VALUE"""),"")</f>
        <v/>
      </c>
    </row>
    <row r="13962">
      <c r="G13962" s="16" t="str">
        <f>IFERROR(__xludf.DUMMYFUNCTION("""COMPUTED_VALUE"""),"")</f>
        <v/>
      </c>
    </row>
    <row r="13963">
      <c r="G13963" s="16" t="str">
        <f>IFERROR(__xludf.DUMMYFUNCTION("""COMPUTED_VALUE"""),"")</f>
        <v/>
      </c>
    </row>
    <row r="13964">
      <c r="G13964" s="16" t="str">
        <f>IFERROR(__xludf.DUMMYFUNCTION("""COMPUTED_VALUE"""),"")</f>
        <v/>
      </c>
    </row>
    <row r="13965">
      <c r="G13965" s="16" t="str">
        <f>IFERROR(__xludf.DUMMYFUNCTION("""COMPUTED_VALUE"""),"")</f>
        <v/>
      </c>
    </row>
    <row r="13966">
      <c r="G13966" s="16" t="str">
        <f>IFERROR(__xludf.DUMMYFUNCTION("""COMPUTED_VALUE"""),"")</f>
        <v/>
      </c>
    </row>
    <row r="13967">
      <c r="G13967" s="16" t="str">
        <f>IFERROR(__xludf.DUMMYFUNCTION("""COMPUTED_VALUE"""),"")</f>
        <v/>
      </c>
    </row>
    <row r="13968">
      <c r="G13968" s="16" t="str">
        <f>IFERROR(__xludf.DUMMYFUNCTION("""COMPUTED_VALUE"""),"")</f>
        <v/>
      </c>
    </row>
    <row r="13969">
      <c r="G13969" s="16" t="str">
        <f>IFERROR(__xludf.DUMMYFUNCTION("""COMPUTED_VALUE"""),"")</f>
        <v/>
      </c>
    </row>
    <row r="13970">
      <c r="G13970" s="16" t="str">
        <f>IFERROR(__xludf.DUMMYFUNCTION("""COMPUTED_VALUE"""),"")</f>
        <v/>
      </c>
    </row>
    <row r="13971">
      <c r="G13971" s="16" t="str">
        <f>IFERROR(__xludf.DUMMYFUNCTION("""COMPUTED_VALUE"""),"")</f>
        <v/>
      </c>
    </row>
    <row r="13972">
      <c r="G13972" s="16" t="str">
        <f>IFERROR(__xludf.DUMMYFUNCTION("""COMPUTED_VALUE"""),"")</f>
        <v/>
      </c>
    </row>
    <row r="13973">
      <c r="G13973" s="16" t="str">
        <f>IFERROR(__xludf.DUMMYFUNCTION("""COMPUTED_VALUE"""),"")</f>
        <v/>
      </c>
    </row>
    <row r="13974">
      <c r="G13974" s="16" t="str">
        <f>IFERROR(__xludf.DUMMYFUNCTION("""COMPUTED_VALUE"""),"")</f>
        <v/>
      </c>
    </row>
    <row r="13975">
      <c r="G13975" s="16" t="str">
        <f>IFERROR(__xludf.DUMMYFUNCTION("""COMPUTED_VALUE"""),"")</f>
        <v/>
      </c>
    </row>
    <row r="13976">
      <c r="G13976" s="16" t="str">
        <f>IFERROR(__xludf.DUMMYFUNCTION("""COMPUTED_VALUE"""),"")</f>
        <v/>
      </c>
    </row>
    <row r="13977">
      <c r="G13977" s="16" t="str">
        <f>IFERROR(__xludf.DUMMYFUNCTION("""COMPUTED_VALUE"""),"")</f>
        <v/>
      </c>
    </row>
    <row r="13978">
      <c r="G13978" s="16" t="str">
        <f>IFERROR(__xludf.DUMMYFUNCTION("""COMPUTED_VALUE"""),"")</f>
        <v/>
      </c>
    </row>
    <row r="13979">
      <c r="G13979" s="16" t="str">
        <f>IFERROR(__xludf.DUMMYFUNCTION("""COMPUTED_VALUE"""),"")</f>
        <v/>
      </c>
    </row>
    <row r="13980">
      <c r="G13980" s="16" t="str">
        <f>IFERROR(__xludf.DUMMYFUNCTION("""COMPUTED_VALUE"""),"")</f>
        <v/>
      </c>
    </row>
    <row r="13981">
      <c r="G13981" s="16" t="str">
        <f>IFERROR(__xludf.DUMMYFUNCTION("""COMPUTED_VALUE"""),"")</f>
        <v/>
      </c>
    </row>
    <row r="13982">
      <c r="G13982" s="16" t="str">
        <f>IFERROR(__xludf.DUMMYFUNCTION("""COMPUTED_VALUE"""),"")</f>
        <v/>
      </c>
    </row>
    <row r="13983">
      <c r="G13983" s="16" t="str">
        <f>IFERROR(__xludf.DUMMYFUNCTION("""COMPUTED_VALUE"""),"")</f>
        <v/>
      </c>
    </row>
    <row r="13984">
      <c r="G13984" s="16" t="str">
        <f>IFERROR(__xludf.DUMMYFUNCTION("""COMPUTED_VALUE"""),"")</f>
        <v/>
      </c>
    </row>
    <row r="13985">
      <c r="G13985" s="16" t="str">
        <f>IFERROR(__xludf.DUMMYFUNCTION("""COMPUTED_VALUE"""),"")</f>
        <v/>
      </c>
    </row>
    <row r="13986">
      <c r="G13986" s="16" t="str">
        <f>IFERROR(__xludf.DUMMYFUNCTION("""COMPUTED_VALUE"""),"")</f>
        <v/>
      </c>
    </row>
    <row r="13987">
      <c r="G13987" s="16" t="str">
        <f>IFERROR(__xludf.DUMMYFUNCTION("""COMPUTED_VALUE"""),"")</f>
        <v/>
      </c>
    </row>
    <row r="13988">
      <c r="G13988" s="16" t="str">
        <f>IFERROR(__xludf.DUMMYFUNCTION("""COMPUTED_VALUE"""),"")</f>
        <v/>
      </c>
    </row>
    <row r="13989">
      <c r="G13989" s="16" t="str">
        <f>IFERROR(__xludf.DUMMYFUNCTION("""COMPUTED_VALUE"""),"")</f>
        <v/>
      </c>
    </row>
    <row r="13990">
      <c r="G13990" s="16" t="str">
        <f>IFERROR(__xludf.DUMMYFUNCTION("""COMPUTED_VALUE"""),"")</f>
        <v/>
      </c>
    </row>
    <row r="13991">
      <c r="G13991" s="16" t="str">
        <f>IFERROR(__xludf.DUMMYFUNCTION("""COMPUTED_VALUE"""),"")</f>
        <v/>
      </c>
    </row>
    <row r="13992">
      <c r="G13992" s="16" t="str">
        <f>IFERROR(__xludf.DUMMYFUNCTION("""COMPUTED_VALUE"""),"")</f>
        <v/>
      </c>
    </row>
    <row r="13993">
      <c r="G13993" s="16" t="str">
        <f>IFERROR(__xludf.DUMMYFUNCTION("""COMPUTED_VALUE"""),"")</f>
        <v/>
      </c>
    </row>
    <row r="13994">
      <c r="G13994" s="16" t="str">
        <f>IFERROR(__xludf.DUMMYFUNCTION("""COMPUTED_VALUE"""),"")</f>
        <v/>
      </c>
    </row>
    <row r="13995">
      <c r="G13995" s="16" t="str">
        <f>IFERROR(__xludf.DUMMYFUNCTION("""COMPUTED_VALUE"""),"")</f>
        <v/>
      </c>
    </row>
    <row r="13996">
      <c r="G13996" s="16" t="str">
        <f>IFERROR(__xludf.DUMMYFUNCTION("""COMPUTED_VALUE"""),"")</f>
        <v/>
      </c>
    </row>
    <row r="13997">
      <c r="G13997" s="16" t="str">
        <f>IFERROR(__xludf.DUMMYFUNCTION("""COMPUTED_VALUE"""),"")</f>
        <v/>
      </c>
    </row>
    <row r="13998">
      <c r="G13998" s="16" t="str">
        <f>IFERROR(__xludf.DUMMYFUNCTION("""COMPUTED_VALUE"""),"")</f>
        <v/>
      </c>
    </row>
    <row r="13999">
      <c r="G13999" s="16" t="str">
        <f>IFERROR(__xludf.DUMMYFUNCTION("""COMPUTED_VALUE"""),"")</f>
        <v/>
      </c>
    </row>
    <row r="14000">
      <c r="G14000" s="16" t="str">
        <f>IFERROR(__xludf.DUMMYFUNCTION("""COMPUTED_VALUE"""),"")</f>
        <v/>
      </c>
    </row>
    <row r="14001">
      <c r="G14001" s="16" t="str">
        <f>IFERROR(__xludf.DUMMYFUNCTION("""COMPUTED_VALUE"""),"")</f>
        <v/>
      </c>
    </row>
    <row r="14002">
      <c r="G14002" s="16" t="str">
        <f>IFERROR(__xludf.DUMMYFUNCTION("""COMPUTED_VALUE"""),"")</f>
        <v/>
      </c>
    </row>
    <row r="14003">
      <c r="G14003" s="16" t="str">
        <f>IFERROR(__xludf.DUMMYFUNCTION("""COMPUTED_VALUE"""),"")</f>
        <v/>
      </c>
    </row>
    <row r="14004">
      <c r="G14004" s="16" t="str">
        <f>IFERROR(__xludf.DUMMYFUNCTION("""COMPUTED_VALUE"""),"")</f>
        <v/>
      </c>
    </row>
    <row r="14005">
      <c r="G14005" s="16" t="str">
        <f>IFERROR(__xludf.DUMMYFUNCTION("""COMPUTED_VALUE"""),"")</f>
        <v/>
      </c>
    </row>
    <row r="14006">
      <c r="G14006" s="16" t="str">
        <f>IFERROR(__xludf.DUMMYFUNCTION("""COMPUTED_VALUE"""),"")</f>
        <v/>
      </c>
    </row>
    <row r="14007">
      <c r="G14007" s="16" t="str">
        <f>IFERROR(__xludf.DUMMYFUNCTION("""COMPUTED_VALUE"""),"")</f>
        <v/>
      </c>
    </row>
    <row r="14008">
      <c r="G14008" s="16" t="str">
        <f>IFERROR(__xludf.DUMMYFUNCTION("""COMPUTED_VALUE"""),"")</f>
        <v/>
      </c>
    </row>
    <row r="14009">
      <c r="G14009" s="16" t="str">
        <f>IFERROR(__xludf.DUMMYFUNCTION("""COMPUTED_VALUE"""),"")</f>
        <v/>
      </c>
    </row>
    <row r="14010">
      <c r="G14010" s="16" t="str">
        <f>IFERROR(__xludf.DUMMYFUNCTION("""COMPUTED_VALUE"""),"")</f>
        <v/>
      </c>
    </row>
    <row r="14011">
      <c r="G14011" s="16" t="str">
        <f>IFERROR(__xludf.DUMMYFUNCTION("""COMPUTED_VALUE"""),"")</f>
        <v/>
      </c>
    </row>
    <row r="14012">
      <c r="G14012" s="16" t="str">
        <f>IFERROR(__xludf.DUMMYFUNCTION("""COMPUTED_VALUE"""),"")</f>
        <v/>
      </c>
    </row>
    <row r="14013">
      <c r="G14013" s="16" t="str">
        <f>IFERROR(__xludf.DUMMYFUNCTION("""COMPUTED_VALUE"""),"")</f>
        <v/>
      </c>
    </row>
    <row r="14014">
      <c r="G14014" s="16" t="str">
        <f>IFERROR(__xludf.DUMMYFUNCTION("""COMPUTED_VALUE"""),"")</f>
        <v/>
      </c>
    </row>
    <row r="14015">
      <c r="G14015" s="16" t="str">
        <f>IFERROR(__xludf.DUMMYFUNCTION("""COMPUTED_VALUE"""),"")</f>
        <v/>
      </c>
    </row>
    <row r="14016">
      <c r="G14016" s="16" t="str">
        <f>IFERROR(__xludf.DUMMYFUNCTION("""COMPUTED_VALUE"""),"")</f>
        <v/>
      </c>
    </row>
    <row r="14017">
      <c r="G14017" s="16" t="str">
        <f>IFERROR(__xludf.DUMMYFUNCTION("""COMPUTED_VALUE"""),"")</f>
        <v/>
      </c>
    </row>
    <row r="14018">
      <c r="G14018" s="16" t="str">
        <f>IFERROR(__xludf.DUMMYFUNCTION("""COMPUTED_VALUE"""),"")</f>
        <v/>
      </c>
    </row>
    <row r="14019">
      <c r="G14019" s="16" t="str">
        <f>IFERROR(__xludf.DUMMYFUNCTION("""COMPUTED_VALUE"""),"")</f>
        <v/>
      </c>
    </row>
    <row r="14020">
      <c r="G14020" s="16" t="str">
        <f>IFERROR(__xludf.DUMMYFUNCTION("""COMPUTED_VALUE"""),"")</f>
        <v/>
      </c>
    </row>
    <row r="14021">
      <c r="G14021" s="16" t="str">
        <f>IFERROR(__xludf.DUMMYFUNCTION("""COMPUTED_VALUE"""),"")</f>
        <v/>
      </c>
    </row>
    <row r="14022">
      <c r="G14022" s="16" t="str">
        <f>IFERROR(__xludf.DUMMYFUNCTION("""COMPUTED_VALUE"""),"")</f>
        <v/>
      </c>
    </row>
    <row r="14023">
      <c r="G14023" s="16" t="str">
        <f>IFERROR(__xludf.DUMMYFUNCTION("""COMPUTED_VALUE"""),"")</f>
        <v/>
      </c>
    </row>
    <row r="14024">
      <c r="G14024" s="16" t="str">
        <f>IFERROR(__xludf.DUMMYFUNCTION("""COMPUTED_VALUE"""),"")</f>
        <v/>
      </c>
    </row>
    <row r="14025">
      <c r="G14025" s="16" t="str">
        <f>IFERROR(__xludf.DUMMYFUNCTION("""COMPUTED_VALUE"""),"")</f>
        <v/>
      </c>
    </row>
    <row r="14026">
      <c r="G14026" s="16" t="str">
        <f>IFERROR(__xludf.DUMMYFUNCTION("""COMPUTED_VALUE"""),"")</f>
        <v/>
      </c>
    </row>
    <row r="14027">
      <c r="G14027" s="16" t="str">
        <f>IFERROR(__xludf.DUMMYFUNCTION("""COMPUTED_VALUE"""),"")</f>
        <v/>
      </c>
    </row>
    <row r="14028">
      <c r="G14028" s="16" t="str">
        <f>IFERROR(__xludf.DUMMYFUNCTION("""COMPUTED_VALUE"""),"")</f>
        <v/>
      </c>
    </row>
    <row r="14029">
      <c r="G14029" s="16" t="str">
        <f>IFERROR(__xludf.DUMMYFUNCTION("""COMPUTED_VALUE"""),"")</f>
        <v/>
      </c>
    </row>
    <row r="14030">
      <c r="G14030" s="16" t="str">
        <f>IFERROR(__xludf.DUMMYFUNCTION("""COMPUTED_VALUE"""),"")</f>
        <v/>
      </c>
    </row>
    <row r="14031">
      <c r="G14031" s="16" t="str">
        <f>IFERROR(__xludf.DUMMYFUNCTION("""COMPUTED_VALUE"""),"")</f>
        <v/>
      </c>
    </row>
    <row r="14032">
      <c r="G14032" s="16" t="str">
        <f>IFERROR(__xludf.DUMMYFUNCTION("""COMPUTED_VALUE"""),"")</f>
        <v/>
      </c>
    </row>
    <row r="14033">
      <c r="G14033" s="16" t="str">
        <f>IFERROR(__xludf.DUMMYFUNCTION("""COMPUTED_VALUE"""),"")</f>
        <v/>
      </c>
    </row>
    <row r="14034">
      <c r="G14034" s="16" t="str">
        <f>IFERROR(__xludf.DUMMYFUNCTION("""COMPUTED_VALUE"""),"")</f>
        <v/>
      </c>
    </row>
    <row r="14035">
      <c r="G14035" s="16" t="str">
        <f>IFERROR(__xludf.DUMMYFUNCTION("""COMPUTED_VALUE"""),"")</f>
        <v/>
      </c>
    </row>
    <row r="14036">
      <c r="G14036" s="16" t="str">
        <f>IFERROR(__xludf.DUMMYFUNCTION("""COMPUTED_VALUE"""),"")</f>
        <v/>
      </c>
    </row>
    <row r="14037">
      <c r="G14037" s="16" t="str">
        <f>IFERROR(__xludf.DUMMYFUNCTION("""COMPUTED_VALUE"""),"")</f>
        <v/>
      </c>
    </row>
    <row r="14038">
      <c r="G14038" s="16" t="str">
        <f>IFERROR(__xludf.DUMMYFUNCTION("""COMPUTED_VALUE"""),"")</f>
        <v/>
      </c>
    </row>
    <row r="14039">
      <c r="G14039" s="16" t="str">
        <f>IFERROR(__xludf.DUMMYFUNCTION("""COMPUTED_VALUE"""),"")</f>
        <v/>
      </c>
    </row>
    <row r="14040">
      <c r="G14040" s="16" t="str">
        <f>IFERROR(__xludf.DUMMYFUNCTION("""COMPUTED_VALUE"""),"")</f>
        <v/>
      </c>
    </row>
    <row r="14041">
      <c r="G14041" s="16" t="str">
        <f>IFERROR(__xludf.DUMMYFUNCTION("""COMPUTED_VALUE"""),"")</f>
        <v/>
      </c>
    </row>
    <row r="14042">
      <c r="G14042" s="16" t="str">
        <f>IFERROR(__xludf.DUMMYFUNCTION("""COMPUTED_VALUE"""),"")</f>
        <v/>
      </c>
    </row>
    <row r="14043">
      <c r="G14043" s="16" t="str">
        <f>IFERROR(__xludf.DUMMYFUNCTION("""COMPUTED_VALUE"""),"")</f>
        <v/>
      </c>
    </row>
    <row r="14044">
      <c r="G14044" s="16" t="str">
        <f>IFERROR(__xludf.DUMMYFUNCTION("""COMPUTED_VALUE"""),"")</f>
        <v/>
      </c>
    </row>
    <row r="14045">
      <c r="G14045" s="16" t="str">
        <f>IFERROR(__xludf.DUMMYFUNCTION("""COMPUTED_VALUE"""),"")</f>
        <v/>
      </c>
    </row>
    <row r="14046">
      <c r="G14046" s="16" t="str">
        <f>IFERROR(__xludf.DUMMYFUNCTION("""COMPUTED_VALUE"""),"")</f>
        <v/>
      </c>
    </row>
    <row r="14047">
      <c r="G14047" s="16" t="str">
        <f>IFERROR(__xludf.DUMMYFUNCTION("""COMPUTED_VALUE"""),"")</f>
        <v/>
      </c>
    </row>
    <row r="14048">
      <c r="G14048" s="16" t="str">
        <f>IFERROR(__xludf.DUMMYFUNCTION("""COMPUTED_VALUE"""),"")</f>
        <v/>
      </c>
    </row>
    <row r="14049">
      <c r="G14049" s="16" t="str">
        <f>IFERROR(__xludf.DUMMYFUNCTION("""COMPUTED_VALUE"""),"")</f>
        <v/>
      </c>
    </row>
    <row r="14050">
      <c r="G14050" s="16" t="str">
        <f>IFERROR(__xludf.DUMMYFUNCTION("""COMPUTED_VALUE"""),"")</f>
        <v/>
      </c>
    </row>
    <row r="14051">
      <c r="G14051" s="16" t="str">
        <f>IFERROR(__xludf.DUMMYFUNCTION("""COMPUTED_VALUE"""),"")</f>
        <v/>
      </c>
    </row>
    <row r="14052">
      <c r="G14052" s="16" t="str">
        <f>IFERROR(__xludf.DUMMYFUNCTION("""COMPUTED_VALUE"""),"")</f>
        <v/>
      </c>
    </row>
    <row r="14053">
      <c r="G14053" s="16" t="str">
        <f>IFERROR(__xludf.DUMMYFUNCTION("""COMPUTED_VALUE"""),"")</f>
        <v/>
      </c>
    </row>
    <row r="14054">
      <c r="G14054" s="16" t="str">
        <f>IFERROR(__xludf.DUMMYFUNCTION("""COMPUTED_VALUE"""),"")</f>
        <v/>
      </c>
    </row>
    <row r="14055">
      <c r="G14055" s="16" t="str">
        <f>IFERROR(__xludf.DUMMYFUNCTION("""COMPUTED_VALUE"""),"")</f>
        <v/>
      </c>
    </row>
    <row r="14056">
      <c r="G14056" s="16" t="str">
        <f>IFERROR(__xludf.DUMMYFUNCTION("""COMPUTED_VALUE"""),"")</f>
        <v/>
      </c>
    </row>
    <row r="14057">
      <c r="G14057" s="16" t="str">
        <f>IFERROR(__xludf.DUMMYFUNCTION("""COMPUTED_VALUE"""),"")</f>
        <v/>
      </c>
    </row>
    <row r="14058">
      <c r="G14058" s="16" t="str">
        <f>IFERROR(__xludf.DUMMYFUNCTION("""COMPUTED_VALUE"""),"")</f>
        <v/>
      </c>
    </row>
    <row r="14059">
      <c r="G14059" s="16" t="str">
        <f>IFERROR(__xludf.DUMMYFUNCTION("""COMPUTED_VALUE"""),"")</f>
        <v/>
      </c>
    </row>
    <row r="14060">
      <c r="G14060" s="16" t="str">
        <f>IFERROR(__xludf.DUMMYFUNCTION("""COMPUTED_VALUE"""),"")</f>
        <v/>
      </c>
    </row>
    <row r="14061">
      <c r="G14061" s="16" t="str">
        <f>IFERROR(__xludf.DUMMYFUNCTION("""COMPUTED_VALUE"""),"")</f>
        <v/>
      </c>
    </row>
    <row r="14062">
      <c r="G14062" s="16" t="str">
        <f>IFERROR(__xludf.DUMMYFUNCTION("""COMPUTED_VALUE"""),"")</f>
        <v/>
      </c>
    </row>
    <row r="14063">
      <c r="G14063" s="16" t="str">
        <f>IFERROR(__xludf.DUMMYFUNCTION("""COMPUTED_VALUE"""),"")</f>
        <v/>
      </c>
    </row>
    <row r="14064">
      <c r="G14064" s="16" t="str">
        <f>IFERROR(__xludf.DUMMYFUNCTION("""COMPUTED_VALUE"""),"")</f>
        <v/>
      </c>
    </row>
    <row r="14065">
      <c r="G14065" s="16" t="str">
        <f>IFERROR(__xludf.DUMMYFUNCTION("""COMPUTED_VALUE"""),"")</f>
        <v/>
      </c>
    </row>
    <row r="14066">
      <c r="G14066" s="16" t="str">
        <f>IFERROR(__xludf.DUMMYFUNCTION("""COMPUTED_VALUE"""),"")</f>
        <v/>
      </c>
    </row>
    <row r="14067">
      <c r="G14067" s="16" t="str">
        <f>IFERROR(__xludf.DUMMYFUNCTION("""COMPUTED_VALUE"""),"")</f>
        <v/>
      </c>
    </row>
    <row r="14068">
      <c r="G14068" s="16" t="str">
        <f>IFERROR(__xludf.DUMMYFUNCTION("""COMPUTED_VALUE"""),"")</f>
        <v/>
      </c>
    </row>
    <row r="14069">
      <c r="G14069" s="16" t="str">
        <f>IFERROR(__xludf.DUMMYFUNCTION("""COMPUTED_VALUE"""),"")</f>
        <v/>
      </c>
    </row>
    <row r="14070">
      <c r="G14070" s="16" t="str">
        <f>IFERROR(__xludf.DUMMYFUNCTION("""COMPUTED_VALUE"""),"")</f>
        <v/>
      </c>
    </row>
    <row r="14071">
      <c r="G14071" s="16" t="str">
        <f>IFERROR(__xludf.DUMMYFUNCTION("""COMPUTED_VALUE"""),"")</f>
        <v/>
      </c>
    </row>
    <row r="14072">
      <c r="G14072" s="16" t="str">
        <f>IFERROR(__xludf.DUMMYFUNCTION("""COMPUTED_VALUE"""),"")</f>
        <v/>
      </c>
    </row>
    <row r="14073">
      <c r="G14073" s="16" t="str">
        <f>IFERROR(__xludf.DUMMYFUNCTION("""COMPUTED_VALUE"""),"")</f>
        <v/>
      </c>
    </row>
    <row r="14074">
      <c r="G14074" s="16" t="str">
        <f>IFERROR(__xludf.DUMMYFUNCTION("""COMPUTED_VALUE"""),"")</f>
        <v/>
      </c>
    </row>
    <row r="14075">
      <c r="G14075" s="16" t="str">
        <f>IFERROR(__xludf.DUMMYFUNCTION("""COMPUTED_VALUE"""),"")</f>
        <v/>
      </c>
    </row>
    <row r="14076">
      <c r="G14076" s="16" t="str">
        <f>IFERROR(__xludf.DUMMYFUNCTION("""COMPUTED_VALUE"""),"")</f>
        <v/>
      </c>
    </row>
    <row r="14077">
      <c r="G14077" s="16" t="str">
        <f>IFERROR(__xludf.DUMMYFUNCTION("""COMPUTED_VALUE"""),"")</f>
        <v/>
      </c>
    </row>
    <row r="14078">
      <c r="G14078" s="16" t="str">
        <f>IFERROR(__xludf.DUMMYFUNCTION("""COMPUTED_VALUE"""),"")</f>
        <v/>
      </c>
    </row>
    <row r="14079">
      <c r="G14079" s="16" t="str">
        <f>IFERROR(__xludf.DUMMYFUNCTION("""COMPUTED_VALUE"""),"")</f>
        <v/>
      </c>
    </row>
    <row r="14080">
      <c r="G14080" s="16" t="str">
        <f>IFERROR(__xludf.DUMMYFUNCTION("""COMPUTED_VALUE"""),"")</f>
        <v/>
      </c>
    </row>
    <row r="14081">
      <c r="G14081" s="16" t="str">
        <f>IFERROR(__xludf.DUMMYFUNCTION("""COMPUTED_VALUE"""),"")</f>
        <v/>
      </c>
    </row>
    <row r="14082">
      <c r="G14082" s="16" t="str">
        <f>IFERROR(__xludf.DUMMYFUNCTION("""COMPUTED_VALUE"""),"")</f>
        <v/>
      </c>
    </row>
    <row r="14083">
      <c r="G14083" s="16" t="str">
        <f>IFERROR(__xludf.DUMMYFUNCTION("""COMPUTED_VALUE"""),"")</f>
        <v/>
      </c>
    </row>
    <row r="14084">
      <c r="G14084" s="16" t="str">
        <f>IFERROR(__xludf.DUMMYFUNCTION("""COMPUTED_VALUE"""),"")</f>
        <v/>
      </c>
    </row>
    <row r="14085">
      <c r="G14085" s="16" t="str">
        <f>IFERROR(__xludf.DUMMYFUNCTION("""COMPUTED_VALUE"""),"")</f>
        <v/>
      </c>
    </row>
    <row r="14086">
      <c r="G14086" s="16" t="str">
        <f>IFERROR(__xludf.DUMMYFUNCTION("""COMPUTED_VALUE"""),"")</f>
        <v/>
      </c>
    </row>
    <row r="14087">
      <c r="G14087" s="16" t="str">
        <f>IFERROR(__xludf.DUMMYFUNCTION("""COMPUTED_VALUE"""),"")</f>
        <v/>
      </c>
    </row>
    <row r="14088">
      <c r="G14088" s="16" t="str">
        <f>IFERROR(__xludf.DUMMYFUNCTION("""COMPUTED_VALUE"""),"")</f>
        <v/>
      </c>
    </row>
    <row r="14089">
      <c r="G14089" s="16" t="str">
        <f>IFERROR(__xludf.DUMMYFUNCTION("""COMPUTED_VALUE"""),"")</f>
        <v/>
      </c>
    </row>
    <row r="14090">
      <c r="G14090" s="16" t="str">
        <f>IFERROR(__xludf.DUMMYFUNCTION("""COMPUTED_VALUE"""),"")</f>
        <v/>
      </c>
    </row>
    <row r="14091">
      <c r="G14091" s="16" t="str">
        <f>IFERROR(__xludf.DUMMYFUNCTION("""COMPUTED_VALUE"""),"")</f>
        <v/>
      </c>
    </row>
    <row r="14092">
      <c r="G14092" s="16" t="str">
        <f>IFERROR(__xludf.DUMMYFUNCTION("""COMPUTED_VALUE"""),"")</f>
        <v/>
      </c>
    </row>
    <row r="14093">
      <c r="G14093" s="16" t="str">
        <f>IFERROR(__xludf.DUMMYFUNCTION("""COMPUTED_VALUE"""),"")</f>
        <v/>
      </c>
    </row>
    <row r="14094">
      <c r="G14094" s="16" t="str">
        <f>IFERROR(__xludf.DUMMYFUNCTION("""COMPUTED_VALUE"""),"")</f>
        <v/>
      </c>
    </row>
    <row r="14095">
      <c r="G14095" s="16" t="str">
        <f>IFERROR(__xludf.DUMMYFUNCTION("""COMPUTED_VALUE"""),"")</f>
        <v/>
      </c>
    </row>
    <row r="14096">
      <c r="G14096" s="16" t="str">
        <f>IFERROR(__xludf.DUMMYFUNCTION("""COMPUTED_VALUE"""),"")</f>
        <v/>
      </c>
    </row>
    <row r="14097">
      <c r="G14097" s="16" t="str">
        <f>IFERROR(__xludf.DUMMYFUNCTION("""COMPUTED_VALUE"""),"")</f>
        <v/>
      </c>
    </row>
    <row r="14098">
      <c r="G14098" s="16" t="str">
        <f>IFERROR(__xludf.DUMMYFUNCTION("""COMPUTED_VALUE"""),"")</f>
        <v/>
      </c>
    </row>
    <row r="14099">
      <c r="G14099" s="16" t="str">
        <f>IFERROR(__xludf.DUMMYFUNCTION("""COMPUTED_VALUE"""),"")</f>
        <v/>
      </c>
    </row>
    <row r="14100">
      <c r="G14100" s="16" t="str">
        <f>IFERROR(__xludf.DUMMYFUNCTION("""COMPUTED_VALUE"""),"")</f>
        <v/>
      </c>
    </row>
    <row r="14101">
      <c r="G14101" s="16" t="str">
        <f>IFERROR(__xludf.DUMMYFUNCTION("""COMPUTED_VALUE"""),"")</f>
        <v/>
      </c>
    </row>
    <row r="14102">
      <c r="G14102" s="16" t="str">
        <f>IFERROR(__xludf.DUMMYFUNCTION("""COMPUTED_VALUE"""),"")</f>
        <v/>
      </c>
    </row>
    <row r="14103">
      <c r="G14103" s="16" t="str">
        <f>IFERROR(__xludf.DUMMYFUNCTION("""COMPUTED_VALUE"""),"")</f>
        <v/>
      </c>
    </row>
    <row r="14104">
      <c r="G14104" s="16" t="str">
        <f>IFERROR(__xludf.DUMMYFUNCTION("""COMPUTED_VALUE"""),"")</f>
        <v/>
      </c>
    </row>
    <row r="14105">
      <c r="G14105" s="16" t="str">
        <f>IFERROR(__xludf.DUMMYFUNCTION("""COMPUTED_VALUE"""),"")</f>
        <v/>
      </c>
    </row>
    <row r="14106">
      <c r="G14106" s="16" t="str">
        <f>IFERROR(__xludf.DUMMYFUNCTION("""COMPUTED_VALUE"""),"")</f>
        <v/>
      </c>
    </row>
    <row r="14107">
      <c r="G14107" s="16" t="str">
        <f>IFERROR(__xludf.DUMMYFUNCTION("""COMPUTED_VALUE"""),"")</f>
        <v/>
      </c>
    </row>
    <row r="14108">
      <c r="G14108" s="16" t="str">
        <f>IFERROR(__xludf.DUMMYFUNCTION("""COMPUTED_VALUE"""),"")</f>
        <v/>
      </c>
    </row>
    <row r="14109">
      <c r="G14109" s="16" t="str">
        <f>IFERROR(__xludf.DUMMYFUNCTION("""COMPUTED_VALUE"""),"")</f>
        <v/>
      </c>
    </row>
    <row r="14110">
      <c r="G14110" s="16" t="str">
        <f>IFERROR(__xludf.DUMMYFUNCTION("""COMPUTED_VALUE"""),"")</f>
        <v/>
      </c>
    </row>
    <row r="14111">
      <c r="G14111" s="16" t="str">
        <f>IFERROR(__xludf.DUMMYFUNCTION("""COMPUTED_VALUE"""),"")</f>
        <v/>
      </c>
    </row>
    <row r="14112">
      <c r="G14112" s="16" t="str">
        <f>IFERROR(__xludf.DUMMYFUNCTION("""COMPUTED_VALUE"""),"")</f>
        <v/>
      </c>
    </row>
    <row r="14113">
      <c r="G14113" s="16" t="str">
        <f>IFERROR(__xludf.DUMMYFUNCTION("""COMPUTED_VALUE"""),"")</f>
        <v/>
      </c>
    </row>
    <row r="14114">
      <c r="G14114" s="16" t="str">
        <f>IFERROR(__xludf.DUMMYFUNCTION("""COMPUTED_VALUE"""),"")</f>
        <v/>
      </c>
    </row>
    <row r="14115">
      <c r="G14115" s="16" t="str">
        <f>IFERROR(__xludf.DUMMYFUNCTION("""COMPUTED_VALUE"""),"")</f>
        <v/>
      </c>
    </row>
    <row r="14116">
      <c r="G14116" s="16" t="str">
        <f>IFERROR(__xludf.DUMMYFUNCTION("""COMPUTED_VALUE"""),"")</f>
        <v/>
      </c>
    </row>
    <row r="14117">
      <c r="G14117" s="16" t="str">
        <f>IFERROR(__xludf.DUMMYFUNCTION("""COMPUTED_VALUE"""),"")</f>
        <v/>
      </c>
    </row>
    <row r="14118">
      <c r="G14118" s="16" t="str">
        <f>IFERROR(__xludf.DUMMYFUNCTION("""COMPUTED_VALUE"""),"")</f>
        <v/>
      </c>
    </row>
    <row r="14119">
      <c r="G14119" s="16" t="str">
        <f>IFERROR(__xludf.DUMMYFUNCTION("""COMPUTED_VALUE"""),"")</f>
        <v/>
      </c>
    </row>
    <row r="14120">
      <c r="G14120" s="16" t="str">
        <f>IFERROR(__xludf.DUMMYFUNCTION("""COMPUTED_VALUE"""),"")</f>
        <v/>
      </c>
    </row>
    <row r="14121">
      <c r="G14121" s="16" t="str">
        <f>IFERROR(__xludf.DUMMYFUNCTION("""COMPUTED_VALUE"""),"")</f>
        <v/>
      </c>
    </row>
    <row r="14122">
      <c r="G14122" s="16" t="str">
        <f>IFERROR(__xludf.DUMMYFUNCTION("""COMPUTED_VALUE"""),"")</f>
        <v/>
      </c>
    </row>
    <row r="14123">
      <c r="G14123" s="16" t="str">
        <f>IFERROR(__xludf.DUMMYFUNCTION("""COMPUTED_VALUE"""),"")</f>
        <v/>
      </c>
    </row>
    <row r="14124">
      <c r="G14124" s="16" t="str">
        <f>IFERROR(__xludf.DUMMYFUNCTION("""COMPUTED_VALUE"""),"")</f>
        <v/>
      </c>
    </row>
    <row r="14125">
      <c r="G14125" s="16" t="str">
        <f>IFERROR(__xludf.DUMMYFUNCTION("""COMPUTED_VALUE"""),"")</f>
        <v/>
      </c>
    </row>
    <row r="14126">
      <c r="G14126" s="16" t="str">
        <f>IFERROR(__xludf.DUMMYFUNCTION("""COMPUTED_VALUE"""),"")</f>
        <v/>
      </c>
    </row>
    <row r="14127">
      <c r="G14127" s="16" t="str">
        <f>IFERROR(__xludf.DUMMYFUNCTION("""COMPUTED_VALUE"""),"")</f>
        <v/>
      </c>
    </row>
    <row r="14128">
      <c r="G14128" s="16" t="str">
        <f>IFERROR(__xludf.DUMMYFUNCTION("""COMPUTED_VALUE"""),"")</f>
        <v/>
      </c>
    </row>
    <row r="14129">
      <c r="G14129" s="16" t="str">
        <f>IFERROR(__xludf.DUMMYFUNCTION("""COMPUTED_VALUE"""),"")</f>
        <v/>
      </c>
    </row>
    <row r="14130">
      <c r="G14130" s="16" t="str">
        <f>IFERROR(__xludf.DUMMYFUNCTION("""COMPUTED_VALUE"""),"")</f>
        <v/>
      </c>
    </row>
    <row r="14131">
      <c r="G14131" s="16" t="str">
        <f>IFERROR(__xludf.DUMMYFUNCTION("""COMPUTED_VALUE"""),"")</f>
        <v/>
      </c>
    </row>
    <row r="14132">
      <c r="G14132" s="16" t="str">
        <f>IFERROR(__xludf.DUMMYFUNCTION("""COMPUTED_VALUE"""),"")</f>
        <v/>
      </c>
    </row>
    <row r="14133">
      <c r="G14133" s="16" t="str">
        <f>IFERROR(__xludf.DUMMYFUNCTION("""COMPUTED_VALUE"""),"")</f>
        <v/>
      </c>
    </row>
    <row r="14134">
      <c r="G14134" s="16" t="str">
        <f>IFERROR(__xludf.DUMMYFUNCTION("""COMPUTED_VALUE"""),"")</f>
        <v/>
      </c>
    </row>
    <row r="14135">
      <c r="G14135" s="16" t="str">
        <f>IFERROR(__xludf.DUMMYFUNCTION("""COMPUTED_VALUE"""),"")</f>
        <v/>
      </c>
    </row>
    <row r="14136">
      <c r="G14136" s="16" t="str">
        <f>IFERROR(__xludf.DUMMYFUNCTION("""COMPUTED_VALUE"""),"")</f>
        <v/>
      </c>
    </row>
    <row r="14137">
      <c r="G14137" s="16" t="str">
        <f>IFERROR(__xludf.DUMMYFUNCTION("""COMPUTED_VALUE"""),"")</f>
        <v/>
      </c>
    </row>
    <row r="14138">
      <c r="G14138" s="16" t="str">
        <f>IFERROR(__xludf.DUMMYFUNCTION("""COMPUTED_VALUE"""),"")</f>
        <v/>
      </c>
    </row>
    <row r="14139">
      <c r="G14139" s="16" t="str">
        <f>IFERROR(__xludf.DUMMYFUNCTION("""COMPUTED_VALUE"""),"")</f>
        <v/>
      </c>
    </row>
    <row r="14140">
      <c r="G14140" s="16" t="str">
        <f>IFERROR(__xludf.DUMMYFUNCTION("""COMPUTED_VALUE"""),"")</f>
        <v/>
      </c>
    </row>
    <row r="14141">
      <c r="G14141" s="16" t="str">
        <f>IFERROR(__xludf.DUMMYFUNCTION("""COMPUTED_VALUE"""),"")</f>
        <v/>
      </c>
    </row>
    <row r="14142">
      <c r="G14142" s="16" t="str">
        <f>IFERROR(__xludf.DUMMYFUNCTION("""COMPUTED_VALUE"""),"")</f>
        <v/>
      </c>
    </row>
    <row r="14143">
      <c r="G14143" s="16" t="str">
        <f>IFERROR(__xludf.DUMMYFUNCTION("""COMPUTED_VALUE"""),"")</f>
        <v/>
      </c>
    </row>
    <row r="14144">
      <c r="G14144" s="16" t="str">
        <f>IFERROR(__xludf.DUMMYFUNCTION("""COMPUTED_VALUE"""),"")</f>
        <v/>
      </c>
    </row>
    <row r="14145">
      <c r="G14145" s="16" t="str">
        <f>IFERROR(__xludf.DUMMYFUNCTION("""COMPUTED_VALUE"""),"")</f>
        <v/>
      </c>
    </row>
    <row r="14146">
      <c r="G14146" s="16" t="str">
        <f>IFERROR(__xludf.DUMMYFUNCTION("""COMPUTED_VALUE"""),"")</f>
        <v/>
      </c>
    </row>
    <row r="14147">
      <c r="G14147" s="16" t="str">
        <f>IFERROR(__xludf.DUMMYFUNCTION("""COMPUTED_VALUE"""),"")</f>
        <v/>
      </c>
    </row>
    <row r="14148">
      <c r="G14148" s="16" t="str">
        <f>IFERROR(__xludf.DUMMYFUNCTION("""COMPUTED_VALUE"""),"")</f>
        <v/>
      </c>
    </row>
    <row r="14149">
      <c r="G14149" s="16" t="str">
        <f>IFERROR(__xludf.DUMMYFUNCTION("""COMPUTED_VALUE"""),"")</f>
        <v/>
      </c>
    </row>
    <row r="14150">
      <c r="G14150" s="16" t="str">
        <f>IFERROR(__xludf.DUMMYFUNCTION("""COMPUTED_VALUE"""),"")</f>
        <v/>
      </c>
    </row>
    <row r="14151">
      <c r="G14151" s="16" t="str">
        <f>IFERROR(__xludf.DUMMYFUNCTION("""COMPUTED_VALUE"""),"")</f>
        <v/>
      </c>
    </row>
    <row r="14152">
      <c r="G14152" s="16" t="str">
        <f>IFERROR(__xludf.DUMMYFUNCTION("""COMPUTED_VALUE"""),"")</f>
        <v/>
      </c>
    </row>
    <row r="14153">
      <c r="G14153" s="16" t="str">
        <f>IFERROR(__xludf.DUMMYFUNCTION("""COMPUTED_VALUE"""),"")</f>
        <v/>
      </c>
    </row>
    <row r="14154">
      <c r="G14154" s="16" t="str">
        <f>IFERROR(__xludf.DUMMYFUNCTION("""COMPUTED_VALUE"""),"")</f>
        <v/>
      </c>
    </row>
    <row r="14155">
      <c r="G14155" s="16" t="str">
        <f>IFERROR(__xludf.DUMMYFUNCTION("""COMPUTED_VALUE"""),"")</f>
        <v/>
      </c>
    </row>
    <row r="14156">
      <c r="G14156" s="16" t="str">
        <f>IFERROR(__xludf.DUMMYFUNCTION("""COMPUTED_VALUE"""),"")</f>
        <v/>
      </c>
    </row>
    <row r="14157">
      <c r="G14157" s="16" t="str">
        <f>IFERROR(__xludf.DUMMYFUNCTION("""COMPUTED_VALUE"""),"")</f>
        <v/>
      </c>
    </row>
    <row r="14158">
      <c r="G14158" s="16" t="str">
        <f>IFERROR(__xludf.DUMMYFUNCTION("""COMPUTED_VALUE"""),"")</f>
        <v/>
      </c>
    </row>
    <row r="14159">
      <c r="G14159" s="16" t="str">
        <f>IFERROR(__xludf.DUMMYFUNCTION("""COMPUTED_VALUE"""),"")</f>
        <v/>
      </c>
    </row>
    <row r="14160">
      <c r="G14160" s="16" t="str">
        <f>IFERROR(__xludf.DUMMYFUNCTION("""COMPUTED_VALUE"""),"")</f>
        <v/>
      </c>
    </row>
    <row r="14161">
      <c r="G14161" s="16" t="str">
        <f>IFERROR(__xludf.DUMMYFUNCTION("""COMPUTED_VALUE"""),"")</f>
        <v/>
      </c>
    </row>
    <row r="14162">
      <c r="G14162" s="16" t="str">
        <f>IFERROR(__xludf.DUMMYFUNCTION("""COMPUTED_VALUE"""),"")</f>
        <v/>
      </c>
    </row>
    <row r="14163">
      <c r="G14163" s="16" t="str">
        <f>IFERROR(__xludf.DUMMYFUNCTION("""COMPUTED_VALUE"""),"")</f>
        <v/>
      </c>
    </row>
    <row r="14164">
      <c r="G14164" s="16" t="str">
        <f>IFERROR(__xludf.DUMMYFUNCTION("""COMPUTED_VALUE"""),"")</f>
        <v/>
      </c>
    </row>
    <row r="14165">
      <c r="G14165" s="16" t="str">
        <f>IFERROR(__xludf.DUMMYFUNCTION("""COMPUTED_VALUE"""),"")</f>
        <v/>
      </c>
    </row>
    <row r="14166">
      <c r="G14166" s="16" t="str">
        <f>IFERROR(__xludf.DUMMYFUNCTION("""COMPUTED_VALUE"""),"")</f>
        <v/>
      </c>
    </row>
    <row r="14167">
      <c r="G14167" s="16" t="str">
        <f>IFERROR(__xludf.DUMMYFUNCTION("""COMPUTED_VALUE"""),"")</f>
        <v/>
      </c>
    </row>
    <row r="14168">
      <c r="G14168" s="16" t="str">
        <f>IFERROR(__xludf.DUMMYFUNCTION("""COMPUTED_VALUE"""),"")</f>
        <v/>
      </c>
    </row>
    <row r="14169">
      <c r="G14169" s="16" t="str">
        <f>IFERROR(__xludf.DUMMYFUNCTION("""COMPUTED_VALUE"""),"")</f>
        <v/>
      </c>
    </row>
    <row r="14170">
      <c r="G14170" s="16" t="str">
        <f>IFERROR(__xludf.DUMMYFUNCTION("""COMPUTED_VALUE"""),"")</f>
        <v/>
      </c>
    </row>
    <row r="14171">
      <c r="G14171" s="16" t="str">
        <f>IFERROR(__xludf.DUMMYFUNCTION("""COMPUTED_VALUE"""),"")</f>
        <v/>
      </c>
    </row>
    <row r="14172">
      <c r="G14172" s="16" t="str">
        <f>IFERROR(__xludf.DUMMYFUNCTION("""COMPUTED_VALUE"""),"")</f>
        <v/>
      </c>
    </row>
    <row r="14173">
      <c r="G14173" s="16" t="str">
        <f>IFERROR(__xludf.DUMMYFUNCTION("""COMPUTED_VALUE"""),"")</f>
        <v/>
      </c>
    </row>
    <row r="14174">
      <c r="G14174" s="16" t="str">
        <f>IFERROR(__xludf.DUMMYFUNCTION("""COMPUTED_VALUE"""),"")</f>
        <v/>
      </c>
    </row>
    <row r="14175">
      <c r="G14175" s="16" t="str">
        <f>IFERROR(__xludf.DUMMYFUNCTION("""COMPUTED_VALUE"""),"")</f>
        <v/>
      </c>
    </row>
    <row r="14176">
      <c r="G14176" s="16" t="str">
        <f>IFERROR(__xludf.DUMMYFUNCTION("""COMPUTED_VALUE"""),"")</f>
        <v/>
      </c>
    </row>
    <row r="14177">
      <c r="G14177" s="16" t="str">
        <f>IFERROR(__xludf.DUMMYFUNCTION("""COMPUTED_VALUE"""),"")</f>
        <v/>
      </c>
    </row>
    <row r="14178">
      <c r="G14178" s="16" t="str">
        <f>IFERROR(__xludf.DUMMYFUNCTION("""COMPUTED_VALUE"""),"")</f>
        <v/>
      </c>
    </row>
    <row r="14179">
      <c r="G14179" s="16" t="str">
        <f>IFERROR(__xludf.DUMMYFUNCTION("""COMPUTED_VALUE"""),"")</f>
        <v/>
      </c>
    </row>
    <row r="14180">
      <c r="G14180" s="16" t="str">
        <f>IFERROR(__xludf.DUMMYFUNCTION("""COMPUTED_VALUE"""),"")</f>
        <v/>
      </c>
    </row>
    <row r="14181">
      <c r="G14181" s="16" t="str">
        <f>IFERROR(__xludf.DUMMYFUNCTION("""COMPUTED_VALUE"""),"")</f>
        <v/>
      </c>
    </row>
    <row r="14182">
      <c r="G14182" s="16" t="str">
        <f>IFERROR(__xludf.DUMMYFUNCTION("""COMPUTED_VALUE"""),"")</f>
        <v/>
      </c>
    </row>
    <row r="14183">
      <c r="G14183" s="16" t="str">
        <f>IFERROR(__xludf.DUMMYFUNCTION("""COMPUTED_VALUE"""),"")</f>
        <v/>
      </c>
    </row>
    <row r="14184">
      <c r="G14184" s="16" t="str">
        <f>IFERROR(__xludf.DUMMYFUNCTION("""COMPUTED_VALUE"""),"")</f>
        <v/>
      </c>
    </row>
    <row r="14185">
      <c r="G14185" s="16" t="str">
        <f>IFERROR(__xludf.DUMMYFUNCTION("""COMPUTED_VALUE"""),"")</f>
        <v/>
      </c>
    </row>
    <row r="14186">
      <c r="G14186" s="16" t="str">
        <f>IFERROR(__xludf.DUMMYFUNCTION("""COMPUTED_VALUE"""),"")</f>
        <v/>
      </c>
    </row>
    <row r="14187">
      <c r="G14187" s="16" t="str">
        <f>IFERROR(__xludf.DUMMYFUNCTION("""COMPUTED_VALUE"""),"")</f>
        <v/>
      </c>
    </row>
    <row r="14188">
      <c r="G14188" s="16" t="str">
        <f>IFERROR(__xludf.DUMMYFUNCTION("""COMPUTED_VALUE"""),"")</f>
        <v/>
      </c>
    </row>
    <row r="14189">
      <c r="G14189" s="16" t="str">
        <f>IFERROR(__xludf.DUMMYFUNCTION("""COMPUTED_VALUE"""),"")</f>
        <v/>
      </c>
    </row>
    <row r="14190">
      <c r="G14190" s="16" t="str">
        <f>IFERROR(__xludf.DUMMYFUNCTION("""COMPUTED_VALUE"""),"")</f>
        <v/>
      </c>
    </row>
    <row r="14191">
      <c r="G14191" s="16" t="str">
        <f>IFERROR(__xludf.DUMMYFUNCTION("""COMPUTED_VALUE"""),"")</f>
        <v/>
      </c>
    </row>
    <row r="14192">
      <c r="G14192" s="16" t="str">
        <f>IFERROR(__xludf.DUMMYFUNCTION("""COMPUTED_VALUE"""),"")</f>
        <v/>
      </c>
    </row>
    <row r="14193">
      <c r="G14193" s="16" t="str">
        <f>IFERROR(__xludf.DUMMYFUNCTION("""COMPUTED_VALUE"""),"")</f>
        <v/>
      </c>
    </row>
    <row r="14194">
      <c r="G14194" s="16" t="str">
        <f>IFERROR(__xludf.DUMMYFUNCTION("""COMPUTED_VALUE"""),"")</f>
        <v/>
      </c>
    </row>
    <row r="14195">
      <c r="G14195" s="16" t="str">
        <f>IFERROR(__xludf.DUMMYFUNCTION("""COMPUTED_VALUE"""),"")</f>
        <v/>
      </c>
    </row>
    <row r="14196">
      <c r="G14196" s="16" t="str">
        <f>IFERROR(__xludf.DUMMYFUNCTION("""COMPUTED_VALUE"""),"")</f>
        <v/>
      </c>
    </row>
    <row r="14197">
      <c r="G14197" s="16" t="str">
        <f>IFERROR(__xludf.DUMMYFUNCTION("""COMPUTED_VALUE"""),"")</f>
        <v/>
      </c>
    </row>
    <row r="14198">
      <c r="G14198" s="16" t="str">
        <f>IFERROR(__xludf.DUMMYFUNCTION("""COMPUTED_VALUE"""),"")</f>
        <v/>
      </c>
    </row>
    <row r="14199">
      <c r="G14199" s="16" t="str">
        <f>IFERROR(__xludf.DUMMYFUNCTION("""COMPUTED_VALUE"""),"")</f>
        <v/>
      </c>
    </row>
    <row r="14200">
      <c r="G14200" s="16" t="str">
        <f>IFERROR(__xludf.DUMMYFUNCTION("""COMPUTED_VALUE"""),"")</f>
        <v/>
      </c>
    </row>
    <row r="14201">
      <c r="G14201" s="16" t="str">
        <f>IFERROR(__xludf.DUMMYFUNCTION("""COMPUTED_VALUE"""),"")</f>
        <v/>
      </c>
    </row>
    <row r="14202">
      <c r="G14202" s="16" t="str">
        <f>IFERROR(__xludf.DUMMYFUNCTION("""COMPUTED_VALUE"""),"")</f>
        <v/>
      </c>
    </row>
    <row r="14203">
      <c r="G14203" s="16" t="str">
        <f>IFERROR(__xludf.DUMMYFUNCTION("""COMPUTED_VALUE"""),"")</f>
        <v/>
      </c>
    </row>
    <row r="14204">
      <c r="G14204" s="16" t="str">
        <f>IFERROR(__xludf.DUMMYFUNCTION("""COMPUTED_VALUE"""),"")</f>
        <v/>
      </c>
    </row>
    <row r="14205">
      <c r="G14205" s="16" t="str">
        <f>IFERROR(__xludf.DUMMYFUNCTION("""COMPUTED_VALUE"""),"")</f>
        <v/>
      </c>
    </row>
    <row r="14206">
      <c r="G14206" s="16" t="str">
        <f>IFERROR(__xludf.DUMMYFUNCTION("""COMPUTED_VALUE"""),"")</f>
        <v/>
      </c>
    </row>
    <row r="14207">
      <c r="G14207" s="16" t="str">
        <f>IFERROR(__xludf.DUMMYFUNCTION("""COMPUTED_VALUE"""),"")</f>
        <v/>
      </c>
    </row>
    <row r="14208">
      <c r="G14208" s="16" t="str">
        <f>IFERROR(__xludf.DUMMYFUNCTION("""COMPUTED_VALUE"""),"")</f>
        <v/>
      </c>
    </row>
    <row r="14209">
      <c r="G14209" s="16" t="str">
        <f>IFERROR(__xludf.DUMMYFUNCTION("""COMPUTED_VALUE"""),"")</f>
        <v/>
      </c>
    </row>
    <row r="14210">
      <c r="G14210" s="16" t="str">
        <f>IFERROR(__xludf.DUMMYFUNCTION("""COMPUTED_VALUE"""),"")</f>
        <v/>
      </c>
    </row>
    <row r="14211">
      <c r="G14211" s="16" t="str">
        <f>IFERROR(__xludf.DUMMYFUNCTION("""COMPUTED_VALUE"""),"")</f>
        <v/>
      </c>
    </row>
    <row r="14212">
      <c r="G14212" s="16" t="str">
        <f>IFERROR(__xludf.DUMMYFUNCTION("""COMPUTED_VALUE"""),"")</f>
        <v/>
      </c>
    </row>
    <row r="14213">
      <c r="G14213" s="16" t="str">
        <f>IFERROR(__xludf.DUMMYFUNCTION("""COMPUTED_VALUE"""),"")</f>
        <v/>
      </c>
    </row>
    <row r="14214">
      <c r="G14214" s="16" t="str">
        <f>IFERROR(__xludf.DUMMYFUNCTION("""COMPUTED_VALUE"""),"")</f>
        <v/>
      </c>
    </row>
    <row r="14215">
      <c r="G14215" s="16" t="str">
        <f>IFERROR(__xludf.DUMMYFUNCTION("""COMPUTED_VALUE"""),"")</f>
        <v/>
      </c>
    </row>
    <row r="14216">
      <c r="G14216" s="16" t="str">
        <f>IFERROR(__xludf.DUMMYFUNCTION("""COMPUTED_VALUE"""),"")</f>
        <v/>
      </c>
    </row>
    <row r="14217">
      <c r="G14217" s="16" t="str">
        <f>IFERROR(__xludf.DUMMYFUNCTION("""COMPUTED_VALUE"""),"")</f>
        <v/>
      </c>
    </row>
    <row r="14218">
      <c r="G14218" s="16" t="str">
        <f>IFERROR(__xludf.DUMMYFUNCTION("""COMPUTED_VALUE"""),"")</f>
        <v/>
      </c>
    </row>
    <row r="14219">
      <c r="G14219" s="16" t="str">
        <f>IFERROR(__xludf.DUMMYFUNCTION("""COMPUTED_VALUE"""),"")</f>
        <v/>
      </c>
    </row>
    <row r="14220">
      <c r="G14220" s="16" t="str">
        <f>IFERROR(__xludf.DUMMYFUNCTION("""COMPUTED_VALUE"""),"")</f>
        <v/>
      </c>
    </row>
    <row r="14221">
      <c r="G14221" s="16" t="str">
        <f>IFERROR(__xludf.DUMMYFUNCTION("""COMPUTED_VALUE"""),"")</f>
        <v/>
      </c>
    </row>
    <row r="14222">
      <c r="G14222" s="16" t="str">
        <f>IFERROR(__xludf.DUMMYFUNCTION("""COMPUTED_VALUE"""),"")</f>
        <v/>
      </c>
    </row>
    <row r="14223">
      <c r="G14223" s="16" t="str">
        <f>IFERROR(__xludf.DUMMYFUNCTION("""COMPUTED_VALUE"""),"")</f>
        <v/>
      </c>
    </row>
    <row r="14224">
      <c r="G14224" s="16" t="str">
        <f>IFERROR(__xludf.DUMMYFUNCTION("""COMPUTED_VALUE"""),"")</f>
        <v/>
      </c>
    </row>
    <row r="14225">
      <c r="G14225" s="16" t="str">
        <f>IFERROR(__xludf.DUMMYFUNCTION("""COMPUTED_VALUE"""),"")</f>
        <v/>
      </c>
    </row>
    <row r="14226">
      <c r="G14226" s="16" t="str">
        <f>IFERROR(__xludf.DUMMYFUNCTION("""COMPUTED_VALUE"""),"")</f>
        <v/>
      </c>
    </row>
    <row r="14227">
      <c r="G14227" s="16" t="str">
        <f>IFERROR(__xludf.DUMMYFUNCTION("""COMPUTED_VALUE"""),"")</f>
        <v/>
      </c>
    </row>
    <row r="14228">
      <c r="G14228" s="16" t="str">
        <f>IFERROR(__xludf.DUMMYFUNCTION("""COMPUTED_VALUE"""),"")</f>
        <v/>
      </c>
    </row>
    <row r="14229">
      <c r="G14229" s="16" t="str">
        <f>IFERROR(__xludf.DUMMYFUNCTION("""COMPUTED_VALUE"""),"")</f>
        <v/>
      </c>
    </row>
    <row r="14230">
      <c r="G14230" s="16" t="str">
        <f>IFERROR(__xludf.DUMMYFUNCTION("""COMPUTED_VALUE"""),"")</f>
        <v/>
      </c>
    </row>
    <row r="14231">
      <c r="G14231" s="16" t="str">
        <f>IFERROR(__xludf.DUMMYFUNCTION("""COMPUTED_VALUE"""),"")</f>
        <v/>
      </c>
    </row>
    <row r="14232">
      <c r="G14232" s="16" t="str">
        <f>IFERROR(__xludf.DUMMYFUNCTION("""COMPUTED_VALUE"""),"")</f>
        <v/>
      </c>
    </row>
    <row r="14233">
      <c r="G14233" s="16" t="str">
        <f>IFERROR(__xludf.DUMMYFUNCTION("""COMPUTED_VALUE"""),"")</f>
        <v/>
      </c>
    </row>
    <row r="14234">
      <c r="G14234" s="16" t="str">
        <f>IFERROR(__xludf.DUMMYFUNCTION("""COMPUTED_VALUE"""),"")</f>
        <v/>
      </c>
    </row>
    <row r="14235">
      <c r="G14235" s="16" t="str">
        <f>IFERROR(__xludf.DUMMYFUNCTION("""COMPUTED_VALUE"""),"")</f>
        <v/>
      </c>
    </row>
    <row r="14236">
      <c r="G14236" s="16" t="str">
        <f>IFERROR(__xludf.DUMMYFUNCTION("""COMPUTED_VALUE"""),"")</f>
        <v/>
      </c>
    </row>
    <row r="14237">
      <c r="G14237" s="16" t="str">
        <f>IFERROR(__xludf.DUMMYFUNCTION("""COMPUTED_VALUE"""),"")</f>
        <v/>
      </c>
    </row>
    <row r="14238">
      <c r="G14238" s="16" t="str">
        <f>IFERROR(__xludf.DUMMYFUNCTION("""COMPUTED_VALUE"""),"")</f>
        <v/>
      </c>
    </row>
    <row r="14239">
      <c r="G14239" s="16" t="str">
        <f>IFERROR(__xludf.DUMMYFUNCTION("""COMPUTED_VALUE"""),"")</f>
        <v/>
      </c>
    </row>
    <row r="14240">
      <c r="G14240" s="16" t="str">
        <f>IFERROR(__xludf.DUMMYFUNCTION("""COMPUTED_VALUE"""),"")</f>
        <v/>
      </c>
    </row>
    <row r="14241">
      <c r="G14241" s="16" t="str">
        <f>IFERROR(__xludf.DUMMYFUNCTION("""COMPUTED_VALUE"""),"")</f>
        <v/>
      </c>
    </row>
    <row r="14242">
      <c r="G14242" s="16" t="str">
        <f>IFERROR(__xludf.DUMMYFUNCTION("""COMPUTED_VALUE"""),"")</f>
        <v/>
      </c>
    </row>
    <row r="14243">
      <c r="G14243" s="16" t="str">
        <f>IFERROR(__xludf.DUMMYFUNCTION("""COMPUTED_VALUE"""),"")</f>
        <v/>
      </c>
    </row>
    <row r="14244">
      <c r="G14244" s="16" t="str">
        <f>IFERROR(__xludf.DUMMYFUNCTION("""COMPUTED_VALUE"""),"")</f>
        <v/>
      </c>
    </row>
    <row r="14245">
      <c r="G14245" s="16" t="str">
        <f>IFERROR(__xludf.DUMMYFUNCTION("""COMPUTED_VALUE"""),"")</f>
        <v/>
      </c>
    </row>
    <row r="14246">
      <c r="G14246" s="16" t="str">
        <f>IFERROR(__xludf.DUMMYFUNCTION("""COMPUTED_VALUE"""),"")</f>
        <v/>
      </c>
    </row>
    <row r="14247">
      <c r="G14247" s="16" t="str">
        <f>IFERROR(__xludf.DUMMYFUNCTION("""COMPUTED_VALUE"""),"")</f>
        <v/>
      </c>
    </row>
    <row r="14248">
      <c r="G14248" s="16" t="str">
        <f>IFERROR(__xludf.DUMMYFUNCTION("""COMPUTED_VALUE"""),"")</f>
        <v/>
      </c>
    </row>
    <row r="14249">
      <c r="G14249" s="16" t="str">
        <f>IFERROR(__xludf.DUMMYFUNCTION("""COMPUTED_VALUE"""),"")</f>
        <v/>
      </c>
    </row>
    <row r="14250">
      <c r="G14250" s="16" t="str">
        <f>IFERROR(__xludf.DUMMYFUNCTION("""COMPUTED_VALUE"""),"")</f>
        <v/>
      </c>
    </row>
    <row r="14251">
      <c r="G14251" s="16" t="str">
        <f>IFERROR(__xludf.DUMMYFUNCTION("""COMPUTED_VALUE"""),"")</f>
        <v/>
      </c>
    </row>
    <row r="14252">
      <c r="G14252" s="16" t="str">
        <f>IFERROR(__xludf.DUMMYFUNCTION("""COMPUTED_VALUE"""),"")</f>
        <v/>
      </c>
    </row>
    <row r="14253">
      <c r="G14253" s="16" t="str">
        <f>IFERROR(__xludf.DUMMYFUNCTION("""COMPUTED_VALUE"""),"")</f>
        <v/>
      </c>
    </row>
    <row r="14254">
      <c r="G14254" s="16" t="str">
        <f>IFERROR(__xludf.DUMMYFUNCTION("""COMPUTED_VALUE"""),"")</f>
        <v/>
      </c>
    </row>
    <row r="14255">
      <c r="G14255" s="16" t="str">
        <f>IFERROR(__xludf.DUMMYFUNCTION("""COMPUTED_VALUE"""),"")</f>
        <v/>
      </c>
    </row>
    <row r="14256">
      <c r="G14256" s="16" t="str">
        <f>IFERROR(__xludf.DUMMYFUNCTION("""COMPUTED_VALUE"""),"")</f>
        <v/>
      </c>
    </row>
    <row r="14257">
      <c r="G14257" s="16" t="str">
        <f>IFERROR(__xludf.DUMMYFUNCTION("""COMPUTED_VALUE"""),"")</f>
        <v/>
      </c>
    </row>
    <row r="14258">
      <c r="G14258" s="16" t="str">
        <f>IFERROR(__xludf.DUMMYFUNCTION("""COMPUTED_VALUE"""),"")</f>
        <v/>
      </c>
    </row>
    <row r="14259">
      <c r="G14259" s="16" t="str">
        <f>IFERROR(__xludf.DUMMYFUNCTION("""COMPUTED_VALUE"""),"")</f>
        <v/>
      </c>
    </row>
    <row r="14260">
      <c r="G14260" s="16" t="str">
        <f>IFERROR(__xludf.DUMMYFUNCTION("""COMPUTED_VALUE"""),"")</f>
        <v/>
      </c>
    </row>
    <row r="14261">
      <c r="G14261" s="16" t="str">
        <f>IFERROR(__xludf.DUMMYFUNCTION("""COMPUTED_VALUE"""),"")</f>
        <v/>
      </c>
    </row>
    <row r="14262">
      <c r="G14262" s="16" t="str">
        <f>IFERROR(__xludf.DUMMYFUNCTION("""COMPUTED_VALUE"""),"")</f>
        <v/>
      </c>
    </row>
    <row r="14263">
      <c r="G14263" s="16" t="str">
        <f>IFERROR(__xludf.DUMMYFUNCTION("""COMPUTED_VALUE"""),"")</f>
        <v/>
      </c>
    </row>
    <row r="14264">
      <c r="G14264" s="16" t="str">
        <f>IFERROR(__xludf.DUMMYFUNCTION("""COMPUTED_VALUE"""),"")</f>
        <v/>
      </c>
    </row>
    <row r="14265">
      <c r="G14265" s="16" t="str">
        <f>IFERROR(__xludf.DUMMYFUNCTION("""COMPUTED_VALUE"""),"")</f>
        <v/>
      </c>
    </row>
    <row r="14266">
      <c r="G14266" s="16" t="str">
        <f>IFERROR(__xludf.DUMMYFUNCTION("""COMPUTED_VALUE"""),"")</f>
        <v/>
      </c>
    </row>
    <row r="14267">
      <c r="G14267" s="16" t="str">
        <f>IFERROR(__xludf.DUMMYFUNCTION("""COMPUTED_VALUE"""),"")</f>
        <v/>
      </c>
    </row>
    <row r="14268">
      <c r="G14268" s="16" t="str">
        <f>IFERROR(__xludf.DUMMYFUNCTION("""COMPUTED_VALUE"""),"")</f>
        <v/>
      </c>
    </row>
    <row r="14269">
      <c r="G14269" s="16" t="str">
        <f>IFERROR(__xludf.DUMMYFUNCTION("""COMPUTED_VALUE"""),"")</f>
        <v/>
      </c>
    </row>
    <row r="14270">
      <c r="G14270" s="16" t="str">
        <f>IFERROR(__xludf.DUMMYFUNCTION("""COMPUTED_VALUE"""),"")</f>
        <v/>
      </c>
    </row>
    <row r="14271">
      <c r="G14271" s="16" t="str">
        <f>IFERROR(__xludf.DUMMYFUNCTION("""COMPUTED_VALUE"""),"")</f>
        <v/>
      </c>
    </row>
    <row r="14272">
      <c r="G14272" s="16" t="str">
        <f>IFERROR(__xludf.DUMMYFUNCTION("""COMPUTED_VALUE"""),"")</f>
        <v/>
      </c>
    </row>
    <row r="14273">
      <c r="G14273" s="16" t="str">
        <f>IFERROR(__xludf.DUMMYFUNCTION("""COMPUTED_VALUE"""),"")</f>
        <v/>
      </c>
    </row>
    <row r="14274">
      <c r="G14274" s="16" t="str">
        <f>IFERROR(__xludf.DUMMYFUNCTION("""COMPUTED_VALUE"""),"")</f>
        <v/>
      </c>
    </row>
    <row r="14275">
      <c r="G14275" s="16" t="str">
        <f>IFERROR(__xludf.DUMMYFUNCTION("""COMPUTED_VALUE"""),"")</f>
        <v/>
      </c>
    </row>
    <row r="14276">
      <c r="G14276" s="16" t="str">
        <f>IFERROR(__xludf.DUMMYFUNCTION("""COMPUTED_VALUE"""),"")</f>
        <v/>
      </c>
    </row>
    <row r="14277">
      <c r="G14277" s="16" t="str">
        <f>IFERROR(__xludf.DUMMYFUNCTION("""COMPUTED_VALUE"""),"")</f>
        <v/>
      </c>
    </row>
    <row r="14278">
      <c r="G14278" s="16" t="str">
        <f>IFERROR(__xludf.DUMMYFUNCTION("""COMPUTED_VALUE"""),"")</f>
        <v/>
      </c>
    </row>
    <row r="14279">
      <c r="G14279" s="16" t="str">
        <f>IFERROR(__xludf.DUMMYFUNCTION("""COMPUTED_VALUE"""),"")</f>
        <v/>
      </c>
    </row>
    <row r="14280">
      <c r="G14280" s="16" t="str">
        <f>IFERROR(__xludf.DUMMYFUNCTION("""COMPUTED_VALUE"""),"")</f>
        <v/>
      </c>
    </row>
    <row r="14281">
      <c r="G14281" s="16" t="str">
        <f>IFERROR(__xludf.DUMMYFUNCTION("""COMPUTED_VALUE"""),"")</f>
        <v/>
      </c>
    </row>
    <row r="14282">
      <c r="G14282" s="16" t="str">
        <f>IFERROR(__xludf.DUMMYFUNCTION("""COMPUTED_VALUE"""),"")</f>
        <v/>
      </c>
    </row>
    <row r="14283">
      <c r="G14283" s="16" t="str">
        <f>IFERROR(__xludf.DUMMYFUNCTION("""COMPUTED_VALUE"""),"")</f>
        <v/>
      </c>
    </row>
    <row r="14284">
      <c r="G14284" s="16" t="str">
        <f>IFERROR(__xludf.DUMMYFUNCTION("""COMPUTED_VALUE"""),"")</f>
        <v/>
      </c>
    </row>
    <row r="14285">
      <c r="G14285" s="16" t="str">
        <f>IFERROR(__xludf.DUMMYFUNCTION("""COMPUTED_VALUE"""),"")</f>
        <v/>
      </c>
    </row>
    <row r="14286">
      <c r="G14286" s="16" t="str">
        <f>IFERROR(__xludf.DUMMYFUNCTION("""COMPUTED_VALUE"""),"")</f>
        <v/>
      </c>
    </row>
    <row r="14287">
      <c r="G14287" s="16" t="str">
        <f>IFERROR(__xludf.DUMMYFUNCTION("""COMPUTED_VALUE"""),"")</f>
        <v/>
      </c>
    </row>
    <row r="14288">
      <c r="G14288" s="16" t="str">
        <f>IFERROR(__xludf.DUMMYFUNCTION("""COMPUTED_VALUE"""),"")</f>
        <v/>
      </c>
    </row>
    <row r="14289">
      <c r="G14289" s="16" t="str">
        <f>IFERROR(__xludf.DUMMYFUNCTION("""COMPUTED_VALUE"""),"")</f>
        <v/>
      </c>
    </row>
    <row r="14290">
      <c r="G14290" s="16" t="str">
        <f>IFERROR(__xludf.DUMMYFUNCTION("""COMPUTED_VALUE"""),"")</f>
        <v/>
      </c>
    </row>
    <row r="14291">
      <c r="G14291" s="16" t="str">
        <f>IFERROR(__xludf.DUMMYFUNCTION("""COMPUTED_VALUE"""),"")</f>
        <v/>
      </c>
    </row>
    <row r="14292">
      <c r="G14292" s="16" t="str">
        <f>IFERROR(__xludf.DUMMYFUNCTION("""COMPUTED_VALUE"""),"")</f>
        <v/>
      </c>
    </row>
    <row r="14293">
      <c r="G14293" s="16" t="str">
        <f>IFERROR(__xludf.DUMMYFUNCTION("""COMPUTED_VALUE"""),"")</f>
        <v/>
      </c>
    </row>
    <row r="14294">
      <c r="G14294" s="16" t="str">
        <f>IFERROR(__xludf.DUMMYFUNCTION("""COMPUTED_VALUE"""),"")</f>
        <v/>
      </c>
    </row>
    <row r="14295">
      <c r="G14295" s="16" t="str">
        <f>IFERROR(__xludf.DUMMYFUNCTION("""COMPUTED_VALUE"""),"")</f>
        <v/>
      </c>
    </row>
    <row r="14296">
      <c r="G14296" s="16" t="str">
        <f>IFERROR(__xludf.DUMMYFUNCTION("""COMPUTED_VALUE"""),"")</f>
        <v/>
      </c>
    </row>
    <row r="14297">
      <c r="G14297" s="16" t="str">
        <f>IFERROR(__xludf.DUMMYFUNCTION("""COMPUTED_VALUE"""),"")</f>
        <v/>
      </c>
    </row>
    <row r="14298">
      <c r="G14298" s="16" t="str">
        <f>IFERROR(__xludf.DUMMYFUNCTION("""COMPUTED_VALUE"""),"")</f>
        <v/>
      </c>
    </row>
    <row r="14299">
      <c r="G14299" s="16" t="str">
        <f>IFERROR(__xludf.DUMMYFUNCTION("""COMPUTED_VALUE"""),"")</f>
        <v/>
      </c>
    </row>
    <row r="14300">
      <c r="G14300" s="16" t="str">
        <f>IFERROR(__xludf.DUMMYFUNCTION("""COMPUTED_VALUE"""),"")</f>
        <v/>
      </c>
    </row>
    <row r="14301">
      <c r="G14301" s="16" t="str">
        <f>IFERROR(__xludf.DUMMYFUNCTION("""COMPUTED_VALUE"""),"")</f>
        <v/>
      </c>
    </row>
    <row r="14302">
      <c r="G14302" s="16" t="str">
        <f>IFERROR(__xludf.DUMMYFUNCTION("""COMPUTED_VALUE"""),"")</f>
        <v/>
      </c>
    </row>
    <row r="14303">
      <c r="G14303" s="16" t="str">
        <f>IFERROR(__xludf.DUMMYFUNCTION("""COMPUTED_VALUE"""),"")</f>
        <v/>
      </c>
    </row>
    <row r="14304">
      <c r="G14304" s="16" t="str">
        <f>IFERROR(__xludf.DUMMYFUNCTION("""COMPUTED_VALUE"""),"")</f>
        <v/>
      </c>
    </row>
    <row r="14305">
      <c r="G14305" s="16" t="str">
        <f>IFERROR(__xludf.DUMMYFUNCTION("""COMPUTED_VALUE"""),"")</f>
        <v/>
      </c>
    </row>
    <row r="14306">
      <c r="G14306" s="16" t="str">
        <f>IFERROR(__xludf.DUMMYFUNCTION("""COMPUTED_VALUE"""),"")</f>
        <v/>
      </c>
    </row>
    <row r="14307">
      <c r="G14307" s="16" t="str">
        <f>IFERROR(__xludf.DUMMYFUNCTION("""COMPUTED_VALUE"""),"")</f>
        <v/>
      </c>
    </row>
    <row r="14308">
      <c r="G14308" s="16" t="str">
        <f>IFERROR(__xludf.DUMMYFUNCTION("""COMPUTED_VALUE"""),"")</f>
        <v/>
      </c>
    </row>
    <row r="14309">
      <c r="G14309" s="16" t="str">
        <f>IFERROR(__xludf.DUMMYFUNCTION("""COMPUTED_VALUE"""),"")</f>
        <v/>
      </c>
    </row>
    <row r="14310">
      <c r="G14310" s="16" t="str">
        <f>IFERROR(__xludf.DUMMYFUNCTION("""COMPUTED_VALUE"""),"")</f>
        <v/>
      </c>
    </row>
    <row r="14311">
      <c r="G14311" s="16" t="str">
        <f>IFERROR(__xludf.DUMMYFUNCTION("""COMPUTED_VALUE"""),"")</f>
        <v/>
      </c>
    </row>
    <row r="14312">
      <c r="G14312" s="16" t="str">
        <f>IFERROR(__xludf.DUMMYFUNCTION("""COMPUTED_VALUE"""),"")</f>
        <v/>
      </c>
    </row>
    <row r="14313">
      <c r="G14313" s="16" t="str">
        <f>IFERROR(__xludf.DUMMYFUNCTION("""COMPUTED_VALUE"""),"")</f>
        <v/>
      </c>
    </row>
    <row r="14314">
      <c r="G14314" s="16" t="str">
        <f>IFERROR(__xludf.DUMMYFUNCTION("""COMPUTED_VALUE"""),"")</f>
        <v/>
      </c>
    </row>
    <row r="14315">
      <c r="G14315" s="16" t="str">
        <f>IFERROR(__xludf.DUMMYFUNCTION("""COMPUTED_VALUE"""),"")</f>
        <v/>
      </c>
    </row>
    <row r="14316">
      <c r="G14316" s="16" t="str">
        <f>IFERROR(__xludf.DUMMYFUNCTION("""COMPUTED_VALUE"""),"")</f>
        <v/>
      </c>
    </row>
    <row r="14317">
      <c r="G14317" s="16" t="str">
        <f>IFERROR(__xludf.DUMMYFUNCTION("""COMPUTED_VALUE"""),"")</f>
        <v/>
      </c>
    </row>
    <row r="14318">
      <c r="G14318" s="16" t="str">
        <f>IFERROR(__xludf.DUMMYFUNCTION("""COMPUTED_VALUE"""),"")</f>
        <v/>
      </c>
    </row>
    <row r="14319">
      <c r="G14319" s="16" t="str">
        <f>IFERROR(__xludf.DUMMYFUNCTION("""COMPUTED_VALUE"""),"")</f>
        <v/>
      </c>
    </row>
    <row r="14320">
      <c r="G14320" s="16" t="str">
        <f>IFERROR(__xludf.DUMMYFUNCTION("""COMPUTED_VALUE"""),"")</f>
        <v/>
      </c>
    </row>
    <row r="14321">
      <c r="G14321" s="16" t="str">
        <f>IFERROR(__xludf.DUMMYFUNCTION("""COMPUTED_VALUE"""),"")</f>
        <v/>
      </c>
    </row>
    <row r="14322">
      <c r="G14322" s="16" t="str">
        <f>IFERROR(__xludf.DUMMYFUNCTION("""COMPUTED_VALUE"""),"")</f>
        <v/>
      </c>
    </row>
    <row r="14323">
      <c r="G14323" s="16" t="str">
        <f>IFERROR(__xludf.DUMMYFUNCTION("""COMPUTED_VALUE"""),"")</f>
        <v/>
      </c>
    </row>
    <row r="14324">
      <c r="G14324" s="16" t="str">
        <f>IFERROR(__xludf.DUMMYFUNCTION("""COMPUTED_VALUE"""),"")</f>
        <v/>
      </c>
    </row>
    <row r="14325">
      <c r="G14325" s="16" t="str">
        <f>IFERROR(__xludf.DUMMYFUNCTION("""COMPUTED_VALUE"""),"")</f>
        <v/>
      </c>
    </row>
    <row r="14326">
      <c r="G14326" s="16" t="str">
        <f>IFERROR(__xludf.DUMMYFUNCTION("""COMPUTED_VALUE"""),"")</f>
        <v/>
      </c>
    </row>
    <row r="14327">
      <c r="G14327" s="16" t="str">
        <f>IFERROR(__xludf.DUMMYFUNCTION("""COMPUTED_VALUE"""),"")</f>
        <v/>
      </c>
    </row>
    <row r="14328">
      <c r="G14328" s="16" t="str">
        <f>IFERROR(__xludf.DUMMYFUNCTION("""COMPUTED_VALUE"""),"")</f>
        <v/>
      </c>
    </row>
    <row r="14329">
      <c r="G14329" s="16" t="str">
        <f>IFERROR(__xludf.DUMMYFUNCTION("""COMPUTED_VALUE"""),"")</f>
        <v/>
      </c>
    </row>
    <row r="14330">
      <c r="G14330" s="16" t="str">
        <f>IFERROR(__xludf.DUMMYFUNCTION("""COMPUTED_VALUE"""),"")</f>
        <v/>
      </c>
    </row>
    <row r="14331">
      <c r="G14331" s="16" t="str">
        <f>IFERROR(__xludf.DUMMYFUNCTION("""COMPUTED_VALUE"""),"")</f>
        <v/>
      </c>
    </row>
    <row r="14332">
      <c r="G14332" s="16" t="str">
        <f>IFERROR(__xludf.DUMMYFUNCTION("""COMPUTED_VALUE"""),"")</f>
        <v/>
      </c>
    </row>
    <row r="14333">
      <c r="G14333" s="16" t="str">
        <f>IFERROR(__xludf.DUMMYFUNCTION("""COMPUTED_VALUE"""),"")</f>
        <v/>
      </c>
    </row>
    <row r="14334">
      <c r="G14334" s="16" t="str">
        <f>IFERROR(__xludf.DUMMYFUNCTION("""COMPUTED_VALUE"""),"")</f>
        <v/>
      </c>
    </row>
    <row r="14335">
      <c r="G14335" s="16" t="str">
        <f>IFERROR(__xludf.DUMMYFUNCTION("""COMPUTED_VALUE"""),"")</f>
        <v/>
      </c>
    </row>
    <row r="14336">
      <c r="G14336" s="16" t="str">
        <f>IFERROR(__xludf.DUMMYFUNCTION("""COMPUTED_VALUE"""),"")</f>
        <v/>
      </c>
    </row>
    <row r="14337">
      <c r="G14337" s="16" t="str">
        <f>IFERROR(__xludf.DUMMYFUNCTION("""COMPUTED_VALUE"""),"")</f>
        <v/>
      </c>
    </row>
    <row r="14338">
      <c r="G14338" s="16" t="str">
        <f>IFERROR(__xludf.DUMMYFUNCTION("""COMPUTED_VALUE"""),"")</f>
        <v/>
      </c>
    </row>
    <row r="14339">
      <c r="G14339" s="16" t="str">
        <f>IFERROR(__xludf.DUMMYFUNCTION("""COMPUTED_VALUE"""),"")</f>
        <v/>
      </c>
    </row>
    <row r="14340">
      <c r="G14340" s="16" t="str">
        <f>IFERROR(__xludf.DUMMYFUNCTION("""COMPUTED_VALUE"""),"")</f>
        <v/>
      </c>
    </row>
    <row r="14341">
      <c r="G14341" s="16" t="str">
        <f>IFERROR(__xludf.DUMMYFUNCTION("""COMPUTED_VALUE"""),"")</f>
        <v/>
      </c>
    </row>
    <row r="14342">
      <c r="G14342" s="16" t="str">
        <f>IFERROR(__xludf.DUMMYFUNCTION("""COMPUTED_VALUE"""),"")</f>
        <v/>
      </c>
    </row>
    <row r="14343">
      <c r="G14343" s="16" t="str">
        <f>IFERROR(__xludf.DUMMYFUNCTION("""COMPUTED_VALUE"""),"")</f>
        <v/>
      </c>
    </row>
    <row r="14344">
      <c r="G14344" s="16" t="str">
        <f>IFERROR(__xludf.DUMMYFUNCTION("""COMPUTED_VALUE"""),"")</f>
        <v/>
      </c>
    </row>
    <row r="14345">
      <c r="G14345" s="16" t="str">
        <f>IFERROR(__xludf.DUMMYFUNCTION("""COMPUTED_VALUE"""),"")</f>
        <v/>
      </c>
    </row>
    <row r="14346">
      <c r="G14346" s="16" t="str">
        <f>IFERROR(__xludf.DUMMYFUNCTION("""COMPUTED_VALUE"""),"")</f>
        <v/>
      </c>
    </row>
    <row r="14347">
      <c r="G14347" s="16" t="str">
        <f>IFERROR(__xludf.DUMMYFUNCTION("""COMPUTED_VALUE"""),"")</f>
        <v/>
      </c>
    </row>
    <row r="14348">
      <c r="G14348" s="16" t="str">
        <f>IFERROR(__xludf.DUMMYFUNCTION("""COMPUTED_VALUE"""),"")</f>
        <v/>
      </c>
    </row>
    <row r="14349">
      <c r="G14349" s="16" t="str">
        <f>IFERROR(__xludf.DUMMYFUNCTION("""COMPUTED_VALUE"""),"")</f>
        <v/>
      </c>
    </row>
    <row r="14350">
      <c r="G14350" s="16" t="str">
        <f>IFERROR(__xludf.DUMMYFUNCTION("""COMPUTED_VALUE"""),"")</f>
        <v/>
      </c>
    </row>
    <row r="14351">
      <c r="G14351" s="16" t="str">
        <f>IFERROR(__xludf.DUMMYFUNCTION("""COMPUTED_VALUE"""),"")</f>
        <v/>
      </c>
    </row>
    <row r="14352">
      <c r="G14352" s="16" t="str">
        <f>IFERROR(__xludf.DUMMYFUNCTION("""COMPUTED_VALUE"""),"")</f>
        <v/>
      </c>
    </row>
    <row r="14353">
      <c r="G14353" s="16" t="str">
        <f>IFERROR(__xludf.DUMMYFUNCTION("""COMPUTED_VALUE"""),"")</f>
        <v/>
      </c>
    </row>
    <row r="14354">
      <c r="G14354" s="16" t="str">
        <f>IFERROR(__xludf.DUMMYFUNCTION("""COMPUTED_VALUE"""),"")</f>
        <v/>
      </c>
    </row>
    <row r="14355">
      <c r="G14355" s="16" t="str">
        <f>IFERROR(__xludf.DUMMYFUNCTION("""COMPUTED_VALUE"""),"")</f>
        <v/>
      </c>
    </row>
    <row r="14356">
      <c r="G14356" s="16" t="str">
        <f>IFERROR(__xludf.DUMMYFUNCTION("""COMPUTED_VALUE"""),"")</f>
        <v/>
      </c>
    </row>
    <row r="14357">
      <c r="G14357" s="16" t="str">
        <f>IFERROR(__xludf.DUMMYFUNCTION("""COMPUTED_VALUE"""),"")</f>
        <v/>
      </c>
    </row>
    <row r="14358">
      <c r="G14358" s="16" t="str">
        <f>IFERROR(__xludf.DUMMYFUNCTION("""COMPUTED_VALUE"""),"")</f>
        <v/>
      </c>
    </row>
    <row r="14359">
      <c r="G14359" s="16" t="str">
        <f>IFERROR(__xludf.DUMMYFUNCTION("""COMPUTED_VALUE"""),"")</f>
        <v/>
      </c>
    </row>
    <row r="14360">
      <c r="G14360" s="16" t="str">
        <f>IFERROR(__xludf.DUMMYFUNCTION("""COMPUTED_VALUE"""),"")</f>
        <v/>
      </c>
    </row>
    <row r="14361">
      <c r="G14361" s="16" t="str">
        <f>IFERROR(__xludf.DUMMYFUNCTION("""COMPUTED_VALUE"""),"")</f>
        <v/>
      </c>
    </row>
    <row r="14362">
      <c r="G14362" s="16" t="str">
        <f>IFERROR(__xludf.DUMMYFUNCTION("""COMPUTED_VALUE"""),"")</f>
        <v/>
      </c>
    </row>
    <row r="14363">
      <c r="G14363" s="16" t="str">
        <f>IFERROR(__xludf.DUMMYFUNCTION("""COMPUTED_VALUE"""),"")</f>
        <v/>
      </c>
    </row>
    <row r="14364">
      <c r="G14364" s="16" t="str">
        <f>IFERROR(__xludf.DUMMYFUNCTION("""COMPUTED_VALUE"""),"")</f>
        <v/>
      </c>
    </row>
    <row r="14365">
      <c r="G14365" s="16" t="str">
        <f>IFERROR(__xludf.DUMMYFUNCTION("""COMPUTED_VALUE"""),"")</f>
        <v/>
      </c>
    </row>
    <row r="14366">
      <c r="G14366" s="16" t="str">
        <f>IFERROR(__xludf.DUMMYFUNCTION("""COMPUTED_VALUE"""),"")</f>
        <v/>
      </c>
    </row>
    <row r="14367">
      <c r="G14367" s="16" t="str">
        <f>IFERROR(__xludf.DUMMYFUNCTION("""COMPUTED_VALUE"""),"")</f>
        <v/>
      </c>
    </row>
    <row r="14368">
      <c r="G14368" s="16" t="str">
        <f>IFERROR(__xludf.DUMMYFUNCTION("""COMPUTED_VALUE"""),"")</f>
        <v/>
      </c>
    </row>
    <row r="14369">
      <c r="G14369" s="16" t="str">
        <f>IFERROR(__xludf.DUMMYFUNCTION("""COMPUTED_VALUE"""),"")</f>
        <v/>
      </c>
    </row>
    <row r="14370">
      <c r="G14370" s="16" t="str">
        <f>IFERROR(__xludf.DUMMYFUNCTION("""COMPUTED_VALUE"""),"")</f>
        <v/>
      </c>
    </row>
    <row r="14371">
      <c r="G14371" s="16" t="str">
        <f>IFERROR(__xludf.DUMMYFUNCTION("""COMPUTED_VALUE"""),"")</f>
        <v/>
      </c>
    </row>
    <row r="14372">
      <c r="G14372" s="16" t="str">
        <f>IFERROR(__xludf.DUMMYFUNCTION("""COMPUTED_VALUE"""),"")</f>
        <v/>
      </c>
    </row>
    <row r="14373">
      <c r="G14373" s="16" t="str">
        <f>IFERROR(__xludf.DUMMYFUNCTION("""COMPUTED_VALUE"""),"")</f>
        <v/>
      </c>
    </row>
    <row r="14374">
      <c r="G14374" s="16" t="str">
        <f>IFERROR(__xludf.DUMMYFUNCTION("""COMPUTED_VALUE"""),"")</f>
        <v/>
      </c>
    </row>
    <row r="14375">
      <c r="G14375" s="16" t="str">
        <f>IFERROR(__xludf.DUMMYFUNCTION("""COMPUTED_VALUE"""),"")</f>
        <v/>
      </c>
    </row>
    <row r="14376">
      <c r="G14376" s="16" t="str">
        <f>IFERROR(__xludf.DUMMYFUNCTION("""COMPUTED_VALUE"""),"")</f>
        <v/>
      </c>
    </row>
    <row r="14377">
      <c r="G14377" s="16" t="str">
        <f>IFERROR(__xludf.DUMMYFUNCTION("""COMPUTED_VALUE"""),"")</f>
        <v/>
      </c>
    </row>
    <row r="14378">
      <c r="G14378" s="16" t="str">
        <f>IFERROR(__xludf.DUMMYFUNCTION("""COMPUTED_VALUE"""),"")</f>
        <v/>
      </c>
    </row>
    <row r="14379">
      <c r="G14379" s="16" t="str">
        <f>IFERROR(__xludf.DUMMYFUNCTION("""COMPUTED_VALUE"""),"")</f>
        <v/>
      </c>
    </row>
    <row r="14380">
      <c r="G14380" s="16" t="str">
        <f>IFERROR(__xludf.DUMMYFUNCTION("""COMPUTED_VALUE"""),"")</f>
        <v/>
      </c>
    </row>
    <row r="14381">
      <c r="G14381" s="16" t="str">
        <f>IFERROR(__xludf.DUMMYFUNCTION("""COMPUTED_VALUE"""),"")</f>
        <v/>
      </c>
    </row>
    <row r="14382">
      <c r="G14382" s="16" t="str">
        <f>IFERROR(__xludf.DUMMYFUNCTION("""COMPUTED_VALUE"""),"")</f>
        <v/>
      </c>
    </row>
    <row r="14383">
      <c r="G14383" s="16" t="str">
        <f>IFERROR(__xludf.DUMMYFUNCTION("""COMPUTED_VALUE"""),"")</f>
        <v/>
      </c>
    </row>
    <row r="14384">
      <c r="G14384" s="16" t="str">
        <f>IFERROR(__xludf.DUMMYFUNCTION("""COMPUTED_VALUE"""),"")</f>
        <v/>
      </c>
    </row>
    <row r="14385">
      <c r="G14385" s="16" t="str">
        <f>IFERROR(__xludf.DUMMYFUNCTION("""COMPUTED_VALUE"""),"")</f>
        <v/>
      </c>
    </row>
    <row r="14386">
      <c r="G14386" s="16" t="str">
        <f>IFERROR(__xludf.DUMMYFUNCTION("""COMPUTED_VALUE"""),"")</f>
        <v/>
      </c>
    </row>
    <row r="14387">
      <c r="G14387" s="16" t="str">
        <f>IFERROR(__xludf.DUMMYFUNCTION("""COMPUTED_VALUE"""),"")</f>
        <v/>
      </c>
    </row>
    <row r="14388">
      <c r="G14388" s="16" t="str">
        <f>IFERROR(__xludf.DUMMYFUNCTION("""COMPUTED_VALUE"""),"")</f>
        <v/>
      </c>
    </row>
    <row r="14389">
      <c r="G14389" s="16" t="str">
        <f>IFERROR(__xludf.DUMMYFUNCTION("""COMPUTED_VALUE"""),"")</f>
        <v/>
      </c>
    </row>
    <row r="14390">
      <c r="G14390" s="16" t="str">
        <f>IFERROR(__xludf.DUMMYFUNCTION("""COMPUTED_VALUE"""),"")</f>
        <v/>
      </c>
    </row>
    <row r="14391">
      <c r="G14391" s="16" t="str">
        <f>IFERROR(__xludf.DUMMYFUNCTION("""COMPUTED_VALUE"""),"")</f>
        <v/>
      </c>
    </row>
    <row r="14392">
      <c r="G14392" s="16" t="str">
        <f>IFERROR(__xludf.DUMMYFUNCTION("""COMPUTED_VALUE"""),"")</f>
        <v/>
      </c>
    </row>
    <row r="14393">
      <c r="G14393" s="16" t="str">
        <f>IFERROR(__xludf.DUMMYFUNCTION("""COMPUTED_VALUE"""),"")</f>
        <v/>
      </c>
    </row>
    <row r="14394">
      <c r="G14394" s="16" t="str">
        <f>IFERROR(__xludf.DUMMYFUNCTION("""COMPUTED_VALUE"""),"")</f>
        <v/>
      </c>
    </row>
    <row r="14395">
      <c r="G14395" s="16" t="str">
        <f>IFERROR(__xludf.DUMMYFUNCTION("""COMPUTED_VALUE"""),"")</f>
        <v/>
      </c>
    </row>
    <row r="14396">
      <c r="G14396" s="16" t="str">
        <f>IFERROR(__xludf.DUMMYFUNCTION("""COMPUTED_VALUE"""),"")</f>
        <v/>
      </c>
    </row>
    <row r="14397">
      <c r="G14397" s="16" t="str">
        <f>IFERROR(__xludf.DUMMYFUNCTION("""COMPUTED_VALUE"""),"")</f>
        <v/>
      </c>
    </row>
    <row r="14398">
      <c r="G14398" s="16" t="str">
        <f>IFERROR(__xludf.DUMMYFUNCTION("""COMPUTED_VALUE"""),"")</f>
        <v/>
      </c>
    </row>
    <row r="14399">
      <c r="G14399" s="16" t="str">
        <f>IFERROR(__xludf.DUMMYFUNCTION("""COMPUTED_VALUE"""),"")</f>
        <v/>
      </c>
    </row>
    <row r="14400">
      <c r="G14400" s="16" t="str">
        <f>IFERROR(__xludf.DUMMYFUNCTION("""COMPUTED_VALUE"""),"")</f>
        <v/>
      </c>
    </row>
    <row r="14401">
      <c r="G14401" s="16" t="str">
        <f>IFERROR(__xludf.DUMMYFUNCTION("""COMPUTED_VALUE"""),"")</f>
        <v/>
      </c>
    </row>
    <row r="14402">
      <c r="G14402" s="16" t="str">
        <f>IFERROR(__xludf.DUMMYFUNCTION("""COMPUTED_VALUE"""),"")</f>
        <v/>
      </c>
    </row>
    <row r="14403">
      <c r="G14403" s="16" t="str">
        <f>IFERROR(__xludf.DUMMYFUNCTION("""COMPUTED_VALUE"""),"")</f>
        <v/>
      </c>
    </row>
    <row r="14404">
      <c r="G14404" s="16" t="str">
        <f>IFERROR(__xludf.DUMMYFUNCTION("""COMPUTED_VALUE"""),"")</f>
        <v/>
      </c>
    </row>
    <row r="14405">
      <c r="G14405" s="16" t="str">
        <f>IFERROR(__xludf.DUMMYFUNCTION("""COMPUTED_VALUE"""),"")</f>
        <v/>
      </c>
    </row>
    <row r="14406">
      <c r="G14406" s="16" t="str">
        <f>IFERROR(__xludf.DUMMYFUNCTION("""COMPUTED_VALUE"""),"")</f>
        <v/>
      </c>
    </row>
    <row r="14407">
      <c r="G14407" s="16" t="str">
        <f>IFERROR(__xludf.DUMMYFUNCTION("""COMPUTED_VALUE"""),"")</f>
        <v/>
      </c>
    </row>
    <row r="14408">
      <c r="G14408" s="16" t="str">
        <f>IFERROR(__xludf.DUMMYFUNCTION("""COMPUTED_VALUE"""),"")</f>
        <v/>
      </c>
    </row>
    <row r="14409">
      <c r="G14409" s="16" t="str">
        <f>IFERROR(__xludf.DUMMYFUNCTION("""COMPUTED_VALUE"""),"")</f>
        <v/>
      </c>
    </row>
    <row r="14410">
      <c r="G14410" s="16" t="str">
        <f>IFERROR(__xludf.DUMMYFUNCTION("""COMPUTED_VALUE"""),"")</f>
        <v/>
      </c>
    </row>
    <row r="14411">
      <c r="G14411" s="16" t="str">
        <f>IFERROR(__xludf.DUMMYFUNCTION("""COMPUTED_VALUE"""),"")</f>
        <v/>
      </c>
    </row>
    <row r="14412">
      <c r="G14412" s="16" t="str">
        <f>IFERROR(__xludf.DUMMYFUNCTION("""COMPUTED_VALUE"""),"")</f>
        <v/>
      </c>
    </row>
    <row r="14413">
      <c r="G14413" s="16" t="str">
        <f>IFERROR(__xludf.DUMMYFUNCTION("""COMPUTED_VALUE"""),"")</f>
        <v/>
      </c>
    </row>
    <row r="14414">
      <c r="G14414" s="16" t="str">
        <f>IFERROR(__xludf.DUMMYFUNCTION("""COMPUTED_VALUE"""),"")</f>
        <v/>
      </c>
    </row>
    <row r="14415">
      <c r="G14415" s="16" t="str">
        <f>IFERROR(__xludf.DUMMYFUNCTION("""COMPUTED_VALUE"""),"")</f>
        <v/>
      </c>
    </row>
    <row r="14416">
      <c r="G14416" s="16" t="str">
        <f>IFERROR(__xludf.DUMMYFUNCTION("""COMPUTED_VALUE"""),"")</f>
        <v/>
      </c>
    </row>
    <row r="14417">
      <c r="G14417" s="16" t="str">
        <f>IFERROR(__xludf.DUMMYFUNCTION("""COMPUTED_VALUE"""),"")</f>
        <v/>
      </c>
    </row>
    <row r="14418">
      <c r="G14418" s="16" t="str">
        <f>IFERROR(__xludf.DUMMYFUNCTION("""COMPUTED_VALUE"""),"")</f>
        <v/>
      </c>
    </row>
    <row r="14419">
      <c r="G14419" s="16" t="str">
        <f>IFERROR(__xludf.DUMMYFUNCTION("""COMPUTED_VALUE"""),"")</f>
        <v/>
      </c>
    </row>
    <row r="14420">
      <c r="G14420" s="16" t="str">
        <f>IFERROR(__xludf.DUMMYFUNCTION("""COMPUTED_VALUE"""),"")</f>
        <v/>
      </c>
    </row>
    <row r="14421">
      <c r="G14421" s="16" t="str">
        <f>IFERROR(__xludf.DUMMYFUNCTION("""COMPUTED_VALUE"""),"")</f>
        <v/>
      </c>
    </row>
    <row r="14422">
      <c r="G14422" s="16" t="str">
        <f>IFERROR(__xludf.DUMMYFUNCTION("""COMPUTED_VALUE"""),"")</f>
        <v/>
      </c>
    </row>
    <row r="14423">
      <c r="G14423" s="16" t="str">
        <f>IFERROR(__xludf.DUMMYFUNCTION("""COMPUTED_VALUE"""),"")</f>
        <v/>
      </c>
    </row>
    <row r="14424">
      <c r="G14424" s="16" t="str">
        <f>IFERROR(__xludf.DUMMYFUNCTION("""COMPUTED_VALUE"""),"")</f>
        <v/>
      </c>
    </row>
    <row r="14425">
      <c r="G14425" s="16" t="str">
        <f>IFERROR(__xludf.DUMMYFUNCTION("""COMPUTED_VALUE"""),"")</f>
        <v/>
      </c>
    </row>
    <row r="14426">
      <c r="G14426" s="16" t="str">
        <f>IFERROR(__xludf.DUMMYFUNCTION("""COMPUTED_VALUE"""),"")</f>
        <v/>
      </c>
    </row>
    <row r="14427">
      <c r="G14427" s="16" t="str">
        <f>IFERROR(__xludf.DUMMYFUNCTION("""COMPUTED_VALUE"""),"")</f>
        <v/>
      </c>
    </row>
    <row r="14428">
      <c r="G14428" s="16" t="str">
        <f>IFERROR(__xludf.DUMMYFUNCTION("""COMPUTED_VALUE"""),"")</f>
        <v/>
      </c>
    </row>
    <row r="14429">
      <c r="G14429" s="16" t="str">
        <f>IFERROR(__xludf.DUMMYFUNCTION("""COMPUTED_VALUE"""),"")</f>
        <v/>
      </c>
    </row>
    <row r="14430">
      <c r="G14430" s="16" t="str">
        <f>IFERROR(__xludf.DUMMYFUNCTION("""COMPUTED_VALUE"""),"")</f>
        <v/>
      </c>
    </row>
    <row r="14431">
      <c r="G14431" s="16" t="str">
        <f>IFERROR(__xludf.DUMMYFUNCTION("""COMPUTED_VALUE"""),"")</f>
        <v/>
      </c>
    </row>
    <row r="14432">
      <c r="G14432" s="16" t="str">
        <f>IFERROR(__xludf.DUMMYFUNCTION("""COMPUTED_VALUE"""),"")</f>
        <v/>
      </c>
    </row>
    <row r="14433">
      <c r="G14433" s="16" t="str">
        <f>IFERROR(__xludf.DUMMYFUNCTION("""COMPUTED_VALUE"""),"")</f>
        <v/>
      </c>
    </row>
    <row r="14434">
      <c r="G14434" s="16" t="str">
        <f>IFERROR(__xludf.DUMMYFUNCTION("""COMPUTED_VALUE"""),"")</f>
        <v/>
      </c>
    </row>
    <row r="14435">
      <c r="G14435" s="16" t="str">
        <f>IFERROR(__xludf.DUMMYFUNCTION("""COMPUTED_VALUE"""),"")</f>
        <v/>
      </c>
    </row>
    <row r="14436">
      <c r="G14436" s="16" t="str">
        <f>IFERROR(__xludf.DUMMYFUNCTION("""COMPUTED_VALUE"""),"")</f>
        <v/>
      </c>
    </row>
    <row r="14437">
      <c r="G14437" s="16" t="str">
        <f>IFERROR(__xludf.DUMMYFUNCTION("""COMPUTED_VALUE"""),"")</f>
        <v/>
      </c>
    </row>
    <row r="14438">
      <c r="G14438" s="16" t="str">
        <f>IFERROR(__xludf.DUMMYFUNCTION("""COMPUTED_VALUE"""),"")</f>
        <v/>
      </c>
    </row>
    <row r="14439">
      <c r="G14439" s="16" t="str">
        <f>IFERROR(__xludf.DUMMYFUNCTION("""COMPUTED_VALUE"""),"")</f>
        <v/>
      </c>
    </row>
    <row r="14440">
      <c r="G14440" s="16" t="str">
        <f>IFERROR(__xludf.DUMMYFUNCTION("""COMPUTED_VALUE"""),"")</f>
        <v/>
      </c>
    </row>
    <row r="14441">
      <c r="G14441" s="16" t="str">
        <f>IFERROR(__xludf.DUMMYFUNCTION("""COMPUTED_VALUE"""),"")</f>
        <v/>
      </c>
    </row>
    <row r="14442">
      <c r="G14442" s="16" t="str">
        <f>IFERROR(__xludf.DUMMYFUNCTION("""COMPUTED_VALUE"""),"")</f>
        <v/>
      </c>
    </row>
    <row r="14443">
      <c r="G14443" s="16" t="str">
        <f>IFERROR(__xludf.DUMMYFUNCTION("""COMPUTED_VALUE"""),"")</f>
        <v/>
      </c>
    </row>
    <row r="14444">
      <c r="G14444" s="16" t="str">
        <f>IFERROR(__xludf.DUMMYFUNCTION("""COMPUTED_VALUE"""),"")</f>
        <v/>
      </c>
    </row>
    <row r="14445">
      <c r="G14445" s="16" t="str">
        <f>IFERROR(__xludf.DUMMYFUNCTION("""COMPUTED_VALUE"""),"")</f>
        <v/>
      </c>
    </row>
    <row r="14446">
      <c r="G14446" s="16" t="str">
        <f>IFERROR(__xludf.DUMMYFUNCTION("""COMPUTED_VALUE"""),"")</f>
        <v/>
      </c>
    </row>
    <row r="14447">
      <c r="G14447" s="16" t="str">
        <f>IFERROR(__xludf.DUMMYFUNCTION("""COMPUTED_VALUE"""),"")</f>
        <v/>
      </c>
    </row>
    <row r="14448">
      <c r="G14448" s="16" t="str">
        <f>IFERROR(__xludf.DUMMYFUNCTION("""COMPUTED_VALUE"""),"")</f>
        <v/>
      </c>
    </row>
    <row r="14449">
      <c r="G14449" s="16" t="str">
        <f>IFERROR(__xludf.DUMMYFUNCTION("""COMPUTED_VALUE"""),"")</f>
        <v/>
      </c>
    </row>
    <row r="14450">
      <c r="G14450" s="16" t="str">
        <f>IFERROR(__xludf.DUMMYFUNCTION("""COMPUTED_VALUE"""),"")</f>
        <v/>
      </c>
    </row>
    <row r="14451">
      <c r="G14451" s="16" t="str">
        <f>IFERROR(__xludf.DUMMYFUNCTION("""COMPUTED_VALUE"""),"")</f>
        <v/>
      </c>
    </row>
    <row r="14452">
      <c r="G14452" s="16" t="str">
        <f>IFERROR(__xludf.DUMMYFUNCTION("""COMPUTED_VALUE"""),"")</f>
        <v/>
      </c>
    </row>
    <row r="14453">
      <c r="G14453" s="16" t="str">
        <f>IFERROR(__xludf.DUMMYFUNCTION("""COMPUTED_VALUE"""),"")</f>
        <v/>
      </c>
    </row>
    <row r="14454">
      <c r="G14454" s="16" t="str">
        <f>IFERROR(__xludf.DUMMYFUNCTION("""COMPUTED_VALUE"""),"")</f>
        <v/>
      </c>
    </row>
    <row r="14455">
      <c r="G14455" s="16" t="str">
        <f>IFERROR(__xludf.DUMMYFUNCTION("""COMPUTED_VALUE"""),"")</f>
        <v/>
      </c>
    </row>
    <row r="14456">
      <c r="G14456" s="16" t="str">
        <f>IFERROR(__xludf.DUMMYFUNCTION("""COMPUTED_VALUE"""),"")</f>
        <v/>
      </c>
    </row>
    <row r="14457">
      <c r="G14457" s="16" t="str">
        <f>IFERROR(__xludf.DUMMYFUNCTION("""COMPUTED_VALUE"""),"")</f>
        <v/>
      </c>
    </row>
    <row r="14458">
      <c r="G14458" s="16" t="str">
        <f>IFERROR(__xludf.DUMMYFUNCTION("""COMPUTED_VALUE"""),"")</f>
        <v/>
      </c>
    </row>
    <row r="14459">
      <c r="G14459" s="16" t="str">
        <f>IFERROR(__xludf.DUMMYFUNCTION("""COMPUTED_VALUE"""),"")</f>
        <v/>
      </c>
    </row>
    <row r="14460">
      <c r="G14460" s="16" t="str">
        <f>IFERROR(__xludf.DUMMYFUNCTION("""COMPUTED_VALUE"""),"")</f>
        <v/>
      </c>
    </row>
    <row r="14461">
      <c r="G14461" s="16" t="str">
        <f>IFERROR(__xludf.DUMMYFUNCTION("""COMPUTED_VALUE"""),"")</f>
        <v/>
      </c>
    </row>
    <row r="14462">
      <c r="G14462" s="16" t="str">
        <f>IFERROR(__xludf.DUMMYFUNCTION("""COMPUTED_VALUE"""),"")</f>
        <v/>
      </c>
    </row>
    <row r="14463">
      <c r="G14463" s="16" t="str">
        <f>IFERROR(__xludf.DUMMYFUNCTION("""COMPUTED_VALUE"""),"")</f>
        <v/>
      </c>
    </row>
    <row r="14464">
      <c r="G14464" s="16" t="str">
        <f>IFERROR(__xludf.DUMMYFUNCTION("""COMPUTED_VALUE"""),"")</f>
        <v/>
      </c>
    </row>
    <row r="14465">
      <c r="G14465" s="16" t="str">
        <f>IFERROR(__xludf.DUMMYFUNCTION("""COMPUTED_VALUE"""),"")</f>
        <v/>
      </c>
    </row>
    <row r="14466">
      <c r="G14466" s="16" t="str">
        <f>IFERROR(__xludf.DUMMYFUNCTION("""COMPUTED_VALUE"""),"")</f>
        <v/>
      </c>
    </row>
    <row r="14467">
      <c r="G14467" s="16" t="str">
        <f>IFERROR(__xludf.DUMMYFUNCTION("""COMPUTED_VALUE"""),"")</f>
        <v/>
      </c>
    </row>
    <row r="14468">
      <c r="G14468" s="16" t="str">
        <f>IFERROR(__xludf.DUMMYFUNCTION("""COMPUTED_VALUE"""),"")</f>
        <v/>
      </c>
    </row>
    <row r="14469">
      <c r="G14469" s="16" t="str">
        <f>IFERROR(__xludf.DUMMYFUNCTION("""COMPUTED_VALUE"""),"")</f>
        <v/>
      </c>
    </row>
    <row r="14470">
      <c r="G14470" s="16" t="str">
        <f>IFERROR(__xludf.DUMMYFUNCTION("""COMPUTED_VALUE"""),"")</f>
        <v/>
      </c>
    </row>
    <row r="14471">
      <c r="G14471" s="16" t="str">
        <f>IFERROR(__xludf.DUMMYFUNCTION("""COMPUTED_VALUE"""),"")</f>
        <v/>
      </c>
    </row>
    <row r="14472">
      <c r="G14472" s="16" t="str">
        <f>IFERROR(__xludf.DUMMYFUNCTION("""COMPUTED_VALUE"""),"")</f>
        <v/>
      </c>
    </row>
    <row r="14473">
      <c r="G14473" s="16" t="str">
        <f>IFERROR(__xludf.DUMMYFUNCTION("""COMPUTED_VALUE"""),"")</f>
        <v/>
      </c>
    </row>
    <row r="14474">
      <c r="G14474" s="16" t="str">
        <f>IFERROR(__xludf.DUMMYFUNCTION("""COMPUTED_VALUE"""),"")</f>
        <v/>
      </c>
    </row>
    <row r="14475">
      <c r="G14475" s="16" t="str">
        <f>IFERROR(__xludf.DUMMYFUNCTION("""COMPUTED_VALUE"""),"")</f>
        <v/>
      </c>
    </row>
    <row r="14476">
      <c r="G14476" s="16" t="str">
        <f>IFERROR(__xludf.DUMMYFUNCTION("""COMPUTED_VALUE"""),"")</f>
        <v/>
      </c>
    </row>
    <row r="14477">
      <c r="G14477" s="16" t="str">
        <f>IFERROR(__xludf.DUMMYFUNCTION("""COMPUTED_VALUE"""),"")</f>
        <v/>
      </c>
    </row>
    <row r="14478">
      <c r="G14478" s="16" t="str">
        <f>IFERROR(__xludf.DUMMYFUNCTION("""COMPUTED_VALUE"""),"")</f>
        <v/>
      </c>
    </row>
    <row r="14479">
      <c r="G14479" s="16" t="str">
        <f>IFERROR(__xludf.DUMMYFUNCTION("""COMPUTED_VALUE"""),"")</f>
        <v/>
      </c>
    </row>
    <row r="14480">
      <c r="G14480" s="16" t="str">
        <f>IFERROR(__xludf.DUMMYFUNCTION("""COMPUTED_VALUE"""),"")</f>
        <v/>
      </c>
    </row>
    <row r="14481">
      <c r="G14481" s="16" t="str">
        <f>IFERROR(__xludf.DUMMYFUNCTION("""COMPUTED_VALUE"""),"")</f>
        <v/>
      </c>
    </row>
    <row r="14482">
      <c r="G14482" s="16" t="str">
        <f>IFERROR(__xludf.DUMMYFUNCTION("""COMPUTED_VALUE"""),"")</f>
        <v/>
      </c>
    </row>
    <row r="14483">
      <c r="G14483" s="16" t="str">
        <f>IFERROR(__xludf.DUMMYFUNCTION("""COMPUTED_VALUE"""),"")</f>
        <v/>
      </c>
    </row>
    <row r="14484">
      <c r="G14484" s="16" t="str">
        <f>IFERROR(__xludf.DUMMYFUNCTION("""COMPUTED_VALUE"""),"")</f>
        <v/>
      </c>
    </row>
    <row r="14485">
      <c r="G14485" s="16" t="str">
        <f>IFERROR(__xludf.DUMMYFUNCTION("""COMPUTED_VALUE"""),"")</f>
        <v/>
      </c>
    </row>
    <row r="14486">
      <c r="G14486" s="16" t="str">
        <f>IFERROR(__xludf.DUMMYFUNCTION("""COMPUTED_VALUE"""),"")</f>
        <v/>
      </c>
    </row>
    <row r="14487">
      <c r="G14487" s="16" t="str">
        <f>IFERROR(__xludf.DUMMYFUNCTION("""COMPUTED_VALUE"""),"")</f>
        <v/>
      </c>
    </row>
    <row r="14488">
      <c r="G14488" s="16" t="str">
        <f>IFERROR(__xludf.DUMMYFUNCTION("""COMPUTED_VALUE"""),"")</f>
        <v/>
      </c>
    </row>
    <row r="14489">
      <c r="G14489" s="16" t="str">
        <f>IFERROR(__xludf.DUMMYFUNCTION("""COMPUTED_VALUE"""),"")</f>
        <v/>
      </c>
    </row>
    <row r="14490">
      <c r="G14490" s="16" t="str">
        <f>IFERROR(__xludf.DUMMYFUNCTION("""COMPUTED_VALUE"""),"")</f>
        <v/>
      </c>
    </row>
    <row r="14491">
      <c r="G14491" s="16" t="str">
        <f>IFERROR(__xludf.DUMMYFUNCTION("""COMPUTED_VALUE"""),"")</f>
        <v/>
      </c>
    </row>
    <row r="14492">
      <c r="G14492" s="16" t="str">
        <f>IFERROR(__xludf.DUMMYFUNCTION("""COMPUTED_VALUE"""),"")</f>
        <v/>
      </c>
    </row>
    <row r="14493">
      <c r="G14493" s="16" t="str">
        <f>IFERROR(__xludf.DUMMYFUNCTION("""COMPUTED_VALUE"""),"")</f>
        <v/>
      </c>
    </row>
    <row r="14494">
      <c r="G14494" s="16" t="str">
        <f>IFERROR(__xludf.DUMMYFUNCTION("""COMPUTED_VALUE"""),"")</f>
        <v/>
      </c>
    </row>
    <row r="14495">
      <c r="G14495" s="16" t="str">
        <f>IFERROR(__xludf.DUMMYFUNCTION("""COMPUTED_VALUE"""),"")</f>
        <v/>
      </c>
    </row>
    <row r="14496">
      <c r="G14496" s="16" t="str">
        <f>IFERROR(__xludf.DUMMYFUNCTION("""COMPUTED_VALUE"""),"")</f>
        <v/>
      </c>
    </row>
    <row r="14497">
      <c r="G14497" s="16" t="str">
        <f>IFERROR(__xludf.DUMMYFUNCTION("""COMPUTED_VALUE"""),"")</f>
        <v/>
      </c>
    </row>
    <row r="14498">
      <c r="G14498" s="16" t="str">
        <f>IFERROR(__xludf.DUMMYFUNCTION("""COMPUTED_VALUE"""),"")</f>
        <v/>
      </c>
    </row>
    <row r="14499">
      <c r="G14499" s="16" t="str">
        <f>IFERROR(__xludf.DUMMYFUNCTION("""COMPUTED_VALUE"""),"")</f>
        <v/>
      </c>
    </row>
    <row r="14500">
      <c r="G14500" s="16" t="str">
        <f>IFERROR(__xludf.DUMMYFUNCTION("""COMPUTED_VALUE"""),"")</f>
        <v/>
      </c>
    </row>
    <row r="14501">
      <c r="G14501" s="16" t="str">
        <f>IFERROR(__xludf.DUMMYFUNCTION("""COMPUTED_VALUE"""),"")</f>
        <v/>
      </c>
    </row>
    <row r="14502">
      <c r="G14502" s="16" t="str">
        <f>IFERROR(__xludf.DUMMYFUNCTION("""COMPUTED_VALUE"""),"")</f>
        <v/>
      </c>
    </row>
    <row r="14503">
      <c r="G14503" s="16" t="str">
        <f>IFERROR(__xludf.DUMMYFUNCTION("""COMPUTED_VALUE"""),"")</f>
        <v/>
      </c>
    </row>
    <row r="14504">
      <c r="G14504" s="16" t="str">
        <f>IFERROR(__xludf.DUMMYFUNCTION("""COMPUTED_VALUE"""),"")</f>
        <v/>
      </c>
    </row>
    <row r="14505">
      <c r="G14505" s="16" t="str">
        <f>IFERROR(__xludf.DUMMYFUNCTION("""COMPUTED_VALUE"""),"")</f>
        <v/>
      </c>
    </row>
    <row r="14506">
      <c r="G14506" s="16" t="str">
        <f>IFERROR(__xludf.DUMMYFUNCTION("""COMPUTED_VALUE"""),"")</f>
        <v/>
      </c>
    </row>
    <row r="14507">
      <c r="G14507" s="16" t="str">
        <f>IFERROR(__xludf.DUMMYFUNCTION("""COMPUTED_VALUE"""),"")</f>
        <v/>
      </c>
    </row>
    <row r="14508">
      <c r="G14508" s="16" t="str">
        <f>IFERROR(__xludf.DUMMYFUNCTION("""COMPUTED_VALUE"""),"")</f>
        <v/>
      </c>
    </row>
    <row r="14509">
      <c r="G14509" s="16" t="str">
        <f>IFERROR(__xludf.DUMMYFUNCTION("""COMPUTED_VALUE"""),"")</f>
        <v/>
      </c>
    </row>
    <row r="14510">
      <c r="G14510" s="16" t="str">
        <f>IFERROR(__xludf.DUMMYFUNCTION("""COMPUTED_VALUE"""),"")</f>
        <v/>
      </c>
    </row>
    <row r="14511">
      <c r="G14511" s="16" t="str">
        <f>IFERROR(__xludf.DUMMYFUNCTION("""COMPUTED_VALUE"""),"")</f>
        <v/>
      </c>
    </row>
    <row r="14512">
      <c r="G14512" s="16" t="str">
        <f>IFERROR(__xludf.DUMMYFUNCTION("""COMPUTED_VALUE"""),"")</f>
        <v/>
      </c>
    </row>
    <row r="14513">
      <c r="G14513" s="16" t="str">
        <f>IFERROR(__xludf.DUMMYFUNCTION("""COMPUTED_VALUE"""),"")</f>
        <v/>
      </c>
    </row>
    <row r="14514">
      <c r="G14514" s="16" t="str">
        <f>IFERROR(__xludf.DUMMYFUNCTION("""COMPUTED_VALUE"""),"")</f>
        <v/>
      </c>
    </row>
    <row r="14515">
      <c r="G14515" s="16" t="str">
        <f>IFERROR(__xludf.DUMMYFUNCTION("""COMPUTED_VALUE"""),"")</f>
        <v/>
      </c>
    </row>
    <row r="14516">
      <c r="G14516" s="16" t="str">
        <f>IFERROR(__xludf.DUMMYFUNCTION("""COMPUTED_VALUE"""),"")</f>
        <v/>
      </c>
    </row>
    <row r="14517">
      <c r="G14517" s="16" t="str">
        <f>IFERROR(__xludf.DUMMYFUNCTION("""COMPUTED_VALUE"""),"")</f>
        <v/>
      </c>
    </row>
    <row r="14518">
      <c r="G14518" s="16" t="str">
        <f>IFERROR(__xludf.DUMMYFUNCTION("""COMPUTED_VALUE"""),"")</f>
        <v/>
      </c>
    </row>
    <row r="14519">
      <c r="G14519" s="16" t="str">
        <f>IFERROR(__xludf.DUMMYFUNCTION("""COMPUTED_VALUE"""),"")</f>
        <v/>
      </c>
    </row>
    <row r="14520">
      <c r="G14520" s="16" t="str">
        <f>IFERROR(__xludf.DUMMYFUNCTION("""COMPUTED_VALUE"""),"")</f>
        <v/>
      </c>
    </row>
    <row r="14521">
      <c r="G14521" s="16" t="str">
        <f>IFERROR(__xludf.DUMMYFUNCTION("""COMPUTED_VALUE"""),"")</f>
        <v/>
      </c>
    </row>
    <row r="14522">
      <c r="G14522" s="16" t="str">
        <f>IFERROR(__xludf.DUMMYFUNCTION("""COMPUTED_VALUE"""),"")</f>
        <v/>
      </c>
    </row>
    <row r="14523">
      <c r="G14523" s="16" t="str">
        <f>IFERROR(__xludf.DUMMYFUNCTION("""COMPUTED_VALUE"""),"")</f>
        <v/>
      </c>
    </row>
    <row r="14524">
      <c r="G14524" s="16" t="str">
        <f>IFERROR(__xludf.DUMMYFUNCTION("""COMPUTED_VALUE"""),"")</f>
        <v/>
      </c>
    </row>
    <row r="14525">
      <c r="G14525" s="16" t="str">
        <f>IFERROR(__xludf.DUMMYFUNCTION("""COMPUTED_VALUE"""),"")</f>
        <v/>
      </c>
    </row>
    <row r="14526">
      <c r="G14526" s="16" t="str">
        <f>IFERROR(__xludf.DUMMYFUNCTION("""COMPUTED_VALUE"""),"")</f>
        <v/>
      </c>
    </row>
    <row r="14527">
      <c r="G14527" s="16" t="str">
        <f>IFERROR(__xludf.DUMMYFUNCTION("""COMPUTED_VALUE"""),"")</f>
        <v/>
      </c>
    </row>
    <row r="14528">
      <c r="G14528" s="16" t="str">
        <f>IFERROR(__xludf.DUMMYFUNCTION("""COMPUTED_VALUE"""),"")</f>
        <v/>
      </c>
    </row>
    <row r="14529">
      <c r="G14529" s="16" t="str">
        <f>IFERROR(__xludf.DUMMYFUNCTION("""COMPUTED_VALUE"""),"")</f>
        <v/>
      </c>
    </row>
    <row r="14530">
      <c r="G14530" s="16" t="str">
        <f>IFERROR(__xludf.DUMMYFUNCTION("""COMPUTED_VALUE"""),"")</f>
        <v/>
      </c>
    </row>
    <row r="14531">
      <c r="G14531" s="16" t="str">
        <f>IFERROR(__xludf.DUMMYFUNCTION("""COMPUTED_VALUE"""),"")</f>
        <v/>
      </c>
    </row>
    <row r="14532">
      <c r="G14532" s="16" t="str">
        <f>IFERROR(__xludf.DUMMYFUNCTION("""COMPUTED_VALUE"""),"")</f>
        <v/>
      </c>
    </row>
    <row r="14533">
      <c r="G14533" s="16" t="str">
        <f>IFERROR(__xludf.DUMMYFUNCTION("""COMPUTED_VALUE"""),"")</f>
        <v/>
      </c>
    </row>
    <row r="14534">
      <c r="G14534" s="16" t="str">
        <f>IFERROR(__xludf.DUMMYFUNCTION("""COMPUTED_VALUE"""),"")</f>
        <v/>
      </c>
    </row>
    <row r="14535">
      <c r="G14535" s="16" t="str">
        <f>IFERROR(__xludf.DUMMYFUNCTION("""COMPUTED_VALUE"""),"")</f>
        <v/>
      </c>
    </row>
    <row r="14536">
      <c r="G14536" s="16" t="str">
        <f>IFERROR(__xludf.DUMMYFUNCTION("""COMPUTED_VALUE"""),"")</f>
        <v/>
      </c>
    </row>
    <row r="14537">
      <c r="G14537" s="16" t="str">
        <f>IFERROR(__xludf.DUMMYFUNCTION("""COMPUTED_VALUE"""),"")</f>
        <v/>
      </c>
    </row>
    <row r="14538">
      <c r="G14538" s="16" t="str">
        <f>IFERROR(__xludf.DUMMYFUNCTION("""COMPUTED_VALUE"""),"")</f>
        <v/>
      </c>
    </row>
    <row r="14539">
      <c r="G14539" s="16" t="str">
        <f>IFERROR(__xludf.DUMMYFUNCTION("""COMPUTED_VALUE"""),"")</f>
        <v/>
      </c>
    </row>
    <row r="14540">
      <c r="G14540" s="16" t="str">
        <f>IFERROR(__xludf.DUMMYFUNCTION("""COMPUTED_VALUE"""),"")</f>
        <v/>
      </c>
    </row>
    <row r="14541">
      <c r="G14541" s="16" t="str">
        <f>IFERROR(__xludf.DUMMYFUNCTION("""COMPUTED_VALUE"""),"")</f>
        <v/>
      </c>
    </row>
    <row r="14542">
      <c r="G14542" s="16" t="str">
        <f>IFERROR(__xludf.DUMMYFUNCTION("""COMPUTED_VALUE"""),"")</f>
        <v/>
      </c>
    </row>
    <row r="14543">
      <c r="G14543" s="16" t="str">
        <f>IFERROR(__xludf.DUMMYFUNCTION("""COMPUTED_VALUE"""),"")</f>
        <v/>
      </c>
    </row>
    <row r="14544">
      <c r="G14544" s="16" t="str">
        <f>IFERROR(__xludf.DUMMYFUNCTION("""COMPUTED_VALUE"""),"")</f>
        <v/>
      </c>
    </row>
    <row r="14545">
      <c r="G14545" s="16" t="str">
        <f>IFERROR(__xludf.DUMMYFUNCTION("""COMPUTED_VALUE"""),"")</f>
        <v/>
      </c>
    </row>
    <row r="14546">
      <c r="G14546" s="16" t="str">
        <f>IFERROR(__xludf.DUMMYFUNCTION("""COMPUTED_VALUE"""),"")</f>
        <v/>
      </c>
    </row>
    <row r="14547">
      <c r="G14547" s="16" t="str">
        <f>IFERROR(__xludf.DUMMYFUNCTION("""COMPUTED_VALUE"""),"")</f>
        <v/>
      </c>
    </row>
    <row r="14548">
      <c r="G14548" s="16" t="str">
        <f>IFERROR(__xludf.DUMMYFUNCTION("""COMPUTED_VALUE"""),"")</f>
        <v/>
      </c>
    </row>
    <row r="14549">
      <c r="G14549" s="16" t="str">
        <f>IFERROR(__xludf.DUMMYFUNCTION("""COMPUTED_VALUE"""),"")</f>
        <v/>
      </c>
    </row>
    <row r="14550">
      <c r="G14550" s="16" t="str">
        <f>IFERROR(__xludf.DUMMYFUNCTION("""COMPUTED_VALUE"""),"")</f>
        <v/>
      </c>
    </row>
    <row r="14551">
      <c r="G14551" s="16" t="str">
        <f>IFERROR(__xludf.DUMMYFUNCTION("""COMPUTED_VALUE"""),"")</f>
        <v/>
      </c>
    </row>
    <row r="14552">
      <c r="G14552" s="16" t="str">
        <f>IFERROR(__xludf.DUMMYFUNCTION("""COMPUTED_VALUE"""),"")</f>
        <v/>
      </c>
    </row>
    <row r="14553">
      <c r="G14553" s="16" t="str">
        <f>IFERROR(__xludf.DUMMYFUNCTION("""COMPUTED_VALUE"""),"")</f>
        <v/>
      </c>
    </row>
    <row r="14554">
      <c r="G14554" s="16" t="str">
        <f>IFERROR(__xludf.DUMMYFUNCTION("""COMPUTED_VALUE"""),"")</f>
        <v/>
      </c>
    </row>
    <row r="14555">
      <c r="G14555" s="16" t="str">
        <f>IFERROR(__xludf.DUMMYFUNCTION("""COMPUTED_VALUE"""),"")</f>
        <v/>
      </c>
    </row>
    <row r="14556">
      <c r="G14556" s="16" t="str">
        <f>IFERROR(__xludf.DUMMYFUNCTION("""COMPUTED_VALUE"""),"")</f>
        <v/>
      </c>
    </row>
    <row r="14557">
      <c r="G14557" s="16" t="str">
        <f>IFERROR(__xludf.DUMMYFUNCTION("""COMPUTED_VALUE"""),"")</f>
        <v/>
      </c>
    </row>
    <row r="14558">
      <c r="G14558" s="16" t="str">
        <f>IFERROR(__xludf.DUMMYFUNCTION("""COMPUTED_VALUE"""),"")</f>
        <v/>
      </c>
    </row>
    <row r="14559">
      <c r="G14559" s="16" t="str">
        <f>IFERROR(__xludf.DUMMYFUNCTION("""COMPUTED_VALUE"""),"")</f>
        <v/>
      </c>
    </row>
    <row r="14560">
      <c r="G14560" s="16" t="str">
        <f>IFERROR(__xludf.DUMMYFUNCTION("""COMPUTED_VALUE"""),"")</f>
        <v/>
      </c>
    </row>
    <row r="14561">
      <c r="G14561" s="16" t="str">
        <f>IFERROR(__xludf.DUMMYFUNCTION("""COMPUTED_VALUE"""),"")</f>
        <v/>
      </c>
    </row>
    <row r="14562">
      <c r="G14562" s="16" t="str">
        <f>IFERROR(__xludf.DUMMYFUNCTION("""COMPUTED_VALUE"""),"")</f>
        <v/>
      </c>
    </row>
    <row r="14563">
      <c r="G14563" s="16" t="str">
        <f>IFERROR(__xludf.DUMMYFUNCTION("""COMPUTED_VALUE"""),"")</f>
        <v/>
      </c>
    </row>
    <row r="14564">
      <c r="G14564" s="16" t="str">
        <f>IFERROR(__xludf.DUMMYFUNCTION("""COMPUTED_VALUE"""),"")</f>
        <v/>
      </c>
    </row>
    <row r="14565">
      <c r="G14565" s="16" t="str">
        <f>IFERROR(__xludf.DUMMYFUNCTION("""COMPUTED_VALUE"""),"")</f>
        <v/>
      </c>
    </row>
    <row r="14566">
      <c r="G14566" s="16" t="str">
        <f>IFERROR(__xludf.DUMMYFUNCTION("""COMPUTED_VALUE"""),"")</f>
        <v/>
      </c>
    </row>
    <row r="14567">
      <c r="G14567" s="16" t="str">
        <f>IFERROR(__xludf.DUMMYFUNCTION("""COMPUTED_VALUE"""),"")</f>
        <v/>
      </c>
    </row>
    <row r="14568">
      <c r="G14568" s="16" t="str">
        <f>IFERROR(__xludf.DUMMYFUNCTION("""COMPUTED_VALUE"""),"")</f>
        <v/>
      </c>
    </row>
    <row r="14569">
      <c r="G14569" s="16" t="str">
        <f>IFERROR(__xludf.DUMMYFUNCTION("""COMPUTED_VALUE"""),"")</f>
        <v/>
      </c>
    </row>
    <row r="14570">
      <c r="G14570" s="16" t="str">
        <f>IFERROR(__xludf.DUMMYFUNCTION("""COMPUTED_VALUE"""),"")</f>
        <v/>
      </c>
    </row>
    <row r="14571">
      <c r="G14571" s="16" t="str">
        <f>IFERROR(__xludf.DUMMYFUNCTION("""COMPUTED_VALUE"""),"")</f>
        <v/>
      </c>
    </row>
    <row r="14572">
      <c r="G14572" s="16" t="str">
        <f>IFERROR(__xludf.DUMMYFUNCTION("""COMPUTED_VALUE"""),"")</f>
        <v/>
      </c>
    </row>
    <row r="14573">
      <c r="G14573" s="16" t="str">
        <f>IFERROR(__xludf.DUMMYFUNCTION("""COMPUTED_VALUE"""),"")</f>
        <v/>
      </c>
    </row>
    <row r="14574">
      <c r="G14574" s="16" t="str">
        <f>IFERROR(__xludf.DUMMYFUNCTION("""COMPUTED_VALUE"""),"")</f>
        <v/>
      </c>
    </row>
    <row r="14575">
      <c r="G14575" s="16" t="str">
        <f>IFERROR(__xludf.DUMMYFUNCTION("""COMPUTED_VALUE"""),"")</f>
        <v/>
      </c>
    </row>
    <row r="14576">
      <c r="G14576" s="16" t="str">
        <f>IFERROR(__xludf.DUMMYFUNCTION("""COMPUTED_VALUE"""),"")</f>
        <v/>
      </c>
    </row>
    <row r="14577">
      <c r="G14577" s="16" t="str">
        <f>IFERROR(__xludf.DUMMYFUNCTION("""COMPUTED_VALUE"""),"")</f>
        <v/>
      </c>
    </row>
    <row r="14578">
      <c r="G14578" s="16" t="str">
        <f>IFERROR(__xludf.DUMMYFUNCTION("""COMPUTED_VALUE"""),"")</f>
        <v/>
      </c>
    </row>
    <row r="14579">
      <c r="G14579" s="16" t="str">
        <f>IFERROR(__xludf.DUMMYFUNCTION("""COMPUTED_VALUE"""),"")</f>
        <v/>
      </c>
    </row>
    <row r="14580">
      <c r="G14580" s="16" t="str">
        <f>IFERROR(__xludf.DUMMYFUNCTION("""COMPUTED_VALUE"""),"")</f>
        <v/>
      </c>
    </row>
    <row r="14581">
      <c r="G14581" s="16" t="str">
        <f>IFERROR(__xludf.DUMMYFUNCTION("""COMPUTED_VALUE"""),"")</f>
        <v/>
      </c>
    </row>
    <row r="14582">
      <c r="G14582" s="16" t="str">
        <f>IFERROR(__xludf.DUMMYFUNCTION("""COMPUTED_VALUE"""),"")</f>
        <v/>
      </c>
    </row>
    <row r="14583">
      <c r="G14583" s="16" t="str">
        <f>IFERROR(__xludf.DUMMYFUNCTION("""COMPUTED_VALUE"""),"")</f>
        <v/>
      </c>
    </row>
    <row r="14584">
      <c r="G14584" s="16" t="str">
        <f>IFERROR(__xludf.DUMMYFUNCTION("""COMPUTED_VALUE"""),"")</f>
        <v/>
      </c>
    </row>
    <row r="14585">
      <c r="G14585" s="16" t="str">
        <f>IFERROR(__xludf.DUMMYFUNCTION("""COMPUTED_VALUE"""),"")</f>
        <v/>
      </c>
    </row>
    <row r="14586">
      <c r="G14586" s="16" t="str">
        <f>IFERROR(__xludf.DUMMYFUNCTION("""COMPUTED_VALUE"""),"")</f>
        <v/>
      </c>
    </row>
    <row r="14587">
      <c r="G14587" s="16" t="str">
        <f>IFERROR(__xludf.DUMMYFUNCTION("""COMPUTED_VALUE"""),"")</f>
        <v/>
      </c>
    </row>
    <row r="14588">
      <c r="G14588" s="16" t="str">
        <f>IFERROR(__xludf.DUMMYFUNCTION("""COMPUTED_VALUE"""),"")</f>
        <v/>
      </c>
    </row>
    <row r="14589">
      <c r="G14589" s="16" t="str">
        <f>IFERROR(__xludf.DUMMYFUNCTION("""COMPUTED_VALUE"""),"")</f>
        <v/>
      </c>
    </row>
    <row r="14590">
      <c r="G14590" s="16" t="str">
        <f>IFERROR(__xludf.DUMMYFUNCTION("""COMPUTED_VALUE"""),"")</f>
        <v/>
      </c>
    </row>
    <row r="14591">
      <c r="G14591" s="16" t="str">
        <f>IFERROR(__xludf.DUMMYFUNCTION("""COMPUTED_VALUE"""),"")</f>
        <v/>
      </c>
    </row>
    <row r="14592">
      <c r="G14592" s="16" t="str">
        <f>IFERROR(__xludf.DUMMYFUNCTION("""COMPUTED_VALUE"""),"")</f>
        <v/>
      </c>
    </row>
    <row r="14593">
      <c r="G14593" s="16" t="str">
        <f>IFERROR(__xludf.DUMMYFUNCTION("""COMPUTED_VALUE"""),"")</f>
        <v/>
      </c>
    </row>
    <row r="14594">
      <c r="G14594" s="16" t="str">
        <f>IFERROR(__xludf.DUMMYFUNCTION("""COMPUTED_VALUE"""),"")</f>
        <v/>
      </c>
    </row>
    <row r="14595">
      <c r="G14595" s="16" t="str">
        <f>IFERROR(__xludf.DUMMYFUNCTION("""COMPUTED_VALUE"""),"")</f>
        <v/>
      </c>
    </row>
    <row r="14596">
      <c r="G14596" s="16" t="str">
        <f>IFERROR(__xludf.DUMMYFUNCTION("""COMPUTED_VALUE"""),"")</f>
        <v/>
      </c>
    </row>
    <row r="14597">
      <c r="G14597" s="16" t="str">
        <f>IFERROR(__xludf.DUMMYFUNCTION("""COMPUTED_VALUE"""),"")</f>
        <v/>
      </c>
    </row>
    <row r="14598">
      <c r="G14598" s="16" t="str">
        <f>IFERROR(__xludf.DUMMYFUNCTION("""COMPUTED_VALUE"""),"")</f>
        <v/>
      </c>
    </row>
    <row r="14599">
      <c r="G14599" s="16" t="str">
        <f>IFERROR(__xludf.DUMMYFUNCTION("""COMPUTED_VALUE"""),"")</f>
        <v/>
      </c>
    </row>
    <row r="14600">
      <c r="G14600" s="16" t="str">
        <f>IFERROR(__xludf.DUMMYFUNCTION("""COMPUTED_VALUE"""),"")</f>
        <v/>
      </c>
    </row>
    <row r="14601">
      <c r="G14601" s="16" t="str">
        <f>IFERROR(__xludf.DUMMYFUNCTION("""COMPUTED_VALUE"""),"")</f>
        <v/>
      </c>
    </row>
    <row r="14602">
      <c r="G14602" s="16" t="str">
        <f>IFERROR(__xludf.DUMMYFUNCTION("""COMPUTED_VALUE"""),"")</f>
        <v/>
      </c>
    </row>
    <row r="14603">
      <c r="G14603" s="16" t="str">
        <f>IFERROR(__xludf.DUMMYFUNCTION("""COMPUTED_VALUE"""),"")</f>
        <v/>
      </c>
    </row>
    <row r="14604">
      <c r="G14604" s="16" t="str">
        <f>IFERROR(__xludf.DUMMYFUNCTION("""COMPUTED_VALUE"""),"")</f>
        <v/>
      </c>
    </row>
    <row r="14605">
      <c r="G14605" s="16" t="str">
        <f>IFERROR(__xludf.DUMMYFUNCTION("""COMPUTED_VALUE"""),"")</f>
        <v/>
      </c>
    </row>
    <row r="14606">
      <c r="G14606" s="16" t="str">
        <f>IFERROR(__xludf.DUMMYFUNCTION("""COMPUTED_VALUE"""),"")</f>
        <v/>
      </c>
    </row>
    <row r="14607">
      <c r="G14607" s="16" t="str">
        <f>IFERROR(__xludf.DUMMYFUNCTION("""COMPUTED_VALUE"""),"")</f>
        <v/>
      </c>
    </row>
    <row r="14608">
      <c r="G14608" s="16" t="str">
        <f>IFERROR(__xludf.DUMMYFUNCTION("""COMPUTED_VALUE"""),"")</f>
        <v/>
      </c>
    </row>
    <row r="14609">
      <c r="G14609" s="16" t="str">
        <f>IFERROR(__xludf.DUMMYFUNCTION("""COMPUTED_VALUE"""),"")</f>
        <v/>
      </c>
    </row>
    <row r="14610">
      <c r="G14610" s="16" t="str">
        <f>IFERROR(__xludf.DUMMYFUNCTION("""COMPUTED_VALUE"""),"")</f>
        <v/>
      </c>
    </row>
    <row r="14611">
      <c r="G14611" s="16" t="str">
        <f>IFERROR(__xludf.DUMMYFUNCTION("""COMPUTED_VALUE"""),"")</f>
        <v/>
      </c>
    </row>
    <row r="14612">
      <c r="G14612" s="16" t="str">
        <f>IFERROR(__xludf.DUMMYFUNCTION("""COMPUTED_VALUE"""),"")</f>
        <v/>
      </c>
    </row>
    <row r="14613">
      <c r="G14613" s="16" t="str">
        <f>IFERROR(__xludf.DUMMYFUNCTION("""COMPUTED_VALUE"""),"")</f>
        <v/>
      </c>
    </row>
    <row r="14614">
      <c r="G14614" s="16" t="str">
        <f>IFERROR(__xludf.DUMMYFUNCTION("""COMPUTED_VALUE"""),"")</f>
        <v/>
      </c>
    </row>
    <row r="14615">
      <c r="G14615" s="16" t="str">
        <f>IFERROR(__xludf.DUMMYFUNCTION("""COMPUTED_VALUE"""),"")</f>
        <v/>
      </c>
    </row>
    <row r="14616">
      <c r="G14616" s="16" t="str">
        <f>IFERROR(__xludf.DUMMYFUNCTION("""COMPUTED_VALUE"""),"")</f>
        <v/>
      </c>
    </row>
    <row r="14617">
      <c r="G14617" s="16" t="str">
        <f>IFERROR(__xludf.DUMMYFUNCTION("""COMPUTED_VALUE"""),"")</f>
        <v/>
      </c>
    </row>
    <row r="14618">
      <c r="G14618" s="16" t="str">
        <f>IFERROR(__xludf.DUMMYFUNCTION("""COMPUTED_VALUE"""),"")</f>
        <v/>
      </c>
    </row>
    <row r="14619">
      <c r="G14619" s="16" t="str">
        <f>IFERROR(__xludf.DUMMYFUNCTION("""COMPUTED_VALUE"""),"")</f>
        <v/>
      </c>
    </row>
    <row r="14620">
      <c r="G14620" s="16" t="str">
        <f>IFERROR(__xludf.DUMMYFUNCTION("""COMPUTED_VALUE"""),"")</f>
        <v/>
      </c>
    </row>
    <row r="14621">
      <c r="G14621" s="16" t="str">
        <f>IFERROR(__xludf.DUMMYFUNCTION("""COMPUTED_VALUE"""),"")</f>
        <v/>
      </c>
    </row>
    <row r="14622">
      <c r="G14622" s="16" t="str">
        <f>IFERROR(__xludf.DUMMYFUNCTION("""COMPUTED_VALUE"""),"")</f>
        <v/>
      </c>
    </row>
    <row r="14623">
      <c r="G14623" s="16" t="str">
        <f>IFERROR(__xludf.DUMMYFUNCTION("""COMPUTED_VALUE"""),"")</f>
        <v/>
      </c>
    </row>
    <row r="14624">
      <c r="G14624" s="16" t="str">
        <f>IFERROR(__xludf.DUMMYFUNCTION("""COMPUTED_VALUE"""),"")</f>
        <v/>
      </c>
    </row>
    <row r="14625">
      <c r="G14625" s="16" t="str">
        <f>IFERROR(__xludf.DUMMYFUNCTION("""COMPUTED_VALUE"""),"")</f>
        <v/>
      </c>
    </row>
    <row r="14626">
      <c r="G14626" s="16" t="str">
        <f>IFERROR(__xludf.DUMMYFUNCTION("""COMPUTED_VALUE"""),"")</f>
        <v/>
      </c>
    </row>
    <row r="14627">
      <c r="G14627" s="16" t="str">
        <f>IFERROR(__xludf.DUMMYFUNCTION("""COMPUTED_VALUE"""),"")</f>
        <v/>
      </c>
    </row>
    <row r="14628">
      <c r="G14628" s="16" t="str">
        <f>IFERROR(__xludf.DUMMYFUNCTION("""COMPUTED_VALUE"""),"")</f>
        <v/>
      </c>
    </row>
    <row r="14629">
      <c r="G14629" s="16" t="str">
        <f>IFERROR(__xludf.DUMMYFUNCTION("""COMPUTED_VALUE"""),"")</f>
        <v/>
      </c>
    </row>
    <row r="14630">
      <c r="G14630" s="16" t="str">
        <f>IFERROR(__xludf.DUMMYFUNCTION("""COMPUTED_VALUE"""),"")</f>
        <v/>
      </c>
    </row>
    <row r="14631">
      <c r="G14631" s="16" t="str">
        <f>IFERROR(__xludf.DUMMYFUNCTION("""COMPUTED_VALUE"""),"")</f>
        <v/>
      </c>
    </row>
    <row r="14632">
      <c r="G14632" s="16" t="str">
        <f>IFERROR(__xludf.DUMMYFUNCTION("""COMPUTED_VALUE"""),"")</f>
        <v/>
      </c>
    </row>
    <row r="14633">
      <c r="G14633" s="16" t="str">
        <f>IFERROR(__xludf.DUMMYFUNCTION("""COMPUTED_VALUE"""),"")</f>
        <v/>
      </c>
    </row>
    <row r="14634">
      <c r="G14634" s="16" t="str">
        <f>IFERROR(__xludf.DUMMYFUNCTION("""COMPUTED_VALUE"""),"")</f>
        <v/>
      </c>
    </row>
    <row r="14635">
      <c r="G14635" s="16" t="str">
        <f>IFERROR(__xludf.DUMMYFUNCTION("""COMPUTED_VALUE"""),"")</f>
        <v/>
      </c>
    </row>
    <row r="14636">
      <c r="G14636" s="16" t="str">
        <f>IFERROR(__xludf.DUMMYFUNCTION("""COMPUTED_VALUE"""),"")</f>
        <v/>
      </c>
    </row>
    <row r="14637">
      <c r="G14637" s="16" t="str">
        <f>IFERROR(__xludf.DUMMYFUNCTION("""COMPUTED_VALUE"""),"")</f>
        <v/>
      </c>
    </row>
    <row r="14638">
      <c r="G14638" s="16" t="str">
        <f>IFERROR(__xludf.DUMMYFUNCTION("""COMPUTED_VALUE"""),"")</f>
        <v/>
      </c>
    </row>
    <row r="14639">
      <c r="G14639" s="16" t="str">
        <f>IFERROR(__xludf.DUMMYFUNCTION("""COMPUTED_VALUE"""),"")</f>
        <v/>
      </c>
    </row>
    <row r="14640">
      <c r="G14640" s="16" t="str">
        <f>IFERROR(__xludf.DUMMYFUNCTION("""COMPUTED_VALUE"""),"")</f>
        <v/>
      </c>
    </row>
    <row r="14641">
      <c r="G14641" s="16" t="str">
        <f>IFERROR(__xludf.DUMMYFUNCTION("""COMPUTED_VALUE"""),"")</f>
        <v/>
      </c>
    </row>
    <row r="14642">
      <c r="G14642" s="16" t="str">
        <f>IFERROR(__xludf.DUMMYFUNCTION("""COMPUTED_VALUE"""),"")</f>
        <v/>
      </c>
    </row>
    <row r="14643">
      <c r="G14643" s="16" t="str">
        <f>IFERROR(__xludf.DUMMYFUNCTION("""COMPUTED_VALUE"""),"")</f>
        <v/>
      </c>
    </row>
    <row r="14644">
      <c r="G14644" s="16" t="str">
        <f>IFERROR(__xludf.DUMMYFUNCTION("""COMPUTED_VALUE"""),"")</f>
        <v/>
      </c>
    </row>
    <row r="14645">
      <c r="G14645" s="16" t="str">
        <f>IFERROR(__xludf.DUMMYFUNCTION("""COMPUTED_VALUE"""),"")</f>
        <v/>
      </c>
    </row>
    <row r="14646">
      <c r="G14646" s="16" t="str">
        <f>IFERROR(__xludf.DUMMYFUNCTION("""COMPUTED_VALUE"""),"")</f>
        <v/>
      </c>
    </row>
    <row r="14647">
      <c r="G14647" s="16" t="str">
        <f>IFERROR(__xludf.DUMMYFUNCTION("""COMPUTED_VALUE"""),"")</f>
        <v/>
      </c>
    </row>
    <row r="14648">
      <c r="G14648" s="16" t="str">
        <f>IFERROR(__xludf.DUMMYFUNCTION("""COMPUTED_VALUE"""),"")</f>
        <v/>
      </c>
    </row>
    <row r="14649">
      <c r="G14649" s="16" t="str">
        <f>IFERROR(__xludf.DUMMYFUNCTION("""COMPUTED_VALUE"""),"")</f>
        <v/>
      </c>
    </row>
    <row r="14650">
      <c r="G14650" s="16" t="str">
        <f>IFERROR(__xludf.DUMMYFUNCTION("""COMPUTED_VALUE"""),"")</f>
        <v/>
      </c>
    </row>
    <row r="14651">
      <c r="G14651" s="16" t="str">
        <f>IFERROR(__xludf.DUMMYFUNCTION("""COMPUTED_VALUE"""),"")</f>
        <v/>
      </c>
    </row>
    <row r="14652">
      <c r="G14652" s="16" t="str">
        <f>IFERROR(__xludf.DUMMYFUNCTION("""COMPUTED_VALUE"""),"")</f>
        <v/>
      </c>
    </row>
    <row r="14653">
      <c r="G14653" s="16" t="str">
        <f>IFERROR(__xludf.DUMMYFUNCTION("""COMPUTED_VALUE"""),"")</f>
        <v/>
      </c>
    </row>
    <row r="14654">
      <c r="G14654" s="16" t="str">
        <f>IFERROR(__xludf.DUMMYFUNCTION("""COMPUTED_VALUE"""),"")</f>
        <v/>
      </c>
    </row>
    <row r="14655">
      <c r="G14655" s="16" t="str">
        <f>IFERROR(__xludf.DUMMYFUNCTION("""COMPUTED_VALUE"""),"")</f>
        <v/>
      </c>
    </row>
    <row r="14656">
      <c r="G14656" s="16" t="str">
        <f>IFERROR(__xludf.DUMMYFUNCTION("""COMPUTED_VALUE"""),"")</f>
        <v/>
      </c>
    </row>
    <row r="14657">
      <c r="G14657" s="16" t="str">
        <f>IFERROR(__xludf.DUMMYFUNCTION("""COMPUTED_VALUE"""),"")</f>
        <v/>
      </c>
    </row>
    <row r="14658">
      <c r="G14658" s="16" t="str">
        <f>IFERROR(__xludf.DUMMYFUNCTION("""COMPUTED_VALUE"""),"")</f>
        <v/>
      </c>
    </row>
    <row r="14659">
      <c r="G14659" s="16" t="str">
        <f>IFERROR(__xludf.DUMMYFUNCTION("""COMPUTED_VALUE"""),"")</f>
        <v/>
      </c>
    </row>
    <row r="14660">
      <c r="G14660" s="16" t="str">
        <f>IFERROR(__xludf.DUMMYFUNCTION("""COMPUTED_VALUE"""),"")</f>
        <v/>
      </c>
    </row>
    <row r="14661">
      <c r="G14661" s="16" t="str">
        <f>IFERROR(__xludf.DUMMYFUNCTION("""COMPUTED_VALUE"""),"")</f>
        <v/>
      </c>
    </row>
    <row r="14662">
      <c r="G14662" s="16" t="str">
        <f>IFERROR(__xludf.DUMMYFUNCTION("""COMPUTED_VALUE"""),"")</f>
        <v/>
      </c>
    </row>
    <row r="14663">
      <c r="G14663" s="16" t="str">
        <f>IFERROR(__xludf.DUMMYFUNCTION("""COMPUTED_VALUE"""),"")</f>
        <v/>
      </c>
    </row>
    <row r="14664">
      <c r="G14664" s="16" t="str">
        <f>IFERROR(__xludf.DUMMYFUNCTION("""COMPUTED_VALUE"""),"")</f>
        <v/>
      </c>
    </row>
    <row r="14665">
      <c r="G14665" s="16" t="str">
        <f>IFERROR(__xludf.DUMMYFUNCTION("""COMPUTED_VALUE"""),"")</f>
        <v/>
      </c>
    </row>
    <row r="14666">
      <c r="G14666" s="16" t="str">
        <f>IFERROR(__xludf.DUMMYFUNCTION("""COMPUTED_VALUE"""),"")</f>
        <v/>
      </c>
    </row>
    <row r="14667">
      <c r="G14667" s="16" t="str">
        <f>IFERROR(__xludf.DUMMYFUNCTION("""COMPUTED_VALUE"""),"")</f>
        <v/>
      </c>
    </row>
    <row r="14668">
      <c r="G14668" s="16" t="str">
        <f>IFERROR(__xludf.DUMMYFUNCTION("""COMPUTED_VALUE"""),"")</f>
        <v/>
      </c>
    </row>
    <row r="14669">
      <c r="G14669" s="16" t="str">
        <f>IFERROR(__xludf.DUMMYFUNCTION("""COMPUTED_VALUE"""),"")</f>
        <v/>
      </c>
    </row>
    <row r="14670">
      <c r="G14670" s="16" t="str">
        <f>IFERROR(__xludf.DUMMYFUNCTION("""COMPUTED_VALUE"""),"")</f>
        <v/>
      </c>
    </row>
    <row r="14671">
      <c r="G14671" s="16" t="str">
        <f>IFERROR(__xludf.DUMMYFUNCTION("""COMPUTED_VALUE"""),"")</f>
        <v/>
      </c>
    </row>
    <row r="14672">
      <c r="G14672" s="16" t="str">
        <f>IFERROR(__xludf.DUMMYFUNCTION("""COMPUTED_VALUE"""),"")</f>
        <v/>
      </c>
    </row>
    <row r="14673">
      <c r="G14673" s="16" t="str">
        <f>IFERROR(__xludf.DUMMYFUNCTION("""COMPUTED_VALUE"""),"")</f>
        <v/>
      </c>
    </row>
    <row r="14674">
      <c r="G14674" s="16" t="str">
        <f>IFERROR(__xludf.DUMMYFUNCTION("""COMPUTED_VALUE"""),"")</f>
        <v/>
      </c>
    </row>
    <row r="14675">
      <c r="G14675" s="16" t="str">
        <f>IFERROR(__xludf.DUMMYFUNCTION("""COMPUTED_VALUE"""),"")</f>
        <v/>
      </c>
    </row>
    <row r="14676">
      <c r="G14676" s="16" t="str">
        <f>IFERROR(__xludf.DUMMYFUNCTION("""COMPUTED_VALUE"""),"")</f>
        <v/>
      </c>
    </row>
    <row r="14677">
      <c r="G14677" s="16" t="str">
        <f>IFERROR(__xludf.DUMMYFUNCTION("""COMPUTED_VALUE"""),"")</f>
        <v/>
      </c>
    </row>
    <row r="14678">
      <c r="G14678" s="16" t="str">
        <f>IFERROR(__xludf.DUMMYFUNCTION("""COMPUTED_VALUE"""),"")</f>
        <v/>
      </c>
    </row>
    <row r="14679">
      <c r="G14679" s="16" t="str">
        <f>IFERROR(__xludf.DUMMYFUNCTION("""COMPUTED_VALUE"""),"")</f>
        <v/>
      </c>
    </row>
    <row r="14680">
      <c r="G14680" s="16" t="str">
        <f>IFERROR(__xludf.DUMMYFUNCTION("""COMPUTED_VALUE"""),"")</f>
        <v/>
      </c>
    </row>
    <row r="14681">
      <c r="G14681" s="16" t="str">
        <f>IFERROR(__xludf.DUMMYFUNCTION("""COMPUTED_VALUE"""),"")</f>
        <v/>
      </c>
    </row>
    <row r="14682">
      <c r="G14682" s="16" t="str">
        <f>IFERROR(__xludf.DUMMYFUNCTION("""COMPUTED_VALUE"""),"")</f>
        <v/>
      </c>
    </row>
    <row r="14683">
      <c r="G14683" s="16" t="str">
        <f>IFERROR(__xludf.DUMMYFUNCTION("""COMPUTED_VALUE"""),"")</f>
        <v/>
      </c>
    </row>
    <row r="14684">
      <c r="G14684" s="16" t="str">
        <f>IFERROR(__xludf.DUMMYFUNCTION("""COMPUTED_VALUE"""),"")</f>
        <v/>
      </c>
    </row>
    <row r="14685">
      <c r="G14685" s="16" t="str">
        <f>IFERROR(__xludf.DUMMYFUNCTION("""COMPUTED_VALUE"""),"")</f>
        <v/>
      </c>
    </row>
    <row r="14686">
      <c r="G14686" s="16" t="str">
        <f>IFERROR(__xludf.DUMMYFUNCTION("""COMPUTED_VALUE"""),"")</f>
        <v/>
      </c>
    </row>
    <row r="14687">
      <c r="G14687" s="16" t="str">
        <f>IFERROR(__xludf.DUMMYFUNCTION("""COMPUTED_VALUE"""),"")</f>
        <v/>
      </c>
    </row>
    <row r="14688">
      <c r="G14688" s="16" t="str">
        <f>IFERROR(__xludf.DUMMYFUNCTION("""COMPUTED_VALUE"""),"")</f>
        <v/>
      </c>
    </row>
    <row r="14689">
      <c r="G14689" s="16" t="str">
        <f>IFERROR(__xludf.DUMMYFUNCTION("""COMPUTED_VALUE"""),"")</f>
        <v/>
      </c>
    </row>
    <row r="14690">
      <c r="G14690" s="16" t="str">
        <f>IFERROR(__xludf.DUMMYFUNCTION("""COMPUTED_VALUE"""),"")</f>
        <v/>
      </c>
    </row>
    <row r="14691">
      <c r="G14691" s="16" t="str">
        <f>IFERROR(__xludf.DUMMYFUNCTION("""COMPUTED_VALUE"""),"")</f>
        <v/>
      </c>
    </row>
    <row r="14692">
      <c r="G14692" s="16" t="str">
        <f>IFERROR(__xludf.DUMMYFUNCTION("""COMPUTED_VALUE"""),"")</f>
        <v/>
      </c>
    </row>
    <row r="14693">
      <c r="G14693" s="16" t="str">
        <f>IFERROR(__xludf.DUMMYFUNCTION("""COMPUTED_VALUE"""),"")</f>
        <v/>
      </c>
    </row>
    <row r="14694">
      <c r="G14694" s="16" t="str">
        <f>IFERROR(__xludf.DUMMYFUNCTION("""COMPUTED_VALUE"""),"")</f>
        <v/>
      </c>
    </row>
    <row r="14695">
      <c r="G14695" s="16" t="str">
        <f>IFERROR(__xludf.DUMMYFUNCTION("""COMPUTED_VALUE"""),"")</f>
        <v/>
      </c>
    </row>
    <row r="14696">
      <c r="G14696" s="16" t="str">
        <f>IFERROR(__xludf.DUMMYFUNCTION("""COMPUTED_VALUE"""),"")</f>
        <v/>
      </c>
    </row>
    <row r="14697">
      <c r="G14697" s="16" t="str">
        <f>IFERROR(__xludf.DUMMYFUNCTION("""COMPUTED_VALUE"""),"")</f>
        <v/>
      </c>
    </row>
    <row r="14698">
      <c r="G14698" s="16" t="str">
        <f>IFERROR(__xludf.DUMMYFUNCTION("""COMPUTED_VALUE"""),"")</f>
        <v/>
      </c>
    </row>
    <row r="14699">
      <c r="G14699" s="16" t="str">
        <f>IFERROR(__xludf.DUMMYFUNCTION("""COMPUTED_VALUE"""),"")</f>
        <v/>
      </c>
    </row>
    <row r="14700">
      <c r="G14700" s="16" t="str">
        <f>IFERROR(__xludf.DUMMYFUNCTION("""COMPUTED_VALUE"""),"")</f>
        <v/>
      </c>
    </row>
    <row r="14701">
      <c r="G14701" s="16" t="str">
        <f>IFERROR(__xludf.DUMMYFUNCTION("""COMPUTED_VALUE"""),"")</f>
        <v/>
      </c>
    </row>
    <row r="14702">
      <c r="G14702" s="16" t="str">
        <f>IFERROR(__xludf.DUMMYFUNCTION("""COMPUTED_VALUE"""),"")</f>
        <v/>
      </c>
    </row>
    <row r="14703">
      <c r="G14703" s="16" t="str">
        <f>IFERROR(__xludf.DUMMYFUNCTION("""COMPUTED_VALUE"""),"")</f>
        <v/>
      </c>
    </row>
    <row r="14704">
      <c r="G14704" s="16" t="str">
        <f>IFERROR(__xludf.DUMMYFUNCTION("""COMPUTED_VALUE"""),"")</f>
        <v/>
      </c>
    </row>
    <row r="14705">
      <c r="G14705" s="16" t="str">
        <f>IFERROR(__xludf.DUMMYFUNCTION("""COMPUTED_VALUE"""),"")</f>
        <v/>
      </c>
    </row>
    <row r="14706">
      <c r="G14706" s="16" t="str">
        <f>IFERROR(__xludf.DUMMYFUNCTION("""COMPUTED_VALUE"""),"")</f>
        <v/>
      </c>
    </row>
    <row r="14707">
      <c r="G14707" s="16" t="str">
        <f>IFERROR(__xludf.DUMMYFUNCTION("""COMPUTED_VALUE"""),"")</f>
        <v/>
      </c>
    </row>
    <row r="14708">
      <c r="G14708" s="16" t="str">
        <f>IFERROR(__xludf.DUMMYFUNCTION("""COMPUTED_VALUE"""),"")</f>
        <v/>
      </c>
    </row>
    <row r="14709">
      <c r="G14709" s="16" t="str">
        <f>IFERROR(__xludf.DUMMYFUNCTION("""COMPUTED_VALUE"""),"")</f>
        <v/>
      </c>
    </row>
    <row r="14710">
      <c r="G14710" s="16" t="str">
        <f>IFERROR(__xludf.DUMMYFUNCTION("""COMPUTED_VALUE"""),"")</f>
        <v/>
      </c>
    </row>
    <row r="14711">
      <c r="G14711" s="16" t="str">
        <f>IFERROR(__xludf.DUMMYFUNCTION("""COMPUTED_VALUE"""),"")</f>
        <v/>
      </c>
    </row>
    <row r="14712">
      <c r="G14712" s="16" t="str">
        <f>IFERROR(__xludf.DUMMYFUNCTION("""COMPUTED_VALUE"""),"")</f>
        <v/>
      </c>
    </row>
    <row r="14713">
      <c r="G14713" s="16" t="str">
        <f>IFERROR(__xludf.DUMMYFUNCTION("""COMPUTED_VALUE"""),"")</f>
        <v/>
      </c>
    </row>
    <row r="14714">
      <c r="G14714" s="16" t="str">
        <f>IFERROR(__xludf.DUMMYFUNCTION("""COMPUTED_VALUE"""),"")</f>
        <v/>
      </c>
    </row>
    <row r="14715">
      <c r="G14715" s="16" t="str">
        <f>IFERROR(__xludf.DUMMYFUNCTION("""COMPUTED_VALUE"""),"")</f>
        <v/>
      </c>
    </row>
    <row r="14716">
      <c r="G14716" s="16" t="str">
        <f>IFERROR(__xludf.DUMMYFUNCTION("""COMPUTED_VALUE"""),"")</f>
        <v/>
      </c>
    </row>
    <row r="14717">
      <c r="G14717" s="16" t="str">
        <f>IFERROR(__xludf.DUMMYFUNCTION("""COMPUTED_VALUE"""),"")</f>
        <v/>
      </c>
    </row>
    <row r="14718">
      <c r="G14718" s="16" t="str">
        <f>IFERROR(__xludf.DUMMYFUNCTION("""COMPUTED_VALUE"""),"")</f>
        <v/>
      </c>
    </row>
    <row r="14719">
      <c r="G14719" s="16" t="str">
        <f>IFERROR(__xludf.DUMMYFUNCTION("""COMPUTED_VALUE"""),"")</f>
        <v/>
      </c>
    </row>
    <row r="14720">
      <c r="G14720" s="16" t="str">
        <f>IFERROR(__xludf.DUMMYFUNCTION("""COMPUTED_VALUE"""),"")</f>
        <v/>
      </c>
    </row>
    <row r="14721">
      <c r="G14721" s="16" t="str">
        <f>IFERROR(__xludf.DUMMYFUNCTION("""COMPUTED_VALUE"""),"")</f>
        <v/>
      </c>
    </row>
    <row r="14722">
      <c r="G14722" s="16" t="str">
        <f>IFERROR(__xludf.DUMMYFUNCTION("""COMPUTED_VALUE"""),"")</f>
        <v/>
      </c>
    </row>
    <row r="14723">
      <c r="G14723" s="16" t="str">
        <f>IFERROR(__xludf.DUMMYFUNCTION("""COMPUTED_VALUE"""),"")</f>
        <v/>
      </c>
    </row>
    <row r="14724">
      <c r="G14724" s="16" t="str">
        <f>IFERROR(__xludf.DUMMYFUNCTION("""COMPUTED_VALUE"""),"")</f>
        <v/>
      </c>
    </row>
    <row r="14725">
      <c r="G14725" s="16" t="str">
        <f>IFERROR(__xludf.DUMMYFUNCTION("""COMPUTED_VALUE"""),"")</f>
        <v/>
      </c>
    </row>
    <row r="14726">
      <c r="G14726" s="16" t="str">
        <f>IFERROR(__xludf.DUMMYFUNCTION("""COMPUTED_VALUE"""),"")</f>
        <v/>
      </c>
    </row>
    <row r="14727">
      <c r="G14727" s="16" t="str">
        <f>IFERROR(__xludf.DUMMYFUNCTION("""COMPUTED_VALUE"""),"")</f>
        <v/>
      </c>
    </row>
    <row r="14728">
      <c r="G14728" s="16" t="str">
        <f>IFERROR(__xludf.DUMMYFUNCTION("""COMPUTED_VALUE"""),"")</f>
        <v/>
      </c>
    </row>
    <row r="14729">
      <c r="G14729" s="16" t="str">
        <f>IFERROR(__xludf.DUMMYFUNCTION("""COMPUTED_VALUE"""),"")</f>
        <v/>
      </c>
    </row>
    <row r="14730">
      <c r="G14730" s="16" t="str">
        <f>IFERROR(__xludf.DUMMYFUNCTION("""COMPUTED_VALUE"""),"")</f>
        <v/>
      </c>
    </row>
    <row r="14731">
      <c r="G14731" s="16" t="str">
        <f>IFERROR(__xludf.DUMMYFUNCTION("""COMPUTED_VALUE"""),"")</f>
        <v/>
      </c>
    </row>
    <row r="14732">
      <c r="G14732" s="16" t="str">
        <f>IFERROR(__xludf.DUMMYFUNCTION("""COMPUTED_VALUE"""),"")</f>
        <v/>
      </c>
    </row>
    <row r="14733">
      <c r="G14733" s="16" t="str">
        <f>IFERROR(__xludf.DUMMYFUNCTION("""COMPUTED_VALUE"""),"")</f>
        <v/>
      </c>
    </row>
    <row r="14734">
      <c r="G14734" s="16" t="str">
        <f>IFERROR(__xludf.DUMMYFUNCTION("""COMPUTED_VALUE"""),"")</f>
        <v/>
      </c>
    </row>
    <row r="14735">
      <c r="G14735" s="16" t="str">
        <f>IFERROR(__xludf.DUMMYFUNCTION("""COMPUTED_VALUE"""),"")</f>
        <v/>
      </c>
    </row>
    <row r="14736">
      <c r="G14736" s="16" t="str">
        <f>IFERROR(__xludf.DUMMYFUNCTION("""COMPUTED_VALUE"""),"")</f>
        <v/>
      </c>
    </row>
    <row r="14737">
      <c r="G14737" s="16" t="str">
        <f>IFERROR(__xludf.DUMMYFUNCTION("""COMPUTED_VALUE"""),"")</f>
        <v/>
      </c>
    </row>
    <row r="14738">
      <c r="G14738" s="16" t="str">
        <f>IFERROR(__xludf.DUMMYFUNCTION("""COMPUTED_VALUE"""),"")</f>
        <v/>
      </c>
    </row>
    <row r="14739">
      <c r="G14739" s="16" t="str">
        <f>IFERROR(__xludf.DUMMYFUNCTION("""COMPUTED_VALUE"""),"")</f>
        <v/>
      </c>
    </row>
    <row r="14740">
      <c r="G14740" s="16" t="str">
        <f>IFERROR(__xludf.DUMMYFUNCTION("""COMPUTED_VALUE"""),"")</f>
        <v/>
      </c>
    </row>
    <row r="14741">
      <c r="G14741" s="16" t="str">
        <f>IFERROR(__xludf.DUMMYFUNCTION("""COMPUTED_VALUE"""),"")</f>
        <v/>
      </c>
    </row>
    <row r="14742">
      <c r="G14742" s="16" t="str">
        <f>IFERROR(__xludf.DUMMYFUNCTION("""COMPUTED_VALUE"""),"")</f>
        <v/>
      </c>
    </row>
    <row r="14743">
      <c r="G14743" s="16" t="str">
        <f>IFERROR(__xludf.DUMMYFUNCTION("""COMPUTED_VALUE"""),"")</f>
        <v/>
      </c>
    </row>
    <row r="14744">
      <c r="G14744" s="16" t="str">
        <f>IFERROR(__xludf.DUMMYFUNCTION("""COMPUTED_VALUE"""),"")</f>
        <v/>
      </c>
    </row>
    <row r="14745">
      <c r="G14745" s="16" t="str">
        <f>IFERROR(__xludf.DUMMYFUNCTION("""COMPUTED_VALUE"""),"")</f>
        <v/>
      </c>
    </row>
    <row r="14746">
      <c r="G14746" s="16" t="str">
        <f>IFERROR(__xludf.DUMMYFUNCTION("""COMPUTED_VALUE"""),"")</f>
        <v/>
      </c>
    </row>
    <row r="14747">
      <c r="G14747" s="16" t="str">
        <f>IFERROR(__xludf.DUMMYFUNCTION("""COMPUTED_VALUE"""),"")</f>
        <v/>
      </c>
    </row>
    <row r="14748">
      <c r="G14748" s="16" t="str">
        <f>IFERROR(__xludf.DUMMYFUNCTION("""COMPUTED_VALUE"""),"")</f>
        <v/>
      </c>
    </row>
    <row r="14749">
      <c r="G14749" s="16" t="str">
        <f>IFERROR(__xludf.DUMMYFUNCTION("""COMPUTED_VALUE"""),"")</f>
        <v/>
      </c>
    </row>
    <row r="14750">
      <c r="G14750" s="16" t="str">
        <f>IFERROR(__xludf.DUMMYFUNCTION("""COMPUTED_VALUE"""),"")</f>
        <v/>
      </c>
    </row>
    <row r="14751">
      <c r="G14751" s="16" t="str">
        <f>IFERROR(__xludf.DUMMYFUNCTION("""COMPUTED_VALUE"""),"")</f>
        <v/>
      </c>
    </row>
    <row r="14752">
      <c r="G14752" s="16" t="str">
        <f>IFERROR(__xludf.DUMMYFUNCTION("""COMPUTED_VALUE"""),"")</f>
        <v/>
      </c>
    </row>
    <row r="14753">
      <c r="G14753" s="16" t="str">
        <f>IFERROR(__xludf.DUMMYFUNCTION("""COMPUTED_VALUE"""),"")</f>
        <v/>
      </c>
    </row>
    <row r="14754">
      <c r="G14754" s="16" t="str">
        <f>IFERROR(__xludf.DUMMYFUNCTION("""COMPUTED_VALUE"""),"")</f>
        <v/>
      </c>
    </row>
    <row r="14755">
      <c r="G14755" s="16" t="str">
        <f>IFERROR(__xludf.DUMMYFUNCTION("""COMPUTED_VALUE"""),"")</f>
        <v/>
      </c>
    </row>
    <row r="14756">
      <c r="G14756" s="16" t="str">
        <f>IFERROR(__xludf.DUMMYFUNCTION("""COMPUTED_VALUE"""),"")</f>
        <v/>
      </c>
    </row>
    <row r="14757">
      <c r="G14757" s="16" t="str">
        <f>IFERROR(__xludf.DUMMYFUNCTION("""COMPUTED_VALUE"""),"")</f>
        <v/>
      </c>
    </row>
    <row r="14758">
      <c r="G14758" s="16" t="str">
        <f>IFERROR(__xludf.DUMMYFUNCTION("""COMPUTED_VALUE"""),"")</f>
        <v/>
      </c>
    </row>
    <row r="14759">
      <c r="G14759" s="16" t="str">
        <f>IFERROR(__xludf.DUMMYFUNCTION("""COMPUTED_VALUE"""),"")</f>
        <v/>
      </c>
    </row>
    <row r="14760">
      <c r="G14760" s="16" t="str">
        <f>IFERROR(__xludf.DUMMYFUNCTION("""COMPUTED_VALUE"""),"")</f>
        <v/>
      </c>
    </row>
    <row r="14761">
      <c r="G14761" s="16" t="str">
        <f>IFERROR(__xludf.DUMMYFUNCTION("""COMPUTED_VALUE"""),"")</f>
        <v/>
      </c>
    </row>
    <row r="14762">
      <c r="G14762" s="16" t="str">
        <f>IFERROR(__xludf.DUMMYFUNCTION("""COMPUTED_VALUE"""),"")</f>
        <v/>
      </c>
    </row>
    <row r="14763">
      <c r="G14763" s="16" t="str">
        <f>IFERROR(__xludf.DUMMYFUNCTION("""COMPUTED_VALUE"""),"")</f>
        <v/>
      </c>
    </row>
    <row r="14764">
      <c r="G14764" s="16" t="str">
        <f>IFERROR(__xludf.DUMMYFUNCTION("""COMPUTED_VALUE"""),"")</f>
        <v/>
      </c>
    </row>
    <row r="14765">
      <c r="G14765" s="16" t="str">
        <f>IFERROR(__xludf.DUMMYFUNCTION("""COMPUTED_VALUE"""),"")</f>
        <v/>
      </c>
    </row>
    <row r="14766">
      <c r="G14766" s="16" t="str">
        <f>IFERROR(__xludf.DUMMYFUNCTION("""COMPUTED_VALUE"""),"")</f>
        <v/>
      </c>
    </row>
    <row r="14767">
      <c r="G14767" s="16" t="str">
        <f>IFERROR(__xludf.DUMMYFUNCTION("""COMPUTED_VALUE"""),"")</f>
        <v/>
      </c>
    </row>
    <row r="14768">
      <c r="G14768" s="16" t="str">
        <f>IFERROR(__xludf.DUMMYFUNCTION("""COMPUTED_VALUE"""),"")</f>
        <v/>
      </c>
    </row>
    <row r="14769">
      <c r="G14769" s="16" t="str">
        <f>IFERROR(__xludf.DUMMYFUNCTION("""COMPUTED_VALUE"""),"")</f>
        <v/>
      </c>
    </row>
    <row r="14770">
      <c r="G14770" s="16" t="str">
        <f>IFERROR(__xludf.DUMMYFUNCTION("""COMPUTED_VALUE"""),"")</f>
        <v/>
      </c>
    </row>
    <row r="14771">
      <c r="G14771" s="16" t="str">
        <f>IFERROR(__xludf.DUMMYFUNCTION("""COMPUTED_VALUE"""),"")</f>
        <v/>
      </c>
    </row>
    <row r="14772">
      <c r="G14772" s="16" t="str">
        <f>IFERROR(__xludf.DUMMYFUNCTION("""COMPUTED_VALUE"""),"")</f>
        <v/>
      </c>
    </row>
    <row r="14773">
      <c r="G14773" s="16" t="str">
        <f>IFERROR(__xludf.DUMMYFUNCTION("""COMPUTED_VALUE"""),"")</f>
        <v/>
      </c>
    </row>
    <row r="14774">
      <c r="G14774" s="16" t="str">
        <f>IFERROR(__xludf.DUMMYFUNCTION("""COMPUTED_VALUE"""),"")</f>
        <v/>
      </c>
    </row>
    <row r="14775">
      <c r="G14775" s="16" t="str">
        <f>IFERROR(__xludf.DUMMYFUNCTION("""COMPUTED_VALUE"""),"")</f>
        <v/>
      </c>
    </row>
    <row r="14776">
      <c r="G14776" s="16" t="str">
        <f>IFERROR(__xludf.DUMMYFUNCTION("""COMPUTED_VALUE"""),"")</f>
        <v/>
      </c>
    </row>
    <row r="14777">
      <c r="G14777" s="16" t="str">
        <f>IFERROR(__xludf.DUMMYFUNCTION("""COMPUTED_VALUE"""),"")</f>
        <v/>
      </c>
    </row>
    <row r="14778">
      <c r="G14778" s="16" t="str">
        <f>IFERROR(__xludf.DUMMYFUNCTION("""COMPUTED_VALUE"""),"")</f>
        <v/>
      </c>
    </row>
    <row r="14779">
      <c r="G14779" s="16" t="str">
        <f>IFERROR(__xludf.DUMMYFUNCTION("""COMPUTED_VALUE"""),"")</f>
        <v/>
      </c>
    </row>
    <row r="14780">
      <c r="G14780" s="16" t="str">
        <f>IFERROR(__xludf.DUMMYFUNCTION("""COMPUTED_VALUE"""),"")</f>
        <v/>
      </c>
    </row>
    <row r="14781">
      <c r="G14781" s="16" t="str">
        <f>IFERROR(__xludf.DUMMYFUNCTION("""COMPUTED_VALUE"""),"")</f>
        <v/>
      </c>
    </row>
    <row r="14782">
      <c r="G14782" s="16" t="str">
        <f>IFERROR(__xludf.DUMMYFUNCTION("""COMPUTED_VALUE"""),"")</f>
        <v/>
      </c>
    </row>
    <row r="14783">
      <c r="G14783" s="16" t="str">
        <f>IFERROR(__xludf.DUMMYFUNCTION("""COMPUTED_VALUE"""),"")</f>
        <v/>
      </c>
    </row>
    <row r="14784">
      <c r="G14784" s="16" t="str">
        <f>IFERROR(__xludf.DUMMYFUNCTION("""COMPUTED_VALUE"""),"")</f>
        <v/>
      </c>
    </row>
    <row r="14785">
      <c r="G14785" s="16" t="str">
        <f>IFERROR(__xludf.DUMMYFUNCTION("""COMPUTED_VALUE"""),"")</f>
        <v/>
      </c>
    </row>
    <row r="14786">
      <c r="G14786" s="16" t="str">
        <f>IFERROR(__xludf.DUMMYFUNCTION("""COMPUTED_VALUE"""),"")</f>
        <v/>
      </c>
    </row>
    <row r="14787">
      <c r="G14787" s="16" t="str">
        <f>IFERROR(__xludf.DUMMYFUNCTION("""COMPUTED_VALUE"""),"")</f>
        <v/>
      </c>
    </row>
    <row r="14788">
      <c r="G14788" s="16" t="str">
        <f>IFERROR(__xludf.DUMMYFUNCTION("""COMPUTED_VALUE"""),"")</f>
        <v/>
      </c>
    </row>
    <row r="14789">
      <c r="G14789" s="16" t="str">
        <f>IFERROR(__xludf.DUMMYFUNCTION("""COMPUTED_VALUE"""),"")</f>
        <v/>
      </c>
    </row>
    <row r="14790">
      <c r="G14790" s="16" t="str">
        <f>IFERROR(__xludf.DUMMYFUNCTION("""COMPUTED_VALUE"""),"")</f>
        <v/>
      </c>
    </row>
    <row r="14791">
      <c r="G14791" s="16" t="str">
        <f>IFERROR(__xludf.DUMMYFUNCTION("""COMPUTED_VALUE"""),"")</f>
        <v/>
      </c>
    </row>
    <row r="14792">
      <c r="G14792" s="16" t="str">
        <f>IFERROR(__xludf.DUMMYFUNCTION("""COMPUTED_VALUE"""),"")</f>
        <v/>
      </c>
    </row>
    <row r="14793">
      <c r="G14793" s="16" t="str">
        <f>IFERROR(__xludf.DUMMYFUNCTION("""COMPUTED_VALUE"""),"")</f>
        <v/>
      </c>
    </row>
    <row r="14794">
      <c r="G14794" s="16" t="str">
        <f>IFERROR(__xludf.DUMMYFUNCTION("""COMPUTED_VALUE"""),"")</f>
        <v/>
      </c>
    </row>
    <row r="14795">
      <c r="G14795" s="16" t="str">
        <f>IFERROR(__xludf.DUMMYFUNCTION("""COMPUTED_VALUE"""),"")</f>
        <v/>
      </c>
    </row>
    <row r="14796">
      <c r="G14796" s="16" t="str">
        <f>IFERROR(__xludf.DUMMYFUNCTION("""COMPUTED_VALUE"""),"")</f>
        <v/>
      </c>
    </row>
    <row r="14797">
      <c r="G14797" s="16" t="str">
        <f>IFERROR(__xludf.DUMMYFUNCTION("""COMPUTED_VALUE"""),"")</f>
        <v/>
      </c>
    </row>
    <row r="14798">
      <c r="G14798" s="16" t="str">
        <f>IFERROR(__xludf.DUMMYFUNCTION("""COMPUTED_VALUE"""),"")</f>
        <v/>
      </c>
    </row>
    <row r="14799">
      <c r="G14799" s="16" t="str">
        <f>IFERROR(__xludf.DUMMYFUNCTION("""COMPUTED_VALUE"""),"")</f>
        <v/>
      </c>
    </row>
    <row r="14800">
      <c r="G14800" s="16" t="str">
        <f>IFERROR(__xludf.DUMMYFUNCTION("""COMPUTED_VALUE"""),"")</f>
        <v/>
      </c>
    </row>
    <row r="14801">
      <c r="G14801" s="16" t="str">
        <f>IFERROR(__xludf.DUMMYFUNCTION("""COMPUTED_VALUE"""),"")</f>
        <v/>
      </c>
    </row>
    <row r="14802">
      <c r="G14802" s="16" t="str">
        <f>IFERROR(__xludf.DUMMYFUNCTION("""COMPUTED_VALUE"""),"")</f>
        <v/>
      </c>
    </row>
    <row r="14803">
      <c r="G14803" s="16" t="str">
        <f>IFERROR(__xludf.DUMMYFUNCTION("""COMPUTED_VALUE"""),"")</f>
        <v/>
      </c>
    </row>
    <row r="14804">
      <c r="G14804" s="16" t="str">
        <f>IFERROR(__xludf.DUMMYFUNCTION("""COMPUTED_VALUE"""),"")</f>
        <v/>
      </c>
    </row>
    <row r="14805">
      <c r="G14805" s="16" t="str">
        <f>IFERROR(__xludf.DUMMYFUNCTION("""COMPUTED_VALUE"""),"")</f>
        <v/>
      </c>
    </row>
    <row r="14806">
      <c r="G14806" s="16" t="str">
        <f>IFERROR(__xludf.DUMMYFUNCTION("""COMPUTED_VALUE"""),"")</f>
        <v/>
      </c>
    </row>
    <row r="14807">
      <c r="G14807" s="16" t="str">
        <f>IFERROR(__xludf.DUMMYFUNCTION("""COMPUTED_VALUE"""),"")</f>
        <v/>
      </c>
    </row>
    <row r="14808">
      <c r="G14808" s="16" t="str">
        <f>IFERROR(__xludf.DUMMYFUNCTION("""COMPUTED_VALUE"""),"")</f>
        <v/>
      </c>
    </row>
    <row r="14809">
      <c r="G14809" s="16" t="str">
        <f>IFERROR(__xludf.DUMMYFUNCTION("""COMPUTED_VALUE"""),"")</f>
        <v/>
      </c>
    </row>
    <row r="14810">
      <c r="G14810" s="16" t="str">
        <f>IFERROR(__xludf.DUMMYFUNCTION("""COMPUTED_VALUE"""),"")</f>
        <v/>
      </c>
    </row>
    <row r="14811">
      <c r="G14811" s="16" t="str">
        <f>IFERROR(__xludf.DUMMYFUNCTION("""COMPUTED_VALUE"""),"")</f>
        <v/>
      </c>
    </row>
    <row r="14812">
      <c r="G14812" s="16" t="str">
        <f>IFERROR(__xludf.DUMMYFUNCTION("""COMPUTED_VALUE"""),"")</f>
        <v/>
      </c>
    </row>
    <row r="14813">
      <c r="G14813" s="16" t="str">
        <f>IFERROR(__xludf.DUMMYFUNCTION("""COMPUTED_VALUE"""),"")</f>
        <v/>
      </c>
    </row>
    <row r="14814">
      <c r="G14814" s="16" t="str">
        <f>IFERROR(__xludf.DUMMYFUNCTION("""COMPUTED_VALUE"""),"")</f>
        <v/>
      </c>
    </row>
    <row r="14815">
      <c r="G14815" s="16" t="str">
        <f>IFERROR(__xludf.DUMMYFUNCTION("""COMPUTED_VALUE"""),"")</f>
        <v/>
      </c>
    </row>
    <row r="14816">
      <c r="G14816" s="16" t="str">
        <f>IFERROR(__xludf.DUMMYFUNCTION("""COMPUTED_VALUE"""),"")</f>
        <v/>
      </c>
    </row>
    <row r="14817">
      <c r="G14817" s="16" t="str">
        <f>IFERROR(__xludf.DUMMYFUNCTION("""COMPUTED_VALUE"""),"")</f>
        <v/>
      </c>
    </row>
    <row r="14818">
      <c r="G14818" s="16" t="str">
        <f>IFERROR(__xludf.DUMMYFUNCTION("""COMPUTED_VALUE"""),"")</f>
        <v/>
      </c>
    </row>
    <row r="14819">
      <c r="G14819" s="16" t="str">
        <f>IFERROR(__xludf.DUMMYFUNCTION("""COMPUTED_VALUE"""),"")</f>
        <v/>
      </c>
    </row>
    <row r="14820">
      <c r="G14820" s="16" t="str">
        <f>IFERROR(__xludf.DUMMYFUNCTION("""COMPUTED_VALUE"""),"")</f>
        <v/>
      </c>
    </row>
    <row r="14821">
      <c r="G14821" s="16" t="str">
        <f>IFERROR(__xludf.DUMMYFUNCTION("""COMPUTED_VALUE"""),"")</f>
        <v/>
      </c>
    </row>
    <row r="14822">
      <c r="G14822" s="16" t="str">
        <f>IFERROR(__xludf.DUMMYFUNCTION("""COMPUTED_VALUE"""),"")</f>
        <v/>
      </c>
    </row>
    <row r="14823">
      <c r="G14823" s="16" t="str">
        <f>IFERROR(__xludf.DUMMYFUNCTION("""COMPUTED_VALUE"""),"")</f>
        <v/>
      </c>
    </row>
    <row r="14824">
      <c r="G14824" s="16" t="str">
        <f>IFERROR(__xludf.DUMMYFUNCTION("""COMPUTED_VALUE"""),"")</f>
        <v/>
      </c>
    </row>
    <row r="14825">
      <c r="G14825" s="16" t="str">
        <f>IFERROR(__xludf.DUMMYFUNCTION("""COMPUTED_VALUE"""),"")</f>
        <v/>
      </c>
    </row>
    <row r="14826">
      <c r="G14826" s="16" t="str">
        <f>IFERROR(__xludf.DUMMYFUNCTION("""COMPUTED_VALUE"""),"")</f>
        <v/>
      </c>
    </row>
    <row r="14827">
      <c r="G14827" s="16" t="str">
        <f>IFERROR(__xludf.DUMMYFUNCTION("""COMPUTED_VALUE"""),"")</f>
        <v/>
      </c>
    </row>
    <row r="14828">
      <c r="G14828" s="16" t="str">
        <f>IFERROR(__xludf.DUMMYFUNCTION("""COMPUTED_VALUE"""),"")</f>
        <v/>
      </c>
    </row>
    <row r="14829">
      <c r="G14829" s="16" t="str">
        <f>IFERROR(__xludf.DUMMYFUNCTION("""COMPUTED_VALUE"""),"")</f>
        <v/>
      </c>
    </row>
    <row r="14830">
      <c r="G14830" s="16" t="str">
        <f>IFERROR(__xludf.DUMMYFUNCTION("""COMPUTED_VALUE"""),"")</f>
        <v/>
      </c>
    </row>
    <row r="14831">
      <c r="G14831" s="16" t="str">
        <f>IFERROR(__xludf.DUMMYFUNCTION("""COMPUTED_VALUE"""),"")</f>
        <v/>
      </c>
    </row>
    <row r="14832">
      <c r="G14832" s="16" t="str">
        <f>IFERROR(__xludf.DUMMYFUNCTION("""COMPUTED_VALUE"""),"")</f>
        <v/>
      </c>
    </row>
    <row r="14833">
      <c r="G14833" s="16" t="str">
        <f>IFERROR(__xludf.DUMMYFUNCTION("""COMPUTED_VALUE"""),"")</f>
        <v/>
      </c>
    </row>
    <row r="14834">
      <c r="G14834" s="16" t="str">
        <f>IFERROR(__xludf.DUMMYFUNCTION("""COMPUTED_VALUE"""),"")</f>
        <v/>
      </c>
    </row>
    <row r="14835">
      <c r="G14835" s="16" t="str">
        <f>IFERROR(__xludf.DUMMYFUNCTION("""COMPUTED_VALUE"""),"")</f>
        <v/>
      </c>
    </row>
    <row r="14836">
      <c r="G14836" s="16" t="str">
        <f>IFERROR(__xludf.DUMMYFUNCTION("""COMPUTED_VALUE"""),"")</f>
        <v/>
      </c>
    </row>
    <row r="14837">
      <c r="G14837" s="16" t="str">
        <f>IFERROR(__xludf.DUMMYFUNCTION("""COMPUTED_VALUE"""),"")</f>
        <v/>
      </c>
    </row>
    <row r="14838">
      <c r="G14838" s="16" t="str">
        <f>IFERROR(__xludf.DUMMYFUNCTION("""COMPUTED_VALUE"""),"")</f>
        <v/>
      </c>
    </row>
    <row r="14839">
      <c r="G14839" s="16" t="str">
        <f>IFERROR(__xludf.DUMMYFUNCTION("""COMPUTED_VALUE"""),"")</f>
        <v/>
      </c>
    </row>
    <row r="14840">
      <c r="G14840" s="16" t="str">
        <f>IFERROR(__xludf.DUMMYFUNCTION("""COMPUTED_VALUE"""),"")</f>
        <v/>
      </c>
    </row>
    <row r="14841">
      <c r="G14841" s="16" t="str">
        <f>IFERROR(__xludf.DUMMYFUNCTION("""COMPUTED_VALUE"""),"")</f>
        <v/>
      </c>
    </row>
    <row r="14842">
      <c r="G14842" s="16" t="str">
        <f>IFERROR(__xludf.DUMMYFUNCTION("""COMPUTED_VALUE"""),"")</f>
        <v/>
      </c>
    </row>
    <row r="14843">
      <c r="G14843" s="16" t="str">
        <f>IFERROR(__xludf.DUMMYFUNCTION("""COMPUTED_VALUE"""),"")</f>
        <v/>
      </c>
    </row>
    <row r="14844">
      <c r="G14844" s="16" t="str">
        <f>IFERROR(__xludf.DUMMYFUNCTION("""COMPUTED_VALUE"""),"")</f>
        <v/>
      </c>
    </row>
    <row r="14845">
      <c r="G14845" s="16" t="str">
        <f>IFERROR(__xludf.DUMMYFUNCTION("""COMPUTED_VALUE"""),"")</f>
        <v/>
      </c>
    </row>
    <row r="14846">
      <c r="G14846" s="16" t="str">
        <f>IFERROR(__xludf.DUMMYFUNCTION("""COMPUTED_VALUE"""),"")</f>
        <v/>
      </c>
    </row>
    <row r="14847">
      <c r="G14847" s="16" t="str">
        <f>IFERROR(__xludf.DUMMYFUNCTION("""COMPUTED_VALUE"""),"")</f>
        <v/>
      </c>
    </row>
    <row r="14848">
      <c r="G14848" s="16" t="str">
        <f>IFERROR(__xludf.DUMMYFUNCTION("""COMPUTED_VALUE"""),"")</f>
        <v/>
      </c>
    </row>
    <row r="14849">
      <c r="G14849" s="16" t="str">
        <f>IFERROR(__xludf.DUMMYFUNCTION("""COMPUTED_VALUE"""),"")</f>
        <v/>
      </c>
    </row>
    <row r="14850">
      <c r="G14850" s="16" t="str">
        <f>IFERROR(__xludf.DUMMYFUNCTION("""COMPUTED_VALUE"""),"")</f>
        <v/>
      </c>
    </row>
    <row r="14851">
      <c r="G14851" s="16" t="str">
        <f>IFERROR(__xludf.DUMMYFUNCTION("""COMPUTED_VALUE"""),"")</f>
        <v/>
      </c>
    </row>
    <row r="14852">
      <c r="G14852" s="16" t="str">
        <f>IFERROR(__xludf.DUMMYFUNCTION("""COMPUTED_VALUE"""),"")</f>
        <v/>
      </c>
    </row>
    <row r="14853">
      <c r="G14853" s="16" t="str">
        <f>IFERROR(__xludf.DUMMYFUNCTION("""COMPUTED_VALUE"""),"")</f>
        <v/>
      </c>
    </row>
    <row r="14854">
      <c r="G14854" s="16" t="str">
        <f>IFERROR(__xludf.DUMMYFUNCTION("""COMPUTED_VALUE"""),"")</f>
        <v/>
      </c>
    </row>
    <row r="14855">
      <c r="G14855" s="16" t="str">
        <f>IFERROR(__xludf.DUMMYFUNCTION("""COMPUTED_VALUE"""),"")</f>
        <v/>
      </c>
    </row>
    <row r="14856">
      <c r="G14856" s="16" t="str">
        <f>IFERROR(__xludf.DUMMYFUNCTION("""COMPUTED_VALUE"""),"")</f>
        <v/>
      </c>
    </row>
    <row r="14857">
      <c r="G14857" s="16" t="str">
        <f>IFERROR(__xludf.DUMMYFUNCTION("""COMPUTED_VALUE"""),"")</f>
        <v/>
      </c>
    </row>
    <row r="14858">
      <c r="G14858" s="16" t="str">
        <f>IFERROR(__xludf.DUMMYFUNCTION("""COMPUTED_VALUE"""),"")</f>
        <v/>
      </c>
    </row>
    <row r="14859">
      <c r="G14859" s="16" t="str">
        <f>IFERROR(__xludf.DUMMYFUNCTION("""COMPUTED_VALUE"""),"")</f>
        <v/>
      </c>
    </row>
    <row r="14860">
      <c r="G14860" s="16" t="str">
        <f>IFERROR(__xludf.DUMMYFUNCTION("""COMPUTED_VALUE"""),"")</f>
        <v/>
      </c>
    </row>
    <row r="14861">
      <c r="G14861" s="16" t="str">
        <f>IFERROR(__xludf.DUMMYFUNCTION("""COMPUTED_VALUE"""),"")</f>
        <v/>
      </c>
    </row>
    <row r="14862">
      <c r="G14862" s="16" t="str">
        <f>IFERROR(__xludf.DUMMYFUNCTION("""COMPUTED_VALUE"""),"")</f>
        <v/>
      </c>
    </row>
    <row r="14863">
      <c r="G14863" s="16" t="str">
        <f>IFERROR(__xludf.DUMMYFUNCTION("""COMPUTED_VALUE"""),"")</f>
        <v/>
      </c>
    </row>
    <row r="14864">
      <c r="G14864" s="16" t="str">
        <f>IFERROR(__xludf.DUMMYFUNCTION("""COMPUTED_VALUE"""),"")</f>
        <v/>
      </c>
    </row>
    <row r="14865">
      <c r="G14865" s="16" t="str">
        <f>IFERROR(__xludf.DUMMYFUNCTION("""COMPUTED_VALUE"""),"")</f>
        <v/>
      </c>
    </row>
    <row r="14866">
      <c r="G14866" s="16" t="str">
        <f>IFERROR(__xludf.DUMMYFUNCTION("""COMPUTED_VALUE"""),"")</f>
        <v/>
      </c>
    </row>
    <row r="14867">
      <c r="G14867" s="16" t="str">
        <f>IFERROR(__xludf.DUMMYFUNCTION("""COMPUTED_VALUE"""),"")</f>
        <v/>
      </c>
    </row>
    <row r="14868">
      <c r="G14868" s="16" t="str">
        <f>IFERROR(__xludf.DUMMYFUNCTION("""COMPUTED_VALUE"""),"")</f>
        <v/>
      </c>
    </row>
    <row r="14869">
      <c r="G14869" s="16" t="str">
        <f>IFERROR(__xludf.DUMMYFUNCTION("""COMPUTED_VALUE"""),"")</f>
        <v/>
      </c>
    </row>
    <row r="14870">
      <c r="G14870" s="16" t="str">
        <f>IFERROR(__xludf.DUMMYFUNCTION("""COMPUTED_VALUE"""),"")</f>
        <v/>
      </c>
    </row>
    <row r="14871">
      <c r="G14871" s="16" t="str">
        <f>IFERROR(__xludf.DUMMYFUNCTION("""COMPUTED_VALUE"""),"")</f>
        <v/>
      </c>
    </row>
    <row r="14872">
      <c r="G14872" s="16" t="str">
        <f>IFERROR(__xludf.DUMMYFUNCTION("""COMPUTED_VALUE"""),"")</f>
        <v/>
      </c>
    </row>
    <row r="14873">
      <c r="G14873" s="16" t="str">
        <f>IFERROR(__xludf.DUMMYFUNCTION("""COMPUTED_VALUE"""),"")</f>
        <v/>
      </c>
    </row>
    <row r="14874">
      <c r="G14874" s="16" t="str">
        <f>IFERROR(__xludf.DUMMYFUNCTION("""COMPUTED_VALUE"""),"")</f>
        <v/>
      </c>
    </row>
    <row r="14875">
      <c r="G14875" s="16" t="str">
        <f>IFERROR(__xludf.DUMMYFUNCTION("""COMPUTED_VALUE"""),"")</f>
        <v/>
      </c>
    </row>
    <row r="14876">
      <c r="G14876" s="16" t="str">
        <f>IFERROR(__xludf.DUMMYFUNCTION("""COMPUTED_VALUE"""),"")</f>
        <v/>
      </c>
    </row>
    <row r="14877">
      <c r="G14877" s="16" t="str">
        <f>IFERROR(__xludf.DUMMYFUNCTION("""COMPUTED_VALUE"""),"")</f>
        <v/>
      </c>
    </row>
    <row r="14878">
      <c r="G14878" s="16" t="str">
        <f>IFERROR(__xludf.DUMMYFUNCTION("""COMPUTED_VALUE"""),"")</f>
        <v/>
      </c>
    </row>
    <row r="14879">
      <c r="G14879" s="16" t="str">
        <f>IFERROR(__xludf.DUMMYFUNCTION("""COMPUTED_VALUE"""),"")</f>
        <v/>
      </c>
    </row>
    <row r="14880">
      <c r="G14880" s="16" t="str">
        <f>IFERROR(__xludf.DUMMYFUNCTION("""COMPUTED_VALUE"""),"")</f>
        <v/>
      </c>
    </row>
    <row r="14881">
      <c r="G14881" s="16" t="str">
        <f>IFERROR(__xludf.DUMMYFUNCTION("""COMPUTED_VALUE"""),"")</f>
        <v/>
      </c>
    </row>
    <row r="14882">
      <c r="G14882" s="16" t="str">
        <f>IFERROR(__xludf.DUMMYFUNCTION("""COMPUTED_VALUE"""),"")</f>
        <v/>
      </c>
    </row>
    <row r="14883">
      <c r="G14883" s="16" t="str">
        <f>IFERROR(__xludf.DUMMYFUNCTION("""COMPUTED_VALUE"""),"")</f>
        <v/>
      </c>
    </row>
    <row r="14884">
      <c r="G14884" s="16" t="str">
        <f>IFERROR(__xludf.DUMMYFUNCTION("""COMPUTED_VALUE"""),"")</f>
        <v/>
      </c>
    </row>
    <row r="14885">
      <c r="G14885" s="16" t="str">
        <f>IFERROR(__xludf.DUMMYFUNCTION("""COMPUTED_VALUE"""),"")</f>
        <v/>
      </c>
    </row>
    <row r="14886">
      <c r="G14886" s="16" t="str">
        <f>IFERROR(__xludf.DUMMYFUNCTION("""COMPUTED_VALUE"""),"")</f>
        <v/>
      </c>
    </row>
    <row r="14887">
      <c r="G14887" s="16" t="str">
        <f>IFERROR(__xludf.DUMMYFUNCTION("""COMPUTED_VALUE"""),"")</f>
        <v/>
      </c>
    </row>
    <row r="14888">
      <c r="G14888" s="16" t="str">
        <f>IFERROR(__xludf.DUMMYFUNCTION("""COMPUTED_VALUE"""),"")</f>
        <v/>
      </c>
    </row>
    <row r="14889">
      <c r="G14889" s="16" t="str">
        <f>IFERROR(__xludf.DUMMYFUNCTION("""COMPUTED_VALUE"""),"")</f>
        <v/>
      </c>
    </row>
    <row r="14890">
      <c r="G14890" s="16" t="str">
        <f>IFERROR(__xludf.DUMMYFUNCTION("""COMPUTED_VALUE"""),"")</f>
        <v/>
      </c>
    </row>
    <row r="14891">
      <c r="G14891" s="16" t="str">
        <f>IFERROR(__xludf.DUMMYFUNCTION("""COMPUTED_VALUE"""),"")</f>
        <v/>
      </c>
    </row>
    <row r="14892">
      <c r="G14892" s="16" t="str">
        <f>IFERROR(__xludf.DUMMYFUNCTION("""COMPUTED_VALUE"""),"")</f>
        <v/>
      </c>
    </row>
    <row r="14893">
      <c r="G14893" s="16" t="str">
        <f>IFERROR(__xludf.DUMMYFUNCTION("""COMPUTED_VALUE"""),"")</f>
        <v/>
      </c>
    </row>
    <row r="14894">
      <c r="G14894" s="16" t="str">
        <f>IFERROR(__xludf.DUMMYFUNCTION("""COMPUTED_VALUE"""),"")</f>
        <v/>
      </c>
    </row>
    <row r="14895">
      <c r="G14895" s="16" t="str">
        <f>IFERROR(__xludf.DUMMYFUNCTION("""COMPUTED_VALUE"""),"")</f>
        <v/>
      </c>
    </row>
    <row r="14896">
      <c r="G14896" s="16" t="str">
        <f>IFERROR(__xludf.DUMMYFUNCTION("""COMPUTED_VALUE"""),"")</f>
        <v/>
      </c>
    </row>
    <row r="14897">
      <c r="G14897" s="16" t="str">
        <f>IFERROR(__xludf.DUMMYFUNCTION("""COMPUTED_VALUE"""),"")</f>
        <v/>
      </c>
    </row>
    <row r="14898">
      <c r="G14898" s="16" t="str">
        <f>IFERROR(__xludf.DUMMYFUNCTION("""COMPUTED_VALUE"""),"")</f>
        <v/>
      </c>
    </row>
    <row r="14899">
      <c r="G14899" s="16" t="str">
        <f>IFERROR(__xludf.DUMMYFUNCTION("""COMPUTED_VALUE"""),"")</f>
        <v/>
      </c>
    </row>
    <row r="14900">
      <c r="G14900" s="16" t="str">
        <f>IFERROR(__xludf.DUMMYFUNCTION("""COMPUTED_VALUE"""),"")</f>
        <v/>
      </c>
    </row>
    <row r="14901">
      <c r="G14901" s="16" t="str">
        <f>IFERROR(__xludf.DUMMYFUNCTION("""COMPUTED_VALUE"""),"")</f>
        <v/>
      </c>
    </row>
    <row r="14902">
      <c r="G14902" s="16" t="str">
        <f>IFERROR(__xludf.DUMMYFUNCTION("""COMPUTED_VALUE"""),"")</f>
        <v/>
      </c>
    </row>
    <row r="14903">
      <c r="G14903" s="16" t="str">
        <f>IFERROR(__xludf.DUMMYFUNCTION("""COMPUTED_VALUE"""),"")</f>
        <v/>
      </c>
    </row>
    <row r="14904">
      <c r="G14904" s="16" t="str">
        <f>IFERROR(__xludf.DUMMYFUNCTION("""COMPUTED_VALUE"""),"")</f>
        <v/>
      </c>
    </row>
    <row r="14905">
      <c r="G14905" s="16" t="str">
        <f>IFERROR(__xludf.DUMMYFUNCTION("""COMPUTED_VALUE"""),"")</f>
        <v/>
      </c>
    </row>
    <row r="14906">
      <c r="G14906" s="16" t="str">
        <f>IFERROR(__xludf.DUMMYFUNCTION("""COMPUTED_VALUE"""),"")</f>
        <v/>
      </c>
    </row>
    <row r="14907">
      <c r="G14907" s="16" t="str">
        <f>IFERROR(__xludf.DUMMYFUNCTION("""COMPUTED_VALUE"""),"")</f>
        <v/>
      </c>
    </row>
    <row r="14908">
      <c r="G14908" s="16" t="str">
        <f>IFERROR(__xludf.DUMMYFUNCTION("""COMPUTED_VALUE"""),"")</f>
        <v/>
      </c>
    </row>
    <row r="14909">
      <c r="G14909" s="16" t="str">
        <f>IFERROR(__xludf.DUMMYFUNCTION("""COMPUTED_VALUE"""),"")</f>
        <v/>
      </c>
    </row>
    <row r="14910">
      <c r="G14910" s="16" t="str">
        <f>IFERROR(__xludf.DUMMYFUNCTION("""COMPUTED_VALUE"""),"")</f>
        <v/>
      </c>
    </row>
    <row r="14911">
      <c r="G14911" s="16" t="str">
        <f>IFERROR(__xludf.DUMMYFUNCTION("""COMPUTED_VALUE"""),"")</f>
        <v/>
      </c>
    </row>
    <row r="14912">
      <c r="G14912" s="16" t="str">
        <f>IFERROR(__xludf.DUMMYFUNCTION("""COMPUTED_VALUE"""),"")</f>
        <v/>
      </c>
    </row>
    <row r="14913">
      <c r="G14913" s="16" t="str">
        <f>IFERROR(__xludf.DUMMYFUNCTION("""COMPUTED_VALUE"""),"")</f>
        <v/>
      </c>
    </row>
    <row r="14914">
      <c r="G14914" s="16" t="str">
        <f>IFERROR(__xludf.DUMMYFUNCTION("""COMPUTED_VALUE"""),"")</f>
        <v/>
      </c>
    </row>
    <row r="14915">
      <c r="G14915" s="16" t="str">
        <f>IFERROR(__xludf.DUMMYFUNCTION("""COMPUTED_VALUE"""),"")</f>
        <v/>
      </c>
    </row>
    <row r="14916">
      <c r="G14916" s="16" t="str">
        <f>IFERROR(__xludf.DUMMYFUNCTION("""COMPUTED_VALUE"""),"")</f>
        <v/>
      </c>
    </row>
    <row r="14917">
      <c r="G14917" s="16" t="str">
        <f>IFERROR(__xludf.DUMMYFUNCTION("""COMPUTED_VALUE"""),"")</f>
        <v/>
      </c>
    </row>
    <row r="14918">
      <c r="G14918" s="16" t="str">
        <f>IFERROR(__xludf.DUMMYFUNCTION("""COMPUTED_VALUE"""),"")</f>
        <v/>
      </c>
    </row>
    <row r="14919">
      <c r="G14919" s="16" t="str">
        <f>IFERROR(__xludf.DUMMYFUNCTION("""COMPUTED_VALUE"""),"")</f>
        <v/>
      </c>
    </row>
    <row r="14920">
      <c r="G14920" s="16" t="str">
        <f>IFERROR(__xludf.DUMMYFUNCTION("""COMPUTED_VALUE"""),"")</f>
        <v/>
      </c>
    </row>
    <row r="14921">
      <c r="G14921" s="16" t="str">
        <f>IFERROR(__xludf.DUMMYFUNCTION("""COMPUTED_VALUE"""),"")</f>
        <v/>
      </c>
    </row>
    <row r="14922">
      <c r="G14922" s="16" t="str">
        <f>IFERROR(__xludf.DUMMYFUNCTION("""COMPUTED_VALUE"""),"")</f>
        <v/>
      </c>
    </row>
    <row r="14923">
      <c r="G14923" s="16" t="str">
        <f>IFERROR(__xludf.DUMMYFUNCTION("""COMPUTED_VALUE"""),"")</f>
        <v/>
      </c>
    </row>
    <row r="14924">
      <c r="G14924" s="16" t="str">
        <f>IFERROR(__xludf.DUMMYFUNCTION("""COMPUTED_VALUE"""),"")</f>
        <v/>
      </c>
    </row>
    <row r="14925">
      <c r="G14925" s="16" t="str">
        <f>IFERROR(__xludf.DUMMYFUNCTION("""COMPUTED_VALUE"""),"")</f>
        <v/>
      </c>
    </row>
    <row r="14926">
      <c r="G14926" s="16" t="str">
        <f>IFERROR(__xludf.DUMMYFUNCTION("""COMPUTED_VALUE"""),"")</f>
        <v/>
      </c>
    </row>
    <row r="14927">
      <c r="G14927" s="16" t="str">
        <f>IFERROR(__xludf.DUMMYFUNCTION("""COMPUTED_VALUE"""),"")</f>
        <v/>
      </c>
    </row>
    <row r="14928">
      <c r="G14928" s="16" t="str">
        <f>IFERROR(__xludf.DUMMYFUNCTION("""COMPUTED_VALUE"""),"")</f>
        <v/>
      </c>
    </row>
    <row r="14929">
      <c r="G14929" s="16" t="str">
        <f>IFERROR(__xludf.DUMMYFUNCTION("""COMPUTED_VALUE"""),"")</f>
        <v/>
      </c>
    </row>
    <row r="14930">
      <c r="G14930" s="16" t="str">
        <f>IFERROR(__xludf.DUMMYFUNCTION("""COMPUTED_VALUE"""),"")</f>
        <v/>
      </c>
    </row>
    <row r="14931">
      <c r="G14931" s="16" t="str">
        <f>IFERROR(__xludf.DUMMYFUNCTION("""COMPUTED_VALUE"""),"")</f>
        <v/>
      </c>
    </row>
    <row r="14932">
      <c r="G14932" s="16" t="str">
        <f>IFERROR(__xludf.DUMMYFUNCTION("""COMPUTED_VALUE"""),"")</f>
        <v/>
      </c>
    </row>
    <row r="14933">
      <c r="G14933" s="16" t="str">
        <f>IFERROR(__xludf.DUMMYFUNCTION("""COMPUTED_VALUE"""),"")</f>
        <v/>
      </c>
    </row>
    <row r="14934">
      <c r="G14934" s="16" t="str">
        <f>IFERROR(__xludf.DUMMYFUNCTION("""COMPUTED_VALUE"""),"")</f>
        <v/>
      </c>
    </row>
    <row r="14935">
      <c r="G14935" s="16" t="str">
        <f>IFERROR(__xludf.DUMMYFUNCTION("""COMPUTED_VALUE"""),"")</f>
        <v/>
      </c>
    </row>
    <row r="14936">
      <c r="G14936" s="16" t="str">
        <f>IFERROR(__xludf.DUMMYFUNCTION("""COMPUTED_VALUE"""),"")</f>
        <v/>
      </c>
    </row>
    <row r="14937">
      <c r="G14937" s="16" t="str">
        <f>IFERROR(__xludf.DUMMYFUNCTION("""COMPUTED_VALUE"""),"")</f>
        <v/>
      </c>
    </row>
    <row r="14938">
      <c r="G14938" s="16" t="str">
        <f>IFERROR(__xludf.DUMMYFUNCTION("""COMPUTED_VALUE"""),"")</f>
        <v/>
      </c>
    </row>
    <row r="14939">
      <c r="G14939" s="16" t="str">
        <f>IFERROR(__xludf.DUMMYFUNCTION("""COMPUTED_VALUE"""),"")</f>
        <v/>
      </c>
    </row>
    <row r="14940">
      <c r="G14940" s="16" t="str">
        <f>IFERROR(__xludf.DUMMYFUNCTION("""COMPUTED_VALUE"""),"")</f>
        <v/>
      </c>
    </row>
    <row r="14941">
      <c r="G14941" s="16" t="str">
        <f>IFERROR(__xludf.DUMMYFUNCTION("""COMPUTED_VALUE"""),"")</f>
        <v/>
      </c>
    </row>
    <row r="14942">
      <c r="G14942" s="16" t="str">
        <f>IFERROR(__xludf.DUMMYFUNCTION("""COMPUTED_VALUE"""),"")</f>
        <v/>
      </c>
    </row>
    <row r="14943">
      <c r="G14943" s="16" t="str">
        <f>IFERROR(__xludf.DUMMYFUNCTION("""COMPUTED_VALUE"""),"")</f>
        <v/>
      </c>
    </row>
    <row r="14944">
      <c r="G14944" s="16" t="str">
        <f>IFERROR(__xludf.DUMMYFUNCTION("""COMPUTED_VALUE"""),"")</f>
        <v/>
      </c>
    </row>
    <row r="14945">
      <c r="G14945" s="16" t="str">
        <f>IFERROR(__xludf.DUMMYFUNCTION("""COMPUTED_VALUE"""),"")</f>
        <v/>
      </c>
    </row>
    <row r="14946">
      <c r="G14946" s="16" t="str">
        <f>IFERROR(__xludf.DUMMYFUNCTION("""COMPUTED_VALUE"""),"")</f>
        <v/>
      </c>
    </row>
    <row r="14947">
      <c r="G14947" s="16" t="str">
        <f>IFERROR(__xludf.DUMMYFUNCTION("""COMPUTED_VALUE"""),"")</f>
        <v/>
      </c>
    </row>
    <row r="14948">
      <c r="G14948" s="16" t="str">
        <f>IFERROR(__xludf.DUMMYFUNCTION("""COMPUTED_VALUE"""),"")</f>
        <v/>
      </c>
    </row>
    <row r="14949">
      <c r="G14949" s="16" t="str">
        <f>IFERROR(__xludf.DUMMYFUNCTION("""COMPUTED_VALUE"""),"")</f>
        <v/>
      </c>
    </row>
    <row r="14950">
      <c r="G14950" s="16" t="str">
        <f>IFERROR(__xludf.DUMMYFUNCTION("""COMPUTED_VALUE"""),"")</f>
        <v/>
      </c>
    </row>
    <row r="14951">
      <c r="G14951" s="16" t="str">
        <f>IFERROR(__xludf.DUMMYFUNCTION("""COMPUTED_VALUE"""),"")</f>
        <v/>
      </c>
    </row>
    <row r="14952">
      <c r="G14952" s="16" t="str">
        <f>IFERROR(__xludf.DUMMYFUNCTION("""COMPUTED_VALUE"""),"")</f>
        <v/>
      </c>
    </row>
    <row r="14953">
      <c r="G14953" s="16" t="str">
        <f>IFERROR(__xludf.DUMMYFUNCTION("""COMPUTED_VALUE"""),"")</f>
        <v/>
      </c>
    </row>
    <row r="14954">
      <c r="G14954" s="16" t="str">
        <f>IFERROR(__xludf.DUMMYFUNCTION("""COMPUTED_VALUE"""),"")</f>
        <v/>
      </c>
    </row>
    <row r="14955">
      <c r="G14955" s="16" t="str">
        <f>IFERROR(__xludf.DUMMYFUNCTION("""COMPUTED_VALUE"""),"")</f>
        <v/>
      </c>
    </row>
    <row r="14956">
      <c r="G14956" s="16" t="str">
        <f>IFERROR(__xludf.DUMMYFUNCTION("""COMPUTED_VALUE"""),"")</f>
        <v/>
      </c>
    </row>
    <row r="14957">
      <c r="G14957" s="16" t="str">
        <f>IFERROR(__xludf.DUMMYFUNCTION("""COMPUTED_VALUE"""),"")</f>
        <v/>
      </c>
    </row>
    <row r="14958">
      <c r="G14958" s="16" t="str">
        <f>IFERROR(__xludf.DUMMYFUNCTION("""COMPUTED_VALUE"""),"")</f>
        <v/>
      </c>
    </row>
    <row r="14959">
      <c r="G14959" s="16" t="str">
        <f>IFERROR(__xludf.DUMMYFUNCTION("""COMPUTED_VALUE"""),"")</f>
        <v/>
      </c>
    </row>
    <row r="14960">
      <c r="G14960" s="16" t="str">
        <f>IFERROR(__xludf.DUMMYFUNCTION("""COMPUTED_VALUE"""),"")</f>
        <v/>
      </c>
    </row>
    <row r="14961">
      <c r="G14961" s="16" t="str">
        <f>IFERROR(__xludf.DUMMYFUNCTION("""COMPUTED_VALUE"""),"")</f>
        <v/>
      </c>
    </row>
    <row r="14962">
      <c r="G14962" s="16" t="str">
        <f>IFERROR(__xludf.DUMMYFUNCTION("""COMPUTED_VALUE"""),"")</f>
        <v/>
      </c>
    </row>
    <row r="14963">
      <c r="G14963" s="16" t="str">
        <f>IFERROR(__xludf.DUMMYFUNCTION("""COMPUTED_VALUE"""),"")</f>
        <v/>
      </c>
    </row>
    <row r="14964">
      <c r="G14964" s="16" t="str">
        <f>IFERROR(__xludf.DUMMYFUNCTION("""COMPUTED_VALUE"""),"")</f>
        <v/>
      </c>
    </row>
    <row r="14965">
      <c r="G14965" s="16" t="str">
        <f>IFERROR(__xludf.DUMMYFUNCTION("""COMPUTED_VALUE"""),"")</f>
        <v/>
      </c>
    </row>
    <row r="14966">
      <c r="G14966" s="16" t="str">
        <f>IFERROR(__xludf.DUMMYFUNCTION("""COMPUTED_VALUE"""),"")</f>
        <v/>
      </c>
    </row>
    <row r="14967">
      <c r="G14967" s="16" t="str">
        <f>IFERROR(__xludf.DUMMYFUNCTION("""COMPUTED_VALUE"""),"")</f>
        <v/>
      </c>
    </row>
    <row r="14968">
      <c r="G14968" s="16" t="str">
        <f>IFERROR(__xludf.DUMMYFUNCTION("""COMPUTED_VALUE"""),"")</f>
        <v/>
      </c>
    </row>
    <row r="14969">
      <c r="G14969" s="16" t="str">
        <f>IFERROR(__xludf.DUMMYFUNCTION("""COMPUTED_VALUE"""),"")</f>
        <v/>
      </c>
    </row>
    <row r="14970">
      <c r="G14970" s="16" t="str">
        <f>IFERROR(__xludf.DUMMYFUNCTION("""COMPUTED_VALUE"""),"")</f>
        <v/>
      </c>
    </row>
    <row r="14971">
      <c r="G14971" s="16" t="str">
        <f>IFERROR(__xludf.DUMMYFUNCTION("""COMPUTED_VALUE"""),"")</f>
        <v/>
      </c>
    </row>
    <row r="14972">
      <c r="G14972" s="16" t="str">
        <f>IFERROR(__xludf.DUMMYFUNCTION("""COMPUTED_VALUE"""),"")</f>
        <v/>
      </c>
    </row>
    <row r="14973">
      <c r="G14973" s="16" t="str">
        <f>IFERROR(__xludf.DUMMYFUNCTION("""COMPUTED_VALUE"""),"")</f>
        <v/>
      </c>
    </row>
    <row r="14974">
      <c r="G14974" s="16" t="str">
        <f>IFERROR(__xludf.DUMMYFUNCTION("""COMPUTED_VALUE"""),"")</f>
        <v/>
      </c>
    </row>
    <row r="14975">
      <c r="G14975" s="16" t="str">
        <f>IFERROR(__xludf.DUMMYFUNCTION("""COMPUTED_VALUE"""),"")</f>
        <v/>
      </c>
    </row>
    <row r="14976">
      <c r="G14976" s="16" t="str">
        <f>IFERROR(__xludf.DUMMYFUNCTION("""COMPUTED_VALUE"""),"")</f>
        <v/>
      </c>
    </row>
    <row r="14977">
      <c r="G14977" s="16" t="str">
        <f>IFERROR(__xludf.DUMMYFUNCTION("""COMPUTED_VALUE"""),"")</f>
        <v/>
      </c>
    </row>
    <row r="14978">
      <c r="G14978" s="16" t="str">
        <f>IFERROR(__xludf.DUMMYFUNCTION("""COMPUTED_VALUE"""),"")</f>
        <v/>
      </c>
    </row>
    <row r="14979">
      <c r="G14979" s="16" t="str">
        <f>IFERROR(__xludf.DUMMYFUNCTION("""COMPUTED_VALUE"""),"")</f>
        <v/>
      </c>
    </row>
    <row r="14980">
      <c r="G14980" s="16" t="str">
        <f>IFERROR(__xludf.DUMMYFUNCTION("""COMPUTED_VALUE"""),"")</f>
        <v/>
      </c>
    </row>
    <row r="14981">
      <c r="G14981" s="16" t="str">
        <f>IFERROR(__xludf.DUMMYFUNCTION("""COMPUTED_VALUE"""),"")</f>
        <v/>
      </c>
    </row>
    <row r="14982">
      <c r="G14982" s="16" t="str">
        <f>IFERROR(__xludf.DUMMYFUNCTION("""COMPUTED_VALUE"""),"")</f>
        <v/>
      </c>
    </row>
    <row r="14983">
      <c r="G14983" s="16" t="str">
        <f>IFERROR(__xludf.DUMMYFUNCTION("""COMPUTED_VALUE"""),"")</f>
        <v/>
      </c>
    </row>
    <row r="14984">
      <c r="G14984" s="16" t="str">
        <f>IFERROR(__xludf.DUMMYFUNCTION("""COMPUTED_VALUE"""),"")</f>
        <v/>
      </c>
    </row>
    <row r="14985">
      <c r="G14985" s="16" t="str">
        <f>IFERROR(__xludf.DUMMYFUNCTION("""COMPUTED_VALUE"""),"")</f>
        <v/>
      </c>
    </row>
    <row r="14986">
      <c r="G14986" s="16" t="str">
        <f>IFERROR(__xludf.DUMMYFUNCTION("""COMPUTED_VALUE"""),"")</f>
        <v/>
      </c>
    </row>
    <row r="14987">
      <c r="G14987" s="16" t="str">
        <f>IFERROR(__xludf.DUMMYFUNCTION("""COMPUTED_VALUE"""),"")</f>
        <v/>
      </c>
    </row>
    <row r="14988">
      <c r="G14988" s="16" t="str">
        <f>IFERROR(__xludf.DUMMYFUNCTION("""COMPUTED_VALUE"""),"")</f>
        <v/>
      </c>
    </row>
    <row r="14989">
      <c r="G14989" s="16" t="str">
        <f>IFERROR(__xludf.DUMMYFUNCTION("""COMPUTED_VALUE"""),"")</f>
        <v/>
      </c>
    </row>
    <row r="14990">
      <c r="G14990" s="16" t="str">
        <f>IFERROR(__xludf.DUMMYFUNCTION("""COMPUTED_VALUE"""),"")</f>
        <v/>
      </c>
    </row>
    <row r="14991">
      <c r="G14991" s="16" t="str">
        <f>IFERROR(__xludf.DUMMYFUNCTION("""COMPUTED_VALUE"""),"")</f>
        <v/>
      </c>
    </row>
    <row r="14992">
      <c r="G14992" s="16" t="str">
        <f>IFERROR(__xludf.DUMMYFUNCTION("""COMPUTED_VALUE"""),"")</f>
        <v/>
      </c>
    </row>
    <row r="14993">
      <c r="G14993" s="16" t="str">
        <f>IFERROR(__xludf.DUMMYFUNCTION("""COMPUTED_VALUE"""),"")</f>
        <v/>
      </c>
    </row>
    <row r="14994">
      <c r="G14994" s="16" t="str">
        <f>IFERROR(__xludf.DUMMYFUNCTION("""COMPUTED_VALUE"""),"")</f>
        <v/>
      </c>
    </row>
    <row r="14995">
      <c r="G14995" s="16" t="str">
        <f>IFERROR(__xludf.DUMMYFUNCTION("""COMPUTED_VALUE"""),"")</f>
        <v/>
      </c>
    </row>
    <row r="14996">
      <c r="G14996" s="16" t="str">
        <f>IFERROR(__xludf.DUMMYFUNCTION("""COMPUTED_VALUE"""),"")</f>
        <v/>
      </c>
    </row>
    <row r="14997">
      <c r="G14997" s="16" t="str">
        <f>IFERROR(__xludf.DUMMYFUNCTION("""COMPUTED_VALUE"""),"")</f>
        <v/>
      </c>
    </row>
    <row r="14998">
      <c r="G14998" s="16" t="str">
        <f>IFERROR(__xludf.DUMMYFUNCTION("""COMPUTED_VALUE"""),"")</f>
        <v/>
      </c>
    </row>
    <row r="14999">
      <c r="G14999" s="16" t="str">
        <f>IFERROR(__xludf.DUMMYFUNCTION("""COMPUTED_VALUE"""),"")</f>
        <v/>
      </c>
    </row>
    <row r="15000">
      <c r="G15000" s="16" t="str">
        <f>IFERROR(__xludf.DUMMYFUNCTION("""COMPUTED_VALUE"""),"")</f>
        <v/>
      </c>
    </row>
    <row r="15001">
      <c r="G15001" s="16" t="str">
        <f>IFERROR(__xludf.DUMMYFUNCTION("""COMPUTED_VALUE"""),"")</f>
        <v/>
      </c>
    </row>
    <row r="15002">
      <c r="G15002" s="16" t="str">
        <f>IFERROR(__xludf.DUMMYFUNCTION("""COMPUTED_VALUE"""),"")</f>
        <v/>
      </c>
    </row>
    <row r="15003">
      <c r="G15003" s="16" t="str">
        <f>IFERROR(__xludf.DUMMYFUNCTION("""COMPUTED_VALUE"""),"")</f>
        <v/>
      </c>
    </row>
    <row r="15004">
      <c r="G15004" s="16" t="str">
        <f>IFERROR(__xludf.DUMMYFUNCTION("""COMPUTED_VALUE"""),"")</f>
        <v/>
      </c>
    </row>
    <row r="15005">
      <c r="G15005" s="16" t="str">
        <f>IFERROR(__xludf.DUMMYFUNCTION("""COMPUTED_VALUE"""),"")</f>
        <v/>
      </c>
    </row>
    <row r="15006">
      <c r="G15006" s="16" t="str">
        <f>IFERROR(__xludf.DUMMYFUNCTION("""COMPUTED_VALUE"""),"")</f>
        <v/>
      </c>
    </row>
    <row r="15007">
      <c r="G15007" s="16" t="str">
        <f>IFERROR(__xludf.DUMMYFUNCTION("""COMPUTED_VALUE"""),"")</f>
        <v/>
      </c>
    </row>
    <row r="15008">
      <c r="G15008" s="16" t="str">
        <f>IFERROR(__xludf.DUMMYFUNCTION("""COMPUTED_VALUE"""),"")</f>
        <v/>
      </c>
    </row>
    <row r="15009">
      <c r="G15009" s="16" t="str">
        <f>IFERROR(__xludf.DUMMYFUNCTION("""COMPUTED_VALUE"""),"")</f>
        <v/>
      </c>
    </row>
    <row r="15010">
      <c r="G15010" s="16" t="str">
        <f>IFERROR(__xludf.DUMMYFUNCTION("""COMPUTED_VALUE"""),"")</f>
        <v/>
      </c>
    </row>
    <row r="15011">
      <c r="G15011" s="16" t="str">
        <f>IFERROR(__xludf.DUMMYFUNCTION("""COMPUTED_VALUE"""),"")</f>
        <v/>
      </c>
    </row>
    <row r="15012">
      <c r="G15012" s="16" t="str">
        <f>IFERROR(__xludf.DUMMYFUNCTION("""COMPUTED_VALUE"""),"")</f>
        <v/>
      </c>
    </row>
    <row r="15013">
      <c r="G15013" s="16" t="str">
        <f>IFERROR(__xludf.DUMMYFUNCTION("""COMPUTED_VALUE"""),"")</f>
        <v/>
      </c>
    </row>
    <row r="15014">
      <c r="G15014" s="16" t="str">
        <f>IFERROR(__xludf.DUMMYFUNCTION("""COMPUTED_VALUE"""),"")</f>
        <v/>
      </c>
    </row>
    <row r="15015">
      <c r="G15015" s="16" t="str">
        <f>IFERROR(__xludf.DUMMYFUNCTION("""COMPUTED_VALUE"""),"")</f>
        <v/>
      </c>
    </row>
    <row r="15016">
      <c r="G15016" s="16" t="str">
        <f>IFERROR(__xludf.DUMMYFUNCTION("""COMPUTED_VALUE"""),"")</f>
        <v/>
      </c>
    </row>
    <row r="15017">
      <c r="G15017" s="16" t="str">
        <f>IFERROR(__xludf.DUMMYFUNCTION("""COMPUTED_VALUE"""),"")</f>
        <v/>
      </c>
    </row>
    <row r="15018">
      <c r="G15018" s="16" t="str">
        <f>IFERROR(__xludf.DUMMYFUNCTION("""COMPUTED_VALUE"""),"")</f>
        <v/>
      </c>
    </row>
    <row r="15019">
      <c r="G15019" s="16" t="str">
        <f>IFERROR(__xludf.DUMMYFUNCTION("""COMPUTED_VALUE"""),"")</f>
        <v/>
      </c>
    </row>
    <row r="15020">
      <c r="G15020" s="16" t="str">
        <f>IFERROR(__xludf.DUMMYFUNCTION("""COMPUTED_VALUE"""),"")</f>
        <v/>
      </c>
    </row>
    <row r="15021">
      <c r="G15021" s="16" t="str">
        <f>IFERROR(__xludf.DUMMYFUNCTION("""COMPUTED_VALUE"""),"")</f>
        <v/>
      </c>
    </row>
    <row r="15022">
      <c r="G15022" s="16" t="str">
        <f>IFERROR(__xludf.DUMMYFUNCTION("""COMPUTED_VALUE"""),"")</f>
        <v/>
      </c>
    </row>
    <row r="15023">
      <c r="G15023" s="16" t="str">
        <f>IFERROR(__xludf.DUMMYFUNCTION("""COMPUTED_VALUE"""),"")</f>
        <v/>
      </c>
    </row>
    <row r="15024">
      <c r="G15024" s="16" t="str">
        <f>IFERROR(__xludf.DUMMYFUNCTION("""COMPUTED_VALUE"""),"")</f>
        <v/>
      </c>
    </row>
    <row r="15025">
      <c r="G15025" s="16" t="str">
        <f>IFERROR(__xludf.DUMMYFUNCTION("""COMPUTED_VALUE"""),"")</f>
        <v/>
      </c>
    </row>
    <row r="15026">
      <c r="G15026" s="16" t="str">
        <f>IFERROR(__xludf.DUMMYFUNCTION("""COMPUTED_VALUE"""),"")</f>
        <v/>
      </c>
    </row>
    <row r="15027">
      <c r="G15027" s="16" t="str">
        <f>IFERROR(__xludf.DUMMYFUNCTION("""COMPUTED_VALUE"""),"")</f>
        <v/>
      </c>
    </row>
    <row r="15028">
      <c r="G15028" s="16" t="str">
        <f>IFERROR(__xludf.DUMMYFUNCTION("""COMPUTED_VALUE"""),"")</f>
        <v/>
      </c>
    </row>
    <row r="15029">
      <c r="G15029" s="16" t="str">
        <f>IFERROR(__xludf.DUMMYFUNCTION("""COMPUTED_VALUE"""),"")</f>
        <v/>
      </c>
    </row>
    <row r="15030">
      <c r="G15030" s="16" t="str">
        <f>IFERROR(__xludf.DUMMYFUNCTION("""COMPUTED_VALUE"""),"")</f>
        <v/>
      </c>
    </row>
    <row r="15031">
      <c r="G15031" s="16" t="str">
        <f>IFERROR(__xludf.DUMMYFUNCTION("""COMPUTED_VALUE"""),"")</f>
        <v/>
      </c>
    </row>
    <row r="15032">
      <c r="G15032" s="16" t="str">
        <f>IFERROR(__xludf.DUMMYFUNCTION("""COMPUTED_VALUE"""),"")</f>
        <v/>
      </c>
    </row>
    <row r="15033">
      <c r="G15033" s="16" t="str">
        <f>IFERROR(__xludf.DUMMYFUNCTION("""COMPUTED_VALUE"""),"")</f>
        <v/>
      </c>
    </row>
    <row r="15034">
      <c r="G15034" s="16" t="str">
        <f>IFERROR(__xludf.DUMMYFUNCTION("""COMPUTED_VALUE"""),"")</f>
        <v/>
      </c>
    </row>
    <row r="15035">
      <c r="G15035" s="16" t="str">
        <f>IFERROR(__xludf.DUMMYFUNCTION("""COMPUTED_VALUE"""),"")</f>
        <v/>
      </c>
    </row>
    <row r="15036">
      <c r="G15036" s="16" t="str">
        <f>IFERROR(__xludf.DUMMYFUNCTION("""COMPUTED_VALUE"""),"")</f>
        <v/>
      </c>
    </row>
    <row r="15037">
      <c r="G15037" s="16" t="str">
        <f>IFERROR(__xludf.DUMMYFUNCTION("""COMPUTED_VALUE"""),"")</f>
        <v/>
      </c>
    </row>
    <row r="15038">
      <c r="G15038" s="16" t="str">
        <f>IFERROR(__xludf.DUMMYFUNCTION("""COMPUTED_VALUE"""),"")</f>
        <v/>
      </c>
    </row>
    <row r="15039">
      <c r="G15039" s="16" t="str">
        <f>IFERROR(__xludf.DUMMYFUNCTION("""COMPUTED_VALUE"""),"")</f>
        <v/>
      </c>
    </row>
    <row r="15040">
      <c r="G15040" s="16" t="str">
        <f>IFERROR(__xludf.DUMMYFUNCTION("""COMPUTED_VALUE"""),"")</f>
        <v/>
      </c>
    </row>
    <row r="15041">
      <c r="G15041" s="16" t="str">
        <f>IFERROR(__xludf.DUMMYFUNCTION("""COMPUTED_VALUE"""),"")</f>
        <v/>
      </c>
    </row>
    <row r="15042">
      <c r="G15042" s="16" t="str">
        <f>IFERROR(__xludf.DUMMYFUNCTION("""COMPUTED_VALUE"""),"")</f>
        <v/>
      </c>
    </row>
    <row r="15043">
      <c r="G15043" s="16" t="str">
        <f>IFERROR(__xludf.DUMMYFUNCTION("""COMPUTED_VALUE"""),"")</f>
        <v/>
      </c>
    </row>
    <row r="15044">
      <c r="G15044" s="16" t="str">
        <f>IFERROR(__xludf.DUMMYFUNCTION("""COMPUTED_VALUE"""),"")</f>
        <v/>
      </c>
    </row>
    <row r="15045">
      <c r="G15045" s="16" t="str">
        <f>IFERROR(__xludf.DUMMYFUNCTION("""COMPUTED_VALUE"""),"")</f>
        <v/>
      </c>
    </row>
    <row r="15046">
      <c r="G15046" s="16" t="str">
        <f>IFERROR(__xludf.DUMMYFUNCTION("""COMPUTED_VALUE"""),"")</f>
        <v/>
      </c>
    </row>
    <row r="15047">
      <c r="G15047" s="16" t="str">
        <f>IFERROR(__xludf.DUMMYFUNCTION("""COMPUTED_VALUE"""),"")</f>
        <v/>
      </c>
    </row>
    <row r="15048">
      <c r="G15048" s="16" t="str">
        <f>IFERROR(__xludf.DUMMYFUNCTION("""COMPUTED_VALUE"""),"")</f>
        <v/>
      </c>
    </row>
    <row r="15049">
      <c r="G15049" s="16" t="str">
        <f>IFERROR(__xludf.DUMMYFUNCTION("""COMPUTED_VALUE"""),"")</f>
        <v/>
      </c>
    </row>
    <row r="15050">
      <c r="G15050" s="16" t="str">
        <f>IFERROR(__xludf.DUMMYFUNCTION("""COMPUTED_VALUE"""),"")</f>
        <v/>
      </c>
    </row>
    <row r="15051">
      <c r="G15051" s="16" t="str">
        <f>IFERROR(__xludf.DUMMYFUNCTION("""COMPUTED_VALUE"""),"")</f>
        <v/>
      </c>
    </row>
    <row r="15052">
      <c r="G15052" s="16" t="str">
        <f>IFERROR(__xludf.DUMMYFUNCTION("""COMPUTED_VALUE"""),"")</f>
        <v/>
      </c>
    </row>
    <row r="15053">
      <c r="G15053" s="16" t="str">
        <f>IFERROR(__xludf.DUMMYFUNCTION("""COMPUTED_VALUE"""),"")</f>
        <v/>
      </c>
    </row>
    <row r="15054">
      <c r="G15054" s="16" t="str">
        <f>IFERROR(__xludf.DUMMYFUNCTION("""COMPUTED_VALUE"""),"")</f>
        <v/>
      </c>
    </row>
    <row r="15055">
      <c r="G15055" s="16" t="str">
        <f>IFERROR(__xludf.DUMMYFUNCTION("""COMPUTED_VALUE"""),"")</f>
        <v/>
      </c>
    </row>
    <row r="15056">
      <c r="G15056" s="16" t="str">
        <f>IFERROR(__xludf.DUMMYFUNCTION("""COMPUTED_VALUE"""),"")</f>
        <v/>
      </c>
    </row>
    <row r="15057">
      <c r="G15057" s="16" t="str">
        <f>IFERROR(__xludf.DUMMYFUNCTION("""COMPUTED_VALUE"""),"")</f>
        <v/>
      </c>
    </row>
    <row r="15058">
      <c r="G15058" s="16" t="str">
        <f>IFERROR(__xludf.DUMMYFUNCTION("""COMPUTED_VALUE"""),"")</f>
        <v/>
      </c>
    </row>
    <row r="15059">
      <c r="G15059" s="16" t="str">
        <f>IFERROR(__xludf.DUMMYFUNCTION("""COMPUTED_VALUE"""),"")</f>
        <v/>
      </c>
    </row>
    <row r="15060">
      <c r="G15060" s="16" t="str">
        <f>IFERROR(__xludf.DUMMYFUNCTION("""COMPUTED_VALUE"""),"")</f>
        <v/>
      </c>
    </row>
    <row r="15061">
      <c r="G15061" s="16" t="str">
        <f>IFERROR(__xludf.DUMMYFUNCTION("""COMPUTED_VALUE"""),"")</f>
        <v/>
      </c>
    </row>
    <row r="15062">
      <c r="G15062" s="16" t="str">
        <f>IFERROR(__xludf.DUMMYFUNCTION("""COMPUTED_VALUE"""),"")</f>
        <v/>
      </c>
    </row>
    <row r="15063">
      <c r="G15063" s="16" t="str">
        <f>IFERROR(__xludf.DUMMYFUNCTION("""COMPUTED_VALUE"""),"")</f>
        <v/>
      </c>
    </row>
    <row r="15064">
      <c r="G15064" s="16" t="str">
        <f>IFERROR(__xludf.DUMMYFUNCTION("""COMPUTED_VALUE"""),"")</f>
        <v/>
      </c>
    </row>
    <row r="15065">
      <c r="G15065" s="16" t="str">
        <f>IFERROR(__xludf.DUMMYFUNCTION("""COMPUTED_VALUE"""),"")</f>
        <v/>
      </c>
    </row>
    <row r="15066">
      <c r="G15066" s="16" t="str">
        <f>IFERROR(__xludf.DUMMYFUNCTION("""COMPUTED_VALUE"""),"")</f>
        <v/>
      </c>
    </row>
    <row r="15067">
      <c r="G15067" s="16" t="str">
        <f>IFERROR(__xludf.DUMMYFUNCTION("""COMPUTED_VALUE"""),"")</f>
        <v/>
      </c>
    </row>
    <row r="15068">
      <c r="G15068" s="16" t="str">
        <f>IFERROR(__xludf.DUMMYFUNCTION("""COMPUTED_VALUE"""),"")</f>
        <v/>
      </c>
    </row>
    <row r="15069">
      <c r="G15069" s="16" t="str">
        <f>IFERROR(__xludf.DUMMYFUNCTION("""COMPUTED_VALUE"""),"")</f>
        <v/>
      </c>
    </row>
    <row r="15070">
      <c r="G15070" s="16" t="str">
        <f>IFERROR(__xludf.DUMMYFUNCTION("""COMPUTED_VALUE"""),"")</f>
        <v/>
      </c>
    </row>
    <row r="15071">
      <c r="G15071" s="16" t="str">
        <f>IFERROR(__xludf.DUMMYFUNCTION("""COMPUTED_VALUE"""),"")</f>
        <v/>
      </c>
    </row>
    <row r="15072">
      <c r="G15072" s="16" t="str">
        <f>IFERROR(__xludf.DUMMYFUNCTION("""COMPUTED_VALUE"""),"")</f>
        <v/>
      </c>
    </row>
    <row r="15073">
      <c r="G15073" s="16" t="str">
        <f>IFERROR(__xludf.DUMMYFUNCTION("""COMPUTED_VALUE"""),"")</f>
        <v/>
      </c>
    </row>
    <row r="15074">
      <c r="G15074" s="16" t="str">
        <f>IFERROR(__xludf.DUMMYFUNCTION("""COMPUTED_VALUE"""),"")</f>
        <v/>
      </c>
    </row>
    <row r="15075">
      <c r="G15075" s="16" t="str">
        <f>IFERROR(__xludf.DUMMYFUNCTION("""COMPUTED_VALUE"""),"")</f>
        <v/>
      </c>
    </row>
    <row r="15076">
      <c r="G15076" s="16" t="str">
        <f>IFERROR(__xludf.DUMMYFUNCTION("""COMPUTED_VALUE"""),"")</f>
        <v/>
      </c>
    </row>
    <row r="15077">
      <c r="G15077" s="16" t="str">
        <f>IFERROR(__xludf.DUMMYFUNCTION("""COMPUTED_VALUE"""),"")</f>
        <v/>
      </c>
    </row>
    <row r="15078">
      <c r="G15078" s="16" t="str">
        <f>IFERROR(__xludf.DUMMYFUNCTION("""COMPUTED_VALUE"""),"")</f>
        <v/>
      </c>
    </row>
    <row r="15079">
      <c r="G15079" s="16" t="str">
        <f>IFERROR(__xludf.DUMMYFUNCTION("""COMPUTED_VALUE"""),"")</f>
        <v/>
      </c>
    </row>
    <row r="15080">
      <c r="G15080" s="16" t="str">
        <f>IFERROR(__xludf.DUMMYFUNCTION("""COMPUTED_VALUE"""),"")</f>
        <v/>
      </c>
    </row>
    <row r="15081">
      <c r="G15081" s="16" t="str">
        <f>IFERROR(__xludf.DUMMYFUNCTION("""COMPUTED_VALUE"""),"")</f>
        <v/>
      </c>
    </row>
    <row r="15082">
      <c r="G15082" s="16" t="str">
        <f>IFERROR(__xludf.DUMMYFUNCTION("""COMPUTED_VALUE"""),"")</f>
        <v/>
      </c>
    </row>
    <row r="15083">
      <c r="G15083" s="16" t="str">
        <f>IFERROR(__xludf.DUMMYFUNCTION("""COMPUTED_VALUE"""),"")</f>
        <v/>
      </c>
    </row>
    <row r="15084">
      <c r="G15084" s="16" t="str">
        <f>IFERROR(__xludf.DUMMYFUNCTION("""COMPUTED_VALUE"""),"")</f>
        <v/>
      </c>
    </row>
    <row r="15085">
      <c r="G15085" s="16" t="str">
        <f>IFERROR(__xludf.DUMMYFUNCTION("""COMPUTED_VALUE"""),"")</f>
        <v/>
      </c>
    </row>
    <row r="15086">
      <c r="G15086" s="16" t="str">
        <f>IFERROR(__xludf.DUMMYFUNCTION("""COMPUTED_VALUE"""),"")</f>
        <v/>
      </c>
    </row>
    <row r="15087">
      <c r="G15087" s="16" t="str">
        <f>IFERROR(__xludf.DUMMYFUNCTION("""COMPUTED_VALUE"""),"")</f>
        <v/>
      </c>
    </row>
    <row r="15088">
      <c r="G15088" s="16" t="str">
        <f>IFERROR(__xludf.DUMMYFUNCTION("""COMPUTED_VALUE"""),"")</f>
        <v/>
      </c>
    </row>
    <row r="15089">
      <c r="G15089" s="16" t="str">
        <f>IFERROR(__xludf.DUMMYFUNCTION("""COMPUTED_VALUE"""),"")</f>
        <v/>
      </c>
    </row>
    <row r="15090">
      <c r="G15090" s="16" t="str">
        <f>IFERROR(__xludf.DUMMYFUNCTION("""COMPUTED_VALUE"""),"")</f>
        <v/>
      </c>
    </row>
    <row r="15091">
      <c r="G15091" s="16" t="str">
        <f>IFERROR(__xludf.DUMMYFUNCTION("""COMPUTED_VALUE"""),"")</f>
        <v/>
      </c>
    </row>
    <row r="15092">
      <c r="G15092" s="16" t="str">
        <f>IFERROR(__xludf.DUMMYFUNCTION("""COMPUTED_VALUE"""),"")</f>
        <v/>
      </c>
    </row>
    <row r="15093">
      <c r="G15093" s="16" t="str">
        <f>IFERROR(__xludf.DUMMYFUNCTION("""COMPUTED_VALUE"""),"")</f>
        <v/>
      </c>
    </row>
    <row r="15094">
      <c r="G15094" s="16" t="str">
        <f>IFERROR(__xludf.DUMMYFUNCTION("""COMPUTED_VALUE"""),"")</f>
        <v/>
      </c>
    </row>
    <row r="15095">
      <c r="G15095" s="16" t="str">
        <f>IFERROR(__xludf.DUMMYFUNCTION("""COMPUTED_VALUE"""),"")</f>
        <v/>
      </c>
    </row>
    <row r="15096">
      <c r="G15096" s="16" t="str">
        <f>IFERROR(__xludf.DUMMYFUNCTION("""COMPUTED_VALUE"""),"")</f>
        <v/>
      </c>
    </row>
    <row r="15097">
      <c r="G15097" s="16" t="str">
        <f>IFERROR(__xludf.DUMMYFUNCTION("""COMPUTED_VALUE"""),"")</f>
        <v/>
      </c>
    </row>
    <row r="15098">
      <c r="G15098" s="16" t="str">
        <f>IFERROR(__xludf.DUMMYFUNCTION("""COMPUTED_VALUE"""),"")</f>
        <v/>
      </c>
    </row>
    <row r="15099">
      <c r="G15099" s="16" t="str">
        <f>IFERROR(__xludf.DUMMYFUNCTION("""COMPUTED_VALUE"""),"")</f>
        <v/>
      </c>
    </row>
    <row r="15100">
      <c r="G15100" s="16" t="str">
        <f>IFERROR(__xludf.DUMMYFUNCTION("""COMPUTED_VALUE"""),"")</f>
        <v/>
      </c>
    </row>
    <row r="15101">
      <c r="G15101" s="16" t="str">
        <f>IFERROR(__xludf.DUMMYFUNCTION("""COMPUTED_VALUE"""),"")</f>
        <v/>
      </c>
    </row>
    <row r="15102">
      <c r="G15102" s="16" t="str">
        <f>IFERROR(__xludf.DUMMYFUNCTION("""COMPUTED_VALUE"""),"")</f>
        <v/>
      </c>
    </row>
    <row r="15103">
      <c r="G15103" s="16" t="str">
        <f>IFERROR(__xludf.DUMMYFUNCTION("""COMPUTED_VALUE"""),"")</f>
        <v/>
      </c>
    </row>
    <row r="15104">
      <c r="G15104" s="16" t="str">
        <f>IFERROR(__xludf.DUMMYFUNCTION("""COMPUTED_VALUE"""),"")</f>
        <v/>
      </c>
    </row>
    <row r="15105">
      <c r="G15105" s="16" t="str">
        <f>IFERROR(__xludf.DUMMYFUNCTION("""COMPUTED_VALUE"""),"")</f>
        <v/>
      </c>
    </row>
    <row r="15106">
      <c r="G15106" s="16" t="str">
        <f>IFERROR(__xludf.DUMMYFUNCTION("""COMPUTED_VALUE"""),"")</f>
        <v/>
      </c>
    </row>
    <row r="15107">
      <c r="G15107" s="16" t="str">
        <f>IFERROR(__xludf.DUMMYFUNCTION("""COMPUTED_VALUE"""),"")</f>
        <v/>
      </c>
    </row>
    <row r="15108">
      <c r="G15108" s="16" t="str">
        <f>IFERROR(__xludf.DUMMYFUNCTION("""COMPUTED_VALUE"""),"")</f>
        <v/>
      </c>
    </row>
    <row r="15109">
      <c r="G15109" s="16" t="str">
        <f>IFERROR(__xludf.DUMMYFUNCTION("""COMPUTED_VALUE"""),"")</f>
        <v/>
      </c>
    </row>
    <row r="15110">
      <c r="G15110" s="16" t="str">
        <f>IFERROR(__xludf.DUMMYFUNCTION("""COMPUTED_VALUE"""),"")</f>
        <v/>
      </c>
    </row>
    <row r="15111">
      <c r="G15111" s="16" t="str">
        <f>IFERROR(__xludf.DUMMYFUNCTION("""COMPUTED_VALUE"""),"")</f>
        <v/>
      </c>
    </row>
    <row r="15112">
      <c r="G15112" s="16" t="str">
        <f>IFERROR(__xludf.DUMMYFUNCTION("""COMPUTED_VALUE"""),"")</f>
        <v/>
      </c>
    </row>
    <row r="15113">
      <c r="G15113" s="16" t="str">
        <f>IFERROR(__xludf.DUMMYFUNCTION("""COMPUTED_VALUE"""),"")</f>
        <v/>
      </c>
    </row>
    <row r="15114">
      <c r="G15114" s="16" t="str">
        <f>IFERROR(__xludf.DUMMYFUNCTION("""COMPUTED_VALUE"""),"")</f>
        <v/>
      </c>
    </row>
    <row r="15115">
      <c r="G15115" s="16" t="str">
        <f>IFERROR(__xludf.DUMMYFUNCTION("""COMPUTED_VALUE"""),"")</f>
        <v/>
      </c>
    </row>
    <row r="15116">
      <c r="G15116" s="16" t="str">
        <f>IFERROR(__xludf.DUMMYFUNCTION("""COMPUTED_VALUE"""),"")</f>
        <v/>
      </c>
    </row>
    <row r="15117">
      <c r="G15117" s="16" t="str">
        <f>IFERROR(__xludf.DUMMYFUNCTION("""COMPUTED_VALUE"""),"")</f>
        <v/>
      </c>
    </row>
    <row r="15118">
      <c r="G15118" s="16" t="str">
        <f>IFERROR(__xludf.DUMMYFUNCTION("""COMPUTED_VALUE"""),"")</f>
        <v/>
      </c>
    </row>
    <row r="15119">
      <c r="G15119" s="16" t="str">
        <f>IFERROR(__xludf.DUMMYFUNCTION("""COMPUTED_VALUE"""),"")</f>
        <v/>
      </c>
    </row>
    <row r="15120">
      <c r="G15120" s="16" t="str">
        <f>IFERROR(__xludf.DUMMYFUNCTION("""COMPUTED_VALUE"""),"")</f>
        <v/>
      </c>
    </row>
    <row r="15121">
      <c r="G15121" s="16" t="str">
        <f>IFERROR(__xludf.DUMMYFUNCTION("""COMPUTED_VALUE"""),"")</f>
        <v/>
      </c>
    </row>
    <row r="15122">
      <c r="G15122" s="16" t="str">
        <f>IFERROR(__xludf.DUMMYFUNCTION("""COMPUTED_VALUE"""),"")</f>
        <v/>
      </c>
    </row>
    <row r="15123">
      <c r="G15123" s="16" t="str">
        <f>IFERROR(__xludf.DUMMYFUNCTION("""COMPUTED_VALUE"""),"")</f>
        <v/>
      </c>
    </row>
    <row r="15124">
      <c r="G15124" s="16" t="str">
        <f>IFERROR(__xludf.DUMMYFUNCTION("""COMPUTED_VALUE"""),"")</f>
        <v/>
      </c>
    </row>
    <row r="15125">
      <c r="G15125" s="16" t="str">
        <f>IFERROR(__xludf.DUMMYFUNCTION("""COMPUTED_VALUE"""),"")</f>
        <v/>
      </c>
    </row>
    <row r="15126">
      <c r="G15126" s="16" t="str">
        <f>IFERROR(__xludf.DUMMYFUNCTION("""COMPUTED_VALUE"""),"")</f>
        <v/>
      </c>
    </row>
    <row r="15127">
      <c r="G15127" s="16" t="str">
        <f>IFERROR(__xludf.DUMMYFUNCTION("""COMPUTED_VALUE"""),"")</f>
        <v/>
      </c>
    </row>
    <row r="15128">
      <c r="G15128" s="16" t="str">
        <f>IFERROR(__xludf.DUMMYFUNCTION("""COMPUTED_VALUE"""),"")</f>
        <v/>
      </c>
    </row>
    <row r="15129">
      <c r="G15129" s="16" t="str">
        <f>IFERROR(__xludf.DUMMYFUNCTION("""COMPUTED_VALUE"""),"")</f>
        <v/>
      </c>
    </row>
    <row r="15130">
      <c r="G15130" s="16" t="str">
        <f>IFERROR(__xludf.DUMMYFUNCTION("""COMPUTED_VALUE"""),"")</f>
        <v/>
      </c>
    </row>
    <row r="15131">
      <c r="G15131" s="16" t="str">
        <f>IFERROR(__xludf.DUMMYFUNCTION("""COMPUTED_VALUE"""),"")</f>
        <v/>
      </c>
    </row>
    <row r="15132">
      <c r="G15132" s="16" t="str">
        <f>IFERROR(__xludf.DUMMYFUNCTION("""COMPUTED_VALUE"""),"")</f>
        <v/>
      </c>
    </row>
    <row r="15133">
      <c r="G15133" s="16" t="str">
        <f>IFERROR(__xludf.DUMMYFUNCTION("""COMPUTED_VALUE"""),"")</f>
        <v/>
      </c>
    </row>
    <row r="15134">
      <c r="G15134" s="16" t="str">
        <f>IFERROR(__xludf.DUMMYFUNCTION("""COMPUTED_VALUE"""),"")</f>
        <v/>
      </c>
    </row>
    <row r="15135">
      <c r="G15135" s="16" t="str">
        <f>IFERROR(__xludf.DUMMYFUNCTION("""COMPUTED_VALUE"""),"")</f>
        <v/>
      </c>
    </row>
    <row r="15136">
      <c r="G15136" s="16" t="str">
        <f>IFERROR(__xludf.DUMMYFUNCTION("""COMPUTED_VALUE"""),"")</f>
        <v/>
      </c>
    </row>
    <row r="15137">
      <c r="G15137" s="16" t="str">
        <f>IFERROR(__xludf.DUMMYFUNCTION("""COMPUTED_VALUE"""),"")</f>
        <v/>
      </c>
    </row>
    <row r="15138">
      <c r="G15138" s="16" t="str">
        <f>IFERROR(__xludf.DUMMYFUNCTION("""COMPUTED_VALUE"""),"")</f>
        <v/>
      </c>
    </row>
    <row r="15139">
      <c r="G15139" s="16" t="str">
        <f>IFERROR(__xludf.DUMMYFUNCTION("""COMPUTED_VALUE"""),"")</f>
        <v/>
      </c>
    </row>
    <row r="15140">
      <c r="G15140" s="16" t="str">
        <f>IFERROR(__xludf.DUMMYFUNCTION("""COMPUTED_VALUE"""),"")</f>
        <v/>
      </c>
    </row>
    <row r="15141">
      <c r="G15141" s="16" t="str">
        <f>IFERROR(__xludf.DUMMYFUNCTION("""COMPUTED_VALUE"""),"")</f>
        <v/>
      </c>
    </row>
    <row r="15142">
      <c r="G15142" s="16" t="str">
        <f>IFERROR(__xludf.DUMMYFUNCTION("""COMPUTED_VALUE"""),"")</f>
        <v/>
      </c>
    </row>
    <row r="15143">
      <c r="G15143" s="16" t="str">
        <f>IFERROR(__xludf.DUMMYFUNCTION("""COMPUTED_VALUE"""),"")</f>
        <v/>
      </c>
    </row>
    <row r="15144">
      <c r="G15144" s="16" t="str">
        <f>IFERROR(__xludf.DUMMYFUNCTION("""COMPUTED_VALUE"""),"")</f>
        <v/>
      </c>
    </row>
    <row r="15145">
      <c r="G15145" s="16" t="str">
        <f>IFERROR(__xludf.DUMMYFUNCTION("""COMPUTED_VALUE"""),"")</f>
        <v/>
      </c>
    </row>
    <row r="15146">
      <c r="G15146" s="16" t="str">
        <f>IFERROR(__xludf.DUMMYFUNCTION("""COMPUTED_VALUE"""),"")</f>
        <v/>
      </c>
    </row>
    <row r="15147">
      <c r="G15147" s="16" t="str">
        <f>IFERROR(__xludf.DUMMYFUNCTION("""COMPUTED_VALUE"""),"")</f>
        <v/>
      </c>
    </row>
    <row r="15148">
      <c r="G15148" s="16" t="str">
        <f>IFERROR(__xludf.DUMMYFUNCTION("""COMPUTED_VALUE"""),"")</f>
        <v/>
      </c>
    </row>
    <row r="15149">
      <c r="G15149" s="16" t="str">
        <f>IFERROR(__xludf.DUMMYFUNCTION("""COMPUTED_VALUE"""),"")</f>
        <v/>
      </c>
    </row>
    <row r="15150">
      <c r="G15150" s="16" t="str">
        <f>IFERROR(__xludf.DUMMYFUNCTION("""COMPUTED_VALUE"""),"")</f>
        <v/>
      </c>
    </row>
    <row r="15151">
      <c r="G15151" s="16" t="str">
        <f>IFERROR(__xludf.DUMMYFUNCTION("""COMPUTED_VALUE"""),"")</f>
        <v/>
      </c>
    </row>
    <row r="15152">
      <c r="G15152" s="16" t="str">
        <f>IFERROR(__xludf.DUMMYFUNCTION("""COMPUTED_VALUE"""),"")</f>
        <v/>
      </c>
    </row>
    <row r="15153">
      <c r="G15153" s="16" t="str">
        <f>IFERROR(__xludf.DUMMYFUNCTION("""COMPUTED_VALUE"""),"")</f>
        <v/>
      </c>
    </row>
    <row r="15154">
      <c r="G15154" s="16" t="str">
        <f>IFERROR(__xludf.DUMMYFUNCTION("""COMPUTED_VALUE"""),"")</f>
        <v/>
      </c>
    </row>
    <row r="15155">
      <c r="G15155" s="16" t="str">
        <f>IFERROR(__xludf.DUMMYFUNCTION("""COMPUTED_VALUE"""),"")</f>
        <v/>
      </c>
    </row>
    <row r="15156">
      <c r="G15156" s="16" t="str">
        <f>IFERROR(__xludf.DUMMYFUNCTION("""COMPUTED_VALUE"""),"")</f>
        <v/>
      </c>
    </row>
    <row r="15157">
      <c r="G15157" s="16" t="str">
        <f>IFERROR(__xludf.DUMMYFUNCTION("""COMPUTED_VALUE"""),"")</f>
        <v/>
      </c>
    </row>
    <row r="15158">
      <c r="G15158" s="16" t="str">
        <f>IFERROR(__xludf.DUMMYFUNCTION("""COMPUTED_VALUE"""),"")</f>
        <v/>
      </c>
    </row>
    <row r="15159">
      <c r="G15159" s="16" t="str">
        <f>IFERROR(__xludf.DUMMYFUNCTION("""COMPUTED_VALUE"""),"")</f>
        <v/>
      </c>
    </row>
    <row r="15160">
      <c r="G15160" s="16" t="str">
        <f>IFERROR(__xludf.DUMMYFUNCTION("""COMPUTED_VALUE"""),"")</f>
        <v/>
      </c>
    </row>
    <row r="15161">
      <c r="G15161" s="16" t="str">
        <f>IFERROR(__xludf.DUMMYFUNCTION("""COMPUTED_VALUE"""),"")</f>
        <v/>
      </c>
    </row>
    <row r="15162">
      <c r="G15162" s="16" t="str">
        <f>IFERROR(__xludf.DUMMYFUNCTION("""COMPUTED_VALUE"""),"")</f>
        <v/>
      </c>
    </row>
    <row r="15163">
      <c r="G15163" s="16" t="str">
        <f>IFERROR(__xludf.DUMMYFUNCTION("""COMPUTED_VALUE"""),"")</f>
        <v/>
      </c>
    </row>
    <row r="15164">
      <c r="G15164" s="16" t="str">
        <f>IFERROR(__xludf.DUMMYFUNCTION("""COMPUTED_VALUE"""),"")</f>
        <v/>
      </c>
    </row>
    <row r="15165">
      <c r="G15165" s="16" t="str">
        <f>IFERROR(__xludf.DUMMYFUNCTION("""COMPUTED_VALUE"""),"")</f>
        <v/>
      </c>
    </row>
    <row r="15166">
      <c r="G15166" s="16" t="str">
        <f>IFERROR(__xludf.DUMMYFUNCTION("""COMPUTED_VALUE"""),"")</f>
        <v/>
      </c>
    </row>
    <row r="15167">
      <c r="G15167" s="16" t="str">
        <f>IFERROR(__xludf.DUMMYFUNCTION("""COMPUTED_VALUE"""),"")</f>
        <v/>
      </c>
    </row>
    <row r="15168">
      <c r="G15168" s="16" t="str">
        <f>IFERROR(__xludf.DUMMYFUNCTION("""COMPUTED_VALUE"""),"")</f>
        <v/>
      </c>
    </row>
    <row r="15169">
      <c r="G15169" s="16" t="str">
        <f>IFERROR(__xludf.DUMMYFUNCTION("""COMPUTED_VALUE"""),"")</f>
        <v/>
      </c>
    </row>
    <row r="15170">
      <c r="G15170" s="16" t="str">
        <f>IFERROR(__xludf.DUMMYFUNCTION("""COMPUTED_VALUE"""),"")</f>
        <v/>
      </c>
    </row>
    <row r="15171">
      <c r="G15171" s="16" t="str">
        <f>IFERROR(__xludf.DUMMYFUNCTION("""COMPUTED_VALUE"""),"")</f>
        <v/>
      </c>
    </row>
    <row r="15172">
      <c r="G15172" s="16" t="str">
        <f>IFERROR(__xludf.DUMMYFUNCTION("""COMPUTED_VALUE"""),"")</f>
        <v/>
      </c>
    </row>
    <row r="15173">
      <c r="G15173" s="16" t="str">
        <f>IFERROR(__xludf.DUMMYFUNCTION("""COMPUTED_VALUE"""),"")</f>
        <v/>
      </c>
    </row>
    <row r="15174">
      <c r="G15174" s="16" t="str">
        <f>IFERROR(__xludf.DUMMYFUNCTION("""COMPUTED_VALUE"""),"")</f>
        <v/>
      </c>
    </row>
    <row r="15175">
      <c r="G15175" s="16" t="str">
        <f>IFERROR(__xludf.DUMMYFUNCTION("""COMPUTED_VALUE"""),"")</f>
        <v/>
      </c>
    </row>
    <row r="15176">
      <c r="G15176" s="16" t="str">
        <f>IFERROR(__xludf.DUMMYFUNCTION("""COMPUTED_VALUE"""),"")</f>
        <v/>
      </c>
    </row>
    <row r="15177">
      <c r="G15177" s="16" t="str">
        <f>IFERROR(__xludf.DUMMYFUNCTION("""COMPUTED_VALUE"""),"")</f>
        <v/>
      </c>
    </row>
    <row r="15178">
      <c r="G15178" s="16" t="str">
        <f>IFERROR(__xludf.DUMMYFUNCTION("""COMPUTED_VALUE"""),"")</f>
        <v/>
      </c>
    </row>
    <row r="15179">
      <c r="G15179" s="16" t="str">
        <f>IFERROR(__xludf.DUMMYFUNCTION("""COMPUTED_VALUE"""),"")</f>
        <v/>
      </c>
    </row>
    <row r="15180">
      <c r="G15180" s="16" t="str">
        <f>IFERROR(__xludf.DUMMYFUNCTION("""COMPUTED_VALUE"""),"")</f>
        <v/>
      </c>
    </row>
    <row r="15181">
      <c r="G15181" s="16" t="str">
        <f>IFERROR(__xludf.DUMMYFUNCTION("""COMPUTED_VALUE"""),"")</f>
        <v/>
      </c>
    </row>
    <row r="15182">
      <c r="G15182" s="16" t="str">
        <f>IFERROR(__xludf.DUMMYFUNCTION("""COMPUTED_VALUE"""),"")</f>
        <v/>
      </c>
    </row>
    <row r="15183">
      <c r="G15183" s="16" t="str">
        <f>IFERROR(__xludf.DUMMYFUNCTION("""COMPUTED_VALUE"""),"")</f>
        <v/>
      </c>
    </row>
    <row r="15184">
      <c r="G15184" s="16" t="str">
        <f>IFERROR(__xludf.DUMMYFUNCTION("""COMPUTED_VALUE"""),"")</f>
        <v/>
      </c>
    </row>
    <row r="15185">
      <c r="G15185" s="16" t="str">
        <f>IFERROR(__xludf.DUMMYFUNCTION("""COMPUTED_VALUE"""),"")</f>
        <v/>
      </c>
    </row>
    <row r="15186">
      <c r="G15186" s="16" t="str">
        <f>IFERROR(__xludf.DUMMYFUNCTION("""COMPUTED_VALUE"""),"")</f>
        <v/>
      </c>
    </row>
    <row r="15187">
      <c r="G15187" s="16" t="str">
        <f>IFERROR(__xludf.DUMMYFUNCTION("""COMPUTED_VALUE"""),"")</f>
        <v/>
      </c>
    </row>
    <row r="15188">
      <c r="G15188" s="16" t="str">
        <f>IFERROR(__xludf.DUMMYFUNCTION("""COMPUTED_VALUE"""),"")</f>
        <v/>
      </c>
    </row>
    <row r="15189">
      <c r="G15189" s="16" t="str">
        <f>IFERROR(__xludf.DUMMYFUNCTION("""COMPUTED_VALUE"""),"")</f>
        <v/>
      </c>
    </row>
    <row r="15190">
      <c r="G15190" s="16" t="str">
        <f>IFERROR(__xludf.DUMMYFUNCTION("""COMPUTED_VALUE"""),"")</f>
        <v/>
      </c>
    </row>
    <row r="15191">
      <c r="G15191" s="16" t="str">
        <f>IFERROR(__xludf.DUMMYFUNCTION("""COMPUTED_VALUE"""),"")</f>
        <v/>
      </c>
    </row>
    <row r="15192">
      <c r="G15192" s="16" t="str">
        <f>IFERROR(__xludf.DUMMYFUNCTION("""COMPUTED_VALUE"""),"")</f>
        <v/>
      </c>
    </row>
    <row r="15193">
      <c r="G15193" s="16" t="str">
        <f>IFERROR(__xludf.DUMMYFUNCTION("""COMPUTED_VALUE"""),"")</f>
        <v/>
      </c>
    </row>
    <row r="15194">
      <c r="G15194" s="16" t="str">
        <f>IFERROR(__xludf.DUMMYFUNCTION("""COMPUTED_VALUE"""),"")</f>
        <v/>
      </c>
    </row>
    <row r="15195">
      <c r="G15195" s="16" t="str">
        <f>IFERROR(__xludf.DUMMYFUNCTION("""COMPUTED_VALUE"""),"")</f>
        <v/>
      </c>
    </row>
    <row r="15196">
      <c r="G15196" s="16" t="str">
        <f>IFERROR(__xludf.DUMMYFUNCTION("""COMPUTED_VALUE"""),"")</f>
        <v/>
      </c>
    </row>
    <row r="15197">
      <c r="G15197" s="16" t="str">
        <f>IFERROR(__xludf.DUMMYFUNCTION("""COMPUTED_VALUE"""),"")</f>
        <v/>
      </c>
    </row>
    <row r="15198">
      <c r="G15198" s="16" t="str">
        <f>IFERROR(__xludf.DUMMYFUNCTION("""COMPUTED_VALUE"""),"")</f>
        <v/>
      </c>
    </row>
    <row r="15199">
      <c r="G15199" s="16" t="str">
        <f>IFERROR(__xludf.DUMMYFUNCTION("""COMPUTED_VALUE"""),"")</f>
        <v/>
      </c>
    </row>
    <row r="15200">
      <c r="G15200" s="16" t="str">
        <f>IFERROR(__xludf.DUMMYFUNCTION("""COMPUTED_VALUE"""),"")</f>
        <v/>
      </c>
    </row>
    <row r="15201">
      <c r="G15201" s="16" t="str">
        <f>IFERROR(__xludf.DUMMYFUNCTION("""COMPUTED_VALUE"""),"")</f>
        <v/>
      </c>
    </row>
    <row r="15202">
      <c r="G15202" s="16" t="str">
        <f>IFERROR(__xludf.DUMMYFUNCTION("""COMPUTED_VALUE"""),"")</f>
        <v/>
      </c>
    </row>
    <row r="15203">
      <c r="G15203" s="16" t="str">
        <f>IFERROR(__xludf.DUMMYFUNCTION("""COMPUTED_VALUE"""),"")</f>
        <v/>
      </c>
    </row>
    <row r="15204">
      <c r="G15204" s="16" t="str">
        <f>IFERROR(__xludf.DUMMYFUNCTION("""COMPUTED_VALUE"""),"")</f>
        <v/>
      </c>
    </row>
    <row r="15205">
      <c r="G15205" s="16" t="str">
        <f>IFERROR(__xludf.DUMMYFUNCTION("""COMPUTED_VALUE"""),"")</f>
        <v/>
      </c>
    </row>
    <row r="15206">
      <c r="G15206" s="16" t="str">
        <f>IFERROR(__xludf.DUMMYFUNCTION("""COMPUTED_VALUE"""),"")</f>
        <v/>
      </c>
    </row>
    <row r="15207">
      <c r="G15207" s="16" t="str">
        <f>IFERROR(__xludf.DUMMYFUNCTION("""COMPUTED_VALUE"""),"")</f>
        <v/>
      </c>
    </row>
    <row r="15208">
      <c r="G15208" s="16" t="str">
        <f>IFERROR(__xludf.DUMMYFUNCTION("""COMPUTED_VALUE"""),"")</f>
        <v/>
      </c>
    </row>
    <row r="15209">
      <c r="G15209" s="16" t="str">
        <f>IFERROR(__xludf.DUMMYFUNCTION("""COMPUTED_VALUE"""),"")</f>
        <v/>
      </c>
    </row>
    <row r="15210">
      <c r="G15210" s="16" t="str">
        <f>IFERROR(__xludf.DUMMYFUNCTION("""COMPUTED_VALUE"""),"")</f>
        <v/>
      </c>
    </row>
    <row r="15211">
      <c r="G15211" s="16" t="str">
        <f>IFERROR(__xludf.DUMMYFUNCTION("""COMPUTED_VALUE"""),"")</f>
        <v/>
      </c>
    </row>
    <row r="15212">
      <c r="G15212" s="16" t="str">
        <f>IFERROR(__xludf.DUMMYFUNCTION("""COMPUTED_VALUE"""),"")</f>
        <v/>
      </c>
    </row>
    <row r="15213">
      <c r="G15213" s="16" t="str">
        <f>IFERROR(__xludf.DUMMYFUNCTION("""COMPUTED_VALUE"""),"")</f>
        <v/>
      </c>
    </row>
    <row r="15214">
      <c r="G15214" s="16" t="str">
        <f>IFERROR(__xludf.DUMMYFUNCTION("""COMPUTED_VALUE"""),"")</f>
        <v/>
      </c>
    </row>
    <row r="15215">
      <c r="G15215" s="16" t="str">
        <f>IFERROR(__xludf.DUMMYFUNCTION("""COMPUTED_VALUE"""),"")</f>
        <v/>
      </c>
    </row>
    <row r="15216">
      <c r="G15216" s="16" t="str">
        <f>IFERROR(__xludf.DUMMYFUNCTION("""COMPUTED_VALUE"""),"")</f>
        <v/>
      </c>
    </row>
    <row r="15217">
      <c r="G15217" s="16" t="str">
        <f>IFERROR(__xludf.DUMMYFUNCTION("""COMPUTED_VALUE"""),"")</f>
        <v/>
      </c>
    </row>
    <row r="15218">
      <c r="G15218" s="16" t="str">
        <f>IFERROR(__xludf.DUMMYFUNCTION("""COMPUTED_VALUE"""),"")</f>
        <v/>
      </c>
    </row>
    <row r="15219">
      <c r="G15219" s="16" t="str">
        <f>IFERROR(__xludf.DUMMYFUNCTION("""COMPUTED_VALUE"""),"")</f>
        <v/>
      </c>
    </row>
    <row r="15220">
      <c r="G15220" s="16" t="str">
        <f>IFERROR(__xludf.DUMMYFUNCTION("""COMPUTED_VALUE"""),"")</f>
        <v/>
      </c>
    </row>
    <row r="15221">
      <c r="G15221" s="16" t="str">
        <f>IFERROR(__xludf.DUMMYFUNCTION("""COMPUTED_VALUE"""),"")</f>
        <v/>
      </c>
    </row>
    <row r="15222">
      <c r="G15222" s="16" t="str">
        <f>IFERROR(__xludf.DUMMYFUNCTION("""COMPUTED_VALUE"""),"")</f>
        <v/>
      </c>
    </row>
    <row r="15223">
      <c r="G15223" s="16" t="str">
        <f>IFERROR(__xludf.DUMMYFUNCTION("""COMPUTED_VALUE"""),"")</f>
        <v/>
      </c>
    </row>
    <row r="15224">
      <c r="G15224" s="16" t="str">
        <f>IFERROR(__xludf.DUMMYFUNCTION("""COMPUTED_VALUE"""),"")</f>
        <v/>
      </c>
    </row>
    <row r="15225">
      <c r="G15225" s="16" t="str">
        <f>IFERROR(__xludf.DUMMYFUNCTION("""COMPUTED_VALUE"""),"")</f>
        <v/>
      </c>
    </row>
    <row r="15226">
      <c r="G15226" s="16" t="str">
        <f>IFERROR(__xludf.DUMMYFUNCTION("""COMPUTED_VALUE"""),"")</f>
        <v/>
      </c>
    </row>
    <row r="15227">
      <c r="G15227" s="16" t="str">
        <f>IFERROR(__xludf.DUMMYFUNCTION("""COMPUTED_VALUE"""),"")</f>
        <v/>
      </c>
    </row>
    <row r="15228">
      <c r="G15228" s="16" t="str">
        <f>IFERROR(__xludf.DUMMYFUNCTION("""COMPUTED_VALUE"""),"")</f>
        <v/>
      </c>
    </row>
    <row r="15229">
      <c r="G15229" s="16" t="str">
        <f>IFERROR(__xludf.DUMMYFUNCTION("""COMPUTED_VALUE"""),"")</f>
        <v/>
      </c>
    </row>
    <row r="15230">
      <c r="G15230" s="16" t="str">
        <f>IFERROR(__xludf.DUMMYFUNCTION("""COMPUTED_VALUE"""),"")</f>
        <v/>
      </c>
    </row>
    <row r="15231">
      <c r="G15231" s="16" t="str">
        <f>IFERROR(__xludf.DUMMYFUNCTION("""COMPUTED_VALUE"""),"")</f>
        <v/>
      </c>
    </row>
    <row r="15232">
      <c r="G15232" s="16" t="str">
        <f>IFERROR(__xludf.DUMMYFUNCTION("""COMPUTED_VALUE"""),"")</f>
        <v/>
      </c>
    </row>
    <row r="15233">
      <c r="G15233" s="16" t="str">
        <f>IFERROR(__xludf.DUMMYFUNCTION("""COMPUTED_VALUE"""),"")</f>
        <v/>
      </c>
    </row>
    <row r="15234">
      <c r="G15234" s="16" t="str">
        <f>IFERROR(__xludf.DUMMYFUNCTION("""COMPUTED_VALUE"""),"")</f>
        <v/>
      </c>
    </row>
    <row r="15235">
      <c r="G15235" s="16" t="str">
        <f>IFERROR(__xludf.DUMMYFUNCTION("""COMPUTED_VALUE"""),"")</f>
        <v/>
      </c>
    </row>
    <row r="15236">
      <c r="G15236" s="16" t="str">
        <f>IFERROR(__xludf.DUMMYFUNCTION("""COMPUTED_VALUE"""),"")</f>
        <v/>
      </c>
    </row>
    <row r="15237">
      <c r="G15237" s="16" t="str">
        <f>IFERROR(__xludf.DUMMYFUNCTION("""COMPUTED_VALUE"""),"")</f>
        <v/>
      </c>
    </row>
    <row r="15238">
      <c r="G15238" s="16" t="str">
        <f>IFERROR(__xludf.DUMMYFUNCTION("""COMPUTED_VALUE"""),"")</f>
        <v/>
      </c>
    </row>
    <row r="15239">
      <c r="G15239" s="16" t="str">
        <f>IFERROR(__xludf.DUMMYFUNCTION("""COMPUTED_VALUE"""),"")</f>
        <v/>
      </c>
    </row>
    <row r="15240">
      <c r="G15240" s="16" t="str">
        <f>IFERROR(__xludf.DUMMYFUNCTION("""COMPUTED_VALUE"""),"")</f>
        <v/>
      </c>
    </row>
    <row r="15241">
      <c r="G15241" s="16" t="str">
        <f>IFERROR(__xludf.DUMMYFUNCTION("""COMPUTED_VALUE"""),"")</f>
        <v/>
      </c>
    </row>
    <row r="15242">
      <c r="G15242" s="16" t="str">
        <f>IFERROR(__xludf.DUMMYFUNCTION("""COMPUTED_VALUE"""),"")</f>
        <v/>
      </c>
    </row>
    <row r="15243">
      <c r="G15243" s="16" t="str">
        <f>IFERROR(__xludf.DUMMYFUNCTION("""COMPUTED_VALUE"""),"")</f>
        <v/>
      </c>
    </row>
    <row r="15244">
      <c r="G15244" s="16" t="str">
        <f>IFERROR(__xludf.DUMMYFUNCTION("""COMPUTED_VALUE"""),"")</f>
        <v/>
      </c>
    </row>
    <row r="15245">
      <c r="G15245" s="16" t="str">
        <f>IFERROR(__xludf.DUMMYFUNCTION("""COMPUTED_VALUE"""),"")</f>
        <v/>
      </c>
    </row>
    <row r="15246">
      <c r="G15246" s="16" t="str">
        <f>IFERROR(__xludf.DUMMYFUNCTION("""COMPUTED_VALUE"""),"")</f>
        <v/>
      </c>
    </row>
    <row r="15247">
      <c r="G15247" s="16" t="str">
        <f>IFERROR(__xludf.DUMMYFUNCTION("""COMPUTED_VALUE"""),"")</f>
        <v/>
      </c>
    </row>
    <row r="15248">
      <c r="G15248" s="16" t="str">
        <f>IFERROR(__xludf.DUMMYFUNCTION("""COMPUTED_VALUE"""),"")</f>
        <v/>
      </c>
    </row>
    <row r="15249">
      <c r="G15249" s="16" t="str">
        <f>IFERROR(__xludf.DUMMYFUNCTION("""COMPUTED_VALUE"""),"")</f>
        <v/>
      </c>
    </row>
    <row r="15250">
      <c r="G15250" s="16" t="str">
        <f>IFERROR(__xludf.DUMMYFUNCTION("""COMPUTED_VALUE"""),"")</f>
        <v/>
      </c>
    </row>
    <row r="15251">
      <c r="G15251" s="16" t="str">
        <f>IFERROR(__xludf.DUMMYFUNCTION("""COMPUTED_VALUE"""),"")</f>
        <v/>
      </c>
    </row>
    <row r="15252">
      <c r="G15252" s="16" t="str">
        <f>IFERROR(__xludf.DUMMYFUNCTION("""COMPUTED_VALUE"""),"")</f>
        <v/>
      </c>
    </row>
    <row r="15253">
      <c r="G15253" s="16" t="str">
        <f>IFERROR(__xludf.DUMMYFUNCTION("""COMPUTED_VALUE"""),"")</f>
        <v/>
      </c>
    </row>
    <row r="15254">
      <c r="G15254" s="16" t="str">
        <f>IFERROR(__xludf.DUMMYFUNCTION("""COMPUTED_VALUE"""),"")</f>
        <v/>
      </c>
    </row>
    <row r="15255">
      <c r="G15255" s="16" t="str">
        <f>IFERROR(__xludf.DUMMYFUNCTION("""COMPUTED_VALUE"""),"")</f>
        <v/>
      </c>
    </row>
    <row r="15256">
      <c r="G15256" s="16" t="str">
        <f>IFERROR(__xludf.DUMMYFUNCTION("""COMPUTED_VALUE"""),"")</f>
        <v/>
      </c>
    </row>
    <row r="15257">
      <c r="G15257" s="16" t="str">
        <f>IFERROR(__xludf.DUMMYFUNCTION("""COMPUTED_VALUE"""),"")</f>
        <v/>
      </c>
    </row>
    <row r="15258">
      <c r="G15258" s="16" t="str">
        <f>IFERROR(__xludf.DUMMYFUNCTION("""COMPUTED_VALUE"""),"")</f>
        <v/>
      </c>
    </row>
    <row r="15259">
      <c r="G15259" s="16" t="str">
        <f>IFERROR(__xludf.DUMMYFUNCTION("""COMPUTED_VALUE"""),"")</f>
        <v/>
      </c>
    </row>
    <row r="15260">
      <c r="G15260" s="16" t="str">
        <f>IFERROR(__xludf.DUMMYFUNCTION("""COMPUTED_VALUE"""),"")</f>
        <v/>
      </c>
    </row>
    <row r="15261">
      <c r="G15261" s="16" t="str">
        <f>IFERROR(__xludf.DUMMYFUNCTION("""COMPUTED_VALUE"""),"")</f>
        <v/>
      </c>
    </row>
    <row r="15262">
      <c r="G15262" s="16" t="str">
        <f>IFERROR(__xludf.DUMMYFUNCTION("""COMPUTED_VALUE"""),"")</f>
        <v/>
      </c>
    </row>
    <row r="15263">
      <c r="G15263" s="16" t="str">
        <f>IFERROR(__xludf.DUMMYFUNCTION("""COMPUTED_VALUE"""),"")</f>
        <v/>
      </c>
    </row>
    <row r="15264">
      <c r="G15264" s="16" t="str">
        <f>IFERROR(__xludf.DUMMYFUNCTION("""COMPUTED_VALUE"""),"")</f>
        <v/>
      </c>
    </row>
    <row r="15265">
      <c r="G15265" s="16" t="str">
        <f>IFERROR(__xludf.DUMMYFUNCTION("""COMPUTED_VALUE"""),"")</f>
        <v/>
      </c>
    </row>
    <row r="15266">
      <c r="G15266" s="16" t="str">
        <f>IFERROR(__xludf.DUMMYFUNCTION("""COMPUTED_VALUE"""),"")</f>
        <v/>
      </c>
    </row>
    <row r="15267">
      <c r="G15267" s="16" t="str">
        <f>IFERROR(__xludf.DUMMYFUNCTION("""COMPUTED_VALUE"""),"")</f>
        <v/>
      </c>
    </row>
    <row r="15268">
      <c r="G15268" s="16" t="str">
        <f>IFERROR(__xludf.DUMMYFUNCTION("""COMPUTED_VALUE"""),"")</f>
        <v/>
      </c>
    </row>
    <row r="15269">
      <c r="G15269" s="16" t="str">
        <f>IFERROR(__xludf.DUMMYFUNCTION("""COMPUTED_VALUE"""),"")</f>
        <v/>
      </c>
    </row>
    <row r="15270">
      <c r="G15270" s="16" t="str">
        <f>IFERROR(__xludf.DUMMYFUNCTION("""COMPUTED_VALUE"""),"")</f>
        <v/>
      </c>
    </row>
    <row r="15271">
      <c r="G15271" s="16" t="str">
        <f>IFERROR(__xludf.DUMMYFUNCTION("""COMPUTED_VALUE"""),"")</f>
        <v/>
      </c>
    </row>
    <row r="15272">
      <c r="G15272" s="16" t="str">
        <f>IFERROR(__xludf.DUMMYFUNCTION("""COMPUTED_VALUE"""),"")</f>
        <v/>
      </c>
    </row>
    <row r="15273">
      <c r="G15273" s="16" t="str">
        <f>IFERROR(__xludf.DUMMYFUNCTION("""COMPUTED_VALUE"""),"")</f>
        <v/>
      </c>
    </row>
    <row r="15274">
      <c r="G15274" s="16" t="str">
        <f>IFERROR(__xludf.DUMMYFUNCTION("""COMPUTED_VALUE"""),"")</f>
        <v/>
      </c>
    </row>
    <row r="15275">
      <c r="G15275" s="16" t="str">
        <f>IFERROR(__xludf.DUMMYFUNCTION("""COMPUTED_VALUE"""),"")</f>
        <v/>
      </c>
    </row>
    <row r="15276">
      <c r="G15276" s="16" t="str">
        <f>IFERROR(__xludf.DUMMYFUNCTION("""COMPUTED_VALUE"""),"")</f>
        <v/>
      </c>
    </row>
    <row r="15277">
      <c r="G15277" s="16" t="str">
        <f>IFERROR(__xludf.DUMMYFUNCTION("""COMPUTED_VALUE"""),"")</f>
        <v/>
      </c>
    </row>
    <row r="15278">
      <c r="G15278" s="16" t="str">
        <f>IFERROR(__xludf.DUMMYFUNCTION("""COMPUTED_VALUE"""),"")</f>
        <v/>
      </c>
    </row>
    <row r="15279">
      <c r="G15279" s="16" t="str">
        <f>IFERROR(__xludf.DUMMYFUNCTION("""COMPUTED_VALUE"""),"")</f>
        <v/>
      </c>
    </row>
    <row r="15280">
      <c r="G15280" s="16" t="str">
        <f>IFERROR(__xludf.DUMMYFUNCTION("""COMPUTED_VALUE"""),"")</f>
        <v/>
      </c>
    </row>
    <row r="15281">
      <c r="G15281" s="16" t="str">
        <f>IFERROR(__xludf.DUMMYFUNCTION("""COMPUTED_VALUE"""),"")</f>
        <v/>
      </c>
    </row>
    <row r="15282">
      <c r="G15282" s="16" t="str">
        <f>IFERROR(__xludf.DUMMYFUNCTION("""COMPUTED_VALUE"""),"")</f>
        <v/>
      </c>
    </row>
    <row r="15283">
      <c r="G15283" s="16" t="str">
        <f>IFERROR(__xludf.DUMMYFUNCTION("""COMPUTED_VALUE"""),"")</f>
        <v/>
      </c>
    </row>
    <row r="15284">
      <c r="G15284" s="16" t="str">
        <f>IFERROR(__xludf.DUMMYFUNCTION("""COMPUTED_VALUE"""),"")</f>
        <v/>
      </c>
    </row>
    <row r="15285">
      <c r="G15285" s="16" t="str">
        <f>IFERROR(__xludf.DUMMYFUNCTION("""COMPUTED_VALUE"""),"")</f>
        <v/>
      </c>
    </row>
    <row r="15286">
      <c r="G15286" s="16" t="str">
        <f>IFERROR(__xludf.DUMMYFUNCTION("""COMPUTED_VALUE"""),"")</f>
        <v/>
      </c>
    </row>
    <row r="15287">
      <c r="G15287" s="16" t="str">
        <f>IFERROR(__xludf.DUMMYFUNCTION("""COMPUTED_VALUE"""),"")</f>
        <v/>
      </c>
    </row>
    <row r="15288">
      <c r="G15288" s="16" t="str">
        <f>IFERROR(__xludf.DUMMYFUNCTION("""COMPUTED_VALUE"""),"")</f>
        <v/>
      </c>
    </row>
    <row r="15289">
      <c r="G15289" s="16" t="str">
        <f>IFERROR(__xludf.DUMMYFUNCTION("""COMPUTED_VALUE"""),"")</f>
        <v/>
      </c>
    </row>
    <row r="15290">
      <c r="G15290" s="16" t="str">
        <f>IFERROR(__xludf.DUMMYFUNCTION("""COMPUTED_VALUE"""),"")</f>
        <v/>
      </c>
    </row>
    <row r="15291">
      <c r="G15291" s="16" t="str">
        <f>IFERROR(__xludf.DUMMYFUNCTION("""COMPUTED_VALUE"""),"")</f>
        <v/>
      </c>
    </row>
    <row r="15292">
      <c r="G15292" s="16" t="str">
        <f>IFERROR(__xludf.DUMMYFUNCTION("""COMPUTED_VALUE"""),"")</f>
        <v/>
      </c>
    </row>
    <row r="15293">
      <c r="G15293" s="16" t="str">
        <f>IFERROR(__xludf.DUMMYFUNCTION("""COMPUTED_VALUE"""),"")</f>
        <v/>
      </c>
    </row>
    <row r="15294">
      <c r="G15294" s="16" t="str">
        <f>IFERROR(__xludf.DUMMYFUNCTION("""COMPUTED_VALUE"""),"")</f>
        <v/>
      </c>
    </row>
    <row r="15295">
      <c r="G15295" s="16" t="str">
        <f>IFERROR(__xludf.DUMMYFUNCTION("""COMPUTED_VALUE"""),"")</f>
        <v/>
      </c>
    </row>
    <row r="15296">
      <c r="G15296" s="16" t="str">
        <f>IFERROR(__xludf.DUMMYFUNCTION("""COMPUTED_VALUE"""),"")</f>
        <v/>
      </c>
    </row>
    <row r="15297">
      <c r="G15297" s="16" t="str">
        <f>IFERROR(__xludf.DUMMYFUNCTION("""COMPUTED_VALUE"""),"")</f>
        <v/>
      </c>
    </row>
    <row r="15298">
      <c r="G15298" s="16" t="str">
        <f>IFERROR(__xludf.DUMMYFUNCTION("""COMPUTED_VALUE"""),"")</f>
        <v/>
      </c>
    </row>
    <row r="15299">
      <c r="G15299" s="16" t="str">
        <f>IFERROR(__xludf.DUMMYFUNCTION("""COMPUTED_VALUE"""),"")</f>
        <v/>
      </c>
    </row>
    <row r="15300">
      <c r="G15300" s="16" t="str">
        <f>IFERROR(__xludf.DUMMYFUNCTION("""COMPUTED_VALUE"""),"")</f>
        <v/>
      </c>
    </row>
    <row r="15301">
      <c r="G15301" s="16" t="str">
        <f>IFERROR(__xludf.DUMMYFUNCTION("""COMPUTED_VALUE"""),"")</f>
        <v/>
      </c>
    </row>
    <row r="15302">
      <c r="G15302" s="16" t="str">
        <f>IFERROR(__xludf.DUMMYFUNCTION("""COMPUTED_VALUE"""),"")</f>
        <v/>
      </c>
    </row>
    <row r="15303">
      <c r="G15303" s="16" t="str">
        <f>IFERROR(__xludf.DUMMYFUNCTION("""COMPUTED_VALUE"""),"")</f>
        <v/>
      </c>
    </row>
    <row r="15304">
      <c r="G15304" s="16" t="str">
        <f>IFERROR(__xludf.DUMMYFUNCTION("""COMPUTED_VALUE"""),"")</f>
        <v/>
      </c>
    </row>
    <row r="15305">
      <c r="G15305" s="16" t="str">
        <f>IFERROR(__xludf.DUMMYFUNCTION("""COMPUTED_VALUE"""),"")</f>
        <v/>
      </c>
    </row>
    <row r="15306">
      <c r="G15306" s="16" t="str">
        <f>IFERROR(__xludf.DUMMYFUNCTION("""COMPUTED_VALUE"""),"")</f>
        <v/>
      </c>
    </row>
    <row r="15307">
      <c r="G15307" s="16" t="str">
        <f>IFERROR(__xludf.DUMMYFUNCTION("""COMPUTED_VALUE"""),"")</f>
        <v/>
      </c>
    </row>
    <row r="15308">
      <c r="G15308" s="16" t="str">
        <f>IFERROR(__xludf.DUMMYFUNCTION("""COMPUTED_VALUE"""),"")</f>
        <v/>
      </c>
    </row>
    <row r="15309">
      <c r="G15309" s="16" t="str">
        <f>IFERROR(__xludf.DUMMYFUNCTION("""COMPUTED_VALUE"""),"")</f>
        <v/>
      </c>
    </row>
    <row r="15310">
      <c r="G15310" s="16" t="str">
        <f>IFERROR(__xludf.DUMMYFUNCTION("""COMPUTED_VALUE"""),"")</f>
        <v/>
      </c>
    </row>
    <row r="15311">
      <c r="G15311" s="16" t="str">
        <f>IFERROR(__xludf.DUMMYFUNCTION("""COMPUTED_VALUE"""),"")</f>
        <v/>
      </c>
    </row>
    <row r="15312">
      <c r="G15312" s="16" t="str">
        <f>IFERROR(__xludf.DUMMYFUNCTION("""COMPUTED_VALUE"""),"")</f>
        <v/>
      </c>
    </row>
    <row r="15313">
      <c r="G15313" s="16" t="str">
        <f>IFERROR(__xludf.DUMMYFUNCTION("""COMPUTED_VALUE"""),"")</f>
        <v/>
      </c>
    </row>
    <row r="15314">
      <c r="G15314" s="16" t="str">
        <f>IFERROR(__xludf.DUMMYFUNCTION("""COMPUTED_VALUE"""),"")</f>
        <v/>
      </c>
    </row>
    <row r="15315">
      <c r="G15315" s="16" t="str">
        <f>IFERROR(__xludf.DUMMYFUNCTION("""COMPUTED_VALUE"""),"")</f>
        <v/>
      </c>
    </row>
    <row r="15316">
      <c r="G15316" s="16" t="str">
        <f>IFERROR(__xludf.DUMMYFUNCTION("""COMPUTED_VALUE"""),"")</f>
        <v/>
      </c>
    </row>
    <row r="15317">
      <c r="G15317" s="16" t="str">
        <f>IFERROR(__xludf.DUMMYFUNCTION("""COMPUTED_VALUE"""),"")</f>
        <v/>
      </c>
    </row>
    <row r="15318">
      <c r="G15318" s="16" t="str">
        <f>IFERROR(__xludf.DUMMYFUNCTION("""COMPUTED_VALUE"""),"")</f>
        <v/>
      </c>
    </row>
    <row r="15319">
      <c r="G15319" s="16" t="str">
        <f>IFERROR(__xludf.DUMMYFUNCTION("""COMPUTED_VALUE"""),"")</f>
        <v/>
      </c>
    </row>
    <row r="15320">
      <c r="G15320" s="16" t="str">
        <f>IFERROR(__xludf.DUMMYFUNCTION("""COMPUTED_VALUE"""),"")</f>
        <v/>
      </c>
    </row>
    <row r="15321">
      <c r="G15321" s="16" t="str">
        <f>IFERROR(__xludf.DUMMYFUNCTION("""COMPUTED_VALUE"""),"")</f>
        <v/>
      </c>
    </row>
    <row r="15322">
      <c r="G15322" s="16" t="str">
        <f>IFERROR(__xludf.DUMMYFUNCTION("""COMPUTED_VALUE"""),"")</f>
        <v/>
      </c>
    </row>
    <row r="15323">
      <c r="G15323" s="16" t="str">
        <f>IFERROR(__xludf.DUMMYFUNCTION("""COMPUTED_VALUE"""),"")</f>
        <v/>
      </c>
    </row>
    <row r="15324">
      <c r="G15324" s="16" t="str">
        <f>IFERROR(__xludf.DUMMYFUNCTION("""COMPUTED_VALUE"""),"")</f>
        <v/>
      </c>
    </row>
    <row r="15325">
      <c r="G15325" s="16" t="str">
        <f>IFERROR(__xludf.DUMMYFUNCTION("""COMPUTED_VALUE"""),"")</f>
        <v/>
      </c>
    </row>
    <row r="15326">
      <c r="G15326" s="16" t="str">
        <f>IFERROR(__xludf.DUMMYFUNCTION("""COMPUTED_VALUE"""),"")</f>
        <v/>
      </c>
    </row>
    <row r="15327">
      <c r="G15327" s="16" t="str">
        <f>IFERROR(__xludf.DUMMYFUNCTION("""COMPUTED_VALUE"""),"")</f>
        <v/>
      </c>
    </row>
    <row r="15328">
      <c r="G15328" s="16" t="str">
        <f>IFERROR(__xludf.DUMMYFUNCTION("""COMPUTED_VALUE"""),"")</f>
        <v/>
      </c>
    </row>
    <row r="15329">
      <c r="G15329" s="16" t="str">
        <f>IFERROR(__xludf.DUMMYFUNCTION("""COMPUTED_VALUE"""),"")</f>
        <v/>
      </c>
    </row>
    <row r="15330">
      <c r="G15330" s="16" t="str">
        <f>IFERROR(__xludf.DUMMYFUNCTION("""COMPUTED_VALUE"""),"")</f>
        <v/>
      </c>
    </row>
    <row r="15331">
      <c r="G15331" s="16" t="str">
        <f>IFERROR(__xludf.DUMMYFUNCTION("""COMPUTED_VALUE"""),"")</f>
        <v/>
      </c>
    </row>
    <row r="15332">
      <c r="G15332" s="16" t="str">
        <f>IFERROR(__xludf.DUMMYFUNCTION("""COMPUTED_VALUE"""),"")</f>
        <v/>
      </c>
    </row>
    <row r="15333">
      <c r="G15333" s="16" t="str">
        <f>IFERROR(__xludf.DUMMYFUNCTION("""COMPUTED_VALUE"""),"")</f>
        <v/>
      </c>
    </row>
    <row r="15334">
      <c r="G15334" s="16" t="str">
        <f>IFERROR(__xludf.DUMMYFUNCTION("""COMPUTED_VALUE"""),"")</f>
        <v/>
      </c>
    </row>
    <row r="15335">
      <c r="G15335" s="16" t="str">
        <f>IFERROR(__xludf.DUMMYFUNCTION("""COMPUTED_VALUE"""),"")</f>
        <v/>
      </c>
    </row>
    <row r="15336">
      <c r="G15336" s="16" t="str">
        <f>IFERROR(__xludf.DUMMYFUNCTION("""COMPUTED_VALUE"""),"")</f>
        <v/>
      </c>
    </row>
    <row r="15337">
      <c r="G15337" s="16" t="str">
        <f>IFERROR(__xludf.DUMMYFUNCTION("""COMPUTED_VALUE"""),"")</f>
        <v/>
      </c>
    </row>
    <row r="15338">
      <c r="G15338" s="16" t="str">
        <f>IFERROR(__xludf.DUMMYFUNCTION("""COMPUTED_VALUE"""),"")</f>
        <v/>
      </c>
    </row>
    <row r="15339">
      <c r="G15339" s="16" t="str">
        <f>IFERROR(__xludf.DUMMYFUNCTION("""COMPUTED_VALUE"""),"")</f>
        <v/>
      </c>
    </row>
    <row r="15340">
      <c r="G15340" s="16" t="str">
        <f>IFERROR(__xludf.DUMMYFUNCTION("""COMPUTED_VALUE"""),"")</f>
        <v/>
      </c>
    </row>
    <row r="15341">
      <c r="G15341" s="16" t="str">
        <f>IFERROR(__xludf.DUMMYFUNCTION("""COMPUTED_VALUE"""),"")</f>
        <v/>
      </c>
    </row>
    <row r="15342">
      <c r="G15342" s="16" t="str">
        <f>IFERROR(__xludf.DUMMYFUNCTION("""COMPUTED_VALUE"""),"")</f>
        <v/>
      </c>
    </row>
    <row r="15343">
      <c r="G15343" s="16" t="str">
        <f>IFERROR(__xludf.DUMMYFUNCTION("""COMPUTED_VALUE"""),"")</f>
        <v/>
      </c>
    </row>
    <row r="15344">
      <c r="G15344" s="16" t="str">
        <f>IFERROR(__xludf.DUMMYFUNCTION("""COMPUTED_VALUE"""),"")</f>
        <v/>
      </c>
    </row>
    <row r="15345">
      <c r="G15345" s="16" t="str">
        <f>IFERROR(__xludf.DUMMYFUNCTION("""COMPUTED_VALUE"""),"")</f>
        <v/>
      </c>
    </row>
    <row r="15346">
      <c r="G15346" s="16" t="str">
        <f>IFERROR(__xludf.DUMMYFUNCTION("""COMPUTED_VALUE"""),"")</f>
        <v/>
      </c>
    </row>
    <row r="15347">
      <c r="G15347" s="16" t="str">
        <f>IFERROR(__xludf.DUMMYFUNCTION("""COMPUTED_VALUE"""),"")</f>
        <v/>
      </c>
    </row>
    <row r="15348">
      <c r="G15348" s="16" t="str">
        <f>IFERROR(__xludf.DUMMYFUNCTION("""COMPUTED_VALUE"""),"")</f>
        <v/>
      </c>
    </row>
    <row r="15349">
      <c r="G15349" s="16" t="str">
        <f>IFERROR(__xludf.DUMMYFUNCTION("""COMPUTED_VALUE"""),"")</f>
        <v/>
      </c>
    </row>
    <row r="15350">
      <c r="G15350" s="16" t="str">
        <f>IFERROR(__xludf.DUMMYFUNCTION("""COMPUTED_VALUE"""),"")</f>
        <v/>
      </c>
    </row>
    <row r="15351">
      <c r="G15351" s="16" t="str">
        <f>IFERROR(__xludf.DUMMYFUNCTION("""COMPUTED_VALUE"""),"")</f>
        <v/>
      </c>
    </row>
    <row r="15352">
      <c r="G15352" s="16" t="str">
        <f>IFERROR(__xludf.DUMMYFUNCTION("""COMPUTED_VALUE"""),"")</f>
        <v/>
      </c>
    </row>
    <row r="15353">
      <c r="G15353" s="16" t="str">
        <f>IFERROR(__xludf.DUMMYFUNCTION("""COMPUTED_VALUE"""),"")</f>
        <v/>
      </c>
    </row>
    <row r="15354">
      <c r="G15354" s="16" t="str">
        <f>IFERROR(__xludf.DUMMYFUNCTION("""COMPUTED_VALUE"""),"")</f>
        <v/>
      </c>
    </row>
    <row r="15355">
      <c r="G15355" s="16" t="str">
        <f>IFERROR(__xludf.DUMMYFUNCTION("""COMPUTED_VALUE"""),"")</f>
        <v/>
      </c>
    </row>
    <row r="15356">
      <c r="G15356" s="16" t="str">
        <f>IFERROR(__xludf.DUMMYFUNCTION("""COMPUTED_VALUE"""),"")</f>
        <v/>
      </c>
    </row>
    <row r="15357">
      <c r="G15357" s="16" t="str">
        <f>IFERROR(__xludf.DUMMYFUNCTION("""COMPUTED_VALUE"""),"")</f>
        <v/>
      </c>
    </row>
    <row r="15358">
      <c r="G15358" s="16" t="str">
        <f>IFERROR(__xludf.DUMMYFUNCTION("""COMPUTED_VALUE"""),"")</f>
        <v/>
      </c>
    </row>
    <row r="15359">
      <c r="G15359" s="16" t="str">
        <f>IFERROR(__xludf.DUMMYFUNCTION("""COMPUTED_VALUE"""),"")</f>
        <v/>
      </c>
    </row>
    <row r="15360">
      <c r="G15360" s="16" t="str">
        <f>IFERROR(__xludf.DUMMYFUNCTION("""COMPUTED_VALUE"""),"")</f>
        <v/>
      </c>
    </row>
    <row r="15361">
      <c r="G15361" s="16" t="str">
        <f>IFERROR(__xludf.DUMMYFUNCTION("""COMPUTED_VALUE"""),"")</f>
        <v/>
      </c>
    </row>
    <row r="15362">
      <c r="G15362" s="16" t="str">
        <f>IFERROR(__xludf.DUMMYFUNCTION("""COMPUTED_VALUE"""),"")</f>
        <v/>
      </c>
    </row>
    <row r="15363">
      <c r="G15363" s="16" t="str">
        <f>IFERROR(__xludf.DUMMYFUNCTION("""COMPUTED_VALUE"""),"")</f>
        <v/>
      </c>
    </row>
    <row r="15364">
      <c r="G15364" s="16" t="str">
        <f>IFERROR(__xludf.DUMMYFUNCTION("""COMPUTED_VALUE"""),"")</f>
        <v/>
      </c>
    </row>
    <row r="15365">
      <c r="G15365" s="16" t="str">
        <f>IFERROR(__xludf.DUMMYFUNCTION("""COMPUTED_VALUE"""),"")</f>
        <v/>
      </c>
    </row>
    <row r="15366">
      <c r="G15366" s="16" t="str">
        <f>IFERROR(__xludf.DUMMYFUNCTION("""COMPUTED_VALUE"""),"")</f>
        <v/>
      </c>
    </row>
    <row r="15367">
      <c r="G15367" s="16" t="str">
        <f>IFERROR(__xludf.DUMMYFUNCTION("""COMPUTED_VALUE"""),"")</f>
        <v/>
      </c>
    </row>
    <row r="15368">
      <c r="G15368" s="16" t="str">
        <f>IFERROR(__xludf.DUMMYFUNCTION("""COMPUTED_VALUE"""),"")</f>
        <v/>
      </c>
    </row>
    <row r="15369">
      <c r="G15369" s="16" t="str">
        <f>IFERROR(__xludf.DUMMYFUNCTION("""COMPUTED_VALUE"""),"")</f>
        <v/>
      </c>
    </row>
    <row r="15370">
      <c r="G15370" s="16" t="str">
        <f>IFERROR(__xludf.DUMMYFUNCTION("""COMPUTED_VALUE"""),"")</f>
        <v/>
      </c>
    </row>
    <row r="15371">
      <c r="G15371" s="16" t="str">
        <f>IFERROR(__xludf.DUMMYFUNCTION("""COMPUTED_VALUE"""),"")</f>
        <v/>
      </c>
    </row>
    <row r="15372">
      <c r="G15372" s="16" t="str">
        <f>IFERROR(__xludf.DUMMYFUNCTION("""COMPUTED_VALUE"""),"")</f>
        <v/>
      </c>
    </row>
    <row r="15373">
      <c r="G15373" s="16" t="str">
        <f>IFERROR(__xludf.DUMMYFUNCTION("""COMPUTED_VALUE"""),"")</f>
        <v/>
      </c>
    </row>
    <row r="15374">
      <c r="G15374" s="16" t="str">
        <f>IFERROR(__xludf.DUMMYFUNCTION("""COMPUTED_VALUE"""),"")</f>
        <v/>
      </c>
    </row>
    <row r="15375">
      <c r="G15375" s="16" t="str">
        <f>IFERROR(__xludf.DUMMYFUNCTION("""COMPUTED_VALUE"""),"")</f>
        <v/>
      </c>
    </row>
    <row r="15376">
      <c r="G15376" s="16" t="str">
        <f>IFERROR(__xludf.DUMMYFUNCTION("""COMPUTED_VALUE"""),"")</f>
        <v/>
      </c>
    </row>
    <row r="15377">
      <c r="G15377" s="16" t="str">
        <f>IFERROR(__xludf.DUMMYFUNCTION("""COMPUTED_VALUE"""),"")</f>
        <v/>
      </c>
    </row>
    <row r="15378">
      <c r="G15378" s="16" t="str">
        <f>IFERROR(__xludf.DUMMYFUNCTION("""COMPUTED_VALUE"""),"")</f>
        <v/>
      </c>
    </row>
    <row r="15379">
      <c r="G15379" s="16" t="str">
        <f>IFERROR(__xludf.DUMMYFUNCTION("""COMPUTED_VALUE"""),"")</f>
        <v/>
      </c>
    </row>
    <row r="15380">
      <c r="G15380" s="16" t="str">
        <f>IFERROR(__xludf.DUMMYFUNCTION("""COMPUTED_VALUE"""),"")</f>
        <v/>
      </c>
    </row>
    <row r="15381">
      <c r="G15381" s="16" t="str">
        <f>IFERROR(__xludf.DUMMYFUNCTION("""COMPUTED_VALUE"""),"")</f>
        <v/>
      </c>
    </row>
    <row r="15382">
      <c r="G15382" s="16" t="str">
        <f>IFERROR(__xludf.DUMMYFUNCTION("""COMPUTED_VALUE"""),"")</f>
        <v/>
      </c>
    </row>
    <row r="15383">
      <c r="G15383" s="16" t="str">
        <f>IFERROR(__xludf.DUMMYFUNCTION("""COMPUTED_VALUE"""),"")</f>
        <v/>
      </c>
    </row>
    <row r="15384">
      <c r="G15384" s="16" t="str">
        <f>IFERROR(__xludf.DUMMYFUNCTION("""COMPUTED_VALUE"""),"")</f>
        <v/>
      </c>
    </row>
    <row r="15385">
      <c r="G15385" s="16" t="str">
        <f>IFERROR(__xludf.DUMMYFUNCTION("""COMPUTED_VALUE"""),"")</f>
        <v/>
      </c>
    </row>
    <row r="15386">
      <c r="G15386" s="16" t="str">
        <f>IFERROR(__xludf.DUMMYFUNCTION("""COMPUTED_VALUE"""),"")</f>
        <v/>
      </c>
    </row>
    <row r="15387">
      <c r="G15387" s="16" t="str">
        <f>IFERROR(__xludf.DUMMYFUNCTION("""COMPUTED_VALUE"""),"")</f>
        <v/>
      </c>
    </row>
    <row r="15388">
      <c r="G15388" s="16" t="str">
        <f>IFERROR(__xludf.DUMMYFUNCTION("""COMPUTED_VALUE"""),"")</f>
        <v/>
      </c>
    </row>
    <row r="15389">
      <c r="G15389" s="16" t="str">
        <f>IFERROR(__xludf.DUMMYFUNCTION("""COMPUTED_VALUE"""),"")</f>
        <v/>
      </c>
    </row>
    <row r="15390">
      <c r="G15390" s="16" t="str">
        <f>IFERROR(__xludf.DUMMYFUNCTION("""COMPUTED_VALUE"""),"")</f>
        <v/>
      </c>
    </row>
    <row r="15391">
      <c r="G15391" s="16" t="str">
        <f>IFERROR(__xludf.DUMMYFUNCTION("""COMPUTED_VALUE"""),"")</f>
        <v/>
      </c>
    </row>
    <row r="15392">
      <c r="G15392" s="16" t="str">
        <f>IFERROR(__xludf.DUMMYFUNCTION("""COMPUTED_VALUE"""),"")</f>
        <v/>
      </c>
    </row>
    <row r="15393">
      <c r="G15393" s="16" t="str">
        <f>IFERROR(__xludf.DUMMYFUNCTION("""COMPUTED_VALUE"""),"")</f>
        <v/>
      </c>
    </row>
    <row r="15394">
      <c r="G15394" s="16" t="str">
        <f>IFERROR(__xludf.DUMMYFUNCTION("""COMPUTED_VALUE"""),"")</f>
        <v/>
      </c>
    </row>
    <row r="15395">
      <c r="G15395" s="16" t="str">
        <f>IFERROR(__xludf.DUMMYFUNCTION("""COMPUTED_VALUE"""),"")</f>
        <v/>
      </c>
    </row>
    <row r="15396">
      <c r="G15396" s="16" t="str">
        <f>IFERROR(__xludf.DUMMYFUNCTION("""COMPUTED_VALUE"""),"")</f>
        <v/>
      </c>
    </row>
    <row r="15397">
      <c r="G15397" s="16" t="str">
        <f>IFERROR(__xludf.DUMMYFUNCTION("""COMPUTED_VALUE"""),"")</f>
        <v/>
      </c>
    </row>
    <row r="15398">
      <c r="G15398" s="16" t="str">
        <f>IFERROR(__xludf.DUMMYFUNCTION("""COMPUTED_VALUE"""),"")</f>
        <v/>
      </c>
    </row>
    <row r="15399">
      <c r="G15399" s="16" t="str">
        <f>IFERROR(__xludf.DUMMYFUNCTION("""COMPUTED_VALUE"""),"")</f>
        <v/>
      </c>
    </row>
    <row r="15400">
      <c r="G15400" s="16" t="str">
        <f>IFERROR(__xludf.DUMMYFUNCTION("""COMPUTED_VALUE"""),"")</f>
        <v/>
      </c>
    </row>
    <row r="15401">
      <c r="G15401" s="16" t="str">
        <f>IFERROR(__xludf.DUMMYFUNCTION("""COMPUTED_VALUE"""),"")</f>
        <v/>
      </c>
    </row>
    <row r="15402">
      <c r="G15402" s="16" t="str">
        <f>IFERROR(__xludf.DUMMYFUNCTION("""COMPUTED_VALUE"""),"")</f>
        <v/>
      </c>
    </row>
    <row r="15403">
      <c r="G15403" s="16" t="str">
        <f>IFERROR(__xludf.DUMMYFUNCTION("""COMPUTED_VALUE"""),"")</f>
        <v/>
      </c>
    </row>
    <row r="15404">
      <c r="G15404" s="16" t="str">
        <f>IFERROR(__xludf.DUMMYFUNCTION("""COMPUTED_VALUE"""),"")</f>
        <v/>
      </c>
    </row>
    <row r="15405">
      <c r="G15405" s="16" t="str">
        <f>IFERROR(__xludf.DUMMYFUNCTION("""COMPUTED_VALUE"""),"")</f>
        <v/>
      </c>
    </row>
    <row r="15406">
      <c r="G15406" s="16" t="str">
        <f>IFERROR(__xludf.DUMMYFUNCTION("""COMPUTED_VALUE"""),"")</f>
        <v/>
      </c>
    </row>
    <row r="15407">
      <c r="G15407" s="16" t="str">
        <f>IFERROR(__xludf.DUMMYFUNCTION("""COMPUTED_VALUE"""),"")</f>
        <v/>
      </c>
    </row>
    <row r="15408">
      <c r="G15408" s="16" t="str">
        <f>IFERROR(__xludf.DUMMYFUNCTION("""COMPUTED_VALUE"""),"")</f>
        <v/>
      </c>
    </row>
    <row r="15409">
      <c r="G15409" s="16" t="str">
        <f>IFERROR(__xludf.DUMMYFUNCTION("""COMPUTED_VALUE"""),"")</f>
        <v/>
      </c>
    </row>
    <row r="15410">
      <c r="G15410" s="16" t="str">
        <f>IFERROR(__xludf.DUMMYFUNCTION("""COMPUTED_VALUE"""),"")</f>
        <v/>
      </c>
    </row>
    <row r="15411">
      <c r="G15411" s="16" t="str">
        <f>IFERROR(__xludf.DUMMYFUNCTION("""COMPUTED_VALUE"""),"")</f>
        <v/>
      </c>
    </row>
    <row r="15412">
      <c r="G15412" s="16" t="str">
        <f>IFERROR(__xludf.DUMMYFUNCTION("""COMPUTED_VALUE"""),"")</f>
        <v/>
      </c>
    </row>
    <row r="15413">
      <c r="G15413" s="16" t="str">
        <f>IFERROR(__xludf.DUMMYFUNCTION("""COMPUTED_VALUE"""),"")</f>
        <v/>
      </c>
    </row>
    <row r="15414">
      <c r="G15414" s="16" t="str">
        <f>IFERROR(__xludf.DUMMYFUNCTION("""COMPUTED_VALUE"""),"")</f>
        <v/>
      </c>
    </row>
    <row r="15415">
      <c r="G15415" s="16" t="str">
        <f>IFERROR(__xludf.DUMMYFUNCTION("""COMPUTED_VALUE"""),"")</f>
        <v/>
      </c>
    </row>
    <row r="15416">
      <c r="G15416" s="16" t="str">
        <f>IFERROR(__xludf.DUMMYFUNCTION("""COMPUTED_VALUE"""),"")</f>
        <v/>
      </c>
    </row>
    <row r="15417">
      <c r="G15417" s="16" t="str">
        <f>IFERROR(__xludf.DUMMYFUNCTION("""COMPUTED_VALUE"""),"")</f>
        <v/>
      </c>
    </row>
    <row r="15418">
      <c r="G15418" s="16" t="str">
        <f>IFERROR(__xludf.DUMMYFUNCTION("""COMPUTED_VALUE"""),"")</f>
        <v/>
      </c>
    </row>
    <row r="15419">
      <c r="G15419" s="16" t="str">
        <f>IFERROR(__xludf.DUMMYFUNCTION("""COMPUTED_VALUE"""),"")</f>
        <v/>
      </c>
    </row>
    <row r="15420">
      <c r="G15420" s="16" t="str">
        <f>IFERROR(__xludf.DUMMYFUNCTION("""COMPUTED_VALUE"""),"")</f>
        <v/>
      </c>
    </row>
    <row r="15421">
      <c r="G15421" s="16" t="str">
        <f>IFERROR(__xludf.DUMMYFUNCTION("""COMPUTED_VALUE"""),"")</f>
        <v/>
      </c>
    </row>
    <row r="15422">
      <c r="G15422" s="16" t="str">
        <f>IFERROR(__xludf.DUMMYFUNCTION("""COMPUTED_VALUE"""),"")</f>
        <v/>
      </c>
    </row>
    <row r="15423">
      <c r="G15423" s="16" t="str">
        <f>IFERROR(__xludf.DUMMYFUNCTION("""COMPUTED_VALUE"""),"")</f>
        <v/>
      </c>
    </row>
    <row r="15424">
      <c r="G15424" s="16" t="str">
        <f>IFERROR(__xludf.DUMMYFUNCTION("""COMPUTED_VALUE"""),"")</f>
        <v/>
      </c>
    </row>
    <row r="15425">
      <c r="G15425" s="16" t="str">
        <f>IFERROR(__xludf.DUMMYFUNCTION("""COMPUTED_VALUE"""),"")</f>
        <v/>
      </c>
    </row>
    <row r="15426">
      <c r="G15426" s="16" t="str">
        <f>IFERROR(__xludf.DUMMYFUNCTION("""COMPUTED_VALUE"""),"")</f>
        <v/>
      </c>
    </row>
    <row r="15427">
      <c r="G15427" s="16" t="str">
        <f>IFERROR(__xludf.DUMMYFUNCTION("""COMPUTED_VALUE"""),"")</f>
        <v/>
      </c>
    </row>
    <row r="15428">
      <c r="G15428" s="16" t="str">
        <f>IFERROR(__xludf.DUMMYFUNCTION("""COMPUTED_VALUE"""),"")</f>
        <v/>
      </c>
    </row>
    <row r="15429">
      <c r="G15429" s="16" t="str">
        <f>IFERROR(__xludf.DUMMYFUNCTION("""COMPUTED_VALUE"""),"")</f>
        <v/>
      </c>
    </row>
    <row r="15430">
      <c r="G15430" s="16" t="str">
        <f>IFERROR(__xludf.DUMMYFUNCTION("""COMPUTED_VALUE"""),"")</f>
        <v/>
      </c>
    </row>
    <row r="15431">
      <c r="G15431" s="16" t="str">
        <f>IFERROR(__xludf.DUMMYFUNCTION("""COMPUTED_VALUE"""),"")</f>
        <v/>
      </c>
    </row>
    <row r="15432">
      <c r="G15432" s="16" t="str">
        <f>IFERROR(__xludf.DUMMYFUNCTION("""COMPUTED_VALUE"""),"")</f>
        <v/>
      </c>
    </row>
    <row r="15433">
      <c r="G15433" s="16" t="str">
        <f>IFERROR(__xludf.DUMMYFUNCTION("""COMPUTED_VALUE"""),"")</f>
        <v/>
      </c>
    </row>
    <row r="15434">
      <c r="G15434" s="16" t="str">
        <f>IFERROR(__xludf.DUMMYFUNCTION("""COMPUTED_VALUE"""),"")</f>
        <v/>
      </c>
    </row>
    <row r="15435">
      <c r="G15435" s="16" t="str">
        <f>IFERROR(__xludf.DUMMYFUNCTION("""COMPUTED_VALUE"""),"")</f>
        <v/>
      </c>
    </row>
    <row r="15436">
      <c r="G15436" s="16" t="str">
        <f>IFERROR(__xludf.DUMMYFUNCTION("""COMPUTED_VALUE"""),"")</f>
        <v/>
      </c>
    </row>
    <row r="15437">
      <c r="G15437" s="16" t="str">
        <f>IFERROR(__xludf.DUMMYFUNCTION("""COMPUTED_VALUE"""),"")</f>
        <v/>
      </c>
    </row>
    <row r="15438">
      <c r="G15438" s="16" t="str">
        <f>IFERROR(__xludf.DUMMYFUNCTION("""COMPUTED_VALUE"""),"")</f>
        <v/>
      </c>
    </row>
    <row r="15439">
      <c r="G15439" s="16" t="str">
        <f>IFERROR(__xludf.DUMMYFUNCTION("""COMPUTED_VALUE"""),"")</f>
        <v/>
      </c>
    </row>
    <row r="15440">
      <c r="G15440" s="16" t="str">
        <f>IFERROR(__xludf.DUMMYFUNCTION("""COMPUTED_VALUE"""),"")</f>
        <v/>
      </c>
    </row>
    <row r="15441">
      <c r="G15441" s="16" t="str">
        <f>IFERROR(__xludf.DUMMYFUNCTION("""COMPUTED_VALUE"""),"")</f>
        <v/>
      </c>
    </row>
    <row r="15442">
      <c r="G15442" s="16" t="str">
        <f>IFERROR(__xludf.DUMMYFUNCTION("""COMPUTED_VALUE"""),"")</f>
        <v/>
      </c>
    </row>
    <row r="15443">
      <c r="G15443" s="16" t="str">
        <f>IFERROR(__xludf.DUMMYFUNCTION("""COMPUTED_VALUE"""),"")</f>
        <v/>
      </c>
    </row>
    <row r="15444">
      <c r="G15444" s="16" t="str">
        <f>IFERROR(__xludf.DUMMYFUNCTION("""COMPUTED_VALUE"""),"")</f>
        <v/>
      </c>
    </row>
    <row r="15445">
      <c r="G15445" s="16" t="str">
        <f>IFERROR(__xludf.DUMMYFUNCTION("""COMPUTED_VALUE"""),"")</f>
        <v/>
      </c>
    </row>
    <row r="15446">
      <c r="G15446" s="16" t="str">
        <f>IFERROR(__xludf.DUMMYFUNCTION("""COMPUTED_VALUE"""),"")</f>
        <v/>
      </c>
    </row>
    <row r="15447">
      <c r="G15447" s="16" t="str">
        <f>IFERROR(__xludf.DUMMYFUNCTION("""COMPUTED_VALUE"""),"")</f>
        <v/>
      </c>
    </row>
    <row r="15448">
      <c r="G15448" s="16" t="str">
        <f>IFERROR(__xludf.DUMMYFUNCTION("""COMPUTED_VALUE"""),"")</f>
        <v/>
      </c>
    </row>
    <row r="15449">
      <c r="G15449" s="16" t="str">
        <f>IFERROR(__xludf.DUMMYFUNCTION("""COMPUTED_VALUE"""),"")</f>
        <v/>
      </c>
    </row>
    <row r="15450">
      <c r="G15450" s="16" t="str">
        <f>IFERROR(__xludf.DUMMYFUNCTION("""COMPUTED_VALUE"""),"")</f>
        <v/>
      </c>
    </row>
    <row r="15451">
      <c r="G15451" s="16" t="str">
        <f>IFERROR(__xludf.DUMMYFUNCTION("""COMPUTED_VALUE"""),"")</f>
        <v/>
      </c>
    </row>
    <row r="15452">
      <c r="G15452" s="16" t="str">
        <f>IFERROR(__xludf.DUMMYFUNCTION("""COMPUTED_VALUE"""),"")</f>
        <v/>
      </c>
    </row>
    <row r="15453">
      <c r="G15453" s="16" t="str">
        <f>IFERROR(__xludf.DUMMYFUNCTION("""COMPUTED_VALUE"""),"")</f>
        <v/>
      </c>
    </row>
    <row r="15454">
      <c r="G15454" s="16" t="str">
        <f>IFERROR(__xludf.DUMMYFUNCTION("""COMPUTED_VALUE"""),"")</f>
        <v/>
      </c>
    </row>
    <row r="15455">
      <c r="G15455" s="16" t="str">
        <f>IFERROR(__xludf.DUMMYFUNCTION("""COMPUTED_VALUE"""),"")</f>
        <v/>
      </c>
    </row>
    <row r="15456">
      <c r="G15456" s="16" t="str">
        <f>IFERROR(__xludf.DUMMYFUNCTION("""COMPUTED_VALUE"""),"")</f>
        <v/>
      </c>
    </row>
    <row r="15457">
      <c r="G15457" s="16" t="str">
        <f>IFERROR(__xludf.DUMMYFUNCTION("""COMPUTED_VALUE"""),"")</f>
        <v/>
      </c>
    </row>
    <row r="15458">
      <c r="G15458" s="16" t="str">
        <f>IFERROR(__xludf.DUMMYFUNCTION("""COMPUTED_VALUE"""),"")</f>
        <v/>
      </c>
    </row>
    <row r="15459">
      <c r="G15459" s="16" t="str">
        <f>IFERROR(__xludf.DUMMYFUNCTION("""COMPUTED_VALUE"""),"")</f>
        <v/>
      </c>
    </row>
    <row r="15460">
      <c r="G15460" s="16" t="str">
        <f>IFERROR(__xludf.DUMMYFUNCTION("""COMPUTED_VALUE"""),"")</f>
        <v/>
      </c>
    </row>
    <row r="15461">
      <c r="G15461" s="16" t="str">
        <f>IFERROR(__xludf.DUMMYFUNCTION("""COMPUTED_VALUE"""),"")</f>
        <v/>
      </c>
    </row>
    <row r="15462">
      <c r="G15462" s="16" t="str">
        <f>IFERROR(__xludf.DUMMYFUNCTION("""COMPUTED_VALUE"""),"")</f>
        <v/>
      </c>
    </row>
    <row r="15463">
      <c r="G15463" s="16" t="str">
        <f>IFERROR(__xludf.DUMMYFUNCTION("""COMPUTED_VALUE"""),"")</f>
        <v/>
      </c>
    </row>
    <row r="15464">
      <c r="G15464" s="16" t="str">
        <f>IFERROR(__xludf.DUMMYFUNCTION("""COMPUTED_VALUE"""),"")</f>
        <v/>
      </c>
    </row>
    <row r="15465">
      <c r="G15465" s="16" t="str">
        <f>IFERROR(__xludf.DUMMYFUNCTION("""COMPUTED_VALUE"""),"")</f>
        <v/>
      </c>
    </row>
    <row r="15466">
      <c r="G15466" s="16" t="str">
        <f>IFERROR(__xludf.DUMMYFUNCTION("""COMPUTED_VALUE"""),"")</f>
        <v/>
      </c>
    </row>
    <row r="15467">
      <c r="G15467" s="16" t="str">
        <f>IFERROR(__xludf.DUMMYFUNCTION("""COMPUTED_VALUE"""),"")</f>
        <v/>
      </c>
    </row>
    <row r="15468">
      <c r="G15468" s="16" t="str">
        <f>IFERROR(__xludf.DUMMYFUNCTION("""COMPUTED_VALUE"""),"")</f>
        <v/>
      </c>
    </row>
    <row r="15469">
      <c r="G15469" s="16" t="str">
        <f>IFERROR(__xludf.DUMMYFUNCTION("""COMPUTED_VALUE"""),"")</f>
        <v/>
      </c>
    </row>
    <row r="15470">
      <c r="G15470" s="16" t="str">
        <f>IFERROR(__xludf.DUMMYFUNCTION("""COMPUTED_VALUE"""),"")</f>
        <v/>
      </c>
    </row>
    <row r="15471">
      <c r="G15471" s="16" t="str">
        <f>IFERROR(__xludf.DUMMYFUNCTION("""COMPUTED_VALUE"""),"")</f>
        <v/>
      </c>
    </row>
    <row r="15472">
      <c r="G15472" s="16" t="str">
        <f>IFERROR(__xludf.DUMMYFUNCTION("""COMPUTED_VALUE"""),"")</f>
        <v/>
      </c>
    </row>
    <row r="15473">
      <c r="G15473" s="16" t="str">
        <f>IFERROR(__xludf.DUMMYFUNCTION("""COMPUTED_VALUE"""),"")</f>
        <v/>
      </c>
    </row>
    <row r="15474">
      <c r="G15474" s="16" t="str">
        <f>IFERROR(__xludf.DUMMYFUNCTION("""COMPUTED_VALUE"""),"")</f>
        <v/>
      </c>
    </row>
    <row r="15475">
      <c r="G15475" s="16" t="str">
        <f>IFERROR(__xludf.DUMMYFUNCTION("""COMPUTED_VALUE"""),"")</f>
        <v/>
      </c>
    </row>
    <row r="15476">
      <c r="G15476" s="16" t="str">
        <f>IFERROR(__xludf.DUMMYFUNCTION("""COMPUTED_VALUE"""),"")</f>
        <v/>
      </c>
    </row>
    <row r="15477">
      <c r="G15477" s="16" t="str">
        <f>IFERROR(__xludf.DUMMYFUNCTION("""COMPUTED_VALUE"""),"")</f>
        <v/>
      </c>
    </row>
    <row r="15478">
      <c r="G15478" s="16" t="str">
        <f>IFERROR(__xludf.DUMMYFUNCTION("""COMPUTED_VALUE"""),"")</f>
        <v/>
      </c>
    </row>
    <row r="15479">
      <c r="G15479" s="16" t="str">
        <f>IFERROR(__xludf.DUMMYFUNCTION("""COMPUTED_VALUE"""),"")</f>
        <v/>
      </c>
    </row>
    <row r="15480">
      <c r="G15480" s="16" t="str">
        <f>IFERROR(__xludf.DUMMYFUNCTION("""COMPUTED_VALUE"""),"")</f>
        <v/>
      </c>
    </row>
    <row r="15481">
      <c r="G15481" s="16" t="str">
        <f>IFERROR(__xludf.DUMMYFUNCTION("""COMPUTED_VALUE"""),"")</f>
        <v/>
      </c>
    </row>
    <row r="15482">
      <c r="G15482" s="16" t="str">
        <f>IFERROR(__xludf.DUMMYFUNCTION("""COMPUTED_VALUE"""),"")</f>
        <v/>
      </c>
    </row>
    <row r="15483">
      <c r="G15483" s="16" t="str">
        <f>IFERROR(__xludf.DUMMYFUNCTION("""COMPUTED_VALUE"""),"")</f>
        <v/>
      </c>
    </row>
    <row r="15484">
      <c r="G15484" s="16" t="str">
        <f>IFERROR(__xludf.DUMMYFUNCTION("""COMPUTED_VALUE"""),"")</f>
        <v/>
      </c>
    </row>
    <row r="15485">
      <c r="G15485" s="16" t="str">
        <f>IFERROR(__xludf.DUMMYFUNCTION("""COMPUTED_VALUE"""),"")</f>
        <v/>
      </c>
    </row>
    <row r="15486">
      <c r="G15486" s="16" t="str">
        <f>IFERROR(__xludf.DUMMYFUNCTION("""COMPUTED_VALUE"""),"")</f>
        <v/>
      </c>
    </row>
    <row r="15487">
      <c r="G15487" s="16" t="str">
        <f>IFERROR(__xludf.DUMMYFUNCTION("""COMPUTED_VALUE"""),"")</f>
        <v/>
      </c>
    </row>
    <row r="15488">
      <c r="G15488" s="16" t="str">
        <f>IFERROR(__xludf.DUMMYFUNCTION("""COMPUTED_VALUE"""),"")</f>
        <v/>
      </c>
    </row>
    <row r="15489">
      <c r="G15489" s="16" t="str">
        <f>IFERROR(__xludf.DUMMYFUNCTION("""COMPUTED_VALUE"""),"")</f>
        <v/>
      </c>
    </row>
    <row r="15490">
      <c r="G15490" s="16" t="str">
        <f>IFERROR(__xludf.DUMMYFUNCTION("""COMPUTED_VALUE"""),"")</f>
        <v/>
      </c>
    </row>
    <row r="15491">
      <c r="G15491" s="16" t="str">
        <f>IFERROR(__xludf.DUMMYFUNCTION("""COMPUTED_VALUE"""),"")</f>
        <v/>
      </c>
    </row>
    <row r="15492">
      <c r="G15492" s="16" t="str">
        <f>IFERROR(__xludf.DUMMYFUNCTION("""COMPUTED_VALUE"""),"")</f>
        <v/>
      </c>
    </row>
    <row r="15493">
      <c r="G15493" s="16" t="str">
        <f>IFERROR(__xludf.DUMMYFUNCTION("""COMPUTED_VALUE"""),"")</f>
        <v/>
      </c>
    </row>
    <row r="15494">
      <c r="G15494" s="16" t="str">
        <f>IFERROR(__xludf.DUMMYFUNCTION("""COMPUTED_VALUE"""),"")</f>
        <v/>
      </c>
    </row>
    <row r="15495">
      <c r="G15495" s="16" t="str">
        <f>IFERROR(__xludf.DUMMYFUNCTION("""COMPUTED_VALUE"""),"")</f>
        <v/>
      </c>
    </row>
    <row r="15496">
      <c r="G15496" s="16" t="str">
        <f>IFERROR(__xludf.DUMMYFUNCTION("""COMPUTED_VALUE"""),"")</f>
        <v/>
      </c>
    </row>
    <row r="15497">
      <c r="G15497" s="16" t="str">
        <f>IFERROR(__xludf.DUMMYFUNCTION("""COMPUTED_VALUE"""),"")</f>
        <v/>
      </c>
    </row>
    <row r="15498">
      <c r="G15498" s="16" t="str">
        <f>IFERROR(__xludf.DUMMYFUNCTION("""COMPUTED_VALUE"""),"")</f>
        <v/>
      </c>
    </row>
    <row r="15499">
      <c r="G15499" s="16" t="str">
        <f>IFERROR(__xludf.DUMMYFUNCTION("""COMPUTED_VALUE"""),"")</f>
        <v/>
      </c>
    </row>
    <row r="15500">
      <c r="G15500" s="16" t="str">
        <f>IFERROR(__xludf.DUMMYFUNCTION("""COMPUTED_VALUE"""),"")</f>
        <v/>
      </c>
    </row>
    <row r="15501">
      <c r="G15501" s="16" t="str">
        <f>IFERROR(__xludf.DUMMYFUNCTION("""COMPUTED_VALUE"""),"")</f>
        <v/>
      </c>
    </row>
    <row r="15502">
      <c r="G15502" s="16" t="str">
        <f>IFERROR(__xludf.DUMMYFUNCTION("""COMPUTED_VALUE"""),"")</f>
        <v/>
      </c>
    </row>
    <row r="15503">
      <c r="G15503" s="16" t="str">
        <f>IFERROR(__xludf.DUMMYFUNCTION("""COMPUTED_VALUE"""),"")</f>
        <v/>
      </c>
    </row>
    <row r="15504">
      <c r="G15504" s="16" t="str">
        <f>IFERROR(__xludf.DUMMYFUNCTION("""COMPUTED_VALUE"""),"")</f>
        <v/>
      </c>
    </row>
    <row r="15505">
      <c r="G15505" s="16" t="str">
        <f>IFERROR(__xludf.DUMMYFUNCTION("""COMPUTED_VALUE"""),"")</f>
        <v/>
      </c>
    </row>
    <row r="15506">
      <c r="G15506" s="16" t="str">
        <f>IFERROR(__xludf.DUMMYFUNCTION("""COMPUTED_VALUE"""),"")</f>
        <v/>
      </c>
    </row>
    <row r="15507">
      <c r="G15507" s="16" t="str">
        <f>IFERROR(__xludf.DUMMYFUNCTION("""COMPUTED_VALUE"""),"")</f>
        <v/>
      </c>
    </row>
    <row r="15508">
      <c r="G15508" s="16" t="str">
        <f>IFERROR(__xludf.DUMMYFUNCTION("""COMPUTED_VALUE"""),"")</f>
        <v/>
      </c>
    </row>
    <row r="15509">
      <c r="G15509" s="16" t="str">
        <f>IFERROR(__xludf.DUMMYFUNCTION("""COMPUTED_VALUE"""),"")</f>
        <v/>
      </c>
    </row>
    <row r="15510">
      <c r="G15510" s="16" t="str">
        <f>IFERROR(__xludf.DUMMYFUNCTION("""COMPUTED_VALUE"""),"")</f>
        <v/>
      </c>
    </row>
    <row r="15511">
      <c r="G15511" s="16" t="str">
        <f>IFERROR(__xludf.DUMMYFUNCTION("""COMPUTED_VALUE"""),"")</f>
        <v/>
      </c>
    </row>
    <row r="15512">
      <c r="G15512" s="16" t="str">
        <f>IFERROR(__xludf.DUMMYFUNCTION("""COMPUTED_VALUE"""),"")</f>
        <v/>
      </c>
    </row>
    <row r="15513">
      <c r="G15513" s="16" t="str">
        <f>IFERROR(__xludf.DUMMYFUNCTION("""COMPUTED_VALUE"""),"")</f>
        <v/>
      </c>
    </row>
    <row r="15514">
      <c r="G15514" s="16" t="str">
        <f>IFERROR(__xludf.DUMMYFUNCTION("""COMPUTED_VALUE"""),"")</f>
        <v/>
      </c>
    </row>
    <row r="15515">
      <c r="G15515" s="16" t="str">
        <f>IFERROR(__xludf.DUMMYFUNCTION("""COMPUTED_VALUE"""),"")</f>
        <v/>
      </c>
    </row>
    <row r="15516">
      <c r="G15516" s="16" t="str">
        <f>IFERROR(__xludf.DUMMYFUNCTION("""COMPUTED_VALUE"""),"")</f>
        <v/>
      </c>
    </row>
    <row r="15517">
      <c r="G15517" s="16" t="str">
        <f>IFERROR(__xludf.DUMMYFUNCTION("""COMPUTED_VALUE"""),"")</f>
        <v/>
      </c>
    </row>
    <row r="15518">
      <c r="G15518" s="16" t="str">
        <f>IFERROR(__xludf.DUMMYFUNCTION("""COMPUTED_VALUE"""),"")</f>
        <v/>
      </c>
    </row>
    <row r="15519">
      <c r="G15519" s="16" t="str">
        <f>IFERROR(__xludf.DUMMYFUNCTION("""COMPUTED_VALUE"""),"")</f>
        <v/>
      </c>
    </row>
    <row r="15520">
      <c r="G15520" s="16" t="str">
        <f>IFERROR(__xludf.DUMMYFUNCTION("""COMPUTED_VALUE"""),"")</f>
        <v/>
      </c>
    </row>
    <row r="15521">
      <c r="G15521" s="16" t="str">
        <f>IFERROR(__xludf.DUMMYFUNCTION("""COMPUTED_VALUE"""),"")</f>
        <v/>
      </c>
    </row>
    <row r="15522">
      <c r="G15522" s="16" t="str">
        <f>IFERROR(__xludf.DUMMYFUNCTION("""COMPUTED_VALUE"""),"")</f>
        <v/>
      </c>
    </row>
    <row r="15523">
      <c r="G15523" s="16" t="str">
        <f>IFERROR(__xludf.DUMMYFUNCTION("""COMPUTED_VALUE"""),"")</f>
        <v/>
      </c>
    </row>
    <row r="15524">
      <c r="G15524" s="16" t="str">
        <f>IFERROR(__xludf.DUMMYFUNCTION("""COMPUTED_VALUE"""),"")</f>
        <v/>
      </c>
    </row>
    <row r="15525">
      <c r="G15525" s="16" t="str">
        <f>IFERROR(__xludf.DUMMYFUNCTION("""COMPUTED_VALUE"""),"")</f>
        <v/>
      </c>
    </row>
    <row r="15526">
      <c r="G15526" s="16" t="str">
        <f>IFERROR(__xludf.DUMMYFUNCTION("""COMPUTED_VALUE"""),"")</f>
        <v/>
      </c>
    </row>
    <row r="15527">
      <c r="G15527" s="16" t="str">
        <f>IFERROR(__xludf.DUMMYFUNCTION("""COMPUTED_VALUE"""),"")</f>
        <v/>
      </c>
    </row>
    <row r="15528">
      <c r="G15528" s="16" t="str">
        <f>IFERROR(__xludf.DUMMYFUNCTION("""COMPUTED_VALUE"""),"")</f>
        <v/>
      </c>
    </row>
    <row r="15529">
      <c r="G15529" s="16" t="str">
        <f>IFERROR(__xludf.DUMMYFUNCTION("""COMPUTED_VALUE"""),"")</f>
        <v/>
      </c>
    </row>
    <row r="15530">
      <c r="G15530" s="16" t="str">
        <f>IFERROR(__xludf.DUMMYFUNCTION("""COMPUTED_VALUE"""),"")</f>
        <v/>
      </c>
    </row>
    <row r="15531">
      <c r="G15531" s="16" t="str">
        <f>IFERROR(__xludf.DUMMYFUNCTION("""COMPUTED_VALUE"""),"")</f>
        <v/>
      </c>
    </row>
    <row r="15532">
      <c r="G15532" s="16" t="str">
        <f>IFERROR(__xludf.DUMMYFUNCTION("""COMPUTED_VALUE"""),"")</f>
        <v/>
      </c>
    </row>
    <row r="15533">
      <c r="G15533" s="16" t="str">
        <f>IFERROR(__xludf.DUMMYFUNCTION("""COMPUTED_VALUE"""),"")</f>
        <v/>
      </c>
    </row>
    <row r="15534">
      <c r="G15534" s="16" t="str">
        <f>IFERROR(__xludf.DUMMYFUNCTION("""COMPUTED_VALUE"""),"")</f>
        <v/>
      </c>
    </row>
    <row r="15535">
      <c r="G15535" s="16" t="str">
        <f>IFERROR(__xludf.DUMMYFUNCTION("""COMPUTED_VALUE"""),"")</f>
        <v/>
      </c>
    </row>
    <row r="15536">
      <c r="G15536" s="16" t="str">
        <f>IFERROR(__xludf.DUMMYFUNCTION("""COMPUTED_VALUE"""),"")</f>
        <v/>
      </c>
    </row>
    <row r="15537">
      <c r="G15537" s="16" t="str">
        <f>IFERROR(__xludf.DUMMYFUNCTION("""COMPUTED_VALUE"""),"")</f>
        <v/>
      </c>
    </row>
    <row r="15538">
      <c r="G15538" s="16" t="str">
        <f>IFERROR(__xludf.DUMMYFUNCTION("""COMPUTED_VALUE"""),"")</f>
        <v/>
      </c>
    </row>
    <row r="15539">
      <c r="G15539" s="16" t="str">
        <f>IFERROR(__xludf.DUMMYFUNCTION("""COMPUTED_VALUE"""),"")</f>
        <v/>
      </c>
    </row>
    <row r="15540">
      <c r="G15540" s="16" t="str">
        <f>IFERROR(__xludf.DUMMYFUNCTION("""COMPUTED_VALUE"""),"")</f>
        <v/>
      </c>
    </row>
    <row r="15541">
      <c r="G15541" s="16" t="str">
        <f>IFERROR(__xludf.DUMMYFUNCTION("""COMPUTED_VALUE"""),"")</f>
        <v/>
      </c>
    </row>
    <row r="15542">
      <c r="G15542" s="16" t="str">
        <f>IFERROR(__xludf.DUMMYFUNCTION("""COMPUTED_VALUE"""),"")</f>
        <v/>
      </c>
    </row>
    <row r="15543">
      <c r="G15543" s="16" t="str">
        <f>IFERROR(__xludf.DUMMYFUNCTION("""COMPUTED_VALUE"""),"")</f>
        <v/>
      </c>
    </row>
    <row r="15544">
      <c r="G15544" s="16" t="str">
        <f>IFERROR(__xludf.DUMMYFUNCTION("""COMPUTED_VALUE"""),"")</f>
        <v/>
      </c>
    </row>
    <row r="15545">
      <c r="G15545" s="16" t="str">
        <f>IFERROR(__xludf.DUMMYFUNCTION("""COMPUTED_VALUE"""),"")</f>
        <v/>
      </c>
    </row>
    <row r="15546">
      <c r="G15546" s="16" t="str">
        <f>IFERROR(__xludf.DUMMYFUNCTION("""COMPUTED_VALUE"""),"")</f>
        <v/>
      </c>
    </row>
    <row r="15547">
      <c r="G15547" s="16" t="str">
        <f>IFERROR(__xludf.DUMMYFUNCTION("""COMPUTED_VALUE"""),"")</f>
        <v/>
      </c>
    </row>
    <row r="15548">
      <c r="G15548" s="16" t="str">
        <f>IFERROR(__xludf.DUMMYFUNCTION("""COMPUTED_VALUE"""),"")</f>
        <v/>
      </c>
    </row>
    <row r="15549">
      <c r="G15549" s="16" t="str">
        <f>IFERROR(__xludf.DUMMYFUNCTION("""COMPUTED_VALUE"""),"")</f>
        <v/>
      </c>
    </row>
    <row r="15550">
      <c r="G15550" s="16" t="str">
        <f>IFERROR(__xludf.DUMMYFUNCTION("""COMPUTED_VALUE"""),"")</f>
        <v/>
      </c>
    </row>
    <row r="15551">
      <c r="G15551" s="16" t="str">
        <f>IFERROR(__xludf.DUMMYFUNCTION("""COMPUTED_VALUE"""),"")</f>
        <v/>
      </c>
    </row>
    <row r="15552">
      <c r="G15552" s="16" t="str">
        <f>IFERROR(__xludf.DUMMYFUNCTION("""COMPUTED_VALUE"""),"")</f>
        <v/>
      </c>
    </row>
    <row r="15553">
      <c r="G15553" s="16" t="str">
        <f>IFERROR(__xludf.DUMMYFUNCTION("""COMPUTED_VALUE"""),"")</f>
        <v/>
      </c>
    </row>
    <row r="15554">
      <c r="G15554" s="16" t="str">
        <f>IFERROR(__xludf.DUMMYFUNCTION("""COMPUTED_VALUE"""),"")</f>
        <v/>
      </c>
    </row>
    <row r="15555">
      <c r="G15555" s="16" t="str">
        <f>IFERROR(__xludf.DUMMYFUNCTION("""COMPUTED_VALUE"""),"")</f>
        <v/>
      </c>
    </row>
    <row r="15556">
      <c r="G15556" s="16" t="str">
        <f>IFERROR(__xludf.DUMMYFUNCTION("""COMPUTED_VALUE"""),"")</f>
        <v/>
      </c>
    </row>
    <row r="15557">
      <c r="G15557" s="16" t="str">
        <f>IFERROR(__xludf.DUMMYFUNCTION("""COMPUTED_VALUE"""),"")</f>
        <v/>
      </c>
    </row>
    <row r="15558">
      <c r="G15558" s="16" t="str">
        <f>IFERROR(__xludf.DUMMYFUNCTION("""COMPUTED_VALUE"""),"")</f>
        <v/>
      </c>
    </row>
    <row r="15559">
      <c r="G15559" s="16" t="str">
        <f>IFERROR(__xludf.DUMMYFUNCTION("""COMPUTED_VALUE"""),"")</f>
        <v/>
      </c>
    </row>
    <row r="15560">
      <c r="G15560" s="16" t="str">
        <f>IFERROR(__xludf.DUMMYFUNCTION("""COMPUTED_VALUE"""),"")</f>
        <v/>
      </c>
    </row>
    <row r="15561">
      <c r="G15561" s="16" t="str">
        <f>IFERROR(__xludf.DUMMYFUNCTION("""COMPUTED_VALUE"""),"")</f>
        <v/>
      </c>
    </row>
    <row r="15562">
      <c r="G15562" s="16" t="str">
        <f>IFERROR(__xludf.DUMMYFUNCTION("""COMPUTED_VALUE"""),"")</f>
        <v/>
      </c>
    </row>
    <row r="15563">
      <c r="G15563" s="16" t="str">
        <f>IFERROR(__xludf.DUMMYFUNCTION("""COMPUTED_VALUE"""),"")</f>
        <v/>
      </c>
    </row>
    <row r="15564">
      <c r="G15564" s="16" t="str">
        <f>IFERROR(__xludf.DUMMYFUNCTION("""COMPUTED_VALUE"""),"")</f>
        <v/>
      </c>
    </row>
    <row r="15565">
      <c r="G15565" s="16" t="str">
        <f>IFERROR(__xludf.DUMMYFUNCTION("""COMPUTED_VALUE"""),"")</f>
        <v/>
      </c>
    </row>
    <row r="15566">
      <c r="G15566" s="16" t="str">
        <f>IFERROR(__xludf.DUMMYFUNCTION("""COMPUTED_VALUE"""),"")</f>
        <v/>
      </c>
    </row>
    <row r="15567">
      <c r="G15567" s="16" t="str">
        <f>IFERROR(__xludf.DUMMYFUNCTION("""COMPUTED_VALUE"""),"")</f>
        <v/>
      </c>
    </row>
    <row r="15568">
      <c r="G15568" s="16" t="str">
        <f>IFERROR(__xludf.DUMMYFUNCTION("""COMPUTED_VALUE"""),"")</f>
        <v/>
      </c>
    </row>
    <row r="15569">
      <c r="G15569" s="16" t="str">
        <f>IFERROR(__xludf.DUMMYFUNCTION("""COMPUTED_VALUE"""),"")</f>
        <v/>
      </c>
    </row>
    <row r="15570">
      <c r="G15570" s="16" t="str">
        <f>IFERROR(__xludf.DUMMYFUNCTION("""COMPUTED_VALUE"""),"")</f>
        <v/>
      </c>
    </row>
    <row r="15571">
      <c r="G15571" s="16" t="str">
        <f>IFERROR(__xludf.DUMMYFUNCTION("""COMPUTED_VALUE"""),"")</f>
        <v/>
      </c>
    </row>
    <row r="15572">
      <c r="G15572" s="16" t="str">
        <f>IFERROR(__xludf.DUMMYFUNCTION("""COMPUTED_VALUE"""),"")</f>
        <v/>
      </c>
    </row>
    <row r="15573">
      <c r="G15573" s="16" t="str">
        <f>IFERROR(__xludf.DUMMYFUNCTION("""COMPUTED_VALUE"""),"")</f>
        <v/>
      </c>
    </row>
    <row r="15574">
      <c r="G15574" s="16" t="str">
        <f>IFERROR(__xludf.DUMMYFUNCTION("""COMPUTED_VALUE"""),"")</f>
        <v/>
      </c>
    </row>
    <row r="15575">
      <c r="G15575" s="16" t="str">
        <f>IFERROR(__xludf.DUMMYFUNCTION("""COMPUTED_VALUE"""),"")</f>
        <v/>
      </c>
    </row>
    <row r="15576">
      <c r="G15576" s="16" t="str">
        <f>IFERROR(__xludf.DUMMYFUNCTION("""COMPUTED_VALUE"""),"")</f>
        <v/>
      </c>
    </row>
    <row r="15577">
      <c r="G15577" s="16" t="str">
        <f>IFERROR(__xludf.DUMMYFUNCTION("""COMPUTED_VALUE"""),"")</f>
        <v/>
      </c>
    </row>
    <row r="15578">
      <c r="G15578" s="16" t="str">
        <f>IFERROR(__xludf.DUMMYFUNCTION("""COMPUTED_VALUE"""),"")</f>
        <v/>
      </c>
    </row>
    <row r="15579">
      <c r="G15579" s="16" t="str">
        <f>IFERROR(__xludf.DUMMYFUNCTION("""COMPUTED_VALUE"""),"")</f>
        <v/>
      </c>
    </row>
    <row r="15580">
      <c r="G15580" s="16" t="str">
        <f>IFERROR(__xludf.DUMMYFUNCTION("""COMPUTED_VALUE"""),"")</f>
        <v/>
      </c>
    </row>
    <row r="15581">
      <c r="G15581" s="16" t="str">
        <f>IFERROR(__xludf.DUMMYFUNCTION("""COMPUTED_VALUE"""),"")</f>
        <v/>
      </c>
    </row>
    <row r="15582">
      <c r="G15582" s="16" t="str">
        <f>IFERROR(__xludf.DUMMYFUNCTION("""COMPUTED_VALUE"""),"")</f>
        <v/>
      </c>
    </row>
    <row r="15583">
      <c r="G15583" s="16" t="str">
        <f>IFERROR(__xludf.DUMMYFUNCTION("""COMPUTED_VALUE"""),"")</f>
        <v/>
      </c>
    </row>
    <row r="15584">
      <c r="G15584" s="16" t="str">
        <f>IFERROR(__xludf.DUMMYFUNCTION("""COMPUTED_VALUE"""),"")</f>
        <v/>
      </c>
    </row>
    <row r="15585">
      <c r="G15585" s="16" t="str">
        <f>IFERROR(__xludf.DUMMYFUNCTION("""COMPUTED_VALUE"""),"")</f>
        <v/>
      </c>
    </row>
    <row r="15586">
      <c r="G15586" s="16" t="str">
        <f>IFERROR(__xludf.DUMMYFUNCTION("""COMPUTED_VALUE"""),"")</f>
        <v/>
      </c>
    </row>
    <row r="15587">
      <c r="G15587" s="16" t="str">
        <f>IFERROR(__xludf.DUMMYFUNCTION("""COMPUTED_VALUE"""),"")</f>
        <v/>
      </c>
    </row>
    <row r="15588">
      <c r="G15588" s="16" t="str">
        <f>IFERROR(__xludf.DUMMYFUNCTION("""COMPUTED_VALUE"""),"")</f>
        <v/>
      </c>
    </row>
    <row r="15589">
      <c r="G15589" s="16" t="str">
        <f>IFERROR(__xludf.DUMMYFUNCTION("""COMPUTED_VALUE"""),"")</f>
        <v/>
      </c>
    </row>
    <row r="15590">
      <c r="G15590" s="16" t="str">
        <f>IFERROR(__xludf.DUMMYFUNCTION("""COMPUTED_VALUE"""),"")</f>
        <v/>
      </c>
    </row>
    <row r="15591">
      <c r="G15591" s="16" t="str">
        <f>IFERROR(__xludf.DUMMYFUNCTION("""COMPUTED_VALUE"""),"")</f>
        <v/>
      </c>
    </row>
    <row r="15592">
      <c r="G15592" s="16" t="str">
        <f>IFERROR(__xludf.DUMMYFUNCTION("""COMPUTED_VALUE"""),"")</f>
        <v/>
      </c>
    </row>
    <row r="15593">
      <c r="G15593" s="16" t="str">
        <f>IFERROR(__xludf.DUMMYFUNCTION("""COMPUTED_VALUE"""),"")</f>
        <v/>
      </c>
    </row>
    <row r="15594">
      <c r="G15594" s="16" t="str">
        <f>IFERROR(__xludf.DUMMYFUNCTION("""COMPUTED_VALUE"""),"")</f>
        <v/>
      </c>
    </row>
    <row r="15595">
      <c r="G15595" s="16" t="str">
        <f>IFERROR(__xludf.DUMMYFUNCTION("""COMPUTED_VALUE"""),"")</f>
        <v/>
      </c>
    </row>
    <row r="15596">
      <c r="G15596" s="16" t="str">
        <f>IFERROR(__xludf.DUMMYFUNCTION("""COMPUTED_VALUE"""),"")</f>
        <v/>
      </c>
    </row>
    <row r="15597">
      <c r="G15597" s="16" t="str">
        <f>IFERROR(__xludf.DUMMYFUNCTION("""COMPUTED_VALUE"""),"")</f>
        <v/>
      </c>
    </row>
    <row r="15598">
      <c r="G15598" s="16" t="str">
        <f>IFERROR(__xludf.DUMMYFUNCTION("""COMPUTED_VALUE"""),"")</f>
        <v/>
      </c>
    </row>
    <row r="15599">
      <c r="G15599" s="16" t="str">
        <f>IFERROR(__xludf.DUMMYFUNCTION("""COMPUTED_VALUE"""),"")</f>
        <v/>
      </c>
    </row>
    <row r="15600">
      <c r="G15600" s="16" t="str">
        <f>IFERROR(__xludf.DUMMYFUNCTION("""COMPUTED_VALUE"""),"")</f>
        <v/>
      </c>
    </row>
    <row r="15601">
      <c r="G15601" s="16" t="str">
        <f>IFERROR(__xludf.DUMMYFUNCTION("""COMPUTED_VALUE"""),"")</f>
        <v/>
      </c>
    </row>
    <row r="15602">
      <c r="G15602" s="16" t="str">
        <f>IFERROR(__xludf.DUMMYFUNCTION("""COMPUTED_VALUE"""),"")</f>
        <v/>
      </c>
    </row>
    <row r="15603">
      <c r="G15603" s="16" t="str">
        <f>IFERROR(__xludf.DUMMYFUNCTION("""COMPUTED_VALUE"""),"")</f>
        <v/>
      </c>
    </row>
    <row r="15604">
      <c r="G15604" s="16" t="str">
        <f>IFERROR(__xludf.DUMMYFUNCTION("""COMPUTED_VALUE"""),"")</f>
        <v/>
      </c>
    </row>
    <row r="15605">
      <c r="G15605" s="16" t="str">
        <f>IFERROR(__xludf.DUMMYFUNCTION("""COMPUTED_VALUE"""),"")</f>
        <v/>
      </c>
    </row>
    <row r="15606">
      <c r="G15606" s="16" t="str">
        <f>IFERROR(__xludf.DUMMYFUNCTION("""COMPUTED_VALUE"""),"")</f>
        <v/>
      </c>
    </row>
    <row r="15607">
      <c r="G15607" s="16" t="str">
        <f>IFERROR(__xludf.DUMMYFUNCTION("""COMPUTED_VALUE"""),"")</f>
        <v/>
      </c>
    </row>
    <row r="15608">
      <c r="G15608" s="16" t="str">
        <f>IFERROR(__xludf.DUMMYFUNCTION("""COMPUTED_VALUE"""),"")</f>
        <v/>
      </c>
    </row>
    <row r="15609">
      <c r="G15609" s="16" t="str">
        <f>IFERROR(__xludf.DUMMYFUNCTION("""COMPUTED_VALUE"""),"")</f>
        <v/>
      </c>
    </row>
    <row r="15610">
      <c r="G15610" s="16" t="str">
        <f>IFERROR(__xludf.DUMMYFUNCTION("""COMPUTED_VALUE"""),"")</f>
        <v/>
      </c>
    </row>
    <row r="15611">
      <c r="G15611" s="16" t="str">
        <f>IFERROR(__xludf.DUMMYFUNCTION("""COMPUTED_VALUE"""),"")</f>
        <v/>
      </c>
    </row>
    <row r="15612">
      <c r="G15612" s="16" t="str">
        <f>IFERROR(__xludf.DUMMYFUNCTION("""COMPUTED_VALUE"""),"")</f>
        <v/>
      </c>
    </row>
    <row r="15613">
      <c r="G15613" s="16" t="str">
        <f>IFERROR(__xludf.DUMMYFUNCTION("""COMPUTED_VALUE"""),"")</f>
        <v/>
      </c>
    </row>
    <row r="15614">
      <c r="G15614" s="16" t="str">
        <f>IFERROR(__xludf.DUMMYFUNCTION("""COMPUTED_VALUE"""),"")</f>
        <v/>
      </c>
    </row>
    <row r="15615">
      <c r="G15615" s="16" t="str">
        <f>IFERROR(__xludf.DUMMYFUNCTION("""COMPUTED_VALUE"""),"")</f>
        <v/>
      </c>
    </row>
    <row r="15616">
      <c r="G15616" s="16" t="str">
        <f>IFERROR(__xludf.DUMMYFUNCTION("""COMPUTED_VALUE"""),"")</f>
        <v/>
      </c>
    </row>
    <row r="15617">
      <c r="G15617" s="16" t="str">
        <f>IFERROR(__xludf.DUMMYFUNCTION("""COMPUTED_VALUE"""),"")</f>
        <v/>
      </c>
    </row>
    <row r="15618">
      <c r="G15618" s="16" t="str">
        <f>IFERROR(__xludf.DUMMYFUNCTION("""COMPUTED_VALUE"""),"")</f>
        <v/>
      </c>
    </row>
    <row r="15619">
      <c r="G15619" s="16" t="str">
        <f>IFERROR(__xludf.DUMMYFUNCTION("""COMPUTED_VALUE"""),"")</f>
        <v/>
      </c>
    </row>
    <row r="15620">
      <c r="G15620" s="16" t="str">
        <f>IFERROR(__xludf.DUMMYFUNCTION("""COMPUTED_VALUE"""),"")</f>
        <v/>
      </c>
    </row>
    <row r="15621">
      <c r="G15621" s="16" t="str">
        <f>IFERROR(__xludf.DUMMYFUNCTION("""COMPUTED_VALUE"""),"")</f>
        <v/>
      </c>
    </row>
    <row r="15622">
      <c r="G15622" s="16" t="str">
        <f>IFERROR(__xludf.DUMMYFUNCTION("""COMPUTED_VALUE"""),"")</f>
        <v/>
      </c>
    </row>
    <row r="15623">
      <c r="G15623" s="16" t="str">
        <f>IFERROR(__xludf.DUMMYFUNCTION("""COMPUTED_VALUE"""),"")</f>
        <v/>
      </c>
    </row>
    <row r="15624">
      <c r="G15624" s="16" t="str">
        <f>IFERROR(__xludf.DUMMYFUNCTION("""COMPUTED_VALUE"""),"")</f>
        <v/>
      </c>
    </row>
    <row r="15625">
      <c r="G15625" s="16" t="str">
        <f>IFERROR(__xludf.DUMMYFUNCTION("""COMPUTED_VALUE"""),"")</f>
        <v/>
      </c>
    </row>
    <row r="15626">
      <c r="G15626" s="16" t="str">
        <f>IFERROR(__xludf.DUMMYFUNCTION("""COMPUTED_VALUE"""),"")</f>
        <v/>
      </c>
    </row>
    <row r="15627">
      <c r="G15627" s="16" t="str">
        <f>IFERROR(__xludf.DUMMYFUNCTION("""COMPUTED_VALUE"""),"")</f>
        <v/>
      </c>
    </row>
    <row r="15628">
      <c r="G15628" s="16" t="str">
        <f>IFERROR(__xludf.DUMMYFUNCTION("""COMPUTED_VALUE"""),"")</f>
        <v/>
      </c>
    </row>
    <row r="15629">
      <c r="G15629" s="16" t="str">
        <f>IFERROR(__xludf.DUMMYFUNCTION("""COMPUTED_VALUE"""),"")</f>
        <v/>
      </c>
    </row>
    <row r="15630">
      <c r="G15630" s="16" t="str">
        <f>IFERROR(__xludf.DUMMYFUNCTION("""COMPUTED_VALUE"""),"")</f>
        <v/>
      </c>
    </row>
    <row r="15631">
      <c r="G15631" s="16" t="str">
        <f>IFERROR(__xludf.DUMMYFUNCTION("""COMPUTED_VALUE"""),"")</f>
        <v/>
      </c>
    </row>
    <row r="15632">
      <c r="G15632" s="16" t="str">
        <f>IFERROR(__xludf.DUMMYFUNCTION("""COMPUTED_VALUE"""),"")</f>
        <v/>
      </c>
    </row>
    <row r="15633">
      <c r="G15633" s="16" t="str">
        <f>IFERROR(__xludf.DUMMYFUNCTION("""COMPUTED_VALUE"""),"")</f>
        <v/>
      </c>
    </row>
    <row r="15634">
      <c r="G15634" s="16" t="str">
        <f>IFERROR(__xludf.DUMMYFUNCTION("""COMPUTED_VALUE"""),"")</f>
        <v/>
      </c>
    </row>
    <row r="15635">
      <c r="G15635" s="16" t="str">
        <f>IFERROR(__xludf.DUMMYFUNCTION("""COMPUTED_VALUE"""),"")</f>
        <v/>
      </c>
    </row>
    <row r="15636">
      <c r="G15636" s="16" t="str">
        <f>IFERROR(__xludf.DUMMYFUNCTION("""COMPUTED_VALUE"""),"")</f>
        <v/>
      </c>
    </row>
    <row r="15637">
      <c r="G15637" s="16" t="str">
        <f>IFERROR(__xludf.DUMMYFUNCTION("""COMPUTED_VALUE"""),"")</f>
        <v/>
      </c>
    </row>
    <row r="15638">
      <c r="G15638" s="16" t="str">
        <f>IFERROR(__xludf.DUMMYFUNCTION("""COMPUTED_VALUE"""),"")</f>
        <v/>
      </c>
    </row>
    <row r="15639">
      <c r="G15639" s="16" t="str">
        <f>IFERROR(__xludf.DUMMYFUNCTION("""COMPUTED_VALUE"""),"")</f>
        <v/>
      </c>
    </row>
    <row r="15640">
      <c r="G15640" s="16" t="str">
        <f>IFERROR(__xludf.DUMMYFUNCTION("""COMPUTED_VALUE"""),"")</f>
        <v/>
      </c>
    </row>
    <row r="15641">
      <c r="G15641" s="16" t="str">
        <f>IFERROR(__xludf.DUMMYFUNCTION("""COMPUTED_VALUE"""),"")</f>
        <v/>
      </c>
    </row>
    <row r="15642">
      <c r="G15642" s="16" t="str">
        <f>IFERROR(__xludf.DUMMYFUNCTION("""COMPUTED_VALUE"""),"")</f>
        <v/>
      </c>
    </row>
    <row r="15643">
      <c r="G15643" s="16" t="str">
        <f>IFERROR(__xludf.DUMMYFUNCTION("""COMPUTED_VALUE"""),"")</f>
        <v/>
      </c>
    </row>
    <row r="15644">
      <c r="G15644" s="16" t="str">
        <f>IFERROR(__xludf.DUMMYFUNCTION("""COMPUTED_VALUE"""),"")</f>
        <v/>
      </c>
    </row>
    <row r="15645">
      <c r="G15645" s="16" t="str">
        <f>IFERROR(__xludf.DUMMYFUNCTION("""COMPUTED_VALUE"""),"")</f>
        <v/>
      </c>
    </row>
    <row r="15646">
      <c r="G15646" s="16" t="str">
        <f>IFERROR(__xludf.DUMMYFUNCTION("""COMPUTED_VALUE"""),"")</f>
        <v/>
      </c>
    </row>
    <row r="15647">
      <c r="G15647" s="16" t="str">
        <f>IFERROR(__xludf.DUMMYFUNCTION("""COMPUTED_VALUE"""),"")</f>
        <v/>
      </c>
    </row>
    <row r="15648">
      <c r="G15648" s="16" t="str">
        <f>IFERROR(__xludf.DUMMYFUNCTION("""COMPUTED_VALUE"""),"")</f>
        <v/>
      </c>
    </row>
    <row r="15649">
      <c r="G15649" s="16" t="str">
        <f>IFERROR(__xludf.DUMMYFUNCTION("""COMPUTED_VALUE"""),"")</f>
        <v/>
      </c>
    </row>
    <row r="15650">
      <c r="G15650" s="16" t="str">
        <f>IFERROR(__xludf.DUMMYFUNCTION("""COMPUTED_VALUE"""),"")</f>
        <v/>
      </c>
    </row>
    <row r="15651">
      <c r="G15651" s="16" t="str">
        <f>IFERROR(__xludf.DUMMYFUNCTION("""COMPUTED_VALUE"""),"")</f>
        <v/>
      </c>
    </row>
    <row r="15652">
      <c r="G15652" s="16" t="str">
        <f>IFERROR(__xludf.DUMMYFUNCTION("""COMPUTED_VALUE"""),"")</f>
        <v/>
      </c>
    </row>
    <row r="15653">
      <c r="G15653" s="16" t="str">
        <f>IFERROR(__xludf.DUMMYFUNCTION("""COMPUTED_VALUE"""),"")</f>
        <v/>
      </c>
    </row>
    <row r="15654">
      <c r="G15654" s="16" t="str">
        <f>IFERROR(__xludf.DUMMYFUNCTION("""COMPUTED_VALUE"""),"")</f>
        <v/>
      </c>
    </row>
    <row r="15655">
      <c r="G15655" s="16" t="str">
        <f>IFERROR(__xludf.DUMMYFUNCTION("""COMPUTED_VALUE"""),"")</f>
        <v/>
      </c>
    </row>
    <row r="15656">
      <c r="G15656" s="16" t="str">
        <f>IFERROR(__xludf.DUMMYFUNCTION("""COMPUTED_VALUE"""),"")</f>
        <v/>
      </c>
    </row>
    <row r="15657">
      <c r="G15657" s="16" t="str">
        <f>IFERROR(__xludf.DUMMYFUNCTION("""COMPUTED_VALUE"""),"")</f>
        <v/>
      </c>
    </row>
    <row r="15658">
      <c r="G15658" s="16" t="str">
        <f>IFERROR(__xludf.DUMMYFUNCTION("""COMPUTED_VALUE"""),"")</f>
        <v/>
      </c>
    </row>
    <row r="15659">
      <c r="G15659" s="16" t="str">
        <f>IFERROR(__xludf.DUMMYFUNCTION("""COMPUTED_VALUE"""),"")</f>
        <v/>
      </c>
    </row>
    <row r="15660">
      <c r="G15660" s="16" t="str">
        <f>IFERROR(__xludf.DUMMYFUNCTION("""COMPUTED_VALUE"""),"")</f>
        <v/>
      </c>
    </row>
    <row r="15661">
      <c r="G15661" s="16" t="str">
        <f>IFERROR(__xludf.DUMMYFUNCTION("""COMPUTED_VALUE"""),"")</f>
        <v/>
      </c>
    </row>
    <row r="15662">
      <c r="G15662" s="16" t="str">
        <f>IFERROR(__xludf.DUMMYFUNCTION("""COMPUTED_VALUE"""),"")</f>
        <v/>
      </c>
    </row>
    <row r="15663">
      <c r="G15663" s="16" t="str">
        <f>IFERROR(__xludf.DUMMYFUNCTION("""COMPUTED_VALUE"""),"")</f>
        <v/>
      </c>
    </row>
    <row r="15664">
      <c r="G15664" s="16" t="str">
        <f>IFERROR(__xludf.DUMMYFUNCTION("""COMPUTED_VALUE"""),"")</f>
        <v/>
      </c>
    </row>
    <row r="15665">
      <c r="G15665" s="16" t="str">
        <f>IFERROR(__xludf.DUMMYFUNCTION("""COMPUTED_VALUE"""),"")</f>
        <v/>
      </c>
    </row>
    <row r="15666">
      <c r="G15666" s="16" t="str">
        <f>IFERROR(__xludf.DUMMYFUNCTION("""COMPUTED_VALUE"""),"")</f>
        <v/>
      </c>
    </row>
    <row r="15667">
      <c r="G15667" s="16" t="str">
        <f>IFERROR(__xludf.DUMMYFUNCTION("""COMPUTED_VALUE"""),"")</f>
        <v/>
      </c>
    </row>
    <row r="15668">
      <c r="G15668" s="16" t="str">
        <f>IFERROR(__xludf.DUMMYFUNCTION("""COMPUTED_VALUE"""),"")</f>
        <v/>
      </c>
    </row>
    <row r="15669">
      <c r="G15669" s="16" t="str">
        <f>IFERROR(__xludf.DUMMYFUNCTION("""COMPUTED_VALUE"""),"")</f>
        <v/>
      </c>
    </row>
    <row r="15670">
      <c r="G15670" s="16" t="str">
        <f>IFERROR(__xludf.DUMMYFUNCTION("""COMPUTED_VALUE"""),"")</f>
        <v/>
      </c>
    </row>
    <row r="15671">
      <c r="G15671" s="16" t="str">
        <f>IFERROR(__xludf.DUMMYFUNCTION("""COMPUTED_VALUE"""),"")</f>
        <v/>
      </c>
    </row>
    <row r="15672">
      <c r="G15672" s="16" t="str">
        <f>IFERROR(__xludf.DUMMYFUNCTION("""COMPUTED_VALUE"""),"")</f>
        <v/>
      </c>
    </row>
    <row r="15673">
      <c r="G15673" s="16" t="str">
        <f>IFERROR(__xludf.DUMMYFUNCTION("""COMPUTED_VALUE"""),"")</f>
        <v/>
      </c>
    </row>
    <row r="15674">
      <c r="G15674" s="16" t="str">
        <f>IFERROR(__xludf.DUMMYFUNCTION("""COMPUTED_VALUE"""),"")</f>
        <v/>
      </c>
    </row>
    <row r="15675">
      <c r="G15675" s="16" t="str">
        <f>IFERROR(__xludf.DUMMYFUNCTION("""COMPUTED_VALUE"""),"")</f>
        <v/>
      </c>
    </row>
    <row r="15676">
      <c r="G15676" s="16" t="str">
        <f>IFERROR(__xludf.DUMMYFUNCTION("""COMPUTED_VALUE"""),"")</f>
        <v/>
      </c>
    </row>
    <row r="15677">
      <c r="G15677" s="16" t="str">
        <f>IFERROR(__xludf.DUMMYFUNCTION("""COMPUTED_VALUE"""),"")</f>
        <v/>
      </c>
    </row>
    <row r="15678">
      <c r="G15678" s="16" t="str">
        <f>IFERROR(__xludf.DUMMYFUNCTION("""COMPUTED_VALUE"""),"")</f>
        <v/>
      </c>
    </row>
    <row r="15679">
      <c r="G15679" s="16" t="str">
        <f>IFERROR(__xludf.DUMMYFUNCTION("""COMPUTED_VALUE"""),"")</f>
        <v/>
      </c>
    </row>
    <row r="15680">
      <c r="G15680" s="16" t="str">
        <f>IFERROR(__xludf.DUMMYFUNCTION("""COMPUTED_VALUE"""),"")</f>
        <v/>
      </c>
    </row>
    <row r="15681">
      <c r="G15681" s="16" t="str">
        <f>IFERROR(__xludf.DUMMYFUNCTION("""COMPUTED_VALUE"""),"")</f>
        <v/>
      </c>
    </row>
    <row r="15682">
      <c r="G15682" s="16" t="str">
        <f>IFERROR(__xludf.DUMMYFUNCTION("""COMPUTED_VALUE"""),"")</f>
        <v/>
      </c>
    </row>
    <row r="15683">
      <c r="G15683" s="16" t="str">
        <f>IFERROR(__xludf.DUMMYFUNCTION("""COMPUTED_VALUE"""),"")</f>
        <v/>
      </c>
    </row>
    <row r="15684">
      <c r="G15684" s="16" t="str">
        <f>IFERROR(__xludf.DUMMYFUNCTION("""COMPUTED_VALUE"""),"")</f>
        <v/>
      </c>
    </row>
    <row r="15685">
      <c r="G15685" s="16" t="str">
        <f>IFERROR(__xludf.DUMMYFUNCTION("""COMPUTED_VALUE"""),"")</f>
        <v/>
      </c>
    </row>
    <row r="15686">
      <c r="G15686" s="16" t="str">
        <f>IFERROR(__xludf.DUMMYFUNCTION("""COMPUTED_VALUE"""),"")</f>
        <v/>
      </c>
    </row>
    <row r="15687">
      <c r="G15687" s="16" t="str">
        <f>IFERROR(__xludf.DUMMYFUNCTION("""COMPUTED_VALUE"""),"")</f>
        <v/>
      </c>
    </row>
    <row r="15688">
      <c r="G15688" s="16" t="str">
        <f>IFERROR(__xludf.DUMMYFUNCTION("""COMPUTED_VALUE"""),"")</f>
        <v/>
      </c>
    </row>
    <row r="15689">
      <c r="G15689" s="16" t="str">
        <f>IFERROR(__xludf.DUMMYFUNCTION("""COMPUTED_VALUE"""),"")</f>
        <v/>
      </c>
    </row>
    <row r="15690">
      <c r="G15690" s="16" t="str">
        <f>IFERROR(__xludf.DUMMYFUNCTION("""COMPUTED_VALUE"""),"")</f>
        <v/>
      </c>
    </row>
    <row r="15691">
      <c r="G15691" s="16" t="str">
        <f>IFERROR(__xludf.DUMMYFUNCTION("""COMPUTED_VALUE"""),"")</f>
        <v/>
      </c>
    </row>
    <row r="15692">
      <c r="G15692" s="16" t="str">
        <f>IFERROR(__xludf.DUMMYFUNCTION("""COMPUTED_VALUE"""),"")</f>
        <v/>
      </c>
    </row>
    <row r="15693">
      <c r="G15693" s="16" t="str">
        <f>IFERROR(__xludf.DUMMYFUNCTION("""COMPUTED_VALUE"""),"")</f>
        <v/>
      </c>
    </row>
    <row r="15694">
      <c r="G15694" s="16" t="str">
        <f>IFERROR(__xludf.DUMMYFUNCTION("""COMPUTED_VALUE"""),"")</f>
        <v/>
      </c>
    </row>
    <row r="15695">
      <c r="G15695" s="16" t="str">
        <f>IFERROR(__xludf.DUMMYFUNCTION("""COMPUTED_VALUE"""),"")</f>
        <v/>
      </c>
    </row>
    <row r="15696">
      <c r="G15696" s="16" t="str">
        <f>IFERROR(__xludf.DUMMYFUNCTION("""COMPUTED_VALUE"""),"")</f>
        <v/>
      </c>
    </row>
    <row r="15697">
      <c r="G15697" s="16" t="str">
        <f>IFERROR(__xludf.DUMMYFUNCTION("""COMPUTED_VALUE"""),"")</f>
        <v/>
      </c>
    </row>
    <row r="15698">
      <c r="G15698" s="16" t="str">
        <f>IFERROR(__xludf.DUMMYFUNCTION("""COMPUTED_VALUE"""),"")</f>
        <v/>
      </c>
    </row>
    <row r="15699">
      <c r="G15699" s="16" t="str">
        <f>IFERROR(__xludf.DUMMYFUNCTION("""COMPUTED_VALUE"""),"")</f>
        <v/>
      </c>
    </row>
    <row r="15700">
      <c r="G15700" s="16" t="str">
        <f>IFERROR(__xludf.DUMMYFUNCTION("""COMPUTED_VALUE"""),"")</f>
        <v/>
      </c>
    </row>
    <row r="15701">
      <c r="G15701" s="16" t="str">
        <f>IFERROR(__xludf.DUMMYFUNCTION("""COMPUTED_VALUE"""),"")</f>
        <v/>
      </c>
    </row>
    <row r="15702">
      <c r="G15702" s="16" t="str">
        <f>IFERROR(__xludf.DUMMYFUNCTION("""COMPUTED_VALUE"""),"")</f>
        <v/>
      </c>
    </row>
    <row r="15703">
      <c r="G15703" s="16" t="str">
        <f>IFERROR(__xludf.DUMMYFUNCTION("""COMPUTED_VALUE"""),"")</f>
        <v/>
      </c>
    </row>
    <row r="15704">
      <c r="G15704" s="16" t="str">
        <f>IFERROR(__xludf.DUMMYFUNCTION("""COMPUTED_VALUE"""),"")</f>
        <v/>
      </c>
    </row>
    <row r="15705">
      <c r="G15705" s="16" t="str">
        <f>IFERROR(__xludf.DUMMYFUNCTION("""COMPUTED_VALUE"""),"")</f>
        <v/>
      </c>
    </row>
    <row r="15706">
      <c r="G15706" s="16" t="str">
        <f>IFERROR(__xludf.DUMMYFUNCTION("""COMPUTED_VALUE"""),"")</f>
        <v/>
      </c>
    </row>
    <row r="15707">
      <c r="G15707" s="16" t="str">
        <f>IFERROR(__xludf.DUMMYFUNCTION("""COMPUTED_VALUE"""),"")</f>
        <v/>
      </c>
    </row>
    <row r="15708">
      <c r="G15708" s="16" t="str">
        <f>IFERROR(__xludf.DUMMYFUNCTION("""COMPUTED_VALUE"""),"")</f>
        <v/>
      </c>
    </row>
    <row r="15709">
      <c r="G15709" s="16" t="str">
        <f>IFERROR(__xludf.DUMMYFUNCTION("""COMPUTED_VALUE"""),"")</f>
        <v/>
      </c>
    </row>
    <row r="15710">
      <c r="G15710" s="16" t="str">
        <f>IFERROR(__xludf.DUMMYFUNCTION("""COMPUTED_VALUE"""),"")</f>
        <v/>
      </c>
    </row>
    <row r="15711">
      <c r="G15711" s="16" t="str">
        <f>IFERROR(__xludf.DUMMYFUNCTION("""COMPUTED_VALUE"""),"")</f>
        <v/>
      </c>
    </row>
    <row r="15712">
      <c r="G15712" s="16" t="str">
        <f>IFERROR(__xludf.DUMMYFUNCTION("""COMPUTED_VALUE"""),"")</f>
        <v/>
      </c>
    </row>
    <row r="15713">
      <c r="G15713" s="16" t="str">
        <f>IFERROR(__xludf.DUMMYFUNCTION("""COMPUTED_VALUE"""),"")</f>
        <v/>
      </c>
    </row>
    <row r="15714">
      <c r="G15714" s="16" t="str">
        <f>IFERROR(__xludf.DUMMYFUNCTION("""COMPUTED_VALUE"""),"")</f>
        <v/>
      </c>
    </row>
    <row r="15715">
      <c r="G15715" s="16" t="str">
        <f>IFERROR(__xludf.DUMMYFUNCTION("""COMPUTED_VALUE"""),"")</f>
        <v/>
      </c>
    </row>
    <row r="15716">
      <c r="G15716" s="16" t="str">
        <f>IFERROR(__xludf.DUMMYFUNCTION("""COMPUTED_VALUE"""),"")</f>
        <v/>
      </c>
    </row>
    <row r="15717">
      <c r="G15717" s="16" t="str">
        <f>IFERROR(__xludf.DUMMYFUNCTION("""COMPUTED_VALUE"""),"")</f>
        <v/>
      </c>
    </row>
    <row r="15718">
      <c r="G15718" s="16" t="str">
        <f>IFERROR(__xludf.DUMMYFUNCTION("""COMPUTED_VALUE"""),"")</f>
        <v/>
      </c>
    </row>
    <row r="15719">
      <c r="G15719" s="16" t="str">
        <f>IFERROR(__xludf.DUMMYFUNCTION("""COMPUTED_VALUE"""),"")</f>
        <v/>
      </c>
    </row>
    <row r="15720">
      <c r="G15720" s="16" t="str">
        <f>IFERROR(__xludf.DUMMYFUNCTION("""COMPUTED_VALUE"""),"")</f>
        <v/>
      </c>
    </row>
    <row r="15721">
      <c r="G15721" s="16" t="str">
        <f>IFERROR(__xludf.DUMMYFUNCTION("""COMPUTED_VALUE"""),"")</f>
        <v/>
      </c>
    </row>
    <row r="15722">
      <c r="G15722" s="16" t="str">
        <f>IFERROR(__xludf.DUMMYFUNCTION("""COMPUTED_VALUE"""),"")</f>
        <v/>
      </c>
    </row>
    <row r="15723">
      <c r="G15723" s="16" t="str">
        <f>IFERROR(__xludf.DUMMYFUNCTION("""COMPUTED_VALUE"""),"")</f>
        <v/>
      </c>
    </row>
    <row r="15724">
      <c r="G15724" s="16" t="str">
        <f>IFERROR(__xludf.DUMMYFUNCTION("""COMPUTED_VALUE"""),"")</f>
        <v/>
      </c>
    </row>
    <row r="15725">
      <c r="G15725" s="16" t="str">
        <f>IFERROR(__xludf.DUMMYFUNCTION("""COMPUTED_VALUE"""),"")</f>
        <v/>
      </c>
    </row>
    <row r="15726">
      <c r="G15726" s="16" t="str">
        <f>IFERROR(__xludf.DUMMYFUNCTION("""COMPUTED_VALUE"""),"")</f>
        <v/>
      </c>
    </row>
    <row r="15727">
      <c r="G15727" s="16" t="str">
        <f>IFERROR(__xludf.DUMMYFUNCTION("""COMPUTED_VALUE"""),"")</f>
        <v/>
      </c>
    </row>
    <row r="15728">
      <c r="G15728" s="16" t="str">
        <f>IFERROR(__xludf.DUMMYFUNCTION("""COMPUTED_VALUE"""),"")</f>
        <v/>
      </c>
    </row>
    <row r="15729">
      <c r="G15729" s="16" t="str">
        <f>IFERROR(__xludf.DUMMYFUNCTION("""COMPUTED_VALUE"""),"")</f>
        <v/>
      </c>
    </row>
    <row r="15730">
      <c r="G15730" s="16" t="str">
        <f>IFERROR(__xludf.DUMMYFUNCTION("""COMPUTED_VALUE"""),"")</f>
        <v/>
      </c>
    </row>
    <row r="15731">
      <c r="G15731" s="16" t="str">
        <f>IFERROR(__xludf.DUMMYFUNCTION("""COMPUTED_VALUE"""),"")</f>
        <v/>
      </c>
    </row>
    <row r="15732">
      <c r="G15732" s="16" t="str">
        <f>IFERROR(__xludf.DUMMYFUNCTION("""COMPUTED_VALUE"""),"")</f>
        <v/>
      </c>
    </row>
    <row r="15733">
      <c r="G15733" s="16" t="str">
        <f>IFERROR(__xludf.DUMMYFUNCTION("""COMPUTED_VALUE"""),"")</f>
        <v/>
      </c>
    </row>
    <row r="15734">
      <c r="G15734" s="16" t="str">
        <f>IFERROR(__xludf.DUMMYFUNCTION("""COMPUTED_VALUE"""),"")</f>
        <v/>
      </c>
    </row>
    <row r="15735">
      <c r="G15735" s="16" t="str">
        <f>IFERROR(__xludf.DUMMYFUNCTION("""COMPUTED_VALUE"""),"")</f>
        <v/>
      </c>
    </row>
    <row r="15736">
      <c r="G15736" s="16" t="str">
        <f>IFERROR(__xludf.DUMMYFUNCTION("""COMPUTED_VALUE"""),"")</f>
        <v/>
      </c>
    </row>
    <row r="15737">
      <c r="G15737" s="16" t="str">
        <f>IFERROR(__xludf.DUMMYFUNCTION("""COMPUTED_VALUE"""),"")</f>
        <v/>
      </c>
    </row>
    <row r="15738">
      <c r="G15738" s="16" t="str">
        <f>IFERROR(__xludf.DUMMYFUNCTION("""COMPUTED_VALUE"""),"")</f>
        <v/>
      </c>
    </row>
    <row r="15739">
      <c r="G15739" s="16" t="str">
        <f>IFERROR(__xludf.DUMMYFUNCTION("""COMPUTED_VALUE"""),"")</f>
        <v/>
      </c>
    </row>
    <row r="15740">
      <c r="G15740" s="16" t="str">
        <f>IFERROR(__xludf.DUMMYFUNCTION("""COMPUTED_VALUE"""),"")</f>
        <v/>
      </c>
    </row>
    <row r="15741">
      <c r="G15741" s="16" t="str">
        <f>IFERROR(__xludf.DUMMYFUNCTION("""COMPUTED_VALUE"""),"")</f>
        <v/>
      </c>
    </row>
    <row r="15742">
      <c r="G15742" s="16" t="str">
        <f>IFERROR(__xludf.DUMMYFUNCTION("""COMPUTED_VALUE"""),"")</f>
        <v/>
      </c>
    </row>
    <row r="15743">
      <c r="G15743" s="16" t="str">
        <f>IFERROR(__xludf.DUMMYFUNCTION("""COMPUTED_VALUE"""),"")</f>
        <v/>
      </c>
    </row>
    <row r="15744">
      <c r="G15744" s="16" t="str">
        <f>IFERROR(__xludf.DUMMYFUNCTION("""COMPUTED_VALUE"""),"")</f>
        <v/>
      </c>
    </row>
    <row r="15745">
      <c r="G15745" s="16" t="str">
        <f>IFERROR(__xludf.DUMMYFUNCTION("""COMPUTED_VALUE"""),"")</f>
        <v/>
      </c>
    </row>
    <row r="15746">
      <c r="G15746" s="16" t="str">
        <f>IFERROR(__xludf.DUMMYFUNCTION("""COMPUTED_VALUE"""),"")</f>
        <v/>
      </c>
    </row>
    <row r="15747">
      <c r="G15747" s="16" t="str">
        <f>IFERROR(__xludf.DUMMYFUNCTION("""COMPUTED_VALUE"""),"")</f>
        <v/>
      </c>
    </row>
    <row r="15748">
      <c r="G15748" s="16" t="str">
        <f>IFERROR(__xludf.DUMMYFUNCTION("""COMPUTED_VALUE"""),"")</f>
        <v/>
      </c>
    </row>
    <row r="15749">
      <c r="G15749" s="16" t="str">
        <f>IFERROR(__xludf.DUMMYFUNCTION("""COMPUTED_VALUE"""),"")</f>
        <v/>
      </c>
    </row>
    <row r="15750">
      <c r="G15750" s="16" t="str">
        <f>IFERROR(__xludf.DUMMYFUNCTION("""COMPUTED_VALUE"""),"")</f>
        <v/>
      </c>
    </row>
    <row r="15751">
      <c r="G15751" s="16" t="str">
        <f>IFERROR(__xludf.DUMMYFUNCTION("""COMPUTED_VALUE"""),"")</f>
        <v/>
      </c>
    </row>
    <row r="15752">
      <c r="G15752" s="16" t="str">
        <f>IFERROR(__xludf.DUMMYFUNCTION("""COMPUTED_VALUE"""),"")</f>
        <v/>
      </c>
    </row>
    <row r="15753">
      <c r="G15753" s="16" t="str">
        <f>IFERROR(__xludf.DUMMYFUNCTION("""COMPUTED_VALUE"""),"")</f>
        <v/>
      </c>
    </row>
    <row r="15754">
      <c r="G15754" s="16" t="str">
        <f>IFERROR(__xludf.DUMMYFUNCTION("""COMPUTED_VALUE"""),"")</f>
        <v/>
      </c>
    </row>
    <row r="15755">
      <c r="G15755" s="16" t="str">
        <f>IFERROR(__xludf.DUMMYFUNCTION("""COMPUTED_VALUE"""),"")</f>
        <v/>
      </c>
    </row>
    <row r="15756">
      <c r="G15756" s="16" t="str">
        <f>IFERROR(__xludf.DUMMYFUNCTION("""COMPUTED_VALUE"""),"")</f>
        <v/>
      </c>
    </row>
    <row r="15757">
      <c r="G15757" s="16" t="str">
        <f>IFERROR(__xludf.DUMMYFUNCTION("""COMPUTED_VALUE"""),"")</f>
        <v/>
      </c>
    </row>
    <row r="15758">
      <c r="G15758" s="16" t="str">
        <f>IFERROR(__xludf.DUMMYFUNCTION("""COMPUTED_VALUE"""),"")</f>
        <v/>
      </c>
    </row>
    <row r="15759">
      <c r="G15759" s="16" t="str">
        <f>IFERROR(__xludf.DUMMYFUNCTION("""COMPUTED_VALUE"""),"")</f>
        <v/>
      </c>
    </row>
    <row r="15760">
      <c r="G15760" s="16" t="str">
        <f>IFERROR(__xludf.DUMMYFUNCTION("""COMPUTED_VALUE"""),"")</f>
        <v/>
      </c>
    </row>
    <row r="15761">
      <c r="G15761" s="16" t="str">
        <f>IFERROR(__xludf.DUMMYFUNCTION("""COMPUTED_VALUE"""),"")</f>
        <v/>
      </c>
    </row>
    <row r="15762">
      <c r="G15762" s="16" t="str">
        <f>IFERROR(__xludf.DUMMYFUNCTION("""COMPUTED_VALUE"""),"")</f>
        <v/>
      </c>
    </row>
    <row r="15763">
      <c r="G15763" s="16" t="str">
        <f>IFERROR(__xludf.DUMMYFUNCTION("""COMPUTED_VALUE"""),"")</f>
        <v/>
      </c>
    </row>
    <row r="15764">
      <c r="G15764" s="16" t="str">
        <f>IFERROR(__xludf.DUMMYFUNCTION("""COMPUTED_VALUE"""),"")</f>
        <v/>
      </c>
    </row>
    <row r="15765">
      <c r="G15765" s="16" t="str">
        <f>IFERROR(__xludf.DUMMYFUNCTION("""COMPUTED_VALUE"""),"")</f>
        <v/>
      </c>
    </row>
    <row r="15766">
      <c r="G15766" s="16" t="str">
        <f>IFERROR(__xludf.DUMMYFUNCTION("""COMPUTED_VALUE"""),"")</f>
        <v/>
      </c>
    </row>
    <row r="15767">
      <c r="G15767" s="16" t="str">
        <f>IFERROR(__xludf.DUMMYFUNCTION("""COMPUTED_VALUE"""),"")</f>
        <v/>
      </c>
    </row>
    <row r="15768">
      <c r="G15768" s="16" t="str">
        <f>IFERROR(__xludf.DUMMYFUNCTION("""COMPUTED_VALUE"""),"")</f>
        <v/>
      </c>
    </row>
    <row r="15769">
      <c r="G15769" s="16" t="str">
        <f>IFERROR(__xludf.DUMMYFUNCTION("""COMPUTED_VALUE"""),"")</f>
        <v/>
      </c>
    </row>
    <row r="15770">
      <c r="G15770" s="16" t="str">
        <f>IFERROR(__xludf.DUMMYFUNCTION("""COMPUTED_VALUE"""),"")</f>
        <v/>
      </c>
    </row>
    <row r="15771">
      <c r="G15771" s="16" t="str">
        <f>IFERROR(__xludf.DUMMYFUNCTION("""COMPUTED_VALUE"""),"")</f>
        <v/>
      </c>
    </row>
    <row r="15772">
      <c r="G15772" s="16" t="str">
        <f>IFERROR(__xludf.DUMMYFUNCTION("""COMPUTED_VALUE"""),"")</f>
        <v/>
      </c>
    </row>
    <row r="15773">
      <c r="G15773" s="16" t="str">
        <f>IFERROR(__xludf.DUMMYFUNCTION("""COMPUTED_VALUE"""),"")</f>
        <v/>
      </c>
    </row>
    <row r="15774">
      <c r="G15774" s="16" t="str">
        <f>IFERROR(__xludf.DUMMYFUNCTION("""COMPUTED_VALUE"""),"")</f>
        <v/>
      </c>
    </row>
    <row r="15775">
      <c r="G15775" s="16" t="str">
        <f>IFERROR(__xludf.DUMMYFUNCTION("""COMPUTED_VALUE"""),"")</f>
        <v/>
      </c>
    </row>
    <row r="15776">
      <c r="G15776" s="16" t="str">
        <f>IFERROR(__xludf.DUMMYFUNCTION("""COMPUTED_VALUE"""),"")</f>
        <v/>
      </c>
    </row>
    <row r="15777">
      <c r="G15777" s="16" t="str">
        <f>IFERROR(__xludf.DUMMYFUNCTION("""COMPUTED_VALUE"""),"")</f>
        <v/>
      </c>
    </row>
    <row r="15778">
      <c r="G15778" s="16" t="str">
        <f>IFERROR(__xludf.DUMMYFUNCTION("""COMPUTED_VALUE"""),"")</f>
        <v/>
      </c>
    </row>
    <row r="15779">
      <c r="G15779" s="16" t="str">
        <f>IFERROR(__xludf.DUMMYFUNCTION("""COMPUTED_VALUE"""),"")</f>
        <v/>
      </c>
    </row>
    <row r="15780">
      <c r="G15780" s="16" t="str">
        <f>IFERROR(__xludf.DUMMYFUNCTION("""COMPUTED_VALUE"""),"")</f>
        <v/>
      </c>
    </row>
    <row r="15781">
      <c r="G15781" s="16" t="str">
        <f>IFERROR(__xludf.DUMMYFUNCTION("""COMPUTED_VALUE"""),"")</f>
        <v/>
      </c>
    </row>
    <row r="15782">
      <c r="G15782" s="16" t="str">
        <f>IFERROR(__xludf.DUMMYFUNCTION("""COMPUTED_VALUE"""),"")</f>
        <v/>
      </c>
    </row>
    <row r="15783">
      <c r="G15783" s="16" t="str">
        <f>IFERROR(__xludf.DUMMYFUNCTION("""COMPUTED_VALUE"""),"")</f>
        <v/>
      </c>
    </row>
    <row r="15784">
      <c r="G15784" s="16" t="str">
        <f>IFERROR(__xludf.DUMMYFUNCTION("""COMPUTED_VALUE"""),"")</f>
        <v/>
      </c>
    </row>
    <row r="15785">
      <c r="G15785" s="16" t="str">
        <f>IFERROR(__xludf.DUMMYFUNCTION("""COMPUTED_VALUE"""),"")</f>
        <v/>
      </c>
    </row>
    <row r="15786">
      <c r="G15786" s="16" t="str">
        <f>IFERROR(__xludf.DUMMYFUNCTION("""COMPUTED_VALUE"""),"")</f>
        <v/>
      </c>
    </row>
    <row r="15787">
      <c r="G15787" s="16" t="str">
        <f>IFERROR(__xludf.DUMMYFUNCTION("""COMPUTED_VALUE"""),"")</f>
        <v/>
      </c>
    </row>
    <row r="15788">
      <c r="G15788" s="16" t="str">
        <f>IFERROR(__xludf.DUMMYFUNCTION("""COMPUTED_VALUE"""),"")</f>
        <v/>
      </c>
    </row>
    <row r="15789">
      <c r="G15789" s="16" t="str">
        <f>IFERROR(__xludf.DUMMYFUNCTION("""COMPUTED_VALUE"""),"")</f>
        <v/>
      </c>
    </row>
    <row r="15790">
      <c r="G15790" s="16" t="str">
        <f>IFERROR(__xludf.DUMMYFUNCTION("""COMPUTED_VALUE"""),"")</f>
        <v/>
      </c>
    </row>
    <row r="15791">
      <c r="G15791" s="16" t="str">
        <f>IFERROR(__xludf.DUMMYFUNCTION("""COMPUTED_VALUE"""),"")</f>
        <v/>
      </c>
    </row>
    <row r="15792">
      <c r="G15792" s="16" t="str">
        <f>IFERROR(__xludf.DUMMYFUNCTION("""COMPUTED_VALUE"""),"")</f>
        <v/>
      </c>
    </row>
    <row r="15793">
      <c r="G15793" s="16" t="str">
        <f>IFERROR(__xludf.DUMMYFUNCTION("""COMPUTED_VALUE"""),"")</f>
        <v/>
      </c>
    </row>
    <row r="15794">
      <c r="G15794" s="16" t="str">
        <f>IFERROR(__xludf.DUMMYFUNCTION("""COMPUTED_VALUE"""),"")</f>
        <v/>
      </c>
    </row>
    <row r="15795">
      <c r="G15795" s="16" t="str">
        <f>IFERROR(__xludf.DUMMYFUNCTION("""COMPUTED_VALUE"""),"")</f>
        <v/>
      </c>
    </row>
    <row r="15796">
      <c r="G15796" s="16" t="str">
        <f>IFERROR(__xludf.DUMMYFUNCTION("""COMPUTED_VALUE"""),"")</f>
        <v/>
      </c>
    </row>
    <row r="15797">
      <c r="G15797" s="16" t="str">
        <f>IFERROR(__xludf.DUMMYFUNCTION("""COMPUTED_VALUE"""),"")</f>
        <v/>
      </c>
    </row>
    <row r="15798">
      <c r="G15798" s="16" t="str">
        <f>IFERROR(__xludf.DUMMYFUNCTION("""COMPUTED_VALUE"""),"")</f>
        <v/>
      </c>
    </row>
    <row r="15799">
      <c r="G15799" s="16" t="str">
        <f>IFERROR(__xludf.DUMMYFUNCTION("""COMPUTED_VALUE"""),"")</f>
        <v/>
      </c>
    </row>
    <row r="15800">
      <c r="G15800" s="16" t="str">
        <f>IFERROR(__xludf.DUMMYFUNCTION("""COMPUTED_VALUE"""),"")</f>
        <v/>
      </c>
    </row>
    <row r="15801">
      <c r="G15801" s="16" t="str">
        <f>IFERROR(__xludf.DUMMYFUNCTION("""COMPUTED_VALUE"""),"")</f>
        <v/>
      </c>
    </row>
    <row r="15802">
      <c r="G15802" s="16" t="str">
        <f>IFERROR(__xludf.DUMMYFUNCTION("""COMPUTED_VALUE"""),"")</f>
        <v/>
      </c>
    </row>
    <row r="15803">
      <c r="G15803" s="16" t="str">
        <f>IFERROR(__xludf.DUMMYFUNCTION("""COMPUTED_VALUE"""),"")</f>
        <v/>
      </c>
    </row>
    <row r="15804">
      <c r="G15804" s="16" t="str">
        <f>IFERROR(__xludf.DUMMYFUNCTION("""COMPUTED_VALUE"""),"")</f>
        <v/>
      </c>
    </row>
    <row r="15805">
      <c r="G15805" s="16" t="str">
        <f>IFERROR(__xludf.DUMMYFUNCTION("""COMPUTED_VALUE"""),"")</f>
        <v/>
      </c>
    </row>
    <row r="15806">
      <c r="G15806" s="16" t="str">
        <f>IFERROR(__xludf.DUMMYFUNCTION("""COMPUTED_VALUE"""),"")</f>
        <v/>
      </c>
    </row>
    <row r="15807">
      <c r="G15807" s="16" t="str">
        <f>IFERROR(__xludf.DUMMYFUNCTION("""COMPUTED_VALUE"""),"")</f>
        <v/>
      </c>
    </row>
    <row r="15808">
      <c r="G15808" s="16" t="str">
        <f>IFERROR(__xludf.DUMMYFUNCTION("""COMPUTED_VALUE"""),"")</f>
        <v/>
      </c>
    </row>
    <row r="15809">
      <c r="G15809" s="16" t="str">
        <f>IFERROR(__xludf.DUMMYFUNCTION("""COMPUTED_VALUE"""),"")</f>
        <v/>
      </c>
    </row>
    <row r="15810">
      <c r="G15810" s="16" t="str">
        <f>IFERROR(__xludf.DUMMYFUNCTION("""COMPUTED_VALUE"""),"")</f>
        <v/>
      </c>
    </row>
    <row r="15811">
      <c r="G15811" s="16" t="str">
        <f>IFERROR(__xludf.DUMMYFUNCTION("""COMPUTED_VALUE"""),"")</f>
        <v/>
      </c>
    </row>
    <row r="15812">
      <c r="G15812" s="16" t="str">
        <f>IFERROR(__xludf.DUMMYFUNCTION("""COMPUTED_VALUE"""),"")</f>
        <v/>
      </c>
    </row>
    <row r="15813">
      <c r="G15813" s="16" t="str">
        <f>IFERROR(__xludf.DUMMYFUNCTION("""COMPUTED_VALUE"""),"")</f>
        <v/>
      </c>
    </row>
    <row r="15814">
      <c r="G15814" s="16" t="str">
        <f>IFERROR(__xludf.DUMMYFUNCTION("""COMPUTED_VALUE"""),"")</f>
        <v/>
      </c>
    </row>
    <row r="15815">
      <c r="G15815" s="16" t="str">
        <f>IFERROR(__xludf.DUMMYFUNCTION("""COMPUTED_VALUE"""),"")</f>
        <v/>
      </c>
    </row>
    <row r="15816">
      <c r="G15816" s="16" t="str">
        <f>IFERROR(__xludf.DUMMYFUNCTION("""COMPUTED_VALUE"""),"")</f>
        <v/>
      </c>
    </row>
    <row r="15817">
      <c r="G15817" s="16" t="str">
        <f>IFERROR(__xludf.DUMMYFUNCTION("""COMPUTED_VALUE"""),"")</f>
        <v/>
      </c>
    </row>
    <row r="15818">
      <c r="G15818" s="16" t="str">
        <f>IFERROR(__xludf.DUMMYFUNCTION("""COMPUTED_VALUE"""),"")</f>
        <v/>
      </c>
    </row>
    <row r="15819">
      <c r="G15819" s="16" t="str">
        <f>IFERROR(__xludf.DUMMYFUNCTION("""COMPUTED_VALUE"""),"")</f>
        <v/>
      </c>
    </row>
    <row r="15820">
      <c r="G15820" s="16" t="str">
        <f>IFERROR(__xludf.DUMMYFUNCTION("""COMPUTED_VALUE"""),"")</f>
        <v/>
      </c>
    </row>
    <row r="15821">
      <c r="G15821" s="16" t="str">
        <f>IFERROR(__xludf.DUMMYFUNCTION("""COMPUTED_VALUE"""),"")</f>
        <v/>
      </c>
    </row>
    <row r="15822">
      <c r="G15822" s="16" t="str">
        <f>IFERROR(__xludf.DUMMYFUNCTION("""COMPUTED_VALUE"""),"")</f>
        <v/>
      </c>
    </row>
    <row r="15823">
      <c r="G15823" s="16" t="str">
        <f>IFERROR(__xludf.DUMMYFUNCTION("""COMPUTED_VALUE"""),"")</f>
        <v/>
      </c>
    </row>
    <row r="15824">
      <c r="G15824" s="16" t="str">
        <f>IFERROR(__xludf.DUMMYFUNCTION("""COMPUTED_VALUE"""),"")</f>
        <v/>
      </c>
    </row>
    <row r="15825">
      <c r="G15825" s="16" t="str">
        <f>IFERROR(__xludf.DUMMYFUNCTION("""COMPUTED_VALUE"""),"")</f>
        <v/>
      </c>
    </row>
    <row r="15826">
      <c r="G15826" s="16" t="str">
        <f>IFERROR(__xludf.DUMMYFUNCTION("""COMPUTED_VALUE"""),"")</f>
        <v/>
      </c>
    </row>
    <row r="15827">
      <c r="G15827" s="16" t="str">
        <f>IFERROR(__xludf.DUMMYFUNCTION("""COMPUTED_VALUE"""),"")</f>
        <v/>
      </c>
    </row>
    <row r="15828">
      <c r="G15828" s="16" t="str">
        <f>IFERROR(__xludf.DUMMYFUNCTION("""COMPUTED_VALUE"""),"")</f>
        <v/>
      </c>
    </row>
    <row r="15829">
      <c r="G15829" s="16" t="str">
        <f>IFERROR(__xludf.DUMMYFUNCTION("""COMPUTED_VALUE"""),"")</f>
        <v/>
      </c>
    </row>
    <row r="15830">
      <c r="G15830" s="16" t="str">
        <f>IFERROR(__xludf.DUMMYFUNCTION("""COMPUTED_VALUE"""),"")</f>
        <v/>
      </c>
    </row>
    <row r="15831">
      <c r="G15831" s="16" t="str">
        <f>IFERROR(__xludf.DUMMYFUNCTION("""COMPUTED_VALUE"""),"")</f>
        <v/>
      </c>
    </row>
    <row r="15832">
      <c r="G15832" s="16" t="str">
        <f>IFERROR(__xludf.DUMMYFUNCTION("""COMPUTED_VALUE"""),"")</f>
        <v/>
      </c>
    </row>
    <row r="15833">
      <c r="G15833" s="16" t="str">
        <f>IFERROR(__xludf.DUMMYFUNCTION("""COMPUTED_VALUE"""),"")</f>
        <v/>
      </c>
    </row>
    <row r="15834">
      <c r="G15834" s="16" t="str">
        <f>IFERROR(__xludf.DUMMYFUNCTION("""COMPUTED_VALUE"""),"")</f>
        <v/>
      </c>
    </row>
    <row r="15835">
      <c r="G15835" s="16" t="str">
        <f>IFERROR(__xludf.DUMMYFUNCTION("""COMPUTED_VALUE"""),"")</f>
        <v/>
      </c>
    </row>
    <row r="15836">
      <c r="G15836" s="16" t="str">
        <f>IFERROR(__xludf.DUMMYFUNCTION("""COMPUTED_VALUE"""),"")</f>
        <v/>
      </c>
    </row>
    <row r="15837">
      <c r="G15837" s="16" t="str">
        <f>IFERROR(__xludf.DUMMYFUNCTION("""COMPUTED_VALUE"""),"")</f>
        <v/>
      </c>
    </row>
    <row r="15838">
      <c r="G15838" s="16" t="str">
        <f>IFERROR(__xludf.DUMMYFUNCTION("""COMPUTED_VALUE"""),"")</f>
        <v/>
      </c>
    </row>
    <row r="15839">
      <c r="G15839" s="16" t="str">
        <f>IFERROR(__xludf.DUMMYFUNCTION("""COMPUTED_VALUE"""),"")</f>
        <v/>
      </c>
    </row>
    <row r="15840">
      <c r="G15840" s="16" t="str">
        <f>IFERROR(__xludf.DUMMYFUNCTION("""COMPUTED_VALUE"""),"")</f>
        <v/>
      </c>
    </row>
    <row r="15841">
      <c r="G15841" s="16" t="str">
        <f>IFERROR(__xludf.DUMMYFUNCTION("""COMPUTED_VALUE"""),"")</f>
        <v/>
      </c>
    </row>
    <row r="15842">
      <c r="G15842" s="16" t="str">
        <f>IFERROR(__xludf.DUMMYFUNCTION("""COMPUTED_VALUE"""),"")</f>
        <v/>
      </c>
    </row>
    <row r="15843">
      <c r="G15843" s="16" t="str">
        <f>IFERROR(__xludf.DUMMYFUNCTION("""COMPUTED_VALUE"""),"")</f>
        <v/>
      </c>
    </row>
    <row r="15844">
      <c r="G15844" s="16" t="str">
        <f>IFERROR(__xludf.DUMMYFUNCTION("""COMPUTED_VALUE"""),"")</f>
        <v/>
      </c>
    </row>
    <row r="15845">
      <c r="G15845" s="16" t="str">
        <f>IFERROR(__xludf.DUMMYFUNCTION("""COMPUTED_VALUE"""),"")</f>
        <v/>
      </c>
    </row>
    <row r="15846">
      <c r="G15846" s="16" t="str">
        <f>IFERROR(__xludf.DUMMYFUNCTION("""COMPUTED_VALUE"""),"")</f>
        <v/>
      </c>
    </row>
    <row r="15847">
      <c r="G15847" s="16" t="str">
        <f>IFERROR(__xludf.DUMMYFUNCTION("""COMPUTED_VALUE"""),"")</f>
        <v/>
      </c>
    </row>
    <row r="15848">
      <c r="G15848" s="16" t="str">
        <f>IFERROR(__xludf.DUMMYFUNCTION("""COMPUTED_VALUE"""),"")</f>
        <v/>
      </c>
    </row>
    <row r="15849">
      <c r="G15849" s="16" t="str">
        <f>IFERROR(__xludf.DUMMYFUNCTION("""COMPUTED_VALUE"""),"")</f>
        <v/>
      </c>
    </row>
    <row r="15850">
      <c r="G15850" s="16" t="str">
        <f>IFERROR(__xludf.DUMMYFUNCTION("""COMPUTED_VALUE"""),"")</f>
        <v/>
      </c>
    </row>
    <row r="15851">
      <c r="G15851" s="16" t="str">
        <f>IFERROR(__xludf.DUMMYFUNCTION("""COMPUTED_VALUE"""),"")</f>
        <v/>
      </c>
    </row>
    <row r="15852">
      <c r="G15852" s="16" t="str">
        <f>IFERROR(__xludf.DUMMYFUNCTION("""COMPUTED_VALUE"""),"")</f>
        <v/>
      </c>
    </row>
    <row r="15853">
      <c r="G15853" s="16" t="str">
        <f>IFERROR(__xludf.DUMMYFUNCTION("""COMPUTED_VALUE"""),"")</f>
        <v/>
      </c>
    </row>
    <row r="15854">
      <c r="G15854" s="16" t="str">
        <f>IFERROR(__xludf.DUMMYFUNCTION("""COMPUTED_VALUE"""),"")</f>
        <v/>
      </c>
    </row>
    <row r="15855">
      <c r="G15855" s="16" t="str">
        <f>IFERROR(__xludf.DUMMYFUNCTION("""COMPUTED_VALUE"""),"")</f>
        <v/>
      </c>
    </row>
    <row r="15856">
      <c r="G15856" s="16" t="str">
        <f>IFERROR(__xludf.DUMMYFUNCTION("""COMPUTED_VALUE"""),"")</f>
        <v/>
      </c>
    </row>
    <row r="15857">
      <c r="G15857" s="16" t="str">
        <f>IFERROR(__xludf.DUMMYFUNCTION("""COMPUTED_VALUE"""),"")</f>
        <v/>
      </c>
    </row>
    <row r="15858">
      <c r="G15858" s="16" t="str">
        <f>IFERROR(__xludf.DUMMYFUNCTION("""COMPUTED_VALUE"""),"")</f>
        <v/>
      </c>
    </row>
    <row r="15859">
      <c r="G15859" s="16" t="str">
        <f>IFERROR(__xludf.DUMMYFUNCTION("""COMPUTED_VALUE"""),"")</f>
        <v/>
      </c>
    </row>
    <row r="15860">
      <c r="G15860" s="16" t="str">
        <f>IFERROR(__xludf.DUMMYFUNCTION("""COMPUTED_VALUE"""),"")</f>
        <v/>
      </c>
    </row>
    <row r="15861">
      <c r="G15861" s="16" t="str">
        <f>IFERROR(__xludf.DUMMYFUNCTION("""COMPUTED_VALUE"""),"")</f>
        <v/>
      </c>
    </row>
    <row r="15862">
      <c r="G15862" s="16" t="str">
        <f>IFERROR(__xludf.DUMMYFUNCTION("""COMPUTED_VALUE"""),"")</f>
        <v/>
      </c>
    </row>
    <row r="15863">
      <c r="G15863" s="16" t="str">
        <f>IFERROR(__xludf.DUMMYFUNCTION("""COMPUTED_VALUE"""),"")</f>
        <v/>
      </c>
    </row>
    <row r="15864">
      <c r="G15864" s="16" t="str">
        <f>IFERROR(__xludf.DUMMYFUNCTION("""COMPUTED_VALUE"""),"")</f>
        <v/>
      </c>
    </row>
    <row r="15865">
      <c r="G15865" s="16" t="str">
        <f>IFERROR(__xludf.DUMMYFUNCTION("""COMPUTED_VALUE"""),"")</f>
        <v/>
      </c>
    </row>
    <row r="15866">
      <c r="G15866" s="16" t="str">
        <f>IFERROR(__xludf.DUMMYFUNCTION("""COMPUTED_VALUE"""),"")</f>
        <v/>
      </c>
    </row>
    <row r="15867">
      <c r="G15867" s="16" t="str">
        <f>IFERROR(__xludf.DUMMYFUNCTION("""COMPUTED_VALUE"""),"")</f>
        <v/>
      </c>
    </row>
    <row r="15868">
      <c r="G15868" s="16" t="str">
        <f>IFERROR(__xludf.DUMMYFUNCTION("""COMPUTED_VALUE"""),"")</f>
        <v/>
      </c>
    </row>
    <row r="15869">
      <c r="G15869" s="16" t="str">
        <f>IFERROR(__xludf.DUMMYFUNCTION("""COMPUTED_VALUE"""),"")</f>
        <v/>
      </c>
    </row>
    <row r="15870">
      <c r="G15870" s="16" t="str">
        <f>IFERROR(__xludf.DUMMYFUNCTION("""COMPUTED_VALUE"""),"")</f>
        <v/>
      </c>
    </row>
    <row r="15871">
      <c r="G15871" s="16" t="str">
        <f>IFERROR(__xludf.DUMMYFUNCTION("""COMPUTED_VALUE"""),"")</f>
        <v/>
      </c>
    </row>
    <row r="15872">
      <c r="G15872" s="16" t="str">
        <f>IFERROR(__xludf.DUMMYFUNCTION("""COMPUTED_VALUE"""),"")</f>
        <v/>
      </c>
    </row>
    <row r="15873">
      <c r="G15873" s="16" t="str">
        <f>IFERROR(__xludf.DUMMYFUNCTION("""COMPUTED_VALUE"""),"")</f>
        <v/>
      </c>
    </row>
    <row r="15874">
      <c r="G15874" s="16" t="str">
        <f>IFERROR(__xludf.DUMMYFUNCTION("""COMPUTED_VALUE"""),"")</f>
        <v/>
      </c>
    </row>
    <row r="15875">
      <c r="G15875" s="16" t="str">
        <f>IFERROR(__xludf.DUMMYFUNCTION("""COMPUTED_VALUE"""),"")</f>
        <v/>
      </c>
    </row>
    <row r="15876">
      <c r="G15876" s="16" t="str">
        <f>IFERROR(__xludf.DUMMYFUNCTION("""COMPUTED_VALUE"""),"")</f>
        <v/>
      </c>
    </row>
    <row r="15877">
      <c r="G15877" s="16" t="str">
        <f>IFERROR(__xludf.DUMMYFUNCTION("""COMPUTED_VALUE"""),"")</f>
        <v/>
      </c>
    </row>
    <row r="15878">
      <c r="G15878" s="16" t="str">
        <f>IFERROR(__xludf.DUMMYFUNCTION("""COMPUTED_VALUE"""),"")</f>
        <v/>
      </c>
    </row>
    <row r="15879">
      <c r="G15879" s="16" t="str">
        <f>IFERROR(__xludf.DUMMYFUNCTION("""COMPUTED_VALUE"""),"")</f>
        <v/>
      </c>
    </row>
    <row r="15880">
      <c r="G15880" s="16" t="str">
        <f>IFERROR(__xludf.DUMMYFUNCTION("""COMPUTED_VALUE"""),"")</f>
        <v/>
      </c>
    </row>
    <row r="15881">
      <c r="G15881" s="16" t="str">
        <f>IFERROR(__xludf.DUMMYFUNCTION("""COMPUTED_VALUE"""),"")</f>
        <v/>
      </c>
    </row>
    <row r="15882">
      <c r="G15882" s="16" t="str">
        <f>IFERROR(__xludf.DUMMYFUNCTION("""COMPUTED_VALUE"""),"")</f>
        <v/>
      </c>
    </row>
    <row r="15883">
      <c r="G15883" s="16" t="str">
        <f>IFERROR(__xludf.DUMMYFUNCTION("""COMPUTED_VALUE"""),"")</f>
        <v/>
      </c>
    </row>
    <row r="15884">
      <c r="G15884" s="16" t="str">
        <f>IFERROR(__xludf.DUMMYFUNCTION("""COMPUTED_VALUE"""),"")</f>
        <v/>
      </c>
    </row>
    <row r="15885">
      <c r="G15885" s="16" t="str">
        <f>IFERROR(__xludf.DUMMYFUNCTION("""COMPUTED_VALUE"""),"")</f>
        <v/>
      </c>
    </row>
    <row r="15886">
      <c r="G15886" s="16" t="str">
        <f>IFERROR(__xludf.DUMMYFUNCTION("""COMPUTED_VALUE"""),"")</f>
        <v/>
      </c>
    </row>
    <row r="15887">
      <c r="G15887" s="16" t="str">
        <f>IFERROR(__xludf.DUMMYFUNCTION("""COMPUTED_VALUE"""),"")</f>
        <v/>
      </c>
    </row>
    <row r="15888">
      <c r="G15888" s="16" t="str">
        <f>IFERROR(__xludf.DUMMYFUNCTION("""COMPUTED_VALUE"""),"")</f>
        <v/>
      </c>
    </row>
    <row r="15889">
      <c r="G15889" s="16" t="str">
        <f>IFERROR(__xludf.DUMMYFUNCTION("""COMPUTED_VALUE"""),"")</f>
        <v/>
      </c>
    </row>
    <row r="15890">
      <c r="G15890" s="16" t="str">
        <f>IFERROR(__xludf.DUMMYFUNCTION("""COMPUTED_VALUE"""),"")</f>
        <v/>
      </c>
    </row>
    <row r="15891">
      <c r="G15891" s="16" t="str">
        <f>IFERROR(__xludf.DUMMYFUNCTION("""COMPUTED_VALUE"""),"")</f>
        <v/>
      </c>
    </row>
    <row r="15892">
      <c r="G15892" s="16" t="str">
        <f>IFERROR(__xludf.DUMMYFUNCTION("""COMPUTED_VALUE"""),"")</f>
        <v/>
      </c>
    </row>
    <row r="15893">
      <c r="G15893" s="16" t="str">
        <f>IFERROR(__xludf.DUMMYFUNCTION("""COMPUTED_VALUE"""),"")</f>
        <v/>
      </c>
    </row>
    <row r="15894">
      <c r="G15894" s="16" t="str">
        <f>IFERROR(__xludf.DUMMYFUNCTION("""COMPUTED_VALUE"""),"")</f>
        <v/>
      </c>
    </row>
    <row r="15895">
      <c r="G15895" s="16" t="str">
        <f>IFERROR(__xludf.DUMMYFUNCTION("""COMPUTED_VALUE"""),"")</f>
        <v/>
      </c>
    </row>
    <row r="15896">
      <c r="G15896" s="16" t="str">
        <f>IFERROR(__xludf.DUMMYFUNCTION("""COMPUTED_VALUE"""),"")</f>
        <v/>
      </c>
    </row>
    <row r="15897">
      <c r="G15897" s="16" t="str">
        <f>IFERROR(__xludf.DUMMYFUNCTION("""COMPUTED_VALUE"""),"")</f>
        <v/>
      </c>
    </row>
    <row r="15898">
      <c r="G15898" s="16" t="str">
        <f>IFERROR(__xludf.DUMMYFUNCTION("""COMPUTED_VALUE"""),"")</f>
        <v/>
      </c>
    </row>
    <row r="15899">
      <c r="G15899" s="16" t="str">
        <f>IFERROR(__xludf.DUMMYFUNCTION("""COMPUTED_VALUE"""),"")</f>
        <v/>
      </c>
    </row>
    <row r="15900">
      <c r="G15900" s="16" t="str">
        <f>IFERROR(__xludf.DUMMYFUNCTION("""COMPUTED_VALUE"""),"")</f>
        <v/>
      </c>
    </row>
    <row r="15901">
      <c r="G15901" s="16" t="str">
        <f>IFERROR(__xludf.DUMMYFUNCTION("""COMPUTED_VALUE"""),"")</f>
        <v/>
      </c>
    </row>
    <row r="15902">
      <c r="G15902" s="16" t="str">
        <f>IFERROR(__xludf.DUMMYFUNCTION("""COMPUTED_VALUE"""),"")</f>
        <v/>
      </c>
    </row>
    <row r="15903">
      <c r="G15903" s="16" t="str">
        <f>IFERROR(__xludf.DUMMYFUNCTION("""COMPUTED_VALUE"""),"")</f>
        <v/>
      </c>
    </row>
    <row r="15904">
      <c r="G15904" s="16" t="str">
        <f>IFERROR(__xludf.DUMMYFUNCTION("""COMPUTED_VALUE"""),"")</f>
        <v/>
      </c>
    </row>
    <row r="15905">
      <c r="G15905" s="16" t="str">
        <f>IFERROR(__xludf.DUMMYFUNCTION("""COMPUTED_VALUE"""),"")</f>
        <v/>
      </c>
    </row>
    <row r="15906">
      <c r="G15906" s="16" t="str">
        <f>IFERROR(__xludf.DUMMYFUNCTION("""COMPUTED_VALUE"""),"")</f>
        <v/>
      </c>
    </row>
    <row r="15907">
      <c r="G15907" s="16" t="str">
        <f>IFERROR(__xludf.DUMMYFUNCTION("""COMPUTED_VALUE"""),"")</f>
        <v/>
      </c>
    </row>
    <row r="15908">
      <c r="G15908" s="16" t="str">
        <f>IFERROR(__xludf.DUMMYFUNCTION("""COMPUTED_VALUE"""),"")</f>
        <v/>
      </c>
    </row>
    <row r="15909">
      <c r="G15909" s="16" t="str">
        <f>IFERROR(__xludf.DUMMYFUNCTION("""COMPUTED_VALUE"""),"")</f>
        <v/>
      </c>
    </row>
    <row r="15910">
      <c r="G15910" s="16" t="str">
        <f>IFERROR(__xludf.DUMMYFUNCTION("""COMPUTED_VALUE"""),"")</f>
        <v/>
      </c>
    </row>
    <row r="15911">
      <c r="G15911" s="16" t="str">
        <f>IFERROR(__xludf.DUMMYFUNCTION("""COMPUTED_VALUE"""),"")</f>
        <v/>
      </c>
    </row>
    <row r="15912">
      <c r="G15912" s="16" t="str">
        <f>IFERROR(__xludf.DUMMYFUNCTION("""COMPUTED_VALUE"""),"")</f>
        <v/>
      </c>
    </row>
    <row r="15913">
      <c r="G15913" s="16" t="str">
        <f>IFERROR(__xludf.DUMMYFUNCTION("""COMPUTED_VALUE"""),"")</f>
        <v/>
      </c>
    </row>
    <row r="15914">
      <c r="G15914" s="16" t="str">
        <f>IFERROR(__xludf.DUMMYFUNCTION("""COMPUTED_VALUE"""),"")</f>
        <v/>
      </c>
    </row>
    <row r="15915">
      <c r="G15915" s="16" t="str">
        <f>IFERROR(__xludf.DUMMYFUNCTION("""COMPUTED_VALUE"""),"")</f>
        <v/>
      </c>
    </row>
    <row r="15916">
      <c r="G15916" s="16" t="str">
        <f>IFERROR(__xludf.DUMMYFUNCTION("""COMPUTED_VALUE"""),"")</f>
        <v/>
      </c>
    </row>
    <row r="15917">
      <c r="G15917" s="16" t="str">
        <f>IFERROR(__xludf.DUMMYFUNCTION("""COMPUTED_VALUE"""),"")</f>
        <v/>
      </c>
    </row>
    <row r="15918">
      <c r="G15918" s="16" t="str">
        <f>IFERROR(__xludf.DUMMYFUNCTION("""COMPUTED_VALUE"""),"")</f>
        <v/>
      </c>
    </row>
    <row r="15919">
      <c r="G15919" s="16" t="str">
        <f>IFERROR(__xludf.DUMMYFUNCTION("""COMPUTED_VALUE"""),"")</f>
        <v/>
      </c>
    </row>
    <row r="15920">
      <c r="G15920" s="16" t="str">
        <f>IFERROR(__xludf.DUMMYFUNCTION("""COMPUTED_VALUE"""),"")</f>
        <v/>
      </c>
    </row>
    <row r="15921">
      <c r="G15921" s="16" t="str">
        <f>IFERROR(__xludf.DUMMYFUNCTION("""COMPUTED_VALUE"""),"")</f>
        <v/>
      </c>
    </row>
    <row r="15922">
      <c r="G15922" s="16" t="str">
        <f>IFERROR(__xludf.DUMMYFUNCTION("""COMPUTED_VALUE"""),"")</f>
        <v/>
      </c>
    </row>
    <row r="15923">
      <c r="G15923" s="16" t="str">
        <f>IFERROR(__xludf.DUMMYFUNCTION("""COMPUTED_VALUE"""),"")</f>
        <v/>
      </c>
    </row>
    <row r="15924">
      <c r="G15924" s="16" t="str">
        <f>IFERROR(__xludf.DUMMYFUNCTION("""COMPUTED_VALUE"""),"")</f>
        <v/>
      </c>
    </row>
    <row r="15925">
      <c r="G15925" s="16" t="str">
        <f>IFERROR(__xludf.DUMMYFUNCTION("""COMPUTED_VALUE"""),"")</f>
        <v/>
      </c>
    </row>
    <row r="15926">
      <c r="G15926" s="16" t="str">
        <f>IFERROR(__xludf.DUMMYFUNCTION("""COMPUTED_VALUE"""),"")</f>
        <v/>
      </c>
    </row>
    <row r="15927">
      <c r="G15927" s="16" t="str">
        <f>IFERROR(__xludf.DUMMYFUNCTION("""COMPUTED_VALUE"""),"")</f>
        <v/>
      </c>
    </row>
    <row r="15928">
      <c r="G15928" s="16" t="str">
        <f>IFERROR(__xludf.DUMMYFUNCTION("""COMPUTED_VALUE"""),"")</f>
        <v/>
      </c>
    </row>
    <row r="15929">
      <c r="G15929" s="16" t="str">
        <f>IFERROR(__xludf.DUMMYFUNCTION("""COMPUTED_VALUE"""),"")</f>
        <v/>
      </c>
    </row>
    <row r="15930">
      <c r="G15930" s="16" t="str">
        <f>IFERROR(__xludf.DUMMYFUNCTION("""COMPUTED_VALUE"""),"")</f>
        <v/>
      </c>
    </row>
    <row r="15931">
      <c r="G15931" s="16" t="str">
        <f>IFERROR(__xludf.DUMMYFUNCTION("""COMPUTED_VALUE"""),"")</f>
        <v/>
      </c>
    </row>
    <row r="15932">
      <c r="G15932" s="16" t="str">
        <f>IFERROR(__xludf.DUMMYFUNCTION("""COMPUTED_VALUE"""),"")</f>
        <v/>
      </c>
    </row>
    <row r="15933">
      <c r="G15933" s="16" t="str">
        <f>IFERROR(__xludf.DUMMYFUNCTION("""COMPUTED_VALUE"""),"")</f>
        <v/>
      </c>
    </row>
    <row r="15934">
      <c r="G15934" s="16" t="str">
        <f>IFERROR(__xludf.DUMMYFUNCTION("""COMPUTED_VALUE"""),"")</f>
        <v/>
      </c>
    </row>
    <row r="15935">
      <c r="G15935" s="16" t="str">
        <f>IFERROR(__xludf.DUMMYFUNCTION("""COMPUTED_VALUE"""),"")</f>
        <v/>
      </c>
    </row>
    <row r="15936">
      <c r="G15936" s="16" t="str">
        <f>IFERROR(__xludf.DUMMYFUNCTION("""COMPUTED_VALUE"""),"")</f>
        <v/>
      </c>
    </row>
    <row r="15937">
      <c r="G15937" s="16" t="str">
        <f>IFERROR(__xludf.DUMMYFUNCTION("""COMPUTED_VALUE"""),"")</f>
        <v/>
      </c>
    </row>
    <row r="15938">
      <c r="G15938" s="16" t="str">
        <f>IFERROR(__xludf.DUMMYFUNCTION("""COMPUTED_VALUE"""),"")</f>
        <v/>
      </c>
    </row>
    <row r="15939">
      <c r="G15939" s="16" t="str">
        <f>IFERROR(__xludf.DUMMYFUNCTION("""COMPUTED_VALUE"""),"")</f>
        <v/>
      </c>
    </row>
    <row r="15940">
      <c r="G15940" s="16" t="str">
        <f>IFERROR(__xludf.DUMMYFUNCTION("""COMPUTED_VALUE"""),"")</f>
        <v/>
      </c>
    </row>
    <row r="15941">
      <c r="G15941" s="16" t="str">
        <f>IFERROR(__xludf.DUMMYFUNCTION("""COMPUTED_VALUE"""),"")</f>
        <v/>
      </c>
    </row>
    <row r="15942">
      <c r="G15942" s="16" t="str">
        <f>IFERROR(__xludf.DUMMYFUNCTION("""COMPUTED_VALUE"""),"")</f>
        <v/>
      </c>
    </row>
    <row r="15943">
      <c r="G15943" s="16" t="str">
        <f>IFERROR(__xludf.DUMMYFUNCTION("""COMPUTED_VALUE"""),"")</f>
        <v/>
      </c>
    </row>
    <row r="15944">
      <c r="G15944" s="16" t="str">
        <f>IFERROR(__xludf.DUMMYFUNCTION("""COMPUTED_VALUE"""),"")</f>
        <v/>
      </c>
    </row>
    <row r="15945">
      <c r="G15945" s="16" t="str">
        <f>IFERROR(__xludf.DUMMYFUNCTION("""COMPUTED_VALUE"""),"")</f>
        <v/>
      </c>
    </row>
    <row r="15946">
      <c r="G15946" s="16" t="str">
        <f>IFERROR(__xludf.DUMMYFUNCTION("""COMPUTED_VALUE"""),"")</f>
        <v/>
      </c>
    </row>
    <row r="15947">
      <c r="G15947" s="16" t="str">
        <f>IFERROR(__xludf.DUMMYFUNCTION("""COMPUTED_VALUE"""),"")</f>
        <v/>
      </c>
    </row>
    <row r="15948">
      <c r="G15948" s="16" t="str">
        <f>IFERROR(__xludf.DUMMYFUNCTION("""COMPUTED_VALUE"""),"")</f>
        <v/>
      </c>
    </row>
    <row r="15949">
      <c r="G15949" s="16" t="str">
        <f>IFERROR(__xludf.DUMMYFUNCTION("""COMPUTED_VALUE"""),"")</f>
        <v/>
      </c>
    </row>
    <row r="15950">
      <c r="G15950" s="16" t="str">
        <f>IFERROR(__xludf.DUMMYFUNCTION("""COMPUTED_VALUE"""),"")</f>
        <v/>
      </c>
    </row>
    <row r="15951">
      <c r="G15951" s="16" t="str">
        <f>IFERROR(__xludf.DUMMYFUNCTION("""COMPUTED_VALUE"""),"")</f>
        <v/>
      </c>
    </row>
    <row r="15952">
      <c r="G15952" s="16" t="str">
        <f>IFERROR(__xludf.DUMMYFUNCTION("""COMPUTED_VALUE"""),"")</f>
        <v/>
      </c>
    </row>
    <row r="15953">
      <c r="G15953" s="16" t="str">
        <f>IFERROR(__xludf.DUMMYFUNCTION("""COMPUTED_VALUE"""),"")</f>
        <v/>
      </c>
    </row>
    <row r="15954">
      <c r="G15954" s="16" t="str">
        <f>IFERROR(__xludf.DUMMYFUNCTION("""COMPUTED_VALUE"""),"")</f>
        <v/>
      </c>
    </row>
    <row r="15955">
      <c r="G15955" s="16" t="str">
        <f>IFERROR(__xludf.DUMMYFUNCTION("""COMPUTED_VALUE"""),"")</f>
        <v/>
      </c>
    </row>
    <row r="15956">
      <c r="G15956" s="16" t="str">
        <f>IFERROR(__xludf.DUMMYFUNCTION("""COMPUTED_VALUE"""),"")</f>
        <v/>
      </c>
    </row>
    <row r="15957">
      <c r="G15957" s="16" t="str">
        <f>IFERROR(__xludf.DUMMYFUNCTION("""COMPUTED_VALUE"""),"")</f>
        <v/>
      </c>
    </row>
    <row r="15958">
      <c r="G15958" s="16" t="str">
        <f>IFERROR(__xludf.DUMMYFUNCTION("""COMPUTED_VALUE"""),"")</f>
        <v/>
      </c>
    </row>
    <row r="15959">
      <c r="G15959" s="16" t="str">
        <f>IFERROR(__xludf.DUMMYFUNCTION("""COMPUTED_VALUE"""),"")</f>
        <v/>
      </c>
    </row>
    <row r="15960">
      <c r="G15960" s="16" t="str">
        <f>IFERROR(__xludf.DUMMYFUNCTION("""COMPUTED_VALUE"""),"")</f>
        <v/>
      </c>
    </row>
    <row r="15961">
      <c r="G15961" s="16" t="str">
        <f>IFERROR(__xludf.DUMMYFUNCTION("""COMPUTED_VALUE"""),"")</f>
        <v/>
      </c>
    </row>
    <row r="15962">
      <c r="G15962" s="16" t="str">
        <f>IFERROR(__xludf.DUMMYFUNCTION("""COMPUTED_VALUE"""),"")</f>
        <v/>
      </c>
    </row>
    <row r="15963">
      <c r="G15963" s="16" t="str">
        <f>IFERROR(__xludf.DUMMYFUNCTION("""COMPUTED_VALUE"""),"")</f>
        <v/>
      </c>
    </row>
    <row r="15964">
      <c r="G15964" s="16" t="str">
        <f>IFERROR(__xludf.DUMMYFUNCTION("""COMPUTED_VALUE"""),"")</f>
        <v/>
      </c>
    </row>
    <row r="15965">
      <c r="G15965" s="16" t="str">
        <f>IFERROR(__xludf.DUMMYFUNCTION("""COMPUTED_VALUE"""),"")</f>
        <v/>
      </c>
    </row>
    <row r="15966">
      <c r="G15966" s="16" t="str">
        <f>IFERROR(__xludf.DUMMYFUNCTION("""COMPUTED_VALUE"""),"")</f>
        <v/>
      </c>
    </row>
    <row r="15967">
      <c r="G15967" s="16" t="str">
        <f>IFERROR(__xludf.DUMMYFUNCTION("""COMPUTED_VALUE"""),"")</f>
        <v/>
      </c>
    </row>
    <row r="15968">
      <c r="G15968" s="16" t="str">
        <f>IFERROR(__xludf.DUMMYFUNCTION("""COMPUTED_VALUE"""),"")</f>
        <v/>
      </c>
    </row>
    <row r="15969">
      <c r="G15969" s="16" t="str">
        <f>IFERROR(__xludf.DUMMYFUNCTION("""COMPUTED_VALUE"""),"")</f>
        <v/>
      </c>
    </row>
    <row r="15970">
      <c r="G15970" s="16" t="str">
        <f>IFERROR(__xludf.DUMMYFUNCTION("""COMPUTED_VALUE"""),"")</f>
        <v/>
      </c>
    </row>
    <row r="15971">
      <c r="G15971" s="16" t="str">
        <f>IFERROR(__xludf.DUMMYFUNCTION("""COMPUTED_VALUE"""),"")</f>
        <v/>
      </c>
    </row>
    <row r="15972">
      <c r="G15972" s="16" t="str">
        <f>IFERROR(__xludf.DUMMYFUNCTION("""COMPUTED_VALUE"""),"")</f>
        <v/>
      </c>
    </row>
    <row r="15973">
      <c r="G15973" s="16" t="str">
        <f>IFERROR(__xludf.DUMMYFUNCTION("""COMPUTED_VALUE"""),"")</f>
        <v/>
      </c>
    </row>
    <row r="15974">
      <c r="G15974" s="16" t="str">
        <f>IFERROR(__xludf.DUMMYFUNCTION("""COMPUTED_VALUE"""),"")</f>
        <v/>
      </c>
    </row>
    <row r="15975">
      <c r="G15975" s="16" t="str">
        <f>IFERROR(__xludf.DUMMYFUNCTION("""COMPUTED_VALUE"""),"")</f>
        <v/>
      </c>
    </row>
    <row r="15976">
      <c r="G15976" s="16" t="str">
        <f>IFERROR(__xludf.DUMMYFUNCTION("""COMPUTED_VALUE"""),"")</f>
        <v/>
      </c>
    </row>
    <row r="15977">
      <c r="G15977" s="16" t="str">
        <f>IFERROR(__xludf.DUMMYFUNCTION("""COMPUTED_VALUE"""),"")</f>
        <v/>
      </c>
    </row>
    <row r="15978">
      <c r="G15978" s="16" t="str">
        <f>IFERROR(__xludf.DUMMYFUNCTION("""COMPUTED_VALUE"""),"")</f>
        <v/>
      </c>
    </row>
    <row r="15979">
      <c r="G15979" s="16" t="str">
        <f>IFERROR(__xludf.DUMMYFUNCTION("""COMPUTED_VALUE"""),"")</f>
        <v/>
      </c>
    </row>
    <row r="15980">
      <c r="G15980" s="16" t="str">
        <f>IFERROR(__xludf.DUMMYFUNCTION("""COMPUTED_VALUE"""),"")</f>
        <v/>
      </c>
    </row>
    <row r="15981">
      <c r="G15981" s="16" t="str">
        <f>IFERROR(__xludf.DUMMYFUNCTION("""COMPUTED_VALUE"""),"")</f>
        <v/>
      </c>
    </row>
    <row r="15982">
      <c r="G15982" s="16" t="str">
        <f>IFERROR(__xludf.DUMMYFUNCTION("""COMPUTED_VALUE"""),"")</f>
        <v/>
      </c>
    </row>
    <row r="15983">
      <c r="G15983" s="16" t="str">
        <f>IFERROR(__xludf.DUMMYFUNCTION("""COMPUTED_VALUE"""),"")</f>
        <v/>
      </c>
    </row>
    <row r="15984">
      <c r="G15984" s="16" t="str">
        <f>IFERROR(__xludf.DUMMYFUNCTION("""COMPUTED_VALUE"""),"")</f>
        <v/>
      </c>
    </row>
    <row r="15985">
      <c r="G15985" s="16" t="str">
        <f>IFERROR(__xludf.DUMMYFUNCTION("""COMPUTED_VALUE"""),"")</f>
        <v/>
      </c>
    </row>
    <row r="15986">
      <c r="G15986" s="16" t="str">
        <f>IFERROR(__xludf.DUMMYFUNCTION("""COMPUTED_VALUE"""),"")</f>
        <v/>
      </c>
    </row>
    <row r="15987">
      <c r="G15987" s="16" t="str">
        <f>IFERROR(__xludf.DUMMYFUNCTION("""COMPUTED_VALUE"""),"")</f>
        <v/>
      </c>
    </row>
    <row r="15988">
      <c r="G15988" s="16" t="str">
        <f>IFERROR(__xludf.DUMMYFUNCTION("""COMPUTED_VALUE"""),"")</f>
        <v/>
      </c>
    </row>
    <row r="15989">
      <c r="G15989" s="16" t="str">
        <f>IFERROR(__xludf.DUMMYFUNCTION("""COMPUTED_VALUE"""),"")</f>
        <v/>
      </c>
    </row>
    <row r="15990">
      <c r="G15990" s="16" t="str">
        <f>IFERROR(__xludf.DUMMYFUNCTION("""COMPUTED_VALUE"""),"")</f>
        <v/>
      </c>
    </row>
    <row r="15991">
      <c r="G15991" s="16" t="str">
        <f>IFERROR(__xludf.DUMMYFUNCTION("""COMPUTED_VALUE"""),"")</f>
        <v/>
      </c>
    </row>
    <row r="15992">
      <c r="G15992" s="16" t="str">
        <f>IFERROR(__xludf.DUMMYFUNCTION("""COMPUTED_VALUE"""),"")</f>
        <v/>
      </c>
    </row>
    <row r="15993">
      <c r="G15993" s="16" t="str">
        <f>IFERROR(__xludf.DUMMYFUNCTION("""COMPUTED_VALUE"""),"")</f>
        <v/>
      </c>
    </row>
    <row r="15994">
      <c r="G15994" s="16" t="str">
        <f>IFERROR(__xludf.DUMMYFUNCTION("""COMPUTED_VALUE"""),"")</f>
        <v/>
      </c>
    </row>
    <row r="15995">
      <c r="G15995" s="16" t="str">
        <f>IFERROR(__xludf.DUMMYFUNCTION("""COMPUTED_VALUE"""),"")</f>
        <v/>
      </c>
    </row>
    <row r="15996">
      <c r="G15996" s="16" t="str">
        <f>IFERROR(__xludf.DUMMYFUNCTION("""COMPUTED_VALUE"""),"")</f>
        <v/>
      </c>
    </row>
    <row r="15997">
      <c r="G15997" s="16" t="str">
        <f>IFERROR(__xludf.DUMMYFUNCTION("""COMPUTED_VALUE"""),"")</f>
        <v/>
      </c>
    </row>
    <row r="15998">
      <c r="G15998" s="16" t="str">
        <f>IFERROR(__xludf.DUMMYFUNCTION("""COMPUTED_VALUE"""),"")</f>
        <v/>
      </c>
    </row>
    <row r="15999">
      <c r="G15999" s="16" t="str">
        <f>IFERROR(__xludf.DUMMYFUNCTION("""COMPUTED_VALUE"""),"")</f>
        <v/>
      </c>
    </row>
    <row r="16000">
      <c r="G16000" s="16" t="str">
        <f>IFERROR(__xludf.DUMMYFUNCTION("""COMPUTED_VALUE"""),"")</f>
        <v/>
      </c>
    </row>
    <row r="16001">
      <c r="G16001" s="16" t="str">
        <f>IFERROR(__xludf.DUMMYFUNCTION("""COMPUTED_VALUE"""),"")</f>
        <v/>
      </c>
    </row>
    <row r="16002">
      <c r="G16002" s="16" t="str">
        <f>IFERROR(__xludf.DUMMYFUNCTION("""COMPUTED_VALUE"""),"")</f>
        <v/>
      </c>
    </row>
    <row r="16003">
      <c r="G16003" s="16" t="str">
        <f>IFERROR(__xludf.DUMMYFUNCTION("""COMPUTED_VALUE"""),"")</f>
        <v/>
      </c>
    </row>
    <row r="16004">
      <c r="G16004" s="16" t="str">
        <f>IFERROR(__xludf.DUMMYFUNCTION("""COMPUTED_VALUE"""),"")</f>
        <v/>
      </c>
    </row>
    <row r="16005">
      <c r="G16005" s="16" t="str">
        <f>IFERROR(__xludf.DUMMYFUNCTION("""COMPUTED_VALUE"""),"")</f>
        <v/>
      </c>
    </row>
    <row r="16006">
      <c r="G16006" s="16" t="str">
        <f>IFERROR(__xludf.DUMMYFUNCTION("""COMPUTED_VALUE"""),"")</f>
        <v/>
      </c>
    </row>
    <row r="16007">
      <c r="G16007" s="16" t="str">
        <f>IFERROR(__xludf.DUMMYFUNCTION("""COMPUTED_VALUE"""),"")</f>
        <v/>
      </c>
    </row>
    <row r="16008">
      <c r="G16008" s="16" t="str">
        <f>IFERROR(__xludf.DUMMYFUNCTION("""COMPUTED_VALUE"""),"")</f>
        <v/>
      </c>
    </row>
    <row r="16009">
      <c r="G16009" s="16" t="str">
        <f>IFERROR(__xludf.DUMMYFUNCTION("""COMPUTED_VALUE"""),"")</f>
        <v/>
      </c>
    </row>
    <row r="16010">
      <c r="G16010" s="16" t="str">
        <f>IFERROR(__xludf.DUMMYFUNCTION("""COMPUTED_VALUE"""),"")</f>
        <v/>
      </c>
    </row>
    <row r="16011">
      <c r="G16011" s="16" t="str">
        <f>IFERROR(__xludf.DUMMYFUNCTION("""COMPUTED_VALUE"""),"")</f>
        <v/>
      </c>
    </row>
    <row r="16012">
      <c r="G16012" s="16" t="str">
        <f>IFERROR(__xludf.DUMMYFUNCTION("""COMPUTED_VALUE"""),"")</f>
        <v/>
      </c>
    </row>
    <row r="16013">
      <c r="G16013" s="16" t="str">
        <f>IFERROR(__xludf.DUMMYFUNCTION("""COMPUTED_VALUE"""),"")</f>
        <v/>
      </c>
    </row>
    <row r="16014">
      <c r="G16014" s="16" t="str">
        <f>IFERROR(__xludf.DUMMYFUNCTION("""COMPUTED_VALUE"""),"")</f>
        <v/>
      </c>
    </row>
    <row r="16015">
      <c r="G16015" s="16" t="str">
        <f>IFERROR(__xludf.DUMMYFUNCTION("""COMPUTED_VALUE"""),"")</f>
        <v/>
      </c>
    </row>
    <row r="16016">
      <c r="G16016" s="16" t="str">
        <f>IFERROR(__xludf.DUMMYFUNCTION("""COMPUTED_VALUE"""),"")</f>
        <v/>
      </c>
    </row>
    <row r="16017">
      <c r="G16017" s="16" t="str">
        <f>IFERROR(__xludf.DUMMYFUNCTION("""COMPUTED_VALUE"""),"")</f>
        <v/>
      </c>
    </row>
    <row r="16018">
      <c r="G16018" s="16" t="str">
        <f>IFERROR(__xludf.DUMMYFUNCTION("""COMPUTED_VALUE"""),"")</f>
        <v/>
      </c>
    </row>
    <row r="16019">
      <c r="G16019" s="16" t="str">
        <f>IFERROR(__xludf.DUMMYFUNCTION("""COMPUTED_VALUE"""),"")</f>
        <v/>
      </c>
    </row>
    <row r="16020">
      <c r="G16020" s="16" t="str">
        <f>IFERROR(__xludf.DUMMYFUNCTION("""COMPUTED_VALUE"""),"")</f>
        <v/>
      </c>
    </row>
    <row r="16021">
      <c r="G16021" s="16" t="str">
        <f>IFERROR(__xludf.DUMMYFUNCTION("""COMPUTED_VALUE"""),"")</f>
        <v/>
      </c>
    </row>
    <row r="16022">
      <c r="G16022" s="16" t="str">
        <f>IFERROR(__xludf.DUMMYFUNCTION("""COMPUTED_VALUE"""),"")</f>
        <v/>
      </c>
    </row>
    <row r="16023">
      <c r="G16023" s="16" t="str">
        <f>IFERROR(__xludf.DUMMYFUNCTION("""COMPUTED_VALUE"""),"")</f>
        <v/>
      </c>
    </row>
    <row r="16024">
      <c r="G16024" s="16" t="str">
        <f>IFERROR(__xludf.DUMMYFUNCTION("""COMPUTED_VALUE"""),"")</f>
        <v/>
      </c>
    </row>
    <row r="16025">
      <c r="G16025" s="16" t="str">
        <f>IFERROR(__xludf.DUMMYFUNCTION("""COMPUTED_VALUE"""),"")</f>
        <v/>
      </c>
    </row>
    <row r="16026">
      <c r="G16026" s="16" t="str">
        <f>IFERROR(__xludf.DUMMYFUNCTION("""COMPUTED_VALUE"""),"")</f>
        <v/>
      </c>
    </row>
    <row r="16027">
      <c r="G16027" s="16" t="str">
        <f>IFERROR(__xludf.DUMMYFUNCTION("""COMPUTED_VALUE"""),"")</f>
        <v/>
      </c>
    </row>
    <row r="16028">
      <c r="G16028" s="16" t="str">
        <f>IFERROR(__xludf.DUMMYFUNCTION("""COMPUTED_VALUE"""),"")</f>
        <v/>
      </c>
    </row>
    <row r="16029">
      <c r="G16029" s="16" t="str">
        <f>IFERROR(__xludf.DUMMYFUNCTION("""COMPUTED_VALUE"""),"")</f>
        <v/>
      </c>
    </row>
    <row r="16030">
      <c r="G16030" s="16" t="str">
        <f>IFERROR(__xludf.DUMMYFUNCTION("""COMPUTED_VALUE"""),"")</f>
        <v/>
      </c>
    </row>
    <row r="16031">
      <c r="G16031" s="16" t="str">
        <f>IFERROR(__xludf.DUMMYFUNCTION("""COMPUTED_VALUE"""),"")</f>
        <v/>
      </c>
    </row>
    <row r="16032">
      <c r="G16032" s="16" t="str">
        <f>IFERROR(__xludf.DUMMYFUNCTION("""COMPUTED_VALUE"""),"")</f>
        <v/>
      </c>
    </row>
    <row r="16033">
      <c r="G16033" s="16" t="str">
        <f>IFERROR(__xludf.DUMMYFUNCTION("""COMPUTED_VALUE"""),"")</f>
        <v/>
      </c>
    </row>
    <row r="16034">
      <c r="G16034" s="16" t="str">
        <f>IFERROR(__xludf.DUMMYFUNCTION("""COMPUTED_VALUE"""),"")</f>
        <v/>
      </c>
    </row>
    <row r="16035">
      <c r="G16035" s="16" t="str">
        <f>IFERROR(__xludf.DUMMYFUNCTION("""COMPUTED_VALUE"""),"")</f>
        <v/>
      </c>
    </row>
    <row r="16036">
      <c r="G16036" s="16" t="str">
        <f>IFERROR(__xludf.DUMMYFUNCTION("""COMPUTED_VALUE"""),"")</f>
        <v/>
      </c>
    </row>
    <row r="16037">
      <c r="G16037" s="16" t="str">
        <f>IFERROR(__xludf.DUMMYFUNCTION("""COMPUTED_VALUE"""),"")</f>
        <v/>
      </c>
    </row>
    <row r="16038">
      <c r="G16038" s="16" t="str">
        <f>IFERROR(__xludf.DUMMYFUNCTION("""COMPUTED_VALUE"""),"")</f>
        <v/>
      </c>
    </row>
    <row r="16039">
      <c r="G16039" s="16" t="str">
        <f>IFERROR(__xludf.DUMMYFUNCTION("""COMPUTED_VALUE"""),"")</f>
        <v/>
      </c>
    </row>
    <row r="16040">
      <c r="G16040" s="16" t="str">
        <f>IFERROR(__xludf.DUMMYFUNCTION("""COMPUTED_VALUE"""),"")</f>
        <v/>
      </c>
    </row>
    <row r="16041">
      <c r="G16041" s="16" t="str">
        <f>IFERROR(__xludf.DUMMYFUNCTION("""COMPUTED_VALUE"""),"")</f>
        <v/>
      </c>
    </row>
    <row r="16042">
      <c r="G16042" s="16" t="str">
        <f>IFERROR(__xludf.DUMMYFUNCTION("""COMPUTED_VALUE"""),"")</f>
        <v/>
      </c>
    </row>
    <row r="16043">
      <c r="G16043" s="16" t="str">
        <f>IFERROR(__xludf.DUMMYFUNCTION("""COMPUTED_VALUE"""),"")</f>
        <v/>
      </c>
    </row>
    <row r="16044">
      <c r="G16044" s="16" t="str">
        <f>IFERROR(__xludf.DUMMYFUNCTION("""COMPUTED_VALUE"""),"")</f>
        <v/>
      </c>
    </row>
    <row r="16045">
      <c r="G16045" s="16" t="str">
        <f>IFERROR(__xludf.DUMMYFUNCTION("""COMPUTED_VALUE"""),"")</f>
        <v/>
      </c>
    </row>
    <row r="16046">
      <c r="G16046" s="16" t="str">
        <f>IFERROR(__xludf.DUMMYFUNCTION("""COMPUTED_VALUE"""),"")</f>
        <v/>
      </c>
    </row>
    <row r="16047">
      <c r="G16047" s="16" t="str">
        <f>IFERROR(__xludf.DUMMYFUNCTION("""COMPUTED_VALUE"""),"")</f>
        <v/>
      </c>
    </row>
    <row r="16048">
      <c r="G16048" s="16" t="str">
        <f>IFERROR(__xludf.DUMMYFUNCTION("""COMPUTED_VALUE"""),"")</f>
        <v/>
      </c>
    </row>
    <row r="16049">
      <c r="G16049" s="16" t="str">
        <f>IFERROR(__xludf.DUMMYFUNCTION("""COMPUTED_VALUE"""),"")</f>
        <v/>
      </c>
    </row>
    <row r="16050">
      <c r="G16050" s="16" t="str">
        <f>IFERROR(__xludf.DUMMYFUNCTION("""COMPUTED_VALUE"""),"")</f>
        <v/>
      </c>
    </row>
    <row r="16051">
      <c r="G16051" s="16" t="str">
        <f>IFERROR(__xludf.DUMMYFUNCTION("""COMPUTED_VALUE"""),"")</f>
        <v/>
      </c>
    </row>
    <row r="16052">
      <c r="G16052" s="16" t="str">
        <f>IFERROR(__xludf.DUMMYFUNCTION("""COMPUTED_VALUE"""),"")</f>
        <v/>
      </c>
    </row>
    <row r="16053">
      <c r="G16053" s="16" t="str">
        <f>IFERROR(__xludf.DUMMYFUNCTION("""COMPUTED_VALUE"""),"")</f>
        <v/>
      </c>
    </row>
    <row r="16054">
      <c r="G16054" s="16" t="str">
        <f>IFERROR(__xludf.DUMMYFUNCTION("""COMPUTED_VALUE"""),"")</f>
        <v/>
      </c>
    </row>
    <row r="16055">
      <c r="G16055" s="16" t="str">
        <f>IFERROR(__xludf.DUMMYFUNCTION("""COMPUTED_VALUE"""),"")</f>
        <v/>
      </c>
    </row>
    <row r="16056">
      <c r="G16056" s="16" t="str">
        <f>IFERROR(__xludf.DUMMYFUNCTION("""COMPUTED_VALUE"""),"")</f>
        <v/>
      </c>
    </row>
    <row r="16057">
      <c r="G16057" s="16" t="str">
        <f>IFERROR(__xludf.DUMMYFUNCTION("""COMPUTED_VALUE"""),"")</f>
        <v/>
      </c>
    </row>
    <row r="16058">
      <c r="G16058" s="16" t="str">
        <f>IFERROR(__xludf.DUMMYFUNCTION("""COMPUTED_VALUE"""),"")</f>
        <v/>
      </c>
    </row>
    <row r="16059">
      <c r="G16059" s="16" t="str">
        <f>IFERROR(__xludf.DUMMYFUNCTION("""COMPUTED_VALUE"""),"")</f>
        <v/>
      </c>
    </row>
    <row r="16060">
      <c r="G16060" s="16" t="str">
        <f>IFERROR(__xludf.DUMMYFUNCTION("""COMPUTED_VALUE"""),"")</f>
        <v/>
      </c>
    </row>
    <row r="16061">
      <c r="G16061" s="16" t="str">
        <f>IFERROR(__xludf.DUMMYFUNCTION("""COMPUTED_VALUE"""),"")</f>
        <v/>
      </c>
    </row>
    <row r="16062">
      <c r="G16062" s="16" t="str">
        <f>IFERROR(__xludf.DUMMYFUNCTION("""COMPUTED_VALUE"""),"")</f>
        <v/>
      </c>
    </row>
    <row r="16063">
      <c r="G16063" s="16" t="str">
        <f>IFERROR(__xludf.DUMMYFUNCTION("""COMPUTED_VALUE"""),"")</f>
        <v/>
      </c>
    </row>
    <row r="16064">
      <c r="G16064" s="16" t="str">
        <f>IFERROR(__xludf.DUMMYFUNCTION("""COMPUTED_VALUE"""),"")</f>
        <v/>
      </c>
    </row>
    <row r="16065">
      <c r="G16065" s="16" t="str">
        <f>IFERROR(__xludf.DUMMYFUNCTION("""COMPUTED_VALUE"""),"")</f>
        <v/>
      </c>
    </row>
    <row r="16066">
      <c r="G16066" s="16" t="str">
        <f>IFERROR(__xludf.DUMMYFUNCTION("""COMPUTED_VALUE"""),"")</f>
        <v/>
      </c>
    </row>
    <row r="16067">
      <c r="G16067" s="16" t="str">
        <f>IFERROR(__xludf.DUMMYFUNCTION("""COMPUTED_VALUE"""),"")</f>
        <v/>
      </c>
    </row>
    <row r="16068">
      <c r="G16068" s="16" t="str">
        <f>IFERROR(__xludf.DUMMYFUNCTION("""COMPUTED_VALUE"""),"")</f>
        <v/>
      </c>
    </row>
    <row r="16069">
      <c r="G16069" s="16" t="str">
        <f>IFERROR(__xludf.DUMMYFUNCTION("""COMPUTED_VALUE"""),"")</f>
        <v/>
      </c>
    </row>
    <row r="16070">
      <c r="G16070" s="16" t="str">
        <f>IFERROR(__xludf.DUMMYFUNCTION("""COMPUTED_VALUE"""),"")</f>
        <v/>
      </c>
    </row>
    <row r="16071">
      <c r="G16071" s="16" t="str">
        <f>IFERROR(__xludf.DUMMYFUNCTION("""COMPUTED_VALUE"""),"")</f>
        <v/>
      </c>
    </row>
    <row r="16072">
      <c r="G16072" s="16" t="str">
        <f>IFERROR(__xludf.DUMMYFUNCTION("""COMPUTED_VALUE"""),"")</f>
        <v/>
      </c>
    </row>
    <row r="16073">
      <c r="G16073" s="16" t="str">
        <f>IFERROR(__xludf.DUMMYFUNCTION("""COMPUTED_VALUE"""),"")</f>
        <v/>
      </c>
    </row>
    <row r="16074">
      <c r="G16074" s="16" t="str">
        <f>IFERROR(__xludf.DUMMYFUNCTION("""COMPUTED_VALUE"""),"")</f>
        <v/>
      </c>
    </row>
    <row r="16075">
      <c r="G16075" s="16" t="str">
        <f>IFERROR(__xludf.DUMMYFUNCTION("""COMPUTED_VALUE"""),"")</f>
        <v/>
      </c>
    </row>
    <row r="16076">
      <c r="G16076" s="16" t="str">
        <f>IFERROR(__xludf.DUMMYFUNCTION("""COMPUTED_VALUE"""),"")</f>
        <v/>
      </c>
    </row>
    <row r="16077">
      <c r="G16077" s="16" t="str">
        <f>IFERROR(__xludf.DUMMYFUNCTION("""COMPUTED_VALUE"""),"")</f>
        <v/>
      </c>
    </row>
    <row r="16078">
      <c r="G16078" s="16" t="str">
        <f>IFERROR(__xludf.DUMMYFUNCTION("""COMPUTED_VALUE"""),"")</f>
        <v/>
      </c>
    </row>
    <row r="16079">
      <c r="G16079" s="16" t="str">
        <f>IFERROR(__xludf.DUMMYFUNCTION("""COMPUTED_VALUE"""),"")</f>
        <v/>
      </c>
    </row>
    <row r="16080">
      <c r="G16080" s="16" t="str">
        <f>IFERROR(__xludf.DUMMYFUNCTION("""COMPUTED_VALUE"""),"")</f>
        <v/>
      </c>
    </row>
    <row r="16081">
      <c r="G16081" s="16" t="str">
        <f>IFERROR(__xludf.DUMMYFUNCTION("""COMPUTED_VALUE"""),"")</f>
        <v/>
      </c>
    </row>
    <row r="16082">
      <c r="G16082" s="16" t="str">
        <f>IFERROR(__xludf.DUMMYFUNCTION("""COMPUTED_VALUE"""),"")</f>
        <v/>
      </c>
    </row>
    <row r="16083">
      <c r="G16083" s="16" t="str">
        <f>IFERROR(__xludf.DUMMYFUNCTION("""COMPUTED_VALUE"""),"")</f>
        <v/>
      </c>
    </row>
    <row r="16084">
      <c r="G16084" s="16" t="str">
        <f>IFERROR(__xludf.DUMMYFUNCTION("""COMPUTED_VALUE"""),"")</f>
        <v/>
      </c>
    </row>
    <row r="16085">
      <c r="G16085" s="16" t="str">
        <f>IFERROR(__xludf.DUMMYFUNCTION("""COMPUTED_VALUE"""),"")</f>
        <v/>
      </c>
    </row>
    <row r="16086">
      <c r="G16086" s="16" t="str">
        <f>IFERROR(__xludf.DUMMYFUNCTION("""COMPUTED_VALUE"""),"")</f>
        <v/>
      </c>
    </row>
    <row r="16087">
      <c r="G16087" s="16" t="str">
        <f>IFERROR(__xludf.DUMMYFUNCTION("""COMPUTED_VALUE"""),"")</f>
        <v/>
      </c>
    </row>
    <row r="16088">
      <c r="G16088" s="16" t="str">
        <f>IFERROR(__xludf.DUMMYFUNCTION("""COMPUTED_VALUE"""),"")</f>
        <v/>
      </c>
    </row>
    <row r="16089">
      <c r="G16089" s="16" t="str">
        <f>IFERROR(__xludf.DUMMYFUNCTION("""COMPUTED_VALUE"""),"")</f>
        <v/>
      </c>
    </row>
    <row r="16090">
      <c r="G16090" s="16" t="str">
        <f>IFERROR(__xludf.DUMMYFUNCTION("""COMPUTED_VALUE"""),"")</f>
        <v/>
      </c>
    </row>
    <row r="16091">
      <c r="G16091" s="16" t="str">
        <f>IFERROR(__xludf.DUMMYFUNCTION("""COMPUTED_VALUE"""),"")</f>
        <v/>
      </c>
    </row>
    <row r="16092">
      <c r="G16092" s="16" t="str">
        <f>IFERROR(__xludf.DUMMYFUNCTION("""COMPUTED_VALUE"""),"")</f>
        <v/>
      </c>
    </row>
    <row r="16093">
      <c r="G16093" s="16" t="str">
        <f>IFERROR(__xludf.DUMMYFUNCTION("""COMPUTED_VALUE"""),"")</f>
        <v/>
      </c>
    </row>
    <row r="16094">
      <c r="G16094" s="16" t="str">
        <f>IFERROR(__xludf.DUMMYFUNCTION("""COMPUTED_VALUE"""),"")</f>
        <v/>
      </c>
    </row>
    <row r="16095">
      <c r="G16095" s="16" t="str">
        <f>IFERROR(__xludf.DUMMYFUNCTION("""COMPUTED_VALUE"""),"")</f>
        <v/>
      </c>
    </row>
    <row r="16096">
      <c r="G16096" s="16" t="str">
        <f>IFERROR(__xludf.DUMMYFUNCTION("""COMPUTED_VALUE"""),"")</f>
        <v/>
      </c>
    </row>
    <row r="16097">
      <c r="G16097" s="16" t="str">
        <f>IFERROR(__xludf.DUMMYFUNCTION("""COMPUTED_VALUE"""),"")</f>
        <v/>
      </c>
    </row>
    <row r="16098">
      <c r="G16098" s="16" t="str">
        <f>IFERROR(__xludf.DUMMYFUNCTION("""COMPUTED_VALUE"""),"")</f>
        <v/>
      </c>
    </row>
    <row r="16099">
      <c r="G16099" s="16" t="str">
        <f>IFERROR(__xludf.DUMMYFUNCTION("""COMPUTED_VALUE"""),"")</f>
        <v/>
      </c>
    </row>
    <row r="16100">
      <c r="G16100" s="16" t="str">
        <f>IFERROR(__xludf.DUMMYFUNCTION("""COMPUTED_VALUE"""),"")</f>
        <v/>
      </c>
    </row>
    <row r="16101">
      <c r="G16101" s="16" t="str">
        <f>IFERROR(__xludf.DUMMYFUNCTION("""COMPUTED_VALUE"""),"")</f>
        <v/>
      </c>
    </row>
    <row r="16102">
      <c r="G16102" s="16" t="str">
        <f>IFERROR(__xludf.DUMMYFUNCTION("""COMPUTED_VALUE"""),"")</f>
        <v/>
      </c>
    </row>
    <row r="16103">
      <c r="G16103" s="16" t="str">
        <f>IFERROR(__xludf.DUMMYFUNCTION("""COMPUTED_VALUE"""),"")</f>
        <v/>
      </c>
    </row>
    <row r="16104">
      <c r="G16104" s="16" t="str">
        <f>IFERROR(__xludf.DUMMYFUNCTION("""COMPUTED_VALUE"""),"")</f>
        <v/>
      </c>
    </row>
    <row r="16105">
      <c r="G16105" s="16" t="str">
        <f>IFERROR(__xludf.DUMMYFUNCTION("""COMPUTED_VALUE"""),"")</f>
        <v/>
      </c>
    </row>
    <row r="16106">
      <c r="G16106" s="16" t="str">
        <f>IFERROR(__xludf.DUMMYFUNCTION("""COMPUTED_VALUE"""),"")</f>
        <v/>
      </c>
    </row>
    <row r="16107">
      <c r="G16107" s="16" t="str">
        <f>IFERROR(__xludf.DUMMYFUNCTION("""COMPUTED_VALUE"""),"")</f>
        <v/>
      </c>
    </row>
    <row r="16108">
      <c r="G16108" s="16" t="str">
        <f>IFERROR(__xludf.DUMMYFUNCTION("""COMPUTED_VALUE"""),"")</f>
        <v/>
      </c>
    </row>
    <row r="16109">
      <c r="G16109" s="16" t="str">
        <f>IFERROR(__xludf.DUMMYFUNCTION("""COMPUTED_VALUE"""),"")</f>
        <v/>
      </c>
    </row>
    <row r="16110">
      <c r="G16110" s="16" t="str">
        <f>IFERROR(__xludf.DUMMYFUNCTION("""COMPUTED_VALUE"""),"")</f>
        <v/>
      </c>
    </row>
    <row r="16111">
      <c r="G16111" s="16" t="str">
        <f>IFERROR(__xludf.DUMMYFUNCTION("""COMPUTED_VALUE"""),"")</f>
        <v/>
      </c>
    </row>
    <row r="16112">
      <c r="G16112" s="16" t="str">
        <f>IFERROR(__xludf.DUMMYFUNCTION("""COMPUTED_VALUE"""),"")</f>
        <v/>
      </c>
    </row>
    <row r="16113">
      <c r="G16113" s="16" t="str">
        <f>IFERROR(__xludf.DUMMYFUNCTION("""COMPUTED_VALUE"""),"")</f>
        <v/>
      </c>
    </row>
    <row r="16114">
      <c r="G16114" s="16" t="str">
        <f>IFERROR(__xludf.DUMMYFUNCTION("""COMPUTED_VALUE"""),"")</f>
        <v/>
      </c>
    </row>
    <row r="16115">
      <c r="G16115" s="16" t="str">
        <f>IFERROR(__xludf.DUMMYFUNCTION("""COMPUTED_VALUE"""),"")</f>
        <v/>
      </c>
    </row>
    <row r="16116">
      <c r="G16116" s="16" t="str">
        <f>IFERROR(__xludf.DUMMYFUNCTION("""COMPUTED_VALUE"""),"")</f>
        <v/>
      </c>
    </row>
    <row r="16117">
      <c r="G16117" s="16" t="str">
        <f>IFERROR(__xludf.DUMMYFUNCTION("""COMPUTED_VALUE"""),"")</f>
        <v/>
      </c>
    </row>
    <row r="16118">
      <c r="G16118" s="16" t="str">
        <f>IFERROR(__xludf.DUMMYFUNCTION("""COMPUTED_VALUE"""),"")</f>
        <v/>
      </c>
    </row>
    <row r="16119">
      <c r="G16119" s="16" t="str">
        <f>IFERROR(__xludf.DUMMYFUNCTION("""COMPUTED_VALUE"""),"")</f>
        <v/>
      </c>
    </row>
    <row r="16120">
      <c r="G16120" s="16" t="str">
        <f>IFERROR(__xludf.DUMMYFUNCTION("""COMPUTED_VALUE"""),"")</f>
        <v/>
      </c>
    </row>
    <row r="16121">
      <c r="G16121" s="16" t="str">
        <f>IFERROR(__xludf.DUMMYFUNCTION("""COMPUTED_VALUE"""),"")</f>
        <v/>
      </c>
    </row>
    <row r="16122">
      <c r="G16122" s="16" t="str">
        <f>IFERROR(__xludf.DUMMYFUNCTION("""COMPUTED_VALUE"""),"")</f>
        <v/>
      </c>
    </row>
    <row r="16123">
      <c r="G16123" s="16" t="str">
        <f>IFERROR(__xludf.DUMMYFUNCTION("""COMPUTED_VALUE"""),"")</f>
        <v/>
      </c>
    </row>
    <row r="16124">
      <c r="G16124" s="16" t="str">
        <f>IFERROR(__xludf.DUMMYFUNCTION("""COMPUTED_VALUE"""),"")</f>
        <v/>
      </c>
    </row>
    <row r="16125">
      <c r="G16125" s="16" t="str">
        <f>IFERROR(__xludf.DUMMYFUNCTION("""COMPUTED_VALUE"""),"")</f>
        <v/>
      </c>
    </row>
    <row r="16126">
      <c r="G16126" s="16" t="str">
        <f>IFERROR(__xludf.DUMMYFUNCTION("""COMPUTED_VALUE"""),"")</f>
        <v/>
      </c>
    </row>
    <row r="16127">
      <c r="G16127" s="16" t="str">
        <f>IFERROR(__xludf.DUMMYFUNCTION("""COMPUTED_VALUE"""),"")</f>
        <v/>
      </c>
    </row>
    <row r="16128">
      <c r="G16128" s="16" t="str">
        <f>IFERROR(__xludf.DUMMYFUNCTION("""COMPUTED_VALUE"""),"")</f>
        <v/>
      </c>
    </row>
    <row r="16129">
      <c r="G16129" s="16" t="str">
        <f>IFERROR(__xludf.DUMMYFUNCTION("""COMPUTED_VALUE"""),"")</f>
        <v/>
      </c>
    </row>
    <row r="16130">
      <c r="G16130" s="16" t="str">
        <f>IFERROR(__xludf.DUMMYFUNCTION("""COMPUTED_VALUE"""),"")</f>
        <v/>
      </c>
    </row>
    <row r="16131">
      <c r="G16131" s="16" t="str">
        <f>IFERROR(__xludf.DUMMYFUNCTION("""COMPUTED_VALUE"""),"")</f>
        <v/>
      </c>
    </row>
    <row r="16132">
      <c r="G16132" s="16" t="str">
        <f>IFERROR(__xludf.DUMMYFUNCTION("""COMPUTED_VALUE"""),"")</f>
        <v/>
      </c>
    </row>
    <row r="16133">
      <c r="G16133" s="16" t="str">
        <f>IFERROR(__xludf.DUMMYFUNCTION("""COMPUTED_VALUE"""),"")</f>
        <v/>
      </c>
    </row>
    <row r="16134">
      <c r="G16134" s="16" t="str">
        <f>IFERROR(__xludf.DUMMYFUNCTION("""COMPUTED_VALUE"""),"")</f>
        <v/>
      </c>
    </row>
    <row r="16135">
      <c r="G16135" s="16" t="str">
        <f>IFERROR(__xludf.DUMMYFUNCTION("""COMPUTED_VALUE"""),"")</f>
        <v/>
      </c>
    </row>
    <row r="16136">
      <c r="G16136" s="16" t="str">
        <f>IFERROR(__xludf.DUMMYFUNCTION("""COMPUTED_VALUE"""),"")</f>
        <v/>
      </c>
    </row>
    <row r="16137">
      <c r="G16137" s="16" t="str">
        <f>IFERROR(__xludf.DUMMYFUNCTION("""COMPUTED_VALUE"""),"")</f>
        <v/>
      </c>
    </row>
    <row r="16138">
      <c r="G16138" s="16" t="str">
        <f>IFERROR(__xludf.DUMMYFUNCTION("""COMPUTED_VALUE"""),"")</f>
        <v/>
      </c>
    </row>
    <row r="16139">
      <c r="G16139" s="16" t="str">
        <f>IFERROR(__xludf.DUMMYFUNCTION("""COMPUTED_VALUE"""),"")</f>
        <v/>
      </c>
    </row>
    <row r="16140">
      <c r="G16140" s="16" t="str">
        <f>IFERROR(__xludf.DUMMYFUNCTION("""COMPUTED_VALUE"""),"")</f>
        <v/>
      </c>
    </row>
    <row r="16141">
      <c r="G16141" s="16" t="str">
        <f>IFERROR(__xludf.DUMMYFUNCTION("""COMPUTED_VALUE"""),"")</f>
        <v/>
      </c>
    </row>
    <row r="16142">
      <c r="G16142" s="16" t="str">
        <f>IFERROR(__xludf.DUMMYFUNCTION("""COMPUTED_VALUE"""),"")</f>
        <v/>
      </c>
    </row>
    <row r="16143">
      <c r="G16143" s="16" t="str">
        <f>IFERROR(__xludf.DUMMYFUNCTION("""COMPUTED_VALUE"""),"")</f>
        <v/>
      </c>
    </row>
    <row r="16144">
      <c r="G16144" s="16" t="str">
        <f>IFERROR(__xludf.DUMMYFUNCTION("""COMPUTED_VALUE"""),"")</f>
        <v/>
      </c>
    </row>
    <row r="16145">
      <c r="G16145" s="16" t="str">
        <f>IFERROR(__xludf.DUMMYFUNCTION("""COMPUTED_VALUE"""),"")</f>
        <v/>
      </c>
    </row>
    <row r="16146">
      <c r="G16146" s="16" t="str">
        <f>IFERROR(__xludf.DUMMYFUNCTION("""COMPUTED_VALUE"""),"")</f>
        <v/>
      </c>
    </row>
    <row r="16147">
      <c r="G16147" s="16" t="str">
        <f>IFERROR(__xludf.DUMMYFUNCTION("""COMPUTED_VALUE"""),"")</f>
        <v/>
      </c>
    </row>
    <row r="16148">
      <c r="G16148" s="16" t="str">
        <f>IFERROR(__xludf.DUMMYFUNCTION("""COMPUTED_VALUE"""),"")</f>
        <v/>
      </c>
    </row>
    <row r="16149">
      <c r="G16149" s="16" t="str">
        <f>IFERROR(__xludf.DUMMYFUNCTION("""COMPUTED_VALUE"""),"")</f>
        <v/>
      </c>
    </row>
    <row r="16150">
      <c r="G16150" s="16" t="str">
        <f>IFERROR(__xludf.DUMMYFUNCTION("""COMPUTED_VALUE"""),"")</f>
        <v/>
      </c>
    </row>
    <row r="16151">
      <c r="G16151" s="16" t="str">
        <f>IFERROR(__xludf.DUMMYFUNCTION("""COMPUTED_VALUE"""),"")</f>
        <v/>
      </c>
    </row>
  </sheetData>
  <conditionalFormatting sqref="A1:G16152">
    <cfRule type="expression" dxfId="0" priority="1">
      <formula>AND($G1&lt;-10,$G1&gt;10)</formula>
    </cfRule>
  </conditionalFormatting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5.88"/>
    <col customWidth="1" min="3" max="3" width="25.0"/>
    <col customWidth="1" min="4" max="4" width="24.75"/>
    <col customWidth="1" min="5" max="5" width="8.63"/>
    <col customWidth="1" min="6" max="6" width="13.63"/>
  </cols>
  <sheetData>
    <row r="1">
      <c r="A1" s="22" t="s">
        <v>102</v>
      </c>
      <c r="B1" s="22" t="s">
        <v>103</v>
      </c>
      <c r="C1" s="23" t="s">
        <v>16</v>
      </c>
      <c r="D1" s="23" t="s">
        <v>17</v>
      </c>
      <c r="E1" s="24" t="s">
        <v>104</v>
      </c>
      <c r="F1" s="25" t="s">
        <v>105</v>
      </c>
      <c r="G1" s="26" t="s">
        <v>106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27">
        <v>45688.0</v>
      </c>
      <c r="B2" s="28" t="s">
        <v>84</v>
      </c>
      <c r="C2" s="29" t="s">
        <v>107</v>
      </c>
      <c r="D2" s="29" t="s">
        <v>107</v>
      </c>
      <c r="E2" s="30" t="str">
        <f t="array" ref="E2:E989">IF(F2:F989="",IFERROR( IFS(D2:D989="","",VLOOKUP(D2:D989,'MAIN PIVOT'!B2:B989,1,0)=D2:D989,"DONE"),"PENDING"),F2:F989)</f>
        <v>CLOSE  </v>
      </c>
      <c r="F2" s="29" t="s">
        <v>108</v>
      </c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</row>
    <row r="3">
      <c r="A3" s="27">
        <v>45688.0</v>
      </c>
      <c r="B3" s="28" t="s">
        <v>84</v>
      </c>
      <c r="C3" s="29" t="s">
        <v>109</v>
      </c>
      <c r="D3" s="29" t="s">
        <v>109</v>
      </c>
      <c r="E3" s="30" t="s">
        <v>110</v>
      </c>
      <c r="F3" s="32" t="s">
        <v>110</v>
      </c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</row>
    <row r="4">
      <c r="A4" s="27">
        <v>45688.0</v>
      </c>
      <c r="B4" s="28" t="s">
        <v>84</v>
      </c>
      <c r="C4" s="29" t="s">
        <v>94</v>
      </c>
      <c r="D4" s="29" t="s">
        <v>94</v>
      </c>
      <c r="E4" s="30" t="s">
        <v>111</v>
      </c>
      <c r="F4" s="32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</row>
    <row r="5">
      <c r="A5" s="27">
        <v>45688.0</v>
      </c>
      <c r="B5" s="28" t="s">
        <v>84</v>
      </c>
      <c r="C5" s="29" t="s">
        <v>112</v>
      </c>
      <c r="D5" s="29" t="s">
        <v>112</v>
      </c>
      <c r="E5" s="30" t="s">
        <v>110</v>
      </c>
      <c r="F5" s="32" t="s">
        <v>110</v>
      </c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</row>
    <row r="6">
      <c r="A6" s="27">
        <v>45688.0</v>
      </c>
      <c r="B6" s="28" t="s">
        <v>84</v>
      </c>
      <c r="C6" s="29" t="s">
        <v>113</v>
      </c>
      <c r="D6" s="29" t="s">
        <v>114</v>
      </c>
      <c r="E6" s="30" t="s">
        <v>110</v>
      </c>
      <c r="F6" s="32" t="s">
        <v>110</v>
      </c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</row>
    <row r="7">
      <c r="A7" s="27">
        <v>45688.0</v>
      </c>
      <c r="B7" s="28" t="s">
        <v>84</v>
      </c>
      <c r="C7" s="29" t="s">
        <v>115</v>
      </c>
      <c r="D7" s="29" t="s">
        <v>116</v>
      </c>
      <c r="E7" s="30" t="s">
        <v>110</v>
      </c>
      <c r="F7" s="32" t="s">
        <v>110</v>
      </c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</row>
    <row r="8">
      <c r="A8" s="27">
        <v>45688.0</v>
      </c>
      <c r="B8" s="28" t="s">
        <v>84</v>
      </c>
      <c r="C8" s="29" t="s">
        <v>99</v>
      </c>
      <c r="D8" s="29" t="s">
        <v>100</v>
      </c>
      <c r="E8" s="30" t="s">
        <v>111</v>
      </c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</row>
    <row r="9">
      <c r="A9" s="27">
        <v>45688.0</v>
      </c>
      <c r="B9" s="28" t="s">
        <v>84</v>
      </c>
      <c r="C9" s="29" t="s">
        <v>99</v>
      </c>
      <c r="D9" s="29" t="s">
        <v>117</v>
      </c>
      <c r="E9" s="30" t="s">
        <v>118</v>
      </c>
      <c r="F9" s="32" t="s">
        <v>118</v>
      </c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</row>
    <row r="10">
      <c r="A10" s="27">
        <v>45688.0</v>
      </c>
      <c r="B10" s="28" t="s">
        <v>84</v>
      </c>
      <c r="C10" s="29" t="s">
        <v>119</v>
      </c>
      <c r="D10" s="29" t="s">
        <v>119</v>
      </c>
      <c r="E10" s="30" t="s">
        <v>120</v>
      </c>
      <c r="F10" s="32" t="s">
        <v>120</v>
      </c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</row>
    <row r="11">
      <c r="A11" s="27">
        <v>45688.0</v>
      </c>
      <c r="B11" s="28" t="s">
        <v>84</v>
      </c>
      <c r="C11" s="29" t="s">
        <v>121</v>
      </c>
      <c r="D11" s="29" t="s">
        <v>96</v>
      </c>
      <c r="E11" s="30" t="s">
        <v>111</v>
      </c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</row>
    <row r="12">
      <c r="A12" s="27">
        <v>45688.0</v>
      </c>
      <c r="B12" s="28" t="s">
        <v>84</v>
      </c>
      <c r="C12" s="29" t="s">
        <v>122</v>
      </c>
      <c r="D12" s="29" t="s">
        <v>122</v>
      </c>
      <c r="E12" s="30" t="s">
        <v>110</v>
      </c>
      <c r="F12" s="32" t="s">
        <v>110</v>
      </c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</row>
    <row r="13">
      <c r="A13" s="27">
        <v>45688.0</v>
      </c>
      <c r="B13" s="28" t="s">
        <v>84</v>
      </c>
      <c r="C13" s="33" t="s">
        <v>123</v>
      </c>
      <c r="D13" s="33" t="s">
        <v>123</v>
      </c>
      <c r="E13" s="31" t="s">
        <v>110</v>
      </c>
      <c r="F13" s="32" t="s">
        <v>110</v>
      </c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</row>
    <row r="14">
      <c r="A14" s="27">
        <v>45688.0</v>
      </c>
      <c r="B14" s="28" t="s">
        <v>84</v>
      </c>
      <c r="C14" s="29" t="s">
        <v>121</v>
      </c>
      <c r="D14" s="34" t="s">
        <v>97</v>
      </c>
      <c r="E14" s="31" t="s">
        <v>118</v>
      </c>
      <c r="F14" s="32" t="s">
        <v>118</v>
      </c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</row>
    <row r="15">
      <c r="A15" s="27">
        <v>45688.0</v>
      </c>
      <c r="B15" s="28" t="s">
        <v>84</v>
      </c>
      <c r="C15" s="35" t="s">
        <v>124</v>
      </c>
      <c r="D15" s="35" t="s">
        <v>125</v>
      </c>
      <c r="E15" s="31" t="s">
        <v>126</v>
      </c>
      <c r="F15" s="32" t="s">
        <v>126</v>
      </c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</row>
    <row r="16">
      <c r="A16" s="27">
        <v>45688.0</v>
      </c>
      <c r="B16" s="28" t="s">
        <v>84</v>
      </c>
      <c r="C16" s="35" t="s">
        <v>98</v>
      </c>
      <c r="D16" s="35" t="s">
        <v>98</v>
      </c>
      <c r="E16" s="31" t="s">
        <v>111</v>
      </c>
      <c r="F16" s="32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</row>
    <row r="17">
      <c r="A17" s="36"/>
      <c r="B17" s="36"/>
      <c r="C17" s="35"/>
      <c r="D17" s="35"/>
      <c r="E17" s="31" t="s">
        <v>87</v>
      </c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</row>
    <row r="18">
      <c r="A18" s="36"/>
      <c r="B18" s="36"/>
      <c r="C18" s="35"/>
      <c r="D18" s="35"/>
      <c r="E18" s="31" t="s">
        <v>87</v>
      </c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</row>
    <row r="19">
      <c r="A19" s="36"/>
      <c r="B19" s="36"/>
      <c r="C19" s="35"/>
      <c r="D19" s="35"/>
      <c r="E19" s="31" t="s">
        <v>87</v>
      </c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</row>
    <row r="20">
      <c r="A20" s="36"/>
      <c r="B20" s="36"/>
      <c r="C20" s="35"/>
      <c r="D20" s="35"/>
      <c r="E20" s="31" t="s">
        <v>87</v>
      </c>
      <c r="F20" s="31"/>
      <c r="G20" s="31"/>
      <c r="H20" s="37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</row>
    <row r="21">
      <c r="A21" s="36"/>
      <c r="B21" s="36"/>
      <c r="C21" s="35"/>
      <c r="D21" s="35"/>
      <c r="E21" s="31" t="s">
        <v>87</v>
      </c>
      <c r="F21" s="31"/>
      <c r="G21" s="31"/>
      <c r="H21" s="37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</row>
    <row r="22">
      <c r="A22" s="36"/>
      <c r="B22" s="36"/>
      <c r="C22" s="35"/>
      <c r="D22" s="35"/>
      <c r="E22" s="31" t="s">
        <v>87</v>
      </c>
      <c r="F22" s="31"/>
      <c r="G22" s="31"/>
      <c r="H22" s="37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</row>
    <row r="23">
      <c r="A23" s="36"/>
      <c r="B23" s="36"/>
      <c r="C23" s="35"/>
      <c r="D23" s="35"/>
      <c r="E23" s="31" t="s">
        <v>87</v>
      </c>
      <c r="F23" s="31"/>
      <c r="G23" s="31"/>
      <c r="H23" s="37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</row>
    <row r="24">
      <c r="A24" s="36"/>
      <c r="B24" s="36"/>
      <c r="C24" s="35"/>
      <c r="D24" s="35"/>
      <c r="E24" s="31" t="s">
        <v>87</v>
      </c>
      <c r="F24" s="31"/>
      <c r="G24" s="31"/>
      <c r="H24" s="37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</row>
    <row r="25">
      <c r="A25" s="36"/>
      <c r="B25" s="36"/>
      <c r="C25" s="35"/>
      <c r="D25" s="35"/>
      <c r="E25" s="31" t="s">
        <v>87</v>
      </c>
      <c r="F25" s="31"/>
      <c r="G25" s="31"/>
      <c r="H25" s="37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</row>
    <row r="26">
      <c r="A26" s="36"/>
      <c r="B26" s="36"/>
      <c r="C26" s="35"/>
      <c r="D26" s="35"/>
      <c r="E26" s="31" t="s">
        <v>87</v>
      </c>
      <c r="F26" s="31"/>
      <c r="G26" s="31"/>
      <c r="H26" s="37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</row>
    <row r="27">
      <c r="A27" s="36"/>
      <c r="B27" s="36"/>
      <c r="C27" s="35"/>
      <c r="D27" s="35"/>
      <c r="E27" s="31" t="s">
        <v>87</v>
      </c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</row>
    <row r="28">
      <c r="A28" s="36"/>
      <c r="B28" s="36"/>
      <c r="C28" s="35"/>
      <c r="D28" s="35"/>
      <c r="E28" s="31" t="s">
        <v>87</v>
      </c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</row>
    <row r="29">
      <c r="A29" s="36"/>
      <c r="B29" s="36"/>
      <c r="C29" s="35"/>
      <c r="D29" s="35"/>
      <c r="E29" s="31" t="s">
        <v>87</v>
      </c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</row>
    <row r="30">
      <c r="A30" s="36"/>
      <c r="B30" s="36"/>
      <c r="C30" s="35"/>
      <c r="D30" s="35"/>
      <c r="E30" s="31" t="s">
        <v>87</v>
      </c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</row>
    <row r="31">
      <c r="A31" s="36"/>
      <c r="B31" s="36"/>
      <c r="C31" s="35"/>
      <c r="D31" s="35"/>
      <c r="E31" s="31" t="s">
        <v>87</v>
      </c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</row>
    <row r="32">
      <c r="A32" s="36"/>
      <c r="B32" s="36"/>
      <c r="C32" s="35"/>
      <c r="D32" s="35"/>
      <c r="E32" s="31" t="s">
        <v>87</v>
      </c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</row>
    <row r="33">
      <c r="A33" s="36"/>
      <c r="B33" s="36"/>
      <c r="C33" s="35"/>
      <c r="D33" s="35"/>
      <c r="E33" s="31" t="s">
        <v>87</v>
      </c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</row>
    <row r="34">
      <c r="A34" s="36"/>
      <c r="B34" s="36"/>
      <c r="C34" s="35"/>
      <c r="D34" s="35"/>
      <c r="E34" s="31" t="s">
        <v>87</v>
      </c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</row>
    <row r="35">
      <c r="A35" s="36"/>
      <c r="B35" s="36"/>
      <c r="C35" s="35"/>
      <c r="D35" s="35"/>
      <c r="E35" s="31" t="s">
        <v>87</v>
      </c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</row>
    <row r="36">
      <c r="A36" s="36"/>
      <c r="B36" s="36"/>
      <c r="C36" s="35"/>
      <c r="D36" s="35"/>
      <c r="E36" s="31" t="s">
        <v>87</v>
      </c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</row>
    <row r="37">
      <c r="A37" s="36"/>
      <c r="B37" s="36"/>
      <c r="C37" s="35"/>
      <c r="D37" s="35"/>
      <c r="E37" s="31" t="s">
        <v>87</v>
      </c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</row>
    <row r="38">
      <c r="A38" s="36"/>
      <c r="B38" s="36"/>
      <c r="C38" s="35"/>
      <c r="D38" s="35"/>
      <c r="E38" s="31" t="s">
        <v>87</v>
      </c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</row>
    <row r="39">
      <c r="A39" s="32"/>
      <c r="B39" s="32"/>
      <c r="C39" s="32"/>
      <c r="D39" s="32"/>
      <c r="E39" s="31" t="s">
        <v>87</v>
      </c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</row>
    <row r="40">
      <c r="A40" s="31"/>
      <c r="B40" s="31"/>
      <c r="C40" s="31"/>
      <c r="D40" s="31"/>
      <c r="E40" s="31" t="s">
        <v>87</v>
      </c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</row>
    <row r="41">
      <c r="A41" s="31"/>
      <c r="B41" s="31"/>
      <c r="C41" s="31"/>
      <c r="D41" s="31"/>
      <c r="E41" s="31" t="s">
        <v>87</v>
      </c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</row>
    <row r="42">
      <c r="A42" s="31"/>
      <c r="B42" s="31"/>
      <c r="C42" s="31"/>
      <c r="D42" s="31"/>
      <c r="E42" s="31" t="s">
        <v>87</v>
      </c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</row>
    <row r="43">
      <c r="A43" s="31"/>
      <c r="B43" s="31"/>
      <c r="C43" s="31"/>
      <c r="D43" s="31"/>
      <c r="E43" s="31" t="s">
        <v>87</v>
      </c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</row>
    <row r="44">
      <c r="A44" s="31"/>
      <c r="B44" s="31"/>
      <c r="C44" s="31"/>
      <c r="D44" s="31"/>
      <c r="E44" s="31" t="s">
        <v>87</v>
      </c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</row>
    <row r="45">
      <c r="A45" s="31"/>
      <c r="B45" s="31"/>
      <c r="C45" s="31"/>
      <c r="D45" s="31"/>
      <c r="E45" s="31" t="s">
        <v>87</v>
      </c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</row>
    <row r="46">
      <c r="A46" s="31"/>
      <c r="B46" s="31"/>
      <c r="C46" s="31"/>
      <c r="D46" s="31"/>
      <c r="E46" s="31" t="s">
        <v>87</v>
      </c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</row>
    <row r="47">
      <c r="A47" s="31"/>
      <c r="B47" s="31"/>
      <c r="C47" s="31"/>
      <c r="D47" s="31"/>
      <c r="E47" s="31" t="s">
        <v>87</v>
      </c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</row>
    <row r="48">
      <c r="A48" s="31"/>
      <c r="B48" s="31"/>
      <c r="C48" s="31"/>
      <c r="D48" s="31"/>
      <c r="E48" s="31" t="s">
        <v>87</v>
      </c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</row>
    <row r="49">
      <c r="A49" s="31"/>
      <c r="B49" s="31"/>
      <c r="C49" s="31"/>
      <c r="D49" s="31"/>
      <c r="E49" s="31" t="s">
        <v>87</v>
      </c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</row>
    <row r="50">
      <c r="A50" s="31"/>
      <c r="B50" s="31"/>
      <c r="C50" s="31"/>
      <c r="D50" s="31"/>
      <c r="E50" s="31" t="s">
        <v>87</v>
      </c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</row>
    <row r="51">
      <c r="A51" s="31"/>
      <c r="B51" s="31"/>
      <c r="C51" s="31"/>
      <c r="D51" s="31"/>
      <c r="E51" s="31" t="s">
        <v>87</v>
      </c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</row>
    <row r="52">
      <c r="A52" s="31"/>
      <c r="B52" s="31"/>
      <c r="C52" s="31"/>
      <c r="D52" s="31"/>
      <c r="E52" s="31" t="s">
        <v>87</v>
      </c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</row>
    <row r="53">
      <c r="A53" s="31"/>
      <c r="B53" s="31"/>
      <c r="C53" s="31"/>
      <c r="D53" s="31"/>
      <c r="E53" s="31" t="s">
        <v>87</v>
      </c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</row>
    <row r="54">
      <c r="A54" s="31"/>
      <c r="B54" s="31"/>
      <c r="C54" s="31"/>
      <c r="D54" s="31"/>
      <c r="E54" s="31" t="s">
        <v>87</v>
      </c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</row>
    <row r="55">
      <c r="A55" s="31"/>
      <c r="B55" s="31"/>
      <c r="C55" s="31"/>
      <c r="D55" s="31"/>
      <c r="E55" s="31" t="s">
        <v>87</v>
      </c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</row>
    <row r="56">
      <c r="A56" s="31"/>
      <c r="B56" s="31"/>
      <c r="C56" s="31"/>
      <c r="D56" s="31"/>
      <c r="E56" s="31" t="s">
        <v>87</v>
      </c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</row>
    <row r="57">
      <c r="A57" s="31"/>
      <c r="B57" s="31"/>
      <c r="C57" s="31"/>
      <c r="D57" s="31"/>
      <c r="E57" s="31" t="s">
        <v>87</v>
      </c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</row>
    <row r="58">
      <c r="A58" s="31"/>
      <c r="B58" s="31"/>
      <c r="C58" s="31"/>
      <c r="D58" s="31"/>
      <c r="E58" s="31" t="s">
        <v>87</v>
      </c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</row>
    <row r="59">
      <c r="A59" s="31"/>
      <c r="B59" s="31"/>
      <c r="C59" s="31"/>
      <c r="D59" s="31"/>
      <c r="E59" s="31" t="s">
        <v>87</v>
      </c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</row>
    <row r="60">
      <c r="A60" s="31"/>
      <c r="B60" s="31"/>
      <c r="C60" s="31"/>
      <c r="D60" s="31"/>
      <c r="E60" s="31" t="s">
        <v>87</v>
      </c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</row>
    <row r="61">
      <c r="A61" s="31"/>
      <c r="B61" s="31"/>
      <c r="C61" s="31"/>
      <c r="D61" s="31"/>
      <c r="E61" s="31" t="s">
        <v>87</v>
      </c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</row>
    <row r="62">
      <c r="A62" s="31"/>
      <c r="B62" s="31"/>
      <c r="C62" s="31"/>
      <c r="D62" s="31"/>
      <c r="E62" s="31" t="s">
        <v>87</v>
      </c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</row>
    <row r="63">
      <c r="A63" s="31"/>
      <c r="B63" s="31"/>
      <c r="C63" s="31"/>
      <c r="D63" s="31"/>
      <c r="E63" s="31" t="s">
        <v>87</v>
      </c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</row>
    <row r="64">
      <c r="A64" s="31"/>
      <c r="B64" s="31"/>
      <c r="C64" s="31"/>
      <c r="D64" s="31"/>
      <c r="E64" s="31" t="s">
        <v>87</v>
      </c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</row>
    <row r="65">
      <c r="A65" s="31"/>
      <c r="B65" s="31"/>
      <c r="C65" s="31"/>
      <c r="D65" s="31"/>
      <c r="E65" s="31" t="s">
        <v>87</v>
      </c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</row>
    <row r="66">
      <c r="A66" s="31"/>
      <c r="B66" s="31"/>
      <c r="C66" s="31"/>
      <c r="D66" s="31"/>
      <c r="E66" s="31" t="s">
        <v>87</v>
      </c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</row>
    <row r="67">
      <c r="A67" s="31"/>
      <c r="B67" s="31"/>
      <c r="C67" s="31"/>
      <c r="D67" s="31"/>
      <c r="E67" s="31" t="s">
        <v>87</v>
      </c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</row>
    <row r="68">
      <c r="A68" s="31"/>
      <c r="B68" s="31"/>
      <c r="C68" s="31"/>
      <c r="D68" s="31"/>
      <c r="E68" s="31" t="s">
        <v>87</v>
      </c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</row>
    <row r="69">
      <c r="A69" s="31"/>
      <c r="B69" s="31"/>
      <c r="C69" s="31"/>
      <c r="D69" s="31"/>
      <c r="E69" s="31" t="s">
        <v>87</v>
      </c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</row>
    <row r="70">
      <c r="A70" s="31"/>
      <c r="B70" s="31"/>
      <c r="C70" s="31"/>
      <c r="D70" s="31"/>
      <c r="E70" s="31" t="s">
        <v>87</v>
      </c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</row>
    <row r="71">
      <c r="A71" s="31"/>
      <c r="B71" s="31"/>
      <c r="C71" s="31"/>
      <c r="D71" s="31"/>
      <c r="E71" s="31" t="s">
        <v>87</v>
      </c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</row>
    <row r="72">
      <c r="A72" s="31"/>
      <c r="B72" s="31"/>
      <c r="C72" s="31"/>
      <c r="D72" s="31"/>
      <c r="E72" s="31" t="s">
        <v>87</v>
      </c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</row>
    <row r="73">
      <c r="A73" s="31"/>
      <c r="B73" s="31"/>
      <c r="C73" s="31"/>
      <c r="D73" s="31"/>
      <c r="E73" s="31" t="s">
        <v>87</v>
      </c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</row>
    <row r="74">
      <c r="A74" s="31"/>
      <c r="B74" s="31"/>
      <c r="C74" s="31"/>
      <c r="D74" s="31"/>
      <c r="E74" s="31" t="s">
        <v>87</v>
      </c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</row>
    <row r="75">
      <c r="A75" s="31"/>
      <c r="B75" s="31"/>
      <c r="C75" s="31"/>
      <c r="D75" s="31"/>
      <c r="E75" s="31" t="s">
        <v>87</v>
      </c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</row>
    <row r="76">
      <c r="A76" s="31"/>
      <c r="B76" s="31"/>
      <c r="C76" s="31"/>
      <c r="D76" s="31"/>
      <c r="E76" s="31" t="s">
        <v>87</v>
      </c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</row>
    <row r="77">
      <c r="A77" s="31"/>
      <c r="B77" s="31"/>
      <c r="C77" s="31"/>
      <c r="D77" s="31"/>
      <c r="E77" s="31" t="s">
        <v>87</v>
      </c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</row>
    <row r="78">
      <c r="A78" s="31"/>
      <c r="B78" s="31"/>
      <c r="C78" s="31"/>
      <c r="D78" s="31"/>
      <c r="E78" s="31" t="s">
        <v>87</v>
      </c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</row>
    <row r="79">
      <c r="A79" s="31"/>
      <c r="B79" s="31"/>
      <c r="C79" s="31"/>
      <c r="D79" s="31"/>
      <c r="E79" s="31" t="s">
        <v>87</v>
      </c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</row>
    <row r="80">
      <c r="A80" s="31"/>
      <c r="B80" s="31"/>
      <c r="C80" s="31"/>
      <c r="D80" s="31"/>
      <c r="E80" s="31" t="s">
        <v>87</v>
      </c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</row>
    <row r="81">
      <c r="A81" s="31"/>
      <c r="B81" s="31"/>
      <c r="C81" s="31"/>
      <c r="D81" s="31"/>
      <c r="E81" s="31" t="s">
        <v>87</v>
      </c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</row>
    <row r="82">
      <c r="A82" s="31"/>
      <c r="B82" s="31"/>
      <c r="C82" s="31"/>
      <c r="D82" s="31"/>
      <c r="E82" s="31" t="s">
        <v>87</v>
      </c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</row>
    <row r="83">
      <c r="A83" s="31"/>
      <c r="B83" s="31"/>
      <c r="C83" s="31"/>
      <c r="D83" s="31"/>
      <c r="E83" s="31" t="s">
        <v>87</v>
      </c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</row>
    <row r="84">
      <c r="A84" s="31"/>
      <c r="B84" s="31"/>
      <c r="C84" s="31"/>
      <c r="D84" s="31"/>
      <c r="E84" s="31" t="s">
        <v>87</v>
      </c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</row>
    <row r="85">
      <c r="A85" s="31"/>
      <c r="B85" s="31"/>
      <c r="C85" s="31"/>
      <c r="D85" s="31"/>
      <c r="E85" s="31" t="s">
        <v>87</v>
      </c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</row>
    <row r="86">
      <c r="A86" s="31"/>
      <c r="B86" s="31"/>
      <c r="C86" s="31"/>
      <c r="D86" s="31"/>
      <c r="E86" s="31" t="s">
        <v>87</v>
      </c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</row>
    <row r="87">
      <c r="A87" s="31"/>
      <c r="B87" s="31"/>
      <c r="C87" s="31"/>
      <c r="D87" s="31"/>
      <c r="E87" s="31" t="s">
        <v>87</v>
      </c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</row>
    <row r="88">
      <c r="A88" s="31"/>
      <c r="B88" s="31"/>
      <c r="C88" s="31"/>
      <c r="D88" s="31"/>
      <c r="E88" s="31" t="s">
        <v>87</v>
      </c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</row>
    <row r="89">
      <c r="A89" s="31"/>
      <c r="B89" s="31"/>
      <c r="C89" s="31"/>
      <c r="D89" s="31"/>
      <c r="E89" s="31" t="s">
        <v>87</v>
      </c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</row>
    <row r="90">
      <c r="A90" s="31"/>
      <c r="B90" s="31"/>
      <c r="C90" s="31"/>
      <c r="D90" s="31"/>
      <c r="E90" s="31" t="s">
        <v>87</v>
      </c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</row>
    <row r="91">
      <c r="A91" s="31"/>
      <c r="B91" s="31"/>
      <c r="C91" s="31"/>
      <c r="D91" s="31"/>
      <c r="E91" s="31" t="s">
        <v>87</v>
      </c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</row>
    <row r="92">
      <c r="A92" s="31"/>
      <c r="B92" s="31"/>
      <c r="C92" s="31"/>
      <c r="D92" s="31"/>
      <c r="E92" s="31" t="s">
        <v>87</v>
      </c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</row>
    <row r="93">
      <c r="A93" s="31"/>
      <c r="B93" s="31"/>
      <c r="C93" s="31"/>
      <c r="D93" s="31"/>
      <c r="E93" s="31" t="s">
        <v>87</v>
      </c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</row>
    <row r="94">
      <c r="A94" s="31"/>
      <c r="B94" s="31"/>
      <c r="C94" s="31"/>
      <c r="D94" s="31"/>
      <c r="E94" s="31" t="s">
        <v>87</v>
      </c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</row>
    <row r="95">
      <c r="A95" s="31"/>
      <c r="B95" s="31"/>
      <c r="C95" s="31"/>
      <c r="D95" s="31"/>
      <c r="E95" s="31" t="s">
        <v>87</v>
      </c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</row>
    <row r="96">
      <c r="A96" s="31"/>
      <c r="B96" s="31"/>
      <c r="C96" s="31"/>
      <c r="D96" s="31"/>
      <c r="E96" s="31" t="s">
        <v>87</v>
      </c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</row>
    <row r="97">
      <c r="A97" s="31"/>
      <c r="B97" s="31"/>
      <c r="C97" s="31"/>
      <c r="D97" s="31"/>
      <c r="E97" s="31" t="s">
        <v>87</v>
      </c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</row>
    <row r="98">
      <c r="A98" s="31"/>
      <c r="B98" s="31"/>
      <c r="C98" s="31"/>
      <c r="D98" s="31"/>
      <c r="E98" s="31" t="s">
        <v>87</v>
      </c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</row>
    <row r="99">
      <c r="A99" s="31"/>
      <c r="B99" s="31"/>
      <c r="C99" s="31"/>
      <c r="D99" s="31"/>
      <c r="E99" s="31" t="s">
        <v>87</v>
      </c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</row>
    <row r="100">
      <c r="A100" s="31"/>
      <c r="B100" s="31"/>
      <c r="C100" s="31"/>
      <c r="D100" s="31"/>
      <c r="E100" s="31" t="s">
        <v>87</v>
      </c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</row>
    <row r="101">
      <c r="A101" s="31"/>
      <c r="B101" s="31"/>
      <c r="C101" s="31"/>
      <c r="D101" s="31"/>
      <c r="E101" s="31" t="s">
        <v>87</v>
      </c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</row>
    <row r="102">
      <c r="A102" s="31"/>
      <c r="B102" s="31"/>
      <c r="C102" s="31"/>
      <c r="D102" s="31"/>
      <c r="E102" s="31" t="s">
        <v>87</v>
      </c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</row>
    <row r="103">
      <c r="A103" s="31"/>
      <c r="B103" s="31"/>
      <c r="C103" s="31"/>
      <c r="D103" s="31"/>
      <c r="E103" s="31" t="s">
        <v>87</v>
      </c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</row>
    <row r="104">
      <c r="A104" s="31"/>
      <c r="B104" s="31"/>
      <c r="C104" s="31"/>
      <c r="D104" s="31"/>
      <c r="E104" s="31" t="s">
        <v>87</v>
      </c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</row>
    <row r="105">
      <c r="A105" s="31"/>
      <c r="B105" s="31"/>
      <c r="C105" s="31"/>
      <c r="D105" s="31"/>
      <c r="E105" s="31" t="s">
        <v>87</v>
      </c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</row>
    <row r="106">
      <c r="A106" s="31"/>
      <c r="B106" s="31"/>
      <c r="C106" s="31"/>
      <c r="D106" s="31"/>
      <c r="E106" s="31" t="s">
        <v>87</v>
      </c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</row>
    <row r="107">
      <c r="A107" s="31"/>
      <c r="B107" s="31"/>
      <c r="C107" s="31"/>
      <c r="D107" s="31"/>
      <c r="E107" s="31" t="s">
        <v>87</v>
      </c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</row>
    <row r="108">
      <c r="A108" s="31"/>
      <c r="B108" s="31"/>
      <c r="C108" s="31"/>
      <c r="D108" s="31"/>
      <c r="E108" s="31" t="s">
        <v>87</v>
      </c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</row>
    <row r="109">
      <c r="A109" s="31"/>
      <c r="B109" s="31"/>
      <c r="C109" s="31"/>
      <c r="D109" s="31"/>
      <c r="E109" s="31" t="s">
        <v>87</v>
      </c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</row>
    <row r="110">
      <c r="A110" s="31"/>
      <c r="B110" s="31"/>
      <c r="C110" s="31"/>
      <c r="D110" s="31"/>
      <c r="E110" s="31" t="s">
        <v>87</v>
      </c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</row>
    <row r="111">
      <c r="A111" s="31"/>
      <c r="B111" s="31"/>
      <c r="C111" s="31"/>
      <c r="D111" s="31"/>
      <c r="E111" s="31" t="s">
        <v>87</v>
      </c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</row>
    <row r="112">
      <c r="A112" s="31"/>
      <c r="B112" s="31"/>
      <c r="C112" s="31"/>
      <c r="D112" s="31"/>
      <c r="E112" s="31" t="s">
        <v>87</v>
      </c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</row>
    <row r="113">
      <c r="A113" s="31"/>
      <c r="B113" s="31"/>
      <c r="C113" s="31"/>
      <c r="D113" s="31"/>
      <c r="E113" s="31" t="s">
        <v>87</v>
      </c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</row>
    <row r="114">
      <c r="A114" s="31"/>
      <c r="B114" s="31"/>
      <c r="C114" s="31"/>
      <c r="D114" s="31"/>
      <c r="E114" s="31" t="s">
        <v>87</v>
      </c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</row>
    <row r="115">
      <c r="A115" s="31"/>
      <c r="B115" s="31"/>
      <c r="C115" s="31"/>
      <c r="D115" s="31"/>
      <c r="E115" s="31" t="s">
        <v>87</v>
      </c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</row>
    <row r="116">
      <c r="A116" s="31"/>
      <c r="B116" s="31"/>
      <c r="C116" s="31"/>
      <c r="D116" s="31"/>
      <c r="E116" s="31" t="s">
        <v>87</v>
      </c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</row>
    <row r="117">
      <c r="A117" s="31"/>
      <c r="B117" s="31"/>
      <c r="C117" s="31"/>
      <c r="D117" s="31"/>
      <c r="E117" s="31" t="s">
        <v>87</v>
      </c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</row>
    <row r="118">
      <c r="A118" s="31"/>
      <c r="B118" s="31"/>
      <c r="C118" s="31"/>
      <c r="D118" s="31"/>
      <c r="E118" s="31" t="s">
        <v>87</v>
      </c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</row>
    <row r="119">
      <c r="A119" s="31"/>
      <c r="B119" s="31"/>
      <c r="C119" s="31"/>
      <c r="D119" s="31"/>
      <c r="E119" s="31" t="s">
        <v>87</v>
      </c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</row>
    <row r="120">
      <c r="A120" s="31"/>
      <c r="B120" s="31"/>
      <c r="C120" s="31"/>
      <c r="D120" s="31"/>
      <c r="E120" s="31" t="s">
        <v>87</v>
      </c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</row>
    <row r="121">
      <c r="A121" s="31"/>
      <c r="B121" s="31"/>
      <c r="C121" s="31"/>
      <c r="D121" s="31"/>
      <c r="E121" s="31" t="s">
        <v>87</v>
      </c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</row>
    <row r="122">
      <c r="A122" s="31"/>
      <c r="B122" s="31"/>
      <c r="C122" s="31"/>
      <c r="D122" s="31"/>
      <c r="E122" s="31" t="s">
        <v>87</v>
      </c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</row>
    <row r="123">
      <c r="A123" s="31"/>
      <c r="B123" s="31"/>
      <c r="C123" s="31"/>
      <c r="D123" s="31"/>
      <c r="E123" s="31" t="s">
        <v>87</v>
      </c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</row>
    <row r="124">
      <c r="A124" s="31"/>
      <c r="B124" s="31"/>
      <c r="C124" s="31"/>
      <c r="D124" s="31"/>
      <c r="E124" s="31" t="s">
        <v>87</v>
      </c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</row>
    <row r="125">
      <c r="A125" s="31"/>
      <c r="B125" s="31"/>
      <c r="C125" s="31"/>
      <c r="D125" s="31"/>
      <c r="E125" s="31" t="s">
        <v>87</v>
      </c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</row>
    <row r="126">
      <c r="A126" s="31"/>
      <c r="B126" s="31"/>
      <c r="C126" s="31"/>
      <c r="D126" s="31"/>
      <c r="E126" s="31" t="s">
        <v>87</v>
      </c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</row>
    <row r="127">
      <c r="A127" s="31"/>
      <c r="B127" s="31"/>
      <c r="C127" s="31"/>
      <c r="D127" s="31"/>
      <c r="E127" s="31" t="s">
        <v>87</v>
      </c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</row>
    <row r="128">
      <c r="A128" s="31"/>
      <c r="B128" s="31"/>
      <c r="C128" s="31"/>
      <c r="D128" s="31"/>
      <c r="E128" s="31" t="s">
        <v>87</v>
      </c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</row>
    <row r="129">
      <c r="A129" s="31"/>
      <c r="B129" s="31"/>
      <c r="C129" s="31"/>
      <c r="D129" s="31"/>
      <c r="E129" s="31" t="s">
        <v>87</v>
      </c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</row>
    <row r="130">
      <c r="A130" s="31"/>
      <c r="B130" s="31"/>
      <c r="C130" s="31"/>
      <c r="D130" s="31"/>
      <c r="E130" s="31" t="s">
        <v>87</v>
      </c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</row>
    <row r="131">
      <c r="A131" s="31"/>
      <c r="B131" s="31"/>
      <c r="C131" s="31"/>
      <c r="D131" s="31"/>
      <c r="E131" s="31" t="s">
        <v>87</v>
      </c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</row>
    <row r="132">
      <c r="A132" s="31"/>
      <c r="B132" s="31"/>
      <c r="C132" s="31"/>
      <c r="D132" s="31"/>
      <c r="E132" s="31" t="s">
        <v>87</v>
      </c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</row>
    <row r="133">
      <c r="A133" s="31"/>
      <c r="B133" s="31"/>
      <c r="C133" s="31"/>
      <c r="D133" s="31"/>
      <c r="E133" s="31" t="s">
        <v>87</v>
      </c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</row>
    <row r="134">
      <c r="A134" s="31"/>
      <c r="B134" s="31"/>
      <c r="C134" s="31"/>
      <c r="D134" s="31"/>
      <c r="E134" s="31" t="s">
        <v>87</v>
      </c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</row>
    <row r="135">
      <c r="A135" s="31"/>
      <c r="B135" s="31"/>
      <c r="C135" s="31"/>
      <c r="D135" s="31"/>
      <c r="E135" s="31" t="s">
        <v>87</v>
      </c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</row>
    <row r="136">
      <c r="A136" s="31"/>
      <c r="B136" s="31"/>
      <c r="C136" s="31"/>
      <c r="D136" s="31"/>
      <c r="E136" s="31" t="s">
        <v>87</v>
      </c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</row>
    <row r="137">
      <c r="A137" s="31"/>
      <c r="B137" s="31"/>
      <c r="C137" s="31"/>
      <c r="D137" s="31"/>
      <c r="E137" s="31" t="s">
        <v>87</v>
      </c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</row>
    <row r="138">
      <c r="A138" s="31"/>
      <c r="B138" s="31"/>
      <c r="C138" s="31"/>
      <c r="D138" s="31"/>
      <c r="E138" s="31" t="s">
        <v>87</v>
      </c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</row>
    <row r="139">
      <c r="A139" s="31"/>
      <c r="B139" s="31"/>
      <c r="C139" s="31"/>
      <c r="D139" s="31"/>
      <c r="E139" s="31" t="s">
        <v>87</v>
      </c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</row>
    <row r="140">
      <c r="A140" s="31"/>
      <c r="B140" s="31"/>
      <c r="C140" s="31"/>
      <c r="D140" s="31"/>
      <c r="E140" s="31" t="s">
        <v>87</v>
      </c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</row>
    <row r="141">
      <c r="A141" s="31"/>
      <c r="B141" s="31"/>
      <c r="C141" s="31"/>
      <c r="D141" s="31"/>
      <c r="E141" s="31" t="s">
        <v>87</v>
      </c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</row>
    <row r="142">
      <c r="A142" s="31"/>
      <c r="B142" s="31"/>
      <c r="C142" s="31"/>
      <c r="D142" s="31"/>
      <c r="E142" s="31" t="s">
        <v>87</v>
      </c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</row>
    <row r="143">
      <c r="A143" s="31"/>
      <c r="B143" s="31"/>
      <c r="C143" s="31"/>
      <c r="D143" s="31"/>
      <c r="E143" s="31" t="s">
        <v>87</v>
      </c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</row>
    <row r="144">
      <c r="A144" s="31"/>
      <c r="B144" s="31"/>
      <c r="C144" s="31"/>
      <c r="D144" s="31"/>
      <c r="E144" s="31" t="s">
        <v>87</v>
      </c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</row>
    <row r="145">
      <c r="A145" s="31"/>
      <c r="B145" s="31"/>
      <c r="C145" s="31"/>
      <c r="D145" s="31"/>
      <c r="E145" s="31" t="s">
        <v>87</v>
      </c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</row>
    <row r="146">
      <c r="A146" s="31"/>
      <c r="B146" s="31"/>
      <c r="C146" s="31"/>
      <c r="D146" s="31"/>
      <c r="E146" s="31" t="s">
        <v>87</v>
      </c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</row>
    <row r="147">
      <c r="A147" s="31"/>
      <c r="B147" s="31"/>
      <c r="C147" s="31"/>
      <c r="D147" s="31"/>
      <c r="E147" s="31" t="s">
        <v>87</v>
      </c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</row>
    <row r="148">
      <c r="A148" s="31"/>
      <c r="B148" s="31"/>
      <c r="C148" s="31"/>
      <c r="D148" s="31"/>
      <c r="E148" s="31" t="s">
        <v>87</v>
      </c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</row>
    <row r="149">
      <c r="A149" s="31"/>
      <c r="B149" s="31"/>
      <c r="C149" s="31"/>
      <c r="D149" s="31"/>
      <c r="E149" s="31" t="s">
        <v>87</v>
      </c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</row>
    <row r="150">
      <c r="A150" s="31"/>
      <c r="B150" s="31"/>
      <c r="C150" s="31"/>
      <c r="D150" s="31"/>
      <c r="E150" s="31" t="s">
        <v>87</v>
      </c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</row>
    <row r="151">
      <c r="A151" s="31"/>
      <c r="B151" s="31"/>
      <c r="C151" s="31"/>
      <c r="D151" s="31"/>
      <c r="E151" s="31" t="s">
        <v>87</v>
      </c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</row>
    <row r="152">
      <c r="A152" s="31"/>
      <c r="B152" s="31"/>
      <c r="C152" s="31"/>
      <c r="D152" s="31"/>
      <c r="E152" s="31" t="s">
        <v>87</v>
      </c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</row>
    <row r="153">
      <c r="A153" s="31"/>
      <c r="B153" s="31"/>
      <c r="C153" s="31"/>
      <c r="D153" s="31"/>
      <c r="E153" s="31" t="s">
        <v>87</v>
      </c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</row>
    <row r="154">
      <c r="A154" s="31"/>
      <c r="B154" s="31"/>
      <c r="C154" s="31"/>
      <c r="D154" s="31"/>
      <c r="E154" s="31" t="s">
        <v>87</v>
      </c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</row>
    <row r="155">
      <c r="A155" s="31"/>
      <c r="B155" s="31"/>
      <c r="C155" s="31"/>
      <c r="D155" s="31"/>
      <c r="E155" s="31" t="s">
        <v>87</v>
      </c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</row>
    <row r="156">
      <c r="A156" s="31"/>
      <c r="B156" s="31"/>
      <c r="C156" s="31"/>
      <c r="D156" s="31"/>
      <c r="E156" s="31" t="s">
        <v>87</v>
      </c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</row>
    <row r="157">
      <c r="A157" s="31"/>
      <c r="B157" s="31"/>
      <c r="C157" s="31"/>
      <c r="D157" s="31"/>
      <c r="E157" s="31" t="s">
        <v>87</v>
      </c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</row>
    <row r="158">
      <c r="A158" s="31"/>
      <c r="B158" s="31"/>
      <c r="C158" s="31"/>
      <c r="D158" s="31"/>
      <c r="E158" s="31" t="s">
        <v>87</v>
      </c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</row>
    <row r="159">
      <c r="A159" s="31"/>
      <c r="B159" s="31"/>
      <c r="C159" s="31"/>
      <c r="D159" s="31"/>
      <c r="E159" s="31" t="s">
        <v>87</v>
      </c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</row>
    <row r="160">
      <c r="A160" s="31"/>
      <c r="B160" s="31"/>
      <c r="C160" s="31"/>
      <c r="D160" s="31"/>
      <c r="E160" s="31" t="s">
        <v>87</v>
      </c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</row>
    <row r="161">
      <c r="A161" s="31"/>
      <c r="B161" s="31"/>
      <c r="C161" s="31"/>
      <c r="D161" s="31"/>
      <c r="E161" s="31" t="s">
        <v>87</v>
      </c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</row>
    <row r="162">
      <c r="A162" s="31"/>
      <c r="B162" s="31"/>
      <c r="C162" s="31"/>
      <c r="D162" s="31"/>
      <c r="E162" s="31" t="s">
        <v>87</v>
      </c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</row>
    <row r="163">
      <c r="A163" s="31"/>
      <c r="B163" s="31"/>
      <c r="C163" s="31"/>
      <c r="D163" s="31"/>
      <c r="E163" s="31" t="s">
        <v>87</v>
      </c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</row>
    <row r="164">
      <c r="A164" s="31"/>
      <c r="B164" s="31"/>
      <c r="C164" s="31"/>
      <c r="D164" s="31"/>
      <c r="E164" s="31" t="s">
        <v>87</v>
      </c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</row>
    <row r="165">
      <c r="A165" s="31"/>
      <c r="B165" s="31"/>
      <c r="C165" s="31"/>
      <c r="D165" s="31"/>
      <c r="E165" s="31" t="s">
        <v>87</v>
      </c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</row>
    <row r="166">
      <c r="A166" s="31"/>
      <c r="B166" s="31"/>
      <c r="C166" s="31"/>
      <c r="D166" s="31"/>
      <c r="E166" s="31" t="s">
        <v>87</v>
      </c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</row>
    <row r="167">
      <c r="A167" s="31"/>
      <c r="B167" s="31"/>
      <c r="C167" s="31"/>
      <c r="D167" s="31"/>
      <c r="E167" s="31" t="s">
        <v>87</v>
      </c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</row>
    <row r="168">
      <c r="A168" s="31"/>
      <c r="B168" s="31"/>
      <c r="C168" s="31"/>
      <c r="D168" s="31"/>
      <c r="E168" s="31" t="s">
        <v>87</v>
      </c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</row>
    <row r="169">
      <c r="A169" s="31"/>
      <c r="B169" s="31"/>
      <c r="C169" s="31"/>
      <c r="D169" s="31"/>
      <c r="E169" s="31" t="s">
        <v>87</v>
      </c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</row>
    <row r="170">
      <c r="A170" s="31"/>
      <c r="B170" s="31"/>
      <c r="C170" s="31"/>
      <c r="D170" s="31"/>
      <c r="E170" s="31" t="s">
        <v>87</v>
      </c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</row>
    <row r="171">
      <c r="A171" s="31"/>
      <c r="B171" s="31"/>
      <c r="C171" s="31"/>
      <c r="D171" s="31"/>
      <c r="E171" s="31" t="s">
        <v>87</v>
      </c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</row>
    <row r="172">
      <c r="A172" s="31"/>
      <c r="B172" s="31"/>
      <c r="C172" s="31"/>
      <c r="D172" s="31"/>
      <c r="E172" s="31" t="s">
        <v>87</v>
      </c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</row>
    <row r="173">
      <c r="A173" s="31"/>
      <c r="B173" s="31"/>
      <c r="C173" s="31"/>
      <c r="D173" s="31"/>
      <c r="E173" s="31" t="s">
        <v>87</v>
      </c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</row>
    <row r="174">
      <c r="A174" s="31"/>
      <c r="B174" s="31"/>
      <c r="C174" s="31"/>
      <c r="D174" s="31"/>
      <c r="E174" s="31" t="s">
        <v>87</v>
      </c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</row>
    <row r="175">
      <c r="A175" s="31"/>
      <c r="B175" s="31"/>
      <c r="C175" s="31"/>
      <c r="D175" s="31"/>
      <c r="E175" s="31" t="s">
        <v>87</v>
      </c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</row>
    <row r="176">
      <c r="A176" s="31"/>
      <c r="B176" s="31"/>
      <c r="C176" s="31"/>
      <c r="D176" s="31"/>
      <c r="E176" s="31" t="s">
        <v>87</v>
      </c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</row>
    <row r="177">
      <c r="A177" s="31"/>
      <c r="B177" s="31"/>
      <c r="C177" s="31"/>
      <c r="D177" s="31"/>
      <c r="E177" s="31" t="s">
        <v>87</v>
      </c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</row>
    <row r="178">
      <c r="A178" s="31"/>
      <c r="B178" s="31"/>
      <c r="C178" s="31"/>
      <c r="D178" s="31"/>
      <c r="E178" s="31" t="s">
        <v>87</v>
      </c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</row>
    <row r="179">
      <c r="A179" s="31"/>
      <c r="B179" s="31"/>
      <c r="C179" s="31"/>
      <c r="D179" s="31"/>
      <c r="E179" s="31" t="s">
        <v>87</v>
      </c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</row>
    <row r="180">
      <c r="A180" s="31"/>
      <c r="B180" s="31"/>
      <c r="C180" s="31"/>
      <c r="D180" s="31"/>
      <c r="E180" s="31" t="s">
        <v>87</v>
      </c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</row>
    <row r="181">
      <c r="A181" s="31"/>
      <c r="B181" s="31"/>
      <c r="C181" s="31"/>
      <c r="D181" s="31"/>
      <c r="E181" s="31" t="s">
        <v>87</v>
      </c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</row>
    <row r="182">
      <c r="A182" s="31"/>
      <c r="B182" s="31"/>
      <c r="C182" s="31"/>
      <c r="D182" s="31"/>
      <c r="E182" s="31" t="s">
        <v>87</v>
      </c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</row>
    <row r="183">
      <c r="A183" s="31"/>
      <c r="B183" s="31"/>
      <c r="C183" s="31"/>
      <c r="D183" s="31"/>
      <c r="E183" s="31" t="s">
        <v>87</v>
      </c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</row>
    <row r="184">
      <c r="A184" s="31"/>
      <c r="B184" s="31"/>
      <c r="C184" s="31"/>
      <c r="D184" s="31"/>
      <c r="E184" s="31" t="s">
        <v>87</v>
      </c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</row>
    <row r="185">
      <c r="A185" s="31"/>
      <c r="B185" s="31"/>
      <c r="C185" s="31"/>
      <c r="D185" s="31"/>
      <c r="E185" s="31" t="s">
        <v>87</v>
      </c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</row>
    <row r="186">
      <c r="A186" s="31"/>
      <c r="B186" s="31"/>
      <c r="C186" s="31"/>
      <c r="D186" s="31"/>
      <c r="E186" s="31" t="s">
        <v>87</v>
      </c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</row>
    <row r="187">
      <c r="A187" s="31"/>
      <c r="B187" s="31"/>
      <c r="C187" s="31"/>
      <c r="D187" s="31"/>
      <c r="E187" s="31" t="s">
        <v>87</v>
      </c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</row>
    <row r="188">
      <c r="A188" s="31"/>
      <c r="B188" s="31"/>
      <c r="C188" s="31"/>
      <c r="D188" s="31"/>
      <c r="E188" s="31" t="s">
        <v>87</v>
      </c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</row>
    <row r="189">
      <c r="A189" s="31"/>
      <c r="B189" s="31"/>
      <c r="C189" s="31"/>
      <c r="D189" s="31"/>
      <c r="E189" s="31" t="s">
        <v>87</v>
      </c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</row>
    <row r="190">
      <c r="A190" s="31"/>
      <c r="B190" s="31"/>
      <c r="C190" s="31"/>
      <c r="D190" s="31"/>
      <c r="E190" s="31" t="s">
        <v>87</v>
      </c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</row>
    <row r="191">
      <c r="A191" s="31"/>
      <c r="B191" s="31"/>
      <c r="C191" s="31"/>
      <c r="D191" s="31"/>
      <c r="E191" s="31" t="s">
        <v>87</v>
      </c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</row>
    <row r="192">
      <c r="A192" s="31"/>
      <c r="B192" s="31"/>
      <c r="C192" s="31"/>
      <c r="D192" s="31"/>
      <c r="E192" s="31" t="s">
        <v>87</v>
      </c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</row>
    <row r="193">
      <c r="A193" s="31"/>
      <c r="B193" s="31"/>
      <c r="C193" s="31"/>
      <c r="D193" s="31"/>
      <c r="E193" s="31" t="s">
        <v>87</v>
      </c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</row>
    <row r="194">
      <c r="A194" s="31"/>
      <c r="B194" s="31"/>
      <c r="C194" s="31"/>
      <c r="D194" s="31"/>
      <c r="E194" s="31" t="s">
        <v>87</v>
      </c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</row>
    <row r="195">
      <c r="A195" s="31"/>
      <c r="B195" s="31"/>
      <c r="C195" s="31"/>
      <c r="D195" s="31"/>
      <c r="E195" s="31" t="s">
        <v>87</v>
      </c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</row>
    <row r="196">
      <c r="A196" s="31"/>
      <c r="B196" s="31"/>
      <c r="C196" s="31"/>
      <c r="D196" s="31"/>
      <c r="E196" s="31" t="s">
        <v>87</v>
      </c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</row>
    <row r="197">
      <c r="A197" s="31"/>
      <c r="B197" s="31"/>
      <c r="C197" s="31"/>
      <c r="D197" s="31"/>
      <c r="E197" s="31" t="s">
        <v>87</v>
      </c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</row>
    <row r="198">
      <c r="A198" s="31"/>
      <c r="B198" s="31"/>
      <c r="C198" s="31"/>
      <c r="D198" s="31"/>
      <c r="E198" s="31" t="s">
        <v>87</v>
      </c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</row>
    <row r="199">
      <c r="A199" s="31"/>
      <c r="B199" s="31"/>
      <c r="C199" s="31"/>
      <c r="D199" s="31"/>
      <c r="E199" s="31" t="s">
        <v>87</v>
      </c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</row>
    <row r="200">
      <c r="A200" s="31"/>
      <c r="B200" s="31"/>
      <c r="C200" s="31"/>
      <c r="D200" s="31"/>
      <c r="E200" s="31" t="s">
        <v>87</v>
      </c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</row>
    <row r="201">
      <c r="A201" s="31"/>
      <c r="B201" s="31"/>
      <c r="C201" s="31"/>
      <c r="D201" s="31"/>
      <c r="E201" s="31" t="s">
        <v>87</v>
      </c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</row>
    <row r="202">
      <c r="A202" s="31"/>
      <c r="B202" s="31"/>
      <c r="C202" s="31"/>
      <c r="D202" s="31"/>
      <c r="E202" s="31" t="s">
        <v>87</v>
      </c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</row>
    <row r="203">
      <c r="A203" s="31"/>
      <c r="B203" s="31"/>
      <c r="C203" s="31"/>
      <c r="D203" s="31"/>
      <c r="E203" s="31" t="s">
        <v>87</v>
      </c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</row>
    <row r="204">
      <c r="A204" s="31"/>
      <c r="B204" s="31"/>
      <c r="C204" s="31"/>
      <c r="D204" s="31"/>
      <c r="E204" s="31" t="s">
        <v>87</v>
      </c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</row>
    <row r="205">
      <c r="A205" s="31"/>
      <c r="B205" s="31"/>
      <c r="C205" s="31"/>
      <c r="D205" s="31"/>
      <c r="E205" s="31" t="s">
        <v>87</v>
      </c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</row>
    <row r="206">
      <c r="A206" s="31"/>
      <c r="B206" s="31"/>
      <c r="C206" s="31"/>
      <c r="D206" s="31"/>
      <c r="E206" s="31" t="s">
        <v>87</v>
      </c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</row>
    <row r="207">
      <c r="A207" s="31"/>
      <c r="B207" s="31"/>
      <c r="C207" s="31"/>
      <c r="D207" s="31"/>
      <c r="E207" s="31" t="s">
        <v>87</v>
      </c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</row>
    <row r="208">
      <c r="A208" s="31"/>
      <c r="B208" s="31"/>
      <c r="C208" s="31"/>
      <c r="D208" s="31"/>
      <c r="E208" s="31" t="s">
        <v>87</v>
      </c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</row>
    <row r="209">
      <c r="A209" s="31"/>
      <c r="B209" s="31"/>
      <c r="C209" s="31"/>
      <c r="D209" s="31"/>
      <c r="E209" s="31" t="s">
        <v>87</v>
      </c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</row>
    <row r="210">
      <c r="A210" s="31"/>
      <c r="B210" s="31"/>
      <c r="C210" s="31"/>
      <c r="D210" s="31"/>
      <c r="E210" s="31" t="s">
        <v>87</v>
      </c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</row>
    <row r="211">
      <c r="A211" s="31"/>
      <c r="B211" s="31"/>
      <c r="C211" s="31"/>
      <c r="D211" s="31"/>
      <c r="E211" s="31" t="s">
        <v>87</v>
      </c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</row>
    <row r="212">
      <c r="A212" s="31"/>
      <c r="B212" s="31"/>
      <c r="C212" s="31"/>
      <c r="D212" s="31"/>
      <c r="E212" s="31" t="s">
        <v>87</v>
      </c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</row>
    <row r="213">
      <c r="A213" s="31"/>
      <c r="B213" s="31"/>
      <c r="C213" s="31"/>
      <c r="D213" s="31"/>
      <c r="E213" s="31" t="s">
        <v>87</v>
      </c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</row>
    <row r="214">
      <c r="A214" s="31"/>
      <c r="B214" s="31"/>
      <c r="C214" s="31"/>
      <c r="D214" s="31"/>
      <c r="E214" s="31" t="s">
        <v>87</v>
      </c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</row>
    <row r="215">
      <c r="A215" s="31"/>
      <c r="B215" s="31"/>
      <c r="C215" s="31"/>
      <c r="D215" s="31"/>
      <c r="E215" s="31" t="s">
        <v>87</v>
      </c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</row>
    <row r="216">
      <c r="A216" s="31"/>
      <c r="B216" s="31"/>
      <c r="C216" s="31"/>
      <c r="D216" s="31"/>
      <c r="E216" s="31" t="s">
        <v>87</v>
      </c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</row>
    <row r="217">
      <c r="A217" s="31"/>
      <c r="B217" s="31"/>
      <c r="C217" s="31"/>
      <c r="D217" s="31"/>
      <c r="E217" s="31" t="s">
        <v>87</v>
      </c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</row>
    <row r="218">
      <c r="A218" s="31"/>
      <c r="B218" s="31"/>
      <c r="C218" s="31"/>
      <c r="D218" s="31"/>
      <c r="E218" s="31" t="s">
        <v>87</v>
      </c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</row>
    <row r="219">
      <c r="A219" s="31"/>
      <c r="B219" s="31"/>
      <c r="C219" s="31"/>
      <c r="D219" s="31"/>
      <c r="E219" s="31" t="s">
        <v>87</v>
      </c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</row>
    <row r="220">
      <c r="A220" s="31"/>
      <c r="B220" s="31"/>
      <c r="C220" s="31"/>
      <c r="D220" s="31"/>
      <c r="E220" s="31" t="s">
        <v>87</v>
      </c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</row>
    <row r="221">
      <c r="A221" s="31"/>
      <c r="B221" s="31"/>
      <c r="C221" s="31"/>
      <c r="D221" s="31"/>
      <c r="E221" s="31" t="s">
        <v>87</v>
      </c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</row>
    <row r="222">
      <c r="A222" s="31"/>
      <c r="B222" s="31"/>
      <c r="C222" s="31"/>
      <c r="D222" s="31"/>
      <c r="E222" s="31" t="s">
        <v>87</v>
      </c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</row>
    <row r="223">
      <c r="A223" s="31"/>
      <c r="B223" s="31"/>
      <c r="C223" s="31"/>
      <c r="D223" s="31"/>
      <c r="E223" s="31" t="s">
        <v>87</v>
      </c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</row>
    <row r="224">
      <c r="A224" s="31"/>
      <c r="B224" s="31"/>
      <c r="C224" s="31"/>
      <c r="D224" s="31"/>
      <c r="E224" s="31" t="s">
        <v>87</v>
      </c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</row>
    <row r="225">
      <c r="A225" s="31"/>
      <c r="B225" s="31"/>
      <c r="C225" s="31"/>
      <c r="D225" s="31"/>
      <c r="E225" s="31" t="s">
        <v>87</v>
      </c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</row>
    <row r="226">
      <c r="A226" s="31"/>
      <c r="B226" s="31"/>
      <c r="C226" s="31"/>
      <c r="D226" s="31"/>
      <c r="E226" s="31" t="s">
        <v>87</v>
      </c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</row>
    <row r="227">
      <c r="A227" s="31"/>
      <c r="B227" s="31"/>
      <c r="C227" s="31"/>
      <c r="D227" s="31"/>
      <c r="E227" s="31" t="s">
        <v>87</v>
      </c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</row>
    <row r="228">
      <c r="A228" s="31"/>
      <c r="B228" s="31"/>
      <c r="C228" s="31"/>
      <c r="D228" s="31"/>
      <c r="E228" s="31" t="s">
        <v>87</v>
      </c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</row>
    <row r="229">
      <c r="A229" s="31"/>
      <c r="B229" s="31"/>
      <c r="C229" s="31"/>
      <c r="D229" s="31"/>
      <c r="E229" s="31" t="s">
        <v>87</v>
      </c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</row>
    <row r="230">
      <c r="A230" s="31"/>
      <c r="B230" s="31"/>
      <c r="C230" s="31"/>
      <c r="D230" s="31"/>
      <c r="E230" s="31" t="s">
        <v>87</v>
      </c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</row>
    <row r="231">
      <c r="A231" s="31"/>
      <c r="B231" s="31"/>
      <c r="C231" s="31"/>
      <c r="D231" s="31"/>
      <c r="E231" s="31" t="s">
        <v>87</v>
      </c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</row>
    <row r="232">
      <c r="A232" s="31"/>
      <c r="B232" s="31"/>
      <c r="C232" s="31"/>
      <c r="D232" s="31"/>
      <c r="E232" s="31" t="s">
        <v>87</v>
      </c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</row>
    <row r="233">
      <c r="A233" s="31"/>
      <c r="B233" s="31"/>
      <c r="C233" s="31"/>
      <c r="D233" s="31"/>
      <c r="E233" s="31" t="s">
        <v>87</v>
      </c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</row>
    <row r="234">
      <c r="A234" s="31"/>
      <c r="B234" s="31"/>
      <c r="C234" s="31"/>
      <c r="D234" s="31"/>
      <c r="E234" s="31" t="s">
        <v>87</v>
      </c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</row>
    <row r="235">
      <c r="A235" s="31"/>
      <c r="B235" s="31"/>
      <c r="C235" s="31"/>
      <c r="D235" s="31"/>
      <c r="E235" s="31" t="s">
        <v>87</v>
      </c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</row>
    <row r="236">
      <c r="A236" s="31"/>
      <c r="B236" s="31"/>
      <c r="C236" s="31"/>
      <c r="D236" s="31"/>
      <c r="E236" s="31" t="s">
        <v>87</v>
      </c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</row>
    <row r="237">
      <c r="A237" s="31"/>
      <c r="B237" s="31"/>
      <c r="C237" s="31"/>
      <c r="D237" s="31"/>
      <c r="E237" s="31" t="s">
        <v>87</v>
      </c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</row>
    <row r="238">
      <c r="A238" s="31"/>
      <c r="B238" s="31"/>
      <c r="C238" s="31"/>
      <c r="D238" s="31"/>
      <c r="E238" s="31" t="s">
        <v>87</v>
      </c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</row>
    <row r="239">
      <c r="A239" s="31"/>
      <c r="B239" s="31"/>
      <c r="C239" s="31"/>
      <c r="D239" s="31"/>
      <c r="E239" s="31" t="s">
        <v>87</v>
      </c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</row>
    <row r="240">
      <c r="A240" s="31"/>
      <c r="B240" s="31"/>
      <c r="C240" s="31"/>
      <c r="D240" s="31"/>
      <c r="E240" s="31" t="s">
        <v>87</v>
      </c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</row>
    <row r="241">
      <c r="A241" s="31"/>
      <c r="B241" s="31"/>
      <c r="C241" s="31"/>
      <c r="D241" s="31"/>
      <c r="E241" s="31" t="s">
        <v>87</v>
      </c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</row>
    <row r="242">
      <c r="A242" s="31"/>
      <c r="B242" s="31"/>
      <c r="C242" s="31"/>
      <c r="D242" s="31"/>
      <c r="E242" s="31" t="s">
        <v>87</v>
      </c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</row>
    <row r="243">
      <c r="A243" s="31"/>
      <c r="B243" s="31"/>
      <c r="C243" s="31"/>
      <c r="D243" s="31"/>
      <c r="E243" s="31" t="s">
        <v>87</v>
      </c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</row>
    <row r="244">
      <c r="A244" s="31"/>
      <c r="B244" s="31"/>
      <c r="C244" s="31"/>
      <c r="D244" s="31"/>
      <c r="E244" s="31" t="s">
        <v>87</v>
      </c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</row>
    <row r="245">
      <c r="A245" s="31"/>
      <c r="B245" s="31"/>
      <c r="C245" s="31"/>
      <c r="D245" s="31"/>
      <c r="E245" s="31" t="s">
        <v>87</v>
      </c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</row>
    <row r="246">
      <c r="A246" s="31"/>
      <c r="B246" s="31"/>
      <c r="C246" s="31"/>
      <c r="D246" s="31"/>
      <c r="E246" s="31" t="s">
        <v>87</v>
      </c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</row>
    <row r="247">
      <c r="A247" s="31"/>
      <c r="B247" s="31"/>
      <c r="C247" s="31"/>
      <c r="D247" s="31"/>
      <c r="E247" s="31" t="s">
        <v>87</v>
      </c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</row>
    <row r="248">
      <c r="A248" s="31"/>
      <c r="B248" s="31"/>
      <c r="C248" s="31"/>
      <c r="D248" s="31"/>
      <c r="E248" s="31" t="s">
        <v>87</v>
      </c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</row>
    <row r="249">
      <c r="A249" s="31"/>
      <c r="B249" s="31"/>
      <c r="C249" s="31"/>
      <c r="D249" s="31"/>
      <c r="E249" s="31" t="s">
        <v>87</v>
      </c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</row>
    <row r="250">
      <c r="A250" s="31"/>
      <c r="B250" s="31"/>
      <c r="C250" s="31"/>
      <c r="D250" s="31"/>
      <c r="E250" s="31" t="s">
        <v>87</v>
      </c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</row>
    <row r="251">
      <c r="A251" s="31"/>
      <c r="B251" s="31"/>
      <c r="C251" s="31"/>
      <c r="D251" s="31"/>
      <c r="E251" s="31" t="s">
        <v>87</v>
      </c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</row>
    <row r="252">
      <c r="A252" s="31"/>
      <c r="B252" s="31"/>
      <c r="C252" s="31"/>
      <c r="D252" s="31"/>
      <c r="E252" s="31" t="s">
        <v>87</v>
      </c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</row>
    <row r="253">
      <c r="A253" s="31"/>
      <c r="B253" s="31"/>
      <c r="C253" s="31"/>
      <c r="D253" s="31"/>
      <c r="E253" s="31" t="s">
        <v>87</v>
      </c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</row>
    <row r="254">
      <c r="A254" s="31"/>
      <c r="B254" s="31"/>
      <c r="C254" s="31"/>
      <c r="D254" s="31"/>
      <c r="E254" s="31" t="s">
        <v>87</v>
      </c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</row>
    <row r="255">
      <c r="A255" s="31"/>
      <c r="B255" s="31"/>
      <c r="C255" s="31"/>
      <c r="D255" s="31"/>
      <c r="E255" s="31" t="s">
        <v>87</v>
      </c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</row>
    <row r="256">
      <c r="A256" s="31"/>
      <c r="B256" s="31"/>
      <c r="C256" s="31"/>
      <c r="D256" s="31"/>
      <c r="E256" s="31" t="s">
        <v>87</v>
      </c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</row>
    <row r="257">
      <c r="A257" s="31"/>
      <c r="B257" s="31"/>
      <c r="C257" s="31"/>
      <c r="D257" s="31"/>
      <c r="E257" s="31" t="s">
        <v>87</v>
      </c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</row>
    <row r="258">
      <c r="A258" s="31"/>
      <c r="B258" s="31"/>
      <c r="C258" s="31"/>
      <c r="D258" s="31"/>
      <c r="E258" s="31" t="s">
        <v>87</v>
      </c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</row>
    <row r="259">
      <c r="A259" s="31"/>
      <c r="B259" s="31"/>
      <c r="C259" s="31"/>
      <c r="D259" s="31"/>
      <c r="E259" s="31" t="s">
        <v>87</v>
      </c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</row>
    <row r="260">
      <c r="A260" s="31"/>
      <c r="B260" s="31"/>
      <c r="C260" s="31"/>
      <c r="D260" s="31"/>
      <c r="E260" s="31" t="s">
        <v>87</v>
      </c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</row>
    <row r="261">
      <c r="A261" s="31"/>
      <c r="B261" s="31"/>
      <c r="C261" s="31"/>
      <c r="D261" s="31"/>
      <c r="E261" s="31" t="s">
        <v>87</v>
      </c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</row>
    <row r="262">
      <c r="A262" s="31"/>
      <c r="B262" s="31"/>
      <c r="C262" s="31"/>
      <c r="D262" s="31"/>
      <c r="E262" s="31" t="s">
        <v>87</v>
      </c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</row>
    <row r="263">
      <c r="A263" s="31"/>
      <c r="B263" s="31"/>
      <c r="C263" s="31"/>
      <c r="D263" s="31"/>
      <c r="E263" s="31" t="s">
        <v>87</v>
      </c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</row>
    <row r="264">
      <c r="A264" s="31"/>
      <c r="B264" s="31"/>
      <c r="C264" s="31"/>
      <c r="D264" s="31"/>
      <c r="E264" s="31" t="s">
        <v>87</v>
      </c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</row>
    <row r="265">
      <c r="A265" s="31"/>
      <c r="B265" s="31"/>
      <c r="C265" s="31"/>
      <c r="D265" s="31"/>
      <c r="E265" s="31" t="s">
        <v>87</v>
      </c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</row>
    <row r="266">
      <c r="A266" s="31"/>
      <c r="B266" s="31"/>
      <c r="C266" s="31"/>
      <c r="D266" s="31"/>
      <c r="E266" s="31" t="s">
        <v>87</v>
      </c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</row>
    <row r="267">
      <c r="A267" s="31"/>
      <c r="B267" s="31"/>
      <c r="C267" s="31"/>
      <c r="D267" s="31"/>
      <c r="E267" s="31" t="s">
        <v>87</v>
      </c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</row>
    <row r="268">
      <c r="A268" s="31"/>
      <c r="B268" s="31"/>
      <c r="C268" s="31"/>
      <c r="D268" s="31"/>
      <c r="E268" s="31" t="s">
        <v>87</v>
      </c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</row>
    <row r="269">
      <c r="A269" s="31"/>
      <c r="B269" s="31"/>
      <c r="C269" s="31"/>
      <c r="D269" s="31"/>
      <c r="E269" s="31" t="s">
        <v>87</v>
      </c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</row>
    <row r="270">
      <c r="A270" s="31"/>
      <c r="B270" s="31"/>
      <c r="C270" s="31"/>
      <c r="D270" s="31"/>
      <c r="E270" s="31" t="s">
        <v>87</v>
      </c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</row>
    <row r="271">
      <c r="A271" s="31"/>
      <c r="B271" s="31"/>
      <c r="C271" s="31"/>
      <c r="D271" s="31"/>
      <c r="E271" s="31" t="s">
        <v>87</v>
      </c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</row>
    <row r="272">
      <c r="A272" s="31"/>
      <c r="B272" s="31"/>
      <c r="C272" s="31"/>
      <c r="D272" s="31"/>
      <c r="E272" s="31" t="s">
        <v>87</v>
      </c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</row>
    <row r="273">
      <c r="A273" s="31"/>
      <c r="B273" s="31"/>
      <c r="C273" s="31"/>
      <c r="D273" s="31"/>
      <c r="E273" s="31" t="s">
        <v>87</v>
      </c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</row>
    <row r="274">
      <c r="A274" s="31"/>
      <c r="B274" s="31"/>
      <c r="C274" s="31"/>
      <c r="D274" s="31"/>
      <c r="E274" s="31" t="s">
        <v>87</v>
      </c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</row>
    <row r="275">
      <c r="A275" s="31"/>
      <c r="B275" s="31"/>
      <c r="C275" s="31"/>
      <c r="D275" s="31"/>
      <c r="E275" s="31" t="s">
        <v>87</v>
      </c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</row>
    <row r="276">
      <c r="A276" s="31"/>
      <c r="B276" s="31"/>
      <c r="C276" s="31"/>
      <c r="D276" s="31"/>
      <c r="E276" s="31" t="s">
        <v>87</v>
      </c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</row>
    <row r="277">
      <c r="A277" s="31"/>
      <c r="B277" s="31"/>
      <c r="C277" s="31"/>
      <c r="D277" s="31"/>
      <c r="E277" s="31" t="s">
        <v>87</v>
      </c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</row>
    <row r="278">
      <c r="A278" s="31"/>
      <c r="B278" s="31"/>
      <c r="C278" s="31"/>
      <c r="D278" s="31"/>
      <c r="E278" s="31" t="s">
        <v>87</v>
      </c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</row>
    <row r="279">
      <c r="A279" s="31"/>
      <c r="B279" s="31"/>
      <c r="C279" s="31"/>
      <c r="D279" s="31"/>
      <c r="E279" s="31" t="s">
        <v>87</v>
      </c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</row>
    <row r="280">
      <c r="A280" s="31"/>
      <c r="B280" s="31"/>
      <c r="C280" s="31"/>
      <c r="D280" s="31"/>
      <c r="E280" s="31" t="s">
        <v>87</v>
      </c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</row>
    <row r="281">
      <c r="A281" s="31"/>
      <c r="B281" s="31"/>
      <c r="C281" s="31"/>
      <c r="D281" s="31"/>
      <c r="E281" s="31" t="s">
        <v>87</v>
      </c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</row>
    <row r="282">
      <c r="A282" s="31"/>
      <c r="B282" s="31"/>
      <c r="C282" s="31"/>
      <c r="D282" s="31"/>
      <c r="E282" s="31" t="s">
        <v>87</v>
      </c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</row>
    <row r="283">
      <c r="A283" s="31"/>
      <c r="B283" s="31"/>
      <c r="C283" s="31"/>
      <c r="D283" s="31"/>
      <c r="E283" s="31" t="s">
        <v>87</v>
      </c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</row>
    <row r="284">
      <c r="A284" s="31"/>
      <c r="B284" s="31"/>
      <c r="C284" s="31"/>
      <c r="D284" s="31"/>
      <c r="E284" s="31" t="s">
        <v>87</v>
      </c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</row>
    <row r="285">
      <c r="A285" s="31"/>
      <c r="B285" s="31"/>
      <c r="C285" s="31"/>
      <c r="D285" s="31"/>
      <c r="E285" s="31" t="s">
        <v>87</v>
      </c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</row>
    <row r="286">
      <c r="A286" s="31"/>
      <c r="B286" s="31"/>
      <c r="C286" s="31"/>
      <c r="D286" s="31"/>
      <c r="E286" s="31" t="s">
        <v>87</v>
      </c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</row>
    <row r="287">
      <c r="A287" s="31"/>
      <c r="B287" s="31"/>
      <c r="C287" s="31"/>
      <c r="D287" s="31"/>
      <c r="E287" s="31" t="s">
        <v>87</v>
      </c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</row>
    <row r="288">
      <c r="A288" s="31"/>
      <c r="B288" s="31"/>
      <c r="C288" s="31"/>
      <c r="D288" s="31"/>
      <c r="E288" s="31" t="s">
        <v>87</v>
      </c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</row>
    <row r="289">
      <c r="A289" s="31"/>
      <c r="B289" s="31"/>
      <c r="C289" s="31"/>
      <c r="D289" s="31"/>
      <c r="E289" s="31" t="s">
        <v>87</v>
      </c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</row>
    <row r="290">
      <c r="A290" s="31"/>
      <c r="B290" s="31"/>
      <c r="C290" s="31"/>
      <c r="D290" s="31"/>
      <c r="E290" s="31" t="s">
        <v>87</v>
      </c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</row>
    <row r="291">
      <c r="A291" s="31"/>
      <c r="B291" s="31"/>
      <c r="C291" s="31"/>
      <c r="D291" s="31"/>
      <c r="E291" s="31" t="s">
        <v>87</v>
      </c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</row>
    <row r="292">
      <c r="A292" s="31"/>
      <c r="B292" s="31"/>
      <c r="C292" s="31"/>
      <c r="D292" s="31"/>
      <c r="E292" s="31" t="s">
        <v>87</v>
      </c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</row>
    <row r="293">
      <c r="A293" s="31"/>
      <c r="B293" s="31"/>
      <c r="C293" s="31"/>
      <c r="D293" s="31"/>
      <c r="E293" s="31" t="s">
        <v>87</v>
      </c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</row>
    <row r="294">
      <c r="A294" s="31"/>
      <c r="B294" s="31"/>
      <c r="C294" s="31"/>
      <c r="D294" s="31"/>
      <c r="E294" s="31" t="s">
        <v>87</v>
      </c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</row>
    <row r="295">
      <c r="A295" s="31"/>
      <c r="B295" s="31"/>
      <c r="C295" s="31"/>
      <c r="D295" s="31"/>
      <c r="E295" s="31" t="s">
        <v>87</v>
      </c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</row>
    <row r="296">
      <c r="A296" s="31"/>
      <c r="B296" s="31"/>
      <c r="C296" s="31"/>
      <c r="D296" s="31"/>
      <c r="E296" s="31" t="s">
        <v>87</v>
      </c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</row>
    <row r="297">
      <c r="A297" s="31"/>
      <c r="B297" s="31"/>
      <c r="C297" s="31"/>
      <c r="D297" s="31"/>
      <c r="E297" s="31" t="s">
        <v>87</v>
      </c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</row>
    <row r="298">
      <c r="A298" s="31"/>
      <c r="B298" s="31"/>
      <c r="C298" s="31"/>
      <c r="D298" s="31"/>
      <c r="E298" s="31" t="s">
        <v>87</v>
      </c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</row>
    <row r="299">
      <c r="A299" s="31"/>
      <c r="B299" s="31"/>
      <c r="C299" s="31"/>
      <c r="D299" s="31"/>
      <c r="E299" s="31" t="s">
        <v>87</v>
      </c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</row>
    <row r="300">
      <c r="A300" s="31"/>
      <c r="B300" s="31"/>
      <c r="C300" s="31"/>
      <c r="D300" s="31"/>
      <c r="E300" s="31" t="s">
        <v>87</v>
      </c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</row>
    <row r="301">
      <c r="A301" s="31"/>
      <c r="B301" s="31"/>
      <c r="C301" s="31"/>
      <c r="D301" s="31"/>
      <c r="E301" s="31" t="s">
        <v>87</v>
      </c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</row>
    <row r="302">
      <c r="A302" s="31"/>
      <c r="B302" s="31"/>
      <c r="C302" s="31"/>
      <c r="D302" s="31"/>
      <c r="E302" s="31" t="s">
        <v>87</v>
      </c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</row>
    <row r="303">
      <c r="A303" s="31"/>
      <c r="B303" s="31"/>
      <c r="C303" s="31"/>
      <c r="D303" s="31"/>
      <c r="E303" s="31" t="s">
        <v>87</v>
      </c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</row>
    <row r="304">
      <c r="A304" s="31"/>
      <c r="B304" s="31"/>
      <c r="C304" s="31"/>
      <c r="D304" s="31"/>
      <c r="E304" s="31" t="s">
        <v>87</v>
      </c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</row>
    <row r="305">
      <c r="A305" s="31"/>
      <c r="B305" s="31"/>
      <c r="C305" s="31"/>
      <c r="D305" s="31"/>
      <c r="E305" s="31" t="s">
        <v>87</v>
      </c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</row>
    <row r="306">
      <c r="A306" s="31"/>
      <c r="B306" s="31"/>
      <c r="C306" s="31"/>
      <c r="D306" s="31"/>
      <c r="E306" s="31" t="s">
        <v>87</v>
      </c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</row>
    <row r="307">
      <c r="A307" s="31"/>
      <c r="B307" s="31"/>
      <c r="C307" s="31"/>
      <c r="D307" s="31"/>
      <c r="E307" s="31" t="s">
        <v>87</v>
      </c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</row>
    <row r="308">
      <c r="A308" s="31"/>
      <c r="B308" s="31"/>
      <c r="C308" s="31"/>
      <c r="D308" s="31"/>
      <c r="E308" s="31" t="s">
        <v>87</v>
      </c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</row>
    <row r="309">
      <c r="A309" s="31"/>
      <c r="B309" s="31"/>
      <c r="C309" s="31"/>
      <c r="D309" s="31"/>
      <c r="E309" s="31" t="s">
        <v>87</v>
      </c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</row>
    <row r="310">
      <c r="A310" s="31"/>
      <c r="B310" s="31"/>
      <c r="C310" s="31"/>
      <c r="D310" s="31"/>
      <c r="E310" s="31" t="s">
        <v>87</v>
      </c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</row>
    <row r="311">
      <c r="A311" s="31"/>
      <c r="B311" s="31"/>
      <c r="C311" s="31"/>
      <c r="D311" s="31"/>
      <c r="E311" s="31" t="s">
        <v>87</v>
      </c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</row>
    <row r="312">
      <c r="A312" s="31"/>
      <c r="B312" s="31"/>
      <c r="C312" s="31"/>
      <c r="D312" s="31"/>
      <c r="E312" s="31" t="s">
        <v>87</v>
      </c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</row>
    <row r="313">
      <c r="A313" s="31"/>
      <c r="B313" s="31"/>
      <c r="C313" s="31"/>
      <c r="D313" s="31"/>
      <c r="E313" s="31" t="s">
        <v>87</v>
      </c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</row>
    <row r="314">
      <c r="A314" s="31"/>
      <c r="B314" s="31"/>
      <c r="C314" s="31"/>
      <c r="D314" s="31"/>
      <c r="E314" s="31" t="s">
        <v>87</v>
      </c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</row>
    <row r="315">
      <c r="A315" s="31"/>
      <c r="B315" s="31"/>
      <c r="C315" s="31"/>
      <c r="D315" s="31"/>
      <c r="E315" s="31" t="s">
        <v>87</v>
      </c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</row>
    <row r="316">
      <c r="A316" s="31"/>
      <c r="B316" s="31"/>
      <c r="C316" s="31"/>
      <c r="D316" s="31"/>
      <c r="E316" s="31" t="s">
        <v>87</v>
      </c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</row>
    <row r="317">
      <c r="A317" s="31"/>
      <c r="B317" s="31"/>
      <c r="C317" s="31"/>
      <c r="D317" s="31"/>
      <c r="E317" s="31" t="s">
        <v>87</v>
      </c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</row>
    <row r="318">
      <c r="A318" s="31"/>
      <c r="B318" s="31"/>
      <c r="C318" s="31"/>
      <c r="D318" s="31"/>
      <c r="E318" s="31" t="s">
        <v>87</v>
      </c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</row>
    <row r="319">
      <c r="A319" s="31"/>
      <c r="B319" s="31"/>
      <c r="C319" s="31"/>
      <c r="D319" s="31"/>
      <c r="E319" s="31" t="s">
        <v>87</v>
      </c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</row>
    <row r="320">
      <c r="A320" s="31"/>
      <c r="B320" s="31"/>
      <c r="C320" s="31"/>
      <c r="D320" s="31"/>
      <c r="E320" s="31" t="s">
        <v>87</v>
      </c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</row>
    <row r="321">
      <c r="A321" s="31"/>
      <c r="B321" s="31"/>
      <c r="C321" s="31"/>
      <c r="D321" s="31"/>
      <c r="E321" s="31" t="s">
        <v>87</v>
      </c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</row>
    <row r="322">
      <c r="A322" s="31"/>
      <c r="B322" s="31"/>
      <c r="C322" s="31"/>
      <c r="D322" s="31"/>
      <c r="E322" s="31" t="s">
        <v>87</v>
      </c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</row>
    <row r="323">
      <c r="A323" s="31"/>
      <c r="B323" s="31"/>
      <c r="C323" s="31"/>
      <c r="D323" s="31"/>
      <c r="E323" s="31" t="s">
        <v>87</v>
      </c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</row>
    <row r="324">
      <c r="A324" s="31"/>
      <c r="B324" s="31"/>
      <c r="C324" s="31"/>
      <c r="D324" s="31"/>
      <c r="E324" s="31" t="s">
        <v>87</v>
      </c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</row>
    <row r="325">
      <c r="A325" s="31"/>
      <c r="B325" s="31"/>
      <c r="C325" s="31"/>
      <c r="D325" s="31"/>
      <c r="E325" s="31" t="s">
        <v>87</v>
      </c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</row>
    <row r="326">
      <c r="A326" s="31"/>
      <c r="B326" s="31"/>
      <c r="C326" s="31"/>
      <c r="D326" s="31"/>
      <c r="E326" s="31" t="s">
        <v>87</v>
      </c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</row>
    <row r="327">
      <c r="A327" s="31"/>
      <c r="B327" s="31"/>
      <c r="C327" s="31"/>
      <c r="D327" s="31"/>
      <c r="E327" s="31" t="s">
        <v>87</v>
      </c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</row>
    <row r="328">
      <c r="A328" s="31"/>
      <c r="B328" s="31"/>
      <c r="C328" s="31"/>
      <c r="D328" s="31"/>
      <c r="E328" s="31" t="s">
        <v>87</v>
      </c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</row>
    <row r="329">
      <c r="A329" s="31"/>
      <c r="B329" s="31"/>
      <c r="C329" s="31"/>
      <c r="D329" s="31"/>
      <c r="E329" s="31" t="s">
        <v>87</v>
      </c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</row>
    <row r="330">
      <c r="A330" s="31"/>
      <c r="B330" s="31"/>
      <c r="C330" s="31"/>
      <c r="D330" s="31"/>
      <c r="E330" s="31" t="s">
        <v>87</v>
      </c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</row>
    <row r="331">
      <c r="A331" s="31"/>
      <c r="B331" s="31"/>
      <c r="C331" s="31"/>
      <c r="D331" s="31"/>
      <c r="E331" s="31" t="s">
        <v>87</v>
      </c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</row>
    <row r="332">
      <c r="A332" s="31"/>
      <c r="B332" s="31"/>
      <c r="C332" s="31"/>
      <c r="D332" s="31"/>
      <c r="E332" s="31" t="s">
        <v>87</v>
      </c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</row>
    <row r="333">
      <c r="A333" s="31"/>
      <c r="B333" s="31"/>
      <c r="C333" s="31"/>
      <c r="D333" s="31"/>
      <c r="E333" s="31" t="s">
        <v>87</v>
      </c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</row>
    <row r="334">
      <c r="A334" s="31"/>
      <c r="B334" s="31"/>
      <c r="C334" s="31"/>
      <c r="D334" s="31"/>
      <c r="E334" s="31" t="s">
        <v>87</v>
      </c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</row>
    <row r="335">
      <c r="A335" s="31"/>
      <c r="B335" s="31"/>
      <c r="C335" s="31"/>
      <c r="D335" s="31"/>
      <c r="E335" s="31" t="s">
        <v>87</v>
      </c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</row>
    <row r="336">
      <c r="A336" s="31"/>
      <c r="B336" s="31"/>
      <c r="C336" s="31"/>
      <c r="D336" s="31"/>
      <c r="E336" s="31" t="s">
        <v>87</v>
      </c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</row>
    <row r="337">
      <c r="A337" s="31"/>
      <c r="B337" s="31"/>
      <c r="C337" s="31"/>
      <c r="D337" s="31"/>
      <c r="E337" s="31" t="s">
        <v>87</v>
      </c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</row>
    <row r="338">
      <c r="A338" s="31"/>
      <c r="B338" s="31"/>
      <c r="C338" s="31"/>
      <c r="D338" s="31"/>
      <c r="E338" s="31" t="s">
        <v>87</v>
      </c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</row>
    <row r="339">
      <c r="A339" s="31"/>
      <c r="B339" s="31"/>
      <c r="C339" s="31"/>
      <c r="D339" s="31"/>
      <c r="E339" s="31" t="s">
        <v>87</v>
      </c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</row>
    <row r="340">
      <c r="A340" s="31"/>
      <c r="B340" s="31"/>
      <c r="C340" s="31"/>
      <c r="D340" s="31"/>
      <c r="E340" s="31" t="s">
        <v>87</v>
      </c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</row>
    <row r="341">
      <c r="A341" s="31"/>
      <c r="B341" s="31"/>
      <c r="C341" s="31"/>
      <c r="D341" s="31"/>
      <c r="E341" s="31" t="s">
        <v>87</v>
      </c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</row>
    <row r="342">
      <c r="A342" s="31"/>
      <c r="B342" s="31"/>
      <c r="C342" s="31"/>
      <c r="D342" s="31"/>
      <c r="E342" s="31" t="s">
        <v>87</v>
      </c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</row>
    <row r="343">
      <c r="A343" s="31"/>
      <c r="B343" s="31"/>
      <c r="C343" s="31"/>
      <c r="D343" s="31"/>
      <c r="E343" s="31" t="s">
        <v>87</v>
      </c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</row>
    <row r="344">
      <c r="A344" s="31"/>
      <c r="B344" s="31"/>
      <c r="C344" s="31"/>
      <c r="D344" s="31"/>
      <c r="E344" s="31" t="s">
        <v>87</v>
      </c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</row>
    <row r="345">
      <c r="A345" s="31"/>
      <c r="B345" s="31"/>
      <c r="C345" s="31"/>
      <c r="D345" s="31"/>
      <c r="E345" s="31" t="s">
        <v>87</v>
      </c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</row>
    <row r="346">
      <c r="A346" s="31"/>
      <c r="B346" s="31"/>
      <c r="C346" s="31"/>
      <c r="D346" s="31"/>
      <c r="E346" s="31" t="s">
        <v>87</v>
      </c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</row>
    <row r="347">
      <c r="A347" s="31"/>
      <c r="B347" s="31"/>
      <c r="C347" s="31"/>
      <c r="D347" s="31"/>
      <c r="E347" s="31" t="s">
        <v>87</v>
      </c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</row>
    <row r="348">
      <c r="A348" s="31"/>
      <c r="B348" s="31"/>
      <c r="C348" s="31"/>
      <c r="D348" s="31"/>
      <c r="E348" s="31" t="s">
        <v>87</v>
      </c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</row>
    <row r="349">
      <c r="A349" s="31"/>
      <c r="B349" s="31"/>
      <c r="C349" s="31"/>
      <c r="D349" s="31"/>
      <c r="E349" s="31" t="s">
        <v>87</v>
      </c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</row>
    <row r="350">
      <c r="A350" s="31"/>
      <c r="B350" s="31"/>
      <c r="C350" s="31"/>
      <c r="D350" s="31"/>
      <c r="E350" s="31" t="s">
        <v>87</v>
      </c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</row>
    <row r="351">
      <c r="A351" s="31"/>
      <c r="B351" s="31"/>
      <c r="C351" s="31"/>
      <c r="D351" s="31"/>
      <c r="E351" s="31" t="s">
        <v>87</v>
      </c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</row>
    <row r="352">
      <c r="A352" s="31"/>
      <c r="B352" s="31"/>
      <c r="C352" s="31"/>
      <c r="D352" s="31"/>
      <c r="E352" s="31" t="s">
        <v>87</v>
      </c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</row>
    <row r="353">
      <c r="A353" s="31"/>
      <c r="B353" s="31"/>
      <c r="C353" s="31"/>
      <c r="D353" s="31"/>
      <c r="E353" s="31" t="s">
        <v>87</v>
      </c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</row>
    <row r="354">
      <c r="A354" s="31"/>
      <c r="B354" s="31"/>
      <c r="C354" s="31"/>
      <c r="D354" s="31"/>
      <c r="E354" s="31" t="s">
        <v>87</v>
      </c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</row>
    <row r="355">
      <c r="A355" s="31"/>
      <c r="B355" s="31"/>
      <c r="C355" s="31"/>
      <c r="D355" s="31"/>
      <c r="E355" s="31" t="s">
        <v>87</v>
      </c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</row>
    <row r="356">
      <c r="A356" s="31"/>
      <c r="B356" s="31"/>
      <c r="C356" s="31"/>
      <c r="D356" s="31"/>
      <c r="E356" s="31" t="s">
        <v>87</v>
      </c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</row>
    <row r="357">
      <c r="A357" s="31"/>
      <c r="B357" s="31"/>
      <c r="C357" s="31"/>
      <c r="D357" s="31"/>
      <c r="E357" s="31" t="s">
        <v>87</v>
      </c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</row>
    <row r="358">
      <c r="A358" s="31"/>
      <c r="B358" s="31"/>
      <c r="C358" s="31"/>
      <c r="D358" s="31"/>
      <c r="E358" s="31" t="s">
        <v>87</v>
      </c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</row>
    <row r="359">
      <c r="A359" s="31"/>
      <c r="B359" s="31"/>
      <c r="C359" s="31"/>
      <c r="D359" s="31"/>
      <c r="E359" s="31" t="s">
        <v>87</v>
      </c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</row>
    <row r="360">
      <c r="A360" s="31"/>
      <c r="B360" s="31"/>
      <c r="C360" s="31"/>
      <c r="D360" s="31"/>
      <c r="E360" s="31" t="s">
        <v>87</v>
      </c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</row>
    <row r="361">
      <c r="A361" s="31"/>
      <c r="B361" s="31"/>
      <c r="C361" s="31"/>
      <c r="D361" s="31"/>
      <c r="E361" s="31" t="s">
        <v>87</v>
      </c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</row>
    <row r="362">
      <c r="A362" s="31"/>
      <c r="B362" s="31"/>
      <c r="C362" s="31"/>
      <c r="D362" s="31"/>
      <c r="E362" s="31" t="s">
        <v>87</v>
      </c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</row>
    <row r="363">
      <c r="A363" s="31"/>
      <c r="B363" s="31"/>
      <c r="C363" s="31"/>
      <c r="D363" s="31"/>
      <c r="E363" s="31" t="s">
        <v>87</v>
      </c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</row>
    <row r="364">
      <c r="A364" s="31"/>
      <c r="B364" s="31"/>
      <c r="C364" s="31"/>
      <c r="D364" s="31"/>
      <c r="E364" s="31" t="s">
        <v>87</v>
      </c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</row>
    <row r="365">
      <c r="A365" s="31"/>
      <c r="B365" s="31"/>
      <c r="C365" s="31"/>
      <c r="D365" s="31"/>
      <c r="E365" s="31" t="s">
        <v>87</v>
      </c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</row>
    <row r="366">
      <c r="A366" s="31"/>
      <c r="B366" s="31"/>
      <c r="C366" s="31"/>
      <c r="D366" s="31"/>
      <c r="E366" s="31" t="s">
        <v>87</v>
      </c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</row>
    <row r="367">
      <c r="A367" s="31"/>
      <c r="B367" s="31"/>
      <c r="C367" s="31"/>
      <c r="D367" s="31"/>
      <c r="E367" s="31" t="s">
        <v>87</v>
      </c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</row>
    <row r="368">
      <c r="A368" s="31"/>
      <c r="B368" s="31"/>
      <c r="C368" s="31"/>
      <c r="D368" s="31"/>
      <c r="E368" s="31" t="s">
        <v>87</v>
      </c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</row>
    <row r="369">
      <c r="A369" s="31"/>
      <c r="B369" s="31"/>
      <c r="C369" s="31"/>
      <c r="D369" s="31"/>
      <c r="E369" s="31" t="s">
        <v>87</v>
      </c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</row>
    <row r="370">
      <c r="A370" s="31"/>
      <c r="B370" s="31"/>
      <c r="C370" s="31"/>
      <c r="D370" s="31"/>
      <c r="E370" s="31" t="s">
        <v>87</v>
      </c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</row>
    <row r="371">
      <c r="A371" s="31"/>
      <c r="B371" s="31"/>
      <c r="C371" s="31"/>
      <c r="D371" s="31"/>
      <c r="E371" s="31" t="s">
        <v>87</v>
      </c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</row>
    <row r="372">
      <c r="A372" s="31"/>
      <c r="B372" s="31"/>
      <c r="C372" s="31"/>
      <c r="D372" s="31"/>
      <c r="E372" s="31" t="s">
        <v>87</v>
      </c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</row>
    <row r="373">
      <c r="A373" s="31"/>
      <c r="B373" s="31"/>
      <c r="C373" s="31"/>
      <c r="D373" s="31"/>
      <c r="E373" s="31" t="s">
        <v>87</v>
      </c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</row>
    <row r="374">
      <c r="A374" s="31"/>
      <c r="B374" s="31"/>
      <c r="C374" s="31"/>
      <c r="D374" s="31"/>
      <c r="E374" s="31" t="s">
        <v>87</v>
      </c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</row>
    <row r="375">
      <c r="A375" s="31"/>
      <c r="B375" s="31"/>
      <c r="C375" s="31"/>
      <c r="D375" s="31"/>
      <c r="E375" s="31" t="s">
        <v>87</v>
      </c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</row>
    <row r="376">
      <c r="A376" s="31"/>
      <c r="B376" s="31"/>
      <c r="C376" s="31"/>
      <c r="D376" s="31"/>
      <c r="E376" s="31" t="s">
        <v>87</v>
      </c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</row>
    <row r="377">
      <c r="A377" s="31"/>
      <c r="B377" s="31"/>
      <c r="C377" s="31"/>
      <c r="D377" s="31"/>
      <c r="E377" s="31" t="s">
        <v>87</v>
      </c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</row>
    <row r="378">
      <c r="A378" s="31"/>
      <c r="B378" s="31"/>
      <c r="C378" s="31"/>
      <c r="D378" s="31"/>
      <c r="E378" s="31" t="s">
        <v>87</v>
      </c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</row>
    <row r="379">
      <c r="A379" s="31"/>
      <c r="B379" s="31"/>
      <c r="C379" s="31"/>
      <c r="D379" s="31"/>
      <c r="E379" s="31" t="s">
        <v>87</v>
      </c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</row>
    <row r="380">
      <c r="A380" s="31"/>
      <c r="B380" s="31"/>
      <c r="C380" s="31"/>
      <c r="D380" s="31"/>
      <c r="E380" s="31" t="s">
        <v>87</v>
      </c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</row>
    <row r="381">
      <c r="A381" s="31"/>
      <c r="B381" s="31"/>
      <c r="C381" s="31"/>
      <c r="D381" s="31"/>
      <c r="E381" s="31" t="s">
        <v>87</v>
      </c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</row>
    <row r="382">
      <c r="A382" s="31"/>
      <c r="B382" s="31"/>
      <c r="C382" s="31"/>
      <c r="D382" s="31"/>
      <c r="E382" s="31" t="s">
        <v>87</v>
      </c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</row>
    <row r="383">
      <c r="A383" s="31"/>
      <c r="B383" s="31"/>
      <c r="C383" s="31"/>
      <c r="D383" s="31"/>
      <c r="E383" s="31" t="s">
        <v>87</v>
      </c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</row>
    <row r="384">
      <c r="A384" s="31"/>
      <c r="B384" s="31"/>
      <c r="C384" s="31"/>
      <c r="D384" s="31"/>
      <c r="E384" s="31" t="s">
        <v>87</v>
      </c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</row>
    <row r="385">
      <c r="A385" s="31"/>
      <c r="B385" s="31"/>
      <c r="C385" s="31"/>
      <c r="D385" s="31"/>
      <c r="E385" s="31" t="s">
        <v>87</v>
      </c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</row>
    <row r="386">
      <c r="A386" s="31"/>
      <c r="B386" s="31"/>
      <c r="C386" s="31"/>
      <c r="D386" s="31"/>
      <c r="E386" s="31" t="s">
        <v>87</v>
      </c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</row>
    <row r="387">
      <c r="A387" s="31"/>
      <c r="B387" s="31"/>
      <c r="C387" s="31"/>
      <c r="D387" s="31"/>
      <c r="E387" s="31" t="s">
        <v>87</v>
      </c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</row>
    <row r="388">
      <c r="A388" s="31"/>
      <c r="B388" s="31"/>
      <c r="C388" s="31"/>
      <c r="D388" s="31"/>
      <c r="E388" s="31" t="s">
        <v>87</v>
      </c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</row>
    <row r="389">
      <c r="A389" s="31"/>
      <c r="B389" s="31"/>
      <c r="C389" s="31"/>
      <c r="D389" s="31"/>
      <c r="E389" s="31" t="s">
        <v>87</v>
      </c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</row>
    <row r="390">
      <c r="A390" s="31"/>
      <c r="B390" s="31"/>
      <c r="C390" s="31"/>
      <c r="D390" s="31"/>
      <c r="E390" s="31" t="s">
        <v>87</v>
      </c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</row>
    <row r="391">
      <c r="A391" s="31"/>
      <c r="B391" s="31"/>
      <c r="C391" s="31"/>
      <c r="D391" s="31"/>
      <c r="E391" s="31" t="s">
        <v>87</v>
      </c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</row>
    <row r="392">
      <c r="A392" s="31"/>
      <c r="B392" s="31"/>
      <c r="C392" s="31"/>
      <c r="D392" s="31"/>
      <c r="E392" s="31" t="s">
        <v>87</v>
      </c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</row>
    <row r="393">
      <c r="A393" s="31"/>
      <c r="B393" s="31"/>
      <c r="C393" s="31"/>
      <c r="D393" s="31"/>
      <c r="E393" s="31" t="s">
        <v>87</v>
      </c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</row>
    <row r="394">
      <c r="A394" s="31"/>
      <c r="B394" s="31"/>
      <c r="C394" s="31"/>
      <c r="D394" s="31"/>
      <c r="E394" s="31" t="s">
        <v>87</v>
      </c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</row>
    <row r="395">
      <c r="A395" s="31"/>
      <c r="B395" s="31"/>
      <c r="C395" s="31"/>
      <c r="D395" s="31"/>
      <c r="E395" s="31" t="s">
        <v>87</v>
      </c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</row>
    <row r="396">
      <c r="A396" s="31"/>
      <c r="B396" s="31"/>
      <c r="C396" s="31"/>
      <c r="D396" s="31"/>
      <c r="E396" s="31" t="s">
        <v>87</v>
      </c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</row>
    <row r="397">
      <c r="A397" s="31"/>
      <c r="B397" s="31"/>
      <c r="C397" s="31"/>
      <c r="D397" s="31"/>
      <c r="E397" s="31" t="s">
        <v>87</v>
      </c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</row>
    <row r="398">
      <c r="A398" s="31"/>
      <c r="B398" s="31"/>
      <c r="C398" s="31"/>
      <c r="D398" s="31"/>
      <c r="E398" s="31" t="s">
        <v>87</v>
      </c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</row>
    <row r="399">
      <c r="A399" s="31"/>
      <c r="B399" s="31"/>
      <c r="C399" s="31"/>
      <c r="D399" s="31"/>
      <c r="E399" s="31" t="s">
        <v>87</v>
      </c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</row>
    <row r="400">
      <c r="A400" s="31"/>
      <c r="B400" s="31"/>
      <c r="C400" s="31"/>
      <c r="D400" s="31"/>
      <c r="E400" s="31" t="s">
        <v>87</v>
      </c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</row>
    <row r="401">
      <c r="A401" s="31"/>
      <c r="B401" s="31"/>
      <c r="C401" s="31"/>
      <c r="D401" s="31"/>
      <c r="E401" s="31" t="s">
        <v>87</v>
      </c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</row>
    <row r="402">
      <c r="A402" s="31"/>
      <c r="B402" s="31"/>
      <c r="C402" s="31"/>
      <c r="D402" s="31"/>
      <c r="E402" s="31" t="s">
        <v>87</v>
      </c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</row>
    <row r="403">
      <c r="A403" s="31"/>
      <c r="B403" s="31"/>
      <c r="C403" s="31"/>
      <c r="D403" s="31"/>
      <c r="E403" s="31" t="s">
        <v>87</v>
      </c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</row>
    <row r="404">
      <c r="A404" s="31"/>
      <c r="B404" s="31"/>
      <c r="C404" s="31"/>
      <c r="D404" s="31"/>
      <c r="E404" s="31" t="s">
        <v>87</v>
      </c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</row>
    <row r="405">
      <c r="A405" s="31"/>
      <c r="B405" s="31"/>
      <c r="C405" s="31"/>
      <c r="D405" s="31"/>
      <c r="E405" s="31" t="s">
        <v>87</v>
      </c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</row>
    <row r="406">
      <c r="A406" s="31"/>
      <c r="B406" s="31"/>
      <c r="C406" s="31"/>
      <c r="D406" s="31"/>
      <c r="E406" s="31" t="s">
        <v>87</v>
      </c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</row>
    <row r="407">
      <c r="A407" s="31"/>
      <c r="B407" s="31"/>
      <c r="C407" s="31"/>
      <c r="D407" s="31"/>
      <c r="E407" s="31" t="s">
        <v>87</v>
      </c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</row>
    <row r="408">
      <c r="A408" s="31"/>
      <c r="B408" s="31"/>
      <c r="C408" s="31"/>
      <c r="D408" s="31"/>
      <c r="E408" s="31" t="s">
        <v>87</v>
      </c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</row>
    <row r="409">
      <c r="A409" s="31"/>
      <c r="B409" s="31"/>
      <c r="C409" s="31"/>
      <c r="D409" s="31"/>
      <c r="E409" s="31" t="s">
        <v>87</v>
      </c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</row>
    <row r="410">
      <c r="A410" s="31"/>
      <c r="B410" s="31"/>
      <c r="C410" s="31"/>
      <c r="D410" s="31"/>
      <c r="E410" s="31" t="s">
        <v>87</v>
      </c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</row>
    <row r="411">
      <c r="A411" s="31"/>
      <c r="B411" s="31"/>
      <c r="C411" s="31"/>
      <c r="D411" s="31"/>
      <c r="E411" s="31" t="s">
        <v>87</v>
      </c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</row>
    <row r="412">
      <c r="A412" s="31"/>
      <c r="B412" s="31"/>
      <c r="C412" s="31"/>
      <c r="D412" s="31"/>
      <c r="E412" s="31" t="s">
        <v>87</v>
      </c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</row>
    <row r="413">
      <c r="A413" s="31"/>
      <c r="B413" s="31"/>
      <c r="C413" s="31"/>
      <c r="D413" s="31"/>
      <c r="E413" s="31" t="s">
        <v>87</v>
      </c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</row>
    <row r="414">
      <c r="A414" s="31"/>
      <c r="B414" s="31"/>
      <c r="C414" s="31"/>
      <c r="D414" s="31"/>
      <c r="E414" s="31" t="s">
        <v>87</v>
      </c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</row>
    <row r="415">
      <c r="A415" s="31"/>
      <c r="B415" s="31"/>
      <c r="C415" s="31"/>
      <c r="D415" s="31"/>
      <c r="E415" s="31" t="s">
        <v>87</v>
      </c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</row>
    <row r="416">
      <c r="A416" s="31"/>
      <c r="B416" s="31"/>
      <c r="C416" s="31"/>
      <c r="D416" s="31"/>
      <c r="E416" s="31" t="s">
        <v>87</v>
      </c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</row>
    <row r="417">
      <c r="A417" s="31"/>
      <c r="B417" s="31"/>
      <c r="C417" s="31"/>
      <c r="D417" s="31"/>
      <c r="E417" s="31" t="s">
        <v>87</v>
      </c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</row>
    <row r="418">
      <c r="A418" s="31"/>
      <c r="B418" s="31"/>
      <c r="C418" s="31"/>
      <c r="D418" s="31"/>
      <c r="E418" s="31" t="s">
        <v>87</v>
      </c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</row>
    <row r="419">
      <c r="A419" s="31"/>
      <c r="B419" s="31"/>
      <c r="C419" s="31"/>
      <c r="D419" s="31"/>
      <c r="E419" s="31" t="s">
        <v>87</v>
      </c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</row>
    <row r="420">
      <c r="A420" s="31"/>
      <c r="B420" s="31"/>
      <c r="C420" s="31"/>
      <c r="D420" s="31"/>
      <c r="E420" s="31" t="s">
        <v>87</v>
      </c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</row>
    <row r="421">
      <c r="A421" s="31"/>
      <c r="B421" s="31"/>
      <c r="C421" s="31"/>
      <c r="D421" s="31"/>
      <c r="E421" s="31" t="s">
        <v>87</v>
      </c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</row>
    <row r="422">
      <c r="A422" s="31"/>
      <c r="B422" s="31"/>
      <c r="C422" s="31"/>
      <c r="D422" s="31"/>
      <c r="E422" s="31" t="s">
        <v>87</v>
      </c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</row>
    <row r="423">
      <c r="A423" s="31"/>
      <c r="B423" s="31"/>
      <c r="C423" s="31"/>
      <c r="D423" s="31"/>
      <c r="E423" s="31" t="s">
        <v>87</v>
      </c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</row>
    <row r="424">
      <c r="A424" s="31"/>
      <c r="B424" s="31"/>
      <c r="C424" s="31"/>
      <c r="D424" s="31"/>
      <c r="E424" s="31" t="s">
        <v>87</v>
      </c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</row>
    <row r="425">
      <c r="A425" s="31"/>
      <c r="B425" s="31"/>
      <c r="C425" s="31"/>
      <c r="D425" s="31"/>
      <c r="E425" s="31" t="s">
        <v>87</v>
      </c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</row>
    <row r="426">
      <c r="A426" s="31"/>
      <c r="B426" s="31"/>
      <c r="C426" s="31"/>
      <c r="D426" s="31"/>
      <c r="E426" s="31" t="s">
        <v>87</v>
      </c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</row>
    <row r="427">
      <c r="A427" s="31"/>
      <c r="B427" s="31"/>
      <c r="C427" s="31"/>
      <c r="D427" s="31"/>
      <c r="E427" s="31" t="s">
        <v>87</v>
      </c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</row>
    <row r="428">
      <c r="A428" s="31"/>
      <c r="B428" s="31"/>
      <c r="C428" s="31"/>
      <c r="D428" s="31"/>
      <c r="E428" s="31" t="s">
        <v>87</v>
      </c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</row>
    <row r="429">
      <c r="A429" s="31"/>
      <c r="B429" s="31"/>
      <c r="C429" s="31"/>
      <c r="D429" s="31"/>
      <c r="E429" s="31" t="s">
        <v>87</v>
      </c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</row>
    <row r="430">
      <c r="A430" s="31"/>
      <c r="B430" s="31"/>
      <c r="C430" s="31"/>
      <c r="D430" s="31"/>
      <c r="E430" s="31" t="s">
        <v>87</v>
      </c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</row>
    <row r="431">
      <c r="A431" s="31"/>
      <c r="B431" s="31"/>
      <c r="C431" s="31"/>
      <c r="D431" s="31"/>
      <c r="E431" s="31" t="s">
        <v>87</v>
      </c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</row>
    <row r="432">
      <c r="A432" s="31"/>
      <c r="B432" s="31"/>
      <c r="C432" s="31"/>
      <c r="D432" s="31"/>
      <c r="E432" s="31" t="s">
        <v>87</v>
      </c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</row>
    <row r="433">
      <c r="A433" s="31"/>
      <c r="B433" s="31"/>
      <c r="C433" s="31"/>
      <c r="D433" s="31"/>
      <c r="E433" s="31" t="s">
        <v>87</v>
      </c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</row>
    <row r="434">
      <c r="A434" s="31"/>
      <c r="B434" s="31"/>
      <c r="C434" s="31"/>
      <c r="D434" s="31"/>
      <c r="E434" s="31" t="s">
        <v>87</v>
      </c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</row>
    <row r="435">
      <c r="A435" s="31"/>
      <c r="B435" s="31"/>
      <c r="C435" s="31"/>
      <c r="D435" s="31"/>
      <c r="E435" s="31" t="s">
        <v>87</v>
      </c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</row>
    <row r="436">
      <c r="A436" s="31"/>
      <c r="B436" s="31"/>
      <c r="C436" s="31"/>
      <c r="D436" s="31"/>
      <c r="E436" s="31" t="s">
        <v>87</v>
      </c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</row>
    <row r="437">
      <c r="A437" s="31"/>
      <c r="B437" s="31"/>
      <c r="C437" s="31"/>
      <c r="D437" s="31"/>
      <c r="E437" s="31" t="s">
        <v>87</v>
      </c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</row>
    <row r="438">
      <c r="A438" s="31"/>
      <c r="B438" s="31"/>
      <c r="C438" s="31"/>
      <c r="D438" s="31"/>
      <c r="E438" s="31" t="s">
        <v>87</v>
      </c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</row>
    <row r="439">
      <c r="A439" s="31"/>
      <c r="B439" s="31"/>
      <c r="C439" s="31"/>
      <c r="D439" s="31"/>
      <c r="E439" s="31" t="s">
        <v>87</v>
      </c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</row>
    <row r="440">
      <c r="A440" s="31"/>
      <c r="B440" s="31"/>
      <c r="C440" s="31"/>
      <c r="D440" s="31"/>
      <c r="E440" s="31" t="s">
        <v>87</v>
      </c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</row>
    <row r="441">
      <c r="A441" s="31"/>
      <c r="B441" s="31"/>
      <c r="C441" s="31"/>
      <c r="D441" s="31"/>
      <c r="E441" s="31" t="s">
        <v>87</v>
      </c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</row>
    <row r="442">
      <c r="A442" s="31"/>
      <c r="B442" s="31"/>
      <c r="C442" s="31"/>
      <c r="D442" s="31"/>
      <c r="E442" s="31" t="s">
        <v>87</v>
      </c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</row>
    <row r="443">
      <c r="A443" s="31"/>
      <c r="B443" s="31"/>
      <c r="C443" s="31"/>
      <c r="D443" s="31"/>
      <c r="E443" s="31" t="s">
        <v>87</v>
      </c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</row>
    <row r="444">
      <c r="A444" s="31"/>
      <c r="B444" s="31"/>
      <c r="C444" s="31"/>
      <c r="D444" s="31"/>
      <c r="E444" s="31" t="s">
        <v>87</v>
      </c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</row>
    <row r="445">
      <c r="A445" s="31"/>
      <c r="B445" s="31"/>
      <c r="C445" s="31"/>
      <c r="D445" s="31"/>
      <c r="E445" s="31" t="s">
        <v>87</v>
      </c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</row>
    <row r="446">
      <c r="A446" s="31"/>
      <c r="B446" s="31"/>
      <c r="C446" s="31"/>
      <c r="D446" s="31"/>
      <c r="E446" s="31" t="s">
        <v>87</v>
      </c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</row>
    <row r="447">
      <c r="A447" s="31"/>
      <c r="B447" s="31"/>
      <c r="C447" s="31"/>
      <c r="D447" s="31"/>
      <c r="E447" s="31" t="s">
        <v>87</v>
      </c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</row>
    <row r="448">
      <c r="A448" s="31"/>
      <c r="B448" s="31"/>
      <c r="C448" s="31"/>
      <c r="D448" s="31"/>
      <c r="E448" s="31" t="s">
        <v>87</v>
      </c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</row>
    <row r="449">
      <c r="A449" s="31"/>
      <c r="B449" s="31"/>
      <c r="C449" s="31"/>
      <c r="D449" s="31"/>
      <c r="E449" s="31" t="s">
        <v>87</v>
      </c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</row>
    <row r="450">
      <c r="A450" s="31"/>
      <c r="B450" s="31"/>
      <c r="C450" s="31"/>
      <c r="D450" s="31"/>
      <c r="E450" s="31" t="s">
        <v>87</v>
      </c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</row>
    <row r="451">
      <c r="A451" s="31"/>
      <c r="B451" s="31"/>
      <c r="C451" s="31"/>
      <c r="D451" s="31"/>
      <c r="E451" s="31" t="s">
        <v>87</v>
      </c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</row>
    <row r="452">
      <c r="A452" s="31"/>
      <c r="B452" s="31"/>
      <c r="C452" s="31"/>
      <c r="D452" s="31"/>
      <c r="E452" s="31" t="s">
        <v>87</v>
      </c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</row>
    <row r="453">
      <c r="A453" s="31"/>
      <c r="B453" s="31"/>
      <c r="C453" s="31"/>
      <c r="D453" s="31"/>
      <c r="E453" s="31" t="s">
        <v>87</v>
      </c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</row>
    <row r="454">
      <c r="A454" s="31"/>
      <c r="B454" s="31"/>
      <c r="C454" s="31"/>
      <c r="D454" s="31"/>
      <c r="E454" s="31" t="s">
        <v>87</v>
      </c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</row>
    <row r="455">
      <c r="A455" s="31"/>
      <c r="B455" s="31"/>
      <c r="C455" s="31"/>
      <c r="D455" s="31"/>
      <c r="E455" s="31" t="s">
        <v>87</v>
      </c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</row>
    <row r="456">
      <c r="A456" s="31"/>
      <c r="B456" s="31"/>
      <c r="C456" s="31"/>
      <c r="D456" s="31"/>
      <c r="E456" s="31" t="s">
        <v>87</v>
      </c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</row>
    <row r="457">
      <c r="A457" s="31"/>
      <c r="B457" s="31"/>
      <c r="C457" s="31"/>
      <c r="D457" s="31"/>
      <c r="E457" s="31" t="s">
        <v>87</v>
      </c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</row>
    <row r="458">
      <c r="A458" s="31"/>
      <c r="B458" s="31"/>
      <c r="C458" s="31"/>
      <c r="D458" s="31"/>
      <c r="E458" s="31" t="s">
        <v>87</v>
      </c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</row>
    <row r="459">
      <c r="A459" s="31"/>
      <c r="B459" s="31"/>
      <c r="C459" s="31"/>
      <c r="D459" s="31"/>
      <c r="E459" s="31" t="s">
        <v>87</v>
      </c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</row>
    <row r="460">
      <c r="A460" s="31"/>
      <c r="B460" s="31"/>
      <c r="C460" s="31"/>
      <c r="D460" s="31"/>
      <c r="E460" s="31" t="s">
        <v>87</v>
      </c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</row>
    <row r="461">
      <c r="A461" s="31"/>
      <c r="B461" s="31"/>
      <c r="C461" s="31"/>
      <c r="D461" s="31"/>
      <c r="E461" s="31" t="s">
        <v>87</v>
      </c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</row>
    <row r="462">
      <c r="A462" s="31"/>
      <c r="B462" s="31"/>
      <c r="C462" s="31"/>
      <c r="D462" s="31"/>
      <c r="E462" s="31" t="s">
        <v>87</v>
      </c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</row>
    <row r="463">
      <c r="A463" s="31"/>
      <c r="B463" s="31"/>
      <c r="C463" s="31"/>
      <c r="D463" s="31"/>
      <c r="E463" s="31" t="s">
        <v>87</v>
      </c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</row>
    <row r="464">
      <c r="A464" s="31"/>
      <c r="B464" s="31"/>
      <c r="C464" s="31"/>
      <c r="D464" s="31"/>
      <c r="E464" s="31" t="s">
        <v>87</v>
      </c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</row>
    <row r="465">
      <c r="A465" s="31"/>
      <c r="B465" s="31"/>
      <c r="C465" s="31"/>
      <c r="D465" s="31"/>
      <c r="E465" s="31" t="s">
        <v>87</v>
      </c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</row>
    <row r="466">
      <c r="A466" s="31"/>
      <c r="B466" s="31"/>
      <c r="C466" s="31"/>
      <c r="D466" s="31"/>
      <c r="E466" s="31" t="s">
        <v>87</v>
      </c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</row>
    <row r="467">
      <c r="A467" s="31"/>
      <c r="B467" s="31"/>
      <c r="C467" s="31"/>
      <c r="D467" s="31"/>
      <c r="E467" s="31" t="s">
        <v>87</v>
      </c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</row>
    <row r="468">
      <c r="A468" s="31"/>
      <c r="B468" s="31"/>
      <c r="C468" s="31"/>
      <c r="D468" s="31"/>
      <c r="E468" s="31" t="s">
        <v>87</v>
      </c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</row>
    <row r="469">
      <c r="A469" s="31"/>
      <c r="B469" s="31"/>
      <c r="C469" s="31"/>
      <c r="D469" s="31"/>
      <c r="E469" s="31" t="s">
        <v>87</v>
      </c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</row>
    <row r="470">
      <c r="A470" s="31"/>
      <c r="B470" s="31"/>
      <c r="C470" s="31"/>
      <c r="D470" s="31"/>
      <c r="E470" s="31" t="s">
        <v>87</v>
      </c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</row>
    <row r="471">
      <c r="A471" s="31"/>
      <c r="B471" s="31"/>
      <c r="C471" s="31"/>
      <c r="D471" s="31"/>
      <c r="E471" s="31" t="s">
        <v>87</v>
      </c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</row>
    <row r="472">
      <c r="A472" s="31"/>
      <c r="B472" s="31"/>
      <c r="C472" s="31"/>
      <c r="D472" s="31"/>
      <c r="E472" s="31" t="s">
        <v>87</v>
      </c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</row>
    <row r="473">
      <c r="A473" s="31"/>
      <c r="B473" s="31"/>
      <c r="C473" s="31"/>
      <c r="D473" s="31"/>
      <c r="E473" s="31" t="s">
        <v>87</v>
      </c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</row>
    <row r="474">
      <c r="A474" s="31"/>
      <c r="B474" s="31"/>
      <c r="C474" s="31"/>
      <c r="D474" s="31"/>
      <c r="E474" s="31" t="s">
        <v>87</v>
      </c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</row>
    <row r="475">
      <c r="A475" s="31"/>
      <c r="B475" s="31"/>
      <c r="C475" s="31"/>
      <c r="D475" s="31"/>
      <c r="E475" s="31" t="s">
        <v>87</v>
      </c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</row>
    <row r="476">
      <c r="A476" s="31"/>
      <c r="B476" s="31"/>
      <c r="C476" s="31"/>
      <c r="D476" s="31"/>
      <c r="E476" s="31" t="s">
        <v>87</v>
      </c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</row>
    <row r="477">
      <c r="A477" s="31"/>
      <c r="B477" s="31"/>
      <c r="C477" s="31"/>
      <c r="D477" s="31"/>
      <c r="E477" s="31" t="s">
        <v>87</v>
      </c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</row>
    <row r="478">
      <c r="A478" s="31"/>
      <c r="B478" s="31"/>
      <c r="C478" s="31"/>
      <c r="D478" s="31"/>
      <c r="E478" s="31" t="s">
        <v>87</v>
      </c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</row>
    <row r="479">
      <c r="A479" s="31"/>
      <c r="B479" s="31"/>
      <c r="C479" s="31"/>
      <c r="D479" s="31"/>
      <c r="E479" s="31" t="s">
        <v>87</v>
      </c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</row>
    <row r="480">
      <c r="A480" s="31"/>
      <c r="B480" s="31"/>
      <c r="C480" s="31"/>
      <c r="D480" s="31"/>
      <c r="E480" s="31" t="s">
        <v>87</v>
      </c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</row>
    <row r="481">
      <c r="A481" s="31"/>
      <c r="B481" s="31"/>
      <c r="C481" s="31"/>
      <c r="D481" s="31"/>
      <c r="E481" s="31" t="s">
        <v>87</v>
      </c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</row>
    <row r="482">
      <c r="A482" s="31"/>
      <c r="B482" s="31"/>
      <c r="C482" s="31"/>
      <c r="D482" s="31"/>
      <c r="E482" s="31" t="s">
        <v>87</v>
      </c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</row>
    <row r="483">
      <c r="A483" s="31"/>
      <c r="B483" s="31"/>
      <c r="C483" s="31"/>
      <c r="D483" s="31"/>
      <c r="E483" s="31" t="s">
        <v>87</v>
      </c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</row>
    <row r="484">
      <c r="A484" s="31"/>
      <c r="B484" s="31"/>
      <c r="C484" s="31"/>
      <c r="D484" s="31"/>
      <c r="E484" s="31" t="s">
        <v>87</v>
      </c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</row>
    <row r="485">
      <c r="A485" s="31"/>
      <c r="B485" s="31"/>
      <c r="C485" s="31"/>
      <c r="D485" s="31"/>
      <c r="E485" s="31" t="s">
        <v>87</v>
      </c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</row>
    <row r="486">
      <c r="A486" s="31"/>
      <c r="B486" s="31"/>
      <c r="C486" s="31"/>
      <c r="D486" s="31"/>
      <c r="E486" s="31" t="s">
        <v>87</v>
      </c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</row>
    <row r="487">
      <c r="A487" s="31"/>
      <c r="B487" s="31"/>
      <c r="C487" s="31"/>
      <c r="D487" s="31"/>
      <c r="E487" s="31" t="s">
        <v>87</v>
      </c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</row>
    <row r="488">
      <c r="A488" s="31"/>
      <c r="B488" s="31"/>
      <c r="C488" s="31"/>
      <c r="D488" s="31"/>
      <c r="E488" s="31" t="s">
        <v>87</v>
      </c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</row>
    <row r="489">
      <c r="A489" s="31"/>
      <c r="B489" s="31"/>
      <c r="C489" s="31"/>
      <c r="D489" s="31"/>
      <c r="E489" s="31" t="s">
        <v>87</v>
      </c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</row>
    <row r="490">
      <c r="A490" s="31"/>
      <c r="B490" s="31"/>
      <c r="C490" s="31"/>
      <c r="D490" s="31"/>
      <c r="E490" s="31" t="s">
        <v>87</v>
      </c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</row>
    <row r="491">
      <c r="A491" s="31"/>
      <c r="B491" s="31"/>
      <c r="C491" s="31"/>
      <c r="D491" s="31"/>
      <c r="E491" s="31" t="s">
        <v>87</v>
      </c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</row>
    <row r="492">
      <c r="A492" s="31"/>
      <c r="B492" s="31"/>
      <c r="C492" s="31"/>
      <c r="D492" s="31"/>
      <c r="E492" s="31" t="s">
        <v>87</v>
      </c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</row>
    <row r="493">
      <c r="A493" s="31"/>
      <c r="B493" s="31"/>
      <c r="C493" s="31"/>
      <c r="D493" s="31"/>
      <c r="E493" s="31" t="s">
        <v>87</v>
      </c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</row>
    <row r="494">
      <c r="A494" s="31"/>
      <c r="B494" s="31"/>
      <c r="C494" s="31"/>
      <c r="D494" s="31"/>
      <c r="E494" s="31" t="s">
        <v>87</v>
      </c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</row>
    <row r="495">
      <c r="A495" s="31"/>
      <c r="B495" s="31"/>
      <c r="C495" s="31"/>
      <c r="D495" s="31"/>
      <c r="E495" s="31" t="s">
        <v>87</v>
      </c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</row>
    <row r="496">
      <c r="A496" s="31"/>
      <c r="B496" s="31"/>
      <c r="C496" s="31"/>
      <c r="D496" s="31"/>
      <c r="E496" s="31" t="s">
        <v>87</v>
      </c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</row>
    <row r="497">
      <c r="A497" s="31"/>
      <c r="B497" s="31"/>
      <c r="C497" s="31"/>
      <c r="D497" s="31"/>
      <c r="E497" s="31" t="s">
        <v>87</v>
      </c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</row>
    <row r="498">
      <c r="A498" s="31"/>
      <c r="B498" s="31"/>
      <c r="C498" s="31"/>
      <c r="D498" s="31"/>
      <c r="E498" s="31" t="s">
        <v>87</v>
      </c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</row>
    <row r="499">
      <c r="A499" s="31"/>
      <c r="B499" s="31"/>
      <c r="C499" s="31"/>
      <c r="D499" s="31"/>
      <c r="E499" s="31" t="s">
        <v>87</v>
      </c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</row>
    <row r="500">
      <c r="A500" s="31"/>
      <c r="B500" s="31"/>
      <c r="C500" s="31"/>
      <c r="D500" s="31"/>
      <c r="E500" s="31" t="s">
        <v>87</v>
      </c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</row>
    <row r="501">
      <c r="A501" s="31"/>
      <c r="B501" s="31"/>
      <c r="C501" s="31"/>
      <c r="D501" s="31"/>
      <c r="E501" s="31" t="s">
        <v>87</v>
      </c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</row>
    <row r="502">
      <c r="A502" s="31"/>
      <c r="B502" s="31"/>
      <c r="C502" s="31"/>
      <c r="D502" s="31"/>
      <c r="E502" s="31" t="s">
        <v>87</v>
      </c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</row>
    <row r="503">
      <c r="A503" s="31"/>
      <c r="B503" s="31"/>
      <c r="C503" s="31"/>
      <c r="D503" s="31"/>
      <c r="E503" s="31" t="s">
        <v>87</v>
      </c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</row>
    <row r="504">
      <c r="A504" s="31"/>
      <c r="B504" s="31"/>
      <c r="C504" s="31"/>
      <c r="D504" s="31"/>
      <c r="E504" s="31" t="s">
        <v>87</v>
      </c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</row>
    <row r="505">
      <c r="A505" s="31"/>
      <c r="B505" s="31"/>
      <c r="C505" s="31"/>
      <c r="D505" s="31"/>
      <c r="E505" s="31" t="s">
        <v>87</v>
      </c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</row>
    <row r="506">
      <c r="A506" s="31"/>
      <c r="B506" s="31"/>
      <c r="C506" s="31"/>
      <c r="D506" s="31"/>
      <c r="E506" s="31" t="s">
        <v>87</v>
      </c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</row>
    <row r="507">
      <c r="A507" s="31"/>
      <c r="B507" s="31"/>
      <c r="C507" s="31"/>
      <c r="D507" s="31"/>
      <c r="E507" s="31" t="s">
        <v>87</v>
      </c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</row>
    <row r="508">
      <c r="A508" s="31"/>
      <c r="B508" s="31"/>
      <c r="C508" s="31"/>
      <c r="D508" s="31"/>
      <c r="E508" s="31" t="s">
        <v>87</v>
      </c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</row>
    <row r="509">
      <c r="A509" s="31"/>
      <c r="B509" s="31"/>
      <c r="C509" s="31"/>
      <c r="D509" s="31"/>
      <c r="E509" s="31" t="s">
        <v>87</v>
      </c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</row>
    <row r="510">
      <c r="A510" s="31"/>
      <c r="B510" s="31"/>
      <c r="C510" s="31"/>
      <c r="D510" s="31"/>
      <c r="E510" s="31" t="s">
        <v>87</v>
      </c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</row>
    <row r="511">
      <c r="A511" s="31"/>
      <c r="B511" s="31"/>
      <c r="C511" s="31"/>
      <c r="D511" s="31"/>
      <c r="E511" s="31" t="s">
        <v>87</v>
      </c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</row>
    <row r="512">
      <c r="A512" s="31"/>
      <c r="B512" s="31"/>
      <c r="C512" s="31"/>
      <c r="D512" s="31"/>
      <c r="E512" s="31" t="s">
        <v>87</v>
      </c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</row>
    <row r="513">
      <c r="A513" s="31"/>
      <c r="B513" s="31"/>
      <c r="C513" s="31"/>
      <c r="D513" s="31"/>
      <c r="E513" s="31" t="s">
        <v>87</v>
      </c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</row>
    <row r="514">
      <c r="A514" s="31"/>
      <c r="B514" s="31"/>
      <c r="C514" s="31"/>
      <c r="D514" s="31"/>
      <c r="E514" s="31" t="s">
        <v>87</v>
      </c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</row>
    <row r="515">
      <c r="A515" s="31"/>
      <c r="B515" s="31"/>
      <c r="C515" s="31"/>
      <c r="D515" s="31"/>
      <c r="E515" s="31" t="s">
        <v>87</v>
      </c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</row>
    <row r="516">
      <c r="A516" s="31"/>
      <c r="B516" s="31"/>
      <c r="C516" s="31"/>
      <c r="D516" s="31"/>
      <c r="E516" s="31" t="s">
        <v>87</v>
      </c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</row>
    <row r="517">
      <c r="A517" s="31"/>
      <c r="B517" s="31"/>
      <c r="C517" s="31"/>
      <c r="D517" s="31"/>
      <c r="E517" s="31" t="s">
        <v>87</v>
      </c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</row>
    <row r="518">
      <c r="A518" s="31"/>
      <c r="B518" s="31"/>
      <c r="C518" s="31"/>
      <c r="D518" s="31"/>
      <c r="E518" s="31" t="s">
        <v>87</v>
      </c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</row>
    <row r="519">
      <c r="A519" s="31"/>
      <c r="B519" s="31"/>
      <c r="C519" s="31"/>
      <c r="D519" s="31"/>
      <c r="E519" s="31" t="s">
        <v>87</v>
      </c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</row>
    <row r="520">
      <c r="A520" s="31"/>
      <c r="B520" s="31"/>
      <c r="C520" s="31"/>
      <c r="D520" s="31"/>
      <c r="E520" s="31" t="s">
        <v>87</v>
      </c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</row>
    <row r="521">
      <c r="A521" s="31"/>
      <c r="B521" s="31"/>
      <c r="C521" s="31"/>
      <c r="D521" s="31"/>
      <c r="E521" s="31" t="s">
        <v>87</v>
      </c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</row>
    <row r="522">
      <c r="A522" s="31"/>
      <c r="B522" s="31"/>
      <c r="C522" s="31"/>
      <c r="D522" s="31"/>
      <c r="E522" s="31" t="s">
        <v>87</v>
      </c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</row>
    <row r="523">
      <c r="A523" s="31"/>
      <c r="B523" s="31"/>
      <c r="C523" s="31"/>
      <c r="D523" s="31"/>
      <c r="E523" s="31" t="s">
        <v>87</v>
      </c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</row>
    <row r="524">
      <c r="A524" s="31"/>
      <c r="B524" s="31"/>
      <c r="C524" s="31"/>
      <c r="D524" s="31"/>
      <c r="E524" s="31" t="s">
        <v>87</v>
      </c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</row>
    <row r="525">
      <c r="A525" s="31"/>
      <c r="B525" s="31"/>
      <c r="C525" s="31"/>
      <c r="D525" s="31"/>
      <c r="E525" s="31" t="s">
        <v>87</v>
      </c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</row>
    <row r="526">
      <c r="A526" s="31"/>
      <c r="B526" s="31"/>
      <c r="C526" s="31"/>
      <c r="D526" s="31"/>
      <c r="E526" s="31" t="s">
        <v>87</v>
      </c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</row>
    <row r="527">
      <c r="A527" s="31"/>
      <c r="B527" s="31"/>
      <c r="C527" s="31"/>
      <c r="D527" s="31"/>
      <c r="E527" s="31" t="s">
        <v>87</v>
      </c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</row>
    <row r="528">
      <c r="A528" s="31"/>
      <c r="B528" s="31"/>
      <c r="C528" s="31"/>
      <c r="D528" s="31"/>
      <c r="E528" s="31" t="s">
        <v>87</v>
      </c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</row>
    <row r="529">
      <c r="A529" s="31"/>
      <c r="B529" s="31"/>
      <c r="C529" s="31"/>
      <c r="D529" s="31"/>
      <c r="E529" s="31" t="s">
        <v>87</v>
      </c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</row>
    <row r="530">
      <c r="A530" s="31"/>
      <c r="B530" s="31"/>
      <c r="C530" s="31"/>
      <c r="D530" s="31"/>
      <c r="E530" s="31" t="s">
        <v>87</v>
      </c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</row>
    <row r="531">
      <c r="A531" s="31"/>
      <c r="B531" s="31"/>
      <c r="C531" s="31"/>
      <c r="D531" s="31"/>
      <c r="E531" s="31" t="s">
        <v>87</v>
      </c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</row>
    <row r="532">
      <c r="A532" s="31"/>
      <c r="B532" s="31"/>
      <c r="C532" s="31"/>
      <c r="D532" s="31"/>
      <c r="E532" s="31" t="s">
        <v>87</v>
      </c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</row>
    <row r="533">
      <c r="A533" s="31"/>
      <c r="B533" s="31"/>
      <c r="C533" s="31"/>
      <c r="D533" s="31"/>
      <c r="E533" s="31" t="s">
        <v>87</v>
      </c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</row>
    <row r="534">
      <c r="A534" s="31"/>
      <c r="B534" s="31"/>
      <c r="C534" s="31"/>
      <c r="D534" s="31"/>
      <c r="E534" s="31" t="s">
        <v>87</v>
      </c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</row>
    <row r="535">
      <c r="A535" s="31"/>
      <c r="B535" s="31"/>
      <c r="C535" s="31"/>
      <c r="D535" s="31"/>
      <c r="E535" s="31" t="s">
        <v>87</v>
      </c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</row>
    <row r="536">
      <c r="A536" s="31"/>
      <c r="B536" s="31"/>
      <c r="C536" s="31"/>
      <c r="D536" s="31"/>
      <c r="E536" s="31" t="s">
        <v>87</v>
      </c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</row>
    <row r="537">
      <c r="A537" s="31"/>
      <c r="B537" s="31"/>
      <c r="C537" s="31"/>
      <c r="D537" s="31"/>
      <c r="E537" s="31" t="s">
        <v>87</v>
      </c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</row>
    <row r="538">
      <c r="A538" s="31"/>
      <c r="B538" s="31"/>
      <c r="C538" s="31"/>
      <c r="D538" s="31"/>
      <c r="E538" s="31" t="s">
        <v>87</v>
      </c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</row>
    <row r="539">
      <c r="A539" s="31"/>
      <c r="B539" s="31"/>
      <c r="C539" s="31"/>
      <c r="D539" s="31"/>
      <c r="E539" s="31" t="s">
        <v>87</v>
      </c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</row>
    <row r="540">
      <c r="A540" s="31"/>
      <c r="B540" s="31"/>
      <c r="C540" s="31"/>
      <c r="D540" s="31"/>
      <c r="E540" s="31" t="s">
        <v>87</v>
      </c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</row>
    <row r="541">
      <c r="A541" s="31"/>
      <c r="B541" s="31"/>
      <c r="C541" s="31"/>
      <c r="D541" s="31"/>
      <c r="E541" s="31" t="s">
        <v>87</v>
      </c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</row>
    <row r="542">
      <c r="A542" s="31"/>
      <c r="B542" s="31"/>
      <c r="C542" s="31"/>
      <c r="D542" s="31"/>
      <c r="E542" s="31" t="s">
        <v>87</v>
      </c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</row>
    <row r="543">
      <c r="A543" s="31"/>
      <c r="B543" s="31"/>
      <c r="C543" s="31"/>
      <c r="D543" s="31"/>
      <c r="E543" s="31" t="s">
        <v>87</v>
      </c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</row>
    <row r="544">
      <c r="A544" s="31"/>
      <c r="B544" s="31"/>
      <c r="C544" s="31"/>
      <c r="D544" s="31"/>
      <c r="E544" s="31" t="s">
        <v>87</v>
      </c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</row>
    <row r="545">
      <c r="A545" s="31"/>
      <c r="B545" s="31"/>
      <c r="C545" s="31"/>
      <c r="D545" s="31"/>
      <c r="E545" s="31" t="s">
        <v>87</v>
      </c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</row>
    <row r="546">
      <c r="A546" s="31"/>
      <c r="B546" s="31"/>
      <c r="C546" s="31"/>
      <c r="D546" s="31"/>
      <c r="E546" s="31" t="s">
        <v>87</v>
      </c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</row>
    <row r="547">
      <c r="A547" s="31"/>
      <c r="B547" s="31"/>
      <c r="C547" s="31"/>
      <c r="D547" s="31"/>
      <c r="E547" s="31" t="s">
        <v>87</v>
      </c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</row>
    <row r="548">
      <c r="A548" s="31"/>
      <c r="B548" s="31"/>
      <c r="C548" s="31"/>
      <c r="D548" s="31"/>
      <c r="E548" s="31" t="s">
        <v>87</v>
      </c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</row>
    <row r="549">
      <c r="A549" s="31"/>
      <c r="B549" s="31"/>
      <c r="C549" s="31"/>
      <c r="D549" s="31"/>
      <c r="E549" s="31" t="s">
        <v>87</v>
      </c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</row>
    <row r="550">
      <c r="A550" s="31"/>
      <c r="B550" s="31"/>
      <c r="C550" s="31"/>
      <c r="D550" s="31"/>
      <c r="E550" s="31" t="s">
        <v>87</v>
      </c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</row>
    <row r="551">
      <c r="A551" s="31"/>
      <c r="B551" s="31"/>
      <c r="C551" s="31"/>
      <c r="D551" s="31"/>
      <c r="E551" s="31" t="s">
        <v>87</v>
      </c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</row>
    <row r="552">
      <c r="A552" s="31"/>
      <c r="B552" s="31"/>
      <c r="C552" s="31"/>
      <c r="D552" s="31"/>
      <c r="E552" s="31" t="s">
        <v>87</v>
      </c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</row>
    <row r="553">
      <c r="A553" s="31"/>
      <c r="B553" s="31"/>
      <c r="C553" s="31"/>
      <c r="D553" s="31"/>
      <c r="E553" s="31" t="s">
        <v>87</v>
      </c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</row>
    <row r="554">
      <c r="A554" s="31"/>
      <c r="B554" s="31"/>
      <c r="C554" s="31"/>
      <c r="D554" s="31"/>
      <c r="E554" s="31" t="s">
        <v>87</v>
      </c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</row>
    <row r="555">
      <c r="A555" s="31"/>
      <c r="B555" s="31"/>
      <c r="C555" s="31"/>
      <c r="D555" s="31"/>
      <c r="E555" s="31" t="s">
        <v>87</v>
      </c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</row>
    <row r="556">
      <c r="A556" s="31"/>
      <c r="B556" s="31"/>
      <c r="C556" s="31"/>
      <c r="D556" s="31"/>
      <c r="E556" s="31" t="s">
        <v>87</v>
      </c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</row>
    <row r="557">
      <c r="A557" s="31"/>
      <c r="B557" s="31"/>
      <c r="C557" s="31"/>
      <c r="D557" s="31"/>
      <c r="E557" s="31" t="s">
        <v>87</v>
      </c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</row>
    <row r="558">
      <c r="A558" s="31"/>
      <c r="B558" s="31"/>
      <c r="C558" s="31"/>
      <c r="D558" s="31"/>
      <c r="E558" s="31" t="s">
        <v>87</v>
      </c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</row>
    <row r="559">
      <c r="A559" s="31"/>
      <c r="B559" s="31"/>
      <c r="C559" s="31"/>
      <c r="D559" s="31"/>
      <c r="E559" s="31" t="s">
        <v>87</v>
      </c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</row>
    <row r="560">
      <c r="A560" s="31"/>
      <c r="B560" s="31"/>
      <c r="C560" s="31"/>
      <c r="D560" s="31"/>
      <c r="E560" s="31" t="s">
        <v>87</v>
      </c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</row>
    <row r="561">
      <c r="A561" s="31"/>
      <c r="B561" s="31"/>
      <c r="C561" s="31"/>
      <c r="D561" s="31"/>
      <c r="E561" s="31" t="s">
        <v>87</v>
      </c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</row>
    <row r="562">
      <c r="A562" s="31"/>
      <c r="B562" s="31"/>
      <c r="C562" s="31"/>
      <c r="D562" s="31"/>
      <c r="E562" s="31" t="s">
        <v>87</v>
      </c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</row>
    <row r="563">
      <c r="A563" s="31"/>
      <c r="B563" s="31"/>
      <c r="C563" s="31"/>
      <c r="D563" s="31"/>
      <c r="E563" s="31" t="s">
        <v>87</v>
      </c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</row>
    <row r="564">
      <c r="A564" s="31"/>
      <c r="B564" s="31"/>
      <c r="C564" s="31"/>
      <c r="D564" s="31"/>
      <c r="E564" s="31" t="s">
        <v>87</v>
      </c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</row>
    <row r="565">
      <c r="A565" s="31"/>
      <c r="B565" s="31"/>
      <c r="C565" s="31"/>
      <c r="D565" s="31"/>
      <c r="E565" s="31" t="s">
        <v>87</v>
      </c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</row>
    <row r="566">
      <c r="A566" s="31"/>
      <c r="B566" s="31"/>
      <c r="C566" s="31"/>
      <c r="D566" s="31"/>
      <c r="E566" s="31" t="s">
        <v>87</v>
      </c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</row>
    <row r="567">
      <c r="A567" s="31"/>
      <c r="B567" s="31"/>
      <c r="C567" s="31"/>
      <c r="D567" s="31"/>
      <c r="E567" s="31" t="s">
        <v>87</v>
      </c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</row>
    <row r="568">
      <c r="A568" s="31"/>
      <c r="B568" s="31"/>
      <c r="C568" s="31"/>
      <c r="D568" s="31"/>
      <c r="E568" s="31" t="s">
        <v>87</v>
      </c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</row>
    <row r="569">
      <c r="A569" s="31"/>
      <c r="B569" s="31"/>
      <c r="C569" s="31"/>
      <c r="D569" s="31"/>
      <c r="E569" s="31" t="s">
        <v>87</v>
      </c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</row>
    <row r="570">
      <c r="A570" s="31"/>
      <c r="B570" s="31"/>
      <c r="C570" s="31"/>
      <c r="D570" s="31"/>
      <c r="E570" s="31" t="s">
        <v>87</v>
      </c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</row>
    <row r="571">
      <c r="A571" s="31"/>
      <c r="B571" s="31"/>
      <c r="C571" s="31"/>
      <c r="D571" s="31"/>
      <c r="E571" s="31" t="s">
        <v>87</v>
      </c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</row>
    <row r="572">
      <c r="A572" s="31"/>
      <c r="B572" s="31"/>
      <c r="C572" s="31"/>
      <c r="D572" s="31"/>
      <c r="E572" s="31" t="s">
        <v>87</v>
      </c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</row>
    <row r="573">
      <c r="A573" s="31"/>
      <c r="B573" s="31"/>
      <c r="C573" s="31"/>
      <c r="D573" s="31"/>
      <c r="E573" s="31" t="s">
        <v>87</v>
      </c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</row>
    <row r="574">
      <c r="A574" s="31"/>
      <c r="B574" s="31"/>
      <c r="C574" s="31"/>
      <c r="D574" s="31"/>
      <c r="E574" s="31" t="s">
        <v>87</v>
      </c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</row>
    <row r="575">
      <c r="A575" s="31"/>
      <c r="B575" s="31"/>
      <c r="C575" s="31"/>
      <c r="D575" s="31"/>
      <c r="E575" s="31" t="s">
        <v>87</v>
      </c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</row>
    <row r="576">
      <c r="A576" s="31"/>
      <c r="B576" s="31"/>
      <c r="C576" s="31"/>
      <c r="D576" s="31"/>
      <c r="E576" s="31" t="s">
        <v>87</v>
      </c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</row>
    <row r="577">
      <c r="A577" s="31"/>
      <c r="B577" s="31"/>
      <c r="C577" s="31"/>
      <c r="D577" s="31"/>
      <c r="E577" s="31" t="s">
        <v>87</v>
      </c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</row>
    <row r="578">
      <c r="A578" s="31"/>
      <c r="B578" s="31"/>
      <c r="C578" s="31"/>
      <c r="D578" s="31"/>
      <c r="E578" s="31" t="s">
        <v>87</v>
      </c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</row>
    <row r="579">
      <c r="A579" s="31"/>
      <c r="B579" s="31"/>
      <c r="C579" s="31"/>
      <c r="D579" s="31"/>
      <c r="E579" s="31" t="s">
        <v>87</v>
      </c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</row>
    <row r="580">
      <c r="A580" s="31"/>
      <c r="B580" s="31"/>
      <c r="C580" s="31"/>
      <c r="D580" s="31"/>
      <c r="E580" s="31" t="s">
        <v>87</v>
      </c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</row>
    <row r="581">
      <c r="A581" s="31"/>
      <c r="B581" s="31"/>
      <c r="C581" s="31"/>
      <c r="D581" s="31"/>
      <c r="E581" s="31" t="s">
        <v>87</v>
      </c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</row>
    <row r="582">
      <c r="A582" s="31"/>
      <c r="B582" s="31"/>
      <c r="C582" s="31"/>
      <c r="D582" s="31"/>
      <c r="E582" s="31" t="s">
        <v>87</v>
      </c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</row>
    <row r="583">
      <c r="A583" s="31"/>
      <c r="B583" s="31"/>
      <c r="C583" s="31"/>
      <c r="D583" s="31"/>
      <c r="E583" s="31" t="s">
        <v>87</v>
      </c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</row>
    <row r="584">
      <c r="A584" s="31"/>
      <c r="B584" s="31"/>
      <c r="C584" s="31"/>
      <c r="D584" s="31"/>
      <c r="E584" s="31" t="s">
        <v>87</v>
      </c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</row>
    <row r="585">
      <c r="A585" s="31"/>
      <c r="B585" s="31"/>
      <c r="C585" s="31"/>
      <c r="D585" s="31"/>
      <c r="E585" s="31" t="s">
        <v>87</v>
      </c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</row>
    <row r="586">
      <c r="A586" s="31"/>
      <c r="B586" s="31"/>
      <c r="C586" s="31"/>
      <c r="D586" s="31"/>
      <c r="E586" s="31" t="s">
        <v>87</v>
      </c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</row>
    <row r="587">
      <c r="A587" s="31"/>
      <c r="B587" s="31"/>
      <c r="C587" s="31"/>
      <c r="D587" s="31"/>
      <c r="E587" s="31" t="s">
        <v>87</v>
      </c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</row>
    <row r="588">
      <c r="A588" s="31"/>
      <c r="B588" s="31"/>
      <c r="C588" s="31"/>
      <c r="D588" s="31"/>
      <c r="E588" s="31" t="s">
        <v>87</v>
      </c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</row>
    <row r="589">
      <c r="A589" s="31"/>
      <c r="B589" s="31"/>
      <c r="C589" s="31"/>
      <c r="D589" s="31"/>
      <c r="E589" s="31" t="s">
        <v>87</v>
      </c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</row>
    <row r="590">
      <c r="A590" s="31"/>
      <c r="B590" s="31"/>
      <c r="C590" s="31"/>
      <c r="D590" s="31"/>
      <c r="E590" s="31" t="s">
        <v>87</v>
      </c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</row>
    <row r="591">
      <c r="A591" s="31"/>
      <c r="B591" s="31"/>
      <c r="C591" s="31"/>
      <c r="D591" s="31"/>
      <c r="E591" s="31" t="s">
        <v>87</v>
      </c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</row>
    <row r="592">
      <c r="A592" s="31"/>
      <c r="B592" s="31"/>
      <c r="C592" s="31"/>
      <c r="D592" s="31"/>
      <c r="E592" s="31" t="s">
        <v>87</v>
      </c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</row>
    <row r="593">
      <c r="A593" s="31"/>
      <c r="B593" s="31"/>
      <c r="C593" s="31"/>
      <c r="D593" s="31"/>
      <c r="E593" s="31" t="s">
        <v>87</v>
      </c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</row>
    <row r="594">
      <c r="A594" s="31"/>
      <c r="B594" s="31"/>
      <c r="C594" s="31"/>
      <c r="D594" s="31"/>
      <c r="E594" s="31" t="s">
        <v>87</v>
      </c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</row>
    <row r="595">
      <c r="A595" s="31"/>
      <c r="B595" s="31"/>
      <c r="C595" s="31"/>
      <c r="D595" s="31"/>
      <c r="E595" s="31" t="s">
        <v>87</v>
      </c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</row>
    <row r="596">
      <c r="A596" s="31"/>
      <c r="B596" s="31"/>
      <c r="C596" s="31"/>
      <c r="D596" s="31"/>
      <c r="E596" s="31" t="s">
        <v>87</v>
      </c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</row>
    <row r="597">
      <c r="A597" s="31"/>
      <c r="B597" s="31"/>
      <c r="C597" s="31"/>
      <c r="D597" s="31"/>
      <c r="E597" s="31" t="s">
        <v>87</v>
      </c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</row>
    <row r="598">
      <c r="A598" s="31"/>
      <c r="B598" s="31"/>
      <c r="C598" s="31"/>
      <c r="D598" s="31"/>
      <c r="E598" s="31" t="s">
        <v>87</v>
      </c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</row>
    <row r="599">
      <c r="A599" s="31"/>
      <c r="B599" s="31"/>
      <c r="C599" s="31"/>
      <c r="D599" s="31"/>
      <c r="E599" s="31" t="s">
        <v>87</v>
      </c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</row>
    <row r="600">
      <c r="A600" s="31"/>
      <c r="B600" s="31"/>
      <c r="C600" s="31"/>
      <c r="D600" s="31"/>
      <c r="E600" s="31" t="s">
        <v>87</v>
      </c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</row>
    <row r="601">
      <c r="A601" s="31"/>
      <c r="B601" s="31"/>
      <c r="C601" s="31"/>
      <c r="D601" s="31"/>
      <c r="E601" s="31" t="s">
        <v>87</v>
      </c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</row>
    <row r="602">
      <c r="A602" s="31"/>
      <c r="B602" s="31"/>
      <c r="C602" s="31"/>
      <c r="D602" s="31"/>
      <c r="E602" s="31" t="s">
        <v>87</v>
      </c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</row>
    <row r="603">
      <c r="A603" s="31"/>
      <c r="B603" s="31"/>
      <c r="C603" s="31"/>
      <c r="D603" s="31"/>
      <c r="E603" s="31" t="s">
        <v>87</v>
      </c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</row>
    <row r="604">
      <c r="A604" s="31"/>
      <c r="B604" s="31"/>
      <c r="C604" s="31"/>
      <c r="D604" s="31"/>
      <c r="E604" s="31" t="s">
        <v>87</v>
      </c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</row>
    <row r="605">
      <c r="A605" s="31"/>
      <c r="B605" s="31"/>
      <c r="C605" s="31"/>
      <c r="D605" s="31"/>
      <c r="E605" s="31" t="s">
        <v>87</v>
      </c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</row>
    <row r="606">
      <c r="A606" s="31"/>
      <c r="B606" s="31"/>
      <c r="C606" s="31"/>
      <c r="D606" s="31"/>
      <c r="E606" s="31" t="s">
        <v>87</v>
      </c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</row>
    <row r="607">
      <c r="A607" s="31"/>
      <c r="B607" s="31"/>
      <c r="C607" s="31"/>
      <c r="D607" s="31"/>
      <c r="E607" s="31" t="s">
        <v>87</v>
      </c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</row>
    <row r="608">
      <c r="A608" s="31"/>
      <c r="B608" s="31"/>
      <c r="C608" s="31"/>
      <c r="D608" s="31"/>
      <c r="E608" s="31" t="s">
        <v>87</v>
      </c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</row>
    <row r="609">
      <c r="A609" s="31"/>
      <c r="B609" s="31"/>
      <c r="C609" s="31"/>
      <c r="D609" s="31"/>
      <c r="E609" s="31" t="s">
        <v>87</v>
      </c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</row>
    <row r="610">
      <c r="A610" s="31"/>
      <c r="B610" s="31"/>
      <c r="C610" s="31"/>
      <c r="D610" s="31"/>
      <c r="E610" s="31" t="s">
        <v>87</v>
      </c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</row>
    <row r="611">
      <c r="A611" s="31"/>
      <c r="B611" s="31"/>
      <c r="C611" s="31"/>
      <c r="D611" s="31"/>
      <c r="E611" s="31" t="s">
        <v>87</v>
      </c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</row>
    <row r="612">
      <c r="A612" s="31"/>
      <c r="B612" s="31"/>
      <c r="C612" s="31"/>
      <c r="D612" s="31"/>
      <c r="E612" s="31" t="s">
        <v>87</v>
      </c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</row>
    <row r="613">
      <c r="A613" s="31"/>
      <c r="B613" s="31"/>
      <c r="C613" s="31"/>
      <c r="D613" s="31"/>
      <c r="E613" s="31" t="s">
        <v>87</v>
      </c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</row>
    <row r="614">
      <c r="A614" s="31"/>
      <c r="B614" s="31"/>
      <c r="C614" s="31"/>
      <c r="D614" s="31"/>
      <c r="E614" s="31" t="s">
        <v>87</v>
      </c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</row>
    <row r="615">
      <c r="A615" s="31"/>
      <c r="B615" s="31"/>
      <c r="C615" s="31"/>
      <c r="D615" s="31"/>
      <c r="E615" s="31" t="s">
        <v>87</v>
      </c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</row>
    <row r="616">
      <c r="A616" s="31"/>
      <c r="B616" s="31"/>
      <c r="C616" s="31"/>
      <c r="D616" s="31"/>
      <c r="E616" s="31" t="s">
        <v>87</v>
      </c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</row>
    <row r="617">
      <c r="A617" s="31"/>
      <c r="B617" s="31"/>
      <c r="C617" s="31"/>
      <c r="D617" s="31"/>
      <c r="E617" s="31" t="s">
        <v>87</v>
      </c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</row>
    <row r="618">
      <c r="A618" s="31"/>
      <c r="B618" s="31"/>
      <c r="C618" s="31"/>
      <c r="D618" s="31"/>
      <c r="E618" s="31" t="s">
        <v>87</v>
      </c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</row>
    <row r="619">
      <c r="A619" s="31"/>
      <c r="B619" s="31"/>
      <c r="C619" s="31"/>
      <c r="D619" s="31"/>
      <c r="E619" s="31" t="s">
        <v>87</v>
      </c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</row>
    <row r="620">
      <c r="A620" s="31"/>
      <c r="B620" s="31"/>
      <c r="C620" s="31"/>
      <c r="D620" s="31"/>
      <c r="E620" s="31" t="s">
        <v>87</v>
      </c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</row>
    <row r="621">
      <c r="A621" s="31"/>
      <c r="B621" s="31"/>
      <c r="C621" s="31"/>
      <c r="D621" s="31"/>
      <c r="E621" s="31" t="s">
        <v>87</v>
      </c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</row>
    <row r="622">
      <c r="A622" s="31"/>
      <c r="B622" s="31"/>
      <c r="C622" s="31"/>
      <c r="D622" s="31"/>
      <c r="E622" s="31" t="s">
        <v>87</v>
      </c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</row>
    <row r="623">
      <c r="A623" s="31"/>
      <c r="B623" s="31"/>
      <c r="C623" s="31"/>
      <c r="D623" s="31"/>
      <c r="E623" s="31" t="s">
        <v>87</v>
      </c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</row>
    <row r="624">
      <c r="A624" s="31"/>
      <c r="B624" s="31"/>
      <c r="C624" s="31"/>
      <c r="D624" s="31"/>
      <c r="E624" s="31" t="s">
        <v>87</v>
      </c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</row>
    <row r="625">
      <c r="A625" s="31"/>
      <c r="B625" s="31"/>
      <c r="C625" s="31"/>
      <c r="D625" s="31"/>
      <c r="E625" s="31" t="s">
        <v>87</v>
      </c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</row>
    <row r="626">
      <c r="A626" s="31"/>
      <c r="B626" s="31"/>
      <c r="C626" s="31"/>
      <c r="D626" s="31"/>
      <c r="E626" s="31" t="s">
        <v>87</v>
      </c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</row>
    <row r="627">
      <c r="A627" s="31"/>
      <c r="B627" s="31"/>
      <c r="C627" s="31"/>
      <c r="D627" s="31"/>
      <c r="E627" s="31" t="s">
        <v>87</v>
      </c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</row>
    <row r="628">
      <c r="A628" s="31"/>
      <c r="B628" s="31"/>
      <c r="C628" s="31"/>
      <c r="D628" s="31"/>
      <c r="E628" s="31" t="s">
        <v>87</v>
      </c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</row>
    <row r="629">
      <c r="A629" s="31"/>
      <c r="B629" s="31"/>
      <c r="C629" s="31"/>
      <c r="D629" s="31"/>
      <c r="E629" s="31" t="s">
        <v>87</v>
      </c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</row>
    <row r="630">
      <c r="A630" s="31"/>
      <c r="B630" s="31"/>
      <c r="C630" s="31"/>
      <c r="D630" s="31"/>
      <c r="E630" s="31" t="s">
        <v>87</v>
      </c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</row>
    <row r="631">
      <c r="A631" s="31"/>
      <c r="B631" s="31"/>
      <c r="C631" s="31"/>
      <c r="D631" s="31"/>
      <c r="E631" s="31" t="s">
        <v>87</v>
      </c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</row>
    <row r="632">
      <c r="A632" s="31"/>
      <c r="B632" s="31"/>
      <c r="C632" s="31"/>
      <c r="D632" s="31"/>
      <c r="E632" s="31" t="s">
        <v>87</v>
      </c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</row>
    <row r="633">
      <c r="A633" s="31"/>
      <c r="B633" s="31"/>
      <c r="C633" s="31"/>
      <c r="D633" s="31"/>
      <c r="E633" s="31" t="s">
        <v>87</v>
      </c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</row>
    <row r="634">
      <c r="A634" s="31"/>
      <c r="B634" s="31"/>
      <c r="C634" s="31"/>
      <c r="D634" s="31"/>
      <c r="E634" s="31" t="s">
        <v>87</v>
      </c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</row>
    <row r="635">
      <c r="A635" s="31"/>
      <c r="B635" s="31"/>
      <c r="C635" s="31"/>
      <c r="D635" s="31"/>
      <c r="E635" s="31" t="s">
        <v>87</v>
      </c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</row>
    <row r="636">
      <c r="A636" s="31"/>
      <c r="B636" s="31"/>
      <c r="C636" s="31"/>
      <c r="D636" s="31"/>
      <c r="E636" s="31" t="s">
        <v>87</v>
      </c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</row>
    <row r="637">
      <c r="A637" s="31"/>
      <c r="B637" s="31"/>
      <c r="C637" s="31"/>
      <c r="D637" s="31"/>
      <c r="E637" s="31" t="s">
        <v>87</v>
      </c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</row>
    <row r="638">
      <c r="A638" s="31"/>
      <c r="B638" s="31"/>
      <c r="C638" s="31"/>
      <c r="D638" s="31"/>
      <c r="E638" s="31" t="s">
        <v>87</v>
      </c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</row>
    <row r="639">
      <c r="A639" s="31"/>
      <c r="B639" s="31"/>
      <c r="C639" s="31"/>
      <c r="D639" s="31"/>
      <c r="E639" s="31" t="s">
        <v>87</v>
      </c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</row>
    <row r="640">
      <c r="A640" s="31"/>
      <c r="B640" s="31"/>
      <c r="C640" s="31"/>
      <c r="D640" s="31"/>
      <c r="E640" s="31" t="s">
        <v>87</v>
      </c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</row>
    <row r="641">
      <c r="A641" s="31"/>
      <c r="B641" s="31"/>
      <c r="C641" s="31"/>
      <c r="D641" s="31"/>
      <c r="E641" s="31" t="s">
        <v>87</v>
      </c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</row>
    <row r="642">
      <c r="A642" s="31"/>
      <c r="B642" s="31"/>
      <c r="C642" s="31"/>
      <c r="D642" s="31"/>
      <c r="E642" s="31" t="s">
        <v>87</v>
      </c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</row>
    <row r="643">
      <c r="A643" s="31"/>
      <c r="B643" s="31"/>
      <c r="C643" s="31"/>
      <c r="D643" s="31"/>
      <c r="E643" s="31" t="s">
        <v>87</v>
      </c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</row>
    <row r="644">
      <c r="A644" s="31"/>
      <c r="B644" s="31"/>
      <c r="C644" s="31"/>
      <c r="D644" s="31"/>
      <c r="E644" s="31" t="s">
        <v>87</v>
      </c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</row>
    <row r="645">
      <c r="A645" s="31"/>
      <c r="B645" s="31"/>
      <c r="C645" s="31"/>
      <c r="D645" s="31"/>
      <c r="E645" s="31" t="s">
        <v>87</v>
      </c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</row>
    <row r="646">
      <c r="A646" s="31"/>
      <c r="B646" s="31"/>
      <c r="C646" s="31"/>
      <c r="D646" s="31"/>
      <c r="E646" s="31" t="s">
        <v>87</v>
      </c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</row>
    <row r="647">
      <c r="A647" s="31"/>
      <c r="B647" s="31"/>
      <c r="C647" s="31"/>
      <c r="D647" s="31"/>
      <c r="E647" s="31" t="s">
        <v>87</v>
      </c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</row>
    <row r="648">
      <c r="A648" s="31"/>
      <c r="B648" s="31"/>
      <c r="C648" s="31"/>
      <c r="D648" s="31"/>
      <c r="E648" s="31" t="s">
        <v>87</v>
      </c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</row>
    <row r="649">
      <c r="A649" s="31"/>
      <c r="B649" s="31"/>
      <c r="C649" s="31"/>
      <c r="D649" s="31"/>
      <c r="E649" s="31" t="s">
        <v>87</v>
      </c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</row>
    <row r="650">
      <c r="A650" s="31"/>
      <c r="B650" s="31"/>
      <c r="C650" s="31"/>
      <c r="D650" s="31"/>
      <c r="E650" s="31" t="s">
        <v>87</v>
      </c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</row>
    <row r="651">
      <c r="A651" s="31"/>
      <c r="B651" s="31"/>
      <c r="C651" s="31"/>
      <c r="D651" s="31"/>
      <c r="E651" s="31" t="s">
        <v>87</v>
      </c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</row>
    <row r="652">
      <c r="A652" s="31"/>
      <c r="B652" s="31"/>
      <c r="C652" s="31"/>
      <c r="D652" s="31"/>
      <c r="E652" s="31" t="s">
        <v>87</v>
      </c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</row>
    <row r="653">
      <c r="A653" s="31"/>
      <c r="B653" s="31"/>
      <c r="C653" s="31"/>
      <c r="D653" s="31"/>
      <c r="E653" s="31" t="s">
        <v>87</v>
      </c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</row>
    <row r="654">
      <c r="A654" s="31"/>
      <c r="B654" s="31"/>
      <c r="C654" s="31"/>
      <c r="D654" s="31"/>
      <c r="E654" s="31" t="s">
        <v>87</v>
      </c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</row>
    <row r="655">
      <c r="A655" s="31"/>
      <c r="B655" s="31"/>
      <c r="C655" s="31"/>
      <c r="D655" s="31"/>
      <c r="E655" s="31" t="s">
        <v>87</v>
      </c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</row>
    <row r="656">
      <c r="A656" s="31"/>
      <c r="B656" s="31"/>
      <c r="C656" s="31"/>
      <c r="D656" s="31"/>
      <c r="E656" s="31" t="s">
        <v>87</v>
      </c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</row>
    <row r="657">
      <c r="A657" s="31"/>
      <c r="B657" s="31"/>
      <c r="C657" s="31"/>
      <c r="D657" s="31"/>
      <c r="E657" s="31" t="s">
        <v>87</v>
      </c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</row>
    <row r="658">
      <c r="A658" s="31"/>
      <c r="B658" s="31"/>
      <c r="C658" s="31"/>
      <c r="D658" s="31"/>
      <c r="E658" s="31" t="s">
        <v>87</v>
      </c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</row>
    <row r="659">
      <c r="A659" s="31"/>
      <c r="B659" s="31"/>
      <c r="C659" s="31"/>
      <c r="D659" s="31"/>
      <c r="E659" s="31" t="s">
        <v>87</v>
      </c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</row>
    <row r="660">
      <c r="A660" s="31"/>
      <c r="B660" s="31"/>
      <c r="C660" s="31"/>
      <c r="D660" s="31"/>
      <c r="E660" s="31" t="s">
        <v>87</v>
      </c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</row>
    <row r="661">
      <c r="A661" s="31"/>
      <c r="B661" s="31"/>
      <c r="C661" s="31"/>
      <c r="D661" s="31"/>
      <c r="E661" s="31" t="s">
        <v>87</v>
      </c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</row>
    <row r="662">
      <c r="A662" s="31"/>
      <c r="B662" s="31"/>
      <c r="C662" s="31"/>
      <c r="D662" s="31"/>
      <c r="E662" s="31" t="s">
        <v>87</v>
      </c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</row>
    <row r="663">
      <c r="A663" s="31"/>
      <c r="B663" s="31"/>
      <c r="C663" s="31"/>
      <c r="D663" s="31"/>
      <c r="E663" s="31" t="s">
        <v>87</v>
      </c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</row>
    <row r="664">
      <c r="A664" s="31"/>
      <c r="B664" s="31"/>
      <c r="C664" s="31"/>
      <c r="D664" s="31"/>
      <c r="E664" s="31" t="s">
        <v>87</v>
      </c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</row>
    <row r="665">
      <c r="A665" s="31"/>
      <c r="B665" s="31"/>
      <c r="C665" s="31"/>
      <c r="D665" s="31"/>
      <c r="E665" s="31" t="s">
        <v>87</v>
      </c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</row>
    <row r="666">
      <c r="A666" s="31"/>
      <c r="B666" s="31"/>
      <c r="C666" s="31"/>
      <c r="D666" s="31"/>
      <c r="E666" s="31" t="s">
        <v>87</v>
      </c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</row>
    <row r="667">
      <c r="A667" s="31"/>
      <c r="B667" s="31"/>
      <c r="C667" s="31"/>
      <c r="D667" s="31"/>
      <c r="E667" s="31" t="s">
        <v>87</v>
      </c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</row>
    <row r="668">
      <c r="A668" s="31"/>
      <c r="B668" s="31"/>
      <c r="C668" s="31"/>
      <c r="D668" s="31"/>
      <c r="E668" s="31" t="s">
        <v>87</v>
      </c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</row>
    <row r="669">
      <c r="A669" s="31"/>
      <c r="B669" s="31"/>
      <c r="C669" s="31"/>
      <c r="D669" s="31"/>
      <c r="E669" s="31" t="s">
        <v>87</v>
      </c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</row>
    <row r="670">
      <c r="A670" s="31"/>
      <c r="B670" s="31"/>
      <c r="C670" s="31"/>
      <c r="D670" s="31"/>
      <c r="E670" s="31" t="s">
        <v>87</v>
      </c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</row>
    <row r="671">
      <c r="A671" s="31"/>
      <c r="B671" s="31"/>
      <c r="C671" s="31"/>
      <c r="D671" s="31"/>
      <c r="E671" s="31" t="s">
        <v>87</v>
      </c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</row>
    <row r="672">
      <c r="A672" s="31"/>
      <c r="B672" s="31"/>
      <c r="C672" s="31"/>
      <c r="D672" s="31"/>
      <c r="E672" s="31" t="s">
        <v>87</v>
      </c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</row>
    <row r="673">
      <c r="A673" s="31"/>
      <c r="B673" s="31"/>
      <c r="C673" s="31"/>
      <c r="D673" s="31"/>
      <c r="E673" s="31" t="s">
        <v>87</v>
      </c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</row>
    <row r="674">
      <c r="A674" s="31"/>
      <c r="B674" s="31"/>
      <c r="C674" s="31"/>
      <c r="D674" s="31"/>
      <c r="E674" s="31" t="s">
        <v>87</v>
      </c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</row>
    <row r="675">
      <c r="A675" s="31"/>
      <c r="B675" s="31"/>
      <c r="C675" s="31"/>
      <c r="D675" s="31"/>
      <c r="E675" s="31" t="s">
        <v>87</v>
      </c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</row>
    <row r="676">
      <c r="A676" s="31"/>
      <c r="B676" s="31"/>
      <c r="C676" s="31"/>
      <c r="D676" s="31"/>
      <c r="E676" s="31" t="s">
        <v>87</v>
      </c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</row>
    <row r="677">
      <c r="A677" s="31"/>
      <c r="B677" s="31"/>
      <c r="C677" s="31"/>
      <c r="D677" s="31"/>
      <c r="E677" s="31" t="s">
        <v>87</v>
      </c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</row>
    <row r="678">
      <c r="A678" s="31"/>
      <c r="B678" s="31"/>
      <c r="C678" s="31"/>
      <c r="D678" s="31"/>
      <c r="E678" s="31" t="s">
        <v>87</v>
      </c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</row>
    <row r="679">
      <c r="A679" s="31"/>
      <c r="B679" s="31"/>
      <c r="C679" s="31"/>
      <c r="D679" s="31"/>
      <c r="E679" s="31" t="s">
        <v>87</v>
      </c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</row>
    <row r="680">
      <c r="A680" s="31"/>
      <c r="B680" s="31"/>
      <c r="C680" s="31"/>
      <c r="D680" s="31"/>
      <c r="E680" s="31" t="s">
        <v>87</v>
      </c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</row>
    <row r="681">
      <c r="A681" s="31"/>
      <c r="B681" s="31"/>
      <c r="C681" s="31"/>
      <c r="D681" s="31"/>
      <c r="E681" s="31" t="s">
        <v>87</v>
      </c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</row>
    <row r="682">
      <c r="A682" s="31"/>
      <c r="B682" s="31"/>
      <c r="C682" s="31"/>
      <c r="D682" s="31"/>
      <c r="E682" s="31" t="s">
        <v>87</v>
      </c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</row>
    <row r="683">
      <c r="A683" s="31"/>
      <c r="B683" s="31"/>
      <c r="C683" s="31"/>
      <c r="D683" s="31"/>
      <c r="E683" s="31" t="s">
        <v>87</v>
      </c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</row>
    <row r="684">
      <c r="A684" s="31"/>
      <c r="B684" s="31"/>
      <c r="C684" s="31"/>
      <c r="D684" s="31"/>
      <c r="E684" s="31" t="s">
        <v>87</v>
      </c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</row>
    <row r="685">
      <c r="A685" s="31"/>
      <c r="B685" s="31"/>
      <c r="C685" s="31"/>
      <c r="D685" s="31"/>
      <c r="E685" s="31" t="s">
        <v>87</v>
      </c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</row>
    <row r="686">
      <c r="A686" s="31"/>
      <c r="B686" s="31"/>
      <c r="C686" s="31"/>
      <c r="D686" s="31"/>
      <c r="E686" s="31" t="s">
        <v>87</v>
      </c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</row>
    <row r="687">
      <c r="A687" s="31"/>
      <c r="B687" s="31"/>
      <c r="C687" s="31"/>
      <c r="D687" s="31"/>
      <c r="E687" s="31" t="s">
        <v>87</v>
      </c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</row>
    <row r="688">
      <c r="A688" s="31"/>
      <c r="B688" s="31"/>
      <c r="C688" s="31"/>
      <c r="D688" s="31"/>
      <c r="E688" s="31" t="s">
        <v>87</v>
      </c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</row>
    <row r="689">
      <c r="A689" s="31"/>
      <c r="B689" s="31"/>
      <c r="C689" s="31"/>
      <c r="D689" s="31"/>
      <c r="E689" s="31" t="s">
        <v>87</v>
      </c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</row>
    <row r="690">
      <c r="A690" s="31"/>
      <c r="B690" s="31"/>
      <c r="C690" s="31"/>
      <c r="D690" s="31"/>
      <c r="E690" s="31" t="s">
        <v>87</v>
      </c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</row>
    <row r="691">
      <c r="A691" s="31"/>
      <c r="B691" s="31"/>
      <c r="C691" s="31"/>
      <c r="D691" s="31"/>
      <c r="E691" s="31" t="s">
        <v>87</v>
      </c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</row>
    <row r="692">
      <c r="A692" s="31"/>
      <c r="B692" s="31"/>
      <c r="C692" s="31"/>
      <c r="D692" s="31"/>
      <c r="E692" s="31" t="s">
        <v>87</v>
      </c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</row>
    <row r="693">
      <c r="A693" s="31"/>
      <c r="B693" s="31"/>
      <c r="C693" s="31"/>
      <c r="D693" s="31"/>
      <c r="E693" s="31" t="s">
        <v>87</v>
      </c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</row>
    <row r="694">
      <c r="A694" s="31"/>
      <c r="B694" s="31"/>
      <c r="C694" s="31"/>
      <c r="D694" s="31"/>
      <c r="E694" s="31" t="s">
        <v>87</v>
      </c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</row>
    <row r="695">
      <c r="A695" s="31"/>
      <c r="B695" s="31"/>
      <c r="C695" s="31"/>
      <c r="D695" s="31"/>
      <c r="E695" s="31" t="s">
        <v>87</v>
      </c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</row>
    <row r="696">
      <c r="A696" s="31"/>
      <c r="B696" s="31"/>
      <c r="C696" s="31"/>
      <c r="D696" s="31"/>
      <c r="E696" s="31" t="s">
        <v>87</v>
      </c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</row>
    <row r="697">
      <c r="A697" s="31"/>
      <c r="B697" s="31"/>
      <c r="C697" s="31"/>
      <c r="D697" s="31"/>
      <c r="E697" s="31" t="s">
        <v>87</v>
      </c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</row>
    <row r="698">
      <c r="A698" s="31"/>
      <c r="B698" s="31"/>
      <c r="C698" s="31"/>
      <c r="D698" s="31"/>
      <c r="E698" s="31" t="s">
        <v>87</v>
      </c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</row>
    <row r="699">
      <c r="A699" s="31"/>
      <c r="B699" s="31"/>
      <c r="C699" s="31"/>
      <c r="D699" s="31"/>
      <c r="E699" s="31" t="s">
        <v>87</v>
      </c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</row>
    <row r="700">
      <c r="A700" s="31"/>
      <c r="B700" s="31"/>
      <c r="C700" s="31"/>
      <c r="D700" s="31"/>
      <c r="E700" s="31" t="s">
        <v>87</v>
      </c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</row>
    <row r="701">
      <c r="A701" s="31"/>
      <c r="B701" s="31"/>
      <c r="C701" s="31"/>
      <c r="D701" s="31"/>
      <c r="E701" s="31" t="s">
        <v>87</v>
      </c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</row>
    <row r="702">
      <c r="A702" s="31"/>
      <c r="B702" s="31"/>
      <c r="C702" s="31"/>
      <c r="D702" s="31"/>
      <c r="E702" s="31" t="s">
        <v>87</v>
      </c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</row>
    <row r="703">
      <c r="A703" s="31"/>
      <c r="B703" s="31"/>
      <c r="C703" s="31"/>
      <c r="D703" s="31"/>
      <c r="E703" s="31" t="s">
        <v>87</v>
      </c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</row>
    <row r="704">
      <c r="A704" s="31"/>
      <c r="B704" s="31"/>
      <c r="C704" s="31"/>
      <c r="D704" s="31"/>
      <c r="E704" s="31" t="s">
        <v>87</v>
      </c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</row>
    <row r="705">
      <c r="A705" s="31"/>
      <c r="B705" s="31"/>
      <c r="C705" s="31"/>
      <c r="D705" s="31"/>
      <c r="E705" s="31" t="s">
        <v>87</v>
      </c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</row>
    <row r="706">
      <c r="A706" s="31"/>
      <c r="B706" s="31"/>
      <c r="C706" s="31"/>
      <c r="D706" s="31"/>
      <c r="E706" s="31" t="s">
        <v>87</v>
      </c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</row>
    <row r="707">
      <c r="A707" s="31"/>
      <c r="B707" s="31"/>
      <c r="C707" s="31"/>
      <c r="D707" s="31"/>
      <c r="E707" s="31" t="s">
        <v>87</v>
      </c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</row>
    <row r="708">
      <c r="A708" s="31"/>
      <c r="B708" s="31"/>
      <c r="C708" s="31"/>
      <c r="D708" s="31"/>
      <c r="E708" s="31" t="s">
        <v>87</v>
      </c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</row>
    <row r="709">
      <c r="A709" s="31"/>
      <c r="B709" s="31"/>
      <c r="C709" s="31"/>
      <c r="D709" s="31"/>
      <c r="E709" s="31" t="s">
        <v>87</v>
      </c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</row>
    <row r="710">
      <c r="A710" s="31"/>
      <c r="B710" s="31"/>
      <c r="C710" s="31"/>
      <c r="D710" s="31"/>
      <c r="E710" s="31" t="s">
        <v>87</v>
      </c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</row>
    <row r="711">
      <c r="A711" s="31"/>
      <c r="B711" s="31"/>
      <c r="C711" s="31"/>
      <c r="D711" s="31"/>
      <c r="E711" s="31" t="s">
        <v>87</v>
      </c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</row>
    <row r="712">
      <c r="A712" s="31"/>
      <c r="B712" s="31"/>
      <c r="C712" s="31"/>
      <c r="D712" s="31"/>
      <c r="E712" s="31" t="s">
        <v>87</v>
      </c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</row>
    <row r="713">
      <c r="A713" s="31"/>
      <c r="B713" s="31"/>
      <c r="C713" s="31"/>
      <c r="D713" s="31"/>
      <c r="E713" s="31" t="s">
        <v>87</v>
      </c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</row>
    <row r="714">
      <c r="A714" s="31"/>
      <c r="B714" s="31"/>
      <c r="C714" s="31"/>
      <c r="D714" s="31"/>
      <c r="E714" s="31" t="s">
        <v>87</v>
      </c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</row>
    <row r="715">
      <c r="A715" s="31"/>
      <c r="B715" s="31"/>
      <c r="C715" s="31"/>
      <c r="D715" s="31"/>
      <c r="E715" s="31" t="s">
        <v>87</v>
      </c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</row>
    <row r="716">
      <c r="A716" s="31"/>
      <c r="B716" s="31"/>
      <c r="C716" s="31"/>
      <c r="D716" s="31"/>
      <c r="E716" s="31" t="s">
        <v>87</v>
      </c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</row>
    <row r="717">
      <c r="A717" s="31"/>
      <c r="B717" s="31"/>
      <c r="C717" s="31"/>
      <c r="D717" s="31"/>
      <c r="E717" s="31" t="s">
        <v>87</v>
      </c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</row>
    <row r="718">
      <c r="A718" s="31"/>
      <c r="B718" s="31"/>
      <c r="C718" s="31"/>
      <c r="D718" s="31"/>
      <c r="E718" s="31" t="s">
        <v>87</v>
      </c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</row>
    <row r="719">
      <c r="A719" s="31"/>
      <c r="B719" s="31"/>
      <c r="C719" s="31"/>
      <c r="D719" s="31"/>
      <c r="E719" s="31" t="s">
        <v>87</v>
      </c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</row>
    <row r="720">
      <c r="A720" s="31"/>
      <c r="B720" s="31"/>
      <c r="C720" s="31"/>
      <c r="D720" s="31"/>
      <c r="E720" s="31" t="s">
        <v>87</v>
      </c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</row>
    <row r="721">
      <c r="A721" s="31"/>
      <c r="B721" s="31"/>
      <c r="C721" s="31"/>
      <c r="D721" s="31"/>
      <c r="E721" s="31" t="s">
        <v>87</v>
      </c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</row>
    <row r="722">
      <c r="A722" s="31"/>
      <c r="B722" s="31"/>
      <c r="C722" s="31"/>
      <c r="D722" s="31"/>
      <c r="E722" s="31" t="s">
        <v>87</v>
      </c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</row>
    <row r="723">
      <c r="A723" s="31"/>
      <c r="B723" s="31"/>
      <c r="C723" s="31"/>
      <c r="D723" s="31"/>
      <c r="E723" s="31" t="s">
        <v>87</v>
      </c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</row>
    <row r="724">
      <c r="A724" s="31"/>
      <c r="B724" s="31"/>
      <c r="C724" s="31"/>
      <c r="D724" s="31"/>
      <c r="E724" s="31" t="s">
        <v>87</v>
      </c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</row>
    <row r="725">
      <c r="A725" s="31"/>
      <c r="B725" s="31"/>
      <c r="C725" s="31"/>
      <c r="D725" s="31"/>
      <c r="E725" s="31" t="s">
        <v>87</v>
      </c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</row>
    <row r="726">
      <c r="A726" s="31"/>
      <c r="B726" s="31"/>
      <c r="C726" s="31"/>
      <c r="D726" s="31"/>
      <c r="E726" s="31" t="s">
        <v>87</v>
      </c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</row>
    <row r="727">
      <c r="A727" s="31"/>
      <c r="B727" s="31"/>
      <c r="C727" s="31"/>
      <c r="D727" s="31"/>
      <c r="E727" s="31" t="s">
        <v>87</v>
      </c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</row>
    <row r="728">
      <c r="A728" s="31"/>
      <c r="B728" s="31"/>
      <c r="C728" s="31"/>
      <c r="D728" s="31"/>
      <c r="E728" s="31" t="s">
        <v>87</v>
      </c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</row>
    <row r="729">
      <c r="A729" s="31"/>
      <c r="B729" s="31"/>
      <c r="C729" s="31"/>
      <c r="D729" s="31"/>
      <c r="E729" s="31" t="s">
        <v>87</v>
      </c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</row>
    <row r="730">
      <c r="A730" s="31"/>
      <c r="B730" s="31"/>
      <c r="C730" s="31"/>
      <c r="D730" s="31"/>
      <c r="E730" s="31" t="s">
        <v>87</v>
      </c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</row>
    <row r="731">
      <c r="A731" s="31"/>
      <c r="B731" s="31"/>
      <c r="C731" s="31"/>
      <c r="D731" s="31"/>
      <c r="E731" s="31" t="s">
        <v>87</v>
      </c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</row>
    <row r="732">
      <c r="A732" s="31"/>
      <c r="B732" s="31"/>
      <c r="C732" s="31"/>
      <c r="D732" s="31"/>
      <c r="E732" s="31" t="s">
        <v>87</v>
      </c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</row>
    <row r="733">
      <c r="A733" s="31"/>
      <c r="B733" s="31"/>
      <c r="C733" s="31"/>
      <c r="D733" s="31"/>
      <c r="E733" s="31" t="s">
        <v>87</v>
      </c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</row>
    <row r="734">
      <c r="A734" s="31"/>
      <c r="B734" s="31"/>
      <c r="C734" s="31"/>
      <c r="D734" s="31"/>
      <c r="E734" s="31" t="s">
        <v>87</v>
      </c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</row>
    <row r="735">
      <c r="A735" s="31"/>
      <c r="B735" s="31"/>
      <c r="C735" s="31"/>
      <c r="D735" s="31"/>
      <c r="E735" s="31" t="s">
        <v>87</v>
      </c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</row>
    <row r="736">
      <c r="A736" s="31"/>
      <c r="B736" s="31"/>
      <c r="C736" s="31"/>
      <c r="D736" s="31"/>
      <c r="E736" s="31" t="s">
        <v>87</v>
      </c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</row>
    <row r="737">
      <c r="A737" s="31"/>
      <c r="B737" s="31"/>
      <c r="C737" s="31"/>
      <c r="D737" s="31"/>
      <c r="E737" s="31" t="s">
        <v>87</v>
      </c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</row>
    <row r="738">
      <c r="A738" s="31"/>
      <c r="B738" s="31"/>
      <c r="C738" s="31"/>
      <c r="D738" s="31"/>
      <c r="E738" s="31" t="s">
        <v>87</v>
      </c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</row>
    <row r="739">
      <c r="A739" s="31"/>
      <c r="B739" s="31"/>
      <c r="C739" s="31"/>
      <c r="D739" s="31"/>
      <c r="E739" s="31" t="s">
        <v>87</v>
      </c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</row>
    <row r="740">
      <c r="A740" s="31"/>
      <c r="B740" s="31"/>
      <c r="C740" s="31"/>
      <c r="D740" s="31"/>
      <c r="E740" s="31" t="s">
        <v>87</v>
      </c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</row>
    <row r="741">
      <c r="A741" s="31"/>
      <c r="B741" s="31"/>
      <c r="C741" s="31"/>
      <c r="D741" s="31"/>
      <c r="E741" s="31" t="s">
        <v>87</v>
      </c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</row>
    <row r="742">
      <c r="A742" s="31"/>
      <c r="B742" s="31"/>
      <c r="C742" s="31"/>
      <c r="D742" s="31"/>
      <c r="E742" s="31" t="s">
        <v>87</v>
      </c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</row>
    <row r="743">
      <c r="A743" s="31"/>
      <c r="B743" s="31"/>
      <c r="C743" s="31"/>
      <c r="D743" s="31"/>
      <c r="E743" s="31" t="s">
        <v>87</v>
      </c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</row>
    <row r="744">
      <c r="A744" s="31"/>
      <c r="B744" s="31"/>
      <c r="C744" s="31"/>
      <c r="D744" s="31"/>
      <c r="E744" s="31" t="s">
        <v>87</v>
      </c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</row>
    <row r="745">
      <c r="A745" s="31"/>
      <c r="B745" s="31"/>
      <c r="C745" s="31"/>
      <c r="D745" s="31"/>
      <c r="E745" s="31" t="s">
        <v>87</v>
      </c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</row>
    <row r="746">
      <c r="A746" s="31"/>
      <c r="B746" s="31"/>
      <c r="C746" s="31"/>
      <c r="D746" s="31"/>
      <c r="E746" s="31" t="s">
        <v>87</v>
      </c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</row>
    <row r="747">
      <c r="A747" s="31"/>
      <c r="B747" s="31"/>
      <c r="C747" s="31"/>
      <c r="D747" s="31"/>
      <c r="E747" s="31" t="s">
        <v>87</v>
      </c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</row>
    <row r="748">
      <c r="A748" s="31"/>
      <c r="B748" s="31"/>
      <c r="C748" s="31"/>
      <c r="D748" s="31"/>
      <c r="E748" s="31" t="s">
        <v>87</v>
      </c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</row>
    <row r="749">
      <c r="A749" s="31"/>
      <c r="B749" s="31"/>
      <c r="C749" s="31"/>
      <c r="D749" s="31"/>
      <c r="E749" s="31" t="s">
        <v>87</v>
      </c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</row>
    <row r="750">
      <c r="A750" s="31"/>
      <c r="B750" s="31"/>
      <c r="C750" s="31"/>
      <c r="D750" s="31"/>
      <c r="E750" s="31" t="s">
        <v>87</v>
      </c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</row>
    <row r="751">
      <c r="A751" s="31"/>
      <c r="B751" s="31"/>
      <c r="C751" s="31"/>
      <c r="D751" s="31"/>
      <c r="E751" s="31" t="s">
        <v>87</v>
      </c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</row>
    <row r="752">
      <c r="A752" s="31"/>
      <c r="B752" s="31"/>
      <c r="C752" s="31"/>
      <c r="D752" s="31"/>
      <c r="E752" s="31" t="s">
        <v>87</v>
      </c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</row>
    <row r="753">
      <c r="A753" s="31"/>
      <c r="B753" s="31"/>
      <c r="C753" s="31"/>
      <c r="D753" s="31"/>
      <c r="E753" s="31" t="s">
        <v>87</v>
      </c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</row>
    <row r="754">
      <c r="A754" s="31"/>
      <c r="B754" s="31"/>
      <c r="C754" s="31"/>
      <c r="D754" s="31"/>
      <c r="E754" s="31" t="s">
        <v>87</v>
      </c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</row>
    <row r="755">
      <c r="A755" s="31"/>
      <c r="B755" s="31"/>
      <c r="C755" s="31"/>
      <c r="D755" s="31"/>
      <c r="E755" s="31" t="s">
        <v>87</v>
      </c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</row>
    <row r="756">
      <c r="A756" s="31"/>
      <c r="B756" s="31"/>
      <c r="C756" s="31"/>
      <c r="D756" s="31"/>
      <c r="E756" s="31" t="s">
        <v>87</v>
      </c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</row>
    <row r="757">
      <c r="A757" s="31"/>
      <c r="B757" s="31"/>
      <c r="C757" s="31"/>
      <c r="D757" s="31"/>
      <c r="E757" s="31" t="s">
        <v>87</v>
      </c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</row>
    <row r="758">
      <c r="A758" s="31"/>
      <c r="B758" s="31"/>
      <c r="C758" s="31"/>
      <c r="D758" s="31"/>
      <c r="E758" s="31" t="s">
        <v>87</v>
      </c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</row>
    <row r="759">
      <c r="A759" s="31"/>
      <c r="B759" s="31"/>
      <c r="C759" s="31"/>
      <c r="D759" s="31"/>
      <c r="E759" s="31" t="s">
        <v>87</v>
      </c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</row>
    <row r="760">
      <c r="A760" s="31"/>
      <c r="B760" s="31"/>
      <c r="C760" s="31"/>
      <c r="D760" s="31"/>
      <c r="E760" s="31" t="s">
        <v>87</v>
      </c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</row>
    <row r="761">
      <c r="A761" s="31"/>
      <c r="B761" s="31"/>
      <c r="C761" s="31"/>
      <c r="D761" s="31"/>
      <c r="E761" s="31" t="s">
        <v>87</v>
      </c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</row>
    <row r="762">
      <c r="A762" s="31"/>
      <c r="B762" s="31"/>
      <c r="C762" s="31"/>
      <c r="D762" s="31"/>
      <c r="E762" s="31" t="s">
        <v>87</v>
      </c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</row>
    <row r="763">
      <c r="A763" s="31"/>
      <c r="B763" s="31"/>
      <c r="C763" s="31"/>
      <c r="D763" s="31"/>
      <c r="E763" s="31" t="s">
        <v>87</v>
      </c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</row>
    <row r="764">
      <c r="A764" s="31"/>
      <c r="B764" s="31"/>
      <c r="C764" s="31"/>
      <c r="D764" s="31"/>
      <c r="E764" s="31" t="s">
        <v>87</v>
      </c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</row>
    <row r="765">
      <c r="A765" s="31"/>
      <c r="B765" s="31"/>
      <c r="C765" s="31"/>
      <c r="D765" s="31"/>
      <c r="E765" s="31" t="s">
        <v>87</v>
      </c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</row>
    <row r="766">
      <c r="A766" s="31"/>
      <c r="B766" s="31"/>
      <c r="C766" s="31"/>
      <c r="D766" s="31"/>
      <c r="E766" s="31" t="s">
        <v>87</v>
      </c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</row>
    <row r="767">
      <c r="A767" s="31"/>
      <c r="B767" s="31"/>
      <c r="C767" s="31"/>
      <c r="D767" s="31"/>
      <c r="E767" s="31" t="s">
        <v>87</v>
      </c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</row>
    <row r="768">
      <c r="A768" s="31"/>
      <c r="B768" s="31"/>
      <c r="C768" s="31"/>
      <c r="D768" s="31"/>
      <c r="E768" s="31" t="s">
        <v>87</v>
      </c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</row>
    <row r="769">
      <c r="A769" s="31"/>
      <c r="B769" s="31"/>
      <c r="C769" s="31"/>
      <c r="D769" s="31"/>
      <c r="E769" s="31" t="s">
        <v>87</v>
      </c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</row>
    <row r="770">
      <c r="A770" s="31"/>
      <c r="B770" s="31"/>
      <c r="C770" s="31"/>
      <c r="D770" s="31"/>
      <c r="E770" s="31" t="s">
        <v>87</v>
      </c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</row>
    <row r="771">
      <c r="A771" s="31"/>
      <c r="B771" s="31"/>
      <c r="C771" s="31"/>
      <c r="D771" s="31"/>
      <c r="E771" s="31" t="s">
        <v>87</v>
      </c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</row>
    <row r="772">
      <c r="A772" s="31"/>
      <c r="B772" s="31"/>
      <c r="C772" s="31"/>
      <c r="D772" s="31"/>
      <c r="E772" s="31" t="s">
        <v>87</v>
      </c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</row>
    <row r="773">
      <c r="A773" s="31"/>
      <c r="B773" s="31"/>
      <c r="C773" s="31"/>
      <c r="D773" s="31"/>
      <c r="E773" s="31" t="s">
        <v>87</v>
      </c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</row>
    <row r="774">
      <c r="A774" s="31"/>
      <c r="B774" s="31"/>
      <c r="C774" s="31"/>
      <c r="D774" s="31"/>
      <c r="E774" s="31" t="s">
        <v>87</v>
      </c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</row>
    <row r="775">
      <c r="A775" s="31"/>
      <c r="B775" s="31"/>
      <c r="C775" s="31"/>
      <c r="D775" s="31"/>
      <c r="E775" s="31" t="s">
        <v>87</v>
      </c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</row>
    <row r="776">
      <c r="A776" s="31"/>
      <c r="B776" s="31"/>
      <c r="C776" s="31"/>
      <c r="D776" s="31"/>
      <c r="E776" s="31" t="s">
        <v>87</v>
      </c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</row>
    <row r="777">
      <c r="A777" s="31"/>
      <c r="B777" s="31"/>
      <c r="C777" s="31"/>
      <c r="D777" s="31"/>
      <c r="E777" s="31" t="s">
        <v>87</v>
      </c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</row>
    <row r="778">
      <c r="A778" s="31"/>
      <c r="B778" s="31"/>
      <c r="C778" s="31"/>
      <c r="D778" s="31"/>
      <c r="E778" s="31" t="s">
        <v>87</v>
      </c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</row>
    <row r="779">
      <c r="A779" s="31"/>
      <c r="B779" s="31"/>
      <c r="C779" s="31"/>
      <c r="D779" s="31"/>
      <c r="E779" s="31" t="s">
        <v>87</v>
      </c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</row>
    <row r="780">
      <c r="A780" s="31"/>
      <c r="B780" s="31"/>
      <c r="C780" s="31"/>
      <c r="D780" s="31"/>
      <c r="E780" s="31" t="s">
        <v>87</v>
      </c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</row>
    <row r="781">
      <c r="A781" s="31"/>
      <c r="B781" s="31"/>
      <c r="C781" s="31"/>
      <c r="D781" s="31"/>
      <c r="E781" s="31" t="s">
        <v>87</v>
      </c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</row>
    <row r="782">
      <c r="A782" s="31"/>
      <c r="B782" s="31"/>
      <c r="C782" s="31"/>
      <c r="D782" s="31"/>
      <c r="E782" s="31" t="s">
        <v>87</v>
      </c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</row>
    <row r="783">
      <c r="A783" s="31"/>
      <c r="B783" s="31"/>
      <c r="C783" s="31"/>
      <c r="D783" s="31"/>
      <c r="E783" s="31" t="s">
        <v>87</v>
      </c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</row>
    <row r="784">
      <c r="A784" s="31"/>
      <c r="B784" s="31"/>
      <c r="C784" s="31"/>
      <c r="D784" s="31"/>
      <c r="E784" s="31" t="s">
        <v>87</v>
      </c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</row>
    <row r="785">
      <c r="A785" s="31"/>
      <c r="B785" s="31"/>
      <c r="C785" s="31"/>
      <c r="D785" s="31"/>
      <c r="E785" s="31" t="s">
        <v>87</v>
      </c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</row>
    <row r="786">
      <c r="A786" s="31"/>
      <c r="B786" s="31"/>
      <c r="C786" s="31"/>
      <c r="D786" s="31"/>
      <c r="E786" s="31" t="s">
        <v>87</v>
      </c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</row>
    <row r="787">
      <c r="A787" s="31"/>
      <c r="B787" s="31"/>
      <c r="C787" s="31"/>
      <c r="D787" s="31"/>
      <c r="E787" s="31" t="s">
        <v>87</v>
      </c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</row>
    <row r="788">
      <c r="A788" s="31"/>
      <c r="B788" s="31"/>
      <c r="C788" s="31"/>
      <c r="D788" s="31"/>
      <c r="E788" s="31" t="s">
        <v>87</v>
      </c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</row>
    <row r="789">
      <c r="A789" s="31"/>
      <c r="B789" s="31"/>
      <c r="C789" s="31"/>
      <c r="D789" s="31"/>
      <c r="E789" s="31" t="s">
        <v>87</v>
      </c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</row>
    <row r="790">
      <c r="A790" s="31"/>
      <c r="B790" s="31"/>
      <c r="C790" s="31"/>
      <c r="D790" s="31"/>
      <c r="E790" s="31" t="s">
        <v>87</v>
      </c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</row>
    <row r="791">
      <c r="A791" s="31"/>
      <c r="B791" s="31"/>
      <c r="C791" s="31"/>
      <c r="D791" s="31"/>
      <c r="E791" s="31" t="s">
        <v>87</v>
      </c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</row>
    <row r="792">
      <c r="A792" s="31"/>
      <c r="B792" s="31"/>
      <c r="C792" s="31"/>
      <c r="D792" s="31"/>
      <c r="E792" s="31" t="s">
        <v>87</v>
      </c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</row>
    <row r="793">
      <c r="A793" s="31"/>
      <c r="B793" s="31"/>
      <c r="C793" s="31"/>
      <c r="D793" s="31"/>
      <c r="E793" s="31" t="s">
        <v>87</v>
      </c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</row>
    <row r="794">
      <c r="A794" s="31"/>
      <c r="B794" s="31"/>
      <c r="C794" s="31"/>
      <c r="D794" s="31"/>
      <c r="E794" s="31" t="s">
        <v>87</v>
      </c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</row>
    <row r="795">
      <c r="A795" s="31"/>
      <c r="B795" s="31"/>
      <c r="C795" s="31"/>
      <c r="D795" s="31"/>
      <c r="E795" s="31" t="s">
        <v>87</v>
      </c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</row>
    <row r="796">
      <c r="A796" s="31"/>
      <c r="B796" s="31"/>
      <c r="C796" s="31"/>
      <c r="D796" s="31"/>
      <c r="E796" s="31" t="s">
        <v>87</v>
      </c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</row>
    <row r="797">
      <c r="A797" s="31"/>
      <c r="B797" s="31"/>
      <c r="C797" s="31"/>
      <c r="D797" s="31"/>
      <c r="E797" s="31" t="s">
        <v>87</v>
      </c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</row>
    <row r="798">
      <c r="A798" s="31"/>
      <c r="B798" s="31"/>
      <c r="C798" s="31"/>
      <c r="D798" s="31"/>
      <c r="E798" s="31" t="s">
        <v>87</v>
      </c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</row>
    <row r="799">
      <c r="A799" s="31"/>
      <c r="B799" s="31"/>
      <c r="C799" s="31"/>
      <c r="D799" s="31"/>
      <c r="E799" s="31" t="s">
        <v>87</v>
      </c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</row>
    <row r="800">
      <c r="A800" s="31"/>
      <c r="B800" s="31"/>
      <c r="C800" s="31"/>
      <c r="D800" s="31"/>
      <c r="E800" s="31" t="s">
        <v>87</v>
      </c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</row>
    <row r="801">
      <c r="A801" s="31"/>
      <c r="B801" s="31"/>
      <c r="C801" s="31"/>
      <c r="D801" s="31"/>
      <c r="E801" s="31" t="s">
        <v>87</v>
      </c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</row>
    <row r="802">
      <c r="A802" s="31"/>
      <c r="B802" s="31"/>
      <c r="C802" s="31"/>
      <c r="D802" s="31"/>
      <c r="E802" s="31" t="s">
        <v>87</v>
      </c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</row>
    <row r="803">
      <c r="A803" s="31"/>
      <c r="B803" s="31"/>
      <c r="C803" s="31"/>
      <c r="D803" s="31"/>
      <c r="E803" s="31" t="s">
        <v>87</v>
      </c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</row>
    <row r="804">
      <c r="A804" s="31"/>
      <c r="B804" s="31"/>
      <c r="C804" s="31"/>
      <c r="D804" s="31"/>
      <c r="E804" s="31" t="s">
        <v>87</v>
      </c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</row>
    <row r="805">
      <c r="A805" s="31"/>
      <c r="B805" s="31"/>
      <c r="C805" s="31"/>
      <c r="D805" s="31"/>
      <c r="E805" s="31" t="s">
        <v>87</v>
      </c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</row>
    <row r="806">
      <c r="A806" s="31"/>
      <c r="B806" s="31"/>
      <c r="C806" s="31"/>
      <c r="D806" s="31"/>
      <c r="E806" s="31" t="s">
        <v>87</v>
      </c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</row>
    <row r="807">
      <c r="A807" s="31"/>
      <c r="B807" s="31"/>
      <c r="C807" s="31"/>
      <c r="D807" s="31"/>
      <c r="E807" s="31" t="s">
        <v>87</v>
      </c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</row>
    <row r="808">
      <c r="A808" s="31"/>
      <c r="B808" s="31"/>
      <c r="C808" s="31"/>
      <c r="D808" s="31"/>
      <c r="E808" s="31" t="s">
        <v>87</v>
      </c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</row>
    <row r="809">
      <c r="A809" s="31"/>
      <c r="B809" s="31"/>
      <c r="C809" s="31"/>
      <c r="D809" s="31"/>
      <c r="E809" s="31" t="s">
        <v>87</v>
      </c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</row>
    <row r="810">
      <c r="A810" s="31"/>
      <c r="B810" s="31"/>
      <c r="C810" s="31"/>
      <c r="D810" s="31"/>
      <c r="E810" s="31" t="s">
        <v>87</v>
      </c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</row>
    <row r="811">
      <c r="A811" s="31"/>
      <c r="B811" s="31"/>
      <c r="C811" s="31"/>
      <c r="D811" s="31"/>
      <c r="E811" s="31" t="s">
        <v>87</v>
      </c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</row>
    <row r="812">
      <c r="A812" s="31"/>
      <c r="B812" s="31"/>
      <c r="C812" s="31"/>
      <c r="D812" s="31"/>
      <c r="E812" s="31" t="s">
        <v>87</v>
      </c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</row>
    <row r="813">
      <c r="A813" s="31"/>
      <c r="B813" s="31"/>
      <c r="C813" s="31"/>
      <c r="D813" s="31"/>
      <c r="E813" s="31" t="s">
        <v>87</v>
      </c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</row>
    <row r="814">
      <c r="A814" s="31"/>
      <c r="B814" s="31"/>
      <c r="C814" s="31"/>
      <c r="D814" s="31"/>
      <c r="E814" s="31" t="s">
        <v>87</v>
      </c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</row>
    <row r="815">
      <c r="A815" s="31"/>
      <c r="B815" s="31"/>
      <c r="C815" s="31"/>
      <c r="D815" s="31"/>
      <c r="E815" s="31" t="s">
        <v>87</v>
      </c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</row>
    <row r="816">
      <c r="A816" s="31"/>
      <c r="B816" s="31"/>
      <c r="C816" s="31"/>
      <c r="D816" s="31"/>
      <c r="E816" s="31" t="s">
        <v>87</v>
      </c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</row>
    <row r="817">
      <c r="A817" s="31"/>
      <c r="B817" s="31"/>
      <c r="C817" s="31"/>
      <c r="D817" s="31"/>
      <c r="E817" s="31" t="s">
        <v>87</v>
      </c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</row>
    <row r="818">
      <c r="A818" s="31"/>
      <c r="B818" s="31"/>
      <c r="C818" s="31"/>
      <c r="D818" s="31"/>
      <c r="E818" s="31" t="s">
        <v>87</v>
      </c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</row>
    <row r="819">
      <c r="A819" s="31"/>
      <c r="B819" s="31"/>
      <c r="C819" s="31"/>
      <c r="D819" s="31"/>
      <c r="E819" s="31" t="s">
        <v>87</v>
      </c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</row>
    <row r="820">
      <c r="A820" s="31"/>
      <c r="B820" s="31"/>
      <c r="C820" s="31"/>
      <c r="D820" s="31"/>
      <c r="E820" s="31" t="s">
        <v>87</v>
      </c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</row>
    <row r="821">
      <c r="A821" s="31"/>
      <c r="B821" s="31"/>
      <c r="C821" s="31"/>
      <c r="D821" s="31"/>
      <c r="E821" s="31" t="s">
        <v>87</v>
      </c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</row>
    <row r="822">
      <c r="A822" s="31"/>
      <c r="B822" s="31"/>
      <c r="C822" s="31"/>
      <c r="D822" s="31"/>
      <c r="E822" s="31" t="s">
        <v>87</v>
      </c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</row>
    <row r="823">
      <c r="A823" s="31"/>
      <c r="B823" s="31"/>
      <c r="C823" s="31"/>
      <c r="D823" s="31"/>
      <c r="E823" s="31" t="s">
        <v>87</v>
      </c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</row>
    <row r="824">
      <c r="A824" s="31"/>
      <c r="B824" s="31"/>
      <c r="C824" s="31"/>
      <c r="D824" s="31"/>
      <c r="E824" s="31" t="s">
        <v>87</v>
      </c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</row>
    <row r="825">
      <c r="A825" s="31"/>
      <c r="B825" s="31"/>
      <c r="C825" s="31"/>
      <c r="D825" s="31"/>
      <c r="E825" s="31" t="s">
        <v>87</v>
      </c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</row>
    <row r="826">
      <c r="A826" s="31"/>
      <c r="B826" s="31"/>
      <c r="C826" s="31"/>
      <c r="D826" s="31"/>
      <c r="E826" s="31" t="s">
        <v>87</v>
      </c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</row>
    <row r="827">
      <c r="A827" s="31"/>
      <c r="B827" s="31"/>
      <c r="C827" s="31"/>
      <c r="D827" s="31"/>
      <c r="E827" s="31" t="s">
        <v>87</v>
      </c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</row>
    <row r="828">
      <c r="A828" s="31"/>
      <c r="B828" s="31"/>
      <c r="C828" s="31"/>
      <c r="D828" s="31"/>
      <c r="E828" s="31" t="s">
        <v>87</v>
      </c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</row>
    <row r="829">
      <c r="A829" s="31"/>
      <c r="B829" s="31"/>
      <c r="C829" s="31"/>
      <c r="D829" s="31"/>
      <c r="E829" s="31" t="s">
        <v>87</v>
      </c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</row>
    <row r="830">
      <c r="A830" s="31"/>
      <c r="B830" s="31"/>
      <c r="C830" s="31"/>
      <c r="D830" s="31"/>
      <c r="E830" s="31" t="s">
        <v>87</v>
      </c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</row>
    <row r="831">
      <c r="A831" s="31"/>
      <c r="B831" s="31"/>
      <c r="C831" s="31"/>
      <c r="D831" s="31"/>
      <c r="E831" s="31" t="s">
        <v>87</v>
      </c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</row>
    <row r="832">
      <c r="A832" s="31"/>
      <c r="B832" s="31"/>
      <c r="C832" s="31"/>
      <c r="D832" s="31"/>
      <c r="E832" s="31" t="s">
        <v>87</v>
      </c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</row>
    <row r="833">
      <c r="A833" s="31"/>
      <c r="B833" s="31"/>
      <c r="C833" s="31"/>
      <c r="D833" s="31"/>
      <c r="E833" s="31" t="s">
        <v>87</v>
      </c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</row>
    <row r="834">
      <c r="A834" s="31"/>
      <c r="B834" s="31"/>
      <c r="C834" s="31"/>
      <c r="D834" s="31"/>
      <c r="E834" s="31" t="s">
        <v>87</v>
      </c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</row>
    <row r="835">
      <c r="A835" s="31"/>
      <c r="B835" s="31"/>
      <c r="C835" s="31"/>
      <c r="D835" s="31"/>
      <c r="E835" s="31" t="s">
        <v>87</v>
      </c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</row>
    <row r="836">
      <c r="A836" s="31"/>
      <c r="B836" s="31"/>
      <c r="C836" s="31"/>
      <c r="D836" s="31"/>
      <c r="E836" s="31" t="s">
        <v>87</v>
      </c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</row>
    <row r="837">
      <c r="A837" s="31"/>
      <c r="B837" s="31"/>
      <c r="C837" s="31"/>
      <c r="D837" s="31"/>
      <c r="E837" s="31" t="s">
        <v>87</v>
      </c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</row>
    <row r="838">
      <c r="A838" s="31"/>
      <c r="B838" s="31"/>
      <c r="C838" s="31"/>
      <c r="D838" s="31"/>
      <c r="E838" s="31" t="s">
        <v>87</v>
      </c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</row>
    <row r="839">
      <c r="A839" s="31"/>
      <c r="B839" s="31"/>
      <c r="C839" s="31"/>
      <c r="D839" s="31"/>
      <c r="E839" s="31" t="s">
        <v>87</v>
      </c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</row>
    <row r="840">
      <c r="A840" s="31"/>
      <c r="B840" s="31"/>
      <c r="C840" s="31"/>
      <c r="D840" s="31"/>
      <c r="E840" s="31" t="s">
        <v>87</v>
      </c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</row>
    <row r="841">
      <c r="A841" s="31"/>
      <c r="B841" s="31"/>
      <c r="C841" s="31"/>
      <c r="D841" s="31"/>
      <c r="E841" s="31" t="s">
        <v>87</v>
      </c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</row>
    <row r="842">
      <c r="A842" s="31"/>
      <c r="B842" s="31"/>
      <c r="C842" s="31"/>
      <c r="D842" s="31"/>
      <c r="E842" s="31" t="s">
        <v>87</v>
      </c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</row>
    <row r="843">
      <c r="A843" s="31"/>
      <c r="B843" s="31"/>
      <c r="C843" s="31"/>
      <c r="D843" s="31"/>
      <c r="E843" s="31" t="s">
        <v>87</v>
      </c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</row>
    <row r="844">
      <c r="A844" s="31"/>
      <c r="B844" s="31"/>
      <c r="C844" s="31"/>
      <c r="D844" s="31"/>
      <c r="E844" s="31" t="s">
        <v>87</v>
      </c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</row>
    <row r="845">
      <c r="A845" s="31"/>
      <c r="B845" s="31"/>
      <c r="C845" s="31"/>
      <c r="D845" s="31"/>
      <c r="E845" s="31" t="s">
        <v>87</v>
      </c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</row>
    <row r="846">
      <c r="A846" s="31"/>
      <c r="B846" s="31"/>
      <c r="C846" s="31"/>
      <c r="D846" s="31"/>
      <c r="E846" s="31" t="s">
        <v>87</v>
      </c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</row>
    <row r="847">
      <c r="A847" s="31"/>
      <c r="B847" s="31"/>
      <c r="C847" s="31"/>
      <c r="D847" s="31"/>
      <c r="E847" s="31" t="s">
        <v>87</v>
      </c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</row>
    <row r="848">
      <c r="A848" s="31"/>
      <c r="B848" s="31"/>
      <c r="C848" s="31"/>
      <c r="D848" s="31"/>
      <c r="E848" s="31" t="s">
        <v>87</v>
      </c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</row>
    <row r="849">
      <c r="A849" s="31"/>
      <c r="B849" s="31"/>
      <c r="C849" s="31"/>
      <c r="D849" s="31"/>
      <c r="E849" s="31" t="s">
        <v>87</v>
      </c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</row>
    <row r="850">
      <c r="A850" s="31"/>
      <c r="B850" s="31"/>
      <c r="C850" s="31"/>
      <c r="D850" s="31"/>
      <c r="E850" s="31" t="s">
        <v>87</v>
      </c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</row>
    <row r="851">
      <c r="A851" s="31"/>
      <c r="B851" s="31"/>
      <c r="C851" s="31"/>
      <c r="D851" s="31"/>
      <c r="E851" s="31" t="s">
        <v>87</v>
      </c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</row>
    <row r="852">
      <c r="A852" s="31"/>
      <c r="B852" s="31"/>
      <c r="C852" s="31"/>
      <c r="D852" s="31"/>
      <c r="E852" s="31" t="s">
        <v>87</v>
      </c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</row>
    <row r="853">
      <c r="A853" s="31"/>
      <c r="B853" s="31"/>
      <c r="C853" s="31"/>
      <c r="D853" s="31"/>
      <c r="E853" s="31" t="s">
        <v>87</v>
      </c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</row>
    <row r="854">
      <c r="A854" s="31"/>
      <c r="B854" s="31"/>
      <c r="C854" s="31"/>
      <c r="D854" s="31"/>
      <c r="E854" s="31" t="s">
        <v>87</v>
      </c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</row>
    <row r="855">
      <c r="A855" s="31"/>
      <c r="B855" s="31"/>
      <c r="C855" s="31"/>
      <c r="D855" s="31"/>
      <c r="E855" s="31" t="s">
        <v>87</v>
      </c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</row>
    <row r="856">
      <c r="A856" s="31"/>
      <c r="B856" s="31"/>
      <c r="C856" s="31"/>
      <c r="D856" s="31"/>
      <c r="E856" s="31" t="s">
        <v>87</v>
      </c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</row>
    <row r="857">
      <c r="A857" s="31"/>
      <c r="B857" s="31"/>
      <c r="C857" s="31"/>
      <c r="D857" s="31"/>
      <c r="E857" s="31" t="s">
        <v>87</v>
      </c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  <c r="AB857" s="31"/>
    </row>
    <row r="858">
      <c r="A858" s="31"/>
      <c r="B858" s="31"/>
      <c r="C858" s="31"/>
      <c r="D858" s="31"/>
      <c r="E858" s="31" t="s">
        <v>87</v>
      </c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</row>
    <row r="859">
      <c r="A859" s="31"/>
      <c r="B859" s="31"/>
      <c r="C859" s="31"/>
      <c r="D859" s="31"/>
      <c r="E859" s="31" t="s">
        <v>87</v>
      </c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</row>
    <row r="860">
      <c r="A860" s="31"/>
      <c r="B860" s="31"/>
      <c r="C860" s="31"/>
      <c r="D860" s="31"/>
      <c r="E860" s="31" t="s">
        <v>87</v>
      </c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</row>
    <row r="861">
      <c r="A861" s="31"/>
      <c r="B861" s="31"/>
      <c r="C861" s="31"/>
      <c r="D861" s="31"/>
      <c r="E861" s="31" t="s">
        <v>87</v>
      </c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</row>
    <row r="862">
      <c r="A862" s="31"/>
      <c r="B862" s="31"/>
      <c r="C862" s="31"/>
      <c r="D862" s="31"/>
      <c r="E862" s="31" t="s">
        <v>87</v>
      </c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</row>
    <row r="863">
      <c r="A863" s="31"/>
      <c r="B863" s="31"/>
      <c r="C863" s="31"/>
      <c r="D863" s="31"/>
      <c r="E863" s="31" t="s">
        <v>87</v>
      </c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</row>
    <row r="864">
      <c r="A864" s="31"/>
      <c r="B864" s="31"/>
      <c r="C864" s="31"/>
      <c r="D864" s="31"/>
      <c r="E864" s="31" t="s">
        <v>87</v>
      </c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</row>
    <row r="865">
      <c r="A865" s="31"/>
      <c r="B865" s="31"/>
      <c r="C865" s="31"/>
      <c r="D865" s="31"/>
      <c r="E865" s="31" t="s">
        <v>87</v>
      </c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</row>
    <row r="866">
      <c r="A866" s="31"/>
      <c r="B866" s="31"/>
      <c r="C866" s="31"/>
      <c r="D866" s="31"/>
      <c r="E866" s="31" t="s">
        <v>87</v>
      </c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</row>
    <row r="867">
      <c r="A867" s="31"/>
      <c r="B867" s="31"/>
      <c r="C867" s="31"/>
      <c r="D867" s="31"/>
      <c r="E867" s="31" t="s">
        <v>87</v>
      </c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</row>
    <row r="868">
      <c r="A868" s="31"/>
      <c r="B868" s="31"/>
      <c r="C868" s="31"/>
      <c r="D868" s="31"/>
      <c r="E868" s="31" t="s">
        <v>87</v>
      </c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</row>
    <row r="869">
      <c r="A869" s="31"/>
      <c r="B869" s="31"/>
      <c r="C869" s="31"/>
      <c r="D869" s="31"/>
      <c r="E869" s="31" t="s">
        <v>87</v>
      </c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</row>
    <row r="870">
      <c r="A870" s="31"/>
      <c r="B870" s="31"/>
      <c r="C870" s="31"/>
      <c r="D870" s="31"/>
      <c r="E870" s="31" t="s">
        <v>87</v>
      </c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</row>
    <row r="871">
      <c r="A871" s="31"/>
      <c r="B871" s="31"/>
      <c r="C871" s="31"/>
      <c r="D871" s="31"/>
      <c r="E871" s="31" t="s">
        <v>87</v>
      </c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</row>
    <row r="872">
      <c r="A872" s="31"/>
      <c r="B872" s="31"/>
      <c r="C872" s="31"/>
      <c r="D872" s="31"/>
      <c r="E872" s="31" t="s">
        <v>87</v>
      </c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</row>
    <row r="873">
      <c r="A873" s="31"/>
      <c r="B873" s="31"/>
      <c r="C873" s="31"/>
      <c r="D873" s="31"/>
      <c r="E873" s="31" t="s">
        <v>87</v>
      </c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</row>
    <row r="874">
      <c r="A874" s="31"/>
      <c r="B874" s="31"/>
      <c r="C874" s="31"/>
      <c r="D874" s="31"/>
      <c r="E874" s="31" t="s">
        <v>87</v>
      </c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</row>
    <row r="875">
      <c r="A875" s="31"/>
      <c r="B875" s="31"/>
      <c r="C875" s="31"/>
      <c r="D875" s="31"/>
      <c r="E875" s="31" t="s">
        <v>87</v>
      </c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</row>
    <row r="876">
      <c r="A876" s="31"/>
      <c r="B876" s="31"/>
      <c r="C876" s="31"/>
      <c r="D876" s="31"/>
      <c r="E876" s="31" t="s">
        <v>87</v>
      </c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</row>
    <row r="877">
      <c r="A877" s="31"/>
      <c r="B877" s="31"/>
      <c r="C877" s="31"/>
      <c r="D877" s="31"/>
      <c r="E877" s="31" t="s">
        <v>87</v>
      </c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</row>
    <row r="878">
      <c r="A878" s="31"/>
      <c r="B878" s="31"/>
      <c r="C878" s="31"/>
      <c r="D878" s="31"/>
      <c r="E878" s="31" t="s">
        <v>87</v>
      </c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</row>
    <row r="879">
      <c r="A879" s="31"/>
      <c r="B879" s="31"/>
      <c r="C879" s="31"/>
      <c r="D879" s="31"/>
      <c r="E879" s="31" t="s">
        <v>87</v>
      </c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</row>
    <row r="880">
      <c r="A880" s="31"/>
      <c r="B880" s="31"/>
      <c r="C880" s="31"/>
      <c r="D880" s="31"/>
      <c r="E880" s="31" t="s">
        <v>87</v>
      </c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</row>
    <row r="881">
      <c r="A881" s="31"/>
      <c r="B881" s="31"/>
      <c r="C881" s="31"/>
      <c r="D881" s="31"/>
      <c r="E881" s="31" t="s">
        <v>87</v>
      </c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</row>
    <row r="882">
      <c r="A882" s="31"/>
      <c r="B882" s="31"/>
      <c r="C882" s="31"/>
      <c r="D882" s="31"/>
      <c r="E882" s="31" t="s">
        <v>87</v>
      </c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  <c r="AB882" s="31"/>
    </row>
    <row r="883">
      <c r="A883" s="31"/>
      <c r="B883" s="31"/>
      <c r="C883" s="31"/>
      <c r="D883" s="31"/>
      <c r="E883" s="31" t="s">
        <v>87</v>
      </c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  <c r="AB883" s="31"/>
    </row>
    <row r="884">
      <c r="A884" s="31"/>
      <c r="B884" s="31"/>
      <c r="C884" s="31"/>
      <c r="D884" s="31"/>
      <c r="E884" s="31" t="s">
        <v>87</v>
      </c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  <c r="AB884" s="31"/>
    </row>
    <row r="885">
      <c r="A885" s="31"/>
      <c r="B885" s="31"/>
      <c r="C885" s="31"/>
      <c r="D885" s="31"/>
      <c r="E885" s="31" t="s">
        <v>87</v>
      </c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</row>
    <row r="886">
      <c r="A886" s="31"/>
      <c r="B886" s="31"/>
      <c r="C886" s="31"/>
      <c r="D886" s="31"/>
      <c r="E886" s="31" t="s">
        <v>87</v>
      </c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  <c r="AB886" s="31"/>
    </row>
    <row r="887">
      <c r="A887" s="31"/>
      <c r="B887" s="31"/>
      <c r="C887" s="31"/>
      <c r="D887" s="31"/>
      <c r="E887" s="31" t="s">
        <v>87</v>
      </c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</row>
    <row r="888">
      <c r="A888" s="31"/>
      <c r="B888" s="31"/>
      <c r="C888" s="31"/>
      <c r="D888" s="31"/>
      <c r="E888" s="31" t="s">
        <v>87</v>
      </c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  <c r="AB888" s="31"/>
    </row>
    <row r="889">
      <c r="A889" s="31"/>
      <c r="B889" s="31"/>
      <c r="C889" s="31"/>
      <c r="D889" s="31"/>
      <c r="E889" s="31" t="s">
        <v>87</v>
      </c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</row>
    <row r="890">
      <c r="A890" s="31"/>
      <c r="B890" s="31"/>
      <c r="C890" s="31"/>
      <c r="D890" s="31"/>
      <c r="E890" s="31" t="s">
        <v>87</v>
      </c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  <c r="AB890" s="31"/>
    </row>
    <row r="891">
      <c r="A891" s="31"/>
      <c r="B891" s="31"/>
      <c r="C891" s="31"/>
      <c r="D891" s="31"/>
      <c r="E891" s="31" t="s">
        <v>87</v>
      </c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  <c r="AB891" s="31"/>
    </row>
    <row r="892">
      <c r="A892" s="31"/>
      <c r="B892" s="31"/>
      <c r="C892" s="31"/>
      <c r="D892" s="31"/>
      <c r="E892" s="31" t="s">
        <v>87</v>
      </c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  <c r="AB892" s="31"/>
    </row>
    <row r="893">
      <c r="A893" s="31"/>
      <c r="B893" s="31"/>
      <c r="C893" s="31"/>
      <c r="D893" s="31"/>
      <c r="E893" s="31" t="s">
        <v>87</v>
      </c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</row>
    <row r="894">
      <c r="A894" s="31"/>
      <c r="B894" s="31"/>
      <c r="C894" s="31"/>
      <c r="D894" s="31"/>
      <c r="E894" s="31" t="s">
        <v>87</v>
      </c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  <c r="AB894" s="31"/>
    </row>
    <row r="895">
      <c r="A895" s="31"/>
      <c r="B895" s="31"/>
      <c r="C895" s="31"/>
      <c r="D895" s="31"/>
      <c r="E895" s="31" t="s">
        <v>87</v>
      </c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</row>
    <row r="896">
      <c r="A896" s="31"/>
      <c r="B896" s="31"/>
      <c r="C896" s="31"/>
      <c r="D896" s="31"/>
      <c r="E896" s="31" t="s">
        <v>87</v>
      </c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  <c r="AB896" s="31"/>
    </row>
    <row r="897">
      <c r="A897" s="31"/>
      <c r="B897" s="31"/>
      <c r="C897" s="31"/>
      <c r="D897" s="31"/>
      <c r="E897" s="31" t="s">
        <v>87</v>
      </c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</row>
    <row r="898">
      <c r="A898" s="31"/>
      <c r="B898" s="31"/>
      <c r="C898" s="31"/>
      <c r="D898" s="31"/>
      <c r="E898" s="31" t="s">
        <v>87</v>
      </c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</row>
    <row r="899">
      <c r="A899" s="31"/>
      <c r="B899" s="31"/>
      <c r="C899" s="31"/>
      <c r="D899" s="31"/>
      <c r="E899" s="31" t="s">
        <v>87</v>
      </c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</row>
    <row r="900">
      <c r="A900" s="31"/>
      <c r="B900" s="31"/>
      <c r="C900" s="31"/>
      <c r="D900" s="31"/>
      <c r="E900" s="31" t="s">
        <v>87</v>
      </c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</row>
    <row r="901">
      <c r="A901" s="31"/>
      <c r="B901" s="31"/>
      <c r="C901" s="31"/>
      <c r="D901" s="31"/>
      <c r="E901" s="31" t="s">
        <v>87</v>
      </c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</row>
    <row r="902">
      <c r="A902" s="31"/>
      <c r="B902" s="31"/>
      <c r="C902" s="31"/>
      <c r="D902" s="31"/>
      <c r="E902" s="31" t="s">
        <v>87</v>
      </c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</row>
    <row r="903">
      <c r="A903" s="31"/>
      <c r="B903" s="31"/>
      <c r="C903" s="31"/>
      <c r="D903" s="31"/>
      <c r="E903" s="31" t="s">
        <v>87</v>
      </c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</row>
    <row r="904">
      <c r="A904" s="31"/>
      <c r="B904" s="31"/>
      <c r="C904" s="31"/>
      <c r="D904" s="31"/>
      <c r="E904" s="31" t="s">
        <v>87</v>
      </c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</row>
    <row r="905">
      <c r="A905" s="31"/>
      <c r="B905" s="31"/>
      <c r="C905" s="31"/>
      <c r="D905" s="31"/>
      <c r="E905" s="31" t="s">
        <v>87</v>
      </c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</row>
    <row r="906">
      <c r="A906" s="31"/>
      <c r="B906" s="31"/>
      <c r="C906" s="31"/>
      <c r="D906" s="31"/>
      <c r="E906" s="31" t="s">
        <v>87</v>
      </c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</row>
    <row r="907">
      <c r="A907" s="31"/>
      <c r="B907" s="31"/>
      <c r="C907" s="31"/>
      <c r="D907" s="31"/>
      <c r="E907" s="31" t="s">
        <v>87</v>
      </c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</row>
    <row r="908">
      <c r="A908" s="31"/>
      <c r="B908" s="31"/>
      <c r="C908" s="31"/>
      <c r="D908" s="31"/>
      <c r="E908" s="31" t="s">
        <v>87</v>
      </c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</row>
    <row r="909">
      <c r="A909" s="31"/>
      <c r="B909" s="31"/>
      <c r="C909" s="31"/>
      <c r="D909" s="31"/>
      <c r="E909" s="31" t="s">
        <v>87</v>
      </c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  <c r="AB909" s="31"/>
    </row>
    <row r="910">
      <c r="A910" s="31"/>
      <c r="B910" s="31"/>
      <c r="C910" s="31"/>
      <c r="D910" s="31"/>
      <c r="E910" s="31" t="s">
        <v>87</v>
      </c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  <c r="AB910" s="31"/>
    </row>
    <row r="911">
      <c r="A911" s="31"/>
      <c r="B911" s="31"/>
      <c r="C911" s="31"/>
      <c r="D911" s="31"/>
      <c r="E911" s="31" t="s">
        <v>87</v>
      </c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  <c r="AB911" s="31"/>
    </row>
    <row r="912">
      <c r="A912" s="31"/>
      <c r="B912" s="31"/>
      <c r="C912" s="31"/>
      <c r="D912" s="31"/>
      <c r="E912" s="31" t="s">
        <v>87</v>
      </c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</row>
    <row r="913">
      <c r="A913" s="31"/>
      <c r="B913" s="31"/>
      <c r="C913" s="31"/>
      <c r="D913" s="31"/>
      <c r="E913" s="31" t="s">
        <v>87</v>
      </c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  <c r="AB913" s="31"/>
    </row>
    <row r="914">
      <c r="A914" s="31"/>
      <c r="B914" s="31"/>
      <c r="C914" s="31"/>
      <c r="D914" s="31"/>
      <c r="E914" s="31" t="s">
        <v>87</v>
      </c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</row>
    <row r="915">
      <c r="A915" s="31"/>
      <c r="B915" s="31"/>
      <c r="C915" s="31"/>
      <c r="D915" s="31"/>
      <c r="E915" s="31" t="s">
        <v>87</v>
      </c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  <c r="AB915" s="31"/>
    </row>
    <row r="916">
      <c r="A916" s="31"/>
      <c r="B916" s="31"/>
      <c r="C916" s="31"/>
      <c r="D916" s="31"/>
      <c r="E916" s="31" t="s">
        <v>87</v>
      </c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  <c r="AB916" s="31"/>
    </row>
    <row r="917">
      <c r="A917" s="31"/>
      <c r="B917" s="31"/>
      <c r="C917" s="31"/>
      <c r="D917" s="31"/>
      <c r="E917" s="31" t="s">
        <v>87</v>
      </c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  <c r="AB917" s="31"/>
    </row>
    <row r="918">
      <c r="A918" s="31"/>
      <c r="B918" s="31"/>
      <c r="C918" s="31"/>
      <c r="D918" s="31"/>
      <c r="E918" s="31" t="s">
        <v>87</v>
      </c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  <c r="AB918" s="31"/>
    </row>
    <row r="919">
      <c r="A919" s="31"/>
      <c r="B919" s="31"/>
      <c r="C919" s="31"/>
      <c r="D919" s="31"/>
      <c r="E919" s="31" t="s">
        <v>87</v>
      </c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  <c r="AB919" s="31"/>
    </row>
    <row r="920">
      <c r="A920" s="31"/>
      <c r="B920" s="31"/>
      <c r="C920" s="31"/>
      <c r="D920" s="31"/>
      <c r="E920" s="31" t="s">
        <v>87</v>
      </c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  <c r="AB920" s="31"/>
    </row>
    <row r="921">
      <c r="A921" s="31"/>
      <c r="B921" s="31"/>
      <c r="C921" s="31"/>
      <c r="D921" s="31"/>
      <c r="E921" s="31" t="s">
        <v>87</v>
      </c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  <c r="AB921" s="31"/>
    </row>
    <row r="922">
      <c r="A922" s="31"/>
      <c r="B922" s="31"/>
      <c r="C922" s="31"/>
      <c r="D922" s="31"/>
      <c r="E922" s="31" t="s">
        <v>87</v>
      </c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  <c r="AB922" s="31"/>
    </row>
    <row r="923">
      <c r="A923" s="31"/>
      <c r="B923" s="31"/>
      <c r="C923" s="31"/>
      <c r="D923" s="31"/>
      <c r="E923" s="31" t="s">
        <v>87</v>
      </c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  <c r="AB923" s="31"/>
    </row>
    <row r="924">
      <c r="A924" s="31"/>
      <c r="B924" s="31"/>
      <c r="C924" s="31"/>
      <c r="D924" s="31"/>
      <c r="E924" s="31" t="s">
        <v>87</v>
      </c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  <c r="AB924" s="31"/>
    </row>
    <row r="925">
      <c r="A925" s="31"/>
      <c r="B925" s="31"/>
      <c r="C925" s="31"/>
      <c r="D925" s="31"/>
      <c r="E925" s="31" t="s">
        <v>87</v>
      </c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  <c r="AB925" s="31"/>
    </row>
    <row r="926">
      <c r="A926" s="31"/>
      <c r="B926" s="31"/>
      <c r="C926" s="31"/>
      <c r="D926" s="31"/>
      <c r="E926" s="31" t="s">
        <v>87</v>
      </c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  <c r="AB926" s="31"/>
    </row>
    <row r="927">
      <c r="A927" s="31"/>
      <c r="B927" s="31"/>
      <c r="C927" s="31"/>
      <c r="D927" s="31"/>
      <c r="E927" s="31" t="s">
        <v>87</v>
      </c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  <c r="AB927" s="31"/>
    </row>
    <row r="928">
      <c r="A928" s="31"/>
      <c r="B928" s="31"/>
      <c r="C928" s="31"/>
      <c r="D928" s="31"/>
      <c r="E928" s="31" t="s">
        <v>87</v>
      </c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  <c r="AB928" s="31"/>
    </row>
    <row r="929">
      <c r="A929" s="31"/>
      <c r="B929" s="31"/>
      <c r="C929" s="31"/>
      <c r="D929" s="31"/>
      <c r="E929" s="31" t="s">
        <v>87</v>
      </c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  <c r="AB929" s="31"/>
    </row>
    <row r="930">
      <c r="A930" s="31"/>
      <c r="B930" s="31"/>
      <c r="C930" s="31"/>
      <c r="D930" s="31"/>
      <c r="E930" s="31" t="s">
        <v>87</v>
      </c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  <c r="AB930" s="31"/>
    </row>
    <row r="931">
      <c r="A931" s="31"/>
      <c r="B931" s="31"/>
      <c r="C931" s="31"/>
      <c r="D931" s="31"/>
      <c r="E931" s="31" t="s">
        <v>87</v>
      </c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  <c r="AB931" s="31"/>
    </row>
    <row r="932">
      <c r="A932" s="31"/>
      <c r="B932" s="31"/>
      <c r="C932" s="31"/>
      <c r="D932" s="31"/>
      <c r="E932" s="31" t="s">
        <v>87</v>
      </c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  <c r="AB932" s="31"/>
    </row>
    <row r="933">
      <c r="A933" s="31"/>
      <c r="B933" s="31"/>
      <c r="C933" s="31"/>
      <c r="D933" s="31"/>
      <c r="E933" s="31" t="s">
        <v>87</v>
      </c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  <c r="AB933" s="31"/>
    </row>
    <row r="934">
      <c r="A934" s="31"/>
      <c r="B934" s="31"/>
      <c r="C934" s="31"/>
      <c r="D934" s="31"/>
      <c r="E934" s="31" t="s">
        <v>87</v>
      </c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  <c r="AB934" s="31"/>
    </row>
    <row r="935">
      <c r="A935" s="31"/>
      <c r="B935" s="31"/>
      <c r="C935" s="31"/>
      <c r="D935" s="31"/>
      <c r="E935" s="31" t="s">
        <v>87</v>
      </c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  <c r="AB935" s="31"/>
    </row>
    <row r="936">
      <c r="A936" s="31"/>
      <c r="B936" s="31"/>
      <c r="C936" s="31"/>
      <c r="D936" s="31"/>
      <c r="E936" s="31" t="s">
        <v>87</v>
      </c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  <c r="AB936" s="31"/>
    </row>
    <row r="937">
      <c r="A937" s="31"/>
      <c r="B937" s="31"/>
      <c r="C937" s="31"/>
      <c r="D937" s="31"/>
      <c r="E937" s="31" t="s">
        <v>87</v>
      </c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  <c r="AB937" s="31"/>
    </row>
    <row r="938">
      <c r="A938" s="31"/>
      <c r="B938" s="31"/>
      <c r="C938" s="31"/>
      <c r="D938" s="31"/>
      <c r="E938" s="31" t="s">
        <v>87</v>
      </c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  <c r="AB938" s="31"/>
    </row>
    <row r="939">
      <c r="A939" s="31"/>
      <c r="B939" s="31"/>
      <c r="C939" s="31"/>
      <c r="D939" s="31"/>
      <c r="E939" s="31" t="s">
        <v>87</v>
      </c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  <c r="AB939" s="31"/>
    </row>
    <row r="940">
      <c r="A940" s="31"/>
      <c r="B940" s="31"/>
      <c r="C940" s="31"/>
      <c r="D940" s="31"/>
      <c r="E940" s="31" t="s">
        <v>87</v>
      </c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  <c r="AB940" s="31"/>
    </row>
    <row r="941">
      <c r="A941" s="31"/>
      <c r="B941" s="31"/>
      <c r="C941" s="31"/>
      <c r="D941" s="31"/>
      <c r="E941" s="31" t="s">
        <v>87</v>
      </c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  <c r="AB941" s="31"/>
    </row>
    <row r="942">
      <c r="A942" s="31"/>
      <c r="B942" s="31"/>
      <c r="C942" s="31"/>
      <c r="D942" s="31"/>
      <c r="E942" s="31" t="s">
        <v>87</v>
      </c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  <c r="AB942" s="31"/>
    </row>
    <row r="943">
      <c r="A943" s="31"/>
      <c r="B943" s="31"/>
      <c r="C943" s="31"/>
      <c r="D943" s="31"/>
      <c r="E943" s="31" t="s">
        <v>87</v>
      </c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  <c r="AB943" s="31"/>
    </row>
    <row r="944">
      <c r="A944" s="31"/>
      <c r="B944" s="31"/>
      <c r="C944" s="31"/>
      <c r="D944" s="31"/>
      <c r="E944" s="31" t="s">
        <v>87</v>
      </c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  <c r="AB944" s="31"/>
    </row>
    <row r="945">
      <c r="A945" s="31"/>
      <c r="B945" s="31"/>
      <c r="C945" s="31"/>
      <c r="D945" s="31"/>
      <c r="E945" s="31" t="s">
        <v>87</v>
      </c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  <c r="AB945" s="31"/>
    </row>
    <row r="946">
      <c r="A946" s="31"/>
      <c r="B946" s="31"/>
      <c r="C946" s="31"/>
      <c r="D946" s="31"/>
      <c r="E946" s="31" t="s">
        <v>87</v>
      </c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  <c r="AB946" s="31"/>
    </row>
    <row r="947">
      <c r="A947" s="31"/>
      <c r="B947" s="31"/>
      <c r="C947" s="31"/>
      <c r="D947" s="31"/>
      <c r="E947" s="31" t="s">
        <v>87</v>
      </c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  <c r="AB947" s="31"/>
    </row>
    <row r="948">
      <c r="A948" s="31"/>
      <c r="B948" s="31"/>
      <c r="C948" s="31"/>
      <c r="D948" s="31"/>
      <c r="E948" s="31" t="s">
        <v>87</v>
      </c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  <c r="AB948" s="31"/>
    </row>
    <row r="949">
      <c r="A949" s="31"/>
      <c r="B949" s="31"/>
      <c r="C949" s="31"/>
      <c r="D949" s="31"/>
      <c r="E949" s="31" t="s">
        <v>87</v>
      </c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  <c r="AB949" s="31"/>
    </row>
    <row r="950">
      <c r="A950" s="31"/>
      <c r="B950" s="31"/>
      <c r="C950" s="31"/>
      <c r="D950" s="31"/>
      <c r="E950" s="31" t="s">
        <v>87</v>
      </c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  <c r="AB950" s="31"/>
    </row>
    <row r="951">
      <c r="A951" s="31"/>
      <c r="B951" s="31"/>
      <c r="C951" s="31"/>
      <c r="D951" s="31"/>
      <c r="E951" s="31" t="s">
        <v>87</v>
      </c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  <c r="AB951" s="31"/>
    </row>
    <row r="952">
      <c r="A952" s="31"/>
      <c r="B952" s="31"/>
      <c r="C952" s="31"/>
      <c r="D952" s="31"/>
      <c r="E952" s="31" t="s">
        <v>87</v>
      </c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  <c r="AB952" s="31"/>
    </row>
    <row r="953">
      <c r="A953" s="31"/>
      <c r="B953" s="31"/>
      <c r="C953" s="31"/>
      <c r="D953" s="31"/>
      <c r="E953" s="31" t="s">
        <v>87</v>
      </c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  <c r="AB953" s="31"/>
    </row>
    <row r="954">
      <c r="A954" s="31"/>
      <c r="B954" s="31"/>
      <c r="C954" s="31"/>
      <c r="D954" s="31"/>
      <c r="E954" s="31" t="s">
        <v>87</v>
      </c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  <c r="AB954" s="31"/>
    </row>
    <row r="955">
      <c r="A955" s="31"/>
      <c r="B955" s="31"/>
      <c r="C955" s="31"/>
      <c r="D955" s="31"/>
      <c r="E955" s="31" t="s">
        <v>87</v>
      </c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  <c r="AB955" s="31"/>
    </row>
    <row r="956">
      <c r="A956" s="31"/>
      <c r="B956" s="31"/>
      <c r="C956" s="31"/>
      <c r="D956" s="31"/>
      <c r="E956" s="31" t="s">
        <v>87</v>
      </c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  <c r="AB956" s="31"/>
    </row>
    <row r="957">
      <c r="A957" s="31"/>
      <c r="B957" s="31"/>
      <c r="C957" s="31"/>
      <c r="D957" s="31"/>
      <c r="E957" s="31" t="s">
        <v>87</v>
      </c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  <c r="AB957" s="31"/>
    </row>
    <row r="958">
      <c r="A958" s="31"/>
      <c r="B958" s="31"/>
      <c r="C958" s="31"/>
      <c r="D958" s="31"/>
      <c r="E958" s="31" t="s">
        <v>87</v>
      </c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  <c r="AB958" s="31"/>
    </row>
    <row r="959">
      <c r="A959" s="31"/>
      <c r="B959" s="31"/>
      <c r="C959" s="31"/>
      <c r="D959" s="31"/>
      <c r="E959" s="31" t="s">
        <v>87</v>
      </c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  <c r="AB959" s="31"/>
    </row>
    <row r="960">
      <c r="A960" s="31"/>
      <c r="B960" s="31"/>
      <c r="C960" s="31"/>
      <c r="D960" s="31"/>
      <c r="E960" s="31" t="s">
        <v>87</v>
      </c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  <c r="AB960" s="31"/>
    </row>
    <row r="961">
      <c r="A961" s="31"/>
      <c r="B961" s="31"/>
      <c r="C961" s="31"/>
      <c r="D961" s="31"/>
      <c r="E961" s="31" t="s">
        <v>87</v>
      </c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  <c r="AB961" s="31"/>
    </row>
    <row r="962">
      <c r="A962" s="31"/>
      <c r="B962" s="31"/>
      <c r="C962" s="31"/>
      <c r="D962" s="31"/>
      <c r="E962" s="31" t="s">
        <v>87</v>
      </c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  <c r="AB962" s="31"/>
    </row>
    <row r="963">
      <c r="A963" s="31"/>
      <c r="B963" s="31"/>
      <c r="C963" s="31"/>
      <c r="D963" s="31"/>
      <c r="E963" s="31" t="s">
        <v>87</v>
      </c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  <c r="AB963" s="31"/>
    </row>
    <row r="964">
      <c r="A964" s="31"/>
      <c r="B964" s="31"/>
      <c r="C964" s="31"/>
      <c r="D964" s="31"/>
      <c r="E964" s="31" t="s">
        <v>87</v>
      </c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  <c r="AB964" s="31"/>
    </row>
    <row r="965">
      <c r="A965" s="31"/>
      <c r="B965" s="31"/>
      <c r="C965" s="31"/>
      <c r="D965" s="31"/>
      <c r="E965" s="31" t="s">
        <v>87</v>
      </c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  <c r="AB965" s="31"/>
    </row>
    <row r="966">
      <c r="A966" s="31"/>
      <c r="B966" s="31"/>
      <c r="C966" s="31"/>
      <c r="D966" s="31"/>
      <c r="E966" s="31" t="s">
        <v>87</v>
      </c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  <c r="AB966" s="31"/>
    </row>
    <row r="967">
      <c r="A967" s="31"/>
      <c r="B967" s="31"/>
      <c r="C967" s="31"/>
      <c r="D967" s="31"/>
      <c r="E967" s="31" t="s">
        <v>87</v>
      </c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  <c r="AB967" s="31"/>
    </row>
    <row r="968">
      <c r="A968" s="31"/>
      <c r="B968" s="31"/>
      <c r="C968" s="31"/>
      <c r="D968" s="31"/>
      <c r="E968" s="31" t="s">
        <v>87</v>
      </c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  <c r="AB968" s="31"/>
    </row>
    <row r="969">
      <c r="A969" s="31"/>
      <c r="B969" s="31"/>
      <c r="C969" s="31"/>
      <c r="D969" s="31"/>
      <c r="E969" s="31" t="s">
        <v>87</v>
      </c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  <c r="AB969" s="31"/>
    </row>
    <row r="970">
      <c r="A970" s="31"/>
      <c r="B970" s="31"/>
      <c r="C970" s="31"/>
      <c r="D970" s="31"/>
      <c r="E970" s="31" t="s">
        <v>87</v>
      </c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  <c r="AB970" s="31"/>
    </row>
    <row r="971">
      <c r="A971" s="31"/>
      <c r="B971" s="31"/>
      <c r="C971" s="31"/>
      <c r="D971" s="31"/>
      <c r="E971" s="31" t="s">
        <v>87</v>
      </c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  <c r="AB971" s="31"/>
    </row>
    <row r="972">
      <c r="A972" s="31"/>
      <c r="B972" s="31"/>
      <c r="C972" s="31"/>
      <c r="D972" s="31"/>
      <c r="E972" s="31" t="s">
        <v>87</v>
      </c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  <c r="AB972" s="31"/>
    </row>
    <row r="973">
      <c r="A973" s="31"/>
      <c r="B973" s="31"/>
      <c r="C973" s="31"/>
      <c r="D973" s="31"/>
      <c r="E973" s="31" t="s">
        <v>87</v>
      </c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  <c r="AB973" s="31"/>
    </row>
    <row r="974">
      <c r="A974" s="31"/>
      <c r="B974" s="31"/>
      <c r="C974" s="31"/>
      <c r="D974" s="31"/>
      <c r="E974" s="31" t="s">
        <v>87</v>
      </c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  <c r="AB974" s="31"/>
    </row>
    <row r="975">
      <c r="A975" s="31"/>
      <c r="B975" s="31"/>
      <c r="C975" s="31"/>
      <c r="D975" s="31"/>
      <c r="E975" s="31" t="s">
        <v>87</v>
      </c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  <c r="AB975" s="31"/>
    </row>
    <row r="976">
      <c r="A976" s="31"/>
      <c r="B976" s="31"/>
      <c r="C976" s="31"/>
      <c r="D976" s="31"/>
      <c r="E976" s="31" t="s">
        <v>87</v>
      </c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  <c r="AB976" s="31"/>
    </row>
    <row r="977">
      <c r="A977" s="31"/>
      <c r="B977" s="31"/>
      <c r="C977" s="31"/>
      <c r="D977" s="31"/>
      <c r="E977" s="31" t="s">
        <v>87</v>
      </c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  <c r="AB977" s="31"/>
    </row>
    <row r="978">
      <c r="A978" s="31"/>
      <c r="B978" s="31"/>
      <c r="C978" s="31"/>
      <c r="D978" s="31"/>
      <c r="E978" s="31" t="s">
        <v>87</v>
      </c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  <c r="AB978" s="31"/>
    </row>
    <row r="979">
      <c r="A979" s="31"/>
      <c r="B979" s="31"/>
      <c r="C979" s="31"/>
      <c r="D979" s="31"/>
      <c r="E979" s="31" t="s">
        <v>87</v>
      </c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  <c r="AB979" s="31"/>
    </row>
    <row r="980">
      <c r="A980" s="31"/>
      <c r="B980" s="31"/>
      <c r="C980" s="31"/>
      <c r="D980" s="31"/>
      <c r="E980" s="31" t="s">
        <v>87</v>
      </c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  <c r="AB980" s="31"/>
    </row>
    <row r="981">
      <c r="A981" s="31"/>
      <c r="B981" s="31"/>
      <c r="C981" s="31"/>
      <c r="D981" s="31"/>
      <c r="E981" s="31" t="s">
        <v>87</v>
      </c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  <c r="AB981" s="31"/>
    </row>
    <row r="982">
      <c r="A982" s="31"/>
      <c r="B982" s="31"/>
      <c r="C982" s="31"/>
      <c r="D982" s="31"/>
      <c r="E982" s="31" t="s">
        <v>87</v>
      </c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  <c r="AB982" s="31"/>
    </row>
    <row r="983">
      <c r="A983" s="31"/>
      <c r="B983" s="31"/>
      <c r="C983" s="31"/>
      <c r="D983" s="31"/>
      <c r="E983" s="31" t="s">
        <v>87</v>
      </c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  <c r="AB983" s="31"/>
    </row>
    <row r="984">
      <c r="A984" s="31"/>
      <c r="B984" s="31"/>
      <c r="C984" s="31"/>
      <c r="D984" s="31"/>
      <c r="E984" s="31" t="s">
        <v>87</v>
      </c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  <c r="AB984" s="31"/>
    </row>
    <row r="985">
      <c r="A985" s="31"/>
      <c r="B985" s="31"/>
      <c r="C985" s="31"/>
      <c r="D985" s="31"/>
      <c r="E985" s="31" t="s">
        <v>87</v>
      </c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  <c r="AB985" s="31"/>
    </row>
    <row r="986">
      <c r="A986" s="31"/>
      <c r="B986" s="31"/>
      <c r="C986" s="31"/>
      <c r="D986" s="31"/>
      <c r="E986" s="31" t="s">
        <v>87</v>
      </c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  <c r="AB986" s="31"/>
    </row>
    <row r="987">
      <c r="A987" s="31"/>
      <c r="B987" s="31"/>
      <c r="C987" s="31"/>
      <c r="D987" s="31"/>
      <c r="E987" s="31" t="s">
        <v>87</v>
      </c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  <c r="AB987" s="31"/>
    </row>
    <row r="988">
      <c r="A988" s="31"/>
      <c r="B988" s="31"/>
      <c r="C988" s="31"/>
      <c r="D988" s="31"/>
      <c r="E988" s="31" t="s">
        <v>87</v>
      </c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  <c r="AB988" s="31"/>
    </row>
    <row r="989">
      <c r="A989" s="31"/>
      <c r="B989" s="31"/>
      <c r="C989" s="31"/>
      <c r="D989" s="31"/>
      <c r="E989" s="31" t="s">
        <v>87</v>
      </c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  <c r="AB989" s="31"/>
    </row>
  </sheetData>
  <autoFilter ref="$A$1:$G$16"/>
  <conditionalFormatting sqref="A2:B16 C2:D12 C14">
    <cfRule type="expression" dxfId="0" priority="1">
      <formula>AND($I2&lt;-10,$I2&gt;10)</formula>
    </cfRule>
  </conditionalFormatting>
  <conditionalFormatting sqref="A1:E989">
    <cfRule type="expression" dxfId="1" priority="2">
      <formula>$E1="PENDING"</formula>
    </cfRule>
  </conditionalFormatting>
  <drawing r:id="rId1"/>
</worksheet>
</file>